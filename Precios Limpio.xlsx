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decomoi_v2\"/>
    </mc:Choice>
  </mc:AlternateContent>
  <xr:revisionPtr revIDLastSave="0" documentId="8_{BE7653AE-1C97-4851-8C0B-8966E62B23D4}" xr6:coauthVersionLast="47" xr6:coauthVersionMax="47" xr10:uidLastSave="{00000000-0000-0000-0000-000000000000}"/>
  <bookViews>
    <workbookView xWindow="0" yWindow="0" windowWidth="12075" windowHeight="12900" firstSheet="4" activeTab="8" xr2:uid="{85D52E2A-3766-4A50-911B-010E10E002B5}"/>
  </bookViews>
  <sheets>
    <sheet name="Ventas pre diciembre" sheetId="8" r:id="rId1"/>
    <sheet name="Gomitas" sheetId="5" r:id="rId2"/>
    <sheet name="Estampitas" sheetId="9" r:id="rId3"/>
    <sheet name="Tejidos" sheetId="7" r:id="rId4"/>
    <sheet name="Georgalos" sheetId="3" r:id="rId5"/>
    <sheet name="Ventas Web" sheetId="14" r:id="rId6"/>
    <sheet name="Ventas MELI" sheetId="15" r:id="rId7"/>
    <sheet name="Coloniales S.C" sheetId="13" r:id="rId8"/>
    <sheet name="$ Mercado Libre $" sheetId="4" r:id="rId9"/>
    <sheet name="Velas" sheetId="6" r:id="rId10"/>
    <sheet name="Insumos" sheetId="2" r:id="rId11"/>
    <sheet name="XV" sheetId="11" r:id="rId12"/>
    <sheet name="Nacimientos" sheetId="16" r:id="rId13"/>
    <sheet name="Globos" sheetId="17" r:id="rId14"/>
  </sheets>
  <externalReferences>
    <externalReference r:id="rId15"/>
  </externalReferences>
  <definedNames>
    <definedName name="_xlnm._FilterDatabase" localSheetId="6" hidden="1">'Ventas MELI'!$A$2:$AP$2</definedName>
    <definedName name="_xlnm._FilterDatabase" localSheetId="0" hidden="1">'Ventas pre diciembre'!$B$2:$AU$54</definedName>
    <definedName name="_xlnm._FilterDatabase" localSheetId="5" hidden="1">'Ventas Web'!$B$2:$AL$54</definedName>
    <definedName name="X65X200" localSheetId="6">'Ventas MELI'!$X$56</definedName>
    <definedName name="X65X200" localSheetId="5">'Ventas Web'!#REF!</definedName>
    <definedName name="X65X200">'Ventas pre diciembre'!$AC$65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2" i="4" l="1"/>
  <c r="Q29" i="4"/>
  <c r="Q26" i="4"/>
  <c r="Q23" i="4"/>
  <c r="I7" i="3"/>
  <c r="H153" i="4"/>
  <c r="J28" i="2"/>
  <c r="C243" i="13"/>
  <c r="K243" i="13"/>
  <c r="M243" i="13" s="1"/>
  <c r="L243" i="13" s="1"/>
  <c r="M229" i="13"/>
  <c r="M120" i="13"/>
  <c r="M96" i="13"/>
  <c r="H122" i="13"/>
  <c r="H120" i="13"/>
  <c r="G11" i="4"/>
  <c r="M7" i="13"/>
  <c r="H27" i="4"/>
  <c r="H33" i="4"/>
  <c r="H37" i="4"/>
  <c r="H40" i="4"/>
  <c r="H43" i="4"/>
  <c r="H46" i="4"/>
  <c r="H75" i="4"/>
  <c r="H72" i="4"/>
  <c r="H69" i="4"/>
  <c r="H66" i="4"/>
  <c r="K31" i="3"/>
  <c r="J31" i="3" s="1"/>
  <c r="I9" i="6"/>
  <c r="N42" i="2"/>
  <c r="E9" i="6"/>
  <c r="E6" i="4"/>
  <c r="E16" i="4" s="1"/>
  <c r="M150" i="13"/>
  <c r="M50" i="13"/>
  <c r="C229" i="13"/>
  <c r="K229" i="13"/>
  <c r="D9" i="13"/>
  <c r="D7" i="13"/>
  <c r="K7" i="3"/>
  <c r="E104" i="4"/>
  <c r="E117" i="4"/>
  <c r="E120" i="4" s="1"/>
  <c r="E123" i="4" s="1"/>
  <c r="C5" i="17"/>
  <c r="M7" i="16"/>
  <c r="C7" i="16"/>
  <c r="K7" i="16" s="1"/>
  <c r="C49" i="2"/>
  <c r="G7" i="16"/>
  <c r="AA11" i="2"/>
  <c r="D7" i="16"/>
  <c r="G45" i="2"/>
  <c r="Z18" i="16"/>
  <c r="Y18" i="16"/>
  <c r="X18" i="16"/>
  <c r="W18" i="16"/>
  <c r="V18" i="16"/>
  <c r="U18" i="16"/>
  <c r="R5" i="16"/>
  <c r="P5" i="16"/>
  <c r="C46" i="2"/>
  <c r="T13" i="14"/>
  <c r="N13" i="14"/>
  <c r="N48" i="15"/>
  <c r="N47" i="15"/>
  <c r="N46" i="15"/>
  <c r="N45" i="15"/>
  <c r="N44" i="15"/>
  <c r="N43" i="15"/>
  <c r="N42" i="15"/>
  <c r="N41" i="15"/>
  <c r="R41" i="15" s="1"/>
  <c r="S41" i="15" s="1"/>
  <c r="N40" i="15"/>
  <c r="N39" i="15"/>
  <c r="N38" i="15"/>
  <c r="N37" i="15"/>
  <c r="N36" i="15"/>
  <c r="N35" i="15"/>
  <c r="V35" i="15" s="1"/>
  <c r="N34" i="15"/>
  <c r="Q572" i="15"/>
  <c r="Q571" i="15"/>
  <c r="Q570" i="15"/>
  <c r="Q569" i="15"/>
  <c r="Q568" i="15"/>
  <c r="Q567" i="15"/>
  <c r="Q566" i="15"/>
  <c r="Q565" i="15"/>
  <c r="Q564" i="15"/>
  <c r="Q563" i="15"/>
  <c r="Q562" i="15"/>
  <c r="Q561" i="15"/>
  <c r="Q560" i="15"/>
  <c r="Q559" i="15"/>
  <c r="Q558" i="15"/>
  <c r="Q557" i="15"/>
  <c r="Q556" i="15"/>
  <c r="Q555" i="15"/>
  <c r="Q554" i="15"/>
  <c r="Q553" i="15"/>
  <c r="Q552" i="15"/>
  <c r="Q551" i="15"/>
  <c r="Q550" i="15"/>
  <c r="Q549" i="15"/>
  <c r="Q548" i="15"/>
  <c r="Q547" i="15"/>
  <c r="Q546" i="15"/>
  <c r="Q545" i="15"/>
  <c r="Q544" i="15"/>
  <c r="Q543" i="15"/>
  <c r="Q542" i="15"/>
  <c r="Q541" i="15"/>
  <c r="Q540" i="15"/>
  <c r="Q539" i="15"/>
  <c r="Q538" i="15"/>
  <c r="Q537" i="15"/>
  <c r="Q536" i="15"/>
  <c r="Q535" i="15"/>
  <c r="Q534" i="15"/>
  <c r="Q533" i="15"/>
  <c r="Q532" i="15"/>
  <c r="Q531" i="15"/>
  <c r="Q530" i="15"/>
  <c r="Q529" i="15"/>
  <c r="Q528" i="15"/>
  <c r="Q527" i="15"/>
  <c r="Q526" i="15"/>
  <c r="Q525" i="15"/>
  <c r="Q524" i="15"/>
  <c r="Q523" i="15"/>
  <c r="Q522" i="15"/>
  <c r="Q521" i="15"/>
  <c r="Q520" i="15"/>
  <c r="Q519" i="15"/>
  <c r="Q518" i="15"/>
  <c r="Q517" i="15"/>
  <c r="Q516" i="15"/>
  <c r="Q515" i="15"/>
  <c r="Q514" i="15"/>
  <c r="Q513" i="15"/>
  <c r="Q512" i="15"/>
  <c r="Q511" i="15"/>
  <c r="Q510" i="15"/>
  <c r="Q509" i="15"/>
  <c r="Q508" i="15"/>
  <c r="Q507" i="15"/>
  <c r="Q506" i="15"/>
  <c r="Q505" i="15"/>
  <c r="Q504" i="15"/>
  <c r="Q503" i="15"/>
  <c r="Q502" i="15"/>
  <c r="Q501" i="15"/>
  <c r="Q500" i="15"/>
  <c r="Q499" i="15"/>
  <c r="Q498" i="15"/>
  <c r="Q497" i="15"/>
  <c r="Q496" i="15"/>
  <c r="Q495" i="15"/>
  <c r="Q494" i="15"/>
  <c r="Q493" i="15"/>
  <c r="Q492" i="15"/>
  <c r="Q491" i="15"/>
  <c r="Q490" i="15"/>
  <c r="Q489" i="15"/>
  <c r="Q488" i="15"/>
  <c r="Q487" i="15"/>
  <c r="Q486" i="15"/>
  <c r="Q485" i="15"/>
  <c r="Q484" i="15"/>
  <c r="Q483" i="15"/>
  <c r="Q482" i="15"/>
  <c r="Q481" i="15"/>
  <c r="Q480" i="15"/>
  <c r="Q479" i="15"/>
  <c r="Q478" i="15"/>
  <c r="Q477" i="15"/>
  <c r="Q476" i="15"/>
  <c r="Q475" i="15"/>
  <c r="Q474" i="15"/>
  <c r="Q473" i="15"/>
  <c r="Q472" i="15"/>
  <c r="Q471" i="15"/>
  <c r="Q470" i="15"/>
  <c r="Q469" i="15"/>
  <c r="Q468" i="15"/>
  <c r="Q467" i="15"/>
  <c r="Q466" i="15"/>
  <c r="Q465" i="15"/>
  <c r="Q464" i="15"/>
  <c r="Q463" i="15"/>
  <c r="Q462" i="15"/>
  <c r="Q461" i="15"/>
  <c r="Q460" i="15"/>
  <c r="Q459" i="15"/>
  <c r="Q458" i="15"/>
  <c r="Q457" i="15"/>
  <c r="Q456" i="15"/>
  <c r="R456" i="15" s="1"/>
  <c r="T456" i="15" s="1"/>
  <c r="Q455" i="15"/>
  <c r="Q454" i="15"/>
  <c r="R454" i="15" s="1"/>
  <c r="T454" i="15" s="1"/>
  <c r="Q453" i="15"/>
  <c r="R453" i="15" s="1"/>
  <c r="T453" i="15" s="1"/>
  <c r="Q452" i="15"/>
  <c r="Q451" i="15"/>
  <c r="Q450" i="15"/>
  <c r="Q449" i="15"/>
  <c r="Q448" i="15"/>
  <c r="Q447" i="15"/>
  <c r="Q446" i="15"/>
  <c r="R446" i="15" s="1"/>
  <c r="T446" i="15" s="1"/>
  <c r="Q445" i="15"/>
  <c r="R445" i="15" s="1"/>
  <c r="T445" i="15" s="1"/>
  <c r="Q444" i="15"/>
  <c r="Q443" i="15"/>
  <c r="Q442" i="15"/>
  <c r="Q441" i="15"/>
  <c r="Q440" i="15"/>
  <c r="R440" i="15" s="1"/>
  <c r="T440" i="15" s="1"/>
  <c r="Q439" i="15"/>
  <c r="Q438" i="15"/>
  <c r="R438" i="15" s="1"/>
  <c r="T438" i="15" s="1"/>
  <c r="Q437" i="15"/>
  <c r="R437" i="15" s="1"/>
  <c r="T437" i="15" s="1"/>
  <c r="Q436" i="15"/>
  <c r="Q435" i="15"/>
  <c r="Q434" i="15"/>
  <c r="Q433" i="15"/>
  <c r="Q432" i="15"/>
  <c r="R432" i="15" s="1"/>
  <c r="T432" i="15" s="1"/>
  <c r="Q431" i="15"/>
  <c r="Q430" i="15"/>
  <c r="R430" i="15" s="1"/>
  <c r="T430" i="15" s="1"/>
  <c r="Q429" i="15"/>
  <c r="R429" i="15" s="1"/>
  <c r="T429" i="15" s="1"/>
  <c r="Q428" i="15"/>
  <c r="Q427" i="15"/>
  <c r="Q426" i="15"/>
  <c r="Q425" i="15"/>
  <c r="Q424" i="15"/>
  <c r="R424" i="15" s="1"/>
  <c r="T424" i="15" s="1"/>
  <c r="Q423" i="15"/>
  <c r="Q422" i="15"/>
  <c r="R422" i="15" s="1"/>
  <c r="T422" i="15" s="1"/>
  <c r="Q421" i="15"/>
  <c r="R421" i="15" s="1"/>
  <c r="T421" i="15" s="1"/>
  <c r="Q420" i="15"/>
  <c r="Q419" i="15"/>
  <c r="Q418" i="15"/>
  <c r="Q417" i="15"/>
  <c r="Q416" i="15"/>
  <c r="R416" i="15" s="1"/>
  <c r="T416" i="15" s="1"/>
  <c r="Q415" i="15"/>
  <c r="Q414" i="15"/>
  <c r="R414" i="15" s="1"/>
  <c r="T414" i="15" s="1"/>
  <c r="Q413" i="15"/>
  <c r="R413" i="15" s="1"/>
  <c r="T413" i="15" s="1"/>
  <c r="Q412" i="15"/>
  <c r="Q411" i="15"/>
  <c r="Q410" i="15"/>
  <c r="Q409" i="15"/>
  <c r="Q408" i="15"/>
  <c r="Q407" i="15"/>
  <c r="Q406" i="15"/>
  <c r="R406" i="15" s="1"/>
  <c r="T406" i="15" s="1"/>
  <c r="Q405" i="15"/>
  <c r="R405" i="15" s="1"/>
  <c r="T405" i="15" s="1"/>
  <c r="Q404" i="15"/>
  <c r="Q403" i="15"/>
  <c r="Q402" i="15"/>
  <c r="Q401" i="15"/>
  <c r="Q400" i="15"/>
  <c r="R400" i="15" s="1"/>
  <c r="T400" i="15" s="1"/>
  <c r="Q399" i="15"/>
  <c r="Q398" i="15"/>
  <c r="R398" i="15" s="1"/>
  <c r="S398" i="15" s="1"/>
  <c r="Q397" i="15"/>
  <c r="R397" i="15" s="1"/>
  <c r="Q396" i="15"/>
  <c r="Q395" i="15"/>
  <c r="Q394" i="15"/>
  <c r="Q393" i="15"/>
  <c r="Q392" i="15"/>
  <c r="R392" i="15" s="1"/>
  <c r="S392" i="15" s="1"/>
  <c r="Q391" i="15"/>
  <c r="Q390" i="15"/>
  <c r="R390" i="15" s="1"/>
  <c r="S390" i="15" s="1"/>
  <c r="Q389" i="15"/>
  <c r="R389" i="15" s="1"/>
  <c r="Q388" i="15"/>
  <c r="Q387" i="15"/>
  <c r="Q386" i="15"/>
  <c r="Q385" i="15"/>
  <c r="Q384" i="15"/>
  <c r="Q383" i="15"/>
  <c r="Q382" i="15"/>
  <c r="R382" i="15" s="1"/>
  <c r="S382" i="15" s="1"/>
  <c r="Q381" i="15"/>
  <c r="R381" i="15" s="1"/>
  <c r="Q380" i="15"/>
  <c r="Q379" i="15"/>
  <c r="Q378" i="15"/>
  <c r="Q377" i="15"/>
  <c r="Q376" i="15"/>
  <c r="R376" i="15" s="1"/>
  <c r="S376" i="15" s="1"/>
  <c r="Q375" i="15"/>
  <c r="Q374" i="15"/>
  <c r="R374" i="15" s="1"/>
  <c r="S374" i="15" s="1"/>
  <c r="Q373" i="15"/>
  <c r="R373" i="15" s="1"/>
  <c r="Q372" i="15"/>
  <c r="Q371" i="15"/>
  <c r="Q370" i="15"/>
  <c r="Q369" i="15"/>
  <c r="Q368" i="15"/>
  <c r="R368" i="15" s="1"/>
  <c r="S368" i="15" s="1"/>
  <c r="Q367" i="15"/>
  <c r="Q366" i="15"/>
  <c r="R366" i="15" s="1"/>
  <c r="S366" i="15" s="1"/>
  <c r="Q365" i="15"/>
  <c r="R365" i="15" s="1"/>
  <c r="Q364" i="15"/>
  <c r="Q363" i="15"/>
  <c r="Q362" i="15"/>
  <c r="Q361" i="15"/>
  <c r="Q360" i="15"/>
  <c r="R360" i="15" s="1"/>
  <c r="S360" i="15" s="1"/>
  <c r="Q359" i="15"/>
  <c r="Q358" i="15"/>
  <c r="R358" i="15" s="1"/>
  <c r="S358" i="15" s="1"/>
  <c r="Q357" i="15"/>
  <c r="R357" i="15" s="1"/>
  <c r="Q356" i="15"/>
  <c r="Q355" i="15"/>
  <c r="Q354" i="15"/>
  <c r="Q353" i="15"/>
  <c r="Q352" i="15"/>
  <c r="R352" i="15" s="1"/>
  <c r="S352" i="15" s="1"/>
  <c r="Q351" i="15"/>
  <c r="Q350" i="15"/>
  <c r="R350" i="15" s="1"/>
  <c r="S350" i="15" s="1"/>
  <c r="Q349" i="15"/>
  <c r="R349" i="15" s="1"/>
  <c r="Q348" i="15"/>
  <c r="Q347" i="15"/>
  <c r="Q346" i="15"/>
  <c r="Q345" i="15"/>
  <c r="Q344" i="15"/>
  <c r="Q343" i="15"/>
  <c r="Q342" i="15"/>
  <c r="R342" i="15" s="1"/>
  <c r="S342" i="15" s="1"/>
  <c r="Q341" i="15"/>
  <c r="R341" i="15" s="1"/>
  <c r="Q340" i="15"/>
  <c r="Q339" i="15"/>
  <c r="Q338" i="15"/>
  <c r="Q337" i="15"/>
  <c r="Q336" i="15"/>
  <c r="R336" i="15" s="1"/>
  <c r="S336" i="15" s="1"/>
  <c r="Q335" i="15"/>
  <c r="Q334" i="15"/>
  <c r="R334" i="15" s="1"/>
  <c r="S334" i="15" s="1"/>
  <c r="Q333" i="15"/>
  <c r="R333" i="15" s="1"/>
  <c r="Q332" i="15"/>
  <c r="Q331" i="15"/>
  <c r="Q330" i="15"/>
  <c r="Q329" i="15"/>
  <c r="Q328" i="15"/>
  <c r="R328" i="15" s="1"/>
  <c r="S328" i="15" s="1"/>
  <c r="Q327" i="15"/>
  <c r="Q326" i="15"/>
  <c r="R326" i="15" s="1"/>
  <c r="S326" i="15" s="1"/>
  <c r="Q325" i="15"/>
  <c r="R325" i="15" s="1"/>
  <c r="Q324" i="15"/>
  <c r="Q323" i="15"/>
  <c r="Q322" i="15"/>
  <c r="Q321" i="15"/>
  <c r="Q320" i="15"/>
  <c r="Q319" i="15"/>
  <c r="Q318" i="15"/>
  <c r="R318" i="15" s="1"/>
  <c r="S318" i="15" s="1"/>
  <c r="Q317" i="15"/>
  <c r="R317" i="15" s="1"/>
  <c r="Q316" i="15"/>
  <c r="Q315" i="15"/>
  <c r="Q314" i="15"/>
  <c r="Q313" i="15"/>
  <c r="Q312" i="15"/>
  <c r="R312" i="15" s="1"/>
  <c r="S312" i="15" s="1"/>
  <c r="Q311" i="15"/>
  <c r="Q310" i="15"/>
  <c r="R310" i="15" s="1"/>
  <c r="S310" i="15" s="1"/>
  <c r="Q309" i="15"/>
  <c r="R309" i="15" s="1"/>
  <c r="Q308" i="15"/>
  <c r="Q307" i="15"/>
  <c r="Q306" i="15"/>
  <c r="Q305" i="15"/>
  <c r="Q304" i="15"/>
  <c r="R304" i="15" s="1"/>
  <c r="S304" i="15" s="1"/>
  <c r="Q303" i="15"/>
  <c r="Q302" i="15"/>
  <c r="R302" i="15" s="1"/>
  <c r="S302" i="15" s="1"/>
  <c r="Q301" i="15"/>
  <c r="R301" i="15" s="1"/>
  <c r="Q300" i="15"/>
  <c r="Q299" i="15"/>
  <c r="Q298" i="15"/>
  <c r="Q297" i="15"/>
  <c r="Q296" i="15"/>
  <c r="R296" i="15" s="1"/>
  <c r="S296" i="15" s="1"/>
  <c r="Q295" i="15"/>
  <c r="Q294" i="15"/>
  <c r="R294" i="15" s="1"/>
  <c r="S294" i="15" s="1"/>
  <c r="Q293" i="15"/>
  <c r="R293" i="15" s="1"/>
  <c r="Q292" i="15"/>
  <c r="Q291" i="15"/>
  <c r="Q290" i="15"/>
  <c r="Q289" i="15"/>
  <c r="Q288" i="15"/>
  <c r="R288" i="15" s="1"/>
  <c r="S288" i="15" s="1"/>
  <c r="Q287" i="15"/>
  <c r="Q286" i="15"/>
  <c r="R286" i="15" s="1"/>
  <c r="S286" i="15" s="1"/>
  <c r="Q285" i="15"/>
  <c r="R285" i="15" s="1"/>
  <c r="Q284" i="15"/>
  <c r="Q283" i="15"/>
  <c r="Q282" i="15"/>
  <c r="Q281" i="15"/>
  <c r="Q280" i="15"/>
  <c r="Q279" i="15"/>
  <c r="Q278" i="15"/>
  <c r="R278" i="15" s="1"/>
  <c r="S278" i="15" s="1"/>
  <c r="Q277" i="15"/>
  <c r="R277" i="15" s="1"/>
  <c r="Q276" i="15"/>
  <c r="Q275" i="15"/>
  <c r="Q274" i="15"/>
  <c r="Q273" i="15"/>
  <c r="Q272" i="15"/>
  <c r="R272" i="15" s="1"/>
  <c r="S272" i="15" s="1"/>
  <c r="Q271" i="15"/>
  <c r="Q270" i="15"/>
  <c r="R270" i="15" s="1"/>
  <c r="S270" i="15" s="1"/>
  <c r="Q269" i="15"/>
  <c r="R269" i="15" s="1"/>
  <c r="Q268" i="15"/>
  <c r="Q267" i="15"/>
  <c r="Q266" i="15"/>
  <c r="Q265" i="15"/>
  <c r="Q264" i="15"/>
  <c r="R264" i="15" s="1"/>
  <c r="S264" i="15" s="1"/>
  <c r="Q263" i="15"/>
  <c r="Q262" i="15"/>
  <c r="R262" i="15" s="1"/>
  <c r="S262" i="15" s="1"/>
  <c r="Q261" i="15"/>
  <c r="R261" i="15" s="1"/>
  <c r="Q260" i="15"/>
  <c r="Q259" i="15"/>
  <c r="Q258" i="15"/>
  <c r="Q257" i="15"/>
  <c r="Q256" i="15"/>
  <c r="Q255" i="15"/>
  <c r="Q254" i="15"/>
  <c r="R254" i="15" s="1"/>
  <c r="S254" i="15" s="1"/>
  <c r="Q253" i="15"/>
  <c r="R253" i="15" s="1"/>
  <c r="Q252" i="15"/>
  <c r="Q251" i="15"/>
  <c r="Q250" i="15"/>
  <c r="Q249" i="15"/>
  <c r="Q248" i="15"/>
  <c r="Q247" i="15"/>
  <c r="Q246" i="15"/>
  <c r="R246" i="15" s="1"/>
  <c r="S246" i="15" s="1"/>
  <c r="Q245" i="15"/>
  <c r="R245" i="15" s="1"/>
  <c r="Q244" i="15"/>
  <c r="Q243" i="15"/>
  <c r="Q242" i="15"/>
  <c r="Q241" i="15"/>
  <c r="Q240" i="15"/>
  <c r="Q239" i="15"/>
  <c r="Q238" i="15"/>
  <c r="R238" i="15" s="1"/>
  <c r="S238" i="15" s="1"/>
  <c r="Q237" i="15"/>
  <c r="Q236" i="15"/>
  <c r="Q235" i="15"/>
  <c r="Q234" i="15"/>
  <c r="Q233" i="15"/>
  <c r="Q232" i="15"/>
  <c r="Q231" i="15"/>
  <c r="Q230" i="15"/>
  <c r="R230" i="15" s="1"/>
  <c r="S230" i="15" s="1"/>
  <c r="Q229" i="15"/>
  <c r="R229" i="15" s="1"/>
  <c r="Q228" i="15"/>
  <c r="Q227" i="15"/>
  <c r="Q226" i="15"/>
  <c r="Q225" i="15"/>
  <c r="Q224" i="15"/>
  <c r="Q223" i="15"/>
  <c r="Q222" i="15"/>
  <c r="R222" i="15" s="1"/>
  <c r="S222" i="15" s="1"/>
  <c r="Q221" i="15"/>
  <c r="R221" i="15" s="1"/>
  <c r="Q220" i="15"/>
  <c r="Q219" i="15"/>
  <c r="Q218" i="15"/>
  <c r="Q217" i="15"/>
  <c r="Q216" i="15"/>
  <c r="Q215" i="15"/>
  <c r="Q214" i="15"/>
  <c r="R214" i="15" s="1"/>
  <c r="S214" i="15" s="1"/>
  <c r="Q213" i="15"/>
  <c r="R213" i="15" s="1"/>
  <c r="Q212" i="15"/>
  <c r="Q211" i="15"/>
  <c r="Q210" i="15"/>
  <c r="Q209" i="15"/>
  <c r="Q208" i="15"/>
  <c r="Q207" i="15"/>
  <c r="Q206" i="15"/>
  <c r="R206" i="15" s="1"/>
  <c r="S206" i="15" s="1"/>
  <c r="Q205" i="15"/>
  <c r="R205" i="15" s="1"/>
  <c r="Q204" i="15"/>
  <c r="Q203" i="15"/>
  <c r="Q202" i="15"/>
  <c r="Q201" i="15"/>
  <c r="Q200" i="15"/>
  <c r="Q199" i="15"/>
  <c r="Q198" i="15"/>
  <c r="R198" i="15" s="1"/>
  <c r="S198" i="15" s="1"/>
  <c r="Q197" i="15"/>
  <c r="R197" i="15" s="1"/>
  <c r="Q196" i="15"/>
  <c r="Q195" i="15"/>
  <c r="Q194" i="15"/>
  <c r="Q193" i="15"/>
  <c r="Q192" i="15"/>
  <c r="Q191" i="15"/>
  <c r="Q190" i="15"/>
  <c r="R190" i="15" s="1"/>
  <c r="S190" i="15" s="1"/>
  <c r="Q189" i="15"/>
  <c r="R189" i="15" s="1"/>
  <c r="Q188" i="15"/>
  <c r="Q187" i="15"/>
  <c r="Q186" i="15"/>
  <c r="Q185" i="15"/>
  <c r="Q184" i="15"/>
  <c r="Q183" i="15"/>
  <c r="Q182" i="15"/>
  <c r="R182" i="15" s="1"/>
  <c r="S182" i="15" s="1"/>
  <c r="Q181" i="15"/>
  <c r="R181" i="15" s="1"/>
  <c r="Q180" i="15"/>
  <c r="Q179" i="15"/>
  <c r="Q178" i="15"/>
  <c r="Q177" i="15"/>
  <c r="Q176" i="15"/>
  <c r="Q175" i="15"/>
  <c r="Q174" i="15"/>
  <c r="R174" i="15" s="1"/>
  <c r="S174" i="15" s="1"/>
  <c r="Q173" i="15"/>
  <c r="R173" i="15" s="1"/>
  <c r="Q172" i="15"/>
  <c r="Q171" i="15"/>
  <c r="Q170" i="15"/>
  <c r="Q169" i="15"/>
  <c r="Q168" i="15"/>
  <c r="Q167" i="15"/>
  <c r="Q166" i="15"/>
  <c r="R166" i="15" s="1"/>
  <c r="S166" i="15" s="1"/>
  <c r="Q165" i="15"/>
  <c r="Q164" i="15"/>
  <c r="Q163" i="15"/>
  <c r="Q162" i="15"/>
  <c r="Q161" i="15"/>
  <c r="Q160" i="15"/>
  <c r="Q159" i="15"/>
  <c r="Q158" i="15"/>
  <c r="R158" i="15" s="1"/>
  <c r="S158" i="15" s="1"/>
  <c r="Q157" i="15"/>
  <c r="Q156" i="15"/>
  <c r="Q155" i="15"/>
  <c r="Q154" i="15"/>
  <c r="Q153" i="15"/>
  <c r="Q152" i="15"/>
  <c r="Q151" i="15"/>
  <c r="Q150" i="15"/>
  <c r="R150" i="15" s="1"/>
  <c r="S150" i="15" s="1"/>
  <c r="Q149" i="15"/>
  <c r="Q148" i="15"/>
  <c r="Q147" i="15"/>
  <c r="Q146" i="15"/>
  <c r="Q145" i="15"/>
  <c r="Q144" i="15"/>
  <c r="Q143" i="15"/>
  <c r="Q142" i="15"/>
  <c r="R142" i="15" s="1"/>
  <c r="S142" i="15" s="1"/>
  <c r="Q141" i="15"/>
  <c r="Q140" i="15"/>
  <c r="Q139" i="15"/>
  <c r="Q138" i="15"/>
  <c r="Q137" i="15"/>
  <c r="Q136" i="15"/>
  <c r="Q135" i="15"/>
  <c r="Q134" i="15"/>
  <c r="R134" i="15" s="1"/>
  <c r="S134" i="15" s="1"/>
  <c r="Q133" i="15"/>
  <c r="Q132" i="15"/>
  <c r="Q131" i="15"/>
  <c r="Q130" i="15"/>
  <c r="Q129" i="15"/>
  <c r="Q128" i="15"/>
  <c r="Q127" i="15"/>
  <c r="Q126" i="15"/>
  <c r="R126" i="15" s="1"/>
  <c r="S126" i="15" s="1"/>
  <c r="Q125" i="15"/>
  <c r="Q124" i="15"/>
  <c r="Q123" i="15"/>
  <c r="Q122" i="15"/>
  <c r="Q121" i="15"/>
  <c r="Q120" i="15"/>
  <c r="Q119" i="15"/>
  <c r="Q118" i="15"/>
  <c r="R118" i="15" s="1"/>
  <c r="S118" i="15" s="1"/>
  <c r="Q117" i="15"/>
  <c r="Q116" i="15"/>
  <c r="Q115" i="15"/>
  <c r="Q114" i="15"/>
  <c r="Q113" i="15"/>
  <c r="Q112" i="15"/>
  <c r="Q111" i="15"/>
  <c r="Q110" i="15"/>
  <c r="R110" i="15" s="1"/>
  <c r="S110" i="15" s="1"/>
  <c r="Q109" i="15"/>
  <c r="Q108" i="15"/>
  <c r="Q107" i="15"/>
  <c r="Q106" i="15"/>
  <c r="Q105" i="15"/>
  <c r="Q104" i="15"/>
  <c r="Q103" i="15"/>
  <c r="Q102" i="15"/>
  <c r="R102" i="15" s="1"/>
  <c r="S102" i="15" s="1"/>
  <c r="Q101" i="15"/>
  <c r="Q100" i="15"/>
  <c r="Q99" i="15"/>
  <c r="Q98" i="15"/>
  <c r="Q97" i="15"/>
  <c r="Q96" i="15"/>
  <c r="Q95" i="15"/>
  <c r="Q94" i="15"/>
  <c r="R94" i="15" s="1"/>
  <c r="S94" i="15" s="1"/>
  <c r="Q93" i="15"/>
  <c r="Q92" i="15"/>
  <c r="Q91" i="15"/>
  <c r="Q90" i="15"/>
  <c r="Q89" i="15"/>
  <c r="Q88" i="15"/>
  <c r="Q87" i="15"/>
  <c r="Q86" i="15"/>
  <c r="R86" i="15" s="1"/>
  <c r="S86" i="15" s="1"/>
  <c r="Q85" i="15"/>
  <c r="Q84" i="15"/>
  <c r="Q83" i="15"/>
  <c r="Q82" i="15"/>
  <c r="Q81" i="15"/>
  <c r="Q80" i="15"/>
  <c r="Q79" i="15"/>
  <c r="Q78" i="15"/>
  <c r="R78" i="15" s="1"/>
  <c r="S78" i="15" s="1"/>
  <c r="Q77" i="15"/>
  <c r="Q76" i="15"/>
  <c r="Q75" i="15"/>
  <c r="Q74" i="15"/>
  <c r="Q73" i="15"/>
  <c r="Q72" i="15"/>
  <c r="Q71" i="15"/>
  <c r="Q70" i="15"/>
  <c r="R70" i="15" s="1"/>
  <c r="S70" i="15" s="1"/>
  <c r="Q69" i="15"/>
  <c r="Q68" i="15"/>
  <c r="Q67" i="15"/>
  <c r="Q66" i="15"/>
  <c r="Q65" i="15"/>
  <c r="Q64" i="15"/>
  <c r="Q63" i="15"/>
  <c r="Q62" i="15"/>
  <c r="R62" i="15" s="1"/>
  <c r="S62" i="15" s="1"/>
  <c r="Q61" i="15"/>
  <c r="Q60" i="15"/>
  <c r="Q59" i="15"/>
  <c r="Q58" i="15"/>
  <c r="Q57" i="15"/>
  <c r="Q56" i="15"/>
  <c r="Q55" i="15"/>
  <c r="Q54" i="15"/>
  <c r="R54" i="15" s="1"/>
  <c r="S54" i="15" s="1"/>
  <c r="Q53" i="15"/>
  <c r="Q52" i="15"/>
  <c r="Q51" i="15"/>
  <c r="Q50" i="15"/>
  <c r="Q49" i="15"/>
  <c r="Q48" i="15"/>
  <c r="R48" i="15" s="1"/>
  <c r="Q47" i="15"/>
  <c r="R47" i="15" s="1"/>
  <c r="Q46" i="15"/>
  <c r="R46" i="15" s="1"/>
  <c r="S46" i="15" s="1"/>
  <c r="Q45" i="15"/>
  <c r="R45" i="15" s="1"/>
  <c r="Q44" i="15"/>
  <c r="R44" i="15" s="1"/>
  <c r="T44" i="15" s="1"/>
  <c r="Q43" i="15"/>
  <c r="R43" i="15" s="1"/>
  <c r="S43" i="15" s="1"/>
  <c r="Q42" i="15"/>
  <c r="R42" i="15" s="1"/>
  <c r="T42" i="15" s="1"/>
  <c r="Q41" i="15"/>
  <c r="Q40" i="15"/>
  <c r="R40" i="15" s="1"/>
  <c r="Q39" i="15"/>
  <c r="R39" i="15" s="1"/>
  <c r="Q38" i="15"/>
  <c r="R38" i="15" s="1"/>
  <c r="S38" i="15" s="1"/>
  <c r="Q37" i="15"/>
  <c r="R37" i="15" s="1"/>
  <c r="Q36" i="15"/>
  <c r="Q35" i="15"/>
  <c r="Q34" i="15"/>
  <c r="R34" i="15" s="1"/>
  <c r="T34" i="15" s="1"/>
  <c r="Q33" i="15"/>
  <c r="Q32" i="15"/>
  <c r="T710" i="15"/>
  <c r="T709" i="15"/>
  <c r="T708" i="15"/>
  <c r="T707" i="15"/>
  <c r="T706" i="15"/>
  <c r="T705" i="15"/>
  <c r="T704" i="15"/>
  <c r="T703" i="15"/>
  <c r="T702" i="15"/>
  <c r="T701" i="15"/>
  <c r="T700" i="15"/>
  <c r="T699" i="15"/>
  <c r="T698" i="15"/>
  <c r="T697" i="15"/>
  <c r="T696" i="15"/>
  <c r="T695" i="15"/>
  <c r="T694" i="15"/>
  <c r="T693" i="15"/>
  <c r="T692" i="15"/>
  <c r="T691" i="15"/>
  <c r="T690" i="15"/>
  <c r="T689" i="15"/>
  <c r="T688" i="15"/>
  <c r="T687" i="15"/>
  <c r="T686" i="15"/>
  <c r="T685" i="15"/>
  <c r="T684" i="15"/>
  <c r="T683" i="15"/>
  <c r="T682" i="15"/>
  <c r="T681" i="15"/>
  <c r="T680" i="15"/>
  <c r="T679" i="15"/>
  <c r="T678" i="15"/>
  <c r="T677" i="15"/>
  <c r="T676" i="15"/>
  <c r="T675" i="15"/>
  <c r="T674" i="15"/>
  <c r="T673" i="15"/>
  <c r="T672" i="15"/>
  <c r="T671" i="15"/>
  <c r="T670" i="15"/>
  <c r="T669" i="15"/>
  <c r="T668" i="15"/>
  <c r="T667" i="15"/>
  <c r="T666" i="15"/>
  <c r="T665" i="15"/>
  <c r="T664" i="15"/>
  <c r="T663" i="15"/>
  <c r="T662" i="15"/>
  <c r="T661" i="15"/>
  <c r="T660" i="15"/>
  <c r="T659" i="15"/>
  <c r="T658" i="15"/>
  <c r="T657" i="15"/>
  <c r="T656" i="15"/>
  <c r="T655" i="15"/>
  <c r="T654" i="15"/>
  <c r="T653" i="15"/>
  <c r="T652" i="15"/>
  <c r="T651" i="15"/>
  <c r="T650" i="15"/>
  <c r="T649" i="15"/>
  <c r="T648" i="15"/>
  <c r="T647" i="15"/>
  <c r="T646" i="15"/>
  <c r="T645" i="15"/>
  <c r="T644" i="15"/>
  <c r="T643" i="15"/>
  <c r="T642" i="15"/>
  <c r="T641" i="15"/>
  <c r="T640" i="15"/>
  <c r="T639" i="15"/>
  <c r="T638" i="15"/>
  <c r="T637" i="15"/>
  <c r="T636" i="15"/>
  <c r="T635" i="15"/>
  <c r="T634" i="15"/>
  <c r="T633" i="15"/>
  <c r="T632" i="15"/>
  <c r="T631" i="15"/>
  <c r="T630" i="15"/>
  <c r="T629" i="15"/>
  <c r="T628" i="15"/>
  <c r="T627" i="15"/>
  <c r="T626" i="15"/>
  <c r="T625" i="15"/>
  <c r="T624" i="15"/>
  <c r="T623" i="15"/>
  <c r="T622" i="15"/>
  <c r="T621" i="15"/>
  <c r="T620" i="15"/>
  <c r="T619" i="15"/>
  <c r="T618" i="15"/>
  <c r="T617" i="15"/>
  <c r="T616" i="15"/>
  <c r="T615" i="15"/>
  <c r="T614" i="15"/>
  <c r="T613" i="15"/>
  <c r="T612" i="15"/>
  <c r="T611" i="15"/>
  <c r="T610" i="15"/>
  <c r="T609" i="15"/>
  <c r="T608" i="15"/>
  <c r="T607" i="15"/>
  <c r="T606" i="15"/>
  <c r="T605" i="15"/>
  <c r="T604" i="15"/>
  <c r="T603" i="15"/>
  <c r="T602" i="15"/>
  <c r="T601" i="15"/>
  <c r="T600" i="15"/>
  <c r="T599" i="15"/>
  <c r="T598" i="15"/>
  <c r="T597" i="15"/>
  <c r="T596" i="15"/>
  <c r="T595" i="15"/>
  <c r="T594" i="15"/>
  <c r="T593" i="15"/>
  <c r="T592" i="15"/>
  <c r="T591" i="15"/>
  <c r="T590" i="15"/>
  <c r="T589" i="15"/>
  <c r="T588" i="15"/>
  <c r="T587" i="15"/>
  <c r="T586" i="15"/>
  <c r="T585" i="15"/>
  <c r="T584" i="15"/>
  <c r="T583" i="15"/>
  <c r="T582" i="15"/>
  <c r="T581" i="15"/>
  <c r="T580" i="15"/>
  <c r="T579" i="15"/>
  <c r="T578" i="15"/>
  <c r="T577" i="15"/>
  <c r="T576" i="15"/>
  <c r="T575" i="15"/>
  <c r="T574" i="15"/>
  <c r="T573" i="15"/>
  <c r="T572" i="15"/>
  <c r="T571" i="15"/>
  <c r="T570" i="15"/>
  <c r="T569" i="15"/>
  <c r="T568" i="15"/>
  <c r="T567" i="15"/>
  <c r="T566" i="15"/>
  <c r="T565" i="15"/>
  <c r="T564" i="15"/>
  <c r="T563" i="15"/>
  <c r="T562" i="15"/>
  <c r="T561" i="15"/>
  <c r="T560" i="15"/>
  <c r="T559" i="15"/>
  <c r="T558" i="15"/>
  <c r="T557" i="15"/>
  <c r="T556" i="15"/>
  <c r="T555" i="15"/>
  <c r="T554" i="15"/>
  <c r="T553" i="15"/>
  <c r="T552" i="15"/>
  <c r="T551" i="15"/>
  <c r="T550" i="15"/>
  <c r="T549" i="15"/>
  <c r="T548" i="15"/>
  <c r="T547" i="15"/>
  <c r="T546" i="15"/>
  <c r="T545" i="15"/>
  <c r="T544" i="15"/>
  <c r="T543" i="15"/>
  <c r="T542" i="15"/>
  <c r="T541" i="15"/>
  <c r="T540" i="15"/>
  <c r="T539" i="15"/>
  <c r="T538" i="15"/>
  <c r="T537" i="15"/>
  <c r="T536" i="15"/>
  <c r="T535" i="15"/>
  <c r="T534" i="15"/>
  <c r="T533" i="15"/>
  <c r="T532" i="15"/>
  <c r="T531" i="15"/>
  <c r="T530" i="15"/>
  <c r="T529" i="15"/>
  <c r="T528" i="15"/>
  <c r="T527" i="15"/>
  <c r="T526" i="15"/>
  <c r="T525" i="15"/>
  <c r="T524" i="15"/>
  <c r="T523" i="15"/>
  <c r="T522" i="15"/>
  <c r="T521" i="15"/>
  <c r="T520" i="15"/>
  <c r="T519" i="15"/>
  <c r="T518" i="15"/>
  <c r="T517" i="15"/>
  <c r="T516" i="15"/>
  <c r="T515" i="15"/>
  <c r="T514" i="15"/>
  <c r="T513" i="15"/>
  <c r="T512" i="15"/>
  <c r="T511" i="15"/>
  <c r="T510" i="15"/>
  <c r="T509" i="15"/>
  <c r="T508" i="15"/>
  <c r="T507" i="15"/>
  <c r="T506" i="15"/>
  <c r="T505" i="15"/>
  <c r="T504" i="15"/>
  <c r="T503" i="15"/>
  <c r="T502" i="15"/>
  <c r="T501" i="15"/>
  <c r="T500" i="15"/>
  <c r="T499" i="15"/>
  <c r="T498" i="15"/>
  <c r="T497" i="15"/>
  <c r="T496" i="15"/>
  <c r="T495" i="15"/>
  <c r="T494" i="15"/>
  <c r="T493" i="15"/>
  <c r="T492" i="15"/>
  <c r="T491" i="15"/>
  <c r="T490" i="15"/>
  <c r="T489" i="15"/>
  <c r="T488" i="15"/>
  <c r="T487" i="15"/>
  <c r="T486" i="15"/>
  <c r="T485" i="15"/>
  <c r="T484" i="15"/>
  <c r="T483" i="15"/>
  <c r="T482" i="15"/>
  <c r="T481" i="15"/>
  <c r="T480" i="15"/>
  <c r="T479" i="15"/>
  <c r="T478" i="15"/>
  <c r="T477" i="15"/>
  <c r="T476" i="15"/>
  <c r="T475" i="15"/>
  <c r="T474" i="15"/>
  <c r="T473" i="15"/>
  <c r="T472" i="15"/>
  <c r="T471" i="15"/>
  <c r="T470" i="15"/>
  <c r="T469" i="15"/>
  <c r="T468" i="15"/>
  <c r="T467" i="15"/>
  <c r="T466" i="15"/>
  <c r="T465" i="15"/>
  <c r="T464" i="15"/>
  <c r="T463" i="15"/>
  <c r="T462" i="15"/>
  <c r="T461" i="15"/>
  <c r="T460" i="15"/>
  <c r="T459" i="15"/>
  <c r="T458" i="15"/>
  <c r="T457" i="15"/>
  <c r="T356" i="15"/>
  <c r="T300" i="15"/>
  <c r="T84" i="15"/>
  <c r="T31" i="15"/>
  <c r="T30" i="15"/>
  <c r="L302" i="14"/>
  <c r="L301" i="14"/>
  <c r="L300" i="14"/>
  <c r="L299" i="14"/>
  <c r="L298" i="14"/>
  <c r="L297" i="14"/>
  <c r="L296" i="14"/>
  <c r="N296" i="14" s="1"/>
  <c r="U296" i="14" s="1"/>
  <c r="L295" i="14"/>
  <c r="L294" i="14"/>
  <c r="L293" i="14"/>
  <c r="L292" i="14"/>
  <c r="L291" i="14"/>
  <c r="L290" i="14"/>
  <c r="L289" i="14"/>
  <c r="L288" i="14"/>
  <c r="N288" i="14" s="1"/>
  <c r="U288" i="14" s="1"/>
  <c r="L287" i="14"/>
  <c r="L286" i="14"/>
  <c r="L285" i="14"/>
  <c r="L284" i="14"/>
  <c r="L283" i="14"/>
  <c r="L282" i="14"/>
  <c r="L281" i="14"/>
  <c r="L280" i="14"/>
  <c r="N280" i="14" s="1"/>
  <c r="U280" i="14" s="1"/>
  <c r="L279" i="14"/>
  <c r="L278" i="14"/>
  <c r="L277" i="14"/>
  <c r="L276" i="14"/>
  <c r="L275" i="14"/>
  <c r="L274" i="14"/>
  <c r="L273" i="14"/>
  <c r="L272" i="14"/>
  <c r="N272" i="14" s="1"/>
  <c r="U272" i="14" s="1"/>
  <c r="L271" i="14"/>
  <c r="L270" i="14"/>
  <c r="L269" i="14"/>
  <c r="L268" i="14"/>
  <c r="L267" i="14"/>
  <c r="L266" i="14"/>
  <c r="L265" i="14"/>
  <c r="L264" i="14"/>
  <c r="N264" i="14" s="1"/>
  <c r="U264" i="14" s="1"/>
  <c r="L263" i="14"/>
  <c r="L262" i="14"/>
  <c r="L261" i="14"/>
  <c r="L260" i="14"/>
  <c r="L259" i="14"/>
  <c r="L258" i="14"/>
  <c r="L257" i="14"/>
  <c r="L256" i="14"/>
  <c r="N256" i="14" s="1"/>
  <c r="U256" i="14" s="1"/>
  <c r="L255" i="14"/>
  <c r="L254" i="14"/>
  <c r="L253" i="14"/>
  <c r="L252" i="14"/>
  <c r="L251" i="14"/>
  <c r="L250" i="14"/>
  <c r="L249" i="14"/>
  <c r="L248" i="14"/>
  <c r="N248" i="14" s="1"/>
  <c r="U248" i="14" s="1"/>
  <c r="L247" i="14"/>
  <c r="L246" i="14"/>
  <c r="L245" i="14"/>
  <c r="L244" i="14"/>
  <c r="L243" i="14"/>
  <c r="L242" i="14"/>
  <c r="L241" i="14"/>
  <c r="L240" i="14"/>
  <c r="N240" i="14" s="1"/>
  <c r="U240" i="14" s="1"/>
  <c r="L239" i="14"/>
  <c r="L238" i="14"/>
  <c r="L237" i="14"/>
  <c r="L236" i="14"/>
  <c r="L235" i="14"/>
  <c r="L234" i="14"/>
  <c r="L233" i="14"/>
  <c r="L232" i="14"/>
  <c r="N232" i="14" s="1"/>
  <c r="U232" i="14" s="1"/>
  <c r="L231" i="14"/>
  <c r="L230" i="14"/>
  <c r="L229" i="14"/>
  <c r="L228" i="14"/>
  <c r="L227" i="14"/>
  <c r="L226" i="14"/>
  <c r="L225" i="14"/>
  <c r="L224" i="14"/>
  <c r="N224" i="14" s="1"/>
  <c r="U224" i="14" s="1"/>
  <c r="L223" i="14"/>
  <c r="L222" i="14"/>
  <c r="L221" i="14"/>
  <c r="L220" i="14"/>
  <c r="L219" i="14"/>
  <c r="L218" i="14"/>
  <c r="L217" i="14"/>
  <c r="L216" i="14"/>
  <c r="N216" i="14" s="1"/>
  <c r="U216" i="14" s="1"/>
  <c r="L215" i="14"/>
  <c r="L214" i="14"/>
  <c r="L213" i="14"/>
  <c r="L212" i="14"/>
  <c r="L211" i="14"/>
  <c r="L210" i="14"/>
  <c r="L209" i="14"/>
  <c r="L208" i="14"/>
  <c r="N208" i="14" s="1"/>
  <c r="U208" i="14" s="1"/>
  <c r="L207" i="14"/>
  <c r="L206" i="14"/>
  <c r="L205" i="14"/>
  <c r="L204" i="14"/>
  <c r="L203" i="14"/>
  <c r="L202" i="14"/>
  <c r="L201" i="14"/>
  <c r="L200" i="14"/>
  <c r="N200" i="14" s="1"/>
  <c r="U200" i="14" s="1"/>
  <c r="L199" i="14"/>
  <c r="L198" i="14"/>
  <c r="L197" i="14"/>
  <c r="L196" i="14"/>
  <c r="L195" i="14"/>
  <c r="L194" i="14"/>
  <c r="L193" i="14"/>
  <c r="L192" i="14"/>
  <c r="N192" i="14" s="1"/>
  <c r="U192" i="14" s="1"/>
  <c r="L191" i="14"/>
  <c r="L190" i="14"/>
  <c r="L189" i="14"/>
  <c r="L188" i="14"/>
  <c r="L187" i="14"/>
  <c r="L186" i="14"/>
  <c r="L185" i="14"/>
  <c r="L184" i="14"/>
  <c r="N184" i="14" s="1"/>
  <c r="U184" i="14" s="1"/>
  <c r="L183" i="14"/>
  <c r="L182" i="14"/>
  <c r="L181" i="14"/>
  <c r="L180" i="14"/>
  <c r="L179" i="14"/>
  <c r="L178" i="14"/>
  <c r="L177" i="14"/>
  <c r="L176" i="14"/>
  <c r="N176" i="14" s="1"/>
  <c r="U176" i="14" s="1"/>
  <c r="L175" i="14"/>
  <c r="L174" i="14"/>
  <c r="L173" i="14"/>
  <c r="L172" i="14"/>
  <c r="L171" i="14"/>
  <c r="L170" i="14"/>
  <c r="L169" i="14"/>
  <c r="L168" i="14"/>
  <c r="N168" i="14" s="1"/>
  <c r="U168" i="14" s="1"/>
  <c r="L167" i="14"/>
  <c r="L166" i="14"/>
  <c r="L165" i="14"/>
  <c r="L164" i="14"/>
  <c r="L163" i="14"/>
  <c r="L162" i="14"/>
  <c r="L161" i="14"/>
  <c r="L160" i="14"/>
  <c r="N160" i="14" s="1"/>
  <c r="U160" i="14" s="1"/>
  <c r="L159" i="14"/>
  <c r="L158" i="14"/>
  <c r="L157" i="14"/>
  <c r="L156" i="14"/>
  <c r="L155" i="14"/>
  <c r="L154" i="14"/>
  <c r="L153" i="14"/>
  <c r="L152" i="14"/>
  <c r="N152" i="14" s="1"/>
  <c r="U152" i="14" s="1"/>
  <c r="L151" i="14"/>
  <c r="L150" i="14"/>
  <c r="L149" i="14"/>
  <c r="L148" i="14"/>
  <c r="L147" i="14"/>
  <c r="L146" i="14"/>
  <c r="L145" i="14"/>
  <c r="L144" i="14"/>
  <c r="N144" i="14" s="1"/>
  <c r="U144" i="14" s="1"/>
  <c r="L143" i="14"/>
  <c r="L142" i="14"/>
  <c r="L141" i="14"/>
  <c r="L140" i="14"/>
  <c r="L139" i="14"/>
  <c r="L138" i="14"/>
  <c r="L137" i="14"/>
  <c r="L136" i="14"/>
  <c r="N136" i="14" s="1"/>
  <c r="U136" i="14" s="1"/>
  <c r="L135" i="14"/>
  <c r="L134" i="14"/>
  <c r="L133" i="14"/>
  <c r="L132" i="14"/>
  <c r="L131" i="14"/>
  <c r="L130" i="14"/>
  <c r="L129" i="14"/>
  <c r="L128" i="14"/>
  <c r="N128" i="14" s="1"/>
  <c r="U128" i="14" s="1"/>
  <c r="L127" i="14"/>
  <c r="L126" i="14"/>
  <c r="L125" i="14"/>
  <c r="L124" i="14"/>
  <c r="L123" i="14"/>
  <c r="L122" i="14"/>
  <c r="L121" i="14"/>
  <c r="L120" i="14"/>
  <c r="N120" i="14" s="1"/>
  <c r="U120" i="14" s="1"/>
  <c r="L119" i="14"/>
  <c r="L118" i="14"/>
  <c r="L117" i="14"/>
  <c r="L116" i="14"/>
  <c r="L115" i="14"/>
  <c r="L114" i="14"/>
  <c r="L113" i="14"/>
  <c r="L112" i="14"/>
  <c r="N112" i="14" s="1"/>
  <c r="U112" i="14" s="1"/>
  <c r="L111" i="14"/>
  <c r="L110" i="14"/>
  <c r="L109" i="14"/>
  <c r="L108" i="14"/>
  <c r="L107" i="14"/>
  <c r="L106" i="14"/>
  <c r="L105" i="14"/>
  <c r="L104" i="14"/>
  <c r="N104" i="14" s="1"/>
  <c r="U104" i="14" s="1"/>
  <c r="L103" i="14"/>
  <c r="L102" i="14"/>
  <c r="L101" i="14"/>
  <c r="L100" i="14"/>
  <c r="L99" i="14"/>
  <c r="L98" i="14"/>
  <c r="L97" i="14"/>
  <c r="L96" i="14"/>
  <c r="N96" i="14" s="1"/>
  <c r="U96" i="14" s="1"/>
  <c r="L95" i="14"/>
  <c r="L94" i="14"/>
  <c r="L93" i="14"/>
  <c r="L92" i="14"/>
  <c r="L91" i="14"/>
  <c r="L90" i="14"/>
  <c r="L89" i="14"/>
  <c r="L88" i="14"/>
  <c r="N88" i="14" s="1"/>
  <c r="U88" i="14" s="1"/>
  <c r="L87" i="14"/>
  <c r="L86" i="14"/>
  <c r="L85" i="14"/>
  <c r="L84" i="14"/>
  <c r="L83" i="14"/>
  <c r="L82" i="14"/>
  <c r="L81" i="14"/>
  <c r="L80" i="14"/>
  <c r="N80" i="14" s="1"/>
  <c r="U80" i="14" s="1"/>
  <c r="L79" i="14"/>
  <c r="L78" i="14"/>
  <c r="L77" i="14"/>
  <c r="L76" i="14"/>
  <c r="L75" i="14"/>
  <c r="L74" i="14"/>
  <c r="L73" i="14"/>
  <c r="L72" i="14"/>
  <c r="N72" i="14" s="1"/>
  <c r="U72" i="14" s="1"/>
  <c r="L71" i="14"/>
  <c r="L70" i="14"/>
  <c r="L69" i="14"/>
  <c r="L68" i="14"/>
  <c r="L67" i="14"/>
  <c r="L66" i="14"/>
  <c r="L65" i="14"/>
  <c r="L64" i="14"/>
  <c r="N64" i="14" s="1"/>
  <c r="U64" i="14" s="1"/>
  <c r="L63" i="14"/>
  <c r="L62" i="14"/>
  <c r="L61" i="14"/>
  <c r="L60" i="14"/>
  <c r="L59" i="14"/>
  <c r="L58" i="14"/>
  <c r="L57" i="14"/>
  <c r="L56" i="14"/>
  <c r="N56" i="14" s="1"/>
  <c r="U56" i="14" s="1"/>
  <c r="L55" i="14"/>
  <c r="L54" i="14"/>
  <c r="L53" i="14"/>
  <c r="L52" i="14"/>
  <c r="L51" i="14"/>
  <c r="L50" i="14"/>
  <c r="L49" i="14"/>
  <c r="L48" i="14"/>
  <c r="N48" i="14" s="1"/>
  <c r="U48" i="14" s="1"/>
  <c r="L47" i="14"/>
  <c r="L46" i="14"/>
  <c r="L45" i="14"/>
  <c r="L44" i="14"/>
  <c r="L43" i="14"/>
  <c r="L42" i="14"/>
  <c r="L41" i="14"/>
  <c r="L40" i="14"/>
  <c r="N40" i="14" s="1"/>
  <c r="U40" i="14" s="1"/>
  <c r="L39" i="14"/>
  <c r="L38" i="14"/>
  <c r="L37" i="14"/>
  <c r="L36" i="14"/>
  <c r="L35" i="14"/>
  <c r="L34" i="14"/>
  <c r="L33" i="14"/>
  <c r="L32" i="14"/>
  <c r="N32" i="14" s="1"/>
  <c r="U32" i="14" s="1"/>
  <c r="L31" i="14"/>
  <c r="L30" i="14"/>
  <c r="L29" i="14"/>
  <c r="L28" i="14"/>
  <c r="L27" i="14"/>
  <c r="L26" i="14"/>
  <c r="L25" i="14"/>
  <c r="L24" i="14"/>
  <c r="N24" i="14" s="1"/>
  <c r="U24" i="14" s="1"/>
  <c r="L23" i="14"/>
  <c r="L22" i="14"/>
  <c r="L21" i="14"/>
  <c r="L20" i="14"/>
  <c r="L19" i="14"/>
  <c r="L18" i="14"/>
  <c r="L17" i="14"/>
  <c r="L16" i="14"/>
  <c r="N16" i="14" s="1"/>
  <c r="U16" i="14" s="1"/>
  <c r="L15" i="14"/>
  <c r="L14" i="14"/>
  <c r="N14" i="14" s="1"/>
  <c r="U14" i="14" s="1"/>
  <c r="L12" i="14"/>
  <c r="L11" i="14"/>
  <c r="L10" i="14"/>
  <c r="AE22" i="14"/>
  <c r="AD22" i="14"/>
  <c r="AE8" i="14"/>
  <c r="AE21" i="14"/>
  <c r="AE20" i="14"/>
  <c r="AE19" i="14"/>
  <c r="AE18" i="14"/>
  <c r="AE17" i="14"/>
  <c r="AE16" i="14"/>
  <c r="AE15" i="14"/>
  <c r="AE14" i="14"/>
  <c r="AE13" i="14"/>
  <c r="AE12" i="14"/>
  <c r="AE11" i="14"/>
  <c r="AE10" i="14"/>
  <c r="AE9" i="14"/>
  <c r="AE6" i="14"/>
  <c r="L13" i="14" s="1"/>
  <c r="P600" i="14"/>
  <c r="P599" i="14"/>
  <c r="P598" i="14"/>
  <c r="P597" i="14"/>
  <c r="P596" i="14"/>
  <c r="P595" i="14"/>
  <c r="P594" i="14"/>
  <c r="P593" i="14"/>
  <c r="P592" i="14"/>
  <c r="P591" i="14"/>
  <c r="P590" i="14"/>
  <c r="P589" i="14"/>
  <c r="P588" i="14"/>
  <c r="P587" i="14"/>
  <c r="P586" i="14"/>
  <c r="P585" i="14"/>
  <c r="P584" i="14"/>
  <c r="P583" i="14"/>
  <c r="P582" i="14"/>
  <c r="P581" i="14"/>
  <c r="P580" i="14"/>
  <c r="P579" i="14"/>
  <c r="P578" i="14"/>
  <c r="P577" i="14"/>
  <c r="P576" i="14"/>
  <c r="P575" i="14"/>
  <c r="P574" i="14"/>
  <c r="P573" i="14"/>
  <c r="P572" i="14"/>
  <c r="P571" i="14"/>
  <c r="P570" i="14"/>
  <c r="P569" i="14"/>
  <c r="P568" i="14"/>
  <c r="P567" i="14"/>
  <c r="P566" i="14"/>
  <c r="P565" i="14"/>
  <c r="P564" i="14"/>
  <c r="P563" i="14"/>
  <c r="P562" i="14"/>
  <c r="P561" i="14"/>
  <c r="P560" i="14"/>
  <c r="P559" i="14"/>
  <c r="P558" i="14"/>
  <c r="P557" i="14"/>
  <c r="P556" i="14"/>
  <c r="P555" i="14"/>
  <c r="P554" i="14"/>
  <c r="P553" i="14"/>
  <c r="P552" i="14"/>
  <c r="P551" i="14"/>
  <c r="P550" i="14"/>
  <c r="P549" i="14"/>
  <c r="P548" i="14"/>
  <c r="P547" i="14"/>
  <c r="P546" i="14"/>
  <c r="P545" i="14"/>
  <c r="P544" i="14"/>
  <c r="P543" i="14"/>
  <c r="P542" i="14"/>
  <c r="P541" i="14"/>
  <c r="P540" i="14"/>
  <c r="P539" i="14"/>
  <c r="P538" i="14"/>
  <c r="P537" i="14"/>
  <c r="P536" i="14"/>
  <c r="P535" i="14"/>
  <c r="P534" i="14"/>
  <c r="P533" i="14"/>
  <c r="P532" i="14"/>
  <c r="P531" i="14"/>
  <c r="P530" i="14"/>
  <c r="P529" i="14"/>
  <c r="P528" i="14"/>
  <c r="P527" i="14"/>
  <c r="P526" i="14"/>
  <c r="P525" i="14"/>
  <c r="P524" i="14"/>
  <c r="P523" i="14"/>
  <c r="P522" i="14"/>
  <c r="P521" i="14"/>
  <c r="P520" i="14"/>
  <c r="P519" i="14"/>
  <c r="P518" i="14"/>
  <c r="P517" i="14"/>
  <c r="P516" i="14"/>
  <c r="P515" i="14"/>
  <c r="P514" i="14"/>
  <c r="P513" i="14"/>
  <c r="P512" i="14"/>
  <c r="P511" i="14"/>
  <c r="P510" i="14"/>
  <c r="P509" i="14"/>
  <c r="P508" i="14"/>
  <c r="P507" i="14"/>
  <c r="P506" i="14"/>
  <c r="P505" i="14"/>
  <c r="P504" i="14"/>
  <c r="P503" i="14"/>
  <c r="P502" i="14"/>
  <c r="P501" i="14"/>
  <c r="P500" i="14"/>
  <c r="P499" i="14"/>
  <c r="P498" i="14"/>
  <c r="P497" i="14"/>
  <c r="P496" i="14"/>
  <c r="P495" i="14"/>
  <c r="P494" i="14"/>
  <c r="P493" i="14"/>
  <c r="P492" i="14"/>
  <c r="P491" i="14"/>
  <c r="P490" i="14"/>
  <c r="P489" i="14"/>
  <c r="P488" i="14"/>
  <c r="P487" i="14"/>
  <c r="P486" i="14"/>
  <c r="P485" i="14"/>
  <c r="P484" i="14"/>
  <c r="P483" i="14"/>
  <c r="P482" i="14"/>
  <c r="P481" i="14"/>
  <c r="P480" i="14"/>
  <c r="P479" i="14"/>
  <c r="P478" i="14"/>
  <c r="P477" i="14"/>
  <c r="P476" i="14"/>
  <c r="P475" i="14"/>
  <c r="P474" i="14"/>
  <c r="P473" i="14"/>
  <c r="P472" i="14"/>
  <c r="P471" i="14"/>
  <c r="P470" i="14"/>
  <c r="P469" i="14"/>
  <c r="P468" i="14"/>
  <c r="P467" i="14"/>
  <c r="P466" i="14"/>
  <c r="P465" i="14"/>
  <c r="P464" i="14"/>
  <c r="P463" i="14"/>
  <c r="P462" i="14"/>
  <c r="P461" i="14"/>
  <c r="P460" i="14"/>
  <c r="P459" i="14"/>
  <c r="P458" i="14"/>
  <c r="P457" i="14"/>
  <c r="P456" i="14"/>
  <c r="P455" i="14"/>
  <c r="P454" i="14"/>
  <c r="P453" i="14"/>
  <c r="P452" i="14"/>
  <c r="P451" i="14"/>
  <c r="P450" i="14"/>
  <c r="P449" i="14"/>
  <c r="P448" i="14"/>
  <c r="P447" i="14"/>
  <c r="P446" i="14"/>
  <c r="P445" i="14"/>
  <c r="P444" i="14"/>
  <c r="P443" i="14"/>
  <c r="P442" i="14"/>
  <c r="P441" i="14"/>
  <c r="P440" i="14"/>
  <c r="P439" i="14"/>
  <c r="P438" i="14"/>
  <c r="P437" i="14"/>
  <c r="P436" i="14"/>
  <c r="P435" i="14"/>
  <c r="P434" i="14"/>
  <c r="P433" i="14"/>
  <c r="P432" i="14"/>
  <c r="P431" i="14"/>
  <c r="P430" i="14"/>
  <c r="P429" i="14"/>
  <c r="P428" i="14"/>
  <c r="P427" i="14"/>
  <c r="P426" i="14"/>
  <c r="P425" i="14"/>
  <c r="P424" i="14"/>
  <c r="P423" i="14"/>
  <c r="P422" i="14"/>
  <c r="P421" i="14"/>
  <c r="P420" i="14"/>
  <c r="P419" i="14"/>
  <c r="P418" i="14"/>
  <c r="P417" i="14"/>
  <c r="P416" i="14"/>
  <c r="P415" i="14"/>
  <c r="P414" i="14"/>
  <c r="P413" i="14"/>
  <c r="P412" i="14"/>
  <c r="P411" i="14"/>
  <c r="P410" i="14"/>
  <c r="P409" i="14"/>
  <c r="P408" i="14"/>
  <c r="P407" i="14"/>
  <c r="P406" i="14"/>
  <c r="P405" i="14"/>
  <c r="P404" i="14"/>
  <c r="P403" i="14"/>
  <c r="P402" i="14"/>
  <c r="P401" i="14"/>
  <c r="P400" i="14"/>
  <c r="P399" i="14"/>
  <c r="P398" i="14"/>
  <c r="P397" i="14"/>
  <c r="P396" i="14"/>
  <c r="P395" i="14"/>
  <c r="P394" i="14"/>
  <c r="P393" i="14"/>
  <c r="P392" i="14"/>
  <c r="P391" i="14"/>
  <c r="P390" i="14"/>
  <c r="P389" i="14"/>
  <c r="P388" i="14"/>
  <c r="P387" i="14"/>
  <c r="P386" i="14"/>
  <c r="P385" i="14"/>
  <c r="P384" i="14"/>
  <c r="P383" i="14"/>
  <c r="P382" i="14"/>
  <c r="P381" i="14"/>
  <c r="P380" i="14"/>
  <c r="P379" i="14"/>
  <c r="P378" i="14"/>
  <c r="P377" i="14"/>
  <c r="P376" i="14"/>
  <c r="P375" i="14"/>
  <c r="P374" i="14"/>
  <c r="P373" i="14"/>
  <c r="P372" i="14"/>
  <c r="P371" i="14"/>
  <c r="P370" i="14"/>
  <c r="P369" i="14"/>
  <c r="P368" i="14"/>
  <c r="P367" i="14"/>
  <c r="P366" i="14"/>
  <c r="P365" i="14"/>
  <c r="P364" i="14"/>
  <c r="P363" i="14"/>
  <c r="P362" i="14"/>
  <c r="P361" i="14"/>
  <c r="P360" i="14"/>
  <c r="P359" i="14"/>
  <c r="P358" i="14"/>
  <c r="P357" i="14"/>
  <c r="P356" i="14"/>
  <c r="P355" i="14"/>
  <c r="P354" i="14"/>
  <c r="P353" i="14"/>
  <c r="P352" i="14"/>
  <c r="P351" i="14"/>
  <c r="P350" i="14"/>
  <c r="P349" i="14"/>
  <c r="P348" i="14"/>
  <c r="P347" i="14"/>
  <c r="P346" i="14"/>
  <c r="P345" i="14"/>
  <c r="P344" i="14"/>
  <c r="P343" i="14"/>
  <c r="P342" i="14"/>
  <c r="P341" i="14"/>
  <c r="P340" i="14"/>
  <c r="P339" i="14"/>
  <c r="P338" i="14"/>
  <c r="P337" i="14"/>
  <c r="P336" i="14"/>
  <c r="P335" i="14"/>
  <c r="P334" i="14"/>
  <c r="P333" i="14"/>
  <c r="P332" i="14"/>
  <c r="P331" i="14"/>
  <c r="P330" i="14"/>
  <c r="P329" i="14"/>
  <c r="P328" i="14"/>
  <c r="P327" i="14"/>
  <c r="P326" i="14"/>
  <c r="P325" i="14"/>
  <c r="P324" i="14"/>
  <c r="P323" i="14"/>
  <c r="P322" i="14"/>
  <c r="P321" i="14"/>
  <c r="P320" i="14"/>
  <c r="P319" i="14"/>
  <c r="P318" i="14"/>
  <c r="P317" i="14"/>
  <c r="P316" i="14"/>
  <c r="P315" i="14"/>
  <c r="P314" i="14"/>
  <c r="P313" i="14"/>
  <c r="P312" i="14"/>
  <c r="P311" i="14"/>
  <c r="P310" i="14"/>
  <c r="P309" i="14"/>
  <c r="P308" i="14"/>
  <c r="P307" i="14"/>
  <c r="P306" i="14"/>
  <c r="P305" i="14"/>
  <c r="P304" i="14"/>
  <c r="P303" i="14"/>
  <c r="P302" i="14"/>
  <c r="P301" i="14"/>
  <c r="P300" i="14"/>
  <c r="P299" i="14"/>
  <c r="P298" i="14"/>
  <c r="P297" i="14"/>
  <c r="P296" i="14"/>
  <c r="P295" i="14"/>
  <c r="P294" i="14"/>
  <c r="P293" i="14"/>
  <c r="P292" i="14"/>
  <c r="P291" i="14"/>
  <c r="P290" i="14"/>
  <c r="P289" i="14"/>
  <c r="P288" i="14"/>
  <c r="P287" i="14"/>
  <c r="P286" i="14"/>
  <c r="P285" i="14"/>
  <c r="P284" i="14"/>
  <c r="P283" i="14"/>
  <c r="P282" i="14"/>
  <c r="P281" i="14"/>
  <c r="P280" i="14"/>
  <c r="P279" i="14"/>
  <c r="P278" i="14"/>
  <c r="P277" i="14"/>
  <c r="P276" i="14"/>
  <c r="P275" i="14"/>
  <c r="P274" i="14"/>
  <c r="P273" i="14"/>
  <c r="P272" i="14"/>
  <c r="P271" i="14"/>
  <c r="P270" i="14"/>
  <c r="P269" i="14"/>
  <c r="P268" i="14"/>
  <c r="P267" i="14"/>
  <c r="P266" i="14"/>
  <c r="P265" i="14"/>
  <c r="P264" i="14"/>
  <c r="P263" i="14"/>
  <c r="P262" i="14"/>
  <c r="P261" i="14"/>
  <c r="P260" i="14"/>
  <c r="P259" i="14"/>
  <c r="P258" i="14"/>
  <c r="P257" i="14"/>
  <c r="P256" i="14"/>
  <c r="P255" i="14"/>
  <c r="P254" i="14"/>
  <c r="P253" i="14"/>
  <c r="P252" i="14"/>
  <c r="P251" i="14"/>
  <c r="P250" i="14"/>
  <c r="P249" i="14"/>
  <c r="P248" i="14"/>
  <c r="P247" i="14"/>
  <c r="P246" i="14"/>
  <c r="P245" i="14"/>
  <c r="P244" i="14"/>
  <c r="P243" i="14"/>
  <c r="P242" i="14"/>
  <c r="P241" i="14"/>
  <c r="P240" i="14"/>
  <c r="P239" i="14"/>
  <c r="P238" i="14"/>
  <c r="P237" i="14"/>
  <c r="P236" i="14"/>
  <c r="P235" i="14"/>
  <c r="P234" i="14"/>
  <c r="P233" i="14"/>
  <c r="P232" i="14"/>
  <c r="P231" i="14"/>
  <c r="P230" i="14"/>
  <c r="P229" i="14"/>
  <c r="P228" i="14"/>
  <c r="P227" i="14"/>
  <c r="P226" i="14"/>
  <c r="P225" i="14"/>
  <c r="P224" i="14"/>
  <c r="P223" i="14"/>
  <c r="P222" i="14"/>
  <c r="P221" i="14"/>
  <c r="P220" i="14"/>
  <c r="P219" i="14"/>
  <c r="P218" i="14"/>
  <c r="P217" i="14"/>
  <c r="P216" i="14"/>
  <c r="P215" i="14"/>
  <c r="P214" i="14"/>
  <c r="P213" i="14"/>
  <c r="P212" i="14"/>
  <c r="P211" i="14"/>
  <c r="P210" i="14"/>
  <c r="P209" i="14"/>
  <c r="P208" i="14"/>
  <c r="P207" i="14"/>
  <c r="P206" i="14"/>
  <c r="P205" i="14"/>
  <c r="P204" i="14"/>
  <c r="P203" i="14"/>
  <c r="P202" i="14"/>
  <c r="P201" i="14"/>
  <c r="P200" i="14"/>
  <c r="P199" i="14"/>
  <c r="P198" i="14"/>
  <c r="P197" i="14"/>
  <c r="P196" i="14"/>
  <c r="P195" i="14"/>
  <c r="P194" i="14"/>
  <c r="P193" i="14"/>
  <c r="P192" i="14"/>
  <c r="P191" i="14"/>
  <c r="P190" i="14"/>
  <c r="P189" i="14"/>
  <c r="P188" i="14"/>
  <c r="P187" i="14"/>
  <c r="P186" i="14"/>
  <c r="P185" i="14"/>
  <c r="P184" i="14"/>
  <c r="P183" i="14"/>
  <c r="P182" i="14"/>
  <c r="P181" i="14"/>
  <c r="P180" i="14"/>
  <c r="P179" i="14"/>
  <c r="P178" i="14"/>
  <c r="P177" i="14"/>
  <c r="P176" i="14"/>
  <c r="P175" i="14"/>
  <c r="P174" i="14"/>
  <c r="P173" i="14"/>
  <c r="P172" i="14"/>
  <c r="P171" i="14"/>
  <c r="P170" i="14"/>
  <c r="P169" i="14"/>
  <c r="P168" i="14"/>
  <c r="P167" i="14"/>
  <c r="P166" i="14"/>
  <c r="P165" i="14"/>
  <c r="P164" i="14"/>
  <c r="P163" i="14"/>
  <c r="P162" i="14"/>
  <c r="P161" i="14"/>
  <c r="P160" i="14"/>
  <c r="P159" i="14"/>
  <c r="P158" i="14"/>
  <c r="P157" i="14"/>
  <c r="P156" i="14"/>
  <c r="P155" i="14"/>
  <c r="P154" i="14"/>
  <c r="P153" i="14"/>
  <c r="P152" i="14"/>
  <c r="P151" i="14"/>
  <c r="P150" i="14"/>
  <c r="P149" i="14"/>
  <c r="P148" i="14"/>
  <c r="P147" i="14"/>
  <c r="P146" i="14"/>
  <c r="P145" i="14"/>
  <c r="P144" i="14"/>
  <c r="P143" i="14"/>
  <c r="P142" i="14"/>
  <c r="P141" i="14"/>
  <c r="P140" i="14"/>
  <c r="P139" i="14"/>
  <c r="P138" i="14"/>
  <c r="P137" i="14"/>
  <c r="P136" i="14"/>
  <c r="P135" i="14"/>
  <c r="P134" i="14"/>
  <c r="P133" i="14"/>
  <c r="P132" i="14"/>
  <c r="P131" i="14"/>
  <c r="P130" i="14"/>
  <c r="P129" i="14"/>
  <c r="P128" i="14"/>
  <c r="P127" i="14"/>
  <c r="P126" i="14"/>
  <c r="P125" i="14"/>
  <c r="P124" i="14"/>
  <c r="P123" i="14"/>
  <c r="P122" i="14"/>
  <c r="P121" i="14"/>
  <c r="P120" i="14"/>
  <c r="P119" i="14"/>
  <c r="P118" i="14"/>
  <c r="P117" i="14"/>
  <c r="P116" i="14"/>
  <c r="P115" i="14"/>
  <c r="P114" i="14"/>
  <c r="P113" i="14"/>
  <c r="P112" i="14"/>
  <c r="P111" i="14"/>
  <c r="P110" i="14"/>
  <c r="P109" i="14"/>
  <c r="P108" i="14"/>
  <c r="P107" i="14"/>
  <c r="P106" i="14"/>
  <c r="P105" i="14"/>
  <c r="P104" i="14"/>
  <c r="P103" i="14"/>
  <c r="P102" i="14"/>
  <c r="P101" i="14"/>
  <c r="P100" i="14"/>
  <c r="P99" i="14"/>
  <c r="P98" i="14"/>
  <c r="P97" i="14"/>
  <c r="P96" i="14"/>
  <c r="P95" i="14"/>
  <c r="P94" i="14"/>
  <c r="P93" i="14"/>
  <c r="P92" i="14"/>
  <c r="P91" i="14"/>
  <c r="P90" i="14"/>
  <c r="P89" i="14"/>
  <c r="P88" i="14"/>
  <c r="P87" i="14"/>
  <c r="P86" i="14"/>
  <c r="P85" i="14"/>
  <c r="P84" i="14"/>
  <c r="P83" i="14"/>
  <c r="P82" i="14"/>
  <c r="P81" i="14"/>
  <c r="P80" i="14"/>
  <c r="P79" i="14"/>
  <c r="P78" i="14"/>
  <c r="P77" i="14"/>
  <c r="P76" i="14"/>
  <c r="P75" i="14"/>
  <c r="P74" i="14"/>
  <c r="P73" i="14"/>
  <c r="P72" i="14"/>
  <c r="P71" i="14"/>
  <c r="P70" i="14"/>
  <c r="P69" i="14"/>
  <c r="P68" i="14"/>
  <c r="P67" i="14"/>
  <c r="P66" i="14"/>
  <c r="P65" i="14"/>
  <c r="P64" i="14"/>
  <c r="P63" i="14"/>
  <c r="P62" i="14"/>
  <c r="P61" i="14"/>
  <c r="P60" i="14"/>
  <c r="P59" i="14"/>
  <c r="P58" i="14"/>
  <c r="P57" i="14"/>
  <c r="P56" i="14"/>
  <c r="P55" i="14"/>
  <c r="P54" i="14"/>
  <c r="P53" i="14"/>
  <c r="P52" i="14"/>
  <c r="P51" i="14"/>
  <c r="P50" i="14"/>
  <c r="P49" i="14"/>
  <c r="P48" i="14"/>
  <c r="P47" i="14"/>
  <c r="P46" i="14"/>
  <c r="P45" i="14"/>
  <c r="P44" i="14"/>
  <c r="P43" i="14"/>
  <c r="P42" i="14"/>
  <c r="P41" i="14"/>
  <c r="P40" i="14"/>
  <c r="P39" i="14"/>
  <c r="P38" i="14"/>
  <c r="P37" i="14"/>
  <c r="P36" i="14"/>
  <c r="P35" i="14"/>
  <c r="P34" i="14"/>
  <c r="P33" i="14"/>
  <c r="P32" i="14"/>
  <c r="P31" i="14"/>
  <c r="P30" i="14"/>
  <c r="P29" i="14"/>
  <c r="P28" i="14"/>
  <c r="P27" i="14"/>
  <c r="P26" i="14"/>
  <c r="P25" i="14"/>
  <c r="P24" i="14"/>
  <c r="P23" i="14"/>
  <c r="P22" i="14"/>
  <c r="P21" i="14"/>
  <c r="P20" i="14"/>
  <c r="P19" i="14"/>
  <c r="P18" i="14"/>
  <c r="P17" i="14"/>
  <c r="P16" i="14"/>
  <c r="P15" i="14"/>
  <c r="P14" i="14"/>
  <c r="P13" i="14"/>
  <c r="P12" i="14"/>
  <c r="P11" i="14"/>
  <c r="P10" i="14"/>
  <c r="P9" i="14"/>
  <c r="P8" i="14"/>
  <c r="P7" i="14"/>
  <c r="S500" i="14"/>
  <c r="S499" i="14"/>
  <c r="S498" i="14"/>
  <c r="S497" i="14"/>
  <c r="S496" i="14"/>
  <c r="T496" i="14" s="1"/>
  <c r="S495" i="14"/>
  <c r="S494" i="14"/>
  <c r="T494" i="14" s="1"/>
  <c r="S493" i="14"/>
  <c r="T493" i="14" s="1"/>
  <c r="V493" i="14" s="1"/>
  <c r="S492" i="14"/>
  <c r="S491" i="14"/>
  <c r="S490" i="14"/>
  <c r="S489" i="14"/>
  <c r="S488" i="14"/>
  <c r="T488" i="14" s="1"/>
  <c r="S487" i="14"/>
  <c r="S486" i="14"/>
  <c r="T486" i="14" s="1"/>
  <c r="S485" i="14"/>
  <c r="T485" i="14" s="1"/>
  <c r="V485" i="14" s="1"/>
  <c r="S484" i="14"/>
  <c r="S483" i="14"/>
  <c r="S482" i="14"/>
  <c r="S481" i="14"/>
  <c r="S480" i="14"/>
  <c r="T480" i="14" s="1"/>
  <c r="W480" i="14" s="1"/>
  <c r="S479" i="14"/>
  <c r="S478" i="14"/>
  <c r="T478" i="14" s="1"/>
  <c r="S477" i="14"/>
  <c r="T477" i="14" s="1"/>
  <c r="V477" i="14" s="1"/>
  <c r="S476" i="14"/>
  <c r="S475" i="14"/>
  <c r="S474" i="14"/>
  <c r="S473" i="14"/>
  <c r="S472" i="14"/>
  <c r="T472" i="14" s="1"/>
  <c r="W472" i="14" s="1"/>
  <c r="S471" i="14"/>
  <c r="S470" i="14"/>
  <c r="T470" i="14" s="1"/>
  <c r="S469" i="14"/>
  <c r="T469" i="14" s="1"/>
  <c r="V469" i="14" s="1"/>
  <c r="S468" i="14"/>
  <c r="S467" i="14"/>
  <c r="S466" i="14"/>
  <c r="S465" i="14"/>
  <c r="S464" i="14"/>
  <c r="T464" i="14" s="1"/>
  <c r="W464" i="14" s="1"/>
  <c r="S463" i="14"/>
  <c r="S462" i="14"/>
  <c r="T462" i="14" s="1"/>
  <c r="S461" i="14"/>
  <c r="T461" i="14" s="1"/>
  <c r="V461" i="14" s="1"/>
  <c r="S460" i="14"/>
  <c r="S459" i="14"/>
  <c r="S458" i="14"/>
  <c r="S457" i="14"/>
  <c r="S456" i="14"/>
  <c r="T456" i="14" s="1"/>
  <c r="W456" i="14" s="1"/>
  <c r="S455" i="14"/>
  <c r="S454" i="14"/>
  <c r="T454" i="14" s="1"/>
  <c r="S453" i="14"/>
  <c r="T453" i="14" s="1"/>
  <c r="V453" i="14" s="1"/>
  <c r="S452" i="14"/>
  <c r="S451" i="14"/>
  <c r="S450" i="14"/>
  <c r="S449" i="14"/>
  <c r="S448" i="14"/>
  <c r="T448" i="14" s="1"/>
  <c r="W448" i="14" s="1"/>
  <c r="S447" i="14"/>
  <c r="S446" i="14"/>
  <c r="S445" i="14"/>
  <c r="T445" i="14" s="1"/>
  <c r="S444" i="14"/>
  <c r="S443" i="14"/>
  <c r="S442" i="14"/>
  <c r="S441" i="14"/>
  <c r="S440" i="14"/>
  <c r="T440" i="14" s="1"/>
  <c r="W440" i="14" s="1"/>
  <c r="S439" i="14"/>
  <c r="S438" i="14"/>
  <c r="S437" i="14"/>
  <c r="T437" i="14" s="1"/>
  <c r="V437" i="14" s="1"/>
  <c r="S436" i="14"/>
  <c r="S435" i="14"/>
  <c r="S434" i="14"/>
  <c r="S433" i="14"/>
  <c r="S432" i="14"/>
  <c r="T432" i="14" s="1"/>
  <c r="W432" i="14" s="1"/>
  <c r="S431" i="14"/>
  <c r="S430" i="14"/>
  <c r="S429" i="14"/>
  <c r="T429" i="14" s="1"/>
  <c r="V429" i="14" s="1"/>
  <c r="S428" i="14"/>
  <c r="S427" i="14"/>
  <c r="S426" i="14"/>
  <c r="S425" i="14"/>
  <c r="S424" i="14"/>
  <c r="T424" i="14" s="1"/>
  <c r="W424" i="14" s="1"/>
  <c r="S423" i="14"/>
  <c r="S422" i="14"/>
  <c r="S421" i="14"/>
  <c r="T421" i="14" s="1"/>
  <c r="V421" i="14" s="1"/>
  <c r="S420" i="14"/>
  <c r="S419" i="14"/>
  <c r="S418" i="14"/>
  <c r="S417" i="14"/>
  <c r="S416" i="14"/>
  <c r="T416" i="14" s="1"/>
  <c r="W416" i="14" s="1"/>
  <c r="S415" i="14"/>
  <c r="S414" i="14"/>
  <c r="S413" i="14"/>
  <c r="T413" i="14" s="1"/>
  <c r="V413" i="14" s="1"/>
  <c r="S412" i="14"/>
  <c r="S411" i="14"/>
  <c r="S410" i="14"/>
  <c r="S409" i="14"/>
  <c r="S408" i="14"/>
  <c r="T408" i="14" s="1"/>
  <c r="W408" i="14" s="1"/>
  <c r="S407" i="14"/>
  <c r="S406" i="14"/>
  <c r="S405" i="14"/>
  <c r="T405" i="14" s="1"/>
  <c r="V405" i="14" s="1"/>
  <c r="S404" i="14"/>
  <c r="S403" i="14"/>
  <c r="S402" i="14"/>
  <c r="S401" i="14"/>
  <c r="S400" i="14"/>
  <c r="S399" i="14"/>
  <c r="S398" i="14"/>
  <c r="S397" i="14"/>
  <c r="S396" i="14"/>
  <c r="S395" i="14"/>
  <c r="S394" i="14"/>
  <c r="S393" i="14"/>
  <c r="S392" i="14"/>
  <c r="S391" i="14"/>
  <c r="S390" i="14"/>
  <c r="S389" i="14"/>
  <c r="S388" i="14"/>
  <c r="S387" i="14"/>
  <c r="S386" i="14"/>
  <c r="S385" i="14"/>
  <c r="S384" i="14"/>
  <c r="S383" i="14"/>
  <c r="S382" i="14"/>
  <c r="S381" i="14"/>
  <c r="S380" i="14"/>
  <c r="S379" i="14"/>
  <c r="S378" i="14"/>
  <c r="S377" i="14"/>
  <c r="S376" i="14"/>
  <c r="S375" i="14"/>
  <c r="S374" i="14"/>
  <c r="S373" i="14"/>
  <c r="S372" i="14"/>
  <c r="S371" i="14"/>
  <c r="S370" i="14"/>
  <c r="S369" i="14"/>
  <c r="S368" i="14"/>
  <c r="S367" i="14"/>
  <c r="S366" i="14"/>
  <c r="S365" i="14"/>
  <c r="S364" i="14"/>
  <c r="S363" i="14"/>
  <c r="S362" i="14"/>
  <c r="S361" i="14"/>
  <c r="S360" i="14"/>
  <c r="S359" i="14"/>
  <c r="S358" i="14"/>
  <c r="S357" i="14"/>
  <c r="S356" i="14"/>
  <c r="S355" i="14"/>
  <c r="S354" i="14"/>
  <c r="S353" i="14"/>
  <c r="S352" i="14"/>
  <c r="S351" i="14"/>
  <c r="S350" i="14"/>
  <c r="S349" i="14"/>
  <c r="S348" i="14"/>
  <c r="S347" i="14"/>
  <c r="S346" i="14"/>
  <c r="S345" i="14"/>
  <c r="S344" i="14"/>
  <c r="S343" i="14"/>
  <c r="S342" i="14"/>
  <c r="S341" i="14"/>
  <c r="S340" i="14"/>
  <c r="S339" i="14"/>
  <c r="S338" i="14"/>
  <c r="S337" i="14"/>
  <c r="S336" i="14"/>
  <c r="S335" i="14"/>
  <c r="S334" i="14"/>
  <c r="S333" i="14"/>
  <c r="S332" i="14"/>
  <c r="S331" i="14"/>
  <c r="S330" i="14"/>
  <c r="S329" i="14"/>
  <c r="S328" i="14"/>
  <c r="S327" i="14"/>
  <c r="S326" i="14"/>
  <c r="S325" i="14"/>
  <c r="S324" i="14"/>
  <c r="S323" i="14"/>
  <c r="S322" i="14"/>
  <c r="S321" i="14"/>
  <c r="S320" i="14"/>
  <c r="S319" i="14"/>
  <c r="S318" i="14"/>
  <c r="S317" i="14"/>
  <c r="S316" i="14"/>
  <c r="S315" i="14"/>
  <c r="S314" i="14"/>
  <c r="S313" i="14"/>
  <c r="S312" i="14"/>
  <c r="S311" i="14"/>
  <c r="S310" i="14"/>
  <c r="S309" i="14"/>
  <c r="S308" i="14"/>
  <c r="S307" i="14"/>
  <c r="S306" i="14"/>
  <c r="S305" i="14"/>
  <c r="S304" i="14"/>
  <c r="S303" i="14"/>
  <c r="S302" i="14"/>
  <c r="S301" i="14"/>
  <c r="S300" i="14"/>
  <c r="S299" i="14"/>
  <c r="S298" i="14"/>
  <c r="S297" i="14"/>
  <c r="S296" i="14"/>
  <c r="S295" i="14"/>
  <c r="S294" i="14"/>
  <c r="S293" i="14"/>
  <c r="S292" i="14"/>
  <c r="S291" i="14"/>
  <c r="S290" i="14"/>
  <c r="S289" i="14"/>
  <c r="S288" i="14"/>
  <c r="S287" i="14"/>
  <c r="S286" i="14"/>
  <c r="S285" i="14"/>
  <c r="S284" i="14"/>
  <c r="S283" i="14"/>
  <c r="S282" i="14"/>
  <c r="S281" i="14"/>
  <c r="S280" i="14"/>
  <c r="S279" i="14"/>
  <c r="S278" i="14"/>
  <c r="S277" i="14"/>
  <c r="S276" i="14"/>
  <c r="S275" i="14"/>
  <c r="S274" i="14"/>
  <c r="S273" i="14"/>
  <c r="S272" i="14"/>
  <c r="S271" i="14"/>
  <c r="S270" i="14"/>
  <c r="S269" i="14"/>
  <c r="S268" i="14"/>
  <c r="S267" i="14"/>
  <c r="S266" i="14"/>
  <c r="S265" i="14"/>
  <c r="S264" i="14"/>
  <c r="S263" i="14"/>
  <c r="S262" i="14"/>
  <c r="S261" i="14"/>
  <c r="S260" i="14"/>
  <c r="S259" i="14"/>
  <c r="S258" i="14"/>
  <c r="S257" i="14"/>
  <c r="S256" i="14"/>
  <c r="S255" i="14"/>
  <c r="S254" i="14"/>
  <c r="S253" i="14"/>
  <c r="S252" i="14"/>
  <c r="S251" i="14"/>
  <c r="S250" i="14"/>
  <c r="S249" i="14"/>
  <c r="S248" i="14"/>
  <c r="S247" i="14"/>
  <c r="S246" i="14"/>
  <c r="S245" i="14"/>
  <c r="S244" i="14"/>
  <c r="S243" i="14"/>
  <c r="S242" i="14"/>
  <c r="S241" i="14"/>
  <c r="S240" i="14"/>
  <c r="S239" i="14"/>
  <c r="S238" i="14"/>
  <c r="S237" i="14"/>
  <c r="S236" i="14"/>
  <c r="S235" i="14"/>
  <c r="S234" i="14"/>
  <c r="S233" i="14"/>
  <c r="S232" i="14"/>
  <c r="S231" i="14"/>
  <c r="S230" i="14"/>
  <c r="S229" i="14"/>
  <c r="S228" i="14"/>
  <c r="S227" i="14"/>
  <c r="S226" i="14"/>
  <c r="S225" i="14"/>
  <c r="S224" i="14"/>
  <c r="S223" i="14"/>
  <c r="S222" i="14"/>
  <c r="S221" i="14"/>
  <c r="S220" i="14"/>
  <c r="S219" i="14"/>
  <c r="S218" i="14"/>
  <c r="S217" i="14"/>
  <c r="S216" i="14"/>
  <c r="S215" i="14"/>
  <c r="S214" i="14"/>
  <c r="S213" i="14"/>
  <c r="S212" i="14"/>
  <c r="S211" i="14"/>
  <c r="S210" i="14"/>
  <c r="S209" i="14"/>
  <c r="S208" i="14"/>
  <c r="S207" i="14"/>
  <c r="S206" i="14"/>
  <c r="S205" i="14"/>
  <c r="S204" i="14"/>
  <c r="S203" i="14"/>
  <c r="S202" i="14"/>
  <c r="S201" i="14"/>
  <c r="S200" i="14"/>
  <c r="S199" i="14"/>
  <c r="S198" i="14"/>
  <c r="S197" i="14"/>
  <c r="S196" i="14"/>
  <c r="S195" i="14"/>
  <c r="S194" i="14"/>
  <c r="S193" i="14"/>
  <c r="S192" i="14"/>
  <c r="S191" i="14"/>
  <c r="S190" i="14"/>
  <c r="S189" i="14"/>
  <c r="S188" i="14"/>
  <c r="S187" i="14"/>
  <c r="S186" i="14"/>
  <c r="S185" i="14"/>
  <c r="S184" i="14"/>
  <c r="S183" i="14"/>
  <c r="S182" i="14"/>
  <c r="S181" i="14"/>
  <c r="S180" i="14"/>
  <c r="S179" i="14"/>
  <c r="S178" i="14"/>
  <c r="S177" i="14"/>
  <c r="S176" i="14"/>
  <c r="S175" i="14"/>
  <c r="S174" i="14"/>
  <c r="S173" i="14"/>
  <c r="S172" i="14"/>
  <c r="S171" i="14"/>
  <c r="S170" i="14"/>
  <c r="S169" i="14"/>
  <c r="S168" i="14"/>
  <c r="S167" i="14"/>
  <c r="S166" i="14"/>
  <c r="S165" i="14"/>
  <c r="S164" i="14"/>
  <c r="S163" i="14"/>
  <c r="S162" i="14"/>
  <c r="S161" i="14"/>
  <c r="S160" i="14"/>
  <c r="S159" i="14"/>
  <c r="S158" i="14"/>
  <c r="S157" i="14"/>
  <c r="S156" i="14"/>
  <c r="S155" i="14"/>
  <c r="S154" i="14"/>
  <c r="S153" i="14"/>
  <c r="S152" i="14"/>
  <c r="S151" i="14"/>
  <c r="S150" i="14"/>
  <c r="S149" i="14"/>
  <c r="S148" i="14"/>
  <c r="S147" i="14"/>
  <c r="S146" i="14"/>
  <c r="S145" i="14"/>
  <c r="S144" i="14"/>
  <c r="S143" i="14"/>
  <c r="S142" i="14"/>
  <c r="S141" i="14"/>
  <c r="S140" i="14"/>
  <c r="S139" i="14"/>
  <c r="S138" i="14"/>
  <c r="S137" i="14"/>
  <c r="S136" i="14"/>
  <c r="S135" i="14"/>
  <c r="S134" i="14"/>
  <c r="S133" i="14"/>
  <c r="S132" i="14"/>
  <c r="S131" i="14"/>
  <c r="S130" i="14"/>
  <c r="S129" i="14"/>
  <c r="S128" i="14"/>
  <c r="S127" i="14"/>
  <c r="S126" i="14"/>
  <c r="S125" i="14"/>
  <c r="S124" i="14"/>
  <c r="S123" i="14"/>
  <c r="S122" i="14"/>
  <c r="S121" i="14"/>
  <c r="S120" i="14"/>
  <c r="S119" i="14"/>
  <c r="S118" i="14"/>
  <c r="S117" i="14"/>
  <c r="S116" i="14"/>
  <c r="S115" i="14"/>
  <c r="S114" i="14"/>
  <c r="S113" i="14"/>
  <c r="S112" i="14"/>
  <c r="S111" i="14"/>
  <c r="S110" i="14"/>
  <c r="S109" i="14"/>
  <c r="S108" i="14"/>
  <c r="S107" i="14"/>
  <c r="S106" i="14"/>
  <c r="S105" i="14"/>
  <c r="S104" i="14"/>
  <c r="S103" i="14"/>
  <c r="S102" i="14"/>
  <c r="S101" i="14"/>
  <c r="S100" i="14"/>
  <c r="S99" i="14"/>
  <c r="S98" i="14"/>
  <c r="S97" i="14"/>
  <c r="S96" i="14"/>
  <c r="S95" i="14"/>
  <c r="S94" i="14"/>
  <c r="S93" i="14"/>
  <c r="S92" i="14"/>
  <c r="S91" i="14"/>
  <c r="S90" i="14"/>
  <c r="S89" i="14"/>
  <c r="S88" i="14"/>
  <c r="S87" i="14"/>
  <c r="S86" i="14"/>
  <c r="S85" i="14"/>
  <c r="S84" i="14"/>
  <c r="S83" i="14"/>
  <c r="S82" i="14"/>
  <c r="S81" i="14"/>
  <c r="S80" i="14"/>
  <c r="S79" i="14"/>
  <c r="S78" i="14"/>
  <c r="S77" i="14"/>
  <c r="S76" i="14"/>
  <c r="S75" i="14"/>
  <c r="S74" i="14"/>
  <c r="S73" i="14"/>
  <c r="S72" i="14"/>
  <c r="S71" i="14"/>
  <c r="S70" i="14"/>
  <c r="S69" i="14"/>
  <c r="S68" i="14"/>
  <c r="S67" i="14"/>
  <c r="S66" i="14"/>
  <c r="S65" i="14"/>
  <c r="S64" i="14"/>
  <c r="S63" i="14"/>
  <c r="S62" i="14"/>
  <c r="S61" i="14"/>
  <c r="S60" i="14"/>
  <c r="S59" i="14"/>
  <c r="S58" i="14"/>
  <c r="S57" i="14"/>
  <c r="S56" i="14"/>
  <c r="S55" i="14"/>
  <c r="S54" i="14"/>
  <c r="S53" i="14"/>
  <c r="S52" i="14"/>
  <c r="S51" i="14"/>
  <c r="S50" i="14"/>
  <c r="S49" i="14"/>
  <c r="S48" i="14"/>
  <c r="S47" i="14"/>
  <c r="S46" i="14"/>
  <c r="S45" i="14"/>
  <c r="S44" i="14"/>
  <c r="S43" i="14"/>
  <c r="S42" i="14"/>
  <c r="S41" i="14"/>
  <c r="S40" i="14"/>
  <c r="S39" i="14"/>
  <c r="S38" i="14"/>
  <c r="S37" i="14"/>
  <c r="S36" i="14"/>
  <c r="S35" i="14"/>
  <c r="S34" i="14"/>
  <c r="S33" i="14"/>
  <c r="S32" i="14"/>
  <c r="S31" i="14"/>
  <c r="S30" i="14"/>
  <c r="S29" i="14"/>
  <c r="S28" i="14"/>
  <c r="S27" i="14"/>
  <c r="S26" i="14"/>
  <c r="S25" i="14"/>
  <c r="S24" i="14"/>
  <c r="S23" i="14"/>
  <c r="S22" i="14"/>
  <c r="S21" i="14"/>
  <c r="S20" i="14"/>
  <c r="S19" i="14"/>
  <c r="S18" i="14"/>
  <c r="S17" i="14"/>
  <c r="S16" i="14"/>
  <c r="S15" i="14"/>
  <c r="S14" i="14"/>
  <c r="S12" i="14"/>
  <c r="S11" i="14"/>
  <c r="S10" i="14"/>
  <c r="S9" i="14"/>
  <c r="S8" i="14"/>
  <c r="S7" i="14"/>
  <c r="S6" i="14"/>
  <c r="S5" i="14"/>
  <c r="R400" i="14"/>
  <c r="R399" i="14"/>
  <c r="R398" i="14"/>
  <c r="R397" i="14"/>
  <c r="R396" i="14"/>
  <c r="R395" i="14"/>
  <c r="R394" i="14"/>
  <c r="R393" i="14"/>
  <c r="R392" i="14"/>
  <c r="T392" i="14" s="1"/>
  <c r="R391" i="14"/>
  <c r="R390" i="14"/>
  <c r="R389" i="14"/>
  <c r="R388" i="14"/>
  <c r="R387" i="14"/>
  <c r="R386" i="14"/>
  <c r="R385" i="14"/>
  <c r="R384" i="14"/>
  <c r="R383" i="14"/>
  <c r="R382" i="14"/>
  <c r="R381" i="14"/>
  <c r="R380" i="14"/>
  <c r="R379" i="14"/>
  <c r="R378" i="14"/>
  <c r="R377" i="14"/>
  <c r="R376" i="14"/>
  <c r="R375" i="14"/>
  <c r="R374" i="14"/>
  <c r="R373" i="14"/>
  <c r="R372" i="14"/>
  <c r="R371" i="14"/>
  <c r="R370" i="14"/>
  <c r="R369" i="14"/>
  <c r="R368" i="14"/>
  <c r="R367" i="14"/>
  <c r="R366" i="14"/>
  <c r="R365" i="14"/>
  <c r="R364" i="14"/>
  <c r="R363" i="14"/>
  <c r="R362" i="14"/>
  <c r="R361" i="14"/>
  <c r="R360" i="14"/>
  <c r="R359" i="14"/>
  <c r="R358" i="14"/>
  <c r="R357" i="14"/>
  <c r="R356" i="14"/>
  <c r="R355" i="14"/>
  <c r="R354" i="14"/>
  <c r="R353" i="14"/>
  <c r="R352" i="14"/>
  <c r="R351" i="14"/>
  <c r="R350" i="14"/>
  <c r="R349" i="14"/>
  <c r="R348" i="14"/>
  <c r="R347" i="14"/>
  <c r="R346" i="14"/>
  <c r="R345" i="14"/>
  <c r="R344" i="14"/>
  <c r="R343" i="14"/>
  <c r="R342" i="14"/>
  <c r="R341" i="14"/>
  <c r="R340" i="14"/>
  <c r="R339" i="14"/>
  <c r="R338" i="14"/>
  <c r="R337" i="14"/>
  <c r="R336" i="14"/>
  <c r="R335" i="14"/>
  <c r="R334" i="14"/>
  <c r="R333" i="14"/>
  <c r="R332" i="14"/>
  <c r="R331" i="14"/>
  <c r="R330" i="14"/>
  <c r="R329" i="14"/>
  <c r="R328" i="14"/>
  <c r="R327" i="14"/>
  <c r="R326" i="14"/>
  <c r="R325" i="14"/>
  <c r="R324" i="14"/>
  <c r="R323" i="14"/>
  <c r="R322" i="14"/>
  <c r="R321" i="14"/>
  <c r="R320" i="14"/>
  <c r="R319" i="14"/>
  <c r="R318" i="14"/>
  <c r="R317" i="14"/>
  <c r="R316" i="14"/>
  <c r="R315" i="14"/>
  <c r="R314" i="14"/>
  <c r="R313" i="14"/>
  <c r="R312" i="14"/>
  <c r="R311" i="14"/>
  <c r="R310" i="14"/>
  <c r="R309" i="14"/>
  <c r="R308" i="14"/>
  <c r="R307" i="14"/>
  <c r="R306" i="14"/>
  <c r="R305" i="14"/>
  <c r="R304" i="14"/>
  <c r="R303" i="14"/>
  <c r="R302" i="14"/>
  <c r="R301" i="14"/>
  <c r="R300" i="14"/>
  <c r="R299" i="14"/>
  <c r="R298" i="14"/>
  <c r="R297" i="14"/>
  <c r="R296" i="14"/>
  <c r="R295" i="14"/>
  <c r="R294" i="14"/>
  <c r="R293" i="14"/>
  <c r="R292" i="14"/>
  <c r="R291" i="14"/>
  <c r="R290" i="14"/>
  <c r="R289" i="14"/>
  <c r="R288" i="14"/>
  <c r="R287" i="14"/>
  <c r="R286" i="14"/>
  <c r="R285" i="14"/>
  <c r="R284" i="14"/>
  <c r="R283" i="14"/>
  <c r="R282" i="14"/>
  <c r="R281" i="14"/>
  <c r="R280" i="14"/>
  <c r="R279" i="14"/>
  <c r="R278" i="14"/>
  <c r="R277" i="14"/>
  <c r="R276" i="14"/>
  <c r="R275" i="14"/>
  <c r="R274" i="14"/>
  <c r="R273" i="14"/>
  <c r="R272" i="14"/>
  <c r="R271" i="14"/>
  <c r="R270" i="14"/>
  <c r="R269" i="14"/>
  <c r="R268" i="14"/>
  <c r="R267" i="14"/>
  <c r="R266" i="14"/>
  <c r="R265" i="14"/>
  <c r="R264" i="14"/>
  <c r="R263" i="14"/>
  <c r="R262" i="14"/>
  <c r="R261" i="14"/>
  <c r="R260" i="14"/>
  <c r="R259" i="14"/>
  <c r="R258" i="14"/>
  <c r="R257" i="14"/>
  <c r="R256" i="14"/>
  <c r="R255" i="14"/>
  <c r="R254" i="14"/>
  <c r="R253" i="14"/>
  <c r="R252" i="14"/>
  <c r="R251" i="14"/>
  <c r="R250" i="14"/>
  <c r="R249" i="14"/>
  <c r="R248" i="14"/>
  <c r="R247" i="14"/>
  <c r="R246" i="14"/>
  <c r="R245" i="14"/>
  <c r="R244" i="14"/>
  <c r="R243" i="14"/>
  <c r="R242" i="14"/>
  <c r="R241" i="14"/>
  <c r="R240" i="14"/>
  <c r="R239" i="14"/>
  <c r="R238" i="14"/>
  <c r="R237" i="14"/>
  <c r="R236" i="14"/>
  <c r="R235" i="14"/>
  <c r="R234" i="14"/>
  <c r="R233" i="14"/>
  <c r="R232" i="14"/>
  <c r="R231" i="14"/>
  <c r="R230" i="14"/>
  <c r="R229" i="14"/>
  <c r="R228" i="14"/>
  <c r="R227" i="14"/>
  <c r="R226" i="14"/>
  <c r="R225" i="14"/>
  <c r="R224" i="14"/>
  <c r="R223" i="14"/>
  <c r="R222" i="14"/>
  <c r="R221" i="14"/>
  <c r="R220" i="14"/>
  <c r="R219" i="14"/>
  <c r="R218" i="14"/>
  <c r="R217" i="14"/>
  <c r="R216" i="14"/>
  <c r="R215" i="14"/>
  <c r="R214" i="14"/>
  <c r="R213" i="14"/>
  <c r="R212" i="14"/>
  <c r="R211" i="14"/>
  <c r="R210" i="14"/>
  <c r="R209" i="14"/>
  <c r="R208" i="14"/>
  <c r="R207" i="14"/>
  <c r="R206" i="14"/>
  <c r="R205" i="14"/>
  <c r="R204" i="14"/>
  <c r="R203" i="14"/>
  <c r="R202" i="14"/>
  <c r="R201" i="14"/>
  <c r="R200" i="14"/>
  <c r="R199" i="14"/>
  <c r="R198" i="14"/>
  <c r="R197" i="14"/>
  <c r="R196" i="14"/>
  <c r="R195" i="14"/>
  <c r="R194" i="14"/>
  <c r="R193" i="14"/>
  <c r="R192" i="14"/>
  <c r="R191" i="14"/>
  <c r="R190" i="14"/>
  <c r="R189" i="14"/>
  <c r="R188" i="14"/>
  <c r="R187" i="14"/>
  <c r="R186" i="14"/>
  <c r="R185" i="14"/>
  <c r="R184" i="14"/>
  <c r="R183" i="14"/>
  <c r="R182" i="14"/>
  <c r="R181" i="14"/>
  <c r="R180" i="14"/>
  <c r="R179" i="14"/>
  <c r="R178" i="14"/>
  <c r="R177" i="14"/>
  <c r="R176" i="14"/>
  <c r="R175" i="14"/>
  <c r="R174" i="14"/>
  <c r="R173" i="14"/>
  <c r="R172" i="14"/>
  <c r="R171" i="14"/>
  <c r="R170" i="14"/>
  <c r="R169" i="14"/>
  <c r="R168" i="14"/>
  <c r="R167" i="14"/>
  <c r="R166" i="14"/>
  <c r="R165" i="14"/>
  <c r="R164" i="14"/>
  <c r="R163" i="14"/>
  <c r="R162" i="14"/>
  <c r="R161" i="14"/>
  <c r="R160" i="14"/>
  <c r="R159" i="14"/>
  <c r="R158" i="14"/>
  <c r="R157" i="14"/>
  <c r="R156" i="14"/>
  <c r="R155" i="14"/>
  <c r="R154" i="14"/>
  <c r="R153" i="14"/>
  <c r="R152" i="14"/>
  <c r="R151" i="14"/>
  <c r="R150" i="14"/>
  <c r="R149" i="14"/>
  <c r="R148" i="14"/>
  <c r="R147" i="14"/>
  <c r="R146" i="14"/>
  <c r="R145" i="14"/>
  <c r="R144" i="14"/>
  <c r="R143" i="14"/>
  <c r="R142" i="14"/>
  <c r="R141" i="14"/>
  <c r="R140" i="14"/>
  <c r="R139" i="14"/>
  <c r="R138" i="14"/>
  <c r="R137" i="14"/>
  <c r="R136" i="14"/>
  <c r="R135" i="14"/>
  <c r="R134" i="14"/>
  <c r="R133" i="14"/>
  <c r="R132" i="14"/>
  <c r="R131" i="14"/>
  <c r="R130" i="14"/>
  <c r="R129" i="14"/>
  <c r="R128" i="14"/>
  <c r="R127" i="14"/>
  <c r="R126" i="14"/>
  <c r="R125" i="14"/>
  <c r="R124" i="14"/>
  <c r="R123" i="14"/>
  <c r="R122" i="14"/>
  <c r="R121" i="14"/>
  <c r="R120" i="14"/>
  <c r="R119" i="14"/>
  <c r="R118" i="14"/>
  <c r="R117" i="14"/>
  <c r="R116" i="14"/>
  <c r="R115" i="14"/>
  <c r="R114" i="14"/>
  <c r="R113" i="14"/>
  <c r="R112" i="14"/>
  <c r="R111" i="14"/>
  <c r="R110" i="14"/>
  <c r="R109" i="14"/>
  <c r="R108" i="14"/>
  <c r="R107" i="14"/>
  <c r="R106" i="14"/>
  <c r="R105" i="14"/>
  <c r="R104" i="14"/>
  <c r="R103" i="14"/>
  <c r="R102" i="14"/>
  <c r="R101" i="14"/>
  <c r="R100" i="14"/>
  <c r="R99" i="14"/>
  <c r="R98" i="14"/>
  <c r="R97" i="14"/>
  <c r="R96" i="14"/>
  <c r="R95" i="14"/>
  <c r="R94" i="14"/>
  <c r="R93" i="14"/>
  <c r="R92" i="14"/>
  <c r="R91" i="14"/>
  <c r="R90" i="14"/>
  <c r="R89" i="14"/>
  <c r="R88" i="14"/>
  <c r="R87" i="14"/>
  <c r="R86" i="14"/>
  <c r="R85" i="14"/>
  <c r="R84" i="14"/>
  <c r="R83" i="14"/>
  <c r="R82" i="14"/>
  <c r="R81" i="14"/>
  <c r="R80" i="14"/>
  <c r="R79" i="14"/>
  <c r="R78" i="14"/>
  <c r="R77" i="14"/>
  <c r="R76" i="14"/>
  <c r="R75" i="14"/>
  <c r="R74" i="14"/>
  <c r="R73" i="14"/>
  <c r="R72" i="14"/>
  <c r="R71" i="14"/>
  <c r="R70" i="14"/>
  <c r="R69" i="14"/>
  <c r="R68" i="14"/>
  <c r="R67" i="14"/>
  <c r="R66" i="14"/>
  <c r="R65" i="14"/>
  <c r="R64" i="14"/>
  <c r="R63" i="14"/>
  <c r="R62" i="14"/>
  <c r="R61" i="14"/>
  <c r="R60" i="14"/>
  <c r="R59" i="14"/>
  <c r="R58" i="14"/>
  <c r="R57" i="14"/>
  <c r="R56" i="14"/>
  <c r="R55" i="14"/>
  <c r="R54" i="14"/>
  <c r="R53" i="14"/>
  <c r="R52" i="14"/>
  <c r="R51" i="14"/>
  <c r="R50" i="14"/>
  <c r="R49" i="14"/>
  <c r="R48" i="14"/>
  <c r="R47" i="14"/>
  <c r="R46" i="14"/>
  <c r="R45" i="14"/>
  <c r="R44" i="14"/>
  <c r="R43" i="14"/>
  <c r="R42" i="14"/>
  <c r="R41" i="14"/>
  <c r="R40" i="14"/>
  <c r="R39" i="14"/>
  <c r="R38" i="14"/>
  <c r="R37" i="14"/>
  <c r="R36" i="14"/>
  <c r="R35" i="14"/>
  <c r="R34" i="14"/>
  <c r="R33" i="14"/>
  <c r="R32" i="14"/>
  <c r="R31" i="14"/>
  <c r="R30" i="14"/>
  <c r="R29" i="14"/>
  <c r="R28" i="14"/>
  <c r="R27" i="14"/>
  <c r="R26" i="14"/>
  <c r="R25" i="14"/>
  <c r="R24" i="14"/>
  <c r="R23" i="14"/>
  <c r="R22" i="14"/>
  <c r="R21" i="14"/>
  <c r="R20" i="14"/>
  <c r="R19" i="14"/>
  <c r="R18" i="14"/>
  <c r="R17" i="14"/>
  <c r="R16" i="14"/>
  <c r="R15" i="14"/>
  <c r="R14" i="14"/>
  <c r="R12" i="14"/>
  <c r="R11" i="14"/>
  <c r="R10" i="14"/>
  <c r="R9" i="14"/>
  <c r="R8" i="14"/>
  <c r="R7" i="14"/>
  <c r="R6" i="14"/>
  <c r="R5" i="14"/>
  <c r="S4" i="14"/>
  <c r="R4" i="14"/>
  <c r="N400" i="14"/>
  <c r="U400" i="14" s="1"/>
  <c r="N399" i="14"/>
  <c r="U399" i="14" s="1"/>
  <c r="N398" i="14"/>
  <c r="U398" i="14" s="1"/>
  <c r="N397" i="14"/>
  <c r="U397" i="14" s="1"/>
  <c r="N396" i="14"/>
  <c r="U396" i="14" s="1"/>
  <c r="N395" i="14"/>
  <c r="U395" i="14" s="1"/>
  <c r="N394" i="14"/>
  <c r="U394" i="14" s="1"/>
  <c r="N393" i="14"/>
  <c r="U393" i="14" s="1"/>
  <c r="N392" i="14"/>
  <c r="N391" i="14"/>
  <c r="U391" i="14" s="1"/>
  <c r="N390" i="14"/>
  <c r="U390" i="14" s="1"/>
  <c r="N389" i="14"/>
  <c r="U389" i="14" s="1"/>
  <c r="N388" i="14"/>
  <c r="U388" i="14" s="1"/>
  <c r="N387" i="14"/>
  <c r="U387" i="14" s="1"/>
  <c r="N386" i="14"/>
  <c r="U386" i="14" s="1"/>
  <c r="N385" i="14"/>
  <c r="U385" i="14" s="1"/>
  <c r="N384" i="14"/>
  <c r="U384" i="14" s="1"/>
  <c r="N383" i="14"/>
  <c r="U383" i="14" s="1"/>
  <c r="N382" i="14"/>
  <c r="U382" i="14" s="1"/>
  <c r="N381" i="14"/>
  <c r="U381" i="14" s="1"/>
  <c r="N380" i="14"/>
  <c r="U380" i="14" s="1"/>
  <c r="N379" i="14"/>
  <c r="U379" i="14" s="1"/>
  <c r="N378" i="14"/>
  <c r="U378" i="14" s="1"/>
  <c r="N377" i="14"/>
  <c r="U377" i="14" s="1"/>
  <c r="N376" i="14"/>
  <c r="U376" i="14" s="1"/>
  <c r="N375" i="14"/>
  <c r="U375" i="14" s="1"/>
  <c r="N374" i="14"/>
  <c r="U374" i="14" s="1"/>
  <c r="N373" i="14"/>
  <c r="N372" i="14"/>
  <c r="U372" i="14" s="1"/>
  <c r="N371" i="14"/>
  <c r="N370" i="14"/>
  <c r="U370" i="14" s="1"/>
  <c r="N369" i="14"/>
  <c r="U369" i="14" s="1"/>
  <c r="N368" i="14"/>
  <c r="U368" i="14" s="1"/>
  <c r="N367" i="14"/>
  <c r="U367" i="14" s="1"/>
  <c r="N366" i="14"/>
  <c r="U366" i="14" s="1"/>
  <c r="N365" i="14"/>
  <c r="U365" i="14" s="1"/>
  <c r="N364" i="14"/>
  <c r="U364" i="14" s="1"/>
  <c r="N363" i="14"/>
  <c r="U363" i="14" s="1"/>
  <c r="N362" i="14"/>
  <c r="U362" i="14" s="1"/>
  <c r="N361" i="14"/>
  <c r="U361" i="14" s="1"/>
  <c r="N360" i="14"/>
  <c r="U360" i="14" s="1"/>
  <c r="N359" i="14"/>
  <c r="U359" i="14" s="1"/>
  <c r="N358" i="14"/>
  <c r="U358" i="14" s="1"/>
  <c r="N357" i="14"/>
  <c r="U357" i="14" s="1"/>
  <c r="N356" i="14"/>
  <c r="U356" i="14" s="1"/>
  <c r="N355" i="14"/>
  <c r="U355" i="14" s="1"/>
  <c r="N354" i="14"/>
  <c r="U354" i="14" s="1"/>
  <c r="N353" i="14"/>
  <c r="U353" i="14" s="1"/>
  <c r="N352" i="14"/>
  <c r="U352" i="14" s="1"/>
  <c r="N351" i="14"/>
  <c r="U351" i="14" s="1"/>
  <c r="N350" i="14"/>
  <c r="U350" i="14" s="1"/>
  <c r="N349" i="14"/>
  <c r="U349" i="14" s="1"/>
  <c r="N348" i="14"/>
  <c r="U348" i="14" s="1"/>
  <c r="N347" i="14"/>
  <c r="N346" i="14"/>
  <c r="U346" i="14" s="1"/>
  <c r="N345" i="14"/>
  <c r="U345" i="14" s="1"/>
  <c r="N344" i="14"/>
  <c r="U344" i="14" s="1"/>
  <c r="N343" i="14"/>
  <c r="U343" i="14" s="1"/>
  <c r="N342" i="14"/>
  <c r="U342" i="14" s="1"/>
  <c r="N341" i="14"/>
  <c r="N340" i="14"/>
  <c r="N339" i="14"/>
  <c r="U339" i="14" s="1"/>
  <c r="N338" i="14"/>
  <c r="U338" i="14" s="1"/>
  <c r="N337" i="14"/>
  <c r="U337" i="14" s="1"/>
  <c r="N336" i="14"/>
  <c r="N335" i="14"/>
  <c r="U335" i="14" s="1"/>
  <c r="N334" i="14"/>
  <c r="U334" i="14" s="1"/>
  <c r="N333" i="14"/>
  <c r="U333" i="14" s="1"/>
  <c r="N332" i="14"/>
  <c r="U332" i="14" s="1"/>
  <c r="N331" i="14"/>
  <c r="U331" i="14" s="1"/>
  <c r="N330" i="14"/>
  <c r="U330" i="14" s="1"/>
  <c r="N329" i="14"/>
  <c r="U329" i="14" s="1"/>
  <c r="N328" i="14"/>
  <c r="U328" i="14" s="1"/>
  <c r="N327" i="14"/>
  <c r="U327" i="14" s="1"/>
  <c r="N326" i="14"/>
  <c r="U326" i="14" s="1"/>
  <c r="N325" i="14"/>
  <c r="U325" i="14" s="1"/>
  <c r="N324" i="14"/>
  <c r="U324" i="14" s="1"/>
  <c r="N323" i="14"/>
  <c r="U323" i="14" s="1"/>
  <c r="N322" i="14"/>
  <c r="U322" i="14" s="1"/>
  <c r="N321" i="14"/>
  <c r="U321" i="14" s="1"/>
  <c r="N320" i="14"/>
  <c r="U320" i="14" s="1"/>
  <c r="N319" i="14"/>
  <c r="U319" i="14" s="1"/>
  <c r="N318" i="14"/>
  <c r="U318" i="14" s="1"/>
  <c r="N317" i="14"/>
  <c r="U317" i="14" s="1"/>
  <c r="N316" i="14"/>
  <c r="U316" i="14" s="1"/>
  <c r="N315" i="14"/>
  <c r="N314" i="14"/>
  <c r="U314" i="14" s="1"/>
  <c r="N313" i="14"/>
  <c r="U313" i="14" s="1"/>
  <c r="N312" i="14"/>
  <c r="U312" i="14" s="1"/>
  <c r="N311" i="14"/>
  <c r="U311" i="14" s="1"/>
  <c r="N310" i="14"/>
  <c r="U310" i="14" s="1"/>
  <c r="N309" i="14"/>
  <c r="U309" i="14" s="1"/>
  <c r="N308" i="14"/>
  <c r="U308" i="14" s="1"/>
  <c r="N307" i="14"/>
  <c r="U307" i="14" s="1"/>
  <c r="N306" i="14"/>
  <c r="U306" i="14" s="1"/>
  <c r="N305" i="14"/>
  <c r="U305" i="14" s="1"/>
  <c r="N304" i="14"/>
  <c r="U304" i="14" s="1"/>
  <c r="N303" i="14"/>
  <c r="U303" i="14" s="1"/>
  <c r="N302" i="14"/>
  <c r="U302" i="14" s="1"/>
  <c r="N301" i="14"/>
  <c r="U301" i="14" s="1"/>
  <c r="N300" i="14"/>
  <c r="U300" i="14" s="1"/>
  <c r="N299" i="14"/>
  <c r="U299" i="14" s="1"/>
  <c r="N298" i="14"/>
  <c r="U298" i="14" s="1"/>
  <c r="N297" i="14"/>
  <c r="U297" i="14" s="1"/>
  <c r="N295" i="14"/>
  <c r="U295" i="14" s="1"/>
  <c r="N294" i="14"/>
  <c r="U294" i="14" s="1"/>
  <c r="N293" i="14"/>
  <c r="U293" i="14" s="1"/>
  <c r="N292" i="14"/>
  <c r="U292" i="14" s="1"/>
  <c r="N291" i="14"/>
  <c r="N290" i="14"/>
  <c r="U290" i="14" s="1"/>
  <c r="N289" i="14"/>
  <c r="U289" i="14" s="1"/>
  <c r="N287" i="14"/>
  <c r="U287" i="14" s="1"/>
  <c r="N286" i="14"/>
  <c r="U286" i="14" s="1"/>
  <c r="N285" i="14"/>
  <c r="U285" i="14" s="1"/>
  <c r="N284" i="14"/>
  <c r="U284" i="14" s="1"/>
  <c r="N283" i="14"/>
  <c r="U283" i="14" s="1"/>
  <c r="N282" i="14"/>
  <c r="U282" i="14" s="1"/>
  <c r="N281" i="14"/>
  <c r="U281" i="14" s="1"/>
  <c r="N279" i="14"/>
  <c r="U279" i="14" s="1"/>
  <c r="N278" i="14"/>
  <c r="U278" i="14" s="1"/>
  <c r="N277" i="14"/>
  <c r="U277" i="14" s="1"/>
  <c r="N276" i="14"/>
  <c r="U276" i="14" s="1"/>
  <c r="N275" i="14"/>
  <c r="U275" i="14" s="1"/>
  <c r="N274" i="14"/>
  <c r="U274" i="14" s="1"/>
  <c r="N273" i="14"/>
  <c r="U273" i="14" s="1"/>
  <c r="N271" i="14"/>
  <c r="U271" i="14" s="1"/>
  <c r="N270" i="14"/>
  <c r="N269" i="14"/>
  <c r="U269" i="14" s="1"/>
  <c r="N268" i="14"/>
  <c r="U268" i="14" s="1"/>
  <c r="N267" i="14"/>
  <c r="N266" i="14"/>
  <c r="U266" i="14" s="1"/>
  <c r="N265" i="14"/>
  <c r="U265" i="14" s="1"/>
  <c r="N263" i="14"/>
  <c r="U263" i="14" s="1"/>
  <c r="N262" i="14"/>
  <c r="U262" i="14" s="1"/>
  <c r="N261" i="14"/>
  <c r="U261" i="14" s="1"/>
  <c r="N260" i="14"/>
  <c r="U260" i="14" s="1"/>
  <c r="N259" i="14"/>
  <c r="U259" i="14" s="1"/>
  <c r="N258" i="14"/>
  <c r="U258" i="14" s="1"/>
  <c r="N257" i="14"/>
  <c r="U257" i="14" s="1"/>
  <c r="N255" i="14"/>
  <c r="U255" i="14" s="1"/>
  <c r="N254" i="14"/>
  <c r="U254" i="14" s="1"/>
  <c r="N253" i="14"/>
  <c r="U253" i="14" s="1"/>
  <c r="N252" i="14"/>
  <c r="U252" i="14" s="1"/>
  <c r="N251" i="14"/>
  <c r="U251" i="14" s="1"/>
  <c r="N250" i="14"/>
  <c r="U250" i="14" s="1"/>
  <c r="N249" i="14"/>
  <c r="U249" i="14" s="1"/>
  <c r="N247" i="14"/>
  <c r="U247" i="14" s="1"/>
  <c r="N246" i="14"/>
  <c r="U246" i="14" s="1"/>
  <c r="N245" i="14"/>
  <c r="U245" i="14" s="1"/>
  <c r="N244" i="14"/>
  <c r="U244" i="14" s="1"/>
  <c r="N243" i="14"/>
  <c r="U243" i="14" s="1"/>
  <c r="N242" i="14"/>
  <c r="U242" i="14" s="1"/>
  <c r="N241" i="14"/>
  <c r="U241" i="14" s="1"/>
  <c r="N239" i="14"/>
  <c r="U239" i="14" s="1"/>
  <c r="N238" i="14"/>
  <c r="U238" i="14" s="1"/>
  <c r="N237" i="14"/>
  <c r="N236" i="14"/>
  <c r="U236" i="14" s="1"/>
  <c r="N235" i="14"/>
  <c r="N234" i="14"/>
  <c r="U234" i="14" s="1"/>
  <c r="N233" i="14"/>
  <c r="U233" i="14" s="1"/>
  <c r="N231" i="14"/>
  <c r="U231" i="14" s="1"/>
  <c r="N230" i="14"/>
  <c r="U230" i="14" s="1"/>
  <c r="N229" i="14"/>
  <c r="U229" i="14" s="1"/>
  <c r="N228" i="14"/>
  <c r="U228" i="14" s="1"/>
  <c r="N227" i="14"/>
  <c r="U227" i="14" s="1"/>
  <c r="N226" i="14"/>
  <c r="U226" i="14" s="1"/>
  <c r="N225" i="14"/>
  <c r="U225" i="14" s="1"/>
  <c r="N223" i="14"/>
  <c r="U223" i="14" s="1"/>
  <c r="N222" i="14"/>
  <c r="U222" i="14" s="1"/>
  <c r="N221" i="14"/>
  <c r="U221" i="14" s="1"/>
  <c r="N220" i="14"/>
  <c r="U220" i="14" s="1"/>
  <c r="N219" i="14"/>
  <c r="U219" i="14" s="1"/>
  <c r="N218" i="14"/>
  <c r="U218" i="14" s="1"/>
  <c r="N217" i="14"/>
  <c r="U217" i="14" s="1"/>
  <c r="N215" i="14"/>
  <c r="U215" i="14" s="1"/>
  <c r="N214" i="14"/>
  <c r="U214" i="14" s="1"/>
  <c r="N213" i="14"/>
  <c r="U213" i="14" s="1"/>
  <c r="N212" i="14"/>
  <c r="U212" i="14" s="1"/>
  <c r="N211" i="14"/>
  <c r="U211" i="14" s="1"/>
  <c r="N210" i="14"/>
  <c r="U210" i="14" s="1"/>
  <c r="N209" i="14"/>
  <c r="U209" i="14" s="1"/>
  <c r="N207" i="14"/>
  <c r="U207" i="14" s="1"/>
  <c r="N206" i="14"/>
  <c r="U206" i="14" s="1"/>
  <c r="N205" i="14"/>
  <c r="U205" i="14" s="1"/>
  <c r="N204" i="14"/>
  <c r="U204" i="14" s="1"/>
  <c r="N203" i="14"/>
  <c r="U203" i="14" s="1"/>
  <c r="N202" i="14"/>
  <c r="U202" i="14" s="1"/>
  <c r="N201" i="14"/>
  <c r="U201" i="14" s="1"/>
  <c r="N199" i="14"/>
  <c r="U199" i="14" s="1"/>
  <c r="N198" i="14"/>
  <c r="U198" i="14" s="1"/>
  <c r="N197" i="14"/>
  <c r="U197" i="14" s="1"/>
  <c r="N196" i="14"/>
  <c r="U196" i="14" s="1"/>
  <c r="N195" i="14"/>
  <c r="U195" i="14" s="1"/>
  <c r="N194" i="14"/>
  <c r="U194" i="14" s="1"/>
  <c r="N193" i="14"/>
  <c r="U193" i="14" s="1"/>
  <c r="N191" i="14"/>
  <c r="U191" i="14" s="1"/>
  <c r="N190" i="14"/>
  <c r="U190" i="14" s="1"/>
  <c r="N189" i="14"/>
  <c r="U189" i="14" s="1"/>
  <c r="N188" i="14"/>
  <c r="U188" i="14" s="1"/>
  <c r="N187" i="14"/>
  <c r="U187" i="14" s="1"/>
  <c r="N186" i="14"/>
  <c r="U186" i="14" s="1"/>
  <c r="N185" i="14"/>
  <c r="U185" i="14" s="1"/>
  <c r="N183" i="14"/>
  <c r="U183" i="14" s="1"/>
  <c r="N182" i="14"/>
  <c r="U182" i="14" s="1"/>
  <c r="N181" i="14"/>
  <c r="U181" i="14" s="1"/>
  <c r="N180" i="14"/>
  <c r="U180" i="14" s="1"/>
  <c r="N179" i="14"/>
  <c r="N178" i="14"/>
  <c r="U178" i="14" s="1"/>
  <c r="N177" i="14"/>
  <c r="U177" i="14" s="1"/>
  <c r="N175" i="14"/>
  <c r="U175" i="14" s="1"/>
  <c r="N174" i="14"/>
  <c r="U174" i="14" s="1"/>
  <c r="N173" i="14"/>
  <c r="U173" i="14" s="1"/>
  <c r="N172" i="14"/>
  <c r="U172" i="14" s="1"/>
  <c r="N171" i="14"/>
  <c r="U171" i="14" s="1"/>
  <c r="N170" i="14"/>
  <c r="U170" i="14" s="1"/>
  <c r="N169" i="14"/>
  <c r="U169" i="14" s="1"/>
  <c r="N167" i="14"/>
  <c r="U167" i="14" s="1"/>
  <c r="N166" i="14"/>
  <c r="N165" i="14"/>
  <c r="U165" i="14" s="1"/>
  <c r="N164" i="14"/>
  <c r="U164" i="14" s="1"/>
  <c r="N163" i="14"/>
  <c r="U163" i="14" s="1"/>
  <c r="N162" i="14"/>
  <c r="U162" i="14" s="1"/>
  <c r="N161" i="14"/>
  <c r="U161" i="14" s="1"/>
  <c r="N159" i="14"/>
  <c r="U159" i="14" s="1"/>
  <c r="N158" i="14"/>
  <c r="U158" i="14" s="1"/>
  <c r="N157" i="14"/>
  <c r="U157" i="14" s="1"/>
  <c r="N156" i="14"/>
  <c r="U156" i="14" s="1"/>
  <c r="N155" i="14"/>
  <c r="U155" i="14" s="1"/>
  <c r="N154" i="14"/>
  <c r="U154" i="14" s="1"/>
  <c r="N153" i="14"/>
  <c r="U153" i="14" s="1"/>
  <c r="N151" i="14"/>
  <c r="U151" i="14" s="1"/>
  <c r="N150" i="14"/>
  <c r="U150" i="14" s="1"/>
  <c r="N149" i="14"/>
  <c r="U149" i="14" s="1"/>
  <c r="N148" i="14"/>
  <c r="U148" i="14" s="1"/>
  <c r="N147" i="14"/>
  <c r="U147" i="14" s="1"/>
  <c r="N146" i="14"/>
  <c r="U146" i="14" s="1"/>
  <c r="N145" i="14"/>
  <c r="U145" i="14" s="1"/>
  <c r="N143" i="14"/>
  <c r="U143" i="14" s="1"/>
  <c r="N142" i="14"/>
  <c r="U142" i="14" s="1"/>
  <c r="N141" i="14"/>
  <c r="U141" i="14" s="1"/>
  <c r="N140" i="14"/>
  <c r="U140" i="14" s="1"/>
  <c r="N139" i="14"/>
  <c r="U139" i="14" s="1"/>
  <c r="N138" i="14"/>
  <c r="U138" i="14" s="1"/>
  <c r="N137" i="14"/>
  <c r="U137" i="14" s="1"/>
  <c r="N135" i="14"/>
  <c r="U135" i="14" s="1"/>
  <c r="N134" i="14"/>
  <c r="U134" i="14" s="1"/>
  <c r="N133" i="14"/>
  <c r="U133" i="14" s="1"/>
  <c r="N132" i="14"/>
  <c r="U132" i="14" s="1"/>
  <c r="N131" i="14"/>
  <c r="U131" i="14" s="1"/>
  <c r="N130" i="14"/>
  <c r="U130" i="14" s="1"/>
  <c r="N129" i="14"/>
  <c r="U129" i="14" s="1"/>
  <c r="N127" i="14"/>
  <c r="U127" i="14" s="1"/>
  <c r="N126" i="14"/>
  <c r="U126" i="14" s="1"/>
  <c r="N125" i="14"/>
  <c r="U125" i="14" s="1"/>
  <c r="N124" i="14"/>
  <c r="U124" i="14" s="1"/>
  <c r="N123" i="14"/>
  <c r="U123" i="14" s="1"/>
  <c r="N122" i="14"/>
  <c r="U122" i="14" s="1"/>
  <c r="N121" i="14"/>
  <c r="U121" i="14" s="1"/>
  <c r="N119" i="14"/>
  <c r="U119" i="14" s="1"/>
  <c r="N118" i="14"/>
  <c r="U118" i="14" s="1"/>
  <c r="N117" i="14"/>
  <c r="U117" i="14" s="1"/>
  <c r="N116" i="14"/>
  <c r="U116" i="14" s="1"/>
  <c r="N115" i="14"/>
  <c r="U115" i="14" s="1"/>
  <c r="N114" i="14"/>
  <c r="U114" i="14" s="1"/>
  <c r="N113" i="14"/>
  <c r="U113" i="14" s="1"/>
  <c r="N111" i="14"/>
  <c r="U111" i="14" s="1"/>
  <c r="N110" i="14"/>
  <c r="U110" i="14" s="1"/>
  <c r="N109" i="14"/>
  <c r="U109" i="14" s="1"/>
  <c r="N108" i="14"/>
  <c r="U108" i="14" s="1"/>
  <c r="N107" i="14"/>
  <c r="U107" i="14" s="1"/>
  <c r="N106" i="14"/>
  <c r="U106" i="14" s="1"/>
  <c r="N105" i="14"/>
  <c r="U105" i="14" s="1"/>
  <c r="N103" i="14"/>
  <c r="U103" i="14" s="1"/>
  <c r="N102" i="14"/>
  <c r="U102" i="14" s="1"/>
  <c r="N101" i="14"/>
  <c r="U101" i="14" s="1"/>
  <c r="N100" i="14"/>
  <c r="U100" i="14" s="1"/>
  <c r="N99" i="14"/>
  <c r="U99" i="14" s="1"/>
  <c r="N98" i="14"/>
  <c r="U98" i="14" s="1"/>
  <c r="N97" i="14"/>
  <c r="U97" i="14" s="1"/>
  <c r="N95" i="14"/>
  <c r="U95" i="14" s="1"/>
  <c r="N94" i="14"/>
  <c r="U94" i="14" s="1"/>
  <c r="N93" i="14"/>
  <c r="U93" i="14" s="1"/>
  <c r="N92" i="14"/>
  <c r="U92" i="14" s="1"/>
  <c r="N91" i="14"/>
  <c r="U91" i="14" s="1"/>
  <c r="N90" i="14"/>
  <c r="U90" i="14" s="1"/>
  <c r="N89" i="14"/>
  <c r="U89" i="14" s="1"/>
  <c r="N87" i="14"/>
  <c r="U87" i="14" s="1"/>
  <c r="N86" i="14"/>
  <c r="U86" i="14" s="1"/>
  <c r="N85" i="14"/>
  <c r="U85" i="14" s="1"/>
  <c r="N84" i="14"/>
  <c r="U84" i="14" s="1"/>
  <c r="N83" i="14"/>
  <c r="U83" i="14" s="1"/>
  <c r="N82" i="14"/>
  <c r="U82" i="14" s="1"/>
  <c r="N81" i="14"/>
  <c r="U81" i="14" s="1"/>
  <c r="N79" i="14"/>
  <c r="U79" i="14" s="1"/>
  <c r="N78" i="14"/>
  <c r="U78" i="14" s="1"/>
  <c r="N77" i="14"/>
  <c r="U77" i="14" s="1"/>
  <c r="N76" i="14"/>
  <c r="U76" i="14" s="1"/>
  <c r="N75" i="14"/>
  <c r="U75" i="14" s="1"/>
  <c r="N74" i="14"/>
  <c r="U74" i="14" s="1"/>
  <c r="N73" i="14"/>
  <c r="U73" i="14" s="1"/>
  <c r="N71" i="14"/>
  <c r="U71" i="14" s="1"/>
  <c r="N70" i="14"/>
  <c r="U70" i="14" s="1"/>
  <c r="N69" i="14"/>
  <c r="U69" i="14" s="1"/>
  <c r="N68" i="14"/>
  <c r="U68" i="14" s="1"/>
  <c r="N67" i="14"/>
  <c r="U67" i="14" s="1"/>
  <c r="N66" i="14"/>
  <c r="U66" i="14" s="1"/>
  <c r="N65" i="14"/>
  <c r="U65" i="14" s="1"/>
  <c r="N63" i="14"/>
  <c r="U63" i="14" s="1"/>
  <c r="N62" i="14"/>
  <c r="U62" i="14" s="1"/>
  <c r="N61" i="14"/>
  <c r="U61" i="14" s="1"/>
  <c r="N60" i="14"/>
  <c r="U60" i="14" s="1"/>
  <c r="N59" i="14"/>
  <c r="U59" i="14" s="1"/>
  <c r="N58" i="14"/>
  <c r="U58" i="14" s="1"/>
  <c r="N57" i="14"/>
  <c r="U57" i="14" s="1"/>
  <c r="N55" i="14"/>
  <c r="U55" i="14" s="1"/>
  <c r="N54" i="14"/>
  <c r="U54" i="14" s="1"/>
  <c r="N53" i="14"/>
  <c r="U53" i="14" s="1"/>
  <c r="N52" i="14"/>
  <c r="U52" i="14" s="1"/>
  <c r="N51" i="14"/>
  <c r="U51" i="14" s="1"/>
  <c r="N50" i="14"/>
  <c r="U50" i="14" s="1"/>
  <c r="N49" i="14"/>
  <c r="U49" i="14" s="1"/>
  <c r="N47" i="14"/>
  <c r="U47" i="14" s="1"/>
  <c r="N46" i="14"/>
  <c r="U46" i="14" s="1"/>
  <c r="N45" i="14"/>
  <c r="U45" i="14" s="1"/>
  <c r="N44" i="14"/>
  <c r="U44" i="14" s="1"/>
  <c r="N43" i="14"/>
  <c r="U43" i="14" s="1"/>
  <c r="N42" i="14"/>
  <c r="U42" i="14" s="1"/>
  <c r="N41" i="14"/>
  <c r="U41" i="14" s="1"/>
  <c r="N39" i="14"/>
  <c r="U39" i="14" s="1"/>
  <c r="N38" i="14"/>
  <c r="U38" i="14" s="1"/>
  <c r="N37" i="14"/>
  <c r="U37" i="14" s="1"/>
  <c r="N36" i="14"/>
  <c r="U36" i="14" s="1"/>
  <c r="N35" i="14"/>
  <c r="U35" i="14" s="1"/>
  <c r="N34" i="14"/>
  <c r="U34" i="14" s="1"/>
  <c r="N33" i="14"/>
  <c r="U33" i="14" s="1"/>
  <c r="N31" i="14"/>
  <c r="U31" i="14" s="1"/>
  <c r="N30" i="14"/>
  <c r="U30" i="14" s="1"/>
  <c r="N29" i="14"/>
  <c r="U29" i="14" s="1"/>
  <c r="N28" i="14"/>
  <c r="U28" i="14" s="1"/>
  <c r="N27" i="14"/>
  <c r="U27" i="14" s="1"/>
  <c r="N26" i="14"/>
  <c r="U26" i="14" s="1"/>
  <c r="N25" i="14"/>
  <c r="U25" i="14" s="1"/>
  <c r="N23" i="14"/>
  <c r="U23" i="14" s="1"/>
  <c r="N22" i="14"/>
  <c r="U22" i="14" s="1"/>
  <c r="N21" i="14"/>
  <c r="U21" i="14" s="1"/>
  <c r="N20" i="14"/>
  <c r="U20" i="14" s="1"/>
  <c r="N19" i="14"/>
  <c r="U19" i="14" s="1"/>
  <c r="N18" i="14"/>
  <c r="U18" i="14" s="1"/>
  <c r="N17" i="14"/>
  <c r="U17" i="14" s="1"/>
  <c r="N15" i="14"/>
  <c r="U15" i="14" s="1"/>
  <c r="N12" i="14"/>
  <c r="U12" i="14" s="1"/>
  <c r="N11" i="14"/>
  <c r="U11" i="14" s="1"/>
  <c r="N10" i="14"/>
  <c r="U10" i="14" s="1"/>
  <c r="N9" i="14"/>
  <c r="U9" i="14" s="1"/>
  <c r="N8" i="14"/>
  <c r="U8" i="14" s="1"/>
  <c r="N7" i="14"/>
  <c r="U7" i="14" s="1"/>
  <c r="N5" i="14"/>
  <c r="N4" i="14"/>
  <c r="U4" i="14" s="1"/>
  <c r="U392" i="14"/>
  <c r="U373" i="14"/>
  <c r="U371" i="14"/>
  <c r="U347" i="14"/>
  <c r="U341" i="14"/>
  <c r="U340" i="14"/>
  <c r="U336" i="14"/>
  <c r="U315" i="14"/>
  <c r="U291" i="14"/>
  <c r="U270" i="14"/>
  <c r="U267" i="14"/>
  <c r="U237" i="14"/>
  <c r="U235" i="14"/>
  <c r="U179" i="14"/>
  <c r="U166" i="14"/>
  <c r="U5" i="14"/>
  <c r="U6" i="14"/>
  <c r="U488" i="14"/>
  <c r="U487" i="14"/>
  <c r="U486" i="14"/>
  <c r="U485" i="14"/>
  <c r="U484" i="14"/>
  <c r="U483" i="14"/>
  <c r="U482" i="14"/>
  <c r="U481" i="14"/>
  <c r="U480" i="14"/>
  <c r="U479" i="14"/>
  <c r="U478" i="14"/>
  <c r="U477" i="14"/>
  <c r="U476" i="14"/>
  <c r="U475" i="14"/>
  <c r="U474" i="14"/>
  <c r="U473" i="14"/>
  <c r="U472" i="14"/>
  <c r="U471" i="14"/>
  <c r="U470" i="14"/>
  <c r="U469" i="14"/>
  <c r="U468" i="14"/>
  <c r="U467" i="14"/>
  <c r="U466" i="14"/>
  <c r="U465" i="14"/>
  <c r="U464" i="14"/>
  <c r="U463" i="14"/>
  <c r="U462" i="14"/>
  <c r="U461" i="14"/>
  <c r="U460" i="14"/>
  <c r="U459" i="14"/>
  <c r="U458" i="14"/>
  <c r="U457" i="14"/>
  <c r="U456" i="14"/>
  <c r="U455" i="14"/>
  <c r="U454" i="14"/>
  <c r="U453" i="14"/>
  <c r="U452" i="14"/>
  <c r="U451" i="14"/>
  <c r="U450" i="14"/>
  <c r="U449" i="14"/>
  <c r="U448" i="14"/>
  <c r="U447" i="14"/>
  <c r="U446" i="14"/>
  <c r="U445" i="14"/>
  <c r="U444" i="14"/>
  <c r="U443" i="14"/>
  <c r="U442" i="14"/>
  <c r="U441" i="14"/>
  <c r="U440" i="14"/>
  <c r="U439" i="14"/>
  <c r="U438" i="14"/>
  <c r="U437" i="14"/>
  <c r="U436" i="14"/>
  <c r="U435" i="14"/>
  <c r="U434" i="14"/>
  <c r="U433" i="14"/>
  <c r="U432" i="14"/>
  <c r="U431" i="14"/>
  <c r="U430" i="14"/>
  <c r="U429" i="14"/>
  <c r="U428" i="14"/>
  <c r="U427" i="14"/>
  <c r="U426" i="14"/>
  <c r="U425" i="14"/>
  <c r="U424" i="14"/>
  <c r="U423" i="14"/>
  <c r="U422" i="14"/>
  <c r="U421" i="14"/>
  <c r="U420" i="14"/>
  <c r="U419" i="14"/>
  <c r="U418" i="14"/>
  <c r="U417" i="14"/>
  <c r="U416" i="14"/>
  <c r="U415" i="14"/>
  <c r="U414" i="14"/>
  <c r="U413" i="14"/>
  <c r="U412" i="14"/>
  <c r="U411" i="14"/>
  <c r="U410" i="14"/>
  <c r="U409" i="14"/>
  <c r="U408" i="14"/>
  <c r="U407" i="14"/>
  <c r="U406" i="14"/>
  <c r="U405" i="14"/>
  <c r="U404" i="14"/>
  <c r="U403" i="14"/>
  <c r="U402" i="14"/>
  <c r="U401" i="14"/>
  <c r="N6" i="14"/>
  <c r="W5" i="15"/>
  <c r="P32" i="15"/>
  <c r="P29" i="15"/>
  <c r="P28" i="15"/>
  <c r="P27" i="15"/>
  <c r="N262" i="15"/>
  <c r="N261" i="15"/>
  <c r="N260" i="15"/>
  <c r="N259" i="15"/>
  <c r="N258" i="15"/>
  <c r="N257" i="15"/>
  <c r="N256" i="15"/>
  <c r="R256" i="15" s="1"/>
  <c r="T256" i="15" s="1"/>
  <c r="N255" i="15"/>
  <c r="R255" i="15" s="1"/>
  <c r="T255" i="15" s="1"/>
  <c r="N254" i="15"/>
  <c r="N253" i="15"/>
  <c r="N252" i="15"/>
  <c r="N251" i="15"/>
  <c r="N250" i="15"/>
  <c r="N249" i="15"/>
  <c r="N248" i="15"/>
  <c r="R248" i="15" s="1"/>
  <c r="T248" i="15" s="1"/>
  <c r="N247" i="15"/>
  <c r="R247" i="15" s="1"/>
  <c r="T247" i="15" s="1"/>
  <c r="N246" i="15"/>
  <c r="N245" i="15"/>
  <c r="N244" i="15"/>
  <c r="N243" i="15"/>
  <c r="N242" i="15"/>
  <c r="N241" i="15"/>
  <c r="N240" i="15"/>
  <c r="R240" i="15" s="1"/>
  <c r="T240" i="15" s="1"/>
  <c r="N239" i="15"/>
  <c r="R239" i="15" s="1"/>
  <c r="T239" i="15" s="1"/>
  <c r="N238" i="15"/>
  <c r="N237" i="15"/>
  <c r="N236" i="15"/>
  <c r="N235" i="15"/>
  <c r="N234" i="15"/>
  <c r="N233" i="15"/>
  <c r="N232" i="15"/>
  <c r="R232" i="15" s="1"/>
  <c r="T232" i="15" s="1"/>
  <c r="N231" i="15"/>
  <c r="R231" i="15" s="1"/>
  <c r="T231" i="15" s="1"/>
  <c r="N230" i="15"/>
  <c r="N229" i="15"/>
  <c r="N228" i="15"/>
  <c r="N227" i="15"/>
  <c r="N226" i="15"/>
  <c r="N225" i="15"/>
  <c r="N224" i="15"/>
  <c r="R224" i="15" s="1"/>
  <c r="T224" i="15" s="1"/>
  <c r="N223" i="15"/>
  <c r="R223" i="15" s="1"/>
  <c r="T223" i="15" s="1"/>
  <c r="N222" i="15"/>
  <c r="N221" i="15"/>
  <c r="N220" i="15"/>
  <c r="N219" i="15"/>
  <c r="N218" i="15"/>
  <c r="N217" i="15"/>
  <c r="N216" i="15"/>
  <c r="R216" i="15" s="1"/>
  <c r="T216" i="15" s="1"/>
  <c r="N215" i="15"/>
  <c r="N214" i="15"/>
  <c r="N213" i="15"/>
  <c r="N212" i="15"/>
  <c r="N211" i="15"/>
  <c r="N210" i="15"/>
  <c r="N209" i="15"/>
  <c r="N208" i="15"/>
  <c r="R208" i="15" s="1"/>
  <c r="T208" i="15" s="1"/>
  <c r="N207" i="15"/>
  <c r="R207" i="15" s="1"/>
  <c r="T207" i="15" s="1"/>
  <c r="N206" i="15"/>
  <c r="N205" i="15"/>
  <c r="N204" i="15"/>
  <c r="N203" i="15"/>
  <c r="N202" i="15"/>
  <c r="N201" i="15"/>
  <c r="N200" i="15"/>
  <c r="R200" i="15" s="1"/>
  <c r="T200" i="15" s="1"/>
  <c r="N199" i="15"/>
  <c r="R199" i="15" s="1"/>
  <c r="T199" i="15" s="1"/>
  <c r="N198" i="15"/>
  <c r="N197" i="15"/>
  <c r="N196" i="15"/>
  <c r="N195" i="15"/>
  <c r="N194" i="15"/>
  <c r="N193" i="15"/>
  <c r="N192" i="15"/>
  <c r="R192" i="15" s="1"/>
  <c r="T192" i="15" s="1"/>
  <c r="N191" i="15"/>
  <c r="R191" i="15" s="1"/>
  <c r="T191" i="15" s="1"/>
  <c r="N190" i="15"/>
  <c r="N189" i="15"/>
  <c r="N188" i="15"/>
  <c r="N187" i="15"/>
  <c r="N186" i="15"/>
  <c r="N185" i="15"/>
  <c r="N184" i="15"/>
  <c r="R184" i="15" s="1"/>
  <c r="T184" i="15" s="1"/>
  <c r="N183" i="15"/>
  <c r="R183" i="15" s="1"/>
  <c r="T183" i="15" s="1"/>
  <c r="N182" i="15"/>
  <c r="N181" i="15"/>
  <c r="N180" i="15"/>
  <c r="N179" i="15"/>
  <c r="N178" i="15"/>
  <c r="N177" i="15"/>
  <c r="N176" i="15"/>
  <c r="R176" i="15" s="1"/>
  <c r="T176" i="15" s="1"/>
  <c r="N175" i="15"/>
  <c r="R175" i="15" s="1"/>
  <c r="T175" i="15" s="1"/>
  <c r="N174" i="15"/>
  <c r="N173" i="15"/>
  <c r="N172" i="15"/>
  <c r="N171" i="15"/>
  <c r="N170" i="15"/>
  <c r="N169" i="15"/>
  <c r="N168" i="15"/>
  <c r="R168" i="15" s="1"/>
  <c r="T168" i="15" s="1"/>
  <c r="N167" i="15"/>
  <c r="R167" i="15" s="1"/>
  <c r="T167" i="15" s="1"/>
  <c r="N166" i="15"/>
  <c r="N165" i="15"/>
  <c r="N164" i="15"/>
  <c r="N163" i="15"/>
  <c r="N162" i="15"/>
  <c r="R162" i="15" s="1"/>
  <c r="T162" i="15" s="1"/>
  <c r="N161" i="15"/>
  <c r="N160" i="15"/>
  <c r="R160" i="15" s="1"/>
  <c r="T160" i="15" s="1"/>
  <c r="N159" i="15"/>
  <c r="R159" i="15" s="1"/>
  <c r="T159" i="15" s="1"/>
  <c r="N158" i="15"/>
  <c r="N157" i="15"/>
  <c r="N156" i="15"/>
  <c r="N155" i="15"/>
  <c r="N154" i="15"/>
  <c r="N153" i="15"/>
  <c r="N152" i="15"/>
  <c r="R152" i="15" s="1"/>
  <c r="T152" i="15" s="1"/>
  <c r="N151" i="15"/>
  <c r="N150" i="15"/>
  <c r="N149" i="15"/>
  <c r="N148" i="15"/>
  <c r="N147" i="15"/>
  <c r="N146" i="15"/>
  <c r="R146" i="15" s="1"/>
  <c r="T146" i="15" s="1"/>
  <c r="N145" i="15"/>
  <c r="N144" i="15"/>
  <c r="R144" i="15" s="1"/>
  <c r="T144" i="15" s="1"/>
  <c r="N143" i="15"/>
  <c r="R143" i="15" s="1"/>
  <c r="T143" i="15" s="1"/>
  <c r="N142" i="15"/>
  <c r="N141" i="15"/>
  <c r="N140" i="15"/>
  <c r="N139" i="15"/>
  <c r="N138" i="15"/>
  <c r="R138" i="15" s="1"/>
  <c r="T138" i="15" s="1"/>
  <c r="N137" i="15"/>
  <c r="N136" i="15"/>
  <c r="R136" i="15" s="1"/>
  <c r="T136" i="15" s="1"/>
  <c r="N135" i="15"/>
  <c r="R135" i="15" s="1"/>
  <c r="T135" i="15" s="1"/>
  <c r="N134" i="15"/>
  <c r="N133" i="15"/>
  <c r="N132" i="15"/>
  <c r="N131" i="15"/>
  <c r="N130" i="15"/>
  <c r="R130" i="15" s="1"/>
  <c r="T130" i="15" s="1"/>
  <c r="N129" i="15"/>
  <c r="N128" i="15"/>
  <c r="R128" i="15" s="1"/>
  <c r="T128" i="15" s="1"/>
  <c r="N127" i="15"/>
  <c r="R127" i="15" s="1"/>
  <c r="T127" i="15" s="1"/>
  <c r="N126" i="15"/>
  <c r="N125" i="15"/>
  <c r="N124" i="15"/>
  <c r="N123" i="15"/>
  <c r="N122" i="15"/>
  <c r="R122" i="15" s="1"/>
  <c r="T122" i="15" s="1"/>
  <c r="N121" i="15"/>
  <c r="N120" i="15"/>
  <c r="R120" i="15" s="1"/>
  <c r="T120" i="15" s="1"/>
  <c r="N119" i="15"/>
  <c r="R119" i="15" s="1"/>
  <c r="T119" i="15" s="1"/>
  <c r="N118" i="15"/>
  <c r="N117" i="15"/>
  <c r="N116" i="15"/>
  <c r="N115" i="15"/>
  <c r="N114" i="15"/>
  <c r="R114" i="15" s="1"/>
  <c r="T114" i="15" s="1"/>
  <c r="N113" i="15"/>
  <c r="N112" i="15"/>
  <c r="R112" i="15" s="1"/>
  <c r="T112" i="15" s="1"/>
  <c r="N111" i="15"/>
  <c r="R111" i="15" s="1"/>
  <c r="T111" i="15" s="1"/>
  <c r="N110" i="15"/>
  <c r="N109" i="15"/>
  <c r="N108" i="15"/>
  <c r="N107" i="15"/>
  <c r="N106" i="15"/>
  <c r="R106" i="15" s="1"/>
  <c r="T106" i="15" s="1"/>
  <c r="N105" i="15"/>
  <c r="N104" i="15"/>
  <c r="R104" i="15" s="1"/>
  <c r="T104" i="15" s="1"/>
  <c r="N103" i="15"/>
  <c r="R103" i="15" s="1"/>
  <c r="T103" i="15" s="1"/>
  <c r="N102" i="15"/>
  <c r="N101" i="15"/>
  <c r="N100" i="15"/>
  <c r="N99" i="15"/>
  <c r="N98" i="15"/>
  <c r="R98" i="15" s="1"/>
  <c r="T98" i="15" s="1"/>
  <c r="N97" i="15"/>
  <c r="N96" i="15"/>
  <c r="R96" i="15" s="1"/>
  <c r="T96" i="15" s="1"/>
  <c r="N95" i="15"/>
  <c r="R95" i="15" s="1"/>
  <c r="T95" i="15" s="1"/>
  <c r="N94" i="15"/>
  <c r="N93" i="15"/>
  <c r="N92" i="15"/>
  <c r="N91" i="15"/>
  <c r="N90" i="15"/>
  <c r="R90" i="15" s="1"/>
  <c r="T90" i="15" s="1"/>
  <c r="N89" i="15"/>
  <c r="N88" i="15"/>
  <c r="R88" i="15" s="1"/>
  <c r="T88" i="15" s="1"/>
  <c r="N87" i="15"/>
  <c r="N86" i="15"/>
  <c r="N85" i="15"/>
  <c r="N84" i="15"/>
  <c r="N83" i="15"/>
  <c r="N82" i="15"/>
  <c r="R82" i="15" s="1"/>
  <c r="T82" i="15" s="1"/>
  <c r="N81" i="15"/>
  <c r="N80" i="15"/>
  <c r="R80" i="15" s="1"/>
  <c r="T80" i="15" s="1"/>
  <c r="N79" i="15"/>
  <c r="R79" i="15" s="1"/>
  <c r="T79" i="15" s="1"/>
  <c r="N78" i="15"/>
  <c r="N77" i="15"/>
  <c r="N76" i="15"/>
  <c r="N75" i="15"/>
  <c r="N74" i="15"/>
  <c r="R74" i="15" s="1"/>
  <c r="T74" i="15" s="1"/>
  <c r="N73" i="15"/>
  <c r="N72" i="15"/>
  <c r="R72" i="15" s="1"/>
  <c r="T72" i="15" s="1"/>
  <c r="N71" i="15"/>
  <c r="R71" i="15" s="1"/>
  <c r="T71" i="15" s="1"/>
  <c r="N70" i="15"/>
  <c r="N69" i="15"/>
  <c r="N68" i="15"/>
  <c r="N67" i="15"/>
  <c r="N66" i="15"/>
  <c r="R66" i="15" s="1"/>
  <c r="T66" i="15" s="1"/>
  <c r="N65" i="15"/>
  <c r="N64" i="15"/>
  <c r="R64" i="15" s="1"/>
  <c r="T64" i="15" s="1"/>
  <c r="N63" i="15"/>
  <c r="R63" i="15" s="1"/>
  <c r="T63" i="15" s="1"/>
  <c r="N62" i="15"/>
  <c r="N61" i="15"/>
  <c r="N60" i="15"/>
  <c r="N59" i="15"/>
  <c r="N58" i="15"/>
  <c r="R58" i="15" s="1"/>
  <c r="T58" i="15" s="1"/>
  <c r="N57" i="15"/>
  <c r="N56" i="15"/>
  <c r="R56" i="15" s="1"/>
  <c r="T56" i="15" s="1"/>
  <c r="N55" i="15"/>
  <c r="N54" i="15"/>
  <c r="N53" i="15"/>
  <c r="N52" i="15"/>
  <c r="N51" i="15"/>
  <c r="N50" i="15"/>
  <c r="N49" i="15"/>
  <c r="N33" i="15"/>
  <c r="R33" i="15" s="1"/>
  <c r="N32" i="15"/>
  <c r="V32" i="15" s="1"/>
  <c r="N31" i="15"/>
  <c r="N30" i="15"/>
  <c r="N29" i="15"/>
  <c r="N28" i="15"/>
  <c r="N27" i="15"/>
  <c r="V27" i="15" s="1"/>
  <c r="R455" i="15"/>
  <c r="T455" i="15" s="1"/>
  <c r="R452" i="15"/>
  <c r="T452" i="15" s="1"/>
  <c r="R451" i="15"/>
  <c r="T451" i="15" s="1"/>
  <c r="R450" i="15"/>
  <c r="T450" i="15" s="1"/>
  <c r="R449" i="15"/>
  <c r="T449" i="15" s="1"/>
  <c r="R448" i="15"/>
  <c r="T448" i="15" s="1"/>
  <c r="R447" i="15"/>
  <c r="T447" i="15" s="1"/>
  <c r="R444" i="15"/>
  <c r="T444" i="15" s="1"/>
  <c r="R443" i="15"/>
  <c r="T443" i="15" s="1"/>
  <c r="R442" i="15"/>
  <c r="T442" i="15" s="1"/>
  <c r="R441" i="15"/>
  <c r="T441" i="15" s="1"/>
  <c r="R439" i="15"/>
  <c r="T439" i="15" s="1"/>
  <c r="R436" i="15"/>
  <c r="T436" i="15" s="1"/>
  <c r="R435" i="15"/>
  <c r="T435" i="15" s="1"/>
  <c r="R434" i="15"/>
  <c r="T434" i="15" s="1"/>
  <c r="R433" i="15"/>
  <c r="T433" i="15" s="1"/>
  <c r="R431" i="15"/>
  <c r="T431" i="15" s="1"/>
  <c r="R428" i="15"/>
  <c r="T428" i="15" s="1"/>
  <c r="R427" i="15"/>
  <c r="T427" i="15" s="1"/>
  <c r="R426" i="15"/>
  <c r="T426" i="15" s="1"/>
  <c r="R425" i="15"/>
  <c r="T425" i="15" s="1"/>
  <c r="R423" i="15"/>
  <c r="T423" i="15" s="1"/>
  <c r="R420" i="15"/>
  <c r="T420" i="15" s="1"/>
  <c r="R419" i="15"/>
  <c r="T419" i="15" s="1"/>
  <c r="R418" i="15"/>
  <c r="T418" i="15" s="1"/>
  <c r="R417" i="15"/>
  <c r="T417" i="15" s="1"/>
  <c r="R415" i="15"/>
  <c r="T415" i="15" s="1"/>
  <c r="R412" i="15"/>
  <c r="T412" i="15" s="1"/>
  <c r="R411" i="15"/>
  <c r="T411" i="15" s="1"/>
  <c r="R410" i="15"/>
  <c r="T410" i="15" s="1"/>
  <c r="R409" i="15"/>
  <c r="T409" i="15" s="1"/>
  <c r="R408" i="15"/>
  <c r="T408" i="15" s="1"/>
  <c r="R407" i="15"/>
  <c r="T407" i="15" s="1"/>
  <c r="R404" i="15"/>
  <c r="T404" i="15" s="1"/>
  <c r="R403" i="15"/>
  <c r="T403" i="15" s="1"/>
  <c r="R402" i="15"/>
  <c r="T402" i="15" s="1"/>
  <c r="R401" i="15"/>
  <c r="T401" i="15" s="1"/>
  <c r="R399" i="15"/>
  <c r="T399" i="15" s="1"/>
  <c r="R396" i="15"/>
  <c r="S396" i="15" s="1"/>
  <c r="R395" i="15"/>
  <c r="S395" i="15" s="1"/>
  <c r="R394" i="15"/>
  <c r="T394" i="15" s="1"/>
  <c r="R393" i="15"/>
  <c r="S393" i="15" s="1"/>
  <c r="R391" i="15"/>
  <c r="S391" i="15" s="1"/>
  <c r="R388" i="15"/>
  <c r="S388" i="15" s="1"/>
  <c r="R387" i="15"/>
  <c r="S387" i="15" s="1"/>
  <c r="R386" i="15"/>
  <c r="T386" i="15" s="1"/>
  <c r="R385" i="15"/>
  <c r="S385" i="15" s="1"/>
  <c r="R384" i="15"/>
  <c r="S384" i="15" s="1"/>
  <c r="R383" i="15"/>
  <c r="S383" i="15" s="1"/>
  <c r="R380" i="15"/>
  <c r="S380" i="15" s="1"/>
  <c r="R379" i="15"/>
  <c r="S379" i="15" s="1"/>
  <c r="R378" i="15"/>
  <c r="T378" i="15" s="1"/>
  <c r="R377" i="15"/>
  <c r="S377" i="15" s="1"/>
  <c r="R375" i="15"/>
  <c r="S375" i="15" s="1"/>
  <c r="R372" i="15"/>
  <c r="S372" i="15" s="1"/>
  <c r="R371" i="15"/>
  <c r="S371" i="15" s="1"/>
  <c r="R370" i="15"/>
  <c r="T370" i="15" s="1"/>
  <c r="R369" i="15"/>
  <c r="S369" i="15" s="1"/>
  <c r="R367" i="15"/>
  <c r="S367" i="15" s="1"/>
  <c r="R364" i="15"/>
  <c r="S364" i="15" s="1"/>
  <c r="R363" i="15"/>
  <c r="S363" i="15" s="1"/>
  <c r="R362" i="15"/>
  <c r="T362" i="15" s="1"/>
  <c r="R361" i="15"/>
  <c r="S361" i="15" s="1"/>
  <c r="R359" i="15"/>
  <c r="S359" i="15" s="1"/>
  <c r="R356" i="15"/>
  <c r="S356" i="15" s="1"/>
  <c r="R355" i="15"/>
  <c r="S355" i="15" s="1"/>
  <c r="R354" i="15"/>
  <c r="T354" i="15" s="1"/>
  <c r="R353" i="15"/>
  <c r="S353" i="15" s="1"/>
  <c r="R351" i="15"/>
  <c r="S351" i="15" s="1"/>
  <c r="R348" i="15"/>
  <c r="S348" i="15" s="1"/>
  <c r="R347" i="15"/>
  <c r="S347" i="15" s="1"/>
  <c r="R346" i="15"/>
  <c r="T346" i="15" s="1"/>
  <c r="R345" i="15"/>
  <c r="S345" i="15" s="1"/>
  <c r="R344" i="15"/>
  <c r="S344" i="15" s="1"/>
  <c r="R343" i="15"/>
  <c r="S343" i="15" s="1"/>
  <c r="R340" i="15"/>
  <c r="S340" i="15" s="1"/>
  <c r="R339" i="15"/>
  <c r="S339" i="15" s="1"/>
  <c r="R338" i="15"/>
  <c r="T338" i="15" s="1"/>
  <c r="R337" i="15"/>
  <c r="S337" i="15" s="1"/>
  <c r="R335" i="15"/>
  <c r="S335" i="15" s="1"/>
  <c r="R332" i="15"/>
  <c r="S332" i="15" s="1"/>
  <c r="R331" i="15"/>
  <c r="S331" i="15" s="1"/>
  <c r="R330" i="15"/>
  <c r="T330" i="15" s="1"/>
  <c r="R329" i="15"/>
  <c r="S329" i="15" s="1"/>
  <c r="R327" i="15"/>
  <c r="S327" i="15" s="1"/>
  <c r="R324" i="15"/>
  <c r="S324" i="15" s="1"/>
  <c r="R323" i="15"/>
  <c r="S323" i="15" s="1"/>
  <c r="R322" i="15"/>
  <c r="T322" i="15" s="1"/>
  <c r="R321" i="15"/>
  <c r="S321" i="15" s="1"/>
  <c r="R320" i="15"/>
  <c r="S320" i="15" s="1"/>
  <c r="R319" i="15"/>
  <c r="S319" i="15" s="1"/>
  <c r="R316" i="15"/>
  <c r="S316" i="15" s="1"/>
  <c r="R315" i="15"/>
  <c r="S315" i="15" s="1"/>
  <c r="R314" i="15"/>
  <c r="T314" i="15" s="1"/>
  <c r="R313" i="15"/>
  <c r="S313" i="15" s="1"/>
  <c r="R311" i="15"/>
  <c r="S311" i="15" s="1"/>
  <c r="R308" i="15"/>
  <c r="S308" i="15" s="1"/>
  <c r="R307" i="15"/>
  <c r="S307" i="15" s="1"/>
  <c r="R306" i="15"/>
  <c r="T306" i="15" s="1"/>
  <c r="R305" i="15"/>
  <c r="S305" i="15" s="1"/>
  <c r="R303" i="15"/>
  <c r="S303" i="15" s="1"/>
  <c r="R300" i="15"/>
  <c r="S300" i="15" s="1"/>
  <c r="R299" i="15"/>
  <c r="S299" i="15" s="1"/>
  <c r="R298" i="15"/>
  <c r="T298" i="15" s="1"/>
  <c r="R297" i="15"/>
  <c r="S297" i="15" s="1"/>
  <c r="R295" i="15"/>
  <c r="S295" i="15" s="1"/>
  <c r="R292" i="15"/>
  <c r="S292" i="15" s="1"/>
  <c r="R291" i="15"/>
  <c r="S291" i="15" s="1"/>
  <c r="R290" i="15"/>
  <c r="T290" i="15" s="1"/>
  <c r="R289" i="15"/>
  <c r="S289" i="15" s="1"/>
  <c r="R287" i="15"/>
  <c r="S287" i="15" s="1"/>
  <c r="R284" i="15"/>
  <c r="S284" i="15" s="1"/>
  <c r="R283" i="15"/>
  <c r="S283" i="15" s="1"/>
  <c r="R282" i="15"/>
  <c r="T282" i="15" s="1"/>
  <c r="R281" i="15"/>
  <c r="S281" i="15" s="1"/>
  <c r="R280" i="15"/>
  <c r="S280" i="15" s="1"/>
  <c r="R279" i="15"/>
  <c r="S279" i="15" s="1"/>
  <c r="R276" i="15"/>
  <c r="S276" i="15" s="1"/>
  <c r="R275" i="15"/>
  <c r="S275" i="15" s="1"/>
  <c r="R274" i="15"/>
  <c r="T274" i="15" s="1"/>
  <c r="R273" i="15"/>
  <c r="S273" i="15" s="1"/>
  <c r="R271" i="15"/>
  <c r="S271" i="15" s="1"/>
  <c r="R268" i="15"/>
  <c r="S268" i="15" s="1"/>
  <c r="R267" i="15"/>
  <c r="S267" i="15" s="1"/>
  <c r="R266" i="15"/>
  <c r="T266" i="15" s="1"/>
  <c r="R265" i="15"/>
  <c r="S265" i="15" s="1"/>
  <c r="R263" i="15"/>
  <c r="S263" i="15" s="1"/>
  <c r="R260" i="15"/>
  <c r="S260" i="15" s="1"/>
  <c r="R259" i="15"/>
  <c r="S259" i="15" s="1"/>
  <c r="R258" i="15"/>
  <c r="T258" i="15" s="1"/>
  <c r="R257" i="15"/>
  <c r="S257" i="15" s="1"/>
  <c r="R252" i="15"/>
  <c r="S252" i="15" s="1"/>
  <c r="R251" i="15"/>
  <c r="S251" i="15" s="1"/>
  <c r="R250" i="15"/>
  <c r="T250" i="15" s="1"/>
  <c r="R249" i="15"/>
  <c r="S249" i="15" s="1"/>
  <c r="R244" i="15"/>
  <c r="S244" i="15" s="1"/>
  <c r="R243" i="15"/>
  <c r="S243" i="15" s="1"/>
  <c r="R242" i="15"/>
  <c r="T242" i="15" s="1"/>
  <c r="R241" i="15"/>
  <c r="S241" i="15" s="1"/>
  <c r="R237" i="15"/>
  <c r="S237" i="15" s="1"/>
  <c r="R236" i="15"/>
  <c r="S236" i="15" s="1"/>
  <c r="R235" i="15"/>
  <c r="S235" i="15" s="1"/>
  <c r="R234" i="15"/>
  <c r="T234" i="15" s="1"/>
  <c r="R233" i="15"/>
  <c r="S233" i="15" s="1"/>
  <c r="R228" i="15"/>
  <c r="S228" i="15" s="1"/>
  <c r="R227" i="15"/>
  <c r="S227" i="15" s="1"/>
  <c r="R226" i="15"/>
  <c r="T226" i="15" s="1"/>
  <c r="R225" i="15"/>
  <c r="S225" i="15" s="1"/>
  <c r="R220" i="15"/>
  <c r="S220" i="15" s="1"/>
  <c r="R219" i="15"/>
  <c r="S219" i="15" s="1"/>
  <c r="R218" i="15"/>
  <c r="T218" i="15" s="1"/>
  <c r="R217" i="15"/>
  <c r="S217" i="15" s="1"/>
  <c r="R215" i="15"/>
  <c r="S215" i="15" s="1"/>
  <c r="R212" i="15"/>
  <c r="S212" i="15" s="1"/>
  <c r="R211" i="15"/>
  <c r="S211" i="15" s="1"/>
  <c r="R210" i="15"/>
  <c r="T210" i="15" s="1"/>
  <c r="R209" i="15"/>
  <c r="S209" i="15" s="1"/>
  <c r="R204" i="15"/>
  <c r="S204" i="15" s="1"/>
  <c r="R203" i="15"/>
  <c r="S203" i="15" s="1"/>
  <c r="R202" i="15"/>
  <c r="T202" i="15" s="1"/>
  <c r="R201" i="15"/>
  <c r="S201" i="15" s="1"/>
  <c r="R196" i="15"/>
  <c r="S196" i="15" s="1"/>
  <c r="R195" i="15"/>
  <c r="S195" i="15" s="1"/>
  <c r="R194" i="15"/>
  <c r="T194" i="15" s="1"/>
  <c r="R193" i="15"/>
  <c r="S193" i="15" s="1"/>
  <c r="R188" i="15"/>
  <c r="S188" i="15" s="1"/>
  <c r="R187" i="15"/>
  <c r="S187" i="15" s="1"/>
  <c r="R186" i="15"/>
  <c r="T186" i="15" s="1"/>
  <c r="R185" i="15"/>
  <c r="S185" i="15" s="1"/>
  <c r="R180" i="15"/>
  <c r="S180" i="15" s="1"/>
  <c r="R179" i="15"/>
  <c r="S179" i="15" s="1"/>
  <c r="R178" i="15"/>
  <c r="T178" i="15" s="1"/>
  <c r="R177" i="15"/>
  <c r="S177" i="15" s="1"/>
  <c r="R172" i="15"/>
  <c r="S172" i="15" s="1"/>
  <c r="R171" i="15"/>
  <c r="S171" i="15" s="1"/>
  <c r="R170" i="15"/>
  <c r="T170" i="15" s="1"/>
  <c r="R169" i="15"/>
  <c r="S169" i="15" s="1"/>
  <c r="R164" i="15"/>
  <c r="S164" i="15" s="1"/>
  <c r="R163" i="15"/>
  <c r="S163" i="15" s="1"/>
  <c r="R161" i="15"/>
  <c r="S161" i="15" s="1"/>
  <c r="R156" i="15"/>
  <c r="S156" i="15" s="1"/>
  <c r="R155" i="15"/>
  <c r="S155" i="15" s="1"/>
  <c r="R154" i="15"/>
  <c r="T154" i="15" s="1"/>
  <c r="R153" i="15"/>
  <c r="S153" i="15" s="1"/>
  <c r="R151" i="15"/>
  <c r="S151" i="15" s="1"/>
  <c r="R148" i="15"/>
  <c r="S148" i="15" s="1"/>
  <c r="R147" i="15"/>
  <c r="S147" i="15" s="1"/>
  <c r="R145" i="15"/>
  <c r="S145" i="15" s="1"/>
  <c r="R140" i="15"/>
  <c r="S140" i="15" s="1"/>
  <c r="R139" i="15"/>
  <c r="S139" i="15" s="1"/>
  <c r="R137" i="15"/>
  <c r="S137" i="15" s="1"/>
  <c r="R132" i="15"/>
  <c r="S132" i="15" s="1"/>
  <c r="R131" i="15"/>
  <c r="S131" i="15" s="1"/>
  <c r="R129" i="15"/>
  <c r="S129" i="15" s="1"/>
  <c r="R124" i="15"/>
  <c r="S124" i="15" s="1"/>
  <c r="R123" i="15"/>
  <c r="S123" i="15" s="1"/>
  <c r="R121" i="15"/>
  <c r="S121" i="15" s="1"/>
  <c r="R116" i="15"/>
  <c r="S116" i="15" s="1"/>
  <c r="R115" i="15"/>
  <c r="S115" i="15" s="1"/>
  <c r="R113" i="15"/>
  <c r="S113" i="15" s="1"/>
  <c r="R108" i="15"/>
  <c r="S108" i="15" s="1"/>
  <c r="R107" i="15"/>
  <c r="S107" i="15" s="1"/>
  <c r="R105" i="15"/>
  <c r="S105" i="15" s="1"/>
  <c r="R100" i="15"/>
  <c r="S100" i="15" s="1"/>
  <c r="R99" i="15"/>
  <c r="S99" i="15" s="1"/>
  <c r="R97" i="15"/>
  <c r="S97" i="15" s="1"/>
  <c r="R92" i="15"/>
  <c r="S92" i="15" s="1"/>
  <c r="R91" i="15"/>
  <c r="S91" i="15" s="1"/>
  <c r="R89" i="15"/>
  <c r="S89" i="15" s="1"/>
  <c r="R87" i="15"/>
  <c r="S87" i="15" s="1"/>
  <c r="R84" i="15"/>
  <c r="S84" i="15" s="1"/>
  <c r="R83" i="15"/>
  <c r="S83" i="15" s="1"/>
  <c r="R81" i="15"/>
  <c r="S81" i="15" s="1"/>
  <c r="R76" i="15"/>
  <c r="S76" i="15" s="1"/>
  <c r="R75" i="15"/>
  <c r="S75" i="15" s="1"/>
  <c r="R73" i="15"/>
  <c r="S73" i="15" s="1"/>
  <c r="R68" i="15"/>
  <c r="S68" i="15" s="1"/>
  <c r="R67" i="15"/>
  <c r="S67" i="15" s="1"/>
  <c r="R65" i="15"/>
  <c r="S65" i="15" s="1"/>
  <c r="R60" i="15"/>
  <c r="S60" i="15" s="1"/>
  <c r="R59" i="15"/>
  <c r="S59" i="15" s="1"/>
  <c r="R57" i="15"/>
  <c r="S57" i="15" s="1"/>
  <c r="R26" i="15"/>
  <c r="S26" i="15" s="1"/>
  <c r="V36" i="15"/>
  <c r="V28" i="15"/>
  <c r="V29" i="15"/>
  <c r="V26" i="15"/>
  <c r="N25" i="15"/>
  <c r="V25" i="15" s="1"/>
  <c r="N24" i="15"/>
  <c r="V24" i="15" s="1"/>
  <c r="N23" i="15"/>
  <c r="V23" i="15" s="1"/>
  <c r="N22" i="15"/>
  <c r="N21" i="15"/>
  <c r="N20" i="15"/>
  <c r="N19" i="15"/>
  <c r="N18" i="15"/>
  <c r="N17" i="15"/>
  <c r="V17" i="15" s="1"/>
  <c r="N16" i="15"/>
  <c r="V16" i="15" s="1"/>
  <c r="N15" i="15"/>
  <c r="V15" i="15" s="1"/>
  <c r="N14" i="15"/>
  <c r="N13" i="15"/>
  <c r="N12" i="15"/>
  <c r="N11" i="15"/>
  <c r="N10" i="15"/>
  <c r="N9" i="15"/>
  <c r="V9" i="15" s="1"/>
  <c r="N8" i="15"/>
  <c r="V8" i="15" s="1"/>
  <c r="N7" i="15"/>
  <c r="V7" i="15" s="1"/>
  <c r="N6" i="15"/>
  <c r="N5" i="15"/>
  <c r="V5" i="15" s="1"/>
  <c r="P7" i="15"/>
  <c r="P25" i="15"/>
  <c r="P24" i="15"/>
  <c r="P23" i="15"/>
  <c r="P22" i="15"/>
  <c r="P21" i="15"/>
  <c r="P20" i="15"/>
  <c r="P19" i="15"/>
  <c r="P18" i="15"/>
  <c r="P17" i="15"/>
  <c r="P16" i="15"/>
  <c r="P15" i="15"/>
  <c r="P14" i="15"/>
  <c r="P13" i="15"/>
  <c r="P12" i="15"/>
  <c r="P11" i="15"/>
  <c r="P10" i="15"/>
  <c r="P9" i="15"/>
  <c r="P8" i="15"/>
  <c r="P6" i="15"/>
  <c r="P5" i="15"/>
  <c r="Q29" i="15"/>
  <c r="Q28" i="15"/>
  <c r="Q27" i="15"/>
  <c r="Q5" i="15"/>
  <c r="Q6" i="15"/>
  <c r="Q7" i="15"/>
  <c r="Q8" i="15"/>
  <c r="Q9" i="15"/>
  <c r="Q10" i="15"/>
  <c r="Q11" i="15"/>
  <c r="Q12" i="15"/>
  <c r="Q13" i="15"/>
  <c r="Q14" i="15"/>
  <c r="Q15" i="15"/>
  <c r="Q16" i="15"/>
  <c r="R16" i="15" s="1"/>
  <c r="T16" i="15" s="1"/>
  <c r="Q17" i="15"/>
  <c r="Q18" i="15"/>
  <c r="Q19" i="15"/>
  <c r="Q20" i="15"/>
  <c r="Q21" i="15"/>
  <c r="Q22" i="15"/>
  <c r="Q23" i="15"/>
  <c r="Q24" i="15"/>
  <c r="R24" i="15" s="1"/>
  <c r="T24" i="15" s="1"/>
  <c r="Q25" i="15"/>
  <c r="T49991" i="15"/>
  <c r="T49990" i="15"/>
  <c r="T49989" i="15"/>
  <c r="T49988" i="15"/>
  <c r="T49987" i="15"/>
  <c r="T49986" i="15"/>
  <c r="T49985" i="15"/>
  <c r="T49984" i="15"/>
  <c r="T49983" i="15"/>
  <c r="T49982" i="15"/>
  <c r="T49981" i="15"/>
  <c r="T49980" i="15"/>
  <c r="T49979" i="15"/>
  <c r="T49978" i="15"/>
  <c r="T49977" i="15"/>
  <c r="T49976" i="15"/>
  <c r="T49975" i="15"/>
  <c r="T49974" i="15"/>
  <c r="T49973" i="15"/>
  <c r="T49972" i="15"/>
  <c r="T49971" i="15"/>
  <c r="T49970" i="15"/>
  <c r="T49969" i="15"/>
  <c r="T49968" i="15"/>
  <c r="T49967" i="15"/>
  <c r="T49966" i="15"/>
  <c r="T49965" i="15"/>
  <c r="T49964" i="15"/>
  <c r="T49963" i="15"/>
  <c r="T49962" i="15"/>
  <c r="T49961" i="15"/>
  <c r="T49960" i="15"/>
  <c r="T49959" i="15"/>
  <c r="T49958" i="15"/>
  <c r="T49957" i="15"/>
  <c r="T49956" i="15"/>
  <c r="T49955" i="15"/>
  <c r="T49954" i="15"/>
  <c r="T49953" i="15"/>
  <c r="T49952" i="15"/>
  <c r="T49951" i="15"/>
  <c r="T49950" i="15"/>
  <c r="T49949" i="15"/>
  <c r="T49948" i="15"/>
  <c r="T49947" i="15"/>
  <c r="T49946" i="15"/>
  <c r="T49945" i="15"/>
  <c r="T49944" i="15"/>
  <c r="T49943" i="15"/>
  <c r="T49942" i="15"/>
  <c r="T49941" i="15"/>
  <c r="T49940" i="15"/>
  <c r="T49939" i="15"/>
  <c r="T49938" i="15"/>
  <c r="T49937" i="15"/>
  <c r="T49936" i="15"/>
  <c r="T49935" i="15"/>
  <c r="T49934" i="15"/>
  <c r="T49933" i="15"/>
  <c r="T49932" i="15"/>
  <c r="T49931" i="15"/>
  <c r="T49930" i="15"/>
  <c r="T49929" i="15"/>
  <c r="T49928" i="15"/>
  <c r="T49927" i="15"/>
  <c r="T49926" i="15"/>
  <c r="T49925" i="15"/>
  <c r="T49924" i="15"/>
  <c r="T49923" i="15"/>
  <c r="T49922" i="15"/>
  <c r="T49921" i="15"/>
  <c r="T49920" i="15"/>
  <c r="T49919" i="15"/>
  <c r="T49918" i="15"/>
  <c r="T49917" i="15"/>
  <c r="T49916" i="15"/>
  <c r="T49915" i="15"/>
  <c r="T49914" i="15"/>
  <c r="T49913" i="15"/>
  <c r="T49912" i="15"/>
  <c r="T49911" i="15"/>
  <c r="T49910" i="15"/>
  <c r="T49909" i="15"/>
  <c r="T49908" i="15"/>
  <c r="T49907" i="15"/>
  <c r="T49906" i="15"/>
  <c r="T49905" i="15"/>
  <c r="T49904" i="15"/>
  <c r="T49903" i="15"/>
  <c r="T49902" i="15"/>
  <c r="T49901" i="15"/>
  <c r="T49900" i="15"/>
  <c r="T49899" i="15"/>
  <c r="T49898" i="15"/>
  <c r="T49897" i="15"/>
  <c r="T49896" i="15"/>
  <c r="T49895" i="15"/>
  <c r="T49894" i="15"/>
  <c r="T49893" i="15"/>
  <c r="T49892" i="15"/>
  <c r="T49891" i="15"/>
  <c r="T49890" i="15"/>
  <c r="T49889" i="15"/>
  <c r="T49888" i="15"/>
  <c r="T49887" i="15"/>
  <c r="T49886" i="15"/>
  <c r="T49885" i="15"/>
  <c r="T49884" i="15"/>
  <c r="T49883" i="15"/>
  <c r="T49882" i="15"/>
  <c r="T49881" i="15"/>
  <c r="T49880" i="15"/>
  <c r="T49879" i="15"/>
  <c r="T49878" i="15"/>
  <c r="T49877" i="15"/>
  <c r="T49876" i="15"/>
  <c r="T49875" i="15"/>
  <c r="T49874" i="15"/>
  <c r="T49873" i="15"/>
  <c r="T49872" i="15"/>
  <c r="T49871" i="15"/>
  <c r="T49870" i="15"/>
  <c r="T49869" i="15"/>
  <c r="T49868" i="15"/>
  <c r="T49867" i="15"/>
  <c r="T49866" i="15"/>
  <c r="T49865" i="15"/>
  <c r="T49864" i="15"/>
  <c r="T49863" i="15"/>
  <c r="T49862" i="15"/>
  <c r="T49861" i="15"/>
  <c r="T49860" i="15"/>
  <c r="T49859" i="15"/>
  <c r="T49858" i="15"/>
  <c r="T49857" i="15"/>
  <c r="T49856" i="15"/>
  <c r="T49855" i="15"/>
  <c r="T49854" i="15"/>
  <c r="T49853" i="15"/>
  <c r="T49852" i="15"/>
  <c r="T49851" i="15"/>
  <c r="T49850" i="15"/>
  <c r="T49849" i="15"/>
  <c r="T49848" i="15"/>
  <c r="T49847" i="15"/>
  <c r="T49846" i="15"/>
  <c r="T49845" i="15"/>
  <c r="T49844" i="15"/>
  <c r="T49843" i="15"/>
  <c r="T49842" i="15"/>
  <c r="T49841" i="15"/>
  <c r="T49840" i="15"/>
  <c r="T49839" i="15"/>
  <c r="T49838" i="15"/>
  <c r="T49837" i="15"/>
  <c r="T49836" i="15"/>
  <c r="T49835" i="15"/>
  <c r="T49834" i="15"/>
  <c r="T49833" i="15"/>
  <c r="T49832" i="15"/>
  <c r="T49831" i="15"/>
  <c r="T49830" i="15"/>
  <c r="T49829" i="15"/>
  <c r="T49828" i="15"/>
  <c r="T49827" i="15"/>
  <c r="T49826" i="15"/>
  <c r="T49825" i="15"/>
  <c r="T49824" i="15"/>
  <c r="T49823" i="15"/>
  <c r="T49822" i="15"/>
  <c r="T49821" i="15"/>
  <c r="T49820" i="15"/>
  <c r="T49819" i="15"/>
  <c r="T49818" i="15"/>
  <c r="T49817" i="15"/>
  <c r="T49816" i="15"/>
  <c r="T49815" i="15"/>
  <c r="T49814" i="15"/>
  <c r="T49813" i="15"/>
  <c r="T49812" i="15"/>
  <c r="T49811" i="15"/>
  <c r="T49810" i="15"/>
  <c r="T49809" i="15"/>
  <c r="T49808" i="15"/>
  <c r="T49807" i="15"/>
  <c r="T49806" i="15"/>
  <c r="T49805" i="15"/>
  <c r="T49804" i="15"/>
  <c r="T49803" i="15"/>
  <c r="T49802" i="15"/>
  <c r="T49801" i="15"/>
  <c r="T49800" i="15"/>
  <c r="T49799" i="15"/>
  <c r="T49798" i="15"/>
  <c r="T49797" i="15"/>
  <c r="T49796" i="15"/>
  <c r="T49795" i="15"/>
  <c r="T49794" i="15"/>
  <c r="T49793" i="15"/>
  <c r="T49792" i="15"/>
  <c r="T49791" i="15"/>
  <c r="T49790" i="15"/>
  <c r="T49789" i="15"/>
  <c r="T49788" i="15"/>
  <c r="T49787" i="15"/>
  <c r="T49786" i="15"/>
  <c r="T49785" i="15"/>
  <c r="T49784" i="15"/>
  <c r="T49783" i="15"/>
  <c r="T49782" i="15"/>
  <c r="T49781" i="15"/>
  <c r="T49780" i="15"/>
  <c r="T49779" i="15"/>
  <c r="T49778" i="15"/>
  <c r="T49777" i="15"/>
  <c r="T49776" i="15"/>
  <c r="T49775" i="15"/>
  <c r="T49774" i="15"/>
  <c r="T49773" i="15"/>
  <c r="T49772" i="15"/>
  <c r="T49771" i="15"/>
  <c r="T49770" i="15"/>
  <c r="T49769" i="15"/>
  <c r="T49768" i="15"/>
  <c r="T49767" i="15"/>
  <c r="T49766" i="15"/>
  <c r="T49765" i="15"/>
  <c r="T49764" i="15"/>
  <c r="T49763" i="15"/>
  <c r="T49762" i="15"/>
  <c r="T49761" i="15"/>
  <c r="T49760" i="15"/>
  <c r="T49759" i="15"/>
  <c r="T49758" i="15"/>
  <c r="T49757" i="15"/>
  <c r="T49756" i="15"/>
  <c r="T49755" i="15"/>
  <c r="T49754" i="15"/>
  <c r="T49753" i="15"/>
  <c r="T49752" i="15"/>
  <c r="T49751" i="15"/>
  <c r="T49750" i="15"/>
  <c r="T49749" i="15"/>
  <c r="T49748" i="15"/>
  <c r="T49747" i="15"/>
  <c r="T49746" i="15"/>
  <c r="T49745" i="15"/>
  <c r="T49744" i="15"/>
  <c r="T49743" i="15"/>
  <c r="T49742" i="15"/>
  <c r="T49741" i="15"/>
  <c r="T49740" i="15"/>
  <c r="T49739" i="15"/>
  <c r="T49738" i="15"/>
  <c r="T49737" i="15"/>
  <c r="T49736" i="15"/>
  <c r="T49735" i="15"/>
  <c r="T49734" i="15"/>
  <c r="T49733" i="15"/>
  <c r="T49732" i="15"/>
  <c r="T49731" i="15"/>
  <c r="T49730" i="15"/>
  <c r="T49729" i="15"/>
  <c r="T49728" i="15"/>
  <c r="T49727" i="15"/>
  <c r="T49726" i="15"/>
  <c r="T49725" i="15"/>
  <c r="T49724" i="15"/>
  <c r="T49723" i="15"/>
  <c r="T49722" i="15"/>
  <c r="T49721" i="15"/>
  <c r="T49720" i="15"/>
  <c r="T49719" i="15"/>
  <c r="T49718" i="15"/>
  <c r="T49717" i="15"/>
  <c r="T49716" i="15"/>
  <c r="T49715" i="15"/>
  <c r="T49714" i="15"/>
  <c r="T49713" i="15"/>
  <c r="T49712" i="15"/>
  <c r="T49711" i="15"/>
  <c r="T49710" i="15"/>
  <c r="T49709" i="15"/>
  <c r="T49708" i="15"/>
  <c r="T49707" i="15"/>
  <c r="T49706" i="15"/>
  <c r="T49705" i="15"/>
  <c r="T49704" i="15"/>
  <c r="T49703" i="15"/>
  <c r="T49702" i="15"/>
  <c r="T49701" i="15"/>
  <c r="T49700" i="15"/>
  <c r="T49699" i="15"/>
  <c r="T49698" i="15"/>
  <c r="T49697" i="15"/>
  <c r="T49696" i="15"/>
  <c r="T49695" i="15"/>
  <c r="T49694" i="15"/>
  <c r="T49693" i="15"/>
  <c r="T49692" i="15"/>
  <c r="T49691" i="15"/>
  <c r="T49690" i="15"/>
  <c r="T49689" i="15"/>
  <c r="T49688" i="15"/>
  <c r="T49687" i="15"/>
  <c r="T49686" i="15"/>
  <c r="T49685" i="15"/>
  <c r="T49684" i="15"/>
  <c r="T49683" i="15"/>
  <c r="T49682" i="15"/>
  <c r="T49681" i="15"/>
  <c r="T49680" i="15"/>
  <c r="T49679" i="15"/>
  <c r="T49678" i="15"/>
  <c r="T49677" i="15"/>
  <c r="T49676" i="15"/>
  <c r="T49675" i="15"/>
  <c r="T49674" i="15"/>
  <c r="T49673" i="15"/>
  <c r="T49672" i="15"/>
  <c r="T49671" i="15"/>
  <c r="T49670" i="15"/>
  <c r="T49669" i="15"/>
  <c r="T49668" i="15"/>
  <c r="T49667" i="15"/>
  <c r="T49666" i="15"/>
  <c r="T49665" i="15"/>
  <c r="T49664" i="15"/>
  <c r="T49663" i="15"/>
  <c r="T49662" i="15"/>
  <c r="T49661" i="15"/>
  <c r="T49660" i="15"/>
  <c r="T49659" i="15"/>
  <c r="T49658" i="15"/>
  <c r="T49657" i="15"/>
  <c r="T49656" i="15"/>
  <c r="T49655" i="15"/>
  <c r="T49654" i="15"/>
  <c r="T49653" i="15"/>
  <c r="T49652" i="15"/>
  <c r="T49651" i="15"/>
  <c r="T49650" i="15"/>
  <c r="T49649" i="15"/>
  <c r="T49648" i="15"/>
  <c r="T49647" i="15"/>
  <c r="T49646" i="15"/>
  <c r="T49645" i="15"/>
  <c r="T49644" i="15"/>
  <c r="T49643" i="15"/>
  <c r="T49642" i="15"/>
  <c r="T49641" i="15"/>
  <c r="T49640" i="15"/>
  <c r="T49639" i="15"/>
  <c r="T49638" i="15"/>
  <c r="T49637" i="15"/>
  <c r="T49636" i="15"/>
  <c r="T49635" i="15"/>
  <c r="T49634" i="15"/>
  <c r="T49633" i="15"/>
  <c r="T49632" i="15"/>
  <c r="T49631" i="15"/>
  <c r="T49630" i="15"/>
  <c r="T49629" i="15"/>
  <c r="T49628" i="15"/>
  <c r="T49627" i="15"/>
  <c r="T49626" i="15"/>
  <c r="T49625" i="15"/>
  <c r="T49624" i="15"/>
  <c r="T49623" i="15"/>
  <c r="T49622" i="15"/>
  <c r="T49621" i="15"/>
  <c r="T49620" i="15"/>
  <c r="T49619" i="15"/>
  <c r="T49618" i="15"/>
  <c r="T49617" i="15"/>
  <c r="T49616" i="15"/>
  <c r="T49615" i="15"/>
  <c r="T49614" i="15"/>
  <c r="T49613" i="15"/>
  <c r="T49612" i="15"/>
  <c r="T49611" i="15"/>
  <c r="T49610" i="15"/>
  <c r="T49609" i="15"/>
  <c r="T49608" i="15"/>
  <c r="T49607" i="15"/>
  <c r="T49606" i="15"/>
  <c r="T49605" i="15"/>
  <c r="T49604" i="15"/>
  <c r="T49603" i="15"/>
  <c r="T49602" i="15"/>
  <c r="T49601" i="15"/>
  <c r="T49600" i="15"/>
  <c r="T49599" i="15"/>
  <c r="T49598" i="15"/>
  <c r="T49597" i="15"/>
  <c r="T49596" i="15"/>
  <c r="T49595" i="15"/>
  <c r="T49594" i="15"/>
  <c r="T49593" i="15"/>
  <c r="T49592" i="15"/>
  <c r="T49591" i="15"/>
  <c r="T49590" i="15"/>
  <c r="T49589" i="15"/>
  <c r="T49588" i="15"/>
  <c r="T49587" i="15"/>
  <c r="T49586" i="15"/>
  <c r="T49585" i="15"/>
  <c r="T49584" i="15"/>
  <c r="T49583" i="15"/>
  <c r="T49582" i="15"/>
  <c r="T49581" i="15"/>
  <c r="T49580" i="15"/>
  <c r="T49579" i="15"/>
  <c r="T49578" i="15"/>
  <c r="T49577" i="15"/>
  <c r="T49576" i="15"/>
  <c r="T49575" i="15"/>
  <c r="T49574" i="15"/>
  <c r="T49573" i="15"/>
  <c r="T49572" i="15"/>
  <c r="T49571" i="15"/>
  <c r="T49570" i="15"/>
  <c r="T49569" i="15"/>
  <c r="T49568" i="15"/>
  <c r="T49567" i="15"/>
  <c r="T49566" i="15"/>
  <c r="T49565" i="15"/>
  <c r="T49564" i="15"/>
  <c r="T49563" i="15"/>
  <c r="T49562" i="15"/>
  <c r="T49561" i="15"/>
  <c r="T49560" i="15"/>
  <c r="T49559" i="15"/>
  <c r="T49558" i="15"/>
  <c r="T49557" i="15"/>
  <c r="T49556" i="15"/>
  <c r="T49555" i="15"/>
  <c r="T49554" i="15"/>
  <c r="T49553" i="15"/>
  <c r="T49552" i="15"/>
  <c r="T49551" i="15"/>
  <c r="T49550" i="15"/>
  <c r="T49549" i="15"/>
  <c r="T49548" i="15"/>
  <c r="T49547" i="15"/>
  <c r="T49546" i="15"/>
  <c r="T49545" i="15"/>
  <c r="T49544" i="15"/>
  <c r="T49543" i="15"/>
  <c r="T49542" i="15"/>
  <c r="T49541" i="15"/>
  <c r="T49540" i="15"/>
  <c r="T49539" i="15"/>
  <c r="T49538" i="15"/>
  <c r="T49537" i="15"/>
  <c r="T49536" i="15"/>
  <c r="T49535" i="15"/>
  <c r="T49534" i="15"/>
  <c r="T49533" i="15"/>
  <c r="T49532" i="15"/>
  <c r="T49531" i="15"/>
  <c r="T49530" i="15"/>
  <c r="T49529" i="15"/>
  <c r="T49528" i="15"/>
  <c r="T49527" i="15"/>
  <c r="T49526" i="15"/>
  <c r="T49525" i="15"/>
  <c r="T49524" i="15"/>
  <c r="T49523" i="15"/>
  <c r="T49522" i="15"/>
  <c r="T49521" i="15"/>
  <c r="T49520" i="15"/>
  <c r="T49519" i="15"/>
  <c r="T49518" i="15"/>
  <c r="T49517" i="15"/>
  <c r="T49516" i="15"/>
  <c r="T49515" i="15"/>
  <c r="T49514" i="15"/>
  <c r="T49513" i="15"/>
  <c r="T49512" i="15"/>
  <c r="T49511" i="15"/>
  <c r="T49510" i="15"/>
  <c r="T49509" i="15"/>
  <c r="T49508" i="15"/>
  <c r="T49507" i="15"/>
  <c r="T49506" i="15"/>
  <c r="T49505" i="15"/>
  <c r="T49504" i="15"/>
  <c r="T49503" i="15"/>
  <c r="T49502" i="15"/>
  <c r="T49501" i="15"/>
  <c r="T49500" i="15"/>
  <c r="T49499" i="15"/>
  <c r="T49498" i="15"/>
  <c r="T49497" i="15"/>
  <c r="T49496" i="15"/>
  <c r="T49495" i="15"/>
  <c r="T49494" i="15"/>
  <c r="T49493" i="15"/>
  <c r="T49492" i="15"/>
  <c r="T49491" i="15"/>
  <c r="T49490" i="15"/>
  <c r="T49489" i="15"/>
  <c r="T49488" i="15"/>
  <c r="T49487" i="15"/>
  <c r="T49486" i="15"/>
  <c r="T49485" i="15"/>
  <c r="T49484" i="15"/>
  <c r="T49483" i="15"/>
  <c r="T49482" i="15"/>
  <c r="T49481" i="15"/>
  <c r="T49480" i="15"/>
  <c r="T49479" i="15"/>
  <c r="T49478" i="15"/>
  <c r="T49477" i="15"/>
  <c r="T49476" i="15"/>
  <c r="T49475" i="15"/>
  <c r="T49474" i="15"/>
  <c r="T49473" i="15"/>
  <c r="T49472" i="15"/>
  <c r="T49471" i="15"/>
  <c r="T49470" i="15"/>
  <c r="T49469" i="15"/>
  <c r="T49468" i="15"/>
  <c r="T49467" i="15"/>
  <c r="T49466" i="15"/>
  <c r="T49465" i="15"/>
  <c r="T49464" i="15"/>
  <c r="T49463" i="15"/>
  <c r="T49462" i="15"/>
  <c r="T49461" i="15"/>
  <c r="T49460" i="15"/>
  <c r="T49459" i="15"/>
  <c r="T49458" i="15"/>
  <c r="T49457" i="15"/>
  <c r="T49456" i="15"/>
  <c r="T49455" i="15"/>
  <c r="T49454" i="15"/>
  <c r="T49453" i="15"/>
  <c r="T49452" i="15"/>
  <c r="T49451" i="15"/>
  <c r="T49450" i="15"/>
  <c r="T49449" i="15"/>
  <c r="T49448" i="15"/>
  <c r="T49447" i="15"/>
  <c r="T49446" i="15"/>
  <c r="T49445" i="15"/>
  <c r="T49444" i="15"/>
  <c r="T49443" i="15"/>
  <c r="T49442" i="15"/>
  <c r="T49441" i="15"/>
  <c r="T49440" i="15"/>
  <c r="T49439" i="15"/>
  <c r="T49438" i="15"/>
  <c r="T49437" i="15"/>
  <c r="T49436" i="15"/>
  <c r="T49435" i="15"/>
  <c r="T49434" i="15"/>
  <c r="T49433" i="15"/>
  <c r="T49432" i="15"/>
  <c r="T49431" i="15"/>
  <c r="T49430" i="15"/>
  <c r="T49429" i="15"/>
  <c r="T49428" i="15"/>
  <c r="T49427" i="15"/>
  <c r="T49426" i="15"/>
  <c r="T49425" i="15"/>
  <c r="T49424" i="15"/>
  <c r="T49423" i="15"/>
  <c r="T49422" i="15"/>
  <c r="T49421" i="15"/>
  <c r="T49420" i="15"/>
  <c r="T49419" i="15"/>
  <c r="T49418" i="15"/>
  <c r="T49417" i="15"/>
  <c r="T49416" i="15"/>
  <c r="T49415" i="15"/>
  <c r="T49414" i="15"/>
  <c r="T49413" i="15"/>
  <c r="T49412" i="15"/>
  <c r="T49411" i="15"/>
  <c r="T49410" i="15"/>
  <c r="T49409" i="15"/>
  <c r="T49408" i="15"/>
  <c r="T49407" i="15"/>
  <c r="T49406" i="15"/>
  <c r="T49405" i="15"/>
  <c r="T49404" i="15"/>
  <c r="T49403" i="15"/>
  <c r="T49402" i="15"/>
  <c r="T49401" i="15"/>
  <c r="T49400" i="15"/>
  <c r="T49399" i="15"/>
  <c r="T49398" i="15"/>
  <c r="T49397" i="15"/>
  <c r="T49396" i="15"/>
  <c r="T49395" i="15"/>
  <c r="T49394" i="15"/>
  <c r="T49393" i="15"/>
  <c r="T49392" i="15"/>
  <c r="T49391" i="15"/>
  <c r="T49390" i="15"/>
  <c r="T49389" i="15"/>
  <c r="T49388" i="15"/>
  <c r="T49387" i="15"/>
  <c r="T49386" i="15"/>
  <c r="T49385" i="15"/>
  <c r="T49384" i="15"/>
  <c r="T49383" i="15"/>
  <c r="T49382" i="15"/>
  <c r="T49381" i="15"/>
  <c r="T49380" i="15"/>
  <c r="T49379" i="15"/>
  <c r="T49378" i="15"/>
  <c r="T49377" i="15"/>
  <c r="T49376" i="15"/>
  <c r="T49375" i="15"/>
  <c r="T49374" i="15"/>
  <c r="T49373" i="15"/>
  <c r="T49372" i="15"/>
  <c r="T49371" i="15"/>
  <c r="T49370" i="15"/>
  <c r="T49369" i="15"/>
  <c r="T49368" i="15"/>
  <c r="T49367" i="15"/>
  <c r="T49366" i="15"/>
  <c r="T49365" i="15"/>
  <c r="T49364" i="15"/>
  <c r="T49363" i="15"/>
  <c r="T49362" i="15"/>
  <c r="T49361" i="15"/>
  <c r="T49360" i="15"/>
  <c r="T49359" i="15"/>
  <c r="T49358" i="15"/>
  <c r="T49357" i="15"/>
  <c r="T49356" i="15"/>
  <c r="T49355" i="15"/>
  <c r="T49354" i="15"/>
  <c r="T49353" i="15"/>
  <c r="T49352" i="15"/>
  <c r="T49351" i="15"/>
  <c r="T49350" i="15"/>
  <c r="T49349" i="15"/>
  <c r="T49348" i="15"/>
  <c r="T49347" i="15"/>
  <c r="T49346" i="15"/>
  <c r="T49345" i="15"/>
  <c r="T49344" i="15"/>
  <c r="T49343" i="15"/>
  <c r="T49342" i="15"/>
  <c r="T49341" i="15"/>
  <c r="T49340" i="15"/>
  <c r="T49339" i="15"/>
  <c r="T49338" i="15"/>
  <c r="T49337" i="15"/>
  <c r="T49336" i="15"/>
  <c r="T49335" i="15"/>
  <c r="T49334" i="15"/>
  <c r="T49333" i="15"/>
  <c r="T49332" i="15"/>
  <c r="T49331" i="15"/>
  <c r="T49330" i="15"/>
  <c r="T49329" i="15"/>
  <c r="T49328" i="15"/>
  <c r="T49327" i="15"/>
  <c r="T49326" i="15"/>
  <c r="T49325" i="15"/>
  <c r="T49324" i="15"/>
  <c r="T49323" i="15"/>
  <c r="T49322" i="15"/>
  <c r="T49321" i="15"/>
  <c r="T49320" i="15"/>
  <c r="T49319" i="15"/>
  <c r="T49318" i="15"/>
  <c r="T49317" i="15"/>
  <c r="T49316" i="15"/>
  <c r="T49315" i="15"/>
  <c r="T49314" i="15"/>
  <c r="T49313" i="15"/>
  <c r="T49312" i="15"/>
  <c r="T49311" i="15"/>
  <c r="T49310" i="15"/>
  <c r="T49309" i="15"/>
  <c r="T49308" i="15"/>
  <c r="T49307" i="15"/>
  <c r="T49306" i="15"/>
  <c r="T49305" i="15"/>
  <c r="T49304" i="15"/>
  <c r="T49303" i="15"/>
  <c r="T49302" i="15"/>
  <c r="T49301" i="15"/>
  <c r="T49300" i="15"/>
  <c r="T49299" i="15"/>
  <c r="T49298" i="15"/>
  <c r="T49297" i="15"/>
  <c r="T49296" i="15"/>
  <c r="T49295" i="15"/>
  <c r="T49294" i="15"/>
  <c r="T49293" i="15"/>
  <c r="T49292" i="15"/>
  <c r="T49291" i="15"/>
  <c r="T49290" i="15"/>
  <c r="T49289" i="15"/>
  <c r="T49288" i="15"/>
  <c r="T49287" i="15"/>
  <c r="T49286" i="15"/>
  <c r="T49285" i="15"/>
  <c r="T49284" i="15"/>
  <c r="T49283" i="15"/>
  <c r="T49282" i="15"/>
  <c r="T49281" i="15"/>
  <c r="T49280" i="15"/>
  <c r="T49279" i="15"/>
  <c r="T49278" i="15"/>
  <c r="T49277" i="15"/>
  <c r="T49276" i="15"/>
  <c r="T49275" i="15"/>
  <c r="T49274" i="15"/>
  <c r="T49273" i="15"/>
  <c r="T49272" i="15"/>
  <c r="T49271" i="15"/>
  <c r="T49270" i="15"/>
  <c r="T49269" i="15"/>
  <c r="T49268" i="15"/>
  <c r="T49267" i="15"/>
  <c r="T49266" i="15"/>
  <c r="T49265" i="15"/>
  <c r="T49264" i="15"/>
  <c r="T49263" i="15"/>
  <c r="T49262" i="15"/>
  <c r="T49261" i="15"/>
  <c r="T49260" i="15"/>
  <c r="T49259" i="15"/>
  <c r="T49258" i="15"/>
  <c r="T49257" i="15"/>
  <c r="T49256" i="15"/>
  <c r="T49255" i="15"/>
  <c r="T49254" i="15"/>
  <c r="T49253" i="15"/>
  <c r="T49252" i="15"/>
  <c r="T49251" i="15"/>
  <c r="T49250" i="15"/>
  <c r="T49249" i="15"/>
  <c r="T49248" i="15"/>
  <c r="T49247" i="15"/>
  <c r="T49246" i="15"/>
  <c r="T49245" i="15"/>
  <c r="T49244" i="15"/>
  <c r="T49243" i="15"/>
  <c r="T49242" i="15"/>
  <c r="T49241" i="15"/>
  <c r="T49240" i="15"/>
  <c r="T49239" i="15"/>
  <c r="T49238" i="15"/>
  <c r="T49237" i="15"/>
  <c r="T49236" i="15"/>
  <c r="T49235" i="15"/>
  <c r="T49234" i="15"/>
  <c r="T49233" i="15"/>
  <c r="T49232" i="15"/>
  <c r="T49231" i="15"/>
  <c r="T49230" i="15"/>
  <c r="T49229" i="15"/>
  <c r="T49228" i="15"/>
  <c r="T49227" i="15"/>
  <c r="T49226" i="15"/>
  <c r="T49225" i="15"/>
  <c r="T49224" i="15"/>
  <c r="T49223" i="15"/>
  <c r="T49222" i="15"/>
  <c r="T49221" i="15"/>
  <c r="T49220" i="15"/>
  <c r="T49219" i="15"/>
  <c r="T49218" i="15"/>
  <c r="T49217" i="15"/>
  <c r="T49216" i="15"/>
  <c r="T49215" i="15"/>
  <c r="T49214" i="15"/>
  <c r="T49213" i="15"/>
  <c r="T49212" i="15"/>
  <c r="T49211" i="15"/>
  <c r="T49210" i="15"/>
  <c r="T49209" i="15"/>
  <c r="T49208" i="15"/>
  <c r="T49207" i="15"/>
  <c r="T49206" i="15"/>
  <c r="T49205" i="15"/>
  <c r="T49204" i="15"/>
  <c r="T49203" i="15"/>
  <c r="T49202" i="15"/>
  <c r="T49201" i="15"/>
  <c r="T49200" i="15"/>
  <c r="T49199" i="15"/>
  <c r="T49198" i="15"/>
  <c r="T49197" i="15"/>
  <c r="T49196" i="15"/>
  <c r="T49195" i="15"/>
  <c r="T49194" i="15"/>
  <c r="T49193" i="15"/>
  <c r="T49192" i="15"/>
  <c r="T49191" i="15"/>
  <c r="T49190" i="15"/>
  <c r="T49189" i="15"/>
  <c r="T49188" i="15"/>
  <c r="T49187" i="15"/>
  <c r="T49186" i="15"/>
  <c r="T49185" i="15"/>
  <c r="T49184" i="15"/>
  <c r="T49183" i="15"/>
  <c r="T49182" i="15"/>
  <c r="T49181" i="15"/>
  <c r="T49180" i="15"/>
  <c r="T49179" i="15"/>
  <c r="T49178" i="15"/>
  <c r="T49177" i="15"/>
  <c r="T49176" i="15"/>
  <c r="T49175" i="15"/>
  <c r="T49174" i="15"/>
  <c r="T49173" i="15"/>
  <c r="T49172" i="15"/>
  <c r="T49171" i="15"/>
  <c r="T49170" i="15"/>
  <c r="T49169" i="15"/>
  <c r="T49168" i="15"/>
  <c r="T49167" i="15"/>
  <c r="T49166" i="15"/>
  <c r="T49165" i="15"/>
  <c r="T49164" i="15"/>
  <c r="T49163" i="15"/>
  <c r="T49162" i="15"/>
  <c r="T49161" i="15"/>
  <c r="T49160" i="15"/>
  <c r="T49159" i="15"/>
  <c r="T49158" i="15"/>
  <c r="T49157" i="15"/>
  <c r="T49156" i="15"/>
  <c r="T49155" i="15"/>
  <c r="T49154" i="15"/>
  <c r="T49153" i="15"/>
  <c r="T49152" i="15"/>
  <c r="T49151" i="15"/>
  <c r="T49150" i="15"/>
  <c r="T49149" i="15"/>
  <c r="T49148" i="15"/>
  <c r="T49147" i="15"/>
  <c r="T49146" i="15"/>
  <c r="T49145" i="15"/>
  <c r="T49144" i="15"/>
  <c r="T49143" i="15"/>
  <c r="T49142" i="15"/>
  <c r="T49141" i="15"/>
  <c r="T49140" i="15"/>
  <c r="T49139" i="15"/>
  <c r="T49138" i="15"/>
  <c r="T49137" i="15"/>
  <c r="T49136" i="15"/>
  <c r="T49135" i="15"/>
  <c r="T49134" i="15"/>
  <c r="T49133" i="15"/>
  <c r="T49132" i="15"/>
  <c r="T49131" i="15"/>
  <c r="T49130" i="15"/>
  <c r="T49129" i="15"/>
  <c r="T49128" i="15"/>
  <c r="T49127" i="15"/>
  <c r="T49126" i="15"/>
  <c r="T49125" i="15"/>
  <c r="T49124" i="15"/>
  <c r="T49123" i="15"/>
  <c r="T49122" i="15"/>
  <c r="T49121" i="15"/>
  <c r="T49120" i="15"/>
  <c r="T49119" i="15"/>
  <c r="T49118" i="15"/>
  <c r="T49117" i="15"/>
  <c r="T49116" i="15"/>
  <c r="T49115" i="15"/>
  <c r="T49114" i="15"/>
  <c r="T49113" i="15"/>
  <c r="T49112" i="15"/>
  <c r="T49111" i="15"/>
  <c r="T49110" i="15"/>
  <c r="T49109" i="15"/>
  <c r="T49108" i="15"/>
  <c r="T49107" i="15"/>
  <c r="T49106" i="15"/>
  <c r="T49105" i="15"/>
  <c r="T49104" i="15"/>
  <c r="T49103" i="15"/>
  <c r="T49102" i="15"/>
  <c r="T49101" i="15"/>
  <c r="T49100" i="15"/>
  <c r="T49099" i="15"/>
  <c r="T49098" i="15"/>
  <c r="T49097" i="15"/>
  <c r="T49096" i="15"/>
  <c r="T49095" i="15"/>
  <c r="T49094" i="15"/>
  <c r="T49093" i="15"/>
  <c r="T49092" i="15"/>
  <c r="T49091" i="15"/>
  <c r="T49090" i="15"/>
  <c r="T49089" i="15"/>
  <c r="T49088" i="15"/>
  <c r="T49087" i="15"/>
  <c r="T49086" i="15"/>
  <c r="T49085" i="15"/>
  <c r="T49084" i="15"/>
  <c r="T49083" i="15"/>
  <c r="T49082" i="15"/>
  <c r="T49081" i="15"/>
  <c r="T49080" i="15"/>
  <c r="T49079" i="15"/>
  <c r="T49078" i="15"/>
  <c r="T49077" i="15"/>
  <c r="T49076" i="15"/>
  <c r="T49075" i="15"/>
  <c r="T49074" i="15"/>
  <c r="T49073" i="15"/>
  <c r="T49072" i="15"/>
  <c r="T49071" i="15"/>
  <c r="T49070" i="15"/>
  <c r="T49069" i="15"/>
  <c r="T49068" i="15"/>
  <c r="T49067" i="15"/>
  <c r="T49066" i="15"/>
  <c r="T49065" i="15"/>
  <c r="T49064" i="15"/>
  <c r="T49063" i="15"/>
  <c r="T49062" i="15"/>
  <c r="T49061" i="15"/>
  <c r="T49060" i="15"/>
  <c r="T49059" i="15"/>
  <c r="T49058" i="15"/>
  <c r="T49057" i="15"/>
  <c r="T49056" i="15"/>
  <c r="T49055" i="15"/>
  <c r="T49054" i="15"/>
  <c r="T49053" i="15"/>
  <c r="T49052" i="15"/>
  <c r="T49051" i="15"/>
  <c r="T49050" i="15"/>
  <c r="T49049" i="15"/>
  <c r="T49048" i="15"/>
  <c r="T49047" i="15"/>
  <c r="T49046" i="15"/>
  <c r="T49045" i="15"/>
  <c r="T49044" i="15"/>
  <c r="T49043" i="15"/>
  <c r="T49042" i="15"/>
  <c r="T49041" i="15"/>
  <c r="T49040" i="15"/>
  <c r="T49039" i="15"/>
  <c r="T49038" i="15"/>
  <c r="T49037" i="15"/>
  <c r="T49036" i="15"/>
  <c r="T49035" i="15"/>
  <c r="T49034" i="15"/>
  <c r="T49033" i="15"/>
  <c r="T49032" i="15"/>
  <c r="T49031" i="15"/>
  <c r="T49030" i="15"/>
  <c r="T49029" i="15"/>
  <c r="T49028" i="15"/>
  <c r="T49027" i="15"/>
  <c r="T49026" i="15"/>
  <c r="T49025" i="15"/>
  <c r="T49024" i="15"/>
  <c r="T49023" i="15"/>
  <c r="T49022" i="15"/>
  <c r="T49021" i="15"/>
  <c r="T49020" i="15"/>
  <c r="T49019" i="15"/>
  <c r="T49018" i="15"/>
  <c r="T49017" i="15"/>
  <c r="T49016" i="15"/>
  <c r="T49015" i="15"/>
  <c r="T49014" i="15"/>
  <c r="T49013" i="15"/>
  <c r="T49012" i="15"/>
  <c r="T49011" i="15"/>
  <c r="T49010" i="15"/>
  <c r="T49009" i="15"/>
  <c r="T49008" i="15"/>
  <c r="T49007" i="15"/>
  <c r="T49006" i="15"/>
  <c r="T49005" i="15"/>
  <c r="T49004" i="15"/>
  <c r="T49003" i="15"/>
  <c r="T49002" i="15"/>
  <c r="T49001" i="15"/>
  <c r="T49000" i="15"/>
  <c r="T48999" i="15"/>
  <c r="T48998" i="15"/>
  <c r="T48997" i="15"/>
  <c r="T48996" i="15"/>
  <c r="T48995" i="15"/>
  <c r="T48994" i="15"/>
  <c r="T48993" i="15"/>
  <c r="T48992" i="15"/>
  <c r="T48991" i="15"/>
  <c r="T48990" i="15"/>
  <c r="T48989" i="15"/>
  <c r="T48988" i="15"/>
  <c r="T48987" i="15"/>
  <c r="T48986" i="15"/>
  <c r="T48985" i="15"/>
  <c r="T48984" i="15"/>
  <c r="T48983" i="15"/>
  <c r="T48982" i="15"/>
  <c r="T48981" i="15"/>
  <c r="T48980" i="15"/>
  <c r="T48979" i="15"/>
  <c r="T48978" i="15"/>
  <c r="T48977" i="15"/>
  <c r="T48976" i="15"/>
  <c r="T48975" i="15"/>
  <c r="T48974" i="15"/>
  <c r="T48973" i="15"/>
  <c r="T48972" i="15"/>
  <c r="T48971" i="15"/>
  <c r="T48970" i="15"/>
  <c r="T48969" i="15"/>
  <c r="T48968" i="15"/>
  <c r="T48967" i="15"/>
  <c r="T48966" i="15"/>
  <c r="T48965" i="15"/>
  <c r="T48964" i="15"/>
  <c r="T48963" i="15"/>
  <c r="T48962" i="15"/>
  <c r="T48961" i="15"/>
  <c r="T48960" i="15"/>
  <c r="T48959" i="15"/>
  <c r="T48958" i="15"/>
  <c r="T48957" i="15"/>
  <c r="T48956" i="15"/>
  <c r="T48955" i="15"/>
  <c r="T48954" i="15"/>
  <c r="T48953" i="15"/>
  <c r="T48952" i="15"/>
  <c r="T48951" i="15"/>
  <c r="T48950" i="15"/>
  <c r="T48949" i="15"/>
  <c r="T48948" i="15"/>
  <c r="T48947" i="15"/>
  <c r="T48946" i="15"/>
  <c r="T48945" i="15"/>
  <c r="T48944" i="15"/>
  <c r="T48943" i="15"/>
  <c r="T48942" i="15"/>
  <c r="T48941" i="15"/>
  <c r="T48940" i="15"/>
  <c r="T48939" i="15"/>
  <c r="T48938" i="15"/>
  <c r="T48937" i="15"/>
  <c r="T48936" i="15"/>
  <c r="T48935" i="15"/>
  <c r="T48934" i="15"/>
  <c r="T48933" i="15"/>
  <c r="T48932" i="15"/>
  <c r="T48931" i="15"/>
  <c r="T48930" i="15"/>
  <c r="T48929" i="15"/>
  <c r="T48928" i="15"/>
  <c r="T48927" i="15"/>
  <c r="T48926" i="15"/>
  <c r="T48925" i="15"/>
  <c r="T48924" i="15"/>
  <c r="T48923" i="15"/>
  <c r="T48922" i="15"/>
  <c r="T48921" i="15"/>
  <c r="T48920" i="15"/>
  <c r="T48919" i="15"/>
  <c r="T48918" i="15"/>
  <c r="T48917" i="15"/>
  <c r="T48916" i="15"/>
  <c r="T48915" i="15"/>
  <c r="T48914" i="15"/>
  <c r="T48913" i="15"/>
  <c r="T48912" i="15"/>
  <c r="T48911" i="15"/>
  <c r="T48910" i="15"/>
  <c r="T48909" i="15"/>
  <c r="T48908" i="15"/>
  <c r="T48907" i="15"/>
  <c r="T48906" i="15"/>
  <c r="T48905" i="15"/>
  <c r="T48904" i="15"/>
  <c r="T48903" i="15"/>
  <c r="T48902" i="15"/>
  <c r="T48901" i="15"/>
  <c r="T48900" i="15"/>
  <c r="T48899" i="15"/>
  <c r="T48898" i="15"/>
  <c r="T48897" i="15"/>
  <c r="T48896" i="15"/>
  <c r="T48895" i="15"/>
  <c r="T48894" i="15"/>
  <c r="T48893" i="15"/>
  <c r="T48892" i="15"/>
  <c r="T48891" i="15"/>
  <c r="T48890" i="15"/>
  <c r="T48889" i="15"/>
  <c r="T48888" i="15"/>
  <c r="T48887" i="15"/>
  <c r="T48886" i="15"/>
  <c r="T48885" i="15"/>
  <c r="T48884" i="15"/>
  <c r="T48883" i="15"/>
  <c r="T48882" i="15"/>
  <c r="T48881" i="15"/>
  <c r="T48880" i="15"/>
  <c r="T48879" i="15"/>
  <c r="T48878" i="15"/>
  <c r="T48877" i="15"/>
  <c r="T48876" i="15"/>
  <c r="T48875" i="15"/>
  <c r="T48874" i="15"/>
  <c r="T48873" i="15"/>
  <c r="T48872" i="15"/>
  <c r="T48871" i="15"/>
  <c r="T48870" i="15"/>
  <c r="T48869" i="15"/>
  <c r="T48868" i="15"/>
  <c r="T48867" i="15"/>
  <c r="T48866" i="15"/>
  <c r="T48865" i="15"/>
  <c r="T48864" i="15"/>
  <c r="T48863" i="15"/>
  <c r="T48862" i="15"/>
  <c r="T48861" i="15"/>
  <c r="T48860" i="15"/>
  <c r="T48859" i="15"/>
  <c r="T48858" i="15"/>
  <c r="T48857" i="15"/>
  <c r="T48856" i="15"/>
  <c r="T48855" i="15"/>
  <c r="T48854" i="15"/>
  <c r="T48853" i="15"/>
  <c r="T48852" i="15"/>
  <c r="T48851" i="15"/>
  <c r="T48850" i="15"/>
  <c r="T48849" i="15"/>
  <c r="T48848" i="15"/>
  <c r="T48847" i="15"/>
  <c r="T48846" i="15"/>
  <c r="T48845" i="15"/>
  <c r="T48844" i="15"/>
  <c r="T48843" i="15"/>
  <c r="T48842" i="15"/>
  <c r="T48841" i="15"/>
  <c r="T48840" i="15"/>
  <c r="T48839" i="15"/>
  <c r="T48838" i="15"/>
  <c r="T48837" i="15"/>
  <c r="T48836" i="15"/>
  <c r="T48835" i="15"/>
  <c r="T48834" i="15"/>
  <c r="T48833" i="15"/>
  <c r="T48832" i="15"/>
  <c r="T48831" i="15"/>
  <c r="T48830" i="15"/>
  <c r="T48829" i="15"/>
  <c r="T48828" i="15"/>
  <c r="T48827" i="15"/>
  <c r="T48826" i="15"/>
  <c r="T48825" i="15"/>
  <c r="T48824" i="15"/>
  <c r="T48823" i="15"/>
  <c r="T48822" i="15"/>
  <c r="T48821" i="15"/>
  <c r="T48820" i="15"/>
  <c r="T48819" i="15"/>
  <c r="T48818" i="15"/>
  <c r="T48817" i="15"/>
  <c r="T48816" i="15"/>
  <c r="T48815" i="15"/>
  <c r="T48814" i="15"/>
  <c r="T48813" i="15"/>
  <c r="T48812" i="15"/>
  <c r="T48811" i="15"/>
  <c r="T48810" i="15"/>
  <c r="T48809" i="15"/>
  <c r="T48808" i="15"/>
  <c r="T48807" i="15"/>
  <c r="T48806" i="15"/>
  <c r="T48805" i="15"/>
  <c r="T48804" i="15"/>
  <c r="T48803" i="15"/>
  <c r="T48802" i="15"/>
  <c r="T48801" i="15"/>
  <c r="T48800" i="15"/>
  <c r="T48799" i="15"/>
  <c r="T48798" i="15"/>
  <c r="T48797" i="15"/>
  <c r="T48796" i="15"/>
  <c r="T48795" i="15"/>
  <c r="T48794" i="15"/>
  <c r="T48793" i="15"/>
  <c r="T48792" i="15"/>
  <c r="T48791" i="15"/>
  <c r="T48790" i="15"/>
  <c r="T48789" i="15"/>
  <c r="T48788" i="15"/>
  <c r="T48787" i="15"/>
  <c r="T48786" i="15"/>
  <c r="T48785" i="15"/>
  <c r="T48784" i="15"/>
  <c r="T48783" i="15"/>
  <c r="T48782" i="15"/>
  <c r="T48781" i="15"/>
  <c r="T48780" i="15"/>
  <c r="T48779" i="15"/>
  <c r="T48778" i="15"/>
  <c r="T48777" i="15"/>
  <c r="T48776" i="15"/>
  <c r="T48775" i="15"/>
  <c r="T48774" i="15"/>
  <c r="T48773" i="15"/>
  <c r="T48772" i="15"/>
  <c r="T48771" i="15"/>
  <c r="T48770" i="15"/>
  <c r="T48769" i="15"/>
  <c r="T48768" i="15"/>
  <c r="T48767" i="15"/>
  <c r="T48766" i="15"/>
  <c r="T48765" i="15"/>
  <c r="T48764" i="15"/>
  <c r="T48763" i="15"/>
  <c r="T48762" i="15"/>
  <c r="T48761" i="15"/>
  <c r="T48760" i="15"/>
  <c r="T48759" i="15"/>
  <c r="T48758" i="15"/>
  <c r="T48757" i="15"/>
  <c r="T48756" i="15"/>
  <c r="T48755" i="15"/>
  <c r="T48754" i="15"/>
  <c r="T48753" i="15"/>
  <c r="T48752" i="15"/>
  <c r="T48751" i="15"/>
  <c r="T48750" i="15"/>
  <c r="T48749" i="15"/>
  <c r="T48748" i="15"/>
  <c r="T48747" i="15"/>
  <c r="T48746" i="15"/>
  <c r="T48745" i="15"/>
  <c r="T48744" i="15"/>
  <c r="T48743" i="15"/>
  <c r="T48742" i="15"/>
  <c r="T48741" i="15"/>
  <c r="T48740" i="15"/>
  <c r="T48739" i="15"/>
  <c r="T48738" i="15"/>
  <c r="T48737" i="15"/>
  <c r="T48736" i="15"/>
  <c r="T48735" i="15"/>
  <c r="T48734" i="15"/>
  <c r="T48733" i="15"/>
  <c r="T48732" i="15"/>
  <c r="T48731" i="15"/>
  <c r="T48730" i="15"/>
  <c r="T48729" i="15"/>
  <c r="T48728" i="15"/>
  <c r="T48727" i="15"/>
  <c r="T48726" i="15"/>
  <c r="T48725" i="15"/>
  <c r="T48724" i="15"/>
  <c r="T48723" i="15"/>
  <c r="T48722" i="15"/>
  <c r="T48721" i="15"/>
  <c r="T48720" i="15"/>
  <c r="T48719" i="15"/>
  <c r="T48718" i="15"/>
  <c r="T48717" i="15"/>
  <c r="T48716" i="15"/>
  <c r="T48715" i="15"/>
  <c r="T48714" i="15"/>
  <c r="T48713" i="15"/>
  <c r="T48712" i="15"/>
  <c r="T48711" i="15"/>
  <c r="T48710" i="15"/>
  <c r="T48709" i="15"/>
  <c r="T48708" i="15"/>
  <c r="T48707" i="15"/>
  <c r="T48706" i="15"/>
  <c r="T48705" i="15"/>
  <c r="T48704" i="15"/>
  <c r="T48703" i="15"/>
  <c r="T48702" i="15"/>
  <c r="T48701" i="15"/>
  <c r="T48700" i="15"/>
  <c r="T48699" i="15"/>
  <c r="T48698" i="15"/>
  <c r="T48697" i="15"/>
  <c r="T48696" i="15"/>
  <c r="T48695" i="15"/>
  <c r="T48694" i="15"/>
  <c r="T48693" i="15"/>
  <c r="T48692" i="15"/>
  <c r="T48691" i="15"/>
  <c r="T48690" i="15"/>
  <c r="T48689" i="15"/>
  <c r="T48688" i="15"/>
  <c r="T48687" i="15"/>
  <c r="T48686" i="15"/>
  <c r="T48685" i="15"/>
  <c r="T48684" i="15"/>
  <c r="T48683" i="15"/>
  <c r="T48682" i="15"/>
  <c r="T48681" i="15"/>
  <c r="T48680" i="15"/>
  <c r="T48679" i="15"/>
  <c r="T48678" i="15"/>
  <c r="T48677" i="15"/>
  <c r="T48676" i="15"/>
  <c r="T48675" i="15"/>
  <c r="T48674" i="15"/>
  <c r="T48673" i="15"/>
  <c r="T48672" i="15"/>
  <c r="T48671" i="15"/>
  <c r="T48670" i="15"/>
  <c r="T48669" i="15"/>
  <c r="T48668" i="15"/>
  <c r="T48667" i="15"/>
  <c r="T48666" i="15"/>
  <c r="T48665" i="15"/>
  <c r="T48664" i="15"/>
  <c r="T48663" i="15"/>
  <c r="T48662" i="15"/>
  <c r="T48661" i="15"/>
  <c r="T48660" i="15"/>
  <c r="T48659" i="15"/>
  <c r="T48658" i="15"/>
  <c r="T48657" i="15"/>
  <c r="T48656" i="15"/>
  <c r="T48655" i="15"/>
  <c r="T48654" i="15"/>
  <c r="T48653" i="15"/>
  <c r="T48652" i="15"/>
  <c r="T48651" i="15"/>
  <c r="T48650" i="15"/>
  <c r="T48649" i="15"/>
  <c r="T48648" i="15"/>
  <c r="T48647" i="15"/>
  <c r="T48646" i="15"/>
  <c r="T48645" i="15"/>
  <c r="T48644" i="15"/>
  <c r="T48643" i="15"/>
  <c r="T48642" i="15"/>
  <c r="T48641" i="15"/>
  <c r="T48640" i="15"/>
  <c r="T48639" i="15"/>
  <c r="T48638" i="15"/>
  <c r="T48637" i="15"/>
  <c r="T48636" i="15"/>
  <c r="T48635" i="15"/>
  <c r="T48634" i="15"/>
  <c r="T48633" i="15"/>
  <c r="T48632" i="15"/>
  <c r="T48631" i="15"/>
  <c r="T48630" i="15"/>
  <c r="T48629" i="15"/>
  <c r="T48628" i="15"/>
  <c r="T48627" i="15"/>
  <c r="T48626" i="15"/>
  <c r="T48625" i="15"/>
  <c r="T48624" i="15"/>
  <c r="T48623" i="15"/>
  <c r="T48622" i="15"/>
  <c r="T48621" i="15"/>
  <c r="T48620" i="15"/>
  <c r="T48619" i="15"/>
  <c r="T48618" i="15"/>
  <c r="T48617" i="15"/>
  <c r="T48616" i="15"/>
  <c r="T48615" i="15"/>
  <c r="T48614" i="15"/>
  <c r="T48613" i="15"/>
  <c r="T48612" i="15"/>
  <c r="T48611" i="15"/>
  <c r="T48610" i="15"/>
  <c r="T48609" i="15"/>
  <c r="T48608" i="15"/>
  <c r="T48607" i="15"/>
  <c r="T48606" i="15"/>
  <c r="T48605" i="15"/>
  <c r="T48604" i="15"/>
  <c r="T48603" i="15"/>
  <c r="T48602" i="15"/>
  <c r="T48601" i="15"/>
  <c r="T48600" i="15"/>
  <c r="T48599" i="15"/>
  <c r="T48598" i="15"/>
  <c r="T48597" i="15"/>
  <c r="T48596" i="15"/>
  <c r="T48595" i="15"/>
  <c r="T48594" i="15"/>
  <c r="T48593" i="15"/>
  <c r="T48592" i="15"/>
  <c r="T48591" i="15"/>
  <c r="T48590" i="15"/>
  <c r="T48589" i="15"/>
  <c r="T48588" i="15"/>
  <c r="T48587" i="15"/>
  <c r="T48586" i="15"/>
  <c r="T48585" i="15"/>
  <c r="T48584" i="15"/>
  <c r="T48583" i="15"/>
  <c r="T48582" i="15"/>
  <c r="T48581" i="15"/>
  <c r="T48580" i="15"/>
  <c r="T48579" i="15"/>
  <c r="T48578" i="15"/>
  <c r="T48577" i="15"/>
  <c r="T48576" i="15"/>
  <c r="T48575" i="15"/>
  <c r="T48574" i="15"/>
  <c r="T48573" i="15"/>
  <c r="T48572" i="15"/>
  <c r="T48571" i="15"/>
  <c r="T48570" i="15"/>
  <c r="T48569" i="15"/>
  <c r="T48568" i="15"/>
  <c r="T48567" i="15"/>
  <c r="T48566" i="15"/>
  <c r="T48565" i="15"/>
  <c r="T48564" i="15"/>
  <c r="T48563" i="15"/>
  <c r="T48562" i="15"/>
  <c r="T48561" i="15"/>
  <c r="T48560" i="15"/>
  <c r="T48559" i="15"/>
  <c r="T48558" i="15"/>
  <c r="T48557" i="15"/>
  <c r="T48556" i="15"/>
  <c r="T48555" i="15"/>
  <c r="T48554" i="15"/>
  <c r="T48553" i="15"/>
  <c r="T48552" i="15"/>
  <c r="T48551" i="15"/>
  <c r="T48550" i="15"/>
  <c r="T48549" i="15"/>
  <c r="T48548" i="15"/>
  <c r="T48547" i="15"/>
  <c r="T48546" i="15"/>
  <c r="T48545" i="15"/>
  <c r="T48544" i="15"/>
  <c r="T48543" i="15"/>
  <c r="T48542" i="15"/>
  <c r="T48541" i="15"/>
  <c r="T48540" i="15"/>
  <c r="T48539" i="15"/>
  <c r="T48538" i="15"/>
  <c r="T48537" i="15"/>
  <c r="T48536" i="15"/>
  <c r="T48535" i="15"/>
  <c r="T48534" i="15"/>
  <c r="T48533" i="15"/>
  <c r="T48532" i="15"/>
  <c r="T48531" i="15"/>
  <c r="T48530" i="15"/>
  <c r="T48529" i="15"/>
  <c r="T48528" i="15"/>
  <c r="T48527" i="15"/>
  <c r="T48526" i="15"/>
  <c r="T48525" i="15"/>
  <c r="T48524" i="15"/>
  <c r="T48523" i="15"/>
  <c r="T48522" i="15"/>
  <c r="T48521" i="15"/>
  <c r="T48520" i="15"/>
  <c r="T48519" i="15"/>
  <c r="T48518" i="15"/>
  <c r="T48517" i="15"/>
  <c r="T48516" i="15"/>
  <c r="T48515" i="15"/>
  <c r="T48514" i="15"/>
  <c r="T48513" i="15"/>
  <c r="T48512" i="15"/>
  <c r="T48511" i="15"/>
  <c r="T48510" i="15"/>
  <c r="T48509" i="15"/>
  <c r="T48508" i="15"/>
  <c r="T48507" i="15"/>
  <c r="T48506" i="15"/>
  <c r="T48505" i="15"/>
  <c r="T48504" i="15"/>
  <c r="T48503" i="15"/>
  <c r="T48502" i="15"/>
  <c r="T48501" i="15"/>
  <c r="T48500" i="15"/>
  <c r="T48499" i="15"/>
  <c r="T48498" i="15"/>
  <c r="T48497" i="15"/>
  <c r="T48496" i="15"/>
  <c r="T48495" i="15"/>
  <c r="T48494" i="15"/>
  <c r="T48493" i="15"/>
  <c r="T48492" i="15"/>
  <c r="T48491" i="15"/>
  <c r="T48490" i="15"/>
  <c r="T48489" i="15"/>
  <c r="T48488" i="15"/>
  <c r="T48487" i="15"/>
  <c r="T48486" i="15"/>
  <c r="T48485" i="15"/>
  <c r="T48484" i="15"/>
  <c r="T48483" i="15"/>
  <c r="T48482" i="15"/>
  <c r="T48481" i="15"/>
  <c r="T48480" i="15"/>
  <c r="T48479" i="15"/>
  <c r="T48478" i="15"/>
  <c r="T48477" i="15"/>
  <c r="T48476" i="15"/>
  <c r="T48475" i="15"/>
  <c r="T48474" i="15"/>
  <c r="T48473" i="15"/>
  <c r="T48472" i="15"/>
  <c r="T48471" i="15"/>
  <c r="T48470" i="15"/>
  <c r="T48469" i="15"/>
  <c r="T48468" i="15"/>
  <c r="T48467" i="15"/>
  <c r="T48466" i="15"/>
  <c r="T48465" i="15"/>
  <c r="T48464" i="15"/>
  <c r="T48463" i="15"/>
  <c r="T48462" i="15"/>
  <c r="T48461" i="15"/>
  <c r="T48460" i="15"/>
  <c r="T48459" i="15"/>
  <c r="T48458" i="15"/>
  <c r="T48457" i="15"/>
  <c r="T48456" i="15"/>
  <c r="T48455" i="15"/>
  <c r="T48454" i="15"/>
  <c r="T48453" i="15"/>
  <c r="T48452" i="15"/>
  <c r="T48451" i="15"/>
  <c r="T48450" i="15"/>
  <c r="T48449" i="15"/>
  <c r="T48448" i="15"/>
  <c r="T48447" i="15"/>
  <c r="T48446" i="15"/>
  <c r="T48445" i="15"/>
  <c r="T48444" i="15"/>
  <c r="T48443" i="15"/>
  <c r="T48442" i="15"/>
  <c r="T48441" i="15"/>
  <c r="T48440" i="15"/>
  <c r="T48439" i="15"/>
  <c r="T48438" i="15"/>
  <c r="T48437" i="15"/>
  <c r="T48436" i="15"/>
  <c r="T48435" i="15"/>
  <c r="T48434" i="15"/>
  <c r="T48433" i="15"/>
  <c r="T48432" i="15"/>
  <c r="T48431" i="15"/>
  <c r="T48430" i="15"/>
  <c r="T48429" i="15"/>
  <c r="T48428" i="15"/>
  <c r="T48427" i="15"/>
  <c r="T48426" i="15"/>
  <c r="T48425" i="15"/>
  <c r="T48424" i="15"/>
  <c r="T48423" i="15"/>
  <c r="T48422" i="15"/>
  <c r="T48421" i="15"/>
  <c r="T48420" i="15"/>
  <c r="T48419" i="15"/>
  <c r="T48418" i="15"/>
  <c r="T48417" i="15"/>
  <c r="T48416" i="15"/>
  <c r="T48415" i="15"/>
  <c r="T48414" i="15"/>
  <c r="T48413" i="15"/>
  <c r="T48412" i="15"/>
  <c r="T48411" i="15"/>
  <c r="T48410" i="15"/>
  <c r="T48409" i="15"/>
  <c r="T48408" i="15"/>
  <c r="T48407" i="15"/>
  <c r="T48406" i="15"/>
  <c r="T48405" i="15"/>
  <c r="T48404" i="15"/>
  <c r="T48403" i="15"/>
  <c r="T48402" i="15"/>
  <c r="T48401" i="15"/>
  <c r="T48400" i="15"/>
  <c r="T48399" i="15"/>
  <c r="T48398" i="15"/>
  <c r="T48397" i="15"/>
  <c r="T48396" i="15"/>
  <c r="T48395" i="15"/>
  <c r="T48394" i="15"/>
  <c r="T48393" i="15"/>
  <c r="T48392" i="15"/>
  <c r="T48391" i="15"/>
  <c r="T48390" i="15"/>
  <c r="T48389" i="15"/>
  <c r="T48388" i="15"/>
  <c r="T48387" i="15"/>
  <c r="T48386" i="15"/>
  <c r="T48385" i="15"/>
  <c r="T48384" i="15"/>
  <c r="T48383" i="15"/>
  <c r="T48382" i="15"/>
  <c r="T48381" i="15"/>
  <c r="T48380" i="15"/>
  <c r="T48379" i="15"/>
  <c r="T48378" i="15"/>
  <c r="T48377" i="15"/>
  <c r="T48376" i="15"/>
  <c r="T48375" i="15"/>
  <c r="T48374" i="15"/>
  <c r="T48373" i="15"/>
  <c r="T48372" i="15"/>
  <c r="T48371" i="15"/>
  <c r="T48370" i="15"/>
  <c r="T48369" i="15"/>
  <c r="T48368" i="15"/>
  <c r="T48367" i="15"/>
  <c r="T48366" i="15"/>
  <c r="T48365" i="15"/>
  <c r="T48364" i="15"/>
  <c r="T48363" i="15"/>
  <c r="T48362" i="15"/>
  <c r="T48361" i="15"/>
  <c r="T48360" i="15"/>
  <c r="T48359" i="15"/>
  <c r="T48358" i="15"/>
  <c r="T48357" i="15"/>
  <c r="T48356" i="15"/>
  <c r="T48355" i="15"/>
  <c r="T48354" i="15"/>
  <c r="T48353" i="15"/>
  <c r="T48352" i="15"/>
  <c r="T48351" i="15"/>
  <c r="T48350" i="15"/>
  <c r="T48349" i="15"/>
  <c r="T48348" i="15"/>
  <c r="T48347" i="15"/>
  <c r="T48346" i="15"/>
  <c r="T48345" i="15"/>
  <c r="T48344" i="15"/>
  <c r="T48343" i="15"/>
  <c r="T48342" i="15"/>
  <c r="T48341" i="15"/>
  <c r="T48340" i="15"/>
  <c r="T48339" i="15"/>
  <c r="T48338" i="15"/>
  <c r="T48337" i="15"/>
  <c r="T48336" i="15"/>
  <c r="T48335" i="15"/>
  <c r="T48334" i="15"/>
  <c r="T48333" i="15"/>
  <c r="T48332" i="15"/>
  <c r="T48331" i="15"/>
  <c r="T48330" i="15"/>
  <c r="T48329" i="15"/>
  <c r="T48328" i="15"/>
  <c r="T48327" i="15"/>
  <c r="T48326" i="15"/>
  <c r="T48325" i="15"/>
  <c r="T48324" i="15"/>
  <c r="T48323" i="15"/>
  <c r="T48322" i="15"/>
  <c r="T48321" i="15"/>
  <c r="T48320" i="15"/>
  <c r="T48319" i="15"/>
  <c r="T48318" i="15"/>
  <c r="T48317" i="15"/>
  <c r="T48316" i="15"/>
  <c r="T48315" i="15"/>
  <c r="T48314" i="15"/>
  <c r="T48313" i="15"/>
  <c r="T48312" i="15"/>
  <c r="T48311" i="15"/>
  <c r="T48310" i="15"/>
  <c r="T48309" i="15"/>
  <c r="T48308" i="15"/>
  <c r="T48307" i="15"/>
  <c r="T48306" i="15"/>
  <c r="T48305" i="15"/>
  <c r="T48304" i="15"/>
  <c r="T48303" i="15"/>
  <c r="T48302" i="15"/>
  <c r="T48301" i="15"/>
  <c r="T48300" i="15"/>
  <c r="T48299" i="15"/>
  <c r="T48298" i="15"/>
  <c r="T48297" i="15"/>
  <c r="T48296" i="15"/>
  <c r="T48295" i="15"/>
  <c r="T48294" i="15"/>
  <c r="T48293" i="15"/>
  <c r="T48292" i="15"/>
  <c r="T48291" i="15"/>
  <c r="T48290" i="15"/>
  <c r="T48289" i="15"/>
  <c r="T48288" i="15"/>
  <c r="T48287" i="15"/>
  <c r="T48286" i="15"/>
  <c r="T48285" i="15"/>
  <c r="T48284" i="15"/>
  <c r="T48283" i="15"/>
  <c r="T48282" i="15"/>
  <c r="T48281" i="15"/>
  <c r="T48280" i="15"/>
  <c r="T48279" i="15"/>
  <c r="T48278" i="15"/>
  <c r="T48277" i="15"/>
  <c r="T48276" i="15"/>
  <c r="T48275" i="15"/>
  <c r="T48274" i="15"/>
  <c r="T48273" i="15"/>
  <c r="T48272" i="15"/>
  <c r="T48271" i="15"/>
  <c r="T48270" i="15"/>
  <c r="T48269" i="15"/>
  <c r="T48268" i="15"/>
  <c r="T48267" i="15"/>
  <c r="T48266" i="15"/>
  <c r="T48265" i="15"/>
  <c r="T48264" i="15"/>
  <c r="T48263" i="15"/>
  <c r="T48262" i="15"/>
  <c r="T48261" i="15"/>
  <c r="T48260" i="15"/>
  <c r="T48259" i="15"/>
  <c r="T48258" i="15"/>
  <c r="T48257" i="15"/>
  <c r="T48256" i="15"/>
  <c r="T48255" i="15"/>
  <c r="T48254" i="15"/>
  <c r="T48253" i="15"/>
  <c r="T48252" i="15"/>
  <c r="T48251" i="15"/>
  <c r="T48250" i="15"/>
  <c r="T48249" i="15"/>
  <c r="T48248" i="15"/>
  <c r="T48247" i="15"/>
  <c r="T48246" i="15"/>
  <c r="T48245" i="15"/>
  <c r="T48244" i="15"/>
  <c r="T48243" i="15"/>
  <c r="T48242" i="15"/>
  <c r="T48241" i="15"/>
  <c r="T48240" i="15"/>
  <c r="T48239" i="15"/>
  <c r="T48238" i="15"/>
  <c r="T48237" i="15"/>
  <c r="T48236" i="15"/>
  <c r="T48235" i="15"/>
  <c r="T48234" i="15"/>
  <c r="T48233" i="15"/>
  <c r="T48232" i="15"/>
  <c r="T48231" i="15"/>
  <c r="T48230" i="15"/>
  <c r="T48229" i="15"/>
  <c r="T48228" i="15"/>
  <c r="T48227" i="15"/>
  <c r="T48226" i="15"/>
  <c r="T48225" i="15"/>
  <c r="T48224" i="15"/>
  <c r="T48223" i="15"/>
  <c r="T48222" i="15"/>
  <c r="T48221" i="15"/>
  <c r="T48220" i="15"/>
  <c r="T48219" i="15"/>
  <c r="T48218" i="15"/>
  <c r="T48217" i="15"/>
  <c r="T48216" i="15"/>
  <c r="T48215" i="15"/>
  <c r="T48214" i="15"/>
  <c r="T48213" i="15"/>
  <c r="T48212" i="15"/>
  <c r="T48211" i="15"/>
  <c r="T48210" i="15"/>
  <c r="T48209" i="15"/>
  <c r="T48208" i="15"/>
  <c r="T48207" i="15"/>
  <c r="T48206" i="15"/>
  <c r="T48205" i="15"/>
  <c r="T48204" i="15"/>
  <c r="T48203" i="15"/>
  <c r="T48202" i="15"/>
  <c r="T48201" i="15"/>
  <c r="T48200" i="15"/>
  <c r="T48199" i="15"/>
  <c r="T48198" i="15"/>
  <c r="T48197" i="15"/>
  <c r="T48196" i="15"/>
  <c r="T48195" i="15"/>
  <c r="T48194" i="15"/>
  <c r="T48193" i="15"/>
  <c r="T48192" i="15"/>
  <c r="T48191" i="15"/>
  <c r="T48190" i="15"/>
  <c r="T48189" i="15"/>
  <c r="T48188" i="15"/>
  <c r="T48187" i="15"/>
  <c r="T48186" i="15"/>
  <c r="T48185" i="15"/>
  <c r="T48184" i="15"/>
  <c r="T48183" i="15"/>
  <c r="T48182" i="15"/>
  <c r="T48181" i="15"/>
  <c r="T48180" i="15"/>
  <c r="T48179" i="15"/>
  <c r="T48178" i="15"/>
  <c r="T48177" i="15"/>
  <c r="T48176" i="15"/>
  <c r="T48175" i="15"/>
  <c r="T48174" i="15"/>
  <c r="T48173" i="15"/>
  <c r="T48172" i="15"/>
  <c r="T48171" i="15"/>
  <c r="T48170" i="15"/>
  <c r="T48169" i="15"/>
  <c r="T48168" i="15"/>
  <c r="T48167" i="15"/>
  <c r="T48166" i="15"/>
  <c r="T48165" i="15"/>
  <c r="T48164" i="15"/>
  <c r="T48163" i="15"/>
  <c r="T48162" i="15"/>
  <c r="T48161" i="15"/>
  <c r="T48160" i="15"/>
  <c r="T48159" i="15"/>
  <c r="T48158" i="15"/>
  <c r="T48157" i="15"/>
  <c r="T48156" i="15"/>
  <c r="T48155" i="15"/>
  <c r="T48154" i="15"/>
  <c r="T48153" i="15"/>
  <c r="T48152" i="15"/>
  <c r="T48151" i="15"/>
  <c r="T48150" i="15"/>
  <c r="T48149" i="15"/>
  <c r="T48148" i="15"/>
  <c r="T48147" i="15"/>
  <c r="T48146" i="15"/>
  <c r="T48145" i="15"/>
  <c r="T48144" i="15"/>
  <c r="T48143" i="15"/>
  <c r="T48142" i="15"/>
  <c r="T48141" i="15"/>
  <c r="T48140" i="15"/>
  <c r="T48139" i="15"/>
  <c r="T48138" i="15"/>
  <c r="T48137" i="15"/>
  <c r="T48136" i="15"/>
  <c r="T48135" i="15"/>
  <c r="T48134" i="15"/>
  <c r="T48133" i="15"/>
  <c r="T48132" i="15"/>
  <c r="T48131" i="15"/>
  <c r="T48130" i="15"/>
  <c r="T48129" i="15"/>
  <c r="T48128" i="15"/>
  <c r="T48127" i="15"/>
  <c r="T48126" i="15"/>
  <c r="T48125" i="15"/>
  <c r="T48124" i="15"/>
  <c r="T48123" i="15"/>
  <c r="T48122" i="15"/>
  <c r="T48121" i="15"/>
  <c r="T48120" i="15"/>
  <c r="T48119" i="15"/>
  <c r="T48118" i="15"/>
  <c r="T48117" i="15"/>
  <c r="T48116" i="15"/>
  <c r="T48115" i="15"/>
  <c r="T48114" i="15"/>
  <c r="T48113" i="15"/>
  <c r="T48112" i="15"/>
  <c r="T48111" i="15"/>
  <c r="T48110" i="15"/>
  <c r="T48109" i="15"/>
  <c r="T48108" i="15"/>
  <c r="T48107" i="15"/>
  <c r="T48106" i="15"/>
  <c r="T48105" i="15"/>
  <c r="T48104" i="15"/>
  <c r="T48103" i="15"/>
  <c r="T48102" i="15"/>
  <c r="T48101" i="15"/>
  <c r="T48100" i="15"/>
  <c r="T48099" i="15"/>
  <c r="T48098" i="15"/>
  <c r="T48097" i="15"/>
  <c r="T48096" i="15"/>
  <c r="T48095" i="15"/>
  <c r="T48094" i="15"/>
  <c r="T48093" i="15"/>
  <c r="T48092" i="15"/>
  <c r="T48091" i="15"/>
  <c r="T48090" i="15"/>
  <c r="T48089" i="15"/>
  <c r="T48088" i="15"/>
  <c r="T48087" i="15"/>
  <c r="T48086" i="15"/>
  <c r="T48085" i="15"/>
  <c r="T48084" i="15"/>
  <c r="T48083" i="15"/>
  <c r="T48082" i="15"/>
  <c r="T48081" i="15"/>
  <c r="T48080" i="15"/>
  <c r="T48079" i="15"/>
  <c r="T48078" i="15"/>
  <c r="T48077" i="15"/>
  <c r="T48076" i="15"/>
  <c r="T48075" i="15"/>
  <c r="T48074" i="15"/>
  <c r="T48073" i="15"/>
  <c r="T48072" i="15"/>
  <c r="T48071" i="15"/>
  <c r="T48070" i="15"/>
  <c r="T48069" i="15"/>
  <c r="T48068" i="15"/>
  <c r="T48067" i="15"/>
  <c r="T48066" i="15"/>
  <c r="T48065" i="15"/>
  <c r="T48064" i="15"/>
  <c r="T48063" i="15"/>
  <c r="T48062" i="15"/>
  <c r="T48061" i="15"/>
  <c r="T48060" i="15"/>
  <c r="T48059" i="15"/>
  <c r="T48058" i="15"/>
  <c r="T48057" i="15"/>
  <c r="T48056" i="15"/>
  <c r="T48055" i="15"/>
  <c r="T48054" i="15"/>
  <c r="T48053" i="15"/>
  <c r="T48052" i="15"/>
  <c r="T48051" i="15"/>
  <c r="T48050" i="15"/>
  <c r="T48049" i="15"/>
  <c r="T48048" i="15"/>
  <c r="T48047" i="15"/>
  <c r="T48046" i="15"/>
  <c r="T48045" i="15"/>
  <c r="T48044" i="15"/>
  <c r="T48043" i="15"/>
  <c r="T48042" i="15"/>
  <c r="T48041" i="15"/>
  <c r="T48040" i="15"/>
  <c r="T48039" i="15"/>
  <c r="T48038" i="15"/>
  <c r="T48037" i="15"/>
  <c r="T48036" i="15"/>
  <c r="T48035" i="15"/>
  <c r="T48034" i="15"/>
  <c r="T48033" i="15"/>
  <c r="T48032" i="15"/>
  <c r="T48031" i="15"/>
  <c r="T48030" i="15"/>
  <c r="T48029" i="15"/>
  <c r="T48028" i="15"/>
  <c r="T48027" i="15"/>
  <c r="T48026" i="15"/>
  <c r="T48025" i="15"/>
  <c r="T48024" i="15"/>
  <c r="T48023" i="15"/>
  <c r="T48022" i="15"/>
  <c r="T48021" i="15"/>
  <c r="T48020" i="15"/>
  <c r="T48019" i="15"/>
  <c r="T48018" i="15"/>
  <c r="T48017" i="15"/>
  <c r="T48016" i="15"/>
  <c r="T48015" i="15"/>
  <c r="T48014" i="15"/>
  <c r="T48013" i="15"/>
  <c r="T48012" i="15"/>
  <c r="T48011" i="15"/>
  <c r="T48010" i="15"/>
  <c r="T48009" i="15"/>
  <c r="T48008" i="15"/>
  <c r="T48007" i="15"/>
  <c r="T48006" i="15"/>
  <c r="T48005" i="15"/>
  <c r="T48004" i="15"/>
  <c r="T48003" i="15"/>
  <c r="T48002" i="15"/>
  <c r="T48001" i="15"/>
  <c r="T48000" i="15"/>
  <c r="T47999" i="15"/>
  <c r="T47998" i="15"/>
  <c r="T47997" i="15"/>
  <c r="T47996" i="15"/>
  <c r="T47995" i="15"/>
  <c r="T47994" i="15"/>
  <c r="T47993" i="15"/>
  <c r="T47992" i="15"/>
  <c r="T47991" i="15"/>
  <c r="T47990" i="15"/>
  <c r="T47989" i="15"/>
  <c r="T47988" i="15"/>
  <c r="T47987" i="15"/>
  <c r="T47986" i="15"/>
  <c r="T47985" i="15"/>
  <c r="T47984" i="15"/>
  <c r="T47983" i="15"/>
  <c r="T47982" i="15"/>
  <c r="T47981" i="15"/>
  <c r="T47980" i="15"/>
  <c r="T47979" i="15"/>
  <c r="T47978" i="15"/>
  <c r="T47977" i="15"/>
  <c r="T47976" i="15"/>
  <c r="T47975" i="15"/>
  <c r="T47974" i="15"/>
  <c r="T47973" i="15"/>
  <c r="T47972" i="15"/>
  <c r="T47971" i="15"/>
  <c r="T47970" i="15"/>
  <c r="T47969" i="15"/>
  <c r="T47968" i="15"/>
  <c r="T47967" i="15"/>
  <c r="T47966" i="15"/>
  <c r="T47965" i="15"/>
  <c r="T47964" i="15"/>
  <c r="T47963" i="15"/>
  <c r="T47962" i="15"/>
  <c r="T47961" i="15"/>
  <c r="T47960" i="15"/>
  <c r="T47959" i="15"/>
  <c r="T47958" i="15"/>
  <c r="T47957" i="15"/>
  <c r="T47956" i="15"/>
  <c r="T47955" i="15"/>
  <c r="T47954" i="15"/>
  <c r="T47953" i="15"/>
  <c r="T47952" i="15"/>
  <c r="T47951" i="15"/>
  <c r="T47950" i="15"/>
  <c r="T47949" i="15"/>
  <c r="T47948" i="15"/>
  <c r="T47947" i="15"/>
  <c r="T47946" i="15"/>
  <c r="T47945" i="15"/>
  <c r="T47944" i="15"/>
  <c r="T47943" i="15"/>
  <c r="T47942" i="15"/>
  <c r="T47941" i="15"/>
  <c r="T47940" i="15"/>
  <c r="T47939" i="15"/>
  <c r="T47938" i="15"/>
  <c r="T47937" i="15"/>
  <c r="T47936" i="15"/>
  <c r="T47935" i="15"/>
  <c r="T47934" i="15"/>
  <c r="T47933" i="15"/>
  <c r="T47932" i="15"/>
  <c r="T47931" i="15"/>
  <c r="T47930" i="15"/>
  <c r="T47929" i="15"/>
  <c r="T47928" i="15"/>
  <c r="T47927" i="15"/>
  <c r="T47926" i="15"/>
  <c r="T47925" i="15"/>
  <c r="T47924" i="15"/>
  <c r="T47923" i="15"/>
  <c r="T47922" i="15"/>
  <c r="T47921" i="15"/>
  <c r="T47920" i="15"/>
  <c r="T47919" i="15"/>
  <c r="T47918" i="15"/>
  <c r="T47917" i="15"/>
  <c r="T47916" i="15"/>
  <c r="T47915" i="15"/>
  <c r="T47914" i="15"/>
  <c r="T47913" i="15"/>
  <c r="T47912" i="15"/>
  <c r="T47911" i="15"/>
  <c r="T47910" i="15"/>
  <c r="T47909" i="15"/>
  <c r="T47908" i="15"/>
  <c r="T47907" i="15"/>
  <c r="T47906" i="15"/>
  <c r="T47905" i="15"/>
  <c r="T47904" i="15"/>
  <c r="T47903" i="15"/>
  <c r="T47902" i="15"/>
  <c r="T47901" i="15"/>
  <c r="T47900" i="15"/>
  <c r="T47899" i="15"/>
  <c r="T47898" i="15"/>
  <c r="T47897" i="15"/>
  <c r="T47896" i="15"/>
  <c r="T47895" i="15"/>
  <c r="T47894" i="15"/>
  <c r="T47893" i="15"/>
  <c r="T47892" i="15"/>
  <c r="T47891" i="15"/>
  <c r="T47890" i="15"/>
  <c r="T47889" i="15"/>
  <c r="T47888" i="15"/>
  <c r="T47887" i="15"/>
  <c r="T47886" i="15"/>
  <c r="T47885" i="15"/>
  <c r="T47884" i="15"/>
  <c r="T47883" i="15"/>
  <c r="T47882" i="15"/>
  <c r="T47881" i="15"/>
  <c r="T47880" i="15"/>
  <c r="T47879" i="15"/>
  <c r="T47878" i="15"/>
  <c r="T47877" i="15"/>
  <c r="T47876" i="15"/>
  <c r="T47875" i="15"/>
  <c r="T47874" i="15"/>
  <c r="T47873" i="15"/>
  <c r="T47872" i="15"/>
  <c r="T47871" i="15"/>
  <c r="T47870" i="15"/>
  <c r="T47869" i="15"/>
  <c r="T47868" i="15"/>
  <c r="T47867" i="15"/>
  <c r="T47866" i="15"/>
  <c r="T47865" i="15"/>
  <c r="T47864" i="15"/>
  <c r="T47863" i="15"/>
  <c r="T47862" i="15"/>
  <c r="T47861" i="15"/>
  <c r="T47860" i="15"/>
  <c r="T47859" i="15"/>
  <c r="T47858" i="15"/>
  <c r="T47857" i="15"/>
  <c r="T47856" i="15"/>
  <c r="T47855" i="15"/>
  <c r="T47854" i="15"/>
  <c r="T47853" i="15"/>
  <c r="T47852" i="15"/>
  <c r="T47851" i="15"/>
  <c r="T47850" i="15"/>
  <c r="T47849" i="15"/>
  <c r="T47848" i="15"/>
  <c r="T47847" i="15"/>
  <c r="T47846" i="15"/>
  <c r="T47845" i="15"/>
  <c r="T47844" i="15"/>
  <c r="T47843" i="15"/>
  <c r="T47842" i="15"/>
  <c r="T47841" i="15"/>
  <c r="T47840" i="15"/>
  <c r="T47839" i="15"/>
  <c r="T47838" i="15"/>
  <c r="T47837" i="15"/>
  <c r="T47836" i="15"/>
  <c r="T47835" i="15"/>
  <c r="T47834" i="15"/>
  <c r="T47833" i="15"/>
  <c r="T47832" i="15"/>
  <c r="T47831" i="15"/>
  <c r="T47830" i="15"/>
  <c r="T47829" i="15"/>
  <c r="T47828" i="15"/>
  <c r="T47827" i="15"/>
  <c r="T47826" i="15"/>
  <c r="T47825" i="15"/>
  <c r="T47824" i="15"/>
  <c r="T47823" i="15"/>
  <c r="T47822" i="15"/>
  <c r="T47821" i="15"/>
  <c r="T47820" i="15"/>
  <c r="T47819" i="15"/>
  <c r="T47818" i="15"/>
  <c r="T47817" i="15"/>
  <c r="T47816" i="15"/>
  <c r="T47815" i="15"/>
  <c r="T47814" i="15"/>
  <c r="T47813" i="15"/>
  <c r="T47812" i="15"/>
  <c r="T47811" i="15"/>
  <c r="T47810" i="15"/>
  <c r="T47809" i="15"/>
  <c r="T47808" i="15"/>
  <c r="T47807" i="15"/>
  <c r="T47806" i="15"/>
  <c r="T47805" i="15"/>
  <c r="T47804" i="15"/>
  <c r="T47803" i="15"/>
  <c r="T47802" i="15"/>
  <c r="T47801" i="15"/>
  <c r="T47800" i="15"/>
  <c r="T47799" i="15"/>
  <c r="T47798" i="15"/>
  <c r="T47797" i="15"/>
  <c r="T47796" i="15"/>
  <c r="T47795" i="15"/>
  <c r="T47794" i="15"/>
  <c r="T47793" i="15"/>
  <c r="T47792" i="15"/>
  <c r="T47791" i="15"/>
  <c r="T47790" i="15"/>
  <c r="T47789" i="15"/>
  <c r="T47788" i="15"/>
  <c r="T47787" i="15"/>
  <c r="T47786" i="15"/>
  <c r="T47785" i="15"/>
  <c r="T47784" i="15"/>
  <c r="T47783" i="15"/>
  <c r="T47782" i="15"/>
  <c r="T47781" i="15"/>
  <c r="T47780" i="15"/>
  <c r="T47779" i="15"/>
  <c r="T47778" i="15"/>
  <c r="T47777" i="15"/>
  <c r="T47776" i="15"/>
  <c r="T47775" i="15"/>
  <c r="T47774" i="15"/>
  <c r="T47773" i="15"/>
  <c r="T47772" i="15"/>
  <c r="T47771" i="15"/>
  <c r="T47770" i="15"/>
  <c r="T47769" i="15"/>
  <c r="T47768" i="15"/>
  <c r="T47767" i="15"/>
  <c r="T47766" i="15"/>
  <c r="T47765" i="15"/>
  <c r="T47764" i="15"/>
  <c r="T47763" i="15"/>
  <c r="T47762" i="15"/>
  <c r="T47761" i="15"/>
  <c r="T47760" i="15"/>
  <c r="T47759" i="15"/>
  <c r="T47758" i="15"/>
  <c r="T47757" i="15"/>
  <c r="T47756" i="15"/>
  <c r="T47755" i="15"/>
  <c r="T47754" i="15"/>
  <c r="T47753" i="15"/>
  <c r="T47752" i="15"/>
  <c r="T47751" i="15"/>
  <c r="T47750" i="15"/>
  <c r="T47749" i="15"/>
  <c r="T47748" i="15"/>
  <c r="T47747" i="15"/>
  <c r="T47746" i="15"/>
  <c r="T47745" i="15"/>
  <c r="T47744" i="15"/>
  <c r="T47743" i="15"/>
  <c r="T47742" i="15"/>
  <c r="T47741" i="15"/>
  <c r="T47740" i="15"/>
  <c r="T47739" i="15"/>
  <c r="T47738" i="15"/>
  <c r="T47737" i="15"/>
  <c r="T47736" i="15"/>
  <c r="T47735" i="15"/>
  <c r="T47734" i="15"/>
  <c r="T47733" i="15"/>
  <c r="T47732" i="15"/>
  <c r="T47731" i="15"/>
  <c r="T47730" i="15"/>
  <c r="T47729" i="15"/>
  <c r="T47728" i="15"/>
  <c r="T47727" i="15"/>
  <c r="T47726" i="15"/>
  <c r="T47725" i="15"/>
  <c r="T47724" i="15"/>
  <c r="T47723" i="15"/>
  <c r="T47722" i="15"/>
  <c r="T47721" i="15"/>
  <c r="T47720" i="15"/>
  <c r="T47719" i="15"/>
  <c r="T47718" i="15"/>
  <c r="T47717" i="15"/>
  <c r="T47716" i="15"/>
  <c r="T47715" i="15"/>
  <c r="T47714" i="15"/>
  <c r="T47713" i="15"/>
  <c r="T47712" i="15"/>
  <c r="T47711" i="15"/>
  <c r="T47710" i="15"/>
  <c r="T47709" i="15"/>
  <c r="T47708" i="15"/>
  <c r="T47707" i="15"/>
  <c r="T47706" i="15"/>
  <c r="T47705" i="15"/>
  <c r="T47704" i="15"/>
  <c r="T47703" i="15"/>
  <c r="T47702" i="15"/>
  <c r="T47701" i="15"/>
  <c r="T47700" i="15"/>
  <c r="T47699" i="15"/>
  <c r="T47698" i="15"/>
  <c r="T47697" i="15"/>
  <c r="T47696" i="15"/>
  <c r="T47695" i="15"/>
  <c r="T47694" i="15"/>
  <c r="T47693" i="15"/>
  <c r="T47692" i="15"/>
  <c r="T47691" i="15"/>
  <c r="T47690" i="15"/>
  <c r="T47689" i="15"/>
  <c r="T47688" i="15"/>
  <c r="T47687" i="15"/>
  <c r="T47686" i="15"/>
  <c r="T47685" i="15"/>
  <c r="T47684" i="15"/>
  <c r="T47683" i="15"/>
  <c r="T47682" i="15"/>
  <c r="T47681" i="15"/>
  <c r="T47680" i="15"/>
  <c r="T47679" i="15"/>
  <c r="T47678" i="15"/>
  <c r="T47677" i="15"/>
  <c r="T47676" i="15"/>
  <c r="T47675" i="15"/>
  <c r="T47674" i="15"/>
  <c r="T47673" i="15"/>
  <c r="T47672" i="15"/>
  <c r="T47671" i="15"/>
  <c r="T47670" i="15"/>
  <c r="T47669" i="15"/>
  <c r="T47668" i="15"/>
  <c r="T47667" i="15"/>
  <c r="T47666" i="15"/>
  <c r="T47665" i="15"/>
  <c r="T47664" i="15"/>
  <c r="T47663" i="15"/>
  <c r="T47662" i="15"/>
  <c r="T47661" i="15"/>
  <c r="T47660" i="15"/>
  <c r="T47659" i="15"/>
  <c r="T47658" i="15"/>
  <c r="T47657" i="15"/>
  <c r="T47656" i="15"/>
  <c r="T47655" i="15"/>
  <c r="T47654" i="15"/>
  <c r="T47653" i="15"/>
  <c r="T47652" i="15"/>
  <c r="T47651" i="15"/>
  <c r="T47650" i="15"/>
  <c r="T47649" i="15"/>
  <c r="T47648" i="15"/>
  <c r="T47647" i="15"/>
  <c r="T47646" i="15"/>
  <c r="T47645" i="15"/>
  <c r="T47644" i="15"/>
  <c r="T47643" i="15"/>
  <c r="T47642" i="15"/>
  <c r="T47641" i="15"/>
  <c r="T47640" i="15"/>
  <c r="T47639" i="15"/>
  <c r="T47638" i="15"/>
  <c r="T47637" i="15"/>
  <c r="T47636" i="15"/>
  <c r="T47635" i="15"/>
  <c r="T47634" i="15"/>
  <c r="T47633" i="15"/>
  <c r="T47632" i="15"/>
  <c r="T47631" i="15"/>
  <c r="T47630" i="15"/>
  <c r="T47629" i="15"/>
  <c r="T47628" i="15"/>
  <c r="T47627" i="15"/>
  <c r="T47626" i="15"/>
  <c r="T47625" i="15"/>
  <c r="T47624" i="15"/>
  <c r="T47623" i="15"/>
  <c r="T47622" i="15"/>
  <c r="T47621" i="15"/>
  <c r="T47620" i="15"/>
  <c r="T47619" i="15"/>
  <c r="T47618" i="15"/>
  <c r="T47617" i="15"/>
  <c r="T47616" i="15"/>
  <c r="T47615" i="15"/>
  <c r="T47614" i="15"/>
  <c r="T47613" i="15"/>
  <c r="T47612" i="15"/>
  <c r="T47611" i="15"/>
  <c r="T47610" i="15"/>
  <c r="T47609" i="15"/>
  <c r="T47608" i="15"/>
  <c r="T47607" i="15"/>
  <c r="T47606" i="15"/>
  <c r="T47605" i="15"/>
  <c r="T47604" i="15"/>
  <c r="T47603" i="15"/>
  <c r="T47602" i="15"/>
  <c r="T47601" i="15"/>
  <c r="T47600" i="15"/>
  <c r="T47599" i="15"/>
  <c r="T47598" i="15"/>
  <c r="T47597" i="15"/>
  <c r="T47596" i="15"/>
  <c r="T47595" i="15"/>
  <c r="T47594" i="15"/>
  <c r="T47593" i="15"/>
  <c r="T47592" i="15"/>
  <c r="T47591" i="15"/>
  <c r="T47590" i="15"/>
  <c r="T47589" i="15"/>
  <c r="T47588" i="15"/>
  <c r="T47587" i="15"/>
  <c r="T47586" i="15"/>
  <c r="T47585" i="15"/>
  <c r="T47584" i="15"/>
  <c r="T47583" i="15"/>
  <c r="T47582" i="15"/>
  <c r="T47581" i="15"/>
  <c r="T47580" i="15"/>
  <c r="T47579" i="15"/>
  <c r="T47578" i="15"/>
  <c r="T47577" i="15"/>
  <c r="T47576" i="15"/>
  <c r="T47575" i="15"/>
  <c r="T47574" i="15"/>
  <c r="T47573" i="15"/>
  <c r="T47572" i="15"/>
  <c r="T47571" i="15"/>
  <c r="T47570" i="15"/>
  <c r="T47569" i="15"/>
  <c r="T47568" i="15"/>
  <c r="T47567" i="15"/>
  <c r="T47566" i="15"/>
  <c r="T47565" i="15"/>
  <c r="T47564" i="15"/>
  <c r="T47563" i="15"/>
  <c r="T47562" i="15"/>
  <c r="T47561" i="15"/>
  <c r="T47560" i="15"/>
  <c r="T47559" i="15"/>
  <c r="T47558" i="15"/>
  <c r="T47557" i="15"/>
  <c r="T47556" i="15"/>
  <c r="T47555" i="15"/>
  <c r="T47554" i="15"/>
  <c r="T47553" i="15"/>
  <c r="T47552" i="15"/>
  <c r="T47551" i="15"/>
  <c r="T47550" i="15"/>
  <c r="T47549" i="15"/>
  <c r="T47548" i="15"/>
  <c r="T47547" i="15"/>
  <c r="T47546" i="15"/>
  <c r="T47545" i="15"/>
  <c r="T47544" i="15"/>
  <c r="T47543" i="15"/>
  <c r="T47542" i="15"/>
  <c r="T47541" i="15"/>
  <c r="T47540" i="15"/>
  <c r="T47539" i="15"/>
  <c r="T47538" i="15"/>
  <c r="T47537" i="15"/>
  <c r="T47536" i="15"/>
  <c r="T47535" i="15"/>
  <c r="T47534" i="15"/>
  <c r="T47533" i="15"/>
  <c r="T47532" i="15"/>
  <c r="T47531" i="15"/>
  <c r="T47530" i="15"/>
  <c r="T47529" i="15"/>
  <c r="T47528" i="15"/>
  <c r="T47527" i="15"/>
  <c r="T47526" i="15"/>
  <c r="T47525" i="15"/>
  <c r="T47524" i="15"/>
  <c r="T47523" i="15"/>
  <c r="T47522" i="15"/>
  <c r="T47521" i="15"/>
  <c r="T47520" i="15"/>
  <c r="T47519" i="15"/>
  <c r="T47518" i="15"/>
  <c r="T47517" i="15"/>
  <c r="T47516" i="15"/>
  <c r="T47515" i="15"/>
  <c r="T47514" i="15"/>
  <c r="T47513" i="15"/>
  <c r="T47512" i="15"/>
  <c r="T47511" i="15"/>
  <c r="T47510" i="15"/>
  <c r="T47509" i="15"/>
  <c r="T47508" i="15"/>
  <c r="T47507" i="15"/>
  <c r="T47506" i="15"/>
  <c r="T47505" i="15"/>
  <c r="T47504" i="15"/>
  <c r="T47503" i="15"/>
  <c r="T47502" i="15"/>
  <c r="T47501" i="15"/>
  <c r="T47500" i="15"/>
  <c r="T47499" i="15"/>
  <c r="T47498" i="15"/>
  <c r="T47497" i="15"/>
  <c r="T47496" i="15"/>
  <c r="T47495" i="15"/>
  <c r="T47494" i="15"/>
  <c r="T47493" i="15"/>
  <c r="T47492" i="15"/>
  <c r="T47491" i="15"/>
  <c r="T47490" i="15"/>
  <c r="T47489" i="15"/>
  <c r="T47488" i="15"/>
  <c r="T47487" i="15"/>
  <c r="T47486" i="15"/>
  <c r="T47485" i="15"/>
  <c r="T47484" i="15"/>
  <c r="T47483" i="15"/>
  <c r="T47482" i="15"/>
  <c r="T47481" i="15"/>
  <c r="T47480" i="15"/>
  <c r="T47479" i="15"/>
  <c r="T47478" i="15"/>
  <c r="T47477" i="15"/>
  <c r="T47476" i="15"/>
  <c r="T47475" i="15"/>
  <c r="T47474" i="15"/>
  <c r="T47473" i="15"/>
  <c r="T47472" i="15"/>
  <c r="T47471" i="15"/>
  <c r="T47470" i="15"/>
  <c r="T47469" i="15"/>
  <c r="T47468" i="15"/>
  <c r="T47467" i="15"/>
  <c r="T47466" i="15"/>
  <c r="T47465" i="15"/>
  <c r="T47464" i="15"/>
  <c r="T47463" i="15"/>
  <c r="T47462" i="15"/>
  <c r="T47461" i="15"/>
  <c r="T47460" i="15"/>
  <c r="T47459" i="15"/>
  <c r="T47458" i="15"/>
  <c r="T47457" i="15"/>
  <c r="T47456" i="15"/>
  <c r="T47455" i="15"/>
  <c r="T47454" i="15"/>
  <c r="T47453" i="15"/>
  <c r="T47452" i="15"/>
  <c r="T47451" i="15"/>
  <c r="T47450" i="15"/>
  <c r="T47449" i="15"/>
  <c r="T47448" i="15"/>
  <c r="T47447" i="15"/>
  <c r="T47446" i="15"/>
  <c r="T47445" i="15"/>
  <c r="T47444" i="15"/>
  <c r="T47443" i="15"/>
  <c r="T47442" i="15"/>
  <c r="T47441" i="15"/>
  <c r="T47440" i="15"/>
  <c r="T47439" i="15"/>
  <c r="T47438" i="15"/>
  <c r="T47437" i="15"/>
  <c r="T47436" i="15"/>
  <c r="T47435" i="15"/>
  <c r="T47434" i="15"/>
  <c r="T47433" i="15"/>
  <c r="T47432" i="15"/>
  <c r="T47431" i="15"/>
  <c r="T47430" i="15"/>
  <c r="T47429" i="15"/>
  <c r="T47428" i="15"/>
  <c r="T47427" i="15"/>
  <c r="T47426" i="15"/>
  <c r="T47425" i="15"/>
  <c r="T47424" i="15"/>
  <c r="T47423" i="15"/>
  <c r="T47422" i="15"/>
  <c r="T47421" i="15"/>
  <c r="T47420" i="15"/>
  <c r="T47419" i="15"/>
  <c r="T47418" i="15"/>
  <c r="T47417" i="15"/>
  <c r="T47416" i="15"/>
  <c r="T47415" i="15"/>
  <c r="T47414" i="15"/>
  <c r="T47413" i="15"/>
  <c r="T47412" i="15"/>
  <c r="T47411" i="15"/>
  <c r="T47410" i="15"/>
  <c r="T47409" i="15"/>
  <c r="T47408" i="15"/>
  <c r="T47407" i="15"/>
  <c r="T47406" i="15"/>
  <c r="T47405" i="15"/>
  <c r="T47404" i="15"/>
  <c r="T47403" i="15"/>
  <c r="T47402" i="15"/>
  <c r="T47401" i="15"/>
  <c r="T47400" i="15"/>
  <c r="T47399" i="15"/>
  <c r="T47398" i="15"/>
  <c r="T47397" i="15"/>
  <c r="T47396" i="15"/>
  <c r="T47395" i="15"/>
  <c r="T47394" i="15"/>
  <c r="T47393" i="15"/>
  <c r="T47392" i="15"/>
  <c r="T47391" i="15"/>
  <c r="T47390" i="15"/>
  <c r="T47389" i="15"/>
  <c r="T47388" i="15"/>
  <c r="T47387" i="15"/>
  <c r="T47386" i="15"/>
  <c r="T47385" i="15"/>
  <c r="T47384" i="15"/>
  <c r="T47383" i="15"/>
  <c r="T47382" i="15"/>
  <c r="T47381" i="15"/>
  <c r="T47380" i="15"/>
  <c r="T47379" i="15"/>
  <c r="T47378" i="15"/>
  <c r="T47377" i="15"/>
  <c r="T47376" i="15"/>
  <c r="T47375" i="15"/>
  <c r="T47374" i="15"/>
  <c r="T47373" i="15"/>
  <c r="T47372" i="15"/>
  <c r="T47371" i="15"/>
  <c r="T47370" i="15"/>
  <c r="T47369" i="15"/>
  <c r="T47368" i="15"/>
  <c r="T47367" i="15"/>
  <c r="T47366" i="15"/>
  <c r="T47365" i="15"/>
  <c r="T47364" i="15"/>
  <c r="T47363" i="15"/>
  <c r="T47362" i="15"/>
  <c r="T47361" i="15"/>
  <c r="T47360" i="15"/>
  <c r="T47359" i="15"/>
  <c r="T47358" i="15"/>
  <c r="T47357" i="15"/>
  <c r="T47356" i="15"/>
  <c r="T47355" i="15"/>
  <c r="T47354" i="15"/>
  <c r="T47353" i="15"/>
  <c r="T47352" i="15"/>
  <c r="T47351" i="15"/>
  <c r="T47350" i="15"/>
  <c r="T47349" i="15"/>
  <c r="T47348" i="15"/>
  <c r="T47347" i="15"/>
  <c r="T47346" i="15"/>
  <c r="T47345" i="15"/>
  <c r="T47344" i="15"/>
  <c r="T47343" i="15"/>
  <c r="T47342" i="15"/>
  <c r="T47341" i="15"/>
  <c r="T47340" i="15"/>
  <c r="T47339" i="15"/>
  <c r="T47338" i="15"/>
  <c r="T47337" i="15"/>
  <c r="T47336" i="15"/>
  <c r="T47335" i="15"/>
  <c r="T47334" i="15"/>
  <c r="T47333" i="15"/>
  <c r="T47332" i="15"/>
  <c r="T47331" i="15"/>
  <c r="T47330" i="15"/>
  <c r="T47329" i="15"/>
  <c r="T47328" i="15"/>
  <c r="T47327" i="15"/>
  <c r="T47326" i="15"/>
  <c r="T47325" i="15"/>
  <c r="T47324" i="15"/>
  <c r="T47323" i="15"/>
  <c r="T47322" i="15"/>
  <c r="T47321" i="15"/>
  <c r="T47320" i="15"/>
  <c r="T47319" i="15"/>
  <c r="T47318" i="15"/>
  <c r="T47317" i="15"/>
  <c r="T47316" i="15"/>
  <c r="T47315" i="15"/>
  <c r="T47314" i="15"/>
  <c r="T47313" i="15"/>
  <c r="T47312" i="15"/>
  <c r="T47311" i="15"/>
  <c r="T47310" i="15"/>
  <c r="T47309" i="15"/>
  <c r="T47308" i="15"/>
  <c r="T47307" i="15"/>
  <c r="T47306" i="15"/>
  <c r="T47305" i="15"/>
  <c r="T47304" i="15"/>
  <c r="T47303" i="15"/>
  <c r="T47302" i="15"/>
  <c r="T47301" i="15"/>
  <c r="T47300" i="15"/>
  <c r="T47299" i="15"/>
  <c r="T47298" i="15"/>
  <c r="T47297" i="15"/>
  <c r="T47296" i="15"/>
  <c r="T47295" i="15"/>
  <c r="T47294" i="15"/>
  <c r="T47293" i="15"/>
  <c r="T47292" i="15"/>
  <c r="T47291" i="15"/>
  <c r="T47290" i="15"/>
  <c r="T47289" i="15"/>
  <c r="T47288" i="15"/>
  <c r="T47287" i="15"/>
  <c r="T47286" i="15"/>
  <c r="T47285" i="15"/>
  <c r="T47284" i="15"/>
  <c r="T47283" i="15"/>
  <c r="T47282" i="15"/>
  <c r="T47281" i="15"/>
  <c r="T47280" i="15"/>
  <c r="T47279" i="15"/>
  <c r="T47278" i="15"/>
  <c r="T47277" i="15"/>
  <c r="T47276" i="15"/>
  <c r="T47275" i="15"/>
  <c r="T47274" i="15"/>
  <c r="T47273" i="15"/>
  <c r="T47272" i="15"/>
  <c r="T47271" i="15"/>
  <c r="T47270" i="15"/>
  <c r="T47269" i="15"/>
  <c r="T47268" i="15"/>
  <c r="T47267" i="15"/>
  <c r="T47266" i="15"/>
  <c r="T47265" i="15"/>
  <c r="T47264" i="15"/>
  <c r="T47263" i="15"/>
  <c r="T47262" i="15"/>
  <c r="T47261" i="15"/>
  <c r="T47260" i="15"/>
  <c r="T47259" i="15"/>
  <c r="T47258" i="15"/>
  <c r="T47257" i="15"/>
  <c r="T47256" i="15"/>
  <c r="T47255" i="15"/>
  <c r="T47254" i="15"/>
  <c r="T47253" i="15"/>
  <c r="T47252" i="15"/>
  <c r="T47251" i="15"/>
  <c r="T47250" i="15"/>
  <c r="T47249" i="15"/>
  <c r="T47248" i="15"/>
  <c r="T47247" i="15"/>
  <c r="T47246" i="15"/>
  <c r="T47245" i="15"/>
  <c r="T47244" i="15"/>
  <c r="T47243" i="15"/>
  <c r="T47242" i="15"/>
  <c r="T47241" i="15"/>
  <c r="T47240" i="15"/>
  <c r="T47239" i="15"/>
  <c r="T47238" i="15"/>
  <c r="T47237" i="15"/>
  <c r="T47236" i="15"/>
  <c r="T47235" i="15"/>
  <c r="T47234" i="15"/>
  <c r="T47233" i="15"/>
  <c r="T47232" i="15"/>
  <c r="T47231" i="15"/>
  <c r="T47230" i="15"/>
  <c r="T47229" i="15"/>
  <c r="T47228" i="15"/>
  <c r="T47227" i="15"/>
  <c r="T47226" i="15"/>
  <c r="T47225" i="15"/>
  <c r="T47224" i="15"/>
  <c r="T47223" i="15"/>
  <c r="T47222" i="15"/>
  <c r="T47221" i="15"/>
  <c r="T47220" i="15"/>
  <c r="T47219" i="15"/>
  <c r="T47218" i="15"/>
  <c r="T47217" i="15"/>
  <c r="T47216" i="15"/>
  <c r="T47215" i="15"/>
  <c r="T47214" i="15"/>
  <c r="T47213" i="15"/>
  <c r="T47212" i="15"/>
  <c r="T47211" i="15"/>
  <c r="T47210" i="15"/>
  <c r="T47209" i="15"/>
  <c r="T47208" i="15"/>
  <c r="T47207" i="15"/>
  <c r="T47206" i="15"/>
  <c r="T47205" i="15"/>
  <c r="T47204" i="15"/>
  <c r="T47203" i="15"/>
  <c r="T47202" i="15"/>
  <c r="T47201" i="15"/>
  <c r="T47200" i="15"/>
  <c r="T47199" i="15"/>
  <c r="T47198" i="15"/>
  <c r="T47197" i="15"/>
  <c r="T47196" i="15"/>
  <c r="T47195" i="15"/>
  <c r="T47194" i="15"/>
  <c r="T47193" i="15"/>
  <c r="T47192" i="15"/>
  <c r="T47191" i="15"/>
  <c r="T47190" i="15"/>
  <c r="T47189" i="15"/>
  <c r="T47188" i="15"/>
  <c r="T47187" i="15"/>
  <c r="T47186" i="15"/>
  <c r="T47185" i="15"/>
  <c r="T47184" i="15"/>
  <c r="T47183" i="15"/>
  <c r="T47182" i="15"/>
  <c r="T47181" i="15"/>
  <c r="T47180" i="15"/>
  <c r="T47179" i="15"/>
  <c r="T47178" i="15"/>
  <c r="T47177" i="15"/>
  <c r="T47176" i="15"/>
  <c r="T47175" i="15"/>
  <c r="T47174" i="15"/>
  <c r="T47173" i="15"/>
  <c r="T47172" i="15"/>
  <c r="T47171" i="15"/>
  <c r="T47170" i="15"/>
  <c r="T47169" i="15"/>
  <c r="T47168" i="15"/>
  <c r="T47167" i="15"/>
  <c r="T47166" i="15"/>
  <c r="T47165" i="15"/>
  <c r="T47164" i="15"/>
  <c r="T47163" i="15"/>
  <c r="T47162" i="15"/>
  <c r="T47161" i="15"/>
  <c r="T47160" i="15"/>
  <c r="T47159" i="15"/>
  <c r="T47158" i="15"/>
  <c r="T47157" i="15"/>
  <c r="T47156" i="15"/>
  <c r="T47155" i="15"/>
  <c r="T47154" i="15"/>
  <c r="T47153" i="15"/>
  <c r="T47152" i="15"/>
  <c r="T47151" i="15"/>
  <c r="T47150" i="15"/>
  <c r="T47149" i="15"/>
  <c r="T47148" i="15"/>
  <c r="T47147" i="15"/>
  <c r="T47146" i="15"/>
  <c r="T47145" i="15"/>
  <c r="T47144" i="15"/>
  <c r="T47143" i="15"/>
  <c r="T47142" i="15"/>
  <c r="T47141" i="15"/>
  <c r="T47140" i="15"/>
  <c r="T47139" i="15"/>
  <c r="T47138" i="15"/>
  <c r="T47137" i="15"/>
  <c r="T47136" i="15"/>
  <c r="T47135" i="15"/>
  <c r="T47134" i="15"/>
  <c r="T47133" i="15"/>
  <c r="T47132" i="15"/>
  <c r="T47131" i="15"/>
  <c r="T47130" i="15"/>
  <c r="T47129" i="15"/>
  <c r="T47128" i="15"/>
  <c r="T47127" i="15"/>
  <c r="T47126" i="15"/>
  <c r="T47125" i="15"/>
  <c r="T47124" i="15"/>
  <c r="T47123" i="15"/>
  <c r="T47122" i="15"/>
  <c r="T47121" i="15"/>
  <c r="T47120" i="15"/>
  <c r="T47119" i="15"/>
  <c r="T47118" i="15"/>
  <c r="T47117" i="15"/>
  <c r="T47116" i="15"/>
  <c r="T47115" i="15"/>
  <c r="T47114" i="15"/>
  <c r="T47113" i="15"/>
  <c r="T47112" i="15"/>
  <c r="T47111" i="15"/>
  <c r="T47110" i="15"/>
  <c r="T47109" i="15"/>
  <c r="T47108" i="15"/>
  <c r="T47107" i="15"/>
  <c r="T47106" i="15"/>
  <c r="T47105" i="15"/>
  <c r="T47104" i="15"/>
  <c r="T47103" i="15"/>
  <c r="T47102" i="15"/>
  <c r="T47101" i="15"/>
  <c r="T47100" i="15"/>
  <c r="T47099" i="15"/>
  <c r="T47098" i="15"/>
  <c r="T47097" i="15"/>
  <c r="T47096" i="15"/>
  <c r="T47095" i="15"/>
  <c r="T47094" i="15"/>
  <c r="T47093" i="15"/>
  <c r="T47092" i="15"/>
  <c r="T47091" i="15"/>
  <c r="T47090" i="15"/>
  <c r="T47089" i="15"/>
  <c r="T47088" i="15"/>
  <c r="T47087" i="15"/>
  <c r="T47086" i="15"/>
  <c r="T47085" i="15"/>
  <c r="T47084" i="15"/>
  <c r="T47083" i="15"/>
  <c r="T47082" i="15"/>
  <c r="T47081" i="15"/>
  <c r="T47080" i="15"/>
  <c r="T47079" i="15"/>
  <c r="T47078" i="15"/>
  <c r="T47077" i="15"/>
  <c r="T47076" i="15"/>
  <c r="T47075" i="15"/>
  <c r="T47074" i="15"/>
  <c r="T47073" i="15"/>
  <c r="T47072" i="15"/>
  <c r="T47071" i="15"/>
  <c r="T47070" i="15"/>
  <c r="T47069" i="15"/>
  <c r="T47068" i="15"/>
  <c r="T47067" i="15"/>
  <c r="T47066" i="15"/>
  <c r="T47065" i="15"/>
  <c r="T47064" i="15"/>
  <c r="T47063" i="15"/>
  <c r="T47062" i="15"/>
  <c r="T47061" i="15"/>
  <c r="T47060" i="15"/>
  <c r="T47059" i="15"/>
  <c r="T47058" i="15"/>
  <c r="T47057" i="15"/>
  <c r="T47056" i="15"/>
  <c r="T47055" i="15"/>
  <c r="T47054" i="15"/>
  <c r="T47053" i="15"/>
  <c r="T47052" i="15"/>
  <c r="T47051" i="15"/>
  <c r="T47050" i="15"/>
  <c r="T47049" i="15"/>
  <c r="T47048" i="15"/>
  <c r="T47047" i="15"/>
  <c r="T47046" i="15"/>
  <c r="T47045" i="15"/>
  <c r="T47044" i="15"/>
  <c r="T47043" i="15"/>
  <c r="T47042" i="15"/>
  <c r="T47041" i="15"/>
  <c r="T47040" i="15"/>
  <c r="T47039" i="15"/>
  <c r="T47038" i="15"/>
  <c r="T47037" i="15"/>
  <c r="T47036" i="15"/>
  <c r="T47035" i="15"/>
  <c r="T47034" i="15"/>
  <c r="T47033" i="15"/>
  <c r="T47032" i="15"/>
  <c r="T47031" i="15"/>
  <c r="T47030" i="15"/>
  <c r="T47029" i="15"/>
  <c r="T47028" i="15"/>
  <c r="T47027" i="15"/>
  <c r="T47026" i="15"/>
  <c r="T47025" i="15"/>
  <c r="T47024" i="15"/>
  <c r="T47023" i="15"/>
  <c r="T47022" i="15"/>
  <c r="T47021" i="15"/>
  <c r="T47020" i="15"/>
  <c r="T47019" i="15"/>
  <c r="T47018" i="15"/>
  <c r="T47017" i="15"/>
  <c r="T47016" i="15"/>
  <c r="T47015" i="15"/>
  <c r="T47014" i="15"/>
  <c r="T47013" i="15"/>
  <c r="T47012" i="15"/>
  <c r="T47011" i="15"/>
  <c r="T47010" i="15"/>
  <c r="T47009" i="15"/>
  <c r="T47008" i="15"/>
  <c r="T47007" i="15"/>
  <c r="T47006" i="15"/>
  <c r="T47005" i="15"/>
  <c r="T47004" i="15"/>
  <c r="T47003" i="15"/>
  <c r="T47002" i="15"/>
  <c r="T47001" i="15"/>
  <c r="T47000" i="15"/>
  <c r="T46999" i="15"/>
  <c r="T46998" i="15"/>
  <c r="T46997" i="15"/>
  <c r="T46996" i="15"/>
  <c r="T46995" i="15"/>
  <c r="T46994" i="15"/>
  <c r="T46993" i="15"/>
  <c r="T46992" i="15"/>
  <c r="T46991" i="15"/>
  <c r="T46990" i="15"/>
  <c r="T46989" i="15"/>
  <c r="T46988" i="15"/>
  <c r="T46987" i="15"/>
  <c r="T46986" i="15"/>
  <c r="T46985" i="15"/>
  <c r="T46984" i="15"/>
  <c r="T46983" i="15"/>
  <c r="T46982" i="15"/>
  <c r="T46981" i="15"/>
  <c r="T46980" i="15"/>
  <c r="T46979" i="15"/>
  <c r="T46978" i="15"/>
  <c r="T46977" i="15"/>
  <c r="T46976" i="15"/>
  <c r="T46975" i="15"/>
  <c r="T46974" i="15"/>
  <c r="T46973" i="15"/>
  <c r="T46972" i="15"/>
  <c r="T46971" i="15"/>
  <c r="T46970" i="15"/>
  <c r="T46969" i="15"/>
  <c r="T46968" i="15"/>
  <c r="T46967" i="15"/>
  <c r="T46966" i="15"/>
  <c r="T46965" i="15"/>
  <c r="T46964" i="15"/>
  <c r="T46963" i="15"/>
  <c r="T46962" i="15"/>
  <c r="T46961" i="15"/>
  <c r="T46960" i="15"/>
  <c r="T46959" i="15"/>
  <c r="T46958" i="15"/>
  <c r="T46957" i="15"/>
  <c r="T46956" i="15"/>
  <c r="T46955" i="15"/>
  <c r="T46954" i="15"/>
  <c r="T46953" i="15"/>
  <c r="T46952" i="15"/>
  <c r="T46951" i="15"/>
  <c r="T46950" i="15"/>
  <c r="T46949" i="15"/>
  <c r="T46948" i="15"/>
  <c r="T46947" i="15"/>
  <c r="T46946" i="15"/>
  <c r="T46945" i="15"/>
  <c r="T46944" i="15"/>
  <c r="T46943" i="15"/>
  <c r="T46942" i="15"/>
  <c r="T46941" i="15"/>
  <c r="T46940" i="15"/>
  <c r="T46939" i="15"/>
  <c r="T46938" i="15"/>
  <c r="T46937" i="15"/>
  <c r="T46936" i="15"/>
  <c r="T46935" i="15"/>
  <c r="T46934" i="15"/>
  <c r="T46933" i="15"/>
  <c r="T46932" i="15"/>
  <c r="T46931" i="15"/>
  <c r="T46930" i="15"/>
  <c r="T46929" i="15"/>
  <c r="T46928" i="15"/>
  <c r="T46927" i="15"/>
  <c r="T46926" i="15"/>
  <c r="T46925" i="15"/>
  <c r="T46924" i="15"/>
  <c r="T46923" i="15"/>
  <c r="T46922" i="15"/>
  <c r="T46921" i="15"/>
  <c r="T46920" i="15"/>
  <c r="T46919" i="15"/>
  <c r="T46918" i="15"/>
  <c r="T46917" i="15"/>
  <c r="T46916" i="15"/>
  <c r="T46915" i="15"/>
  <c r="T46914" i="15"/>
  <c r="T46913" i="15"/>
  <c r="T46912" i="15"/>
  <c r="T46911" i="15"/>
  <c r="T46910" i="15"/>
  <c r="T46909" i="15"/>
  <c r="T46908" i="15"/>
  <c r="T46907" i="15"/>
  <c r="T46906" i="15"/>
  <c r="T46905" i="15"/>
  <c r="T46904" i="15"/>
  <c r="T46903" i="15"/>
  <c r="T46902" i="15"/>
  <c r="T46901" i="15"/>
  <c r="T46900" i="15"/>
  <c r="T46899" i="15"/>
  <c r="T46898" i="15"/>
  <c r="T46897" i="15"/>
  <c r="T46896" i="15"/>
  <c r="T46895" i="15"/>
  <c r="T46894" i="15"/>
  <c r="T46893" i="15"/>
  <c r="T46892" i="15"/>
  <c r="T46891" i="15"/>
  <c r="T46890" i="15"/>
  <c r="T46889" i="15"/>
  <c r="T46888" i="15"/>
  <c r="T46887" i="15"/>
  <c r="T46886" i="15"/>
  <c r="T46885" i="15"/>
  <c r="T46884" i="15"/>
  <c r="T46883" i="15"/>
  <c r="T46882" i="15"/>
  <c r="T46881" i="15"/>
  <c r="T46880" i="15"/>
  <c r="T46879" i="15"/>
  <c r="T46878" i="15"/>
  <c r="T46877" i="15"/>
  <c r="T46876" i="15"/>
  <c r="T46875" i="15"/>
  <c r="T46874" i="15"/>
  <c r="T46873" i="15"/>
  <c r="T46872" i="15"/>
  <c r="T46871" i="15"/>
  <c r="T46870" i="15"/>
  <c r="T46869" i="15"/>
  <c r="T46868" i="15"/>
  <c r="T46867" i="15"/>
  <c r="T46866" i="15"/>
  <c r="T46865" i="15"/>
  <c r="T46864" i="15"/>
  <c r="T46863" i="15"/>
  <c r="T46862" i="15"/>
  <c r="T46861" i="15"/>
  <c r="T46860" i="15"/>
  <c r="T46859" i="15"/>
  <c r="T46858" i="15"/>
  <c r="T46857" i="15"/>
  <c r="T46856" i="15"/>
  <c r="T46855" i="15"/>
  <c r="T46854" i="15"/>
  <c r="T46853" i="15"/>
  <c r="T46852" i="15"/>
  <c r="T46851" i="15"/>
  <c r="T46850" i="15"/>
  <c r="T46849" i="15"/>
  <c r="T46848" i="15"/>
  <c r="T46847" i="15"/>
  <c r="T46846" i="15"/>
  <c r="T46845" i="15"/>
  <c r="T46844" i="15"/>
  <c r="T46843" i="15"/>
  <c r="T46842" i="15"/>
  <c r="T46841" i="15"/>
  <c r="T46840" i="15"/>
  <c r="T46839" i="15"/>
  <c r="T46838" i="15"/>
  <c r="T46837" i="15"/>
  <c r="T46836" i="15"/>
  <c r="T46835" i="15"/>
  <c r="T46834" i="15"/>
  <c r="T46833" i="15"/>
  <c r="T46832" i="15"/>
  <c r="T46831" i="15"/>
  <c r="T46830" i="15"/>
  <c r="T46829" i="15"/>
  <c r="T46828" i="15"/>
  <c r="T46827" i="15"/>
  <c r="T46826" i="15"/>
  <c r="T46825" i="15"/>
  <c r="T46824" i="15"/>
  <c r="T46823" i="15"/>
  <c r="T46822" i="15"/>
  <c r="T46821" i="15"/>
  <c r="T46820" i="15"/>
  <c r="T46819" i="15"/>
  <c r="T46818" i="15"/>
  <c r="T46817" i="15"/>
  <c r="T46816" i="15"/>
  <c r="T46815" i="15"/>
  <c r="T46814" i="15"/>
  <c r="T46813" i="15"/>
  <c r="T46812" i="15"/>
  <c r="T46811" i="15"/>
  <c r="T46810" i="15"/>
  <c r="T46809" i="15"/>
  <c r="T46808" i="15"/>
  <c r="T46807" i="15"/>
  <c r="T46806" i="15"/>
  <c r="T46805" i="15"/>
  <c r="T46804" i="15"/>
  <c r="T46803" i="15"/>
  <c r="T46802" i="15"/>
  <c r="T46801" i="15"/>
  <c r="T46800" i="15"/>
  <c r="T46799" i="15"/>
  <c r="T46798" i="15"/>
  <c r="T46797" i="15"/>
  <c r="T46796" i="15"/>
  <c r="T46795" i="15"/>
  <c r="T46794" i="15"/>
  <c r="T46793" i="15"/>
  <c r="T46792" i="15"/>
  <c r="T46791" i="15"/>
  <c r="T46790" i="15"/>
  <c r="T46789" i="15"/>
  <c r="T46788" i="15"/>
  <c r="T46787" i="15"/>
  <c r="T46786" i="15"/>
  <c r="T46785" i="15"/>
  <c r="T46784" i="15"/>
  <c r="T46783" i="15"/>
  <c r="T46782" i="15"/>
  <c r="T46781" i="15"/>
  <c r="T46780" i="15"/>
  <c r="T46779" i="15"/>
  <c r="T46778" i="15"/>
  <c r="T46777" i="15"/>
  <c r="T46776" i="15"/>
  <c r="T46775" i="15"/>
  <c r="T46774" i="15"/>
  <c r="T46773" i="15"/>
  <c r="T46772" i="15"/>
  <c r="T46771" i="15"/>
  <c r="T46770" i="15"/>
  <c r="T46769" i="15"/>
  <c r="T46768" i="15"/>
  <c r="T46767" i="15"/>
  <c r="T46766" i="15"/>
  <c r="T46765" i="15"/>
  <c r="T46764" i="15"/>
  <c r="T46763" i="15"/>
  <c r="T46762" i="15"/>
  <c r="T46761" i="15"/>
  <c r="T46760" i="15"/>
  <c r="T46759" i="15"/>
  <c r="T46758" i="15"/>
  <c r="T46757" i="15"/>
  <c r="T46756" i="15"/>
  <c r="T46755" i="15"/>
  <c r="T46754" i="15"/>
  <c r="T46753" i="15"/>
  <c r="T46752" i="15"/>
  <c r="T46751" i="15"/>
  <c r="T46750" i="15"/>
  <c r="T46749" i="15"/>
  <c r="T46748" i="15"/>
  <c r="T46747" i="15"/>
  <c r="T46746" i="15"/>
  <c r="T46745" i="15"/>
  <c r="T46744" i="15"/>
  <c r="T46743" i="15"/>
  <c r="T46742" i="15"/>
  <c r="T46741" i="15"/>
  <c r="T46740" i="15"/>
  <c r="T46739" i="15"/>
  <c r="T46738" i="15"/>
  <c r="T46737" i="15"/>
  <c r="T46736" i="15"/>
  <c r="T46735" i="15"/>
  <c r="T46734" i="15"/>
  <c r="T46733" i="15"/>
  <c r="T46732" i="15"/>
  <c r="T46731" i="15"/>
  <c r="T46730" i="15"/>
  <c r="T46729" i="15"/>
  <c r="T46728" i="15"/>
  <c r="T46727" i="15"/>
  <c r="T46726" i="15"/>
  <c r="T46725" i="15"/>
  <c r="T46724" i="15"/>
  <c r="T46723" i="15"/>
  <c r="T46722" i="15"/>
  <c r="T46721" i="15"/>
  <c r="T46720" i="15"/>
  <c r="T46719" i="15"/>
  <c r="T46718" i="15"/>
  <c r="T46717" i="15"/>
  <c r="T46716" i="15"/>
  <c r="T46715" i="15"/>
  <c r="T46714" i="15"/>
  <c r="T46713" i="15"/>
  <c r="T46712" i="15"/>
  <c r="T46711" i="15"/>
  <c r="T46710" i="15"/>
  <c r="T46709" i="15"/>
  <c r="T46708" i="15"/>
  <c r="T46707" i="15"/>
  <c r="T46706" i="15"/>
  <c r="T46705" i="15"/>
  <c r="T46704" i="15"/>
  <c r="T46703" i="15"/>
  <c r="T46702" i="15"/>
  <c r="T46701" i="15"/>
  <c r="T46700" i="15"/>
  <c r="T46699" i="15"/>
  <c r="T46698" i="15"/>
  <c r="T46697" i="15"/>
  <c r="T46696" i="15"/>
  <c r="T46695" i="15"/>
  <c r="T46694" i="15"/>
  <c r="T46693" i="15"/>
  <c r="T46692" i="15"/>
  <c r="T46691" i="15"/>
  <c r="T46690" i="15"/>
  <c r="T46689" i="15"/>
  <c r="T46688" i="15"/>
  <c r="T46687" i="15"/>
  <c r="T46686" i="15"/>
  <c r="T46685" i="15"/>
  <c r="T46684" i="15"/>
  <c r="T46683" i="15"/>
  <c r="T46682" i="15"/>
  <c r="T46681" i="15"/>
  <c r="T46680" i="15"/>
  <c r="T46679" i="15"/>
  <c r="T46678" i="15"/>
  <c r="T46677" i="15"/>
  <c r="T46676" i="15"/>
  <c r="T46675" i="15"/>
  <c r="T46674" i="15"/>
  <c r="T46673" i="15"/>
  <c r="T46672" i="15"/>
  <c r="T46671" i="15"/>
  <c r="T46670" i="15"/>
  <c r="T46669" i="15"/>
  <c r="T46668" i="15"/>
  <c r="T46667" i="15"/>
  <c r="T46666" i="15"/>
  <c r="T46665" i="15"/>
  <c r="T46664" i="15"/>
  <c r="T46663" i="15"/>
  <c r="T46662" i="15"/>
  <c r="T46661" i="15"/>
  <c r="T46660" i="15"/>
  <c r="T46659" i="15"/>
  <c r="T46658" i="15"/>
  <c r="T46657" i="15"/>
  <c r="T46656" i="15"/>
  <c r="T46655" i="15"/>
  <c r="T46654" i="15"/>
  <c r="T46653" i="15"/>
  <c r="T46652" i="15"/>
  <c r="T46651" i="15"/>
  <c r="T46650" i="15"/>
  <c r="T46649" i="15"/>
  <c r="T46648" i="15"/>
  <c r="T46647" i="15"/>
  <c r="T46646" i="15"/>
  <c r="T46645" i="15"/>
  <c r="T46644" i="15"/>
  <c r="T46643" i="15"/>
  <c r="T46642" i="15"/>
  <c r="T46641" i="15"/>
  <c r="T46640" i="15"/>
  <c r="T46639" i="15"/>
  <c r="T46638" i="15"/>
  <c r="T46637" i="15"/>
  <c r="T46636" i="15"/>
  <c r="T46635" i="15"/>
  <c r="T46634" i="15"/>
  <c r="T46633" i="15"/>
  <c r="T46632" i="15"/>
  <c r="T46631" i="15"/>
  <c r="T46630" i="15"/>
  <c r="T46629" i="15"/>
  <c r="T46628" i="15"/>
  <c r="T46627" i="15"/>
  <c r="T46626" i="15"/>
  <c r="T46625" i="15"/>
  <c r="T46624" i="15"/>
  <c r="T46623" i="15"/>
  <c r="T46622" i="15"/>
  <c r="T46621" i="15"/>
  <c r="T46620" i="15"/>
  <c r="T46619" i="15"/>
  <c r="T46618" i="15"/>
  <c r="T46617" i="15"/>
  <c r="T46616" i="15"/>
  <c r="T46615" i="15"/>
  <c r="T46614" i="15"/>
  <c r="T46613" i="15"/>
  <c r="T46612" i="15"/>
  <c r="T46611" i="15"/>
  <c r="T46610" i="15"/>
  <c r="T46609" i="15"/>
  <c r="T46608" i="15"/>
  <c r="T46607" i="15"/>
  <c r="T46606" i="15"/>
  <c r="T46605" i="15"/>
  <c r="T46604" i="15"/>
  <c r="T46603" i="15"/>
  <c r="T46602" i="15"/>
  <c r="T46601" i="15"/>
  <c r="T46600" i="15"/>
  <c r="T46599" i="15"/>
  <c r="T46598" i="15"/>
  <c r="T46597" i="15"/>
  <c r="T46596" i="15"/>
  <c r="T46595" i="15"/>
  <c r="T46594" i="15"/>
  <c r="T46593" i="15"/>
  <c r="T46592" i="15"/>
  <c r="T46591" i="15"/>
  <c r="T46590" i="15"/>
  <c r="T46589" i="15"/>
  <c r="T46588" i="15"/>
  <c r="T46587" i="15"/>
  <c r="T46586" i="15"/>
  <c r="T46585" i="15"/>
  <c r="T46584" i="15"/>
  <c r="T46583" i="15"/>
  <c r="T46582" i="15"/>
  <c r="T46581" i="15"/>
  <c r="T46580" i="15"/>
  <c r="T46579" i="15"/>
  <c r="T46578" i="15"/>
  <c r="T46577" i="15"/>
  <c r="T46576" i="15"/>
  <c r="T46575" i="15"/>
  <c r="T46574" i="15"/>
  <c r="T46573" i="15"/>
  <c r="T46572" i="15"/>
  <c r="T46571" i="15"/>
  <c r="T46570" i="15"/>
  <c r="T46569" i="15"/>
  <c r="T46568" i="15"/>
  <c r="T46567" i="15"/>
  <c r="T46566" i="15"/>
  <c r="T46565" i="15"/>
  <c r="T46564" i="15"/>
  <c r="T46563" i="15"/>
  <c r="T46562" i="15"/>
  <c r="T46561" i="15"/>
  <c r="T46560" i="15"/>
  <c r="T46559" i="15"/>
  <c r="T46558" i="15"/>
  <c r="T46557" i="15"/>
  <c r="T46556" i="15"/>
  <c r="T46555" i="15"/>
  <c r="T46554" i="15"/>
  <c r="T46553" i="15"/>
  <c r="T46552" i="15"/>
  <c r="T46551" i="15"/>
  <c r="T46550" i="15"/>
  <c r="T46549" i="15"/>
  <c r="T46548" i="15"/>
  <c r="T46547" i="15"/>
  <c r="T46546" i="15"/>
  <c r="T46545" i="15"/>
  <c r="T46544" i="15"/>
  <c r="T46543" i="15"/>
  <c r="T46542" i="15"/>
  <c r="T46541" i="15"/>
  <c r="T46540" i="15"/>
  <c r="T46539" i="15"/>
  <c r="T46538" i="15"/>
  <c r="T46537" i="15"/>
  <c r="T46536" i="15"/>
  <c r="T46535" i="15"/>
  <c r="T46534" i="15"/>
  <c r="T46533" i="15"/>
  <c r="T46532" i="15"/>
  <c r="T46531" i="15"/>
  <c r="T46530" i="15"/>
  <c r="T46529" i="15"/>
  <c r="T46528" i="15"/>
  <c r="T46527" i="15"/>
  <c r="T46526" i="15"/>
  <c r="T46525" i="15"/>
  <c r="T46524" i="15"/>
  <c r="T46523" i="15"/>
  <c r="T46522" i="15"/>
  <c r="T46521" i="15"/>
  <c r="T46520" i="15"/>
  <c r="T46519" i="15"/>
  <c r="T46518" i="15"/>
  <c r="T46517" i="15"/>
  <c r="T46516" i="15"/>
  <c r="T46515" i="15"/>
  <c r="T46514" i="15"/>
  <c r="T46513" i="15"/>
  <c r="T46512" i="15"/>
  <c r="T46511" i="15"/>
  <c r="T46510" i="15"/>
  <c r="T46509" i="15"/>
  <c r="T46508" i="15"/>
  <c r="T46507" i="15"/>
  <c r="T46506" i="15"/>
  <c r="T46505" i="15"/>
  <c r="T46504" i="15"/>
  <c r="T46503" i="15"/>
  <c r="T46502" i="15"/>
  <c r="T46501" i="15"/>
  <c r="T46500" i="15"/>
  <c r="T46499" i="15"/>
  <c r="T46498" i="15"/>
  <c r="T46497" i="15"/>
  <c r="T46496" i="15"/>
  <c r="T46495" i="15"/>
  <c r="T46494" i="15"/>
  <c r="T46493" i="15"/>
  <c r="T46492" i="15"/>
  <c r="T46491" i="15"/>
  <c r="T46490" i="15"/>
  <c r="T46489" i="15"/>
  <c r="T46488" i="15"/>
  <c r="T46487" i="15"/>
  <c r="T46486" i="15"/>
  <c r="T46485" i="15"/>
  <c r="T46484" i="15"/>
  <c r="T46483" i="15"/>
  <c r="T46482" i="15"/>
  <c r="T46481" i="15"/>
  <c r="T46480" i="15"/>
  <c r="T46479" i="15"/>
  <c r="T46478" i="15"/>
  <c r="T46477" i="15"/>
  <c r="T46476" i="15"/>
  <c r="T46475" i="15"/>
  <c r="T46474" i="15"/>
  <c r="T46473" i="15"/>
  <c r="T46472" i="15"/>
  <c r="T46471" i="15"/>
  <c r="T46470" i="15"/>
  <c r="T46469" i="15"/>
  <c r="T46468" i="15"/>
  <c r="T46467" i="15"/>
  <c r="T46466" i="15"/>
  <c r="T46465" i="15"/>
  <c r="T46464" i="15"/>
  <c r="T46463" i="15"/>
  <c r="T46462" i="15"/>
  <c r="T46461" i="15"/>
  <c r="T46460" i="15"/>
  <c r="T46459" i="15"/>
  <c r="T46458" i="15"/>
  <c r="T46457" i="15"/>
  <c r="T46456" i="15"/>
  <c r="T46455" i="15"/>
  <c r="T46454" i="15"/>
  <c r="T46453" i="15"/>
  <c r="T46452" i="15"/>
  <c r="T46451" i="15"/>
  <c r="T46450" i="15"/>
  <c r="T46449" i="15"/>
  <c r="T46448" i="15"/>
  <c r="T46447" i="15"/>
  <c r="T46446" i="15"/>
  <c r="T46445" i="15"/>
  <c r="T46444" i="15"/>
  <c r="T46443" i="15"/>
  <c r="T46442" i="15"/>
  <c r="T46441" i="15"/>
  <c r="T46440" i="15"/>
  <c r="T46439" i="15"/>
  <c r="T46438" i="15"/>
  <c r="T46437" i="15"/>
  <c r="T46436" i="15"/>
  <c r="T46435" i="15"/>
  <c r="T46434" i="15"/>
  <c r="T46433" i="15"/>
  <c r="T46432" i="15"/>
  <c r="T46431" i="15"/>
  <c r="T46430" i="15"/>
  <c r="T46429" i="15"/>
  <c r="T46428" i="15"/>
  <c r="T46427" i="15"/>
  <c r="T46426" i="15"/>
  <c r="T46425" i="15"/>
  <c r="T46424" i="15"/>
  <c r="T46423" i="15"/>
  <c r="T46422" i="15"/>
  <c r="T46421" i="15"/>
  <c r="T46420" i="15"/>
  <c r="T46419" i="15"/>
  <c r="T46418" i="15"/>
  <c r="T46417" i="15"/>
  <c r="T46416" i="15"/>
  <c r="T46415" i="15"/>
  <c r="T46414" i="15"/>
  <c r="T46413" i="15"/>
  <c r="T46412" i="15"/>
  <c r="T46411" i="15"/>
  <c r="T46410" i="15"/>
  <c r="T46409" i="15"/>
  <c r="T46408" i="15"/>
  <c r="T46407" i="15"/>
  <c r="T46406" i="15"/>
  <c r="T46405" i="15"/>
  <c r="T46404" i="15"/>
  <c r="T46403" i="15"/>
  <c r="T46402" i="15"/>
  <c r="T46401" i="15"/>
  <c r="T46400" i="15"/>
  <c r="T46399" i="15"/>
  <c r="T46398" i="15"/>
  <c r="T46397" i="15"/>
  <c r="T46396" i="15"/>
  <c r="T46395" i="15"/>
  <c r="T46394" i="15"/>
  <c r="T46393" i="15"/>
  <c r="T46392" i="15"/>
  <c r="T46391" i="15"/>
  <c r="T46390" i="15"/>
  <c r="T46389" i="15"/>
  <c r="T46388" i="15"/>
  <c r="T46387" i="15"/>
  <c r="T46386" i="15"/>
  <c r="T46385" i="15"/>
  <c r="T46384" i="15"/>
  <c r="T46383" i="15"/>
  <c r="T46382" i="15"/>
  <c r="T46381" i="15"/>
  <c r="T46380" i="15"/>
  <c r="T46379" i="15"/>
  <c r="T46378" i="15"/>
  <c r="T46377" i="15"/>
  <c r="T46376" i="15"/>
  <c r="T46375" i="15"/>
  <c r="T46374" i="15"/>
  <c r="T46373" i="15"/>
  <c r="T46372" i="15"/>
  <c r="T46371" i="15"/>
  <c r="T46370" i="15"/>
  <c r="T46369" i="15"/>
  <c r="T46368" i="15"/>
  <c r="T46367" i="15"/>
  <c r="T46366" i="15"/>
  <c r="T46365" i="15"/>
  <c r="T46364" i="15"/>
  <c r="T46363" i="15"/>
  <c r="T46362" i="15"/>
  <c r="T46361" i="15"/>
  <c r="T46360" i="15"/>
  <c r="T46359" i="15"/>
  <c r="T46358" i="15"/>
  <c r="T46357" i="15"/>
  <c r="T46356" i="15"/>
  <c r="T46355" i="15"/>
  <c r="T46354" i="15"/>
  <c r="T46353" i="15"/>
  <c r="T46352" i="15"/>
  <c r="T46351" i="15"/>
  <c r="T46350" i="15"/>
  <c r="T46349" i="15"/>
  <c r="T46348" i="15"/>
  <c r="T46347" i="15"/>
  <c r="T46346" i="15"/>
  <c r="T46345" i="15"/>
  <c r="T46344" i="15"/>
  <c r="T46343" i="15"/>
  <c r="T46342" i="15"/>
  <c r="T46341" i="15"/>
  <c r="T46340" i="15"/>
  <c r="T46339" i="15"/>
  <c r="T46338" i="15"/>
  <c r="T46337" i="15"/>
  <c r="T46336" i="15"/>
  <c r="T46335" i="15"/>
  <c r="T46334" i="15"/>
  <c r="T46333" i="15"/>
  <c r="T46332" i="15"/>
  <c r="T46331" i="15"/>
  <c r="T46330" i="15"/>
  <c r="T46329" i="15"/>
  <c r="T46328" i="15"/>
  <c r="T46327" i="15"/>
  <c r="T46326" i="15"/>
  <c r="T46325" i="15"/>
  <c r="T46324" i="15"/>
  <c r="T46323" i="15"/>
  <c r="T46322" i="15"/>
  <c r="T46321" i="15"/>
  <c r="T46320" i="15"/>
  <c r="T46319" i="15"/>
  <c r="T46318" i="15"/>
  <c r="T46317" i="15"/>
  <c r="T46316" i="15"/>
  <c r="T46315" i="15"/>
  <c r="T46314" i="15"/>
  <c r="T46313" i="15"/>
  <c r="T46312" i="15"/>
  <c r="T46311" i="15"/>
  <c r="T46310" i="15"/>
  <c r="T46309" i="15"/>
  <c r="T46308" i="15"/>
  <c r="T46307" i="15"/>
  <c r="T46306" i="15"/>
  <c r="T46305" i="15"/>
  <c r="T46304" i="15"/>
  <c r="T46303" i="15"/>
  <c r="T46302" i="15"/>
  <c r="T46301" i="15"/>
  <c r="T46300" i="15"/>
  <c r="T46299" i="15"/>
  <c r="T46298" i="15"/>
  <c r="T46297" i="15"/>
  <c r="T46296" i="15"/>
  <c r="T46295" i="15"/>
  <c r="T46294" i="15"/>
  <c r="T46293" i="15"/>
  <c r="T46292" i="15"/>
  <c r="T46291" i="15"/>
  <c r="T46290" i="15"/>
  <c r="T46289" i="15"/>
  <c r="T46288" i="15"/>
  <c r="T46287" i="15"/>
  <c r="T46286" i="15"/>
  <c r="T46285" i="15"/>
  <c r="T46284" i="15"/>
  <c r="T46283" i="15"/>
  <c r="T46282" i="15"/>
  <c r="T46281" i="15"/>
  <c r="T46280" i="15"/>
  <c r="T46279" i="15"/>
  <c r="T46278" i="15"/>
  <c r="T46277" i="15"/>
  <c r="T46276" i="15"/>
  <c r="T46275" i="15"/>
  <c r="T46274" i="15"/>
  <c r="T46273" i="15"/>
  <c r="T46272" i="15"/>
  <c r="T46271" i="15"/>
  <c r="T46270" i="15"/>
  <c r="T46269" i="15"/>
  <c r="T46268" i="15"/>
  <c r="T46267" i="15"/>
  <c r="T46266" i="15"/>
  <c r="T46265" i="15"/>
  <c r="T46264" i="15"/>
  <c r="T46263" i="15"/>
  <c r="T46262" i="15"/>
  <c r="T46261" i="15"/>
  <c r="T46260" i="15"/>
  <c r="T46259" i="15"/>
  <c r="T46258" i="15"/>
  <c r="T46257" i="15"/>
  <c r="T46256" i="15"/>
  <c r="T46255" i="15"/>
  <c r="T46254" i="15"/>
  <c r="T46253" i="15"/>
  <c r="T46252" i="15"/>
  <c r="T46251" i="15"/>
  <c r="T46250" i="15"/>
  <c r="T46249" i="15"/>
  <c r="T46248" i="15"/>
  <c r="T46247" i="15"/>
  <c r="T46246" i="15"/>
  <c r="T46245" i="15"/>
  <c r="T46244" i="15"/>
  <c r="T46243" i="15"/>
  <c r="T46242" i="15"/>
  <c r="T46241" i="15"/>
  <c r="T46240" i="15"/>
  <c r="T46239" i="15"/>
  <c r="T46238" i="15"/>
  <c r="T46237" i="15"/>
  <c r="T46236" i="15"/>
  <c r="T46235" i="15"/>
  <c r="T46234" i="15"/>
  <c r="T46233" i="15"/>
  <c r="T46232" i="15"/>
  <c r="T46231" i="15"/>
  <c r="T46230" i="15"/>
  <c r="T46229" i="15"/>
  <c r="T46228" i="15"/>
  <c r="T46227" i="15"/>
  <c r="T46226" i="15"/>
  <c r="T46225" i="15"/>
  <c r="T46224" i="15"/>
  <c r="T46223" i="15"/>
  <c r="T46222" i="15"/>
  <c r="T46221" i="15"/>
  <c r="T46220" i="15"/>
  <c r="T46219" i="15"/>
  <c r="T46218" i="15"/>
  <c r="T46217" i="15"/>
  <c r="T46216" i="15"/>
  <c r="T46215" i="15"/>
  <c r="T46214" i="15"/>
  <c r="T46213" i="15"/>
  <c r="T46212" i="15"/>
  <c r="T46211" i="15"/>
  <c r="T46210" i="15"/>
  <c r="T46209" i="15"/>
  <c r="T46208" i="15"/>
  <c r="T46207" i="15"/>
  <c r="T46206" i="15"/>
  <c r="T46205" i="15"/>
  <c r="T46204" i="15"/>
  <c r="T46203" i="15"/>
  <c r="T46202" i="15"/>
  <c r="T46201" i="15"/>
  <c r="T46200" i="15"/>
  <c r="T46199" i="15"/>
  <c r="T46198" i="15"/>
  <c r="T46197" i="15"/>
  <c r="T46196" i="15"/>
  <c r="T46195" i="15"/>
  <c r="T46194" i="15"/>
  <c r="T46193" i="15"/>
  <c r="T46192" i="15"/>
  <c r="T46191" i="15"/>
  <c r="T46190" i="15"/>
  <c r="T46189" i="15"/>
  <c r="T46188" i="15"/>
  <c r="T46187" i="15"/>
  <c r="T46186" i="15"/>
  <c r="T46185" i="15"/>
  <c r="T46184" i="15"/>
  <c r="T46183" i="15"/>
  <c r="T46182" i="15"/>
  <c r="T46181" i="15"/>
  <c r="T46180" i="15"/>
  <c r="T46179" i="15"/>
  <c r="T46178" i="15"/>
  <c r="T46177" i="15"/>
  <c r="T46176" i="15"/>
  <c r="T46175" i="15"/>
  <c r="T46174" i="15"/>
  <c r="T46173" i="15"/>
  <c r="T46172" i="15"/>
  <c r="T46171" i="15"/>
  <c r="T46170" i="15"/>
  <c r="T46169" i="15"/>
  <c r="T46168" i="15"/>
  <c r="T46167" i="15"/>
  <c r="T46166" i="15"/>
  <c r="T46165" i="15"/>
  <c r="T46164" i="15"/>
  <c r="T46163" i="15"/>
  <c r="T46162" i="15"/>
  <c r="T46161" i="15"/>
  <c r="T46160" i="15"/>
  <c r="T46159" i="15"/>
  <c r="T46158" i="15"/>
  <c r="T46157" i="15"/>
  <c r="T46156" i="15"/>
  <c r="T46155" i="15"/>
  <c r="T46154" i="15"/>
  <c r="T46153" i="15"/>
  <c r="T46152" i="15"/>
  <c r="T46151" i="15"/>
  <c r="T46150" i="15"/>
  <c r="T46149" i="15"/>
  <c r="T46148" i="15"/>
  <c r="T46147" i="15"/>
  <c r="T46146" i="15"/>
  <c r="T46145" i="15"/>
  <c r="T46144" i="15"/>
  <c r="T46143" i="15"/>
  <c r="T46142" i="15"/>
  <c r="T46141" i="15"/>
  <c r="T46140" i="15"/>
  <c r="T46139" i="15"/>
  <c r="T46138" i="15"/>
  <c r="T46137" i="15"/>
  <c r="T46136" i="15"/>
  <c r="T46135" i="15"/>
  <c r="T46134" i="15"/>
  <c r="T46133" i="15"/>
  <c r="T46132" i="15"/>
  <c r="T46131" i="15"/>
  <c r="T46130" i="15"/>
  <c r="T46129" i="15"/>
  <c r="T46128" i="15"/>
  <c r="T46127" i="15"/>
  <c r="T46126" i="15"/>
  <c r="T46125" i="15"/>
  <c r="T46124" i="15"/>
  <c r="T46123" i="15"/>
  <c r="T46122" i="15"/>
  <c r="T46121" i="15"/>
  <c r="T46120" i="15"/>
  <c r="T46119" i="15"/>
  <c r="T46118" i="15"/>
  <c r="T46117" i="15"/>
  <c r="T46116" i="15"/>
  <c r="T46115" i="15"/>
  <c r="T46114" i="15"/>
  <c r="T46113" i="15"/>
  <c r="T46112" i="15"/>
  <c r="T46111" i="15"/>
  <c r="T46110" i="15"/>
  <c r="T46109" i="15"/>
  <c r="T46108" i="15"/>
  <c r="T46107" i="15"/>
  <c r="T46106" i="15"/>
  <c r="T46105" i="15"/>
  <c r="T46104" i="15"/>
  <c r="T46103" i="15"/>
  <c r="T46102" i="15"/>
  <c r="T46101" i="15"/>
  <c r="T46100" i="15"/>
  <c r="T46099" i="15"/>
  <c r="T46098" i="15"/>
  <c r="T46097" i="15"/>
  <c r="T46096" i="15"/>
  <c r="T46095" i="15"/>
  <c r="T46094" i="15"/>
  <c r="T46093" i="15"/>
  <c r="T46092" i="15"/>
  <c r="T46091" i="15"/>
  <c r="T46090" i="15"/>
  <c r="T46089" i="15"/>
  <c r="T46088" i="15"/>
  <c r="T46087" i="15"/>
  <c r="T46086" i="15"/>
  <c r="T46085" i="15"/>
  <c r="T46084" i="15"/>
  <c r="T46083" i="15"/>
  <c r="T46082" i="15"/>
  <c r="T46081" i="15"/>
  <c r="T46080" i="15"/>
  <c r="T46079" i="15"/>
  <c r="T46078" i="15"/>
  <c r="T46077" i="15"/>
  <c r="T46076" i="15"/>
  <c r="T46075" i="15"/>
  <c r="T46074" i="15"/>
  <c r="T46073" i="15"/>
  <c r="T46072" i="15"/>
  <c r="T46071" i="15"/>
  <c r="T46070" i="15"/>
  <c r="T46069" i="15"/>
  <c r="T46068" i="15"/>
  <c r="T46067" i="15"/>
  <c r="T46066" i="15"/>
  <c r="T46065" i="15"/>
  <c r="T46064" i="15"/>
  <c r="T46063" i="15"/>
  <c r="T46062" i="15"/>
  <c r="T46061" i="15"/>
  <c r="T46060" i="15"/>
  <c r="T46059" i="15"/>
  <c r="T46058" i="15"/>
  <c r="T46057" i="15"/>
  <c r="T46056" i="15"/>
  <c r="T46055" i="15"/>
  <c r="T46054" i="15"/>
  <c r="T46053" i="15"/>
  <c r="T46052" i="15"/>
  <c r="T46051" i="15"/>
  <c r="T46050" i="15"/>
  <c r="T46049" i="15"/>
  <c r="T46048" i="15"/>
  <c r="T46047" i="15"/>
  <c r="T46046" i="15"/>
  <c r="T46045" i="15"/>
  <c r="T46044" i="15"/>
  <c r="T46043" i="15"/>
  <c r="T46042" i="15"/>
  <c r="T46041" i="15"/>
  <c r="T46040" i="15"/>
  <c r="T46039" i="15"/>
  <c r="T46038" i="15"/>
  <c r="T46037" i="15"/>
  <c r="T46036" i="15"/>
  <c r="T46035" i="15"/>
  <c r="T46034" i="15"/>
  <c r="T46033" i="15"/>
  <c r="T46032" i="15"/>
  <c r="T46031" i="15"/>
  <c r="T46030" i="15"/>
  <c r="T46029" i="15"/>
  <c r="T46028" i="15"/>
  <c r="T46027" i="15"/>
  <c r="T46026" i="15"/>
  <c r="T46025" i="15"/>
  <c r="T46024" i="15"/>
  <c r="T46023" i="15"/>
  <c r="T46022" i="15"/>
  <c r="T46021" i="15"/>
  <c r="T46020" i="15"/>
  <c r="T46019" i="15"/>
  <c r="T46018" i="15"/>
  <c r="T46017" i="15"/>
  <c r="T46016" i="15"/>
  <c r="T46015" i="15"/>
  <c r="T46014" i="15"/>
  <c r="T46013" i="15"/>
  <c r="T46012" i="15"/>
  <c r="T46011" i="15"/>
  <c r="T46010" i="15"/>
  <c r="T46009" i="15"/>
  <c r="T46008" i="15"/>
  <c r="T46007" i="15"/>
  <c r="T46006" i="15"/>
  <c r="T46005" i="15"/>
  <c r="T46004" i="15"/>
  <c r="T46003" i="15"/>
  <c r="T46002" i="15"/>
  <c r="T46001" i="15"/>
  <c r="T46000" i="15"/>
  <c r="T45999" i="15"/>
  <c r="T45998" i="15"/>
  <c r="T45997" i="15"/>
  <c r="T45996" i="15"/>
  <c r="T45995" i="15"/>
  <c r="T45994" i="15"/>
  <c r="T45993" i="15"/>
  <c r="T45992" i="15"/>
  <c r="T45991" i="15"/>
  <c r="T45990" i="15"/>
  <c r="T45989" i="15"/>
  <c r="T45988" i="15"/>
  <c r="T45987" i="15"/>
  <c r="T45986" i="15"/>
  <c r="T45985" i="15"/>
  <c r="T45984" i="15"/>
  <c r="T45983" i="15"/>
  <c r="T45982" i="15"/>
  <c r="T45981" i="15"/>
  <c r="T45980" i="15"/>
  <c r="T45979" i="15"/>
  <c r="T45978" i="15"/>
  <c r="T45977" i="15"/>
  <c r="T45976" i="15"/>
  <c r="T45975" i="15"/>
  <c r="T45974" i="15"/>
  <c r="T45973" i="15"/>
  <c r="T45972" i="15"/>
  <c r="T45971" i="15"/>
  <c r="T45970" i="15"/>
  <c r="T45969" i="15"/>
  <c r="T45968" i="15"/>
  <c r="T45967" i="15"/>
  <c r="T45966" i="15"/>
  <c r="T45965" i="15"/>
  <c r="T45964" i="15"/>
  <c r="T45963" i="15"/>
  <c r="T45962" i="15"/>
  <c r="T45961" i="15"/>
  <c r="T45960" i="15"/>
  <c r="T45959" i="15"/>
  <c r="T45958" i="15"/>
  <c r="T45957" i="15"/>
  <c r="T45956" i="15"/>
  <c r="T45955" i="15"/>
  <c r="T45954" i="15"/>
  <c r="T45953" i="15"/>
  <c r="T45952" i="15"/>
  <c r="T45951" i="15"/>
  <c r="T45950" i="15"/>
  <c r="T45949" i="15"/>
  <c r="T45948" i="15"/>
  <c r="T45947" i="15"/>
  <c r="T45946" i="15"/>
  <c r="T45945" i="15"/>
  <c r="T45944" i="15"/>
  <c r="T45943" i="15"/>
  <c r="T45942" i="15"/>
  <c r="T45941" i="15"/>
  <c r="T45940" i="15"/>
  <c r="T45939" i="15"/>
  <c r="T45938" i="15"/>
  <c r="T45937" i="15"/>
  <c r="T45936" i="15"/>
  <c r="T45935" i="15"/>
  <c r="T45934" i="15"/>
  <c r="T45933" i="15"/>
  <c r="T45932" i="15"/>
  <c r="T45931" i="15"/>
  <c r="T45930" i="15"/>
  <c r="T45929" i="15"/>
  <c r="T45928" i="15"/>
  <c r="T45927" i="15"/>
  <c r="T45926" i="15"/>
  <c r="T45925" i="15"/>
  <c r="T45924" i="15"/>
  <c r="T45923" i="15"/>
  <c r="T45922" i="15"/>
  <c r="T45921" i="15"/>
  <c r="T45920" i="15"/>
  <c r="T45919" i="15"/>
  <c r="T45918" i="15"/>
  <c r="T45917" i="15"/>
  <c r="T45916" i="15"/>
  <c r="T45915" i="15"/>
  <c r="T45914" i="15"/>
  <c r="T45913" i="15"/>
  <c r="T45912" i="15"/>
  <c r="T45911" i="15"/>
  <c r="T45910" i="15"/>
  <c r="T45909" i="15"/>
  <c r="T45908" i="15"/>
  <c r="T45907" i="15"/>
  <c r="T45906" i="15"/>
  <c r="T45905" i="15"/>
  <c r="T45904" i="15"/>
  <c r="T45903" i="15"/>
  <c r="T45902" i="15"/>
  <c r="T45901" i="15"/>
  <c r="T45900" i="15"/>
  <c r="T45899" i="15"/>
  <c r="T45898" i="15"/>
  <c r="T45897" i="15"/>
  <c r="T45896" i="15"/>
  <c r="T45895" i="15"/>
  <c r="T45894" i="15"/>
  <c r="T45893" i="15"/>
  <c r="T45892" i="15"/>
  <c r="T45891" i="15"/>
  <c r="T45890" i="15"/>
  <c r="T45889" i="15"/>
  <c r="T45888" i="15"/>
  <c r="T45887" i="15"/>
  <c r="T45886" i="15"/>
  <c r="T45885" i="15"/>
  <c r="T45884" i="15"/>
  <c r="T45883" i="15"/>
  <c r="T45882" i="15"/>
  <c r="T45881" i="15"/>
  <c r="T45880" i="15"/>
  <c r="T45879" i="15"/>
  <c r="T45878" i="15"/>
  <c r="T45877" i="15"/>
  <c r="T45876" i="15"/>
  <c r="T45875" i="15"/>
  <c r="T45874" i="15"/>
  <c r="T45873" i="15"/>
  <c r="T45872" i="15"/>
  <c r="T45871" i="15"/>
  <c r="T45870" i="15"/>
  <c r="T45869" i="15"/>
  <c r="T45868" i="15"/>
  <c r="T45867" i="15"/>
  <c r="T45866" i="15"/>
  <c r="T45865" i="15"/>
  <c r="T45864" i="15"/>
  <c r="T45863" i="15"/>
  <c r="T45862" i="15"/>
  <c r="T45861" i="15"/>
  <c r="T45860" i="15"/>
  <c r="T45859" i="15"/>
  <c r="T45858" i="15"/>
  <c r="T45857" i="15"/>
  <c r="T45856" i="15"/>
  <c r="T45855" i="15"/>
  <c r="T45854" i="15"/>
  <c r="T45853" i="15"/>
  <c r="T45852" i="15"/>
  <c r="T45851" i="15"/>
  <c r="T45850" i="15"/>
  <c r="T45849" i="15"/>
  <c r="T45848" i="15"/>
  <c r="T45847" i="15"/>
  <c r="T45846" i="15"/>
  <c r="T45845" i="15"/>
  <c r="T45844" i="15"/>
  <c r="T45843" i="15"/>
  <c r="T45842" i="15"/>
  <c r="T45841" i="15"/>
  <c r="T45840" i="15"/>
  <c r="T45839" i="15"/>
  <c r="T45838" i="15"/>
  <c r="T45837" i="15"/>
  <c r="T45836" i="15"/>
  <c r="T45835" i="15"/>
  <c r="T45834" i="15"/>
  <c r="T45833" i="15"/>
  <c r="T45832" i="15"/>
  <c r="T45831" i="15"/>
  <c r="T45830" i="15"/>
  <c r="T45829" i="15"/>
  <c r="T45828" i="15"/>
  <c r="T45827" i="15"/>
  <c r="T45826" i="15"/>
  <c r="T45825" i="15"/>
  <c r="T45824" i="15"/>
  <c r="T45823" i="15"/>
  <c r="T45822" i="15"/>
  <c r="T45821" i="15"/>
  <c r="T45820" i="15"/>
  <c r="T45819" i="15"/>
  <c r="T45818" i="15"/>
  <c r="T45817" i="15"/>
  <c r="T45816" i="15"/>
  <c r="T45815" i="15"/>
  <c r="T45814" i="15"/>
  <c r="T45813" i="15"/>
  <c r="T45812" i="15"/>
  <c r="T45811" i="15"/>
  <c r="T45810" i="15"/>
  <c r="T45809" i="15"/>
  <c r="T45808" i="15"/>
  <c r="T45807" i="15"/>
  <c r="T45806" i="15"/>
  <c r="T45805" i="15"/>
  <c r="T45804" i="15"/>
  <c r="T45803" i="15"/>
  <c r="T45802" i="15"/>
  <c r="T45801" i="15"/>
  <c r="T45800" i="15"/>
  <c r="T45799" i="15"/>
  <c r="T45798" i="15"/>
  <c r="T45797" i="15"/>
  <c r="T45796" i="15"/>
  <c r="T45795" i="15"/>
  <c r="T45794" i="15"/>
  <c r="T45793" i="15"/>
  <c r="T45792" i="15"/>
  <c r="T45791" i="15"/>
  <c r="T45790" i="15"/>
  <c r="T45789" i="15"/>
  <c r="T45788" i="15"/>
  <c r="T45787" i="15"/>
  <c r="T45786" i="15"/>
  <c r="T45785" i="15"/>
  <c r="T45784" i="15"/>
  <c r="T45783" i="15"/>
  <c r="T45782" i="15"/>
  <c r="T45781" i="15"/>
  <c r="T45780" i="15"/>
  <c r="T45779" i="15"/>
  <c r="T45778" i="15"/>
  <c r="T45777" i="15"/>
  <c r="T45776" i="15"/>
  <c r="T45775" i="15"/>
  <c r="T45774" i="15"/>
  <c r="T45773" i="15"/>
  <c r="T45772" i="15"/>
  <c r="T45771" i="15"/>
  <c r="T45770" i="15"/>
  <c r="T45769" i="15"/>
  <c r="T45768" i="15"/>
  <c r="T45767" i="15"/>
  <c r="T45766" i="15"/>
  <c r="T45765" i="15"/>
  <c r="T45764" i="15"/>
  <c r="T45763" i="15"/>
  <c r="T45762" i="15"/>
  <c r="T45761" i="15"/>
  <c r="T45760" i="15"/>
  <c r="T45759" i="15"/>
  <c r="T45758" i="15"/>
  <c r="T45757" i="15"/>
  <c r="T45756" i="15"/>
  <c r="T45755" i="15"/>
  <c r="T45754" i="15"/>
  <c r="T45753" i="15"/>
  <c r="T45752" i="15"/>
  <c r="T45751" i="15"/>
  <c r="T45750" i="15"/>
  <c r="T45749" i="15"/>
  <c r="T45748" i="15"/>
  <c r="T45747" i="15"/>
  <c r="T45746" i="15"/>
  <c r="T45745" i="15"/>
  <c r="T45744" i="15"/>
  <c r="T45743" i="15"/>
  <c r="T45742" i="15"/>
  <c r="T45741" i="15"/>
  <c r="T45740" i="15"/>
  <c r="T45739" i="15"/>
  <c r="T45738" i="15"/>
  <c r="T45737" i="15"/>
  <c r="T45736" i="15"/>
  <c r="T45735" i="15"/>
  <c r="T45734" i="15"/>
  <c r="T45733" i="15"/>
  <c r="T45732" i="15"/>
  <c r="T45731" i="15"/>
  <c r="T45730" i="15"/>
  <c r="T45729" i="15"/>
  <c r="T45728" i="15"/>
  <c r="T45727" i="15"/>
  <c r="T45726" i="15"/>
  <c r="T45725" i="15"/>
  <c r="T45724" i="15"/>
  <c r="T45723" i="15"/>
  <c r="T45722" i="15"/>
  <c r="T45721" i="15"/>
  <c r="T45720" i="15"/>
  <c r="T45719" i="15"/>
  <c r="T45718" i="15"/>
  <c r="T45717" i="15"/>
  <c r="T45716" i="15"/>
  <c r="T45715" i="15"/>
  <c r="T45714" i="15"/>
  <c r="T45713" i="15"/>
  <c r="T45712" i="15"/>
  <c r="T45711" i="15"/>
  <c r="T45710" i="15"/>
  <c r="T45709" i="15"/>
  <c r="T45708" i="15"/>
  <c r="T45707" i="15"/>
  <c r="T45706" i="15"/>
  <c r="T45705" i="15"/>
  <c r="T45704" i="15"/>
  <c r="T45703" i="15"/>
  <c r="T45702" i="15"/>
  <c r="T45701" i="15"/>
  <c r="T45700" i="15"/>
  <c r="T45699" i="15"/>
  <c r="T45698" i="15"/>
  <c r="T45697" i="15"/>
  <c r="T45696" i="15"/>
  <c r="T45695" i="15"/>
  <c r="T45694" i="15"/>
  <c r="T45693" i="15"/>
  <c r="T45692" i="15"/>
  <c r="T45691" i="15"/>
  <c r="T45690" i="15"/>
  <c r="T45689" i="15"/>
  <c r="T45688" i="15"/>
  <c r="T45687" i="15"/>
  <c r="T45686" i="15"/>
  <c r="T45685" i="15"/>
  <c r="T45684" i="15"/>
  <c r="T45683" i="15"/>
  <c r="T45682" i="15"/>
  <c r="T45681" i="15"/>
  <c r="T45680" i="15"/>
  <c r="T45679" i="15"/>
  <c r="T45678" i="15"/>
  <c r="T45677" i="15"/>
  <c r="T45676" i="15"/>
  <c r="T45675" i="15"/>
  <c r="T45674" i="15"/>
  <c r="T45673" i="15"/>
  <c r="T45672" i="15"/>
  <c r="T45671" i="15"/>
  <c r="T45670" i="15"/>
  <c r="T45669" i="15"/>
  <c r="T45668" i="15"/>
  <c r="T45667" i="15"/>
  <c r="T45666" i="15"/>
  <c r="T45665" i="15"/>
  <c r="T45664" i="15"/>
  <c r="T45663" i="15"/>
  <c r="T45662" i="15"/>
  <c r="T45661" i="15"/>
  <c r="T45660" i="15"/>
  <c r="T45659" i="15"/>
  <c r="T45658" i="15"/>
  <c r="T45657" i="15"/>
  <c r="T45656" i="15"/>
  <c r="T45655" i="15"/>
  <c r="T45654" i="15"/>
  <c r="T45653" i="15"/>
  <c r="T45652" i="15"/>
  <c r="T45651" i="15"/>
  <c r="T45650" i="15"/>
  <c r="T45649" i="15"/>
  <c r="T45648" i="15"/>
  <c r="T45647" i="15"/>
  <c r="T45646" i="15"/>
  <c r="T45645" i="15"/>
  <c r="T45644" i="15"/>
  <c r="T45643" i="15"/>
  <c r="T45642" i="15"/>
  <c r="T45641" i="15"/>
  <c r="T45640" i="15"/>
  <c r="T45639" i="15"/>
  <c r="T45638" i="15"/>
  <c r="T45637" i="15"/>
  <c r="T45636" i="15"/>
  <c r="T45635" i="15"/>
  <c r="T45634" i="15"/>
  <c r="T45633" i="15"/>
  <c r="T45632" i="15"/>
  <c r="T45631" i="15"/>
  <c r="T45630" i="15"/>
  <c r="T45629" i="15"/>
  <c r="T45628" i="15"/>
  <c r="T45627" i="15"/>
  <c r="T45626" i="15"/>
  <c r="T45625" i="15"/>
  <c r="T45624" i="15"/>
  <c r="T45623" i="15"/>
  <c r="T45622" i="15"/>
  <c r="T45621" i="15"/>
  <c r="T45620" i="15"/>
  <c r="T45619" i="15"/>
  <c r="T45618" i="15"/>
  <c r="T45617" i="15"/>
  <c r="T45616" i="15"/>
  <c r="T45615" i="15"/>
  <c r="T45614" i="15"/>
  <c r="T45613" i="15"/>
  <c r="T45612" i="15"/>
  <c r="T45611" i="15"/>
  <c r="T45610" i="15"/>
  <c r="T45609" i="15"/>
  <c r="T45608" i="15"/>
  <c r="T45607" i="15"/>
  <c r="T45606" i="15"/>
  <c r="T45605" i="15"/>
  <c r="T45604" i="15"/>
  <c r="T45603" i="15"/>
  <c r="T45602" i="15"/>
  <c r="T45601" i="15"/>
  <c r="T45600" i="15"/>
  <c r="T45599" i="15"/>
  <c r="T45598" i="15"/>
  <c r="T45597" i="15"/>
  <c r="T45596" i="15"/>
  <c r="T45595" i="15"/>
  <c r="T45594" i="15"/>
  <c r="T45593" i="15"/>
  <c r="T45592" i="15"/>
  <c r="T45591" i="15"/>
  <c r="T45590" i="15"/>
  <c r="T45589" i="15"/>
  <c r="T45588" i="15"/>
  <c r="T45587" i="15"/>
  <c r="T45586" i="15"/>
  <c r="T45585" i="15"/>
  <c r="T45584" i="15"/>
  <c r="T45583" i="15"/>
  <c r="T45582" i="15"/>
  <c r="T45581" i="15"/>
  <c r="T45580" i="15"/>
  <c r="T45579" i="15"/>
  <c r="T45578" i="15"/>
  <c r="T45577" i="15"/>
  <c r="T45576" i="15"/>
  <c r="T45575" i="15"/>
  <c r="T45574" i="15"/>
  <c r="T45573" i="15"/>
  <c r="T45572" i="15"/>
  <c r="T45571" i="15"/>
  <c r="T45570" i="15"/>
  <c r="T45569" i="15"/>
  <c r="T45568" i="15"/>
  <c r="T45567" i="15"/>
  <c r="T45566" i="15"/>
  <c r="T45565" i="15"/>
  <c r="T45564" i="15"/>
  <c r="T45563" i="15"/>
  <c r="T45562" i="15"/>
  <c r="T45561" i="15"/>
  <c r="T45560" i="15"/>
  <c r="T45559" i="15"/>
  <c r="T45558" i="15"/>
  <c r="T45557" i="15"/>
  <c r="T45556" i="15"/>
  <c r="T45555" i="15"/>
  <c r="T45554" i="15"/>
  <c r="T45553" i="15"/>
  <c r="T45552" i="15"/>
  <c r="T45551" i="15"/>
  <c r="T45550" i="15"/>
  <c r="T45549" i="15"/>
  <c r="T45548" i="15"/>
  <c r="T45547" i="15"/>
  <c r="T45546" i="15"/>
  <c r="T45545" i="15"/>
  <c r="T45544" i="15"/>
  <c r="T45543" i="15"/>
  <c r="T45542" i="15"/>
  <c r="T45541" i="15"/>
  <c r="T45540" i="15"/>
  <c r="T45539" i="15"/>
  <c r="T45538" i="15"/>
  <c r="T45537" i="15"/>
  <c r="T45536" i="15"/>
  <c r="T45535" i="15"/>
  <c r="T45534" i="15"/>
  <c r="T45533" i="15"/>
  <c r="T45532" i="15"/>
  <c r="T45531" i="15"/>
  <c r="T45530" i="15"/>
  <c r="T45529" i="15"/>
  <c r="T45528" i="15"/>
  <c r="T45527" i="15"/>
  <c r="T45526" i="15"/>
  <c r="T45525" i="15"/>
  <c r="T45524" i="15"/>
  <c r="T45523" i="15"/>
  <c r="T45522" i="15"/>
  <c r="T45521" i="15"/>
  <c r="T45520" i="15"/>
  <c r="T45519" i="15"/>
  <c r="T45518" i="15"/>
  <c r="T45517" i="15"/>
  <c r="T45516" i="15"/>
  <c r="T45515" i="15"/>
  <c r="T45514" i="15"/>
  <c r="T45513" i="15"/>
  <c r="T45512" i="15"/>
  <c r="T45511" i="15"/>
  <c r="T45510" i="15"/>
  <c r="T45509" i="15"/>
  <c r="T45508" i="15"/>
  <c r="T45507" i="15"/>
  <c r="T45506" i="15"/>
  <c r="T45505" i="15"/>
  <c r="T45504" i="15"/>
  <c r="T45503" i="15"/>
  <c r="T45502" i="15"/>
  <c r="T45501" i="15"/>
  <c r="T45500" i="15"/>
  <c r="T45499" i="15"/>
  <c r="T45498" i="15"/>
  <c r="T45497" i="15"/>
  <c r="T45496" i="15"/>
  <c r="T45495" i="15"/>
  <c r="T45494" i="15"/>
  <c r="T45493" i="15"/>
  <c r="T45492" i="15"/>
  <c r="T45491" i="15"/>
  <c r="T45490" i="15"/>
  <c r="T45489" i="15"/>
  <c r="T45488" i="15"/>
  <c r="T45487" i="15"/>
  <c r="T45486" i="15"/>
  <c r="T45485" i="15"/>
  <c r="T45484" i="15"/>
  <c r="T45483" i="15"/>
  <c r="T45482" i="15"/>
  <c r="T45481" i="15"/>
  <c r="T45480" i="15"/>
  <c r="T45479" i="15"/>
  <c r="T45478" i="15"/>
  <c r="T45477" i="15"/>
  <c r="T45476" i="15"/>
  <c r="T45475" i="15"/>
  <c r="T45474" i="15"/>
  <c r="T45473" i="15"/>
  <c r="T45472" i="15"/>
  <c r="T45471" i="15"/>
  <c r="T45470" i="15"/>
  <c r="T45469" i="15"/>
  <c r="T45468" i="15"/>
  <c r="T45467" i="15"/>
  <c r="T45466" i="15"/>
  <c r="T45465" i="15"/>
  <c r="T45464" i="15"/>
  <c r="T45463" i="15"/>
  <c r="T45462" i="15"/>
  <c r="T45461" i="15"/>
  <c r="T45460" i="15"/>
  <c r="T45459" i="15"/>
  <c r="T45458" i="15"/>
  <c r="T45457" i="15"/>
  <c r="T45456" i="15"/>
  <c r="T45455" i="15"/>
  <c r="T45454" i="15"/>
  <c r="T45453" i="15"/>
  <c r="T45452" i="15"/>
  <c r="T45451" i="15"/>
  <c r="T45450" i="15"/>
  <c r="T45449" i="15"/>
  <c r="T45448" i="15"/>
  <c r="T45447" i="15"/>
  <c r="T45446" i="15"/>
  <c r="T45445" i="15"/>
  <c r="T45444" i="15"/>
  <c r="T45443" i="15"/>
  <c r="T45442" i="15"/>
  <c r="T45441" i="15"/>
  <c r="T45440" i="15"/>
  <c r="T45439" i="15"/>
  <c r="T45438" i="15"/>
  <c r="T45437" i="15"/>
  <c r="T45436" i="15"/>
  <c r="T45435" i="15"/>
  <c r="T45434" i="15"/>
  <c r="T45433" i="15"/>
  <c r="T45432" i="15"/>
  <c r="T45431" i="15"/>
  <c r="T45430" i="15"/>
  <c r="T45429" i="15"/>
  <c r="T45428" i="15"/>
  <c r="T45427" i="15"/>
  <c r="T45426" i="15"/>
  <c r="T45425" i="15"/>
  <c r="T45424" i="15"/>
  <c r="T45423" i="15"/>
  <c r="T45422" i="15"/>
  <c r="T45421" i="15"/>
  <c r="T45420" i="15"/>
  <c r="T45419" i="15"/>
  <c r="T45418" i="15"/>
  <c r="T45417" i="15"/>
  <c r="T45416" i="15"/>
  <c r="T45415" i="15"/>
  <c r="T45414" i="15"/>
  <c r="T45413" i="15"/>
  <c r="T45412" i="15"/>
  <c r="T45411" i="15"/>
  <c r="T45410" i="15"/>
  <c r="T45409" i="15"/>
  <c r="T45408" i="15"/>
  <c r="T45407" i="15"/>
  <c r="T45406" i="15"/>
  <c r="T45405" i="15"/>
  <c r="T45404" i="15"/>
  <c r="T45403" i="15"/>
  <c r="T45402" i="15"/>
  <c r="T45401" i="15"/>
  <c r="T45400" i="15"/>
  <c r="T45399" i="15"/>
  <c r="T45398" i="15"/>
  <c r="T45397" i="15"/>
  <c r="T45396" i="15"/>
  <c r="T45395" i="15"/>
  <c r="T45394" i="15"/>
  <c r="T45393" i="15"/>
  <c r="T45392" i="15"/>
  <c r="T45391" i="15"/>
  <c r="T45390" i="15"/>
  <c r="T45389" i="15"/>
  <c r="T45388" i="15"/>
  <c r="T45387" i="15"/>
  <c r="T45386" i="15"/>
  <c r="T45385" i="15"/>
  <c r="T45384" i="15"/>
  <c r="T45383" i="15"/>
  <c r="T45382" i="15"/>
  <c r="T45381" i="15"/>
  <c r="T45380" i="15"/>
  <c r="T45379" i="15"/>
  <c r="T45378" i="15"/>
  <c r="T45377" i="15"/>
  <c r="T45376" i="15"/>
  <c r="T45375" i="15"/>
  <c r="T45374" i="15"/>
  <c r="T45373" i="15"/>
  <c r="T45372" i="15"/>
  <c r="T45371" i="15"/>
  <c r="T45370" i="15"/>
  <c r="T45369" i="15"/>
  <c r="T45368" i="15"/>
  <c r="T45367" i="15"/>
  <c r="T45366" i="15"/>
  <c r="T45365" i="15"/>
  <c r="T45364" i="15"/>
  <c r="T45363" i="15"/>
  <c r="T45362" i="15"/>
  <c r="T45361" i="15"/>
  <c r="T45360" i="15"/>
  <c r="T45359" i="15"/>
  <c r="T45358" i="15"/>
  <c r="T45357" i="15"/>
  <c r="T45356" i="15"/>
  <c r="T45355" i="15"/>
  <c r="T45354" i="15"/>
  <c r="T45353" i="15"/>
  <c r="T45352" i="15"/>
  <c r="T45351" i="15"/>
  <c r="T45350" i="15"/>
  <c r="T45349" i="15"/>
  <c r="T45348" i="15"/>
  <c r="T45347" i="15"/>
  <c r="T45346" i="15"/>
  <c r="T45345" i="15"/>
  <c r="T45344" i="15"/>
  <c r="T45343" i="15"/>
  <c r="T45342" i="15"/>
  <c r="T45341" i="15"/>
  <c r="T45340" i="15"/>
  <c r="T45339" i="15"/>
  <c r="T45338" i="15"/>
  <c r="T45337" i="15"/>
  <c r="T45336" i="15"/>
  <c r="T45335" i="15"/>
  <c r="T45334" i="15"/>
  <c r="T45333" i="15"/>
  <c r="T45332" i="15"/>
  <c r="T45331" i="15"/>
  <c r="T45330" i="15"/>
  <c r="T45329" i="15"/>
  <c r="T45328" i="15"/>
  <c r="T45327" i="15"/>
  <c r="T45326" i="15"/>
  <c r="T45325" i="15"/>
  <c r="T45324" i="15"/>
  <c r="T45323" i="15"/>
  <c r="T45322" i="15"/>
  <c r="T45321" i="15"/>
  <c r="T45320" i="15"/>
  <c r="T45319" i="15"/>
  <c r="T45318" i="15"/>
  <c r="T45317" i="15"/>
  <c r="T45316" i="15"/>
  <c r="T45315" i="15"/>
  <c r="T45314" i="15"/>
  <c r="T45313" i="15"/>
  <c r="T45312" i="15"/>
  <c r="T45311" i="15"/>
  <c r="T45310" i="15"/>
  <c r="T45309" i="15"/>
  <c r="T45308" i="15"/>
  <c r="T45307" i="15"/>
  <c r="T45306" i="15"/>
  <c r="T45305" i="15"/>
  <c r="T45304" i="15"/>
  <c r="T45303" i="15"/>
  <c r="T45302" i="15"/>
  <c r="T45301" i="15"/>
  <c r="T45300" i="15"/>
  <c r="T45299" i="15"/>
  <c r="T45298" i="15"/>
  <c r="T45297" i="15"/>
  <c r="T45296" i="15"/>
  <c r="T45295" i="15"/>
  <c r="T45294" i="15"/>
  <c r="T45293" i="15"/>
  <c r="T45292" i="15"/>
  <c r="T45291" i="15"/>
  <c r="T45290" i="15"/>
  <c r="T45289" i="15"/>
  <c r="T45288" i="15"/>
  <c r="T45287" i="15"/>
  <c r="T45286" i="15"/>
  <c r="T45285" i="15"/>
  <c r="T45284" i="15"/>
  <c r="T45283" i="15"/>
  <c r="T45282" i="15"/>
  <c r="T45281" i="15"/>
  <c r="T45280" i="15"/>
  <c r="T45279" i="15"/>
  <c r="T45278" i="15"/>
  <c r="T45277" i="15"/>
  <c r="T45276" i="15"/>
  <c r="T45275" i="15"/>
  <c r="T45274" i="15"/>
  <c r="T45273" i="15"/>
  <c r="T45272" i="15"/>
  <c r="T45271" i="15"/>
  <c r="T45270" i="15"/>
  <c r="T45269" i="15"/>
  <c r="T45268" i="15"/>
  <c r="T45267" i="15"/>
  <c r="T45266" i="15"/>
  <c r="T45265" i="15"/>
  <c r="T45264" i="15"/>
  <c r="T45263" i="15"/>
  <c r="T45262" i="15"/>
  <c r="T45261" i="15"/>
  <c r="T45260" i="15"/>
  <c r="T45259" i="15"/>
  <c r="T45258" i="15"/>
  <c r="T45257" i="15"/>
  <c r="T45256" i="15"/>
  <c r="T45255" i="15"/>
  <c r="T45254" i="15"/>
  <c r="T45253" i="15"/>
  <c r="T45252" i="15"/>
  <c r="T45251" i="15"/>
  <c r="T45250" i="15"/>
  <c r="T45249" i="15"/>
  <c r="T45248" i="15"/>
  <c r="T45247" i="15"/>
  <c r="T45246" i="15"/>
  <c r="T45245" i="15"/>
  <c r="T45244" i="15"/>
  <c r="T45243" i="15"/>
  <c r="T45242" i="15"/>
  <c r="T45241" i="15"/>
  <c r="T45240" i="15"/>
  <c r="T45239" i="15"/>
  <c r="T45238" i="15"/>
  <c r="T45237" i="15"/>
  <c r="T45236" i="15"/>
  <c r="T45235" i="15"/>
  <c r="T45234" i="15"/>
  <c r="T45233" i="15"/>
  <c r="T45232" i="15"/>
  <c r="T45231" i="15"/>
  <c r="T45230" i="15"/>
  <c r="T45229" i="15"/>
  <c r="T45228" i="15"/>
  <c r="T45227" i="15"/>
  <c r="T45226" i="15"/>
  <c r="T45225" i="15"/>
  <c r="T45224" i="15"/>
  <c r="T45223" i="15"/>
  <c r="T45222" i="15"/>
  <c r="T45221" i="15"/>
  <c r="T45220" i="15"/>
  <c r="T45219" i="15"/>
  <c r="T45218" i="15"/>
  <c r="T45217" i="15"/>
  <c r="T45216" i="15"/>
  <c r="T45215" i="15"/>
  <c r="T45214" i="15"/>
  <c r="T45213" i="15"/>
  <c r="T45212" i="15"/>
  <c r="T45211" i="15"/>
  <c r="T45210" i="15"/>
  <c r="T45209" i="15"/>
  <c r="T45208" i="15"/>
  <c r="T45207" i="15"/>
  <c r="T45206" i="15"/>
  <c r="T45205" i="15"/>
  <c r="T45204" i="15"/>
  <c r="T45203" i="15"/>
  <c r="T45202" i="15"/>
  <c r="T45201" i="15"/>
  <c r="T45200" i="15"/>
  <c r="T45199" i="15"/>
  <c r="T45198" i="15"/>
  <c r="T45197" i="15"/>
  <c r="T45196" i="15"/>
  <c r="T45195" i="15"/>
  <c r="T45194" i="15"/>
  <c r="T45193" i="15"/>
  <c r="T45192" i="15"/>
  <c r="T45191" i="15"/>
  <c r="T45190" i="15"/>
  <c r="T45189" i="15"/>
  <c r="T45188" i="15"/>
  <c r="T45187" i="15"/>
  <c r="T45186" i="15"/>
  <c r="T45185" i="15"/>
  <c r="T45184" i="15"/>
  <c r="T45183" i="15"/>
  <c r="T45182" i="15"/>
  <c r="T45181" i="15"/>
  <c r="T45180" i="15"/>
  <c r="T45179" i="15"/>
  <c r="T45178" i="15"/>
  <c r="T45177" i="15"/>
  <c r="T45176" i="15"/>
  <c r="T45175" i="15"/>
  <c r="T45174" i="15"/>
  <c r="T45173" i="15"/>
  <c r="T45172" i="15"/>
  <c r="T45171" i="15"/>
  <c r="T45170" i="15"/>
  <c r="T45169" i="15"/>
  <c r="T45168" i="15"/>
  <c r="T45167" i="15"/>
  <c r="T45166" i="15"/>
  <c r="T45165" i="15"/>
  <c r="T45164" i="15"/>
  <c r="T45163" i="15"/>
  <c r="T45162" i="15"/>
  <c r="T45161" i="15"/>
  <c r="T45160" i="15"/>
  <c r="T45159" i="15"/>
  <c r="T45158" i="15"/>
  <c r="T45157" i="15"/>
  <c r="T45156" i="15"/>
  <c r="T45155" i="15"/>
  <c r="T45154" i="15"/>
  <c r="T45153" i="15"/>
  <c r="T45152" i="15"/>
  <c r="T45151" i="15"/>
  <c r="T45150" i="15"/>
  <c r="T45149" i="15"/>
  <c r="T45148" i="15"/>
  <c r="T45147" i="15"/>
  <c r="T45146" i="15"/>
  <c r="T45145" i="15"/>
  <c r="T45144" i="15"/>
  <c r="T45143" i="15"/>
  <c r="T45142" i="15"/>
  <c r="T45141" i="15"/>
  <c r="T45140" i="15"/>
  <c r="T45139" i="15"/>
  <c r="T45138" i="15"/>
  <c r="T45137" i="15"/>
  <c r="T45136" i="15"/>
  <c r="T45135" i="15"/>
  <c r="T45134" i="15"/>
  <c r="T45133" i="15"/>
  <c r="T45132" i="15"/>
  <c r="T45131" i="15"/>
  <c r="T45130" i="15"/>
  <c r="T45129" i="15"/>
  <c r="T45128" i="15"/>
  <c r="T45127" i="15"/>
  <c r="T45126" i="15"/>
  <c r="T45125" i="15"/>
  <c r="T45124" i="15"/>
  <c r="T45123" i="15"/>
  <c r="T45122" i="15"/>
  <c r="T45121" i="15"/>
  <c r="T45120" i="15"/>
  <c r="T45119" i="15"/>
  <c r="T45118" i="15"/>
  <c r="T45117" i="15"/>
  <c r="T45116" i="15"/>
  <c r="T45115" i="15"/>
  <c r="T45114" i="15"/>
  <c r="T45113" i="15"/>
  <c r="T45112" i="15"/>
  <c r="T45111" i="15"/>
  <c r="T45110" i="15"/>
  <c r="T45109" i="15"/>
  <c r="T45108" i="15"/>
  <c r="T45107" i="15"/>
  <c r="T45106" i="15"/>
  <c r="T45105" i="15"/>
  <c r="T45104" i="15"/>
  <c r="T45103" i="15"/>
  <c r="T45102" i="15"/>
  <c r="T45101" i="15"/>
  <c r="T45100" i="15"/>
  <c r="T45099" i="15"/>
  <c r="T45098" i="15"/>
  <c r="T45097" i="15"/>
  <c r="T45096" i="15"/>
  <c r="T45095" i="15"/>
  <c r="T45094" i="15"/>
  <c r="T45093" i="15"/>
  <c r="T45092" i="15"/>
  <c r="T45091" i="15"/>
  <c r="T45090" i="15"/>
  <c r="T45089" i="15"/>
  <c r="T45088" i="15"/>
  <c r="T45087" i="15"/>
  <c r="T45086" i="15"/>
  <c r="T45085" i="15"/>
  <c r="T45084" i="15"/>
  <c r="T45083" i="15"/>
  <c r="T45082" i="15"/>
  <c r="T45081" i="15"/>
  <c r="T45080" i="15"/>
  <c r="T45079" i="15"/>
  <c r="T45078" i="15"/>
  <c r="T45077" i="15"/>
  <c r="T45076" i="15"/>
  <c r="T45075" i="15"/>
  <c r="T45074" i="15"/>
  <c r="T45073" i="15"/>
  <c r="T45072" i="15"/>
  <c r="T45071" i="15"/>
  <c r="T45070" i="15"/>
  <c r="T45069" i="15"/>
  <c r="T45068" i="15"/>
  <c r="T45067" i="15"/>
  <c r="T45066" i="15"/>
  <c r="T45065" i="15"/>
  <c r="T45064" i="15"/>
  <c r="T45063" i="15"/>
  <c r="T45062" i="15"/>
  <c r="T45061" i="15"/>
  <c r="T45060" i="15"/>
  <c r="T45059" i="15"/>
  <c r="T45058" i="15"/>
  <c r="T45057" i="15"/>
  <c r="T45056" i="15"/>
  <c r="T45055" i="15"/>
  <c r="T45054" i="15"/>
  <c r="T45053" i="15"/>
  <c r="T45052" i="15"/>
  <c r="T45051" i="15"/>
  <c r="T45050" i="15"/>
  <c r="T45049" i="15"/>
  <c r="T45048" i="15"/>
  <c r="T45047" i="15"/>
  <c r="T45046" i="15"/>
  <c r="T45045" i="15"/>
  <c r="T45044" i="15"/>
  <c r="T45043" i="15"/>
  <c r="T45042" i="15"/>
  <c r="T45041" i="15"/>
  <c r="T45040" i="15"/>
  <c r="T45039" i="15"/>
  <c r="T45038" i="15"/>
  <c r="T45037" i="15"/>
  <c r="T45036" i="15"/>
  <c r="T45035" i="15"/>
  <c r="T45034" i="15"/>
  <c r="T45033" i="15"/>
  <c r="T45032" i="15"/>
  <c r="T45031" i="15"/>
  <c r="T45030" i="15"/>
  <c r="T45029" i="15"/>
  <c r="T45028" i="15"/>
  <c r="T45027" i="15"/>
  <c r="T45026" i="15"/>
  <c r="T45025" i="15"/>
  <c r="T45024" i="15"/>
  <c r="T45023" i="15"/>
  <c r="T45022" i="15"/>
  <c r="T45021" i="15"/>
  <c r="T45020" i="15"/>
  <c r="T45019" i="15"/>
  <c r="T45018" i="15"/>
  <c r="T45017" i="15"/>
  <c r="T45016" i="15"/>
  <c r="T45015" i="15"/>
  <c r="T45014" i="15"/>
  <c r="T45013" i="15"/>
  <c r="T45012" i="15"/>
  <c r="T45011" i="15"/>
  <c r="T45010" i="15"/>
  <c r="T45009" i="15"/>
  <c r="T45008" i="15"/>
  <c r="T45007" i="15"/>
  <c r="T45006" i="15"/>
  <c r="T45005" i="15"/>
  <c r="T45004" i="15"/>
  <c r="T45003" i="15"/>
  <c r="T45002" i="15"/>
  <c r="T45001" i="15"/>
  <c r="T45000" i="15"/>
  <c r="T44999" i="15"/>
  <c r="T44998" i="15"/>
  <c r="T44997" i="15"/>
  <c r="T44996" i="15"/>
  <c r="T44995" i="15"/>
  <c r="T44994" i="15"/>
  <c r="T44993" i="15"/>
  <c r="T44992" i="15"/>
  <c r="T44991" i="15"/>
  <c r="T44990" i="15"/>
  <c r="T44989" i="15"/>
  <c r="T44988" i="15"/>
  <c r="T44987" i="15"/>
  <c r="T44986" i="15"/>
  <c r="T44985" i="15"/>
  <c r="T44984" i="15"/>
  <c r="T44983" i="15"/>
  <c r="T44982" i="15"/>
  <c r="T44981" i="15"/>
  <c r="T44980" i="15"/>
  <c r="T44979" i="15"/>
  <c r="T44978" i="15"/>
  <c r="T44977" i="15"/>
  <c r="T44976" i="15"/>
  <c r="T44975" i="15"/>
  <c r="T44974" i="15"/>
  <c r="T44973" i="15"/>
  <c r="T44972" i="15"/>
  <c r="T44971" i="15"/>
  <c r="T44970" i="15"/>
  <c r="T44969" i="15"/>
  <c r="T44968" i="15"/>
  <c r="T44967" i="15"/>
  <c r="T44966" i="15"/>
  <c r="T44965" i="15"/>
  <c r="T44964" i="15"/>
  <c r="T44963" i="15"/>
  <c r="T44962" i="15"/>
  <c r="T44961" i="15"/>
  <c r="T44960" i="15"/>
  <c r="T44959" i="15"/>
  <c r="T44958" i="15"/>
  <c r="T44957" i="15"/>
  <c r="T44956" i="15"/>
  <c r="T44955" i="15"/>
  <c r="T44954" i="15"/>
  <c r="T44953" i="15"/>
  <c r="T44952" i="15"/>
  <c r="T44951" i="15"/>
  <c r="T44950" i="15"/>
  <c r="T44949" i="15"/>
  <c r="T44948" i="15"/>
  <c r="T44947" i="15"/>
  <c r="T44946" i="15"/>
  <c r="T44945" i="15"/>
  <c r="T44944" i="15"/>
  <c r="T44943" i="15"/>
  <c r="T44942" i="15"/>
  <c r="T44941" i="15"/>
  <c r="T44940" i="15"/>
  <c r="T44939" i="15"/>
  <c r="T44938" i="15"/>
  <c r="T44937" i="15"/>
  <c r="T44936" i="15"/>
  <c r="T44935" i="15"/>
  <c r="T44934" i="15"/>
  <c r="T44933" i="15"/>
  <c r="T44932" i="15"/>
  <c r="T44931" i="15"/>
  <c r="T44930" i="15"/>
  <c r="T44929" i="15"/>
  <c r="T44928" i="15"/>
  <c r="T44927" i="15"/>
  <c r="T44926" i="15"/>
  <c r="T44925" i="15"/>
  <c r="T44924" i="15"/>
  <c r="T44923" i="15"/>
  <c r="T44922" i="15"/>
  <c r="T44921" i="15"/>
  <c r="T44920" i="15"/>
  <c r="T44919" i="15"/>
  <c r="T44918" i="15"/>
  <c r="T44917" i="15"/>
  <c r="T44916" i="15"/>
  <c r="T44915" i="15"/>
  <c r="T44914" i="15"/>
  <c r="T44913" i="15"/>
  <c r="T44912" i="15"/>
  <c r="T44911" i="15"/>
  <c r="T44910" i="15"/>
  <c r="T44909" i="15"/>
  <c r="T44908" i="15"/>
  <c r="T44907" i="15"/>
  <c r="T44906" i="15"/>
  <c r="T44905" i="15"/>
  <c r="T44904" i="15"/>
  <c r="T44903" i="15"/>
  <c r="T44902" i="15"/>
  <c r="T44901" i="15"/>
  <c r="T44900" i="15"/>
  <c r="T44899" i="15"/>
  <c r="T44898" i="15"/>
  <c r="T44897" i="15"/>
  <c r="T44896" i="15"/>
  <c r="T44895" i="15"/>
  <c r="T44894" i="15"/>
  <c r="T44893" i="15"/>
  <c r="T44892" i="15"/>
  <c r="T44891" i="15"/>
  <c r="T44890" i="15"/>
  <c r="T44889" i="15"/>
  <c r="T44888" i="15"/>
  <c r="T44887" i="15"/>
  <c r="T44886" i="15"/>
  <c r="T44885" i="15"/>
  <c r="T44884" i="15"/>
  <c r="T44883" i="15"/>
  <c r="T44882" i="15"/>
  <c r="T44881" i="15"/>
  <c r="T44880" i="15"/>
  <c r="T44879" i="15"/>
  <c r="T44878" i="15"/>
  <c r="T44877" i="15"/>
  <c r="T44876" i="15"/>
  <c r="T44875" i="15"/>
  <c r="T44874" i="15"/>
  <c r="T44873" i="15"/>
  <c r="T44872" i="15"/>
  <c r="T44871" i="15"/>
  <c r="T44870" i="15"/>
  <c r="T44869" i="15"/>
  <c r="T44868" i="15"/>
  <c r="T44867" i="15"/>
  <c r="T44866" i="15"/>
  <c r="T44865" i="15"/>
  <c r="T44864" i="15"/>
  <c r="T44863" i="15"/>
  <c r="T44862" i="15"/>
  <c r="T44861" i="15"/>
  <c r="T44860" i="15"/>
  <c r="T44859" i="15"/>
  <c r="T44858" i="15"/>
  <c r="T44857" i="15"/>
  <c r="T44856" i="15"/>
  <c r="T44855" i="15"/>
  <c r="T44854" i="15"/>
  <c r="T44853" i="15"/>
  <c r="T44852" i="15"/>
  <c r="T44851" i="15"/>
  <c r="T44850" i="15"/>
  <c r="T44849" i="15"/>
  <c r="T44848" i="15"/>
  <c r="T44847" i="15"/>
  <c r="T44846" i="15"/>
  <c r="T44845" i="15"/>
  <c r="T44844" i="15"/>
  <c r="T44843" i="15"/>
  <c r="T44842" i="15"/>
  <c r="T44841" i="15"/>
  <c r="T44840" i="15"/>
  <c r="T44839" i="15"/>
  <c r="T44838" i="15"/>
  <c r="T44837" i="15"/>
  <c r="T44836" i="15"/>
  <c r="T44835" i="15"/>
  <c r="T44834" i="15"/>
  <c r="T44833" i="15"/>
  <c r="T44832" i="15"/>
  <c r="T44831" i="15"/>
  <c r="T44830" i="15"/>
  <c r="T44829" i="15"/>
  <c r="T44828" i="15"/>
  <c r="T44827" i="15"/>
  <c r="T44826" i="15"/>
  <c r="T44825" i="15"/>
  <c r="T44824" i="15"/>
  <c r="T44823" i="15"/>
  <c r="T44822" i="15"/>
  <c r="T44821" i="15"/>
  <c r="T44820" i="15"/>
  <c r="T44819" i="15"/>
  <c r="T44818" i="15"/>
  <c r="T44817" i="15"/>
  <c r="T44816" i="15"/>
  <c r="T44815" i="15"/>
  <c r="T44814" i="15"/>
  <c r="T44813" i="15"/>
  <c r="T44812" i="15"/>
  <c r="T44811" i="15"/>
  <c r="T44810" i="15"/>
  <c r="T44809" i="15"/>
  <c r="T44808" i="15"/>
  <c r="T44807" i="15"/>
  <c r="T44806" i="15"/>
  <c r="T44805" i="15"/>
  <c r="T44804" i="15"/>
  <c r="T44803" i="15"/>
  <c r="T44802" i="15"/>
  <c r="T44801" i="15"/>
  <c r="T44800" i="15"/>
  <c r="T44799" i="15"/>
  <c r="T44798" i="15"/>
  <c r="T44797" i="15"/>
  <c r="T44796" i="15"/>
  <c r="T44795" i="15"/>
  <c r="T44794" i="15"/>
  <c r="T44793" i="15"/>
  <c r="T44792" i="15"/>
  <c r="T44791" i="15"/>
  <c r="T44790" i="15"/>
  <c r="T44789" i="15"/>
  <c r="T44788" i="15"/>
  <c r="T44787" i="15"/>
  <c r="T44786" i="15"/>
  <c r="T44785" i="15"/>
  <c r="T44784" i="15"/>
  <c r="T44783" i="15"/>
  <c r="T44782" i="15"/>
  <c r="T44781" i="15"/>
  <c r="T44780" i="15"/>
  <c r="T44779" i="15"/>
  <c r="T44778" i="15"/>
  <c r="T44777" i="15"/>
  <c r="T44776" i="15"/>
  <c r="T44775" i="15"/>
  <c r="T44774" i="15"/>
  <c r="T44773" i="15"/>
  <c r="T44772" i="15"/>
  <c r="T44771" i="15"/>
  <c r="T44770" i="15"/>
  <c r="T44769" i="15"/>
  <c r="T44768" i="15"/>
  <c r="T44767" i="15"/>
  <c r="T44766" i="15"/>
  <c r="T44765" i="15"/>
  <c r="T44764" i="15"/>
  <c r="T44763" i="15"/>
  <c r="T44762" i="15"/>
  <c r="T44761" i="15"/>
  <c r="T44760" i="15"/>
  <c r="T44759" i="15"/>
  <c r="T44758" i="15"/>
  <c r="T44757" i="15"/>
  <c r="T44756" i="15"/>
  <c r="T44755" i="15"/>
  <c r="T44754" i="15"/>
  <c r="T44753" i="15"/>
  <c r="T44752" i="15"/>
  <c r="T44751" i="15"/>
  <c r="T44750" i="15"/>
  <c r="T44749" i="15"/>
  <c r="T44748" i="15"/>
  <c r="T44747" i="15"/>
  <c r="T44746" i="15"/>
  <c r="T44745" i="15"/>
  <c r="T44744" i="15"/>
  <c r="T44743" i="15"/>
  <c r="T44742" i="15"/>
  <c r="T44741" i="15"/>
  <c r="T44740" i="15"/>
  <c r="T44739" i="15"/>
  <c r="T44738" i="15"/>
  <c r="T44737" i="15"/>
  <c r="T44736" i="15"/>
  <c r="T44735" i="15"/>
  <c r="T44734" i="15"/>
  <c r="T44733" i="15"/>
  <c r="T44732" i="15"/>
  <c r="T44731" i="15"/>
  <c r="T44730" i="15"/>
  <c r="T44729" i="15"/>
  <c r="T44728" i="15"/>
  <c r="T44727" i="15"/>
  <c r="T44726" i="15"/>
  <c r="T44725" i="15"/>
  <c r="T44724" i="15"/>
  <c r="T44723" i="15"/>
  <c r="T44722" i="15"/>
  <c r="T44721" i="15"/>
  <c r="T44720" i="15"/>
  <c r="T44719" i="15"/>
  <c r="T44718" i="15"/>
  <c r="T44717" i="15"/>
  <c r="T44716" i="15"/>
  <c r="T44715" i="15"/>
  <c r="T44714" i="15"/>
  <c r="T44713" i="15"/>
  <c r="T44712" i="15"/>
  <c r="T44711" i="15"/>
  <c r="T44710" i="15"/>
  <c r="T44709" i="15"/>
  <c r="T44708" i="15"/>
  <c r="T44707" i="15"/>
  <c r="T44706" i="15"/>
  <c r="T44705" i="15"/>
  <c r="T44704" i="15"/>
  <c r="T44703" i="15"/>
  <c r="T44702" i="15"/>
  <c r="T44701" i="15"/>
  <c r="T44700" i="15"/>
  <c r="T44699" i="15"/>
  <c r="T44698" i="15"/>
  <c r="T44697" i="15"/>
  <c r="T44696" i="15"/>
  <c r="T44695" i="15"/>
  <c r="T44694" i="15"/>
  <c r="T44693" i="15"/>
  <c r="T44692" i="15"/>
  <c r="T44691" i="15"/>
  <c r="T44690" i="15"/>
  <c r="T44689" i="15"/>
  <c r="T44688" i="15"/>
  <c r="T44687" i="15"/>
  <c r="T44686" i="15"/>
  <c r="T44685" i="15"/>
  <c r="T44684" i="15"/>
  <c r="T44683" i="15"/>
  <c r="T44682" i="15"/>
  <c r="T44681" i="15"/>
  <c r="T44680" i="15"/>
  <c r="T44679" i="15"/>
  <c r="T44678" i="15"/>
  <c r="T44677" i="15"/>
  <c r="T44676" i="15"/>
  <c r="T44675" i="15"/>
  <c r="T44674" i="15"/>
  <c r="T44673" i="15"/>
  <c r="T44672" i="15"/>
  <c r="T44671" i="15"/>
  <c r="T44670" i="15"/>
  <c r="T44669" i="15"/>
  <c r="T44668" i="15"/>
  <c r="T44667" i="15"/>
  <c r="T44666" i="15"/>
  <c r="T44665" i="15"/>
  <c r="T44664" i="15"/>
  <c r="T44663" i="15"/>
  <c r="T44662" i="15"/>
  <c r="T44661" i="15"/>
  <c r="T44660" i="15"/>
  <c r="T44659" i="15"/>
  <c r="T44658" i="15"/>
  <c r="T44657" i="15"/>
  <c r="T44656" i="15"/>
  <c r="T44655" i="15"/>
  <c r="T44654" i="15"/>
  <c r="T44653" i="15"/>
  <c r="T44652" i="15"/>
  <c r="T44651" i="15"/>
  <c r="T44650" i="15"/>
  <c r="T44649" i="15"/>
  <c r="T44648" i="15"/>
  <c r="T44647" i="15"/>
  <c r="T44646" i="15"/>
  <c r="T44645" i="15"/>
  <c r="T44644" i="15"/>
  <c r="T44643" i="15"/>
  <c r="T44642" i="15"/>
  <c r="T44641" i="15"/>
  <c r="T44640" i="15"/>
  <c r="T44639" i="15"/>
  <c r="T44638" i="15"/>
  <c r="T44637" i="15"/>
  <c r="T44636" i="15"/>
  <c r="T44635" i="15"/>
  <c r="T44634" i="15"/>
  <c r="T44633" i="15"/>
  <c r="T44632" i="15"/>
  <c r="T44631" i="15"/>
  <c r="T44630" i="15"/>
  <c r="T44629" i="15"/>
  <c r="T44628" i="15"/>
  <c r="T44627" i="15"/>
  <c r="T44626" i="15"/>
  <c r="T44625" i="15"/>
  <c r="T44624" i="15"/>
  <c r="T44623" i="15"/>
  <c r="T44622" i="15"/>
  <c r="T44621" i="15"/>
  <c r="T44620" i="15"/>
  <c r="T44619" i="15"/>
  <c r="T44618" i="15"/>
  <c r="T44617" i="15"/>
  <c r="T44616" i="15"/>
  <c r="T44615" i="15"/>
  <c r="T44614" i="15"/>
  <c r="T44613" i="15"/>
  <c r="T44612" i="15"/>
  <c r="T44611" i="15"/>
  <c r="T44610" i="15"/>
  <c r="T44609" i="15"/>
  <c r="T44608" i="15"/>
  <c r="T44607" i="15"/>
  <c r="T44606" i="15"/>
  <c r="T44605" i="15"/>
  <c r="T44604" i="15"/>
  <c r="T44603" i="15"/>
  <c r="T44602" i="15"/>
  <c r="T44601" i="15"/>
  <c r="T44600" i="15"/>
  <c r="T44599" i="15"/>
  <c r="T44598" i="15"/>
  <c r="T44597" i="15"/>
  <c r="T44596" i="15"/>
  <c r="T44595" i="15"/>
  <c r="T44594" i="15"/>
  <c r="T44593" i="15"/>
  <c r="T44592" i="15"/>
  <c r="T44591" i="15"/>
  <c r="T44590" i="15"/>
  <c r="T44589" i="15"/>
  <c r="T44588" i="15"/>
  <c r="T44587" i="15"/>
  <c r="T44586" i="15"/>
  <c r="T44585" i="15"/>
  <c r="T44584" i="15"/>
  <c r="T44583" i="15"/>
  <c r="T44582" i="15"/>
  <c r="T44581" i="15"/>
  <c r="T44580" i="15"/>
  <c r="T44579" i="15"/>
  <c r="T44578" i="15"/>
  <c r="T44577" i="15"/>
  <c r="T44576" i="15"/>
  <c r="T44575" i="15"/>
  <c r="T44574" i="15"/>
  <c r="T44573" i="15"/>
  <c r="T44572" i="15"/>
  <c r="T44571" i="15"/>
  <c r="T44570" i="15"/>
  <c r="T44569" i="15"/>
  <c r="T44568" i="15"/>
  <c r="T44567" i="15"/>
  <c r="T44566" i="15"/>
  <c r="T44565" i="15"/>
  <c r="T44564" i="15"/>
  <c r="T44563" i="15"/>
  <c r="T44562" i="15"/>
  <c r="T44561" i="15"/>
  <c r="T44560" i="15"/>
  <c r="T44559" i="15"/>
  <c r="T44558" i="15"/>
  <c r="T44557" i="15"/>
  <c r="T44556" i="15"/>
  <c r="T44555" i="15"/>
  <c r="T44554" i="15"/>
  <c r="T44553" i="15"/>
  <c r="T44552" i="15"/>
  <c r="T44551" i="15"/>
  <c r="T44550" i="15"/>
  <c r="T44549" i="15"/>
  <c r="T44548" i="15"/>
  <c r="T44547" i="15"/>
  <c r="T44546" i="15"/>
  <c r="T44545" i="15"/>
  <c r="T44544" i="15"/>
  <c r="T44543" i="15"/>
  <c r="T44542" i="15"/>
  <c r="T44541" i="15"/>
  <c r="T44540" i="15"/>
  <c r="T44539" i="15"/>
  <c r="T44538" i="15"/>
  <c r="T44537" i="15"/>
  <c r="T44536" i="15"/>
  <c r="T44535" i="15"/>
  <c r="T44534" i="15"/>
  <c r="T44533" i="15"/>
  <c r="T44532" i="15"/>
  <c r="T44531" i="15"/>
  <c r="T44530" i="15"/>
  <c r="T44529" i="15"/>
  <c r="T44528" i="15"/>
  <c r="T44527" i="15"/>
  <c r="T44526" i="15"/>
  <c r="T44525" i="15"/>
  <c r="T44524" i="15"/>
  <c r="T44523" i="15"/>
  <c r="T44522" i="15"/>
  <c r="T44521" i="15"/>
  <c r="T44520" i="15"/>
  <c r="T44519" i="15"/>
  <c r="T44518" i="15"/>
  <c r="T44517" i="15"/>
  <c r="T44516" i="15"/>
  <c r="T44515" i="15"/>
  <c r="T44514" i="15"/>
  <c r="T44513" i="15"/>
  <c r="T44512" i="15"/>
  <c r="T44511" i="15"/>
  <c r="T44510" i="15"/>
  <c r="T44509" i="15"/>
  <c r="T44508" i="15"/>
  <c r="T44507" i="15"/>
  <c r="T44506" i="15"/>
  <c r="T44505" i="15"/>
  <c r="T44504" i="15"/>
  <c r="T44503" i="15"/>
  <c r="T44502" i="15"/>
  <c r="T44501" i="15"/>
  <c r="T44500" i="15"/>
  <c r="T44499" i="15"/>
  <c r="T44498" i="15"/>
  <c r="T44497" i="15"/>
  <c r="T44496" i="15"/>
  <c r="T44495" i="15"/>
  <c r="T44494" i="15"/>
  <c r="T44493" i="15"/>
  <c r="T44492" i="15"/>
  <c r="T44491" i="15"/>
  <c r="T44490" i="15"/>
  <c r="T44489" i="15"/>
  <c r="T44488" i="15"/>
  <c r="T44487" i="15"/>
  <c r="T44486" i="15"/>
  <c r="T44485" i="15"/>
  <c r="T44484" i="15"/>
  <c r="T44483" i="15"/>
  <c r="T44482" i="15"/>
  <c r="T44481" i="15"/>
  <c r="T44480" i="15"/>
  <c r="T44479" i="15"/>
  <c r="T44478" i="15"/>
  <c r="T44477" i="15"/>
  <c r="T44476" i="15"/>
  <c r="T44475" i="15"/>
  <c r="T44474" i="15"/>
  <c r="T44473" i="15"/>
  <c r="T44472" i="15"/>
  <c r="T44471" i="15"/>
  <c r="T44470" i="15"/>
  <c r="T44469" i="15"/>
  <c r="T44468" i="15"/>
  <c r="T44467" i="15"/>
  <c r="T44466" i="15"/>
  <c r="T44465" i="15"/>
  <c r="T44464" i="15"/>
  <c r="T44463" i="15"/>
  <c r="T44462" i="15"/>
  <c r="T44461" i="15"/>
  <c r="T44460" i="15"/>
  <c r="T44459" i="15"/>
  <c r="T44458" i="15"/>
  <c r="T44457" i="15"/>
  <c r="T44456" i="15"/>
  <c r="T44455" i="15"/>
  <c r="T44454" i="15"/>
  <c r="T44453" i="15"/>
  <c r="T44452" i="15"/>
  <c r="T44451" i="15"/>
  <c r="T44450" i="15"/>
  <c r="T44449" i="15"/>
  <c r="T44448" i="15"/>
  <c r="T44447" i="15"/>
  <c r="T44446" i="15"/>
  <c r="T44445" i="15"/>
  <c r="T44444" i="15"/>
  <c r="T44443" i="15"/>
  <c r="T44442" i="15"/>
  <c r="T44441" i="15"/>
  <c r="T44440" i="15"/>
  <c r="T44439" i="15"/>
  <c r="T44438" i="15"/>
  <c r="T44437" i="15"/>
  <c r="T44436" i="15"/>
  <c r="T44435" i="15"/>
  <c r="T44434" i="15"/>
  <c r="T44433" i="15"/>
  <c r="T44432" i="15"/>
  <c r="T44431" i="15"/>
  <c r="T44430" i="15"/>
  <c r="T44429" i="15"/>
  <c r="T44428" i="15"/>
  <c r="T44427" i="15"/>
  <c r="T44426" i="15"/>
  <c r="T44425" i="15"/>
  <c r="T44424" i="15"/>
  <c r="T44423" i="15"/>
  <c r="T44422" i="15"/>
  <c r="T44421" i="15"/>
  <c r="T44420" i="15"/>
  <c r="T44419" i="15"/>
  <c r="T44418" i="15"/>
  <c r="T44417" i="15"/>
  <c r="T44416" i="15"/>
  <c r="T44415" i="15"/>
  <c r="T44414" i="15"/>
  <c r="T44413" i="15"/>
  <c r="T44412" i="15"/>
  <c r="T44411" i="15"/>
  <c r="T44410" i="15"/>
  <c r="T44409" i="15"/>
  <c r="T44408" i="15"/>
  <c r="T44407" i="15"/>
  <c r="T44406" i="15"/>
  <c r="T44405" i="15"/>
  <c r="T44404" i="15"/>
  <c r="T44403" i="15"/>
  <c r="T44402" i="15"/>
  <c r="T44401" i="15"/>
  <c r="T44400" i="15"/>
  <c r="T44399" i="15"/>
  <c r="T44398" i="15"/>
  <c r="T44397" i="15"/>
  <c r="T44396" i="15"/>
  <c r="T44395" i="15"/>
  <c r="T44394" i="15"/>
  <c r="T44393" i="15"/>
  <c r="T44392" i="15"/>
  <c r="T44391" i="15"/>
  <c r="T44390" i="15"/>
  <c r="T44389" i="15"/>
  <c r="T44388" i="15"/>
  <c r="T44387" i="15"/>
  <c r="T44386" i="15"/>
  <c r="T44385" i="15"/>
  <c r="T44384" i="15"/>
  <c r="T44383" i="15"/>
  <c r="T44382" i="15"/>
  <c r="T44381" i="15"/>
  <c r="T44380" i="15"/>
  <c r="T44379" i="15"/>
  <c r="T44378" i="15"/>
  <c r="T44377" i="15"/>
  <c r="T44376" i="15"/>
  <c r="T44375" i="15"/>
  <c r="T44374" i="15"/>
  <c r="T44373" i="15"/>
  <c r="T44372" i="15"/>
  <c r="T44371" i="15"/>
  <c r="T44370" i="15"/>
  <c r="T44369" i="15"/>
  <c r="T44368" i="15"/>
  <c r="T44367" i="15"/>
  <c r="T44366" i="15"/>
  <c r="T44365" i="15"/>
  <c r="T44364" i="15"/>
  <c r="T44363" i="15"/>
  <c r="T44362" i="15"/>
  <c r="T44361" i="15"/>
  <c r="T44360" i="15"/>
  <c r="T44359" i="15"/>
  <c r="T44358" i="15"/>
  <c r="T44357" i="15"/>
  <c r="T44356" i="15"/>
  <c r="T44355" i="15"/>
  <c r="T44354" i="15"/>
  <c r="T44353" i="15"/>
  <c r="T44352" i="15"/>
  <c r="T44351" i="15"/>
  <c r="T44350" i="15"/>
  <c r="T44349" i="15"/>
  <c r="T44348" i="15"/>
  <c r="T44347" i="15"/>
  <c r="T44346" i="15"/>
  <c r="T44345" i="15"/>
  <c r="T44344" i="15"/>
  <c r="T44343" i="15"/>
  <c r="T44342" i="15"/>
  <c r="T44341" i="15"/>
  <c r="T44340" i="15"/>
  <c r="T44339" i="15"/>
  <c r="T44338" i="15"/>
  <c r="T44337" i="15"/>
  <c r="T44336" i="15"/>
  <c r="T44335" i="15"/>
  <c r="T44334" i="15"/>
  <c r="T44333" i="15"/>
  <c r="T44332" i="15"/>
  <c r="T44331" i="15"/>
  <c r="T44330" i="15"/>
  <c r="T44329" i="15"/>
  <c r="T44328" i="15"/>
  <c r="T44327" i="15"/>
  <c r="T44326" i="15"/>
  <c r="T44325" i="15"/>
  <c r="T44324" i="15"/>
  <c r="T44323" i="15"/>
  <c r="T44322" i="15"/>
  <c r="T44321" i="15"/>
  <c r="T44320" i="15"/>
  <c r="T44319" i="15"/>
  <c r="T44318" i="15"/>
  <c r="T44317" i="15"/>
  <c r="T44316" i="15"/>
  <c r="T44315" i="15"/>
  <c r="T44314" i="15"/>
  <c r="T44313" i="15"/>
  <c r="T44312" i="15"/>
  <c r="T44311" i="15"/>
  <c r="T44310" i="15"/>
  <c r="T44309" i="15"/>
  <c r="T44308" i="15"/>
  <c r="T44307" i="15"/>
  <c r="T44306" i="15"/>
  <c r="T44305" i="15"/>
  <c r="T44304" i="15"/>
  <c r="T44303" i="15"/>
  <c r="T44302" i="15"/>
  <c r="T44301" i="15"/>
  <c r="T44300" i="15"/>
  <c r="T44299" i="15"/>
  <c r="T44298" i="15"/>
  <c r="T44297" i="15"/>
  <c r="T44296" i="15"/>
  <c r="T44295" i="15"/>
  <c r="T44294" i="15"/>
  <c r="T44293" i="15"/>
  <c r="T44292" i="15"/>
  <c r="T44291" i="15"/>
  <c r="T44290" i="15"/>
  <c r="T44289" i="15"/>
  <c r="T44288" i="15"/>
  <c r="T44287" i="15"/>
  <c r="T44286" i="15"/>
  <c r="T44285" i="15"/>
  <c r="T44284" i="15"/>
  <c r="T44283" i="15"/>
  <c r="T44282" i="15"/>
  <c r="T44281" i="15"/>
  <c r="T44280" i="15"/>
  <c r="T44279" i="15"/>
  <c r="T44278" i="15"/>
  <c r="T44277" i="15"/>
  <c r="T44276" i="15"/>
  <c r="T44275" i="15"/>
  <c r="T44274" i="15"/>
  <c r="T44273" i="15"/>
  <c r="T44272" i="15"/>
  <c r="T44271" i="15"/>
  <c r="T44270" i="15"/>
  <c r="T44269" i="15"/>
  <c r="T44268" i="15"/>
  <c r="T44267" i="15"/>
  <c r="T44266" i="15"/>
  <c r="T44265" i="15"/>
  <c r="T44264" i="15"/>
  <c r="T44263" i="15"/>
  <c r="T44262" i="15"/>
  <c r="T44261" i="15"/>
  <c r="T44260" i="15"/>
  <c r="T44259" i="15"/>
  <c r="T44258" i="15"/>
  <c r="T44257" i="15"/>
  <c r="T44256" i="15"/>
  <c r="T44255" i="15"/>
  <c r="T44254" i="15"/>
  <c r="T44253" i="15"/>
  <c r="T44252" i="15"/>
  <c r="T44251" i="15"/>
  <c r="T44250" i="15"/>
  <c r="T44249" i="15"/>
  <c r="T44248" i="15"/>
  <c r="T44247" i="15"/>
  <c r="T44246" i="15"/>
  <c r="T44245" i="15"/>
  <c r="T44244" i="15"/>
  <c r="T44243" i="15"/>
  <c r="T44242" i="15"/>
  <c r="T44241" i="15"/>
  <c r="T44240" i="15"/>
  <c r="T44239" i="15"/>
  <c r="T44238" i="15"/>
  <c r="T44237" i="15"/>
  <c r="T44236" i="15"/>
  <c r="T44235" i="15"/>
  <c r="T44234" i="15"/>
  <c r="T44233" i="15"/>
  <c r="T44232" i="15"/>
  <c r="T44231" i="15"/>
  <c r="T44230" i="15"/>
  <c r="T44229" i="15"/>
  <c r="T44228" i="15"/>
  <c r="T44227" i="15"/>
  <c r="T44226" i="15"/>
  <c r="T44225" i="15"/>
  <c r="T44224" i="15"/>
  <c r="T44223" i="15"/>
  <c r="T44222" i="15"/>
  <c r="T44221" i="15"/>
  <c r="T44220" i="15"/>
  <c r="T44219" i="15"/>
  <c r="T44218" i="15"/>
  <c r="T44217" i="15"/>
  <c r="T44216" i="15"/>
  <c r="T44215" i="15"/>
  <c r="T44214" i="15"/>
  <c r="T44213" i="15"/>
  <c r="T44212" i="15"/>
  <c r="T44211" i="15"/>
  <c r="T44210" i="15"/>
  <c r="T44209" i="15"/>
  <c r="T44208" i="15"/>
  <c r="T44207" i="15"/>
  <c r="T44206" i="15"/>
  <c r="T44205" i="15"/>
  <c r="T44204" i="15"/>
  <c r="T44203" i="15"/>
  <c r="T44202" i="15"/>
  <c r="T44201" i="15"/>
  <c r="T44200" i="15"/>
  <c r="T44199" i="15"/>
  <c r="T44198" i="15"/>
  <c r="T44197" i="15"/>
  <c r="T44196" i="15"/>
  <c r="T44195" i="15"/>
  <c r="T44194" i="15"/>
  <c r="T44193" i="15"/>
  <c r="T44192" i="15"/>
  <c r="T44191" i="15"/>
  <c r="T44190" i="15"/>
  <c r="T44189" i="15"/>
  <c r="T44188" i="15"/>
  <c r="T44187" i="15"/>
  <c r="T44186" i="15"/>
  <c r="T44185" i="15"/>
  <c r="T44184" i="15"/>
  <c r="T44183" i="15"/>
  <c r="T44182" i="15"/>
  <c r="T44181" i="15"/>
  <c r="T44180" i="15"/>
  <c r="T44179" i="15"/>
  <c r="T44178" i="15"/>
  <c r="T44177" i="15"/>
  <c r="T44176" i="15"/>
  <c r="T44175" i="15"/>
  <c r="T44174" i="15"/>
  <c r="T44173" i="15"/>
  <c r="T44172" i="15"/>
  <c r="T44171" i="15"/>
  <c r="T44170" i="15"/>
  <c r="T44169" i="15"/>
  <c r="T44168" i="15"/>
  <c r="T44167" i="15"/>
  <c r="T44166" i="15"/>
  <c r="T44165" i="15"/>
  <c r="T44164" i="15"/>
  <c r="T44163" i="15"/>
  <c r="T44162" i="15"/>
  <c r="T44161" i="15"/>
  <c r="T44160" i="15"/>
  <c r="T44159" i="15"/>
  <c r="T44158" i="15"/>
  <c r="T44157" i="15"/>
  <c r="T44156" i="15"/>
  <c r="T44155" i="15"/>
  <c r="T44154" i="15"/>
  <c r="T44153" i="15"/>
  <c r="T44152" i="15"/>
  <c r="T44151" i="15"/>
  <c r="T44150" i="15"/>
  <c r="T44149" i="15"/>
  <c r="T44148" i="15"/>
  <c r="T44147" i="15"/>
  <c r="T44146" i="15"/>
  <c r="T44145" i="15"/>
  <c r="T44144" i="15"/>
  <c r="T44143" i="15"/>
  <c r="T44142" i="15"/>
  <c r="T44141" i="15"/>
  <c r="T44140" i="15"/>
  <c r="T44139" i="15"/>
  <c r="T44138" i="15"/>
  <c r="T44137" i="15"/>
  <c r="T44136" i="15"/>
  <c r="T44135" i="15"/>
  <c r="T44134" i="15"/>
  <c r="T44133" i="15"/>
  <c r="T44132" i="15"/>
  <c r="T44131" i="15"/>
  <c r="T44130" i="15"/>
  <c r="T44129" i="15"/>
  <c r="T44128" i="15"/>
  <c r="T44127" i="15"/>
  <c r="T44126" i="15"/>
  <c r="T44125" i="15"/>
  <c r="T44124" i="15"/>
  <c r="T44123" i="15"/>
  <c r="T44122" i="15"/>
  <c r="T44121" i="15"/>
  <c r="T44120" i="15"/>
  <c r="T44119" i="15"/>
  <c r="T44118" i="15"/>
  <c r="T44117" i="15"/>
  <c r="T44116" i="15"/>
  <c r="T44115" i="15"/>
  <c r="T44114" i="15"/>
  <c r="T44113" i="15"/>
  <c r="T44112" i="15"/>
  <c r="T44111" i="15"/>
  <c r="T44110" i="15"/>
  <c r="T44109" i="15"/>
  <c r="T44108" i="15"/>
  <c r="T44107" i="15"/>
  <c r="T44106" i="15"/>
  <c r="T44105" i="15"/>
  <c r="T44104" i="15"/>
  <c r="T44103" i="15"/>
  <c r="T44102" i="15"/>
  <c r="T44101" i="15"/>
  <c r="T44100" i="15"/>
  <c r="T44099" i="15"/>
  <c r="T44098" i="15"/>
  <c r="T44097" i="15"/>
  <c r="T44096" i="15"/>
  <c r="T44095" i="15"/>
  <c r="T44094" i="15"/>
  <c r="T44093" i="15"/>
  <c r="T44092" i="15"/>
  <c r="T44091" i="15"/>
  <c r="T44090" i="15"/>
  <c r="T44089" i="15"/>
  <c r="T44088" i="15"/>
  <c r="T44087" i="15"/>
  <c r="T44086" i="15"/>
  <c r="T44085" i="15"/>
  <c r="T44084" i="15"/>
  <c r="T44083" i="15"/>
  <c r="T44082" i="15"/>
  <c r="T44081" i="15"/>
  <c r="T44080" i="15"/>
  <c r="T44079" i="15"/>
  <c r="T44078" i="15"/>
  <c r="T44077" i="15"/>
  <c r="T44076" i="15"/>
  <c r="T44075" i="15"/>
  <c r="T44074" i="15"/>
  <c r="T44073" i="15"/>
  <c r="T44072" i="15"/>
  <c r="T44071" i="15"/>
  <c r="T44070" i="15"/>
  <c r="T44069" i="15"/>
  <c r="T44068" i="15"/>
  <c r="T44067" i="15"/>
  <c r="T44066" i="15"/>
  <c r="T44065" i="15"/>
  <c r="T44064" i="15"/>
  <c r="T44063" i="15"/>
  <c r="T44062" i="15"/>
  <c r="T44061" i="15"/>
  <c r="T44060" i="15"/>
  <c r="T44059" i="15"/>
  <c r="T44058" i="15"/>
  <c r="T44057" i="15"/>
  <c r="T44056" i="15"/>
  <c r="T44055" i="15"/>
  <c r="T44054" i="15"/>
  <c r="T44053" i="15"/>
  <c r="T44052" i="15"/>
  <c r="T44051" i="15"/>
  <c r="T44050" i="15"/>
  <c r="T44049" i="15"/>
  <c r="T44048" i="15"/>
  <c r="T44047" i="15"/>
  <c r="T44046" i="15"/>
  <c r="T44045" i="15"/>
  <c r="T44044" i="15"/>
  <c r="T44043" i="15"/>
  <c r="T44042" i="15"/>
  <c r="T44041" i="15"/>
  <c r="T44040" i="15"/>
  <c r="T44039" i="15"/>
  <c r="T44038" i="15"/>
  <c r="T44037" i="15"/>
  <c r="T44036" i="15"/>
  <c r="T44035" i="15"/>
  <c r="T44034" i="15"/>
  <c r="T44033" i="15"/>
  <c r="T44032" i="15"/>
  <c r="T44031" i="15"/>
  <c r="T44030" i="15"/>
  <c r="T44029" i="15"/>
  <c r="T44028" i="15"/>
  <c r="T44027" i="15"/>
  <c r="T44026" i="15"/>
  <c r="T44025" i="15"/>
  <c r="T44024" i="15"/>
  <c r="T44023" i="15"/>
  <c r="T44022" i="15"/>
  <c r="T44021" i="15"/>
  <c r="T44020" i="15"/>
  <c r="T44019" i="15"/>
  <c r="T44018" i="15"/>
  <c r="T44017" i="15"/>
  <c r="T44016" i="15"/>
  <c r="T44015" i="15"/>
  <c r="T44014" i="15"/>
  <c r="T44013" i="15"/>
  <c r="T44012" i="15"/>
  <c r="T44011" i="15"/>
  <c r="T44010" i="15"/>
  <c r="T44009" i="15"/>
  <c r="T44008" i="15"/>
  <c r="T44007" i="15"/>
  <c r="T44006" i="15"/>
  <c r="T44005" i="15"/>
  <c r="T44004" i="15"/>
  <c r="T44003" i="15"/>
  <c r="T44002" i="15"/>
  <c r="T44001" i="15"/>
  <c r="T44000" i="15"/>
  <c r="T43999" i="15"/>
  <c r="T43998" i="15"/>
  <c r="T43997" i="15"/>
  <c r="T43996" i="15"/>
  <c r="T43995" i="15"/>
  <c r="T43994" i="15"/>
  <c r="T43993" i="15"/>
  <c r="T43992" i="15"/>
  <c r="T43991" i="15"/>
  <c r="T43990" i="15"/>
  <c r="T43989" i="15"/>
  <c r="T43988" i="15"/>
  <c r="T43987" i="15"/>
  <c r="T43986" i="15"/>
  <c r="T43985" i="15"/>
  <c r="T43984" i="15"/>
  <c r="T43983" i="15"/>
  <c r="T43982" i="15"/>
  <c r="T43981" i="15"/>
  <c r="T43980" i="15"/>
  <c r="T43979" i="15"/>
  <c r="T43978" i="15"/>
  <c r="T43977" i="15"/>
  <c r="T43976" i="15"/>
  <c r="T43975" i="15"/>
  <c r="T43974" i="15"/>
  <c r="T43973" i="15"/>
  <c r="T43972" i="15"/>
  <c r="T43971" i="15"/>
  <c r="T43970" i="15"/>
  <c r="T43969" i="15"/>
  <c r="T43968" i="15"/>
  <c r="T43967" i="15"/>
  <c r="T43966" i="15"/>
  <c r="T43965" i="15"/>
  <c r="T43964" i="15"/>
  <c r="T43963" i="15"/>
  <c r="T43962" i="15"/>
  <c r="T43961" i="15"/>
  <c r="T43960" i="15"/>
  <c r="T43959" i="15"/>
  <c r="T43958" i="15"/>
  <c r="T43957" i="15"/>
  <c r="T43956" i="15"/>
  <c r="T43955" i="15"/>
  <c r="T43954" i="15"/>
  <c r="T43953" i="15"/>
  <c r="T43952" i="15"/>
  <c r="T43951" i="15"/>
  <c r="T43950" i="15"/>
  <c r="T43949" i="15"/>
  <c r="T43948" i="15"/>
  <c r="T43947" i="15"/>
  <c r="T43946" i="15"/>
  <c r="T43945" i="15"/>
  <c r="T43944" i="15"/>
  <c r="T43943" i="15"/>
  <c r="T43942" i="15"/>
  <c r="T43941" i="15"/>
  <c r="T43940" i="15"/>
  <c r="T43939" i="15"/>
  <c r="T43938" i="15"/>
  <c r="T43937" i="15"/>
  <c r="T43936" i="15"/>
  <c r="T43935" i="15"/>
  <c r="T43934" i="15"/>
  <c r="T43933" i="15"/>
  <c r="T43932" i="15"/>
  <c r="T43931" i="15"/>
  <c r="T43930" i="15"/>
  <c r="T43929" i="15"/>
  <c r="T43928" i="15"/>
  <c r="T43927" i="15"/>
  <c r="T43926" i="15"/>
  <c r="T43925" i="15"/>
  <c r="T43924" i="15"/>
  <c r="T43923" i="15"/>
  <c r="T43922" i="15"/>
  <c r="T43921" i="15"/>
  <c r="T43920" i="15"/>
  <c r="T43919" i="15"/>
  <c r="T43918" i="15"/>
  <c r="T43917" i="15"/>
  <c r="T43916" i="15"/>
  <c r="T43915" i="15"/>
  <c r="T43914" i="15"/>
  <c r="T43913" i="15"/>
  <c r="T43912" i="15"/>
  <c r="T43911" i="15"/>
  <c r="T43910" i="15"/>
  <c r="T43909" i="15"/>
  <c r="T43908" i="15"/>
  <c r="T43907" i="15"/>
  <c r="T43906" i="15"/>
  <c r="T43905" i="15"/>
  <c r="T43904" i="15"/>
  <c r="T43903" i="15"/>
  <c r="T43902" i="15"/>
  <c r="T43901" i="15"/>
  <c r="T43900" i="15"/>
  <c r="T43899" i="15"/>
  <c r="T43898" i="15"/>
  <c r="T43897" i="15"/>
  <c r="T43896" i="15"/>
  <c r="T43895" i="15"/>
  <c r="T43894" i="15"/>
  <c r="T43893" i="15"/>
  <c r="T43892" i="15"/>
  <c r="T43891" i="15"/>
  <c r="T43890" i="15"/>
  <c r="T43889" i="15"/>
  <c r="T43888" i="15"/>
  <c r="T43887" i="15"/>
  <c r="T43886" i="15"/>
  <c r="T43885" i="15"/>
  <c r="T43884" i="15"/>
  <c r="T43883" i="15"/>
  <c r="T43882" i="15"/>
  <c r="T43881" i="15"/>
  <c r="T43880" i="15"/>
  <c r="T43879" i="15"/>
  <c r="T43878" i="15"/>
  <c r="T43877" i="15"/>
  <c r="T43876" i="15"/>
  <c r="T43875" i="15"/>
  <c r="T43874" i="15"/>
  <c r="T43873" i="15"/>
  <c r="T43872" i="15"/>
  <c r="T43871" i="15"/>
  <c r="T43870" i="15"/>
  <c r="T43869" i="15"/>
  <c r="T43868" i="15"/>
  <c r="T43867" i="15"/>
  <c r="T43866" i="15"/>
  <c r="T43865" i="15"/>
  <c r="T43864" i="15"/>
  <c r="T43863" i="15"/>
  <c r="T43862" i="15"/>
  <c r="T43861" i="15"/>
  <c r="T43860" i="15"/>
  <c r="T43859" i="15"/>
  <c r="T43858" i="15"/>
  <c r="T43857" i="15"/>
  <c r="T43856" i="15"/>
  <c r="T43855" i="15"/>
  <c r="T43854" i="15"/>
  <c r="T43853" i="15"/>
  <c r="T43852" i="15"/>
  <c r="T43851" i="15"/>
  <c r="T43850" i="15"/>
  <c r="T43849" i="15"/>
  <c r="T43848" i="15"/>
  <c r="T43847" i="15"/>
  <c r="T43846" i="15"/>
  <c r="T43845" i="15"/>
  <c r="T43844" i="15"/>
  <c r="T43843" i="15"/>
  <c r="T43842" i="15"/>
  <c r="T43841" i="15"/>
  <c r="T43840" i="15"/>
  <c r="T43839" i="15"/>
  <c r="T43838" i="15"/>
  <c r="T43837" i="15"/>
  <c r="T43836" i="15"/>
  <c r="T43835" i="15"/>
  <c r="T43834" i="15"/>
  <c r="T43833" i="15"/>
  <c r="T43832" i="15"/>
  <c r="T43831" i="15"/>
  <c r="T43830" i="15"/>
  <c r="T43829" i="15"/>
  <c r="T43828" i="15"/>
  <c r="T43827" i="15"/>
  <c r="T43826" i="15"/>
  <c r="T43825" i="15"/>
  <c r="T43824" i="15"/>
  <c r="T43823" i="15"/>
  <c r="T43822" i="15"/>
  <c r="T43821" i="15"/>
  <c r="T43820" i="15"/>
  <c r="T43819" i="15"/>
  <c r="T43818" i="15"/>
  <c r="T43817" i="15"/>
  <c r="T43816" i="15"/>
  <c r="T43815" i="15"/>
  <c r="T43814" i="15"/>
  <c r="T43813" i="15"/>
  <c r="T43812" i="15"/>
  <c r="T43811" i="15"/>
  <c r="T43810" i="15"/>
  <c r="T43809" i="15"/>
  <c r="T43808" i="15"/>
  <c r="T43807" i="15"/>
  <c r="T43806" i="15"/>
  <c r="T43805" i="15"/>
  <c r="T43804" i="15"/>
  <c r="T43803" i="15"/>
  <c r="T43802" i="15"/>
  <c r="T43801" i="15"/>
  <c r="T43800" i="15"/>
  <c r="T43799" i="15"/>
  <c r="T43798" i="15"/>
  <c r="T43797" i="15"/>
  <c r="T43796" i="15"/>
  <c r="T43795" i="15"/>
  <c r="T43794" i="15"/>
  <c r="T43793" i="15"/>
  <c r="T43792" i="15"/>
  <c r="T43791" i="15"/>
  <c r="T43790" i="15"/>
  <c r="T43789" i="15"/>
  <c r="T43788" i="15"/>
  <c r="T43787" i="15"/>
  <c r="T43786" i="15"/>
  <c r="T43785" i="15"/>
  <c r="T43784" i="15"/>
  <c r="T43783" i="15"/>
  <c r="T43782" i="15"/>
  <c r="T43781" i="15"/>
  <c r="T43780" i="15"/>
  <c r="T43779" i="15"/>
  <c r="T43778" i="15"/>
  <c r="T43777" i="15"/>
  <c r="T43776" i="15"/>
  <c r="T43775" i="15"/>
  <c r="T43774" i="15"/>
  <c r="T43773" i="15"/>
  <c r="T43772" i="15"/>
  <c r="T43771" i="15"/>
  <c r="T43770" i="15"/>
  <c r="T43769" i="15"/>
  <c r="T43768" i="15"/>
  <c r="T43767" i="15"/>
  <c r="T43766" i="15"/>
  <c r="T43765" i="15"/>
  <c r="T43764" i="15"/>
  <c r="T43763" i="15"/>
  <c r="T43762" i="15"/>
  <c r="T43761" i="15"/>
  <c r="T43760" i="15"/>
  <c r="T43759" i="15"/>
  <c r="T43758" i="15"/>
  <c r="T43757" i="15"/>
  <c r="T43756" i="15"/>
  <c r="T43755" i="15"/>
  <c r="T43754" i="15"/>
  <c r="T43753" i="15"/>
  <c r="T43752" i="15"/>
  <c r="T43751" i="15"/>
  <c r="T43750" i="15"/>
  <c r="T43749" i="15"/>
  <c r="T43748" i="15"/>
  <c r="T43747" i="15"/>
  <c r="T43746" i="15"/>
  <c r="T43745" i="15"/>
  <c r="T43744" i="15"/>
  <c r="T43743" i="15"/>
  <c r="T43742" i="15"/>
  <c r="T43741" i="15"/>
  <c r="T43740" i="15"/>
  <c r="T43739" i="15"/>
  <c r="T43738" i="15"/>
  <c r="T43737" i="15"/>
  <c r="T43736" i="15"/>
  <c r="T43735" i="15"/>
  <c r="T43734" i="15"/>
  <c r="T43733" i="15"/>
  <c r="T43732" i="15"/>
  <c r="T43731" i="15"/>
  <c r="T43730" i="15"/>
  <c r="T43729" i="15"/>
  <c r="T43728" i="15"/>
  <c r="T43727" i="15"/>
  <c r="T43726" i="15"/>
  <c r="T43725" i="15"/>
  <c r="T43724" i="15"/>
  <c r="T43723" i="15"/>
  <c r="T43722" i="15"/>
  <c r="T43721" i="15"/>
  <c r="T43720" i="15"/>
  <c r="T43719" i="15"/>
  <c r="T43718" i="15"/>
  <c r="T43717" i="15"/>
  <c r="T43716" i="15"/>
  <c r="T43715" i="15"/>
  <c r="T43714" i="15"/>
  <c r="T43713" i="15"/>
  <c r="T43712" i="15"/>
  <c r="T43711" i="15"/>
  <c r="T43710" i="15"/>
  <c r="T43709" i="15"/>
  <c r="T43708" i="15"/>
  <c r="T43707" i="15"/>
  <c r="T43706" i="15"/>
  <c r="T43705" i="15"/>
  <c r="T43704" i="15"/>
  <c r="T43703" i="15"/>
  <c r="T43702" i="15"/>
  <c r="T43701" i="15"/>
  <c r="T43700" i="15"/>
  <c r="T43699" i="15"/>
  <c r="T43698" i="15"/>
  <c r="T43697" i="15"/>
  <c r="T43696" i="15"/>
  <c r="T43695" i="15"/>
  <c r="T43694" i="15"/>
  <c r="T43693" i="15"/>
  <c r="T43692" i="15"/>
  <c r="T43691" i="15"/>
  <c r="T43690" i="15"/>
  <c r="T43689" i="15"/>
  <c r="T43688" i="15"/>
  <c r="T43687" i="15"/>
  <c r="T43686" i="15"/>
  <c r="T43685" i="15"/>
  <c r="T43684" i="15"/>
  <c r="T43683" i="15"/>
  <c r="T43682" i="15"/>
  <c r="T43681" i="15"/>
  <c r="T43680" i="15"/>
  <c r="T43679" i="15"/>
  <c r="T43678" i="15"/>
  <c r="T43677" i="15"/>
  <c r="T43676" i="15"/>
  <c r="T43675" i="15"/>
  <c r="T43674" i="15"/>
  <c r="T43673" i="15"/>
  <c r="T43672" i="15"/>
  <c r="T43671" i="15"/>
  <c r="T43670" i="15"/>
  <c r="T43669" i="15"/>
  <c r="T43668" i="15"/>
  <c r="T43667" i="15"/>
  <c r="T43666" i="15"/>
  <c r="T43665" i="15"/>
  <c r="T43664" i="15"/>
  <c r="T43663" i="15"/>
  <c r="T43662" i="15"/>
  <c r="T43661" i="15"/>
  <c r="T43660" i="15"/>
  <c r="T43659" i="15"/>
  <c r="T43658" i="15"/>
  <c r="T43657" i="15"/>
  <c r="T43656" i="15"/>
  <c r="T43655" i="15"/>
  <c r="T43654" i="15"/>
  <c r="T43653" i="15"/>
  <c r="T43652" i="15"/>
  <c r="T43651" i="15"/>
  <c r="T43650" i="15"/>
  <c r="T43649" i="15"/>
  <c r="T43648" i="15"/>
  <c r="T43647" i="15"/>
  <c r="T43646" i="15"/>
  <c r="T43645" i="15"/>
  <c r="T43644" i="15"/>
  <c r="T43643" i="15"/>
  <c r="T43642" i="15"/>
  <c r="T43641" i="15"/>
  <c r="T43640" i="15"/>
  <c r="T43639" i="15"/>
  <c r="T43638" i="15"/>
  <c r="T43637" i="15"/>
  <c r="T43636" i="15"/>
  <c r="T43635" i="15"/>
  <c r="T43634" i="15"/>
  <c r="T43633" i="15"/>
  <c r="T43632" i="15"/>
  <c r="T43631" i="15"/>
  <c r="T43630" i="15"/>
  <c r="T43629" i="15"/>
  <c r="T43628" i="15"/>
  <c r="T43627" i="15"/>
  <c r="T43626" i="15"/>
  <c r="T43625" i="15"/>
  <c r="T43624" i="15"/>
  <c r="T43623" i="15"/>
  <c r="T43622" i="15"/>
  <c r="T43621" i="15"/>
  <c r="T43620" i="15"/>
  <c r="T43619" i="15"/>
  <c r="T43618" i="15"/>
  <c r="T43617" i="15"/>
  <c r="T43616" i="15"/>
  <c r="T43615" i="15"/>
  <c r="T43614" i="15"/>
  <c r="T43613" i="15"/>
  <c r="T43612" i="15"/>
  <c r="T43611" i="15"/>
  <c r="T43610" i="15"/>
  <c r="T43609" i="15"/>
  <c r="T43608" i="15"/>
  <c r="T43607" i="15"/>
  <c r="T43606" i="15"/>
  <c r="T43605" i="15"/>
  <c r="T43604" i="15"/>
  <c r="T43603" i="15"/>
  <c r="T43602" i="15"/>
  <c r="T43601" i="15"/>
  <c r="T43600" i="15"/>
  <c r="T43599" i="15"/>
  <c r="T43598" i="15"/>
  <c r="T43597" i="15"/>
  <c r="T43596" i="15"/>
  <c r="T43595" i="15"/>
  <c r="T43594" i="15"/>
  <c r="T43593" i="15"/>
  <c r="T43592" i="15"/>
  <c r="T43591" i="15"/>
  <c r="T43590" i="15"/>
  <c r="T43589" i="15"/>
  <c r="T43588" i="15"/>
  <c r="T43587" i="15"/>
  <c r="T43586" i="15"/>
  <c r="T43585" i="15"/>
  <c r="T43584" i="15"/>
  <c r="T43583" i="15"/>
  <c r="T43582" i="15"/>
  <c r="T43581" i="15"/>
  <c r="T43580" i="15"/>
  <c r="T43579" i="15"/>
  <c r="T43578" i="15"/>
  <c r="T43577" i="15"/>
  <c r="T43576" i="15"/>
  <c r="T43575" i="15"/>
  <c r="T43574" i="15"/>
  <c r="T43573" i="15"/>
  <c r="T43572" i="15"/>
  <c r="T43571" i="15"/>
  <c r="T43570" i="15"/>
  <c r="T43569" i="15"/>
  <c r="T43568" i="15"/>
  <c r="T43567" i="15"/>
  <c r="T43566" i="15"/>
  <c r="T43565" i="15"/>
  <c r="T43564" i="15"/>
  <c r="T43563" i="15"/>
  <c r="T43562" i="15"/>
  <c r="T43561" i="15"/>
  <c r="T43560" i="15"/>
  <c r="T43559" i="15"/>
  <c r="T43558" i="15"/>
  <c r="T43557" i="15"/>
  <c r="T43556" i="15"/>
  <c r="T43555" i="15"/>
  <c r="T43554" i="15"/>
  <c r="T43553" i="15"/>
  <c r="T43552" i="15"/>
  <c r="T43551" i="15"/>
  <c r="T43550" i="15"/>
  <c r="T43549" i="15"/>
  <c r="T43548" i="15"/>
  <c r="T43547" i="15"/>
  <c r="T43546" i="15"/>
  <c r="T43545" i="15"/>
  <c r="T43544" i="15"/>
  <c r="T43543" i="15"/>
  <c r="T43542" i="15"/>
  <c r="T43541" i="15"/>
  <c r="T43540" i="15"/>
  <c r="T43539" i="15"/>
  <c r="T43538" i="15"/>
  <c r="T43537" i="15"/>
  <c r="T43536" i="15"/>
  <c r="T43535" i="15"/>
  <c r="T43534" i="15"/>
  <c r="T43533" i="15"/>
  <c r="T43532" i="15"/>
  <c r="T43531" i="15"/>
  <c r="T43530" i="15"/>
  <c r="T43529" i="15"/>
  <c r="T43528" i="15"/>
  <c r="T43527" i="15"/>
  <c r="T43526" i="15"/>
  <c r="T43525" i="15"/>
  <c r="T43524" i="15"/>
  <c r="T43523" i="15"/>
  <c r="T43522" i="15"/>
  <c r="T43521" i="15"/>
  <c r="T43520" i="15"/>
  <c r="T43519" i="15"/>
  <c r="T43518" i="15"/>
  <c r="T43517" i="15"/>
  <c r="T43516" i="15"/>
  <c r="T43515" i="15"/>
  <c r="T43514" i="15"/>
  <c r="T43513" i="15"/>
  <c r="T43512" i="15"/>
  <c r="T43511" i="15"/>
  <c r="T43510" i="15"/>
  <c r="T43509" i="15"/>
  <c r="T43508" i="15"/>
  <c r="T43507" i="15"/>
  <c r="T43506" i="15"/>
  <c r="T43505" i="15"/>
  <c r="T43504" i="15"/>
  <c r="T43503" i="15"/>
  <c r="T43502" i="15"/>
  <c r="T43501" i="15"/>
  <c r="T43500" i="15"/>
  <c r="T43499" i="15"/>
  <c r="T43498" i="15"/>
  <c r="T43497" i="15"/>
  <c r="T43496" i="15"/>
  <c r="T43495" i="15"/>
  <c r="T43494" i="15"/>
  <c r="T43493" i="15"/>
  <c r="T43492" i="15"/>
  <c r="T43491" i="15"/>
  <c r="T43490" i="15"/>
  <c r="T43489" i="15"/>
  <c r="T43488" i="15"/>
  <c r="T43487" i="15"/>
  <c r="T43486" i="15"/>
  <c r="T43485" i="15"/>
  <c r="T43484" i="15"/>
  <c r="T43483" i="15"/>
  <c r="T43482" i="15"/>
  <c r="T43481" i="15"/>
  <c r="T43480" i="15"/>
  <c r="T43479" i="15"/>
  <c r="T43478" i="15"/>
  <c r="T43477" i="15"/>
  <c r="T43476" i="15"/>
  <c r="T43475" i="15"/>
  <c r="T43474" i="15"/>
  <c r="T43473" i="15"/>
  <c r="T43472" i="15"/>
  <c r="T43471" i="15"/>
  <c r="T43470" i="15"/>
  <c r="T43469" i="15"/>
  <c r="T43468" i="15"/>
  <c r="T43467" i="15"/>
  <c r="T43466" i="15"/>
  <c r="T43465" i="15"/>
  <c r="T43464" i="15"/>
  <c r="T43463" i="15"/>
  <c r="T43462" i="15"/>
  <c r="T43461" i="15"/>
  <c r="T43460" i="15"/>
  <c r="T43459" i="15"/>
  <c r="T43458" i="15"/>
  <c r="T43457" i="15"/>
  <c r="T43456" i="15"/>
  <c r="T43455" i="15"/>
  <c r="T43454" i="15"/>
  <c r="T43453" i="15"/>
  <c r="T43452" i="15"/>
  <c r="T43451" i="15"/>
  <c r="T43450" i="15"/>
  <c r="T43449" i="15"/>
  <c r="T43448" i="15"/>
  <c r="T43447" i="15"/>
  <c r="T43446" i="15"/>
  <c r="T43445" i="15"/>
  <c r="T43444" i="15"/>
  <c r="T43443" i="15"/>
  <c r="T43442" i="15"/>
  <c r="T43441" i="15"/>
  <c r="T43440" i="15"/>
  <c r="T43439" i="15"/>
  <c r="T43438" i="15"/>
  <c r="T43437" i="15"/>
  <c r="T43436" i="15"/>
  <c r="T43435" i="15"/>
  <c r="T43434" i="15"/>
  <c r="T43433" i="15"/>
  <c r="T43432" i="15"/>
  <c r="T43431" i="15"/>
  <c r="T43430" i="15"/>
  <c r="T43429" i="15"/>
  <c r="T43428" i="15"/>
  <c r="T43427" i="15"/>
  <c r="T43426" i="15"/>
  <c r="T43425" i="15"/>
  <c r="T43424" i="15"/>
  <c r="T43423" i="15"/>
  <c r="T43422" i="15"/>
  <c r="T43421" i="15"/>
  <c r="T43420" i="15"/>
  <c r="T43419" i="15"/>
  <c r="T43418" i="15"/>
  <c r="T43417" i="15"/>
  <c r="T43416" i="15"/>
  <c r="T43415" i="15"/>
  <c r="T43414" i="15"/>
  <c r="T43413" i="15"/>
  <c r="T43412" i="15"/>
  <c r="T43411" i="15"/>
  <c r="T43410" i="15"/>
  <c r="T43409" i="15"/>
  <c r="T43408" i="15"/>
  <c r="T43407" i="15"/>
  <c r="T43406" i="15"/>
  <c r="T43405" i="15"/>
  <c r="T43404" i="15"/>
  <c r="T43403" i="15"/>
  <c r="T43402" i="15"/>
  <c r="T43401" i="15"/>
  <c r="T43400" i="15"/>
  <c r="T43399" i="15"/>
  <c r="T43398" i="15"/>
  <c r="T43397" i="15"/>
  <c r="T43396" i="15"/>
  <c r="T43395" i="15"/>
  <c r="T43394" i="15"/>
  <c r="T43393" i="15"/>
  <c r="T43392" i="15"/>
  <c r="T43391" i="15"/>
  <c r="T43390" i="15"/>
  <c r="T43389" i="15"/>
  <c r="T43388" i="15"/>
  <c r="T43387" i="15"/>
  <c r="T43386" i="15"/>
  <c r="T43385" i="15"/>
  <c r="T43384" i="15"/>
  <c r="T43383" i="15"/>
  <c r="T43382" i="15"/>
  <c r="T43381" i="15"/>
  <c r="T43380" i="15"/>
  <c r="T43379" i="15"/>
  <c r="T43378" i="15"/>
  <c r="T43377" i="15"/>
  <c r="T43376" i="15"/>
  <c r="T43375" i="15"/>
  <c r="T43374" i="15"/>
  <c r="T43373" i="15"/>
  <c r="T43372" i="15"/>
  <c r="T43371" i="15"/>
  <c r="T43370" i="15"/>
  <c r="T43369" i="15"/>
  <c r="T43368" i="15"/>
  <c r="T43367" i="15"/>
  <c r="T43366" i="15"/>
  <c r="T43365" i="15"/>
  <c r="T43364" i="15"/>
  <c r="T43363" i="15"/>
  <c r="T43362" i="15"/>
  <c r="T43361" i="15"/>
  <c r="T43360" i="15"/>
  <c r="T43359" i="15"/>
  <c r="T43358" i="15"/>
  <c r="T43357" i="15"/>
  <c r="T43356" i="15"/>
  <c r="T43355" i="15"/>
  <c r="T43354" i="15"/>
  <c r="T43353" i="15"/>
  <c r="T43352" i="15"/>
  <c r="T43351" i="15"/>
  <c r="T43350" i="15"/>
  <c r="T43349" i="15"/>
  <c r="T43348" i="15"/>
  <c r="T43347" i="15"/>
  <c r="T43346" i="15"/>
  <c r="T43345" i="15"/>
  <c r="T43344" i="15"/>
  <c r="T43343" i="15"/>
  <c r="T43342" i="15"/>
  <c r="T43341" i="15"/>
  <c r="T43340" i="15"/>
  <c r="T43339" i="15"/>
  <c r="T43338" i="15"/>
  <c r="T43337" i="15"/>
  <c r="T43336" i="15"/>
  <c r="T43335" i="15"/>
  <c r="T43334" i="15"/>
  <c r="T43333" i="15"/>
  <c r="T43332" i="15"/>
  <c r="T43331" i="15"/>
  <c r="T43330" i="15"/>
  <c r="T43329" i="15"/>
  <c r="T43328" i="15"/>
  <c r="T43327" i="15"/>
  <c r="T43326" i="15"/>
  <c r="T43325" i="15"/>
  <c r="T43324" i="15"/>
  <c r="T43323" i="15"/>
  <c r="T43322" i="15"/>
  <c r="T43321" i="15"/>
  <c r="T43320" i="15"/>
  <c r="T43319" i="15"/>
  <c r="T43318" i="15"/>
  <c r="T43317" i="15"/>
  <c r="T43316" i="15"/>
  <c r="T43315" i="15"/>
  <c r="T43314" i="15"/>
  <c r="T43313" i="15"/>
  <c r="T43312" i="15"/>
  <c r="T43311" i="15"/>
  <c r="T43310" i="15"/>
  <c r="T43309" i="15"/>
  <c r="T43308" i="15"/>
  <c r="T43307" i="15"/>
  <c r="T43306" i="15"/>
  <c r="T43305" i="15"/>
  <c r="T43304" i="15"/>
  <c r="T43303" i="15"/>
  <c r="T43302" i="15"/>
  <c r="T43301" i="15"/>
  <c r="T43300" i="15"/>
  <c r="T43299" i="15"/>
  <c r="T43298" i="15"/>
  <c r="T43297" i="15"/>
  <c r="T43296" i="15"/>
  <c r="T43295" i="15"/>
  <c r="T43294" i="15"/>
  <c r="T43293" i="15"/>
  <c r="T43292" i="15"/>
  <c r="T43291" i="15"/>
  <c r="T43290" i="15"/>
  <c r="T43289" i="15"/>
  <c r="T43288" i="15"/>
  <c r="T43287" i="15"/>
  <c r="T43286" i="15"/>
  <c r="T43285" i="15"/>
  <c r="T43284" i="15"/>
  <c r="T43283" i="15"/>
  <c r="T43282" i="15"/>
  <c r="T43281" i="15"/>
  <c r="T43280" i="15"/>
  <c r="T43279" i="15"/>
  <c r="T43278" i="15"/>
  <c r="T43277" i="15"/>
  <c r="T43276" i="15"/>
  <c r="T43275" i="15"/>
  <c r="T43274" i="15"/>
  <c r="T43273" i="15"/>
  <c r="T43272" i="15"/>
  <c r="T43271" i="15"/>
  <c r="T43270" i="15"/>
  <c r="T43269" i="15"/>
  <c r="T43268" i="15"/>
  <c r="T43267" i="15"/>
  <c r="T43266" i="15"/>
  <c r="T43265" i="15"/>
  <c r="T43264" i="15"/>
  <c r="T43263" i="15"/>
  <c r="T43262" i="15"/>
  <c r="T43261" i="15"/>
  <c r="T43260" i="15"/>
  <c r="T43259" i="15"/>
  <c r="T43258" i="15"/>
  <c r="T43257" i="15"/>
  <c r="T43256" i="15"/>
  <c r="T43255" i="15"/>
  <c r="T43254" i="15"/>
  <c r="T43253" i="15"/>
  <c r="T43252" i="15"/>
  <c r="T43251" i="15"/>
  <c r="T43250" i="15"/>
  <c r="T43249" i="15"/>
  <c r="T43248" i="15"/>
  <c r="T43247" i="15"/>
  <c r="T43246" i="15"/>
  <c r="T43245" i="15"/>
  <c r="T43244" i="15"/>
  <c r="T43243" i="15"/>
  <c r="T43242" i="15"/>
  <c r="T43241" i="15"/>
  <c r="T43240" i="15"/>
  <c r="T43239" i="15"/>
  <c r="T43238" i="15"/>
  <c r="T43237" i="15"/>
  <c r="T43236" i="15"/>
  <c r="T43235" i="15"/>
  <c r="T43234" i="15"/>
  <c r="T43233" i="15"/>
  <c r="T43232" i="15"/>
  <c r="T43231" i="15"/>
  <c r="T43230" i="15"/>
  <c r="T43229" i="15"/>
  <c r="T43228" i="15"/>
  <c r="T43227" i="15"/>
  <c r="T43226" i="15"/>
  <c r="T43225" i="15"/>
  <c r="T43224" i="15"/>
  <c r="T43223" i="15"/>
  <c r="T43222" i="15"/>
  <c r="T43221" i="15"/>
  <c r="T43220" i="15"/>
  <c r="T43219" i="15"/>
  <c r="T43218" i="15"/>
  <c r="T43217" i="15"/>
  <c r="T43216" i="15"/>
  <c r="T43215" i="15"/>
  <c r="T43214" i="15"/>
  <c r="T43213" i="15"/>
  <c r="T43212" i="15"/>
  <c r="T43211" i="15"/>
  <c r="T43210" i="15"/>
  <c r="T43209" i="15"/>
  <c r="T43208" i="15"/>
  <c r="T43207" i="15"/>
  <c r="T43206" i="15"/>
  <c r="T43205" i="15"/>
  <c r="T43204" i="15"/>
  <c r="T43203" i="15"/>
  <c r="T43202" i="15"/>
  <c r="T43201" i="15"/>
  <c r="T43200" i="15"/>
  <c r="T43199" i="15"/>
  <c r="T43198" i="15"/>
  <c r="T43197" i="15"/>
  <c r="T43196" i="15"/>
  <c r="T43195" i="15"/>
  <c r="T43194" i="15"/>
  <c r="T43193" i="15"/>
  <c r="T43192" i="15"/>
  <c r="T43191" i="15"/>
  <c r="T43190" i="15"/>
  <c r="T43189" i="15"/>
  <c r="T43188" i="15"/>
  <c r="T43187" i="15"/>
  <c r="T43186" i="15"/>
  <c r="T43185" i="15"/>
  <c r="T43184" i="15"/>
  <c r="T43183" i="15"/>
  <c r="T43182" i="15"/>
  <c r="T43181" i="15"/>
  <c r="T43180" i="15"/>
  <c r="T43179" i="15"/>
  <c r="T43178" i="15"/>
  <c r="T43177" i="15"/>
  <c r="T43176" i="15"/>
  <c r="T43175" i="15"/>
  <c r="T43174" i="15"/>
  <c r="T43173" i="15"/>
  <c r="T43172" i="15"/>
  <c r="T43171" i="15"/>
  <c r="T43170" i="15"/>
  <c r="T43169" i="15"/>
  <c r="T43168" i="15"/>
  <c r="T43167" i="15"/>
  <c r="T43166" i="15"/>
  <c r="T43165" i="15"/>
  <c r="T43164" i="15"/>
  <c r="T43163" i="15"/>
  <c r="T43162" i="15"/>
  <c r="T43161" i="15"/>
  <c r="T43160" i="15"/>
  <c r="T43159" i="15"/>
  <c r="T43158" i="15"/>
  <c r="T43157" i="15"/>
  <c r="T43156" i="15"/>
  <c r="T43155" i="15"/>
  <c r="T43154" i="15"/>
  <c r="T43153" i="15"/>
  <c r="T43152" i="15"/>
  <c r="T43151" i="15"/>
  <c r="T43150" i="15"/>
  <c r="T43149" i="15"/>
  <c r="T43148" i="15"/>
  <c r="T43147" i="15"/>
  <c r="T43146" i="15"/>
  <c r="T43145" i="15"/>
  <c r="T43144" i="15"/>
  <c r="T43143" i="15"/>
  <c r="T43142" i="15"/>
  <c r="T43141" i="15"/>
  <c r="T43140" i="15"/>
  <c r="T43139" i="15"/>
  <c r="T43138" i="15"/>
  <c r="T43137" i="15"/>
  <c r="T43136" i="15"/>
  <c r="T43135" i="15"/>
  <c r="T43134" i="15"/>
  <c r="T43133" i="15"/>
  <c r="T43132" i="15"/>
  <c r="T43131" i="15"/>
  <c r="T43130" i="15"/>
  <c r="T43129" i="15"/>
  <c r="T43128" i="15"/>
  <c r="T43127" i="15"/>
  <c r="T43126" i="15"/>
  <c r="T43125" i="15"/>
  <c r="T43124" i="15"/>
  <c r="T43123" i="15"/>
  <c r="T43122" i="15"/>
  <c r="T43121" i="15"/>
  <c r="T43120" i="15"/>
  <c r="T43119" i="15"/>
  <c r="T43118" i="15"/>
  <c r="T43117" i="15"/>
  <c r="T43116" i="15"/>
  <c r="T43115" i="15"/>
  <c r="T43114" i="15"/>
  <c r="T43113" i="15"/>
  <c r="T43112" i="15"/>
  <c r="T43111" i="15"/>
  <c r="T43110" i="15"/>
  <c r="T43109" i="15"/>
  <c r="T43108" i="15"/>
  <c r="T43107" i="15"/>
  <c r="T43106" i="15"/>
  <c r="T43105" i="15"/>
  <c r="T43104" i="15"/>
  <c r="T43103" i="15"/>
  <c r="T43102" i="15"/>
  <c r="T43101" i="15"/>
  <c r="T43100" i="15"/>
  <c r="T43099" i="15"/>
  <c r="T43098" i="15"/>
  <c r="T43097" i="15"/>
  <c r="T43096" i="15"/>
  <c r="T43095" i="15"/>
  <c r="T43094" i="15"/>
  <c r="T43093" i="15"/>
  <c r="T43092" i="15"/>
  <c r="T43091" i="15"/>
  <c r="T43090" i="15"/>
  <c r="T43089" i="15"/>
  <c r="T43088" i="15"/>
  <c r="T43087" i="15"/>
  <c r="T43086" i="15"/>
  <c r="T43085" i="15"/>
  <c r="T43084" i="15"/>
  <c r="T43083" i="15"/>
  <c r="T43082" i="15"/>
  <c r="T43081" i="15"/>
  <c r="T43080" i="15"/>
  <c r="T43079" i="15"/>
  <c r="T43078" i="15"/>
  <c r="T43077" i="15"/>
  <c r="T43076" i="15"/>
  <c r="T43075" i="15"/>
  <c r="T43074" i="15"/>
  <c r="T43073" i="15"/>
  <c r="T43072" i="15"/>
  <c r="T43071" i="15"/>
  <c r="T43070" i="15"/>
  <c r="T43069" i="15"/>
  <c r="T43068" i="15"/>
  <c r="T43067" i="15"/>
  <c r="T43066" i="15"/>
  <c r="T43065" i="15"/>
  <c r="T43064" i="15"/>
  <c r="T43063" i="15"/>
  <c r="T43062" i="15"/>
  <c r="T43061" i="15"/>
  <c r="T43060" i="15"/>
  <c r="T43059" i="15"/>
  <c r="T43058" i="15"/>
  <c r="T43057" i="15"/>
  <c r="T43056" i="15"/>
  <c r="T43055" i="15"/>
  <c r="T43054" i="15"/>
  <c r="T43053" i="15"/>
  <c r="T43052" i="15"/>
  <c r="T43051" i="15"/>
  <c r="T43050" i="15"/>
  <c r="T43049" i="15"/>
  <c r="T43048" i="15"/>
  <c r="T43047" i="15"/>
  <c r="T43046" i="15"/>
  <c r="T43045" i="15"/>
  <c r="T43044" i="15"/>
  <c r="T43043" i="15"/>
  <c r="T43042" i="15"/>
  <c r="T43041" i="15"/>
  <c r="T43040" i="15"/>
  <c r="T43039" i="15"/>
  <c r="T43038" i="15"/>
  <c r="T43037" i="15"/>
  <c r="T43036" i="15"/>
  <c r="T43035" i="15"/>
  <c r="T43034" i="15"/>
  <c r="T43033" i="15"/>
  <c r="T43032" i="15"/>
  <c r="T43031" i="15"/>
  <c r="T43030" i="15"/>
  <c r="T43029" i="15"/>
  <c r="T43028" i="15"/>
  <c r="T43027" i="15"/>
  <c r="T43026" i="15"/>
  <c r="T43025" i="15"/>
  <c r="T43024" i="15"/>
  <c r="T43023" i="15"/>
  <c r="T43022" i="15"/>
  <c r="T43021" i="15"/>
  <c r="T43020" i="15"/>
  <c r="T43019" i="15"/>
  <c r="T43018" i="15"/>
  <c r="T43017" i="15"/>
  <c r="T43016" i="15"/>
  <c r="T43015" i="15"/>
  <c r="T43014" i="15"/>
  <c r="T43013" i="15"/>
  <c r="T43012" i="15"/>
  <c r="T43011" i="15"/>
  <c r="T43010" i="15"/>
  <c r="T43009" i="15"/>
  <c r="T43008" i="15"/>
  <c r="T43007" i="15"/>
  <c r="T43006" i="15"/>
  <c r="T43005" i="15"/>
  <c r="T43004" i="15"/>
  <c r="T43003" i="15"/>
  <c r="T43002" i="15"/>
  <c r="T43001" i="15"/>
  <c r="T43000" i="15"/>
  <c r="T42999" i="15"/>
  <c r="T42998" i="15"/>
  <c r="T42997" i="15"/>
  <c r="T42996" i="15"/>
  <c r="T42995" i="15"/>
  <c r="T42994" i="15"/>
  <c r="T42993" i="15"/>
  <c r="T42992" i="15"/>
  <c r="T42991" i="15"/>
  <c r="T42990" i="15"/>
  <c r="T42989" i="15"/>
  <c r="T42988" i="15"/>
  <c r="T42987" i="15"/>
  <c r="T42986" i="15"/>
  <c r="T42985" i="15"/>
  <c r="T42984" i="15"/>
  <c r="T42983" i="15"/>
  <c r="T42982" i="15"/>
  <c r="T42981" i="15"/>
  <c r="T42980" i="15"/>
  <c r="T42979" i="15"/>
  <c r="T42978" i="15"/>
  <c r="T42977" i="15"/>
  <c r="T42976" i="15"/>
  <c r="T42975" i="15"/>
  <c r="T42974" i="15"/>
  <c r="T42973" i="15"/>
  <c r="T42972" i="15"/>
  <c r="T42971" i="15"/>
  <c r="T42970" i="15"/>
  <c r="T42969" i="15"/>
  <c r="T42968" i="15"/>
  <c r="T42967" i="15"/>
  <c r="T42966" i="15"/>
  <c r="T42965" i="15"/>
  <c r="T42964" i="15"/>
  <c r="T42963" i="15"/>
  <c r="T42962" i="15"/>
  <c r="T42961" i="15"/>
  <c r="T42960" i="15"/>
  <c r="T42959" i="15"/>
  <c r="T42958" i="15"/>
  <c r="T42957" i="15"/>
  <c r="T42956" i="15"/>
  <c r="T42955" i="15"/>
  <c r="T42954" i="15"/>
  <c r="T42953" i="15"/>
  <c r="T42952" i="15"/>
  <c r="T42951" i="15"/>
  <c r="T42950" i="15"/>
  <c r="T42949" i="15"/>
  <c r="T42948" i="15"/>
  <c r="T42947" i="15"/>
  <c r="T42946" i="15"/>
  <c r="T42945" i="15"/>
  <c r="T42944" i="15"/>
  <c r="T42943" i="15"/>
  <c r="T42942" i="15"/>
  <c r="T42941" i="15"/>
  <c r="T42940" i="15"/>
  <c r="T42939" i="15"/>
  <c r="T42938" i="15"/>
  <c r="T42937" i="15"/>
  <c r="T42936" i="15"/>
  <c r="T42935" i="15"/>
  <c r="T42934" i="15"/>
  <c r="T42933" i="15"/>
  <c r="T42932" i="15"/>
  <c r="T42931" i="15"/>
  <c r="T42930" i="15"/>
  <c r="T42929" i="15"/>
  <c r="T42928" i="15"/>
  <c r="T42927" i="15"/>
  <c r="T42926" i="15"/>
  <c r="T42925" i="15"/>
  <c r="T42924" i="15"/>
  <c r="T42923" i="15"/>
  <c r="T42922" i="15"/>
  <c r="T42921" i="15"/>
  <c r="T42920" i="15"/>
  <c r="T42919" i="15"/>
  <c r="T42918" i="15"/>
  <c r="T42917" i="15"/>
  <c r="T42916" i="15"/>
  <c r="T42915" i="15"/>
  <c r="T42914" i="15"/>
  <c r="T42913" i="15"/>
  <c r="T42912" i="15"/>
  <c r="T42911" i="15"/>
  <c r="T42910" i="15"/>
  <c r="T42909" i="15"/>
  <c r="T42908" i="15"/>
  <c r="T42907" i="15"/>
  <c r="T42906" i="15"/>
  <c r="T42905" i="15"/>
  <c r="T42904" i="15"/>
  <c r="T42903" i="15"/>
  <c r="T42902" i="15"/>
  <c r="T42901" i="15"/>
  <c r="T42900" i="15"/>
  <c r="T42899" i="15"/>
  <c r="T42898" i="15"/>
  <c r="T42897" i="15"/>
  <c r="T42896" i="15"/>
  <c r="T42895" i="15"/>
  <c r="T42894" i="15"/>
  <c r="T42893" i="15"/>
  <c r="T42892" i="15"/>
  <c r="T42891" i="15"/>
  <c r="T42890" i="15"/>
  <c r="T42889" i="15"/>
  <c r="T42888" i="15"/>
  <c r="T42887" i="15"/>
  <c r="T42886" i="15"/>
  <c r="T42885" i="15"/>
  <c r="T42884" i="15"/>
  <c r="T42883" i="15"/>
  <c r="T42882" i="15"/>
  <c r="T42881" i="15"/>
  <c r="T42880" i="15"/>
  <c r="T42879" i="15"/>
  <c r="T42878" i="15"/>
  <c r="T42877" i="15"/>
  <c r="T42876" i="15"/>
  <c r="T42875" i="15"/>
  <c r="T42874" i="15"/>
  <c r="T42873" i="15"/>
  <c r="T42872" i="15"/>
  <c r="T42871" i="15"/>
  <c r="T42870" i="15"/>
  <c r="T42869" i="15"/>
  <c r="T42868" i="15"/>
  <c r="T42867" i="15"/>
  <c r="T42866" i="15"/>
  <c r="T42865" i="15"/>
  <c r="T42864" i="15"/>
  <c r="T42863" i="15"/>
  <c r="T42862" i="15"/>
  <c r="T42861" i="15"/>
  <c r="T42860" i="15"/>
  <c r="T42859" i="15"/>
  <c r="T42858" i="15"/>
  <c r="T42857" i="15"/>
  <c r="T42856" i="15"/>
  <c r="T42855" i="15"/>
  <c r="T42854" i="15"/>
  <c r="T42853" i="15"/>
  <c r="T42852" i="15"/>
  <c r="T42851" i="15"/>
  <c r="T42850" i="15"/>
  <c r="T42849" i="15"/>
  <c r="T42848" i="15"/>
  <c r="T42847" i="15"/>
  <c r="T42846" i="15"/>
  <c r="T42845" i="15"/>
  <c r="T42844" i="15"/>
  <c r="T42843" i="15"/>
  <c r="T42842" i="15"/>
  <c r="T42841" i="15"/>
  <c r="T42840" i="15"/>
  <c r="T42839" i="15"/>
  <c r="T42838" i="15"/>
  <c r="T42837" i="15"/>
  <c r="T42836" i="15"/>
  <c r="T42835" i="15"/>
  <c r="T42834" i="15"/>
  <c r="T42833" i="15"/>
  <c r="T42832" i="15"/>
  <c r="T42831" i="15"/>
  <c r="T42830" i="15"/>
  <c r="T42829" i="15"/>
  <c r="T42828" i="15"/>
  <c r="T42827" i="15"/>
  <c r="T42826" i="15"/>
  <c r="T42825" i="15"/>
  <c r="T42824" i="15"/>
  <c r="T42823" i="15"/>
  <c r="T42822" i="15"/>
  <c r="T42821" i="15"/>
  <c r="T42820" i="15"/>
  <c r="T42819" i="15"/>
  <c r="T42818" i="15"/>
  <c r="T42817" i="15"/>
  <c r="T42816" i="15"/>
  <c r="T42815" i="15"/>
  <c r="T42814" i="15"/>
  <c r="T42813" i="15"/>
  <c r="T42812" i="15"/>
  <c r="T42811" i="15"/>
  <c r="T42810" i="15"/>
  <c r="T42809" i="15"/>
  <c r="T42808" i="15"/>
  <c r="T42807" i="15"/>
  <c r="T42806" i="15"/>
  <c r="T42805" i="15"/>
  <c r="T42804" i="15"/>
  <c r="T42803" i="15"/>
  <c r="T42802" i="15"/>
  <c r="T42801" i="15"/>
  <c r="T42800" i="15"/>
  <c r="T42799" i="15"/>
  <c r="T42798" i="15"/>
  <c r="T42797" i="15"/>
  <c r="T42796" i="15"/>
  <c r="T42795" i="15"/>
  <c r="T42794" i="15"/>
  <c r="T42793" i="15"/>
  <c r="T42792" i="15"/>
  <c r="T42791" i="15"/>
  <c r="T42790" i="15"/>
  <c r="T42789" i="15"/>
  <c r="T42788" i="15"/>
  <c r="T42787" i="15"/>
  <c r="T42786" i="15"/>
  <c r="T42785" i="15"/>
  <c r="T42784" i="15"/>
  <c r="T42783" i="15"/>
  <c r="T42782" i="15"/>
  <c r="T42781" i="15"/>
  <c r="T42780" i="15"/>
  <c r="T42779" i="15"/>
  <c r="T42778" i="15"/>
  <c r="T42777" i="15"/>
  <c r="T42776" i="15"/>
  <c r="T42775" i="15"/>
  <c r="T42774" i="15"/>
  <c r="T42773" i="15"/>
  <c r="T42772" i="15"/>
  <c r="T42771" i="15"/>
  <c r="T42770" i="15"/>
  <c r="T42769" i="15"/>
  <c r="T42768" i="15"/>
  <c r="T42767" i="15"/>
  <c r="T42766" i="15"/>
  <c r="T42765" i="15"/>
  <c r="T42764" i="15"/>
  <c r="T42763" i="15"/>
  <c r="T42762" i="15"/>
  <c r="T42761" i="15"/>
  <c r="T42760" i="15"/>
  <c r="T42759" i="15"/>
  <c r="T42758" i="15"/>
  <c r="T42757" i="15"/>
  <c r="T42756" i="15"/>
  <c r="T42755" i="15"/>
  <c r="T42754" i="15"/>
  <c r="T42753" i="15"/>
  <c r="T42752" i="15"/>
  <c r="T42751" i="15"/>
  <c r="T42750" i="15"/>
  <c r="T42749" i="15"/>
  <c r="T42748" i="15"/>
  <c r="T42747" i="15"/>
  <c r="T42746" i="15"/>
  <c r="T42745" i="15"/>
  <c r="T42744" i="15"/>
  <c r="T42743" i="15"/>
  <c r="T42742" i="15"/>
  <c r="T42741" i="15"/>
  <c r="T42740" i="15"/>
  <c r="T42739" i="15"/>
  <c r="T42738" i="15"/>
  <c r="T42737" i="15"/>
  <c r="T42736" i="15"/>
  <c r="T42735" i="15"/>
  <c r="T42734" i="15"/>
  <c r="T42733" i="15"/>
  <c r="T42732" i="15"/>
  <c r="T42731" i="15"/>
  <c r="T42730" i="15"/>
  <c r="T42729" i="15"/>
  <c r="T42728" i="15"/>
  <c r="T42727" i="15"/>
  <c r="T42726" i="15"/>
  <c r="T42725" i="15"/>
  <c r="T42724" i="15"/>
  <c r="T42723" i="15"/>
  <c r="T42722" i="15"/>
  <c r="T42721" i="15"/>
  <c r="T42720" i="15"/>
  <c r="T42719" i="15"/>
  <c r="T42718" i="15"/>
  <c r="T42717" i="15"/>
  <c r="T42716" i="15"/>
  <c r="T42715" i="15"/>
  <c r="T42714" i="15"/>
  <c r="T42713" i="15"/>
  <c r="T42712" i="15"/>
  <c r="T42711" i="15"/>
  <c r="T42710" i="15"/>
  <c r="T42709" i="15"/>
  <c r="T42708" i="15"/>
  <c r="T42707" i="15"/>
  <c r="T42706" i="15"/>
  <c r="T42705" i="15"/>
  <c r="T42704" i="15"/>
  <c r="T42703" i="15"/>
  <c r="T42702" i="15"/>
  <c r="T42701" i="15"/>
  <c r="T42700" i="15"/>
  <c r="T42699" i="15"/>
  <c r="T42698" i="15"/>
  <c r="T42697" i="15"/>
  <c r="T42696" i="15"/>
  <c r="T42695" i="15"/>
  <c r="T42694" i="15"/>
  <c r="T42693" i="15"/>
  <c r="T42692" i="15"/>
  <c r="T42691" i="15"/>
  <c r="T42690" i="15"/>
  <c r="T42689" i="15"/>
  <c r="T42688" i="15"/>
  <c r="T42687" i="15"/>
  <c r="T42686" i="15"/>
  <c r="T42685" i="15"/>
  <c r="T42684" i="15"/>
  <c r="T42683" i="15"/>
  <c r="T42682" i="15"/>
  <c r="T42681" i="15"/>
  <c r="T42680" i="15"/>
  <c r="T42679" i="15"/>
  <c r="T42678" i="15"/>
  <c r="T42677" i="15"/>
  <c r="T42676" i="15"/>
  <c r="T42675" i="15"/>
  <c r="T42674" i="15"/>
  <c r="T42673" i="15"/>
  <c r="T42672" i="15"/>
  <c r="T42671" i="15"/>
  <c r="T42670" i="15"/>
  <c r="T42669" i="15"/>
  <c r="T42668" i="15"/>
  <c r="T42667" i="15"/>
  <c r="T42666" i="15"/>
  <c r="T42665" i="15"/>
  <c r="T42664" i="15"/>
  <c r="T42663" i="15"/>
  <c r="T42662" i="15"/>
  <c r="T42661" i="15"/>
  <c r="T42660" i="15"/>
  <c r="T42659" i="15"/>
  <c r="T42658" i="15"/>
  <c r="T42657" i="15"/>
  <c r="T42656" i="15"/>
  <c r="T42655" i="15"/>
  <c r="T42654" i="15"/>
  <c r="T42653" i="15"/>
  <c r="T42652" i="15"/>
  <c r="T42651" i="15"/>
  <c r="T42650" i="15"/>
  <c r="T42649" i="15"/>
  <c r="T42648" i="15"/>
  <c r="T42647" i="15"/>
  <c r="T42646" i="15"/>
  <c r="T42645" i="15"/>
  <c r="T42644" i="15"/>
  <c r="T42643" i="15"/>
  <c r="T42642" i="15"/>
  <c r="T42641" i="15"/>
  <c r="T42640" i="15"/>
  <c r="T42639" i="15"/>
  <c r="T42638" i="15"/>
  <c r="T42637" i="15"/>
  <c r="T42636" i="15"/>
  <c r="T42635" i="15"/>
  <c r="T42634" i="15"/>
  <c r="T42633" i="15"/>
  <c r="T42632" i="15"/>
  <c r="T42631" i="15"/>
  <c r="T42630" i="15"/>
  <c r="T42629" i="15"/>
  <c r="T42628" i="15"/>
  <c r="T42627" i="15"/>
  <c r="T42626" i="15"/>
  <c r="T42625" i="15"/>
  <c r="T42624" i="15"/>
  <c r="T42623" i="15"/>
  <c r="T42622" i="15"/>
  <c r="T42621" i="15"/>
  <c r="T42620" i="15"/>
  <c r="T42619" i="15"/>
  <c r="T42618" i="15"/>
  <c r="T42617" i="15"/>
  <c r="T42616" i="15"/>
  <c r="T42615" i="15"/>
  <c r="T42614" i="15"/>
  <c r="T42613" i="15"/>
  <c r="T42612" i="15"/>
  <c r="T42611" i="15"/>
  <c r="T42610" i="15"/>
  <c r="T42609" i="15"/>
  <c r="T42608" i="15"/>
  <c r="T42607" i="15"/>
  <c r="T42606" i="15"/>
  <c r="T42605" i="15"/>
  <c r="T42604" i="15"/>
  <c r="T42603" i="15"/>
  <c r="T42602" i="15"/>
  <c r="T42601" i="15"/>
  <c r="T42600" i="15"/>
  <c r="T42599" i="15"/>
  <c r="T42598" i="15"/>
  <c r="T42597" i="15"/>
  <c r="T42596" i="15"/>
  <c r="T42595" i="15"/>
  <c r="T42594" i="15"/>
  <c r="T42593" i="15"/>
  <c r="T42592" i="15"/>
  <c r="T42591" i="15"/>
  <c r="T42590" i="15"/>
  <c r="T42589" i="15"/>
  <c r="T42588" i="15"/>
  <c r="T42587" i="15"/>
  <c r="T42586" i="15"/>
  <c r="T42585" i="15"/>
  <c r="T42584" i="15"/>
  <c r="T42583" i="15"/>
  <c r="T42582" i="15"/>
  <c r="T42581" i="15"/>
  <c r="T42580" i="15"/>
  <c r="T42579" i="15"/>
  <c r="T42578" i="15"/>
  <c r="T42577" i="15"/>
  <c r="T42576" i="15"/>
  <c r="T42575" i="15"/>
  <c r="T42574" i="15"/>
  <c r="T42573" i="15"/>
  <c r="T42572" i="15"/>
  <c r="T42571" i="15"/>
  <c r="T42570" i="15"/>
  <c r="T42569" i="15"/>
  <c r="T42568" i="15"/>
  <c r="T42567" i="15"/>
  <c r="T42566" i="15"/>
  <c r="T42565" i="15"/>
  <c r="T42564" i="15"/>
  <c r="T42563" i="15"/>
  <c r="T42562" i="15"/>
  <c r="T42561" i="15"/>
  <c r="T42560" i="15"/>
  <c r="T42559" i="15"/>
  <c r="T42558" i="15"/>
  <c r="T42557" i="15"/>
  <c r="T42556" i="15"/>
  <c r="T42555" i="15"/>
  <c r="T42554" i="15"/>
  <c r="T42553" i="15"/>
  <c r="T42552" i="15"/>
  <c r="T42551" i="15"/>
  <c r="T42550" i="15"/>
  <c r="T42549" i="15"/>
  <c r="T42548" i="15"/>
  <c r="T42547" i="15"/>
  <c r="T42546" i="15"/>
  <c r="T42545" i="15"/>
  <c r="T42544" i="15"/>
  <c r="T42543" i="15"/>
  <c r="T42542" i="15"/>
  <c r="T42541" i="15"/>
  <c r="T42540" i="15"/>
  <c r="T42539" i="15"/>
  <c r="T42538" i="15"/>
  <c r="T42537" i="15"/>
  <c r="T42536" i="15"/>
  <c r="T42535" i="15"/>
  <c r="T42534" i="15"/>
  <c r="T42533" i="15"/>
  <c r="T42532" i="15"/>
  <c r="T42531" i="15"/>
  <c r="T42530" i="15"/>
  <c r="T42529" i="15"/>
  <c r="T42528" i="15"/>
  <c r="T42527" i="15"/>
  <c r="T42526" i="15"/>
  <c r="T42525" i="15"/>
  <c r="T42524" i="15"/>
  <c r="T42523" i="15"/>
  <c r="T42522" i="15"/>
  <c r="T42521" i="15"/>
  <c r="T42520" i="15"/>
  <c r="T42519" i="15"/>
  <c r="T42518" i="15"/>
  <c r="T42517" i="15"/>
  <c r="T42516" i="15"/>
  <c r="T42515" i="15"/>
  <c r="T42514" i="15"/>
  <c r="T42513" i="15"/>
  <c r="T42512" i="15"/>
  <c r="T42511" i="15"/>
  <c r="T42510" i="15"/>
  <c r="T42509" i="15"/>
  <c r="T42508" i="15"/>
  <c r="T42507" i="15"/>
  <c r="T42506" i="15"/>
  <c r="T42505" i="15"/>
  <c r="T42504" i="15"/>
  <c r="T42503" i="15"/>
  <c r="T42502" i="15"/>
  <c r="T42501" i="15"/>
  <c r="T42500" i="15"/>
  <c r="T42499" i="15"/>
  <c r="T42498" i="15"/>
  <c r="T42497" i="15"/>
  <c r="T42496" i="15"/>
  <c r="T42495" i="15"/>
  <c r="T42494" i="15"/>
  <c r="T42493" i="15"/>
  <c r="T42492" i="15"/>
  <c r="T42491" i="15"/>
  <c r="T42490" i="15"/>
  <c r="T42489" i="15"/>
  <c r="T42488" i="15"/>
  <c r="T42487" i="15"/>
  <c r="T42486" i="15"/>
  <c r="T42485" i="15"/>
  <c r="T42484" i="15"/>
  <c r="T42483" i="15"/>
  <c r="T42482" i="15"/>
  <c r="T42481" i="15"/>
  <c r="T42480" i="15"/>
  <c r="T42479" i="15"/>
  <c r="T42478" i="15"/>
  <c r="T42477" i="15"/>
  <c r="T42476" i="15"/>
  <c r="T42475" i="15"/>
  <c r="T42474" i="15"/>
  <c r="T42473" i="15"/>
  <c r="T42472" i="15"/>
  <c r="T42471" i="15"/>
  <c r="T42470" i="15"/>
  <c r="T42469" i="15"/>
  <c r="T42468" i="15"/>
  <c r="T42467" i="15"/>
  <c r="T42466" i="15"/>
  <c r="T42465" i="15"/>
  <c r="T42464" i="15"/>
  <c r="T42463" i="15"/>
  <c r="T42462" i="15"/>
  <c r="T42461" i="15"/>
  <c r="T42460" i="15"/>
  <c r="T42459" i="15"/>
  <c r="T42458" i="15"/>
  <c r="T42457" i="15"/>
  <c r="T42456" i="15"/>
  <c r="T42455" i="15"/>
  <c r="T42454" i="15"/>
  <c r="T42453" i="15"/>
  <c r="T42452" i="15"/>
  <c r="T42451" i="15"/>
  <c r="T42450" i="15"/>
  <c r="T42449" i="15"/>
  <c r="T42448" i="15"/>
  <c r="T42447" i="15"/>
  <c r="T42446" i="15"/>
  <c r="T42445" i="15"/>
  <c r="T42444" i="15"/>
  <c r="T42443" i="15"/>
  <c r="T42442" i="15"/>
  <c r="T42441" i="15"/>
  <c r="T42440" i="15"/>
  <c r="T42439" i="15"/>
  <c r="T42438" i="15"/>
  <c r="T42437" i="15"/>
  <c r="T42436" i="15"/>
  <c r="T42435" i="15"/>
  <c r="T42434" i="15"/>
  <c r="T42433" i="15"/>
  <c r="T42432" i="15"/>
  <c r="T42431" i="15"/>
  <c r="T42430" i="15"/>
  <c r="T42429" i="15"/>
  <c r="T42428" i="15"/>
  <c r="T42427" i="15"/>
  <c r="T42426" i="15"/>
  <c r="T42425" i="15"/>
  <c r="T42424" i="15"/>
  <c r="T42423" i="15"/>
  <c r="T42422" i="15"/>
  <c r="T42421" i="15"/>
  <c r="T42420" i="15"/>
  <c r="T42419" i="15"/>
  <c r="T42418" i="15"/>
  <c r="T42417" i="15"/>
  <c r="T42416" i="15"/>
  <c r="T42415" i="15"/>
  <c r="T42414" i="15"/>
  <c r="T42413" i="15"/>
  <c r="T42412" i="15"/>
  <c r="T42411" i="15"/>
  <c r="T42410" i="15"/>
  <c r="T42409" i="15"/>
  <c r="T42408" i="15"/>
  <c r="T42407" i="15"/>
  <c r="T42406" i="15"/>
  <c r="T42405" i="15"/>
  <c r="T42404" i="15"/>
  <c r="T42403" i="15"/>
  <c r="T42402" i="15"/>
  <c r="T42401" i="15"/>
  <c r="T42400" i="15"/>
  <c r="T42399" i="15"/>
  <c r="T42398" i="15"/>
  <c r="T42397" i="15"/>
  <c r="T42396" i="15"/>
  <c r="T42395" i="15"/>
  <c r="T42394" i="15"/>
  <c r="T42393" i="15"/>
  <c r="T42392" i="15"/>
  <c r="T42391" i="15"/>
  <c r="T42390" i="15"/>
  <c r="T42389" i="15"/>
  <c r="T42388" i="15"/>
  <c r="T42387" i="15"/>
  <c r="T42386" i="15"/>
  <c r="T42385" i="15"/>
  <c r="T42384" i="15"/>
  <c r="T42383" i="15"/>
  <c r="T42382" i="15"/>
  <c r="T42381" i="15"/>
  <c r="T42380" i="15"/>
  <c r="T42379" i="15"/>
  <c r="T42378" i="15"/>
  <c r="T42377" i="15"/>
  <c r="T42376" i="15"/>
  <c r="T42375" i="15"/>
  <c r="T42374" i="15"/>
  <c r="T42373" i="15"/>
  <c r="T42372" i="15"/>
  <c r="T42371" i="15"/>
  <c r="T42370" i="15"/>
  <c r="T42369" i="15"/>
  <c r="T42368" i="15"/>
  <c r="T42367" i="15"/>
  <c r="T42366" i="15"/>
  <c r="T42365" i="15"/>
  <c r="T42364" i="15"/>
  <c r="T42363" i="15"/>
  <c r="T42362" i="15"/>
  <c r="T42361" i="15"/>
  <c r="T42360" i="15"/>
  <c r="T42359" i="15"/>
  <c r="T42358" i="15"/>
  <c r="T42357" i="15"/>
  <c r="T42356" i="15"/>
  <c r="T42355" i="15"/>
  <c r="T42354" i="15"/>
  <c r="T42353" i="15"/>
  <c r="T42352" i="15"/>
  <c r="T42351" i="15"/>
  <c r="T42350" i="15"/>
  <c r="T42349" i="15"/>
  <c r="T42348" i="15"/>
  <c r="T42347" i="15"/>
  <c r="T42346" i="15"/>
  <c r="T42345" i="15"/>
  <c r="T42344" i="15"/>
  <c r="T42343" i="15"/>
  <c r="T42342" i="15"/>
  <c r="T42341" i="15"/>
  <c r="T42340" i="15"/>
  <c r="T42339" i="15"/>
  <c r="T42338" i="15"/>
  <c r="T42337" i="15"/>
  <c r="T42336" i="15"/>
  <c r="T42335" i="15"/>
  <c r="T42334" i="15"/>
  <c r="T42333" i="15"/>
  <c r="T42332" i="15"/>
  <c r="T42331" i="15"/>
  <c r="T42330" i="15"/>
  <c r="T42329" i="15"/>
  <c r="T42328" i="15"/>
  <c r="T42327" i="15"/>
  <c r="T42326" i="15"/>
  <c r="T42325" i="15"/>
  <c r="T42324" i="15"/>
  <c r="T42323" i="15"/>
  <c r="T42322" i="15"/>
  <c r="T42321" i="15"/>
  <c r="T42320" i="15"/>
  <c r="T42319" i="15"/>
  <c r="T42318" i="15"/>
  <c r="T42317" i="15"/>
  <c r="T42316" i="15"/>
  <c r="T42315" i="15"/>
  <c r="T42314" i="15"/>
  <c r="T42313" i="15"/>
  <c r="T42312" i="15"/>
  <c r="T42311" i="15"/>
  <c r="T42310" i="15"/>
  <c r="T42309" i="15"/>
  <c r="T42308" i="15"/>
  <c r="T42307" i="15"/>
  <c r="T42306" i="15"/>
  <c r="T42305" i="15"/>
  <c r="T42304" i="15"/>
  <c r="T42303" i="15"/>
  <c r="T42302" i="15"/>
  <c r="T42301" i="15"/>
  <c r="T42300" i="15"/>
  <c r="T42299" i="15"/>
  <c r="T42298" i="15"/>
  <c r="T42297" i="15"/>
  <c r="T42296" i="15"/>
  <c r="T42295" i="15"/>
  <c r="T42294" i="15"/>
  <c r="T42293" i="15"/>
  <c r="T42292" i="15"/>
  <c r="T42291" i="15"/>
  <c r="T42290" i="15"/>
  <c r="T42289" i="15"/>
  <c r="T42288" i="15"/>
  <c r="T42287" i="15"/>
  <c r="T42286" i="15"/>
  <c r="T42285" i="15"/>
  <c r="T42284" i="15"/>
  <c r="T42283" i="15"/>
  <c r="T42282" i="15"/>
  <c r="T42281" i="15"/>
  <c r="T42280" i="15"/>
  <c r="T42279" i="15"/>
  <c r="T42278" i="15"/>
  <c r="T42277" i="15"/>
  <c r="T42276" i="15"/>
  <c r="T42275" i="15"/>
  <c r="T42274" i="15"/>
  <c r="T42273" i="15"/>
  <c r="T42272" i="15"/>
  <c r="T42271" i="15"/>
  <c r="T42270" i="15"/>
  <c r="T42269" i="15"/>
  <c r="T42268" i="15"/>
  <c r="T42267" i="15"/>
  <c r="T42266" i="15"/>
  <c r="T42265" i="15"/>
  <c r="T42264" i="15"/>
  <c r="T42263" i="15"/>
  <c r="T42262" i="15"/>
  <c r="T42261" i="15"/>
  <c r="T42260" i="15"/>
  <c r="T42259" i="15"/>
  <c r="T42258" i="15"/>
  <c r="T42257" i="15"/>
  <c r="T42256" i="15"/>
  <c r="T42255" i="15"/>
  <c r="T42254" i="15"/>
  <c r="T42253" i="15"/>
  <c r="T42252" i="15"/>
  <c r="T42251" i="15"/>
  <c r="T42250" i="15"/>
  <c r="T42249" i="15"/>
  <c r="T42248" i="15"/>
  <c r="T42247" i="15"/>
  <c r="T42246" i="15"/>
  <c r="T42245" i="15"/>
  <c r="T42244" i="15"/>
  <c r="T42243" i="15"/>
  <c r="T42242" i="15"/>
  <c r="T42241" i="15"/>
  <c r="T42240" i="15"/>
  <c r="T42239" i="15"/>
  <c r="T42238" i="15"/>
  <c r="T42237" i="15"/>
  <c r="T42236" i="15"/>
  <c r="T42235" i="15"/>
  <c r="T42234" i="15"/>
  <c r="T42233" i="15"/>
  <c r="T42232" i="15"/>
  <c r="T42231" i="15"/>
  <c r="T42230" i="15"/>
  <c r="T42229" i="15"/>
  <c r="T42228" i="15"/>
  <c r="T42227" i="15"/>
  <c r="T42226" i="15"/>
  <c r="T42225" i="15"/>
  <c r="T42224" i="15"/>
  <c r="T42223" i="15"/>
  <c r="T42222" i="15"/>
  <c r="T42221" i="15"/>
  <c r="T42220" i="15"/>
  <c r="T42219" i="15"/>
  <c r="T42218" i="15"/>
  <c r="T42217" i="15"/>
  <c r="T42216" i="15"/>
  <c r="T42215" i="15"/>
  <c r="T42214" i="15"/>
  <c r="T42213" i="15"/>
  <c r="T42212" i="15"/>
  <c r="T42211" i="15"/>
  <c r="T42210" i="15"/>
  <c r="T42209" i="15"/>
  <c r="T42208" i="15"/>
  <c r="T42207" i="15"/>
  <c r="T42206" i="15"/>
  <c r="T42205" i="15"/>
  <c r="T42204" i="15"/>
  <c r="T42203" i="15"/>
  <c r="T42202" i="15"/>
  <c r="T42201" i="15"/>
  <c r="T42200" i="15"/>
  <c r="T42199" i="15"/>
  <c r="T42198" i="15"/>
  <c r="T42197" i="15"/>
  <c r="T42196" i="15"/>
  <c r="T42195" i="15"/>
  <c r="T42194" i="15"/>
  <c r="T42193" i="15"/>
  <c r="T42192" i="15"/>
  <c r="T42191" i="15"/>
  <c r="T42190" i="15"/>
  <c r="T42189" i="15"/>
  <c r="T42188" i="15"/>
  <c r="T42187" i="15"/>
  <c r="T42186" i="15"/>
  <c r="T42185" i="15"/>
  <c r="T42184" i="15"/>
  <c r="T42183" i="15"/>
  <c r="T42182" i="15"/>
  <c r="T42181" i="15"/>
  <c r="T42180" i="15"/>
  <c r="T42179" i="15"/>
  <c r="T42178" i="15"/>
  <c r="T42177" i="15"/>
  <c r="T42176" i="15"/>
  <c r="T42175" i="15"/>
  <c r="T42174" i="15"/>
  <c r="T42173" i="15"/>
  <c r="T42172" i="15"/>
  <c r="T42171" i="15"/>
  <c r="T42170" i="15"/>
  <c r="T42169" i="15"/>
  <c r="T42168" i="15"/>
  <c r="T42167" i="15"/>
  <c r="T42166" i="15"/>
  <c r="T42165" i="15"/>
  <c r="T42164" i="15"/>
  <c r="T42163" i="15"/>
  <c r="T42162" i="15"/>
  <c r="T42161" i="15"/>
  <c r="T42160" i="15"/>
  <c r="T42159" i="15"/>
  <c r="T42158" i="15"/>
  <c r="T42157" i="15"/>
  <c r="T42156" i="15"/>
  <c r="T42155" i="15"/>
  <c r="T42154" i="15"/>
  <c r="T42153" i="15"/>
  <c r="T42152" i="15"/>
  <c r="T42151" i="15"/>
  <c r="T42150" i="15"/>
  <c r="T42149" i="15"/>
  <c r="T42148" i="15"/>
  <c r="T42147" i="15"/>
  <c r="T42146" i="15"/>
  <c r="T42145" i="15"/>
  <c r="T42144" i="15"/>
  <c r="T42143" i="15"/>
  <c r="T42142" i="15"/>
  <c r="T42141" i="15"/>
  <c r="T42140" i="15"/>
  <c r="T42139" i="15"/>
  <c r="T42138" i="15"/>
  <c r="T42137" i="15"/>
  <c r="T42136" i="15"/>
  <c r="T42135" i="15"/>
  <c r="T42134" i="15"/>
  <c r="T42133" i="15"/>
  <c r="T42132" i="15"/>
  <c r="T42131" i="15"/>
  <c r="T42130" i="15"/>
  <c r="T42129" i="15"/>
  <c r="T42128" i="15"/>
  <c r="T42127" i="15"/>
  <c r="T42126" i="15"/>
  <c r="T42125" i="15"/>
  <c r="T42124" i="15"/>
  <c r="T42123" i="15"/>
  <c r="T42122" i="15"/>
  <c r="T42121" i="15"/>
  <c r="T42120" i="15"/>
  <c r="T42119" i="15"/>
  <c r="T42118" i="15"/>
  <c r="T42117" i="15"/>
  <c r="T42116" i="15"/>
  <c r="T42115" i="15"/>
  <c r="T42114" i="15"/>
  <c r="T42113" i="15"/>
  <c r="T42112" i="15"/>
  <c r="T42111" i="15"/>
  <c r="T42110" i="15"/>
  <c r="T42109" i="15"/>
  <c r="T42108" i="15"/>
  <c r="T42107" i="15"/>
  <c r="T42106" i="15"/>
  <c r="T42105" i="15"/>
  <c r="T42104" i="15"/>
  <c r="T42103" i="15"/>
  <c r="T42102" i="15"/>
  <c r="T42101" i="15"/>
  <c r="T42100" i="15"/>
  <c r="T42099" i="15"/>
  <c r="T42098" i="15"/>
  <c r="T42097" i="15"/>
  <c r="T42096" i="15"/>
  <c r="T42095" i="15"/>
  <c r="T42094" i="15"/>
  <c r="T42093" i="15"/>
  <c r="T42092" i="15"/>
  <c r="T42091" i="15"/>
  <c r="T42090" i="15"/>
  <c r="T42089" i="15"/>
  <c r="T42088" i="15"/>
  <c r="T42087" i="15"/>
  <c r="T42086" i="15"/>
  <c r="T42085" i="15"/>
  <c r="T42084" i="15"/>
  <c r="T42083" i="15"/>
  <c r="T42082" i="15"/>
  <c r="T42081" i="15"/>
  <c r="T42080" i="15"/>
  <c r="T42079" i="15"/>
  <c r="T42078" i="15"/>
  <c r="T42077" i="15"/>
  <c r="T42076" i="15"/>
  <c r="T42075" i="15"/>
  <c r="T42074" i="15"/>
  <c r="T42073" i="15"/>
  <c r="T42072" i="15"/>
  <c r="T42071" i="15"/>
  <c r="T42070" i="15"/>
  <c r="T42069" i="15"/>
  <c r="T42068" i="15"/>
  <c r="T42067" i="15"/>
  <c r="T42066" i="15"/>
  <c r="T42065" i="15"/>
  <c r="T42064" i="15"/>
  <c r="T42063" i="15"/>
  <c r="T42062" i="15"/>
  <c r="T42061" i="15"/>
  <c r="T42060" i="15"/>
  <c r="T42059" i="15"/>
  <c r="T42058" i="15"/>
  <c r="T42057" i="15"/>
  <c r="T42056" i="15"/>
  <c r="T42055" i="15"/>
  <c r="T42054" i="15"/>
  <c r="T42053" i="15"/>
  <c r="T42052" i="15"/>
  <c r="T42051" i="15"/>
  <c r="T42050" i="15"/>
  <c r="T42049" i="15"/>
  <c r="T42048" i="15"/>
  <c r="T42047" i="15"/>
  <c r="T42046" i="15"/>
  <c r="T42045" i="15"/>
  <c r="T42044" i="15"/>
  <c r="T42043" i="15"/>
  <c r="T42042" i="15"/>
  <c r="T42041" i="15"/>
  <c r="T42040" i="15"/>
  <c r="T42039" i="15"/>
  <c r="T42038" i="15"/>
  <c r="T42037" i="15"/>
  <c r="T42036" i="15"/>
  <c r="T42035" i="15"/>
  <c r="T42034" i="15"/>
  <c r="T42033" i="15"/>
  <c r="T42032" i="15"/>
  <c r="T42031" i="15"/>
  <c r="T42030" i="15"/>
  <c r="T42029" i="15"/>
  <c r="T42028" i="15"/>
  <c r="T42027" i="15"/>
  <c r="T42026" i="15"/>
  <c r="T42025" i="15"/>
  <c r="T42024" i="15"/>
  <c r="T42023" i="15"/>
  <c r="T42022" i="15"/>
  <c r="T42021" i="15"/>
  <c r="T42020" i="15"/>
  <c r="T42019" i="15"/>
  <c r="T42018" i="15"/>
  <c r="T42017" i="15"/>
  <c r="T42016" i="15"/>
  <c r="T42015" i="15"/>
  <c r="T42014" i="15"/>
  <c r="T42013" i="15"/>
  <c r="T42012" i="15"/>
  <c r="T42011" i="15"/>
  <c r="T42010" i="15"/>
  <c r="T42009" i="15"/>
  <c r="T42008" i="15"/>
  <c r="T42007" i="15"/>
  <c r="T42006" i="15"/>
  <c r="T42005" i="15"/>
  <c r="T42004" i="15"/>
  <c r="T42003" i="15"/>
  <c r="T42002" i="15"/>
  <c r="T42001" i="15"/>
  <c r="T42000" i="15"/>
  <c r="T41999" i="15"/>
  <c r="T41998" i="15"/>
  <c r="T41997" i="15"/>
  <c r="T41996" i="15"/>
  <c r="T41995" i="15"/>
  <c r="T41994" i="15"/>
  <c r="T41993" i="15"/>
  <c r="T41992" i="15"/>
  <c r="T41991" i="15"/>
  <c r="T41990" i="15"/>
  <c r="T41989" i="15"/>
  <c r="T41988" i="15"/>
  <c r="T41987" i="15"/>
  <c r="T41986" i="15"/>
  <c r="T41985" i="15"/>
  <c r="T41984" i="15"/>
  <c r="T41983" i="15"/>
  <c r="T41982" i="15"/>
  <c r="T41981" i="15"/>
  <c r="T41980" i="15"/>
  <c r="T41979" i="15"/>
  <c r="T41978" i="15"/>
  <c r="T41977" i="15"/>
  <c r="T41976" i="15"/>
  <c r="T41975" i="15"/>
  <c r="T41974" i="15"/>
  <c r="T41973" i="15"/>
  <c r="T41972" i="15"/>
  <c r="T41971" i="15"/>
  <c r="T41970" i="15"/>
  <c r="T41969" i="15"/>
  <c r="T41968" i="15"/>
  <c r="T41967" i="15"/>
  <c r="T41966" i="15"/>
  <c r="T41965" i="15"/>
  <c r="T41964" i="15"/>
  <c r="T41963" i="15"/>
  <c r="T41962" i="15"/>
  <c r="T41961" i="15"/>
  <c r="T41960" i="15"/>
  <c r="T41959" i="15"/>
  <c r="T41958" i="15"/>
  <c r="T41957" i="15"/>
  <c r="T41956" i="15"/>
  <c r="T41955" i="15"/>
  <c r="T41954" i="15"/>
  <c r="T41953" i="15"/>
  <c r="T41952" i="15"/>
  <c r="T41951" i="15"/>
  <c r="T41950" i="15"/>
  <c r="T41949" i="15"/>
  <c r="T41948" i="15"/>
  <c r="T41947" i="15"/>
  <c r="T41946" i="15"/>
  <c r="T41945" i="15"/>
  <c r="T41944" i="15"/>
  <c r="T41943" i="15"/>
  <c r="T41942" i="15"/>
  <c r="T41941" i="15"/>
  <c r="T41940" i="15"/>
  <c r="T41939" i="15"/>
  <c r="T41938" i="15"/>
  <c r="T41937" i="15"/>
  <c r="T41936" i="15"/>
  <c r="T41935" i="15"/>
  <c r="T41934" i="15"/>
  <c r="T41933" i="15"/>
  <c r="T41932" i="15"/>
  <c r="T41931" i="15"/>
  <c r="T41930" i="15"/>
  <c r="T41929" i="15"/>
  <c r="T41928" i="15"/>
  <c r="T41927" i="15"/>
  <c r="T41926" i="15"/>
  <c r="T41925" i="15"/>
  <c r="T41924" i="15"/>
  <c r="T41923" i="15"/>
  <c r="T41922" i="15"/>
  <c r="T41921" i="15"/>
  <c r="T41920" i="15"/>
  <c r="T41919" i="15"/>
  <c r="T41918" i="15"/>
  <c r="T41917" i="15"/>
  <c r="T41916" i="15"/>
  <c r="T41915" i="15"/>
  <c r="T41914" i="15"/>
  <c r="T41913" i="15"/>
  <c r="T41912" i="15"/>
  <c r="T41911" i="15"/>
  <c r="T41910" i="15"/>
  <c r="T41909" i="15"/>
  <c r="T41908" i="15"/>
  <c r="T41907" i="15"/>
  <c r="T41906" i="15"/>
  <c r="T41905" i="15"/>
  <c r="T41904" i="15"/>
  <c r="T41903" i="15"/>
  <c r="T41902" i="15"/>
  <c r="T41901" i="15"/>
  <c r="T41900" i="15"/>
  <c r="T41899" i="15"/>
  <c r="T41898" i="15"/>
  <c r="T41897" i="15"/>
  <c r="T41896" i="15"/>
  <c r="T41895" i="15"/>
  <c r="T41894" i="15"/>
  <c r="T41893" i="15"/>
  <c r="T41892" i="15"/>
  <c r="T41891" i="15"/>
  <c r="T41890" i="15"/>
  <c r="T41889" i="15"/>
  <c r="T41888" i="15"/>
  <c r="T41887" i="15"/>
  <c r="T41886" i="15"/>
  <c r="T41885" i="15"/>
  <c r="T41884" i="15"/>
  <c r="T41883" i="15"/>
  <c r="T41882" i="15"/>
  <c r="T41881" i="15"/>
  <c r="T41880" i="15"/>
  <c r="T41879" i="15"/>
  <c r="T41878" i="15"/>
  <c r="T41877" i="15"/>
  <c r="T41876" i="15"/>
  <c r="T41875" i="15"/>
  <c r="T41874" i="15"/>
  <c r="T41873" i="15"/>
  <c r="T41872" i="15"/>
  <c r="T41871" i="15"/>
  <c r="T41870" i="15"/>
  <c r="T41869" i="15"/>
  <c r="T41868" i="15"/>
  <c r="T41867" i="15"/>
  <c r="T41866" i="15"/>
  <c r="T41865" i="15"/>
  <c r="T41864" i="15"/>
  <c r="T41863" i="15"/>
  <c r="T41862" i="15"/>
  <c r="T41861" i="15"/>
  <c r="T41860" i="15"/>
  <c r="T41859" i="15"/>
  <c r="T41858" i="15"/>
  <c r="T41857" i="15"/>
  <c r="T41856" i="15"/>
  <c r="T41855" i="15"/>
  <c r="T41854" i="15"/>
  <c r="T41853" i="15"/>
  <c r="T41852" i="15"/>
  <c r="T41851" i="15"/>
  <c r="T41850" i="15"/>
  <c r="T41849" i="15"/>
  <c r="T41848" i="15"/>
  <c r="T41847" i="15"/>
  <c r="T41846" i="15"/>
  <c r="T41845" i="15"/>
  <c r="T41844" i="15"/>
  <c r="T41843" i="15"/>
  <c r="T41842" i="15"/>
  <c r="T41841" i="15"/>
  <c r="T41840" i="15"/>
  <c r="T41839" i="15"/>
  <c r="T41838" i="15"/>
  <c r="T41837" i="15"/>
  <c r="T41836" i="15"/>
  <c r="T41835" i="15"/>
  <c r="T41834" i="15"/>
  <c r="T41833" i="15"/>
  <c r="T41832" i="15"/>
  <c r="T41831" i="15"/>
  <c r="T41830" i="15"/>
  <c r="T41829" i="15"/>
  <c r="T41828" i="15"/>
  <c r="T41827" i="15"/>
  <c r="T41826" i="15"/>
  <c r="T41825" i="15"/>
  <c r="T41824" i="15"/>
  <c r="T41823" i="15"/>
  <c r="T41822" i="15"/>
  <c r="T41821" i="15"/>
  <c r="T41820" i="15"/>
  <c r="T41819" i="15"/>
  <c r="T41818" i="15"/>
  <c r="T41817" i="15"/>
  <c r="T41816" i="15"/>
  <c r="T41815" i="15"/>
  <c r="T41814" i="15"/>
  <c r="T41813" i="15"/>
  <c r="T41812" i="15"/>
  <c r="T41811" i="15"/>
  <c r="T41810" i="15"/>
  <c r="T41809" i="15"/>
  <c r="T41808" i="15"/>
  <c r="T41807" i="15"/>
  <c r="T41806" i="15"/>
  <c r="T41805" i="15"/>
  <c r="T41804" i="15"/>
  <c r="T41803" i="15"/>
  <c r="T41802" i="15"/>
  <c r="T41801" i="15"/>
  <c r="T41800" i="15"/>
  <c r="T41799" i="15"/>
  <c r="T41798" i="15"/>
  <c r="T41797" i="15"/>
  <c r="T41796" i="15"/>
  <c r="T41795" i="15"/>
  <c r="T41794" i="15"/>
  <c r="T41793" i="15"/>
  <c r="T41792" i="15"/>
  <c r="T41791" i="15"/>
  <c r="T41790" i="15"/>
  <c r="T41789" i="15"/>
  <c r="T41788" i="15"/>
  <c r="T41787" i="15"/>
  <c r="T41786" i="15"/>
  <c r="T41785" i="15"/>
  <c r="T41784" i="15"/>
  <c r="T41783" i="15"/>
  <c r="T41782" i="15"/>
  <c r="T41781" i="15"/>
  <c r="T41780" i="15"/>
  <c r="T41779" i="15"/>
  <c r="T41778" i="15"/>
  <c r="T41777" i="15"/>
  <c r="T41776" i="15"/>
  <c r="T41775" i="15"/>
  <c r="T41774" i="15"/>
  <c r="T41773" i="15"/>
  <c r="T41772" i="15"/>
  <c r="T41771" i="15"/>
  <c r="T41770" i="15"/>
  <c r="T41769" i="15"/>
  <c r="T41768" i="15"/>
  <c r="T41767" i="15"/>
  <c r="T41766" i="15"/>
  <c r="T41765" i="15"/>
  <c r="T41764" i="15"/>
  <c r="T41763" i="15"/>
  <c r="T41762" i="15"/>
  <c r="T41761" i="15"/>
  <c r="T41760" i="15"/>
  <c r="T41759" i="15"/>
  <c r="T41758" i="15"/>
  <c r="T41757" i="15"/>
  <c r="T41756" i="15"/>
  <c r="T41755" i="15"/>
  <c r="T41754" i="15"/>
  <c r="T41753" i="15"/>
  <c r="T41752" i="15"/>
  <c r="T41751" i="15"/>
  <c r="T41750" i="15"/>
  <c r="T41749" i="15"/>
  <c r="T41748" i="15"/>
  <c r="T41747" i="15"/>
  <c r="T41746" i="15"/>
  <c r="T41745" i="15"/>
  <c r="T41744" i="15"/>
  <c r="T41743" i="15"/>
  <c r="T41742" i="15"/>
  <c r="T41741" i="15"/>
  <c r="T41740" i="15"/>
  <c r="T41739" i="15"/>
  <c r="T41738" i="15"/>
  <c r="T41737" i="15"/>
  <c r="T41736" i="15"/>
  <c r="T41735" i="15"/>
  <c r="T41734" i="15"/>
  <c r="T41733" i="15"/>
  <c r="T41732" i="15"/>
  <c r="T41731" i="15"/>
  <c r="T41730" i="15"/>
  <c r="T41729" i="15"/>
  <c r="T41728" i="15"/>
  <c r="T41727" i="15"/>
  <c r="T41726" i="15"/>
  <c r="T41725" i="15"/>
  <c r="T41724" i="15"/>
  <c r="T41723" i="15"/>
  <c r="T41722" i="15"/>
  <c r="T41721" i="15"/>
  <c r="T41720" i="15"/>
  <c r="T41719" i="15"/>
  <c r="T41718" i="15"/>
  <c r="T41717" i="15"/>
  <c r="T41716" i="15"/>
  <c r="T41715" i="15"/>
  <c r="T41714" i="15"/>
  <c r="T41713" i="15"/>
  <c r="T41712" i="15"/>
  <c r="T41711" i="15"/>
  <c r="T41710" i="15"/>
  <c r="T41709" i="15"/>
  <c r="T41708" i="15"/>
  <c r="T41707" i="15"/>
  <c r="T41706" i="15"/>
  <c r="T41705" i="15"/>
  <c r="T41704" i="15"/>
  <c r="T41703" i="15"/>
  <c r="T41702" i="15"/>
  <c r="T41701" i="15"/>
  <c r="T41700" i="15"/>
  <c r="T41699" i="15"/>
  <c r="T41698" i="15"/>
  <c r="T41697" i="15"/>
  <c r="T41696" i="15"/>
  <c r="T41695" i="15"/>
  <c r="T41694" i="15"/>
  <c r="T41693" i="15"/>
  <c r="T41692" i="15"/>
  <c r="T41691" i="15"/>
  <c r="T41690" i="15"/>
  <c r="T41689" i="15"/>
  <c r="T41688" i="15"/>
  <c r="T41687" i="15"/>
  <c r="T41686" i="15"/>
  <c r="T41685" i="15"/>
  <c r="T41684" i="15"/>
  <c r="T41683" i="15"/>
  <c r="T41682" i="15"/>
  <c r="T41681" i="15"/>
  <c r="T41680" i="15"/>
  <c r="T41679" i="15"/>
  <c r="T41678" i="15"/>
  <c r="T41677" i="15"/>
  <c r="T41676" i="15"/>
  <c r="T41675" i="15"/>
  <c r="T41674" i="15"/>
  <c r="T41673" i="15"/>
  <c r="T41672" i="15"/>
  <c r="T41671" i="15"/>
  <c r="T41670" i="15"/>
  <c r="T41669" i="15"/>
  <c r="T41668" i="15"/>
  <c r="T41667" i="15"/>
  <c r="T41666" i="15"/>
  <c r="T41665" i="15"/>
  <c r="T41664" i="15"/>
  <c r="T41663" i="15"/>
  <c r="T41662" i="15"/>
  <c r="T41661" i="15"/>
  <c r="T41660" i="15"/>
  <c r="T41659" i="15"/>
  <c r="T41658" i="15"/>
  <c r="T41657" i="15"/>
  <c r="T41656" i="15"/>
  <c r="T41655" i="15"/>
  <c r="T41654" i="15"/>
  <c r="T41653" i="15"/>
  <c r="T41652" i="15"/>
  <c r="T41651" i="15"/>
  <c r="T41650" i="15"/>
  <c r="T41649" i="15"/>
  <c r="T41648" i="15"/>
  <c r="T41647" i="15"/>
  <c r="T41646" i="15"/>
  <c r="T41645" i="15"/>
  <c r="T41644" i="15"/>
  <c r="T41643" i="15"/>
  <c r="T41642" i="15"/>
  <c r="T41641" i="15"/>
  <c r="T41640" i="15"/>
  <c r="T41639" i="15"/>
  <c r="T41638" i="15"/>
  <c r="T41637" i="15"/>
  <c r="T41636" i="15"/>
  <c r="T41635" i="15"/>
  <c r="T41634" i="15"/>
  <c r="T41633" i="15"/>
  <c r="T41632" i="15"/>
  <c r="T41631" i="15"/>
  <c r="T41630" i="15"/>
  <c r="T41629" i="15"/>
  <c r="T41628" i="15"/>
  <c r="T41627" i="15"/>
  <c r="T41626" i="15"/>
  <c r="T41625" i="15"/>
  <c r="T41624" i="15"/>
  <c r="T41623" i="15"/>
  <c r="T41622" i="15"/>
  <c r="T41621" i="15"/>
  <c r="T41620" i="15"/>
  <c r="T41619" i="15"/>
  <c r="T41618" i="15"/>
  <c r="T41617" i="15"/>
  <c r="T41616" i="15"/>
  <c r="T41615" i="15"/>
  <c r="T41614" i="15"/>
  <c r="T41613" i="15"/>
  <c r="T41612" i="15"/>
  <c r="T41611" i="15"/>
  <c r="T41610" i="15"/>
  <c r="T41609" i="15"/>
  <c r="T41608" i="15"/>
  <c r="T41607" i="15"/>
  <c r="T41606" i="15"/>
  <c r="T41605" i="15"/>
  <c r="T41604" i="15"/>
  <c r="T41603" i="15"/>
  <c r="T41602" i="15"/>
  <c r="T41601" i="15"/>
  <c r="T41600" i="15"/>
  <c r="T41599" i="15"/>
  <c r="T41598" i="15"/>
  <c r="T41597" i="15"/>
  <c r="T41596" i="15"/>
  <c r="T41595" i="15"/>
  <c r="T41594" i="15"/>
  <c r="T41593" i="15"/>
  <c r="T41592" i="15"/>
  <c r="T41591" i="15"/>
  <c r="T41590" i="15"/>
  <c r="T41589" i="15"/>
  <c r="T41588" i="15"/>
  <c r="T41587" i="15"/>
  <c r="T41586" i="15"/>
  <c r="T41585" i="15"/>
  <c r="T41584" i="15"/>
  <c r="T41583" i="15"/>
  <c r="T41582" i="15"/>
  <c r="T41581" i="15"/>
  <c r="T41580" i="15"/>
  <c r="T41579" i="15"/>
  <c r="T41578" i="15"/>
  <c r="T41577" i="15"/>
  <c r="T41576" i="15"/>
  <c r="T41575" i="15"/>
  <c r="T41574" i="15"/>
  <c r="T41573" i="15"/>
  <c r="T41572" i="15"/>
  <c r="T41571" i="15"/>
  <c r="T41570" i="15"/>
  <c r="T41569" i="15"/>
  <c r="T41568" i="15"/>
  <c r="T41567" i="15"/>
  <c r="T41566" i="15"/>
  <c r="T41565" i="15"/>
  <c r="T41564" i="15"/>
  <c r="T41563" i="15"/>
  <c r="T41562" i="15"/>
  <c r="T41561" i="15"/>
  <c r="T41560" i="15"/>
  <c r="T41559" i="15"/>
  <c r="T41558" i="15"/>
  <c r="T41557" i="15"/>
  <c r="T41556" i="15"/>
  <c r="T41555" i="15"/>
  <c r="T41554" i="15"/>
  <c r="T41553" i="15"/>
  <c r="T41552" i="15"/>
  <c r="T41551" i="15"/>
  <c r="T41550" i="15"/>
  <c r="T41549" i="15"/>
  <c r="T41548" i="15"/>
  <c r="T41547" i="15"/>
  <c r="T41546" i="15"/>
  <c r="T41545" i="15"/>
  <c r="T41544" i="15"/>
  <c r="T41543" i="15"/>
  <c r="T41542" i="15"/>
  <c r="T41541" i="15"/>
  <c r="T41540" i="15"/>
  <c r="T41539" i="15"/>
  <c r="T41538" i="15"/>
  <c r="T41537" i="15"/>
  <c r="T41536" i="15"/>
  <c r="T41535" i="15"/>
  <c r="T41534" i="15"/>
  <c r="T41533" i="15"/>
  <c r="T41532" i="15"/>
  <c r="T41531" i="15"/>
  <c r="T41530" i="15"/>
  <c r="T41529" i="15"/>
  <c r="T41528" i="15"/>
  <c r="T41527" i="15"/>
  <c r="T41526" i="15"/>
  <c r="T41525" i="15"/>
  <c r="T41524" i="15"/>
  <c r="T41523" i="15"/>
  <c r="T41522" i="15"/>
  <c r="T41521" i="15"/>
  <c r="T41520" i="15"/>
  <c r="T41519" i="15"/>
  <c r="T41518" i="15"/>
  <c r="T41517" i="15"/>
  <c r="T41516" i="15"/>
  <c r="T41515" i="15"/>
  <c r="T41514" i="15"/>
  <c r="T41513" i="15"/>
  <c r="T41512" i="15"/>
  <c r="T41511" i="15"/>
  <c r="T41510" i="15"/>
  <c r="T41509" i="15"/>
  <c r="T41508" i="15"/>
  <c r="T41507" i="15"/>
  <c r="T41506" i="15"/>
  <c r="T41505" i="15"/>
  <c r="T41504" i="15"/>
  <c r="T41503" i="15"/>
  <c r="T41502" i="15"/>
  <c r="T41501" i="15"/>
  <c r="T41500" i="15"/>
  <c r="T41499" i="15"/>
  <c r="T41498" i="15"/>
  <c r="T41497" i="15"/>
  <c r="T41496" i="15"/>
  <c r="T41495" i="15"/>
  <c r="T41494" i="15"/>
  <c r="T41493" i="15"/>
  <c r="T41492" i="15"/>
  <c r="T41491" i="15"/>
  <c r="T41490" i="15"/>
  <c r="T41489" i="15"/>
  <c r="T41488" i="15"/>
  <c r="T41487" i="15"/>
  <c r="T41486" i="15"/>
  <c r="T41485" i="15"/>
  <c r="T41484" i="15"/>
  <c r="T41483" i="15"/>
  <c r="T41482" i="15"/>
  <c r="T41481" i="15"/>
  <c r="T41480" i="15"/>
  <c r="T41479" i="15"/>
  <c r="T41478" i="15"/>
  <c r="T41477" i="15"/>
  <c r="T41476" i="15"/>
  <c r="T41475" i="15"/>
  <c r="T41474" i="15"/>
  <c r="T41473" i="15"/>
  <c r="T41472" i="15"/>
  <c r="T41471" i="15"/>
  <c r="T41470" i="15"/>
  <c r="T41469" i="15"/>
  <c r="T41468" i="15"/>
  <c r="T41467" i="15"/>
  <c r="T41466" i="15"/>
  <c r="T41465" i="15"/>
  <c r="T41464" i="15"/>
  <c r="T41463" i="15"/>
  <c r="T41462" i="15"/>
  <c r="T41461" i="15"/>
  <c r="T41460" i="15"/>
  <c r="T41459" i="15"/>
  <c r="T41458" i="15"/>
  <c r="T41457" i="15"/>
  <c r="T41456" i="15"/>
  <c r="T41455" i="15"/>
  <c r="T41454" i="15"/>
  <c r="T41453" i="15"/>
  <c r="T41452" i="15"/>
  <c r="T41451" i="15"/>
  <c r="T41450" i="15"/>
  <c r="T41449" i="15"/>
  <c r="T41448" i="15"/>
  <c r="T41447" i="15"/>
  <c r="T41446" i="15"/>
  <c r="T41445" i="15"/>
  <c r="T41444" i="15"/>
  <c r="T41443" i="15"/>
  <c r="T41442" i="15"/>
  <c r="T41441" i="15"/>
  <c r="T41440" i="15"/>
  <c r="T41439" i="15"/>
  <c r="T41438" i="15"/>
  <c r="T41437" i="15"/>
  <c r="T41436" i="15"/>
  <c r="T41435" i="15"/>
  <c r="T41434" i="15"/>
  <c r="T41433" i="15"/>
  <c r="T41432" i="15"/>
  <c r="T41431" i="15"/>
  <c r="T41430" i="15"/>
  <c r="T41429" i="15"/>
  <c r="T41428" i="15"/>
  <c r="T41427" i="15"/>
  <c r="T41426" i="15"/>
  <c r="T41425" i="15"/>
  <c r="T41424" i="15"/>
  <c r="T41423" i="15"/>
  <c r="T41422" i="15"/>
  <c r="T41421" i="15"/>
  <c r="T41420" i="15"/>
  <c r="T41419" i="15"/>
  <c r="T41418" i="15"/>
  <c r="T41417" i="15"/>
  <c r="T41416" i="15"/>
  <c r="T41415" i="15"/>
  <c r="T41414" i="15"/>
  <c r="T41413" i="15"/>
  <c r="T41412" i="15"/>
  <c r="T41411" i="15"/>
  <c r="T41410" i="15"/>
  <c r="T41409" i="15"/>
  <c r="T41408" i="15"/>
  <c r="T41407" i="15"/>
  <c r="T41406" i="15"/>
  <c r="T41405" i="15"/>
  <c r="T41404" i="15"/>
  <c r="T41403" i="15"/>
  <c r="T41402" i="15"/>
  <c r="T41401" i="15"/>
  <c r="T41400" i="15"/>
  <c r="T41399" i="15"/>
  <c r="T41398" i="15"/>
  <c r="T41397" i="15"/>
  <c r="T41396" i="15"/>
  <c r="T41395" i="15"/>
  <c r="T41394" i="15"/>
  <c r="T41393" i="15"/>
  <c r="T41392" i="15"/>
  <c r="T41391" i="15"/>
  <c r="T41390" i="15"/>
  <c r="T41389" i="15"/>
  <c r="T41388" i="15"/>
  <c r="T41387" i="15"/>
  <c r="T41386" i="15"/>
  <c r="T41385" i="15"/>
  <c r="T41384" i="15"/>
  <c r="T41383" i="15"/>
  <c r="T41382" i="15"/>
  <c r="T41381" i="15"/>
  <c r="T41380" i="15"/>
  <c r="T41379" i="15"/>
  <c r="T41378" i="15"/>
  <c r="T41377" i="15"/>
  <c r="T41376" i="15"/>
  <c r="T41375" i="15"/>
  <c r="T41374" i="15"/>
  <c r="T41373" i="15"/>
  <c r="T41372" i="15"/>
  <c r="T41371" i="15"/>
  <c r="T41370" i="15"/>
  <c r="T41369" i="15"/>
  <c r="T41368" i="15"/>
  <c r="T41367" i="15"/>
  <c r="T41366" i="15"/>
  <c r="T41365" i="15"/>
  <c r="T41364" i="15"/>
  <c r="T41363" i="15"/>
  <c r="T41362" i="15"/>
  <c r="T41361" i="15"/>
  <c r="T41360" i="15"/>
  <c r="T41359" i="15"/>
  <c r="T41358" i="15"/>
  <c r="T41357" i="15"/>
  <c r="T41356" i="15"/>
  <c r="T41355" i="15"/>
  <c r="T41354" i="15"/>
  <c r="T41353" i="15"/>
  <c r="T41352" i="15"/>
  <c r="T41351" i="15"/>
  <c r="T41350" i="15"/>
  <c r="T41349" i="15"/>
  <c r="T41348" i="15"/>
  <c r="T41347" i="15"/>
  <c r="T41346" i="15"/>
  <c r="T41345" i="15"/>
  <c r="T41344" i="15"/>
  <c r="T41343" i="15"/>
  <c r="T41342" i="15"/>
  <c r="T41341" i="15"/>
  <c r="T41340" i="15"/>
  <c r="T41339" i="15"/>
  <c r="T41338" i="15"/>
  <c r="T41337" i="15"/>
  <c r="T41336" i="15"/>
  <c r="T41335" i="15"/>
  <c r="T41334" i="15"/>
  <c r="T41333" i="15"/>
  <c r="T41332" i="15"/>
  <c r="T41331" i="15"/>
  <c r="T41330" i="15"/>
  <c r="T41329" i="15"/>
  <c r="T41328" i="15"/>
  <c r="T41327" i="15"/>
  <c r="T41326" i="15"/>
  <c r="T41325" i="15"/>
  <c r="T41324" i="15"/>
  <c r="T41323" i="15"/>
  <c r="T41322" i="15"/>
  <c r="T41321" i="15"/>
  <c r="T41320" i="15"/>
  <c r="T41319" i="15"/>
  <c r="T41318" i="15"/>
  <c r="T41317" i="15"/>
  <c r="T41316" i="15"/>
  <c r="T41315" i="15"/>
  <c r="T41314" i="15"/>
  <c r="T41313" i="15"/>
  <c r="T41312" i="15"/>
  <c r="T41311" i="15"/>
  <c r="T41310" i="15"/>
  <c r="T41309" i="15"/>
  <c r="T41308" i="15"/>
  <c r="T41307" i="15"/>
  <c r="T41306" i="15"/>
  <c r="T41305" i="15"/>
  <c r="T41304" i="15"/>
  <c r="T41303" i="15"/>
  <c r="T41302" i="15"/>
  <c r="T41301" i="15"/>
  <c r="T41300" i="15"/>
  <c r="T41299" i="15"/>
  <c r="T41298" i="15"/>
  <c r="T41297" i="15"/>
  <c r="T41296" i="15"/>
  <c r="T41295" i="15"/>
  <c r="T41294" i="15"/>
  <c r="T41293" i="15"/>
  <c r="T41292" i="15"/>
  <c r="T41291" i="15"/>
  <c r="T41290" i="15"/>
  <c r="T41289" i="15"/>
  <c r="T41288" i="15"/>
  <c r="T41287" i="15"/>
  <c r="T41286" i="15"/>
  <c r="T41285" i="15"/>
  <c r="T41284" i="15"/>
  <c r="T41283" i="15"/>
  <c r="T41282" i="15"/>
  <c r="T41281" i="15"/>
  <c r="T41280" i="15"/>
  <c r="T41279" i="15"/>
  <c r="T41278" i="15"/>
  <c r="T41277" i="15"/>
  <c r="T41276" i="15"/>
  <c r="T41275" i="15"/>
  <c r="T41274" i="15"/>
  <c r="T41273" i="15"/>
  <c r="T41272" i="15"/>
  <c r="T41271" i="15"/>
  <c r="T41270" i="15"/>
  <c r="T41269" i="15"/>
  <c r="T41268" i="15"/>
  <c r="T41267" i="15"/>
  <c r="T41266" i="15"/>
  <c r="T41265" i="15"/>
  <c r="T41264" i="15"/>
  <c r="T41263" i="15"/>
  <c r="T41262" i="15"/>
  <c r="T41261" i="15"/>
  <c r="T41260" i="15"/>
  <c r="T41259" i="15"/>
  <c r="T41258" i="15"/>
  <c r="T41257" i="15"/>
  <c r="T41256" i="15"/>
  <c r="T41255" i="15"/>
  <c r="T41254" i="15"/>
  <c r="T41253" i="15"/>
  <c r="T41252" i="15"/>
  <c r="T41251" i="15"/>
  <c r="T41250" i="15"/>
  <c r="T41249" i="15"/>
  <c r="T41248" i="15"/>
  <c r="T41247" i="15"/>
  <c r="T41246" i="15"/>
  <c r="T41245" i="15"/>
  <c r="T41244" i="15"/>
  <c r="T41243" i="15"/>
  <c r="T41242" i="15"/>
  <c r="T41241" i="15"/>
  <c r="T41240" i="15"/>
  <c r="T41239" i="15"/>
  <c r="T41238" i="15"/>
  <c r="T41237" i="15"/>
  <c r="T41236" i="15"/>
  <c r="T41235" i="15"/>
  <c r="T41234" i="15"/>
  <c r="T41233" i="15"/>
  <c r="T41232" i="15"/>
  <c r="T41231" i="15"/>
  <c r="T41230" i="15"/>
  <c r="T41229" i="15"/>
  <c r="T41228" i="15"/>
  <c r="T41227" i="15"/>
  <c r="T41226" i="15"/>
  <c r="T41225" i="15"/>
  <c r="T41224" i="15"/>
  <c r="T41223" i="15"/>
  <c r="T41222" i="15"/>
  <c r="T41221" i="15"/>
  <c r="T41220" i="15"/>
  <c r="T41219" i="15"/>
  <c r="T41218" i="15"/>
  <c r="T41217" i="15"/>
  <c r="T41216" i="15"/>
  <c r="T41215" i="15"/>
  <c r="T41214" i="15"/>
  <c r="T41213" i="15"/>
  <c r="T41212" i="15"/>
  <c r="T41211" i="15"/>
  <c r="T41210" i="15"/>
  <c r="T41209" i="15"/>
  <c r="T41208" i="15"/>
  <c r="T41207" i="15"/>
  <c r="T41206" i="15"/>
  <c r="T41205" i="15"/>
  <c r="T41204" i="15"/>
  <c r="T41203" i="15"/>
  <c r="T41202" i="15"/>
  <c r="T41201" i="15"/>
  <c r="T41200" i="15"/>
  <c r="T41199" i="15"/>
  <c r="T41198" i="15"/>
  <c r="T41197" i="15"/>
  <c r="T41196" i="15"/>
  <c r="T41195" i="15"/>
  <c r="T41194" i="15"/>
  <c r="T41193" i="15"/>
  <c r="T41192" i="15"/>
  <c r="T41191" i="15"/>
  <c r="T41190" i="15"/>
  <c r="T41189" i="15"/>
  <c r="T41188" i="15"/>
  <c r="T41187" i="15"/>
  <c r="T41186" i="15"/>
  <c r="T41185" i="15"/>
  <c r="T41184" i="15"/>
  <c r="T41183" i="15"/>
  <c r="T41182" i="15"/>
  <c r="T41181" i="15"/>
  <c r="T41180" i="15"/>
  <c r="T41179" i="15"/>
  <c r="T41178" i="15"/>
  <c r="T41177" i="15"/>
  <c r="T41176" i="15"/>
  <c r="T41175" i="15"/>
  <c r="T41174" i="15"/>
  <c r="T41173" i="15"/>
  <c r="T41172" i="15"/>
  <c r="T41171" i="15"/>
  <c r="T41170" i="15"/>
  <c r="T41169" i="15"/>
  <c r="T41168" i="15"/>
  <c r="T41167" i="15"/>
  <c r="T41166" i="15"/>
  <c r="T41165" i="15"/>
  <c r="T41164" i="15"/>
  <c r="T41163" i="15"/>
  <c r="T41162" i="15"/>
  <c r="T41161" i="15"/>
  <c r="T41160" i="15"/>
  <c r="T41159" i="15"/>
  <c r="T41158" i="15"/>
  <c r="T41157" i="15"/>
  <c r="T41156" i="15"/>
  <c r="T41155" i="15"/>
  <c r="T41154" i="15"/>
  <c r="T41153" i="15"/>
  <c r="T41152" i="15"/>
  <c r="T41151" i="15"/>
  <c r="T41150" i="15"/>
  <c r="T41149" i="15"/>
  <c r="T41148" i="15"/>
  <c r="T41147" i="15"/>
  <c r="T41146" i="15"/>
  <c r="T41145" i="15"/>
  <c r="T41144" i="15"/>
  <c r="T41143" i="15"/>
  <c r="T41142" i="15"/>
  <c r="T41141" i="15"/>
  <c r="T41140" i="15"/>
  <c r="T41139" i="15"/>
  <c r="T41138" i="15"/>
  <c r="T41137" i="15"/>
  <c r="T41136" i="15"/>
  <c r="T41135" i="15"/>
  <c r="T41134" i="15"/>
  <c r="T41133" i="15"/>
  <c r="T41132" i="15"/>
  <c r="T41131" i="15"/>
  <c r="T41130" i="15"/>
  <c r="T41129" i="15"/>
  <c r="T41128" i="15"/>
  <c r="T41127" i="15"/>
  <c r="T41126" i="15"/>
  <c r="T41125" i="15"/>
  <c r="T41124" i="15"/>
  <c r="T41123" i="15"/>
  <c r="T41122" i="15"/>
  <c r="T41121" i="15"/>
  <c r="T41120" i="15"/>
  <c r="T41119" i="15"/>
  <c r="T41118" i="15"/>
  <c r="T41117" i="15"/>
  <c r="T41116" i="15"/>
  <c r="T41115" i="15"/>
  <c r="T41114" i="15"/>
  <c r="T41113" i="15"/>
  <c r="T41112" i="15"/>
  <c r="T41111" i="15"/>
  <c r="T41110" i="15"/>
  <c r="T41109" i="15"/>
  <c r="T41108" i="15"/>
  <c r="T41107" i="15"/>
  <c r="T41106" i="15"/>
  <c r="T41105" i="15"/>
  <c r="T41104" i="15"/>
  <c r="T41103" i="15"/>
  <c r="T41102" i="15"/>
  <c r="T41101" i="15"/>
  <c r="T41100" i="15"/>
  <c r="T41099" i="15"/>
  <c r="T41098" i="15"/>
  <c r="T41097" i="15"/>
  <c r="T41096" i="15"/>
  <c r="T41095" i="15"/>
  <c r="T41094" i="15"/>
  <c r="T41093" i="15"/>
  <c r="T41092" i="15"/>
  <c r="T41091" i="15"/>
  <c r="T41090" i="15"/>
  <c r="T41089" i="15"/>
  <c r="T41088" i="15"/>
  <c r="T41087" i="15"/>
  <c r="T41086" i="15"/>
  <c r="T41085" i="15"/>
  <c r="T41084" i="15"/>
  <c r="T41083" i="15"/>
  <c r="T41082" i="15"/>
  <c r="T41081" i="15"/>
  <c r="T41080" i="15"/>
  <c r="T41079" i="15"/>
  <c r="T41078" i="15"/>
  <c r="T41077" i="15"/>
  <c r="T41076" i="15"/>
  <c r="T41075" i="15"/>
  <c r="T41074" i="15"/>
  <c r="T41073" i="15"/>
  <c r="T41072" i="15"/>
  <c r="T41071" i="15"/>
  <c r="T41070" i="15"/>
  <c r="T41069" i="15"/>
  <c r="T41068" i="15"/>
  <c r="T41067" i="15"/>
  <c r="T41066" i="15"/>
  <c r="T41065" i="15"/>
  <c r="T41064" i="15"/>
  <c r="T41063" i="15"/>
  <c r="T41062" i="15"/>
  <c r="T41061" i="15"/>
  <c r="T41060" i="15"/>
  <c r="T41059" i="15"/>
  <c r="T41058" i="15"/>
  <c r="T41057" i="15"/>
  <c r="T41056" i="15"/>
  <c r="T41055" i="15"/>
  <c r="T41054" i="15"/>
  <c r="T41053" i="15"/>
  <c r="T41052" i="15"/>
  <c r="T41051" i="15"/>
  <c r="T41050" i="15"/>
  <c r="T41049" i="15"/>
  <c r="T41048" i="15"/>
  <c r="T41047" i="15"/>
  <c r="T41046" i="15"/>
  <c r="T41045" i="15"/>
  <c r="T41044" i="15"/>
  <c r="T41043" i="15"/>
  <c r="T41042" i="15"/>
  <c r="T41041" i="15"/>
  <c r="T41040" i="15"/>
  <c r="T41039" i="15"/>
  <c r="T41038" i="15"/>
  <c r="T41037" i="15"/>
  <c r="T41036" i="15"/>
  <c r="T41035" i="15"/>
  <c r="T41034" i="15"/>
  <c r="T41033" i="15"/>
  <c r="T41032" i="15"/>
  <c r="T41031" i="15"/>
  <c r="T41030" i="15"/>
  <c r="T41029" i="15"/>
  <c r="T41028" i="15"/>
  <c r="T41027" i="15"/>
  <c r="T41026" i="15"/>
  <c r="T41025" i="15"/>
  <c r="T41024" i="15"/>
  <c r="T41023" i="15"/>
  <c r="T41022" i="15"/>
  <c r="T41021" i="15"/>
  <c r="T41020" i="15"/>
  <c r="T41019" i="15"/>
  <c r="T41018" i="15"/>
  <c r="T41017" i="15"/>
  <c r="T41016" i="15"/>
  <c r="T41015" i="15"/>
  <c r="T41014" i="15"/>
  <c r="T41013" i="15"/>
  <c r="T41012" i="15"/>
  <c r="T41011" i="15"/>
  <c r="T41010" i="15"/>
  <c r="T41009" i="15"/>
  <c r="T41008" i="15"/>
  <c r="T41007" i="15"/>
  <c r="T41006" i="15"/>
  <c r="T41005" i="15"/>
  <c r="T41004" i="15"/>
  <c r="T41003" i="15"/>
  <c r="T41002" i="15"/>
  <c r="T41001" i="15"/>
  <c r="T41000" i="15"/>
  <c r="T40999" i="15"/>
  <c r="T40998" i="15"/>
  <c r="T40997" i="15"/>
  <c r="T40996" i="15"/>
  <c r="T40995" i="15"/>
  <c r="T40994" i="15"/>
  <c r="T40993" i="15"/>
  <c r="T40992" i="15"/>
  <c r="T40991" i="15"/>
  <c r="T40990" i="15"/>
  <c r="T40989" i="15"/>
  <c r="T40988" i="15"/>
  <c r="T40987" i="15"/>
  <c r="T40986" i="15"/>
  <c r="T40985" i="15"/>
  <c r="T40984" i="15"/>
  <c r="T40983" i="15"/>
  <c r="T40982" i="15"/>
  <c r="T40981" i="15"/>
  <c r="T40980" i="15"/>
  <c r="T40979" i="15"/>
  <c r="T40978" i="15"/>
  <c r="T40977" i="15"/>
  <c r="T40976" i="15"/>
  <c r="T40975" i="15"/>
  <c r="T40974" i="15"/>
  <c r="T40973" i="15"/>
  <c r="T40972" i="15"/>
  <c r="T40971" i="15"/>
  <c r="T40970" i="15"/>
  <c r="T40969" i="15"/>
  <c r="T40968" i="15"/>
  <c r="T40967" i="15"/>
  <c r="T40966" i="15"/>
  <c r="T40965" i="15"/>
  <c r="T40964" i="15"/>
  <c r="T40963" i="15"/>
  <c r="T40962" i="15"/>
  <c r="T40961" i="15"/>
  <c r="T40960" i="15"/>
  <c r="T40959" i="15"/>
  <c r="T40958" i="15"/>
  <c r="T40957" i="15"/>
  <c r="T40956" i="15"/>
  <c r="T40955" i="15"/>
  <c r="T40954" i="15"/>
  <c r="T40953" i="15"/>
  <c r="T40952" i="15"/>
  <c r="T40951" i="15"/>
  <c r="T40950" i="15"/>
  <c r="T40949" i="15"/>
  <c r="T40948" i="15"/>
  <c r="T40947" i="15"/>
  <c r="T40946" i="15"/>
  <c r="T40945" i="15"/>
  <c r="T40944" i="15"/>
  <c r="T40943" i="15"/>
  <c r="T40942" i="15"/>
  <c r="T40941" i="15"/>
  <c r="T40940" i="15"/>
  <c r="T40939" i="15"/>
  <c r="T40938" i="15"/>
  <c r="T40937" i="15"/>
  <c r="T40936" i="15"/>
  <c r="T40935" i="15"/>
  <c r="T40934" i="15"/>
  <c r="T40933" i="15"/>
  <c r="T40932" i="15"/>
  <c r="T40931" i="15"/>
  <c r="T40930" i="15"/>
  <c r="T40929" i="15"/>
  <c r="T40928" i="15"/>
  <c r="T40927" i="15"/>
  <c r="T40926" i="15"/>
  <c r="T40925" i="15"/>
  <c r="T40924" i="15"/>
  <c r="T40923" i="15"/>
  <c r="T40922" i="15"/>
  <c r="T40921" i="15"/>
  <c r="T40920" i="15"/>
  <c r="T40919" i="15"/>
  <c r="T40918" i="15"/>
  <c r="T40917" i="15"/>
  <c r="T40916" i="15"/>
  <c r="T40915" i="15"/>
  <c r="T40914" i="15"/>
  <c r="T40913" i="15"/>
  <c r="T40912" i="15"/>
  <c r="T40911" i="15"/>
  <c r="T40910" i="15"/>
  <c r="T40909" i="15"/>
  <c r="T40908" i="15"/>
  <c r="T40907" i="15"/>
  <c r="T40906" i="15"/>
  <c r="T40905" i="15"/>
  <c r="T40904" i="15"/>
  <c r="T40903" i="15"/>
  <c r="T40902" i="15"/>
  <c r="T40901" i="15"/>
  <c r="T40900" i="15"/>
  <c r="T40899" i="15"/>
  <c r="T40898" i="15"/>
  <c r="T40897" i="15"/>
  <c r="T40896" i="15"/>
  <c r="T40895" i="15"/>
  <c r="T40894" i="15"/>
  <c r="T40893" i="15"/>
  <c r="T40892" i="15"/>
  <c r="T40891" i="15"/>
  <c r="T40890" i="15"/>
  <c r="T40889" i="15"/>
  <c r="T40888" i="15"/>
  <c r="T40887" i="15"/>
  <c r="T40886" i="15"/>
  <c r="T40885" i="15"/>
  <c r="T40884" i="15"/>
  <c r="T40883" i="15"/>
  <c r="T40882" i="15"/>
  <c r="T40881" i="15"/>
  <c r="T40880" i="15"/>
  <c r="T40879" i="15"/>
  <c r="T40878" i="15"/>
  <c r="T40877" i="15"/>
  <c r="T40876" i="15"/>
  <c r="T40875" i="15"/>
  <c r="T40874" i="15"/>
  <c r="T40873" i="15"/>
  <c r="T40872" i="15"/>
  <c r="T40871" i="15"/>
  <c r="T40870" i="15"/>
  <c r="T40869" i="15"/>
  <c r="T40868" i="15"/>
  <c r="T40867" i="15"/>
  <c r="T40866" i="15"/>
  <c r="T40865" i="15"/>
  <c r="T40864" i="15"/>
  <c r="T40863" i="15"/>
  <c r="T40862" i="15"/>
  <c r="T40861" i="15"/>
  <c r="T40860" i="15"/>
  <c r="T40859" i="15"/>
  <c r="T40858" i="15"/>
  <c r="T40857" i="15"/>
  <c r="T40856" i="15"/>
  <c r="T40855" i="15"/>
  <c r="T40854" i="15"/>
  <c r="T40853" i="15"/>
  <c r="T40852" i="15"/>
  <c r="T40851" i="15"/>
  <c r="T40850" i="15"/>
  <c r="T40849" i="15"/>
  <c r="T40848" i="15"/>
  <c r="T40847" i="15"/>
  <c r="T40846" i="15"/>
  <c r="T40845" i="15"/>
  <c r="T40844" i="15"/>
  <c r="T40843" i="15"/>
  <c r="T40842" i="15"/>
  <c r="T40841" i="15"/>
  <c r="T40840" i="15"/>
  <c r="T40839" i="15"/>
  <c r="T40838" i="15"/>
  <c r="T40837" i="15"/>
  <c r="T40836" i="15"/>
  <c r="T40835" i="15"/>
  <c r="T40834" i="15"/>
  <c r="T40833" i="15"/>
  <c r="T40832" i="15"/>
  <c r="T40831" i="15"/>
  <c r="T40830" i="15"/>
  <c r="T40829" i="15"/>
  <c r="T40828" i="15"/>
  <c r="T40827" i="15"/>
  <c r="T40826" i="15"/>
  <c r="T40825" i="15"/>
  <c r="T40824" i="15"/>
  <c r="T40823" i="15"/>
  <c r="T40822" i="15"/>
  <c r="T40821" i="15"/>
  <c r="T40820" i="15"/>
  <c r="T40819" i="15"/>
  <c r="T40818" i="15"/>
  <c r="T40817" i="15"/>
  <c r="T40816" i="15"/>
  <c r="T40815" i="15"/>
  <c r="T40814" i="15"/>
  <c r="T40813" i="15"/>
  <c r="T40812" i="15"/>
  <c r="T40811" i="15"/>
  <c r="T40810" i="15"/>
  <c r="T40809" i="15"/>
  <c r="T40808" i="15"/>
  <c r="T40807" i="15"/>
  <c r="T40806" i="15"/>
  <c r="T40805" i="15"/>
  <c r="T40804" i="15"/>
  <c r="T40803" i="15"/>
  <c r="T40802" i="15"/>
  <c r="T40801" i="15"/>
  <c r="T40800" i="15"/>
  <c r="T40799" i="15"/>
  <c r="T40798" i="15"/>
  <c r="T40797" i="15"/>
  <c r="T40796" i="15"/>
  <c r="T40795" i="15"/>
  <c r="T40794" i="15"/>
  <c r="T40793" i="15"/>
  <c r="T40792" i="15"/>
  <c r="T40791" i="15"/>
  <c r="T40790" i="15"/>
  <c r="T40789" i="15"/>
  <c r="T40788" i="15"/>
  <c r="T40787" i="15"/>
  <c r="T40786" i="15"/>
  <c r="T40785" i="15"/>
  <c r="T40784" i="15"/>
  <c r="T40783" i="15"/>
  <c r="T40782" i="15"/>
  <c r="T40781" i="15"/>
  <c r="T40780" i="15"/>
  <c r="T40779" i="15"/>
  <c r="T40778" i="15"/>
  <c r="T40777" i="15"/>
  <c r="T40776" i="15"/>
  <c r="T40775" i="15"/>
  <c r="T40774" i="15"/>
  <c r="T40773" i="15"/>
  <c r="T40772" i="15"/>
  <c r="T40771" i="15"/>
  <c r="T40770" i="15"/>
  <c r="T40769" i="15"/>
  <c r="T40768" i="15"/>
  <c r="T40767" i="15"/>
  <c r="T40766" i="15"/>
  <c r="T40765" i="15"/>
  <c r="T40764" i="15"/>
  <c r="T40763" i="15"/>
  <c r="T40762" i="15"/>
  <c r="T40761" i="15"/>
  <c r="T40760" i="15"/>
  <c r="T40759" i="15"/>
  <c r="T40758" i="15"/>
  <c r="T40757" i="15"/>
  <c r="T40756" i="15"/>
  <c r="T40755" i="15"/>
  <c r="T40754" i="15"/>
  <c r="T40753" i="15"/>
  <c r="T40752" i="15"/>
  <c r="T40751" i="15"/>
  <c r="T40750" i="15"/>
  <c r="T40749" i="15"/>
  <c r="T40748" i="15"/>
  <c r="T40747" i="15"/>
  <c r="T40746" i="15"/>
  <c r="T40745" i="15"/>
  <c r="T40744" i="15"/>
  <c r="T40743" i="15"/>
  <c r="T40742" i="15"/>
  <c r="T40741" i="15"/>
  <c r="T40740" i="15"/>
  <c r="T40739" i="15"/>
  <c r="T40738" i="15"/>
  <c r="T40737" i="15"/>
  <c r="T40736" i="15"/>
  <c r="T40735" i="15"/>
  <c r="T40734" i="15"/>
  <c r="T40733" i="15"/>
  <c r="T40732" i="15"/>
  <c r="T40731" i="15"/>
  <c r="T40730" i="15"/>
  <c r="T40729" i="15"/>
  <c r="T40728" i="15"/>
  <c r="T40727" i="15"/>
  <c r="T40726" i="15"/>
  <c r="T40725" i="15"/>
  <c r="T40724" i="15"/>
  <c r="T40723" i="15"/>
  <c r="T40722" i="15"/>
  <c r="T40721" i="15"/>
  <c r="T40720" i="15"/>
  <c r="T40719" i="15"/>
  <c r="T40718" i="15"/>
  <c r="T40717" i="15"/>
  <c r="T40716" i="15"/>
  <c r="T40715" i="15"/>
  <c r="T40714" i="15"/>
  <c r="T40713" i="15"/>
  <c r="T40712" i="15"/>
  <c r="T40711" i="15"/>
  <c r="T40710" i="15"/>
  <c r="T40709" i="15"/>
  <c r="T40708" i="15"/>
  <c r="T40707" i="15"/>
  <c r="T40706" i="15"/>
  <c r="T40705" i="15"/>
  <c r="T40704" i="15"/>
  <c r="T40703" i="15"/>
  <c r="T40702" i="15"/>
  <c r="T40701" i="15"/>
  <c r="T40700" i="15"/>
  <c r="T40699" i="15"/>
  <c r="T40698" i="15"/>
  <c r="T40697" i="15"/>
  <c r="T40696" i="15"/>
  <c r="T40695" i="15"/>
  <c r="T40694" i="15"/>
  <c r="T40693" i="15"/>
  <c r="T40692" i="15"/>
  <c r="T40691" i="15"/>
  <c r="T40690" i="15"/>
  <c r="T40689" i="15"/>
  <c r="T40688" i="15"/>
  <c r="T40687" i="15"/>
  <c r="T40686" i="15"/>
  <c r="T40685" i="15"/>
  <c r="T40684" i="15"/>
  <c r="T40683" i="15"/>
  <c r="T40682" i="15"/>
  <c r="T40681" i="15"/>
  <c r="T40680" i="15"/>
  <c r="T40679" i="15"/>
  <c r="T40678" i="15"/>
  <c r="T40677" i="15"/>
  <c r="T40676" i="15"/>
  <c r="T40675" i="15"/>
  <c r="T40674" i="15"/>
  <c r="T40673" i="15"/>
  <c r="T40672" i="15"/>
  <c r="T40671" i="15"/>
  <c r="T40670" i="15"/>
  <c r="T40669" i="15"/>
  <c r="T40668" i="15"/>
  <c r="T40667" i="15"/>
  <c r="T40666" i="15"/>
  <c r="T40665" i="15"/>
  <c r="T40664" i="15"/>
  <c r="T40663" i="15"/>
  <c r="T40662" i="15"/>
  <c r="T40661" i="15"/>
  <c r="T40660" i="15"/>
  <c r="T40659" i="15"/>
  <c r="T40658" i="15"/>
  <c r="T40657" i="15"/>
  <c r="T40656" i="15"/>
  <c r="T40655" i="15"/>
  <c r="T40654" i="15"/>
  <c r="T40653" i="15"/>
  <c r="T40652" i="15"/>
  <c r="T40651" i="15"/>
  <c r="T40650" i="15"/>
  <c r="T40649" i="15"/>
  <c r="T40648" i="15"/>
  <c r="T40647" i="15"/>
  <c r="T40646" i="15"/>
  <c r="T40645" i="15"/>
  <c r="T40644" i="15"/>
  <c r="T40643" i="15"/>
  <c r="T40642" i="15"/>
  <c r="T40641" i="15"/>
  <c r="T40640" i="15"/>
  <c r="T40639" i="15"/>
  <c r="T40638" i="15"/>
  <c r="T40637" i="15"/>
  <c r="T40636" i="15"/>
  <c r="T40635" i="15"/>
  <c r="T40634" i="15"/>
  <c r="T40633" i="15"/>
  <c r="T40632" i="15"/>
  <c r="T40631" i="15"/>
  <c r="T40630" i="15"/>
  <c r="T40629" i="15"/>
  <c r="T40628" i="15"/>
  <c r="T40627" i="15"/>
  <c r="T40626" i="15"/>
  <c r="T40625" i="15"/>
  <c r="T40624" i="15"/>
  <c r="T40623" i="15"/>
  <c r="T40622" i="15"/>
  <c r="T40621" i="15"/>
  <c r="T40620" i="15"/>
  <c r="T40619" i="15"/>
  <c r="T40618" i="15"/>
  <c r="T40617" i="15"/>
  <c r="T40616" i="15"/>
  <c r="T40615" i="15"/>
  <c r="T40614" i="15"/>
  <c r="T40613" i="15"/>
  <c r="T40612" i="15"/>
  <c r="T40611" i="15"/>
  <c r="T40610" i="15"/>
  <c r="T40609" i="15"/>
  <c r="T40608" i="15"/>
  <c r="T40607" i="15"/>
  <c r="T40606" i="15"/>
  <c r="T40605" i="15"/>
  <c r="T40604" i="15"/>
  <c r="T40603" i="15"/>
  <c r="T40602" i="15"/>
  <c r="T40601" i="15"/>
  <c r="T40600" i="15"/>
  <c r="T40599" i="15"/>
  <c r="T40598" i="15"/>
  <c r="T40597" i="15"/>
  <c r="T40596" i="15"/>
  <c r="T40595" i="15"/>
  <c r="T40594" i="15"/>
  <c r="T40593" i="15"/>
  <c r="T40592" i="15"/>
  <c r="T40591" i="15"/>
  <c r="T40590" i="15"/>
  <c r="T40589" i="15"/>
  <c r="T40588" i="15"/>
  <c r="T40587" i="15"/>
  <c r="T40586" i="15"/>
  <c r="T40585" i="15"/>
  <c r="T40584" i="15"/>
  <c r="T40583" i="15"/>
  <c r="T40582" i="15"/>
  <c r="T40581" i="15"/>
  <c r="T40580" i="15"/>
  <c r="T40579" i="15"/>
  <c r="T40578" i="15"/>
  <c r="T40577" i="15"/>
  <c r="T40576" i="15"/>
  <c r="T40575" i="15"/>
  <c r="T40574" i="15"/>
  <c r="T40573" i="15"/>
  <c r="T40572" i="15"/>
  <c r="T40571" i="15"/>
  <c r="T40570" i="15"/>
  <c r="T40569" i="15"/>
  <c r="T40568" i="15"/>
  <c r="T40567" i="15"/>
  <c r="T40566" i="15"/>
  <c r="T40565" i="15"/>
  <c r="T40564" i="15"/>
  <c r="T40563" i="15"/>
  <c r="T40562" i="15"/>
  <c r="T40561" i="15"/>
  <c r="T40560" i="15"/>
  <c r="T40559" i="15"/>
  <c r="T40558" i="15"/>
  <c r="T40557" i="15"/>
  <c r="T40556" i="15"/>
  <c r="T40555" i="15"/>
  <c r="T40554" i="15"/>
  <c r="T40553" i="15"/>
  <c r="T40552" i="15"/>
  <c r="T40551" i="15"/>
  <c r="T40550" i="15"/>
  <c r="T40549" i="15"/>
  <c r="T40548" i="15"/>
  <c r="T40547" i="15"/>
  <c r="T40546" i="15"/>
  <c r="T40545" i="15"/>
  <c r="T40544" i="15"/>
  <c r="T40543" i="15"/>
  <c r="T40542" i="15"/>
  <c r="T40541" i="15"/>
  <c r="T40540" i="15"/>
  <c r="T40539" i="15"/>
  <c r="T40538" i="15"/>
  <c r="T40537" i="15"/>
  <c r="T40536" i="15"/>
  <c r="T40535" i="15"/>
  <c r="T40534" i="15"/>
  <c r="T40533" i="15"/>
  <c r="T40532" i="15"/>
  <c r="T40531" i="15"/>
  <c r="T40530" i="15"/>
  <c r="T40529" i="15"/>
  <c r="T40528" i="15"/>
  <c r="T40527" i="15"/>
  <c r="T40526" i="15"/>
  <c r="T40525" i="15"/>
  <c r="T40524" i="15"/>
  <c r="T40523" i="15"/>
  <c r="T40522" i="15"/>
  <c r="T40521" i="15"/>
  <c r="T40520" i="15"/>
  <c r="T40519" i="15"/>
  <c r="T40518" i="15"/>
  <c r="T40517" i="15"/>
  <c r="T40516" i="15"/>
  <c r="T40515" i="15"/>
  <c r="T40514" i="15"/>
  <c r="T40513" i="15"/>
  <c r="T40512" i="15"/>
  <c r="T40511" i="15"/>
  <c r="T40510" i="15"/>
  <c r="T40509" i="15"/>
  <c r="T40508" i="15"/>
  <c r="T40507" i="15"/>
  <c r="T40506" i="15"/>
  <c r="T40505" i="15"/>
  <c r="T40504" i="15"/>
  <c r="T40503" i="15"/>
  <c r="T40502" i="15"/>
  <c r="T40501" i="15"/>
  <c r="T40500" i="15"/>
  <c r="T40499" i="15"/>
  <c r="T40498" i="15"/>
  <c r="T40497" i="15"/>
  <c r="T40496" i="15"/>
  <c r="T40495" i="15"/>
  <c r="T40494" i="15"/>
  <c r="T40493" i="15"/>
  <c r="T40492" i="15"/>
  <c r="T40491" i="15"/>
  <c r="T40490" i="15"/>
  <c r="T40489" i="15"/>
  <c r="T40488" i="15"/>
  <c r="T40487" i="15"/>
  <c r="T40486" i="15"/>
  <c r="T40485" i="15"/>
  <c r="T40484" i="15"/>
  <c r="T40483" i="15"/>
  <c r="T40482" i="15"/>
  <c r="T40481" i="15"/>
  <c r="T40480" i="15"/>
  <c r="T40479" i="15"/>
  <c r="T40478" i="15"/>
  <c r="T40477" i="15"/>
  <c r="T40476" i="15"/>
  <c r="T40475" i="15"/>
  <c r="T40474" i="15"/>
  <c r="T40473" i="15"/>
  <c r="T40472" i="15"/>
  <c r="T40471" i="15"/>
  <c r="T40470" i="15"/>
  <c r="T40469" i="15"/>
  <c r="T40468" i="15"/>
  <c r="T40467" i="15"/>
  <c r="T40466" i="15"/>
  <c r="T40465" i="15"/>
  <c r="T40464" i="15"/>
  <c r="T40463" i="15"/>
  <c r="T40462" i="15"/>
  <c r="T40461" i="15"/>
  <c r="T40460" i="15"/>
  <c r="T40459" i="15"/>
  <c r="T40458" i="15"/>
  <c r="T40457" i="15"/>
  <c r="T40456" i="15"/>
  <c r="T40455" i="15"/>
  <c r="T40454" i="15"/>
  <c r="T40453" i="15"/>
  <c r="T40452" i="15"/>
  <c r="T40451" i="15"/>
  <c r="T40450" i="15"/>
  <c r="T40449" i="15"/>
  <c r="T40448" i="15"/>
  <c r="T40447" i="15"/>
  <c r="T40446" i="15"/>
  <c r="T40445" i="15"/>
  <c r="T40444" i="15"/>
  <c r="T40443" i="15"/>
  <c r="T40442" i="15"/>
  <c r="T40441" i="15"/>
  <c r="T40440" i="15"/>
  <c r="T40439" i="15"/>
  <c r="T40438" i="15"/>
  <c r="T40437" i="15"/>
  <c r="T40436" i="15"/>
  <c r="T40435" i="15"/>
  <c r="T40434" i="15"/>
  <c r="T40433" i="15"/>
  <c r="T40432" i="15"/>
  <c r="T40431" i="15"/>
  <c r="T40430" i="15"/>
  <c r="T40429" i="15"/>
  <c r="T40428" i="15"/>
  <c r="T40427" i="15"/>
  <c r="T40426" i="15"/>
  <c r="T40425" i="15"/>
  <c r="T40424" i="15"/>
  <c r="T40423" i="15"/>
  <c r="T40422" i="15"/>
  <c r="T40421" i="15"/>
  <c r="T40420" i="15"/>
  <c r="T40419" i="15"/>
  <c r="T40418" i="15"/>
  <c r="T40417" i="15"/>
  <c r="T40416" i="15"/>
  <c r="T40415" i="15"/>
  <c r="T40414" i="15"/>
  <c r="T40413" i="15"/>
  <c r="T40412" i="15"/>
  <c r="T40411" i="15"/>
  <c r="T40410" i="15"/>
  <c r="T40409" i="15"/>
  <c r="T40408" i="15"/>
  <c r="T40407" i="15"/>
  <c r="T40406" i="15"/>
  <c r="T40405" i="15"/>
  <c r="T40404" i="15"/>
  <c r="T40403" i="15"/>
  <c r="T40402" i="15"/>
  <c r="T40401" i="15"/>
  <c r="T40400" i="15"/>
  <c r="T40399" i="15"/>
  <c r="T40398" i="15"/>
  <c r="T40397" i="15"/>
  <c r="T40396" i="15"/>
  <c r="T40395" i="15"/>
  <c r="T40394" i="15"/>
  <c r="T40393" i="15"/>
  <c r="T40392" i="15"/>
  <c r="T40391" i="15"/>
  <c r="T40390" i="15"/>
  <c r="T40389" i="15"/>
  <c r="T40388" i="15"/>
  <c r="T40387" i="15"/>
  <c r="T40386" i="15"/>
  <c r="T40385" i="15"/>
  <c r="T40384" i="15"/>
  <c r="T40383" i="15"/>
  <c r="T40382" i="15"/>
  <c r="T40381" i="15"/>
  <c r="T40380" i="15"/>
  <c r="T40379" i="15"/>
  <c r="T40378" i="15"/>
  <c r="T40377" i="15"/>
  <c r="T40376" i="15"/>
  <c r="T40375" i="15"/>
  <c r="T40374" i="15"/>
  <c r="T40373" i="15"/>
  <c r="T40372" i="15"/>
  <c r="T40371" i="15"/>
  <c r="T40370" i="15"/>
  <c r="T40369" i="15"/>
  <c r="T40368" i="15"/>
  <c r="T40367" i="15"/>
  <c r="T40366" i="15"/>
  <c r="T40365" i="15"/>
  <c r="T40364" i="15"/>
  <c r="T40363" i="15"/>
  <c r="T40362" i="15"/>
  <c r="T40361" i="15"/>
  <c r="T40360" i="15"/>
  <c r="T40359" i="15"/>
  <c r="T40358" i="15"/>
  <c r="T40357" i="15"/>
  <c r="T40356" i="15"/>
  <c r="T40355" i="15"/>
  <c r="T40354" i="15"/>
  <c r="T40353" i="15"/>
  <c r="T40352" i="15"/>
  <c r="T40351" i="15"/>
  <c r="T40350" i="15"/>
  <c r="T40349" i="15"/>
  <c r="T40348" i="15"/>
  <c r="T40347" i="15"/>
  <c r="T40346" i="15"/>
  <c r="T40345" i="15"/>
  <c r="T40344" i="15"/>
  <c r="T40343" i="15"/>
  <c r="T40342" i="15"/>
  <c r="T40341" i="15"/>
  <c r="T40340" i="15"/>
  <c r="T40339" i="15"/>
  <c r="T40338" i="15"/>
  <c r="T40337" i="15"/>
  <c r="T40336" i="15"/>
  <c r="T40335" i="15"/>
  <c r="T40334" i="15"/>
  <c r="T40333" i="15"/>
  <c r="T40332" i="15"/>
  <c r="T40331" i="15"/>
  <c r="T40330" i="15"/>
  <c r="T40329" i="15"/>
  <c r="T40328" i="15"/>
  <c r="T40327" i="15"/>
  <c r="T40326" i="15"/>
  <c r="T40325" i="15"/>
  <c r="T40324" i="15"/>
  <c r="T40323" i="15"/>
  <c r="T40322" i="15"/>
  <c r="T40321" i="15"/>
  <c r="T40320" i="15"/>
  <c r="T40319" i="15"/>
  <c r="T40318" i="15"/>
  <c r="T40317" i="15"/>
  <c r="T40316" i="15"/>
  <c r="T40315" i="15"/>
  <c r="T40314" i="15"/>
  <c r="T40313" i="15"/>
  <c r="T40312" i="15"/>
  <c r="T40311" i="15"/>
  <c r="T40310" i="15"/>
  <c r="T40309" i="15"/>
  <c r="T40308" i="15"/>
  <c r="T40307" i="15"/>
  <c r="T40306" i="15"/>
  <c r="T40305" i="15"/>
  <c r="T40304" i="15"/>
  <c r="T40303" i="15"/>
  <c r="T40302" i="15"/>
  <c r="T40301" i="15"/>
  <c r="T40300" i="15"/>
  <c r="T40299" i="15"/>
  <c r="T40298" i="15"/>
  <c r="T40297" i="15"/>
  <c r="T40296" i="15"/>
  <c r="T40295" i="15"/>
  <c r="T40294" i="15"/>
  <c r="T40293" i="15"/>
  <c r="T40292" i="15"/>
  <c r="T40291" i="15"/>
  <c r="T40290" i="15"/>
  <c r="T40289" i="15"/>
  <c r="T40288" i="15"/>
  <c r="T40287" i="15"/>
  <c r="T40286" i="15"/>
  <c r="T40285" i="15"/>
  <c r="T40284" i="15"/>
  <c r="T40283" i="15"/>
  <c r="T40282" i="15"/>
  <c r="T40281" i="15"/>
  <c r="T40280" i="15"/>
  <c r="T40279" i="15"/>
  <c r="T40278" i="15"/>
  <c r="T40277" i="15"/>
  <c r="T40276" i="15"/>
  <c r="T40275" i="15"/>
  <c r="T40274" i="15"/>
  <c r="T40273" i="15"/>
  <c r="T40272" i="15"/>
  <c r="T40271" i="15"/>
  <c r="T40270" i="15"/>
  <c r="T40269" i="15"/>
  <c r="T40268" i="15"/>
  <c r="T40267" i="15"/>
  <c r="T40266" i="15"/>
  <c r="T40265" i="15"/>
  <c r="T40264" i="15"/>
  <c r="T40263" i="15"/>
  <c r="T40262" i="15"/>
  <c r="T40261" i="15"/>
  <c r="T40260" i="15"/>
  <c r="T40259" i="15"/>
  <c r="T40258" i="15"/>
  <c r="T40257" i="15"/>
  <c r="T40256" i="15"/>
  <c r="T40255" i="15"/>
  <c r="T40254" i="15"/>
  <c r="T40253" i="15"/>
  <c r="T40252" i="15"/>
  <c r="T40251" i="15"/>
  <c r="T40250" i="15"/>
  <c r="T40249" i="15"/>
  <c r="T40248" i="15"/>
  <c r="T40247" i="15"/>
  <c r="T40246" i="15"/>
  <c r="T40245" i="15"/>
  <c r="T40244" i="15"/>
  <c r="T40243" i="15"/>
  <c r="T40242" i="15"/>
  <c r="T40241" i="15"/>
  <c r="T40240" i="15"/>
  <c r="T40239" i="15"/>
  <c r="T40238" i="15"/>
  <c r="T40237" i="15"/>
  <c r="T40236" i="15"/>
  <c r="T40235" i="15"/>
  <c r="T40234" i="15"/>
  <c r="T40233" i="15"/>
  <c r="T40232" i="15"/>
  <c r="T40231" i="15"/>
  <c r="T40230" i="15"/>
  <c r="T40229" i="15"/>
  <c r="T40228" i="15"/>
  <c r="T40227" i="15"/>
  <c r="T40226" i="15"/>
  <c r="T40225" i="15"/>
  <c r="T40224" i="15"/>
  <c r="T40223" i="15"/>
  <c r="T40222" i="15"/>
  <c r="T40221" i="15"/>
  <c r="T40220" i="15"/>
  <c r="T40219" i="15"/>
  <c r="T40218" i="15"/>
  <c r="T40217" i="15"/>
  <c r="T40216" i="15"/>
  <c r="T40215" i="15"/>
  <c r="T40214" i="15"/>
  <c r="T40213" i="15"/>
  <c r="T40212" i="15"/>
  <c r="T40211" i="15"/>
  <c r="T40210" i="15"/>
  <c r="T40209" i="15"/>
  <c r="T40208" i="15"/>
  <c r="T40207" i="15"/>
  <c r="T40206" i="15"/>
  <c r="T40205" i="15"/>
  <c r="T40204" i="15"/>
  <c r="T40203" i="15"/>
  <c r="T40202" i="15"/>
  <c r="T40201" i="15"/>
  <c r="T40200" i="15"/>
  <c r="T40199" i="15"/>
  <c r="T40198" i="15"/>
  <c r="T40197" i="15"/>
  <c r="T40196" i="15"/>
  <c r="T40195" i="15"/>
  <c r="T40194" i="15"/>
  <c r="T40193" i="15"/>
  <c r="T40192" i="15"/>
  <c r="T40191" i="15"/>
  <c r="T40190" i="15"/>
  <c r="T40189" i="15"/>
  <c r="T40188" i="15"/>
  <c r="T40187" i="15"/>
  <c r="T40186" i="15"/>
  <c r="T40185" i="15"/>
  <c r="T40184" i="15"/>
  <c r="T40183" i="15"/>
  <c r="T40182" i="15"/>
  <c r="T40181" i="15"/>
  <c r="T40180" i="15"/>
  <c r="T40179" i="15"/>
  <c r="T40178" i="15"/>
  <c r="T40177" i="15"/>
  <c r="T40176" i="15"/>
  <c r="T40175" i="15"/>
  <c r="T40174" i="15"/>
  <c r="T40173" i="15"/>
  <c r="T40172" i="15"/>
  <c r="T40171" i="15"/>
  <c r="T40170" i="15"/>
  <c r="T40169" i="15"/>
  <c r="T40168" i="15"/>
  <c r="T40167" i="15"/>
  <c r="T40166" i="15"/>
  <c r="T40165" i="15"/>
  <c r="T40164" i="15"/>
  <c r="T40163" i="15"/>
  <c r="T40162" i="15"/>
  <c r="T40161" i="15"/>
  <c r="T40160" i="15"/>
  <c r="T40159" i="15"/>
  <c r="T40158" i="15"/>
  <c r="T40157" i="15"/>
  <c r="T40156" i="15"/>
  <c r="T40155" i="15"/>
  <c r="T40154" i="15"/>
  <c r="T40153" i="15"/>
  <c r="T40152" i="15"/>
  <c r="T40151" i="15"/>
  <c r="T40150" i="15"/>
  <c r="T40149" i="15"/>
  <c r="T40148" i="15"/>
  <c r="T40147" i="15"/>
  <c r="T40146" i="15"/>
  <c r="T40145" i="15"/>
  <c r="T40144" i="15"/>
  <c r="T40143" i="15"/>
  <c r="T40142" i="15"/>
  <c r="T40141" i="15"/>
  <c r="T40140" i="15"/>
  <c r="T40139" i="15"/>
  <c r="T40138" i="15"/>
  <c r="T40137" i="15"/>
  <c r="T40136" i="15"/>
  <c r="T40135" i="15"/>
  <c r="T40134" i="15"/>
  <c r="T40133" i="15"/>
  <c r="T40132" i="15"/>
  <c r="T40131" i="15"/>
  <c r="T40130" i="15"/>
  <c r="T40129" i="15"/>
  <c r="T40128" i="15"/>
  <c r="T40127" i="15"/>
  <c r="T40126" i="15"/>
  <c r="T40125" i="15"/>
  <c r="T40124" i="15"/>
  <c r="T40123" i="15"/>
  <c r="T40122" i="15"/>
  <c r="T40121" i="15"/>
  <c r="T40120" i="15"/>
  <c r="T40119" i="15"/>
  <c r="T40118" i="15"/>
  <c r="T40117" i="15"/>
  <c r="T40116" i="15"/>
  <c r="T40115" i="15"/>
  <c r="T40114" i="15"/>
  <c r="T40113" i="15"/>
  <c r="T40112" i="15"/>
  <c r="T40111" i="15"/>
  <c r="T40110" i="15"/>
  <c r="T40109" i="15"/>
  <c r="T40108" i="15"/>
  <c r="T40107" i="15"/>
  <c r="T40106" i="15"/>
  <c r="T40105" i="15"/>
  <c r="T40104" i="15"/>
  <c r="T40103" i="15"/>
  <c r="T40102" i="15"/>
  <c r="T40101" i="15"/>
  <c r="T40100" i="15"/>
  <c r="T40099" i="15"/>
  <c r="T40098" i="15"/>
  <c r="T40097" i="15"/>
  <c r="T40096" i="15"/>
  <c r="T40095" i="15"/>
  <c r="T40094" i="15"/>
  <c r="T40093" i="15"/>
  <c r="T40092" i="15"/>
  <c r="T40091" i="15"/>
  <c r="T40090" i="15"/>
  <c r="T40089" i="15"/>
  <c r="T40088" i="15"/>
  <c r="T40087" i="15"/>
  <c r="T40086" i="15"/>
  <c r="T40085" i="15"/>
  <c r="T40084" i="15"/>
  <c r="T40083" i="15"/>
  <c r="T40082" i="15"/>
  <c r="T40081" i="15"/>
  <c r="T40080" i="15"/>
  <c r="T40079" i="15"/>
  <c r="T40078" i="15"/>
  <c r="T40077" i="15"/>
  <c r="T40076" i="15"/>
  <c r="T40075" i="15"/>
  <c r="T40074" i="15"/>
  <c r="T40073" i="15"/>
  <c r="T40072" i="15"/>
  <c r="T40071" i="15"/>
  <c r="T40070" i="15"/>
  <c r="T40069" i="15"/>
  <c r="T40068" i="15"/>
  <c r="T40067" i="15"/>
  <c r="T40066" i="15"/>
  <c r="T40065" i="15"/>
  <c r="T40064" i="15"/>
  <c r="T40063" i="15"/>
  <c r="T40062" i="15"/>
  <c r="T40061" i="15"/>
  <c r="T40060" i="15"/>
  <c r="T40059" i="15"/>
  <c r="T40058" i="15"/>
  <c r="T40057" i="15"/>
  <c r="T40056" i="15"/>
  <c r="T40055" i="15"/>
  <c r="T40054" i="15"/>
  <c r="T40053" i="15"/>
  <c r="T40052" i="15"/>
  <c r="T40051" i="15"/>
  <c r="T40050" i="15"/>
  <c r="T40049" i="15"/>
  <c r="T40048" i="15"/>
  <c r="T40047" i="15"/>
  <c r="T40046" i="15"/>
  <c r="T40045" i="15"/>
  <c r="T40044" i="15"/>
  <c r="T40043" i="15"/>
  <c r="T40042" i="15"/>
  <c r="T40041" i="15"/>
  <c r="T40040" i="15"/>
  <c r="T40039" i="15"/>
  <c r="T40038" i="15"/>
  <c r="T40037" i="15"/>
  <c r="T40036" i="15"/>
  <c r="T40035" i="15"/>
  <c r="T40034" i="15"/>
  <c r="T40033" i="15"/>
  <c r="T40032" i="15"/>
  <c r="T40031" i="15"/>
  <c r="T40030" i="15"/>
  <c r="T40029" i="15"/>
  <c r="T40028" i="15"/>
  <c r="T40027" i="15"/>
  <c r="T40026" i="15"/>
  <c r="T40025" i="15"/>
  <c r="T40024" i="15"/>
  <c r="T40023" i="15"/>
  <c r="T40022" i="15"/>
  <c r="T40021" i="15"/>
  <c r="T40020" i="15"/>
  <c r="T40019" i="15"/>
  <c r="T40018" i="15"/>
  <c r="T40017" i="15"/>
  <c r="T40016" i="15"/>
  <c r="T40015" i="15"/>
  <c r="T40014" i="15"/>
  <c r="T40013" i="15"/>
  <c r="T40012" i="15"/>
  <c r="T40011" i="15"/>
  <c r="T40010" i="15"/>
  <c r="T40009" i="15"/>
  <c r="T40008" i="15"/>
  <c r="T40007" i="15"/>
  <c r="T40006" i="15"/>
  <c r="T40005" i="15"/>
  <c r="T40004" i="15"/>
  <c r="T40003" i="15"/>
  <c r="T40002" i="15"/>
  <c r="T40001" i="15"/>
  <c r="T40000" i="15"/>
  <c r="T39999" i="15"/>
  <c r="T39998" i="15"/>
  <c r="T39997" i="15"/>
  <c r="T39996" i="15"/>
  <c r="T39995" i="15"/>
  <c r="T39994" i="15"/>
  <c r="T39993" i="15"/>
  <c r="T39992" i="15"/>
  <c r="T39991" i="15"/>
  <c r="T39990" i="15"/>
  <c r="T39989" i="15"/>
  <c r="T39988" i="15"/>
  <c r="T39987" i="15"/>
  <c r="T39986" i="15"/>
  <c r="T39985" i="15"/>
  <c r="T39984" i="15"/>
  <c r="T39983" i="15"/>
  <c r="T39982" i="15"/>
  <c r="T39981" i="15"/>
  <c r="T39980" i="15"/>
  <c r="T39979" i="15"/>
  <c r="T39978" i="15"/>
  <c r="T39977" i="15"/>
  <c r="T39976" i="15"/>
  <c r="T39975" i="15"/>
  <c r="T39974" i="15"/>
  <c r="T39973" i="15"/>
  <c r="T39972" i="15"/>
  <c r="T39971" i="15"/>
  <c r="T39970" i="15"/>
  <c r="T39969" i="15"/>
  <c r="T39968" i="15"/>
  <c r="T39967" i="15"/>
  <c r="T39966" i="15"/>
  <c r="T39965" i="15"/>
  <c r="T39964" i="15"/>
  <c r="T39963" i="15"/>
  <c r="T39962" i="15"/>
  <c r="T39961" i="15"/>
  <c r="T39960" i="15"/>
  <c r="T39959" i="15"/>
  <c r="T39958" i="15"/>
  <c r="T39957" i="15"/>
  <c r="T39956" i="15"/>
  <c r="T39955" i="15"/>
  <c r="T39954" i="15"/>
  <c r="T39953" i="15"/>
  <c r="T39952" i="15"/>
  <c r="T39951" i="15"/>
  <c r="T39950" i="15"/>
  <c r="T39949" i="15"/>
  <c r="T39948" i="15"/>
  <c r="T39947" i="15"/>
  <c r="T39946" i="15"/>
  <c r="T39945" i="15"/>
  <c r="T39944" i="15"/>
  <c r="T39943" i="15"/>
  <c r="T39942" i="15"/>
  <c r="T39941" i="15"/>
  <c r="T39940" i="15"/>
  <c r="T39939" i="15"/>
  <c r="T39938" i="15"/>
  <c r="T39937" i="15"/>
  <c r="T39936" i="15"/>
  <c r="T39935" i="15"/>
  <c r="T39934" i="15"/>
  <c r="T39933" i="15"/>
  <c r="T39932" i="15"/>
  <c r="T39931" i="15"/>
  <c r="T39930" i="15"/>
  <c r="T39929" i="15"/>
  <c r="T39928" i="15"/>
  <c r="T39927" i="15"/>
  <c r="T39926" i="15"/>
  <c r="T39925" i="15"/>
  <c r="T39924" i="15"/>
  <c r="T39923" i="15"/>
  <c r="T39922" i="15"/>
  <c r="T39921" i="15"/>
  <c r="T39920" i="15"/>
  <c r="T39919" i="15"/>
  <c r="T39918" i="15"/>
  <c r="T39917" i="15"/>
  <c r="T39916" i="15"/>
  <c r="T39915" i="15"/>
  <c r="T39914" i="15"/>
  <c r="T39913" i="15"/>
  <c r="T39912" i="15"/>
  <c r="T39911" i="15"/>
  <c r="T39910" i="15"/>
  <c r="T39909" i="15"/>
  <c r="T39908" i="15"/>
  <c r="T39907" i="15"/>
  <c r="T39906" i="15"/>
  <c r="T39905" i="15"/>
  <c r="T39904" i="15"/>
  <c r="T39903" i="15"/>
  <c r="T39902" i="15"/>
  <c r="T39901" i="15"/>
  <c r="T39900" i="15"/>
  <c r="T39899" i="15"/>
  <c r="T39898" i="15"/>
  <c r="T39897" i="15"/>
  <c r="T39896" i="15"/>
  <c r="T39895" i="15"/>
  <c r="T39894" i="15"/>
  <c r="T39893" i="15"/>
  <c r="T39892" i="15"/>
  <c r="T39891" i="15"/>
  <c r="T39890" i="15"/>
  <c r="T39889" i="15"/>
  <c r="T39888" i="15"/>
  <c r="T39887" i="15"/>
  <c r="T39886" i="15"/>
  <c r="T39885" i="15"/>
  <c r="T39884" i="15"/>
  <c r="T39883" i="15"/>
  <c r="T39882" i="15"/>
  <c r="T39881" i="15"/>
  <c r="T39880" i="15"/>
  <c r="T39879" i="15"/>
  <c r="T39878" i="15"/>
  <c r="T39877" i="15"/>
  <c r="T39876" i="15"/>
  <c r="T39875" i="15"/>
  <c r="T39874" i="15"/>
  <c r="T39873" i="15"/>
  <c r="T39872" i="15"/>
  <c r="T39871" i="15"/>
  <c r="T39870" i="15"/>
  <c r="T39869" i="15"/>
  <c r="T39868" i="15"/>
  <c r="T39867" i="15"/>
  <c r="T39866" i="15"/>
  <c r="T39865" i="15"/>
  <c r="T39864" i="15"/>
  <c r="T39863" i="15"/>
  <c r="T39862" i="15"/>
  <c r="T39861" i="15"/>
  <c r="T39860" i="15"/>
  <c r="T39859" i="15"/>
  <c r="T39858" i="15"/>
  <c r="T39857" i="15"/>
  <c r="T39856" i="15"/>
  <c r="T39855" i="15"/>
  <c r="T39854" i="15"/>
  <c r="T39853" i="15"/>
  <c r="T39852" i="15"/>
  <c r="T39851" i="15"/>
  <c r="T39850" i="15"/>
  <c r="T39849" i="15"/>
  <c r="T39848" i="15"/>
  <c r="T39847" i="15"/>
  <c r="T39846" i="15"/>
  <c r="T39845" i="15"/>
  <c r="T39844" i="15"/>
  <c r="T39843" i="15"/>
  <c r="T39842" i="15"/>
  <c r="T39841" i="15"/>
  <c r="T39840" i="15"/>
  <c r="T39839" i="15"/>
  <c r="T39838" i="15"/>
  <c r="T39837" i="15"/>
  <c r="T39836" i="15"/>
  <c r="T39835" i="15"/>
  <c r="T39834" i="15"/>
  <c r="T39833" i="15"/>
  <c r="T39832" i="15"/>
  <c r="T39831" i="15"/>
  <c r="T39830" i="15"/>
  <c r="T39829" i="15"/>
  <c r="T39828" i="15"/>
  <c r="T39827" i="15"/>
  <c r="T39826" i="15"/>
  <c r="T39825" i="15"/>
  <c r="T39824" i="15"/>
  <c r="T39823" i="15"/>
  <c r="T39822" i="15"/>
  <c r="T39821" i="15"/>
  <c r="T39820" i="15"/>
  <c r="T39819" i="15"/>
  <c r="T39818" i="15"/>
  <c r="T39817" i="15"/>
  <c r="T39816" i="15"/>
  <c r="T39815" i="15"/>
  <c r="T39814" i="15"/>
  <c r="T39813" i="15"/>
  <c r="T39812" i="15"/>
  <c r="T39811" i="15"/>
  <c r="T39810" i="15"/>
  <c r="T39809" i="15"/>
  <c r="T39808" i="15"/>
  <c r="T39807" i="15"/>
  <c r="T39806" i="15"/>
  <c r="T39805" i="15"/>
  <c r="T39804" i="15"/>
  <c r="T39803" i="15"/>
  <c r="T39802" i="15"/>
  <c r="T39801" i="15"/>
  <c r="T39800" i="15"/>
  <c r="T39799" i="15"/>
  <c r="T39798" i="15"/>
  <c r="T39797" i="15"/>
  <c r="T39796" i="15"/>
  <c r="T39795" i="15"/>
  <c r="T39794" i="15"/>
  <c r="T39793" i="15"/>
  <c r="T39792" i="15"/>
  <c r="T39791" i="15"/>
  <c r="T39790" i="15"/>
  <c r="T39789" i="15"/>
  <c r="T39788" i="15"/>
  <c r="T39787" i="15"/>
  <c r="T39786" i="15"/>
  <c r="T39785" i="15"/>
  <c r="T39784" i="15"/>
  <c r="T39783" i="15"/>
  <c r="T39782" i="15"/>
  <c r="T39781" i="15"/>
  <c r="T39780" i="15"/>
  <c r="T39779" i="15"/>
  <c r="T39778" i="15"/>
  <c r="T39777" i="15"/>
  <c r="T39776" i="15"/>
  <c r="T39775" i="15"/>
  <c r="T39774" i="15"/>
  <c r="T39773" i="15"/>
  <c r="T39772" i="15"/>
  <c r="T39771" i="15"/>
  <c r="T39770" i="15"/>
  <c r="T39769" i="15"/>
  <c r="T39768" i="15"/>
  <c r="T39767" i="15"/>
  <c r="T39766" i="15"/>
  <c r="T39765" i="15"/>
  <c r="T39764" i="15"/>
  <c r="T39763" i="15"/>
  <c r="T39762" i="15"/>
  <c r="T39761" i="15"/>
  <c r="T39760" i="15"/>
  <c r="T39759" i="15"/>
  <c r="T39758" i="15"/>
  <c r="T39757" i="15"/>
  <c r="T39756" i="15"/>
  <c r="T39755" i="15"/>
  <c r="T39754" i="15"/>
  <c r="T39753" i="15"/>
  <c r="T39752" i="15"/>
  <c r="T39751" i="15"/>
  <c r="T39750" i="15"/>
  <c r="T39749" i="15"/>
  <c r="T39748" i="15"/>
  <c r="T39747" i="15"/>
  <c r="T39746" i="15"/>
  <c r="T39745" i="15"/>
  <c r="T39744" i="15"/>
  <c r="T39743" i="15"/>
  <c r="T39742" i="15"/>
  <c r="T39741" i="15"/>
  <c r="T39740" i="15"/>
  <c r="T39739" i="15"/>
  <c r="T39738" i="15"/>
  <c r="T39737" i="15"/>
  <c r="T39736" i="15"/>
  <c r="T39735" i="15"/>
  <c r="T39734" i="15"/>
  <c r="T39733" i="15"/>
  <c r="T39732" i="15"/>
  <c r="T39731" i="15"/>
  <c r="T39730" i="15"/>
  <c r="T39729" i="15"/>
  <c r="T39728" i="15"/>
  <c r="T39727" i="15"/>
  <c r="T39726" i="15"/>
  <c r="T39725" i="15"/>
  <c r="T39724" i="15"/>
  <c r="T39723" i="15"/>
  <c r="T39722" i="15"/>
  <c r="T39721" i="15"/>
  <c r="T39720" i="15"/>
  <c r="T39719" i="15"/>
  <c r="T39718" i="15"/>
  <c r="T39717" i="15"/>
  <c r="T39716" i="15"/>
  <c r="T39715" i="15"/>
  <c r="T39714" i="15"/>
  <c r="T39713" i="15"/>
  <c r="T39712" i="15"/>
  <c r="T39711" i="15"/>
  <c r="T39710" i="15"/>
  <c r="T39709" i="15"/>
  <c r="T39708" i="15"/>
  <c r="T39707" i="15"/>
  <c r="T39706" i="15"/>
  <c r="T39705" i="15"/>
  <c r="T39704" i="15"/>
  <c r="T39703" i="15"/>
  <c r="T39702" i="15"/>
  <c r="T39701" i="15"/>
  <c r="T39700" i="15"/>
  <c r="T39699" i="15"/>
  <c r="T39698" i="15"/>
  <c r="T39697" i="15"/>
  <c r="T39696" i="15"/>
  <c r="T39695" i="15"/>
  <c r="T39694" i="15"/>
  <c r="T39693" i="15"/>
  <c r="T39692" i="15"/>
  <c r="T39691" i="15"/>
  <c r="T39690" i="15"/>
  <c r="T39689" i="15"/>
  <c r="T39688" i="15"/>
  <c r="T39687" i="15"/>
  <c r="T39686" i="15"/>
  <c r="T39685" i="15"/>
  <c r="T39684" i="15"/>
  <c r="T39683" i="15"/>
  <c r="T39682" i="15"/>
  <c r="T39681" i="15"/>
  <c r="T39680" i="15"/>
  <c r="T39679" i="15"/>
  <c r="T39678" i="15"/>
  <c r="T39677" i="15"/>
  <c r="T39676" i="15"/>
  <c r="T39675" i="15"/>
  <c r="T39674" i="15"/>
  <c r="T39673" i="15"/>
  <c r="T39672" i="15"/>
  <c r="T39671" i="15"/>
  <c r="T39670" i="15"/>
  <c r="T39669" i="15"/>
  <c r="T39668" i="15"/>
  <c r="T39667" i="15"/>
  <c r="T39666" i="15"/>
  <c r="T39665" i="15"/>
  <c r="T39664" i="15"/>
  <c r="T39663" i="15"/>
  <c r="T39662" i="15"/>
  <c r="T39661" i="15"/>
  <c r="T39660" i="15"/>
  <c r="T39659" i="15"/>
  <c r="T39658" i="15"/>
  <c r="T39657" i="15"/>
  <c r="T39656" i="15"/>
  <c r="T39655" i="15"/>
  <c r="T39654" i="15"/>
  <c r="T39653" i="15"/>
  <c r="T39652" i="15"/>
  <c r="T39651" i="15"/>
  <c r="T39650" i="15"/>
  <c r="T39649" i="15"/>
  <c r="T39648" i="15"/>
  <c r="T39647" i="15"/>
  <c r="T39646" i="15"/>
  <c r="T39645" i="15"/>
  <c r="T39644" i="15"/>
  <c r="T39643" i="15"/>
  <c r="T39642" i="15"/>
  <c r="T39641" i="15"/>
  <c r="T39640" i="15"/>
  <c r="T39639" i="15"/>
  <c r="T39638" i="15"/>
  <c r="T39637" i="15"/>
  <c r="T39636" i="15"/>
  <c r="T39635" i="15"/>
  <c r="T39634" i="15"/>
  <c r="T39633" i="15"/>
  <c r="T39632" i="15"/>
  <c r="T39631" i="15"/>
  <c r="T39630" i="15"/>
  <c r="T39629" i="15"/>
  <c r="T39628" i="15"/>
  <c r="T39627" i="15"/>
  <c r="T39626" i="15"/>
  <c r="T39625" i="15"/>
  <c r="T39624" i="15"/>
  <c r="T39623" i="15"/>
  <c r="T39622" i="15"/>
  <c r="T39621" i="15"/>
  <c r="T39620" i="15"/>
  <c r="T39619" i="15"/>
  <c r="T39618" i="15"/>
  <c r="T39617" i="15"/>
  <c r="T39616" i="15"/>
  <c r="T39615" i="15"/>
  <c r="T39614" i="15"/>
  <c r="T39613" i="15"/>
  <c r="T39612" i="15"/>
  <c r="T39611" i="15"/>
  <c r="T39610" i="15"/>
  <c r="T39609" i="15"/>
  <c r="T39608" i="15"/>
  <c r="T39607" i="15"/>
  <c r="T39606" i="15"/>
  <c r="T39605" i="15"/>
  <c r="T39604" i="15"/>
  <c r="T39603" i="15"/>
  <c r="T39602" i="15"/>
  <c r="T39601" i="15"/>
  <c r="T39600" i="15"/>
  <c r="T39599" i="15"/>
  <c r="T39598" i="15"/>
  <c r="T39597" i="15"/>
  <c r="T39596" i="15"/>
  <c r="T39595" i="15"/>
  <c r="T39594" i="15"/>
  <c r="T39593" i="15"/>
  <c r="T39592" i="15"/>
  <c r="T39591" i="15"/>
  <c r="T39590" i="15"/>
  <c r="T39589" i="15"/>
  <c r="T39588" i="15"/>
  <c r="T39587" i="15"/>
  <c r="T39586" i="15"/>
  <c r="T39585" i="15"/>
  <c r="T39584" i="15"/>
  <c r="T39583" i="15"/>
  <c r="T39582" i="15"/>
  <c r="T39581" i="15"/>
  <c r="T39580" i="15"/>
  <c r="T39579" i="15"/>
  <c r="T39578" i="15"/>
  <c r="T39577" i="15"/>
  <c r="T39576" i="15"/>
  <c r="T39575" i="15"/>
  <c r="T39574" i="15"/>
  <c r="T39573" i="15"/>
  <c r="T39572" i="15"/>
  <c r="T39571" i="15"/>
  <c r="T39570" i="15"/>
  <c r="T39569" i="15"/>
  <c r="T39568" i="15"/>
  <c r="T39567" i="15"/>
  <c r="T39566" i="15"/>
  <c r="T39565" i="15"/>
  <c r="T39564" i="15"/>
  <c r="T39563" i="15"/>
  <c r="T39562" i="15"/>
  <c r="T39561" i="15"/>
  <c r="T39560" i="15"/>
  <c r="T39559" i="15"/>
  <c r="T39558" i="15"/>
  <c r="T39557" i="15"/>
  <c r="T39556" i="15"/>
  <c r="T39555" i="15"/>
  <c r="T39554" i="15"/>
  <c r="T39553" i="15"/>
  <c r="T39552" i="15"/>
  <c r="T39551" i="15"/>
  <c r="T39550" i="15"/>
  <c r="T39549" i="15"/>
  <c r="T39548" i="15"/>
  <c r="T39547" i="15"/>
  <c r="T39546" i="15"/>
  <c r="T39545" i="15"/>
  <c r="T39544" i="15"/>
  <c r="T39543" i="15"/>
  <c r="T39542" i="15"/>
  <c r="T39541" i="15"/>
  <c r="T39540" i="15"/>
  <c r="T39539" i="15"/>
  <c r="T39538" i="15"/>
  <c r="T39537" i="15"/>
  <c r="T39536" i="15"/>
  <c r="T39535" i="15"/>
  <c r="T39534" i="15"/>
  <c r="T39533" i="15"/>
  <c r="T39532" i="15"/>
  <c r="T39531" i="15"/>
  <c r="T39530" i="15"/>
  <c r="T39529" i="15"/>
  <c r="T39528" i="15"/>
  <c r="T39527" i="15"/>
  <c r="T39526" i="15"/>
  <c r="T39525" i="15"/>
  <c r="T39524" i="15"/>
  <c r="T39523" i="15"/>
  <c r="T39522" i="15"/>
  <c r="T39521" i="15"/>
  <c r="T39520" i="15"/>
  <c r="T39519" i="15"/>
  <c r="T39518" i="15"/>
  <c r="T39517" i="15"/>
  <c r="T39516" i="15"/>
  <c r="T39515" i="15"/>
  <c r="T39514" i="15"/>
  <c r="T39513" i="15"/>
  <c r="T39512" i="15"/>
  <c r="T39511" i="15"/>
  <c r="T39510" i="15"/>
  <c r="T39509" i="15"/>
  <c r="T39508" i="15"/>
  <c r="T39507" i="15"/>
  <c r="T39506" i="15"/>
  <c r="T39505" i="15"/>
  <c r="T39504" i="15"/>
  <c r="T39503" i="15"/>
  <c r="T39502" i="15"/>
  <c r="T39501" i="15"/>
  <c r="T39500" i="15"/>
  <c r="T39499" i="15"/>
  <c r="T39498" i="15"/>
  <c r="T39497" i="15"/>
  <c r="T39496" i="15"/>
  <c r="T39495" i="15"/>
  <c r="T39494" i="15"/>
  <c r="T39493" i="15"/>
  <c r="T39492" i="15"/>
  <c r="T39491" i="15"/>
  <c r="T39490" i="15"/>
  <c r="T39489" i="15"/>
  <c r="T39488" i="15"/>
  <c r="T39487" i="15"/>
  <c r="T39486" i="15"/>
  <c r="T39485" i="15"/>
  <c r="T39484" i="15"/>
  <c r="T39483" i="15"/>
  <c r="T39482" i="15"/>
  <c r="T39481" i="15"/>
  <c r="T39480" i="15"/>
  <c r="T39479" i="15"/>
  <c r="T39478" i="15"/>
  <c r="T39477" i="15"/>
  <c r="T39476" i="15"/>
  <c r="T39475" i="15"/>
  <c r="T39474" i="15"/>
  <c r="T39473" i="15"/>
  <c r="T39472" i="15"/>
  <c r="T39471" i="15"/>
  <c r="T39470" i="15"/>
  <c r="T39469" i="15"/>
  <c r="T39468" i="15"/>
  <c r="T39467" i="15"/>
  <c r="T39466" i="15"/>
  <c r="T39465" i="15"/>
  <c r="T39464" i="15"/>
  <c r="T39463" i="15"/>
  <c r="T39462" i="15"/>
  <c r="T39461" i="15"/>
  <c r="T39460" i="15"/>
  <c r="T39459" i="15"/>
  <c r="T39458" i="15"/>
  <c r="T39457" i="15"/>
  <c r="T39456" i="15"/>
  <c r="T39455" i="15"/>
  <c r="T39454" i="15"/>
  <c r="T39453" i="15"/>
  <c r="T39452" i="15"/>
  <c r="T39451" i="15"/>
  <c r="T39450" i="15"/>
  <c r="T39449" i="15"/>
  <c r="T39448" i="15"/>
  <c r="T39447" i="15"/>
  <c r="T39446" i="15"/>
  <c r="T39445" i="15"/>
  <c r="T39444" i="15"/>
  <c r="T39443" i="15"/>
  <c r="T39442" i="15"/>
  <c r="T39441" i="15"/>
  <c r="T39440" i="15"/>
  <c r="T39439" i="15"/>
  <c r="T39438" i="15"/>
  <c r="T39437" i="15"/>
  <c r="T39436" i="15"/>
  <c r="T39435" i="15"/>
  <c r="T39434" i="15"/>
  <c r="T39433" i="15"/>
  <c r="T39432" i="15"/>
  <c r="T39431" i="15"/>
  <c r="T39430" i="15"/>
  <c r="T39429" i="15"/>
  <c r="T39428" i="15"/>
  <c r="T39427" i="15"/>
  <c r="T39426" i="15"/>
  <c r="T39425" i="15"/>
  <c r="T39424" i="15"/>
  <c r="T39423" i="15"/>
  <c r="T39422" i="15"/>
  <c r="T39421" i="15"/>
  <c r="T39420" i="15"/>
  <c r="T39419" i="15"/>
  <c r="T39418" i="15"/>
  <c r="T39417" i="15"/>
  <c r="T39416" i="15"/>
  <c r="T39415" i="15"/>
  <c r="T39414" i="15"/>
  <c r="T39413" i="15"/>
  <c r="T39412" i="15"/>
  <c r="T39411" i="15"/>
  <c r="T39410" i="15"/>
  <c r="T39409" i="15"/>
  <c r="T39408" i="15"/>
  <c r="T39407" i="15"/>
  <c r="T39406" i="15"/>
  <c r="T39405" i="15"/>
  <c r="T39404" i="15"/>
  <c r="T39403" i="15"/>
  <c r="T39402" i="15"/>
  <c r="T39401" i="15"/>
  <c r="T39400" i="15"/>
  <c r="T39399" i="15"/>
  <c r="T39398" i="15"/>
  <c r="T39397" i="15"/>
  <c r="T39396" i="15"/>
  <c r="T39395" i="15"/>
  <c r="T39394" i="15"/>
  <c r="T39393" i="15"/>
  <c r="T39392" i="15"/>
  <c r="T39391" i="15"/>
  <c r="T39390" i="15"/>
  <c r="T39389" i="15"/>
  <c r="T39388" i="15"/>
  <c r="T39387" i="15"/>
  <c r="T39386" i="15"/>
  <c r="T39385" i="15"/>
  <c r="T39384" i="15"/>
  <c r="T39383" i="15"/>
  <c r="T39382" i="15"/>
  <c r="T39381" i="15"/>
  <c r="T39380" i="15"/>
  <c r="T39379" i="15"/>
  <c r="T39378" i="15"/>
  <c r="T39377" i="15"/>
  <c r="T39376" i="15"/>
  <c r="T39375" i="15"/>
  <c r="T39374" i="15"/>
  <c r="T39373" i="15"/>
  <c r="T39372" i="15"/>
  <c r="T39371" i="15"/>
  <c r="T39370" i="15"/>
  <c r="T39369" i="15"/>
  <c r="T39368" i="15"/>
  <c r="T39367" i="15"/>
  <c r="T39366" i="15"/>
  <c r="T39365" i="15"/>
  <c r="T39364" i="15"/>
  <c r="T39363" i="15"/>
  <c r="T39362" i="15"/>
  <c r="T39361" i="15"/>
  <c r="T39360" i="15"/>
  <c r="T39359" i="15"/>
  <c r="T39358" i="15"/>
  <c r="T39357" i="15"/>
  <c r="T39356" i="15"/>
  <c r="T39355" i="15"/>
  <c r="T39354" i="15"/>
  <c r="T39353" i="15"/>
  <c r="T39352" i="15"/>
  <c r="T39351" i="15"/>
  <c r="T39350" i="15"/>
  <c r="T39349" i="15"/>
  <c r="T39348" i="15"/>
  <c r="T39347" i="15"/>
  <c r="T39346" i="15"/>
  <c r="T39345" i="15"/>
  <c r="T39344" i="15"/>
  <c r="T39343" i="15"/>
  <c r="T39342" i="15"/>
  <c r="T39341" i="15"/>
  <c r="T39340" i="15"/>
  <c r="T39339" i="15"/>
  <c r="T39338" i="15"/>
  <c r="T39337" i="15"/>
  <c r="T39336" i="15"/>
  <c r="T39335" i="15"/>
  <c r="T39334" i="15"/>
  <c r="T39333" i="15"/>
  <c r="T39332" i="15"/>
  <c r="T39331" i="15"/>
  <c r="T39330" i="15"/>
  <c r="T39329" i="15"/>
  <c r="T39328" i="15"/>
  <c r="T39327" i="15"/>
  <c r="T39326" i="15"/>
  <c r="T39325" i="15"/>
  <c r="T39324" i="15"/>
  <c r="T39323" i="15"/>
  <c r="T39322" i="15"/>
  <c r="T39321" i="15"/>
  <c r="T39320" i="15"/>
  <c r="T39319" i="15"/>
  <c r="T39318" i="15"/>
  <c r="T39317" i="15"/>
  <c r="T39316" i="15"/>
  <c r="T39315" i="15"/>
  <c r="T39314" i="15"/>
  <c r="T39313" i="15"/>
  <c r="T39312" i="15"/>
  <c r="T39311" i="15"/>
  <c r="T39310" i="15"/>
  <c r="T39309" i="15"/>
  <c r="T39308" i="15"/>
  <c r="T39307" i="15"/>
  <c r="T39306" i="15"/>
  <c r="T39305" i="15"/>
  <c r="T39304" i="15"/>
  <c r="T39303" i="15"/>
  <c r="T39302" i="15"/>
  <c r="T39301" i="15"/>
  <c r="T39300" i="15"/>
  <c r="T39299" i="15"/>
  <c r="T39298" i="15"/>
  <c r="T39297" i="15"/>
  <c r="T39296" i="15"/>
  <c r="T39295" i="15"/>
  <c r="T39294" i="15"/>
  <c r="T39293" i="15"/>
  <c r="T39292" i="15"/>
  <c r="T39291" i="15"/>
  <c r="T39290" i="15"/>
  <c r="T39289" i="15"/>
  <c r="T39288" i="15"/>
  <c r="T39287" i="15"/>
  <c r="T39286" i="15"/>
  <c r="T39285" i="15"/>
  <c r="T39284" i="15"/>
  <c r="T39283" i="15"/>
  <c r="T39282" i="15"/>
  <c r="T39281" i="15"/>
  <c r="T39280" i="15"/>
  <c r="T39279" i="15"/>
  <c r="T39278" i="15"/>
  <c r="T39277" i="15"/>
  <c r="T39276" i="15"/>
  <c r="T39275" i="15"/>
  <c r="T39274" i="15"/>
  <c r="T39273" i="15"/>
  <c r="T39272" i="15"/>
  <c r="T39271" i="15"/>
  <c r="T39270" i="15"/>
  <c r="T39269" i="15"/>
  <c r="T39268" i="15"/>
  <c r="T39267" i="15"/>
  <c r="T39266" i="15"/>
  <c r="T39265" i="15"/>
  <c r="T39264" i="15"/>
  <c r="T39263" i="15"/>
  <c r="T39262" i="15"/>
  <c r="T39261" i="15"/>
  <c r="T39260" i="15"/>
  <c r="T39259" i="15"/>
  <c r="T39258" i="15"/>
  <c r="T39257" i="15"/>
  <c r="T39256" i="15"/>
  <c r="T39255" i="15"/>
  <c r="T39254" i="15"/>
  <c r="T39253" i="15"/>
  <c r="T39252" i="15"/>
  <c r="T39251" i="15"/>
  <c r="T39250" i="15"/>
  <c r="T39249" i="15"/>
  <c r="T39248" i="15"/>
  <c r="T39247" i="15"/>
  <c r="T39246" i="15"/>
  <c r="T39245" i="15"/>
  <c r="T39244" i="15"/>
  <c r="T39243" i="15"/>
  <c r="T39242" i="15"/>
  <c r="T39241" i="15"/>
  <c r="T39240" i="15"/>
  <c r="T39239" i="15"/>
  <c r="T39238" i="15"/>
  <c r="T39237" i="15"/>
  <c r="T39236" i="15"/>
  <c r="T39235" i="15"/>
  <c r="T39234" i="15"/>
  <c r="T39233" i="15"/>
  <c r="T39232" i="15"/>
  <c r="T39231" i="15"/>
  <c r="T39230" i="15"/>
  <c r="T39229" i="15"/>
  <c r="T39228" i="15"/>
  <c r="T39227" i="15"/>
  <c r="T39226" i="15"/>
  <c r="T39225" i="15"/>
  <c r="T39224" i="15"/>
  <c r="T39223" i="15"/>
  <c r="T39222" i="15"/>
  <c r="T39221" i="15"/>
  <c r="T39220" i="15"/>
  <c r="T39219" i="15"/>
  <c r="T39218" i="15"/>
  <c r="T39217" i="15"/>
  <c r="T39216" i="15"/>
  <c r="T39215" i="15"/>
  <c r="T39214" i="15"/>
  <c r="T39213" i="15"/>
  <c r="T39212" i="15"/>
  <c r="T39211" i="15"/>
  <c r="T39210" i="15"/>
  <c r="T39209" i="15"/>
  <c r="T39208" i="15"/>
  <c r="T39207" i="15"/>
  <c r="T39206" i="15"/>
  <c r="T39205" i="15"/>
  <c r="T39204" i="15"/>
  <c r="T39203" i="15"/>
  <c r="T39202" i="15"/>
  <c r="T39201" i="15"/>
  <c r="T39200" i="15"/>
  <c r="T39199" i="15"/>
  <c r="T39198" i="15"/>
  <c r="T39197" i="15"/>
  <c r="T39196" i="15"/>
  <c r="T39195" i="15"/>
  <c r="T39194" i="15"/>
  <c r="T39193" i="15"/>
  <c r="T39192" i="15"/>
  <c r="T39191" i="15"/>
  <c r="T39190" i="15"/>
  <c r="T39189" i="15"/>
  <c r="T39188" i="15"/>
  <c r="T39187" i="15"/>
  <c r="T39186" i="15"/>
  <c r="T39185" i="15"/>
  <c r="T39184" i="15"/>
  <c r="T39183" i="15"/>
  <c r="T39182" i="15"/>
  <c r="T39181" i="15"/>
  <c r="T39180" i="15"/>
  <c r="T39179" i="15"/>
  <c r="T39178" i="15"/>
  <c r="T39177" i="15"/>
  <c r="T39176" i="15"/>
  <c r="T39175" i="15"/>
  <c r="T39174" i="15"/>
  <c r="T39173" i="15"/>
  <c r="T39172" i="15"/>
  <c r="T39171" i="15"/>
  <c r="T39170" i="15"/>
  <c r="T39169" i="15"/>
  <c r="T39168" i="15"/>
  <c r="T39167" i="15"/>
  <c r="T39166" i="15"/>
  <c r="T39165" i="15"/>
  <c r="T39164" i="15"/>
  <c r="T39163" i="15"/>
  <c r="T39162" i="15"/>
  <c r="T39161" i="15"/>
  <c r="T39160" i="15"/>
  <c r="T39159" i="15"/>
  <c r="T39158" i="15"/>
  <c r="T39157" i="15"/>
  <c r="T39156" i="15"/>
  <c r="T39155" i="15"/>
  <c r="T39154" i="15"/>
  <c r="T39153" i="15"/>
  <c r="T39152" i="15"/>
  <c r="T39151" i="15"/>
  <c r="T39150" i="15"/>
  <c r="T39149" i="15"/>
  <c r="T39148" i="15"/>
  <c r="T39147" i="15"/>
  <c r="T39146" i="15"/>
  <c r="T39145" i="15"/>
  <c r="T39144" i="15"/>
  <c r="T39143" i="15"/>
  <c r="T39142" i="15"/>
  <c r="T39141" i="15"/>
  <c r="T39140" i="15"/>
  <c r="T39139" i="15"/>
  <c r="T39138" i="15"/>
  <c r="T39137" i="15"/>
  <c r="T39136" i="15"/>
  <c r="T39135" i="15"/>
  <c r="T39134" i="15"/>
  <c r="T39133" i="15"/>
  <c r="T39132" i="15"/>
  <c r="T39131" i="15"/>
  <c r="T39130" i="15"/>
  <c r="T39129" i="15"/>
  <c r="T39128" i="15"/>
  <c r="T39127" i="15"/>
  <c r="T39126" i="15"/>
  <c r="T39125" i="15"/>
  <c r="T39124" i="15"/>
  <c r="T39123" i="15"/>
  <c r="T39122" i="15"/>
  <c r="T39121" i="15"/>
  <c r="T39120" i="15"/>
  <c r="T39119" i="15"/>
  <c r="T39118" i="15"/>
  <c r="T39117" i="15"/>
  <c r="T39116" i="15"/>
  <c r="T39115" i="15"/>
  <c r="T39114" i="15"/>
  <c r="T39113" i="15"/>
  <c r="T39112" i="15"/>
  <c r="T39111" i="15"/>
  <c r="T39110" i="15"/>
  <c r="T39109" i="15"/>
  <c r="T39108" i="15"/>
  <c r="T39107" i="15"/>
  <c r="T39106" i="15"/>
  <c r="T39105" i="15"/>
  <c r="T39104" i="15"/>
  <c r="T39103" i="15"/>
  <c r="T39102" i="15"/>
  <c r="T39101" i="15"/>
  <c r="T39100" i="15"/>
  <c r="T39099" i="15"/>
  <c r="T39098" i="15"/>
  <c r="T39097" i="15"/>
  <c r="T39096" i="15"/>
  <c r="T39095" i="15"/>
  <c r="T39094" i="15"/>
  <c r="T39093" i="15"/>
  <c r="T39092" i="15"/>
  <c r="T39091" i="15"/>
  <c r="T39090" i="15"/>
  <c r="T39089" i="15"/>
  <c r="T39088" i="15"/>
  <c r="T39087" i="15"/>
  <c r="T39086" i="15"/>
  <c r="T39085" i="15"/>
  <c r="T39084" i="15"/>
  <c r="T39083" i="15"/>
  <c r="T39082" i="15"/>
  <c r="T39081" i="15"/>
  <c r="T39080" i="15"/>
  <c r="T39079" i="15"/>
  <c r="T39078" i="15"/>
  <c r="T39077" i="15"/>
  <c r="T39076" i="15"/>
  <c r="T39075" i="15"/>
  <c r="T39074" i="15"/>
  <c r="T39073" i="15"/>
  <c r="T39072" i="15"/>
  <c r="T39071" i="15"/>
  <c r="T39070" i="15"/>
  <c r="T39069" i="15"/>
  <c r="T39068" i="15"/>
  <c r="T39067" i="15"/>
  <c r="T39066" i="15"/>
  <c r="T39065" i="15"/>
  <c r="T39064" i="15"/>
  <c r="T39063" i="15"/>
  <c r="T39062" i="15"/>
  <c r="T39061" i="15"/>
  <c r="T39060" i="15"/>
  <c r="T39059" i="15"/>
  <c r="T39058" i="15"/>
  <c r="T39057" i="15"/>
  <c r="T39056" i="15"/>
  <c r="T39055" i="15"/>
  <c r="T39054" i="15"/>
  <c r="T39053" i="15"/>
  <c r="T39052" i="15"/>
  <c r="T39051" i="15"/>
  <c r="T39050" i="15"/>
  <c r="T39049" i="15"/>
  <c r="T39048" i="15"/>
  <c r="T39047" i="15"/>
  <c r="T39046" i="15"/>
  <c r="T39045" i="15"/>
  <c r="T39044" i="15"/>
  <c r="T39043" i="15"/>
  <c r="T39042" i="15"/>
  <c r="T39041" i="15"/>
  <c r="T39040" i="15"/>
  <c r="T39039" i="15"/>
  <c r="T39038" i="15"/>
  <c r="T39037" i="15"/>
  <c r="T39036" i="15"/>
  <c r="T39035" i="15"/>
  <c r="T39034" i="15"/>
  <c r="T39033" i="15"/>
  <c r="T39032" i="15"/>
  <c r="T39031" i="15"/>
  <c r="T39030" i="15"/>
  <c r="T39029" i="15"/>
  <c r="T39028" i="15"/>
  <c r="T39027" i="15"/>
  <c r="T39026" i="15"/>
  <c r="T39025" i="15"/>
  <c r="T39024" i="15"/>
  <c r="T39023" i="15"/>
  <c r="T39022" i="15"/>
  <c r="T39021" i="15"/>
  <c r="T39020" i="15"/>
  <c r="T39019" i="15"/>
  <c r="T39018" i="15"/>
  <c r="T39017" i="15"/>
  <c r="T39016" i="15"/>
  <c r="T39015" i="15"/>
  <c r="T39014" i="15"/>
  <c r="T39013" i="15"/>
  <c r="T39012" i="15"/>
  <c r="T39011" i="15"/>
  <c r="T39010" i="15"/>
  <c r="T39009" i="15"/>
  <c r="T39008" i="15"/>
  <c r="T39007" i="15"/>
  <c r="T39006" i="15"/>
  <c r="T39005" i="15"/>
  <c r="T39004" i="15"/>
  <c r="T39003" i="15"/>
  <c r="T39002" i="15"/>
  <c r="T39001" i="15"/>
  <c r="T39000" i="15"/>
  <c r="T38999" i="15"/>
  <c r="T38998" i="15"/>
  <c r="T38997" i="15"/>
  <c r="T38996" i="15"/>
  <c r="T38995" i="15"/>
  <c r="T38994" i="15"/>
  <c r="T38993" i="15"/>
  <c r="T38992" i="15"/>
  <c r="T38991" i="15"/>
  <c r="T38990" i="15"/>
  <c r="T38989" i="15"/>
  <c r="T38988" i="15"/>
  <c r="T38987" i="15"/>
  <c r="T38986" i="15"/>
  <c r="T38985" i="15"/>
  <c r="T38984" i="15"/>
  <c r="T38983" i="15"/>
  <c r="T38982" i="15"/>
  <c r="T38981" i="15"/>
  <c r="T38980" i="15"/>
  <c r="T38979" i="15"/>
  <c r="T38978" i="15"/>
  <c r="T38977" i="15"/>
  <c r="T38976" i="15"/>
  <c r="T38975" i="15"/>
  <c r="T38974" i="15"/>
  <c r="T38973" i="15"/>
  <c r="T38972" i="15"/>
  <c r="T38971" i="15"/>
  <c r="T38970" i="15"/>
  <c r="T38969" i="15"/>
  <c r="T38968" i="15"/>
  <c r="T38967" i="15"/>
  <c r="T38966" i="15"/>
  <c r="T38965" i="15"/>
  <c r="T38964" i="15"/>
  <c r="T38963" i="15"/>
  <c r="T38962" i="15"/>
  <c r="T38961" i="15"/>
  <c r="T38960" i="15"/>
  <c r="T38959" i="15"/>
  <c r="T38958" i="15"/>
  <c r="T38957" i="15"/>
  <c r="T38956" i="15"/>
  <c r="T38955" i="15"/>
  <c r="T38954" i="15"/>
  <c r="T38953" i="15"/>
  <c r="T38952" i="15"/>
  <c r="T38951" i="15"/>
  <c r="T38950" i="15"/>
  <c r="T38949" i="15"/>
  <c r="T38948" i="15"/>
  <c r="T38947" i="15"/>
  <c r="T38946" i="15"/>
  <c r="T38945" i="15"/>
  <c r="T38944" i="15"/>
  <c r="T38943" i="15"/>
  <c r="T38942" i="15"/>
  <c r="T38941" i="15"/>
  <c r="T38940" i="15"/>
  <c r="T38939" i="15"/>
  <c r="T38938" i="15"/>
  <c r="T38937" i="15"/>
  <c r="T38936" i="15"/>
  <c r="T38935" i="15"/>
  <c r="T38934" i="15"/>
  <c r="T38933" i="15"/>
  <c r="T38932" i="15"/>
  <c r="T38931" i="15"/>
  <c r="T38930" i="15"/>
  <c r="T38929" i="15"/>
  <c r="T38928" i="15"/>
  <c r="T38927" i="15"/>
  <c r="T38926" i="15"/>
  <c r="T38925" i="15"/>
  <c r="T38924" i="15"/>
  <c r="T38923" i="15"/>
  <c r="T38922" i="15"/>
  <c r="T38921" i="15"/>
  <c r="T38920" i="15"/>
  <c r="T38919" i="15"/>
  <c r="T38918" i="15"/>
  <c r="T38917" i="15"/>
  <c r="T38916" i="15"/>
  <c r="T38915" i="15"/>
  <c r="T38914" i="15"/>
  <c r="T38913" i="15"/>
  <c r="T38912" i="15"/>
  <c r="T38911" i="15"/>
  <c r="T38910" i="15"/>
  <c r="T38909" i="15"/>
  <c r="T38908" i="15"/>
  <c r="T38907" i="15"/>
  <c r="T38906" i="15"/>
  <c r="T38905" i="15"/>
  <c r="T38904" i="15"/>
  <c r="T38903" i="15"/>
  <c r="T38902" i="15"/>
  <c r="T38901" i="15"/>
  <c r="T38900" i="15"/>
  <c r="T38899" i="15"/>
  <c r="T38898" i="15"/>
  <c r="T38897" i="15"/>
  <c r="T38896" i="15"/>
  <c r="T38895" i="15"/>
  <c r="T38894" i="15"/>
  <c r="T38893" i="15"/>
  <c r="T38892" i="15"/>
  <c r="T38891" i="15"/>
  <c r="T38890" i="15"/>
  <c r="T38889" i="15"/>
  <c r="T38888" i="15"/>
  <c r="T38887" i="15"/>
  <c r="T38886" i="15"/>
  <c r="T38885" i="15"/>
  <c r="T38884" i="15"/>
  <c r="T38883" i="15"/>
  <c r="T38882" i="15"/>
  <c r="T38881" i="15"/>
  <c r="T38880" i="15"/>
  <c r="T38879" i="15"/>
  <c r="T38878" i="15"/>
  <c r="T38877" i="15"/>
  <c r="T38876" i="15"/>
  <c r="T38875" i="15"/>
  <c r="T38874" i="15"/>
  <c r="T38873" i="15"/>
  <c r="T38872" i="15"/>
  <c r="T38871" i="15"/>
  <c r="T38870" i="15"/>
  <c r="T38869" i="15"/>
  <c r="T38868" i="15"/>
  <c r="T38867" i="15"/>
  <c r="T38866" i="15"/>
  <c r="T38865" i="15"/>
  <c r="T38864" i="15"/>
  <c r="T38863" i="15"/>
  <c r="T38862" i="15"/>
  <c r="T38861" i="15"/>
  <c r="T38860" i="15"/>
  <c r="T38859" i="15"/>
  <c r="T38858" i="15"/>
  <c r="T38857" i="15"/>
  <c r="T38856" i="15"/>
  <c r="T38855" i="15"/>
  <c r="T38854" i="15"/>
  <c r="T38853" i="15"/>
  <c r="T38852" i="15"/>
  <c r="T38851" i="15"/>
  <c r="T38850" i="15"/>
  <c r="T38849" i="15"/>
  <c r="T38848" i="15"/>
  <c r="T38847" i="15"/>
  <c r="T38846" i="15"/>
  <c r="T38845" i="15"/>
  <c r="T38844" i="15"/>
  <c r="T38843" i="15"/>
  <c r="T38842" i="15"/>
  <c r="T38841" i="15"/>
  <c r="T38840" i="15"/>
  <c r="T38839" i="15"/>
  <c r="T38838" i="15"/>
  <c r="T38837" i="15"/>
  <c r="T38836" i="15"/>
  <c r="T38835" i="15"/>
  <c r="T38834" i="15"/>
  <c r="T38833" i="15"/>
  <c r="T38832" i="15"/>
  <c r="T38831" i="15"/>
  <c r="T38830" i="15"/>
  <c r="T38829" i="15"/>
  <c r="T38828" i="15"/>
  <c r="T38827" i="15"/>
  <c r="T38826" i="15"/>
  <c r="T38825" i="15"/>
  <c r="T38824" i="15"/>
  <c r="T38823" i="15"/>
  <c r="T38822" i="15"/>
  <c r="T38821" i="15"/>
  <c r="T38820" i="15"/>
  <c r="T38819" i="15"/>
  <c r="T38818" i="15"/>
  <c r="T38817" i="15"/>
  <c r="T38816" i="15"/>
  <c r="T38815" i="15"/>
  <c r="T38814" i="15"/>
  <c r="T38813" i="15"/>
  <c r="T38812" i="15"/>
  <c r="T38811" i="15"/>
  <c r="T38810" i="15"/>
  <c r="T38809" i="15"/>
  <c r="T38808" i="15"/>
  <c r="T38807" i="15"/>
  <c r="T38806" i="15"/>
  <c r="T38805" i="15"/>
  <c r="T38804" i="15"/>
  <c r="T38803" i="15"/>
  <c r="T38802" i="15"/>
  <c r="T38801" i="15"/>
  <c r="T38800" i="15"/>
  <c r="T38799" i="15"/>
  <c r="T38798" i="15"/>
  <c r="T38797" i="15"/>
  <c r="T38796" i="15"/>
  <c r="T38795" i="15"/>
  <c r="T38794" i="15"/>
  <c r="T38793" i="15"/>
  <c r="T38792" i="15"/>
  <c r="T38791" i="15"/>
  <c r="T38790" i="15"/>
  <c r="T38789" i="15"/>
  <c r="T38788" i="15"/>
  <c r="T38787" i="15"/>
  <c r="T38786" i="15"/>
  <c r="T38785" i="15"/>
  <c r="T38784" i="15"/>
  <c r="T38783" i="15"/>
  <c r="T38782" i="15"/>
  <c r="T38781" i="15"/>
  <c r="T38780" i="15"/>
  <c r="T38779" i="15"/>
  <c r="T38778" i="15"/>
  <c r="T38777" i="15"/>
  <c r="T38776" i="15"/>
  <c r="T38775" i="15"/>
  <c r="T38774" i="15"/>
  <c r="T38773" i="15"/>
  <c r="T38772" i="15"/>
  <c r="T38771" i="15"/>
  <c r="T38770" i="15"/>
  <c r="T38769" i="15"/>
  <c r="T38768" i="15"/>
  <c r="T38767" i="15"/>
  <c r="T38766" i="15"/>
  <c r="T38765" i="15"/>
  <c r="T38764" i="15"/>
  <c r="T38763" i="15"/>
  <c r="T38762" i="15"/>
  <c r="T38761" i="15"/>
  <c r="T38760" i="15"/>
  <c r="T38759" i="15"/>
  <c r="T38758" i="15"/>
  <c r="T38757" i="15"/>
  <c r="T38756" i="15"/>
  <c r="T38755" i="15"/>
  <c r="T38754" i="15"/>
  <c r="T38753" i="15"/>
  <c r="T38752" i="15"/>
  <c r="T38751" i="15"/>
  <c r="T38750" i="15"/>
  <c r="T38749" i="15"/>
  <c r="T38748" i="15"/>
  <c r="T38747" i="15"/>
  <c r="T38746" i="15"/>
  <c r="T38745" i="15"/>
  <c r="T38744" i="15"/>
  <c r="T38743" i="15"/>
  <c r="T38742" i="15"/>
  <c r="T38741" i="15"/>
  <c r="T38740" i="15"/>
  <c r="T38739" i="15"/>
  <c r="T38738" i="15"/>
  <c r="T38737" i="15"/>
  <c r="T38736" i="15"/>
  <c r="T38735" i="15"/>
  <c r="T38734" i="15"/>
  <c r="T38733" i="15"/>
  <c r="T38732" i="15"/>
  <c r="T38731" i="15"/>
  <c r="T38730" i="15"/>
  <c r="T38729" i="15"/>
  <c r="T38728" i="15"/>
  <c r="T38727" i="15"/>
  <c r="T38726" i="15"/>
  <c r="T38725" i="15"/>
  <c r="T38724" i="15"/>
  <c r="T38723" i="15"/>
  <c r="T38722" i="15"/>
  <c r="T38721" i="15"/>
  <c r="T38720" i="15"/>
  <c r="T38719" i="15"/>
  <c r="T38718" i="15"/>
  <c r="T38717" i="15"/>
  <c r="T38716" i="15"/>
  <c r="T38715" i="15"/>
  <c r="T38714" i="15"/>
  <c r="T38713" i="15"/>
  <c r="T38712" i="15"/>
  <c r="T38711" i="15"/>
  <c r="T38710" i="15"/>
  <c r="T38709" i="15"/>
  <c r="T38708" i="15"/>
  <c r="T38707" i="15"/>
  <c r="T38706" i="15"/>
  <c r="T38705" i="15"/>
  <c r="T38704" i="15"/>
  <c r="T38703" i="15"/>
  <c r="T38702" i="15"/>
  <c r="T38701" i="15"/>
  <c r="T38700" i="15"/>
  <c r="T38699" i="15"/>
  <c r="T38698" i="15"/>
  <c r="T38697" i="15"/>
  <c r="T38696" i="15"/>
  <c r="T38695" i="15"/>
  <c r="T38694" i="15"/>
  <c r="T38693" i="15"/>
  <c r="T38692" i="15"/>
  <c r="T38691" i="15"/>
  <c r="T38690" i="15"/>
  <c r="T38689" i="15"/>
  <c r="T38688" i="15"/>
  <c r="T38687" i="15"/>
  <c r="T38686" i="15"/>
  <c r="T38685" i="15"/>
  <c r="T38684" i="15"/>
  <c r="T38683" i="15"/>
  <c r="T38682" i="15"/>
  <c r="T38681" i="15"/>
  <c r="T38680" i="15"/>
  <c r="T38679" i="15"/>
  <c r="T38678" i="15"/>
  <c r="T38677" i="15"/>
  <c r="T38676" i="15"/>
  <c r="T38675" i="15"/>
  <c r="T38674" i="15"/>
  <c r="T38673" i="15"/>
  <c r="T38672" i="15"/>
  <c r="T38671" i="15"/>
  <c r="T38670" i="15"/>
  <c r="T38669" i="15"/>
  <c r="T38668" i="15"/>
  <c r="T38667" i="15"/>
  <c r="T38666" i="15"/>
  <c r="T38665" i="15"/>
  <c r="T38664" i="15"/>
  <c r="T38663" i="15"/>
  <c r="T38662" i="15"/>
  <c r="T38661" i="15"/>
  <c r="T38660" i="15"/>
  <c r="T38659" i="15"/>
  <c r="T38658" i="15"/>
  <c r="T38657" i="15"/>
  <c r="T38656" i="15"/>
  <c r="T38655" i="15"/>
  <c r="T38654" i="15"/>
  <c r="T38653" i="15"/>
  <c r="T38652" i="15"/>
  <c r="T38651" i="15"/>
  <c r="T38650" i="15"/>
  <c r="T38649" i="15"/>
  <c r="T38648" i="15"/>
  <c r="T38647" i="15"/>
  <c r="T38646" i="15"/>
  <c r="T38645" i="15"/>
  <c r="T38644" i="15"/>
  <c r="T38643" i="15"/>
  <c r="T38642" i="15"/>
  <c r="T38641" i="15"/>
  <c r="T38640" i="15"/>
  <c r="T38639" i="15"/>
  <c r="T38638" i="15"/>
  <c r="T38637" i="15"/>
  <c r="T38636" i="15"/>
  <c r="T38635" i="15"/>
  <c r="T38634" i="15"/>
  <c r="T38633" i="15"/>
  <c r="T38632" i="15"/>
  <c r="T38631" i="15"/>
  <c r="T38630" i="15"/>
  <c r="T38629" i="15"/>
  <c r="T38628" i="15"/>
  <c r="T38627" i="15"/>
  <c r="T38626" i="15"/>
  <c r="T38625" i="15"/>
  <c r="T38624" i="15"/>
  <c r="T38623" i="15"/>
  <c r="T38622" i="15"/>
  <c r="T38621" i="15"/>
  <c r="T38620" i="15"/>
  <c r="T38619" i="15"/>
  <c r="T38618" i="15"/>
  <c r="T38617" i="15"/>
  <c r="T38616" i="15"/>
  <c r="T38615" i="15"/>
  <c r="T38614" i="15"/>
  <c r="T38613" i="15"/>
  <c r="T38612" i="15"/>
  <c r="T38611" i="15"/>
  <c r="T38610" i="15"/>
  <c r="T38609" i="15"/>
  <c r="T38608" i="15"/>
  <c r="T38607" i="15"/>
  <c r="T38606" i="15"/>
  <c r="T38605" i="15"/>
  <c r="T38604" i="15"/>
  <c r="T38603" i="15"/>
  <c r="T38602" i="15"/>
  <c r="T38601" i="15"/>
  <c r="T38600" i="15"/>
  <c r="T38599" i="15"/>
  <c r="T38598" i="15"/>
  <c r="T38597" i="15"/>
  <c r="T38596" i="15"/>
  <c r="T38595" i="15"/>
  <c r="T38594" i="15"/>
  <c r="T38593" i="15"/>
  <c r="T38592" i="15"/>
  <c r="T38591" i="15"/>
  <c r="T38590" i="15"/>
  <c r="T38589" i="15"/>
  <c r="T38588" i="15"/>
  <c r="T38587" i="15"/>
  <c r="T38586" i="15"/>
  <c r="T38585" i="15"/>
  <c r="T38584" i="15"/>
  <c r="T38583" i="15"/>
  <c r="T38582" i="15"/>
  <c r="T38581" i="15"/>
  <c r="T38580" i="15"/>
  <c r="T38579" i="15"/>
  <c r="T38578" i="15"/>
  <c r="T38577" i="15"/>
  <c r="T38576" i="15"/>
  <c r="T38575" i="15"/>
  <c r="T38574" i="15"/>
  <c r="T38573" i="15"/>
  <c r="T38572" i="15"/>
  <c r="T38571" i="15"/>
  <c r="T38570" i="15"/>
  <c r="T38569" i="15"/>
  <c r="T38568" i="15"/>
  <c r="T38567" i="15"/>
  <c r="T38566" i="15"/>
  <c r="T38565" i="15"/>
  <c r="T38564" i="15"/>
  <c r="T38563" i="15"/>
  <c r="T38562" i="15"/>
  <c r="T38561" i="15"/>
  <c r="T38560" i="15"/>
  <c r="T38559" i="15"/>
  <c r="T38558" i="15"/>
  <c r="T38557" i="15"/>
  <c r="T38556" i="15"/>
  <c r="T38555" i="15"/>
  <c r="T38554" i="15"/>
  <c r="T38553" i="15"/>
  <c r="T38552" i="15"/>
  <c r="T38551" i="15"/>
  <c r="T38550" i="15"/>
  <c r="T38549" i="15"/>
  <c r="T38548" i="15"/>
  <c r="T38547" i="15"/>
  <c r="T38546" i="15"/>
  <c r="T38545" i="15"/>
  <c r="T38544" i="15"/>
  <c r="T38543" i="15"/>
  <c r="T38542" i="15"/>
  <c r="T38541" i="15"/>
  <c r="T38540" i="15"/>
  <c r="T38539" i="15"/>
  <c r="T38538" i="15"/>
  <c r="T38537" i="15"/>
  <c r="T38536" i="15"/>
  <c r="T38535" i="15"/>
  <c r="T38534" i="15"/>
  <c r="T38533" i="15"/>
  <c r="T38532" i="15"/>
  <c r="T38531" i="15"/>
  <c r="T38530" i="15"/>
  <c r="T38529" i="15"/>
  <c r="T38528" i="15"/>
  <c r="T38527" i="15"/>
  <c r="T38526" i="15"/>
  <c r="T38525" i="15"/>
  <c r="T38524" i="15"/>
  <c r="T38523" i="15"/>
  <c r="T38522" i="15"/>
  <c r="T38521" i="15"/>
  <c r="T38520" i="15"/>
  <c r="T38519" i="15"/>
  <c r="T38518" i="15"/>
  <c r="T38517" i="15"/>
  <c r="T38516" i="15"/>
  <c r="T38515" i="15"/>
  <c r="T38514" i="15"/>
  <c r="T38513" i="15"/>
  <c r="T38512" i="15"/>
  <c r="T38511" i="15"/>
  <c r="T38510" i="15"/>
  <c r="T38509" i="15"/>
  <c r="T38508" i="15"/>
  <c r="T38507" i="15"/>
  <c r="T38506" i="15"/>
  <c r="T38505" i="15"/>
  <c r="T38504" i="15"/>
  <c r="T38503" i="15"/>
  <c r="T38502" i="15"/>
  <c r="T38501" i="15"/>
  <c r="T38500" i="15"/>
  <c r="T38499" i="15"/>
  <c r="T38498" i="15"/>
  <c r="T38497" i="15"/>
  <c r="T38496" i="15"/>
  <c r="T38495" i="15"/>
  <c r="T38494" i="15"/>
  <c r="T38493" i="15"/>
  <c r="T38492" i="15"/>
  <c r="T38491" i="15"/>
  <c r="T38490" i="15"/>
  <c r="T38489" i="15"/>
  <c r="T38488" i="15"/>
  <c r="T38487" i="15"/>
  <c r="T38486" i="15"/>
  <c r="T38485" i="15"/>
  <c r="T38484" i="15"/>
  <c r="T38483" i="15"/>
  <c r="T38482" i="15"/>
  <c r="T38481" i="15"/>
  <c r="T38480" i="15"/>
  <c r="T38479" i="15"/>
  <c r="T38478" i="15"/>
  <c r="T38477" i="15"/>
  <c r="T38476" i="15"/>
  <c r="T38475" i="15"/>
  <c r="T38474" i="15"/>
  <c r="T38473" i="15"/>
  <c r="T38472" i="15"/>
  <c r="T38471" i="15"/>
  <c r="T38470" i="15"/>
  <c r="T38469" i="15"/>
  <c r="T38468" i="15"/>
  <c r="T38467" i="15"/>
  <c r="T38466" i="15"/>
  <c r="T38465" i="15"/>
  <c r="T38464" i="15"/>
  <c r="T38463" i="15"/>
  <c r="T38462" i="15"/>
  <c r="T38461" i="15"/>
  <c r="T38460" i="15"/>
  <c r="T38459" i="15"/>
  <c r="T38458" i="15"/>
  <c r="T38457" i="15"/>
  <c r="T38456" i="15"/>
  <c r="T38455" i="15"/>
  <c r="T38454" i="15"/>
  <c r="T38453" i="15"/>
  <c r="T38452" i="15"/>
  <c r="T38451" i="15"/>
  <c r="T38450" i="15"/>
  <c r="T38449" i="15"/>
  <c r="T38448" i="15"/>
  <c r="T38447" i="15"/>
  <c r="T38446" i="15"/>
  <c r="T38445" i="15"/>
  <c r="T38444" i="15"/>
  <c r="T38443" i="15"/>
  <c r="T38442" i="15"/>
  <c r="T38441" i="15"/>
  <c r="T38440" i="15"/>
  <c r="T38439" i="15"/>
  <c r="T38438" i="15"/>
  <c r="T38437" i="15"/>
  <c r="T38436" i="15"/>
  <c r="T38435" i="15"/>
  <c r="T38434" i="15"/>
  <c r="T38433" i="15"/>
  <c r="T38432" i="15"/>
  <c r="T38431" i="15"/>
  <c r="T38430" i="15"/>
  <c r="T38429" i="15"/>
  <c r="T38428" i="15"/>
  <c r="T38427" i="15"/>
  <c r="T38426" i="15"/>
  <c r="T38425" i="15"/>
  <c r="T38424" i="15"/>
  <c r="T38423" i="15"/>
  <c r="T38422" i="15"/>
  <c r="T38421" i="15"/>
  <c r="T38420" i="15"/>
  <c r="T38419" i="15"/>
  <c r="T38418" i="15"/>
  <c r="T38417" i="15"/>
  <c r="T38416" i="15"/>
  <c r="T38415" i="15"/>
  <c r="T38414" i="15"/>
  <c r="T38413" i="15"/>
  <c r="T38412" i="15"/>
  <c r="T38411" i="15"/>
  <c r="T38410" i="15"/>
  <c r="T38409" i="15"/>
  <c r="T38408" i="15"/>
  <c r="T38407" i="15"/>
  <c r="T38406" i="15"/>
  <c r="T38405" i="15"/>
  <c r="T38404" i="15"/>
  <c r="T38403" i="15"/>
  <c r="T38402" i="15"/>
  <c r="T38401" i="15"/>
  <c r="T38400" i="15"/>
  <c r="T38399" i="15"/>
  <c r="T38398" i="15"/>
  <c r="T38397" i="15"/>
  <c r="T38396" i="15"/>
  <c r="T38395" i="15"/>
  <c r="T38394" i="15"/>
  <c r="T38393" i="15"/>
  <c r="T38392" i="15"/>
  <c r="T38391" i="15"/>
  <c r="T38390" i="15"/>
  <c r="T38389" i="15"/>
  <c r="T38388" i="15"/>
  <c r="T38387" i="15"/>
  <c r="T38386" i="15"/>
  <c r="T38385" i="15"/>
  <c r="T38384" i="15"/>
  <c r="T38383" i="15"/>
  <c r="T38382" i="15"/>
  <c r="T38381" i="15"/>
  <c r="T38380" i="15"/>
  <c r="T38379" i="15"/>
  <c r="T38378" i="15"/>
  <c r="T38377" i="15"/>
  <c r="T38376" i="15"/>
  <c r="T38375" i="15"/>
  <c r="T38374" i="15"/>
  <c r="T38373" i="15"/>
  <c r="T38372" i="15"/>
  <c r="T38371" i="15"/>
  <c r="T38370" i="15"/>
  <c r="T38369" i="15"/>
  <c r="T38368" i="15"/>
  <c r="T38367" i="15"/>
  <c r="T38366" i="15"/>
  <c r="T38365" i="15"/>
  <c r="T38364" i="15"/>
  <c r="T38363" i="15"/>
  <c r="T38362" i="15"/>
  <c r="T38361" i="15"/>
  <c r="T38360" i="15"/>
  <c r="T38359" i="15"/>
  <c r="T38358" i="15"/>
  <c r="T38357" i="15"/>
  <c r="T38356" i="15"/>
  <c r="T38355" i="15"/>
  <c r="T38354" i="15"/>
  <c r="T38353" i="15"/>
  <c r="T38352" i="15"/>
  <c r="T38351" i="15"/>
  <c r="T38350" i="15"/>
  <c r="T38349" i="15"/>
  <c r="T38348" i="15"/>
  <c r="T38347" i="15"/>
  <c r="T38346" i="15"/>
  <c r="T38345" i="15"/>
  <c r="T38344" i="15"/>
  <c r="T38343" i="15"/>
  <c r="T38342" i="15"/>
  <c r="T38341" i="15"/>
  <c r="T38340" i="15"/>
  <c r="T38339" i="15"/>
  <c r="T38338" i="15"/>
  <c r="T38337" i="15"/>
  <c r="T38336" i="15"/>
  <c r="T38335" i="15"/>
  <c r="T38334" i="15"/>
  <c r="T38333" i="15"/>
  <c r="T38332" i="15"/>
  <c r="T38331" i="15"/>
  <c r="T38330" i="15"/>
  <c r="T38329" i="15"/>
  <c r="T38328" i="15"/>
  <c r="T38327" i="15"/>
  <c r="T38326" i="15"/>
  <c r="T38325" i="15"/>
  <c r="T38324" i="15"/>
  <c r="T38323" i="15"/>
  <c r="T38322" i="15"/>
  <c r="T38321" i="15"/>
  <c r="T38320" i="15"/>
  <c r="T38319" i="15"/>
  <c r="T38318" i="15"/>
  <c r="T38317" i="15"/>
  <c r="T38316" i="15"/>
  <c r="T38315" i="15"/>
  <c r="T38314" i="15"/>
  <c r="T38313" i="15"/>
  <c r="T38312" i="15"/>
  <c r="T38311" i="15"/>
  <c r="T38310" i="15"/>
  <c r="T38309" i="15"/>
  <c r="T38308" i="15"/>
  <c r="T38307" i="15"/>
  <c r="T38306" i="15"/>
  <c r="T38305" i="15"/>
  <c r="T38304" i="15"/>
  <c r="T38303" i="15"/>
  <c r="T38302" i="15"/>
  <c r="T38301" i="15"/>
  <c r="T38300" i="15"/>
  <c r="T38299" i="15"/>
  <c r="T38298" i="15"/>
  <c r="T38297" i="15"/>
  <c r="T38296" i="15"/>
  <c r="T38295" i="15"/>
  <c r="T38294" i="15"/>
  <c r="T38293" i="15"/>
  <c r="T38292" i="15"/>
  <c r="T38291" i="15"/>
  <c r="T38290" i="15"/>
  <c r="T38289" i="15"/>
  <c r="T38288" i="15"/>
  <c r="T38287" i="15"/>
  <c r="T38286" i="15"/>
  <c r="T38285" i="15"/>
  <c r="T38284" i="15"/>
  <c r="T38283" i="15"/>
  <c r="T38282" i="15"/>
  <c r="T38281" i="15"/>
  <c r="T38280" i="15"/>
  <c r="T38279" i="15"/>
  <c r="T38278" i="15"/>
  <c r="T38277" i="15"/>
  <c r="T38276" i="15"/>
  <c r="T38275" i="15"/>
  <c r="T38274" i="15"/>
  <c r="T38273" i="15"/>
  <c r="T38272" i="15"/>
  <c r="T38271" i="15"/>
  <c r="T38270" i="15"/>
  <c r="T38269" i="15"/>
  <c r="T38268" i="15"/>
  <c r="T38267" i="15"/>
  <c r="T38266" i="15"/>
  <c r="T38265" i="15"/>
  <c r="T38264" i="15"/>
  <c r="T38263" i="15"/>
  <c r="T38262" i="15"/>
  <c r="T38261" i="15"/>
  <c r="T38260" i="15"/>
  <c r="T38259" i="15"/>
  <c r="T38258" i="15"/>
  <c r="T38257" i="15"/>
  <c r="T38256" i="15"/>
  <c r="T38255" i="15"/>
  <c r="T38254" i="15"/>
  <c r="T38253" i="15"/>
  <c r="T38252" i="15"/>
  <c r="T38251" i="15"/>
  <c r="T38250" i="15"/>
  <c r="T38249" i="15"/>
  <c r="T38248" i="15"/>
  <c r="T38247" i="15"/>
  <c r="T38246" i="15"/>
  <c r="T38245" i="15"/>
  <c r="T38244" i="15"/>
  <c r="T38243" i="15"/>
  <c r="T38242" i="15"/>
  <c r="T38241" i="15"/>
  <c r="T38240" i="15"/>
  <c r="T38239" i="15"/>
  <c r="T38238" i="15"/>
  <c r="T38237" i="15"/>
  <c r="T38236" i="15"/>
  <c r="T38235" i="15"/>
  <c r="T38234" i="15"/>
  <c r="T38233" i="15"/>
  <c r="T38232" i="15"/>
  <c r="T38231" i="15"/>
  <c r="T38230" i="15"/>
  <c r="T38229" i="15"/>
  <c r="T38228" i="15"/>
  <c r="T38227" i="15"/>
  <c r="T38226" i="15"/>
  <c r="T38225" i="15"/>
  <c r="T38224" i="15"/>
  <c r="T38223" i="15"/>
  <c r="T38222" i="15"/>
  <c r="T38221" i="15"/>
  <c r="T38220" i="15"/>
  <c r="T38219" i="15"/>
  <c r="T38218" i="15"/>
  <c r="T38217" i="15"/>
  <c r="T38216" i="15"/>
  <c r="T38215" i="15"/>
  <c r="T38214" i="15"/>
  <c r="T38213" i="15"/>
  <c r="T38212" i="15"/>
  <c r="T38211" i="15"/>
  <c r="T38210" i="15"/>
  <c r="T38209" i="15"/>
  <c r="T38208" i="15"/>
  <c r="T38207" i="15"/>
  <c r="T38206" i="15"/>
  <c r="T38205" i="15"/>
  <c r="T38204" i="15"/>
  <c r="T38203" i="15"/>
  <c r="T38202" i="15"/>
  <c r="T38201" i="15"/>
  <c r="T38200" i="15"/>
  <c r="T38199" i="15"/>
  <c r="T38198" i="15"/>
  <c r="T38197" i="15"/>
  <c r="T38196" i="15"/>
  <c r="T38195" i="15"/>
  <c r="T38194" i="15"/>
  <c r="T38193" i="15"/>
  <c r="T38192" i="15"/>
  <c r="T38191" i="15"/>
  <c r="T38190" i="15"/>
  <c r="T38189" i="15"/>
  <c r="T38188" i="15"/>
  <c r="T38187" i="15"/>
  <c r="T38186" i="15"/>
  <c r="T38185" i="15"/>
  <c r="T38184" i="15"/>
  <c r="T38183" i="15"/>
  <c r="T38182" i="15"/>
  <c r="T38181" i="15"/>
  <c r="T38180" i="15"/>
  <c r="T38179" i="15"/>
  <c r="T38178" i="15"/>
  <c r="T38177" i="15"/>
  <c r="T38176" i="15"/>
  <c r="T38175" i="15"/>
  <c r="T38174" i="15"/>
  <c r="T38173" i="15"/>
  <c r="T38172" i="15"/>
  <c r="T38171" i="15"/>
  <c r="T38170" i="15"/>
  <c r="T38169" i="15"/>
  <c r="T38168" i="15"/>
  <c r="T38167" i="15"/>
  <c r="T38166" i="15"/>
  <c r="T38165" i="15"/>
  <c r="T38164" i="15"/>
  <c r="T38163" i="15"/>
  <c r="T38162" i="15"/>
  <c r="T38161" i="15"/>
  <c r="T38160" i="15"/>
  <c r="T38159" i="15"/>
  <c r="T38158" i="15"/>
  <c r="T38157" i="15"/>
  <c r="T38156" i="15"/>
  <c r="T38155" i="15"/>
  <c r="T38154" i="15"/>
  <c r="T38153" i="15"/>
  <c r="T38152" i="15"/>
  <c r="T38151" i="15"/>
  <c r="T38150" i="15"/>
  <c r="T38149" i="15"/>
  <c r="T38148" i="15"/>
  <c r="T38147" i="15"/>
  <c r="T38146" i="15"/>
  <c r="T38145" i="15"/>
  <c r="T38144" i="15"/>
  <c r="T38143" i="15"/>
  <c r="T38142" i="15"/>
  <c r="T38141" i="15"/>
  <c r="T38140" i="15"/>
  <c r="T38139" i="15"/>
  <c r="T38138" i="15"/>
  <c r="T38137" i="15"/>
  <c r="T38136" i="15"/>
  <c r="T38135" i="15"/>
  <c r="T38134" i="15"/>
  <c r="T38133" i="15"/>
  <c r="T38132" i="15"/>
  <c r="T38131" i="15"/>
  <c r="T38130" i="15"/>
  <c r="T38129" i="15"/>
  <c r="T38128" i="15"/>
  <c r="T38127" i="15"/>
  <c r="T38126" i="15"/>
  <c r="T38125" i="15"/>
  <c r="T38124" i="15"/>
  <c r="T38123" i="15"/>
  <c r="T38122" i="15"/>
  <c r="T38121" i="15"/>
  <c r="T38120" i="15"/>
  <c r="T38119" i="15"/>
  <c r="T38118" i="15"/>
  <c r="T38117" i="15"/>
  <c r="T38116" i="15"/>
  <c r="T38115" i="15"/>
  <c r="T38114" i="15"/>
  <c r="T38113" i="15"/>
  <c r="T38112" i="15"/>
  <c r="T38111" i="15"/>
  <c r="T38110" i="15"/>
  <c r="T38109" i="15"/>
  <c r="T38108" i="15"/>
  <c r="T38107" i="15"/>
  <c r="T38106" i="15"/>
  <c r="T38105" i="15"/>
  <c r="T38104" i="15"/>
  <c r="T38103" i="15"/>
  <c r="T38102" i="15"/>
  <c r="T38101" i="15"/>
  <c r="T38100" i="15"/>
  <c r="T38099" i="15"/>
  <c r="T38098" i="15"/>
  <c r="T38097" i="15"/>
  <c r="T38096" i="15"/>
  <c r="T38095" i="15"/>
  <c r="T38094" i="15"/>
  <c r="T38093" i="15"/>
  <c r="T38092" i="15"/>
  <c r="T38091" i="15"/>
  <c r="T38090" i="15"/>
  <c r="T38089" i="15"/>
  <c r="T38088" i="15"/>
  <c r="T38087" i="15"/>
  <c r="T38086" i="15"/>
  <c r="T38085" i="15"/>
  <c r="T38084" i="15"/>
  <c r="T38083" i="15"/>
  <c r="T38082" i="15"/>
  <c r="T38081" i="15"/>
  <c r="T38080" i="15"/>
  <c r="T38079" i="15"/>
  <c r="T38078" i="15"/>
  <c r="T38077" i="15"/>
  <c r="T38076" i="15"/>
  <c r="T38075" i="15"/>
  <c r="T38074" i="15"/>
  <c r="T38073" i="15"/>
  <c r="T38072" i="15"/>
  <c r="T38071" i="15"/>
  <c r="T38070" i="15"/>
  <c r="T38069" i="15"/>
  <c r="T38068" i="15"/>
  <c r="T38067" i="15"/>
  <c r="T38066" i="15"/>
  <c r="T38065" i="15"/>
  <c r="T38064" i="15"/>
  <c r="T38063" i="15"/>
  <c r="T38062" i="15"/>
  <c r="T38061" i="15"/>
  <c r="T38060" i="15"/>
  <c r="T38059" i="15"/>
  <c r="T38058" i="15"/>
  <c r="T38057" i="15"/>
  <c r="T38056" i="15"/>
  <c r="T38055" i="15"/>
  <c r="T38054" i="15"/>
  <c r="T38053" i="15"/>
  <c r="T38052" i="15"/>
  <c r="T38051" i="15"/>
  <c r="T38050" i="15"/>
  <c r="T38049" i="15"/>
  <c r="T38048" i="15"/>
  <c r="T38047" i="15"/>
  <c r="T38046" i="15"/>
  <c r="T38045" i="15"/>
  <c r="T38044" i="15"/>
  <c r="T38043" i="15"/>
  <c r="T38042" i="15"/>
  <c r="T38041" i="15"/>
  <c r="T38040" i="15"/>
  <c r="T38039" i="15"/>
  <c r="T38038" i="15"/>
  <c r="T38037" i="15"/>
  <c r="T38036" i="15"/>
  <c r="T38035" i="15"/>
  <c r="T38034" i="15"/>
  <c r="T38033" i="15"/>
  <c r="T38032" i="15"/>
  <c r="T38031" i="15"/>
  <c r="T38030" i="15"/>
  <c r="T38029" i="15"/>
  <c r="T38028" i="15"/>
  <c r="T38027" i="15"/>
  <c r="T38026" i="15"/>
  <c r="T38025" i="15"/>
  <c r="T38024" i="15"/>
  <c r="T38023" i="15"/>
  <c r="T38022" i="15"/>
  <c r="T38021" i="15"/>
  <c r="T38020" i="15"/>
  <c r="T38019" i="15"/>
  <c r="T38018" i="15"/>
  <c r="T38017" i="15"/>
  <c r="T38016" i="15"/>
  <c r="T38015" i="15"/>
  <c r="T38014" i="15"/>
  <c r="T38013" i="15"/>
  <c r="T38012" i="15"/>
  <c r="T38011" i="15"/>
  <c r="T38010" i="15"/>
  <c r="T38009" i="15"/>
  <c r="T38008" i="15"/>
  <c r="T38007" i="15"/>
  <c r="T38006" i="15"/>
  <c r="T38005" i="15"/>
  <c r="T38004" i="15"/>
  <c r="T38003" i="15"/>
  <c r="T38002" i="15"/>
  <c r="T38001" i="15"/>
  <c r="T38000" i="15"/>
  <c r="T37999" i="15"/>
  <c r="T37998" i="15"/>
  <c r="T37997" i="15"/>
  <c r="T37996" i="15"/>
  <c r="T37995" i="15"/>
  <c r="T37994" i="15"/>
  <c r="T37993" i="15"/>
  <c r="T37992" i="15"/>
  <c r="T37991" i="15"/>
  <c r="T37990" i="15"/>
  <c r="T37989" i="15"/>
  <c r="T37988" i="15"/>
  <c r="T37987" i="15"/>
  <c r="T37986" i="15"/>
  <c r="T37985" i="15"/>
  <c r="T37984" i="15"/>
  <c r="T37983" i="15"/>
  <c r="T37982" i="15"/>
  <c r="T37981" i="15"/>
  <c r="T37980" i="15"/>
  <c r="T37979" i="15"/>
  <c r="T37978" i="15"/>
  <c r="T37977" i="15"/>
  <c r="T37976" i="15"/>
  <c r="T37975" i="15"/>
  <c r="T37974" i="15"/>
  <c r="T37973" i="15"/>
  <c r="T37972" i="15"/>
  <c r="T37971" i="15"/>
  <c r="T37970" i="15"/>
  <c r="T37969" i="15"/>
  <c r="T37968" i="15"/>
  <c r="T37967" i="15"/>
  <c r="T37966" i="15"/>
  <c r="T37965" i="15"/>
  <c r="T37964" i="15"/>
  <c r="T37963" i="15"/>
  <c r="T37962" i="15"/>
  <c r="T37961" i="15"/>
  <c r="T37960" i="15"/>
  <c r="T37959" i="15"/>
  <c r="T37958" i="15"/>
  <c r="T37957" i="15"/>
  <c r="T37956" i="15"/>
  <c r="T37955" i="15"/>
  <c r="T37954" i="15"/>
  <c r="T37953" i="15"/>
  <c r="T37952" i="15"/>
  <c r="T37951" i="15"/>
  <c r="T37950" i="15"/>
  <c r="T37949" i="15"/>
  <c r="T37948" i="15"/>
  <c r="T37947" i="15"/>
  <c r="T37946" i="15"/>
  <c r="T37945" i="15"/>
  <c r="T37944" i="15"/>
  <c r="T37943" i="15"/>
  <c r="T37942" i="15"/>
  <c r="T37941" i="15"/>
  <c r="T37940" i="15"/>
  <c r="T37939" i="15"/>
  <c r="T37938" i="15"/>
  <c r="T37937" i="15"/>
  <c r="T37936" i="15"/>
  <c r="T37935" i="15"/>
  <c r="T37934" i="15"/>
  <c r="T37933" i="15"/>
  <c r="T37932" i="15"/>
  <c r="T37931" i="15"/>
  <c r="T37930" i="15"/>
  <c r="T37929" i="15"/>
  <c r="T37928" i="15"/>
  <c r="T37927" i="15"/>
  <c r="T37926" i="15"/>
  <c r="T37925" i="15"/>
  <c r="T37924" i="15"/>
  <c r="T37923" i="15"/>
  <c r="T37922" i="15"/>
  <c r="T37921" i="15"/>
  <c r="T37920" i="15"/>
  <c r="T37919" i="15"/>
  <c r="T37918" i="15"/>
  <c r="T37917" i="15"/>
  <c r="T37916" i="15"/>
  <c r="T37915" i="15"/>
  <c r="T37914" i="15"/>
  <c r="T37913" i="15"/>
  <c r="T37912" i="15"/>
  <c r="T37911" i="15"/>
  <c r="T37910" i="15"/>
  <c r="T37909" i="15"/>
  <c r="T37908" i="15"/>
  <c r="T37907" i="15"/>
  <c r="T37906" i="15"/>
  <c r="T37905" i="15"/>
  <c r="T37904" i="15"/>
  <c r="T37903" i="15"/>
  <c r="T37902" i="15"/>
  <c r="T37901" i="15"/>
  <c r="T37900" i="15"/>
  <c r="T37899" i="15"/>
  <c r="T37898" i="15"/>
  <c r="T37897" i="15"/>
  <c r="T37896" i="15"/>
  <c r="T37895" i="15"/>
  <c r="T37894" i="15"/>
  <c r="T37893" i="15"/>
  <c r="T37892" i="15"/>
  <c r="T37891" i="15"/>
  <c r="T37890" i="15"/>
  <c r="T37889" i="15"/>
  <c r="T37888" i="15"/>
  <c r="T37887" i="15"/>
  <c r="T37886" i="15"/>
  <c r="T37885" i="15"/>
  <c r="T37884" i="15"/>
  <c r="T37883" i="15"/>
  <c r="T37882" i="15"/>
  <c r="T37881" i="15"/>
  <c r="T37880" i="15"/>
  <c r="T37879" i="15"/>
  <c r="T37878" i="15"/>
  <c r="T37877" i="15"/>
  <c r="T37876" i="15"/>
  <c r="T37875" i="15"/>
  <c r="T37874" i="15"/>
  <c r="T37873" i="15"/>
  <c r="T37872" i="15"/>
  <c r="T37871" i="15"/>
  <c r="T37870" i="15"/>
  <c r="T37869" i="15"/>
  <c r="T37868" i="15"/>
  <c r="T37867" i="15"/>
  <c r="T37866" i="15"/>
  <c r="T37865" i="15"/>
  <c r="T37864" i="15"/>
  <c r="T37863" i="15"/>
  <c r="T37862" i="15"/>
  <c r="T37861" i="15"/>
  <c r="T37860" i="15"/>
  <c r="T37859" i="15"/>
  <c r="T37858" i="15"/>
  <c r="T37857" i="15"/>
  <c r="T37856" i="15"/>
  <c r="T37855" i="15"/>
  <c r="T37854" i="15"/>
  <c r="T37853" i="15"/>
  <c r="T37852" i="15"/>
  <c r="T37851" i="15"/>
  <c r="T37850" i="15"/>
  <c r="T37849" i="15"/>
  <c r="T37848" i="15"/>
  <c r="T37847" i="15"/>
  <c r="T37846" i="15"/>
  <c r="T37845" i="15"/>
  <c r="T37844" i="15"/>
  <c r="T37843" i="15"/>
  <c r="T37842" i="15"/>
  <c r="T37841" i="15"/>
  <c r="T37840" i="15"/>
  <c r="T37839" i="15"/>
  <c r="T37838" i="15"/>
  <c r="T37837" i="15"/>
  <c r="T37836" i="15"/>
  <c r="T37835" i="15"/>
  <c r="T37834" i="15"/>
  <c r="T37833" i="15"/>
  <c r="T37832" i="15"/>
  <c r="T37831" i="15"/>
  <c r="T37830" i="15"/>
  <c r="T37829" i="15"/>
  <c r="T37828" i="15"/>
  <c r="T37827" i="15"/>
  <c r="T37826" i="15"/>
  <c r="T37825" i="15"/>
  <c r="T37824" i="15"/>
  <c r="T37823" i="15"/>
  <c r="T37822" i="15"/>
  <c r="T37821" i="15"/>
  <c r="T37820" i="15"/>
  <c r="T37819" i="15"/>
  <c r="T37818" i="15"/>
  <c r="T37817" i="15"/>
  <c r="T37816" i="15"/>
  <c r="T37815" i="15"/>
  <c r="T37814" i="15"/>
  <c r="T37813" i="15"/>
  <c r="T37812" i="15"/>
  <c r="T37811" i="15"/>
  <c r="T37810" i="15"/>
  <c r="T37809" i="15"/>
  <c r="T37808" i="15"/>
  <c r="T37807" i="15"/>
  <c r="T37806" i="15"/>
  <c r="T37805" i="15"/>
  <c r="T37804" i="15"/>
  <c r="T37803" i="15"/>
  <c r="T37802" i="15"/>
  <c r="T37801" i="15"/>
  <c r="T37800" i="15"/>
  <c r="T37799" i="15"/>
  <c r="T37798" i="15"/>
  <c r="T37797" i="15"/>
  <c r="T37796" i="15"/>
  <c r="T37795" i="15"/>
  <c r="T37794" i="15"/>
  <c r="T37793" i="15"/>
  <c r="T37792" i="15"/>
  <c r="T37791" i="15"/>
  <c r="T37790" i="15"/>
  <c r="T37789" i="15"/>
  <c r="T37788" i="15"/>
  <c r="T37787" i="15"/>
  <c r="T37786" i="15"/>
  <c r="T37785" i="15"/>
  <c r="T37784" i="15"/>
  <c r="T37783" i="15"/>
  <c r="T37782" i="15"/>
  <c r="T37781" i="15"/>
  <c r="T37780" i="15"/>
  <c r="T37779" i="15"/>
  <c r="T37778" i="15"/>
  <c r="T37777" i="15"/>
  <c r="T37776" i="15"/>
  <c r="T37775" i="15"/>
  <c r="T37774" i="15"/>
  <c r="T37773" i="15"/>
  <c r="T37772" i="15"/>
  <c r="T37771" i="15"/>
  <c r="T37770" i="15"/>
  <c r="T37769" i="15"/>
  <c r="T37768" i="15"/>
  <c r="T37767" i="15"/>
  <c r="T37766" i="15"/>
  <c r="T37765" i="15"/>
  <c r="T37764" i="15"/>
  <c r="T37763" i="15"/>
  <c r="T37762" i="15"/>
  <c r="T37761" i="15"/>
  <c r="T37760" i="15"/>
  <c r="T37759" i="15"/>
  <c r="T37758" i="15"/>
  <c r="T37757" i="15"/>
  <c r="T37756" i="15"/>
  <c r="T37755" i="15"/>
  <c r="T37754" i="15"/>
  <c r="T37753" i="15"/>
  <c r="T37752" i="15"/>
  <c r="T37751" i="15"/>
  <c r="T37750" i="15"/>
  <c r="T37749" i="15"/>
  <c r="T37748" i="15"/>
  <c r="T37747" i="15"/>
  <c r="T37746" i="15"/>
  <c r="T37745" i="15"/>
  <c r="T37744" i="15"/>
  <c r="T37743" i="15"/>
  <c r="T37742" i="15"/>
  <c r="T37741" i="15"/>
  <c r="T37740" i="15"/>
  <c r="T37739" i="15"/>
  <c r="T37738" i="15"/>
  <c r="T37737" i="15"/>
  <c r="T37736" i="15"/>
  <c r="T37735" i="15"/>
  <c r="T37734" i="15"/>
  <c r="T37733" i="15"/>
  <c r="T37732" i="15"/>
  <c r="T37731" i="15"/>
  <c r="T37730" i="15"/>
  <c r="T37729" i="15"/>
  <c r="T37728" i="15"/>
  <c r="T37727" i="15"/>
  <c r="T37726" i="15"/>
  <c r="T37725" i="15"/>
  <c r="T37724" i="15"/>
  <c r="T37723" i="15"/>
  <c r="T37722" i="15"/>
  <c r="T37721" i="15"/>
  <c r="T37720" i="15"/>
  <c r="T37719" i="15"/>
  <c r="T37718" i="15"/>
  <c r="T37717" i="15"/>
  <c r="T37716" i="15"/>
  <c r="T37715" i="15"/>
  <c r="T37714" i="15"/>
  <c r="T37713" i="15"/>
  <c r="T37712" i="15"/>
  <c r="T37711" i="15"/>
  <c r="T37710" i="15"/>
  <c r="T37709" i="15"/>
  <c r="T37708" i="15"/>
  <c r="T37707" i="15"/>
  <c r="T37706" i="15"/>
  <c r="T37705" i="15"/>
  <c r="T37704" i="15"/>
  <c r="T37703" i="15"/>
  <c r="T37702" i="15"/>
  <c r="T37701" i="15"/>
  <c r="T37700" i="15"/>
  <c r="T37699" i="15"/>
  <c r="T37698" i="15"/>
  <c r="T37697" i="15"/>
  <c r="T37696" i="15"/>
  <c r="T37695" i="15"/>
  <c r="T37694" i="15"/>
  <c r="T37693" i="15"/>
  <c r="T37692" i="15"/>
  <c r="T37691" i="15"/>
  <c r="T37690" i="15"/>
  <c r="T37689" i="15"/>
  <c r="T37688" i="15"/>
  <c r="T37687" i="15"/>
  <c r="T37686" i="15"/>
  <c r="T37685" i="15"/>
  <c r="T37684" i="15"/>
  <c r="T37683" i="15"/>
  <c r="T37682" i="15"/>
  <c r="T37681" i="15"/>
  <c r="T37680" i="15"/>
  <c r="T37679" i="15"/>
  <c r="T37678" i="15"/>
  <c r="T37677" i="15"/>
  <c r="T37676" i="15"/>
  <c r="T37675" i="15"/>
  <c r="T37674" i="15"/>
  <c r="T37673" i="15"/>
  <c r="T37672" i="15"/>
  <c r="T37671" i="15"/>
  <c r="T37670" i="15"/>
  <c r="T37669" i="15"/>
  <c r="T37668" i="15"/>
  <c r="T37667" i="15"/>
  <c r="T37666" i="15"/>
  <c r="T37665" i="15"/>
  <c r="T37664" i="15"/>
  <c r="T37663" i="15"/>
  <c r="T37662" i="15"/>
  <c r="T37661" i="15"/>
  <c r="T37660" i="15"/>
  <c r="T37659" i="15"/>
  <c r="T37658" i="15"/>
  <c r="T37657" i="15"/>
  <c r="T37656" i="15"/>
  <c r="T37655" i="15"/>
  <c r="T37654" i="15"/>
  <c r="T37653" i="15"/>
  <c r="T37652" i="15"/>
  <c r="T37651" i="15"/>
  <c r="T37650" i="15"/>
  <c r="T37649" i="15"/>
  <c r="T37648" i="15"/>
  <c r="T37647" i="15"/>
  <c r="T37646" i="15"/>
  <c r="T37645" i="15"/>
  <c r="T37644" i="15"/>
  <c r="T37643" i="15"/>
  <c r="T37642" i="15"/>
  <c r="T37641" i="15"/>
  <c r="T37640" i="15"/>
  <c r="T37639" i="15"/>
  <c r="T37638" i="15"/>
  <c r="T37637" i="15"/>
  <c r="T37636" i="15"/>
  <c r="T37635" i="15"/>
  <c r="T37634" i="15"/>
  <c r="T37633" i="15"/>
  <c r="T37632" i="15"/>
  <c r="T37631" i="15"/>
  <c r="T37630" i="15"/>
  <c r="T37629" i="15"/>
  <c r="T37628" i="15"/>
  <c r="T37627" i="15"/>
  <c r="T37626" i="15"/>
  <c r="T37625" i="15"/>
  <c r="T37624" i="15"/>
  <c r="T37623" i="15"/>
  <c r="T37622" i="15"/>
  <c r="T37621" i="15"/>
  <c r="T37620" i="15"/>
  <c r="T37619" i="15"/>
  <c r="T37618" i="15"/>
  <c r="T37617" i="15"/>
  <c r="T37616" i="15"/>
  <c r="T37615" i="15"/>
  <c r="T37614" i="15"/>
  <c r="T37613" i="15"/>
  <c r="T37612" i="15"/>
  <c r="T37611" i="15"/>
  <c r="T37610" i="15"/>
  <c r="T37609" i="15"/>
  <c r="T37608" i="15"/>
  <c r="T37607" i="15"/>
  <c r="T37606" i="15"/>
  <c r="T37605" i="15"/>
  <c r="T37604" i="15"/>
  <c r="T37603" i="15"/>
  <c r="T37602" i="15"/>
  <c r="T37601" i="15"/>
  <c r="T37600" i="15"/>
  <c r="T37599" i="15"/>
  <c r="T37598" i="15"/>
  <c r="T37597" i="15"/>
  <c r="T37596" i="15"/>
  <c r="T37595" i="15"/>
  <c r="T37594" i="15"/>
  <c r="T37593" i="15"/>
  <c r="T37592" i="15"/>
  <c r="T37591" i="15"/>
  <c r="T37590" i="15"/>
  <c r="T37589" i="15"/>
  <c r="T37588" i="15"/>
  <c r="T37587" i="15"/>
  <c r="T37586" i="15"/>
  <c r="T37585" i="15"/>
  <c r="T37584" i="15"/>
  <c r="T37583" i="15"/>
  <c r="T37582" i="15"/>
  <c r="T37581" i="15"/>
  <c r="T37580" i="15"/>
  <c r="T37579" i="15"/>
  <c r="T37578" i="15"/>
  <c r="T37577" i="15"/>
  <c r="T37576" i="15"/>
  <c r="T37575" i="15"/>
  <c r="T37574" i="15"/>
  <c r="T37573" i="15"/>
  <c r="T37572" i="15"/>
  <c r="T37571" i="15"/>
  <c r="T37570" i="15"/>
  <c r="T37569" i="15"/>
  <c r="T37568" i="15"/>
  <c r="T37567" i="15"/>
  <c r="T37566" i="15"/>
  <c r="T37565" i="15"/>
  <c r="T37564" i="15"/>
  <c r="T37563" i="15"/>
  <c r="T37562" i="15"/>
  <c r="T37561" i="15"/>
  <c r="T37560" i="15"/>
  <c r="T37559" i="15"/>
  <c r="T37558" i="15"/>
  <c r="T37557" i="15"/>
  <c r="T37556" i="15"/>
  <c r="T37555" i="15"/>
  <c r="T37554" i="15"/>
  <c r="T37553" i="15"/>
  <c r="T37552" i="15"/>
  <c r="T37551" i="15"/>
  <c r="T37550" i="15"/>
  <c r="T37549" i="15"/>
  <c r="T37548" i="15"/>
  <c r="T37547" i="15"/>
  <c r="T37546" i="15"/>
  <c r="T37545" i="15"/>
  <c r="T37544" i="15"/>
  <c r="T37543" i="15"/>
  <c r="T37542" i="15"/>
  <c r="T37541" i="15"/>
  <c r="T37540" i="15"/>
  <c r="T37539" i="15"/>
  <c r="T37538" i="15"/>
  <c r="T37537" i="15"/>
  <c r="T37536" i="15"/>
  <c r="T37535" i="15"/>
  <c r="T37534" i="15"/>
  <c r="T37533" i="15"/>
  <c r="T37532" i="15"/>
  <c r="T37531" i="15"/>
  <c r="T37530" i="15"/>
  <c r="T37529" i="15"/>
  <c r="T37528" i="15"/>
  <c r="T37527" i="15"/>
  <c r="T37526" i="15"/>
  <c r="T37525" i="15"/>
  <c r="T37524" i="15"/>
  <c r="T37523" i="15"/>
  <c r="T37522" i="15"/>
  <c r="T37521" i="15"/>
  <c r="T37520" i="15"/>
  <c r="T37519" i="15"/>
  <c r="T37518" i="15"/>
  <c r="T37517" i="15"/>
  <c r="T37516" i="15"/>
  <c r="T37515" i="15"/>
  <c r="T37514" i="15"/>
  <c r="T37513" i="15"/>
  <c r="T37512" i="15"/>
  <c r="T37511" i="15"/>
  <c r="T37510" i="15"/>
  <c r="T37509" i="15"/>
  <c r="T37508" i="15"/>
  <c r="T37507" i="15"/>
  <c r="T37506" i="15"/>
  <c r="T37505" i="15"/>
  <c r="T37504" i="15"/>
  <c r="T37503" i="15"/>
  <c r="T37502" i="15"/>
  <c r="T37501" i="15"/>
  <c r="T37500" i="15"/>
  <c r="T37499" i="15"/>
  <c r="T37498" i="15"/>
  <c r="T37497" i="15"/>
  <c r="T37496" i="15"/>
  <c r="T37495" i="15"/>
  <c r="T37494" i="15"/>
  <c r="T37493" i="15"/>
  <c r="T37492" i="15"/>
  <c r="T37491" i="15"/>
  <c r="T37490" i="15"/>
  <c r="T37489" i="15"/>
  <c r="T37488" i="15"/>
  <c r="T37487" i="15"/>
  <c r="T37486" i="15"/>
  <c r="T37485" i="15"/>
  <c r="T37484" i="15"/>
  <c r="T37483" i="15"/>
  <c r="T37482" i="15"/>
  <c r="T37481" i="15"/>
  <c r="T37480" i="15"/>
  <c r="T37479" i="15"/>
  <c r="T37478" i="15"/>
  <c r="T37477" i="15"/>
  <c r="T37476" i="15"/>
  <c r="T37475" i="15"/>
  <c r="T37474" i="15"/>
  <c r="T37473" i="15"/>
  <c r="T37472" i="15"/>
  <c r="T37471" i="15"/>
  <c r="T37470" i="15"/>
  <c r="T37469" i="15"/>
  <c r="T37468" i="15"/>
  <c r="T37467" i="15"/>
  <c r="T37466" i="15"/>
  <c r="T37465" i="15"/>
  <c r="T37464" i="15"/>
  <c r="T37463" i="15"/>
  <c r="T37462" i="15"/>
  <c r="T37461" i="15"/>
  <c r="T37460" i="15"/>
  <c r="T37459" i="15"/>
  <c r="T37458" i="15"/>
  <c r="T37457" i="15"/>
  <c r="T37456" i="15"/>
  <c r="T37455" i="15"/>
  <c r="T37454" i="15"/>
  <c r="T37453" i="15"/>
  <c r="T37452" i="15"/>
  <c r="T37451" i="15"/>
  <c r="T37450" i="15"/>
  <c r="T37449" i="15"/>
  <c r="T37448" i="15"/>
  <c r="T37447" i="15"/>
  <c r="T37446" i="15"/>
  <c r="T37445" i="15"/>
  <c r="T37444" i="15"/>
  <c r="T37443" i="15"/>
  <c r="T37442" i="15"/>
  <c r="T37441" i="15"/>
  <c r="T37440" i="15"/>
  <c r="T37439" i="15"/>
  <c r="T37438" i="15"/>
  <c r="T37437" i="15"/>
  <c r="T37436" i="15"/>
  <c r="T37435" i="15"/>
  <c r="T37434" i="15"/>
  <c r="T37433" i="15"/>
  <c r="T37432" i="15"/>
  <c r="T37431" i="15"/>
  <c r="T37430" i="15"/>
  <c r="T37429" i="15"/>
  <c r="T37428" i="15"/>
  <c r="T37427" i="15"/>
  <c r="T37426" i="15"/>
  <c r="T37425" i="15"/>
  <c r="T37424" i="15"/>
  <c r="T37423" i="15"/>
  <c r="T37422" i="15"/>
  <c r="T37421" i="15"/>
  <c r="T37420" i="15"/>
  <c r="T37419" i="15"/>
  <c r="T37418" i="15"/>
  <c r="T37417" i="15"/>
  <c r="T37416" i="15"/>
  <c r="T37415" i="15"/>
  <c r="T37414" i="15"/>
  <c r="T37413" i="15"/>
  <c r="T37412" i="15"/>
  <c r="T37411" i="15"/>
  <c r="T37410" i="15"/>
  <c r="T37409" i="15"/>
  <c r="T37408" i="15"/>
  <c r="T37407" i="15"/>
  <c r="T37406" i="15"/>
  <c r="T37405" i="15"/>
  <c r="T37404" i="15"/>
  <c r="T37403" i="15"/>
  <c r="T37402" i="15"/>
  <c r="T37401" i="15"/>
  <c r="T37400" i="15"/>
  <c r="T37399" i="15"/>
  <c r="T37398" i="15"/>
  <c r="T37397" i="15"/>
  <c r="T37396" i="15"/>
  <c r="T37395" i="15"/>
  <c r="T37394" i="15"/>
  <c r="T37393" i="15"/>
  <c r="T37392" i="15"/>
  <c r="T37391" i="15"/>
  <c r="T37390" i="15"/>
  <c r="T37389" i="15"/>
  <c r="T37388" i="15"/>
  <c r="T37387" i="15"/>
  <c r="T37386" i="15"/>
  <c r="T37385" i="15"/>
  <c r="T37384" i="15"/>
  <c r="T37383" i="15"/>
  <c r="T37382" i="15"/>
  <c r="T37381" i="15"/>
  <c r="T37380" i="15"/>
  <c r="T37379" i="15"/>
  <c r="T37378" i="15"/>
  <c r="T37377" i="15"/>
  <c r="T37376" i="15"/>
  <c r="T37375" i="15"/>
  <c r="T37374" i="15"/>
  <c r="T37373" i="15"/>
  <c r="T37372" i="15"/>
  <c r="T37371" i="15"/>
  <c r="T37370" i="15"/>
  <c r="T37369" i="15"/>
  <c r="T37368" i="15"/>
  <c r="T37367" i="15"/>
  <c r="T37366" i="15"/>
  <c r="T37365" i="15"/>
  <c r="T37364" i="15"/>
  <c r="T37363" i="15"/>
  <c r="T37362" i="15"/>
  <c r="T37361" i="15"/>
  <c r="T37360" i="15"/>
  <c r="T37359" i="15"/>
  <c r="T37358" i="15"/>
  <c r="T37357" i="15"/>
  <c r="T37356" i="15"/>
  <c r="T37355" i="15"/>
  <c r="T37354" i="15"/>
  <c r="T37353" i="15"/>
  <c r="T37352" i="15"/>
  <c r="T37351" i="15"/>
  <c r="T37350" i="15"/>
  <c r="T37349" i="15"/>
  <c r="T37348" i="15"/>
  <c r="T37347" i="15"/>
  <c r="T37346" i="15"/>
  <c r="T37345" i="15"/>
  <c r="T37344" i="15"/>
  <c r="T37343" i="15"/>
  <c r="T37342" i="15"/>
  <c r="T37341" i="15"/>
  <c r="T37340" i="15"/>
  <c r="T37339" i="15"/>
  <c r="T37338" i="15"/>
  <c r="T37337" i="15"/>
  <c r="T37336" i="15"/>
  <c r="T37335" i="15"/>
  <c r="T37334" i="15"/>
  <c r="T37333" i="15"/>
  <c r="T37332" i="15"/>
  <c r="T37331" i="15"/>
  <c r="T37330" i="15"/>
  <c r="T37329" i="15"/>
  <c r="T37328" i="15"/>
  <c r="T37327" i="15"/>
  <c r="T37326" i="15"/>
  <c r="T37325" i="15"/>
  <c r="T37324" i="15"/>
  <c r="T37323" i="15"/>
  <c r="T37322" i="15"/>
  <c r="T37321" i="15"/>
  <c r="T37320" i="15"/>
  <c r="T37319" i="15"/>
  <c r="T37318" i="15"/>
  <c r="T37317" i="15"/>
  <c r="T37316" i="15"/>
  <c r="T37315" i="15"/>
  <c r="T37314" i="15"/>
  <c r="T37313" i="15"/>
  <c r="T37312" i="15"/>
  <c r="T37311" i="15"/>
  <c r="T37310" i="15"/>
  <c r="T37309" i="15"/>
  <c r="T37308" i="15"/>
  <c r="T37307" i="15"/>
  <c r="T37306" i="15"/>
  <c r="T37305" i="15"/>
  <c r="T37304" i="15"/>
  <c r="T37303" i="15"/>
  <c r="T37302" i="15"/>
  <c r="T37301" i="15"/>
  <c r="T37300" i="15"/>
  <c r="T37299" i="15"/>
  <c r="T37298" i="15"/>
  <c r="T37297" i="15"/>
  <c r="T37296" i="15"/>
  <c r="T37295" i="15"/>
  <c r="T37294" i="15"/>
  <c r="T37293" i="15"/>
  <c r="T37292" i="15"/>
  <c r="T37291" i="15"/>
  <c r="T37290" i="15"/>
  <c r="T37289" i="15"/>
  <c r="T37288" i="15"/>
  <c r="T37287" i="15"/>
  <c r="T37286" i="15"/>
  <c r="T37285" i="15"/>
  <c r="T37284" i="15"/>
  <c r="T37283" i="15"/>
  <c r="T37282" i="15"/>
  <c r="T37281" i="15"/>
  <c r="T37280" i="15"/>
  <c r="T37279" i="15"/>
  <c r="T37278" i="15"/>
  <c r="T37277" i="15"/>
  <c r="T37276" i="15"/>
  <c r="T37275" i="15"/>
  <c r="T37274" i="15"/>
  <c r="T37273" i="15"/>
  <c r="T37272" i="15"/>
  <c r="T37271" i="15"/>
  <c r="T37270" i="15"/>
  <c r="T37269" i="15"/>
  <c r="T37268" i="15"/>
  <c r="T37267" i="15"/>
  <c r="T37266" i="15"/>
  <c r="T37265" i="15"/>
  <c r="T37264" i="15"/>
  <c r="T37263" i="15"/>
  <c r="T37262" i="15"/>
  <c r="T37261" i="15"/>
  <c r="T37260" i="15"/>
  <c r="T37259" i="15"/>
  <c r="T37258" i="15"/>
  <c r="T37257" i="15"/>
  <c r="T37256" i="15"/>
  <c r="T37255" i="15"/>
  <c r="T37254" i="15"/>
  <c r="T37253" i="15"/>
  <c r="T37252" i="15"/>
  <c r="T37251" i="15"/>
  <c r="T37250" i="15"/>
  <c r="T37249" i="15"/>
  <c r="T37248" i="15"/>
  <c r="T37247" i="15"/>
  <c r="T37246" i="15"/>
  <c r="T37245" i="15"/>
  <c r="T37244" i="15"/>
  <c r="T37243" i="15"/>
  <c r="T37242" i="15"/>
  <c r="T37241" i="15"/>
  <c r="T37240" i="15"/>
  <c r="T37239" i="15"/>
  <c r="T37238" i="15"/>
  <c r="T37237" i="15"/>
  <c r="T37236" i="15"/>
  <c r="T37235" i="15"/>
  <c r="T37234" i="15"/>
  <c r="T37233" i="15"/>
  <c r="T37232" i="15"/>
  <c r="T37231" i="15"/>
  <c r="T37230" i="15"/>
  <c r="T37229" i="15"/>
  <c r="T37228" i="15"/>
  <c r="T37227" i="15"/>
  <c r="T37226" i="15"/>
  <c r="T37225" i="15"/>
  <c r="T37224" i="15"/>
  <c r="T37223" i="15"/>
  <c r="T37222" i="15"/>
  <c r="T37221" i="15"/>
  <c r="T37220" i="15"/>
  <c r="T37219" i="15"/>
  <c r="T37218" i="15"/>
  <c r="T37217" i="15"/>
  <c r="T37216" i="15"/>
  <c r="T37215" i="15"/>
  <c r="T37214" i="15"/>
  <c r="T37213" i="15"/>
  <c r="T37212" i="15"/>
  <c r="T37211" i="15"/>
  <c r="T37210" i="15"/>
  <c r="T37209" i="15"/>
  <c r="T37208" i="15"/>
  <c r="T37207" i="15"/>
  <c r="T37206" i="15"/>
  <c r="T37205" i="15"/>
  <c r="T37204" i="15"/>
  <c r="T37203" i="15"/>
  <c r="T37202" i="15"/>
  <c r="T37201" i="15"/>
  <c r="T37200" i="15"/>
  <c r="T37199" i="15"/>
  <c r="T37198" i="15"/>
  <c r="T37197" i="15"/>
  <c r="T37196" i="15"/>
  <c r="T37195" i="15"/>
  <c r="T37194" i="15"/>
  <c r="T37193" i="15"/>
  <c r="T37192" i="15"/>
  <c r="T37191" i="15"/>
  <c r="T37190" i="15"/>
  <c r="T37189" i="15"/>
  <c r="T37188" i="15"/>
  <c r="T37187" i="15"/>
  <c r="T37186" i="15"/>
  <c r="T37185" i="15"/>
  <c r="T37184" i="15"/>
  <c r="T37183" i="15"/>
  <c r="T37182" i="15"/>
  <c r="T37181" i="15"/>
  <c r="T37180" i="15"/>
  <c r="T37179" i="15"/>
  <c r="T37178" i="15"/>
  <c r="T37177" i="15"/>
  <c r="T37176" i="15"/>
  <c r="T37175" i="15"/>
  <c r="T37174" i="15"/>
  <c r="T37173" i="15"/>
  <c r="T37172" i="15"/>
  <c r="T37171" i="15"/>
  <c r="T37170" i="15"/>
  <c r="T37169" i="15"/>
  <c r="T37168" i="15"/>
  <c r="T37167" i="15"/>
  <c r="T37166" i="15"/>
  <c r="T37165" i="15"/>
  <c r="T37164" i="15"/>
  <c r="T37163" i="15"/>
  <c r="T37162" i="15"/>
  <c r="T37161" i="15"/>
  <c r="T37160" i="15"/>
  <c r="T37159" i="15"/>
  <c r="T37158" i="15"/>
  <c r="T37157" i="15"/>
  <c r="T37156" i="15"/>
  <c r="T37155" i="15"/>
  <c r="T37154" i="15"/>
  <c r="T37153" i="15"/>
  <c r="T37152" i="15"/>
  <c r="T37151" i="15"/>
  <c r="T37150" i="15"/>
  <c r="T37149" i="15"/>
  <c r="T37148" i="15"/>
  <c r="T37147" i="15"/>
  <c r="T37146" i="15"/>
  <c r="T37145" i="15"/>
  <c r="T37144" i="15"/>
  <c r="T37143" i="15"/>
  <c r="T37142" i="15"/>
  <c r="T37141" i="15"/>
  <c r="T37140" i="15"/>
  <c r="T37139" i="15"/>
  <c r="T37138" i="15"/>
  <c r="T37137" i="15"/>
  <c r="T37136" i="15"/>
  <c r="T37135" i="15"/>
  <c r="T37134" i="15"/>
  <c r="T37133" i="15"/>
  <c r="T37132" i="15"/>
  <c r="T37131" i="15"/>
  <c r="T37130" i="15"/>
  <c r="T37129" i="15"/>
  <c r="T37128" i="15"/>
  <c r="T37127" i="15"/>
  <c r="T37126" i="15"/>
  <c r="T37125" i="15"/>
  <c r="T37124" i="15"/>
  <c r="T37123" i="15"/>
  <c r="T37122" i="15"/>
  <c r="T37121" i="15"/>
  <c r="T37120" i="15"/>
  <c r="T37119" i="15"/>
  <c r="T37118" i="15"/>
  <c r="T37117" i="15"/>
  <c r="T37116" i="15"/>
  <c r="T37115" i="15"/>
  <c r="T37114" i="15"/>
  <c r="T37113" i="15"/>
  <c r="T37112" i="15"/>
  <c r="T37111" i="15"/>
  <c r="T37110" i="15"/>
  <c r="T37109" i="15"/>
  <c r="T37108" i="15"/>
  <c r="T37107" i="15"/>
  <c r="T37106" i="15"/>
  <c r="T37105" i="15"/>
  <c r="T37104" i="15"/>
  <c r="T37103" i="15"/>
  <c r="T37102" i="15"/>
  <c r="T37101" i="15"/>
  <c r="T37100" i="15"/>
  <c r="T37099" i="15"/>
  <c r="T37098" i="15"/>
  <c r="T37097" i="15"/>
  <c r="T37096" i="15"/>
  <c r="T37095" i="15"/>
  <c r="T37094" i="15"/>
  <c r="T37093" i="15"/>
  <c r="T37092" i="15"/>
  <c r="T37091" i="15"/>
  <c r="T37090" i="15"/>
  <c r="T37089" i="15"/>
  <c r="T37088" i="15"/>
  <c r="T37087" i="15"/>
  <c r="T37086" i="15"/>
  <c r="T37085" i="15"/>
  <c r="T37084" i="15"/>
  <c r="T37083" i="15"/>
  <c r="T37082" i="15"/>
  <c r="T37081" i="15"/>
  <c r="T37080" i="15"/>
  <c r="T37079" i="15"/>
  <c r="T37078" i="15"/>
  <c r="T37077" i="15"/>
  <c r="T37076" i="15"/>
  <c r="T37075" i="15"/>
  <c r="T37074" i="15"/>
  <c r="T37073" i="15"/>
  <c r="T37072" i="15"/>
  <c r="T37071" i="15"/>
  <c r="T37070" i="15"/>
  <c r="T37069" i="15"/>
  <c r="T37068" i="15"/>
  <c r="T37067" i="15"/>
  <c r="T37066" i="15"/>
  <c r="T37065" i="15"/>
  <c r="T37064" i="15"/>
  <c r="T37063" i="15"/>
  <c r="T37062" i="15"/>
  <c r="T37061" i="15"/>
  <c r="T37060" i="15"/>
  <c r="T37059" i="15"/>
  <c r="T37058" i="15"/>
  <c r="T37057" i="15"/>
  <c r="T37056" i="15"/>
  <c r="T37055" i="15"/>
  <c r="T37054" i="15"/>
  <c r="T37053" i="15"/>
  <c r="T37052" i="15"/>
  <c r="T37051" i="15"/>
  <c r="T37050" i="15"/>
  <c r="T37049" i="15"/>
  <c r="T37048" i="15"/>
  <c r="T37047" i="15"/>
  <c r="T37046" i="15"/>
  <c r="T37045" i="15"/>
  <c r="T37044" i="15"/>
  <c r="T37043" i="15"/>
  <c r="T37042" i="15"/>
  <c r="T37041" i="15"/>
  <c r="T37040" i="15"/>
  <c r="T37039" i="15"/>
  <c r="T37038" i="15"/>
  <c r="T37037" i="15"/>
  <c r="T37036" i="15"/>
  <c r="T37035" i="15"/>
  <c r="T37034" i="15"/>
  <c r="T37033" i="15"/>
  <c r="T37032" i="15"/>
  <c r="T37031" i="15"/>
  <c r="T37030" i="15"/>
  <c r="T37029" i="15"/>
  <c r="T37028" i="15"/>
  <c r="T37027" i="15"/>
  <c r="T37026" i="15"/>
  <c r="T37025" i="15"/>
  <c r="T37024" i="15"/>
  <c r="T37023" i="15"/>
  <c r="T37022" i="15"/>
  <c r="T37021" i="15"/>
  <c r="T37020" i="15"/>
  <c r="T37019" i="15"/>
  <c r="T37018" i="15"/>
  <c r="T37017" i="15"/>
  <c r="T37016" i="15"/>
  <c r="T37015" i="15"/>
  <c r="T37014" i="15"/>
  <c r="T37013" i="15"/>
  <c r="T37012" i="15"/>
  <c r="T37011" i="15"/>
  <c r="T37010" i="15"/>
  <c r="T37009" i="15"/>
  <c r="T37008" i="15"/>
  <c r="T37007" i="15"/>
  <c r="T37006" i="15"/>
  <c r="T37005" i="15"/>
  <c r="T37004" i="15"/>
  <c r="T37003" i="15"/>
  <c r="T37002" i="15"/>
  <c r="T37001" i="15"/>
  <c r="T37000" i="15"/>
  <c r="T36999" i="15"/>
  <c r="T36998" i="15"/>
  <c r="T36997" i="15"/>
  <c r="T36996" i="15"/>
  <c r="T36995" i="15"/>
  <c r="T36994" i="15"/>
  <c r="T36993" i="15"/>
  <c r="T36992" i="15"/>
  <c r="T36991" i="15"/>
  <c r="T36990" i="15"/>
  <c r="T36989" i="15"/>
  <c r="T36988" i="15"/>
  <c r="T36987" i="15"/>
  <c r="T36986" i="15"/>
  <c r="T36985" i="15"/>
  <c r="T36984" i="15"/>
  <c r="T36983" i="15"/>
  <c r="T36982" i="15"/>
  <c r="T36981" i="15"/>
  <c r="T36980" i="15"/>
  <c r="T36979" i="15"/>
  <c r="T36978" i="15"/>
  <c r="T36977" i="15"/>
  <c r="T36976" i="15"/>
  <c r="T36975" i="15"/>
  <c r="T36974" i="15"/>
  <c r="T36973" i="15"/>
  <c r="T36972" i="15"/>
  <c r="T36971" i="15"/>
  <c r="T36970" i="15"/>
  <c r="T36969" i="15"/>
  <c r="T36968" i="15"/>
  <c r="T36967" i="15"/>
  <c r="T36966" i="15"/>
  <c r="T36965" i="15"/>
  <c r="T36964" i="15"/>
  <c r="T36963" i="15"/>
  <c r="T36962" i="15"/>
  <c r="T36961" i="15"/>
  <c r="T36960" i="15"/>
  <c r="T36959" i="15"/>
  <c r="T36958" i="15"/>
  <c r="T36957" i="15"/>
  <c r="T36956" i="15"/>
  <c r="T36955" i="15"/>
  <c r="T36954" i="15"/>
  <c r="T36953" i="15"/>
  <c r="T36952" i="15"/>
  <c r="T36951" i="15"/>
  <c r="T36950" i="15"/>
  <c r="T36949" i="15"/>
  <c r="T36948" i="15"/>
  <c r="T36947" i="15"/>
  <c r="T36946" i="15"/>
  <c r="T36945" i="15"/>
  <c r="T36944" i="15"/>
  <c r="T36943" i="15"/>
  <c r="T36942" i="15"/>
  <c r="T36941" i="15"/>
  <c r="T36940" i="15"/>
  <c r="T36939" i="15"/>
  <c r="T36938" i="15"/>
  <c r="T36937" i="15"/>
  <c r="T36936" i="15"/>
  <c r="T36935" i="15"/>
  <c r="T36934" i="15"/>
  <c r="T36933" i="15"/>
  <c r="T36932" i="15"/>
  <c r="T36931" i="15"/>
  <c r="T36930" i="15"/>
  <c r="T36929" i="15"/>
  <c r="T36928" i="15"/>
  <c r="T36927" i="15"/>
  <c r="T36926" i="15"/>
  <c r="T36925" i="15"/>
  <c r="T36924" i="15"/>
  <c r="T36923" i="15"/>
  <c r="T36922" i="15"/>
  <c r="T36921" i="15"/>
  <c r="T36920" i="15"/>
  <c r="T36919" i="15"/>
  <c r="T36918" i="15"/>
  <c r="T36917" i="15"/>
  <c r="T36916" i="15"/>
  <c r="T36915" i="15"/>
  <c r="T36914" i="15"/>
  <c r="T36913" i="15"/>
  <c r="T36912" i="15"/>
  <c r="T36911" i="15"/>
  <c r="T36910" i="15"/>
  <c r="T36909" i="15"/>
  <c r="T36908" i="15"/>
  <c r="T36907" i="15"/>
  <c r="T36906" i="15"/>
  <c r="T36905" i="15"/>
  <c r="T36904" i="15"/>
  <c r="T36903" i="15"/>
  <c r="T36902" i="15"/>
  <c r="T36901" i="15"/>
  <c r="T36900" i="15"/>
  <c r="T36899" i="15"/>
  <c r="T36898" i="15"/>
  <c r="T36897" i="15"/>
  <c r="T36896" i="15"/>
  <c r="T36895" i="15"/>
  <c r="T36894" i="15"/>
  <c r="T36893" i="15"/>
  <c r="T36892" i="15"/>
  <c r="T36891" i="15"/>
  <c r="T36890" i="15"/>
  <c r="T36889" i="15"/>
  <c r="T36888" i="15"/>
  <c r="T36887" i="15"/>
  <c r="T36886" i="15"/>
  <c r="T36885" i="15"/>
  <c r="T36884" i="15"/>
  <c r="T36883" i="15"/>
  <c r="T36882" i="15"/>
  <c r="T36881" i="15"/>
  <c r="T36880" i="15"/>
  <c r="T36879" i="15"/>
  <c r="T36878" i="15"/>
  <c r="T36877" i="15"/>
  <c r="T36876" i="15"/>
  <c r="T36875" i="15"/>
  <c r="T36874" i="15"/>
  <c r="T36873" i="15"/>
  <c r="T36872" i="15"/>
  <c r="T36871" i="15"/>
  <c r="T36870" i="15"/>
  <c r="T36869" i="15"/>
  <c r="T36868" i="15"/>
  <c r="T36867" i="15"/>
  <c r="T36866" i="15"/>
  <c r="T36865" i="15"/>
  <c r="T36864" i="15"/>
  <c r="T36863" i="15"/>
  <c r="T36862" i="15"/>
  <c r="T36861" i="15"/>
  <c r="T36860" i="15"/>
  <c r="T36859" i="15"/>
  <c r="T36858" i="15"/>
  <c r="T36857" i="15"/>
  <c r="T36856" i="15"/>
  <c r="T36855" i="15"/>
  <c r="T36854" i="15"/>
  <c r="T36853" i="15"/>
  <c r="T36852" i="15"/>
  <c r="T36851" i="15"/>
  <c r="T36850" i="15"/>
  <c r="T36849" i="15"/>
  <c r="T36848" i="15"/>
  <c r="T36847" i="15"/>
  <c r="T36846" i="15"/>
  <c r="T36845" i="15"/>
  <c r="T36844" i="15"/>
  <c r="T36843" i="15"/>
  <c r="T36842" i="15"/>
  <c r="T36841" i="15"/>
  <c r="T36840" i="15"/>
  <c r="T36839" i="15"/>
  <c r="T36838" i="15"/>
  <c r="T36837" i="15"/>
  <c r="T36836" i="15"/>
  <c r="T36835" i="15"/>
  <c r="T36834" i="15"/>
  <c r="T36833" i="15"/>
  <c r="T36832" i="15"/>
  <c r="T36831" i="15"/>
  <c r="T36830" i="15"/>
  <c r="T36829" i="15"/>
  <c r="T36828" i="15"/>
  <c r="T36827" i="15"/>
  <c r="T36826" i="15"/>
  <c r="T36825" i="15"/>
  <c r="T36824" i="15"/>
  <c r="T36823" i="15"/>
  <c r="T36822" i="15"/>
  <c r="T36821" i="15"/>
  <c r="T36820" i="15"/>
  <c r="T36819" i="15"/>
  <c r="T36818" i="15"/>
  <c r="T36817" i="15"/>
  <c r="T36816" i="15"/>
  <c r="T36815" i="15"/>
  <c r="T36814" i="15"/>
  <c r="T36813" i="15"/>
  <c r="T36812" i="15"/>
  <c r="T36811" i="15"/>
  <c r="T36810" i="15"/>
  <c r="T36809" i="15"/>
  <c r="T36808" i="15"/>
  <c r="T36807" i="15"/>
  <c r="T36806" i="15"/>
  <c r="T36805" i="15"/>
  <c r="T36804" i="15"/>
  <c r="T36803" i="15"/>
  <c r="T36802" i="15"/>
  <c r="T36801" i="15"/>
  <c r="T36800" i="15"/>
  <c r="T36799" i="15"/>
  <c r="T36798" i="15"/>
  <c r="T36797" i="15"/>
  <c r="T36796" i="15"/>
  <c r="T36795" i="15"/>
  <c r="T36794" i="15"/>
  <c r="T36793" i="15"/>
  <c r="T36792" i="15"/>
  <c r="T36791" i="15"/>
  <c r="T36790" i="15"/>
  <c r="T36789" i="15"/>
  <c r="T36788" i="15"/>
  <c r="T36787" i="15"/>
  <c r="T36786" i="15"/>
  <c r="T36785" i="15"/>
  <c r="T36784" i="15"/>
  <c r="T36783" i="15"/>
  <c r="T36782" i="15"/>
  <c r="T36781" i="15"/>
  <c r="T36780" i="15"/>
  <c r="T36779" i="15"/>
  <c r="T36778" i="15"/>
  <c r="T36777" i="15"/>
  <c r="T36776" i="15"/>
  <c r="T36775" i="15"/>
  <c r="T36774" i="15"/>
  <c r="T36773" i="15"/>
  <c r="T36772" i="15"/>
  <c r="T36771" i="15"/>
  <c r="T36770" i="15"/>
  <c r="T36769" i="15"/>
  <c r="T36768" i="15"/>
  <c r="T36767" i="15"/>
  <c r="T36766" i="15"/>
  <c r="T36765" i="15"/>
  <c r="T36764" i="15"/>
  <c r="T36763" i="15"/>
  <c r="T36762" i="15"/>
  <c r="T36761" i="15"/>
  <c r="T36760" i="15"/>
  <c r="T36759" i="15"/>
  <c r="T36758" i="15"/>
  <c r="T36757" i="15"/>
  <c r="T36756" i="15"/>
  <c r="T36755" i="15"/>
  <c r="T36754" i="15"/>
  <c r="T36753" i="15"/>
  <c r="T36752" i="15"/>
  <c r="T36751" i="15"/>
  <c r="T36750" i="15"/>
  <c r="T36749" i="15"/>
  <c r="T36748" i="15"/>
  <c r="T36747" i="15"/>
  <c r="T36746" i="15"/>
  <c r="T36745" i="15"/>
  <c r="T36744" i="15"/>
  <c r="T36743" i="15"/>
  <c r="T36742" i="15"/>
  <c r="T36741" i="15"/>
  <c r="T36740" i="15"/>
  <c r="T36739" i="15"/>
  <c r="T36738" i="15"/>
  <c r="T36737" i="15"/>
  <c r="T36736" i="15"/>
  <c r="T36735" i="15"/>
  <c r="T36734" i="15"/>
  <c r="T36733" i="15"/>
  <c r="T36732" i="15"/>
  <c r="T36731" i="15"/>
  <c r="T36730" i="15"/>
  <c r="T36729" i="15"/>
  <c r="T36728" i="15"/>
  <c r="T36727" i="15"/>
  <c r="T36726" i="15"/>
  <c r="T36725" i="15"/>
  <c r="T36724" i="15"/>
  <c r="T36723" i="15"/>
  <c r="T36722" i="15"/>
  <c r="T36721" i="15"/>
  <c r="T36720" i="15"/>
  <c r="T36719" i="15"/>
  <c r="T36718" i="15"/>
  <c r="T36717" i="15"/>
  <c r="T36716" i="15"/>
  <c r="T36715" i="15"/>
  <c r="T36714" i="15"/>
  <c r="T36713" i="15"/>
  <c r="T36712" i="15"/>
  <c r="T36711" i="15"/>
  <c r="T36710" i="15"/>
  <c r="T36709" i="15"/>
  <c r="T36708" i="15"/>
  <c r="T36707" i="15"/>
  <c r="T36706" i="15"/>
  <c r="T36705" i="15"/>
  <c r="T36704" i="15"/>
  <c r="T36703" i="15"/>
  <c r="T36702" i="15"/>
  <c r="T36701" i="15"/>
  <c r="T36700" i="15"/>
  <c r="T36699" i="15"/>
  <c r="T36698" i="15"/>
  <c r="T36697" i="15"/>
  <c r="T36696" i="15"/>
  <c r="T36695" i="15"/>
  <c r="T36694" i="15"/>
  <c r="T36693" i="15"/>
  <c r="T36692" i="15"/>
  <c r="T36691" i="15"/>
  <c r="T36690" i="15"/>
  <c r="T36689" i="15"/>
  <c r="T36688" i="15"/>
  <c r="T36687" i="15"/>
  <c r="T36686" i="15"/>
  <c r="T36685" i="15"/>
  <c r="T36684" i="15"/>
  <c r="T36683" i="15"/>
  <c r="T36682" i="15"/>
  <c r="T36681" i="15"/>
  <c r="T36680" i="15"/>
  <c r="T36679" i="15"/>
  <c r="T36678" i="15"/>
  <c r="T36677" i="15"/>
  <c r="T36676" i="15"/>
  <c r="T36675" i="15"/>
  <c r="T36674" i="15"/>
  <c r="T36673" i="15"/>
  <c r="T36672" i="15"/>
  <c r="T36671" i="15"/>
  <c r="T36670" i="15"/>
  <c r="T36669" i="15"/>
  <c r="T36668" i="15"/>
  <c r="T36667" i="15"/>
  <c r="T36666" i="15"/>
  <c r="T36665" i="15"/>
  <c r="T36664" i="15"/>
  <c r="T36663" i="15"/>
  <c r="T36662" i="15"/>
  <c r="T36661" i="15"/>
  <c r="T36660" i="15"/>
  <c r="T36659" i="15"/>
  <c r="T36658" i="15"/>
  <c r="T36657" i="15"/>
  <c r="T36656" i="15"/>
  <c r="T36655" i="15"/>
  <c r="T36654" i="15"/>
  <c r="T36653" i="15"/>
  <c r="T36652" i="15"/>
  <c r="T36651" i="15"/>
  <c r="T36650" i="15"/>
  <c r="T36649" i="15"/>
  <c r="T36648" i="15"/>
  <c r="T36647" i="15"/>
  <c r="T36646" i="15"/>
  <c r="T36645" i="15"/>
  <c r="T36644" i="15"/>
  <c r="T36643" i="15"/>
  <c r="T36642" i="15"/>
  <c r="T36641" i="15"/>
  <c r="T36640" i="15"/>
  <c r="T36639" i="15"/>
  <c r="T36638" i="15"/>
  <c r="T36637" i="15"/>
  <c r="T36636" i="15"/>
  <c r="T36635" i="15"/>
  <c r="T36634" i="15"/>
  <c r="T36633" i="15"/>
  <c r="T36632" i="15"/>
  <c r="T36631" i="15"/>
  <c r="T36630" i="15"/>
  <c r="T36629" i="15"/>
  <c r="T36628" i="15"/>
  <c r="T36627" i="15"/>
  <c r="T36626" i="15"/>
  <c r="T36625" i="15"/>
  <c r="T36624" i="15"/>
  <c r="T36623" i="15"/>
  <c r="T36622" i="15"/>
  <c r="T36621" i="15"/>
  <c r="T36620" i="15"/>
  <c r="T36619" i="15"/>
  <c r="T36618" i="15"/>
  <c r="T36617" i="15"/>
  <c r="T36616" i="15"/>
  <c r="T36615" i="15"/>
  <c r="T36614" i="15"/>
  <c r="T36613" i="15"/>
  <c r="T36612" i="15"/>
  <c r="T36611" i="15"/>
  <c r="T36610" i="15"/>
  <c r="T36609" i="15"/>
  <c r="T36608" i="15"/>
  <c r="T36607" i="15"/>
  <c r="T36606" i="15"/>
  <c r="T36605" i="15"/>
  <c r="T36604" i="15"/>
  <c r="T36603" i="15"/>
  <c r="T36602" i="15"/>
  <c r="T36601" i="15"/>
  <c r="T36600" i="15"/>
  <c r="T36599" i="15"/>
  <c r="T36598" i="15"/>
  <c r="T36597" i="15"/>
  <c r="T36596" i="15"/>
  <c r="T36595" i="15"/>
  <c r="T36594" i="15"/>
  <c r="T36593" i="15"/>
  <c r="T36592" i="15"/>
  <c r="T36591" i="15"/>
  <c r="T36590" i="15"/>
  <c r="T36589" i="15"/>
  <c r="T36588" i="15"/>
  <c r="T36587" i="15"/>
  <c r="T36586" i="15"/>
  <c r="T36585" i="15"/>
  <c r="T36584" i="15"/>
  <c r="T36583" i="15"/>
  <c r="T36582" i="15"/>
  <c r="T36581" i="15"/>
  <c r="T36580" i="15"/>
  <c r="T36579" i="15"/>
  <c r="T36578" i="15"/>
  <c r="T36577" i="15"/>
  <c r="T36576" i="15"/>
  <c r="T36575" i="15"/>
  <c r="T36574" i="15"/>
  <c r="T36573" i="15"/>
  <c r="T36572" i="15"/>
  <c r="T36571" i="15"/>
  <c r="T36570" i="15"/>
  <c r="T36569" i="15"/>
  <c r="T36568" i="15"/>
  <c r="T36567" i="15"/>
  <c r="T36566" i="15"/>
  <c r="T36565" i="15"/>
  <c r="T36564" i="15"/>
  <c r="T36563" i="15"/>
  <c r="T36562" i="15"/>
  <c r="T36561" i="15"/>
  <c r="T36560" i="15"/>
  <c r="T36559" i="15"/>
  <c r="T36558" i="15"/>
  <c r="T36557" i="15"/>
  <c r="T36556" i="15"/>
  <c r="T36555" i="15"/>
  <c r="T36554" i="15"/>
  <c r="T36553" i="15"/>
  <c r="T36552" i="15"/>
  <c r="T36551" i="15"/>
  <c r="T36550" i="15"/>
  <c r="T36549" i="15"/>
  <c r="T36548" i="15"/>
  <c r="T36547" i="15"/>
  <c r="T36546" i="15"/>
  <c r="T36545" i="15"/>
  <c r="T36544" i="15"/>
  <c r="T36543" i="15"/>
  <c r="T36542" i="15"/>
  <c r="T36541" i="15"/>
  <c r="T36540" i="15"/>
  <c r="T36539" i="15"/>
  <c r="T36538" i="15"/>
  <c r="T36537" i="15"/>
  <c r="T36536" i="15"/>
  <c r="T36535" i="15"/>
  <c r="T36534" i="15"/>
  <c r="T36533" i="15"/>
  <c r="T36532" i="15"/>
  <c r="T36531" i="15"/>
  <c r="T36530" i="15"/>
  <c r="T36529" i="15"/>
  <c r="T36528" i="15"/>
  <c r="T36527" i="15"/>
  <c r="T36526" i="15"/>
  <c r="T36525" i="15"/>
  <c r="T36524" i="15"/>
  <c r="T36523" i="15"/>
  <c r="T36522" i="15"/>
  <c r="T36521" i="15"/>
  <c r="T36520" i="15"/>
  <c r="T36519" i="15"/>
  <c r="T36518" i="15"/>
  <c r="T36517" i="15"/>
  <c r="T36516" i="15"/>
  <c r="T36515" i="15"/>
  <c r="T36514" i="15"/>
  <c r="T36513" i="15"/>
  <c r="T36512" i="15"/>
  <c r="T36511" i="15"/>
  <c r="T36510" i="15"/>
  <c r="T36509" i="15"/>
  <c r="T36508" i="15"/>
  <c r="T36507" i="15"/>
  <c r="T36506" i="15"/>
  <c r="T36505" i="15"/>
  <c r="T36504" i="15"/>
  <c r="T36503" i="15"/>
  <c r="T36502" i="15"/>
  <c r="T36501" i="15"/>
  <c r="T36500" i="15"/>
  <c r="T36499" i="15"/>
  <c r="T36498" i="15"/>
  <c r="T36497" i="15"/>
  <c r="T36496" i="15"/>
  <c r="T36495" i="15"/>
  <c r="T36494" i="15"/>
  <c r="T36493" i="15"/>
  <c r="T36492" i="15"/>
  <c r="T36491" i="15"/>
  <c r="T36490" i="15"/>
  <c r="T36489" i="15"/>
  <c r="T36488" i="15"/>
  <c r="T36487" i="15"/>
  <c r="T36486" i="15"/>
  <c r="T36485" i="15"/>
  <c r="T36484" i="15"/>
  <c r="T36483" i="15"/>
  <c r="T36482" i="15"/>
  <c r="T36481" i="15"/>
  <c r="T36480" i="15"/>
  <c r="T36479" i="15"/>
  <c r="T36478" i="15"/>
  <c r="T36477" i="15"/>
  <c r="T36476" i="15"/>
  <c r="T36475" i="15"/>
  <c r="T36474" i="15"/>
  <c r="T36473" i="15"/>
  <c r="T36472" i="15"/>
  <c r="T36471" i="15"/>
  <c r="T36470" i="15"/>
  <c r="T36469" i="15"/>
  <c r="T36468" i="15"/>
  <c r="T36467" i="15"/>
  <c r="T36466" i="15"/>
  <c r="T36465" i="15"/>
  <c r="T36464" i="15"/>
  <c r="T36463" i="15"/>
  <c r="T36462" i="15"/>
  <c r="T36461" i="15"/>
  <c r="T36460" i="15"/>
  <c r="T36459" i="15"/>
  <c r="T36458" i="15"/>
  <c r="T36457" i="15"/>
  <c r="T36456" i="15"/>
  <c r="T36455" i="15"/>
  <c r="T36454" i="15"/>
  <c r="T36453" i="15"/>
  <c r="T36452" i="15"/>
  <c r="T36451" i="15"/>
  <c r="T36450" i="15"/>
  <c r="T36449" i="15"/>
  <c r="T36448" i="15"/>
  <c r="T36447" i="15"/>
  <c r="T36446" i="15"/>
  <c r="T36445" i="15"/>
  <c r="T36444" i="15"/>
  <c r="T36443" i="15"/>
  <c r="T36442" i="15"/>
  <c r="T36441" i="15"/>
  <c r="T36440" i="15"/>
  <c r="T36439" i="15"/>
  <c r="T36438" i="15"/>
  <c r="T36437" i="15"/>
  <c r="T36436" i="15"/>
  <c r="T36435" i="15"/>
  <c r="T36434" i="15"/>
  <c r="T36433" i="15"/>
  <c r="T36432" i="15"/>
  <c r="T36431" i="15"/>
  <c r="T36430" i="15"/>
  <c r="T36429" i="15"/>
  <c r="T36428" i="15"/>
  <c r="T36427" i="15"/>
  <c r="T36426" i="15"/>
  <c r="T36425" i="15"/>
  <c r="T36424" i="15"/>
  <c r="T36423" i="15"/>
  <c r="T36422" i="15"/>
  <c r="T36421" i="15"/>
  <c r="T36420" i="15"/>
  <c r="T36419" i="15"/>
  <c r="T36418" i="15"/>
  <c r="T36417" i="15"/>
  <c r="T36416" i="15"/>
  <c r="T36415" i="15"/>
  <c r="T36414" i="15"/>
  <c r="T36413" i="15"/>
  <c r="T36412" i="15"/>
  <c r="T36411" i="15"/>
  <c r="T36410" i="15"/>
  <c r="T36409" i="15"/>
  <c r="T36408" i="15"/>
  <c r="T36407" i="15"/>
  <c r="T36406" i="15"/>
  <c r="T36405" i="15"/>
  <c r="T36404" i="15"/>
  <c r="T36403" i="15"/>
  <c r="T36402" i="15"/>
  <c r="T36401" i="15"/>
  <c r="T36400" i="15"/>
  <c r="T36399" i="15"/>
  <c r="T36398" i="15"/>
  <c r="T36397" i="15"/>
  <c r="T36396" i="15"/>
  <c r="T36395" i="15"/>
  <c r="T36394" i="15"/>
  <c r="T36393" i="15"/>
  <c r="T36392" i="15"/>
  <c r="T36391" i="15"/>
  <c r="T36390" i="15"/>
  <c r="T36389" i="15"/>
  <c r="T36388" i="15"/>
  <c r="T36387" i="15"/>
  <c r="T36386" i="15"/>
  <c r="T36385" i="15"/>
  <c r="T36384" i="15"/>
  <c r="T36383" i="15"/>
  <c r="T36382" i="15"/>
  <c r="T36381" i="15"/>
  <c r="T36380" i="15"/>
  <c r="T36379" i="15"/>
  <c r="T36378" i="15"/>
  <c r="T36377" i="15"/>
  <c r="T36376" i="15"/>
  <c r="T36375" i="15"/>
  <c r="T36374" i="15"/>
  <c r="T36373" i="15"/>
  <c r="T36372" i="15"/>
  <c r="T36371" i="15"/>
  <c r="T36370" i="15"/>
  <c r="T36369" i="15"/>
  <c r="T36368" i="15"/>
  <c r="T36367" i="15"/>
  <c r="T36366" i="15"/>
  <c r="T36365" i="15"/>
  <c r="T36364" i="15"/>
  <c r="T36363" i="15"/>
  <c r="T36362" i="15"/>
  <c r="T36361" i="15"/>
  <c r="T36360" i="15"/>
  <c r="T36359" i="15"/>
  <c r="T36358" i="15"/>
  <c r="T36357" i="15"/>
  <c r="T36356" i="15"/>
  <c r="T36355" i="15"/>
  <c r="T36354" i="15"/>
  <c r="T36353" i="15"/>
  <c r="T36352" i="15"/>
  <c r="T36351" i="15"/>
  <c r="T36350" i="15"/>
  <c r="T36349" i="15"/>
  <c r="T36348" i="15"/>
  <c r="T36347" i="15"/>
  <c r="T36346" i="15"/>
  <c r="T36345" i="15"/>
  <c r="T36344" i="15"/>
  <c r="T36343" i="15"/>
  <c r="T36342" i="15"/>
  <c r="T36341" i="15"/>
  <c r="T36340" i="15"/>
  <c r="T36339" i="15"/>
  <c r="T36338" i="15"/>
  <c r="T36337" i="15"/>
  <c r="T36336" i="15"/>
  <c r="T36335" i="15"/>
  <c r="T36334" i="15"/>
  <c r="T36333" i="15"/>
  <c r="T36332" i="15"/>
  <c r="T36331" i="15"/>
  <c r="T36330" i="15"/>
  <c r="T36329" i="15"/>
  <c r="T36328" i="15"/>
  <c r="T36327" i="15"/>
  <c r="T36326" i="15"/>
  <c r="T36325" i="15"/>
  <c r="T36324" i="15"/>
  <c r="T36323" i="15"/>
  <c r="T36322" i="15"/>
  <c r="T36321" i="15"/>
  <c r="T36320" i="15"/>
  <c r="T36319" i="15"/>
  <c r="T36318" i="15"/>
  <c r="T36317" i="15"/>
  <c r="T36316" i="15"/>
  <c r="T36315" i="15"/>
  <c r="T36314" i="15"/>
  <c r="T36313" i="15"/>
  <c r="T36312" i="15"/>
  <c r="T36311" i="15"/>
  <c r="T36310" i="15"/>
  <c r="T36309" i="15"/>
  <c r="T36308" i="15"/>
  <c r="T36307" i="15"/>
  <c r="T36306" i="15"/>
  <c r="T36305" i="15"/>
  <c r="T36304" i="15"/>
  <c r="T36303" i="15"/>
  <c r="T36302" i="15"/>
  <c r="T36301" i="15"/>
  <c r="T36300" i="15"/>
  <c r="T36299" i="15"/>
  <c r="T36298" i="15"/>
  <c r="T36297" i="15"/>
  <c r="T36296" i="15"/>
  <c r="T36295" i="15"/>
  <c r="T36294" i="15"/>
  <c r="T36293" i="15"/>
  <c r="T36292" i="15"/>
  <c r="T36291" i="15"/>
  <c r="T36290" i="15"/>
  <c r="T36289" i="15"/>
  <c r="T36288" i="15"/>
  <c r="T36287" i="15"/>
  <c r="T36286" i="15"/>
  <c r="T36285" i="15"/>
  <c r="T36284" i="15"/>
  <c r="T36283" i="15"/>
  <c r="T36282" i="15"/>
  <c r="T36281" i="15"/>
  <c r="T36280" i="15"/>
  <c r="T36279" i="15"/>
  <c r="T36278" i="15"/>
  <c r="T36277" i="15"/>
  <c r="T36276" i="15"/>
  <c r="T36275" i="15"/>
  <c r="T36274" i="15"/>
  <c r="T36273" i="15"/>
  <c r="T36272" i="15"/>
  <c r="T36271" i="15"/>
  <c r="T36270" i="15"/>
  <c r="T36269" i="15"/>
  <c r="T36268" i="15"/>
  <c r="T36267" i="15"/>
  <c r="T36266" i="15"/>
  <c r="T36265" i="15"/>
  <c r="T36264" i="15"/>
  <c r="T36263" i="15"/>
  <c r="T36262" i="15"/>
  <c r="T36261" i="15"/>
  <c r="T36260" i="15"/>
  <c r="T36259" i="15"/>
  <c r="T36258" i="15"/>
  <c r="T36257" i="15"/>
  <c r="T36256" i="15"/>
  <c r="T36255" i="15"/>
  <c r="T36254" i="15"/>
  <c r="T36253" i="15"/>
  <c r="T36252" i="15"/>
  <c r="T36251" i="15"/>
  <c r="T36250" i="15"/>
  <c r="T36249" i="15"/>
  <c r="T36248" i="15"/>
  <c r="T36247" i="15"/>
  <c r="T36246" i="15"/>
  <c r="T36245" i="15"/>
  <c r="T36244" i="15"/>
  <c r="T36243" i="15"/>
  <c r="T36242" i="15"/>
  <c r="T36241" i="15"/>
  <c r="T36240" i="15"/>
  <c r="T36239" i="15"/>
  <c r="T36238" i="15"/>
  <c r="T36237" i="15"/>
  <c r="T36236" i="15"/>
  <c r="T36235" i="15"/>
  <c r="T36234" i="15"/>
  <c r="T36233" i="15"/>
  <c r="T36232" i="15"/>
  <c r="T36231" i="15"/>
  <c r="T36230" i="15"/>
  <c r="T36229" i="15"/>
  <c r="T36228" i="15"/>
  <c r="T36227" i="15"/>
  <c r="T36226" i="15"/>
  <c r="T36225" i="15"/>
  <c r="T36224" i="15"/>
  <c r="T36223" i="15"/>
  <c r="T36222" i="15"/>
  <c r="T36221" i="15"/>
  <c r="T36220" i="15"/>
  <c r="T36219" i="15"/>
  <c r="T36218" i="15"/>
  <c r="T36217" i="15"/>
  <c r="T36216" i="15"/>
  <c r="T36215" i="15"/>
  <c r="T36214" i="15"/>
  <c r="T36213" i="15"/>
  <c r="T36212" i="15"/>
  <c r="T36211" i="15"/>
  <c r="T36210" i="15"/>
  <c r="T36209" i="15"/>
  <c r="T36208" i="15"/>
  <c r="T36207" i="15"/>
  <c r="T36206" i="15"/>
  <c r="T36205" i="15"/>
  <c r="T36204" i="15"/>
  <c r="T36203" i="15"/>
  <c r="T36202" i="15"/>
  <c r="T36201" i="15"/>
  <c r="T36200" i="15"/>
  <c r="T36199" i="15"/>
  <c r="T36198" i="15"/>
  <c r="T36197" i="15"/>
  <c r="T36196" i="15"/>
  <c r="T36195" i="15"/>
  <c r="T36194" i="15"/>
  <c r="T36193" i="15"/>
  <c r="T36192" i="15"/>
  <c r="T36191" i="15"/>
  <c r="T36190" i="15"/>
  <c r="T36189" i="15"/>
  <c r="T36188" i="15"/>
  <c r="T36187" i="15"/>
  <c r="T36186" i="15"/>
  <c r="T36185" i="15"/>
  <c r="T36184" i="15"/>
  <c r="T36183" i="15"/>
  <c r="T36182" i="15"/>
  <c r="T36181" i="15"/>
  <c r="T36180" i="15"/>
  <c r="T36179" i="15"/>
  <c r="T36178" i="15"/>
  <c r="T36177" i="15"/>
  <c r="T36176" i="15"/>
  <c r="T36175" i="15"/>
  <c r="T36174" i="15"/>
  <c r="T36173" i="15"/>
  <c r="T36172" i="15"/>
  <c r="T36171" i="15"/>
  <c r="T36170" i="15"/>
  <c r="T36169" i="15"/>
  <c r="T36168" i="15"/>
  <c r="T36167" i="15"/>
  <c r="T36166" i="15"/>
  <c r="T36165" i="15"/>
  <c r="T36164" i="15"/>
  <c r="T36163" i="15"/>
  <c r="T36162" i="15"/>
  <c r="T36161" i="15"/>
  <c r="T36160" i="15"/>
  <c r="T36159" i="15"/>
  <c r="T36158" i="15"/>
  <c r="T36157" i="15"/>
  <c r="T36156" i="15"/>
  <c r="T36155" i="15"/>
  <c r="T36154" i="15"/>
  <c r="T36153" i="15"/>
  <c r="T36152" i="15"/>
  <c r="T36151" i="15"/>
  <c r="T36150" i="15"/>
  <c r="T36149" i="15"/>
  <c r="T36148" i="15"/>
  <c r="T36147" i="15"/>
  <c r="T36146" i="15"/>
  <c r="T36145" i="15"/>
  <c r="T36144" i="15"/>
  <c r="T36143" i="15"/>
  <c r="T36142" i="15"/>
  <c r="T36141" i="15"/>
  <c r="T36140" i="15"/>
  <c r="T36139" i="15"/>
  <c r="T36138" i="15"/>
  <c r="T36137" i="15"/>
  <c r="T36136" i="15"/>
  <c r="T36135" i="15"/>
  <c r="T36134" i="15"/>
  <c r="T36133" i="15"/>
  <c r="T36132" i="15"/>
  <c r="T36131" i="15"/>
  <c r="T36130" i="15"/>
  <c r="T36129" i="15"/>
  <c r="T36128" i="15"/>
  <c r="T36127" i="15"/>
  <c r="T36126" i="15"/>
  <c r="T36125" i="15"/>
  <c r="T36124" i="15"/>
  <c r="T36123" i="15"/>
  <c r="T36122" i="15"/>
  <c r="T36121" i="15"/>
  <c r="T36120" i="15"/>
  <c r="T36119" i="15"/>
  <c r="T36118" i="15"/>
  <c r="T36117" i="15"/>
  <c r="T36116" i="15"/>
  <c r="T36115" i="15"/>
  <c r="T36114" i="15"/>
  <c r="T36113" i="15"/>
  <c r="T36112" i="15"/>
  <c r="T36111" i="15"/>
  <c r="T36110" i="15"/>
  <c r="T36109" i="15"/>
  <c r="T36108" i="15"/>
  <c r="T36107" i="15"/>
  <c r="T36106" i="15"/>
  <c r="T36105" i="15"/>
  <c r="T36104" i="15"/>
  <c r="T36103" i="15"/>
  <c r="T36102" i="15"/>
  <c r="T36101" i="15"/>
  <c r="T36100" i="15"/>
  <c r="T36099" i="15"/>
  <c r="T36098" i="15"/>
  <c r="T36097" i="15"/>
  <c r="T36096" i="15"/>
  <c r="T36095" i="15"/>
  <c r="T36094" i="15"/>
  <c r="T36093" i="15"/>
  <c r="T36092" i="15"/>
  <c r="T36091" i="15"/>
  <c r="T36090" i="15"/>
  <c r="T36089" i="15"/>
  <c r="T36088" i="15"/>
  <c r="T36087" i="15"/>
  <c r="T36086" i="15"/>
  <c r="T36085" i="15"/>
  <c r="T36084" i="15"/>
  <c r="T36083" i="15"/>
  <c r="T36082" i="15"/>
  <c r="T36081" i="15"/>
  <c r="T36080" i="15"/>
  <c r="T36079" i="15"/>
  <c r="T36078" i="15"/>
  <c r="T36077" i="15"/>
  <c r="T36076" i="15"/>
  <c r="T36075" i="15"/>
  <c r="T36074" i="15"/>
  <c r="T36073" i="15"/>
  <c r="T36072" i="15"/>
  <c r="T36071" i="15"/>
  <c r="T36070" i="15"/>
  <c r="T36069" i="15"/>
  <c r="T36068" i="15"/>
  <c r="T36067" i="15"/>
  <c r="T36066" i="15"/>
  <c r="T36065" i="15"/>
  <c r="T36064" i="15"/>
  <c r="T36063" i="15"/>
  <c r="T36062" i="15"/>
  <c r="T36061" i="15"/>
  <c r="T36060" i="15"/>
  <c r="T36059" i="15"/>
  <c r="T36058" i="15"/>
  <c r="T36057" i="15"/>
  <c r="T36056" i="15"/>
  <c r="T36055" i="15"/>
  <c r="T36054" i="15"/>
  <c r="T36053" i="15"/>
  <c r="T36052" i="15"/>
  <c r="T36051" i="15"/>
  <c r="T36050" i="15"/>
  <c r="T36049" i="15"/>
  <c r="T36048" i="15"/>
  <c r="T36047" i="15"/>
  <c r="T36046" i="15"/>
  <c r="T36045" i="15"/>
  <c r="T36044" i="15"/>
  <c r="T36043" i="15"/>
  <c r="T36042" i="15"/>
  <c r="T36041" i="15"/>
  <c r="T36040" i="15"/>
  <c r="T36039" i="15"/>
  <c r="T36038" i="15"/>
  <c r="T36037" i="15"/>
  <c r="T36036" i="15"/>
  <c r="T36035" i="15"/>
  <c r="T36034" i="15"/>
  <c r="T36033" i="15"/>
  <c r="T36032" i="15"/>
  <c r="T36031" i="15"/>
  <c r="T36030" i="15"/>
  <c r="T36029" i="15"/>
  <c r="T36028" i="15"/>
  <c r="T36027" i="15"/>
  <c r="T36026" i="15"/>
  <c r="T36025" i="15"/>
  <c r="T36024" i="15"/>
  <c r="T36023" i="15"/>
  <c r="T36022" i="15"/>
  <c r="T36021" i="15"/>
  <c r="T36020" i="15"/>
  <c r="T36019" i="15"/>
  <c r="T36018" i="15"/>
  <c r="T36017" i="15"/>
  <c r="T36016" i="15"/>
  <c r="T36015" i="15"/>
  <c r="T36014" i="15"/>
  <c r="T36013" i="15"/>
  <c r="T36012" i="15"/>
  <c r="T36011" i="15"/>
  <c r="T36010" i="15"/>
  <c r="T36009" i="15"/>
  <c r="T36008" i="15"/>
  <c r="T36007" i="15"/>
  <c r="T36006" i="15"/>
  <c r="T36005" i="15"/>
  <c r="T36004" i="15"/>
  <c r="T36003" i="15"/>
  <c r="T36002" i="15"/>
  <c r="T36001" i="15"/>
  <c r="T36000" i="15"/>
  <c r="T35999" i="15"/>
  <c r="T35998" i="15"/>
  <c r="T35997" i="15"/>
  <c r="T35996" i="15"/>
  <c r="T35995" i="15"/>
  <c r="T35994" i="15"/>
  <c r="T35993" i="15"/>
  <c r="T35992" i="15"/>
  <c r="T35991" i="15"/>
  <c r="T35990" i="15"/>
  <c r="T35989" i="15"/>
  <c r="T35988" i="15"/>
  <c r="T35987" i="15"/>
  <c r="T35986" i="15"/>
  <c r="T35985" i="15"/>
  <c r="T35984" i="15"/>
  <c r="T35983" i="15"/>
  <c r="T35982" i="15"/>
  <c r="T35981" i="15"/>
  <c r="T35980" i="15"/>
  <c r="T35979" i="15"/>
  <c r="T35978" i="15"/>
  <c r="T35977" i="15"/>
  <c r="T35976" i="15"/>
  <c r="T35975" i="15"/>
  <c r="T35974" i="15"/>
  <c r="T35973" i="15"/>
  <c r="T35972" i="15"/>
  <c r="T35971" i="15"/>
  <c r="T35970" i="15"/>
  <c r="T35969" i="15"/>
  <c r="T35968" i="15"/>
  <c r="T35967" i="15"/>
  <c r="T35966" i="15"/>
  <c r="T35965" i="15"/>
  <c r="T35964" i="15"/>
  <c r="T35963" i="15"/>
  <c r="T35962" i="15"/>
  <c r="T35961" i="15"/>
  <c r="T35960" i="15"/>
  <c r="T35959" i="15"/>
  <c r="T35958" i="15"/>
  <c r="T35957" i="15"/>
  <c r="T35956" i="15"/>
  <c r="T35955" i="15"/>
  <c r="T35954" i="15"/>
  <c r="T35953" i="15"/>
  <c r="T35952" i="15"/>
  <c r="T35951" i="15"/>
  <c r="T35950" i="15"/>
  <c r="T35949" i="15"/>
  <c r="T35948" i="15"/>
  <c r="T35947" i="15"/>
  <c r="T35946" i="15"/>
  <c r="T35945" i="15"/>
  <c r="T35944" i="15"/>
  <c r="T35943" i="15"/>
  <c r="T35942" i="15"/>
  <c r="T35941" i="15"/>
  <c r="T35940" i="15"/>
  <c r="T35939" i="15"/>
  <c r="T35938" i="15"/>
  <c r="T35937" i="15"/>
  <c r="T35936" i="15"/>
  <c r="T35935" i="15"/>
  <c r="T35934" i="15"/>
  <c r="T35933" i="15"/>
  <c r="T35932" i="15"/>
  <c r="T35931" i="15"/>
  <c r="T35930" i="15"/>
  <c r="T35929" i="15"/>
  <c r="T35928" i="15"/>
  <c r="T35927" i="15"/>
  <c r="T35926" i="15"/>
  <c r="T35925" i="15"/>
  <c r="T35924" i="15"/>
  <c r="T35923" i="15"/>
  <c r="T35922" i="15"/>
  <c r="T35921" i="15"/>
  <c r="T35920" i="15"/>
  <c r="T35919" i="15"/>
  <c r="T35918" i="15"/>
  <c r="T35917" i="15"/>
  <c r="T35916" i="15"/>
  <c r="T35915" i="15"/>
  <c r="T35914" i="15"/>
  <c r="T35913" i="15"/>
  <c r="T35912" i="15"/>
  <c r="T35911" i="15"/>
  <c r="T35910" i="15"/>
  <c r="T35909" i="15"/>
  <c r="T35908" i="15"/>
  <c r="T35907" i="15"/>
  <c r="T35906" i="15"/>
  <c r="T35905" i="15"/>
  <c r="T35904" i="15"/>
  <c r="T35903" i="15"/>
  <c r="T35902" i="15"/>
  <c r="T35901" i="15"/>
  <c r="T35900" i="15"/>
  <c r="T35899" i="15"/>
  <c r="T35898" i="15"/>
  <c r="T35897" i="15"/>
  <c r="T35896" i="15"/>
  <c r="T35895" i="15"/>
  <c r="T35894" i="15"/>
  <c r="T35893" i="15"/>
  <c r="T35892" i="15"/>
  <c r="T35891" i="15"/>
  <c r="T35890" i="15"/>
  <c r="T35889" i="15"/>
  <c r="T35888" i="15"/>
  <c r="T35887" i="15"/>
  <c r="T35886" i="15"/>
  <c r="T35885" i="15"/>
  <c r="T35884" i="15"/>
  <c r="T35883" i="15"/>
  <c r="T35882" i="15"/>
  <c r="T35881" i="15"/>
  <c r="T35880" i="15"/>
  <c r="T35879" i="15"/>
  <c r="T35878" i="15"/>
  <c r="T35877" i="15"/>
  <c r="T35876" i="15"/>
  <c r="T35875" i="15"/>
  <c r="T35874" i="15"/>
  <c r="T35873" i="15"/>
  <c r="T35872" i="15"/>
  <c r="T35871" i="15"/>
  <c r="T35870" i="15"/>
  <c r="T35869" i="15"/>
  <c r="T35868" i="15"/>
  <c r="T35867" i="15"/>
  <c r="T35866" i="15"/>
  <c r="T35865" i="15"/>
  <c r="T35864" i="15"/>
  <c r="T35863" i="15"/>
  <c r="T35862" i="15"/>
  <c r="T35861" i="15"/>
  <c r="T35860" i="15"/>
  <c r="T35859" i="15"/>
  <c r="T35858" i="15"/>
  <c r="T35857" i="15"/>
  <c r="T35856" i="15"/>
  <c r="T35855" i="15"/>
  <c r="T35854" i="15"/>
  <c r="T35853" i="15"/>
  <c r="T35852" i="15"/>
  <c r="T35851" i="15"/>
  <c r="T35850" i="15"/>
  <c r="T35849" i="15"/>
  <c r="T35848" i="15"/>
  <c r="T35847" i="15"/>
  <c r="T35846" i="15"/>
  <c r="T35845" i="15"/>
  <c r="T35844" i="15"/>
  <c r="T35843" i="15"/>
  <c r="T35842" i="15"/>
  <c r="T35841" i="15"/>
  <c r="T35840" i="15"/>
  <c r="T35839" i="15"/>
  <c r="T35838" i="15"/>
  <c r="T35837" i="15"/>
  <c r="T35836" i="15"/>
  <c r="T35835" i="15"/>
  <c r="T35834" i="15"/>
  <c r="T35833" i="15"/>
  <c r="T35832" i="15"/>
  <c r="T35831" i="15"/>
  <c r="T35830" i="15"/>
  <c r="T35829" i="15"/>
  <c r="T35828" i="15"/>
  <c r="T35827" i="15"/>
  <c r="T35826" i="15"/>
  <c r="T35825" i="15"/>
  <c r="T35824" i="15"/>
  <c r="T35823" i="15"/>
  <c r="T35822" i="15"/>
  <c r="T35821" i="15"/>
  <c r="T35820" i="15"/>
  <c r="T35819" i="15"/>
  <c r="T35818" i="15"/>
  <c r="T35817" i="15"/>
  <c r="T35816" i="15"/>
  <c r="T35815" i="15"/>
  <c r="T35814" i="15"/>
  <c r="T35813" i="15"/>
  <c r="T35812" i="15"/>
  <c r="T35811" i="15"/>
  <c r="T35810" i="15"/>
  <c r="T35809" i="15"/>
  <c r="T35808" i="15"/>
  <c r="T35807" i="15"/>
  <c r="T35806" i="15"/>
  <c r="T35805" i="15"/>
  <c r="T35804" i="15"/>
  <c r="T35803" i="15"/>
  <c r="T35802" i="15"/>
  <c r="T35801" i="15"/>
  <c r="T35800" i="15"/>
  <c r="T35799" i="15"/>
  <c r="T35798" i="15"/>
  <c r="T35797" i="15"/>
  <c r="T35796" i="15"/>
  <c r="T35795" i="15"/>
  <c r="T35794" i="15"/>
  <c r="T35793" i="15"/>
  <c r="T35792" i="15"/>
  <c r="T35791" i="15"/>
  <c r="T35790" i="15"/>
  <c r="T35789" i="15"/>
  <c r="T35788" i="15"/>
  <c r="T35787" i="15"/>
  <c r="T35786" i="15"/>
  <c r="T35785" i="15"/>
  <c r="T35784" i="15"/>
  <c r="T35783" i="15"/>
  <c r="T35782" i="15"/>
  <c r="T35781" i="15"/>
  <c r="T35780" i="15"/>
  <c r="T35779" i="15"/>
  <c r="T35778" i="15"/>
  <c r="T35777" i="15"/>
  <c r="T35776" i="15"/>
  <c r="T35775" i="15"/>
  <c r="T35774" i="15"/>
  <c r="T35773" i="15"/>
  <c r="T35772" i="15"/>
  <c r="T35771" i="15"/>
  <c r="T35770" i="15"/>
  <c r="T35769" i="15"/>
  <c r="T35768" i="15"/>
  <c r="T35767" i="15"/>
  <c r="T35766" i="15"/>
  <c r="T35765" i="15"/>
  <c r="T35764" i="15"/>
  <c r="T35763" i="15"/>
  <c r="T35762" i="15"/>
  <c r="T35761" i="15"/>
  <c r="T35760" i="15"/>
  <c r="T35759" i="15"/>
  <c r="T35758" i="15"/>
  <c r="T35757" i="15"/>
  <c r="T35756" i="15"/>
  <c r="T35755" i="15"/>
  <c r="T35754" i="15"/>
  <c r="T35753" i="15"/>
  <c r="T35752" i="15"/>
  <c r="T35751" i="15"/>
  <c r="T35750" i="15"/>
  <c r="T35749" i="15"/>
  <c r="T35748" i="15"/>
  <c r="T35747" i="15"/>
  <c r="T35746" i="15"/>
  <c r="T35745" i="15"/>
  <c r="T35744" i="15"/>
  <c r="T35743" i="15"/>
  <c r="T35742" i="15"/>
  <c r="T35741" i="15"/>
  <c r="T35740" i="15"/>
  <c r="T35739" i="15"/>
  <c r="T35738" i="15"/>
  <c r="T35737" i="15"/>
  <c r="T35736" i="15"/>
  <c r="T35735" i="15"/>
  <c r="T35734" i="15"/>
  <c r="T35733" i="15"/>
  <c r="T35732" i="15"/>
  <c r="T35731" i="15"/>
  <c r="T35730" i="15"/>
  <c r="T35729" i="15"/>
  <c r="T35728" i="15"/>
  <c r="T35727" i="15"/>
  <c r="T35726" i="15"/>
  <c r="T35725" i="15"/>
  <c r="T35724" i="15"/>
  <c r="T35723" i="15"/>
  <c r="T35722" i="15"/>
  <c r="T35721" i="15"/>
  <c r="T35720" i="15"/>
  <c r="T35719" i="15"/>
  <c r="T35718" i="15"/>
  <c r="T35717" i="15"/>
  <c r="T35716" i="15"/>
  <c r="T35715" i="15"/>
  <c r="T35714" i="15"/>
  <c r="T35713" i="15"/>
  <c r="T35712" i="15"/>
  <c r="T35711" i="15"/>
  <c r="T35710" i="15"/>
  <c r="T35709" i="15"/>
  <c r="T35708" i="15"/>
  <c r="T35707" i="15"/>
  <c r="T35706" i="15"/>
  <c r="T35705" i="15"/>
  <c r="T35704" i="15"/>
  <c r="T35703" i="15"/>
  <c r="T35702" i="15"/>
  <c r="T35701" i="15"/>
  <c r="T35700" i="15"/>
  <c r="T35699" i="15"/>
  <c r="T35698" i="15"/>
  <c r="T35697" i="15"/>
  <c r="T35696" i="15"/>
  <c r="T35695" i="15"/>
  <c r="T35694" i="15"/>
  <c r="T35693" i="15"/>
  <c r="T35692" i="15"/>
  <c r="T35691" i="15"/>
  <c r="T35690" i="15"/>
  <c r="T35689" i="15"/>
  <c r="T35688" i="15"/>
  <c r="T35687" i="15"/>
  <c r="T35686" i="15"/>
  <c r="T35685" i="15"/>
  <c r="T35684" i="15"/>
  <c r="T35683" i="15"/>
  <c r="T35682" i="15"/>
  <c r="T35681" i="15"/>
  <c r="T35680" i="15"/>
  <c r="T35679" i="15"/>
  <c r="T35678" i="15"/>
  <c r="T35677" i="15"/>
  <c r="T35676" i="15"/>
  <c r="T35675" i="15"/>
  <c r="T35674" i="15"/>
  <c r="T35673" i="15"/>
  <c r="T35672" i="15"/>
  <c r="T35671" i="15"/>
  <c r="T35670" i="15"/>
  <c r="T35669" i="15"/>
  <c r="T35668" i="15"/>
  <c r="T35667" i="15"/>
  <c r="T35666" i="15"/>
  <c r="T35665" i="15"/>
  <c r="T35664" i="15"/>
  <c r="T35663" i="15"/>
  <c r="T35662" i="15"/>
  <c r="T35661" i="15"/>
  <c r="T35660" i="15"/>
  <c r="T35659" i="15"/>
  <c r="T35658" i="15"/>
  <c r="T35657" i="15"/>
  <c r="T35656" i="15"/>
  <c r="T35655" i="15"/>
  <c r="T35654" i="15"/>
  <c r="T35653" i="15"/>
  <c r="T35652" i="15"/>
  <c r="T35651" i="15"/>
  <c r="T35650" i="15"/>
  <c r="T35649" i="15"/>
  <c r="T35648" i="15"/>
  <c r="T35647" i="15"/>
  <c r="T35646" i="15"/>
  <c r="T35645" i="15"/>
  <c r="T35644" i="15"/>
  <c r="T35643" i="15"/>
  <c r="T35642" i="15"/>
  <c r="T35641" i="15"/>
  <c r="T35640" i="15"/>
  <c r="T35639" i="15"/>
  <c r="T35638" i="15"/>
  <c r="T35637" i="15"/>
  <c r="T35636" i="15"/>
  <c r="T35635" i="15"/>
  <c r="T35634" i="15"/>
  <c r="T35633" i="15"/>
  <c r="T35632" i="15"/>
  <c r="T35631" i="15"/>
  <c r="T35630" i="15"/>
  <c r="T35629" i="15"/>
  <c r="T35628" i="15"/>
  <c r="T35627" i="15"/>
  <c r="T35626" i="15"/>
  <c r="T35625" i="15"/>
  <c r="T35624" i="15"/>
  <c r="T35623" i="15"/>
  <c r="T35622" i="15"/>
  <c r="T35621" i="15"/>
  <c r="T35620" i="15"/>
  <c r="T35619" i="15"/>
  <c r="T35618" i="15"/>
  <c r="T35617" i="15"/>
  <c r="T35616" i="15"/>
  <c r="T35615" i="15"/>
  <c r="T35614" i="15"/>
  <c r="T35613" i="15"/>
  <c r="T35612" i="15"/>
  <c r="T35611" i="15"/>
  <c r="T35610" i="15"/>
  <c r="T35609" i="15"/>
  <c r="T35608" i="15"/>
  <c r="T35607" i="15"/>
  <c r="T35606" i="15"/>
  <c r="T35605" i="15"/>
  <c r="T35604" i="15"/>
  <c r="T35603" i="15"/>
  <c r="T35602" i="15"/>
  <c r="T35601" i="15"/>
  <c r="T35600" i="15"/>
  <c r="T35599" i="15"/>
  <c r="T35598" i="15"/>
  <c r="T35597" i="15"/>
  <c r="T35596" i="15"/>
  <c r="T35595" i="15"/>
  <c r="T35594" i="15"/>
  <c r="T35593" i="15"/>
  <c r="T35592" i="15"/>
  <c r="T35591" i="15"/>
  <c r="T35590" i="15"/>
  <c r="T35589" i="15"/>
  <c r="T35588" i="15"/>
  <c r="T35587" i="15"/>
  <c r="T35586" i="15"/>
  <c r="T35585" i="15"/>
  <c r="T35584" i="15"/>
  <c r="T35583" i="15"/>
  <c r="T35582" i="15"/>
  <c r="T35581" i="15"/>
  <c r="T35580" i="15"/>
  <c r="T35579" i="15"/>
  <c r="T35578" i="15"/>
  <c r="T35577" i="15"/>
  <c r="T35576" i="15"/>
  <c r="T35575" i="15"/>
  <c r="T35574" i="15"/>
  <c r="T35573" i="15"/>
  <c r="T35572" i="15"/>
  <c r="T35571" i="15"/>
  <c r="T35570" i="15"/>
  <c r="T35569" i="15"/>
  <c r="T35568" i="15"/>
  <c r="T35567" i="15"/>
  <c r="T35566" i="15"/>
  <c r="T35565" i="15"/>
  <c r="T35564" i="15"/>
  <c r="T35563" i="15"/>
  <c r="T35562" i="15"/>
  <c r="T35561" i="15"/>
  <c r="T35560" i="15"/>
  <c r="T35559" i="15"/>
  <c r="T35558" i="15"/>
  <c r="T35557" i="15"/>
  <c r="T35556" i="15"/>
  <c r="T35555" i="15"/>
  <c r="T35554" i="15"/>
  <c r="T35553" i="15"/>
  <c r="T35552" i="15"/>
  <c r="T35551" i="15"/>
  <c r="T35550" i="15"/>
  <c r="T35549" i="15"/>
  <c r="T35548" i="15"/>
  <c r="T35547" i="15"/>
  <c r="T35546" i="15"/>
  <c r="T35545" i="15"/>
  <c r="T35544" i="15"/>
  <c r="T35543" i="15"/>
  <c r="T35542" i="15"/>
  <c r="T35541" i="15"/>
  <c r="T35540" i="15"/>
  <c r="T35539" i="15"/>
  <c r="T35538" i="15"/>
  <c r="T35537" i="15"/>
  <c r="T35536" i="15"/>
  <c r="T35535" i="15"/>
  <c r="T35534" i="15"/>
  <c r="T35533" i="15"/>
  <c r="T35532" i="15"/>
  <c r="T35531" i="15"/>
  <c r="T35530" i="15"/>
  <c r="T35529" i="15"/>
  <c r="T35528" i="15"/>
  <c r="T35527" i="15"/>
  <c r="T35526" i="15"/>
  <c r="T35525" i="15"/>
  <c r="T35524" i="15"/>
  <c r="T35523" i="15"/>
  <c r="T35522" i="15"/>
  <c r="T35521" i="15"/>
  <c r="T35520" i="15"/>
  <c r="T35519" i="15"/>
  <c r="T35518" i="15"/>
  <c r="T35517" i="15"/>
  <c r="T35516" i="15"/>
  <c r="T35515" i="15"/>
  <c r="T35514" i="15"/>
  <c r="T35513" i="15"/>
  <c r="T35512" i="15"/>
  <c r="T35511" i="15"/>
  <c r="T35510" i="15"/>
  <c r="T35509" i="15"/>
  <c r="T35508" i="15"/>
  <c r="T35507" i="15"/>
  <c r="T35506" i="15"/>
  <c r="T35505" i="15"/>
  <c r="T35504" i="15"/>
  <c r="T35503" i="15"/>
  <c r="T35502" i="15"/>
  <c r="T35501" i="15"/>
  <c r="T35500" i="15"/>
  <c r="T35499" i="15"/>
  <c r="T35498" i="15"/>
  <c r="T35497" i="15"/>
  <c r="T35496" i="15"/>
  <c r="T35495" i="15"/>
  <c r="T35494" i="15"/>
  <c r="T35493" i="15"/>
  <c r="T35492" i="15"/>
  <c r="T35491" i="15"/>
  <c r="T35490" i="15"/>
  <c r="T35489" i="15"/>
  <c r="T35488" i="15"/>
  <c r="T35487" i="15"/>
  <c r="T35486" i="15"/>
  <c r="T35485" i="15"/>
  <c r="T35484" i="15"/>
  <c r="T35483" i="15"/>
  <c r="T35482" i="15"/>
  <c r="T35481" i="15"/>
  <c r="T35480" i="15"/>
  <c r="T35479" i="15"/>
  <c r="T35478" i="15"/>
  <c r="T35477" i="15"/>
  <c r="T35476" i="15"/>
  <c r="T35475" i="15"/>
  <c r="T35474" i="15"/>
  <c r="T35473" i="15"/>
  <c r="T35472" i="15"/>
  <c r="T35471" i="15"/>
  <c r="T35470" i="15"/>
  <c r="T35469" i="15"/>
  <c r="T35468" i="15"/>
  <c r="T35467" i="15"/>
  <c r="T35466" i="15"/>
  <c r="T35465" i="15"/>
  <c r="T35464" i="15"/>
  <c r="T35463" i="15"/>
  <c r="T35462" i="15"/>
  <c r="T35461" i="15"/>
  <c r="T35460" i="15"/>
  <c r="T35459" i="15"/>
  <c r="T35458" i="15"/>
  <c r="T35457" i="15"/>
  <c r="T35456" i="15"/>
  <c r="T35455" i="15"/>
  <c r="T35454" i="15"/>
  <c r="T35453" i="15"/>
  <c r="T35452" i="15"/>
  <c r="T35451" i="15"/>
  <c r="T35450" i="15"/>
  <c r="T35449" i="15"/>
  <c r="T35448" i="15"/>
  <c r="T35447" i="15"/>
  <c r="T35446" i="15"/>
  <c r="T35445" i="15"/>
  <c r="T35444" i="15"/>
  <c r="T35443" i="15"/>
  <c r="T35442" i="15"/>
  <c r="T35441" i="15"/>
  <c r="T35440" i="15"/>
  <c r="T35439" i="15"/>
  <c r="T35438" i="15"/>
  <c r="T35437" i="15"/>
  <c r="T35436" i="15"/>
  <c r="T35435" i="15"/>
  <c r="T35434" i="15"/>
  <c r="T35433" i="15"/>
  <c r="T35432" i="15"/>
  <c r="T35431" i="15"/>
  <c r="T35430" i="15"/>
  <c r="T35429" i="15"/>
  <c r="T35428" i="15"/>
  <c r="T35427" i="15"/>
  <c r="T35426" i="15"/>
  <c r="T35425" i="15"/>
  <c r="T35424" i="15"/>
  <c r="T35423" i="15"/>
  <c r="T35422" i="15"/>
  <c r="T35421" i="15"/>
  <c r="T35420" i="15"/>
  <c r="T35419" i="15"/>
  <c r="T35418" i="15"/>
  <c r="T35417" i="15"/>
  <c r="T35416" i="15"/>
  <c r="T35415" i="15"/>
  <c r="T35414" i="15"/>
  <c r="T35413" i="15"/>
  <c r="T35412" i="15"/>
  <c r="T35411" i="15"/>
  <c r="T35410" i="15"/>
  <c r="T35409" i="15"/>
  <c r="T35408" i="15"/>
  <c r="T35407" i="15"/>
  <c r="T35406" i="15"/>
  <c r="T35405" i="15"/>
  <c r="T35404" i="15"/>
  <c r="T35403" i="15"/>
  <c r="T35402" i="15"/>
  <c r="T35401" i="15"/>
  <c r="T35400" i="15"/>
  <c r="T35399" i="15"/>
  <c r="T35398" i="15"/>
  <c r="T35397" i="15"/>
  <c r="T35396" i="15"/>
  <c r="T35395" i="15"/>
  <c r="T35394" i="15"/>
  <c r="T35393" i="15"/>
  <c r="T35392" i="15"/>
  <c r="T35391" i="15"/>
  <c r="T35390" i="15"/>
  <c r="T35389" i="15"/>
  <c r="T35388" i="15"/>
  <c r="T35387" i="15"/>
  <c r="T35386" i="15"/>
  <c r="T35385" i="15"/>
  <c r="T35384" i="15"/>
  <c r="T35383" i="15"/>
  <c r="T35382" i="15"/>
  <c r="T35381" i="15"/>
  <c r="T35380" i="15"/>
  <c r="T35379" i="15"/>
  <c r="T35378" i="15"/>
  <c r="T35377" i="15"/>
  <c r="T35376" i="15"/>
  <c r="T35375" i="15"/>
  <c r="T35374" i="15"/>
  <c r="T35373" i="15"/>
  <c r="T35372" i="15"/>
  <c r="T35371" i="15"/>
  <c r="T35370" i="15"/>
  <c r="T35369" i="15"/>
  <c r="T35368" i="15"/>
  <c r="T35367" i="15"/>
  <c r="T35366" i="15"/>
  <c r="T35365" i="15"/>
  <c r="T35364" i="15"/>
  <c r="T35363" i="15"/>
  <c r="T35362" i="15"/>
  <c r="T35361" i="15"/>
  <c r="T35360" i="15"/>
  <c r="T35359" i="15"/>
  <c r="T35358" i="15"/>
  <c r="T35357" i="15"/>
  <c r="T35356" i="15"/>
  <c r="T35355" i="15"/>
  <c r="T35354" i="15"/>
  <c r="T35353" i="15"/>
  <c r="T35352" i="15"/>
  <c r="T35351" i="15"/>
  <c r="T35350" i="15"/>
  <c r="T35349" i="15"/>
  <c r="T35348" i="15"/>
  <c r="T35347" i="15"/>
  <c r="T35346" i="15"/>
  <c r="T35345" i="15"/>
  <c r="T35344" i="15"/>
  <c r="T35343" i="15"/>
  <c r="T35342" i="15"/>
  <c r="T35341" i="15"/>
  <c r="T35340" i="15"/>
  <c r="T35339" i="15"/>
  <c r="T35338" i="15"/>
  <c r="T35337" i="15"/>
  <c r="T35336" i="15"/>
  <c r="T35335" i="15"/>
  <c r="T35334" i="15"/>
  <c r="T35333" i="15"/>
  <c r="T35332" i="15"/>
  <c r="T35331" i="15"/>
  <c r="T35330" i="15"/>
  <c r="T35329" i="15"/>
  <c r="T35328" i="15"/>
  <c r="T35327" i="15"/>
  <c r="T35326" i="15"/>
  <c r="T35325" i="15"/>
  <c r="T35324" i="15"/>
  <c r="T35323" i="15"/>
  <c r="T35322" i="15"/>
  <c r="T35321" i="15"/>
  <c r="T35320" i="15"/>
  <c r="T35319" i="15"/>
  <c r="T35318" i="15"/>
  <c r="T35317" i="15"/>
  <c r="T35316" i="15"/>
  <c r="T35315" i="15"/>
  <c r="T35314" i="15"/>
  <c r="T35313" i="15"/>
  <c r="T35312" i="15"/>
  <c r="T35311" i="15"/>
  <c r="T35310" i="15"/>
  <c r="T35309" i="15"/>
  <c r="T35308" i="15"/>
  <c r="T35307" i="15"/>
  <c r="T35306" i="15"/>
  <c r="T35305" i="15"/>
  <c r="T35304" i="15"/>
  <c r="T35303" i="15"/>
  <c r="T35302" i="15"/>
  <c r="T35301" i="15"/>
  <c r="T35300" i="15"/>
  <c r="T35299" i="15"/>
  <c r="T35298" i="15"/>
  <c r="T35297" i="15"/>
  <c r="T35296" i="15"/>
  <c r="T35295" i="15"/>
  <c r="T35294" i="15"/>
  <c r="T35293" i="15"/>
  <c r="T35292" i="15"/>
  <c r="T35291" i="15"/>
  <c r="T35290" i="15"/>
  <c r="T35289" i="15"/>
  <c r="T35288" i="15"/>
  <c r="T35287" i="15"/>
  <c r="T35286" i="15"/>
  <c r="T35285" i="15"/>
  <c r="T35284" i="15"/>
  <c r="T35283" i="15"/>
  <c r="T35282" i="15"/>
  <c r="T35281" i="15"/>
  <c r="T35280" i="15"/>
  <c r="T35279" i="15"/>
  <c r="T35278" i="15"/>
  <c r="T35277" i="15"/>
  <c r="T35276" i="15"/>
  <c r="T35275" i="15"/>
  <c r="T35274" i="15"/>
  <c r="T35273" i="15"/>
  <c r="T35272" i="15"/>
  <c r="T35271" i="15"/>
  <c r="T35270" i="15"/>
  <c r="T35269" i="15"/>
  <c r="T35268" i="15"/>
  <c r="T35267" i="15"/>
  <c r="T35266" i="15"/>
  <c r="T35265" i="15"/>
  <c r="T35264" i="15"/>
  <c r="T35263" i="15"/>
  <c r="T35262" i="15"/>
  <c r="T35261" i="15"/>
  <c r="T35260" i="15"/>
  <c r="T35259" i="15"/>
  <c r="T35258" i="15"/>
  <c r="T35257" i="15"/>
  <c r="T35256" i="15"/>
  <c r="T35255" i="15"/>
  <c r="T35254" i="15"/>
  <c r="T35253" i="15"/>
  <c r="T35252" i="15"/>
  <c r="T35251" i="15"/>
  <c r="T35250" i="15"/>
  <c r="T35249" i="15"/>
  <c r="T35248" i="15"/>
  <c r="T35247" i="15"/>
  <c r="T35246" i="15"/>
  <c r="T35245" i="15"/>
  <c r="T35244" i="15"/>
  <c r="T35243" i="15"/>
  <c r="T35242" i="15"/>
  <c r="T35241" i="15"/>
  <c r="T35240" i="15"/>
  <c r="T35239" i="15"/>
  <c r="T35238" i="15"/>
  <c r="T35237" i="15"/>
  <c r="T35236" i="15"/>
  <c r="T35235" i="15"/>
  <c r="T35234" i="15"/>
  <c r="T35233" i="15"/>
  <c r="T35232" i="15"/>
  <c r="T35231" i="15"/>
  <c r="T35230" i="15"/>
  <c r="T35229" i="15"/>
  <c r="T35228" i="15"/>
  <c r="T35227" i="15"/>
  <c r="T35226" i="15"/>
  <c r="T35225" i="15"/>
  <c r="T35224" i="15"/>
  <c r="T35223" i="15"/>
  <c r="T35222" i="15"/>
  <c r="T35221" i="15"/>
  <c r="T35220" i="15"/>
  <c r="T35219" i="15"/>
  <c r="T35218" i="15"/>
  <c r="T35217" i="15"/>
  <c r="T35216" i="15"/>
  <c r="T35215" i="15"/>
  <c r="T35214" i="15"/>
  <c r="T35213" i="15"/>
  <c r="T35212" i="15"/>
  <c r="T35211" i="15"/>
  <c r="T35210" i="15"/>
  <c r="T35209" i="15"/>
  <c r="T35208" i="15"/>
  <c r="T35207" i="15"/>
  <c r="T35206" i="15"/>
  <c r="T35205" i="15"/>
  <c r="T35204" i="15"/>
  <c r="T35203" i="15"/>
  <c r="T35202" i="15"/>
  <c r="T35201" i="15"/>
  <c r="T35200" i="15"/>
  <c r="T35199" i="15"/>
  <c r="T35198" i="15"/>
  <c r="T35197" i="15"/>
  <c r="T35196" i="15"/>
  <c r="T35195" i="15"/>
  <c r="T35194" i="15"/>
  <c r="T35193" i="15"/>
  <c r="T35192" i="15"/>
  <c r="T35191" i="15"/>
  <c r="T35190" i="15"/>
  <c r="T35189" i="15"/>
  <c r="T35188" i="15"/>
  <c r="T35187" i="15"/>
  <c r="T35186" i="15"/>
  <c r="T35185" i="15"/>
  <c r="T35184" i="15"/>
  <c r="T35183" i="15"/>
  <c r="T35182" i="15"/>
  <c r="T35181" i="15"/>
  <c r="T35180" i="15"/>
  <c r="T35179" i="15"/>
  <c r="T35178" i="15"/>
  <c r="T35177" i="15"/>
  <c r="T35176" i="15"/>
  <c r="T35175" i="15"/>
  <c r="T35174" i="15"/>
  <c r="T35173" i="15"/>
  <c r="T35172" i="15"/>
  <c r="T35171" i="15"/>
  <c r="T35170" i="15"/>
  <c r="T35169" i="15"/>
  <c r="T35168" i="15"/>
  <c r="T35167" i="15"/>
  <c r="T35166" i="15"/>
  <c r="T35165" i="15"/>
  <c r="T35164" i="15"/>
  <c r="T35163" i="15"/>
  <c r="T35162" i="15"/>
  <c r="T35161" i="15"/>
  <c r="T35160" i="15"/>
  <c r="T35159" i="15"/>
  <c r="T35158" i="15"/>
  <c r="T35157" i="15"/>
  <c r="T35156" i="15"/>
  <c r="T35155" i="15"/>
  <c r="T35154" i="15"/>
  <c r="T35153" i="15"/>
  <c r="T35152" i="15"/>
  <c r="T35151" i="15"/>
  <c r="T35150" i="15"/>
  <c r="T35149" i="15"/>
  <c r="T35148" i="15"/>
  <c r="T35147" i="15"/>
  <c r="T35146" i="15"/>
  <c r="T35145" i="15"/>
  <c r="T35144" i="15"/>
  <c r="T35143" i="15"/>
  <c r="T35142" i="15"/>
  <c r="T35141" i="15"/>
  <c r="T35140" i="15"/>
  <c r="T35139" i="15"/>
  <c r="T35138" i="15"/>
  <c r="T35137" i="15"/>
  <c r="T35136" i="15"/>
  <c r="T35135" i="15"/>
  <c r="T35134" i="15"/>
  <c r="T35133" i="15"/>
  <c r="T35132" i="15"/>
  <c r="T35131" i="15"/>
  <c r="T35130" i="15"/>
  <c r="T35129" i="15"/>
  <c r="T35128" i="15"/>
  <c r="T35127" i="15"/>
  <c r="T35126" i="15"/>
  <c r="T35125" i="15"/>
  <c r="T35124" i="15"/>
  <c r="T35123" i="15"/>
  <c r="T35122" i="15"/>
  <c r="T35121" i="15"/>
  <c r="T35120" i="15"/>
  <c r="T35119" i="15"/>
  <c r="T35118" i="15"/>
  <c r="T35117" i="15"/>
  <c r="T35116" i="15"/>
  <c r="T35115" i="15"/>
  <c r="T35114" i="15"/>
  <c r="T35113" i="15"/>
  <c r="T35112" i="15"/>
  <c r="T35111" i="15"/>
  <c r="T35110" i="15"/>
  <c r="T35109" i="15"/>
  <c r="T35108" i="15"/>
  <c r="T35107" i="15"/>
  <c r="T35106" i="15"/>
  <c r="T35105" i="15"/>
  <c r="T35104" i="15"/>
  <c r="T35103" i="15"/>
  <c r="T35102" i="15"/>
  <c r="T35101" i="15"/>
  <c r="T35100" i="15"/>
  <c r="T35099" i="15"/>
  <c r="T35098" i="15"/>
  <c r="T35097" i="15"/>
  <c r="T35096" i="15"/>
  <c r="T35095" i="15"/>
  <c r="T35094" i="15"/>
  <c r="T35093" i="15"/>
  <c r="T35092" i="15"/>
  <c r="T35091" i="15"/>
  <c r="T35090" i="15"/>
  <c r="T35089" i="15"/>
  <c r="T35088" i="15"/>
  <c r="T35087" i="15"/>
  <c r="T35086" i="15"/>
  <c r="T35085" i="15"/>
  <c r="T35084" i="15"/>
  <c r="T35083" i="15"/>
  <c r="T35082" i="15"/>
  <c r="T35081" i="15"/>
  <c r="T35080" i="15"/>
  <c r="T35079" i="15"/>
  <c r="T35078" i="15"/>
  <c r="T35077" i="15"/>
  <c r="T35076" i="15"/>
  <c r="T35075" i="15"/>
  <c r="T35074" i="15"/>
  <c r="T35073" i="15"/>
  <c r="T35072" i="15"/>
  <c r="T35071" i="15"/>
  <c r="T35070" i="15"/>
  <c r="T35069" i="15"/>
  <c r="T35068" i="15"/>
  <c r="T35067" i="15"/>
  <c r="T35066" i="15"/>
  <c r="T35065" i="15"/>
  <c r="T35064" i="15"/>
  <c r="T35063" i="15"/>
  <c r="T35062" i="15"/>
  <c r="T35061" i="15"/>
  <c r="T35060" i="15"/>
  <c r="T35059" i="15"/>
  <c r="T35058" i="15"/>
  <c r="T35057" i="15"/>
  <c r="T35056" i="15"/>
  <c r="T35055" i="15"/>
  <c r="T35054" i="15"/>
  <c r="T35053" i="15"/>
  <c r="T35052" i="15"/>
  <c r="T35051" i="15"/>
  <c r="T35050" i="15"/>
  <c r="T35049" i="15"/>
  <c r="T35048" i="15"/>
  <c r="T35047" i="15"/>
  <c r="T35046" i="15"/>
  <c r="T35045" i="15"/>
  <c r="T35044" i="15"/>
  <c r="T35043" i="15"/>
  <c r="T35042" i="15"/>
  <c r="T35041" i="15"/>
  <c r="T35040" i="15"/>
  <c r="T35039" i="15"/>
  <c r="T35038" i="15"/>
  <c r="T35037" i="15"/>
  <c r="T35036" i="15"/>
  <c r="T35035" i="15"/>
  <c r="T35034" i="15"/>
  <c r="T35033" i="15"/>
  <c r="T35032" i="15"/>
  <c r="T35031" i="15"/>
  <c r="T35030" i="15"/>
  <c r="T35029" i="15"/>
  <c r="T35028" i="15"/>
  <c r="T35027" i="15"/>
  <c r="T35026" i="15"/>
  <c r="T35025" i="15"/>
  <c r="T35024" i="15"/>
  <c r="T35023" i="15"/>
  <c r="T35022" i="15"/>
  <c r="T35021" i="15"/>
  <c r="T35020" i="15"/>
  <c r="T35019" i="15"/>
  <c r="T35018" i="15"/>
  <c r="T35017" i="15"/>
  <c r="T35016" i="15"/>
  <c r="T35015" i="15"/>
  <c r="T35014" i="15"/>
  <c r="T35013" i="15"/>
  <c r="T35012" i="15"/>
  <c r="T35011" i="15"/>
  <c r="T35010" i="15"/>
  <c r="T35009" i="15"/>
  <c r="T35008" i="15"/>
  <c r="T35007" i="15"/>
  <c r="T35006" i="15"/>
  <c r="T35005" i="15"/>
  <c r="T35004" i="15"/>
  <c r="T35003" i="15"/>
  <c r="T35002" i="15"/>
  <c r="T35001" i="15"/>
  <c r="T35000" i="15"/>
  <c r="T34999" i="15"/>
  <c r="T34998" i="15"/>
  <c r="T34997" i="15"/>
  <c r="T34996" i="15"/>
  <c r="T34995" i="15"/>
  <c r="T34994" i="15"/>
  <c r="T34993" i="15"/>
  <c r="T34992" i="15"/>
  <c r="T34991" i="15"/>
  <c r="T34990" i="15"/>
  <c r="T34989" i="15"/>
  <c r="T34988" i="15"/>
  <c r="T34987" i="15"/>
  <c r="T34986" i="15"/>
  <c r="T34985" i="15"/>
  <c r="T34984" i="15"/>
  <c r="T34983" i="15"/>
  <c r="T34982" i="15"/>
  <c r="T34981" i="15"/>
  <c r="T34980" i="15"/>
  <c r="T34979" i="15"/>
  <c r="T34978" i="15"/>
  <c r="T34977" i="15"/>
  <c r="T34976" i="15"/>
  <c r="T34975" i="15"/>
  <c r="T34974" i="15"/>
  <c r="T34973" i="15"/>
  <c r="T34972" i="15"/>
  <c r="T34971" i="15"/>
  <c r="T34970" i="15"/>
  <c r="T34969" i="15"/>
  <c r="T34968" i="15"/>
  <c r="T34967" i="15"/>
  <c r="T34966" i="15"/>
  <c r="T34965" i="15"/>
  <c r="T34964" i="15"/>
  <c r="T34963" i="15"/>
  <c r="T34962" i="15"/>
  <c r="T34961" i="15"/>
  <c r="T34960" i="15"/>
  <c r="T34959" i="15"/>
  <c r="T34958" i="15"/>
  <c r="T34957" i="15"/>
  <c r="T34956" i="15"/>
  <c r="T34955" i="15"/>
  <c r="T34954" i="15"/>
  <c r="T34953" i="15"/>
  <c r="T34952" i="15"/>
  <c r="T34951" i="15"/>
  <c r="T34950" i="15"/>
  <c r="T34949" i="15"/>
  <c r="T34948" i="15"/>
  <c r="T34947" i="15"/>
  <c r="T34946" i="15"/>
  <c r="T34945" i="15"/>
  <c r="T34944" i="15"/>
  <c r="T34943" i="15"/>
  <c r="T34942" i="15"/>
  <c r="T34941" i="15"/>
  <c r="T34940" i="15"/>
  <c r="T34939" i="15"/>
  <c r="T34938" i="15"/>
  <c r="T34937" i="15"/>
  <c r="T34936" i="15"/>
  <c r="T34935" i="15"/>
  <c r="T34934" i="15"/>
  <c r="T34933" i="15"/>
  <c r="T34932" i="15"/>
  <c r="T34931" i="15"/>
  <c r="T34930" i="15"/>
  <c r="T34929" i="15"/>
  <c r="T34928" i="15"/>
  <c r="T34927" i="15"/>
  <c r="T34926" i="15"/>
  <c r="T34925" i="15"/>
  <c r="T34924" i="15"/>
  <c r="T34923" i="15"/>
  <c r="T34922" i="15"/>
  <c r="T34921" i="15"/>
  <c r="T34920" i="15"/>
  <c r="T34919" i="15"/>
  <c r="T34918" i="15"/>
  <c r="T34917" i="15"/>
  <c r="T34916" i="15"/>
  <c r="T34915" i="15"/>
  <c r="T34914" i="15"/>
  <c r="T34913" i="15"/>
  <c r="T34912" i="15"/>
  <c r="T34911" i="15"/>
  <c r="T34910" i="15"/>
  <c r="T34909" i="15"/>
  <c r="T34908" i="15"/>
  <c r="T34907" i="15"/>
  <c r="T34906" i="15"/>
  <c r="T34905" i="15"/>
  <c r="T34904" i="15"/>
  <c r="T34903" i="15"/>
  <c r="T34902" i="15"/>
  <c r="T34901" i="15"/>
  <c r="T34900" i="15"/>
  <c r="T34899" i="15"/>
  <c r="T34898" i="15"/>
  <c r="T34897" i="15"/>
  <c r="T34896" i="15"/>
  <c r="T34895" i="15"/>
  <c r="T34894" i="15"/>
  <c r="T34893" i="15"/>
  <c r="T34892" i="15"/>
  <c r="T34891" i="15"/>
  <c r="T34890" i="15"/>
  <c r="T34889" i="15"/>
  <c r="T34888" i="15"/>
  <c r="T34887" i="15"/>
  <c r="T34886" i="15"/>
  <c r="T34885" i="15"/>
  <c r="T34884" i="15"/>
  <c r="T34883" i="15"/>
  <c r="T34882" i="15"/>
  <c r="T34881" i="15"/>
  <c r="T34880" i="15"/>
  <c r="T34879" i="15"/>
  <c r="T34878" i="15"/>
  <c r="T34877" i="15"/>
  <c r="T34876" i="15"/>
  <c r="T34875" i="15"/>
  <c r="T34874" i="15"/>
  <c r="T34873" i="15"/>
  <c r="T34872" i="15"/>
  <c r="T34871" i="15"/>
  <c r="T34870" i="15"/>
  <c r="T34869" i="15"/>
  <c r="T34868" i="15"/>
  <c r="T34867" i="15"/>
  <c r="T34866" i="15"/>
  <c r="T34865" i="15"/>
  <c r="T34864" i="15"/>
  <c r="T34863" i="15"/>
  <c r="T34862" i="15"/>
  <c r="T34861" i="15"/>
  <c r="T34860" i="15"/>
  <c r="T34859" i="15"/>
  <c r="T34858" i="15"/>
  <c r="T34857" i="15"/>
  <c r="T34856" i="15"/>
  <c r="T34855" i="15"/>
  <c r="T34854" i="15"/>
  <c r="T34853" i="15"/>
  <c r="T34852" i="15"/>
  <c r="T34851" i="15"/>
  <c r="T34850" i="15"/>
  <c r="T34849" i="15"/>
  <c r="T34848" i="15"/>
  <c r="T34847" i="15"/>
  <c r="T34846" i="15"/>
  <c r="T34845" i="15"/>
  <c r="T34844" i="15"/>
  <c r="T34843" i="15"/>
  <c r="T34842" i="15"/>
  <c r="T34841" i="15"/>
  <c r="T34840" i="15"/>
  <c r="T34839" i="15"/>
  <c r="T34838" i="15"/>
  <c r="T34837" i="15"/>
  <c r="T34836" i="15"/>
  <c r="T34835" i="15"/>
  <c r="T34834" i="15"/>
  <c r="T34833" i="15"/>
  <c r="T34832" i="15"/>
  <c r="T34831" i="15"/>
  <c r="T34830" i="15"/>
  <c r="T34829" i="15"/>
  <c r="T34828" i="15"/>
  <c r="T34827" i="15"/>
  <c r="T34826" i="15"/>
  <c r="T34825" i="15"/>
  <c r="T34824" i="15"/>
  <c r="T34823" i="15"/>
  <c r="T34822" i="15"/>
  <c r="T34821" i="15"/>
  <c r="T34820" i="15"/>
  <c r="T34819" i="15"/>
  <c r="T34818" i="15"/>
  <c r="T34817" i="15"/>
  <c r="T34816" i="15"/>
  <c r="T34815" i="15"/>
  <c r="T34814" i="15"/>
  <c r="T34813" i="15"/>
  <c r="T34812" i="15"/>
  <c r="T34811" i="15"/>
  <c r="T34810" i="15"/>
  <c r="T34809" i="15"/>
  <c r="T34808" i="15"/>
  <c r="T34807" i="15"/>
  <c r="T34806" i="15"/>
  <c r="T34805" i="15"/>
  <c r="T34804" i="15"/>
  <c r="T34803" i="15"/>
  <c r="T34802" i="15"/>
  <c r="T34801" i="15"/>
  <c r="T34800" i="15"/>
  <c r="T34799" i="15"/>
  <c r="T34798" i="15"/>
  <c r="T34797" i="15"/>
  <c r="T34796" i="15"/>
  <c r="T34795" i="15"/>
  <c r="T34794" i="15"/>
  <c r="T34793" i="15"/>
  <c r="T34792" i="15"/>
  <c r="T34791" i="15"/>
  <c r="T34790" i="15"/>
  <c r="T34789" i="15"/>
  <c r="T34788" i="15"/>
  <c r="T34787" i="15"/>
  <c r="T34786" i="15"/>
  <c r="T34785" i="15"/>
  <c r="T34784" i="15"/>
  <c r="T34783" i="15"/>
  <c r="T34782" i="15"/>
  <c r="T34781" i="15"/>
  <c r="T34780" i="15"/>
  <c r="T34779" i="15"/>
  <c r="T34778" i="15"/>
  <c r="T34777" i="15"/>
  <c r="T34776" i="15"/>
  <c r="T34775" i="15"/>
  <c r="T34774" i="15"/>
  <c r="T34773" i="15"/>
  <c r="T34772" i="15"/>
  <c r="T34771" i="15"/>
  <c r="T34770" i="15"/>
  <c r="T34769" i="15"/>
  <c r="T34768" i="15"/>
  <c r="T34767" i="15"/>
  <c r="T34766" i="15"/>
  <c r="T34765" i="15"/>
  <c r="T34764" i="15"/>
  <c r="T34763" i="15"/>
  <c r="T34762" i="15"/>
  <c r="T34761" i="15"/>
  <c r="T34760" i="15"/>
  <c r="T34759" i="15"/>
  <c r="T34758" i="15"/>
  <c r="T34757" i="15"/>
  <c r="T34756" i="15"/>
  <c r="T34755" i="15"/>
  <c r="T34754" i="15"/>
  <c r="T34753" i="15"/>
  <c r="T34752" i="15"/>
  <c r="T34751" i="15"/>
  <c r="T34750" i="15"/>
  <c r="T34749" i="15"/>
  <c r="T34748" i="15"/>
  <c r="T34747" i="15"/>
  <c r="T34746" i="15"/>
  <c r="T34745" i="15"/>
  <c r="T34744" i="15"/>
  <c r="T34743" i="15"/>
  <c r="T34742" i="15"/>
  <c r="T34741" i="15"/>
  <c r="T34740" i="15"/>
  <c r="T34739" i="15"/>
  <c r="T34738" i="15"/>
  <c r="T34737" i="15"/>
  <c r="T34736" i="15"/>
  <c r="T34735" i="15"/>
  <c r="T34734" i="15"/>
  <c r="T34733" i="15"/>
  <c r="T34732" i="15"/>
  <c r="T34731" i="15"/>
  <c r="T34730" i="15"/>
  <c r="T34729" i="15"/>
  <c r="T34728" i="15"/>
  <c r="T34727" i="15"/>
  <c r="T34726" i="15"/>
  <c r="T34725" i="15"/>
  <c r="T34724" i="15"/>
  <c r="T34723" i="15"/>
  <c r="T34722" i="15"/>
  <c r="T34721" i="15"/>
  <c r="T34720" i="15"/>
  <c r="T34719" i="15"/>
  <c r="T34718" i="15"/>
  <c r="T34717" i="15"/>
  <c r="T34716" i="15"/>
  <c r="T34715" i="15"/>
  <c r="T34714" i="15"/>
  <c r="T34713" i="15"/>
  <c r="T34712" i="15"/>
  <c r="T34711" i="15"/>
  <c r="T34710" i="15"/>
  <c r="T34709" i="15"/>
  <c r="T34708" i="15"/>
  <c r="T34707" i="15"/>
  <c r="T34706" i="15"/>
  <c r="T34705" i="15"/>
  <c r="T34704" i="15"/>
  <c r="T34703" i="15"/>
  <c r="T34702" i="15"/>
  <c r="T34701" i="15"/>
  <c r="T34700" i="15"/>
  <c r="T34699" i="15"/>
  <c r="T34698" i="15"/>
  <c r="T34697" i="15"/>
  <c r="T34696" i="15"/>
  <c r="T34695" i="15"/>
  <c r="T34694" i="15"/>
  <c r="T34693" i="15"/>
  <c r="T34692" i="15"/>
  <c r="T34691" i="15"/>
  <c r="T34690" i="15"/>
  <c r="T34689" i="15"/>
  <c r="T34688" i="15"/>
  <c r="T34687" i="15"/>
  <c r="T34686" i="15"/>
  <c r="T34685" i="15"/>
  <c r="T34684" i="15"/>
  <c r="T34683" i="15"/>
  <c r="T34682" i="15"/>
  <c r="T34681" i="15"/>
  <c r="T34680" i="15"/>
  <c r="T34679" i="15"/>
  <c r="T34678" i="15"/>
  <c r="T34677" i="15"/>
  <c r="T34676" i="15"/>
  <c r="T34675" i="15"/>
  <c r="T34674" i="15"/>
  <c r="T34673" i="15"/>
  <c r="T34672" i="15"/>
  <c r="T34671" i="15"/>
  <c r="T34670" i="15"/>
  <c r="T34669" i="15"/>
  <c r="T34668" i="15"/>
  <c r="T34667" i="15"/>
  <c r="T34666" i="15"/>
  <c r="T34665" i="15"/>
  <c r="T34664" i="15"/>
  <c r="T34663" i="15"/>
  <c r="T34662" i="15"/>
  <c r="T34661" i="15"/>
  <c r="T34660" i="15"/>
  <c r="T34659" i="15"/>
  <c r="T34658" i="15"/>
  <c r="T34657" i="15"/>
  <c r="T34656" i="15"/>
  <c r="T34655" i="15"/>
  <c r="T34654" i="15"/>
  <c r="T34653" i="15"/>
  <c r="T34652" i="15"/>
  <c r="T34651" i="15"/>
  <c r="T34650" i="15"/>
  <c r="T34649" i="15"/>
  <c r="T34648" i="15"/>
  <c r="T34647" i="15"/>
  <c r="T34646" i="15"/>
  <c r="T34645" i="15"/>
  <c r="T34644" i="15"/>
  <c r="T34643" i="15"/>
  <c r="T34642" i="15"/>
  <c r="T34641" i="15"/>
  <c r="T34640" i="15"/>
  <c r="T34639" i="15"/>
  <c r="T34638" i="15"/>
  <c r="T34637" i="15"/>
  <c r="T34636" i="15"/>
  <c r="T34635" i="15"/>
  <c r="T34634" i="15"/>
  <c r="T34633" i="15"/>
  <c r="T34632" i="15"/>
  <c r="T34631" i="15"/>
  <c r="T34630" i="15"/>
  <c r="T34629" i="15"/>
  <c r="T34628" i="15"/>
  <c r="T34627" i="15"/>
  <c r="T34626" i="15"/>
  <c r="T34625" i="15"/>
  <c r="T34624" i="15"/>
  <c r="T34623" i="15"/>
  <c r="T34622" i="15"/>
  <c r="T34621" i="15"/>
  <c r="T34620" i="15"/>
  <c r="T34619" i="15"/>
  <c r="T34618" i="15"/>
  <c r="T34617" i="15"/>
  <c r="T34616" i="15"/>
  <c r="T34615" i="15"/>
  <c r="T34614" i="15"/>
  <c r="T34613" i="15"/>
  <c r="T34612" i="15"/>
  <c r="T34611" i="15"/>
  <c r="T34610" i="15"/>
  <c r="T34609" i="15"/>
  <c r="T34608" i="15"/>
  <c r="T34607" i="15"/>
  <c r="T34606" i="15"/>
  <c r="T34605" i="15"/>
  <c r="T34604" i="15"/>
  <c r="T34603" i="15"/>
  <c r="T34602" i="15"/>
  <c r="T34601" i="15"/>
  <c r="T34600" i="15"/>
  <c r="T34599" i="15"/>
  <c r="T34598" i="15"/>
  <c r="T34597" i="15"/>
  <c r="T34596" i="15"/>
  <c r="T34595" i="15"/>
  <c r="T34594" i="15"/>
  <c r="T34593" i="15"/>
  <c r="T34592" i="15"/>
  <c r="T34591" i="15"/>
  <c r="T34590" i="15"/>
  <c r="T34589" i="15"/>
  <c r="T34588" i="15"/>
  <c r="T34587" i="15"/>
  <c r="T34586" i="15"/>
  <c r="T34585" i="15"/>
  <c r="T34584" i="15"/>
  <c r="T34583" i="15"/>
  <c r="T34582" i="15"/>
  <c r="T34581" i="15"/>
  <c r="T34580" i="15"/>
  <c r="T34579" i="15"/>
  <c r="T34578" i="15"/>
  <c r="T34577" i="15"/>
  <c r="T34576" i="15"/>
  <c r="T34575" i="15"/>
  <c r="T34574" i="15"/>
  <c r="T34573" i="15"/>
  <c r="T34572" i="15"/>
  <c r="T34571" i="15"/>
  <c r="T34570" i="15"/>
  <c r="T34569" i="15"/>
  <c r="T34568" i="15"/>
  <c r="T34567" i="15"/>
  <c r="T34566" i="15"/>
  <c r="T34565" i="15"/>
  <c r="T34564" i="15"/>
  <c r="T34563" i="15"/>
  <c r="T34562" i="15"/>
  <c r="T34561" i="15"/>
  <c r="T34560" i="15"/>
  <c r="T34559" i="15"/>
  <c r="T34558" i="15"/>
  <c r="T34557" i="15"/>
  <c r="T34556" i="15"/>
  <c r="T34555" i="15"/>
  <c r="T34554" i="15"/>
  <c r="T34553" i="15"/>
  <c r="T34552" i="15"/>
  <c r="T34551" i="15"/>
  <c r="T34550" i="15"/>
  <c r="T34549" i="15"/>
  <c r="T34548" i="15"/>
  <c r="T34547" i="15"/>
  <c r="T34546" i="15"/>
  <c r="T34545" i="15"/>
  <c r="T34544" i="15"/>
  <c r="T34543" i="15"/>
  <c r="T34542" i="15"/>
  <c r="T34541" i="15"/>
  <c r="T34540" i="15"/>
  <c r="T34539" i="15"/>
  <c r="T34538" i="15"/>
  <c r="T34537" i="15"/>
  <c r="T34536" i="15"/>
  <c r="T34535" i="15"/>
  <c r="T34534" i="15"/>
  <c r="T34533" i="15"/>
  <c r="T34532" i="15"/>
  <c r="T34531" i="15"/>
  <c r="T34530" i="15"/>
  <c r="T34529" i="15"/>
  <c r="T34528" i="15"/>
  <c r="T34527" i="15"/>
  <c r="T34526" i="15"/>
  <c r="T34525" i="15"/>
  <c r="T34524" i="15"/>
  <c r="T34523" i="15"/>
  <c r="T34522" i="15"/>
  <c r="T34521" i="15"/>
  <c r="T34520" i="15"/>
  <c r="T34519" i="15"/>
  <c r="T34518" i="15"/>
  <c r="T34517" i="15"/>
  <c r="T34516" i="15"/>
  <c r="T34515" i="15"/>
  <c r="T34514" i="15"/>
  <c r="T34513" i="15"/>
  <c r="T34512" i="15"/>
  <c r="T34511" i="15"/>
  <c r="T34510" i="15"/>
  <c r="T34509" i="15"/>
  <c r="T34508" i="15"/>
  <c r="T34507" i="15"/>
  <c r="T34506" i="15"/>
  <c r="T34505" i="15"/>
  <c r="T34504" i="15"/>
  <c r="T34503" i="15"/>
  <c r="T34502" i="15"/>
  <c r="T34501" i="15"/>
  <c r="T34500" i="15"/>
  <c r="T34499" i="15"/>
  <c r="T34498" i="15"/>
  <c r="T34497" i="15"/>
  <c r="T34496" i="15"/>
  <c r="T34495" i="15"/>
  <c r="T34494" i="15"/>
  <c r="T34493" i="15"/>
  <c r="T34492" i="15"/>
  <c r="T34491" i="15"/>
  <c r="T34490" i="15"/>
  <c r="T34489" i="15"/>
  <c r="T34488" i="15"/>
  <c r="T34487" i="15"/>
  <c r="T34486" i="15"/>
  <c r="T34485" i="15"/>
  <c r="T34484" i="15"/>
  <c r="T34483" i="15"/>
  <c r="T34482" i="15"/>
  <c r="T34481" i="15"/>
  <c r="T34480" i="15"/>
  <c r="T34479" i="15"/>
  <c r="T34478" i="15"/>
  <c r="T34477" i="15"/>
  <c r="T34476" i="15"/>
  <c r="T34475" i="15"/>
  <c r="T34474" i="15"/>
  <c r="T34473" i="15"/>
  <c r="T34472" i="15"/>
  <c r="T34471" i="15"/>
  <c r="T34470" i="15"/>
  <c r="T34469" i="15"/>
  <c r="T34468" i="15"/>
  <c r="T34467" i="15"/>
  <c r="T34466" i="15"/>
  <c r="T34465" i="15"/>
  <c r="T34464" i="15"/>
  <c r="T34463" i="15"/>
  <c r="T34462" i="15"/>
  <c r="T34461" i="15"/>
  <c r="T34460" i="15"/>
  <c r="T34459" i="15"/>
  <c r="T34458" i="15"/>
  <c r="T34457" i="15"/>
  <c r="T34456" i="15"/>
  <c r="T34455" i="15"/>
  <c r="T34454" i="15"/>
  <c r="T34453" i="15"/>
  <c r="T34452" i="15"/>
  <c r="T34451" i="15"/>
  <c r="T34450" i="15"/>
  <c r="T34449" i="15"/>
  <c r="T34448" i="15"/>
  <c r="T34447" i="15"/>
  <c r="T34446" i="15"/>
  <c r="T34445" i="15"/>
  <c r="T34444" i="15"/>
  <c r="T34443" i="15"/>
  <c r="T34442" i="15"/>
  <c r="T34441" i="15"/>
  <c r="T34440" i="15"/>
  <c r="T34439" i="15"/>
  <c r="T34438" i="15"/>
  <c r="T34437" i="15"/>
  <c r="T34436" i="15"/>
  <c r="T34435" i="15"/>
  <c r="T34434" i="15"/>
  <c r="T34433" i="15"/>
  <c r="T34432" i="15"/>
  <c r="T34431" i="15"/>
  <c r="T34430" i="15"/>
  <c r="T34429" i="15"/>
  <c r="T34428" i="15"/>
  <c r="T34427" i="15"/>
  <c r="T34426" i="15"/>
  <c r="T34425" i="15"/>
  <c r="T34424" i="15"/>
  <c r="T34423" i="15"/>
  <c r="T34422" i="15"/>
  <c r="T34421" i="15"/>
  <c r="T34420" i="15"/>
  <c r="T34419" i="15"/>
  <c r="T34418" i="15"/>
  <c r="T34417" i="15"/>
  <c r="T34416" i="15"/>
  <c r="T34415" i="15"/>
  <c r="T34414" i="15"/>
  <c r="T34413" i="15"/>
  <c r="T34412" i="15"/>
  <c r="T34411" i="15"/>
  <c r="T34410" i="15"/>
  <c r="T34409" i="15"/>
  <c r="T34408" i="15"/>
  <c r="T34407" i="15"/>
  <c r="T34406" i="15"/>
  <c r="T34405" i="15"/>
  <c r="T34404" i="15"/>
  <c r="T34403" i="15"/>
  <c r="T34402" i="15"/>
  <c r="T34401" i="15"/>
  <c r="T34400" i="15"/>
  <c r="T34399" i="15"/>
  <c r="T34398" i="15"/>
  <c r="T34397" i="15"/>
  <c r="T34396" i="15"/>
  <c r="T34395" i="15"/>
  <c r="T34394" i="15"/>
  <c r="T34393" i="15"/>
  <c r="T34392" i="15"/>
  <c r="T34391" i="15"/>
  <c r="T34390" i="15"/>
  <c r="T34389" i="15"/>
  <c r="T34388" i="15"/>
  <c r="T34387" i="15"/>
  <c r="T34386" i="15"/>
  <c r="T34385" i="15"/>
  <c r="T34384" i="15"/>
  <c r="T34383" i="15"/>
  <c r="T34382" i="15"/>
  <c r="T34381" i="15"/>
  <c r="T34380" i="15"/>
  <c r="T34379" i="15"/>
  <c r="T34378" i="15"/>
  <c r="T34377" i="15"/>
  <c r="T34376" i="15"/>
  <c r="T34375" i="15"/>
  <c r="T34374" i="15"/>
  <c r="T34373" i="15"/>
  <c r="T34372" i="15"/>
  <c r="T34371" i="15"/>
  <c r="T34370" i="15"/>
  <c r="T34369" i="15"/>
  <c r="T34368" i="15"/>
  <c r="T34367" i="15"/>
  <c r="T34366" i="15"/>
  <c r="T34365" i="15"/>
  <c r="T34364" i="15"/>
  <c r="T34363" i="15"/>
  <c r="T34362" i="15"/>
  <c r="T34361" i="15"/>
  <c r="T34360" i="15"/>
  <c r="T34359" i="15"/>
  <c r="T34358" i="15"/>
  <c r="T34357" i="15"/>
  <c r="T34356" i="15"/>
  <c r="T34355" i="15"/>
  <c r="T34354" i="15"/>
  <c r="T34353" i="15"/>
  <c r="T34352" i="15"/>
  <c r="T34351" i="15"/>
  <c r="T34350" i="15"/>
  <c r="T34349" i="15"/>
  <c r="T34348" i="15"/>
  <c r="T34347" i="15"/>
  <c r="T34346" i="15"/>
  <c r="T34345" i="15"/>
  <c r="T34344" i="15"/>
  <c r="T34343" i="15"/>
  <c r="T34342" i="15"/>
  <c r="T34341" i="15"/>
  <c r="T34340" i="15"/>
  <c r="T34339" i="15"/>
  <c r="T34338" i="15"/>
  <c r="T34337" i="15"/>
  <c r="T34336" i="15"/>
  <c r="T34335" i="15"/>
  <c r="T34334" i="15"/>
  <c r="T34333" i="15"/>
  <c r="T34332" i="15"/>
  <c r="T34331" i="15"/>
  <c r="T34330" i="15"/>
  <c r="T34329" i="15"/>
  <c r="T34328" i="15"/>
  <c r="T34327" i="15"/>
  <c r="T34326" i="15"/>
  <c r="T34325" i="15"/>
  <c r="T34324" i="15"/>
  <c r="T34323" i="15"/>
  <c r="T34322" i="15"/>
  <c r="T34321" i="15"/>
  <c r="T34320" i="15"/>
  <c r="T34319" i="15"/>
  <c r="T34318" i="15"/>
  <c r="T34317" i="15"/>
  <c r="T34316" i="15"/>
  <c r="T34315" i="15"/>
  <c r="T34314" i="15"/>
  <c r="T34313" i="15"/>
  <c r="T34312" i="15"/>
  <c r="T34311" i="15"/>
  <c r="T34310" i="15"/>
  <c r="T34309" i="15"/>
  <c r="T34308" i="15"/>
  <c r="T34307" i="15"/>
  <c r="T34306" i="15"/>
  <c r="T34305" i="15"/>
  <c r="T34304" i="15"/>
  <c r="T34303" i="15"/>
  <c r="T34302" i="15"/>
  <c r="T34301" i="15"/>
  <c r="T34300" i="15"/>
  <c r="T34299" i="15"/>
  <c r="T34298" i="15"/>
  <c r="T34297" i="15"/>
  <c r="T34296" i="15"/>
  <c r="T34295" i="15"/>
  <c r="T34294" i="15"/>
  <c r="T34293" i="15"/>
  <c r="T34292" i="15"/>
  <c r="T34291" i="15"/>
  <c r="T34290" i="15"/>
  <c r="T34289" i="15"/>
  <c r="T34288" i="15"/>
  <c r="T34287" i="15"/>
  <c r="T34286" i="15"/>
  <c r="T34285" i="15"/>
  <c r="T34284" i="15"/>
  <c r="T34283" i="15"/>
  <c r="T34282" i="15"/>
  <c r="T34281" i="15"/>
  <c r="T34280" i="15"/>
  <c r="T34279" i="15"/>
  <c r="T34278" i="15"/>
  <c r="T34277" i="15"/>
  <c r="T34276" i="15"/>
  <c r="T34275" i="15"/>
  <c r="T34274" i="15"/>
  <c r="T34273" i="15"/>
  <c r="T34272" i="15"/>
  <c r="T34271" i="15"/>
  <c r="T34270" i="15"/>
  <c r="T34269" i="15"/>
  <c r="T34268" i="15"/>
  <c r="T34267" i="15"/>
  <c r="T34266" i="15"/>
  <c r="T34265" i="15"/>
  <c r="T34264" i="15"/>
  <c r="T34263" i="15"/>
  <c r="T34262" i="15"/>
  <c r="T34261" i="15"/>
  <c r="T34260" i="15"/>
  <c r="T34259" i="15"/>
  <c r="T34258" i="15"/>
  <c r="T34257" i="15"/>
  <c r="T34256" i="15"/>
  <c r="T34255" i="15"/>
  <c r="T34254" i="15"/>
  <c r="T34253" i="15"/>
  <c r="T34252" i="15"/>
  <c r="T34251" i="15"/>
  <c r="T34250" i="15"/>
  <c r="T34249" i="15"/>
  <c r="T34248" i="15"/>
  <c r="T34247" i="15"/>
  <c r="T34246" i="15"/>
  <c r="T34245" i="15"/>
  <c r="T34244" i="15"/>
  <c r="T34243" i="15"/>
  <c r="T34242" i="15"/>
  <c r="T34241" i="15"/>
  <c r="T34240" i="15"/>
  <c r="T34239" i="15"/>
  <c r="T34238" i="15"/>
  <c r="T34237" i="15"/>
  <c r="T34236" i="15"/>
  <c r="T34235" i="15"/>
  <c r="T34234" i="15"/>
  <c r="T34233" i="15"/>
  <c r="T34232" i="15"/>
  <c r="T34231" i="15"/>
  <c r="T34230" i="15"/>
  <c r="T34229" i="15"/>
  <c r="T34228" i="15"/>
  <c r="T34227" i="15"/>
  <c r="T34226" i="15"/>
  <c r="T34225" i="15"/>
  <c r="T34224" i="15"/>
  <c r="T34223" i="15"/>
  <c r="T34222" i="15"/>
  <c r="T34221" i="15"/>
  <c r="T34220" i="15"/>
  <c r="T34219" i="15"/>
  <c r="T34218" i="15"/>
  <c r="T34217" i="15"/>
  <c r="T34216" i="15"/>
  <c r="T34215" i="15"/>
  <c r="T34214" i="15"/>
  <c r="T34213" i="15"/>
  <c r="T34212" i="15"/>
  <c r="T34211" i="15"/>
  <c r="T34210" i="15"/>
  <c r="T34209" i="15"/>
  <c r="T34208" i="15"/>
  <c r="T34207" i="15"/>
  <c r="T34206" i="15"/>
  <c r="T34205" i="15"/>
  <c r="T34204" i="15"/>
  <c r="T34203" i="15"/>
  <c r="T34202" i="15"/>
  <c r="T34201" i="15"/>
  <c r="T34200" i="15"/>
  <c r="T34199" i="15"/>
  <c r="T34198" i="15"/>
  <c r="T34197" i="15"/>
  <c r="T34196" i="15"/>
  <c r="T34195" i="15"/>
  <c r="T34194" i="15"/>
  <c r="T34193" i="15"/>
  <c r="T34192" i="15"/>
  <c r="T34191" i="15"/>
  <c r="T34190" i="15"/>
  <c r="T34189" i="15"/>
  <c r="T34188" i="15"/>
  <c r="T34187" i="15"/>
  <c r="T34186" i="15"/>
  <c r="T34185" i="15"/>
  <c r="T34184" i="15"/>
  <c r="T34183" i="15"/>
  <c r="T34182" i="15"/>
  <c r="T34181" i="15"/>
  <c r="T34180" i="15"/>
  <c r="T34179" i="15"/>
  <c r="T34178" i="15"/>
  <c r="T34177" i="15"/>
  <c r="T34176" i="15"/>
  <c r="T34175" i="15"/>
  <c r="T34174" i="15"/>
  <c r="T34173" i="15"/>
  <c r="T34172" i="15"/>
  <c r="T34171" i="15"/>
  <c r="T34170" i="15"/>
  <c r="T34169" i="15"/>
  <c r="T34168" i="15"/>
  <c r="T34167" i="15"/>
  <c r="T34166" i="15"/>
  <c r="T34165" i="15"/>
  <c r="T34164" i="15"/>
  <c r="T34163" i="15"/>
  <c r="T34162" i="15"/>
  <c r="T34161" i="15"/>
  <c r="T34160" i="15"/>
  <c r="T34159" i="15"/>
  <c r="T34158" i="15"/>
  <c r="T34157" i="15"/>
  <c r="T34156" i="15"/>
  <c r="T34155" i="15"/>
  <c r="T34154" i="15"/>
  <c r="T34153" i="15"/>
  <c r="T34152" i="15"/>
  <c r="T34151" i="15"/>
  <c r="T34150" i="15"/>
  <c r="T34149" i="15"/>
  <c r="T34148" i="15"/>
  <c r="T34147" i="15"/>
  <c r="T34146" i="15"/>
  <c r="T34145" i="15"/>
  <c r="T34144" i="15"/>
  <c r="T34143" i="15"/>
  <c r="T34142" i="15"/>
  <c r="T34141" i="15"/>
  <c r="T34140" i="15"/>
  <c r="T34139" i="15"/>
  <c r="T34138" i="15"/>
  <c r="T34137" i="15"/>
  <c r="T34136" i="15"/>
  <c r="T34135" i="15"/>
  <c r="T34134" i="15"/>
  <c r="T34133" i="15"/>
  <c r="T34132" i="15"/>
  <c r="T34131" i="15"/>
  <c r="T34130" i="15"/>
  <c r="T34129" i="15"/>
  <c r="T34128" i="15"/>
  <c r="T34127" i="15"/>
  <c r="T34126" i="15"/>
  <c r="T34125" i="15"/>
  <c r="T34124" i="15"/>
  <c r="T34123" i="15"/>
  <c r="T34122" i="15"/>
  <c r="T34121" i="15"/>
  <c r="T34120" i="15"/>
  <c r="T34119" i="15"/>
  <c r="T34118" i="15"/>
  <c r="T34117" i="15"/>
  <c r="T34116" i="15"/>
  <c r="T34115" i="15"/>
  <c r="T34114" i="15"/>
  <c r="T34113" i="15"/>
  <c r="T34112" i="15"/>
  <c r="T34111" i="15"/>
  <c r="T34110" i="15"/>
  <c r="T34109" i="15"/>
  <c r="T34108" i="15"/>
  <c r="T34107" i="15"/>
  <c r="T34106" i="15"/>
  <c r="T34105" i="15"/>
  <c r="T34104" i="15"/>
  <c r="T34103" i="15"/>
  <c r="T34102" i="15"/>
  <c r="T34101" i="15"/>
  <c r="T34100" i="15"/>
  <c r="T34099" i="15"/>
  <c r="T34098" i="15"/>
  <c r="T34097" i="15"/>
  <c r="T34096" i="15"/>
  <c r="T34095" i="15"/>
  <c r="T34094" i="15"/>
  <c r="T34093" i="15"/>
  <c r="T34092" i="15"/>
  <c r="T34091" i="15"/>
  <c r="T34090" i="15"/>
  <c r="T34089" i="15"/>
  <c r="T34088" i="15"/>
  <c r="T34087" i="15"/>
  <c r="T34086" i="15"/>
  <c r="T34085" i="15"/>
  <c r="T34084" i="15"/>
  <c r="T34083" i="15"/>
  <c r="T34082" i="15"/>
  <c r="T34081" i="15"/>
  <c r="T34080" i="15"/>
  <c r="T34079" i="15"/>
  <c r="T34078" i="15"/>
  <c r="T34077" i="15"/>
  <c r="T34076" i="15"/>
  <c r="T34075" i="15"/>
  <c r="T34074" i="15"/>
  <c r="T34073" i="15"/>
  <c r="T34072" i="15"/>
  <c r="T34071" i="15"/>
  <c r="T34070" i="15"/>
  <c r="T34069" i="15"/>
  <c r="T34068" i="15"/>
  <c r="T34067" i="15"/>
  <c r="T34066" i="15"/>
  <c r="T34065" i="15"/>
  <c r="T34064" i="15"/>
  <c r="T34063" i="15"/>
  <c r="T34062" i="15"/>
  <c r="T34061" i="15"/>
  <c r="T34060" i="15"/>
  <c r="T34059" i="15"/>
  <c r="T34058" i="15"/>
  <c r="T34057" i="15"/>
  <c r="T34056" i="15"/>
  <c r="T34055" i="15"/>
  <c r="T34054" i="15"/>
  <c r="T34053" i="15"/>
  <c r="T34052" i="15"/>
  <c r="T34051" i="15"/>
  <c r="T34050" i="15"/>
  <c r="T34049" i="15"/>
  <c r="T34048" i="15"/>
  <c r="T34047" i="15"/>
  <c r="T34046" i="15"/>
  <c r="T34045" i="15"/>
  <c r="T34044" i="15"/>
  <c r="T34043" i="15"/>
  <c r="T34042" i="15"/>
  <c r="T34041" i="15"/>
  <c r="T34040" i="15"/>
  <c r="T34039" i="15"/>
  <c r="T34038" i="15"/>
  <c r="T34037" i="15"/>
  <c r="T34036" i="15"/>
  <c r="T34035" i="15"/>
  <c r="T34034" i="15"/>
  <c r="T34033" i="15"/>
  <c r="T34032" i="15"/>
  <c r="T34031" i="15"/>
  <c r="T34030" i="15"/>
  <c r="T34029" i="15"/>
  <c r="T34028" i="15"/>
  <c r="T34027" i="15"/>
  <c r="T34026" i="15"/>
  <c r="T34025" i="15"/>
  <c r="T34024" i="15"/>
  <c r="T34023" i="15"/>
  <c r="T34022" i="15"/>
  <c r="T34021" i="15"/>
  <c r="T34020" i="15"/>
  <c r="T34019" i="15"/>
  <c r="T34018" i="15"/>
  <c r="T34017" i="15"/>
  <c r="T34016" i="15"/>
  <c r="T34015" i="15"/>
  <c r="T34014" i="15"/>
  <c r="T34013" i="15"/>
  <c r="T34012" i="15"/>
  <c r="T34011" i="15"/>
  <c r="T34010" i="15"/>
  <c r="T34009" i="15"/>
  <c r="T34008" i="15"/>
  <c r="T34007" i="15"/>
  <c r="T34006" i="15"/>
  <c r="T34005" i="15"/>
  <c r="T34004" i="15"/>
  <c r="T34003" i="15"/>
  <c r="T34002" i="15"/>
  <c r="T34001" i="15"/>
  <c r="T34000" i="15"/>
  <c r="T33999" i="15"/>
  <c r="T33998" i="15"/>
  <c r="T33997" i="15"/>
  <c r="T33996" i="15"/>
  <c r="T33995" i="15"/>
  <c r="T33994" i="15"/>
  <c r="T33993" i="15"/>
  <c r="T33992" i="15"/>
  <c r="T33991" i="15"/>
  <c r="T33990" i="15"/>
  <c r="T33989" i="15"/>
  <c r="T33988" i="15"/>
  <c r="T33987" i="15"/>
  <c r="T33986" i="15"/>
  <c r="T33985" i="15"/>
  <c r="T33984" i="15"/>
  <c r="T33983" i="15"/>
  <c r="T33982" i="15"/>
  <c r="T33981" i="15"/>
  <c r="T33980" i="15"/>
  <c r="T33979" i="15"/>
  <c r="T33978" i="15"/>
  <c r="T33977" i="15"/>
  <c r="T33976" i="15"/>
  <c r="T33975" i="15"/>
  <c r="T33974" i="15"/>
  <c r="T33973" i="15"/>
  <c r="T33972" i="15"/>
  <c r="T33971" i="15"/>
  <c r="T33970" i="15"/>
  <c r="T33969" i="15"/>
  <c r="T33968" i="15"/>
  <c r="T33967" i="15"/>
  <c r="T33966" i="15"/>
  <c r="T33965" i="15"/>
  <c r="T33964" i="15"/>
  <c r="T33963" i="15"/>
  <c r="T33962" i="15"/>
  <c r="T33961" i="15"/>
  <c r="T33960" i="15"/>
  <c r="T33959" i="15"/>
  <c r="T33958" i="15"/>
  <c r="T33957" i="15"/>
  <c r="T33956" i="15"/>
  <c r="T33955" i="15"/>
  <c r="T33954" i="15"/>
  <c r="T33953" i="15"/>
  <c r="T33952" i="15"/>
  <c r="T33951" i="15"/>
  <c r="T33950" i="15"/>
  <c r="T33949" i="15"/>
  <c r="T33948" i="15"/>
  <c r="T33947" i="15"/>
  <c r="T33946" i="15"/>
  <c r="T33945" i="15"/>
  <c r="T33944" i="15"/>
  <c r="T33943" i="15"/>
  <c r="T33942" i="15"/>
  <c r="T33941" i="15"/>
  <c r="T33940" i="15"/>
  <c r="T33939" i="15"/>
  <c r="T33938" i="15"/>
  <c r="T33937" i="15"/>
  <c r="T33936" i="15"/>
  <c r="T33935" i="15"/>
  <c r="T33934" i="15"/>
  <c r="T33933" i="15"/>
  <c r="T33932" i="15"/>
  <c r="T33931" i="15"/>
  <c r="T33930" i="15"/>
  <c r="T33929" i="15"/>
  <c r="T33928" i="15"/>
  <c r="T33927" i="15"/>
  <c r="T33926" i="15"/>
  <c r="T33925" i="15"/>
  <c r="T33924" i="15"/>
  <c r="T33923" i="15"/>
  <c r="T33922" i="15"/>
  <c r="T33921" i="15"/>
  <c r="T33920" i="15"/>
  <c r="T33919" i="15"/>
  <c r="T33918" i="15"/>
  <c r="T33917" i="15"/>
  <c r="T33916" i="15"/>
  <c r="T33915" i="15"/>
  <c r="T33914" i="15"/>
  <c r="T33913" i="15"/>
  <c r="T33912" i="15"/>
  <c r="T33911" i="15"/>
  <c r="T33910" i="15"/>
  <c r="T33909" i="15"/>
  <c r="T33908" i="15"/>
  <c r="T33907" i="15"/>
  <c r="T33906" i="15"/>
  <c r="T33905" i="15"/>
  <c r="T33904" i="15"/>
  <c r="T33903" i="15"/>
  <c r="T33902" i="15"/>
  <c r="T33901" i="15"/>
  <c r="T33900" i="15"/>
  <c r="T33899" i="15"/>
  <c r="T33898" i="15"/>
  <c r="T33897" i="15"/>
  <c r="T33896" i="15"/>
  <c r="T33895" i="15"/>
  <c r="T33894" i="15"/>
  <c r="T33893" i="15"/>
  <c r="T33892" i="15"/>
  <c r="T33891" i="15"/>
  <c r="T33890" i="15"/>
  <c r="T33889" i="15"/>
  <c r="T33888" i="15"/>
  <c r="T33887" i="15"/>
  <c r="T33886" i="15"/>
  <c r="T33885" i="15"/>
  <c r="T33884" i="15"/>
  <c r="T33883" i="15"/>
  <c r="T33882" i="15"/>
  <c r="T33881" i="15"/>
  <c r="T33880" i="15"/>
  <c r="T33879" i="15"/>
  <c r="T33878" i="15"/>
  <c r="T33877" i="15"/>
  <c r="T33876" i="15"/>
  <c r="T33875" i="15"/>
  <c r="T33874" i="15"/>
  <c r="T33873" i="15"/>
  <c r="T33872" i="15"/>
  <c r="T33871" i="15"/>
  <c r="T33870" i="15"/>
  <c r="T33869" i="15"/>
  <c r="T33868" i="15"/>
  <c r="T33867" i="15"/>
  <c r="T33866" i="15"/>
  <c r="T33865" i="15"/>
  <c r="T33864" i="15"/>
  <c r="T33863" i="15"/>
  <c r="T33862" i="15"/>
  <c r="T33861" i="15"/>
  <c r="T33860" i="15"/>
  <c r="T33859" i="15"/>
  <c r="T33858" i="15"/>
  <c r="T33857" i="15"/>
  <c r="T33856" i="15"/>
  <c r="T33855" i="15"/>
  <c r="T33854" i="15"/>
  <c r="T33853" i="15"/>
  <c r="T33852" i="15"/>
  <c r="T33851" i="15"/>
  <c r="T33850" i="15"/>
  <c r="T33849" i="15"/>
  <c r="T33848" i="15"/>
  <c r="T33847" i="15"/>
  <c r="T33846" i="15"/>
  <c r="T33845" i="15"/>
  <c r="T33844" i="15"/>
  <c r="T33843" i="15"/>
  <c r="T33842" i="15"/>
  <c r="T33841" i="15"/>
  <c r="T33840" i="15"/>
  <c r="T33839" i="15"/>
  <c r="T33838" i="15"/>
  <c r="T33837" i="15"/>
  <c r="T33836" i="15"/>
  <c r="T33835" i="15"/>
  <c r="T33834" i="15"/>
  <c r="T33833" i="15"/>
  <c r="T33832" i="15"/>
  <c r="T33831" i="15"/>
  <c r="T33830" i="15"/>
  <c r="T33829" i="15"/>
  <c r="T33828" i="15"/>
  <c r="T33827" i="15"/>
  <c r="T33826" i="15"/>
  <c r="T33825" i="15"/>
  <c r="T33824" i="15"/>
  <c r="T33823" i="15"/>
  <c r="T33822" i="15"/>
  <c r="T33821" i="15"/>
  <c r="T33820" i="15"/>
  <c r="T33819" i="15"/>
  <c r="T33818" i="15"/>
  <c r="T33817" i="15"/>
  <c r="T33816" i="15"/>
  <c r="T33815" i="15"/>
  <c r="T33814" i="15"/>
  <c r="T33813" i="15"/>
  <c r="T33812" i="15"/>
  <c r="T33811" i="15"/>
  <c r="T33810" i="15"/>
  <c r="T33809" i="15"/>
  <c r="T33808" i="15"/>
  <c r="T33807" i="15"/>
  <c r="T33806" i="15"/>
  <c r="T33805" i="15"/>
  <c r="T33804" i="15"/>
  <c r="T33803" i="15"/>
  <c r="T33802" i="15"/>
  <c r="T33801" i="15"/>
  <c r="T33800" i="15"/>
  <c r="T33799" i="15"/>
  <c r="T33798" i="15"/>
  <c r="T33797" i="15"/>
  <c r="T33796" i="15"/>
  <c r="T33795" i="15"/>
  <c r="T33794" i="15"/>
  <c r="T33793" i="15"/>
  <c r="T33792" i="15"/>
  <c r="T33791" i="15"/>
  <c r="T33790" i="15"/>
  <c r="T33789" i="15"/>
  <c r="T33788" i="15"/>
  <c r="T33787" i="15"/>
  <c r="T33786" i="15"/>
  <c r="T33785" i="15"/>
  <c r="T33784" i="15"/>
  <c r="T33783" i="15"/>
  <c r="T33782" i="15"/>
  <c r="T33781" i="15"/>
  <c r="T33780" i="15"/>
  <c r="T33779" i="15"/>
  <c r="T33778" i="15"/>
  <c r="T33777" i="15"/>
  <c r="T33776" i="15"/>
  <c r="T33775" i="15"/>
  <c r="T33774" i="15"/>
  <c r="T33773" i="15"/>
  <c r="T33772" i="15"/>
  <c r="T33771" i="15"/>
  <c r="T33770" i="15"/>
  <c r="T33769" i="15"/>
  <c r="T33768" i="15"/>
  <c r="T33767" i="15"/>
  <c r="T33766" i="15"/>
  <c r="T33765" i="15"/>
  <c r="T33764" i="15"/>
  <c r="T33763" i="15"/>
  <c r="T33762" i="15"/>
  <c r="T33761" i="15"/>
  <c r="T33760" i="15"/>
  <c r="T33759" i="15"/>
  <c r="T33758" i="15"/>
  <c r="T33757" i="15"/>
  <c r="T33756" i="15"/>
  <c r="T33755" i="15"/>
  <c r="T33754" i="15"/>
  <c r="T33753" i="15"/>
  <c r="T33752" i="15"/>
  <c r="T33751" i="15"/>
  <c r="T33750" i="15"/>
  <c r="T33749" i="15"/>
  <c r="T33748" i="15"/>
  <c r="T33747" i="15"/>
  <c r="T33746" i="15"/>
  <c r="T33745" i="15"/>
  <c r="T33744" i="15"/>
  <c r="T33743" i="15"/>
  <c r="T33742" i="15"/>
  <c r="T33741" i="15"/>
  <c r="T33740" i="15"/>
  <c r="T33739" i="15"/>
  <c r="T33738" i="15"/>
  <c r="T33737" i="15"/>
  <c r="T33736" i="15"/>
  <c r="T33735" i="15"/>
  <c r="T33734" i="15"/>
  <c r="T33733" i="15"/>
  <c r="T33732" i="15"/>
  <c r="T33731" i="15"/>
  <c r="T33730" i="15"/>
  <c r="T33729" i="15"/>
  <c r="T33728" i="15"/>
  <c r="T33727" i="15"/>
  <c r="T33726" i="15"/>
  <c r="T33725" i="15"/>
  <c r="T33724" i="15"/>
  <c r="T33723" i="15"/>
  <c r="T33722" i="15"/>
  <c r="T33721" i="15"/>
  <c r="T33720" i="15"/>
  <c r="T33719" i="15"/>
  <c r="T33718" i="15"/>
  <c r="T33717" i="15"/>
  <c r="T33716" i="15"/>
  <c r="T33715" i="15"/>
  <c r="T33714" i="15"/>
  <c r="T33713" i="15"/>
  <c r="T33712" i="15"/>
  <c r="T33711" i="15"/>
  <c r="T33710" i="15"/>
  <c r="T33709" i="15"/>
  <c r="T33708" i="15"/>
  <c r="T33707" i="15"/>
  <c r="T33706" i="15"/>
  <c r="T33705" i="15"/>
  <c r="T33704" i="15"/>
  <c r="T33703" i="15"/>
  <c r="T33702" i="15"/>
  <c r="T33701" i="15"/>
  <c r="T33700" i="15"/>
  <c r="T33699" i="15"/>
  <c r="T33698" i="15"/>
  <c r="T33697" i="15"/>
  <c r="T33696" i="15"/>
  <c r="T33695" i="15"/>
  <c r="T33694" i="15"/>
  <c r="T33693" i="15"/>
  <c r="T33692" i="15"/>
  <c r="T33691" i="15"/>
  <c r="T33690" i="15"/>
  <c r="T33689" i="15"/>
  <c r="T33688" i="15"/>
  <c r="T33687" i="15"/>
  <c r="T33686" i="15"/>
  <c r="T33685" i="15"/>
  <c r="T33684" i="15"/>
  <c r="T33683" i="15"/>
  <c r="T33682" i="15"/>
  <c r="T33681" i="15"/>
  <c r="T33680" i="15"/>
  <c r="T33679" i="15"/>
  <c r="T33678" i="15"/>
  <c r="T33677" i="15"/>
  <c r="T33676" i="15"/>
  <c r="T33675" i="15"/>
  <c r="T33674" i="15"/>
  <c r="T33673" i="15"/>
  <c r="T33672" i="15"/>
  <c r="T33671" i="15"/>
  <c r="T33670" i="15"/>
  <c r="T33669" i="15"/>
  <c r="T33668" i="15"/>
  <c r="T33667" i="15"/>
  <c r="T33666" i="15"/>
  <c r="T33665" i="15"/>
  <c r="T33664" i="15"/>
  <c r="T33663" i="15"/>
  <c r="T33662" i="15"/>
  <c r="T33661" i="15"/>
  <c r="T33660" i="15"/>
  <c r="T33659" i="15"/>
  <c r="T33658" i="15"/>
  <c r="T33657" i="15"/>
  <c r="T33656" i="15"/>
  <c r="T33655" i="15"/>
  <c r="T33654" i="15"/>
  <c r="T33653" i="15"/>
  <c r="T33652" i="15"/>
  <c r="T33651" i="15"/>
  <c r="T33650" i="15"/>
  <c r="T33649" i="15"/>
  <c r="T33648" i="15"/>
  <c r="T33647" i="15"/>
  <c r="T33646" i="15"/>
  <c r="T33645" i="15"/>
  <c r="T33644" i="15"/>
  <c r="T33643" i="15"/>
  <c r="T33642" i="15"/>
  <c r="T33641" i="15"/>
  <c r="T33640" i="15"/>
  <c r="T33639" i="15"/>
  <c r="T33638" i="15"/>
  <c r="T33637" i="15"/>
  <c r="T33636" i="15"/>
  <c r="T33635" i="15"/>
  <c r="T33634" i="15"/>
  <c r="T33633" i="15"/>
  <c r="T33632" i="15"/>
  <c r="T33631" i="15"/>
  <c r="T33630" i="15"/>
  <c r="T33629" i="15"/>
  <c r="T33628" i="15"/>
  <c r="T33627" i="15"/>
  <c r="T33626" i="15"/>
  <c r="T33625" i="15"/>
  <c r="T33624" i="15"/>
  <c r="T33623" i="15"/>
  <c r="T33622" i="15"/>
  <c r="T33621" i="15"/>
  <c r="T33620" i="15"/>
  <c r="T33619" i="15"/>
  <c r="T33618" i="15"/>
  <c r="T33617" i="15"/>
  <c r="T33616" i="15"/>
  <c r="T33615" i="15"/>
  <c r="T33614" i="15"/>
  <c r="T33613" i="15"/>
  <c r="T33612" i="15"/>
  <c r="T33611" i="15"/>
  <c r="T33610" i="15"/>
  <c r="T33609" i="15"/>
  <c r="T33608" i="15"/>
  <c r="T33607" i="15"/>
  <c r="T33606" i="15"/>
  <c r="T33605" i="15"/>
  <c r="T33604" i="15"/>
  <c r="T33603" i="15"/>
  <c r="T33602" i="15"/>
  <c r="T33601" i="15"/>
  <c r="T33600" i="15"/>
  <c r="T33599" i="15"/>
  <c r="T33598" i="15"/>
  <c r="T33597" i="15"/>
  <c r="T33596" i="15"/>
  <c r="T33595" i="15"/>
  <c r="T33594" i="15"/>
  <c r="T33593" i="15"/>
  <c r="T33592" i="15"/>
  <c r="T33591" i="15"/>
  <c r="T33590" i="15"/>
  <c r="T33589" i="15"/>
  <c r="T33588" i="15"/>
  <c r="T33587" i="15"/>
  <c r="T33586" i="15"/>
  <c r="T33585" i="15"/>
  <c r="T33584" i="15"/>
  <c r="T33583" i="15"/>
  <c r="T33582" i="15"/>
  <c r="T33581" i="15"/>
  <c r="T33580" i="15"/>
  <c r="T33579" i="15"/>
  <c r="T33578" i="15"/>
  <c r="T33577" i="15"/>
  <c r="T33576" i="15"/>
  <c r="T33575" i="15"/>
  <c r="T33574" i="15"/>
  <c r="T33573" i="15"/>
  <c r="T33572" i="15"/>
  <c r="T33571" i="15"/>
  <c r="T33570" i="15"/>
  <c r="T33569" i="15"/>
  <c r="T33568" i="15"/>
  <c r="T33567" i="15"/>
  <c r="T33566" i="15"/>
  <c r="T33565" i="15"/>
  <c r="T33564" i="15"/>
  <c r="T33563" i="15"/>
  <c r="T33562" i="15"/>
  <c r="T33561" i="15"/>
  <c r="T33560" i="15"/>
  <c r="T33559" i="15"/>
  <c r="T33558" i="15"/>
  <c r="T33557" i="15"/>
  <c r="T33556" i="15"/>
  <c r="T33555" i="15"/>
  <c r="T33554" i="15"/>
  <c r="T33553" i="15"/>
  <c r="T33552" i="15"/>
  <c r="T33551" i="15"/>
  <c r="T33550" i="15"/>
  <c r="T33549" i="15"/>
  <c r="T33548" i="15"/>
  <c r="T33547" i="15"/>
  <c r="T33546" i="15"/>
  <c r="T33545" i="15"/>
  <c r="T33544" i="15"/>
  <c r="T33543" i="15"/>
  <c r="T33542" i="15"/>
  <c r="T33541" i="15"/>
  <c r="T33540" i="15"/>
  <c r="T33539" i="15"/>
  <c r="T33538" i="15"/>
  <c r="T33537" i="15"/>
  <c r="T33536" i="15"/>
  <c r="T33535" i="15"/>
  <c r="T33534" i="15"/>
  <c r="T33533" i="15"/>
  <c r="T33532" i="15"/>
  <c r="T33531" i="15"/>
  <c r="T33530" i="15"/>
  <c r="T33529" i="15"/>
  <c r="T33528" i="15"/>
  <c r="T33527" i="15"/>
  <c r="T33526" i="15"/>
  <c r="T33525" i="15"/>
  <c r="T33524" i="15"/>
  <c r="T33523" i="15"/>
  <c r="T33522" i="15"/>
  <c r="T33521" i="15"/>
  <c r="T33520" i="15"/>
  <c r="T33519" i="15"/>
  <c r="T33518" i="15"/>
  <c r="T33517" i="15"/>
  <c r="T33516" i="15"/>
  <c r="T33515" i="15"/>
  <c r="T33514" i="15"/>
  <c r="T33513" i="15"/>
  <c r="T33512" i="15"/>
  <c r="T33511" i="15"/>
  <c r="T33510" i="15"/>
  <c r="T33509" i="15"/>
  <c r="T33508" i="15"/>
  <c r="T33507" i="15"/>
  <c r="T33506" i="15"/>
  <c r="T33505" i="15"/>
  <c r="T33504" i="15"/>
  <c r="T33503" i="15"/>
  <c r="T33502" i="15"/>
  <c r="T33501" i="15"/>
  <c r="T33500" i="15"/>
  <c r="T33499" i="15"/>
  <c r="T33498" i="15"/>
  <c r="T33497" i="15"/>
  <c r="T33496" i="15"/>
  <c r="T33495" i="15"/>
  <c r="T33494" i="15"/>
  <c r="T33493" i="15"/>
  <c r="T33492" i="15"/>
  <c r="T33491" i="15"/>
  <c r="T33490" i="15"/>
  <c r="T33489" i="15"/>
  <c r="T33488" i="15"/>
  <c r="T33487" i="15"/>
  <c r="T33486" i="15"/>
  <c r="T33485" i="15"/>
  <c r="T33484" i="15"/>
  <c r="T33483" i="15"/>
  <c r="T33482" i="15"/>
  <c r="T33481" i="15"/>
  <c r="T33480" i="15"/>
  <c r="T33479" i="15"/>
  <c r="T33478" i="15"/>
  <c r="T33477" i="15"/>
  <c r="T33476" i="15"/>
  <c r="T33475" i="15"/>
  <c r="T33474" i="15"/>
  <c r="T33473" i="15"/>
  <c r="T33472" i="15"/>
  <c r="T33471" i="15"/>
  <c r="T33470" i="15"/>
  <c r="T33469" i="15"/>
  <c r="T33468" i="15"/>
  <c r="T33467" i="15"/>
  <c r="T33466" i="15"/>
  <c r="T33465" i="15"/>
  <c r="T33464" i="15"/>
  <c r="T33463" i="15"/>
  <c r="T33462" i="15"/>
  <c r="T33461" i="15"/>
  <c r="T33460" i="15"/>
  <c r="T33459" i="15"/>
  <c r="T33458" i="15"/>
  <c r="T33457" i="15"/>
  <c r="T33456" i="15"/>
  <c r="T33455" i="15"/>
  <c r="T33454" i="15"/>
  <c r="T33453" i="15"/>
  <c r="T33452" i="15"/>
  <c r="T33451" i="15"/>
  <c r="T33450" i="15"/>
  <c r="T33449" i="15"/>
  <c r="T33448" i="15"/>
  <c r="T33447" i="15"/>
  <c r="T33446" i="15"/>
  <c r="T33445" i="15"/>
  <c r="T33444" i="15"/>
  <c r="T33443" i="15"/>
  <c r="T33442" i="15"/>
  <c r="T33441" i="15"/>
  <c r="T33440" i="15"/>
  <c r="T33439" i="15"/>
  <c r="T33438" i="15"/>
  <c r="T33437" i="15"/>
  <c r="T33436" i="15"/>
  <c r="T33435" i="15"/>
  <c r="T33434" i="15"/>
  <c r="T33433" i="15"/>
  <c r="T33432" i="15"/>
  <c r="T33431" i="15"/>
  <c r="T33430" i="15"/>
  <c r="T33429" i="15"/>
  <c r="T33428" i="15"/>
  <c r="T33427" i="15"/>
  <c r="T33426" i="15"/>
  <c r="T33425" i="15"/>
  <c r="T33424" i="15"/>
  <c r="T33423" i="15"/>
  <c r="T33422" i="15"/>
  <c r="T33421" i="15"/>
  <c r="T33420" i="15"/>
  <c r="T33419" i="15"/>
  <c r="T33418" i="15"/>
  <c r="T33417" i="15"/>
  <c r="T33416" i="15"/>
  <c r="T33415" i="15"/>
  <c r="T33414" i="15"/>
  <c r="T33413" i="15"/>
  <c r="T33412" i="15"/>
  <c r="T33411" i="15"/>
  <c r="T33410" i="15"/>
  <c r="T33409" i="15"/>
  <c r="T33408" i="15"/>
  <c r="T33407" i="15"/>
  <c r="T33406" i="15"/>
  <c r="T33405" i="15"/>
  <c r="T33404" i="15"/>
  <c r="T33403" i="15"/>
  <c r="T33402" i="15"/>
  <c r="T33401" i="15"/>
  <c r="T33400" i="15"/>
  <c r="T33399" i="15"/>
  <c r="T33398" i="15"/>
  <c r="T33397" i="15"/>
  <c r="T33396" i="15"/>
  <c r="T33395" i="15"/>
  <c r="T33394" i="15"/>
  <c r="T33393" i="15"/>
  <c r="T33392" i="15"/>
  <c r="T33391" i="15"/>
  <c r="T33390" i="15"/>
  <c r="T33389" i="15"/>
  <c r="T33388" i="15"/>
  <c r="T33387" i="15"/>
  <c r="T33386" i="15"/>
  <c r="T33385" i="15"/>
  <c r="T33384" i="15"/>
  <c r="T33383" i="15"/>
  <c r="T33382" i="15"/>
  <c r="T33381" i="15"/>
  <c r="T33380" i="15"/>
  <c r="T33379" i="15"/>
  <c r="T33378" i="15"/>
  <c r="T33377" i="15"/>
  <c r="T33376" i="15"/>
  <c r="T33375" i="15"/>
  <c r="T33374" i="15"/>
  <c r="T33373" i="15"/>
  <c r="T33372" i="15"/>
  <c r="T33371" i="15"/>
  <c r="T33370" i="15"/>
  <c r="T33369" i="15"/>
  <c r="T33368" i="15"/>
  <c r="T33367" i="15"/>
  <c r="T33366" i="15"/>
  <c r="T33365" i="15"/>
  <c r="T33364" i="15"/>
  <c r="T33363" i="15"/>
  <c r="T33362" i="15"/>
  <c r="T33361" i="15"/>
  <c r="T33360" i="15"/>
  <c r="T33359" i="15"/>
  <c r="T33358" i="15"/>
  <c r="T33357" i="15"/>
  <c r="T33356" i="15"/>
  <c r="T33355" i="15"/>
  <c r="T33354" i="15"/>
  <c r="T33353" i="15"/>
  <c r="T33352" i="15"/>
  <c r="T33351" i="15"/>
  <c r="T33350" i="15"/>
  <c r="T33349" i="15"/>
  <c r="T33348" i="15"/>
  <c r="T33347" i="15"/>
  <c r="T33346" i="15"/>
  <c r="T33345" i="15"/>
  <c r="T33344" i="15"/>
  <c r="T33343" i="15"/>
  <c r="T33342" i="15"/>
  <c r="T33341" i="15"/>
  <c r="T33340" i="15"/>
  <c r="T33339" i="15"/>
  <c r="T33338" i="15"/>
  <c r="T33337" i="15"/>
  <c r="T33336" i="15"/>
  <c r="T33335" i="15"/>
  <c r="T33334" i="15"/>
  <c r="T33333" i="15"/>
  <c r="T33332" i="15"/>
  <c r="T33331" i="15"/>
  <c r="T33330" i="15"/>
  <c r="T33329" i="15"/>
  <c r="T33328" i="15"/>
  <c r="T33327" i="15"/>
  <c r="T33326" i="15"/>
  <c r="T33325" i="15"/>
  <c r="T33324" i="15"/>
  <c r="T33323" i="15"/>
  <c r="T33322" i="15"/>
  <c r="T33321" i="15"/>
  <c r="T33320" i="15"/>
  <c r="T33319" i="15"/>
  <c r="T33318" i="15"/>
  <c r="T33317" i="15"/>
  <c r="T33316" i="15"/>
  <c r="T33315" i="15"/>
  <c r="T33314" i="15"/>
  <c r="T33313" i="15"/>
  <c r="T33312" i="15"/>
  <c r="T33311" i="15"/>
  <c r="T33310" i="15"/>
  <c r="T33309" i="15"/>
  <c r="T33308" i="15"/>
  <c r="T33307" i="15"/>
  <c r="T33306" i="15"/>
  <c r="T33305" i="15"/>
  <c r="T33304" i="15"/>
  <c r="T33303" i="15"/>
  <c r="T33302" i="15"/>
  <c r="T33301" i="15"/>
  <c r="T33300" i="15"/>
  <c r="T33299" i="15"/>
  <c r="T33298" i="15"/>
  <c r="T33297" i="15"/>
  <c r="T33296" i="15"/>
  <c r="T33295" i="15"/>
  <c r="T33294" i="15"/>
  <c r="T33293" i="15"/>
  <c r="T33292" i="15"/>
  <c r="T33291" i="15"/>
  <c r="T33290" i="15"/>
  <c r="T33289" i="15"/>
  <c r="T33288" i="15"/>
  <c r="T33287" i="15"/>
  <c r="T33286" i="15"/>
  <c r="T33285" i="15"/>
  <c r="T33284" i="15"/>
  <c r="T33283" i="15"/>
  <c r="T33282" i="15"/>
  <c r="T33281" i="15"/>
  <c r="T33280" i="15"/>
  <c r="T33279" i="15"/>
  <c r="T33278" i="15"/>
  <c r="T33277" i="15"/>
  <c r="T33276" i="15"/>
  <c r="T33275" i="15"/>
  <c r="T33274" i="15"/>
  <c r="T33273" i="15"/>
  <c r="T33272" i="15"/>
  <c r="T33271" i="15"/>
  <c r="T33270" i="15"/>
  <c r="T33269" i="15"/>
  <c r="T33268" i="15"/>
  <c r="T33267" i="15"/>
  <c r="T33266" i="15"/>
  <c r="T33265" i="15"/>
  <c r="T33264" i="15"/>
  <c r="T33263" i="15"/>
  <c r="T33262" i="15"/>
  <c r="T33261" i="15"/>
  <c r="T33260" i="15"/>
  <c r="T33259" i="15"/>
  <c r="T33258" i="15"/>
  <c r="T33257" i="15"/>
  <c r="T33256" i="15"/>
  <c r="T33255" i="15"/>
  <c r="T33254" i="15"/>
  <c r="T33253" i="15"/>
  <c r="T33252" i="15"/>
  <c r="T33251" i="15"/>
  <c r="T33250" i="15"/>
  <c r="T33249" i="15"/>
  <c r="T33248" i="15"/>
  <c r="T33247" i="15"/>
  <c r="T33246" i="15"/>
  <c r="T33245" i="15"/>
  <c r="T33244" i="15"/>
  <c r="T33243" i="15"/>
  <c r="T33242" i="15"/>
  <c r="T33241" i="15"/>
  <c r="T33240" i="15"/>
  <c r="T33239" i="15"/>
  <c r="T33238" i="15"/>
  <c r="T33237" i="15"/>
  <c r="T33236" i="15"/>
  <c r="T33235" i="15"/>
  <c r="T33234" i="15"/>
  <c r="T33233" i="15"/>
  <c r="T33232" i="15"/>
  <c r="T33231" i="15"/>
  <c r="T33230" i="15"/>
  <c r="T33229" i="15"/>
  <c r="T33228" i="15"/>
  <c r="T33227" i="15"/>
  <c r="T33226" i="15"/>
  <c r="T33225" i="15"/>
  <c r="T33224" i="15"/>
  <c r="T33223" i="15"/>
  <c r="T33222" i="15"/>
  <c r="T33221" i="15"/>
  <c r="T33220" i="15"/>
  <c r="T33219" i="15"/>
  <c r="T33218" i="15"/>
  <c r="T33217" i="15"/>
  <c r="T33216" i="15"/>
  <c r="T33215" i="15"/>
  <c r="T33214" i="15"/>
  <c r="T33213" i="15"/>
  <c r="T33212" i="15"/>
  <c r="T33211" i="15"/>
  <c r="T33210" i="15"/>
  <c r="T33209" i="15"/>
  <c r="T33208" i="15"/>
  <c r="T33207" i="15"/>
  <c r="T33206" i="15"/>
  <c r="T33205" i="15"/>
  <c r="T33204" i="15"/>
  <c r="T33203" i="15"/>
  <c r="T33202" i="15"/>
  <c r="T33201" i="15"/>
  <c r="T33200" i="15"/>
  <c r="T33199" i="15"/>
  <c r="T33198" i="15"/>
  <c r="T33197" i="15"/>
  <c r="T33196" i="15"/>
  <c r="T33195" i="15"/>
  <c r="T33194" i="15"/>
  <c r="T33193" i="15"/>
  <c r="T33192" i="15"/>
  <c r="T33191" i="15"/>
  <c r="T33190" i="15"/>
  <c r="T33189" i="15"/>
  <c r="T33188" i="15"/>
  <c r="T33187" i="15"/>
  <c r="T33186" i="15"/>
  <c r="T33185" i="15"/>
  <c r="T33184" i="15"/>
  <c r="T33183" i="15"/>
  <c r="T33182" i="15"/>
  <c r="T33181" i="15"/>
  <c r="T33180" i="15"/>
  <c r="T33179" i="15"/>
  <c r="T33178" i="15"/>
  <c r="T33177" i="15"/>
  <c r="T33176" i="15"/>
  <c r="T33175" i="15"/>
  <c r="T33174" i="15"/>
  <c r="T33173" i="15"/>
  <c r="T33172" i="15"/>
  <c r="T33171" i="15"/>
  <c r="T33170" i="15"/>
  <c r="T33169" i="15"/>
  <c r="T33168" i="15"/>
  <c r="T33167" i="15"/>
  <c r="T33166" i="15"/>
  <c r="T33165" i="15"/>
  <c r="T33164" i="15"/>
  <c r="T33163" i="15"/>
  <c r="T33162" i="15"/>
  <c r="T33161" i="15"/>
  <c r="T33160" i="15"/>
  <c r="T33159" i="15"/>
  <c r="T33158" i="15"/>
  <c r="T33157" i="15"/>
  <c r="T33156" i="15"/>
  <c r="T33155" i="15"/>
  <c r="T33154" i="15"/>
  <c r="T33153" i="15"/>
  <c r="T33152" i="15"/>
  <c r="T33151" i="15"/>
  <c r="T33150" i="15"/>
  <c r="T33149" i="15"/>
  <c r="T33148" i="15"/>
  <c r="T33147" i="15"/>
  <c r="T33146" i="15"/>
  <c r="T33145" i="15"/>
  <c r="T33144" i="15"/>
  <c r="T33143" i="15"/>
  <c r="T33142" i="15"/>
  <c r="T33141" i="15"/>
  <c r="T33140" i="15"/>
  <c r="T33139" i="15"/>
  <c r="T33138" i="15"/>
  <c r="T33137" i="15"/>
  <c r="T33136" i="15"/>
  <c r="T33135" i="15"/>
  <c r="T33134" i="15"/>
  <c r="T33133" i="15"/>
  <c r="T33132" i="15"/>
  <c r="T33131" i="15"/>
  <c r="T33130" i="15"/>
  <c r="T33129" i="15"/>
  <c r="T33128" i="15"/>
  <c r="T33127" i="15"/>
  <c r="T33126" i="15"/>
  <c r="T33125" i="15"/>
  <c r="T33124" i="15"/>
  <c r="T33123" i="15"/>
  <c r="T33122" i="15"/>
  <c r="T33121" i="15"/>
  <c r="T33120" i="15"/>
  <c r="T33119" i="15"/>
  <c r="T33118" i="15"/>
  <c r="T33117" i="15"/>
  <c r="T33116" i="15"/>
  <c r="T33115" i="15"/>
  <c r="T33114" i="15"/>
  <c r="T33113" i="15"/>
  <c r="T33112" i="15"/>
  <c r="T33111" i="15"/>
  <c r="T33110" i="15"/>
  <c r="T33109" i="15"/>
  <c r="T33108" i="15"/>
  <c r="T33107" i="15"/>
  <c r="T33106" i="15"/>
  <c r="T33105" i="15"/>
  <c r="T33104" i="15"/>
  <c r="T33103" i="15"/>
  <c r="T33102" i="15"/>
  <c r="T33101" i="15"/>
  <c r="T33100" i="15"/>
  <c r="T33099" i="15"/>
  <c r="T33098" i="15"/>
  <c r="T33097" i="15"/>
  <c r="T33096" i="15"/>
  <c r="T33095" i="15"/>
  <c r="T33094" i="15"/>
  <c r="T33093" i="15"/>
  <c r="T33092" i="15"/>
  <c r="T33091" i="15"/>
  <c r="T33090" i="15"/>
  <c r="T33089" i="15"/>
  <c r="T33088" i="15"/>
  <c r="T33087" i="15"/>
  <c r="T33086" i="15"/>
  <c r="T33085" i="15"/>
  <c r="T33084" i="15"/>
  <c r="T33083" i="15"/>
  <c r="T33082" i="15"/>
  <c r="T33081" i="15"/>
  <c r="T33080" i="15"/>
  <c r="T33079" i="15"/>
  <c r="T33078" i="15"/>
  <c r="T33077" i="15"/>
  <c r="T33076" i="15"/>
  <c r="T33075" i="15"/>
  <c r="T33074" i="15"/>
  <c r="T33073" i="15"/>
  <c r="T33072" i="15"/>
  <c r="T33071" i="15"/>
  <c r="T33070" i="15"/>
  <c r="T33069" i="15"/>
  <c r="T33068" i="15"/>
  <c r="T33067" i="15"/>
  <c r="T33066" i="15"/>
  <c r="T33065" i="15"/>
  <c r="T33064" i="15"/>
  <c r="T33063" i="15"/>
  <c r="T33062" i="15"/>
  <c r="T33061" i="15"/>
  <c r="T33060" i="15"/>
  <c r="T33059" i="15"/>
  <c r="T33058" i="15"/>
  <c r="T33057" i="15"/>
  <c r="T33056" i="15"/>
  <c r="T33055" i="15"/>
  <c r="T33054" i="15"/>
  <c r="T33053" i="15"/>
  <c r="T33052" i="15"/>
  <c r="T33051" i="15"/>
  <c r="T33050" i="15"/>
  <c r="T33049" i="15"/>
  <c r="T33048" i="15"/>
  <c r="T33047" i="15"/>
  <c r="T33046" i="15"/>
  <c r="T33045" i="15"/>
  <c r="T33044" i="15"/>
  <c r="T33043" i="15"/>
  <c r="T33042" i="15"/>
  <c r="T33041" i="15"/>
  <c r="T33040" i="15"/>
  <c r="T33039" i="15"/>
  <c r="T33038" i="15"/>
  <c r="T33037" i="15"/>
  <c r="T33036" i="15"/>
  <c r="T33035" i="15"/>
  <c r="T33034" i="15"/>
  <c r="T33033" i="15"/>
  <c r="T33032" i="15"/>
  <c r="T33031" i="15"/>
  <c r="T33030" i="15"/>
  <c r="T33029" i="15"/>
  <c r="T33028" i="15"/>
  <c r="T33027" i="15"/>
  <c r="T33026" i="15"/>
  <c r="T33025" i="15"/>
  <c r="T33024" i="15"/>
  <c r="T33023" i="15"/>
  <c r="T33022" i="15"/>
  <c r="T33021" i="15"/>
  <c r="T33020" i="15"/>
  <c r="T33019" i="15"/>
  <c r="T33018" i="15"/>
  <c r="T33017" i="15"/>
  <c r="T33016" i="15"/>
  <c r="T33015" i="15"/>
  <c r="T33014" i="15"/>
  <c r="T33013" i="15"/>
  <c r="T33012" i="15"/>
  <c r="T33011" i="15"/>
  <c r="T33010" i="15"/>
  <c r="T33009" i="15"/>
  <c r="T33008" i="15"/>
  <c r="T33007" i="15"/>
  <c r="T33006" i="15"/>
  <c r="T33005" i="15"/>
  <c r="T33004" i="15"/>
  <c r="T33003" i="15"/>
  <c r="T33002" i="15"/>
  <c r="T33001" i="15"/>
  <c r="T33000" i="15"/>
  <c r="T32999" i="15"/>
  <c r="T32998" i="15"/>
  <c r="T32997" i="15"/>
  <c r="T32996" i="15"/>
  <c r="T32995" i="15"/>
  <c r="T32994" i="15"/>
  <c r="T32993" i="15"/>
  <c r="T32992" i="15"/>
  <c r="T32991" i="15"/>
  <c r="T32990" i="15"/>
  <c r="T32989" i="15"/>
  <c r="T32988" i="15"/>
  <c r="T32987" i="15"/>
  <c r="T32986" i="15"/>
  <c r="T32985" i="15"/>
  <c r="T32984" i="15"/>
  <c r="T32983" i="15"/>
  <c r="T32982" i="15"/>
  <c r="T32981" i="15"/>
  <c r="T32980" i="15"/>
  <c r="T32979" i="15"/>
  <c r="T32978" i="15"/>
  <c r="T32977" i="15"/>
  <c r="T32976" i="15"/>
  <c r="T32975" i="15"/>
  <c r="T32974" i="15"/>
  <c r="T32973" i="15"/>
  <c r="T32972" i="15"/>
  <c r="T32971" i="15"/>
  <c r="T32970" i="15"/>
  <c r="T32969" i="15"/>
  <c r="T32968" i="15"/>
  <c r="T32967" i="15"/>
  <c r="T32966" i="15"/>
  <c r="T32965" i="15"/>
  <c r="T32964" i="15"/>
  <c r="T32963" i="15"/>
  <c r="T32962" i="15"/>
  <c r="T32961" i="15"/>
  <c r="T32960" i="15"/>
  <c r="T32959" i="15"/>
  <c r="T32958" i="15"/>
  <c r="T32957" i="15"/>
  <c r="T32956" i="15"/>
  <c r="T32955" i="15"/>
  <c r="T32954" i="15"/>
  <c r="T32953" i="15"/>
  <c r="T32952" i="15"/>
  <c r="T32951" i="15"/>
  <c r="T32950" i="15"/>
  <c r="T32949" i="15"/>
  <c r="T32948" i="15"/>
  <c r="T32947" i="15"/>
  <c r="T32946" i="15"/>
  <c r="T32945" i="15"/>
  <c r="T32944" i="15"/>
  <c r="T32943" i="15"/>
  <c r="T32942" i="15"/>
  <c r="T32941" i="15"/>
  <c r="T32940" i="15"/>
  <c r="T32939" i="15"/>
  <c r="T32938" i="15"/>
  <c r="T32937" i="15"/>
  <c r="T32936" i="15"/>
  <c r="T32935" i="15"/>
  <c r="T32934" i="15"/>
  <c r="T32933" i="15"/>
  <c r="T32932" i="15"/>
  <c r="T32931" i="15"/>
  <c r="T32930" i="15"/>
  <c r="T32929" i="15"/>
  <c r="T32928" i="15"/>
  <c r="T32927" i="15"/>
  <c r="T32926" i="15"/>
  <c r="T32925" i="15"/>
  <c r="T32924" i="15"/>
  <c r="T32923" i="15"/>
  <c r="T32922" i="15"/>
  <c r="T32921" i="15"/>
  <c r="T32920" i="15"/>
  <c r="T32919" i="15"/>
  <c r="T32918" i="15"/>
  <c r="T32917" i="15"/>
  <c r="T32916" i="15"/>
  <c r="T32915" i="15"/>
  <c r="T32914" i="15"/>
  <c r="T32913" i="15"/>
  <c r="T32912" i="15"/>
  <c r="T32911" i="15"/>
  <c r="T32910" i="15"/>
  <c r="T32909" i="15"/>
  <c r="T32908" i="15"/>
  <c r="T32907" i="15"/>
  <c r="T32906" i="15"/>
  <c r="T32905" i="15"/>
  <c r="T32904" i="15"/>
  <c r="T32903" i="15"/>
  <c r="T32902" i="15"/>
  <c r="T32901" i="15"/>
  <c r="T32900" i="15"/>
  <c r="T32899" i="15"/>
  <c r="T32898" i="15"/>
  <c r="T32897" i="15"/>
  <c r="T32896" i="15"/>
  <c r="T32895" i="15"/>
  <c r="T32894" i="15"/>
  <c r="T32893" i="15"/>
  <c r="T32892" i="15"/>
  <c r="T32891" i="15"/>
  <c r="T32890" i="15"/>
  <c r="T32889" i="15"/>
  <c r="T32888" i="15"/>
  <c r="T32887" i="15"/>
  <c r="T32886" i="15"/>
  <c r="T32885" i="15"/>
  <c r="T32884" i="15"/>
  <c r="T32883" i="15"/>
  <c r="T32882" i="15"/>
  <c r="T32881" i="15"/>
  <c r="T32880" i="15"/>
  <c r="T32879" i="15"/>
  <c r="T32878" i="15"/>
  <c r="T32877" i="15"/>
  <c r="T32876" i="15"/>
  <c r="T32875" i="15"/>
  <c r="T32874" i="15"/>
  <c r="T32873" i="15"/>
  <c r="T32872" i="15"/>
  <c r="T32871" i="15"/>
  <c r="T32870" i="15"/>
  <c r="T32869" i="15"/>
  <c r="T32868" i="15"/>
  <c r="T32867" i="15"/>
  <c r="T32866" i="15"/>
  <c r="T32865" i="15"/>
  <c r="T32864" i="15"/>
  <c r="T32863" i="15"/>
  <c r="T32862" i="15"/>
  <c r="T32861" i="15"/>
  <c r="T32860" i="15"/>
  <c r="T32859" i="15"/>
  <c r="T32858" i="15"/>
  <c r="T32857" i="15"/>
  <c r="T32856" i="15"/>
  <c r="T32855" i="15"/>
  <c r="T32854" i="15"/>
  <c r="T32853" i="15"/>
  <c r="T32852" i="15"/>
  <c r="T32851" i="15"/>
  <c r="T32850" i="15"/>
  <c r="T32849" i="15"/>
  <c r="T32848" i="15"/>
  <c r="T32847" i="15"/>
  <c r="T32846" i="15"/>
  <c r="T32845" i="15"/>
  <c r="T32844" i="15"/>
  <c r="T32843" i="15"/>
  <c r="T32842" i="15"/>
  <c r="T32841" i="15"/>
  <c r="T32840" i="15"/>
  <c r="T32839" i="15"/>
  <c r="T32838" i="15"/>
  <c r="T32837" i="15"/>
  <c r="T32836" i="15"/>
  <c r="T32835" i="15"/>
  <c r="T32834" i="15"/>
  <c r="T32833" i="15"/>
  <c r="T32832" i="15"/>
  <c r="T32831" i="15"/>
  <c r="T32830" i="15"/>
  <c r="T32829" i="15"/>
  <c r="T32828" i="15"/>
  <c r="T32827" i="15"/>
  <c r="T32826" i="15"/>
  <c r="T32825" i="15"/>
  <c r="T32824" i="15"/>
  <c r="T32823" i="15"/>
  <c r="T32822" i="15"/>
  <c r="T32821" i="15"/>
  <c r="T32820" i="15"/>
  <c r="T32819" i="15"/>
  <c r="T32818" i="15"/>
  <c r="T32817" i="15"/>
  <c r="T32816" i="15"/>
  <c r="T32815" i="15"/>
  <c r="T32814" i="15"/>
  <c r="T32813" i="15"/>
  <c r="T32812" i="15"/>
  <c r="T32811" i="15"/>
  <c r="T32810" i="15"/>
  <c r="T32809" i="15"/>
  <c r="T32808" i="15"/>
  <c r="T32807" i="15"/>
  <c r="T32806" i="15"/>
  <c r="T32805" i="15"/>
  <c r="T32804" i="15"/>
  <c r="T32803" i="15"/>
  <c r="T32802" i="15"/>
  <c r="T32801" i="15"/>
  <c r="T32800" i="15"/>
  <c r="T32799" i="15"/>
  <c r="T32798" i="15"/>
  <c r="T32797" i="15"/>
  <c r="T32796" i="15"/>
  <c r="T32795" i="15"/>
  <c r="T32794" i="15"/>
  <c r="T32793" i="15"/>
  <c r="T32792" i="15"/>
  <c r="T32791" i="15"/>
  <c r="T32790" i="15"/>
  <c r="T32789" i="15"/>
  <c r="T32788" i="15"/>
  <c r="T32787" i="15"/>
  <c r="T32786" i="15"/>
  <c r="T32785" i="15"/>
  <c r="T32784" i="15"/>
  <c r="T32783" i="15"/>
  <c r="T32782" i="15"/>
  <c r="T32781" i="15"/>
  <c r="T32780" i="15"/>
  <c r="T32779" i="15"/>
  <c r="T32778" i="15"/>
  <c r="T32777" i="15"/>
  <c r="T32776" i="15"/>
  <c r="T32775" i="15"/>
  <c r="T32774" i="15"/>
  <c r="T32773" i="15"/>
  <c r="T32772" i="15"/>
  <c r="T32771" i="15"/>
  <c r="T32770" i="15"/>
  <c r="T32769" i="15"/>
  <c r="T32768" i="15"/>
  <c r="T32767" i="15"/>
  <c r="T32766" i="15"/>
  <c r="T32765" i="15"/>
  <c r="T32764" i="15"/>
  <c r="T32763" i="15"/>
  <c r="T32762" i="15"/>
  <c r="T32761" i="15"/>
  <c r="T32760" i="15"/>
  <c r="T32759" i="15"/>
  <c r="T32758" i="15"/>
  <c r="T32757" i="15"/>
  <c r="T32756" i="15"/>
  <c r="T32755" i="15"/>
  <c r="T32754" i="15"/>
  <c r="T32753" i="15"/>
  <c r="T32752" i="15"/>
  <c r="T32751" i="15"/>
  <c r="T32750" i="15"/>
  <c r="T32749" i="15"/>
  <c r="T32748" i="15"/>
  <c r="T32747" i="15"/>
  <c r="T32746" i="15"/>
  <c r="T32745" i="15"/>
  <c r="T32744" i="15"/>
  <c r="T32743" i="15"/>
  <c r="T32742" i="15"/>
  <c r="T32741" i="15"/>
  <c r="T32740" i="15"/>
  <c r="T32739" i="15"/>
  <c r="T32738" i="15"/>
  <c r="T32737" i="15"/>
  <c r="T32736" i="15"/>
  <c r="T32735" i="15"/>
  <c r="T32734" i="15"/>
  <c r="T32733" i="15"/>
  <c r="T32732" i="15"/>
  <c r="T32731" i="15"/>
  <c r="T32730" i="15"/>
  <c r="T32729" i="15"/>
  <c r="T32728" i="15"/>
  <c r="T32727" i="15"/>
  <c r="T32726" i="15"/>
  <c r="T32725" i="15"/>
  <c r="T32724" i="15"/>
  <c r="T32723" i="15"/>
  <c r="T32722" i="15"/>
  <c r="T32721" i="15"/>
  <c r="T32720" i="15"/>
  <c r="T32719" i="15"/>
  <c r="T32718" i="15"/>
  <c r="T32717" i="15"/>
  <c r="T32716" i="15"/>
  <c r="T32715" i="15"/>
  <c r="T32714" i="15"/>
  <c r="T32713" i="15"/>
  <c r="T32712" i="15"/>
  <c r="T32711" i="15"/>
  <c r="T32710" i="15"/>
  <c r="T32709" i="15"/>
  <c r="T32708" i="15"/>
  <c r="T32707" i="15"/>
  <c r="T32706" i="15"/>
  <c r="T32705" i="15"/>
  <c r="T32704" i="15"/>
  <c r="T32703" i="15"/>
  <c r="T32702" i="15"/>
  <c r="T32701" i="15"/>
  <c r="T32700" i="15"/>
  <c r="T32699" i="15"/>
  <c r="T32698" i="15"/>
  <c r="T32697" i="15"/>
  <c r="T32696" i="15"/>
  <c r="T32695" i="15"/>
  <c r="T32694" i="15"/>
  <c r="T32693" i="15"/>
  <c r="T32692" i="15"/>
  <c r="T32691" i="15"/>
  <c r="T32690" i="15"/>
  <c r="T32689" i="15"/>
  <c r="T32688" i="15"/>
  <c r="T32687" i="15"/>
  <c r="T32686" i="15"/>
  <c r="T32685" i="15"/>
  <c r="T32684" i="15"/>
  <c r="T32683" i="15"/>
  <c r="T32682" i="15"/>
  <c r="T32681" i="15"/>
  <c r="T32680" i="15"/>
  <c r="T32679" i="15"/>
  <c r="T32678" i="15"/>
  <c r="T32677" i="15"/>
  <c r="T32676" i="15"/>
  <c r="T32675" i="15"/>
  <c r="T32674" i="15"/>
  <c r="T32673" i="15"/>
  <c r="T32672" i="15"/>
  <c r="T32671" i="15"/>
  <c r="T32670" i="15"/>
  <c r="T32669" i="15"/>
  <c r="T32668" i="15"/>
  <c r="T32667" i="15"/>
  <c r="T32666" i="15"/>
  <c r="T32665" i="15"/>
  <c r="T32664" i="15"/>
  <c r="T32663" i="15"/>
  <c r="T32662" i="15"/>
  <c r="T32661" i="15"/>
  <c r="T32660" i="15"/>
  <c r="T32659" i="15"/>
  <c r="T32658" i="15"/>
  <c r="T32657" i="15"/>
  <c r="T32656" i="15"/>
  <c r="T32655" i="15"/>
  <c r="T32654" i="15"/>
  <c r="T32653" i="15"/>
  <c r="T32652" i="15"/>
  <c r="T32651" i="15"/>
  <c r="T32650" i="15"/>
  <c r="T32649" i="15"/>
  <c r="T32648" i="15"/>
  <c r="T32647" i="15"/>
  <c r="T32646" i="15"/>
  <c r="T32645" i="15"/>
  <c r="T32644" i="15"/>
  <c r="T32643" i="15"/>
  <c r="T32642" i="15"/>
  <c r="T32641" i="15"/>
  <c r="T32640" i="15"/>
  <c r="T32639" i="15"/>
  <c r="T32638" i="15"/>
  <c r="T32637" i="15"/>
  <c r="T32636" i="15"/>
  <c r="T32635" i="15"/>
  <c r="T32634" i="15"/>
  <c r="T32633" i="15"/>
  <c r="T32632" i="15"/>
  <c r="T32631" i="15"/>
  <c r="T32630" i="15"/>
  <c r="T32629" i="15"/>
  <c r="T32628" i="15"/>
  <c r="T32627" i="15"/>
  <c r="T32626" i="15"/>
  <c r="T32625" i="15"/>
  <c r="T32624" i="15"/>
  <c r="T32623" i="15"/>
  <c r="T32622" i="15"/>
  <c r="T32621" i="15"/>
  <c r="T32620" i="15"/>
  <c r="T32619" i="15"/>
  <c r="T32618" i="15"/>
  <c r="T32617" i="15"/>
  <c r="T32616" i="15"/>
  <c r="T32615" i="15"/>
  <c r="T32614" i="15"/>
  <c r="T32613" i="15"/>
  <c r="T32612" i="15"/>
  <c r="T32611" i="15"/>
  <c r="T32610" i="15"/>
  <c r="T32609" i="15"/>
  <c r="T32608" i="15"/>
  <c r="T32607" i="15"/>
  <c r="T32606" i="15"/>
  <c r="T32605" i="15"/>
  <c r="T32604" i="15"/>
  <c r="T32603" i="15"/>
  <c r="T32602" i="15"/>
  <c r="T32601" i="15"/>
  <c r="T32600" i="15"/>
  <c r="T32599" i="15"/>
  <c r="T32598" i="15"/>
  <c r="T32597" i="15"/>
  <c r="T32596" i="15"/>
  <c r="T32595" i="15"/>
  <c r="T32594" i="15"/>
  <c r="T32593" i="15"/>
  <c r="T32592" i="15"/>
  <c r="T32591" i="15"/>
  <c r="T32590" i="15"/>
  <c r="T32589" i="15"/>
  <c r="T32588" i="15"/>
  <c r="T32587" i="15"/>
  <c r="T32586" i="15"/>
  <c r="T32585" i="15"/>
  <c r="T32584" i="15"/>
  <c r="T32583" i="15"/>
  <c r="T32582" i="15"/>
  <c r="T32581" i="15"/>
  <c r="T32580" i="15"/>
  <c r="T32579" i="15"/>
  <c r="T32578" i="15"/>
  <c r="T32577" i="15"/>
  <c r="T32576" i="15"/>
  <c r="T32575" i="15"/>
  <c r="T32574" i="15"/>
  <c r="T32573" i="15"/>
  <c r="T32572" i="15"/>
  <c r="T32571" i="15"/>
  <c r="T32570" i="15"/>
  <c r="T32569" i="15"/>
  <c r="T32568" i="15"/>
  <c r="T32567" i="15"/>
  <c r="T32566" i="15"/>
  <c r="T32565" i="15"/>
  <c r="T32564" i="15"/>
  <c r="T32563" i="15"/>
  <c r="T32562" i="15"/>
  <c r="T32561" i="15"/>
  <c r="T32560" i="15"/>
  <c r="T32559" i="15"/>
  <c r="T32558" i="15"/>
  <c r="T32557" i="15"/>
  <c r="T32556" i="15"/>
  <c r="T32555" i="15"/>
  <c r="T32554" i="15"/>
  <c r="T32553" i="15"/>
  <c r="T32552" i="15"/>
  <c r="T32551" i="15"/>
  <c r="T32550" i="15"/>
  <c r="T32549" i="15"/>
  <c r="T32548" i="15"/>
  <c r="T32547" i="15"/>
  <c r="T32546" i="15"/>
  <c r="T32545" i="15"/>
  <c r="T32544" i="15"/>
  <c r="T32543" i="15"/>
  <c r="T32542" i="15"/>
  <c r="T32541" i="15"/>
  <c r="T32540" i="15"/>
  <c r="T32539" i="15"/>
  <c r="T32538" i="15"/>
  <c r="T32537" i="15"/>
  <c r="T32536" i="15"/>
  <c r="T32535" i="15"/>
  <c r="T32534" i="15"/>
  <c r="T32533" i="15"/>
  <c r="T32532" i="15"/>
  <c r="T32531" i="15"/>
  <c r="T32530" i="15"/>
  <c r="T32529" i="15"/>
  <c r="T32528" i="15"/>
  <c r="T32527" i="15"/>
  <c r="T32526" i="15"/>
  <c r="T32525" i="15"/>
  <c r="T32524" i="15"/>
  <c r="T32523" i="15"/>
  <c r="T32522" i="15"/>
  <c r="T32521" i="15"/>
  <c r="T32520" i="15"/>
  <c r="T32519" i="15"/>
  <c r="T32518" i="15"/>
  <c r="T32517" i="15"/>
  <c r="T32516" i="15"/>
  <c r="T32515" i="15"/>
  <c r="T32514" i="15"/>
  <c r="T32513" i="15"/>
  <c r="T32512" i="15"/>
  <c r="T32511" i="15"/>
  <c r="T32510" i="15"/>
  <c r="T32509" i="15"/>
  <c r="T32508" i="15"/>
  <c r="T32507" i="15"/>
  <c r="T32506" i="15"/>
  <c r="T32505" i="15"/>
  <c r="T32504" i="15"/>
  <c r="T32503" i="15"/>
  <c r="T32502" i="15"/>
  <c r="T32501" i="15"/>
  <c r="T32500" i="15"/>
  <c r="T32499" i="15"/>
  <c r="T32498" i="15"/>
  <c r="T32497" i="15"/>
  <c r="T32496" i="15"/>
  <c r="T32495" i="15"/>
  <c r="T32494" i="15"/>
  <c r="T32493" i="15"/>
  <c r="T32492" i="15"/>
  <c r="T32491" i="15"/>
  <c r="T32490" i="15"/>
  <c r="T32489" i="15"/>
  <c r="T32488" i="15"/>
  <c r="T32487" i="15"/>
  <c r="T32486" i="15"/>
  <c r="T32485" i="15"/>
  <c r="T32484" i="15"/>
  <c r="T32483" i="15"/>
  <c r="T32482" i="15"/>
  <c r="T32481" i="15"/>
  <c r="T32480" i="15"/>
  <c r="T32479" i="15"/>
  <c r="T32478" i="15"/>
  <c r="T32477" i="15"/>
  <c r="T32476" i="15"/>
  <c r="T32475" i="15"/>
  <c r="T32474" i="15"/>
  <c r="T32473" i="15"/>
  <c r="T32472" i="15"/>
  <c r="T32471" i="15"/>
  <c r="T32470" i="15"/>
  <c r="T32469" i="15"/>
  <c r="T32468" i="15"/>
  <c r="T32467" i="15"/>
  <c r="T32466" i="15"/>
  <c r="T32465" i="15"/>
  <c r="T32464" i="15"/>
  <c r="T32463" i="15"/>
  <c r="T32462" i="15"/>
  <c r="T32461" i="15"/>
  <c r="T32460" i="15"/>
  <c r="T32459" i="15"/>
  <c r="T32458" i="15"/>
  <c r="T32457" i="15"/>
  <c r="T32456" i="15"/>
  <c r="T32455" i="15"/>
  <c r="T32454" i="15"/>
  <c r="T32453" i="15"/>
  <c r="T32452" i="15"/>
  <c r="T32451" i="15"/>
  <c r="T32450" i="15"/>
  <c r="T32449" i="15"/>
  <c r="T32448" i="15"/>
  <c r="T32447" i="15"/>
  <c r="T32446" i="15"/>
  <c r="T32445" i="15"/>
  <c r="T32444" i="15"/>
  <c r="T32443" i="15"/>
  <c r="T32442" i="15"/>
  <c r="T32441" i="15"/>
  <c r="T32440" i="15"/>
  <c r="T32439" i="15"/>
  <c r="T32438" i="15"/>
  <c r="T32437" i="15"/>
  <c r="T32436" i="15"/>
  <c r="T32435" i="15"/>
  <c r="T32434" i="15"/>
  <c r="T32433" i="15"/>
  <c r="T32432" i="15"/>
  <c r="T32431" i="15"/>
  <c r="T32430" i="15"/>
  <c r="T32429" i="15"/>
  <c r="T32428" i="15"/>
  <c r="T32427" i="15"/>
  <c r="T32426" i="15"/>
  <c r="T32425" i="15"/>
  <c r="T32424" i="15"/>
  <c r="T32423" i="15"/>
  <c r="T32422" i="15"/>
  <c r="T32421" i="15"/>
  <c r="T32420" i="15"/>
  <c r="T32419" i="15"/>
  <c r="T32418" i="15"/>
  <c r="T32417" i="15"/>
  <c r="T32416" i="15"/>
  <c r="T32415" i="15"/>
  <c r="T32414" i="15"/>
  <c r="T32413" i="15"/>
  <c r="T32412" i="15"/>
  <c r="T32411" i="15"/>
  <c r="T32410" i="15"/>
  <c r="T32409" i="15"/>
  <c r="T32408" i="15"/>
  <c r="T32407" i="15"/>
  <c r="T32406" i="15"/>
  <c r="T32405" i="15"/>
  <c r="T32404" i="15"/>
  <c r="T32403" i="15"/>
  <c r="T32402" i="15"/>
  <c r="T32401" i="15"/>
  <c r="T32400" i="15"/>
  <c r="T32399" i="15"/>
  <c r="T32398" i="15"/>
  <c r="T32397" i="15"/>
  <c r="T32396" i="15"/>
  <c r="T32395" i="15"/>
  <c r="T32394" i="15"/>
  <c r="T32393" i="15"/>
  <c r="T32392" i="15"/>
  <c r="T32391" i="15"/>
  <c r="T32390" i="15"/>
  <c r="T32389" i="15"/>
  <c r="T32388" i="15"/>
  <c r="T32387" i="15"/>
  <c r="T32386" i="15"/>
  <c r="T32385" i="15"/>
  <c r="T32384" i="15"/>
  <c r="T32383" i="15"/>
  <c r="T32382" i="15"/>
  <c r="T32381" i="15"/>
  <c r="T32380" i="15"/>
  <c r="T32379" i="15"/>
  <c r="T32378" i="15"/>
  <c r="T32377" i="15"/>
  <c r="T32376" i="15"/>
  <c r="T32375" i="15"/>
  <c r="T32374" i="15"/>
  <c r="T32373" i="15"/>
  <c r="T32372" i="15"/>
  <c r="T32371" i="15"/>
  <c r="T32370" i="15"/>
  <c r="T32369" i="15"/>
  <c r="T32368" i="15"/>
  <c r="T32367" i="15"/>
  <c r="T32366" i="15"/>
  <c r="T32365" i="15"/>
  <c r="T32364" i="15"/>
  <c r="T32363" i="15"/>
  <c r="T32362" i="15"/>
  <c r="T32361" i="15"/>
  <c r="T32360" i="15"/>
  <c r="T32359" i="15"/>
  <c r="T32358" i="15"/>
  <c r="T32357" i="15"/>
  <c r="T32356" i="15"/>
  <c r="T32355" i="15"/>
  <c r="T32354" i="15"/>
  <c r="T32353" i="15"/>
  <c r="T32352" i="15"/>
  <c r="T32351" i="15"/>
  <c r="T32350" i="15"/>
  <c r="T32349" i="15"/>
  <c r="T32348" i="15"/>
  <c r="T32347" i="15"/>
  <c r="T32346" i="15"/>
  <c r="T32345" i="15"/>
  <c r="T32344" i="15"/>
  <c r="T32343" i="15"/>
  <c r="T32342" i="15"/>
  <c r="T32341" i="15"/>
  <c r="T32340" i="15"/>
  <c r="T32339" i="15"/>
  <c r="T32338" i="15"/>
  <c r="T32337" i="15"/>
  <c r="T32336" i="15"/>
  <c r="T32335" i="15"/>
  <c r="T32334" i="15"/>
  <c r="T32333" i="15"/>
  <c r="T32332" i="15"/>
  <c r="T32331" i="15"/>
  <c r="T32330" i="15"/>
  <c r="T32329" i="15"/>
  <c r="T32328" i="15"/>
  <c r="T32327" i="15"/>
  <c r="T32326" i="15"/>
  <c r="T32325" i="15"/>
  <c r="T32324" i="15"/>
  <c r="T32323" i="15"/>
  <c r="T32322" i="15"/>
  <c r="T32321" i="15"/>
  <c r="T32320" i="15"/>
  <c r="T32319" i="15"/>
  <c r="T32318" i="15"/>
  <c r="T32317" i="15"/>
  <c r="T32316" i="15"/>
  <c r="T32315" i="15"/>
  <c r="T32314" i="15"/>
  <c r="T32313" i="15"/>
  <c r="T32312" i="15"/>
  <c r="T32311" i="15"/>
  <c r="T32310" i="15"/>
  <c r="T32309" i="15"/>
  <c r="T32308" i="15"/>
  <c r="T32307" i="15"/>
  <c r="T32306" i="15"/>
  <c r="T32305" i="15"/>
  <c r="T32304" i="15"/>
  <c r="T32303" i="15"/>
  <c r="T32302" i="15"/>
  <c r="T32301" i="15"/>
  <c r="T32300" i="15"/>
  <c r="T32299" i="15"/>
  <c r="T32298" i="15"/>
  <c r="T32297" i="15"/>
  <c r="T32296" i="15"/>
  <c r="T32295" i="15"/>
  <c r="T32294" i="15"/>
  <c r="T32293" i="15"/>
  <c r="T32292" i="15"/>
  <c r="T32291" i="15"/>
  <c r="T32290" i="15"/>
  <c r="T32289" i="15"/>
  <c r="T32288" i="15"/>
  <c r="T32287" i="15"/>
  <c r="T32286" i="15"/>
  <c r="T32285" i="15"/>
  <c r="T32284" i="15"/>
  <c r="T32283" i="15"/>
  <c r="T32282" i="15"/>
  <c r="T32281" i="15"/>
  <c r="T32280" i="15"/>
  <c r="T32279" i="15"/>
  <c r="T32278" i="15"/>
  <c r="T32277" i="15"/>
  <c r="T32276" i="15"/>
  <c r="T32275" i="15"/>
  <c r="T32274" i="15"/>
  <c r="T32273" i="15"/>
  <c r="T32272" i="15"/>
  <c r="T32271" i="15"/>
  <c r="T32270" i="15"/>
  <c r="T32269" i="15"/>
  <c r="T32268" i="15"/>
  <c r="T32267" i="15"/>
  <c r="T32266" i="15"/>
  <c r="T32265" i="15"/>
  <c r="T32264" i="15"/>
  <c r="T32263" i="15"/>
  <c r="T32262" i="15"/>
  <c r="T32261" i="15"/>
  <c r="T32260" i="15"/>
  <c r="T32259" i="15"/>
  <c r="T32258" i="15"/>
  <c r="T32257" i="15"/>
  <c r="T32256" i="15"/>
  <c r="T32255" i="15"/>
  <c r="T32254" i="15"/>
  <c r="T32253" i="15"/>
  <c r="T32252" i="15"/>
  <c r="T32251" i="15"/>
  <c r="T32250" i="15"/>
  <c r="T32249" i="15"/>
  <c r="T32248" i="15"/>
  <c r="T32247" i="15"/>
  <c r="T32246" i="15"/>
  <c r="T32245" i="15"/>
  <c r="T32244" i="15"/>
  <c r="T32243" i="15"/>
  <c r="T32242" i="15"/>
  <c r="T32241" i="15"/>
  <c r="T32240" i="15"/>
  <c r="T32239" i="15"/>
  <c r="T32238" i="15"/>
  <c r="T32237" i="15"/>
  <c r="T32236" i="15"/>
  <c r="T32235" i="15"/>
  <c r="T32234" i="15"/>
  <c r="T32233" i="15"/>
  <c r="T32232" i="15"/>
  <c r="T32231" i="15"/>
  <c r="T32230" i="15"/>
  <c r="T32229" i="15"/>
  <c r="T32228" i="15"/>
  <c r="T32227" i="15"/>
  <c r="T32226" i="15"/>
  <c r="T32225" i="15"/>
  <c r="T32224" i="15"/>
  <c r="T32223" i="15"/>
  <c r="T32222" i="15"/>
  <c r="T32221" i="15"/>
  <c r="T32220" i="15"/>
  <c r="T32219" i="15"/>
  <c r="T32218" i="15"/>
  <c r="T32217" i="15"/>
  <c r="T32216" i="15"/>
  <c r="T32215" i="15"/>
  <c r="T32214" i="15"/>
  <c r="T32213" i="15"/>
  <c r="T32212" i="15"/>
  <c r="T32211" i="15"/>
  <c r="T32210" i="15"/>
  <c r="T32209" i="15"/>
  <c r="T32208" i="15"/>
  <c r="T32207" i="15"/>
  <c r="T32206" i="15"/>
  <c r="T32205" i="15"/>
  <c r="T32204" i="15"/>
  <c r="T32203" i="15"/>
  <c r="T32202" i="15"/>
  <c r="T32201" i="15"/>
  <c r="T32200" i="15"/>
  <c r="T32199" i="15"/>
  <c r="T32198" i="15"/>
  <c r="T32197" i="15"/>
  <c r="T32196" i="15"/>
  <c r="T32195" i="15"/>
  <c r="T32194" i="15"/>
  <c r="T32193" i="15"/>
  <c r="T32192" i="15"/>
  <c r="T32191" i="15"/>
  <c r="T32190" i="15"/>
  <c r="T32189" i="15"/>
  <c r="T32188" i="15"/>
  <c r="T32187" i="15"/>
  <c r="T32186" i="15"/>
  <c r="T32185" i="15"/>
  <c r="T32184" i="15"/>
  <c r="T32183" i="15"/>
  <c r="T32182" i="15"/>
  <c r="T32181" i="15"/>
  <c r="T32180" i="15"/>
  <c r="T32179" i="15"/>
  <c r="T32178" i="15"/>
  <c r="T32177" i="15"/>
  <c r="T32176" i="15"/>
  <c r="T32175" i="15"/>
  <c r="T32174" i="15"/>
  <c r="T32173" i="15"/>
  <c r="T32172" i="15"/>
  <c r="T32171" i="15"/>
  <c r="T32170" i="15"/>
  <c r="T32169" i="15"/>
  <c r="T32168" i="15"/>
  <c r="T32167" i="15"/>
  <c r="T32166" i="15"/>
  <c r="T32165" i="15"/>
  <c r="T32164" i="15"/>
  <c r="T32163" i="15"/>
  <c r="T32162" i="15"/>
  <c r="T32161" i="15"/>
  <c r="T32160" i="15"/>
  <c r="T32159" i="15"/>
  <c r="T32158" i="15"/>
  <c r="T32157" i="15"/>
  <c r="T32156" i="15"/>
  <c r="T32155" i="15"/>
  <c r="T32154" i="15"/>
  <c r="T32153" i="15"/>
  <c r="T32152" i="15"/>
  <c r="T32151" i="15"/>
  <c r="T32150" i="15"/>
  <c r="T32149" i="15"/>
  <c r="T32148" i="15"/>
  <c r="T32147" i="15"/>
  <c r="T32146" i="15"/>
  <c r="T32145" i="15"/>
  <c r="T32144" i="15"/>
  <c r="T32143" i="15"/>
  <c r="T32142" i="15"/>
  <c r="T32141" i="15"/>
  <c r="T32140" i="15"/>
  <c r="T32139" i="15"/>
  <c r="T32138" i="15"/>
  <c r="T32137" i="15"/>
  <c r="T32136" i="15"/>
  <c r="T32135" i="15"/>
  <c r="T32134" i="15"/>
  <c r="T32133" i="15"/>
  <c r="T32132" i="15"/>
  <c r="T32131" i="15"/>
  <c r="T32130" i="15"/>
  <c r="T32129" i="15"/>
  <c r="T32128" i="15"/>
  <c r="T32127" i="15"/>
  <c r="T32126" i="15"/>
  <c r="T32125" i="15"/>
  <c r="T32124" i="15"/>
  <c r="T32123" i="15"/>
  <c r="T32122" i="15"/>
  <c r="T32121" i="15"/>
  <c r="T32120" i="15"/>
  <c r="T32119" i="15"/>
  <c r="T32118" i="15"/>
  <c r="T32117" i="15"/>
  <c r="T32116" i="15"/>
  <c r="T32115" i="15"/>
  <c r="T32114" i="15"/>
  <c r="T32113" i="15"/>
  <c r="T32112" i="15"/>
  <c r="T32111" i="15"/>
  <c r="T32110" i="15"/>
  <c r="T32109" i="15"/>
  <c r="T32108" i="15"/>
  <c r="T32107" i="15"/>
  <c r="T32106" i="15"/>
  <c r="T32105" i="15"/>
  <c r="T32104" i="15"/>
  <c r="T32103" i="15"/>
  <c r="T32102" i="15"/>
  <c r="T32101" i="15"/>
  <c r="T32100" i="15"/>
  <c r="T32099" i="15"/>
  <c r="T32098" i="15"/>
  <c r="T32097" i="15"/>
  <c r="T32096" i="15"/>
  <c r="T32095" i="15"/>
  <c r="T32094" i="15"/>
  <c r="T32093" i="15"/>
  <c r="T32092" i="15"/>
  <c r="T32091" i="15"/>
  <c r="T32090" i="15"/>
  <c r="T32089" i="15"/>
  <c r="T32088" i="15"/>
  <c r="T32087" i="15"/>
  <c r="T32086" i="15"/>
  <c r="T32085" i="15"/>
  <c r="T32084" i="15"/>
  <c r="T32083" i="15"/>
  <c r="T32082" i="15"/>
  <c r="T32081" i="15"/>
  <c r="T32080" i="15"/>
  <c r="T32079" i="15"/>
  <c r="T32078" i="15"/>
  <c r="T32077" i="15"/>
  <c r="T32076" i="15"/>
  <c r="T32075" i="15"/>
  <c r="T32074" i="15"/>
  <c r="T32073" i="15"/>
  <c r="T32072" i="15"/>
  <c r="T32071" i="15"/>
  <c r="T32070" i="15"/>
  <c r="T32069" i="15"/>
  <c r="T32068" i="15"/>
  <c r="T32067" i="15"/>
  <c r="T32066" i="15"/>
  <c r="T32065" i="15"/>
  <c r="T32064" i="15"/>
  <c r="T32063" i="15"/>
  <c r="T32062" i="15"/>
  <c r="T32061" i="15"/>
  <c r="T32060" i="15"/>
  <c r="T32059" i="15"/>
  <c r="T32058" i="15"/>
  <c r="T32057" i="15"/>
  <c r="T32056" i="15"/>
  <c r="T32055" i="15"/>
  <c r="T32054" i="15"/>
  <c r="T32053" i="15"/>
  <c r="T32052" i="15"/>
  <c r="T32051" i="15"/>
  <c r="T32050" i="15"/>
  <c r="T32049" i="15"/>
  <c r="T32048" i="15"/>
  <c r="T32047" i="15"/>
  <c r="T32046" i="15"/>
  <c r="T32045" i="15"/>
  <c r="T32044" i="15"/>
  <c r="T32043" i="15"/>
  <c r="T32042" i="15"/>
  <c r="T32041" i="15"/>
  <c r="T32040" i="15"/>
  <c r="T32039" i="15"/>
  <c r="T32038" i="15"/>
  <c r="T32037" i="15"/>
  <c r="T32036" i="15"/>
  <c r="T32035" i="15"/>
  <c r="T32034" i="15"/>
  <c r="T32033" i="15"/>
  <c r="T32032" i="15"/>
  <c r="T32031" i="15"/>
  <c r="T32030" i="15"/>
  <c r="T32029" i="15"/>
  <c r="T32028" i="15"/>
  <c r="T32027" i="15"/>
  <c r="T32026" i="15"/>
  <c r="T32025" i="15"/>
  <c r="T32024" i="15"/>
  <c r="T32023" i="15"/>
  <c r="T32022" i="15"/>
  <c r="T32021" i="15"/>
  <c r="T32020" i="15"/>
  <c r="T32019" i="15"/>
  <c r="T32018" i="15"/>
  <c r="T32017" i="15"/>
  <c r="T32016" i="15"/>
  <c r="T32015" i="15"/>
  <c r="T32014" i="15"/>
  <c r="T32013" i="15"/>
  <c r="T32012" i="15"/>
  <c r="T32011" i="15"/>
  <c r="T32010" i="15"/>
  <c r="T32009" i="15"/>
  <c r="T32008" i="15"/>
  <c r="T32007" i="15"/>
  <c r="T32006" i="15"/>
  <c r="T32005" i="15"/>
  <c r="T32004" i="15"/>
  <c r="T32003" i="15"/>
  <c r="T32002" i="15"/>
  <c r="T32001" i="15"/>
  <c r="T32000" i="15"/>
  <c r="T31999" i="15"/>
  <c r="T31998" i="15"/>
  <c r="T31997" i="15"/>
  <c r="T31996" i="15"/>
  <c r="T31995" i="15"/>
  <c r="T31994" i="15"/>
  <c r="T31993" i="15"/>
  <c r="T31992" i="15"/>
  <c r="T31991" i="15"/>
  <c r="T31990" i="15"/>
  <c r="T31989" i="15"/>
  <c r="T31988" i="15"/>
  <c r="T31987" i="15"/>
  <c r="T31986" i="15"/>
  <c r="T31985" i="15"/>
  <c r="T31984" i="15"/>
  <c r="T31983" i="15"/>
  <c r="T31982" i="15"/>
  <c r="T31981" i="15"/>
  <c r="T31980" i="15"/>
  <c r="T31979" i="15"/>
  <c r="T31978" i="15"/>
  <c r="T31977" i="15"/>
  <c r="T31976" i="15"/>
  <c r="T31975" i="15"/>
  <c r="T31974" i="15"/>
  <c r="T31973" i="15"/>
  <c r="T31972" i="15"/>
  <c r="T31971" i="15"/>
  <c r="T31970" i="15"/>
  <c r="T31969" i="15"/>
  <c r="T31968" i="15"/>
  <c r="T31967" i="15"/>
  <c r="T31966" i="15"/>
  <c r="T31965" i="15"/>
  <c r="T31964" i="15"/>
  <c r="T31963" i="15"/>
  <c r="T31962" i="15"/>
  <c r="T31961" i="15"/>
  <c r="T31960" i="15"/>
  <c r="T31959" i="15"/>
  <c r="T31958" i="15"/>
  <c r="T31957" i="15"/>
  <c r="T31956" i="15"/>
  <c r="T31955" i="15"/>
  <c r="T31954" i="15"/>
  <c r="T31953" i="15"/>
  <c r="T31952" i="15"/>
  <c r="T31951" i="15"/>
  <c r="T31950" i="15"/>
  <c r="T31949" i="15"/>
  <c r="T31948" i="15"/>
  <c r="T31947" i="15"/>
  <c r="T31946" i="15"/>
  <c r="T31945" i="15"/>
  <c r="T31944" i="15"/>
  <c r="T31943" i="15"/>
  <c r="T31942" i="15"/>
  <c r="T31941" i="15"/>
  <c r="T31940" i="15"/>
  <c r="T31939" i="15"/>
  <c r="T31938" i="15"/>
  <c r="T31937" i="15"/>
  <c r="T31936" i="15"/>
  <c r="T31935" i="15"/>
  <c r="T31934" i="15"/>
  <c r="T31933" i="15"/>
  <c r="T31932" i="15"/>
  <c r="T31931" i="15"/>
  <c r="T31930" i="15"/>
  <c r="T31929" i="15"/>
  <c r="T31928" i="15"/>
  <c r="T31927" i="15"/>
  <c r="T31926" i="15"/>
  <c r="T31925" i="15"/>
  <c r="T31924" i="15"/>
  <c r="T31923" i="15"/>
  <c r="T31922" i="15"/>
  <c r="T31921" i="15"/>
  <c r="T31920" i="15"/>
  <c r="T31919" i="15"/>
  <c r="T31918" i="15"/>
  <c r="T31917" i="15"/>
  <c r="T31916" i="15"/>
  <c r="T31915" i="15"/>
  <c r="T31914" i="15"/>
  <c r="T31913" i="15"/>
  <c r="T31912" i="15"/>
  <c r="T31911" i="15"/>
  <c r="T31910" i="15"/>
  <c r="T31909" i="15"/>
  <c r="T31908" i="15"/>
  <c r="T31907" i="15"/>
  <c r="T31906" i="15"/>
  <c r="T31905" i="15"/>
  <c r="T31904" i="15"/>
  <c r="T31903" i="15"/>
  <c r="T31902" i="15"/>
  <c r="T31901" i="15"/>
  <c r="T31900" i="15"/>
  <c r="T31899" i="15"/>
  <c r="T31898" i="15"/>
  <c r="T31897" i="15"/>
  <c r="T31896" i="15"/>
  <c r="T31895" i="15"/>
  <c r="T31894" i="15"/>
  <c r="T31893" i="15"/>
  <c r="T31892" i="15"/>
  <c r="T31891" i="15"/>
  <c r="T31890" i="15"/>
  <c r="T31889" i="15"/>
  <c r="T31888" i="15"/>
  <c r="T31887" i="15"/>
  <c r="T31886" i="15"/>
  <c r="T31885" i="15"/>
  <c r="T31884" i="15"/>
  <c r="T31883" i="15"/>
  <c r="T31882" i="15"/>
  <c r="T31881" i="15"/>
  <c r="T31880" i="15"/>
  <c r="T31879" i="15"/>
  <c r="T31878" i="15"/>
  <c r="T31877" i="15"/>
  <c r="T31876" i="15"/>
  <c r="T31875" i="15"/>
  <c r="T31874" i="15"/>
  <c r="T31873" i="15"/>
  <c r="T31872" i="15"/>
  <c r="T31871" i="15"/>
  <c r="T31870" i="15"/>
  <c r="T31869" i="15"/>
  <c r="T31868" i="15"/>
  <c r="T31867" i="15"/>
  <c r="T31866" i="15"/>
  <c r="T31865" i="15"/>
  <c r="T31864" i="15"/>
  <c r="T31863" i="15"/>
  <c r="T31862" i="15"/>
  <c r="T31861" i="15"/>
  <c r="T31860" i="15"/>
  <c r="T31859" i="15"/>
  <c r="T31858" i="15"/>
  <c r="T31857" i="15"/>
  <c r="T31856" i="15"/>
  <c r="T31855" i="15"/>
  <c r="T31854" i="15"/>
  <c r="T31853" i="15"/>
  <c r="T31852" i="15"/>
  <c r="T31851" i="15"/>
  <c r="T31850" i="15"/>
  <c r="T31849" i="15"/>
  <c r="T31848" i="15"/>
  <c r="T31847" i="15"/>
  <c r="T31846" i="15"/>
  <c r="T31845" i="15"/>
  <c r="T31844" i="15"/>
  <c r="T31843" i="15"/>
  <c r="T31842" i="15"/>
  <c r="T31841" i="15"/>
  <c r="T31840" i="15"/>
  <c r="T31839" i="15"/>
  <c r="T31838" i="15"/>
  <c r="T31837" i="15"/>
  <c r="T31836" i="15"/>
  <c r="T31835" i="15"/>
  <c r="T31834" i="15"/>
  <c r="T31833" i="15"/>
  <c r="T31832" i="15"/>
  <c r="T31831" i="15"/>
  <c r="T31830" i="15"/>
  <c r="T31829" i="15"/>
  <c r="T31828" i="15"/>
  <c r="T31827" i="15"/>
  <c r="T31826" i="15"/>
  <c r="T31825" i="15"/>
  <c r="T31824" i="15"/>
  <c r="T31823" i="15"/>
  <c r="T31822" i="15"/>
  <c r="T31821" i="15"/>
  <c r="T31820" i="15"/>
  <c r="T31819" i="15"/>
  <c r="T31818" i="15"/>
  <c r="T31817" i="15"/>
  <c r="T31816" i="15"/>
  <c r="T31815" i="15"/>
  <c r="T31814" i="15"/>
  <c r="T31813" i="15"/>
  <c r="T31812" i="15"/>
  <c r="T31811" i="15"/>
  <c r="T31810" i="15"/>
  <c r="T31809" i="15"/>
  <c r="T31808" i="15"/>
  <c r="T31807" i="15"/>
  <c r="T31806" i="15"/>
  <c r="T31805" i="15"/>
  <c r="T31804" i="15"/>
  <c r="T31803" i="15"/>
  <c r="T31802" i="15"/>
  <c r="T31801" i="15"/>
  <c r="T31800" i="15"/>
  <c r="T31799" i="15"/>
  <c r="T31798" i="15"/>
  <c r="T31797" i="15"/>
  <c r="T31796" i="15"/>
  <c r="T31795" i="15"/>
  <c r="T31794" i="15"/>
  <c r="T31793" i="15"/>
  <c r="T31792" i="15"/>
  <c r="T31791" i="15"/>
  <c r="T31790" i="15"/>
  <c r="T31789" i="15"/>
  <c r="T31788" i="15"/>
  <c r="T31787" i="15"/>
  <c r="T31786" i="15"/>
  <c r="T31785" i="15"/>
  <c r="T31784" i="15"/>
  <c r="T31783" i="15"/>
  <c r="T31782" i="15"/>
  <c r="T31781" i="15"/>
  <c r="T31780" i="15"/>
  <c r="T31779" i="15"/>
  <c r="T31778" i="15"/>
  <c r="T31777" i="15"/>
  <c r="T31776" i="15"/>
  <c r="T31775" i="15"/>
  <c r="T31774" i="15"/>
  <c r="T31773" i="15"/>
  <c r="T31772" i="15"/>
  <c r="T31771" i="15"/>
  <c r="T31770" i="15"/>
  <c r="T31769" i="15"/>
  <c r="T31768" i="15"/>
  <c r="T31767" i="15"/>
  <c r="T31766" i="15"/>
  <c r="T31765" i="15"/>
  <c r="T31764" i="15"/>
  <c r="T31763" i="15"/>
  <c r="T31762" i="15"/>
  <c r="T31761" i="15"/>
  <c r="T31760" i="15"/>
  <c r="T31759" i="15"/>
  <c r="T31758" i="15"/>
  <c r="T31757" i="15"/>
  <c r="T31756" i="15"/>
  <c r="T31755" i="15"/>
  <c r="T31754" i="15"/>
  <c r="T31753" i="15"/>
  <c r="T31752" i="15"/>
  <c r="T31751" i="15"/>
  <c r="T31750" i="15"/>
  <c r="T31749" i="15"/>
  <c r="T31748" i="15"/>
  <c r="T31747" i="15"/>
  <c r="T31746" i="15"/>
  <c r="T31745" i="15"/>
  <c r="T31744" i="15"/>
  <c r="T31743" i="15"/>
  <c r="T31742" i="15"/>
  <c r="T31741" i="15"/>
  <c r="T31740" i="15"/>
  <c r="T31739" i="15"/>
  <c r="T31738" i="15"/>
  <c r="T31737" i="15"/>
  <c r="T31736" i="15"/>
  <c r="T31735" i="15"/>
  <c r="T31734" i="15"/>
  <c r="T31733" i="15"/>
  <c r="T31732" i="15"/>
  <c r="T31731" i="15"/>
  <c r="T31730" i="15"/>
  <c r="T31729" i="15"/>
  <c r="T31728" i="15"/>
  <c r="T31727" i="15"/>
  <c r="T31726" i="15"/>
  <c r="T31725" i="15"/>
  <c r="T31724" i="15"/>
  <c r="T31723" i="15"/>
  <c r="T31722" i="15"/>
  <c r="T31721" i="15"/>
  <c r="T31720" i="15"/>
  <c r="T31719" i="15"/>
  <c r="T31718" i="15"/>
  <c r="T31717" i="15"/>
  <c r="T31716" i="15"/>
  <c r="T31715" i="15"/>
  <c r="T31714" i="15"/>
  <c r="T31713" i="15"/>
  <c r="T31712" i="15"/>
  <c r="T31711" i="15"/>
  <c r="T31710" i="15"/>
  <c r="T31709" i="15"/>
  <c r="T31708" i="15"/>
  <c r="T31707" i="15"/>
  <c r="T31706" i="15"/>
  <c r="T31705" i="15"/>
  <c r="T31704" i="15"/>
  <c r="T31703" i="15"/>
  <c r="T31702" i="15"/>
  <c r="T31701" i="15"/>
  <c r="T31700" i="15"/>
  <c r="T31699" i="15"/>
  <c r="T31698" i="15"/>
  <c r="T31697" i="15"/>
  <c r="T31696" i="15"/>
  <c r="T31695" i="15"/>
  <c r="T31694" i="15"/>
  <c r="T31693" i="15"/>
  <c r="T31692" i="15"/>
  <c r="T31691" i="15"/>
  <c r="T31690" i="15"/>
  <c r="T31689" i="15"/>
  <c r="T31688" i="15"/>
  <c r="T31687" i="15"/>
  <c r="T31686" i="15"/>
  <c r="T31685" i="15"/>
  <c r="T31684" i="15"/>
  <c r="T31683" i="15"/>
  <c r="T31682" i="15"/>
  <c r="T31681" i="15"/>
  <c r="T31680" i="15"/>
  <c r="T31679" i="15"/>
  <c r="T31678" i="15"/>
  <c r="T31677" i="15"/>
  <c r="T31676" i="15"/>
  <c r="T31675" i="15"/>
  <c r="T31674" i="15"/>
  <c r="T31673" i="15"/>
  <c r="T31672" i="15"/>
  <c r="T31671" i="15"/>
  <c r="T31670" i="15"/>
  <c r="T31669" i="15"/>
  <c r="T31668" i="15"/>
  <c r="T31667" i="15"/>
  <c r="T31666" i="15"/>
  <c r="T31665" i="15"/>
  <c r="T31664" i="15"/>
  <c r="T31663" i="15"/>
  <c r="T31662" i="15"/>
  <c r="T31661" i="15"/>
  <c r="T31660" i="15"/>
  <c r="T31659" i="15"/>
  <c r="T31658" i="15"/>
  <c r="T31657" i="15"/>
  <c r="T31656" i="15"/>
  <c r="T31655" i="15"/>
  <c r="T31654" i="15"/>
  <c r="T31653" i="15"/>
  <c r="T31652" i="15"/>
  <c r="T31651" i="15"/>
  <c r="T31650" i="15"/>
  <c r="T31649" i="15"/>
  <c r="T31648" i="15"/>
  <c r="T31647" i="15"/>
  <c r="T31646" i="15"/>
  <c r="T31645" i="15"/>
  <c r="T31644" i="15"/>
  <c r="T31643" i="15"/>
  <c r="T31642" i="15"/>
  <c r="T31641" i="15"/>
  <c r="T31640" i="15"/>
  <c r="T31639" i="15"/>
  <c r="T31638" i="15"/>
  <c r="T31637" i="15"/>
  <c r="T31636" i="15"/>
  <c r="T31635" i="15"/>
  <c r="T31634" i="15"/>
  <c r="T31633" i="15"/>
  <c r="T31632" i="15"/>
  <c r="T31631" i="15"/>
  <c r="T31630" i="15"/>
  <c r="T31629" i="15"/>
  <c r="T31628" i="15"/>
  <c r="T31627" i="15"/>
  <c r="T31626" i="15"/>
  <c r="T31625" i="15"/>
  <c r="T31624" i="15"/>
  <c r="T31623" i="15"/>
  <c r="T31622" i="15"/>
  <c r="T31621" i="15"/>
  <c r="T31620" i="15"/>
  <c r="T31619" i="15"/>
  <c r="T31618" i="15"/>
  <c r="T31617" i="15"/>
  <c r="T31616" i="15"/>
  <c r="T31615" i="15"/>
  <c r="T31614" i="15"/>
  <c r="T31613" i="15"/>
  <c r="T31612" i="15"/>
  <c r="T31611" i="15"/>
  <c r="T31610" i="15"/>
  <c r="T31609" i="15"/>
  <c r="T31608" i="15"/>
  <c r="T31607" i="15"/>
  <c r="T31606" i="15"/>
  <c r="T31605" i="15"/>
  <c r="T31604" i="15"/>
  <c r="T31603" i="15"/>
  <c r="T31602" i="15"/>
  <c r="T31601" i="15"/>
  <c r="T31600" i="15"/>
  <c r="T31599" i="15"/>
  <c r="T31598" i="15"/>
  <c r="T31597" i="15"/>
  <c r="T31596" i="15"/>
  <c r="T31595" i="15"/>
  <c r="T31594" i="15"/>
  <c r="T31593" i="15"/>
  <c r="T31592" i="15"/>
  <c r="T31591" i="15"/>
  <c r="T31590" i="15"/>
  <c r="T31589" i="15"/>
  <c r="T31588" i="15"/>
  <c r="T31587" i="15"/>
  <c r="T31586" i="15"/>
  <c r="T31585" i="15"/>
  <c r="T31584" i="15"/>
  <c r="T31583" i="15"/>
  <c r="T31582" i="15"/>
  <c r="T31581" i="15"/>
  <c r="T31580" i="15"/>
  <c r="T31579" i="15"/>
  <c r="T31578" i="15"/>
  <c r="T31577" i="15"/>
  <c r="T31576" i="15"/>
  <c r="T31575" i="15"/>
  <c r="T31574" i="15"/>
  <c r="T31573" i="15"/>
  <c r="T31572" i="15"/>
  <c r="T31571" i="15"/>
  <c r="T31570" i="15"/>
  <c r="T31569" i="15"/>
  <c r="T31568" i="15"/>
  <c r="T31567" i="15"/>
  <c r="T31566" i="15"/>
  <c r="T31565" i="15"/>
  <c r="T31564" i="15"/>
  <c r="T31563" i="15"/>
  <c r="T31562" i="15"/>
  <c r="T31561" i="15"/>
  <c r="T31560" i="15"/>
  <c r="T31559" i="15"/>
  <c r="T31558" i="15"/>
  <c r="T31557" i="15"/>
  <c r="T31556" i="15"/>
  <c r="T31555" i="15"/>
  <c r="T31554" i="15"/>
  <c r="T31553" i="15"/>
  <c r="T31552" i="15"/>
  <c r="T31551" i="15"/>
  <c r="T31550" i="15"/>
  <c r="T31549" i="15"/>
  <c r="T31548" i="15"/>
  <c r="T31547" i="15"/>
  <c r="T31546" i="15"/>
  <c r="T31545" i="15"/>
  <c r="T31544" i="15"/>
  <c r="T31543" i="15"/>
  <c r="T31542" i="15"/>
  <c r="T31541" i="15"/>
  <c r="T31540" i="15"/>
  <c r="T31539" i="15"/>
  <c r="T31538" i="15"/>
  <c r="T31537" i="15"/>
  <c r="T31536" i="15"/>
  <c r="T31535" i="15"/>
  <c r="T31534" i="15"/>
  <c r="T31533" i="15"/>
  <c r="T31532" i="15"/>
  <c r="T31531" i="15"/>
  <c r="T31530" i="15"/>
  <c r="T31529" i="15"/>
  <c r="T31528" i="15"/>
  <c r="T31527" i="15"/>
  <c r="T31526" i="15"/>
  <c r="T31525" i="15"/>
  <c r="T31524" i="15"/>
  <c r="T31523" i="15"/>
  <c r="T31522" i="15"/>
  <c r="T31521" i="15"/>
  <c r="T31520" i="15"/>
  <c r="T31519" i="15"/>
  <c r="T31518" i="15"/>
  <c r="T31517" i="15"/>
  <c r="T31516" i="15"/>
  <c r="T31515" i="15"/>
  <c r="T31514" i="15"/>
  <c r="T31513" i="15"/>
  <c r="T31512" i="15"/>
  <c r="T31511" i="15"/>
  <c r="T31510" i="15"/>
  <c r="T31509" i="15"/>
  <c r="T31508" i="15"/>
  <c r="T31507" i="15"/>
  <c r="T31506" i="15"/>
  <c r="T31505" i="15"/>
  <c r="T31504" i="15"/>
  <c r="T31503" i="15"/>
  <c r="T31502" i="15"/>
  <c r="T31501" i="15"/>
  <c r="T31500" i="15"/>
  <c r="T31499" i="15"/>
  <c r="T31498" i="15"/>
  <c r="T31497" i="15"/>
  <c r="T31496" i="15"/>
  <c r="T31495" i="15"/>
  <c r="T31494" i="15"/>
  <c r="T31493" i="15"/>
  <c r="T31492" i="15"/>
  <c r="T31491" i="15"/>
  <c r="T31490" i="15"/>
  <c r="T31489" i="15"/>
  <c r="T31488" i="15"/>
  <c r="T31487" i="15"/>
  <c r="T31486" i="15"/>
  <c r="T31485" i="15"/>
  <c r="T31484" i="15"/>
  <c r="T31483" i="15"/>
  <c r="T31482" i="15"/>
  <c r="T31481" i="15"/>
  <c r="T31480" i="15"/>
  <c r="T31479" i="15"/>
  <c r="T31478" i="15"/>
  <c r="T31477" i="15"/>
  <c r="T31476" i="15"/>
  <c r="T31475" i="15"/>
  <c r="T31474" i="15"/>
  <c r="T31473" i="15"/>
  <c r="T31472" i="15"/>
  <c r="T31471" i="15"/>
  <c r="T31470" i="15"/>
  <c r="T31469" i="15"/>
  <c r="T31468" i="15"/>
  <c r="T31467" i="15"/>
  <c r="T31466" i="15"/>
  <c r="T31465" i="15"/>
  <c r="T31464" i="15"/>
  <c r="T31463" i="15"/>
  <c r="T31462" i="15"/>
  <c r="T31461" i="15"/>
  <c r="T31460" i="15"/>
  <c r="T31459" i="15"/>
  <c r="T31458" i="15"/>
  <c r="T31457" i="15"/>
  <c r="T31456" i="15"/>
  <c r="T31455" i="15"/>
  <c r="T31454" i="15"/>
  <c r="T31453" i="15"/>
  <c r="T31452" i="15"/>
  <c r="T31451" i="15"/>
  <c r="T31450" i="15"/>
  <c r="T31449" i="15"/>
  <c r="T31448" i="15"/>
  <c r="T31447" i="15"/>
  <c r="T31446" i="15"/>
  <c r="T31445" i="15"/>
  <c r="T31444" i="15"/>
  <c r="T31443" i="15"/>
  <c r="T31442" i="15"/>
  <c r="T31441" i="15"/>
  <c r="T31440" i="15"/>
  <c r="T31439" i="15"/>
  <c r="T31438" i="15"/>
  <c r="T31437" i="15"/>
  <c r="T31436" i="15"/>
  <c r="T31435" i="15"/>
  <c r="T31434" i="15"/>
  <c r="T31433" i="15"/>
  <c r="T31432" i="15"/>
  <c r="T31431" i="15"/>
  <c r="T31430" i="15"/>
  <c r="T31429" i="15"/>
  <c r="T31428" i="15"/>
  <c r="T31427" i="15"/>
  <c r="T31426" i="15"/>
  <c r="T31425" i="15"/>
  <c r="T31424" i="15"/>
  <c r="T31423" i="15"/>
  <c r="T31422" i="15"/>
  <c r="T31421" i="15"/>
  <c r="T31420" i="15"/>
  <c r="T31419" i="15"/>
  <c r="T31418" i="15"/>
  <c r="T31417" i="15"/>
  <c r="T31416" i="15"/>
  <c r="T31415" i="15"/>
  <c r="T31414" i="15"/>
  <c r="T31413" i="15"/>
  <c r="T31412" i="15"/>
  <c r="T31411" i="15"/>
  <c r="T31410" i="15"/>
  <c r="T31409" i="15"/>
  <c r="T31408" i="15"/>
  <c r="T31407" i="15"/>
  <c r="T31406" i="15"/>
  <c r="T31405" i="15"/>
  <c r="T31404" i="15"/>
  <c r="T31403" i="15"/>
  <c r="T31402" i="15"/>
  <c r="T31401" i="15"/>
  <c r="T31400" i="15"/>
  <c r="T31399" i="15"/>
  <c r="T31398" i="15"/>
  <c r="T31397" i="15"/>
  <c r="T31396" i="15"/>
  <c r="T31395" i="15"/>
  <c r="T31394" i="15"/>
  <c r="T31393" i="15"/>
  <c r="T31392" i="15"/>
  <c r="T31391" i="15"/>
  <c r="T31390" i="15"/>
  <c r="T31389" i="15"/>
  <c r="T31388" i="15"/>
  <c r="T31387" i="15"/>
  <c r="T31386" i="15"/>
  <c r="T31385" i="15"/>
  <c r="T31384" i="15"/>
  <c r="T31383" i="15"/>
  <c r="T31382" i="15"/>
  <c r="T31381" i="15"/>
  <c r="T31380" i="15"/>
  <c r="T31379" i="15"/>
  <c r="T31378" i="15"/>
  <c r="T31377" i="15"/>
  <c r="T31376" i="15"/>
  <c r="T31375" i="15"/>
  <c r="T31374" i="15"/>
  <c r="T31373" i="15"/>
  <c r="T31372" i="15"/>
  <c r="T31371" i="15"/>
  <c r="T31370" i="15"/>
  <c r="T31369" i="15"/>
  <c r="T31368" i="15"/>
  <c r="T31367" i="15"/>
  <c r="T31366" i="15"/>
  <c r="T31365" i="15"/>
  <c r="T31364" i="15"/>
  <c r="T31363" i="15"/>
  <c r="T31362" i="15"/>
  <c r="T31361" i="15"/>
  <c r="T31360" i="15"/>
  <c r="T31359" i="15"/>
  <c r="T31358" i="15"/>
  <c r="T31357" i="15"/>
  <c r="T31356" i="15"/>
  <c r="T31355" i="15"/>
  <c r="T31354" i="15"/>
  <c r="T31353" i="15"/>
  <c r="T31352" i="15"/>
  <c r="T31351" i="15"/>
  <c r="T31350" i="15"/>
  <c r="T31349" i="15"/>
  <c r="T31348" i="15"/>
  <c r="T31347" i="15"/>
  <c r="T31346" i="15"/>
  <c r="T31345" i="15"/>
  <c r="T31344" i="15"/>
  <c r="T31343" i="15"/>
  <c r="T31342" i="15"/>
  <c r="T31341" i="15"/>
  <c r="T31340" i="15"/>
  <c r="T31339" i="15"/>
  <c r="T31338" i="15"/>
  <c r="T31337" i="15"/>
  <c r="T31336" i="15"/>
  <c r="T31335" i="15"/>
  <c r="T31334" i="15"/>
  <c r="T31333" i="15"/>
  <c r="T31332" i="15"/>
  <c r="T31331" i="15"/>
  <c r="T31330" i="15"/>
  <c r="T31329" i="15"/>
  <c r="T31328" i="15"/>
  <c r="T31327" i="15"/>
  <c r="T31326" i="15"/>
  <c r="T31325" i="15"/>
  <c r="T31324" i="15"/>
  <c r="T31323" i="15"/>
  <c r="T31322" i="15"/>
  <c r="T31321" i="15"/>
  <c r="T31320" i="15"/>
  <c r="T31319" i="15"/>
  <c r="T31318" i="15"/>
  <c r="T31317" i="15"/>
  <c r="T31316" i="15"/>
  <c r="T31315" i="15"/>
  <c r="T31314" i="15"/>
  <c r="T31313" i="15"/>
  <c r="T31312" i="15"/>
  <c r="T31311" i="15"/>
  <c r="T31310" i="15"/>
  <c r="T31309" i="15"/>
  <c r="T31308" i="15"/>
  <c r="T31307" i="15"/>
  <c r="T31306" i="15"/>
  <c r="T31305" i="15"/>
  <c r="T31304" i="15"/>
  <c r="T31303" i="15"/>
  <c r="T31302" i="15"/>
  <c r="T31301" i="15"/>
  <c r="T31300" i="15"/>
  <c r="T31299" i="15"/>
  <c r="T31298" i="15"/>
  <c r="T31297" i="15"/>
  <c r="T31296" i="15"/>
  <c r="T31295" i="15"/>
  <c r="T31294" i="15"/>
  <c r="T31293" i="15"/>
  <c r="T31292" i="15"/>
  <c r="T31291" i="15"/>
  <c r="T31290" i="15"/>
  <c r="T31289" i="15"/>
  <c r="T31288" i="15"/>
  <c r="T31287" i="15"/>
  <c r="T31286" i="15"/>
  <c r="T31285" i="15"/>
  <c r="T31284" i="15"/>
  <c r="T31283" i="15"/>
  <c r="T31282" i="15"/>
  <c r="T31281" i="15"/>
  <c r="T31280" i="15"/>
  <c r="T31279" i="15"/>
  <c r="T31278" i="15"/>
  <c r="T31277" i="15"/>
  <c r="T31276" i="15"/>
  <c r="T31275" i="15"/>
  <c r="T31274" i="15"/>
  <c r="T31273" i="15"/>
  <c r="T31272" i="15"/>
  <c r="T31271" i="15"/>
  <c r="T31270" i="15"/>
  <c r="T31269" i="15"/>
  <c r="T31268" i="15"/>
  <c r="T31267" i="15"/>
  <c r="T31266" i="15"/>
  <c r="T31265" i="15"/>
  <c r="T31264" i="15"/>
  <c r="T31263" i="15"/>
  <c r="T31262" i="15"/>
  <c r="T31261" i="15"/>
  <c r="T31260" i="15"/>
  <c r="T31259" i="15"/>
  <c r="T31258" i="15"/>
  <c r="T31257" i="15"/>
  <c r="T31256" i="15"/>
  <c r="T31255" i="15"/>
  <c r="T31254" i="15"/>
  <c r="T31253" i="15"/>
  <c r="T31252" i="15"/>
  <c r="T31251" i="15"/>
  <c r="T31250" i="15"/>
  <c r="T31249" i="15"/>
  <c r="T31248" i="15"/>
  <c r="T31247" i="15"/>
  <c r="T31246" i="15"/>
  <c r="T31245" i="15"/>
  <c r="T31244" i="15"/>
  <c r="T31243" i="15"/>
  <c r="T31242" i="15"/>
  <c r="T31241" i="15"/>
  <c r="T31240" i="15"/>
  <c r="T31239" i="15"/>
  <c r="T31238" i="15"/>
  <c r="T31237" i="15"/>
  <c r="T31236" i="15"/>
  <c r="T31235" i="15"/>
  <c r="T31234" i="15"/>
  <c r="T31233" i="15"/>
  <c r="T31232" i="15"/>
  <c r="T31231" i="15"/>
  <c r="T31230" i="15"/>
  <c r="T31229" i="15"/>
  <c r="T31228" i="15"/>
  <c r="T31227" i="15"/>
  <c r="T31226" i="15"/>
  <c r="T31225" i="15"/>
  <c r="T31224" i="15"/>
  <c r="T31223" i="15"/>
  <c r="T31222" i="15"/>
  <c r="T31221" i="15"/>
  <c r="T31220" i="15"/>
  <c r="T31219" i="15"/>
  <c r="T31218" i="15"/>
  <c r="T31217" i="15"/>
  <c r="T31216" i="15"/>
  <c r="T31215" i="15"/>
  <c r="T31214" i="15"/>
  <c r="T31213" i="15"/>
  <c r="T31212" i="15"/>
  <c r="T31211" i="15"/>
  <c r="T31210" i="15"/>
  <c r="T31209" i="15"/>
  <c r="T31208" i="15"/>
  <c r="T31207" i="15"/>
  <c r="T31206" i="15"/>
  <c r="T31205" i="15"/>
  <c r="T31204" i="15"/>
  <c r="T31203" i="15"/>
  <c r="T31202" i="15"/>
  <c r="T31201" i="15"/>
  <c r="T31200" i="15"/>
  <c r="T31199" i="15"/>
  <c r="T31198" i="15"/>
  <c r="T31197" i="15"/>
  <c r="T31196" i="15"/>
  <c r="T31195" i="15"/>
  <c r="T31194" i="15"/>
  <c r="T31193" i="15"/>
  <c r="T31192" i="15"/>
  <c r="T31191" i="15"/>
  <c r="T31190" i="15"/>
  <c r="T31189" i="15"/>
  <c r="T31188" i="15"/>
  <c r="T31187" i="15"/>
  <c r="T31186" i="15"/>
  <c r="T31185" i="15"/>
  <c r="T31184" i="15"/>
  <c r="T31183" i="15"/>
  <c r="T31182" i="15"/>
  <c r="T31181" i="15"/>
  <c r="T31180" i="15"/>
  <c r="T31179" i="15"/>
  <c r="T31178" i="15"/>
  <c r="T31177" i="15"/>
  <c r="T31176" i="15"/>
  <c r="T31175" i="15"/>
  <c r="T31174" i="15"/>
  <c r="T31173" i="15"/>
  <c r="T31172" i="15"/>
  <c r="T31171" i="15"/>
  <c r="T31170" i="15"/>
  <c r="T31169" i="15"/>
  <c r="T31168" i="15"/>
  <c r="T31167" i="15"/>
  <c r="T31166" i="15"/>
  <c r="T31165" i="15"/>
  <c r="T31164" i="15"/>
  <c r="T31163" i="15"/>
  <c r="T31162" i="15"/>
  <c r="T31161" i="15"/>
  <c r="T31160" i="15"/>
  <c r="T31159" i="15"/>
  <c r="T31158" i="15"/>
  <c r="T31157" i="15"/>
  <c r="T31156" i="15"/>
  <c r="T31155" i="15"/>
  <c r="T31154" i="15"/>
  <c r="T31153" i="15"/>
  <c r="T31152" i="15"/>
  <c r="T31151" i="15"/>
  <c r="T31150" i="15"/>
  <c r="T31149" i="15"/>
  <c r="T31148" i="15"/>
  <c r="T31147" i="15"/>
  <c r="T31146" i="15"/>
  <c r="T31145" i="15"/>
  <c r="T31144" i="15"/>
  <c r="T31143" i="15"/>
  <c r="T31142" i="15"/>
  <c r="T31141" i="15"/>
  <c r="T31140" i="15"/>
  <c r="T31139" i="15"/>
  <c r="T31138" i="15"/>
  <c r="T31137" i="15"/>
  <c r="T31136" i="15"/>
  <c r="T31135" i="15"/>
  <c r="T31134" i="15"/>
  <c r="T31133" i="15"/>
  <c r="T31132" i="15"/>
  <c r="T31131" i="15"/>
  <c r="T31130" i="15"/>
  <c r="T31129" i="15"/>
  <c r="T31128" i="15"/>
  <c r="T31127" i="15"/>
  <c r="T31126" i="15"/>
  <c r="T31125" i="15"/>
  <c r="T31124" i="15"/>
  <c r="T31123" i="15"/>
  <c r="T31122" i="15"/>
  <c r="T31121" i="15"/>
  <c r="T31120" i="15"/>
  <c r="T31119" i="15"/>
  <c r="T31118" i="15"/>
  <c r="T31117" i="15"/>
  <c r="T31116" i="15"/>
  <c r="T31115" i="15"/>
  <c r="T31114" i="15"/>
  <c r="T31113" i="15"/>
  <c r="T31112" i="15"/>
  <c r="T31111" i="15"/>
  <c r="T31110" i="15"/>
  <c r="T31109" i="15"/>
  <c r="T31108" i="15"/>
  <c r="T31107" i="15"/>
  <c r="T31106" i="15"/>
  <c r="T31105" i="15"/>
  <c r="T31104" i="15"/>
  <c r="T31103" i="15"/>
  <c r="T31102" i="15"/>
  <c r="T31101" i="15"/>
  <c r="T31100" i="15"/>
  <c r="T31099" i="15"/>
  <c r="T31098" i="15"/>
  <c r="T31097" i="15"/>
  <c r="T31096" i="15"/>
  <c r="T31095" i="15"/>
  <c r="T31094" i="15"/>
  <c r="T31093" i="15"/>
  <c r="T31092" i="15"/>
  <c r="T31091" i="15"/>
  <c r="T31090" i="15"/>
  <c r="T31089" i="15"/>
  <c r="T31088" i="15"/>
  <c r="T31087" i="15"/>
  <c r="T31086" i="15"/>
  <c r="T31085" i="15"/>
  <c r="T31084" i="15"/>
  <c r="T31083" i="15"/>
  <c r="T31082" i="15"/>
  <c r="T31081" i="15"/>
  <c r="T31080" i="15"/>
  <c r="T31079" i="15"/>
  <c r="T31078" i="15"/>
  <c r="T31077" i="15"/>
  <c r="T31076" i="15"/>
  <c r="T31075" i="15"/>
  <c r="T31074" i="15"/>
  <c r="T31073" i="15"/>
  <c r="T31072" i="15"/>
  <c r="T31071" i="15"/>
  <c r="T31070" i="15"/>
  <c r="T31069" i="15"/>
  <c r="T31068" i="15"/>
  <c r="T31067" i="15"/>
  <c r="T31066" i="15"/>
  <c r="T31065" i="15"/>
  <c r="T31064" i="15"/>
  <c r="T31063" i="15"/>
  <c r="T31062" i="15"/>
  <c r="T31061" i="15"/>
  <c r="T31060" i="15"/>
  <c r="T31059" i="15"/>
  <c r="T31058" i="15"/>
  <c r="T31057" i="15"/>
  <c r="T31056" i="15"/>
  <c r="T31055" i="15"/>
  <c r="T31054" i="15"/>
  <c r="T31053" i="15"/>
  <c r="T31052" i="15"/>
  <c r="T31051" i="15"/>
  <c r="T31050" i="15"/>
  <c r="T31049" i="15"/>
  <c r="T31048" i="15"/>
  <c r="T31047" i="15"/>
  <c r="T31046" i="15"/>
  <c r="T31045" i="15"/>
  <c r="T31044" i="15"/>
  <c r="T31043" i="15"/>
  <c r="T31042" i="15"/>
  <c r="T31041" i="15"/>
  <c r="T31040" i="15"/>
  <c r="T31039" i="15"/>
  <c r="T31038" i="15"/>
  <c r="T31037" i="15"/>
  <c r="T31036" i="15"/>
  <c r="T31035" i="15"/>
  <c r="T31034" i="15"/>
  <c r="T31033" i="15"/>
  <c r="T31032" i="15"/>
  <c r="T31031" i="15"/>
  <c r="T31030" i="15"/>
  <c r="T31029" i="15"/>
  <c r="T31028" i="15"/>
  <c r="T31027" i="15"/>
  <c r="T31026" i="15"/>
  <c r="T31025" i="15"/>
  <c r="T31024" i="15"/>
  <c r="T31023" i="15"/>
  <c r="T31022" i="15"/>
  <c r="T31021" i="15"/>
  <c r="T31020" i="15"/>
  <c r="T31019" i="15"/>
  <c r="T31018" i="15"/>
  <c r="T31017" i="15"/>
  <c r="T31016" i="15"/>
  <c r="T31015" i="15"/>
  <c r="T31014" i="15"/>
  <c r="T31013" i="15"/>
  <c r="T31012" i="15"/>
  <c r="T31011" i="15"/>
  <c r="T31010" i="15"/>
  <c r="T31009" i="15"/>
  <c r="T31008" i="15"/>
  <c r="T31007" i="15"/>
  <c r="T31006" i="15"/>
  <c r="T31005" i="15"/>
  <c r="T31004" i="15"/>
  <c r="T31003" i="15"/>
  <c r="T31002" i="15"/>
  <c r="T31001" i="15"/>
  <c r="T31000" i="15"/>
  <c r="T30999" i="15"/>
  <c r="T30998" i="15"/>
  <c r="T30997" i="15"/>
  <c r="T30996" i="15"/>
  <c r="T30995" i="15"/>
  <c r="T30994" i="15"/>
  <c r="T30993" i="15"/>
  <c r="T30992" i="15"/>
  <c r="T30991" i="15"/>
  <c r="T30990" i="15"/>
  <c r="T30989" i="15"/>
  <c r="T30988" i="15"/>
  <c r="T30987" i="15"/>
  <c r="T30986" i="15"/>
  <c r="T30985" i="15"/>
  <c r="T30984" i="15"/>
  <c r="T30983" i="15"/>
  <c r="T30982" i="15"/>
  <c r="T30981" i="15"/>
  <c r="T30980" i="15"/>
  <c r="T30979" i="15"/>
  <c r="T30978" i="15"/>
  <c r="T30977" i="15"/>
  <c r="T30976" i="15"/>
  <c r="T30975" i="15"/>
  <c r="T30974" i="15"/>
  <c r="T30973" i="15"/>
  <c r="T30972" i="15"/>
  <c r="T30971" i="15"/>
  <c r="T30970" i="15"/>
  <c r="T30969" i="15"/>
  <c r="T30968" i="15"/>
  <c r="T30967" i="15"/>
  <c r="T30966" i="15"/>
  <c r="T30965" i="15"/>
  <c r="T30964" i="15"/>
  <c r="T30963" i="15"/>
  <c r="T30962" i="15"/>
  <c r="T30961" i="15"/>
  <c r="T30960" i="15"/>
  <c r="T30959" i="15"/>
  <c r="T30958" i="15"/>
  <c r="T30957" i="15"/>
  <c r="T30956" i="15"/>
  <c r="T30955" i="15"/>
  <c r="T30954" i="15"/>
  <c r="T30953" i="15"/>
  <c r="T30952" i="15"/>
  <c r="T30951" i="15"/>
  <c r="T30950" i="15"/>
  <c r="T30949" i="15"/>
  <c r="T30948" i="15"/>
  <c r="T30947" i="15"/>
  <c r="T30946" i="15"/>
  <c r="T30945" i="15"/>
  <c r="T30944" i="15"/>
  <c r="T30943" i="15"/>
  <c r="T30942" i="15"/>
  <c r="T30941" i="15"/>
  <c r="T30940" i="15"/>
  <c r="T30939" i="15"/>
  <c r="T30938" i="15"/>
  <c r="T30937" i="15"/>
  <c r="T30936" i="15"/>
  <c r="T30935" i="15"/>
  <c r="T30934" i="15"/>
  <c r="T30933" i="15"/>
  <c r="T30932" i="15"/>
  <c r="T30931" i="15"/>
  <c r="T30930" i="15"/>
  <c r="T30929" i="15"/>
  <c r="T30928" i="15"/>
  <c r="T30927" i="15"/>
  <c r="T30926" i="15"/>
  <c r="T30925" i="15"/>
  <c r="T30924" i="15"/>
  <c r="T30923" i="15"/>
  <c r="T30922" i="15"/>
  <c r="T30921" i="15"/>
  <c r="T30920" i="15"/>
  <c r="T30919" i="15"/>
  <c r="T30918" i="15"/>
  <c r="T30917" i="15"/>
  <c r="T30916" i="15"/>
  <c r="T30915" i="15"/>
  <c r="T30914" i="15"/>
  <c r="T30913" i="15"/>
  <c r="T30912" i="15"/>
  <c r="T30911" i="15"/>
  <c r="T30910" i="15"/>
  <c r="T30909" i="15"/>
  <c r="T30908" i="15"/>
  <c r="T30907" i="15"/>
  <c r="T30906" i="15"/>
  <c r="T30905" i="15"/>
  <c r="T30904" i="15"/>
  <c r="T30903" i="15"/>
  <c r="T30902" i="15"/>
  <c r="T30901" i="15"/>
  <c r="T30900" i="15"/>
  <c r="T30899" i="15"/>
  <c r="T30898" i="15"/>
  <c r="T30897" i="15"/>
  <c r="T30896" i="15"/>
  <c r="T30895" i="15"/>
  <c r="T30894" i="15"/>
  <c r="T30893" i="15"/>
  <c r="T30892" i="15"/>
  <c r="T30891" i="15"/>
  <c r="T30890" i="15"/>
  <c r="T30889" i="15"/>
  <c r="T30888" i="15"/>
  <c r="T30887" i="15"/>
  <c r="T30886" i="15"/>
  <c r="T30885" i="15"/>
  <c r="T30884" i="15"/>
  <c r="T30883" i="15"/>
  <c r="T30882" i="15"/>
  <c r="T30881" i="15"/>
  <c r="T30880" i="15"/>
  <c r="T30879" i="15"/>
  <c r="T30878" i="15"/>
  <c r="T30877" i="15"/>
  <c r="T30876" i="15"/>
  <c r="T30875" i="15"/>
  <c r="T30874" i="15"/>
  <c r="T30873" i="15"/>
  <c r="T30872" i="15"/>
  <c r="T30871" i="15"/>
  <c r="T30870" i="15"/>
  <c r="T30869" i="15"/>
  <c r="T30868" i="15"/>
  <c r="T30867" i="15"/>
  <c r="T30866" i="15"/>
  <c r="T30865" i="15"/>
  <c r="T30864" i="15"/>
  <c r="T30863" i="15"/>
  <c r="T30862" i="15"/>
  <c r="T30861" i="15"/>
  <c r="T30860" i="15"/>
  <c r="T30859" i="15"/>
  <c r="T30858" i="15"/>
  <c r="T30857" i="15"/>
  <c r="T30856" i="15"/>
  <c r="T30855" i="15"/>
  <c r="T30854" i="15"/>
  <c r="T30853" i="15"/>
  <c r="T30852" i="15"/>
  <c r="T30851" i="15"/>
  <c r="T30850" i="15"/>
  <c r="T30849" i="15"/>
  <c r="T30848" i="15"/>
  <c r="T30847" i="15"/>
  <c r="T30846" i="15"/>
  <c r="T30845" i="15"/>
  <c r="T30844" i="15"/>
  <c r="T30843" i="15"/>
  <c r="T30842" i="15"/>
  <c r="T30841" i="15"/>
  <c r="T30840" i="15"/>
  <c r="T30839" i="15"/>
  <c r="T30838" i="15"/>
  <c r="T30837" i="15"/>
  <c r="T30836" i="15"/>
  <c r="T30835" i="15"/>
  <c r="T30834" i="15"/>
  <c r="T30833" i="15"/>
  <c r="T30832" i="15"/>
  <c r="T30831" i="15"/>
  <c r="T30830" i="15"/>
  <c r="T30829" i="15"/>
  <c r="T30828" i="15"/>
  <c r="T30827" i="15"/>
  <c r="T30826" i="15"/>
  <c r="T30825" i="15"/>
  <c r="T30824" i="15"/>
  <c r="T30823" i="15"/>
  <c r="T30822" i="15"/>
  <c r="T30821" i="15"/>
  <c r="T30820" i="15"/>
  <c r="T30819" i="15"/>
  <c r="T30818" i="15"/>
  <c r="T30817" i="15"/>
  <c r="T30816" i="15"/>
  <c r="T30815" i="15"/>
  <c r="T30814" i="15"/>
  <c r="T30813" i="15"/>
  <c r="T30812" i="15"/>
  <c r="T30811" i="15"/>
  <c r="T30810" i="15"/>
  <c r="T30809" i="15"/>
  <c r="T30808" i="15"/>
  <c r="T30807" i="15"/>
  <c r="T30806" i="15"/>
  <c r="T30805" i="15"/>
  <c r="T30804" i="15"/>
  <c r="T30803" i="15"/>
  <c r="T30802" i="15"/>
  <c r="T30801" i="15"/>
  <c r="T30800" i="15"/>
  <c r="T30799" i="15"/>
  <c r="T30798" i="15"/>
  <c r="T30797" i="15"/>
  <c r="T30796" i="15"/>
  <c r="T30795" i="15"/>
  <c r="T30794" i="15"/>
  <c r="T30793" i="15"/>
  <c r="T30792" i="15"/>
  <c r="T30791" i="15"/>
  <c r="T30790" i="15"/>
  <c r="T30789" i="15"/>
  <c r="T30788" i="15"/>
  <c r="T30787" i="15"/>
  <c r="T30786" i="15"/>
  <c r="T30785" i="15"/>
  <c r="T30784" i="15"/>
  <c r="T30783" i="15"/>
  <c r="T30782" i="15"/>
  <c r="T30781" i="15"/>
  <c r="T30780" i="15"/>
  <c r="T30779" i="15"/>
  <c r="T30778" i="15"/>
  <c r="T30777" i="15"/>
  <c r="T30776" i="15"/>
  <c r="T30775" i="15"/>
  <c r="T30774" i="15"/>
  <c r="T30773" i="15"/>
  <c r="T30772" i="15"/>
  <c r="T30771" i="15"/>
  <c r="T30770" i="15"/>
  <c r="T30769" i="15"/>
  <c r="T30768" i="15"/>
  <c r="T30767" i="15"/>
  <c r="T30766" i="15"/>
  <c r="T30765" i="15"/>
  <c r="T30764" i="15"/>
  <c r="T30763" i="15"/>
  <c r="T30762" i="15"/>
  <c r="T30761" i="15"/>
  <c r="T30760" i="15"/>
  <c r="T30759" i="15"/>
  <c r="T30758" i="15"/>
  <c r="T30757" i="15"/>
  <c r="T30756" i="15"/>
  <c r="T30755" i="15"/>
  <c r="T30754" i="15"/>
  <c r="T30753" i="15"/>
  <c r="T30752" i="15"/>
  <c r="T30751" i="15"/>
  <c r="T30750" i="15"/>
  <c r="T30749" i="15"/>
  <c r="T30748" i="15"/>
  <c r="T30747" i="15"/>
  <c r="T30746" i="15"/>
  <c r="T30745" i="15"/>
  <c r="T30744" i="15"/>
  <c r="T30743" i="15"/>
  <c r="T30742" i="15"/>
  <c r="T30741" i="15"/>
  <c r="T30740" i="15"/>
  <c r="T30739" i="15"/>
  <c r="T30738" i="15"/>
  <c r="T30737" i="15"/>
  <c r="T30736" i="15"/>
  <c r="T30735" i="15"/>
  <c r="T30734" i="15"/>
  <c r="T30733" i="15"/>
  <c r="T30732" i="15"/>
  <c r="T30731" i="15"/>
  <c r="T30730" i="15"/>
  <c r="T30729" i="15"/>
  <c r="T30728" i="15"/>
  <c r="T30727" i="15"/>
  <c r="T30726" i="15"/>
  <c r="T30725" i="15"/>
  <c r="T30724" i="15"/>
  <c r="T30723" i="15"/>
  <c r="T30722" i="15"/>
  <c r="T30721" i="15"/>
  <c r="T30720" i="15"/>
  <c r="T30719" i="15"/>
  <c r="T30718" i="15"/>
  <c r="T30717" i="15"/>
  <c r="T30716" i="15"/>
  <c r="T30715" i="15"/>
  <c r="T30714" i="15"/>
  <c r="T30713" i="15"/>
  <c r="T30712" i="15"/>
  <c r="T30711" i="15"/>
  <c r="T30710" i="15"/>
  <c r="T30709" i="15"/>
  <c r="T30708" i="15"/>
  <c r="T30707" i="15"/>
  <c r="T30706" i="15"/>
  <c r="T30705" i="15"/>
  <c r="T30704" i="15"/>
  <c r="T30703" i="15"/>
  <c r="T30702" i="15"/>
  <c r="T30701" i="15"/>
  <c r="T30700" i="15"/>
  <c r="T30699" i="15"/>
  <c r="T30698" i="15"/>
  <c r="T30697" i="15"/>
  <c r="T30696" i="15"/>
  <c r="T30695" i="15"/>
  <c r="T30694" i="15"/>
  <c r="T30693" i="15"/>
  <c r="T30692" i="15"/>
  <c r="T30691" i="15"/>
  <c r="T30690" i="15"/>
  <c r="T30689" i="15"/>
  <c r="T30688" i="15"/>
  <c r="T30687" i="15"/>
  <c r="T30686" i="15"/>
  <c r="T30685" i="15"/>
  <c r="T30684" i="15"/>
  <c r="T30683" i="15"/>
  <c r="T30682" i="15"/>
  <c r="T30681" i="15"/>
  <c r="T30680" i="15"/>
  <c r="T30679" i="15"/>
  <c r="T30678" i="15"/>
  <c r="T30677" i="15"/>
  <c r="T30676" i="15"/>
  <c r="T30675" i="15"/>
  <c r="T30674" i="15"/>
  <c r="T30673" i="15"/>
  <c r="T30672" i="15"/>
  <c r="T30671" i="15"/>
  <c r="T30670" i="15"/>
  <c r="T30669" i="15"/>
  <c r="T30668" i="15"/>
  <c r="T30667" i="15"/>
  <c r="T30666" i="15"/>
  <c r="T30665" i="15"/>
  <c r="T30664" i="15"/>
  <c r="T30663" i="15"/>
  <c r="T30662" i="15"/>
  <c r="T30661" i="15"/>
  <c r="T30660" i="15"/>
  <c r="T30659" i="15"/>
  <c r="T30658" i="15"/>
  <c r="T30657" i="15"/>
  <c r="T30656" i="15"/>
  <c r="T30655" i="15"/>
  <c r="T30654" i="15"/>
  <c r="T30653" i="15"/>
  <c r="T30652" i="15"/>
  <c r="T30651" i="15"/>
  <c r="T30650" i="15"/>
  <c r="T30649" i="15"/>
  <c r="T30648" i="15"/>
  <c r="T30647" i="15"/>
  <c r="T30646" i="15"/>
  <c r="T30645" i="15"/>
  <c r="T30644" i="15"/>
  <c r="T30643" i="15"/>
  <c r="T30642" i="15"/>
  <c r="T30641" i="15"/>
  <c r="T30640" i="15"/>
  <c r="T30639" i="15"/>
  <c r="T30638" i="15"/>
  <c r="T30637" i="15"/>
  <c r="T30636" i="15"/>
  <c r="T30635" i="15"/>
  <c r="T30634" i="15"/>
  <c r="T30633" i="15"/>
  <c r="T30632" i="15"/>
  <c r="T30631" i="15"/>
  <c r="T30630" i="15"/>
  <c r="T30629" i="15"/>
  <c r="T30628" i="15"/>
  <c r="T30627" i="15"/>
  <c r="T30626" i="15"/>
  <c r="T30625" i="15"/>
  <c r="T30624" i="15"/>
  <c r="T30623" i="15"/>
  <c r="T30622" i="15"/>
  <c r="T30621" i="15"/>
  <c r="T30620" i="15"/>
  <c r="T30619" i="15"/>
  <c r="T30618" i="15"/>
  <c r="T30617" i="15"/>
  <c r="T30616" i="15"/>
  <c r="T30615" i="15"/>
  <c r="T30614" i="15"/>
  <c r="T30613" i="15"/>
  <c r="T30612" i="15"/>
  <c r="T30611" i="15"/>
  <c r="T30610" i="15"/>
  <c r="T30609" i="15"/>
  <c r="T30608" i="15"/>
  <c r="T30607" i="15"/>
  <c r="T30606" i="15"/>
  <c r="T30605" i="15"/>
  <c r="T30604" i="15"/>
  <c r="T30603" i="15"/>
  <c r="T30602" i="15"/>
  <c r="T30601" i="15"/>
  <c r="T30600" i="15"/>
  <c r="T30599" i="15"/>
  <c r="T30598" i="15"/>
  <c r="T30597" i="15"/>
  <c r="T30596" i="15"/>
  <c r="T30595" i="15"/>
  <c r="T30594" i="15"/>
  <c r="T30593" i="15"/>
  <c r="T30592" i="15"/>
  <c r="T30591" i="15"/>
  <c r="T30590" i="15"/>
  <c r="T30589" i="15"/>
  <c r="T30588" i="15"/>
  <c r="T30587" i="15"/>
  <c r="T30586" i="15"/>
  <c r="T30585" i="15"/>
  <c r="T30584" i="15"/>
  <c r="T30583" i="15"/>
  <c r="T30582" i="15"/>
  <c r="T30581" i="15"/>
  <c r="T30580" i="15"/>
  <c r="T30579" i="15"/>
  <c r="T30578" i="15"/>
  <c r="T30577" i="15"/>
  <c r="T30576" i="15"/>
  <c r="T30575" i="15"/>
  <c r="T30574" i="15"/>
  <c r="T30573" i="15"/>
  <c r="T30572" i="15"/>
  <c r="T30571" i="15"/>
  <c r="T30570" i="15"/>
  <c r="T30569" i="15"/>
  <c r="T30568" i="15"/>
  <c r="T30567" i="15"/>
  <c r="T30566" i="15"/>
  <c r="T30565" i="15"/>
  <c r="T30564" i="15"/>
  <c r="T30563" i="15"/>
  <c r="T30562" i="15"/>
  <c r="T30561" i="15"/>
  <c r="T30560" i="15"/>
  <c r="T30559" i="15"/>
  <c r="T30558" i="15"/>
  <c r="T30557" i="15"/>
  <c r="T30556" i="15"/>
  <c r="T30555" i="15"/>
  <c r="T30554" i="15"/>
  <c r="T30553" i="15"/>
  <c r="T30552" i="15"/>
  <c r="T30551" i="15"/>
  <c r="T30550" i="15"/>
  <c r="T30549" i="15"/>
  <c r="T30548" i="15"/>
  <c r="T30547" i="15"/>
  <c r="T30546" i="15"/>
  <c r="T30545" i="15"/>
  <c r="T30544" i="15"/>
  <c r="T30543" i="15"/>
  <c r="T30542" i="15"/>
  <c r="T30541" i="15"/>
  <c r="T30540" i="15"/>
  <c r="T30539" i="15"/>
  <c r="T30538" i="15"/>
  <c r="T30537" i="15"/>
  <c r="T30536" i="15"/>
  <c r="T30535" i="15"/>
  <c r="T30534" i="15"/>
  <c r="T30533" i="15"/>
  <c r="T30532" i="15"/>
  <c r="T30531" i="15"/>
  <c r="T30530" i="15"/>
  <c r="T30529" i="15"/>
  <c r="T30528" i="15"/>
  <c r="T30527" i="15"/>
  <c r="T30526" i="15"/>
  <c r="T30525" i="15"/>
  <c r="T30524" i="15"/>
  <c r="T30523" i="15"/>
  <c r="T30522" i="15"/>
  <c r="T30521" i="15"/>
  <c r="T30520" i="15"/>
  <c r="T30519" i="15"/>
  <c r="T30518" i="15"/>
  <c r="T30517" i="15"/>
  <c r="T30516" i="15"/>
  <c r="T30515" i="15"/>
  <c r="T30514" i="15"/>
  <c r="T30513" i="15"/>
  <c r="T30512" i="15"/>
  <c r="T30511" i="15"/>
  <c r="T30510" i="15"/>
  <c r="T30509" i="15"/>
  <c r="T30508" i="15"/>
  <c r="T30507" i="15"/>
  <c r="T30506" i="15"/>
  <c r="T30505" i="15"/>
  <c r="T30504" i="15"/>
  <c r="T30503" i="15"/>
  <c r="T30502" i="15"/>
  <c r="T30501" i="15"/>
  <c r="T30500" i="15"/>
  <c r="T30499" i="15"/>
  <c r="T30498" i="15"/>
  <c r="T30497" i="15"/>
  <c r="T30496" i="15"/>
  <c r="T30495" i="15"/>
  <c r="T30494" i="15"/>
  <c r="T30493" i="15"/>
  <c r="T30492" i="15"/>
  <c r="T30491" i="15"/>
  <c r="T30490" i="15"/>
  <c r="T30489" i="15"/>
  <c r="T30488" i="15"/>
  <c r="T30487" i="15"/>
  <c r="T30486" i="15"/>
  <c r="T30485" i="15"/>
  <c r="T30484" i="15"/>
  <c r="T30483" i="15"/>
  <c r="T30482" i="15"/>
  <c r="T30481" i="15"/>
  <c r="T30480" i="15"/>
  <c r="T30479" i="15"/>
  <c r="T30478" i="15"/>
  <c r="T30477" i="15"/>
  <c r="T30476" i="15"/>
  <c r="T30475" i="15"/>
  <c r="T30474" i="15"/>
  <c r="T30473" i="15"/>
  <c r="T30472" i="15"/>
  <c r="T30471" i="15"/>
  <c r="T30470" i="15"/>
  <c r="T30469" i="15"/>
  <c r="T30468" i="15"/>
  <c r="T30467" i="15"/>
  <c r="T30466" i="15"/>
  <c r="T30465" i="15"/>
  <c r="T30464" i="15"/>
  <c r="T30463" i="15"/>
  <c r="T30462" i="15"/>
  <c r="T30461" i="15"/>
  <c r="T30460" i="15"/>
  <c r="T30459" i="15"/>
  <c r="T30458" i="15"/>
  <c r="T30457" i="15"/>
  <c r="T30456" i="15"/>
  <c r="T30455" i="15"/>
  <c r="T30454" i="15"/>
  <c r="T30453" i="15"/>
  <c r="T30452" i="15"/>
  <c r="T30451" i="15"/>
  <c r="T30450" i="15"/>
  <c r="T30449" i="15"/>
  <c r="T30448" i="15"/>
  <c r="T30447" i="15"/>
  <c r="T30446" i="15"/>
  <c r="T30445" i="15"/>
  <c r="T30444" i="15"/>
  <c r="T30443" i="15"/>
  <c r="T30442" i="15"/>
  <c r="T30441" i="15"/>
  <c r="T30440" i="15"/>
  <c r="T30439" i="15"/>
  <c r="T30438" i="15"/>
  <c r="T30437" i="15"/>
  <c r="T30436" i="15"/>
  <c r="T30435" i="15"/>
  <c r="T30434" i="15"/>
  <c r="T30433" i="15"/>
  <c r="T30432" i="15"/>
  <c r="T30431" i="15"/>
  <c r="T30430" i="15"/>
  <c r="T30429" i="15"/>
  <c r="T30428" i="15"/>
  <c r="T30427" i="15"/>
  <c r="T30426" i="15"/>
  <c r="T30425" i="15"/>
  <c r="T30424" i="15"/>
  <c r="T30423" i="15"/>
  <c r="T30422" i="15"/>
  <c r="T30421" i="15"/>
  <c r="T30420" i="15"/>
  <c r="T30419" i="15"/>
  <c r="T30418" i="15"/>
  <c r="T30417" i="15"/>
  <c r="T30416" i="15"/>
  <c r="T30415" i="15"/>
  <c r="T30414" i="15"/>
  <c r="T30413" i="15"/>
  <c r="T30412" i="15"/>
  <c r="T30411" i="15"/>
  <c r="T30410" i="15"/>
  <c r="T30409" i="15"/>
  <c r="T30408" i="15"/>
  <c r="T30407" i="15"/>
  <c r="T30406" i="15"/>
  <c r="T30405" i="15"/>
  <c r="T30404" i="15"/>
  <c r="T30403" i="15"/>
  <c r="T30402" i="15"/>
  <c r="T30401" i="15"/>
  <c r="T30400" i="15"/>
  <c r="T30399" i="15"/>
  <c r="T30398" i="15"/>
  <c r="T30397" i="15"/>
  <c r="T30396" i="15"/>
  <c r="T30395" i="15"/>
  <c r="T30394" i="15"/>
  <c r="T30393" i="15"/>
  <c r="T30392" i="15"/>
  <c r="T30391" i="15"/>
  <c r="T30390" i="15"/>
  <c r="T30389" i="15"/>
  <c r="T30388" i="15"/>
  <c r="T30387" i="15"/>
  <c r="T30386" i="15"/>
  <c r="T30385" i="15"/>
  <c r="T30384" i="15"/>
  <c r="T30383" i="15"/>
  <c r="T30382" i="15"/>
  <c r="T30381" i="15"/>
  <c r="T30380" i="15"/>
  <c r="T30379" i="15"/>
  <c r="T30378" i="15"/>
  <c r="T30377" i="15"/>
  <c r="T30376" i="15"/>
  <c r="T30375" i="15"/>
  <c r="T30374" i="15"/>
  <c r="T30373" i="15"/>
  <c r="T30372" i="15"/>
  <c r="T30371" i="15"/>
  <c r="T30370" i="15"/>
  <c r="T30369" i="15"/>
  <c r="T30368" i="15"/>
  <c r="T30367" i="15"/>
  <c r="T30366" i="15"/>
  <c r="T30365" i="15"/>
  <c r="T30364" i="15"/>
  <c r="T30363" i="15"/>
  <c r="T30362" i="15"/>
  <c r="T30361" i="15"/>
  <c r="T30360" i="15"/>
  <c r="T30359" i="15"/>
  <c r="T30358" i="15"/>
  <c r="T30357" i="15"/>
  <c r="T30356" i="15"/>
  <c r="T30355" i="15"/>
  <c r="T30354" i="15"/>
  <c r="T30353" i="15"/>
  <c r="T30352" i="15"/>
  <c r="T30351" i="15"/>
  <c r="T30350" i="15"/>
  <c r="T30349" i="15"/>
  <c r="T30348" i="15"/>
  <c r="T30347" i="15"/>
  <c r="T30346" i="15"/>
  <c r="T30345" i="15"/>
  <c r="T30344" i="15"/>
  <c r="T30343" i="15"/>
  <c r="T30342" i="15"/>
  <c r="T30341" i="15"/>
  <c r="T30340" i="15"/>
  <c r="T30339" i="15"/>
  <c r="T30338" i="15"/>
  <c r="T30337" i="15"/>
  <c r="T30336" i="15"/>
  <c r="T30335" i="15"/>
  <c r="T30334" i="15"/>
  <c r="T30333" i="15"/>
  <c r="T30332" i="15"/>
  <c r="T30331" i="15"/>
  <c r="T30330" i="15"/>
  <c r="T30329" i="15"/>
  <c r="T30328" i="15"/>
  <c r="T30327" i="15"/>
  <c r="T30326" i="15"/>
  <c r="T30325" i="15"/>
  <c r="T30324" i="15"/>
  <c r="T30323" i="15"/>
  <c r="T30322" i="15"/>
  <c r="T30321" i="15"/>
  <c r="T30320" i="15"/>
  <c r="T30319" i="15"/>
  <c r="T30318" i="15"/>
  <c r="T30317" i="15"/>
  <c r="T30316" i="15"/>
  <c r="T30315" i="15"/>
  <c r="T30314" i="15"/>
  <c r="T30313" i="15"/>
  <c r="T30312" i="15"/>
  <c r="T30311" i="15"/>
  <c r="T30310" i="15"/>
  <c r="T30309" i="15"/>
  <c r="T30308" i="15"/>
  <c r="T30307" i="15"/>
  <c r="T30306" i="15"/>
  <c r="T30305" i="15"/>
  <c r="T30304" i="15"/>
  <c r="T30303" i="15"/>
  <c r="T30302" i="15"/>
  <c r="T30301" i="15"/>
  <c r="T30300" i="15"/>
  <c r="T30299" i="15"/>
  <c r="T30298" i="15"/>
  <c r="T30297" i="15"/>
  <c r="T30296" i="15"/>
  <c r="T30295" i="15"/>
  <c r="T30294" i="15"/>
  <c r="T30293" i="15"/>
  <c r="T30292" i="15"/>
  <c r="T30291" i="15"/>
  <c r="T30290" i="15"/>
  <c r="T30289" i="15"/>
  <c r="T30288" i="15"/>
  <c r="T30287" i="15"/>
  <c r="T30286" i="15"/>
  <c r="T30285" i="15"/>
  <c r="T30284" i="15"/>
  <c r="T30283" i="15"/>
  <c r="T30282" i="15"/>
  <c r="T30281" i="15"/>
  <c r="T30280" i="15"/>
  <c r="T30279" i="15"/>
  <c r="T30278" i="15"/>
  <c r="T30277" i="15"/>
  <c r="T30276" i="15"/>
  <c r="T30275" i="15"/>
  <c r="T30274" i="15"/>
  <c r="T30273" i="15"/>
  <c r="T30272" i="15"/>
  <c r="T30271" i="15"/>
  <c r="T30270" i="15"/>
  <c r="T30269" i="15"/>
  <c r="T30268" i="15"/>
  <c r="T30267" i="15"/>
  <c r="T30266" i="15"/>
  <c r="T30265" i="15"/>
  <c r="T30264" i="15"/>
  <c r="T30263" i="15"/>
  <c r="T30262" i="15"/>
  <c r="T30261" i="15"/>
  <c r="T30260" i="15"/>
  <c r="T30259" i="15"/>
  <c r="T30258" i="15"/>
  <c r="T30257" i="15"/>
  <c r="T30256" i="15"/>
  <c r="T30255" i="15"/>
  <c r="T30254" i="15"/>
  <c r="T30253" i="15"/>
  <c r="T30252" i="15"/>
  <c r="T30251" i="15"/>
  <c r="T30250" i="15"/>
  <c r="T30249" i="15"/>
  <c r="T30248" i="15"/>
  <c r="T30247" i="15"/>
  <c r="T30246" i="15"/>
  <c r="T30245" i="15"/>
  <c r="T30244" i="15"/>
  <c r="T30243" i="15"/>
  <c r="T30242" i="15"/>
  <c r="T30241" i="15"/>
  <c r="T30240" i="15"/>
  <c r="T30239" i="15"/>
  <c r="T30238" i="15"/>
  <c r="T30237" i="15"/>
  <c r="T30236" i="15"/>
  <c r="T30235" i="15"/>
  <c r="T30234" i="15"/>
  <c r="T30233" i="15"/>
  <c r="T30232" i="15"/>
  <c r="T30231" i="15"/>
  <c r="T30230" i="15"/>
  <c r="T30229" i="15"/>
  <c r="T30228" i="15"/>
  <c r="T30227" i="15"/>
  <c r="T30226" i="15"/>
  <c r="T30225" i="15"/>
  <c r="T30224" i="15"/>
  <c r="T30223" i="15"/>
  <c r="T30222" i="15"/>
  <c r="T30221" i="15"/>
  <c r="T30220" i="15"/>
  <c r="T30219" i="15"/>
  <c r="T30218" i="15"/>
  <c r="T30217" i="15"/>
  <c r="T30216" i="15"/>
  <c r="T30215" i="15"/>
  <c r="T30214" i="15"/>
  <c r="T30213" i="15"/>
  <c r="T30212" i="15"/>
  <c r="T30211" i="15"/>
  <c r="T30210" i="15"/>
  <c r="T30209" i="15"/>
  <c r="T30208" i="15"/>
  <c r="T30207" i="15"/>
  <c r="T30206" i="15"/>
  <c r="T30205" i="15"/>
  <c r="T30204" i="15"/>
  <c r="T30203" i="15"/>
  <c r="T30202" i="15"/>
  <c r="T30201" i="15"/>
  <c r="T30200" i="15"/>
  <c r="T30199" i="15"/>
  <c r="T30198" i="15"/>
  <c r="T30197" i="15"/>
  <c r="T30196" i="15"/>
  <c r="T30195" i="15"/>
  <c r="T30194" i="15"/>
  <c r="T30193" i="15"/>
  <c r="T30192" i="15"/>
  <c r="T30191" i="15"/>
  <c r="T30190" i="15"/>
  <c r="T30189" i="15"/>
  <c r="T30188" i="15"/>
  <c r="T30187" i="15"/>
  <c r="T30186" i="15"/>
  <c r="T30185" i="15"/>
  <c r="T30184" i="15"/>
  <c r="T30183" i="15"/>
  <c r="T30182" i="15"/>
  <c r="T30181" i="15"/>
  <c r="T30180" i="15"/>
  <c r="T30179" i="15"/>
  <c r="T30178" i="15"/>
  <c r="T30177" i="15"/>
  <c r="T30176" i="15"/>
  <c r="T30175" i="15"/>
  <c r="T30174" i="15"/>
  <c r="T30173" i="15"/>
  <c r="T30172" i="15"/>
  <c r="T30171" i="15"/>
  <c r="T30170" i="15"/>
  <c r="T30169" i="15"/>
  <c r="T30168" i="15"/>
  <c r="T30167" i="15"/>
  <c r="T30166" i="15"/>
  <c r="T30165" i="15"/>
  <c r="T30164" i="15"/>
  <c r="T30163" i="15"/>
  <c r="T30162" i="15"/>
  <c r="T30161" i="15"/>
  <c r="T30160" i="15"/>
  <c r="T30159" i="15"/>
  <c r="T30158" i="15"/>
  <c r="T30157" i="15"/>
  <c r="T30156" i="15"/>
  <c r="T30155" i="15"/>
  <c r="T30154" i="15"/>
  <c r="T30153" i="15"/>
  <c r="T30152" i="15"/>
  <c r="T30151" i="15"/>
  <c r="T30150" i="15"/>
  <c r="T30149" i="15"/>
  <c r="T30148" i="15"/>
  <c r="T30147" i="15"/>
  <c r="T30146" i="15"/>
  <c r="T30145" i="15"/>
  <c r="T30144" i="15"/>
  <c r="T30143" i="15"/>
  <c r="T30142" i="15"/>
  <c r="T30141" i="15"/>
  <c r="T30140" i="15"/>
  <c r="T30139" i="15"/>
  <c r="T30138" i="15"/>
  <c r="T30137" i="15"/>
  <c r="T30136" i="15"/>
  <c r="T30135" i="15"/>
  <c r="T30134" i="15"/>
  <c r="T30133" i="15"/>
  <c r="T30132" i="15"/>
  <c r="T30131" i="15"/>
  <c r="T30130" i="15"/>
  <c r="T30129" i="15"/>
  <c r="T30128" i="15"/>
  <c r="T30127" i="15"/>
  <c r="T30126" i="15"/>
  <c r="T30125" i="15"/>
  <c r="T30124" i="15"/>
  <c r="T30123" i="15"/>
  <c r="T30122" i="15"/>
  <c r="T30121" i="15"/>
  <c r="T30120" i="15"/>
  <c r="T30119" i="15"/>
  <c r="T30118" i="15"/>
  <c r="T30117" i="15"/>
  <c r="T30116" i="15"/>
  <c r="T30115" i="15"/>
  <c r="T30114" i="15"/>
  <c r="T30113" i="15"/>
  <c r="T30112" i="15"/>
  <c r="T30111" i="15"/>
  <c r="T30110" i="15"/>
  <c r="T30109" i="15"/>
  <c r="T30108" i="15"/>
  <c r="T30107" i="15"/>
  <c r="T30106" i="15"/>
  <c r="T30105" i="15"/>
  <c r="T30104" i="15"/>
  <c r="T30103" i="15"/>
  <c r="T30102" i="15"/>
  <c r="T30101" i="15"/>
  <c r="T30100" i="15"/>
  <c r="T30099" i="15"/>
  <c r="T30098" i="15"/>
  <c r="T30097" i="15"/>
  <c r="T30096" i="15"/>
  <c r="T30095" i="15"/>
  <c r="T30094" i="15"/>
  <c r="T30093" i="15"/>
  <c r="T30092" i="15"/>
  <c r="T30091" i="15"/>
  <c r="T30090" i="15"/>
  <c r="T30089" i="15"/>
  <c r="T30088" i="15"/>
  <c r="T30087" i="15"/>
  <c r="T30086" i="15"/>
  <c r="T30085" i="15"/>
  <c r="T30084" i="15"/>
  <c r="T30083" i="15"/>
  <c r="T30082" i="15"/>
  <c r="T30081" i="15"/>
  <c r="T30080" i="15"/>
  <c r="T30079" i="15"/>
  <c r="T30078" i="15"/>
  <c r="T30077" i="15"/>
  <c r="T30076" i="15"/>
  <c r="T30075" i="15"/>
  <c r="T30074" i="15"/>
  <c r="T30073" i="15"/>
  <c r="T30072" i="15"/>
  <c r="T30071" i="15"/>
  <c r="T30070" i="15"/>
  <c r="T30069" i="15"/>
  <c r="T30068" i="15"/>
  <c r="T30067" i="15"/>
  <c r="T30066" i="15"/>
  <c r="T30065" i="15"/>
  <c r="T30064" i="15"/>
  <c r="T30063" i="15"/>
  <c r="T30062" i="15"/>
  <c r="T30061" i="15"/>
  <c r="T30060" i="15"/>
  <c r="T30059" i="15"/>
  <c r="T30058" i="15"/>
  <c r="T30057" i="15"/>
  <c r="T30056" i="15"/>
  <c r="T30055" i="15"/>
  <c r="T30054" i="15"/>
  <c r="T30053" i="15"/>
  <c r="T30052" i="15"/>
  <c r="T30051" i="15"/>
  <c r="T30050" i="15"/>
  <c r="T30049" i="15"/>
  <c r="T30048" i="15"/>
  <c r="T30047" i="15"/>
  <c r="T30046" i="15"/>
  <c r="T30045" i="15"/>
  <c r="T30044" i="15"/>
  <c r="T30043" i="15"/>
  <c r="T30042" i="15"/>
  <c r="T30041" i="15"/>
  <c r="T30040" i="15"/>
  <c r="T30039" i="15"/>
  <c r="T30038" i="15"/>
  <c r="T30037" i="15"/>
  <c r="T30036" i="15"/>
  <c r="T30035" i="15"/>
  <c r="T30034" i="15"/>
  <c r="T30033" i="15"/>
  <c r="T30032" i="15"/>
  <c r="T30031" i="15"/>
  <c r="T30030" i="15"/>
  <c r="T30029" i="15"/>
  <c r="T30028" i="15"/>
  <c r="T30027" i="15"/>
  <c r="T30026" i="15"/>
  <c r="T30025" i="15"/>
  <c r="T30024" i="15"/>
  <c r="T30023" i="15"/>
  <c r="T30022" i="15"/>
  <c r="T30021" i="15"/>
  <c r="T30020" i="15"/>
  <c r="T30019" i="15"/>
  <c r="T30018" i="15"/>
  <c r="T30017" i="15"/>
  <c r="T30016" i="15"/>
  <c r="T30015" i="15"/>
  <c r="T30014" i="15"/>
  <c r="T30013" i="15"/>
  <c r="T30012" i="15"/>
  <c r="T30011" i="15"/>
  <c r="T30010" i="15"/>
  <c r="T30009" i="15"/>
  <c r="T30008" i="15"/>
  <c r="T30007" i="15"/>
  <c r="T30006" i="15"/>
  <c r="T30005" i="15"/>
  <c r="T30004" i="15"/>
  <c r="T30003" i="15"/>
  <c r="T30002" i="15"/>
  <c r="T30001" i="15"/>
  <c r="T30000" i="15"/>
  <c r="T29999" i="15"/>
  <c r="T29998" i="15"/>
  <c r="T29997" i="15"/>
  <c r="T29996" i="15"/>
  <c r="T29995" i="15"/>
  <c r="T29994" i="15"/>
  <c r="T29993" i="15"/>
  <c r="T29992" i="15"/>
  <c r="T29991" i="15"/>
  <c r="T29990" i="15"/>
  <c r="T29989" i="15"/>
  <c r="T29988" i="15"/>
  <c r="T29987" i="15"/>
  <c r="T29986" i="15"/>
  <c r="T29985" i="15"/>
  <c r="T29984" i="15"/>
  <c r="T29983" i="15"/>
  <c r="T29982" i="15"/>
  <c r="T29981" i="15"/>
  <c r="T29980" i="15"/>
  <c r="T29979" i="15"/>
  <c r="T29978" i="15"/>
  <c r="T29977" i="15"/>
  <c r="T29976" i="15"/>
  <c r="T29975" i="15"/>
  <c r="T29974" i="15"/>
  <c r="T29973" i="15"/>
  <c r="T29972" i="15"/>
  <c r="T29971" i="15"/>
  <c r="T29970" i="15"/>
  <c r="T29969" i="15"/>
  <c r="T29968" i="15"/>
  <c r="T29967" i="15"/>
  <c r="T29966" i="15"/>
  <c r="T29965" i="15"/>
  <c r="T29964" i="15"/>
  <c r="T29963" i="15"/>
  <c r="T29962" i="15"/>
  <c r="T29961" i="15"/>
  <c r="T29960" i="15"/>
  <c r="T29959" i="15"/>
  <c r="T29958" i="15"/>
  <c r="T29957" i="15"/>
  <c r="T29956" i="15"/>
  <c r="T29955" i="15"/>
  <c r="T29954" i="15"/>
  <c r="T29953" i="15"/>
  <c r="T29952" i="15"/>
  <c r="T29951" i="15"/>
  <c r="T29950" i="15"/>
  <c r="T29949" i="15"/>
  <c r="T29948" i="15"/>
  <c r="T29947" i="15"/>
  <c r="T29946" i="15"/>
  <c r="T29945" i="15"/>
  <c r="T29944" i="15"/>
  <c r="T29943" i="15"/>
  <c r="T29942" i="15"/>
  <c r="T29941" i="15"/>
  <c r="T29940" i="15"/>
  <c r="T29939" i="15"/>
  <c r="T29938" i="15"/>
  <c r="T29937" i="15"/>
  <c r="T29936" i="15"/>
  <c r="T29935" i="15"/>
  <c r="T29934" i="15"/>
  <c r="T29933" i="15"/>
  <c r="T29932" i="15"/>
  <c r="T29931" i="15"/>
  <c r="T29930" i="15"/>
  <c r="T29929" i="15"/>
  <c r="T29928" i="15"/>
  <c r="T29927" i="15"/>
  <c r="T29926" i="15"/>
  <c r="T29925" i="15"/>
  <c r="T29924" i="15"/>
  <c r="T29923" i="15"/>
  <c r="T29922" i="15"/>
  <c r="T29921" i="15"/>
  <c r="T29920" i="15"/>
  <c r="T29919" i="15"/>
  <c r="T29918" i="15"/>
  <c r="T29917" i="15"/>
  <c r="T29916" i="15"/>
  <c r="T29915" i="15"/>
  <c r="T29914" i="15"/>
  <c r="T29913" i="15"/>
  <c r="T29912" i="15"/>
  <c r="T29911" i="15"/>
  <c r="T29910" i="15"/>
  <c r="T29909" i="15"/>
  <c r="T29908" i="15"/>
  <c r="T29907" i="15"/>
  <c r="T29906" i="15"/>
  <c r="T29905" i="15"/>
  <c r="T29904" i="15"/>
  <c r="T29903" i="15"/>
  <c r="T29902" i="15"/>
  <c r="T29901" i="15"/>
  <c r="T29900" i="15"/>
  <c r="T29899" i="15"/>
  <c r="T29898" i="15"/>
  <c r="T29897" i="15"/>
  <c r="T29896" i="15"/>
  <c r="T29895" i="15"/>
  <c r="T29894" i="15"/>
  <c r="T29893" i="15"/>
  <c r="T29892" i="15"/>
  <c r="T29891" i="15"/>
  <c r="T29890" i="15"/>
  <c r="T29889" i="15"/>
  <c r="T29888" i="15"/>
  <c r="T29887" i="15"/>
  <c r="T29886" i="15"/>
  <c r="T29885" i="15"/>
  <c r="T29884" i="15"/>
  <c r="T29883" i="15"/>
  <c r="T29882" i="15"/>
  <c r="T29881" i="15"/>
  <c r="T29880" i="15"/>
  <c r="T29879" i="15"/>
  <c r="T29878" i="15"/>
  <c r="T29877" i="15"/>
  <c r="T29876" i="15"/>
  <c r="T29875" i="15"/>
  <c r="T29874" i="15"/>
  <c r="T29873" i="15"/>
  <c r="T29872" i="15"/>
  <c r="T29871" i="15"/>
  <c r="T29870" i="15"/>
  <c r="T29869" i="15"/>
  <c r="T29868" i="15"/>
  <c r="T29867" i="15"/>
  <c r="T29866" i="15"/>
  <c r="T29865" i="15"/>
  <c r="T29864" i="15"/>
  <c r="T29863" i="15"/>
  <c r="T29862" i="15"/>
  <c r="T29861" i="15"/>
  <c r="T29860" i="15"/>
  <c r="T29859" i="15"/>
  <c r="T29858" i="15"/>
  <c r="T29857" i="15"/>
  <c r="T29856" i="15"/>
  <c r="T29855" i="15"/>
  <c r="T29854" i="15"/>
  <c r="T29853" i="15"/>
  <c r="T29852" i="15"/>
  <c r="T29851" i="15"/>
  <c r="T29850" i="15"/>
  <c r="T29849" i="15"/>
  <c r="T29848" i="15"/>
  <c r="T29847" i="15"/>
  <c r="T29846" i="15"/>
  <c r="T29845" i="15"/>
  <c r="T29844" i="15"/>
  <c r="T29843" i="15"/>
  <c r="T29842" i="15"/>
  <c r="T29841" i="15"/>
  <c r="T29840" i="15"/>
  <c r="T29839" i="15"/>
  <c r="T29838" i="15"/>
  <c r="T29837" i="15"/>
  <c r="T29836" i="15"/>
  <c r="T29835" i="15"/>
  <c r="T29834" i="15"/>
  <c r="T29833" i="15"/>
  <c r="T29832" i="15"/>
  <c r="T29831" i="15"/>
  <c r="T29830" i="15"/>
  <c r="T29829" i="15"/>
  <c r="T29828" i="15"/>
  <c r="T29827" i="15"/>
  <c r="T29826" i="15"/>
  <c r="T29825" i="15"/>
  <c r="T29824" i="15"/>
  <c r="T29823" i="15"/>
  <c r="T29822" i="15"/>
  <c r="T29821" i="15"/>
  <c r="T29820" i="15"/>
  <c r="T29819" i="15"/>
  <c r="T29818" i="15"/>
  <c r="T29817" i="15"/>
  <c r="T29816" i="15"/>
  <c r="T29815" i="15"/>
  <c r="T29814" i="15"/>
  <c r="T29813" i="15"/>
  <c r="T29812" i="15"/>
  <c r="T29811" i="15"/>
  <c r="T29810" i="15"/>
  <c r="T29809" i="15"/>
  <c r="T29808" i="15"/>
  <c r="T29807" i="15"/>
  <c r="T29806" i="15"/>
  <c r="T29805" i="15"/>
  <c r="T29804" i="15"/>
  <c r="T29803" i="15"/>
  <c r="T29802" i="15"/>
  <c r="T29801" i="15"/>
  <c r="T29800" i="15"/>
  <c r="T29799" i="15"/>
  <c r="T29798" i="15"/>
  <c r="T29797" i="15"/>
  <c r="T29796" i="15"/>
  <c r="T29795" i="15"/>
  <c r="T29794" i="15"/>
  <c r="T29793" i="15"/>
  <c r="T29792" i="15"/>
  <c r="T29791" i="15"/>
  <c r="T29790" i="15"/>
  <c r="T29789" i="15"/>
  <c r="T29788" i="15"/>
  <c r="T29787" i="15"/>
  <c r="T29786" i="15"/>
  <c r="T29785" i="15"/>
  <c r="T29784" i="15"/>
  <c r="T29783" i="15"/>
  <c r="T29782" i="15"/>
  <c r="T29781" i="15"/>
  <c r="T29780" i="15"/>
  <c r="T29779" i="15"/>
  <c r="T29778" i="15"/>
  <c r="T29777" i="15"/>
  <c r="T29776" i="15"/>
  <c r="T29775" i="15"/>
  <c r="T29774" i="15"/>
  <c r="T29773" i="15"/>
  <c r="T29772" i="15"/>
  <c r="T29771" i="15"/>
  <c r="T29770" i="15"/>
  <c r="T29769" i="15"/>
  <c r="T29768" i="15"/>
  <c r="T29767" i="15"/>
  <c r="T29766" i="15"/>
  <c r="T29765" i="15"/>
  <c r="T29764" i="15"/>
  <c r="T29763" i="15"/>
  <c r="T29762" i="15"/>
  <c r="T29761" i="15"/>
  <c r="T29760" i="15"/>
  <c r="T29759" i="15"/>
  <c r="T29758" i="15"/>
  <c r="T29757" i="15"/>
  <c r="T29756" i="15"/>
  <c r="T29755" i="15"/>
  <c r="T29754" i="15"/>
  <c r="T29753" i="15"/>
  <c r="T29752" i="15"/>
  <c r="T29751" i="15"/>
  <c r="T29750" i="15"/>
  <c r="T29749" i="15"/>
  <c r="T29748" i="15"/>
  <c r="T29747" i="15"/>
  <c r="T29746" i="15"/>
  <c r="T29745" i="15"/>
  <c r="T29744" i="15"/>
  <c r="T29743" i="15"/>
  <c r="T29742" i="15"/>
  <c r="T29741" i="15"/>
  <c r="T29740" i="15"/>
  <c r="T29739" i="15"/>
  <c r="T29738" i="15"/>
  <c r="T29737" i="15"/>
  <c r="T29736" i="15"/>
  <c r="T29735" i="15"/>
  <c r="T29734" i="15"/>
  <c r="T29733" i="15"/>
  <c r="T29732" i="15"/>
  <c r="T29731" i="15"/>
  <c r="T29730" i="15"/>
  <c r="T29729" i="15"/>
  <c r="T29728" i="15"/>
  <c r="T29727" i="15"/>
  <c r="T29726" i="15"/>
  <c r="T29725" i="15"/>
  <c r="T29724" i="15"/>
  <c r="T29723" i="15"/>
  <c r="T29722" i="15"/>
  <c r="T29721" i="15"/>
  <c r="T29720" i="15"/>
  <c r="T29719" i="15"/>
  <c r="T29718" i="15"/>
  <c r="T29717" i="15"/>
  <c r="T29716" i="15"/>
  <c r="T29715" i="15"/>
  <c r="T29714" i="15"/>
  <c r="T29713" i="15"/>
  <c r="T29712" i="15"/>
  <c r="T29711" i="15"/>
  <c r="T29710" i="15"/>
  <c r="T29709" i="15"/>
  <c r="T29708" i="15"/>
  <c r="T29707" i="15"/>
  <c r="T29706" i="15"/>
  <c r="T29705" i="15"/>
  <c r="T29704" i="15"/>
  <c r="T29703" i="15"/>
  <c r="T29702" i="15"/>
  <c r="T29701" i="15"/>
  <c r="T29700" i="15"/>
  <c r="T29699" i="15"/>
  <c r="T29698" i="15"/>
  <c r="T29697" i="15"/>
  <c r="T29696" i="15"/>
  <c r="T29695" i="15"/>
  <c r="T29694" i="15"/>
  <c r="T29693" i="15"/>
  <c r="T29692" i="15"/>
  <c r="T29691" i="15"/>
  <c r="T29690" i="15"/>
  <c r="T29689" i="15"/>
  <c r="T29688" i="15"/>
  <c r="T29687" i="15"/>
  <c r="T29686" i="15"/>
  <c r="T29685" i="15"/>
  <c r="T29684" i="15"/>
  <c r="T29683" i="15"/>
  <c r="T29682" i="15"/>
  <c r="T29681" i="15"/>
  <c r="T29680" i="15"/>
  <c r="T29679" i="15"/>
  <c r="T29678" i="15"/>
  <c r="T29677" i="15"/>
  <c r="T29676" i="15"/>
  <c r="T29675" i="15"/>
  <c r="T29674" i="15"/>
  <c r="T29673" i="15"/>
  <c r="T29672" i="15"/>
  <c r="T29671" i="15"/>
  <c r="T29670" i="15"/>
  <c r="T29669" i="15"/>
  <c r="T29668" i="15"/>
  <c r="T29667" i="15"/>
  <c r="T29666" i="15"/>
  <c r="T29665" i="15"/>
  <c r="T29664" i="15"/>
  <c r="T29663" i="15"/>
  <c r="T29662" i="15"/>
  <c r="T29661" i="15"/>
  <c r="T29660" i="15"/>
  <c r="T29659" i="15"/>
  <c r="T29658" i="15"/>
  <c r="T29657" i="15"/>
  <c r="T29656" i="15"/>
  <c r="T29655" i="15"/>
  <c r="T29654" i="15"/>
  <c r="T29653" i="15"/>
  <c r="T29652" i="15"/>
  <c r="T29651" i="15"/>
  <c r="T29650" i="15"/>
  <c r="T29649" i="15"/>
  <c r="T29648" i="15"/>
  <c r="T29647" i="15"/>
  <c r="T29646" i="15"/>
  <c r="T29645" i="15"/>
  <c r="T29644" i="15"/>
  <c r="T29643" i="15"/>
  <c r="T29642" i="15"/>
  <c r="T29641" i="15"/>
  <c r="T29640" i="15"/>
  <c r="T29639" i="15"/>
  <c r="T29638" i="15"/>
  <c r="T29637" i="15"/>
  <c r="T29636" i="15"/>
  <c r="T29635" i="15"/>
  <c r="T29634" i="15"/>
  <c r="T29633" i="15"/>
  <c r="T29632" i="15"/>
  <c r="T29631" i="15"/>
  <c r="T29630" i="15"/>
  <c r="T29629" i="15"/>
  <c r="T29628" i="15"/>
  <c r="T29627" i="15"/>
  <c r="T29626" i="15"/>
  <c r="T29625" i="15"/>
  <c r="T29624" i="15"/>
  <c r="T29623" i="15"/>
  <c r="T29622" i="15"/>
  <c r="T29621" i="15"/>
  <c r="T29620" i="15"/>
  <c r="T29619" i="15"/>
  <c r="T29618" i="15"/>
  <c r="T29617" i="15"/>
  <c r="T29616" i="15"/>
  <c r="T29615" i="15"/>
  <c r="T29614" i="15"/>
  <c r="T29613" i="15"/>
  <c r="T29612" i="15"/>
  <c r="T29611" i="15"/>
  <c r="T29610" i="15"/>
  <c r="T29609" i="15"/>
  <c r="T29608" i="15"/>
  <c r="T29607" i="15"/>
  <c r="T29606" i="15"/>
  <c r="T29605" i="15"/>
  <c r="T29604" i="15"/>
  <c r="T29603" i="15"/>
  <c r="T29602" i="15"/>
  <c r="T29601" i="15"/>
  <c r="T29600" i="15"/>
  <c r="T29599" i="15"/>
  <c r="T29598" i="15"/>
  <c r="T29597" i="15"/>
  <c r="T29596" i="15"/>
  <c r="T29595" i="15"/>
  <c r="T29594" i="15"/>
  <c r="T29593" i="15"/>
  <c r="T29592" i="15"/>
  <c r="T29591" i="15"/>
  <c r="T29590" i="15"/>
  <c r="T29589" i="15"/>
  <c r="T29588" i="15"/>
  <c r="T29587" i="15"/>
  <c r="T29586" i="15"/>
  <c r="T29585" i="15"/>
  <c r="T29584" i="15"/>
  <c r="T29583" i="15"/>
  <c r="T29582" i="15"/>
  <c r="T29581" i="15"/>
  <c r="T29580" i="15"/>
  <c r="T29579" i="15"/>
  <c r="T29578" i="15"/>
  <c r="T29577" i="15"/>
  <c r="T29576" i="15"/>
  <c r="T29575" i="15"/>
  <c r="T29574" i="15"/>
  <c r="T29573" i="15"/>
  <c r="T29572" i="15"/>
  <c r="T29571" i="15"/>
  <c r="T29570" i="15"/>
  <c r="T29569" i="15"/>
  <c r="T29568" i="15"/>
  <c r="T29567" i="15"/>
  <c r="T29566" i="15"/>
  <c r="T29565" i="15"/>
  <c r="T29564" i="15"/>
  <c r="T29563" i="15"/>
  <c r="T29562" i="15"/>
  <c r="T29561" i="15"/>
  <c r="T29560" i="15"/>
  <c r="T29559" i="15"/>
  <c r="T29558" i="15"/>
  <c r="T29557" i="15"/>
  <c r="T29556" i="15"/>
  <c r="T29555" i="15"/>
  <c r="T29554" i="15"/>
  <c r="T29553" i="15"/>
  <c r="T29552" i="15"/>
  <c r="T29551" i="15"/>
  <c r="T29550" i="15"/>
  <c r="T29549" i="15"/>
  <c r="T29548" i="15"/>
  <c r="T29547" i="15"/>
  <c r="T29546" i="15"/>
  <c r="T29545" i="15"/>
  <c r="T29544" i="15"/>
  <c r="T29543" i="15"/>
  <c r="T29542" i="15"/>
  <c r="T29541" i="15"/>
  <c r="T29540" i="15"/>
  <c r="T29539" i="15"/>
  <c r="T29538" i="15"/>
  <c r="T29537" i="15"/>
  <c r="T29536" i="15"/>
  <c r="T29535" i="15"/>
  <c r="T29534" i="15"/>
  <c r="T29533" i="15"/>
  <c r="T29532" i="15"/>
  <c r="T29531" i="15"/>
  <c r="T29530" i="15"/>
  <c r="T29529" i="15"/>
  <c r="T29528" i="15"/>
  <c r="T29527" i="15"/>
  <c r="T29526" i="15"/>
  <c r="T29525" i="15"/>
  <c r="T29524" i="15"/>
  <c r="T29523" i="15"/>
  <c r="T29522" i="15"/>
  <c r="T29521" i="15"/>
  <c r="T29520" i="15"/>
  <c r="T29519" i="15"/>
  <c r="T29518" i="15"/>
  <c r="T29517" i="15"/>
  <c r="T29516" i="15"/>
  <c r="T29515" i="15"/>
  <c r="T29514" i="15"/>
  <c r="T29513" i="15"/>
  <c r="T29512" i="15"/>
  <c r="T29511" i="15"/>
  <c r="T29510" i="15"/>
  <c r="T29509" i="15"/>
  <c r="T29508" i="15"/>
  <c r="T29507" i="15"/>
  <c r="T29506" i="15"/>
  <c r="T29505" i="15"/>
  <c r="T29504" i="15"/>
  <c r="T29503" i="15"/>
  <c r="T29502" i="15"/>
  <c r="T29501" i="15"/>
  <c r="T29500" i="15"/>
  <c r="T29499" i="15"/>
  <c r="T29498" i="15"/>
  <c r="T29497" i="15"/>
  <c r="T29496" i="15"/>
  <c r="T29495" i="15"/>
  <c r="T29494" i="15"/>
  <c r="T29493" i="15"/>
  <c r="T29492" i="15"/>
  <c r="T29491" i="15"/>
  <c r="T29490" i="15"/>
  <c r="T29489" i="15"/>
  <c r="T29488" i="15"/>
  <c r="T29487" i="15"/>
  <c r="T29486" i="15"/>
  <c r="T29485" i="15"/>
  <c r="T29484" i="15"/>
  <c r="T29483" i="15"/>
  <c r="T29482" i="15"/>
  <c r="T29481" i="15"/>
  <c r="T29480" i="15"/>
  <c r="T29479" i="15"/>
  <c r="T29478" i="15"/>
  <c r="T29477" i="15"/>
  <c r="T29476" i="15"/>
  <c r="T29475" i="15"/>
  <c r="T29474" i="15"/>
  <c r="T29473" i="15"/>
  <c r="T29472" i="15"/>
  <c r="T29471" i="15"/>
  <c r="T29470" i="15"/>
  <c r="T29469" i="15"/>
  <c r="T29468" i="15"/>
  <c r="T29467" i="15"/>
  <c r="T29466" i="15"/>
  <c r="T29465" i="15"/>
  <c r="T29464" i="15"/>
  <c r="T29463" i="15"/>
  <c r="T29462" i="15"/>
  <c r="T29461" i="15"/>
  <c r="T29460" i="15"/>
  <c r="T29459" i="15"/>
  <c r="T29458" i="15"/>
  <c r="T29457" i="15"/>
  <c r="T29456" i="15"/>
  <c r="T29455" i="15"/>
  <c r="T29454" i="15"/>
  <c r="T29453" i="15"/>
  <c r="T29452" i="15"/>
  <c r="T29451" i="15"/>
  <c r="T29450" i="15"/>
  <c r="T29449" i="15"/>
  <c r="T29448" i="15"/>
  <c r="T29447" i="15"/>
  <c r="T29446" i="15"/>
  <c r="T29445" i="15"/>
  <c r="T29444" i="15"/>
  <c r="T29443" i="15"/>
  <c r="T29442" i="15"/>
  <c r="T29441" i="15"/>
  <c r="T29440" i="15"/>
  <c r="T29439" i="15"/>
  <c r="T29438" i="15"/>
  <c r="T29437" i="15"/>
  <c r="T29436" i="15"/>
  <c r="T29435" i="15"/>
  <c r="T29434" i="15"/>
  <c r="T29433" i="15"/>
  <c r="T29432" i="15"/>
  <c r="T29431" i="15"/>
  <c r="T29430" i="15"/>
  <c r="T29429" i="15"/>
  <c r="T29428" i="15"/>
  <c r="T29427" i="15"/>
  <c r="T29426" i="15"/>
  <c r="T29425" i="15"/>
  <c r="T29424" i="15"/>
  <c r="T29423" i="15"/>
  <c r="T29422" i="15"/>
  <c r="T29421" i="15"/>
  <c r="T29420" i="15"/>
  <c r="T29419" i="15"/>
  <c r="T29418" i="15"/>
  <c r="T29417" i="15"/>
  <c r="T29416" i="15"/>
  <c r="T29415" i="15"/>
  <c r="T29414" i="15"/>
  <c r="T29413" i="15"/>
  <c r="T29412" i="15"/>
  <c r="T29411" i="15"/>
  <c r="T29410" i="15"/>
  <c r="T29409" i="15"/>
  <c r="T29408" i="15"/>
  <c r="T29407" i="15"/>
  <c r="T29406" i="15"/>
  <c r="T29405" i="15"/>
  <c r="T29404" i="15"/>
  <c r="T29403" i="15"/>
  <c r="T29402" i="15"/>
  <c r="T29401" i="15"/>
  <c r="T29400" i="15"/>
  <c r="T29399" i="15"/>
  <c r="T29398" i="15"/>
  <c r="T29397" i="15"/>
  <c r="T29396" i="15"/>
  <c r="T29395" i="15"/>
  <c r="T29394" i="15"/>
  <c r="T29393" i="15"/>
  <c r="T29392" i="15"/>
  <c r="T29391" i="15"/>
  <c r="T29390" i="15"/>
  <c r="T29389" i="15"/>
  <c r="T29388" i="15"/>
  <c r="T29387" i="15"/>
  <c r="T29386" i="15"/>
  <c r="T29385" i="15"/>
  <c r="T29384" i="15"/>
  <c r="T29383" i="15"/>
  <c r="T29382" i="15"/>
  <c r="T29381" i="15"/>
  <c r="T29380" i="15"/>
  <c r="T29379" i="15"/>
  <c r="T29378" i="15"/>
  <c r="T29377" i="15"/>
  <c r="T29376" i="15"/>
  <c r="T29375" i="15"/>
  <c r="T29374" i="15"/>
  <c r="T29373" i="15"/>
  <c r="T29372" i="15"/>
  <c r="T29371" i="15"/>
  <c r="T29370" i="15"/>
  <c r="T29369" i="15"/>
  <c r="T29368" i="15"/>
  <c r="T29367" i="15"/>
  <c r="T29366" i="15"/>
  <c r="T29365" i="15"/>
  <c r="T29364" i="15"/>
  <c r="T29363" i="15"/>
  <c r="T29362" i="15"/>
  <c r="T29361" i="15"/>
  <c r="T29360" i="15"/>
  <c r="T29359" i="15"/>
  <c r="T29358" i="15"/>
  <c r="T29357" i="15"/>
  <c r="T29356" i="15"/>
  <c r="T29355" i="15"/>
  <c r="T29354" i="15"/>
  <c r="T29353" i="15"/>
  <c r="T29352" i="15"/>
  <c r="T29351" i="15"/>
  <c r="T29350" i="15"/>
  <c r="T29349" i="15"/>
  <c r="T29348" i="15"/>
  <c r="T29347" i="15"/>
  <c r="T29346" i="15"/>
  <c r="T29345" i="15"/>
  <c r="T29344" i="15"/>
  <c r="T29343" i="15"/>
  <c r="T29342" i="15"/>
  <c r="T29341" i="15"/>
  <c r="T29340" i="15"/>
  <c r="T29339" i="15"/>
  <c r="T29338" i="15"/>
  <c r="T29337" i="15"/>
  <c r="T29336" i="15"/>
  <c r="T29335" i="15"/>
  <c r="T29334" i="15"/>
  <c r="T29333" i="15"/>
  <c r="T29332" i="15"/>
  <c r="T29331" i="15"/>
  <c r="T29330" i="15"/>
  <c r="T29329" i="15"/>
  <c r="T29328" i="15"/>
  <c r="T29327" i="15"/>
  <c r="T29326" i="15"/>
  <c r="T29325" i="15"/>
  <c r="T29324" i="15"/>
  <c r="T29323" i="15"/>
  <c r="T29322" i="15"/>
  <c r="T29321" i="15"/>
  <c r="T29320" i="15"/>
  <c r="T29319" i="15"/>
  <c r="T29318" i="15"/>
  <c r="T29317" i="15"/>
  <c r="T29316" i="15"/>
  <c r="T29315" i="15"/>
  <c r="T29314" i="15"/>
  <c r="T29313" i="15"/>
  <c r="T29312" i="15"/>
  <c r="T29311" i="15"/>
  <c r="T29310" i="15"/>
  <c r="T29309" i="15"/>
  <c r="T29308" i="15"/>
  <c r="T29307" i="15"/>
  <c r="T29306" i="15"/>
  <c r="T29305" i="15"/>
  <c r="T29304" i="15"/>
  <c r="T29303" i="15"/>
  <c r="T29302" i="15"/>
  <c r="T29301" i="15"/>
  <c r="T29300" i="15"/>
  <c r="T29299" i="15"/>
  <c r="T29298" i="15"/>
  <c r="T29297" i="15"/>
  <c r="T29296" i="15"/>
  <c r="T29295" i="15"/>
  <c r="T29294" i="15"/>
  <c r="T29293" i="15"/>
  <c r="T29292" i="15"/>
  <c r="T29291" i="15"/>
  <c r="T29290" i="15"/>
  <c r="T29289" i="15"/>
  <c r="T29288" i="15"/>
  <c r="T29287" i="15"/>
  <c r="T29286" i="15"/>
  <c r="T29285" i="15"/>
  <c r="T29284" i="15"/>
  <c r="T29283" i="15"/>
  <c r="T29282" i="15"/>
  <c r="T29281" i="15"/>
  <c r="T29280" i="15"/>
  <c r="T29279" i="15"/>
  <c r="T29278" i="15"/>
  <c r="T29277" i="15"/>
  <c r="T29276" i="15"/>
  <c r="T29275" i="15"/>
  <c r="T29274" i="15"/>
  <c r="T29273" i="15"/>
  <c r="T29272" i="15"/>
  <c r="T29271" i="15"/>
  <c r="T29270" i="15"/>
  <c r="T29269" i="15"/>
  <c r="T29268" i="15"/>
  <c r="T29267" i="15"/>
  <c r="T29266" i="15"/>
  <c r="T29265" i="15"/>
  <c r="T29264" i="15"/>
  <c r="T29263" i="15"/>
  <c r="T29262" i="15"/>
  <c r="T29261" i="15"/>
  <c r="T29260" i="15"/>
  <c r="T29259" i="15"/>
  <c r="T29258" i="15"/>
  <c r="T29257" i="15"/>
  <c r="T29256" i="15"/>
  <c r="T29255" i="15"/>
  <c r="T29254" i="15"/>
  <c r="T29253" i="15"/>
  <c r="T29252" i="15"/>
  <c r="T29251" i="15"/>
  <c r="T29250" i="15"/>
  <c r="T29249" i="15"/>
  <c r="T29248" i="15"/>
  <c r="T29247" i="15"/>
  <c r="T29246" i="15"/>
  <c r="T29245" i="15"/>
  <c r="T29244" i="15"/>
  <c r="T29243" i="15"/>
  <c r="T29242" i="15"/>
  <c r="T29241" i="15"/>
  <c r="T29240" i="15"/>
  <c r="T29239" i="15"/>
  <c r="T29238" i="15"/>
  <c r="T29237" i="15"/>
  <c r="T29236" i="15"/>
  <c r="T29235" i="15"/>
  <c r="T29234" i="15"/>
  <c r="T29233" i="15"/>
  <c r="T29232" i="15"/>
  <c r="T29231" i="15"/>
  <c r="T29230" i="15"/>
  <c r="T29229" i="15"/>
  <c r="T29228" i="15"/>
  <c r="T29227" i="15"/>
  <c r="T29226" i="15"/>
  <c r="T29225" i="15"/>
  <c r="T29224" i="15"/>
  <c r="T29223" i="15"/>
  <c r="T29222" i="15"/>
  <c r="T29221" i="15"/>
  <c r="T29220" i="15"/>
  <c r="T29219" i="15"/>
  <c r="T29218" i="15"/>
  <c r="T29217" i="15"/>
  <c r="T29216" i="15"/>
  <c r="T29215" i="15"/>
  <c r="T29214" i="15"/>
  <c r="T29213" i="15"/>
  <c r="T29212" i="15"/>
  <c r="T29211" i="15"/>
  <c r="T29210" i="15"/>
  <c r="T29209" i="15"/>
  <c r="T29208" i="15"/>
  <c r="T29207" i="15"/>
  <c r="T29206" i="15"/>
  <c r="T29205" i="15"/>
  <c r="T29204" i="15"/>
  <c r="T29203" i="15"/>
  <c r="T29202" i="15"/>
  <c r="T29201" i="15"/>
  <c r="T29200" i="15"/>
  <c r="T29199" i="15"/>
  <c r="T29198" i="15"/>
  <c r="T29197" i="15"/>
  <c r="T29196" i="15"/>
  <c r="T29195" i="15"/>
  <c r="T29194" i="15"/>
  <c r="T29193" i="15"/>
  <c r="T29192" i="15"/>
  <c r="T29191" i="15"/>
  <c r="T29190" i="15"/>
  <c r="T29189" i="15"/>
  <c r="T29188" i="15"/>
  <c r="T29187" i="15"/>
  <c r="T29186" i="15"/>
  <c r="T29185" i="15"/>
  <c r="T29184" i="15"/>
  <c r="T29183" i="15"/>
  <c r="T29182" i="15"/>
  <c r="T29181" i="15"/>
  <c r="T29180" i="15"/>
  <c r="T29179" i="15"/>
  <c r="T29178" i="15"/>
  <c r="T29177" i="15"/>
  <c r="T29176" i="15"/>
  <c r="T29175" i="15"/>
  <c r="T29174" i="15"/>
  <c r="T29173" i="15"/>
  <c r="T29172" i="15"/>
  <c r="T29171" i="15"/>
  <c r="T29170" i="15"/>
  <c r="T29169" i="15"/>
  <c r="T29168" i="15"/>
  <c r="T29167" i="15"/>
  <c r="T29166" i="15"/>
  <c r="T29165" i="15"/>
  <c r="T29164" i="15"/>
  <c r="T29163" i="15"/>
  <c r="T29162" i="15"/>
  <c r="T29161" i="15"/>
  <c r="T29160" i="15"/>
  <c r="T29159" i="15"/>
  <c r="T29158" i="15"/>
  <c r="T29157" i="15"/>
  <c r="T29156" i="15"/>
  <c r="T29155" i="15"/>
  <c r="T29154" i="15"/>
  <c r="T29153" i="15"/>
  <c r="T29152" i="15"/>
  <c r="T29151" i="15"/>
  <c r="T29150" i="15"/>
  <c r="T29149" i="15"/>
  <c r="T29148" i="15"/>
  <c r="T29147" i="15"/>
  <c r="T29146" i="15"/>
  <c r="T29145" i="15"/>
  <c r="T29144" i="15"/>
  <c r="T29143" i="15"/>
  <c r="T29142" i="15"/>
  <c r="T29141" i="15"/>
  <c r="T29140" i="15"/>
  <c r="T29139" i="15"/>
  <c r="T29138" i="15"/>
  <c r="T29137" i="15"/>
  <c r="T29136" i="15"/>
  <c r="T29135" i="15"/>
  <c r="T29134" i="15"/>
  <c r="T29133" i="15"/>
  <c r="T29132" i="15"/>
  <c r="T29131" i="15"/>
  <c r="T29130" i="15"/>
  <c r="T29129" i="15"/>
  <c r="T29128" i="15"/>
  <c r="T29127" i="15"/>
  <c r="T29126" i="15"/>
  <c r="T29125" i="15"/>
  <c r="T29124" i="15"/>
  <c r="T29123" i="15"/>
  <c r="T29122" i="15"/>
  <c r="T29121" i="15"/>
  <c r="T29120" i="15"/>
  <c r="T29119" i="15"/>
  <c r="T29118" i="15"/>
  <c r="T29117" i="15"/>
  <c r="T29116" i="15"/>
  <c r="T29115" i="15"/>
  <c r="T29114" i="15"/>
  <c r="T29113" i="15"/>
  <c r="T29112" i="15"/>
  <c r="T29111" i="15"/>
  <c r="T29110" i="15"/>
  <c r="T29109" i="15"/>
  <c r="T29108" i="15"/>
  <c r="T29107" i="15"/>
  <c r="T29106" i="15"/>
  <c r="T29105" i="15"/>
  <c r="T29104" i="15"/>
  <c r="T29103" i="15"/>
  <c r="T29102" i="15"/>
  <c r="T29101" i="15"/>
  <c r="T29100" i="15"/>
  <c r="T29099" i="15"/>
  <c r="T29098" i="15"/>
  <c r="T29097" i="15"/>
  <c r="T29096" i="15"/>
  <c r="T29095" i="15"/>
  <c r="T29094" i="15"/>
  <c r="T29093" i="15"/>
  <c r="T29092" i="15"/>
  <c r="T29091" i="15"/>
  <c r="T29090" i="15"/>
  <c r="T29089" i="15"/>
  <c r="T29088" i="15"/>
  <c r="T29087" i="15"/>
  <c r="T29086" i="15"/>
  <c r="T29085" i="15"/>
  <c r="T29084" i="15"/>
  <c r="T29083" i="15"/>
  <c r="T29082" i="15"/>
  <c r="T29081" i="15"/>
  <c r="T29080" i="15"/>
  <c r="T29079" i="15"/>
  <c r="T29078" i="15"/>
  <c r="T29077" i="15"/>
  <c r="T29076" i="15"/>
  <c r="T29075" i="15"/>
  <c r="T29074" i="15"/>
  <c r="T29073" i="15"/>
  <c r="T29072" i="15"/>
  <c r="T29071" i="15"/>
  <c r="T29070" i="15"/>
  <c r="T29069" i="15"/>
  <c r="T29068" i="15"/>
  <c r="T29067" i="15"/>
  <c r="T29066" i="15"/>
  <c r="T29065" i="15"/>
  <c r="T29064" i="15"/>
  <c r="T29063" i="15"/>
  <c r="T29062" i="15"/>
  <c r="T29061" i="15"/>
  <c r="T29060" i="15"/>
  <c r="T29059" i="15"/>
  <c r="T29058" i="15"/>
  <c r="T29057" i="15"/>
  <c r="T29056" i="15"/>
  <c r="T29055" i="15"/>
  <c r="T29054" i="15"/>
  <c r="T29053" i="15"/>
  <c r="T29052" i="15"/>
  <c r="T29051" i="15"/>
  <c r="T29050" i="15"/>
  <c r="T29049" i="15"/>
  <c r="T29048" i="15"/>
  <c r="T29047" i="15"/>
  <c r="T29046" i="15"/>
  <c r="T29045" i="15"/>
  <c r="T29044" i="15"/>
  <c r="T29043" i="15"/>
  <c r="T29042" i="15"/>
  <c r="T29041" i="15"/>
  <c r="T29040" i="15"/>
  <c r="T29039" i="15"/>
  <c r="T29038" i="15"/>
  <c r="T29037" i="15"/>
  <c r="T29036" i="15"/>
  <c r="T29035" i="15"/>
  <c r="T29034" i="15"/>
  <c r="T29033" i="15"/>
  <c r="T29032" i="15"/>
  <c r="T29031" i="15"/>
  <c r="T29030" i="15"/>
  <c r="T29029" i="15"/>
  <c r="T29028" i="15"/>
  <c r="T29027" i="15"/>
  <c r="T29026" i="15"/>
  <c r="T29025" i="15"/>
  <c r="T29024" i="15"/>
  <c r="T29023" i="15"/>
  <c r="T29022" i="15"/>
  <c r="T29021" i="15"/>
  <c r="T29020" i="15"/>
  <c r="T29019" i="15"/>
  <c r="T29018" i="15"/>
  <c r="T29017" i="15"/>
  <c r="T29016" i="15"/>
  <c r="T29015" i="15"/>
  <c r="T29014" i="15"/>
  <c r="T29013" i="15"/>
  <c r="T29012" i="15"/>
  <c r="T29011" i="15"/>
  <c r="T29010" i="15"/>
  <c r="T29009" i="15"/>
  <c r="T29008" i="15"/>
  <c r="T29007" i="15"/>
  <c r="T29006" i="15"/>
  <c r="T29005" i="15"/>
  <c r="T29004" i="15"/>
  <c r="T29003" i="15"/>
  <c r="T29002" i="15"/>
  <c r="T29001" i="15"/>
  <c r="T29000" i="15"/>
  <c r="T28999" i="15"/>
  <c r="T28998" i="15"/>
  <c r="T28997" i="15"/>
  <c r="T28996" i="15"/>
  <c r="T28995" i="15"/>
  <c r="T28994" i="15"/>
  <c r="T28993" i="15"/>
  <c r="T28992" i="15"/>
  <c r="T28991" i="15"/>
  <c r="T28990" i="15"/>
  <c r="T28989" i="15"/>
  <c r="T28988" i="15"/>
  <c r="T28987" i="15"/>
  <c r="T28986" i="15"/>
  <c r="T28985" i="15"/>
  <c r="T28984" i="15"/>
  <c r="T28983" i="15"/>
  <c r="T28982" i="15"/>
  <c r="T28981" i="15"/>
  <c r="T28980" i="15"/>
  <c r="T28979" i="15"/>
  <c r="T28978" i="15"/>
  <c r="T28977" i="15"/>
  <c r="T28976" i="15"/>
  <c r="T28975" i="15"/>
  <c r="T28974" i="15"/>
  <c r="T28973" i="15"/>
  <c r="T28972" i="15"/>
  <c r="T28971" i="15"/>
  <c r="T28970" i="15"/>
  <c r="T28969" i="15"/>
  <c r="T28968" i="15"/>
  <c r="T28967" i="15"/>
  <c r="T28966" i="15"/>
  <c r="T28965" i="15"/>
  <c r="T28964" i="15"/>
  <c r="T28963" i="15"/>
  <c r="T28962" i="15"/>
  <c r="T28961" i="15"/>
  <c r="T28960" i="15"/>
  <c r="T28959" i="15"/>
  <c r="T28958" i="15"/>
  <c r="T28957" i="15"/>
  <c r="T28956" i="15"/>
  <c r="T28955" i="15"/>
  <c r="T28954" i="15"/>
  <c r="T28953" i="15"/>
  <c r="T28952" i="15"/>
  <c r="T28951" i="15"/>
  <c r="T28950" i="15"/>
  <c r="T28949" i="15"/>
  <c r="T28948" i="15"/>
  <c r="T28947" i="15"/>
  <c r="T28946" i="15"/>
  <c r="T28945" i="15"/>
  <c r="T28944" i="15"/>
  <c r="T28943" i="15"/>
  <c r="T28942" i="15"/>
  <c r="T28941" i="15"/>
  <c r="T28940" i="15"/>
  <c r="T28939" i="15"/>
  <c r="T28938" i="15"/>
  <c r="T28937" i="15"/>
  <c r="T28936" i="15"/>
  <c r="T28935" i="15"/>
  <c r="T28934" i="15"/>
  <c r="T28933" i="15"/>
  <c r="T28932" i="15"/>
  <c r="T28931" i="15"/>
  <c r="T28930" i="15"/>
  <c r="T28929" i="15"/>
  <c r="T28928" i="15"/>
  <c r="T28927" i="15"/>
  <c r="T28926" i="15"/>
  <c r="T28925" i="15"/>
  <c r="T28924" i="15"/>
  <c r="T28923" i="15"/>
  <c r="T28922" i="15"/>
  <c r="T28921" i="15"/>
  <c r="T28920" i="15"/>
  <c r="T28919" i="15"/>
  <c r="T28918" i="15"/>
  <c r="T28917" i="15"/>
  <c r="T28916" i="15"/>
  <c r="T28915" i="15"/>
  <c r="T28914" i="15"/>
  <c r="T28913" i="15"/>
  <c r="T28912" i="15"/>
  <c r="T28911" i="15"/>
  <c r="T28910" i="15"/>
  <c r="T28909" i="15"/>
  <c r="T28908" i="15"/>
  <c r="T28907" i="15"/>
  <c r="T28906" i="15"/>
  <c r="T28905" i="15"/>
  <c r="T28904" i="15"/>
  <c r="T28903" i="15"/>
  <c r="T28902" i="15"/>
  <c r="T28901" i="15"/>
  <c r="T28900" i="15"/>
  <c r="T28899" i="15"/>
  <c r="T28898" i="15"/>
  <c r="T28897" i="15"/>
  <c r="T28896" i="15"/>
  <c r="T28895" i="15"/>
  <c r="T28894" i="15"/>
  <c r="T28893" i="15"/>
  <c r="T28892" i="15"/>
  <c r="T28891" i="15"/>
  <c r="T28890" i="15"/>
  <c r="T28889" i="15"/>
  <c r="T28888" i="15"/>
  <c r="T28887" i="15"/>
  <c r="T28886" i="15"/>
  <c r="T28885" i="15"/>
  <c r="T28884" i="15"/>
  <c r="T28883" i="15"/>
  <c r="T28882" i="15"/>
  <c r="T28881" i="15"/>
  <c r="T28880" i="15"/>
  <c r="T28879" i="15"/>
  <c r="T28878" i="15"/>
  <c r="T28877" i="15"/>
  <c r="T28876" i="15"/>
  <c r="T28875" i="15"/>
  <c r="T28874" i="15"/>
  <c r="T28873" i="15"/>
  <c r="T28872" i="15"/>
  <c r="T28871" i="15"/>
  <c r="T28870" i="15"/>
  <c r="T28869" i="15"/>
  <c r="T28868" i="15"/>
  <c r="T28867" i="15"/>
  <c r="T28866" i="15"/>
  <c r="T28865" i="15"/>
  <c r="T28864" i="15"/>
  <c r="T28863" i="15"/>
  <c r="T28862" i="15"/>
  <c r="T28861" i="15"/>
  <c r="T28860" i="15"/>
  <c r="T28859" i="15"/>
  <c r="T28858" i="15"/>
  <c r="T28857" i="15"/>
  <c r="T28856" i="15"/>
  <c r="T28855" i="15"/>
  <c r="T28854" i="15"/>
  <c r="T28853" i="15"/>
  <c r="T28852" i="15"/>
  <c r="T28851" i="15"/>
  <c r="T28850" i="15"/>
  <c r="T28849" i="15"/>
  <c r="T28848" i="15"/>
  <c r="T28847" i="15"/>
  <c r="T28846" i="15"/>
  <c r="T28845" i="15"/>
  <c r="T28844" i="15"/>
  <c r="T28843" i="15"/>
  <c r="T28842" i="15"/>
  <c r="T28841" i="15"/>
  <c r="T28840" i="15"/>
  <c r="T28839" i="15"/>
  <c r="T28838" i="15"/>
  <c r="T28837" i="15"/>
  <c r="T28836" i="15"/>
  <c r="T28835" i="15"/>
  <c r="T28834" i="15"/>
  <c r="T28833" i="15"/>
  <c r="T28832" i="15"/>
  <c r="T28831" i="15"/>
  <c r="T28830" i="15"/>
  <c r="T28829" i="15"/>
  <c r="T28828" i="15"/>
  <c r="T28827" i="15"/>
  <c r="T28826" i="15"/>
  <c r="T28825" i="15"/>
  <c r="T28824" i="15"/>
  <c r="T28823" i="15"/>
  <c r="T28822" i="15"/>
  <c r="T28821" i="15"/>
  <c r="T28820" i="15"/>
  <c r="T28819" i="15"/>
  <c r="T28818" i="15"/>
  <c r="T28817" i="15"/>
  <c r="T28816" i="15"/>
  <c r="T28815" i="15"/>
  <c r="T28814" i="15"/>
  <c r="T28813" i="15"/>
  <c r="T28812" i="15"/>
  <c r="T28811" i="15"/>
  <c r="T28810" i="15"/>
  <c r="T28809" i="15"/>
  <c r="T28808" i="15"/>
  <c r="T28807" i="15"/>
  <c r="T28806" i="15"/>
  <c r="T28805" i="15"/>
  <c r="T28804" i="15"/>
  <c r="T28803" i="15"/>
  <c r="T28802" i="15"/>
  <c r="T28801" i="15"/>
  <c r="T28800" i="15"/>
  <c r="T28799" i="15"/>
  <c r="T28798" i="15"/>
  <c r="T28797" i="15"/>
  <c r="T28796" i="15"/>
  <c r="T28795" i="15"/>
  <c r="T28794" i="15"/>
  <c r="T28793" i="15"/>
  <c r="T28792" i="15"/>
  <c r="T28791" i="15"/>
  <c r="T28790" i="15"/>
  <c r="T28789" i="15"/>
  <c r="T28788" i="15"/>
  <c r="T28787" i="15"/>
  <c r="T28786" i="15"/>
  <c r="T28785" i="15"/>
  <c r="T28784" i="15"/>
  <c r="T28783" i="15"/>
  <c r="T28782" i="15"/>
  <c r="T28781" i="15"/>
  <c r="T28780" i="15"/>
  <c r="T28779" i="15"/>
  <c r="T28778" i="15"/>
  <c r="T28777" i="15"/>
  <c r="T28776" i="15"/>
  <c r="T28775" i="15"/>
  <c r="T28774" i="15"/>
  <c r="T28773" i="15"/>
  <c r="T28772" i="15"/>
  <c r="T28771" i="15"/>
  <c r="T28770" i="15"/>
  <c r="T28769" i="15"/>
  <c r="T28768" i="15"/>
  <c r="T28767" i="15"/>
  <c r="T28766" i="15"/>
  <c r="T28765" i="15"/>
  <c r="T28764" i="15"/>
  <c r="T28763" i="15"/>
  <c r="T28762" i="15"/>
  <c r="T28761" i="15"/>
  <c r="T28760" i="15"/>
  <c r="T28759" i="15"/>
  <c r="T28758" i="15"/>
  <c r="T28757" i="15"/>
  <c r="T28756" i="15"/>
  <c r="T28755" i="15"/>
  <c r="T28754" i="15"/>
  <c r="T28753" i="15"/>
  <c r="T28752" i="15"/>
  <c r="T28751" i="15"/>
  <c r="T28750" i="15"/>
  <c r="T28749" i="15"/>
  <c r="T28748" i="15"/>
  <c r="T28747" i="15"/>
  <c r="T28746" i="15"/>
  <c r="T28745" i="15"/>
  <c r="T28744" i="15"/>
  <c r="T28743" i="15"/>
  <c r="T28742" i="15"/>
  <c r="T28741" i="15"/>
  <c r="T28740" i="15"/>
  <c r="T28739" i="15"/>
  <c r="T28738" i="15"/>
  <c r="T28737" i="15"/>
  <c r="T28736" i="15"/>
  <c r="T28735" i="15"/>
  <c r="T28734" i="15"/>
  <c r="T28733" i="15"/>
  <c r="T28732" i="15"/>
  <c r="T28731" i="15"/>
  <c r="T28730" i="15"/>
  <c r="T28729" i="15"/>
  <c r="T28728" i="15"/>
  <c r="T28727" i="15"/>
  <c r="T28726" i="15"/>
  <c r="T28725" i="15"/>
  <c r="T28724" i="15"/>
  <c r="T28723" i="15"/>
  <c r="T28722" i="15"/>
  <c r="T28721" i="15"/>
  <c r="T28720" i="15"/>
  <c r="T28719" i="15"/>
  <c r="T28718" i="15"/>
  <c r="T28717" i="15"/>
  <c r="T28716" i="15"/>
  <c r="T28715" i="15"/>
  <c r="T28714" i="15"/>
  <c r="T28713" i="15"/>
  <c r="T28712" i="15"/>
  <c r="T28711" i="15"/>
  <c r="T28710" i="15"/>
  <c r="T28709" i="15"/>
  <c r="T28708" i="15"/>
  <c r="T28707" i="15"/>
  <c r="T28706" i="15"/>
  <c r="T28705" i="15"/>
  <c r="T28704" i="15"/>
  <c r="T28703" i="15"/>
  <c r="T28702" i="15"/>
  <c r="T28701" i="15"/>
  <c r="T28700" i="15"/>
  <c r="T28699" i="15"/>
  <c r="T28698" i="15"/>
  <c r="T28697" i="15"/>
  <c r="T28696" i="15"/>
  <c r="T28695" i="15"/>
  <c r="T28694" i="15"/>
  <c r="T28693" i="15"/>
  <c r="T28692" i="15"/>
  <c r="T28691" i="15"/>
  <c r="T28690" i="15"/>
  <c r="T28689" i="15"/>
  <c r="T28688" i="15"/>
  <c r="T28687" i="15"/>
  <c r="T28686" i="15"/>
  <c r="T28685" i="15"/>
  <c r="T28684" i="15"/>
  <c r="T28683" i="15"/>
  <c r="T28682" i="15"/>
  <c r="T28681" i="15"/>
  <c r="T28680" i="15"/>
  <c r="T28679" i="15"/>
  <c r="T28678" i="15"/>
  <c r="T28677" i="15"/>
  <c r="T28676" i="15"/>
  <c r="T28675" i="15"/>
  <c r="T28674" i="15"/>
  <c r="T28673" i="15"/>
  <c r="T28672" i="15"/>
  <c r="T28671" i="15"/>
  <c r="T28670" i="15"/>
  <c r="T28669" i="15"/>
  <c r="T28668" i="15"/>
  <c r="T28667" i="15"/>
  <c r="T28666" i="15"/>
  <c r="T28665" i="15"/>
  <c r="T28664" i="15"/>
  <c r="T28663" i="15"/>
  <c r="T28662" i="15"/>
  <c r="T28661" i="15"/>
  <c r="T28660" i="15"/>
  <c r="T28659" i="15"/>
  <c r="T28658" i="15"/>
  <c r="T28657" i="15"/>
  <c r="T28656" i="15"/>
  <c r="T28655" i="15"/>
  <c r="T28654" i="15"/>
  <c r="T28653" i="15"/>
  <c r="T28652" i="15"/>
  <c r="T28651" i="15"/>
  <c r="T28650" i="15"/>
  <c r="T28649" i="15"/>
  <c r="T28648" i="15"/>
  <c r="T28647" i="15"/>
  <c r="T28646" i="15"/>
  <c r="T28645" i="15"/>
  <c r="T28644" i="15"/>
  <c r="T28643" i="15"/>
  <c r="T28642" i="15"/>
  <c r="T28641" i="15"/>
  <c r="T28640" i="15"/>
  <c r="T28639" i="15"/>
  <c r="T28638" i="15"/>
  <c r="T28637" i="15"/>
  <c r="T28636" i="15"/>
  <c r="T28635" i="15"/>
  <c r="T28634" i="15"/>
  <c r="T28633" i="15"/>
  <c r="T28632" i="15"/>
  <c r="T28631" i="15"/>
  <c r="T28630" i="15"/>
  <c r="T28629" i="15"/>
  <c r="T28628" i="15"/>
  <c r="T28627" i="15"/>
  <c r="T28626" i="15"/>
  <c r="T28625" i="15"/>
  <c r="T28624" i="15"/>
  <c r="T28623" i="15"/>
  <c r="T28622" i="15"/>
  <c r="T28621" i="15"/>
  <c r="T28620" i="15"/>
  <c r="T28619" i="15"/>
  <c r="T28618" i="15"/>
  <c r="T28617" i="15"/>
  <c r="T28616" i="15"/>
  <c r="T28615" i="15"/>
  <c r="T28614" i="15"/>
  <c r="T28613" i="15"/>
  <c r="T28612" i="15"/>
  <c r="T28611" i="15"/>
  <c r="T28610" i="15"/>
  <c r="T28609" i="15"/>
  <c r="T28608" i="15"/>
  <c r="T28607" i="15"/>
  <c r="T28606" i="15"/>
  <c r="T28605" i="15"/>
  <c r="T28604" i="15"/>
  <c r="T28603" i="15"/>
  <c r="T28602" i="15"/>
  <c r="T28601" i="15"/>
  <c r="T28600" i="15"/>
  <c r="T28599" i="15"/>
  <c r="T28598" i="15"/>
  <c r="T28597" i="15"/>
  <c r="T28596" i="15"/>
  <c r="T28595" i="15"/>
  <c r="T28594" i="15"/>
  <c r="T28593" i="15"/>
  <c r="T28592" i="15"/>
  <c r="T28591" i="15"/>
  <c r="T28590" i="15"/>
  <c r="T28589" i="15"/>
  <c r="T28588" i="15"/>
  <c r="T28587" i="15"/>
  <c r="T28586" i="15"/>
  <c r="T28585" i="15"/>
  <c r="T28584" i="15"/>
  <c r="T28583" i="15"/>
  <c r="T28582" i="15"/>
  <c r="T28581" i="15"/>
  <c r="T28580" i="15"/>
  <c r="T28579" i="15"/>
  <c r="T28578" i="15"/>
  <c r="T28577" i="15"/>
  <c r="T28576" i="15"/>
  <c r="T28575" i="15"/>
  <c r="T28574" i="15"/>
  <c r="T28573" i="15"/>
  <c r="T28572" i="15"/>
  <c r="T28571" i="15"/>
  <c r="T28570" i="15"/>
  <c r="T28569" i="15"/>
  <c r="T28568" i="15"/>
  <c r="T28567" i="15"/>
  <c r="T28566" i="15"/>
  <c r="T28565" i="15"/>
  <c r="T28564" i="15"/>
  <c r="T28563" i="15"/>
  <c r="T28562" i="15"/>
  <c r="T28561" i="15"/>
  <c r="T28560" i="15"/>
  <c r="T28559" i="15"/>
  <c r="T28558" i="15"/>
  <c r="T28557" i="15"/>
  <c r="T28556" i="15"/>
  <c r="T28555" i="15"/>
  <c r="T28554" i="15"/>
  <c r="T28553" i="15"/>
  <c r="T28552" i="15"/>
  <c r="T28551" i="15"/>
  <c r="T28550" i="15"/>
  <c r="T28549" i="15"/>
  <c r="T28548" i="15"/>
  <c r="T28547" i="15"/>
  <c r="T28546" i="15"/>
  <c r="T28545" i="15"/>
  <c r="T28544" i="15"/>
  <c r="T28543" i="15"/>
  <c r="T28542" i="15"/>
  <c r="T28541" i="15"/>
  <c r="T28540" i="15"/>
  <c r="T28539" i="15"/>
  <c r="T28538" i="15"/>
  <c r="T28537" i="15"/>
  <c r="T28536" i="15"/>
  <c r="T28535" i="15"/>
  <c r="T28534" i="15"/>
  <c r="T28533" i="15"/>
  <c r="T28532" i="15"/>
  <c r="T28531" i="15"/>
  <c r="T28530" i="15"/>
  <c r="T28529" i="15"/>
  <c r="T28528" i="15"/>
  <c r="T28527" i="15"/>
  <c r="T28526" i="15"/>
  <c r="T28525" i="15"/>
  <c r="T28524" i="15"/>
  <c r="T28523" i="15"/>
  <c r="T28522" i="15"/>
  <c r="T28521" i="15"/>
  <c r="T28520" i="15"/>
  <c r="T28519" i="15"/>
  <c r="T28518" i="15"/>
  <c r="T28517" i="15"/>
  <c r="T28516" i="15"/>
  <c r="T28515" i="15"/>
  <c r="T28514" i="15"/>
  <c r="T28513" i="15"/>
  <c r="T28512" i="15"/>
  <c r="T28511" i="15"/>
  <c r="T28510" i="15"/>
  <c r="T28509" i="15"/>
  <c r="T28508" i="15"/>
  <c r="T28507" i="15"/>
  <c r="T28506" i="15"/>
  <c r="T28505" i="15"/>
  <c r="T28504" i="15"/>
  <c r="T28503" i="15"/>
  <c r="T28502" i="15"/>
  <c r="T28501" i="15"/>
  <c r="T28500" i="15"/>
  <c r="T28499" i="15"/>
  <c r="T28498" i="15"/>
  <c r="T28497" i="15"/>
  <c r="T28496" i="15"/>
  <c r="T28495" i="15"/>
  <c r="T28494" i="15"/>
  <c r="T28493" i="15"/>
  <c r="T28492" i="15"/>
  <c r="T28491" i="15"/>
  <c r="T28490" i="15"/>
  <c r="T28489" i="15"/>
  <c r="T28488" i="15"/>
  <c r="T28487" i="15"/>
  <c r="T28486" i="15"/>
  <c r="T28485" i="15"/>
  <c r="T28484" i="15"/>
  <c r="T28483" i="15"/>
  <c r="T28482" i="15"/>
  <c r="T28481" i="15"/>
  <c r="T28480" i="15"/>
  <c r="T28479" i="15"/>
  <c r="T28478" i="15"/>
  <c r="T28477" i="15"/>
  <c r="T28476" i="15"/>
  <c r="T28475" i="15"/>
  <c r="T28474" i="15"/>
  <c r="T28473" i="15"/>
  <c r="T28472" i="15"/>
  <c r="T28471" i="15"/>
  <c r="T28470" i="15"/>
  <c r="T28469" i="15"/>
  <c r="T28468" i="15"/>
  <c r="T28467" i="15"/>
  <c r="T28466" i="15"/>
  <c r="T28465" i="15"/>
  <c r="T28464" i="15"/>
  <c r="T28463" i="15"/>
  <c r="T28462" i="15"/>
  <c r="T28461" i="15"/>
  <c r="T28460" i="15"/>
  <c r="T28459" i="15"/>
  <c r="T28458" i="15"/>
  <c r="T28457" i="15"/>
  <c r="T28456" i="15"/>
  <c r="T28455" i="15"/>
  <c r="T28454" i="15"/>
  <c r="T28453" i="15"/>
  <c r="T28452" i="15"/>
  <c r="T28451" i="15"/>
  <c r="T28450" i="15"/>
  <c r="T28449" i="15"/>
  <c r="T28448" i="15"/>
  <c r="T28447" i="15"/>
  <c r="T28446" i="15"/>
  <c r="T28445" i="15"/>
  <c r="T28444" i="15"/>
  <c r="T28443" i="15"/>
  <c r="T28442" i="15"/>
  <c r="T28441" i="15"/>
  <c r="T28440" i="15"/>
  <c r="T28439" i="15"/>
  <c r="T28438" i="15"/>
  <c r="T28437" i="15"/>
  <c r="T28436" i="15"/>
  <c r="T28435" i="15"/>
  <c r="T28434" i="15"/>
  <c r="T28433" i="15"/>
  <c r="T28432" i="15"/>
  <c r="T28431" i="15"/>
  <c r="T28430" i="15"/>
  <c r="T28429" i="15"/>
  <c r="T28428" i="15"/>
  <c r="T28427" i="15"/>
  <c r="T28426" i="15"/>
  <c r="T28425" i="15"/>
  <c r="T28424" i="15"/>
  <c r="T28423" i="15"/>
  <c r="T28422" i="15"/>
  <c r="T28421" i="15"/>
  <c r="T28420" i="15"/>
  <c r="T28419" i="15"/>
  <c r="T28418" i="15"/>
  <c r="T28417" i="15"/>
  <c r="T28416" i="15"/>
  <c r="T28415" i="15"/>
  <c r="T28414" i="15"/>
  <c r="T28413" i="15"/>
  <c r="T28412" i="15"/>
  <c r="T28411" i="15"/>
  <c r="T28410" i="15"/>
  <c r="T28409" i="15"/>
  <c r="T28408" i="15"/>
  <c r="T28407" i="15"/>
  <c r="T28406" i="15"/>
  <c r="T28405" i="15"/>
  <c r="T28404" i="15"/>
  <c r="T28403" i="15"/>
  <c r="T28402" i="15"/>
  <c r="T28401" i="15"/>
  <c r="T28400" i="15"/>
  <c r="T28399" i="15"/>
  <c r="T28398" i="15"/>
  <c r="T28397" i="15"/>
  <c r="T28396" i="15"/>
  <c r="T28395" i="15"/>
  <c r="T28394" i="15"/>
  <c r="T28393" i="15"/>
  <c r="T28392" i="15"/>
  <c r="T28391" i="15"/>
  <c r="T28390" i="15"/>
  <c r="T28389" i="15"/>
  <c r="T28388" i="15"/>
  <c r="T28387" i="15"/>
  <c r="T28386" i="15"/>
  <c r="T28385" i="15"/>
  <c r="T28384" i="15"/>
  <c r="T28383" i="15"/>
  <c r="T28382" i="15"/>
  <c r="T28381" i="15"/>
  <c r="T28380" i="15"/>
  <c r="T28379" i="15"/>
  <c r="T28378" i="15"/>
  <c r="T28377" i="15"/>
  <c r="T28376" i="15"/>
  <c r="T28375" i="15"/>
  <c r="T28374" i="15"/>
  <c r="T28373" i="15"/>
  <c r="T28372" i="15"/>
  <c r="T28371" i="15"/>
  <c r="T28370" i="15"/>
  <c r="T28369" i="15"/>
  <c r="T28368" i="15"/>
  <c r="T28367" i="15"/>
  <c r="T28366" i="15"/>
  <c r="T28365" i="15"/>
  <c r="T28364" i="15"/>
  <c r="T28363" i="15"/>
  <c r="T28362" i="15"/>
  <c r="T28361" i="15"/>
  <c r="T28360" i="15"/>
  <c r="T28359" i="15"/>
  <c r="T28358" i="15"/>
  <c r="T28357" i="15"/>
  <c r="T28356" i="15"/>
  <c r="T28355" i="15"/>
  <c r="T28354" i="15"/>
  <c r="T28353" i="15"/>
  <c r="T28352" i="15"/>
  <c r="T28351" i="15"/>
  <c r="T28350" i="15"/>
  <c r="T28349" i="15"/>
  <c r="T28348" i="15"/>
  <c r="T28347" i="15"/>
  <c r="T28346" i="15"/>
  <c r="T28345" i="15"/>
  <c r="T28344" i="15"/>
  <c r="T28343" i="15"/>
  <c r="T28342" i="15"/>
  <c r="T28341" i="15"/>
  <c r="T28340" i="15"/>
  <c r="T28339" i="15"/>
  <c r="T28338" i="15"/>
  <c r="T28337" i="15"/>
  <c r="T28336" i="15"/>
  <c r="T28335" i="15"/>
  <c r="T28334" i="15"/>
  <c r="T28333" i="15"/>
  <c r="T28332" i="15"/>
  <c r="T28331" i="15"/>
  <c r="T28330" i="15"/>
  <c r="T28329" i="15"/>
  <c r="T28328" i="15"/>
  <c r="T28327" i="15"/>
  <c r="T28326" i="15"/>
  <c r="T28325" i="15"/>
  <c r="T28324" i="15"/>
  <c r="T28323" i="15"/>
  <c r="T28322" i="15"/>
  <c r="T28321" i="15"/>
  <c r="T28320" i="15"/>
  <c r="T28319" i="15"/>
  <c r="T28318" i="15"/>
  <c r="T28317" i="15"/>
  <c r="T28316" i="15"/>
  <c r="T28315" i="15"/>
  <c r="T28314" i="15"/>
  <c r="T28313" i="15"/>
  <c r="T28312" i="15"/>
  <c r="T28311" i="15"/>
  <c r="T28310" i="15"/>
  <c r="T28309" i="15"/>
  <c r="T28308" i="15"/>
  <c r="T28307" i="15"/>
  <c r="T28306" i="15"/>
  <c r="T28305" i="15"/>
  <c r="T28304" i="15"/>
  <c r="T28303" i="15"/>
  <c r="T28302" i="15"/>
  <c r="T28301" i="15"/>
  <c r="T28300" i="15"/>
  <c r="T28299" i="15"/>
  <c r="T28298" i="15"/>
  <c r="T28297" i="15"/>
  <c r="T28296" i="15"/>
  <c r="T28295" i="15"/>
  <c r="T28294" i="15"/>
  <c r="T28293" i="15"/>
  <c r="T28292" i="15"/>
  <c r="T28291" i="15"/>
  <c r="T28290" i="15"/>
  <c r="T28289" i="15"/>
  <c r="T28288" i="15"/>
  <c r="T28287" i="15"/>
  <c r="T28286" i="15"/>
  <c r="T28285" i="15"/>
  <c r="T28284" i="15"/>
  <c r="T28283" i="15"/>
  <c r="T28282" i="15"/>
  <c r="T28281" i="15"/>
  <c r="T28280" i="15"/>
  <c r="T28279" i="15"/>
  <c r="T28278" i="15"/>
  <c r="T28277" i="15"/>
  <c r="T28276" i="15"/>
  <c r="T28275" i="15"/>
  <c r="T28274" i="15"/>
  <c r="T28273" i="15"/>
  <c r="T28272" i="15"/>
  <c r="T28271" i="15"/>
  <c r="T28270" i="15"/>
  <c r="T28269" i="15"/>
  <c r="T28268" i="15"/>
  <c r="T28267" i="15"/>
  <c r="T28266" i="15"/>
  <c r="T28265" i="15"/>
  <c r="T28264" i="15"/>
  <c r="T28263" i="15"/>
  <c r="T28262" i="15"/>
  <c r="T28261" i="15"/>
  <c r="T28260" i="15"/>
  <c r="T28259" i="15"/>
  <c r="T28258" i="15"/>
  <c r="T28257" i="15"/>
  <c r="T28256" i="15"/>
  <c r="T28255" i="15"/>
  <c r="T28254" i="15"/>
  <c r="T28253" i="15"/>
  <c r="T28252" i="15"/>
  <c r="T28251" i="15"/>
  <c r="T28250" i="15"/>
  <c r="T28249" i="15"/>
  <c r="T28248" i="15"/>
  <c r="T28247" i="15"/>
  <c r="T28246" i="15"/>
  <c r="T28245" i="15"/>
  <c r="T28244" i="15"/>
  <c r="T28243" i="15"/>
  <c r="T28242" i="15"/>
  <c r="T28241" i="15"/>
  <c r="T28240" i="15"/>
  <c r="T28239" i="15"/>
  <c r="T28238" i="15"/>
  <c r="T28237" i="15"/>
  <c r="T28236" i="15"/>
  <c r="T28235" i="15"/>
  <c r="T28234" i="15"/>
  <c r="T28233" i="15"/>
  <c r="T28232" i="15"/>
  <c r="T28231" i="15"/>
  <c r="T28230" i="15"/>
  <c r="T28229" i="15"/>
  <c r="T28228" i="15"/>
  <c r="T28227" i="15"/>
  <c r="T28226" i="15"/>
  <c r="T28225" i="15"/>
  <c r="T28224" i="15"/>
  <c r="T28223" i="15"/>
  <c r="T28222" i="15"/>
  <c r="T28221" i="15"/>
  <c r="T28220" i="15"/>
  <c r="T28219" i="15"/>
  <c r="T28218" i="15"/>
  <c r="T28217" i="15"/>
  <c r="T28216" i="15"/>
  <c r="T28215" i="15"/>
  <c r="T28214" i="15"/>
  <c r="T28213" i="15"/>
  <c r="T28212" i="15"/>
  <c r="T28211" i="15"/>
  <c r="T28210" i="15"/>
  <c r="T28209" i="15"/>
  <c r="T28208" i="15"/>
  <c r="T28207" i="15"/>
  <c r="T28206" i="15"/>
  <c r="T28205" i="15"/>
  <c r="T28204" i="15"/>
  <c r="T28203" i="15"/>
  <c r="T28202" i="15"/>
  <c r="T28201" i="15"/>
  <c r="T28200" i="15"/>
  <c r="T28199" i="15"/>
  <c r="T28198" i="15"/>
  <c r="T28197" i="15"/>
  <c r="T28196" i="15"/>
  <c r="T28195" i="15"/>
  <c r="T28194" i="15"/>
  <c r="T28193" i="15"/>
  <c r="T28192" i="15"/>
  <c r="T28191" i="15"/>
  <c r="T28190" i="15"/>
  <c r="T28189" i="15"/>
  <c r="T28188" i="15"/>
  <c r="T28187" i="15"/>
  <c r="T28186" i="15"/>
  <c r="T28185" i="15"/>
  <c r="T28184" i="15"/>
  <c r="T28183" i="15"/>
  <c r="T28182" i="15"/>
  <c r="T28181" i="15"/>
  <c r="T28180" i="15"/>
  <c r="T28179" i="15"/>
  <c r="T28178" i="15"/>
  <c r="T28177" i="15"/>
  <c r="T28176" i="15"/>
  <c r="T28175" i="15"/>
  <c r="T28174" i="15"/>
  <c r="T28173" i="15"/>
  <c r="T28172" i="15"/>
  <c r="T28171" i="15"/>
  <c r="T28170" i="15"/>
  <c r="T28169" i="15"/>
  <c r="T28168" i="15"/>
  <c r="T28167" i="15"/>
  <c r="T28166" i="15"/>
  <c r="T28165" i="15"/>
  <c r="T28164" i="15"/>
  <c r="T28163" i="15"/>
  <c r="T28162" i="15"/>
  <c r="T28161" i="15"/>
  <c r="T28160" i="15"/>
  <c r="T28159" i="15"/>
  <c r="T28158" i="15"/>
  <c r="T28157" i="15"/>
  <c r="T28156" i="15"/>
  <c r="T28155" i="15"/>
  <c r="T28154" i="15"/>
  <c r="T28153" i="15"/>
  <c r="T28152" i="15"/>
  <c r="T28151" i="15"/>
  <c r="T28150" i="15"/>
  <c r="T28149" i="15"/>
  <c r="T28148" i="15"/>
  <c r="T28147" i="15"/>
  <c r="T28146" i="15"/>
  <c r="T28145" i="15"/>
  <c r="T28144" i="15"/>
  <c r="T28143" i="15"/>
  <c r="T28142" i="15"/>
  <c r="T28141" i="15"/>
  <c r="T28140" i="15"/>
  <c r="T28139" i="15"/>
  <c r="T28138" i="15"/>
  <c r="T28137" i="15"/>
  <c r="T28136" i="15"/>
  <c r="T28135" i="15"/>
  <c r="T28134" i="15"/>
  <c r="T28133" i="15"/>
  <c r="T28132" i="15"/>
  <c r="T28131" i="15"/>
  <c r="T28130" i="15"/>
  <c r="T28129" i="15"/>
  <c r="T28128" i="15"/>
  <c r="T28127" i="15"/>
  <c r="T28126" i="15"/>
  <c r="T28125" i="15"/>
  <c r="T28124" i="15"/>
  <c r="T28123" i="15"/>
  <c r="T28122" i="15"/>
  <c r="T28121" i="15"/>
  <c r="T28120" i="15"/>
  <c r="T28119" i="15"/>
  <c r="T28118" i="15"/>
  <c r="T28117" i="15"/>
  <c r="T28116" i="15"/>
  <c r="T28115" i="15"/>
  <c r="T28114" i="15"/>
  <c r="T28113" i="15"/>
  <c r="T28112" i="15"/>
  <c r="T28111" i="15"/>
  <c r="T28110" i="15"/>
  <c r="T28109" i="15"/>
  <c r="T28108" i="15"/>
  <c r="T28107" i="15"/>
  <c r="T28106" i="15"/>
  <c r="T28105" i="15"/>
  <c r="T28104" i="15"/>
  <c r="T28103" i="15"/>
  <c r="T28102" i="15"/>
  <c r="T28101" i="15"/>
  <c r="T28100" i="15"/>
  <c r="T28099" i="15"/>
  <c r="T28098" i="15"/>
  <c r="T28097" i="15"/>
  <c r="T28096" i="15"/>
  <c r="T28095" i="15"/>
  <c r="T28094" i="15"/>
  <c r="T28093" i="15"/>
  <c r="T28092" i="15"/>
  <c r="T28091" i="15"/>
  <c r="T28090" i="15"/>
  <c r="T28089" i="15"/>
  <c r="T28088" i="15"/>
  <c r="T28087" i="15"/>
  <c r="T28086" i="15"/>
  <c r="T28085" i="15"/>
  <c r="T28084" i="15"/>
  <c r="T28083" i="15"/>
  <c r="T28082" i="15"/>
  <c r="T28081" i="15"/>
  <c r="T28080" i="15"/>
  <c r="T28079" i="15"/>
  <c r="T28078" i="15"/>
  <c r="T28077" i="15"/>
  <c r="T28076" i="15"/>
  <c r="T28075" i="15"/>
  <c r="T28074" i="15"/>
  <c r="T28073" i="15"/>
  <c r="T28072" i="15"/>
  <c r="T28071" i="15"/>
  <c r="T28070" i="15"/>
  <c r="T28069" i="15"/>
  <c r="T28068" i="15"/>
  <c r="T28067" i="15"/>
  <c r="T28066" i="15"/>
  <c r="T28065" i="15"/>
  <c r="T28064" i="15"/>
  <c r="T28063" i="15"/>
  <c r="T28062" i="15"/>
  <c r="T28061" i="15"/>
  <c r="T28060" i="15"/>
  <c r="T28059" i="15"/>
  <c r="T28058" i="15"/>
  <c r="T28057" i="15"/>
  <c r="T28056" i="15"/>
  <c r="T28055" i="15"/>
  <c r="T28054" i="15"/>
  <c r="T28053" i="15"/>
  <c r="T28052" i="15"/>
  <c r="T28051" i="15"/>
  <c r="T28050" i="15"/>
  <c r="T28049" i="15"/>
  <c r="T28048" i="15"/>
  <c r="T28047" i="15"/>
  <c r="T28046" i="15"/>
  <c r="T28045" i="15"/>
  <c r="T28044" i="15"/>
  <c r="T28043" i="15"/>
  <c r="T28042" i="15"/>
  <c r="T28041" i="15"/>
  <c r="T28040" i="15"/>
  <c r="T28039" i="15"/>
  <c r="T28038" i="15"/>
  <c r="T28037" i="15"/>
  <c r="T28036" i="15"/>
  <c r="T28035" i="15"/>
  <c r="T28034" i="15"/>
  <c r="T28033" i="15"/>
  <c r="T28032" i="15"/>
  <c r="T28031" i="15"/>
  <c r="T28030" i="15"/>
  <c r="T28029" i="15"/>
  <c r="T28028" i="15"/>
  <c r="T28027" i="15"/>
  <c r="T28026" i="15"/>
  <c r="T28025" i="15"/>
  <c r="T28024" i="15"/>
  <c r="T28023" i="15"/>
  <c r="T28022" i="15"/>
  <c r="T28021" i="15"/>
  <c r="T28020" i="15"/>
  <c r="T28019" i="15"/>
  <c r="T28018" i="15"/>
  <c r="T28017" i="15"/>
  <c r="T28016" i="15"/>
  <c r="T28015" i="15"/>
  <c r="T28014" i="15"/>
  <c r="T28013" i="15"/>
  <c r="T28012" i="15"/>
  <c r="T28011" i="15"/>
  <c r="T28010" i="15"/>
  <c r="T28009" i="15"/>
  <c r="T28008" i="15"/>
  <c r="T28007" i="15"/>
  <c r="T28006" i="15"/>
  <c r="T28005" i="15"/>
  <c r="T28004" i="15"/>
  <c r="T28003" i="15"/>
  <c r="T28002" i="15"/>
  <c r="T28001" i="15"/>
  <c r="T28000" i="15"/>
  <c r="T27999" i="15"/>
  <c r="T27998" i="15"/>
  <c r="T27997" i="15"/>
  <c r="T27996" i="15"/>
  <c r="T27995" i="15"/>
  <c r="T27994" i="15"/>
  <c r="T27993" i="15"/>
  <c r="T27992" i="15"/>
  <c r="T27991" i="15"/>
  <c r="T27990" i="15"/>
  <c r="T27989" i="15"/>
  <c r="T27988" i="15"/>
  <c r="T27987" i="15"/>
  <c r="T27986" i="15"/>
  <c r="T27985" i="15"/>
  <c r="T27984" i="15"/>
  <c r="T27983" i="15"/>
  <c r="T27982" i="15"/>
  <c r="T27981" i="15"/>
  <c r="T27980" i="15"/>
  <c r="T27979" i="15"/>
  <c r="T27978" i="15"/>
  <c r="T27977" i="15"/>
  <c r="T27976" i="15"/>
  <c r="T27975" i="15"/>
  <c r="T27974" i="15"/>
  <c r="T27973" i="15"/>
  <c r="T27972" i="15"/>
  <c r="T27971" i="15"/>
  <c r="T27970" i="15"/>
  <c r="T27969" i="15"/>
  <c r="T27968" i="15"/>
  <c r="T27967" i="15"/>
  <c r="T27966" i="15"/>
  <c r="T27965" i="15"/>
  <c r="T27964" i="15"/>
  <c r="T27963" i="15"/>
  <c r="T27962" i="15"/>
  <c r="T27961" i="15"/>
  <c r="T27960" i="15"/>
  <c r="T27959" i="15"/>
  <c r="T27958" i="15"/>
  <c r="T27957" i="15"/>
  <c r="T27956" i="15"/>
  <c r="T27955" i="15"/>
  <c r="T27954" i="15"/>
  <c r="T27953" i="15"/>
  <c r="T27952" i="15"/>
  <c r="T27951" i="15"/>
  <c r="T27950" i="15"/>
  <c r="T27949" i="15"/>
  <c r="T27948" i="15"/>
  <c r="T27947" i="15"/>
  <c r="T27946" i="15"/>
  <c r="T27945" i="15"/>
  <c r="T27944" i="15"/>
  <c r="T27943" i="15"/>
  <c r="T27942" i="15"/>
  <c r="T27941" i="15"/>
  <c r="T27940" i="15"/>
  <c r="T27939" i="15"/>
  <c r="T27938" i="15"/>
  <c r="T27937" i="15"/>
  <c r="T27936" i="15"/>
  <c r="T27935" i="15"/>
  <c r="T27934" i="15"/>
  <c r="T27933" i="15"/>
  <c r="T27932" i="15"/>
  <c r="T27931" i="15"/>
  <c r="T27930" i="15"/>
  <c r="T27929" i="15"/>
  <c r="T27928" i="15"/>
  <c r="T27927" i="15"/>
  <c r="T27926" i="15"/>
  <c r="T27925" i="15"/>
  <c r="T27924" i="15"/>
  <c r="T27923" i="15"/>
  <c r="T27922" i="15"/>
  <c r="T27921" i="15"/>
  <c r="T27920" i="15"/>
  <c r="T27919" i="15"/>
  <c r="T27918" i="15"/>
  <c r="T27917" i="15"/>
  <c r="T27916" i="15"/>
  <c r="T27915" i="15"/>
  <c r="T27914" i="15"/>
  <c r="T27913" i="15"/>
  <c r="T27912" i="15"/>
  <c r="T27911" i="15"/>
  <c r="T27910" i="15"/>
  <c r="T27909" i="15"/>
  <c r="T27908" i="15"/>
  <c r="T27907" i="15"/>
  <c r="T27906" i="15"/>
  <c r="T27905" i="15"/>
  <c r="T27904" i="15"/>
  <c r="T27903" i="15"/>
  <c r="T27902" i="15"/>
  <c r="T27901" i="15"/>
  <c r="T27900" i="15"/>
  <c r="T27899" i="15"/>
  <c r="T27898" i="15"/>
  <c r="T27897" i="15"/>
  <c r="T27896" i="15"/>
  <c r="T27895" i="15"/>
  <c r="T27894" i="15"/>
  <c r="T27893" i="15"/>
  <c r="T27892" i="15"/>
  <c r="T27891" i="15"/>
  <c r="T27890" i="15"/>
  <c r="T27889" i="15"/>
  <c r="T27888" i="15"/>
  <c r="T27887" i="15"/>
  <c r="T27886" i="15"/>
  <c r="T27885" i="15"/>
  <c r="T27884" i="15"/>
  <c r="T27883" i="15"/>
  <c r="T27882" i="15"/>
  <c r="T27881" i="15"/>
  <c r="T27880" i="15"/>
  <c r="T27879" i="15"/>
  <c r="T27878" i="15"/>
  <c r="T27877" i="15"/>
  <c r="T27876" i="15"/>
  <c r="T27875" i="15"/>
  <c r="T27874" i="15"/>
  <c r="T27873" i="15"/>
  <c r="T27872" i="15"/>
  <c r="T27871" i="15"/>
  <c r="T27870" i="15"/>
  <c r="T27869" i="15"/>
  <c r="T27868" i="15"/>
  <c r="T27867" i="15"/>
  <c r="T27866" i="15"/>
  <c r="T27865" i="15"/>
  <c r="T27864" i="15"/>
  <c r="T27863" i="15"/>
  <c r="T27862" i="15"/>
  <c r="T27861" i="15"/>
  <c r="T27860" i="15"/>
  <c r="T27859" i="15"/>
  <c r="T27858" i="15"/>
  <c r="T27857" i="15"/>
  <c r="T27856" i="15"/>
  <c r="T27855" i="15"/>
  <c r="T27854" i="15"/>
  <c r="T27853" i="15"/>
  <c r="T27852" i="15"/>
  <c r="T27851" i="15"/>
  <c r="T27850" i="15"/>
  <c r="T27849" i="15"/>
  <c r="T27848" i="15"/>
  <c r="T27847" i="15"/>
  <c r="T27846" i="15"/>
  <c r="T27845" i="15"/>
  <c r="T27844" i="15"/>
  <c r="T27843" i="15"/>
  <c r="T27842" i="15"/>
  <c r="T27841" i="15"/>
  <c r="T27840" i="15"/>
  <c r="T27839" i="15"/>
  <c r="T27838" i="15"/>
  <c r="T27837" i="15"/>
  <c r="T27836" i="15"/>
  <c r="T27835" i="15"/>
  <c r="T27834" i="15"/>
  <c r="T27833" i="15"/>
  <c r="T27832" i="15"/>
  <c r="T27831" i="15"/>
  <c r="T27830" i="15"/>
  <c r="T27829" i="15"/>
  <c r="T27828" i="15"/>
  <c r="T27827" i="15"/>
  <c r="T27826" i="15"/>
  <c r="T27825" i="15"/>
  <c r="T27824" i="15"/>
  <c r="T27823" i="15"/>
  <c r="T27822" i="15"/>
  <c r="T27821" i="15"/>
  <c r="T27820" i="15"/>
  <c r="T27819" i="15"/>
  <c r="T27818" i="15"/>
  <c r="T27817" i="15"/>
  <c r="T27816" i="15"/>
  <c r="T27815" i="15"/>
  <c r="T27814" i="15"/>
  <c r="T27813" i="15"/>
  <c r="T27812" i="15"/>
  <c r="T27811" i="15"/>
  <c r="T27810" i="15"/>
  <c r="T27809" i="15"/>
  <c r="T27808" i="15"/>
  <c r="T27807" i="15"/>
  <c r="T27806" i="15"/>
  <c r="T27805" i="15"/>
  <c r="T27804" i="15"/>
  <c r="T27803" i="15"/>
  <c r="T27802" i="15"/>
  <c r="T27801" i="15"/>
  <c r="T27800" i="15"/>
  <c r="T27799" i="15"/>
  <c r="T27798" i="15"/>
  <c r="T27797" i="15"/>
  <c r="T27796" i="15"/>
  <c r="T27795" i="15"/>
  <c r="T27794" i="15"/>
  <c r="T27793" i="15"/>
  <c r="T27792" i="15"/>
  <c r="T27791" i="15"/>
  <c r="T27790" i="15"/>
  <c r="T27789" i="15"/>
  <c r="T27788" i="15"/>
  <c r="T27787" i="15"/>
  <c r="T27786" i="15"/>
  <c r="T27785" i="15"/>
  <c r="T27784" i="15"/>
  <c r="T27783" i="15"/>
  <c r="T27782" i="15"/>
  <c r="T27781" i="15"/>
  <c r="T27780" i="15"/>
  <c r="T27779" i="15"/>
  <c r="T27778" i="15"/>
  <c r="T27777" i="15"/>
  <c r="T27776" i="15"/>
  <c r="T27775" i="15"/>
  <c r="T27774" i="15"/>
  <c r="T27773" i="15"/>
  <c r="T27772" i="15"/>
  <c r="T27771" i="15"/>
  <c r="T27770" i="15"/>
  <c r="T27769" i="15"/>
  <c r="T27768" i="15"/>
  <c r="T27767" i="15"/>
  <c r="T27766" i="15"/>
  <c r="T27765" i="15"/>
  <c r="T27764" i="15"/>
  <c r="T27763" i="15"/>
  <c r="T27762" i="15"/>
  <c r="T27761" i="15"/>
  <c r="T27760" i="15"/>
  <c r="T27759" i="15"/>
  <c r="T27758" i="15"/>
  <c r="T27757" i="15"/>
  <c r="T27756" i="15"/>
  <c r="T27755" i="15"/>
  <c r="T27754" i="15"/>
  <c r="T27753" i="15"/>
  <c r="T27752" i="15"/>
  <c r="T27751" i="15"/>
  <c r="T27750" i="15"/>
  <c r="T27749" i="15"/>
  <c r="T27748" i="15"/>
  <c r="T27747" i="15"/>
  <c r="T27746" i="15"/>
  <c r="T27745" i="15"/>
  <c r="T27744" i="15"/>
  <c r="T27743" i="15"/>
  <c r="T27742" i="15"/>
  <c r="T27741" i="15"/>
  <c r="T27740" i="15"/>
  <c r="T27739" i="15"/>
  <c r="T27738" i="15"/>
  <c r="T27737" i="15"/>
  <c r="T27736" i="15"/>
  <c r="T27735" i="15"/>
  <c r="T27734" i="15"/>
  <c r="T27733" i="15"/>
  <c r="T27732" i="15"/>
  <c r="T27731" i="15"/>
  <c r="T27730" i="15"/>
  <c r="T27729" i="15"/>
  <c r="T27728" i="15"/>
  <c r="T27727" i="15"/>
  <c r="T27726" i="15"/>
  <c r="T27725" i="15"/>
  <c r="T27724" i="15"/>
  <c r="T27723" i="15"/>
  <c r="T27722" i="15"/>
  <c r="T27721" i="15"/>
  <c r="T27720" i="15"/>
  <c r="T27719" i="15"/>
  <c r="T27718" i="15"/>
  <c r="T27717" i="15"/>
  <c r="T27716" i="15"/>
  <c r="T27715" i="15"/>
  <c r="T27714" i="15"/>
  <c r="T27713" i="15"/>
  <c r="T27712" i="15"/>
  <c r="T27711" i="15"/>
  <c r="T27710" i="15"/>
  <c r="T27709" i="15"/>
  <c r="T27708" i="15"/>
  <c r="T27707" i="15"/>
  <c r="T27706" i="15"/>
  <c r="T27705" i="15"/>
  <c r="T27704" i="15"/>
  <c r="T27703" i="15"/>
  <c r="T27702" i="15"/>
  <c r="T27701" i="15"/>
  <c r="T27700" i="15"/>
  <c r="T27699" i="15"/>
  <c r="T27698" i="15"/>
  <c r="T27697" i="15"/>
  <c r="T27696" i="15"/>
  <c r="T27695" i="15"/>
  <c r="T27694" i="15"/>
  <c r="T27693" i="15"/>
  <c r="T27692" i="15"/>
  <c r="T27691" i="15"/>
  <c r="T27690" i="15"/>
  <c r="T27689" i="15"/>
  <c r="T27688" i="15"/>
  <c r="T27687" i="15"/>
  <c r="T27686" i="15"/>
  <c r="T27685" i="15"/>
  <c r="T27684" i="15"/>
  <c r="T27683" i="15"/>
  <c r="T27682" i="15"/>
  <c r="T27681" i="15"/>
  <c r="T27680" i="15"/>
  <c r="T27679" i="15"/>
  <c r="T27678" i="15"/>
  <c r="T27677" i="15"/>
  <c r="T27676" i="15"/>
  <c r="T27675" i="15"/>
  <c r="T27674" i="15"/>
  <c r="T27673" i="15"/>
  <c r="T27672" i="15"/>
  <c r="T27671" i="15"/>
  <c r="T27670" i="15"/>
  <c r="T27669" i="15"/>
  <c r="T27668" i="15"/>
  <c r="T27667" i="15"/>
  <c r="T27666" i="15"/>
  <c r="T27665" i="15"/>
  <c r="T27664" i="15"/>
  <c r="T27663" i="15"/>
  <c r="T27662" i="15"/>
  <c r="T27661" i="15"/>
  <c r="T27660" i="15"/>
  <c r="T27659" i="15"/>
  <c r="T27658" i="15"/>
  <c r="T27657" i="15"/>
  <c r="T27656" i="15"/>
  <c r="T27655" i="15"/>
  <c r="T27654" i="15"/>
  <c r="T27653" i="15"/>
  <c r="T27652" i="15"/>
  <c r="T27651" i="15"/>
  <c r="T27650" i="15"/>
  <c r="T27649" i="15"/>
  <c r="T27648" i="15"/>
  <c r="T27647" i="15"/>
  <c r="T27646" i="15"/>
  <c r="T27645" i="15"/>
  <c r="T27644" i="15"/>
  <c r="T27643" i="15"/>
  <c r="T27642" i="15"/>
  <c r="T27641" i="15"/>
  <c r="T27640" i="15"/>
  <c r="T27639" i="15"/>
  <c r="T27638" i="15"/>
  <c r="T27637" i="15"/>
  <c r="T27636" i="15"/>
  <c r="T27635" i="15"/>
  <c r="T27634" i="15"/>
  <c r="T27633" i="15"/>
  <c r="T27632" i="15"/>
  <c r="T27631" i="15"/>
  <c r="T27630" i="15"/>
  <c r="T27629" i="15"/>
  <c r="T27628" i="15"/>
  <c r="T27627" i="15"/>
  <c r="T27626" i="15"/>
  <c r="T27625" i="15"/>
  <c r="T27624" i="15"/>
  <c r="T27623" i="15"/>
  <c r="T27622" i="15"/>
  <c r="T27621" i="15"/>
  <c r="T27620" i="15"/>
  <c r="T27619" i="15"/>
  <c r="T27618" i="15"/>
  <c r="T27617" i="15"/>
  <c r="T27616" i="15"/>
  <c r="T27615" i="15"/>
  <c r="T27614" i="15"/>
  <c r="T27613" i="15"/>
  <c r="T27612" i="15"/>
  <c r="T27611" i="15"/>
  <c r="T27610" i="15"/>
  <c r="T27609" i="15"/>
  <c r="T27608" i="15"/>
  <c r="T27607" i="15"/>
  <c r="T27606" i="15"/>
  <c r="T27605" i="15"/>
  <c r="T27604" i="15"/>
  <c r="T27603" i="15"/>
  <c r="T27602" i="15"/>
  <c r="T27601" i="15"/>
  <c r="T27600" i="15"/>
  <c r="T27599" i="15"/>
  <c r="T27598" i="15"/>
  <c r="T27597" i="15"/>
  <c r="T27596" i="15"/>
  <c r="T27595" i="15"/>
  <c r="T27594" i="15"/>
  <c r="T27593" i="15"/>
  <c r="T27592" i="15"/>
  <c r="T27591" i="15"/>
  <c r="T27590" i="15"/>
  <c r="T27589" i="15"/>
  <c r="T27588" i="15"/>
  <c r="T27587" i="15"/>
  <c r="T27586" i="15"/>
  <c r="T27585" i="15"/>
  <c r="T27584" i="15"/>
  <c r="T27583" i="15"/>
  <c r="T27582" i="15"/>
  <c r="T27581" i="15"/>
  <c r="T27580" i="15"/>
  <c r="T27579" i="15"/>
  <c r="T27578" i="15"/>
  <c r="T27577" i="15"/>
  <c r="T27576" i="15"/>
  <c r="T27575" i="15"/>
  <c r="T27574" i="15"/>
  <c r="T27573" i="15"/>
  <c r="T27572" i="15"/>
  <c r="T27571" i="15"/>
  <c r="T27570" i="15"/>
  <c r="T27569" i="15"/>
  <c r="T27568" i="15"/>
  <c r="T27567" i="15"/>
  <c r="T27566" i="15"/>
  <c r="T27565" i="15"/>
  <c r="T27564" i="15"/>
  <c r="T27563" i="15"/>
  <c r="T27562" i="15"/>
  <c r="T27561" i="15"/>
  <c r="T27560" i="15"/>
  <c r="T27559" i="15"/>
  <c r="T27558" i="15"/>
  <c r="T27557" i="15"/>
  <c r="T27556" i="15"/>
  <c r="T27555" i="15"/>
  <c r="T27554" i="15"/>
  <c r="T27553" i="15"/>
  <c r="T27552" i="15"/>
  <c r="T27551" i="15"/>
  <c r="T27550" i="15"/>
  <c r="T27549" i="15"/>
  <c r="T27548" i="15"/>
  <c r="T27547" i="15"/>
  <c r="T27546" i="15"/>
  <c r="T27545" i="15"/>
  <c r="T27544" i="15"/>
  <c r="T27543" i="15"/>
  <c r="T27542" i="15"/>
  <c r="T27541" i="15"/>
  <c r="T27540" i="15"/>
  <c r="T27539" i="15"/>
  <c r="T27538" i="15"/>
  <c r="T27537" i="15"/>
  <c r="T27536" i="15"/>
  <c r="T27535" i="15"/>
  <c r="T27534" i="15"/>
  <c r="T27533" i="15"/>
  <c r="T27532" i="15"/>
  <c r="T27531" i="15"/>
  <c r="T27530" i="15"/>
  <c r="T27529" i="15"/>
  <c r="T27528" i="15"/>
  <c r="T27527" i="15"/>
  <c r="T27526" i="15"/>
  <c r="T27525" i="15"/>
  <c r="T27524" i="15"/>
  <c r="T27523" i="15"/>
  <c r="T27522" i="15"/>
  <c r="T27521" i="15"/>
  <c r="T27520" i="15"/>
  <c r="T27519" i="15"/>
  <c r="T27518" i="15"/>
  <c r="T27517" i="15"/>
  <c r="T27516" i="15"/>
  <c r="T27515" i="15"/>
  <c r="T27514" i="15"/>
  <c r="T27513" i="15"/>
  <c r="T27512" i="15"/>
  <c r="T27511" i="15"/>
  <c r="T27510" i="15"/>
  <c r="T27509" i="15"/>
  <c r="T27508" i="15"/>
  <c r="T27507" i="15"/>
  <c r="T27506" i="15"/>
  <c r="T27505" i="15"/>
  <c r="T27504" i="15"/>
  <c r="T27503" i="15"/>
  <c r="T27502" i="15"/>
  <c r="T27501" i="15"/>
  <c r="T27500" i="15"/>
  <c r="T27499" i="15"/>
  <c r="T27498" i="15"/>
  <c r="T27497" i="15"/>
  <c r="T27496" i="15"/>
  <c r="T27495" i="15"/>
  <c r="T27494" i="15"/>
  <c r="T27493" i="15"/>
  <c r="T27492" i="15"/>
  <c r="T27491" i="15"/>
  <c r="T27490" i="15"/>
  <c r="T27489" i="15"/>
  <c r="T27488" i="15"/>
  <c r="T27487" i="15"/>
  <c r="T27486" i="15"/>
  <c r="T27485" i="15"/>
  <c r="T27484" i="15"/>
  <c r="T27483" i="15"/>
  <c r="T27482" i="15"/>
  <c r="T27481" i="15"/>
  <c r="T27480" i="15"/>
  <c r="T27479" i="15"/>
  <c r="T27478" i="15"/>
  <c r="T27477" i="15"/>
  <c r="T27476" i="15"/>
  <c r="T27475" i="15"/>
  <c r="T27474" i="15"/>
  <c r="T27473" i="15"/>
  <c r="T27472" i="15"/>
  <c r="T27471" i="15"/>
  <c r="T27470" i="15"/>
  <c r="T27469" i="15"/>
  <c r="T27468" i="15"/>
  <c r="T27467" i="15"/>
  <c r="T27466" i="15"/>
  <c r="T27465" i="15"/>
  <c r="T27464" i="15"/>
  <c r="T27463" i="15"/>
  <c r="T27462" i="15"/>
  <c r="T27461" i="15"/>
  <c r="T27460" i="15"/>
  <c r="T27459" i="15"/>
  <c r="T27458" i="15"/>
  <c r="T27457" i="15"/>
  <c r="T27456" i="15"/>
  <c r="T27455" i="15"/>
  <c r="T27454" i="15"/>
  <c r="T27453" i="15"/>
  <c r="T27452" i="15"/>
  <c r="T27451" i="15"/>
  <c r="T27450" i="15"/>
  <c r="T27449" i="15"/>
  <c r="T27448" i="15"/>
  <c r="T27447" i="15"/>
  <c r="T27446" i="15"/>
  <c r="T27445" i="15"/>
  <c r="T27444" i="15"/>
  <c r="T27443" i="15"/>
  <c r="T27442" i="15"/>
  <c r="T27441" i="15"/>
  <c r="T27440" i="15"/>
  <c r="T27439" i="15"/>
  <c r="T27438" i="15"/>
  <c r="T27437" i="15"/>
  <c r="T27436" i="15"/>
  <c r="T27435" i="15"/>
  <c r="T27434" i="15"/>
  <c r="T27433" i="15"/>
  <c r="T27432" i="15"/>
  <c r="T27431" i="15"/>
  <c r="T27430" i="15"/>
  <c r="T27429" i="15"/>
  <c r="T27428" i="15"/>
  <c r="T27427" i="15"/>
  <c r="T27426" i="15"/>
  <c r="T27425" i="15"/>
  <c r="T27424" i="15"/>
  <c r="T27423" i="15"/>
  <c r="T27422" i="15"/>
  <c r="T27421" i="15"/>
  <c r="T27420" i="15"/>
  <c r="T27419" i="15"/>
  <c r="T27418" i="15"/>
  <c r="T27417" i="15"/>
  <c r="T27416" i="15"/>
  <c r="T27415" i="15"/>
  <c r="T27414" i="15"/>
  <c r="T27413" i="15"/>
  <c r="T27412" i="15"/>
  <c r="T27411" i="15"/>
  <c r="T27410" i="15"/>
  <c r="T27409" i="15"/>
  <c r="T27408" i="15"/>
  <c r="T27407" i="15"/>
  <c r="T27406" i="15"/>
  <c r="T27405" i="15"/>
  <c r="T27404" i="15"/>
  <c r="T27403" i="15"/>
  <c r="T27402" i="15"/>
  <c r="T27401" i="15"/>
  <c r="T27400" i="15"/>
  <c r="T27399" i="15"/>
  <c r="T27398" i="15"/>
  <c r="T27397" i="15"/>
  <c r="T27396" i="15"/>
  <c r="T27395" i="15"/>
  <c r="T27394" i="15"/>
  <c r="T27393" i="15"/>
  <c r="T27392" i="15"/>
  <c r="T27391" i="15"/>
  <c r="T27390" i="15"/>
  <c r="T27389" i="15"/>
  <c r="T27388" i="15"/>
  <c r="T27387" i="15"/>
  <c r="T27386" i="15"/>
  <c r="T27385" i="15"/>
  <c r="T27384" i="15"/>
  <c r="T27383" i="15"/>
  <c r="T27382" i="15"/>
  <c r="T27381" i="15"/>
  <c r="T27380" i="15"/>
  <c r="T27379" i="15"/>
  <c r="T27378" i="15"/>
  <c r="T27377" i="15"/>
  <c r="T27376" i="15"/>
  <c r="T27375" i="15"/>
  <c r="T27374" i="15"/>
  <c r="T27373" i="15"/>
  <c r="T27372" i="15"/>
  <c r="T27371" i="15"/>
  <c r="T27370" i="15"/>
  <c r="T27369" i="15"/>
  <c r="T27368" i="15"/>
  <c r="T27367" i="15"/>
  <c r="T27366" i="15"/>
  <c r="T27365" i="15"/>
  <c r="T27364" i="15"/>
  <c r="T27363" i="15"/>
  <c r="T27362" i="15"/>
  <c r="T27361" i="15"/>
  <c r="T27360" i="15"/>
  <c r="T27359" i="15"/>
  <c r="T27358" i="15"/>
  <c r="T27357" i="15"/>
  <c r="T27356" i="15"/>
  <c r="T27355" i="15"/>
  <c r="T27354" i="15"/>
  <c r="T27353" i="15"/>
  <c r="T27352" i="15"/>
  <c r="T27351" i="15"/>
  <c r="T27350" i="15"/>
  <c r="T27349" i="15"/>
  <c r="T27348" i="15"/>
  <c r="T27347" i="15"/>
  <c r="T27346" i="15"/>
  <c r="T27345" i="15"/>
  <c r="T27344" i="15"/>
  <c r="T27343" i="15"/>
  <c r="T27342" i="15"/>
  <c r="T27341" i="15"/>
  <c r="T27340" i="15"/>
  <c r="T27339" i="15"/>
  <c r="T27338" i="15"/>
  <c r="T27337" i="15"/>
  <c r="T27336" i="15"/>
  <c r="T27335" i="15"/>
  <c r="T27334" i="15"/>
  <c r="T27333" i="15"/>
  <c r="T27332" i="15"/>
  <c r="T27331" i="15"/>
  <c r="T27330" i="15"/>
  <c r="T27329" i="15"/>
  <c r="T27328" i="15"/>
  <c r="T27327" i="15"/>
  <c r="T27326" i="15"/>
  <c r="T27325" i="15"/>
  <c r="T27324" i="15"/>
  <c r="T27323" i="15"/>
  <c r="T27322" i="15"/>
  <c r="T27321" i="15"/>
  <c r="T27320" i="15"/>
  <c r="T27319" i="15"/>
  <c r="T27318" i="15"/>
  <c r="T27317" i="15"/>
  <c r="T27316" i="15"/>
  <c r="T27315" i="15"/>
  <c r="T27314" i="15"/>
  <c r="T27313" i="15"/>
  <c r="T27312" i="15"/>
  <c r="T27311" i="15"/>
  <c r="T27310" i="15"/>
  <c r="T27309" i="15"/>
  <c r="T27308" i="15"/>
  <c r="T27307" i="15"/>
  <c r="T27306" i="15"/>
  <c r="T27305" i="15"/>
  <c r="T27304" i="15"/>
  <c r="T27303" i="15"/>
  <c r="T27302" i="15"/>
  <c r="T27301" i="15"/>
  <c r="T27300" i="15"/>
  <c r="T27299" i="15"/>
  <c r="T27298" i="15"/>
  <c r="T27297" i="15"/>
  <c r="T27296" i="15"/>
  <c r="T27295" i="15"/>
  <c r="T27294" i="15"/>
  <c r="T27293" i="15"/>
  <c r="T27292" i="15"/>
  <c r="T27291" i="15"/>
  <c r="T27290" i="15"/>
  <c r="T27289" i="15"/>
  <c r="T27288" i="15"/>
  <c r="T27287" i="15"/>
  <c r="T27286" i="15"/>
  <c r="T27285" i="15"/>
  <c r="T27284" i="15"/>
  <c r="T27283" i="15"/>
  <c r="T27282" i="15"/>
  <c r="T27281" i="15"/>
  <c r="T27280" i="15"/>
  <c r="T27279" i="15"/>
  <c r="T27278" i="15"/>
  <c r="T27277" i="15"/>
  <c r="T27276" i="15"/>
  <c r="T27275" i="15"/>
  <c r="T27274" i="15"/>
  <c r="T27273" i="15"/>
  <c r="T27272" i="15"/>
  <c r="T27271" i="15"/>
  <c r="T27270" i="15"/>
  <c r="T27269" i="15"/>
  <c r="T27268" i="15"/>
  <c r="T27267" i="15"/>
  <c r="T27266" i="15"/>
  <c r="T27265" i="15"/>
  <c r="T27264" i="15"/>
  <c r="T27263" i="15"/>
  <c r="T27262" i="15"/>
  <c r="T27261" i="15"/>
  <c r="T27260" i="15"/>
  <c r="T27259" i="15"/>
  <c r="T27258" i="15"/>
  <c r="T27257" i="15"/>
  <c r="T27256" i="15"/>
  <c r="T27255" i="15"/>
  <c r="T27254" i="15"/>
  <c r="T27253" i="15"/>
  <c r="T27252" i="15"/>
  <c r="T27251" i="15"/>
  <c r="T27250" i="15"/>
  <c r="T27249" i="15"/>
  <c r="T27248" i="15"/>
  <c r="T27247" i="15"/>
  <c r="T27246" i="15"/>
  <c r="T27245" i="15"/>
  <c r="T27244" i="15"/>
  <c r="T27243" i="15"/>
  <c r="T27242" i="15"/>
  <c r="T27241" i="15"/>
  <c r="T27240" i="15"/>
  <c r="T27239" i="15"/>
  <c r="T27238" i="15"/>
  <c r="T27237" i="15"/>
  <c r="T27236" i="15"/>
  <c r="T27235" i="15"/>
  <c r="T27234" i="15"/>
  <c r="T27233" i="15"/>
  <c r="T27232" i="15"/>
  <c r="T27231" i="15"/>
  <c r="T27230" i="15"/>
  <c r="T27229" i="15"/>
  <c r="T27228" i="15"/>
  <c r="T27227" i="15"/>
  <c r="T27226" i="15"/>
  <c r="T27225" i="15"/>
  <c r="T27224" i="15"/>
  <c r="T27223" i="15"/>
  <c r="T27222" i="15"/>
  <c r="T27221" i="15"/>
  <c r="T27220" i="15"/>
  <c r="T27219" i="15"/>
  <c r="T27218" i="15"/>
  <c r="T27217" i="15"/>
  <c r="T27216" i="15"/>
  <c r="T27215" i="15"/>
  <c r="T27214" i="15"/>
  <c r="T27213" i="15"/>
  <c r="T27212" i="15"/>
  <c r="T27211" i="15"/>
  <c r="T27210" i="15"/>
  <c r="T27209" i="15"/>
  <c r="T27208" i="15"/>
  <c r="T27207" i="15"/>
  <c r="T27206" i="15"/>
  <c r="T27205" i="15"/>
  <c r="T27204" i="15"/>
  <c r="T27203" i="15"/>
  <c r="T27202" i="15"/>
  <c r="T27201" i="15"/>
  <c r="T27200" i="15"/>
  <c r="T27199" i="15"/>
  <c r="T27198" i="15"/>
  <c r="T27197" i="15"/>
  <c r="T27196" i="15"/>
  <c r="T27195" i="15"/>
  <c r="T27194" i="15"/>
  <c r="T27193" i="15"/>
  <c r="T27192" i="15"/>
  <c r="T27191" i="15"/>
  <c r="T27190" i="15"/>
  <c r="T27189" i="15"/>
  <c r="T27188" i="15"/>
  <c r="T27187" i="15"/>
  <c r="T27186" i="15"/>
  <c r="T27185" i="15"/>
  <c r="T27184" i="15"/>
  <c r="T27183" i="15"/>
  <c r="T27182" i="15"/>
  <c r="T27181" i="15"/>
  <c r="T27180" i="15"/>
  <c r="T27179" i="15"/>
  <c r="T27178" i="15"/>
  <c r="T27177" i="15"/>
  <c r="T27176" i="15"/>
  <c r="T27175" i="15"/>
  <c r="T27174" i="15"/>
  <c r="T27173" i="15"/>
  <c r="T27172" i="15"/>
  <c r="T27171" i="15"/>
  <c r="T27170" i="15"/>
  <c r="T27169" i="15"/>
  <c r="T27168" i="15"/>
  <c r="T27167" i="15"/>
  <c r="T27166" i="15"/>
  <c r="T27165" i="15"/>
  <c r="T27164" i="15"/>
  <c r="T27163" i="15"/>
  <c r="T27162" i="15"/>
  <c r="T27161" i="15"/>
  <c r="T27160" i="15"/>
  <c r="T27159" i="15"/>
  <c r="T27158" i="15"/>
  <c r="T27157" i="15"/>
  <c r="T27156" i="15"/>
  <c r="T27155" i="15"/>
  <c r="T27154" i="15"/>
  <c r="T27153" i="15"/>
  <c r="T27152" i="15"/>
  <c r="T27151" i="15"/>
  <c r="T27150" i="15"/>
  <c r="T27149" i="15"/>
  <c r="T27148" i="15"/>
  <c r="T27147" i="15"/>
  <c r="T27146" i="15"/>
  <c r="T27145" i="15"/>
  <c r="T27144" i="15"/>
  <c r="T27143" i="15"/>
  <c r="T27142" i="15"/>
  <c r="T27141" i="15"/>
  <c r="T27140" i="15"/>
  <c r="T27139" i="15"/>
  <c r="T27138" i="15"/>
  <c r="T27137" i="15"/>
  <c r="T27136" i="15"/>
  <c r="T27135" i="15"/>
  <c r="T27134" i="15"/>
  <c r="T27133" i="15"/>
  <c r="T27132" i="15"/>
  <c r="T27131" i="15"/>
  <c r="T27130" i="15"/>
  <c r="T27129" i="15"/>
  <c r="T27128" i="15"/>
  <c r="T27127" i="15"/>
  <c r="T27126" i="15"/>
  <c r="T27125" i="15"/>
  <c r="T27124" i="15"/>
  <c r="T27123" i="15"/>
  <c r="T27122" i="15"/>
  <c r="T27121" i="15"/>
  <c r="T27120" i="15"/>
  <c r="T27119" i="15"/>
  <c r="T27118" i="15"/>
  <c r="T27117" i="15"/>
  <c r="T27116" i="15"/>
  <c r="T27115" i="15"/>
  <c r="T27114" i="15"/>
  <c r="T27113" i="15"/>
  <c r="T27112" i="15"/>
  <c r="T27111" i="15"/>
  <c r="T27110" i="15"/>
  <c r="T27109" i="15"/>
  <c r="T27108" i="15"/>
  <c r="T27107" i="15"/>
  <c r="T27106" i="15"/>
  <c r="T27105" i="15"/>
  <c r="T27104" i="15"/>
  <c r="T27103" i="15"/>
  <c r="T27102" i="15"/>
  <c r="T27101" i="15"/>
  <c r="T27100" i="15"/>
  <c r="T27099" i="15"/>
  <c r="T27098" i="15"/>
  <c r="T27097" i="15"/>
  <c r="T27096" i="15"/>
  <c r="T27095" i="15"/>
  <c r="T27094" i="15"/>
  <c r="T27093" i="15"/>
  <c r="T27092" i="15"/>
  <c r="T27091" i="15"/>
  <c r="T27090" i="15"/>
  <c r="T27089" i="15"/>
  <c r="T27088" i="15"/>
  <c r="T27087" i="15"/>
  <c r="T27086" i="15"/>
  <c r="T27085" i="15"/>
  <c r="T27084" i="15"/>
  <c r="T27083" i="15"/>
  <c r="T27082" i="15"/>
  <c r="T27081" i="15"/>
  <c r="T27080" i="15"/>
  <c r="T27079" i="15"/>
  <c r="T27078" i="15"/>
  <c r="T27077" i="15"/>
  <c r="T27076" i="15"/>
  <c r="T27075" i="15"/>
  <c r="T27074" i="15"/>
  <c r="T27073" i="15"/>
  <c r="T27072" i="15"/>
  <c r="T27071" i="15"/>
  <c r="T27070" i="15"/>
  <c r="T27069" i="15"/>
  <c r="T27068" i="15"/>
  <c r="T27067" i="15"/>
  <c r="T27066" i="15"/>
  <c r="T27065" i="15"/>
  <c r="T27064" i="15"/>
  <c r="T27063" i="15"/>
  <c r="T27062" i="15"/>
  <c r="T27061" i="15"/>
  <c r="T27060" i="15"/>
  <c r="T27059" i="15"/>
  <c r="T27058" i="15"/>
  <c r="T27057" i="15"/>
  <c r="T27056" i="15"/>
  <c r="T27055" i="15"/>
  <c r="T27054" i="15"/>
  <c r="T27053" i="15"/>
  <c r="T27052" i="15"/>
  <c r="T27051" i="15"/>
  <c r="T27050" i="15"/>
  <c r="T27049" i="15"/>
  <c r="T27048" i="15"/>
  <c r="T27047" i="15"/>
  <c r="T27046" i="15"/>
  <c r="T27045" i="15"/>
  <c r="T27044" i="15"/>
  <c r="T27043" i="15"/>
  <c r="T27042" i="15"/>
  <c r="T27041" i="15"/>
  <c r="T27040" i="15"/>
  <c r="T27039" i="15"/>
  <c r="T27038" i="15"/>
  <c r="T27037" i="15"/>
  <c r="T27036" i="15"/>
  <c r="T27035" i="15"/>
  <c r="T27034" i="15"/>
  <c r="T27033" i="15"/>
  <c r="T27032" i="15"/>
  <c r="T27031" i="15"/>
  <c r="T27030" i="15"/>
  <c r="T27029" i="15"/>
  <c r="T27028" i="15"/>
  <c r="T27027" i="15"/>
  <c r="T27026" i="15"/>
  <c r="T27025" i="15"/>
  <c r="T27024" i="15"/>
  <c r="T27023" i="15"/>
  <c r="T27022" i="15"/>
  <c r="T27021" i="15"/>
  <c r="T27020" i="15"/>
  <c r="T27019" i="15"/>
  <c r="T27018" i="15"/>
  <c r="T27017" i="15"/>
  <c r="T27016" i="15"/>
  <c r="T27015" i="15"/>
  <c r="T27014" i="15"/>
  <c r="T27013" i="15"/>
  <c r="T27012" i="15"/>
  <c r="T27011" i="15"/>
  <c r="T27010" i="15"/>
  <c r="T27009" i="15"/>
  <c r="T27008" i="15"/>
  <c r="T27007" i="15"/>
  <c r="T27006" i="15"/>
  <c r="T27005" i="15"/>
  <c r="T27004" i="15"/>
  <c r="T27003" i="15"/>
  <c r="T27002" i="15"/>
  <c r="T27001" i="15"/>
  <c r="T27000" i="15"/>
  <c r="T26999" i="15"/>
  <c r="T26998" i="15"/>
  <c r="T26997" i="15"/>
  <c r="T26996" i="15"/>
  <c r="T26995" i="15"/>
  <c r="T26994" i="15"/>
  <c r="T26993" i="15"/>
  <c r="T26992" i="15"/>
  <c r="T26991" i="15"/>
  <c r="T26990" i="15"/>
  <c r="T26989" i="15"/>
  <c r="T26988" i="15"/>
  <c r="T26987" i="15"/>
  <c r="T26986" i="15"/>
  <c r="T26985" i="15"/>
  <c r="T26984" i="15"/>
  <c r="T26983" i="15"/>
  <c r="T26982" i="15"/>
  <c r="T26981" i="15"/>
  <c r="T26980" i="15"/>
  <c r="T26979" i="15"/>
  <c r="T26978" i="15"/>
  <c r="T26977" i="15"/>
  <c r="T26976" i="15"/>
  <c r="T26975" i="15"/>
  <c r="T26974" i="15"/>
  <c r="T26973" i="15"/>
  <c r="T26972" i="15"/>
  <c r="T26971" i="15"/>
  <c r="T26970" i="15"/>
  <c r="T26969" i="15"/>
  <c r="T26968" i="15"/>
  <c r="T26967" i="15"/>
  <c r="T26966" i="15"/>
  <c r="T26965" i="15"/>
  <c r="T26964" i="15"/>
  <c r="T26963" i="15"/>
  <c r="T26962" i="15"/>
  <c r="T26961" i="15"/>
  <c r="T26960" i="15"/>
  <c r="T26959" i="15"/>
  <c r="T26958" i="15"/>
  <c r="T26957" i="15"/>
  <c r="T26956" i="15"/>
  <c r="T26955" i="15"/>
  <c r="T26954" i="15"/>
  <c r="T26953" i="15"/>
  <c r="T26952" i="15"/>
  <c r="T26951" i="15"/>
  <c r="T26950" i="15"/>
  <c r="T26949" i="15"/>
  <c r="T26948" i="15"/>
  <c r="T26947" i="15"/>
  <c r="T26946" i="15"/>
  <c r="T26945" i="15"/>
  <c r="T26944" i="15"/>
  <c r="T26943" i="15"/>
  <c r="T26942" i="15"/>
  <c r="T26941" i="15"/>
  <c r="T26940" i="15"/>
  <c r="T26939" i="15"/>
  <c r="T26938" i="15"/>
  <c r="T26937" i="15"/>
  <c r="T26936" i="15"/>
  <c r="T26935" i="15"/>
  <c r="T26934" i="15"/>
  <c r="T26933" i="15"/>
  <c r="T26932" i="15"/>
  <c r="T26931" i="15"/>
  <c r="T26930" i="15"/>
  <c r="T26929" i="15"/>
  <c r="T26928" i="15"/>
  <c r="T26927" i="15"/>
  <c r="T26926" i="15"/>
  <c r="T26925" i="15"/>
  <c r="T26924" i="15"/>
  <c r="T26923" i="15"/>
  <c r="T26922" i="15"/>
  <c r="T26921" i="15"/>
  <c r="T26920" i="15"/>
  <c r="T26919" i="15"/>
  <c r="T26918" i="15"/>
  <c r="T26917" i="15"/>
  <c r="T26916" i="15"/>
  <c r="T26915" i="15"/>
  <c r="T26914" i="15"/>
  <c r="T26913" i="15"/>
  <c r="T26912" i="15"/>
  <c r="T26911" i="15"/>
  <c r="T26910" i="15"/>
  <c r="T26909" i="15"/>
  <c r="T26908" i="15"/>
  <c r="T26907" i="15"/>
  <c r="T26906" i="15"/>
  <c r="T26905" i="15"/>
  <c r="T26904" i="15"/>
  <c r="T26903" i="15"/>
  <c r="T26902" i="15"/>
  <c r="T26901" i="15"/>
  <c r="T26900" i="15"/>
  <c r="T26899" i="15"/>
  <c r="T26898" i="15"/>
  <c r="T26897" i="15"/>
  <c r="T26896" i="15"/>
  <c r="T26895" i="15"/>
  <c r="T26894" i="15"/>
  <c r="T26893" i="15"/>
  <c r="T26892" i="15"/>
  <c r="T26891" i="15"/>
  <c r="T26890" i="15"/>
  <c r="T26889" i="15"/>
  <c r="T26888" i="15"/>
  <c r="T26887" i="15"/>
  <c r="T26886" i="15"/>
  <c r="T26885" i="15"/>
  <c r="T26884" i="15"/>
  <c r="T26883" i="15"/>
  <c r="T26882" i="15"/>
  <c r="T26881" i="15"/>
  <c r="T26880" i="15"/>
  <c r="T26879" i="15"/>
  <c r="T26878" i="15"/>
  <c r="T26877" i="15"/>
  <c r="T26876" i="15"/>
  <c r="T26875" i="15"/>
  <c r="T26874" i="15"/>
  <c r="T26873" i="15"/>
  <c r="T26872" i="15"/>
  <c r="T26871" i="15"/>
  <c r="T26870" i="15"/>
  <c r="T26869" i="15"/>
  <c r="T26868" i="15"/>
  <c r="T26867" i="15"/>
  <c r="T26866" i="15"/>
  <c r="T26865" i="15"/>
  <c r="T26864" i="15"/>
  <c r="T26863" i="15"/>
  <c r="T26862" i="15"/>
  <c r="T26861" i="15"/>
  <c r="T26860" i="15"/>
  <c r="T26859" i="15"/>
  <c r="T26858" i="15"/>
  <c r="T26857" i="15"/>
  <c r="T26856" i="15"/>
  <c r="T26855" i="15"/>
  <c r="T26854" i="15"/>
  <c r="T26853" i="15"/>
  <c r="T26852" i="15"/>
  <c r="T26851" i="15"/>
  <c r="T26850" i="15"/>
  <c r="T26849" i="15"/>
  <c r="T26848" i="15"/>
  <c r="T26847" i="15"/>
  <c r="T26846" i="15"/>
  <c r="T26845" i="15"/>
  <c r="T26844" i="15"/>
  <c r="T26843" i="15"/>
  <c r="T26842" i="15"/>
  <c r="T26841" i="15"/>
  <c r="T26840" i="15"/>
  <c r="T26839" i="15"/>
  <c r="T26838" i="15"/>
  <c r="T26837" i="15"/>
  <c r="T26836" i="15"/>
  <c r="T26835" i="15"/>
  <c r="T26834" i="15"/>
  <c r="T26833" i="15"/>
  <c r="T26832" i="15"/>
  <c r="T26831" i="15"/>
  <c r="T26830" i="15"/>
  <c r="T26829" i="15"/>
  <c r="T26828" i="15"/>
  <c r="T26827" i="15"/>
  <c r="T26826" i="15"/>
  <c r="T26825" i="15"/>
  <c r="T26824" i="15"/>
  <c r="T26823" i="15"/>
  <c r="T26822" i="15"/>
  <c r="T26821" i="15"/>
  <c r="T26820" i="15"/>
  <c r="T26819" i="15"/>
  <c r="T26818" i="15"/>
  <c r="T26817" i="15"/>
  <c r="T26816" i="15"/>
  <c r="T26815" i="15"/>
  <c r="T26814" i="15"/>
  <c r="T26813" i="15"/>
  <c r="T26812" i="15"/>
  <c r="T26811" i="15"/>
  <c r="T26810" i="15"/>
  <c r="T26809" i="15"/>
  <c r="T26808" i="15"/>
  <c r="T26807" i="15"/>
  <c r="T26806" i="15"/>
  <c r="T26805" i="15"/>
  <c r="T26804" i="15"/>
  <c r="T26803" i="15"/>
  <c r="T26802" i="15"/>
  <c r="T26801" i="15"/>
  <c r="T26800" i="15"/>
  <c r="T26799" i="15"/>
  <c r="T26798" i="15"/>
  <c r="T26797" i="15"/>
  <c r="T26796" i="15"/>
  <c r="T26795" i="15"/>
  <c r="T26794" i="15"/>
  <c r="T26793" i="15"/>
  <c r="T26792" i="15"/>
  <c r="T26791" i="15"/>
  <c r="T26790" i="15"/>
  <c r="T26789" i="15"/>
  <c r="T26788" i="15"/>
  <c r="T26787" i="15"/>
  <c r="T26786" i="15"/>
  <c r="T26785" i="15"/>
  <c r="T26784" i="15"/>
  <c r="T26783" i="15"/>
  <c r="T26782" i="15"/>
  <c r="T26781" i="15"/>
  <c r="T26780" i="15"/>
  <c r="T26779" i="15"/>
  <c r="T26778" i="15"/>
  <c r="T26777" i="15"/>
  <c r="T26776" i="15"/>
  <c r="T26775" i="15"/>
  <c r="T26774" i="15"/>
  <c r="T26773" i="15"/>
  <c r="T26772" i="15"/>
  <c r="T26771" i="15"/>
  <c r="T26770" i="15"/>
  <c r="T26769" i="15"/>
  <c r="T26768" i="15"/>
  <c r="T26767" i="15"/>
  <c r="T26766" i="15"/>
  <c r="T26765" i="15"/>
  <c r="T26764" i="15"/>
  <c r="T26763" i="15"/>
  <c r="T26762" i="15"/>
  <c r="T26761" i="15"/>
  <c r="T26760" i="15"/>
  <c r="T26759" i="15"/>
  <c r="T26758" i="15"/>
  <c r="T26757" i="15"/>
  <c r="T26756" i="15"/>
  <c r="T26755" i="15"/>
  <c r="T26754" i="15"/>
  <c r="T26753" i="15"/>
  <c r="T26752" i="15"/>
  <c r="T26751" i="15"/>
  <c r="T26750" i="15"/>
  <c r="T26749" i="15"/>
  <c r="T26748" i="15"/>
  <c r="T26747" i="15"/>
  <c r="T26746" i="15"/>
  <c r="T26745" i="15"/>
  <c r="T26744" i="15"/>
  <c r="T26743" i="15"/>
  <c r="T26742" i="15"/>
  <c r="T26741" i="15"/>
  <c r="T26740" i="15"/>
  <c r="T26739" i="15"/>
  <c r="T26738" i="15"/>
  <c r="T26737" i="15"/>
  <c r="T26736" i="15"/>
  <c r="T26735" i="15"/>
  <c r="T26734" i="15"/>
  <c r="T26733" i="15"/>
  <c r="T26732" i="15"/>
  <c r="T26731" i="15"/>
  <c r="T26730" i="15"/>
  <c r="T26729" i="15"/>
  <c r="T26728" i="15"/>
  <c r="T26727" i="15"/>
  <c r="T26726" i="15"/>
  <c r="T26725" i="15"/>
  <c r="T26724" i="15"/>
  <c r="T26723" i="15"/>
  <c r="T26722" i="15"/>
  <c r="T26721" i="15"/>
  <c r="T26720" i="15"/>
  <c r="T26719" i="15"/>
  <c r="T26718" i="15"/>
  <c r="T26717" i="15"/>
  <c r="T26716" i="15"/>
  <c r="T26715" i="15"/>
  <c r="T26714" i="15"/>
  <c r="T26713" i="15"/>
  <c r="T26712" i="15"/>
  <c r="T26711" i="15"/>
  <c r="T26710" i="15"/>
  <c r="T26709" i="15"/>
  <c r="T26708" i="15"/>
  <c r="T26707" i="15"/>
  <c r="T26706" i="15"/>
  <c r="T26705" i="15"/>
  <c r="T26704" i="15"/>
  <c r="T26703" i="15"/>
  <c r="T26702" i="15"/>
  <c r="T26701" i="15"/>
  <c r="T26700" i="15"/>
  <c r="T26699" i="15"/>
  <c r="T26698" i="15"/>
  <c r="T26697" i="15"/>
  <c r="T26696" i="15"/>
  <c r="T26695" i="15"/>
  <c r="T26694" i="15"/>
  <c r="T26693" i="15"/>
  <c r="T26692" i="15"/>
  <c r="T26691" i="15"/>
  <c r="T26690" i="15"/>
  <c r="T26689" i="15"/>
  <c r="T26688" i="15"/>
  <c r="T26687" i="15"/>
  <c r="T26686" i="15"/>
  <c r="T26685" i="15"/>
  <c r="T26684" i="15"/>
  <c r="T26683" i="15"/>
  <c r="T26682" i="15"/>
  <c r="T26681" i="15"/>
  <c r="T26680" i="15"/>
  <c r="T26679" i="15"/>
  <c r="T26678" i="15"/>
  <c r="T26677" i="15"/>
  <c r="T26676" i="15"/>
  <c r="T26675" i="15"/>
  <c r="T26674" i="15"/>
  <c r="T26673" i="15"/>
  <c r="T26672" i="15"/>
  <c r="T26671" i="15"/>
  <c r="T26670" i="15"/>
  <c r="T26669" i="15"/>
  <c r="T26668" i="15"/>
  <c r="T26667" i="15"/>
  <c r="T26666" i="15"/>
  <c r="T26665" i="15"/>
  <c r="T26664" i="15"/>
  <c r="T26663" i="15"/>
  <c r="T26662" i="15"/>
  <c r="T26661" i="15"/>
  <c r="T26660" i="15"/>
  <c r="T26659" i="15"/>
  <c r="T26658" i="15"/>
  <c r="T26657" i="15"/>
  <c r="T26656" i="15"/>
  <c r="T26655" i="15"/>
  <c r="T26654" i="15"/>
  <c r="T26653" i="15"/>
  <c r="T26652" i="15"/>
  <c r="T26651" i="15"/>
  <c r="T26650" i="15"/>
  <c r="T26649" i="15"/>
  <c r="T26648" i="15"/>
  <c r="T26647" i="15"/>
  <c r="T26646" i="15"/>
  <c r="T26645" i="15"/>
  <c r="T26644" i="15"/>
  <c r="T26643" i="15"/>
  <c r="T26642" i="15"/>
  <c r="T26641" i="15"/>
  <c r="T26640" i="15"/>
  <c r="T26639" i="15"/>
  <c r="T26638" i="15"/>
  <c r="T26637" i="15"/>
  <c r="T26636" i="15"/>
  <c r="T26635" i="15"/>
  <c r="T26634" i="15"/>
  <c r="T26633" i="15"/>
  <c r="T26632" i="15"/>
  <c r="T26631" i="15"/>
  <c r="T26630" i="15"/>
  <c r="T26629" i="15"/>
  <c r="T26628" i="15"/>
  <c r="T26627" i="15"/>
  <c r="T26626" i="15"/>
  <c r="T26625" i="15"/>
  <c r="T26624" i="15"/>
  <c r="T26623" i="15"/>
  <c r="T26622" i="15"/>
  <c r="T26621" i="15"/>
  <c r="T26620" i="15"/>
  <c r="T26619" i="15"/>
  <c r="T26618" i="15"/>
  <c r="T26617" i="15"/>
  <c r="T26616" i="15"/>
  <c r="T26615" i="15"/>
  <c r="T26614" i="15"/>
  <c r="T26613" i="15"/>
  <c r="T26612" i="15"/>
  <c r="T26611" i="15"/>
  <c r="T26610" i="15"/>
  <c r="T26609" i="15"/>
  <c r="T26608" i="15"/>
  <c r="T26607" i="15"/>
  <c r="T26606" i="15"/>
  <c r="T26605" i="15"/>
  <c r="T26604" i="15"/>
  <c r="T26603" i="15"/>
  <c r="T26602" i="15"/>
  <c r="T26601" i="15"/>
  <c r="T26600" i="15"/>
  <c r="T26599" i="15"/>
  <c r="T26598" i="15"/>
  <c r="T26597" i="15"/>
  <c r="T26596" i="15"/>
  <c r="T26595" i="15"/>
  <c r="T26594" i="15"/>
  <c r="T26593" i="15"/>
  <c r="T26592" i="15"/>
  <c r="T26591" i="15"/>
  <c r="T26590" i="15"/>
  <c r="T26589" i="15"/>
  <c r="T26588" i="15"/>
  <c r="T26587" i="15"/>
  <c r="T26586" i="15"/>
  <c r="T26585" i="15"/>
  <c r="T26584" i="15"/>
  <c r="T26583" i="15"/>
  <c r="T26582" i="15"/>
  <c r="T26581" i="15"/>
  <c r="T26580" i="15"/>
  <c r="T26579" i="15"/>
  <c r="T26578" i="15"/>
  <c r="T26577" i="15"/>
  <c r="T26576" i="15"/>
  <c r="T26575" i="15"/>
  <c r="T26574" i="15"/>
  <c r="T26573" i="15"/>
  <c r="T26572" i="15"/>
  <c r="T26571" i="15"/>
  <c r="T26570" i="15"/>
  <c r="T26569" i="15"/>
  <c r="T26568" i="15"/>
  <c r="T26567" i="15"/>
  <c r="T26566" i="15"/>
  <c r="T26565" i="15"/>
  <c r="T26564" i="15"/>
  <c r="T26563" i="15"/>
  <c r="T26562" i="15"/>
  <c r="T26561" i="15"/>
  <c r="T26560" i="15"/>
  <c r="T26559" i="15"/>
  <c r="T26558" i="15"/>
  <c r="T26557" i="15"/>
  <c r="T26556" i="15"/>
  <c r="T26555" i="15"/>
  <c r="T26554" i="15"/>
  <c r="T26553" i="15"/>
  <c r="T26552" i="15"/>
  <c r="T26551" i="15"/>
  <c r="T26550" i="15"/>
  <c r="T26549" i="15"/>
  <c r="T26548" i="15"/>
  <c r="T26547" i="15"/>
  <c r="T26546" i="15"/>
  <c r="T26545" i="15"/>
  <c r="T26544" i="15"/>
  <c r="T26543" i="15"/>
  <c r="T26542" i="15"/>
  <c r="T26541" i="15"/>
  <c r="T26540" i="15"/>
  <c r="T26539" i="15"/>
  <c r="T26538" i="15"/>
  <c r="T26537" i="15"/>
  <c r="T26536" i="15"/>
  <c r="T26535" i="15"/>
  <c r="T26534" i="15"/>
  <c r="T26533" i="15"/>
  <c r="T26532" i="15"/>
  <c r="T26531" i="15"/>
  <c r="T26530" i="15"/>
  <c r="T26529" i="15"/>
  <c r="T26528" i="15"/>
  <c r="T26527" i="15"/>
  <c r="T26526" i="15"/>
  <c r="T26525" i="15"/>
  <c r="T26524" i="15"/>
  <c r="T26523" i="15"/>
  <c r="T26522" i="15"/>
  <c r="T26521" i="15"/>
  <c r="T26520" i="15"/>
  <c r="T26519" i="15"/>
  <c r="T26518" i="15"/>
  <c r="T26517" i="15"/>
  <c r="T26516" i="15"/>
  <c r="T26515" i="15"/>
  <c r="T26514" i="15"/>
  <c r="T26513" i="15"/>
  <c r="T26512" i="15"/>
  <c r="T26511" i="15"/>
  <c r="T26510" i="15"/>
  <c r="T26509" i="15"/>
  <c r="T26508" i="15"/>
  <c r="T26507" i="15"/>
  <c r="T26506" i="15"/>
  <c r="T26505" i="15"/>
  <c r="T26504" i="15"/>
  <c r="T26503" i="15"/>
  <c r="T26502" i="15"/>
  <c r="T26501" i="15"/>
  <c r="T26500" i="15"/>
  <c r="T26499" i="15"/>
  <c r="T26498" i="15"/>
  <c r="T26497" i="15"/>
  <c r="T26496" i="15"/>
  <c r="T26495" i="15"/>
  <c r="T26494" i="15"/>
  <c r="T26493" i="15"/>
  <c r="T26492" i="15"/>
  <c r="T26491" i="15"/>
  <c r="T26490" i="15"/>
  <c r="T26489" i="15"/>
  <c r="T26488" i="15"/>
  <c r="T26487" i="15"/>
  <c r="T26486" i="15"/>
  <c r="T26485" i="15"/>
  <c r="T26484" i="15"/>
  <c r="T26483" i="15"/>
  <c r="T26482" i="15"/>
  <c r="T26481" i="15"/>
  <c r="T26480" i="15"/>
  <c r="T26479" i="15"/>
  <c r="T26478" i="15"/>
  <c r="T26477" i="15"/>
  <c r="T26476" i="15"/>
  <c r="T26475" i="15"/>
  <c r="T26474" i="15"/>
  <c r="T26473" i="15"/>
  <c r="T26472" i="15"/>
  <c r="T26471" i="15"/>
  <c r="T26470" i="15"/>
  <c r="T26469" i="15"/>
  <c r="T26468" i="15"/>
  <c r="T26467" i="15"/>
  <c r="T26466" i="15"/>
  <c r="T26465" i="15"/>
  <c r="T26464" i="15"/>
  <c r="T26463" i="15"/>
  <c r="T26462" i="15"/>
  <c r="T26461" i="15"/>
  <c r="T26460" i="15"/>
  <c r="T26459" i="15"/>
  <c r="T26458" i="15"/>
  <c r="T26457" i="15"/>
  <c r="T26456" i="15"/>
  <c r="T26455" i="15"/>
  <c r="T26454" i="15"/>
  <c r="T26453" i="15"/>
  <c r="T26452" i="15"/>
  <c r="T26451" i="15"/>
  <c r="T26450" i="15"/>
  <c r="T26449" i="15"/>
  <c r="T26448" i="15"/>
  <c r="T26447" i="15"/>
  <c r="T26446" i="15"/>
  <c r="T26445" i="15"/>
  <c r="T26444" i="15"/>
  <c r="T26443" i="15"/>
  <c r="T26442" i="15"/>
  <c r="T26441" i="15"/>
  <c r="T26440" i="15"/>
  <c r="T26439" i="15"/>
  <c r="T26438" i="15"/>
  <c r="T26437" i="15"/>
  <c r="T26436" i="15"/>
  <c r="T26435" i="15"/>
  <c r="T26434" i="15"/>
  <c r="T26433" i="15"/>
  <c r="T26432" i="15"/>
  <c r="T26431" i="15"/>
  <c r="T26430" i="15"/>
  <c r="T26429" i="15"/>
  <c r="T26428" i="15"/>
  <c r="T26427" i="15"/>
  <c r="T26426" i="15"/>
  <c r="T26425" i="15"/>
  <c r="T26424" i="15"/>
  <c r="T26423" i="15"/>
  <c r="T26422" i="15"/>
  <c r="T26421" i="15"/>
  <c r="T26420" i="15"/>
  <c r="T26419" i="15"/>
  <c r="T26418" i="15"/>
  <c r="T26417" i="15"/>
  <c r="T26416" i="15"/>
  <c r="T26415" i="15"/>
  <c r="T26414" i="15"/>
  <c r="T26413" i="15"/>
  <c r="T26412" i="15"/>
  <c r="T26411" i="15"/>
  <c r="T26410" i="15"/>
  <c r="T26409" i="15"/>
  <c r="T26408" i="15"/>
  <c r="T26407" i="15"/>
  <c r="T26406" i="15"/>
  <c r="T26405" i="15"/>
  <c r="T26404" i="15"/>
  <c r="T26403" i="15"/>
  <c r="T26402" i="15"/>
  <c r="T26401" i="15"/>
  <c r="T26400" i="15"/>
  <c r="T26399" i="15"/>
  <c r="T26398" i="15"/>
  <c r="T26397" i="15"/>
  <c r="T26396" i="15"/>
  <c r="T26395" i="15"/>
  <c r="T26394" i="15"/>
  <c r="T26393" i="15"/>
  <c r="T26392" i="15"/>
  <c r="T26391" i="15"/>
  <c r="T26390" i="15"/>
  <c r="T26389" i="15"/>
  <c r="T26388" i="15"/>
  <c r="T26387" i="15"/>
  <c r="T26386" i="15"/>
  <c r="T26385" i="15"/>
  <c r="T26384" i="15"/>
  <c r="T26383" i="15"/>
  <c r="T26382" i="15"/>
  <c r="T26381" i="15"/>
  <c r="T26380" i="15"/>
  <c r="T26379" i="15"/>
  <c r="T26378" i="15"/>
  <c r="T26377" i="15"/>
  <c r="T26376" i="15"/>
  <c r="T26375" i="15"/>
  <c r="T26374" i="15"/>
  <c r="T26373" i="15"/>
  <c r="T26372" i="15"/>
  <c r="T26371" i="15"/>
  <c r="T26370" i="15"/>
  <c r="T26369" i="15"/>
  <c r="T26368" i="15"/>
  <c r="T26367" i="15"/>
  <c r="T26366" i="15"/>
  <c r="T26365" i="15"/>
  <c r="T26364" i="15"/>
  <c r="T26363" i="15"/>
  <c r="T26362" i="15"/>
  <c r="T26361" i="15"/>
  <c r="T26360" i="15"/>
  <c r="T26359" i="15"/>
  <c r="T26358" i="15"/>
  <c r="T26357" i="15"/>
  <c r="T26356" i="15"/>
  <c r="T26355" i="15"/>
  <c r="T26354" i="15"/>
  <c r="T26353" i="15"/>
  <c r="T26352" i="15"/>
  <c r="T26351" i="15"/>
  <c r="T26350" i="15"/>
  <c r="T26349" i="15"/>
  <c r="T26348" i="15"/>
  <c r="T26347" i="15"/>
  <c r="T26346" i="15"/>
  <c r="T26345" i="15"/>
  <c r="T26344" i="15"/>
  <c r="T26343" i="15"/>
  <c r="T26342" i="15"/>
  <c r="T26341" i="15"/>
  <c r="T26340" i="15"/>
  <c r="T26339" i="15"/>
  <c r="T26338" i="15"/>
  <c r="T26337" i="15"/>
  <c r="T26336" i="15"/>
  <c r="T26335" i="15"/>
  <c r="T26334" i="15"/>
  <c r="T26333" i="15"/>
  <c r="T26332" i="15"/>
  <c r="T26331" i="15"/>
  <c r="T26330" i="15"/>
  <c r="T26329" i="15"/>
  <c r="T26328" i="15"/>
  <c r="T26327" i="15"/>
  <c r="T26326" i="15"/>
  <c r="T26325" i="15"/>
  <c r="T26324" i="15"/>
  <c r="T26323" i="15"/>
  <c r="T26322" i="15"/>
  <c r="T26321" i="15"/>
  <c r="T26320" i="15"/>
  <c r="T26319" i="15"/>
  <c r="T26318" i="15"/>
  <c r="T26317" i="15"/>
  <c r="T26316" i="15"/>
  <c r="T26315" i="15"/>
  <c r="T26314" i="15"/>
  <c r="T26313" i="15"/>
  <c r="T26312" i="15"/>
  <c r="T26311" i="15"/>
  <c r="T26310" i="15"/>
  <c r="T26309" i="15"/>
  <c r="T26308" i="15"/>
  <c r="T26307" i="15"/>
  <c r="T26306" i="15"/>
  <c r="T26305" i="15"/>
  <c r="T26304" i="15"/>
  <c r="T26303" i="15"/>
  <c r="T26302" i="15"/>
  <c r="T26301" i="15"/>
  <c r="T26300" i="15"/>
  <c r="T26299" i="15"/>
  <c r="T26298" i="15"/>
  <c r="T26297" i="15"/>
  <c r="T26296" i="15"/>
  <c r="T26295" i="15"/>
  <c r="T26294" i="15"/>
  <c r="T26293" i="15"/>
  <c r="T26292" i="15"/>
  <c r="T26291" i="15"/>
  <c r="T26290" i="15"/>
  <c r="T26289" i="15"/>
  <c r="T26288" i="15"/>
  <c r="T26287" i="15"/>
  <c r="T26286" i="15"/>
  <c r="T26285" i="15"/>
  <c r="T26284" i="15"/>
  <c r="T26283" i="15"/>
  <c r="T26282" i="15"/>
  <c r="T26281" i="15"/>
  <c r="T26280" i="15"/>
  <c r="T26279" i="15"/>
  <c r="T26278" i="15"/>
  <c r="T26277" i="15"/>
  <c r="T26276" i="15"/>
  <c r="T26275" i="15"/>
  <c r="T26274" i="15"/>
  <c r="T26273" i="15"/>
  <c r="T26272" i="15"/>
  <c r="T26271" i="15"/>
  <c r="T26270" i="15"/>
  <c r="T26269" i="15"/>
  <c r="T26268" i="15"/>
  <c r="T26267" i="15"/>
  <c r="T26266" i="15"/>
  <c r="T26265" i="15"/>
  <c r="T26264" i="15"/>
  <c r="T26263" i="15"/>
  <c r="T26262" i="15"/>
  <c r="T26261" i="15"/>
  <c r="T26260" i="15"/>
  <c r="T26259" i="15"/>
  <c r="T26258" i="15"/>
  <c r="T26257" i="15"/>
  <c r="T26256" i="15"/>
  <c r="T26255" i="15"/>
  <c r="T26254" i="15"/>
  <c r="T26253" i="15"/>
  <c r="T26252" i="15"/>
  <c r="T26251" i="15"/>
  <c r="T26250" i="15"/>
  <c r="T26249" i="15"/>
  <c r="T26248" i="15"/>
  <c r="T26247" i="15"/>
  <c r="T26246" i="15"/>
  <c r="T26245" i="15"/>
  <c r="T26244" i="15"/>
  <c r="T26243" i="15"/>
  <c r="T26242" i="15"/>
  <c r="T26241" i="15"/>
  <c r="T26240" i="15"/>
  <c r="T26239" i="15"/>
  <c r="T26238" i="15"/>
  <c r="T26237" i="15"/>
  <c r="T26236" i="15"/>
  <c r="T26235" i="15"/>
  <c r="T26234" i="15"/>
  <c r="T26233" i="15"/>
  <c r="T26232" i="15"/>
  <c r="T26231" i="15"/>
  <c r="T26230" i="15"/>
  <c r="T26229" i="15"/>
  <c r="T26228" i="15"/>
  <c r="T26227" i="15"/>
  <c r="T26226" i="15"/>
  <c r="T26225" i="15"/>
  <c r="T26224" i="15"/>
  <c r="T26223" i="15"/>
  <c r="T26222" i="15"/>
  <c r="T26221" i="15"/>
  <c r="T26220" i="15"/>
  <c r="T26219" i="15"/>
  <c r="T26218" i="15"/>
  <c r="T26217" i="15"/>
  <c r="T26216" i="15"/>
  <c r="T26215" i="15"/>
  <c r="T26214" i="15"/>
  <c r="T26213" i="15"/>
  <c r="T26212" i="15"/>
  <c r="T26211" i="15"/>
  <c r="T26210" i="15"/>
  <c r="T26209" i="15"/>
  <c r="T26208" i="15"/>
  <c r="T26207" i="15"/>
  <c r="T26206" i="15"/>
  <c r="T26205" i="15"/>
  <c r="T26204" i="15"/>
  <c r="T26203" i="15"/>
  <c r="T26202" i="15"/>
  <c r="T26201" i="15"/>
  <c r="T26200" i="15"/>
  <c r="T26199" i="15"/>
  <c r="T26198" i="15"/>
  <c r="T26197" i="15"/>
  <c r="T26196" i="15"/>
  <c r="T26195" i="15"/>
  <c r="T26194" i="15"/>
  <c r="T26193" i="15"/>
  <c r="T26192" i="15"/>
  <c r="T26191" i="15"/>
  <c r="T26190" i="15"/>
  <c r="T26189" i="15"/>
  <c r="T26188" i="15"/>
  <c r="T26187" i="15"/>
  <c r="T26186" i="15"/>
  <c r="T26185" i="15"/>
  <c r="T26184" i="15"/>
  <c r="T26183" i="15"/>
  <c r="T26182" i="15"/>
  <c r="T26181" i="15"/>
  <c r="T26180" i="15"/>
  <c r="T26179" i="15"/>
  <c r="T26178" i="15"/>
  <c r="T26177" i="15"/>
  <c r="T26176" i="15"/>
  <c r="T26175" i="15"/>
  <c r="T26174" i="15"/>
  <c r="T26173" i="15"/>
  <c r="T26172" i="15"/>
  <c r="T26171" i="15"/>
  <c r="T26170" i="15"/>
  <c r="T26169" i="15"/>
  <c r="T26168" i="15"/>
  <c r="T26167" i="15"/>
  <c r="T26166" i="15"/>
  <c r="T26165" i="15"/>
  <c r="T26164" i="15"/>
  <c r="T26163" i="15"/>
  <c r="T26162" i="15"/>
  <c r="T26161" i="15"/>
  <c r="T26160" i="15"/>
  <c r="T26159" i="15"/>
  <c r="T26158" i="15"/>
  <c r="T26157" i="15"/>
  <c r="T26156" i="15"/>
  <c r="T26155" i="15"/>
  <c r="T26154" i="15"/>
  <c r="T26153" i="15"/>
  <c r="T26152" i="15"/>
  <c r="T26151" i="15"/>
  <c r="T26150" i="15"/>
  <c r="T26149" i="15"/>
  <c r="T26148" i="15"/>
  <c r="T26147" i="15"/>
  <c r="T26146" i="15"/>
  <c r="T26145" i="15"/>
  <c r="T26144" i="15"/>
  <c r="T26143" i="15"/>
  <c r="T26142" i="15"/>
  <c r="T26141" i="15"/>
  <c r="T26140" i="15"/>
  <c r="T26139" i="15"/>
  <c r="T26138" i="15"/>
  <c r="T26137" i="15"/>
  <c r="T26136" i="15"/>
  <c r="T26135" i="15"/>
  <c r="T26134" i="15"/>
  <c r="T26133" i="15"/>
  <c r="T26132" i="15"/>
  <c r="T26131" i="15"/>
  <c r="T26130" i="15"/>
  <c r="T26129" i="15"/>
  <c r="T26128" i="15"/>
  <c r="T26127" i="15"/>
  <c r="T26126" i="15"/>
  <c r="T26125" i="15"/>
  <c r="T26124" i="15"/>
  <c r="T26123" i="15"/>
  <c r="T26122" i="15"/>
  <c r="T26121" i="15"/>
  <c r="T26120" i="15"/>
  <c r="T26119" i="15"/>
  <c r="T26118" i="15"/>
  <c r="T26117" i="15"/>
  <c r="T26116" i="15"/>
  <c r="T26115" i="15"/>
  <c r="T26114" i="15"/>
  <c r="T26113" i="15"/>
  <c r="T26112" i="15"/>
  <c r="T26111" i="15"/>
  <c r="T26110" i="15"/>
  <c r="T26109" i="15"/>
  <c r="T26108" i="15"/>
  <c r="T26107" i="15"/>
  <c r="T26106" i="15"/>
  <c r="T26105" i="15"/>
  <c r="T26104" i="15"/>
  <c r="T26103" i="15"/>
  <c r="T26102" i="15"/>
  <c r="T26101" i="15"/>
  <c r="T26100" i="15"/>
  <c r="T26099" i="15"/>
  <c r="T26098" i="15"/>
  <c r="T26097" i="15"/>
  <c r="T26096" i="15"/>
  <c r="T26095" i="15"/>
  <c r="T26094" i="15"/>
  <c r="T26093" i="15"/>
  <c r="T26092" i="15"/>
  <c r="T26091" i="15"/>
  <c r="T26090" i="15"/>
  <c r="T26089" i="15"/>
  <c r="T26088" i="15"/>
  <c r="T26087" i="15"/>
  <c r="T26086" i="15"/>
  <c r="T26085" i="15"/>
  <c r="T26084" i="15"/>
  <c r="T26083" i="15"/>
  <c r="T26082" i="15"/>
  <c r="T26081" i="15"/>
  <c r="T26080" i="15"/>
  <c r="T26079" i="15"/>
  <c r="T26078" i="15"/>
  <c r="T26077" i="15"/>
  <c r="T26076" i="15"/>
  <c r="T26075" i="15"/>
  <c r="T26074" i="15"/>
  <c r="T26073" i="15"/>
  <c r="T26072" i="15"/>
  <c r="T26071" i="15"/>
  <c r="T26070" i="15"/>
  <c r="T26069" i="15"/>
  <c r="T26068" i="15"/>
  <c r="T26067" i="15"/>
  <c r="T26066" i="15"/>
  <c r="T26065" i="15"/>
  <c r="T26064" i="15"/>
  <c r="T26063" i="15"/>
  <c r="T26062" i="15"/>
  <c r="T26061" i="15"/>
  <c r="T26060" i="15"/>
  <c r="T26059" i="15"/>
  <c r="T26058" i="15"/>
  <c r="T26057" i="15"/>
  <c r="T26056" i="15"/>
  <c r="T26055" i="15"/>
  <c r="T26054" i="15"/>
  <c r="T26053" i="15"/>
  <c r="T26052" i="15"/>
  <c r="T26051" i="15"/>
  <c r="T26050" i="15"/>
  <c r="T26049" i="15"/>
  <c r="T26048" i="15"/>
  <c r="T26047" i="15"/>
  <c r="T26046" i="15"/>
  <c r="T26045" i="15"/>
  <c r="T26044" i="15"/>
  <c r="T26043" i="15"/>
  <c r="T26042" i="15"/>
  <c r="T26041" i="15"/>
  <c r="T26040" i="15"/>
  <c r="T26039" i="15"/>
  <c r="T26038" i="15"/>
  <c r="T26037" i="15"/>
  <c r="T26036" i="15"/>
  <c r="T26035" i="15"/>
  <c r="T26034" i="15"/>
  <c r="T26033" i="15"/>
  <c r="T26032" i="15"/>
  <c r="T26031" i="15"/>
  <c r="T26030" i="15"/>
  <c r="T26029" i="15"/>
  <c r="T26028" i="15"/>
  <c r="T26027" i="15"/>
  <c r="T26026" i="15"/>
  <c r="T26025" i="15"/>
  <c r="T26024" i="15"/>
  <c r="T26023" i="15"/>
  <c r="T26022" i="15"/>
  <c r="T26021" i="15"/>
  <c r="T26020" i="15"/>
  <c r="T26019" i="15"/>
  <c r="T26018" i="15"/>
  <c r="T26017" i="15"/>
  <c r="T26016" i="15"/>
  <c r="T26015" i="15"/>
  <c r="T26014" i="15"/>
  <c r="T26013" i="15"/>
  <c r="T26012" i="15"/>
  <c r="T26011" i="15"/>
  <c r="T26010" i="15"/>
  <c r="T26009" i="15"/>
  <c r="T26008" i="15"/>
  <c r="T26007" i="15"/>
  <c r="T26006" i="15"/>
  <c r="T26005" i="15"/>
  <c r="T26004" i="15"/>
  <c r="T26003" i="15"/>
  <c r="T26002" i="15"/>
  <c r="T26001" i="15"/>
  <c r="T26000" i="15"/>
  <c r="T25999" i="15"/>
  <c r="T25998" i="15"/>
  <c r="T25997" i="15"/>
  <c r="T25996" i="15"/>
  <c r="T25995" i="15"/>
  <c r="T25994" i="15"/>
  <c r="T25993" i="15"/>
  <c r="T25992" i="15"/>
  <c r="T25991" i="15"/>
  <c r="T25990" i="15"/>
  <c r="T25989" i="15"/>
  <c r="T25988" i="15"/>
  <c r="T25987" i="15"/>
  <c r="T25986" i="15"/>
  <c r="T25985" i="15"/>
  <c r="T25984" i="15"/>
  <c r="T25983" i="15"/>
  <c r="T25982" i="15"/>
  <c r="T25981" i="15"/>
  <c r="T25980" i="15"/>
  <c r="T25979" i="15"/>
  <c r="T25978" i="15"/>
  <c r="T25977" i="15"/>
  <c r="T25976" i="15"/>
  <c r="T25975" i="15"/>
  <c r="T25974" i="15"/>
  <c r="T25973" i="15"/>
  <c r="T25972" i="15"/>
  <c r="T25971" i="15"/>
  <c r="T25970" i="15"/>
  <c r="T25969" i="15"/>
  <c r="T25968" i="15"/>
  <c r="T25967" i="15"/>
  <c r="T25966" i="15"/>
  <c r="T25965" i="15"/>
  <c r="T25964" i="15"/>
  <c r="T25963" i="15"/>
  <c r="T25962" i="15"/>
  <c r="T25961" i="15"/>
  <c r="T25960" i="15"/>
  <c r="T25959" i="15"/>
  <c r="T25958" i="15"/>
  <c r="T25957" i="15"/>
  <c r="T25956" i="15"/>
  <c r="T25955" i="15"/>
  <c r="T25954" i="15"/>
  <c r="T25953" i="15"/>
  <c r="T25952" i="15"/>
  <c r="T25951" i="15"/>
  <c r="T25950" i="15"/>
  <c r="T25949" i="15"/>
  <c r="T25948" i="15"/>
  <c r="T25947" i="15"/>
  <c r="T25946" i="15"/>
  <c r="T25945" i="15"/>
  <c r="T25944" i="15"/>
  <c r="T25943" i="15"/>
  <c r="T25942" i="15"/>
  <c r="T25941" i="15"/>
  <c r="T25940" i="15"/>
  <c r="T25939" i="15"/>
  <c r="T25938" i="15"/>
  <c r="T25937" i="15"/>
  <c r="T25936" i="15"/>
  <c r="T25935" i="15"/>
  <c r="T25934" i="15"/>
  <c r="T25933" i="15"/>
  <c r="T25932" i="15"/>
  <c r="T25931" i="15"/>
  <c r="T25930" i="15"/>
  <c r="T25929" i="15"/>
  <c r="T25928" i="15"/>
  <c r="T25927" i="15"/>
  <c r="T25926" i="15"/>
  <c r="T25925" i="15"/>
  <c r="T25924" i="15"/>
  <c r="T25923" i="15"/>
  <c r="T25922" i="15"/>
  <c r="T25921" i="15"/>
  <c r="T25920" i="15"/>
  <c r="T25919" i="15"/>
  <c r="T25918" i="15"/>
  <c r="T25917" i="15"/>
  <c r="T25916" i="15"/>
  <c r="T25915" i="15"/>
  <c r="T25914" i="15"/>
  <c r="T25913" i="15"/>
  <c r="T25912" i="15"/>
  <c r="T25911" i="15"/>
  <c r="T25910" i="15"/>
  <c r="T25909" i="15"/>
  <c r="T25908" i="15"/>
  <c r="T25907" i="15"/>
  <c r="T25906" i="15"/>
  <c r="T25905" i="15"/>
  <c r="T25904" i="15"/>
  <c r="T25903" i="15"/>
  <c r="T25902" i="15"/>
  <c r="T25901" i="15"/>
  <c r="T25900" i="15"/>
  <c r="T25899" i="15"/>
  <c r="T25898" i="15"/>
  <c r="T25897" i="15"/>
  <c r="T25896" i="15"/>
  <c r="T25895" i="15"/>
  <c r="T25894" i="15"/>
  <c r="T25893" i="15"/>
  <c r="T25892" i="15"/>
  <c r="T25891" i="15"/>
  <c r="T25890" i="15"/>
  <c r="T25889" i="15"/>
  <c r="T25888" i="15"/>
  <c r="T25887" i="15"/>
  <c r="T25886" i="15"/>
  <c r="T25885" i="15"/>
  <c r="T25884" i="15"/>
  <c r="T25883" i="15"/>
  <c r="T25882" i="15"/>
  <c r="T25881" i="15"/>
  <c r="T25880" i="15"/>
  <c r="T25879" i="15"/>
  <c r="T25878" i="15"/>
  <c r="T25877" i="15"/>
  <c r="T25876" i="15"/>
  <c r="T25875" i="15"/>
  <c r="T25874" i="15"/>
  <c r="T25873" i="15"/>
  <c r="T25872" i="15"/>
  <c r="T25871" i="15"/>
  <c r="T25870" i="15"/>
  <c r="T25869" i="15"/>
  <c r="T25868" i="15"/>
  <c r="T25867" i="15"/>
  <c r="T25866" i="15"/>
  <c r="T25865" i="15"/>
  <c r="T25864" i="15"/>
  <c r="T25863" i="15"/>
  <c r="T25862" i="15"/>
  <c r="T25861" i="15"/>
  <c r="T25860" i="15"/>
  <c r="T25859" i="15"/>
  <c r="T25858" i="15"/>
  <c r="T25857" i="15"/>
  <c r="T25856" i="15"/>
  <c r="T25855" i="15"/>
  <c r="T25854" i="15"/>
  <c r="T25853" i="15"/>
  <c r="T25852" i="15"/>
  <c r="T25851" i="15"/>
  <c r="T25850" i="15"/>
  <c r="T25849" i="15"/>
  <c r="T25848" i="15"/>
  <c r="T25847" i="15"/>
  <c r="T25846" i="15"/>
  <c r="T25845" i="15"/>
  <c r="T25844" i="15"/>
  <c r="T25843" i="15"/>
  <c r="T25842" i="15"/>
  <c r="T25841" i="15"/>
  <c r="T25840" i="15"/>
  <c r="T25839" i="15"/>
  <c r="T25838" i="15"/>
  <c r="T25837" i="15"/>
  <c r="T25836" i="15"/>
  <c r="T25835" i="15"/>
  <c r="T25834" i="15"/>
  <c r="T25833" i="15"/>
  <c r="T25832" i="15"/>
  <c r="T25831" i="15"/>
  <c r="T25830" i="15"/>
  <c r="T25829" i="15"/>
  <c r="T25828" i="15"/>
  <c r="T25827" i="15"/>
  <c r="T25826" i="15"/>
  <c r="T25825" i="15"/>
  <c r="T25824" i="15"/>
  <c r="T25823" i="15"/>
  <c r="T25822" i="15"/>
  <c r="T25821" i="15"/>
  <c r="T25820" i="15"/>
  <c r="T25819" i="15"/>
  <c r="T25818" i="15"/>
  <c r="T25817" i="15"/>
  <c r="T25816" i="15"/>
  <c r="T25815" i="15"/>
  <c r="T25814" i="15"/>
  <c r="T25813" i="15"/>
  <c r="T25812" i="15"/>
  <c r="T25811" i="15"/>
  <c r="T25810" i="15"/>
  <c r="T25809" i="15"/>
  <c r="T25808" i="15"/>
  <c r="T25807" i="15"/>
  <c r="T25806" i="15"/>
  <c r="T25805" i="15"/>
  <c r="T25804" i="15"/>
  <c r="T25803" i="15"/>
  <c r="T25802" i="15"/>
  <c r="T25801" i="15"/>
  <c r="T25800" i="15"/>
  <c r="T25799" i="15"/>
  <c r="T25798" i="15"/>
  <c r="T25797" i="15"/>
  <c r="T25796" i="15"/>
  <c r="T25795" i="15"/>
  <c r="T25794" i="15"/>
  <c r="T25793" i="15"/>
  <c r="T25792" i="15"/>
  <c r="T25791" i="15"/>
  <c r="T25790" i="15"/>
  <c r="T25789" i="15"/>
  <c r="T25788" i="15"/>
  <c r="T25787" i="15"/>
  <c r="T25786" i="15"/>
  <c r="T25785" i="15"/>
  <c r="T25784" i="15"/>
  <c r="T25783" i="15"/>
  <c r="T25782" i="15"/>
  <c r="T25781" i="15"/>
  <c r="T25780" i="15"/>
  <c r="T25779" i="15"/>
  <c r="T25778" i="15"/>
  <c r="T25777" i="15"/>
  <c r="T25776" i="15"/>
  <c r="T25775" i="15"/>
  <c r="T25774" i="15"/>
  <c r="T25773" i="15"/>
  <c r="T25772" i="15"/>
  <c r="T25771" i="15"/>
  <c r="T25770" i="15"/>
  <c r="T25769" i="15"/>
  <c r="T25768" i="15"/>
  <c r="T25767" i="15"/>
  <c r="T25766" i="15"/>
  <c r="T25765" i="15"/>
  <c r="T25764" i="15"/>
  <c r="T25763" i="15"/>
  <c r="T25762" i="15"/>
  <c r="T25761" i="15"/>
  <c r="T25760" i="15"/>
  <c r="T25759" i="15"/>
  <c r="T25758" i="15"/>
  <c r="T25757" i="15"/>
  <c r="T25756" i="15"/>
  <c r="T25755" i="15"/>
  <c r="T25754" i="15"/>
  <c r="T25753" i="15"/>
  <c r="T25752" i="15"/>
  <c r="T25751" i="15"/>
  <c r="T25750" i="15"/>
  <c r="T25749" i="15"/>
  <c r="T25748" i="15"/>
  <c r="T25747" i="15"/>
  <c r="T25746" i="15"/>
  <c r="T25745" i="15"/>
  <c r="T25744" i="15"/>
  <c r="T25743" i="15"/>
  <c r="T25742" i="15"/>
  <c r="T25741" i="15"/>
  <c r="T25740" i="15"/>
  <c r="T25739" i="15"/>
  <c r="T25738" i="15"/>
  <c r="T25737" i="15"/>
  <c r="T25736" i="15"/>
  <c r="T25735" i="15"/>
  <c r="T25734" i="15"/>
  <c r="T25733" i="15"/>
  <c r="T25732" i="15"/>
  <c r="T25731" i="15"/>
  <c r="T25730" i="15"/>
  <c r="T25729" i="15"/>
  <c r="T25728" i="15"/>
  <c r="T25727" i="15"/>
  <c r="T25726" i="15"/>
  <c r="T25725" i="15"/>
  <c r="T25724" i="15"/>
  <c r="T25723" i="15"/>
  <c r="T25722" i="15"/>
  <c r="T25721" i="15"/>
  <c r="T25720" i="15"/>
  <c r="T25719" i="15"/>
  <c r="T25718" i="15"/>
  <c r="T25717" i="15"/>
  <c r="T25716" i="15"/>
  <c r="T25715" i="15"/>
  <c r="T25714" i="15"/>
  <c r="T25713" i="15"/>
  <c r="T25712" i="15"/>
  <c r="T25711" i="15"/>
  <c r="T25710" i="15"/>
  <c r="T25709" i="15"/>
  <c r="T25708" i="15"/>
  <c r="T25707" i="15"/>
  <c r="T25706" i="15"/>
  <c r="T25705" i="15"/>
  <c r="T25704" i="15"/>
  <c r="T25703" i="15"/>
  <c r="T25702" i="15"/>
  <c r="T25701" i="15"/>
  <c r="T25700" i="15"/>
  <c r="T25699" i="15"/>
  <c r="T25698" i="15"/>
  <c r="T25697" i="15"/>
  <c r="T25696" i="15"/>
  <c r="T25695" i="15"/>
  <c r="T25694" i="15"/>
  <c r="T25693" i="15"/>
  <c r="T25692" i="15"/>
  <c r="T25691" i="15"/>
  <c r="T25690" i="15"/>
  <c r="T25689" i="15"/>
  <c r="T25688" i="15"/>
  <c r="T25687" i="15"/>
  <c r="T25686" i="15"/>
  <c r="T25685" i="15"/>
  <c r="T25684" i="15"/>
  <c r="T25683" i="15"/>
  <c r="T25682" i="15"/>
  <c r="T25681" i="15"/>
  <c r="T25680" i="15"/>
  <c r="T25679" i="15"/>
  <c r="T25678" i="15"/>
  <c r="T25677" i="15"/>
  <c r="T25676" i="15"/>
  <c r="T25675" i="15"/>
  <c r="T25674" i="15"/>
  <c r="T25673" i="15"/>
  <c r="T25672" i="15"/>
  <c r="T25671" i="15"/>
  <c r="T25670" i="15"/>
  <c r="T25669" i="15"/>
  <c r="T25668" i="15"/>
  <c r="T25667" i="15"/>
  <c r="T25666" i="15"/>
  <c r="T25665" i="15"/>
  <c r="T25664" i="15"/>
  <c r="T25663" i="15"/>
  <c r="T25662" i="15"/>
  <c r="T25661" i="15"/>
  <c r="T25660" i="15"/>
  <c r="T25659" i="15"/>
  <c r="T25658" i="15"/>
  <c r="T25657" i="15"/>
  <c r="T25656" i="15"/>
  <c r="T25655" i="15"/>
  <c r="T25654" i="15"/>
  <c r="T25653" i="15"/>
  <c r="T25652" i="15"/>
  <c r="T25651" i="15"/>
  <c r="T25650" i="15"/>
  <c r="T25649" i="15"/>
  <c r="T25648" i="15"/>
  <c r="T25647" i="15"/>
  <c r="T25646" i="15"/>
  <c r="T25645" i="15"/>
  <c r="T25644" i="15"/>
  <c r="T25643" i="15"/>
  <c r="T25642" i="15"/>
  <c r="T25641" i="15"/>
  <c r="T25640" i="15"/>
  <c r="T25639" i="15"/>
  <c r="T25638" i="15"/>
  <c r="T25637" i="15"/>
  <c r="T25636" i="15"/>
  <c r="T25635" i="15"/>
  <c r="T25634" i="15"/>
  <c r="T25633" i="15"/>
  <c r="T25632" i="15"/>
  <c r="T25631" i="15"/>
  <c r="T25630" i="15"/>
  <c r="T25629" i="15"/>
  <c r="T25628" i="15"/>
  <c r="T25627" i="15"/>
  <c r="T25626" i="15"/>
  <c r="T25625" i="15"/>
  <c r="T25624" i="15"/>
  <c r="T25623" i="15"/>
  <c r="T25622" i="15"/>
  <c r="T25621" i="15"/>
  <c r="T25620" i="15"/>
  <c r="T25619" i="15"/>
  <c r="T25618" i="15"/>
  <c r="T25617" i="15"/>
  <c r="T25616" i="15"/>
  <c r="T25615" i="15"/>
  <c r="T25614" i="15"/>
  <c r="T25613" i="15"/>
  <c r="T25612" i="15"/>
  <c r="T25611" i="15"/>
  <c r="T25610" i="15"/>
  <c r="T25609" i="15"/>
  <c r="T25608" i="15"/>
  <c r="T25607" i="15"/>
  <c r="T25606" i="15"/>
  <c r="T25605" i="15"/>
  <c r="T25604" i="15"/>
  <c r="T25603" i="15"/>
  <c r="T25602" i="15"/>
  <c r="T25601" i="15"/>
  <c r="T25600" i="15"/>
  <c r="T25599" i="15"/>
  <c r="T25598" i="15"/>
  <c r="T25597" i="15"/>
  <c r="T25596" i="15"/>
  <c r="T25595" i="15"/>
  <c r="T25594" i="15"/>
  <c r="T25593" i="15"/>
  <c r="T25592" i="15"/>
  <c r="T25591" i="15"/>
  <c r="T25590" i="15"/>
  <c r="T25589" i="15"/>
  <c r="T25588" i="15"/>
  <c r="T25587" i="15"/>
  <c r="T25586" i="15"/>
  <c r="T25585" i="15"/>
  <c r="T25584" i="15"/>
  <c r="T25583" i="15"/>
  <c r="T25582" i="15"/>
  <c r="T25581" i="15"/>
  <c r="T25580" i="15"/>
  <c r="T25579" i="15"/>
  <c r="T25578" i="15"/>
  <c r="T25577" i="15"/>
  <c r="T25576" i="15"/>
  <c r="T25575" i="15"/>
  <c r="T25574" i="15"/>
  <c r="T25573" i="15"/>
  <c r="T25572" i="15"/>
  <c r="T25571" i="15"/>
  <c r="T25570" i="15"/>
  <c r="T25569" i="15"/>
  <c r="T25568" i="15"/>
  <c r="T25567" i="15"/>
  <c r="T25566" i="15"/>
  <c r="T25565" i="15"/>
  <c r="T25564" i="15"/>
  <c r="T25563" i="15"/>
  <c r="T25562" i="15"/>
  <c r="T25561" i="15"/>
  <c r="T25560" i="15"/>
  <c r="T25559" i="15"/>
  <c r="T25558" i="15"/>
  <c r="T25557" i="15"/>
  <c r="T25556" i="15"/>
  <c r="T25555" i="15"/>
  <c r="T25554" i="15"/>
  <c r="T25553" i="15"/>
  <c r="T25552" i="15"/>
  <c r="T25551" i="15"/>
  <c r="T25550" i="15"/>
  <c r="T25549" i="15"/>
  <c r="T25548" i="15"/>
  <c r="T25547" i="15"/>
  <c r="T25546" i="15"/>
  <c r="T25545" i="15"/>
  <c r="T25544" i="15"/>
  <c r="T25543" i="15"/>
  <c r="T25542" i="15"/>
  <c r="T25541" i="15"/>
  <c r="T25540" i="15"/>
  <c r="T25539" i="15"/>
  <c r="T25538" i="15"/>
  <c r="T25537" i="15"/>
  <c r="T25536" i="15"/>
  <c r="T25535" i="15"/>
  <c r="T25534" i="15"/>
  <c r="T25533" i="15"/>
  <c r="T25532" i="15"/>
  <c r="T25531" i="15"/>
  <c r="T25530" i="15"/>
  <c r="T25529" i="15"/>
  <c r="T25528" i="15"/>
  <c r="T25527" i="15"/>
  <c r="T25526" i="15"/>
  <c r="T25525" i="15"/>
  <c r="T25524" i="15"/>
  <c r="T25523" i="15"/>
  <c r="T25522" i="15"/>
  <c r="T25521" i="15"/>
  <c r="T25520" i="15"/>
  <c r="T25519" i="15"/>
  <c r="T25518" i="15"/>
  <c r="T25517" i="15"/>
  <c r="T25516" i="15"/>
  <c r="T25515" i="15"/>
  <c r="T25514" i="15"/>
  <c r="T25513" i="15"/>
  <c r="T25512" i="15"/>
  <c r="T25511" i="15"/>
  <c r="T25510" i="15"/>
  <c r="T25509" i="15"/>
  <c r="T25508" i="15"/>
  <c r="T25507" i="15"/>
  <c r="T25506" i="15"/>
  <c r="T25505" i="15"/>
  <c r="T25504" i="15"/>
  <c r="T25503" i="15"/>
  <c r="T25502" i="15"/>
  <c r="T25501" i="15"/>
  <c r="T25500" i="15"/>
  <c r="T25499" i="15"/>
  <c r="T25498" i="15"/>
  <c r="T25497" i="15"/>
  <c r="T25496" i="15"/>
  <c r="T25495" i="15"/>
  <c r="T25494" i="15"/>
  <c r="T25493" i="15"/>
  <c r="T25492" i="15"/>
  <c r="T25491" i="15"/>
  <c r="T25490" i="15"/>
  <c r="T25489" i="15"/>
  <c r="T25488" i="15"/>
  <c r="T25487" i="15"/>
  <c r="T25486" i="15"/>
  <c r="T25485" i="15"/>
  <c r="T25484" i="15"/>
  <c r="T25483" i="15"/>
  <c r="T25482" i="15"/>
  <c r="T25481" i="15"/>
  <c r="T25480" i="15"/>
  <c r="T25479" i="15"/>
  <c r="T25478" i="15"/>
  <c r="T25477" i="15"/>
  <c r="T25476" i="15"/>
  <c r="T25475" i="15"/>
  <c r="T25474" i="15"/>
  <c r="T25473" i="15"/>
  <c r="T25472" i="15"/>
  <c r="T25471" i="15"/>
  <c r="T25470" i="15"/>
  <c r="T25469" i="15"/>
  <c r="T25468" i="15"/>
  <c r="T25467" i="15"/>
  <c r="T25466" i="15"/>
  <c r="T25465" i="15"/>
  <c r="T25464" i="15"/>
  <c r="T25463" i="15"/>
  <c r="T25462" i="15"/>
  <c r="T25461" i="15"/>
  <c r="T25460" i="15"/>
  <c r="T25459" i="15"/>
  <c r="T25458" i="15"/>
  <c r="T25457" i="15"/>
  <c r="T25456" i="15"/>
  <c r="T25455" i="15"/>
  <c r="T25454" i="15"/>
  <c r="T25453" i="15"/>
  <c r="T25452" i="15"/>
  <c r="T25451" i="15"/>
  <c r="T25450" i="15"/>
  <c r="T25449" i="15"/>
  <c r="T25448" i="15"/>
  <c r="T25447" i="15"/>
  <c r="T25446" i="15"/>
  <c r="T25445" i="15"/>
  <c r="T25444" i="15"/>
  <c r="T25443" i="15"/>
  <c r="T25442" i="15"/>
  <c r="T25441" i="15"/>
  <c r="T25440" i="15"/>
  <c r="T25439" i="15"/>
  <c r="T25438" i="15"/>
  <c r="T25437" i="15"/>
  <c r="T25436" i="15"/>
  <c r="T25435" i="15"/>
  <c r="T25434" i="15"/>
  <c r="T25433" i="15"/>
  <c r="T25432" i="15"/>
  <c r="T25431" i="15"/>
  <c r="T25430" i="15"/>
  <c r="T25429" i="15"/>
  <c r="T25428" i="15"/>
  <c r="T25427" i="15"/>
  <c r="T25426" i="15"/>
  <c r="T25425" i="15"/>
  <c r="T25424" i="15"/>
  <c r="T25423" i="15"/>
  <c r="T25422" i="15"/>
  <c r="T25421" i="15"/>
  <c r="T25420" i="15"/>
  <c r="T25419" i="15"/>
  <c r="T25418" i="15"/>
  <c r="T25417" i="15"/>
  <c r="T25416" i="15"/>
  <c r="T25415" i="15"/>
  <c r="T25414" i="15"/>
  <c r="T25413" i="15"/>
  <c r="T25412" i="15"/>
  <c r="T25411" i="15"/>
  <c r="T25410" i="15"/>
  <c r="T25409" i="15"/>
  <c r="T25408" i="15"/>
  <c r="T25407" i="15"/>
  <c r="T25406" i="15"/>
  <c r="T25405" i="15"/>
  <c r="T25404" i="15"/>
  <c r="T25403" i="15"/>
  <c r="T25402" i="15"/>
  <c r="T25401" i="15"/>
  <c r="T25400" i="15"/>
  <c r="T25399" i="15"/>
  <c r="T25398" i="15"/>
  <c r="T25397" i="15"/>
  <c r="T25396" i="15"/>
  <c r="T25395" i="15"/>
  <c r="T25394" i="15"/>
  <c r="T25393" i="15"/>
  <c r="T25392" i="15"/>
  <c r="T25391" i="15"/>
  <c r="T25390" i="15"/>
  <c r="T25389" i="15"/>
  <c r="T25388" i="15"/>
  <c r="T25387" i="15"/>
  <c r="T25386" i="15"/>
  <c r="T25385" i="15"/>
  <c r="T25384" i="15"/>
  <c r="T25383" i="15"/>
  <c r="T25382" i="15"/>
  <c r="T25381" i="15"/>
  <c r="T25380" i="15"/>
  <c r="T25379" i="15"/>
  <c r="T25378" i="15"/>
  <c r="T25377" i="15"/>
  <c r="T25376" i="15"/>
  <c r="T25375" i="15"/>
  <c r="T25374" i="15"/>
  <c r="T25373" i="15"/>
  <c r="T25372" i="15"/>
  <c r="T25371" i="15"/>
  <c r="T25370" i="15"/>
  <c r="T25369" i="15"/>
  <c r="T25368" i="15"/>
  <c r="T25367" i="15"/>
  <c r="T25366" i="15"/>
  <c r="T25365" i="15"/>
  <c r="T25364" i="15"/>
  <c r="T25363" i="15"/>
  <c r="T25362" i="15"/>
  <c r="T25361" i="15"/>
  <c r="T25360" i="15"/>
  <c r="T25359" i="15"/>
  <c r="T25358" i="15"/>
  <c r="T25357" i="15"/>
  <c r="T25356" i="15"/>
  <c r="T25355" i="15"/>
  <c r="T25354" i="15"/>
  <c r="T25353" i="15"/>
  <c r="T25352" i="15"/>
  <c r="T25351" i="15"/>
  <c r="T25350" i="15"/>
  <c r="T25349" i="15"/>
  <c r="T25348" i="15"/>
  <c r="T25347" i="15"/>
  <c r="T25346" i="15"/>
  <c r="T25345" i="15"/>
  <c r="T25344" i="15"/>
  <c r="T25343" i="15"/>
  <c r="T25342" i="15"/>
  <c r="T25341" i="15"/>
  <c r="T25340" i="15"/>
  <c r="T25339" i="15"/>
  <c r="T25338" i="15"/>
  <c r="T25337" i="15"/>
  <c r="T25336" i="15"/>
  <c r="T25335" i="15"/>
  <c r="T25334" i="15"/>
  <c r="T25333" i="15"/>
  <c r="T25332" i="15"/>
  <c r="T25331" i="15"/>
  <c r="T25330" i="15"/>
  <c r="T25329" i="15"/>
  <c r="T25328" i="15"/>
  <c r="T25327" i="15"/>
  <c r="T25326" i="15"/>
  <c r="T25325" i="15"/>
  <c r="T25324" i="15"/>
  <c r="T25323" i="15"/>
  <c r="T25322" i="15"/>
  <c r="T25321" i="15"/>
  <c r="T25320" i="15"/>
  <c r="T25319" i="15"/>
  <c r="T25318" i="15"/>
  <c r="T25317" i="15"/>
  <c r="T25316" i="15"/>
  <c r="T25315" i="15"/>
  <c r="T25314" i="15"/>
  <c r="T25313" i="15"/>
  <c r="T25312" i="15"/>
  <c r="T25311" i="15"/>
  <c r="T25310" i="15"/>
  <c r="T25309" i="15"/>
  <c r="T25308" i="15"/>
  <c r="T25307" i="15"/>
  <c r="T25306" i="15"/>
  <c r="T25305" i="15"/>
  <c r="T25304" i="15"/>
  <c r="T25303" i="15"/>
  <c r="T25302" i="15"/>
  <c r="T25301" i="15"/>
  <c r="T25300" i="15"/>
  <c r="T25299" i="15"/>
  <c r="T25298" i="15"/>
  <c r="T25297" i="15"/>
  <c r="T25296" i="15"/>
  <c r="T25295" i="15"/>
  <c r="T25294" i="15"/>
  <c r="T25293" i="15"/>
  <c r="T25292" i="15"/>
  <c r="T25291" i="15"/>
  <c r="T25290" i="15"/>
  <c r="T25289" i="15"/>
  <c r="T25288" i="15"/>
  <c r="T25287" i="15"/>
  <c r="T25286" i="15"/>
  <c r="T25285" i="15"/>
  <c r="T25284" i="15"/>
  <c r="T25283" i="15"/>
  <c r="T25282" i="15"/>
  <c r="T25281" i="15"/>
  <c r="T25280" i="15"/>
  <c r="T25279" i="15"/>
  <c r="T25278" i="15"/>
  <c r="T25277" i="15"/>
  <c r="T25276" i="15"/>
  <c r="T25275" i="15"/>
  <c r="T25274" i="15"/>
  <c r="T25273" i="15"/>
  <c r="T25272" i="15"/>
  <c r="T25271" i="15"/>
  <c r="T25270" i="15"/>
  <c r="T25269" i="15"/>
  <c r="T25268" i="15"/>
  <c r="T25267" i="15"/>
  <c r="T25266" i="15"/>
  <c r="T25265" i="15"/>
  <c r="T25264" i="15"/>
  <c r="T25263" i="15"/>
  <c r="T25262" i="15"/>
  <c r="T25261" i="15"/>
  <c r="T25260" i="15"/>
  <c r="T25259" i="15"/>
  <c r="T25258" i="15"/>
  <c r="T25257" i="15"/>
  <c r="T25256" i="15"/>
  <c r="T25255" i="15"/>
  <c r="T25254" i="15"/>
  <c r="T25253" i="15"/>
  <c r="T25252" i="15"/>
  <c r="T25251" i="15"/>
  <c r="T25250" i="15"/>
  <c r="T25249" i="15"/>
  <c r="T25248" i="15"/>
  <c r="T25247" i="15"/>
  <c r="T25246" i="15"/>
  <c r="T25245" i="15"/>
  <c r="T25244" i="15"/>
  <c r="T25243" i="15"/>
  <c r="T25242" i="15"/>
  <c r="T25241" i="15"/>
  <c r="T25240" i="15"/>
  <c r="T25239" i="15"/>
  <c r="T25238" i="15"/>
  <c r="T25237" i="15"/>
  <c r="T25236" i="15"/>
  <c r="T25235" i="15"/>
  <c r="T25234" i="15"/>
  <c r="T25233" i="15"/>
  <c r="T25232" i="15"/>
  <c r="T25231" i="15"/>
  <c r="T25230" i="15"/>
  <c r="T25229" i="15"/>
  <c r="T25228" i="15"/>
  <c r="T25227" i="15"/>
  <c r="T25226" i="15"/>
  <c r="T25225" i="15"/>
  <c r="T25224" i="15"/>
  <c r="T25223" i="15"/>
  <c r="T25222" i="15"/>
  <c r="T25221" i="15"/>
  <c r="T25220" i="15"/>
  <c r="T25219" i="15"/>
  <c r="T25218" i="15"/>
  <c r="T25217" i="15"/>
  <c r="T25216" i="15"/>
  <c r="T25215" i="15"/>
  <c r="T25214" i="15"/>
  <c r="T25213" i="15"/>
  <c r="T25212" i="15"/>
  <c r="T25211" i="15"/>
  <c r="T25210" i="15"/>
  <c r="T25209" i="15"/>
  <c r="T25208" i="15"/>
  <c r="T25207" i="15"/>
  <c r="T25206" i="15"/>
  <c r="T25205" i="15"/>
  <c r="T25204" i="15"/>
  <c r="T25203" i="15"/>
  <c r="T25202" i="15"/>
  <c r="T25201" i="15"/>
  <c r="T25200" i="15"/>
  <c r="T25199" i="15"/>
  <c r="T25198" i="15"/>
  <c r="T25197" i="15"/>
  <c r="T25196" i="15"/>
  <c r="T25195" i="15"/>
  <c r="T25194" i="15"/>
  <c r="T25193" i="15"/>
  <c r="T25192" i="15"/>
  <c r="T25191" i="15"/>
  <c r="T25190" i="15"/>
  <c r="T25189" i="15"/>
  <c r="T25188" i="15"/>
  <c r="T25187" i="15"/>
  <c r="T25186" i="15"/>
  <c r="T25185" i="15"/>
  <c r="T25184" i="15"/>
  <c r="T25183" i="15"/>
  <c r="T25182" i="15"/>
  <c r="T25181" i="15"/>
  <c r="T25180" i="15"/>
  <c r="T25179" i="15"/>
  <c r="T25178" i="15"/>
  <c r="T25177" i="15"/>
  <c r="T25176" i="15"/>
  <c r="T25175" i="15"/>
  <c r="T25174" i="15"/>
  <c r="T25173" i="15"/>
  <c r="T25172" i="15"/>
  <c r="T25171" i="15"/>
  <c r="T25170" i="15"/>
  <c r="T25169" i="15"/>
  <c r="T25168" i="15"/>
  <c r="T25167" i="15"/>
  <c r="T25166" i="15"/>
  <c r="T25165" i="15"/>
  <c r="T25164" i="15"/>
  <c r="T25163" i="15"/>
  <c r="T25162" i="15"/>
  <c r="T25161" i="15"/>
  <c r="T25160" i="15"/>
  <c r="T25159" i="15"/>
  <c r="T25158" i="15"/>
  <c r="T25157" i="15"/>
  <c r="T25156" i="15"/>
  <c r="T25155" i="15"/>
  <c r="T25154" i="15"/>
  <c r="T25153" i="15"/>
  <c r="T25152" i="15"/>
  <c r="T25151" i="15"/>
  <c r="T25150" i="15"/>
  <c r="T25149" i="15"/>
  <c r="T25148" i="15"/>
  <c r="T25147" i="15"/>
  <c r="T25146" i="15"/>
  <c r="T25145" i="15"/>
  <c r="T25144" i="15"/>
  <c r="T25143" i="15"/>
  <c r="T25142" i="15"/>
  <c r="T25141" i="15"/>
  <c r="T25140" i="15"/>
  <c r="T25139" i="15"/>
  <c r="T25138" i="15"/>
  <c r="T25137" i="15"/>
  <c r="T25136" i="15"/>
  <c r="T25135" i="15"/>
  <c r="T25134" i="15"/>
  <c r="T25133" i="15"/>
  <c r="T25132" i="15"/>
  <c r="T25131" i="15"/>
  <c r="T25130" i="15"/>
  <c r="T25129" i="15"/>
  <c r="T25128" i="15"/>
  <c r="T25127" i="15"/>
  <c r="T25126" i="15"/>
  <c r="T25125" i="15"/>
  <c r="T25124" i="15"/>
  <c r="T25123" i="15"/>
  <c r="T25122" i="15"/>
  <c r="T25121" i="15"/>
  <c r="T25120" i="15"/>
  <c r="T25119" i="15"/>
  <c r="T25118" i="15"/>
  <c r="T25117" i="15"/>
  <c r="T25116" i="15"/>
  <c r="T25115" i="15"/>
  <c r="T25114" i="15"/>
  <c r="T25113" i="15"/>
  <c r="T25112" i="15"/>
  <c r="T25111" i="15"/>
  <c r="T25110" i="15"/>
  <c r="T25109" i="15"/>
  <c r="T25108" i="15"/>
  <c r="T25107" i="15"/>
  <c r="T25106" i="15"/>
  <c r="T25105" i="15"/>
  <c r="T25104" i="15"/>
  <c r="T25103" i="15"/>
  <c r="T25102" i="15"/>
  <c r="T25101" i="15"/>
  <c r="T25100" i="15"/>
  <c r="T25099" i="15"/>
  <c r="T25098" i="15"/>
  <c r="T25097" i="15"/>
  <c r="T25096" i="15"/>
  <c r="T25095" i="15"/>
  <c r="T25094" i="15"/>
  <c r="T25093" i="15"/>
  <c r="T25092" i="15"/>
  <c r="T25091" i="15"/>
  <c r="T25090" i="15"/>
  <c r="T25089" i="15"/>
  <c r="T25088" i="15"/>
  <c r="T25087" i="15"/>
  <c r="T25086" i="15"/>
  <c r="T25085" i="15"/>
  <c r="T25084" i="15"/>
  <c r="T25083" i="15"/>
  <c r="T25082" i="15"/>
  <c r="T25081" i="15"/>
  <c r="T25080" i="15"/>
  <c r="T25079" i="15"/>
  <c r="T25078" i="15"/>
  <c r="T25077" i="15"/>
  <c r="T25076" i="15"/>
  <c r="T25075" i="15"/>
  <c r="T25074" i="15"/>
  <c r="T25073" i="15"/>
  <c r="T25072" i="15"/>
  <c r="T25071" i="15"/>
  <c r="T25070" i="15"/>
  <c r="T25069" i="15"/>
  <c r="T25068" i="15"/>
  <c r="T25067" i="15"/>
  <c r="T25066" i="15"/>
  <c r="T25065" i="15"/>
  <c r="T25064" i="15"/>
  <c r="T25063" i="15"/>
  <c r="T25062" i="15"/>
  <c r="T25061" i="15"/>
  <c r="T25060" i="15"/>
  <c r="T25059" i="15"/>
  <c r="T25058" i="15"/>
  <c r="T25057" i="15"/>
  <c r="T25056" i="15"/>
  <c r="T25055" i="15"/>
  <c r="T25054" i="15"/>
  <c r="T25053" i="15"/>
  <c r="T25052" i="15"/>
  <c r="T25051" i="15"/>
  <c r="T25050" i="15"/>
  <c r="T25049" i="15"/>
  <c r="T25048" i="15"/>
  <c r="T25047" i="15"/>
  <c r="T25046" i="15"/>
  <c r="T25045" i="15"/>
  <c r="T25044" i="15"/>
  <c r="T25043" i="15"/>
  <c r="T25042" i="15"/>
  <c r="T25041" i="15"/>
  <c r="T25040" i="15"/>
  <c r="T25039" i="15"/>
  <c r="T25038" i="15"/>
  <c r="T25037" i="15"/>
  <c r="T25036" i="15"/>
  <c r="T25035" i="15"/>
  <c r="T25034" i="15"/>
  <c r="T25033" i="15"/>
  <c r="T25032" i="15"/>
  <c r="T25031" i="15"/>
  <c r="T25030" i="15"/>
  <c r="T25029" i="15"/>
  <c r="T25028" i="15"/>
  <c r="T25027" i="15"/>
  <c r="T25026" i="15"/>
  <c r="T25025" i="15"/>
  <c r="T25024" i="15"/>
  <c r="T25023" i="15"/>
  <c r="T25022" i="15"/>
  <c r="T25021" i="15"/>
  <c r="T25020" i="15"/>
  <c r="T25019" i="15"/>
  <c r="T25018" i="15"/>
  <c r="T25017" i="15"/>
  <c r="T25016" i="15"/>
  <c r="T25015" i="15"/>
  <c r="T25014" i="15"/>
  <c r="T25013" i="15"/>
  <c r="T25012" i="15"/>
  <c r="T25011" i="15"/>
  <c r="T25010" i="15"/>
  <c r="T25009" i="15"/>
  <c r="T25008" i="15"/>
  <c r="T25007" i="15"/>
  <c r="T25006" i="15"/>
  <c r="T25005" i="15"/>
  <c r="T25004" i="15"/>
  <c r="T25003" i="15"/>
  <c r="T25002" i="15"/>
  <c r="T25001" i="15"/>
  <c r="T25000" i="15"/>
  <c r="T24999" i="15"/>
  <c r="T24998" i="15"/>
  <c r="T24997" i="15"/>
  <c r="T24996" i="15"/>
  <c r="T24995" i="15"/>
  <c r="T24994" i="15"/>
  <c r="T24993" i="15"/>
  <c r="T24992" i="15"/>
  <c r="T24991" i="15"/>
  <c r="T24990" i="15"/>
  <c r="T24989" i="15"/>
  <c r="T24988" i="15"/>
  <c r="T24987" i="15"/>
  <c r="T24986" i="15"/>
  <c r="T24985" i="15"/>
  <c r="T24984" i="15"/>
  <c r="T24983" i="15"/>
  <c r="T24982" i="15"/>
  <c r="T24981" i="15"/>
  <c r="T24980" i="15"/>
  <c r="T24979" i="15"/>
  <c r="T24978" i="15"/>
  <c r="T24977" i="15"/>
  <c r="T24976" i="15"/>
  <c r="T24975" i="15"/>
  <c r="T24974" i="15"/>
  <c r="T24973" i="15"/>
  <c r="T24972" i="15"/>
  <c r="T24971" i="15"/>
  <c r="T24970" i="15"/>
  <c r="T24969" i="15"/>
  <c r="T24968" i="15"/>
  <c r="T24967" i="15"/>
  <c r="T24966" i="15"/>
  <c r="T24965" i="15"/>
  <c r="T24964" i="15"/>
  <c r="T24963" i="15"/>
  <c r="T24962" i="15"/>
  <c r="T24961" i="15"/>
  <c r="T24960" i="15"/>
  <c r="T24959" i="15"/>
  <c r="T24958" i="15"/>
  <c r="T24957" i="15"/>
  <c r="T24956" i="15"/>
  <c r="T24955" i="15"/>
  <c r="T24954" i="15"/>
  <c r="T24953" i="15"/>
  <c r="T24952" i="15"/>
  <c r="T24951" i="15"/>
  <c r="T24950" i="15"/>
  <c r="T24949" i="15"/>
  <c r="T24948" i="15"/>
  <c r="T24947" i="15"/>
  <c r="T24946" i="15"/>
  <c r="T24945" i="15"/>
  <c r="T24944" i="15"/>
  <c r="T24943" i="15"/>
  <c r="T24942" i="15"/>
  <c r="T24941" i="15"/>
  <c r="T24940" i="15"/>
  <c r="T24939" i="15"/>
  <c r="T24938" i="15"/>
  <c r="T24937" i="15"/>
  <c r="T24936" i="15"/>
  <c r="T24935" i="15"/>
  <c r="T24934" i="15"/>
  <c r="T24933" i="15"/>
  <c r="T24932" i="15"/>
  <c r="T24931" i="15"/>
  <c r="T24930" i="15"/>
  <c r="T24929" i="15"/>
  <c r="T24928" i="15"/>
  <c r="T24927" i="15"/>
  <c r="T24926" i="15"/>
  <c r="T24925" i="15"/>
  <c r="T24924" i="15"/>
  <c r="T24923" i="15"/>
  <c r="T24922" i="15"/>
  <c r="T24921" i="15"/>
  <c r="T24920" i="15"/>
  <c r="T24919" i="15"/>
  <c r="T24918" i="15"/>
  <c r="T24917" i="15"/>
  <c r="T24916" i="15"/>
  <c r="T24915" i="15"/>
  <c r="T24914" i="15"/>
  <c r="T24913" i="15"/>
  <c r="T24912" i="15"/>
  <c r="T24911" i="15"/>
  <c r="T24910" i="15"/>
  <c r="T24909" i="15"/>
  <c r="T24908" i="15"/>
  <c r="T24907" i="15"/>
  <c r="T24906" i="15"/>
  <c r="T24905" i="15"/>
  <c r="T24904" i="15"/>
  <c r="T24903" i="15"/>
  <c r="T24902" i="15"/>
  <c r="T24901" i="15"/>
  <c r="T24900" i="15"/>
  <c r="T24899" i="15"/>
  <c r="T24898" i="15"/>
  <c r="T24897" i="15"/>
  <c r="T24896" i="15"/>
  <c r="T24895" i="15"/>
  <c r="T24894" i="15"/>
  <c r="T24893" i="15"/>
  <c r="T24892" i="15"/>
  <c r="T24891" i="15"/>
  <c r="T24890" i="15"/>
  <c r="T24889" i="15"/>
  <c r="T24888" i="15"/>
  <c r="T24887" i="15"/>
  <c r="T24886" i="15"/>
  <c r="T24885" i="15"/>
  <c r="T24884" i="15"/>
  <c r="T24883" i="15"/>
  <c r="T24882" i="15"/>
  <c r="T24881" i="15"/>
  <c r="T24880" i="15"/>
  <c r="T24879" i="15"/>
  <c r="T24878" i="15"/>
  <c r="T24877" i="15"/>
  <c r="T24876" i="15"/>
  <c r="T24875" i="15"/>
  <c r="T24874" i="15"/>
  <c r="T24873" i="15"/>
  <c r="T24872" i="15"/>
  <c r="T24871" i="15"/>
  <c r="T24870" i="15"/>
  <c r="T24869" i="15"/>
  <c r="T24868" i="15"/>
  <c r="T24867" i="15"/>
  <c r="T24866" i="15"/>
  <c r="T24865" i="15"/>
  <c r="T24864" i="15"/>
  <c r="T24863" i="15"/>
  <c r="T24862" i="15"/>
  <c r="T24861" i="15"/>
  <c r="T24860" i="15"/>
  <c r="T24859" i="15"/>
  <c r="T24858" i="15"/>
  <c r="T24857" i="15"/>
  <c r="T24856" i="15"/>
  <c r="T24855" i="15"/>
  <c r="T24854" i="15"/>
  <c r="T24853" i="15"/>
  <c r="T24852" i="15"/>
  <c r="T24851" i="15"/>
  <c r="T24850" i="15"/>
  <c r="T24849" i="15"/>
  <c r="T24848" i="15"/>
  <c r="T24847" i="15"/>
  <c r="T24846" i="15"/>
  <c r="T24845" i="15"/>
  <c r="T24844" i="15"/>
  <c r="T24843" i="15"/>
  <c r="T24842" i="15"/>
  <c r="T24841" i="15"/>
  <c r="T24840" i="15"/>
  <c r="T24839" i="15"/>
  <c r="T24838" i="15"/>
  <c r="T24837" i="15"/>
  <c r="T24836" i="15"/>
  <c r="T24835" i="15"/>
  <c r="T24834" i="15"/>
  <c r="T24833" i="15"/>
  <c r="T24832" i="15"/>
  <c r="T24831" i="15"/>
  <c r="T24830" i="15"/>
  <c r="T24829" i="15"/>
  <c r="T24828" i="15"/>
  <c r="T24827" i="15"/>
  <c r="T24826" i="15"/>
  <c r="T24825" i="15"/>
  <c r="T24824" i="15"/>
  <c r="T24823" i="15"/>
  <c r="T24822" i="15"/>
  <c r="T24821" i="15"/>
  <c r="T24820" i="15"/>
  <c r="T24819" i="15"/>
  <c r="T24818" i="15"/>
  <c r="T24817" i="15"/>
  <c r="T24816" i="15"/>
  <c r="T24815" i="15"/>
  <c r="T24814" i="15"/>
  <c r="T24813" i="15"/>
  <c r="T24812" i="15"/>
  <c r="T24811" i="15"/>
  <c r="T24810" i="15"/>
  <c r="T24809" i="15"/>
  <c r="T24808" i="15"/>
  <c r="T24807" i="15"/>
  <c r="T24806" i="15"/>
  <c r="T24805" i="15"/>
  <c r="T24804" i="15"/>
  <c r="T24803" i="15"/>
  <c r="T24802" i="15"/>
  <c r="T24801" i="15"/>
  <c r="T24800" i="15"/>
  <c r="T24799" i="15"/>
  <c r="T24798" i="15"/>
  <c r="T24797" i="15"/>
  <c r="T24796" i="15"/>
  <c r="T24795" i="15"/>
  <c r="T24794" i="15"/>
  <c r="T24793" i="15"/>
  <c r="T24792" i="15"/>
  <c r="T24791" i="15"/>
  <c r="T24790" i="15"/>
  <c r="T24789" i="15"/>
  <c r="T24788" i="15"/>
  <c r="T24787" i="15"/>
  <c r="T24786" i="15"/>
  <c r="T24785" i="15"/>
  <c r="T24784" i="15"/>
  <c r="T24783" i="15"/>
  <c r="T24782" i="15"/>
  <c r="T24781" i="15"/>
  <c r="T24780" i="15"/>
  <c r="T24779" i="15"/>
  <c r="T24778" i="15"/>
  <c r="T24777" i="15"/>
  <c r="T24776" i="15"/>
  <c r="T24775" i="15"/>
  <c r="T24774" i="15"/>
  <c r="T24773" i="15"/>
  <c r="T24772" i="15"/>
  <c r="T24771" i="15"/>
  <c r="T24770" i="15"/>
  <c r="T24769" i="15"/>
  <c r="T24768" i="15"/>
  <c r="T24767" i="15"/>
  <c r="T24766" i="15"/>
  <c r="T24765" i="15"/>
  <c r="T24764" i="15"/>
  <c r="T24763" i="15"/>
  <c r="T24762" i="15"/>
  <c r="T24761" i="15"/>
  <c r="T24760" i="15"/>
  <c r="T24759" i="15"/>
  <c r="T24758" i="15"/>
  <c r="T24757" i="15"/>
  <c r="T24756" i="15"/>
  <c r="T24755" i="15"/>
  <c r="T24754" i="15"/>
  <c r="T24753" i="15"/>
  <c r="T24752" i="15"/>
  <c r="T24751" i="15"/>
  <c r="T24750" i="15"/>
  <c r="T24749" i="15"/>
  <c r="T24748" i="15"/>
  <c r="T24747" i="15"/>
  <c r="T24746" i="15"/>
  <c r="T24745" i="15"/>
  <c r="T24744" i="15"/>
  <c r="T24743" i="15"/>
  <c r="T24742" i="15"/>
  <c r="T24741" i="15"/>
  <c r="T24740" i="15"/>
  <c r="T24739" i="15"/>
  <c r="T24738" i="15"/>
  <c r="T24737" i="15"/>
  <c r="T24736" i="15"/>
  <c r="T24735" i="15"/>
  <c r="T24734" i="15"/>
  <c r="T24733" i="15"/>
  <c r="T24732" i="15"/>
  <c r="T24731" i="15"/>
  <c r="T24730" i="15"/>
  <c r="T24729" i="15"/>
  <c r="T24728" i="15"/>
  <c r="T24727" i="15"/>
  <c r="T24726" i="15"/>
  <c r="T24725" i="15"/>
  <c r="T24724" i="15"/>
  <c r="T24723" i="15"/>
  <c r="T24722" i="15"/>
  <c r="T24721" i="15"/>
  <c r="T24720" i="15"/>
  <c r="T24719" i="15"/>
  <c r="T24718" i="15"/>
  <c r="T24717" i="15"/>
  <c r="T24716" i="15"/>
  <c r="T24715" i="15"/>
  <c r="T24714" i="15"/>
  <c r="T24713" i="15"/>
  <c r="T24712" i="15"/>
  <c r="T24711" i="15"/>
  <c r="T24710" i="15"/>
  <c r="T24709" i="15"/>
  <c r="T24708" i="15"/>
  <c r="T24707" i="15"/>
  <c r="T24706" i="15"/>
  <c r="T24705" i="15"/>
  <c r="T24704" i="15"/>
  <c r="T24703" i="15"/>
  <c r="T24702" i="15"/>
  <c r="T24701" i="15"/>
  <c r="T24700" i="15"/>
  <c r="T24699" i="15"/>
  <c r="T24698" i="15"/>
  <c r="T24697" i="15"/>
  <c r="T24696" i="15"/>
  <c r="T24695" i="15"/>
  <c r="T24694" i="15"/>
  <c r="T24693" i="15"/>
  <c r="T24692" i="15"/>
  <c r="T24691" i="15"/>
  <c r="T24690" i="15"/>
  <c r="T24689" i="15"/>
  <c r="T24688" i="15"/>
  <c r="T24687" i="15"/>
  <c r="T24686" i="15"/>
  <c r="T24685" i="15"/>
  <c r="T24684" i="15"/>
  <c r="T24683" i="15"/>
  <c r="T24682" i="15"/>
  <c r="T24681" i="15"/>
  <c r="T24680" i="15"/>
  <c r="T24679" i="15"/>
  <c r="T24678" i="15"/>
  <c r="T24677" i="15"/>
  <c r="T24676" i="15"/>
  <c r="T24675" i="15"/>
  <c r="T24674" i="15"/>
  <c r="T24673" i="15"/>
  <c r="T24672" i="15"/>
  <c r="T24671" i="15"/>
  <c r="T24670" i="15"/>
  <c r="T24669" i="15"/>
  <c r="T24668" i="15"/>
  <c r="T24667" i="15"/>
  <c r="T24666" i="15"/>
  <c r="T24665" i="15"/>
  <c r="T24664" i="15"/>
  <c r="T24663" i="15"/>
  <c r="T24662" i="15"/>
  <c r="T24661" i="15"/>
  <c r="T24660" i="15"/>
  <c r="T24659" i="15"/>
  <c r="T24658" i="15"/>
  <c r="T24657" i="15"/>
  <c r="T24656" i="15"/>
  <c r="T24655" i="15"/>
  <c r="T24654" i="15"/>
  <c r="T24653" i="15"/>
  <c r="T24652" i="15"/>
  <c r="T24651" i="15"/>
  <c r="T24650" i="15"/>
  <c r="T24649" i="15"/>
  <c r="T24648" i="15"/>
  <c r="T24647" i="15"/>
  <c r="T24646" i="15"/>
  <c r="T24645" i="15"/>
  <c r="T24644" i="15"/>
  <c r="T24643" i="15"/>
  <c r="T24642" i="15"/>
  <c r="T24641" i="15"/>
  <c r="T24640" i="15"/>
  <c r="T24639" i="15"/>
  <c r="T24638" i="15"/>
  <c r="T24637" i="15"/>
  <c r="T24636" i="15"/>
  <c r="T24635" i="15"/>
  <c r="T24634" i="15"/>
  <c r="T24633" i="15"/>
  <c r="T24632" i="15"/>
  <c r="T24631" i="15"/>
  <c r="T24630" i="15"/>
  <c r="T24629" i="15"/>
  <c r="T24628" i="15"/>
  <c r="T24627" i="15"/>
  <c r="T24626" i="15"/>
  <c r="T24625" i="15"/>
  <c r="T24624" i="15"/>
  <c r="T24623" i="15"/>
  <c r="T24622" i="15"/>
  <c r="T24621" i="15"/>
  <c r="T24620" i="15"/>
  <c r="T24619" i="15"/>
  <c r="T24618" i="15"/>
  <c r="T24617" i="15"/>
  <c r="T24616" i="15"/>
  <c r="T24615" i="15"/>
  <c r="T24614" i="15"/>
  <c r="T24613" i="15"/>
  <c r="T24612" i="15"/>
  <c r="T24611" i="15"/>
  <c r="T24610" i="15"/>
  <c r="T24609" i="15"/>
  <c r="T24608" i="15"/>
  <c r="T24607" i="15"/>
  <c r="T24606" i="15"/>
  <c r="T24605" i="15"/>
  <c r="T24604" i="15"/>
  <c r="T24603" i="15"/>
  <c r="T24602" i="15"/>
  <c r="T24601" i="15"/>
  <c r="T24600" i="15"/>
  <c r="T24599" i="15"/>
  <c r="T24598" i="15"/>
  <c r="T24597" i="15"/>
  <c r="T24596" i="15"/>
  <c r="T24595" i="15"/>
  <c r="T24594" i="15"/>
  <c r="T24593" i="15"/>
  <c r="T24592" i="15"/>
  <c r="T24591" i="15"/>
  <c r="T24590" i="15"/>
  <c r="T24589" i="15"/>
  <c r="T24588" i="15"/>
  <c r="T24587" i="15"/>
  <c r="T24586" i="15"/>
  <c r="T24585" i="15"/>
  <c r="T24584" i="15"/>
  <c r="T24583" i="15"/>
  <c r="T24582" i="15"/>
  <c r="T24581" i="15"/>
  <c r="T24580" i="15"/>
  <c r="T24579" i="15"/>
  <c r="T24578" i="15"/>
  <c r="T24577" i="15"/>
  <c r="T24576" i="15"/>
  <c r="T24575" i="15"/>
  <c r="T24574" i="15"/>
  <c r="T24573" i="15"/>
  <c r="T24572" i="15"/>
  <c r="T24571" i="15"/>
  <c r="T24570" i="15"/>
  <c r="T24569" i="15"/>
  <c r="T24568" i="15"/>
  <c r="T24567" i="15"/>
  <c r="T24566" i="15"/>
  <c r="T24565" i="15"/>
  <c r="T24564" i="15"/>
  <c r="T24563" i="15"/>
  <c r="T24562" i="15"/>
  <c r="T24561" i="15"/>
  <c r="T24560" i="15"/>
  <c r="T24559" i="15"/>
  <c r="T24558" i="15"/>
  <c r="T24557" i="15"/>
  <c r="T24556" i="15"/>
  <c r="T24555" i="15"/>
  <c r="T24554" i="15"/>
  <c r="T24553" i="15"/>
  <c r="T24552" i="15"/>
  <c r="T24551" i="15"/>
  <c r="T24550" i="15"/>
  <c r="T24549" i="15"/>
  <c r="T24548" i="15"/>
  <c r="T24547" i="15"/>
  <c r="T24546" i="15"/>
  <c r="T24545" i="15"/>
  <c r="T24544" i="15"/>
  <c r="T24543" i="15"/>
  <c r="T24542" i="15"/>
  <c r="T24541" i="15"/>
  <c r="T24540" i="15"/>
  <c r="T24539" i="15"/>
  <c r="T24538" i="15"/>
  <c r="T24537" i="15"/>
  <c r="T24536" i="15"/>
  <c r="T24535" i="15"/>
  <c r="T24534" i="15"/>
  <c r="T24533" i="15"/>
  <c r="T24532" i="15"/>
  <c r="T24531" i="15"/>
  <c r="T24530" i="15"/>
  <c r="T24529" i="15"/>
  <c r="T24528" i="15"/>
  <c r="T24527" i="15"/>
  <c r="T24526" i="15"/>
  <c r="T24525" i="15"/>
  <c r="T24524" i="15"/>
  <c r="T24523" i="15"/>
  <c r="T24522" i="15"/>
  <c r="T24521" i="15"/>
  <c r="T24520" i="15"/>
  <c r="T24519" i="15"/>
  <c r="T24518" i="15"/>
  <c r="T24517" i="15"/>
  <c r="T24516" i="15"/>
  <c r="T24515" i="15"/>
  <c r="T24514" i="15"/>
  <c r="T24513" i="15"/>
  <c r="T24512" i="15"/>
  <c r="T24511" i="15"/>
  <c r="T24510" i="15"/>
  <c r="T24509" i="15"/>
  <c r="T24508" i="15"/>
  <c r="T24507" i="15"/>
  <c r="T24506" i="15"/>
  <c r="T24505" i="15"/>
  <c r="T24504" i="15"/>
  <c r="T24503" i="15"/>
  <c r="T24502" i="15"/>
  <c r="T24501" i="15"/>
  <c r="T24500" i="15"/>
  <c r="T24499" i="15"/>
  <c r="T24498" i="15"/>
  <c r="T24497" i="15"/>
  <c r="T24496" i="15"/>
  <c r="T24495" i="15"/>
  <c r="T24494" i="15"/>
  <c r="T24493" i="15"/>
  <c r="T24492" i="15"/>
  <c r="T24491" i="15"/>
  <c r="T24490" i="15"/>
  <c r="T24489" i="15"/>
  <c r="T24488" i="15"/>
  <c r="T24487" i="15"/>
  <c r="T24486" i="15"/>
  <c r="T24485" i="15"/>
  <c r="T24484" i="15"/>
  <c r="T24483" i="15"/>
  <c r="T24482" i="15"/>
  <c r="T24481" i="15"/>
  <c r="T24480" i="15"/>
  <c r="T24479" i="15"/>
  <c r="T24478" i="15"/>
  <c r="T24477" i="15"/>
  <c r="T24476" i="15"/>
  <c r="T24475" i="15"/>
  <c r="T24474" i="15"/>
  <c r="T24473" i="15"/>
  <c r="T24472" i="15"/>
  <c r="T24471" i="15"/>
  <c r="T24470" i="15"/>
  <c r="T24469" i="15"/>
  <c r="T24468" i="15"/>
  <c r="T24467" i="15"/>
  <c r="T24466" i="15"/>
  <c r="T24465" i="15"/>
  <c r="T24464" i="15"/>
  <c r="T24463" i="15"/>
  <c r="T24462" i="15"/>
  <c r="T24461" i="15"/>
  <c r="T24460" i="15"/>
  <c r="T24459" i="15"/>
  <c r="T24458" i="15"/>
  <c r="T24457" i="15"/>
  <c r="T24456" i="15"/>
  <c r="T24455" i="15"/>
  <c r="T24454" i="15"/>
  <c r="T24453" i="15"/>
  <c r="T24452" i="15"/>
  <c r="T24451" i="15"/>
  <c r="T24450" i="15"/>
  <c r="T24449" i="15"/>
  <c r="T24448" i="15"/>
  <c r="T24447" i="15"/>
  <c r="T24446" i="15"/>
  <c r="T24445" i="15"/>
  <c r="T24444" i="15"/>
  <c r="T24443" i="15"/>
  <c r="T24442" i="15"/>
  <c r="T24441" i="15"/>
  <c r="T24440" i="15"/>
  <c r="T24439" i="15"/>
  <c r="T24438" i="15"/>
  <c r="T24437" i="15"/>
  <c r="T24436" i="15"/>
  <c r="T24435" i="15"/>
  <c r="T24434" i="15"/>
  <c r="T24433" i="15"/>
  <c r="T24432" i="15"/>
  <c r="T24431" i="15"/>
  <c r="T24430" i="15"/>
  <c r="T24429" i="15"/>
  <c r="T24428" i="15"/>
  <c r="T24427" i="15"/>
  <c r="T24426" i="15"/>
  <c r="T24425" i="15"/>
  <c r="T24424" i="15"/>
  <c r="T24423" i="15"/>
  <c r="T24422" i="15"/>
  <c r="T24421" i="15"/>
  <c r="T24420" i="15"/>
  <c r="T24419" i="15"/>
  <c r="T24418" i="15"/>
  <c r="T24417" i="15"/>
  <c r="T24416" i="15"/>
  <c r="T24415" i="15"/>
  <c r="T24414" i="15"/>
  <c r="T24413" i="15"/>
  <c r="T24412" i="15"/>
  <c r="T24411" i="15"/>
  <c r="T24410" i="15"/>
  <c r="T24409" i="15"/>
  <c r="T24408" i="15"/>
  <c r="T24407" i="15"/>
  <c r="T24406" i="15"/>
  <c r="T24405" i="15"/>
  <c r="T24404" i="15"/>
  <c r="T24403" i="15"/>
  <c r="T24402" i="15"/>
  <c r="T24401" i="15"/>
  <c r="T24400" i="15"/>
  <c r="T24399" i="15"/>
  <c r="T24398" i="15"/>
  <c r="T24397" i="15"/>
  <c r="T24396" i="15"/>
  <c r="T24395" i="15"/>
  <c r="T24394" i="15"/>
  <c r="T24393" i="15"/>
  <c r="T24392" i="15"/>
  <c r="T24391" i="15"/>
  <c r="T24390" i="15"/>
  <c r="T24389" i="15"/>
  <c r="T24388" i="15"/>
  <c r="T24387" i="15"/>
  <c r="T24386" i="15"/>
  <c r="T24385" i="15"/>
  <c r="T24384" i="15"/>
  <c r="T24383" i="15"/>
  <c r="T24382" i="15"/>
  <c r="T24381" i="15"/>
  <c r="T24380" i="15"/>
  <c r="T24379" i="15"/>
  <c r="T24378" i="15"/>
  <c r="T24377" i="15"/>
  <c r="T24376" i="15"/>
  <c r="T24375" i="15"/>
  <c r="T24374" i="15"/>
  <c r="T24373" i="15"/>
  <c r="T24372" i="15"/>
  <c r="T24371" i="15"/>
  <c r="T24370" i="15"/>
  <c r="T24369" i="15"/>
  <c r="T24368" i="15"/>
  <c r="T24367" i="15"/>
  <c r="T24366" i="15"/>
  <c r="T24365" i="15"/>
  <c r="T24364" i="15"/>
  <c r="T24363" i="15"/>
  <c r="T24362" i="15"/>
  <c r="T24361" i="15"/>
  <c r="T24360" i="15"/>
  <c r="T24359" i="15"/>
  <c r="T24358" i="15"/>
  <c r="T24357" i="15"/>
  <c r="T24356" i="15"/>
  <c r="T24355" i="15"/>
  <c r="T24354" i="15"/>
  <c r="T24353" i="15"/>
  <c r="T24352" i="15"/>
  <c r="T24351" i="15"/>
  <c r="T24350" i="15"/>
  <c r="T24349" i="15"/>
  <c r="T24348" i="15"/>
  <c r="T24347" i="15"/>
  <c r="T24346" i="15"/>
  <c r="T24345" i="15"/>
  <c r="T24344" i="15"/>
  <c r="T24343" i="15"/>
  <c r="T24342" i="15"/>
  <c r="T24341" i="15"/>
  <c r="T24340" i="15"/>
  <c r="T24339" i="15"/>
  <c r="T24338" i="15"/>
  <c r="T24337" i="15"/>
  <c r="T24336" i="15"/>
  <c r="T24335" i="15"/>
  <c r="T24334" i="15"/>
  <c r="T24333" i="15"/>
  <c r="T24332" i="15"/>
  <c r="T24331" i="15"/>
  <c r="T24330" i="15"/>
  <c r="T24329" i="15"/>
  <c r="T24328" i="15"/>
  <c r="T24327" i="15"/>
  <c r="T24326" i="15"/>
  <c r="T24325" i="15"/>
  <c r="T24324" i="15"/>
  <c r="T24323" i="15"/>
  <c r="T24322" i="15"/>
  <c r="T24321" i="15"/>
  <c r="T24320" i="15"/>
  <c r="T24319" i="15"/>
  <c r="T24318" i="15"/>
  <c r="T24317" i="15"/>
  <c r="T24316" i="15"/>
  <c r="T24315" i="15"/>
  <c r="T24314" i="15"/>
  <c r="T24313" i="15"/>
  <c r="T24312" i="15"/>
  <c r="T24311" i="15"/>
  <c r="T24310" i="15"/>
  <c r="T24309" i="15"/>
  <c r="T24308" i="15"/>
  <c r="T24307" i="15"/>
  <c r="T24306" i="15"/>
  <c r="T24305" i="15"/>
  <c r="T24304" i="15"/>
  <c r="T24303" i="15"/>
  <c r="T24302" i="15"/>
  <c r="T24301" i="15"/>
  <c r="T24300" i="15"/>
  <c r="T24299" i="15"/>
  <c r="T24298" i="15"/>
  <c r="T24297" i="15"/>
  <c r="T24296" i="15"/>
  <c r="T24295" i="15"/>
  <c r="T24294" i="15"/>
  <c r="T24293" i="15"/>
  <c r="T24292" i="15"/>
  <c r="T24291" i="15"/>
  <c r="T24290" i="15"/>
  <c r="T24289" i="15"/>
  <c r="T24288" i="15"/>
  <c r="T24287" i="15"/>
  <c r="T24286" i="15"/>
  <c r="T24285" i="15"/>
  <c r="T24284" i="15"/>
  <c r="T24283" i="15"/>
  <c r="T24282" i="15"/>
  <c r="T24281" i="15"/>
  <c r="T24280" i="15"/>
  <c r="T24279" i="15"/>
  <c r="T24278" i="15"/>
  <c r="T24277" i="15"/>
  <c r="T24276" i="15"/>
  <c r="T24275" i="15"/>
  <c r="T24274" i="15"/>
  <c r="T24273" i="15"/>
  <c r="T24272" i="15"/>
  <c r="T24271" i="15"/>
  <c r="T24270" i="15"/>
  <c r="T24269" i="15"/>
  <c r="T24268" i="15"/>
  <c r="T24267" i="15"/>
  <c r="T24266" i="15"/>
  <c r="T24265" i="15"/>
  <c r="T24264" i="15"/>
  <c r="T24263" i="15"/>
  <c r="T24262" i="15"/>
  <c r="T24261" i="15"/>
  <c r="T24260" i="15"/>
  <c r="T24259" i="15"/>
  <c r="T24258" i="15"/>
  <c r="T24257" i="15"/>
  <c r="T24256" i="15"/>
  <c r="T24255" i="15"/>
  <c r="T24254" i="15"/>
  <c r="T24253" i="15"/>
  <c r="T24252" i="15"/>
  <c r="T24251" i="15"/>
  <c r="T24250" i="15"/>
  <c r="T24249" i="15"/>
  <c r="T24248" i="15"/>
  <c r="T24247" i="15"/>
  <c r="T24246" i="15"/>
  <c r="T24245" i="15"/>
  <c r="T24244" i="15"/>
  <c r="T24243" i="15"/>
  <c r="T24242" i="15"/>
  <c r="T24241" i="15"/>
  <c r="T24240" i="15"/>
  <c r="T24239" i="15"/>
  <c r="T24238" i="15"/>
  <c r="T24237" i="15"/>
  <c r="T24236" i="15"/>
  <c r="T24235" i="15"/>
  <c r="T24234" i="15"/>
  <c r="T24233" i="15"/>
  <c r="T24232" i="15"/>
  <c r="T24231" i="15"/>
  <c r="T24230" i="15"/>
  <c r="T24229" i="15"/>
  <c r="T24228" i="15"/>
  <c r="T24227" i="15"/>
  <c r="T24226" i="15"/>
  <c r="T24225" i="15"/>
  <c r="T24224" i="15"/>
  <c r="T24223" i="15"/>
  <c r="T24222" i="15"/>
  <c r="T24221" i="15"/>
  <c r="T24220" i="15"/>
  <c r="T24219" i="15"/>
  <c r="T24218" i="15"/>
  <c r="T24217" i="15"/>
  <c r="T24216" i="15"/>
  <c r="T24215" i="15"/>
  <c r="T24214" i="15"/>
  <c r="T24213" i="15"/>
  <c r="T24212" i="15"/>
  <c r="T24211" i="15"/>
  <c r="T24210" i="15"/>
  <c r="T24209" i="15"/>
  <c r="T24208" i="15"/>
  <c r="T24207" i="15"/>
  <c r="T24206" i="15"/>
  <c r="T24205" i="15"/>
  <c r="T24204" i="15"/>
  <c r="T24203" i="15"/>
  <c r="T24202" i="15"/>
  <c r="T24201" i="15"/>
  <c r="T24200" i="15"/>
  <c r="T24199" i="15"/>
  <c r="T24198" i="15"/>
  <c r="T24197" i="15"/>
  <c r="T24196" i="15"/>
  <c r="T24195" i="15"/>
  <c r="T24194" i="15"/>
  <c r="T24193" i="15"/>
  <c r="T24192" i="15"/>
  <c r="T24191" i="15"/>
  <c r="T24190" i="15"/>
  <c r="T24189" i="15"/>
  <c r="T24188" i="15"/>
  <c r="T24187" i="15"/>
  <c r="T24186" i="15"/>
  <c r="T24185" i="15"/>
  <c r="T24184" i="15"/>
  <c r="T24183" i="15"/>
  <c r="T24182" i="15"/>
  <c r="T24181" i="15"/>
  <c r="T24180" i="15"/>
  <c r="T24179" i="15"/>
  <c r="T24178" i="15"/>
  <c r="T24177" i="15"/>
  <c r="T24176" i="15"/>
  <c r="T24175" i="15"/>
  <c r="T24174" i="15"/>
  <c r="T24173" i="15"/>
  <c r="T24172" i="15"/>
  <c r="T24171" i="15"/>
  <c r="T24170" i="15"/>
  <c r="T24169" i="15"/>
  <c r="T24168" i="15"/>
  <c r="T24167" i="15"/>
  <c r="T24166" i="15"/>
  <c r="T24165" i="15"/>
  <c r="T24164" i="15"/>
  <c r="T24163" i="15"/>
  <c r="T24162" i="15"/>
  <c r="T24161" i="15"/>
  <c r="T24160" i="15"/>
  <c r="T24159" i="15"/>
  <c r="T24158" i="15"/>
  <c r="T24157" i="15"/>
  <c r="T24156" i="15"/>
  <c r="T24155" i="15"/>
  <c r="T24154" i="15"/>
  <c r="T24153" i="15"/>
  <c r="T24152" i="15"/>
  <c r="T24151" i="15"/>
  <c r="T24150" i="15"/>
  <c r="T24149" i="15"/>
  <c r="T24148" i="15"/>
  <c r="T24147" i="15"/>
  <c r="T24146" i="15"/>
  <c r="T24145" i="15"/>
  <c r="T24144" i="15"/>
  <c r="T24143" i="15"/>
  <c r="T24142" i="15"/>
  <c r="T24141" i="15"/>
  <c r="T24140" i="15"/>
  <c r="T24139" i="15"/>
  <c r="T24138" i="15"/>
  <c r="T24137" i="15"/>
  <c r="T24136" i="15"/>
  <c r="T24135" i="15"/>
  <c r="T24134" i="15"/>
  <c r="T24133" i="15"/>
  <c r="T24132" i="15"/>
  <c r="T24131" i="15"/>
  <c r="T24130" i="15"/>
  <c r="T24129" i="15"/>
  <c r="T24128" i="15"/>
  <c r="T24127" i="15"/>
  <c r="T24126" i="15"/>
  <c r="T24125" i="15"/>
  <c r="T24124" i="15"/>
  <c r="T24123" i="15"/>
  <c r="T24122" i="15"/>
  <c r="T24121" i="15"/>
  <c r="T24120" i="15"/>
  <c r="T24119" i="15"/>
  <c r="T24118" i="15"/>
  <c r="T24117" i="15"/>
  <c r="T24116" i="15"/>
  <c r="T24115" i="15"/>
  <c r="T24114" i="15"/>
  <c r="T24113" i="15"/>
  <c r="T24112" i="15"/>
  <c r="T24111" i="15"/>
  <c r="T24110" i="15"/>
  <c r="T24109" i="15"/>
  <c r="T24108" i="15"/>
  <c r="T24107" i="15"/>
  <c r="T24106" i="15"/>
  <c r="T24105" i="15"/>
  <c r="T24104" i="15"/>
  <c r="T24103" i="15"/>
  <c r="T24102" i="15"/>
  <c r="T24101" i="15"/>
  <c r="T24100" i="15"/>
  <c r="T24099" i="15"/>
  <c r="T24098" i="15"/>
  <c r="T24097" i="15"/>
  <c r="T24096" i="15"/>
  <c r="T24095" i="15"/>
  <c r="T24094" i="15"/>
  <c r="T24093" i="15"/>
  <c r="T24092" i="15"/>
  <c r="T24091" i="15"/>
  <c r="T24090" i="15"/>
  <c r="T24089" i="15"/>
  <c r="T24088" i="15"/>
  <c r="T24087" i="15"/>
  <c r="T24086" i="15"/>
  <c r="T24085" i="15"/>
  <c r="T24084" i="15"/>
  <c r="T24083" i="15"/>
  <c r="T24082" i="15"/>
  <c r="T24081" i="15"/>
  <c r="T24080" i="15"/>
  <c r="T24079" i="15"/>
  <c r="T24078" i="15"/>
  <c r="T24077" i="15"/>
  <c r="T24076" i="15"/>
  <c r="T24075" i="15"/>
  <c r="T24074" i="15"/>
  <c r="T24073" i="15"/>
  <c r="T24072" i="15"/>
  <c r="T24071" i="15"/>
  <c r="T24070" i="15"/>
  <c r="T24069" i="15"/>
  <c r="T24068" i="15"/>
  <c r="T24067" i="15"/>
  <c r="T24066" i="15"/>
  <c r="T24065" i="15"/>
  <c r="T24064" i="15"/>
  <c r="T24063" i="15"/>
  <c r="T24062" i="15"/>
  <c r="T24061" i="15"/>
  <c r="T24060" i="15"/>
  <c r="T24059" i="15"/>
  <c r="T24058" i="15"/>
  <c r="T24057" i="15"/>
  <c r="T24056" i="15"/>
  <c r="T24055" i="15"/>
  <c r="T24054" i="15"/>
  <c r="T24053" i="15"/>
  <c r="T24052" i="15"/>
  <c r="T24051" i="15"/>
  <c r="T24050" i="15"/>
  <c r="T24049" i="15"/>
  <c r="T24048" i="15"/>
  <c r="T24047" i="15"/>
  <c r="T24046" i="15"/>
  <c r="T24045" i="15"/>
  <c r="T24044" i="15"/>
  <c r="T24043" i="15"/>
  <c r="T24042" i="15"/>
  <c r="T24041" i="15"/>
  <c r="T24040" i="15"/>
  <c r="T24039" i="15"/>
  <c r="T24038" i="15"/>
  <c r="T24037" i="15"/>
  <c r="T24036" i="15"/>
  <c r="T24035" i="15"/>
  <c r="T24034" i="15"/>
  <c r="T24033" i="15"/>
  <c r="T24032" i="15"/>
  <c r="T24031" i="15"/>
  <c r="T24030" i="15"/>
  <c r="T24029" i="15"/>
  <c r="T24028" i="15"/>
  <c r="T24027" i="15"/>
  <c r="T24026" i="15"/>
  <c r="T24025" i="15"/>
  <c r="T24024" i="15"/>
  <c r="T24023" i="15"/>
  <c r="T24022" i="15"/>
  <c r="T24021" i="15"/>
  <c r="T24020" i="15"/>
  <c r="T24019" i="15"/>
  <c r="T24018" i="15"/>
  <c r="T24017" i="15"/>
  <c r="T24016" i="15"/>
  <c r="T24015" i="15"/>
  <c r="T24014" i="15"/>
  <c r="T24013" i="15"/>
  <c r="T24012" i="15"/>
  <c r="T24011" i="15"/>
  <c r="T24010" i="15"/>
  <c r="T24009" i="15"/>
  <c r="T24008" i="15"/>
  <c r="T24007" i="15"/>
  <c r="T24006" i="15"/>
  <c r="T24005" i="15"/>
  <c r="T24004" i="15"/>
  <c r="T24003" i="15"/>
  <c r="T24002" i="15"/>
  <c r="T24001" i="15"/>
  <c r="T24000" i="15"/>
  <c r="T23999" i="15"/>
  <c r="T23998" i="15"/>
  <c r="T23997" i="15"/>
  <c r="T23996" i="15"/>
  <c r="T23995" i="15"/>
  <c r="T23994" i="15"/>
  <c r="T23993" i="15"/>
  <c r="T23992" i="15"/>
  <c r="T23991" i="15"/>
  <c r="T23990" i="15"/>
  <c r="T23989" i="15"/>
  <c r="T23988" i="15"/>
  <c r="T23987" i="15"/>
  <c r="T23986" i="15"/>
  <c r="T23985" i="15"/>
  <c r="T23984" i="15"/>
  <c r="T23983" i="15"/>
  <c r="T23982" i="15"/>
  <c r="T23981" i="15"/>
  <c r="T23980" i="15"/>
  <c r="T23979" i="15"/>
  <c r="T23978" i="15"/>
  <c r="T23977" i="15"/>
  <c r="T23976" i="15"/>
  <c r="T23975" i="15"/>
  <c r="T23974" i="15"/>
  <c r="T23973" i="15"/>
  <c r="T23972" i="15"/>
  <c r="T23971" i="15"/>
  <c r="T23970" i="15"/>
  <c r="T23969" i="15"/>
  <c r="T23968" i="15"/>
  <c r="T23967" i="15"/>
  <c r="T23966" i="15"/>
  <c r="T23965" i="15"/>
  <c r="T23964" i="15"/>
  <c r="T23963" i="15"/>
  <c r="T23962" i="15"/>
  <c r="T23961" i="15"/>
  <c r="T23960" i="15"/>
  <c r="T23959" i="15"/>
  <c r="T23958" i="15"/>
  <c r="T23957" i="15"/>
  <c r="T23956" i="15"/>
  <c r="T23955" i="15"/>
  <c r="T23954" i="15"/>
  <c r="T23953" i="15"/>
  <c r="T23952" i="15"/>
  <c r="T23951" i="15"/>
  <c r="T23950" i="15"/>
  <c r="T23949" i="15"/>
  <c r="T23948" i="15"/>
  <c r="T23947" i="15"/>
  <c r="T23946" i="15"/>
  <c r="T23945" i="15"/>
  <c r="T23944" i="15"/>
  <c r="T23943" i="15"/>
  <c r="T23942" i="15"/>
  <c r="T23941" i="15"/>
  <c r="T23940" i="15"/>
  <c r="T23939" i="15"/>
  <c r="T23938" i="15"/>
  <c r="T23937" i="15"/>
  <c r="T23936" i="15"/>
  <c r="T23935" i="15"/>
  <c r="T23934" i="15"/>
  <c r="T23933" i="15"/>
  <c r="T23932" i="15"/>
  <c r="T23931" i="15"/>
  <c r="T23930" i="15"/>
  <c r="T23929" i="15"/>
  <c r="T23928" i="15"/>
  <c r="T23927" i="15"/>
  <c r="T23926" i="15"/>
  <c r="T23925" i="15"/>
  <c r="T23924" i="15"/>
  <c r="T23923" i="15"/>
  <c r="T23922" i="15"/>
  <c r="T23921" i="15"/>
  <c r="T23920" i="15"/>
  <c r="T23919" i="15"/>
  <c r="T23918" i="15"/>
  <c r="T23917" i="15"/>
  <c r="T23916" i="15"/>
  <c r="T23915" i="15"/>
  <c r="T23914" i="15"/>
  <c r="T23913" i="15"/>
  <c r="T23912" i="15"/>
  <c r="T23911" i="15"/>
  <c r="T23910" i="15"/>
  <c r="T23909" i="15"/>
  <c r="T23908" i="15"/>
  <c r="T23907" i="15"/>
  <c r="T23906" i="15"/>
  <c r="T23905" i="15"/>
  <c r="T23904" i="15"/>
  <c r="T23903" i="15"/>
  <c r="T23902" i="15"/>
  <c r="T23901" i="15"/>
  <c r="T23900" i="15"/>
  <c r="T23899" i="15"/>
  <c r="T23898" i="15"/>
  <c r="T23897" i="15"/>
  <c r="T23896" i="15"/>
  <c r="T23895" i="15"/>
  <c r="T23894" i="15"/>
  <c r="T23893" i="15"/>
  <c r="T23892" i="15"/>
  <c r="T23891" i="15"/>
  <c r="T23890" i="15"/>
  <c r="T23889" i="15"/>
  <c r="T23888" i="15"/>
  <c r="T23887" i="15"/>
  <c r="T23886" i="15"/>
  <c r="T23885" i="15"/>
  <c r="T23884" i="15"/>
  <c r="T23883" i="15"/>
  <c r="T23882" i="15"/>
  <c r="T23881" i="15"/>
  <c r="T23880" i="15"/>
  <c r="T23879" i="15"/>
  <c r="T23878" i="15"/>
  <c r="T23877" i="15"/>
  <c r="T23876" i="15"/>
  <c r="T23875" i="15"/>
  <c r="T23874" i="15"/>
  <c r="T23873" i="15"/>
  <c r="T23872" i="15"/>
  <c r="T23871" i="15"/>
  <c r="T23870" i="15"/>
  <c r="T23869" i="15"/>
  <c r="T23868" i="15"/>
  <c r="T23867" i="15"/>
  <c r="T23866" i="15"/>
  <c r="T23865" i="15"/>
  <c r="T23864" i="15"/>
  <c r="T23863" i="15"/>
  <c r="T23862" i="15"/>
  <c r="T23861" i="15"/>
  <c r="T23860" i="15"/>
  <c r="T23859" i="15"/>
  <c r="T23858" i="15"/>
  <c r="T23857" i="15"/>
  <c r="T23856" i="15"/>
  <c r="T23855" i="15"/>
  <c r="T23854" i="15"/>
  <c r="T23853" i="15"/>
  <c r="T23852" i="15"/>
  <c r="T23851" i="15"/>
  <c r="T23850" i="15"/>
  <c r="T23849" i="15"/>
  <c r="T23848" i="15"/>
  <c r="T23847" i="15"/>
  <c r="T23846" i="15"/>
  <c r="T23845" i="15"/>
  <c r="T23844" i="15"/>
  <c r="T23843" i="15"/>
  <c r="T23842" i="15"/>
  <c r="T23841" i="15"/>
  <c r="T23840" i="15"/>
  <c r="T23839" i="15"/>
  <c r="T23838" i="15"/>
  <c r="T23837" i="15"/>
  <c r="T23836" i="15"/>
  <c r="T23835" i="15"/>
  <c r="T23834" i="15"/>
  <c r="T23833" i="15"/>
  <c r="T23832" i="15"/>
  <c r="T23831" i="15"/>
  <c r="T23830" i="15"/>
  <c r="T23829" i="15"/>
  <c r="T23828" i="15"/>
  <c r="T23827" i="15"/>
  <c r="T23826" i="15"/>
  <c r="T23825" i="15"/>
  <c r="T23824" i="15"/>
  <c r="T23823" i="15"/>
  <c r="T23822" i="15"/>
  <c r="T23821" i="15"/>
  <c r="T23820" i="15"/>
  <c r="T23819" i="15"/>
  <c r="T23818" i="15"/>
  <c r="T23817" i="15"/>
  <c r="T23816" i="15"/>
  <c r="T23815" i="15"/>
  <c r="T23814" i="15"/>
  <c r="T23813" i="15"/>
  <c r="T23812" i="15"/>
  <c r="T23811" i="15"/>
  <c r="T23810" i="15"/>
  <c r="T23809" i="15"/>
  <c r="T23808" i="15"/>
  <c r="T23807" i="15"/>
  <c r="T23806" i="15"/>
  <c r="T23805" i="15"/>
  <c r="T23804" i="15"/>
  <c r="T23803" i="15"/>
  <c r="T23802" i="15"/>
  <c r="T23801" i="15"/>
  <c r="T23800" i="15"/>
  <c r="T23799" i="15"/>
  <c r="T23798" i="15"/>
  <c r="T23797" i="15"/>
  <c r="T23796" i="15"/>
  <c r="T23795" i="15"/>
  <c r="T23794" i="15"/>
  <c r="T23793" i="15"/>
  <c r="T23792" i="15"/>
  <c r="T23791" i="15"/>
  <c r="T23790" i="15"/>
  <c r="T23789" i="15"/>
  <c r="T23788" i="15"/>
  <c r="T23787" i="15"/>
  <c r="T23786" i="15"/>
  <c r="T23785" i="15"/>
  <c r="T23784" i="15"/>
  <c r="T23783" i="15"/>
  <c r="T23782" i="15"/>
  <c r="T23781" i="15"/>
  <c r="T23780" i="15"/>
  <c r="T23779" i="15"/>
  <c r="T23778" i="15"/>
  <c r="T23777" i="15"/>
  <c r="T23776" i="15"/>
  <c r="T23775" i="15"/>
  <c r="T23774" i="15"/>
  <c r="T23773" i="15"/>
  <c r="T23772" i="15"/>
  <c r="T23771" i="15"/>
  <c r="T23770" i="15"/>
  <c r="T23769" i="15"/>
  <c r="T23768" i="15"/>
  <c r="T23767" i="15"/>
  <c r="T23766" i="15"/>
  <c r="T23765" i="15"/>
  <c r="T23764" i="15"/>
  <c r="T23763" i="15"/>
  <c r="T23762" i="15"/>
  <c r="T23761" i="15"/>
  <c r="T23760" i="15"/>
  <c r="T23759" i="15"/>
  <c r="T23758" i="15"/>
  <c r="T23757" i="15"/>
  <c r="T23756" i="15"/>
  <c r="T23755" i="15"/>
  <c r="T23754" i="15"/>
  <c r="T23753" i="15"/>
  <c r="T23752" i="15"/>
  <c r="T23751" i="15"/>
  <c r="T23750" i="15"/>
  <c r="T23749" i="15"/>
  <c r="T23748" i="15"/>
  <c r="T23747" i="15"/>
  <c r="T23746" i="15"/>
  <c r="T23745" i="15"/>
  <c r="T23744" i="15"/>
  <c r="T23743" i="15"/>
  <c r="T23742" i="15"/>
  <c r="T23741" i="15"/>
  <c r="T23740" i="15"/>
  <c r="T23739" i="15"/>
  <c r="T23738" i="15"/>
  <c r="T23737" i="15"/>
  <c r="T23736" i="15"/>
  <c r="T23735" i="15"/>
  <c r="T23734" i="15"/>
  <c r="T23733" i="15"/>
  <c r="T23732" i="15"/>
  <c r="T23731" i="15"/>
  <c r="T23730" i="15"/>
  <c r="T23729" i="15"/>
  <c r="T23728" i="15"/>
  <c r="T23727" i="15"/>
  <c r="T23726" i="15"/>
  <c r="T23725" i="15"/>
  <c r="T23724" i="15"/>
  <c r="T23723" i="15"/>
  <c r="T23722" i="15"/>
  <c r="T23721" i="15"/>
  <c r="T23720" i="15"/>
  <c r="T23719" i="15"/>
  <c r="T23718" i="15"/>
  <c r="T23717" i="15"/>
  <c r="T23716" i="15"/>
  <c r="T23715" i="15"/>
  <c r="T23714" i="15"/>
  <c r="T23713" i="15"/>
  <c r="T23712" i="15"/>
  <c r="T23711" i="15"/>
  <c r="T23710" i="15"/>
  <c r="T23709" i="15"/>
  <c r="T23708" i="15"/>
  <c r="T23707" i="15"/>
  <c r="T23706" i="15"/>
  <c r="T23705" i="15"/>
  <c r="T23704" i="15"/>
  <c r="T23703" i="15"/>
  <c r="T23702" i="15"/>
  <c r="T23701" i="15"/>
  <c r="T23700" i="15"/>
  <c r="T23699" i="15"/>
  <c r="T23698" i="15"/>
  <c r="T23697" i="15"/>
  <c r="T23696" i="15"/>
  <c r="T23695" i="15"/>
  <c r="T23694" i="15"/>
  <c r="T23693" i="15"/>
  <c r="T23692" i="15"/>
  <c r="T23691" i="15"/>
  <c r="T23690" i="15"/>
  <c r="T23689" i="15"/>
  <c r="T23688" i="15"/>
  <c r="T23687" i="15"/>
  <c r="T23686" i="15"/>
  <c r="T23685" i="15"/>
  <c r="T23684" i="15"/>
  <c r="T23683" i="15"/>
  <c r="T23682" i="15"/>
  <c r="T23681" i="15"/>
  <c r="T23680" i="15"/>
  <c r="T23679" i="15"/>
  <c r="T23678" i="15"/>
  <c r="T23677" i="15"/>
  <c r="T23676" i="15"/>
  <c r="T23675" i="15"/>
  <c r="T23674" i="15"/>
  <c r="T23673" i="15"/>
  <c r="T23672" i="15"/>
  <c r="T23671" i="15"/>
  <c r="T23670" i="15"/>
  <c r="T23669" i="15"/>
  <c r="T23668" i="15"/>
  <c r="T23667" i="15"/>
  <c r="T23666" i="15"/>
  <c r="T23665" i="15"/>
  <c r="T23664" i="15"/>
  <c r="T23663" i="15"/>
  <c r="T23662" i="15"/>
  <c r="T23661" i="15"/>
  <c r="T23660" i="15"/>
  <c r="T23659" i="15"/>
  <c r="T23658" i="15"/>
  <c r="T23657" i="15"/>
  <c r="T23656" i="15"/>
  <c r="T23655" i="15"/>
  <c r="T23654" i="15"/>
  <c r="T23653" i="15"/>
  <c r="T23652" i="15"/>
  <c r="T23651" i="15"/>
  <c r="T23650" i="15"/>
  <c r="T23649" i="15"/>
  <c r="T23648" i="15"/>
  <c r="T23647" i="15"/>
  <c r="T23646" i="15"/>
  <c r="T23645" i="15"/>
  <c r="T23644" i="15"/>
  <c r="T23643" i="15"/>
  <c r="T23642" i="15"/>
  <c r="T23641" i="15"/>
  <c r="T23640" i="15"/>
  <c r="T23639" i="15"/>
  <c r="T23638" i="15"/>
  <c r="T23637" i="15"/>
  <c r="T23636" i="15"/>
  <c r="T23635" i="15"/>
  <c r="T23634" i="15"/>
  <c r="T23633" i="15"/>
  <c r="T23632" i="15"/>
  <c r="T23631" i="15"/>
  <c r="T23630" i="15"/>
  <c r="T23629" i="15"/>
  <c r="T23628" i="15"/>
  <c r="T23627" i="15"/>
  <c r="T23626" i="15"/>
  <c r="T23625" i="15"/>
  <c r="T23624" i="15"/>
  <c r="T23623" i="15"/>
  <c r="T23622" i="15"/>
  <c r="T23621" i="15"/>
  <c r="T23620" i="15"/>
  <c r="T23619" i="15"/>
  <c r="T23618" i="15"/>
  <c r="T23617" i="15"/>
  <c r="T23616" i="15"/>
  <c r="T23615" i="15"/>
  <c r="T23614" i="15"/>
  <c r="T23613" i="15"/>
  <c r="T23612" i="15"/>
  <c r="T23611" i="15"/>
  <c r="T23610" i="15"/>
  <c r="T23609" i="15"/>
  <c r="T23608" i="15"/>
  <c r="T23607" i="15"/>
  <c r="T23606" i="15"/>
  <c r="T23605" i="15"/>
  <c r="T23604" i="15"/>
  <c r="T23603" i="15"/>
  <c r="T23602" i="15"/>
  <c r="T23601" i="15"/>
  <c r="T23600" i="15"/>
  <c r="T23599" i="15"/>
  <c r="T23598" i="15"/>
  <c r="T23597" i="15"/>
  <c r="T23596" i="15"/>
  <c r="T23595" i="15"/>
  <c r="T23594" i="15"/>
  <c r="T23593" i="15"/>
  <c r="T23592" i="15"/>
  <c r="T23591" i="15"/>
  <c r="T23590" i="15"/>
  <c r="T23589" i="15"/>
  <c r="T23588" i="15"/>
  <c r="T23587" i="15"/>
  <c r="T23586" i="15"/>
  <c r="T23585" i="15"/>
  <c r="T23584" i="15"/>
  <c r="T23583" i="15"/>
  <c r="T23582" i="15"/>
  <c r="T23581" i="15"/>
  <c r="T23580" i="15"/>
  <c r="T23579" i="15"/>
  <c r="T23578" i="15"/>
  <c r="T23577" i="15"/>
  <c r="T23576" i="15"/>
  <c r="T23575" i="15"/>
  <c r="T23574" i="15"/>
  <c r="T23573" i="15"/>
  <c r="T23572" i="15"/>
  <c r="T23571" i="15"/>
  <c r="T23570" i="15"/>
  <c r="T23569" i="15"/>
  <c r="T23568" i="15"/>
  <c r="T23567" i="15"/>
  <c r="T23566" i="15"/>
  <c r="T23565" i="15"/>
  <c r="T23564" i="15"/>
  <c r="T23563" i="15"/>
  <c r="T23562" i="15"/>
  <c r="T23561" i="15"/>
  <c r="T23560" i="15"/>
  <c r="T23559" i="15"/>
  <c r="T23558" i="15"/>
  <c r="T23557" i="15"/>
  <c r="T23556" i="15"/>
  <c r="T23555" i="15"/>
  <c r="T23554" i="15"/>
  <c r="T23553" i="15"/>
  <c r="T23552" i="15"/>
  <c r="T23551" i="15"/>
  <c r="T23550" i="15"/>
  <c r="T23549" i="15"/>
  <c r="T23548" i="15"/>
  <c r="T23547" i="15"/>
  <c r="T23546" i="15"/>
  <c r="T23545" i="15"/>
  <c r="T23544" i="15"/>
  <c r="T23543" i="15"/>
  <c r="T23542" i="15"/>
  <c r="T23541" i="15"/>
  <c r="T23540" i="15"/>
  <c r="T23539" i="15"/>
  <c r="T23538" i="15"/>
  <c r="T23537" i="15"/>
  <c r="T23536" i="15"/>
  <c r="T23535" i="15"/>
  <c r="T23534" i="15"/>
  <c r="T23533" i="15"/>
  <c r="T23532" i="15"/>
  <c r="T23531" i="15"/>
  <c r="T23530" i="15"/>
  <c r="T23529" i="15"/>
  <c r="T23528" i="15"/>
  <c r="T23527" i="15"/>
  <c r="T23526" i="15"/>
  <c r="T23525" i="15"/>
  <c r="T23524" i="15"/>
  <c r="T23523" i="15"/>
  <c r="T23522" i="15"/>
  <c r="T23521" i="15"/>
  <c r="T23520" i="15"/>
  <c r="T23519" i="15"/>
  <c r="T23518" i="15"/>
  <c r="T23517" i="15"/>
  <c r="T23516" i="15"/>
  <c r="T23515" i="15"/>
  <c r="T23514" i="15"/>
  <c r="T23513" i="15"/>
  <c r="T23512" i="15"/>
  <c r="T23511" i="15"/>
  <c r="T23510" i="15"/>
  <c r="T23509" i="15"/>
  <c r="T23508" i="15"/>
  <c r="T23507" i="15"/>
  <c r="T23506" i="15"/>
  <c r="T23505" i="15"/>
  <c r="T23504" i="15"/>
  <c r="T23503" i="15"/>
  <c r="T23502" i="15"/>
  <c r="T23501" i="15"/>
  <c r="T23500" i="15"/>
  <c r="T23499" i="15"/>
  <c r="T23498" i="15"/>
  <c r="T23497" i="15"/>
  <c r="T23496" i="15"/>
  <c r="T23495" i="15"/>
  <c r="T23494" i="15"/>
  <c r="T23493" i="15"/>
  <c r="T23492" i="15"/>
  <c r="T23491" i="15"/>
  <c r="T23490" i="15"/>
  <c r="T23489" i="15"/>
  <c r="T23488" i="15"/>
  <c r="T23487" i="15"/>
  <c r="T23486" i="15"/>
  <c r="T23485" i="15"/>
  <c r="T23484" i="15"/>
  <c r="T23483" i="15"/>
  <c r="T23482" i="15"/>
  <c r="T23481" i="15"/>
  <c r="T23480" i="15"/>
  <c r="T23479" i="15"/>
  <c r="T23478" i="15"/>
  <c r="T23477" i="15"/>
  <c r="T23476" i="15"/>
  <c r="T23475" i="15"/>
  <c r="T23474" i="15"/>
  <c r="T23473" i="15"/>
  <c r="T23472" i="15"/>
  <c r="T23471" i="15"/>
  <c r="T23470" i="15"/>
  <c r="T23469" i="15"/>
  <c r="T23468" i="15"/>
  <c r="T23467" i="15"/>
  <c r="T23466" i="15"/>
  <c r="T23465" i="15"/>
  <c r="T23464" i="15"/>
  <c r="T23463" i="15"/>
  <c r="T23462" i="15"/>
  <c r="T23461" i="15"/>
  <c r="T23460" i="15"/>
  <c r="T23459" i="15"/>
  <c r="T23458" i="15"/>
  <c r="T23457" i="15"/>
  <c r="T23456" i="15"/>
  <c r="T23455" i="15"/>
  <c r="T23454" i="15"/>
  <c r="T23453" i="15"/>
  <c r="T23452" i="15"/>
  <c r="T23451" i="15"/>
  <c r="T23450" i="15"/>
  <c r="T23449" i="15"/>
  <c r="T23448" i="15"/>
  <c r="T23447" i="15"/>
  <c r="T23446" i="15"/>
  <c r="T23445" i="15"/>
  <c r="T23444" i="15"/>
  <c r="T23443" i="15"/>
  <c r="T23442" i="15"/>
  <c r="T23441" i="15"/>
  <c r="T23440" i="15"/>
  <c r="T23439" i="15"/>
  <c r="T23438" i="15"/>
  <c r="T23437" i="15"/>
  <c r="T23436" i="15"/>
  <c r="T23435" i="15"/>
  <c r="T23434" i="15"/>
  <c r="T23433" i="15"/>
  <c r="T23432" i="15"/>
  <c r="T23431" i="15"/>
  <c r="T23430" i="15"/>
  <c r="T23429" i="15"/>
  <c r="T23428" i="15"/>
  <c r="T23427" i="15"/>
  <c r="T23426" i="15"/>
  <c r="T23425" i="15"/>
  <c r="T23424" i="15"/>
  <c r="T23423" i="15"/>
  <c r="T23422" i="15"/>
  <c r="T23421" i="15"/>
  <c r="T23420" i="15"/>
  <c r="T23419" i="15"/>
  <c r="T23418" i="15"/>
  <c r="T23417" i="15"/>
  <c r="T23416" i="15"/>
  <c r="T23415" i="15"/>
  <c r="T23414" i="15"/>
  <c r="T23413" i="15"/>
  <c r="T23412" i="15"/>
  <c r="T23411" i="15"/>
  <c r="T23410" i="15"/>
  <c r="T23409" i="15"/>
  <c r="T23408" i="15"/>
  <c r="T23407" i="15"/>
  <c r="T23406" i="15"/>
  <c r="T23405" i="15"/>
  <c r="T23404" i="15"/>
  <c r="T23403" i="15"/>
  <c r="T23402" i="15"/>
  <c r="T23401" i="15"/>
  <c r="T23400" i="15"/>
  <c r="T23399" i="15"/>
  <c r="T23398" i="15"/>
  <c r="T23397" i="15"/>
  <c r="T23396" i="15"/>
  <c r="T23395" i="15"/>
  <c r="T23394" i="15"/>
  <c r="T23393" i="15"/>
  <c r="T23392" i="15"/>
  <c r="T23391" i="15"/>
  <c r="T23390" i="15"/>
  <c r="T23389" i="15"/>
  <c r="T23388" i="15"/>
  <c r="T23387" i="15"/>
  <c r="T23386" i="15"/>
  <c r="T23385" i="15"/>
  <c r="T23384" i="15"/>
  <c r="T23383" i="15"/>
  <c r="T23382" i="15"/>
  <c r="T23381" i="15"/>
  <c r="T23380" i="15"/>
  <c r="T23379" i="15"/>
  <c r="T23378" i="15"/>
  <c r="T23377" i="15"/>
  <c r="T23376" i="15"/>
  <c r="T23375" i="15"/>
  <c r="T23374" i="15"/>
  <c r="T23373" i="15"/>
  <c r="T23372" i="15"/>
  <c r="T23371" i="15"/>
  <c r="T23370" i="15"/>
  <c r="T23369" i="15"/>
  <c r="T23368" i="15"/>
  <c r="T23367" i="15"/>
  <c r="T23366" i="15"/>
  <c r="T23365" i="15"/>
  <c r="T23364" i="15"/>
  <c r="T23363" i="15"/>
  <c r="T23362" i="15"/>
  <c r="T23361" i="15"/>
  <c r="T23360" i="15"/>
  <c r="T23359" i="15"/>
  <c r="T23358" i="15"/>
  <c r="T23357" i="15"/>
  <c r="T23356" i="15"/>
  <c r="T23355" i="15"/>
  <c r="T23354" i="15"/>
  <c r="T23353" i="15"/>
  <c r="T23352" i="15"/>
  <c r="T23351" i="15"/>
  <c r="T23350" i="15"/>
  <c r="T23349" i="15"/>
  <c r="T23348" i="15"/>
  <c r="T23347" i="15"/>
  <c r="T23346" i="15"/>
  <c r="T23345" i="15"/>
  <c r="T23344" i="15"/>
  <c r="T23343" i="15"/>
  <c r="T23342" i="15"/>
  <c r="T23341" i="15"/>
  <c r="T23340" i="15"/>
  <c r="T23339" i="15"/>
  <c r="T23338" i="15"/>
  <c r="T23337" i="15"/>
  <c r="T23336" i="15"/>
  <c r="T23335" i="15"/>
  <c r="T23334" i="15"/>
  <c r="T23333" i="15"/>
  <c r="T23332" i="15"/>
  <c r="T23331" i="15"/>
  <c r="T23330" i="15"/>
  <c r="T23329" i="15"/>
  <c r="T23328" i="15"/>
  <c r="T23327" i="15"/>
  <c r="T23326" i="15"/>
  <c r="T23325" i="15"/>
  <c r="T23324" i="15"/>
  <c r="T23323" i="15"/>
  <c r="T23322" i="15"/>
  <c r="T23321" i="15"/>
  <c r="T23320" i="15"/>
  <c r="T23319" i="15"/>
  <c r="T23318" i="15"/>
  <c r="T23317" i="15"/>
  <c r="T23316" i="15"/>
  <c r="T23315" i="15"/>
  <c r="T23314" i="15"/>
  <c r="T23313" i="15"/>
  <c r="T23312" i="15"/>
  <c r="T23311" i="15"/>
  <c r="T23310" i="15"/>
  <c r="T23309" i="15"/>
  <c r="T23308" i="15"/>
  <c r="T23307" i="15"/>
  <c r="T23306" i="15"/>
  <c r="T23305" i="15"/>
  <c r="T23304" i="15"/>
  <c r="T23303" i="15"/>
  <c r="T23302" i="15"/>
  <c r="T23301" i="15"/>
  <c r="T23300" i="15"/>
  <c r="T23299" i="15"/>
  <c r="T23298" i="15"/>
  <c r="T23297" i="15"/>
  <c r="T23296" i="15"/>
  <c r="T23295" i="15"/>
  <c r="T23294" i="15"/>
  <c r="T23293" i="15"/>
  <c r="T23292" i="15"/>
  <c r="T23291" i="15"/>
  <c r="T23290" i="15"/>
  <c r="T23289" i="15"/>
  <c r="T23288" i="15"/>
  <c r="T23287" i="15"/>
  <c r="T23286" i="15"/>
  <c r="T23285" i="15"/>
  <c r="T23284" i="15"/>
  <c r="T23283" i="15"/>
  <c r="T23282" i="15"/>
  <c r="T23281" i="15"/>
  <c r="T23280" i="15"/>
  <c r="T23279" i="15"/>
  <c r="T23278" i="15"/>
  <c r="T23277" i="15"/>
  <c r="T23276" i="15"/>
  <c r="T23275" i="15"/>
  <c r="T23274" i="15"/>
  <c r="T23273" i="15"/>
  <c r="T23272" i="15"/>
  <c r="T23271" i="15"/>
  <c r="T23270" i="15"/>
  <c r="T23269" i="15"/>
  <c r="T23268" i="15"/>
  <c r="T23267" i="15"/>
  <c r="T23266" i="15"/>
  <c r="T23265" i="15"/>
  <c r="T23264" i="15"/>
  <c r="T23263" i="15"/>
  <c r="T23262" i="15"/>
  <c r="T23261" i="15"/>
  <c r="T23260" i="15"/>
  <c r="T23259" i="15"/>
  <c r="T23258" i="15"/>
  <c r="T23257" i="15"/>
  <c r="T23256" i="15"/>
  <c r="T23255" i="15"/>
  <c r="T23254" i="15"/>
  <c r="T23253" i="15"/>
  <c r="T23252" i="15"/>
  <c r="T23251" i="15"/>
  <c r="T23250" i="15"/>
  <c r="T23249" i="15"/>
  <c r="T23248" i="15"/>
  <c r="T23247" i="15"/>
  <c r="T23246" i="15"/>
  <c r="T23245" i="15"/>
  <c r="T23244" i="15"/>
  <c r="T23243" i="15"/>
  <c r="T23242" i="15"/>
  <c r="T23241" i="15"/>
  <c r="T23240" i="15"/>
  <c r="T23239" i="15"/>
  <c r="T23238" i="15"/>
  <c r="T23237" i="15"/>
  <c r="T23236" i="15"/>
  <c r="T23235" i="15"/>
  <c r="T23234" i="15"/>
  <c r="T23233" i="15"/>
  <c r="T23232" i="15"/>
  <c r="T23231" i="15"/>
  <c r="T23230" i="15"/>
  <c r="T23229" i="15"/>
  <c r="T23228" i="15"/>
  <c r="T23227" i="15"/>
  <c r="T23226" i="15"/>
  <c r="T23225" i="15"/>
  <c r="T23224" i="15"/>
  <c r="T23223" i="15"/>
  <c r="T23222" i="15"/>
  <c r="T23221" i="15"/>
  <c r="T23220" i="15"/>
  <c r="T23219" i="15"/>
  <c r="T23218" i="15"/>
  <c r="T23217" i="15"/>
  <c r="T23216" i="15"/>
  <c r="T23215" i="15"/>
  <c r="T23214" i="15"/>
  <c r="T23213" i="15"/>
  <c r="T23212" i="15"/>
  <c r="T23211" i="15"/>
  <c r="T23210" i="15"/>
  <c r="T23209" i="15"/>
  <c r="T23208" i="15"/>
  <c r="T23207" i="15"/>
  <c r="T23206" i="15"/>
  <c r="T23205" i="15"/>
  <c r="T23204" i="15"/>
  <c r="T23203" i="15"/>
  <c r="T23202" i="15"/>
  <c r="T23201" i="15"/>
  <c r="T23200" i="15"/>
  <c r="T23199" i="15"/>
  <c r="T23198" i="15"/>
  <c r="T23197" i="15"/>
  <c r="T23196" i="15"/>
  <c r="T23195" i="15"/>
  <c r="T23194" i="15"/>
  <c r="T23193" i="15"/>
  <c r="T23192" i="15"/>
  <c r="T23191" i="15"/>
  <c r="T23190" i="15"/>
  <c r="T23189" i="15"/>
  <c r="T23188" i="15"/>
  <c r="T23187" i="15"/>
  <c r="T23186" i="15"/>
  <c r="T23185" i="15"/>
  <c r="T23184" i="15"/>
  <c r="T23183" i="15"/>
  <c r="T23182" i="15"/>
  <c r="T23181" i="15"/>
  <c r="T23180" i="15"/>
  <c r="T23179" i="15"/>
  <c r="T23178" i="15"/>
  <c r="T23177" i="15"/>
  <c r="T23176" i="15"/>
  <c r="T23175" i="15"/>
  <c r="T23174" i="15"/>
  <c r="T23173" i="15"/>
  <c r="T23172" i="15"/>
  <c r="T23171" i="15"/>
  <c r="T23170" i="15"/>
  <c r="T23169" i="15"/>
  <c r="T23168" i="15"/>
  <c r="T23167" i="15"/>
  <c r="T23166" i="15"/>
  <c r="T23165" i="15"/>
  <c r="T23164" i="15"/>
  <c r="T23163" i="15"/>
  <c r="T23162" i="15"/>
  <c r="T23161" i="15"/>
  <c r="T23160" i="15"/>
  <c r="T23159" i="15"/>
  <c r="T23158" i="15"/>
  <c r="T23157" i="15"/>
  <c r="T23156" i="15"/>
  <c r="T23155" i="15"/>
  <c r="T23154" i="15"/>
  <c r="T23153" i="15"/>
  <c r="T23152" i="15"/>
  <c r="T23151" i="15"/>
  <c r="T23150" i="15"/>
  <c r="T23149" i="15"/>
  <c r="T23148" i="15"/>
  <c r="T23147" i="15"/>
  <c r="T23146" i="15"/>
  <c r="T23145" i="15"/>
  <c r="T23144" i="15"/>
  <c r="T23143" i="15"/>
  <c r="T23142" i="15"/>
  <c r="T23141" i="15"/>
  <c r="T23140" i="15"/>
  <c r="T23139" i="15"/>
  <c r="T23138" i="15"/>
  <c r="T23137" i="15"/>
  <c r="T23136" i="15"/>
  <c r="T23135" i="15"/>
  <c r="T23134" i="15"/>
  <c r="T23133" i="15"/>
  <c r="T23132" i="15"/>
  <c r="T23131" i="15"/>
  <c r="T23130" i="15"/>
  <c r="T23129" i="15"/>
  <c r="T23128" i="15"/>
  <c r="T23127" i="15"/>
  <c r="T23126" i="15"/>
  <c r="T23125" i="15"/>
  <c r="T23124" i="15"/>
  <c r="T23123" i="15"/>
  <c r="T23122" i="15"/>
  <c r="T23121" i="15"/>
  <c r="T23120" i="15"/>
  <c r="T23119" i="15"/>
  <c r="T23118" i="15"/>
  <c r="T23117" i="15"/>
  <c r="T23116" i="15"/>
  <c r="T23115" i="15"/>
  <c r="T23114" i="15"/>
  <c r="T23113" i="15"/>
  <c r="T23112" i="15"/>
  <c r="T23111" i="15"/>
  <c r="T23110" i="15"/>
  <c r="T23109" i="15"/>
  <c r="T23108" i="15"/>
  <c r="T23107" i="15"/>
  <c r="T23106" i="15"/>
  <c r="T23105" i="15"/>
  <c r="T23104" i="15"/>
  <c r="T23103" i="15"/>
  <c r="T23102" i="15"/>
  <c r="T23101" i="15"/>
  <c r="T23100" i="15"/>
  <c r="T23099" i="15"/>
  <c r="T23098" i="15"/>
  <c r="T23097" i="15"/>
  <c r="T23096" i="15"/>
  <c r="T23095" i="15"/>
  <c r="T23094" i="15"/>
  <c r="T23093" i="15"/>
  <c r="T23092" i="15"/>
  <c r="T23091" i="15"/>
  <c r="T23090" i="15"/>
  <c r="T23089" i="15"/>
  <c r="T23088" i="15"/>
  <c r="T23087" i="15"/>
  <c r="T23086" i="15"/>
  <c r="T23085" i="15"/>
  <c r="T23084" i="15"/>
  <c r="T23083" i="15"/>
  <c r="T23082" i="15"/>
  <c r="T23081" i="15"/>
  <c r="T23080" i="15"/>
  <c r="T23079" i="15"/>
  <c r="T23078" i="15"/>
  <c r="T23077" i="15"/>
  <c r="T23076" i="15"/>
  <c r="T23075" i="15"/>
  <c r="T23074" i="15"/>
  <c r="T23073" i="15"/>
  <c r="T23072" i="15"/>
  <c r="T23071" i="15"/>
  <c r="T23070" i="15"/>
  <c r="T23069" i="15"/>
  <c r="T23068" i="15"/>
  <c r="T23067" i="15"/>
  <c r="T23066" i="15"/>
  <c r="T23065" i="15"/>
  <c r="T23064" i="15"/>
  <c r="T23063" i="15"/>
  <c r="T23062" i="15"/>
  <c r="T23061" i="15"/>
  <c r="T23060" i="15"/>
  <c r="T23059" i="15"/>
  <c r="T23058" i="15"/>
  <c r="T23057" i="15"/>
  <c r="T23056" i="15"/>
  <c r="T23055" i="15"/>
  <c r="T23054" i="15"/>
  <c r="T23053" i="15"/>
  <c r="T23052" i="15"/>
  <c r="T23051" i="15"/>
  <c r="T23050" i="15"/>
  <c r="T23049" i="15"/>
  <c r="T23048" i="15"/>
  <c r="T23047" i="15"/>
  <c r="T23046" i="15"/>
  <c r="T23045" i="15"/>
  <c r="T23044" i="15"/>
  <c r="T23043" i="15"/>
  <c r="T23042" i="15"/>
  <c r="T23041" i="15"/>
  <c r="T23040" i="15"/>
  <c r="T23039" i="15"/>
  <c r="T23038" i="15"/>
  <c r="T23037" i="15"/>
  <c r="T23036" i="15"/>
  <c r="T23035" i="15"/>
  <c r="T23034" i="15"/>
  <c r="T23033" i="15"/>
  <c r="T23032" i="15"/>
  <c r="T23031" i="15"/>
  <c r="T23030" i="15"/>
  <c r="T23029" i="15"/>
  <c r="T23028" i="15"/>
  <c r="T23027" i="15"/>
  <c r="T23026" i="15"/>
  <c r="T23025" i="15"/>
  <c r="T23024" i="15"/>
  <c r="T23023" i="15"/>
  <c r="T23022" i="15"/>
  <c r="T23021" i="15"/>
  <c r="T23020" i="15"/>
  <c r="T23019" i="15"/>
  <c r="T23018" i="15"/>
  <c r="T23017" i="15"/>
  <c r="T23016" i="15"/>
  <c r="T23015" i="15"/>
  <c r="T23014" i="15"/>
  <c r="T23013" i="15"/>
  <c r="T23012" i="15"/>
  <c r="T23011" i="15"/>
  <c r="T23010" i="15"/>
  <c r="T23009" i="15"/>
  <c r="T23008" i="15"/>
  <c r="T23007" i="15"/>
  <c r="T23006" i="15"/>
  <c r="T23005" i="15"/>
  <c r="T23004" i="15"/>
  <c r="T23003" i="15"/>
  <c r="T23002" i="15"/>
  <c r="T23001" i="15"/>
  <c r="T23000" i="15"/>
  <c r="T22999" i="15"/>
  <c r="T22998" i="15"/>
  <c r="T22997" i="15"/>
  <c r="T22996" i="15"/>
  <c r="T22995" i="15"/>
  <c r="T22994" i="15"/>
  <c r="T22993" i="15"/>
  <c r="T22992" i="15"/>
  <c r="T22991" i="15"/>
  <c r="T22990" i="15"/>
  <c r="T22989" i="15"/>
  <c r="T22988" i="15"/>
  <c r="T22987" i="15"/>
  <c r="T22986" i="15"/>
  <c r="T22985" i="15"/>
  <c r="T22984" i="15"/>
  <c r="T22983" i="15"/>
  <c r="T22982" i="15"/>
  <c r="T22981" i="15"/>
  <c r="T22980" i="15"/>
  <c r="T22979" i="15"/>
  <c r="T22978" i="15"/>
  <c r="T22977" i="15"/>
  <c r="T22976" i="15"/>
  <c r="T22975" i="15"/>
  <c r="T22974" i="15"/>
  <c r="T22973" i="15"/>
  <c r="T22972" i="15"/>
  <c r="T22971" i="15"/>
  <c r="T22970" i="15"/>
  <c r="T22969" i="15"/>
  <c r="T22968" i="15"/>
  <c r="T22967" i="15"/>
  <c r="T22966" i="15"/>
  <c r="T22965" i="15"/>
  <c r="T22964" i="15"/>
  <c r="T22963" i="15"/>
  <c r="T22962" i="15"/>
  <c r="T22961" i="15"/>
  <c r="T22960" i="15"/>
  <c r="T22959" i="15"/>
  <c r="T22958" i="15"/>
  <c r="T22957" i="15"/>
  <c r="T22956" i="15"/>
  <c r="T22955" i="15"/>
  <c r="T22954" i="15"/>
  <c r="T22953" i="15"/>
  <c r="T22952" i="15"/>
  <c r="T22951" i="15"/>
  <c r="T22950" i="15"/>
  <c r="T22949" i="15"/>
  <c r="T22948" i="15"/>
  <c r="T22947" i="15"/>
  <c r="T22946" i="15"/>
  <c r="T22945" i="15"/>
  <c r="T22944" i="15"/>
  <c r="T22943" i="15"/>
  <c r="T22942" i="15"/>
  <c r="T22941" i="15"/>
  <c r="T22940" i="15"/>
  <c r="T22939" i="15"/>
  <c r="T22938" i="15"/>
  <c r="T22937" i="15"/>
  <c r="T22936" i="15"/>
  <c r="T22935" i="15"/>
  <c r="T22934" i="15"/>
  <c r="T22933" i="15"/>
  <c r="T22932" i="15"/>
  <c r="T22931" i="15"/>
  <c r="T22930" i="15"/>
  <c r="T22929" i="15"/>
  <c r="T22928" i="15"/>
  <c r="T22927" i="15"/>
  <c r="T22926" i="15"/>
  <c r="T22925" i="15"/>
  <c r="T22924" i="15"/>
  <c r="T22923" i="15"/>
  <c r="T22922" i="15"/>
  <c r="T22921" i="15"/>
  <c r="T22920" i="15"/>
  <c r="T22919" i="15"/>
  <c r="T22918" i="15"/>
  <c r="T22917" i="15"/>
  <c r="T22916" i="15"/>
  <c r="T22915" i="15"/>
  <c r="T22914" i="15"/>
  <c r="T22913" i="15"/>
  <c r="T22912" i="15"/>
  <c r="T22911" i="15"/>
  <c r="T22910" i="15"/>
  <c r="T22909" i="15"/>
  <c r="T22908" i="15"/>
  <c r="T22907" i="15"/>
  <c r="T22906" i="15"/>
  <c r="T22905" i="15"/>
  <c r="T22904" i="15"/>
  <c r="T22903" i="15"/>
  <c r="T22902" i="15"/>
  <c r="T22901" i="15"/>
  <c r="T22900" i="15"/>
  <c r="T22899" i="15"/>
  <c r="T22898" i="15"/>
  <c r="T22897" i="15"/>
  <c r="T22896" i="15"/>
  <c r="T22895" i="15"/>
  <c r="T22894" i="15"/>
  <c r="T22893" i="15"/>
  <c r="T22892" i="15"/>
  <c r="T22891" i="15"/>
  <c r="T22890" i="15"/>
  <c r="T22889" i="15"/>
  <c r="T22888" i="15"/>
  <c r="T22887" i="15"/>
  <c r="T22886" i="15"/>
  <c r="T22885" i="15"/>
  <c r="T22884" i="15"/>
  <c r="T22883" i="15"/>
  <c r="T22882" i="15"/>
  <c r="T22881" i="15"/>
  <c r="T22880" i="15"/>
  <c r="T22879" i="15"/>
  <c r="T22878" i="15"/>
  <c r="T22877" i="15"/>
  <c r="T22876" i="15"/>
  <c r="T22875" i="15"/>
  <c r="T22874" i="15"/>
  <c r="T22873" i="15"/>
  <c r="T22872" i="15"/>
  <c r="T22871" i="15"/>
  <c r="T22870" i="15"/>
  <c r="T22869" i="15"/>
  <c r="T22868" i="15"/>
  <c r="T22867" i="15"/>
  <c r="T22866" i="15"/>
  <c r="T22865" i="15"/>
  <c r="T22864" i="15"/>
  <c r="T22863" i="15"/>
  <c r="T22862" i="15"/>
  <c r="T22861" i="15"/>
  <c r="T22860" i="15"/>
  <c r="T22859" i="15"/>
  <c r="T22858" i="15"/>
  <c r="T22857" i="15"/>
  <c r="T22856" i="15"/>
  <c r="T22855" i="15"/>
  <c r="T22854" i="15"/>
  <c r="T22853" i="15"/>
  <c r="T22852" i="15"/>
  <c r="T22851" i="15"/>
  <c r="T22850" i="15"/>
  <c r="T22849" i="15"/>
  <c r="T22848" i="15"/>
  <c r="T22847" i="15"/>
  <c r="T22846" i="15"/>
  <c r="T22845" i="15"/>
  <c r="T22844" i="15"/>
  <c r="T22843" i="15"/>
  <c r="T22842" i="15"/>
  <c r="T22841" i="15"/>
  <c r="T22840" i="15"/>
  <c r="T22839" i="15"/>
  <c r="T22838" i="15"/>
  <c r="T22837" i="15"/>
  <c r="T22836" i="15"/>
  <c r="T22835" i="15"/>
  <c r="T22834" i="15"/>
  <c r="T22833" i="15"/>
  <c r="T22832" i="15"/>
  <c r="T22831" i="15"/>
  <c r="T22830" i="15"/>
  <c r="T22829" i="15"/>
  <c r="T22828" i="15"/>
  <c r="T22827" i="15"/>
  <c r="T22826" i="15"/>
  <c r="T22825" i="15"/>
  <c r="T22824" i="15"/>
  <c r="T22823" i="15"/>
  <c r="T22822" i="15"/>
  <c r="T22821" i="15"/>
  <c r="T22820" i="15"/>
  <c r="T22819" i="15"/>
  <c r="T22818" i="15"/>
  <c r="T22817" i="15"/>
  <c r="T22816" i="15"/>
  <c r="T22815" i="15"/>
  <c r="T22814" i="15"/>
  <c r="T22813" i="15"/>
  <c r="T22812" i="15"/>
  <c r="T22811" i="15"/>
  <c r="T22810" i="15"/>
  <c r="T22809" i="15"/>
  <c r="T22808" i="15"/>
  <c r="T22807" i="15"/>
  <c r="T22806" i="15"/>
  <c r="T22805" i="15"/>
  <c r="T22804" i="15"/>
  <c r="T22803" i="15"/>
  <c r="T22802" i="15"/>
  <c r="T22801" i="15"/>
  <c r="T22800" i="15"/>
  <c r="T22799" i="15"/>
  <c r="T22798" i="15"/>
  <c r="T22797" i="15"/>
  <c r="T22796" i="15"/>
  <c r="T22795" i="15"/>
  <c r="T22794" i="15"/>
  <c r="T22793" i="15"/>
  <c r="T22792" i="15"/>
  <c r="T22791" i="15"/>
  <c r="T22790" i="15"/>
  <c r="T22789" i="15"/>
  <c r="T22788" i="15"/>
  <c r="T22787" i="15"/>
  <c r="T22786" i="15"/>
  <c r="T22785" i="15"/>
  <c r="T22784" i="15"/>
  <c r="T22783" i="15"/>
  <c r="T22782" i="15"/>
  <c r="T22781" i="15"/>
  <c r="T22780" i="15"/>
  <c r="T22779" i="15"/>
  <c r="T22778" i="15"/>
  <c r="T22777" i="15"/>
  <c r="T22776" i="15"/>
  <c r="T22775" i="15"/>
  <c r="T22774" i="15"/>
  <c r="T22773" i="15"/>
  <c r="T22772" i="15"/>
  <c r="T22771" i="15"/>
  <c r="T22770" i="15"/>
  <c r="T22769" i="15"/>
  <c r="T22768" i="15"/>
  <c r="T22767" i="15"/>
  <c r="T22766" i="15"/>
  <c r="T22765" i="15"/>
  <c r="T22764" i="15"/>
  <c r="T22763" i="15"/>
  <c r="T22762" i="15"/>
  <c r="T22761" i="15"/>
  <c r="T22760" i="15"/>
  <c r="T22759" i="15"/>
  <c r="T22758" i="15"/>
  <c r="T22757" i="15"/>
  <c r="T22756" i="15"/>
  <c r="T22755" i="15"/>
  <c r="T22754" i="15"/>
  <c r="T22753" i="15"/>
  <c r="T22752" i="15"/>
  <c r="T22751" i="15"/>
  <c r="T22750" i="15"/>
  <c r="T22749" i="15"/>
  <c r="T22748" i="15"/>
  <c r="T22747" i="15"/>
  <c r="T22746" i="15"/>
  <c r="T22745" i="15"/>
  <c r="T22744" i="15"/>
  <c r="T22743" i="15"/>
  <c r="T22742" i="15"/>
  <c r="T22741" i="15"/>
  <c r="T22740" i="15"/>
  <c r="T22739" i="15"/>
  <c r="T22738" i="15"/>
  <c r="T22737" i="15"/>
  <c r="T22736" i="15"/>
  <c r="T22735" i="15"/>
  <c r="T22734" i="15"/>
  <c r="T22733" i="15"/>
  <c r="T22732" i="15"/>
  <c r="T22731" i="15"/>
  <c r="T22730" i="15"/>
  <c r="T22729" i="15"/>
  <c r="T22728" i="15"/>
  <c r="T22727" i="15"/>
  <c r="T22726" i="15"/>
  <c r="T22725" i="15"/>
  <c r="T22724" i="15"/>
  <c r="T22723" i="15"/>
  <c r="T22722" i="15"/>
  <c r="T22721" i="15"/>
  <c r="T22720" i="15"/>
  <c r="T22719" i="15"/>
  <c r="T22718" i="15"/>
  <c r="T22717" i="15"/>
  <c r="T22716" i="15"/>
  <c r="T22715" i="15"/>
  <c r="T22714" i="15"/>
  <c r="T22713" i="15"/>
  <c r="T22712" i="15"/>
  <c r="T22711" i="15"/>
  <c r="T22710" i="15"/>
  <c r="T22709" i="15"/>
  <c r="T22708" i="15"/>
  <c r="T22707" i="15"/>
  <c r="T22706" i="15"/>
  <c r="T22705" i="15"/>
  <c r="T22704" i="15"/>
  <c r="T22703" i="15"/>
  <c r="T22702" i="15"/>
  <c r="T22701" i="15"/>
  <c r="T22700" i="15"/>
  <c r="T22699" i="15"/>
  <c r="T22698" i="15"/>
  <c r="T22697" i="15"/>
  <c r="T22696" i="15"/>
  <c r="T22695" i="15"/>
  <c r="T22694" i="15"/>
  <c r="T22693" i="15"/>
  <c r="T22692" i="15"/>
  <c r="T22691" i="15"/>
  <c r="T22690" i="15"/>
  <c r="T22689" i="15"/>
  <c r="T22688" i="15"/>
  <c r="T22687" i="15"/>
  <c r="T22686" i="15"/>
  <c r="T22685" i="15"/>
  <c r="T22684" i="15"/>
  <c r="T22683" i="15"/>
  <c r="T22682" i="15"/>
  <c r="T22681" i="15"/>
  <c r="T22680" i="15"/>
  <c r="T22679" i="15"/>
  <c r="T22678" i="15"/>
  <c r="T22677" i="15"/>
  <c r="T22676" i="15"/>
  <c r="T22675" i="15"/>
  <c r="T22674" i="15"/>
  <c r="T22673" i="15"/>
  <c r="T22672" i="15"/>
  <c r="T22671" i="15"/>
  <c r="T22670" i="15"/>
  <c r="T22669" i="15"/>
  <c r="T22668" i="15"/>
  <c r="T22667" i="15"/>
  <c r="T22666" i="15"/>
  <c r="T22665" i="15"/>
  <c r="T22664" i="15"/>
  <c r="T22663" i="15"/>
  <c r="T22662" i="15"/>
  <c r="T22661" i="15"/>
  <c r="T22660" i="15"/>
  <c r="T22659" i="15"/>
  <c r="T22658" i="15"/>
  <c r="T22657" i="15"/>
  <c r="T22656" i="15"/>
  <c r="T22655" i="15"/>
  <c r="T22654" i="15"/>
  <c r="T22653" i="15"/>
  <c r="T22652" i="15"/>
  <c r="T22651" i="15"/>
  <c r="T22650" i="15"/>
  <c r="T22649" i="15"/>
  <c r="T22648" i="15"/>
  <c r="T22647" i="15"/>
  <c r="T22646" i="15"/>
  <c r="T22645" i="15"/>
  <c r="T22644" i="15"/>
  <c r="T22643" i="15"/>
  <c r="T22642" i="15"/>
  <c r="T22641" i="15"/>
  <c r="T22640" i="15"/>
  <c r="T22639" i="15"/>
  <c r="T22638" i="15"/>
  <c r="T22637" i="15"/>
  <c r="T22636" i="15"/>
  <c r="T22635" i="15"/>
  <c r="T22634" i="15"/>
  <c r="T22633" i="15"/>
  <c r="T22632" i="15"/>
  <c r="T22631" i="15"/>
  <c r="T22630" i="15"/>
  <c r="T22629" i="15"/>
  <c r="T22628" i="15"/>
  <c r="T22627" i="15"/>
  <c r="T22626" i="15"/>
  <c r="T22625" i="15"/>
  <c r="T22624" i="15"/>
  <c r="T22623" i="15"/>
  <c r="T22622" i="15"/>
  <c r="T22621" i="15"/>
  <c r="T22620" i="15"/>
  <c r="T22619" i="15"/>
  <c r="T22618" i="15"/>
  <c r="T22617" i="15"/>
  <c r="T22616" i="15"/>
  <c r="T22615" i="15"/>
  <c r="T22614" i="15"/>
  <c r="T22613" i="15"/>
  <c r="T22612" i="15"/>
  <c r="T22611" i="15"/>
  <c r="T22610" i="15"/>
  <c r="T22609" i="15"/>
  <c r="T22608" i="15"/>
  <c r="T22607" i="15"/>
  <c r="T22606" i="15"/>
  <c r="T22605" i="15"/>
  <c r="T22604" i="15"/>
  <c r="T22603" i="15"/>
  <c r="T22602" i="15"/>
  <c r="T22601" i="15"/>
  <c r="T22600" i="15"/>
  <c r="T22599" i="15"/>
  <c r="T22598" i="15"/>
  <c r="T22597" i="15"/>
  <c r="T22596" i="15"/>
  <c r="T22595" i="15"/>
  <c r="T22594" i="15"/>
  <c r="T22593" i="15"/>
  <c r="T22592" i="15"/>
  <c r="T22591" i="15"/>
  <c r="T22590" i="15"/>
  <c r="T22589" i="15"/>
  <c r="T22588" i="15"/>
  <c r="T22587" i="15"/>
  <c r="T22586" i="15"/>
  <c r="T22585" i="15"/>
  <c r="T22584" i="15"/>
  <c r="T22583" i="15"/>
  <c r="T22582" i="15"/>
  <c r="T22581" i="15"/>
  <c r="T22580" i="15"/>
  <c r="T22579" i="15"/>
  <c r="T22578" i="15"/>
  <c r="T22577" i="15"/>
  <c r="T22576" i="15"/>
  <c r="T22575" i="15"/>
  <c r="T22574" i="15"/>
  <c r="T22573" i="15"/>
  <c r="T22572" i="15"/>
  <c r="T22571" i="15"/>
  <c r="T22570" i="15"/>
  <c r="T22569" i="15"/>
  <c r="T22568" i="15"/>
  <c r="T22567" i="15"/>
  <c r="T22566" i="15"/>
  <c r="T22565" i="15"/>
  <c r="T22564" i="15"/>
  <c r="T22563" i="15"/>
  <c r="T22562" i="15"/>
  <c r="T22561" i="15"/>
  <c r="T22560" i="15"/>
  <c r="T22559" i="15"/>
  <c r="T22558" i="15"/>
  <c r="T22557" i="15"/>
  <c r="T22556" i="15"/>
  <c r="T22555" i="15"/>
  <c r="T22554" i="15"/>
  <c r="T22553" i="15"/>
  <c r="T22552" i="15"/>
  <c r="T22551" i="15"/>
  <c r="T22550" i="15"/>
  <c r="T22549" i="15"/>
  <c r="T22548" i="15"/>
  <c r="T22547" i="15"/>
  <c r="T22546" i="15"/>
  <c r="T22545" i="15"/>
  <c r="T22544" i="15"/>
  <c r="T22543" i="15"/>
  <c r="T22542" i="15"/>
  <c r="T22541" i="15"/>
  <c r="T22540" i="15"/>
  <c r="T22539" i="15"/>
  <c r="T22538" i="15"/>
  <c r="T22537" i="15"/>
  <c r="T22536" i="15"/>
  <c r="T22535" i="15"/>
  <c r="T22534" i="15"/>
  <c r="T22533" i="15"/>
  <c r="T22532" i="15"/>
  <c r="T22531" i="15"/>
  <c r="T22530" i="15"/>
  <c r="T22529" i="15"/>
  <c r="T22528" i="15"/>
  <c r="T22527" i="15"/>
  <c r="T22526" i="15"/>
  <c r="T22525" i="15"/>
  <c r="T22524" i="15"/>
  <c r="T22523" i="15"/>
  <c r="T22522" i="15"/>
  <c r="T22521" i="15"/>
  <c r="T22520" i="15"/>
  <c r="T22519" i="15"/>
  <c r="T22518" i="15"/>
  <c r="T22517" i="15"/>
  <c r="T22516" i="15"/>
  <c r="T22515" i="15"/>
  <c r="T22514" i="15"/>
  <c r="T22513" i="15"/>
  <c r="T22512" i="15"/>
  <c r="T22511" i="15"/>
  <c r="T22510" i="15"/>
  <c r="T22509" i="15"/>
  <c r="T22508" i="15"/>
  <c r="T22507" i="15"/>
  <c r="T22506" i="15"/>
  <c r="T22505" i="15"/>
  <c r="T22504" i="15"/>
  <c r="T22503" i="15"/>
  <c r="T22502" i="15"/>
  <c r="T22501" i="15"/>
  <c r="T22500" i="15"/>
  <c r="T22499" i="15"/>
  <c r="T22498" i="15"/>
  <c r="T22497" i="15"/>
  <c r="T22496" i="15"/>
  <c r="T22495" i="15"/>
  <c r="T22494" i="15"/>
  <c r="T22493" i="15"/>
  <c r="T22492" i="15"/>
  <c r="T22491" i="15"/>
  <c r="T22490" i="15"/>
  <c r="T22489" i="15"/>
  <c r="T22488" i="15"/>
  <c r="T22487" i="15"/>
  <c r="T22486" i="15"/>
  <c r="T22485" i="15"/>
  <c r="T22484" i="15"/>
  <c r="T22483" i="15"/>
  <c r="T22482" i="15"/>
  <c r="T22481" i="15"/>
  <c r="T22480" i="15"/>
  <c r="T22479" i="15"/>
  <c r="T22478" i="15"/>
  <c r="T22477" i="15"/>
  <c r="T22476" i="15"/>
  <c r="T22475" i="15"/>
  <c r="T22474" i="15"/>
  <c r="T22473" i="15"/>
  <c r="T22472" i="15"/>
  <c r="T22471" i="15"/>
  <c r="T22470" i="15"/>
  <c r="T22469" i="15"/>
  <c r="T22468" i="15"/>
  <c r="T22467" i="15"/>
  <c r="T22466" i="15"/>
  <c r="T22465" i="15"/>
  <c r="T22464" i="15"/>
  <c r="T22463" i="15"/>
  <c r="T22462" i="15"/>
  <c r="T22461" i="15"/>
  <c r="T22460" i="15"/>
  <c r="T22459" i="15"/>
  <c r="T22458" i="15"/>
  <c r="T22457" i="15"/>
  <c r="T22456" i="15"/>
  <c r="T22455" i="15"/>
  <c r="T22454" i="15"/>
  <c r="T22453" i="15"/>
  <c r="T22452" i="15"/>
  <c r="T22451" i="15"/>
  <c r="T22450" i="15"/>
  <c r="T22449" i="15"/>
  <c r="T22448" i="15"/>
  <c r="T22447" i="15"/>
  <c r="T22446" i="15"/>
  <c r="T22445" i="15"/>
  <c r="T22444" i="15"/>
  <c r="T22443" i="15"/>
  <c r="T22442" i="15"/>
  <c r="T22441" i="15"/>
  <c r="T22440" i="15"/>
  <c r="T22439" i="15"/>
  <c r="T22438" i="15"/>
  <c r="T22437" i="15"/>
  <c r="T22436" i="15"/>
  <c r="T22435" i="15"/>
  <c r="T22434" i="15"/>
  <c r="T22433" i="15"/>
  <c r="T22432" i="15"/>
  <c r="T22431" i="15"/>
  <c r="T22430" i="15"/>
  <c r="T22429" i="15"/>
  <c r="T22428" i="15"/>
  <c r="T22427" i="15"/>
  <c r="T22426" i="15"/>
  <c r="T22425" i="15"/>
  <c r="T22424" i="15"/>
  <c r="T22423" i="15"/>
  <c r="T22422" i="15"/>
  <c r="T22421" i="15"/>
  <c r="T22420" i="15"/>
  <c r="T22419" i="15"/>
  <c r="T22418" i="15"/>
  <c r="T22417" i="15"/>
  <c r="T22416" i="15"/>
  <c r="T22415" i="15"/>
  <c r="T22414" i="15"/>
  <c r="T22413" i="15"/>
  <c r="T22412" i="15"/>
  <c r="T22411" i="15"/>
  <c r="T22410" i="15"/>
  <c r="T22409" i="15"/>
  <c r="T22408" i="15"/>
  <c r="T22407" i="15"/>
  <c r="T22406" i="15"/>
  <c r="T22405" i="15"/>
  <c r="T22404" i="15"/>
  <c r="T22403" i="15"/>
  <c r="T22402" i="15"/>
  <c r="T22401" i="15"/>
  <c r="T22400" i="15"/>
  <c r="T22399" i="15"/>
  <c r="T22398" i="15"/>
  <c r="T22397" i="15"/>
  <c r="T22396" i="15"/>
  <c r="T22395" i="15"/>
  <c r="T22394" i="15"/>
  <c r="T22393" i="15"/>
  <c r="T22392" i="15"/>
  <c r="T22391" i="15"/>
  <c r="T22390" i="15"/>
  <c r="T22389" i="15"/>
  <c r="T22388" i="15"/>
  <c r="T22387" i="15"/>
  <c r="T22386" i="15"/>
  <c r="T22385" i="15"/>
  <c r="T22384" i="15"/>
  <c r="T22383" i="15"/>
  <c r="T22382" i="15"/>
  <c r="T22381" i="15"/>
  <c r="T22380" i="15"/>
  <c r="T22379" i="15"/>
  <c r="T22378" i="15"/>
  <c r="T22377" i="15"/>
  <c r="T22376" i="15"/>
  <c r="T22375" i="15"/>
  <c r="T22374" i="15"/>
  <c r="T22373" i="15"/>
  <c r="T22372" i="15"/>
  <c r="T22371" i="15"/>
  <c r="T22370" i="15"/>
  <c r="T22369" i="15"/>
  <c r="T22368" i="15"/>
  <c r="T22367" i="15"/>
  <c r="T22366" i="15"/>
  <c r="T22365" i="15"/>
  <c r="T22364" i="15"/>
  <c r="T22363" i="15"/>
  <c r="T22362" i="15"/>
  <c r="T22361" i="15"/>
  <c r="T22360" i="15"/>
  <c r="T22359" i="15"/>
  <c r="T22358" i="15"/>
  <c r="T22357" i="15"/>
  <c r="T22356" i="15"/>
  <c r="T22355" i="15"/>
  <c r="T22354" i="15"/>
  <c r="T22353" i="15"/>
  <c r="T22352" i="15"/>
  <c r="T22351" i="15"/>
  <c r="T22350" i="15"/>
  <c r="T22349" i="15"/>
  <c r="T22348" i="15"/>
  <c r="T22347" i="15"/>
  <c r="T22346" i="15"/>
  <c r="T22345" i="15"/>
  <c r="T22344" i="15"/>
  <c r="T22343" i="15"/>
  <c r="T22342" i="15"/>
  <c r="T22341" i="15"/>
  <c r="T22340" i="15"/>
  <c r="T22339" i="15"/>
  <c r="T22338" i="15"/>
  <c r="T22337" i="15"/>
  <c r="T22336" i="15"/>
  <c r="T22335" i="15"/>
  <c r="T22334" i="15"/>
  <c r="T22333" i="15"/>
  <c r="T22332" i="15"/>
  <c r="T22331" i="15"/>
  <c r="T22330" i="15"/>
  <c r="T22329" i="15"/>
  <c r="T22328" i="15"/>
  <c r="T22327" i="15"/>
  <c r="T22326" i="15"/>
  <c r="T22325" i="15"/>
  <c r="T22324" i="15"/>
  <c r="T22323" i="15"/>
  <c r="T22322" i="15"/>
  <c r="T22321" i="15"/>
  <c r="T22320" i="15"/>
  <c r="T22319" i="15"/>
  <c r="T22318" i="15"/>
  <c r="T22317" i="15"/>
  <c r="T22316" i="15"/>
  <c r="T22315" i="15"/>
  <c r="T22314" i="15"/>
  <c r="T22313" i="15"/>
  <c r="T22312" i="15"/>
  <c r="T22311" i="15"/>
  <c r="T22310" i="15"/>
  <c r="T22309" i="15"/>
  <c r="T22308" i="15"/>
  <c r="T22307" i="15"/>
  <c r="T22306" i="15"/>
  <c r="T22305" i="15"/>
  <c r="T22304" i="15"/>
  <c r="T22303" i="15"/>
  <c r="T22302" i="15"/>
  <c r="T22301" i="15"/>
  <c r="T22300" i="15"/>
  <c r="T22299" i="15"/>
  <c r="T22298" i="15"/>
  <c r="T22297" i="15"/>
  <c r="T22296" i="15"/>
  <c r="T22295" i="15"/>
  <c r="T22294" i="15"/>
  <c r="T22293" i="15"/>
  <c r="T22292" i="15"/>
  <c r="T22291" i="15"/>
  <c r="T22290" i="15"/>
  <c r="T22289" i="15"/>
  <c r="T22288" i="15"/>
  <c r="T22287" i="15"/>
  <c r="T22286" i="15"/>
  <c r="T22285" i="15"/>
  <c r="T22284" i="15"/>
  <c r="T22283" i="15"/>
  <c r="T22282" i="15"/>
  <c r="T22281" i="15"/>
  <c r="T22280" i="15"/>
  <c r="T22279" i="15"/>
  <c r="T22278" i="15"/>
  <c r="T22277" i="15"/>
  <c r="T22276" i="15"/>
  <c r="T22275" i="15"/>
  <c r="T22274" i="15"/>
  <c r="T22273" i="15"/>
  <c r="T22272" i="15"/>
  <c r="T22271" i="15"/>
  <c r="T22270" i="15"/>
  <c r="T22269" i="15"/>
  <c r="T22268" i="15"/>
  <c r="T22267" i="15"/>
  <c r="T22266" i="15"/>
  <c r="T22265" i="15"/>
  <c r="T22264" i="15"/>
  <c r="T22263" i="15"/>
  <c r="T22262" i="15"/>
  <c r="T22261" i="15"/>
  <c r="T22260" i="15"/>
  <c r="T22259" i="15"/>
  <c r="T22258" i="15"/>
  <c r="T22257" i="15"/>
  <c r="T22256" i="15"/>
  <c r="T22255" i="15"/>
  <c r="T22254" i="15"/>
  <c r="T22253" i="15"/>
  <c r="T22252" i="15"/>
  <c r="T22251" i="15"/>
  <c r="T22250" i="15"/>
  <c r="T22249" i="15"/>
  <c r="T22248" i="15"/>
  <c r="T22247" i="15"/>
  <c r="T22246" i="15"/>
  <c r="T22245" i="15"/>
  <c r="T22244" i="15"/>
  <c r="T22243" i="15"/>
  <c r="T22242" i="15"/>
  <c r="T22241" i="15"/>
  <c r="T22240" i="15"/>
  <c r="T22239" i="15"/>
  <c r="T22238" i="15"/>
  <c r="T22237" i="15"/>
  <c r="T22236" i="15"/>
  <c r="T22235" i="15"/>
  <c r="T22234" i="15"/>
  <c r="T22233" i="15"/>
  <c r="T22232" i="15"/>
  <c r="T22231" i="15"/>
  <c r="T22230" i="15"/>
  <c r="T22229" i="15"/>
  <c r="T22228" i="15"/>
  <c r="T22227" i="15"/>
  <c r="T22226" i="15"/>
  <c r="T22225" i="15"/>
  <c r="T22224" i="15"/>
  <c r="T22223" i="15"/>
  <c r="T22222" i="15"/>
  <c r="T22221" i="15"/>
  <c r="T22220" i="15"/>
  <c r="T22219" i="15"/>
  <c r="T22218" i="15"/>
  <c r="T22217" i="15"/>
  <c r="T22216" i="15"/>
  <c r="T22215" i="15"/>
  <c r="T22214" i="15"/>
  <c r="T22213" i="15"/>
  <c r="T22212" i="15"/>
  <c r="T22211" i="15"/>
  <c r="T22210" i="15"/>
  <c r="T22209" i="15"/>
  <c r="T22208" i="15"/>
  <c r="T22207" i="15"/>
  <c r="T22206" i="15"/>
  <c r="T22205" i="15"/>
  <c r="T22204" i="15"/>
  <c r="T22203" i="15"/>
  <c r="T22202" i="15"/>
  <c r="T22201" i="15"/>
  <c r="T22200" i="15"/>
  <c r="T22199" i="15"/>
  <c r="T22198" i="15"/>
  <c r="T22197" i="15"/>
  <c r="T22196" i="15"/>
  <c r="T22195" i="15"/>
  <c r="T22194" i="15"/>
  <c r="T22193" i="15"/>
  <c r="T22192" i="15"/>
  <c r="T22191" i="15"/>
  <c r="T22190" i="15"/>
  <c r="T22189" i="15"/>
  <c r="T22188" i="15"/>
  <c r="T22187" i="15"/>
  <c r="T22186" i="15"/>
  <c r="T22185" i="15"/>
  <c r="T22184" i="15"/>
  <c r="T22183" i="15"/>
  <c r="T22182" i="15"/>
  <c r="T22181" i="15"/>
  <c r="T22180" i="15"/>
  <c r="T22179" i="15"/>
  <c r="T22178" i="15"/>
  <c r="T22177" i="15"/>
  <c r="T22176" i="15"/>
  <c r="T22175" i="15"/>
  <c r="T22174" i="15"/>
  <c r="T22173" i="15"/>
  <c r="T22172" i="15"/>
  <c r="T22171" i="15"/>
  <c r="T22170" i="15"/>
  <c r="T22169" i="15"/>
  <c r="T22168" i="15"/>
  <c r="T22167" i="15"/>
  <c r="T22166" i="15"/>
  <c r="T22165" i="15"/>
  <c r="T22164" i="15"/>
  <c r="T22163" i="15"/>
  <c r="T22162" i="15"/>
  <c r="T22161" i="15"/>
  <c r="T22160" i="15"/>
  <c r="T22159" i="15"/>
  <c r="T22158" i="15"/>
  <c r="T22157" i="15"/>
  <c r="T22156" i="15"/>
  <c r="T22155" i="15"/>
  <c r="T22154" i="15"/>
  <c r="T22153" i="15"/>
  <c r="T22152" i="15"/>
  <c r="T22151" i="15"/>
  <c r="T22150" i="15"/>
  <c r="T22149" i="15"/>
  <c r="T22148" i="15"/>
  <c r="T22147" i="15"/>
  <c r="T22146" i="15"/>
  <c r="T22145" i="15"/>
  <c r="T22144" i="15"/>
  <c r="T22143" i="15"/>
  <c r="T22142" i="15"/>
  <c r="T22141" i="15"/>
  <c r="T22140" i="15"/>
  <c r="T22139" i="15"/>
  <c r="T22138" i="15"/>
  <c r="T22137" i="15"/>
  <c r="T22136" i="15"/>
  <c r="T22135" i="15"/>
  <c r="T22134" i="15"/>
  <c r="T22133" i="15"/>
  <c r="T22132" i="15"/>
  <c r="T22131" i="15"/>
  <c r="T22130" i="15"/>
  <c r="T22129" i="15"/>
  <c r="T22128" i="15"/>
  <c r="T22127" i="15"/>
  <c r="T22126" i="15"/>
  <c r="T22125" i="15"/>
  <c r="T22124" i="15"/>
  <c r="T22123" i="15"/>
  <c r="T22122" i="15"/>
  <c r="T22121" i="15"/>
  <c r="T22120" i="15"/>
  <c r="T22119" i="15"/>
  <c r="T22118" i="15"/>
  <c r="T22117" i="15"/>
  <c r="T22116" i="15"/>
  <c r="T22115" i="15"/>
  <c r="T22114" i="15"/>
  <c r="T22113" i="15"/>
  <c r="T22112" i="15"/>
  <c r="T22111" i="15"/>
  <c r="T22110" i="15"/>
  <c r="T22109" i="15"/>
  <c r="T22108" i="15"/>
  <c r="T22107" i="15"/>
  <c r="T22106" i="15"/>
  <c r="T22105" i="15"/>
  <c r="T22104" i="15"/>
  <c r="T22103" i="15"/>
  <c r="T22102" i="15"/>
  <c r="T22101" i="15"/>
  <c r="T22100" i="15"/>
  <c r="T22099" i="15"/>
  <c r="T22098" i="15"/>
  <c r="T22097" i="15"/>
  <c r="T22096" i="15"/>
  <c r="T22095" i="15"/>
  <c r="T22094" i="15"/>
  <c r="T22093" i="15"/>
  <c r="T22092" i="15"/>
  <c r="T22091" i="15"/>
  <c r="T22090" i="15"/>
  <c r="T22089" i="15"/>
  <c r="T22088" i="15"/>
  <c r="T22087" i="15"/>
  <c r="T22086" i="15"/>
  <c r="T22085" i="15"/>
  <c r="T22084" i="15"/>
  <c r="T22083" i="15"/>
  <c r="T22082" i="15"/>
  <c r="T22081" i="15"/>
  <c r="T22080" i="15"/>
  <c r="T22079" i="15"/>
  <c r="T22078" i="15"/>
  <c r="T22077" i="15"/>
  <c r="T22076" i="15"/>
  <c r="T22075" i="15"/>
  <c r="T22074" i="15"/>
  <c r="T22073" i="15"/>
  <c r="T22072" i="15"/>
  <c r="T22071" i="15"/>
  <c r="T22070" i="15"/>
  <c r="T22069" i="15"/>
  <c r="T22068" i="15"/>
  <c r="T22067" i="15"/>
  <c r="T22066" i="15"/>
  <c r="T22065" i="15"/>
  <c r="T22064" i="15"/>
  <c r="T22063" i="15"/>
  <c r="T22062" i="15"/>
  <c r="T22061" i="15"/>
  <c r="T22060" i="15"/>
  <c r="T22059" i="15"/>
  <c r="T22058" i="15"/>
  <c r="T22057" i="15"/>
  <c r="T22056" i="15"/>
  <c r="T22055" i="15"/>
  <c r="T22054" i="15"/>
  <c r="T22053" i="15"/>
  <c r="T22052" i="15"/>
  <c r="T22051" i="15"/>
  <c r="T22050" i="15"/>
  <c r="T22049" i="15"/>
  <c r="T22048" i="15"/>
  <c r="T22047" i="15"/>
  <c r="T22046" i="15"/>
  <c r="T22045" i="15"/>
  <c r="T22044" i="15"/>
  <c r="T22043" i="15"/>
  <c r="T22042" i="15"/>
  <c r="T22041" i="15"/>
  <c r="T22040" i="15"/>
  <c r="T22039" i="15"/>
  <c r="T22038" i="15"/>
  <c r="T22037" i="15"/>
  <c r="T22036" i="15"/>
  <c r="T22035" i="15"/>
  <c r="T22034" i="15"/>
  <c r="T22033" i="15"/>
  <c r="T22032" i="15"/>
  <c r="T22031" i="15"/>
  <c r="T22030" i="15"/>
  <c r="T22029" i="15"/>
  <c r="T22028" i="15"/>
  <c r="T22027" i="15"/>
  <c r="T22026" i="15"/>
  <c r="T22025" i="15"/>
  <c r="T22024" i="15"/>
  <c r="T22023" i="15"/>
  <c r="T22022" i="15"/>
  <c r="T22021" i="15"/>
  <c r="T22020" i="15"/>
  <c r="T22019" i="15"/>
  <c r="T22018" i="15"/>
  <c r="T22017" i="15"/>
  <c r="T22016" i="15"/>
  <c r="T22015" i="15"/>
  <c r="T22014" i="15"/>
  <c r="T22013" i="15"/>
  <c r="T22012" i="15"/>
  <c r="T22011" i="15"/>
  <c r="T22010" i="15"/>
  <c r="T22009" i="15"/>
  <c r="T22008" i="15"/>
  <c r="T22007" i="15"/>
  <c r="T22006" i="15"/>
  <c r="T22005" i="15"/>
  <c r="T22004" i="15"/>
  <c r="T22003" i="15"/>
  <c r="T22002" i="15"/>
  <c r="T22001" i="15"/>
  <c r="T22000" i="15"/>
  <c r="T21999" i="15"/>
  <c r="T21998" i="15"/>
  <c r="T21997" i="15"/>
  <c r="T21996" i="15"/>
  <c r="T21995" i="15"/>
  <c r="T21994" i="15"/>
  <c r="T21993" i="15"/>
  <c r="T21992" i="15"/>
  <c r="T21991" i="15"/>
  <c r="T21990" i="15"/>
  <c r="T21989" i="15"/>
  <c r="T21988" i="15"/>
  <c r="T21987" i="15"/>
  <c r="T21986" i="15"/>
  <c r="T21985" i="15"/>
  <c r="T21984" i="15"/>
  <c r="T21983" i="15"/>
  <c r="T21982" i="15"/>
  <c r="T21981" i="15"/>
  <c r="T21980" i="15"/>
  <c r="T21979" i="15"/>
  <c r="T21978" i="15"/>
  <c r="T21977" i="15"/>
  <c r="T21976" i="15"/>
  <c r="T21975" i="15"/>
  <c r="T21974" i="15"/>
  <c r="T21973" i="15"/>
  <c r="T21972" i="15"/>
  <c r="T21971" i="15"/>
  <c r="T21970" i="15"/>
  <c r="T21969" i="15"/>
  <c r="T21968" i="15"/>
  <c r="T21967" i="15"/>
  <c r="T21966" i="15"/>
  <c r="T21965" i="15"/>
  <c r="T21964" i="15"/>
  <c r="T21963" i="15"/>
  <c r="T21962" i="15"/>
  <c r="T21961" i="15"/>
  <c r="T21960" i="15"/>
  <c r="T21959" i="15"/>
  <c r="T21958" i="15"/>
  <c r="T21957" i="15"/>
  <c r="T21956" i="15"/>
  <c r="T21955" i="15"/>
  <c r="T21954" i="15"/>
  <c r="T21953" i="15"/>
  <c r="T21952" i="15"/>
  <c r="T21951" i="15"/>
  <c r="T21950" i="15"/>
  <c r="T21949" i="15"/>
  <c r="T21948" i="15"/>
  <c r="T21947" i="15"/>
  <c r="T21946" i="15"/>
  <c r="T21945" i="15"/>
  <c r="T21944" i="15"/>
  <c r="T21943" i="15"/>
  <c r="T21942" i="15"/>
  <c r="T21941" i="15"/>
  <c r="T21940" i="15"/>
  <c r="T21939" i="15"/>
  <c r="T21938" i="15"/>
  <c r="T21937" i="15"/>
  <c r="T21936" i="15"/>
  <c r="T21935" i="15"/>
  <c r="T21934" i="15"/>
  <c r="T21933" i="15"/>
  <c r="T21932" i="15"/>
  <c r="T21931" i="15"/>
  <c r="T21930" i="15"/>
  <c r="T21929" i="15"/>
  <c r="T21928" i="15"/>
  <c r="T21927" i="15"/>
  <c r="T21926" i="15"/>
  <c r="T21925" i="15"/>
  <c r="T21924" i="15"/>
  <c r="T21923" i="15"/>
  <c r="T21922" i="15"/>
  <c r="T21921" i="15"/>
  <c r="T21920" i="15"/>
  <c r="T21919" i="15"/>
  <c r="T21918" i="15"/>
  <c r="T21917" i="15"/>
  <c r="T21916" i="15"/>
  <c r="T21915" i="15"/>
  <c r="T21914" i="15"/>
  <c r="T21913" i="15"/>
  <c r="T21912" i="15"/>
  <c r="T21911" i="15"/>
  <c r="T21910" i="15"/>
  <c r="T21909" i="15"/>
  <c r="T21908" i="15"/>
  <c r="T21907" i="15"/>
  <c r="T21906" i="15"/>
  <c r="T21905" i="15"/>
  <c r="T21904" i="15"/>
  <c r="T21903" i="15"/>
  <c r="T21902" i="15"/>
  <c r="T21901" i="15"/>
  <c r="T21900" i="15"/>
  <c r="T21899" i="15"/>
  <c r="T21898" i="15"/>
  <c r="T21897" i="15"/>
  <c r="T21896" i="15"/>
  <c r="T21895" i="15"/>
  <c r="T21894" i="15"/>
  <c r="T21893" i="15"/>
  <c r="T21892" i="15"/>
  <c r="T21891" i="15"/>
  <c r="T21890" i="15"/>
  <c r="T21889" i="15"/>
  <c r="T21888" i="15"/>
  <c r="T21887" i="15"/>
  <c r="T21886" i="15"/>
  <c r="T21885" i="15"/>
  <c r="T21884" i="15"/>
  <c r="T21883" i="15"/>
  <c r="T21882" i="15"/>
  <c r="T21881" i="15"/>
  <c r="T21880" i="15"/>
  <c r="T21879" i="15"/>
  <c r="T21878" i="15"/>
  <c r="T21877" i="15"/>
  <c r="T21876" i="15"/>
  <c r="T21875" i="15"/>
  <c r="T21874" i="15"/>
  <c r="T21873" i="15"/>
  <c r="T21872" i="15"/>
  <c r="T21871" i="15"/>
  <c r="T21870" i="15"/>
  <c r="T21869" i="15"/>
  <c r="T21868" i="15"/>
  <c r="T21867" i="15"/>
  <c r="T21866" i="15"/>
  <c r="T21865" i="15"/>
  <c r="T21864" i="15"/>
  <c r="T21863" i="15"/>
  <c r="T21862" i="15"/>
  <c r="T21861" i="15"/>
  <c r="T21860" i="15"/>
  <c r="T21859" i="15"/>
  <c r="T21858" i="15"/>
  <c r="T21857" i="15"/>
  <c r="T21856" i="15"/>
  <c r="T21855" i="15"/>
  <c r="T21854" i="15"/>
  <c r="T21853" i="15"/>
  <c r="T21852" i="15"/>
  <c r="T21851" i="15"/>
  <c r="T21850" i="15"/>
  <c r="T21849" i="15"/>
  <c r="T21848" i="15"/>
  <c r="T21847" i="15"/>
  <c r="T21846" i="15"/>
  <c r="T21845" i="15"/>
  <c r="T21844" i="15"/>
  <c r="T21843" i="15"/>
  <c r="T21842" i="15"/>
  <c r="T21841" i="15"/>
  <c r="T21840" i="15"/>
  <c r="T21839" i="15"/>
  <c r="T21838" i="15"/>
  <c r="T21837" i="15"/>
  <c r="T21836" i="15"/>
  <c r="T21835" i="15"/>
  <c r="T21834" i="15"/>
  <c r="T21833" i="15"/>
  <c r="T21832" i="15"/>
  <c r="T21831" i="15"/>
  <c r="T21830" i="15"/>
  <c r="T21829" i="15"/>
  <c r="T21828" i="15"/>
  <c r="T21827" i="15"/>
  <c r="T21826" i="15"/>
  <c r="T21825" i="15"/>
  <c r="T21824" i="15"/>
  <c r="T21823" i="15"/>
  <c r="T21822" i="15"/>
  <c r="T21821" i="15"/>
  <c r="T21820" i="15"/>
  <c r="T21819" i="15"/>
  <c r="T21818" i="15"/>
  <c r="T21817" i="15"/>
  <c r="T21816" i="15"/>
  <c r="T21815" i="15"/>
  <c r="T21814" i="15"/>
  <c r="T21813" i="15"/>
  <c r="T21812" i="15"/>
  <c r="T21811" i="15"/>
  <c r="T21810" i="15"/>
  <c r="T21809" i="15"/>
  <c r="T21808" i="15"/>
  <c r="T21807" i="15"/>
  <c r="T21806" i="15"/>
  <c r="T21805" i="15"/>
  <c r="T21804" i="15"/>
  <c r="T21803" i="15"/>
  <c r="T21802" i="15"/>
  <c r="T21801" i="15"/>
  <c r="T21800" i="15"/>
  <c r="T21799" i="15"/>
  <c r="T21798" i="15"/>
  <c r="T21797" i="15"/>
  <c r="T21796" i="15"/>
  <c r="T21795" i="15"/>
  <c r="T21794" i="15"/>
  <c r="T21793" i="15"/>
  <c r="T21792" i="15"/>
  <c r="T21791" i="15"/>
  <c r="T21790" i="15"/>
  <c r="T21789" i="15"/>
  <c r="T21788" i="15"/>
  <c r="T21787" i="15"/>
  <c r="T21786" i="15"/>
  <c r="T21785" i="15"/>
  <c r="T21784" i="15"/>
  <c r="T21783" i="15"/>
  <c r="T21782" i="15"/>
  <c r="T21781" i="15"/>
  <c r="T21780" i="15"/>
  <c r="T21779" i="15"/>
  <c r="T21778" i="15"/>
  <c r="T21777" i="15"/>
  <c r="T21776" i="15"/>
  <c r="T21775" i="15"/>
  <c r="T21774" i="15"/>
  <c r="T21773" i="15"/>
  <c r="T21772" i="15"/>
  <c r="T21771" i="15"/>
  <c r="T21770" i="15"/>
  <c r="T21769" i="15"/>
  <c r="T21768" i="15"/>
  <c r="T21767" i="15"/>
  <c r="T21766" i="15"/>
  <c r="T21765" i="15"/>
  <c r="T21764" i="15"/>
  <c r="T21763" i="15"/>
  <c r="T21762" i="15"/>
  <c r="T21761" i="15"/>
  <c r="T21760" i="15"/>
  <c r="T21759" i="15"/>
  <c r="T21758" i="15"/>
  <c r="T21757" i="15"/>
  <c r="T21756" i="15"/>
  <c r="T21755" i="15"/>
  <c r="T21754" i="15"/>
  <c r="T21753" i="15"/>
  <c r="T21752" i="15"/>
  <c r="T21751" i="15"/>
  <c r="T21750" i="15"/>
  <c r="T21749" i="15"/>
  <c r="T21748" i="15"/>
  <c r="T21747" i="15"/>
  <c r="T21746" i="15"/>
  <c r="T21745" i="15"/>
  <c r="T21744" i="15"/>
  <c r="T21743" i="15"/>
  <c r="T21742" i="15"/>
  <c r="T21741" i="15"/>
  <c r="T21740" i="15"/>
  <c r="T21739" i="15"/>
  <c r="T21738" i="15"/>
  <c r="T21737" i="15"/>
  <c r="T21736" i="15"/>
  <c r="T21735" i="15"/>
  <c r="T21734" i="15"/>
  <c r="T21733" i="15"/>
  <c r="T21732" i="15"/>
  <c r="T21731" i="15"/>
  <c r="T21730" i="15"/>
  <c r="T21729" i="15"/>
  <c r="T21728" i="15"/>
  <c r="T21727" i="15"/>
  <c r="T21726" i="15"/>
  <c r="T21725" i="15"/>
  <c r="T21724" i="15"/>
  <c r="T21723" i="15"/>
  <c r="T21722" i="15"/>
  <c r="T21721" i="15"/>
  <c r="T21720" i="15"/>
  <c r="T21719" i="15"/>
  <c r="T21718" i="15"/>
  <c r="T21717" i="15"/>
  <c r="T21716" i="15"/>
  <c r="T21715" i="15"/>
  <c r="T21714" i="15"/>
  <c r="T21713" i="15"/>
  <c r="T21712" i="15"/>
  <c r="T21711" i="15"/>
  <c r="T21710" i="15"/>
  <c r="T21709" i="15"/>
  <c r="T21708" i="15"/>
  <c r="T21707" i="15"/>
  <c r="T21706" i="15"/>
  <c r="T21705" i="15"/>
  <c r="T21704" i="15"/>
  <c r="T21703" i="15"/>
  <c r="T21702" i="15"/>
  <c r="T21701" i="15"/>
  <c r="T21700" i="15"/>
  <c r="T21699" i="15"/>
  <c r="T21698" i="15"/>
  <c r="T21697" i="15"/>
  <c r="T21696" i="15"/>
  <c r="T21695" i="15"/>
  <c r="T21694" i="15"/>
  <c r="T21693" i="15"/>
  <c r="T21692" i="15"/>
  <c r="T21691" i="15"/>
  <c r="T21690" i="15"/>
  <c r="T21689" i="15"/>
  <c r="T21688" i="15"/>
  <c r="T21687" i="15"/>
  <c r="T21686" i="15"/>
  <c r="T21685" i="15"/>
  <c r="T21684" i="15"/>
  <c r="T21683" i="15"/>
  <c r="T21682" i="15"/>
  <c r="T21681" i="15"/>
  <c r="T21680" i="15"/>
  <c r="T21679" i="15"/>
  <c r="T21678" i="15"/>
  <c r="T21677" i="15"/>
  <c r="T21676" i="15"/>
  <c r="T21675" i="15"/>
  <c r="T21674" i="15"/>
  <c r="T21673" i="15"/>
  <c r="T21672" i="15"/>
  <c r="T21671" i="15"/>
  <c r="T21670" i="15"/>
  <c r="T21669" i="15"/>
  <c r="T21668" i="15"/>
  <c r="T21667" i="15"/>
  <c r="T21666" i="15"/>
  <c r="T21665" i="15"/>
  <c r="T21664" i="15"/>
  <c r="T21663" i="15"/>
  <c r="T21662" i="15"/>
  <c r="T21661" i="15"/>
  <c r="T21660" i="15"/>
  <c r="T21659" i="15"/>
  <c r="T21658" i="15"/>
  <c r="T21657" i="15"/>
  <c r="T21656" i="15"/>
  <c r="T21655" i="15"/>
  <c r="T21654" i="15"/>
  <c r="T21653" i="15"/>
  <c r="T21652" i="15"/>
  <c r="T21651" i="15"/>
  <c r="T21650" i="15"/>
  <c r="T21649" i="15"/>
  <c r="T21648" i="15"/>
  <c r="T21647" i="15"/>
  <c r="T21646" i="15"/>
  <c r="T21645" i="15"/>
  <c r="T21644" i="15"/>
  <c r="T21643" i="15"/>
  <c r="T21642" i="15"/>
  <c r="T21641" i="15"/>
  <c r="T21640" i="15"/>
  <c r="T21639" i="15"/>
  <c r="T21638" i="15"/>
  <c r="T21637" i="15"/>
  <c r="T21636" i="15"/>
  <c r="T21635" i="15"/>
  <c r="T21634" i="15"/>
  <c r="T21633" i="15"/>
  <c r="T21632" i="15"/>
  <c r="T21631" i="15"/>
  <c r="T21630" i="15"/>
  <c r="T21629" i="15"/>
  <c r="T21628" i="15"/>
  <c r="T21627" i="15"/>
  <c r="T21626" i="15"/>
  <c r="T21625" i="15"/>
  <c r="T21624" i="15"/>
  <c r="T21623" i="15"/>
  <c r="T21622" i="15"/>
  <c r="T21621" i="15"/>
  <c r="T21620" i="15"/>
  <c r="T21619" i="15"/>
  <c r="T21618" i="15"/>
  <c r="T21617" i="15"/>
  <c r="T21616" i="15"/>
  <c r="T21615" i="15"/>
  <c r="T21614" i="15"/>
  <c r="T21613" i="15"/>
  <c r="T21612" i="15"/>
  <c r="T21611" i="15"/>
  <c r="T21610" i="15"/>
  <c r="T21609" i="15"/>
  <c r="T21608" i="15"/>
  <c r="T21607" i="15"/>
  <c r="T21606" i="15"/>
  <c r="T21605" i="15"/>
  <c r="T21604" i="15"/>
  <c r="T21603" i="15"/>
  <c r="T21602" i="15"/>
  <c r="T21601" i="15"/>
  <c r="T21600" i="15"/>
  <c r="T21599" i="15"/>
  <c r="T21598" i="15"/>
  <c r="T21597" i="15"/>
  <c r="T21596" i="15"/>
  <c r="T21595" i="15"/>
  <c r="T21594" i="15"/>
  <c r="T21593" i="15"/>
  <c r="T21592" i="15"/>
  <c r="T21591" i="15"/>
  <c r="T21590" i="15"/>
  <c r="T21589" i="15"/>
  <c r="T21588" i="15"/>
  <c r="T21587" i="15"/>
  <c r="T21586" i="15"/>
  <c r="T21585" i="15"/>
  <c r="T21584" i="15"/>
  <c r="T21583" i="15"/>
  <c r="T21582" i="15"/>
  <c r="T21581" i="15"/>
  <c r="T21580" i="15"/>
  <c r="T21579" i="15"/>
  <c r="T21578" i="15"/>
  <c r="T21577" i="15"/>
  <c r="T21576" i="15"/>
  <c r="T21575" i="15"/>
  <c r="T21574" i="15"/>
  <c r="T21573" i="15"/>
  <c r="T21572" i="15"/>
  <c r="T21571" i="15"/>
  <c r="T21570" i="15"/>
  <c r="T21569" i="15"/>
  <c r="T21568" i="15"/>
  <c r="T21567" i="15"/>
  <c r="T21566" i="15"/>
  <c r="T21565" i="15"/>
  <c r="T21564" i="15"/>
  <c r="T21563" i="15"/>
  <c r="T21562" i="15"/>
  <c r="T21561" i="15"/>
  <c r="T21560" i="15"/>
  <c r="T21559" i="15"/>
  <c r="T21558" i="15"/>
  <c r="T21557" i="15"/>
  <c r="T21556" i="15"/>
  <c r="T21555" i="15"/>
  <c r="T21554" i="15"/>
  <c r="T21553" i="15"/>
  <c r="T21552" i="15"/>
  <c r="T21551" i="15"/>
  <c r="T21550" i="15"/>
  <c r="T21549" i="15"/>
  <c r="T21548" i="15"/>
  <c r="T21547" i="15"/>
  <c r="T21546" i="15"/>
  <c r="T21545" i="15"/>
  <c r="T21544" i="15"/>
  <c r="T21543" i="15"/>
  <c r="T21542" i="15"/>
  <c r="T21541" i="15"/>
  <c r="T21540" i="15"/>
  <c r="T21539" i="15"/>
  <c r="T21538" i="15"/>
  <c r="T21537" i="15"/>
  <c r="T21536" i="15"/>
  <c r="T21535" i="15"/>
  <c r="T21534" i="15"/>
  <c r="T21533" i="15"/>
  <c r="T21532" i="15"/>
  <c r="T21531" i="15"/>
  <c r="T21530" i="15"/>
  <c r="T21529" i="15"/>
  <c r="T21528" i="15"/>
  <c r="T21527" i="15"/>
  <c r="T21526" i="15"/>
  <c r="T21525" i="15"/>
  <c r="T21524" i="15"/>
  <c r="T21523" i="15"/>
  <c r="T21522" i="15"/>
  <c r="T21521" i="15"/>
  <c r="T21520" i="15"/>
  <c r="T21519" i="15"/>
  <c r="T21518" i="15"/>
  <c r="T21517" i="15"/>
  <c r="T21516" i="15"/>
  <c r="T21515" i="15"/>
  <c r="T21514" i="15"/>
  <c r="T21513" i="15"/>
  <c r="T21512" i="15"/>
  <c r="T21511" i="15"/>
  <c r="T21510" i="15"/>
  <c r="T21509" i="15"/>
  <c r="T21508" i="15"/>
  <c r="T21507" i="15"/>
  <c r="T21506" i="15"/>
  <c r="T21505" i="15"/>
  <c r="T21504" i="15"/>
  <c r="T21503" i="15"/>
  <c r="T21502" i="15"/>
  <c r="T21501" i="15"/>
  <c r="T21500" i="15"/>
  <c r="T21499" i="15"/>
  <c r="T21498" i="15"/>
  <c r="T21497" i="15"/>
  <c r="T21496" i="15"/>
  <c r="T21495" i="15"/>
  <c r="T21494" i="15"/>
  <c r="T21493" i="15"/>
  <c r="T21492" i="15"/>
  <c r="T21491" i="15"/>
  <c r="T21490" i="15"/>
  <c r="T21489" i="15"/>
  <c r="T21488" i="15"/>
  <c r="T21487" i="15"/>
  <c r="T21486" i="15"/>
  <c r="T21485" i="15"/>
  <c r="T21484" i="15"/>
  <c r="T21483" i="15"/>
  <c r="T21482" i="15"/>
  <c r="T21481" i="15"/>
  <c r="T21480" i="15"/>
  <c r="T21479" i="15"/>
  <c r="T21478" i="15"/>
  <c r="T21477" i="15"/>
  <c r="T21476" i="15"/>
  <c r="T21475" i="15"/>
  <c r="T21474" i="15"/>
  <c r="T21473" i="15"/>
  <c r="T21472" i="15"/>
  <c r="T21471" i="15"/>
  <c r="T21470" i="15"/>
  <c r="T21469" i="15"/>
  <c r="T21468" i="15"/>
  <c r="T21467" i="15"/>
  <c r="T21466" i="15"/>
  <c r="T21465" i="15"/>
  <c r="T21464" i="15"/>
  <c r="T21463" i="15"/>
  <c r="T21462" i="15"/>
  <c r="T21461" i="15"/>
  <c r="T21460" i="15"/>
  <c r="T21459" i="15"/>
  <c r="T21458" i="15"/>
  <c r="T21457" i="15"/>
  <c r="T21456" i="15"/>
  <c r="T21455" i="15"/>
  <c r="T21454" i="15"/>
  <c r="T21453" i="15"/>
  <c r="T21452" i="15"/>
  <c r="T21451" i="15"/>
  <c r="T21450" i="15"/>
  <c r="T21449" i="15"/>
  <c r="T21448" i="15"/>
  <c r="T21447" i="15"/>
  <c r="T21446" i="15"/>
  <c r="T21445" i="15"/>
  <c r="T21444" i="15"/>
  <c r="T21443" i="15"/>
  <c r="T21442" i="15"/>
  <c r="T21441" i="15"/>
  <c r="T21440" i="15"/>
  <c r="T21439" i="15"/>
  <c r="T21438" i="15"/>
  <c r="T21437" i="15"/>
  <c r="T21436" i="15"/>
  <c r="T21435" i="15"/>
  <c r="T21434" i="15"/>
  <c r="T21433" i="15"/>
  <c r="T21432" i="15"/>
  <c r="T21431" i="15"/>
  <c r="T21430" i="15"/>
  <c r="T21429" i="15"/>
  <c r="T21428" i="15"/>
  <c r="T21427" i="15"/>
  <c r="T21426" i="15"/>
  <c r="T21425" i="15"/>
  <c r="T21424" i="15"/>
  <c r="T21423" i="15"/>
  <c r="T21422" i="15"/>
  <c r="T21421" i="15"/>
  <c r="T21420" i="15"/>
  <c r="T21419" i="15"/>
  <c r="T21418" i="15"/>
  <c r="T21417" i="15"/>
  <c r="T21416" i="15"/>
  <c r="T21415" i="15"/>
  <c r="T21414" i="15"/>
  <c r="T21413" i="15"/>
  <c r="T21412" i="15"/>
  <c r="T21411" i="15"/>
  <c r="T21410" i="15"/>
  <c r="T21409" i="15"/>
  <c r="T21408" i="15"/>
  <c r="T21407" i="15"/>
  <c r="T21406" i="15"/>
  <c r="T21405" i="15"/>
  <c r="T21404" i="15"/>
  <c r="T21403" i="15"/>
  <c r="T21402" i="15"/>
  <c r="T21401" i="15"/>
  <c r="T21400" i="15"/>
  <c r="T21399" i="15"/>
  <c r="T21398" i="15"/>
  <c r="T21397" i="15"/>
  <c r="T21396" i="15"/>
  <c r="T21395" i="15"/>
  <c r="T21394" i="15"/>
  <c r="T21393" i="15"/>
  <c r="T21392" i="15"/>
  <c r="T21391" i="15"/>
  <c r="T21390" i="15"/>
  <c r="T21389" i="15"/>
  <c r="T21388" i="15"/>
  <c r="T21387" i="15"/>
  <c r="T21386" i="15"/>
  <c r="T21385" i="15"/>
  <c r="T21384" i="15"/>
  <c r="T21383" i="15"/>
  <c r="T21382" i="15"/>
  <c r="T21381" i="15"/>
  <c r="T21380" i="15"/>
  <c r="T21379" i="15"/>
  <c r="T21378" i="15"/>
  <c r="T21377" i="15"/>
  <c r="T21376" i="15"/>
  <c r="T21375" i="15"/>
  <c r="T21374" i="15"/>
  <c r="T21373" i="15"/>
  <c r="T21372" i="15"/>
  <c r="T21371" i="15"/>
  <c r="T21370" i="15"/>
  <c r="T21369" i="15"/>
  <c r="T21368" i="15"/>
  <c r="T21367" i="15"/>
  <c r="T21366" i="15"/>
  <c r="T21365" i="15"/>
  <c r="T21364" i="15"/>
  <c r="T21363" i="15"/>
  <c r="T21362" i="15"/>
  <c r="T21361" i="15"/>
  <c r="T21360" i="15"/>
  <c r="T21359" i="15"/>
  <c r="T21358" i="15"/>
  <c r="T21357" i="15"/>
  <c r="T21356" i="15"/>
  <c r="T21355" i="15"/>
  <c r="T21354" i="15"/>
  <c r="T21353" i="15"/>
  <c r="T21352" i="15"/>
  <c r="T21351" i="15"/>
  <c r="T21350" i="15"/>
  <c r="T21349" i="15"/>
  <c r="T21348" i="15"/>
  <c r="T21347" i="15"/>
  <c r="T21346" i="15"/>
  <c r="T21345" i="15"/>
  <c r="T21344" i="15"/>
  <c r="T21343" i="15"/>
  <c r="T21342" i="15"/>
  <c r="T21341" i="15"/>
  <c r="T21340" i="15"/>
  <c r="T21339" i="15"/>
  <c r="T21338" i="15"/>
  <c r="T21337" i="15"/>
  <c r="T21336" i="15"/>
  <c r="T21335" i="15"/>
  <c r="T21334" i="15"/>
  <c r="T21333" i="15"/>
  <c r="T21332" i="15"/>
  <c r="T21331" i="15"/>
  <c r="T21330" i="15"/>
  <c r="T21329" i="15"/>
  <c r="T21328" i="15"/>
  <c r="T21327" i="15"/>
  <c r="T21326" i="15"/>
  <c r="T21325" i="15"/>
  <c r="T21324" i="15"/>
  <c r="T21323" i="15"/>
  <c r="T21322" i="15"/>
  <c r="T21321" i="15"/>
  <c r="T21320" i="15"/>
  <c r="T21319" i="15"/>
  <c r="T21318" i="15"/>
  <c r="T21317" i="15"/>
  <c r="T21316" i="15"/>
  <c r="T21315" i="15"/>
  <c r="T21314" i="15"/>
  <c r="T21313" i="15"/>
  <c r="T21312" i="15"/>
  <c r="T21311" i="15"/>
  <c r="T21310" i="15"/>
  <c r="T21309" i="15"/>
  <c r="T21308" i="15"/>
  <c r="T21307" i="15"/>
  <c r="T21306" i="15"/>
  <c r="T21305" i="15"/>
  <c r="T21304" i="15"/>
  <c r="T21303" i="15"/>
  <c r="T21302" i="15"/>
  <c r="T21301" i="15"/>
  <c r="T21300" i="15"/>
  <c r="T21299" i="15"/>
  <c r="T21298" i="15"/>
  <c r="T21297" i="15"/>
  <c r="T21296" i="15"/>
  <c r="T21295" i="15"/>
  <c r="T21294" i="15"/>
  <c r="T21293" i="15"/>
  <c r="T21292" i="15"/>
  <c r="T21291" i="15"/>
  <c r="T21290" i="15"/>
  <c r="T21289" i="15"/>
  <c r="T21288" i="15"/>
  <c r="T21287" i="15"/>
  <c r="T21286" i="15"/>
  <c r="T21285" i="15"/>
  <c r="T21284" i="15"/>
  <c r="T21283" i="15"/>
  <c r="T21282" i="15"/>
  <c r="T21281" i="15"/>
  <c r="T21280" i="15"/>
  <c r="T21279" i="15"/>
  <c r="T21278" i="15"/>
  <c r="T21277" i="15"/>
  <c r="T21276" i="15"/>
  <c r="T21275" i="15"/>
  <c r="T21274" i="15"/>
  <c r="T21273" i="15"/>
  <c r="T21272" i="15"/>
  <c r="T21271" i="15"/>
  <c r="T21270" i="15"/>
  <c r="T21269" i="15"/>
  <c r="T21268" i="15"/>
  <c r="T21267" i="15"/>
  <c r="T21266" i="15"/>
  <c r="T21265" i="15"/>
  <c r="T21264" i="15"/>
  <c r="T21263" i="15"/>
  <c r="T21262" i="15"/>
  <c r="T21261" i="15"/>
  <c r="T21260" i="15"/>
  <c r="T21259" i="15"/>
  <c r="T21258" i="15"/>
  <c r="T21257" i="15"/>
  <c r="T21256" i="15"/>
  <c r="T21255" i="15"/>
  <c r="T21254" i="15"/>
  <c r="T21253" i="15"/>
  <c r="T21252" i="15"/>
  <c r="T21251" i="15"/>
  <c r="T21250" i="15"/>
  <c r="T21249" i="15"/>
  <c r="T21248" i="15"/>
  <c r="T21247" i="15"/>
  <c r="T21246" i="15"/>
  <c r="T21245" i="15"/>
  <c r="T21244" i="15"/>
  <c r="T21243" i="15"/>
  <c r="T21242" i="15"/>
  <c r="T21241" i="15"/>
  <c r="T21240" i="15"/>
  <c r="T21239" i="15"/>
  <c r="T21238" i="15"/>
  <c r="T21237" i="15"/>
  <c r="T21236" i="15"/>
  <c r="T21235" i="15"/>
  <c r="T21234" i="15"/>
  <c r="T21233" i="15"/>
  <c r="T21232" i="15"/>
  <c r="T21231" i="15"/>
  <c r="T21230" i="15"/>
  <c r="T21229" i="15"/>
  <c r="T21228" i="15"/>
  <c r="T21227" i="15"/>
  <c r="T21226" i="15"/>
  <c r="T21225" i="15"/>
  <c r="T21224" i="15"/>
  <c r="T21223" i="15"/>
  <c r="T21222" i="15"/>
  <c r="T21221" i="15"/>
  <c r="T21220" i="15"/>
  <c r="T21219" i="15"/>
  <c r="T21218" i="15"/>
  <c r="T21217" i="15"/>
  <c r="T21216" i="15"/>
  <c r="T21215" i="15"/>
  <c r="T21214" i="15"/>
  <c r="T21213" i="15"/>
  <c r="T21212" i="15"/>
  <c r="T21211" i="15"/>
  <c r="T21210" i="15"/>
  <c r="T21209" i="15"/>
  <c r="T21208" i="15"/>
  <c r="T21207" i="15"/>
  <c r="T21206" i="15"/>
  <c r="T21205" i="15"/>
  <c r="T21204" i="15"/>
  <c r="T21203" i="15"/>
  <c r="T21202" i="15"/>
  <c r="T21201" i="15"/>
  <c r="T21200" i="15"/>
  <c r="T21199" i="15"/>
  <c r="T21198" i="15"/>
  <c r="T21197" i="15"/>
  <c r="T21196" i="15"/>
  <c r="T21195" i="15"/>
  <c r="T21194" i="15"/>
  <c r="T21193" i="15"/>
  <c r="T21192" i="15"/>
  <c r="T21191" i="15"/>
  <c r="T21190" i="15"/>
  <c r="T21189" i="15"/>
  <c r="T21188" i="15"/>
  <c r="T21187" i="15"/>
  <c r="T21186" i="15"/>
  <c r="T21185" i="15"/>
  <c r="T21184" i="15"/>
  <c r="T21183" i="15"/>
  <c r="T21182" i="15"/>
  <c r="T21181" i="15"/>
  <c r="T21180" i="15"/>
  <c r="T21179" i="15"/>
  <c r="T21178" i="15"/>
  <c r="T21177" i="15"/>
  <c r="T21176" i="15"/>
  <c r="T21175" i="15"/>
  <c r="T21174" i="15"/>
  <c r="T21173" i="15"/>
  <c r="T21172" i="15"/>
  <c r="T21171" i="15"/>
  <c r="T21170" i="15"/>
  <c r="T21169" i="15"/>
  <c r="T21168" i="15"/>
  <c r="T21167" i="15"/>
  <c r="T21166" i="15"/>
  <c r="T21165" i="15"/>
  <c r="T21164" i="15"/>
  <c r="T21163" i="15"/>
  <c r="T21162" i="15"/>
  <c r="T21161" i="15"/>
  <c r="T21160" i="15"/>
  <c r="T21159" i="15"/>
  <c r="T21158" i="15"/>
  <c r="T21157" i="15"/>
  <c r="T21156" i="15"/>
  <c r="T21155" i="15"/>
  <c r="T21154" i="15"/>
  <c r="T21153" i="15"/>
  <c r="T21152" i="15"/>
  <c r="T21151" i="15"/>
  <c r="T21150" i="15"/>
  <c r="T21149" i="15"/>
  <c r="T21148" i="15"/>
  <c r="T21147" i="15"/>
  <c r="T21146" i="15"/>
  <c r="T21145" i="15"/>
  <c r="T21144" i="15"/>
  <c r="T21143" i="15"/>
  <c r="T21142" i="15"/>
  <c r="T21141" i="15"/>
  <c r="T21140" i="15"/>
  <c r="T21139" i="15"/>
  <c r="T21138" i="15"/>
  <c r="T21137" i="15"/>
  <c r="T21136" i="15"/>
  <c r="T21135" i="15"/>
  <c r="T21134" i="15"/>
  <c r="T21133" i="15"/>
  <c r="T21132" i="15"/>
  <c r="T21131" i="15"/>
  <c r="T21130" i="15"/>
  <c r="T21129" i="15"/>
  <c r="T21128" i="15"/>
  <c r="T21127" i="15"/>
  <c r="T21126" i="15"/>
  <c r="T21125" i="15"/>
  <c r="T21124" i="15"/>
  <c r="T21123" i="15"/>
  <c r="T21122" i="15"/>
  <c r="T21121" i="15"/>
  <c r="T21120" i="15"/>
  <c r="T21119" i="15"/>
  <c r="T21118" i="15"/>
  <c r="T21117" i="15"/>
  <c r="T21116" i="15"/>
  <c r="T21115" i="15"/>
  <c r="T21114" i="15"/>
  <c r="T21113" i="15"/>
  <c r="T21112" i="15"/>
  <c r="T21111" i="15"/>
  <c r="T21110" i="15"/>
  <c r="T21109" i="15"/>
  <c r="T21108" i="15"/>
  <c r="T21107" i="15"/>
  <c r="T21106" i="15"/>
  <c r="T21105" i="15"/>
  <c r="T21104" i="15"/>
  <c r="T21103" i="15"/>
  <c r="T21102" i="15"/>
  <c r="T21101" i="15"/>
  <c r="T21100" i="15"/>
  <c r="T21099" i="15"/>
  <c r="T21098" i="15"/>
  <c r="T21097" i="15"/>
  <c r="T21096" i="15"/>
  <c r="T21095" i="15"/>
  <c r="T21094" i="15"/>
  <c r="T21093" i="15"/>
  <c r="T21092" i="15"/>
  <c r="T21091" i="15"/>
  <c r="T21090" i="15"/>
  <c r="T21089" i="15"/>
  <c r="T21088" i="15"/>
  <c r="T21087" i="15"/>
  <c r="T21086" i="15"/>
  <c r="T21085" i="15"/>
  <c r="T21084" i="15"/>
  <c r="T21083" i="15"/>
  <c r="T21082" i="15"/>
  <c r="T21081" i="15"/>
  <c r="T21080" i="15"/>
  <c r="T21079" i="15"/>
  <c r="T21078" i="15"/>
  <c r="T21077" i="15"/>
  <c r="T21076" i="15"/>
  <c r="T21075" i="15"/>
  <c r="T21074" i="15"/>
  <c r="T21073" i="15"/>
  <c r="T21072" i="15"/>
  <c r="T21071" i="15"/>
  <c r="T21070" i="15"/>
  <c r="T21069" i="15"/>
  <c r="T21068" i="15"/>
  <c r="T21067" i="15"/>
  <c r="T21066" i="15"/>
  <c r="T21065" i="15"/>
  <c r="T21064" i="15"/>
  <c r="T21063" i="15"/>
  <c r="T21062" i="15"/>
  <c r="T21061" i="15"/>
  <c r="T21060" i="15"/>
  <c r="T21059" i="15"/>
  <c r="T21058" i="15"/>
  <c r="T21057" i="15"/>
  <c r="T21056" i="15"/>
  <c r="T21055" i="15"/>
  <c r="T21054" i="15"/>
  <c r="T21053" i="15"/>
  <c r="T21052" i="15"/>
  <c r="T21051" i="15"/>
  <c r="T21050" i="15"/>
  <c r="T21049" i="15"/>
  <c r="T21048" i="15"/>
  <c r="T21047" i="15"/>
  <c r="T21046" i="15"/>
  <c r="T21045" i="15"/>
  <c r="T21044" i="15"/>
  <c r="T21043" i="15"/>
  <c r="T21042" i="15"/>
  <c r="T21041" i="15"/>
  <c r="T21040" i="15"/>
  <c r="T21039" i="15"/>
  <c r="T21038" i="15"/>
  <c r="T21037" i="15"/>
  <c r="T21036" i="15"/>
  <c r="T21035" i="15"/>
  <c r="T21034" i="15"/>
  <c r="T21033" i="15"/>
  <c r="T21032" i="15"/>
  <c r="T21031" i="15"/>
  <c r="T21030" i="15"/>
  <c r="T21029" i="15"/>
  <c r="T21028" i="15"/>
  <c r="T21027" i="15"/>
  <c r="T21026" i="15"/>
  <c r="T21025" i="15"/>
  <c r="T21024" i="15"/>
  <c r="T21023" i="15"/>
  <c r="T21022" i="15"/>
  <c r="T21021" i="15"/>
  <c r="T21020" i="15"/>
  <c r="T21019" i="15"/>
  <c r="T21018" i="15"/>
  <c r="T21017" i="15"/>
  <c r="T21016" i="15"/>
  <c r="T21015" i="15"/>
  <c r="T21014" i="15"/>
  <c r="T21013" i="15"/>
  <c r="T21012" i="15"/>
  <c r="T21011" i="15"/>
  <c r="T21010" i="15"/>
  <c r="T21009" i="15"/>
  <c r="T21008" i="15"/>
  <c r="T21007" i="15"/>
  <c r="T21006" i="15"/>
  <c r="T21005" i="15"/>
  <c r="T21004" i="15"/>
  <c r="T21003" i="15"/>
  <c r="T21002" i="15"/>
  <c r="T21001" i="15"/>
  <c r="T21000" i="15"/>
  <c r="T20999" i="15"/>
  <c r="T20998" i="15"/>
  <c r="T20997" i="15"/>
  <c r="T20996" i="15"/>
  <c r="T20995" i="15"/>
  <c r="T20994" i="15"/>
  <c r="T20993" i="15"/>
  <c r="T20992" i="15"/>
  <c r="T20991" i="15"/>
  <c r="T20990" i="15"/>
  <c r="T20989" i="15"/>
  <c r="T20988" i="15"/>
  <c r="T20987" i="15"/>
  <c r="T20986" i="15"/>
  <c r="T20985" i="15"/>
  <c r="T20984" i="15"/>
  <c r="T20983" i="15"/>
  <c r="T20982" i="15"/>
  <c r="T20981" i="15"/>
  <c r="T20980" i="15"/>
  <c r="T20979" i="15"/>
  <c r="T20978" i="15"/>
  <c r="T20977" i="15"/>
  <c r="T20976" i="15"/>
  <c r="T20975" i="15"/>
  <c r="T20974" i="15"/>
  <c r="T20973" i="15"/>
  <c r="T20972" i="15"/>
  <c r="T20971" i="15"/>
  <c r="T20970" i="15"/>
  <c r="T20969" i="15"/>
  <c r="T20968" i="15"/>
  <c r="T20967" i="15"/>
  <c r="T20966" i="15"/>
  <c r="T20965" i="15"/>
  <c r="T20964" i="15"/>
  <c r="T20963" i="15"/>
  <c r="T20962" i="15"/>
  <c r="T20961" i="15"/>
  <c r="T20960" i="15"/>
  <c r="T20959" i="15"/>
  <c r="T20958" i="15"/>
  <c r="T20957" i="15"/>
  <c r="T20956" i="15"/>
  <c r="T20955" i="15"/>
  <c r="T20954" i="15"/>
  <c r="T20953" i="15"/>
  <c r="T20952" i="15"/>
  <c r="T20951" i="15"/>
  <c r="T20950" i="15"/>
  <c r="T20949" i="15"/>
  <c r="T20948" i="15"/>
  <c r="T20947" i="15"/>
  <c r="T20946" i="15"/>
  <c r="T20945" i="15"/>
  <c r="T20944" i="15"/>
  <c r="T20943" i="15"/>
  <c r="T20942" i="15"/>
  <c r="T20941" i="15"/>
  <c r="T20940" i="15"/>
  <c r="T20939" i="15"/>
  <c r="T20938" i="15"/>
  <c r="T20937" i="15"/>
  <c r="T20936" i="15"/>
  <c r="T20935" i="15"/>
  <c r="T20934" i="15"/>
  <c r="T20933" i="15"/>
  <c r="T20932" i="15"/>
  <c r="T20931" i="15"/>
  <c r="T20930" i="15"/>
  <c r="T20929" i="15"/>
  <c r="T20928" i="15"/>
  <c r="T20927" i="15"/>
  <c r="T20926" i="15"/>
  <c r="T20925" i="15"/>
  <c r="T20924" i="15"/>
  <c r="T20923" i="15"/>
  <c r="T20922" i="15"/>
  <c r="T20921" i="15"/>
  <c r="T20920" i="15"/>
  <c r="T20919" i="15"/>
  <c r="T20918" i="15"/>
  <c r="T20917" i="15"/>
  <c r="T20916" i="15"/>
  <c r="T20915" i="15"/>
  <c r="T20914" i="15"/>
  <c r="T20913" i="15"/>
  <c r="T20912" i="15"/>
  <c r="T20911" i="15"/>
  <c r="T20910" i="15"/>
  <c r="T20909" i="15"/>
  <c r="T20908" i="15"/>
  <c r="T20907" i="15"/>
  <c r="T20906" i="15"/>
  <c r="T20905" i="15"/>
  <c r="T20904" i="15"/>
  <c r="T20903" i="15"/>
  <c r="T20902" i="15"/>
  <c r="T20901" i="15"/>
  <c r="T20900" i="15"/>
  <c r="T20899" i="15"/>
  <c r="T20898" i="15"/>
  <c r="T20897" i="15"/>
  <c r="T20896" i="15"/>
  <c r="T20895" i="15"/>
  <c r="T20894" i="15"/>
  <c r="T20893" i="15"/>
  <c r="T20892" i="15"/>
  <c r="T20891" i="15"/>
  <c r="T20890" i="15"/>
  <c r="T20889" i="15"/>
  <c r="T20888" i="15"/>
  <c r="T20887" i="15"/>
  <c r="T20886" i="15"/>
  <c r="T20885" i="15"/>
  <c r="T20884" i="15"/>
  <c r="T20883" i="15"/>
  <c r="T20882" i="15"/>
  <c r="T20881" i="15"/>
  <c r="T20880" i="15"/>
  <c r="T20879" i="15"/>
  <c r="T20878" i="15"/>
  <c r="T20877" i="15"/>
  <c r="T20876" i="15"/>
  <c r="T20875" i="15"/>
  <c r="T20874" i="15"/>
  <c r="T20873" i="15"/>
  <c r="T20872" i="15"/>
  <c r="T20871" i="15"/>
  <c r="T20870" i="15"/>
  <c r="T20869" i="15"/>
  <c r="T20868" i="15"/>
  <c r="T20867" i="15"/>
  <c r="T20866" i="15"/>
  <c r="T20865" i="15"/>
  <c r="T20864" i="15"/>
  <c r="T20863" i="15"/>
  <c r="T20862" i="15"/>
  <c r="T20861" i="15"/>
  <c r="T20860" i="15"/>
  <c r="T20859" i="15"/>
  <c r="T20858" i="15"/>
  <c r="T20857" i="15"/>
  <c r="T20856" i="15"/>
  <c r="T20855" i="15"/>
  <c r="T20854" i="15"/>
  <c r="T20853" i="15"/>
  <c r="T20852" i="15"/>
  <c r="T20851" i="15"/>
  <c r="T20850" i="15"/>
  <c r="T20849" i="15"/>
  <c r="T20848" i="15"/>
  <c r="T20847" i="15"/>
  <c r="T20846" i="15"/>
  <c r="T20845" i="15"/>
  <c r="T20844" i="15"/>
  <c r="T20843" i="15"/>
  <c r="T20842" i="15"/>
  <c r="T20841" i="15"/>
  <c r="T20840" i="15"/>
  <c r="T20839" i="15"/>
  <c r="T20838" i="15"/>
  <c r="T20837" i="15"/>
  <c r="T20836" i="15"/>
  <c r="T20835" i="15"/>
  <c r="T20834" i="15"/>
  <c r="T20833" i="15"/>
  <c r="T20832" i="15"/>
  <c r="T20831" i="15"/>
  <c r="T20830" i="15"/>
  <c r="T20829" i="15"/>
  <c r="T20828" i="15"/>
  <c r="T20827" i="15"/>
  <c r="T20826" i="15"/>
  <c r="T20825" i="15"/>
  <c r="T20824" i="15"/>
  <c r="T20823" i="15"/>
  <c r="T20822" i="15"/>
  <c r="T20821" i="15"/>
  <c r="T20820" i="15"/>
  <c r="T20819" i="15"/>
  <c r="T20818" i="15"/>
  <c r="T20817" i="15"/>
  <c r="T20816" i="15"/>
  <c r="T20815" i="15"/>
  <c r="T20814" i="15"/>
  <c r="T20813" i="15"/>
  <c r="T20812" i="15"/>
  <c r="T20811" i="15"/>
  <c r="T20810" i="15"/>
  <c r="T20809" i="15"/>
  <c r="T20808" i="15"/>
  <c r="T20807" i="15"/>
  <c r="T20806" i="15"/>
  <c r="T20805" i="15"/>
  <c r="T20804" i="15"/>
  <c r="T20803" i="15"/>
  <c r="T20802" i="15"/>
  <c r="T20801" i="15"/>
  <c r="T20800" i="15"/>
  <c r="T20799" i="15"/>
  <c r="T20798" i="15"/>
  <c r="T20797" i="15"/>
  <c r="T20796" i="15"/>
  <c r="T20795" i="15"/>
  <c r="T20794" i="15"/>
  <c r="T20793" i="15"/>
  <c r="T20792" i="15"/>
  <c r="T20791" i="15"/>
  <c r="T20790" i="15"/>
  <c r="T20789" i="15"/>
  <c r="T20788" i="15"/>
  <c r="T20787" i="15"/>
  <c r="T20786" i="15"/>
  <c r="T20785" i="15"/>
  <c r="T20784" i="15"/>
  <c r="T20783" i="15"/>
  <c r="T20782" i="15"/>
  <c r="T20781" i="15"/>
  <c r="T20780" i="15"/>
  <c r="T20779" i="15"/>
  <c r="T20778" i="15"/>
  <c r="T20777" i="15"/>
  <c r="T20776" i="15"/>
  <c r="T20775" i="15"/>
  <c r="T20774" i="15"/>
  <c r="T20773" i="15"/>
  <c r="T20772" i="15"/>
  <c r="T20771" i="15"/>
  <c r="T20770" i="15"/>
  <c r="T20769" i="15"/>
  <c r="T20768" i="15"/>
  <c r="T20767" i="15"/>
  <c r="T20766" i="15"/>
  <c r="T20765" i="15"/>
  <c r="T20764" i="15"/>
  <c r="T20763" i="15"/>
  <c r="T20762" i="15"/>
  <c r="T20761" i="15"/>
  <c r="T20760" i="15"/>
  <c r="T20759" i="15"/>
  <c r="T20758" i="15"/>
  <c r="T20757" i="15"/>
  <c r="T20756" i="15"/>
  <c r="T20755" i="15"/>
  <c r="T20754" i="15"/>
  <c r="T20753" i="15"/>
  <c r="T20752" i="15"/>
  <c r="T20751" i="15"/>
  <c r="T20750" i="15"/>
  <c r="T20749" i="15"/>
  <c r="T20748" i="15"/>
  <c r="T20747" i="15"/>
  <c r="T20746" i="15"/>
  <c r="T20745" i="15"/>
  <c r="T20744" i="15"/>
  <c r="T20743" i="15"/>
  <c r="T20742" i="15"/>
  <c r="T20741" i="15"/>
  <c r="T20740" i="15"/>
  <c r="T20739" i="15"/>
  <c r="T20738" i="15"/>
  <c r="T20737" i="15"/>
  <c r="T20736" i="15"/>
  <c r="T20735" i="15"/>
  <c r="T20734" i="15"/>
  <c r="T20733" i="15"/>
  <c r="T20732" i="15"/>
  <c r="T20731" i="15"/>
  <c r="T20730" i="15"/>
  <c r="T20729" i="15"/>
  <c r="T20728" i="15"/>
  <c r="T20727" i="15"/>
  <c r="T20726" i="15"/>
  <c r="T20725" i="15"/>
  <c r="T20724" i="15"/>
  <c r="T20723" i="15"/>
  <c r="T20722" i="15"/>
  <c r="T20721" i="15"/>
  <c r="T20720" i="15"/>
  <c r="T20719" i="15"/>
  <c r="T20718" i="15"/>
  <c r="T20717" i="15"/>
  <c r="T20716" i="15"/>
  <c r="T20715" i="15"/>
  <c r="T20714" i="15"/>
  <c r="T20713" i="15"/>
  <c r="T20712" i="15"/>
  <c r="T20711" i="15"/>
  <c r="T20710" i="15"/>
  <c r="T20709" i="15"/>
  <c r="T20708" i="15"/>
  <c r="T20707" i="15"/>
  <c r="T20706" i="15"/>
  <c r="T20705" i="15"/>
  <c r="T20704" i="15"/>
  <c r="T20703" i="15"/>
  <c r="T20702" i="15"/>
  <c r="T20701" i="15"/>
  <c r="T20700" i="15"/>
  <c r="T20699" i="15"/>
  <c r="T20698" i="15"/>
  <c r="T20697" i="15"/>
  <c r="T20696" i="15"/>
  <c r="T20695" i="15"/>
  <c r="T20694" i="15"/>
  <c r="T20693" i="15"/>
  <c r="T20692" i="15"/>
  <c r="T20691" i="15"/>
  <c r="T20690" i="15"/>
  <c r="T20689" i="15"/>
  <c r="T20688" i="15"/>
  <c r="T20687" i="15"/>
  <c r="T20686" i="15"/>
  <c r="T20685" i="15"/>
  <c r="T20684" i="15"/>
  <c r="T20683" i="15"/>
  <c r="T20682" i="15"/>
  <c r="T20681" i="15"/>
  <c r="T20680" i="15"/>
  <c r="T20679" i="15"/>
  <c r="T20678" i="15"/>
  <c r="T20677" i="15"/>
  <c r="T20676" i="15"/>
  <c r="T20675" i="15"/>
  <c r="T20674" i="15"/>
  <c r="T20673" i="15"/>
  <c r="T20672" i="15"/>
  <c r="T20671" i="15"/>
  <c r="T20670" i="15"/>
  <c r="T20669" i="15"/>
  <c r="T20668" i="15"/>
  <c r="T20667" i="15"/>
  <c r="T20666" i="15"/>
  <c r="T20665" i="15"/>
  <c r="T20664" i="15"/>
  <c r="T20663" i="15"/>
  <c r="T20662" i="15"/>
  <c r="T20661" i="15"/>
  <c r="T20660" i="15"/>
  <c r="T20659" i="15"/>
  <c r="T20658" i="15"/>
  <c r="T20657" i="15"/>
  <c r="T20656" i="15"/>
  <c r="T20655" i="15"/>
  <c r="T20654" i="15"/>
  <c r="T20653" i="15"/>
  <c r="T20652" i="15"/>
  <c r="T20651" i="15"/>
  <c r="T20650" i="15"/>
  <c r="T20649" i="15"/>
  <c r="T20648" i="15"/>
  <c r="T20647" i="15"/>
  <c r="T20646" i="15"/>
  <c r="T20645" i="15"/>
  <c r="T20644" i="15"/>
  <c r="T20643" i="15"/>
  <c r="T20642" i="15"/>
  <c r="T20641" i="15"/>
  <c r="T20640" i="15"/>
  <c r="T20639" i="15"/>
  <c r="T20638" i="15"/>
  <c r="T20637" i="15"/>
  <c r="T20636" i="15"/>
  <c r="T20635" i="15"/>
  <c r="T20634" i="15"/>
  <c r="T20633" i="15"/>
  <c r="T20632" i="15"/>
  <c r="T20631" i="15"/>
  <c r="T20630" i="15"/>
  <c r="T20629" i="15"/>
  <c r="T20628" i="15"/>
  <c r="T20627" i="15"/>
  <c r="T20626" i="15"/>
  <c r="T20625" i="15"/>
  <c r="T20624" i="15"/>
  <c r="T20623" i="15"/>
  <c r="T20622" i="15"/>
  <c r="T20621" i="15"/>
  <c r="T20620" i="15"/>
  <c r="T20619" i="15"/>
  <c r="T20618" i="15"/>
  <c r="T20617" i="15"/>
  <c r="T20616" i="15"/>
  <c r="T20615" i="15"/>
  <c r="T20614" i="15"/>
  <c r="T20613" i="15"/>
  <c r="T20612" i="15"/>
  <c r="T20611" i="15"/>
  <c r="T20610" i="15"/>
  <c r="T20609" i="15"/>
  <c r="T20608" i="15"/>
  <c r="T20607" i="15"/>
  <c r="T20606" i="15"/>
  <c r="T20605" i="15"/>
  <c r="T20604" i="15"/>
  <c r="T20603" i="15"/>
  <c r="T20602" i="15"/>
  <c r="T20601" i="15"/>
  <c r="T20600" i="15"/>
  <c r="T20599" i="15"/>
  <c r="T20598" i="15"/>
  <c r="T20597" i="15"/>
  <c r="T20596" i="15"/>
  <c r="T20595" i="15"/>
  <c r="T20594" i="15"/>
  <c r="T20593" i="15"/>
  <c r="T20592" i="15"/>
  <c r="T20591" i="15"/>
  <c r="T20590" i="15"/>
  <c r="T20589" i="15"/>
  <c r="T20588" i="15"/>
  <c r="T20587" i="15"/>
  <c r="T20586" i="15"/>
  <c r="T20585" i="15"/>
  <c r="T20584" i="15"/>
  <c r="T20583" i="15"/>
  <c r="T20582" i="15"/>
  <c r="T20581" i="15"/>
  <c r="T20580" i="15"/>
  <c r="T20579" i="15"/>
  <c r="T20578" i="15"/>
  <c r="T20577" i="15"/>
  <c r="T20576" i="15"/>
  <c r="T20575" i="15"/>
  <c r="T20574" i="15"/>
  <c r="T20573" i="15"/>
  <c r="T20572" i="15"/>
  <c r="T20571" i="15"/>
  <c r="T20570" i="15"/>
  <c r="T20569" i="15"/>
  <c r="T20568" i="15"/>
  <c r="T20567" i="15"/>
  <c r="T20566" i="15"/>
  <c r="T20565" i="15"/>
  <c r="T20564" i="15"/>
  <c r="T20563" i="15"/>
  <c r="T20562" i="15"/>
  <c r="T20561" i="15"/>
  <c r="T20560" i="15"/>
  <c r="T20559" i="15"/>
  <c r="T20558" i="15"/>
  <c r="T20557" i="15"/>
  <c r="T20556" i="15"/>
  <c r="T20555" i="15"/>
  <c r="T20554" i="15"/>
  <c r="T20553" i="15"/>
  <c r="T20552" i="15"/>
  <c r="T20551" i="15"/>
  <c r="T20550" i="15"/>
  <c r="T20549" i="15"/>
  <c r="T20548" i="15"/>
  <c r="T20547" i="15"/>
  <c r="T20546" i="15"/>
  <c r="T20545" i="15"/>
  <c r="T20544" i="15"/>
  <c r="T20543" i="15"/>
  <c r="T20542" i="15"/>
  <c r="T20541" i="15"/>
  <c r="T20540" i="15"/>
  <c r="T20539" i="15"/>
  <c r="T20538" i="15"/>
  <c r="T20537" i="15"/>
  <c r="T20536" i="15"/>
  <c r="T20535" i="15"/>
  <c r="T20534" i="15"/>
  <c r="T20533" i="15"/>
  <c r="T20532" i="15"/>
  <c r="T20531" i="15"/>
  <c r="T20530" i="15"/>
  <c r="T20529" i="15"/>
  <c r="T20528" i="15"/>
  <c r="T20527" i="15"/>
  <c r="T20526" i="15"/>
  <c r="T20525" i="15"/>
  <c r="T20524" i="15"/>
  <c r="T20523" i="15"/>
  <c r="T20522" i="15"/>
  <c r="T20521" i="15"/>
  <c r="T20520" i="15"/>
  <c r="T20519" i="15"/>
  <c r="T20518" i="15"/>
  <c r="T20517" i="15"/>
  <c r="T20516" i="15"/>
  <c r="T20515" i="15"/>
  <c r="T20514" i="15"/>
  <c r="T20513" i="15"/>
  <c r="T20512" i="15"/>
  <c r="T20511" i="15"/>
  <c r="T20510" i="15"/>
  <c r="T20509" i="15"/>
  <c r="T20508" i="15"/>
  <c r="T20507" i="15"/>
  <c r="T20506" i="15"/>
  <c r="T20505" i="15"/>
  <c r="T20504" i="15"/>
  <c r="T20503" i="15"/>
  <c r="T20502" i="15"/>
  <c r="T20501" i="15"/>
  <c r="T20500" i="15"/>
  <c r="T20499" i="15"/>
  <c r="T20498" i="15"/>
  <c r="T20497" i="15"/>
  <c r="T20496" i="15"/>
  <c r="T20495" i="15"/>
  <c r="T20494" i="15"/>
  <c r="T20493" i="15"/>
  <c r="T20492" i="15"/>
  <c r="T20491" i="15"/>
  <c r="T20490" i="15"/>
  <c r="T20489" i="15"/>
  <c r="T20488" i="15"/>
  <c r="T20487" i="15"/>
  <c r="T20486" i="15"/>
  <c r="T20485" i="15"/>
  <c r="T20484" i="15"/>
  <c r="T20483" i="15"/>
  <c r="T20482" i="15"/>
  <c r="T20481" i="15"/>
  <c r="T20480" i="15"/>
  <c r="T20479" i="15"/>
  <c r="T20478" i="15"/>
  <c r="T20477" i="15"/>
  <c r="T20476" i="15"/>
  <c r="T20475" i="15"/>
  <c r="T20474" i="15"/>
  <c r="T20473" i="15"/>
  <c r="T20472" i="15"/>
  <c r="T20471" i="15"/>
  <c r="T20470" i="15"/>
  <c r="T20469" i="15"/>
  <c r="T20468" i="15"/>
  <c r="T20467" i="15"/>
  <c r="T20466" i="15"/>
  <c r="T20465" i="15"/>
  <c r="T20464" i="15"/>
  <c r="T20463" i="15"/>
  <c r="T20462" i="15"/>
  <c r="T20461" i="15"/>
  <c r="T20460" i="15"/>
  <c r="T20459" i="15"/>
  <c r="T20458" i="15"/>
  <c r="T20457" i="15"/>
  <c r="T20456" i="15"/>
  <c r="T20455" i="15"/>
  <c r="T20454" i="15"/>
  <c r="T20453" i="15"/>
  <c r="T20452" i="15"/>
  <c r="T20451" i="15"/>
  <c r="T20450" i="15"/>
  <c r="T20449" i="15"/>
  <c r="T20448" i="15"/>
  <c r="T20447" i="15"/>
  <c r="T20446" i="15"/>
  <c r="T20445" i="15"/>
  <c r="T20444" i="15"/>
  <c r="T20443" i="15"/>
  <c r="T20442" i="15"/>
  <c r="T20441" i="15"/>
  <c r="T20440" i="15"/>
  <c r="T20439" i="15"/>
  <c r="T20438" i="15"/>
  <c r="T20437" i="15"/>
  <c r="T20436" i="15"/>
  <c r="T20435" i="15"/>
  <c r="T20434" i="15"/>
  <c r="T20433" i="15"/>
  <c r="T20432" i="15"/>
  <c r="T20431" i="15"/>
  <c r="T20430" i="15"/>
  <c r="T20429" i="15"/>
  <c r="T20428" i="15"/>
  <c r="T20427" i="15"/>
  <c r="T20426" i="15"/>
  <c r="T20425" i="15"/>
  <c r="T20424" i="15"/>
  <c r="T20423" i="15"/>
  <c r="T20422" i="15"/>
  <c r="T20421" i="15"/>
  <c r="T20420" i="15"/>
  <c r="T20419" i="15"/>
  <c r="T20418" i="15"/>
  <c r="T20417" i="15"/>
  <c r="T20416" i="15"/>
  <c r="T20415" i="15"/>
  <c r="T20414" i="15"/>
  <c r="T20413" i="15"/>
  <c r="T20412" i="15"/>
  <c r="T20411" i="15"/>
  <c r="T20410" i="15"/>
  <c r="T20409" i="15"/>
  <c r="T20408" i="15"/>
  <c r="T20407" i="15"/>
  <c r="T20406" i="15"/>
  <c r="T20405" i="15"/>
  <c r="T20404" i="15"/>
  <c r="T20403" i="15"/>
  <c r="T20402" i="15"/>
  <c r="T20401" i="15"/>
  <c r="T20400" i="15"/>
  <c r="T20399" i="15"/>
  <c r="T20398" i="15"/>
  <c r="T20397" i="15"/>
  <c r="T20396" i="15"/>
  <c r="T20395" i="15"/>
  <c r="T20394" i="15"/>
  <c r="T20393" i="15"/>
  <c r="T20392" i="15"/>
  <c r="T20391" i="15"/>
  <c r="T20390" i="15"/>
  <c r="T20389" i="15"/>
  <c r="T20388" i="15"/>
  <c r="T20387" i="15"/>
  <c r="T20386" i="15"/>
  <c r="T20385" i="15"/>
  <c r="T20384" i="15"/>
  <c r="T20383" i="15"/>
  <c r="T20382" i="15"/>
  <c r="T20381" i="15"/>
  <c r="T20380" i="15"/>
  <c r="T20379" i="15"/>
  <c r="T20378" i="15"/>
  <c r="T20377" i="15"/>
  <c r="T20376" i="15"/>
  <c r="T20375" i="15"/>
  <c r="T20374" i="15"/>
  <c r="T20373" i="15"/>
  <c r="T20372" i="15"/>
  <c r="T20371" i="15"/>
  <c r="T20370" i="15"/>
  <c r="T20369" i="15"/>
  <c r="T20368" i="15"/>
  <c r="T20367" i="15"/>
  <c r="T20366" i="15"/>
  <c r="T20365" i="15"/>
  <c r="T20364" i="15"/>
  <c r="T20363" i="15"/>
  <c r="T20362" i="15"/>
  <c r="T20361" i="15"/>
  <c r="T20360" i="15"/>
  <c r="T20359" i="15"/>
  <c r="T20358" i="15"/>
  <c r="T20357" i="15"/>
  <c r="T20356" i="15"/>
  <c r="T20355" i="15"/>
  <c r="T20354" i="15"/>
  <c r="T20353" i="15"/>
  <c r="T20352" i="15"/>
  <c r="T20351" i="15"/>
  <c r="T20350" i="15"/>
  <c r="T20349" i="15"/>
  <c r="T20348" i="15"/>
  <c r="T20347" i="15"/>
  <c r="T20346" i="15"/>
  <c r="T20345" i="15"/>
  <c r="T20344" i="15"/>
  <c r="T20343" i="15"/>
  <c r="T20342" i="15"/>
  <c r="T20341" i="15"/>
  <c r="T20340" i="15"/>
  <c r="T20339" i="15"/>
  <c r="T20338" i="15"/>
  <c r="T20337" i="15"/>
  <c r="T20336" i="15"/>
  <c r="T20335" i="15"/>
  <c r="T20334" i="15"/>
  <c r="T20333" i="15"/>
  <c r="T20332" i="15"/>
  <c r="T20331" i="15"/>
  <c r="T20330" i="15"/>
  <c r="T20329" i="15"/>
  <c r="T20328" i="15"/>
  <c r="T20327" i="15"/>
  <c r="T20326" i="15"/>
  <c r="T20325" i="15"/>
  <c r="T20324" i="15"/>
  <c r="T20323" i="15"/>
  <c r="T20322" i="15"/>
  <c r="T20321" i="15"/>
  <c r="T20320" i="15"/>
  <c r="T20319" i="15"/>
  <c r="T20318" i="15"/>
  <c r="T20317" i="15"/>
  <c r="T20316" i="15"/>
  <c r="T20315" i="15"/>
  <c r="T20314" i="15"/>
  <c r="T20313" i="15"/>
  <c r="T20312" i="15"/>
  <c r="T20311" i="15"/>
  <c r="T20310" i="15"/>
  <c r="T20309" i="15"/>
  <c r="T20308" i="15"/>
  <c r="T20307" i="15"/>
  <c r="T20306" i="15"/>
  <c r="T20305" i="15"/>
  <c r="T20304" i="15"/>
  <c r="T20303" i="15"/>
  <c r="T20302" i="15"/>
  <c r="T20301" i="15"/>
  <c r="T20300" i="15"/>
  <c r="T20299" i="15"/>
  <c r="T20298" i="15"/>
  <c r="T20297" i="15"/>
  <c r="T20296" i="15"/>
  <c r="T20295" i="15"/>
  <c r="T20294" i="15"/>
  <c r="T20293" i="15"/>
  <c r="T20292" i="15"/>
  <c r="T20291" i="15"/>
  <c r="T20290" i="15"/>
  <c r="T20289" i="15"/>
  <c r="T20288" i="15"/>
  <c r="T20287" i="15"/>
  <c r="T20286" i="15"/>
  <c r="T20285" i="15"/>
  <c r="T20284" i="15"/>
  <c r="T20283" i="15"/>
  <c r="T20282" i="15"/>
  <c r="T20281" i="15"/>
  <c r="T20280" i="15"/>
  <c r="T20279" i="15"/>
  <c r="T20278" i="15"/>
  <c r="T20277" i="15"/>
  <c r="T20276" i="15"/>
  <c r="T20275" i="15"/>
  <c r="T20274" i="15"/>
  <c r="T20273" i="15"/>
  <c r="T20272" i="15"/>
  <c r="T20271" i="15"/>
  <c r="T20270" i="15"/>
  <c r="T20269" i="15"/>
  <c r="T20268" i="15"/>
  <c r="T20267" i="15"/>
  <c r="T20266" i="15"/>
  <c r="T20265" i="15"/>
  <c r="T20264" i="15"/>
  <c r="T20263" i="15"/>
  <c r="T20262" i="15"/>
  <c r="T20261" i="15"/>
  <c r="T20260" i="15"/>
  <c r="T20259" i="15"/>
  <c r="T20258" i="15"/>
  <c r="T20257" i="15"/>
  <c r="T20256" i="15"/>
  <c r="T20255" i="15"/>
  <c r="T20254" i="15"/>
  <c r="T20253" i="15"/>
  <c r="T20252" i="15"/>
  <c r="T20251" i="15"/>
  <c r="T20250" i="15"/>
  <c r="T20249" i="15"/>
  <c r="T20248" i="15"/>
  <c r="T20247" i="15"/>
  <c r="T20246" i="15"/>
  <c r="T20245" i="15"/>
  <c r="T20244" i="15"/>
  <c r="T20243" i="15"/>
  <c r="T20242" i="15"/>
  <c r="T20241" i="15"/>
  <c r="T20240" i="15"/>
  <c r="T20239" i="15"/>
  <c r="T20238" i="15"/>
  <c r="T20237" i="15"/>
  <c r="T20236" i="15"/>
  <c r="T20235" i="15"/>
  <c r="T20234" i="15"/>
  <c r="T20233" i="15"/>
  <c r="T20232" i="15"/>
  <c r="T20231" i="15"/>
  <c r="T20230" i="15"/>
  <c r="T20229" i="15"/>
  <c r="T20228" i="15"/>
  <c r="T20227" i="15"/>
  <c r="T20226" i="15"/>
  <c r="T20225" i="15"/>
  <c r="T20224" i="15"/>
  <c r="T20223" i="15"/>
  <c r="T20222" i="15"/>
  <c r="T20221" i="15"/>
  <c r="T20220" i="15"/>
  <c r="T20219" i="15"/>
  <c r="T20218" i="15"/>
  <c r="T20217" i="15"/>
  <c r="T20216" i="15"/>
  <c r="T20215" i="15"/>
  <c r="T20214" i="15"/>
  <c r="T20213" i="15"/>
  <c r="T20212" i="15"/>
  <c r="T20211" i="15"/>
  <c r="T20210" i="15"/>
  <c r="T20209" i="15"/>
  <c r="T20208" i="15"/>
  <c r="T20207" i="15"/>
  <c r="T20206" i="15"/>
  <c r="T20205" i="15"/>
  <c r="T20204" i="15"/>
  <c r="T20203" i="15"/>
  <c r="T20202" i="15"/>
  <c r="T20201" i="15"/>
  <c r="T20200" i="15"/>
  <c r="T20199" i="15"/>
  <c r="T20198" i="15"/>
  <c r="T20197" i="15"/>
  <c r="T20196" i="15"/>
  <c r="T20195" i="15"/>
  <c r="T20194" i="15"/>
  <c r="T20193" i="15"/>
  <c r="T20192" i="15"/>
  <c r="T20191" i="15"/>
  <c r="T20190" i="15"/>
  <c r="T20189" i="15"/>
  <c r="T20188" i="15"/>
  <c r="T20187" i="15"/>
  <c r="T20186" i="15"/>
  <c r="T20185" i="15"/>
  <c r="T20184" i="15"/>
  <c r="T20183" i="15"/>
  <c r="T20182" i="15"/>
  <c r="T20181" i="15"/>
  <c r="T20180" i="15"/>
  <c r="T20179" i="15"/>
  <c r="T20178" i="15"/>
  <c r="T20177" i="15"/>
  <c r="T20176" i="15"/>
  <c r="T20175" i="15"/>
  <c r="T20174" i="15"/>
  <c r="T20173" i="15"/>
  <c r="T20172" i="15"/>
  <c r="T20171" i="15"/>
  <c r="T20170" i="15"/>
  <c r="T20169" i="15"/>
  <c r="T20168" i="15"/>
  <c r="T20167" i="15"/>
  <c r="T20166" i="15"/>
  <c r="T20165" i="15"/>
  <c r="T20164" i="15"/>
  <c r="T20163" i="15"/>
  <c r="T20162" i="15"/>
  <c r="T20161" i="15"/>
  <c r="T20160" i="15"/>
  <c r="T20159" i="15"/>
  <c r="T20158" i="15"/>
  <c r="T20157" i="15"/>
  <c r="T20156" i="15"/>
  <c r="T20155" i="15"/>
  <c r="T20154" i="15"/>
  <c r="T20153" i="15"/>
  <c r="T20152" i="15"/>
  <c r="T20151" i="15"/>
  <c r="T20150" i="15"/>
  <c r="T20149" i="15"/>
  <c r="T20148" i="15"/>
  <c r="T20147" i="15"/>
  <c r="T20146" i="15"/>
  <c r="T20145" i="15"/>
  <c r="T20144" i="15"/>
  <c r="T20143" i="15"/>
  <c r="T20142" i="15"/>
  <c r="T20141" i="15"/>
  <c r="T20140" i="15"/>
  <c r="T20139" i="15"/>
  <c r="T20138" i="15"/>
  <c r="T20137" i="15"/>
  <c r="T20136" i="15"/>
  <c r="T20135" i="15"/>
  <c r="T20134" i="15"/>
  <c r="T20133" i="15"/>
  <c r="T20132" i="15"/>
  <c r="T20131" i="15"/>
  <c r="T20130" i="15"/>
  <c r="T20129" i="15"/>
  <c r="T20128" i="15"/>
  <c r="T20127" i="15"/>
  <c r="T20126" i="15"/>
  <c r="T20125" i="15"/>
  <c r="T20124" i="15"/>
  <c r="T20123" i="15"/>
  <c r="T20122" i="15"/>
  <c r="T20121" i="15"/>
  <c r="T20120" i="15"/>
  <c r="T20119" i="15"/>
  <c r="T20118" i="15"/>
  <c r="T20117" i="15"/>
  <c r="T20116" i="15"/>
  <c r="T20115" i="15"/>
  <c r="T20114" i="15"/>
  <c r="T20113" i="15"/>
  <c r="T20112" i="15"/>
  <c r="T20111" i="15"/>
  <c r="T20110" i="15"/>
  <c r="T20109" i="15"/>
  <c r="T20108" i="15"/>
  <c r="T20107" i="15"/>
  <c r="T20106" i="15"/>
  <c r="T20105" i="15"/>
  <c r="T20104" i="15"/>
  <c r="T20103" i="15"/>
  <c r="T20102" i="15"/>
  <c r="T20101" i="15"/>
  <c r="T20100" i="15"/>
  <c r="T20099" i="15"/>
  <c r="T20098" i="15"/>
  <c r="T20097" i="15"/>
  <c r="T20096" i="15"/>
  <c r="T20095" i="15"/>
  <c r="T20094" i="15"/>
  <c r="T20093" i="15"/>
  <c r="T20092" i="15"/>
  <c r="T20091" i="15"/>
  <c r="T20090" i="15"/>
  <c r="T20089" i="15"/>
  <c r="T20088" i="15"/>
  <c r="T20087" i="15"/>
  <c r="T20086" i="15"/>
  <c r="T20085" i="15"/>
  <c r="T20084" i="15"/>
  <c r="T20083" i="15"/>
  <c r="T20082" i="15"/>
  <c r="T20081" i="15"/>
  <c r="T20080" i="15"/>
  <c r="T20079" i="15"/>
  <c r="T20078" i="15"/>
  <c r="T20077" i="15"/>
  <c r="T20076" i="15"/>
  <c r="T20075" i="15"/>
  <c r="T20074" i="15"/>
  <c r="T20073" i="15"/>
  <c r="T20072" i="15"/>
  <c r="T20071" i="15"/>
  <c r="T20070" i="15"/>
  <c r="T20069" i="15"/>
  <c r="T20068" i="15"/>
  <c r="T20067" i="15"/>
  <c r="T20066" i="15"/>
  <c r="T20065" i="15"/>
  <c r="T20064" i="15"/>
  <c r="T20063" i="15"/>
  <c r="T20062" i="15"/>
  <c r="T20061" i="15"/>
  <c r="T20060" i="15"/>
  <c r="T20059" i="15"/>
  <c r="T20058" i="15"/>
  <c r="T20057" i="15"/>
  <c r="T20056" i="15"/>
  <c r="T20055" i="15"/>
  <c r="T20054" i="15"/>
  <c r="T20053" i="15"/>
  <c r="T20052" i="15"/>
  <c r="T20051" i="15"/>
  <c r="T20050" i="15"/>
  <c r="T20049" i="15"/>
  <c r="T20048" i="15"/>
  <c r="T20047" i="15"/>
  <c r="T20046" i="15"/>
  <c r="T20045" i="15"/>
  <c r="T20044" i="15"/>
  <c r="T20043" i="15"/>
  <c r="T20042" i="15"/>
  <c r="T20041" i="15"/>
  <c r="T20040" i="15"/>
  <c r="T20039" i="15"/>
  <c r="T20038" i="15"/>
  <c r="T20037" i="15"/>
  <c r="T20036" i="15"/>
  <c r="T20035" i="15"/>
  <c r="T20034" i="15"/>
  <c r="T20033" i="15"/>
  <c r="T20032" i="15"/>
  <c r="T20031" i="15"/>
  <c r="T20030" i="15"/>
  <c r="T20029" i="15"/>
  <c r="T20028" i="15"/>
  <c r="T20027" i="15"/>
  <c r="T20026" i="15"/>
  <c r="T20025" i="15"/>
  <c r="T20024" i="15"/>
  <c r="T20023" i="15"/>
  <c r="T20022" i="15"/>
  <c r="T20021" i="15"/>
  <c r="T20020" i="15"/>
  <c r="T20019" i="15"/>
  <c r="T20018" i="15"/>
  <c r="T20017" i="15"/>
  <c r="T20016" i="15"/>
  <c r="T20015" i="15"/>
  <c r="T20014" i="15"/>
  <c r="T20013" i="15"/>
  <c r="T20012" i="15"/>
  <c r="T20011" i="15"/>
  <c r="T20010" i="15"/>
  <c r="T20009" i="15"/>
  <c r="T20008" i="15"/>
  <c r="T20007" i="15"/>
  <c r="T20006" i="15"/>
  <c r="T20005" i="15"/>
  <c r="T20004" i="15"/>
  <c r="T20003" i="15"/>
  <c r="T20002" i="15"/>
  <c r="T20001" i="15"/>
  <c r="T20000" i="15"/>
  <c r="T19999" i="15"/>
  <c r="T19998" i="15"/>
  <c r="T19997" i="15"/>
  <c r="T19996" i="15"/>
  <c r="T19995" i="15"/>
  <c r="T19994" i="15"/>
  <c r="T19993" i="15"/>
  <c r="T19992" i="15"/>
  <c r="T19991" i="15"/>
  <c r="T19990" i="15"/>
  <c r="T19989" i="15"/>
  <c r="T19988" i="15"/>
  <c r="T19987" i="15"/>
  <c r="T19986" i="15"/>
  <c r="T19985" i="15"/>
  <c r="T19984" i="15"/>
  <c r="T19983" i="15"/>
  <c r="T19982" i="15"/>
  <c r="T19981" i="15"/>
  <c r="T19980" i="15"/>
  <c r="T19979" i="15"/>
  <c r="T19978" i="15"/>
  <c r="T19977" i="15"/>
  <c r="T19976" i="15"/>
  <c r="T19975" i="15"/>
  <c r="T19974" i="15"/>
  <c r="T19973" i="15"/>
  <c r="T19972" i="15"/>
  <c r="T19971" i="15"/>
  <c r="T19970" i="15"/>
  <c r="T19969" i="15"/>
  <c r="T19968" i="15"/>
  <c r="T19967" i="15"/>
  <c r="T19966" i="15"/>
  <c r="T19965" i="15"/>
  <c r="T19964" i="15"/>
  <c r="T19963" i="15"/>
  <c r="T19962" i="15"/>
  <c r="T19961" i="15"/>
  <c r="T19960" i="15"/>
  <c r="T19959" i="15"/>
  <c r="T19958" i="15"/>
  <c r="T19957" i="15"/>
  <c r="T19956" i="15"/>
  <c r="T19955" i="15"/>
  <c r="T19954" i="15"/>
  <c r="T19953" i="15"/>
  <c r="T19952" i="15"/>
  <c r="T19951" i="15"/>
  <c r="T19950" i="15"/>
  <c r="T19949" i="15"/>
  <c r="T19948" i="15"/>
  <c r="T19947" i="15"/>
  <c r="T19946" i="15"/>
  <c r="T19945" i="15"/>
  <c r="T19944" i="15"/>
  <c r="T19943" i="15"/>
  <c r="T19942" i="15"/>
  <c r="T19941" i="15"/>
  <c r="T19940" i="15"/>
  <c r="T19939" i="15"/>
  <c r="T19938" i="15"/>
  <c r="T19937" i="15"/>
  <c r="T19936" i="15"/>
  <c r="T19935" i="15"/>
  <c r="T19934" i="15"/>
  <c r="T19933" i="15"/>
  <c r="T19932" i="15"/>
  <c r="T19931" i="15"/>
  <c r="T19930" i="15"/>
  <c r="T19929" i="15"/>
  <c r="T19928" i="15"/>
  <c r="T19927" i="15"/>
  <c r="T19926" i="15"/>
  <c r="T19925" i="15"/>
  <c r="T19924" i="15"/>
  <c r="T19923" i="15"/>
  <c r="T19922" i="15"/>
  <c r="T19921" i="15"/>
  <c r="T19920" i="15"/>
  <c r="T19919" i="15"/>
  <c r="T19918" i="15"/>
  <c r="T19917" i="15"/>
  <c r="T19916" i="15"/>
  <c r="T19915" i="15"/>
  <c r="T19914" i="15"/>
  <c r="T19913" i="15"/>
  <c r="T19912" i="15"/>
  <c r="T19911" i="15"/>
  <c r="T19910" i="15"/>
  <c r="T19909" i="15"/>
  <c r="T19908" i="15"/>
  <c r="T19907" i="15"/>
  <c r="T19906" i="15"/>
  <c r="T19905" i="15"/>
  <c r="T19904" i="15"/>
  <c r="T19903" i="15"/>
  <c r="T19902" i="15"/>
  <c r="T19901" i="15"/>
  <c r="T19900" i="15"/>
  <c r="T19899" i="15"/>
  <c r="T19898" i="15"/>
  <c r="T19897" i="15"/>
  <c r="T19896" i="15"/>
  <c r="T19895" i="15"/>
  <c r="T19894" i="15"/>
  <c r="T19893" i="15"/>
  <c r="T19892" i="15"/>
  <c r="T19891" i="15"/>
  <c r="T19890" i="15"/>
  <c r="T19889" i="15"/>
  <c r="T19888" i="15"/>
  <c r="T19887" i="15"/>
  <c r="T19886" i="15"/>
  <c r="T19885" i="15"/>
  <c r="T19884" i="15"/>
  <c r="T19883" i="15"/>
  <c r="T19882" i="15"/>
  <c r="T19881" i="15"/>
  <c r="T19880" i="15"/>
  <c r="T19879" i="15"/>
  <c r="T19878" i="15"/>
  <c r="T19877" i="15"/>
  <c r="T19876" i="15"/>
  <c r="T19875" i="15"/>
  <c r="T19874" i="15"/>
  <c r="T19873" i="15"/>
  <c r="T19872" i="15"/>
  <c r="T19871" i="15"/>
  <c r="T19870" i="15"/>
  <c r="T19869" i="15"/>
  <c r="T19868" i="15"/>
  <c r="T19867" i="15"/>
  <c r="T19866" i="15"/>
  <c r="T19865" i="15"/>
  <c r="T19864" i="15"/>
  <c r="T19863" i="15"/>
  <c r="T19862" i="15"/>
  <c r="T19861" i="15"/>
  <c r="T19860" i="15"/>
  <c r="T19859" i="15"/>
  <c r="T19858" i="15"/>
  <c r="T19857" i="15"/>
  <c r="T19856" i="15"/>
  <c r="T19855" i="15"/>
  <c r="T19854" i="15"/>
  <c r="T19853" i="15"/>
  <c r="T19852" i="15"/>
  <c r="T19851" i="15"/>
  <c r="T19850" i="15"/>
  <c r="T19849" i="15"/>
  <c r="T19848" i="15"/>
  <c r="T19847" i="15"/>
  <c r="T19846" i="15"/>
  <c r="T19845" i="15"/>
  <c r="T19844" i="15"/>
  <c r="T19843" i="15"/>
  <c r="T19842" i="15"/>
  <c r="T19841" i="15"/>
  <c r="T19840" i="15"/>
  <c r="T19839" i="15"/>
  <c r="T19838" i="15"/>
  <c r="T19837" i="15"/>
  <c r="T19836" i="15"/>
  <c r="T19835" i="15"/>
  <c r="T19834" i="15"/>
  <c r="T19833" i="15"/>
  <c r="T19832" i="15"/>
  <c r="T19831" i="15"/>
  <c r="T19830" i="15"/>
  <c r="T19829" i="15"/>
  <c r="T19828" i="15"/>
  <c r="T19827" i="15"/>
  <c r="T19826" i="15"/>
  <c r="T19825" i="15"/>
  <c r="T19824" i="15"/>
  <c r="T19823" i="15"/>
  <c r="T19822" i="15"/>
  <c r="T19821" i="15"/>
  <c r="T19820" i="15"/>
  <c r="T19819" i="15"/>
  <c r="T19818" i="15"/>
  <c r="T19817" i="15"/>
  <c r="T19816" i="15"/>
  <c r="T19815" i="15"/>
  <c r="T19814" i="15"/>
  <c r="T19813" i="15"/>
  <c r="T19812" i="15"/>
  <c r="T19811" i="15"/>
  <c r="T19810" i="15"/>
  <c r="T19809" i="15"/>
  <c r="T19808" i="15"/>
  <c r="T19807" i="15"/>
  <c r="T19806" i="15"/>
  <c r="T19805" i="15"/>
  <c r="T19804" i="15"/>
  <c r="T19803" i="15"/>
  <c r="T19802" i="15"/>
  <c r="T19801" i="15"/>
  <c r="T19800" i="15"/>
  <c r="T19799" i="15"/>
  <c r="T19798" i="15"/>
  <c r="T19797" i="15"/>
  <c r="T19796" i="15"/>
  <c r="T19795" i="15"/>
  <c r="T19794" i="15"/>
  <c r="T19793" i="15"/>
  <c r="T19792" i="15"/>
  <c r="T19791" i="15"/>
  <c r="T19790" i="15"/>
  <c r="T19789" i="15"/>
  <c r="T19788" i="15"/>
  <c r="T19787" i="15"/>
  <c r="T19786" i="15"/>
  <c r="T19785" i="15"/>
  <c r="T19784" i="15"/>
  <c r="T19783" i="15"/>
  <c r="T19782" i="15"/>
  <c r="T19781" i="15"/>
  <c r="T19780" i="15"/>
  <c r="T19779" i="15"/>
  <c r="T19778" i="15"/>
  <c r="T19777" i="15"/>
  <c r="T19776" i="15"/>
  <c r="T19775" i="15"/>
  <c r="T19774" i="15"/>
  <c r="T19773" i="15"/>
  <c r="T19772" i="15"/>
  <c r="T19771" i="15"/>
  <c r="T19770" i="15"/>
  <c r="T19769" i="15"/>
  <c r="T19768" i="15"/>
  <c r="T19767" i="15"/>
  <c r="T19766" i="15"/>
  <c r="T19765" i="15"/>
  <c r="T19764" i="15"/>
  <c r="T19763" i="15"/>
  <c r="T19762" i="15"/>
  <c r="T19761" i="15"/>
  <c r="T19760" i="15"/>
  <c r="T19759" i="15"/>
  <c r="T19758" i="15"/>
  <c r="T19757" i="15"/>
  <c r="T19756" i="15"/>
  <c r="T19755" i="15"/>
  <c r="T19754" i="15"/>
  <c r="T19753" i="15"/>
  <c r="T19752" i="15"/>
  <c r="T19751" i="15"/>
  <c r="T19750" i="15"/>
  <c r="T19749" i="15"/>
  <c r="T19748" i="15"/>
  <c r="T19747" i="15"/>
  <c r="T19746" i="15"/>
  <c r="T19745" i="15"/>
  <c r="T19744" i="15"/>
  <c r="T19743" i="15"/>
  <c r="T19742" i="15"/>
  <c r="T19741" i="15"/>
  <c r="T19740" i="15"/>
  <c r="T19739" i="15"/>
  <c r="T19738" i="15"/>
  <c r="T19737" i="15"/>
  <c r="T19736" i="15"/>
  <c r="T19735" i="15"/>
  <c r="T19734" i="15"/>
  <c r="T19733" i="15"/>
  <c r="T19732" i="15"/>
  <c r="T19731" i="15"/>
  <c r="T19730" i="15"/>
  <c r="T19729" i="15"/>
  <c r="T19728" i="15"/>
  <c r="T19727" i="15"/>
  <c r="T19726" i="15"/>
  <c r="T19725" i="15"/>
  <c r="T19724" i="15"/>
  <c r="T19723" i="15"/>
  <c r="T19722" i="15"/>
  <c r="T19721" i="15"/>
  <c r="T19720" i="15"/>
  <c r="T19719" i="15"/>
  <c r="T19718" i="15"/>
  <c r="T19717" i="15"/>
  <c r="T19716" i="15"/>
  <c r="T19715" i="15"/>
  <c r="T19714" i="15"/>
  <c r="T19713" i="15"/>
  <c r="T19712" i="15"/>
  <c r="T19711" i="15"/>
  <c r="T19710" i="15"/>
  <c r="T19709" i="15"/>
  <c r="T19708" i="15"/>
  <c r="T19707" i="15"/>
  <c r="T19706" i="15"/>
  <c r="T19705" i="15"/>
  <c r="T19704" i="15"/>
  <c r="T19703" i="15"/>
  <c r="T19702" i="15"/>
  <c r="T19701" i="15"/>
  <c r="T19700" i="15"/>
  <c r="T19699" i="15"/>
  <c r="T19698" i="15"/>
  <c r="T19697" i="15"/>
  <c r="T19696" i="15"/>
  <c r="T19695" i="15"/>
  <c r="T19694" i="15"/>
  <c r="T19693" i="15"/>
  <c r="T19692" i="15"/>
  <c r="T19691" i="15"/>
  <c r="T19690" i="15"/>
  <c r="T19689" i="15"/>
  <c r="T19688" i="15"/>
  <c r="T19687" i="15"/>
  <c r="T19686" i="15"/>
  <c r="T19685" i="15"/>
  <c r="T19684" i="15"/>
  <c r="T19683" i="15"/>
  <c r="T19682" i="15"/>
  <c r="T19681" i="15"/>
  <c r="T19680" i="15"/>
  <c r="T19679" i="15"/>
  <c r="T19678" i="15"/>
  <c r="T19677" i="15"/>
  <c r="T19676" i="15"/>
  <c r="T19675" i="15"/>
  <c r="T19674" i="15"/>
  <c r="T19673" i="15"/>
  <c r="T19672" i="15"/>
  <c r="T19671" i="15"/>
  <c r="T19670" i="15"/>
  <c r="T19669" i="15"/>
  <c r="T19668" i="15"/>
  <c r="T19667" i="15"/>
  <c r="T19666" i="15"/>
  <c r="T19665" i="15"/>
  <c r="T19664" i="15"/>
  <c r="T19663" i="15"/>
  <c r="T19662" i="15"/>
  <c r="T19661" i="15"/>
  <c r="T19660" i="15"/>
  <c r="T19659" i="15"/>
  <c r="T19658" i="15"/>
  <c r="T19657" i="15"/>
  <c r="T19656" i="15"/>
  <c r="T19655" i="15"/>
  <c r="T19654" i="15"/>
  <c r="T19653" i="15"/>
  <c r="T19652" i="15"/>
  <c r="T19651" i="15"/>
  <c r="T19650" i="15"/>
  <c r="T19649" i="15"/>
  <c r="T19648" i="15"/>
  <c r="T19647" i="15"/>
  <c r="T19646" i="15"/>
  <c r="T19645" i="15"/>
  <c r="T19644" i="15"/>
  <c r="T19643" i="15"/>
  <c r="T19642" i="15"/>
  <c r="T19641" i="15"/>
  <c r="T19640" i="15"/>
  <c r="T19639" i="15"/>
  <c r="T19638" i="15"/>
  <c r="T19637" i="15"/>
  <c r="T19636" i="15"/>
  <c r="T19635" i="15"/>
  <c r="T19634" i="15"/>
  <c r="T19633" i="15"/>
  <c r="T19632" i="15"/>
  <c r="T19631" i="15"/>
  <c r="T19630" i="15"/>
  <c r="T19629" i="15"/>
  <c r="T19628" i="15"/>
  <c r="T19627" i="15"/>
  <c r="T19626" i="15"/>
  <c r="T19625" i="15"/>
  <c r="T19624" i="15"/>
  <c r="T19623" i="15"/>
  <c r="T19622" i="15"/>
  <c r="T19621" i="15"/>
  <c r="T19620" i="15"/>
  <c r="T19619" i="15"/>
  <c r="T19618" i="15"/>
  <c r="T19617" i="15"/>
  <c r="T19616" i="15"/>
  <c r="T19615" i="15"/>
  <c r="T19614" i="15"/>
  <c r="T19613" i="15"/>
  <c r="T19612" i="15"/>
  <c r="T19611" i="15"/>
  <c r="T19610" i="15"/>
  <c r="T19609" i="15"/>
  <c r="T19608" i="15"/>
  <c r="T19607" i="15"/>
  <c r="T19606" i="15"/>
  <c r="T19605" i="15"/>
  <c r="T19604" i="15"/>
  <c r="T19603" i="15"/>
  <c r="T19602" i="15"/>
  <c r="T19601" i="15"/>
  <c r="T19600" i="15"/>
  <c r="T19599" i="15"/>
  <c r="T19598" i="15"/>
  <c r="T19597" i="15"/>
  <c r="T19596" i="15"/>
  <c r="T19595" i="15"/>
  <c r="T19594" i="15"/>
  <c r="T19593" i="15"/>
  <c r="T19592" i="15"/>
  <c r="T19591" i="15"/>
  <c r="T19590" i="15"/>
  <c r="T19589" i="15"/>
  <c r="T19588" i="15"/>
  <c r="T19587" i="15"/>
  <c r="T19586" i="15"/>
  <c r="T19585" i="15"/>
  <c r="T19584" i="15"/>
  <c r="T19583" i="15"/>
  <c r="T19582" i="15"/>
  <c r="T19581" i="15"/>
  <c r="T19580" i="15"/>
  <c r="T19579" i="15"/>
  <c r="T19578" i="15"/>
  <c r="T19577" i="15"/>
  <c r="T19576" i="15"/>
  <c r="T19575" i="15"/>
  <c r="T19574" i="15"/>
  <c r="T19573" i="15"/>
  <c r="T19572" i="15"/>
  <c r="T19571" i="15"/>
  <c r="T19570" i="15"/>
  <c r="T19569" i="15"/>
  <c r="T19568" i="15"/>
  <c r="T19567" i="15"/>
  <c r="T19566" i="15"/>
  <c r="T19565" i="15"/>
  <c r="T19564" i="15"/>
  <c r="T19563" i="15"/>
  <c r="T19562" i="15"/>
  <c r="T19561" i="15"/>
  <c r="T19560" i="15"/>
  <c r="T19559" i="15"/>
  <c r="T19558" i="15"/>
  <c r="T19557" i="15"/>
  <c r="T19556" i="15"/>
  <c r="T19555" i="15"/>
  <c r="T19554" i="15"/>
  <c r="T19553" i="15"/>
  <c r="T19552" i="15"/>
  <c r="T19551" i="15"/>
  <c r="T19550" i="15"/>
  <c r="T19549" i="15"/>
  <c r="T19548" i="15"/>
  <c r="T19547" i="15"/>
  <c r="T19546" i="15"/>
  <c r="T19545" i="15"/>
  <c r="T19544" i="15"/>
  <c r="T19543" i="15"/>
  <c r="T19542" i="15"/>
  <c r="T19541" i="15"/>
  <c r="T19540" i="15"/>
  <c r="T19539" i="15"/>
  <c r="T19538" i="15"/>
  <c r="T19537" i="15"/>
  <c r="T19536" i="15"/>
  <c r="T19535" i="15"/>
  <c r="T19534" i="15"/>
  <c r="T19533" i="15"/>
  <c r="T19532" i="15"/>
  <c r="T19531" i="15"/>
  <c r="T19530" i="15"/>
  <c r="T19529" i="15"/>
  <c r="T19528" i="15"/>
  <c r="T19527" i="15"/>
  <c r="T19526" i="15"/>
  <c r="T19525" i="15"/>
  <c r="T19524" i="15"/>
  <c r="T19523" i="15"/>
  <c r="T19522" i="15"/>
  <c r="T19521" i="15"/>
  <c r="T19520" i="15"/>
  <c r="T19519" i="15"/>
  <c r="T19518" i="15"/>
  <c r="T19517" i="15"/>
  <c r="T19516" i="15"/>
  <c r="T19515" i="15"/>
  <c r="T19514" i="15"/>
  <c r="T19513" i="15"/>
  <c r="T19512" i="15"/>
  <c r="T19511" i="15"/>
  <c r="T19510" i="15"/>
  <c r="T19509" i="15"/>
  <c r="T19508" i="15"/>
  <c r="T19507" i="15"/>
  <c r="T19506" i="15"/>
  <c r="T19505" i="15"/>
  <c r="T19504" i="15"/>
  <c r="T19503" i="15"/>
  <c r="T19502" i="15"/>
  <c r="T19501" i="15"/>
  <c r="T19500" i="15"/>
  <c r="T19499" i="15"/>
  <c r="T19498" i="15"/>
  <c r="T19497" i="15"/>
  <c r="T19496" i="15"/>
  <c r="T19495" i="15"/>
  <c r="T19494" i="15"/>
  <c r="T19493" i="15"/>
  <c r="T19492" i="15"/>
  <c r="T19491" i="15"/>
  <c r="T19490" i="15"/>
  <c r="T19489" i="15"/>
  <c r="T19488" i="15"/>
  <c r="T19487" i="15"/>
  <c r="T19486" i="15"/>
  <c r="T19485" i="15"/>
  <c r="T19484" i="15"/>
  <c r="T19483" i="15"/>
  <c r="T19482" i="15"/>
  <c r="T19481" i="15"/>
  <c r="T19480" i="15"/>
  <c r="T19479" i="15"/>
  <c r="T19478" i="15"/>
  <c r="T19477" i="15"/>
  <c r="T19476" i="15"/>
  <c r="T19475" i="15"/>
  <c r="T19474" i="15"/>
  <c r="T19473" i="15"/>
  <c r="T19472" i="15"/>
  <c r="T19471" i="15"/>
  <c r="T19470" i="15"/>
  <c r="T19469" i="15"/>
  <c r="T19468" i="15"/>
  <c r="T19467" i="15"/>
  <c r="T19466" i="15"/>
  <c r="T19465" i="15"/>
  <c r="T19464" i="15"/>
  <c r="T19463" i="15"/>
  <c r="T19462" i="15"/>
  <c r="T19461" i="15"/>
  <c r="T19460" i="15"/>
  <c r="T19459" i="15"/>
  <c r="T19458" i="15"/>
  <c r="T19457" i="15"/>
  <c r="T19456" i="15"/>
  <c r="T19455" i="15"/>
  <c r="T19454" i="15"/>
  <c r="T19453" i="15"/>
  <c r="T19452" i="15"/>
  <c r="T19451" i="15"/>
  <c r="T19450" i="15"/>
  <c r="T19449" i="15"/>
  <c r="T19448" i="15"/>
  <c r="T19447" i="15"/>
  <c r="T19446" i="15"/>
  <c r="T19445" i="15"/>
  <c r="T19444" i="15"/>
  <c r="T19443" i="15"/>
  <c r="T19442" i="15"/>
  <c r="T19441" i="15"/>
  <c r="T19440" i="15"/>
  <c r="T19439" i="15"/>
  <c r="T19438" i="15"/>
  <c r="T19437" i="15"/>
  <c r="T19436" i="15"/>
  <c r="T19435" i="15"/>
  <c r="T19434" i="15"/>
  <c r="T19433" i="15"/>
  <c r="T19432" i="15"/>
  <c r="T19431" i="15"/>
  <c r="T19430" i="15"/>
  <c r="T19429" i="15"/>
  <c r="T19428" i="15"/>
  <c r="T19427" i="15"/>
  <c r="T19426" i="15"/>
  <c r="T19425" i="15"/>
  <c r="T19424" i="15"/>
  <c r="T19423" i="15"/>
  <c r="T19422" i="15"/>
  <c r="T19421" i="15"/>
  <c r="T19420" i="15"/>
  <c r="T19419" i="15"/>
  <c r="T19418" i="15"/>
  <c r="T19417" i="15"/>
  <c r="T19416" i="15"/>
  <c r="T19415" i="15"/>
  <c r="T19414" i="15"/>
  <c r="T19413" i="15"/>
  <c r="T19412" i="15"/>
  <c r="T19411" i="15"/>
  <c r="T19410" i="15"/>
  <c r="T19409" i="15"/>
  <c r="T19408" i="15"/>
  <c r="T19407" i="15"/>
  <c r="T19406" i="15"/>
  <c r="T19405" i="15"/>
  <c r="T19404" i="15"/>
  <c r="T19403" i="15"/>
  <c r="T19402" i="15"/>
  <c r="T19401" i="15"/>
  <c r="T19400" i="15"/>
  <c r="T19399" i="15"/>
  <c r="T19398" i="15"/>
  <c r="T19397" i="15"/>
  <c r="T19396" i="15"/>
  <c r="T19395" i="15"/>
  <c r="T19394" i="15"/>
  <c r="T19393" i="15"/>
  <c r="T19392" i="15"/>
  <c r="T19391" i="15"/>
  <c r="T19390" i="15"/>
  <c r="T19389" i="15"/>
  <c r="T19388" i="15"/>
  <c r="T19387" i="15"/>
  <c r="T19386" i="15"/>
  <c r="T19385" i="15"/>
  <c r="T19384" i="15"/>
  <c r="T19383" i="15"/>
  <c r="T19382" i="15"/>
  <c r="T19381" i="15"/>
  <c r="T19380" i="15"/>
  <c r="T19379" i="15"/>
  <c r="T19378" i="15"/>
  <c r="T19377" i="15"/>
  <c r="T19376" i="15"/>
  <c r="T19375" i="15"/>
  <c r="T19374" i="15"/>
  <c r="T19373" i="15"/>
  <c r="T19372" i="15"/>
  <c r="T19371" i="15"/>
  <c r="T19370" i="15"/>
  <c r="T19369" i="15"/>
  <c r="T19368" i="15"/>
  <c r="T19367" i="15"/>
  <c r="T19366" i="15"/>
  <c r="T19365" i="15"/>
  <c r="T19364" i="15"/>
  <c r="T19363" i="15"/>
  <c r="T19362" i="15"/>
  <c r="T19361" i="15"/>
  <c r="T19360" i="15"/>
  <c r="T19359" i="15"/>
  <c r="T19358" i="15"/>
  <c r="T19357" i="15"/>
  <c r="T19356" i="15"/>
  <c r="T19355" i="15"/>
  <c r="T19354" i="15"/>
  <c r="T19353" i="15"/>
  <c r="T19352" i="15"/>
  <c r="T19351" i="15"/>
  <c r="T19350" i="15"/>
  <c r="T19349" i="15"/>
  <c r="T19348" i="15"/>
  <c r="T19347" i="15"/>
  <c r="T19346" i="15"/>
  <c r="T19345" i="15"/>
  <c r="T19344" i="15"/>
  <c r="T19343" i="15"/>
  <c r="T19342" i="15"/>
  <c r="T19341" i="15"/>
  <c r="T19340" i="15"/>
  <c r="T19339" i="15"/>
  <c r="T19338" i="15"/>
  <c r="T19337" i="15"/>
  <c r="T19336" i="15"/>
  <c r="T19335" i="15"/>
  <c r="T19334" i="15"/>
  <c r="T19333" i="15"/>
  <c r="T19332" i="15"/>
  <c r="T19331" i="15"/>
  <c r="T19330" i="15"/>
  <c r="T19329" i="15"/>
  <c r="T19328" i="15"/>
  <c r="T19327" i="15"/>
  <c r="T19326" i="15"/>
  <c r="T19325" i="15"/>
  <c r="T19324" i="15"/>
  <c r="T19323" i="15"/>
  <c r="T19322" i="15"/>
  <c r="T19321" i="15"/>
  <c r="T19320" i="15"/>
  <c r="T19319" i="15"/>
  <c r="T19318" i="15"/>
  <c r="T19317" i="15"/>
  <c r="T19316" i="15"/>
  <c r="T19315" i="15"/>
  <c r="T19314" i="15"/>
  <c r="T19313" i="15"/>
  <c r="T19312" i="15"/>
  <c r="T19311" i="15"/>
  <c r="T19310" i="15"/>
  <c r="T19309" i="15"/>
  <c r="T19308" i="15"/>
  <c r="T19307" i="15"/>
  <c r="T19306" i="15"/>
  <c r="T19305" i="15"/>
  <c r="T19304" i="15"/>
  <c r="T19303" i="15"/>
  <c r="T19302" i="15"/>
  <c r="T19301" i="15"/>
  <c r="T19300" i="15"/>
  <c r="T19299" i="15"/>
  <c r="T19298" i="15"/>
  <c r="T19297" i="15"/>
  <c r="T19296" i="15"/>
  <c r="T19295" i="15"/>
  <c r="T19294" i="15"/>
  <c r="T19293" i="15"/>
  <c r="T19292" i="15"/>
  <c r="T19291" i="15"/>
  <c r="T19290" i="15"/>
  <c r="T19289" i="15"/>
  <c r="T19288" i="15"/>
  <c r="T19287" i="15"/>
  <c r="T19286" i="15"/>
  <c r="T19285" i="15"/>
  <c r="T19284" i="15"/>
  <c r="T19283" i="15"/>
  <c r="T19282" i="15"/>
  <c r="T19281" i="15"/>
  <c r="T19280" i="15"/>
  <c r="T19279" i="15"/>
  <c r="T19278" i="15"/>
  <c r="T19277" i="15"/>
  <c r="T19276" i="15"/>
  <c r="T19275" i="15"/>
  <c r="T19274" i="15"/>
  <c r="T19273" i="15"/>
  <c r="T19272" i="15"/>
  <c r="T19271" i="15"/>
  <c r="T19270" i="15"/>
  <c r="T19269" i="15"/>
  <c r="T19268" i="15"/>
  <c r="T19267" i="15"/>
  <c r="T19266" i="15"/>
  <c r="T19265" i="15"/>
  <c r="T19264" i="15"/>
  <c r="T19263" i="15"/>
  <c r="T19262" i="15"/>
  <c r="T19261" i="15"/>
  <c r="T19260" i="15"/>
  <c r="T19259" i="15"/>
  <c r="T19258" i="15"/>
  <c r="T19257" i="15"/>
  <c r="T19256" i="15"/>
  <c r="T19255" i="15"/>
  <c r="T19254" i="15"/>
  <c r="T19253" i="15"/>
  <c r="T19252" i="15"/>
  <c r="T19251" i="15"/>
  <c r="T19250" i="15"/>
  <c r="T19249" i="15"/>
  <c r="T19248" i="15"/>
  <c r="T19247" i="15"/>
  <c r="T19246" i="15"/>
  <c r="T19245" i="15"/>
  <c r="T19244" i="15"/>
  <c r="T19243" i="15"/>
  <c r="T19242" i="15"/>
  <c r="T19241" i="15"/>
  <c r="T19240" i="15"/>
  <c r="T19239" i="15"/>
  <c r="T19238" i="15"/>
  <c r="T19237" i="15"/>
  <c r="T19236" i="15"/>
  <c r="T19235" i="15"/>
  <c r="T19234" i="15"/>
  <c r="T19233" i="15"/>
  <c r="T19232" i="15"/>
  <c r="T19231" i="15"/>
  <c r="T19230" i="15"/>
  <c r="T19229" i="15"/>
  <c r="T19228" i="15"/>
  <c r="T19227" i="15"/>
  <c r="T19226" i="15"/>
  <c r="T19225" i="15"/>
  <c r="T19224" i="15"/>
  <c r="T19223" i="15"/>
  <c r="T19222" i="15"/>
  <c r="T19221" i="15"/>
  <c r="T19220" i="15"/>
  <c r="T19219" i="15"/>
  <c r="T19218" i="15"/>
  <c r="T19217" i="15"/>
  <c r="T19216" i="15"/>
  <c r="T19215" i="15"/>
  <c r="T19214" i="15"/>
  <c r="T19213" i="15"/>
  <c r="T19212" i="15"/>
  <c r="T19211" i="15"/>
  <c r="T19210" i="15"/>
  <c r="T19209" i="15"/>
  <c r="T19208" i="15"/>
  <c r="T19207" i="15"/>
  <c r="T19206" i="15"/>
  <c r="T19205" i="15"/>
  <c r="T19204" i="15"/>
  <c r="T19203" i="15"/>
  <c r="T19202" i="15"/>
  <c r="T19201" i="15"/>
  <c r="T19200" i="15"/>
  <c r="T19199" i="15"/>
  <c r="T19198" i="15"/>
  <c r="T19197" i="15"/>
  <c r="T19196" i="15"/>
  <c r="T19195" i="15"/>
  <c r="T19194" i="15"/>
  <c r="T19193" i="15"/>
  <c r="T19192" i="15"/>
  <c r="T19191" i="15"/>
  <c r="T19190" i="15"/>
  <c r="T19189" i="15"/>
  <c r="T19188" i="15"/>
  <c r="T19187" i="15"/>
  <c r="T19186" i="15"/>
  <c r="T19185" i="15"/>
  <c r="T19184" i="15"/>
  <c r="T19183" i="15"/>
  <c r="T19182" i="15"/>
  <c r="T19181" i="15"/>
  <c r="T19180" i="15"/>
  <c r="T19179" i="15"/>
  <c r="T19178" i="15"/>
  <c r="T19177" i="15"/>
  <c r="T19176" i="15"/>
  <c r="T19175" i="15"/>
  <c r="T19174" i="15"/>
  <c r="T19173" i="15"/>
  <c r="T19172" i="15"/>
  <c r="T19171" i="15"/>
  <c r="T19170" i="15"/>
  <c r="T19169" i="15"/>
  <c r="T19168" i="15"/>
  <c r="T19167" i="15"/>
  <c r="T19166" i="15"/>
  <c r="T19165" i="15"/>
  <c r="T19164" i="15"/>
  <c r="T19163" i="15"/>
  <c r="T19162" i="15"/>
  <c r="T19161" i="15"/>
  <c r="T19160" i="15"/>
  <c r="T19159" i="15"/>
  <c r="T19158" i="15"/>
  <c r="T19157" i="15"/>
  <c r="T19156" i="15"/>
  <c r="T19155" i="15"/>
  <c r="T19154" i="15"/>
  <c r="T19153" i="15"/>
  <c r="T19152" i="15"/>
  <c r="T19151" i="15"/>
  <c r="T19150" i="15"/>
  <c r="T19149" i="15"/>
  <c r="T19148" i="15"/>
  <c r="T19147" i="15"/>
  <c r="T19146" i="15"/>
  <c r="T19145" i="15"/>
  <c r="T19144" i="15"/>
  <c r="T19143" i="15"/>
  <c r="T19142" i="15"/>
  <c r="T19141" i="15"/>
  <c r="T19140" i="15"/>
  <c r="T19139" i="15"/>
  <c r="T19138" i="15"/>
  <c r="T19137" i="15"/>
  <c r="T19136" i="15"/>
  <c r="T19135" i="15"/>
  <c r="T19134" i="15"/>
  <c r="T19133" i="15"/>
  <c r="T19132" i="15"/>
  <c r="T19131" i="15"/>
  <c r="T19130" i="15"/>
  <c r="T19129" i="15"/>
  <c r="T19128" i="15"/>
  <c r="T19127" i="15"/>
  <c r="T19126" i="15"/>
  <c r="T19125" i="15"/>
  <c r="T19124" i="15"/>
  <c r="T19123" i="15"/>
  <c r="T19122" i="15"/>
  <c r="T19121" i="15"/>
  <c r="T19120" i="15"/>
  <c r="T19119" i="15"/>
  <c r="T19118" i="15"/>
  <c r="T19117" i="15"/>
  <c r="T19116" i="15"/>
  <c r="T19115" i="15"/>
  <c r="T19114" i="15"/>
  <c r="T19113" i="15"/>
  <c r="T19112" i="15"/>
  <c r="T19111" i="15"/>
  <c r="T19110" i="15"/>
  <c r="T19109" i="15"/>
  <c r="T19108" i="15"/>
  <c r="T19107" i="15"/>
  <c r="T19106" i="15"/>
  <c r="T19105" i="15"/>
  <c r="T19104" i="15"/>
  <c r="T19103" i="15"/>
  <c r="T19102" i="15"/>
  <c r="T19101" i="15"/>
  <c r="T19100" i="15"/>
  <c r="T19099" i="15"/>
  <c r="T19098" i="15"/>
  <c r="T19097" i="15"/>
  <c r="T19096" i="15"/>
  <c r="T19095" i="15"/>
  <c r="T19094" i="15"/>
  <c r="T19093" i="15"/>
  <c r="T19092" i="15"/>
  <c r="T19091" i="15"/>
  <c r="T19090" i="15"/>
  <c r="T19089" i="15"/>
  <c r="T19088" i="15"/>
  <c r="T19087" i="15"/>
  <c r="T19086" i="15"/>
  <c r="T19085" i="15"/>
  <c r="T19084" i="15"/>
  <c r="T19083" i="15"/>
  <c r="T19082" i="15"/>
  <c r="T19081" i="15"/>
  <c r="T19080" i="15"/>
  <c r="T19079" i="15"/>
  <c r="T19078" i="15"/>
  <c r="T19077" i="15"/>
  <c r="T19076" i="15"/>
  <c r="T19075" i="15"/>
  <c r="T19074" i="15"/>
  <c r="T19073" i="15"/>
  <c r="T19072" i="15"/>
  <c r="T19071" i="15"/>
  <c r="T19070" i="15"/>
  <c r="T19069" i="15"/>
  <c r="T19068" i="15"/>
  <c r="T19067" i="15"/>
  <c r="T19066" i="15"/>
  <c r="T19065" i="15"/>
  <c r="T19064" i="15"/>
  <c r="T19063" i="15"/>
  <c r="T19062" i="15"/>
  <c r="T19061" i="15"/>
  <c r="T19060" i="15"/>
  <c r="T19059" i="15"/>
  <c r="T19058" i="15"/>
  <c r="T19057" i="15"/>
  <c r="T19056" i="15"/>
  <c r="T19055" i="15"/>
  <c r="T19054" i="15"/>
  <c r="T19053" i="15"/>
  <c r="T19052" i="15"/>
  <c r="T19051" i="15"/>
  <c r="T19050" i="15"/>
  <c r="T19049" i="15"/>
  <c r="T19048" i="15"/>
  <c r="T19047" i="15"/>
  <c r="T19046" i="15"/>
  <c r="T19045" i="15"/>
  <c r="T19044" i="15"/>
  <c r="T19043" i="15"/>
  <c r="T19042" i="15"/>
  <c r="T19041" i="15"/>
  <c r="T19040" i="15"/>
  <c r="T19039" i="15"/>
  <c r="T19038" i="15"/>
  <c r="T19037" i="15"/>
  <c r="T19036" i="15"/>
  <c r="T19035" i="15"/>
  <c r="T19034" i="15"/>
  <c r="T19033" i="15"/>
  <c r="T19032" i="15"/>
  <c r="T19031" i="15"/>
  <c r="T19030" i="15"/>
  <c r="T19029" i="15"/>
  <c r="T19028" i="15"/>
  <c r="T19027" i="15"/>
  <c r="T19026" i="15"/>
  <c r="T19025" i="15"/>
  <c r="T19024" i="15"/>
  <c r="T19023" i="15"/>
  <c r="T19022" i="15"/>
  <c r="T19021" i="15"/>
  <c r="T19020" i="15"/>
  <c r="T19019" i="15"/>
  <c r="T19018" i="15"/>
  <c r="T19017" i="15"/>
  <c r="T19016" i="15"/>
  <c r="T19015" i="15"/>
  <c r="T19014" i="15"/>
  <c r="T19013" i="15"/>
  <c r="T19012" i="15"/>
  <c r="T19011" i="15"/>
  <c r="T19010" i="15"/>
  <c r="T19009" i="15"/>
  <c r="T19008" i="15"/>
  <c r="T19007" i="15"/>
  <c r="T19006" i="15"/>
  <c r="T19005" i="15"/>
  <c r="T19004" i="15"/>
  <c r="T19003" i="15"/>
  <c r="T19002" i="15"/>
  <c r="T19001" i="15"/>
  <c r="T19000" i="15"/>
  <c r="T18999" i="15"/>
  <c r="T18998" i="15"/>
  <c r="T18997" i="15"/>
  <c r="T18996" i="15"/>
  <c r="T18995" i="15"/>
  <c r="T18994" i="15"/>
  <c r="T18993" i="15"/>
  <c r="T18992" i="15"/>
  <c r="T18991" i="15"/>
  <c r="T18990" i="15"/>
  <c r="T18989" i="15"/>
  <c r="T18988" i="15"/>
  <c r="T18987" i="15"/>
  <c r="T18986" i="15"/>
  <c r="T18985" i="15"/>
  <c r="T18984" i="15"/>
  <c r="T18983" i="15"/>
  <c r="T18982" i="15"/>
  <c r="T18981" i="15"/>
  <c r="T18980" i="15"/>
  <c r="T18979" i="15"/>
  <c r="T18978" i="15"/>
  <c r="T18977" i="15"/>
  <c r="T18976" i="15"/>
  <c r="T18975" i="15"/>
  <c r="T18974" i="15"/>
  <c r="T18973" i="15"/>
  <c r="T18972" i="15"/>
  <c r="T18971" i="15"/>
  <c r="T18970" i="15"/>
  <c r="T18969" i="15"/>
  <c r="T18968" i="15"/>
  <c r="T18967" i="15"/>
  <c r="T18966" i="15"/>
  <c r="T18965" i="15"/>
  <c r="T18964" i="15"/>
  <c r="T18963" i="15"/>
  <c r="T18962" i="15"/>
  <c r="T18961" i="15"/>
  <c r="T18960" i="15"/>
  <c r="T18959" i="15"/>
  <c r="T18958" i="15"/>
  <c r="T18957" i="15"/>
  <c r="T18956" i="15"/>
  <c r="T18955" i="15"/>
  <c r="T18954" i="15"/>
  <c r="T18953" i="15"/>
  <c r="T18952" i="15"/>
  <c r="T18951" i="15"/>
  <c r="T18950" i="15"/>
  <c r="T18949" i="15"/>
  <c r="T18948" i="15"/>
  <c r="T18947" i="15"/>
  <c r="T18946" i="15"/>
  <c r="T18945" i="15"/>
  <c r="T18944" i="15"/>
  <c r="T18943" i="15"/>
  <c r="T18942" i="15"/>
  <c r="T18941" i="15"/>
  <c r="T18940" i="15"/>
  <c r="T18939" i="15"/>
  <c r="T18938" i="15"/>
  <c r="T18937" i="15"/>
  <c r="T18936" i="15"/>
  <c r="T18935" i="15"/>
  <c r="T18934" i="15"/>
  <c r="T18933" i="15"/>
  <c r="T18932" i="15"/>
  <c r="T18931" i="15"/>
  <c r="T18930" i="15"/>
  <c r="T18929" i="15"/>
  <c r="T18928" i="15"/>
  <c r="T18927" i="15"/>
  <c r="T18926" i="15"/>
  <c r="T18925" i="15"/>
  <c r="T18924" i="15"/>
  <c r="T18923" i="15"/>
  <c r="T18922" i="15"/>
  <c r="T18921" i="15"/>
  <c r="T18920" i="15"/>
  <c r="T18919" i="15"/>
  <c r="T18918" i="15"/>
  <c r="T18917" i="15"/>
  <c r="T18916" i="15"/>
  <c r="T18915" i="15"/>
  <c r="T18914" i="15"/>
  <c r="T18913" i="15"/>
  <c r="T18912" i="15"/>
  <c r="T18911" i="15"/>
  <c r="T18910" i="15"/>
  <c r="T18909" i="15"/>
  <c r="T18908" i="15"/>
  <c r="T18907" i="15"/>
  <c r="T18906" i="15"/>
  <c r="T18905" i="15"/>
  <c r="T18904" i="15"/>
  <c r="T18903" i="15"/>
  <c r="T18902" i="15"/>
  <c r="T18901" i="15"/>
  <c r="T18900" i="15"/>
  <c r="T18899" i="15"/>
  <c r="T18898" i="15"/>
  <c r="T18897" i="15"/>
  <c r="T18896" i="15"/>
  <c r="T18895" i="15"/>
  <c r="T18894" i="15"/>
  <c r="T18893" i="15"/>
  <c r="T18892" i="15"/>
  <c r="T18891" i="15"/>
  <c r="T18890" i="15"/>
  <c r="T18889" i="15"/>
  <c r="T18888" i="15"/>
  <c r="T18887" i="15"/>
  <c r="T18886" i="15"/>
  <c r="T18885" i="15"/>
  <c r="T18884" i="15"/>
  <c r="T18883" i="15"/>
  <c r="T18882" i="15"/>
  <c r="T18881" i="15"/>
  <c r="T18880" i="15"/>
  <c r="T18879" i="15"/>
  <c r="T18878" i="15"/>
  <c r="T18877" i="15"/>
  <c r="T18876" i="15"/>
  <c r="T18875" i="15"/>
  <c r="T18874" i="15"/>
  <c r="T18873" i="15"/>
  <c r="T18872" i="15"/>
  <c r="T18871" i="15"/>
  <c r="T18870" i="15"/>
  <c r="T18869" i="15"/>
  <c r="T18868" i="15"/>
  <c r="T18867" i="15"/>
  <c r="T18866" i="15"/>
  <c r="T18865" i="15"/>
  <c r="T18864" i="15"/>
  <c r="T18863" i="15"/>
  <c r="T18862" i="15"/>
  <c r="T18861" i="15"/>
  <c r="T18860" i="15"/>
  <c r="T18859" i="15"/>
  <c r="T18858" i="15"/>
  <c r="T18857" i="15"/>
  <c r="T18856" i="15"/>
  <c r="T18855" i="15"/>
  <c r="T18854" i="15"/>
  <c r="T18853" i="15"/>
  <c r="T18852" i="15"/>
  <c r="T18851" i="15"/>
  <c r="T18850" i="15"/>
  <c r="T18849" i="15"/>
  <c r="T18848" i="15"/>
  <c r="T18847" i="15"/>
  <c r="T18846" i="15"/>
  <c r="T18845" i="15"/>
  <c r="T18844" i="15"/>
  <c r="T18843" i="15"/>
  <c r="T18842" i="15"/>
  <c r="T18841" i="15"/>
  <c r="T18840" i="15"/>
  <c r="T18839" i="15"/>
  <c r="T18838" i="15"/>
  <c r="T18837" i="15"/>
  <c r="T18836" i="15"/>
  <c r="T18835" i="15"/>
  <c r="T18834" i="15"/>
  <c r="T18833" i="15"/>
  <c r="T18832" i="15"/>
  <c r="T18831" i="15"/>
  <c r="T18830" i="15"/>
  <c r="T18829" i="15"/>
  <c r="T18828" i="15"/>
  <c r="T18827" i="15"/>
  <c r="T18826" i="15"/>
  <c r="T18825" i="15"/>
  <c r="T18824" i="15"/>
  <c r="T18823" i="15"/>
  <c r="T18822" i="15"/>
  <c r="T18821" i="15"/>
  <c r="T18820" i="15"/>
  <c r="T18819" i="15"/>
  <c r="T18818" i="15"/>
  <c r="T18817" i="15"/>
  <c r="T18816" i="15"/>
  <c r="T18815" i="15"/>
  <c r="T18814" i="15"/>
  <c r="T18813" i="15"/>
  <c r="T18812" i="15"/>
  <c r="T18811" i="15"/>
  <c r="T18810" i="15"/>
  <c r="T18809" i="15"/>
  <c r="T18808" i="15"/>
  <c r="T18807" i="15"/>
  <c r="T18806" i="15"/>
  <c r="T18805" i="15"/>
  <c r="T18804" i="15"/>
  <c r="T18803" i="15"/>
  <c r="T18802" i="15"/>
  <c r="T18801" i="15"/>
  <c r="T18800" i="15"/>
  <c r="T18799" i="15"/>
  <c r="T18798" i="15"/>
  <c r="T18797" i="15"/>
  <c r="T18796" i="15"/>
  <c r="T18795" i="15"/>
  <c r="T18794" i="15"/>
  <c r="T18793" i="15"/>
  <c r="T18792" i="15"/>
  <c r="T18791" i="15"/>
  <c r="T18790" i="15"/>
  <c r="T18789" i="15"/>
  <c r="T18788" i="15"/>
  <c r="T18787" i="15"/>
  <c r="T18786" i="15"/>
  <c r="T18785" i="15"/>
  <c r="T18784" i="15"/>
  <c r="T18783" i="15"/>
  <c r="T18782" i="15"/>
  <c r="T18781" i="15"/>
  <c r="T18780" i="15"/>
  <c r="T18779" i="15"/>
  <c r="T18778" i="15"/>
  <c r="T18777" i="15"/>
  <c r="T18776" i="15"/>
  <c r="T18775" i="15"/>
  <c r="T18774" i="15"/>
  <c r="T18773" i="15"/>
  <c r="T18772" i="15"/>
  <c r="T18771" i="15"/>
  <c r="T18770" i="15"/>
  <c r="T18769" i="15"/>
  <c r="T18768" i="15"/>
  <c r="T18767" i="15"/>
  <c r="T18766" i="15"/>
  <c r="T18765" i="15"/>
  <c r="T18764" i="15"/>
  <c r="T18763" i="15"/>
  <c r="T18762" i="15"/>
  <c r="T18761" i="15"/>
  <c r="T18760" i="15"/>
  <c r="T18759" i="15"/>
  <c r="T18758" i="15"/>
  <c r="T18757" i="15"/>
  <c r="T18756" i="15"/>
  <c r="T18755" i="15"/>
  <c r="T18754" i="15"/>
  <c r="T18753" i="15"/>
  <c r="T18752" i="15"/>
  <c r="T18751" i="15"/>
  <c r="T18750" i="15"/>
  <c r="T18749" i="15"/>
  <c r="T18748" i="15"/>
  <c r="T18747" i="15"/>
  <c r="T18746" i="15"/>
  <c r="T18745" i="15"/>
  <c r="T18744" i="15"/>
  <c r="T18743" i="15"/>
  <c r="T18742" i="15"/>
  <c r="T18741" i="15"/>
  <c r="T18740" i="15"/>
  <c r="T18739" i="15"/>
  <c r="T18738" i="15"/>
  <c r="T18737" i="15"/>
  <c r="T18736" i="15"/>
  <c r="T18735" i="15"/>
  <c r="T18734" i="15"/>
  <c r="T18733" i="15"/>
  <c r="T18732" i="15"/>
  <c r="T18731" i="15"/>
  <c r="T18730" i="15"/>
  <c r="T18729" i="15"/>
  <c r="T18728" i="15"/>
  <c r="T18727" i="15"/>
  <c r="T18726" i="15"/>
  <c r="T18725" i="15"/>
  <c r="T18724" i="15"/>
  <c r="T18723" i="15"/>
  <c r="T18722" i="15"/>
  <c r="T18721" i="15"/>
  <c r="T18720" i="15"/>
  <c r="T18719" i="15"/>
  <c r="T18718" i="15"/>
  <c r="T18717" i="15"/>
  <c r="T18716" i="15"/>
  <c r="T18715" i="15"/>
  <c r="T18714" i="15"/>
  <c r="T18713" i="15"/>
  <c r="T18712" i="15"/>
  <c r="T18711" i="15"/>
  <c r="T18710" i="15"/>
  <c r="T18709" i="15"/>
  <c r="T18708" i="15"/>
  <c r="T18707" i="15"/>
  <c r="T18706" i="15"/>
  <c r="T18705" i="15"/>
  <c r="T18704" i="15"/>
  <c r="T18703" i="15"/>
  <c r="T18702" i="15"/>
  <c r="T18701" i="15"/>
  <c r="T18700" i="15"/>
  <c r="T18699" i="15"/>
  <c r="T18698" i="15"/>
  <c r="T18697" i="15"/>
  <c r="T18696" i="15"/>
  <c r="T18695" i="15"/>
  <c r="T18694" i="15"/>
  <c r="T18693" i="15"/>
  <c r="T18692" i="15"/>
  <c r="T18691" i="15"/>
  <c r="T18690" i="15"/>
  <c r="T18689" i="15"/>
  <c r="T18688" i="15"/>
  <c r="T18687" i="15"/>
  <c r="T18686" i="15"/>
  <c r="T18685" i="15"/>
  <c r="T18684" i="15"/>
  <c r="T18683" i="15"/>
  <c r="T18682" i="15"/>
  <c r="T18681" i="15"/>
  <c r="T18680" i="15"/>
  <c r="T18679" i="15"/>
  <c r="T18678" i="15"/>
  <c r="T18677" i="15"/>
  <c r="T18676" i="15"/>
  <c r="T18675" i="15"/>
  <c r="T18674" i="15"/>
  <c r="T18673" i="15"/>
  <c r="T18672" i="15"/>
  <c r="T18671" i="15"/>
  <c r="T18670" i="15"/>
  <c r="T18669" i="15"/>
  <c r="T18668" i="15"/>
  <c r="T18667" i="15"/>
  <c r="T18666" i="15"/>
  <c r="T18665" i="15"/>
  <c r="T18664" i="15"/>
  <c r="T18663" i="15"/>
  <c r="T18662" i="15"/>
  <c r="T18661" i="15"/>
  <c r="T18660" i="15"/>
  <c r="T18659" i="15"/>
  <c r="T18658" i="15"/>
  <c r="T18657" i="15"/>
  <c r="T18656" i="15"/>
  <c r="T18655" i="15"/>
  <c r="T18654" i="15"/>
  <c r="T18653" i="15"/>
  <c r="T18652" i="15"/>
  <c r="T18651" i="15"/>
  <c r="T18650" i="15"/>
  <c r="T18649" i="15"/>
  <c r="T18648" i="15"/>
  <c r="T18647" i="15"/>
  <c r="T18646" i="15"/>
  <c r="T18645" i="15"/>
  <c r="T18644" i="15"/>
  <c r="T18643" i="15"/>
  <c r="T18642" i="15"/>
  <c r="T18641" i="15"/>
  <c r="T18640" i="15"/>
  <c r="T18639" i="15"/>
  <c r="T18638" i="15"/>
  <c r="T18637" i="15"/>
  <c r="T18636" i="15"/>
  <c r="T18635" i="15"/>
  <c r="T18634" i="15"/>
  <c r="T18633" i="15"/>
  <c r="T18632" i="15"/>
  <c r="T18631" i="15"/>
  <c r="T18630" i="15"/>
  <c r="T18629" i="15"/>
  <c r="T18628" i="15"/>
  <c r="T18627" i="15"/>
  <c r="T18626" i="15"/>
  <c r="T18625" i="15"/>
  <c r="T18624" i="15"/>
  <c r="T18623" i="15"/>
  <c r="T18622" i="15"/>
  <c r="T18621" i="15"/>
  <c r="T18620" i="15"/>
  <c r="T18619" i="15"/>
  <c r="T18618" i="15"/>
  <c r="T18617" i="15"/>
  <c r="T18616" i="15"/>
  <c r="T18615" i="15"/>
  <c r="T18614" i="15"/>
  <c r="T18613" i="15"/>
  <c r="T18612" i="15"/>
  <c r="T18611" i="15"/>
  <c r="T18610" i="15"/>
  <c r="T18609" i="15"/>
  <c r="T18608" i="15"/>
  <c r="T18607" i="15"/>
  <c r="T18606" i="15"/>
  <c r="T18605" i="15"/>
  <c r="T18604" i="15"/>
  <c r="T18603" i="15"/>
  <c r="T18602" i="15"/>
  <c r="T18601" i="15"/>
  <c r="T18600" i="15"/>
  <c r="T18599" i="15"/>
  <c r="T18598" i="15"/>
  <c r="T18597" i="15"/>
  <c r="T18596" i="15"/>
  <c r="T18595" i="15"/>
  <c r="T18594" i="15"/>
  <c r="T18593" i="15"/>
  <c r="T18592" i="15"/>
  <c r="T18591" i="15"/>
  <c r="T18590" i="15"/>
  <c r="T18589" i="15"/>
  <c r="T18588" i="15"/>
  <c r="T18587" i="15"/>
  <c r="T18586" i="15"/>
  <c r="T18585" i="15"/>
  <c r="T18584" i="15"/>
  <c r="T18583" i="15"/>
  <c r="T18582" i="15"/>
  <c r="T18581" i="15"/>
  <c r="T18580" i="15"/>
  <c r="T18579" i="15"/>
  <c r="T18578" i="15"/>
  <c r="T18577" i="15"/>
  <c r="T18576" i="15"/>
  <c r="T18575" i="15"/>
  <c r="T18574" i="15"/>
  <c r="T18573" i="15"/>
  <c r="T18572" i="15"/>
  <c r="T18571" i="15"/>
  <c r="T18570" i="15"/>
  <c r="T18569" i="15"/>
  <c r="T18568" i="15"/>
  <c r="T18567" i="15"/>
  <c r="T18566" i="15"/>
  <c r="T18565" i="15"/>
  <c r="T18564" i="15"/>
  <c r="T18563" i="15"/>
  <c r="T18562" i="15"/>
  <c r="T18561" i="15"/>
  <c r="T18560" i="15"/>
  <c r="T18559" i="15"/>
  <c r="T18558" i="15"/>
  <c r="T18557" i="15"/>
  <c r="T18556" i="15"/>
  <c r="T18555" i="15"/>
  <c r="T18554" i="15"/>
  <c r="T18553" i="15"/>
  <c r="T18552" i="15"/>
  <c r="T18551" i="15"/>
  <c r="T18550" i="15"/>
  <c r="T18549" i="15"/>
  <c r="T18548" i="15"/>
  <c r="T18547" i="15"/>
  <c r="T18546" i="15"/>
  <c r="T18545" i="15"/>
  <c r="T18544" i="15"/>
  <c r="T18543" i="15"/>
  <c r="T18542" i="15"/>
  <c r="T18541" i="15"/>
  <c r="T18540" i="15"/>
  <c r="T18539" i="15"/>
  <c r="T18538" i="15"/>
  <c r="T18537" i="15"/>
  <c r="T18536" i="15"/>
  <c r="T18535" i="15"/>
  <c r="T18534" i="15"/>
  <c r="T18533" i="15"/>
  <c r="T18532" i="15"/>
  <c r="T18531" i="15"/>
  <c r="T18530" i="15"/>
  <c r="T18529" i="15"/>
  <c r="T18528" i="15"/>
  <c r="T18527" i="15"/>
  <c r="T18526" i="15"/>
  <c r="T18525" i="15"/>
  <c r="T18524" i="15"/>
  <c r="T18523" i="15"/>
  <c r="T18522" i="15"/>
  <c r="T18521" i="15"/>
  <c r="T18520" i="15"/>
  <c r="T18519" i="15"/>
  <c r="T18518" i="15"/>
  <c r="T18517" i="15"/>
  <c r="T18516" i="15"/>
  <c r="T18515" i="15"/>
  <c r="T18514" i="15"/>
  <c r="T18513" i="15"/>
  <c r="T18512" i="15"/>
  <c r="T18511" i="15"/>
  <c r="T18510" i="15"/>
  <c r="T18509" i="15"/>
  <c r="T18508" i="15"/>
  <c r="T18507" i="15"/>
  <c r="T18506" i="15"/>
  <c r="T18505" i="15"/>
  <c r="T18504" i="15"/>
  <c r="T18503" i="15"/>
  <c r="T18502" i="15"/>
  <c r="T18501" i="15"/>
  <c r="T18500" i="15"/>
  <c r="T18499" i="15"/>
  <c r="T18498" i="15"/>
  <c r="T18497" i="15"/>
  <c r="T18496" i="15"/>
  <c r="T18495" i="15"/>
  <c r="T18494" i="15"/>
  <c r="T18493" i="15"/>
  <c r="T18492" i="15"/>
  <c r="T18491" i="15"/>
  <c r="T18490" i="15"/>
  <c r="T18489" i="15"/>
  <c r="T18488" i="15"/>
  <c r="T18487" i="15"/>
  <c r="T18486" i="15"/>
  <c r="T18485" i="15"/>
  <c r="T18484" i="15"/>
  <c r="T18483" i="15"/>
  <c r="T18482" i="15"/>
  <c r="T18481" i="15"/>
  <c r="T18480" i="15"/>
  <c r="T18479" i="15"/>
  <c r="T18478" i="15"/>
  <c r="T18477" i="15"/>
  <c r="T18476" i="15"/>
  <c r="T18475" i="15"/>
  <c r="T18474" i="15"/>
  <c r="T18473" i="15"/>
  <c r="T18472" i="15"/>
  <c r="T18471" i="15"/>
  <c r="T18470" i="15"/>
  <c r="T18469" i="15"/>
  <c r="T18468" i="15"/>
  <c r="T18467" i="15"/>
  <c r="T18466" i="15"/>
  <c r="T18465" i="15"/>
  <c r="T18464" i="15"/>
  <c r="T18463" i="15"/>
  <c r="T18462" i="15"/>
  <c r="T18461" i="15"/>
  <c r="T18460" i="15"/>
  <c r="T18459" i="15"/>
  <c r="T18458" i="15"/>
  <c r="T18457" i="15"/>
  <c r="T18456" i="15"/>
  <c r="T18455" i="15"/>
  <c r="T18454" i="15"/>
  <c r="T18453" i="15"/>
  <c r="T18452" i="15"/>
  <c r="T18451" i="15"/>
  <c r="T18450" i="15"/>
  <c r="T18449" i="15"/>
  <c r="T18448" i="15"/>
  <c r="T18447" i="15"/>
  <c r="T18446" i="15"/>
  <c r="T18445" i="15"/>
  <c r="T18444" i="15"/>
  <c r="T18443" i="15"/>
  <c r="T18442" i="15"/>
  <c r="T18441" i="15"/>
  <c r="T18440" i="15"/>
  <c r="T18439" i="15"/>
  <c r="T18438" i="15"/>
  <c r="T18437" i="15"/>
  <c r="T18436" i="15"/>
  <c r="T18435" i="15"/>
  <c r="T18434" i="15"/>
  <c r="T18433" i="15"/>
  <c r="T18432" i="15"/>
  <c r="T18431" i="15"/>
  <c r="T18430" i="15"/>
  <c r="T18429" i="15"/>
  <c r="T18428" i="15"/>
  <c r="T18427" i="15"/>
  <c r="T18426" i="15"/>
  <c r="T18425" i="15"/>
  <c r="T18424" i="15"/>
  <c r="T18423" i="15"/>
  <c r="T18422" i="15"/>
  <c r="T18421" i="15"/>
  <c r="T18420" i="15"/>
  <c r="T18419" i="15"/>
  <c r="T18418" i="15"/>
  <c r="T18417" i="15"/>
  <c r="T18416" i="15"/>
  <c r="T18415" i="15"/>
  <c r="T18414" i="15"/>
  <c r="T18413" i="15"/>
  <c r="T18412" i="15"/>
  <c r="T18411" i="15"/>
  <c r="T18410" i="15"/>
  <c r="T18409" i="15"/>
  <c r="T18408" i="15"/>
  <c r="T18407" i="15"/>
  <c r="T18406" i="15"/>
  <c r="T18405" i="15"/>
  <c r="T18404" i="15"/>
  <c r="T18403" i="15"/>
  <c r="T18402" i="15"/>
  <c r="T18401" i="15"/>
  <c r="T18400" i="15"/>
  <c r="T18399" i="15"/>
  <c r="T18398" i="15"/>
  <c r="T18397" i="15"/>
  <c r="T18396" i="15"/>
  <c r="T18395" i="15"/>
  <c r="T18394" i="15"/>
  <c r="T18393" i="15"/>
  <c r="T18392" i="15"/>
  <c r="T18391" i="15"/>
  <c r="T18390" i="15"/>
  <c r="T18389" i="15"/>
  <c r="T18388" i="15"/>
  <c r="T18387" i="15"/>
  <c r="T18386" i="15"/>
  <c r="T18385" i="15"/>
  <c r="T18384" i="15"/>
  <c r="T18383" i="15"/>
  <c r="T18382" i="15"/>
  <c r="T18381" i="15"/>
  <c r="T18380" i="15"/>
  <c r="T18379" i="15"/>
  <c r="T18378" i="15"/>
  <c r="T18377" i="15"/>
  <c r="T18376" i="15"/>
  <c r="T18375" i="15"/>
  <c r="T18374" i="15"/>
  <c r="T18373" i="15"/>
  <c r="T18372" i="15"/>
  <c r="T18371" i="15"/>
  <c r="T18370" i="15"/>
  <c r="T18369" i="15"/>
  <c r="T18368" i="15"/>
  <c r="T18367" i="15"/>
  <c r="T18366" i="15"/>
  <c r="T18365" i="15"/>
  <c r="T18364" i="15"/>
  <c r="T18363" i="15"/>
  <c r="T18362" i="15"/>
  <c r="T18361" i="15"/>
  <c r="T18360" i="15"/>
  <c r="T18359" i="15"/>
  <c r="T18358" i="15"/>
  <c r="T18357" i="15"/>
  <c r="T18356" i="15"/>
  <c r="T18355" i="15"/>
  <c r="T18354" i="15"/>
  <c r="T18353" i="15"/>
  <c r="T18352" i="15"/>
  <c r="T18351" i="15"/>
  <c r="T18350" i="15"/>
  <c r="T18349" i="15"/>
  <c r="T18348" i="15"/>
  <c r="T18347" i="15"/>
  <c r="T18346" i="15"/>
  <c r="T18345" i="15"/>
  <c r="T18344" i="15"/>
  <c r="T18343" i="15"/>
  <c r="T18342" i="15"/>
  <c r="T18341" i="15"/>
  <c r="T18340" i="15"/>
  <c r="T18339" i="15"/>
  <c r="T18338" i="15"/>
  <c r="T18337" i="15"/>
  <c r="T18336" i="15"/>
  <c r="T18335" i="15"/>
  <c r="T18334" i="15"/>
  <c r="T18333" i="15"/>
  <c r="T18332" i="15"/>
  <c r="T18331" i="15"/>
  <c r="T18330" i="15"/>
  <c r="T18329" i="15"/>
  <c r="T18328" i="15"/>
  <c r="T18327" i="15"/>
  <c r="T18326" i="15"/>
  <c r="T18325" i="15"/>
  <c r="T18324" i="15"/>
  <c r="T18323" i="15"/>
  <c r="T18322" i="15"/>
  <c r="T18321" i="15"/>
  <c r="T18320" i="15"/>
  <c r="T18319" i="15"/>
  <c r="T18318" i="15"/>
  <c r="T18317" i="15"/>
  <c r="T18316" i="15"/>
  <c r="T18315" i="15"/>
  <c r="T18314" i="15"/>
  <c r="T18313" i="15"/>
  <c r="T18312" i="15"/>
  <c r="T18311" i="15"/>
  <c r="T18310" i="15"/>
  <c r="T18309" i="15"/>
  <c r="T18308" i="15"/>
  <c r="T18307" i="15"/>
  <c r="T18306" i="15"/>
  <c r="T18305" i="15"/>
  <c r="T18304" i="15"/>
  <c r="T18303" i="15"/>
  <c r="T18302" i="15"/>
  <c r="T18301" i="15"/>
  <c r="T18300" i="15"/>
  <c r="T18299" i="15"/>
  <c r="T18298" i="15"/>
  <c r="T18297" i="15"/>
  <c r="T18296" i="15"/>
  <c r="T18295" i="15"/>
  <c r="T18294" i="15"/>
  <c r="T18293" i="15"/>
  <c r="T18292" i="15"/>
  <c r="T18291" i="15"/>
  <c r="T18290" i="15"/>
  <c r="T18289" i="15"/>
  <c r="T18288" i="15"/>
  <c r="T18287" i="15"/>
  <c r="T18286" i="15"/>
  <c r="T18285" i="15"/>
  <c r="T18284" i="15"/>
  <c r="T18283" i="15"/>
  <c r="T18282" i="15"/>
  <c r="T18281" i="15"/>
  <c r="T18280" i="15"/>
  <c r="T18279" i="15"/>
  <c r="T18278" i="15"/>
  <c r="T18277" i="15"/>
  <c r="T18276" i="15"/>
  <c r="T18275" i="15"/>
  <c r="T18274" i="15"/>
  <c r="T18273" i="15"/>
  <c r="T18272" i="15"/>
  <c r="T18271" i="15"/>
  <c r="T18270" i="15"/>
  <c r="T18269" i="15"/>
  <c r="T18268" i="15"/>
  <c r="T18267" i="15"/>
  <c r="T18266" i="15"/>
  <c r="T18265" i="15"/>
  <c r="T18264" i="15"/>
  <c r="T18263" i="15"/>
  <c r="T18262" i="15"/>
  <c r="T18261" i="15"/>
  <c r="T18260" i="15"/>
  <c r="T18259" i="15"/>
  <c r="T18258" i="15"/>
  <c r="T18257" i="15"/>
  <c r="T18256" i="15"/>
  <c r="T18255" i="15"/>
  <c r="T18254" i="15"/>
  <c r="T18253" i="15"/>
  <c r="T18252" i="15"/>
  <c r="T18251" i="15"/>
  <c r="T18250" i="15"/>
  <c r="T18249" i="15"/>
  <c r="T18248" i="15"/>
  <c r="T18247" i="15"/>
  <c r="T18246" i="15"/>
  <c r="T18245" i="15"/>
  <c r="T18244" i="15"/>
  <c r="T18243" i="15"/>
  <c r="T18242" i="15"/>
  <c r="T18241" i="15"/>
  <c r="T18240" i="15"/>
  <c r="T18239" i="15"/>
  <c r="T18238" i="15"/>
  <c r="T18237" i="15"/>
  <c r="T18236" i="15"/>
  <c r="T18235" i="15"/>
  <c r="T18234" i="15"/>
  <c r="T18233" i="15"/>
  <c r="T18232" i="15"/>
  <c r="T18231" i="15"/>
  <c r="T18230" i="15"/>
  <c r="T18229" i="15"/>
  <c r="T18228" i="15"/>
  <c r="T18227" i="15"/>
  <c r="T18226" i="15"/>
  <c r="T18225" i="15"/>
  <c r="T18224" i="15"/>
  <c r="T18223" i="15"/>
  <c r="T18222" i="15"/>
  <c r="T18221" i="15"/>
  <c r="T18220" i="15"/>
  <c r="T18219" i="15"/>
  <c r="T18218" i="15"/>
  <c r="T18217" i="15"/>
  <c r="T18216" i="15"/>
  <c r="T18215" i="15"/>
  <c r="T18214" i="15"/>
  <c r="T18213" i="15"/>
  <c r="T18212" i="15"/>
  <c r="T18211" i="15"/>
  <c r="T18210" i="15"/>
  <c r="T18209" i="15"/>
  <c r="T18208" i="15"/>
  <c r="T18207" i="15"/>
  <c r="T18206" i="15"/>
  <c r="T18205" i="15"/>
  <c r="T18204" i="15"/>
  <c r="T18203" i="15"/>
  <c r="T18202" i="15"/>
  <c r="T18201" i="15"/>
  <c r="T18200" i="15"/>
  <c r="T18199" i="15"/>
  <c r="T18198" i="15"/>
  <c r="T18197" i="15"/>
  <c r="T18196" i="15"/>
  <c r="T18195" i="15"/>
  <c r="T18194" i="15"/>
  <c r="T18193" i="15"/>
  <c r="T18192" i="15"/>
  <c r="T18191" i="15"/>
  <c r="T18190" i="15"/>
  <c r="T18189" i="15"/>
  <c r="T18188" i="15"/>
  <c r="T18187" i="15"/>
  <c r="T18186" i="15"/>
  <c r="T18185" i="15"/>
  <c r="T18184" i="15"/>
  <c r="T18183" i="15"/>
  <c r="T18182" i="15"/>
  <c r="T18181" i="15"/>
  <c r="T18180" i="15"/>
  <c r="T18179" i="15"/>
  <c r="T18178" i="15"/>
  <c r="T18177" i="15"/>
  <c r="T18176" i="15"/>
  <c r="T18175" i="15"/>
  <c r="T18174" i="15"/>
  <c r="T18173" i="15"/>
  <c r="T18172" i="15"/>
  <c r="T18171" i="15"/>
  <c r="T18170" i="15"/>
  <c r="T18169" i="15"/>
  <c r="T18168" i="15"/>
  <c r="T18167" i="15"/>
  <c r="T18166" i="15"/>
  <c r="T18165" i="15"/>
  <c r="T18164" i="15"/>
  <c r="T18163" i="15"/>
  <c r="T18162" i="15"/>
  <c r="T18161" i="15"/>
  <c r="T18160" i="15"/>
  <c r="T18159" i="15"/>
  <c r="T18158" i="15"/>
  <c r="T18157" i="15"/>
  <c r="T18156" i="15"/>
  <c r="T18155" i="15"/>
  <c r="T18154" i="15"/>
  <c r="T18153" i="15"/>
  <c r="T18152" i="15"/>
  <c r="T18151" i="15"/>
  <c r="T18150" i="15"/>
  <c r="T18149" i="15"/>
  <c r="T18148" i="15"/>
  <c r="T18147" i="15"/>
  <c r="T18146" i="15"/>
  <c r="T18145" i="15"/>
  <c r="T18144" i="15"/>
  <c r="T18143" i="15"/>
  <c r="T18142" i="15"/>
  <c r="T18141" i="15"/>
  <c r="T18140" i="15"/>
  <c r="T18139" i="15"/>
  <c r="T18138" i="15"/>
  <c r="T18137" i="15"/>
  <c r="T18136" i="15"/>
  <c r="T18135" i="15"/>
  <c r="T18134" i="15"/>
  <c r="T18133" i="15"/>
  <c r="T18132" i="15"/>
  <c r="T18131" i="15"/>
  <c r="T18130" i="15"/>
  <c r="T18129" i="15"/>
  <c r="T18128" i="15"/>
  <c r="T18127" i="15"/>
  <c r="T18126" i="15"/>
  <c r="T18125" i="15"/>
  <c r="T18124" i="15"/>
  <c r="T18123" i="15"/>
  <c r="T18122" i="15"/>
  <c r="T18121" i="15"/>
  <c r="T18120" i="15"/>
  <c r="T18119" i="15"/>
  <c r="T18118" i="15"/>
  <c r="T18117" i="15"/>
  <c r="T18116" i="15"/>
  <c r="T18115" i="15"/>
  <c r="T18114" i="15"/>
  <c r="T18113" i="15"/>
  <c r="T18112" i="15"/>
  <c r="T18111" i="15"/>
  <c r="T18110" i="15"/>
  <c r="T18109" i="15"/>
  <c r="T18108" i="15"/>
  <c r="T18107" i="15"/>
  <c r="T18106" i="15"/>
  <c r="T18105" i="15"/>
  <c r="T18104" i="15"/>
  <c r="T18103" i="15"/>
  <c r="T18102" i="15"/>
  <c r="T18101" i="15"/>
  <c r="T18100" i="15"/>
  <c r="T18099" i="15"/>
  <c r="T18098" i="15"/>
  <c r="T18097" i="15"/>
  <c r="T18096" i="15"/>
  <c r="T18095" i="15"/>
  <c r="T18094" i="15"/>
  <c r="T18093" i="15"/>
  <c r="T18092" i="15"/>
  <c r="T18091" i="15"/>
  <c r="T18090" i="15"/>
  <c r="T18089" i="15"/>
  <c r="T18088" i="15"/>
  <c r="T18087" i="15"/>
  <c r="T18086" i="15"/>
  <c r="T18085" i="15"/>
  <c r="T18084" i="15"/>
  <c r="T18083" i="15"/>
  <c r="T18082" i="15"/>
  <c r="T18081" i="15"/>
  <c r="T18080" i="15"/>
  <c r="T18079" i="15"/>
  <c r="T18078" i="15"/>
  <c r="T18077" i="15"/>
  <c r="T18076" i="15"/>
  <c r="T18075" i="15"/>
  <c r="T18074" i="15"/>
  <c r="T18073" i="15"/>
  <c r="T18072" i="15"/>
  <c r="T18071" i="15"/>
  <c r="T18070" i="15"/>
  <c r="T18069" i="15"/>
  <c r="T18068" i="15"/>
  <c r="T18067" i="15"/>
  <c r="T18066" i="15"/>
  <c r="T18065" i="15"/>
  <c r="T18064" i="15"/>
  <c r="T18063" i="15"/>
  <c r="T18062" i="15"/>
  <c r="T18061" i="15"/>
  <c r="T18060" i="15"/>
  <c r="T18059" i="15"/>
  <c r="T18058" i="15"/>
  <c r="T18057" i="15"/>
  <c r="T18056" i="15"/>
  <c r="T18055" i="15"/>
  <c r="T18054" i="15"/>
  <c r="T18053" i="15"/>
  <c r="T18052" i="15"/>
  <c r="T18051" i="15"/>
  <c r="T18050" i="15"/>
  <c r="T18049" i="15"/>
  <c r="T18048" i="15"/>
  <c r="T18047" i="15"/>
  <c r="T18046" i="15"/>
  <c r="T18045" i="15"/>
  <c r="T18044" i="15"/>
  <c r="T18043" i="15"/>
  <c r="T18042" i="15"/>
  <c r="T18041" i="15"/>
  <c r="T18040" i="15"/>
  <c r="T18039" i="15"/>
  <c r="T18038" i="15"/>
  <c r="T18037" i="15"/>
  <c r="T18036" i="15"/>
  <c r="T18035" i="15"/>
  <c r="T18034" i="15"/>
  <c r="T18033" i="15"/>
  <c r="T18032" i="15"/>
  <c r="T18031" i="15"/>
  <c r="T18030" i="15"/>
  <c r="T18029" i="15"/>
  <c r="T18028" i="15"/>
  <c r="T18027" i="15"/>
  <c r="T18026" i="15"/>
  <c r="T18025" i="15"/>
  <c r="T18024" i="15"/>
  <c r="T18023" i="15"/>
  <c r="T18022" i="15"/>
  <c r="T18021" i="15"/>
  <c r="T18020" i="15"/>
  <c r="T18019" i="15"/>
  <c r="T18018" i="15"/>
  <c r="T18017" i="15"/>
  <c r="T18016" i="15"/>
  <c r="T18015" i="15"/>
  <c r="T18014" i="15"/>
  <c r="T18013" i="15"/>
  <c r="T18012" i="15"/>
  <c r="T18011" i="15"/>
  <c r="T18010" i="15"/>
  <c r="T18009" i="15"/>
  <c r="T18008" i="15"/>
  <c r="T18007" i="15"/>
  <c r="T18006" i="15"/>
  <c r="T18005" i="15"/>
  <c r="T18004" i="15"/>
  <c r="T18003" i="15"/>
  <c r="T18002" i="15"/>
  <c r="T18001" i="15"/>
  <c r="T18000" i="15"/>
  <c r="T17999" i="15"/>
  <c r="T17998" i="15"/>
  <c r="T17997" i="15"/>
  <c r="T17996" i="15"/>
  <c r="T17995" i="15"/>
  <c r="T17994" i="15"/>
  <c r="T17993" i="15"/>
  <c r="T17992" i="15"/>
  <c r="T17991" i="15"/>
  <c r="T17990" i="15"/>
  <c r="T17989" i="15"/>
  <c r="T17988" i="15"/>
  <c r="T17987" i="15"/>
  <c r="T17986" i="15"/>
  <c r="T17985" i="15"/>
  <c r="T17984" i="15"/>
  <c r="T17983" i="15"/>
  <c r="T17982" i="15"/>
  <c r="T17981" i="15"/>
  <c r="T17980" i="15"/>
  <c r="T17979" i="15"/>
  <c r="T17978" i="15"/>
  <c r="T17977" i="15"/>
  <c r="T17976" i="15"/>
  <c r="T17975" i="15"/>
  <c r="T17974" i="15"/>
  <c r="T17973" i="15"/>
  <c r="T17972" i="15"/>
  <c r="T17971" i="15"/>
  <c r="T17970" i="15"/>
  <c r="T17969" i="15"/>
  <c r="T17968" i="15"/>
  <c r="T17967" i="15"/>
  <c r="T17966" i="15"/>
  <c r="T17965" i="15"/>
  <c r="T17964" i="15"/>
  <c r="T17963" i="15"/>
  <c r="T17962" i="15"/>
  <c r="T17961" i="15"/>
  <c r="T17960" i="15"/>
  <c r="T17959" i="15"/>
  <c r="T17958" i="15"/>
  <c r="T17957" i="15"/>
  <c r="T17956" i="15"/>
  <c r="T17955" i="15"/>
  <c r="T17954" i="15"/>
  <c r="T17953" i="15"/>
  <c r="T17952" i="15"/>
  <c r="T17951" i="15"/>
  <c r="T17950" i="15"/>
  <c r="T17949" i="15"/>
  <c r="T17948" i="15"/>
  <c r="T17947" i="15"/>
  <c r="T17946" i="15"/>
  <c r="T17945" i="15"/>
  <c r="T17944" i="15"/>
  <c r="T17943" i="15"/>
  <c r="T17942" i="15"/>
  <c r="T17941" i="15"/>
  <c r="T17940" i="15"/>
  <c r="T17939" i="15"/>
  <c r="T17938" i="15"/>
  <c r="T17937" i="15"/>
  <c r="T17936" i="15"/>
  <c r="T17935" i="15"/>
  <c r="T17934" i="15"/>
  <c r="T17933" i="15"/>
  <c r="T17932" i="15"/>
  <c r="T17931" i="15"/>
  <c r="T17930" i="15"/>
  <c r="T17929" i="15"/>
  <c r="T17928" i="15"/>
  <c r="T17927" i="15"/>
  <c r="T17926" i="15"/>
  <c r="T17925" i="15"/>
  <c r="T17924" i="15"/>
  <c r="T17923" i="15"/>
  <c r="T17922" i="15"/>
  <c r="T17921" i="15"/>
  <c r="T17920" i="15"/>
  <c r="T17919" i="15"/>
  <c r="T17918" i="15"/>
  <c r="T17917" i="15"/>
  <c r="T17916" i="15"/>
  <c r="T17915" i="15"/>
  <c r="T17914" i="15"/>
  <c r="T17913" i="15"/>
  <c r="T17912" i="15"/>
  <c r="T17911" i="15"/>
  <c r="T17910" i="15"/>
  <c r="T17909" i="15"/>
  <c r="T17908" i="15"/>
  <c r="T17907" i="15"/>
  <c r="T17906" i="15"/>
  <c r="T17905" i="15"/>
  <c r="T17904" i="15"/>
  <c r="T17903" i="15"/>
  <c r="T17902" i="15"/>
  <c r="T17901" i="15"/>
  <c r="T17900" i="15"/>
  <c r="T17899" i="15"/>
  <c r="T17898" i="15"/>
  <c r="T17897" i="15"/>
  <c r="T17896" i="15"/>
  <c r="T17895" i="15"/>
  <c r="T17894" i="15"/>
  <c r="T17893" i="15"/>
  <c r="T17892" i="15"/>
  <c r="T17891" i="15"/>
  <c r="T17890" i="15"/>
  <c r="T17889" i="15"/>
  <c r="T17888" i="15"/>
  <c r="T17887" i="15"/>
  <c r="T17886" i="15"/>
  <c r="T17885" i="15"/>
  <c r="T17884" i="15"/>
  <c r="T17883" i="15"/>
  <c r="T17882" i="15"/>
  <c r="T17881" i="15"/>
  <c r="T17880" i="15"/>
  <c r="T17879" i="15"/>
  <c r="T17878" i="15"/>
  <c r="T17877" i="15"/>
  <c r="T17876" i="15"/>
  <c r="T17875" i="15"/>
  <c r="T17874" i="15"/>
  <c r="T17873" i="15"/>
  <c r="T17872" i="15"/>
  <c r="T17871" i="15"/>
  <c r="T17870" i="15"/>
  <c r="T17869" i="15"/>
  <c r="T17868" i="15"/>
  <c r="T17867" i="15"/>
  <c r="T17866" i="15"/>
  <c r="T17865" i="15"/>
  <c r="T17864" i="15"/>
  <c r="T17863" i="15"/>
  <c r="T17862" i="15"/>
  <c r="T17861" i="15"/>
  <c r="T17860" i="15"/>
  <c r="T17859" i="15"/>
  <c r="T17858" i="15"/>
  <c r="T17857" i="15"/>
  <c r="T17856" i="15"/>
  <c r="T17855" i="15"/>
  <c r="T17854" i="15"/>
  <c r="T17853" i="15"/>
  <c r="T17852" i="15"/>
  <c r="T17851" i="15"/>
  <c r="T17850" i="15"/>
  <c r="T17849" i="15"/>
  <c r="T17848" i="15"/>
  <c r="T17847" i="15"/>
  <c r="T17846" i="15"/>
  <c r="T17845" i="15"/>
  <c r="T17844" i="15"/>
  <c r="T17843" i="15"/>
  <c r="T17842" i="15"/>
  <c r="T17841" i="15"/>
  <c r="T17840" i="15"/>
  <c r="T17839" i="15"/>
  <c r="T17838" i="15"/>
  <c r="T17837" i="15"/>
  <c r="T17836" i="15"/>
  <c r="T17835" i="15"/>
  <c r="T17834" i="15"/>
  <c r="T17833" i="15"/>
  <c r="T17832" i="15"/>
  <c r="T17831" i="15"/>
  <c r="T17830" i="15"/>
  <c r="T17829" i="15"/>
  <c r="T17828" i="15"/>
  <c r="T17827" i="15"/>
  <c r="T17826" i="15"/>
  <c r="T17825" i="15"/>
  <c r="T17824" i="15"/>
  <c r="T17823" i="15"/>
  <c r="T17822" i="15"/>
  <c r="T17821" i="15"/>
  <c r="T17820" i="15"/>
  <c r="T17819" i="15"/>
  <c r="T17818" i="15"/>
  <c r="T17817" i="15"/>
  <c r="T17816" i="15"/>
  <c r="T17815" i="15"/>
  <c r="T17814" i="15"/>
  <c r="T17813" i="15"/>
  <c r="T17812" i="15"/>
  <c r="T17811" i="15"/>
  <c r="T17810" i="15"/>
  <c r="T17809" i="15"/>
  <c r="T17808" i="15"/>
  <c r="T17807" i="15"/>
  <c r="T17806" i="15"/>
  <c r="T17805" i="15"/>
  <c r="T17804" i="15"/>
  <c r="T17803" i="15"/>
  <c r="T17802" i="15"/>
  <c r="T17801" i="15"/>
  <c r="T17800" i="15"/>
  <c r="T17799" i="15"/>
  <c r="T17798" i="15"/>
  <c r="T17797" i="15"/>
  <c r="T17796" i="15"/>
  <c r="T17795" i="15"/>
  <c r="T17794" i="15"/>
  <c r="T17793" i="15"/>
  <c r="T17792" i="15"/>
  <c r="T17791" i="15"/>
  <c r="T17790" i="15"/>
  <c r="T17789" i="15"/>
  <c r="T17788" i="15"/>
  <c r="T17787" i="15"/>
  <c r="T17786" i="15"/>
  <c r="T17785" i="15"/>
  <c r="T17784" i="15"/>
  <c r="T17783" i="15"/>
  <c r="T17782" i="15"/>
  <c r="T17781" i="15"/>
  <c r="T17780" i="15"/>
  <c r="T17779" i="15"/>
  <c r="T17778" i="15"/>
  <c r="T17777" i="15"/>
  <c r="T17776" i="15"/>
  <c r="T17775" i="15"/>
  <c r="T17774" i="15"/>
  <c r="T17773" i="15"/>
  <c r="T17772" i="15"/>
  <c r="T17771" i="15"/>
  <c r="T17770" i="15"/>
  <c r="T17769" i="15"/>
  <c r="T17768" i="15"/>
  <c r="T17767" i="15"/>
  <c r="T17766" i="15"/>
  <c r="T17765" i="15"/>
  <c r="T17764" i="15"/>
  <c r="T17763" i="15"/>
  <c r="T17762" i="15"/>
  <c r="T17761" i="15"/>
  <c r="T17760" i="15"/>
  <c r="T17759" i="15"/>
  <c r="T17758" i="15"/>
  <c r="T17757" i="15"/>
  <c r="T17756" i="15"/>
  <c r="T17755" i="15"/>
  <c r="T17754" i="15"/>
  <c r="T17753" i="15"/>
  <c r="T17752" i="15"/>
  <c r="T17751" i="15"/>
  <c r="T17750" i="15"/>
  <c r="T17749" i="15"/>
  <c r="T17748" i="15"/>
  <c r="T17747" i="15"/>
  <c r="T17746" i="15"/>
  <c r="T17745" i="15"/>
  <c r="T17744" i="15"/>
  <c r="T17743" i="15"/>
  <c r="T17742" i="15"/>
  <c r="T17741" i="15"/>
  <c r="T17740" i="15"/>
  <c r="T17739" i="15"/>
  <c r="T17738" i="15"/>
  <c r="T17737" i="15"/>
  <c r="T17736" i="15"/>
  <c r="T17735" i="15"/>
  <c r="T17734" i="15"/>
  <c r="T17733" i="15"/>
  <c r="T17732" i="15"/>
  <c r="T17731" i="15"/>
  <c r="T17730" i="15"/>
  <c r="T17729" i="15"/>
  <c r="T17728" i="15"/>
  <c r="T17727" i="15"/>
  <c r="T17726" i="15"/>
  <c r="T17725" i="15"/>
  <c r="T17724" i="15"/>
  <c r="T17723" i="15"/>
  <c r="T17722" i="15"/>
  <c r="T17721" i="15"/>
  <c r="T17720" i="15"/>
  <c r="T17719" i="15"/>
  <c r="T17718" i="15"/>
  <c r="T17717" i="15"/>
  <c r="T17716" i="15"/>
  <c r="T17715" i="15"/>
  <c r="T17714" i="15"/>
  <c r="T17713" i="15"/>
  <c r="T17712" i="15"/>
  <c r="T17711" i="15"/>
  <c r="T17710" i="15"/>
  <c r="T17709" i="15"/>
  <c r="T17708" i="15"/>
  <c r="T17707" i="15"/>
  <c r="T17706" i="15"/>
  <c r="T17705" i="15"/>
  <c r="T17704" i="15"/>
  <c r="T17703" i="15"/>
  <c r="T17702" i="15"/>
  <c r="T17701" i="15"/>
  <c r="T17700" i="15"/>
  <c r="T17699" i="15"/>
  <c r="T17698" i="15"/>
  <c r="T17697" i="15"/>
  <c r="T17696" i="15"/>
  <c r="T17695" i="15"/>
  <c r="T17694" i="15"/>
  <c r="T17693" i="15"/>
  <c r="T17692" i="15"/>
  <c r="T17691" i="15"/>
  <c r="T17690" i="15"/>
  <c r="T17689" i="15"/>
  <c r="T17688" i="15"/>
  <c r="T17687" i="15"/>
  <c r="T17686" i="15"/>
  <c r="T17685" i="15"/>
  <c r="T17684" i="15"/>
  <c r="T17683" i="15"/>
  <c r="T17682" i="15"/>
  <c r="T17681" i="15"/>
  <c r="T17680" i="15"/>
  <c r="T17679" i="15"/>
  <c r="T17678" i="15"/>
  <c r="T17677" i="15"/>
  <c r="T17676" i="15"/>
  <c r="T17675" i="15"/>
  <c r="T17674" i="15"/>
  <c r="T17673" i="15"/>
  <c r="T17672" i="15"/>
  <c r="T17671" i="15"/>
  <c r="T17670" i="15"/>
  <c r="T17669" i="15"/>
  <c r="T17668" i="15"/>
  <c r="T17667" i="15"/>
  <c r="T17666" i="15"/>
  <c r="T17665" i="15"/>
  <c r="T17664" i="15"/>
  <c r="T17663" i="15"/>
  <c r="T17662" i="15"/>
  <c r="T17661" i="15"/>
  <c r="T17660" i="15"/>
  <c r="T17659" i="15"/>
  <c r="T17658" i="15"/>
  <c r="T17657" i="15"/>
  <c r="T17656" i="15"/>
  <c r="T17655" i="15"/>
  <c r="T17654" i="15"/>
  <c r="T17653" i="15"/>
  <c r="T17652" i="15"/>
  <c r="T17651" i="15"/>
  <c r="T17650" i="15"/>
  <c r="T17649" i="15"/>
  <c r="T17648" i="15"/>
  <c r="T17647" i="15"/>
  <c r="T17646" i="15"/>
  <c r="T17645" i="15"/>
  <c r="T17644" i="15"/>
  <c r="T17643" i="15"/>
  <c r="T17642" i="15"/>
  <c r="T17641" i="15"/>
  <c r="T17640" i="15"/>
  <c r="T17639" i="15"/>
  <c r="T17638" i="15"/>
  <c r="T17637" i="15"/>
  <c r="T17636" i="15"/>
  <c r="T17635" i="15"/>
  <c r="T17634" i="15"/>
  <c r="T17633" i="15"/>
  <c r="T17632" i="15"/>
  <c r="T17631" i="15"/>
  <c r="T17630" i="15"/>
  <c r="T17629" i="15"/>
  <c r="T17628" i="15"/>
  <c r="T17627" i="15"/>
  <c r="T17626" i="15"/>
  <c r="T17625" i="15"/>
  <c r="T17624" i="15"/>
  <c r="T17623" i="15"/>
  <c r="T17622" i="15"/>
  <c r="T17621" i="15"/>
  <c r="T17620" i="15"/>
  <c r="T17619" i="15"/>
  <c r="T17618" i="15"/>
  <c r="T17617" i="15"/>
  <c r="T17616" i="15"/>
  <c r="T17615" i="15"/>
  <c r="T17614" i="15"/>
  <c r="T17613" i="15"/>
  <c r="T17612" i="15"/>
  <c r="T17611" i="15"/>
  <c r="T17610" i="15"/>
  <c r="T17609" i="15"/>
  <c r="T17608" i="15"/>
  <c r="T17607" i="15"/>
  <c r="T17606" i="15"/>
  <c r="T17605" i="15"/>
  <c r="T17604" i="15"/>
  <c r="T17603" i="15"/>
  <c r="T17602" i="15"/>
  <c r="T17601" i="15"/>
  <c r="T17600" i="15"/>
  <c r="T17599" i="15"/>
  <c r="T17598" i="15"/>
  <c r="T17597" i="15"/>
  <c r="T17596" i="15"/>
  <c r="T17595" i="15"/>
  <c r="T17594" i="15"/>
  <c r="T17593" i="15"/>
  <c r="T17592" i="15"/>
  <c r="T17591" i="15"/>
  <c r="T17590" i="15"/>
  <c r="T17589" i="15"/>
  <c r="T17588" i="15"/>
  <c r="T17587" i="15"/>
  <c r="T17586" i="15"/>
  <c r="T17585" i="15"/>
  <c r="T17584" i="15"/>
  <c r="T17583" i="15"/>
  <c r="T17582" i="15"/>
  <c r="T17581" i="15"/>
  <c r="T17580" i="15"/>
  <c r="T17579" i="15"/>
  <c r="T17578" i="15"/>
  <c r="T17577" i="15"/>
  <c r="T17576" i="15"/>
  <c r="T17575" i="15"/>
  <c r="T17574" i="15"/>
  <c r="T17573" i="15"/>
  <c r="T17572" i="15"/>
  <c r="T17571" i="15"/>
  <c r="T17570" i="15"/>
  <c r="T17569" i="15"/>
  <c r="T17568" i="15"/>
  <c r="T17567" i="15"/>
  <c r="T17566" i="15"/>
  <c r="T17565" i="15"/>
  <c r="T17564" i="15"/>
  <c r="T17563" i="15"/>
  <c r="T17562" i="15"/>
  <c r="T17561" i="15"/>
  <c r="T17560" i="15"/>
  <c r="T17559" i="15"/>
  <c r="T17558" i="15"/>
  <c r="T17557" i="15"/>
  <c r="T17556" i="15"/>
  <c r="T17555" i="15"/>
  <c r="T17554" i="15"/>
  <c r="T17553" i="15"/>
  <c r="T17552" i="15"/>
  <c r="T17551" i="15"/>
  <c r="T17550" i="15"/>
  <c r="T17549" i="15"/>
  <c r="T17548" i="15"/>
  <c r="T17547" i="15"/>
  <c r="T17546" i="15"/>
  <c r="T17545" i="15"/>
  <c r="T17544" i="15"/>
  <c r="T17543" i="15"/>
  <c r="T17542" i="15"/>
  <c r="T17541" i="15"/>
  <c r="T17540" i="15"/>
  <c r="T17539" i="15"/>
  <c r="T17538" i="15"/>
  <c r="T17537" i="15"/>
  <c r="T17536" i="15"/>
  <c r="T17535" i="15"/>
  <c r="T17534" i="15"/>
  <c r="T17533" i="15"/>
  <c r="T17532" i="15"/>
  <c r="T17531" i="15"/>
  <c r="T17530" i="15"/>
  <c r="T17529" i="15"/>
  <c r="T17528" i="15"/>
  <c r="T17527" i="15"/>
  <c r="T17526" i="15"/>
  <c r="T17525" i="15"/>
  <c r="T17524" i="15"/>
  <c r="T17523" i="15"/>
  <c r="T17522" i="15"/>
  <c r="T17521" i="15"/>
  <c r="T17520" i="15"/>
  <c r="T17519" i="15"/>
  <c r="T17518" i="15"/>
  <c r="T17517" i="15"/>
  <c r="T17516" i="15"/>
  <c r="T17515" i="15"/>
  <c r="T17514" i="15"/>
  <c r="T17513" i="15"/>
  <c r="T17512" i="15"/>
  <c r="T17511" i="15"/>
  <c r="T17510" i="15"/>
  <c r="T17509" i="15"/>
  <c r="T17508" i="15"/>
  <c r="T17507" i="15"/>
  <c r="T17506" i="15"/>
  <c r="T17505" i="15"/>
  <c r="T17504" i="15"/>
  <c r="T17503" i="15"/>
  <c r="T17502" i="15"/>
  <c r="T17501" i="15"/>
  <c r="T17500" i="15"/>
  <c r="T17499" i="15"/>
  <c r="T17498" i="15"/>
  <c r="T17497" i="15"/>
  <c r="T17496" i="15"/>
  <c r="T17495" i="15"/>
  <c r="T17494" i="15"/>
  <c r="T17493" i="15"/>
  <c r="T17492" i="15"/>
  <c r="T17491" i="15"/>
  <c r="T17490" i="15"/>
  <c r="T17489" i="15"/>
  <c r="T17488" i="15"/>
  <c r="T17487" i="15"/>
  <c r="T17486" i="15"/>
  <c r="T17485" i="15"/>
  <c r="T17484" i="15"/>
  <c r="T17483" i="15"/>
  <c r="T17482" i="15"/>
  <c r="T17481" i="15"/>
  <c r="T17480" i="15"/>
  <c r="T17479" i="15"/>
  <c r="T17478" i="15"/>
  <c r="T17477" i="15"/>
  <c r="T17476" i="15"/>
  <c r="T17475" i="15"/>
  <c r="T17474" i="15"/>
  <c r="T17473" i="15"/>
  <c r="T17472" i="15"/>
  <c r="T17471" i="15"/>
  <c r="T17470" i="15"/>
  <c r="T17469" i="15"/>
  <c r="T17468" i="15"/>
  <c r="T17467" i="15"/>
  <c r="T17466" i="15"/>
  <c r="T17465" i="15"/>
  <c r="T17464" i="15"/>
  <c r="T17463" i="15"/>
  <c r="T17462" i="15"/>
  <c r="T17461" i="15"/>
  <c r="T17460" i="15"/>
  <c r="T17459" i="15"/>
  <c r="T17458" i="15"/>
  <c r="T17457" i="15"/>
  <c r="T17456" i="15"/>
  <c r="T17455" i="15"/>
  <c r="T17454" i="15"/>
  <c r="T17453" i="15"/>
  <c r="T17452" i="15"/>
  <c r="T17451" i="15"/>
  <c r="T17450" i="15"/>
  <c r="T17449" i="15"/>
  <c r="T17448" i="15"/>
  <c r="T17447" i="15"/>
  <c r="T17446" i="15"/>
  <c r="T17445" i="15"/>
  <c r="T17444" i="15"/>
  <c r="T17443" i="15"/>
  <c r="T17442" i="15"/>
  <c r="T17441" i="15"/>
  <c r="T17440" i="15"/>
  <c r="T17439" i="15"/>
  <c r="T17438" i="15"/>
  <c r="T17437" i="15"/>
  <c r="T17436" i="15"/>
  <c r="T17435" i="15"/>
  <c r="T17434" i="15"/>
  <c r="T17433" i="15"/>
  <c r="T17432" i="15"/>
  <c r="T17431" i="15"/>
  <c r="T17430" i="15"/>
  <c r="T17429" i="15"/>
  <c r="T17428" i="15"/>
  <c r="T17427" i="15"/>
  <c r="T17426" i="15"/>
  <c r="T17425" i="15"/>
  <c r="T17424" i="15"/>
  <c r="T17423" i="15"/>
  <c r="T17422" i="15"/>
  <c r="T17421" i="15"/>
  <c r="T17420" i="15"/>
  <c r="T17419" i="15"/>
  <c r="T17418" i="15"/>
  <c r="T17417" i="15"/>
  <c r="T17416" i="15"/>
  <c r="T17415" i="15"/>
  <c r="T17414" i="15"/>
  <c r="T17413" i="15"/>
  <c r="T17412" i="15"/>
  <c r="T17411" i="15"/>
  <c r="T17410" i="15"/>
  <c r="T17409" i="15"/>
  <c r="T17408" i="15"/>
  <c r="T17407" i="15"/>
  <c r="T17406" i="15"/>
  <c r="T17405" i="15"/>
  <c r="T17404" i="15"/>
  <c r="T17403" i="15"/>
  <c r="T17402" i="15"/>
  <c r="T17401" i="15"/>
  <c r="T17400" i="15"/>
  <c r="T17399" i="15"/>
  <c r="T17398" i="15"/>
  <c r="T17397" i="15"/>
  <c r="T17396" i="15"/>
  <c r="T17395" i="15"/>
  <c r="T17394" i="15"/>
  <c r="T17393" i="15"/>
  <c r="T17392" i="15"/>
  <c r="T17391" i="15"/>
  <c r="T17390" i="15"/>
  <c r="T17389" i="15"/>
  <c r="T17388" i="15"/>
  <c r="T17387" i="15"/>
  <c r="T17386" i="15"/>
  <c r="T17385" i="15"/>
  <c r="T17384" i="15"/>
  <c r="T17383" i="15"/>
  <c r="T17382" i="15"/>
  <c r="T17381" i="15"/>
  <c r="T17380" i="15"/>
  <c r="T17379" i="15"/>
  <c r="T17378" i="15"/>
  <c r="T17377" i="15"/>
  <c r="T17376" i="15"/>
  <c r="T17375" i="15"/>
  <c r="T17374" i="15"/>
  <c r="T17373" i="15"/>
  <c r="T17372" i="15"/>
  <c r="T17371" i="15"/>
  <c r="T17370" i="15"/>
  <c r="T17369" i="15"/>
  <c r="T17368" i="15"/>
  <c r="T17367" i="15"/>
  <c r="T17366" i="15"/>
  <c r="T17365" i="15"/>
  <c r="T17364" i="15"/>
  <c r="T17363" i="15"/>
  <c r="T17362" i="15"/>
  <c r="T17361" i="15"/>
  <c r="T17360" i="15"/>
  <c r="T17359" i="15"/>
  <c r="T17358" i="15"/>
  <c r="T17357" i="15"/>
  <c r="T17356" i="15"/>
  <c r="T17355" i="15"/>
  <c r="T17354" i="15"/>
  <c r="T17353" i="15"/>
  <c r="T17352" i="15"/>
  <c r="T17351" i="15"/>
  <c r="T17350" i="15"/>
  <c r="T17349" i="15"/>
  <c r="T17348" i="15"/>
  <c r="T17347" i="15"/>
  <c r="T17346" i="15"/>
  <c r="T17345" i="15"/>
  <c r="T17344" i="15"/>
  <c r="T17343" i="15"/>
  <c r="T17342" i="15"/>
  <c r="T17341" i="15"/>
  <c r="T17340" i="15"/>
  <c r="T17339" i="15"/>
  <c r="T17338" i="15"/>
  <c r="T17337" i="15"/>
  <c r="T17336" i="15"/>
  <c r="T17335" i="15"/>
  <c r="T17334" i="15"/>
  <c r="T17333" i="15"/>
  <c r="T17332" i="15"/>
  <c r="T17331" i="15"/>
  <c r="T17330" i="15"/>
  <c r="T17329" i="15"/>
  <c r="T17328" i="15"/>
  <c r="T17327" i="15"/>
  <c r="T17326" i="15"/>
  <c r="T17325" i="15"/>
  <c r="T17324" i="15"/>
  <c r="T17323" i="15"/>
  <c r="T17322" i="15"/>
  <c r="T17321" i="15"/>
  <c r="T17320" i="15"/>
  <c r="T17319" i="15"/>
  <c r="T17318" i="15"/>
  <c r="T17317" i="15"/>
  <c r="T17316" i="15"/>
  <c r="T17315" i="15"/>
  <c r="T17314" i="15"/>
  <c r="T17313" i="15"/>
  <c r="T17312" i="15"/>
  <c r="T17311" i="15"/>
  <c r="T17310" i="15"/>
  <c r="T17309" i="15"/>
  <c r="T17308" i="15"/>
  <c r="T17307" i="15"/>
  <c r="T17306" i="15"/>
  <c r="T17305" i="15"/>
  <c r="T17304" i="15"/>
  <c r="T17303" i="15"/>
  <c r="T17302" i="15"/>
  <c r="T17301" i="15"/>
  <c r="T17300" i="15"/>
  <c r="T17299" i="15"/>
  <c r="T17298" i="15"/>
  <c r="T17297" i="15"/>
  <c r="T17296" i="15"/>
  <c r="T17295" i="15"/>
  <c r="T17294" i="15"/>
  <c r="T17293" i="15"/>
  <c r="T17292" i="15"/>
  <c r="T17291" i="15"/>
  <c r="T17290" i="15"/>
  <c r="T17289" i="15"/>
  <c r="T17288" i="15"/>
  <c r="T17287" i="15"/>
  <c r="T17286" i="15"/>
  <c r="T17285" i="15"/>
  <c r="T17284" i="15"/>
  <c r="T17283" i="15"/>
  <c r="T17282" i="15"/>
  <c r="T17281" i="15"/>
  <c r="T17280" i="15"/>
  <c r="T17279" i="15"/>
  <c r="T17278" i="15"/>
  <c r="T17277" i="15"/>
  <c r="T17276" i="15"/>
  <c r="T17275" i="15"/>
  <c r="T17274" i="15"/>
  <c r="T17273" i="15"/>
  <c r="T17272" i="15"/>
  <c r="T17271" i="15"/>
  <c r="T17270" i="15"/>
  <c r="T17269" i="15"/>
  <c r="T17268" i="15"/>
  <c r="T17267" i="15"/>
  <c r="T17266" i="15"/>
  <c r="T17265" i="15"/>
  <c r="T17264" i="15"/>
  <c r="T17263" i="15"/>
  <c r="T17262" i="15"/>
  <c r="T17261" i="15"/>
  <c r="T17260" i="15"/>
  <c r="T17259" i="15"/>
  <c r="T17258" i="15"/>
  <c r="T17257" i="15"/>
  <c r="T17256" i="15"/>
  <c r="T17255" i="15"/>
  <c r="T17254" i="15"/>
  <c r="T17253" i="15"/>
  <c r="T17252" i="15"/>
  <c r="T17251" i="15"/>
  <c r="T17250" i="15"/>
  <c r="T17249" i="15"/>
  <c r="T17248" i="15"/>
  <c r="T17247" i="15"/>
  <c r="T17246" i="15"/>
  <c r="T17245" i="15"/>
  <c r="T17244" i="15"/>
  <c r="T17243" i="15"/>
  <c r="T17242" i="15"/>
  <c r="T17241" i="15"/>
  <c r="T17240" i="15"/>
  <c r="T17239" i="15"/>
  <c r="T17238" i="15"/>
  <c r="T17237" i="15"/>
  <c r="T17236" i="15"/>
  <c r="T17235" i="15"/>
  <c r="T17234" i="15"/>
  <c r="T17233" i="15"/>
  <c r="T17232" i="15"/>
  <c r="T17231" i="15"/>
  <c r="T17230" i="15"/>
  <c r="T17229" i="15"/>
  <c r="T17228" i="15"/>
  <c r="T17227" i="15"/>
  <c r="T17226" i="15"/>
  <c r="T17225" i="15"/>
  <c r="T17224" i="15"/>
  <c r="T17223" i="15"/>
  <c r="T17222" i="15"/>
  <c r="T17221" i="15"/>
  <c r="T17220" i="15"/>
  <c r="T17219" i="15"/>
  <c r="T17218" i="15"/>
  <c r="T17217" i="15"/>
  <c r="T17216" i="15"/>
  <c r="T17215" i="15"/>
  <c r="T17214" i="15"/>
  <c r="T17213" i="15"/>
  <c r="T17212" i="15"/>
  <c r="T17211" i="15"/>
  <c r="T17210" i="15"/>
  <c r="T17209" i="15"/>
  <c r="T17208" i="15"/>
  <c r="T17207" i="15"/>
  <c r="T17206" i="15"/>
  <c r="T17205" i="15"/>
  <c r="T17204" i="15"/>
  <c r="T17203" i="15"/>
  <c r="T17202" i="15"/>
  <c r="T17201" i="15"/>
  <c r="T17200" i="15"/>
  <c r="T17199" i="15"/>
  <c r="T17198" i="15"/>
  <c r="T17197" i="15"/>
  <c r="T17196" i="15"/>
  <c r="T17195" i="15"/>
  <c r="T17194" i="15"/>
  <c r="T17193" i="15"/>
  <c r="T17192" i="15"/>
  <c r="T17191" i="15"/>
  <c r="T17190" i="15"/>
  <c r="T17189" i="15"/>
  <c r="T17188" i="15"/>
  <c r="T17187" i="15"/>
  <c r="T17186" i="15"/>
  <c r="T17185" i="15"/>
  <c r="T17184" i="15"/>
  <c r="T17183" i="15"/>
  <c r="T17182" i="15"/>
  <c r="T17181" i="15"/>
  <c r="T17180" i="15"/>
  <c r="T17179" i="15"/>
  <c r="T17178" i="15"/>
  <c r="T17177" i="15"/>
  <c r="T17176" i="15"/>
  <c r="T17175" i="15"/>
  <c r="T17174" i="15"/>
  <c r="T17173" i="15"/>
  <c r="T17172" i="15"/>
  <c r="T17171" i="15"/>
  <c r="T17170" i="15"/>
  <c r="T17169" i="15"/>
  <c r="T17168" i="15"/>
  <c r="T17167" i="15"/>
  <c r="T17166" i="15"/>
  <c r="T17165" i="15"/>
  <c r="T17164" i="15"/>
  <c r="T17163" i="15"/>
  <c r="T17162" i="15"/>
  <c r="T17161" i="15"/>
  <c r="T17160" i="15"/>
  <c r="T17159" i="15"/>
  <c r="T17158" i="15"/>
  <c r="T17157" i="15"/>
  <c r="T17156" i="15"/>
  <c r="T17155" i="15"/>
  <c r="T17154" i="15"/>
  <c r="T17153" i="15"/>
  <c r="T17152" i="15"/>
  <c r="T17151" i="15"/>
  <c r="T17150" i="15"/>
  <c r="T17149" i="15"/>
  <c r="T17148" i="15"/>
  <c r="T17147" i="15"/>
  <c r="T17146" i="15"/>
  <c r="T17145" i="15"/>
  <c r="T17144" i="15"/>
  <c r="T17143" i="15"/>
  <c r="T17142" i="15"/>
  <c r="T17141" i="15"/>
  <c r="T17140" i="15"/>
  <c r="T17139" i="15"/>
  <c r="T17138" i="15"/>
  <c r="T17137" i="15"/>
  <c r="T17136" i="15"/>
  <c r="T17135" i="15"/>
  <c r="T17134" i="15"/>
  <c r="T17133" i="15"/>
  <c r="T17132" i="15"/>
  <c r="T17131" i="15"/>
  <c r="T17130" i="15"/>
  <c r="T17129" i="15"/>
  <c r="T17128" i="15"/>
  <c r="T17127" i="15"/>
  <c r="T17126" i="15"/>
  <c r="T17125" i="15"/>
  <c r="T17124" i="15"/>
  <c r="T17123" i="15"/>
  <c r="T17122" i="15"/>
  <c r="T17121" i="15"/>
  <c r="T17120" i="15"/>
  <c r="T17119" i="15"/>
  <c r="T17118" i="15"/>
  <c r="T17117" i="15"/>
  <c r="T17116" i="15"/>
  <c r="T17115" i="15"/>
  <c r="T17114" i="15"/>
  <c r="T17113" i="15"/>
  <c r="T17112" i="15"/>
  <c r="T17111" i="15"/>
  <c r="T17110" i="15"/>
  <c r="T17109" i="15"/>
  <c r="T17108" i="15"/>
  <c r="T17107" i="15"/>
  <c r="T17106" i="15"/>
  <c r="T17105" i="15"/>
  <c r="T17104" i="15"/>
  <c r="T17103" i="15"/>
  <c r="T17102" i="15"/>
  <c r="T17101" i="15"/>
  <c r="T17100" i="15"/>
  <c r="T17099" i="15"/>
  <c r="T17098" i="15"/>
  <c r="T17097" i="15"/>
  <c r="T17096" i="15"/>
  <c r="T17095" i="15"/>
  <c r="T17094" i="15"/>
  <c r="T17093" i="15"/>
  <c r="T17092" i="15"/>
  <c r="T17091" i="15"/>
  <c r="T17090" i="15"/>
  <c r="T17089" i="15"/>
  <c r="T17088" i="15"/>
  <c r="T17087" i="15"/>
  <c r="T17086" i="15"/>
  <c r="T17085" i="15"/>
  <c r="T17084" i="15"/>
  <c r="T17083" i="15"/>
  <c r="T17082" i="15"/>
  <c r="T17081" i="15"/>
  <c r="T17080" i="15"/>
  <c r="T17079" i="15"/>
  <c r="T17078" i="15"/>
  <c r="T17077" i="15"/>
  <c r="T17076" i="15"/>
  <c r="T17075" i="15"/>
  <c r="T17074" i="15"/>
  <c r="T17073" i="15"/>
  <c r="T17072" i="15"/>
  <c r="T17071" i="15"/>
  <c r="T17070" i="15"/>
  <c r="T17069" i="15"/>
  <c r="T17068" i="15"/>
  <c r="T17067" i="15"/>
  <c r="T17066" i="15"/>
  <c r="T17065" i="15"/>
  <c r="T17064" i="15"/>
  <c r="T17063" i="15"/>
  <c r="T17062" i="15"/>
  <c r="T17061" i="15"/>
  <c r="T17060" i="15"/>
  <c r="T17059" i="15"/>
  <c r="T17058" i="15"/>
  <c r="T17057" i="15"/>
  <c r="T17056" i="15"/>
  <c r="T17055" i="15"/>
  <c r="T17054" i="15"/>
  <c r="T17053" i="15"/>
  <c r="T17052" i="15"/>
  <c r="T17051" i="15"/>
  <c r="T17050" i="15"/>
  <c r="T17049" i="15"/>
  <c r="T17048" i="15"/>
  <c r="T17047" i="15"/>
  <c r="T17046" i="15"/>
  <c r="T17045" i="15"/>
  <c r="T17044" i="15"/>
  <c r="T17043" i="15"/>
  <c r="T17042" i="15"/>
  <c r="T17041" i="15"/>
  <c r="T17040" i="15"/>
  <c r="T17039" i="15"/>
  <c r="T17038" i="15"/>
  <c r="T17037" i="15"/>
  <c r="T17036" i="15"/>
  <c r="T17035" i="15"/>
  <c r="T17034" i="15"/>
  <c r="T17033" i="15"/>
  <c r="T17032" i="15"/>
  <c r="T17031" i="15"/>
  <c r="T17030" i="15"/>
  <c r="T17029" i="15"/>
  <c r="T17028" i="15"/>
  <c r="T17027" i="15"/>
  <c r="T17026" i="15"/>
  <c r="T17025" i="15"/>
  <c r="T17024" i="15"/>
  <c r="T17023" i="15"/>
  <c r="T17022" i="15"/>
  <c r="T17021" i="15"/>
  <c r="T17020" i="15"/>
  <c r="T17019" i="15"/>
  <c r="T17018" i="15"/>
  <c r="T17017" i="15"/>
  <c r="T17016" i="15"/>
  <c r="T17015" i="15"/>
  <c r="T17014" i="15"/>
  <c r="T17013" i="15"/>
  <c r="T17012" i="15"/>
  <c r="T17011" i="15"/>
  <c r="T17010" i="15"/>
  <c r="T17009" i="15"/>
  <c r="T17008" i="15"/>
  <c r="T17007" i="15"/>
  <c r="T17006" i="15"/>
  <c r="T17005" i="15"/>
  <c r="T17004" i="15"/>
  <c r="T17003" i="15"/>
  <c r="T17002" i="15"/>
  <c r="T17001" i="15"/>
  <c r="T17000" i="15"/>
  <c r="T16999" i="15"/>
  <c r="T16998" i="15"/>
  <c r="T16997" i="15"/>
  <c r="T16996" i="15"/>
  <c r="T16995" i="15"/>
  <c r="T16994" i="15"/>
  <c r="T16993" i="15"/>
  <c r="T16992" i="15"/>
  <c r="T16991" i="15"/>
  <c r="T16990" i="15"/>
  <c r="T16989" i="15"/>
  <c r="T16988" i="15"/>
  <c r="T16987" i="15"/>
  <c r="T16986" i="15"/>
  <c r="T16985" i="15"/>
  <c r="T16984" i="15"/>
  <c r="T16983" i="15"/>
  <c r="T16982" i="15"/>
  <c r="T16981" i="15"/>
  <c r="T16980" i="15"/>
  <c r="T16979" i="15"/>
  <c r="T16978" i="15"/>
  <c r="T16977" i="15"/>
  <c r="T16976" i="15"/>
  <c r="T16975" i="15"/>
  <c r="T16974" i="15"/>
  <c r="T16973" i="15"/>
  <c r="T16972" i="15"/>
  <c r="T16971" i="15"/>
  <c r="T16970" i="15"/>
  <c r="T16969" i="15"/>
  <c r="T16968" i="15"/>
  <c r="T16967" i="15"/>
  <c r="T16966" i="15"/>
  <c r="T16965" i="15"/>
  <c r="T16964" i="15"/>
  <c r="T16963" i="15"/>
  <c r="T16962" i="15"/>
  <c r="T16961" i="15"/>
  <c r="T16960" i="15"/>
  <c r="T16959" i="15"/>
  <c r="T16958" i="15"/>
  <c r="T16957" i="15"/>
  <c r="T16956" i="15"/>
  <c r="T16955" i="15"/>
  <c r="T16954" i="15"/>
  <c r="T16953" i="15"/>
  <c r="T16952" i="15"/>
  <c r="T16951" i="15"/>
  <c r="T16950" i="15"/>
  <c r="T16949" i="15"/>
  <c r="T16948" i="15"/>
  <c r="T16947" i="15"/>
  <c r="T16946" i="15"/>
  <c r="T16945" i="15"/>
  <c r="T16944" i="15"/>
  <c r="T16943" i="15"/>
  <c r="T16942" i="15"/>
  <c r="T16941" i="15"/>
  <c r="T16940" i="15"/>
  <c r="T16939" i="15"/>
  <c r="T16938" i="15"/>
  <c r="T16937" i="15"/>
  <c r="T16936" i="15"/>
  <c r="T16935" i="15"/>
  <c r="T16934" i="15"/>
  <c r="T16933" i="15"/>
  <c r="T16932" i="15"/>
  <c r="T16931" i="15"/>
  <c r="T16930" i="15"/>
  <c r="T16929" i="15"/>
  <c r="T16928" i="15"/>
  <c r="T16927" i="15"/>
  <c r="T16926" i="15"/>
  <c r="T16925" i="15"/>
  <c r="T16924" i="15"/>
  <c r="T16923" i="15"/>
  <c r="T16922" i="15"/>
  <c r="T16921" i="15"/>
  <c r="T16920" i="15"/>
  <c r="T16919" i="15"/>
  <c r="T16918" i="15"/>
  <c r="T16917" i="15"/>
  <c r="T16916" i="15"/>
  <c r="T16915" i="15"/>
  <c r="T16914" i="15"/>
  <c r="T16913" i="15"/>
  <c r="T16912" i="15"/>
  <c r="T16911" i="15"/>
  <c r="T16910" i="15"/>
  <c r="T16909" i="15"/>
  <c r="T16908" i="15"/>
  <c r="T16907" i="15"/>
  <c r="T16906" i="15"/>
  <c r="T16905" i="15"/>
  <c r="T16904" i="15"/>
  <c r="T16903" i="15"/>
  <c r="T16902" i="15"/>
  <c r="T16901" i="15"/>
  <c r="T16900" i="15"/>
  <c r="T16899" i="15"/>
  <c r="T16898" i="15"/>
  <c r="T16897" i="15"/>
  <c r="T16896" i="15"/>
  <c r="T16895" i="15"/>
  <c r="T16894" i="15"/>
  <c r="T16893" i="15"/>
  <c r="T16892" i="15"/>
  <c r="T16891" i="15"/>
  <c r="T16890" i="15"/>
  <c r="T16889" i="15"/>
  <c r="T16888" i="15"/>
  <c r="T16887" i="15"/>
  <c r="T16886" i="15"/>
  <c r="T16885" i="15"/>
  <c r="T16884" i="15"/>
  <c r="T16883" i="15"/>
  <c r="T16882" i="15"/>
  <c r="T16881" i="15"/>
  <c r="T16880" i="15"/>
  <c r="T16879" i="15"/>
  <c r="T16878" i="15"/>
  <c r="T16877" i="15"/>
  <c r="T16876" i="15"/>
  <c r="T16875" i="15"/>
  <c r="T16874" i="15"/>
  <c r="T16873" i="15"/>
  <c r="T16872" i="15"/>
  <c r="T16871" i="15"/>
  <c r="T16870" i="15"/>
  <c r="T16869" i="15"/>
  <c r="T16868" i="15"/>
  <c r="T16867" i="15"/>
  <c r="T16866" i="15"/>
  <c r="T16865" i="15"/>
  <c r="T16864" i="15"/>
  <c r="T16863" i="15"/>
  <c r="T16862" i="15"/>
  <c r="T16861" i="15"/>
  <c r="T16860" i="15"/>
  <c r="T16859" i="15"/>
  <c r="T16858" i="15"/>
  <c r="T16857" i="15"/>
  <c r="T16856" i="15"/>
  <c r="T16855" i="15"/>
  <c r="T16854" i="15"/>
  <c r="T16853" i="15"/>
  <c r="T16852" i="15"/>
  <c r="T16851" i="15"/>
  <c r="T16850" i="15"/>
  <c r="T16849" i="15"/>
  <c r="T16848" i="15"/>
  <c r="T16847" i="15"/>
  <c r="T16846" i="15"/>
  <c r="T16845" i="15"/>
  <c r="T16844" i="15"/>
  <c r="T16843" i="15"/>
  <c r="T16842" i="15"/>
  <c r="T16841" i="15"/>
  <c r="T16840" i="15"/>
  <c r="T16839" i="15"/>
  <c r="T16838" i="15"/>
  <c r="T16837" i="15"/>
  <c r="T16836" i="15"/>
  <c r="T16835" i="15"/>
  <c r="T16834" i="15"/>
  <c r="T16833" i="15"/>
  <c r="T16832" i="15"/>
  <c r="T16831" i="15"/>
  <c r="T16830" i="15"/>
  <c r="T16829" i="15"/>
  <c r="T16828" i="15"/>
  <c r="T16827" i="15"/>
  <c r="T16826" i="15"/>
  <c r="T16825" i="15"/>
  <c r="T16824" i="15"/>
  <c r="T16823" i="15"/>
  <c r="T16822" i="15"/>
  <c r="T16821" i="15"/>
  <c r="T16820" i="15"/>
  <c r="T16819" i="15"/>
  <c r="T16818" i="15"/>
  <c r="T16817" i="15"/>
  <c r="T16816" i="15"/>
  <c r="T16815" i="15"/>
  <c r="T16814" i="15"/>
  <c r="T16813" i="15"/>
  <c r="T16812" i="15"/>
  <c r="T16811" i="15"/>
  <c r="T16810" i="15"/>
  <c r="T16809" i="15"/>
  <c r="T16808" i="15"/>
  <c r="T16807" i="15"/>
  <c r="T16806" i="15"/>
  <c r="T16805" i="15"/>
  <c r="T16804" i="15"/>
  <c r="T16803" i="15"/>
  <c r="T16802" i="15"/>
  <c r="T16801" i="15"/>
  <c r="T16800" i="15"/>
  <c r="T16799" i="15"/>
  <c r="T16798" i="15"/>
  <c r="T16797" i="15"/>
  <c r="T16796" i="15"/>
  <c r="T16795" i="15"/>
  <c r="T16794" i="15"/>
  <c r="T16793" i="15"/>
  <c r="T16792" i="15"/>
  <c r="T16791" i="15"/>
  <c r="T16790" i="15"/>
  <c r="T16789" i="15"/>
  <c r="T16788" i="15"/>
  <c r="T16787" i="15"/>
  <c r="T16786" i="15"/>
  <c r="T16785" i="15"/>
  <c r="T16784" i="15"/>
  <c r="T16783" i="15"/>
  <c r="T16782" i="15"/>
  <c r="T16781" i="15"/>
  <c r="T16780" i="15"/>
  <c r="T16779" i="15"/>
  <c r="T16778" i="15"/>
  <c r="T16777" i="15"/>
  <c r="T16776" i="15"/>
  <c r="T16775" i="15"/>
  <c r="T16774" i="15"/>
  <c r="T16773" i="15"/>
  <c r="T16772" i="15"/>
  <c r="T16771" i="15"/>
  <c r="T16770" i="15"/>
  <c r="T16769" i="15"/>
  <c r="T16768" i="15"/>
  <c r="T16767" i="15"/>
  <c r="T16766" i="15"/>
  <c r="T16765" i="15"/>
  <c r="T16764" i="15"/>
  <c r="T16763" i="15"/>
  <c r="T16762" i="15"/>
  <c r="T16761" i="15"/>
  <c r="T16760" i="15"/>
  <c r="T16759" i="15"/>
  <c r="T16758" i="15"/>
  <c r="T16757" i="15"/>
  <c r="T16756" i="15"/>
  <c r="T16755" i="15"/>
  <c r="T16754" i="15"/>
  <c r="T16753" i="15"/>
  <c r="T16752" i="15"/>
  <c r="T16751" i="15"/>
  <c r="T16750" i="15"/>
  <c r="T16749" i="15"/>
  <c r="T16748" i="15"/>
  <c r="T16747" i="15"/>
  <c r="T16746" i="15"/>
  <c r="T16745" i="15"/>
  <c r="T16744" i="15"/>
  <c r="T16743" i="15"/>
  <c r="T16742" i="15"/>
  <c r="T16741" i="15"/>
  <c r="T16740" i="15"/>
  <c r="T16739" i="15"/>
  <c r="T16738" i="15"/>
  <c r="T16737" i="15"/>
  <c r="T16736" i="15"/>
  <c r="T16735" i="15"/>
  <c r="T16734" i="15"/>
  <c r="T16733" i="15"/>
  <c r="T16732" i="15"/>
  <c r="T16731" i="15"/>
  <c r="T16730" i="15"/>
  <c r="T16729" i="15"/>
  <c r="T16728" i="15"/>
  <c r="T16727" i="15"/>
  <c r="T16726" i="15"/>
  <c r="T16725" i="15"/>
  <c r="T16724" i="15"/>
  <c r="T16723" i="15"/>
  <c r="T16722" i="15"/>
  <c r="T16721" i="15"/>
  <c r="T16720" i="15"/>
  <c r="T16719" i="15"/>
  <c r="T16718" i="15"/>
  <c r="T16717" i="15"/>
  <c r="T16716" i="15"/>
  <c r="T16715" i="15"/>
  <c r="T16714" i="15"/>
  <c r="T16713" i="15"/>
  <c r="T16712" i="15"/>
  <c r="T16711" i="15"/>
  <c r="T16710" i="15"/>
  <c r="T16709" i="15"/>
  <c r="T16708" i="15"/>
  <c r="T16707" i="15"/>
  <c r="T16706" i="15"/>
  <c r="T16705" i="15"/>
  <c r="T16704" i="15"/>
  <c r="T16703" i="15"/>
  <c r="T16702" i="15"/>
  <c r="T16701" i="15"/>
  <c r="T16700" i="15"/>
  <c r="T16699" i="15"/>
  <c r="T16698" i="15"/>
  <c r="T16697" i="15"/>
  <c r="T16696" i="15"/>
  <c r="T16695" i="15"/>
  <c r="T16694" i="15"/>
  <c r="T16693" i="15"/>
  <c r="T16692" i="15"/>
  <c r="T16691" i="15"/>
  <c r="T16690" i="15"/>
  <c r="T16689" i="15"/>
  <c r="T16688" i="15"/>
  <c r="T16687" i="15"/>
  <c r="T16686" i="15"/>
  <c r="T16685" i="15"/>
  <c r="T16684" i="15"/>
  <c r="T16683" i="15"/>
  <c r="T16682" i="15"/>
  <c r="T16681" i="15"/>
  <c r="T16680" i="15"/>
  <c r="T16679" i="15"/>
  <c r="T16678" i="15"/>
  <c r="T16677" i="15"/>
  <c r="T16676" i="15"/>
  <c r="T16675" i="15"/>
  <c r="T16674" i="15"/>
  <c r="T16673" i="15"/>
  <c r="T16672" i="15"/>
  <c r="T16671" i="15"/>
  <c r="T16670" i="15"/>
  <c r="T16669" i="15"/>
  <c r="T16668" i="15"/>
  <c r="T16667" i="15"/>
  <c r="T16666" i="15"/>
  <c r="T16665" i="15"/>
  <c r="T16664" i="15"/>
  <c r="T16663" i="15"/>
  <c r="T16662" i="15"/>
  <c r="T16661" i="15"/>
  <c r="T16660" i="15"/>
  <c r="T16659" i="15"/>
  <c r="T16658" i="15"/>
  <c r="T16657" i="15"/>
  <c r="T16656" i="15"/>
  <c r="T16655" i="15"/>
  <c r="T16654" i="15"/>
  <c r="T16653" i="15"/>
  <c r="T16652" i="15"/>
  <c r="T16651" i="15"/>
  <c r="T16650" i="15"/>
  <c r="T16649" i="15"/>
  <c r="T16648" i="15"/>
  <c r="T16647" i="15"/>
  <c r="T16646" i="15"/>
  <c r="T16645" i="15"/>
  <c r="T16644" i="15"/>
  <c r="T16643" i="15"/>
  <c r="T16642" i="15"/>
  <c r="T16641" i="15"/>
  <c r="T16640" i="15"/>
  <c r="T16639" i="15"/>
  <c r="T16638" i="15"/>
  <c r="T16637" i="15"/>
  <c r="T16636" i="15"/>
  <c r="T16635" i="15"/>
  <c r="T16634" i="15"/>
  <c r="T16633" i="15"/>
  <c r="T16632" i="15"/>
  <c r="T16631" i="15"/>
  <c r="T16630" i="15"/>
  <c r="T16629" i="15"/>
  <c r="T16628" i="15"/>
  <c r="T16627" i="15"/>
  <c r="T16626" i="15"/>
  <c r="T16625" i="15"/>
  <c r="T16624" i="15"/>
  <c r="T16623" i="15"/>
  <c r="T16622" i="15"/>
  <c r="T16621" i="15"/>
  <c r="T16620" i="15"/>
  <c r="T16619" i="15"/>
  <c r="T16618" i="15"/>
  <c r="T16617" i="15"/>
  <c r="T16616" i="15"/>
  <c r="T16615" i="15"/>
  <c r="T16614" i="15"/>
  <c r="T16613" i="15"/>
  <c r="T16612" i="15"/>
  <c r="T16611" i="15"/>
  <c r="T16610" i="15"/>
  <c r="T16609" i="15"/>
  <c r="T16608" i="15"/>
  <c r="T16607" i="15"/>
  <c r="T16606" i="15"/>
  <c r="T16605" i="15"/>
  <c r="T16604" i="15"/>
  <c r="T16603" i="15"/>
  <c r="T16602" i="15"/>
  <c r="T16601" i="15"/>
  <c r="T16600" i="15"/>
  <c r="T16599" i="15"/>
  <c r="T16598" i="15"/>
  <c r="T16597" i="15"/>
  <c r="T16596" i="15"/>
  <c r="T16595" i="15"/>
  <c r="T16594" i="15"/>
  <c r="T16593" i="15"/>
  <c r="T16592" i="15"/>
  <c r="T16591" i="15"/>
  <c r="T16590" i="15"/>
  <c r="T16589" i="15"/>
  <c r="T16588" i="15"/>
  <c r="T16587" i="15"/>
  <c r="T16586" i="15"/>
  <c r="T16585" i="15"/>
  <c r="T16584" i="15"/>
  <c r="T16583" i="15"/>
  <c r="T16582" i="15"/>
  <c r="T16581" i="15"/>
  <c r="T16580" i="15"/>
  <c r="T16579" i="15"/>
  <c r="T16578" i="15"/>
  <c r="T16577" i="15"/>
  <c r="T16576" i="15"/>
  <c r="T16575" i="15"/>
  <c r="T16574" i="15"/>
  <c r="T16573" i="15"/>
  <c r="T16572" i="15"/>
  <c r="T16571" i="15"/>
  <c r="T16570" i="15"/>
  <c r="T16569" i="15"/>
  <c r="T16568" i="15"/>
  <c r="T16567" i="15"/>
  <c r="T16566" i="15"/>
  <c r="T16565" i="15"/>
  <c r="T16564" i="15"/>
  <c r="T16563" i="15"/>
  <c r="T16562" i="15"/>
  <c r="T16561" i="15"/>
  <c r="T16560" i="15"/>
  <c r="T16559" i="15"/>
  <c r="T16558" i="15"/>
  <c r="T16557" i="15"/>
  <c r="T16556" i="15"/>
  <c r="T16555" i="15"/>
  <c r="T16554" i="15"/>
  <c r="T16553" i="15"/>
  <c r="T16552" i="15"/>
  <c r="T16551" i="15"/>
  <c r="T16550" i="15"/>
  <c r="T16549" i="15"/>
  <c r="T16548" i="15"/>
  <c r="T16547" i="15"/>
  <c r="T16546" i="15"/>
  <c r="T16545" i="15"/>
  <c r="T16544" i="15"/>
  <c r="T16543" i="15"/>
  <c r="T16542" i="15"/>
  <c r="T16541" i="15"/>
  <c r="T16540" i="15"/>
  <c r="T16539" i="15"/>
  <c r="T16538" i="15"/>
  <c r="T16537" i="15"/>
  <c r="T16536" i="15"/>
  <c r="T16535" i="15"/>
  <c r="T16534" i="15"/>
  <c r="T16533" i="15"/>
  <c r="T16532" i="15"/>
  <c r="T16531" i="15"/>
  <c r="T16530" i="15"/>
  <c r="T16529" i="15"/>
  <c r="T16528" i="15"/>
  <c r="T16527" i="15"/>
  <c r="T16526" i="15"/>
  <c r="T16525" i="15"/>
  <c r="T16524" i="15"/>
  <c r="T16523" i="15"/>
  <c r="T16522" i="15"/>
  <c r="T16521" i="15"/>
  <c r="T16520" i="15"/>
  <c r="T16519" i="15"/>
  <c r="T16518" i="15"/>
  <c r="T16517" i="15"/>
  <c r="T16516" i="15"/>
  <c r="T16515" i="15"/>
  <c r="T16514" i="15"/>
  <c r="T16513" i="15"/>
  <c r="T16512" i="15"/>
  <c r="T16511" i="15"/>
  <c r="T16510" i="15"/>
  <c r="T16509" i="15"/>
  <c r="T16508" i="15"/>
  <c r="T16507" i="15"/>
  <c r="T16506" i="15"/>
  <c r="T16505" i="15"/>
  <c r="T16504" i="15"/>
  <c r="T16503" i="15"/>
  <c r="T16502" i="15"/>
  <c r="T16501" i="15"/>
  <c r="T16500" i="15"/>
  <c r="T16499" i="15"/>
  <c r="T16498" i="15"/>
  <c r="T16497" i="15"/>
  <c r="T16496" i="15"/>
  <c r="T16495" i="15"/>
  <c r="T16494" i="15"/>
  <c r="T16493" i="15"/>
  <c r="T16492" i="15"/>
  <c r="T16491" i="15"/>
  <c r="T16490" i="15"/>
  <c r="T16489" i="15"/>
  <c r="T16488" i="15"/>
  <c r="T16487" i="15"/>
  <c r="T16486" i="15"/>
  <c r="T16485" i="15"/>
  <c r="T16484" i="15"/>
  <c r="T16483" i="15"/>
  <c r="T16482" i="15"/>
  <c r="T16481" i="15"/>
  <c r="T16480" i="15"/>
  <c r="T16479" i="15"/>
  <c r="T16478" i="15"/>
  <c r="T16477" i="15"/>
  <c r="T16476" i="15"/>
  <c r="T16475" i="15"/>
  <c r="T16474" i="15"/>
  <c r="T16473" i="15"/>
  <c r="T16472" i="15"/>
  <c r="T16471" i="15"/>
  <c r="T16470" i="15"/>
  <c r="T16469" i="15"/>
  <c r="T16468" i="15"/>
  <c r="T16467" i="15"/>
  <c r="T16466" i="15"/>
  <c r="T16465" i="15"/>
  <c r="T16464" i="15"/>
  <c r="T16463" i="15"/>
  <c r="T16462" i="15"/>
  <c r="T16461" i="15"/>
  <c r="T16460" i="15"/>
  <c r="T16459" i="15"/>
  <c r="T16458" i="15"/>
  <c r="T16457" i="15"/>
  <c r="T16456" i="15"/>
  <c r="T16455" i="15"/>
  <c r="T16454" i="15"/>
  <c r="T16453" i="15"/>
  <c r="T16452" i="15"/>
  <c r="T16451" i="15"/>
  <c r="T16450" i="15"/>
  <c r="T16449" i="15"/>
  <c r="T16448" i="15"/>
  <c r="T16447" i="15"/>
  <c r="T16446" i="15"/>
  <c r="T16445" i="15"/>
  <c r="T16444" i="15"/>
  <c r="T16443" i="15"/>
  <c r="T16442" i="15"/>
  <c r="T16441" i="15"/>
  <c r="T16440" i="15"/>
  <c r="T16439" i="15"/>
  <c r="T16438" i="15"/>
  <c r="T16437" i="15"/>
  <c r="T16436" i="15"/>
  <c r="T16435" i="15"/>
  <c r="T16434" i="15"/>
  <c r="T16433" i="15"/>
  <c r="T16432" i="15"/>
  <c r="T16431" i="15"/>
  <c r="T16430" i="15"/>
  <c r="T16429" i="15"/>
  <c r="T16428" i="15"/>
  <c r="T16427" i="15"/>
  <c r="T16426" i="15"/>
  <c r="T16425" i="15"/>
  <c r="T16424" i="15"/>
  <c r="T16423" i="15"/>
  <c r="T16422" i="15"/>
  <c r="T16421" i="15"/>
  <c r="T16420" i="15"/>
  <c r="T16419" i="15"/>
  <c r="T16418" i="15"/>
  <c r="T16417" i="15"/>
  <c r="T16416" i="15"/>
  <c r="T16415" i="15"/>
  <c r="T16414" i="15"/>
  <c r="T16413" i="15"/>
  <c r="T16412" i="15"/>
  <c r="T16411" i="15"/>
  <c r="T16410" i="15"/>
  <c r="T16409" i="15"/>
  <c r="T16408" i="15"/>
  <c r="T16407" i="15"/>
  <c r="T16406" i="15"/>
  <c r="T16405" i="15"/>
  <c r="T16404" i="15"/>
  <c r="T16403" i="15"/>
  <c r="T16402" i="15"/>
  <c r="T16401" i="15"/>
  <c r="T16400" i="15"/>
  <c r="T16399" i="15"/>
  <c r="T16398" i="15"/>
  <c r="T16397" i="15"/>
  <c r="T16396" i="15"/>
  <c r="T16395" i="15"/>
  <c r="T16394" i="15"/>
  <c r="T16393" i="15"/>
  <c r="T16392" i="15"/>
  <c r="T16391" i="15"/>
  <c r="T16390" i="15"/>
  <c r="T16389" i="15"/>
  <c r="T16388" i="15"/>
  <c r="T16387" i="15"/>
  <c r="T16386" i="15"/>
  <c r="T16385" i="15"/>
  <c r="T16384" i="15"/>
  <c r="T16383" i="15"/>
  <c r="T16382" i="15"/>
  <c r="T16381" i="15"/>
  <c r="T16380" i="15"/>
  <c r="T16379" i="15"/>
  <c r="T16378" i="15"/>
  <c r="T16377" i="15"/>
  <c r="T16376" i="15"/>
  <c r="T16375" i="15"/>
  <c r="T16374" i="15"/>
  <c r="T16373" i="15"/>
  <c r="T16372" i="15"/>
  <c r="T16371" i="15"/>
  <c r="T16370" i="15"/>
  <c r="T16369" i="15"/>
  <c r="T16368" i="15"/>
  <c r="T16367" i="15"/>
  <c r="T16366" i="15"/>
  <c r="T16365" i="15"/>
  <c r="T16364" i="15"/>
  <c r="T16363" i="15"/>
  <c r="T16362" i="15"/>
  <c r="T16361" i="15"/>
  <c r="T16360" i="15"/>
  <c r="T16359" i="15"/>
  <c r="T16358" i="15"/>
  <c r="T16357" i="15"/>
  <c r="T16356" i="15"/>
  <c r="T16355" i="15"/>
  <c r="T16354" i="15"/>
  <c r="T16353" i="15"/>
  <c r="T16352" i="15"/>
  <c r="T16351" i="15"/>
  <c r="T16350" i="15"/>
  <c r="T16349" i="15"/>
  <c r="T16348" i="15"/>
  <c r="T16347" i="15"/>
  <c r="T16346" i="15"/>
  <c r="T16345" i="15"/>
  <c r="T16344" i="15"/>
  <c r="T16343" i="15"/>
  <c r="T16342" i="15"/>
  <c r="T16341" i="15"/>
  <c r="T16340" i="15"/>
  <c r="T16339" i="15"/>
  <c r="T16338" i="15"/>
  <c r="T16337" i="15"/>
  <c r="T16336" i="15"/>
  <c r="T16335" i="15"/>
  <c r="T16334" i="15"/>
  <c r="T16333" i="15"/>
  <c r="T16332" i="15"/>
  <c r="T16331" i="15"/>
  <c r="T16330" i="15"/>
  <c r="T16329" i="15"/>
  <c r="T16328" i="15"/>
  <c r="T16327" i="15"/>
  <c r="T16326" i="15"/>
  <c r="T16325" i="15"/>
  <c r="T16324" i="15"/>
  <c r="T16323" i="15"/>
  <c r="T16322" i="15"/>
  <c r="T16321" i="15"/>
  <c r="T16320" i="15"/>
  <c r="T16319" i="15"/>
  <c r="T16318" i="15"/>
  <c r="T16317" i="15"/>
  <c r="T16316" i="15"/>
  <c r="T16315" i="15"/>
  <c r="T16314" i="15"/>
  <c r="T16313" i="15"/>
  <c r="T16312" i="15"/>
  <c r="T16311" i="15"/>
  <c r="T16310" i="15"/>
  <c r="T16309" i="15"/>
  <c r="T16308" i="15"/>
  <c r="T16307" i="15"/>
  <c r="T16306" i="15"/>
  <c r="T16305" i="15"/>
  <c r="T16304" i="15"/>
  <c r="T16303" i="15"/>
  <c r="T16302" i="15"/>
  <c r="T16301" i="15"/>
  <c r="T16300" i="15"/>
  <c r="T16299" i="15"/>
  <c r="T16298" i="15"/>
  <c r="T16297" i="15"/>
  <c r="T16296" i="15"/>
  <c r="T16295" i="15"/>
  <c r="T16294" i="15"/>
  <c r="T16293" i="15"/>
  <c r="T16292" i="15"/>
  <c r="T16291" i="15"/>
  <c r="T16290" i="15"/>
  <c r="T16289" i="15"/>
  <c r="T16288" i="15"/>
  <c r="T16287" i="15"/>
  <c r="T16286" i="15"/>
  <c r="T16285" i="15"/>
  <c r="T16284" i="15"/>
  <c r="T16283" i="15"/>
  <c r="T16282" i="15"/>
  <c r="T16281" i="15"/>
  <c r="T16280" i="15"/>
  <c r="T16279" i="15"/>
  <c r="T16278" i="15"/>
  <c r="T16277" i="15"/>
  <c r="T16276" i="15"/>
  <c r="T16275" i="15"/>
  <c r="T16274" i="15"/>
  <c r="T16273" i="15"/>
  <c r="T16272" i="15"/>
  <c r="T16271" i="15"/>
  <c r="T16270" i="15"/>
  <c r="T16269" i="15"/>
  <c r="T16268" i="15"/>
  <c r="T16267" i="15"/>
  <c r="T16266" i="15"/>
  <c r="T16265" i="15"/>
  <c r="T16264" i="15"/>
  <c r="T16263" i="15"/>
  <c r="T16262" i="15"/>
  <c r="T16261" i="15"/>
  <c r="T16260" i="15"/>
  <c r="T16259" i="15"/>
  <c r="T16258" i="15"/>
  <c r="T16257" i="15"/>
  <c r="T16256" i="15"/>
  <c r="T16255" i="15"/>
  <c r="T16254" i="15"/>
  <c r="T16253" i="15"/>
  <c r="T16252" i="15"/>
  <c r="T16251" i="15"/>
  <c r="T16250" i="15"/>
  <c r="T16249" i="15"/>
  <c r="T16248" i="15"/>
  <c r="T16247" i="15"/>
  <c r="T16246" i="15"/>
  <c r="T16245" i="15"/>
  <c r="T16244" i="15"/>
  <c r="T16243" i="15"/>
  <c r="T16242" i="15"/>
  <c r="T16241" i="15"/>
  <c r="T16240" i="15"/>
  <c r="T16239" i="15"/>
  <c r="T16238" i="15"/>
  <c r="T16237" i="15"/>
  <c r="T16236" i="15"/>
  <c r="T16235" i="15"/>
  <c r="T16234" i="15"/>
  <c r="T16233" i="15"/>
  <c r="T16232" i="15"/>
  <c r="T16231" i="15"/>
  <c r="T16230" i="15"/>
  <c r="T16229" i="15"/>
  <c r="T16228" i="15"/>
  <c r="T16227" i="15"/>
  <c r="T16226" i="15"/>
  <c r="T16225" i="15"/>
  <c r="T16224" i="15"/>
  <c r="T16223" i="15"/>
  <c r="T16222" i="15"/>
  <c r="T16221" i="15"/>
  <c r="T16220" i="15"/>
  <c r="T16219" i="15"/>
  <c r="T16218" i="15"/>
  <c r="T16217" i="15"/>
  <c r="T16216" i="15"/>
  <c r="T16215" i="15"/>
  <c r="T16214" i="15"/>
  <c r="T16213" i="15"/>
  <c r="T16212" i="15"/>
  <c r="T16211" i="15"/>
  <c r="T16210" i="15"/>
  <c r="T16209" i="15"/>
  <c r="T16208" i="15"/>
  <c r="T16207" i="15"/>
  <c r="T16206" i="15"/>
  <c r="T16205" i="15"/>
  <c r="T16204" i="15"/>
  <c r="T16203" i="15"/>
  <c r="T16202" i="15"/>
  <c r="T16201" i="15"/>
  <c r="T16200" i="15"/>
  <c r="T16199" i="15"/>
  <c r="T16198" i="15"/>
  <c r="T16197" i="15"/>
  <c r="T16196" i="15"/>
  <c r="T16195" i="15"/>
  <c r="T16194" i="15"/>
  <c r="T16193" i="15"/>
  <c r="T16192" i="15"/>
  <c r="T16191" i="15"/>
  <c r="T16190" i="15"/>
  <c r="T16189" i="15"/>
  <c r="T16188" i="15"/>
  <c r="T16187" i="15"/>
  <c r="T16186" i="15"/>
  <c r="T16185" i="15"/>
  <c r="T16184" i="15"/>
  <c r="T16183" i="15"/>
  <c r="T16182" i="15"/>
  <c r="T16181" i="15"/>
  <c r="T16180" i="15"/>
  <c r="T16179" i="15"/>
  <c r="T16178" i="15"/>
  <c r="T16177" i="15"/>
  <c r="T16176" i="15"/>
  <c r="T16175" i="15"/>
  <c r="T16174" i="15"/>
  <c r="T16173" i="15"/>
  <c r="T16172" i="15"/>
  <c r="T16171" i="15"/>
  <c r="T16170" i="15"/>
  <c r="T16169" i="15"/>
  <c r="T16168" i="15"/>
  <c r="T16167" i="15"/>
  <c r="T16166" i="15"/>
  <c r="T16165" i="15"/>
  <c r="T16164" i="15"/>
  <c r="T16163" i="15"/>
  <c r="T16162" i="15"/>
  <c r="T16161" i="15"/>
  <c r="T16160" i="15"/>
  <c r="T16159" i="15"/>
  <c r="T16158" i="15"/>
  <c r="T16157" i="15"/>
  <c r="T16156" i="15"/>
  <c r="T16155" i="15"/>
  <c r="T16154" i="15"/>
  <c r="T16153" i="15"/>
  <c r="T16152" i="15"/>
  <c r="T16151" i="15"/>
  <c r="T16150" i="15"/>
  <c r="T16149" i="15"/>
  <c r="T16148" i="15"/>
  <c r="T16147" i="15"/>
  <c r="T16146" i="15"/>
  <c r="T16145" i="15"/>
  <c r="T16144" i="15"/>
  <c r="T16143" i="15"/>
  <c r="T16142" i="15"/>
  <c r="T16141" i="15"/>
  <c r="T16140" i="15"/>
  <c r="T16139" i="15"/>
  <c r="T16138" i="15"/>
  <c r="T16137" i="15"/>
  <c r="T16136" i="15"/>
  <c r="T16135" i="15"/>
  <c r="T16134" i="15"/>
  <c r="T16133" i="15"/>
  <c r="T16132" i="15"/>
  <c r="T16131" i="15"/>
  <c r="T16130" i="15"/>
  <c r="T16129" i="15"/>
  <c r="T16128" i="15"/>
  <c r="T16127" i="15"/>
  <c r="T16126" i="15"/>
  <c r="T16125" i="15"/>
  <c r="T16124" i="15"/>
  <c r="T16123" i="15"/>
  <c r="T16122" i="15"/>
  <c r="T16121" i="15"/>
  <c r="T16120" i="15"/>
  <c r="T16119" i="15"/>
  <c r="T16118" i="15"/>
  <c r="T16117" i="15"/>
  <c r="T16116" i="15"/>
  <c r="T16115" i="15"/>
  <c r="T16114" i="15"/>
  <c r="T16113" i="15"/>
  <c r="T16112" i="15"/>
  <c r="T16111" i="15"/>
  <c r="T16110" i="15"/>
  <c r="T16109" i="15"/>
  <c r="T16108" i="15"/>
  <c r="T16107" i="15"/>
  <c r="T16106" i="15"/>
  <c r="T16105" i="15"/>
  <c r="T16104" i="15"/>
  <c r="T16103" i="15"/>
  <c r="T16102" i="15"/>
  <c r="T16101" i="15"/>
  <c r="T16100" i="15"/>
  <c r="T16099" i="15"/>
  <c r="T16098" i="15"/>
  <c r="T16097" i="15"/>
  <c r="T16096" i="15"/>
  <c r="T16095" i="15"/>
  <c r="T16094" i="15"/>
  <c r="T16093" i="15"/>
  <c r="T16092" i="15"/>
  <c r="T16091" i="15"/>
  <c r="T16090" i="15"/>
  <c r="T16089" i="15"/>
  <c r="T16088" i="15"/>
  <c r="T16087" i="15"/>
  <c r="T16086" i="15"/>
  <c r="T16085" i="15"/>
  <c r="T16084" i="15"/>
  <c r="T16083" i="15"/>
  <c r="T16082" i="15"/>
  <c r="T16081" i="15"/>
  <c r="T16080" i="15"/>
  <c r="T16079" i="15"/>
  <c r="T16078" i="15"/>
  <c r="T16077" i="15"/>
  <c r="T16076" i="15"/>
  <c r="T16075" i="15"/>
  <c r="T16074" i="15"/>
  <c r="T16073" i="15"/>
  <c r="T16072" i="15"/>
  <c r="T16071" i="15"/>
  <c r="T16070" i="15"/>
  <c r="T16069" i="15"/>
  <c r="T16068" i="15"/>
  <c r="T16067" i="15"/>
  <c r="T16066" i="15"/>
  <c r="T16065" i="15"/>
  <c r="T16064" i="15"/>
  <c r="T16063" i="15"/>
  <c r="T16062" i="15"/>
  <c r="T16061" i="15"/>
  <c r="T16060" i="15"/>
  <c r="T16059" i="15"/>
  <c r="T16058" i="15"/>
  <c r="T16057" i="15"/>
  <c r="T16056" i="15"/>
  <c r="T16055" i="15"/>
  <c r="T16054" i="15"/>
  <c r="T16053" i="15"/>
  <c r="T16052" i="15"/>
  <c r="T16051" i="15"/>
  <c r="T16050" i="15"/>
  <c r="T16049" i="15"/>
  <c r="T16048" i="15"/>
  <c r="T16047" i="15"/>
  <c r="T16046" i="15"/>
  <c r="T16045" i="15"/>
  <c r="T16044" i="15"/>
  <c r="T16043" i="15"/>
  <c r="T16042" i="15"/>
  <c r="T16041" i="15"/>
  <c r="T16040" i="15"/>
  <c r="T16039" i="15"/>
  <c r="T16038" i="15"/>
  <c r="T16037" i="15"/>
  <c r="T16036" i="15"/>
  <c r="T16035" i="15"/>
  <c r="T16034" i="15"/>
  <c r="T16033" i="15"/>
  <c r="T16032" i="15"/>
  <c r="T16031" i="15"/>
  <c r="T16030" i="15"/>
  <c r="T16029" i="15"/>
  <c r="T16028" i="15"/>
  <c r="T16027" i="15"/>
  <c r="T16026" i="15"/>
  <c r="T16025" i="15"/>
  <c r="T16024" i="15"/>
  <c r="T16023" i="15"/>
  <c r="T16022" i="15"/>
  <c r="T16021" i="15"/>
  <c r="T16020" i="15"/>
  <c r="T16019" i="15"/>
  <c r="T16018" i="15"/>
  <c r="T16017" i="15"/>
  <c r="T16016" i="15"/>
  <c r="T16015" i="15"/>
  <c r="T16014" i="15"/>
  <c r="T16013" i="15"/>
  <c r="T16012" i="15"/>
  <c r="T16011" i="15"/>
  <c r="T16010" i="15"/>
  <c r="T16009" i="15"/>
  <c r="T16008" i="15"/>
  <c r="T16007" i="15"/>
  <c r="T16006" i="15"/>
  <c r="T16005" i="15"/>
  <c r="T16004" i="15"/>
  <c r="T16003" i="15"/>
  <c r="T16002" i="15"/>
  <c r="T16001" i="15"/>
  <c r="T16000" i="15"/>
  <c r="T15999" i="15"/>
  <c r="T15998" i="15"/>
  <c r="T15997" i="15"/>
  <c r="T15996" i="15"/>
  <c r="T15995" i="15"/>
  <c r="T15994" i="15"/>
  <c r="T15993" i="15"/>
  <c r="T15992" i="15"/>
  <c r="T15991" i="15"/>
  <c r="T15990" i="15"/>
  <c r="T15989" i="15"/>
  <c r="T15988" i="15"/>
  <c r="T15987" i="15"/>
  <c r="T15986" i="15"/>
  <c r="T15985" i="15"/>
  <c r="T15984" i="15"/>
  <c r="T15983" i="15"/>
  <c r="T15982" i="15"/>
  <c r="T15981" i="15"/>
  <c r="T15980" i="15"/>
  <c r="T15979" i="15"/>
  <c r="T15978" i="15"/>
  <c r="T15977" i="15"/>
  <c r="T15976" i="15"/>
  <c r="T15975" i="15"/>
  <c r="T15974" i="15"/>
  <c r="T15973" i="15"/>
  <c r="T15972" i="15"/>
  <c r="T15971" i="15"/>
  <c r="T15970" i="15"/>
  <c r="T15969" i="15"/>
  <c r="T15968" i="15"/>
  <c r="T15967" i="15"/>
  <c r="T15966" i="15"/>
  <c r="T15965" i="15"/>
  <c r="T15964" i="15"/>
  <c r="T15963" i="15"/>
  <c r="T15962" i="15"/>
  <c r="T15961" i="15"/>
  <c r="T15960" i="15"/>
  <c r="T15959" i="15"/>
  <c r="T15958" i="15"/>
  <c r="T15957" i="15"/>
  <c r="T15956" i="15"/>
  <c r="T15955" i="15"/>
  <c r="T15954" i="15"/>
  <c r="T15953" i="15"/>
  <c r="T15952" i="15"/>
  <c r="T15951" i="15"/>
  <c r="T15950" i="15"/>
  <c r="T15949" i="15"/>
  <c r="T15948" i="15"/>
  <c r="T15947" i="15"/>
  <c r="T15946" i="15"/>
  <c r="T15945" i="15"/>
  <c r="T15944" i="15"/>
  <c r="T15943" i="15"/>
  <c r="T15942" i="15"/>
  <c r="T15941" i="15"/>
  <c r="T15940" i="15"/>
  <c r="T15939" i="15"/>
  <c r="T15938" i="15"/>
  <c r="T15937" i="15"/>
  <c r="T15936" i="15"/>
  <c r="T15935" i="15"/>
  <c r="T15934" i="15"/>
  <c r="T15933" i="15"/>
  <c r="T15932" i="15"/>
  <c r="T15931" i="15"/>
  <c r="T15930" i="15"/>
  <c r="T15929" i="15"/>
  <c r="T15928" i="15"/>
  <c r="T15927" i="15"/>
  <c r="T15926" i="15"/>
  <c r="T15925" i="15"/>
  <c r="T15924" i="15"/>
  <c r="T15923" i="15"/>
  <c r="T15922" i="15"/>
  <c r="T15921" i="15"/>
  <c r="T15920" i="15"/>
  <c r="T15919" i="15"/>
  <c r="T15918" i="15"/>
  <c r="T15917" i="15"/>
  <c r="T15916" i="15"/>
  <c r="T15915" i="15"/>
  <c r="T15914" i="15"/>
  <c r="T15913" i="15"/>
  <c r="T15912" i="15"/>
  <c r="T15911" i="15"/>
  <c r="T15910" i="15"/>
  <c r="T15909" i="15"/>
  <c r="T15908" i="15"/>
  <c r="T15907" i="15"/>
  <c r="T15906" i="15"/>
  <c r="T15905" i="15"/>
  <c r="T15904" i="15"/>
  <c r="T15903" i="15"/>
  <c r="T15902" i="15"/>
  <c r="T15901" i="15"/>
  <c r="T15900" i="15"/>
  <c r="T15899" i="15"/>
  <c r="T15898" i="15"/>
  <c r="T15897" i="15"/>
  <c r="T15896" i="15"/>
  <c r="T15895" i="15"/>
  <c r="T15894" i="15"/>
  <c r="T15893" i="15"/>
  <c r="T15892" i="15"/>
  <c r="T15891" i="15"/>
  <c r="T15890" i="15"/>
  <c r="T15889" i="15"/>
  <c r="T15888" i="15"/>
  <c r="T15887" i="15"/>
  <c r="T15886" i="15"/>
  <c r="T15885" i="15"/>
  <c r="T15884" i="15"/>
  <c r="T15883" i="15"/>
  <c r="T15882" i="15"/>
  <c r="T15881" i="15"/>
  <c r="T15880" i="15"/>
  <c r="T15879" i="15"/>
  <c r="T15878" i="15"/>
  <c r="T15877" i="15"/>
  <c r="T15876" i="15"/>
  <c r="T15875" i="15"/>
  <c r="T15874" i="15"/>
  <c r="T15873" i="15"/>
  <c r="T15872" i="15"/>
  <c r="T15871" i="15"/>
  <c r="T15870" i="15"/>
  <c r="T15869" i="15"/>
  <c r="T15868" i="15"/>
  <c r="T15867" i="15"/>
  <c r="T15866" i="15"/>
  <c r="T15865" i="15"/>
  <c r="T15864" i="15"/>
  <c r="T15863" i="15"/>
  <c r="T15862" i="15"/>
  <c r="T15861" i="15"/>
  <c r="T15860" i="15"/>
  <c r="T15859" i="15"/>
  <c r="T15858" i="15"/>
  <c r="T15857" i="15"/>
  <c r="T15856" i="15"/>
  <c r="T15855" i="15"/>
  <c r="T15854" i="15"/>
  <c r="T15853" i="15"/>
  <c r="T15852" i="15"/>
  <c r="T15851" i="15"/>
  <c r="T15850" i="15"/>
  <c r="T15849" i="15"/>
  <c r="T15848" i="15"/>
  <c r="T15847" i="15"/>
  <c r="T15846" i="15"/>
  <c r="T15845" i="15"/>
  <c r="T15844" i="15"/>
  <c r="T15843" i="15"/>
  <c r="T15842" i="15"/>
  <c r="T15841" i="15"/>
  <c r="T15840" i="15"/>
  <c r="T15839" i="15"/>
  <c r="T15838" i="15"/>
  <c r="T15837" i="15"/>
  <c r="T15836" i="15"/>
  <c r="T15835" i="15"/>
  <c r="T15834" i="15"/>
  <c r="T15833" i="15"/>
  <c r="T15832" i="15"/>
  <c r="T15831" i="15"/>
  <c r="T15830" i="15"/>
  <c r="T15829" i="15"/>
  <c r="T15828" i="15"/>
  <c r="T15827" i="15"/>
  <c r="T15826" i="15"/>
  <c r="T15825" i="15"/>
  <c r="T15824" i="15"/>
  <c r="T15823" i="15"/>
  <c r="T15822" i="15"/>
  <c r="T15821" i="15"/>
  <c r="T15820" i="15"/>
  <c r="T15819" i="15"/>
  <c r="T15818" i="15"/>
  <c r="T15817" i="15"/>
  <c r="T15816" i="15"/>
  <c r="T15815" i="15"/>
  <c r="T15814" i="15"/>
  <c r="T15813" i="15"/>
  <c r="T15812" i="15"/>
  <c r="T15811" i="15"/>
  <c r="T15810" i="15"/>
  <c r="T15809" i="15"/>
  <c r="T15808" i="15"/>
  <c r="T15807" i="15"/>
  <c r="T15806" i="15"/>
  <c r="T15805" i="15"/>
  <c r="T15804" i="15"/>
  <c r="T15803" i="15"/>
  <c r="T15802" i="15"/>
  <c r="T15801" i="15"/>
  <c r="T15800" i="15"/>
  <c r="T15799" i="15"/>
  <c r="T15798" i="15"/>
  <c r="T15797" i="15"/>
  <c r="T15796" i="15"/>
  <c r="T15795" i="15"/>
  <c r="T15794" i="15"/>
  <c r="T15793" i="15"/>
  <c r="T15792" i="15"/>
  <c r="T15791" i="15"/>
  <c r="T15790" i="15"/>
  <c r="T15789" i="15"/>
  <c r="T15788" i="15"/>
  <c r="T15787" i="15"/>
  <c r="T15786" i="15"/>
  <c r="T15785" i="15"/>
  <c r="T15784" i="15"/>
  <c r="T15783" i="15"/>
  <c r="T15782" i="15"/>
  <c r="T15781" i="15"/>
  <c r="T15780" i="15"/>
  <c r="T15779" i="15"/>
  <c r="T15778" i="15"/>
  <c r="T15777" i="15"/>
  <c r="T15776" i="15"/>
  <c r="T15775" i="15"/>
  <c r="T15774" i="15"/>
  <c r="T15773" i="15"/>
  <c r="T15772" i="15"/>
  <c r="T15771" i="15"/>
  <c r="T15770" i="15"/>
  <c r="T15769" i="15"/>
  <c r="T15768" i="15"/>
  <c r="T15767" i="15"/>
  <c r="T15766" i="15"/>
  <c r="T15765" i="15"/>
  <c r="T15764" i="15"/>
  <c r="T15763" i="15"/>
  <c r="T15762" i="15"/>
  <c r="T15761" i="15"/>
  <c r="T15760" i="15"/>
  <c r="T15759" i="15"/>
  <c r="T15758" i="15"/>
  <c r="T15757" i="15"/>
  <c r="T15756" i="15"/>
  <c r="T15755" i="15"/>
  <c r="T15754" i="15"/>
  <c r="T15753" i="15"/>
  <c r="T15752" i="15"/>
  <c r="T15751" i="15"/>
  <c r="T15750" i="15"/>
  <c r="T15749" i="15"/>
  <c r="T15748" i="15"/>
  <c r="T15747" i="15"/>
  <c r="T15746" i="15"/>
  <c r="T15745" i="15"/>
  <c r="T15744" i="15"/>
  <c r="T15743" i="15"/>
  <c r="T15742" i="15"/>
  <c r="T15741" i="15"/>
  <c r="T15740" i="15"/>
  <c r="T15739" i="15"/>
  <c r="T15738" i="15"/>
  <c r="T15737" i="15"/>
  <c r="T15736" i="15"/>
  <c r="T15735" i="15"/>
  <c r="T15734" i="15"/>
  <c r="T15733" i="15"/>
  <c r="T15732" i="15"/>
  <c r="T15731" i="15"/>
  <c r="T15730" i="15"/>
  <c r="T15729" i="15"/>
  <c r="T15728" i="15"/>
  <c r="T15727" i="15"/>
  <c r="T15726" i="15"/>
  <c r="T15725" i="15"/>
  <c r="T15724" i="15"/>
  <c r="T15723" i="15"/>
  <c r="T15722" i="15"/>
  <c r="T15721" i="15"/>
  <c r="T15720" i="15"/>
  <c r="T15719" i="15"/>
  <c r="T15718" i="15"/>
  <c r="T15717" i="15"/>
  <c r="T15716" i="15"/>
  <c r="T15715" i="15"/>
  <c r="T15714" i="15"/>
  <c r="T15713" i="15"/>
  <c r="T15712" i="15"/>
  <c r="T15711" i="15"/>
  <c r="T15710" i="15"/>
  <c r="T15709" i="15"/>
  <c r="T15708" i="15"/>
  <c r="T15707" i="15"/>
  <c r="T15706" i="15"/>
  <c r="T15705" i="15"/>
  <c r="T15704" i="15"/>
  <c r="T15703" i="15"/>
  <c r="T15702" i="15"/>
  <c r="T15701" i="15"/>
  <c r="T15700" i="15"/>
  <c r="T15699" i="15"/>
  <c r="T15698" i="15"/>
  <c r="T15697" i="15"/>
  <c r="T15696" i="15"/>
  <c r="T15695" i="15"/>
  <c r="T15694" i="15"/>
  <c r="T15693" i="15"/>
  <c r="T15692" i="15"/>
  <c r="T15691" i="15"/>
  <c r="T15690" i="15"/>
  <c r="T15689" i="15"/>
  <c r="T15688" i="15"/>
  <c r="T15687" i="15"/>
  <c r="T15686" i="15"/>
  <c r="T15685" i="15"/>
  <c r="T15684" i="15"/>
  <c r="T15683" i="15"/>
  <c r="T15682" i="15"/>
  <c r="T15681" i="15"/>
  <c r="T15680" i="15"/>
  <c r="T15679" i="15"/>
  <c r="T15678" i="15"/>
  <c r="T15677" i="15"/>
  <c r="T15676" i="15"/>
  <c r="T15675" i="15"/>
  <c r="T15674" i="15"/>
  <c r="T15673" i="15"/>
  <c r="T15672" i="15"/>
  <c r="T15671" i="15"/>
  <c r="T15670" i="15"/>
  <c r="T15669" i="15"/>
  <c r="T15668" i="15"/>
  <c r="T15667" i="15"/>
  <c r="T15666" i="15"/>
  <c r="T15665" i="15"/>
  <c r="T15664" i="15"/>
  <c r="T15663" i="15"/>
  <c r="T15662" i="15"/>
  <c r="T15661" i="15"/>
  <c r="T15660" i="15"/>
  <c r="T15659" i="15"/>
  <c r="T15658" i="15"/>
  <c r="T15657" i="15"/>
  <c r="T15656" i="15"/>
  <c r="T15655" i="15"/>
  <c r="T15654" i="15"/>
  <c r="T15653" i="15"/>
  <c r="T15652" i="15"/>
  <c r="T15651" i="15"/>
  <c r="T15650" i="15"/>
  <c r="T15649" i="15"/>
  <c r="T15648" i="15"/>
  <c r="T15647" i="15"/>
  <c r="T15646" i="15"/>
  <c r="T15645" i="15"/>
  <c r="T15644" i="15"/>
  <c r="T15643" i="15"/>
  <c r="T15642" i="15"/>
  <c r="T15641" i="15"/>
  <c r="T15640" i="15"/>
  <c r="T15639" i="15"/>
  <c r="T15638" i="15"/>
  <c r="T15637" i="15"/>
  <c r="T15636" i="15"/>
  <c r="T15635" i="15"/>
  <c r="T15634" i="15"/>
  <c r="T15633" i="15"/>
  <c r="T15632" i="15"/>
  <c r="T15631" i="15"/>
  <c r="T15630" i="15"/>
  <c r="T15629" i="15"/>
  <c r="T15628" i="15"/>
  <c r="T15627" i="15"/>
  <c r="T15626" i="15"/>
  <c r="T15625" i="15"/>
  <c r="T15624" i="15"/>
  <c r="T15623" i="15"/>
  <c r="T15622" i="15"/>
  <c r="T15621" i="15"/>
  <c r="T15620" i="15"/>
  <c r="T15619" i="15"/>
  <c r="T15618" i="15"/>
  <c r="T15617" i="15"/>
  <c r="T15616" i="15"/>
  <c r="T15615" i="15"/>
  <c r="T15614" i="15"/>
  <c r="T15613" i="15"/>
  <c r="T15612" i="15"/>
  <c r="T15611" i="15"/>
  <c r="T15610" i="15"/>
  <c r="T15609" i="15"/>
  <c r="T15608" i="15"/>
  <c r="T15607" i="15"/>
  <c r="T15606" i="15"/>
  <c r="T15605" i="15"/>
  <c r="T15604" i="15"/>
  <c r="T15603" i="15"/>
  <c r="T15602" i="15"/>
  <c r="T15601" i="15"/>
  <c r="T15600" i="15"/>
  <c r="T15599" i="15"/>
  <c r="T15598" i="15"/>
  <c r="T15597" i="15"/>
  <c r="T15596" i="15"/>
  <c r="T15595" i="15"/>
  <c r="T15594" i="15"/>
  <c r="T15593" i="15"/>
  <c r="T15592" i="15"/>
  <c r="T15591" i="15"/>
  <c r="T15590" i="15"/>
  <c r="T15589" i="15"/>
  <c r="T15588" i="15"/>
  <c r="T15587" i="15"/>
  <c r="T15586" i="15"/>
  <c r="T15585" i="15"/>
  <c r="T15584" i="15"/>
  <c r="T15583" i="15"/>
  <c r="T15582" i="15"/>
  <c r="T15581" i="15"/>
  <c r="T15580" i="15"/>
  <c r="T15579" i="15"/>
  <c r="T15578" i="15"/>
  <c r="T15577" i="15"/>
  <c r="T15576" i="15"/>
  <c r="T15575" i="15"/>
  <c r="T15574" i="15"/>
  <c r="T15573" i="15"/>
  <c r="T15572" i="15"/>
  <c r="T15571" i="15"/>
  <c r="T15570" i="15"/>
  <c r="T15569" i="15"/>
  <c r="T15568" i="15"/>
  <c r="T15567" i="15"/>
  <c r="T15566" i="15"/>
  <c r="T15565" i="15"/>
  <c r="T15564" i="15"/>
  <c r="T15563" i="15"/>
  <c r="T15562" i="15"/>
  <c r="T15561" i="15"/>
  <c r="T15560" i="15"/>
  <c r="T15559" i="15"/>
  <c r="T15558" i="15"/>
  <c r="T15557" i="15"/>
  <c r="T15556" i="15"/>
  <c r="T15555" i="15"/>
  <c r="T15554" i="15"/>
  <c r="T15553" i="15"/>
  <c r="T15552" i="15"/>
  <c r="T15551" i="15"/>
  <c r="T15550" i="15"/>
  <c r="T15549" i="15"/>
  <c r="T15548" i="15"/>
  <c r="T15547" i="15"/>
  <c r="T15546" i="15"/>
  <c r="T15545" i="15"/>
  <c r="T15544" i="15"/>
  <c r="T15543" i="15"/>
  <c r="T15542" i="15"/>
  <c r="T15541" i="15"/>
  <c r="T15540" i="15"/>
  <c r="T15539" i="15"/>
  <c r="T15538" i="15"/>
  <c r="T15537" i="15"/>
  <c r="T15536" i="15"/>
  <c r="T15535" i="15"/>
  <c r="T15534" i="15"/>
  <c r="T15533" i="15"/>
  <c r="T15532" i="15"/>
  <c r="T15531" i="15"/>
  <c r="T15530" i="15"/>
  <c r="T15529" i="15"/>
  <c r="T15528" i="15"/>
  <c r="T15527" i="15"/>
  <c r="T15526" i="15"/>
  <c r="T15525" i="15"/>
  <c r="T15524" i="15"/>
  <c r="T15523" i="15"/>
  <c r="T15522" i="15"/>
  <c r="T15521" i="15"/>
  <c r="T15520" i="15"/>
  <c r="T15519" i="15"/>
  <c r="T15518" i="15"/>
  <c r="T15517" i="15"/>
  <c r="T15516" i="15"/>
  <c r="T15515" i="15"/>
  <c r="T15514" i="15"/>
  <c r="T15513" i="15"/>
  <c r="T15512" i="15"/>
  <c r="T15511" i="15"/>
  <c r="T15510" i="15"/>
  <c r="T15509" i="15"/>
  <c r="T15508" i="15"/>
  <c r="T15507" i="15"/>
  <c r="T15506" i="15"/>
  <c r="T15505" i="15"/>
  <c r="T15504" i="15"/>
  <c r="T15503" i="15"/>
  <c r="T15502" i="15"/>
  <c r="T15501" i="15"/>
  <c r="T15500" i="15"/>
  <c r="T15499" i="15"/>
  <c r="T15498" i="15"/>
  <c r="T15497" i="15"/>
  <c r="T15496" i="15"/>
  <c r="T15495" i="15"/>
  <c r="T15494" i="15"/>
  <c r="T15493" i="15"/>
  <c r="T15492" i="15"/>
  <c r="T15491" i="15"/>
  <c r="T15490" i="15"/>
  <c r="T15489" i="15"/>
  <c r="T15488" i="15"/>
  <c r="T15487" i="15"/>
  <c r="T15486" i="15"/>
  <c r="T15485" i="15"/>
  <c r="T15484" i="15"/>
  <c r="T15483" i="15"/>
  <c r="T15482" i="15"/>
  <c r="T15481" i="15"/>
  <c r="T15480" i="15"/>
  <c r="T15479" i="15"/>
  <c r="T15478" i="15"/>
  <c r="T15477" i="15"/>
  <c r="T15476" i="15"/>
  <c r="T15475" i="15"/>
  <c r="T15474" i="15"/>
  <c r="T15473" i="15"/>
  <c r="T15472" i="15"/>
  <c r="T15471" i="15"/>
  <c r="T15470" i="15"/>
  <c r="T15469" i="15"/>
  <c r="T15468" i="15"/>
  <c r="T15467" i="15"/>
  <c r="T15466" i="15"/>
  <c r="T15465" i="15"/>
  <c r="T15464" i="15"/>
  <c r="T15463" i="15"/>
  <c r="T15462" i="15"/>
  <c r="T15461" i="15"/>
  <c r="T15460" i="15"/>
  <c r="T15459" i="15"/>
  <c r="T15458" i="15"/>
  <c r="T15457" i="15"/>
  <c r="T15456" i="15"/>
  <c r="T15455" i="15"/>
  <c r="T15454" i="15"/>
  <c r="T15453" i="15"/>
  <c r="T15452" i="15"/>
  <c r="T15451" i="15"/>
  <c r="T15450" i="15"/>
  <c r="T15449" i="15"/>
  <c r="T15448" i="15"/>
  <c r="T15447" i="15"/>
  <c r="T15446" i="15"/>
  <c r="T15445" i="15"/>
  <c r="T15444" i="15"/>
  <c r="T15443" i="15"/>
  <c r="T15442" i="15"/>
  <c r="T15441" i="15"/>
  <c r="T15440" i="15"/>
  <c r="T15439" i="15"/>
  <c r="T15438" i="15"/>
  <c r="T15437" i="15"/>
  <c r="T15436" i="15"/>
  <c r="T15435" i="15"/>
  <c r="T15434" i="15"/>
  <c r="T15433" i="15"/>
  <c r="T15432" i="15"/>
  <c r="T15431" i="15"/>
  <c r="T15430" i="15"/>
  <c r="T15429" i="15"/>
  <c r="T15428" i="15"/>
  <c r="T15427" i="15"/>
  <c r="T15426" i="15"/>
  <c r="T15425" i="15"/>
  <c r="T15424" i="15"/>
  <c r="T15423" i="15"/>
  <c r="T15422" i="15"/>
  <c r="T15421" i="15"/>
  <c r="T15420" i="15"/>
  <c r="T15419" i="15"/>
  <c r="T15418" i="15"/>
  <c r="T15417" i="15"/>
  <c r="T15416" i="15"/>
  <c r="T15415" i="15"/>
  <c r="T15414" i="15"/>
  <c r="T15413" i="15"/>
  <c r="T15412" i="15"/>
  <c r="T15411" i="15"/>
  <c r="T15410" i="15"/>
  <c r="T15409" i="15"/>
  <c r="T15408" i="15"/>
  <c r="T15407" i="15"/>
  <c r="T15406" i="15"/>
  <c r="T15405" i="15"/>
  <c r="T15404" i="15"/>
  <c r="T15403" i="15"/>
  <c r="T15402" i="15"/>
  <c r="T15401" i="15"/>
  <c r="T15400" i="15"/>
  <c r="T15399" i="15"/>
  <c r="T15398" i="15"/>
  <c r="T15397" i="15"/>
  <c r="T15396" i="15"/>
  <c r="T15395" i="15"/>
  <c r="T15394" i="15"/>
  <c r="T15393" i="15"/>
  <c r="T15392" i="15"/>
  <c r="T15391" i="15"/>
  <c r="T15390" i="15"/>
  <c r="T15389" i="15"/>
  <c r="T15388" i="15"/>
  <c r="T15387" i="15"/>
  <c r="T15386" i="15"/>
  <c r="T15385" i="15"/>
  <c r="T15384" i="15"/>
  <c r="T15383" i="15"/>
  <c r="T15382" i="15"/>
  <c r="T15381" i="15"/>
  <c r="T15380" i="15"/>
  <c r="T15379" i="15"/>
  <c r="T15378" i="15"/>
  <c r="T15377" i="15"/>
  <c r="T15376" i="15"/>
  <c r="T15375" i="15"/>
  <c r="T15374" i="15"/>
  <c r="T15373" i="15"/>
  <c r="T15372" i="15"/>
  <c r="T15371" i="15"/>
  <c r="T15370" i="15"/>
  <c r="T15369" i="15"/>
  <c r="T15368" i="15"/>
  <c r="T15367" i="15"/>
  <c r="T15366" i="15"/>
  <c r="T15365" i="15"/>
  <c r="T15364" i="15"/>
  <c r="T15363" i="15"/>
  <c r="T15362" i="15"/>
  <c r="T15361" i="15"/>
  <c r="T15360" i="15"/>
  <c r="T15359" i="15"/>
  <c r="T15358" i="15"/>
  <c r="T15357" i="15"/>
  <c r="T15356" i="15"/>
  <c r="T15355" i="15"/>
  <c r="T15354" i="15"/>
  <c r="T15353" i="15"/>
  <c r="T15352" i="15"/>
  <c r="T15351" i="15"/>
  <c r="T15350" i="15"/>
  <c r="T15349" i="15"/>
  <c r="T15348" i="15"/>
  <c r="T15347" i="15"/>
  <c r="T15346" i="15"/>
  <c r="T15345" i="15"/>
  <c r="T15344" i="15"/>
  <c r="T15343" i="15"/>
  <c r="T15342" i="15"/>
  <c r="T15341" i="15"/>
  <c r="T15340" i="15"/>
  <c r="T15339" i="15"/>
  <c r="T15338" i="15"/>
  <c r="T15337" i="15"/>
  <c r="T15336" i="15"/>
  <c r="T15335" i="15"/>
  <c r="T15334" i="15"/>
  <c r="T15333" i="15"/>
  <c r="T15332" i="15"/>
  <c r="T15331" i="15"/>
  <c r="T15330" i="15"/>
  <c r="T15329" i="15"/>
  <c r="T15328" i="15"/>
  <c r="T15327" i="15"/>
  <c r="T15326" i="15"/>
  <c r="T15325" i="15"/>
  <c r="T15324" i="15"/>
  <c r="T15323" i="15"/>
  <c r="T15322" i="15"/>
  <c r="T15321" i="15"/>
  <c r="T15320" i="15"/>
  <c r="T15319" i="15"/>
  <c r="T15318" i="15"/>
  <c r="T15317" i="15"/>
  <c r="T15316" i="15"/>
  <c r="T15315" i="15"/>
  <c r="T15314" i="15"/>
  <c r="T15313" i="15"/>
  <c r="T15312" i="15"/>
  <c r="T15311" i="15"/>
  <c r="T15310" i="15"/>
  <c r="T15309" i="15"/>
  <c r="T15308" i="15"/>
  <c r="T15307" i="15"/>
  <c r="T15306" i="15"/>
  <c r="T15305" i="15"/>
  <c r="T15304" i="15"/>
  <c r="T15303" i="15"/>
  <c r="T15302" i="15"/>
  <c r="T15301" i="15"/>
  <c r="T15300" i="15"/>
  <c r="T15299" i="15"/>
  <c r="T15298" i="15"/>
  <c r="T15297" i="15"/>
  <c r="T15296" i="15"/>
  <c r="T15295" i="15"/>
  <c r="T15294" i="15"/>
  <c r="T15293" i="15"/>
  <c r="T15292" i="15"/>
  <c r="T15291" i="15"/>
  <c r="T15290" i="15"/>
  <c r="T15289" i="15"/>
  <c r="T15288" i="15"/>
  <c r="T15287" i="15"/>
  <c r="T15286" i="15"/>
  <c r="T15285" i="15"/>
  <c r="T15284" i="15"/>
  <c r="T15283" i="15"/>
  <c r="T15282" i="15"/>
  <c r="T15281" i="15"/>
  <c r="T15280" i="15"/>
  <c r="T15279" i="15"/>
  <c r="T15278" i="15"/>
  <c r="T15277" i="15"/>
  <c r="T15276" i="15"/>
  <c r="T15275" i="15"/>
  <c r="T15274" i="15"/>
  <c r="T15273" i="15"/>
  <c r="T15272" i="15"/>
  <c r="T15271" i="15"/>
  <c r="T15270" i="15"/>
  <c r="T15269" i="15"/>
  <c r="T15268" i="15"/>
  <c r="T15267" i="15"/>
  <c r="T15266" i="15"/>
  <c r="T15265" i="15"/>
  <c r="T15264" i="15"/>
  <c r="T15263" i="15"/>
  <c r="T15262" i="15"/>
  <c r="T15261" i="15"/>
  <c r="T15260" i="15"/>
  <c r="T15259" i="15"/>
  <c r="T15258" i="15"/>
  <c r="T15257" i="15"/>
  <c r="T15256" i="15"/>
  <c r="T15255" i="15"/>
  <c r="T15254" i="15"/>
  <c r="T15253" i="15"/>
  <c r="T15252" i="15"/>
  <c r="T15251" i="15"/>
  <c r="T15250" i="15"/>
  <c r="T15249" i="15"/>
  <c r="T15248" i="15"/>
  <c r="T15247" i="15"/>
  <c r="T15246" i="15"/>
  <c r="T15245" i="15"/>
  <c r="T15244" i="15"/>
  <c r="T15243" i="15"/>
  <c r="T15242" i="15"/>
  <c r="T15241" i="15"/>
  <c r="T15240" i="15"/>
  <c r="T15239" i="15"/>
  <c r="T15238" i="15"/>
  <c r="T15237" i="15"/>
  <c r="T15236" i="15"/>
  <c r="T15235" i="15"/>
  <c r="T15234" i="15"/>
  <c r="T15233" i="15"/>
  <c r="T15232" i="15"/>
  <c r="T15231" i="15"/>
  <c r="T15230" i="15"/>
  <c r="T15229" i="15"/>
  <c r="T15228" i="15"/>
  <c r="T15227" i="15"/>
  <c r="T15226" i="15"/>
  <c r="T15225" i="15"/>
  <c r="T15224" i="15"/>
  <c r="T15223" i="15"/>
  <c r="T15222" i="15"/>
  <c r="T15221" i="15"/>
  <c r="T15220" i="15"/>
  <c r="T15219" i="15"/>
  <c r="T15218" i="15"/>
  <c r="T15217" i="15"/>
  <c r="T15216" i="15"/>
  <c r="T15215" i="15"/>
  <c r="T15214" i="15"/>
  <c r="T15213" i="15"/>
  <c r="T15212" i="15"/>
  <c r="T15211" i="15"/>
  <c r="T15210" i="15"/>
  <c r="T15209" i="15"/>
  <c r="T15208" i="15"/>
  <c r="T15207" i="15"/>
  <c r="T15206" i="15"/>
  <c r="T15205" i="15"/>
  <c r="T15204" i="15"/>
  <c r="T15203" i="15"/>
  <c r="T15202" i="15"/>
  <c r="T15201" i="15"/>
  <c r="T15200" i="15"/>
  <c r="T15199" i="15"/>
  <c r="T15198" i="15"/>
  <c r="T15197" i="15"/>
  <c r="T15196" i="15"/>
  <c r="T15195" i="15"/>
  <c r="T15194" i="15"/>
  <c r="T15193" i="15"/>
  <c r="T15192" i="15"/>
  <c r="T15191" i="15"/>
  <c r="T15190" i="15"/>
  <c r="T15189" i="15"/>
  <c r="T15188" i="15"/>
  <c r="T15187" i="15"/>
  <c r="T15186" i="15"/>
  <c r="T15185" i="15"/>
  <c r="T15184" i="15"/>
  <c r="T15183" i="15"/>
  <c r="T15182" i="15"/>
  <c r="T15181" i="15"/>
  <c r="T15180" i="15"/>
  <c r="T15179" i="15"/>
  <c r="T15178" i="15"/>
  <c r="T15177" i="15"/>
  <c r="T15176" i="15"/>
  <c r="T15175" i="15"/>
  <c r="T15174" i="15"/>
  <c r="T15173" i="15"/>
  <c r="T15172" i="15"/>
  <c r="T15171" i="15"/>
  <c r="T15170" i="15"/>
  <c r="T15169" i="15"/>
  <c r="T15168" i="15"/>
  <c r="T15167" i="15"/>
  <c r="T15166" i="15"/>
  <c r="T15165" i="15"/>
  <c r="T15164" i="15"/>
  <c r="T15163" i="15"/>
  <c r="T15162" i="15"/>
  <c r="T15161" i="15"/>
  <c r="T15160" i="15"/>
  <c r="T15159" i="15"/>
  <c r="T15158" i="15"/>
  <c r="T15157" i="15"/>
  <c r="T15156" i="15"/>
  <c r="T15155" i="15"/>
  <c r="T15154" i="15"/>
  <c r="T15153" i="15"/>
  <c r="T15152" i="15"/>
  <c r="T15151" i="15"/>
  <c r="T15150" i="15"/>
  <c r="T15149" i="15"/>
  <c r="T15148" i="15"/>
  <c r="T15147" i="15"/>
  <c r="T15146" i="15"/>
  <c r="T15145" i="15"/>
  <c r="T15144" i="15"/>
  <c r="T15143" i="15"/>
  <c r="T15142" i="15"/>
  <c r="T15141" i="15"/>
  <c r="T15140" i="15"/>
  <c r="T15139" i="15"/>
  <c r="T15138" i="15"/>
  <c r="T15137" i="15"/>
  <c r="T15136" i="15"/>
  <c r="T15135" i="15"/>
  <c r="T15134" i="15"/>
  <c r="T15133" i="15"/>
  <c r="T15132" i="15"/>
  <c r="T15131" i="15"/>
  <c r="T15130" i="15"/>
  <c r="T15129" i="15"/>
  <c r="T15128" i="15"/>
  <c r="T15127" i="15"/>
  <c r="T15126" i="15"/>
  <c r="T15125" i="15"/>
  <c r="T15124" i="15"/>
  <c r="T15123" i="15"/>
  <c r="T15122" i="15"/>
  <c r="T15121" i="15"/>
  <c r="T15120" i="15"/>
  <c r="T15119" i="15"/>
  <c r="T15118" i="15"/>
  <c r="T15117" i="15"/>
  <c r="T15116" i="15"/>
  <c r="T15115" i="15"/>
  <c r="T15114" i="15"/>
  <c r="T15113" i="15"/>
  <c r="T15112" i="15"/>
  <c r="T15111" i="15"/>
  <c r="T15110" i="15"/>
  <c r="T15109" i="15"/>
  <c r="T15108" i="15"/>
  <c r="T15107" i="15"/>
  <c r="T15106" i="15"/>
  <c r="T15105" i="15"/>
  <c r="T15104" i="15"/>
  <c r="T15103" i="15"/>
  <c r="T15102" i="15"/>
  <c r="T15101" i="15"/>
  <c r="T15100" i="15"/>
  <c r="T15099" i="15"/>
  <c r="T15098" i="15"/>
  <c r="T15097" i="15"/>
  <c r="T15096" i="15"/>
  <c r="T15095" i="15"/>
  <c r="T15094" i="15"/>
  <c r="T15093" i="15"/>
  <c r="T15092" i="15"/>
  <c r="T15091" i="15"/>
  <c r="T15090" i="15"/>
  <c r="T15089" i="15"/>
  <c r="T15088" i="15"/>
  <c r="T15087" i="15"/>
  <c r="T15086" i="15"/>
  <c r="T15085" i="15"/>
  <c r="T15084" i="15"/>
  <c r="T15083" i="15"/>
  <c r="T15082" i="15"/>
  <c r="T15081" i="15"/>
  <c r="T15080" i="15"/>
  <c r="T15079" i="15"/>
  <c r="T15078" i="15"/>
  <c r="T15077" i="15"/>
  <c r="T15076" i="15"/>
  <c r="T15075" i="15"/>
  <c r="T15074" i="15"/>
  <c r="T15073" i="15"/>
  <c r="T15072" i="15"/>
  <c r="T15071" i="15"/>
  <c r="T15070" i="15"/>
  <c r="T15069" i="15"/>
  <c r="T15068" i="15"/>
  <c r="T15067" i="15"/>
  <c r="T15066" i="15"/>
  <c r="T15065" i="15"/>
  <c r="T15064" i="15"/>
  <c r="T15063" i="15"/>
  <c r="T15062" i="15"/>
  <c r="T15061" i="15"/>
  <c r="T15060" i="15"/>
  <c r="T15059" i="15"/>
  <c r="T15058" i="15"/>
  <c r="T15057" i="15"/>
  <c r="T15056" i="15"/>
  <c r="T15055" i="15"/>
  <c r="T15054" i="15"/>
  <c r="T15053" i="15"/>
  <c r="T15052" i="15"/>
  <c r="T15051" i="15"/>
  <c r="T15050" i="15"/>
  <c r="T15049" i="15"/>
  <c r="T15048" i="15"/>
  <c r="T15047" i="15"/>
  <c r="T15046" i="15"/>
  <c r="T15045" i="15"/>
  <c r="T15044" i="15"/>
  <c r="T15043" i="15"/>
  <c r="T15042" i="15"/>
  <c r="T15041" i="15"/>
  <c r="T15040" i="15"/>
  <c r="T15039" i="15"/>
  <c r="T15038" i="15"/>
  <c r="T15037" i="15"/>
  <c r="T15036" i="15"/>
  <c r="T15035" i="15"/>
  <c r="T15034" i="15"/>
  <c r="T15033" i="15"/>
  <c r="T15032" i="15"/>
  <c r="T15031" i="15"/>
  <c r="T15030" i="15"/>
  <c r="T15029" i="15"/>
  <c r="T15028" i="15"/>
  <c r="T15027" i="15"/>
  <c r="T15026" i="15"/>
  <c r="T15025" i="15"/>
  <c r="T15024" i="15"/>
  <c r="T15023" i="15"/>
  <c r="T15022" i="15"/>
  <c r="T15021" i="15"/>
  <c r="T15020" i="15"/>
  <c r="T15019" i="15"/>
  <c r="T15018" i="15"/>
  <c r="T15017" i="15"/>
  <c r="T15016" i="15"/>
  <c r="T15015" i="15"/>
  <c r="T15014" i="15"/>
  <c r="T15013" i="15"/>
  <c r="T15012" i="15"/>
  <c r="T15011" i="15"/>
  <c r="T15010" i="15"/>
  <c r="T15009" i="15"/>
  <c r="T15008" i="15"/>
  <c r="T15007" i="15"/>
  <c r="T15006" i="15"/>
  <c r="T15005" i="15"/>
  <c r="T15004" i="15"/>
  <c r="T15003" i="15"/>
  <c r="T15002" i="15"/>
  <c r="T15001" i="15"/>
  <c r="T15000" i="15"/>
  <c r="T14999" i="15"/>
  <c r="T14998" i="15"/>
  <c r="T14997" i="15"/>
  <c r="T14996" i="15"/>
  <c r="T14995" i="15"/>
  <c r="T14994" i="15"/>
  <c r="T14993" i="15"/>
  <c r="T14992" i="15"/>
  <c r="T14991" i="15"/>
  <c r="T14990" i="15"/>
  <c r="T14989" i="15"/>
  <c r="T14988" i="15"/>
  <c r="T14987" i="15"/>
  <c r="T14986" i="15"/>
  <c r="T14985" i="15"/>
  <c r="T14984" i="15"/>
  <c r="T14983" i="15"/>
  <c r="T14982" i="15"/>
  <c r="T14981" i="15"/>
  <c r="T14980" i="15"/>
  <c r="T14979" i="15"/>
  <c r="T14978" i="15"/>
  <c r="T14977" i="15"/>
  <c r="T14976" i="15"/>
  <c r="T14975" i="15"/>
  <c r="T14974" i="15"/>
  <c r="T14973" i="15"/>
  <c r="T14972" i="15"/>
  <c r="T14971" i="15"/>
  <c r="T14970" i="15"/>
  <c r="T14969" i="15"/>
  <c r="T14968" i="15"/>
  <c r="T14967" i="15"/>
  <c r="T14966" i="15"/>
  <c r="T14965" i="15"/>
  <c r="T14964" i="15"/>
  <c r="T14963" i="15"/>
  <c r="T14962" i="15"/>
  <c r="T14961" i="15"/>
  <c r="T14960" i="15"/>
  <c r="T14959" i="15"/>
  <c r="T14958" i="15"/>
  <c r="T14957" i="15"/>
  <c r="T14956" i="15"/>
  <c r="T14955" i="15"/>
  <c r="T14954" i="15"/>
  <c r="T14953" i="15"/>
  <c r="T14952" i="15"/>
  <c r="T14951" i="15"/>
  <c r="T14950" i="15"/>
  <c r="T14949" i="15"/>
  <c r="T14948" i="15"/>
  <c r="T14947" i="15"/>
  <c r="T14946" i="15"/>
  <c r="T14945" i="15"/>
  <c r="T14944" i="15"/>
  <c r="T14943" i="15"/>
  <c r="T14942" i="15"/>
  <c r="T14941" i="15"/>
  <c r="T14940" i="15"/>
  <c r="T14939" i="15"/>
  <c r="T14938" i="15"/>
  <c r="T14937" i="15"/>
  <c r="T14936" i="15"/>
  <c r="T14935" i="15"/>
  <c r="T14934" i="15"/>
  <c r="T14933" i="15"/>
  <c r="T14932" i="15"/>
  <c r="T14931" i="15"/>
  <c r="T14930" i="15"/>
  <c r="T14929" i="15"/>
  <c r="T14928" i="15"/>
  <c r="T14927" i="15"/>
  <c r="T14926" i="15"/>
  <c r="T14925" i="15"/>
  <c r="T14924" i="15"/>
  <c r="T14923" i="15"/>
  <c r="T14922" i="15"/>
  <c r="T14921" i="15"/>
  <c r="T14920" i="15"/>
  <c r="T14919" i="15"/>
  <c r="T14918" i="15"/>
  <c r="T14917" i="15"/>
  <c r="T14916" i="15"/>
  <c r="T14915" i="15"/>
  <c r="T14914" i="15"/>
  <c r="T14913" i="15"/>
  <c r="T14912" i="15"/>
  <c r="T14911" i="15"/>
  <c r="T14910" i="15"/>
  <c r="T14909" i="15"/>
  <c r="T14908" i="15"/>
  <c r="T14907" i="15"/>
  <c r="T14906" i="15"/>
  <c r="T14905" i="15"/>
  <c r="T14904" i="15"/>
  <c r="T14903" i="15"/>
  <c r="T14902" i="15"/>
  <c r="T14901" i="15"/>
  <c r="T14900" i="15"/>
  <c r="T14899" i="15"/>
  <c r="T14898" i="15"/>
  <c r="T14897" i="15"/>
  <c r="T14896" i="15"/>
  <c r="T14895" i="15"/>
  <c r="T14894" i="15"/>
  <c r="T14893" i="15"/>
  <c r="T14892" i="15"/>
  <c r="T14891" i="15"/>
  <c r="T14890" i="15"/>
  <c r="T14889" i="15"/>
  <c r="T14888" i="15"/>
  <c r="T14887" i="15"/>
  <c r="T14886" i="15"/>
  <c r="T14885" i="15"/>
  <c r="T14884" i="15"/>
  <c r="T14883" i="15"/>
  <c r="T14882" i="15"/>
  <c r="T14881" i="15"/>
  <c r="T14880" i="15"/>
  <c r="T14879" i="15"/>
  <c r="T14878" i="15"/>
  <c r="T14877" i="15"/>
  <c r="T14876" i="15"/>
  <c r="T14875" i="15"/>
  <c r="T14874" i="15"/>
  <c r="T14873" i="15"/>
  <c r="T14872" i="15"/>
  <c r="T14871" i="15"/>
  <c r="T14870" i="15"/>
  <c r="T14869" i="15"/>
  <c r="T14868" i="15"/>
  <c r="T14867" i="15"/>
  <c r="T14866" i="15"/>
  <c r="T14865" i="15"/>
  <c r="T14864" i="15"/>
  <c r="T14863" i="15"/>
  <c r="T14862" i="15"/>
  <c r="T14861" i="15"/>
  <c r="T14860" i="15"/>
  <c r="T14859" i="15"/>
  <c r="T14858" i="15"/>
  <c r="T14857" i="15"/>
  <c r="T14856" i="15"/>
  <c r="T14855" i="15"/>
  <c r="T14854" i="15"/>
  <c r="T14853" i="15"/>
  <c r="T14852" i="15"/>
  <c r="T14851" i="15"/>
  <c r="T14850" i="15"/>
  <c r="T14849" i="15"/>
  <c r="T14848" i="15"/>
  <c r="T14847" i="15"/>
  <c r="T14846" i="15"/>
  <c r="T14845" i="15"/>
  <c r="T14844" i="15"/>
  <c r="T14843" i="15"/>
  <c r="T14842" i="15"/>
  <c r="T14841" i="15"/>
  <c r="T14840" i="15"/>
  <c r="T14839" i="15"/>
  <c r="T14838" i="15"/>
  <c r="T14837" i="15"/>
  <c r="T14836" i="15"/>
  <c r="T14835" i="15"/>
  <c r="T14834" i="15"/>
  <c r="T14833" i="15"/>
  <c r="T14832" i="15"/>
  <c r="T14831" i="15"/>
  <c r="T14830" i="15"/>
  <c r="T14829" i="15"/>
  <c r="T14828" i="15"/>
  <c r="T14827" i="15"/>
  <c r="T14826" i="15"/>
  <c r="T14825" i="15"/>
  <c r="T14824" i="15"/>
  <c r="T14823" i="15"/>
  <c r="T14822" i="15"/>
  <c r="T14821" i="15"/>
  <c r="T14820" i="15"/>
  <c r="T14819" i="15"/>
  <c r="T14818" i="15"/>
  <c r="T14817" i="15"/>
  <c r="T14816" i="15"/>
  <c r="T14815" i="15"/>
  <c r="T14814" i="15"/>
  <c r="T14813" i="15"/>
  <c r="T14812" i="15"/>
  <c r="T14811" i="15"/>
  <c r="T14810" i="15"/>
  <c r="T14809" i="15"/>
  <c r="T14808" i="15"/>
  <c r="T14807" i="15"/>
  <c r="T14806" i="15"/>
  <c r="T14805" i="15"/>
  <c r="T14804" i="15"/>
  <c r="T14803" i="15"/>
  <c r="T14802" i="15"/>
  <c r="T14801" i="15"/>
  <c r="T14800" i="15"/>
  <c r="T14799" i="15"/>
  <c r="T14798" i="15"/>
  <c r="T14797" i="15"/>
  <c r="T14796" i="15"/>
  <c r="T14795" i="15"/>
  <c r="T14794" i="15"/>
  <c r="T14793" i="15"/>
  <c r="T14792" i="15"/>
  <c r="T14791" i="15"/>
  <c r="T14790" i="15"/>
  <c r="T14789" i="15"/>
  <c r="T14788" i="15"/>
  <c r="T14787" i="15"/>
  <c r="T14786" i="15"/>
  <c r="T14785" i="15"/>
  <c r="T14784" i="15"/>
  <c r="T14783" i="15"/>
  <c r="T14782" i="15"/>
  <c r="T14781" i="15"/>
  <c r="T14780" i="15"/>
  <c r="T14779" i="15"/>
  <c r="T14778" i="15"/>
  <c r="T14777" i="15"/>
  <c r="T14776" i="15"/>
  <c r="T14775" i="15"/>
  <c r="T14774" i="15"/>
  <c r="T14773" i="15"/>
  <c r="T14772" i="15"/>
  <c r="T14771" i="15"/>
  <c r="T14770" i="15"/>
  <c r="T14769" i="15"/>
  <c r="T14768" i="15"/>
  <c r="T14767" i="15"/>
  <c r="T14766" i="15"/>
  <c r="T14765" i="15"/>
  <c r="T14764" i="15"/>
  <c r="T14763" i="15"/>
  <c r="T14762" i="15"/>
  <c r="T14761" i="15"/>
  <c r="T14760" i="15"/>
  <c r="T14759" i="15"/>
  <c r="T14758" i="15"/>
  <c r="T14757" i="15"/>
  <c r="T14756" i="15"/>
  <c r="T14755" i="15"/>
  <c r="T14754" i="15"/>
  <c r="T14753" i="15"/>
  <c r="T14752" i="15"/>
  <c r="T14751" i="15"/>
  <c r="T14750" i="15"/>
  <c r="T14749" i="15"/>
  <c r="T14748" i="15"/>
  <c r="T14747" i="15"/>
  <c r="T14746" i="15"/>
  <c r="T14745" i="15"/>
  <c r="T14744" i="15"/>
  <c r="T14743" i="15"/>
  <c r="T14742" i="15"/>
  <c r="T14741" i="15"/>
  <c r="T14740" i="15"/>
  <c r="T14739" i="15"/>
  <c r="T14738" i="15"/>
  <c r="T14737" i="15"/>
  <c r="T14736" i="15"/>
  <c r="T14735" i="15"/>
  <c r="T14734" i="15"/>
  <c r="T14733" i="15"/>
  <c r="T14732" i="15"/>
  <c r="T14731" i="15"/>
  <c r="T14730" i="15"/>
  <c r="T14729" i="15"/>
  <c r="T14728" i="15"/>
  <c r="T14727" i="15"/>
  <c r="T14726" i="15"/>
  <c r="T14725" i="15"/>
  <c r="T14724" i="15"/>
  <c r="T14723" i="15"/>
  <c r="T14722" i="15"/>
  <c r="T14721" i="15"/>
  <c r="T14720" i="15"/>
  <c r="T14719" i="15"/>
  <c r="T14718" i="15"/>
  <c r="T14717" i="15"/>
  <c r="T14716" i="15"/>
  <c r="T14715" i="15"/>
  <c r="T14714" i="15"/>
  <c r="T14713" i="15"/>
  <c r="T14712" i="15"/>
  <c r="T14711" i="15"/>
  <c r="T14710" i="15"/>
  <c r="T14709" i="15"/>
  <c r="T14708" i="15"/>
  <c r="T14707" i="15"/>
  <c r="T14706" i="15"/>
  <c r="T14705" i="15"/>
  <c r="T14704" i="15"/>
  <c r="T14703" i="15"/>
  <c r="T14702" i="15"/>
  <c r="T14701" i="15"/>
  <c r="T14700" i="15"/>
  <c r="T14699" i="15"/>
  <c r="T14698" i="15"/>
  <c r="T14697" i="15"/>
  <c r="T14696" i="15"/>
  <c r="T14695" i="15"/>
  <c r="T14694" i="15"/>
  <c r="T14693" i="15"/>
  <c r="T14692" i="15"/>
  <c r="T14691" i="15"/>
  <c r="T14690" i="15"/>
  <c r="T14689" i="15"/>
  <c r="T14688" i="15"/>
  <c r="T14687" i="15"/>
  <c r="T14686" i="15"/>
  <c r="T14685" i="15"/>
  <c r="T14684" i="15"/>
  <c r="T14683" i="15"/>
  <c r="T14682" i="15"/>
  <c r="T14681" i="15"/>
  <c r="T14680" i="15"/>
  <c r="T14679" i="15"/>
  <c r="T14678" i="15"/>
  <c r="T14677" i="15"/>
  <c r="T14676" i="15"/>
  <c r="T14675" i="15"/>
  <c r="T14674" i="15"/>
  <c r="T14673" i="15"/>
  <c r="T14672" i="15"/>
  <c r="T14671" i="15"/>
  <c r="T14670" i="15"/>
  <c r="T14669" i="15"/>
  <c r="T14668" i="15"/>
  <c r="T14667" i="15"/>
  <c r="T14666" i="15"/>
  <c r="T14665" i="15"/>
  <c r="T14664" i="15"/>
  <c r="T14663" i="15"/>
  <c r="T14662" i="15"/>
  <c r="T14661" i="15"/>
  <c r="T14660" i="15"/>
  <c r="T14659" i="15"/>
  <c r="T14658" i="15"/>
  <c r="T14657" i="15"/>
  <c r="T14656" i="15"/>
  <c r="T14655" i="15"/>
  <c r="T14654" i="15"/>
  <c r="T14653" i="15"/>
  <c r="T14652" i="15"/>
  <c r="T14651" i="15"/>
  <c r="T14650" i="15"/>
  <c r="T14649" i="15"/>
  <c r="T14648" i="15"/>
  <c r="T14647" i="15"/>
  <c r="T14646" i="15"/>
  <c r="T14645" i="15"/>
  <c r="T14644" i="15"/>
  <c r="T14643" i="15"/>
  <c r="T14642" i="15"/>
  <c r="T14641" i="15"/>
  <c r="T14640" i="15"/>
  <c r="T14639" i="15"/>
  <c r="T14638" i="15"/>
  <c r="T14637" i="15"/>
  <c r="T14636" i="15"/>
  <c r="T14635" i="15"/>
  <c r="T14634" i="15"/>
  <c r="T14633" i="15"/>
  <c r="T14632" i="15"/>
  <c r="T14631" i="15"/>
  <c r="T14630" i="15"/>
  <c r="T14629" i="15"/>
  <c r="T14628" i="15"/>
  <c r="T14627" i="15"/>
  <c r="T14626" i="15"/>
  <c r="T14625" i="15"/>
  <c r="T14624" i="15"/>
  <c r="T14623" i="15"/>
  <c r="T14622" i="15"/>
  <c r="T14621" i="15"/>
  <c r="T14620" i="15"/>
  <c r="T14619" i="15"/>
  <c r="T14618" i="15"/>
  <c r="T14617" i="15"/>
  <c r="T14616" i="15"/>
  <c r="T14615" i="15"/>
  <c r="T14614" i="15"/>
  <c r="T14613" i="15"/>
  <c r="T14612" i="15"/>
  <c r="T14611" i="15"/>
  <c r="T14610" i="15"/>
  <c r="T14609" i="15"/>
  <c r="T14608" i="15"/>
  <c r="T14607" i="15"/>
  <c r="T14606" i="15"/>
  <c r="T14605" i="15"/>
  <c r="T14604" i="15"/>
  <c r="T14603" i="15"/>
  <c r="T14602" i="15"/>
  <c r="T14601" i="15"/>
  <c r="T14600" i="15"/>
  <c r="T14599" i="15"/>
  <c r="T14598" i="15"/>
  <c r="T14597" i="15"/>
  <c r="T14596" i="15"/>
  <c r="T14595" i="15"/>
  <c r="T14594" i="15"/>
  <c r="T14593" i="15"/>
  <c r="T14592" i="15"/>
  <c r="T14591" i="15"/>
  <c r="T14590" i="15"/>
  <c r="T14589" i="15"/>
  <c r="T14588" i="15"/>
  <c r="T14587" i="15"/>
  <c r="T14586" i="15"/>
  <c r="T14585" i="15"/>
  <c r="T14584" i="15"/>
  <c r="T14583" i="15"/>
  <c r="T14582" i="15"/>
  <c r="T14581" i="15"/>
  <c r="T14580" i="15"/>
  <c r="T14579" i="15"/>
  <c r="T14578" i="15"/>
  <c r="T14577" i="15"/>
  <c r="T14576" i="15"/>
  <c r="T14575" i="15"/>
  <c r="T14574" i="15"/>
  <c r="T14573" i="15"/>
  <c r="T14572" i="15"/>
  <c r="T14571" i="15"/>
  <c r="T14570" i="15"/>
  <c r="T14569" i="15"/>
  <c r="T14568" i="15"/>
  <c r="T14567" i="15"/>
  <c r="T14566" i="15"/>
  <c r="T14565" i="15"/>
  <c r="T14564" i="15"/>
  <c r="T14563" i="15"/>
  <c r="T14562" i="15"/>
  <c r="T14561" i="15"/>
  <c r="T14560" i="15"/>
  <c r="T14559" i="15"/>
  <c r="T14558" i="15"/>
  <c r="T14557" i="15"/>
  <c r="T14556" i="15"/>
  <c r="T14555" i="15"/>
  <c r="T14554" i="15"/>
  <c r="T14553" i="15"/>
  <c r="T14552" i="15"/>
  <c r="T14551" i="15"/>
  <c r="T14550" i="15"/>
  <c r="T14549" i="15"/>
  <c r="T14548" i="15"/>
  <c r="T14547" i="15"/>
  <c r="T14546" i="15"/>
  <c r="T14545" i="15"/>
  <c r="T14544" i="15"/>
  <c r="T14543" i="15"/>
  <c r="T14542" i="15"/>
  <c r="T14541" i="15"/>
  <c r="T14540" i="15"/>
  <c r="T14539" i="15"/>
  <c r="T14538" i="15"/>
  <c r="T14537" i="15"/>
  <c r="T14536" i="15"/>
  <c r="T14535" i="15"/>
  <c r="T14534" i="15"/>
  <c r="T14533" i="15"/>
  <c r="T14532" i="15"/>
  <c r="T14531" i="15"/>
  <c r="T14530" i="15"/>
  <c r="T14529" i="15"/>
  <c r="T14528" i="15"/>
  <c r="T14527" i="15"/>
  <c r="T14526" i="15"/>
  <c r="T14525" i="15"/>
  <c r="T14524" i="15"/>
  <c r="T14523" i="15"/>
  <c r="T14522" i="15"/>
  <c r="T14521" i="15"/>
  <c r="T14520" i="15"/>
  <c r="T14519" i="15"/>
  <c r="T14518" i="15"/>
  <c r="T14517" i="15"/>
  <c r="T14516" i="15"/>
  <c r="T14515" i="15"/>
  <c r="T14514" i="15"/>
  <c r="T14513" i="15"/>
  <c r="T14512" i="15"/>
  <c r="T14511" i="15"/>
  <c r="T14510" i="15"/>
  <c r="T14509" i="15"/>
  <c r="T14508" i="15"/>
  <c r="T14507" i="15"/>
  <c r="T14506" i="15"/>
  <c r="T14505" i="15"/>
  <c r="T14504" i="15"/>
  <c r="T14503" i="15"/>
  <c r="T14502" i="15"/>
  <c r="T14501" i="15"/>
  <c r="T14500" i="15"/>
  <c r="T14499" i="15"/>
  <c r="T14498" i="15"/>
  <c r="T14497" i="15"/>
  <c r="T14496" i="15"/>
  <c r="T14495" i="15"/>
  <c r="T14494" i="15"/>
  <c r="T14493" i="15"/>
  <c r="T14492" i="15"/>
  <c r="T14491" i="15"/>
  <c r="T14490" i="15"/>
  <c r="T14489" i="15"/>
  <c r="T14488" i="15"/>
  <c r="T14487" i="15"/>
  <c r="T14486" i="15"/>
  <c r="T14485" i="15"/>
  <c r="T14484" i="15"/>
  <c r="T14483" i="15"/>
  <c r="T14482" i="15"/>
  <c r="T14481" i="15"/>
  <c r="T14480" i="15"/>
  <c r="T14479" i="15"/>
  <c r="T14478" i="15"/>
  <c r="T14477" i="15"/>
  <c r="T14476" i="15"/>
  <c r="T14475" i="15"/>
  <c r="T14474" i="15"/>
  <c r="T14473" i="15"/>
  <c r="T14472" i="15"/>
  <c r="T14471" i="15"/>
  <c r="T14470" i="15"/>
  <c r="T14469" i="15"/>
  <c r="T14468" i="15"/>
  <c r="T14467" i="15"/>
  <c r="T14466" i="15"/>
  <c r="T14465" i="15"/>
  <c r="T14464" i="15"/>
  <c r="T14463" i="15"/>
  <c r="T14462" i="15"/>
  <c r="T14461" i="15"/>
  <c r="T14460" i="15"/>
  <c r="T14459" i="15"/>
  <c r="T14458" i="15"/>
  <c r="T14457" i="15"/>
  <c r="T14456" i="15"/>
  <c r="T14455" i="15"/>
  <c r="T14454" i="15"/>
  <c r="T14453" i="15"/>
  <c r="T14452" i="15"/>
  <c r="T14451" i="15"/>
  <c r="T14450" i="15"/>
  <c r="T14449" i="15"/>
  <c r="T14448" i="15"/>
  <c r="T14447" i="15"/>
  <c r="T14446" i="15"/>
  <c r="T14445" i="15"/>
  <c r="T14444" i="15"/>
  <c r="T14443" i="15"/>
  <c r="T14442" i="15"/>
  <c r="T14441" i="15"/>
  <c r="T14440" i="15"/>
  <c r="T14439" i="15"/>
  <c r="T14438" i="15"/>
  <c r="T14437" i="15"/>
  <c r="T14436" i="15"/>
  <c r="T14435" i="15"/>
  <c r="T14434" i="15"/>
  <c r="T14433" i="15"/>
  <c r="T14432" i="15"/>
  <c r="T14431" i="15"/>
  <c r="T14430" i="15"/>
  <c r="T14429" i="15"/>
  <c r="T14428" i="15"/>
  <c r="T14427" i="15"/>
  <c r="T14426" i="15"/>
  <c r="T14425" i="15"/>
  <c r="T14424" i="15"/>
  <c r="T14423" i="15"/>
  <c r="T14422" i="15"/>
  <c r="T14421" i="15"/>
  <c r="T14420" i="15"/>
  <c r="T14419" i="15"/>
  <c r="T14418" i="15"/>
  <c r="T14417" i="15"/>
  <c r="T14416" i="15"/>
  <c r="T14415" i="15"/>
  <c r="T14414" i="15"/>
  <c r="T14413" i="15"/>
  <c r="T14412" i="15"/>
  <c r="T14411" i="15"/>
  <c r="T14410" i="15"/>
  <c r="T14409" i="15"/>
  <c r="T14408" i="15"/>
  <c r="T14407" i="15"/>
  <c r="T14406" i="15"/>
  <c r="T14405" i="15"/>
  <c r="T14404" i="15"/>
  <c r="T14403" i="15"/>
  <c r="T14402" i="15"/>
  <c r="T14401" i="15"/>
  <c r="T14400" i="15"/>
  <c r="T14399" i="15"/>
  <c r="T14398" i="15"/>
  <c r="T14397" i="15"/>
  <c r="T14396" i="15"/>
  <c r="T14395" i="15"/>
  <c r="T14394" i="15"/>
  <c r="T14393" i="15"/>
  <c r="T14392" i="15"/>
  <c r="T14391" i="15"/>
  <c r="T14390" i="15"/>
  <c r="T14389" i="15"/>
  <c r="T14388" i="15"/>
  <c r="T14387" i="15"/>
  <c r="T14386" i="15"/>
  <c r="T14385" i="15"/>
  <c r="T14384" i="15"/>
  <c r="T14383" i="15"/>
  <c r="T14382" i="15"/>
  <c r="T14381" i="15"/>
  <c r="T14380" i="15"/>
  <c r="T14379" i="15"/>
  <c r="T14378" i="15"/>
  <c r="T14377" i="15"/>
  <c r="T14376" i="15"/>
  <c r="T14375" i="15"/>
  <c r="T14374" i="15"/>
  <c r="T14373" i="15"/>
  <c r="T14372" i="15"/>
  <c r="T14371" i="15"/>
  <c r="T14370" i="15"/>
  <c r="T14369" i="15"/>
  <c r="T14368" i="15"/>
  <c r="T14367" i="15"/>
  <c r="T14366" i="15"/>
  <c r="T14365" i="15"/>
  <c r="T14364" i="15"/>
  <c r="T14363" i="15"/>
  <c r="T14362" i="15"/>
  <c r="T14361" i="15"/>
  <c r="T14360" i="15"/>
  <c r="T14359" i="15"/>
  <c r="T14358" i="15"/>
  <c r="T14357" i="15"/>
  <c r="T14356" i="15"/>
  <c r="T14355" i="15"/>
  <c r="T14354" i="15"/>
  <c r="T14353" i="15"/>
  <c r="T14352" i="15"/>
  <c r="T14351" i="15"/>
  <c r="T14350" i="15"/>
  <c r="T14349" i="15"/>
  <c r="T14348" i="15"/>
  <c r="T14347" i="15"/>
  <c r="T14346" i="15"/>
  <c r="T14345" i="15"/>
  <c r="T14344" i="15"/>
  <c r="T14343" i="15"/>
  <c r="T14342" i="15"/>
  <c r="T14341" i="15"/>
  <c r="T14340" i="15"/>
  <c r="T14339" i="15"/>
  <c r="T14338" i="15"/>
  <c r="T14337" i="15"/>
  <c r="T14336" i="15"/>
  <c r="T14335" i="15"/>
  <c r="T14334" i="15"/>
  <c r="T14333" i="15"/>
  <c r="T14332" i="15"/>
  <c r="T14331" i="15"/>
  <c r="T14330" i="15"/>
  <c r="T14329" i="15"/>
  <c r="T14328" i="15"/>
  <c r="T14327" i="15"/>
  <c r="T14326" i="15"/>
  <c r="T14325" i="15"/>
  <c r="T14324" i="15"/>
  <c r="T14323" i="15"/>
  <c r="T14322" i="15"/>
  <c r="T14321" i="15"/>
  <c r="T14320" i="15"/>
  <c r="T14319" i="15"/>
  <c r="T14318" i="15"/>
  <c r="T14317" i="15"/>
  <c r="T14316" i="15"/>
  <c r="T14315" i="15"/>
  <c r="T14314" i="15"/>
  <c r="T14313" i="15"/>
  <c r="T14312" i="15"/>
  <c r="T14311" i="15"/>
  <c r="T14310" i="15"/>
  <c r="T14309" i="15"/>
  <c r="T14308" i="15"/>
  <c r="T14307" i="15"/>
  <c r="T14306" i="15"/>
  <c r="T14305" i="15"/>
  <c r="T14304" i="15"/>
  <c r="T14303" i="15"/>
  <c r="T14302" i="15"/>
  <c r="T14301" i="15"/>
  <c r="T14300" i="15"/>
  <c r="T14299" i="15"/>
  <c r="T14298" i="15"/>
  <c r="T14297" i="15"/>
  <c r="T14296" i="15"/>
  <c r="T14295" i="15"/>
  <c r="T14294" i="15"/>
  <c r="T14293" i="15"/>
  <c r="T14292" i="15"/>
  <c r="T14291" i="15"/>
  <c r="T14290" i="15"/>
  <c r="T14289" i="15"/>
  <c r="T14288" i="15"/>
  <c r="T14287" i="15"/>
  <c r="T14286" i="15"/>
  <c r="T14285" i="15"/>
  <c r="T14284" i="15"/>
  <c r="T14283" i="15"/>
  <c r="T14282" i="15"/>
  <c r="T14281" i="15"/>
  <c r="T14280" i="15"/>
  <c r="T14279" i="15"/>
  <c r="T14278" i="15"/>
  <c r="T14277" i="15"/>
  <c r="T14276" i="15"/>
  <c r="T14275" i="15"/>
  <c r="T14274" i="15"/>
  <c r="T14273" i="15"/>
  <c r="T14272" i="15"/>
  <c r="T14271" i="15"/>
  <c r="T14270" i="15"/>
  <c r="T14269" i="15"/>
  <c r="T14268" i="15"/>
  <c r="T14267" i="15"/>
  <c r="T14266" i="15"/>
  <c r="T14265" i="15"/>
  <c r="T14264" i="15"/>
  <c r="T14263" i="15"/>
  <c r="T14262" i="15"/>
  <c r="T14261" i="15"/>
  <c r="T14260" i="15"/>
  <c r="T14259" i="15"/>
  <c r="T14258" i="15"/>
  <c r="T14257" i="15"/>
  <c r="T14256" i="15"/>
  <c r="T14255" i="15"/>
  <c r="T14254" i="15"/>
  <c r="T14253" i="15"/>
  <c r="T14252" i="15"/>
  <c r="T14251" i="15"/>
  <c r="T14250" i="15"/>
  <c r="T14249" i="15"/>
  <c r="T14248" i="15"/>
  <c r="T14247" i="15"/>
  <c r="T14246" i="15"/>
  <c r="T14245" i="15"/>
  <c r="T14244" i="15"/>
  <c r="T14243" i="15"/>
  <c r="T14242" i="15"/>
  <c r="T14241" i="15"/>
  <c r="T14240" i="15"/>
  <c r="T14239" i="15"/>
  <c r="T14238" i="15"/>
  <c r="T14237" i="15"/>
  <c r="T14236" i="15"/>
  <c r="T14235" i="15"/>
  <c r="T14234" i="15"/>
  <c r="T14233" i="15"/>
  <c r="T14232" i="15"/>
  <c r="T14231" i="15"/>
  <c r="T14230" i="15"/>
  <c r="T14229" i="15"/>
  <c r="T14228" i="15"/>
  <c r="T14227" i="15"/>
  <c r="T14226" i="15"/>
  <c r="T14225" i="15"/>
  <c r="T14224" i="15"/>
  <c r="T14223" i="15"/>
  <c r="T14222" i="15"/>
  <c r="T14221" i="15"/>
  <c r="T14220" i="15"/>
  <c r="T14219" i="15"/>
  <c r="T14218" i="15"/>
  <c r="T14217" i="15"/>
  <c r="T14216" i="15"/>
  <c r="T14215" i="15"/>
  <c r="T14214" i="15"/>
  <c r="T14213" i="15"/>
  <c r="T14212" i="15"/>
  <c r="T14211" i="15"/>
  <c r="T14210" i="15"/>
  <c r="T14209" i="15"/>
  <c r="T14208" i="15"/>
  <c r="T14207" i="15"/>
  <c r="T14206" i="15"/>
  <c r="T14205" i="15"/>
  <c r="T14204" i="15"/>
  <c r="T14203" i="15"/>
  <c r="T14202" i="15"/>
  <c r="T14201" i="15"/>
  <c r="T14200" i="15"/>
  <c r="T14199" i="15"/>
  <c r="T14198" i="15"/>
  <c r="T14197" i="15"/>
  <c r="T14196" i="15"/>
  <c r="T14195" i="15"/>
  <c r="T14194" i="15"/>
  <c r="T14193" i="15"/>
  <c r="T14192" i="15"/>
  <c r="T14191" i="15"/>
  <c r="T14190" i="15"/>
  <c r="T14189" i="15"/>
  <c r="T14188" i="15"/>
  <c r="T14187" i="15"/>
  <c r="T14186" i="15"/>
  <c r="T14185" i="15"/>
  <c r="T14184" i="15"/>
  <c r="T14183" i="15"/>
  <c r="T14182" i="15"/>
  <c r="T14181" i="15"/>
  <c r="T14180" i="15"/>
  <c r="T14179" i="15"/>
  <c r="T14178" i="15"/>
  <c r="T14177" i="15"/>
  <c r="T14176" i="15"/>
  <c r="T14175" i="15"/>
  <c r="T14174" i="15"/>
  <c r="T14173" i="15"/>
  <c r="T14172" i="15"/>
  <c r="T14171" i="15"/>
  <c r="T14170" i="15"/>
  <c r="T14169" i="15"/>
  <c r="T14168" i="15"/>
  <c r="T14167" i="15"/>
  <c r="T14166" i="15"/>
  <c r="T14165" i="15"/>
  <c r="T14164" i="15"/>
  <c r="T14163" i="15"/>
  <c r="T14162" i="15"/>
  <c r="T14161" i="15"/>
  <c r="T14160" i="15"/>
  <c r="T14159" i="15"/>
  <c r="T14158" i="15"/>
  <c r="T14157" i="15"/>
  <c r="T14156" i="15"/>
  <c r="T14155" i="15"/>
  <c r="T14154" i="15"/>
  <c r="T14153" i="15"/>
  <c r="T14152" i="15"/>
  <c r="T14151" i="15"/>
  <c r="T14150" i="15"/>
  <c r="T14149" i="15"/>
  <c r="T14148" i="15"/>
  <c r="T14147" i="15"/>
  <c r="T14146" i="15"/>
  <c r="T14145" i="15"/>
  <c r="T14144" i="15"/>
  <c r="T14143" i="15"/>
  <c r="T14142" i="15"/>
  <c r="T14141" i="15"/>
  <c r="T14140" i="15"/>
  <c r="T14139" i="15"/>
  <c r="T14138" i="15"/>
  <c r="T14137" i="15"/>
  <c r="T14136" i="15"/>
  <c r="T14135" i="15"/>
  <c r="T14134" i="15"/>
  <c r="T14133" i="15"/>
  <c r="T14132" i="15"/>
  <c r="T14131" i="15"/>
  <c r="T14130" i="15"/>
  <c r="T14129" i="15"/>
  <c r="T14128" i="15"/>
  <c r="T14127" i="15"/>
  <c r="T14126" i="15"/>
  <c r="T14125" i="15"/>
  <c r="T14124" i="15"/>
  <c r="T14123" i="15"/>
  <c r="T14122" i="15"/>
  <c r="T14121" i="15"/>
  <c r="T14120" i="15"/>
  <c r="T14119" i="15"/>
  <c r="T14118" i="15"/>
  <c r="T14117" i="15"/>
  <c r="T14116" i="15"/>
  <c r="T14115" i="15"/>
  <c r="T14114" i="15"/>
  <c r="T14113" i="15"/>
  <c r="T14112" i="15"/>
  <c r="T14111" i="15"/>
  <c r="T14110" i="15"/>
  <c r="T14109" i="15"/>
  <c r="T14108" i="15"/>
  <c r="T14107" i="15"/>
  <c r="T14106" i="15"/>
  <c r="T14105" i="15"/>
  <c r="T14104" i="15"/>
  <c r="T14103" i="15"/>
  <c r="T14102" i="15"/>
  <c r="T14101" i="15"/>
  <c r="T14100" i="15"/>
  <c r="T14099" i="15"/>
  <c r="T14098" i="15"/>
  <c r="T14097" i="15"/>
  <c r="T14096" i="15"/>
  <c r="T14095" i="15"/>
  <c r="T14094" i="15"/>
  <c r="T14093" i="15"/>
  <c r="T14092" i="15"/>
  <c r="T14091" i="15"/>
  <c r="T14090" i="15"/>
  <c r="T14089" i="15"/>
  <c r="T14088" i="15"/>
  <c r="T14087" i="15"/>
  <c r="T14086" i="15"/>
  <c r="T14085" i="15"/>
  <c r="T14084" i="15"/>
  <c r="T14083" i="15"/>
  <c r="T14082" i="15"/>
  <c r="T14081" i="15"/>
  <c r="T14080" i="15"/>
  <c r="T14079" i="15"/>
  <c r="T14078" i="15"/>
  <c r="T14077" i="15"/>
  <c r="T14076" i="15"/>
  <c r="T14075" i="15"/>
  <c r="T14074" i="15"/>
  <c r="T14073" i="15"/>
  <c r="T14072" i="15"/>
  <c r="T14071" i="15"/>
  <c r="T14070" i="15"/>
  <c r="T14069" i="15"/>
  <c r="T14068" i="15"/>
  <c r="T14067" i="15"/>
  <c r="T14066" i="15"/>
  <c r="T14065" i="15"/>
  <c r="T14064" i="15"/>
  <c r="T14063" i="15"/>
  <c r="T14062" i="15"/>
  <c r="T14061" i="15"/>
  <c r="T14060" i="15"/>
  <c r="T14059" i="15"/>
  <c r="T14058" i="15"/>
  <c r="T14057" i="15"/>
  <c r="T14056" i="15"/>
  <c r="T14055" i="15"/>
  <c r="T14054" i="15"/>
  <c r="T14053" i="15"/>
  <c r="T14052" i="15"/>
  <c r="T14051" i="15"/>
  <c r="T14050" i="15"/>
  <c r="T14049" i="15"/>
  <c r="T14048" i="15"/>
  <c r="T14047" i="15"/>
  <c r="T14046" i="15"/>
  <c r="T14045" i="15"/>
  <c r="T14044" i="15"/>
  <c r="T14043" i="15"/>
  <c r="T14042" i="15"/>
  <c r="T14041" i="15"/>
  <c r="T14040" i="15"/>
  <c r="T14039" i="15"/>
  <c r="T14038" i="15"/>
  <c r="T14037" i="15"/>
  <c r="T14036" i="15"/>
  <c r="T14035" i="15"/>
  <c r="T14034" i="15"/>
  <c r="T14033" i="15"/>
  <c r="T14032" i="15"/>
  <c r="T14031" i="15"/>
  <c r="T14030" i="15"/>
  <c r="T14029" i="15"/>
  <c r="T14028" i="15"/>
  <c r="T14027" i="15"/>
  <c r="T14026" i="15"/>
  <c r="T14025" i="15"/>
  <c r="T14024" i="15"/>
  <c r="T14023" i="15"/>
  <c r="T14022" i="15"/>
  <c r="T14021" i="15"/>
  <c r="T14020" i="15"/>
  <c r="T14019" i="15"/>
  <c r="T14018" i="15"/>
  <c r="T14017" i="15"/>
  <c r="T14016" i="15"/>
  <c r="T14015" i="15"/>
  <c r="T14014" i="15"/>
  <c r="T14013" i="15"/>
  <c r="T14012" i="15"/>
  <c r="T14011" i="15"/>
  <c r="T14010" i="15"/>
  <c r="T14009" i="15"/>
  <c r="T14008" i="15"/>
  <c r="T14007" i="15"/>
  <c r="T14006" i="15"/>
  <c r="T14005" i="15"/>
  <c r="T14004" i="15"/>
  <c r="T14003" i="15"/>
  <c r="T14002" i="15"/>
  <c r="T14001" i="15"/>
  <c r="T14000" i="15"/>
  <c r="T13999" i="15"/>
  <c r="T13998" i="15"/>
  <c r="T13997" i="15"/>
  <c r="T13996" i="15"/>
  <c r="T13995" i="15"/>
  <c r="T13994" i="15"/>
  <c r="T13993" i="15"/>
  <c r="T13992" i="15"/>
  <c r="T13991" i="15"/>
  <c r="T13990" i="15"/>
  <c r="T13989" i="15"/>
  <c r="T13988" i="15"/>
  <c r="T13987" i="15"/>
  <c r="T13986" i="15"/>
  <c r="T13985" i="15"/>
  <c r="T13984" i="15"/>
  <c r="T13983" i="15"/>
  <c r="T13982" i="15"/>
  <c r="T13981" i="15"/>
  <c r="T13980" i="15"/>
  <c r="T13979" i="15"/>
  <c r="T13978" i="15"/>
  <c r="T13977" i="15"/>
  <c r="T13976" i="15"/>
  <c r="T13975" i="15"/>
  <c r="T13974" i="15"/>
  <c r="T13973" i="15"/>
  <c r="T13972" i="15"/>
  <c r="T13971" i="15"/>
  <c r="T13970" i="15"/>
  <c r="T13969" i="15"/>
  <c r="T13968" i="15"/>
  <c r="T13967" i="15"/>
  <c r="T13966" i="15"/>
  <c r="T13965" i="15"/>
  <c r="T13964" i="15"/>
  <c r="T13963" i="15"/>
  <c r="T13962" i="15"/>
  <c r="T13961" i="15"/>
  <c r="T13960" i="15"/>
  <c r="T13959" i="15"/>
  <c r="T13958" i="15"/>
  <c r="T13957" i="15"/>
  <c r="T13956" i="15"/>
  <c r="T13955" i="15"/>
  <c r="T13954" i="15"/>
  <c r="T13953" i="15"/>
  <c r="T13952" i="15"/>
  <c r="T13951" i="15"/>
  <c r="T13950" i="15"/>
  <c r="T13949" i="15"/>
  <c r="T13948" i="15"/>
  <c r="T13947" i="15"/>
  <c r="T13946" i="15"/>
  <c r="T13945" i="15"/>
  <c r="T13944" i="15"/>
  <c r="T13943" i="15"/>
  <c r="T13942" i="15"/>
  <c r="T13941" i="15"/>
  <c r="T13940" i="15"/>
  <c r="T13939" i="15"/>
  <c r="T13938" i="15"/>
  <c r="T13937" i="15"/>
  <c r="T13936" i="15"/>
  <c r="T13935" i="15"/>
  <c r="T13934" i="15"/>
  <c r="T13933" i="15"/>
  <c r="T13932" i="15"/>
  <c r="T13931" i="15"/>
  <c r="T13930" i="15"/>
  <c r="T13929" i="15"/>
  <c r="T13928" i="15"/>
  <c r="T13927" i="15"/>
  <c r="T13926" i="15"/>
  <c r="T13925" i="15"/>
  <c r="T13924" i="15"/>
  <c r="T13923" i="15"/>
  <c r="T13922" i="15"/>
  <c r="T13921" i="15"/>
  <c r="T13920" i="15"/>
  <c r="T13919" i="15"/>
  <c r="T13918" i="15"/>
  <c r="T13917" i="15"/>
  <c r="T13916" i="15"/>
  <c r="T13915" i="15"/>
  <c r="T13914" i="15"/>
  <c r="T13913" i="15"/>
  <c r="T13912" i="15"/>
  <c r="T13911" i="15"/>
  <c r="T13910" i="15"/>
  <c r="T13909" i="15"/>
  <c r="T13908" i="15"/>
  <c r="T13907" i="15"/>
  <c r="T13906" i="15"/>
  <c r="T13905" i="15"/>
  <c r="T13904" i="15"/>
  <c r="T13903" i="15"/>
  <c r="T13902" i="15"/>
  <c r="T13901" i="15"/>
  <c r="T13900" i="15"/>
  <c r="T13899" i="15"/>
  <c r="T13898" i="15"/>
  <c r="T13897" i="15"/>
  <c r="T13896" i="15"/>
  <c r="T13895" i="15"/>
  <c r="T13894" i="15"/>
  <c r="T13893" i="15"/>
  <c r="T13892" i="15"/>
  <c r="T13891" i="15"/>
  <c r="T13890" i="15"/>
  <c r="T13889" i="15"/>
  <c r="T13888" i="15"/>
  <c r="T13887" i="15"/>
  <c r="T13886" i="15"/>
  <c r="T13885" i="15"/>
  <c r="T13884" i="15"/>
  <c r="T13883" i="15"/>
  <c r="T13882" i="15"/>
  <c r="T13881" i="15"/>
  <c r="T13880" i="15"/>
  <c r="T13879" i="15"/>
  <c r="T13878" i="15"/>
  <c r="T13877" i="15"/>
  <c r="T13876" i="15"/>
  <c r="T13875" i="15"/>
  <c r="T13874" i="15"/>
  <c r="T13873" i="15"/>
  <c r="T13872" i="15"/>
  <c r="T13871" i="15"/>
  <c r="T13870" i="15"/>
  <c r="T13869" i="15"/>
  <c r="T13868" i="15"/>
  <c r="T13867" i="15"/>
  <c r="T13866" i="15"/>
  <c r="T13865" i="15"/>
  <c r="T13864" i="15"/>
  <c r="T13863" i="15"/>
  <c r="T13862" i="15"/>
  <c r="T13861" i="15"/>
  <c r="T13860" i="15"/>
  <c r="T13859" i="15"/>
  <c r="T13858" i="15"/>
  <c r="T13857" i="15"/>
  <c r="T13856" i="15"/>
  <c r="T13855" i="15"/>
  <c r="T13854" i="15"/>
  <c r="T13853" i="15"/>
  <c r="T13852" i="15"/>
  <c r="T13851" i="15"/>
  <c r="T13850" i="15"/>
  <c r="T13849" i="15"/>
  <c r="T13848" i="15"/>
  <c r="T13847" i="15"/>
  <c r="T13846" i="15"/>
  <c r="T13845" i="15"/>
  <c r="T13844" i="15"/>
  <c r="T13843" i="15"/>
  <c r="T13842" i="15"/>
  <c r="T13841" i="15"/>
  <c r="T13840" i="15"/>
  <c r="T13839" i="15"/>
  <c r="T13838" i="15"/>
  <c r="T13837" i="15"/>
  <c r="T13836" i="15"/>
  <c r="T13835" i="15"/>
  <c r="T13834" i="15"/>
  <c r="T13833" i="15"/>
  <c r="T13832" i="15"/>
  <c r="T13831" i="15"/>
  <c r="T13830" i="15"/>
  <c r="T13829" i="15"/>
  <c r="T13828" i="15"/>
  <c r="T13827" i="15"/>
  <c r="T13826" i="15"/>
  <c r="T13825" i="15"/>
  <c r="T13824" i="15"/>
  <c r="T13823" i="15"/>
  <c r="T13822" i="15"/>
  <c r="T13821" i="15"/>
  <c r="T13820" i="15"/>
  <c r="T13819" i="15"/>
  <c r="T13818" i="15"/>
  <c r="T13817" i="15"/>
  <c r="T13816" i="15"/>
  <c r="T13815" i="15"/>
  <c r="T13814" i="15"/>
  <c r="T13813" i="15"/>
  <c r="T13812" i="15"/>
  <c r="T13811" i="15"/>
  <c r="T13810" i="15"/>
  <c r="T13809" i="15"/>
  <c r="T13808" i="15"/>
  <c r="T13807" i="15"/>
  <c r="T13806" i="15"/>
  <c r="T13805" i="15"/>
  <c r="T13804" i="15"/>
  <c r="T13803" i="15"/>
  <c r="T13802" i="15"/>
  <c r="T13801" i="15"/>
  <c r="T13800" i="15"/>
  <c r="T13799" i="15"/>
  <c r="T13798" i="15"/>
  <c r="T13797" i="15"/>
  <c r="T13796" i="15"/>
  <c r="T13795" i="15"/>
  <c r="T13794" i="15"/>
  <c r="T13793" i="15"/>
  <c r="T13792" i="15"/>
  <c r="T13791" i="15"/>
  <c r="T13790" i="15"/>
  <c r="T13789" i="15"/>
  <c r="T13788" i="15"/>
  <c r="T13787" i="15"/>
  <c r="T13786" i="15"/>
  <c r="T13785" i="15"/>
  <c r="T13784" i="15"/>
  <c r="T13783" i="15"/>
  <c r="T13782" i="15"/>
  <c r="T13781" i="15"/>
  <c r="T13780" i="15"/>
  <c r="T13779" i="15"/>
  <c r="T13778" i="15"/>
  <c r="T13777" i="15"/>
  <c r="T13776" i="15"/>
  <c r="T13775" i="15"/>
  <c r="T13774" i="15"/>
  <c r="T13773" i="15"/>
  <c r="T13772" i="15"/>
  <c r="T13771" i="15"/>
  <c r="T13770" i="15"/>
  <c r="T13769" i="15"/>
  <c r="T13768" i="15"/>
  <c r="T13767" i="15"/>
  <c r="T13766" i="15"/>
  <c r="T13765" i="15"/>
  <c r="T13764" i="15"/>
  <c r="T13763" i="15"/>
  <c r="T13762" i="15"/>
  <c r="T13761" i="15"/>
  <c r="T13760" i="15"/>
  <c r="T13759" i="15"/>
  <c r="T13758" i="15"/>
  <c r="T13757" i="15"/>
  <c r="T13756" i="15"/>
  <c r="T13755" i="15"/>
  <c r="T13754" i="15"/>
  <c r="T13753" i="15"/>
  <c r="T13752" i="15"/>
  <c r="T13751" i="15"/>
  <c r="T13750" i="15"/>
  <c r="T13749" i="15"/>
  <c r="T13748" i="15"/>
  <c r="T13747" i="15"/>
  <c r="T13746" i="15"/>
  <c r="T13745" i="15"/>
  <c r="T13744" i="15"/>
  <c r="T13743" i="15"/>
  <c r="T13742" i="15"/>
  <c r="T13741" i="15"/>
  <c r="T13740" i="15"/>
  <c r="T13739" i="15"/>
  <c r="T13738" i="15"/>
  <c r="T13737" i="15"/>
  <c r="T13736" i="15"/>
  <c r="T13735" i="15"/>
  <c r="T13734" i="15"/>
  <c r="T13733" i="15"/>
  <c r="T13732" i="15"/>
  <c r="T13731" i="15"/>
  <c r="T13730" i="15"/>
  <c r="T13729" i="15"/>
  <c r="T13728" i="15"/>
  <c r="T13727" i="15"/>
  <c r="T13726" i="15"/>
  <c r="T13725" i="15"/>
  <c r="T13724" i="15"/>
  <c r="T13723" i="15"/>
  <c r="T13722" i="15"/>
  <c r="T13721" i="15"/>
  <c r="T13720" i="15"/>
  <c r="T13719" i="15"/>
  <c r="T13718" i="15"/>
  <c r="T13717" i="15"/>
  <c r="T13716" i="15"/>
  <c r="T13715" i="15"/>
  <c r="T13714" i="15"/>
  <c r="T13713" i="15"/>
  <c r="T13712" i="15"/>
  <c r="T13711" i="15"/>
  <c r="T13710" i="15"/>
  <c r="T13709" i="15"/>
  <c r="T13708" i="15"/>
  <c r="T13707" i="15"/>
  <c r="T13706" i="15"/>
  <c r="T13705" i="15"/>
  <c r="T13704" i="15"/>
  <c r="T13703" i="15"/>
  <c r="T13702" i="15"/>
  <c r="T13701" i="15"/>
  <c r="T13700" i="15"/>
  <c r="T13699" i="15"/>
  <c r="T13698" i="15"/>
  <c r="T13697" i="15"/>
  <c r="T13696" i="15"/>
  <c r="T13695" i="15"/>
  <c r="T13694" i="15"/>
  <c r="T13693" i="15"/>
  <c r="T13692" i="15"/>
  <c r="T13691" i="15"/>
  <c r="T13690" i="15"/>
  <c r="T13689" i="15"/>
  <c r="T13688" i="15"/>
  <c r="T13687" i="15"/>
  <c r="T13686" i="15"/>
  <c r="T13685" i="15"/>
  <c r="T13684" i="15"/>
  <c r="T13683" i="15"/>
  <c r="T13682" i="15"/>
  <c r="T13681" i="15"/>
  <c r="T13680" i="15"/>
  <c r="T13679" i="15"/>
  <c r="T13678" i="15"/>
  <c r="T13677" i="15"/>
  <c r="T13676" i="15"/>
  <c r="T13675" i="15"/>
  <c r="T13674" i="15"/>
  <c r="T13673" i="15"/>
  <c r="T13672" i="15"/>
  <c r="T13671" i="15"/>
  <c r="T13670" i="15"/>
  <c r="T13669" i="15"/>
  <c r="T13668" i="15"/>
  <c r="T13667" i="15"/>
  <c r="T13666" i="15"/>
  <c r="T13665" i="15"/>
  <c r="T13664" i="15"/>
  <c r="T13663" i="15"/>
  <c r="T13662" i="15"/>
  <c r="T13661" i="15"/>
  <c r="T13660" i="15"/>
  <c r="T13659" i="15"/>
  <c r="T13658" i="15"/>
  <c r="T13657" i="15"/>
  <c r="T13656" i="15"/>
  <c r="T13655" i="15"/>
  <c r="T13654" i="15"/>
  <c r="T13653" i="15"/>
  <c r="T13652" i="15"/>
  <c r="T13651" i="15"/>
  <c r="T13650" i="15"/>
  <c r="T13649" i="15"/>
  <c r="T13648" i="15"/>
  <c r="T13647" i="15"/>
  <c r="T13646" i="15"/>
  <c r="T13645" i="15"/>
  <c r="T13644" i="15"/>
  <c r="T13643" i="15"/>
  <c r="T13642" i="15"/>
  <c r="T13641" i="15"/>
  <c r="T13640" i="15"/>
  <c r="T13639" i="15"/>
  <c r="T13638" i="15"/>
  <c r="T13637" i="15"/>
  <c r="T13636" i="15"/>
  <c r="T13635" i="15"/>
  <c r="T13634" i="15"/>
  <c r="T13633" i="15"/>
  <c r="T13632" i="15"/>
  <c r="T13631" i="15"/>
  <c r="T13630" i="15"/>
  <c r="T13629" i="15"/>
  <c r="T13628" i="15"/>
  <c r="T13627" i="15"/>
  <c r="T13626" i="15"/>
  <c r="T13625" i="15"/>
  <c r="T13624" i="15"/>
  <c r="T13623" i="15"/>
  <c r="T13622" i="15"/>
  <c r="T13621" i="15"/>
  <c r="T13620" i="15"/>
  <c r="T13619" i="15"/>
  <c r="T13618" i="15"/>
  <c r="T13617" i="15"/>
  <c r="T13616" i="15"/>
  <c r="T13615" i="15"/>
  <c r="T13614" i="15"/>
  <c r="T13613" i="15"/>
  <c r="T13612" i="15"/>
  <c r="T13611" i="15"/>
  <c r="T13610" i="15"/>
  <c r="T13609" i="15"/>
  <c r="T13608" i="15"/>
  <c r="T13607" i="15"/>
  <c r="T13606" i="15"/>
  <c r="T13605" i="15"/>
  <c r="T13604" i="15"/>
  <c r="T13603" i="15"/>
  <c r="T13602" i="15"/>
  <c r="T13601" i="15"/>
  <c r="T13600" i="15"/>
  <c r="T13599" i="15"/>
  <c r="T13598" i="15"/>
  <c r="T13597" i="15"/>
  <c r="T13596" i="15"/>
  <c r="T13595" i="15"/>
  <c r="T13594" i="15"/>
  <c r="T13593" i="15"/>
  <c r="T13592" i="15"/>
  <c r="T13591" i="15"/>
  <c r="T13590" i="15"/>
  <c r="T13589" i="15"/>
  <c r="T13588" i="15"/>
  <c r="T13587" i="15"/>
  <c r="T13586" i="15"/>
  <c r="T13585" i="15"/>
  <c r="T13584" i="15"/>
  <c r="T13583" i="15"/>
  <c r="T13582" i="15"/>
  <c r="T13581" i="15"/>
  <c r="T13580" i="15"/>
  <c r="T13579" i="15"/>
  <c r="T13578" i="15"/>
  <c r="T13577" i="15"/>
  <c r="T13576" i="15"/>
  <c r="T13575" i="15"/>
  <c r="T13574" i="15"/>
  <c r="T13573" i="15"/>
  <c r="T13572" i="15"/>
  <c r="T13571" i="15"/>
  <c r="T13570" i="15"/>
  <c r="T13569" i="15"/>
  <c r="T13568" i="15"/>
  <c r="T13567" i="15"/>
  <c r="T13566" i="15"/>
  <c r="T13565" i="15"/>
  <c r="T13564" i="15"/>
  <c r="T13563" i="15"/>
  <c r="T13562" i="15"/>
  <c r="T13561" i="15"/>
  <c r="T13560" i="15"/>
  <c r="T13559" i="15"/>
  <c r="T13558" i="15"/>
  <c r="T13557" i="15"/>
  <c r="T13556" i="15"/>
  <c r="T13555" i="15"/>
  <c r="T13554" i="15"/>
  <c r="T13553" i="15"/>
  <c r="T13552" i="15"/>
  <c r="T13551" i="15"/>
  <c r="T13550" i="15"/>
  <c r="T13549" i="15"/>
  <c r="T13548" i="15"/>
  <c r="T13547" i="15"/>
  <c r="T13546" i="15"/>
  <c r="T13545" i="15"/>
  <c r="T13544" i="15"/>
  <c r="T13543" i="15"/>
  <c r="T13542" i="15"/>
  <c r="T13541" i="15"/>
  <c r="T13540" i="15"/>
  <c r="T13539" i="15"/>
  <c r="T13538" i="15"/>
  <c r="T13537" i="15"/>
  <c r="T13536" i="15"/>
  <c r="T13535" i="15"/>
  <c r="T13534" i="15"/>
  <c r="T13533" i="15"/>
  <c r="T13532" i="15"/>
  <c r="T13531" i="15"/>
  <c r="T13530" i="15"/>
  <c r="T13529" i="15"/>
  <c r="T13528" i="15"/>
  <c r="T13527" i="15"/>
  <c r="T13526" i="15"/>
  <c r="T13525" i="15"/>
  <c r="T13524" i="15"/>
  <c r="T13523" i="15"/>
  <c r="T13522" i="15"/>
  <c r="T13521" i="15"/>
  <c r="T13520" i="15"/>
  <c r="T13519" i="15"/>
  <c r="T13518" i="15"/>
  <c r="T13517" i="15"/>
  <c r="T13516" i="15"/>
  <c r="T13515" i="15"/>
  <c r="T13514" i="15"/>
  <c r="T13513" i="15"/>
  <c r="T13512" i="15"/>
  <c r="T13511" i="15"/>
  <c r="T13510" i="15"/>
  <c r="T13509" i="15"/>
  <c r="T13508" i="15"/>
  <c r="T13507" i="15"/>
  <c r="T13506" i="15"/>
  <c r="T13505" i="15"/>
  <c r="T13504" i="15"/>
  <c r="T13503" i="15"/>
  <c r="T13502" i="15"/>
  <c r="T13501" i="15"/>
  <c r="T13500" i="15"/>
  <c r="T13499" i="15"/>
  <c r="T13498" i="15"/>
  <c r="T13497" i="15"/>
  <c r="T13496" i="15"/>
  <c r="T13495" i="15"/>
  <c r="T13494" i="15"/>
  <c r="T13493" i="15"/>
  <c r="T13492" i="15"/>
  <c r="T13491" i="15"/>
  <c r="T13490" i="15"/>
  <c r="T13489" i="15"/>
  <c r="T13488" i="15"/>
  <c r="T13487" i="15"/>
  <c r="T13486" i="15"/>
  <c r="T13485" i="15"/>
  <c r="T13484" i="15"/>
  <c r="T13483" i="15"/>
  <c r="T13482" i="15"/>
  <c r="T13481" i="15"/>
  <c r="T13480" i="15"/>
  <c r="T13479" i="15"/>
  <c r="T13478" i="15"/>
  <c r="T13477" i="15"/>
  <c r="T13476" i="15"/>
  <c r="T13475" i="15"/>
  <c r="T13474" i="15"/>
  <c r="T13473" i="15"/>
  <c r="T13472" i="15"/>
  <c r="T13471" i="15"/>
  <c r="T13470" i="15"/>
  <c r="T13469" i="15"/>
  <c r="T13468" i="15"/>
  <c r="T13467" i="15"/>
  <c r="T13466" i="15"/>
  <c r="T13465" i="15"/>
  <c r="T13464" i="15"/>
  <c r="T13463" i="15"/>
  <c r="T13462" i="15"/>
  <c r="T13461" i="15"/>
  <c r="T13460" i="15"/>
  <c r="T13459" i="15"/>
  <c r="T13458" i="15"/>
  <c r="T13457" i="15"/>
  <c r="T13456" i="15"/>
  <c r="T13455" i="15"/>
  <c r="T13454" i="15"/>
  <c r="T13453" i="15"/>
  <c r="T13452" i="15"/>
  <c r="T13451" i="15"/>
  <c r="T13450" i="15"/>
  <c r="T13449" i="15"/>
  <c r="T13448" i="15"/>
  <c r="T13447" i="15"/>
  <c r="T13446" i="15"/>
  <c r="T13445" i="15"/>
  <c r="T13444" i="15"/>
  <c r="T13443" i="15"/>
  <c r="T13442" i="15"/>
  <c r="T13441" i="15"/>
  <c r="T13440" i="15"/>
  <c r="T13439" i="15"/>
  <c r="T13438" i="15"/>
  <c r="T13437" i="15"/>
  <c r="T13436" i="15"/>
  <c r="T13435" i="15"/>
  <c r="T13434" i="15"/>
  <c r="T13433" i="15"/>
  <c r="T13432" i="15"/>
  <c r="T13431" i="15"/>
  <c r="T13430" i="15"/>
  <c r="T13429" i="15"/>
  <c r="T13428" i="15"/>
  <c r="T13427" i="15"/>
  <c r="T13426" i="15"/>
  <c r="T13425" i="15"/>
  <c r="T13424" i="15"/>
  <c r="T13423" i="15"/>
  <c r="T13422" i="15"/>
  <c r="T13421" i="15"/>
  <c r="T13420" i="15"/>
  <c r="T13419" i="15"/>
  <c r="T13418" i="15"/>
  <c r="T13417" i="15"/>
  <c r="T13416" i="15"/>
  <c r="T13415" i="15"/>
  <c r="T13414" i="15"/>
  <c r="T13413" i="15"/>
  <c r="T13412" i="15"/>
  <c r="T13411" i="15"/>
  <c r="T13410" i="15"/>
  <c r="T13409" i="15"/>
  <c r="T13408" i="15"/>
  <c r="T13407" i="15"/>
  <c r="T13406" i="15"/>
  <c r="T13405" i="15"/>
  <c r="T13404" i="15"/>
  <c r="T13403" i="15"/>
  <c r="T13402" i="15"/>
  <c r="T13401" i="15"/>
  <c r="T13400" i="15"/>
  <c r="T13399" i="15"/>
  <c r="T13398" i="15"/>
  <c r="T13397" i="15"/>
  <c r="T13396" i="15"/>
  <c r="T13395" i="15"/>
  <c r="T13394" i="15"/>
  <c r="T13393" i="15"/>
  <c r="T13392" i="15"/>
  <c r="T13391" i="15"/>
  <c r="T13390" i="15"/>
  <c r="T13389" i="15"/>
  <c r="T13388" i="15"/>
  <c r="T13387" i="15"/>
  <c r="T13386" i="15"/>
  <c r="T13385" i="15"/>
  <c r="T13384" i="15"/>
  <c r="T13383" i="15"/>
  <c r="T13382" i="15"/>
  <c r="T13381" i="15"/>
  <c r="T13380" i="15"/>
  <c r="T13379" i="15"/>
  <c r="T13378" i="15"/>
  <c r="T13377" i="15"/>
  <c r="T13376" i="15"/>
  <c r="T13375" i="15"/>
  <c r="T13374" i="15"/>
  <c r="T13373" i="15"/>
  <c r="T13372" i="15"/>
  <c r="T13371" i="15"/>
  <c r="T13370" i="15"/>
  <c r="T13369" i="15"/>
  <c r="T13368" i="15"/>
  <c r="T13367" i="15"/>
  <c r="T13366" i="15"/>
  <c r="T13365" i="15"/>
  <c r="T13364" i="15"/>
  <c r="T13363" i="15"/>
  <c r="T13362" i="15"/>
  <c r="T13361" i="15"/>
  <c r="T13360" i="15"/>
  <c r="T13359" i="15"/>
  <c r="T13358" i="15"/>
  <c r="T13357" i="15"/>
  <c r="T13356" i="15"/>
  <c r="T13355" i="15"/>
  <c r="T13354" i="15"/>
  <c r="T13353" i="15"/>
  <c r="T13352" i="15"/>
  <c r="T13351" i="15"/>
  <c r="T13350" i="15"/>
  <c r="T13349" i="15"/>
  <c r="T13348" i="15"/>
  <c r="T13347" i="15"/>
  <c r="T13346" i="15"/>
  <c r="T13345" i="15"/>
  <c r="T13344" i="15"/>
  <c r="T13343" i="15"/>
  <c r="T13342" i="15"/>
  <c r="T13341" i="15"/>
  <c r="T13340" i="15"/>
  <c r="T13339" i="15"/>
  <c r="T13338" i="15"/>
  <c r="T13337" i="15"/>
  <c r="T13336" i="15"/>
  <c r="T13335" i="15"/>
  <c r="T13334" i="15"/>
  <c r="T13333" i="15"/>
  <c r="T13332" i="15"/>
  <c r="T13331" i="15"/>
  <c r="T13330" i="15"/>
  <c r="T13329" i="15"/>
  <c r="T13328" i="15"/>
  <c r="T13327" i="15"/>
  <c r="T13326" i="15"/>
  <c r="T13325" i="15"/>
  <c r="T13324" i="15"/>
  <c r="T13323" i="15"/>
  <c r="T13322" i="15"/>
  <c r="T13321" i="15"/>
  <c r="T13320" i="15"/>
  <c r="T13319" i="15"/>
  <c r="T13318" i="15"/>
  <c r="T13317" i="15"/>
  <c r="T13316" i="15"/>
  <c r="T13315" i="15"/>
  <c r="T13314" i="15"/>
  <c r="T13313" i="15"/>
  <c r="T13312" i="15"/>
  <c r="T13311" i="15"/>
  <c r="T13310" i="15"/>
  <c r="T13309" i="15"/>
  <c r="T13308" i="15"/>
  <c r="T13307" i="15"/>
  <c r="T13306" i="15"/>
  <c r="T13305" i="15"/>
  <c r="T13304" i="15"/>
  <c r="T13303" i="15"/>
  <c r="T13302" i="15"/>
  <c r="T13301" i="15"/>
  <c r="T13300" i="15"/>
  <c r="T13299" i="15"/>
  <c r="T13298" i="15"/>
  <c r="T13297" i="15"/>
  <c r="T13296" i="15"/>
  <c r="T13295" i="15"/>
  <c r="T13294" i="15"/>
  <c r="T13293" i="15"/>
  <c r="T13292" i="15"/>
  <c r="T13291" i="15"/>
  <c r="T13290" i="15"/>
  <c r="T13289" i="15"/>
  <c r="T13288" i="15"/>
  <c r="T13287" i="15"/>
  <c r="T13286" i="15"/>
  <c r="T13285" i="15"/>
  <c r="T13284" i="15"/>
  <c r="T13283" i="15"/>
  <c r="T13282" i="15"/>
  <c r="T13281" i="15"/>
  <c r="T13280" i="15"/>
  <c r="T13279" i="15"/>
  <c r="T13278" i="15"/>
  <c r="T13277" i="15"/>
  <c r="T13276" i="15"/>
  <c r="T13275" i="15"/>
  <c r="T13274" i="15"/>
  <c r="T13273" i="15"/>
  <c r="T13272" i="15"/>
  <c r="T13271" i="15"/>
  <c r="T13270" i="15"/>
  <c r="T13269" i="15"/>
  <c r="T13268" i="15"/>
  <c r="T13267" i="15"/>
  <c r="T13266" i="15"/>
  <c r="T13265" i="15"/>
  <c r="T13264" i="15"/>
  <c r="T13263" i="15"/>
  <c r="T13262" i="15"/>
  <c r="T13261" i="15"/>
  <c r="T13260" i="15"/>
  <c r="T13259" i="15"/>
  <c r="T13258" i="15"/>
  <c r="T13257" i="15"/>
  <c r="T13256" i="15"/>
  <c r="T13255" i="15"/>
  <c r="T13254" i="15"/>
  <c r="T13253" i="15"/>
  <c r="T13252" i="15"/>
  <c r="T13251" i="15"/>
  <c r="T13250" i="15"/>
  <c r="T13249" i="15"/>
  <c r="T13248" i="15"/>
  <c r="T13247" i="15"/>
  <c r="T13246" i="15"/>
  <c r="T13245" i="15"/>
  <c r="T13244" i="15"/>
  <c r="T13243" i="15"/>
  <c r="T13242" i="15"/>
  <c r="T13241" i="15"/>
  <c r="T13240" i="15"/>
  <c r="T13239" i="15"/>
  <c r="T13238" i="15"/>
  <c r="T13237" i="15"/>
  <c r="T13236" i="15"/>
  <c r="T13235" i="15"/>
  <c r="T13234" i="15"/>
  <c r="T13233" i="15"/>
  <c r="T13232" i="15"/>
  <c r="T13231" i="15"/>
  <c r="T13230" i="15"/>
  <c r="T13229" i="15"/>
  <c r="T13228" i="15"/>
  <c r="T13227" i="15"/>
  <c r="T13226" i="15"/>
  <c r="T13225" i="15"/>
  <c r="T13224" i="15"/>
  <c r="T13223" i="15"/>
  <c r="T13222" i="15"/>
  <c r="T13221" i="15"/>
  <c r="T13220" i="15"/>
  <c r="T13219" i="15"/>
  <c r="T13218" i="15"/>
  <c r="T13217" i="15"/>
  <c r="T13216" i="15"/>
  <c r="T13215" i="15"/>
  <c r="T13214" i="15"/>
  <c r="T13213" i="15"/>
  <c r="T13212" i="15"/>
  <c r="T13211" i="15"/>
  <c r="T13210" i="15"/>
  <c r="T13209" i="15"/>
  <c r="T13208" i="15"/>
  <c r="T13207" i="15"/>
  <c r="T13206" i="15"/>
  <c r="T13205" i="15"/>
  <c r="T13204" i="15"/>
  <c r="T13203" i="15"/>
  <c r="T13202" i="15"/>
  <c r="T13201" i="15"/>
  <c r="T13200" i="15"/>
  <c r="T13199" i="15"/>
  <c r="T13198" i="15"/>
  <c r="T13197" i="15"/>
  <c r="T13196" i="15"/>
  <c r="T13195" i="15"/>
  <c r="T13194" i="15"/>
  <c r="T13193" i="15"/>
  <c r="T13192" i="15"/>
  <c r="T13191" i="15"/>
  <c r="T13190" i="15"/>
  <c r="T13189" i="15"/>
  <c r="T13188" i="15"/>
  <c r="T13187" i="15"/>
  <c r="T13186" i="15"/>
  <c r="T13185" i="15"/>
  <c r="T13184" i="15"/>
  <c r="T13183" i="15"/>
  <c r="T13182" i="15"/>
  <c r="T13181" i="15"/>
  <c r="T13180" i="15"/>
  <c r="T13179" i="15"/>
  <c r="T13178" i="15"/>
  <c r="T13177" i="15"/>
  <c r="T13176" i="15"/>
  <c r="T13175" i="15"/>
  <c r="T13174" i="15"/>
  <c r="T13173" i="15"/>
  <c r="T13172" i="15"/>
  <c r="T13171" i="15"/>
  <c r="T13170" i="15"/>
  <c r="T13169" i="15"/>
  <c r="T13168" i="15"/>
  <c r="T13167" i="15"/>
  <c r="T13166" i="15"/>
  <c r="T13165" i="15"/>
  <c r="T13164" i="15"/>
  <c r="T13163" i="15"/>
  <c r="T13162" i="15"/>
  <c r="T13161" i="15"/>
  <c r="T13160" i="15"/>
  <c r="T13159" i="15"/>
  <c r="T13158" i="15"/>
  <c r="T13157" i="15"/>
  <c r="T13156" i="15"/>
  <c r="T13155" i="15"/>
  <c r="T13154" i="15"/>
  <c r="T13153" i="15"/>
  <c r="T13152" i="15"/>
  <c r="T13151" i="15"/>
  <c r="T13150" i="15"/>
  <c r="T13149" i="15"/>
  <c r="T13148" i="15"/>
  <c r="T13147" i="15"/>
  <c r="T13146" i="15"/>
  <c r="T13145" i="15"/>
  <c r="T13144" i="15"/>
  <c r="T13143" i="15"/>
  <c r="T13142" i="15"/>
  <c r="T13141" i="15"/>
  <c r="T13140" i="15"/>
  <c r="T13139" i="15"/>
  <c r="T13138" i="15"/>
  <c r="T13137" i="15"/>
  <c r="T13136" i="15"/>
  <c r="T13135" i="15"/>
  <c r="T13134" i="15"/>
  <c r="T13133" i="15"/>
  <c r="T13132" i="15"/>
  <c r="T13131" i="15"/>
  <c r="T13130" i="15"/>
  <c r="T13129" i="15"/>
  <c r="T13128" i="15"/>
  <c r="T13127" i="15"/>
  <c r="T13126" i="15"/>
  <c r="T13125" i="15"/>
  <c r="T13124" i="15"/>
  <c r="T13123" i="15"/>
  <c r="T13122" i="15"/>
  <c r="T13121" i="15"/>
  <c r="T13120" i="15"/>
  <c r="T13119" i="15"/>
  <c r="T13118" i="15"/>
  <c r="T13117" i="15"/>
  <c r="T13116" i="15"/>
  <c r="T13115" i="15"/>
  <c r="T13114" i="15"/>
  <c r="T13113" i="15"/>
  <c r="T13112" i="15"/>
  <c r="T13111" i="15"/>
  <c r="T13110" i="15"/>
  <c r="T13109" i="15"/>
  <c r="T13108" i="15"/>
  <c r="T13107" i="15"/>
  <c r="T13106" i="15"/>
  <c r="T13105" i="15"/>
  <c r="T13104" i="15"/>
  <c r="T13103" i="15"/>
  <c r="T13102" i="15"/>
  <c r="T13101" i="15"/>
  <c r="T13100" i="15"/>
  <c r="T13099" i="15"/>
  <c r="T13098" i="15"/>
  <c r="T13097" i="15"/>
  <c r="T13096" i="15"/>
  <c r="T13095" i="15"/>
  <c r="T13094" i="15"/>
  <c r="T13093" i="15"/>
  <c r="T13092" i="15"/>
  <c r="T13091" i="15"/>
  <c r="T13090" i="15"/>
  <c r="T13089" i="15"/>
  <c r="T13088" i="15"/>
  <c r="T13087" i="15"/>
  <c r="T13086" i="15"/>
  <c r="T13085" i="15"/>
  <c r="T13084" i="15"/>
  <c r="T13083" i="15"/>
  <c r="T13082" i="15"/>
  <c r="T13081" i="15"/>
  <c r="T13080" i="15"/>
  <c r="T13079" i="15"/>
  <c r="T13078" i="15"/>
  <c r="T13077" i="15"/>
  <c r="T13076" i="15"/>
  <c r="T13075" i="15"/>
  <c r="T13074" i="15"/>
  <c r="T13073" i="15"/>
  <c r="T13072" i="15"/>
  <c r="T13071" i="15"/>
  <c r="T13070" i="15"/>
  <c r="T13069" i="15"/>
  <c r="T13068" i="15"/>
  <c r="T13067" i="15"/>
  <c r="T13066" i="15"/>
  <c r="T13065" i="15"/>
  <c r="T13064" i="15"/>
  <c r="T13063" i="15"/>
  <c r="T13062" i="15"/>
  <c r="T13061" i="15"/>
  <c r="T13060" i="15"/>
  <c r="T13059" i="15"/>
  <c r="T13058" i="15"/>
  <c r="T13057" i="15"/>
  <c r="T13056" i="15"/>
  <c r="T13055" i="15"/>
  <c r="T13054" i="15"/>
  <c r="T13053" i="15"/>
  <c r="T13052" i="15"/>
  <c r="T13051" i="15"/>
  <c r="T13050" i="15"/>
  <c r="T13049" i="15"/>
  <c r="T13048" i="15"/>
  <c r="T13047" i="15"/>
  <c r="T13046" i="15"/>
  <c r="T13045" i="15"/>
  <c r="T13044" i="15"/>
  <c r="T13043" i="15"/>
  <c r="T13042" i="15"/>
  <c r="T13041" i="15"/>
  <c r="T13040" i="15"/>
  <c r="T13039" i="15"/>
  <c r="T13038" i="15"/>
  <c r="T13037" i="15"/>
  <c r="T13036" i="15"/>
  <c r="T13035" i="15"/>
  <c r="T13034" i="15"/>
  <c r="T13033" i="15"/>
  <c r="T13032" i="15"/>
  <c r="T13031" i="15"/>
  <c r="T13030" i="15"/>
  <c r="T13029" i="15"/>
  <c r="T13028" i="15"/>
  <c r="T13027" i="15"/>
  <c r="T13026" i="15"/>
  <c r="T13025" i="15"/>
  <c r="T13024" i="15"/>
  <c r="T13023" i="15"/>
  <c r="T13022" i="15"/>
  <c r="T13021" i="15"/>
  <c r="T13020" i="15"/>
  <c r="T13019" i="15"/>
  <c r="T13018" i="15"/>
  <c r="T13017" i="15"/>
  <c r="T13016" i="15"/>
  <c r="T13015" i="15"/>
  <c r="T13014" i="15"/>
  <c r="T13013" i="15"/>
  <c r="T13012" i="15"/>
  <c r="T13011" i="15"/>
  <c r="T13010" i="15"/>
  <c r="T13009" i="15"/>
  <c r="T13008" i="15"/>
  <c r="T13007" i="15"/>
  <c r="T13006" i="15"/>
  <c r="T13005" i="15"/>
  <c r="T13004" i="15"/>
  <c r="T13003" i="15"/>
  <c r="T13002" i="15"/>
  <c r="T13001" i="15"/>
  <c r="T13000" i="15"/>
  <c r="T12999" i="15"/>
  <c r="T12998" i="15"/>
  <c r="T12997" i="15"/>
  <c r="T12996" i="15"/>
  <c r="T12995" i="15"/>
  <c r="T12994" i="15"/>
  <c r="T12993" i="15"/>
  <c r="T12992" i="15"/>
  <c r="T12991" i="15"/>
  <c r="T12990" i="15"/>
  <c r="T12989" i="15"/>
  <c r="T12988" i="15"/>
  <c r="T12987" i="15"/>
  <c r="T12986" i="15"/>
  <c r="T12985" i="15"/>
  <c r="T12984" i="15"/>
  <c r="T12983" i="15"/>
  <c r="T12982" i="15"/>
  <c r="T12981" i="15"/>
  <c r="T12980" i="15"/>
  <c r="T12979" i="15"/>
  <c r="T12978" i="15"/>
  <c r="T12977" i="15"/>
  <c r="T12976" i="15"/>
  <c r="T12975" i="15"/>
  <c r="T12974" i="15"/>
  <c r="T12973" i="15"/>
  <c r="T12972" i="15"/>
  <c r="T12971" i="15"/>
  <c r="T12970" i="15"/>
  <c r="T12969" i="15"/>
  <c r="T12968" i="15"/>
  <c r="T12967" i="15"/>
  <c r="T12966" i="15"/>
  <c r="T12965" i="15"/>
  <c r="T12964" i="15"/>
  <c r="T12963" i="15"/>
  <c r="T12962" i="15"/>
  <c r="T12961" i="15"/>
  <c r="T12960" i="15"/>
  <c r="T12959" i="15"/>
  <c r="T12958" i="15"/>
  <c r="T12957" i="15"/>
  <c r="T12956" i="15"/>
  <c r="T12955" i="15"/>
  <c r="T12954" i="15"/>
  <c r="T12953" i="15"/>
  <c r="T12952" i="15"/>
  <c r="T12951" i="15"/>
  <c r="T12950" i="15"/>
  <c r="T12949" i="15"/>
  <c r="T12948" i="15"/>
  <c r="T12947" i="15"/>
  <c r="T12946" i="15"/>
  <c r="T12945" i="15"/>
  <c r="T12944" i="15"/>
  <c r="T12943" i="15"/>
  <c r="T12942" i="15"/>
  <c r="T12941" i="15"/>
  <c r="T12940" i="15"/>
  <c r="T12939" i="15"/>
  <c r="T12938" i="15"/>
  <c r="T12937" i="15"/>
  <c r="T12936" i="15"/>
  <c r="T12935" i="15"/>
  <c r="T12934" i="15"/>
  <c r="T12933" i="15"/>
  <c r="T12932" i="15"/>
  <c r="T12931" i="15"/>
  <c r="T12930" i="15"/>
  <c r="T12929" i="15"/>
  <c r="T12928" i="15"/>
  <c r="T12927" i="15"/>
  <c r="T12926" i="15"/>
  <c r="T12925" i="15"/>
  <c r="T12924" i="15"/>
  <c r="T12923" i="15"/>
  <c r="T12922" i="15"/>
  <c r="T12921" i="15"/>
  <c r="T12920" i="15"/>
  <c r="T12919" i="15"/>
  <c r="T12918" i="15"/>
  <c r="T12917" i="15"/>
  <c r="T12916" i="15"/>
  <c r="T12915" i="15"/>
  <c r="T12914" i="15"/>
  <c r="T12913" i="15"/>
  <c r="T12912" i="15"/>
  <c r="T12911" i="15"/>
  <c r="T12910" i="15"/>
  <c r="T12909" i="15"/>
  <c r="T12908" i="15"/>
  <c r="T12907" i="15"/>
  <c r="T12906" i="15"/>
  <c r="T12905" i="15"/>
  <c r="T12904" i="15"/>
  <c r="T12903" i="15"/>
  <c r="T12902" i="15"/>
  <c r="T12901" i="15"/>
  <c r="T12900" i="15"/>
  <c r="T12899" i="15"/>
  <c r="T12898" i="15"/>
  <c r="T12897" i="15"/>
  <c r="T12896" i="15"/>
  <c r="T12895" i="15"/>
  <c r="T12894" i="15"/>
  <c r="T12893" i="15"/>
  <c r="T12892" i="15"/>
  <c r="T12891" i="15"/>
  <c r="T12890" i="15"/>
  <c r="T12889" i="15"/>
  <c r="T12888" i="15"/>
  <c r="T12887" i="15"/>
  <c r="T12886" i="15"/>
  <c r="T12885" i="15"/>
  <c r="T12884" i="15"/>
  <c r="T12883" i="15"/>
  <c r="T12882" i="15"/>
  <c r="T12881" i="15"/>
  <c r="T12880" i="15"/>
  <c r="T12879" i="15"/>
  <c r="T12878" i="15"/>
  <c r="T12877" i="15"/>
  <c r="T12876" i="15"/>
  <c r="T12875" i="15"/>
  <c r="T12874" i="15"/>
  <c r="T12873" i="15"/>
  <c r="T12872" i="15"/>
  <c r="T12871" i="15"/>
  <c r="T12870" i="15"/>
  <c r="T12869" i="15"/>
  <c r="T12868" i="15"/>
  <c r="T12867" i="15"/>
  <c r="T12866" i="15"/>
  <c r="T12865" i="15"/>
  <c r="T12864" i="15"/>
  <c r="T12863" i="15"/>
  <c r="T12862" i="15"/>
  <c r="T12861" i="15"/>
  <c r="T12860" i="15"/>
  <c r="T12859" i="15"/>
  <c r="T12858" i="15"/>
  <c r="T12857" i="15"/>
  <c r="T12856" i="15"/>
  <c r="T12855" i="15"/>
  <c r="T12854" i="15"/>
  <c r="T12853" i="15"/>
  <c r="T12852" i="15"/>
  <c r="T12851" i="15"/>
  <c r="T12850" i="15"/>
  <c r="T12849" i="15"/>
  <c r="T12848" i="15"/>
  <c r="T12847" i="15"/>
  <c r="T12846" i="15"/>
  <c r="T12845" i="15"/>
  <c r="T12844" i="15"/>
  <c r="T12843" i="15"/>
  <c r="T12842" i="15"/>
  <c r="T12841" i="15"/>
  <c r="T12840" i="15"/>
  <c r="T12839" i="15"/>
  <c r="T12838" i="15"/>
  <c r="T12837" i="15"/>
  <c r="T12836" i="15"/>
  <c r="T12835" i="15"/>
  <c r="T12834" i="15"/>
  <c r="T12833" i="15"/>
  <c r="T12832" i="15"/>
  <c r="T12831" i="15"/>
  <c r="T12830" i="15"/>
  <c r="T12829" i="15"/>
  <c r="T12828" i="15"/>
  <c r="T12827" i="15"/>
  <c r="T12826" i="15"/>
  <c r="T12825" i="15"/>
  <c r="T12824" i="15"/>
  <c r="T12823" i="15"/>
  <c r="T12822" i="15"/>
  <c r="T12821" i="15"/>
  <c r="T12820" i="15"/>
  <c r="T12819" i="15"/>
  <c r="T12818" i="15"/>
  <c r="T12817" i="15"/>
  <c r="T12816" i="15"/>
  <c r="T12815" i="15"/>
  <c r="T12814" i="15"/>
  <c r="T12813" i="15"/>
  <c r="T12812" i="15"/>
  <c r="T12811" i="15"/>
  <c r="T12810" i="15"/>
  <c r="T12809" i="15"/>
  <c r="T12808" i="15"/>
  <c r="T12807" i="15"/>
  <c r="T12806" i="15"/>
  <c r="T12805" i="15"/>
  <c r="T12804" i="15"/>
  <c r="T12803" i="15"/>
  <c r="T12802" i="15"/>
  <c r="T12801" i="15"/>
  <c r="T12800" i="15"/>
  <c r="T12799" i="15"/>
  <c r="T12798" i="15"/>
  <c r="T12797" i="15"/>
  <c r="T12796" i="15"/>
  <c r="T12795" i="15"/>
  <c r="T12794" i="15"/>
  <c r="T12793" i="15"/>
  <c r="T12792" i="15"/>
  <c r="T12791" i="15"/>
  <c r="T12790" i="15"/>
  <c r="T12789" i="15"/>
  <c r="T12788" i="15"/>
  <c r="T12787" i="15"/>
  <c r="T12786" i="15"/>
  <c r="T12785" i="15"/>
  <c r="T12784" i="15"/>
  <c r="T12783" i="15"/>
  <c r="T12782" i="15"/>
  <c r="T12781" i="15"/>
  <c r="T12780" i="15"/>
  <c r="T12779" i="15"/>
  <c r="T12778" i="15"/>
  <c r="T12777" i="15"/>
  <c r="T12776" i="15"/>
  <c r="T12775" i="15"/>
  <c r="T12774" i="15"/>
  <c r="T12773" i="15"/>
  <c r="T12772" i="15"/>
  <c r="T12771" i="15"/>
  <c r="T12770" i="15"/>
  <c r="T12769" i="15"/>
  <c r="T12768" i="15"/>
  <c r="T12767" i="15"/>
  <c r="T12766" i="15"/>
  <c r="T12765" i="15"/>
  <c r="T12764" i="15"/>
  <c r="T12763" i="15"/>
  <c r="T12762" i="15"/>
  <c r="T12761" i="15"/>
  <c r="T12760" i="15"/>
  <c r="T12759" i="15"/>
  <c r="T12758" i="15"/>
  <c r="T12757" i="15"/>
  <c r="T12756" i="15"/>
  <c r="T12755" i="15"/>
  <c r="T12754" i="15"/>
  <c r="T12753" i="15"/>
  <c r="T12752" i="15"/>
  <c r="T12751" i="15"/>
  <c r="T12750" i="15"/>
  <c r="T12749" i="15"/>
  <c r="T12748" i="15"/>
  <c r="T12747" i="15"/>
  <c r="T12746" i="15"/>
  <c r="T12745" i="15"/>
  <c r="T12744" i="15"/>
  <c r="T12743" i="15"/>
  <c r="T12742" i="15"/>
  <c r="T12741" i="15"/>
  <c r="T12740" i="15"/>
  <c r="T12739" i="15"/>
  <c r="T12738" i="15"/>
  <c r="T12737" i="15"/>
  <c r="T12736" i="15"/>
  <c r="T12735" i="15"/>
  <c r="T12734" i="15"/>
  <c r="T12733" i="15"/>
  <c r="T12732" i="15"/>
  <c r="T12731" i="15"/>
  <c r="T12730" i="15"/>
  <c r="T12729" i="15"/>
  <c r="T12728" i="15"/>
  <c r="T12727" i="15"/>
  <c r="T12726" i="15"/>
  <c r="T12725" i="15"/>
  <c r="T12724" i="15"/>
  <c r="T12723" i="15"/>
  <c r="T12722" i="15"/>
  <c r="T12721" i="15"/>
  <c r="T12720" i="15"/>
  <c r="T12719" i="15"/>
  <c r="T12718" i="15"/>
  <c r="T12717" i="15"/>
  <c r="T12716" i="15"/>
  <c r="T12715" i="15"/>
  <c r="T12714" i="15"/>
  <c r="T12713" i="15"/>
  <c r="T12712" i="15"/>
  <c r="T12711" i="15"/>
  <c r="T12710" i="15"/>
  <c r="T12709" i="15"/>
  <c r="T12708" i="15"/>
  <c r="T12707" i="15"/>
  <c r="T12706" i="15"/>
  <c r="T12705" i="15"/>
  <c r="T12704" i="15"/>
  <c r="T12703" i="15"/>
  <c r="T12702" i="15"/>
  <c r="T12701" i="15"/>
  <c r="T12700" i="15"/>
  <c r="T12699" i="15"/>
  <c r="T12698" i="15"/>
  <c r="T12697" i="15"/>
  <c r="T12696" i="15"/>
  <c r="T12695" i="15"/>
  <c r="T12694" i="15"/>
  <c r="T12693" i="15"/>
  <c r="T12692" i="15"/>
  <c r="T12691" i="15"/>
  <c r="T12690" i="15"/>
  <c r="T12689" i="15"/>
  <c r="T12688" i="15"/>
  <c r="T12687" i="15"/>
  <c r="T12686" i="15"/>
  <c r="T12685" i="15"/>
  <c r="T12684" i="15"/>
  <c r="T12683" i="15"/>
  <c r="T12682" i="15"/>
  <c r="T12681" i="15"/>
  <c r="T12680" i="15"/>
  <c r="T12679" i="15"/>
  <c r="T12678" i="15"/>
  <c r="T12677" i="15"/>
  <c r="T12676" i="15"/>
  <c r="T12675" i="15"/>
  <c r="T12674" i="15"/>
  <c r="T12673" i="15"/>
  <c r="T12672" i="15"/>
  <c r="T12671" i="15"/>
  <c r="T12670" i="15"/>
  <c r="T12669" i="15"/>
  <c r="T12668" i="15"/>
  <c r="T12667" i="15"/>
  <c r="T12666" i="15"/>
  <c r="T12665" i="15"/>
  <c r="T12664" i="15"/>
  <c r="T12663" i="15"/>
  <c r="T12662" i="15"/>
  <c r="T12661" i="15"/>
  <c r="T12660" i="15"/>
  <c r="T12659" i="15"/>
  <c r="T12658" i="15"/>
  <c r="T12657" i="15"/>
  <c r="T12656" i="15"/>
  <c r="T12655" i="15"/>
  <c r="T12654" i="15"/>
  <c r="T12653" i="15"/>
  <c r="T12652" i="15"/>
  <c r="T12651" i="15"/>
  <c r="T12650" i="15"/>
  <c r="T12649" i="15"/>
  <c r="T12648" i="15"/>
  <c r="T12647" i="15"/>
  <c r="T12646" i="15"/>
  <c r="T12645" i="15"/>
  <c r="T12644" i="15"/>
  <c r="T12643" i="15"/>
  <c r="T12642" i="15"/>
  <c r="T12641" i="15"/>
  <c r="T12640" i="15"/>
  <c r="T12639" i="15"/>
  <c r="T12638" i="15"/>
  <c r="T12637" i="15"/>
  <c r="T12636" i="15"/>
  <c r="T12635" i="15"/>
  <c r="T12634" i="15"/>
  <c r="T12633" i="15"/>
  <c r="T12632" i="15"/>
  <c r="T12631" i="15"/>
  <c r="T12630" i="15"/>
  <c r="T12629" i="15"/>
  <c r="T12628" i="15"/>
  <c r="T12627" i="15"/>
  <c r="T12626" i="15"/>
  <c r="T12625" i="15"/>
  <c r="T12624" i="15"/>
  <c r="T12623" i="15"/>
  <c r="T12622" i="15"/>
  <c r="T12621" i="15"/>
  <c r="T12620" i="15"/>
  <c r="T12619" i="15"/>
  <c r="T12618" i="15"/>
  <c r="T12617" i="15"/>
  <c r="T12616" i="15"/>
  <c r="T12615" i="15"/>
  <c r="T12614" i="15"/>
  <c r="T12613" i="15"/>
  <c r="T12612" i="15"/>
  <c r="T12611" i="15"/>
  <c r="T12610" i="15"/>
  <c r="T12609" i="15"/>
  <c r="T12608" i="15"/>
  <c r="T12607" i="15"/>
  <c r="T12606" i="15"/>
  <c r="T12605" i="15"/>
  <c r="T12604" i="15"/>
  <c r="T12603" i="15"/>
  <c r="T12602" i="15"/>
  <c r="T12601" i="15"/>
  <c r="T12600" i="15"/>
  <c r="T12599" i="15"/>
  <c r="T12598" i="15"/>
  <c r="T12597" i="15"/>
  <c r="T12596" i="15"/>
  <c r="T12595" i="15"/>
  <c r="T12594" i="15"/>
  <c r="T12593" i="15"/>
  <c r="T12592" i="15"/>
  <c r="T12591" i="15"/>
  <c r="T12590" i="15"/>
  <c r="T12589" i="15"/>
  <c r="T12588" i="15"/>
  <c r="T12587" i="15"/>
  <c r="T12586" i="15"/>
  <c r="T12585" i="15"/>
  <c r="T12584" i="15"/>
  <c r="T12583" i="15"/>
  <c r="T12582" i="15"/>
  <c r="T12581" i="15"/>
  <c r="T12580" i="15"/>
  <c r="T12579" i="15"/>
  <c r="T12578" i="15"/>
  <c r="T12577" i="15"/>
  <c r="T12576" i="15"/>
  <c r="T12575" i="15"/>
  <c r="T12574" i="15"/>
  <c r="T12573" i="15"/>
  <c r="T12572" i="15"/>
  <c r="T12571" i="15"/>
  <c r="T12570" i="15"/>
  <c r="T12569" i="15"/>
  <c r="T12568" i="15"/>
  <c r="T12567" i="15"/>
  <c r="T12566" i="15"/>
  <c r="T12565" i="15"/>
  <c r="T12564" i="15"/>
  <c r="T12563" i="15"/>
  <c r="T12562" i="15"/>
  <c r="T12561" i="15"/>
  <c r="T12560" i="15"/>
  <c r="T12559" i="15"/>
  <c r="T12558" i="15"/>
  <c r="T12557" i="15"/>
  <c r="T12556" i="15"/>
  <c r="T12555" i="15"/>
  <c r="T12554" i="15"/>
  <c r="T12553" i="15"/>
  <c r="T12552" i="15"/>
  <c r="T12551" i="15"/>
  <c r="T12550" i="15"/>
  <c r="T12549" i="15"/>
  <c r="T12548" i="15"/>
  <c r="T12547" i="15"/>
  <c r="T12546" i="15"/>
  <c r="T12545" i="15"/>
  <c r="T12544" i="15"/>
  <c r="T12543" i="15"/>
  <c r="T12542" i="15"/>
  <c r="T12541" i="15"/>
  <c r="T12540" i="15"/>
  <c r="T12539" i="15"/>
  <c r="T12538" i="15"/>
  <c r="T12537" i="15"/>
  <c r="T12536" i="15"/>
  <c r="T12535" i="15"/>
  <c r="T12534" i="15"/>
  <c r="T12533" i="15"/>
  <c r="T12532" i="15"/>
  <c r="T12531" i="15"/>
  <c r="T12530" i="15"/>
  <c r="T12529" i="15"/>
  <c r="T12528" i="15"/>
  <c r="T12527" i="15"/>
  <c r="T12526" i="15"/>
  <c r="T12525" i="15"/>
  <c r="T12524" i="15"/>
  <c r="T12523" i="15"/>
  <c r="T12522" i="15"/>
  <c r="T12521" i="15"/>
  <c r="T12520" i="15"/>
  <c r="T12519" i="15"/>
  <c r="T12518" i="15"/>
  <c r="T12517" i="15"/>
  <c r="T12516" i="15"/>
  <c r="T12515" i="15"/>
  <c r="T12514" i="15"/>
  <c r="T12513" i="15"/>
  <c r="T12512" i="15"/>
  <c r="T12511" i="15"/>
  <c r="T12510" i="15"/>
  <c r="T12509" i="15"/>
  <c r="T12508" i="15"/>
  <c r="T12507" i="15"/>
  <c r="T12506" i="15"/>
  <c r="T12505" i="15"/>
  <c r="T12504" i="15"/>
  <c r="T12503" i="15"/>
  <c r="T12502" i="15"/>
  <c r="T12501" i="15"/>
  <c r="T12500" i="15"/>
  <c r="T12499" i="15"/>
  <c r="T12498" i="15"/>
  <c r="T12497" i="15"/>
  <c r="T12496" i="15"/>
  <c r="T12495" i="15"/>
  <c r="T12494" i="15"/>
  <c r="T12493" i="15"/>
  <c r="T12492" i="15"/>
  <c r="T12491" i="15"/>
  <c r="T12490" i="15"/>
  <c r="T12489" i="15"/>
  <c r="T12488" i="15"/>
  <c r="T12487" i="15"/>
  <c r="T12486" i="15"/>
  <c r="T12485" i="15"/>
  <c r="T12484" i="15"/>
  <c r="T12483" i="15"/>
  <c r="T12482" i="15"/>
  <c r="T12481" i="15"/>
  <c r="T12480" i="15"/>
  <c r="T12479" i="15"/>
  <c r="T12478" i="15"/>
  <c r="T12477" i="15"/>
  <c r="T12476" i="15"/>
  <c r="T12475" i="15"/>
  <c r="T12474" i="15"/>
  <c r="T12473" i="15"/>
  <c r="T12472" i="15"/>
  <c r="T12471" i="15"/>
  <c r="T12470" i="15"/>
  <c r="T12469" i="15"/>
  <c r="T12468" i="15"/>
  <c r="T12467" i="15"/>
  <c r="T12466" i="15"/>
  <c r="T12465" i="15"/>
  <c r="T12464" i="15"/>
  <c r="T12463" i="15"/>
  <c r="T12462" i="15"/>
  <c r="T12461" i="15"/>
  <c r="T12460" i="15"/>
  <c r="T12459" i="15"/>
  <c r="T12458" i="15"/>
  <c r="T12457" i="15"/>
  <c r="T12456" i="15"/>
  <c r="T12455" i="15"/>
  <c r="T12454" i="15"/>
  <c r="T12453" i="15"/>
  <c r="T12452" i="15"/>
  <c r="T12451" i="15"/>
  <c r="T12450" i="15"/>
  <c r="T12449" i="15"/>
  <c r="T12448" i="15"/>
  <c r="T12447" i="15"/>
  <c r="T12446" i="15"/>
  <c r="T12445" i="15"/>
  <c r="T12444" i="15"/>
  <c r="T12443" i="15"/>
  <c r="T12442" i="15"/>
  <c r="T12441" i="15"/>
  <c r="T12440" i="15"/>
  <c r="T12439" i="15"/>
  <c r="T12438" i="15"/>
  <c r="T12437" i="15"/>
  <c r="T12436" i="15"/>
  <c r="T12435" i="15"/>
  <c r="T12434" i="15"/>
  <c r="T12433" i="15"/>
  <c r="T12432" i="15"/>
  <c r="T12431" i="15"/>
  <c r="T12430" i="15"/>
  <c r="T12429" i="15"/>
  <c r="T12428" i="15"/>
  <c r="T12427" i="15"/>
  <c r="T12426" i="15"/>
  <c r="T12425" i="15"/>
  <c r="T12424" i="15"/>
  <c r="T12423" i="15"/>
  <c r="T12422" i="15"/>
  <c r="T12421" i="15"/>
  <c r="T12420" i="15"/>
  <c r="T12419" i="15"/>
  <c r="T12418" i="15"/>
  <c r="T12417" i="15"/>
  <c r="T12416" i="15"/>
  <c r="T12415" i="15"/>
  <c r="T12414" i="15"/>
  <c r="T12413" i="15"/>
  <c r="T12412" i="15"/>
  <c r="T12411" i="15"/>
  <c r="T12410" i="15"/>
  <c r="T12409" i="15"/>
  <c r="T12408" i="15"/>
  <c r="T12407" i="15"/>
  <c r="T12406" i="15"/>
  <c r="T12405" i="15"/>
  <c r="T12404" i="15"/>
  <c r="T12403" i="15"/>
  <c r="T12402" i="15"/>
  <c r="T12401" i="15"/>
  <c r="T12400" i="15"/>
  <c r="T12399" i="15"/>
  <c r="T12398" i="15"/>
  <c r="T12397" i="15"/>
  <c r="T12396" i="15"/>
  <c r="T12395" i="15"/>
  <c r="T12394" i="15"/>
  <c r="T12393" i="15"/>
  <c r="T12392" i="15"/>
  <c r="T12391" i="15"/>
  <c r="T12390" i="15"/>
  <c r="T12389" i="15"/>
  <c r="T12388" i="15"/>
  <c r="T12387" i="15"/>
  <c r="T12386" i="15"/>
  <c r="T12385" i="15"/>
  <c r="T12384" i="15"/>
  <c r="T12383" i="15"/>
  <c r="T12382" i="15"/>
  <c r="T12381" i="15"/>
  <c r="T12380" i="15"/>
  <c r="T12379" i="15"/>
  <c r="T12378" i="15"/>
  <c r="T12377" i="15"/>
  <c r="T12376" i="15"/>
  <c r="T12375" i="15"/>
  <c r="T12374" i="15"/>
  <c r="T12373" i="15"/>
  <c r="T12372" i="15"/>
  <c r="T12371" i="15"/>
  <c r="T12370" i="15"/>
  <c r="T12369" i="15"/>
  <c r="T12368" i="15"/>
  <c r="T12367" i="15"/>
  <c r="T12366" i="15"/>
  <c r="T12365" i="15"/>
  <c r="T12364" i="15"/>
  <c r="T12363" i="15"/>
  <c r="T12362" i="15"/>
  <c r="T12361" i="15"/>
  <c r="T12360" i="15"/>
  <c r="T12359" i="15"/>
  <c r="T12358" i="15"/>
  <c r="T12357" i="15"/>
  <c r="T12356" i="15"/>
  <c r="T12355" i="15"/>
  <c r="T12354" i="15"/>
  <c r="T12353" i="15"/>
  <c r="T12352" i="15"/>
  <c r="T12351" i="15"/>
  <c r="T12350" i="15"/>
  <c r="T12349" i="15"/>
  <c r="T12348" i="15"/>
  <c r="T12347" i="15"/>
  <c r="T12346" i="15"/>
  <c r="T12345" i="15"/>
  <c r="T12344" i="15"/>
  <c r="T12343" i="15"/>
  <c r="T12342" i="15"/>
  <c r="T12341" i="15"/>
  <c r="T12340" i="15"/>
  <c r="T12339" i="15"/>
  <c r="T12338" i="15"/>
  <c r="T12337" i="15"/>
  <c r="T12336" i="15"/>
  <c r="T12335" i="15"/>
  <c r="T12334" i="15"/>
  <c r="T12333" i="15"/>
  <c r="T12332" i="15"/>
  <c r="T12331" i="15"/>
  <c r="T12330" i="15"/>
  <c r="T12329" i="15"/>
  <c r="T12328" i="15"/>
  <c r="T12327" i="15"/>
  <c r="T12326" i="15"/>
  <c r="T12325" i="15"/>
  <c r="T12324" i="15"/>
  <c r="T12323" i="15"/>
  <c r="T12322" i="15"/>
  <c r="T12321" i="15"/>
  <c r="T12320" i="15"/>
  <c r="T12319" i="15"/>
  <c r="T12318" i="15"/>
  <c r="T12317" i="15"/>
  <c r="T12316" i="15"/>
  <c r="T12315" i="15"/>
  <c r="T12314" i="15"/>
  <c r="T12313" i="15"/>
  <c r="T12312" i="15"/>
  <c r="T12311" i="15"/>
  <c r="T12310" i="15"/>
  <c r="T12309" i="15"/>
  <c r="T12308" i="15"/>
  <c r="T12307" i="15"/>
  <c r="T12306" i="15"/>
  <c r="T12305" i="15"/>
  <c r="T12304" i="15"/>
  <c r="T12303" i="15"/>
  <c r="T12302" i="15"/>
  <c r="T12301" i="15"/>
  <c r="T12300" i="15"/>
  <c r="T12299" i="15"/>
  <c r="T12298" i="15"/>
  <c r="T12297" i="15"/>
  <c r="T12296" i="15"/>
  <c r="T12295" i="15"/>
  <c r="T12294" i="15"/>
  <c r="T12293" i="15"/>
  <c r="T12292" i="15"/>
  <c r="T12291" i="15"/>
  <c r="T12290" i="15"/>
  <c r="T12289" i="15"/>
  <c r="T12288" i="15"/>
  <c r="T12287" i="15"/>
  <c r="T12286" i="15"/>
  <c r="T12285" i="15"/>
  <c r="T12284" i="15"/>
  <c r="T12283" i="15"/>
  <c r="T12282" i="15"/>
  <c r="T12281" i="15"/>
  <c r="T12280" i="15"/>
  <c r="T12279" i="15"/>
  <c r="T12278" i="15"/>
  <c r="T12277" i="15"/>
  <c r="T12276" i="15"/>
  <c r="T12275" i="15"/>
  <c r="T12274" i="15"/>
  <c r="T12273" i="15"/>
  <c r="T12272" i="15"/>
  <c r="T12271" i="15"/>
  <c r="T12270" i="15"/>
  <c r="T12269" i="15"/>
  <c r="T12268" i="15"/>
  <c r="T12267" i="15"/>
  <c r="T12266" i="15"/>
  <c r="T12265" i="15"/>
  <c r="T12264" i="15"/>
  <c r="T12263" i="15"/>
  <c r="T12262" i="15"/>
  <c r="T12261" i="15"/>
  <c r="T12260" i="15"/>
  <c r="T12259" i="15"/>
  <c r="T12258" i="15"/>
  <c r="T12257" i="15"/>
  <c r="T12256" i="15"/>
  <c r="T12255" i="15"/>
  <c r="T12254" i="15"/>
  <c r="T12253" i="15"/>
  <c r="T12252" i="15"/>
  <c r="T12251" i="15"/>
  <c r="T12250" i="15"/>
  <c r="T12249" i="15"/>
  <c r="T12248" i="15"/>
  <c r="T12247" i="15"/>
  <c r="T12246" i="15"/>
  <c r="T12245" i="15"/>
  <c r="T12244" i="15"/>
  <c r="T12243" i="15"/>
  <c r="T12242" i="15"/>
  <c r="T12241" i="15"/>
  <c r="T12240" i="15"/>
  <c r="T12239" i="15"/>
  <c r="T12238" i="15"/>
  <c r="T12237" i="15"/>
  <c r="T12236" i="15"/>
  <c r="T12235" i="15"/>
  <c r="T12234" i="15"/>
  <c r="T12233" i="15"/>
  <c r="T12232" i="15"/>
  <c r="T12231" i="15"/>
  <c r="T12230" i="15"/>
  <c r="T12229" i="15"/>
  <c r="T12228" i="15"/>
  <c r="T12227" i="15"/>
  <c r="T12226" i="15"/>
  <c r="T12225" i="15"/>
  <c r="T12224" i="15"/>
  <c r="T12223" i="15"/>
  <c r="T12222" i="15"/>
  <c r="T12221" i="15"/>
  <c r="T12220" i="15"/>
  <c r="T12219" i="15"/>
  <c r="T12218" i="15"/>
  <c r="T12217" i="15"/>
  <c r="T12216" i="15"/>
  <c r="T12215" i="15"/>
  <c r="T12214" i="15"/>
  <c r="T12213" i="15"/>
  <c r="T12212" i="15"/>
  <c r="T12211" i="15"/>
  <c r="T12210" i="15"/>
  <c r="T12209" i="15"/>
  <c r="T12208" i="15"/>
  <c r="T12207" i="15"/>
  <c r="T12206" i="15"/>
  <c r="T12205" i="15"/>
  <c r="T12204" i="15"/>
  <c r="T12203" i="15"/>
  <c r="T12202" i="15"/>
  <c r="T12201" i="15"/>
  <c r="T12200" i="15"/>
  <c r="T12199" i="15"/>
  <c r="T12198" i="15"/>
  <c r="T12197" i="15"/>
  <c r="T12196" i="15"/>
  <c r="T12195" i="15"/>
  <c r="T12194" i="15"/>
  <c r="T12193" i="15"/>
  <c r="T12192" i="15"/>
  <c r="T12191" i="15"/>
  <c r="T12190" i="15"/>
  <c r="T12189" i="15"/>
  <c r="T12188" i="15"/>
  <c r="T12187" i="15"/>
  <c r="T12186" i="15"/>
  <c r="T12185" i="15"/>
  <c r="T12184" i="15"/>
  <c r="T12183" i="15"/>
  <c r="T12182" i="15"/>
  <c r="T12181" i="15"/>
  <c r="T12180" i="15"/>
  <c r="T12179" i="15"/>
  <c r="T12178" i="15"/>
  <c r="T12177" i="15"/>
  <c r="T12176" i="15"/>
  <c r="T12175" i="15"/>
  <c r="T12174" i="15"/>
  <c r="T12173" i="15"/>
  <c r="T12172" i="15"/>
  <c r="T12171" i="15"/>
  <c r="T12170" i="15"/>
  <c r="T12169" i="15"/>
  <c r="T12168" i="15"/>
  <c r="T12167" i="15"/>
  <c r="T12166" i="15"/>
  <c r="T12165" i="15"/>
  <c r="T12164" i="15"/>
  <c r="T12163" i="15"/>
  <c r="T12162" i="15"/>
  <c r="T12161" i="15"/>
  <c r="T12160" i="15"/>
  <c r="T12159" i="15"/>
  <c r="T12158" i="15"/>
  <c r="T12157" i="15"/>
  <c r="T12156" i="15"/>
  <c r="T12155" i="15"/>
  <c r="T12154" i="15"/>
  <c r="T12153" i="15"/>
  <c r="T12152" i="15"/>
  <c r="T12151" i="15"/>
  <c r="T12150" i="15"/>
  <c r="T12149" i="15"/>
  <c r="T12148" i="15"/>
  <c r="T12147" i="15"/>
  <c r="T12146" i="15"/>
  <c r="T12145" i="15"/>
  <c r="T12144" i="15"/>
  <c r="T12143" i="15"/>
  <c r="T12142" i="15"/>
  <c r="T12141" i="15"/>
  <c r="T12140" i="15"/>
  <c r="T12139" i="15"/>
  <c r="T12138" i="15"/>
  <c r="T12137" i="15"/>
  <c r="T12136" i="15"/>
  <c r="T12135" i="15"/>
  <c r="T12134" i="15"/>
  <c r="T12133" i="15"/>
  <c r="T12132" i="15"/>
  <c r="T12131" i="15"/>
  <c r="T12130" i="15"/>
  <c r="T12129" i="15"/>
  <c r="T12128" i="15"/>
  <c r="T12127" i="15"/>
  <c r="T12126" i="15"/>
  <c r="T12125" i="15"/>
  <c r="T12124" i="15"/>
  <c r="T12123" i="15"/>
  <c r="T12122" i="15"/>
  <c r="T12121" i="15"/>
  <c r="T12120" i="15"/>
  <c r="T12119" i="15"/>
  <c r="T12118" i="15"/>
  <c r="T12117" i="15"/>
  <c r="T12116" i="15"/>
  <c r="T12115" i="15"/>
  <c r="T12114" i="15"/>
  <c r="T12113" i="15"/>
  <c r="T12112" i="15"/>
  <c r="T12111" i="15"/>
  <c r="T12110" i="15"/>
  <c r="T12109" i="15"/>
  <c r="T12108" i="15"/>
  <c r="T12107" i="15"/>
  <c r="T12106" i="15"/>
  <c r="T12105" i="15"/>
  <c r="T12104" i="15"/>
  <c r="T12103" i="15"/>
  <c r="T12102" i="15"/>
  <c r="T12101" i="15"/>
  <c r="T12100" i="15"/>
  <c r="T12099" i="15"/>
  <c r="T12098" i="15"/>
  <c r="T12097" i="15"/>
  <c r="T12096" i="15"/>
  <c r="T12095" i="15"/>
  <c r="T12094" i="15"/>
  <c r="T12093" i="15"/>
  <c r="T12092" i="15"/>
  <c r="T12091" i="15"/>
  <c r="T12090" i="15"/>
  <c r="T12089" i="15"/>
  <c r="T12088" i="15"/>
  <c r="T12087" i="15"/>
  <c r="T12086" i="15"/>
  <c r="T12085" i="15"/>
  <c r="T12084" i="15"/>
  <c r="T12083" i="15"/>
  <c r="T12082" i="15"/>
  <c r="T12081" i="15"/>
  <c r="T12080" i="15"/>
  <c r="T12079" i="15"/>
  <c r="T12078" i="15"/>
  <c r="T12077" i="15"/>
  <c r="T12076" i="15"/>
  <c r="T12075" i="15"/>
  <c r="T12074" i="15"/>
  <c r="T12073" i="15"/>
  <c r="T12072" i="15"/>
  <c r="T12071" i="15"/>
  <c r="T12070" i="15"/>
  <c r="T12069" i="15"/>
  <c r="T12068" i="15"/>
  <c r="T12067" i="15"/>
  <c r="T12066" i="15"/>
  <c r="T12065" i="15"/>
  <c r="T12064" i="15"/>
  <c r="T12063" i="15"/>
  <c r="T12062" i="15"/>
  <c r="T12061" i="15"/>
  <c r="T12060" i="15"/>
  <c r="T12059" i="15"/>
  <c r="T12058" i="15"/>
  <c r="T12057" i="15"/>
  <c r="T12056" i="15"/>
  <c r="T12055" i="15"/>
  <c r="T12054" i="15"/>
  <c r="T12053" i="15"/>
  <c r="T12052" i="15"/>
  <c r="T12051" i="15"/>
  <c r="T12050" i="15"/>
  <c r="T12049" i="15"/>
  <c r="T12048" i="15"/>
  <c r="T12047" i="15"/>
  <c r="T12046" i="15"/>
  <c r="T12045" i="15"/>
  <c r="T12044" i="15"/>
  <c r="T12043" i="15"/>
  <c r="T12042" i="15"/>
  <c r="T12041" i="15"/>
  <c r="T12040" i="15"/>
  <c r="T12039" i="15"/>
  <c r="T12038" i="15"/>
  <c r="T12037" i="15"/>
  <c r="T12036" i="15"/>
  <c r="T12035" i="15"/>
  <c r="T12034" i="15"/>
  <c r="T12033" i="15"/>
  <c r="T12032" i="15"/>
  <c r="T12031" i="15"/>
  <c r="T12030" i="15"/>
  <c r="T12029" i="15"/>
  <c r="T12028" i="15"/>
  <c r="T12027" i="15"/>
  <c r="T12026" i="15"/>
  <c r="T12025" i="15"/>
  <c r="T12024" i="15"/>
  <c r="T12023" i="15"/>
  <c r="T12022" i="15"/>
  <c r="T12021" i="15"/>
  <c r="T12020" i="15"/>
  <c r="T12019" i="15"/>
  <c r="T12018" i="15"/>
  <c r="T12017" i="15"/>
  <c r="T12016" i="15"/>
  <c r="T12015" i="15"/>
  <c r="T12014" i="15"/>
  <c r="T12013" i="15"/>
  <c r="T12012" i="15"/>
  <c r="T12011" i="15"/>
  <c r="T12010" i="15"/>
  <c r="T12009" i="15"/>
  <c r="T12008" i="15"/>
  <c r="T12007" i="15"/>
  <c r="T12006" i="15"/>
  <c r="T12005" i="15"/>
  <c r="T12004" i="15"/>
  <c r="T12003" i="15"/>
  <c r="T12002" i="15"/>
  <c r="T12001" i="15"/>
  <c r="T12000" i="15"/>
  <c r="T11999" i="15"/>
  <c r="T11998" i="15"/>
  <c r="T11997" i="15"/>
  <c r="T11996" i="15"/>
  <c r="T11995" i="15"/>
  <c r="T11994" i="15"/>
  <c r="T11993" i="15"/>
  <c r="T11992" i="15"/>
  <c r="T11991" i="15"/>
  <c r="T11990" i="15"/>
  <c r="T11989" i="15"/>
  <c r="T11988" i="15"/>
  <c r="T11987" i="15"/>
  <c r="T11986" i="15"/>
  <c r="T11985" i="15"/>
  <c r="T11984" i="15"/>
  <c r="T11983" i="15"/>
  <c r="T11982" i="15"/>
  <c r="T11981" i="15"/>
  <c r="T11980" i="15"/>
  <c r="T11979" i="15"/>
  <c r="T11978" i="15"/>
  <c r="T11977" i="15"/>
  <c r="T11976" i="15"/>
  <c r="T11975" i="15"/>
  <c r="T11974" i="15"/>
  <c r="T11973" i="15"/>
  <c r="T11972" i="15"/>
  <c r="T11971" i="15"/>
  <c r="T11970" i="15"/>
  <c r="T11969" i="15"/>
  <c r="T11968" i="15"/>
  <c r="T11967" i="15"/>
  <c r="T11966" i="15"/>
  <c r="T11965" i="15"/>
  <c r="T11964" i="15"/>
  <c r="T11963" i="15"/>
  <c r="T11962" i="15"/>
  <c r="T11961" i="15"/>
  <c r="T11960" i="15"/>
  <c r="T11959" i="15"/>
  <c r="T11958" i="15"/>
  <c r="T11957" i="15"/>
  <c r="T11956" i="15"/>
  <c r="T11955" i="15"/>
  <c r="T11954" i="15"/>
  <c r="T11953" i="15"/>
  <c r="T11952" i="15"/>
  <c r="T11951" i="15"/>
  <c r="T11950" i="15"/>
  <c r="T11949" i="15"/>
  <c r="T11948" i="15"/>
  <c r="T11947" i="15"/>
  <c r="T11946" i="15"/>
  <c r="T11945" i="15"/>
  <c r="T11944" i="15"/>
  <c r="T11943" i="15"/>
  <c r="T11942" i="15"/>
  <c r="T11941" i="15"/>
  <c r="T11940" i="15"/>
  <c r="T11939" i="15"/>
  <c r="T11938" i="15"/>
  <c r="T11937" i="15"/>
  <c r="T11936" i="15"/>
  <c r="T11935" i="15"/>
  <c r="T11934" i="15"/>
  <c r="T11933" i="15"/>
  <c r="T11932" i="15"/>
  <c r="T11931" i="15"/>
  <c r="T11930" i="15"/>
  <c r="T11929" i="15"/>
  <c r="T11928" i="15"/>
  <c r="T11927" i="15"/>
  <c r="T11926" i="15"/>
  <c r="T11925" i="15"/>
  <c r="T11924" i="15"/>
  <c r="T11923" i="15"/>
  <c r="T11922" i="15"/>
  <c r="T11921" i="15"/>
  <c r="T11920" i="15"/>
  <c r="T11919" i="15"/>
  <c r="T11918" i="15"/>
  <c r="T11917" i="15"/>
  <c r="T11916" i="15"/>
  <c r="T11915" i="15"/>
  <c r="T11914" i="15"/>
  <c r="T11913" i="15"/>
  <c r="T11912" i="15"/>
  <c r="T11911" i="15"/>
  <c r="T11910" i="15"/>
  <c r="T11909" i="15"/>
  <c r="T11908" i="15"/>
  <c r="T11907" i="15"/>
  <c r="T11906" i="15"/>
  <c r="T11905" i="15"/>
  <c r="T11904" i="15"/>
  <c r="T11903" i="15"/>
  <c r="T11902" i="15"/>
  <c r="T11901" i="15"/>
  <c r="T11900" i="15"/>
  <c r="T11899" i="15"/>
  <c r="T11898" i="15"/>
  <c r="T11897" i="15"/>
  <c r="T11896" i="15"/>
  <c r="T11895" i="15"/>
  <c r="T11894" i="15"/>
  <c r="T11893" i="15"/>
  <c r="T11892" i="15"/>
  <c r="T11891" i="15"/>
  <c r="T11890" i="15"/>
  <c r="T11889" i="15"/>
  <c r="T11888" i="15"/>
  <c r="T11887" i="15"/>
  <c r="T11886" i="15"/>
  <c r="T11885" i="15"/>
  <c r="T11884" i="15"/>
  <c r="T11883" i="15"/>
  <c r="T11882" i="15"/>
  <c r="T11881" i="15"/>
  <c r="T11880" i="15"/>
  <c r="T11879" i="15"/>
  <c r="T11878" i="15"/>
  <c r="T11877" i="15"/>
  <c r="T11876" i="15"/>
  <c r="T11875" i="15"/>
  <c r="T11874" i="15"/>
  <c r="T11873" i="15"/>
  <c r="T11872" i="15"/>
  <c r="T11871" i="15"/>
  <c r="T11870" i="15"/>
  <c r="T11869" i="15"/>
  <c r="T11868" i="15"/>
  <c r="T11867" i="15"/>
  <c r="T11866" i="15"/>
  <c r="T11865" i="15"/>
  <c r="T11864" i="15"/>
  <c r="T11863" i="15"/>
  <c r="T11862" i="15"/>
  <c r="T11861" i="15"/>
  <c r="T11860" i="15"/>
  <c r="T11859" i="15"/>
  <c r="T11858" i="15"/>
  <c r="T11857" i="15"/>
  <c r="T11856" i="15"/>
  <c r="T11855" i="15"/>
  <c r="T11854" i="15"/>
  <c r="T11853" i="15"/>
  <c r="T11852" i="15"/>
  <c r="T11851" i="15"/>
  <c r="T11850" i="15"/>
  <c r="T11849" i="15"/>
  <c r="T11848" i="15"/>
  <c r="T11847" i="15"/>
  <c r="T11846" i="15"/>
  <c r="T11845" i="15"/>
  <c r="T11844" i="15"/>
  <c r="T11843" i="15"/>
  <c r="T11842" i="15"/>
  <c r="T11841" i="15"/>
  <c r="T11840" i="15"/>
  <c r="T11839" i="15"/>
  <c r="T11838" i="15"/>
  <c r="T11837" i="15"/>
  <c r="T11836" i="15"/>
  <c r="T11835" i="15"/>
  <c r="T11834" i="15"/>
  <c r="T11833" i="15"/>
  <c r="T11832" i="15"/>
  <c r="T11831" i="15"/>
  <c r="T11830" i="15"/>
  <c r="T11829" i="15"/>
  <c r="T11828" i="15"/>
  <c r="T11827" i="15"/>
  <c r="T11826" i="15"/>
  <c r="T11825" i="15"/>
  <c r="T11824" i="15"/>
  <c r="T11823" i="15"/>
  <c r="T11822" i="15"/>
  <c r="T11821" i="15"/>
  <c r="T11820" i="15"/>
  <c r="T11819" i="15"/>
  <c r="T11818" i="15"/>
  <c r="T11817" i="15"/>
  <c r="T11816" i="15"/>
  <c r="T11815" i="15"/>
  <c r="T11814" i="15"/>
  <c r="T11813" i="15"/>
  <c r="T11812" i="15"/>
  <c r="T11811" i="15"/>
  <c r="T11810" i="15"/>
  <c r="T11809" i="15"/>
  <c r="T11808" i="15"/>
  <c r="T11807" i="15"/>
  <c r="T11806" i="15"/>
  <c r="T11805" i="15"/>
  <c r="T11804" i="15"/>
  <c r="T11803" i="15"/>
  <c r="T11802" i="15"/>
  <c r="T11801" i="15"/>
  <c r="T11800" i="15"/>
  <c r="T11799" i="15"/>
  <c r="T11798" i="15"/>
  <c r="T11797" i="15"/>
  <c r="T11796" i="15"/>
  <c r="T11795" i="15"/>
  <c r="T11794" i="15"/>
  <c r="T11793" i="15"/>
  <c r="T11792" i="15"/>
  <c r="T11791" i="15"/>
  <c r="T11790" i="15"/>
  <c r="T11789" i="15"/>
  <c r="T11788" i="15"/>
  <c r="T11787" i="15"/>
  <c r="T11786" i="15"/>
  <c r="T11785" i="15"/>
  <c r="T11784" i="15"/>
  <c r="T11783" i="15"/>
  <c r="T11782" i="15"/>
  <c r="T11781" i="15"/>
  <c r="T11780" i="15"/>
  <c r="T11779" i="15"/>
  <c r="T11778" i="15"/>
  <c r="T11777" i="15"/>
  <c r="T11776" i="15"/>
  <c r="T11775" i="15"/>
  <c r="T11774" i="15"/>
  <c r="T11773" i="15"/>
  <c r="T11772" i="15"/>
  <c r="T11771" i="15"/>
  <c r="T11770" i="15"/>
  <c r="T11769" i="15"/>
  <c r="T11768" i="15"/>
  <c r="T11767" i="15"/>
  <c r="T11766" i="15"/>
  <c r="T11765" i="15"/>
  <c r="T11764" i="15"/>
  <c r="T11763" i="15"/>
  <c r="T11762" i="15"/>
  <c r="T11761" i="15"/>
  <c r="T11760" i="15"/>
  <c r="T11759" i="15"/>
  <c r="T11758" i="15"/>
  <c r="T11757" i="15"/>
  <c r="T11756" i="15"/>
  <c r="T11755" i="15"/>
  <c r="T11754" i="15"/>
  <c r="T11753" i="15"/>
  <c r="T11752" i="15"/>
  <c r="T11751" i="15"/>
  <c r="T11750" i="15"/>
  <c r="T11749" i="15"/>
  <c r="T11748" i="15"/>
  <c r="T11747" i="15"/>
  <c r="T11746" i="15"/>
  <c r="T11745" i="15"/>
  <c r="T11744" i="15"/>
  <c r="T11743" i="15"/>
  <c r="T11742" i="15"/>
  <c r="T11741" i="15"/>
  <c r="T11740" i="15"/>
  <c r="T11739" i="15"/>
  <c r="T11738" i="15"/>
  <c r="T11737" i="15"/>
  <c r="T11736" i="15"/>
  <c r="T11735" i="15"/>
  <c r="T11734" i="15"/>
  <c r="T11733" i="15"/>
  <c r="T11732" i="15"/>
  <c r="T11731" i="15"/>
  <c r="T11730" i="15"/>
  <c r="T11729" i="15"/>
  <c r="T11728" i="15"/>
  <c r="T11727" i="15"/>
  <c r="T11726" i="15"/>
  <c r="T11725" i="15"/>
  <c r="T11724" i="15"/>
  <c r="T11723" i="15"/>
  <c r="T11722" i="15"/>
  <c r="T11721" i="15"/>
  <c r="T11720" i="15"/>
  <c r="T11719" i="15"/>
  <c r="T11718" i="15"/>
  <c r="T11717" i="15"/>
  <c r="T11716" i="15"/>
  <c r="T11715" i="15"/>
  <c r="T11714" i="15"/>
  <c r="T11713" i="15"/>
  <c r="T11712" i="15"/>
  <c r="T11711" i="15"/>
  <c r="T11710" i="15"/>
  <c r="T11709" i="15"/>
  <c r="T11708" i="15"/>
  <c r="T11707" i="15"/>
  <c r="T11706" i="15"/>
  <c r="T11705" i="15"/>
  <c r="T11704" i="15"/>
  <c r="T11703" i="15"/>
  <c r="T11702" i="15"/>
  <c r="T11701" i="15"/>
  <c r="T11700" i="15"/>
  <c r="T11699" i="15"/>
  <c r="T11698" i="15"/>
  <c r="T11697" i="15"/>
  <c r="T11696" i="15"/>
  <c r="T11695" i="15"/>
  <c r="T11694" i="15"/>
  <c r="T11693" i="15"/>
  <c r="T11692" i="15"/>
  <c r="T11691" i="15"/>
  <c r="T11690" i="15"/>
  <c r="T11689" i="15"/>
  <c r="T11688" i="15"/>
  <c r="T11687" i="15"/>
  <c r="T11686" i="15"/>
  <c r="T11685" i="15"/>
  <c r="T11684" i="15"/>
  <c r="T11683" i="15"/>
  <c r="T11682" i="15"/>
  <c r="T11681" i="15"/>
  <c r="T11680" i="15"/>
  <c r="T11679" i="15"/>
  <c r="T11678" i="15"/>
  <c r="T11677" i="15"/>
  <c r="T11676" i="15"/>
  <c r="T11675" i="15"/>
  <c r="T11674" i="15"/>
  <c r="T11673" i="15"/>
  <c r="T11672" i="15"/>
  <c r="T11671" i="15"/>
  <c r="T11670" i="15"/>
  <c r="T11669" i="15"/>
  <c r="T11668" i="15"/>
  <c r="T11667" i="15"/>
  <c r="T11666" i="15"/>
  <c r="T11665" i="15"/>
  <c r="T11664" i="15"/>
  <c r="T11663" i="15"/>
  <c r="T11662" i="15"/>
  <c r="T11661" i="15"/>
  <c r="T11660" i="15"/>
  <c r="T11659" i="15"/>
  <c r="T11658" i="15"/>
  <c r="T11657" i="15"/>
  <c r="T11656" i="15"/>
  <c r="T11655" i="15"/>
  <c r="T11654" i="15"/>
  <c r="T11653" i="15"/>
  <c r="T11652" i="15"/>
  <c r="T11651" i="15"/>
  <c r="T11650" i="15"/>
  <c r="T11649" i="15"/>
  <c r="T11648" i="15"/>
  <c r="T11647" i="15"/>
  <c r="T11646" i="15"/>
  <c r="T11645" i="15"/>
  <c r="T11644" i="15"/>
  <c r="T11643" i="15"/>
  <c r="T11642" i="15"/>
  <c r="T11641" i="15"/>
  <c r="T11640" i="15"/>
  <c r="T11639" i="15"/>
  <c r="T11638" i="15"/>
  <c r="T11637" i="15"/>
  <c r="T11636" i="15"/>
  <c r="T11635" i="15"/>
  <c r="T11634" i="15"/>
  <c r="T11633" i="15"/>
  <c r="T11632" i="15"/>
  <c r="T11631" i="15"/>
  <c r="T11630" i="15"/>
  <c r="T11629" i="15"/>
  <c r="T11628" i="15"/>
  <c r="T11627" i="15"/>
  <c r="T11626" i="15"/>
  <c r="T11625" i="15"/>
  <c r="T11624" i="15"/>
  <c r="T11623" i="15"/>
  <c r="T11622" i="15"/>
  <c r="T11621" i="15"/>
  <c r="T11620" i="15"/>
  <c r="T11619" i="15"/>
  <c r="T11618" i="15"/>
  <c r="T11617" i="15"/>
  <c r="T11616" i="15"/>
  <c r="T11615" i="15"/>
  <c r="T11614" i="15"/>
  <c r="T11613" i="15"/>
  <c r="T11612" i="15"/>
  <c r="T11611" i="15"/>
  <c r="T11610" i="15"/>
  <c r="T11609" i="15"/>
  <c r="T11608" i="15"/>
  <c r="T11607" i="15"/>
  <c r="T11606" i="15"/>
  <c r="T11605" i="15"/>
  <c r="T11604" i="15"/>
  <c r="T11603" i="15"/>
  <c r="T11602" i="15"/>
  <c r="T11601" i="15"/>
  <c r="T11600" i="15"/>
  <c r="T11599" i="15"/>
  <c r="T11598" i="15"/>
  <c r="T11597" i="15"/>
  <c r="T11596" i="15"/>
  <c r="T11595" i="15"/>
  <c r="T11594" i="15"/>
  <c r="T11593" i="15"/>
  <c r="T11592" i="15"/>
  <c r="T11591" i="15"/>
  <c r="T11590" i="15"/>
  <c r="T11589" i="15"/>
  <c r="T11588" i="15"/>
  <c r="T11587" i="15"/>
  <c r="T11586" i="15"/>
  <c r="T11585" i="15"/>
  <c r="T11584" i="15"/>
  <c r="T11583" i="15"/>
  <c r="T11582" i="15"/>
  <c r="T11581" i="15"/>
  <c r="T11580" i="15"/>
  <c r="T11579" i="15"/>
  <c r="T11578" i="15"/>
  <c r="T11577" i="15"/>
  <c r="T11576" i="15"/>
  <c r="T11575" i="15"/>
  <c r="T11574" i="15"/>
  <c r="T11573" i="15"/>
  <c r="T11572" i="15"/>
  <c r="T11571" i="15"/>
  <c r="T11570" i="15"/>
  <c r="T11569" i="15"/>
  <c r="T11568" i="15"/>
  <c r="T11567" i="15"/>
  <c r="T11566" i="15"/>
  <c r="T11565" i="15"/>
  <c r="T11564" i="15"/>
  <c r="T11563" i="15"/>
  <c r="T11562" i="15"/>
  <c r="T11561" i="15"/>
  <c r="T11560" i="15"/>
  <c r="T11559" i="15"/>
  <c r="T11558" i="15"/>
  <c r="T11557" i="15"/>
  <c r="T11556" i="15"/>
  <c r="T11555" i="15"/>
  <c r="T11554" i="15"/>
  <c r="T11553" i="15"/>
  <c r="T11552" i="15"/>
  <c r="T11551" i="15"/>
  <c r="T11550" i="15"/>
  <c r="T11549" i="15"/>
  <c r="T11548" i="15"/>
  <c r="T11547" i="15"/>
  <c r="T11546" i="15"/>
  <c r="T11545" i="15"/>
  <c r="T11544" i="15"/>
  <c r="T11543" i="15"/>
  <c r="T11542" i="15"/>
  <c r="T11541" i="15"/>
  <c r="T11540" i="15"/>
  <c r="T11539" i="15"/>
  <c r="T11538" i="15"/>
  <c r="T11537" i="15"/>
  <c r="T11536" i="15"/>
  <c r="T11535" i="15"/>
  <c r="T11534" i="15"/>
  <c r="T11533" i="15"/>
  <c r="T11532" i="15"/>
  <c r="T11531" i="15"/>
  <c r="T11530" i="15"/>
  <c r="T11529" i="15"/>
  <c r="T11528" i="15"/>
  <c r="T11527" i="15"/>
  <c r="T11526" i="15"/>
  <c r="T11525" i="15"/>
  <c r="T11524" i="15"/>
  <c r="T11523" i="15"/>
  <c r="T11522" i="15"/>
  <c r="T11521" i="15"/>
  <c r="T11520" i="15"/>
  <c r="T11519" i="15"/>
  <c r="T11518" i="15"/>
  <c r="T11517" i="15"/>
  <c r="T11516" i="15"/>
  <c r="T11515" i="15"/>
  <c r="T11514" i="15"/>
  <c r="T11513" i="15"/>
  <c r="T11512" i="15"/>
  <c r="T11511" i="15"/>
  <c r="T11510" i="15"/>
  <c r="T11509" i="15"/>
  <c r="T11508" i="15"/>
  <c r="T11507" i="15"/>
  <c r="T11506" i="15"/>
  <c r="T11505" i="15"/>
  <c r="T11504" i="15"/>
  <c r="T11503" i="15"/>
  <c r="T11502" i="15"/>
  <c r="T11501" i="15"/>
  <c r="T11500" i="15"/>
  <c r="T11499" i="15"/>
  <c r="T11498" i="15"/>
  <c r="T11497" i="15"/>
  <c r="T11496" i="15"/>
  <c r="T11495" i="15"/>
  <c r="T11494" i="15"/>
  <c r="T11493" i="15"/>
  <c r="T11492" i="15"/>
  <c r="T11491" i="15"/>
  <c r="T11490" i="15"/>
  <c r="T11489" i="15"/>
  <c r="T11488" i="15"/>
  <c r="T11487" i="15"/>
  <c r="T11486" i="15"/>
  <c r="T11485" i="15"/>
  <c r="T11484" i="15"/>
  <c r="T11483" i="15"/>
  <c r="T11482" i="15"/>
  <c r="T11481" i="15"/>
  <c r="T11480" i="15"/>
  <c r="T11479" i="15"/>
  <c r="T11478" i="15"/>
  <c r="T11477" i="15"/>
  <c r="T11476" i="15"/>
  <c r="T11475" i="15"/>
  <c r="T11474" i="15"/>
  <c r="T11473" i="15"/>
  <c r="T11472" i="15"/>
  <c r="T11471" i="15"/>
  <c r="T11470" i="15"/>
  <c r="T11469" i="15"/>
  <c r="T11468" i="15"/>
  <c r="T11467" i="15"/>
  <c r="T11466" i="15"/>
  <c r="T11465" i="15"/>
  <c r="T11464" i="15"/>
  <c r="T11463" i="15"/>
  <c r="T11462" i="15"/>
  <c r="T11461" i="15"/>
  <c r="T11460" i="15"/>
  <c r="T11459" i="15"/>
  <c r="T11458" i="15"/>
  <c r="T11457" i="15"/>
  <c r="T11456" i="15"/>
  <c r="T11455" i="15"/>
  <c r="T11454" i="15"/>
  <c r="T11453" i="15"/>
  <c r="T11452" i="15"/>
  <c r="T11451" i="15"/>
  <c r="T11450" i="15"/>
  <c r="T11449" i="15"/>
  <c r="T11448" i="15"/>
  <c r="T11447" i="15"/>
  <c r="T11446" i="15"/>
  <c r="T11445" i="15"/>
  <c r="T11444" i="15"/>
  <c r="T11443" i="15"/>
  <c r="T11442" i="15"/>
  <c r="T11441" i="15"/>
  <c r="T11440" i="15"/>
  <c r="T11439" i="15"/>
  <c r="T11438" i="15"/>
  <c r="T11437" i="15"/>
  <c r="T11436" i="15"/>
  <c r="T11435" i="15"/>
  <c r="T11434" i="15"/>
  <c r="T11433" i="15"/>
  <c r="T11432" i="15"/>
  <c r="T11431" i="15"/>
  <c r="T11430" i="15"/>
  <c r="T11429" i="15"/>
  <c r="T11428" i="15"/>
  <c r="T11427" i="15"/>
  <c r="T11426" i="15"/>
  <c r="T11425" i="15"/>
  <c r="T11424" i="15"/>
  <c r="T11423" i="15"/>
  <c r="T11422" i="15"/>
  <c r="T11421" i="15"/>
  <c r="T11420" i="15"/>
  <c r="T11419" i="15"/>
  <c r="T11418" i="15"/>
  <c r="T11417" i="15"/>
  <c r="T11416" i="15"/>
  <c r="T11415" i="15"/>
  <c r="T11414" i="15"/>
  <c r="T11413" i="15"/>
  <c r="T11412" i="15"/>
  <c r="T11411" i="15"/>
  <c r="T11410" i="15"/>
  <c r="T11409" i="15"/>
  <c r="T11408" i="15"/>
  <c r="T11407" i="15"/>
  <c r="T11406" i="15"/>
  <c r="T11405" i="15"/>
  <c r="T11404" i="15"/>
  <c r="T11403" i="15"/>
  <c r="T11402" i="15"/>
  <c r="T11401" i="15"/>
  <c r="T11400" i="15"/>
  <c r="T11399" i="15"/>
  <c r="T11398" i="15"/>
  <c r="T11397" i="15"/>
  <c r="T11396" i="15"/>
  <c r="T11395" i="15"/>
  <c r="T11394" i="15"/>
  <c r="T11393" i="15"/>
  <c r="T11392" i="15"/>
  <c r="T11391" i="15"/>
  <c r="T11390" i="15"/>
  <c r="T11389" i="15"/>
  <c r="T11388" i="15"/>
  <c r="T11387" i="15"/>
  <c r="T11386" i="15"/>
  <c r="T11385" i="15"/>
  <c r="T11384" i="15"/>
  <c r="T11383" i="15"/>
  <c r="T11382" i="15"/>
  <c r="T11381" i="15"/>
  <c r="T11380" i="15"/>
  <c r="T11379" i="15"/>
  <c r="T11378" i="15"/>
  <c r="T11377" i="15"/>
  <c r="T11376" i="15"/>
  <c r="T11375" i="15"/>
  <c r="T11374" i="15"/>
  <c r="T11373" i="15"/>
  <c r="T11372" i="15"/>
  <c r="T11371" i="15"/>
  <c r="T11370" i="15"/>
  <c r="T11369" i="15"/>
  <c r="T11368" i="15"/>
  <c r="T11367" i="15"/>
  <c r="T11366" i="15"/>
  <c r="T11365" i="15"/>
  <c r="T11364" i="15"/>
  <c r="T11363" i="15"/>
  <c r="T11362" i="15"/>
  <c r="T11361" i="15"/>
  <c r="T11360" i="15"/>
  <c r="T11359" i="15"/>
  <c r="T11358" i="15"/>
  <c r="T11357" i="15"/>
  <c r="T11356" i="15"/>
  <c r="T11355" i="15"/>
  <c r="T11354" i="15"/>
  <c r="T11353" i="15"/>
  <c r="T11352" i="15"/>
  <c r="T11351" i="15"/>
  <c r="T11350" i="15"/>
  <c r="T11349" i="15"/>
  <c r="T11348" i="15"/>
  <c r="T11347" i="15"/>
  <c r="T11346" i="15"/>
  <c r="T11345" i="15"/>
  <c r="T11344" i="15"/>
  <c r="T11343" i="15"/>
  <c r="T11342" i="15"/>
  <c r="T11341" i="15"/>
  <c r="T11340" i="15"/>
  <c r="T11339" i="15"/>
  <c r="T11338" i="15"/>
  <c r="T11337" i="15"/>
  <c r="T11336" i="15"/>
  <c r="T11335" i="15"/>
  <c r="T11334" i="15"/>
  <c r="T11333" i="15"/>
  <c r="T11332" i="15"/>
  <c r="T11331" i="15"/>
  <c r="T11330" i="15"/>
  <c r="T11329" i="15"/>
  <c r="T11328" i="15"/>
  <c r="T11327" i="15"/>
  <c r="T11326" i="15"/>
  <c r="T11325" i="15"/>
  <c r="T11324" i="15"/>
  <c r="T11323" i="15"/>
  <c r="T11322" i="15"/>
  <c r="T11321" i="15"/>
  <c r="T11320" i="15"/>
  <c r="T11319" i="15"/>
  <c r="T11318" i="15"/>
  <c r="T11317" i="15"/>
  <c r="T11316" i="15"/>
  <c r="T11315" i="15"/>
  <c r="T11314" i="15"/>
  <c r="T11313" i="15"/>
  <c r="T11312" i="15"/>
  <c r="T11311" i="15"/>
  <c r="T11310" i="15"/>
  <c r="T11309" i="15"/>
  <c r="T11308" i="15"/>
  <c r="T11307" i="15"/>
  <c r="T11306" i="15"/>
  <c r="T11305" i="15"/>
  <c r="T11304" i="15"/>
  <c r="T11303" i="15"/>
  <c r="T11302" i="15"/>
  <c r="T11301" i="15"/>
  <c r="T11300" i="15"/>
  <c r="T11299" i="15"/>
  <c r="T11298" i="15"/>
  <c r="T11297" i="15"/>
  <c r="T11296" i="15"/>
  <c r="T11295" i="15"/>
  <c r="T11294" i="15"/>
  <c r="T11293" i="15"/>
  <c r="T11292" i="15"/>
  <c r="T11291" i="15"/>
  <c r="T11290" i="15"/>
  <c r="T11289" i="15"/>
  <c r="T11288" i="15"/>
  <c r="T11287" i="15"/>
  <c r="T11286" i="15"/>
  <c r="T11285" i="15"/>
  <c r="T11284" i="15"/>
  <c r="T11283" i="15"/>
  <c r="T11282" i="15"/>
  <c r="T11281" i="15"/>
  <c r="T11280" i="15"/>
  <c r="T11279" i="15"/>
  <c r="T11278" i="15"/>
  <c r="T11277" i="15"/>
  <c r="T11276" i="15"/>
  <c r="T11275" i="15"/>
  <c r="T11274" i="15"/>
  <c r="T11273" i="15"/>
  <c r="T11272" i="15"/>
  <c r="T11271" i="15"/>
  <c r="T11270" i="15"/>
  <c r="T11269" i="15"/>
  <c r="T11268" i="15"/>
  <c r="T11267" i="15"/>
  <c r="T11266" i="15"/>
  <c r="T11265" i="15"/>
  <c r="T11264" i="15"/>
  <c r="T11263" i="15"/>
  <c r="T11262" i="15"/>
  <c r="T11261" i="15"/>
  <c r="T11260" i="15"/>
  <c r="T11259" i="15"/>
  <c r="T11258" i="15"/>
  <c r="T11257" i="15"/>
  <c r="T11256" i="15"/>
  <c r="T11255" i="15"/>
  <c r="T11254" i="15"/>
  <c r="T11253" i="15"/>
  <c r="T11252" i="15"/>
  <c r="T11251" i="15"/>
  <c r="T11250" i="15"/>
  <c r="T11249" i="15"/>
  <c r="T11248" i="15"/>
  <c r="T11247" i="15"/>
  <c r="T11246" i="15"/>
  <c r="T11245" i="15"/>
  <c r="T11244" i="15"/>
  <c r="T11243" i="15"/>
  <c r="T11242" i="15"/>
  <c r="T11241" i="15"/>
  <c r="T11240" i="15"/>
  <c r="T11239" i="15"/>
  <c r="T11238" i="15"/>
  <c r="T11237" i="15"/>
  <c r="T11236" i="15"/>
  <c r="T11235" i="15"/>
  <c r="T11234" i="15"/>
  <c r="T11233" i="15"/>
  <c r="T11232" i="15"/>
  <c r="T11231" i="15"/>
  <c r="T11230" i="15"/>
  <c r="T11229" i="15"/>
  <c r="T11228" i="15"/>
  <c r="T11227" i="15"/>
  <c r="T11226" i="15"/>
  <c r="T11225" i="15"/>
  <c r="T11224" i="15"/>
  <c r="T11223" i="15"/>
  <c r="T11222" i="15"/>
  <c r="T11221" i="15"/>
  <c r="T11220" i="15"/>
  <c r="T11219" i="15"/>
  <c r="T11218" i="15"/>
  <c r="T11217" i="15"/>
  <c r="T11216" i="15"/>
  <c r="T11215" i="15"/>
  <c r="T11214" i="15"/>
  <c r="T11213" i="15"/>
  <c r="T11212" i="15"/>
  <c r="T11211" i="15"/>
  <c r="T11210" i="15"/>
  <c r="T11209" i="15"/>
  <c r="T11208" i="15"/>
  <c r="T11207" i="15"/>
  <c r="T11206" i="15"/>
  <c r="T11205" i="15"/>
  <c r="T11204" i="15"/>
  <c r="T11203" i="15"/>
  <c r="T11202" i="15"/>
  <c r="T11201" i="15"/>
  <c r="T11200" i="15"/>
  <c r="T11199" i="15"/>
  <c r="T11198" i="15"/>
  <c r="T11197" i="15"/>
  <c r="T11196" i="15"/>
  <c r="T11195" i="15"/>
  <c r="T11194" i="15"/>
  <c r="T11193" i="15"/>
  <c r="T11192" i="15"/>
  <c r="T11191" i="15"/>
  <c r="T11190" i="15"/>
  <c r="T11189" i="15"/>
  <c r="T11188" i="15"/>
  <c r="T11187" i="15"/>
  <c r="T11186" i="15"/>
  <c r="T11185" i="15"/>
  <c r="T11184" i="15"/>
  <c r="T11183" i="15"/>
  <c r="T11182" i="15"/>
  <c r="T11181" i="15"/>
  <c r="T11180" i="15"/>
  <c r="T11179" i="15"/>
  <c r="T11178" i="15"/>
  <c r="T11177" i="15"/>
  <c r="T11176" i="15"/>
  <c r="T11175" i="15"/>
  <c r="T11174" i="15"/>
  <c r="T11173" i="15"/>
  <c r="T11172" i="15"/>
  <c r="T11171" i="15"/>
  <c r="T11170" i="15"/>
  <c r="T11169" i="15"/>
  <c r="T11168" i="15"/>
  <c r="T11167" i="15"/>
  <c r="T11166" i="15"/>
  <c r="T11165" i="15"/>
  <c r="T11164" i="15"/>
  <c r="T11163" i="15"/>
  <c r="T11162" i="15"/>
  <c r="T11161" i="15"/>
  <c r="T11160" i="15"/>
  <c r="T11159" i="15"/>
  <c r="T11158" i="15"/>
  <c r="T11157" i="15"/>
  <c r="T11156" i="15"/>
  <c r="T11155" i="15"/>
  <c r="T11154" i="15"/>
  <c r="T11153" i="15"/>
  <c r="T11152" i="15"/>
  <c r="T11151" i="15"/>
  <c r="T11150" i="15"/>
  <c r="T11149" i="15"/>
  <c r="T11148" i="15"/>
  <c r="T11147" i="15"/>
  <c r="T11146" i="15"/>
  <c r="T11145" i="15"/>
  <c r="T11144" i="15"/>
  <c r="T11143" i="15"/>
  <c r="T11142" i="15"/>
  <c r="T11141" i="15"/>
  <c r="T11140" i="15"/>
  <c r="T11139" i="15"/>
  <c r="T11138" i="15"/>
  <c r="T11137" i="15"/>
  <c r="T11136" i="15"/>
  <c r="T11135" i="15"/>
  <c r="T11134" i="15"/>
  <c r="T11133" i="15"/>
  <c r="T11132" i="15"/>
  <c r="T11131" i="15"/>
  <c r="T11130" i="15"/>
  <c r="T11129" i="15"/>
  <c r="T11128" i="15"/>
  <c r="T11127" i="15"/>
  <c r="T11126" i="15"/>
  <c r="T11125" i="15"/>
  <c r="T11124" i="15"/>
  <c r="T11123" i="15"/>
  <c r="T11122" i="15"/>
  <c r="T11121" i="15"/>
  <c r="T11120" i="15"/>
  <c r="T11119" i="15"/>
  <c r="T11118" i="15"/>
  <c r="T11117" i="15"/>
  <c r="T11116" i="15"/>
  <c r="T11115" i="15"/>
  <c r="T11114" i="15"/>
  <c r="T11113" i="15"/>
  <c r="T11112" i="15"/>
  <c r="T11111" i="15"/>
  <c r="T11110" i="15"/>
  <c r="T11109" i="15"/>
  <c r="T11108" i="15"/>
  <c r="T11107" i="15"/>
  <c r="T11106" i="15"/>
  <c r="T11105" i="15"/>
  <c r="T11104" i="15"/>
  <c r="T11103" i="15"/>
  <c r="T11102" i="15"/>
  <c r="T11101" i="15"/>
  <c r="T11100" i="15"/>
  <c r="T11099" i="15"/>
  <c r="T11098" i="15"/>
  <c r="T11097" i="15"/>
  <c r="T11096" i="15"/>
  <c r="T11095" i="15"/>
  <c r="T11094" i="15"/>
  <c r="T11093" i="15"/>
  <c r="T11092" i="15"/>
  <c r="T11091" i="15"/>
  <c r="T11090" i="15"/>
  <c r="T11089" i="15"/>
  <c r="T11088" i="15"/>
  <c r="T11087" i="15"/>
  <c r="T11086" i="15"/>
  <c r="T11085" i="15"/>
  <c r="T11084" i="15"/>
  <c r="T11083" i="15"/>
  <c r="T11082" i="15"/>
  <c r="T11081" i="15"/>
  <c r="T11080" i="15"/>
  <c r="T11079" i="15"/>
  <c r="T11078" i="15"/>
  <c r="T11077" i="15"/>
  <c r="T11076" i="15"/>
  <c r="T11075" i="15"/>
  <c r="T11074" i="15"/>
  <c r="T11073" i="15"/>
  <c r="T11072" i="15"/>
  <c r="T11071" i="15"/>
  <c r="T11070" i="15"/>
  <c r="T11069" i="15"/>
  <c r="T11068" i="15"/>
  <c r="T11067" i="15"/>
  <c r="T11066" i="15"/>
  <c r="T11065" i="15"/>
  <c r="T11064" i="15"/>
  <c r="T11063" i="15"/>
  <c r="T11062" i="15"/>
  <c r="T11061" i="15"/>
  <c r="T11060" i="15"/>
  <c r="T11059" i="15"/>
  <c r="T11058" i="15"/>
  <c r="T11057" i="15"/>
  <c r="T11056" i="15"/>
  <c r="T11055" i="15"/>
  <c r="T11054" i="15"/>
  <c r="T11053" i="15"/>
  <c r="T11052" i="15"/>
  <c r="T11051" i="15"/>
  <c r="T11050" i="15"/>
  <c r="T11049" i="15"/>
  <c r="T11048" i="15"/>
  <c r="T11047" i="15"/>
  <c r="T11046" i="15"/>
  <c r="T11045" i="15"/>
  <c r="T11044" i="15"/>
  <c r="T11043" i="15"/>
  <c r="T11042" i="15"/>
  <c r="T11041" i="15"/>
  <c r="T11040" i="15"/>
  <c r="T11039" i="15"/>
  <c r="T11038" i="15"/>
  <c r="T11037" i="15"/>
  <c r="T11036" i="15"/>
  <c r="T11035" i="15"/>
  <c r="T11034" i="15"/>
  <c r="T11033" i="15"/>
  <c r="T11032" i="15"/>
  <c r="T11031" i="15"/>
  <c r="T11030" i="15"/>
  <c r="T11029" i="15"/>
  <c r="T11028" i="15"/>
  <c r="T11027" i="15"/>
  <c r="T11026" i="15"/>
  <c r="T11025" i="15"/>
  <c r="T11024" i="15"/>
  <c r="T11023" i="15"/>
  <c r="T11022" i="15"/>
  <c r="T11021" i="15"/>
  <c r="T11020" i="15"/>
  <c r="T11019" i="15"/>
  <c r="T11018" i="15"/>
  <c r="T11017" i="15"/>
  <c r="T11016" i="15"/>
  <c r="T11015" i="15"/>
  <c r="T11014" i="15"/>
  <c r="T11013" i="15"/>
  <c r="T11012" i="15"/>
  <c r="T11011" i="15"/>
  <c r="T11010" i="15"/>
  <c r="T11009" i="15"/>
  <c r="T11008" i="15"/>
  <c r="T11007" i="15"/>
  <c r="T11006" i="15"/>
  <c r="T11005" i="15"/>
  <c r="T11004" i="15"/>
  <c r="T11003" i="15"/>
  <c r="T11002" i="15"/>
  <c r="T11001" i="15"/>
  <c r="T11000" i="15"/>
  <c r="T10999" i="15"/>
  <c r="T10998" i="15"/>
  <c r="T10997" i="15"/>
  <c r="T10996" i="15"/>
  <c r="T10995" i="15"/>
  <c r="T10994" i="15"/>
  <c r="T10993" i="15"/>
  <c r="T10992" i="15"/>
  <c r="T10991" i="15"/>
  <c r="T10990" i="15"/>
  <c r="T10989" i="15"/>
  <c r="T10988" i="15"/>
  <c r="T10987" i="15"/>
  <c r="T10986" i="15"/>
  <c r="T10985" i="15"/>
  <c r="T10984" i="15"/>
  <c r="T10983" i="15"/>
  <c r="T10982" i="15"/>
  <c r="T10981" i="15"/>
  <c r="T10980" i="15"/>
  <c r="T10979" i="15"/>
  <c r="T10978" i="15"/>
  <c r="T10977" i="15"/>
  <c r="T10976" i="15"/>
  <c r="T10975" i="15"/>
  <c r="T10974" i="15"/>
  <c r="T10973" i="15"/>
  <c r="T10972" i="15"/>
  <c r="T10971" i="15"/>
  <c r="T10970" i="15"/>
  <c r="T10969" i="15"/>
  <c r="T10968" i="15"/>
  <c r="T10967" i="15"/>
  <c r="T10966" i="15"/>
  <c r="T10965" i="15"/>
  <c r="T10964" i="15"/>
  <c r="T10963" i="15"/>
  <c r="T10962" i="15"/>
  <c r="T10961" i="15"/>
  <c r="T10960" i="15"/>
  <c r="T10959" i="15"/>
  <c r="T10958" i="15"/>
  <c r="T10957" i="15"/>
  <c r="T10956" i="15"/>
  <c r="T10955" i="15"/>
  <c r="T10954" i="15"/>
  <c r="T10953" i="15"/>
  <c r="T10952" i="15"/>
  <c r="T10951" i="15"/>
  <c r="T10950" i="15"/>
  <c r="T10949" i="15"/>
  <c r="T10948" i="15"/>
  <c r="T10947" i="15"/>
  <c r="T10946" i="15"/>
  <c r="T10945" i="15"/>
  <c r="T10944" i="15"/>
  <c r="T10943" i="15"/>
  <c r="T10942" i="15"/>
  <c r="T10941" i="15"/>
  <c r="T10940" i="15"/>
  <c r="T10939" i="15"/>
  <c r="T10938" i="15"/>
  <c r="T10937" i="15"/>
  <c r="T10936" i="15"/>
  <c r="T10935" i="15"/>
  <c r="T10934" i="15"/>
  <c r="T10933" i="15"/>
  <c r="T10932" i="15"/>
  <c r="T10931" i="15"/>
  <c r="T10930" i="15"/>
  <c r="T10929" i="15"/>
  <c r="T10928" i="15"/>
  <c r="T10927" i="15"/>
  <c r="T10926" i="15"/>
  <c r="T10925" i="15"/>
  <c r="T10924" i="15"/>
  <c r="T10923" i="15"/>
  <c r="T10922" i="15"/>
  <c r="T10921" i="15"/>
  <c r="T10920" i="15"/>
  <c r="T10919" i="15"/>
  <c r="T10918" i="15"/>
  <c r="T10917" i="15"/>
  <c r="T10916" i="15"/>
  <c r="T10915" i="15"/>
  <c r="T10914" i="15"/>
  <c r="T10913" i="15"/>
  <c r="T10912" i="15"/>
  <c r="T10911" i="15"/>
  <c r="T10910" i="15"/>
  <c r="T10909" i="15"/>
  <c r="T10908" i="15"/>
  <c r="T10907" i="15"/>
  <c r="T10906" i="15"/>
  <c r="T10905" i="15"/>
  <c r="T10904" i="15"/>
  <c r="T10903" i="15"/>
  <c r="T10902" i="15"/>
  <c r="T10901" i="15"/>
  <c r="T10900" i="15"/>
  <c r="T10899" i="15"/>
  <c r="T10898" i="15"/>
  <c r="T10897" i="15"/>
  <c r="T10896" i="15"/>
  <c r="T10895" i="15"/>
  <c r="T10894" i="15"/>
  <c r="T10893" i="15"/>
  <c r="T10892" i="15"/>
  <c r="T10891" i="15"/>
  <c r="T10890" i="15"/>
  <c r="T10889" i="15"/>
  <c r="T10888" i="15"/>
  <c r="T10887" i="15"/>
  <c r="T10886" i="15"/>
  <c r="T10885" i="15"/>
  <c r="T10884" i="15"/>
  <c r="T10883" i="15"/>
  <c r="T10882" i="15"/>
  <c r="T10881" i="15"/>
  <c r="T10880" i="15"/>
  <c r="T10879" i="15"/>
  <c r="T10878" i="15"/>
  <c r="T10877" i="15"/>
  <c r="T10876" i="15"/>
  <c r="T10875" i="15"/>
  <c r="T10874" i="15"/>
  <c r="T10873" i="15"/>
  <c r="T10872" i="15"/>
  <c r="T10871" i="15"/>
  <c r="T10870" i="15"/>
  <c r="T10869" i="15"/>
  <c r="T10868" i="15"/>
  <c r="T10867" i="15"/>
  <c r="T10866" i="15"/>
  <c r="T10865" i="15"/>
  <c r="T10864" i="15"/>
  <c r="T10863" i="15"/>
  <c r="T10862" i="15"/>
  <c r="T10861" i="15"/>
  <c r="T10860" i="15"/>
  <c r="T10859" i="15"/>
  <c r="T10858" i="15"/>
  <c r="T10857" i="15"/>
  <c r="T10856" i="15"/>
  <c r="T10855" i="15"/>
  <c r="T10854" i="15"/>
  <c r="T10853" i="15"/>
  <c r="T10852" i="15"/>
  <c r="T10851" i="15"/>
  <c r="T10850" i="15"/>
  <c r="T10849" i="15"/>
  <c r="T10848" i="15"/>
  <c r="T10847" i="15"/>
  <c r="T10846" i="15"/>
  <c r="T10845" i="15"/>
  <c r="T10844" i="15"/>
  <c r="T10843" i="15"/>
  <c r="T10842" i="15"/>
  <c r="T10841" i="15"/>
  <c r="T10840" i="15"/>
  <c r="T10839" i="15"/>
  <c r="T10838" i="15"/>
  <c r="T10837" i="15"/>
  <c r="T10836" i="15"/>
  <c r="T10835" i="15"/>
  <c r="T10834" i="15"/>
  <c r="T10833" i="15"/>
  <c r="T10832" i="15"/>
  <c r="T10831" i="15"/>
  <c r="T10830" i="15"/>
  <c r="T10829" i="15"/>
  <c r="T10828" i="15"/>
  <c r="T10827" i="15"/>
  <c r="T10826" i="15"/>
  <c r="T10825" i="15"/>
  <c r="T10824" i="15"/>
  <c r="T10823" i="15"/>
  <c r="T10822" i="15"/>
  <c r="T10821" i="15"/>
  <c r="T10820" i="15"/>
  <c r="T10819" i="15"/>
  <c r="T10818" i="15"/>
  <c r="T10817" i="15"/>
  <c r="T10816" i="15"/>
  <c r="T10815" i="15"/>
  <c r="T10814" i="15"/>
  <c r="T10813" i="15"/>
  <c r="T10812" i="15"/>
  <c r="T10811" i="15"/>
  <c r="T10810" i="15"/>
  <c r="T10809" i="15"/>
  <c r="T10808" i="15"/>
  <c r="T10807" i="15"/>
  <c r="T10806" i="15"/>
  <c r="T10805" i="15"/>
  <c r="T10804" i="15"/>
  <c r="T10803" i="15"/>
  <c r="T10802" i="15"/>
  <c r="T10801" i="15"/>
  <c r="T10800" i="15"/>
  <c r="T10799" i="15"/>
  <c r="T10798" i="15"/>
  <c r="T10797" i="15"/>
  <c r="T10796" i="15"/>
  <c r="T10795" i="15"/>
  <c r="T10794" i="15"/>
  <c r="T10793" i="15"/>
  <c r="T10792" i="15"/>
  <c r="T10791" i="15"/>
  <c r="T10790" i="15"/>
  <c r="T10789" i="15"/>
  <c r="T10788" i="15"/>
  <c r="T10787" i="15"/>
  <c r="T10786" i="15"/>
  <c r="T10785" i="15"/>
  <c r="T10784" i="15"/>
  <c r="T10783" i="15"/>
  <c r="T10782" i="15"/>
  <c r="T10781" i="15"/>
  <c r="T10780" i="15"/>
  <c r="T10779" i="15"/>
  <c r="T10778" i="15"/>
  <c r="T10777" i="15"/>
  <c r="T10776" i="15"/>
  <c r="T10775" i="15"/>
  <c r="T10774" i="15"/>
  <c r="T10773" i="15"/>
  <c r="T10772" i="15"/>
  <c r="T10771" i="15"/>
  <c r="T10770" i="15"/>
  <c r="T10769" i="15"/>
  <c r="T10768" i="15"/>
  <c r="T10767" i="15"/>
  <c r="T10766" i="15"/>
  <c r="T10765" i="15"/>
  <c r="T10764" i="15"/>
  <c r="T10763" i="15"/>
  <c r="T10762" i="15"/>
  <c r="T10761" i="15"/>
  <c r="T10760" i="15"/>
  <c r="T10759" i="15"/>
  <c r="T10758" i="15"/>
  <c r="T10757" i="15"/>
  <c r="T10756" i="15"/>
  <c r="T10755" i="15"/>
  <c r="T10754" i="15"/>
  <c r="T10753" i="15"/>
  <c r="T10752" i="15"/>
  <c r="T10751" i="15"/>
  <c r="T10750" i="15"/>
  <c r="T10749" i="15"/>
  <c r="T10748" i="15"/>
  <c r="T10747" i="15"/>
  <c r="T10746" i="15"/>
  <c r="T10745" i="15"/>
  <c r="T10744" i="15"/>
  <c r="T10743" i="15"/>
  <c r="T10742" i="15"/>
  <c r="T10741" i="15"/>
  <c r="T10740" i="15"/>
  <c r="T10739" i="15"/>
  <c r="T10738" i="15"/>
  <c r="T10737" i="15"/>
  <c r="T10736" i="15"/>
  <c r="T10735" i="15"/>
  <c r="T10734" i="15"/>
  <c r="T10733" i="15"/>
  <c r="T10732" i="15"/>
  <c r="T10731" i="15"/>
  <c r="T10730" i="15"/>
  <c r="T10729" i="15"/>
  <c r="T10728" i="15"/>
  <c r="T10727" i="15"/>
  <c r="T10726" i="15"/>
  <c r="T10725" i="15"/>
  <c r="T10724" i="15"/>
  <c r="T10723" i="15"/>
  <c r="T10722" i="15"/>
  <c r="T10721" i="15"/>
  <c r="T10720" i="15"/>
  <c r="T10719" i="15"/>
  <c r="T10718" i="15"/>
  <c r="T10717" i="15"/>
  <c r="T10716" i="15"/>
  <c r="T10715" i="15"/>
  <c r="T10714" i="15"/>
  <c r="T10713" i="15"/>
  <c r="T10712" i="15"/>
  <c r="T10711" i="15"/>
  <c r="T10710" i="15"/>
  <c r="T10709" i="15"/>
  <c r="T10708" i="15"/>
  <c r="T10707" i="15"/>
  <c r="T10706" i="15"/>
  <c r="T10705" i="15"/>
  <c r="T10704" i="15"/>
  <c r="T10703" i="15"/>
  <c r="T10702" i="15"/>
  <c r="T10701" i="15"/>
  <c r="T10700" i="15"/>
  <c r="T10699" i="15"/>
  <c r="T10698" i="15"/>
  <c r="T10697" i="15"/>
  <c r="T10696" i="15"/>
  <c r="T10695" i="15"/>
  <c r="T10694" i="15"/>
  <c r="T10693" i="15"/>
  <c r="T10692" i="15"/>
  <c r="T10691" i="15"/>
  <c r="T10690" i="15"/>
  <c r="T10689" i="15"/>
  <c r="T10688" i="15"/>
  <c r="T10687" i="15"/>
  <c r="T10686" i="15"/>
  <c r="T10685" i="15"/>
  <c r="T10684" i="15"/>
  <c r="T10683" i="15"/>
  <c r="T10682" i="15"/>
  <c r="T10681" i="15"/>
  <c r="T10680" i="15"/>
  <c r="T10679" i="15"/>
  <c r="T10678" i="15"/>
  <c r="T10677" i="15"/>
  <c r="T10676" i="15"/>
  <c r="T10675" i="15"/>
  <c r="T10674" i="15"/>
  <c r="T10673" i="15"/>
  <c r="T10672" i="15"/>
  <c r="T10671" i="15"/>
  <c r="T10670" i="15"/>
  <c r="T10669" i="15"/>
  <c r="T10668" i="15"/>
  <c r="T10667" i="15"/>
  <c r="T10666" i="15"/>
  <c r="T10665" i="15"/>
  <c r="T10664" i="15"/>
  <c r="T10663" i="15"/>
  <c r="T10662" i="15"/>
  <c r="T10661" i="15"/>
  <c r="T10660" i="15"/>
  <c r="T10659" i="15"/>
  <c r="T10658" i="15"/>
  <c r="T10657" i="15"/>
  <c r="T10656" i="15"/>
  <c r="T10655" i="15"/>
  <c r="T10654" i="15"/>
  <c r="T10653" i="15"/>
  <c r="T10652" i="15"/>
  <c r="T10651" i="15"/>
  <c r="T10650" i="15"/>
  <c r="T10649" i="15"/>
  <c r="T10648" i="15"/>
  <c r="T10647" i="15"/>
  <c r="T10646" i="15"/>
  <c r="T10645" i="15"/>
  <c r="T10644" i="15"/>
  <c r="T10643" i="15"/>
  <c r="T10642" i="15"/>
  <c r="T10641" i="15"/>
  <c r="T10640" i="15"/>
  <c r="T10639" i="15"/>
  <c r="T10638" i="15"/>
  <c r="T10637" i="15"/>
  <c r="T10636" i="15"/>
  <c r="T10635" i="15"/>
  <c r="T10634" i="15"/>
  <c r="T10633" i="15"/>
  <c r="T10632" i="15"/>
  <c r="T10631" i="15"/>
  <c r="T10630" i="15"/>
  <c r="T10629" i="15"/>
  <c r="T10628" i="15"/>
  <c r="T10627" i="15"/>
  <c r="T10626" i="15"/>
  <c r="T10625" i="15"/>
  <c r="T10624" i="15"/>
  <c r="T10623" i="15"/>
  <c r="T10622" i="15"/>
  <c r="T10621" i="15"/>
  <c r="T10620" i="15"/>
  <c r="T10619" i="15"/>
  <c r="T10618" i="15"/>
  <c r="T10617" i="15"/>
  <c r="T10616" i="15"/>
  <c r="T10615" i="15"/>
  <c r="T10614" i="15"/>
  <c r="T10613" i="15"/>
  <c r="T10612" i="15"/>
  <c r="T10611" i="15"/>
  <c r="T10610" i="15"/>
  <c r="T10609" i="15"/>
  <c r="T10608" i="15"/>
  <c r="T10607" i="15"/>
  <c r="T10606" i="15"/>
  <c r="T10605" i="15"/>
  <c r="T10604" i="15"/>
  <c r="T10603" i="15"/>
  <c r="T10602" i="15"/>
  <c r="T10601" i="15"/>
  <c r="T10600" i="15"/>
  <c r="T10599" i="15"/>
  <c r="T10598" i="15"/>
  <c r="T10597" i="15"/>
  <c r="T10596" i="15"/>
  <c r="T10595" i="15"/>
  <c r="T10594" i="15"/>
  <c r="T10593" i="15"/>
  <c r="T10592" i="15"/>
  <c r="T10591" i="15"/>
  <c r="T10590" i="15"/>
  <c r="T10589" i="15"/>
  <c r="T10588" i="15"/>
  <c r="T10587" i="15"/>
  <c r="T10586" i="15"/>
  <c r="T10585" i="15"/>
  <c r="T10584" i="15"/>
  <c r="T10583" i="15"/>
  <c r="T10582" i="15"/>
  <c r="T10581" i="15"/>
  <c r="T10580" i="15"/>
  <c r="T10579" i="15"/>
  <c r="T10578" i="15"/>
  <c r="T10577" i="15"/>
  <c r="T10576" i="15"/>
  <c r="T10575" i="15"/>
  <c r="T10574" i="15"/>
  <c r="T10573" i="15"/>
  <c r="T10572" i="15"/>
  <c r="T10571" i="15"/>
  <c r="T10570" i="15"/>
  <c r="T10569" i="15"/>
  <c r="T10568" i="15"/>
  <c r="T10567" i="15"/>
  <c r="T10566" i="15"/>
  <c r="T10565" i="15"/>
  <c r="T10564" i="15"/>
  <c r="T10563" i="15"/>
  <c r="T10562" i="15"/>
  <c r="T10561" i="15"/>
  <c r="T10560" i="15"/>
  <c r="T10559" i="15"/>
  <c r="T10558" i="15"/>
  <c r="T10557" i="15"/>
  <c r="T10556" i="15"/>
  <c r="T10555" i="15"/>
  <c r="T10554" i="15"/>
  <c r="T10553" i="15"/>
  <c r="T10552" i="15"/>
  <c r="T10551" i="15"/>
  <c r="T10550" i="15"/>
  <c r="T10549" i="15"/>
  <c r="T10548" i="15"/>
  <c r="T10547" i="15"/>
  <c r="T10546" i="15"/>
  <c r="T10545" i="15"/>
  <c r="T10544" i="15"/>
  <c r="T10543" i="15"/>
  <c r="T10542" i="15"/>
  <c r="T10541" i="15"/>
  <c r="T10540" i="15"/>
  <c r="T10539" i="15"/>
  <c r="T10538" i="15"/>
  <c r="T10537" i="15"/>
  <c r="T10536" i="15"/>
  <c r="T10535" i="15"/>
  <c r="T10534" i="15"/>
  <c r="T10533" i="15"/>
  <c r="T10532" i="15"/>
  <c r="T10531" i="15"/>
  <c r="T10530" i="15"/>
  <c r="T10529" i="15"/>
  <c r="T10528" i="15"/>
  <c r="T10527" i="15"/>
  <c r="T10526" i="15"/>
  <c r="T10525" i="15"/>
  <c r="T10524" i="15"/>
  <c r="T10523" i="15"/>
  <c r="T10522" i="15"/>
  <c r="T10521" i="15"/>
  <c r="T10520" i="15"/>
  <c r="T10519" i="15"/>
  <c r="T10518" i="15"/>
  <c r="T10517" i="15"/>
  <c r="T10516" i="15"/>
  <c r="T10515" i="15"/>
  <c r="T10514" i="15"/>
  <c r="T10513" i="15"/>
  <c r="T10512" i="15"/>
  <c r="T10511" i="15"/>
  <c r="T10510" i="15"/>
  <c r="T10509" i="15"/>
  <c r="T10508" i="15"/>
  <c r="T10507" i="15"/>
  <c r="T10506" i="15"/>
  <c r="T10505" i="15"/>
  <c r="T10504" i="15"/>
  <c r="T10503" i="15"/>
  <c r="T10502" i="15"/>
  <c r="T10501" i="15"/>
  <c r="T10500" i="15"/>
  <c r="T10499" i="15"/>
  <c r="T10498" i="15"/>
  <c r="T10497" i="15"/>
  <c r="T10496" i="15"/>
  <c r="T10495" i="15"/>
  <c r="T10494" i="15"/>
  <c r="T10493" i="15"/>
  <c r="T10492" i="15"/>
  <c r="T10491" i="15"/>
  <c r="T10490" i="15"/>
  <c r="T10489" i="15"/>
  <c r="T10488" i="15"/>
  <c r="T10487" i="15"/>
  <c r="T10486" i="15"/>
  <c r="T10485" i="15"/>
  <c r="T10484" i="15"/>
  <c r="T10483" i="15"/>
  <c r="T10482" i="15"/>
  <c r="T10481" i="15"/>
  <c r="T10480" i="15"/>
  <c r="T10479" i="15"/>
  <c r="T10478" i="15"/>
  <c r="T10477" i="15"/>
  <c r="T10476" i="15"/>
  <c r="T10475" i="15"/>
  <c r="T10474" i="15"/>
  <c r="T10473" i="15"/>
  <c r="T10472" i="15"/>
  <c r="T10471" i="15"/>
  <c r="T10470" i="15"/>
  <c r="T10469" i="15"/>
  <c r="T10468" i="15"/>
  <c r="T10467" i="15"/>
  <c r="T10466" i="15"/>
  <c r="T10465" i="15"/>
  <c r="T10464" i="15"/>
  <c r="T10463" i="15"/>
  <c r="T10462" i="15"/>
  <c r="T10461" i="15"/>
  <c r="T10460" i="15"/>
  <c r="T10459" i="15"/>
  <c r="T10458" i="15"/>
  <c r="T10457" i="15"/>
  <c r="T10456" i="15"/>
  <c r="T10455" i="15"/>
  <c r="T10454" i="15"/>
  <c r="T10453" i="15"/>
  <c r="T10452" i="15"/>
  <c r="T10451" i="15"/>
  <c r="T10450" i="15"/>
  <c r="T10449" i="15"/>
  <c r="T10448" i="15"/>
  <c r="T10447" i="15"/>
  <c r="T10446" i="15"/>
  <c r="T10445" i="15"/>
  <c r="T10444" i="15"/>
  <c r="T10443" i="15"/>
  <c r="T10442" i="15"/>
  <c r="T10441" i="15"/>
  <c r="T10440" i="15"/>
  <c r="T10439" i="15"/>
  <c r="T10438" i="15"/>
  <c r="T10437" i="15"/>
  <c r="T10436" i="15"/>
  <c r="T10435" i="15"/>
  <c r="T10434" i="15"/>
  <c r="T10433" i="15"/>
  <c r="T10432" i="15"/>
  <c r="T10431" i="15"/>
  <c r="T10430" i="15"/>
  <c r="T10429" i="15"/>
  <c r="T10428" i="15"/>
  <c r="T10427" i="15"/>
  <c r="T10426" i="15"/>
  <c r="T10425" i="15"/>
  <c r="T10424" i="15"/>
  <c r="T10423" i="15"/>
  <c r="T10422" i="15"/>
  <c r="T10421" i="15"/>
  <c r="T10420" i="15"/>
  <c r="T10419" i="15"/>
  <c r="T10418" i="15"/>
  <c r="T10417" i="15"/>
  <c r="T10416" i="15"/>
  <c r="T10415" i="15"/>
  <c r="T10414" i="15"/>
  <c r="T10413" i="15"/>
  <c r="T10412" i="15"/>
  <c r="T10411" i="15"/>
  <c r="T10410" i="15"/>
  <c r="T10409" i="15"/>
  <c r="T10408" i="15"/>
  <c r="T10407" i="15"/>
  <c r="T10406" i="15"/>
  <c r="T10405" i="15"/>
  <c r="T10404" i="15"/>
  <c r="T10403" i="15"/>
  <c r="T10402" i="15"/>
  <c r="T10401" i="15"/>
  <c r="T10400" i="15"/>
  <c r="T10399" i="15"/>
  <c r="T10398" i="15"/>
  <c r="T10397" i="15"/>
  <c r="T10396" i="15"/>
  <c r="T10395" i="15"/>
  <c r="T10394" i="15"/>
  <c r="T10393" i="15"/>
  <c r="T10392" i="15"/>
  <c r="T10391" i="15"/>
  <c r="T10390" i="15"/>
  <c r="T10389" i="15"/>
  <c r="T10388" i="15"/>
  <c r="T10387" i="15"/>
  <c r="T10386" i="15"/>
  <c r="T10385" i="15"/>
  <c r="T10384" i="15"/>
  <c r="T10383" i="15"/>
  <c r="T10382" i="15"/>
  <c r="T10381" i="15"/>
  <c r="T10380" i="15"/>
  <c r="T10379" i="15"/>
  <c r="T10378" i="15"/>
  <c r="T10377" i="15"/>
  <c r="T10376" i="15"/>
  <c r="T10375" i="15"/>
  <c r="T10374" i="15"/>
  <c r="T10373" i="15"/>
  <c r="T10372" i="15"/>
  <c r="T10371" i="15"/>
  <c r="T10370" i="15"/>
  <c r="T10369" i="15"/>
  <c r="T10368" i="15"/>
  <c r="T10367" i="15"/>
  <c r="T10366" i="15"/>
  <c r="T10365" i="15"/>
  <c r="T10364" i="15"/>
  <c r="T10363" i="15"/>
  <c r="T10362" i="15"/>
  <c r="T10361" i="15"/>
  <c r="T10360" i="15"/>
  <c r="T10359" i="15"/>
  <c r="T10358" i="15"/>
  <c r="T10357" i="15"/>
  <c r="T10356" i="15"/>
  <c r="T10355" i="15"/>
  <c r="T10354" i="15"/>
  <c r="T10353" i="15"/>
  <c r="T10352" i="15"/>
  <c r="T10351" i="15"/>
  <c r="T10350" i="15"/>
  <c r="T10349" i="15"/>
  <c r="T10348" i="15"/>
  <c r="T10347" i="15"/>
  <c r="T10346" i="15"/>
  <c r="T10345" i="15"/>
  <c r="T10344" i="15"/>
  <c r="T10343" i="15"/>
  <c r="T10342" i="15"/>
  <c r="T10341" i="15"/>
  <c r="T10340" i="15"/>
  <c r="T10339" i="15"/>
  <c r="T10338" i="15"/>
  <c r="T10337" i="15"/>
  <c r="T10336" i="15"/>
  <c r="T10335" i="15"/>
  <c r="T10334" i="15"/>
  <c r="T10333" i="15"/>
  <c r="T10332" i="15"/>
  <c r="T10331" i="15"/>
  <c r="T10330" i="15"/>
  <c r="T10329" i="15"/>
  <c r="T10328" i="15"/>
  <c r="T10327" i="15"/>
  <c r="T10326" i="15"/>
  <c r="T10325" i="15"/>
  <c r="T10324" i="15"/>
  <c r="T10323" i="15"/>
  <c r="T10322" i="15"/>
  <c r="T10321" i="15"/>
  <c r="T10320" i="15"/>
  <c r="T10319" i="15"/>
  <c r="T10318" i="15"/>
  <c r="T10317" i="15"/>
  <c r="T10316" i="15"/>
  <c r="T10315" i="15"/>
  <c r="T10314" i="15"/>
  <c r="T10313" i="15"/>
  <c r="T10312" i="15"/>
  <c r="T10311" i="15"/>
  <c r="T10310" i="15"/>
  <c r="T10309" i="15"/>
  <c r="T10308" i="15"/>
  <c r="T10307" i="15"/>
  <c r="T10306" i="15"/>
  <c r="T10305" i="15"/>
  <c r="T10304" i="15"/>
  <c r="T10303" i="15"/>
  <c r="T10302" i="15"/>
  <c r="T10301" i="15"/>
  <c r="T10300" i="15"/>
  <c r="T10299" i="15"/>
  <c r="T10298" i="15"/>
  <c r="T10297" i="15"/>
  <c r="T10296" i="15"/>
  <c r="T10295" i="15"/>
  <c r="T10294" i="15"/>
  <c r="T10293" i="15"/>
  <c r="T10292" i="15"/>
  <c r="T10291" i="15"/>
  <c r="T10290" i="15"/>
  <c r="T10289" i="15"/>
  <c r="T10288" i="15"/>
  <c r="T10287" i="15"/>
  <c r="T10286" i="15"/>
  <c r="T10285" i="15"/>
  <c r="T10284" i="15"/>
  <c r="T10283" i="15"/>
  <c r="T10282" i="15"/>
  <c r="T10281" i="15"/>
  <c r="T10280" i="15"/>
  <c r="T10279" i="15"/>
  <c r="T10278" i="15"/>
  <c r="T10277" i="15"/>
  <c r="T10276" i="15"/>
  <c r="T10275" i="15"/>
  <c r="T10274" i="15"/>
  <c r="T10273" i="15"/>
  <c r="T10272" i="15"/>
  <c r="T10271" i="15"/>
  <c r="T10270" i="15"/>
  <c r="T10269" i="15"/>
  <c r="T10268" i="15"/>
  <c r="T10267" i="15"/>
  <c r="T10266" i="15"/>
  <c r="T10265" i="15"/>
  <c r="T10264" i="15"/>
  <c r="T10263" i="15"/>
  <c r="T10262" i="15"/>
  <c r="T10261" i="15"/>
  <c r="T10260" i="15"/>
  <c r="T10259" i="15"/>
  <c r="T10258" i="15"/>
  <c r="T10257" i="15"/>
  <c r="T10256" i="15"/>
  <c r="T10255" i="15"/>
  <c r="T10254" i="15"/>
  <c r="T10253" i="15"/>
  <c r="T10252" i="15"/>
  <c r="T10251" i="15"/>
  <c r="T10250" i="15"/>
  <c r="T10249" i="15"/>
  <c r="T10248" i="15"/>
  <c r="T10247" i="15"/>
  <c r="T10246" i="15"/>
  <c r="T10245" i="15"/>
  <c r="T10244" i="15"/>
  <c r="T10243" i="15"/>
  <c r="T10242" i="15"/>
  <c r="T10241" i="15"/>
  <c r="T10240" i="15"/>
  <c r="T10239" i="15"/>
  <c r="T10238" i="15"/>
  <c r="T10237" i="15"/>
  <c r="T10236" i="15"/>
  <c r="T10235" i="15"/>
  <c r="T10234" i="15"/>
  <c r="T10233" i="15"/>
  <c r="T10232" i="15"/>
  <c r="T10231" i="15"/>
  <c r="T10230" i="15"/>
  <c r="T10229" i="15"/>
  <c r="T10228" i="15"/>
  <c r="T10227" i="15"/>
  <c r="T10226" i="15"/>
  <c r="T10225" i="15"/>
  <c r="T10224" i="15"/>
  <c r="T10223" i="15"/>
  <c r="T10222" i="15"/>
  <c r="T10221" i="15"/>
  <c r="T10220" i="15"/>
  <c r="T10219" i="15"/>
  <c r="T10218" i="15"/>
  <c r="T10217" i="15"/>
  <c r="T10216" i="15"/>
  <c r="T10215" i="15"/>
  <c r="T10214" i="15"/>
  <c r="T10213" i="15"/>
  <c r="T10212" i="15"/>
  <c r="T10211" i="15"/>
  <c r="T10210" i="15"/>
  <c r="T10209" i="15"/>
  <c r="T10208" i="15"/>
  <c r="T10207" i="15"/>
  <c r="T10206" i="15"/>
  <c r="T10205" i="15"/>
  <c r="T10204" i="15"/>
  <c r="T10203" i="15"/>
  <c r="T10202" i="15"/>
  <c r="T10201" i="15"/>
  <c r="T10200" i="15"/>
  <c r="T10199" i="15"/>
  <c r="T10198" i="15"/>
  <c r="T10197" i="15"/>
  <c r="T10196" i="15"/>
  <c r="T10195" i="15"/>
  <c r="T10194" i="15"/>
  <c r="T10193" i="15"/>
  <c r="T10192" i="15"/>
  <c r="T10191" i="15"/>
  <c r="T10190" i="15"/>
  <c r="T10189" i="15"/>
  <c r="T10188" i="15"/>
  <c r="T10187" i="15"/>
  <c r="T10186" i="15"/>
  <c r="T10185" i="15"/>
  <c r="T10184" i="15"/>
  <c r="T10183" i="15"/>
  <c r="T10182" i="15"/>
  <c r="T10181" i="15"/>
  <c r="T10180" i="15"/>
  <c r="T10179" i="15"/>
  <c r="T10178" i="15"/>
  <c r="T10177" i="15"/>
  <c r="T10176" i="15"/>
  <c r="T10175" i="15"/>
  <c r="T10174" i="15"/>
  <c r="T10173" i="15"/>
  <c r="T10172" i="15"/>
  <c r="T10171" i="15"/>
  <c r="T10170" i="15"/>
  <c r="T10169" i="15"/>
  <c r="T10168" i="15"/>
  <c r="T10167" i="15"/>
  <c r="T10166" i="15"/>
  <c r="T10165" i="15"/>
  <c r="T10164" i="15"/>
  <c r="T10163" i="15"/>
  <c r="T10162" i="15"/>
  <c r="T10161" i="15"/>
  <c r="T10160" i="15"/>
  <c r="T10159" i="15"/>
  <c r="T10158" i="15"/>
  <c r="T10157" i="15"/>
  <c r="T10156" i="15"/>
  <c r="T10155" i="15"/>
  <c r="T10154" i="15"/>
  <c r="T10153" i="15"/>
  <c r="T10152" i="15"/>
  <c r="T10151" i="15"/>
  <c r="T10150" i="15"/>
  <c r="T10149" i="15"/>
  <c r="T10148" i="15"/>
  <c r="T10147" i="15"/>
  <c r="T10146" i="15"/>
  <c r="T10145" i="15"/>
  <c r="T10144" i="15"/>
  <c r="T10143" i="15"/>
  <c r="T10142" i="15"/>
  <c r="T10141" i="15"/>
  <c r="T10140" i="15"/>
  <c r="T10139" i="15"/>
  <c r="T10138" i="15"/>
  <c r="T10137" i="15"/>
  <c r="T10136" i="15"/>
  <c r="T10135" i="15"/>
  <c r="T10134" i="15"/>
  <c r="T10133" i="15"/>
  <c r="T10132" i="15"/>
  <c r="T10131" i="15"/>
  <c r="T10130" i="15"/>
  <c r="T10129" i="15"/>
  <c r="T10128" i="15"/>
  <c r="T10127" i="15"/>
  <c r="T10126" i="15"/>
  <c r="T10125" i="15"/>
  <c r="T10124" i="15"/>
  <c r="T10123" i="15"/>
  <c r="T10122" i="15"/>
  <c r="T10121" i="15"/>
  <c r="T10120" i="15"/>
  <c r="T10119" i="15"/>
  <c r="T10118" i="15"/>
  <c r="T10117" i="15"/>
  <c r="T10116" i="15"/>
  <c r="T10115" i="15"/>
  <c r="T10114" i="15"/>
  <c r="T10113" i="15"/>
  <c r="T10112" i="15"/>
  <c r="T10111" i="15"/>
  <c r="T10110" i="15"/>
  <c r="T10109" i="15"/>
  <c r="T10108" i="15"/>
  <c r="T10107" i="15"/>
  <c r="T10106" i="15"/>
  <c r="T10105" i="15"/>
  <c r="T10104" i="15"/>
  <c r="T10103" i="15"/>
  <c r="T10102" i="15"/>
  <c r="T10101" i="15"/>
  <c r="T10100" i="15"/>
  <c r="T10099" i="15"/>
  <c r="T10098" i="15"/>
  <c r="T10097" i="15"/>
  <c r="T10096" i="15"/>
  <c r="T10095" i="15"/>
  <c r="T10094" i="15"/>
  <c r="T10093" i="15"/>
  <c r="T10092" i="15"/>
  <c r="T10091" i="15"/>
  <c r="T10090" i="15"/>
  <c r="T10089" i="15"/>
  <c r="T10088" i="15"/>
  <c r="T10087" i="15"/>
  <c r="T10086" i="15"/>
  <c r="T10085" i="15"/>
  <c r="T10084" i="15"/>
  <c r="T10083" i="15"/>
  <c r="T10082" i="15"/>
  <c r="T10081" i="15"/>
  <c r="T10080" i="15"/>
  <c r="T10079" i="15"/>
  <c r="T10078" i="15"/>
  <c r="T10077" i="15"/>
  <c r="T10076" i="15"/>
  <c r="T10075" i="15"/>
  <c r="T10074" i="15"/>
  <c r="T10073" i="15"/>
  <c r="T10072" i="15"/>
  <c r="T10071" i="15"/>
  <c r="T10070" i="15"/>
  <c r="T10069" i="15"/>
  <c r="T10068" i="15"/>
  <c r="T10067" i="15"/>
  <c r="T10066" i="15"/>
  <c r="T10065" i="15"/>
  <c r="T10064" i="15"/>
  <c r="T10063" i="15"/>
  <c r="T10062" i="15"/>
  <c r="T10061" i="15"/>
  <c r="T10060" i="15"/>
  <c r="T10059" i="15"/>
  <c r="T10058" i="15"/>
  <c r="T10057" i="15"/>
  <c r="T10056" i="15"/>
  <c r="T10055" i="15"/>
  <c r="T10054" i="15"/>
  <c r="T10053" i="15"/>
  <c r="T10052" i="15"/>
  <c r="T10051" i="15"/>
  <c r="T10050" i="15"/>
  <c r="T10049" i="15"/>
  <c r="T10048" i="15"/>
  <c r="T10047" i="15"/>
  <c r="T10046" i="15"/>
  <c r="T10045" i="15"/>
  <c r="T10044" i="15"/>
  <c r="T10043" i="15"/>
  <c r="T10042" i="15"/>
  <c r="T10041" i="15"/>
  <c r="T10040" i="15"/>
  <c r="T10039" i="15"/>
  <c r="T10038" i="15"/>
  <c r="T10037" i="15"/>
  <c r="T10036" i="15"/>
  <c r="T10035" i="15"/>
  <c r="T10034" i="15"/>
  <c r="T10033" i="15"/>
  <c r="T10032" i="15"/>
  <c r="T10031" i="15"/>
  <c r="T10030" i="15"/>
  <c r="T10029" i="15"/>
  <c r="T10028" i="15"/>
  <c r="T10027" i="15"/>
  <c r="T10026" i="15"/>
  <c r="T10025" i="15"/>
  <c r="T10024" i="15"/>
  <c r="T10023" i="15"/>
  <c r="T10022" i="15"/>
  <c r="T10021" i="15"/>
  <c r="T10020" i="15"/>
  <c r="T10019" i="15"/>
  <c r="T10018" i="15"/>
  <c r="T10017" i="15"/>
  <c r="T10016" i="15"/>
  <c r="T10015" i="15"/>
  <c r="T10014" i="15"/>
  <c r="T10013" i="15"/>
  <c r="T10012" i="15"/>
  <c r="T10011" i="15"/>
  <c r="T10010" i="15"/>
  <c r="T10009" i="15"/>
  <c r="T10008" i="15"/>
  <c r="T10007" i="15"/>
  <c r="T10006" i="15"/>
  <c r="T10005" i="15"/>
  <c r="T10004" i="15"/>
  <c r="T10003" i="15"/>
  <c r="T10002" i="15"/>
  <c r="T10001" i="15"/>
  <c r="T10000" i="15"/>
  <c r="T9999" i="15"/>
  <c r="T9998" i="15"/>
  <c r="T9997" i="15"/>
  <c r="T9996" i="15"/>
  <c r="T9995" i="15"/>
  <c r="T9994" i="15"/>
  <c r="T9993" i="15"/>
  <c r="T9992" i="15"/>
  <c r="T9991" i="15"/>
  <c r="T9990" i="15"/>
  <c r="T9989" i="15"/>
  <c r="T9988" i="15"/>
  <c r="T9987" i="15"/>
  <c r="T9986" i="15"/>
  <c r="T9985" i="15"/>
  <c r="T9984" i="15"/>
  <c r="T9983" i="15"/>
  <c r="T9982" i="15"/>
  <c r="T9981" i="15"/>
  <c r="T9980" i="15"/>
  <c r="T9979" i="15"/>
  <c r="T9978" i="15"/>
  <c r="T9977" i="15"/>
  <c r="T9976" i="15"/>
  <c r="T9975" i="15"/>
  <c r="T9974" i="15"/>
  <c r="T9973" i="15"/>
  <c r="T9972" i="15"/>
  <c r="T9971" i="15"/>
  <c r="T9970" i="15"/>
  <c r="T9969" i="15"/>
  <c r="T9968" i="15"/>
  <c r="T9967" i="15"/>
  <c r="T9966" i="15"/>
  <c r="T9965" i="15"/>
  <c r="T9964" i="15"/>
  <c r="T9963" i="15"/>
  <c r="T9962" i="15"/>
  <c r="T9961" i="15"/>
  <c r="T9960" i="15"/>
  <c r="T9959" i="15"/>
  <c r="T9958" i="15"/>
  <c r="T9957" i="15"/>
  <c r="T9956" i="15"/>
  <c r="T9955" i="15"/>
  <c r="T9954" i="15"/>
  <c r="T9953" i="15"/>
  <c r="T9952" i="15"/>
  <c r="T9951" i="15"/>
  <c r="T9950" i="15"/>
  <c r="T9949" i="15"/>
  <c r="T9948" i="15"/>
  <c r="T9947" i="15"/>
  <c r="T9946" i="15"/>
  <c r="T9945" i="15"/>
  <c r="T9944" i="15"/>
  <c r="T9943" i="15"/>
  <c r="T9942" i="15"/>
  <c r="T9941" i="15"/>
  <c r="T9940" i="15"/>
  <c r="T9939" i="15"/>
  <c r="T9938" i="15"/>
  <c r="T9937" i="15"/>
  <c r="T9936" i="15"/>
  <c r="T9935" i="15"/>
  <c r="T9934" i="15"/>
  <c r="T9933" i="15"/>
  <c r="T9932" i="15"/>
  <c r="T9931" i="15"/>
  <c r="T9930" i="15"/>
  <c r="T9929" i="15"/>
  <c r="T9928" i="15"/>
  <c r="T9927" i="15"/>
  <c r="T9926" i="15"/>
  <c r="T9925" i="15"/>
  <c r="T9924" i="15"/>
  <c r="T9923" i="15"/>
  <c r="T9922" i="15"/>
  <c r="T9921" i="15"/>
  <c r="T9920" i="15"/>
  <c r="T9919" i="15"/>
  <c r="T9918" i="15"/>
  <c r="T9917" i="15"/>
  <c r="T9916" i="15"/>
  <c r="T9915" i="15"/>
  <c r="T9914" i="15"/>
  <c r="T9913" i="15"/>
  <c r="T9912" i="15"/>
  <c r="T9911" i="15"/>
  <c r="T9910" i="15"/>
  <c r="T9909" i="15"/>
  <c r="T9908" i="15"/>
  <c r="T9907" i="15"/>
  <c r="T9906" i="15"/>
  <c r="T9905" i="15"/>
  <c r="T9904" i="15"/>
  <c r="T9903" i="15"/>
  <c r="T9902" i="15"/>
  <c r="T9901" i="15"/>
  <c r="T9900" i="15"/>
  <c r="T9899" i="15"/>
  <c r="T9898" i="15"/>
  <c r="T9897" i="15"/>
  <c r="T9896" i="15"/>
  <c r="T9895" i="15"/>
  <c r="T9894" i="15"/>
  <c r="T9893" i="15"/>
  <c r="T9892" i="15"/>
  <c r="T9891" i="15"/>
  <c r="T9890" i="15"/>
  <c r="T9889" i="15"/>
  <c r="T9888" i="15"/>
  <c r="T9887" i="15"/>
  <c r="T9886" i="15"/>
  <c r="T9885" i="15"/>
  <c r="T9884" i="15"/>
  <c r="T9883" i="15"/>
  <c r="T9882" i="15"/>
  <c r="T9881" i="15"/>
  <c r="T9880" i="15"/>
  <c r="T9879" i="15"/>
  <c r="T9878" i="15"/>
  <c r="T9877" i="15"/>
  <c r="T9876" i="15"/>
  <c r="T9875" i="15"/>
  <c r="T9874" i="15"/>
  <c r="T9873" i="15"/>
  <c r="T9872" i="15"/>
  <c r="T9871" i="15"/>
  <c r="T9870" i="15"/>
  <c r="T9869" i="15"/>
  <c r="T9868" i="15"/>
  <c r="T9867" i="15"/>
  <c r="T9866" i="15"/>
  <c r="T9865" i="15"/>
  <c r="T9864" i="15"/>
  <c r="T9863" i="15"/>
  <c r="T9862" i="15"/>
  <c r="T9861" i="15"/>
  <c r="T9860" i="15"/>
  <c r="T9859" i="15"/>
  <c r="T9858" i="15"/>
  <c r="T9857" i="15"/>
  <c r="T9856" i="15"/>
  <c r="T9855" i="15"/>
  <c r="T9854" i="15"/>
  <c r="T9853" i="15"/>
  <c r="T9852" i="15"/>
  <c r="T9851" i="15"/>
  <c r="T9850" i="15"/>
  <c r="T9849" i="15"/>
  <c r="T9848" i="15"/>
  <c r="T9847" i="15"/>
  <c r="T9846" i="15"/>
  <c r="T9845" i="15"/>
  <c r="T9844" i="15"/>
  <c r="T9843" i="15"/>
  <c r="T9842" i="15"/>
  <c r="T9841" i="15"/>
  <c r="T9840" i="15"/>
  <c r="T9839" i="15"/>
  <c r="T9838" i="15"/>
  <c r="T9837" i="15"/>
  <c r="T9836" i="15"/>
  <c r="T9835" i="15"/>
  <c r="T9834" i="15"/>
  <c r="T9833" i="15"/>
  <c r="T9832" i="15"/>
  <c r="T9831" i="15"/>
  <c r="T9830" i="15"/>
  <c r="T9829" i="15"/>
  <c r="T9828" i="15"/>
  <c r="T9827" i="15"/>
  <c r="T9826" i="15"/>
  <c r="T9825" i="15"/>
  <c r="T9824" i="15"/>
  <c r="T9823" i="15"/>
  <c r="T9822" i="15"/>
  <c r="T9821" i="15"/>
  <c r="T9820" i="15"/>
  <c r="T9819" i="15"/>
  <c r="T9818" i="15"/>
  <c r="T9817" i="15"/>
  <c r="T9816" i="15"/>
  <c r="T9815" i="15"/>
  <c r="T9814" i="15"/>
  <c r="T9813" i="15"/>
  <c r="T9812" i="15"/>
  <c r="T9811" i="15"/>
  <c r="T9810" i="15"/>
  <c r="T9809" i="15"/>
  <c r="T9808" i="15"/>
  <c r="T9807" i="15"/>
  <c r="T9806" i="15"/>
  <c r="T9805" i="15"/>
  <c r="T9804" i="15"/>
  <c r="T9803" i="15"/>
  <c r="T9802" i="15"/>
  <c r="T9801" i="15"/>
  <c r="T9800" i="15"/>
  <c r="T9799" i="15"/>
  <c r="T9798" i="15"/>
  <c r="T9797" i="15"/>
  <c r="T9796" i="15"/>
  <c r="T9795" i="15"/>
  <c r="T9794" i="15"/>
  <c r="T9793" i="15"/>
  <c r="T9792" i="15"/>
  <c r="T9791" i="15"/>
  <c r="T9790" i="15"/>
  <c r="T9789" i="15"/>
  <c r="T9788" i="15"/>
  <c r="T9787" i="15"/>
  <c r="T9786" i="15"/>
  <c r="T9785" i="15"/>
  <c r="T9784" i="15"/>
  <c r="T9783" i="15"/>
  <c r="T9782" i="15"/>
  <c r="T9781" i="15"/>
  <c r="T9780" i="15"/>
  <c r="T9779" i="15"/>
  <c r="T9778" i="15"/>
  <c r="T9777" i="15"/>
  <c r="T9776" i="15"/>
  <c r="T9775" i="15"/>
  <c r="T9774" i="15"/>
  <c r="T9773" i="15"/>
  <c r="T9772" i="15"/>
  <c r="T9771" i="15"/>
  <c r="T9770" i="15"/>
  <c r="T9769" i="15"/>
  <c r="T9768" i="15"/>
  <c r="T9767" i="15"/>
  <c r="T9766" i="15"/>
  <c r="T9765" i="15"/>
  <c r="T9764" i="15"/>
  <c r="T9763" i="15"/>
  <c r="T9762" i="15"/>
  <c r="T9761" i="15"/>
  <c r="T9760" i="15"/>
  <c r="T9759" i="15"/>
  <c r="T9758" i="15"/>
  <c r="T9757" i="15"/>
  <c r="T9756" i="15"/>
  <c r="T9755" i="15"/>
  <c r="T9754" i="15"/>
  <c r="T9753" i="15"/>
  <c r="T9752" i="15"/>
  <c r="T9751" i="15"/>
  <c r="T9750" i="15"/>
  <c r="T9749" i="15"/>
  <c r="T9748" i="15"/>
  <c r="T9747" i="15"/>
  <c r="T9746" i="15"/>
  <c r="T9745" i="15"/>
  <c r="T9744" i="15"/>
  <c r="T9743" i="15"/>
  <c r="T9742" i="15"/>
  <c r="T9741" i="15"/>
  <c r="T9740" i="15"/>
  <c r="T9739" i="15"/>
  <c r="T9738" i="15"/>
  <c r="T9737" i="15"/>
  <c r="T9736" i="15"/>
  <c r="T9735" i="15"/>
  <c r="T9734" i="15"/>
  <c r="T9733" i="15"/>
  <c r="T9732" i="15"/>
  <c r="T9731" i="15"/>
  <c r="T9730" i="15"/>
  <c r="T9729" i="15"/>
  <c r="T9728" i="15"/>
  <c r="T9727" i="15"/>
  <c r="T9726" i="15"/>
  <c r="T9725" i="15"/>
  <c r="T9724" i="15"/>
  <c r="T9723" i="15"/>
  <c r="T9722" i="15"/>
  <c r="T9721" i="15"/>
  <c r="T9720" i="15"/>
  <c r="T9719" i="15"/>
  <c r="T9718" i="15"/>
  <c r="T9717" i="15"/>
  <c r="T9716" i="15"/>
  <c r="T9715" i="15"/>
  <c r="T9714" i="15"/>
  <c r="T9713" i="15"/>
  <c r="T9712" i="15"/>
  <c r="T9711" i="15"/>
  <c r="T9710" i="15"/>
  <c r="T9709" i="15"/>
  <c r="T9708" i="15"/>
  <c r="T9707" i="15"/>
  <c r="T9706" i="15"/>
  <c r="T9705" i="15"/>
  <c r="T9704" i="15"/>
  <c r="T9703" i="15"/>
  <c r="T9702" i="15"/>
  <c r="T9701" i="15"/>
  <c r="T9700" i="15"/>
  <c r="T9699" i="15"/>
  <c r="T9698" i="15"/>
  <c r="T9697" i="15"/>
  <c r="T9696" i="15"/>
  <c r="T9695" i="15"/>
  <c r="T9694" i="15"/>
  <c r="T9693" i="15"/>
  <c r="T9692" i="15"/>
  <c r="T9691" i="15"/>
  <c r="T9690" i="15"/>
  <c r="T9689" i="15"/>
  <c r="T9688" i="15"/>
  <c r="T9687" i="15"/>
  <c r="T9686" i="15"/>
  <c r="T9685" i="15"/>
  <c r="T9684" i="15"/>
  <c r="T9683" i="15"/>
  <c r="T9682" i="15"/>
  <c r="T9681" i="15"/>
  <c r="T9680" i="15"/>
  <c r="T9679" i="15"/>
  <c r="T9678" i="15"/>
  <c r="T9677" i="15"/>
  <c r="T9676" i="15"/>
  <c r="T9675" i="15"/>
  <c r="T9674" i="15"/>
  <c r="T9673" i="15"/>
  <c r="T9672" i="15"/>
  <c r="T9671" i="15"/>
  <c r="T9670" i="15"/>
  <c r="T9669" i="15"/>
  <c r="T9668" i="15"/>
  <c r="T9667" i="15"/>
  <c r="T9666" i="15"/>
  <c r="T9665" i="15"/>
  <c r="T9664" i="15"/>
  <c r="T9663" i="15"/>
  <c r="T9662" i="15"/>
  <c r="T9661" i="15"/>
  <c r="T9660" i="15"/>
  <c r="T9659" i="15"/>
  <c r="T9658" i="15"/>
  <c r="T9657" i="15"/>
  <c r="T9656" i="15"/>
  <c r="T9655" i="15"/>
  <c r="T9654" i="15"/>
  <c r="T9653" i="15"/>
  <c r="T9652" i="15"/>
  <c r="T9651" i="15"/>
  <c r="T9650" i="15"/>
  <c r="T9649" i="15"/>
  <c r="T9648" i="15"/>
  <c r="T9647" i="15"/>
  <c r="T9646" i="15"/>
  <c r="T9645" i="15"/>
  <c r="T9644" i="15"/>
  <c r="T9643" i="15"/>
  <c r="T9642" i="15"/>
  <c r="T9641" i="15"/>
  <c r="T9640" i="15"/>
  <c r="T9639" i="15"/>
  <c r="T9638" i="15"/>
  <c r="T9637" i="15"/>
  <c r="T9636" i="15"/>
  <c r="T9635" i="15"/>
  <c r="T9634" i="15"/>
  <c r="T9633" i="15"/>
  <c r="T9632" i="15"/>
  <c r="T9631" i="15"/>
  <c r="T9630" i="15"/>
  <c r="T9629" i="15"/>
  <c r="T9628" i="15"/>
  <c r="T9627" i="15"/>
  <c r="T9626" i="15"/>
  <c r="T9625" i="15"/>
  <c r="T9624" i="15"/>
  <c r="T9623" i="15"/>
  <c r="T9622" i="15"/>
  <c r="T9621" i="15"/>
  <c r="T9620" i="15"/>
  <c r="T9619" i="15"/>
  <c r="T9618" i="15"/>
  <c r="T9617" i="15"/>
  <c r="T9616" i="15"/>
  <c r="T9615" i="15"/>
  <c r="T9614" i="15"/>
  <c r="T9613" i="15"/>
  <c r="T9612" i="15"/>
  <c r="T9611" i="15"/>
  <c r="T9610" i="15"/>
  <c r="T9609" i="15"/>
  <c r="T9608" i="15"/>
  <c r="T9607" i="15"/>
  <c r="T9606" i="15"/>
  <c r="T9605" i="15"/>
  <c r="T9604" i="15"/>
  <c r="T9603" i="15"/>
  <c r="T9602" i="15"/>
  <c r="T9601" i="15"/>
  <c r="T9600" i="15"/>
  <c r="T9599" i="15"/>
  <c r="T9598" i="15"/>
  <c r="T9597" i="15"/>
  <c r="T9596" i="15"/>
  <c r="T9595" i="15"/>
  <c r="T9594" i="15"/>
  <c r="T9593" i="15"/>
  <c r="T9592" i="15"/>
  <c r="T9591" i="15"/>
  <c r="T9590" i="15"/>
  <c r="T9589" i="15"/>
  <c r="T9588" i="15"/>
  <c r="T9587" i="15"/>
  <c r="T9586" i="15"/>
  <c r="T9585" i="15"/>
  <c r="T9584" i="15"/>
  <c r="T9583" i="15"/>
  <c r="T9582" i="15"/>
  <c r="T9581" i="15"/>
  <c r="T9580" i="15"/>
  <c r="T9579" i="15"/>
  <c r="T9578" i="15"/>
  <c r="T9577" i="15"/>
  <c r="T9576" i="15"/>
  <c r="T9575" i="15"/>
  <c r="T9574" i="15"/>
  <c r="T9573" i="15"/>
  <c r="T9572" i="15"/>
  <c r="T9571" i="15"/>
  <c r="T9570" i="15"/>
  <c r="T9569" i="15"/>
  <c r="T9568" i="15"/>
  <c r="T9567" i="15"/>
  <c r="T9566" i="15"/>
  <c r="T9565" i="15"/>
  <c r="T9564" i="15"/>
  <c r="T9563" i="15"/>
  <c r="T9562" i="15"/>
  <c r="T9561" i="15"/>
  <c r="T9560" i="15"/>
  <c r="T9559" i="15"/>
  <c r="T9558" i="15"/>
  <c r="T9557" i="15"/>
  <c r="T9556" i="15"/>
  <c r="T9555" i="15"/>
  <c r="T9554" i="15"/>
  <c r="T9553" i="15"/>
  <c r="T9552" i="15"/>
  <c r="T9551" i="15"/>
  <c r="T9550" i="15"/>
  <c r="T9549" i="15"/>
  <c r="T9548" i="15"/>
  <c r="T9547" i="15"/>
  <c r="T9546" i="15"/>
  <c r="T9545" i="15"/>
  <c r="T9544" i="15"/>
  <c r="T9543" i="15"/>
  <c r="T9542" i="15"/>
  <c r="T9541" i="15"/>
  <c r="T9540" i="15"/>
  <c r="T9539" i="15"/>
  <c r="T9538" i="15"/>
  <c r="T9537" i="15"/>
  <c r="T9536" i="15"/>
  <c r="T9535" i="15"/>
  <c r="T9534" i="15"/>
  <c r="T9533" i="15"/>
  <c r="T9532" i="15"/>
  <c r="T9531" i="15"/>
  <c r="T9530" i="15"/>
  <c r="T9529" i="15"/>
  <c r="T9528" i="15"/>
  <c r="T9527" i="15"/>
  <c r="T9526" i="15"/>
  <c r="T9525" i="15"/>
  <c r="T9524" i="15"/>
  <c r="T9523" i="15"/>
  <c r="T9522" i="15"/>
  <c r="T9521" i="15"/>
  <c r="T9520" i="15"/>
  <c r="T9519" i="15"/>
  <c r="T9518" i="15"/>
  <c r="T9517" i="15"/>
  <c r="T9516" i="15"/>
  <c r="T9515" i="15"/>
  <c r="T9514" i="15"/>
  <c r="T9513" i="15"/>
  <c r="T9512" i="15"/>
  <c r="T9511" i="15"/>
  <c r="T9510" i="15"/>
  <c r="T9509" i="15"/>
  <c r="T9508" i="15"/>
  <c r="T9507" i="15"/>
  <c r="T9506" i="15"/>
  <c r="T9505" i="15"/>
  <c r="T9504" i="15"/>
  <c r="T9503" i="15"/>
  <c r="T9502" i="15"/>
  <c r="T9501" i="15"/>
  <c r="T9500" i="15"/>
  <c r="T9499" i="15"/>
  <c r="T9498" i="15"/>
  <c r="T9497" i="15"/>
  <c r="T9496" i="15"/>
  <c r="T9495" i="15"/>
  <c r="T9494" i="15"/>
  <c r="T9493" i="15"/>
  <c r="T9492" i="15"/>
  <c r="T9491" i="15"/>
  <c r="T9490" i="15"/>
  <c r="T9489" i="15"/>
  <c r="T9488" i="15"/>
  <c r="T9487" i="15"/>
  <c r="T9486" i="15"/>
  <c r="T9485" i="15"/>
  <c r="T9484" i="15"/>
  <c r="T9483" i="15"/>
  <c r="T9482" i="15"/>
  <c r="T9481" i="15"/>
  <c r="T9480" i="15"/>
  <c r="T9479" i="15"/>
  <c r="T9478" i="15"/>
  <c r="T9477" i="15"/>
  <c r="T9476" i="15"/>
  <c r="T9475" i="15"/>
  <c r="T9474" i="15"/>
  <c r="T9473" i="15"/>
  <c r="T9472" i="15"/>
  <c r="T9471" i="15"/>
  <c r="T9470" i="15"/>
  <c r="T9469" i="15"/>
  <c r="T9468" i="15"/>
  <c r="T9467" i="15"/>
  <c r="T9466" i="15"/>
  <c r="T9465" i="15"/>
  <c r="T9464" i="15"/>
  <c r="T9463" i="15"/>
  <c r="T9462" i="15"/>
  <c r="T9461" i="15"/>
  <c r="T9460" i="15"/>
  <c r="T9459" i="15"/>
  <c r="T9458" i="15"/>
  <c r="T9457" i="15"/>
  <c r="T9456" i="15"/>
  <c r="T9455" i="15"/>
  <c r="T9454" i="15"/>
  <c r="T9453" i="15"/>
  <c r="T9452" i="15"/>
  <c r="T9451" i="15"/>
  <c r="T9450" i="15"/>
  <c r="T9449" i="15"/>
  <c r="T9448" i="15"/>
  <c r="T9447" i="15"/>
  <c r="T9446" i="15"/>
  <c r="T9445" i="15"/>
  <c r="T9444" i="15"/>
  <c r="T9443" i="15"/>
  <c r="T9442" i="15"/>
  <c r="T9441" i="15"/>
  <c r="T9440" i="15"/>
  <c r="T9439" i="15"/>
  <c r="T9438" i="15"/>
  <c r="T9437" i="15"/>
  <c r="T9436" i="15"/>
  <c r="T9435" i="15"/>
  <c r="T9434" i="15"/>
  <c r="T9433" i="15"/>
  <c r="T9432" i="15"/>
  <c r="T9431" i="15"/>
  <c r="T9430" i="15"/>
  <c r="T9429" i="15"/>
  <c r="T9428" i="15"/>
  <c r="T9427" i="15"/>
  <c r="T9426" i="15"/>
  <c r="T9425" i="15"/>
  <c r="T9424" i="15"/>
  <c r="T9423" i="15"/>
  <c r="T9422" i="15"/>
  <c r="T9421" i="15"/>
  <c r="T9420" i="15"/>
  <c r="T9419" i="15"/>
  <c r="T9418" i="15"/>
  <c r="T9417" i="15"/>
  <c r="T9416" i="15"/>
  <c r="T9415" i="15"/>
  <c r="T9414" i="15"/>
  <c r="T9413" i="15"/>
  <c r="T9412" i="15"/>
  <c r="T9411" i="15"/>
  <c r="T9410" i="15"/>
  <c r="T9409" i="15"/>
  <c r="T9408" i="15"/>
  <c r="T9407" i="15"/>
  <c r="T9406" i="15"/>
  <c r="T9405" i="15"/>
  <c r="T9404" i="15"/>
  <c r="T9403" i="15"/>
  <c r="T9402" i="15"/>
  <c r="T9401" i="15"/>
  <c r="T9400" i="15"/>
  <c r="T9399" i="15"/>
  <c r="T9398" i="15"/>
  <c r="T9397" i="15"/>
  <c r="T9396" i="15"/>
  <c r="T9395" i="15"/>
  <c r="T9394" i="15"/>
  <c r="T9393" i="15"/>
  <c r="T9392" i="15"/>
  <c r="T9391" i="15"/>
  <c r="T9390" i="15"/>
  <c r="T9389" i="15"/>
  <c r="T9388" i="15"/>
  <c r="T9387" i="15"/>
  <c r="T9386" i="15"/>
  <c r="T9385" i="15"/>
  <c r="T9384" i="15"/>
  <c r="T9383" i="15"/>
  <c r="T9382" i="15"/>
  <c r="T9381" i="15"/>
  <c r="T9380" i="15"/>
  <c r="T9379" i="15"/>
  <c r="T9378" i="15"/>
  <c r="T9377" i="15"/>
  <c r="T9376" i="15"/>
  <c r="T9375" i="15"/>
  <c r="T9374" i="15"/>
  <c r="T9373" i="15"/>
  <c r="T9372" i="15"/>
  <c r="T9371" i="15"/>
  <c r="T9370" i="15"/>
  <c r="T9369" i="15"/>
  <c r="T9368" i="15"/>
  <c r="T9367" i="15"/>
  <c r="T9366" i="15"/>
  <c r="T9365" i="15"/>
  <c r="T9364" i="15"/>
  <c r="T9363" i="15"/>
  <c r="T9362" i="15"/>
  <c r="T9361" i="15"/>
  <c r="T9360" i="15"/>
  <c r="T9359" i="15"/>
  <c r="T9358" i="15"/>
  <c r="T9357" i="15"/>
  <c r="T9356" i="15"/>
  <c r="T9355" i="15"/>
  <c r="T9354" i="15"/>
  <c r="T9353" i="15"/>
  <c r="T9352" i="15"/>
  <c r="T9351" i="15"/>
  <c r="T9350" i="15"/>
  <c r="T9349" i="15"/>
  <c r="T9348" i="15"/>
  <c r="T9347" i="15"/>
  <c r="T9346" i="15"/>
  <c r="T9345" i="15"/>
  <c r="T9344" i="15"/>
  <c r="T9343" i="15"/>
  <c r="T9342" i="15"/>
  <c r="T9341" i="15"/>
  <c r="T9340" i="15"/>
  <c r="T9339" i="15"/>
  <c r="T9338" i="15"/>
  <c r="T9337" i="15"/>
  <c r="T9336" i="15"/>
  <c r="T9335" i="15"/>
  <c r="T9334" i="15"/>
  <c r="T9333" i="15"/>
  <c r="T9332" i="15"/>
  <c r="T9331" i="15"/>
  <c r="T9330" i="15"/>
  <c r="T9329" i="15"/>
  <c r="T9328" i="15"/>
  <c r="T9327" i="15"/>
  <c r="T9326" i="15"/>
  <c r="T9325" i="15"/>
  <c r="T9324" i="15"/>
  <c r="T9323" i="15"/>
  <c r="T9322" i="15"/>
  <c r="T9321" i="15"/>
  <c r="T9320" i="15"/>
  <c r="T9319" i="15"/>
  <c r="T9318" i="15"/>
  <c r="T9317" i="15"/>
  <c r="T9316" i="15"/>
  <c r="T9315" i="15"/>
  <c r="T9314" i="15"/>
  <c r="T9313" i="15"/>
  <c r="T9312" i="15"/>
  <c r="T9311" i="15"/>
  <c r="T9310" i="15"/>
  <c r="T9309" i="15"/>
  <c r="T9308" i="15"/>
  <c r="T9307" i="15"/>
  <c r="T9306" i="15"/>
  <c r="T9305" i="15"/>
  <c r="T9304" i="15"/>
  <c r="T9303" i="15"/>
  <c r="T9302" i="15"/>
  <c r="T9301" i="15"/>
  <c r="T9300" i="15"/>
  <c r="T9299" i="15"/>
  <c r="T9298" i="15"/>
  <c r="T9297" i="15"/>
  <c r="T9296" i="15"/>
  <c r="T9295" i="15"/>
  <c r="T9294" i="15"/>
  <c r="T9293" i="15"/>
  <c r="T9292" i="15"/>
  <c r="T9291" i="15"/>
  <c r="T9290" i="15"/>
  <c r="T9289" i="15"/>
  <c r="T9288" i="15"/>
  <c r="T9287" i="15"/>
  <c r="T9286" i="15"/>
  <c r="T9285" i="15"/>
  <c r="T9284" i="15"/>
  <c r="T9283" i="15"/>
  <c r="T9282" i="15"/>
  <c r="T9281" i="15"/>
  <c r="T9280" i="15"/>
  <c r="T9279" i="15"/>
  <c r="T9278" i="15"/>
  <c r="T9277" i="15"/>
  <c r="T9276" i="15"/>
  <c r="T9275" i="15"/>
  <c r="T9274" i="15"/>
  <c r="T9273" i="15"/>
  <c r="T9272" i="15"/>
  <c r="T9271" i="15"/>
  <c r="T9270" i="15"/>
  <c r="T9269" i="15"/>
  <c r="T9268" i="15"/>
  <c r="T9267" i="15"/>
  <c r="T9266" i="15"/>
  <c r="T9265" i="15"/>
  <c r="T9264" i="15"/>
  <c r="T9263" i="15"/>
  <c r="T9262" i="15"/>
  <c r="T9261" i="15"/>
  <c r="T9260" i="15"/>
  <c r="T9259" i="15"/>
  <c r="T9258" i="15"/>
  <c r="T9257" i="15"/>
  <c r="T9256" i="15"/>
  <c r="T9255" i="15"/>
  <c r="T9254" i="15"/>
  <c r="T9253" i="15"/>
  <c r="T9252" i="15"/>
  <c r="T9251" i="15"/>
  <c r="T9250" i="15"/>
  <c r="T9249" i="15"/>
  <c r="T9248" i="15"/>
  <c r="T9247" i="15"/>
  <c r="T9246" i="15"/>
  <c r="T9245" i="15"/>
  <c r="T9244" i="15"/>
  <c r="T9243" i="15"/>
  <c r="T9242" i="15"/>
  <c r="T9241" i="15"/>
  <c r="T9240" i="15"/>
  <c r="T9239" i="15"/>
  <c r="T9238" i="15"/>
  <c r="T9237" i="15"/>
  <c r="T9236" i="15"/>
  <c r="T9235" i="15"/>
  <c r="T9234" i="15"/>
  <c r="T9233" i="15"/>
  <c r="T9232" i="15"/>
  <c r="T9231" i="15"/>
  <c r="T9230" i="15"/>
  <c r="T9229" i="15"/>
  <c r="T9228" i="15"/>
  <c r="T9227" i="15"/>
  <c r="T9226" i="15"/>
  <c r="T9225" i="15"/>
  <c r="T9224" i="15"/>
  <c r="T9223" i="15"/>
  <c r="T9222" i="15"/>
  <c r="T9221" i="15"/>
  <c r="T9220" i="15"/>
  <c r="T9219" i="15"/>
  <c r="T9218" i="15"/>
  <c r="T9217" i="15"/>
  <c r="T9216" i="15"/>
  <c r="T9215" i="15"/>
  <c r="T9214" i="15"/>
  <c r="T9213" i="15"/>
  <c r="T9212" i="15"/>
  <c r="T9211" i="15"/>
  <c r="T9210" i="15"/>
  <c r="T9209" i="15"/>
  <c r="T9208" i="15"/>
  <c r="T9207" i="15"/>
  <c r="T9206" i="15"/>
  <c r="T9205" i="15"/>
  <c r="T9204" i="15"/>
  <c r="T9203" i="15"/>
  <c r="T9202" i="15"/>
  <c r="T9201" i="15"/>
  <c r="T9200" i="15"/>
  <c r="T9199" i="15"/>
  <c r="T9198" i="15"/>
  <c r="T9197" i="15"/>
  <c r="T9196" i="15"/>
  <c r="T9195" i="15"/>
  <c r="T9194" i="15"/>
  <c r="T9193" i="15"/>
  <c r="T9192" i="15"/>
  <c r="T9191" i="15"/>
  <c r="T9190" i="15"/>
  <c r="T9189" i="15"/>
  <c r="T9188" i="15"/>
  <c r="T9187" i="15"/>
  <c r="T9186" i="15"/>
  <c r="T9185" i="15"/>
  <c r="T9184" i="15"/>
  <c r="T9183" i="15"/>
  <c r="T9182" i="15"/>
  <c r="T9181" i="15"/>
  <c r="T9180" i="15"/>
  <c r="T9179" i="15"/>
  <c r="T9178" i="15"/>
  <c r="T9177" i="15"/>
  <c r="T9176" i="15"/>
  <c r="T9175" i="15"/>
  <c r="T9174" i="15"/>
  <c r="T9173" i="15"/>
  <c r="T9172" i="15"/>
  <c r="T9171" i="15"/>
  <c r="T9170" i="15"/>
  <c r="T9169" i="15"/>
  <c r="T9168" i="15"/>
  <c r="T9167" i="15"/>
  <c r="T9166" i="15"/>
  <c r="T9165" i="15"/>
  <c r="T9164" i="15"/>
  <c r="T9163" i="15"/>
  <c r="T9162" i="15"/>
  <c r="T9161" i="15"/>
  <c r="T9160" i="15"/>
  <c r="T9159" i="15"/>
  <c r="T9158" i="15"/>
  <c r="T9157" i="15"/>
  <c r="T9156" i="15"/>
  <c r="T9155" i="15"/>
  <c r="T9154" i="15"/>
  <c r="T9153" i="15"/>
  <c r="T9152" i="15"/>
  <c r="T9151" i="15"/>
  <c r="T9150" i="15"/>
  <c r="T9149" i="15"/>
  <c r="T9148" i="15"/>
  <c r="T9147" i="15"/>
  <c r="T9146" i="15"/>
  <c r="T9145" i="15"/>
  <c r="T9144" i="15"/>
  <c r="T9143" i="15"/>
  <c r="T9142" i="15"/>
  <c r="T9141" i="15"/>
  <c r="T9140" i="15"/>
  <c r="T9139" i="15"/>
  <c r="T9138" i="15"/>
  <c r="T9137" i="15"/>
  <c r="T9136" i="15"/>
  <c r="T9135" i="15"/>
  <c r="T9134" i="15"/>
  <c r="T9133" i="15"/>
  <c r="T9132" i="15"/>
  <c r="T9131" i="15"/>
  <c r="T9130" i="15"/>
  <c r="T9129" i="15"/>
  <c r="T9128" i="15"/>
  <c r="T9127" i="15"/>
  <c r="T9126" i="15"/>
  <c r="T9125" i="15"/>
  <c r="T9124" i="15"/>
  <c r="T9123" i="15"/>
  <c r="T9122" i="15"/>
  <c r="T9121" i="15"/>
  <c r="T9120" i="15"/>
  <c r="T9119" i="15"/>
  <c r="T9118" i="15"/>
  <c r="T9117" i="15"/>
  <c r="T9116" i="15"/>
  <c r="T9115" i="15"/>
  <c r="T9114" i="15"/>
  <c r="T9113" i="15"/>
  <c r="T9112" i="15"/>
  <c r="T9111" i="15"/>
  <c r="T9110" i="15"/>
  <c r="T9109" i="15"/>
  <c r="T9108" i="15"/>
  <c r="T9107" i="15"/>
  <c r="T9106" i="15"/>
  <c r="T9105" i="15"/>
  <c r="T9104" i="15"/>
  <c r="T9103" i="15"/>
  <c r="T9102" i="15"/>
  <c r="T9101" i="15"/>
  <c r="T9100" i="15"/>
  <c r="T9099" i="15"/>
  <c r="T9098" i="15"/>
  <c r="T9097" i="15"/>
  <c r="T9096" i="15"/>
  <c r="T9095" i="15"/>
  <c r="T9094" i="15"/>
  <c r="T9093" i="15"/>
  <c r="T9092" i="15"/>
  <c r="T9091" i="15"/>
  <c r="T9090" i="15"/>
  <c r="T9089" i="15"/>
  <c r="T9088" i="15"/>
  <c r="T9087" i="15"/>
  <c r="T9086" i="15"/>
  <c r="T9085" i="15"/>
  <c r="T9084" i="15"/>
  <c r="T9083" i="15"/>
  <c r="T9082" i="15"/>
  <c r="T9081" i="15"/>
  <c r="T9080" i="15"/>
  <c r="T9079" i="15"/>
  <c r="T9078" i="15"/>
  <c r="T9077" i="15"/>
  <c r="T9076" i="15"/>
  <c r="T9075" i="15"/>
  <c r="T9074" i="15"/>
  <c r="T9073" i="15"/>
  <c r="T9072" i="15"/>
  <c r="T9071" i="15"/>
  <c r="T9070" i="15"/>
  <c r="T9069" i="15"/>
  <c r="T9068" i="15"/>
  <c r="T9067" i="15"/>
  <c r="T9066" i="15"/>
  <c r="T9065" i="15"/>
  <c r="T9064" i="15"/>
  <c r="T9063" i="15"/>
  <c r="T9062" i="15"/>
  <c r="T9061" i="15"/>
  <c r="T9060" i="15"/>
  <c r="T9059" i="15"/>
  <c r="T9058" i="15"/>
  <c r="T9057" i="15"/>
  <c r="T9056" i="15"/>
  <c r="T9055" i="15"/>
  <c r="T9054" i="15"/>
  <c r="T9053" i="15"/>
  <c r="T9052" i="15"/>
  <c r="T9051" i="15"/>
  <c r="T9050" i="15"/>
  <c r="T9049" i="15"/>
  <c r="T9048" i="15"/>
  <c r="T9047" i="15"/>
  <c r="T9046" i="15"/>
  <c r="T9045" i="15"/>
  <c r="T9044" i="15"/>
  <c r="T9043" i="15"/>
  <c r="T9042" i="15"/>
  <c r="T9041" i="15"/>
  <c r="T9040" i="15"/>
  <c r="T9039" i="15"/>
  <c r="T9038" i="15"/>
  <c r="T9037" i="15"/>
  <c r="T9036" i="15"/>
  <c r="T9035" i="15"/>
  <c r="T9034" i="15"/>
  <c r="T9033" i="15"/>
  <c r="T9032" i="15"/>
  <c r="T9031" i="15"/>
  <c r="T9030" i="15"/>
  <c r="T9029" i="15"/>
  <c r="T9028" i="15"/>
  <c r="T9027" i="15"/>
  <c r="T9026" i="15"/>
  <c r="T9025" i="15"/>
  <c r="T9024" i="15"/>
  <c r="T9023" i="15"/>
  <c r="T9022" i="15"/>
  <c r="T9021" i="15"/>
  <c r="T9020" i="15"/>
  <c r="T9019" i="15"/>
  <c r="T9018" i="15"/>
  <c r="T9017" i="15"/>
  <c r="T9016" i="15"/>
  <c r="T9015" i="15"/>
  <c r="T9014" i="15"/>
  <c r="T9013" i="15"/>
  <c r="T9012" i="15"/>
  <c r="T9011" i="15"/>
  <c r="T9010" i="15"/>
  <c r="T9009" i="15"/>
  <c r="T9008" i="15"/>
  <c r="T9007" i="15"/>
  <c r="T9006" i="15"/>
  <c r="T9005" i="15"/>
  <c r="T9004" i="15"/>
  <c r="T9003" i="15"/>
  <c r="T9002" i="15"/>
  <c r="T9001" i="15"/>
  <c r="T9000" i="15"/>
  <c r="T8999" i="15"/>
  <c r="T8998" i="15"/>
  <c r="T8997" i="15"/>
  <c r="T8996" i="15"/>
  <c r="T8995" i="15"/>
  <c r="T8994" i="15"/>
  <c r="T8993" i="15"/>
  <c r="T8992" i="15"/>
  <c r="T8991" i="15"/>
  <c r="T8990" i="15"/>
  <c r="T8989" i="15"/>
  <c r="T8988" i="15"/>
  <c r="T8987" i="15"/>
  <c r="T8986" i="15"/>
  <c r="T8985" i="15"/>
  <c r="T8984" i="15"/>
  <c r="T8983" i="15"/>
  <c r="T8982" i="15"/>
  <c r="T8981" i="15"/>
  <c r="T8980" i="15"/>
  <c r="T8979" i="15"/>
  <c r="T8978" i="15"/>
  <c r="T8977" i="15"/>
  <c r="T8976" i="15"/>
  <c r="T8975" i="15"/>
  <c r="T8974" i="15"/>
  <c r="T8973" i="15"/>
  <c r="T8972" i="15"/>
  <c r="T8971" i="15"/>
  <c r="T8970" i="15"/>
  <c r="T8969" i="15"/>
  <c r="T8968" i="15"/>
  <c r="T8967" i="15"/>
  <c r="T8966" i="15"/>
  <c r="T8965" i="15"/>
  <c r="T8964" i="15"/>
  <c r="T8963" i="15"/>
  <c r="T8962" i="15"/>
  <c r="T8961" i="15"/>
  <c r="T8960" i="15"/>
  <c r="T8959" i="15"/>
  <c r="T8958" i="15"/>
  <c r="T8957" i="15"/>
  <c r="T8956" i="15"/>
  <c r="T8955" i="15"/>
  <c r="T8954" i="15"/>
  <c r="T8953" i="15"/>
  <c r="T8952" i="15"/>
  <c r="T8951" i="15"/>
  <c r="T8950" i="15"/>
  <c r="T8949" i="15"/>
  <c r="T8948" i="15"/>
  <c r="T8947" i="15"/>
  <c r="T8946" i="15"/>
  <c r="T8945" i="15"/>
  <c r="T8944" i="15"/>
  <c r="T8943" i="15"/>
  <c r="T8942" i="15"/>
  <c r="T8941" i="15"/>
  <c r="T8940" i="15"/>
  <c r="T8939" i="15"/>
  <c r="T8938" i="15"/>
  <c r="T8937" i="15"/>
  <c r="T8936" i="15"/>
  <c r="T8935" i="15"/>
  <c r="T8934" i="15"/>
  <c r="T8933" i="15"/>
  <c r="T8932" i="15"/>
  <c r="T8931" i="15"/>
  <c r="T8930" i="15"/>
  <c r="T8929" i="15"/>
  <c r="T8928" i="15"/>
  <c r="T8927" i="15"/>
  <c r="T8926" i="15"/>
  <c r="T8925" i="15"/>
  <c r="T8924" i="15"/>
  <c r="T8923" i="15"/>
  <c r="T8922" i="15"/>
  <c r="T8921" i="15"/>
  <c r="T8920" i="15"/>
  <c r="T8919" i="15"/>
  <c r="T8918" i="15"/>
  <c r="T8917" i="15"/>
  <c r="T8916" i="15"/>
  <c r="T8915" i="15"/>
  <c r="T8914" i="15"/>
  <c r="T8913" i="15"/>
  <c r="T8912" i="15"/>
  <c r="T8911" i="15"/>
  <c r="T8910" i="15"/>
  <c r="T8909" i="15"/>
  <c r="T8908" i="15"/>
  <c r="T8907" i="15"/>
  <c r="T8906" i="15"/>
  <c r="T8905" i="15"/>
  <c r="T8904" i="15"/>
  <c r="T8903" i="15"/>
  <c r="T8902" i="15"/>
  <c r="T8901" i="15"/>
  <c r="T8900" i="15"/>
  <c r="T8899" i="15"/>
  <c r="T8898" i="15"/>
  <c r="T8897" i="15"/>
  <c r="T8896" i="15"/>
  <c r="T8895" i="15"/>
  <c r="T8894" i="15"/>
  <c r="T8893" i="15"/>
  <c r="T8892" i="15"/>
  <c r="T8891" i="15"/>
  <c r="T8890" i="15"/>
  <c r="T8889" i="15"/>
  <c r="T8888" i="15"/>
  <c r="T8887" i="15"/>
  <c r="T8886" i="15"/>
  <c r="T8885" i="15"/>
  <c r="T8884" i="15"/>
  <c r="T8883" i="15"/>
  <c r="T8882" i="15"/>
  <c r="T8881" i="15"/>
  <c r="T8880" i="15"/>
  <c r="T8879" i="15"/>
  <c r="T8878" i="15"/>
  <c r="T8877" i="15"/>
  <c r="T8876" i="15"/>
  <c r="T8875" i="15"/>
  <c r="T8874" i="15"/>
  <c r="T8873" i="15"/>
  <c r="T8872" i="15"/>
  <c r="T8871" i="15"/>
  <c r="T8870" i="15"/>
  <c r="T8869" i="15"/>
  <c r="T8868" i="15"/>
  <c r="T8867" i="15"/>
  <c r="T8866" i="15"/>
  <c r="T8865" i="15"/>
  <c r="T8864" i="15"/>
  <c r="T8863" i="15"/>
  <c r="T8862" i="15"/>
  <c r="T8861" i="15"/>
  <c r="T8860" i="15"/>
  <c r="T8859" i="15"/>
  <c r="T8858" i="15"/>
  <c r="T8857" i="15"/>
  <c r="T8856" i="15"/>
  <c r="T8855" i="15"/>
  <c r="T8854" i="15"/>
  <c r="T8853" i="15"/>
  <c r="T8852" i="15"/>
  <c r="T8851" i="15"/>
  <c r="T8850" i="15"/>
  <c r="T8849" i="15"/>
  <c r="T8848" i="15"/>
  <c r="T8847" i="15"/>
  <c r="T8846" i="15"/>
  <c r="T8845" i="15"/>
  <c r="T8844" i="15"/>
  <c r="T8843" i="15"/>
  <c r="T8842" i="15"/>
  <c r="T8841" i="15"/>
  <c r="T8840" i="15"/>
  <c r="T8839" i="15"/>
  <c r="T8838" i="15"/>
  <c r="T8837" i="15"/>
  <c r="T8836" i="15"/>
  <c r="T8835" i="15"/>
  <c r="T8834" i="15"/>
  <c r="T8833" i="15"/>
  <c r="T8832" i="15"/>
  <c r="T8831" i="15"/>
  <c r="T8830" i="15"/>
  <c r="T8829" i="15"/>
  <c r="T8828" i="15"/>
  <c r="T8827" i="15"/>
  <c r="T8826" i="15"/>
  <c r="T8825" i="15"/>
  <c r="T8824" i="15"/>
  <c r="T8823" i="15"/>
  <c r="T8822" i="15"/>
  <c r="T8821" i="15"/>
  <c r="T8820" i="15"/>
  <c r="T8819" i="15"/>
  <c r="T8818" i="15"/>
  <c r="T8817" i="15"/>
  <c r="T8816" i="15"/>
  <c r="T8815" i="15"/>
  <c r="T8814" i="15"/>
  <c r="T8813" i="15"/>
  <c r="T8812" i="15"/>
  <c r="T8811" i="15"/>
  <c r="T8810" i="15"/>
  <c r="T8809" i="15"/>
  <c r="T8808" i="15"/>
  <c r="T8807" i="15"/>
  <c r="T8806" i="15"/>
  <c r="T8805" i="15"/>
  <c r="T8804" i="15"/>
  <c r="T8803" i="15"/>
  <c r="T8802" i="15"/>
  <c r="T8801" i="15"/>
  <c r="T8800" i="15"/>
  <c r="T8799" i="15"/>
  <c r="T8798" i="15"/>
  <c r="T8797" i="15"/>
  <c r="T8796" i="15"/>
  <c r="T8795" i="15"/>
  <c r="T8794" i="15"/>
  <c r="T8793" i="15"/>
  <c r="T8792" i="15"/>
  <c r="T8791" i="15"/>
  <c r="T8790" i="15"/>
  <c r="T8789" i="15"/>
  <c r="T8788" i="15"/>
  <c r="T8787" i="15"/>
  <c r="T8786" i="15"/>
  <c r="T8785" i="15"/>
  <c r="T8784" i="15"/>
  <c r="T8783" i="15"/>
  <c r="T8782" i="15"/>
  <c r="T8781" i="15"/>
  <c r="T8780" i="15"/>
  <c r="T8779" i="15"/>
  <c r="T8778" i="15"/>
  <c r="T8777" i="15"/>
  <c r="T8776" i="15"/>
  <c r="T8775" i="15"/>
  <c r="T8774" i="15"/>
  <c r="T8773" i="15"/>
  <c r="T8772" i="15"/>
  <c r="T8771" i="15"/>
  <c r="T8770" i="15"/>
  <c r="T8769" i="15"/>
  <c r="T8768" i="15"/>
  <c r="T8767" i="15"/>
  <c r="T8766" i="15"/>
  <c r="T8765" i="15"/>
  <c r="T8764" i="15"/>
  <c r="T8763" i="15"/>
  <c r="T8762" i="15"/>
  <c r="T8761" i="15"/>
  <c r="T8760" i="15"/>
  <c r="T8759" i="15"/>
  <c r="T8758" i="15"/>
  <c r="T8757" i="15"/>
  <c r="T8756" i="15"/>
  <c r="T8755" i="15"/>
  <c r="T8754" i="15"/>
  <c r="T8753" i="15"/>
  <c r="T8752" i="15"/>
  <c r="T8751" i="15"/>
  <c r="T8750" i="15"/>
  <c r="T8749" i="15"/>
  <c r="T8748" i="15"/>
  <c r="T8747" i="15"/>
  <c r="T8746" i="15"/>
  <c r="T8745" i="15"/>
  <c r="T8744" i="15"/>
  <c r="T8743" i="15"/>
  <c r="T8742" i="15"/>
  <c r="T8741" i="15"/>
  <c r="T8740" i="15"/>
  <c r="T8739" i="15"/>
  <c r="T8738" i="15"/>
  <c r="T8737" i="15"/>
  <c r="T8736" i="15"/>
  <c r="T8735" i="15"/>
  <c r="T8734" i="15"/>
  <c r="T8733" i="15"/>
  <c r="T8732" i="15"/>
  <c r="T8731" i="15"/>
  <c r="T8730" i="15"/>
  <c r="T8729" i="15"/>
  <c r="T8728" i="15"/>
  <c r="T8727" i="15"/>
  <c r="T8726" i="15"/>
  <c r="T8725" i="15"/>
  <c r="T8724" i="15"/>
  <c r="T8723" i="15"/>
  <c r="T8722" i="15"/>
  <c r="T8721" i="15"/>
  <c r="T8720" i="15"/>
  <c r="T8719" i="15"/>
  <c r="T8718" i="15"/>
  <c r="T8717" i="15"/>
  <c r="T8716" i="15"/>
  <c r="T8715" i="15"/>
  <c r="T8714" i="15"/>
  <c r="T8713" i="15"/>
  <c r="T8712" i="15"/>
  <c r="T8711" i="15"/>
  <c r="T8710" i="15"/>
  <c r="T8709" i="15"/>
  <c r="T8708" i="15"/>
  <c r="T8707" i="15"/>
  <c r="T8706" i="15"/>
  <c r="T8705" i="15"/>
  <c r="T8704" i="15"/>
  <c r="T8703" i="15"/>
  <c r="T8702" i="15"/>
  <c r="T8701" i="15"/>
  <c r="T8700" i="15"/>
  <c r="T8699" i="15"/>
  <c r="T8698" i="15"/>
  <c r="T8697" i="15"/>
  <c r="T8696" i="15"/>
  <c r="T8695" i="15"/>
  <c r="T8694" i="15"/>
  <c r="T8693" i="15"/>
  <c r="T8692" i="15"/>
  <c r="T8691" i="15"/>
  <c r="T8690" i="15"/>
  <c r="T8689" i="15"/>
  <c r="T8688" i="15"/>
  <c r="T8687" i="15"/>
  <c r="T8686" i="15"/>
  <c r="T8685" i="15"/>
  <c r="T8684" i="15"/>
  <c r="T8683" i="15"/>
  <c r="T8682" i="15"/>
  <c r="T8681" i="15"/>
  <c r="T8680" i="15"/>
  <c r="T8679" i="15"/>
  <c r="T8678" i="15"/>
  <c r="T8677" i="15"/>
  <c r="T8676" i="15"/>
  <c r="T8675" i="15"/>
  <c r="T8674" i="15"/>
  <c r="T8673" i="15"/>
  <c r="T8672" i="15"/>
  <c r="T8671" i="15"/>
  <c r="T8670" i="15"/>
  <c r="T8669" i="15"/>
  <c r="T8668" i="15"/>
  <c r="T8667" i="15"/>
  <c r="T8666" i="15"/>
  <c r="T8665" i="15"/>
  <c r="T8664" i="15"/>
  <c r="T8663" i="15"/>
  <c r="T8662" i="15"/>
  <c r="T8661" i="15"/>
  <c r="T8660" i="15"/>
  <c r="T8659" i="15"/>
  <c r="T8658" i="15"/>
  <c r="T8657" i="15"/>
  <c r="T8656" i="15"/>
  <c r="T8655" i="15"/>
  <c r="T8654" i="15"/>
  <c r="T8653" i="15"/>
  <c r="T8652" i="15"/>
  <c r="T8651" i="15"/>
  <c r="T8650" i="15"/>
  <c r="T8649" i="15"/>
  <c r="T8648" i="15"/>
  <c r="T8647" i="15"/>
  <c r="T8646" i="15"/>
  <c r="T8645" i="15"/>
  <c r="T8644" i="15"/>
  <c r="T8643" i="15"/>
  <c r="T8642" i="15"/>
  <c r="T8641" i="15"/>
  <c r="T8640" i="15"/>
  <c r="T8639" i="15"/>
  <c r="T8638" i="15"/>
  <c r="T8637" i="15"/>
  <c r="T8636" i="15"/>
  <c r="T8635" i="15"/>
  <c r="T8634" i="15"/>
  <c r="T8633" i="15"/>
  <c r="T8632" i="15"/>
  <c r="T8631" i="15"/>
  <c r="T8630" i="15"/>
  <c r="T8629" i="15"/>
  <c r="T8628" i="15"/>
  <c r="T8627" i="15"/>
  <c r="T8626" i="15"/>
  <c r="T8625" i="15"/>
  <c r="T8624" i="15"/>
  <c r="T8623" i="15"/>
  <c r="T8622" i="15"/>
  <c r="T8621" i="15"/>
  <c r="T8620" i="15"/>
  <c r="T8619" i="15"/>
  <c r="T8618" i="15"/>
  <c r="T8617" i="15"/>
  <c r="T8616" i="15"/>
  <c r="T8615" i="15"/>
  <c r="T8614" i="15"/>
  <c r="T8613" i="15"/>
  <c r="T8612" i="15"/>
  <c r="T8611" i="15"/>
  <c r="T8610" i="15"/>
  <c r="T8609" i="15"/>
  <c r="T8608" i="15"/>
  <c r="T8607" i="15"/>
  <c r="T8606" i="15"/>
  <c r="T8605" i="15"/>
  <c r="T8604" i="15"/>
  <c r="T8603" i="15"/>
  <c r="T8602" i="15"/>
  <c r="T8601" i="15"/>
  <c r="T8600" i="15"/>
  <c r="T8599" i="15"/>
  <c r="T8598" i="15"/>
  <c r="T8597" i="15"/>
  <c r="T8596" i="15"/>
  <c r="T8595" i="15"/>
  <c r="T8594" i="15"/>
  <c r="T8593" i="15"/>
  <c r="T8592" i="15"/>
  <c r="T8591" i="15"/>
  <c r="T8590" i="15"/>
  <c r="T8589" i="15"/>
  <c r="T8588" i="15"/>
  <c r="T8587" i="15"/>
  <c r="T8586" i="15"/>
  <c r="T8585" i="15"/>
  <c r="T8584" i="15"/>
  <c r="T8583" i="15"/>
  <c r="T8582" i="15"/>
  <c r="T8581" i="15"/>
  <c r="T8580" i="15"/>
  <c r="T8579" i="15"/>
  <c r="T8578" i="15"/>
  <c r="T8577" i="15"/>
  <c r="T8576" i="15"/>
  <c r="T8575" i="15"/>
  <c r="T8574" i="15"/>
  <c r="T8573" i="15"/>
  <c r="T8572" i="15"/>
  <c r="T8571" i="15"/>
  <c r="T8570" i="15"/>
  <c r="T8569" i="15"/>
  <c r="T8568" i="15"/>
  <c r="T8567" i="15"/>
  <c r="T8566" i="15"/>
  <c r="T8565" i="15"/>
  <c r="T8564" i="15"/>
  <c r="T8563" i="15"/>
  <c r="T8562" i="15"/>
  <c r="T8561" i="15"/>
  <c r="T8560" i="15"/>
  <c r="T8559" i="15"/>
  <c r="T8558" i="15"/>
  <c r="T8557" i="15"/>
  <c r="T8556" i="15"/>
  <c r="T8555" i="15"/>
  <c r="T8554" i="15"/>
  <c r="T8553" i="15"/>
  <c r="T8552" i="15"/>
  <c r="T8551" i="15"/>
  <c r="T8550" i="15"/>
  <c r="T8549" i="15"/>
  <c r="T8548" i="15"/>
  <c r="T8547" i="15"/>
  <c r="T8546" i="15"/>
  <c r="T8545" i="15"/>
  <c r="T8544" i="15"/>
  <c r="T8543" i="15"/>
  <c r="T8542" i="15"/>
  <c r="T8541" i="15"/>
  <c r="T8540" i="15"/>
  <c r="T8539" i="15"/>
  <c r="T8538" i="15"/>
  <c r="T8537" i="15"/>
  <c r="T8536" i="15"/>
  <c r="T8535" i="15"/>
  <c r="T8534" i="15"/>
  <c r="T8533" i="15"/>
  <c r="T8532" i="15"/>
  <c r="T8531" i="15"/>
  <c r="T8530" i="15"/>
  <c r="T8529" i="15"/>
  <c r="T8528" i="15"/>
  <c r="T8527" i="15"/>
  <c r="T8526" i="15"/>
  <c r="T8525" i="15"/>
  <c r="T8524" i="15"/>
  <c r="T8523" i="15"/>
  <c r="T8522" i="15"/>
  <c r="T8521" i="15"/>
  <c r="T8520" i="15"/>
  <c r="T8519" i="15"/>
  <c r="T8518" i="15"/>
  <c r="T8517" i="15"/>
  <c r="T8516" i="15"/>
  <c r="T8515" i="15"/>
  <c r="T8514" i="15"/>
  <c r="T8513" i="15"/>
  <c r="T8512" i="15"/>
  <c r="T8511" i="15"/>
  <c r="T8510" i="15"/>
  <c r="T8509" i="15"/>
  <c r="T8508" i="15"/>
  <c r="T8507" i="15"/>
  <c r="T8506" i="15"/>
  <c r="T8505" i="15"/>
  <c r="T8504" i="15"/>
  <c r="T8503" i="15"/>
  <c r="T8502" i="15"/>
  <c r="T8501" i="15"/>
  <c r="T8500" i="15"/>
  <c r="T8499" i="15"/>
  <c r="T8498" i="15"/>
  <c r="T8497" i="15"/>
  <c r="T8496" i="15"/>
  <c r="T8495" i="15"/>
  <c r="T8494" i="15"/>
  <c r="T8493" i="15"/>
  <c r="T8492" i="15"/>
  <c r="T8491" i="15"/>
  <c r="T8490" i="15"/>
  <c r="T8489" i="15"/>
  <c r="T8488" i="15"/>
  <c r="T8487" i="15"/>
  <c r="T8486" i="15"/>
  <c r="T8485" i="15"/>
  <c r="T8484" i="15"/>
  <c r="T8483" i="15"/>
  <c r="T8482" i="15"/>
  <c r="T8481" i="15"/>
  <c r="T8480" i="15"/>
  <c r="T8479" i="15"/>
  <c r="T8478" i="15"/>
  <c r="T8477" i="15"/>
  <c r="T8476" i="15"/>
  <c r="T8475" i="15"/>
  <c r="T8474" i="15"/>
  <c r="T8473" i="15"/>
  <c r="T8472" i="15"/>
  <c r="T8471" i="15"/>
  <c r="T8470" i="15"/>
  <c r="T8469" i="15"/>
  <c r="T8468" i="15"/>
  <c r="T8467" i="15"/>
  <c r="T8466" i="15"/>
  <c r="T8465" i="15"/>
  <c r="T8464" i="15"/>
  <c r="T8463" i="15"/>
  <c r="T8462" i="15"/>
  <c r="T8461" i="15"/>
  <c r="T8460" i="15"/>
  <c r="T8459" i="15"/>
  <c r="T8458" i="15"/>
  <c r="T8457" i="15"/>
  <c r="T8456" i="15"/>
  <c r="T8455" i="15"/>
  <c r="T8454" i="15"/>
  <c r="T8453" i="15"/>
  <c r="T8452" i="15"/>
  <c r="T8451" i="15"/>
  <c r="T8450" i="15"/>
  <c r="T8449" i="15"/>
  <c r="T8448" i="15"/>
  <c r="T8447" i="15"/>
  <c r="T8446" i="15"/>
  <c r="T8445" i="15"/>
  <c r="T8444" i="15"/>
  <c r="T8443" i="15"/>
  <c r="T8442" i="15"/>
  <c r="T8441" i="15"/>
  <c r="T8440" i="15"/>
  <c r="T8439" i="15"/>
  <c r="T8438" i="15"/>
  <c r="T8437" i="15"/>
  <c r="T8436" i="15"/>
  <c r="T8435" i="15"/>
  <c r="T8434" i="15"/>
  <c r="T8433" i="15"/>
  <c r="T8432" i="15"/>
  <c r="T8431" i="15"/>
  <c r="T8430" i="15"/>
  <c r="T8429" i="15"/>
  <c r="T8428" i="15"/>
  <c r="T8427" i="15"/>
  <c r="T8426" i="15"/>
  <c r="T8425" i="15"/>
  <c r="T8424" i="15"/>
  <c r="T8423" i="15"/>
  <c r="T8422" i="15"/>
  <c r="T8421" i="15"/>
  <c r="T8420" i="15"/>
  <c r="T8419" i="15"/>
  <c r="T8418" i="15"/>
  <c r="T8417" i="15"/>
  <c r="T8416" i="15"/>
  <c r="T8415" i="15"/>
  <c r="T8414" i="15"/>
  <c r="T8413" i="15"/>
  <c r="T8412" i="15"/>
  <c r="T8411" i="15"/>
  <c r="T8410" i="15"/>
  <c r="T8409" i="15"/>
  <c r="T8408" i="15"/>
  <c r="T8407" i="15"/>
  <c r="T8406" i="15"/>
  <c r="T8405" i="15"/>
  <c r="T8404" i="15"/>
  <c r="T8403" i="15"/>
  <c r="T8402" i="15"/>
  <c r="T8401" i="15"/>
  <c r="T8400" i="15"/>
  <c r="T8399" i="15"/>
  <c r="T8398" i="15"/>
  <c r="T8397" i="15"/>
  <c r="T8396" i="15"/>
  <c r="T8395" i="15"/>
  <c r="T8394" i="15"/>
  <c r="T8393" i="15"/>
  <c r="T8392" i="15"/>
  <c r="T8391" i="15"/>
  <c r="T8390" i="15"/>
  <c r="T8389" i="15"/>
  <c r="T8388" i="15"/>
  <c r="T8387" i="15"/>
  <c r="T8386" i="15"/>
  <c r="T8385" i="15"/>
  <c r="T8384" i="15"/>
  <c r="T8383" i="15"/>
  <c r="T8382" i="15"/>
  <c r="T8381" i="15"/>
  <c r="T8380" i="15"/>
  <c r="T8379" i="15"/>
  <c r="T8378" i="15"/>
  <c r="T8377" i="15"/>
  <c r="T8376" i="15"/>
  <c r="T8375" i="15"/>
  <c r="T8374" i="15"/>
  <c r="T8373" i="15"/>
  <c r="T8372" i="15"/>
  <c r="T8371" i="15"/>
  <c r="T8370" i="15"/>
  <c r="T8369" i="15"/>
  <c r="T8368" i="15"/>
  <c r="T8367" i="15"/>
  <c r="T8366" i="15"/>
  <c r="T8365" i="15"/>
  <c r="T8364" i="15"/>
  <c r="T8363" i="15"/>
  <c r="T8362" i="15"/>
  <c r="T8361" i="15"/>
  <c r="T8360" i="15"/>
  <c r="T8359" i="15"/>
  <c r="T8358" i="15"/>
  <c r="T8357" i="15"/>
  <c r="T8356" i="15"/>
  <c r="T8355" i="15"/>
  <c r="T8354" i="15"/>
  <c r="T8353" i="15"/>
  <c r="T8352" i="15"/>
  <c r="T8351" i="15"/>
  <c r="T8350" i="15"/>
  <c r="T8349" i="15"/>
  <c r="T8348" i="15"/>
  <c r="T8347" i="15"/>
  <c r="T8346" i="15"/>
  <c r="T8345" i="15"/>
  <c r="T8344" i="15"/>
  <c r="T8343" i="15"/>
  <c r="T8342" i="15"/>
  <c r="T8341" i="15"/>
  <c r="T8340" i="15"/>
  <c r="T8339" i="15"/>
  <c r="T8338" i="15"/>
  <c r="T8337" i="15"/>
  <c r="T8336" i="15"/>
  <c r="T8335" i="15"/>
  <c r="T8334" i="15"/>
  <c r="T8333" i="15"/>
  <c r="T8332" i="15"/>
  <c r="T8331" i="15"/>
  <c r="T8330" i="15"/>
  <c r="T8329" i="15"/>
  <c r="T8328" i="15"/>
  <c r="T8327" i="15"/>
  <c r="T8326" i="15"/>
  <c r="T8325" i="15"/>
  <c r="T8324" i="15"/>
  <c r="T8323" i="15"/>
  <c r="T8322" i="15"/>
  <c r="T8321" i="15"/>
  <c r="T8320" i="15"/>
  <c r="T8319" i="15"/>
  <c r="T8318" i="15"/>
  <c r="T8317" i="15"/>
  <c r="T8316" i="15"/>
  <c r="T8315" i="15"/>
  <c r="T8314" i="15"/>
  <c r="T8313" i="15"/>
  <c r="T8312" i="15"/>
  <c r="T8311" i="15"/>
  <c r="T8310" i="15"/>
  <c r="T8309" i="15"/>
  <c r="T8308" i="15"/>
  <c r="T8307" i="15"/>
  <c r="T8306" i="15"/>
  <c r="T8305" i="15"/>
  <c r="T8304" i="15"/>
  <c r="T8303" i="15"/>
  <c r="T8302" i="15"/>
  <c r="T8301" i="15"/>
  <c r="T8300" i="15"/>
  <c r="T8299" i="15"/>
  <c r="T8298" i="15"/>
  <c r="T8297" i="15"/>
  <c r="T8296" i="15"/>
  <c r="T8295" i="15"/>
  <c r="T8294" i="15"/>
  <c r="T8293" i="15"/>
  <c r="T8292" i="15"/>
  <c r="T8291" i="15"/>
  <c r="T8290" i="15"/>
  <c r="T8289" i="15"/>
  <c r="T8288" i="15"/>
  <c r="T8287" i="15"/>
  <c r="T8286" i="15"/>
  <c r="T8285" i="15"/>
  <c r="T8284" i="15"/>
  <c r="T8283" i="15"/>
  <c r="T8282" i="15"/>
  <c r="T8281" i="15"/>
  <c r="T8280" i="15"/>
  <c r="T8279" i="15"/>
  <c r="T8278" i="15"/>
  <c r="T8277" i="15"/>
  <c r="T8276" i="15"/>
  <c r="T8275" i="15"/>
  <c r="T8274" i="15"/>
  <c r="T8273" i="15"/>
  <c r="T8272" i="15"/>
  <c r="T8271" i="15"/>
  <c r="T8270" i="15"/>
  <c r="T8269" i="15"/>
  <c r="T8268" i="15"/>
  <c r="T8267" i="15"/>
  <c r="T8266" i="15"/>
  <c r="T8265" i="15"/>
  <c r="T8264" i="15"/>
  <c r="T8263" i="15"/>
  <c r="T8262" i="15"/>
  <c r="T8261" i="15"/>
  <c r="T8260" i="15"/>
  <c r="T8259" i="15"/>
  <c r="T8258" i="15"/>
  <c r="T8257" i="15"/>
  <c r="T8256" i="15"/>
  <c r="T8255" i="15"/>
  <c r="T8254" i="15"/>
  <c r="T8253" i="15"/>
  <c r="T8252" i="15"/>
  <c r="T8251" i="15"/>
  <c r="T8250" i="15"/>
  <c r="T8249" i="15"/>
  <c r="T8248" i="15"/>
  <c r="T8247" i="15"/>
  <c r="T8246" i="15"/>
  <c r="T8245" i="15"/>
  <c r="T8244" i="15"/>
  <c r="T8243" i="15"/>
  <c r="T8242" i="15"/>
  <c r="T8241" i="15"/>
  <c r="T8240" i="15"/>
  <c r="T8239" i="15"/>
  <c r="T8238" i="15"/>
  <c r="T8237" i="15"/>
  <c r="T8236" i="15"/>
  <c r="T8235" i="15"/>
  <c r="T8234" i="15"/>
  <c r="T8233" i="15"/>
  <c r="T8232" i="15"/>
  <c r="T8231" i="15"/>
  <c r="T8230" i="15"/>
  <c r="T8229" i="15"/>
  <c r="T8228" i="15"/>
  <c r="T8227" i="15"/>
  <c r="T8226" i="15"/>
  <c r="T8225" i="15"/>
  <c r="T8224" i="15"/>
  <c r="T8223" i="15"/>
  <c r="T8222" i="15"/>
  <c r="T8221" i="15"/>
  <c r="T8220" i="15"/>
  <c r="T8219" i="15"/>
  <c r="T8218" i="15"/>
  <c r="T8217" i="15"/>
  <c r="T8216" i="15"/>
  <c r="T8215" i="15"/>
  <c r="T8214" i="15"/>
  <c r="T8213" i="15"/>
  <c r="T8212" i="15"/>
  <c r="T8211" i="15"/>
  <c r="T8210" i="15"/>
  <c r="T8209" i="15"/>
  <c r="T8208" i="15"/>
  <c r="T8207" i="15"/>
  <c r="T8206" i="15"/>
  <c r="T8205" i="15"/>
  <c r="T8204" i="15"/>
  <c r="T8203" i="15"/>
  <c r="T8202" i="15"/>
  <c r="T8201" i="15"/>
  <c r="T8200" i="15"/>
  <c r="T8199" i="15"/>
  <c r="T8198" i="15"/>
  <c r="T8197" i="15"/>
  <c r="T8196" i="15"/>
  <c r="T8195" i="15"/>
  <c r="T8194" i="15"/>
  <c r="T8193" i="15"/>
  <c r="T8192" i="15"/>
  <c r="T8191" i="15"/>
  <c r="T8190" i="15"/>
  <c r="T8189" i="15"/>
  <c r="T8188" i="15"/>
  <c r="T8187" i="15"/>
  <c r="T8186" i="15"/>
  <c r="T8185" i="15"/>
  <c r="T8184" i="15"/>
  <c r="T8183" i="15"/>
  <c r="T8182" i="15"/>
  <c r="T8181" i="15"/>
  <c r="T8180" i="15"/>
  <c r="T8179" i="15"/>
  <c r="T8178" i="15"/>
  <c r="T8177" i="15"/>
  <c r="T8176" i="15"/>
  <c r="T8175" i="15"/>
  <c r="T8174" i="15"/>
  <c r="T8173" i="15"/>
  <c r="T8172" i="15"/>
  <c r="T8171" i="15"/>
  <c r="T8170" i="15"/>
  <c r="T8169" i="15"/>
  <c r="T8168" i="15"/>
  <c r="T8167" i="15"/>
  <c r="T8166" i="15"/>
  <c r="T8165" i="15"/>
  <c r="T8164" i="15"/>
  <c r="T8163" i="15"/>
  <c r="T8162" i="15"/>
  <c r="T8161" i="15"/>
  <c r="T8160" i="15"/>
  <c r="T8159" i="15"/>
  <c r="T8158" i="15"/>
  <c r="T8157" i="15"/>
  <c r="T8156" i="15"/>
  <c r="T8155" i="15"/>
  <c r="T8154" i="15"/>
  <c r="T8153" i="15"/>
  <c r="T8152" i="15"/>
  <c r="T8151" i="15"/>
  <c r="T8150" i="15"/>
  <c r="T8149" i="15"/>
  <c r="T8148" i="15"/>
  <c r="T8147" i="15"/>
  <c r="T8146" i="15"/>
  <c r="T8145" i="15"/>
  <c r="T8144" i="15"/>
  <c r="T8143" i="15"/>
  <c r="T8142" i="15"/>
  <c r="T8141" i="15"/>
  <c r="T8140" i="15"/>
  <c r="T8139" i="15"/>
  <c r="T8138" i="15"/>
  <c r="T8137" i="15"/>
  <c r="T8136" i="15"/>
  <c r="T8135" i="15"/>
  <c r="T8134" i="15"/>
  <c r="T8133" i="15"/>
  <c r="T8132" i="15"/>
  <c r="T8131" i="15"/>
  <c r="T8130" i="15"/>
  <c r="T8129" i="15"/>
  <c r="T8128" i="15"/>
  <c r="T8127" i="15"/>
  <c r="T8126" i="15"/>
  <c r="T8125" i="15"/>
  <c r="T8124" i="15"/>
  <c r="T8123" i="15"/>
  <c r="T8122" i="15"/>
  <c r="T8121" i="15"/>
  <c r="T8120" i="15"/>
  <c r="T8119" i="15"/>
  <c r="T8118" i="15"/>
  <c r="T8117" i="15"/>
  <c r="T8116" i="15"/>
  <c r="T8115" i="15"/>
  <c r="T8114" i="15"/>
  <c r="T8113" i="15"/>
  <c r="T8112" i="15"/>
  <c r="T8111" i="15"/>
  <c r="T8110" i="15"/>
  <c r="T8109" i="15"/>
  <c r="T8108" i="15"/>
  <c r="T8107" i="15"/>
  <c r="T8106" i="15"/>
  <c r="T8105" i="15"/>
  <c r="T8104" i="15"/>
  <c r="T8103" i="15"/>
  <c r="T8102" i="15"/>
  <c r="T8101" i="15"/>
  <c r="T8100" i="15"/>
  <c r="T8099" i="15"/>
  <c r="T8098" i="15"/>
  <c r="T8097" i="15"/>
  <c r="T8096" i="15"/>
  <c r="T8095" i="15"/>
  <c r="T8094" i="15"/>
  <c r="T8093" i="15"/>
  <c r="T8092" i="15"/>
  <c r="T8091" i="15"/>
  <c r="T8090" i="15"/>
  <c r="T8089" i="15"/>
  <c r="T8088" i="15"/>
  <c r="T8087" i="15"/>
  <c r="T8086" i="15"/>
  <c r="T8085" i="15"/>
  <c r="T8084" i="15"/>
  <c r="T8083" i="15"/>
  <c r="T8082" i="15"/>
  <c r="T8081" i="15"/>
  <c r="T8080" i="15"/>
  <c r="T8079" i="15"/>
  <c r="T8078" i="15"/>
  <c r="T8077" i="15"/>
  <c r="T8076" i="15"/>
  <c r="T8075" i="15"/>
  <c r="T8074" i="15"/>
  <c r="T8073" i="15"/>
  <c r="T8072" i="15"/>
  <c r="T8071" i="15"/>
  <c r="T8070" i="15"/>
  <c r="T8069" i="15"/>
  <c r="T8068" i="15"/>
  <c r="T8067" i="15"/>
  <c r="T8066" i="15"/>
  <c r="T8065" i="15"/>
  <c r="T8064" i="15"/>
  <c r="T8063" i="15"/>
  <c r="T8062" i="15"/>
  <c r="T8061" i="15"/>
  <c r="T8060" i="15"/>
  <c r="T8059" i="15"/>
  <c r="T8058" i="15"/>
  <c r="T8057" i="15"/>
  <c r="T8056" i="15"/>
  <c r="T8055" i="15"/>
  <c r="T8054" i="15"/>
  <c r="T8053" i="15"/>
  <c r="T8052" i="15"/>
  <c r="T8051" i="15"/>
  <c r="T8050" i="15"/>
  <c r="T8049" i="15"/>
  <c r="T8048" i="15"/>
  <c r="T8047" i="15"/>
  <c r="T8046" i="15"/>
  <c r="T8045" i="15"/>
  <c r="T8044" i="15"/>
  <c r="T8043" i="15"/>
  <c r="T8042" i="15"/>
  <c r="T8041" i="15"/>
  <c r="T8040" i="15"/>
  <c r="T8039" i="15"/>
  <c r="T8038" i="15"/>
  <c r="T8037" i="15"/>
  <c r="T8036" i="15"/>
  <c r="T8035" i="15"/>
  <c r="T8034" i="15"/>
  <c r="T8033" i="15"/>
  <c r="T8032" i="15"/>
  <c r="T8031" i="15"/>
  <c r="T8030" i="15"/>
  <c r="T8029" i="15"/>
  <c r="T8028" i="15"/>
  <c r="T8027" i="15"/>
  <c r="T8026" i="15"/>
  <c r="T8025" i="15"/>
  <c r="T8024" i="15"/>
  <c r="T8023" i="15"/>
  <c r="T8022" i="15"/>
  <c r="T8021" i="15"/>
  <c r="T8020" i="15"/>
  <c r="T8019" i="15"/>
  <c r="T8018" i="15"/>
  <c r="T8017" i="15"/>
  <c r="T8016" i="15"/>
  <c r="T8015" i="15"/>
  <c r="T8014" i="15"/>
  <c r="T8013" i="15"/>
  <c r="T8012" i="15"/>
  <c r="T8011" i="15"/>
  <c r="T8010" i="15"/>
  <c r="T8009" i="15"/>
  <c r="T8008" i="15"/>
  <c r="T8007" i="15"/>
  <c r="T8006" i="15"/>
  <c r="T8005" i="15"/>
  <c r="T8004" i="15"/>
  <c r="T8003" i="15"/>
  <c r="T8002" i="15"/>
  <c r="T8001" i="15"/>
  <c r="T8000" i="15"/>
  <c r="T7999" i="15"/>
  <c r="T7998" i="15"/>
  <c r="T7997" i="15"/>
  <c r="T7996" i="15"/>
  <c r="T7995" i="15"/>
  <c r="T7994" i="15"/>
  <c r="T7993" i="15"/>
  <c r="T7992" i="15"/>
  <c r="T7991" i="15"/>
  <c r="T7990" i="15"/>
  <c r="T7989" i="15"/>
  <c r="T7988" i="15"/>
  <c r="T7987" i="15"/>
  <c r="T7986" i="15"/>
  <c r="T7985" i="15"/>
  <c r="T7984" i="15"/>
  <c r="T7983" i="15"/>
  <c r="T7982" i="15"/>
  <c r="T7981" i="15"/>
  <c r="T7980" i="15"/>
  <c r="T7979" i="15"/>
  <c r="T7978" i="15"/>
  <c r="T7977" i="15"/>
  <c r="T7976" i="15"/>
  <c r="T7975" i="15"/>
  <c r="T7974" i="15"/>
  <c r="T7973" i="15"/>
  <c r="T7972" i="15"/>
  <c r="T7971" i="15"/>
  <c r="T7970" i="15"/>
  <c r="T7969" i="15"/>
  <c r="T7968" i="15"/>
  <c r="T7967" i="15"/>
  <c r="T7966" i="15"/>
  <c r="T7965" i="15"/>
  <c r="T7964" i="15"/>
  <c r="T7963" i="15"/>
  <c r="T7962" i="15"/>
  <c r="T7961" i="15"/>
  <c r="T7960" i="15"/>
  <c r="T7959" i="15"/>
  <c r="T7958" i="15"/>
  <c r="T7957" i="15"/>
  <c r="T7956" i="15"/>
  <c r="T7955" i="15"/>
  <c r="T7954" i="15"/>
  <c r="T7953" i="15"/>
  <c r="T7952" i="15"/>
  <c r="T7951" i="15"/>
  <c r="T7950" i="15"/>
  <c r="T7949" i="15"/>
  <c r="T7948" i="15"/>
  <c r="T7947" i="15"/>
  <c r="T7946" i="15"/>
  <c r="T7945" i="15"/>
  <c r="T7944" i="15"/>
  <c r="T7943" i="15"/>
  <c r="T7942" i="15"/>
  <c r="T7941" i="15"/>
  <c r="T7940" i="15"/>
  <c r="T7939" i="15"/>
  <c r="T7938" i="15"/>
  <c r="T7937" i="15"/>
  <c r="T7936" i="15"/>
  <c r="T7935" i="15"/>
  <c r="T7934" i="15"/>
  <c r="T7933" i="15"/>
  <c r="T7932" i="15"/>
  <c r="T7931" i="15"/>
  <c r="T7930" i="15"/>
  <c r="T7929" i="15"/>
  <c r="T7928" i="15"/>
  <c r="T7927" i="15"/>
  <c r="T7926" i="15"/>
  <c r="T7925" i="15"/>
  <c r="T7924" i="15"/>
  <c r="T7923" i="15"/>
  <c r="T7922" i="15"/>
  <c r="T7921" i="15"/>
  <c r="T7920" i="15"/>
  <c r="T7919" i="15"/>
  <c r="T7918" i="15"/>
  <c r="T7917" i="15"/>
  <c r="T7916" i="15"/>
  <c r="T7915" i="15"/>
  <c r="T7914" i="15"/>
  <c r="T7913" i="15"/>
  <c r="T7912" i="15"/>
  <c r="T7911" i="15"/>
  <c r="T7910" i="15"/>
  <c r="T7909" i="15"/>
  <c r="T7908" i="15"/>
  <c r="T7907" i="15"/>
  <c r="T7906" i="15"/>
  <c r="T7905" i="15"/>
  <c r="T7904" i="15"/>
  <c r="T7903" i="15"/>
  <c r="T7902" i="15"/>
  <c r="T7901" i="15"/>
  <c r="T7900" i="15"/>
  <c r="T7899" i="15"/>
  <c r="T7898" i="15"/>
  <c r="T7897" i="15"/>
  <c r="T7896" i="15"/>
  <c r="T7895" i="15"/>
  <c r="T7894" i="15"/>
  <c r="T7893" i="15"/>
  <c r="T7892" i="15"/>
  <c r="T7891" i="15"/>
  <c r="T7890" i="15"/>
  <c r="T7889" i="15"/>
  <c r="T7888" i="15"/>
  <c r="T7887" i="15"/>
  <c r="T7886" i="15"/>
  <c r="T7885" i="15"/>
  <c r="T7884" i="15"/>
  <c r="T7883" i="15"/>
  <c r="T7882" i="15"/>
  <c r="T7881" i="15"/>
  <c r="T7880" i="15"/>
  <c r="T7879" i="15"/>
  <c r="T7878" i="15"/>
  <c r="T7877" i="15"/>
  <c r="T7876" i="15"/>
  <c r="T7875" i="15"/>
  <c r="T7874" i="15"/>
  <c r="T7873" i="15"/>
  <c r="T7872" i="15"/>
  <c r="T7871" i="15"/>
  <c r="T7870" i="15"/>
  <c r="T7869" i="15"/>
  <c r="T7868" i="15"/>
  <c r="T7867" i="15"/>
  <c r="T7866" i="15"/>
  <c r="T7865" i="15"/>
  <c r="T7864" i="15"/>
  <c r="T7863" i="15"/>
  <c r="T7862" i="15"/>
  <c r="T7861" i="15"/>
  <c r="T7860" i="15"/>
  <c r="T7859" i="15"/>
  <c r="T7858" i="15"/>
  <c r="T7857" i="15"/>
  <c r="T7856" i="15"/>
  <c r="T7855" i="15"/>
  <c r="T7854" i="15"/>
  <c r="T7853" i="15"/>
  <c r="T7852" i="15"/>
  <c r="T7851" i="15"/>
  <c r="T7850" i="15"/>
  <c r="T7849" i="15"/>
  <c r="T7848" i="15"/>
  <c r="T7847" i="15"/>
  <c r="T7846" i="15"/>
  <c r="T7845" i="15"/>
  <c r="T7844" i="15"/>
  <c r="T7843" i="15"/>
  <c r="T7842" i="15"/>
  <c r="T7841" i="15"/>
  <c r="T7840" i="15"/>
  <c r="T7839" i="15"/>
  <c r="T7838" i="15"/>
  <c r="T7837" i="15"/>
  <c r="T7836" i="15"/>
  <c r="T7835" i="15"/>
  <c r="T7834" i="15"/>
  <c r="T7833" i="15"/>
  <c r="T7832" i="15"/>
  <c r="T7831" i="15"/>
  <c r="T7830" i="15"/>
  <c r="T7829" i="15"/>
  <c r="T7828" i="15"/>
  <c r="T7827" i="15"/>
  <c r="T7826" i="15"/>
  <c r="T7825" i="15"/>
  <c r="T7824" i="15"/>
  <c r="T7823" i="15"/>
  <c r="T7822" i="15"/>
  <c r="T7821" i="15"/>
  <c r="T7820" i="15"/>
  <c r="T7819" i="15"/>
  <c r="T7818" i="15"/>
  <c r="T7817" i="15"/>
  <c r="T7816" i="15"/>
  <c r="T7815" i="15"/>
  <c r="T7814" i="15"/>
  <c r="T7813" i="15"/>
  <c r="T7812" i="15"/>
  <c r="T7811" i="15"/>
  <c r="T7810" i="15"/>
  <c r="T7809" i="15"/>
  <c r="T7808" i="15"/>
  <c r="T7807" i="15"/>
  <c r="T7806" i="15"/>
  <c r="T7805" i="15"/>
  <c r="T7804" i="15"/>
  <c r="T7803" i="15"/>
  <c r="T7802" i="15"/>
  <c r="T7801" i="15"/>
  <c r="T7800" i="15"/>
  <c r="T7799" i="15"/>
  <c r="T7798" i="15"/>
  <c r="T7797" i="15"/>
  <c r="T7796" i="15"/>
  <c r="T7795" i="15"/>
  <c r="T7794" i="15"/>
  <c r="T7793" i="15"/>
  <c r="T7792" i="15"/>
  <c r="T7791" i="15"/>
  <c r="T7790" i="15"/>
  <c r="T7789" i="15"/>
  <c r="T7788" i="15"/>
  <c r="T7787" i="15"/>
  <c r="T7786" i="15"/>
  <c r="T7785" i="15"/>
  <c r="T7784" i="15"/>
  <c r="T7783" i="15"/>
  <c r="T7782" i="15"/>
  <c r="T7781" i="15"/>
  <c r="T7780" i="15"/>
  <c r="T7779" i="15"/>
  <c r="T7778" i="15"/>
  <c r="T7777" i="15"/>
  <c r="T7776" i="15"/>
  <c r="T7775" i="15"/>
  <c r="T7774" i="15"/>
  <c r="T7773" i="15"/>
  <c r="T7772" i="15"/>
  <c r="T7771" i="15"/>
  <c r="T7770" i="15"/>
  <c r="T7769" i="15"/>
  <c r="T7768" i="15"/>
  <c r="T7767" i="15"/>
  <c r="T7766" i="15"/>
  <c r="T7765" i="15"/>
  <c r="T7764" i="15"/>
  <c r="T7763" i="15"/>
  <c r="T7762" i="15"/>
  <c r="T7761" i="15"/>
  <c r="T7760" i="15"/>
  <c r="T7759" i="15"/>
  <c r="T7758" i="15"/>
  <c r="T7757" i="15"/>
  <c r="T7756" i="15"/>
  <c r="T7755" i="15"/>
  <c r="T7754" i="15"/>
  <c r="T7753" i="15"/>
  <c r="T7752" i="15"/>
  <c r="T7751" i="15"/>
  <c r="T7750" i="15"/>
  <c r="T7749" i="15"/>
  <c r="T7748" i="15"/>
  <c r="T7747" i="15"/>
  <c r="T7746" i="15"/>
  <c r="T7745" i="15"/>
  <c r="T7744" i="15"/>
  <c r="T7743" i="15"/>
  <c r="T7742" i="15"/>
  <c r="T7741" i="15"/>
  <c r="T7740" i="15"/>
  <c r="T7739" i="15"/>
  <c r="T7738" i="15"/>
  <c r="T7737" i="15"/>
  <c r="T7736" i="15"/>
  <c r="T7735" i="15"/>
  <c r="T7734" i="15"/>
  <c r="T7733" i="15"/>
  <c r="T7732" i="15"/>
  <c r="T7731" i="15"/>
  <c r="T7730" i="15"/>
  <c r="T7729" i="15"/>
  <c r="T7728" i="15"/>
  <c r="T7727" i="15"/>
  <c r="T7726" i="15"/>
  <c r="T7725" i="15"/>
  <c r="T7724" i="15"/>
  <c r="T7723" i="15"/>
  <c r="T7722" i="15"/>
  <c r="T7721" i="15"/>
  <c r="T7720" i="15"/>
  <c r="T7719" i="15"/>
  <c r="T7718" i="15"/>
  <c r="T7717" i="15"/>
  <c r="T7716" i="15"/>
  <c r="T7715" i="15"/>
  <c r="T7714" i="15"/>
  <c r="T7713" i="15"/>
  <c r="T7712" i="15"/>
  <c r="T7711" i="15"/>
  <c r="T7710" i="15"/>
  <c r="T7709" i="15"/>
  <c r="T7708" i="15"/>
  <c r="T7707" i="15"/>
  <c r="T7706" i="15"/>
  <c r="T7705" i="15"/>
  <c r="T7704" i="15"/>
  <c r="T7703" i="15"/>
  <c r="T7702" i="15"/>
  <c r="T7701" i="15"/>
  <c r="T7700" i="15"/>
  <c r="T7699" i="15"/>
  <c r="T7698" i="15"/>
  <c r="T7697" i="15"/>
  <c r="T7696" i="15"/>
  <c r="T7695" i="15"/>
  <c r="T7694" i="15"/>
  <c r="T7693" i="15"/>
  <c r="T7692" i="15"/>
  <c r="T7691" i="15"/>
  <c r="T7690" i="15"/>
  <c r="T7689" i="15"/>
  <c r="T7688" i="15"/>
  <c r="T7687" i="15"/>
  <c r="T7686" i="15"/>
  <c r="T7685" i="15"/>
  <c r="T7684" i="15"/>
  <c r="T7683" i="15"/>
  <c r="T7682" i="15"/>
  <c r="T7681" i="15"/>
  <c r="T7680" i="15"/>
  <c r="T7679" i="15"/>
  <c r="T7678" i="15"/>
  <c r="T7677" i="15"/>
  <c r="T7676" i="15"/>
  <c r="T7675" i="15"/>
  <c r="T7674" i="15"/>
  <c r="T7673" i="15"/>
  <c r="T7672" i="15"/>
  <c r="T7671" i="15"/>
  <c r="T7670" i="15"/>
  <c r="T7669" i="15"/>
  <c r="T7668" i="15"/>
  <c r="T7667" i="15"/>
  <c r="T7666" i="15"/>
  <c r="T7665" i="15"/>
  <c r="T7664" i="15"/>
  <c r="T7663" i="15"/>
  <c r="T7662" i="15"/>
  <c r="T7661" i="15"/>
  <c r="T7660" i="15"/>
  <c r="T7659" i="15"/>
  <c r="T7658" i="15"/>
  <c r="T7657" i="15"/>
  <c r="T7656" i="15"/>
  <c r="T7655" i="15"/>
  <c r="T7654" i="15"/>
  <c r="T7653" i="15"/>
  <c r="T7652" i="15"/>
  <c r="T7651" i="15"/>
  <c r="T7650" i="15"/>
  <c r="T7649" i="15"/>
  <c r="T7648" i="15"/>
  <c r="T7647" i="15"/>
  <c r="T7646" i="15"/>
  <c r="T7645" i="15"/>
  <c r="T7644" i="15"/>
  <c r="T7643" i="15"/>
  <c r="T7642" i="15"/>
  <c r="T7641" i="15"/>
  <c r="T7640" i="15"/>
  <c r="T7639" i="15"/>
  <c r="T7638" i="15"/>
  <c r="T7637" i="15"/>
  <c r="T7636" i="15"/>
  <c r="T7635" i="15"/>
  <c r="T7634" i="15"/>
  <c r="T7633" i="15"/>
  <c r="T7632" i="15"/>
  <c r="T7631" i="15"/>
  <c r="T7630" i="15"/>
  <c r="T7629" i="15"/>
  <c r="T7628" i="15"/>
  <c r="T7627" i="15"/>
  <c r="T7626" i="15"/>
  <c r="T7625" i="15"/>
  <c r="T7624" i="15"/>
  <c r="T7623" i="15"/>
  <c r="T7622" i="15"/>
  <c r="T7621" i="15"/>
  <c r="T7620" i="15"/>
  <c r="T7619" i="15"/>
  <c r="T7618" i="15"/>
  <c r="T7617" i="15"/>
  <c r="T7616" i="15"/>
  <c r="T7615" i="15"/>
  <c r="T7614" i="15"/>
  <c r="T7613" i="15"/>
  <c r="T7612" i="15"/>
  <c r="T7611" i="15"/>
  <c r="T7610" i="15"/>
  <c r="T7609" i="15"/>
  <c r="T7608" i="15"/>
  <c r="T7607" i="15"/>
  <c r="T7606" i="15"/>
  <c r="T7605" i="15"/>
  <c r="T7604" i="15"/>
  <c r="T7603" i="15"/>
  <c r="T7602" i="15"/>
  <c r="T7601" i="15"/>
  <c r="T7600" i="15"/>
  <c r="T7599" i="15"/>
  <c r="T7598" i="15"/>
  <c r="T7597" i="15"/>
  <c r="T7596" i="15"/>
  <c r="T7595" i="15"/>
  <c r="T7594" i="15"/>
  <c r="T7593" i="15"/>
  <c r="T7592" i="15"/>
  <c r="T7591" i="15"/>
  <c r="T7590" i="15"/>
  <c r="T7589" i="15"/>
  <c r="T7588" i="15"/>
  <c r="T7587" i="15"/>
  <c r="T7586" i="15"/>
  <c r="T7585" i="15"/>
  <c r="T7584" i="15"/>
  <c r="T7583" i="15"/>
  <c r="T7582" i="15"/>
  <c r="T7581" i="15"/>
  <c r="T7580" i="15"/>
  <c r="T7579" i="15"/>
  <c r="T7578" i="15"/>
  <c r="T7577" i="15"/>
  <c r="T7576" i="15"/>
  <c r="T7575" i="15"/>
  <c r="T7574" i="15"/>
  <c r="T7573" i="15"/>
  <c r="T7572" i="15"/>
  <c r="T7571" i="15"/>
  <c r="T7570" i="15"/>
  <c r="T7569" i="15"/>
  <c r="T7568" i="15"/>
  <c r="T7567" i="15"/>
  <c r="T7566" i="15"/>
  <c r="T7565" i="15"/>
  <c r="T7564" i="15"/>
  <c r="T7563" i="15"/>
  <c r="T7562" i="15"/>
  <c r="T7561" i="15"/>
  <c r="T7560" i="15"/>
  <c r="T7559" i="15"/>
  <c r="T7558" i="15"/>
  <c r="T7557" i="15"/>
  <c r="T7556" i="15"/>
  <c r="T7555" i="15"/>
  <c r="T7554" i="15"/>
  <c r="T7553" i="15"/>
  <c r="T7552" i="15"/>
  <c r="T7551" i="15"/>
  <c r="T7550" i="15"/>
  <c r="T7549" i="15"/>
  <c r="T7548" i="15"/>
  <c r="T7547" i="15"/>
  <c r="T7546" i="15"/>
  <c r="T7545" i="15"/>
  <c r="T7544" i="15"/>
  <c r="T7543" i="15"/>
  <c r="T7542" i="15"/>
  <c r="T7541" i="15"/>
  <c r="T7540" i="15"/>
  <c r="T7539" i="15"/>
  <c r="T7538" i="15"/>
  <c r="T7537" i="15"/>
  <c r="T7536" i="15"/>
  <c r="T7535" i="15"/>
  <c r="T7534" i="15"/>
  <c r="T7533" i="15"/>
  <c r="T7532" i="15"/>
  <c r="T7531" i="15"/>
  <c r="T7530" i="15"/>
  <c r="T7529" i="15"/>
  <c r="T7528" i="15"/>
  <c r="T7527" i="15"/>
  <c r="T7526" i="15"/>
  <c r="T7525" i="15"/>
  <c r="T7524" i="15"/>
  <c r="T7523" i="15"/>
  <c r="T7522" i="15"/>
  <c r="T7521" i="15"/>
  <c r="T7520" i="15"/>
  <c r="T7519" i="15"/>
  <c r="T7518" i="15"/>
  <c r="T7517" i="15"/>
  <c r="T7516" i="15"/>
  <c r="T7515" i="15"/>
  <c r="T7514" i="15"/>
  <c r="T7513" i="15"/>
  <c r="T7512" i="15"/>
  <c r="T7511" i="15"/>
  <c r="T7510" i="15"/>
  <c r="T7509" i="15"/>
  <c r="T7508" i="15"/>
  <c r="T7507" i="15"/>
  <c r="T7506" i="15"/>
  <c r="T7505" i="15"/>
  <c r="T7504" i="15"/>
  <c r="T7503" i="15"/>
  <c r="T7502" i="15"/>
  <c r="T7501" i="15"/>
  <c r="T7500" i="15"/>
  <c r="T7499" i="15"/>
  <c r="T7498" i="15"/>
  <c r="T7497" i="15"/>
  <c r="T7496" i="15"/>
  <c r="T7495" i="15"/>
  <c r="T7494" i="15"/>
  <c r="T7493" i="15"/>
  <c r="T7492" i="15"/>
  <c r="T7491" i="15"/>
  <c r="T7490" i="15"/>
  <c r="T7489" i="15"/>
  <c r="T7488" i="15"/>
  <c r="T7487" i="15"/>
  <c r="T7486" i="15"/>
  <c r="T7485" i="15"/>
  <c r="T7484" i="15"/>
  <c r="T7483" i="15"/>
  <c r="T7482" i="15"/>
  <c r="T7481" i="15"/>
  <c r="T7480" i="15"/>
  <c r="T7479" i="15"/>
  <c r="T7478" i="15"/>
  <c r="T7477" i="15"/>
  <c r="T7476" i="15"/>
  <c r="T7475" i="15"/>
  <c r="T7474" i="15"/>
  <c r="T7473" i="15"/>
  <c r="T7472" i="15"/>
  <c r="T7471" i="15"/>
  <c r="T7470" i="15"/>
  <c r="T7469" i="15"/>
  <c r="T7468" i="15"/>
  <c r="T7467" i="15"/>
  <c r="T7466" i="15"/>
  <c r="T7465" i="15"/>
  <c r="T7464" i="15"/>
  <c r="T7463" i="15"/>
  <c r="T7462" i="15"/>
  <c r="T7461" i="15"/>
  <c r="T7460" i="15"/>
  <c r="T7459" i="15"/>
  <c r="T7458" i="15"/>
  <c r="T7457" i="15"/>
  <c r="T7456" i="15"/>
  <c r="T7455" i="15"/>
  <c r="T7454" i="15"/>
  <c r="T7453" i="15"/>
  <c r="T7452" i="15"/>
  <c r="T7451" i="15"/>
  <c r="T7450" i="15"/>
  <c r="T7449" i="15"/>
  <c r="T7448" i="15"/>
  <c r="T7447" i="15"/>
  <c r="T7446" i="15"/>
  <c r="T7445" i="15"/>
  <c r="T7444" i="15"/>
  <c r="T7443" i="15"/>
  <c r="T7442" i="15"/>
  <c r="T7441" i="15"/>
  <c r="T7440" i="15"/>
  <c r="T7439" i="15"/>
  <c r="T7438" i="15"/>
  <c r="T7437" i="15"/>
  <c r="T7436" i="15"/>
  <c r="T7435" i="15"/>
  <c r="T7434" i="15"/>
  <c r="T7433" i="15"/>
  <c r="T7432" i="15"/>
  <c r="T7431" i="15"/>
  <c r="T7430" i="15"/>
  <c r="T7429" i="15"/>
  <c r="T7428" i="15"/>
  <c r="T7427" i="15"/>
  <c r="T7426" i="15"/>
  <c r="T7425" i="15"/>
  <c r="T7424" i="15"/>
  <c r="T7423" i="15"/>
  <c r="T7422" i="15"/>
  <c r="T7421" i="15"/>
  <c r="T7420" i="15"/>
  <c r="T7419" i="15"/>
  <c r="T7418" i="15"/>
  <c r="T7417" i="15"/>
  <c r="T7416" i="15"/>
  <c r="T7415" i="15"/>
  <c r="T7414" i="15"/>
  <c r="T7413" i="15"/>
  <c r="T7412" i="15"/>
  <c r="T7411" i="15"/>
  <c r="T7410" i="15"/>
  <c r="T7409" i="15"/>
  <c r="T7408" i="15"/>
  <c r="T7407" i="15"/>
  <c r="T7406" i="15"/>
  <c r="T7405" i="15"/>
  <c r="T7404" i="15"/>
  <c r="T7403" i="15"/>
  <c r="T7402" i="15"/>
  <c r="T7401" i="15"/>
  <c r="T7400" i="15"/>
  <c r="T7399" i="15"/>
  <c r="T7398" i="15"/>
  <c r="T7397" i="15"/>
  <c r="T7396" i="15"/>
  <c r="T7395" i="15"/>
  <c r="T7394" i="15"/>
  <c r="T7393" i="15"/>
  <c r="T7392" i="15"/>
  <c r="T7391" i="15"/>
  <c r="T7390" i="15"/>
  <c r="T7389" i="15"/>
  <c r="T7388" i="15"/>
  <c r="T7387" i="15"/>
  <c r="T7386" i="15"/>
  <c r="T7385" i="15"/>
  <c r="T7384" i="15"/>
  <c r="T7383" i="15"/>
  <c r="T7382" i="15"/>
  <c r="T7381" i="15"/>
  <c r="T7380" i="15"/>
  <c r="T7379" i="15"/>
  <c r="T7378" i="15"/>
  <c r="T7377" i="15"/>
  <c r="T7376" i="15"/>
  <c r="T7375" i="15"/>
  <c r="T7374" i="15"/>
  <c r="T7373" i="15"/>
  <c r="T7372" i="15"/>
  <c r="T7371" i="15"/>
  <c r="T7370" i="15"/>
  <c r="T7369" i="15"/>
  <c r="T7368" i="15"/>
  <c r="T7367" i="15"/>
  <c r="T7366" i="15"/>
  <c r="T7365" i="15"/>
  <c r="T7364" i="15"/>
  <c r="T7363" i="15"/>
  <c r="T7362" i="15"/>
  <c r="T7361" i="15"/>
  <c r="T7360" i="15"/>
  <c r="T7359" i="15"/>
  <c r="T7358" i="15"/>
  <c r="T7357" i="15"/>
  <c r="T7356" i="15"/>
  <c r="T7355" i="15"/>
  <c r="T7354" i="15"/>
  <c r="T7353" i="15"/>
  <c r="T7352" i="15"/>
  <c r="T7351" i="15"/>
  <c r="T7350" i="15"/>
  <c r="T7349" i="15"/>
  <c r="T7348" i="15"/>
  <c r="T7347" i="15"/>
  <c r="T7346" i="15"/>
  <c r="T7345" i="15"/>
  <c r="T7344" i="15"/>
  <c r="T7343" i="15"/>
  <c r="T7342" i="15"/>
  <c r="T7341" i="15"/>
  <c r="T7340" i="15"/>
  <c r="T7339" i="15"/>
  <c r="T7338" i="15"/>
  <c r="T7337" i="15"/>
  <c r="T7336" i="15"/>
  <c r="T7335" i="15"/>
  <c r="T7334" i="15"/>
  <c r="T7333" i="15"/>
  <c r="T7332" i="15"/>
  <c r="T7331" i="15"/>
  <c r="T7330" i="15"/>
  <c r="T7329" i="15"/>
  <c r="T7328" i="15"/>
  <c r="T7327" i="15"/>
  <c r="T7326" i="15"/>
  <c r="T7325" i="15"/>
  <c r="T7324" i="15"/>
  <c r="T7323" i="15"/>
  <c r="T7322" i="15"/>
  <c r="T7321" i="15"/>
  <c r="T7320" i="15"/>
  <c r="T7319" i="15"/>
  <c r="T7318" i="15"/>
  <c r="T7317" i="15"/>
  <c r="T7316" i="15"/>
  <c r="T7315" i="15"/>
  <c r="T7314" i="15"/>
  <c r="T7313" i="15"/>
  <c r="T7312" i="15"/>
  <c r="T7311" i="15"/>
  <c r="T7310" i="15"/>
  <c r="T7309" i="15"/>
  <c r="T7308" i="15"/>
  <c r="T7307" i="15"/>
  <c r="T7306" i="15"/>
  <c r="T7305" i="15"/>
  <c r="T7304" i="15"/>
  <c r="T7303" i="15"/>
  <c r="T7302" i="15"/>
  <c r="T7301" i="15"/>
  <c r="T7300" i="15"/>
  <c r="T7299" i="15"/>
  <c r="T7298" i="15"/>
  <c r="T7297" i="15"/>
  <c r="T7296" i="15"/>
  <c r="T7295" i="15"/>
  <c r="T7294" i="15"/>
  <c r="T7293" i="15"/>
  <c r="T7292" i="15"/>
  <c r="T7291" i="15"/>
  <c r="T7290" i="15"/>
  <c r="T7289" i="15"/>
  <c r="T7288" i="15"/>
  <c r="T7287" i="15"/>
  <c r="T7286" i="15"/>
  <c r="T7285" i="15"/>
  <c r="T7284" i="15"/>
  <c r="T7283" i="15"/>
  <c r="T7282" i="15"/>
  <c r="T7281" i="15"/>
  <c r="T7280" i="15"/>
  <c r="T7279" i="15"/>
  <c r="T7278" i="15"/>
  <c r="T7277" i="15"/>
  <c r="T7276" i="15"/>
  <c r="T7275" i="15"/>
  <c r="T7274" i="15"/>
  <c r="T7273" i="15"/>
  <c r="T7272" i="15"/>
  <c r="T7271" i="15"/>
  <c r="T7270" i="15"/>
  <c r="T7269" i="15"/>
  <c r="T7268" i="15"/>
  <c r="T7267" i="15"/>
  <c r="T7266" i="15"/>
  <c r="T7265" i="15"/>
  <c r="T7264" i="15"/>
  <c r="T7263" i="15"/>
  <c r="T7262" i="15"/>
  <c r="T7261" i="15"/>
  <c r="T7260" i="15"/>
  <c r="T7259" i="15"/>
  <c r="T7258" i="15"/>
  <c r="T7257" i="15"/>
  <c r="T7256" i="15"/>
  <c r="T7255" i="15"/>
  <c r="T7254" i="15"/>
  <c r="T7253" i="15"/>
  <c r="T7252" i="15"/>
  <c r="T7251" i="15"/>
  <c r="T7250" i="15"/>
  <c r="T7249" i="15"/>
  <c r="T7248" i="15"/>
  <c r="T7247" i="15"/>
  <c r="T7246" i="15"/>
  <c r="T7245" i="15"/>
  <c r="T7244" i="15"/>
  <c r="T7243" i="15"/>
  <c r="T7242" i="15"/>
  <c r="T7241" i="15"/>
  <c r="T7240" i="15"/>
  <c r="T7239" i="15"/>
  <c r="T7238" i="15"/>
  <c r="T7237" i="15"/>
  <c r="T7236" i="15"/>
  <c r="T7235" i="15"/>
  <c r="T7234" i="15"/>
  <c r="T7233" i="15"/>
  <c r="T7232" i="15"/>
  <c r="T7231" i="15"/>
  <c r="T7230" i="15"/>
  <c r="T7229" i="15"/>
  <c r="T7228" i="15"/>
  <c r="T7227" i="15"/>
  <c r="T7226" i="15"/>
  <c r="T7225" i="15"/>
  <c r="T7224" i="15"/>
  <c r="T7223" i="15"/>
  <c r="T7222" i="15"/>
  <c r="T7221" i="15"/>
  <c r="T7220" i="15"/>
  <c r="T7219" i="15"/>
  <c r="T7218" i="15"/>
  <c r="T7217" i="15"/>
  <c r="T7216" i="15"/>
  <c r="T7215" i="15"/>
  <c r="T7214" i="15"/>
  <c r="T7213" i="15"/>
  <c r="T7212" i="15"/>
  <c r="T7211" i="15"/>
  <c r="T7210" i="15"/>
  <c r="T7209" i="15"/>
  <c r="T7208" i="15"/>
  <c r="T7207" i="15"/>
  <c r="T7206" i="15"/>
  <c r="T7205" i="15"/>
  <c r="T7204" i="15"/>
  <c r="T7203" i="15"/>
  <c r="T7202" i="15"/>
  <c r="T7201" i="15"/>
  <c r="T7200" i="15"/>
  <c r="T7199" i="15"/>
  <c r="T7198" i="15"/>
  <c r="T7197" i="15"/>
  <c r="T7196" i="15"/>
  <c r="T7195" i="15"/>
  <c r="T7194" i="15"/>
  <c r="T7193" i="15"/>
  <c r="T7192" i="15"/>
  <c r="T7191" i="15"/>
  <c r="T7190" i="15"/>
  <c r="T7189" i="15"/>
  <c r="T7188" i="15"/>
  <c r="T7187" i="15"/>
  <c r="T7186" i="15"/>
  <c r="T7185" i="15"/>
  <c r="T7184" i="15"/>
  <c r="T7183" i="15"/>
  <c r="T7182" i="15"/>
  <c r="T7181" i="15"/>
  <c r="T7180" i="15"/>
  <c r="T7179" i="15"/>
  <c r="T7178" i="15"/>
  <c r="T7177" i="15"/>
  <c r="T7176" i="15"/>
  <c r="T7175" i="15"/>
  <c r="T7174" i="15"/>
  <c r="T7173" i="15"/>
  <c r="T7172" i="15"/>
  <c r="T7171" i="15"/>
  <c r="T7170" i="15"/>
  <c r="T7169" i="15"/>
  <c r="T7168" i="15"/>
  <c r="T7167" i="15"/>
  <c r="T7166" i="15"/>
  <c r="T7165" i="15"/>
  <c r="T7164" i="15"/>
  <c r="T7163" i="15"/>
  <c r="T7162" i="15"/>
  <c r="T7161" i="15"/>
  <c r="T7160" i="15"/>
  <c r="T7159" i="15"/>
  <c r="T7158" i="15"/>
  <c r="T7157" i="15"/>
  <c r="T7156" i="15"/>
  <c r="T7155" i="15"/>
  <c r="T7154" i="15"/>
  <c r="T7153" i="15"/>
  <c r="T7152" i="15"/>
  <c r="T7151" i="15"/>
  <c r="T7150" i="15"/>
  <c r="T7149" i="15"/>
  <c r="T7148" i="15"/>
  <c r="T7147" i="15"/>
  <c r="T7146" i="15"/>
  <c r="T7145" i="15"/>
  <c r="T7144" i="15"/>
  <c r="T7143" i="15"/>
  <c r="T7142" i="15"/>
  <c r="T7141" i="15"/>
  <c r="T7140" i="15"/>
  <c r="T7139" i="15"/>
  <c r="T7138" i="15"/>
  <c r="T7137" i="15"/>
  <c r="T7136" i="15"/>
  <c r="T7135" i="15"/>
  <c r="T7134" i="15"/>
  <c r="T7133" i="15"/>
  <c r="T7132" i="15"/>
  <c r="T7131" i="15"/>
  <c r="T7130" i="15"/>
  <c r="T7129" i="15"/>
  <c r="T7128" i="15"/>
  <c r="T7127" i="15"/>
  <c r="T7126" i="15"/>
  <c r="T7125" i="15"/>
  <c r="T7124" i="15"/>
  <c r="T7123" i="15"/>
  <c r="T7122" i="15"/>
  <c r="T7121" i="15"/>
  <c r="T7120" i="15"/>
  <c r="T7119" i="15"/>
  <c r="T7118" i="15"/>
  <c r="T7117" i="15"/>
  <c r="T7116" i="15"/>
  <c r="T7115" i="15"/>
  <c r="T7114" i="15"/>
  <c r="T7113" i="15"/>
  <c r="T7112" i="15"/>
  <c r="T7111" i="15"/>
  <c r="T7110" i="15"/>
  <c r="T7109" i="15"/>
  <c r="T7108" i="15"/>
  <c r="T7107" i="15"/>
  <c r="T7106" i="15"/>
  <c r="T7105" i="15"/>
  <c r="T7104" i="15"/>
  <c r="T7103" i="15"/>
  <c r="T7102" i="15"/>
  <c r="T7101" i="15"/>
  <c r="T7100" i="15"/>
  <c r="T7099" i="15"/>
  <c r="T7098" i="15"/>
  <c r="T7097" i="15"/>
  <c r="T7096" i="15"/>
  <c r="T7095" i="15"/>
  <c r="T7094" i="15"/>
  <c r="T7093" i="15"/>
  <c r="T7092" i="15"/>
  <c r="T7091" i="15"/>
  <c r="T7090" i="15"/>
  <c r="T7089" i="15"/>
  <c r="T7088" i="15"/>
  <c r="T7087" i="15"/>
  <c r="T7086" i="15"/>
  <c r="T7085" i="15"/>
  <c r="T7084" i="15"/>
  <c r="T7083" i="15"/>
  <c r="T7082" i="15"/>
  <c r="T7081" i="15"/>
  <c r="T7080" i="15"/>
  <c r="T7079" i="15"/>
  <c r="T7078" i="15"/>
  <c r="T7077" i="15"/>
  <c r="T7076" i="15"/>
  <c r="T7075" i="15"/>
  <c r="T7074" i="15"/>
  <c r="T7073" i="15"/>
  <c r="T7072" i="15"/>
  <c r="T7071" i="15"/>
  <c r="T7070" i="15"/>
  <c r="T7069" i="15"/>
  <c r="T7068" i="15"/>
  <c r="T7067" i="15"/>
  <c r="T7066" i="15"/>
  <c r="T7065" i="15"/>
  <c r="T7064" i="15"/>
  <c r="T7063" i="15"/>
  <c r="T7062" i="15"/>
  <c r="T7061" i="15"/>
  <c r="T7060" i="15"/>
  <c r="T7059" i="15"/>
  <c r="T7058" i="15"/>
  <c r="T7057" i="15"/>
  <c r="T7056" i="15"/>
  <c r="T7055" i="15"/>
  <c r="T7054" i="15"/>
  <c r="T7053" i="15"/>
  <c r="T7052" i="15"/>
  <c r="T7051" i="15"/>
  <c r="T7050" i="15"/>
  <c r="T7049" i="15"/>
  <c r="T7048" i="15"/>
  <c r="T7047" i="15"/>
  <c r="T7046" i="15"/>
  <c r="T7045" i="15"/>
  <c r="T7044" i="15"/>
  <c r="T7043" i="15"/>
  <c r="T7042" i="15"/>
  <c r="T7041" i="15"/>
  <c r="T7040" i="15"/>
  <c r="T7039" i="15"/>
  <c r="T7038" i="15"/>
  <c r="T7037" i="15"/>
  <c r="T7036" i="15"/>
  <c r="T7035" i="15"/>
  <c r="T7034" i="15"/>
  <c r="T7033" i="15"/>
  <c r="T7032" i="15"/>
  <c r="T7031" i="15"/>
  <c r="T7030" i="15"/>
  <c r="T7029" i="15"/>
  <c r="T7028" i="15"/>
  <c r="T7027" i="15"/>
  <c r="T7026" i="15"/>
  <c r="T7025" i="15"/>
  <c r="T7024" i="15"/>
  <c r="T7023" i="15"/>
  <c r="T7022" i="15"/>
  <c r="T7021" i="15"/>
  <c r="T7020" i="15"/>
  <c r="T7019" i="15"/>
  <c r="T7018" i="15"/>
  <c r="T7017" i="15"/>
  <c r="T7016" i="15"/>
  <c r="T7015" i="15"/>
  <c r="T7014" i="15"/>
  <c r="T7013" i="15"/>
  <c r="T7012" i="15"/>
  <c r="T7011" i="15"/>
  <c r="T7010" i="15"/>
  <c r="T7009" i="15"/>
  <c r="T7008" i="15"/>
  <c r="T7007" i="15"/>
  <c r="T7006" i="15"/>
  <c r="T7005" i="15"/>
  <c r="T7004" i="15"/>
  <c r="T7003" i="15"/>
  <c r="T7002" i="15"/>
  <c r="T7001" i="15"/>
  <c r="T7000" i="15"/>
  <c r="T6999" i="15"/>
  <c r="T6998" i="15"/>
  <c r="T6997" i="15"/>
  <c r="T6996" i="15"/>
  <c r="T6995" i="15"/>
  <c r="T6994" i="15"/>
  <c r="T6993" i="15"/>
  <c r="T6992" i="15"/>
  <c r="T6991" i="15"/>
  <c r="T6990" i="15"/>
  <c r="T6989" i="15"/>
  <c r="T6988" i="15"/>
  <c r="T6987" i="15"/>
  <c r="T6986" i="15"/>
  <c r="T6985" i="15"/>
  <c r="T6984" i="15"/>
  <c r="T6983" i="15"/>
  <c r="T6982" i="15"/>
  <c r="T6981" i="15"/>
  <c r="T6980" i="15"/>
  <c r="T6979" i="15"/>
  <c r="T6978" i="15"/>
  <c r="T6977" i="15"/>
  <c r="T6976" i="15"/>
  <c r="T6975" i="15"/>
  <c r="T6974" i="15"/>
  <c r="T6973" i="15"/>
  <c r="T6972" i="15"/>
  <c r="T6971" i="15"/>
  <c r="T6970" i="15"/>
  <c r="T6969" i="15"/>
  <c r="T6968" i="15"/>
  <c r="T6967" i="15"/>
  <c r="T6966" i="15"/>
  <c r="T6965" i="15"/>
  <c r="T6964" i="15"/>
  <c r="T6963" i="15"/>
  <c r="T6962" i="15"/>
  <c r="T6961" i="15"/>
  <c r="T6960" i="15"/>
  <c r="T6959" i="15"/>
  <c r="T6958" i="15"/>
  <c r="T6957" i="15"/>
  <c r="T6956" i="15"/>
  <c r="T6955" i="15"/>
  <c r="T6954" i="15"/>
  <c r="T6953" i="15"/>
  <c r="T6952" i="15"/>
  <c r="T6951" i="15"/>
  <c r="T6950" i="15"/>
  <c r="T6949" i="15"/>
  <c r="T6948" i="15"/>
  <c r="T6947" i="15"/>
  <c r="T6946" i="15"/>
  <c r="T6945" i="15"/>
  <c r="T6944" i="15"/>
  <c r="T6943" i="15"/>
  <c r="T6942" i="15"/>
  <c r="T6941" i="15"/>
  <c r="T6940" i="15"/>
  <c r="T6939" i="15"/>
  <c r="T6938" i="15"/>
  <c r="T6937" i="15"/>
  <c r="T6936" i="15"/>
  <c r="T6935" i="15"/>
  <c r="T6934" i="15"/>
  <c r="T6933" i="15"/>
  <c r="T6932" i="15"/>
  <c r="T6931" i="15"/>
  <c r="T6930" i="15"/>
  <c r="T6929" i="15"/>
  <c r="T6928" i="15"/>
  <c r="T6927" i="15"/>
  <c r="T6926" i="15"/>
  <c r="T6925" i="15"/>
  <c r="T6924" i="15"/>
  <c r="T6923" i="15"/>
  <c r="T6922" i="15"/>
  <c r="T6921" i="15"/>
  <c r="T6920" i="15"/>
  <c r="T6919" i="15"/>
  <c r="T6918" i="15"/>
  <c r="T6917" i="15"/>
  <c r="T6916" i="15"/>
  <c r="T6915" i="15"/>
  <c r="T6914" i="15"/>
  <c r="T6913" i="15"/>
  <c r="T6912" i="15"/>
  <c r="T6911" i="15"/>
  <c r="T6910" i="15"/>
  <c r="T6909" i="15"/>
  <c r="T6908" i="15"/>
  <c r="T6907" i="15"/>
  <c r="T6906" i="15"/>
  <c r="T6905" i="15"/>
  <c r="T6904" i="15"/>
  <c r="T6903" i="15"/>
  <c r="T6902" i="15"/>
  <c r="T6901" i="15"/>
  <c r="T6900" i="15"/>
  <c r="T6899" i="15"/>
  <c r="T6898" i="15"/>
  <c r="T6897" i="15"/>
  <c r="T6896" i="15"/>
  <c r="T6895" i="15"/>
  <c r="T6894" i="15"/>
  <c r="T6893" i="15"/>
  <c r="T6892" i="15"/>
  <c r="T6891" i="15"/>
  <c r="T6890" i="15"/>
  <c r="T6889" i="15"/>
  <c r="T6888" i="15"/>
  <c r="T6887" i="15"/>
  <c r="T6886" i="15"/>
  <c r="T6885" i="15"/>
  <c r="T6884" i="15"/>
  <c r="T6883" i="15"/>
  <c r="T6882" i="15"/>
  <c r="T6881" i="15"/>
  <c r="T6880" i="15"/>
  <c r="T6879" i="15"/>
  <c r="T6878" i="15"/>
  <c r="T6877" i="15"/>
  <c r="T6876" i="15"/>
  <c r="T6875" i="15"/>
  <c r="T6874" i="15"/>
  <c r="T6873" i="15"/>
  <c r="T6872" i="15"/>
  <c r="T6871" i="15"/>
  <c r="T6870" i="15"/>
  <c r="T6869" i="15"/>
  <c r="T6868" i="15"/>
  <c r="T6867" i="15"/>
  <c r="T6866" i="15"/>
  <c r="T6865" i="15"/>
  <c r="T6864" i="15"/>
  <c r="T6863" i="15"/>
  <c r="T6862" i="15"/>
  <c r="T6861" i="15"/>
  <c r="T6860" i="15"/>
  <c r="T6859" i="15"/>
  <c r="T6858" i="15"/>
  <c r="T6857" i="15"/>
  <c r="T6856" i="15"/>
  <c r="T6855" i="15"/>
  <c r="T6854" i="15"/>
  <c r="T6853" i="15"/>
  <c r="T6852" i="15"/>
  <c r="T6851" i="15"/>
  <c r="T6850" i="15"/>
  <c r="T6849" i="15"/>
  <c r="T6848" i="15"/>
  <c r="T6847" i="15"/>
  <c r="T6846" i="15"/>
  <c r="T6845" i="15"/>
  <c r="T6844" i="15"/>
  <c r="T6843" i="15"/>
  <c r="T6842" i="15"/>
  <c r="T6841" i="15"/>
  <c r="T6840" i="15"/>
  <c r="T6839" i="15"/>
  <c r="T6838" i="15"/>
  <c r="T6837" i="15"/>
  <c r="T6836" i="15"/>
  <c r="T6835" i="15"/>
  <c r="T6834" i="15"/>
  <c r="T6833" i="15"/>
  <c r="T6832" i="15"/>
  <c r="T6831" i="15"/>
  <c r="T6830" i="15"/>
  <c r="T6829" i="15"/>
  <c r="T6828" i="15"/>
  <c r="T6827" i="15"/>
  <c r="T6826" i="15"/>
  <c r="T6825" i="15"/>
  <c r="T6824" i="15"/>
  <c r="T6823" i="15"/>
  <c r="T6822" i="15"/>
  <c r="T6821" i="15"/>
  <c r="T6820" i="15"/>
  <c r="T6819" i="15"/>
  <c r="T6818" i="15"/>
  <c r="T6817" i="15"/>
  <c r="T6816" i="15"/>
  <c r="T6815" i="15"/>
  <c r="T6814" i="15"/>
  <c r="T6813" i="15"/>
  <c r="T6812" i="15"/>
  <c r="T6811" i="15"/>
  <c r="T6810" i="15"/>
  <c r="T6809" i="15"/>
  <c r="T6808" i="15"/>
  <c r="T6807" i="15"/>
  <c r="T6806" i="15"/>
  <c r="T6805" i="15"/>
  <c r="T6804" i="15"/>
  <c r="T6803" i="15"/>
  <c r="T6802" i="15"/>
  <c r="T6801" i="15"/>
  <c r="T6800" i="15"/>
  <c r="T6799" i="15"/>
  <c r="T6798" i="15"/>
  <c r="T6797" i="15"/>
  <c r="T6796" i="15"/>
  <c r="T6795" i="15"/>
  <c r="T6794" i="15"/>
  <c r="T6793" i="15"/>
  <c r="T6792" i="15"/>
  <c r="T6791" i="15"/>
  <c r="T6790" i="15"/>
  <c r="T6789" i="15"/>
  <c r="T6788" i="15"/>
  <c r="T6787" i="15"/>
  <c r="T6786" i="15"/>
  <c r="T6785" i="15"/>
  <c r="T6784" i="15"/>
  <c r="T6783" i="15"/>
  <c r="T6782" i="15"/>
  <c r="T6781" i="15"/>
  <c r="T6780" i="15"/>
  <c r="T6779" i="15"/>
  <c r="T6778" i="15"/>
  <c r="T6777" i="15"/>
  <c r="T6776" i="15"/>
  <c r="T6775" i="15"/>
  <c r="T6774" i="15"/>
  <c r="T6773" i="15"/>
  <c r="T6772" i="15"/>
  <c r="T6771" i="15"/>
  <c r="T6770" i="15"/>
  <c r="T6769" i="15"/>
  <c r="T6768" i="15"/>
  <c r="T6767" i="15"/>
  <c r="T6766" i="15"/>
  <c r="T6765" i="15"/>
  <c r="T6764" i="15"/>
  <c r="T6763" i="15"/>
  <c r="T6762" i="15"/>
  <c r="T6761" i="15"/>
  <c r="T6760" i="15"/>
  <c r="T6759" i="15"/>
  <c r="T6758" i="15"/>
  <c r="T6757" i="15"/>
  <c r="T6756" i="15"/>
  <c r="T6755" i="15"/>
  <c r="T6754" i="15"/>
  <c r="T6753" i="15"/>
  <c r="T6752" i="15"/>
  <c r="T6751" i="15"/>
  <c r="T6750" i="15"/>
  <c r="T6749" i="15"/>
  <c r="T6748" i="15"/>
  <c r="T6747" i="15"/>
  <c r="T6746" i="15"/>
  <c r="T6745" i="15"/>
  <c r="T6744" i="15"/>
  <c r="T6743" i="15"/>
  <c r="T6742" i="15"/>
  <c r="T6741" i="15"/>
  <c r="T6740" i="15"/>
  <c r="T6739" i="15"/>
  <c r="T6738" i="15"/>
  <c r="T6737" i="15"/>
  <c r="T6736" i="15"/>
  <c r="T6735" i="15"/>
  <c r="T6734" i="15"/>
  <c r="T6733" i="15"/>
  <c r="T6732" i="15"/>
  <c r="T6731" i="15"/>
  <c r="T6730" i="15"/>
  <c r="T6729" i="15"/>
  <c r="T6728" i="15"/>
  <c r="T6727" i="15"/>
  <c r="T6726" i="15"/>
  <c r="T6725" i="15"/>
  <c r="T6724" i="15"/>
  <c r="T6723" i="15"/>
  <c r="T6722" i="15"/>
  <c r="T6721" i="15"/>
  <c r="T6720" i="15"/>
  <c r="T6719" i="15"/>
  <c r="T6718" i="15"/>
  <c r="T6717" i="15"/>
  <c r="T6716" i="15"/>
  <c r="T6715" i="15"/>
  <c r="T6714" i="15"/>
  <c r="T6713" i="15"/>
  <c r="T6712" i="15"/>
  <c r="T6711" i="15"/>
  <c r="T6710" i="15"/>
  <c r="T6709" i="15"/>
  <c r="T6708" i="15"/>
  <c r="T6707" i="15"/>
  <c r="T6706" i="15"/>
  <c r="T6705" i="15"/>
  <c r="T6704" i="15"/>
  <c r="T6703" i="15"/>
  <c r="T6702" i="15"/>
  <c r="T6701" i="15"/>
  <c r="T6700" i="15"/>
  <c r="T6699" i="15"/>
  <c r="T6698" i="15"/>
  <c r="T6697" i="15"/>
  <c r="T6696" i="15"/>
  <c r="T6695" i="15"/>
  <c r="T6694" i="15"/>
  <c r="T6693" i="15"/>
  <c r="T6692" i="15"/>
  <c r="T6691" i="15"/>
  <c r="T6690" i="15"/>
  <c r="T6689" i="15"/>
  <c r="T6688" i="15"/>
  <c r="T6687" i="15"/>
  <c r="T6686" i="15"/>
  <c r="T6685" i="15"/>
  <c r="T6684" i="15"/>
  <c r="T6683" i="15"/>
  <c r="T6682" i="15"/>
  <c r="T6681" i="15"/>
  <c r="T6680" i="15"/>
  <c r="T6679" i="15"/>
  <c r="T6678" i="15"/>
  <c r="T6677" i="15"/>
  <c r="T6676" i="15"/>
  <c r="T6675" i="15"/>
  <c r="T6674" i="15"/>
  <c r="T6673" i="15"/>
  <c r="T6672" i="15"/>
  <c r="T6671" i="15"/>
  <c r="T6670" i="15"/>
  <c r="T6669" i="15"/>
  <c r="T6668" i="15"/>
  <c r="T6667" i="15"/>
  <c r="T6666" i="15"/>
  <c r="T6665" i="15"/>
  <c r="T6664" i="15"/>
  <c r="T6663" i="15"/>
  <c r="T6662" i="15"/>
  <c r="T6661" i="15"/>
  <c r="T6660" i="15"/>
  <c r="T6659" i="15"/>
  <c r="T6658" i="15"/>
  <c r="T6657" i="15"/>
  <c r="T6656" i="15"/>
  <c r="T6655" i="15"/>
  <c r="T6654" i="15"/>
  <c r="T6653" i="15"/>
  <c r="T6652" i="15"/>
  <c r="T6651" i="15"/>
  <c r="T6650" i="15"/>
  <c r="T6649" i="15"/>
  <c r="T6648" i="15"/>
  <c r="T6647" i="15"/>
  <c r="T6646" i="15"/>
  <c r="T6645" i="15"/>
  <c r="T6644" i="15"/>
  <c r="T6643" i="15"/>
  <c r="T6642" i="15"/>
  <c r="T6641" i="15"/>
  <c r="T6640" i="15"/>
  <c r="T6639" i="15"/>
  <c r="T6638" i="15"/>
  <c r="T6637" i="15"/>
  <c r="T6636" i="15"/>
  <c r="T6635" i="15"/>
  <c r="T6634" i="15"/>
  <c r="T6633" i="15"/>
  <c r="T6632" i="15"/>
  <c r="T6631" i="15"/>
  <c r="T6630" i="15"/>
  <c r="T6629" i="15"/>
  <c r="T6628" i="15"/>
  <c r="T6627" i="15"/>
  <c r="T6626" i="15"/>
  <c r="T6625" i="15"/>
  <c r="T6624" i="15"/>
  <c r="T6623" i="15"/>
  <c r="T6622" i="15"/>
  <c r="T6621" i="15"/>
  <c r="T6620" i="15"/>
  <c r="T6619" i="15"/>
  <c r="T6618" i="15"/>
  <c r="T6617" i="15"/>
  <c r="T6616" i="15"/>
  <c r="T6615" i="15"/>
  <c r="T6614" i="15"/>
  <c r="T6613" i="15"/>
  <c r="T6612" i="15"/>
  <c r="T6611" i="15"/>
  <c r="T6610" i="15"/>
  <c r="T6609" i="15"/>
  <c r="T6608" i="15"/>
  <c r="T6607" i="15"/>
  <c r="T6606" i="15"/>
  <c r="T6605" i="15"/>
  <c r="T6604" i="15"/>
  <c r="T6603" i="15"/>
  <c r="T6602" i="15"/>
  <c r="T6601" i="15"/>
  <c r="T6600" i="15"/>
  <c r="T6599" i="15"/>
  <c r="T6598" i="15"/>
  <c r="T6597" i="15"/>
  <c r="T6596" i="15"/>
  <c r="T6595" i="15"/>
  <c r="T6594" i="15"/>
  <c r="T6593" i="15"/>
  <c r="T6592" i="15"/>
  <c r="T6591" i="15"/>
  <c r="T6590" i="15"/>
  <c r="T6589" i="15"/>
  <c r="T6588" i="15"/>
  <c r="T6587" i="15"/>
  <c r="T6586" i="15"/>
  <c r="T6585" i="15"/>
  <c r="T6584" i="15"/>
  <c r="T6583" i="15"/>
  <c r="T6582" i="15"/>
  <c r="T6581" i="15"/>
  <c r="T6580" i="15"/>
  <c r="T6579" i="15"/>
  <c r="T6578" i="15"/>
  <c r="T6577" i="15"/>
  <c r="T6576" i="15"/>
  <c r="T6575" i="15"/>
  <c r="T6574" i="15"/>
  <c r="T6573" i="15"/>
  <c r="T6572" i="15"/>
  <c r="T6571" i="15"/>
  <c r="T6570" i="15"/>
  <c r="T6569" i="15"/>
  <c r="T6568" i="15"/>
  <c r="T6567" i="15"/>
  <c r="T6566" i="15"/>
  <c r="T6565" i="15"/>
  <c r="T6564" i="15"/>
  <c r="T6563" i="15"/>
  <c r="T6562" i="15"/>
  <c r="T6561" i="15"/>
  <c r="T6560" i="15"/>
  <c r="T6559" i="15"/>
  <c r="T6558" i="15"/>
  <c r="T6557" i="15"/>
  <c r="T6556" i="15"/>
  <c r="T6555" i="15"/>
  <c r="T6554" i="15"/>
  <c r="T6553" i="15"/>
  <c r="T6552" i="15"/>
  <c r="T6551" i="15"/>
  <c r="T6550" i="15"/>
  <c r="T6549" i="15"/>
  <c r="T6548" i="15"/>
  <c r="T6547" i="15"/>
  <c r="T6546" i="15"/>
  <c r="T6545" i="15"/>
  <c r="T6544" i="15"/>
  <c r="T6543" i="15"/>
  <c r="T6542" i="15"/>
  <c r="T6541" i="15"/>
  <c r="T6540" i="15"/>
  <c r="T6539" i="15"/>
  <c r="T6538" i="15"/>
  <c r="T6537" i="15"/>
  <c r="T6536" i="15"/>
  <c r="T6535" i="15"/>
  <c r="T6534" i="15"/>
  <c r="T6533" i="15"/>
  <c r="T6532" i="15"/>
  <c r="T6531" i="15"/>
  <c r="T6530" i="15"/>
  <c r="T6529" i="15"/>
  <c r="T6528" i="15"/>
  <c r="T6527" i="15"/>
  <c r="T6526" i="15"/>
  <c r="T6525" i="15"/>
  <c r="T6524" i="15"/>
  <c r="T6523" i="15"/>
  <c r="T6522" i="15"/>
  <c r="T6521" i="15"/>
  <c r="T6520" i="15"/>
  <c r="T6519" i="15"/>
  <c r="T6518" i="15"/>
  <c r="T6517" i="15"/>
  <c r="T6516" i="15"/>
  <c r="T6515" i="15"/>
  <c r="T6514" i="15"/>
  <c r="T6513" i="15"/>
  <c r="T6512" i="15"/>
  <c r="T6511" i="15"/>
  <c r="T6510" i="15"/>
  <c r="T6509" i="15"/>
  <c r="T6508" i="15"/>
  <c r="T6507" i="15"/>
  <c r="T6506" i="15"/>
  <c r="T6505" i="15"/>
  <c r="T6504" i="15"/>
  <c r="T6503" i="15"/>
  <c r="T6502" i="15"/>
  <c r="T6501" i="15"/>
  <c r="T6500" i="15"/>
  <c r="T6499" i="15"/>
  <c r="T6498" i="15"/>
  <c r="T6497" i="15"/>
  <c r="T6496" i="15"/>
  <c r="T6495" i="15"/>
  <c r="T6494" i="15"/>
  <c r="T6493" i="15"/>
  <c r="T6492" i="15"/>
  <c r="T6491" i="15"/>
  <c r="T6490" i="15"/>
  <c r="T6489" i="15"/>
  <c r="T6488" i="15"/>
  <c r="T6487" i="15"/>
  <c r="T6486" i="15"/>
  <c r="T6485" i="15"/>
  <c r="T6484" i="15"/>
  <c r="T6483" i="15"/>
  <c r="T6482" i="15"/>
  <c r="T6481" i="15"/>
  <c r="T6480" i="15"/>
  <c r="T6479" i="15"/>
  <c r="T6478" i="15"/>
  <c r="T6477" i="15"/>
  <c r="T6476" i="15"/>
  <c r="T6475" i="15"/>
  <c r="T6474" i="15"/>
  <c r="T6473" i="15"/>
  <c r="T6472" i="15"/>
  <c r="T6471" i="15"/>
  <c r="T6470" i="15"/>
  <c r="T6469" i="15"/>
  <c r="T6468" i="15"/>
  <c r="T6467" i="15"/>
  <c r="T6466" i="15"/>
  <c r="T6465" i="15"/>
  <c r="T6464" i="15"/>
  <c r="T6463" i="15"/>
  <c r="T6462" i="15"/>
  <c r="T6461" i="15"/>
  <c r="T6460" i="15"/>
  <c r="T6459" i="15"/>
  <c r="T6458" i="15"/>
  <c r="T6457" i="15"/>
  <c r="T6456" i="15"/>
  <c r="T6455" i="15"/>
  <c r="T6454" i="15"/>
  <c r="T6453" i="15"/>
  <c r="T6452" i="15"/>
  <c r="T6451" i="15"/>
  <c r="T6450" i="15"/>
  <c r="T6449" i="15"/>
  <c r="T6448" i="15"/>
  <c r="T6447" i="15"/>
  <c r="T6446" i="15"/>
  <c r="T6445" i="15"/>
  <c r="T6444" i="15"/>
  <c r="T6443" i="15"/>
  <c r="T6442" i="15"/>
  <c r="T6441" i="15"/>
  <c r="T6440" i="15"/>
  <c r="T6439" i="15"/>
  <c r="T6438" i="15"/>
  <c r="T6437" i="15"/>
  <c r="T6436" i="15"/>
  <c r="T6435" i="15"/>
  <c r="T6434" i="15"/>
  <c r="T6433" i="15"/>
  <c r="T6432" i="15"/>
  <c r="T6431" i="15"/>
  <c r="T6430" i="15"/>
  <c r="T6429" i="15"/>
  <c r="T6428" i="15"/>
  <c r="T6427" i="15"/>
  <c r="T6426" i="15"/>
  <c r="T6425" i="15"/>
  <c r="T6424" i="15"/>
  <c r="T6423" i="15"/>
  <c r="T6422" i="15"/>
  <c r="T6421" i="15"/>
  <c r="T6420" i="15"/>
  <c r="T6419" i="15"/>
  <c r="T6418" i="15"/>
  <c r="T6417" i="15"/>
  <c r="T6416" i="15"/>
  <c r="T6415" i="15"/>
  <c r="T6414" i="15"/>
  <c r="T6413" i="15"/>
  <c r="T6412" i="15"/>
  <c r="T6411" i="15"/>
  <c r="T6410" i="15"/>
  <c r="T6409" i="15"/>
  <c r="T6408" i="15"/>
  <c r="T6407" i="15"/>
  <c r="T6406" i="15"/>
  <c r="T6405" i="15"/>
  <c r="T6404" i="15"/>
  <c r="T6403" i="15"/>
  <c r="T6402" i="15"/>
  <c r="T6401" i="15"/>
  <c r="T6400" i="15"/>
  <c r="T6399" i="15"/>
  <c r="T6398" i="15"/>
  <c r="T6397" i="15"/>
  <c r="T6396" i="15"/>
  <c r="T6395" i="15"/>
  <c r="T6394" i="15"/>
  <c r="T6393" i="15"/>
  <c r="T6392" i="15"/>
  <c r="T6391" i="15"/>
  <c r="T6390" i="15"/>
  <c r="T6389" i="15"/>
  <c r="T6388" i="15"/>
  <c r="T6387" i="15"/>
  <c r="T6386" i="15"/>
  <c r="T6385" i="15"/>
  <c r="T6384" i="15"/>
  <c r="T6383" i="15"/>
  <c r="T6382" i="15"/>
  <c r="T6381" i="15"/>
  <c r="T6380" i="15"/>
  <c r="T6379" i="15"/>
  <c r="T6378" i="15"/>
  <c r="T6377" i="15"/>
  <c r="T6376" i="15"/>
  <c r="T6375" i="15"/>
  <c r="T6374" i="15"/>
  <c r="T6373" i="15"/>
  <c r="T6372" i="15"/>
  <c r="T6371" i="15"/>
  <c r="T6370" i="15"/>
  <c r="T6369" i="15"/>
  <c r="T6368" i="15"/>
  <c r="T6367" i="15"/>
  <c r="T6366" i="15"/>
  <c r="T6365" i="15"/>
  <c r="T6364" i="15"/>
  <c r="T6363" i="15"/>
  <c r="T6362" i="15"/>
  <c r="T6361" i="15"/>
  <c r="T6360" i="15"/>
  <c r="T6359" i="15"/>
  <c r="T6358" i="15"/>
  <c r="T6357" i="15"/>
  <c r="T6356" i="15"/>
  <c r="T6355" i="15"/>
  <c r="T6354" i="15"/>
  <c r="T6353" i="15"/>
  <c r="T6352" i="15"/>
  <c r="T6351" i="15"/>
  <c r="T6350" i="15"/>
  <c r="T6349" i="15"/>
  <c r="T6348" i="15"/>
  <c r="T6347" i="15"/>
  <c r="T6346" i="15"/>
  <c r="T6345" i="15"/>
  <c r="T6344" i="15"/>
  <c r="T6343" i="15"/>
  <c r="T6342" i="15"/>
  <c r="T6341" i="15"/>
  <c r="T6340" i="15"/>
  <c r="T6339" i="15"/>
  <c r="T6338" i="15"/>
  <c r="T6337" i="15"/>
  <c r="T6336" i="15"/>
  <c r="T6335" i="15"/>
  <c r="T6334" i="15"/>
  <c r="T6333" i="15"/>
  <c r="T6332" i="15"/>
  <c r="T6331" i="15"/>
  <c r="T6330" i="15"/>
  <c r="T6329" i="15"/>
  <c r="T6328" i="15"/>
  <c r="T6327" i="15"/>
  <c r="T6326" i="15"/>
  <c r="T6325" i="15"/>
  <c r="T6324" i="15"/>
  <c r="T6323" i="15"/>
  <c r="T6322" i="15"/>
  <c r="T6321" i="15"/>
  <c r="T6320" i="15"/>
  <c r="T6319" i="15"/>
  <c r="T6318" i="15"/>
  <c r="T6317" i="15"/>
  <c r="T6316" i="15"/>
  <c r="T6315" i="15"/>
  <c r="T6314" i="15"/>
  <c r="T6313" i="15"/>
  <c r="T6312" i="15"/>
  <c r="T6311" i="15"/>
  <c r="T6310" i="15"/>
  <c r="T6309" i="15"/>
  <c r="T6308" i="15"/>
  <c r="T6307" i="15"/>
  <c r="T6306" i="15"/>
  <c r="T6305" i="15"/>
  <c r="T6304" i="15"/>
  <c r="T6303" i="15"/>
  <c r="T6302" i="15"/>
  <c r="T6301" i="15"/>
  <c r="T6300" i="15"/>
  <c r="T6299" i="15"/>
  <c r="T6298" i="15"/>
  <c r="T6297" i="15"/>
  <c r="T6296" i="15"/>
  <c r="T6295" i="15"/>
  <c r="T6294" i="15"/>
  <c r="T6293" i="15"/>
  <c r="T6292" i="15"/>
  <c r="T6291" i="15"/>
  <c r="T6290" i="15"/>
  <c r="T6289" i="15"/>
  <c r="T6288" i="15"/>
  <c r="T6287" i="15"/>
  <c r="T6286" i="15"/>
  <c r="T6285" i="15"/>
  <c r="T6284" i="15"/>
  <c r="T6283" i="15"/>
  <c r="T6282" i="15"/>
  <c r="T6281" i="15"/>
  <c r="T6280" i="15"/>
  <c r="T6279" i="15"/>
  <c r="T6278" i="15"/>
  <c r="T6277" i="15"/>
  <c r="T6276" i="15"/>
  <c r="T6275" i="15"/>
  <c r="T6274" i="15"/>
  <c r="T6273" i="15"/>
  <c r="T6272" i="15"/>
  <c r="T6271" i="15"/>
  <c r="T6270" i="15"/>
  <c r="T6269" i="15"/>
  <c r="T6268" i="15"/>
  <c r="T6267" i="15"/>
  <c r="T6266" i="15"/>
  <c r="T6265" i="15"/>
  <c r="T6264" i="15"/>
  <c r="T6263" i="15"/>
  <c r="T6262" i="15"/>
  <c r="T6261" i="15"/>
  <c r="T6260" i="15"/>
  <c r="T6259" i="15"/>
  <c r="T6258" i="15"/>
  <c r="T6257" i="15"/>
  <c r="T6256" i="15"/>
  <c r="T6255" i="15"/>
  <c r="T6254" i="15"/>
  <c r="T6253" i="15"/>
  <c r="T6252" i="15"/>
  <c r="T6251" i="15"/>
  <c r="T6250" i="15"/>
  <c r="T6249" i="15"/>
  <c r="T6248" i="15"/>
  <c r="T6247" i="15"/>
  <c r="T6246" i="15"/>
  <c r="T6245" i="15"/>
  <c r="T6244" i="15"/>
  <c r="T6243" i="15"/>
  <c r="T6242" i="15"/>
  <c r="T6241" i="15"/>
  <c r="T6240" i="15"/>
  <c r="T6239" i="15"/>
  <c r="T6238" i="15"/>
  <c r="T6237" i="15"/>
  <c r="T6236" i="15"/>
  <c r="T6235" i="15"/>
  <c r="T6234" i="15"/>
  <c r="T6233" i="15"/>
  <c r="T6232" i="15"/>
  <c r="T6231" i="15"/>
  <c r="T6230" i="15"/>
  <c r="T6229" i="15"/>
  <c r="T6228" i="15"/>
  <c r="T6227" i="15"/>
  <c r="T6226" i="15"/>
  <c r="T6225" i="15"/>
  <c r="T6224" i="15"/>
  <c r="T6223" i="15"/>
  <c r="T6222" i="15"/>
  <c r="T6221" i="15"/>
  <c r="T6220" i="15"/>
  <c r="T6219" i="15"/>
  <c r="T6218" i="15"/>
  <c r="T6217" i="15"/>
  <c r="T6216" i="15"/>
  <c r="T6215" i="15"/>
  <c r="T6214" i="15"/>
  <c r="T6213" i="15"/>
  <c r="T6212" i="15"/>
  <c r="T6211" i="15"/>
  <c r="T6210" i="15"/>
  <c r="T6209" i="15"/>
  <c r="T6208" i="15"/>
  <c r="T6207" i="15"/>
  <c r="T6206" i="15"/>
  <c r="T6205" i="15"/>
  <c r="T6204" i="15"/>
  <c r="T6203" i="15"/>
  <c r="T6202" i="15"/>
  <c r="T6201" i="15"/>
  <c r="T6200" i="15"/>
  <c r="T6199" i="15"/>
  <c r="T6198" i="15"/>
  <c r="T6197" i="15"/>
  <c r="T6196" i="15"/>
  <c r="T6195" i="15"/>
  <c r="T6194" i="15"/>
  <c r="T6193" i="15"/>
  <c r="T6192" i="15"/>
  <c r="T6191" i="15"/>
  <c r="T6190" i="15"/>
  <c r="T6189" i="15"/>
  <c r="T6188" i="15"/>
  <c r="T6187" i="15"/>
  <c r="T6186" i="15"/>
  <c r="T6185" i="15"/>
  <c r="T6184" i="15"/>
  <c r="T6183" i="15"/>
  <c r="T6182" i="15"/>
  <c r="T6181" i="15"/>
  <c r="T6180" i="15"/>
  <c r="T6179" i="15"/>
  <c r="T6178" i="15"/>
  <c r="T6177" i="15"/>
  <c r="T6176" i="15"/>
  <c r="T6175" i="15"/>
  <c r="T6174" i="15"/>
  <c r="T6173" i="15"/>
  <c r="T6172" i="15"/>
  <c r="T6171" i="15"/>
  <c r="T6170" i="15"/>
  <c r="T6169" i="15"/>
  <c r="T6168" i="15"/>
  <c r="T6167" i="15"/>
  <c r="T6166" i="15"/>
  <c r="T6165" i="15"/>
  <c r="T6164" i="15"/>
  <c r="T6163" i="15"/>
  <c r="T6162" i="15"/>
  <c r="T6161" i="15"/>
  <c r="T6160" i="15"/>
  <c r="T6159" i="15"/>
  <c r="T6158" i="15"/>
  <c r="T6157" i="15"/>
  <c r="T6156" i="15"/>
  <c r="T6155" i="15"/>
  <c r="T6154" i="15"/>
  <c r="T6153" i="15"/>
  <c r="T6152" i="15"/>
  <c r="T6151" i="15"/>
  <c r="T6150" i="15"/>
  <c r="T6149" i="15"/>
  <c r="T6148" i="15"/>
  <c r="T6147" i="15"/>
  <c r="T6146" i="15"/>
  <c r="T6145" i="15"/>
  <c r="T6144" i="15"/>
  <c r="T6143" i="15"/>
  <c r="T6142" i="15"/>
  <c r="T6141" i="15"/>
  <c r="T6140" i="15"/>
  <c r="T6139" i="15"/>
  <c r="T6138" i="15"/>
  <c r="T6137" i="15"/>
  <c r="T6136" i="15"/>
  <c r="T6135" i="15"/>
  <c r="T6134" i="15"/>
  <c r="T6133" i="15"/>
  <c r="T6132" i="15"/>
  <c r="T6131" i="15"/>
  <c r="T6130" i="15"/>
  <c r="T6129" i="15"/>
  <c r="T6128" i="15"/>
  <c r="T6127" i="15"/>
  <c r="T6126" i="15"/>
  <c r="T6125" i="15"/>
  <c r="T6124" i="15"/>
  <c r="T6123" i="15"/>
  <c r="T6122" i="15"/>
  <c r="T6121" i="15"/>
  <c r="T6120" i="15"/>
  <c r="T6119" i="15"/>
  <c r="T6118" i="15"/>
  <c r="T6117" i="15"/>
  <c r="T6116" i="15"/>
  <c r="T6115" i="15"/>
  <c r="T6114" i="15"/>
  <c r="T6113" i="15"/>
  <c r="T6112" i="15"/>
  <c r="T6111" i="15"/>
  <c r="T6110" i="15"/>
  <c r="T6109" i="15"/>
  <c r="T6108" i="15"/>
  <c r="T6107" i="15"/>
  <c r="T6106" i="15"/>
  <c r="T6105" i="15"/>
  <c r="T6104" i="15"/>
  <c r="T6103" i="15"/>
  <c r="T6102" i="15"/>
  <c r="T6101" i="15"/>
  <c r="T6100" i="15"/>
  <c r="T6099" i="15"/>
  <c r="T6098" i="15"/>
  <c r="T6097" i="15"/>
  <c r="T6096" i="15"/>
  <c r="T6095" i="15"/>
  <c r="T6094" i="15"/>
  <c r="T6093" i="15"/>
  <c r="T6092" i="15"/>
  <c r="T6091" i="15"/>
  <c r="T6090" i="15"/>
  <c r="T6089" i="15"/>
  <c r="T6088" i="15"/>
  <c r="T6087" i="15"/>
  <c r="T6086" i="15"/>
  <c r="T6085" i="15"/>
  <c r="T6084" i="15"/>
  <c r="T6083" i="15"/>
  <c r="T6082" i="15"/>
  <c r="T6081" i="15"/>
  <c r="T6080" i="15"/>
  <c r="T6079" i="15"/>
  <c r="T6078" i="15"/>
  <c r="T6077" i="15"/>
  <c r="T6076" i="15"/>
  <c r="T6075" i="15"/>
  <c r="T6074" i="15"/>
  <c r="T6073" i="15"/>
  <c r="T6072" i="15"/>
  <c r="T6071" i="15"/>
  <c r="T6070" i="15"/>
  <c r="T6069" i="15"/>
  <c r="T6068" i="15"/>
  <c r="T6067" i="15"/>
  <c r="T6066" i="15"/>
  <c r="T6065" i="15"/>
  <c r="T6064" i="15"/>
  <c r="T6063" i="15"/>
  <c r="T6062" i="15"/>
  <c r="T6061" i="15"/>
  <c r="T6060" i="15"/>
  <c r="T6059" i="15"/>
  <c r="T6058" i="15"/>
  <c r="T6057" i="15"/>
  <c r="T6056" i="15"/>
  <c r="T6055" i="15"/>
  <c r="T6054" i="15"/>
  <c r="T6053" i="15"/>
  <c r="T6052" i="15"/>
  <c r="T6051" i="15"/>
  <c r="T6050" i="15"/>
  <c r="T6049" i="15"/>
  <c r="T6048" i="15"/>
  <c r="T6047" i="15"/>
  <c r="T6046" i="15"/>
  <c r="T6045" i="15"/>
  <c r="T6044" i="15"/>
  <c r="T6043" i="15"/>
  <c r="T6042" i="15"/>
  <c r="T6041" i="15"/>
  <c r="T6040" i="15"/>
  <c r="T6039" i="15"/>
  <c r="T6038" i="15"/>
  <c r="T6037" i="15"/>
  <c r="T6036" i="15"/>
  <c r="T6035" i="15"/>
  <c r="T6034" i="15"/>
  <c r="T6033" i="15"/>
  <c r="T6032" i="15"/>
  <c r="T6031" i="15"/>
  <c r="T6030" i="15"/>
  <c r="T6029" i="15"/>
  <c r="T6028" i="15"/>
  <c r="T6027" i="15"/>
  <c r="T6026" i="15"/>
  <c r="T6025" i="15"/>
  <c r="T6024" i="15"/>
  <c r="T6023" i="15"/>
  <c r="T6022" i="15"/>
  <c r="T6021" i="15"/>
  <c r="T6020" i="15"/>
  <c r="T6019" i="15"/>
  <c r="T6018" i="15"/>
  <c r="T6017" i="15"/>
  <c r="T6016" i="15"/>
  <c r="T6015" i="15"/>
  <c r="T6014" i="15"/>
  <c r="T6013" i="15"/>
  <c r="T6012" i="15"/>
  <c r="T6011" i="15"/>
  <c r="T6010" i="15"/>
  <c r="T6009" i="15"/>
  <c r="T6008" i="15"/>
  <c r="T6007" i="15"/>
  <c r="T6006" i="15"/>
  <c r="T6005" i="15"/>
  <c r="T6004" i="15"/>
  <c r="T6003" i="15"/>
  <c r="T6002" i="15"/>
  <c r="T6001" i="15"/>
  <c r="T6000" i="15"/>
  <c r="T5999" i="15"/>
  <c r="T5998" i="15"/>
  <c r="T5997" i="15"/>
  <c r="T5996" i="15"/>
  <c r="T5995" i="15"/>
  <c r="T5994" i="15"/>
  <c r="T5993" i="15"/>
  <c r="T5992" i="15"/>
  <c r="T5991" i="15"/>
  <c r="T5990" i="15"/>
  <c r="T5989" i="15"/>
  <c r="T5988" i="15"/>
  <c r="T5987" i="15"/>
  <c r="T5986" i="15"/>
  <c r="T5985" i="15"/>
  <c r="T5984" i="15"/>
  <c r="T5983" i="15"/>
  <c r="T5982" i="15"/>
  <c r="T5981" i="15"/>
  <c r="T5980" i="15"/>
  <c r="T5979" i="15"/>
  <c r="T5978" i="15"/>
  <c r="T5977" i="15"/>
  <c r="T5976" i="15"/>
  <c r="T5975" i="15"/>
  <c r="T5974" i="15"/>
  <c r="T5973" i="15"/>
  <c r="T5972" i="15"/>
  <c r="T5971" i="15"/>
  <c r="T5970" i="15"/>
  <c r="T5969" i="15"/>
  <c r="T5968" i="15"/>
  <c r="T5967" i="15"/>
  <c r="T5966" i="15"/>
  <c r="T5965" i="15"/>
  <c r="T5964" i="15"/>
  <c r="T5963" i="15"/>
  <c r="T5962" i="15"/>
  <c r="T5961" i="15"/>
  <c r="T5960" i="15"/>
  <c r="T5959" i="15"/>
  <c r="T5958" i="15"/>
  <c r="T5957" i="15"/>
  <c r="T5956" i="15"/>
  <c r="T5955" i="15"/>
  <c r="T5954" i="15"/>
  <c r="T5953" i="15"/>
  <c r="T5952" i="15"/>
  <c r="T5951" i="15"/>
  <c r="T5950" i="15"/>
  <c r="T5949" i="15"/>
  <c r="T5948" i="15"/>
  <c r="T5947" i="15"/>
  <c r="T5946" i="15"/>
  <c r="T5945" i="15"/>
  <c r="T5944" i="15"/>
  <c r="T5943" i="15"/>
  <c r="T5942" i="15"/>
  <c r="T5941" i="15"/>
  <c r="T5940" i="15"/>
  <c r="T5939" i="15"/>
  <c r="T5938" i="15"/>
  <c r="T5937" i="15"/>
  <c r="T5936" i="15"/>
  <c r="T5935" i="15"/>
  <c r="T5934" i="15"/>
  <c r="T5933" i="15"/>
  <c r="T5932" i="15"/>
  <c r="T5931" i="15"/>
  <c r="T5930" i="15"/>
  <c r="T5929" i="15"/>
  <c r="T5928" i="15"/>
  <c r="T5927" i="15"/>
  <c r="T5926" i="15"/>
  <c r="T5925" i="15"/>
  <c r="T5924" i="15"/>
  <c r="T5923" i="15"/>
  <c r="T5922" i="15"/>
  <c r="T5921" i="15"/>
  <c r="T5920" i="15"/>
  <c r="T5919" i="15"/>
  <c r="T5918" i="15"/>
  <c r="T5917" i="15"/>
  <c r="T5916" i="15"/>
  <c r="T5915" i="15"/>
  <c r="T5914" i="15"/>
  <c r="T5913" i="15"/>
  <c r="T5912" i="15"/>
  <c r="T5911" i="15"/>
  <c r="T5910" i="15"/>
  <c r="T5909" i="15"/>
  <c r="T5908" i="15"/>
  <c r="T5907" i="15"/>
  <c r="T5906" i="15"/>
  <c r="T5905" i="15"/>
  <c r="T5904" i="15"/>
  <c r="T5903" i="15"/>
  <c r="T5902" i="15"/>
  <c r="T5901" i="15"/>
  <c r="T5900" i="15"/>
  <c r="T5899" i="15"/>
  <c r="T5898" i="15"/>
  <c r="T5897" i="15"/>
  <c r="T5896" i="15"/>
  <c r="T5895" i="15"/>
  <c r="T5894" i="15"/>
  <c r="T5893" i="15"/>
  <c r="T5892" i="15"/>
  <c r="T5891" i="15"/>
  <c r="T5890" i="15"/>
  <c r="T5889" i="15"/>
  <c r="T5888" i="15"/>
  <c r="T5887" i="15"/>
  <c r="T5886" i="15"/>
  <c r="T5885" i="15"/>
  <c r="T5884" i="15"/>
  <c r="T5883" i="15"/>
  <c r="T5882" i="15"/>
  <c r="T5881" i="15"/>
  <c r="T5880" i="15"/>
  <c r="T5879" i="15"/>
  <c r="T5878" i="15"/>
  <c r="T5877" i="15"/>
  <c r="T5876" i="15"/>
  <c r="T5875" i="15"/>
  <c r="T5874" i="15"/>
  <c r="T5873" i="15"/>
  <c r="T5872" i="15"/>
  <c r="T5871" i="15"/>
  <c r="T5870" i="15"/>
  <c r="T5869" i="15"/>
  <c r="T5868" i="15"/>
  <c r="T5867" i="15"/>
  <c r="T5866" i="15"/>
  <c r="T5865" i="15"/>
  <c r="T5864" i="15"/>
  <c r="T5863" i="15"/>
  <c r="T5862" i="15"/>
  <c r="T5861" i="15"/>
  <c r="T5860" i="15"/>
  <c r="T5859" i="15"/>
  <c r="T5858" i="15"/>
  <c r="T5857" i="15"/>
  <c r="T5856" i="15"/>
  <c r="T5855" i="15"/>
  <c r="T5854" i="15"/>
  <c r="T5853" i="15"/>
  <c r="T5852" i="15"/>
  <c r="T5851" i="15"/>
  <c r="T5850" i="15"/>
  <c r="T5849" i="15"/>
  <c r="T5848" i="15"/>
  <c r="T5847" i="15"/>
  <c r="T5846" i="15"/>
  <c r="T5845" i="15"/>
  <c r="T5844" i="15"/>
  <c r="T5843" i="15"/>
  <c r="T5842" i="15"/>
  <c r="T5841" i="15"/>
  <c r="T5840" i="15"/>
  <c r="T5839" i="15"/>
  <c r="T5838" i="15"/>
  <c r="T5837" i="15"/>
  <c r="T5836" i="15"/>
  <c r="T5835" i="15"/>
  <c r="T5834" i="15"/>
  <c r="T5833" i="15"/>
  <c r="T5832" i="15"/>
  <c r="T5831" i="15"/>
  <c r="T5830" i="15"/>
  <c r="T5829" i="15"/>
  <c r="T5828" i="15"/>
  <c r="T5827" i="15"/>
  <c r="T5826" i="15"/>
  <c r="T5825" i="15"/>
  <c r="T5824" i="15"/>
  <c r="T5823" i="15"/>
  <c r="T5822" i="15"/>
  <c r="T5821" i="15"/>
  <c r="T5820" i="15"/>
  <c r="T5819" i="15"/>
  <c r="T5818" i="15"/>
  <c r="T5817" i="15"/>
  <c r="T5816" i="15"/>
  <c r="T5815" i="15"/>
  <c r="T5814" i="15"/>
  <c r="T5813" i="15"/>
  <c r="T5812" i="15"/>
  <c r="T5811" i="15"/>
  <c r="T5810" i="15"/>
  <c r="T5809" i="15"/>
  <c r="T5808" i="15"/>
  <c r="T5807" i="15"/>
  <c r="T5806" i="15"/>
  <c r="T5805" i="15"/>
  <c r="T5804" i="15"/>
  <c r="T5803" i="15"/>
  <c r="T5802" i="15"/>
  <c r="T5801" i="15"/>
  <c r="T5800" i="15"/>
  <c r="T5799" i="15"/>
  <c r="T5798" i="15"/>
  <c r="T5797" i="15"/>
  <c r="T5796" i="15"/>
  <c r="T5795" i="15"/>
  <c r="T5794" i="15"/>
  <c r="T5793" i="15"/>
  <c r="T5792" i="15"/>
  <c r="T5791" i="15"/>
  <c r="T5790" i="15"/>
  <c r="T5789" i="15"/>
  <c r="T5788" i="15"/>
  <c r="T5787" i="15"/>
  <c r="T5786" i="15"/>
  <c r="T5785" i="15"/>
  <c r="T5784" i="15"/>
  <c r="T5783" i="15"/>
  <c r="T5782" i="15"/>
  <c r="T5781" i="15"/>
  <c r="T5780" i="15"/>
  <c r="T5779" i="15"/>
  <c r="T5778" i="15"/>
  <c r="T5777" i="15"/>
  <c r="T5776" i="15"/>
  <c r="T5775" i="15"/>
  <c r="T5774" i="15"/>
  <c r="T5773" i="15"/>
  <c r="T5772" i="15"/>
  <c r="T5771" i="15"/>
  <c r="T5770" i="15"/>
  <c r="T5769" i="15"/>
  <c r="T5768" i="15"/>
  <c r="T5767" i="15"/>
  <c r="T5766" i="15"/>
  <c r="T5765" i="15"/>
  <c r="T5764" i="15"/>
  <c r="T5763" i="15"/>
  <c r="T5762" i="15"/>
  <c r="T5761" i="15"/>
  <c r="T5760" i="15"/>
  <c r="T5759" i="15"/>
  <c r="T5758" i="15"/>
  <c r="T5757" i="15"/>
  <c r="T5756" i="15"/>
  <c r="T5755" i="15"/>
  <c r="T5754" i="15"/>
  <c r="T5753" i="15"/>
  <c r="T5752" i="15"/>
  <c r="T5751" i="15"/>
  <c r="T5750" i="15"/>
  <c r="T5749" i="15"/>
  <c r="T5748" i="15"/>
  <c r="T5747" i="15"/>
  <c r="T5746" i="15"/>
  <c r="T5745" i="15"/>
  <c r="T5744" i="15"/>
  <c r="T5743" i="15"/>
  <c r="T5742" i="15"/>
  <c r="T5741" i="15"/>
  <c r="T5740" i="15"/>
  <c r="T5739" i="15"/>
  <c r="T5738" i="15"/>
  <c r="T5737" i="15"/>
  <c r="T5736" i="15"/>
  <c r="T5735" i="15"/>
  <c r="T5734" i="15"/>
  <c r="T5733" i="15"/>
  <c r="T5732" i="15"/>
  <c r="T5731" i="15"/>
  <c r="T5730" i="15"/>
  <c r="T5729" i="15"/>
  <c r="T5728" i="15"/>
  <c r="T5727" i="15"/>
  <c r="T5726" i="15"/>
  <c r="T5725" i="15"/>
  <c r="T5724" i="15"/>
  <c r="T5723" i="15"/>
  <c r="T5722" i="15"/>
  <c r="T5721" i="15"/>
  <c r="T5720" i="15"/>
  <c r="T5719" i="15"/>
  <c r="T5718" i="15"/>
  <c r="T5717" i="15"/>
  <c r="T5716" i="15"/>
  <c r="T5715" i="15"/>
  <c r="T5714" i="15"/>
  <c r="T5713" i="15"/>
  <c r="T5712" i="15"/>
  <c r="T5711" i="15"/>
  <c r="T5710" i="15"/>
  <c r="T5709" i="15"/>
  <c r="T5708" i="15"/>
  <c r="T5707" i="15"/>
  <c r="T5706" i="15"/>
  <c r="T5705" i="15"/>
  <c r="T5704" i="15"/>
  <c r="T5703" i="15"/>
  <c r="T5702" i="15"/>
  <c r="T5701" i="15"/>
  <c r="T5700" i="15"/>
  <c r="T5699" i="15"/>
  <c r="T5698" i="15"/>
  <c r="T5697" i="15"/>
  <c r="T5696" i="15"/>
  <c r="T5695" i="15"/>
  <c r="T5694" i="15"/>
  <c r="T5693" i="15"/>
  <c r="T5692" i="15"/>
  <c r="T5691" i="15"/>
  <c r="T5690" i="15"/>
  <c r="T5689" i="15"/>
  <c r="T5688" i="15"/>
  <c r="T5687" i="15"/>
  <c r="T5686" i="15"/>
  <c r="T5685" i="15"/>
  <c r="T5684" i="15"/>
  <c r="T5683" i="15"/>
  <c r="T5682" i="15"/>
  <c r="T5681" i="15"/>
  <c r="T5680" i="15"/>
  <c r="T5679" i="15"/>
  <c r="T5678" i="15"/>
  <c r="T5677" i="15"/>
  <c r="T5676" i="15"/>
  <c r="T5675" i="15"/>
  <c r="T5674" i="15"/>
  <c r="T5673" i="15"/>
  <c r="T5672" i="15"/>
  <c r="T5671" i="15"/>
  <c r="T5670" i="15"/>
  <c r="T5669" i="15"/>
  <c r="T5668" i="15"/>
  <c r="T5667" i="15"/>
  <c r="T5666" i="15"/>
  <c r="T5665" i="15"/>
  <c r="T5664" i="15"/>
  <c r="T5663" i="15"/>
  <c r="T5662" i="15"/>
  <c r="T5661" i="15"/>
  <c r="T5660" i="15"/>
  <c r="T5659" i="15"/>
  <c r="T5658" i="15"/>
  <c r="T5657" i="15"/>
  <c r="T5656" i="15"/>
  <c r="T5655" i="15"/>
  <c r="T5654" i="15"/>
  <c r="T5653" i="15"/>
  <c r="T5652" i="15"/>
  <c r="T5651" i="15"/>
  <c r="T5650" i="15"/>
  <c r="T5649" i="15"/>
  <c r="T5648" i="15"/>
  <c r="T5647" i="15"/>
  <c r="T5646" i="15"/>
  <c r="T5645" i="15"/>
  <c r="T5644" i="15"/>
  <c r="T5643" i="15"/>
  <c r="T5642" i="15"/>
  <c r="T5641" i="15"/>
  <c r="T5640" i="15"/>
  <c r="T5639" i="15"/>
  <c r="T5638" i="15"/>
  <c r="T5637" i="15"/>
  <c r="T5636" i="15"/>
  <c r="T5635" i="15"/>
  <c r="T5634" i="15"/>
  <c r="T5633" i="15"/>
  <c r="T5632" i="15"/>
  <c r="T5631" i="15"/>
  <c r="T5630" i="15"/>
  <c r="T5629" i="15"/>
  <c r="T5628" i="15"/>
  <c r="T5627" i="15"/>
  <c r="T5626" i="15"/>
  <c r="T5625" i="15"/>
  <c r="T5624" i="15"/>
  <c r="T5623" i="15"/>
  <c r="T5622" i="15"/>
  <c r="T5621" i="15"/>
  <c r="T5620" i="15"/>
  <c r="T5619" i="15"/>
  <c r="T5618" i="15"/>
  <c r="T5617" i="15"/>
  <c r="T5616" i="15"/>
  <c r="T5615" i="15"/>
  <c r="T5614" i="15"/>
  <c r="T5613" i="15"/>
  <c r="T5612" i="15"/>
  <c r="T5611" i="15"/>
  <c r="T5610" i="15"/>
  <c r="T5609" i="15"/>
  <c r="T5608" i="15"/>
  <c r="T5607" i="15"/>
  <c r="T5606" i="15"/>
  <c r="T5605" i="15"/>
  <c r="T5604" i="15"/>
  <c r="T5603" i="15"/>
  <c r="T5602" i="15"/>
  <c r="T5601" i="15"/>
  <c r="T5600" i="15"/>
  <c r="T5599" i="15"/>
  <c r="T5598" i="15"/>
  <c r="T5597" i="15"/>
  <c r="T5596" i="15"/>
  <c r="T5595" i="15"/>
  <c r="T5594" i="15"/>
  <c r="T5593" i="15"/>
  <c r="T5592" i="15"/>
  <c r="T5591" i="15"/>
  <c r="T5590" i="15"/>
  <c r="T5589" i="15"/>
  <c r="T5588" i="15"/>
  <c r="T5587" i="15"/>
  <c r="T5586" i="15"/>
  <c r="T5585" i="15"/>
  <c r="T5584" i="15"/>
  <c r="T5583" i="15"/>
  <c r="T5582" i="15"/>
  <c r="T5581" i="15"/>
  <c r="T5580" i="15"/>
  <c r="T5579" i="15"/>
  <c r="T5578" i="15"/>
  <c r="T5577" i="15"/>
  <c r="T5576" i="15"/>
  <c r="T5575" i="15"/>
  <c r="T5574" i="15"/>
  <c r="T5573" i="15"/>
  <c r="T5572" i="15"/>
  <c r="T5571" i="15"/>
  <c r="T5570" i="15"/>
  <c r="T5569" i="15"/>
  <c r="T5568" i="15"/>
  <c r="T5567" i="15"/>
  <c r="T5566" i="15"/>
  <c r="T5565" i="15"/>
  <c r="T5564" i="15"/>
  <c r="T5563" i="15"/>
  <c r="T5562" i="15"/>
  <c r="T5561" i="15"/>
  <c r="T5560" i="15"/>
  <c r="T5559" i="15"/>
  <c r="T5558" i="15"/>
  <c r="T5557" i="15"/>
  <c r="T5556" i="15"/>
  <c r="T5555" i="15"/>
  <c r="T5554" i="15"/>
  <c r="T5553" i="15"/>
  <c r="T5552" i="15"/>
  <c r="T5551" i="15"/>
  <c r="T5550" i="15"/>
  <c r="T5549" i="15"/>
  <c r="T5548" i="15"/>
  <c r="T5547" i="15"/>
  <c r="T5546" i="15"/>
  <c r="T5545" i="15"/>
  <c r="T5544" i="15"/>
  <c r="T5543" i="15"/>
  <c r="T5542" i="15"/>
  <c r="T5541" i="15"/>
  <c r="T5540" i="15"/>
  <c r="T5539" i="15"/>
  <c r="T5538" i="15"/>
  <c r="T5537" i="15"/>
  <c r="T5536" i="15"/>
  <c r="T5535" i="15"/>
  <c r="T5534" i="15"/>
  <c r="T5533" i="15"/>
  <c r="T5532" i="15"/>
  <c r="T5531" i="15"/>
  <c r="T5530" i="15"/>
  <c r="T5529" i="15"/>
  <c r="T5528" i="15"/>
  <c r="T5527" i="15"/>
  <c r="T5526" i="15"/>
  <c r="T5525" i="15"/>
  <c r="T5524" i="15"/>
  <c r="T5523" i="15"/>
  <c r="T5522" i="15"/>
  <c r="T5521" i="15"/>
  <c r="T5520" i="15"/>
  <c r="T5519" i="15"/>
  <c r="T5518" i="15"/>
  <c r="T5517" i="15"/>
  <c r="T5516" i="15"/>
  <c r="T5515" i="15"/>
  <c r="T5514" i="15"/>
  <c r="T5513" i="15"/>
  <c r="T5512" i="15"/>
  <c r="T5511" i="15"/>
  <c r="T5510" i="15"/>
  <c r="T5509" i="15"/>
  <c r="T5508" i="15"/>
  <c r="T5507" i="15"/>
  <c r="T5506" i="15"/>
  <c r="T5505" i="15"/>
  <c r="T5504" i="15"/>
  <c r="T5503" i="15"/>
  <c r="T5502" i="15"/>
  <c r="T5501" i="15"/>
  <c r="T5500" i="15"/>
  <c r="T5499" i="15"/>
  <c r="T5498" i="15"/>
  <c r="T5497" i="15"/>
  <c r="T5496" i="15"/>
  <c r="T5495" i="15"/>
  <c r="T5494" i="15"/>
  <c r="T5493" i="15"/>
  <c r="T5492" i="15"/>
  <c r="T5491" i="15"/>
  <c r="T5490" i="15"/>
  <c r="T5489" i="15"/>
  <c r="T5488" i="15"/>
  <c r="T5487" i="15"/>
  <c r="T5486" i="15"/>
  <c r="T5485" i="15"/>
  <c r="T5484" i="15"/>
  <c r="T5483" i="15"/>
  <c r="T5482" i="15"/>
  <c r="T5481" i="15"/>
  <c r="T5480" i="15"/>
  <c r="T5479" i="15"/>
  <c r="T5478" i="15"/>
  <c r="T5477" i="15"/>
  <c r="T5476" i="15"/>
  <c r="T5475" i="15"/>
  <c r="T5474" i="15"/>
  <c r="T5473" i="15"/>
  <c r="T5472" i="15"/>
  <c r="T5471" i="15"/>
  <c r="T5470" i="15"/>
  <c r="T5469" i="15"/>
  <c r="T5468" i="15"/>
  <c r="T5467" i="15"/>
  <c r="T5466" i="15"/>
  <c r="T5465" i="15"/>
  <c r="T5464" i="15"/>
  <c r="T5463" i="15"/>
  <c r="T5462" i="15"/>
  <c r="T5461" i="15"/>
  <c r="T5460" i="15"/>
  <c r="T5459" i="15"/>
  <c r="T5458" i="15"/>
  <c r="T5457" i="15"/>
  <c r="T5456" i="15"/>
  <c r="T5455" i="15"/>
  <c r="T5454" i="15"/>
  <c r="T5453" i="15"/>
  <c r="T5452" i="15"/>
  <c r="T5451" i="15"/>
  <c r="T5450" i="15"/>
  <c r="T5449" i="15"/>
  <c r="T5448" i="15"/>
  <c r="T5447" i="15"/>
  <c r="T5446" i="15"/>
  <c r="T5445" i="15"/>
  <c r="T5444" i="15"/>
  <c r="T5443" i="15"/>
  <c r="T5442" i="15"/>
  <c r="T5441" i="15"/>
  <c r="T5440" i="15"/>
  <c r="T5439" i="15"/>
  <c r="T5438" i="15"/>
  <c r="T5437" i="15"/>
  <c r="T5436" i="15"/>
  <c r="T5435" i="15"/>
  <c r="T5434" i="15"/>
  <c r="T5433" i="15"/>
  <c r="T5432" i="15"/>
  <c r="T5431" i="15"/>
  <c r="T5430" i="15"/>
  <c r="T5429" i="15"/>
  <c r="T5428" i="15"/>
  <c r="T5427" i="15"/>
  <c r="T5426" i="15"/>
  <c r="T5425" i="15"/>
  <c r="T5424" i="15"/>
  <c r="T5423" i="15"/>
  <c r="T5422" i="15"/>
  <c r="T5421" i="15"/>
  <c r="T5420" i="15"/>
  <c r="T5419" i="15"/>
  <c r="T5418" i="15"/>
  <c r="T5417" i="15"/>
  <c r="T5416" i="15"/>
  <c r="T5415" i="15"/>
  <c r="T5414" i="15"/>
  <c r="T5413" i="15"/>
  <c r="T5412" i="15"/>
  <c r="T5411" i="15"/>
  <c r="T5410" i="15"/>
  <c r="T5409" i="15"/>
  <c r="T5408" i="15"/>
  <c r="T5407" i="15"/>
  <c r="T5406" i="15"/>
  <c r="T5405" i="15"/>
  <c r="T5404" i="15"/>
  <c r="T5403" i="15"/>
  <c r="T5402" i="15"/>
  <c r="T5401" i="15"/>
  <c r="T5400" i="15"/>
  <c r="T5399" i="15"/>
  <c r="T5398" i="15"/>
  <c r="T5397" i="15"/>
  <c r="T5396" i="15"/>
  <c r="T5395" i="15"/>
  <c r="T5394" i="15"/>
  <c r="T5393" i="15"/>
  <c r="T5392" i="15"/>
  <c r="T5391" i="15"/>
  <c r="T5390" i="15"/>
  <c r="T5389" i="15"/>
  <c r="T5388" i="15"/>
  <c r="T5387" i="15"/>
  <c r="T5386" i="15"/>
  <c r="T5385" i="15"/>
  <c r="T5384" i="15"/>
  <c r="T5383" i="15"/>
  <c r="T5382" i="15"/>
  <c r="T5381" i="15"/>
  <c r="T5380" i="15"/>
  <c r="T5379" i="15"/>
  <c r="T5378" i="15"/>
  <c r="T5377" i="15"/>
  <c r="T5376" i="15"/>
  <c r="T5375" i="15"/>
  <c r="T5374" i="15"/>
  <c r="T5373" i="15"/>
  <c r="T5372" i="15"/>
  <c r="T5371" i="15"/>
  <c r="T5370" i="15"/>
  <c r="T5369" i="15"/>
  <c r="T5368" i="15"/>
  <c r="T5367" i="15"/>
  <c r="T5366" i="15"/>
  <c r="T5365" i="15"/>
  <c r="T5364" i="15"/>
  <c r="T5363" i="15"/>
  <c r="T5362" i="15"/>
  <c r="T5361" i="15"/>
  <c r="T5360" i="15"/>
  <c r="T5359" i="15"/>
  <c r="T5358" i="15"/>
  <c r="T5357" i="15"/>
  <c r="T5356" i="15"/>
  <c r="T5355" i="15"/>
  <c r="T5354" i="15"/>
  <c r="T5353" i="15"/>
  <c r="T5352" i="15"/>
  <c r="T5351" i="15"/>
  <c r="T5350" i="15"/>
  <c r="T5349" i="15"/>
  <c r="T5348" i="15"/>
  <c r="T5347" i="15"/>
  <c r="T5346" i="15"/>
  <c r="T5345" i="15"/>
  <c r="T5344" i="15"/>
  <c r="T5343" i="15"/>
  <c r="T5342" i="15"/>
  <c r="T5341" i="15"/>
  <c r="T5340" i="15"/>
  <c r="T5339" i="15"/>
  <c r="T5338" i="15"/>
  <c r="T5337" i="15"/>
  <c r="T5336" i="15"/>
  <c r="T5335" i="15"/>
  <c r="T5334" i="15"/>
  <c r="T5333" i="15"/>
  <c r="T5332" i="15"/>
  <c r="T5331" i="15"/>
  <c r="T5330" i="15"/>
  <c r="T5329" i="15"/>
  <c r="T5328" i="15"/>
  <c r="T5327" i="15"/>
  <c r="T5326" i="15"/>
  <c r="T5325" i="15"/>
  <c r="T5324" i="15"/>
  <c r="T5323" i="15"/>
  <c r="T5322" i="15"/>
  <c r="T5321" i="15"/>
  <c r="T5320" i="15"/>
  <c r="T5319" i="15"/>
  <c r="T5318" i="15"/>
  <c r="T5317" i="15"/>
  <c r="T5316" i="15"/>
  <c r="T5315" i="15"/>
  <c r="T5314" i="15"/>
  <c r="T5313" i="15"/>
  <c r="T5312" i="15"/>
  <c r="T5311" i="15"/>
  <c r="T5310" i="15"/>
  <c r="T5309" i="15"/>
  <c r="T5308" i="15"/>
  <c r="T5307" i="15"/>
  <c r="T5306" i="15"/>
  <c r="T5305" i="15"/>
  <c r="T5304" i="15"/>
  <c r="T5303" i="15"/>
  <c r="T5302" i="15"/>
  <c r="T5301" i="15"/>
  <c r="T5300" i="15"/>
  <c r="T5299" i="15"/>
  <c r="T5298" i="15"/>
  <c r="T5297" i="15"/>
  <c r="T5296" i="15"/>
  <c r="T5295" i="15"/>
  <c r="T5294" i="15"/>
  <c r="T5293" i="15"/>
  <c r="T5292" i="15"/>
  <c r="T5291" i="15"/>
  <c r="T5290" i="15"/>
  <c r="T5289" i="15"/>
  <c r="T5288" i="15"/>
  <c r="T5287" i="15"/>
  <c r="T5286" i="15"/>
  <c r="T5285" i="15"/>
  <c r="T5284" i="15"/>
  <c r="T5283" i="15"/>
  <c r="T5282" i="15"/>
  <c r="T5281" i="15"/>
  <c r="T5280" i="15"/>
  <c r="T5279" i="15"/>
  <c r="T5278" i="15"/>
  <c r="T5277" i="15"/>
  <c r="T5276" i="15"/>
  <c r="T5275" i="15"/>
  <c r="T5274" i="15"/>
  <c r="T5273" i="15"/>
  <c r="T5272" i="15"/>
  <c r="T5271" i="15"/>
  <c r="T5270" i="15"/>
  <c r="T5269" i="15"/>
  <c r="T5268" i="15"/>
  <c r="T5267" i="15"/>
  <c r="T5266" i="15"/>
  <c r="T5265" i="15"/>
  <c r="T5264" i="15"/>
  <c r="T5263" i="15"/>
  <c r="T5262" i="15"/>
  <c r="T5261" i="15"/>
  <c r="T5260" i="15"/>
  <c r="T5259" i="15"/>
  <c r="T5258" i="15"/>
  <c r="T5257" i="15"/>
  <c r="T5256" i="15"/>
  <c r="T5255" i="15"/>
  <c r="T5254" i="15"/>
  <c r="T5253" i="15"/>
  <c r="T5252" i="15"/>
  <c r="T5251" i="15"/>
  <c r="T5250" i="15"/>
  <c r="T5249" i="15"/>
  <c r="T5248" i="15"/>
  <c r="T5247" i="15"/>
  <c r="T5246" i="15"/>
  <c r="T5245" i="15"/>
  <c r="T5244" i="15"/>
  <c r="T5243" i="15"/>
  <c r="T5242" i="15"/>
  <c r="T5241" i="15"/>
  <c r="T5240" i="15"/>
  <c r="T5239" i="15"/>
  <c r="T5238" i="15"/>
  <c r="T5237" i="15"/>
  <c r="T5236" i="15"/>
  <c r="T5235" i="15"/>
  <c r="T5234" i="15"/>
  <c r="T5233" i="15"/>
  <c r="T5232" i="15"/>
  <c r="T5231" i="15"/>
  <c r="T5230" i="15"/>
  <c r="T5229" i="15"/>
  <c r="T5228" i="15"/>
  <c r="T5227" i="15"/>
  <c r="T5226" i="15"/>
  <c r="T5225" i="15"/>
  <c r="T5224" i="15"/>
  <c r="T5223" i="15"/>
  <c r="T5222" i="15"/>
  <c r="T5221" i="15"/>
  <c r="T5220" i="15"/>
  <c r="T5219" i="15"/>
  <c r="T5218" i="15"/>
  <c r="T5217" i="15"/>
  <c r="T5216" i="15"/>
  <c r="T5215" i="15"/>
  <c r="T5214" i="15"/>
  <c r="T5213" i="15"/>
  <c r="T5212" i="15"/>
  <c r="T5211" i="15"/>
  <c r="T5210" i="15"/>
  <c r="T5209" i="15"/>
  <c r="T5208" i="15"/>
  <c r="T5207" i="15"/>
  <c r="T5206" i="15"/>
  <c r="T5205" i="15"/>
  <c r="T5204" i="15"/>
  <c r="T5203" i="15"/>
  <c r="T5202" i="15"/>
  <c r="T5201" i="15"/>
  <c r="T5200" i="15"/>
  <c r="T5199" i="15"/>
  <c r="T5198" i="15"/>
  <c r="T5197" i="15"/>
  <c r="T5196" i="15"/>
  <c r="T5195" i="15"/>
  <c r="T5194" i="15"/>
  <c r="T5193" i="15"/>
  <c r="T5192" i="15"/>
  <c r="T5191" i="15"/>
  <c r="T5190" i="15"/>
  <c r="T5189" i="15"/>
  <c r="T5188" i="15"/>
  <c r="T5187" i="15"/>
  <c r="T5186" i="15"/>
  <c r="T5185" i="15"/>
  <c r="T5184" i="15"/>
  <c r="T5183" i="15"/>
  <c r="T5182" i="15"/>
  <c r="T5181" i="15"/>
  <c r="T5180" i="15"/>
  <c r="T5179" i="15"/>
  <c r="T5178" i="15"/>
  <c r="T5177" i="15"/>
  <c r="T5176" i="15"/>
  <c r="T5175" i="15"/>
  <c r="T5174" i="15"/>
  <c r="T5173" i="15"/>
  <c r="T5172" i="15"/>
  <c r="T5171" i="15"/>
  <c r="T5170" i="15"/>
  <c r="T5169" i="15"/>
  <c r="T5168" i="15"/>
  <c r="T5167" i="15"/>
  <c r="T5166" i="15"/>
  <c r="T5165" i="15"/>
  <c r="T5164" i="15"/>
  <c r="T5163" i="15"/>
  <c r="T5162" i="15"/>
  <c r="T5161" i="15"/>
  <c r="T5160" i="15"/>
  <c r="T5159" i="15"/>
  <c r="T5158" i="15"/>
  <c r="T5157" i="15"/>
  <c r="T5156" i="15"/>
  <c r="T5155" i="15"/>
  <c r="T5154" i="15"/>
  <c r="T5153" i="15"/>
  <c r="T5152" i="15"/>
  <c r="T5151" i="15"/>
  <c r="T5150" i="15"/>
  <c r="T5149" i="15"/>
  <c r="T5148" i="15"/>
  <c r="T5147" i="15"/>
  <c r="T5146" i="15"/>
  <c r="T5145" i="15"/>
  <c r="T5144" i="15"/>
  <c r="T5143" i="15"/>
  <c r="T5142" i="15"/>
  <c r="T5141" i="15"/>
  <c r="T5140" i="15"/>
  <c r="T5139" i="15"/>
  <c r="T5138" i="15"/>
  <c r="T5137" i="15"/>
  <c r="T5136" i="15"/>
  <c r="T5135" i="15"/>
  <c r="T5134" i="15"/>
  <c r="T5133" i="15"/>
  <c r="T5132" i="15"/>
  <c r="T5131" i="15"/>
  <c r="T5130" i="15"/>
  <c r="T5129" i="15"/>
  <c r="T5128" i="15"/>
  <c r="T5127" i="15"/>
  <c r="T5126" i="15"/>
  <c r="T5125" i="15"/>
  <c r="T5124" i="15"/>
  <c r="T5123" i="15"/>
  <c r="T5122" i="15"/>
  <c r="T5121" i="15"/>
  <c r="T5120" i="15"/>
  <c r="T5119" i="15"/>
  <c r="T5118" i="15"/>
  <c r="T5117" i="15"/>
  <c r="T5116" i="15"/>
  <c r="T5115" i="15"/>
  <c r="T5114" i="15"/>
  <c r="T5113" i="15"/>
  <c r="T5112" i="15"/>
  <c r="T5111" i="15"/>
  <c r="T5110" i="15"/>
  <c r="T5109" i="15"/>
  <c r="T5108" i="15"/>
  <c r="T5107" i="15"/>
  <c r="T5106" i="15"/>
  <c r="T5105" i="15"/>
  <c r="T5104" i="15"/>
  <c r="T5103" i="15"/>
  <c r="T5102" i="15"/>
  <c r="T5101" i="15"/>
  <c r="T5100" i="15"/>
  <c r="T5099" i="15"/>
  <c r="T5098" i="15"/>
  <c r="T5097" i="15"/>
  <c r="T5096" i="15"/>
  <c r="T5095" i="15"/>
  <c r="T5094" i="15"/>
  <c r="T5093" i="15"/>
  <c r="T5092" i="15"/>
  <c r="T5091" i="15"/>
  <c r="T5090" i="15"/>
  <c r="T5089" i="15"/>
  <c r="T5088" i="15"/>
  <c r="T5087" i="15"/>
  <c r="T5086" i="15"/>
  <c r="T5085" i="15"/>
  <c r="T5084" i="15"/>
  <c r="T5083" i="15"/>
  <c r="T5082" i="15"/>
  <c r="T5081" i="15"/>
  <c r="T5080" i="15"/>
  <c r="T5079" i="15"/>
  <c r="T5078" i="15"/>
  <c r="T5077" i="15"/>
  <c r="T5076" i="15"/>
  <c r="T5075" i="15"/>
  <c r="T5074" i="15"/>
  <c r="T5073" i="15"/>
  <c r="T5072" i="15"/>
  <c r="T5071" i="15"/>
  <c r="T5070" i="15"/>
  <c r="T5069" i="15"/>
  <c r="T5068" i="15"/>
  <c r="T5067" i="15"/>
  <c r="T5066" i="15"/>
  <c r="T5065" i="15"/>
  <c r="T5064" i="15"/>
  <c r="T5063" i="15"/>
  <c r="T5062" i="15"/>
  <c r="T5061" i="15"/>
  <c r="T5060" i="15"/>
  <c r="T5059" i="15"/>
  <c r="T5058" i="15"/>
  <c r="T5057" i="15"/>
  <c r="T5056" i="15"/>
  <c r="T5055" i="15"/>
  <c r="T5054" i="15"/>
  <c r="T5053" i="15"/>
  <c r="T5052" i="15"/>
  <c r="T5051" i="15"/>
  <c r="T5050" i="15"/>
  <c r="T5049" i="15"/>
  <c r="T5048" i="15"/>
  <c r="T5047" i="15"/>
  <c r="T5046" i="15"/>
  <c r="T5045" i="15"/>
  <c r="T5044" i="15"/>
  <c r="T5043" i="15"/>
  <c r="T5042" i="15"/>
  <c r="T5041" i="15"/>
  <c r="T5040" i="15"/>
  <c r="T5039" i="15"/>
  <c r="T5038" i="15"/>
  <c r="T5037" i="15"/>
  <c r="T5036" i="15"/>
  <c r="T5035" i="15"/>
  <c r="T5034" i="15"/>
  <c r="T5033" i="15"/>
  <c r="T5032" i="15"/>
  <c r="T5031" i="15"/>
  <c r="T5030" i="15"/>
  <c r="T5029" i="15"/>
  <c r="T5028" i="15"/>
  <c r="T5027" i="15"/>
  <c r="T5026" i="15"/>
  <c r="T5025" i="15"/>
  <c r="T5024" i="15"/>
  <c r="T5023" i="15"/>
  <c r="T5022" i="15"/>
  <c r="T5021" i="15"/>
  <c r="T5020" i="15"/>
  <c r="T5019" i="15"/>
  <c r="T5018" i="15"/>
  <c r="T5017" i="15"/>
  <c r="T5016" i="15"/>
  <c r="T5015" i="15"/>
  <c r="T5014" i="15"/>
  <c r="T5013" i="15"/>
  <c r="T5012" i="15"/>
  <c r="T5011" i="15"/>
  <c r="T5010" i="15"/>
  <c r="T5009" i="15"/>
  <c r="T5008" i="15"/>
  <c r="T5007" i="15"/>
  <c r="T5006" i="15"/>
  <c r="T5005" i="15"/>
  <c r="T5004" i="15"/>
  <c r="T5003" i="15"/>
  <c r="T5002" i="15"/>
  <c r="T5001" i="15"/>
  <c r="T5000" i="15"/>
  <c r="T4999" i="15"/>
  <c r="T4998" i="15"/>
  <c r="T4997" i="15"/>
  <c r="T4996" i="15"/>
  <c r="T4995" i="15"/>
  <c r="T4994" i="15"/>
  <c r="T4993" i="15"/>
  <c r="T4992" i="15"/>
  <c r="T4991" i="15"/>
  <c r="T4990" i="15"/>
  <c r="T4989" i="15"/>
  <c r="T4988" i="15"/>
  <c r="T4987" i="15"/>
  <c r="T4986" i="15"/>
  <c r="T4985" i="15"/>
  <c r="T4984" i="15"/>
  <c r="T4983" i="15"/>
  <c r="T4982" i="15"/>
  <c r="T4981" i="15"/>
  <c r="T4980" i="15"/>
  <c r="T4979" i="15"/>
  <c r="T4978" i="15"/>
  <c r="T4977" i="15"/>
  <c r="T4976" i="15"/>
  <c r="T4975" i="15"/>
  <c r="T4974" i="15"/>
  <c r="T4973" i="15"/>
  <c r="T4972" i="15"/>
  <c r="T4971" i="15"/>
  <c r="T4970" i="15"/>
  <c r="T4969" i="15"/>
  <c r="T4968" i="15"/>
  <c r="T4967" i="15"/>
  <c r="T4966" i="15"/>
  <c r="T4965" i="15"/>
  <c r="T4964" i="15"/>
  <c r="T4963" i="15"/>
  <c r="T4962" i="15"/>
  <c r="T4961" i="15"/>
  <c r="T4960" i="15"/>
  <c r="T4959" i="15"/>
  <c r="T4958" i="15"/>
  <c r="T4957" i="15"/>
  <c r="T4956" i="15"/>
  <c r="T4955" i="15"/>
  <c r="T4954" i="15"/>
  <c r="T4953" i="15"/>
  <c r="T4952" i="15"/>
  <c r="T4951" i="15"/>
  <c r="T4950" i="15"/>
  <c r="T4949" i="15"/>
  <c r="T4948" i="15"/>
  <c r="T4947" i="15"/>
  <c r="T4946" i="15"/>
  <c r="T4945" i="15"/>
  <c r="T4944" i="15"/>
  <c r="T4943" i="15"/>
  <c r="T4942" i="15"/>
  <c r="T4941" i="15"/>
  <c r="T4940" i="15"/>
  <c r="T4939" i="15"/>
  <c r="T4938" i="15"/>
  <c r="T4937" i="15"/>
  <c r="T4936" i="15"/>
  <c r="T4935" i="15"/>
  <c r="T4934" i="15"/>
  <c r="T4933" i="15"/>
  <c r="T4932" i="15"/>
  <c r="T4931" i="15"/>
  <c r="T4930" i="15"/>
  <c r="T4929" i="15"/>
  <c r="T4928" i="15"/>
  <c r="T4927" i="15"/>
  <c r="T4926" i="15"/>
  <c r="T4925" i="15"/>
  <c r="T4924" i="15"/>
  <c r="T4923" i="15"/>
  <c r="T4922" i="15"/>
  <c r="T4921" i="15"/>
  <c r="T4920" i="15"/>
  <c r="T4919" i="15"/>
  <c r="T4918" i="15"/>
  <c r="T4917" i="15"/>
  <c r="T4916" i="15"/>
  <c r="T4915" i="15"/>
  <c r="T4914" i="15"/>
  <c r="T4913" i="15"/>
  <c r="T4912" i="15"/>
  <c r="T4911" i="15"/>
  <c r="T4910" i="15"/>
  <c r="T4909" i="15"/>
  <c r="T4908" i="15"/>
  <c r="T4907" i="15"/>
  <c r="T4906" i="15"/>
  <c r="T4905" i="15"/>
  <c r="T4904" i="15"/>
  <c r="T4903" i="15"/>
  <c r="T4902" i="15"/>
  <c r="T4901" i="15"/>
  <c r="T4900" i="15"/>
  <c r="T4899" i="15"/>
  <c r="T4898" i="15"/>
  <c r="T4897" i="15"/>
  <c r="T4896" i="15"/>
  <c r="T4895" i="15"/>
  <c r="T4894" i="15"/>
  <c r="T4893" i="15"/>
  <c r="T4892" i="15"/>
  <c r="T4891" i="15"/>
  <c r="T4890" i="15"/>
  <c r="T4889" i="15"/>
  <c r="T4888" i="15"/>
  <c r="T4887" i="15"/>
  <c r="T4886" i="15"/>
  <c r="T4885" i="15"/>
  <c r="T4884" i="15"/>
  <c r="T4883" i="15"/>
  <c r="T4882" i="15"/>
  <c r="T4881" i="15"/>
  <c r="T4880" i="15"/>
  <c r="T4879" i="15"/>
  <c r="T4878" i="15"/>
  <c r="T4877" i="15"/>
  <c r="T4876" i="15"/>
  <c r="T4875" i="15"/>
  <c r="T4874" i="15"/>
  <c r="T4873" i="15"/>
  <c r="T4872" i="15"/>
  <c r="T4871" i="15"/>
  <c r="T4870" i="15"/>
  <c r="T4869" i="15"/>
  <c r="T4868" i="15"/>
  <c r="T4867" i="15"/>
  <c r="T4866" i="15"/>
  <c r="T4865" i="15"/>
  <c r="T4864" i="15"/>
  <c r="T4863" i="15"/>
  <c r="T4862" i="15"/>
  <c r="T4861" i="15"/>
  <c r="T4860" i="15"/>
  <c r="T4859" i="15"/>
  <c r="T4858" i="15"/>
  <c r="T4857" i="15"/>
  <c r="T4856" i="15"/>
  <c r="T4855" i="15"/>
  <c r="T4854" i="15"/>
  <c r="T4853" i="15"/>
  <c r="T4852" i="15"/>
  <c r="T4851" i="15"/>
  <c r="T4850" i="15"/>
  <c r="T4849" i="15"/>
  <c r="T4848" i="15"/>
  <c r="T4847" i="15"/>
  <c r="T4846" i="15"/>
  <c r="T4845" i="15"/>
  <c r="T4844" i="15"/>
  <c r="T4843" i="15"/>
  <c r="T4842" i="15"/>
  <c r="T4841" i="15"/>
  <c r="T4840" i="15"/>
  <c r="T4839" i="15"/>
  <c r="T4838" i="15"/>
  <c r="T4837" i="15"/>
  <c r="T4836" i="15"/>
  <c r="T4835" i="15"/>
  <c r="T4834" i="15"/>
  <c r="T4833" i="15"/>
  <c r="T4832" i="15"/>
  <c r="T4831" i="15"/>
  <c r="T4830" i="15"/>
  <c r="T4829" i="15"/>
  <c r="T4828" i="15"/>
  <c r="T4827" i="15"/>
  <c r="T4826" i="15"/>
  <c r="T4825" i="15"/>
  <c r="T4824" i="15"/>
  <c r="T4823" i="15"/>
  <c r="T4822" i="15"/>
  <c r="T4821" i="15"/>
  <c r="T4820" i="15"/>
  <c r="T4819" i="15"/>
  <c r="T4818" i="15"/>
  <c r="T4817" i="15"/>
  <c r="T4816" i="15"/>
  <c r="T4815" i="15"/>
  <c r="T4814" i="15"/>
  <c r="T4813" i="15"/>
  <c r="T4812" i="15"/>
  <c r="T4811" i="15"/>
  <c r="T4810" i="15"/>
  <c r="T4809" i="15"/>
  <c r="T4808" i="15"/>
  <c r="T4807" i="15"/>
  <c r="T4806" i="15"/>
  <c r="T4805" i="15"/>
  <c r="T4804" i="15"/>
  <c r="T4803" i="15"/>
  <c r="T4802" i="15"/>
  <c r="T4801" i="15"/>
  <c r="T4800" i="15"/>
  <c r="T4799" i="15"/>
  <c r="T4798" i="15"/>
  <c r="T4797" i="15"/>
  <c r="T4796" i="15"/>
  <c r="T4795" i="15"/>
  <c r="T4794" i="15"/>
  <c r="T4793" i="15"/>
  <c r="T4792" i="15"/>
  <c r="T4791" i="15"/>
  <c r="T4790" i="15"/>
  <c r="T4789" i="15"/>
  <c r="T4788" i="15"/>
  <c r="T4787" i="15"/>
  <c r="T4786" i="15"/>
  <c r="T4785" i="15"/>
  <c r="T4784" i="15"/>
  <c r="T4783" i="15"/>
  <c r="T4782" i="15"/>
  <c r="T4781" i="15"/>
  <c r="T4780" i="15"/>
  <c r="T4779" i="15"/>
  <c r="T4778" i="15"/>
  <c r="T4777" i="15"/>
  <c r="T4776" i="15"/>
  <c r="T4775" i="15"/>
  <c r="T4774" i="15"/>
  <c r="T4773" i="15"/>
  <c r="T4772" i="15"/>
  <c r="T4771" i="15"/>
  <c r="T4770" i="15"/>
  <c r="T4769" i="15"/>
  <c r="T4768" i="15"/>
  <c r="T4767" i="15"/>
  <c r="T4766" i="15"/>
  <c r="T4765" i="15"/>
  <c r="T4764" i="15"/>
  <c r="T4763" i="15"/>
  <c r="T4762" i="15"/>
  <c r="T4761" i="15"/>
  <c r="T4760" i="15"/>
  <c r="T4759" i="15"/>
  <c r="T4758" i="15"/>
  <c r="T4757" i="15"/>
  <c r="T4756" i="15"/>
  <c r="T4755" i="15"/>
  <c r="T4754" i="15"/>
  <c r="T4753" i="15"/>
  <c r="T4752" i="15"/>
  <c r="T4751" i="15"/>
  <c r="T4750" i="15"/>
  <c r="T4749" i="15"/>
  <c r="T4748" i="15"/>
  <c r="T4747" i="15"/>
  <c r="T4746" i="15"/>
  <c r="T4745" i="15"/>
  <c r="T4744" i="15"/>
  <c r="T4743" i="15"/>
  <c r="T4742" i="15"/>
  <c r="T4741" i="15"/>
  <c r="T4740" i="15"/>
  <c r="T4739" i="15"/>
  <c r="T4738" i="15"/>
  <c r="T4737" i="15"/>
  <c r="T4736" i="15"/>
  <c r="T4735" i="15"/>
  <c r="T4734" i="15"/>
  <c r="T4733" i="15"/>
  <c r="T4732" i="15"/>
  <c r="T4731" i="15"/>
  <c r="T4730" i="15"/>
  <c r="T4729" i="15"/>
  <c r="T4728" i="15"/>
  <c r="T4727" i="15"/>
  <c r="T4726" i="15"/>
  <c r="T4725" i="15"/>
  <c r="T4724" i="15"/>
  <c r="T4723" i="15"/>
  <c r="T4722" i="15"/>
  <c r="T4721" i="15"/>
  <c r="T4720" i="15"/>
  <c r="T4719" i="15"/>
  <c r="T4718" i="15"/>
  <c r="T4717" i="15"/>
  <c r="T4716" i="15"/>
  <c r="T4715" i="15"/>
  <c r="T4714" i="15"/>
  <c r="T4713" i="15"/>
  <c r="T4712" i="15"/>
  <c r="T4711" i="15"/>
  <c r="T4710" i="15"/>
  <c r="T4709" i="15"/>
  <c r="T4708" i="15"/>
  <c r="T4707" i="15"/>
  <c r="T4706" i="15"/>
  <c r="T4705" i="15"/>
  <c r="T4704" i="15"/>
  <c r="T4703" i="15"/>
  <c r="T4702" i="15"/>
  <c r="T4701" i="15"/>
  <c r="T4700" i="15"/>
  <c r="T4699" i="15"/>
  <c r="T4698" i="15"/>
  <c r="T4697" i="15"/>
  <c r="T4696" i="15"/>
  <c r="T4695" i="15"/>
  <c r="T4694" i="15"/>
  <c r="T4693" i="15"/>
  <c r="T4692" i="15"/>
  <c r="T4691" i="15"/>
  <c r="T4690" i="15"/>
  <c r="T4689" i="15"/>
  <c r="T4688" i="15"/>
  <c r="T4687" i="15"/>
  <c r="T4686" i="15"/>
  <c r="T4685" i="15"/>
  <c r="T4684" i="15"/>
  <c r="T4683" i="15"/>
  <c r="T4682" i="15"/>
  <c r="T4681" i="15"/>
  <c r="T4680" i="15"/>
  <c r="T4679" i="15"/>
  <c r="T4678" i="15"/>
  <c r="T4677" i="15"/>
  <c r="T4676" i="15"/>
  <c r="T4675" i="15"/>
  <c r="T4674" i="15"/>
  <c r="T4673" i="15"/>
  <c r="T4672" i="15"/>
  <c r="T4671" i="15"/>
  <c r="T4670" i="15"/>
  <c r="T4669" i="15"/>
  <c r="T4668" i="15"/>
  <c r="T4667" i="15"/>
  <c r="T4666" i="15"/>
  <c r="T4665" i="15"/>
  <c r="T4664" i="15"/>
  <c r="T4663" i="15"/>
  <c r="T4662" i="15"/>
  <c r="T4661" i="15"/>
  <c r="T4660" i="15"/>
  <c r="T4659" i="15"/>
  <c r="T4658" i="15"/>
  <c r="T4657" i="15"/>
  <c r="T4656" i="15"/>
  <c r="T4655" i="15"/>
  <c r="T4654" i="15"/>
  <c r="T4653" i="15"/>
  <c r="T4652" i="15"/>
  <c r="T4651" i="15"/>
  <c r="T4650" i="15"/>
  <c r="T4649" i="15"/>
  <c r="T4648" i="15"/>
  <c r="T4647" i="15"/>
  <c r="T4646" i="15"/>
  <c r="T4645" i="15"/>
  <c r="T4644" i="15"/>
  <c r="T4643" i="15"/>
  <c r="T4642" i="15"/>
  <c r="T4641" i="15"/>
  <c r="T4640" i="15"/>
  <c r="T4639" i="15"/>
  <c r="T4638" i="15"/>
  <c r="T4637" i="15"/>
  <c r="T4636" i="15"/>
  <c r="T4635" i="15"/>
  <c r="T4634" i="15"/>
  <c r="T4633" i="15"/>
  <c r="T4632" i="15"/>
  <c r="T4631" i="15"/>
  <c r="T4630" i="15"/>
  <c r="T4629" i="15"/>
  <c r="T4628" i="15"/>
  <c r="T4627" i="15"/>
  <c r="T4626" i="15"/>
  <c r="T4625" i="15"/>
  <c r="T4624" i="15"/>
  <c r="T4623" i="15"/>
  <c r="T4622" i="15"/>
  <c r="T4621" i="15"/>
  <c r="T4620" i="15"/>
  <c r="T4619" i="15"/>
  <c r="T4618" i="15"/>
  <c r="T4617" i="15"/>
  <c r="T4616" i="15"/>
  <c r="T4615" i="15"/>
  <c r="T4614" i="15"/>
  <c r="T4613" i="15"/>
  <c r="T4612" i="15"/>
  <c r="T4611" i="15"/>
  <c r="T4610" i="15"/>
  <c r="T4609" i="15"/>
  <c r="T4608" i="15"/>
  <c r="T4607" i="15"/>
  <c r="T4606" i="15"/>
  <c r="T4605" i="15"/>
  <c r="T4604" i="15"/>
  <c r="T4603" i="15"/>
  <c r="T4602" i="15"/>
  <c r="T4601" i="15"/>
  <c r="T4600" i="15"/>
  <c r="T4599" i="15"/>
  <c r="T4598" i="15"/>
  <c r="T4597" i="15"/>
  <c r="T4596" i="15"/>
  <c r="T4595" i="15"/>
  <c r="T4594" i="15"/>
  <c r="T4593" i="15"/>
  <c r="T4592" i="15"/>
  <c r="T4591" i="15"/>
  <c r="T4590" i="15"/>
  <c r="T4589" i="15"/>
  <c r="T4588" i="15"/>
  <c r="T4587" i="15"/>
  <c r="T4586" i="15"/>
  <c r="T4585" i="15"/>
  <c r="T4584" i="15"/>
  <c r="T4583" i="15"/>
  <c r="T4582" i="15"/>
  <c r="T4581" i="15"/>
  <c r="T4580" i="15"/>
  <c r="T4579" i="15"/>
  <c r="T4578" i="15"/>
  <c r="T4577" i="15"/>
  <c r="T4576" i="15"/>
  <c r="T4575" i="15"/>
  <c r="T4574" i="15"/>
  <c r="T4573" i="15"/>
  <c r="T4572" i="15"/>
  <c r="T4571" i="15"/>
  <c r="T4570" i="15"/>
  <c r="T4569" i="15"/>
  <c r="T4568" i="15"/>
  <c r="T4567" i="15"/>
  <c r="T4566" i="15"/>
  <c r="T4565" i="15"/>
  <c r="T4564" i="15"/>
  <c r="T4563" i="15"/>
  <c r="T4562" i="15"/>
  <c r="T4561" i="15"/>
  <c r="T4560" i="15"/>
  <c r="T4559" i="15"/>
  <c r="T4558" i="15"/>
  <c r="T4557" i="15"/>
  <c r="T4556" i="15"/>
  <c r="T4555" i="15"/>
  <c r="T4554" i="15"/>
  <c r="T4553" i="15"/>
  <c r="T4552" i="15"/>
  <c r="T4551" i="15"/>
  <c r="T4550" i="15"/>
  <c r="T4549" i="15"/>
  <c r="T4548" i="15"/>
  <c r="T4547" i="15"/>
  <c r="T4546" i="15"/>
  <c r="T4545" i="15"/>
  <c r="T4544" i="15"/>
  <c r="T4543" i="15"/>
  <c r="T4542" i="15"/>
  <c r="T4541" i="15"/>
  <c r="T4540" i="15"/>
  <c r="T4539" i="15"/>
  <c r="T4538" i="15"/>
  <c r="T4537" i="15"/>
  <c r="T4536" i="15"/>
  <c r="T4535" i="15"/>
  <c r="T4534" i="15"/>
  <c r="T4533" i="15"/>
  <c r="T4532" i="15"/>
  <c r="T4531" i="15"/>
  <c r="T4530" i="15"/>
  <c r="T4529" i="15"/>
  <c r="T4528" i="15"/>
  <c r="T4527" i="15"/>
  <c r="T4526" i="15"/>
  <c r="T4525" i="15"/>
  <c r="T4524" i="15"/>
  <c r="T4523" i="15"/>
  <c r="T4522" i="15"/>
  <c r="T4521" i="15"/>
  <c r="T4520" i="15"/>
  <c r="T4519" i="15"/>
  <c r="T4518" i="15"/>
  <c r="T4517" i="15"/>
  <c r="T4516" i="15"/>
  <c r="T4515" i="15"/>
  <c r="T4514" i="15"/>
  <c r="T4513" i="15"/>
  <c r="T4512" i="15"/>
  <c r="T4511" i="15"/>
  <c r="T4510" i="15"/>
  <c r="T4509" i="15"/>
  <c r="T4508" i="15"/>
  <c r="T4507" i="15"/>
  <c r="T4506" i="15"/>
  <c r="T4505" i="15"/>
  <c r="T4504" i="15"/>
  <c r="T4503" i="15"/>
  <c r="T4502" i="15"/>
  <c r="T4501" i="15"/>
  <c r="T4500" i="15"/>
  <c r="T4499" i="15"/>
  <c r="T4498" i="15"/>
  <c r="T4497" i="15"/>
  <c r="T4496" i="15"/>
  <c r="T4495" i="15"/>
  <c r="T4494" i="15"/>
  <c r="T4493" i="15"/>
  <c r="T4492" i="15"/>
  <c r="T4491" i="15"/>
  <c r="T4490" i="15"/>
  <c r="T4489" i="15"/>
  <c r="T4488" i="15"/>
  <c r="T4487" i="15"/>
  <c r="T4486" i="15"/>
  <c r="T4485" i="15"/>
  <c r="T4484" i="15"/>
  <c r="T4483" i="15"/>
  <c r="T4482" i="15"/>
  <c r="T4481" i="15"/>
  <c r="T4480" i="15"/>
  <c r="T4479" i="15"/>
  <c r="T4478" i="15"/>
  <c r="T4477" i="15"/>
  <c r="T4476" i="15"/>
  <c r="T4475" i="15"/>
  <c r="T4474" i="15"/>
  <c r="T4473" i="15"/>
  <c r="T4472" i="15"/>
  <c r="T4471" i="15"/>
  <c r="T4470" i="15"/>
  <c r="T4469" i="15"/>
  <c r="T4468" i="15"/>
  <c r="T4467" i="15"/>
  <c r="T4466" i="15"/>
  <c r="T4465" i="15"/>
  <c r="T4464" i="15"/>
  <c r="T4463" i="15"/>
  <c r="T4462" i="15"/>
  <c r="T4461" i="15"/>
  <c r="T4460" i="15"/>
  <c r="T4459" i="15"/>
  <c r="T4458" i="15"/>
  <c r="T4457" i="15"/>
  <c r="T4456" i="15"/>
  <c r="T4455" i="15"/>
  <c r="T4454" i="15"/>
  <c r="T4453" i="15"/>
  <c r="T4452" i="15"/>
  <c r="T4451" i="15"/>
  <c r="T4450" i="15"/>
  <c r="T4449" i="15"/>
  <c r="T4448" i="15"/>
  <c r="T4447" i="15"/>
  <c r="T4446" i="15"/>
  <c r="T4445" i="15"/>
  <c r="T4444" i="15"/>
  <c r="T4443" i="15"/>
  <c r="T4442" i="15"/>
  <c r="T4441" i="15"/>
  <c r="T4440" i="15"/>
  <c r="T4439" i="15"/>
  <c r="T4438" i="15"/>
  <c r="T4437" i="15"/>
  <c r="T4436" i="15"/>
  <c r="T4435" i="15"/>
  <c r="T4434" i="15"/>
  <c r="T4433" i="15"/>
  <c r="T4432" i="15"/>
  <c r="T4431" i="15"/>
  <c r="T4430" i="15"/>
  <c r="T4429" i="15"/>
  <c r="T4428" i="15"/>
  <c r="T4427" i="15"/>
  <c r="T4426" i="15"/>
  <c r="T4425" i="15"/>
  <c r="T4424" i="15"/>
  <c r="T4423" i="15"/>
  <c r="T4422" i="15"/>
  <c r="T4421" i="15"/>
  <c r="T4420" i="15"/>
  <c r="T4419" i="15"/>
  <c r="T4418" i="15"/>
  <c r="T4417" i="15"/>
  <c r="T4416" i="15"/>
  <c r="T4415" i="15"/>
  <c r="T4414" i="15"/>
  <c r="T4413" i="15"/>
  <c r="T4412" i="15"/>
  <c r="T4411" i="15"/>
  <c r="T4410" i="15"/>
  <c r="T4409" i="15"/>
  <c r="T4408" i="15"/>
  <c r="T4407" i="15"/>
  <c r="T4406" i="15"/>
  <c r="T4405" i="15"/>
  <c r="T4404" i="15"/>
  <c r="T4403" i="15"/>
  <c r="T4402" i="15"/>
  <c r="T4401" i="15"/>
  <c r="T4400" i="15"/>
  <c r="T4399" i="15"/>
  <c r="T4398" i="15"/>
  <c r="T4397" i="15"/>
  <c r="T4396" i="15"/>
  <c r="T4395" i="15"/>
  <c r="T4394" i="15"/>
  <c r="T4393" i="15"/>
  <c r="T4392" i="15"/>
  <c r="T4391" i="15"/>
  <c r="T4390" i="15"/>
  <c r="T4389" i="15"/>
  <c r="T4388" i="15"/>
  <c r="T4387" i="15"/>
  <c r="T4386" i="15"/>
  <c r="T4385" i="15"/>
  <c r="T4384" i="15"/>
  <c r="T4383" i="15"/>
  <c r="T4382" i="15"/>
  <c r="T4381" i="15"/>
  <c r="T4380" i="15"/>
  <c r="T4379" i="15"/>
  <c r="T4378" i="15"/>
  <c r="T4377" i="15"/>
  <c r="T4376" i="15"/>
  <c r="T4375" i="15"/>
  <c r="T4374" i="15"/>
  <c r="T4373" i="15"/>
  <c r="T4372" i="15"/>
  <c r="T4371" i="15"/>
  <c r="T4370" i="15"/>
  <c r="T4369" i="15"/>
  <c r="T4368" i="15"/>
  <c r="T4367" i="15"/>
  <c r="T4366" i="15"/>
  <c r="T4365" i="15"/>
  <c r="T4364" i="15"/>
  <c r="T4363" i="15"/>
  <c r="T4362" i="15"/>
  <c r="T4361" i="15"/>
  <c r="T4360" i="15"/>
  <c r="T4359" i="15"/>
  <c r="T4358" i="15"/>
  <c r="T4357" i="15"/>
  <c r="T4356" i="15"/>
  <c r="T4355" i="15"/>
  <c r="T4354" i="15"/>
  <c r="T4353" i="15"/>
  <c r="T4352" i="15"/>
  <c r="T4351" i="15"/>
  <c r="T4350" i="15"/>
  <c r="T4349" i="15"/>
  <c r="T4348" i="15"/>
  <c r="T4347" i="15"/>
  <c r="T4346" i="15"/>
  <c r="T4345" i="15"/>
  <c r="T4344" i="15"/>
  <c r="T4343" i="15"/>
  <c r="T4342" i="15"/>
  <c r="T4341" i="15"/>
  <c r="T4340" i="15"/>
  <c r="T4339" i="15"/>
  <c r="T4338" i="15"/>
  <c r="T4337" i="15"/>
  <c r="T4336" i="15"/>
  <c r="T4335" i="15"/>
  <c r="T4334" i="15"/>
  <c r="T4333" i="15"/>
  <c r="T4332" i="15"/>
  <c r="T4331" i="15"/>
  <c r="T4330" i="15"/>
  <c r="T4329" i="15"/>
  <c r="T4328" i="15"/>
  <c r="T4327" i="15"/>
  <c r="T4326" i="15"/>
  <c r="T4325" i="15"/>
  <c r="T4324" i="15"/>
  <c r="T4323" i="15"/>
  <c r="T4322" i="15"/>
  <c r="T4321" i="15"/>
  <c r="T4320" i="15"/>
  <c r="T4319" i="15"/>
  <c r="T4318" i="15"/>
  <c r="T4317" i="15"/>
  <c r="T4316" i="15"/>
  <c r="T4315" i="15"/>
  <c r="T4314" i="15"/>
  <c r="T4313" i="15"/>
  <c r="T4312" i="15"/>
  <c r="T4311" i="15"/>
  <c r="T4310" i="15"/>
  <c r="T4309" i="15"/>
  <c r="T4308" i="15"/>
  <c r="T4307" i="15"/>
  <c r="T4306" i="15"/>
  <c r="T4305" i="15"/>
  <c r="T4304" i="15"/>
  <c r="T4303" i="15"/>
  <c r="T4302" i="15"/>
  <c r="T4301" i="15"/>
  <c r="T4300" i="15"/>
  <c r="T4299" i="15"/>
  <c r="T4298" i="15"/>
  <c r="T4297" i="15"/>
  <c r="T4296" i="15"/>
  <c r="T4295" i="15"/>
  <c r="T4294" i="15"/>
  <c r="T4293" i="15"/>
  <c r="T4292" i="15"/>
  <c r="T4291" i="15"/>
  <c r="T4290" i="15"/>
  <c r="T4289" i="15"/>
  <c r="T4288" i="15"/>
  <c r="T4287" i="15"/>
  <c r="T4286" i="15"/>
  <c r="T4285" i="15"/>
  <c r="T4284" i="15"/>
  <c r="T4283" i="15"/>
  <c r="T4282" i="15"/>
  <c r="T4281" i="15"/>
  <c r="T4280" i="15"/>
  <c r="T4279" i="15"/>
  <c r="T4278" i="15"/>
  <c r="T4277" i="15"/>
  <c r="T4276" i="15"/>
  <c r="T4275" i="15"/>
  <c r="T4274" i="15"/>
  <c r="T4273" i="15"/>
  <c r="T4272" i="15"/>
  <c r="T4271" i="15"/>
  <c r="T4270" i="15"/>
  <c r="T4269" i="15"/>
  <c r="T4268" i="15"/>
  <c r="T4267" i="15"/>
  <c r="T4266" i="15"/>
  <c r="T4265" i="15"/>
  <c r="T4264" i="15"/>
  <c r="T4263" i="15"/>
  <c r="T4262" i="15"/>
  <c r="T4261" i="15"/>
  <c r="T4260" i="15"/>
  <c r="T4259" i="15"/>
  <c r="T4258" i="15"/>
  <c r="T4257" i="15"/>
  <c r="T4256" i="15"/>
  <c r="T4255" i="15"/>
  <c r="T4254" i="15"/>
  <c r="T4253" i="15"/>
  <c r="T4252" i="15"/>
  <c r="T4251" i="15"/>
  <c r="T4250" i="15"/>
  <c r="T4249" i="15"/>
  <c r="T4248" i="15"/>
  <c r="T4247" i="15"/>
  <c r="T4246" i="15"/>
  <c r="T4245" i="15"/>
  <c r="T4244" i="15"/>
  <c r="T4243" i="15"/>
  <c r="T4242" i="15"/>
  <c r="T4241" i="15"/>
  <c r="T4240" i="15"/>
  <c r="T4239" i="15"/>
  <c r="T4238" i="15"/>
  <c r="T4237" i="15"/>
  <c r="T4236" i="15"/>
  <c r="T4235" i="15"/>
  <c r="T4234" i="15"/>
  <c r="T4233" i="15"/>
  <c r="T4232" i="15"/>
  <c r="T4231" i="15"/>
  <c r="T4230" i="15"/>
  <c r="T4229" i="15"/>
  <c r="T4228" i="15"/>
  <c r="T4227" i="15"/>
  <c r="T4226" i="15"/>
  <c r="T4225" i="15"/>
  <c r="T4224" i="15"/>
  <c r="T4223" i="15"/>
  <c r="T4222" i="15"/>
  <c r="T4221" i="15"/>
  <c r="T4220" i="15"/>
  <c r="T4219" i="15"/>
  <c r="T4218" i="15"/>
  <c r="T4217" i="15"/>
  <c r="T4216" i="15"/>
  <c r="T4215" i="15"/>
  <c r="T4214" i="15"/>
  <c r="T4213" i="15"/>
  <c r="T4212" i="15"/>
  <c r="T4211" i="15"/>
  <c r="T4210" i="15"/>
  <c r="T4209" i="15"/>
  <c r="T4208" i="15"/>
  <c r="T4207" i="15"/>
  <c r="T4206" i="15"/>
  <c r="T4205" i="15"/>
  <c r="T4204" i="15"/>
  <c r="T4203" i="15"/>
  <c r="T4202" i="15"/>
  <c r="T4201" i="15"/>
  <c r="T4200" i="15"/>
  <c r="T4199" i="15"/>
  <c r="T4198" i="15"/>
  <c r="T4197" i="15"/>
  <c r="T4196" i="15"/>
  <c r="T4195" i="15"/>
  <c r="T4194" i="15"/>
  <c r="T4193" i="15"/>
  <c r="T4192" i="15"/>
  <c r="T4191" i="15"/>
  <c r="T4190" i="15"/>
  <c r="T4189" i="15"/>
  <c r="T4188" i="15"/>
  <c r="T4187" i="15"/>
  <c r="T4186" i="15"/>
  <c r="T4185" i="15"/>
  <c r="T4184" i="15"/>
  <c r="T4183" i="15"/>
  <c r="T4182" i="15"/>
  <c r="T4181" i="15"/>
  <c r="T4180" i="15"/>
  <c r="T4179" i="15"/>
  <c r="T4178" i="15"/>
  <c r="T4177" i="15"/>
  <c r="T4176" i="15"/>
  <c r="T4175" i="15"/>
  <c r="T4174" i="15"/>
  <c r="T4173" i="15"/>
  <c r="T4172" i="15"/>
  <c r="T4171" i="15"/>
  <c r="T4170" i="15"/>
  <c r="T4169" i="15"/>
  <c r="T4168" i="15"/>
  <c r="T4167" i="15"/>
  <c r="T4166" i="15"/>
  <c r="T4165" i="15"/>
  <c r="T4164" i="15"/>
  <c r="T4163" i="15"/>
  <c r="T4162" i="15"/>
  <c r="T4161" i="15"/>
  <c r="T4160" i="15"/>
  <c r="T4159" i="15"/>
  <c r="T4158" i="15"/>
  <c r="T4157" i="15"/>
  <c r="T4156" i="15"/>
  <c r="T4155" i="15"/>
  <c r="T4154" i="15"/>
  <c r="T4153" i="15"/>
  <c r="T4152" i="15"/>
  <c r="T4151" i="15"/>
  <c r="T4150" i="15"/>
  <c r="T4149" i="15"/>
  <c r="T4148" i="15"/>
  <c r="T4147" i="15"/>
  <c r="T4146" i="15"/>
  <c r="T4145" i="15"/>
  <c r="T4144" i="15"/>
  <c r="T4143" i="15"/>
  <c r="T4142" i="15"/>
  <c r="T4141" i="15"/>
  <c r="T4140" i="15"/>
  <c r="T4139" i="15"/>
  <c r="T4138" i="15"/>
  <c r="T4137" i="15"/>
  <c r="T4136" i="15"/>
  <c r="T4135" i="15"/>
  <c r="T4134" i="15"/>
  <c r="T4133" i="15"/>
  <c r="T4132" i="15"/>
  <c r="T4131" i="15"/>
  <c r="T4130" i="15"/>
  <c r="T4129" i="15"/>
  <c r="T4128" i="15"/>
  <c r="T4127" i="15"/>
  <c r="T4126" i="15"/>
  <c r="T4125" i="15"/>
  <c r="T4124" i="15"/>
  <c r="T4123" i="15"/>
  <c r="T4122" i="15"/>
  <c r="T4121" i="15"/>
  <c r="T4120" i="15"/>
  <c r="T4119" i="15"/>
  <c r="T4118" i="15"/>
  <c r="T4117" i="15"/>
  <c r="T4116" i="15"/>
  <c r="T4115" i="15"/>
  <c r="T4114" i="15"/>
  <c r="T4113" i="15"/>
  <c r="T4112" i="15"/>
  <c r="T4111" i="15"/>
  <c r="T4110" i="15"/>
  <c r="T4109" i="15"/>
  <c r="T4108" i="15"/>
  <c r="T4107" i="15"/>
  <c r="T4106" i="15"/>
  <c r="T4105" i="15"/>
  <c r="T4104" i="15"/>
  <c r="T4103" i="15"/>
  <c r="T4102" i="15"/>
  <c r="T4101" i="15"/>
  <c r="T4100" i="15"/>
  <c r="T4099" i="15"/>
  <c r="T4098" i="15"/>
  <c r="T4097" i="15"/>
  <c r="T4096" i="15"/>
  <c r="T4095" i="15"/>
  <c r="T4094" i="15"/>
  <c r="T4093" i="15"/>
  <c r="T4092" i="15"/>
  <c r="T4091" i="15"/>
  <c r="T4090" i="15"/>
  <c r="T4089" i="15"/>
  <c r="T4088" i="15"/>
  <c r="T4087" i="15"/>
  <c r="T4086" i="15"/>
  <c r="T4085" i="15"/>
  <c r="T4084" i="15"/>
  <c r="T4083" i="15"/>
  <c r="T4082" i="15"/>
  <c r="T4081" i="15"/>
  <c r="T4080" i="15"/>
  <c r="T4079" i="15"/>
  <c r="T4078" i="15"/>
  <c r="T4077" i="15"/>
  <c r="T4076" i="15"/>
  <c r="T4075" i="15"/>
  <c r="T4074" i="15"/>
  <c r="T4073" i="15"/>
  <c r="T4072" i="15"/>
  <c r="T4071" i="15"/>
  <c r="T4070" i="15"/>
  <c r="T4069" i="15"/>
  <c r="T4068" i="15"/>
  <c r="T4067" i="15"/>
  <c r="T4066" i="15"/>
  <c r="T4065" i="15"/>
  <c r="T4064" i="15"/>
  <c r="T4063" i="15"/>
  <c r="T4062" i="15"/>
  <c r="T4061" i="15"/>
  <c r="T4060" i="15"/>
  <c r="T4059" i="15"/>
  <c r="T4058" i="15"/>
  <c r="T4057" i="15"/>
  <c r="T4056" i="15"/>
  <c r="T4055" i="15"/>
  <c r="T4054" i="15"/>
  <c r="T4053" i="15"/>
  <c r="T4052" i="15"/>
  <c r="T4051" i="15"/>
  <c r="T4050" i="15"/>
  <c r="T4049" i="15"/>
  <c r="T4048" i="15"/>
  <c r="T4047" i="15"/>
  <c r="T4046" i="15"/>
  <c r="T4045" i="15"/>
  <c r="T4044" i="15"/>
  <c r="T4043" i="15"/>
  <c r="T4042" i="15"/>
  <c r="T4041" i="15"/>
  <c r="T4040" i="15"/>
  <c r="T4039" i="15"/>
  <c r="T4038" i="15"/>
  <c r="T4037" i="15"/>
  <c r="T4036" i="15"/>
  <c r="T4035" i="15"/>
  <c r="T4034" i="15"/>
  <c r="T4033" i="15"/>
  <c r="T4032" i="15"/>
  <c r="T4031" i="15"/>
  <c r="T4030" i="15"/>
  <c r="T4029" i="15"/>
  <c r="T4028" i="15"/>
  <c r="T4027" i="15"/>
  <c r="T4026" i="15"/>
  <c r="T4025" i="15"/>
  <c r="T4024" i="15"/>
  <c r="T4023" i="15"/>
  <c r="T4022" i="15"/>
  <c r="T4021" i="15"/>
  <c r="T4020" i="15"/>
  <c r="T4019" i="15"/>
  <c r="T4018" i="15"/>
  <c r="T4017" i="15"/>
  <c r="T4016" i="15"/>
  <c r="T4015" i="15"/>
  <c r="T4014" i="15"/>
  <c r="T4013" i="15"/>
  <c r="T4012" i="15"/>
  <c r="T4011" i="15"/>
  <c r="T4010" i="15"/>
  <c r="T4009" i="15"/>
  <c r="T4008" i="15"/>
  <c r="T4007" i="15"/>
  <c r="T4006" i="15"/>
  <c r="T4005" i="15"/>
  <c r="T4004" i="15"/>
  <c r="T4003" i="15"/>
  <c r="T4002" i="15"/>
  <c r="T4001" i="15"/>
  <c r="T4000" i="15"/>
  <c r="T3999" i="15"/>
  <c r="T3998" i="15"/>
  <c r="T3997" i="15"/>
  <c r="T3996" i="15"/>
  <c r="T3995" i="15"/>
  <c r="T3994" i="15"/>
  <c r="T3993" i="15"/>
  <c r="T3992" i="15"/>
  <c r="T3991" i="15"/>
  <c r="T3990" i="15"/>
  <c r="T3989" i="15"/>
  <c r="T3988" i="15"/>
  <c r="T3987" i="15"/>
  <c r="T3986" i="15"/>
  <c r="T3985" i="15"/>
  <c r="T3984" i="15"/>
  <c r="T3983" i="15"/>
  <c r="T3982" i="15"/>
  <c r="T3981" i="15"/>
  <c r="T3980" i="15"/>
  <c r="T3979" i="15"/>
  <c r="T3978" i="15"/>
  <c r="T3977" i="15"/>
  <c r="T3976" i="15"/>
  <c r="T3975" i="15"/>
  <c r="T3974" i="15"/>
  <c r="T3973" i="15"/>
  <c r="T3972" i="15"/>
  <c r="T3971" i="15"/>
  <c r="T3970" i="15"/>
  <c r="T3969" i="15"/>
  <c r="T3968" i="15"/>
  <c r="T3967" i="15"/>
  <c r="T3966" i="15"/>
  <c r="T3965" i="15"/>
  <c r="T3964" i="15"/>
  <c r="T3963" i="15"/>
  <c r="T3962" i="15"/>
  <c r="T3961" i="15"/>
  <c r="T3960" i="15"/>
  <c r="T3959" i="15"/>
  <c r="T3958" i="15"/>
  <c r="T3957" i="15"/>
  <c r="T3956" i="15"/>
  <c r="T3955" i="15"/>
  <c r="T3954" i="15"/>
  <c r="T3953" i="15"/>
  <c r="T3952" i="15"/>
  <c r="T3951" i="15"/>
  <c r="T3950" i="15"/>
  <c r="T3949" i="15"/>
  <c r="T3948" i="15"/>
  <c r="T3947" i="15"/>
  <c r="T3946" i="15"/>
  <c r="T3945" i="15"/>
  <c r="T3944" i="15"/>
  <c r="T3943" i="15"/>
  <c r="T3942" i="15"/>
  <c r="T3941" i="15"/>
  <c r="T3940" i="15"/>
  <c r="T3939" i="15"/>
  <c r="T3938" i="15"/>
  <c r="T3937" i="15"/>
  <c r="T3936" i="15"/>
  <c r="T3935" i="15"/>
  <c r="T3934" i="15"/>
  <c r="T3933" i="15"/>
  <c r="T3932" i="15"/>
  <c r="T3931" i="15"/>
  <c r="T3930" i="15"/>
  <c r="T3929" i="15"/>
  <c r="T3928" i="15"/>
  <c r="T3927" i="15"/>
  <c r="T3926" i="15"/>
  <c r="T3925" i="15"/>
  <c r="T3924" i="15"/>
  <c r="T3923" i="15"/>
  <c r="T3922" i="15"/>
  <c r="T3921" i="15"/>
  <c r="T3920" i="15"/>
  <c r="T3919" i="15"/>
  <c r="T3918" i="15"/>
  <c r="T3917" i="15"/>
  <c r="T3916" i="15"/>
  <c r="T3915" i="15"/>
  <c r="T3914" i="15"/>
  <c r="T3913" i="15"/>
  <c r="T3912" i="15"/>
  <c r="T3911" i="15"/>
  <c r="T3910" i="15"/>
  <c r="T3909" i="15"/>
  <c r="T3908" i="15"/>
  <c r="T3907" i="15"/>
  <c r="T3906" i="15"/>
  <c r="T3905" i="15"/>
  <c r="T3904" i="15"/>
  <c r="T3903" i="15"/>
  <c r="T3902" i="15"/>
  <c r="T3901" i="15"/>
  <c r="T3900" i="15"/>
  <c r="T3899" i="15"/>
  <c r="T3898" i="15"/>
  <c r="T3897" i="15"/>
  <c r="T3896" i="15"/>
  <c r="T3895" i="15"/>
  <c r="T3894" i="15"/>
  <c r="T3893" i="15"/>
  <c r="T3892" i="15"/>
  <c r="T3891" i="15"/>
  <c r="T3890" i="15"/>
  <c r="T3889" i="15"/>
  <c r="T3888" i="15"/>
  <c r="T3887" i="15"/>
  <c r="T3886" i="15"/>
  <c r="T3885" i="15"/>
  <c r="T3884" i="15"/>
  <c r="T3883" i="15"/>
  <c r="T3882" i="15"/>
  <c r="T3881" i="15"/>
  <c r="T3880" i="15"/>
  <c r="T3879" i="15"/>
  <c r="T3878" i="15"/>
  <c r="T3877" i="15"/>
  <c r="T3876" i="15"/>
  <c r="T3875" i="15"/>
  <c r="T3874" i="15"/>
  <c r="T3873" i="15"/>
  <c r="T3872" i="15"/>
  <c r="T3871" i="15"/>
  <c r="T3870" i="15"/>
  <c r="T3869" i="15"/>
  <c r="T3868" i="15"/>
  <c r="T3867" i="15"/>
  <c r="T3866" i="15"/>
  <c r="T3865" i="15"/>
  <c r="T3864" i="15"/>
  <c r="T3863" i="15"/>
  <c r="T3862" i="15"/>
  <c r="T3861" i="15"/>
  <c r="T3860" i="15"/>
  <c r="T3859" i="15"/>
  <c r="T3858" i="15"/>
  <c r="T3857" i="15"/>
  <c r="T3856" i="15"/>
  <c r="T3855" i="15"/>
  <c r="T3854" i="15"/>
  <c r="T3853" i="15"/>
  <c r="T3852" i="15"/>
  <c r="T3851" i="15"/>
  <c r="T3850" i="15"/>
  <c r="T3849" i="15"/>
  <c r="T3848" i="15"/>
  <c r="T3847" i="15"/>
  <c r="T3846" i="15"/>
  <c r="T3845" i="15"/>
  <c r="T3844" i="15"/>
  <c r="T3843" i="15"/>
  <c r="T3842" i="15"/>
  <c r="T3841" i="15"/>
  <c r="T3840" i="15"/>
  <c r="T3839" i="15"/>
  <c r="T3838" i="15"/>
  <c r="T3837" i="15"/>
  <c r="T3836" i="15"/>
  <c r="T3835" i="15"/>
  <c r="T3834" i="15"/>
  <c r="T3833" i="15"/>
  <c r="T3832" i="15"/>
  <c r="T3831" i="15"/>
  <c r="T3830" i="15"/>
  <c r="T3829" i="15"/>
  <c r="T3828" i="15"/>
  <c r="T3827" i="15"/>
  <c r="T3826" i="15"/>
  <c r="T3825" i="15"/>
  <c r="T3824" i="15"/>
  <c r="T3823" i="15"/>
  <c r="T3822" i="15"/>
  <c r="T3821" i="15"/>
  <c r="T3820" i="15"/>
  <c r="T3819" i="15"/>
  <c r="T3818" i="15"/>
  <c r="T3817" i="15"/>
  <c r="T3816" i="15"/>
  <c r="T3815" i="15"/>
  <c r="T3814" i="15"/>
  <c r="T3813" i="15"/>
  <c r="T3812" i="15"/>
  <c r="T3811" i="15"/>
  <c r="T3810" i="15"/>
  <c r="T3809" i="15"/>
  <c r="T3808" i="15"/>
  <c r="T3807" i="15"/>
  <c r="T3806" i="15"/>
  <c r="T3805" i="15"/>
  <c r="T3804" i="15"/>
  <c r="T3803" i="15"/>
  <c r="T3802" i="15"/>
  <c r="T3801" i="15"/>
  <c r="T3800" i="15"/>
  <c r="T3799" i="15"/>
  <c r="T3798" i="15"/>
  <c r="T3797" i="15"/>
  <c r="T3796" i="15"/>
  <c r="T3795" i="15"/>
  <c r="T3794" i="15"/>
  <c r="T3793" i="15"/>
  <c r="T3792" i="15"/>
  <c r="T3791" i="15"/>
  <c r="T3790" i="15"/>
  <c r="T3789" i="15"/>
  <c r="T3788" i="15"/>
  <c r="T3787" i="15"/>
  <c r="T3786" i="15"/>
  <c r="T3785" i="15"/>
  <c r="T3784" i="15"/>
  <c r="T3783" i="15"/>
  <c r="T3782" i="15"/>
  <c r="T3781" i="15"/>
  <c r="T3780" i="15"/>
  <c r="T3779" i="15"/>
  <c r="T3778" i="15"/>
  <c r="T3777" i="15"/>
  <c r="T3776" i="15"/>
  <c r="T3775" i="15"/>
  <c r="T3774" i="15"/>
  <c r="T3773" i="15"/>
  <c r="T3772" i="15"/>
  <c r="T3771" i="15"/>
  <c r="T3770" i="15"/>
  <c r="T3769" i="15"/>
  <c r="T3768" i="15"/>
  <c r="T3767" i="15"/>
  <c r="T3766" i="15"/>
  <c r="T3765" i="15"/>
  <c r="T3764" i="15"/>
  <c r="T3763" i="15"/>
  <c r="T3762" i="15"/>
  <c r="T3761" i="15"/>
  <c r="T3760" i="15"/>
  <c r="T3759" i="15"/>
  <c r="T3758" i="15"/>
  <c r="T3757" i="15"/>
  <c r="T3756" i="15"/>
  <c r="T3755" i="15"/>
  <c r="T3754" i="15"/>
  <c r="T3753" i="15"/>
  <c r="T3752" i="15"/>
  <c r="T3751" i="15"/>
  <c r="T3750" i="15"/>
  <c r="T3749" i="15"/>
  <c r="T3748" i="15"/>
  <c r="T3747" i="15"/>
  <c r="T3746" i="15"/>
  <c r="T3745" i="15"/>
  <c r="T3744" i="15"/>
  <c r="T3743" i="15"/>
  <c r="T3742" i="15"/>
  <c r="T3741" i="15"/>
  <c r="T3740" i="15"/>
  <c r="T3739" i="15"/>
  <c r="T3738" i="15"/>
  <c r="T3737" i="15"/>
  <c r="T3736" i="15"/>
  <c r="T3735" i="15"/>
  <c r="T3734" i="15"/>
  <c r="T3733" i="15"/>
  <c r="T3732" i="15"/>
  <c r="T3731" i="15"/>
  <c r="T3730" i="15"/>
  <c r="T3729" i="15"/>
  <c r="T3728" i="15"/>
  <c r="T3727" i="15"/>
  <c r="T3726" i="15"/>
  <c r="T3725" i="15"/>
  <c r="T3724" i="15"/>
  <c r="T3723" i="15"/>
  <c r="T3722" i="15"/>
  <c r="T3721" i="15"/>
  <c r="T3720" i="15"/>
  <c r="T3719" i="15"/>
  <c r="T3718" i="15"/>
  <c r="T3717" i="15"/>
  <c r="T3716" i="15"/>
  <c r="T3715" i="15"/>
  <c r="T3714" i="15"/>
  <c r="T3713" i="15"/>
  <c r="T3712" i="15"/>
  <c r="T3711" i="15"/>
  <c r="T3710" i="15"/>
  <c r="T3709" i="15"/>
  <c r="T3708" i="15"/>
  <c r="T3707" i="15"/>
  <c r="T3706" i="15"/>
  <c r="T3705" i="15"/>
  <c r="T3704" i="15"/>
  <c r="T3703" i="15"/>
  <c r="T3702" i="15"/>
  <c r="T3701" i="15"/>
  <c r="T3700" i="15"/>
  <c r="T3699" i="15"/>
  <c r="T3698" i="15"/>
  <c r="T3697" i="15"/>
  <c r="T3696" i="15"/>
  <c r="T3695" i="15"/>
  <c r="T3694" i="15"/>
  <c r="T3693" i="15"/>
  <c r="T3692" i="15"/>
  <c r="T3691" i="15"/>
  <c r="T3690" i="15"/>
  <c r="T3689" i="15"/>
  <c r="T3688" i="15"/>
  <c r="T3687" i="15"/>
  <c r="T3686" i="15"/>
  <c r="T3685" i="15"/>
  <c r="T3684" i="15"/>
  <c r="T3683" i="15"/>
  <c r="T3682" i="15"/>
  <c r="T3681" i="15"/>
  <c r="T3680" i="15"/>
  <c r="T3679" i="15"/>
  <c r="T3678" i="15"/>
  <c r="T3677" i="15"/>
  <c r="T3676" i="15"/>
  <c r="T3675" i="15"/>
  <c r="T3674" i="15"/>
  <c r="T3673" i="15"/>
  <c r="T3672" i="15"/>
  <c r="T3671" i="15"/>
  <c r="T3670" i="15"/>
  <c r="T3669" i="15"/>
  <c r="T3668" i="15"/>
  <c r="T3667" i="15"/>
  <c r="T3666" i="15"/>
  <c r="T3665" i="15"/>
  <c r="T3664" i="15"/>
  <c r="T3663" i="15"/>
  <c r="T3662" i="15"/>
  <c r="T3661" i="15"/>
  <c r="T3660" i="15"/>
  <c r="T3659" i="15"/>
  <c r="T3658" i="15"/>
  <c r="T3657" i="15"/>
  <c r="T3656" i="15"/>
  <c r="T3655" i="15"/>
  <c r="T3654" i="15"/>
  <c r="T3653" i="15"/>
  <c r="T3652" i="15"/>
  <c r="T3651" i="15"/>
  <c r="T3650" i="15"/>
  <c r="T3649" i="15"/>
  <c r="T3648" i="15"/>
  <c r="T3647" i="15"/>
  <c r="T3646" i="15"/>
  <c r="T3645" i="15"/>
  <c r="T3644" i="15"/>
  <c r="T3643" i="15"/>
  <c r="T3642" i="15"/>
  <c r="T3641" i="15"/>
  <c r="T3640" i="15"/>
  <c r="T3639" i="15"/>
  <c r="T3638" i="15"/>
  <c r="T3637" i="15"/>
  <c r="T3636" i="15"/>
  <c r="T3635" i="15"/>
  <c r="T3634" i="15"/>
  <c r="T3633" i="15"/>
  <c r="T3632" i="15"/>
  <c r="T3631" i="15"/>
  <c r="T3630" i="15"/>
  <c r="T3629" i="15"/>
  <c r="T3628" i="15"/>
  <c r="T3627" i="15"/>
  <c r="T3626" i="15"/>
  <c r="T3625" i="15"/>
  <c r="T3624" i="15"/>
  <c r="T3623" i="15"/>
  <c r="T3622" i="15"/>
  <c r="T3621" i="15"/>
  <c r="T3620" i="15"/>
  <c r="T3619" i="15"/>
  <c r="T3618" i="15"/>
  <c r="T3617" i="15"/>
  <c r="T3616" i="15"/>
  <c r="T3615" i="15"/>
  <c r="T3614" i="15"/>
  <c r="T3613" i="15"/>
  <c r="T3612" i="15"/>
  <c r="T3611" i="15"/>
  <c r="T3610" i="15"/>
  <c r="T3609" i="15"/>
  <c r="T3608" i="15"/>
  <c r="T3607" i="15"/>
  <c r="T3606" i="15"/>
  <c r="T3605" i="15"/>
  <c r="T3604" i="15"/>
  <c r="T3603" i="15"/>
  <c r="T3602" i="15"/>
  <c r="T3601" i="15"/>
  <c r="T3600" i="15"/>
  <c r="T3599" i="15"/>
  <c r="T3598" i="15"/>
  <c r="T3597" i="15"/>
  <c r="T3596" i="15"/>
  <c r="T3595" i="15"/>
  <c r="T3594" i="15"/>
  <c r="T3593" i="15"/>
  <c r="T3592" i="15"/>
  <c r="T3591" i="15"/>
  <c r="T3590" i="15"/>
  <c r="T3589" i="15"/>
  <c r="T3588" i="15"/>
  <c r="T3587" i="15"/>
  <c r="T3586" i="15"/>
  <c r="T3585" i="15"/>
  <c r="T3584" i="15"/>
  <c r="T3583" i="15"/>
  <c r="T3582" i="15"/>
  <c r="T3581" i="15"/>
  <c r="T3580" i="15"/>
  <c r="T3579" i="15"/>
  <c r="T3578" i="15"/>
  <c r="T3577" i="15"/>
  <c r="T3576" i="15"/>
  <c r="T3575" i="15"/>
  <c r="T3574" i="15"/>
  <c r="T3573" i="15"/>
  <c r="T3572" i="15"/>
  <c r="T3571" i="15"/>
  <c r="T3570" i="15"/>
  <c r="T3569" i="15"/>
  <c r="T3568" i="15"/>
  <c r="T3567" i="15"/>
  <c r="T3566" i="15"/>
  <c r="T3565" i="15"/>
  <c r="T3564" i="15"/>
  <c r="T3563" i="15"/>
  <c r="T3562" i="15"/>
  <c r="T3561" i="15"/>
  <c r="T3560" i="15"/>
  <c r="T3559" i="15"/>
  <c r="T3558" i="15"/>
  <c r="T3557" i="15"/>
  <c r="T3556" i="15"/>
  <c r="T3555" i="15"/>
  <c r="T3554" i="15"/>
  <c r="T3553" i="15"/>
  <c r="T3552" i="15"/>
  <c r="T3551" i="15"/>
  <c r="T3550" i="15"/>
  <c r="T3549" i="15"/>
  <c r="T3548" i="15"/>
  <c r="T3547" i="15"/>
  <c r="T3546" i="15"/>
  <c r="T3545" i="15"/>
  <c r="T3544" i="15"/>
  <c r="T3543" i="15"/>
  <c r="T3542" i="15"/>
  <c r="T3541" i="15"/>
  <c r="T3540" i="15"/>
  <c r="T3539" i="15"/>
  <c r="T3538" i="15"/>
  <c r="T3537" i="15"/>
  <c r="T3536" i="15"/>
  <c r="T3535" i="15"/>
  <c r="T3534" i="15"/>
  <c r="T3533" i="15"/>
  <c r="T3532" i="15"/>
  <c r="T3531" i="15"/>
  <c r="T3530" i="15"/>
  <c r="T3529" i="15"/>
  <c r="T3528" i="15"/>
  <c r="T3527" i="15"/>
  <c r="T3526" i="15"/>
  <c r="T3525" i="15"/>
  <c r="T3524" i="15"/>
  <c r="T3523" i="15"/>
  <c r="T3522" i="15"/>
  <c r="T3521" i="15"/>
  <c r="T3520" i="15"/>
  <c r="T3519" i="15"/>
  <c r="T3518" i="15"/>
  <c r="T3517" i="15"/>
  <c r="T3516" i="15"/>
  <c r="T3515" i="15"/>
  <c r="T3514" i="15"/>
  <c r="T3513" i="15"/>
  <c r="T3512" i="15"/>
  <c r="T3511" i="15"/>
  <c r="T3510" i="15"/>
  <c r="T3509" i="15"/>
  <c r="T3508" i="15"/>
  <c r="T3507" i="15"/>
  <c r="T3506" i="15"/>
  <c r="T3505" i="15"/>
  <c r="T3504" i="15"/>
  <c r="T3503" i="15"/>
  <c r="T3502" i="15"/>
  <c r="T3501" i="15"/>
  <c r="T3500" i="15"/>
  <c r="T3499" i="15"/>
  <c r="T3498" i="15"/>
  <c r="T3497" i="15"/>
  <c r="T3496" i="15"/>
  <c r="T3495" i="15"/>
  <c r="T3494" i="15"/>
  <c r="T3493" i="15"/>
  <c r="T3492" i="15"/>
  <c r="T3491" i="15"/>
  <c r="T3490" i="15"/>
  <c r="T3489" i="15"/>
  <c r="T3488" i="15"/>
  <c r="T3487" i="15"/>
  <c r="T3486" i="15"/>
  <c r="T3485" i="15"/>
  <c r="T3484" i="15"/>
  <c r="T3483" i="15"/>
  <c r="T3482" i="15"/>
  <c r="T3481" i="15"/>
  <c r="T3480" i="15"/>
  <c r="T3479" i="15"/>
  <c r="T3478" i="15"/>
  <c r="T3477" i="15"/>
  <c r="T3476" i="15"/>
  <c r="T3475" i="15"/>
  <c r="T3474" i="15"/>
  <c r="T3473" i="15"/>
  <c r="T3472" i="15"/>
  <c r="T3471" i="15"/>
  <c r="T3470" i="15"/>
  <c r="T3469" i="15"/>
  <c r="T3468" i="15"/>
  <c r="T3467" i="15"/>
  <c r="T3466" i="15"/>
  <c r="T3465" i="15"/>
  <c r="T3464" i="15"/>
  <c r="T3463" i="15"/>
  <c r="T3462" i="15"/>
  <c r="T3461" i="15"/>
  <c r="T3460" i="15"/>
  <c r="T3459" i="15"/>
  <c r="T3458" i="15"/>
  <c r="T3457" i="15"/>
  <c r="T3456" i="15"/>
  <c r="T3455" i="15"/>
  <c r="T3454" i="15"/>
  <c r="T3453" i="15"/>
  <c r="T3452" i="15"/>
  <c r="T3451" i="15"/>
  <c r="T3450" i="15"/>
  <c r="T3449" i="15"/>
  <c r="T3448" i="15"/>
  <c r="T3447" i="15"/>
  <c r="T3446" i="15"/>
  <c r="T3445" i="15"/>
  <c r="T3444" i="15"/>
  <c r="T3443" i="15"/>
  <c r="T3442" i="15"/>
  <c r="T3441" i="15"/>
  <c r="T3440" i="15"/>
  <c r="T3439" i="15"/>
  <c r="T3438" i="15"/>
  <c r="T3437" i="15"/>
  <c r="T3436" i="15"/>
  <c r="T3435" i="15"/>
  <c r="T3434" i="15"/>
  <c r="T3433" i="15"/>
  <c r="T3432" i="15"/>
  <c r="T3431" i="15"/>
  <c r="T3430" i="15"/>
  <c r="T3429" i="15"/>
  <c r="T3428" i="15"/>
  <c r="T3427" i="15"/>
  <c r="T3426" i="15"/>
  <c r="T3425" i="15"/>
  <c r="T3424" i="15"/>
  <c r="T3423" i="15"/>
  <c r="T3422" i="15"/>
  <c r="T3421" i="15"/>
  <c r="T3420" i="15"/>
  <c r="T3419" i="15"/>
  <c r="T3418" i="15"/>
  <c r="T3417" i="15"/>
  <c r="T3416" i="15"/>
  <c r="T3415" i="15"/>
  <c r="T3414" i="15"/>
  <c r="T3413" i="15"/>
  <c r="T3412" i="15"/>
  <c r="T3411" i="15"/>
  <c r="T3410" i="15"/>
  <c r="T3409" i="15"/>
  <c r="T3408" i="15"/>
  <c r="T3407" i="15"/>
  <c r="T3406" i="15"/>
  <c r="T3405" i="15"/>
  <c r="T3404" i="15"/>
  <c r="T3403" i="15"/>
  <c r="T3402" i="15"/>
  <c r="T3401" i="15"/>
  <c r="T3400" i="15"/>
  <c r="T3399" i="15"/>
  <c r="T3398" i="15"/>
  <c r="T3397" i="15"/>
  <c r="T3396" i="15"/>
  <c r="T3395" i="15"/>
  <c r="T3394" i="15"/>
  <c r="T3393" i="15"/>
  <c r="T3392" i="15"/>
  <c r="T3391" i="15"/>
  <c r="T3390" i="15"/>
  <c r="T3389" i="15"/>
  <c r="T3388" i="15"/>
  <c r="T3387" i="15"/>
  <c r="T3386" i="15"/>
  <c r="T3385" i="15"/>
  <c r="T3384" i="15"/>
  <c r="T3383" i="15"/>
  <c r="T3382" i="15"/>
  <c r="T3381" i="15"/>
  <c r="T3380" i="15"/>
  <c r="T3379" i="15"/>
  <c r="T3378" i="15"/>
  <c r="T3377" i="15"/>
  <c r="T3376" i="15"/>
  <c r="T3375" i="15"/>
  <c r="T3374" i="15"/>
  <c r="T3373" i="15"/>
  <c r="T3372" i="15"/>
  <c r="T3371" i="15"/>
  <c r="T3370" i="15"/>
  <c r="T3369" i="15"/>
  <c r="T3368" i="15"/>
  <c r="T3367" i="15"/>
  <c r="T3366" i="15"/>
  <c r="T3365" i="15"/>
  <c r="T3364" i="15"/>
  <c r="T3363" i="15"/>
  <c r="T3362" i="15"/>
  <c r="T3361" i="15"/>
  <c r="T3360" i="15"/>
  <c r="T3359" i="15"/>
  <c r="T3358" i="15"/>
  <c r="T3357" i="15"/>
  <c r="T3356" i="15"/>
  <c r="T3355" i="15"/>
  <c r="T3354" i="15"/>
  <c r="T3353" i="15"/>
  <c r="T3352" i="15"/>
  <c r="T3351" i="15"/>
  <c r="T3350" i="15"/>
  <c r="T3349" i="15"/>
  <c r="T3348" i="15"/>
  <c r="T3347" i="15"/>
  <c r="T3346" i="15"/>
  <c r="T3345" i="15"/>
  <c r="T3344" i="15"/>
  <c r="T3343" i="15"/>
  <c r="T3342" i="15"/>
  <c r="T3341" i="15"/>
  <c r="T3340" i="15"/>
  <c r="T3339" i="15"/>
  <c r="T3338" i="15"/>
  <c r="T3337" i="15"/>
  <c r="T3336" i="15"/>
  <c r="T3335" i="15"/>
  <c r="T3334" i="15"/>
  <c r="T3333" i="15"/>
  <c r="T3332" i="15"/>
  <c r="T3331" i="15"/>
  <c r="T3330" i="15"/>
  <c r="T3329" i="15"/>
  <c r="T3328" i="15"/>
  <c r="T3327" i="15"/>
  <c r="T3326" i="15"/>
  <c r="T3325" i="15"/>
  <c r="T3324" i="15"/>
  <c r="T3323" i="15"/>
  <c r="T3322" i="15"/>
  <c r="T3321" i="15"/>
  <c r="T3320" i="15"/>
  <c r="T3319" i="15"/>
  <c r="T3318" i="15"/>
  <c r="T3317" i="15"/>
  <c r="T3316" i="15"/>
  <c r="T3315" i="15"/>
  <c r="T3314" i="15"/>
  <c r="T3313" i="15"/>
  <c r="T3312" i="15"/>
  <c r="T3311" i="15"/>
  <c r="T3310" i="15"/>
  <c r="T3309" i="15"/>
  <c r="T3308" i="15"/>
  <c r="T3307" i="15"/>
  <c r="T3306" i="15"/>
  <c r="T3305" i="15"/>
  <c r="T3304" i="15"/>
  <c r="T3303" i="15"/>
  <c r="T3302" i="15"/>
  <c r="T3301" i="15"/>
  <c r="T3300" i="15"/>
  <c r="T3299" i="15"/>
  <c r="T3298" i="15"/>
  <c r="T3297" i="15"/>
  <c r="T3296" i="15"/>
  <c r="T3295" i="15"/>
  <c r="T3294" i="15"/>
  <c r="T3293" i="15"/>
  <c r="T3292" i="15"/>
  <c r="T3291" i="15"/>
  <c r="T3290" i="15"/>
  <c r="T3289" i="15"/>
  <c r="T3288" i="15"/>
  <c r="T3287" i="15"/>
  <c r="T3286" i="15"/>
  <c r="T3285" i="15"/>
  <c r="T3284" i="15"/>
  <c r="T3283" i="15"/>
  <c r="T3282" i="15"/>
  <c r="T3281" i="15"/>
  <c r="T3280" i="15"/>
  <c r="T3279" i="15"/>
  <c r="T3278" i="15"/>
  <c r="T3277" i="15"/>
  <c r="T3276" i="15"/>
  <c r="T3275" i="15"/>
  <c r="T3274" i="15"/>
  <c r="T3273" i="15"/>
  <c r="T3272" i="15"/>
  <c r="T3271" i="15"/>
  <c r="T3270" i="15"/>
  <c r="T3269" i="15"/>
  <c r="T3268" i="15"/>
  <c r="T3267" i="15"/>
  <c r="T3266" i="15"/>
  <c r="T3265" i="15"/>
  <c r="T3264" i="15"/>
  <c r="T3263" i="15"/>
  <c r="T3262" i="15"/>
  <c r="T3261" i="15"/>
  <c r="T3260" i="15"/>
  <c r="T3259" i="15"/>
  <c r="T3258" i="15"/>
  <c r="T3257" i="15"/>
  <c r="T3256" i="15"/>
  <c r="T3255" i="15"/>
  <c r="T3254" i="15"/>
  <c r="T3253" i="15"/>
  <c r="T3252" i="15"/>
  <c r="T3251" i="15"/>
  <c r="T3250" i="15"/>
  <c r="T3249" i="15"/>
  <c r="T3248" i="15"/>
  <c r="T3247" i="15"/>
  <c r="T3246" i="15"/>
  <c r="T3245" i="15"/>
  <c r="T3244" i="15"/>
  <c r="T3243" i="15"/>
  <c r="T3242" i="15"/>
  <c r="T3241" i="15"/>
  <c r="T3240" i="15"/>
  <c r="T3239" i="15"/>
  <c r="T3238" i="15"/>
  <c r="T3237" i="15"/>
  <c r="T3236" i="15"/>
  <c r="T3235" i="15"/>
  <c r="T3234" i="15"/>
  <c r="T3233" i="15"/>
  <c r="T3232" i="15"/>
  <c r="T3231" i="15"/>
  <c r="T3230" i="15"/>
  <c r="T3229" i="15"/>
  <c r="T3228" i="15"/>
  <c r="T3227" i="15"/>
  <c r="T3226" i="15"/>
  <c r="T3225" i="15"/>
  <c r="T3224" i="15"/>
  <c r="T3223" i="15"/>
  <c r="T3222" i="15"/>
  <c r="T3221" i="15"/>
  <c r="T3220" i="15"/>
  <c r="T3219" i="15"/>
  <c r="T3218" i="15"/>
  <c r="T3217" i="15"/>
  <c r="T3216" i="15"/>
  <c r="T3215" i="15"/>
  <c r="T3214" i="15"/>
  <c r="T3213" i="15"/>
  <c r="T3212" i="15"/>
  <c r="T3211" i="15"/>
  <c r="T3210" i="15"/>
  <c r="T3209" i="15"/>
  <c r="T3208" i="15"/>
  <c r="T3207" i="15"/>
  <c r="T3206" i="15"/>
  <c r="T3205" i="15"/>
  <c r="T3204" i="15"/>
  <c r="T3203" i="15"/>
  <c r="T3202" i="15"/>
  <c r="T3201" i="15"/>
  <c r="T3200" i="15"/>
  <c r="T3199" i="15"/>
  <c r="T3198" i="15"/>
  <c r="T3197" i="15"/>
  <c r="T3196" i="15"/>
  <c r="T3195" i="15"/>
  <c r="T3194" i="15"/>
  <c r="T3193" i="15"/>
  <c r="T3192" i="15"/>
  <c r="T3191" i="15"/>
  <c r="T3190" i="15"/>
  <c r="T3189" i="15"/>
  <c r="T3188" i="15"/>
  <c r="T3187" i="15"/>
  <c r="T3186" i="15"/>
  <c r="T3185" i="15"/>
  <c r="T3184" i="15"/>
  <c r="T3183" i="15"/>
  <c r="T3182" i="15"/>
  <c r="T3181" i="15"/>
  <c r="T3180" i="15"/>
  <c r="T3179" i="15"/>
  <c r="T3178" i="15"/>
  <c r="T3177" i="15"/>
  <c r="T3176" i="15"/>
  <c r="T3175" i="15"/>
  <c r="T3174" i="15"/>
  <c r="T3173" i="15"/>
  <c r="T3172" i="15"/>
  <c r="T3171" i="15"/>
  <c r="T3170" i="15"/>
  <c r="T3169" i="15"/>
  <c r="T3168" i="15"/>
  <c r="T3167" i="15"/>
  <c r="T3166" i="15"/>
  <c r="T3165" i="15"/>
  <c r="T3164" i="15"/>
  <c r="T3163" i="15"/>
  <c r="T3162" i="15"/>
  <c r="T3161" i="15"/>
  <c r="T3160" i="15"/>
  <c r="T3159" i="15"/>
  <c r="T3158" i="15"/>
  <c r="T3157" i="15"/>
  <c r="T3156" i="15"/>
  <c r="T3155" i="15"/>
  <c r="T3154" i="15"/>
  <c r="T3153" i="15"/>
  <c r="T3152" i="15"/>
  <c r="T3151" i="15"/>
  <c r="T3150" i="15"/>
  <c r="T3149" i="15"/>
  <c r="T3148" i="15"/>
  <c r="T3147" i="15"/>
  <c r="T3146" i="15"/>
  <c r="T3145" i="15"/>
  <c r="T3144" i="15"/>
  <c r="T3143" i="15"/>
  <c r="T3142" i="15"/>
  <c r="T3141" i="15"/>
  <c r="T3140" i="15"/>
  <c r="T3139" i="15"/>
  <c r="T3138" i="15"/>
  <c r="T3137" i="15"/>
  <c r="T3136" i="15"/>
  <c r="T3135" i="15"/>
  <c r="T3134" i="15"/>
  <c r="T3133" i="15"/>
  <c r="T3132" i="15"/>
  <c r="T3131" i="15"/>
  <c r="T3130" i="15"/>
  <c r="T3129" i="15"/>
  <c r="T3128" i="15"/>
  <c r="T3127" i="15"/>
  <c r="T3126" i="15"/>
  <c r="T3125" i="15"/>
  <c r="T3124" i="15"/>
  <c r="T3123" i="15"/>
  <c r="T3122" i="15"/>
  <c r="T3121" i="15"/>
  <c r="T3120" i="15"/>
  <c r="T3119" i="15"/>
  <c r="T3118" i="15"/>
  <c r="T3117" i="15"/>
  <c r="T3116" i="15"/>
  <c r="T3115" i="15"/>
  <c r="T3114" i="15"/>
  <c r="T3113" i="15"/>
  <c r="T3112" i="15"/>
  <c r="T3111" i="15"/>
  <c r="T3110" i="15"/>
  <c r="T3109" i="15"/>
  <c r="T3108" i="15"/>
  <c r="T3107" i="15"/>
  <c r="T3106" i="15"/>
  <c r="T3105" i="15"/>
  <c r="T3104" i="15"/>
  <c r="T3103" i="15"/>
  <c r="T3102" i="15"/>
  <c r="T3101" i="15"/>
  <c r="T3100" i="15"/>
  <c r="T3099" i="15"/>
  <c r="T3098" i="15"/>
  <c r="T3097" i="15"/>
  <c r="T3096" i="15"/>
  <c r="T3095" i="15"/>
  <c r="T3094" i="15"/>
  <c r="T3093" i="15"/>
  <c r="T3092" i="15"/>
  <c r="T3091" i="15"/>
  <c r="T3090" i="15"/>
  <c r="T3089" i="15"/>
  <c r="T3088" i="15"/>
  <c r="T3087" i="15"/>
  <c r="T3086" i="15"/>
  <c r="T3085" i="15"/>
  <c r="T3084" i="15"/>
  <c r="T3083" i="15"/>
  <c r="T3082" i="15"/>
  <c r="T3081" i="15"/>
  <c r="T3080" i="15"/>
  <c r="T3079" i="15"/>
  <c r="T3078" i="15"/>
  <c r="T3077" i="15"/>
  <c r="T3076" i="15"/>
  <c r="T3075" i="15"/>
  <c r="T3074" i="15"/>
  <c r="T3073" i="15"/>
  <c r="T3072" i="15"/>
  <c r="T3071" i="15"/>
  <c r="T3070" i="15"/>
  <c r="T3069" i="15"/>
  <c r="T3068" i="15"/>
  <c r="T3067" i="15"/>
  <c r="T3066" i="15"/>
  <c r="T3065" i="15"/>
  <c r="T3064" i="15"/>
  <c r="T3063" i="15"/>
  <c r="T3062" i="15"/>
  <c r="T3061" i="15"/>
  <c r="T3060" i="15"/>
  <c r="T3059" i="15"/>
  <c r="T3058" i="15"/>
  <c r="T3057" i="15"/>
  <c r="T3056" i="15"/>
  <c r="T3055" i="15"/>
  <c r="T3054" i="15"/>
  <c r="T3053" i="15"/>
  <c r="T3052" i="15"/>
  <c r="T3051" i="15"/>
  <c r="T3050" i="15"/>
  <c r="T3049" i="15"/>
  <c r="T3048" i="15"/>
  <c r="T3047" i="15"/>
  <c r="T3046" i="15"/>
  <c r="T3045" i="15"/>
  <c r="T3044" i="15"/>
  <c r="T3043" i="15"/>
  <c r="T3042" i="15"/>
  <c r="T3041" i="15"/>
  <c r="T3040" i="15"/>
  <c r="T3039" i="15"/>
  <c r="T3038" i="15"/>
  <c r="T3037" i="15"/>
  <c r="T3036" i="15"/>
  <c r="T3035" i="15"/>
  <c r="T3034" i="15"/>
  <c r="T3033" i="15"/>
  <c r="T3032" i="15"/>
  <c r="T3031" i="15"/>
  <c r="T3030" i="15"/>
  <c r="T3029" i="15"/>
  <c r="T3028" i="15"/>
  <c r="T3027" i="15"/>
  <c r="T3026" i="15"/>
  <c r="T3025" i="15"/>
  <c r="T3024" i="15"/>
  <c r="T3023" i="15"/>
  <c r="T3022" i="15"/>
  <c r="T3021" i="15"/>
  <c r="T3020" i="15"/>
  <c r="T3019" i="15"/>
  <c r="T3018" i="15"/>
  <c r="T3017" i="15"/>
  <c r="T3016" i="15"/>
  <c r="T3015" i="15"/>
  <c r="T3014" i="15"/>
  <c r="T3013" i="15"/>
  <c r="T3012" i="15"/>
  <c r="T3011" i="15"/>
  <c r="T3010" i="15"/>
  <c r="T3009" i="15"/>
  <c r="T3008" i="15"/>
  <c r="T3007" i="15"/>
  <c r="T3006" i="15"/>
  <c r="T3005" i="15"/>
  <c r="T3004" i="15"/>
  <c r="T3003" i="15"/>
  <c r="T3002" i="15"/>
  <c r="T3001" i="15"/>
  <c r="T3000" i="15"/>
  <c r="T2999" i="15"/>
  <c r="T2998" i="15"/>
  <c r="T2997" i="15"/>
  <c r="T2996" i="15"/>
  <c r="T2995" i="15"/>
  <c r="T2994" i="15"/>
  <c r="T2993" i="15"/>
  <c r="T2992" i="15"/>
  <c r="T2991" i="15"/>
  <c r="T2990" i="15"/>
  <c r="T2989" i="15"/>
  <c r="T2988" i="15"/>
  <c r="T2987" i="15"/>
  <c r="T2986" i="15"/>
  <c r="T2985" i="15"/>
  <c r="T2984" i="15"/>
  <c r="T2983" i="15"/>
  <c r="T2982" i="15"/>
  <c r="T2981" i="15"/>
  <c r="T2980" i="15"/>
  <c r="T2979" i="15"/>
  <c r="T2978" i="15"/>
  <c r="T2977" i="15"/>
  <c r="T2976" i="15"/>
  <c r="T2975" i="15"/>
  <c r="T2974" i="15"/>
  <c r="T2973" i="15"/>
  <c r="T2972" i="15"/>
  <c r="T2971" i="15"/>
  <c r="T2970" i="15"/>
  <c r="T2969" i="15"/>
  <c r="T2968" i="15"/>
  <c r="T2967" i="15"/>
  <c r="T2966" i="15"/>
  <c r="T2965" i="15"/>
  <c r="T2964" i="15"/>
  <c r="T2963" i="15"/>
  <c r="T2962" i="15"/>
  <c r="T2961" i="15"/>
  <c r="T2960" i="15"/>
  <c r="T2959" i="15"/>
  <c r="T2958" i="15"/>
  <c r="T2957" i="15"/>
  <c r="T2956" i="15"/>
  <c r="T2955" i="15"/>
  <c r="T2954" i="15"/>
  <c r="T2953" i="15"/>
  <c r="T2952" i="15"/>
  <c r="T2951" i="15"/>
  <c r="T2950" i="15"/>
  <c r="T2949" i="15"/>
  <c r="T2948" i="15"/>
  <c r="T2947" i="15"/>
  <c r="T2946" i="15"/>
  <c r="T2945" i="15"/>
  <c r="T2944" i="15"/>
  <c r="T2943" i="15"/>
  <c r="T2942" i="15"/>
  <c r="T2941" i="15"/>
  <c r="T2940" i="15"/>
  <c r="T2939" i="15"/>
  <c r="T2938" i="15"/>
  <c r="T2937" i="15"/>
  <c r="T2936" i="15"/>
  <c r="T2935" i="15"/>
  <c r="T2934" i="15"/>
  <c r="T2933" i="15"/>
  <c r="T2932" i="15"/>
  <c r="T2931" i="15"/>
  <c r="T2930" i="15"/>
  <c r="T2929" i="15"/>
  <c r="T2928" i="15"/>
  <c r="T2927" i="15"/>
  <c r="T2926" i="15"/>
  <c r="T2925" i="15"/>
  <c r="T2924" i="15"/>
  <c r="T2923" i="15"/>
  <c r="T2922" i="15"/>
  <c r="T2921" i="15"/>
  <c r="T2920" i="15"/>
  <c r="T2919" i="15"/>
  <c r="T2918" i="15"/>
  <c r="T2917" i="15"/>
  <c r="T2916" i="15"/>
  <c r="T2915" i="15"/>
  <c r="T2914" i="15"/>
  <c r="T2913" i="15"/>
  <c r="T2912" i="15"/>
  <c r="T2911" i="15"/>
  <c r="T2910" i="15"/>
  <c r="T2909" i="15"/>
  <c r="T2908" i="15"/>
  <c r="T2907" i="15"/>
  <c r="T2906" i="15"/>
  <c r="T2905" i="15"/>
  <c r="T2904" i="15"/>
  <c r="T2903" i="15"/>
  <c r="T2902" i="15"/>
  <c r="T2901" i="15"/>
  <c r="T2900" i="15"/>
  <c r="T2899" i="15"/>
  <c r="T2898" i="15"/>
  <c r="T2897" i="15"/>
  <c r="T2896" i="15"/>
  <c r="T2895" i="15"/>
  <c r="T2894" i="15"/>
  <c r="T2893" i="15"/>
  <c r="T2892" i="15"/>
  <c r="T2891" i="15"/>
  <c r="T2890" i="15"/>
  <c r="T2889" i="15"/>
  <c r="T2888" i="15"/>
  <c r="T2887" i="15"/>
  <c r="T2886" i="15"/>
  <c r="T2885" i="15"/>
  <c r="T2884" i="15"/>
  <c r="T2883" i="15"/>
  <c r="T2882" i="15"/>
  <c r="T2881" i="15"/>
  <c r="T2880" i="15"/>
  <c r="T2879" i="15"/>
  <c r="T2878" i="15"/>
  <c r="T2877" i="15"/>
  <c r="T2876" i="15"/>
  <c r="T2875" i="15"/>
  <c r="T2874" i="15"/>
  <c r="T2873" i="15"/>
  <c r="T2872" i="15"/>
  <c r="T2871" i="15"/>
  <c r="T2870" i="15"/>
  <c r="T2869" i="15"/>
  <c r="T2868" i="15"/>
  <c r="T2867" i="15"/>
  <c r="T2866" i="15"/>
  <c r="T2865" i="15"/>
  <c r="T2864" i="15"/>
  <c r="T2863" i="15"/>
  <c r="T2862" i="15"/>
  <c r="T2861" i="15"/>
  <c r="T2860" i="15"/>
  <c r="T2859" i="15"/>
  <c r="T2858" i="15"/>
  <c r="T2857" i="15"/>
  <c r="T2856" i="15"/>
  <c r="T2855" i="15"/>
  <c r="T2854" i="15"/>
  <c r="T2853" i="15"/>
  <c r="T2852" i="15"/>
  <c r="T2851" i="15"/>
  <c r="T2850" i="15"/>
  <c r="T2849" i="15"/>
  <c r="T2848" i="15"/>
  <c r="T2847" i="15"/>
  <c r="T2846" i="15"/>
  <c r="T2845" i="15"/>
  <c r="T2844" i="15"/>
  <c r="T2843" i="15"/>
  <c r="T2842" i="15"/>
  <c r="T2841" i="15"/>
  <c r="T2840" i="15"/>
  <c r="T2839" i="15"/>
  <c r="T2838" i="15"/>
  <c r="T2837" i="15"/>
  <c r="T2836" i="15"/>
  <c r="T2835" i="15"/>
  <c r="T2834" i="15"/>
  <c r="T2833" i="15"/>
  <c r="T2832" i="15"/>
  <c r="T2831" i="15"/>
  <c r="T2830" i="15"/>
  <c r="T2829" i="15"/>
  <c r="T2828" i="15"/>
  <c r="T2827" i="15"/>
  <c r="T2826" i="15"/>
  <c r="T2825" i="15"/>
  <c r="T2824" i="15"/>
  <c r="T2823" i="15"/>
  <c r="T2822" i="15"/>
  <c r="T2821" i="15"/>
  <c r="T2820" i="15"/>
  <c r="T2819" i="15"/>
  <c r="T2818" i="15"/>
  <c r="T2817" i="15"/>
  <c r="T2816" i="15"/>
  <c r="T2815" i="15"/>
  <c r="T2814" i="15"/>
  <c r="T2813" i="15"/>
  <c r="T2812" i="15"/>
  <c r="T2811" i="15"/>
  <c r="T2810" i="15"/>
  <c r="T2809" i="15"/>
  <c r="T2808" i="15"/>
  <c r="T2807" i="15"/>
  <c r="T2806" i="15"/>
  <c r="T2805" i="15"/>
  <c r="T2804" i="15"/>
  <c r="T2803" i="15"/>
  <c r="T2802" i="15"/>
  <c r="T2801" i="15"/>
  <c r="T2800" i="15"/>
  <c r="T2799" i="15"/>
  <c r="T2798" i="15"/>
  <c r="T2797" i="15"/>
  <c r="T2796" i="15"/>
  <c r="T2795" i="15"/>
  <c r="T2794" i="15"/>
  <c r="T2793" i="15"/>
  <c r="T2792" i="15"/>
  <c r="T2791" i="15"/>
  <c r="T2790" i="15"/>
  <c r="T2789" i="15"/>
  <c r="T2788" i="15"/>
  <c r="T2787" i="15"/>
  <c r="T2786" i="15"/>
  <c r="T2785" i="15"/>
  <c r="T2784" i="15"/>
  <c r="T2783" i="15"/>
  <c r="T2782" i="15"/>
  <c r="T2781" i="15"/>
  <c r="T2780" i="15"/>
  <c r="T2779" i="15"/>
  <c r="T2778" i="15"/>
  <c r="T2777" i="15"/>
  <c r="T2776" i="15"/>
  <c r="T2775" i="15"/>
  <c r="T2774" i="15"/>
  <c r="T2773" i="15"/>
  <c r="T2772" i="15"/>
  <c r="T2771" i="15"/>
  <c r="T2770" i="15"/>
  <c r="T2769" i="15"/>
  <c r="T2768" i="15"/>
  <c r="T2767" i="15"/>
  <c r="T2766" i="15"/>
  <c r="T2765" i="15"/>
  <c r="T2764" i="15"/>
  <c r="T2763" i="15"/>
  <c r="T2762" i="15"/>
  <c r="T2761" i="15"/>
  <c r="T2760" i="15"/>
  <c r="T2759" i="15"/>
  <c r="T2758" i="15"/>
  <c r="T2757" i="15"/>
  <c r="T2756" i="15"/>
  <c r="T2755" i="15"/>
  <c r="T2754" i="15"/>
  <c r="T2753" i="15"/>
  <c r="T2752" i="15"/>
  <c r="T2751" i="15"/>
  <c r="T2750" i="15"/>
  <c r="T2749" i="15"/>
  <c r="T2748" i="15"/>
  <c r="T2747" i="15"/>
  <c r="T2746" i="15"/>
  <c r="T2745" i="15"/>
  <c r="T2744" i="15"/>
  <c r="T2743" i="15"/>
  <c r="T2742" i="15"/>
  <c r="T2741" i="15"/>
  <c r="T2740" i="15"/>
  <c r="T2739" i="15"/>
  <c r="T2738" i="15"/>
  <c r="T2737" i="15"/>
  <c r="T2736" i="15"/>
  <c r="T2735" i="15"/>
  <c r="T2734" i="15"/>
  <c r="T2733" i="15"/>
  <c r="T2732" i="15"/>
  <c r="T2731" i="15"/>
  <c r="T2730" i="15"/>
  <c r="T2729" i="15"/>
  <c r="T2728" i="15"/>
  <c r="T2727" i="15"/>
  <c r="T2726" i="15"/>
  <c r="T2725" i="15"/>
  <c r="T2724" i="15"/>
  <c r="T2723" i="15"/>
  <c r="T2722" i="15"/>
  <c r="T2721" i="15"/>
  <c r="T2720" i="15"/>
  <c r="T2719" i="15"/>
  <c r="T2718" i="15"/>
  <c r="T2717" i="15"/>
  <c r="T2716" i="15"/>
  <c r="T2715" i="15"/>
  <c r="T2714" i="15"/>
  <c r="T2713" i="15"/>
  <c r="T2712" i="15"/>
  <c r="T2711" i="15"/>
  <c r="T2710" i="15"/>
  <c r="T2709" i="15"/>
  <c r="T2708" i="15"/>
  <c r="T2707" i="15"/>
  <c r="T2706" i="15"/>
  <c r="T2705" i="15"/>
  <c r="T2704" i="15"/>
  <c r="T2703" i="15"/>
  <c r="T2702" i="15"/>
  <c r="T2701" i="15"/>
  <c r="T2700" i="15"/>
  <c r="T2699" i="15"/>
  <c r="T2698" i="15"/>
  <c r="T2697" i="15"/>
  <c r="T2696" i="15"/>
  <c r="T2695" i="15"/>
  <c r="T2694" i="15"/>
  <c r="T2693" i="15"/>
  <c r="T2692" i="15"/>
  <c r="T2691" i="15"/>
  <c r="T2690" i="15"/>
  <c r="T2689" i="15"/>
  <c r="T2688" i="15"/>
  <c r="T2687" i="15"/>
  <c r="T2686" i="15"/>
  <c r="T2685" i="15"/>
  <c r="T2684" i="15"/>
  <c r="T2683" i="15"/>
  <c r="T2682" i="15"/>
  <c r="T2681" i="15"/>
  <c r="T2680" i="15"/>
  <c r="T2679" i="15"/>
  <c r="T2678" i="15"/>
  <c r="T2677" i="15"/>
  <c r="T2676" i="15"/>
  <c r="T2675" i="15"/>
  <c r="T2674" i="15"/>
  <c r="T2673" i="15"/>
  <c r="T2672" i="15"/>
  <c r="T2671" i="15"/>
  <c r="T2670" i="15"/>
  <c r="T2669" i="15"/>
  <c r="T2668" i="15"/>
  <c r="T2667" i="15"/>
  <c r="T2666" i="15"/>
  <c r="T2665" i="15"/>
  <c r="T2664" i="15"/>
  <c r="T2663" i="15"/>
  <c r="T2662" i="15"/>
  <c r="T2661" i="15"/>
  <c r="T2660" i="15"/>
  <c r="T2659" i="15"/>
  <c r="T2658" i="15"/>
  <c r="T2657" i="15"/>
  <c r="T2656" i="15"/>
  <c r="T2655" i="15"/>
  <c r="T2654" i="15"/>
  <c r="T2653" i="15"/>
  <c r="T2652" i="15"/>
  <c r="T2651" i="15"/>
  <c r="T2650" i="15"/>
  <c r="T2649" i="15"/>
  <c r="T2648" i="15"/>
  <c r="T2647" i="15"/>
  <c r="T2646" i="15"/>
  <c r="T2645" i="15"/>
  <c r="T2644" i="15"/>
  <c r="T2643" i="15"/>
  <c r="T2642" i="15"/>
  <c r="T2641" i="15"/>
  <c r="T2640" i="15"/>
  <c r="T2639" i="15"/>
  <c r="T2638" i="15"/>
  <c r="T2637" i="15"/>
  <c r="T2636" i="15"/>
  <c r="T2635" i="15"/>
  <c r="T2634" i="15"/>
  <c r="T2633" i="15"/>
  <c r="T2632" i="15"/>
  <c r="T2631" i="15"/>
  <c r="T2630" i="15"/>
  <c r="T2629" i="15"/>
  <c r="T2628" i="15"/>
  <c r="T2627" i="15"/>
  <c r="T2626" i="15"/>
  <c r="T2625" i="15"/>
  <c r="T2624" i="15"/>
  <c r="T2623" i="15"/>
  <c r="T2622" i="15"/>
  <c r="T2621" i="15"/>
  <c r="T2620" i="15"/>
  <c r="T2619" i="15"/>
  <c r="T2618" i="15"/>
  <c r="T2617" i="15"/>
  <c r="T2616" i="15"/>
  <c r="T2615" i="15"/>
  <c r="T2614" i="15"/>
  <c r="T2613" i="15"/>
  <c r="T2612" i="15"/>
  <c r="T2611" i="15"/>
  <c r="T2610" i="15"/>
  <c r="T2609" i="15"/>
  <c r="T2608" i="15"/>
  <c r="T2607" i="15"/>
  <c r="T2606" i="15"/>
  <c r="T2605" i="15"/>
  <c r="T2604" i="15"/>
  <c r="T2603" i="15"/>
  <c r="T2602" i="15"/>
  <c r="T2601" i="15"/>
  <c r="T2600" i="15"/>
  <c r="T2599" i="15"/>
  <c r="T2598" i="15"/>
  <c r="T2597" i="15"/>
  <c r="T2596" i="15"/>
  <c r="T2595" i="15"/>
  <c r="T2594" i="15"/>
  <c r="T2593" i="15"/>
  <c r="T2592" i="15"/>
  <c r="T2591" i="15"/>
  <c r="T2590" i="15"/>
  <c r="T2589" i="15"/>
  <c r="T2588" i="15"/>
  <c r="T2587" i="15"/>
  <c r="T2586" i="15"/>
  <c r="T2585" i="15"/>
  <c r="T2584" i="15"/>
  <c r="T2583" i="15"/>
  <c r="T2582" i="15"/>
  <c r="T2581" i="15"/>
  <c r="T2580" i="15"/>
  <c r="T2579" i="15"/>
  <c r="T2578" i="15"/>
  <c r="T2577" i="15"/>
  <c r="T2576" i="15"/>
  <c r="T2575" i="15"/>
  <c r="T2574" i="15"/>
  <c r="T2573" i="15"/>
  <c r="T2572" i="15"/>
  <c r="T2571" i="15"/>
  <c r="T2570" i="15"/>
  <c r="T2569" i="15"/>
  <c r="T2568" i="15"/>
  <c r="T2567" i="15"/>
  <c r="T2566" i="15"/>
  <c r="T2565" i="15"/>
  <c r="T2564" i="15"/>
  <c r="T2563" i="15"/>
  <c r="T2562" i="15"/>
  <c r="T2561" i="15"/>
  <c r="T2560" i="15"/>
  <c r="T2559" i="15"/>
  <c r="T2558" i="15"/>
  <c r="T2557" i="15"/>
  <c r="T2556" i="15"/>
  <c r="T2555" i="15"/>
  <c r="T2554" i="15"/>
  <c r="T2553" i="15"/>
  <c r="T2552" i="15"/>
  <c r="T2551" i="15"/>
  <c r="T2550" i="15"/>
  <c r="T2549" i="15"/>
  <c r="T2548" i="15"/>
  <c r="T2547" i="15"/>
  <c r="T2546" i="15"/>
  <c r="T2545" i="15"/>
  <c r="T2544" i="15"/>
  <c r="T2543" i="15"/>
  <c r="T2542" i="15"/>
  <c r="T2541" i="15"/>
  <c r="T2540" i="15"/>
  <c r="T2539" i="15"/>
  <c r="T2538" i="15"/>
  <c r="T2537" i="15"/>
  <c r="T2536" i="15"/>
  <c r="T2535" i="15"/>
  <c r="T2534" i="15"/>
  <c r="T2533" i="15"/>
  <c r="T2532" i="15"/>
  <c r="T2531" i="15"/>
  <c r="T2530" i="15"/>
  <c r="T2529" i="15"/>
  <c r="T2528" i="15"/>
  <c r="T2527" i="15"/>
  <c r="T2526" i="15"/>
  <c r="T2525" i="15"/>
  <c r="T2524" i="15"/>
  <c r="T2523" i="15"/>
  <c r="T2522" i="15"/>
  <c r="T2521" i="15"/>
  <c r="T2520" i="15"/>
  <c r="T2519" i="15"/>
  <c r="T2518" i="15"/>
  <c r="T2517" i="15"/>
  <c r="T2516" i="15"/>
  <c r="T2515" i="15"/>
  <c r="T2514" i="15"/>
  <c r="T2513" i="15"/>
  <c r="T2512" i="15"/>
  <c r="T2511" i="15"/>
  <c r="T2510" i="15"/>
  <c r="T2509" i="15"/>
  <c r="T2508" i="15"/>
  <c r="T2507" i="15"/>
  <c r="T2506" i="15"/>
  <c r="T2505" i="15"/>
  <c r="T2504" i="15"/>
  <c r="T2503" i="15"/>
  <c r="T2502" i="15"/>
  <c r="T2501" i="15"/>
  <c r="T2500" i="15"/>
  <c r="T2499" i="15"/>
  <c r="T2498" i="15"/>
  <c r="T2497" i="15"/>
  <c r="T2496" i="15"/>
  <c r="T2495" i="15"/>
  <c r="T2494" i="15"/>
  <c r="T2493" i="15"/>
  <c r="T2492" i="15"/>
  <c r="T2491" i="15"/>
  <c r="T2490" i="15"/>
  <c r="T2489" i="15"/>
  <c r="T2488" i="15"/>
  <c r="T2487" i="15"/>
  <c r="T2486" i="15"/>
  <c r="T2485" i="15"/>
  <c r="T2484" i="15"/>
  <c r="T2483" i="15"/>
  <c r="T2482" i="15"/>
  <c r="T2481" i="15"/>
  <c r="T2480" i="15"/>
  <c r="T2479" i="15"/>
  <c r="T2478" i="15"/>
  <c r="T2477" i="15"/>
  <c r="T2476" i="15"/>
  <c r="T2475" i="15"/>
  <c r="T2474" i="15"/>
  <c r="T2473" i="15"/>
  <c r="T2472" i="15"/>
  <c r="T2471" i="15"/>
  <c r="T2470" i="15"/>
  <c r="T2469" i="15"/>
  <c r="T2468" i="15"/>
  <c r="T2467" i="15"/>
  <c r="T2466" i="15"/>
  <c r="T2465" i="15"/>
  <c r="T2464" i="15"/>
  <c r="T2463" i="15"/>
  <c r="T2462" i="15"/>
  <c r="T2461" i="15"/>
  <c r="T2460" i="15"/>
  <c r="T2459" i="15"/>
  <c r="T2458" i="15"/>
  <c r="T2457" i="15"/>
  <c r="T2456" i="15"/>
  <c r="T2455" i="15"/>
  <c r="T2454" i="15"/>
  <c r="T2453" i="15"/>
  <c r="T2452" i="15"/>
  <c r="T2451" i="15"/>
  <c r="T2450" i="15"/>
  <c r="T2449" i="15"/>
  <c r="T2448" i="15"/>
  <c r="T2447" i="15"/>
  <c r="T2446" i="15"/>
  <c r="T2445" i="15"/>
  <c r="T2444" i="15"/>
  <c r="T2443" i="15"/>
  <c r="T2442" i="15"/>
  <c r="T2441" i="15"/>
  <c r="T2440" i="15"/>
  <c r="T2439" i="15"/>
  <c r="T2438" i="15"/>
  <c r="T2437" i="15"/>
  <c r="T2436" i="15"/>
  <c r="T2435" i="15"/>
  <c r="T2434" i="15"/>
  <c r="T2433" i="15"/>
  <c r="T2432" i="15"/>
  <c r="T2431" i="15"/>
  <c r="T2430" i="15"/>
  <c r="T2429" i="15"/>
  <c r="T2428" i="15"/>
  <c r="T2427" i="15"/>
  <c r="T2426" i="15"/>
  <c r="T2425" i="15"/>
  <c r="T2424" i="15"/>
  <c r="T2423" i="15"/>
  <c r="T2422" i="15"/>
  <c r="T2421" i="15"/>
  <c r="T2420" i="15"/>
  <c r="T2419" i="15"/>
  <c r="T2418" i="15"/>
  <c r="T2417" i="15"/>
  <c r="T2416" i="15"/>
  <c r="T2415" i="15"/>
  <c r="T2414" i="15"/>
  <c r="T2413" i="15"/>
  <c r="T2412" i="15"/>
  <c r="T2411" i="15"/>
  <c r="T2410" i="15"/>
  <c r="T2409" i="15"/>
  <c r="T2408" i="15"/>
  <c r="T2407" i="15"/>
  <c r="T2406" i="15"/>
  <c r="T2405" i="15"/>
  <c r="T2404" i="15"/>
  <c r="T2403" i="15"/>
  <c r="T2402" i="15"/>
  <c r="T2401" i="15"/>
  <c r="T2400" i="15"/>
  <c r="T2399" i="15"/>
  <c r="T2398" i="15"/>
  <c r="T2397" i="15"/>
  <c r="T2396" i="15"/>
  <c r="T2395" i="15"/>
  <c r="T2394" i="15"/>
  <c r="T2393" i="15"/>
  <c r="T2392" i="15"/>
  <c r="T2391" i="15"/>
  <c r="T2390" i="15"/>
  <c r="T2389" i="15"/>
  <c r="T2388" i="15"/>
  <c r="T2387" i="15"/>
  <c r="T2386" i="15"/>
  <c r="T2385" i="15"/>
  <c r="T2384" i="15"/>
  <c r="T2383" i="15"/>
  <c r="T2382" i="15"/>
  <c r="T2381" i="15"/>
  <c r="T2380" i="15"/>
  <c r="T2379" i="15"/>
  <c r="T2378" i="15"/>
  <c r="T2377" i="15"/>
  <c r="T2376" i="15"/>
  <c r="T2375" i="15"/>
  <c r="T2374" i="15"/>
  <c r="T2373" i="15"/>
  <c r="T2372" i="15"/>
  <c r="T2371" i="15"/>
  <c r="T2370" i="15"/>
  <c r="T2369" i="15"/>
  <c r="T2368" i="15"/>
  <c r="T2367" i="15"/>
  <c r="T2366" i="15"/>
  <c r="T2365" i="15"/>
  <c r="T2364" i="15"/>
  <c r="T2363" i="15"/>
  <c r="T2362" i="15"/>
  <c r="T2361" i="15"/>
  <c r="T2360" i="15"/>
  <c r="T2359" i="15"/>
  <c r="T2358" i="15"/>
  <c r="T2357" i="15"/>
  <c r="T2356" i="15"/>
  <c r="T2355" i="15"/>
  <c r="T2354" i="15"/>
  <c r="T2353" i="15"/>
  <c r="T2352" i="15"/>
  <c r="T2351" i="15"/>
  <c r="T2350" i="15"/>
  <c r="T2349" i="15"/>
  <c r="T2348" i="15"/>
  <c r="T2347" i="15"/>
  <c r="T2346" i="15"/>
  <c r="T2345" i="15"/>
  <c r="T2344" i="15"/>
  <c r="T2343" i="15"/>
  <c r="T2342" i="15"/>
  <c r="T2341" i="15"/>
  <c r="T2340" i="15"/>
  <c r="T2339" i="15"/>
  <c r="T2338" i="15"/>
  <c r="T2337" i="15"/>
  <c r="T2336" i="15"/>
  <c r="T2335" i="15"/>
  <c r="T2334" i="15"/>
  <c r="T2333" i="15"/>
  <c r="T2332" i="15"/>
  <c r="T2331" i="15"/>
  <c r="T2330" i="15"/>
  <c r="T2329" i="15"/>
  <c r="T2328" i="15"/>
  <c r="T2327" i="15"/>
  <c r="T2326" i="15"/>
  <c r="T2325" i="15"/>
  <c r="T2324" i="15"/>
  <c r="T2323" i="15"/>
  <c r="T2322" i="15"/>
  <c r="T2321" i="15"/>
  <c r="T2320" i="15"/>
  <c r="T2319" i="15"/>
  <c r="T2318" i="15"/>
  <c r="T2317" i="15"/>
  <c r="T2316" i="15"/>
  <c r="T2315" i="15"/>
  <c r="T2314" i="15"/>
  <c r="T2313" i="15"/>
  <c r="T2312" i="15"/>
  <c r="T2311" i="15"/>
  <c r="T2310" i="15"/>
  <c r="T2309" i="15"/>
  <c r="T2308" i="15"/>
  <c r="T2307" i="15"/>
  <c r="T2306" i="15"/>
  <c r="T2305" i="15"/>
  <c r="T2304" i="15"/>
  <c r="T2303" i="15"/>
  <c r="T2302" i="15"/>
  <c r="T2301" i="15"/>
  <c r="T2300" i="15"/>
  <c r="T2299" i="15"/>
  <c r="T2298" i="15"/>
  <c r="T2297" i="15"/>
  <c r="T2296" i="15"/>
  <c r="T2295" i="15"/>
  <c r="T2294" i="15"/>
  <c r="T2293" i="15"/>
  <c r="T2292" i="15"/>
  <c r="T2291" i="15"/>
  <c r="T2290" i="15"/>
  <c r="T2289" i="15"/>
  <c r="T2288" i="15"/>
  <c r="T2287" i="15"/>
  <c r="T2286" i="15"/>
  <c r="T2285" i="15"/>
  <c r="T2284" i="15"/>
  <c r="T2283" i="15"/>
  <c r="T2282" i="15"/>
  <c r="T2281" i="15"/>
  <c r="T2280" i="15"/>
  <c r="T2279" i="15"/>
  <c r="T2278" i="15"/>
  <c r="T2277" i="15"/>
  <c r="T2276" i="15"/>
  <c r="T2275" i="15"/>
  <c r="T2274" i="15"/>
  <c r="T2273" i="15"/>
  <c r="T2272" i="15"/>
  <c r="T2271" i="15"/>
  <c r="T2270" i="15"/>
  <c r="T2269" i="15"/>
  <c r="T2268" i="15"/>
  <c r="T2267" i="15"/>
  <c r="T2266" i="15"/>
  <c r="T2265" i="15"/>
  <c r="T2264" i="15"/>
  <c r="T2263" i="15"/>
  <c r="T2262" i="15"/>
  <c r="T2261" i="15"/>
  <c r="T2260" i="15"/>
  <c r="T2259" i="15"/>
  <c r="T2258" i="15"/>
  <c r="T2257" i="15"/>
  <c r="T2256" i="15"/>
  <c r="T2255" i="15"/>
  <c r="T2254" i="15"/>
  <c r="T2253" i="15"/>
  <c r="T2252" i="15"/>
  <c r="T2251" i="15"/>
  <c r="T2250" i="15"/>
  <c r="T2249" i="15"/>
  <c r="T2248" i="15"/>
  <c r="T2247" i="15"/>
  <c r="T2246" i="15"/>
  <c r="T2245" i="15"/>
  <c r="T2244" i="15"/>
  <c r="T2243" i="15"/>
  <c r="T2242" i="15"/>
  <c r="T2241" i="15"/>
  <c r="T2240" i="15"/>
  <c r="T2239" i="15"/>
  <c r="T2238" i="15"/>
  <c r="T2237" i="15"/>
  <c r="T2236" i="15"/>
  <c r="T2235" i="15"/>
  <c r="T2234" i="15"/>
  <c r="T2233" i="15"/>
  <c r="T2232" i="15"/>
  <c r="T2231" i="15"/>
  <c r="T2230" i="15"/>
  <c r="T2229" i="15"/>
  <c r="T2228" i="15"/>
  <c r="T2227" i="15"/>
  <c r="T2226" i="15"/>
  <c r="T2225" i="15"/>
  <c r="T2224" i="15"/>
  <c r="T2223" i="15"/>
  <c r="T2222" i="15"/>
  <c r="T2221" i="15"/>
  <c r="T2220" i="15"/>
  <c r="T2219" i="15"/>
  <c r="T2218" i="15"/>
  <c r="T2217" i="15"/>
  <c r="T2216" i="15"/>
  <c r="T2215" i="15"/>
  <c r="T2214" i="15"/>
  <c r="T2213" i="15"/>
  <c r="T2212" i="15"/>
  <c r="T2211" i="15"/>
  <c r="T2210" i="15"/>
  <c r="T2209" i="15"/>
  <c r="T2208" i="15"/>
  <c r="T2207" i="15"/>
  <c r="T2206" i="15"/>
  <c r="T2205" i="15"/>
  <c r="T2204" i="15"/>
  <c r="T2203" i="15"/>
  <c r="T2202" i="15"/>
  <c r="T2201" i="15"/>
  <c r="T2200" i="15"/>
  <c r="T2199" i="15"/>
  <c r="T2198" i="15"/>
  <c r="T2197" i="15"/>
  <c r="T2196" i="15"/>
  <c r="T2195" i="15"/>
  <c r="T2194" i="15"/>
  <c r="T2193" i="15"/>
  <c r="T2192" i="15"/>
  <c r="T2191" i="15"/>
  <c r="T2190" i="15"/>
  <c r="T2189" i="15"/>
  <c r="T2188" i="15"/>
  <c r="T2187" i="15"/>
  <c r="T2186" i="15"/>
  <c r="T2185" i="15"/>
  <c r="T2184" i="15"/>
  <c r="T2183" i="15"/>
  <c r="T2182" i="15"/>
  <c r="T2181" i="15"/>
  <c r="T2180" i="15"/>
  <c r="T2179" i="15"/>
  <c r="T2178" i="15"/>
  <c r="T2177" i="15"/>
  <c r="T2176" i="15"/>
  <c r="T2175" i="15"/>
  <c r="T2174" i="15"/>
  <c r="T2173" i="15"/>
  <c r="T2172" i="15"/>
  <c r="T2171" i="15"/>
  <c r="T2170" i="15"/>
  <c r="T2169" i="15"/>
  <c r="T2168" i="15"/>
  <c r="T2167" i="15"/>
  <c r="T2166" i="15"/>
  <c r="T2165" i="15"/>
  <c r="T2164" i="15"/>
  <c r="T2163" i="15"/>
  <c r="T2162" i="15"/>
  <c r="T2161" i="15"/>
  <c r="T2160" i="15"/>
  <c r="T2159" i="15"/>
  <c r="T2158" i="15"/>
  <c r="T2157" i="15"/>
  <c r="T2156" i="15"/>
  <c r="T2155" i="15"/>
  <c r="T2154" i="15"/>
  <c r="T2153" i="15"/>
  <c r="T2152" i="15"/>
  <c r="T2151" i="15"/>
  <c r="T2150" i="15"/>
  <c r="T2149" i="15"/>
  <c r="T2148" i="15"/>
  <c r="T2147" i="15"/>
  <c r="T2146" i="15"/>
  <c r="T2145" i="15"/>
  <c r="T2144" i="15"/>
  <c r="T2143" i="15"/>
  <c r="T2142" i="15"/>
  <c r="T2141" i="15"/>
  <c r="T2140" i="15"/>
  <c r="T2139" i="15"/>
  <c r="T2138" i="15"/>
  <c r="T2137" i="15"/>
  <c r="T2136" i="15"/>
  <c r="T2135" i="15"/>
  <c r="T2134" i="15"/>
  <c r="T2133" i="15"/>
  <c r="T2132" i="15"/>
  <c r="T2131" i="15"/>
  <c r="T2130" i="15"/>
  <c r="T2129" i="15"/>
  <c r="T2128" i="15"/>
  <c r="T2127" i="15"/>
  <c r="T2126" i="15"/>
  <c r="T2125" i="15"/>
  <c r="T2124" i="15"/>
  <c r="T2123" i="15"/>
  <c r="T2122" i="15"/>
  <c r="T2121" i="15"/>
  <c r="T2120" i="15"/>
  <c r="T2119" i="15"/>
  <c r="T2118" i="15"/>
  <c r="T2117" i="15"/>
  <c r="T2116" i="15"/>
  <c r="T2115" i="15"/>
  <c r="T2114" i="15"/>
  <c r="T2113" i="15"/>
  <c r="T2112" i="15"/>
  <c r="T2111" i="15"/>
  <c r="T2110" i="15"/>
  <c r="T2109" i="15"/>
  <c r="T2108" i="15"/>
  <c r="T2107" i="15"/>
  <c r="T2106" i="15"/>
  <c r="T2105" i="15"/>
  <c r="T2104" i="15"/>
  <c r="T2103" i="15"/>
  <c r="T2102" i="15"/>
  <c r="T2101" i="15"/>
  <c r="T2100" i="15"/>
  <c r="T2099" i="15"/>
  <c r="T2098" i="15"/>
  <c r="T2097" i="15"/>
  <c r="T2096" i="15"/>
  <c r="T2095" i="15"/>
  <c r="T2094" i="15"/>
  <c r="T2093" i="15"/>
  <c r="T2092" i="15"/>
  <c r="T2091" i="15"/>
  <c r="T2090" i="15"/>
  <c r="T2089" i="15"/>
  <c r="T2088" i="15"/>
  <c r="T2087" i="15"/>
  <c r="T2086" i="15"/>
  <c r="T2085" i="15"/>
  <c r="T2084" i="15"/>
  <c r="T2083" i="15"/>
  <c r="T2082" i="15"/>
  <c r="T2081" i="15"/>
  <c r="T2080" i="15"/>
  <c r="T2079" i="15"/>
  <c r="T2078" i="15"/>
  <c r="T2077" i="15"/>
  <c r="T2076" i="15"/>
  <c r="T2075" i="15"/>
  <c r="T2074" i="15"/>
  <c r="T2073" i="15"/>
  <c r="T2072" i="15"/>
  <c r="T2071" i="15"/>
  <c r="T2070" i="15"/>
  <c r="T2069" i="15"/>
  <c r="T2068" i="15"/>
  <c r="T2067" i="15"/>
  <c r="T2066" i="15"/>
  <c r="T2065" i="15"/>
  <c r="T2064" i="15"/>
  <c r="T2063" i="15"/>
  <c r="T2062" i="15"/>
  <c r="T2061" i="15"/>
  <c r="T2060" i="15"/>
  <c r="T2059" i="15"/>
  <c r="T2058" i="15"/>
  <c r="T2057" i="15"/>
  <c r="T2056" i="15"/>
  <c r="T2055" i="15"/>
  <c r="T2054" i="15"/>
  <c r="T2053" i="15"/>
  <c r="T2052" i="15"/>
  <c r="T2051" i="15"/>
  <c r="T2050" i="15"/>
  <c r="T2049" i="15"/>
  <c r="T2048" i="15"/>
  <c r="T2047" i="15"/>
  <c r="T2046" i="15"/>
  <c r="T2045" i="15"/>
  <c r="T2044" i="15"/>
  <c r="T2043" i="15"/>
  <c r="T2042" i="15"/>
  <c r="T2041" i="15"/>
  <c r="T2040" i="15"/>
  <c r="T2039" i="15"/>
  <c r="T2038" i="15"/>
  <c r="T2037" i="15"/>
  <c r="T2036" i="15"/>
  <c r="T2035" i="15"/>
  <c r="T2034" i="15"/>
  <c r="T2033" i="15"/>
  <c r="T2032" i="15"/>
  <c r="T2031" i="15"/>
  <c r="T2030" i="15"/>
  <c r="T2029" i="15"/>
  <c r="T2028" i="15"/>
  <c r="T2027" i="15"/>
  <c r="T2026" i="15"/>
  <c r="T2025" i="15"/>
  <c r="T2024" i="15"/>
  <c r="T2023" i="15"/>
  <c r="T2022" i="15"/>
  <c r="T2021" i="15"/>
  <c r="T2020" i="15"/>
  <c r="T2019" i="15"/>
  <c r="T2018" i="15"/>
  <c r="T2017" i="15"/>
  <c r="T2016" i="15"/>
  <c r="T2015" i="15"/>
  <c r="T2014" i="15"/>
  <c r="T2013" i="15"/>
  <c r="T2012" i="15"/>
  <c r="T2011" i="15"/>
  <c r="T2010" i="15"/>
  <c r="T2009" i="15"/>
  <c r="T2008" i="15"/>
  <c r="T2007" i="15"/>
  <c r="T2006" i="15"/>
  <c r="T2005" i="15"/>
  <c r="T2004" i="15"/>
  <c r="T2003" i="15"/>
  <c r="T2002" i="15"/>
  <c r="T2001" i="15"/>
  <c r="T2000" i="15"/>
  <c r="T1999" i="15"/>
  <c r="T1998" i="15"/>
  <c r="T1997" i="15"/>
  <c r="T1996" i="15"/>
  <c r="T1995" i="15"/>
  <c r="T1994" i="15"/>
  <c r="T1993" i="15"/>
  <c r="T1992" i="15"/>
  <c r="T1991" i="15"/>
  <c r="T1990" i="15"/>
  <c r="T1989" i="15"/>
  <c r="T1988" i="15"/>
  <c r="T1987" i="15"/>
  <c r="T1986" i="15"/>
  <c r="T1985" i="15"/>
  <c r="T1984" i="15"/>
  <c r="T1983" i="15"/>
  <c r="T1982" i="15"/>
  <c r="T1981" i="15"/>
  <c r="T1980" i="15"/>
  <c r="T1979" i="15"/>
  <c r="T1978" i="15"/>
  <c r="T1977" i="15"/>
  <c r="T1976" i="15"/>
  <c r="T1975" i="15"/>
  <c r="T1974" i="15"/>
  <c r="T1973" i="15"/>
  <c r="T1972" i="15"/>
  <c r="T1971" i="15"/>
  <c r="T1970" i="15"/>
  <c r="T1969" i="15"/>
  <c r="T1968" i="15"/>
  <c r="T1967" i="15"/>
  <c r="T1966" i="15"/>
  <c r="T1965" i="15"/>
  <c r="T1964" i="15"/>
  <c r="T1963" i="15"/>
  <c r="T1962" i="15"/>
  <c r="T1961" i="15"/>
  <c r="T1960" i="15"/>
  <c r="T1959" i="15"/>
  <c r="T1958" i="15"/>
  <c r="T1957" i="15"/>
  <c r="T1956" i="15"/>
  <c r="T1955" i="15"/>
  <c r="T1954" i="15"/>
  <c r="T1953" i="15"/>
  <c r="T1952" i="15"/>
  <c r="T1951" i="15"/>
  <c r="T1950" i="15"/>
  <c r="T1949" i="15"/>
  <c r="T1948" i="15"/>
  <c r="T1947" i="15"/>
  <c r="T1946" i="15"/>
  <c r="T1945" i="15"/>
  <c r="T1944" i="15"/>
  <c r="T1943" i="15"/>
  <c r="T1942" i="15"/>
  <c r="T1941" i="15"/>
  <c r="T1940" i="15"/>
  <c r="T1939" i="15"/>
  <c r="T1938" i="15"/>
  <c r="T1937" i="15"/>
  <c r="T1936" i="15"/>
  <c r="T1935" i="15"/>
  <c r="T1934" i="15"/>
  <c r="T1933" i="15"/>
  <c r="T1932" i="15"/>
  <c r="T1931" i="15"/>
  <c r="T1930" i="15"/>
  <c r="T1929" i="15"/>
  <c r="T1928" i="15"/>
  <c r="T1927" i="15"/>
  <c r="T1926" i="15"/>
  <c r="T1925" i="15"/>
  <c r="T1924" i="15"/>
  <c r="T1923" i="15"/>
  <c r="T1922" i="15"/>
  <c r="T1921" i="15"/>
  <c r="T1920" i="15"/>
  <c r="T1919" i="15"/>
  <c r="T1918" i="15"/>
  <c r="T1917" i="15"/>
  <c r="T1916" i="15"/>
  <c r="T1915" i="15"/>
  <c r="T1914" i="15"/>
  <c r="T1913" i="15"/>
  <c r="T1912" i="15"/>
  <c r="T1911" i="15"/>
  <c r="T1910" i="15"/>
  <c r="T1909" i="15"/>
  <c r="T1908" i="15"/>
  <c r="T1907" i="15"/>
  <c r="T1906" i="15"/>
  <c r="T1905" i="15"/>
  <c r="T1904" i="15"/>
  <c r="T1903" i="15"/>
  <c r="T1902" i="15"/>
  <c r="T1901" i="15"/>
  <c r="T1900" i="15"/>
  <c r="T1899" i="15"/>
  <c r="T1898" i="15"/>
  <c r="T1897" i="15"/>
  <c r="T1896" i="15"/>
  <c r="T1895" i="15"/>
  <c r="T1894" i="15"/>
  <c r="T1893" i="15"/>
  <c r="T1892" i="15"/>
  <c r="T1891" i="15"/>
  <c r="T1890" i="15"/>
  <c r="T1889" i="15"/>
  <c r="T1888" i="15"/>
  <c r="T1887" i="15"/>
  <c r="T1886" i="15"/>
  <c r="T1885" i="15"/>
  <c r="T1884" i="15"/>
  <c r="T1883" i="15"/>
  <c r="T1882" i="15"/>
  <c r="T1881" i="15"/>
  <c r="T1880" i="15"/>
  <c r="T1879" i="15"/>
  <c r="T1878" i="15"/>
  <c r="T1877" i="15"/>
  <c r="T1876" i="15"/>
  <c r="T1875" i="15"/>
  <c r="T1874" i="15"/>
  <c r="T1873" i="15"/>
  <c r="T1872" i="15"/>
  <c r="T1871" i="15"/>
  <c r="T1870" i="15"/>
  <c r="T1869" i="15"/>
  <c r="T1868" i="15"/>
  <c r="T1867" i="15"/>
  <c r="T1866" i="15"/>
  <c r="T1865" i="15"/>
  <c r="T1864" i="15"/>
  <c r="T1863" i="15"/>
  <c r="T1862" i="15"/>
  <c r="T1861" i="15"/>
  <c r="T1860" i="15"/>
  <c r="T1859" i="15"/>
  <c r="T1858" i="15"/>
  <c r="T1857" i="15"/>
  <c r="T1856" i="15"/>
  <c r="T1855" i="15"/>
  <c r="T1854" i="15"/>
  <c r="T1853" i="15"/>
  <c r="T1852" i="15"/>
  <c r="T1851" i="15"/>
  <c r="T1850" i="15"/>
  <c r="T1849" i="15"/>
  <c r="T1848" i="15"/>
  <c r="T1847" i="15"/>
  <c r="T1846" i="15"/>
  <c r="T1845" i="15"/>
  <c r="T1844" i="15"/>
  <c r="T1843" i="15"/>
  <c r="T1842" i="15"/>
  <c r="T1841" i="15"/>
  <c r="T1840" i="15"/>
  <c r="T1839" i="15"/>
  <c r="T1838" i="15"/>
  <c r="T1837" i="15"/>
  <c r="T1836" i="15"/>
  <c r="T1835" i="15"/>
  <c r="T1834" i="15"/>
  <c r="T1833" i="15"/>
  <c r="T1832" i="15"/>
  <c r="T1831" i="15"/>
  <c r="T1830" i="15"/>
  <c r="T1829" i="15"/>
  <c r="T1828" i="15"/>
  <c r="T1827" i="15"/>
  <c r="T1826" i="15"/>
  <c r="T1825" i="15"/>
  <c r="T1824" i="15"/>
  <c r="T1823" i="15"/>
  <c r="T1822" i="15"/>
  <c r="T1821" i="15"/>
  <c r="T1820" i="15"/>
  <c r="T1819" i="15"/>
  <c r="T1818" i="15"/>
  <c r="T1817" i="15"/>
  <c r="T1816" i="15"/>
  <c r="T1815" i="15"/>
  <c r="T1814" i="15"/>
  <c r="T1813" i="15"/>
  <c r="T1812" i="15"/>
  <c r="T1811" i="15"/>
  <c r="T1810" i="15"/>
  <c r="T1809" i="15"/>
  <c r="T1808" i="15"/>
  <c r="T1807" i="15"/>
  <c r="T1806" i="15"/>
  <c r="T1805" i="15"/>
  <c r="T1804" i="15"/>
  <c r="T1803" i="15"/>
  <c r="T1802" i="15"/>
  <c r="T1801" i="15"/>
  <c r="T1800" i="15"/>
  <c r="T1799" i="15"/>
  <c r="T1798" i="15"/>
  <c r="T1797" i="15"/>
  <c r="T1796" i="15"/>
  <c r="T1795" i="15"/>
  <c r="T1794" i="15"/>
  <c r="T1793" i="15"/>
  <c r="T1792" i="15"/>
  <c r="T1791" i="15"/>
  <c r="T1790" i="15"/>
  <c r="T1789" i="15"/>
  <c r="T1788" i="15"/>
  <c r="T1787" i="15"/>
  <c r="T1786" i="15"/>
  <c r="T1785" i="15"/>
  <c r="T1784" i="15"/>
  <c r="T1783" i="15"/>
  <c r="T1782" i="15"/>
  <c r="T1781" i="15"/>
  <c r="T1780" i="15"/>
  <c r="T1779" i="15"/>
  <c r="T1778" i="15"/>
  <c r="T1777" i="15"/>
  <c r="T1776" i="15"/>
  <c r="T1775" i="15"/>
  <c r="T1774" i="15"/>
  <c r="T1773" i="15"/>
  <c r="T1772" i="15"/>
  <c r="T1771" i="15"/>
  <c r="T1770" i="15"/>
  <c r="T1769" i="15"/>
  <c r="T1768" i="15"/>
  <c r="T1767" i="15"/>
  <c r="T1766" i="15"/>
  <c r="T1765" i="15"/>
  <c r="T1764" i="15"/>
  <c r="T1763" i="15"/>
  <c r="T1762" i="15"/>
  <c r="T1761" i="15"/>
  <c r="T1760" i="15"/>
  <c r="T1759" i="15"/>
  <c r="T1758" i="15"/>
  <c r="T1757" i="15"/>
  <c r="T1756" i="15"/>
  <c r="T1755" i="15"/>
  <c r="T1754" i="15"/>
  <c r="T1753" i="15"/>
  <c r="T1752" i="15"/>
  <c r="T1751" i="15"/>
  <c r="T1750" i="15"/>
  <c r="T1749" i="15"/>
  <c r="T1748" i="15"/>
  <c r="T1747" i="15"/>
  <c r="T1746" i="15"/>
  <c r="T1745" i="15"/>
  <c r="T1744" i="15"/>
  <c r="T1743" i="15"/>
  <c r="T1742" i="15"/>
  <c r="T1741" i="15"/>
  <c r="T1740" i="15"/>
  <c r="T1739" i="15"/>
  <c r="T1738" i="15"/>
  <c r="T1737" i="15"/>
  <c r="T1736" i="15"/>
  <c r="T1735" i="15"/>
  <c r="T1734" i="15"/>
  <c r="T1733" i="15"/>
  <c r="T1732" i="15"/>
  <c r="T1731" i="15"/>
  <c r="T1730" i="15"/>
  <c r="T1729" i="15"/>
  <c r="T1728" i="15"/>
  <c r="T1727" i="15"/>
  <c r="T1726" i="15"/>
  <c r="T1725" i="15"/>
  <c r="T1724" i="15"/>
  <c r="T1723" i="15"/>
  <c r="T1722" i="15"/>
  <c r="T1721" i="15"/>
  <c r="T1720" i="15"/>
  <c r="T1719" i="15"/>
  <c r="T1718" i="15"/>
  <c r="T1717" i="15"/>
  <c r="T1716" i="15"/>
  <c r="T1715" i="15"/>
  <c r="T1714" i="15"/>
  <c r="T1713" i="15"/>
  <c r="T1712" i="15"/>
  <c r="T1711" i="15"/>
  <c r="T1710" i="15"/>
  <c r="T1709" i="15"/>
  <c r="T1708" i="15"/>
  <c r="T1707" i="15"/>
  <c r="T1706" i="15"/>
  <c r="T1705" i="15"/>
  <c r="T1704" i="15"/>
  <c r="T1703" i="15"/>
  <c r="T1702" i="15"/>
  <c r="T1701" i="15"/>
  <c r="T1700" i="15"/>
  <c r="T1699" i="15"/>
  <c r="T1698" i="15"/>
  <c r="T1697" i="15"/>
  <c r="T1696" i="15"/>
  <c r="T1695" i="15"/>
  <c r="T1694" i="15"/>
  <c r="T1693" i="15"/>
  <c r="T1692" i="15"/>
  <c r="T1691" i="15"/>
  <c r="T1690" i="15"/>
  <c r="T1689" i="15"/>
  <c r="T1688" i="15"/>
  <c r="T1687" i="15"/>
  <c r="T1686" i="15"/>
  <c r="T1685" i="15"/>
  <c r="T1684" i="15"/>
  <c r="T1683" i="15"/>
  <c r="T1682" i="15"/>
  <c r="T1681" i="15"/>
  <c r="T1680" i="15"/>
  <c r="T1679" i="15"/>
  <c r="T1678" i="15"/>
  <c r="T1677" i="15"/>
  <c r="T1676" i="15"/>
  <c r="T1675" i="15"/>
  <c r="T1674" i="15"/>
  <c r="T1673" i="15"/>
  <c r="T1672" i="15"/>
  <c r="T1671" i="15"/>
  <c r="T1670" i="15"/>
  <c r="T1669" i="15"/>
  <c r="T1668" i="15"/>
  <c r="T1667" i="15"/>
  <c r="T1666" i="15"/>
  <c r="T1665" i="15"/>
  <c r="T1664" i="15"/>
  <c r="T1663" i="15"/>
  <c r="T1662" i="15"/>
  <c r="T1661" i="15"/>
  <c r="T1660" i="15"/>
  <c r="T1659" i="15"/>
  <c r="T1658" i="15"/>
  <c r="T1657" i="15"/>
  <c r="T1656" i="15"/>
  <c r="T1655" i="15"/>
  <c r="T1654" i="15"/>
  <c r="T1653" i="15"/>
  <c r="T1652" i="15"/>
  <c r="T1651" i="15"/>
  <c r="T1650" i="15"/>
  <c r="T1649" i="15"/>
  <c r="T1648" i="15"/>
  <c r="T1647" i="15"/>
  <c r="T1646" i="15"/>
  <c r="T1645" i="15"/>
  <c r="T1644" i="15"/>
  <c r="T1643" i="15"/>
  <c r="T1642" i="15"/>
  <c r="T1641" i="15"/>
  <c r="T1640" i="15"/>
  <c r="T1639" i="15"/>
  <c r="T1638" i="15"/>
  <c r="T1637" i="15"/>
  <c r="T1636" i="15"/>
  <c r="T1635" i="15"/>
  <c r="T1634" i="15"/>
  <c r="T1633" i="15"/>
  <c r="T1632" i="15"/>
  <c r="T1631" i="15"/>
  <c r="T1630" i="15"/>
  <c r="T1629" i="15"/>
  <c r="T1628" i="15"/>
  <c r="T1627" i="15"/>
  <c r="T1626" i="15"/>
  <c r="T1625" i="15"/>
  <c r="T1624" i="15"/>
  <c r="T1623" i="15"/>
  <c r="T1622" i="15"/>
  <c r="T1621" i="15"/>
  <c r="T1620" i="15"/>
  <c r="T1619" i="15"/>
  <c r="T1618" i="15"/>
  <c r="T1617" i="15"/>
  <c r="T1616" i="15"/>
  <c r="T1615" i="15"/>
  <c r="T1614" i="15"/>
  <c r="T1613" i="15"/>
  <c r="T1612" i="15"/>
  <c r="T1611" i="15"/>
  <c r="T1610" i="15"/>
  <c r="T1609" i="15"/>
  <c r="T1608" i="15"/>
  <c r="T1607" i="15"/>
  <c r="T1606" i="15"/>
  <c r="T1605" i="15"/>
  <c r="T1604" i="15"/>
  <c r="T1603" i="15"/>
  <c r="T1602" i="15"/>
  <c r="T1601" i="15"/>
  <c r="T1600" i="15"/>
  <c r="T1599" i="15"/>
  <c r="T1598" i="15"/>
  <c r="T1597" i="15"/>
  <c r="T1596" i="15"/>
  <c r="T1595" i="15"/>
  <c r="T1594" i="15"/>
  <c r="T1593" i="15"/>
  <c r="T1592" i="15"/>
  <c r="T1591" i="15"/>
  <c r="T1590" i="15"/>
  <c r="T1589" i="15"/>
  <c r="T1588" i="15"/>
  <c r="T1587" i="15"/>
  <c r="T1586" i="15"/>
  <c r="T1585" i="15"/>
  <c r="T1584" i="15"/>
  <c r="T1583" i="15"/>
  <c r="T1582" i="15"/>
  <c r="T1581" i="15"/>
  <c r="T1580" i="15"/>
  <c r="T1579" i="15"/>
  <c r="T1578" i="15"/>
  <c r="T1577" i="15"/>
  <c r="T1576" i="15"/>
  <c r="T1575" i="15"/>
  <c r="T1574" i="15"/>
  <c r="T1573" i="15"/>
  <c r="T1572" i="15"/>
  <c r="T1571" i="15"/>
  <c r="T1570" i="15"/>
  <c r="T1569" i="15"/>
  <c r="T1568" i="15"/>
  <c r="T1567" i="15"/>
  <c r="T1566" i="15"/>
  <c r="T1565" i="15"/>
  <c r="T1564" i="15"/>
  <c r="T1563" i="15"/>
  <c r="T1562" i="15"/>
  <c r="T1561" i="15"/>
  <c r="T1560" i="15"/>
  <c r="T1559" i="15"/>
  <c r="T1558" i="15"/>
  <c r="T1557" i="15"/>
  <c r="T1556" i="15"/>
  <c r="T1555" i="15"/>
  <c r="T1554" i="15"/>
  <c r="T1553" i="15"/>
  <c r="T1552" i="15"/>
  <c r="T1551" i="15"/>
  <c r="T1550" i="15"/>
  <c r="T1549" i="15"/>
  <c r="T1548" i="15"/>
  <c r="T1547" i="15"/>
  <c r="T1546" i="15"/>
  <c r="T1545" i="15"/>
  <c r="T1544" i="15"/>
  <c r="T1543" i="15"/>
  <c r="T1542" i="15"/>
  <c r="T1541" i="15"/>
  <c r="T1540" i="15"/>
  <c r="T1539" i="15"/>
  <c r="T1538" i="15"/>
  <c r="T1537" i="15"/>
  <c r="T1536" i="15"/>
  <c r="T1535" i="15"/>
  <c r="T1534" i="15"/>
  <c r="T1533" i="15"/>
  <c r="T1532" i="15"/>
  <c r="T1531" i="15"/>
  <c r="T1530" i="15"/>
  <c r="T1529" i="15"/>
  <c r="T1528" i="15"/>
  <c r="T1527" i="15"/>
  <c r="T1526" i="15"/>
  <c r="T1525" i="15"/>
  <c r="T1524" i="15"/>
  <c r="T1523" i="15"/>
  <c r="T1522" i="15"/>
  <c r="T1521" i="15"/>
  <c r="T1520" i="15"/>
  <c r="T1519" i="15"/>
  <c r="T1518" i="15"/>
  <c r="T1517" i="15"/>
  <c r="T1516" i="15"/>
  <c r="T1515" i="15"/>
  <c r="T1514" i="15"/>
  <c r="T1513" i="15"/>
  <c r="T1512" i="15"/>
  <c r="T1511" i="15"/>
  <c r="T1510" i="15"/>
  <c r="T1509" i="15"/>
  <c r="T1508" i="15"/>
  <c r="T1507" i="15"/>
  <c r="T1506" i="15"/>
  <c r="T1505" i="15"/>
  <c r="T1504" i="15"/>
  <c r="T1503" i="15"/>
  <c r="T1502" i="15"/>
  <c r="T1501" i="15"/>
  <c r="T1500" i="15"/>
  <c r="T1499" i="15"/>
  <c r="T1498" i="15"/>
  <c r="T1497" i="15"/>
  <c r="T1496" i="15"/>
  <c r="T1495" i="15"/>
  <c r="T1494" i="15"/>
  <c r="T1493" i="15"/>
  <c r="T1492" i="15"/>
  <c r="T1491" i="15"/>
  <c r="T1490" i="15"/>
  <c r="T1489" i="15"/>
  <c r="T1488" i="15"/>
  <c r="T1487" i="15"/>
  <c r="T1486" i="15"/>
  <c r="T1485" i="15"/>
  <c r="T1484" i="15"/>
  <c r="T1483" i="15"/>
  <c r="T1482" i="15"/>
  <c r="T1481" i="15"/>
  <c r="T1480" i="15"/>
  <c r="T1479" i="15"/>
  <c r="T1478" i="15"/>
  <c r="T1477" i="15"/>
  <c r="T1476" i="15"/>
  <c r="T1475" i="15"/>
  <c r="T1474" i="15"/>
  <c r="T1473" i="15"/>
  <c r="T1472" i="15"/>
  <c r="T1471" i="15"/>
  <c r="T1470" i="15"/>
  <c r="T1469" i="15"/>
  <c r="T1468" i="15"/>
  <c r="T1467" i="15"/>
  <c r="T1466" i="15"/>
  <c r="T1465" i="15"/>
  <c r="T1464" i="15"/>
  <c r="T1463" i="15"/>
  <c r="T1462" i="15"/>
  <c r="T1461" i="15"/>
  <c r="T1460" i="15"/>
  <c r="T1459" i="15"/>
  <c r="T1458" i="15"/>
  <c r="T1457" i="15"/>
  <c r="T1456" i="15"/>
  <c r="T1455" i="15"/>
  <c r="T1454" i="15"/>
  <c r="T1453" i="15"/>
  <c r="T1452" i="15"/>
  <c r="T1451" i="15"/>
  <c r="T1450" i="15"/>
  <c r="T1449" i="15"/>
  <c r="T1448" i="15"/>
  <c r="T1447" i="15"/>
  <c r="T1446" i="15"/>
  <c r="T1445" i="15"/>
  <c r="T1444" i="15"/>
  <c r="T1443" i="15"/>
  <c r="T1442" i="15"/>
  <c r="T1441" i="15"/>
  <c r="T1440" i="15"/>
  <c r="T1439" i="15"/>
  <c r="T1438" i="15"/>
  <c r="T1437" i="15"/>
  <c r="T1436" i="15"/>
  <c r="T1435" i="15"/>
  <c r="T1434" i="15"/>
  <c r="T1433" i="15"/>
  <c r="T1432" i="15"/>
  <c r="T1431" i="15"/>
  <c r="T1430" i="15"/>
  <c r="T1429" i="15"/>
  <c r="T1428" i="15"/>
  <c r="T1427" i="15"/>
  <c r="T1426" i="15"/>
  <c r="T1425" i="15"/>
  <c r="T1424" i="15"/>
  <c r="T1423" i="15"/>
  <c r="T1422" i="15"/>
  <c r="T1421" i="15"/>
  <c r="T1420" i="15"/>
  <c r="T1419" i="15"/>
  <c r="T1418" i="15"/>
  <c r="T1417" i="15"/>
  <c r="T1416" i="15"/>
  <c r="T1415" i="15"/>
  <c r="T1414" i="15"/>
  <c r="T1413" i="15"/>
  <c r="T1412" i="15"/>
  <c r="T1411" i="15"/>
  <c r="T1410" i="15"/>
  <c r="T1409" i="15"/>
  <c r="T1408" i="15"/>
  <c r="T1407" i="15"/>
  <c r="T1406" i="15"/>
  <c r="T1405" i="15"/>
  <c r="T1404" i="15"/>
  <c r="T1403" i="15"/>
  <c r="T1402" i="15"/>
  <c r="T1401" i="15"/>
  <c r="T1400" i="15"/>
  <c r="T1399" i="15"/>
  <c r="T1398" i="15"/>
  <c r="T1397" i="15"/>
  <c r="T1396" i="15"/>
  <c r="T1395" i="15"/>
  <c r="T1394" i="15"/>
  <c r="T1393" i="15"/>
  <c r="T1392" i="15"/>
  <c r="T1391" i="15"/>
  <c r="T1390" i="15"/>
  <c r="T1389" i="15"/>
  <c r="T1388" i="15"/>
  <c r="T1387" i="15"/>
  <c r="T1386" i="15"/>
  <c r="T1385" i="15"/>
  <c r="T1384" i="15"/>
  <c r="T1383" i="15"/>
  <c r="T1382" i="15"/>
  <c r="T1381" i="15"/>
  <c r="T1380" i="15"/>
  <c r="T1379" i="15"/>
  <c r="T1378" i="15"/>
  <c r="T1377" i="15"/>
  <c r="T1376" i="15"/>
  <c r="T1375" i="15"/>
  <c r="T1374" i="15"/>
  <c r="T1373" i="15"/>
  <c r="T1372" i="15"/>
  <c r="T1371" i="15"/>
  <c r="T1370" i="15"/>
  <c r="T1369" i="15"/>
  <c r="T1368" i="15"/>
  <c r="T1367" i="15"/>
  <c r="T1366" i="15"/>
  <c r="T1365" i="15"/>
  <c r="T1364" i="15"/>
  <c r="T1363" i="15"/>
  <c r="T1362" i="15"/>
  <c r="T1361" i="15"/>
  <c r="T1360" i="15"/>
  <c r="T1359" i="15"/>
  <c r="T1358" i="15"/>
  <c r="T1357" i="15"/>
  <c r="T1356" i="15"/>
  <c r="T1355" i="15"/>
  <c r="T1354" i="15"/>
  <c r="T1353" i="15"/>
  <c r="T1352" i="15"/>
  <c r="T1351" i="15"/>
  <c r="T1350" i="15"/>
  <c r="T1349" i="15"/>
  <c r="T1348" i="15"/>
  <c r="T1347" i="15"/>
  <c r="T1346" i="15"/>
  <c r="T1345" i="15"/>
  <c r="T1344" i="15"/>
  <c r="T1343" i="15"/>
  <c r="T1342" i="15"/>
  <c r="T1341" i="15"/>
  <c r="T1340" i="15"/>
  <c r="T1339" i="15"/>
  <c r="T1338" i="15"/>
  <c r="T1337" i="15"/>
  <c r="T1336" i="15"/>
  <c r="T1335" i="15"/>
  <c r="T1334" i="15"/>
  <c r="T1333" i="15"/>
  <c r="T1332" i="15"/>
  <c r="T1331" i="15"/>
  <c r="T1330" i="15"/>
  <c r="T1329" i="15"/>
  <c r="T1328" i="15"/>
  <c r="T1327" i="15"/>
  <c r="T1326" i="15"/>
  <c r="T1325" i="15"/>
  <c r="T1324" i="15"/>
  <c r="T1323" i="15"/>
  <c r="T1322" i="15"/>
  <c r="T1321" i="15"/>
  <c r="T1320" i="15"/>
  <c r="T1319" i="15"/>
  <c r="T1318" i="15"/>
  <c r="T1317" i="15"/>
  <c r="T1316" i="15"/>
  <c r="T1315" i="15"/>
  <c r="T1314" i="15"/>
  <c r="T1313" i="15"/>
  <c r="T1312" i="15"/>
  <c r="T1311" i="15"/>
  <c r="T1310" i="15"/>
  <c r="T1309" i="15"/>
  <c r="T1308" i="15"/>
  <c r="T1307" i="15"/>
  <c r="T1306" i="15"/>
  <c r="T1305" i="15"/>
  <c r="T1304" i="15"/>
  <c r="T1303" i="15"/>
  <c r="T1302" i="15"/>
  <c r="T1301" i="15"/>
  <c r="T1300" i="15"/>
  <c r="T1299" i="15"/>
  <c r="T1298" i="15"/>
  <c r="T1297" i="15"/>
  <c r="T1296" i="15"/>
  <c r="T1295" i="15"/>
  <c r="T1294" i="15"/>
  <c r="T1293" i="15"/>
  <c r="T1292" i="15"/>
  <c r="T1291" i="15"/>
  <c r="T1290" i="15"/>
  <c r="T1289" i="15"/>
  <c r="T1288" i="15"/>
  <c r="T1287" i="15"/>
  <c r="T1286" i="15"/>
  <c r="T1285" i="15"/>
  <c r="T1284" i="15"/>
  <c r="T1283" i="15"/>
  <c r="T1282" i="15"/>
  <c r="T1281" i="15"/>
  <c r="T1280" i="15"/>
  <c r="T1279" i="15"/>
  <c r="T1278" i="15"/>
  <c r="T1277" i="15"/>
  <c r="T1276" i="15"/>
  <c r="T1275" i="15"/>
  <c r="T1274" i="15"/>
  <c r="T1273" i="15"/>
  <c r="T1272" i="15"/>
  <c r="T1271" i="15"/>
  <c r="T1270" i="15"/>
  <c r="T1269" i="15"/>
  <c r="T1268" i="15"/>
  <c r="T1267" i="15"/>
  <c r="T1266" i="15"/>
  <c r="T1265" i="15"/>
  <c r="T1264" i="15"/>
  <c r="T1263" i="15"/>
  <c r="T1262" i="15"/>
  <c r="T1261" i="15"/>
  <c r="T1260" i="15"/>
  <c r="T1259" i="15"/>
  <c r="T1258" i="15"/>
  <c r="T1257" i="15"/>
  <c r="T1256" i="15"/>
  <c r="T1255" i="15"/>
  <c r="T1254" i="15"/>
  <c r="T1253" i="15"/>
  <c r="T1252" i="15"/>
  <c r="T1251" i="15"/>
  <c r="T1250" i="15"/>
  <c r="T1249" i="15"/>
  <c r="T1248" i="15"/>
  <c r="T1247" i="15"/>
  <c r="T1246" i="15"/>
  <c r="T1245" i="15"/>
  <c r="T1244" i="15"/>
  <c r="T1243" i="15"/>
  <c r="T1242" i="15"/>
  <c r="T1241" i="15"/>
  <c r="T1240" i="15"/>
  <c r="T1239" i="15"/>
  <c r="T1238" i="15"/>
  <c r="T1237" i="15"/>
  <c r="T1236" i="15"/>
  <c r="T1235" i="15"/>
  <c r="T1234" i="15"/>
  <c r="T1233" i="15"/>
  <c r="T1232" i="15"/>
  <c r="T1231" i="15"/>
  <c r="T1230" i="15"/>
  <c r="T1229" i="15"/>
  <c r="T1228" i="15"/>
  <c r="T1227" i="15"/>
  <c r="T1226" i="15"/>
  <c r="T1225" i="15"/>
  <c r="T1224" i="15"/>
  <c r="T1223" i="15"/>
  <c r="T1222" i="15"/>
  <c r="T1221" i="15"/>
  <c r="T1220" i="15"/>
  <c r="T1219" i="15"/>
  <c r="T1218" i="15"/>
  <c r="T1217" i="15"/>
  <c r="T1216" i="15"/>
  <c r="T1215" i="15"/>
  <c r="T1214" i="15"/>
  <c r="T1213" i="15"/>
  <c r="T1212" i="15"/>
  <c r="T1211" i="15"/>
  <c r="T1210" i="15"/>
  <c r="T1209" i="15"/>
  <c r="T1208" i="15"/>
  <c r="T1207" i="15"/>
  <c r="T1206" i="15"/>
  <c r="T1205" i="15"/>
  <c r="T1204" i="15"/>
  <c r="T1203" i="15"/>
  <c r="T1202" i="15"/>
  <c r="T1201" i="15"/>
  <c r="T1200" i="15"/>
  <c r="T1199" i="15"/>
  <c r="T1198" i="15"/>
  <c r="T1197" i="15"/>
  <c r="T1196" i="15"/>
  <c r="T1195" i="15"/>
  <c r="T1194" i="15"/>
  <c r="T1193" i="15"/>
  <c r="T1192" i="15"/>
  <c r="T1191" i="15"/>
  <c r="T1190" i="15"/>
  <c r="T1189" i="15"/>
  <c r="T1188" i="15"/>
  <c r="T1187" i="15"/>
  <c r="T1186" i="15"/>
  <c r="T1185" i="15"/>
  <c r="T1184" i="15"/>
  <c r="T1183" i="15"/>
  <c r="T1182" i="15"/>
  <c r="T1181" i="15"/>
  <c r="T1180" i="15"/>
  <c r="T1179" i="15"/>
  <c r="T1178" i="15"/>
  <c r="T1177" i="15"/>
  <c r="T1176" i="15"/>
  <c r="T1175" i="15"/>
  <c r="T1174" i="15"/>
  <c r="T1173" i="15"/>
  <c r="T1172" i="15"/>
  <c r="T1171" i="15"/>
  <c r="T1170" i="15"/>
  <c r="T1169" i="15"/>
  <c r="T1168" i="15"/>
  <c r="T1167" i="15"/>
  <c r="T1166" i="15"/>
  <c r="T1165" i="15"/>
  <c r="T1164" i="15"/>
  <c r="T1163" i="15"/>
  <c r="T1162" i="15"/>
  <c r="T1161" i="15"/>
  <c r="T1160" i="15"/>
  <c r="T1159" i="15"/>
  <c r="T1158" i="15"/>
  <c r="T1157" i="15"/>
  <c r="T1156" i="15"/>
  <c r="T1155" i="15"/>
  <c r="T1154" i="15"/>
  <c r="T1153" i="15"/>
  <c r="T1152" i="15"/>
  <c r="T1151" i="15"/>
  <c r="T1150" i="15"/>
  <c r="T1149" i="15"/>
  <c r="T1148" i="15"/>
  <c r="T1147" i="15"/>
  <c r="T1146" i="15"/>
  <c r="T1145" i="15"/>
  <c r="T1144" i="15"/>
  <c r="T1143" i="15"/>
  <c r="T1142" i="15"/>
  <c r="T1141" i="15"/>
  <c r="T1140" i="15"/>
  <c r="T1139" i="15"/>
  <c r="T1138" i="15"/>
  <c r="T1137" i="15"/>
  <c r="T1136" i="15"/>
  <c r="T1135" i="15"/>
  <c r="T1134" i="15"/>
  <c r="T1133" i="15"/>
  <c r="T1132" i="15"/>
  <c r="T1131" i="15"/>
  <c r="T1130" i="15"/>
  <c r="T1129" i="15"/>
  <c r="T1128" i="15"/>
  <c r="T1127" i="15"/>
  <c r="T1126" i="15"/>
  <c r="T1125" i="15"/>
  <c r="T1124" i="15"/>
  <c r="T1123" i="15"/>
  <c r="T1122" i="15"/>
  <c r="T1121" i="15"/>
  <c r="T1120" i="15"/>
  <c r="T1119" i="15"/>
  <c r="T1118" i="15"/>
  <c r="T1117" i="15"/>
  <c r="T1116" i="15"/>
  <c r="T1115" i="15"/>
  <c r="T1114" i="15"/>
  <c r="T1113" i="15"/>
  <c r="T1112" i="15"/>
  <c r="T1111" i="15"/>
  <c r="T1110" i="15"/>
  <c r="T1109" i="15"/>
  <c r="T1108" i="15"/>
  <c r="T1107" i="15"/>
  <c r="T1106" i="15"/>
  <c r="T1105" i="15"/>
  <c r="T1104" i="15"/>
  <c r="T1103" i="15"/>
  <c r="T1102" i="15"/>
  <c r="T1101" i="15"/>
  <c r="T1100" i="15"/>
  <c r="T1099" i="15"/>
  <c r="T1098" i="15"/>
  <c r="T1097" i="15"/>
  <c r="T1096" i="15"/>
  <c r="T1095" i="15"/>
  <c r="T1094" i="15"/>
  <c r="T1093" i="15"/>
  <c r="T1092" i="15"/>
  <c r="T1091" i="15"/>
  <c r="T1090" i="15"/>
  <c r="T1089" i="15"/>
  <c r="T1088" i="15"/>
  <c r="T1087" i="15"/>
  <c r="T1086" i="15"/>
  <c r="T1085" i="15"/>
  <c r="T1084" i="15"/>
  <c r="T1083" i="15"/>
  <c r="T1082" i="15"/>
  <c r="T1081" i="15"/>
  <c r="T1080" i="15"/>
  <c r="T1079" i="15"/>
  <c r="T1078" i="15"/>
  <c r="T1077" i="15"/>
  <c r="T1076" i="15"/>
  <c r="T1075" i="15"/>
  <c r="T1074" i="15"/>
  <c r="T1073" i="15"/>
  <c r="T1072" i="15"/>
  <c r="T1071" i="15"/>
  <c r="T1070" i="15"/>
  <c r="T1069" i="15"/>
  <c r="T1068" i="15"/>
  <c r="T1067" i="15"/>
  <c r="T1066" i="15"/>
  <c r="T1065" i="15"/>
  <c r="T1064" i="15"/>
  <c r="T1063" i="15"/>
  <c r="T1062" i="15"/>
  <c r="T1061" i="15"/>
  <c r="T1060" i="15"/>
  <c r="T1059" i="15"/>
  <c r="T1058" i="15"/>
  <c r="T1057" i="15"/>
  <c r="T1056" i="15"/>
  <c r="T1055" i="15"/>
  <c r="T1054" i="15"/>
  <c r="T1053" i="15"/>
  <c r="T1052" i="15"/>
  <c r="T1051" i="15"/>
  <c r="T1050" i="15"/>
  <c r="T1049" i="15"/>
  <c r="T1048" i="15"/>
  <c r="T1047" i="15"/>
  <c r="T1046" i="15"/>
  <c r="T1045" i="15"/>
  <c r="T1044" i="15"/>
  <c r="T1043" i="15"/>
  <c r="T1042" i="15"/>
  <c r="T1041" i="15"/>
  <c r="T1040" i="15"/>
  <c r="T1039" i="15"/>
  <c r="T1038" i="15"/>
  <c r="T1037" i="15"/>
  <c r="T1036" i="15"/>
  <c r="T1035" i="15"/>
  <c r="T1034" i="15"/>
  <c r="T1033" i="15"/>
  <c r="T1032" i="15"/>
  <c r="T1031" i="15"/>
  <c r="T1030" i="15"/>
  <c r="T1029" i="15"/>
  <c r="T1028" i="15"/>
  <c r="T1027" i="15"/>
  <c r="T1026" i="15"/>
  <c r="T1025" i="15"/>
  <c r="T1024" i="15"/>
  <c r="T1023" i="15"/>
  <c r="T1022" i="15"/>
  <c r="T1021" i="15"/>
  <c r="T1020" i="15"/>
  <c r="T1019" i="15"/>
  <c r="T1018" i="15"/>
  <c r="T1017" i="15"/>
  <c r="T1016" i="15"/>
  <c r="T1015" i="15"/>
  <c r="T1014" i="15"/>
  <c r="T1013" i="15"/>
  <c r="T1012" i="15"/>
  <c r="T1011" i="15"/>
  <c r="T1010" i="15"/>
  <c r="T1009" i="15"/>
  <c r="T1008" i="15"/>
  <c r="T1007" i="15"/>
  <c r="T1006" i="15"/>
  <c r="T1005" i="15"/>
  <c r="T1004" i="15"/>
  <c r="T1003" i="15"/>
  <c r="T1002" i="15"/>
  <c r="T1001" i="15"/>
  <c r="T1000" i="15"/>
  <c r="T999" i="15"/>
  <c r="T998" i="15"/>
  <c r="T997" i="15"/>
  <c r="T996" i="15"/>
  <c r="T995" i="15"/>
  <c r="T994" i="15"/>
  <c r="T993" i="15"/>
  <c r="T992" i="15"/>
  <c r="T991" i="15"/>
  <c r="T990" i="15"/>
  <c r="T989" i="15"/>
  <c r="T988" i="15"/>
  <c r="T987" i="15"/>
  <c r="T986" i="15"/>
  <c r="T985" i="15"/>
  <c r="T984" i="15"/>
  <c r="T983" i="15"/>
  <c r="T982" i="15"/>
  <c r="T981" i="15"/>
  <c r="T980" i="15"/>
  <c r="T979" i="15"/>
  <c r="T978" i="15"/>
  <c r="T977" i="15"/>
  <c r="T976" i="15"/>
  <c r="T975" i="15"/>
  <c r="T974" i="15"/>
  <c r="T973" i="15"/>
  <c r="T972" i="15"/>
  <c r="T971" i="15"/>
  <c r="T970" i="15"/>
  <c r="T969" i="15"/>
  <c r="T968" i="15"/>
  <c r="T967" i="15"/>
  <c r="T966" i="15"/>
  <c r="T965" i="15"/>
  <c r="T964" i="15"/>
  <c r="T963" i="15"/>
  <c r="T962" i="15"/>
  <c r="T961" i="15"/>
  <c r="T960" i="15"/>
  <c r="T959" i="15"/>
  <c r="T958" i="15"/>
  <c r="T957" i="15"/>
  <c r="T956" i="15"/>
  <c r="T955" i="15"/>
  <c r="T954" i="15"/>
  <c r="T953" i="15"/>
  <c r="T952" i="15"/>
  <c r="T951" i="15"/>
  <c r="T950" i="15"/>
  <c r="T949" i="15"/>
  <c r="T948" i="15"/>
  <c r="T947" i="15"/>
  <c r="T946" i="15"/>
  <c r="T945" i="15"/>
  <c r="T944" i="15"/>
  <c r="T943" i="15"/>
  <c r="T942" i="15"/>
  <c r="T941" i="15"/>
  <c r="T940" i="15"/>
  <c r="T939" i="15"/>
  <c r="T938" i="15"/>
  <c r="T937" i="15"/>
  <c r="T936" i="15"/>
  <c r="T935" i="15"/>
  <c r="T934" i="15"/>
  <c r="T933" i="15"/>
  <c r="T932" i="15"/>
  <c r="T931" i="15"/>
  <c r="T930" i="15"/>
  <c r="T929" i="15"/>
  <c r="T928" i="15"/>
  <c r="T927" i="15"/>
  <c r="T926" i="15"/>
  <c r="T925" i="15"/>
  <c r="T924" i="15"/>
  <c r="T923" i="15"/>
  <c r="T922" i="15"/>
  <c r="T921" i="15"/>
  <c r="T920" i="15"/>
  <c r="T919" i="15"/>
  <c r="T918" i="15"/>
  <c r="T917" i="15"/>
  <c r="T916" i="15"/>
  <c r="T915" i="15"/>
  <c r="T914" i="15"/>
  <c r="T913" i="15"/>
  <c r="T912" i="15"/>
  <c r="T911" i="15"/>
  <c r="T910" i="15"/>
  <c r="T909" i="15"/>
  <c r="T908" i="15"/>
  <c r="T907" i="15"/>
  <c r="T906" i="15"/>
  <c r="T905" i="15"/>
  <c r="T904" i="15"/>
  <c r="T903" i="15"/>
  <c r="T902" i="15"/>
  <c r="T901" i="15"/>
  <c r="T900" i="15"/>
  <c r="T899" i="15"/>
  <c r="T898" i="15"/>
  <c r="T897" i="15"/>
  <c r="T896" i="15"/>
  <c r="T895" i="15"/>
  <c r="T894" i="15"/>
  <c r="T893" i="15"/>
  <c r="T892" i="15"/>
  <c r="T891" i="15"/>
  <c r="T890" i="15"/>
  <c r="T889" i="15"/>
  <c r="T888" i="15"/>
  <c r="T887" i="15"/>
  <c r="T886" i="15"/>
  <c r="T885" i="15"/>
  <c r="T884" i="15"/>
  <c r="T883" i="15"/>
  <c r="T882" i="15"/>
  <c r="T881" i="15"/>
  <c r="T880" i="15"/>
  <c r="T879" i="15"/>
  <c r="T878" i="15"/>
  <c r="T877" i="15"/>
  <c r="T876" i="15"/>
  <c r="T875" i="15"/>
  <c r="T874" i="15"/>
  <c r="T873" i="15"/>
  <c r="T872" i="15"/>
  <c r="T871" i="15"/>
  <c r="T870" i="15"/>
  <c r="T869" i="15"/>
  <c r="T868" i="15"/>
  <c r="T867" i="15"/>
  <c r="T866" i="15"/>
  <c r="T865" i="15"/>
  <c r="T864" i="15"/>
  <c r="T863" i="15"/>
  <c r="T862" i="15"/>
  <c r="T861" i="15"/>
  <c r="T860" i="15"/>
  <c r="T859" i="15"/>
  <c r="T858" i="15"/>
  <c r="T857" i="15"/>
  <c r="T856" i="15"/>
  <c r="T855" i="15"/>
  <c r="T854" i="15"/>
  <c r="T853" i="15"/>
  <c r="T852" i="15"/>
  <c r="T851" i="15"/>
  <c r="T850" i="15"/>
  <c r="T849" i="15"/>
  <c r="T848" i="15"/>
  <c r="T847" i="15"/>
  <c r="T846" i="15"/>
  <c r="T845" i="15"/>
  <c r="T844" i="15"/>
  <c r="T843" i="15"/>
  <c r="T842" i="15"/>
  <c r="T841" i="15"/>
  <c r="T840" i="15"/>
  <c r="T839" i="15"/>
  <c r="T838" i="15"/>
  <c r="T837" i="15"/>
  <c r="T836" i="15"/>
  <c r="T835" i="15"/>
  <c r="T834" i="15"/>
  <c r="T833" i="15"/>
  <c r="T832" i="15"/>
  <c r="T831" i="15"/>
  <c r="T830" i="15"/>
  <c r="T829" i="15"/>
  <c r="T828" i="15"/>
  <c r="T827" i="15"/>
  <c r="T826" i="15"/>
  <c r="T825" i="15"/>
  <c r="T824" i="15"/>
  <c r="T823" i="15"/>
  <c r="T822" i="15"/>
  <c r="T821" i="15"/>
  <c r="T820" i="15"/>
  <c r="T819" i="15"/>
  <c r="T818" i="15"/>
  <c r="T817" i="15"/>
  <c r="T816" i="15"/>
  <c r="T815" i="15"/>
  <c r="T814" i="15"/>
  <c r="T813" i="15"/>
  <c r="T812" i="15"/>
  <c r="T811" i="15"/>
  <c r="T810" i="15"/>
  <c r="T809" i="15"/>
  <c r="T808" i="15"/>
  <c r="T807" i="15"/>
  <c r="T806" i="15"/>
  <c r="T805" i="15"/>
  <c r="T804" i="15"/>
  <c r="T803" i="15"/>
  <c r="T802" i="15"/>
  <c r="T801" i="15"/>
  <c r="T800" i="15"/>
  <c r="T799" i="15"/>
  <c r="T798" i="15"/>
  <c r="T797" i="15"/>
  <c r="T796" i="15"/>
  <c r="T795" i="15"/>
  <c r="T794" i="15"/>
  <c r="T793" i="15"/>
  <c r="T792" i="15"/>
  <c r="T791" i="15"/>
  <c r="T790" i="15"/>
  <c r="T789" i="15"/>
  <c r="T788" i="15"/>
  <c r="T787" i="15"/>
  <c r="T786" i="15"/>
  <c r="T785" i="15"/>
  <c r="T784" i="15"/>
  <c r="T783" i="15"/>
  <c r="T782" i="15"/>
  <c r="T781" i="15"/>
  <c r="T780" i="15"/>
  <c r="T779" i="15"/>
  <c r="T778" i="15"/>
  <c r="T777" i="15"/>
  <c r="T776" i="15"/>
  <c r="T775" i="15"/>
  <c r="T774" i="15"/>
  <c r="T773" i="15"/>
  <c r="T772" i="15"/>
  <c r="T771" i="15"/>
  <c r="T770" i="15"/>
  <c r="T769" i="15"/>
  <c r="T768" i="15"/>
  <c r="T767" i="15"/>
  <c r="T766" i="15"/>
  <c r="T765" i="15"/>
  <c r="T764" i="15"/>
  <c r="T763" i="15"/>
  <c r="T762" i="15"/>
  <c r="T761" i="15"/>
  <c r="T760" i="15"/>
  <c r="T759" i="15"/>
  <c r="T758" i="15"/>
  <c r="T757" i="15"/>
  <c r="T756" i="15"/>
  <c r="T755" i="15"/>
  <c r="T754" i="15"/>
  <c r="T753" i="15"/>
  <c r="T752" i="15"/>
  <c r="T751" i="15"/>
  <c r="T750" i="15"/>
  <c r="T749" i="15"/>
  <c r="T748" i="15"/>
  <c r="T747" i="15"/>
  <c r="T746" i="15"/>
  <c r="T745" i="15"/>
  <c r="T744" i="15"/>
  <c r="T743" i="15"/>
  <c r="T742" i="15"/>
  <c r="T741" i="15"/>
  <c r="T740" i="15"/>
  <c r="T739" i="15"/>
  <c r="T738" i="15"/>
  <c r="T737" i="15"/>
  <c r="T736" i="15"/>
  <c r="T735" i="15"/>
  <c r="T734" i="15"/>
  <c r="T733" i="15"/>
  <c r="T732" i="15"/>
  <c r="T731" i="15"/>
  <c r="T730" i="15"/>
  <c r="T729" i="15"/>
  <c r="T728" i="15"/>
  <c r="T727" i="15"/>
  <c r="T726" i="15"/>
  <c r="T725" i="15"/>
  <c r="T724" i="15"/>
  <c r="T723" i="15"/>
  <c r="T722" i="15"/>
  <c r="T721" i="15"/>
  <c r="T720" i="15"/>
  <c r="T719" i="15"/>
  <c r="T718" i="15"/>
  <c r="T717" i="15"/>
  <c r="T716" i="15"/>
  <c r="T715" i="15"/>
  <c r="T714" i="15"/>
  <c r="T713" i="15"/>
  <c r="T712" i="15"/>
  <c r="T711" i="15"/>
  <c r="Y191" i="15"/>
  <c r="X191" i="15"/>
  <c r="Y190" i="15"/>
  <c r="X190" i="15"/>
  <c r="Y189" i="15"/>
  <c r="X189" i="15"/>
  <c r="Y188" i="15"/>
  <c r="X188" i="15"/>
  <c r="Y187" i="15"/>
  <c r="X187" i="15"/>
  <c r="Y186" i="15"/>
  <c r="X186" i="15"/>
  <c r="Y185" i="15"/>
  <c r="X185" i="15"/>
  <c r="Y184" i="15"/>
  <c r="X184" i="15"/>
  <c r="Y183" i="15"/>
  <c r="X183" i="15"/>
  <c r="Y182" i="15"/>
  <c r="X182" i="15"/>
  <c r="Y181" i="15"/>
  <c r="X181" i="15"/>
  <c r="Y180" i="15"/>
  <c r="X180" i="15"/>
  <c r="Y179" i="15"/>
  <c r="X179" i="15"/>
  <c r="Y178" i="15"/>
  <c r="X178" i="15"/>
  <c r="Y177" i="15"/>
  <c r="X177" i="15"/>
  <c r="Y176" i="15"/>
  <c r="X176" i="15"/>
  <c r="Y175" i="15"/>
  <c r="X175" i="15"/>
  <c r="Y174" i="15"/>
  <c r="X174" i="15"/>
  <c r="Y173" i="15"/>
  <c r="X173" i="15"/>
  <c r="Y172" i="15"/>
  <c r="X172" i="15"/>
  <c r="Y171" i="15"/>
  <c r="X171" i="15"/>
  <c r="Y170" i="15"/>
  <c r="X170" i="15"/>
  <c r="Y169" i="15"/>
  <c r="X169" i="15"/>
  <c r="Y168" i="15"/>
  <c r="X168" i="15"/>
  <c r="Y167" i="15"/>
  <c r="X167" i="15"/>
  <c r="Y166" i="15"/>
  <c r="X166" i="15"/>
  <c r="Y165" i="15"/>
  <c r="X165" i="15"/>
  <c r="Y164" i="15"/>
  <c r="X164" i="15"/>
  <c r="Y163" i="15"/>
  <c r="X163" i="15"/>
  <c r="Y162" i="15"/>
  <c r="X162" i="15"/>
  <c r="Y161" i="15"/>
  <c r="X161" i="15"/>
  <c r="Y160" i="15"/>
  <c r="X160" i="15"/>
  <c r="Y159" i="15"/>
  <c r="X159" i="15"/>
  <c r="Y158" i="15"/>
  <c r="X158" i="15"/>
  <c r="Y157" i="15"/>
  <c r="X157" i="15"/>
  <c r="Y156" i="15"/>
  <c r="X156" i="15"/>
  <c r="Y155" i="15"/>
  <c r="X155" i="15"/>
  <c r="Y154" i="15"/>
  <c r="X154" i="15"/>
  <c r="Y153" i="15"/>
  <c r="X153" i="15"/>
  <c r="Y152" i="15"/>
  <c r="X152" i="15"/>
  <c r="Y151" i="15"/>
  <c r="X151" i="15"/>
  <c r="Y150" i="15"/>
  <c r="X150" i="15"/>
  <c r="Y149" i="15"/>
  <c r="X149" i="15"/>
  <c r="Y148" i="15"/>
  <c r="X148" i="15"/>
  <c r="Y147" i="15"/>
  <c r="X147" i="15"/>
  <c r="Y146" i="15"/>
  <c r="X146" i="15"/>
  <c r="Y145" i="15"/>
  <c r="X145" i="15"/>
  <c r="Y144" i="15"/>
  <c r="X144" i="15"/>
  <c r="Y143" i="15"/>
  <c r="X143" i="15"/>
  <c r="Y142" i="15"/>
  <c r="X142" i="15"/>
  <c r="Y141" i="15"/>
  <c r="X141" i="15"/>
  <c r="Y140" i="15"/>
  <c r="X140" i="15"/>
  <c r="Y139" i="15"/>
  <c r="X139" i="15"/>
  <c r="Y138" i="15"/>
  <c r="X138" i="15"/>
  <c r="Y137" i="15"/>
  <c r="X137" i="15"/>
  <c r="Y136" i="15"/>
  <c r="X136" i="15"/>
  <c r="Y135" i="15"/>
  <c r="X135" i="15"/>
  <c r="Y134" i="15"/>
  <c r="X134" i="15"/>
  <c r="Y133" i="15"/>
  <c r="X133" i="15"/>
  <c r="Y132" i="15"/>
  <c r="X132" i="15"/>
  <c r="Y131" i="15"/>
  <c r="X131" i="15"/>
  <c r="Y130" i="15"/>
  <c r="X130" i="15"/>
  <c r="Y129" i="15"/>
  <c r="X129" i="15"/>
  <c r="Y128" i="15"/>
  <c r="X128" i="15"/>
  <c r="Y127" i="15"/>
  <c r="X127" i="15"/>
  <c r="Y126" i="15"/>
  <c r="X126" i="15"/>
  <c r="Y125" i="15"/>
  <c r="X125" i="15"/>
  <c r="Y124" i="15"/>
  <c r="X124" i="15"/>
  <c r="Y123" i="15"/>
  <c r="X123" i="15"/>
  <c r="Y122" i="15"/>
  <c r="X122" i="15"/>
  <c r="Y121" i="15"/>
  <c r="X121" i="15"/>
  <c r="Y120" i="15"/>
  <c r="X120" i="15"/>
  <c r="Y119" i="15"/>
  <c r="X119" i="15"/>
  <c r="P6" i="14"/>
  <c r="P4" i="14"/>
  <c r="V3" i="14"/>
  <c r="S88" i="8"/>
  <c r="U88" i="8" s="1"/>
  <c r="Q88" i="8"/>
  <c r="Q89" i="8"/>
  <c r="Q90" i="8"/>
  <c r="Q91" i="8"/>
  <c r="Q92" i="8"/>
  <c r="Q93" i="8"/>
  <c r="Q94" i="8"/>
  <c r="Q95" i="8"/>
  <c r="Q96" i="8"/>
  <c r="Q97" i="8"/>
  <c r="Q98" i="8"/>
  <c r="Q99" i="8"/>
  <c r="Q100" i="8"/>
  <c r="Q101" i="8"/>
  <c r="Q102" i="8"/>
  <c r="Q103" i="8"/>
  <c r="Q104" i="8"/>
  <c r="Q105" i="8"/>
  <c r="Q106" i="8"/>
  <c r="Q107" i="8"/>
  <c r="Q108" i="8"/>
  <c r="Q109" i="8"/>
  <c r="W495" i="8"/>
  <c r="W494" i="8"/>
  <c r="W493" i="8"/>
  <c r="W492" i="8"/>
  <c r="W491" i="8"/>
  <c r="W490" i="8"/>
  <c r="W489" i="8"/>
  <c r="W488" i="8"/>
  <c r="W487" i="8"/>
  <c r="W486" i="8"/>
  <c r="W485" i="8"/>
  <c r="W484" i="8"/>
  <c r="W483" i="8"/>
  <c r="W482" i="8"/>
  <c r="W481" i="8"/>
  <c r="W480" i="8"/>
  <c r="W479" i="8"/>
  <c r="W478" i="8"/>
  <c r="W477" i="8"/>
  <c r="W476" i="8"/>
  <c r="W475" i="8"/>
  <c r="W474" i="8"/>
  <c r="W473" i="8"/>
  <c r="W472" i="8"/>
  <c r="W471" i="8"/>
  <c r="W470" i="8"/>
  <c r="W469" i="8"/>
  <c r="W468" i="8"/>
  <c r="W467" i="8"/>
  <c r="W466" i="8"/>
  <c r="W465" i="8"/>
  <c r="W464" i="8"/>
  <c r="W463" i="8"/>
  <c r="W462" i="8"/>
  <c r="W461" i="8"/>
  <c r="W460" i="8"/>
  <c r="W459" i="8"/>
  <c r="W458" i="8"/>
  <c r="W457" i="8"/>
  <c r="W456" i="8"/>
  <c r="W455" i="8"/>
  <c r="W454" i="8"/>
  <c r="W453" i="8"/>
  <c r="W452" i="8"/>
  <c r="W451" i="8"/>
  <c r="W450" i="8"/>
  <c r="W449" i="8"/>
  <c r="W448" i="8"/>
  <c r="W447" i="8"/>
  <c r="W446" i="8"/>
  <c r="W445" i="8"/>
  <c r="W444" i="8"/>
  <c r="W443" i="8"/>
  <c r="W442" i="8"/>
  <c r="W441" i="8"/>
  <c r="W440" i="8"/>
  <c r="W439" i="8"/>
  <c r="W438" i="8"/>
  <c r="W437" i="8"/>
  <c r="W436" i="8"/>
  <c r="W435" i="8"/>
  <c r="W434" i="8"/>
  <c r="W433" i="8"/>
  <c r="W432" i="8"/>
  <c r="W431" i="8"/>
  <c r="W430" i="8"/>
  <c r="W429" i="8"/>
  <c r="W428" i="8"/>
  <c r="W427" i="8"/>
  <c r="W426" i="8"/>
  <c r="W425" i="8"/>
  <c r="W424" i="8"/>
  <c r="W423" i="8"/>
  <c r="W422" i="8"/>
  <c r="W421" i="8"/>
  <c r="W420" i="8"/>
  <c r="W419" i="8"/>
  <c r="W418" i="8"/>
  <c r="W417" i="8"/>
  <c r="W416" i="8"/>
  <c r="W415" i="8"/>
  <c r="W414" i="8"/>
  <c r="W413" i="8"/>
  <c r="W412" i="8"/>
  <c r="W411" i="8"/>
  <c r="W410" i="8"/>
  <c r="W409" i="8"/>
  <c r="W408" i="8"/>
  <c r="W407" i="8"/>
  <c r="W406" i="8"/>
  <c r="W405" i="8"/>
  <c r="W404" i="8"/>
  <c r="W403" i="8"/>
  <c r="W402" i="8"/>
  <c r="W401" i="8"/>
  <c r="W400" i="8"/>
  <c r="W399" i="8"/>
  <c r="W398" i="8"/>
  <c r="W397" i="8"/>
  <c r="W396" i="8"/>
  <c r="W395" i="8"/>
  <c r="W394" i="8"/>
  <c r="W393" i="8"/>
  <c r="W392" i="8"/>
  <c r="W391" i="8"/>
  <c r="W390" i="8"/>
  <c r="W389" i="8"/>
  <c r="W388" i="8"/>
  <c r="W387" i="8"/>
  <c r="W386" i="8"/>
  <c r="W385" i="8"/>
  <c r="W384" i="8"/>
  <c r="W383" i="8"/>
  <c r="W382" i="8"/>
  <c r="W381" i="8"/>
  <c r="W380" i="8"/>
  <c r="W379" i="8"/>
  <c r="W378" i="8"/>
  <c r="W377" i="8"/>
  <c r="W376" i="8"/>
  <c r="W375" i="8"/>
  <c r="W374" i="8"/>
  <c r="W373" i="8"/>
  <c r="W372" i="8"/>
  <c r="W371" i="8"/>
  <c r="W370" i="8"/>
  <c r="W369" i="8"/>
  <c r="W368" i="8"/>
  <c r="W367" i="8"/>
  <c r="W366" i="8"/>
  <c r="W365" i="8"/>
  <c r="W364" i="8"/>
  <c r="W363" i="8"/>
  <c r="W362" i="8"/>
  <c r="W361" i="8"/>
  <c r="W360" i="8"/>
  <c r="W359" i="8"/>
  <c r="W358" i="8"/>
  <c r="W357" i="8"/>
  <c r="W356" i="8"/>
  <c r="W355" i="8"/>
  <c r="W354" i="8"/>
  <c r="W353" i="8"/>
  <c r="W352" i="8"/>
  <c r="W351" i="8"/>
  <c r="W350" i="8"/>
  <c r="W349" i="8"/>
  <c r="W348" i="8"/>
  <c r="W347" i="8"/>
  <c r="W346" i="8"/>
  <c r="W345" i="8"/>
  <c r="W344" i="8"/>
  <c r="W343" i="8"/>
  <c r="W342" i="8"/>
  <c r="W341" i="8"/>
  <c r="W340" i="8"/>
  <c r="W339" i="8"/>
  <c r="W338" i="8"/>
  <c r="W337" i="8"/>
  <c r="W336" i="8"/>
  <c r="W335" i="8"/>
  <c r="W334" i="8"/>
  <c r="W333" i="8"/>
  <c r="W332" i="8"/>
  <c r="W331" i="8"/>
  <c r="W330" i="8"/>
  <c r="W329" i="8"/>
  <c r="W328" i="8"/>
  <c r="W327" i="8"/>
  <c r="W326" i="8"/>
  <c r="W325" i="8"/>
  <c r="W324" i="8"/>
  <c r="W323" i="8"/>
  <c r="W322" i="8"/>
  <c r="W321" i="8"/>
  <c r="W320" i="8"/>
  <c r="W319" i="8"/>
  <c r="W318" i="8"/>
  <c r="W317" i="8"/>
  <c r="W316" i="8"/>
  <c r="W315" i="8"/>
  <c r="W314" i="8"/>
  <c r="W313" i="8"/>
  <c r="W312" i="8"/>
  <c r="W311" i="8"/>
  <c r="W310" i="8"/>
  <c r="W309" i="8"/>
  <c r="W308" i="8"/>
  <c r="W307" i="8"/>
  <c r="W306" i="8"/>
  <c r="W305" i="8"/>
  <c r="W304" i="8"/>
  <c r="W303" i="8"/>
  <c r="W302" i="8"/>
  <c r="W301" i="8"/>
  <c r="W300" i="8"/>
  <c r="W299" i="8"/>
  <c r="W298" i="8"/>
  <c r="W297" i="8"/>
  <c r="W296" i="8"/>
  <c r="W295" i="8"/>
  <c r="W294" i="8"/>
  <c r="W293" i="8"/>
  <c r="W292" i="8"/>
  <c r="W291" i="8"/>
  <c r="W290" i="8"/>
  <c r="W289" i="8"/>
  <c r="W288" i="8"/>
  <c r="W287" i="8"/>
  <c r="W286" i="8"/>
  <c r="W285" i="8"/>
  <c r="W284" i="8"/>
  <c r="W283" i="8"/>
  <c r="W282" i="8"/>
  <c r="W281" i="8"/>
  <c r="W280" i="8"/>
  <c r="W279" i="8"/>
  <c r="W278" i="8"/>
  <c r="W277" i="8"/>
  <c r="W276" i="8"/>
  <c r="W275" i="8"/>
  <c r="W274" i="8"/>
  <c r="W273" i="8"/>
  <c r="W272" i="8"/>
  <c r="W271" i="8"/>
  <c r="W270" i="8"/>
  <c r="W269" i="8"/>
  <c r="W268" i="8"/>
  <c r="W267" i="8"/>
  <c r="W266" i="8"/>
  <c r="W265" i="8"/>
  <c r="W264" i="8"/>
  <c r="W263" i="8"/>
  <c r="W262" i="8"/>
  <c r="W261" i="8"/>
  <c r="W260" i="8"/>
  <c r="W259" i="8"/>
  <c r="W258" i="8"/>
  <c r="W257" i="8"/>
  <c r="W256" i="8"/>
  <c r="W255" i="8"/>
  <c r="W254" i="8"/>
  <c r="W253" i="8"/>
  <c r="W252" i="8"/>
  <c r="W251" i="8"/>
  <c r="W250" i="8"/>
  <c r="W249" i="8"/>
  <c r="W248" i="8"/>
  <c r="W247" i="8"/>
  <c r="W246" i="8"/>
  <c r="W245" i="8"/>
  <c r="W244" i="8"/>
  <c r="W243" i="8"/>
  <c r="W242" i="8"/>
  <c r="W241" i="8"/>
  <c r="W240" i="8"/>
  <c r="W239" i="8"/>
  <c r="W238" i="8"/>
  <c r="W237" i="8"/>
  <c r="W236" i="8"/>
  <c r="W235" i="8"/>
  <c r="W234" i="8"/>
  <c r="W233" i="8"/>
  <c r="W232" i="8"/>
  <c r="W231" i="8"/>
  <c r="W230" i="8"/>
  <c r="W229" i="8"/>
  <c r="W228" i="8"/>
  <c r="W227" i="8"/>
  <c r="W226" i="8"/>
  <c r="W225" i="8"/>
  <c r="W224" i="8"/>
  <c r="W223" i="8"/>
  <c r="W222" i="8"/>
  <c r="W221" i="8"/>
  <c r="W220" i="8"/>
  <c r="W219" i="8"/>
  <c r="W218" i="8"/>
  <c r="W217" i="8"/>
  <c r="W216" i="8"/>
  <c r="W215" i="8"/>
  <c r="W214" i="8"/>
  <c r="W213" i="8"/>
  <c r="W212" i="8"/>
  <c r="W211" i="8"/>
  <c r="W210" i="8"/>
  <c r="W209" i="8"/>
  <c r="W208" i="8"/>
  <c r="W207" i="8"/>
  <c r="W206" i="8"/>
  <c r="W205" i="8"/>
  <c r="W204" i="8"/>
  <c r="W203" i="8"/>
  <c r="W202" i="8"/>
  <c r="W201" i="8"/>
  <c r="W200" i="8"/>
  <c r="Y200" i="8" s="1" a="1"/>
  <c r="Y200" i="8" s="1"/>
  <c r="W199" i="8"/>
  <c r="Y199" i="8" s="1" a="1"/>
  <c r="Y199" i="8" s="1"/>
  <c r="W198" i="8"/>
  <c r="W197" i="8"/>
  <c r="Y197" i="8" s="1" a="1"/>
  <c r="Y197" i="8" s="1"/>
  <c r="W196" i="8"/>
  <c r="W195" i="8"/>
  <c r="W194" i="8"/>
  <c r="Y194" i="8" s="1" a="1"/>
  <c r="Y194" i="8" s="1"/>
  <c r="W193" i="8"/>
  <c r="Y193" i="8" s="1" a="1"/>
  <c r="Y193" i="8" s="1"/>
  <c r="W192" i="8"/>
  <c r="Y192" i="8" s="1" a="1"/>
  <c r="Y192" i="8" s="1"/>
  <c r="W191" i="8"/>
  <c r="Y191" i="8" s="1" a="1"/>
  <c r="Y191" i="8" s="1"/>
  <c r="W190" i="8"/>
  <c r="Y190" i="8" s="1" a="1"/>
  <c r="Y190" i="8" s="1"/>
  <c r="W189" i="8"/>
  <c r="Y189" i="8" s="1" a="1"/>
  <c r="Y189" i="8" s="1"/>
  <c r="W188" i="8"/>
  <c r="W187" i="8"/>
  <c r="W186" i="8"/>
  <c r="Y186" i="8" s="1" a="1"/>
  <c r="Y186" i="8" s="1"/>
  <c r="W185" i="8"/>
  <c r="Y185" i="8" s="1" a="1"/>
  <c r="Y185" i="8" s="1"/>
  <c r="W184" i="8"/>
  <c r="Y184" i="8" s="1" a="1"/>
  <c r="Y184" i="8" s="1"/>
  <c r="W183" i="8"/>
  <c r="Y183" i="8" s="1" a="1"/>
  <c r="Y183" i="8" s="1"/>
  <c r="W182" i="8"/>
  <c r="Y182" i="8" s="1" a="1"/>
  <c r="Y182" i="8" s="1"/>
  <c r="W181" i="8"/>
  <c r="Y181" i="8" s="1" a="1"/>
  <c r="Y181" i="8" s="1"/>
  <c r="W180" i="8"/>
  <c r="W179" i="8"/>
  <c r="W178" i="8"/>
  <c r="Y178" i="8" s="1" a="1"/>
  <c r="Y178" i="8" s="1"/>
  <c r="W177" i="8"/>
  <c r="Y177" i="8" s="1" a="1"/>
  <c r="Y177" i="8" s="1"/>
  <c r="W176" i="8"/>
  <c r="Y176" i="8" s="1" a="1"/>
  <c r="Y176" i="8" s="1"/>
  <c r="W175" i="8"/>
  <c r="Y175" i="8" s="1" a="1"/>
  <c r="Y175" i="8" s="1"/>
  <c r="W174" i="8"/>
  <c r="Y174" i="8" s="1" a="1"/>
  <c r="Y174" i="8" s="1"/>
  <c r="W173" i="8"/>
  <c r="Y173" i="8" s="1" a="1"/>
  <c r="Y173" i="8" s="1"/>
  <c r="W172" i="8"/>
  <c r="W171" i="8"/>
  <c r="W170" i="8"/>
  <c r="W169" i="8"/>
  <c r="Y169" i="8" s="1" a="1"/>
  <c r="Y169" i="8" s="1"/>
  <c r="W168" i="8"/>
  <c r="Y168" i="8" s="1" a="1"/>
  <c r="Y168" i="8" s="1"/>
  <c r="W167" i="8"/>
  <c r="Y167" i="8" s="1" a="1"/>
  <c r="Y167" i="8" s="1"/>
  <c r="W166" i="8"/>
  <c r="Y166" i="8" s="1" a="1"/>
  <c r="Y166" i="8" s="1"/>
  <c r="W165" i="8"/>
  <c r="Y165" i="8" s="1" a="1"/>
  <c r="Y165" i="8" s="1"/>
  <c r="W164" i="8"/>
  <c r="W163" i="8"/>
  <c r="W162" i="8"/>
  <c r="Y162" i="8" s="1" a="1"/>
  <c r="Y162" i="8" s="1"/>
  <c r="W161" i="8"/>
  <c r="Y161" i="8" s="1" a="1"/>
  <c r="Y161" i="8" s="1"/>
  <c r="W160" i="8"/>
  <c r="W159" i="8"/>
  <c r="Y159" i="8" s="1" a="1"/>
  <c r="Y159" i="8" s="1"/>
  <c r="W158" i="8"/>
  <c r="Y158" i="8" s="1" a="1"/>
  <c r="Y158" i="8" s="1"/>
  <c r="W157" i="8"/>
  <c r="Y157" i="8" s="1" a="1"/>
  <c r="Y157" i="8" s="1"/>
  <c r="W156" i="8"/>
  <c r="W155" i="8"/>
  <c r="W154" i="8"/>
  <c r="Y154" i="8" s="1" a="1"/>
  <c r="Y154" i="8" s="1"/>
  <c r="W153" i="8"/>
  <c r="Y153" i="8" s="1" a="1"/>
  <c r="Y153" i="8" s="1"/>
  <c r="W152" i="8"/>
  <c r="Y152" i="8" s="1" a="1"/>
  <c r="Y152" i="8" s="1"/>
  <c r="W151" i="8"/>
  <c r="Y151" i="8" s="1" a="1"/>
  <c r="Y151" i="8" s="1"/>
  <c r="W150" i="8"/>
  <c r="Y150" i="8" s="1" a="1"/>
  <c r="Y150" i="8" s="1"/>
  <c r="W149" i="8"/>
  <c r="Y149" i="8" s="1" a="1"/>
  <c r="Y149" i="8" s="1"/>
  <c r="W148" i="8"/>
  <c r="W147" i="8"/>
  <c r="W146" i="8"/>
  <c r="Y146" i="8" s="1" a="1"/>
  <c r="Y146" i="8" s="1"/>
  <c r="W145" i="8"/>
  <c r="Y145" i="8" s="1" a="1"/>
  <c r="Y145" i="8" s="1"/>
  <c r="W144" i="8"/>
  <c r="W143" i="8"/>
  <c r="Y143" i="8" s="1" a="1"/>
  <c r="Y143" i="8" s="1"/>
  <c r="W142" i="8"/>
  <c r="Y142" i="8" s="1" a="1"/>
  <c r="Y142" i="8" s="1"/>
  <c r="W141" i="8"/>
  <c r="Y141" i="8" s="1" a="1"/>
  <c r="Y141" i="8" s="1"/>
  <c r="W140" i="8"/>
  <c r="W139" i="8"/>
  <c r="W138" i="8"/>
  <c r="Y138" i="8" s="1" a="1"/>
  <c r="Y138" i="8" s="1"/>
  <c r="W137" i="8"/>
  <c r="Y137" i="8" s="1" a="1"/>
  <c r="Y137" i="8" s="1"/>
  <c r="W136" i="8"/>
  <c r="Y136" i="8" s="1" a="1"/>
  <c r="Y136" i="8" s="1"/>
  <c r="W135" i="8"/>
  <c r="X135" i="8" s="1"/>
  <c r="W134" i="8"/>
  <c r="X134" i="8" s="1"/>
  <c r="W133" i="8"/>
  <c r="Y133" i="8" s="1" a="1"/>
  <c r="Y133" i="8" s="1"/>
  <c r="W132" i="8"/>
  <c r="W131" i="8"/>
  <c r="W130" i="8"/>
  <c r="X130" i="8" s="1"/>
  <c r="W129" i="8"/>
  <c r="Y129" i="8" s="1" a="1"/>
  <c r="Y129" i="8" s="1"/>
  <c r="W128" i="8"/>
  <c r="Y128" i="8" s="1" a="1"/>
  <c r="Y128" i="8" s="1"/>
  <c r="W127" i="8"/>
  <c r="Y127" i="8" s="1" a="1"/>
  <c r="Y127" i="8" s="1"/>
  <c r="W126" i="8"/>
  <c r="X126" i="8" s="1"/>
  <c r="W125" i="8"/>
  <c r="Y125" i="8" s="1" a="1"/>
  <c r="Y125" i="8" s="1"/>
  <c r="W124" i="8"/>
  <c r="W123" i="8"/>
  <c r="W122" i="8"/>
  <c r="Y122" i="8" s="1" a="1"/>
  <c r="Y122" i="8" s="1"/>
  <c r="W121" i="8"/>
  <c r="Y121" i="8" s="1" a="1"/>
  <c r="Y121" i="8" s="1"/>
  <c r="W120" i="8"/>
  <c r="X120" i="8" s="1"/>
  <c r="W119" i="8"/>
  <c r="Y119" i="8" s="1" a="1"/>
  <c r="Y119" i="8" s="1"/>
  <c r="W118" i="8"/>
  <c r="X118" i="8" s="1"/>
  <c r="W117" i="8"/>
  <c r="X117" i="8" s="1"/>
  <c r="W116" i="8"/>
  <c r="W115" i="8"/>
  <c r="W114" i="8"/>
  <c r="X114" i="8" s="1"/>
  <c r="W113" i="8"/>
  <c r="Y113" i="8" s="1" a="1"/>
  <c r="Y113" i="8" s="1"/>
  <c r="W112" i="8"/>
  <c r="Y112" i="8" s="1" a="1"/>
  <c r="Y112" i="8" s="1"/>
  <c r="W111" i="8"/>
  <c r="X111" i="8" s="1"/>
  <c r="W110" i="8"/>
  <c r="Y110" i="8" s="1" a="1"/>
  <c r="Y110" i="8" s="1"/>
  <c r="W82" i="8"/>
  <c r="R81" i="8"/>
  <c r="W81" i="8" s="1"/>
  <c r="R84" i="8"/>
  <c r="W84" i="8" s="1"/>
  <c r="R83" i="8"/>
  <c r="W83" i="8" s="1"/>
  <c r="W78" i="8"/>
  <c r="W76" i="8"/>
  <c r="W77" i="8"/>
  <c r="R109" i="8"/>
  <c r="W109" i="8" s="1"/>
  <c r="R108" i="8"/>
  <c r="W108" i="8" s="1"/>
  <c r="R107" i="8"/>
  <c r="W107" i="8" s="1"/>
  <c r="R106" i="8"/>
  <c r="W106" i="8" s="1"/>
  <c r="R105" i="8"/>
  <c r="W105" i="8" s="1"/>
  <c r="Y105" i="8" s="1" a="1"/>
  <c r="Y105" i="8" s="1"/>
  <c r="R104" i="8"/>
  <c r="W104" i="8" s="1"/>
  <c r="R103" i="8"/>
  <c r="W103" i="8" s="1"/>
  <c r="R102" i="8"/>
  <c r="W102" i="8" s="1"/>
  <c r="R101" i="8"/>
  <c r="W101" i="8" s="1"/>
  <c r="R100" i="8"/>
  <c r="W100" i="8" s="1"/>
  <c r="R99" i="8"/>
  <c r="W99" i="8" s="1"/>
  <c r="R98" i="8"/>
  <c r="W98" i="8" s="1"/>
  <c r="R97" i="8"/>
  <c r="W97" i="8" s="1"/>
  <c r="Y97" i="8" s="1" a="1"/>
  <c r="Y97" i="8" s="1"/>
  <c r="R96" i="8"/>
  <c r="W96" i="8" s="1"/>
  <c r="R95" i="8"/>
  <c r="W95" i="8" s="1"/>
  <c r="Y95" i="8" s="1" a="1"/>
  <c r="Y95" i="8" s="1"/>
  <c r="R94" i="8"/>
  <c r="W94" i="8" s="1"/>
  <c r="R93" i="8"/>
  <c r="W93" i="8" s="1"/>
  <c r="R92" i="8"/>
  <c r="W92" i="8" s="1"/>
  <c r="R91" i="8"/>
  <c r="W91" i="8" s="1"/>
  <c r="R90" i="8"/>
  <c r="W90" i="8" s="1"/>
  <c r="R89" i="8"/>
  <c r="W89" i="8" s="1"/>
  <c r="Y89" i="8" s="1" a="1"/>
  <c r="Y89" i="8" s="1"/>
  <c r="R88" i="8"/>
  <c r="R87" i="8"/>
  <c r="W87" i="8" s="1"/>
  <c r="R86" i="8"/>
  <c r="W86" i="8" s="1"/>
  <c r="R85" i="8"/>
  <c r="W85" i="8" s="1"/>
  <c r="A85" i="8"/>
  <c r="Z45" i="8"/>
  <c r="I36" i="2"/>
  <c r="G36" i="2"/>
  <c r="O76" i="8"/>
  <c r="Y41" i="8" a="1"/>
  <c r="Y41" i="8" s="1"/>
  <c r="Y48" i="8" a="1"/>
  <c r="Y48" i="8" s="1"/>
  <c r="Y71" i="8" a="1"/>
  <c r="Y71" i="8" s="1"/>
  <c r="W75" i="8"/>
  <c r="Y75" i="8" s="1" a="1"/>
  <c r="Y75" i="8" s="1"/>
  <c r="W74" i="8"/>
  <c r="Y74" i="8" s="1" a="1"/>
  <c r="Y74" i="8" s="1"/>
  <c r="W72" i="8"/>
  <c r="Y72" i="8" s="1" a="1"/>
  <c r="Y72" i="8" s="1"/>
  <c r="W73" i="8"/>
  <c r="Y73" i="8" s="1" a="1"/>
  <c r="Y73" i="8" s="1"/>
  <c r="J70" i="8"/>
  <c r="W70" i="8" s="1"/>
  <c r="J69" i="8"/>
  <c r="W69" i="8" s="1"/>
  <c r="J39" i="8"/>
  <c r="W39" i="8" s="1"/>
  <c r="Y39" i="8" s="1" a="1"/>
  <c r="Y39" i="8" s="1"/>
  <c r="J37" i="8"/>
  <c r="W37" i="8" s="1"/>
  <c r="Y37" i="8" s="1" a="1"/>
  <c r="Y37" i="8" s="1"/>
  <c r="J36" i="8"/>
  <c r="W36" i="8" s="1"/>
  <c r="Y36" i="8" s="1" a="1"/>
  <c r="Y36" i="8" s="1"/>
  <c r="J32" i="8"/>
  <c r="W32" i="8" s="1"/>
  <c r="Y32" i="8" s="1" a="1"/>
  <c r="Y32" i="8" s="1"/>
  <c r="W60" i="8"/>
  <c r="X60" i="8" s="1"/>
  <c r="W54" i="8"/>
  <c r="Y54" i="8" s="1" a="1"/>
  <c r="Y54" i="8" s="1"/>
  <c r="W66" i="8"/>
  <c r="Y66" i="8" s="1" a="1"/>
  <c r="Y66" i="8" s="1"/>
  <c r="W65" i="8"/>
  <c r="Y65" i="8" s="1" a="1"/>
  <c r="Y65" i="8" s="1"/>
  <c r="W64" i="8"/>
  <c r="Y64" i="8" s="1" a="1"/>
  <c r="Y64" i="8" s="1"/>
  <c r="W63" i="8"/>
  <c r="Y63" i="8" s="1" a="1"/>
  <c r="Y63" i="8" s="1"/>
  <c r="W62" i="8"/>
  <c r="Y62" i="8" s="1" a="1"/>
  <c r="Y62" i="8" s="1"/>
  <c r="W61" i="8"/>
  <c r="Y61" i="8" s="1" a="1"/>
  <c r="Y61" i="8" s="1"/>
  <c r="W59" i="8"/>
  <c r="Y59" i="8" s="1" a="1"/>
  <c r="Y59" i="8" s="1"/>
  <c r="W58" i="8"/>
  <c r="Y58" i="8" s="1" a="1"/>
  <c r="Y58" i="8" s="1"/>
  <c r="W55" i="8"/>
  <c r="Y55" i="8" s="1" a="1"/>
  <c r="Y55" i="8" s="1"/>
  <c r="W68" i="8"/>
  <c r="X68" i="8" s="1"/>
  <c r="W67" i="8"/>
  <c r="Y67" i="8" s="1" a="1"/>
  <c r="Y67" i="8" s="1"/>
  <c r="J57" i="8"/>
  <c r="W57" i="8" s="1"/>
  <c r="J56" i="8"/>
  <c r="W56" i="8" s="1"/>
  <c r="Y56" i="8" s="1" a="1"/>
  <c r="Y56" i="8" s="1"/>
  <c r="W47" i="8"/>
  <c r="X47" i="8" s="1"/>
  <c r="AD200" i="8"/>
  <c r="AD199" i="8"/>
  <c r="AD198" i="8"/>
  <c r="AD197" i="8"/>
  <c r="AD196" i="8"/>
  <c r="AD195" i="8"/>
  <c r="AD194" i="8"/>
  <c r="AD193" i="8"/>
  <c r="AD192" i="8"/>
  <c r="AD191" i="8"/>
  <c r="AD190" i="8"/>
  <c r="AD189" i="8"/>
  <c r="AD188" i="8"/>
  <c r="AD187" i="8"/>
  <c r="AD186" i="8"/>
  <c r="AD185" i="8"/>
  <c r="AD184" i="8"/>
  <c r="AD183" i="8"/>
  <c r="AD182" i="8"/>
  <c r="AD181" i="8"/>
  <c r="AD180" i="8"/>
  <c r="AD179" i="8"/>
  <c r="AD178" i="8"/>
  <c r="AD177" i="8"/>
  <c r="AD176" i="8"/>
  <c r="AD175" i="8"/>
  <c r="AD174" i="8"/>
  <c r="AD173" i="8"/>
  <c r="AD172" i="8"/>
  <c r="AD171" i="8"/>
  <c r="AD170" i="8"/>
  <c r="AD169" i="8"/>
  <c r="AD168" i="8"/>
  <c r="AD167" i="8"/>
  <c r="AD166" i="8"/>
  <c r="AD165" i="8"/>
  <c r="AD164" i="8"/>
  <c r="AD163" i="8"/>
  <c r="AD162" i="8"/>
  <c r="AD161" i="8"/>
  <c r="AD160" i="8"/>
  <c r="AD159" i="8"/>
  <c r="AD158" i="8"/>
  <c r="AD157" i="8"/>
  <c r="AD156" i="8"/>
  <c r="AD155" i="8"/>
  <c r="AD154" i="8"/>
  <c r="AD153" i="8"/>
  <c r="AD152" i="8"/>
  <c r="AD151" i="8"/>
  <c r="AD150" i="8"/>
  <c r="AD149" i="8"/>
  <c r="AD148" i="8"/>
  <c r="AD147" i="8"/>
  <c r="AD146" i="8"/>
  <c r="AD145" i="8"/>
  <c r="AD144" i="8"/>
  <c r="AD143" i="8"/>
  <c r="AD142" i="8"/>
  <c r="AD141" i="8"/>
  <c r="AD140" i="8"/>
  <c r="AD139" i="8"/>
  <c r="AD138" i="8"/>
  <c r="AD137" i="8"/>
  <c r="AD136" i="8"/>
  <c r="AD135" i="8"/>
  <c r="AD134" i="8"/>
  <c r="AD133" i="8"/>
  <c r="AD132" i="8"/>
  <c r="AD131" i="8"/>
  <c r="AD130" i="8"/>
  <c r="AD129" i="8"/>
  <c r="AD128" i="8"/>
  <c r="AD127" i="8"/>
  <c r="AD126" i="8"/>
  <c r="AD125" i="8"/>
  <c r="AD124" i="8"/>
  <c r="AD123" i="8"/>
  <c r="AD122" i="8"/>
  <c r="AD121" i="8"/>
  <c r="AD120" i="8"/>
  <c r="AD119" i="8"/>
  <c r="AD118" i="8"/>
  <c r="AD117" i="8"/>
  <c r="AD116" i="8"/>
  <c r="AD115" i="8"/>
  <c r="AD114" i="8"/>
  <c r="AD113" i="8"/>
  <c r="AD112" i="8"/>
  <c r="AD111" i="8"/>
  <c r="AD110" i="8"/>
  <c r="AD109" i="8"/>
  <c r="AD108" i="8"/>
  <c r="AD107" i="8"/>
  <c r="AD106" i="8"/>
  <c r="AD105" i="8"/>
  <c r="AD104" i="8"/>
  <c r="AD103" i="8"/>
  <c r="AD102" i="8"/>
  <c r="AD101" i="8"/>
  <c r="AD100" i="8"/>
  <c r="AD99" i="8"/>
  <c r="AD98" i="8"/>
  <c r="AD97" i="8"/>
  <c r="AD96" i="8"/>
  <c r="AD95" i="8"/>
  <c r="AD94" i="8"/>
  <c r="AD93" i="8"/>
  <c r="AD92" i="8"/>
  <c r="AD91" i="8"/>
  <c r="AD90" i="8"/>
  <c r="AD89" i="8"/>
  <c r="AD88" i="8"/>
  <c r="AD87" i="8"/>
  <c r="AD86" i="8"/>
  <c r="AD85" i="8"/>
  <c r="AD84" i="8"/>
  <c r="AD83" i="8"/>
  <c r="AD82" i="8"/>
  <c r="AD81" i="8"/>
  <c r="AD80" i="8"/>
  <c r="AD79" i="8"/>
  <c r="AD78" i="8"/>
  <c r="AD77" i="8"/>
  <c r="AD75" i="8"/>
  <c r="AD73" i="8"/>
  <c r="AD72" i="8"/>
  <c r="AD71" i="8"/>
  <c r="AD70" i="8"/>
  <c r="AD68" i="8"/>
  <c r="AD67" i="8"/>
  <c r="AD66" i="8"/>
  <c r="AD65" i="8"/>
  <c r="AD64" i="8"/>
  <c r="AD63" i="8"/>
  <c r="AC200" i="8"/>
  <c r="AC199" i="8"/>
  <c r="AC198" i="8"/>
  <c r="AC197" i="8"/>
  <c r="AC196" i="8"/>
  <c r="AC195" i="8"/>
  <c r="AC194" i="8"/>
  <c r="AC193" i="8"/>
  <c r="AC192" i="8"/>
  <c r="AC191" i="8"/>
  <c r="AC190" i="8"/>
  <c r="AC189" i="8"/>
  <c r="AC188" i="8"/>
  <c r="AC187" i="8"/>
  <c r="AC186" i="8"/>
  <c r="AC185" i="8"/>
  <c r="AC184" i="8"/>
  <c r="AC183" i="8"/>
  <c r="AC182" i="8"/>
  <c r="AC181" i="8"/>
  <c r="AC180" i="8"/>
  <c r="AC179" i="8"/>
  <c r="AC178" i="8"/>
  <c r="AC177" i="8"/>
  <c r="AC176" i="8"/>
  <c r="AC175" i="8"/>
  <c r="AC174" i="8"/>
  <c r="AC173" i="8"/>
  <c r="AC172" i="8"/>
  <c r="AC171" i="8"/>
  <c r="AC170" i="8"/>
  <c r="AC169" i="8"/>
  <c r="AC168" i="8"/>
  <c r="AC167" i="8"/>
  <c r="AC166" i="8"/>
  <c r="AC165" i="8"/>
  <c r="AC164" i="8"/>
  <c r="AC163" i="8"/>
  <c r="AC162" i="8"/>
  <c r="AC161" i="8"/>
  <c r="AC160" i="8"/>
  <c r="AC159" i="8"/>
  <c r="AC158" i="8"/>
  <c r="AC157" i="8"/>
  <c r="AC156" i="8"/>
  <c r="AC155" i="8"/>
  <c r="AC154" i="8"/>
  <c r="AC153" i="8"/>
  <c r="AC152" i="8"/>
  <c r="AC151" i="8"/>
  <c r="AC150" i="8"/>
  <c r="AC149" i="8"/>
  <c r="AC148" i="8"/>
  <c r="AC147" i="8"/>
  <c r="AC146" i="8"/>
  <c r="AC145" i="8"/>
  <c r="AC144" i="8"/>
  <c r="AC143" i="8"/>
  <c r="AC142" i="8"/>
  <c r="AC141" i="8"/>
  <c r="AC140" i="8"/>
  <c r="AC139" i="8"/>
  <c r="AC138" i="8"/>
  <c r="AC137" i="8"/>
  <c r="AC136" i="8"/>
  <c r="AC135" i="8"/>
  <c r="AC134" i="8"/>
  <c r="AC133" i="8"/>
  <c r="AC132" i="8"/>
  <c r="AC131" i="8"/>
  <c r="AC130" i="8"/>
  <c r="AC129" i="8"/>
  <c r="AC128" i="8"/>
  <c r="AC127" i="8"/>
  <c r="AC126" i="8"/>
  <c r="AC125" i="8"/>
  <c r="AC124" i="8"/>
  <c r="AC123" i="8"/>
  <c r="AC122" i="8"/>
  <c r="AC121" i="8"/>
  <c r="AC120" i="8"/>
  <c r="AC119" i="8"/>
  <c r="AC118" i="8"/>
  <c r="AC117" i="8"/>
  <c r="AC116" i="8"/>
  <c r="AC115" i="8"/>
  <c r="AC114" i="8"/>
  <c r="AC113" i="8"/>
  <c r="AC112" i="8"/>
  <c r="AC111" i="8"/>
  <c r="AC110" i="8"/>
  <c r="AC109" i="8"/>
  <c r="AC108" i="8"/>
  <c r="AC107" i="8"/>
  <c r="AC106" i="8"/>
  <c r="AC105" i="8"/>
  <c r="AC104" i="8"/>
  <c r="AC103" i="8"/>
  <c r="AC102" i="8"/>
  <c r="AC101" i="8"/>
  <c r="AC100" i="8"/>
  <c r="AC99" i="8"/>
  <c r="AC98" i="8"/>
  <c r="AC97" i="8"/>
  <c r="AC96" i="8"/>
  <c r="AC95" i="8"/>
  <c r="AC94" i="8"/>
  <c r="AC93" i="8"/>
  <c r="AC92" i="8"/>
  <c r="AC91" i="8"/>
  <c r="AC90" i="8"/>
  <c r="AC89" i="8"/>
  <c r="AC88" i="8"/>
  <c r="AC87" i="8"/>
  <c r="AC86" i="8"/>
  <c r="AC85" i="8"/>
  <c r="AC84" i="8"/>
  <c r="AC83" i="8"/>
  <c r="AC82" i="8"/>
  <c r="AC81" i="8"/>
  <c r="AC80" i="8"/>
  <c r="AC79" i="8"/>
  <c r="AC78" i="8"/>
  <c r="AC77" i="8"/>
  <c r="AC76" i="8"/>
  <c r="AD76" i="8" s="1"/>
  <c r="AC75" i="8"/>
  <c r="AC74" i="8"/>
  <c r="AD74" i="8" s="1"/>
  <c r="AC73" i="8"/>
  <c r="AC72" i="8"/>
  <c r="AC71" i="8"/>
  <c r="AC70" i="8"/>
  <c r="AC69" i="8"/>
  <c r="AD69" i="8" s="1"/>
  <c r="AC68" i="8"/>
  <c r="AC67" i="8"/>
  <c r="AC66" i="8"/>
  <c r="AC65" i="8"/>
  <c r="W50" i="8"/>
  <c r="Y50" i="8" s="1" a="1"/>
  <c r="Y50" i="8" s="1"/>
  <c r="W52" i="8"/>
  <c r="Y52" i="8" s="1" a="1"/>
  <c r="Y52" i="8" s="1"/>
  <c r="Y198" i="8" a="1"/>
  <c r="Y198" i="8" s="1"/>
  <c r="Y196" i="8" a="1"/>
  <c r="Y196" i="8" s="1"/>
  <c r="Y195" i="8" a="1"/>
  <c r="Y195" i="8" s="1"/>
  <c r="Y188" i="8" a="1"/>
  <c r="Y188" i="8" s="1"/>
  <c r="Y187" i="8" a="1"/>
  <c r="Y187" i="8" s="1"/>
  <c r="Y180" i="8" a="1"/>
  <c r="Y180" i="8" s="1"/>
  <c r="Y179" i="8" a="1"/>
  <c r="Y179" i="8" s="1"/>
  <c r="Y172" i="8" a="1"/>
  <c r="Y172" i="8" s="1"/>
  <c r="Y171" i="8" a="1"/>
  <c r="Y171" i="8" s="1"/>
  <c r="Y170" i="8" a="1"/>
  <c r="Y170" i="8" s="1"/>
  <c r="Y164" i="8" a="1"/>
  <c r="Y164" i="8" s="1"/>
  <c r="Y163" i="8" a="1"/>
  <c r="Y163" i="8" s="1"/>
  <c r="Y160" i="8" a="1"/>
  <c r="Y160" i="8" s="1"/>
  <c r="Y156" i="8" a="1"/>
  <c r="Y156" i="8" s="1"/>
  <c r="Y155" i="8" a="1"/>
  <c r="Y155" i="8" s="1"/>
  <c r="Y148" i="8" a="1"/>
  <c r="Y148" i="8" s="1"/>
  <c r="Y147" i="8" a="1"/>
  <c r="Y147" i="8" s="1"/>
  <c r="Y144" i="8" a="1"/>
  <c r="Y144" i="8" s="1"/>
  <c r="Y140" i="8" a="1"/>
  <c r="Y140" i="8" s="1"/>
  <c r="Y139" i="8" a="1"/>
  <c r="Y139" i="8" s="1"/>
  <c r="Y132" i="8" a="1"/>
  <c r="Y132" i="8" s="1"/>
  <c r="Y131" i="8" a="1"/>
  <c r="Y131" i="8" s="1"/>
  <c r="Y124" i="8" a="1"/>
  <c r="Y124" i="8" s="1"/>
  <c r="Y123" i="8" a="1"/>
  <c r="Y123" i="8" s="1"/>
  <c r="Y116" i="8" a="1"/>
  <c r="Y116" i="8" s="1"/>
  <c r="Y115" i="8" a="1"/>
  <c r="Y115" i="8" s="1"/>
  <c r="Y83" i="8" a="1"/>
  <c r="Y83" i="8" s="1"/>
  <c r="Y80" i="8" a="1"/>
  <c r="Y80" i="8" s="1"/>
  <c r="Y79" i="8" a="1"/>
  <c r="Y79" i="8" s="1"/>
  <c r="X132" i="8"/>
  <c r="X131" i="8"/>
  <c r="X128" i="8"/>
  <c r="X124" i="8"/>
  <c r="X123" i="8"/>
  <c r="X116" i="8"/>
  <c r="X115" i="8"/>
  <c r="X112" i="8"/>
  <c r="X83" i="8"/>
  <c r="X80" i="8"/>
  <c r="X79" i="8"/>
  <c r="X75" i="8"/>
  <c r="X71" i="8"/>
  <c r="X67" i="8"/>
  <c r="X66" i="8"/>
  <c r="E70" i="9"/>
  <c r="E69" i="9"/>
  <c r="E68" i="9"/>
  <c r="E67" i="9"/>
  <c r="E66" i="9"/>
  <c r="E65" i="9"/>
  <c r="AC57" i="8"/>
  <c r="AC49" i="8"/>
  <c r="W49" i="8"/>
  <c r="Y49" i="8" s="1" a="1"/>
  <c r="Y49" i="8" s="1"/>
  <c r="Y208" i="13"/>
  <c r="X208" i="13"/>
  <c r="W208" i="13"/>
  <c r="V208" i="13"/>
  <c r="U208" i="13"/>
  <c r="T208" i="13"/>
  <c r="Y185" i="13"/>
  <c r="X185" i="13"/>
  <c r="W185" i="13"/>
  <c r="V185" i="13"/>
  <c r="U185" i="13"/>
  <c r="T185" i="13"/>
  <c r="Y161" i="13"/>
  <c r="X161" i="13"/>
  <c r="W161" i="13"/>
  <c r="V161" i="13"/>
  <c r="U161" i="13"/>
  <c r="T161" i="13"/>
  <c r="Y131" i="13"/>
  <c r="X131" i="13"/>
  <c r="W131" i="13"/>
  <c r="V131" i="13"/>
  <c r="U131" i="13"/>
  <c r="T131" i="13"/>
  <c r="Y107" i="13"/>
  <c r="X107" i="13"/>
  <c r="W107" i="13"/>
  <c r="V107" i="13"/>
  <c r="U107" i="13"/>
  <c r="T107" i="13"/>
  <c r="Y83" i="13"/>
  <c r="X83" i="13"/>
  <c r="W83" i="13"/>
  <c r="V83" i="13"/>
  <c r="U83" i="13"/>
  <c r="T83" i="13"/>
  <c r="Y61" i="13"/>
  <c r="X61" i="13"/>
  <c r="W61" i="13"/>
  <c r="V61" i="13"/>
  <c r="U61" i="13"/>
  <c r="T61" i="13"/>
  <c r="V41" i="13"/>
  <c r="U41" i="13"/>
  <c r="T41" i="13"/>
  <c r="E45" i="8"/>
  <c r="R40" i="8"/>
  <c r="Z66" i="8" s="1"/>
  <c r="J40" i="8"/>
  <c r="W53" i="8"/>
  <c r="X53" i="8" s="1"/>
  <c r="W51" i="8"/>
  <c r="Y51" i="8" s="1" a="1"/>
  <c r="Y51" i="8" s="1"/>
  <c r="X48" i="8"/>
  <c r="W46" i="8"/>
  <c r="X46" i="8" s="1"/>
  <c r="W45" i="8"/>
  <c r="Y45" i="8" s="1" a="1"/>
  <c r="Y45" i="8" s="1"/>
  <c r="W44" i="8"/>
  <c r="Y44" i="8" s="1" a="1"/>
  <c r="Y44" i="8" s="1"/>
  <c r="W43" i="8"/>
  <c r="Y43" i="8" s="1" a="1"/>
  <c r="Y43" i="8" s="1"/>
  <c r="W42" i="8"/>
  <c r="Y42" i="8" s="1" a="1"/>
  <c r="Y42" i="8" s="1"/>
  <c r="G9" i="2"/>
  <c r="F150" i="13"/>
  <c r="F152" i="13" s="1"/>
  <c r="C36" i="2"/>
  <c r="C41" i="2"/>
  <c r="C30" i="2"/>
  <c r="C27" i="2"/>
  <c r="I174" i="13"/>
  <c r="I176" i="13" s="1"/>
  <c r="I178" i="13" s="1"/>
  <c r="I180" i="13" s="1"/>
  <c r="I182" i="13" s="1"/>
  <c r="I184" i="13" s="1"/>
  <c r="Q172" i="13"/>
  <c r="O172" i="13"/>
  <c r="AM146" i="13"/>
  <c r="AM148" i="13" s="1"/>
  <c r="AL146" i="13"/>
  <c r="AL148" i="13" s="1"/>
  <c r="AK146" i="13"/>
  <c r="AK148" i="13" s="1"/>
  <c r="R21" i="2"/>
  <c r="C199" i="13"/>
  <c r="C201" i="13"/>
  <c r="G150" i="13"/>
  <c r="G174" i="13" s="1"/>
  <c r="Q241" i="13"/>
  <c r="O241" i="13"/>
  <c r="Q227" i="13"/>
  <c r="O227" i="13"/>
  <c r="Q195" i="13"/>
  <c r="O195" i="13"/>
  <c r="Q148" i="13"/>
  <c r="O148" i="13"/>
  <c r="Q118" i="13"/>
  <c r="O118" i="13"/>
  <c r="Q94" i="13"/>
  <c r="O94" i="13"/>
  <c r="Q70" i="13"/>
  <c r="O70" i="13"/>
  <c r="Q48" i="13"/>
  <c r="O48" i="13"/>
  <c r="Q28" i="13"/>
  <c r="O28" i="13"/>
  <c r="W30" i="8"/>
  <c r="Y30" i="8" s="1" a="1"/>
  <c r="Y30" i="8" s="1"/>
  <c r="W19" i="8"/>
  <c r="W20" i="8"/>
  <c r="W21" i="8"/>
  <c r="W26" i="8"/>
  <c r="W27" i="8"/>
  <c r="W28" i="8"/>
  <c r="Y28" i="8" s="1" a="1"/>
  <c r="Y28" i="8" s="1"/>
  <c r="W29" i="8"/>
  <c r="Y29" i="8" s="1" a="1"/>
  <c r="Y29" i="8" s="1"/>
  <c r="W15" i="8"/>
  <c r="W35" i="8"/>
  <c r="Y35" i="8" s="1" a="1"/>
  <c r="Y35" i="8" s="1"/>
  <c r="W34" i="8"/>
  <c r="Y34" i="8" s="1" a="1"/>
  <c r="Y34" i="8" s="1"/>
  <c r="W33" i="8"/>
  <c r="Y33" i="8" s="1" a="1"/>
  <c r="Y33" i="8" s="1"/>
  <c r="AC64" i="8"/>
  <c r="AC63" i="8"/>
  <c r="AC62" i="8"/>
  <c r="AC61" i="8"/>
  <c r="AC60" i="8"/>
  <c r="AC59" i="8"/>
  <c r="AC58" i="8"/>
  <c r="AC56" i="8"/>
  <c r="AC55" i="8"/>
  <c r="AC54" i="8"/>
  <c r="AC53" i="8"/>
  <c r="AC52" i="8"/>
  <c r="AC51" i="8"/>
  <c r="AC50" i="8"/>
  <c r="AC48" i="8"/>
  <c r="AC47" i="8"/>
  <c r="AC46" i="8"/>
  <c r="AC45" i="8"/>
  <c r="AC44" i="8"/>
  <c r="AC43" i="8"/>
  <c r="AC42" i="8"/>
  <c r="AC41" i="8"/>
  <c r="AC40" i="8"/>
  <c r="AC39" i="8"/>
  <c r="AC38" i="8"/>
  <c r="AC25" i="8"/>
  <c r="E207" i="13"/>
  <c r="C207" i="13"/>
  <c r="E205" i="13"/>
  <c r="E203" i="13"/>
  <c r="C203" i="13"/>
  <c r="C205" i="13" s="1"/>
  <c r="E201" i="13"/>
  <c r="E199" i="13"/>
  <c r="E160" i="13"/>
  <c r="E184" i="13" s="1"/>
  <c r="E158" i="13"/>
  <c r="E182" i="13" s="1"/>
  <c r="E156" i="13"/>
  <c r="E180" i="13" s="1"/>
  <c r="E154" i="13"/>
  <c r="E178" i="13" s="1"/>
  <c r="E152" i="13"/>
  <c r="E176" i="13" s="1"/>
  <c r="AK121" i="13"/>
  <c r="AL121" i="13" s="1"/>
  <c r="E130" i="13"/>
  <c r="C130" i="13"/>
  <c r="C160" i="13" s="1"/>
  <c r="C184" i="13" s="1"/>
  <c r="E128" i="13"/>
  <c r="E126" i="13"/>
  <c r="C126" i="13"/>
  <c r="C156" i="13" s="1"/>
  <c r="C180" i="13" s="1"/>
  <c r="E124" i="13"/>
  <c r="C124" i="13"/>
  <c r="C154" i="13" s="1"/>
  <c r="C178" i="13" s="1"/>
  <c r="E122" i="13"/>
  <c r="C122" i="13"/>
  <c r="G120" i="13"/>
  <c r="E120" i="13"/>
  <c r="E96" i="13"/>
  <c r="E100" i="13" s="1"/>
  <c r="D96" i="13"/>
  <c r="D98" i="13" s="1"/>
  <c r="D100" i="13" s="1"/>
  <c r="D102" i="13" s="1"/>
  <c r="D104" i="13" s="1"/>
  <c r="D106" i="13" s="1"/>
  <c r="V18" i="13"/>
  <c r="U18" i="13"/>
  <c r="T18" i="13"/>
  <c r="C9" i="13"/>
  <c r="Q5" i="13"/>
  <c r="O5" i="13"/>
  <c r="H218" i="4"/>
  <c r="F218" i="4"/>
  <c r="S221" i="4"/>
  <c r="S220" i="4"/>
  <c r="Y18" i="8" a="1"/>
  <c r="Y18" i="8" s="1"/>
  <c r="Y17" i="8" a="1"/>
  <c r="Y17" i="8" s="1"/>
  <c r="Y16" i="8" a="1"/>
  <c r="Y16" i="8" s="1"/>
  <c r="Y14" i="8" a="1"/>
  <c r="Y14" i="8" s="1"/>
  <c r="Y13" i="8" a="1"/>
  <c r="Y13" i="8" s="1"/>
  <c r="R25" i="8"/>
  <c r="W25" i="8" s="1"/>
  <c r="R23" i="8"/>
  <c r="W23" i="8" s="1"/>
  <c r="J24" i="8"/>
  <c r="I24" i="8"/>
  <c r="H24" i="8"/>
  <c r="G24" i="8"/>
  <c r="E24" i="8"/>
  <c r="F36" i="9"/>
  <c r="AK11" i="2"/>
  <c r="G42" i="2"/>
  <c r="E36" i="9" s="1"/>
  <c r="G104" i="4" l="1"/>
  <c r="J7" i="3"/>
  <c r="G19" i="4"/>
  <c r="H19" i="4" s="1"/>
  <c r="H11" i="4"/>
  <c r="N11" i="4" s="1"/>
  <c r="E19" i="4"/>
  <c r="G16" i="4"/>
  <c r="K9" i="13"/>
  <c r="G117" i="4"/>
  <c r="G120" i="4" s="1"/>
  <c r="K17" i="16"/>
  <c r="Z9" i="16" s="1"/>
  <c r="K15" i="16"/>
  <c r="Y9" i="16" s="1"/>
  <c r="K13" i="16"/>
  <c r="K9" i="16"/>
  <c r="K11" i="16"/>
  <c r="R35" i="15"/>
  <c r="S35" i="15" s="1"/>
  <c r="R36" i="15"/>
  <c r="S36" i="15" s="1"/>
  <c r="R29" i="15"/>
  <c r="T29" i="15" s="1"/>
  <c r="T26" i="15"/>
  <c r="S34" i="15"/>
  <c r="T33" i="15"/>
  <c r="S33" i="15"/>
  <c r="T108" i="15"/>
  <c r="R55" i="15"/>
  <c r="T55" i="15" s="1"/>
  <c r="R49" i="15"/>
  <c r="S49" i="15" s="1"/>
  <c r="R50" i="15"/>
  <c r="T50" i="15" s="1"/>
  <c r="R51" i="15"/>
  <c r="S51" i="15" s="1"/>
  <c r="R52" i="15"/>
  <c r="S52" i="15" s="1"/>
  <c r="R53" i="15"/>
  <c r="T53" i="15" s="1"/>
  <c r="R61" i="15"/>
  <c r="S61" i="15" s="1"/>
  <c r="R69" i="15"/>
  <c r="R77" i="15"/>
  <c r="S77" i="15" s="1"/>
  <c r="R85" i="15"/>
  <c r="R93" i="15"/>
  <c r="S93" i="15" s="1"/>
  <c r="R101" i="15"/>
  <c r="S101" i="15" s="1"/>
  <c r="R109" i="15"/>
  <c r="S109" i="15" s="1"/>
  <c r="R117" i="15"/>
  <c r="S117" i="15" s="1"/>
  <c r="R125" i="15"/>
  <c r="R133" i="15"/>
  <c r="S133" i="15" s="1"/>
  <c r="R141" i="15"/>
  <c r="S141" i="15" s="1"/>
  <c r="R149" i="15"/>
  <c r="R157" i="15"/>
  <c r="S157" i="15" s="1"/>
  <c r="R165" i="15"/>
  <c r="T148" i="15"/>
  <c r="T364" i="15"/>
  <c r="T156" i="15"/>
  <c r="T228" i="15"/>
  <c r="T236" i="15"/>
  <c r="T252" i="15"/>
  <c r="T292" i="15"/>
  <c r="T92" i="15"/>
  <c r="S44" i="15"/>
  <c r="T100" i="15"/>
  <c r="T172" i="15"/>
  <c r="T244" i="15"/>
  <c r="T308" i="15"/>
  <c r="T372" i="15"/>
  <c r="T316" i="15"/>
  <c r="T116" i="15"/>
  <c r="T188" i="15"/>
  <c r="T260" i="15"/>
  <c r="T324" i="15"/>
  <c r="T388" i="15"/>
  <c r="T180" i="15"/>
  <c r="T124" i="15"/>
  <c r="T204" i="15"/>
  <c r="T268" i="15"/>
  <c r="T332" i="15"/>
  <c r="T396" i="15"/>
  <c r="T380" i="15"/>
  <c r="T68" i="15"/>
  <c r="T132" i="15"/>
  <c r="T212" i="15"/>
  <c r="T276" i="15"/>
  <c r="T340" i="15"/>
  <c r="T39" i="15"/>
  <c r="S47" i="15"/>
  <c r="T76" i="15"/>
  <c r="T140" i="15"/>
  <c r="T220" i="15"/>
  <c r="T284" i="15"/>
  <c r="T348" i="15"/>
  <c r="T40" i="15"/>
  <c r="T48" i="15"/>
  <c r="S37" i="15"/>
  <c r="T37" i="15"/>
  <c r="S45" i="15"/>
  <c r="T45" i="15"/>
  <c r="S53" i="15"/>
  <c r="T61" i="15"/>
  <c r="S69" i="15"/>
  <c r="T69" i="15"/>
  <c r="T77" i="15"/>
  <c r="S85" i="15"/>
  <c r="T85" i="15"/>
  <c r="T117" i="15"/>
  <c r="S125" i="15"/>
  <c r="T125" i="15"/>
  <c r="T141" i="15"/>
  <c r="S149" i="15"/>
  <c r="T149" i="15"/>
  <c r="T157" i="15"/>
  <c r="S165" i="15"/>
  <c r="T165" i="15"/>
  <c r="S173" i="15"/>
  <c r="T173" i="15"/>
  <c r="S181" i="15"/>
  <c r="T181" i="15"/>
  <c r="S189" i="15"/>
  <c r="T189" i="15"/>
  <c r="S197" i="15"/>
  <c r="T197" i="15"/>
  <c r="S205" i="15"/>
  <c r="T205" i="15"/>
  <c r="S213" i="15"/>
  <c r="T213" i="15"/>
  <c r="S221" i="15"/>
  <c r="T221" i="15"/>
  <c r="S229" i="15"/>
  <c r="T229" i="15"/>
  <c r="S245" i="15"/>
  <c r="T245" i="15"/>
  <c r="S253" i="15"/>
  <c r="T253" i="15"/>
  <c r="S261" i="15"/>
  <c r="T261" i="15"/>
  <c r="S269" i="15"/>
  <c r="T269" i="15"/>
  <c r="S277" i="15"/>
  <c r="T277" i="15"/>
  <c r="S285" i="15"/>
  <c r="T285" i="15"/>
  <c r="S293" i="15"/>
  <c r="T293" i="15"/>
  <c r="S301" i="15"/>
  <c r="T301" i="15"/>
  <c r="S309" i="15"/>
  <c r="T309" i="15"/>
  <c r="S317" i="15"/>
  <c r="T317" i="15"/>
  <c r="S325" i="15"/>
  <c r="T325" i="15"/>
  <c r="S333" i="15"/>
  <c r="T333" i="15"/>
  <c r="S341" i="15"/>
  <c r="T341" i="15"/>
  <c r="S349" i="15"/>
  <c r="T349" i="15"/>
  <c r="S357" i="15"/>
  <c r="T357" i="15"/>
  <c r="S365" i="15"/>
  <c r="T365" i="15"/>
  <c r="S373" i="15"/>
  <c r="T373" i="15"/>
  <c r="S381" i="15"/>
  <c r="T381" i="15"/>
  <c r="S389" i="15"/>
  <c r="T389" i="15"/>
  <c r="S397" i="15"/>
  <c r="T397" i="15"/>
  <c r="T101" i="15"/>
  <c r="T133" i="15"/>
  <c r="T237" i="15"/>
  <c r="T164" i="15"/>
  <c r="T38" i="15"/>
  <c r="T46" i="15"/>
  <c r="T54" i="15"/>
  <c r="T62" i="15"/>
  <c r="T70" i="15"/>
  <c r="T78" i="15"/>
  <c r="T86" i="15"/>
  <c r="T94" i="15"/>
  <c r="T102" i="15"/>
  <c r="T110" i="15"/>
  <c r="T118" i="15"/>
  <c r="T126" i="15"/>
  <c r="T134" i="15"/>
  <c r="T142" i="15"/>
  <c r="T150" i="15"/>
  <c r="T158" i="15"/>
  <c r="T166" i="15"/>
  <c r="T174" i="15"/>
  <c r="T182" i="15"/>
  <c r="T190" i="15"/>
  <c r="T198" i="15"/>
  <c r="T206" i="15"/>
  <c r="T214" i="15"/>
  <c r="T222" i="15"/>
  <c r="T230" i="15"/>
  <c r="T238" i="15"/>
  <c r="T246" i="15"/>
  <c r="T254" i="15"/>
  <c r="T262" i="15"/>
  <c r="T270" i="15"/>
  <c r="T278" i="15"/>
  <c r="T286" i="15"/>
  <c r="T294" i="15"/>
  <c r="T302" i="15"/>
  <c r="T310" i="15"/>
  <c r="T318" i="15"/>
  <c r="T326" i="15"/>
  <c r="T334" i="15"/>
  <c r="T342" i="15"/>
  <c r="T350" i="15"/>
  <c r="T358" i="15"/>
  <c r="T366" i="15"/>
  <c r="T374" i="15"/>
  <c r="T382" i="15"/>
  <c r="T390" i="15"/>
  <c r="T398" i="15"/>
  <c r="T60" i="15"/>
  <c r="T47" i="15"/>
  <c r="T87" i="15"/>
  <c r="T151" i="15"/>
  <c r="T215" i="15"/>
  <c r="T263" i="15"/>
  <c r="T271" i="15"/>
  <c r="T279" i="15"/>
  <c r="T287" i="15"/>
  <c r="T295" i="15"/>
  <c r="T303" i="15"/>
  <c r="T311" i="15"/>
  <c r="T319" i="15"/>
  <c r="T327" i="15"/>
  <c r="T335" i="15"/>
  <c r="T343" i="15"/>
  <c r="T351" i="15"/>
  <c r="T359" i="15"/>
  <c r="T367" i="15"/>
  <c r="T375" i="15"/>
  <c r="T383" i="15"/>
  <c r="T391" i="15"/>
  <c r="T196" i="15"/>
  <c r="T264" i="15"/>
  <c r="T272" i="15"/>
  <c r="T280" i="15"/>
  <c r="T288" i="15"/>
  <c r="T296" i="15"/>
  <c r="T304" i="15"/>
  <c r="T312" i="15"/>
  <c r="T320" i="15"/>
  <c r="T328" i="15"/>
  <c r="T336" i="15"/>
  <c r="T344" i="15"/>
  <c r="T352" i="15"/>
  <c r="T360" i="15"/>
  <c r="T368" i="15"/>
  <c r="T376" i="15"/>
  <c r="T384" i="15"/>
  <c r="T392" i="15"/>
  <c r="T41" i="15"/>
  <c r="T49" i="15"/>
  <c r="T57" i="15"/>
  <c r="T65" i="15"/>
  <c r="T73" i="15"/>
  <c r="T81" i="15"/>
  <c r="T89" i="15"/>
  <c r="T97" i="15"/>
  <c r="T105" i="15"/>
  <c r="T113" i="15"/>
  <c r="T121" i="15"/>
  <c r="T129" i="15"/>
  <c r="T137" i="15"/>
  <c r="T145" i="15"/>
  <c r="T153" i="15"/>
  <c r="T161" i="15"/>
  <c r="T169" i="15"/>
  <c r="T177" i="15"/>
  <c r="T185" i="15"/>
  <c r="T193" i="15"/>
  <c r="T201" i="15"/>
  <c r="T209" i="15"/>
  <c r="T217" i="15"/>
  <c r="T225" i="15"/>
  <c r="T233" i="15"/>
  <c r="T241" i="15"/>
  <c r="T249" i="15"/>
  <c r="T257" i="15"/>
  <c r="T265" i="15"/>
  <c r="T273" i="15"/>
  <c r="T281" i="15"/>
  <c r="T289" i="15"/>
  <c r="T297" i="15"/>
  <c r="T305" i="15"/>
  <c r="T313" i="15"/>
  <c r="T321" i="15"/>
  <c r="T329" i="15"/>
  <c r="T337" i="15"/>
  <c r="T345" i="15"/>
  <c r="T353" i="15"/>
  <c r="T361" i="15"/>
  <c r="T369" i="15"/>
  <c r="T377" i="15"/>
  <c r="T385" i="15"/>
  <c r="T393" i="15"/>
  <c r="T35" i="15"/>
  <c r="T43" i="15"/>
  <c r="T51" i="15"/>
  <c r="T59" i="15"/>
  <c r="T67" i="15"/>
  <c r="T75" i="15"/>
  <c r="T83" i="15"/>
  <c r="T91" i="15"/>
  <c r="T99" i="15"/>
  <c r="T107" i="15"/>
  <c r="T115" i="15"/>
  <c r="T123" i="15"/>
  <c r="T131" i="15"/>
  <c r="T139" i="15"/>
  <c r="T147" i="15"/>
  <c r="T155" i="15"/>
  <c r="T163" i="15"/>
  <c r="T171" i="15"/>
  <c r="T179" i="15"/>
  <c r="T187" i="15"/>
  <c r="T195" i="15"/>
  <c r="T203" i="15"/>
  <c r="T211" i="15"/>
  <c r="T219" i="15"/>
  <c r="T227" i="15"/>
  <c r="T235" i="15"/>
  <c r="T243" i="15"/>
  <c r="T251" i="15"/>
  <c r="T259" i="15"/>
  <c r="T267" i="15"/>
  <c r="T275" i="15"/>
  <c r="T283" i="15"/>
  <c r="T291" i="15"/>
  <c r="T299" i="15"/>
  <c r="T307" i="15"/>
  <c r="T315" i="15"/>
  <c r="T323" i="15"/>
  <c r="T331" i="15"/>
  <c r="T339" i="15"/>
  <c r="T347" i="15"/>
  <c r="T355" i="15"/>
  <c r="T363" i="15"/>
  <c r="T371" i="15"/>
  <c r="T379" i="15"/>
  <c r="T387" i="15"/>
  <c r="T395" i="15"/>
  <c r="S39" i="15"/>
  <c r="S95" i="15"/>
  <c r="S143" i="15"/>
  <c r="S199" i="15"/>
  <c r="S231" i="15"/>
  <c r="S111" i="15"/>
  <c r="S175" i="15"/>
  <c r="S255" i="15"/>
  <c r="S55" i="15"/>
  <c r="S103" i="15"/>
  <c r="S167" i="15"/>
  <c r="S223" i="15"/>
  <c r="S63" i="15"/>
  <c r="S127" i="15"/>
  <c r="S183" i="15"/>
  <c r="S247" i="15"/>
  <c r="S71" i="15"/>
  <c r="S119" i="15"/>
  <c r="S159" i="15"/>
  <c r="S207" i="15"/>
  <c r="S79" i="15"/>
  <c r="S135" i="15"/>
  <c r="S191" i="15"/>
  <c r="S239" i="15"/>
  <c r="X5" i="15"/>
  <c r="Y5" i="15"/>
  <c r="T24" i="14"/>
  <c r="T48" i="14"/>
  <c r="V48" i="14" s="1"/>
  <c r="T64" i="14"/>
  <c r="T112" i="14"/>
  <c r="T128" i="14"/>
  <c r="T168" i="14"/>
  <c r="V168" i="14" s="1"/>
  <c r="T264" i="14"/>
  <c r="T296" i="14"/>
  <c r="W296" i="14" s="1"/>
  <c r="T404" i="14"/>
  <c r="T412" i="14"/>
  <c r="W412" i="14" s="1"/>
  <c r="T420" i="14"/>
  <c r="W420" i="14" s="1"/>
  <c r="T428" i="14"/>
  <c r="W428" i="14" s="1"/>
  <c r="T436" i="14"/>
  <c r="V436" i="14" s="1"/>
  <c r="T444" i="14"/>
  <c r="V444" i="14" s="1"/>
  <c r="T452" i="14"/>
  <c r="W452" i="14" s="1"/>
  <c r="T460" i="14"/>
  <c r="W460" i="14" s="1"/>
  <c r="T468" i="14"/>
  <c r="V468" i="14" s="1"/>
  <c r="T476" i="14"/>
  <c r="W476" i="14" s="1"/>
  <c r="T484" i="14"/>
  <c r="W484" i="14" s="1"/>
  <c r="T492" i="14"/>
  <c r="V492" i="14" s="1"/>
  <c r="T500" i="14"/>
  <c r="V500" i="14" s="1"/>
  <c r="S13" i="14"/>
  <c r="T411" i="14"/>
  <c r="W411" i="14" s="1"/>
  <c r="T419" i="14"/>
  <c r="W419" i="14" s="1"/>
  <c r="T427" i="14"/>
  <c r="T435" i="14"/>
  <c r="V435" i="14" s="1"/>
  <c r="T443" i="14"/>
  <c r="W443" i="14" s="1"/>
  <c r="T451" i="14"/>
  <c r="W451" i="14" s="1"/>
  <c r="T459" i="14"/>
  <c r="V459" i="14" s="1"/>
  <c r="T467" i="14"/>
  <c r="V467" i="14" s="1"/>
  <c r="T475" i="14"/>
  <c r="W475" i="14" s="1"/>
  <c r="T483" i="14"/>
  <c r="W483" i="14" s="1"/>
  <c r="T491" i="14"/>
  <c r="T499" i="14"/>
  <c r="V499" i="14" s="1"/>
  <c r="R13" i="14"/>
  <c r="U13" i="14"/>
  <c r="T406" i="14"/>
  <c r="V406" i="14" s="1"/>
  <c r="T414" i="14"/>
  <c r="V414" i="14" s="1"/>
  <c r="T422" i="14"/>
  <c r="W422" i="14" s="1"/>
  <c r="T430" i="14"/>
  <c r="W430" i="14" s="1"/>
  <c r="T438" i="14"/>
  <c r="T446" i="14"/>
  <c r="T407" i="14"/>
  <c r="W407" i="14" s="1"/>
  <c r="T415" i="14"/>
  <c r="W415" i="14" s="1"/>
  <c r="T423" i="14"/>
  <c r="W423" i="14" s="1"/>
  <c r="T431" i="14"/>
  <c r="W431" i="14" s="1"/>
  <c r="T439" i="14"/>
  <c r="W439" i="14" s="1"/>
  <c r="T447" i="14"/>
  <c r="W447" i="14" s="1"/>
  <c r="T455" i="14"/>
  <c r="W455" i="14" s="1"/>
  <c r="T463" i="14"/>
  <c r="W463" i="14" s="1"/>
  <c r="T471" i="14"/>
  <c r="W471" i="14" s="1"/>
  <c r="T479" i="14"/>
  <c r="W479" i="14" s="1"/>
  <c r="T487" i="14"/>
  <c r="W487" i="14" s="1"/>
  <c r="T495" i="14"/>
  <c r="W495" i="14" s="1"/>
  <c r="T12" i="14"/>
  <c r="W12" i="14" s="1"/>
  <c r="T20" i="14"/>
  <c r="W20" i="14" s="1"/>
  <c r="T28" i="14"/>
  <c r="T36" i="14"/>
  <c r="V36" i="14" s="1"/>
  <c r="T44" i="14"/>
  <c r="W44" i="14" s="1"/>
  <c r="T52" i="14"/>
  <c r="W52" i="14" s="1"/>
  <c r="T60" i="14"/>
  <c r="W60" i="14" s="1"/>
  <c r="T68" i="14"/>
  <c r="W68" i="14" s="1"/>
  <c r="T76" i="14"/>
  <c r="W76" i="14" s="1"/>
  <c r="T84" i="14"/>
  <c r="W84" i="14" s="1"/>
  <c r="T92" i="14"/>
  <c r="W92" i="14" s="1"/>
  <c r="T100" i="14"/>
  <c r="W100" i="14" s="1"/>
  <c r="T108" i="14"/>
  <c r="W108" i="14" s="1"/>
  <c r="T116" i="14"/>
  <c r="T124" i="14"/>
  <c r="W124" i="14" s="1"/>
  <c r="T132" i="14"/>
  <c r="V132" i="14" s="1"/>
  <c r="T140" i="14"/>
  <c r="W140" i="14" s="1"/>
  <c r="T148" i="14"/>
  <c r="V148" i="14" s="1"/>
  <c r="T225" i="14"/>
  <c r="T369" i="14"/>
  <c r="T156" i="14"/>
  <c r="V156" i="14" s="1"/>
  <c r="T164" i="14"/>
  <c r="T172" i="14"/>
  <c r="W172" i="14" s="1"/>
  <c r="T317" i="14"/>
  <c r="V317" i="14" s="1"/>
  <c r="T14" i="14"/>
  <c r="W14" i="14" s="1"/>
  <c r="T22" i="14"/>
  <c r="W22" i="14" s="1"/>
  <c r="T30" i="14"/>
  <c r="W30" i="14" s="1"/>
  <c r="T38" i="14"/>
  <c r="W38" i="14" s="1"/>
  <c r="T46" i="14"/>
  <c r="W46" i="14" s="1"/>
  <c r="T54" i="14"/>
  <c r="W54" i="14" s="1"/>
  <c r="T62" i="14"/>
  <c r="W62" i="14" s="1"/>
  <c r="T70" i="14"/>
  <c r="W70" i="14" s="1"/>
  <c r="T78" i="14"/>
  <c r="W78" i="14" s="1"/>
  <c r="T86" i="14"/>
  <c r="V86" i="14" s="1"/>
  <c r="T94" i="14"/>
  <c r="W94" i="14" s="1"/>
  <c r="T102" i="14"/>
  <c r="W102" i="14" s="1"/>
  <c r="T110" i="14"/>
  <c r="W110" i="14" s="1"/>
  <c r="T118" i="14"/>
  <c r="T126" i="14"/>
  <c r="V126" i="14" s="1"/>
  <c r="T134" i="14"/>
  <c r="W134" i="14" s="1"/>
  <c r="T142" i="14"/>
  <c r="W142" i="14" s="1"/>
  <c r="T150" i="14"/>
  <c r="W150" i="14" s="1"/>
  <c r="T158" i="14"/>
  <c r="W158" i="14" s="1"/>
  <c r="T166" i="14"/>
  <c r="W166" i="14" s="1"/>
  <c r="T174" i="14"/>
  <c r="W174" i="14" s="1"/>
  <c r="T182" i="14"/>
  <c r="W182" i="14" s="1"/>
  <c r="T190" i="14"/>
  <c r="W190" i="14" s="1"/>
  <c r="T198" i="14"/>
  <c r="V198" i="14" s="1"/>
  <c r="T206" i="14"/>
  <c r="W206" i="14" s="1"/>
  <c r="T214" i="14"/>
  <c r="W214" i="14" s="1"/>
  <c r="T222" i="14"/>
  <c r="V222" i="14" s="1"/>
  <c r="T230" i="14"/>
  <c r="V230" i="14" s="1"/>
  <c r="T238" i="14"/>
  <c r="W238" i="14" s="1"/>
  <c r="T246" i="14"/>
  <c r="W246" i="14" s="1"/>
  <c r="T254" i="14"/>
  <c r="W254" i="14" s="1"/>
  <c r="T262" i="14"/>
  <c r="W262" i="14" s="1"/>
  <c r="T270" i="14"/>
  <c r="V270" i="14" s="1"/>
  <c r="T278" i="14"/>
  <c r="W278" i="14" s="1"/>
  <c r="T286" i="14"/>
  <c r="T294" i="14"/>
  <c r="W294" i="14" s="1"/>
  <c r="T302" i="14"/>
  <c r="W302" i="14" s="1"/>
  <c r="T310" i="14"/>
  <c r="V310" i="14" s="1"/>
  <c r="T318" i="14"/>
  <c r="W318" i="14" s="1"/>
  <c r="T326" i="14"/>
  <c r="W326" i="14" s="1"/>
  <c r="T334" i="14"/>
  <c r="V334" i="14" s="1"/>
  <c r="T342" i="14"/>
  <c r="W342" i="14" s="1"/>
  <c r="T350" i="14"/>
  <c r="V350" i="14" s="1"/>
  <c r="T358" i="14"/>
  <c r="V358" i="14" s="1"/>
  <c r="T366" i="14"/>
  <c r="W366" i="14" s="1"/>
  <c r="T374" i="14"/>
  <c r="W374" i="14" s="1"/>
  <c r="T382" i="14"/>
  <c r="W382" i="14" s="1"/>
  <c r="T390" i="14"/>
  <c r="W390" i="14" s="1"/>
  <c r="T398" i="14"/>
  <c r="W398" i="14" s="1"/>
  <c r="T207" i="14"/>
  <c r="V207" i="14" s="1"/>
  <c r="T187" i="14"/>
  <c r="T283" i="14"/>
  <c r="W283" i="14" s="1"/>
  <c r="T299" i="14"/>
  <c r="W299" i="14" s="1"/>
  <c r="T180" i="14"/>
  <c r="W180" i="14" s="1"/>
  <c r="T188" i="14"/>
  <c r="V188" i="14" s="1"/>
  <c r="T196" i="14"/>
  <c r="W196" i="14" s="1"/>
  <c r="T204" i="14"/>
  <c r="V204" i="14" s="1"/>
  <c r="T212" i="14"/>
  <c r="W212" i="14" s="1"/>
  <c r="T220" i="14"/>
  <c r="T228" i="14"/>
  <c r="W228" i="14" s="1"/>
  <c r="T236" i="14"/>
  <c r="W236" i="14" s="1"/>
  <c r="T244" i="14"/>
  <c r="V244" i="14" s="1"/>
  <c r="T252" i="14"/>
  <c r="W252" i="14" s="1"/>
  <c r="T260" i="14"/>
  <c r="V260" i="14" s="1"/>
  <c r="T268" i="14"/>
  <c r="V268" i="14" s="1"/>
  <c r="T276" i="14"/>
  <c r="W276" i="14" s="1"/>
  <c r="T284" i="14"/>
  <c r="T292" i="14"/>
  <c r="W292" i="14" s="1"/>
  <c r="T300" i="14"/>
  <c r="W300" i="14" s="1"/>
  <c r="T308" i="14"/>
  <c r="T316" i="14"/>
  <c r="V316" i="14" s="1"/>
  <c r="T324" i="14"/>
  <c r="V324" i="14" s="1"/>
  <c r="T332" i="14"/>
  <c r="W332" i="14" s="1"/>
  <c r="T340" i="14"/>
  <c r="W340" i="14" s="1"/>
  <c r="T348" i="14"/>
  <c r="T356" i="14"/>
  <c r="W356" i="14" s="1"/>
  <c r="T364" i="14"/>
  <c r="W364" i="14" s="1"/>
  <c r="T372" i="14"/>
  <c r="W372" i="14" s="1"/>
  <c r="T380" i="14"/>
  <c r="W380" i="14" s="1"/>
  <c r="T388" i="14"/>
  <c r="V388" i="14" s="1"/>
  <c r="T396" i="14"/>
  <c r="V396" i="14" s="1"/>
  <c r="T4" i="14"/>
  <c r="W4" i="14" s="1"/>
  <c r="T5" i="14"/>
  <c r="W5" i="14" s="1"/>
  <c r="T53" i="14"/>
  <c r="W53" i="14" s="1"/>
  <c r="T85" i="14"/>
  <c r="W85" i="14" s="1"/>
  <c r="T93" i="14"/>
  <c r="W93" i="14" s="1"/>
  <c r="T101" i="14"/>
  <c r="W101" i="14" s="1"/>
  <c r="T109" i="14"/>
  <c r="W109" i="14" s="1"/>
  <c r="T117" i="14"/>
  <c r="V117" i="14" s="1"/>
  <c r="T125" i="14"/>
  <c r="W125" i="14" s="1"/>
  <c r="T133" i="14"/>
  <c r="W133" i="14" s="1"/>
  <c r="T141" i="14"/>
  <c r="W141" i="14" s="1"/>
  <c r="T149" i="14"/>
  <c r="W149" i="14" s="1"/>
  <c r="T157" i="14"/>
  <c r="V157" i="14" s="1"/>
  <c r="T165" i="14"/>
  <c r="V165" i="14" s="1"/>
  <c r="T173" i="14"/>
  <c r="V173" i="14" s="1"/>
  <c r="T181" i="14"/>
  <c r="W181" i="14" s="1"/>
  <c r="T189" i="14"/>
  <c r="V189" i="14" s="1"/>
  <c r="T197" i="14"/>
  <c r="T205" i="14"/>
  <c r="W205" i="14" s="1"/>
  <c r="T213" i="14"/>
  <c r="W213" i="14" s="1"/>
  <c r="T221" i="14"/>
  <c r="W221" i="14" s="1"/>
  <c r="T229" i="14"/>
  <c r="V229" i="14" s="1"/>
  <c r="T237" i="14"/>
  <c r="W237" i="14" s="1"/>
  <c r="T245" i="14"/>
  <c r="V245" i="14" s="1"/>
  <c r="T253" i="14"/>
  <c r="W253" i="14" s="1"/>
  <c r="T261" i="14"/>
  <c r="T269" i="14"/>
  <c r="W269" i="14" s="1"/>
  <c r="T277" i="14"/>
  <c r="W277" i="14" s="1"/>
  <c r="T285" i="14"/>
  <c r="V285" i="14" s="1"/>
  <c r="T293" i="14"/>
  <c r="W293" i="14" s="1"/>
  <c r="T301" i="14"/>
  <c r="W301" i="14" s="1"/>
  <c r="T309" i="14"/>
  <c r="W309" i="14" s="1"/>
  <c r="T325" i="14"/>
  <c r="V325" i="14" s="1"/>
  <c r="T333" i="14"/>
  <c r="W333" i="14" s="1"/>
  <c r="T341" i="14"/>
  <c r="W341" i="14" s="1"/>
  <c r="T349" i="14"/>
  <c r="V349" i="14" s="1"/>
  <c r="T357" i="14"/>
  <c r="W357" i="14" s="1"/>
  <c r="T365" i="14"/>
  <c r="W365" i="14" s="1"/>
  <c r="T373" i="14"/>
  <c r="W373" i="14" s="1"/>
  <c r="T381" i="14"/>
  <c r="W381" i="14" s="1"/>
  <c r="T389" i="14"/>
  <c r="V389" i="14" s="1"/>
  <c r="T397" i="14"/>
  <c r="V451" i="14"/>
  <c r="T7" i="14"/>
  <c r="W7" i="14" s="1"/>
  <c r="T151" i="14"/>
  <c r="W151" i="14" s="1"/>
  <c r="T191" i="14"/>
  <c r="W191" i="14" s="1"/>
  <c r="T223" i="14"/>
  <c r="W223" i="14" s="1"/>
  <c r="T255" i="14"/>
  <c r="V255" i="14" s="1"/>
  <c r="T271" i="14"/>
  <c r="W271" i="14" s="1"/>
  <c r="T287" i="14"/>
  <c r="W287" i="14" s="1"/>
  <c r="T319" i="14"/>
  <c r="V319" i="14" s="1"/>
  <c r="T335" i="14"/>
  <c r="V335" i="14" s="1"/>
  <c r="T351" i="14"/>
  <c r="V351" i="14" s="1"/>
  <c r="T359" i="14"/>
  <c r="W359" i="14" s="1"/>
  <c r="T383" i="14"/>
  <c r="V383" i="14" s="1"/>
  <c r="T399" i="14"/>
  <c r="W399" i="14" s="1"/>
  <c r="T171" i="14"/>
  <c r="W171" i="14" s="1"/>
  <c r="T315" i="14"/>
  <c r="W315" i="14" s="1"/>
  <c r="V246" i="14"/>
  <c r="W310" i="14"/>
  <c r="T401" i="14"/>
  <c r="W401" i="14" s="1"/>
  <c r="T409" i="14"/>
  <c r="V409" i="14" s="1"/>
  <c r="T417" i="14"/>
  <c r="W417" i="14" s="1"/>
  <c r="T425" i="14"/>
  <c r="W425" i="14" s="1"/>
  <c r="T433" i="14"/>
  <c r="W433" i="14" s="1"/>
  <c r="T441" i="14"/>
  <c r="W441" i="14" s="1"/>
  <c r="T449" i="14"/>
  <c r="W449" i="14" s="1"/>
  <c r="T457" i="14"/>
  <c r="W457" i="14" s="1"/>
  <c r="T465" i="14"/>
  <c r="W465" i="14" s="1"/>
  <c r="T473" i="14"/>
  <c r="W473" i="14" s="1"/>
  <c r="T481" i="14"/>
  <c r="W481" i="14" s="1"/>
  <c r="T489" i="14"/>
  <c r="W489" i="14" s="1"/>
  <c r="T497" i="14"/>
  <c r="W497" i="14" s="1"/>
  <c r="T10" i="14"/>
  <c r="V10" i="14" s="1"/>
  <c r="T18" i="14"/>
  <c r="W18" i="14" s="1"/>
  <c r="T26" i="14"/>
  <c r="W26" i="14" s="1"/>
  <c r="T34" i="14"/>
  <c r="V34" i="14" s="1"/>
  <c r="T42" i="14"/>
  <c r="W42" i="14" s="1"/>
  <c r="T50" i="14"/>
  <c r="V50" i="14" s="1"/>
  <c r="T58" i="14"/>
  <c r="W58" i="14" s="1"/>
  <c r="T66" i="14"/>
  <c r="V66" i="14" s="1"/>
  <c r="T74" i="14"/>
  <c r="W74" i="14" s="1"/>
  <c r="T82" i="14"/>
  <c r="W82" i="14" s="1"/>
  <c r="T90" i="14"/>
  <c r="W90" i="14" s="1"/>
  <c r="T98" i="14"/>
  <c r="W98" i="14" s="1"/>
  <c r="T106" i="14"/>
  <c r="W106" i="14" s="1"/>
  <c r="T114" i="14"/>
  <c r="W114" i="14" s="1"/>
  <c r="T122" i="14"/>
  <c r="V122" i="14" s="1"/>
  <c r="T130" i="14"/>
  <c r="W130" i="14" s="1"/>
  <c r="T138" i="14"/>
  <c r="W138" i="14" s="1"/>
  <c r="T146" i="14"/>
  <c r="W146" i="14" s="1"/>
  <c r="T154" i="14"/>
  <c r="W154" i="14" s="1"/>
  <c r="T162" i="14"/>
  <c r="V162" i="14" s="1"/>
  <c r="T170" i="14"/>
  <c r="W170" i="14" s="1"/>
  <c r="T178" i="14"/>
  <c r="W178" i="14" s="1"/>
  <c r="T186" i="14"/>
  <c r="V186" i="14" s="1"/>
  <c r="T194" i="14"/>
  <c r="V194" i="14" s="1"/>
  <c r="T202" i="14"/>
  <c r="W202" i="14" s="1"/>
  <c r="T210" i="14"/>
  <c r="W210" i="14" s="1"/>
  <c r="T218" i="14"/>
  <c r="W218" i="14" s="1"/>
  <c r="T226" i="14"/>
  <c r="W226" i="14" s="1"/>
  <c r="T234" i="14"/>
  <c r="V234" i="14" s="1"/>
  <c r="T242" i="14"/>
  <c r="W242" i="14" s="1"/>
  <c r="T250" i="14"/>
  <c r="W250" i="14" s="1"/>
  <c r="T258" i="14"/>
  <c r="V258" i="14" s="1"/>
  <c r="T266" i="14"/>
  <c r="W266" i="14" s="1"/>
  <c r="T274" i="14"/>
  <c r="W274" i="14" s="1"/>
  <c r="T282" i="14"/>
  <c r="W282" i="14" s="1"/>
  <c r="T290" i="14"/>
  <c r="W290" i="14" s="1"/>
  <c r="T298" i="14"/>
  <c r="V298" i="14" s="1"/>
  <c r="T306" i="14"/>
  <c r="V306" i="14" s="1"/>
  <c r="T314" i="14"/>
  <c r="V314" i="14" s="1"/>
  <c r="T322" i="14"/>
  <c r="W322" i="14" s="1"/>
  <c r="T330" i="14"/>
  <c r="W330" i="14" s="1"/>
  <c r="T338" i="14"/>
  <c r="W338" i="14" s="1"/>
  <c r="T346" i="14"/>
  <c r="W346" i="14" s="1"/>
  <c r="T354" i="14"/>
  <c r="W354" i="14" s="1"/>
  <c r="T362" i="14"/>
  <c r="W362" i="14" s="1"/>
  <c r="T370" i="14"/>
  <c r="V370" i="14" s="1"/>
  <c r="T378" i="14"/>
  <c r="W378" i="14" s="1"/>
  <c r="T386" i="14"/>
  <c r="V386" i="14" s="1"/>
  <c r="T394" i="14"/>
  <c r="W394" i="14" s="1"/>
  <c r="T402" i="14"/>
  <c r="W402" i="14" s="1"/>
  <c r="T410" i="14"/>
  <c r="W410" i="14" s="1"/>
  <c r="T418" i="14"/>
  <c r="W418" i="14" s="1"/>
  <c r="T426" i="14"/>
  <c r="W426" i="14" s="1"/>
  <c r="T434" i="14"/>
  <c r="W434" i="14" s="1"/>
  <c r="T442" i="14"/>
  <c r="V442" i="14" s="1"/>
  <c r="T450" i="14"/>
  <c r="W450" i="14" s="1"/>
  <c r="T458" i="14"/>
  <c r="V458" i="14" s="1"/>
  <c r="T466" i="14"/>
  <c r="W466" i="14" s="1"/>
  <c r="T474" i="14"/>
  <c r="W474" i="14" s="1"/>
  <c r="T482" i="14"/>
  <c r="T490" i="14"/>
  <c r="W490" i="14" s="1"/>
  <c r="T498" i="14"/>
  <c r="W498" i="14" s="1"/>
  <c r="V238" i="14"/>
  <c r="T153" i="14"/>
  <c r="W153" i="14" s="1"/>
  <c r="T209" i="14"/>
  <c r="W209" i="14" s="1"/>
  <c r="T241" i="14"/>
  <c r="W241" i="14" s="1"/>
  <c r="T337" i="14"/>
  <c r="V337" i="14" s="1"/>
  <c r="T353" i="14"/>
  <c r="V353" i="14" s="1"/>
  <c r="V30" i="14"/>
  <c r="T6" i="14"/>
  <c r="W6" i="14" s="1"/>
  <c r="V287" i="14"/>
  <c r="T88" i="14"/>
  <c r="V88" i="14" s="1"/>
  <c r="T280" i="14"/>
  <c r="V280" i="14" s="1"/>
  <c r="V158" i="14"/>
  <c r="V427" i="14"/>
  <c r="W427" i="14"/>
  <c r="W24" i="14"/>
  <c r="V24" i="14"/>
  <c r="W48" i="14"/>
  <c r="W64" i="14"/>
  <c r="V64" i="14"/>
  <c r="W112" i="14"/>
  <c r="V112" i="14"/>
  <c r="W128" i="14"/>
  <c r="V128" i="14"/>
  <c r="W168" i="14"/>
  <c r="W264" i="14"/>
  <c r="V264" i="14"/>
  <c r="W392" i="14"/>
  <c r="V392" i="14"/>
  <c r="V445" i="14"/>
  <c r="W445" i="14"/>
  <c r="V28" i="14"/>
  <c r="W28" i="14"/>
  <c r="W244" i="14"/>
  <c r="V372" i="14"/>
  <c r="W36" i="14"/>
  <c r="W164" i="14"/>
  <c r="V164" i="14"/>
  <c r="W348" i="14"/>
  <c r="V348" i="14"/>
  <c r="V93" i="14"/>
  <c r="W162" i="14"/>
  <c r="V118" i="14"/>
  <c r="W118" i="14"/>
  <c r="W286" i="14"/>
  <c r="V286" i="14"/>
  <c r="V374" i="14"/>
  <c r="T11" i="14"/>
  <c r="T19" i="14"/>
  <c r="T27" i="14"/>
  <c r="T35" i="14"/>
  <c r="T43" i="14"/>
  <c r="T51" i="14"/>
  <c r="T195" i="14"/>
  <c r="T235" i="14"/>
  <c r="T251" i="14"/>
  <c r="T259" i="14"/>
  <c r="T323" i="14"/>
  <c r="T363" i="14"/>
  <c r="T379" i="14"/>
  <c r="T387" i="14"/>
  <c r="T403" i="14"/>
  <c r="V403" i="14" s="1"/>
  <c r="W116" i="14"/>
  <c r="V116" i="14"/>
  <c r="W156" i="14"/>
  <c r="W220" i="14"/>
  <c r="V220" i="14"/>
  <c r="V46" i="14"/>
  <c r="T16" i="14"/>
  <c r="T32" i="14"/>
  <c r="T40" i="14"/>
  <c r="T56" i="14"/>
  <c r="T72" i="14"/>
  <c r="T80" i="14"/>
  <c r="T96" i="14"/>
  <c r="T104" i="14"/>
  <c r="T120" i="14"/>
  <c r="T136" i="14"/>
  <c r="T144" i="14"/>
  <c r="T152" i="14"/>
  <c r="T160" i="14"/>
  <c r="T176" i="14"/>
  <c r="T184" i="14"/>
  <c r="T192" i="14"/>
  <c r="T200" i="14"/>
  <c r="T208" i="14"/>
  <c r="T216" i="14"/>
  <c r="T224" i="14"/>
  <c r="T232" i="14"/>
  <c r="T240" i="14"/>
  <c r="T248" i="14"/>
  <c r="T256" i="14"/>
  <c r="T272" i="14"/>
  <c r="T288" i="14"/>
  <c r="T304" i="14"/>
  <c r="T312" i="14"/>
  <c r="T320" i="14"/>
  <c r="T328" i="14"/>
  <c r="T336" i="14"/>
  <c r="T344" i="14"/>
  <c r="T352" i="14"/>
  <c r="T360" i="14"/>
  <c r="T368" i="14"/>
  <c r="T376" i="14"/>
  <c r="T384" i="14"/>
  <c r="T400" i="14"/>
  <c r="V404" i="14"/>
  <c r="W404" i="14"/>
  <c r="W468" i="14"/>
  <c r="T21" i="14"/>
  <c r="V21" i="14" s="1"/>
  <c r="T9" i="14"/>
  <c r="W9" i="14" s="1"/>
  <c r="T17" i="14"/>
  <c r="W17" i="14" s="1"/>
  <c r="T25" i="14"/>
  <c r="W25" i="14" s="1"/>
  <c r="T33" i="14"/>
  <c r="W33" i="14" s="1"/>
  <c r="T41" i="14"/>
  <c r="W41" i="14" s="1"/>
  <c r="T49" i="14"/>
  <c r="W49" i="14" s="1"/>
  <c r="T57" i="14"/>
  <c r="W57" i="14" s="1"/>
  <c r="T65" i="14"/>
  <c r="W65" i="14" s="1"/>
  <c r="T73" i="14"/>
  <c r="W73" i="14" s="1"/>
  <c r="T81" i="14"/>
  <c r="W81" i="14" s="1"/>
  <c r="T89" i="14"/>
  <c r="W89" i="14" s="1"/>
  <c r="T97" i="14"/>
  <c r="W97" i="14" s="1"/>
  <c r="T105" i="14"/>
  <c r="W105" i="14" s="1"/>
  <c r="T113" i="14"/>
  <c r="W113" i="14" s="1"/>
  <c r="T121" i="14"/>
  <c r="W121" i="14" s="1"/>
  <c r="T129" i="14"/>
  <c r="W129" i="14" s="1"/>
  <c r="T137" i="14"/>
  <c r="V137" i="14" s="1"/>
  <c r="T145" i="14"/>
  <c r="V145" i="14" s="1"/>
  <c r="T161" i="14"/>
  <c r="W161" i="14" s="1"/>
  <c r="T169" i="14"/>
  <c r="W169" i="14" s="1"/>
  <c r="T177" i="14"/>
  <c r="W177" i="14" s="1"/>
  <c r="T185" i="14"/>
  <c r="W185" i="14" s="1"/>
  <c r="T193" i="14"/>
  <c r="W193" i="14" s="1"/>
  <c r="T201" i="14"/>
  <c r="W201" i="14" s="1"/>
  <c r="T217" i="14"/>
  <c r="W217" i="14" s="1"/>
  <c r="T233" i="14"/>
  <c r="W233" i="14" s="1"/>
  <c r="T249" i="14"/>
  <c r="W249" i="14" s="1"/>
  <c r="T257" i="14"/>
  <c r="W257" i="14" s="1"/>
  <c r="T265" i="14"/>
  <c r="V265" i="14" s="1"/>
  <c r="T273" i="14"/>
  <c r="W273" i="14" s="1"/>
  <c r="T281" i="14"/>
  <c r="V281" i="14" s="1"/>
  <c r="T289" i="14"/>
  <c r="W289" i="14" s="1"/>
  <c r="T297" i="14"/>
  <c r="V297" i="14" s="1"/>
  <c r="T305" i="14"/>
  <c r="W305" i="14" s="1"/>
  <c r="T313" i="14"/>
  <c r="V313" i="14" s="1"/>
  <c r="T321" i="14"/>
  <c r="V321" i="14" s="1"/>
  <c r="T329" i="14"/>
  <c r="W329" i="14" s="1"/>
  <c r="T345" i="14"/>
  <c r="V345" i="14" s="1"/>
  <c r="T361" i="14"/>
  <c r="W361" i="14" s="1"/>
  <c r="T377" i="14"/>
  <c r="W377" i="14" s="1"/>
  <c r="T385" i="14"/>
  <c r="W385" i="14" s="1"/>
  <c r="T393" i="14"/>
  <c r="V393" i="14" s="1"/>
  <c r="W285" i="14"/>
  <c r="W351" i="14"/>
  <c r="W284" i="14"/>
  <c r="V284" i="14"/>
  <c r="V277" i="14"/>
  <c r="V357" i="14"/>
  <c r="W397" i="14"/>
  <c r="V397" i="14"/>
  <c r="W187" i="14"/>
  <c r="V187" i="14"/>
  <c r="W34" i="14"/>
  <c r="V491" i="14"/>
  <c r="W491" i="14"/>
  <c r="V52" i="14"/>
  <c r="W350" i="14"/>
  <c r="T31" i="14"/>
  <c r="T63" i="14"/>
  <c r="T95" i="14"/>
  <c r="T127" i="14"/>
  <c r="T167" i="14"/>
  <c r="T231" i="14"/>
  <c r="T295" i="14"/>
  <c r="W308" i="14"/>
  <c r="V308" i="14"/>
  <c r="V141" i="14"/>
  <c r="W229" i="14"/>
  <c r="V98" i="14"/>
  <c r="T219" i="14"/>
  <c r="T347" i="14"/>
  <c r="V54" i="14"/>
  <c r="V180" i="14"/>
  <c r="V221" i="14"/>
  <c r="W222" i="14"/>
  <c r="T59" i="14"/>
  <c r="T67" i="14"/>
  <c r="T75" i="14"/>
  <c r="T83" i="14"/>
  <c r="T91" i="14"/>
  <c r="T99" i="14"/>
  <c r="T107" i="14"/>
  <c r="T115" i="14"/>
  <c r="T123" i="14"/>
  <c r="T131" i="14"/>
  <c r="T139" i="14"/>
  <c r="T147" i="14"/>
  <c r="T155" i="14"/>
  <c r="T163" i="14"/>
  <c r="T179" i="14"/>
  <c r="T203" i="14"/>
  <c r="T211" i="14"/>
  <c r="T227" i="14"/>
  <c r="T243" i="14"/>
  <c r="T267" i="14"/>
  <c r="T275" i="14"/>
  <c r="T291" i="14"/>
  <c r="T307" i="14"/>
  <c r="T331" i="14"/>
  <c r="T339" i="14"/>
  <c r="T355" i="14"/>
  <c r="T371" i="14"/>
  <c r="T395" i="14"/>
  <c r="V102" i="14"/>
  <c r="V182" i="14"/>
  <c r="V94" i="14"/>
  <c r="W358" i="14"/>
  <c r="T29" i="14"/>
  <c r="T37" i="14"/>
  <c r="T45" i="14"/>
  <c r="T61" i="14"/>
  <c r="T69" i="14"/>
  <c r="W69" i="14" s="1"/>
  <c r="T77" i="14"/>
  <c r="T15" i="14"/>
  <c r="T23" i="14"/>
  <c r="T39" i="14"/>
  <c r="T47" i="14"/>
  <c r="T55" i="14"/>
  <c r="T71" i="14"/>
  <c r="T79" i="14"/>
  <c r="T87" i="14"/>
  <c r="T103" i="14"/>
  <c r="T111" i="14"/>
  <c r="T119" i="14"/>
  <c r="T135" i="14"/>
  <c r="T143" i="14"/>
  <c r="T159" i="14"/>
  <c r="T175" i="14"/>
  <c r="T183" i="14"/>
  <c r="T199" i="14"/>
  <c r="T215" i="14"/>
  <c r="T239" i="14"/>
  <c r="T247" i="14"/>
  <c r="T263" i="14"/>
  <c r="T279" i="14"/>
  <c r="T303" i="14"/>
  <c r="T311" i="14"/>
  <c r="T327" i="14"/>
  <c r="T343" i="14"/>
  <c r="T367" i="14"/>
  <c r="T375" i="14"/>
  <c r="T391" i="14"/>
  <c r="V294" i="14"/>
  <c r="V302" i="14"/>
  <c r="V38" i="14"/>
  <c r="T8" i="14"/>
  <c r="W8" i="14" s="1"/>
  <c r="V402" i="14"/>
  <c r="V418" i="14"/>
  <c r="W482" i="14"/>
  <c r="V482" i="14"/>
  <c r="V474" i="14"/>
  <c r="V463" i="14"/>
  <c r="V438" i="14"/>
  <c r="W438" i="14"/>
  <c r="V446" i="14"/>
  <c r="W446" i="14"/>
  <c r="V454" i="14"/>
  <c r="W454" i="14"/>
  <c r="V462" i="14"/>
  <c r="W462" i="14"/>
  <c r="V470" i="14"/>
  <c r="W470" i="14"/>
  <c r="V478" i="14"/>
  <c r="W478" i="14"/>
  <c r="V486" i="14"/>
  <c r="W486" i="14"/>
  <c r="V494" i="14"/>
  <c r="W494" i="14"/>
  <c r="V133" i="14"/>
  <c r="V218" i="14"/>
  <c r="V408" i="14"/>
  <c r="V428" i="14"/>
  <c r="V440" i="14"/>
  <c r="V472" i="14"/>
  <c r="W421" i="14"/>
  <c r="W485" i="14"/>
  <c r="V488" i="14"/>
  <c r="W488" i="14"/>
  <c r="V496" i="14"/>
  <c r="W496" i="14"/>
  <c r="V90" i="14"/>
  <c r="V420" i="14"/>
  <c r="V432" i="14"/>
  <c r="V464" i="14"/>
  <c r="V484" i="14"/>
  <c r="W405" i="14"/>
  <c r="W469" i="14"/>
  <c r="W492" i="14"/>
  <c r="V443" i="14"/>
  <c r="V455" i="14"/>
  <c r="W157" i="14"/>
  <c r="W429" i="14"/>
  <c r="W493" i="14"/>
  <c r="V197" i="14"/>
  <c r="W197" i="14"/>
  <c r="V261" i="14"/>
  <c r="W261" i="14"/>
  <c r="V92" i="14"/>
  <c r="V290" i="14"/>
  <c r="V412" i="14"/>
  <c r="V424" i="14"/>
  <c r="V456" i="14"/>
  <c r="V476" i="14"/>
  <c r="W435" i="14"/>
  <c r="W453" i="14"/>
  <c r="V282" i="14"/>
  <c r="V415" i="14"/>
  <c r="V479" i="14"/>
  <c r="W413" i="14"/>
  <c r="W436" i="14"/>
  <c r="W477" i="14"/>
  <c r="V354" i="14"/>
  <c r="V416" i="14"/>
  <c r="V448" i="14"/>
  <c r="V480" i="14"/>
  <c r="W437" i="14"/>
  <c r="V226" i="14"/>
  <c r="W461" i="14"/>
  <c r="W369" i="14"/>
  <c r="V369" i="14"/>
  <c r="W225" i="14"/>
  <c r="V225" i="14"/>
  <c r="W353" i="14"/>
  <c r="R28" i="15"/>
  <c r="T28" i="15" s="1"/>
  <c r="R27" i="15"/>
  <c r="T27" i="15" s="1"/>
  <c r="S216" i="15"/>
  <c r="S56" i="15"/>
  <c r="S80" i="15"/>
  <c r="S104" i="15"/>
  <c r="S128" i="15"/>
  <c r="S144" i="15"/>
  <c r="S160" i="15"/>
  <c r="S176" i="15"/>
  <c r="S192" i="15"/>
  <c r="S248" i="15"/>
  <c r="S48" i="15"/>
  <c r="S72" i="15"/>
  <c r="S96" i="15"/>
  <c r="S120" i="15"/>
  <c r="S136" i="15"/>
  <c r="S168" i="15"/>
  <c r="S184" i="15"/>
  <c r="S200" i="15"/>
  <c r="S256" i="15"/>
  <c r="S40" i="15"/>
  <c r="S64" i="15"/>
  <c r="S88" i="15"/>
  <c r="S112" i="15"/>
  <c r="S152" i="15"/>
  <c r="S240" i="15"/>
  <c r="S232" i="15"/>
  <c r="S224" i="15"/>
  <c r="S208" i="15"/>
  <c r="R32" i="15"/>
  <c r="T32" i="15" s="1"/>
  <c r="R21" i="15"/>
  <c r="T21" i="15" s="1"/>
  <c r="S27" i="15"/>
  <c r="S24" i="15"/>
  <c r="S16" i="15"/>
  <c r="R10" i="15"/>
  <c r="T10" i="15" s="1"/>
  <c r="R18" i="15"/>
  <c r="R8" i="15"/>
  <c r="T8" i="15" s="1"/>
  <c r="R11" i="15"/>
  <c r="T11" i="15" s="1"/>
  <c r="R19" i="15"/>
  <c r="R12" i="15"/>
  <c r="R20" i="15"/>
  <c r="R13" i="15"/>
  <c r="R6" i="15"/>
  <c r="T6" i="15" s="1"/>
  <c r="R14" i="15"/>
  <c r="R22" i="15"/>
  <c r="T22" i="15" s="1"/>
  <c r="R9" i="15"/>
  <c r="T9" i="15" s="1"/>
  <c r="R17" i="15"/>
  <c r="T17" i="15" s="1"/>
  <c r="R25" i="15"/>
  <c r="T25" i="15" s="1"/>
  <c r="S29" i="15"/>
  <c r="R7" i="15"/>
  <c r="T7" i="15" s="1"/>
  <c r="R15" i="15"/>
  <c r="T15" i="15" s="1"/>
  <c r="R23" i="15"/>
  <c r="T23" i="15" s="1"/>
  <c r="V10" i="15"/>
  <c r="V18" i="15"/>
  <c r="V11" i="15"/>
  <c r="V19" i="15"/>
  <c r="S42" i="15"/>
  <c r="S50" i="15"/>
  <c r="S58" i="15"/>
  <c r="S66" i="15"/>
  <c r="S74" i="15"/>
  <c r="S82" i="15"/>
  <c r="S90" i="15"/>
  <c r="S98" i="15"/>
  <c r="S106" i="15"/>
  <c r="S114" i="15"/>
  <c r="S122" i="15"/>
  <c r="S130" i="15"/>
  <c r="S138" i="15"/>
  <c r="S146" i="15"/>
  <c r="S154" i="15"/>
  <c r="S162" i="15"/>
  <c r="S170" i="15"/>
  <c r="S178" i="15"/>
  <c r="S186" i="15"/>
  <c r="S194" i="15"/>
  <c r="S202" i="15"/>
  <c r="S210" i="15"/>
  <c r="S218" i="15"/>
  <c r="S226" i="15"/>
  <c r="S234" i="15"/>
  <c r="S242" i="15"/>
  <c r="S250" i="15"/>
  <c r="S258" i="15"/>
  <c r="S266" i="15"/>
  <c r="S274" i="15"/>
  <c r="S282" i="15"/>
  <c r="S290" i="15"/>
  <c r="S298" i="15"/>
  <c r="S306" i="15"/>
  <c r="S314" i="15"/>
  <c r="S322" i="15"/>
  <c r="S330" i="15"/>
  <c r="S338" i="15"/>
  <c r="S346" i="15"/>
  <c r="S354" i="15"/>
  <c r="S362" i="15"/>
  <c r="S370" i="15"/>
  <c r="S378" i="15"/>
  <c r="S386" i="15"/>
  <c r="S394" i="15"/>
  <c r="V12" i="15"/>
  <c r="V20" i="15"/>
  <c r="V13" i="15"/>
  <c r="V21" i="15"/>
  <c r="V6" i="15"/>
  <c r="V14" i="15"/>
  <c r="V22" i="15"/>
  <c r="R5" i="15"/>
  <c r="T5" i="15" s="1"/>
  <c r="X122" i="8"/>
  <c r="Y130" i="8" a="1"/>
  <c r="Y130" i="8" s="1"/>
  <c r="Y114" i="8" a="1"/>
  <c r="Y114" i="8" s="1"/>
  <c r="X63" i="8"/>
  <c r="X62" i="8"/>
  <c r="X110" i="8"/>
  <c r="Y134" i="8" a="1"/>
  <c r="Y134" i="8" s="1"/>
  <c r="X50" i="8"/>
  <c r="Y120" i="8" a="1"/>
  <c r="Y120" i="8" s="1"/>
  <c r="Y126" i="8" a="1"/>
  <c r="Y126" i="8" s="1"/>
  <c r="X73" i="8"/>
  <c r="X125" i="8"/>
  <c r="Y117" i="8" a="1"/>
  <c r="Y117" i="8" s="1"/>
  <c r="X133" i="8"/>
  <c r="X54" i="8"/>
  <c r="Y118" i="8" a="1"/>
  <c r="Y118" i="8" s="1"/>
  <c r="W88" i="8"/>
  <c r="X88" i="8" s="1"/>
  <c r="X58" i="8"/>
  <c r="X52" i="8"/>
  <c r="X59" i="8"/>
  <c r="Y111" i="8" a="1"/>
  <c r="Y111" i="8" s="1"/>
  <c r="X61" i="8"/>
  <c r="X127" i="8"/>
  <c r="X119" i="8"/>
  <c r="Y135" i="8" a="1"/>
  <c r="Y135" i="8" s="1"/>
  <c r="X81" i="8"/>
  <c r="Y81" i="8" a="1"/>
  <c r="Y81" i="8" s="1"/>
  <c r="X70" i="8"/>
  <c r="Y70" i="8" a="1"/>
  <c r="Y70" i="8" s="1"/>
  <c r="X93" i="8"/>
  <c r="Y93" i="8" a="1"/>
  <c r="Y93" i="8" s="1"/>
  <c r="Y101" i="8" a="1"/>
  <c r="Y101" i="8" s="1"/>
  <c r="X101" i="8"/>
  <c r="Y87" i="8" a="1"/>
  <c r="Y87" i="8" s="1"/>
  <c r="X87" i="8"/>
  <c r="Y103" i="8" a="1"/>
  <c r="Y103" i="8" s="1"/>
  <c r="X103" i="8"/>
  <c r="X55" i="8"/>
  <c r="X95" i="8"/>
  <c r="Z69" i="8"/>
  <c r="X65" i="8"/>
  <c r="X106" i="8"/>
  <c r="Y106" i="8" a="1"/>
  <c r="Y106" i="8" s="1"/>
  <c r="Y96" i="8" a="1"/>
  <c r="Y96" i="8" s="1"/>
  <c r="X96" i="8"/>
  <c r="Y104" i="8" a="1"/>
  <c r="Y104" i="8" s="1"/>
  <c r="X104" i="8"/>
  <c r="Y69" i="8" a="1"/>
  <c r="Y69" i="8" s="1"/>
  <c r="X69" i="8"/>
  <c r="Y91" i="8" a="1"/>
  <c r="Y91" i="8" s="1"/>
  <c r="X91" i="8"/>
  <c r="X99" i="8"/>
  <c r="Y99" i="8" a="1"/>
  <c r="Y99" i="8" s="1"/>
  <c r="X107" i="8"/>
  <c r="Y107" i="8" a="1"/>
  <c r="Y107" i="8" s="1"/>
  <c r="Y92" i="8" a="1"/>
  <c r="Y92" i="8" s="1"/>
  <c r="X92" i="8"/>
  <c r="Y100" i="8" a="1"/>
  <c r="Y100" i="8" s="1"/>
  <c r="X100" i="8"/>
  <c r="Y108" i="8" a="1"/>
  <c r="Y108" i="8" s="1"/>
  <c r="X108" i="8"/>
  <c r="X98" i="8"/>
  <c r="Y98" i="8" a="1"/>
  <c r="Y98" i="8" s="1"/>
  <c r="Y85" i="8" a="1"/>
  <c r="Y85" i="8" s="1"/>
  <c r="X85" i="8"/>
  <c r="Y109" i="8" a="1"/>
  <c r="Y109" i="8" s="1"/>
  <c r="X109" i="8"/>
  <c r="Y84" i="8" a="1"/>
  <c r="Y84" i="8" s="1"/>
  <c r="X84" i="8"/>
  <c r="Y57" i="8" a="1"/>
  <c r="Y57" i="8" s="1"/>
  <c r="X57" i="8"/>
  <c r="Y86" i="8" a="1"/>
  <c r="Y86" i="8" s="1"/>
  <c r="X86" i="8"/>
  <c r="Y94" i="8" a="1"/>
  <c r="Y94" i="8" s="1"/>
  <c r="X94" i="8"/>
  <c r="Y102" i="8" a="1"/>
  <c r="Y102" i="8" s="1"/>
  <c r="X102" i="8"/>
  <c r="Y90" i="8" a="1"/>
  <c r="Y90" i="8" s="1"/>
  <c r="X90" i="8"/>
  <c r="Y68" i="8" a="1"/>
  <c r="Y68" i="8" s="1"/>
  <c r="Y60" i="8" a="1"/>
  <c r="Y60" i="8" s="1"/>
  <c r="Y46" i="8" a="1"/>
  <c r="Y46" i="8" s="1"/>
  <c r="Y53" i="8" a="1"/>
  <c r="Y53" i="8" s="1"/>
  <c r="X89" i="8"/>
  <c r="X97" i="8"/>
  <c r="X105" i="8"/>
  <c r="X113" i="8"/>
  <c r="X121" i="8"/>
  <c r="X129" i="8"/>
  <c r="Y82" i="8" a="1"/>
  <c r="Y82" i="8" s="1"/>
  <c r="X82" i="8"/>
  <c r="Y76" i="8" a="1"/>
  <c r="Y76" i="8" s="1"/>
  <c r="X76" i="8"/>
  <c r="X77" i="8"/>
  <c r="Y77" i="8" a="1"/>
  <c r="Y77" i="8" s="1"/>
  <c r="Y78" i="8" a="1"/>
  <c r="Y78" i="8" s="1"/>
  <c r="X78" i="8"/>
  <c r="D150" i="13"/>
  <c r="D174" i="13" s="1"/>
  <c r="F174" i="13"/>
  <c r="F176" i="13"/>
  <c r="F154" i="13"/>
  <c r="X74" i="8"/>
  <c r="X72" i="8"/>
  <c r="AE62" i="8"/>
  <c r="AF62" i="8" s="1"/>
  <c r="X56" i="8"/>
  <c r="X64" i="8"/>
  <c r="X49" i="8"/>
  <c r="AC31" i="8"/>
  <c r="AD31" i="8" s="1"/>
  <c r="X45" i="8"/>
  <c r="W40" i="8"/>
  <c r="Y40" i="8" s="1" a="1"/>
  <c r="Y40" i="8" s="1"/>
  <c r="X51" i="8"/>
  <c r="AK150" i="13"/>
  <c r="AK151" i="13" s="1"/>
  <c r="AL150" i="13"/>
  <c r="AL151" i="13" s="1"/>
  <c r="AM150" i="13"/>
  <c r="AM151" i="13" s="1"/>
  <c r="Y23" i="8" a="1"/>
  <c r="Y23" i="8" s="1"/>
  <c r="Y25" i="8" a="1"/>
  <c r="Y25" i="8" s="1"/>
  <c r="X25" i="8"/>
  <c r="C128" i="13"/>
  <c r="C158" i="13" s="1"/>
  <c r="C182" i="13" s="1"/>
  <c r="E106" i="13"/>
  <c r="AK122" i="13"/>
  <c r="E98" i="13"/>
  <c r="C56" i="13"/>
  <c r="C58" i="13"/>
  <c r="C60" i="13"/>
  <c r="C152" i="13"/>
  <c r="C176" i="13" s="1"/>
  <c r="E150" i="13"/>
  <c r="AL122" i="13"/>
  <c r="AM121" i="13"/>
  <c r="AM122" i="13" s="1"/>
  <c r="E104" i="13"/>
  <c r="G124" i="13"/>
  <c r="G126" i="13" s="1"/>
  <c r="G128" i="13" s="1"/>
  <c r="G130" i="13" s="1"/>
  <c r="G122" i="13"/>
  <c r="E102" i="13"/>
  <c r="P219" i="4"/>
  <c r="K218" i="4"/>
  <c r="I218" i="4"/>
  <c r="M218" i="4"/>
  <c r="R218" i="4"/>
  <c r="R24" i="8"/>
  <c r="O34" i="9"/>
  <c r="N34" i="9"/>
  <c r="C22" i="9"/>
  <c r="R18" i="2"/>
  <c r="F22" i="9"/>
  <c r="R15" i="2"/>
  <c r="R22" i="8"/>
  <c r="J22" i="8"/>
  <c r="Y20" i="8" a="1"/>
  <c r="Y20" i="8" s="1"/>
  <c r="W38" i="8"/>
  <c r="Y38" i="8" s="1" a="1"/>
  <c r="Y38" i="8" s="1"/>
  <c r="Y21" i="8" a="1"/>
  <c r="Y21" i="8" s="1"/>
  <c r="Y19" i="8" a="1"/>
  <c r="Y19" i="8" s="1"/>
  <c r="G19" i="8"/>
  <c r="E19" i="8"/>
  <c r="G27" i="11"/>
  <c r="G71" i="11" s="1"/>
  <c r="G16" i="11"/>
  <c r="G60" i="11" s="1"/>
  <c r="G39" i="2"/>
  <c r="F49" i="11" s="1"/>
  <c r="F60" i="11" s="1"/>
  <c r="F71" i="11" s="1"/>
  <c r="F82" i="11" s="1"/>
  <c r="G38" i="11"/>
  <c r="G82" i="11" s="1"/>
  <c r="R80" i="11"/>
  <c r="P80" i="11"/>
  <c r="R69" i="11"/>
  <c r="P69" i="11"/>
  <c r="R58" i="11"/>
  <c r="P58" i="11"/>
  <c r="R47" i="11"/>
  <c r="P47" i="11"/>
  <c r="R36" i="11"/>
  <c r="P36" i="11"/>
  <c r="R25" i="11"/>
  <c r="P25" i="11"/>
  <c r="R14" i="11"/>
  <c r="P14" i="11"/>
  <c r="R3" i="11"/>
  <c r="P3" i="11"/>
  <c r="G6" i="2"/>
  <c r="AP13" i="2"/>
  <c r="AP9" i="2"/>
  <c r="AP5" i="2"/>
  <c r="AK5" i="2"/>
  <c r="E7" i="16" s="1"/>
  <c r="U9" i="16" s="1"/>
  <c r="AK8" i="2"/>
  <c r="E5" i="11" s="1"/>
  <c r="E16" i="11" s="1"/>
  <c r="E27" i="11" s="1"/>
  <c r="E38" i="11" s="1"/>
  <c r="E49" i="11" s="1"/>
  <c r="E60" i="11" s="1"/>
  <c r="E71" i="11" s="1"/>
  <c r="E82" i="11" s="1"/>
  <c r="G33" i="2"/>
  <c r="AB20" i="2"/>
  <c r="X21" i="2"/>
  <c r="X20" i="2"/>
  <c r="X19" i="2"/>
  <c r="AA29" i="2"/>
  <c r="AA25" i="2"/>
  <c r="AA23" i="2"/>
  <c r="D19" i="2"/>
  <c r="G54" i="7"/>
  <c r="V14" i="2"/>
  <c r="U56" i="7"/>
  <c r="P52" i="7"/>
  <c r="N52" i="7"/>
  <c r="Y15" i="8" a="1"/>
  <c r="Y15" i="8" s="1"/>
  <c r="O20" i="9"/>
  <c r="N20" i="9"/>
  <c r="G12" i="2"/>
  <c r="E30" i="13" s="1"/>
  <c r="R206" i="4"/>
  <c r="H206" i="4"/>
  <c r="R203" i="4"/>
  <c r="H203" i="4"/>
  <c r="R200" i="4"/>
  <c r="H200" i="4"/>
  <c r="R197" i="4"/>
  <c r="H197" i="4"/>
  <c r="R194" i="4"/>
  <c r="H194" i="4"/>
  <c r="R191" i="4"/>
  <c r="H191" i="4"/>
  <c r="N191" i="4" s="1"/>
  <c r="G185" i="4"/>
  <c r="R185" i="4" s="1"/>
  <c r="G176" i="4"/>
  <c r="R176" i="4" s="1"/>
  <c r="G170" i="4"/>
  <c r="R170" i="4" s="1"/>
  <c r="G167" i="4"/>
  <c r="H167" i="4" s="1"/>
  <c r="N167" i="4" s="1"/>
  <c r="G30" i="2"/>
  <c r="W11" i="8"/>
  <c r="Y12" i="8"/>
  <c r="Y10" i="8"/>
  <c r="T9" i="9"/>
  <c r="O5" i="9"/>
  <c r="N5" i="9"/>
  <c r="P54" i="6"/>
  <c r="N54" i="6"/>
  <c r="N33" i="2"/>
  <c r="H33" i="6" s="1"/>
  <c r="F33" i="6"/>
  <c r="F56" i="6" s="1"/>
  <c r="G27" i="2"/>
  <c r="W6" i="8"/>
  <c r="Y6" i="8" s="1"/>
  <c r="Y7" i="8"/>
  <c r="Y5" i="8"/>
  <c r="Y4" i="8"/>
  <c r="Y3" i="8"/>
  <c r="C33" i="6"/>
  <c r="C56" i="6" s="1"/>
  <c r="J22" i="2"/>
  <c r="P31" i="6"/>
  <c r="N31" i="6"/>
  <c r="H31" i="7"/>
  <c r="H54" i="7" s="1"/>
  <c r="H7" i="7"/>
  <c r="V11" i="2"/>
  <c r="G7" i="7"/>
  <c r="G31" i="7"/>
  <c r="AA8" i="2"/>
  <c r="U33" i="7"/>
  <c r="P29" i="7"/>
  <c r="N29" i="7"/>
  <c r="G24" i="2"/>
  <c r="AA5" i="2"/>
  <c r="E7" i="7"/>
  <c r="E31" i="7" s="1"/>
  <c r="E54" i="7" s="1"/>
  <c r="D7" i="7"/>
  <c r="D31" i="7" s="1"/>
  <c r="D54" i="7" s="1"/>
  <c r="C7" i="7"/>
  <c r="C31" i="7" s="1"/>
  <c r="C54" i="7" s="1"/>
  <c r="V8" i="2"/>
  <c r="V5" i="2"/>
  <c r="R12" i="2"/>
  <c r="F9" i="6"/>
  <c r="P7" i="6"/>
  <c r="N7" i="6"/>
  <c r="J9" i="2"/>
  <c r="G21" i="2"/>
  <c r="D36" i="9" s="1"/>
  <c r="K36" i="9" s="1"/>
  <c r="N36" i="9" s="1"/>
  <c r="J18" i="2"/>
  <c r="J15" i="2"/>
  <c r="G9" i="6" s="1"/>
  <c r="J12" i="2"/>
  <c r="D33" i="6" s="1"/>
  <c r="D56" i="6" s="1"/>
  <c r="D5" i="11" l="1"/>
  <c r="N17" i="16"/>
  <c r="N15" i="16"/>
  <c r="N7" i="16"/>
  <c r="Q7" i="16" s="1"/>
  <c r="P7" i="16" s="1"/>
  <c r="X11" i="16" s="1"/>
  <c r="N9" i="16"/>
  <c r="V9" i="16"/>
  <c r="N13" i="16"/>
  <c r="X9" i="16"/>
  <c r="N11" i="16"/>
  <c r="W9" i="16"/>
  <c r="T36" i="15"/>
  <c r="T52" i="15"/>
  <c r="S13" i="15"/>
  <c r="T13" i="15"/>
  <c r="T109" i="15"/>
  <c r="S20" i="15"/>
  <c r="T20" i="15"/>
  <c r="S14" i="15"/>
  <c r="T14" i="15"/>
  <c r="S12" i="15"/>
  <c r="T12" i="15"/>
  <c r="T93" i="15"/>
  <c r="S19" i="15"/>
  <c r="T19" i="15"/>
  <c r="S18" i="15"/>
  <c r="T18" i="15"/>
  <c r="Z5" i="15"/>
  <c r="V241" i="14"/>
  <c r="V296" i="14"/>
  <c r="V151" i="14"/>
  <c r="V333" i="14"/>
  <c r="V341" i="14"/>
  <c r="W349" i="14"/>
  <c r="W198" i="14"/>
  <c r="V276" i="14"/>
  <c r="V57" i="14"/>
  <c r="V49" i="14"/>
  <c r="V430" i="14"/>
  <c r="V278" i="14"/>
  <c r="V425" i="14"/>
  <c r="V422" i="14"/>
  <c r="V292" i="14"/>
  <c r="W145" i="14"/>
  <c r="V441" i="14"/>
  <c r="V315" i="14"/>
  <c r="V212" i="14"/>
  <c r="V214" i="14"/>
  <c r="W189" i="14"/>
  <c r="V171" i="14"/>
  <c r="V271" i="14"/>
  <c r="W389" i="14"/>
  <c r="V419" i="14"/>
  <c r="V253" i="14"/>
  <c r="V4" i="14"/>
  <c r="V460" i="14"/>
  <c r="V125" i="14"/>
  <c r="W194" i="14"/>
  <c r="W442" i="14"/>
  <c r="V150" i="14"/>
  <c r="V20" i="14"/>
  <c r="W148" i="14"/>
  <c r="W325" i="14"/>
  <c r="V340" i="14"/>
  <c r="V22" i="14"/>
  <c r="W207" i="14"/>
  <c r="V76" i="14"/>
  <c r="V84" i="14"/>
  <c r="V489" i="14"/>
  <c r="V475" i="14"/>
  <c r="V6" i="14"/>
  <c r="W86" i="14"/>
  <c r="V447" i="14"/>
  <c r="V483" i="14"/>
  <c r="V329" i="14"/>
  <c r="V452" i="14"/>
  <c r="V140" i="14"/>
  <c r="V481" i="14"/>
  <c r="V411" i="14"/>
  <c r="W444" i="14"/>
  <c r="V97" i="14"/>
  <c r="V439" i="14"/>
  <c r="V362" i="14"/>
  <c r="V106" i="14"/>
  <c r="V12" i="14"/>
  <c r="W317" i="14"/>
  <c r="V134" i="14"/>
  <c r="W132" i="14"/>
  <c r="V417" i="14"/>
  <c r="W321" i="14"/>
  <c r="V13" i="14"/>
  <c r="W265" i="14"/>
  <c r="W298" i="14"/>
  <c r="V42" i="14"/>
  <c r="V326" i="14"/>
  <c r="W173" i="14"/>
  <c r="V68" i="14"/>
  <c r="V342" i="14"/>
  <c r="V262" i="14"/>
  <c r="V105" i="14"/>
  <c r="V177" i="14"/>
  <c r="V431" i="14"/>
  <c r="W234" i="14"/>
  <c r="V426" i="14"/>
  <c r="W467" i="14"/>
  <c r="W260" i="14"/>
  <c r="V490" i="14"/>
  <c r="V70" i="14"/>
  <c r="V373" i="14"/>
  <c r="W409" i="14"/>
  <c r="V170" i="14"/>
  <c r="W414" i="14"/>
  <c r="V390" i="14"/>
  <c r="V41" i="14"/>
  <c r="V495" i="14"/>
  <c r="W337" i="14"/>
  <c r="V346" i="14"/>
  <c r="V380" i="14"/>
  <c r="V252" i="14"/>
  <c r="V487" i="14"/>
  <c r="V62" i="14"/>
  <c r="W165" i="14"/>
  <c r="V382" i="14"/>
  <c r="V293" i="14"/>
  <c r="V359" i="14"/>
  <c r="W316" i="14"/>
  <c r="W188" i="14"/>
  <c r="V101" i="14"/>
  <c r="V191" i="14"/>
  <c r="V190" i="14"/>
  <c r="V423" i="14"/>
  <c r="V124" i="14"/>
  <c r="V318" i="14"/>
  <c r="W459" i="14"/>
  <c r="W137" i="14"/>
  <c r="V172" i="14"/>
  <c r="V60" i="14"/>
  <c r="W406" i="14"/>
  <c r="V410" i="14"/>
  <c r="V254" i="14"/>
  <c r="V154" i="14"/>
  <c r="V365" i="14"/>
  <c r="V26" i="14"/>
  <c r="V407" i="14"/>
  <c r="V85" i="14"/>
  <c r="V213" i="14"/>
  <c r="V166" i="14"/>
  <c r="W230" i="14"/>
  <c r="W126" i="14"/>
  <c r="V236" i="14"/>
  <c r="V108" i="14"/>
  <c r="V110" i="14"/>
  <c r="V497" i="14"/>
  <c r="V299" i="14"/>
  <c r="V100" i="14"/>
  <c r="W345" i="14"/>
  <c r="V113" i="14"/>
  <c r="V300" i="14"/>
  <c r="V205" i="14"/>
  <c r="V471" i="14"/>
  <c r="V7" i="14"/>
  <c r="V366" i="14"/>
  <c r="V364" i="14"/>
  <c r="V283" i="14"/>
  <c r="W335" i="14"/>
  <c r="V121" i="14"/>
  <c r="V273" i="14"/>
  <c r="V185" i="14"/>
  <c r="V53" i="14"/>
  <c r="V356" i="14"/>
  <c r="V228" i="14"/>
  <c r="V44" i="14"/>
  <c r="V174" i="14"/>
  <c r="V433" i="14"/>
  <c r="V269" i="14"/>
  <c r="W319" i="14"/>
  <c r="W334" i="14"/>
  <c r="W270" i="14"/>
  <c r="V209" i="14"/>
  <c r="V381" i="14"/>
  <c r="V142" i="14"/>
  <c r="V146" i="14"/>
  <c r="V338" i="14"/>
  <c r="V466" i="14"/>
  <c r="W268" i="14"/>
  <c r="V82" i="14"/>
  <c r="V78" i="14"/>
  <c r="V206" i="14"/>
  <c r="V169" i="14"/>
  <c r="V33" i="14"/>
  <c r="V257" i="14"/>
  <c r="V465" i="14"/>
  <c r="V18" i="14"/>
  <c r="V14" i="14"/>
  <c r="V274" i="14"/>
  <c r="V378" i="14"/>
  <c r="W88" i="14"/>
  <c r="V398" i="14"/>
  <c r="W393" i="14"/>
  <c r="V210" i="14"/>
  <c r="W396" i="14"/>
  <c r="V17" i="14"/>
  <c r="V305" i="14"/>
  <c r="W324" i="14"/>
  <c r="W245" i="14"/>
  <c r="V309" i="14"/>
  <c r="V181" i="14"/>
  <c r="V332" i="14"/>
  <c r="W204" i="14"/>
  <c r="V196" i="14"/>
  <c r="V109" i="14"/>
  <c r="W255" i="14"/>
  <c r="W388" i="14"/>
  <c r="V223" i="14"/>
  <c r="W313" i="14"/>
  <c r="V89" i="14"/>
  <c r="V233" i="14"/>
  <c r="W117" i="14"/>
  <c r="V399" i="14"/>
  <c r="V249" i="14"/>
  <c r="V81" i="14"/>
  <c r="W306" i="14"/>
  <c r="V449" i="14"/>
  <c r="V242" i="14"/>
  <c r="W403" i="14"/>
  <c r="V161" i="14"/>
  <c r="V69" i="14"/>
  <c r="V130" i="14"/>
  <c r="V301" i="14"/>
  <c r="V149" i="14"/>
  <c r="V25" i="14"/>
  <c r="V5" i="14"/>
  <c r="W370" i="14"/>
  <c r="V237" i="14"/>
  <c r="V434" i="14"/>
  <c r="W280" i="14"/>
  <c r="V65" i="14"/>
  <c r="V178" i="14"/>
  <c r="W50" i="14"/>
  <c r="V498" i="14"/>
  <c r="W383" i="14"/>
  <c r="V114" i="14"/>
  <c r="V74" i="14"/>
  <c r="W297" i="14"/>
  <c r="V450" i="14"/>
  <c r="V377" i="14"/>
  <c r="W386" i="14"/>
  <c r="W122" i="14"/>
  <c r="W458" i="14"/>
  <c r="W258" i="14"/>
  <c r="V385" i="14"/>
  <c r="V193" i="14"/>
  <c r="V58" i="14"/>
  <c r="W186" i="14"/>
  <c r="W66" i="14"/>
  <c r="W314" i="14"/>
  <c r="V394" i="14"/>
  <c r="V473" i="14"/>
  <c r="V217" i="14"/>
  <c r="V153" i="14"/>
  <c r="V457" i="14"/>
  <c r="V401" i="14"/>
  <c r="V330" i="14"/>
  <c r="V266" i="14"/>
  <c r="V322" i="14"/>
  <c r="V73" i="14"/>
  <c r="V138" i="14"/>
  <c r="V250" i="14"/>
  <c r="V202" i="14"/>
  <c r="W10" i="14"/>
  <c r="V9" i="14"/>
  <c r="V8" i="14"/>
  <c r="V375" i="14"/>
  <c r="W375" i="14"/>
  <c r="W45" i="14"/>
  <c r="V45" i="14"/>
  <c r="V163" i="14"/>
  <c r="W163" i="14"/>
  <c r="W352" i="14"/>
  <c r="V352" i="14"/>
  <c r="W16" i="14"/>
  <c r="V16" i="14"/>
  <c r="W363" i="14"/>
  <c r="V363" i="14"/>
  <c r="W119" i="14"/>
  <c r="V119" i="14"/>
  <c r="V275" i="14"/>
  <c r="W275" i="14"/>
  <c r="W91" i="14"/>
  <c r="V91" i="14"/>
  <c r="W344" i="14"/>
  <c r="V344" i="14"/>
  <c r="W192" i="14"/>
  <c r="V192" i="14"/>
  <c r="W27" i="14"/>
  <c r="V27" i="14"/>
  <c r="V361" i="14"/>
  <c r="V201" i="14"/>
  <c r="V343" i="14"/>
  <c r="W343" i="14"/>
  <c r="W215" i="14"/>
  <c r="V215" i="14"/>
  <c r="W111" i="14"/>
  <c r="V111" i="14"/>
  <c r="W23" i="14"/>
  <c r="V23" i="14"/>
  <c r="V29" i="14"/>
  <c r="W29" i="14"/>
  <c r="W395" i="14"/>
  <c r="V395" i="14"/>
  <c r="W267" i="14"/>
  <c r="V267" i="14"/>
  <c r="W147" i="14"/>
  <c r="V147" i="14"/>
  <c r="W83" i="14"/>
  <c r="V83" i="14"/>
  <c r="V95" i="14"/>
  <c r="W95" i="14"/>
  <c r="W336" i="14"/>
  <c r="V336" i="14"/>
  <c r="W248" i="14"/>
  <c r="V248" i="14"/>
  <c r="W184" i="14"/>
  <c r="V184" i="14"/>
  <c r="W96" i="14"/>
  <c r="V96" i="14"/>
  <c r="V259" i="14"/>
  <c r="W259" i="14"/>
  <c r="W19" i="14"/>
  <c r="V19" i="14"/>
  <c r="V47" i="14"/>
  <c r="W47" i="14"/>
  <c r="W120" i="14"/>
  <c r="V120" i="14"/>
  <c r="V239" i="14"/>
  <c r="W239" i="14"/>
  <c r="V37" i="14"/>
  <c r="W37" i="14"/>
  <c r="W256" i="14"/>
  <c r="V256" i="14"/>
  <c r="W104" i="14"/>
  <c r="V104" i="14"/>
  <c r="V323" i="14"/>
  <c r="W323" i="14"/>
  <c r="W21" i="14"/>
  <c r="W327" i="14"/>
  <c r="V327" i="14"/>
  <c r="W199" i="14"/>
  <c r="V199" i="14"/>
  <c r="V103" i="14"/>
  <c r="W103" i="14"/>
  <c r="W15" i="14"/>
  <c r="V15" i="14"/>
  <c r="W371" i="14"/>
  <c r="V371" i="14"/>
  <c r="V243" i="14"/>
  <c r="W243" i="14"/>
  <c r="V139" i="14"/>
  <c r="W139" i="14"/>
  <c r="W75" i="14"/>
  <c r="V75" i="14"/>
  <c r="W63" i="14"/>
  <c r="V63" i="14"/>
  <c r="W400" i="14"/>
  <c r="V400" i="14"/>
  <c r="W328" i="14"/>
  <c r="V328" i="14"/>
  <c r="W240" i="14"/>
  <c r="V240" i="14"/>
  <c r="V176" i="14"/>
  <c r="W176" i="14"/>
  <c r="W80" i="14"/>
  <c r="V80" i="14"/>
  <c r="V251" i="14"/>
  <c r="W251" i="14"/>
  <c r="W11" i="14"/>
  <c r="V11" i="14"/>
  <c r="W291" i="14"/>
  <c r="V291" i="14"/>
  <c r="W311" i="14"/>
  <c r="V311" i="14"/>
  <c r="W183" i="14"/>
  <c r="V183" i="14"/>
  <c r="W87" i="14"/>
  <c r="V87" i="14"/>
  <c r="V355" i="14"/>
  <c r="W355" i="14"/>
  <c r="W227" i="14"/>
  <c r="V227" i="14"/>
  <c r="V131" i="14"/>
  <c r="W131" i="14"/>
  <c r="W67" i="14"/>
  <c r="V67" i="14"/>
  <c r="W31" i="14"/>
  <c r="V31" i="14"/>
  <c r="W384" i="14"/>
  <c r="V384" i="14"/>
  <c r="W320" i="14"/>
  <c r="V320" i="14"/>
  <c r="V232" i="14"/>
  <c r="W232" i="14"/>
  <c r="W160" i="14"/>
  <c r="V160" i="14"/>
  <c r="W72" i="14"/>
  <c r="V72" i="14"/>
  <c r="V235" i="14"/>
  <c r="W235" i="14"/>
  <c r="V247" i="14"/>
  <c r="W247" i="14"/>
  <c r="W167" i="14"/>
  <c r="V167" i="14"/>
  <c r="V367" i="14"/>
  <c r="W367" i="14"/>
  <c r="V129" i="14"/>
  <c r="V289" i="14"/>
  <c r="W281" i="14"/>
  <c r="W303" i="14"/>
  <c r="V303" i="14"/>
  <c r="V175" i="14"/>
  <c r="W175" i="14"/>
  <c r="W79" i="14"/>
  <c r="V79" i="14"/>
  <c r="W77" i="14"/>
  <c r="V77" i="14"/>
  <c r="V339" i="14"/>
  <c r="W339" i="14"/>
  <c r="W211" i="14"/>
  <c r="V211" i="14"/>
  <c r="W123" i="14"/>
  <c r="V123" i="14"/>
  <c r="W59" i="14"/>
  <c r="V59" i="14"/>
  <c r="V347" i="14"/>
  <c r="W347" i="14"/>
  <c r="V376" i="14"/>
  <c r="W376" i="14"/>
  <c r="V312" i="14"/>
  <c r="W312" i="14"/>
  <c r="V224" i="14"/>
  <c r="W224" i="14"/>
  <c r="W152" i="14"/>
  <c r="V152" i="14"/>
  <c r="W56" i="14"/>
  <c r="V56" i="14"/>
  <c r="V195" i="14"/>
  <c r="W195" i="14"/>
  <c r="W135" i="14"/>
  <c r="V135" i="14"/>
  <c r="W99" i="14"/>
  <c r="V99" i="14"/>
  <c r="V272" i="14"/>
  <c r="W272" i="14"/>
  <c r="V200" i="14"/>
  <c r="W200" i="14"/>
  <c r="V35" i="14"/>
  <c r="W35" i="14"/>
  <c r="W39" i="14"/>
  <c r="V39" i="14"/>
  <c r="W155" i="14"/>
  <c r="V155" i="14"/>
  <c r="W127" i="14"/>
  <c r="V127" i="14"/>
  <c r="W279" i="14"/>
  <c r="V279" i="14"/>
  <c r="W159" i="14"/>
  <c r="V159" i="14"/>
  <c r="V71" i="14"/>
  <c r="W71" i="14"/>
  <c r="V331" i="14"/>
  <c r="W331" i="14"/>
  <c r="W203" i="14"/>
  <c r="V203" i="14"/>
  <c r="W115" i="14"/>
  <c r="V115" i="14"/>
  <c r="W219" i="14"/>
  <c r="V219" i="14"/>
  <c r="W295" i="14"/>
  <c r="V295" i="14"/>
  <c r="W368" i="14"/>
  <c r="V368" i="14"/>
  <c r="V304" i="14"/>
  <c r="W304" i="14"/>
  <c r="W216" i="14"/>
  <c r="V216" i="14"/>
  <c r="W144" i="14"/>
  <c r="V144" i="14"/>
  <c r="W40" i="14"/>
  <c r="V40" i="14"/>
  <c r="W387" i="14"/>
  <c r="V387" i="14"/>
  <c r="W51" i="14"/>
  <c r="V51" i="14"/>
  <c r="V391" i="14"/>
  <c r="W391" i="14"/>
  <c r="V263" i="14"/>
  <c r="W263" i="14"/>
  <c r="W143" i="14"/>
  <c r="V143" i="14"/>
  <c r="W55" i="14"/>
  <c r="V55" i="14"/>
  <c r="W61" i="14"/>
  <c r="V61" i="14"/>
  <c r="W307" i="14"/>
  <c r="V307" i="14"/>
  <c r="W179" i="14"/>
  <c r="V179" i="14"/>
  <c r="W107" i="14"/>
  <c r="V107" i="14"/>
  <c r="W231" i="14"/>
  <c r="V231" i="14"/>
  <c r="V360" i="14"/>
  <c r="W360" i="14"/>
  <c r="W288" i="14"/>
  <c r="V288" i="14"/>
  <c r="W208" i="14"/>
  <c r="V208" i="14"/>
  <c r="W136" i="14"/>
  <c r="V136" i="14"/>
  <c r="W32" i="14"/>
  <c r="V32" i="14"/>
  <c r="V379" i="14"/>
  <c r="W379" i="14"/>
  <c r="W43" i="14"/>
  <c r="V43" i="14"/>
  <c r="S28" i="15"/>
  <c r="S32" i="15"/>
  <c r="S22" i="15"/>
  <c r="S21" i="15"/>
  <c r="S11" i="15"/>
  <c r="S17" i="15"/>
  <c r="S25" i="15"/>
  <c r="S9" i="15"/>
  <c r="S10" i="15"/>
  <c r="S8" i="15"/>
  <c r="S23" i="15"/>
  <c r="S15" i="15"/>
  <c r="S5" i="15"/>
  <c r="S7" i="15"/>
  <c r="S6" i="15"/>
  <c r="Y88" i="8" a="1"/>
  <c r="Y88" i="8" s="1"/>
  <c r="AF31" i="8"/>
  <c r="Z64" i="8"/>
  <c r="Z72" i="8" s="1"/>
  <c r="Z31" i="8"/>
  <c r="D152" i="13"/>
  <c r="D176" i="13" s="1"/>
  <c r="F54" i="7"/>
  <c r="F5" i="11"/>
  <c r="F16" i="11" s="1"/>
  <c r="F27" i="11" s="1"/>
  <c r="F38" i="11" s="1"/>
  <c r="C24" i="2"/>
  <c r="C34" i="2"/>
  <c r="F197" i="13" s="1"/>
  <c r="F199" i="13" s="1"/>
  <c r="F201" i="13" s="1"/>
  <c r="F203" i="13" s="1"/>
  <c r="F205" i="13" s="1"/>
  <c r="D243" i="13"/>
  <c r="F128" i="13"/>
  <c r="F130" i="13" s="1"/>
  <c r="F122" i="13"/>
  <c r="D229" i="13"/>
  <c r="F126" i="13"/>
  <c r="I38" i="2"/>
  <c r="I41" i="2" s="1"/>
  <c r="F120" i="13"/>
  <c r="F124" i="13"/>
  <c r="D72" i="13"/>
  <c r="D74" i="13" s="1"/>
  <c r="D76" i="13" s="1"/>
  <c r="D78" i="13" s="1"/>
  <c r="D80" i="13" s="1"/>
  <c r="D82" i="13" s="1"/>
  <c r="D50" i="13"/>
  <c r="D52" i="13" s="1"/>
  <c r="D54" i="13" s="1"/>
  <c r="D56" i="13" s="1"/>
  <c r="D58" i="13" s="1"/>
  <c r="D60" i="13" s="1"/>
  <c r="D154" i="13"/>
  <c r="D178" i="13" s="1"/>
  <c r="F229" i="13"/>
  <c r="E72" i="13"/>
  <c r="F243" i="13"/>
  <c r="E50" i="13"/>
  <c r="F156" i="13"/>
  <c r="F178" i="13"/>
  <c r="AS9" i="8"/>
  <c r="W22" i="8"/>
  <c r="Y22" i="8" s="1" a="1"/>
  <c r="Y22" i="8" s="1"/>
  <c r="W24" i="8"/>
  <c r="Y24" i="8" s="1" a="1"/>
  <c r="Y24" i="8" s="1"/>
  <c r="D16" i="11"/>
  <c r="D27" i="11" s="1"/>
  <c r="D38" i="11" s="1"/>
  <c r="D49" i="11" s="1"/>
  <c r="D60" i="11" s="1"/>
  <c r="D71" i="11" s="1"/>
  <c r="D82" i="11" s="1"/>
  <c r="P207" i="4"/>
  <c r="E174" i="13"/>
  <c r="C54" i="13"/>
  <c r="C80" i="13"/>
  <c r="G197" i="13"/>
  <c r="G152" i="13"/>
  <c r="G154" i="13"/>
  <c r="G178" i="13" s="1"/>
  <c r="C82" i="13"/>
  <c r="E197" i="13"/>
  <c r="C78" i="13"/>
  <c r="H219" i="4"/>
  <c r="Y26" i="8" a="1"/>
  <c r="Y26" i="8" s="1"/>
  <c r="X26" i="8"/>
  <c r="X39" i="8"/>
  <c r="X37" i="8"/>
  <c r="X38" i="8"/>
  <c r="X32" i="8"/>
  <c r="X40" i="8"/>
  <c r="X33" i="8"/>
  <c r="X34" i="8"/>
  <c r="X42" i="8"/>
  <c r="X35" i="8"/>
  <c r="X43" i="8"/>
  <c r="X36" i="8"/>
  <c r="X44" i="8"/>
  <c r="X27" i="8"/>
  <c r="Y27" i="8" a="1"/>
  <c r="Y27" i="8" s="1"/>
  <c r="Y11" i="8"/>
  <c r="N40" i="9"/>
  <c r="N42" i="9" s="1"/>
  <c r="O36" i="9"/>
  <c r="M36" i="9"/>
  <c r="R167" i="4"/>
  <c r="K54" i="7"/>
  <c r="E188" i="4" s="1"/>
  <c r="I206" i="4"/>
  <c r="M206" i="4"/>
  <c r="K206" i="4"/>
  <c r="P204" i="4"/>
  <c r="K203" i="4"/>
  <c r="I203" i="4"/>
  <c r="M203" i="4"/>
  <c r="P201" i="4"/>
  <c r="K200" i="4"/>
  <c r="I200" i="4"/>
  <c r="M200" i="4"/>
  <c r="P198" i="4"/>
  <c r="K197" i="4"/>
  <c r="I197" i="4"/>
  <c r="M197" i="4"/>
  <c r="P195" i="4"/>
  <c r="K194" i="4"/>
  <c r="I194" i="4"/>
  <c r="M194" i="4"/>
  <c r="P192" i="4"/>
  <c r="K191" i="4"/>
  <c r="M191" i="4"/>
  <c r="I191" i="4"/>
  <c r="H185" i="4"/>
  <c r="N185" i="4" s="1"/>
  <c r="H176" i="4"/>
  <c r="N176" i="4" s="1"/>
  <c r="H170" i="4"/>
  <c r="P168" i="4"/>
  <c r="I167" i="4"/>
  <c r="M167" i="4"/>
  <c r="K167" i="4"/>
  <c r="Z3" i="8"/>
  <c r="G33" i="6"/>
  <c r="G56" i="6" s="1"/>
  <c r="D9" i="6"/>
  <c r="D156" i="13" l="1"/>
  <c r="D180" i="13" s="1"/>
  <c r="O191" i="4"/>
  <c r="O167" i="4"/>
  <c r="U11" i="16"/>
  <c r="U14" i="16" s="1"/>
  <c r="U15" i="16" s="1"/>
  <c r="V11" i="16"/>
  <c r="V17" i="16" s="1"/>
  <c r="P14" i="16"/>
  <c r="R14" i="16" s="1"/>
  <c r="Y11" i="16"/>
  <c r="Y14" i="16" s="1"/>
  <c r="Y15" i="16" s="1"/>
  <c r="Z11" i="16"/>
  <c r="Z17" i="16" s="1"/>
  <c r="S4" i="16"/>
  <c r="W11" i="16"/>
  <c r="W17" i="16" s="1"/>
  <c r="R7" i="16"/>
  <c r="X17" i="16"/>
  <c r="X14" i="16"/>
  <c r="X15" i="16" s="1"/>
  <c r="X12" i="16"/>
  <c r="W13" i="14"/>
  <c r="X3" i="14" s="1"/>
  <c r="D197" i="13"/>
  <c r="D120" i="13"/>
  <c r="D30" i="13"/>
  <c r="K178" i="13"/>
  <c r="V176" i="13" s="1"/>
  <c r="E76" i="13"/>
  <c r="E74" i="13"/>
  <c r="E80" i="13"/>
  <c r="E78" i="13"/>
  <c r="E82" i="13"/>
  <c r="E56" i="13"/>
  <c r="K56" i="13" s="1"/>
  <c r="W52" i="13" s="1"/>
  <c r="E52" i="13"/>
  <c r="E58" i="13"/>
  <c r="K58" i="13" s="1"/>
  <c r="X52" i="13" s="1"/>
  <c r="E60" i="13"/>
  <c r="K60" i="13" s="1"/>
  <c r="Y52" i="13" s="1"/>
  <c r="E54" i="13"/>
  <c r="F180" i="13"/>
  <c r="F158" i="13"/>
  <c r="G176" i="13"/>
  <c r="K154" i="13"/>
  <c r="V152" i="13" s="1"/>
  <c r="K152" i="13"/>
  <c r="D158" i="13"/>
  <c r="D182" i="13" s="1"/>
  <c r="F207" i="13"/>
  <c r="C76" i="13"/>
  <c r="C104" i="13"/>
  <c r="G201" i="13"/>
  <c r="G199" i="13"/>
  <c r="C102" i="13"/>
  <c r="C106" i="13"/>
  <c r="G156" i="13"/>
  <c r="AS10" i="8"/>
  <c r="AU9" i="8" s="1"/>
  <c r="Z10" i="8"/>
  <c r="S56" i="7"/>
  <c r="E179" i="4"/>
  <c r="E182" i="4" s="1"/>
  <c r="F182" i="4" s="1"/>
  <c r="M54" i="7"/>
  <c r="O54" i="7"/>
  <c r="N54" i="7" s="1"/>
  <c r="N58" i="7" s="1"/>
  <c r="N60" i="7" s="1"/>
  <c r="T56" i="7"/>
  <c r="P186" i="4"/>
  <c r="K185" i="4"/>
  <c r="M185" i="4"/>
  <c r="I185" i="4"/>
  <c r="P177" i="4"/>
  <c r="K176" i="4"/>
  <c r="M176" i="4"/>
  <c r="I176" i="4"/>
  <c r="P171" i="4"/>
  <c r="K170" i="4"/>
  <c r="M170" i="4"/>
  <c r="I170" i="4"/>
  <c r="U9" i="7"/>
  <c r="P5" i="7"/>
  <c r="N5" i="7"/>
  <c r="H242" i="4"/>
  <c r="F242" i="4"/>
  <c r="H239" i="4"/>
  <c r="F239" i="4"/>
  <c r="H236" i="4"/>
  <c r="F236" i="4"/>
  <c r="H233" i="4"/>
  <c r="F233" i="4"/>
  <c r="H230" i="4"/>
  <c r="F230" i="4"/>
  <c r="H227" i="4"/>
  <c r="F227" i="4"/>
  <c r="H224" i="4"/>
  <c r="F224" i="4"/>
  <c r="H221" i="4"/>
  <c r="F221" i="4"/>
  <c r="H215" i="4"/>
  <c r="F215" i="4"/>
  <c r="G214" i="4"/>
  <c r="H212" i="4"/>
  <c r="F212" i="4"/>
  <c r="F206" i="4"/>
  <c r="F203" i="4"/>
  <c r="F200" i="4"/>
  <c r="F197" i="4"/>
  <c r="F194" i="4"/>
  <c r="H195" i="4" s="1"/>
  <c r="F191" i="4"/>
  <c r="F188" i="4"/>
  <c r="F185" i="4"/>
  <c r="F176" i="4"/>
  <c r="F173" i="4"/>
  <c r="F170" i="4"/>
  <c r="F167" i="4"/>
  <c r="G163" i="4"/>
  <c r="J6" i="2"/>
  <c r="N51" i="3"/>
  <c r="L51" i="3"/>
  <c r="N29" i="3"/>
  <c r="L29" i="3"/>
  <c r="N5" i="3"/>
  <c r="L5" i="3"/>
  <c r="G8" i="4"/>
  <c r="N8" i="4" s="1"/>
  <c r="E8" i="4"/>
  <c r="O185" i="4" l="1"/>
  <c r="H186" i="4" s="1"/>
  <c r="O176" i="4"/>
  <c r="H177" i="4" s="1"/>
  <c r="H207" i="4"/>
  <c r="U17" i="16"/>
  <c r="U21" i="16" s="1"/>
  <c r="U22" i="16" s="1"/>
  <c r="U12" i="16"/>
  <c r="Z14" i="16"/>
  <c r="Z15" i="16" s="1"/>
  <c r="V12" i="16"/>
  <c r="Z12" i="16"/>
  <c r="V14" i="16"/>
  <c r="V15" i="16" s="1"/>
  <c r="Y17" i="16"/>
  <c r="Y19" i="16" s="1"/>
  <c r="W12" i="16"/>
  <c r="W14" i="16"/>
  <c r="W15" i="16" s="1"/>
  <c r="Y12" i="16"/>
  <c r="V19" i="16"/>
  <c r="V21" i="16"/>
  <c r="V22" i="16" s="1"/>
  <c r="Z19" i="16"/>
  <c r="Z21" i="16"/>
  <c r="Z22" i="16" s="1"/>
  <c r="X21" i="16"/>
  <c r="X22" i="16" s="1"/>
  <c r="X19" i="16"/>
  <c r="W21" i="16"/>
  <c r="W22" i="16" s="1"/>
  <c r="W19" i="16"/>
  <c r="V4" i="15"/>
  <c r="U3" i="15"/>
  <c r="Y3" i="14" s="1"/>
  <c r="D124" i="13"/>
  <c r="D122" i="13"/>
  <c r="K122" i="13" s="1"/>
  <c r="U122" i="13" s="1"/>
  <c r="D201" i="13"/>
  <c r="D203" i="13" s="1"/>
  <c r="D205" i="13" s="1"/>
  <c r="D199" i="13"/>
  <c r="K82" i="13"/>
  <c r="Y74" i="13" s="1"/>
  <c r="K54" i="13"/>
  <c r="V52" i="13" s="1"/>
  <c r="K78" i="13"/>
  <c r="W74" i="13" s="1"/>
  <c r="K80" i="13"/>
  <c r="X74" i="13" s="1"/>
  <c r="K76" i="13"/>
  <c r="V74" i="13" s="1"/>
  <c r="U152" i="13"/>
  <c r="E130" i="4"/>
  <c r="F160" i="13"/>
  <c r="F184" i="13" s="1"/>
  <c r="F182" i="13"/>
  <c r="F179" i="4"/>
  <c r="M236" i="4"/>
  <c r="M227" i="4"/>
  <c r="M239" i="4"/>
  <c r="M215" i="4"/>
  <c r="M233" i="4"/>
  <c r="M221" i="4"/>
  <c r="M224" i="4"/>
  <c r="M212" i="4"/>
  <c r="G188" i="4"/>
  <c r="G179" i="4"/>
  <c r="G180" i="13"/>
  <c r="K176" i="13"/>
  <c r="U176" i="13" s="1"/>
  <c r="K156" i="13"/>
  <c r="W152" i="13" s="1"/>
  <c r="G158" i="13"/>
  <c r="G182" i="13" s="1"/>
  <c r="M182" i="13" s="1"/>
  <c r="K106" i="13"/>
  <c r="Y98" i="13" s="1"/>
  <c r="K199" i="13"/>
  <c r="U199" i="13" s="1"/>
  <c r="K104" i="13"/>
  <c r="X98" i="13" s="1"/>
  <c r="C100" i="13"/>
  <c r="D160" i="13"/>
  <c r="D184" i="13" s="1"/>
  <c r="K102" i="13"/>
  <c r="W98" i="13" s="1"/>
  <c r="G203" i="13"/>
  <c r="H192" i="4"/>
  <c r="H198" i="4"/>
  <c r="H204" i="4"/>
  <c r="H201" i="4"/>
  <c r="AU11" i="8"/>
  <c r="H168" i="4"/>
  <c r="U58" i="7"/>
  <c r="U59" i="7" s="1"/>
  <c r="T58" i="7"/>
  <c r="T61" i="7" s="1"/>
  <c r="T62" i="7" s="1"/>
  <c r="S58" i="7"/>
  <c r="S64" i="7" s="1"/>
  <c r="P54" i="7"/>
  <c r="C9" i="6"/>
  <c r="K9" i="6" s="1"/>
  <c r="M230" i="4"/>
  <c r="P231" i="4"/>
  <c r="P213" i="4"/>
  <c r="P216" i="4"/>
  <c r="P240" i="4"/>
  <c r="P237" i="4"/>
  <c r="P234" i="4"/>
  <c r="P228" i="4"/>
  <c r="P225" i="4"/>
  <c r="P222" i="4"/>
  <c r="I239" i="4"/>
  <c r="K239" i="4"/>
  <c r="K236" i="4"/>
  <c r="I236" i="4"/>
  <c r="I233" i="4"/>
  <c r="K233" i="4"/>
  <c r="I230" i="4"/>
  <c r="K230" i="4"/>
  <c r="K227" i="4"/>
  <c r="I227" i="4"/>
  <c r="I224" i="4"/>
  <c r="K224" i="4"/>
  <c r="K221" i="4"/>
  <c r="I221" i="4"/>
  <c r="I215" i="4"/>
  <c r="K215" i="4"/>
  <c r="I212" i="4"/>
  <c r="K212" i="4"/>
  <c r="P9" i="4"/>
  <c r="K8" i="4"/>
  <c r="M8" i="4"/>
  <c r="E140" i="4" l="1"/>
  <c r="E143" i="4" s="1"/>
  <c r="M15" i="6"/>
  <c r="M13" i="6"/>
  <c r="M11" i="6"/>
  <c r="M17" i="6"/>
  <c r="L17" i="6" s="1"/>
  <c r="C17" i="6" s="1"/>
  <c r="U19" i="16"/>
  <c r="Y21" i="16"/>
  <c r="Y22" i="16" s="1"/>
  <c r="K203" i="13"/>
  <c r="W199" i="13" s="1"/>
  <c r="H128" i="13"/>
  <c r="H124" i="13"/>
  <c r="D126" i="13"/>
  <c r="K124" i="13"/>
  <c r="V122" i="13" s="1"/>
  <c r="K201" i="13"/>
  <c r="V199" i="13" s="1"/>
  <c r="H126" i="13"/>
  <c r="U61" i="7"/>
  <c r="U62" i="7" s="1"/>
  <c r="M242" i="4"/>
  <c r="K182" i="13"/>
  <c r="X176" i="13" s="1"/>
  <c r="K180" i="13"/>
  <c r="W176" i="13" s="1"/>
  <c r="G182" i="4"/>
  <c r="R179" i="4"/>
  <c r="H179" i="4"/>
  <c r="N179" i="4" s="1"/>
  <c r="R188" i="4"/>
  <c r="H188" i="4"/>
  <c r="N188" i="4" s="1"/>
  <c r="M158" i="13"/>
  <c r="K158" i="13"/>
  <c r="X152" i="13" s="1"/>
  <c r="G205" i="13"/>
  <c r="D207" i="13"/>
  <c r="K100" i="13"/>
  <c r="V98" i="13" s="1"/>
  <c r="G160" i="13"/>
  <c r="H171" i="4"/>
  <c r="T59" i="7"/>
  <c r="U64" i="7"/>
  <c r="U68" i="7" s="1"/>
  <c r="U69" i="7" s="1"/>
  <c r="T64" i="7"/>
  <c r="T68" i="7" s="1"/>
  <c r="T69" i="7" s="1"/>
  <c r="S59" i="7"/>
  <c r="S61" i="7"/>
  <c r="S62" i="7" s="1"/>
  <c r="S66" i="7"/>
  <c r="S68" i="7"/>
  <c r="S69" i="7" s="1"/>
  <c r="K242" i="4"/>
  <c r="I242" i="4"/>
  <c r="P243" i="4"/>
  <c r="H240" i="4"/>
  <c r="H237" i="4"/>
  <c r="H222" i="4"/>
  <c r="H213" i="4"/>
  <c r="H216" i="4"/>
  <c r="H225" i="4"/>
  <c r="H234" i="4"/>
  <c r="H228" i="4"/>
  <c r="H231" i="4"/>
  <c r="O8" i="4"/>
  <c r="G9" i="4" s="1"/>
  <c r="F143" i="4" l="1"/>
  <c r="E146" i="4"/>
  <c r="G152" i="4"/>
  <c r="H152" i="4" s="1"/>
  <c r="N152" i="4" s="1"/>
  <c r="Q152" i="4" s="1"/>
  <c r="L15" i="6"/>
  <c r="C15" i="6" s="1"/>
  <c r="G149" i="4"/>
  <c r="H149" i="4" s="1"/>
  <c r="N149" i="4" s="1"/>
  <c r="Q149" i="4" s="1"/>
  <c r="L13" i="6"/>
  <c r="C13" i="6" s="1"/>
  <c r="L11" i="6"/>
  <c r="C11" i="6" s="1"/>
  <c r="G143" i="4"/>
  <c r="D128" i="13"/>
  <c r="K126" i="13"/>
  <c r="W122" i="13" s="1"/>
  <c r="H205" i="13"/>
  <c r="M128" i="13"/>
  <c r="H203" i="13"/>
  <c r="H201" i="13"/>
  <c r="U66" i="7"/>
  <c r="R182" i="4"/>
  <c r="H182" i="4"/>
  <c r="N182" i="4" s="1"/>
  <c r="K160" i="13"/>
  <c r="Y152" i="13" s="1"/>
  <c r="G184" i="13"/>
  <c r="P189" i="4"/>
  <c r="K188" i="4"/>
  <c r="I188" i="4"/>
  <c r="M188" i="4"/>
  <c r="M160" i="13"/>
  <c r="G207" i="13"/>
  <c r="K205" i="13"/>
  <c r="X199" i="13" s="1"/>
  <c r="T66" i="7"/>
  <c r="H243" i="4"/>
  <c r="F146" i="4" l="1"/>
  <c r="E149" i="4"/>
  <c r="H143" i="4"/>
  <c r="N143" i="4" s="1"/>
  <c r="Q143" i="4" s="1"/>
  <c r="G146" i="4"/>
  <c r="H146" i="4" s="1"/>
  <c r="N146" i="4" s="1"/>
  <c r="Q146" i="4" s="1"/>
  <c r="O188" i="4"/>
  <c r="H189" i="4" s="1"/>
  <c r="D130" i="13"/>
  <c r="K130" i="13" s="1"/>
  <c r="Y122" i="13" s="1"/>
  <c r="K128" i="13"/>
  <c r="X122" i="13" s="1"/>
  <c r="M130" i="13"/>
  <c r="P183" i="4"/>
  <c r="K182" i="4"/>
  <c r="M182" i="4"/>
  <c r="I182" i="4"/>
  <c r="M184" i="13"/>
  <c r="K184" i="13"/>
  <c r="Y176" i="13" s="1"/>
  <c r="K207" i="13"/>
  <c r="Y199" i="13" s="1"/>
  <c r="H6" i="5"/>
  <c r="I9" i="5"/>
  <c r="I8" i="5"/>
  <c r="I7" i="5"/>
  <c r="I6" i="5"/>
  <c r="I5" i="5"/>
  <c r="I4" i="5"/>
  <c r="F9" i="5"/>
  <c r="F8" i="5"/>
  <c r="F7" i="5"/>
  <c r="F6" i="5"/>
  <c r="F5" i="5"/>
  <c r="F4" i="5"/>
  <c r="F149" i="4" l="1"/>
  <c r="E152" i="4"/>
  <c r="F152" i="4" s="1"/>
  <c r="O182" i="4"/>
  <c r="H183" i="4" s="1"/>
  <c r="I10" i="5"/>
  <c r="N39" i="2" l="1"/>
  <c r="F9" i="3" s="1"/>
  <c r="F33" i="3" l="1"/>
  <c r="O5" i="2"/>
  <c r="D10" i="2"/>
  <c r="O7" i="2"/>
  <c r="O11" i="2"/>
  <c r="O13" i="2"/>
  <c r="O9" i="2"/>
  <c r="D12" i="2"/>
  <c r="R9" i="2"/>
  <c r="G31" i="3" s="1"/>
  <c r="G33" i="3" s="1"/>
  <c r="N36" i="2"/>
  <c r="F7" i="3" s="1"/>
  <c r="F31" i="3" s="1"/>
  <c r="C16" i="2"/>
  <c r="G18" i="2"/>
  <c r="R6" i="2"/>
  <c r="G15" i="2"/>
  <c r="C197" i="13" l="1"/>
  <c r="C7" i="13"/>
  <c r="K7" i="13" s="1"/>
  <c r="L7" i="13" s="1"/>
  <c r="C120" i="13"/>
  <c r="C5" i="11"/>
  <c r="D7" i="9"/>
  <c r="D22" i="9"/>
  <c r="K22" i="9" s="1"/>
  <c r="E22" i="9"/>
  <c r="E7" i="9"/>
  <c r="I25" i="2"/>
  <c r="G7" i="3"/>
  <c r="I33" i="6"/>
  <c r="E33" i="6"/>
  <c r="C7" i="9"/>
  <c r="F7" i="7"/>
  <c r="K7" i="7" s="1"/>
  <c r="O7" i="7" s="1"/>
  <c r="N7" i="7" s="1"/>
  <c r="F31" i="7"/>
  <c r="K31" i="7" s="1"/>
  <c r="O31" i="7" s="1"/>
  <c r="N31" i="7" s="1"/>
  <c r="C7" i="3"/>
  <c r="C31" i="3" s="1"/>
  <c r="C53" i="3"/>
  <c r="E7" i="3"/>
  <c r="E31" i="3" s="1"/>
  <c r="E33" i="3" s="1"/>
  <c r="D53" i="3"/>
  <c r="D7" i="3"/>
  <c r="D31" i="3" s="1"/>
  <c r="D33" i="3" s="1"/>
  <c r="V9" i="13" l="1"/>
  <c r="U9" i="13"/>
  <c r="T9" i="13"/>
  <c r="H150" i="13"/>
  <c r="K7" i="9"/>
  <c r="N7" i="9" s="1"/>
  <c r="M5" i="11"/>
  <c r="O5" i="11" s="1"/>
  <c r="C16" i="11"/>
  <c r="C150" i="13"/>
  <c r="K120" i="13"/>
  <c r="L120" i="13" s="1"/>
  <c r="C30" i="13"/>
  <c r="H197" i="13"/>
  <c r="K197" i="13"/>
  <c r="M197" i="13" s="1"/>
  <c r="L197" i="13" s="1"/>
  <c r="M22" i="9"/>
  <c r="N22" i="9"/>
  <c r="E161" i="4"/>
  <c r="M9" i="6"/>
  <c r="E56" i="6"/>
  <c r="K56" i="6" s="1"/>
  <c r="K33" i="6"/>
  <c r="T33" i="7"/>
  <c r="M31" i="7"/>
  <c r="S33" i="7"/>
  <c r="T9" i="7"/>
  <c r="S9" i="7"/>
  <c r="M7" i="7"/>
  <c r="G161" i="4"/>
  <c r="I53" i="3"/>
  <c r="M53" i="3" s="1"/>
  <c r="L53" i="3" s="1"/>
  <c r="I9" i="3"/>
  <c r="C33" i="3"/>
  <c r="I33" i="3" s="1"/>
  <c r="I31" i="3"/>
  <c r="M31" i="3" s="1"/>
  <c r="L31" i="3" s="1"/>
  <c r="M7" i="3"/>
  <c r="L7" i="3" s="1"/>
  <c r="L9" i="6" l="1"/>
  <c r="O9" i="6" s="1"/>
  <c r="N9" i="6" s="1"/>
  <c r="V13" i="6" s="1"/>
  <c r="G140" i="4"/>
  <c r="H140" i="4" s="1"/>
  <c r="N140" i="4" s="1"/>
  <c r="Q140" i="4" s="1"/>
  <c r="M33" i="6"/>
  <c r="L33" i="6" s="1"/>
  <c r="O33" i="6" s="1"/>
  <c r="N33" i="6" s="1"/>
  <c r="M56" i="6"/>
  <c r="L56" i="6" s="1"/>
  <c r="O56" i="6" s="1"/>
  <c r="N56" i="6" s="1"/>
  <c r="M9" i="13"/>
  <c r="H158" i="13"/>
  <c r="H182" i="13" s="1"/>
  <c r="H160" i="13"/>
  <c r="H184" i="13" s="1"/>
  <c r="H156" i="13"/>
  <c r="H180" i="13" s="1"/>
  <c r="H154" i="13"/>
  <c r="H178" i="13" s="1"/>
  <c r="H152" i="13"/>
  <c r="H176" i="13" s="1"/>
  <c r="G78" i="4"/>
  <c r="E78" i="4"/>
  <c r="T122" i="13"/>
  <c r="E91" i="4"/>
  <c r="M7" i="9"/>
  <c r="R9" i="9"/>
  <c r="S9" i="9"/>
  <c r="R161" i="4"/>
  <c r="H161" i="4"/>
  <c r="N161" i="4" s="1"/>
  <c r="C50" i="13"/>
  <c r="K30" i="13"/>
  <c r="T199" i="13"/>
  <c r="M207" i="13"/>
  <c r="AK118" i="13"/>
  <c r="AK124" i="13" s="1"/>
  <c r="AK126" i="13" s="1"/>
  <c r="AK127" i="13" s="1"/>
  <c r="AL118" i="13"/>
  <c r="AL124" i="13" s="1"/>
  <c r="AL126" i="13" s="1"/>
  <c r="AL127" i="13" s="1"/>
  <c r="AM118" i="13"/>
  <c r="AM124" i="13" s="1"/>
  <c r="AM126" i="13" s="1"/>
  <c r="AM127" i="13" s="1"/>
  <c r="C174" i="13"/>
  <c r="K174" i="13" s="1"/>
  <c r="M174" i="13" s="1"/>
  <c r="L174" i="13" s="1"/>
  <c r="K150" i="13"/>
  <c r="L150" i="13" s="1"/>
  <c r="C52" i="13"/>
  <c r="M16" i="11"/>
  <c r="O16" i="11" s="1"/>
  <c r="C27" i="11"/>
  <c r="H174" i="13"/>
  <c r="N26" i="9"/>
  <c r="N28" i="9" s="1"/>
  <c r="O22" i="9"/>
  <c r="V58" i="6"/>
  <c r="E209" i="4"/>
  <c r="F209" i="4" s="1"/>
  <c r="G209" i="4"/>
  <c r="T11" i="6"/>
  <c r="U11" i="6"/>
  <c r="W11" i="6"/>
  <c r="W58" i="6"/>
  <c r="U35" i="6"/>
  <c r="S11" i="6"/>
  <c r="V11" i="6"/>
  <c r="X35" i="6"/>
  <c r="U58" i="6"/>
  <c r="G155" i="4"/>
  <c r="E155" i="4"/>
  <c r="F155" i="4" s="1"/>
  <c r="X58" i="6"/>
  <c r="V35" i="6"/>
  <c r="X11" i="6"/>
  <c r="E158" i="4"/>
  <c r="F158" i="4" s="1"/>
  <c r="W35" i="6"/>
  <c r="S35" i="6"/>
  <c r="T35" i="6"/>
  <c r="S58" i="6"/>
  <c r="T58" i="6"/>
  <c r="S35" i="7"/>
  <c r="U35" i="7"/>
  <c r="P31" i="7"/>
  <c r="N35" i="7"/>
  <c r="N37" i="7" s="1"/>
  <c r="T35" i="7"/>
  <c r="N11" i="9"/>
  <c r="N13" i="9" s="1"/>
  <c r="O7" i="9"/>
  <c r="T11" i="9"/>
  <c r="R11" i="9"/>
  <c r="S11" i="9"/>
  <c r="N11" i="7"/>
  <c r="N13" i="7" s="1"/>
  <c r="T11" i="7"/>
  <c r="P7" i="7"/>
  <c r="U11" i="7"/>
  <c r="S11" i="7"/>
  <c r="R9" i="3"/>
  <c r="E107" i="4"/>
  <c r="F107" i="4" s="1"/>
  <c r="K9" i="3"/>
  <c r="F104" i="4"/>
  <c r="E110" i="4"/>
  <c r="F110" i="4" s="1"/>
  <c r="F113" i="4"/>
  <c r="K33" i="3"/>
  <c r="H117" i="4" s="1"/>
  <c r="N117" i="4" s="1"/>
  <c r="M117" i="4" s="1"/>
  <c r="F117" i="4"/>
  <c r="U9" i="3"/>
  <c r="S55" i="3"/>
  <c r="U55" i="3"/>
  <c r="T55" i="3"/>
  <c r="P55" i="3"/>
  <c r="K53" i="3"/>
  <c r="R55" i="3"/>
  <c r="Q55" i="3"/>
  <c r="Q9" i="3"/>
  <c r="S9" i="3"/>
  <c r="T9" i="3"/>
  <c r="T33" i="3"/>
  <c r="S33" i="3"/>
  <c r="U33" i="3"/>
  <c r="Q33" i="3"/>
  <c r="R33" i="3"/>
  <c r="P33" i="3"/>
  <c r="P9" i="3"/>
  <c r="E23" i="4" l="1"/>
  <c r="V32" i="13"/>
  <c r="U32" i="13"/>
  <c r="T32" i="13"/>
  <c r="M30" i="13"/>
  <c r="L30" i="13" s="1"/>
  <c r="H130" i="13"/>
  <c r="H207" i="13" s="1"/>
  <c r="P197" i="13"/>
  <c r="O197" i="13" s="1"/>
  <c r="Y201" i="13" s="1"/>
  <c r="E100" i="4"/>
  <c r="F100" i="4" s="1"/>
  <c r="E94" i="4"/>
  <c r="E97" i="4"/>
  <c r="F97" i="4" s="1"/>
  <c r="G62" i="4"/>
  <c r="H62" i="4" s="1"/>
  <c r="N62" i="4" s="1"/>
  <c r="Q62" i="4" s="1"/>
  <c r="E62" i="4"/>
  <c r="E87" i="4"/>
  <c r="F87" i="4" s="1"/>
  <c r="E84" i="4"/>
  <c r="F84" i="4" s="1"/>
  <c r="E81" i="4"/>
  <c r="F81" i="4" s="1"/>
  <c r="G87" i="4"/>
  <c r="G84" i="4"/>
  <c r="G81" i="4"/>
  <c r="H81" i="4" s="1"/>
  <c r="N81" i="4" s="1"/>
  <c r="M195" i="13"/>
  <c r="T152" i="13"/>
  <c r="K165" i="13"/>
  <c r="E26" i="4"/>
  <c r="F26" i="4" s="1"/>
  <c r="E29" i="4"/>
  <c r="G6" i="4"/>
  <c r="H6" i="4" s="1"/>
  <c r="R155" i="4"/>
  <c r="H155" i="4"/>
  <c r="K52" i="13"/>
  <c r="U52" i="13" s="1"/>
  <c r="C74" i="13"/>
  <c r="K74" i="13" s="1"/>
  <c r="I5" i="11"/>
  <c r="P7" i="13"/>
  <c r="O7" i="13" s="1"/>
  <c r="H243" i="13"/>
  <c r="G91" i="4"/>
  <c r="H229" i="13"/>
  <c r="T176" i="13"/>
  <c r="E133" i="4"/>
  <c r="M27" i="11"/>
  <c r="O27" i="11" s="1"/>
  <c r="C38" i="11"/>
  <c r="M42" i="13"/>
  <c r="F16" i="4"/>
  <c r="F23" i="4"/>
  <c r="E11" i="4"/>
  <c r="F11" i="4" s="1"/>
  <c r="K50" i="13"/>
  <c r="C72" i="13"/>
  <c r="K72" i="13" s="1"/>
  <c r="M72" i="13" s="1"/>
  <c r="G133" i="4"/>
  <c r="H133" i="4" s="1"/>
  <c r="N133" i="4" s="1"/>
  <c r="M133" i="4" s="1"/>
  <c r="P174" i="13"/>
  <c r="O174" i="13" s="1"/>
  <c r="M172" i="13"/>
  <c r="P9" i="6"/>
  <c r="U13" i="6"/>
  <c r="R117" i="4"/>
  <c r="H209" i="4"/>
  <c r="R209" i="4"/>
  <c r="W13" i="6"/>
  <c r="W19" i="6" s="1"/>
  <c r="X13" i="6"/>
  <c r="X19" i="6" s="1"/>
  <c r="G158" i="4"/>
  <c r="H158" i="4" s="1"/>
  <c r="N13" i="6"/>
  <c r="N15" i="6" s="1"/>
  <c r="S13" i="6"/>
  <c r="S16" i="6" s="1"/>
  <c r="S17" i="6" s="1"/>
  <c r="T13" i="6"/>
  <c r="T16" i="6" s="1"/>
  <c r="T17" i="6" s="1"/>
  <c r="V60" i="6"/>
  <c r="W60" i="6"/>
  <c r="N60" i="6"/>
  <c r="N62" i="6" s="1"/>
  <c r="P56" i="6"/>
  <c r="X60" i="6"/>
  <c r="T60" i="6"/>
  <c r="S60" i="6"/>
  <c r="U60" i="6"/>
  <c r="V37" i="6"/>
  <c r="T37" i="6"/>
  <c r="S37" i="6"/>
  <c r="W37" i="6"/>
  <c r="P33" i="6"/>
  <c r="X37" i="6"/>
  <c r="U37" i="6"/>
  <c r="N37" i="6"/>
  <c r="N39" i="6" s="1"/>
  <c r="T14" i="9"/>
  <c r="T15" i="9" s="1"/>
  <c r="T17" i="9"/>
  <c r="T12" i="9"/>
  <c r="S12" i="7"/>
  <c r="S17" i="7"/>
  <c r="S14" i="7"/>
  <c r="S15" i="7" s="1"/>
  <c r="U14" i="7"/>
  <c r="U15" i="7" s="1"/>
  <c r="U12" i="7"/>
  <c r="U17" i="7"/>
  <c r="S14" i="9"/>
  <c r="S15" i="9" s="1"/>
  <c r="S12" i="9"/>
  <c r="S17" i="9"/>
  <c r="U41" i="7"/>
  <c r="U36" i="7"/>
  <c r="U38" i="7"/>
  <c r="U39" i="7" s="1"/>
  <c r="T12" i="7"/>
  <c r="T17" i="7"/>
  <c r="T14" i="7"/>
  <c r="T15" i="7" s="1"/>
  <c r="R17" i="9"/>
  <c r="R12" i="9"/>
  <c r="R14" i="9"/>
  <c r="R15" i="9" s="1"/>
  <c r="T36" i="7"/>
  <c r="T38" i="7"/>
  <c r="T39" i="7" s="1"/>
  <c r="T41" i="7"/>
  <c r="S36" i="7"/>
  <c r="S41" i="7"/>
  <c r="S38" i="7"/>
  <c r="S39" i="7" s="1"/>
  <c r="G164" i="4"/>
  <c r="H164" i="4" s="1"/>
  <c r="N164" i="4" s="1"/>
  <c r="V16" i="6"/>
  <c r="V17" i="6" s="1"/>
  <c r="V19" i="6"/>
  <c r="V14" i="6"/>
  <c r="E164" i="4"/>
  <c r="F164" i="4" s="1"/>
  <c r="F161" i="4"/>
  <c r="G110" i="4"/>
  <c r="H110" i="4" s="1"/>
  <c r="N110" i="4" s="1"/>
  <c r="H113" i="4"/>
  <c r="N113" i="4" s="1"/>
  <c r="F78" i="4"/>
  <c r="H78" i="4"/>
  <c r="N78" i="4" s="1"/>
  <c r="H104" i="4"/>
  <c r="N104" i="4" s="1"/>
  <c r="G107" i="4"/>
  <c r="N53" i="3"/>
  <c r="P57" i="3"/>
  <c r="L57" i="3"/>
  <c r="L59" i="3" s="1"/>
  <c r="U57" i="3"/>
  <c r="S57" i="3"/>
  <c r="Q57" i="3"/>
  <c r="R57" i="3"/>
  <c r="T57" i="3"/>
  <c r="U11" i="3"/>
  <c r="T11" i="3"/>
  <c r="L11" i="3"/>
  <c r="L13" i="3" s="1"/>
  <c r="R11" i="3"/>
  <c r="Q11" i="3"/>
  <c r="N7" i="3"/>
  <c r="P11" i="3"/>
  <c r="S11" i="3"/>
  <c r="T35" i="3"/>
  <c r="R35" i="3"/>
  <c r="P35" i="3"/>
  <c r="U35" i="3"/>
  <c r="Q35" i="3"/>
  <c r="L35" i="3"/>
  <c r="L37" i="3" s="1"/>
  <c r="S35" i="3"/>
  <c r="N31" i="3"/>
  <c r="U19" i="6" l="1"/>
  <c r="U16" i="6"/>
  <c r="U17" i="6" s="1"/>
  <c r="H107" i="4"/>
  <c r="N107" i="4" s="1"/>
  <c r="M107" i="4" s="1"/>
  <c r="U14" i="6"/>
  <c r="U201" i="13"/>
  <c r="U207" i="13" s="1"/>
  <c r="Q197" i="13"/>
  <c r="E36" i="4"/>
  <c r="E42" i="4" s="1"/>
  <c r="F42" i="4" s="1"/>
  <c r="T201" i="13"/>
  <c r="T207" i="13" s="1"/>
  <c r="X201" i="13"/>
  <c r="X202" i="13" s="1"/>
  <c r="W201" i="13"/>
  <c r="W204" i="13" s="1"/>
  <c r="W205" i="13" s="1"/>
  <c r="O204" i="13"/>
  <c r="Q204" i="13" s="1"/>
  <c r="V201" i="13"/>
  <c r="V207" i="13" s="1"/>
  <c r="L72" i="13"/>
  <c r="P72" i="13"/>
  <c r="O72" i="13" s="1"/>
  <c r="E74" i="4"/>
  <c r="E65" i="4"/>
  <c r="F65" i="4" s="1"/>
  <c r="E71" i="4"/>
  <c r="E68" i="4"/>
  <c r="F68" i="4" s="1"/>
  <c r="F62" i="4"/>
  <c r="G71" i="4"/>
  <c r="H71" i="4" s="1"/>
  <c r="N71" i="4" s="1"/>
  <c r="Q71" i="4" s="1"/>
  <c r="G68" i="4"/>
  <c r="H68" i="4" s="1"/>
  <c r="N68" i="4" s="1"/>
  <c r="Q68" i="4" s="1"/>
  <c r="G74" i="4"/>
  <c r="G65" i="4"/>
  <c r="H65" i="4" s="1"/>
  <c r="N65" i="4" s="1"/>
  <c r="Q65" i="4" s="1"/>
  <c r="G100" i="4"/>
  <c r="H100" i="4" s="1"/>
  <c r="N100" i="4" s="1"/>
  <c r="G94" i="4"/>
  <c r="G97" i="4"/>
  <c r="H97" i="4" s="1"/>
  <c r="N97" i="4" s="1"/>
  <c r="F29" i="4"/>
  <c r="E32" i="4"/>
  <c r="G26" i="4"/>
  <c r="G23" i="4"/>
  <c r="W14" i="6"/>
  <c r="G29" i="4"/>
  <c r="H16" i="4"/>
  <c r="L5" i="11"/>
  <c r="Q5" i="11" s="1"/>
  <c r="P5" i="11" s="1"/>
  <c r="I27" i="11"/>
  <c r="L27" i="11" s="1"/>
  <c r="Q27" i="11" s="1"/>
  <c r="P27" i="11" s="1"/>
  <c r="I38" i="11"/>
  <c r="L38" i="11" s="1"/>
  <c r="Q38" i="11" s="1"/>
  <c r="P38" i="11" s="1"/>
  <c r="I16" i="11"/>
  <c r="L16" i="11" s="1"/>
  <c r="Q16" i="11" s="1"/>
  <c r="P16" i="11" s="1"/>
  <c r="X204" i="13"/>
  <c r="X205" i="13" s="1"/>
  <c r="P120" i="13"/>
  <c r="O120" i="13" s="1"/>
  <c r="M118" i="13"/>
  <c r="M38" i="11"/>
  <c r="O38" i="11" s="1"/>
  <c r="C49" i="11"/>
  <c r="F133" i="4"/>
  <c r="E136" i="4"/>
  <c r="F136" i="4" s="1"/>
  <c r="U178" i="13"/>
  <c r="V178" i="13"/>
  <c r="Q174" i="13"/>
  <c r="T178" i="13"/>
  <c r="Y178" i="13"/>
  <c r="X178" i="13"/>
  <c r="W178" i="13"/>
  <c r="O181" i="13"/>
  <c r="Q181" i="13" s="1"/>
  <c r="R133" i="4"/>
  <c r="G136" i="4"/>
  <c r="H136" i="4" s="1"/>
  <c r="N136" i="4" s="1"/>
  <c r="M136" i="4" s="1"/>
  <c r="V202" i="13"/>
  <c r="M227" i="13"/>
  <c r="P229" i="13"/>
  <c r="O229" i="13" s="1"/>
  <c r="P30" i="13"/>
  <c r="O30" i="13" s="1"/>
  <c r="O37" i="13" s="1"/>
  <c r="M28" i="13"/>
  <c r="U74" i="13"/>
  <c r="C98" i="13"/>
  <c r="U204" i="13"/>
  <c r="U205" i="13" s="1"/>
  <c r="U202" i="13"/>
  <c r="C96" i="13"/>
  <c r="K96" i="13" s="1"/>
  <c r="L96" i="13" s="1"/>
  <c r="Q7" i="13"/>
  <c r="V11" i="13"/>
  <c r="T11" i="13"/>
  <c r="R4" i="13"/>
  <c r="O14" i="13"/>
  <c r="Q14" i="13" s="1"/>
  <c r="U11" i="13"/>
  <c r="H199" i="13"/>
  <c r="Y207" i="13"/>
  <c r="Y204" i="13"/>
  <c r="Y205" i="13" s="1"/>
  <c r="Y202" i="13"/>
  <c r="M241" i="13"/>
  <c r="P243" i="13"/>
  <c r="O243" i="13" s="1"/>
  <c r="T52" i="13"/>
  <c r="M48" i="13"/>
  <c r="H120" i="4"/>
  <c r="N120" i="4" s="1"/>
  <c r="M120" i="4" s="1"/>
  <c r="P150" i="13"/>
  <c r="O150" i="13" s="1"/>
  <c r="M148" i="13"/>
  <c r="E126" i="4"/>
  <c r="P118" i="4"/>
  <c r="I155" i="4"/>
  <c r="R19" i="4"/>
  <c r="S19" i="6"/>
  <c r="S23" i="6" s="1"/>
  <c r="S24" i="6" s="1"/>
  <c r="M155" i="4"/>
  <c r="P156" i="4"/>
  <c r="K155" i="4"/>
  <c r="T14" i="6"/>
  <c r="X16" i="6"/>
  <c r="X17" i="6" s="1"/>
  <c r="X14" i="6"/>
  <c r="T19" i="6"/>
  <c r="R113" i="4"/>
  <c r="N158" i="4"/>
  <c r="R158" i="4"/>
  <c r="R81" i="4"/>
  <c r="R107" i="4"/>
  <c r="R78" i="4"/>
  <c r="K117" i="4"/>
  <c r="S14" i="6"/>
  <c r="R104" i="4"/>
  <c r="P111" i="4"/>
  <c r="R110" i="4"/>
  <c r="W16" i="6"/>
  <c r="W17" i="6" s="1"/>
  <c r="R164" i="4"/>
  <c r="K209" i="4"/>
  <c r="I209" i="4"/>
  <c r="P210" i="4"/>
  <c r="M209" i="4"/>
  <c r="W40" i="6"/>
  <c r="W41" i="6" s="1"/>
  <c r="W38" i="6"/>
  <c r="W43" i="6"/>
  <c r="U66" i="6"/>
  <c r="U61" i="6"/>
  <c r="U63" i="6"/>
  <c r="U64" i="6" s="1"/>
  <c r="U38" i="6"/>
  <c r="U43" i="6"/>
  <c r="U40" i="6"/>
  <c r="U41" i="6" s="1"/>
  <c r="S38" i="6"/>
  <c r="S40" i="6"/>
  <c r="S41" i="6" s="1"/>
  <c r="S43" i="6"/>
  <c r="S61" i="6"/>
  <c r="S66" i="6"/>
  <c r="S63" i="6"/>
  <c r="S64" i="6" s="1"/>
  <c r="X38" i="6"/>
  <c r="X43" i="6"/>
  <c r="X40" i="6"/>
  <c r="X41" i="6" s="1"/>
  <c r="T43" i="6"/>
  <c r="T38" i="6"/>
  <c r="T40" i="6"/>
  <c r="T41" i="6" s="1"/>
  <c r="T61" i="6"/>
  <c r="T63" i="6"/>
  <c r="T64" i="6" s="1"/>
  <c r="T66" i="6"/>
  <c r="W61" i="6"/>
  <c r="W66" i="6"/>
  <c r="W63" i="6"/>
  <c r="W64" i="6" s="1"/>
  <c r="V43" i="6"/>
  <c r="V40" i="6"/>
  <c r="V41" i="6" s="1"/>
  <c r="V38" i="6"/>
  <c r="X61" i="6"/>
  <c r="X63" i="6"/>
  <c r="X64" i="6" s="1"/>
  <c r="X66" i="6"/>
  <c r="V61" i="6"/>
  <c r="V63" i="6"/>
  <c r="V64" i="6" s="1"/>
  <c r="V66" i="6"/>
  <c r="T45" i="7"/>
  <c r="T46" i="7" s="1"/>
  <c r="T43" i="7"/>
  <c r="R21" i="9"/>
  <c r="R22" i="9" s="1"/>
  <c r="R19" i="9"/>
  <c r="S19" i="9"/>
  <c r="S21" i="9"/>
  <c r="S22" i="9" s="1"/>
  <c r="S43" i="7"/>
  <c r="S45" i="7"/>
  <c r="S46" i="7" s="1"/>
  <c r="T21" i="9"/>
  <c r="T22" i="9" s="1"/>
  <c r="T19" i="9"/>
  <c r="T19" i="7"/>
  <c r="T21" i="7"/>
  <c r="T22" i="7" s="1"/>
  <c r="U45" i="7"/>
  <c r="U46" i="7" s="1"/>
  <c r="U43" i="7"/>
  <c r="U21" i="7"/>
  <c r="U22" i="7" s="1"/>
  <c r="U19" i="7"/>
  <c r="S19" i="7"/>
  <c r="S21" i="7"/>
  <c r="S22" i="7" s="1"/>
  <c r="X21" i="6"/>
  <c r="X23" i="6"/>
  <c r="X24" i="6" s="1"/>
  <c r="V23" i="6"/>
  <c r="V24" i="6" s="1"/>
  <c r="V21" i="6"/>
  <c r="M161" i="4"/>
  <c r="K161" i="4"/>
  <c r="P162" i="4"/>
  <c r="I161" i="4"/>
  <c r="W23" i="6"/>
  <c r="W24" i="6" s="1"/>
  <c r="W21" i="6"/>
  <c r="R62" i="4"/>
  <c r="P63" i="3"/>
  <c r="P60" i="3"/>
  <c r="P61" i="3" s="1"/>
  <c r="P58" i="3"/>
  <c r="T58" i="3"/>
  <c r="T60" i="3"/>
  <c r="T61" i="3" s="1"/>
  <c r="T63" i="3"/>
  <c r="U63" i="3"/>
  <c r="U58" i="3"/>
  <c r="U60" i="3"/>
  <c r="U61" i="3" s="1"/>
  <c r="Q60" i="3"/>
  <c r="Q61" i="3" s="1"/>
  <c r="Q58" i="3"/>
  <c r="Q63" i="3"/>
  <c r="S60" i="3"/>
  <c r="S61" i="3" s="1"/>
  <c r="S58" i="3"/>
  <c r="S63" i="3"/>
  <c r="R58" i="3"/>
  <c r="R60" i="3"/>
  <c r="R61" i="3" s="1"/>
  <c r="R63" i="3"/>
  <c r="U41" i="3"/>
  <c r="U36" i="3"/>
  <c r="U38" i="3"/>
  <c r="U39" i="3" s="1"/>
  <c r="S14" i="3"/>
  <c r="S15" i="3" s="1"/>
  <c r="S12" i="3"/>
  <c r="S17" i="3"/>
  <c r="R14" i="3"/>
  <c r="R15" i="3" s="1"/>
  <c r="R12" i="3"/>
  <c r="R17" i="3"/>
  <c r="S41" i="3"/>
  <c r="S36" i="3"/>
  <c r="S38" i="3"/>
  <c r="S39" i="3" s="1"/>
  <c r="P36" i="3"/>
  <c r="P38" i="3"/>
  <c r="P39" i="3" s="1"/>
  <c r="P41" i="3"/>
  <c r="P14" i="3"/>
  <c r="P15" i="3" s="1"/>
  <c r="P17" i="3"/>
  <c r="P12" i="3"/>
  <c r="R36" i="3"/>
  <c r="R38" i="3"/>
  <c r="R39" i="3" s="1"/>
  <c r="R41" i="3"/>
  <c r="T14" i="3"/>
  <c r="T15" i="3" s="1"/>
  <c r="T17" i="3"/>
  <c r="T12" i="3"/>
  <c r="Q36" i="3"/>
  <c r="Q38" i="3"/>
  <c r="Q39" i="3" s="1"/>
  <c r="Q41" i="3"/>
  <c r="T41" i="3"/>
  <c r="T38" i="3"/>
  <c r="T39" i="3" s="1"/>
  <c r="T36" i="3"/>
  <c r="Q14" i="3"/>
  <c r="Q15" i="3" s="1"/>
  <c r="Q12" i="3"/>
  <c r="Q17" i="3"/>
  <c r="U14" i="3"/>
  <c r="U15" i="3" s="1"/>
  <c r="U17" i="3"/>
  <c r="U12" i="3"/>
  <c r="U23" i="6" l="1"/>
  <c r="U24" i="6" s="1"/>
  <c r="U21" i="6"/>
  <c r="T21" i="6"/>
  <c r="T23" i="6"/>
  <c r="T24" i="6" s="1"/>
  <c r="S21" i="6"/>
  <c r="E39" i="4"/>
  <c r="R65" i="4"/>
  <c r="H26" i="4"/>
  <c r="O155" i="4"/>
  <c r="H156" i="4" s="1"/>
  <c r="O117" i="4"/>
  <c r="H118" i="4" s="1"/>
  <c r="T204" i="13"/>
  <c r="T205" i="13" s="1"/>
  <c r="V204" i="13"/>
  <c r="V205" i="13" s="1"/>
  <c r="X207" i="13"/>
  <c r="X211" i="13" s="1"/>
  <c r="X212" i="13" s="1"/>
  <c r="T202" i="13"/>
  <c r="W202" i="13"/>
  <c r="L50" i="13"/>
  <c r="P50" i="13"/>
  <c r="O50" i="13" s="1"/>
  <c r="G36" i="4"/>
  <c r="W207" i="13"/>
  <c r="W209" i="13" s="1"/>
  <c r="W76" i="13"/>
  <c r="X76" i="13"/>
  <c r="U76" i="13"/>
  <c r="U79" i="13" s="1"/>
  <c r="U80" i="13" s="1"/>
  <c r="O79" i="13"/>
  <c r="T76" i="13"/>
  <c r="Y76" i="13"/>
  <c r="V76" i="13"/>
  <c r="R68" i="4"/>
  <c r="R97" i="4"/>
  <c r="R100" i="4"/>
  <c r="O161" i="4"/>
  <c r="H162" i="4" s="1"/>
  <c r="F32" i="4"/>
  <c r="E49" i="4"/>
  <c r="E58" i="4" s="1"/>
  <c r="F58" i="4" s="1"/>
  <c r="E45" i="4"/>
  <c r="F45" i="4" s="1"/>
  <c r="H29" i="4"/>
  <c r="N29" i="4" s="1"/>
  <c r="G32" i="4"/>
  <c r="H32" i="4" s="1"/>
  <c r="N32" i="4" s="1"/>
  <c r="H23" i="4"/>
  <c r="R23" i="4"/>
  <c r="Y154" i="13"/>
  <c r="O157" i="13"/>
  <c r="Q157" i="13" s="1"/>
  <c r="T154" i="13"/>
  <c r="Q150" i="13"/>
  <c r="V154" i="13"/>
  <c r="U154" i="13"/>
  <c r="X154" i="13"/>
  <c r="W154" i="13"/>
  <c r="T179" i="13"/>
  <c r="T184" i="13"/>
  <c r="T181" i="13"/>
  <c r="T182" i="13" s="1"/>
  <c r="K133" i="4"/>
  <c r="P134" i="4"/>
  <c r="X209" i="13"/>
  <c r="Y209" i="13"/>
  <c r="Y211" i="13"/>
  <c r="Y212" i="13" s="1"/>
  <c r="T74" i="13"/>
  <c r="Q79" i="13"/>
  <c r="Q72" i="13"/>
  <c r="M70" i="13"/>
  <c r="Q30" i="13"/>
  <c r="Q37" i="13"/>
  <c r="V34" i="13"/>
  <c r="U34" i="13"/>
  <c r="T34" i="13"/>
  <c r="R136" i="4"/>
  <c r="V181" i="13"/>
  <c r="V182" i="13" s="1"/>
  <c r="V184" i="13"/>
  <c r="V179" i="13"/>
  <c r="I49" i="11"/>
  <c r="L49" i="11" s="1"/>
  <c r="Q49" i="11" s="1"/>
  <c r="P49" i="11" s="1"/>
  <c r="M49" i="11"/>
  <c r="O49" i="11" s="1"/>
  <c r="C60" i="11"/>
  <c r="T14" i="13"/>
  <c r="T15" i="13" s="1"/>
  <c r="T12" i="13"/>
  <c r="T17" i="13"/>
  <c r="T98" i="13"/>
  <c r="Q229" i="13"/>
  <c r="O236" i="13"/>
  <c r="Q236" i="13" s="1"/>
  <c r="U184" i="13"/>
  <c r="U181" i="13"/>
  <c r="U182" i="13" s="1"/>
  <c r="U179" i="13"/>
  <c r="G126" i="4"/>
  <c r="G123" i="4"/>
  <c r="H123" i="4" s="1"/>
  <c r="N123" i="4" s="1"/>
  <c r="M123" i="4" s="1"/>
  <c r="T209" i="13"/>
  <c r="T211" i="13"/>
  <c r="T212" i="13" s="1"/>
  <c r="X124" i="13"/>
  <c r="T124" i="13"/>
  <c r="U124" i="13"/>
  <c r="O127" i="13"/>
  <c r="Q127" i="13" s="1"/>
  <c r="Y124" i="13"/>
  <c r="W124" i="13"/>
  <c r="Q120" i="13"/>
  <c r="V124" i="13"/>
  <c r="P20" i="11"/>
  <c r="R20" i="11" s="1"/>
  <c r="R16" i="11"/>
  <c r="V14" i="13"/>
  <c r="V15" i="13" s="1"/>
  <c r="V12" i="13"/>
  <c r="V17" i="13"/>
  <c r="U209" i="13"/>
  <c r="U211" i="13"/>
  <c r="U212" i="13" s="1"/>
  <c r="W184" i="13"/>
  <c r="W181" i="13"/>
  <c r="W182" i="13" s="1"/>
  <c r="W179" i="13"/>
  <c r="W211" i="13"/>
  <c r="W212" i="13" s="1"/>
  <c r="P42" i="11"/>
  <c r="R42" i="11" s="1"/>
  <c r="R38" i="11"/>
  <c r="Q243" i="13"/>
  <c r="O250" i="13"/>
  <c r="Q250" i="13" s="1"/>
  <c r="V211" i="13"/>
  <c r="V212" i="13" s="1"/>
  <c r="V209" i="13"/>
  <c r="X184" i="13"/>
  <c r="X181" i="13"/>
  <c r="X182" i="13" s="1"/>
  <c r="X179" i="13"/>
  <c r="P31" i="11"/>
  <c r="R31" i="11" s="1"/>
  <c r="R27" i="11"/>
  <c r="U14" i="13"/>
  <c r="U15" i="13" s="1"/>
  <c r="U17" i="13"/>
  <c r="U12" i="13"/>
  <c r="K98" i="13"/>
  <c r="U98" i="13" s="1"/>
  <c r="Y179" i="13"/>
  <c r="Y184" i="13"/>
  <c r="Y181" i="13"/>
  <c r="Y182" i="13" s="1"/>
  <c r="P96" i="13"/>
  <c r="O96" i="13" s="1"/>
  <c r="R5" i="11"/>
  <c r="P9" i="11"/>
  <c r="R9" i="11" s="1"/>
  <c r="P108" i="4"/>
  <c r="I158" i="4"/>
  <c r="K78" i="4"/>
  <c r="I164" i="4"/>
  <c r="M110" i="4"/>
  <c r="K113" i="4"/>
  <c r="P98" i="4"/>
  <c r="K107" i="4"/>
  <c r="K110" i="4"/>
  <c r="F94" i="4"/>
  <c r="H94" i="4"/>
  <c r="N94" i="4" s="1"/>
  <c r="F130" i="4"/>
  <c r="H91" i="4"/>
  <c r="N91" i="4" s="1"/>
  <c r="F91" i="4"/>
  <c r="M81" i="4"/>
  <c r="P79" i="4"/>
  <c r="M78" i="4"/>
  <c r="P82" i="4"/>
  <c r="K81" i="4"/>
  <c r="K104" i="4"/>
  <c r="M113" i="4"/>
  <c r="M104" i="4"/>
  <c r="K97" i="4"/>
  <c r="P101" i="4"/>
  <c r="M97" i="4"/>
  <c r="M100" i="4"/>
  <c r="P105" i="4"/>
  <c r="P114" i="4"/>
  <c r="K100" i="4"/>
  <c r="P159" i="4"/>
  <c r="M158" i="4"/>
  <c r="K158" i="4"/>
  <c r="M164" i="4"/>
  <c r="K164" i="4"/>
  <c r="P165" i="4"/>
  <c r="H210" i="4"/>
  <c r="G173" i="4"/>
  <c r="R173" i="4" s="1"/>
  <c r="V68" i="6"/>
  <c r="V70" i="6"/>
  <c r="V71" i="6" s="1"/>
  <c r="V47" i="6"/>
  <c r="V48" i="6" s="1"/>
  <c r="V45" i="6"/>
  <c r="T70" i="6"/>
  <c r="T71" i="6" s="1"/>
  <c r="T68" i="6"/>
  <c r="S47" i="6"/>
  <c r="S48" i="6" s="1"/>
  <c r="S45" i="6"/>
  <c r="U45" i="6"/>
  <c r="U47" i="6"/>
  <c r="U48" i="6" s="1"/>
  <c r="U70" i="6"/>
  <c r="U71" i="6" s="1"/>
  <c r="U68" i="6"/>
  <c r="T47" i="6"/>
  <c r="T48" i="6" s="1"/>
  <c r="T45" i="6"/>
  <c r="W45" i="6"/>
  <c r="W47" i="6"/>
  <c r="W48" i="6" s="1"/>
  <c r="W68" i="6"/>
  <c r="W70" i="6"/>
  <c r="W71" i="6" s="1"/>
  <c r="S70" i="6"/>
  <c r="S71" i="6" s="1"/>
  <c r="S68" i="6"/>
  <c r="X68" i="6"/>
  <c r="X70" i="6"/>
  <c r="X71" i="6" s="1"/>
  <c r="X47" i="6"/>
  <c r="X48" i="6" s="1"/>
  <c r="X45" i="6"/>
  <c r="M68" i="4"/>
  <c r="K68" i="4"/>
  <c r="P69" i="4"/>
  <c r="M65" i="4"/>
  <c r="K65" i="4"/>
  <c r="P66" i="4"/>
  <c r="M62" i="4"/>
  <c r="P63" i="4"/>
  <c r="K62" i="4"/>
  <c r="Q65" i="3"/>
  <c r="Q67" i="3"/>
  <c r="Q68" i="3" s="1"/>
  <c r="S67" i="3"/>
  <c r="S68" i="3" s="1"/>
  <c r="S65" i="3"/>
  <c r="R65" i="3"/>
  <c r="R67" i="3"/>
  <c r="R68" i="3" s="1"/>
  <c r="T65" i="3"/>
  <c r="T67" i="3"/>
  <c r="T68" i="3" s="1"/>
  <c r="U65" i="3"/>
  <c r="U67" i="3"/>
  <c r="U68" i="3" s="1"/>
  <c r="P67" i="3"/>
  <c r="P68" i="3" s="1"/>
  <c r="P65" i="3"/>
  <c r="R21" i="3"/>
  <c r="R22" i="3" s="1"/>
  <c r="R19" i="3"/>
  <c r="U45" i="3"/>
  <c r="U46" i="3" s="1"/>
  <c r="U43" i="3"/>
  <c r="Q21" i="3"/>
  <c r="Q22" i="3" s="1"/>
  <c r="Q19" i="3"/>
  <c r="T45" i="3"/>
  <c r="T46" i="3" s="1"/>
  <c r="T43" i="3"/>
  <c r="R45" i="3"/>
  <c r="R46" i="3" s="1"/>
  <c r="R43" i="3"/>
  <c r="P45" i="3"/>
  <c r="P46" i="3" s="1"/>
  <c r="P43" i="3"/>
  <c r="T21" i="3"/>
  <c r="T22" i="3" s="1"/>
  <c r="T19" i="3"/>
  <c r="P21" i="3"/>
  <c r="P22" i="3" s="1"/>
  <c r="P19" i="3"/>
  <c r="U21" i="3"/>
  <c r="U22" i="3" s="1"/>
  <c r="U19" i="3"/>
  <c r="Q43" i="3"/>
  <c r="Q45" i="3"/>
  <c r="Q46" i="3" s="1"/>
  <c r="S43" i="3"/>
  <c r="S45" i="3"/>
  <c r="S46" i="3" s="1"/>
  <c r="S21" i="3"/>
  <c r="S22" i="3" s="1"/>
  <c r="S19" i="3"/>
  <c r="K29" i="4" l="1"/>
  <c r="M29" i="4"/>
  <c r="O107" i="4"/>
  <c r="H108" i="4" s="1"/>
  <c r="O68" i="4"/>
  <c r="O97" i="4"/>
  <c r="H98" i="4" s="1"/>
  <c r="O62" i="4"/>
  <c r="H63" i="4" s="1"/>
  <c r="O65" i="4"/>
  <c r="O158" i="4"/>
  <c r="H159" i="4" s="1"/>
  <c r="O100" i="4"/>
  <c r="H101" i="4" s="1"/>
  <c r="O78" i="4"/>
  <c r="H79" i="4" s="1"/>
  <c r="O113" i="4"/>
  <c r="H114" i="4" s="1"/>
  <c r="O133" i="4"/>
  <c r="H134" i="4" s="1"/>
  <c r="O110" i="4"/>
  <c r="H111" i="4" s="1"/>
  <c r="O81" i="4"/>
  <c r="H82" i="4" s="1"/>
  <c r="O104" i="4"/>
  <c r="H105" i="4" s="1"/>
  <c r="W82" i="13"/>
  <c r="W77" i="13"/>
  <c r="W79" i="13"/>
  <c r="W80" i="13" s="1"/>
  <c r="V77" i="13"/>
  <c r="V82" i="13"/>
  <c r="V79" i="13"/>
  <c r="V80" i="13" s="1"/>
  <c r="G42" i="4"/>
  <c r="H42" i="4" s="1"/>
  <c r="N42" i="4" s="1"/>
  <c r="G45" i="4"/>
  <c r="H45" i="4" s="1"/>
  <c r="N45" i="4" s="1"/>
  <c r="Y82" i="13"/>
  <c r="Y79" i="13"/>
  <c r="Y80" i="13" s="1"/>
  <c r="Y77" i="13"/>
  <c r="W54" i="13"/>
  <c r="T54" i="13"/>
  <c r="V54" i="13"/>
  <c r="O57" i="13"/>
  <c r="Q57" i="13" s="1"/>
  <c r="X54" i="13"/>
  <c r="Y54" i="13"/>
  <c r="U54" i="13"/>
  <c r="Q50" i="13"/>
  <c r="T77" i="13"/>
  <c r="T82" i="13"/>
  <c r="T84" i="13" s="1"/>
  <c r="U82" i="13"/>
  <c r="U77" i="13"/>
  <c r="X82" i="13"/>
  <c r="X77" i="13"/>
  <c r="X79" i="13"/>
  <c r="X80" i="13" s="1"/>
  <c r="G49" i="4"/>
  <c r="G58" i="4" s="1"/>
  <c r="O164" i="4"/>
  <c r="H165" i="4" s="1"/>
  <c r="E52" i="4"/>
  <c r="E55" i="4"/>
  <c r="F55" i="4" s="1"/>
  <c r="F49" i="4"/>
  <c r="G130" i="4"/>
  <c r="H130" i="4" s="1"/>
  <c r="N130" i="4" s="1"/>
  <c r="M130" i="4" s="1"/>
  <c r="H126" i="4"/>
  <c r="N126" i="4" s="1"/>
  <c r="M126" i="4" s="1"/>
  <c r="M94" i="13"/>
  <c r="X127" i="13"/>
  <c r="X128" i="13" s="1"/>
  <c r="X125" i="13"/>
  <c r="X130" i="13"/>
  <c r="P53" i="11"/>
  <c r="R53" i="11" s="1"/>
  <c r="R49" i="11"/>
  <c r="U157" i="13"/>
  <c r="U158" i="13" s="1"/>
  <c r="U155" i="13"/>
  <c r="U160" i="13"/>
  <c r="U127" i="13"/>
  <c r="U128" i="13" s="1"/>
  <c r="U125" i="13"/>
  <c r="U130" i="13"/>
  <c r="U37" i="13"/>
  <c r="U38" i="13" s="1"/>
  <c r="U35" i="13"/>
  <c r="U40" i="13"/>
  <c r="T79" i="13"/>
  <c r="T80" i="13" s="1"/>
  <c r="V157" i="13"/>
  <c r="V158" i="13" s="1"/>
  <c r="V155" i="13"/>
  <c r="V160" i="13"/>
  <c r="W188" i="13"/>
  <c r="W189" i="13" s="1"/>
  <c r="W186" i="13"/>
  <c r="V100" i="13"/>
  <c r="U100" i="13"/>
  <c r="W100" i="13"/>
  <c r="Q96" i="13"/>
  <c r="X100" i="13"/>
  <c r="O103" i="13"/>
  <c r="Q103" i="13" s="1"/>
  <c r="Y100" i="13"/>
  <c r="T100" i="13"/>
  <c r="Y186" i="13"/>
  <c r="Y188" i="13"/>
  <c r="Y189" i="13" s="1"/>
  <c r="X186" i="13"/>
  <c r="X188" i="13"/>
  <c r="X189" i="13" s="1"/>
  <c r="T127" i="13"/>
  <c r="T128" i="13" s="1"/>
  <c r="T130" i="13"/>
  <c r="T125" i="13"/>
  <c r="V188" i="13"/>
  <c r="V189" i="13" s="1"/>
  <c r="V186" i="13"/>
  <c r="V37" i="13"/>
  <c r="V38" i="13" s="1"/>
  <c r="V40" i="13"/>
  <c r="V35" i="13"/>
  <c r="T19" i="13"/>
  <c r="T21" i="13"/>
  <c r="T22" i="13" s="1"/>
  <c r="T157" i="13"/>
  <c r="T158" i="13" s="1"/>
  <c r="T160" i="13"/>
  <c r="T155" i="13"/>
  <c r="K136" i="4"/>
  <c r="P137" i="4"/>
  <c r="Y155" i="13"/>
  <c r="Y157" i="13"/>
  <c r="Y158" i="13" s="1"/>
  <c r="Y160" i="13"/>
  <c r="V19" i="13"/>
  <c r="V21" i="13"/>
  <c r="V22" i="13" s="1"/>
  <c r="W127" i="13"/>
  <c r="W128" i="13" s="1"/>
  <c r="W125" i="13"/>
  <c r="W130" i="13"/>
  <c r="U188" i="13"/>
  <c r="U189" i="13" s="1"/>
  <c r="U186" i="13"/>
  <c r="M60" i="11"/>
  <c r="O60" i="11" s="1"/>
  <c r="I60" i="11"/>
  <c r="L60" i="11" s="1"/>
  <c r="Q60" i="11" s="1"/>
  <c r="P60" i="11" s="1"/>
  <c r="C71" i="11"/>
  <c r="W157" i="13"/>
  <c r="W158" i="13" s="1"/>
  <c r="W155" i="13"/>
  <c r="W160" i="13"/>
  <c r="U21" i="13"/>
  <c r="U22" i="13" s="1"/>
  <c r="U19" i="13"/>
  <c r="Y127" i="13"/>
  <c r="Y128" i="13" s="1"/>
  <c r="Y130" i="13"/>
  <c r="Y125" i="13"/>
  <c r="T188" i="13"/>
  <c r="T189" i="13" s="1"/>
  <c r="T186" i="13"/>
  <c r="X157" i="13"/>
  <c r="X158" i="13" s="1"/>
  <c r="X160" i="13"/>
  <c r="X155" i="13"/>
  <c r="V127" i="13"/>
  <c r="V128" i="13" s="1"/>
  <c r="V125" i="13"/>
  <c r="V130" i="13"/>
  <c r="T37" i="13"/>
  <c r="T38" i="13" s="1"/>
  <c r="T35" i="13"/>
  <c r="T40" i="13"/>
  <c r="R91" i="4"/>
  <c r="R94" i="4"/>
  <c r="H173" i="4"/>
  <c r="N173" i="4" s="1"/>
  <c r="M32" i="4" l="1"/>
  <c r="O136" i="4"/>
  <c r="H137" i="4" s="1"/>
  <c r="T86" i="13"/>
  <c r="T87" i="13" s="1"/>
  <c r="U84" i="13"/>
  <c r="U86" i="13"/>
  <c r="U87" i="13" s="1"/>
  <c r="V55" i="13"/>
  <c r="V60" i="13"/>
  <c r="V57" i="13"/>
  <c r="V58" i="13" s="1"/>
  <c r="T60" i="13"/>
  <c r="T55" i="13"/>
  <c r="T57" i="13"/>
  <c r="T58" i="13" s="1"/>
  <c r="V86" i="13"/>
  <c r="V87" i="13" s="1"/>
  <c r="V84" i="13"/>
  <c r="X57" i="13"/>
  <c r="X58" i="13" s="1"/>
  <c r="X55" i="13"/>
  <c r="X60" i="13"/>
  <c r="W60" i="13"/>
  <c r="W57" i="13"/>
  <c r="W58" i="13" s="1"/>
  <c r="W55" i="13"/>
  <c r="X84" i="13"/>
  <c r="X86" i="13"/>
  <c r="X87" i="13" s="1"/>
  <c r="U60" i="13"/>
  <c r="U55" i="13"/>
  <c r="U57" i="13"/>
  <c r="U58" i="13" s="1"/>
  <c r="H49" i="4"/>
  <c r="Y57" i="13"/>
  <c r="Y58" i="13" s="1"/>
  <c r="Y60" i="13"/>
  <c r="Y55" i="13"/>
  <c r="Y86" i="13"/>
  <c r="Y87" i="13" s="1"/>
  <c r="Y84" i="13"/>
  <c r="W84" i="13"/>
  <c r="W86" i="13"/>
  <c r="W87" i="13" s="1"/>
  <c r="H58" i="4"/>
  <c r="N58" i="4" s="1"/>
  <c r="R58" i="4"/>
  <c r="G52" i="4"/>
  <c r="G55" i="4" s="1"/>
  <c r="H36" i="4"/>
  <c r="N36" i="4" s="1"/>
  <c r="G39" i="4"/>
  <c r="H39" i="4" s="1"/>
  <c r="N39" i="4" s="1"/>
  <c r="R130" i="4"/>
  <c r="T42" i="13"/>
  <c r="T44" i="13"/>
  <c r="T45" i="13" s="1"/>
  <c r="V164" i="13"/>
  <c r="V165" i="13" s="1"/>
  <c r="V162" i="13"/>
  <c r="U132" i="13"/>
  <c r="U134" i="13"/>
  <c r="U135" i="13" s="1"/>
  <c r="U164" i="13"/>
  <c r="U165" i="13" s="1"/>
  <c r="U162" i="13"/>
  <c r="X106" i="13"/>
  <c r="X103" i="13"/>
  <c r="X104" i="13" s="1"/>
  <c r="X101" i="13"/>
  <c r="W132" i="13"/>
  <c r="W134" i="13"/>
  <c r="W135" i="13" s="1"/>
  <c r="W164" i="13"/>
  <c r="W165" i="13" s="1"/>
  <c r="W162" i="13"/>
  <c r="M71" i="11"/>
  <c r="O71" i="11" s="1"/>
  <c r="I71" i="11"/>
  <c r="L71" i="11" s="1"/>
  <c r="Q71" i="11" s="1"/>
  <c r="P71" i="11" s="1"/>
  <c r="C82" i="11"/>
  <c r="V42" i="13"/>
  <c r="V44" i="13"/>
  <c r="V45" i="13" s="1"/>
  <c r="W103" i="13"/>
  <c r="W104" i="13" s="1"/>
  <c r="W106" i="13"/>
  <c r="W101" i="13"/>
  <c r="Y164" i="13"/>
  <c r="Y165" i="13" s="1"/>
  <c r="Y162" i="13"/>
  <c r="U101" i="13"/>
  <c r="U106" i="13"/>
  <c r="U103" i="13"/>
  <c r="U104" i="13" s="1"/>
  <c r="X162" i="13"/>
  <c r="X164" i="13"/>
  <c r="X165" i="13" s="1"/>
  <c r="V103" i="13"/>
  <c r="V104" i="13" s="1"/>
  <c r="V106" i="13"/>
  <c r="V101" i="13"/>
  <c r="U42" i="13"/>
  <c r="U44" i="13"/>
  <c r="U45" i="13" s="1"/>
  <c r="X132" i="13"/>
  <c r="X134" i="13"/>
  <c r="X135" i="13" s="1"/>
  <c r="P64" i="11"/>
  <c r="R64" i="11" s="1"/>
  <c r="R60" i="11"/>
  <c r="V134" i="13"/>
  <c r="V135" i="13" s="1"/>
  <c r="V132" i="13"/>
  <c r="Y132" i="13"/>
  <c r="Y134" i="13"/>
  <c r="Y135" i="13" s="1"/>
  <c r="T162" i="13"/>
  <c r="T164" i="13"/>
  <c r="T165" i="13" s="1"/>
  <c r="T103" i="13"/>
  <c r="T104" i="13" s="1"/>
  <c r="T101" i="13"/>
  <c r="T106" i="13"/>
  <c r="T134" i="13"/>
  <c r="T135" i="13" s="1"/>
  <c r="T132" i="13"/>
  <c r="Y101" i="13"/>
  <c r="Y103" i="13"/>
  <c r="Y104" i="13" s="1"/>
  <c r="Y106" i="13"/>
  <c r="P131" i="4"/>
  <c r="P95" i="4"/>
  <c r="K94" i="4"/>
  <c r="M94" i="4"/>
  <c r="P92" i="4"/>
  <c r="K91" i="4"/>
  <c r="M91" i="4"/>
  <c r="K130" i="4"/>
  <c r="K179" i="4"/>
  <c r="P180" i="4"/>
  <c r="M179" i="4"/>
  <c r="I179" i="4"/>
  <c r="K173" i="4"/>
  <c r="P174" i="4"/>
  <c r="M173" i="4"/>
  <c r="I173" i="4"/>
  <c r="O91" i="4" l="1"/>
  <c r="H92" i="4" s="1"/>
  <c r="O94" i="4"/>
  <c r="H95" i="4" s="1"/>
  <c r="O130" i="4"/>
  <c r="H131" i="4" s="1"/>
  <c r="Y64" i="13"/>
  <c r="Y65" i="13" s="1"/>
  <c r="Y62" i="13"/>
  <c r="W64" i="13"/>
  <c r="W65" i="13" s="1"/>
  <c r="W62" i="13"/>
  <c r="T62" i="13"/>
  <c r="T64" i="13"/>
  <c r="T65" i="13" s="1"/>
  <c r="X64" i="13"/>
  <c r="X65" i="13" s="1"/>
  <c r="X62" i="13"/>
  <c r="V64" i="13"/>
  <c r="V65" i="13" s="1"/>
  <c r="V62" i="13"/>
  <c r="U62" i="13"/>
  <c r="U64" i="13"/>
  <c r="U65" i="13" s="1"/>
  <c r="K58" i="4"/>
  <c r="P59" i="4"/>
  <c r="M58" i="4"/>
  <c r="O179" i="4"/>
  <c r="H52" i="4"/>
  <c r="N52" i="4" s="1"/>
  <c r="H55" i="4"/>
  <c r="N55" i="4" s="1"/>
  <c r="R55" i="4"/>
  <c r="X108" i="13"/>
  <c r="X110" i="13"/>
  <c r="X111" i="13" s="1"/>
  <c r="W108" i="13"/>
  <c r="W110" i="13"/>
  <c r="W111" i="13" s="1"/>
  <c r="V108" i="13"/>
  <c r="V110" i="13"/>
  <c r="V111" i="13" s="1"/>
  <c r="T108" i="13"/>
  <c r="T110" i="13"/>
  <c r="T111" i="13" s="1"/>
  <c r="U108" i="13"/>
  <c r="U110" i="13"/>
  <c r="U111" i="13" s="1"/>
  <c r="M82" i="11"/>
  <c r="O82" i="11" s="1"/>
  <c r="I82" i="11"/>
  <c r="L82" i="11" s="1"/>
  <c r="Q82" i="11" s="1"/>
  <c r="P82" i="11" s="1"/>
  <c r="Y108" i="13"/>
  <c r="Y110" i="13"/>
  <c r="Y111" i="13" s="1"/>
  <c r="P75" i="11"/>
  <c r="R75" i="11" s="1"/>
  <c r="R71" i="11"/>
  <c r="O173" i="4"/>
  <c r="O58" i="4" l="1"/>
  <c r="H59" i="4" s="1"/>
  <c r="K55" i="4"/>
  <c r="P56" i="4"/>
  <c r="M55" i="4"/>
  <c r="P86" i="11"/>
  <c r="R86" i="11" s="1"/>
  <c r="R82" i="11"/>
  <c r="H174" i="4"/>
  <c r="H180" i="4"/>
  <c r="O55" i="4" l="1"/>
  <c r="H56" i="4" s="1"/>
  <c r="F19" i="4"/>
  <c r="F6" i="4" l="1"/>
  <c r="R6" i="4" l="1"/>
  <c r="R32" i="4" l="1"/>
  <c r="F74" i="4"/>
  <c r="F71" i="4"/>
  <c r="R11" i="4"/>
  <c r="R16" i="4"/>
  <c r="R120" i="4"/>
  <c r="R29" i="4"/>
  <c r="F123" i="4"/>
  <c r="F120" i="4"/>
  <c r="F126" i="4"/>
  <c r="F140" i="4"/>
  <c r="F36" i="4"/>
  <c r="R26" i="4"/>
  <c r="P33" i="4" l="1"/>
  <c r="K32" i="4"/>
  <c r="O32" i="4" s="1"/>
  <c r="P121" i="4"/>
  <c r="K120" i="4"/>
  <c r="M11" i="4"/>
  <c r="K11" i="4"/>
  <c r="P12" i="4"/>
  <c r="M146" i="4"/>
  <c r="M140" i="4"/>
  <c r="M143" i="4"/>
  <c r="R71" i="4"/>
  <c r="M152" i="4"/>
  <c r="M149" i="4"/>
  <c r="F39" i="4"/>
  <c r="F52" i="4"/>
  <c r="H84" i="4"/>
  <c r="N84" i="4" s="1"/>
  <c r="H87" i="4"/>
  <c r="N87" i="4" s="1"/>
  <c r="O120" i="4" l="1"/>
  <c r="H121" i="4" s="1"/>
  <c r="O11" i="4"/>
  <c r="H12" i="4" s="1"/>
  <c r="R74" i="4"/>
  <c r="H74" i="4"/>
  <c r="N74" i="4" s="1"/>
  <c r="Q74" i="4" s="1"/>
  <c r="P30" i="4"/>
  <c r="O29" i="4" s="1"/>
  <c r="H30" i="4" s="1"/>
  <c r="R123" i="4"/>
  <c r="R126" i="4"/>
  <c r="R143" i="4"/>
  <c r="R149" i="4"/>
  <c r="R140" i="4"/>
  <c r="R152" i="4"/>
  <c r="R146" i="4"/>
  <c r="M71" i="4"/>
  <c r="K71" i="4"/>
  <c r="P72" i="4"/>
  <c r="R52" i="4"/>
  <c r="R84" i="4"/>
  <c r="R87" i="4"/>
  <c r="O71" i="4" l="1"/>
  <c r="K143" i="4"/>
  <c r="P144" i="4"/>
  <c r="K152" i="4"/>
  <c r="P153" i="4"/>
  <c r="K149" i="4"/>
  <c r="P150" i="4"/>
  <c r="K123" i="4"/>
  <c r="P124" i="4"/>
  <c r="K126" i="4"/>
  <c r="P127" i="4"/>
  <c r="P147" i="4"/>
  <c r="K146" i="4"/>
  <c r="P141" i="4"/>
  <c r="K140" i="4"/>
  <c r="M87" i="4"/>
  <c r="K87" i="4"/>
  <c r="P88" i="4"/>
  <c r="R39" i="4"/>
  <c r="P85" i="4"/>
  <c r="M84" i="4"/>
  <c r="K84" i="4"/>
  <c r="R49" i="4"/>
  <c r="R36" i="4"/>
  <c r="K52" i="4"/>
  <c r="P53" i="4"/>
  <c r="M52" i="4"/>
  <c r="R42" i="4"/>
  <c r="R45" i="4"/>
  <c r="O146" i="4" l="1"/>
  <c r="H147" i="4" s="1"/>
  <c r="O143" i="4"/>
  <c r="H144" i="4" s="1"/>
  <c r="O52" i="4"/>
  <c r="H53" i="4" s="1"/>
  <c r="O87" i="4"/>
  <c r="H88" i="4" s="1"/>
  <c r="O149" i="4"/>
  <c r="H150" i="4" s="1"/>
  <c r="K74" i="4"/>
  <c r="O84" i="4"/>
  <c r="H85" i="4" s="1"/>
  <c r="O140" i="4"/>
  <c r="H141" i="4" s="1"/>
  <c r="O152" i="4"/>
  <c r="O123" i="4"/>
  <c r="H124" i="4" s="1"/>
  <c r="O126" i="4"/>
  <c r="H127" i="4" s="1"/>
  <c r="M74" i="4"/>
  <c r="P75" i="4"/>
  <c r="P50" i="4"/>
  <c r="K49" i="4"/>
  <c r="M49" i="4"/>
  <c r="K39" i="4"/>
  <c r="M39" i="4"/>
  <c r="P40" i="4"/>
  <c r="K36" i="4"/>
  <c r="P37" i="4"/>
  <c r="M36" i="4"/>
  <c r="M45" i="4"/>
  <c r="K45" i="4"/>
  <c r="P46" i="4"/>
  <c r="O74" i="4" l="1"/>
  <c r="O39" i="4"/>
  <c r="O36" i="4"/>
  <c r="O45" i="4"/>
  <c r="O49" i="4"/>
  <c r="H50" i="4" s="1"/>
  <c r="M42" i="4" l="1"/>
  <c r="P43" i="4"/>
  <c r="K42" i="4"/>
  <c r="O42" i="4" l="1"/>
  <c r="N26" i="4" l="1"/>
  <c r="M26" i="4" s="1"/>
  <c r="P27" i="4" l="1"/>
  <c r="K26" i="4"/>
  <c r="O26" i="4" l="1"/>
  <c r="N6" i="4"/>
  <c r="P7" i="4" l="1"/>
  <c r="K6" i="4"/>
  <c r="M6" i="4"/>
  <c r="O6" i="4" s="1"/>
  <c r="N16" i="4"/>
  <c r="O7" i="4" l="1"/>
  <c r="H7" i="4"/>
  <c r="M16" i="4"/>
  <c r="K16" i="4"/>
  <c r="P17" i="4"/>
  <c r="N19" i="4"/>
  <c r="O16" i="4" l="1"/>
  <c r="H17" i="4" s="1"/>
  <c r="M19" i="4"/>
  <c r="K19" i="4"/>
  <c r="P20" i="4"/>
  <c r="N23" i="4"/>
  <c r="O19" i="4" l="1"/>
  <c r="H20" i="4" s="1"/>
  <c r="M23" i="4"/>
  <c r="O23" i="4" s="1"/>
  <c r="H24" i="4" s="1"/>
  <c r="K23" i="4"/>
  <c r="P24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<sst xmlns="http://schemas.openxmlformats.org/spreadsheetml/2006/main" count="2769" uniqueCount="521">
  <si>
    <t>Mini Recuerdo</t>
  </si>
  <si>
    <t>Choco</t>
  </si>
  <si>
    <t>Coloniales</t>
  </si>
  <si>
    <t>Chocolatinas Con Leche Colonial X 50un | MercadoLibre</t>
  </si>
  <si>
    <t>Etiqueta choco</t>
  </si>
  <si>
    <t>Tarjeta</t>
  </si>
  <si>
    <t>Costo total</t>
  </si>
  <si>
    <t>Ganancia</t>
  </si>
  <si>
    <t>EF.</t>
  </si>
  <si>
    <t>Transf.</t>
  </si>
  <si>
    <t>Chocolates</t>
  </si>
  <si>
    <t>Hojas</t>
  </si>
  <si>
    <t>Autodhesivas</t>
  </si>
  <si>
    <t>Fotografica</t>
  </si>
  <si>
    <t>Glossy Laser</t>
  </si>
  <si>
    <t>Papel Autoadhesivo A4 Brillante Laser Ilustración Adhesivo | Envío gratis</t>
  </si>
  <si>
    <t>Papel Fotográfico Autoadhesivo A4 Brillante Foil 100 Hojas | MercadoLibre</t>
  </si>
  <si>
    <t>Telada</t>
  </si>
  <si>
    <t>Papel Texturado Tarjeteria A4 250grs Opalina Mate Telado X20 | MercadoLibre</t>
  </si>
  <si>
    <t xml:space="preserve"> </t>
  </si>
  <si>
    <t>Impresión</t>
  </si>
  <si>
    <t>Por hoja</t>
  </si>
  <si>
    <t>Full</t>
  </si>
  <si>
    <t>Pastel</t>
  </si>
  <si>
    <t>Tinta Epson T544 Original 70 Ml X4 Colores 544 L3110 L3150 | Envío gratis</t>
  </si>
  <si>
    <t>Foil</t>
  </si>
  <si>
    <t>Papel Foil Metalizado Textil Para Telas Y Toner 32x6 Film | Envío gratis</t>
  </si>
  <si>
    <t>Chocos</t>
  </si>
  <si>
    <t>Eti. Choco</t>
  </si>
  <si>
    <t>Caja</t>
  </si>
  <si>
    <t>Base</t>
  </si>
  <si>
    <t>Cajas</t>
  </si>
  <si>
    <t>Indubox</t>
  </si>
  <si>
    <t>Cajita de 4</t>
  </si>
  <si>
    <t>50 Cajas Blancas Deslizantes D128 (16x4x2) Indubox | MercadoLibre</t>
  </si>
  <si>
    <t>Anvi</t>
  </si>
  <si>
    <t>4 chocos</t>
  </si>
  <si>
    <t>5 chocos</t>
  </si>
  <si>
    <t>8 chocos</t>
  </si>
  <si>
    <t>Eti. Chocos</t>
  </si>
  <si>
    <t>Eti Caja</t>
  </si>
  <si>
    <t>Extras</t>
  </si>
  <si>
    <t>Telgopor</t>
  </si>
  <si>
    <t>Opalina 210gr</t>
  </si>
  <si>
    <t>Gold</t>
  </si>
  <si>
    <t>Estamp Caja</t>
  </si>
  <si>
    <t>Georgalos</t>
  </si>
  <si>
    <t>Caja de 2</t>
  </si>
  <si>
    <t>Chocolatin Georgalos X 40 Unidades 8 Grms</t>
  </si>
  <si>
    <t>Doble menta</t>
  </si>
  <si>
    <t>D10</t>
  </si>
  <si>
    <t>Pack de Cajas Deslizantes 7x7x1 Blancas - MODELO D10</t>
  </si>
  <si>
    <t>Moño</t>
  </si>
  <si>
    <t>Cinta Raso</t>
  </si>
  <si>
    <t>Cinta Raso N2 - 1 cm x 10 metros | Tienda Online Candy Craft</t>
  </si>
  <si>
    <t>Eti choco</t>
  </si>
  <si>
    <t>Eti caja</t>
  </si>
  <si>
    <t>Caja de 2 Moño</t>
  </si>
  <si>
    <t>Chocolatinas con leche x 5 gr. - Pack de 10 cajas de 200 unidades - 082-62081</t>
  </si>
  <si>
    <t>500 Cajas Blancas Deslizantes D128 (16x4x2) - Modelos según tipo - D: Deslizantes estilo fosforeras - D128 (Base 16x4cm / Altura: 2cm)</t>
  </si>
  <si>
    <t>2000 Cajas Blancas Deslizantes D128 (16x4x2) - Modelos según tipo - D: Deslizantes estilo fosforeras - D128 (Base 16x4cm / Altura: 2cm)</t>
  </si>
  <si>
    <t>1000 Cajas Blancas Deslizantes D128 (16x4x2) - Modelos según tipo - D: Deslizantes estilo fosforeras - D128 (Base 16x4cm / Altura: 2cm)</t>
  </si>
  <si>
    <t>250 Cajas Blancas Deslizantes D128 (16x4x2) - Modelos según tipo - D: Deslizantes estilo fosforeras - D128 (Base 16x4cm / Altura: 2cm)</t>
  </si>
  <si>
    <t>Chocolatinas con leche x 5 gr. - 011-62079</t>
  </si>
  <si>
    <t>D128 x 100u</t>
  </si>
  <si>
    <t>Transf</t>
  </si>
  <si>
    <t>Classic</t>
  </si>
  <si>
    <t>Conitos</t>
  </si>
  <si>
    <t>Anillos</t>
  </si>
  <si>
    <t>Redonditos</t>
  </si>
  <si>
    <t>Gusanitos</t>
  </si>
  <si>
    <t>Ositos</t>
  </si>
  <si>
    <t>Moritas</t>
  </si>
  <si>
    <t>x gr</t>
  </si>
  <si>
    <t>Picada</t>
  </si>
  <si>
    <t>Choco Suelto</t>
  </si>
  <si>
    <t>Descuento</t>
  </si>
  <si>
    <t>MP</t>
  </si>
  <si>
    <t>Ganancia MP</t>
  </si>
  <si>
    <t>Ganan MP</t>
  </si>
  <si>
    <t>Total</t>
  </si>
  <si>
    <t xml:space="preserve">Ganancia trans </t>
  </si>
  <si>
    <t xml:space="preserve">Deluxe </t>
  </si>
  <si>
    <t>G. Transf</t>
  </si>
  <si>
    <t>G. MP</t>
  </si>
  <si>
    <t>Producto</t>
  </si>
  <si>
    <t>Unidades</t>
  </si>
  <si>
    <t>Envio</t>
  </si>
  <si>
    <t>Costo extra</t>
  </si>
  <si>
    <t>$ EN ML</t>
  </si>
  <si>
    <t>Cuanto queda</t>
  </si>
  <si>
    <t>Impuesto</t>
  </si>
  <si>
    <t xml:space="preserve">Por unidad  </t>
  </si>
  <si>
    <t>$ Transf</t>
  </si>
  <si>
    <t>6 chocos GOLD</t>
  </si>
  <si>
    <t>Cajita de 6</t>
  </si>
  <si>
    <t>6 chocos</t>
  </si>
  <si>
    <t>OO.++WTTTBYHJ*-.&gt;ZXV|</t>
  </si>
  <si>
    <t>Anchoero</t>
  </si>
  <si>
    <t>Frasco Anchoero Vidrio 100 Cc Con Tapa 48 Axial X35 Unidades | MercadoLibre</t>
  </si>
  <si>
    <t>100cc</t>
  </si>
  <si>
    <t>Chocos Sueltos</t>
  </si>
  <si>
    <t>Mini Recuerdos</t>
  </si>
  <si>
    <t>Caja Deluxe</t>
  </si>
  <si>
    <t>Vela Deluxe</t>
  </si>
  <si>
    <t>Vela Deluxe (tennesse)</t>
  </si>
  <si>
    <t>Tejido Base</t>
  </si>
  <si>
    <t>Tejido + Tarjeta</t>
  </si>
  <si>
    <t>Set invitados (menu+Indicador mesaetc)</t>
  </si>
  <si>
    <t>COSTO TOTAL</t>
  </si>
  <si>
    <t>costo unidad</t>
  </si>
  <si>
    <t>$ Venta Por Unidad</t>
  </si>
  <si>
    <t>Venta Total</t>
  </si>
  <si>
    <t>%</t>
  </si>
  <si>
    <t>Frasco</t>
  </si>
  <si>
    <t>Cera</t>
  </si>
  <si>
    <t>Etiqueta</t>
  </si>
  <si>
    <t>Esencia</t>
  </si>
  <si>
    <t>Pabilo+Ojalillo</t>
  </si>
  <si>
    <t>Argolla</t>
  </si>
  <si>
    <t>Bolsa</t>
  </si>
  <si>
    <t>Cera de soja ASTRA bpf - Nuevas Luces</t>
  </si>
  <si>
    <t>Ojalillo</t>
  </si>
  <si>
    <t>Ojalillo chico - Nuevas Luces</t>
  </si>
  <si>
    <t>Pegamento Ojalillo</t>
  </si>
  <si>
    <t>Pegamento para ojalillo en rollo x100 puntos - Nuevas Luces</t>
  </si>
  <si>
    <t>Transp Laser</t>
  </si>
  <si>
    <t>Opp Transparente A4 Vinilo Autoadhesivo X20u Papel P/ Laser | MercadoLibre</t>
  </si>
  <si>
    <t>Velas</t>
  </si>
  <si>
    <t>Esencia Coco&amp;vainilla Velas Soja Parafinas Pura 100% Intensa | MercadoLibre</t>
  </si>
  <si>
    <t>Esencias</t>
  </si>
  <si>
    <t>Hilo Dorado O Plateado Lurex Cola De Ratón Souvenir X100 Mts | MercadoLibre</t>
  </si>
  <si>
    <t>Lurex</t>
  </si>
  <si>
    <t>100cc  Esencia</t>
  </si>
  <si>
    <t>Vela Petit Fragancia</t>
  </si>
  <si>
    <t>Tejidos</t>
  </si>
  <si>
    <t>Cordon</t>
  </si>
  <si>
    <t>Hilo Algodon 36h Colores Macrame 3.5mm Mejor Calidad 100 Mts | MercadoLibre</t>
  </si>
  <si>
    <t>Cord exter</t>
  </si>
  <si>
    <t>Cord medio</t>
  </si>
  <si>
    <t>Cordon nudo</t>
  </si>
  <si>
    <t>Bolsas Polipropileno</t>
  </si>
  <si>
    <t>Bolsa De Polipropileno 4x25cm. Ideal Garrapiñadas X 100u. | MercadoLibre</t>
  </si>
  <si>
    <t>Kraft</t>
  </si>
  <si>
    <t>Papel Kraft A4 270gr Resma X50 Hojas Madera Misionero | MercadoLibre</t>
  </si>
  <si>
    <t>4x25</t>
  </si>
  <si>
    <t>Colgante tejido + tarjeta</t>
  </si>
  <si>
    <t>100 Bolsas Polipropileno 10x20+5 Cierre Adhesivo 40 Mic | MercadoLibre</t>
  </si>
  <si>
    <t>Tejido+Tarjeta</t>
  </si>
  <si>
    <t>10x20</t>
  </si>
  <si>
    <t xml:space="preserve">Florcitas </t>
  </si>
  <si>
    <t>Gancho</t>
  </si>
  <si>
    <t>Infinito + Tarjeta + Flores</t>
  </si>
  <si>
    <t>Mosquetón de Hierro 2 cm (mod. B) - ALMACEN DE ARMADO</t>
  </si>
  <si>
    <t>Mosqueton</t>
  </si>
  <si>
    <t>,</t>
  </si>
  <si>
    <t>Mercado Libre</t>
  </si>
  <si>
    <t>Procedencia</t>
  </si>
  <si>
    <t>Nombre</t>
  </si>
  <si>
    <t>Mini recuerdo</t>
  </si>
  <si>
    <t>Cantidad</t>
  </si>
  <si>
    <t>% a Brisa</t>
  </si>
  <si>
    <t>Fecha</t>
  </si>
  <si>
    <t>Vela tennese Comunion</t>
  </si>
  <si>
    <t>24 Vaso Wiskie Tennessee Para Velas Cera X Mayor | MercadoLibre</t>
  </si>
  <si>
    <t>tennesse</t>
  </si>
  <si>
    <t>$ venta ML</t>
  </si>
  <si>
    <t xml:space="preserve">Venta </t>
  </si>
  <si>
    <t>IG</t>
  </si>
  <si>
    <t>Beatriz</t>
  </si>
  <si>
    <t>WPP</t>
  </si>
  <si>
    <t>Magali</t>
  </si>
  <si>
    <t>Pagina</t>
  </si>
  <si>
    <t>eugenia</t>
  </si>
  <si>
    <t>IIBB</t>
  </si>
  <si>
    <t>Obra autoadhesiva</t>
  </si>
  <si>
    <t>Papel Autoadhesivo A4 Obra Mate 100 Hojas Blanco | MercadoLibre</t>
  </si>
  <si>
    <t>caja</t>
  </si>
  <si>
    <t>Pack de Cajas Blancas 8x8x10 cm - Modelo A32</t>
  </si>
  <si>
    <t>Tennesse</t>
  </si>
  <si>
    <t>Etiqueta caja</t>
  </si>
  <si>
    <t>Vela tennese Comunion con caja</t>
  </si>
  <si>
    <t>Silvina edith espindola</t>
  </si>
  <si>
    <t xml:space="preserve">Extra Con Foil </t>
  </si>
  <si>
    <t>Doble base telada detalles foil</t>
  </si>
  <si>
    <t>Estampa</t>
  </si>
  <si>
    <t>Opalina Cartulina A4 125 Hojas 210 Grs Chambril Blanco Liso | MercadoLibre</t>
  </si>
  <si>
    <t>Valeria Limonoff</t>
  </si>
  <si>
    <t>Stefano</t>
  </si>
  <si>
    <t>Telefono</t>
  </si>
  <si>
    <t>Octubre</t>
  </si>
  <si>
    <t>Meli</t>
  </si>
  <si>
    <t>Monica</t>
  </si>
  <si>
    <t>Geraldine desconfiada</t>
  </si>
  <si>
    <t>Papel Ilustración 300 Gramos A4 P/ Tarjetas Resma 100 Hojas Blanco | MercadoLibre</t>
  </si>
  <si>
    <t>300gr</t>
  </si>
  <si>
    <t>Señalador con choco</t>
  </si>
  <si>
    <t>Señalador Choco 17*6</t>
  </si>
  <si>
    <t>Mini recuerdo/separadores</t>
  </si>
  <si>
    <t>Nadia Staiano</t>
  </si>
  <si>
    <t>Julia Sansone</t>
  </si>
  <si>
    <t>Stickers</t>
  </si>
  <si>
    <t>Colgante tejido base</t>
  </si>
  <si>
    <t>Bolsa De Polipropileno 4x25cm. Ideal Garrapiñadas X 200 U. | MercadoLibre</t>
  </si>
  <si>
    <t>Bolsa Tejido base</t>
  </si>
  <si>
    <t>zafiro</t>
  </si>
  <si>
    <t xml:space="preserve"> chocos</t>
  </si>
  <si>
    <t>cajitas 4</t>
  </si>
  <si>
    <t>cajitas de 6</t>
  </si>
  <si>
    <t>Hojas teladas</t>
  </si>
  <si>
    <t>igual a 2000 mini recuerdos</t>
  </si>
  <si>
    <t>Carton Cartulina Triplex A4 300 Grs 100 Hojas Cajas Tapas | MercadoLibre</t>
  </si>
  <si>
    <t>Tarjeta con choco</t>
  </si>
  <si>
    <t>Dijes</t>
  </si>
  <si>
    <t xml:space="preserve">Cintas </t>
  </si>
  <si>
    <t>Raso N° 0</t>
  </si>
  <si>
    <t>Lurex N°0</t>
  </si>
  <si>
    <t>Dije de Fundición Letra A - ALMACEN DE ARMADO</t>
  </si>
  <si>
    <t>x letra</t>
  </si>
  <si>
    <t>x gramo</t>
  </si>
  <si>
    <t>Letras niquel</t>
  </si>
  <si>
    <t>surtidos niquel</t>
  </si>
  <si>
    <t>Surtido esmaltados</t>
  </si>
  <si>
    <t>c/u</t>
  </si>
  <si>
    <t>Cintas con choco simples</t>
  </si>
  <si>
    <t>Cinta comun</t>
  </si>
  <si>
    <t>Cinta Lurex</t>
  </si>
  <si>
    <t>Cinta Raso N0 - 3 mm x 50 metros - CandyCraft</t>
  </si>
  <si>
    <t>Cinta de Bebe Plateada Lurex | Tienda Online Candy Craft</t>
  </si>
  <si>
    <t>el metro</t>
  </si>
  <si>
    <t>Dije Letra</t>
  </si>
  <si>
    <t>dije letra</t>
  </si>
  <si>
    <t>Cintas con choco + dije esmaltado</t>
  </si>
  <si>
    <t>Cintas con choco Dije surtido</t>
  </si>
  <si>
    <t>Cintas con choco + dije letra</t>
  </si>
  <si>
    <t>dije surtidos</t>
  </si>
  <si>
    <t>Dije esmaltado</t>
  </si>
  <si>
    <t>Cintas con choco Holográfico</t>
  </si>
  <si>
    <t>Cintas con choco Holográfico + Dije letra</t>
  </si>
  <si>
    <t>Cintas con choco Holográfico + Dije surtido</t>
  </si>
  <si>
    <t>Cintas con choco Holográfico + Dije esmaltado</t>
  </si>
  <si>
    <t>dije surtido</t>
  </si>
  <si>
    <t>Holofan</t>
  </si>
  <si>
    <t>Holofan Art-jet Adhesivo Noche Estrellada A4 20 Hojas | MercadoLibre</t>
  </si>
  <si>
    <t>Etiqueta Tapa</t>
  </si>
  <si>
    <t>Costo real</t>
  </si>
  <si>
    <t xml:space="preserve">Etiqueta </t>
  </si>
  <si>
    <t>Chocos Armados</t>
  </si>
  <si>
    <t>Caja 22 chocos</t>
  </si>
  <si>
    <t>Caja 44 chocos</t>
  </si>
  <si>
    <t>Ig</t>
  </si>
  <si>
    <t>Brava</t>
  </si>
  <si>
    <t>11 2472-6058</t>
  </si>
  <si>
    <t>Claudia Galeano</t>
  </si>
  <si>
    <t>11 5629-1780</t>
  </si>
  <si>
    <t>Cris</t>
  </si>
  <si>
    <t>2235 22-6326</t>
  </si>
  <si>
    <t>Choco Cintas</t>
  </si>
  <si>
    <t>Strases final</t>
  </si>
  <si>
    <t>Costo</t>
  </si>
  <si>
    <t>Alejandra Beatríz Vecci de Massolo</t>
  </si>
  <si>
    <t>Petit Box</t>
  </si>
  <si>
    <t>GEORGINA VANESA PORTUGAL</t>
  </si>
  <si>
    <t>Borlas Flecos Hilos De Seda X 5 Unidades Varios Colores | MercadoLibre</t>
  </si>
  <si>
    <t>Borlas 13cm</t>
  </si>
  <si>
    <t xml:space="preserve">Impresión </t>
  </si>
  <si>
    <t>Pegamento</t>
  </si>
  <si>
    <t>Estampa cruz madera</t>
  </si>
  <si>
    <t xml:space="preserve">Cruz </t>
  </si>
  <si>
    <t xml:space="preserve">tarjeta frontal </t>
  </si>
  <si>
    <t>Borla</t>
  </si>
  <si>
    <t>Dijes Cruces Lisas De Madera Para Crucifijo Pack X 200 Pcs. | MercadoLibre</t>
  </si>
  <si>
    <t>Cruz madera</t>
  </si>
  <si>
    <t>Estampa Fondo Craft</t>
  </si>
  <si>
    <t>Papel Kraft A4 270gr Resma X50 Hojas Madera Misionero Marrón | MercadoLibre</t>
  </si>
  <si>
    <t xml:space="preserve">Cinta </t>
  </si>
  <si>
    <t>Cinta Trigal 10 mm x 10 metros - Comprar en CandyCraft</t>
  </si>
  <si>
    <t>Cinta trigo</t>
  </si>
  <si>
    <t>Caja Forense de la pampa</t>
  </si>
  <si>
    <t>2215 37-4454</t>
  </si>
  <si>
    <t>Cajita Gold</t>
  </si>
  <si>
    <t>Carla</t>
  </si>
  <si>
    <t>Comision MP</t>
  </si>
  <si>
    <t>IIBB CABA</t>
  </si>
  <si>
    <t>IIBB  Tucuman</t>
  </si>
  <si>
    <t>Retencion SIRTAC</t>
  </si>
  <si>
    <t>Paula Bianchi</t>
  </si>
  <si>
    <t>MELI</t>
  </si>
  <si>
    <t>WEB</t>
  </si>
  <si>
    <t>OTRO</t>
  </si>
  <si>
    <t>otro</t>
  </si>
  <si>
    <t>web</t>
  </si>
  <si>
    <t>meli</t>
  </si>
  <si>
    <t>ig</t>
  </si>
  <si>
    <t>FACTURADO</t>
  </si>
  <si>
    <t>GANANCIA</t>
  </si>
  <si>
    <t>BRISA</t>
  </si>
  <si>
    <t>MONOTRIBUTO</t>
  </si>
  <si>
    <t>Alejandra Leandro</t>
  </si>
  <si>
    <t>Ganancia transferencia</t>
  </si>
  <si>
    <t>Transferencia</t>
  </si>
  <si>
    <t>Mercado Pago</t>
  </si>
  <si>
    <t>Aumento</t>
  </si>
  <si>
    <t>descuento</t>
  </si>
  <si>
    <t>Descontar</t>
  </si>
  <si>
    <t>Antonella Tunut</t>
  </si>
  <si>
    <t>Noviembre</t>
  </si>
  <si>
    <t>Maria Marta derderian</t>
  </si>
  <si>
    <t>Marisa Borello</t>
  </si>
  <si>
    <t>Cajas 6 choco</t>
  </si>
  <si>
    <t>The park</t>
  </si>
  <si>
    <t>Romina Rojas</t>
  </si>
  <si>
    <t>D6 Gold</t>
  </si>
  <si>
    <t>Jennifer Ayala</t>
  </si>
  <si>
    <t>Completado</t>
  </si>
  <si>
    <t>Falta</t>
  </si>
  <si>
    <t>Federico Cunioli</t>
  </si>
  <si>
    <t>+54 9 11 5176-0510</t>
  </si>
  <si>
    <t>+54 9 11 4494-4551</t>
  </si>
  <si>
    <t>FACTURÓ</t>
  </si>
  <si>
    <t>Transf envio correo</t>
  </si>
  <si>
    <t>antonella tunut</t>
  </si>
  <si>
    <t>Pintura</t>
  </si>
  <si>
    <t xml:space="preserve">Aerosol </t>
  </si>
  <si>
    <t>BLACK</t>
  </si>
  <si>
    <t xml:space="preserve"> Fotografica</t>
  </si>
  <si>
    <t xml:space="preserve"> Foil</t>
  </si>
  <si>
    <t xml:space="preserve"> Laser</t>
  </si>
  <si>
    <t>Etiquetas de chocos</t>
  </si>
  <si>
    <t>Tapa Fotografica</t>
  </si>
  <si>
    <t>Tapa Foil</t>
  </si>
  <si>
    <t>Foil P/Deluxe</t>
  </si>
  <si>
    <t>11 5484-5699</t>
  </si>
  <si>
    <t>D2 moño</t>
  </si>
  <si>
    <t>Mariana Seren</t>
  </si>
  <si>
    <t>Alejandra Patricia</t>
  </si>
  <si>
    <t>11 5122-2668</t>
  </si>
  <si>
    <t>Mariana Moline</t>
  </si>
  <si>
    <t>the park</t>
  </si>
  <si>
    <t>Caja BLACK</t>
  </si>
  <si>
    <t>Choco armado</t>
  </si>
  <si>
    <t>María paula gomez</t>
  </si>
  <si>
    <t>María del carmen</t>
  </si>
  <si>
    <t>La de 90 años</t>
  </si>
  <si>
    <t>Anuncio nacimiento</t>
  </si>
  <si>
    <t>15 cenicienta</t>
  </si>
  <si>
    <t>fusion</t>
  </si>
  <si>
    <t>Dra Lezcano</t>
  </si>
  <si>
    <t>Bilbao Mabel Susana</t>
  </si>
  <si>
    <t>Maria Soledad Gomez</t>
  </si>
  <si>
    <t>Sabrina Gomez</t>
  </si>
  <si>
    <t>Lorena Flavia Kannan</t>
  </si>
  <si>
    <t>Alicia Beatriz</t>
  </si>
  <si>
    <t>11 6927-6234</t>
  </si>
  <si>
    <t>D2</t>
  </si>
  <si>
    <t>Mateo bautismo (D11)</t>
  </si>
  <si>
    <t>Marianela Pettineroli</t>
  </si>
  <si>
    <t>Egresado</t>
  </si>
  <si>
    <t>Ana Silvia Fernande</t>
  </si>
  <si>
    <t>Fotos viajes</t>
  </si>
  <si>
    <t>ESTADO</t>
  </si>
  <si>
    <t>Silvi</t>
  </si>
  <si>
    <t>Tobias</t>
  </si>
  <si>
    <t>1 3338-1163</t>
  </si>
  <si>
    <t>D6 Deluxe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</si>
  <si>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</si>
  <si>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</si>
  <si>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</si>
  <si>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</si>
  <si>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</si>
  <si>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</si>
  <si>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</si>
  <si>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</si>
  <si>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</si>
  <si>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Diciembre</t>
  </si>
  <si>
    <t>Packaging</t>
  </si>
  <si>
    <t>Nadia Vera</t>
  </si>
  <si>
    <t>Sol Armesto</t>
  </si>
  <si>
    <t>Cinthia Medina</t>
  </si>
  <si>
    <t>Rosario Cano</t>
  </si>
  <si>
    <t>Lorena Vanesa Ascione</t>
  </si>
  <si>
    <t>Malena XV</t>
  </si>
  <si>
    <t>D6 Classic</t>
  </si>
  <si>
    <t>Ana García</t>
  </si>
  <si>
    <t>Ariela Fefer</t>
  </si>
  <si>
    <t>St George</t>
  </si>
  <si>
    <t>Jessica Maria Celeste Villegas</t>
  </si>
  <si>
    <t>Jisela Maidana</t>
  </si>
  <si>
    <t>Chocos Colonial Usados</t>
  </si>
  <si>
    <t>NECESITO</t>
  </si>
  <si>
    <t>Marcelo Sigal</t>
  </si>
  <si>
    <t>Denise Raciti</t>
  </si>
  <si>
    <t>Vanina medina</t>
  </si>
  <si>
    <t>Marisol Curas</t>
  </si>
  <si>
    <t>Daniela Carmona</t>
  </si>
  <si>
    <t>Mar quijada</t>
  </si>
  <si>
    <t xml:space="preserve">Tefi Greco </t>
  </si>
  <si>
    <t>yaquelina paez</t>
  </si>
  <si>
    <t>Triplex 390gr</t>
  </si>
  <si>
    <t>Packaging mas Flex</t>
  </si>
  <si>
    <t>Mini recuerdos</t>
  </si>
  <si>
    <t>Petit Box N°4 Flex</t>
  </si>
  <si>
    <t>Triplex 300gr A4</t>
  </si>
  <si>
    <t>5ml</t>
  </si>
  <si>
    <t>hojas</t>
  </si>
  <si>
    <t xml:space="preserve">Ariela fefer </t>
  </si>
  <si>
    <t xml:space="preserve">Anabella Silvia chal </t>
  </si>
  <si>
    <t>Silvana Robel</t>
  </si>
  <si>
    <t>Diana Inchauspe</t>
  </si>
  <si>
    <t>EDIT NORA MAITINI</t>
  </si>
  <si>
    <t>cristian kilapi</t>
  </si>
  <si>
    <t>Maria Belen Argañaras</t>
  </si>
  <si>
    <t>Joana Fernandez Castro</t>
  </si>
  <si>
    <t>Ximena Anahi Barraza</t>
  </si>
  <si>
    <t>Liana Roxana Castello</t>
  </si>
  <si>
    <t>Sebastian Martinez Boichuk</t>
  </si>
  <si>
    <t>Miryam Edith Zavaley</t>
  </si>
  <si>
    <t>Marina Gisela di Fonzo</t>
  </si>
  <si>
    <t>Daniela Anahi Ramallo</t>
  </si>
  <si>
    <t>Veronica Andrea Surdo</t>
  </si>
  <si>
    <t>Mabel Susana Gazzero</t>
  </si>
  <si>
    <t>Horacio Atilio Ribero</t>
  </si>
  <si>
    <t>Andrea Natalia Castro</t>
  </si>
  <si>
    <t>Teresa Silvina Petracca</t>
  </si>
  <si>
    <t>Cristina Mabel Salatin</t>
  </si>
  <si>
    <t>Ximena Alejandra Cisneros</t>
  </si>
  <si>
    <t>Andrea Soledad Bidarra Font</t>
  </si>
  <si>
    <t>Martin Leonardo Cardenas</t>
  </si>
  <si>
    <t>Silvana Veronica Castagnari</t>
  </si>
  <si>
    <t>Carolina Elizabeth Baez</t>
  </si>
  <si>
    <t>Marina Vanesa Barbieri</t>
  </si>
  <si>
    <t>Patricia Analia Penna</t>
  </si>
  <si>
    <t>Caja 44 Chocos</t>
  </si>
  <si>
    <t>Señaladores</t>
  </si>
  <si>
    <t>Vela 100cc</t>
  </si>
  <si>
    <t>Vela 200cc</t>
  </si>
  <si>
    <t>Choco suelto simple o full color</t>
  </si>
  <si>
    <t>Cajita de 4 deluxe</t>
  </si>
  <si>
    <t>Black</t>
  </si>
  <si>
    <t>caja 44 chocos</t>
  </si>
  <si>
    <t>Envio entró</t>
  </si>
  <si>
    <t>Envio salio</t>
  </si>
  <si>
    <t/>
  </si>
  <si>
    <t>Envio quedó</t>
  </si>
  <si>
    <t>Costo fijo</t>
  </si>
  <si>
    <t>Cargo por venta</t>
  </si>
  <si>
    <t>"impuestos"</t>
  </si>
  <si>
    <t>Brisa</t>
  </si>
  <si>
    <t>Envio Flex</t>
  </si>
  <si>
    <t>FLEX</t>
  </si>
  <si>
    <t>Mercado Envíos Flex</t>
  </si>
  <si>
    <t>Correo y puntos de despacho</t>
  </si>
  <si>
    <t>Nombre  AD</t>
  </si>
  <si>
    <t>"impuestos" P</t>
  </si>
  <si>
    <t>Ganancias</t>
  </si>
  <si>
    <t>Facturacion</t>
  </si>
  <si>
    <t>Costos</t>
  </si>
  <si>
    <t xml:space="preserve">me quedó </t>
  </si>
  <si>
    <t>Me quedó</t>
  </si>
  <si>
    <t>Tarjetas Flex</t>
  </si>
  <si>
    <t>Daniela Gomez</t>
  </si>
  <si>
    <t xml:space="preserve">Envio </t>
  </si>
  <si>
    <t>CORREO</t>
  </si>
  <si>
    <t>AUTO</t>
  </si>
  <si>
    <t>DECOYA</t>
  </si>
  <si>
    <t>1er Impuesto 0,06</t>
  </si>
  <si>
    <t>2do impuesto 2%</t>
  </si>
  <si>
    <t>Florencia sufi</t>
  </si>
  <si>
    <t>RETIRO</t>
  </si>
  <si>
    <t>Florencia Franco</t>
  </si>
  <si>
    <t>Modo pago</t>
  </si>
  <si>
    <t>Credito</t>
  </si>
  <si>
    <t>Carina Manzano</t>
  </si>
  <si>
    <t>Choco Suelto +200</t>
  </si>
  <si>
    <t>Choco suelto +200</t>
  </si>
  <si>
    <t>María ines Monzo</t>
  </si>
  <si>
    <t>Lisi cas</t>
  </si>
  <si>
    <t>Myriam</t>
  </si>
  <si>
    <t>Horacio Ribero</t>
  </si>
  <si>
    <t>Sugus confitados</t>
  </si>
  <si>
    <t>Sugus</t>
  </si>
  <si>
    <t xml:space="preserve">Matelina </t>
  </si>
  <si>
    <t>Canvas Corteza De Pino 230g A4 50 Hojas Blanco | MercadoLibre</t>
  </si>
  <si>
    <t>Raso</t>
  </si>
  <si>
    <t>Bolsas Zipper Con Cierre Hermético Stendy 5x7 Cm Zip Pack X 500 Unidades | MercadoLibre</t>
  </si>
  <si>
    <t>5*7</t>
  </si>
  <si>
    <t>Ziploc</t>
  </si>
  <si>
    <t>Costo 10 U.</t>
  </si>
  <si>
    <t>Sobre corazones</t>
  </si>
  <si>
    <t>CORAZONITO</t>
  </si>
  <si>
    <t>G</t>
  </si>
  <si>
    <t>Globos 18"</t>
  </si>
  <si>
    <t>Globo Corazon 9"</t>
  </si>
  <si>
    <t>Globo Corazon 12"</t>
  </si>
  <si>
    <t>Globo Corazon 18"</t>
  </si>
  <si>
    <t>Tarjetas Firmes</t>
  </si>
  <si>
    <t>Petit Box N4</t>
  </si>
  <si>
    <t>Cajas de 6 Chocos GOLD</t>
  </si>
  <si>
    <t>Cajas GOLD</t>
  </si>
  <si>
    <t>Caja DELUXE</t>
  </si>
  <si>
    <t>Caja Classic</t>
  </si>
  <si>
    <t>Clasica</t>
  </si>
  <si>
    <t>Caja 2 Chocos</t>
  </si>
  <si>
    <t>Caja 2 Chocos MOÑO</t>
  </si>
  <si>
    <t>Caja De 6</t>
  </si>
  <si>
    <t>Señaladores Chocolate</t>
  </si>
  <si>
    <t>Vela 100cc Gold Fragancia</t>
  </si>
  <si>
    <t>Pack de Cajas 6x6x8,5 Kraft - MODELO A30</t>
  </si>
  <si>
    <t>A30 - 100cc</t>
  </si>
  <si>
    <t>Caramelera Circo</t>
  </si>
  <si>
    <t>Envase</t>
  </si>
  <si>
    <t>Cuanto $ Afuera</t>
  </si>
  <si>
    <t>$ C/U</t>
  </si>
  <si>
    <t>Vela 1-9</t>
  </si>
  <si>
    <t>20-49</t>
  </si>
  <si>
    <t>50-10000</t>
  </si>
  <si>
    <t xml:space="preserve"> 9-19</t>
  </si>
  <si>
    <t>Cera BPF</t>
  </si>
  <si>
    <t>CERA APF</t>
  </si>
  <si>
    <t>1 Kg Cera Soja Apf Alto Punto Fusión Para Moldes. | Envío gratis</t>
  </si>
  <si>
    <t xml:space="preserve">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</si>
</sst>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$&quot;\ #,##0.00;[Red]\-&quot;$&quot;\ #,##0.00"/>
    <numFmt numFmtId="44" formatCode="_-&quot;$&quot;\ * #,##0.00_-;\-&quot;$&quot;\ * #,##0.00_-;_-&quot;$&quot;\ * &quot;-&quot;??_-;_-@_-"/>
    <numFmt numFmtId="164" formatCode="&quot;$&quot;\ #,##0.00"/>
    <numFmt numFmtId="165" formatCode="&quot;$&quot;\ #,##0"/>
    <numFmt numFmtId="166" formatCode="&quot;$&quot;\ #,##0.0"/>
    <numFmt numFmtId="167" formatCode="&quot;$&quot;\ #,##0.000"/>
    <numFmt numFmtId="168" formatCode="0.0%"/>
  </numFmts>
  <fonts count="71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9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color theme="9" tint="-0.499984740745262"/>
      <name val="Aptos Narrow"/>
      <family val="2"/>
      <scheme val="minor"/>
    </font>
    <font>
      <u/>
      <sz val="10"/>
      <color theme="10"/>
      <name val="Aptos Narrow"/>
      <family val="2"/>
      <scheme val="minor"/>
    </font>
    <font>
      <b/>
      <sz val="10"/>
      <color rgb="FF726C7C"/>
      <name val="Aptos Narrow"/>
      <family val="2"/>
      <scheme val="minor"/>
    </font>
    <font>
      <b/>
      <sz val="10"/>
      <color theme="2" tint="-0.74999237037263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ptos Narrow"/>
      <family val="2"/>
      <scheme val="minor"/>
    </font>
    <font>
      <sz val="10"/>
      <name val="Aptos Narrow"/>
      <family val="2"/>
      <scheme val="minor"/>
    </font>
    <font>
      <sz val="9"/>
      <color theme="2" tint="-0.499984740745262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12"/>
      <color rgb="FFC00000"/>
      <name val="Aptos Narrow"/>
      <family val="2"/>
      <scheme val="minor"/>
    </font>
    <font>
      <sz val="8"/>
      <color rgb="FF000000"/>
      <name val="Segoe UI"/>
      <family val="2"/>
    </font>
    <font>
      <sz val="12"/>
      <color theme="2" tint="-0.499984740745262"/>
      <name val="Aptos Narrow"/>
      <family val="2"/>
      <scheme val="minor"/>
    </font>
    <font>
      <sz val="12"/>
      <color theme="2" tint="-9.9978637043366805E-2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color theme="9"/>
      <name val="Aptos Narrow"/>
      <family val="2"/>
      <scheme val="minor"/>
    </font>
    <font>
      <sz val="12"/>
      <color theme="3" tint="0.249977111117893"/>
      <name val="Aptos Narrow"/>
      <family val="2"/>
      <scheme val="minor"/>
    </font>
    <font>
      <sz val="12"/>
      <color theme="5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Arial"/>
      <family val="2"/>
    </font>
    <font>
      <sz val="12"/>
      <color theme="8" tint="-0.249977111117893"/>
      <name val="Aptos Narrow"/>
      <family val="2"/>
      <scheme val="minor"/>
    </font>
    <font>
      <sz val="16"/>
      <color theme="8" tint="-0.249977111117893"/>
      <name val="Aptos Narrow"/>
      <family val="2"/>
      <scheme val="minor"/>
    </font>
    <font>
      <b/>
      <sz val="20"/>
      <color theme="5" tint="-0.499984740745262"/>
      <name val="Aptos Narrow"/>
      <family val="2"/>
      <scheme val="minor"/>
    </font>
    <font>
      <sz val="16"/>
      <color theme="2" tint="-0.499984740745262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8"/>
      <color theme="2" tint="-0.499984740745262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6"/>
      <color theme="8" tint="-0.249977111117893"/>
      <name val="Abadi"/>
      <family val="2"/>
    </font>
    <font>
      <b/>
      <sz val="16"/>
      <color rgb="FFC00000"/>
      <name val="Aptos Narrow"/>
      <family val="2"/>
      <scheme val="minor"/>
    </font>
    <font>
      <b/>
      <sz val="16"/>
      <color rgb="FF960000"/>
      <name val="Aptos Narrow"/>
      <family val="2"/>
      <scheme val="minor"/>
    </font>
    <font>
      <b/>
      <sz val="16"/>
      <color theme="3" tint="9.9978637043366805E-2"/>
      <name val="Aptos Narrow"/>
      <family val="2"/>
      <scheme val="minor"/>
    </font>
    <font>
      <sz val="16"/>
      <color theme="5" tint="-0.249977111117893"/>
      <name val="Aptos Narrow"/>
      <family val="2"/>
      <scheme val="minor"/>
    </font>
    <font>
      <sz val="16"/>
      <color theme="9" tint="-0.249977111117893"/>
      <name val="Aptos Narrow"/>
      <family val="2"/>
      <scheme val="minor"/>
    </font>
    <font>
      <b/>
      <sz val="16"/>
      <color theme="9" tint="-0.249977111117893"/>
      <name val="Aptos Narrow"/>
      <family val="2"/>
      <scheme val="minor"/>
    </font>
    <font>
      <b/>
      <sz val="16"/>
      <color theme="5" tint="-0.499984740745262"/>
      <name val="Aptos Narrow"/>
      <family val="2"/>
      <scheme val="minor"/>
    </font>
    <font>
      <b/>
      <sz val="16"/>
      <color theme="1"/>
      <name val="Aharoni"/>
      <charset val="177"/>
    </font>
    <font>
      <sz val="16"/>
      <color theme="1"/>
      <name val="Aptos"/>
      <family val="2"/>
    </font>
    <font>
      <sz val="16"/>
      <name val="Aptos"/>
      <family val="2"/>
    </font>
    <font>
      <sz val="18"/>
      <color theme="9" tint="0.79998168889431442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10"/>
      <color rgb="FF3C434A"/>
      <name val="Segoe UI"/>
      <family val="2"/>
    </font>
    <font>
      <sz val="11"/>
      <color indexed="8"/>
      <name val="Aptos Narrow"/>
      <family val="2"/>
      <scheme val="minor"/>
    </font>
    <font>
      <sz val="10"/>
      <name val="Calibri"/>
      <family val="2"/>
    </font>
    <font>
      <sz val="14"/>
      <name val="Calibri"/>
      <family val="2"/>
    </font>
    <font>
      <b/>
      <sz val="12"/>
      <color theme="4"/>
      <name val="Aptos Narrow"/>
      <family val="2"/>
      <scheme val="minor"/>
    </font>
    <font>
      <b/>
      <sz val="12"/>
      <color theme="8" tint="-0.249977111117893"/>
      <name val="Aptos Narrow"/>
      <family val="2"/>
      <scheme val="minor"/>
    </font>
    <font>
      <sz val="16"/>
      <color theme="1"/>
      <name val="Aptos Light"/>
      <family val="2"/>
    </font>
    <font>
      <sz val="16"/>
      <name val="Aptos Light"/>
      <family val="2"/>
    </font>
    <font>
      <sz val="16"/>
      <color rgb="FF3C434A"/>
      <name val="Aptos Light"/>
      <family val="2"/>
    </font>
    <font>
      <sz val="12"/>
      <color theme="1"/>
      <name val="Aptos Light"/>
      <family val="2"/>
    </font>
    <font>
      <sz val="12"/>
      <color theme="9" tint="0.79998168889431442"/>
      <name val="Aptos Narrow"/>
      <family val="2"/>
      <scheme val="minor"/>
    </font>
    <font>
      <sz val="16"/>
      <name val="Calibri"/>
      <family val="2"/>
    </font>
    <font>
      <b/>
      <sz val="10"/>
      <color theme="6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22"/>
      <color theme="0"/>
      <name val="Aptos Narrow"/>
      <family val="2"/>
      <scheme val="minor"/>
    </font>
    <font>
      <sz val="18"/>
      <color theme="8" tint="-0.249977111117893"/>
      <name val="Abadi"/>
      <family val="2"/>
    </font>
    <font>
      <sz val="20"/>
      <color theme="8" tint="-0.249977111117893"/>
      <name val="Abadi"/>
      <family val="2"/>
    </font>
  </fonts>
  <fills count="38">
    <fill>
      <patternFill patternType="none"/>
    </fill>
    <fill>
      <patternFill patternType="gray125"/>
    </fill>
    <fill>
      <patternFill patternType="solid">
        <fgColor rgb="FFFF7C80"/>
        <bgColor indexed="64"/>
      </patternFill>
    </fill>
    <fill>
      <patternFill patternType="solid">
        <fgColor rgb="FFFFA3A5"/>
        <bgColor indexed="64"/>
      </patternFill>
    </fill>
    <fill>
      <patternFill patternType="solid">
        <fgColor rgb="FFFCBAF4"/>
        <bgColor indexed="64"/>
      </patternFill>
    </fill>
    <fill>
      <patternFill patternType="solid">
        <fgColor rgb="FFFECD86"/>
        <bgColor indexed="64"/>
      </patternFill>
    </fill>
    <fill>
      <patternFill patternType="solid">
        <fgColor rgb="FFF7C9C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A3A3"/>
        <bgColor indexed="64"/>
      </patternFill>
    </fill>
    <fill>
      <patternFill patternType="solid">
        <fgColor rgb="FFFFF085"/>
        <bgColor indexed="64"/>
      </patternFill>
    </fill>
    <fill>
      <patternFill patternType="solid">
        <fgColor rgb="FFFFA7A7"/>
        <bgColor indexed="64"/>
      </patternFill>
    </fill>
    <fill>
      <patternFill patternType="solid">
        <fgColor rgb="FFB1F6FD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D1D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B4F7FA"/>
        <bgColor indexed="64"/>
      </patternFill>
    </fill>
    <fill>
      <patternFill patternType="solid">
        <fgColor rgb="FFF6DAB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B7B9F7"/>
        <bgColor indexed="64"/>
      </patternFill>
    </fill>
    <fill>
      <patternFill patternType="solid">
        <fgColor rgb="FFD7C7A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DE4E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B7"/>
        <bgColor indexed="64"/>
      </patternFill>
    </fill>
    <fill>
      <patternFill patternType="solid">
        <fgColor rgb="FF960000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/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theme="2" tint="-9.9978637043366805E-2"/>
      </left>
      <right/>
      <top style="thin">
        <color theme="2" tint="-9.9978637043366805E-2"/>
      </top>
      <bottom/>
      <diagonal/>
    </border>
    <border>
      <left/>
      <right/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theme="2" tint="-9.9978637043366805E-2"/>
      </left>
      <right/>
      <top/>
      <bottom style="thin">
        <color theme="2" tint="-9.9978637043366805E-2"/>
      </bottom>
      <diagonal/>
    </border>
    <border>
      <left/>
      <right/>
      <top/>
      <bottom style="thin">
        <color theme="2" tint="-9.9978637043366805E-2"/>
      </bottom>
      <diagonal/>
    </border>
    <border>
      <left/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2" tint="-9.9978637043366805E-2"/>
      </left>
      <right style="thin">
        <color theme="2" tint="-9.9978637043366805E-2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indexed="64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theme="2" tint="-9.9978637043366805E-2"/>
      </left>
      <right/>
      <top/>
      <bottom/>
      <diagonal/>
    </border>
    <border>
      <left/>
      <right style="thin">
        <color theme="2" tint="-9.9978637043366805E-2"/>
      </right>
      <top/>
      <bottom/>
      <diagonal/>
    </border>
    <border>
      <left style="thin">
        <color theme="2" tint="-9.9978637043366805E-2"/>
      </left>
      <right style="thin">
        <color indexed="64"/>
      </right>
      <top style="thin">
        <color theme="2" tint="-9.9978637043366805E-2"/>
      </top>
      <bottom/>
      <diagonal/>
    </border>
    <border>
      <left style="thin">
        <color theme="2" tint="-9.9978637043366805E-2"/>
      </left>
      <right style="thin">
        <color indexed="64"/>
      </right>
      <top/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indexed="64"/>
      </top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indexed="64"/>
      </top>
      <bottom style="thin">
        <color theme="2" tint="-9.9978637043366805E-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0" fontId="1" fillId="0" borderId="0" applyNumberFormat="0" applyFill="0" applyBorder="0" applyAlignment="0" applyProtection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5" fillId="0" borderId="0">
      <alignment horizontal="center"/>
    </xf>
    <xf numFmtId="0" fontId="55" fillId="0" borderId="0"/>
  </cellStyleXfs>
  <cellXfs count="581">
    <xf numFmtId="0" fontId="0" fillId="0" borderId="0" xfId="0"/>
    <xf numFmtId="0" fontId="1" fillId="0" borderId="0" xfId="1"/>
    <xf numFmtId="164" fontId="0" fillId="0" borderId="0" xfId="0" applyNumberFormat="1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6" xfId="0" applyBorder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1" applyAlignment="1">
      <alignment horizontal="center"/>
    </xf>
    <xf numFmtId="0" fontId="1" fillId="0" borderId="1" xfId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5" borderId="7" xfId="0" applyFill="1" applyBorder="1" applyAlignment="1">
      <alignment horizontal="center"/>
    </xf>
    <xf numFmtId="165" fontId="0" fillId="0" borderId="0" xfId="0" applyNumberFormat="1" applyAlignment="1">
      <alignment horizontal="center"/>
    </xf>
    <xf numFmtId="165" fontId="0" fillId="6" borderId="0" xfId="0" applyNumberFormat="1" applyFill="1" applyAlignment="1">
      <alignment horizontal="center"/>
    </xf>
    <xf numFmtId="165" fontId="0" fillId="0" borderId="4" xfId="0" applyNumberFormat="1" applyBorder="1" applyAlignment="1">
      <alignment horizontal="center"/>
    </xf>
    <xf numFmtId="165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164" fontId="0" fillId="3" borderId="0" xfId="0" applyNumberFormat="1" applyFill="1" applyAlignment="1">
      <alignment horizontal="center"/>
    </xf>
    <xf numFmtId="0" fontId="5" fillId="0" borderId="0" xfId="0" applyFont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0" applyNumberFormat="1"/>
    <xf numFmtId="0" fontId="1" fillId="0" borderId="1" xfId="1" applyBorder="1"/>
    <xf numFmtId="0" fontId="0" fillId="0" borderId="4" xfId="0" applyBorder="1" applyAlignment="1">
      <alignment horizontal="center"/>
    </xf>
    <xf numFmtId="165" fontId="0" fillId="6" borderId="4" xfId="0" applyNumberFormat="1" applyFill="1" applyBorder="1" applyAlignment="1">
      <alignment horizontal="center"/>
    </xf>
    <xf numFmtId="165" fontId="0" fillId="0" borderId="6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165" fontId="0" fillId="0" borderId="7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center"/>
    </xf>
    <xf numFmtId="164" fontId="7" fillId="0" borderId="0" xfId="0" applyNumberFormat="1" applyFont="1"/>
    <xf numFmtId="0" fontId="8" fillId="0" borderId="0" xfId="0" applyFont="1"/>
    <xf numFmtId="165" fontId="2" fillId="0" borderId="0" xfId="0" applyNumberFormat="1" applyFont="1" applyAlignment="1">
      <alignment horizontal="center" vertical="center"/>
    </xf>
    <xf numFmtId="165" fontId="6" fillId="0" borderId="0" xfId="0" applyNumberFormat="1" applyFont="1" applyAlignment="1">
      <alignment horizontal="center"/>
    </xf>
    <xf numFmtId="165" fontId="2" fillId="0" borderId="10" xfId="0" applyNumberFormat="1" applyFont="1" applyBorder="1"/>
    <xf numFmtId="165" fontId="2" fillId="17" borderId="10" xfId="0" applyNumberFormat="1" applyFont="1" applyFill="1" applyBorder="1" applyAlignment="1">
      <alignment horizontal="center" vertical="center" wrapText="1"/>
    </xf>
    <xf numFmtId="165" fontId="2" fillId="0" borderId="13" xfId="2" applyNumberFormat="1" applyFont="1" applyFill="1" applyBorder="1" applyAlignment="1">
      <alignment horizontal="center" vertical="center"/>
    </xf>
    <xf numFmtId="165" fontId="2" fillId="0" borderId="20" xfId="2" applyNumberFormat="1" applyFont="1" applyFill="1" applyBorder="1" applyAlignment="1">
      <alignment horizontal="center" vertical="center"/>
    </xf>
    <xf numFmtId="165" fontId="2" fillId="19" borderId="10" xfId="2" applyNumberFormat="1" applyFont="1" applyFill="1" applyBorder="1" applyAlignment="1">
      <alignment horizontal="center" vertical="center"/>
    </xf>
    <xf numFmtId="165" fontId="10" fillId="8" borderId="10" xfId="2" applyNumberFormat="1" applyFont="1" applyFill="1" applyBorder="1" applyAlignment="1">
      <alignment horizontal="center" vertical="center"/>
    </xf>
    <xf numFmtId="165" fontId="10" fillId="0" borderId="10" xfId="2" applyNumberFormat="1" applyFont="1" applyFill="1" applyBorder="1" applyAlignment="1">
      <alignment horizontal="center" vertical="center"/>
    </xf>
    <xf numFmtId="165" fontId="2" fillId="0" borderId="10" xfId="2" applyNumberFormat="1" applyFont="1" applyFill="1" applyBorder="1" applyAlignment="1">
      <alignment horizontal="center" vertical="center"/>
    </xf>
    <xf numFmtId="165" fontId="2" fillId="0" borderId="26" xfId="0" applyNumberFormat="1" applyFont="1" applyBorder="1" applyAlignment="1">
      <alignment vertical="center"/>
    </xf>
    <xf numFmtId="165" fontId="10" fillId="0" borderId="13" xfId="2" applyNumberFormat="1" applyFont="1" applyFill="1" applyBorder="1" applyAlignment="1">
      <alignment horizontal="center" vertical="center"/>
    </xf>
    <xf numFmtId="165" fontId="2" fillId="0" borderId="0" xfId="0" applyNumberFormat="1" applyFont="1" applyAlignment="1">
      <alignment vertical="center"/>
    </xf>
    <xf numFmtId="165" fontId="2" fillId="0" borderId="10" xfId="2" applyNumberFormat="1" applyFont="1" applyFill="1" applyBorder="1" applyAlignment="1">
      <alignment vertical="center"/>
    </xf>
    <xf numFmtId="165" fontId="2" fillId="0" borderId="10" xfId="0" applyNumberFormat="1" applyFont="1" applyBorder="1" applyAlignment="1">
      <alignment horizontal="center" vertical="center"/>
    </xf>
    <xf numFmtId="0" fontId="2" fillId="0" borderId="10" xfId="0" applyFont="1" applyBorder="1"/>
    <xf numFmtId="165" fontId="2" fillId="0" borderId="10" xfId="0" applyNumberFormat="1" applyFont="1" applyBorder="1" applyAlignment="1">
      <alignment vertical="center"/>
    </xf>
    <xf numFmtId="0" fontId="2" fillId="0" borderId="11" xfId="0" applyFont="1" applyBorder="1"/>
    <xf numFmtId="0" fontId="2" fillId="0" borderId="0" xfId="0" applyFont="1"/>
    <xf numFmtId="0" fontId="2" fillId="0" borderId="12" xfId="0" applyFont="1" applyBorder="1"/>
    <xf numFmtId="0" fontId="2" fillId="0" borderId="10" xfId="0" applyFont="1" applyBorder="1" applyAlignment="1">
      <alignment horizontal="center" vertical="center"/>
    </xf>
    <xf numFmtId="0" fontId="2" fillId="0" borderId="10" xfId="0" applyFont="1" applyBorder="1" applyAlignment="1">
      <alignment horizontal="left" vertical="center" wrapText="1"/>
    </xf>
    <xf numFmtId="0" fontId="2" fillId="15" borderId="10" xfId="0" applyFont="1" applyFill="1" applyBorder="1" applyAlignment="1">
      <alignment horizontal="center" vertical="center" wrapText="1"/>
    </xf>
    <xf numFmtId="165" fontId="2" fillId="17" borderId="10" xfId="0" applyNumberFormat="1" applyFont="1" applyFill="1" applyBorder="1" applyAlignment="1">
      <alignment horizontal="center" vertical="center"/>
    </xf>
    <xf numFmtId="0" fontId="2" fillId="17" borderId="10" xfId="0" applyFont="1" applyFill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165" fontId="2" fillId="0" borderId="10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164" fontId="2" fillId="0" borderId="0" xfId="0" applyNumberFormat="1" applyFont="1" applyAlignment="1">
      <alignment vertical="center" wrapText="1"/>
    </xf>
    <xf numFmtId="165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right"/>
    </xf>
    <xf numFmtId="164" fontId="2" fillId="0" borderId="0" xfId="0" applyNumberFormat="1" applyFont="1"/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 vertical="center" wrapText="1"/>
    </xf>
    <xf numFmtId="165" fontId="2" fillId="0" borderId="14" xfId="0" applyNumberFormat="1" applyFont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2" fillId="0" borderId="9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center"/>
    </xf>
    <xf numFmtId="165" fontId="2" fillId="0" borderId="17" xfId="0" applyNumberFormat="1" applyFont="1" applyBorder="1" applyAlignment="1">
      <alignment horizontal="center" vertical="center"/>
    </xf>
    <xf numFmtId="165" fontId="2" fillId="0" borderId="13" xfId="0" applyNumberFormat="1" applyFont="1" applyBorder="1" applyAlignment="1">
      <alignment horizontal="center" vertical="center"/>
    </xf>
    <xf numFmtId="0" fontId="2" fillId="0" borderId="0" xfId="0" applyFont="1" applyAlignment="1">
      <alignment textRotation="255"/>
    </xf>
    <xf numFmtId="0" fontId="2" fillId="0" borderId="0" xfId="0" applyFont="1" applyAlignment="1">
      <alignment horizontal="center" vertical="top" wrapText="1"/>
    </xf>
    <xf numFmtId="0" fontId="11" fillId="0" borderId="0" xfId="1" applyFont="1"/>
    <xf numFmtId="0" fontId="2" fillId="0" borderId="10" xfId="2" applyNumberFormat="1" applyFont="1" applyFill="1" applyBorder="1" applyAlignment="1">
      <alignment horizontal="center" vertical="center"/>
    </xf>
    <xf numFmtId="0" fontId="2" fillId="20" borderId="10" xfId="2" applyNumberFormat="1" applyFont="1" applyFill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11" fillId="0" borderId="0" xfId="1" applyFont="1" applyFill="1" applyBorder="1"/>
    <xf numFmtId="1" fontId="2" fillId="0" borderId="0" xfId="0" applyNumberFormat="1" applyFont="1" applyAlignment="1">
      <alignment vertical="center"/>
    </xf>
    <xf numFmtId="166" fontId="2" fillId="0" borderId="0" xfId="2" applyNumberFormat="1" applyFont="1" applyFill="1" applyBorder="1" applyAlignment="1">
      <alignment horizontal="center" vertical="center"/>
    </xf>
    <xf numFmtId="0" fontId="2" fillId="0" borderId="0" xfId="2" applyNumberFormat="1" applyFont="1" applyFill="1" applyBorder="1" applyAlignment="1">
      <alignment vertical="center"/>
    </xf>
    <xf numFmtId="164" fontId="2" fillId="0" borderId="0" xfId="2" applyNumberFormat="1" applyFont="1" applyFill="1" applyBorder="1" applyAlignment="1">
      <alignment vertical="center"/>
    </xf>
    <xf numFmtId="165" fontId="2" fillId="0" borderId="0" xfId="2" applyNumberFormat="1" applyFont="1" applyFill="1" applyBorder="1" applyAlignment="1">
      <alignment vertical="center"/>
    </xf>
    <xf numFmtId="166" fontId="13" fillId="0" borderId="0" xfId="2" applyNumberFormat="1" applyFont="1" applyFill="1" applyBorder="1" applyAlignment="1">
      <alignment vertical="center"/>
    </xf>
    <xf numFmtId="166" fontId="2" fillId="0" borderId="0" xfId="2" applyNumberFormat="1" applyFont="1" applyFill="1" applyBorder="1" applyAlignment="1">
      <alignment vertical="center"/>
    </xf>
    <xf numFmtId="0" fontId="2" fillId="0" borderId="0" xfId="0" applyFont="1" applyAlignment="1">
      <alignment vertical="center"/>
    </xf>
    <xf numFmtId="166" fontId="2" fillId="0" borderId="0" xfId="0" applyNumberFormat="1" applyFont="1" applyAlignment="1">
      <alignment vertical="center"/>
    </xf>
    <xf numFmtId="166" fontId="2" fillId="18" borderId="10" xfId="2" applyNumberFormat="1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166" fontId="10" fillId="0" borderId="0" xfId="2" applyNumberFormat="1" applyFont="1" applyFill="1" applyBorder="1" applyAlignment="1">
      <alignment horizontal="center" vertical="center"/>
    </xf>
    <xf numFmtId="164" fontId="2" fillId="0" borderId="10" xfId="0" applyNumberFormat="1" applyFont="1" applyBorder="1" applyAlignment="1">
      <alignment horizontal="center" vertical="center"/>
    </xf>
    <xf numFmtId="166" fontId="13" fillId="0" borderId="10" xfId="2" applyNumberFormat="1" applyFont="1" applyFill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1" fontId="2" fillId="0" borderId="10" xfId="0" applyNumberFormat="1" applyFont="1" applyBorder="1" applyAlignment="1">
      <alignment horizontal="center" vertical="center"/>
    </xf>
    <xf numFmtId="166" fontId="2" fillId="0" borderId="10" xfId="2" applyNumberFormat="1" applyFont="1" applyFill="1" applyBorder="1" applyAlignment="1">
      <alignment horizontal="center" vertical="center"/>
    </xf>
    <xf numFmtId="0" fontId="2" fillId="0" borderId="10" xfId="2" applyNumberFormat="1" applyFont="1" applyFill="1" applyBorder="1" applyAlignment="1">
      <alignment horizontal="right" vertical="center"/>
    </xf>
    <xf numFmtId="165" fontId="2" fillId="0" borderId="22" xfId="2" applyNumberFormat="1" applyFont="1" applyFill="1" applyBorder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2" fillId="0" borderId="0" xfId="2" applyNumberFormat="1" applyFont="1" applyFill="1" applyBorder="1" applyAlignment="1">
      <alignment horizontal="center" vertical="center"/>
    </xf>
    <xf numFmtId="0" fontId="2" fillId="0" borderId="0" xfId="2" applyNumberFormat="1" applyFont="1" applyFill="1" applyBorder="1" applyAlignment="1">
      <alignment horizontal="right" vertical="center"/>
    </xf>
    <xf numFmtId="164" fontId="2" fillId="0" borderId="0" xfId="2" applyNumberFormat="1" applyFont="1" applyFill="1" applyBorder="1" applyAlignment="1">
      <alignment horizontal="center" vertical="center"/>
    </xf>
    <xf numFmtId="165" fontId="2" fillId="0" borderId="0" xfId="2" applyNumberFormat="1" applyFont="1" applyFill="1" applyBorder="1" applyAlignment="1">
      <alignment horizontal="center" vertical="center"/>
    </xf>
    <xf numFmtId="166" fontId="13" fillId="0" borderId="0" xfId="2" applyNumberFormat="1" applyFont="1" applyFill="1" applyBorder="1" applyAlignment="1">
      <alignment horizontal="center" vertical="center"/>
    </xf>
    <xf numFmtId="165" fontId="2" fillId="0" borderId="22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165" fontId="2" fillId="0" borderId="22" xfId="0" applyNumberFormat="1" applyFont="1" applyBorder="1" applyAlignment="1">
      <alignment horizontal="center" vertical="center" wrapText="1"/>
    </xf>
    <xf numFmtId="166" fontId="2" fillId="0" borderId="0" xfId="0" applyNumberFormat="1" applyFont="1" applyAlignment="1">
      <alignment horizontal="center" vertical="center" wrapText="1"/>
    </xf>
    <xf numFmtId="0" fontId="14" fillId="0" borderId="13" xfId="0" applyFont="1" applyBorder="1" applyAlignment="1">
      <alignment horizontal="center" vertical="center"/>
    </xf>
    <xf numFmtId="166" fontId="2" fillId="0" borderId="13" xfId="2" applyNumberFormat="1" applyFont="1" applyFill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1" fontId="2" fillId="0" borderId="12" xfId="0" applyNumberFormat="1" applyFont="1" applyBorder="1" applyAlignment="1">
      <alignment horizontal="center" vertical="center"/>
    </xf>
    <xf numFmtId="166" fontId="15" fillId="0" borderId="10" xfId="2" applyNumberFormat="1" applyFont="1" applyFill="1" applyBorder="1" applyAlignment="1">
      <alignment horizontal="center" vertical="center"/>
    </xf>
    <xf numFmtId="165" fontId="2" fillId="0" borderId="20" xfId="0" applyNumberFormat="1" applyFont="1" applyBorder="1" applyAlignment="1">
      <alignment horizontal="center" vertical="center"/>
    </xf>
    <xf numFmtId="166" fontId="15" fillId="0" borderId="0" xfId="2" applyNumberFormat="1" applyFont="1" applyFill="1" applyBorder="1" applyAlignment="1">
      <alignment horizontal="center" vertical="center"/>
    </xf>
    <xf numFmtId="165" fontId="2" fillId="0" borderId="0" xfId="0" applyNumberFormat="1" applyFont="1"/>
    <xf numFmtId="0" fontId="2" fillId="0" borderId="13" xfId="0" applyFont="1" applyBorder="1"/>
    <xf numFmtId="165" fontId="2" fillId="18" borderId="10" xfId="2" applyNumberFormat="1" applyFont="1" applyFill="1" applyBorder="1" applyAlignment="1">
      <alignment horizontal="center" vertical="center"/>
    </xf>
    <xf numFmtId="0" fontId="2" fillId="0" borderId="20" xfId="0" applyFont="1" applyBorder="1"/>
    <xf numFmtId="164" fontId="16" fillId="0" borderId="0" xfId="0" applyNumberFormat="1" applyFont="1" applyAlignment="1">
      <alignment horizontal="center" vertical="center"/>
    </xf>
    <xf numFmtId="164" fontId="2" fillId="0" borderId="13" xfId="0" applyNumberFormat="1" applyFont="1" applyBorder="1" applyAlignment="1">
      <alignment horizontal="center" vertical="center"/>
    </xf>
    <xf numFmtId="164" fontId="2" fillId="0" borderId="9" xfId="0" applyNumberFormat="1" applyFont="1" applyBorder="1" applyAlignment="1">
      <alignment horizontal="center" vertical="center"/>
    </xf>
    <xf numFmtId="165" fontId="2" fillId="0" borderId="27" xfId="0" applyNumberFormat="1" applyFont="1" applyBorder="1" applyAlignment="1">
      <alignment vertical="center"/>
    </xf>
    <xf numFmtId="1" fontId="2" fillId="15" borderId="10" xfId="0" applyNumberFormat="1" applyFont="1" applyFill="1" applyBorder="1" applyAlignment="1">
      <alignment vertical="center"/>
    </xf>
    <xf numFmtId="166" fontId="2" fillId="0" borderId="10" xfId="2" applyNumberFormat="1" applyFont="1" applyFill="1" applyBorder="1" applyAlignment="1">
      <alignment vertical="center"/>
    </xf>
    <xf numFmtId="0" fontId="2" fillId="0" borderId="10" xfId="2" applyNumberFormat="1" applyFont="1" applyFill="1" applyBorder="1" applyAlignment="1">
      <alignment vertical="center"/>
    </xf>
    <xf numFmtId="166" fontId="13" fillId="0" borderId="23" xfId="2" applyNumberFormat="1" applyFont="1" applyFill="1" applyBorder="1" applyAlignment="1">
      <alignment vertical="center"/>
    </xf>
    <xf numFmtId="165" fontId="2" fillId="0" borderId="20" xfId="0" applyNumberFormat="1" applyFont="1" applyBorder="1" applyAlignment="1">
      <alignment vertical="center"/>
    </xf>
    <xf numFmtId="1" fontId="2" fillId="0" borderId="10" xfId="0" applyNumberFormat="1" applyFont="1" applyBorder="1" applyAlignment="1">
      <alignment vertical="center"/>
    </xf>
    <xf numFmtId="1" fontId="2" fillId="0" borderId="20" xfId="0" applyNumberFormat="1" applyFont="1" applyBorder="1" applyAlignment="1">
      <alignment vertical="center"/>
    </xf>
    <xf numFmtId="0" fontId="2" fillId="0" borderId="13" xfId="0" applyFont="1" applyBorder="1" applyAlignment="1">
      <alignment horizontal="center" vertical="center"/>
    </xf>
    <xf numFmtId="1" fontId="2" fillId="0" borderId="19" xfId="0" applyNumberFormat="1" applyFont="1" applyBorder="1" applyAlignment="1">
      <alignment vertical="center"/>
    </xf>
    <xf numFmtId="166" fontId="2" fillId="0" borderId="0" xfId="0" applyNumberFormat="1" applyFont="1" applyAlignment="1">
      <alignment vertical="center" wrapText="1"/>
    </xf>
    <xf numFmtId="1" fontId="2" fillId="0" borderId="22" xfId="0" applyNumberFormat="1" applyFont="1" applyBorder="1" applyAlignment="1">
      <alignment vertical="center"/>
    </xf>
    <xf numFmtId="166" fontId="2" fillId="0" borderId="13" xfId="2" applyNumberFormat="1" applyFont="1" applyFill="1" applyBorder="1" applyAlignment="1">
      <alignment vertical="center"/>
    </xf>
    <xf numFmtId="165" fontId="2" fillId="0" borderId="22" xfId="0" applyNumberFormat="1" applyFont="1" applyBorder="1" applyAlignment="1">
      <alignment vertical="center"/>
    </xf>
    <xf numFmtId="0" fontId="2" fillId="20" borderId="31" xfId="2" applyNumberFormat="1" applyFont="1" applyFill="1" applyBorder="1" applyAlignment="1">
      <alignment vertical="center"/>
    </xf>
    <xf numFmtId="0" fontId="2" fillId="0" borderId="31" xfId="0" applyFont="1" applyBorder="1" applyAlignment="1">
      <alignment vertical="center"/>
    </xf>
    <xf numFmtId="1" fontId="2" fillId="0" borderId="13" xfId="0" applyNumberFormat="1" applyFont="1" applyBorder="1" applyAlignment="1">
      <alignment vertical="center"/>
    </xf>
    <xf numFmtId="165" fontId="2" fillId="0" borderId="13" xfId="0" applyNumberFormat="1" applyFont="1" applyBorder="1" applyAlignment="1">
      <alignment vertical="center"/>
    </xf>
    <xf numFmtId="166" fontId="13" fillId="0" borderId="10" xfId="2" applyNumberFormat="1" applyFont="1" applyFill="1" applyBorder="1" applyAlignment="1">
      <alignment vertical="center"/>
    </xf>
    <xf numFmtId="166" fontId="13" fillId="0" borderId="21" xfId="2" applyNumberFormat="1" applyFont="1" applyFill="1" applyBorder="1" applyAlignment="1">
      <alignment vertical="center"/>
    </xf>
    <xf numFmtId="165" fontId="2" fillId="16" borderId="10" xfId="0" applyNumberFormat="1" applyFont="1" applyFill="1" applyBorder="1" applyAlignment="1">
      <alignment horizontal="center" vertical="center" wrapText="1"/>
    </xf>
    <xf numFmtId="165" fontId="2" fillId="0" borderId="13" xfId="2" applyNumberFormat="1" applyFont="1" applyFill="1" applyBorder="1" applyAlignment="1">
      <alignment vertical="center"/>
    </xf>
    <xf numFmtId="0" fontId="9" fillId="0" borderId="0" xfId="0" applyFont="1" applyAlignment="1">
      <alignment horizontal="center"/>
    </xf>
    <xf numFmtId="165" fontId="9" fillId="0" borderId="0" xfId="0" applyNumberFormat="1" applyFont="1" applyAlignment="1">
      <alignment horizontal="center"/>
    </xf>
    <xf numFmtId="164" fontId="9" fillId="0" borderId="0" xfId="0" applyNumberFormat="1" applyFont="1" applyAlignment="1">
      <alignment horizontal="center"/>
    </xf>
    <xf numFmtId="164" fontId="9" fillId="0" borderId="0" xfId="2" applyNumberFormat="1" applyFont="1" applyAlignment="1">
      <alignment horizontal="center"/>
    </xf>
    <xf numFmtId="9" fontId="17" fillId="0" borderId="0" xfId="3" applyFont="1" applyAlignment="1">
      <alignment horizontal="center"/>
    </xf>
    <xf numFmtId="0" fontId="9" fillId="0" borderId="0" xfId="0" applyFont="1"/>
    <xf numFmtId="9" fontId="17" fillId="0" borderId="6" xfId="3" applyFont="1" applyBorder="1" applyAlignment="1">
      <alignment horizontal="center"/>
    </xf>
    <xf numFmtId="9" fontId="9" fillId="0" borderId="0" xfId="3" applyFont="1" applyAlignment="1">
      <alignment horizontal="center"/>
    </xf>
    <xf numFmtId="164" fontId="9" fillId="0" borderId="0" xfId="0" applyNumberFormat="1" applyFont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165" fontId="9" fillId="11" borderId="0" xfId="0" applyNumberFormat="1" applyFont="1" applyFill="1" applyAlignment="1">
      <alignment horizontal="center"/>
    </xf>
    <xf numFmtId="165" fontId="9" fillId="3" borderId="0" xfId="0" applyNumberFormat="1" applyFont="1" applyFill="1" applyAlignment="1">
      <alignment horizontal="center" vertical="center"/>
    </xf>
    <xf numFmtId="164" fontId="9" fillId="3" borderId="0" xfId="0" applyNumberFormat="1" applyFont="1" applyFill="1" applyAlignment="1">
      <alignment horizontal="center" vertical="center"/>
    </xf>
    <xf numFmtId="164" fontId="9" fillId="3" borderId="0" xfId="2" applyNumberFormat="1" applyFont="1" applyFill="1" applyAlignment="1">
      <alignment horizontal="center" vertical="center"/>
    </xf>
    <xf numFmtId="164" fontId="9" fillId="2" borderId="0" xfId="0" applyNumberFormat="1" applyFont="1" applyFill="1" applyAlignment="1">
      <alignment horizontal="center" vertical="center"/>
    </xf>
    <xf numFmtId="164" fontId="9" fillId="7" borderId="0" xfId="0" applyNumberFormat="1" applyFont="1" applyFill="1" applyAlignment="1">
      <alignment horizontal="center" vertical="center"/>
    </xf>
    <xf numFmtId="164" fontId="9" fillId="10" borderId="0" xfId="0" applyNumberFormat="1" applyFont="1" applyFill="1" applyAlignment="1">
      <alignment horizontal="center"/>
    </xf>
    <xf numFmtId="164" fontId="9" fillId="12" borderId="0" xfId="0" applyNumberFormat="1" applyFont="1" applyFill="1" applyAlignment="1">
      <alignment horizontal="center" vertical="center"/>
    </xf>
    <xf numFmtId="164" fontId="9" fillId="8" borderId="0" xfId="0" applyNumberFormat="1" applyFont="1" applyFill="1" applyAlignment="1">
      <alignment horizontal="center" vertical="center"/>
    </xf>
    <xf numFmtId="166" fontId="18" fillId="23" borderId="0" xfId="0" applyNumberFormat="1" applyFont="1" applyFill="1" applyAlignment="1">
      <alignment horizontal="center"/>
    </xf>
    <xf numFmtId="0" fontId="18" fillId="0" borderId="0" xfId="0" applyFont="1" applyAlignment="1">
      <alignment horizontal="center"/>
    </xf>
    <xf numFmtId="165" fontId="9" fillId="2" borderId="0" xfId="0" applyNumberFormat="1" applyFont="1" applyFill="1" applyAlignment="1">
      <alignment horizontal="center" vertical="center"/>
    </xf>
    <xf numFmtId="165" fontId="9" fillId="13" borderId="0" xfId="0" applyNumberFormat="1" applyFont="1" applyFill="1" applyAlignment="1">
      <alignment horizontal="center"/>
    </xf>
    <xf numFmtId="165" fontId="9" fillId="12" borderId="0" xfId="0" applyNumberFormat="1" applyFont="1" applyFill="1" applyAlignment="1">
      <alignment horizontal="center" vertical="center"/>
    </xf>
    <xf numFmtId="165" fontId="18" fillId="0" borderId="0" xfId="0" applyNumberFormat="1" applyFont="1" applyAlignment="1">
      <alignment horizontal="center" vertical="center"/>
    </xf>
    <xf numFmtId="165" fontId="9" fillId="7" borderId="0" xfId="0" applyNumberFormat="1" applyFont="1" applyFill="1" applyAlignment="1">
      <alignment horizontal="center" vertical="center"/>
    </xf>
    <xf numFmtId="9" fontId="9" fillId="0" borderId="0" xfId="3" applyFont="1" applyFill="1" applyAlignment="1">
      <alignment horizontal="center"/>
    </xf>
    <xf numFmtId="165" fontId="19" fillId="0" borderId="10" xfId="0" applyNumberFormat="1" applyFont="1" applyBorder="1" applyAlignment="1">
      <alignment vertical="center"/>
    </xf>
    <xf numFmtId="166" fontId="0" fillId="6" borderId="0" xfId="0" applyNumberFormat="1" applyFill="1" applyAlignment="1">
      <alignment horizontal="center"/>
    </xf>
    <xf numFmtId="164" fontId="0" fillId="6" borderId="0" xfId="0" applyNumberFormat="1" applyFill="1" applyAlignment="1">
      <alignment horizontal="center"/>
    </xf>
    <xf numFmtId="164" fontId="5" fillId="0" borderId="0" xfId="0" applyNumberFormat="1" applyFont="1" applyAlignment="1">
      <alignment horizontal="center"/>
    </xf>
    <xf numFmtId="165" fontId="5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/>
    </xf>
    <xf numFmtId="164" fontId="5" fillId="0" borderId="0" xfId="2" applyNumberFormat="1" applyFont="1" applyAlignment="1">
      <alignment horizontal="center"/>
    </xf>
    <xf numFmtId="9" fontId="21" fillId="0" borderId="0" xfId="3" applyFont="1" applyAlignment="1">
      <alignment horizontal="center"/>
    </xf>
    <xf numFmtId="9" fontId="21" fillId="0" borderId="6" xfId="3" applyFont="1" applyBorder="1" applyAlignment="1">
      <alignment horizontal="center"/>
    </xf>
    <xf numFmtId="9" fontId="5" fillId="0" borderId="0" xfId="3" applyFont="1" applyAlignment="1">
      <alignment horizontal="center"/>
    </xf>
    <xf numFmtId="165" fontId="5" fillId="11" borderId="0" xfId="0" applyNumberFormat="1" applyFont="1" applyFill="1" applyAlignment="1">
      <alignment horizontal="center"/>
    </xf>
    <xf numFmtId="0" fontId="5" fillId="0" borderId="0" xfId="0" applyFont="1" applyAlignment="1">
      <alignment horizontal="center" vertical="center"/>
    </xf>
    <xf numFmtId="164" fontId="5" fillId="3" borderId="0" xfId="0" applyNumberFormat="1" applyFont="1" applyFill="1" applyAlignment="1">
      <alignment horizontal="center" vertical="center"/>
    </xf>
    <xf numFmtId="164" fontId="5" fillId="2" borderId="0" xfId="0" applyNumberFormat="1" applyFont="1" applyFill="1" applyAlignment="1">
      <alignment horizontal="center" vertical="center"/>
    </xf>
    <xf numFmtId="164" fontId="5" fillId="7" borderId="0" xfId="0" applyNumberFormat="1" applyFont="1" applyFill="1" applyAlignment="1">
      <alignment horizontal="center" vertical="center"/>
    </xf>
    <xf numFmtId="164" fontId="5" fillId="10" borderId="0" xfId="0" applyNumberFormat="1" applyFont="1" applyFill="1" applyAlignment="1">
      <alignment horizontal="center"/>
    </xf>
    <xf numFmtId="164" fontId="5" fillId="12" borderId="0" xfId="0" applyNumberFormat="1" applyFont="1" applyFill="1" applyAlignment="1">
      <alignment horizontal="center" vertical="center"/>
    </xf>
    <xf numFmtId="164" fontId="5" fillId="8" borderId="0" xfId="0" applyNumberFormat="1" applyFont="1" applyFill="1" applyAlignment="1">
      <alignment horizontal="center" vertical="center"/>
    </xf>
    <xf numFmtId="9" fontId="5" fillId="14" borderId="0" xfId="3" applyFont="1" applyFill="1" applyAlignment="1">
      <alignment horizontal="center"/>
    </xf>
    <xf numFmtId="166" fontId="6" fillId="23" borderId="0" xfId="0" applyNumberFormat="1" applyFont="1" applyFill="1" applyAlignment="1">
      <alignment horizontal="center"/>
    </xf>
    <xf numFmtId="0" fontId="6" fillId="0" borderId="0" xfId="0" applyFont="1" applyAlignment="1">
      <alignment horizontal="center"/>
    </xf>
    <xf numFmtId="165" fontId="5" fillId="2" borderId="0" xfId="0" applyNumberFormat="1" applyFont="1" applyFill="1" applyAlignment="1">
      <alignment horizontal="center" vertical="center"/>
    </xf>
    <xf numFmtId="9" fontId="5" fillId="0" borderId="0" xfId="3" applyFont="1" applyFill="1" applyAlignment="1">
      <alignment horizontal="center" vertical="center"/>
    </xf>
    <xf numFmtId="165" fontId="5" fillId="13" borderId="0" xfId="0" applyNumberFormat="1" applyFont="1" applyFill="1" applyAlignment="1">
      <alignment horizontal="center"/>
    </xf>
    <xf numFmtId="165" fontId="5" fillId="12" borderId="0" xfId="0" applyNumberFormat="1" applyFont="1" applyFill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165" fontId="5" fillId="7" borderId="0" xfId="0" applyNumberFormat="1" applyFont="1" applyFill="1" applyAlignment="1">
      <alignment horizontal="center" vertical="center"/>
    </xf>
    <xf numFmtId="166" fontId="5" fillId="0" borderId="0" xfId="0" applyNumberFormat="1" applyFont="1" applyAlignment="1">
      <alignment horizontal="center"/>
    </xf>
    <xf numFmtId="164" fontId="9" fillId="0" borderId="0" xfId="0" applyNumberFormat="1" applyFont="1"/>
    <xf numFmtId="164" fontId="5" fillId="9" borderId="0" xfId="0" applyNumberFormat="1" applyFont="1" applyFill="1" applyAlignment="1">
      <alignment horizontal="center"/>
    </xf>
    <xf numFmtId="0" fontId="5" fillId="10" borderId="0" xfId="0" applyFont="1" applyFill="1" applyAlignment="1">
      <alignment horizontal="center"/>
    </xf>
    <xf numFmtId="164" fontId="22" fillId="10" borderId="0" xfId="0" applyNumberFormat="1" applyFont="1" applyFill="1" applyAlignment="1">
      <alignment horizontal="center"/>
    </xf>
    <xf numFmtId="164" fontId="23" fillId="0" borderId="0" xfId="0" applyNumberFormat="1" applyFont="1" applyAlignment="1">
      <alignment horizontal="center"/>
    </xf>
    <xf numFmtId="0" fontId="0" fillId="10" borderId="0" xfId="0" applyFill="1" applyAlignment="1">
      <alignment horizontal="center"/>
    </xf>
    <xf numFmtId="0" fontId="5" fillId="0" borderId="0" xfId="0" applyFont="1"/>
    <xf numFmtId="164" fontId="5" fillId="0" borderId="0" xfId="0" applyNumberFormat="1" applyFont="1"/>
    <xf numFmtId="166" fontId="5" fillId="0" borderId="0" xfId="0" applyNumberFormat="1" applyFont="1"/>
    <xf numFmtId="166" fontId="5" fillId="0" borderId="0" xfId="2" applyNumberFormat="1" applyFont="1" applyAlignment="1">
      <alignment horizontal="center"/>
    </xf>
    <xf numFmtId="166" fontId="5" fillId="0" borderId="0" xfId="0" applyNumberFormat="1" applyFont="1" applyAlignment="1">
      <alignment horizontal="center" vertical="center"/>
    </xf>
    <xf numFmtId="166" fontId="5" fillId="0" borderId="0" xfId="3" applyNumberFormat="1" applyFont="1" applyFill="1"/>
    <xf numFmtId="9" fontId="5" fillId="0" borderId="0" xfId="3" applyFont="1" applyFill="1" applyAlignment="1">
      <alignment horizontal="center"/>
    </xf>
    <xf numFmtId="166" fontId="5" fillId="0" borderId="0" xfId="2" applyNumberFormat="1" applyFont="1" applyFill="1" applyAlignment="1">
      <alignment horizontal="center"/>
    </xf>
    <xf numFmtId="164" fontId="24" fillId="0" borderId="0" xfId="0" applyNumberFormat="1" applyFont="1" applyAlignment="1">
      <alignment horizontal="center"/>
    </xf>
    <xf numFmtId="0" fontId="25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164" fontId="27" fillId="0" borderId="0" xfId="0" applyNumberFormat="1" applyFont="1" applyAlignment="1">
      <alignment horizontal="center"/>
    </xf>
    <xf numFmtId="0" fontId="24" fillId="10" borderId="0" xfId="0" applyFont="1" applyFill="1" applyAlignment="1">
      <alignment horizontal="center"/>
    </xf>
    <xf numFmtId="0" fontId="29" fillId="10" borderId="0" xfId="0" applyFont="1" applyFill="1" applyAlignment="1">
      <alignment horizontal="center"/>
    </xf>
    <xf numFmtId="164" fontId="24" fillId="10" borderId="0" xfId="0" applyNumberFormat="1" applyFont="1" applyFill="1" applyAlignment="1">
      <alignment horizontal="center"/>
    </xf>
    <xf numFmtId="165" fontId="5" fillId="10" borderId="0" xfId="0" applyNumberFormat="1" applyFont="1" applyFill="1" applyAlignment="1">
      <alignment horizontal="center"/>
    </xf>
    <xf numFmtId="165" fontId="5" fillId="0" borderId="0" xfId="2" applyNumberFormat="1" applyFont="1" applyAlignment="1">
      <alignment horizontal="center"/>
    </xf>
    <xf numFmtId="165" fontId="24" fillId="10" borderId="0" xfId="0" applyNumberFormat="1" applyFont="1" applyFill="1" applyAlignment="1">
      <alignment horizontal="center"/>
    </xf>
    <xf numFmtId="165" fontId="5" fillId="6" borderId="0" xfId="0" applyNumberFormat="1" applyFont="1" applyFill="1" applyAlignment="1">
      <alignment horizontal="center"/>
    </xf>
    <xf numFmtId="164" fontId="5" fillId="8" borderId="0" xfId="0" applyNumberFormat="1" applyFont="1" applyFill="1" applyAlignment="1">
      <alignment horizontal="center"/>
    </xf>
    <xf numFmtId="0" fontId="30" fillId="0" borderId="0" xfId="0" applyFont="1" applyAlignment="1">
      <alignment vertical="center"/>
    </xf>
    <xf numFmtId="164" fontId="5" fillId="6" borderId="0" xfId="0" applyNumberFormat="1" applyFont="1" applyFill="1" applyAlignment="1">
      <alignment horizontal="center"/>
    </xf>
    <xf numFmtId="164" fontId="5" fillId="30" borderId="0" xfId="0" applyNumberFormat="1" applyFont="1" applyFill="1" applyAlignment="1">
      <alignment horizontal="center"/>
    </xf>
    <xf numFmtId="2" fontId="5" fillId="0" borderId="0" xfId="0" applyNumberFormat="1" applyFont="1" applyAlignment="1">
      <alignment horizontal="center"/>
    </xf>
    <xf numFmtId="164" fontId="5" fillId="31" borderId="13" xfId="0" applyNumberFormat="1" applyFont="1" applyFill="1" applyBorder="1" applyAlignment="1">
      <alignment horizontal="center"/>
    </xf>
    <xf numFmtId="164" fontId="5" fillId="31" borderId="22" xfId="0" applyNumberFormat="1" applyFont="1" applyFill="1" applyBorder="1" applyAlignment="1">
      <alignment horizontal="center"/>
    </xf>
    <xf numFmtId="164" fontId="24" fillId="31" borderId="22" xfId="0" applyNumberFormat="1" applyFont="1" applyFill="1" applyBorder="1" applyAlignment="1">
      <alignment horizontal="center"/>
    </xf>
    <xf numFmtId="0" fontId="3" fillId="31" borderId="22" xfId="0" applyFont="1" applyFill="1" applyBorder="1" applyAlignment="1">
      <alignment horizontal="center"/>
    </xf>
    <xf numFmtId="164" fontId="5" fillId="31" borderId="15" xfId="0" applyNumberFormat="1" applyFont="1" applyFill="1" applyBorder="1" applyAlignment="1">
      <alignment horizontal="center"/>
    </xf>
    <xf numFmtId="164" fontId="5" fillId="31" borderId="0" xfId="0" applyNumberFormat="1" applyFont="1" applyFill="1" applyAlignment="1">
      <alignment horizontal="center"/>
    </xf>
    <xf numFmtId="164" fontId="24" fillId="31" borderId="35" xfId="0" applyNumberFormat="1" applyFont="1" applyFill="1" applyBorder="1" applyAlignment="1">
      <alignment horizontal="center"/>
    </xf>
    <xf numFmtId="164" fontId="5" fillId="31" borderId="36" xfId="0" applyNumberFormat="1" applyFont="1" applyFill="1" applyBorder="1" applyAlignment="1">
      <alignment horizontal="center"/>
    </xf>
    <xf numFmtId="164" fontId="5" fillId="31" borderId="37" xfId="0" applyNumberFormat="1" applyFont="1" applyFill="1" applyBorder="1" applyAlignment="1">
      <alignment horizontal="center"/>
    </xf>
    <xf numFmtId="164" fontId="5" fillId="31" borderId="35" xfId="0" applyNumberFormat="1" applyFont="1" applyFill="1" applyBorder="1" applyAlignment="1">
      <alignment horizontal="center"/>
    </xf>
    <xf numFmtId="164" fontId="5" fillId="31" borderId="34" xfId="0" applyNumberFormat="1" applyFont="1" applyFill="1" applyBorder="1" applyAlignment="1">
      <alignment horizontal="center"/>
    </xf>
    <xf numFmtId="164" fontId="24" fillId="31" borderId="36" xfId="0" applyNumberFormat="1" applyFont="1" applyFill="1" applyBorder="1" applyAlignment="1">
      <alignment horizontal="center"/>
    </xf>
    <xf numFmtId="164" fontId="24" fillId="31" borderId="34" xfId="0" applyNumberFormat="1" applyFont="1" applyFill="1" applyBorder="1" applyAlignment="1">
      <alignment horizontal="center"/>
    </xf>
    <xf numFmtId="164" fontId="31" fillId="0" borderId="0" xfId="0" applyNumberFormat="1" applyFont="1" applyAlignment="1">
      <alignment horizontal="center"/>
    </xf>
    <xf numFmtId="44" fontId="5" fillId="0" borderId="0" xfId="2" applyFont="1" applyAlignment="1">
      <alignment horizontal="center"/>
    </xf>
    <xf numFmtId="44" fontId="5" fillId="0" borderId="0" xfId="0" applyNumberFormat="1" applyFont="1" applyAlignment="1">
      <alignment horizontal="center"/>
    </xf>
    <xf numFmtId="166" fontId="13" fillId="0" borderId="13" xfId="2" applyNumberFormat="1" applyFont="1" applyFill="1" applyBorder="1" applyAlignment="1">
      <alignment horizontal="center" vertical="center"/>
    </xf>
    <xf numFmtId="166" fontId="13" fillId="0" borderId="20" xfId="2" applyNumberFormat="1" applyFont="1" applyFill="1" applyBorder="1" applyAlignment="1">
      <alignment horizontal="center" vertical="center"/>
    </xf>
    <xf numFmtId="0" fontId="32" fillId="0" borderId="0" xfId="0" applyFont="1" applyAlignment="1">
      <alignment horizontal="center"/>
    </xf>
    <xf numFmtId="164" fontId="28" fillId="0" borderId="0" xfId="0" applyNumberFormat="1" applyFont="1" applyAlignment="1">
      <alignment horizontal="center"/>
    </xf>
    <xf numFmtId="44" fontId="5" fillId="0" borderId="0" xfId="2" applyFont="1" applyBorder="1" applyAlignment="1">
      <alignment horizontal="center"/>
    </xf>
    <xf numFmtId="14" fontId="5" fillId="0" borderId="0" xfId="0" applyNumberFormat="1" applyFont="1" applyAlignment="1">
      <alignment horizontal="center"/>
    </xf>
    <xf numFmtId="164" fontId="5" fillId="3" borderId="0" xfId="0" applyNumberFormat="1" applyFont="1" applyFill="1" applyAlignment="1">
      <alignment horizontal="center"/>
    </xf>
    <xf numFmtId="164" fontId="24" fillId="3" borderId="0" xfId="0" applyNumberFormat="1" applyFont="1" applyFill="1" applyAlignment="1">
      <alignment horizontal="center"/>
    </xf>
    <xf numFmtId="0" fontId="5" fillId="23" borderId="0" xfId="0" applyFont="1" applyFill="1" applyAlignment="1">
      <alignment horizontal="center"/>
    </xf>
    <xf numFmtId="0" fontId="0" fillId="23" borderId="0" xfId="0" applyFill="1" applyAlignment="1">
      <alignment horizontal="center"/>
    </xf>
    <xf numFmtId="164" fontId="5" fillId="23" borderId="0" xfId="0" applyNumberFormat="1" applyFont="1" applyFill="1" applyAlignment="1">
      <alignment horizontal="center"/>
    </xf>
    <xf numFmtId="165" fontId="5" fillId="23" borderId="0" xfId="0" applyNumberFormat="1" applyFont="1" applyFill="1" applyAlignment="1">
      <alignment horizontal="center"/>
    </xf>
    <xf numFmtId="164" fontId="5" fillId="23" borderId="34" xfId="0" applyNumberFormat="1" applyFont="1" applyFill="1" applyBorder="1" applyAlignment="1">
      <alignment horizontal="center"/>
    </xf>
    <xf numFmtId="0" fontId="33" fillId="32" borderId="38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165" fontId="5" fillId="6" borderId="0" xfId="0" applyNumberFormat="1" applyFont="1" applyFill="1" applyAlignment="1">
      <alignment horizontal="center" vertical="center"/>
    </xf>
    <xf numFmtId="164" fontId="5" fillId="30" borderId="0" xfId="0" applyNumberFormat="1" applyFont="1" applyFill="1" applyAlignment="1">
      <alignment horizontal="center" vertical="center"/>
    </xf>
    <xf numFmtId="164" fontId="5" fillId="6" borderId="0" xfId="0" applyNumberFormat="1" applyFont="1" applyFill="1" applyAlignment="1">
      <alignment horizontal="center" vertical="center"/>
    </xf>
    <xf numFmtId="164" fontId="3" fillId="0" borderId="0" xfId="0" applyNumberFormat="1" applyFont="1" applyAlignment="1">
      <alignment horizontal="center"/>
    </xf>
    <xf numFmtId="9" fontId="34" fillId="0" borderId="0" xfId="3" applyFont="1" applyAlignment="1">
      <alignment horizontal="center"/>
    </xf>
    <xf numFmtId="165" fontId="3" fillId="0" borderId="0" xfId="0" applyNumberFormat="1" applyFont="1" applyAlignment="1">
      <alignment horizontal="center"/>
    </xf>
    <xf numFmtId="9" fontId="34" fillId="0" borderId="6" xfId="3" applyFont="1" applyBorder="1" applyAlignment="1">
      <alignment horizontal="center"/>
    </xf>
    <xf numFmtId="9" fontId="3" fillId="0" borderId="0" xfId="3" applyFont="1" applyAlignment="1">
      <alignment horizontal="center"/>
    </xf>
    <xf numFmtId="164" fontId="3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5" fontId="3" fillId="11" borderId="0" xfId="0" applyNumberFormat="1" applyFont="1" applyFill="1" applyAlignment="1">
      <alignment horizontal="center"/>
    </xf>
    <xf numFmtId="165" fontId="3" fillId="3" borderId="0" xfId="0" applyNumberFormat="1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164" fontId="35" fillId="28" borderId="0" xfId="0" applyNumberFormat="1" applyFont="1" applyFill="1" applyAlignment="1">
      <alignment horizontal="center" vertical="center"/>
    </xf>
    <xf numFmtId="164" fontId="3" fillId="7" borderId="0" xfId="0" applyNumberFormat="1" applyFont="1" applyFill="1" applyAlignment="1">
      <alignment horizontal="center" vertical="center"/>
    </xf>
    <xf numFmtId="164" fontId="3" fillId="12" borderId="0" xfId="0" applyNumberFormat="1" applyFont="1" applyFill="1" applyAlignment="1">
      <alignment horizontal="center" vertical="center"/>
    </xf>
    <xf numFmtId="164" fontId="3" fillId="8" borderId="0" xfId="0" applyNumberFormat="1" applyFont="1" applyFill="1" applyAlignment="1">
      <alignment horizontal="center" vertical="center"/>
    </xf>
    <xf numFmtId="166" fontId="3" fillId="0" borderId="0" xfId="0" applyNumberFormat="1" applyFont="1" applyAlignment="1">
      <alignment horizontal="center"/>
    </xf>
    <xf numFmtId="165" fontId="36" fillId="0" borderId="0" xfId="0" applyNumberFormat="1" applyFont="1" applyAlignment="1">
      <alignment horizontal="center"/>
    </xf>
    <xf numFmtId="165" fontId="3" fillId="2" borderId="0" xfId="0" applyNumberFormat="1" applyFont="1" applyFill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165" fontId="3" fillId="12" borderId="0" xfId="0" applyNumberFormat="1" applyFont="1" applyFill="1" applyAlignment="1">
      <alignment horizontal="center" vertical="center"/>
    </xf>
    <xf numFmtId="165" fontId="36" fillId="0" borderId="0" xfId="0" applyNumberFormat="1" applyFont="1" applyAlignment="1">
      <alignment horizontal="center" vertical="center"/>
    </xf>
    <xf numFmtId="165" fontId="3" fillId="7" borderId="0" xfId="0" applyNumberFormat="1" applyFont="1" applyFill="1" applyAlignment="1">
      <alignment horizontal="center" vertical="center"/>
    </xf>
    <xf numFmtId="165" fontId="3" fillId="13" borderId="0" xfId="0" applyNumberFormat="1" applyFont="1" applyFill="1" applyAlignment="1">
      <alignment horizontal="center"/>
    </xf>
    <xf numFmtId="0" fontId="37" fillId="0" borderId="0" xfId="0" applyFont="1"/>
    <xf numFmtId="164" fontId="37" fillId="0" borderId="0" xfId="0" applyNumberFormat="1" applyFont="1" applyAlignment="1">
      <alignment horizontal="center"/>
    </xf>
    <xf numFmtId="9" fontId="38" fillId="0" borderId="0" xfId="3" applyFont="1" applyAlignment="1">
      <alignment horizontal="center"/>
    </xf>
    <xf numFmtId="165" fontId="37" fillId="0" borderId="0" xfId="0" applyNumberFormat="1" applyFont="1" applyAlignment="1">
      <alignment horizontal="center"/>
    </xf>
    <xf numFmtId="9" fontId="38" fillId="0" borderId="6" xfId="3" applyFont="1" applyBorder="1" applyAlignment="1">
      <alignment horizontal="center"/>
    </xf>
    <xf numFmtId="9" fontId="37" fillId="0" borderId="0" xfId="3" applyFont="1" applyAlignment="1">
      <alignment horizontal="center"/>
    </xf>
    <xf numFmtId="164" fontId="37" fillId="0" borderId="0" xfId="0" applyNumberFormat="1" applyFont="1" applyAlignment="1">
      <alignment horizontal="center" vertical="center"/>
    </xf>
    <xf numFmtId="165" fontId="37" fillId="0" borderId="0" xfId="0" applyNumberFormat="1" applyFont="1" applyAlignment="1">
      <alignment horizontal="center" vertical="center"/>
    </xf>
    <xf numFmtId="165" fontId="37" fillId="3" borderId="0" xfId="0" applyNumberFormat="1" applyFont="1" applyFill="1" applyAlignment="1">
      <alignment horizontal="center" vertical="center"/>
    </xf>
    <xf numFmtId="164" fontId="37" fillId="2" borderId="0" xfId="0" applyNumberFormat="1" applyFont="1" applyFill="1" applyAlignment="1">
      <alignment horizontal="center" vertical="center"/>
    </xf>
    <xf numFmtId="164" fontId="39" fillId="28" borderId="0" xfId="0" applyNumberFormat="1" applyFont="1" applyFill="1" applyAlignment="1">
      <alignment horizontal="center" vertical="center"/>
    </xf>
    <xf numFmtId="164" fontId="37" fillId="7" borderId="0" xfId="0" applyNumberFormat="1" applyFont="1" applyFill="1" applyAlignment="1">
      <alignment horizontal="center" vertical="center"/>
    </xf>
    <xf numFmtId="164" fontId="37" fillId="10" borderId="0" xfId="0" applyNumberFormat="1" applyFont="1" applyFill="1" applyAlignment="1">
      <alignment horizontal="center"/>
    </xf>
    <xf numFmtId="164" fontId="37" fillId="12" borderId="0" xfId="0" applyNumberFormat="1" applyFont="1" applyFill="1" applyAlignment="1">
      <alignment horizontal="center" vertical="center"/>
    </xf>
    <xf numFmtId="164" fontId="37" fillId="8" borderId="0" xfId="0" applyNumberFormat="1" applyFont="1" applyFill="1" applyAlignment="1">
      <alignment horizontal="center" vertical="center"/>
    </xf>
    <xf numFmtId="166" fontId="37" fillId="0" borderId="0" xfId="0" applyNumberFormat="1" applyFont="1" applyAlignment="1">
      <alignment horizontal="center"/>
    </xf>
    <xf numFmtId="166" fontId="37" fillId="0" borderId="0" xfId="0" applyNumberFormat="1" applyFont="1"/>
    <xf numFmtId="166" fontId="40" fillId="23" borderId="0" xfId="0" applyNumberFormat="1" applyFont="1" applyFill="1" applyAlignment="1">
      <alignment horizontal="center"/>
    </xf>
    <xf numFmtId="166" fontId="37" fillId="0" borderId="0" xfId="0" applyNumberFormat="1" applyFont="1" applyAlignment="1">
      <alignment horizontal="center" vertical="center"/>
    </xf>
    <xf numFmtId="166" fontId="37" fillId="13" borderId="0" xfId="0" applyNumberFormat="1" applyFont="1" applyFill="1" applyAlignment="1">
      <alignment horizontal="center"/>
    </xf>
    <xf numFmtId="166" fontId="37" fillId="7" borderId="0" xfId="0" applyNumberFormat="1" applyFont="1" applyFill="1" applyAlignment="1">
      <alignment horizontal="center" vertical="center"/>
    </xf>
    <xf numFmtId="166" fontId="40" fillId="0" borderId="0" xfId="0" applyNumberFormat="1" applyFont="1" applyAlignment="1">
      <alignment horizontal="center"/>
    </xf>
    <xf numFmtId="9" fontId="38" fillId="0" borderId="0" xfId="3" applyFont="1" applyFill="1" applyBorder="1" applyAlignment="1">
      <alignment horizontal="center"/>
    </xf>
    <xf numFmtId="9" fontId="37" fillId="0" borderId="0" xfId="3" applyFont="1" applyFill="1" applyBorder="1" applyAlignment="1">
      <alignment horizontal="center"/>
    </xf>
    <xf numFmtId="164" fontId="37" fillId="0" borderId="0" xfId="0" applyNumberFormat="1" applyFont="1" applyAlignment="1">
      <alignment horizontal="center" vertical="center" wrapText="1"/>
    </xf>
    <xf numFmtId="165" fontId="37" fillId="0" borderId="0" xfId="3" applyNumberFormat="1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165" fontId="3" fillId="0" borderId="0" xfId="2" applyNumberFormat="1" applyFont="1" applyAlignment="1">
      <alignment horizontal="center"/>
    </xf>
    <xf numFmtId="168" fontId="34" fillId="0" borderId="0" xfId="3" applyNumberFormat="1" applyFont="1" applyAlignment="1">
      <alignment horizontal="center"/>
    </xf>
    <xf numFmtId="168" fontId="34" fillId="0" borderId="6" xfId="3" applyNumberFormat="1" applyFont="1" applyBorder="1" applyAlignment="1">
      <alignment horizontal="center"/>
    </xf>
    <xf numFmtId="165" fontId="3" fillId="7" borderId="0" xfId="0" applyNumberFormat="1" applyFont="1" applyFill="1" applyAlignment="1">
      <alignment horizontal="center"/>
    </xf>
    <xf numFmtId="164" fontId="3" fillId="3" borderId="0" xfId="0" applyNumberFormat="1" applyFont="1" applyFill="1" applyAlignment="1">
      <alignment horizontal="center" vertical="center"/>
    </xf>
    <xf numFmtId="165" fontId="3" fillId="3" borderId="0" xfId="2" applyNumberFormat="1" applyFont="1" applyFill="1" applyAlignment="1">
      <alignment horizontal="center" vertical="center"/>
    </xf>
    <xf numFmtId="164" fontId="3" fillId="3" borderId="0" xfId="2" applyNumberFormat="1" applyFont="1" applyFill="1" applyAlignment="1">
      <alignment horizontal="center" vertical="center"/>
    </xf>
    <xf numFmtId="165" fontId="3" fillId="10" borderId="0" xfId="0" applyNumberFormat="1" applyFont="1" applyFill="1" applyAlignment="1">
      <alignment horizontal="center" vertical="center"/>
    </xf>
    <xf numFmtId="165" fontId="36" fillId="23" borderId="0" xfId="0" applyNumberFormat="1" applyFont="1" applyFill="1" applyAlignment="1">
      <alignment horizontal="center"/>
    </xf>
    <xf numFmtId="0" fontId="42" fillId="0" borderId="0" xfId="0" applyFont="1" applyAlignment="1">
      <alignment horizontal="center"/>
    </xf>
    <xf numFmtId="164" fontId="45" fillId="0" borderId="0" xfId="0" applyNumberFormat="1" applyFont="1" applyAlignment="1">
      <alignment horizontal="center"/>
    </xf>
    <xf numFmtId="164" fontId="46" fillId="0" borderId="0" xfId="0" applyNumberFormat="1" applyFont="1" applyAlignment="1">
      <alignment horizontal="center"/>
    </xf>
    <xf numFmtId="10" fontId="45" fillId="0" borderId="0" xfId="0" applyNumberFormat="1" applyFont="1" applyAlignment="1">
      <alignment horizontal="center"/>
    </xf>
    <xf numFmtId="9" fontId="46" fillId="0" borderId="6" xfId="3" applyFont="1" applyBorder="1" applyAlignment="1">
      <alignment horizontal="center"/>
    </xf>
    <xf numFmtId="165" fontId="3" fillId="13" borderId="0" xfId="0" applyNumberFormat="1" applyFont="1" applyFill="1" applyAlignment="1">
      <alignment horizontal="center" vertical="center"/>
    </xf>
    <xf numFmtId="0" fontId="3" fillId="0" borderId="0" xfId="2" applyNumberFormat="1" applyFont="1" applyFill="1" applyAlignment="1">
      <alignment horizontal="center"/>
    </xf>
    <xf numFmtId="9" fontId="3" fillId="0" borderId="0" xfId="3" applyFont="1" applyFill="1" applyAlignment="1">
      <alignment horizontal="center" vertical="center"/>
    </xf>
    <xf numFmtId="10" fontId="3" fillId="0" borderId="0" xfId="0" applyNumberFormat="1" applyFont="1" applyAlignment="1">
      <alignment horizontal="center"/>
    </xf>
    <xf numFmtId="9" fontId="3" fillId="0" borderId="0" xfId="0" applyNumberFormat="1" applyFont="1" applyAlignment="1">
      <alignment horizontal="center"/>
    </xf>
    <xf numFmtId="10" fontId="3" fillId="0" borderId="0" xfId="3" applyNumberFormat="1" applyFont="1" applyFill="1" applyAlignment="1">
      <alignment horizontal="center"/>
    </xf>
    <xf numFmtId="0" fontId="3" fillId="0" borderId="0" xfId="0" applyFont="1" applyAlignment="1">
      <alignment horizontal="center" vertical="center"/>
    </xf>
    <xf numFmtId="0" fontId="36" fillId="0" borderId="0" xfId="0" applyFont="1" applyAlignment="1">
      <alignment horizontal="center"/>
    </xf>
    <xf numFmtId="165" fontId="3" fillId="3" borderId="0" xfId="2" applyNumberFormat="1" applyFont="1" applyFill="1" applyAlignment="1">
      <alignment horizontal="center"/>
    </xf>
    <xf numFmtId="164" fontId="3" fillId="3" borderId="0" xfId="2" applyNumberFormat="1" applyFont="1" applyFill="1" applyAlignment="1">
      <alignment horizontal="center"/>
    </xf>
    <xf numFmtId="164" fontId="3" fillId="3" borderId="0" xfId="0" applyNumberFormat="1" applyFont="1" applyFill="1" applyAlignment="1">
      <alignment horizontal="center" vertical="center" wrapText="1"/>
    </xf>
    <xf numFmtId="9" fontId="3" fillId="0" borderId="0" xfId="3" applyFont="1" applyAlignment="1">
      <alignment horizontal="center" vertical="center"/>
    </xf>
    <xf numFmtId="164" fontId="3" fillId="0" borderId="0" xfId="0" quotePrefix="1" applyNumberFormat="1" applyFont="1" applyAlignment="1">
      <alignment horizontal="center"/>
    </xf>
    <xf numFmtId="164" fontId="3" fillId="0" borderId="0" xfId="2" applyNumberFormat="1" applyFont="1" applyAlignment="1">
      <alignment horizontal="center"/>
    </xf>
    <xf numFmtId="165" fontId="3" fillId="8" borderId="0" xfId="0" applyNumberFormat="1" applyFont="1" applyFill="1" applyAlignment="1">
      <alignment horizontal="center" vertical="center"/>
    </xf>
    <xf numFmtId="165" fontId="3" fillId="9" borderId="0" xfId="0" applyNumberFormat="1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center"/>
    </xf>
    <xf numFmtId="9" fontId="3" fillId="0" borderId="0" xfId="3" applyFont="1" applyFill="1" applyAlignment="1">
      <alignment horizontal="center"/>
    </xf>
    <xf numFmtId="164" fontId="3" fillId="3" borderId="0" xfId="2" applyNumberFormat="1" applyFont="1" applyFill="1" applyAlignment="1">
      <alignment horizontal="center" vertical="center" wrapText="1"/>
    </xf>
    <xf numFmtId="0" fontId="37" fillId="0" borderId="0" xfId="0" applyFont="1" applyAlignment="1">
      <alignment horizontal="center" vertical="center"/>
    </xf>
    <xf numFmtId="168" fontId="38" fillId="0" borderId="0" xfId="3" applyNumberFormat="1" applyFont="1" applyAlignment="1">
      <alignment horizontal="center"/>
    </xf>
    <xf numFmtId="168" fontId="38" fillId="0" borderId="6" xfId="3" applyNumberFormat="1" applyFont="1" applyBorder="1" applyAlignment="1">
      <alignment horizontal="center"/>
    </xf>
    <xf numFmtId="164" fontId="39" fillId="0" borderId="0" xfId="0" applyNumberFormat="1" applyFont="1" applyAlignment="1">
      <alignment horizontal="center" vertical="center"/>
    </xf>
    <xf numFmtId="165" fontId="37" fillId="0" borderId="0" xfId="3" applyNumberFormat="1" applyFont="1" applyFill="1" applyAlignment="1">
      <alignment horizontal="center"/>
    </xf>
    <xf numFmtId="165" fontId="37" fillId="0" borderId="0" xfId="0" applyNumberFormat="1" applyFont="1"/>
    <xf numFmtId="0" fontId="40" fillId="0" borderId="0" xfId="0" applyFont="1" applyAlignment="1">
      <alignment horizontal="center"/>
    </xf>
    <xf numFmtId="165" fontId="40" fillId="0" borderId="0" xfId="0" applyNumberFormat="1" applyFont="1" applyAlignment="1">
      <alignment horizontal="center" vertical="center"/>
    </xf>
    <xf numFmtId="165" fontId="40" fillId="0" borderId="0" xfId="0" applyNumberFormat="1" applyFont="1" applyAlignment="1">
      <alignment horizontal="center"/>
    </xf>
    <xf numFmtId="0" fontId="37" fillId="0" borderId="0" xfId="3" applyNumberFormat="1" applyFont="1" applyFill="1" applyAlignment="1">
      <alignment horizontal="center"/>
    </xf>
    <xf numFmtId="10" fontId="37" fillId="0" borderId="0" xfId="3" applyNumberFormat="1" applyFont="1" applyFill="1" applyAlignment="1">
      <alignment horizontal="center"/>
    </xf>
    <xf numFmtId="0" fontId="0" fillId="0" borderId="0" xfId="0" applyAlignment="1">
      <alignment horizontal="right"/>
    </xf>
    <xf numFmtId="0" fontId="5" fillId="0" borderId="0" xfId="0" applyFont="1" applyAlignment="1">
      <alignment horizontal="left"/>
    </xf>
    <xf numFmtId="0" fontId="33" fillId="32" borderId="38" xfId="0" applyFont="1" applyFill="1" applyBorder="1" applyAlignment="1">
      <alignment horizontal="left" vertical="center"/>
    </xf>
    <xf numFmtId="0" fontId="50" fillId="0" borderId="0" xfId="0" applyFont="1" applyAlignment="1">
      <alignment horizontal="left"/>
    </xf>
    <xf numFmtId="0" fontId="50" fillId="10" borderId="0" xfId="0" applyFont="1" applyFill="1" applyAlignment="1">
      <alignment horizontal="left"/>
    </xf>
    <xf numFmtId="0" fontId="51" fillId="10" borderId="0" xfId="0" applyFont="1" applyFill="1" applyAlignment="1">
      <alignment horizontal="left"/>
    </xf>
    <xf numFmtId="0" fontId="50" fillId="0" borderId="0" xfId="0" applyFont="1" applyAlignment="1">
      <alignment horizontal="left" vertical="center"/>
    </xf>
    <xf numFmtId="0" fontId="50" fillId="23" borderId="0" xfId="0" applyFont="1" applyFill="1" applyAlignment="1">
      <alignment horizontal="left"/>
    </xf>
    <xf numFmtId="14" fontId="37" fillId="0" borderId="0" xfId="0" applyNumberFormat="1" applyFont="1" applyAlignment="1">
      <alignment horizontal="center"/>
    </xf>
    <xf numFmtId="0" fontId="37" fillId="6" borderId="0" xfId="0" applyFont="1" applyFill="1" applyAlignment="1">
      <alignment horizontal="center"/>
    </xf>
    <xf numFmtId="0" fontId="37" fillId="26" borderId="0" xfId="0" applyFont="1" applyFill="1" applyAlignment="1">
      <alignment horizontal="center"/>
    </xf>
    <xf numFmtId="0" fontId="37" fillId="6" borderId="0" xfId="0" applyFont="1" applyFill="1" applyAlignment="1">
      <alignment horizontal="left"/>
    </xf>
    <xf numFmtId="0" fontId="37" fillId="20" borderId="0" xfId="0" applyFont="1" applyFill="1" applyAlignment="1">
      <alignment horizontal="center"/>
    </xf>
    <xf numFmtId="164" fontId="37" fillId="9" borderId="0" xfId="0" applyNumberFormat="1" applyFont="1" applyFill="1" applyAlignment="1">
      <alignment horizontal="center"/>
    </xf>
    <xf numFmtId="164" fontId="37" fillId="3" borderId="0" xfId="0" applyNumberFormat="1" applyFont="1" applyFill="1" applyAlignment="1">
      <alignment horizontal="center"/>
    </xf>
    <xf numFmtId="165" fontId="37" fillId="6" borderId="0" xfId="0" applyNumberFormat="1" applyFont="1" applyFill="1" applyAlignment="1">
      <alignment horizontal="center"/>
    </xf>
    <xf numFmtId="164" fontId="37" fillId="30" borderId="0" xfId="0" applyNumberFormat="1" applyFont="1" applyFill="1" applyAlignment="1">
      <alignment horizontal="center"/>
    </xf>
    <xf numFmtId="164" fontId="37" fillId="6" borderId="0" xfId="0" applyNumberFormat="1" applyFont="1" applyFill="1" applyAlignment="1">
      <alignment horizontal="center"/>
    </xf>
    <xf numFmtId="164" fontId="37" fillId="8" borderId="0" xfId="0" applyNumberFormat="1" applyFont="1" applyFill="1" applyAlignment="1">
      <alignment horizontal="center"/>
    </xf>
    <xf numFmtId="164" fontId="37" fillId="31" borderId="0" xfId="0" applyNumberFormat="1" applyFont="1" applyFill="1" applyAlignment="1">
      <alignment horizontal="center"/>
    </xf>
    <xf numFmtId="0" fontId="52" fillId="8" borderId="0" xfId="0" applyFont="1" applyFill="1" applyAlignment="1">
      <alignment horizontal="center"/>
    </xf>
    <xf numFmtId="0" fontId="37" fillId="0" borderId="0" xfId="0" applyFont="1" applyAlignment="1">
      <alignment horizontal="center"/>
    </xf>
    <xf numFmtId="0" fontId="37" fillId="0" borderId="0" xfId="0" applyFont="1" applyAlignment="1">
      <alignment horizontal="left"/>
    </xf>
    <xf numFmtId="0" fontId="23" fillId="0" borderId="0" xfId="0" applyFont="1" applyAlignment="1">
      <alignment horizontal="center"/>
    </xf>
    <xf numFmtId="165" fontId="3" fillId="0" borderId="0" xfId="2" applyNumberFormat="1" applyFont="1" applyFill="1" applyAlignment="1">
      <alignment horizontal="center"/>
    </xf>
    <xf numFmtId="0" fontId="54" fillId="0" borderId="0" xfId="0" applyFont="1"/>
    <xf numFmtId="0" fontId="30" fillId="0" borderId="0" xfId="0" applyFont="1"/>
    <xf numFmtId="0" fontId="56" fillId="0" borderId="0" xfId="5" applyFont="1" applyAlignment="1" applyProtection="1">
      <alignment vertical="center"/>
      <protection locked="0"/>
    </xf>
    <xf numFmtId="0" fontId="57" fillId="0" borderId="0" xfId="5" applyFont="1" applyAlignment="1" applyProtection="1">
      <alignment horizontal="center" vertical="center"/>
      <protection locked="0"/>
    </xf>
    <xf numFmtId="165" fontId="5" fillId="3" borderId="0" xfId="0" applyNumberFormat="1" applyFont="1" applyFill="1" applyAlignment="1">
      <alignment horizontal="center"/>
    </xf>
    <xf numFmtId="164" fontId="37" fillId="29" borderId="0" xfId="0" applyNumberFormat="1" applyFont="1" applyFill="1" applyAlignment="1">
      <alignment horizontal="center"/>
    </xf>
    <xf numFmtId="0" fontId="56" fillId="0" borderId="0" xfId="5" applyFont="1" applyAlignment="1" applyProtection="1">
      <alignment horizontal="right" vertical="center"/>
      <protection locked="0"/>
    </xf>
    <xf numFmtId="164" fontId="5" fillId="29" borderId="0" xfId="0" applyNumberFormat="1" applyFont="1" applyFill="1" applyAlignment="1">
      <alignment horizontal="center"/>
    </xf>
    <xf numFmtId="164" fontId="24" fillId="29" borderId="0" xfId="0" applyNumberFormat="1" applyFont="1" applyFill="1" applyAlignment="1">
      <alignment horizontal="center"/>
    </xf>
    <xf numFmtId="164" fontId="5" fillId="29" borderId="0" xfId="0" applyNumberFormat="1" applyFont="1" applyFill="1" applyAlignment="1">
      <alignment horizontal="center" vertical="center"/>
    </xf>
    <xf numFmtId="0" fontId="56" fillId="29" borderId="0" xfId="5" applyFont="1" applyFill="1" applyAlignment="1" applyProtection="1">
      <alignment horizontal="right" vertical="center"/>
      <protection locked="0"/>
    </xf>
    <xf numFmtId="164" fontId="56" fillId="0" borderId="0" xfId="5" applyNumberFormat="1" applyFont="1" applyAlignment="1" applyProtection="1">
      <alignment horizontal="right" vertical="center"/>
      <protection locked="0"/>
    </xf>
    <xf numFmtId="164" fontId="58" fillId="0" borderId="0" xfId="0" applyNumberFormat="1" applyFont="1" applyAlignment="1">
      <alignment horizontal="center"/>
    </xf>
    <xf numFmtId="164" fontId="59" fillId="0" borderId="0" xfId="0" applyNumberFormat="1" applyFont="1" applyAlignment="1">
      <alignment horizontal="center"/>
    </xf>
    <xf numFmtId="0" fontId="60" fillId="0" borderId="0" xfId="0" applyFont="1" applyAlignment="1">
      <alignment horizontal="left"/>
    </xf>
    <xf numFmtId="0" fontId="61" fillId="0" borderId="0" xfId="5" applyFont="1" applyAlignment="1" applyProtection="1">
      <alignment vertical="center"/>
      <protection locked="0"/>
    </xf>
    <xf numFmtId="0" fontId="62" fillId="0" borderId="0" xfId="0" applyFont="1"/>
    <xf numFmtId="0" fontId="60" fillId="0" borderId="0" xfId="0" applyFont="1"/>
    <xf numFmtId="164" fontId="5" fillId="33" borderId="0" xfId="0" applyNumberFormat="1" applyFont="1" applyFill="1" applyAlignment="1">
      <alignment horizontal="center"/>
    </xf>
    <xf numFmtId="164" fontId="5" fillId="34" borderId="0" xfId="0" applyNumberFormat="1" applyFont="1" applyFill="1" applyAlignment="1">
      <alignment horizontal="center"/>
    </xf>
    <xf numFmtId="165" fontId="5" fillId="34" borderId="0" xfId="0" applyNumberFormat="1" applyFont="1" applyFill="1" applyAlignment="1">
      <alignment horizontal="center"/>
    </xf>
    <xf numFmtId="0" fontId="63" fillId="6" borderId="0" xfId="0" applyFont="1" applyFill="1" applyAlignment="1">
      <alignment horizontal="left"/>
    </xf>
    <xf numFmtId="0" fontId="5" fillId="6" borderId="0" xfId="0" applyFont="1" applyFill="1" applyAlignment="1">
      <alignment horizontal="center"/>
    </xf>
    <xf numFmtId="0" fontId="5" fillId="20" borderId="0" xfId="0" applyFont="1" applyFill="1" applyAlignment="1">
      <alignment horizontal="center"/>
    </xf>
    <xf numFmtId="0" fontId="64" fillId="8" borderId="0" xfId="0" applyFont="1" applyFill="1" applyAlignment="1">
      <alignment horizontal="center"/>
    </xf>
    <xf numFmtId="164" fontId="5" fillId="31" borderId="41" xfId="0" applyNumberFormat="1" applyFont="1" applyFill="1" applyBorder="1" applyAlignment="1">
      <alignment horizontal="center"/>
    </xf>
    <xf numFmtId="164" fontId="5" fillId="20" borderId="0" xfId="0" applyNumberFormat="1" applyFont="1" applyFill="1" applyAlignment="1">
      <alignment horizontal="center"/>
    </xf>
    <xf numFmtId="164" fontId="37" fillId="20" borderId="0" xfId="0" applyNumberFormat="1" applyFont="1" applyFill="1" applyAlignment="1">
      <alignment horizontal="center"/>
    </xf>
    <xf numFmtId="164" fontId="5" fillId="20" borderId="42" xfId="0" applyNumberFormat="1" applyFont="1" applyFill="1" applyBorder="1" applyAlignment="1">
      <alignment horizontal="center"/>
    </xf>
    <xf numFmtId="164" fontId="37" fillId="20" borderId="42" xfId="0" applyNumberFormat="1" applyFont="1" applyFill="1" applyBorder="1" applyAlignment="1">
      <alignment horizontal="center"/>
    </xf>
    <xf numFmtId="0" fontId="53" fillId="20" borderId="42" xfId="0" applyFont="1" applyFill="1" applyBorder="1" applyAlignment="1">
      <alignment horizontal="center" vertical="center"/>
    </xf>
    <xf numFmtId="164" fontId="22" fillId="0" borderId="0" xfId="0" applyNumberFormat="1" applyFont="1" applyAlignment="1">
      <alignment horizontal="center"/>
    </xf>
    <xf numFmtId="0" fontId="3" fillId="6" borderId="0" xfId="0" applyFont="1" applyFill="1" applyAlignment="1">
      <alignment horizontal="left"/>
    </xf>
    <xf numFmtId="0" fontId="65" fillId="0" borderId="0" xfId="5" applyFont="1" applyAlignment="1" applyProtection="1">
      <alignment vertical="center"/>
      <protection locked="0"/>
    </xf>
    <xf numFmtId="0" fontId="53" fillId="27" borderId="33" xfId="0" applyFont="1" applyFill="1" applyBorder="1" applyAlignment="1">
      <alignment vertical="center"/>
    </xf>
    <xf numFmtId="0" fontId="53" fillId="27" borderId="32" xfId="0" applyFont="1" applyFill="1" applyBorder="1" applyAlignment="1">
      <alignment vertical="center"/>
    </xf>
    <xf numFmtId="164" fontId="5" fillId="35" borderId="0" xfId="0" applyNumberFormat="1" applyFont="1" applyFill="1" applyAlignment="1">
      <alignment horizontal="center"/>
    </xf>
    <xf numFmtId="164" fontId="37" fillId="35" borderId="0" xfId="0" applyNumberFormat="1" applyFont="1" applyFill="1" applyAlignment="1">
      <alignment horizontal="center"/>
    </xf>
    <xf numFmtId="0" fontId="53" fillId="35" borderId="32" xfId="0" applyFont="1" applyFill="1" applyBorder="1" applyAlignment="1">
      <alignment vertical="center"/>
    </xf>
    <xf numFmtId="164" fontId="56" fillId="6" borderId="0" xfId="5" applyNumberFormat="1" applyFont="1" applyFill="1" applyAlignment="1" applyProtection="1">
      <alignment horizontal="right" vertical="center"/>
      <protection locked="0"/>
    </xf>
    <xf numFmtId="0" fontId="56" fillId="6" borderId="0" xfId="5" applyFont="1" applyFill="1" applyAlignment="1" applyProtection="1">
      <alignment horizontal="right" vertical="center"/>
      <protection locked="0"/>
    </xf>
    <xf numFmtId="0" fontId="31" fillId="0" borderId="0" xfId="0" applyFont="1" applyAlignment="1">
      <alignment horizontal="center"/>
    </xf>
    <xf numFmtId="8" fontId="30" fillId="0" borderId="0" xfId="0" applyNumberFormat="1" applyFont="1" applyAlignment="1">
      <alignment vertical="center"/>
    </xf>
    <xf numFmtId="164" fontId="3" fillId="0" borderId="0" xfId="0" applyNumberFormat="1" applyFont="1" applyAlignment="1">
      <alignment horizontal="center" vertical="top"/>
    </xf>
    <xf numFmtId="165" fontId="3" fillId="0" borderId="0" xfId="0" applyNumberFormat="1" applyFont="1" applyAlignment="1">
      <alignment horizontal="center" vertical="top"/>
    </xf>
    <xf numFmtId="165" fontId="3" fillId="0" borderId="0" xfId="2" applyNumberFormat="1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9" fontId="34" fillId="0" borderId="0" xfId="3" applyFont="1" applyAlignment="1">
      <alignment horizontal="center" vertical="top"/>
    </xf>
    <xf numFmtId="0" fontId="0" fillId="0" borderId="0" xfId="0" applyAlignment="1">
      <alignment horizontal="center" vertical="top"/>
    </xf>
    <xf numFmtId="168" fontId="34" fillId="0" borderId="0" xfId="3" applyNumberFormat="1" applyFont="1" applyAlignment="1">
      <alignment horizontal="center" vertical="top"/>
    </xf>
    <xf numFmtId="9" fontId="34" fillId="0" borderId="6" xfId="3" applyFont="1" applyBorder="1" applyAlignment="1">
      <alignment horizontal="center" vertical="top"/>
    </xf>
    <xf numFmtId="168" fontId="34" fillId="0" borderId="6" xfId="3" applyNumberFormat="1" applyFont="1" applyBorder="1" applyAlignment="1">
      <alignment horizontal="center" vertical="top"/>
    </xf>
    <xf numFmtId="166" fontId="2" fillId="19" borderId="24" xfId="2" applyNumberFormat="1" applyFont="1" applyFill="1" applyBorder="1" applyAlignment="1">
      <alignment horizontal="center" vertical="center"/>
    </xf>
    <xf numFmtId="165" fontId="2" fillId="21" borderId="10" xfId="2" applyNumberFormat="1" applyFont="1" applyFill="1" applyBorder="1" applyAlignment="1">
      <alignment horizontal="center" vertical="center"/>
    </xf>
    <xf numFmtId="165" fontId="2" fillId="21" borderId="14" xfId="2" applyNumberFormat="1" applyFont="1" applyFill="1" applyBorder="1" applyAlignment="1">
      <alignment horizontal="center" vertical="center"/>
    </xf>
    <xf numFmtId="165" fontId="2" fillId="21" borderId="17" xfId="2" applyNumberFormat="1" applyFont="1" applyFill="1" applyBorder="1" applyAlignment="1">
      <alignment horizontal="center" vertical="center"/>
    </xf>
    <xf numFmtId="165" fontId="2" fillId="0" borderId="15" xfId="0" applyNumberFormat="1" applyFont="1" applyBorder="1" applyAlignment="1">
      <alignment horizontal="center" vertical="center"/>
    </xf>
    <xf numFmtId="165" fontId="2" fillId="0" borderId="18" xfId="0" applyNumberFormat="1" applyFont="1" applyBorder="1" applyAlignment="1">
      <alignment horizontal="center" vertical="center"/>
    </xf>
    <xf numFmtId="165" fontId="2" fillId="0" borderId="26" xfId="0" applyNumberFormat="1" applyFont="1" applyBorder="1" applyAlignment="1">
      <alignment horizontal="center" vertical="center"/>
    </xf>
    <xf numFmtId="166" fontId="2" fillId="0" borderId="16" xfId="2" applyNumberFormat="1" applyFont="1" applyFill="1" applyBorder="1" applyAlignment="1">
      <alignment horizontal="center" vertical="center"/>
    </xf>
    <xf numFmtId="165" fontId="2" fillId="21" borderId="26" xfId="2" applyNumberFormat="1" applyFont="1" applyFill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1" fontId="2" fillId="15" borderId="13" xfId="0" applyNumberFormat="1" applyFont="1" applyFill="1" applyBorder="1" applyAlignment="1">
      <alignment vertical="center"/>
    </xf>
    <xf numFmtId="166" fontId="13" fillId="0" borderId="44" xfId="2" applyNumberFormat="1" applyFont="1" applyFill="1" applyBorder="1" applyAlignment="1">
      <alignment vertical="center"/>
    </xf>
    <xf numFmtId="166" fontId="2" fillId="0" borderId="16" xfId="2" applyNumberFormat="1" applyFont="1" applyFill="1" applyBorder="1" applyAlignment="1">
      <alignment vertical="center"/>
    </xf>
    <xf numFmtId="165" fontId="43" fillId="0" borderId="0" xfId="0" applyNumberFormat="1" applyFont="1" applyAlignment="1">
      <alignment vertical="center"/>
    </xf>
    <xf numFmtId="165" fontId="44" fillId="0" borderId="0" xfId="0" applyNumberFormat="1" applyFont="1" applyAlignment="1">
      <alignment vertical="center"/>
    </xf>
    <xf numFmtId="165" fontId="47" fillId="0" borderId="0" xfId="0" applyNumberFormat="1" applyFont="1" applyAlignment="1">
      <alignment vertical="center"/>
    </xf>
    <xf numFmtId="165" fontId="48" fillId="0" borderId="0" xfId="0" applyNumberFormat="1" applyFont="1" applyAlignment="1">
      <alignment vertical="center"/>
    </xf>
    <xf numFmtId="165" fontId="3" fillId="0" borderId="0" xfId="2" applyNumberFormat="1" applyFont="1" applyAlignment="1">
      <alignment horizontal="center" vertical="center"/>
    </xf>
    <xf numFmtId="165" fontId="36" fillId="23" borderId="0" xfId="0" applyNumberFormat="1" applyFont="1" applyFill="1" applyAlignment="1">
      <alignment horizontal="center" vertical="center"/>
    </xf>
    <xf numFmtId="0" fontId="42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9" fontId="34" fillId="0" borderId="0" xfId="3" applyFont="1" applyFill="1" applyBorder="1" applyAlignment="1">
      <alignment horizontal="center"/>
    </xf>
    <xf numFmtId="168" fontId="34" fillId="0" borderId="0" xfId="3" applyNumberFormat="1" applyFont="1" applyFill="1" applyBorder="1" applyAlignment="1">
      <alignment horizontal="center"/>
    </xf>
    <xf numFmtId="9" fontId="3" fillId="0" borderId="0" xfId="3" applyFont="1" applyFill="1" applyBorder="1" applyAlignment="1">
      <alignment horizontal="center"/>
    </xf>
    <xf numFmtId="9" fontId="46" fillId="0" borderId="0" xfId="3" applyFont="1" applyFill="1" applyBorder="1" applyAlignment="1">
      <alignment horizontal="center"/>
    </xf>
    <xf numFmtId="165" fontId="3" fillId="0" borderId="0" xfId="2" applyNumberFormat="1" applyFont="1" applyFill="1" applyBorder="1" applyAlignment="1">
      <alignment horizontal="center"/>
    </xf>
    <xf numFmtId="164" fontId="3" fillId="0" borderId="0" xfId="2" applyNumberFormat="1" applyFont="1" applyFill="1" applyBorder="1" applyAlignment="1">
      <alignment horizontal="center"/>
    </xf>
    <xf numFmtId="165" fontId="3" fillId="0" borderId="0" xfId="2" applyNumberFormat="1" applyFont="1" applyFill="1" applyBorder="1" applyAlignment="1">
      <alignment horizontal="center" vertical="center"/>
    </xf>
    <xf numFmtId="164" fontId="3" fillId="0" borderId="0" xfId="2" applyNumberFormat="1" applyFont="1" applyFill="1" applyBorder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 wrapText="1"/>
    </xf>
    <xf numFmtId="164" fontId="35" fillId="0" borderId="0" xfId="0" applyNumberFormat="1" applyFont="1" applyAlignment="1">
      <alignment horizontal="center" vertical="center"/>
    </xf>
    <xf numFmtId="164" fontId="41" fillId="0" borderId="0" xfId="0" applyNumberFormat="1" applyFont="1" applyAlignment="1">
      <alignment horizontal="center" vertical="center" wrapText="1"/>
    </xf>
    <xf numFmtId="164" fontId="41" fillId="0" borderId="0" xfId="0" applyNumberFormat="1" applyFont="1" applyAlignment="1">
      <alignment vertical="center" wrapText="1"/>
    </xf>
    <xf numFmtId="164" fontId="3" fillId="0" borderId="0" xfId="2" applyNumberFormat="1" applyFont="1" applyFill="1" applyBorder="1" applyAlignment="1">
      <alignment horizontal="center" vertical="center"/>
    </xf>
    <xf numFmtId="1" fontId="2" fillId="0" borderId="27" xfId="0" applyNumberFormat="1" applyFont="1" applyBorder="1" applyAlignment="1">
      <alignment vertical="center"/>
    </xf>
    <xf numFmtId="0" fontId="53" fillId="27" borderId="33" xfId="0" applyFont="1" applyFill="1" applyBorder="1" applyAlignment="1">
      <alignment horizontal="center" vertical="center"/>
    </xf>
    <xf numFmtId="0" fontId="53" fillId="27" borderId="32" xfId="0" applyFont="1" applyFill="1" applyBorder="1" applyAlignment="1">
      <alignment horizontal="center" vertical="center"/>
    </xf>
    <xf numFmtId="0" fontId="3" fillId="27" borderId="33" xfId="0" applyFont="1" applyFill="1" applyBorder="1" applyAlignment="1">
      <alignment horizontal="center"/>
    </xf>
    <xf numFmtId="0" fontId="3" fillId="27" borderId="32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3" fillId="27" borderId="40" xfId="0" applyFont="1" applyFill="1" applyBorder="1" applyAlignment="1">
      <alignment horizontal="center"/>
    </xf>
    <xf numFmtId="164" fontId="5" fillId="9" borderId="0" xfId="0" applyNumberFormat="1" applyFont="1" applyFill="1" applyAlignment="1">
      <alignment horizontal="center" vertical="center"/>
    </xf>
    <xf numFmtId="164" fontId="5" fillId="3" borderId="0" xfId="0" applyNumberFormat="1" applyFont="1" applyFill="1" applyAlignment="1">
      <alignment horizontal="center" vertical="center"/>
    </xf>
    <xf numFmtId="164" fontId="5" fillId="8" borderId="39" xfId="0" applyNumberFormat="1" applyFont="1" applyFill="1" applyBorder="1" applyAlignment="1">
      <alignment horizontal="center" vertical="center"/>
    </xf>
    <xf numFmtId="164" fontId="5" fillId="31" borderId="35" xfId="0" applyNumberFormat="1" applyFont="1" applyFill="1" applyBorder="1" applyAlignment="1">
      <alignment horizontal="center" vertical="center"/>
    </xf>
    <xf numFmtId="164" fontId="5" fillId="31" borderId="37" xfId="0" applyNumberFormat="1" applyFont="1" applyFill="1" applyBorder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 wrapText="1"/>
    </xf>
    <xf numFmtId="164" fontId="5" fillId="0" borderId="0" xfId="0" applyNumberFormat="1" applyFont="1" applyAlignment="1">
      <alignment horizontal="center"/>
    </xf>
    <xf numFmtId="164" fontId="5" fillId="4" borderId="0" xfId="0" applyNumberFormat="1" applyFont="1" applyFill="1" applyAlignment="1">
      <alignment horizontal="center" vertical="center"/>
    </xf>
    <xf numFmtId="0" fontId="53" fillId="27" borderId="40" xfId="0" applyFont="1" applyFill="1" applyBorder="1" applyAlignment="1">
      <alignment horizontal="center" vertical="center"/>
    </xf>
    <xf numFmtId="165" fontId="43" fillId="2" borderId="0" xfId="0" applyNumberFormat="1" applyFont="1" applyFill="1" applyAlignment="1">
      <alignment horizontal="center" vertical="center"/>
    </xf>
    <xf numFmtId="165" fontId="44" fillId="12" borderId="0" xfId="0" applyNumberFormat="1" applyFont="1" applyFill="1" applyAlignment="1">
      <alignment horizontal="center" vertical="center"/>
    </xf>
    <xf numFmtId="165" fontId="47" fillId="7" borderId="0" xfId="0" applyNumberFormat="1" applyFont="1" applyFill="1" applyAlignment="1">
      <alignment horizontal="center" vertical="center"/>
    </xf>
    <xf numFmtId="165" fontId="48" fillId="13" borderId="0" xfId="0" applyNumberFormat="1" applyFont="1" applyFill="1" applyAlignment="1">
      <alignment horizontal="center" vertical="center"/>
    </xf>
    <xf numFmtId="164" fontId="70" fillId="4" borderId="0" xfId="0" applyNumberFormat="1" applyFont="1" applyFill="1" applyAlignment="1">
      <alignment horizontal="center" vertical="center" wrapText="1"/>
    </xf>
    <xf numFmtId="164" fontId="41" fillId="4" borderId="0" xfId="0" applyNumberFormat="1" applyFont="1" applyFill="1" applyAlignment="1">
      <alignment horizontal="center" vertical="center" wrapText="1"/>
    </xf>
    <xf numFmtId="164" fontId="49" fillId="4" borderId="0" xfId="0" applyNumberFormat="1" applyFont="1" applyFill="1" applyAlignment="1">
      <alignment horizontal="center" vertical="center" wrapText="1"/>
    </xf>
    <xf numFmtId="0" fontId="68" fillId="37" borderId="0" xfId="0" applyFont="1" applyFill="1" applyAlignment="1">
      <alignment horizontal="center" vertical="center"/>
    </xf>
    <xf numFmtId="164" fontId="69" fillId="4" borderId="0" xfId="0" applyNumberFormat="1" applyFont="1" applyFill="1" applyAlignment="1">
      <alignment horizontal="center" vertical="center" wrapText="1"/>
    </xf>
    <xf numFmtId="164" fontId="3" fillId="0" borderId="0" xfId="0" applyNumberFormat="1" applyFont="1" applyAlignment="1">
      <alignment horizontal="center"/>
    </xf>
    <xf numFmtId="165" fontId="67" fillId="37" borderId="11" xfId="0" applyNumberFormat="1" applyFont="1" applyFill="1" applyBorder="1" applyAlignment="1">
      <alignment horizontal="center" vertical="center"/>
    </xf>
    <xf numFmtId="165" fontId="67" fillId="37" borderId="43" xfId="0" applyNumberFormat="1" applyFont="1" applyFill="1" applyBorder="1" applyAlignment="1">
      <alignment horizontal="center" vertical="center"/>
    </xf>
    <xf numFmtId="165" fontId="2" fillId="36" borderId="13" xfId="2" applyNumberFormat="1" applyFont="1" applyFill="1" applyBorder="1" applyAlignment="1">
      <alignment horizontal="center" vertical="center"/>
    </xf>
    <xf numFmtId="165" fontId="2" fillId="36" borderId="20" xfId="2" applyNumberFormat="1" applyFont="1" applyFill="1" applyBorder="1" applyAlignment="1">
      <alignment horizontal="center" vertical="center"/>
    </xf>
    <xf numFmtId="165" fontId="2" fillId="8" borderId="13" xfId="0" applyNumberFormat="1" applyFont="1" applyFill="1" applyBorder="1" applyAlignment="1">
      <alignment horizontal="center" vertical="center"/>
    </xf>
    <xf numFmtId="165" fontId="2" fillId="8" borderId="20" xfId="0" applyNumberFormat="1" applyFont="1" applyFill="1" applyBorder="1" applyAlignment="1">
      <alignment horizontal="center" vertical="center"/>
    </xf>
    <xf numFmtId="166" fontId="2" fillId="19" borderId="24" xfId="2" applyNumberFormat="1" applyFont="1" applyFill="1" applyBorder="1" applyAlignment="1">
      <alignment horizontal="center" vertical="center"/>
    </xf>
    <xf numFmtId="166" fontId="2" fillId="19" borderId="25" xfId="2" applyNumberFormat="1" applyFont="1" applyFill="1" applyBorder="1" applyAlignment="1">
      <alignment horizontal="center" vertical="center"/>
    </xf>
    <xf numFmtId="1" fontId="2" fillId="15" borderId="13" xfId="0" applyNumberFormat="1" applyFont="1" applyFill="1" applyBorder="1" applyAlignment="1">
      <alignment horizontal="center" vertical="center"/>
    </xf>
    <xf numFmtId="1" fontId="2" fillId="15" borderId="20" xfId="0" applyNumberFormat="1" applyFont="1" applyFill="1" applyBorder="1" applyAlignment="1">
      <alignment horizontal="center" vertical="center"/>
    </xf>
    <xf numFmtId="165" fontId="2" fillId="18" borderId="10" xfId="2" applyNumberFormat="1" applyFont="1" applyFill="1" applyBorder="1" applyAlignment="1">
      <alignment horizontal="center" vertical="center"/>
    </xf>
    <xf numFmtId="0" fontId="2" fillId="0" borderId="13" xfId="2" applyNumberFormat="1" applyFont="1" applyFill="1" applyBorder="1" applyAlignment="1">
      <alignment horizontal="center" vertical="center"/>
    </xf>
    <xf numFmtId="0" fontId="2" fillId="0" borderId="20" xfId="2" applyNumberFormat="1" applyFont="1" applyFill="1" applyBorder="1" applyAlignment="1">
      <alignment horizontal="center" vertical="center"/>
    </xf>
    <xf numFmtId="165" fontId="2" fillId="21" borderId="13" xfId="2" applyNumberFormat="1" applyFont="1" applyFill="1" applyBorder="1" applyAlignment="1">
      <alignment horizontal="center" vertical="center"/>
    </xf>
    <xf numFmtId="165" fontId="2" fillId="21" borderId="20" xfId="2" applyNumberFormat="1" applyFont="1" applyFill="1" applyBorder="1" applyAlignment="1">
      <alignment horizontal="center" vertical="center"/>
    </xf>
    <xf numFmtId="165" fontId="2" fillId="20" borderId="28" xfId="2" applyNumberFormat="1" applyFont="1" applyFill="1" applyBorder="1" applyAlignment="1">
      <alignment horizontal="center" vertical="center"/>
    </xf>
    <xf numFmtId="165" fontId="2" fillId="20" borderId="29" xfId="2" applyNumberFormat="1" applyFont="1" applyFill="1" applyBorder="1" applyAlignment="1">
      <alignment horizontal="center" vertical="center"/>
    </xf>
    <xf numFmtId="165" fontId="2" fillId="25" borderId="13" xfId="2" applyNumberFormat="1" applyFont="1" applyFill="1" applyBorder="1" applyAlignment="1">
      <alignment horizontal="center" vertical="center"/>
    </xf>
    <xf numFmtId="165" fontId="2" fillId="25" borderId="20" xfId="2" applyNumberFormat="1" applyFont="1" applyFill="1" applyBorder="1" applyAlignment="1">
      <alignment horizontal="center" vertical="center"/>
    </xf>
    <xf numFmtId="1" fontId="2" fillId="15" borderId="10" xfId="0" applyNumberFormat="1" applyFont="1" applyFill="1" applyBorder="1" applyAlignment="1">
      <alignment horizontal="center" vertical="center"/>
    </xf>
    <xf numFmtId="166" fontId="66" fillId="22" borderId="21" xfId="2" applyNumberFormat="1" applyFont="1" applyFill="1" applyBorder="1" applyAlignment="1">
      <alignment horizontal="center" vertical="center"/>
    </xf>
    <xf numFmtId="166" fontId="66" fillId="22" borderId="23" xfId="2" applyNumberFormat="1" applyFont="1" applyFill="1" applyBorder="1" applyAlignment="1">
      <alignment horizontal="center" vertical="center"/>
    </xf>
    <xf numFmtId="165" fontId="2" fillId="21" borderId="10" xfId="2" applyNumberFormat="1" applyFont="1" applyFill="1" applyBorder="1" applyAlignment="1">
      <alignment horizontal="center" vertical="center"/>
    </xf>
    <xf numFmtId="0" fontId="2" fillId="0" borderId="10" xfId="2" applyNumberFormat="1" applyFont="1" applyFill="1" applyBorder="1" applyAlignment="1">
      <alignment horizontal="center" vertical="center"/>
    </xf>
    <xf numFmtId="165" fontId="2" fillId="18" borderId="13" xfId="2" applyNumberFormat="1" applyFont="1" applyFill="1" applyBorder="1" applyAlignment="1">
      <alignment horizontal="center" vertical="center"/>
    </xf>
    <xf numFmtId="165" fontId="2" fillId="18" borderId="20" xfId="2" applyNumberFormat="1" applyFont="1" applyFill="1" applyBorder="1" applyAlignment="1">
      <alignment horizontal="center" vertical="center"/>
    </xf>
    <xf numFmtId="165" fontId="2" fillId="25" borderId="30" xfId="2" applyNumberFormat="1" applyFont="1" applyFill="1" applyBorder="1" applyAlignment="1">
      <alignment horizontal="center" vertical="center"/>
    </xf>
    <xf numFmtId="166" fontId="13" fillId="22" borderId="21" xfId="2" applyNumberFormat="1" applyFont="1" applyFill="1" applyBorder="1" applyAlignment="1">
      <alignment horizontal="center" vertical="center"/>
    </xf>
    <xf numFmtId="166" fontId="13" fillId="22" borderId="23" xfId="2" applyNumberFormat="1" applyFont="1" applyFill="1" applyBorder="1" applyAlignment="1">
      <alignment horizontal="center" vertical="center"/>
    </xf>
    <xf numFmtId="165" fontId="2" fillId="20" borderId="10" xfId="2" applyNumberFormat="1" applyFont="1" applyFill="1" applyBorder="1" applyAlignment="1">
      <alignment horizontal="center" vertical="center"/>
    </xf>
    <xf numFmtId="166" fontId="13" fillId="0" borderId="10" xfId="2" applyNumberFormat="1" applyFont="1" applyFill="1" applyBorder="1" applyAlignment="1">
      <alignment horizontal="center" vertical="center"/>
    </xf>
    <xf numFmtId="166" fontId="2" fillId="19" borderId="10" xfId="2" applyNumberFormat="1" applyFont="1" applyFill="1" applyBorder="1" applyAlignment="1">
      <alignment horizontal="center" vertical="center"/>
    </xf>
    <xf numFmtId="165" fontId="2" fillId="8" borderId="13" xfId="2" applyNumberFormat="1" applyFont="1" applyFill="1" applyBorder="1" applyAlignment="1">
      <alignment horizontal="center" vertical="center"/>
    </xf>
    <xf numFmtId="165" fontId="2" fillId="8" borderId="20" xfId="2" applyNumberFormat="1" applyFont="1" applyFill="1" applyBorder="1" applyAlignment="1">
      <alignment horizontal="center" vertical="center"/>
    </xf>
    <xf numFmtId="0" fontId="2" fillId="20" borderId="10" xfId="2" applyNumberFormat="1" applyFont="1" applyFill="1" applyBorder="1" applyAlignment="1">
      <alignment horizontal="right" vertical="center"/>
    </xf>
    <xf numFmtId="165" fontId="2" fillId="21" borderId="14" xfId="2" applyNumberFormat="1" applyFont="1" applyFill="1" applyBorder="1" applyAlignment="1">
      <alignment horizontal="center" vertical="center"/>
    </xf>
    <xf numFmtId="165" fontId="2" fillId="21" borderId="17" xfId="2" applyNumberFormat="1" applyFont="1" applyFill="1" applyBorder="1" applyAlignment="1">
      <alignment horizontal="center" vertical="center"/>
    </xf>
    <xf numFmtId="164" fontId="12" fillId="24" borderId="13" xfId="0" applyNumberFormat="1" applyFont="1" applyFill="1" applyBorder="1" applyAlignment="1">
      <alignment horizontal="center" vertical="center"/>
    </xf>
    <xf numFmtId="164" fontId="12" fillId="24" borderId="20" xfId="0" applyNumberFormat="1" applyFont="1" applyFill="1" applyBorder="1" applyAlignment="1">
      <alignment horizontal="center" vertical="center"/>
    </xf>
    <xf numFmtId="9" fontId="2" fillId="17" borderId="10" xfId="0" applyNumberFormat="1" applyFont="1" applyFill="1" applyBorder="1" applyAlignment="1">
      <alignment horizontal="center" vertical="center" wrapText="1"/>
    </xf>
    <xf numFmtId="0" fontId="2" fillId="17" borderId="10" xfId="0" applyFont="1" applyFill="1" applyBorder="1" applyAlignment="1">
      <alignment horizontal="center" vertical="center" wrapText="1"/>
    </xf>
    <xf numFmtId="165" fontId="2" fillId="0" borderId="14" xfId="0" applyNumberFormat="1" applyFont="1" applyBorder="1" applyAlignment="1">
      <alignment horizontal="center" vertical="center"/>
    </xf>
    <xf numFmtId="165" fontId="2" fillId="0" borderId="15" xfId="0" applyNumberFormat="1" applyFont="1" applyBorder="1" applyAlignment="1">
      <alignment horizontal="center" vertical="center"/>
    </xf>
    <xf numFmtId="165" fontId="2" fillId="0" borderId="17" xfId="0" applyNumberFormat="1" applyFont="1" applyBorder="1" applyAlignment="1">
      <alignment horizontal="center" vertical="center"/>
    </xf>
    <xf numFmtId="165" fontId="2" fillId="0" borderId="18" xfId="0" applyNumberFormat="1" applyFont="1" applyBorder="1" applyAlignment="1">
      <alignment horizontal="center" vertical="center"/>
    </xf>
    <xf numFmtId="0" fontId="2" fillId="8" borderId="10" xfId="2" applyNumberFormat="1" applyFont="1" applyFill="1" applyBorder="1" applyAlignment="1">
      <alignment horizontal="center" vertical="center"/>
    </xf>
    <xf numFmtId="164" fontId="12" fillId="24" borderId="22" xfId="0" applyNumberFormat="1" applyFont="1" applyFill="1" applyBorder="1" applyAlignment="1">
      <alignment horizontal="center" vertical="center"/>
    </xf>
    <xf numFmtId="164" fontId="12" fillId="24" borderId="13" xfId="0" applyNumberFormat="1" applyFont="1" applyFill="1" applyBorder="1" applyAlignment="1">
      <alignment horizontal="center" vertical="center" wrapText="1"/>
    </xf>
    <xf numFmtId="164" fontId="12" fillId="24" borderId="20" xfId="0" applyNumberFormat="1" applyFont="1" applyFill="1" applyBorder="1" applyAlignment="1">
      <alignment horizontal="center" vertical="center" wrapText="1"/>
    </xf>
    <xf numFmtId="164" fontId="12" fillId="24" borderId="30" xfId="0" applyNumberFormat="1" applyFont="1" applyFill="1" applyBorder="1" applyAlignment="1">
      <alignment horizontal="center" vertical="center"/>
    </xf>
    <xf numFmtId="1" fontId="2" fillId="15" borderId="30" xfId="0" applyNumberFormat="1" applyFont="1" applyFill="1" applyBorder="1" applyAlignment="1">
      <alignment horizontal="center" vertical="center"/>
    </xf>
    <xf numFmtId="165" fontId="2" fillId="18" borderId="31" xfId="2" applyNumberFormat="1" applyFont="1" applyFill="1" applyBorder="1" applyAlignment="1">
      <alignment horizontal="center" vertical="center"/>
    </xf>
    <xf numFmtId="0" fontId="2" fillId="0" borderId="30" xfId="2" applyNumberFormat="1" applyFont="1" applyFill="1" applyBorder="1" applyAlignment="1">
      <alignment horizontal="center" vertical="center"/>
    </xf>
    <xf numFmtId="165" fontId="2" fillId="21" borderId="30" xfId="2" applyNumberFormat="1" applyFont="1" applyFill="1" applyBorder="1" applyAlignment="1">
      <alignment horizontal="center" vertical="center"/>
    </xf>
    <xf numFmtId="165" fontId="2" fillId="18" borderId="30" xfId="2" applyNumberFormat="1" applyFont="1" applyFill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4" fillId="0" borderId="20" xfId="0" applyFont="1" applyBorder="1" applyAlignment="1">
      <alignment horizontal="center" vertical="center"/>
    </xf>
    <xf numFmtId="1" fontId="2" fillId="0" borderId="13" xfId="0" applyNumberFormat="1" applyFont="1" applyBorder="1" applyAlignment="1">
      <alignment horizontal="center" vertical="center"/>
    </xf>
    <xf numFmtId="1" fontId="2" fillId="0" borderId="22" xfId="0" applyNumberFormat="1" applyFont="1" applyBorder="1" applyAlignment="1">
      <alignment horizontal="center" vertical="center"/>
    </xf>
    <xf numFmtId="165" fontId="2" fillId="0" borderId="13" xfId="2" applyNumberFormat="1" applyFont="1" applyFill="1" applyBorder="1" applyAlignment="1">
      <alignment horizontal="center" vertical="center"/>
    </xf>
    <xf numFmtId="165" fontId="2" fillId="0" borderId="20" xfId="2" applyNumberFormat="1" applyFont="1" applyFill="1" applyBorder="1" applyAlignment="1">
      <alignment horizontal="center" vertical="center"/>
    </xf>
    <xf numFmtId="0" fontId="0" fillId="5" borderId="0" xfId="0" applyFill="1" applyAlignment="1">
      <alignment horizontal="center"/>
    </xf>
    <xf numFmtId="164" fontId="37" fillId="4" borderId="0" xfId="0" applyNumberFormat="1" applyFont="1" applyFill="1" applyAlignment="1">
      <alignment horizontal="center" vertical="center" wrapText="1"/>
    </xf>
    <xf numFmtId="0" fontId="2" fillId="17" borderId="22" xfId="0" applyFont="1" applyFill="1" applyBorder="1" applyAlignment="1">
      <alignment horizontal="center" vertical="center" wrapText="1"/>
    </xf>
    <xf numFmtId="166" fontId="0" fillId="36" borderId="22" xfId="0" applyNumberFormat="1" applyFill="1" applyBorder="1" applyAlignment="1">
      <alignment horizontal="center" vertical="center"/>
    </xf>
    <xf numFmtId="0" fontId="0" fillId="36" borderId="22" xfId="0" applyFill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11" fillId="0" borderId="0" xfId="1" applyFont="1" applyAlignment="1">
      <alignment vertical="center"/>
    </xf>
    <xf numFmtId="0" fontId="0" fillId="0" borderId="0" xfId="0" applyAlignment="1">
      <alignment vertical="center"/>
    </xf>
    <xf numFmtId="0" fontId="2" fillId="0" borderId="11" xfId="0" applyFont="1" applyBorder="1" applyAlignment="1">
      <alignment horizontal="center" vertical="center"/>
    </xf>
    <xf numFmtId="0" fontId="2" fillId="0" borderId="0" xfId="0" applyFont="1" applyAlignment="1">
      <alignment vertical="center" textRotation="255"/>
    </xf>
    <xf numFmtId="0" fontId="11" fillId="0" borderId="0" xfId="1" applyFont="1" applyFill="1" applyBorder="1" applyAlignment="1">
      <alignment vertical="center"/>
    </xf>
    <xf numFmtId="0" fontId="2" fillId="0" borderId="0" xfId="0" applyFont="1" applyAlignment="1">
      <alignment horizontal="right" vertical="center"/>
    </xf>
    <xf numFmtId="164" fontId="2" fillId="0" borderId="0" xfId="0" applyNumberFormat="1" applyFont="1" applyAlignment="1">
      <alignment vertical="center"/>
    </xf>
    <xf numFmtId="0" fontId="2" fillId="0" borderId="20" xfId="0" applyFont="1" applyBorder="1" applyAlignment="1">
      <alignment horizontal="center" vertical="center"/>
    </xf>
    <xf numFmtId="0" fontId="2" fillId="0" borderId="11" xfId="0" applyFont="1" applyBorder="1" applyAlignment="1">
      <alignment vertical="center"/>
    </xf>
    <xf numFmtId="167" fontId="2" fillId="0" borderId="12" xfId="0" applyNumberFormat="1" applyFont="1" applyBorder="1" applyAlignment="1">
      <alignment vertical="center"/>
    </xf>
    <xf numFmtId="166" fontId="2" fillId="0" borderId="0" xfId="0" applyNumberFormat="1" applyFont="1" applyAlignment="1">
      <alignment horizontal="right" vertical="center"/>
    </xf>
    <xf numFmtId="0" fontId="2" fillId="0" borderId="13" xfId="0" applyFont="1" applyBorder="1" applyAlignment="1">
      <alignment vertical="center"/>
    </xf>
    <xf numFmtId="0" fontId="2" fillId="0" borderId="20" xfId="0" applyFont="1" applyBorder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11" fillId="0" borderId="0" xfId="1" applyFont="1" applyFill="1" applyAlignment="1">
      <alignment vertical="center"/>
    </xf>
    <xf numFmtId="0" fontId="2" fillId="7" borderId="10" xfId="0" applyFont="1" applyFill="1" applyBorder="1" applyAlignment="1">
      <alignment vertical="center"/>
    </xf>
  </cellXfs>
  <cellStyles count="6">
    <cellStyle name="Estilo 1" xfId="4" xr:uid="{7E44FC05-F9A9-4700-A16F-D4E22E1C55A8}"/>
    <cellStyle name="Hipervínculo" xfId="1" builtinId="8"/>
    <cellStyle name="Moneda" xfId="2" builtinId="4"/>
    <cellStyle name="Normal" xfId="0" builtinId="0"/>
    <cellStyle name="Normal 2" xfId="5" xr:uid="{1DB00F2E-31A7-4155-B1CC-DE8599CF22F6}"/>
    <cellStyle name="Porcentaje" xfId="3" builtinId="5"/>
  </cellStyles>
  <dxfs count="6">
    <dxf>
      <fill>
        <patternFill>
          <fgColor theme="6" tint="0.79998168889431442"/>
          <bgColor theme="9" tint="0.59996337778862885"/>
        </patternFill>
      </fill>
    </dxf>
    <dxf>
      <fill>
        <patternFill>
          <fgColor rgb="FFFFA3A5"/>
          <bgColor rgb="FFF08888"/>
        </patternFill>
      </fill>
    </dxf>
    <dxf>
      <fill>
        <patternFill>
          <bgColor rgb="FFFFFF66"/>
        </patternFill>
      </fill>
    </dxf>
    <dxf>
      <fill>
        <patternFill>
          <fgColor theme="6" tint="0.79998168889431442"/>
          <bgColor theme="9" tint="0.59996337778862885"/>
        </patternFill>
      </fill>
    </dxf>
    <dxf>
      <fill>
        <patternFill>
          <fgColor rgb="FFFFA3A5"/>
          <bgColor rgb="FFF08888"/>
        </patternFill>
      </fill>
    </dxf>
    <dxf>
      <fill>
        <patternFill>
          <bgColor rgb="FFFFFF66"/>
        </patternFill>
      </fill>
    </dxf>
  </dxfs>
  <tableStyles count="0" defaultTableStyle="TableStyleMedium2" defaultPivotStyle="PivotStyleLight16"/>
  <colors>
    <mruColors>
      <color rgb="FFFFFFB7"/>
      <color rgb="FF960000"/>
      <color rgb="FFFFFF66"/>
      <color rgb="FFF7C9C9"/>
      <color rgb="FFB7B9F7"/>
      <color rgb="FFCDE4EF"/>
      <color rgb="FFBDF7FF"/>
      <color rgb="FFF08888"/>
      <color rgb="FFFFA3A5"/>
      <color rgb="FF007A0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checked="Checked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checked="Checked" lockText="1" noThreeD="1"/>
</file>

<file path=xl/ctrlProps/ctrlProp18.xml><?xml version="1.0" encoding="utf-8"?>
<formControlPr xmlns="http://schemas.microsoft.com/office/spreadsheetml/2009/9/main" objectType="CheckBox" checked="Checked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checked="Checked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CheckBox" checked="Checked" lockText="1" noThreeD="1"/>
</file>

<file path=xl/ctrlProps/ctrlProp34.xml><?xml version="1.0" encoding="utf-8"?>
<formControlPr xmlns="http://schemas.microsoft.com/office/spreadsheetml/2009/9/main" objectType="CheckBox" checked="Checked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28</xdr:row>
          <xdr:rowOff>9525</xdr:rowOff>
        </xdr:from>
        <xdr:to>
          <xdr:col>0</xdr:col>
          <xdr:colOff>657225</xdr:colOff>
          <xdr:row>30</xdr:row>
          <xdr:rowOff>0</xdr:rowOff>
        </xdr:to>
        <xdr:sp macro="" textlink="">
          <xdr:nvSpPr>
            <xdr:cNvPr id="1087" name="Check Box 63" hidden="1">
              <a:extLst>
                <a:ext uri="{63B3BB69-23CF-44E3-9099-C40C66FF867C}">
                  <a14:compatExt spid="_x0000_s1087"/>
                </a:ext>
                <a:ext uri="{FF2B5EF4-FFF2-40B4-BE49-F238E27FC236}">
                  <a16:creationId xmlns:a16="http://schemas.microsoft.com/office/drawing/2014/main" id="{00000000-0008-0000-0800-00003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00" mc:Ignorable="a14" a14:legacySpreadsheetColorIndex="13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A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Casilla 57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</xdr:colOff>
          <xdr:row>30</xdr:row>
          <xdr:rowOff>171450</xdr:rowOff>
        </xdr:from>
        <xdr:to>
          <xdr:col>1</xdr:col>
          <xdr:colOff>0</xdr:colOff>
          <xdr:row>32</xdr:row>
          <xdr:rowOff>206188</xdr:rowOff>
        </xdr:to>
        <xdr:sp macro="" textlink="">
          <xdr:nvSpPr>
            <xdr:cNvPr id="1088" name="Check Box 64" hidden="1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id="{00000000-0008-0000-0800-00004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00" mc:Ignorable="a14" a14:legacySpreadsheetColorIndex="13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A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Casilla 57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33</xdr:row>
          <xdr:rowOff>171450</xdr:rowOff>
        </xdr:from>
        <xdr:to>
          <xdr:col>0</xdr:col>
          <xdr:colOff>657225</xdr:colOff>
          <xdr:row>36</xdr:row>
          <xdr:rowOff>6163</xdr:rowOff>
        </xdr:to>
        <xdr:sp macro="" textlink="">
          <xdr:nvSpPr>
            <xdr:cNvPr id="1089" name="Check Box 65" hidden="1">
              <a:extLst>
                <a:ext uri="{63B3BB69-23CF-44E3-9099-C40C66FF867C}">
                  <a14:compatExt spid="_x0000_s1089"/>
                </a:ext>
                <a:ext uri="{FF2B5EF4-FFF2-40B4-BE49-F238E27FC236}">
                  <a16:creationId xmlns:a16="http://schemas.microsoft.com/office/drawing/2014/main" id="{00000000-0008-0000-0800-00004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00" mc:Ignorable="a14" a14:legacySpreadsheetColorIndex="13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A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Casilla 57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</xdr:colOff>
          <xdr:row>38</xdr:row>
          <xdr:rowOff>9525</xdr:rowOff>
        </xdr:from>
        <xdr:to>
          <xdr:col>1</xdr:col>
          <xdr:colOff>0</xdr:colOff>
          <xdr:row>40</xdr:row>
          <xdr:rowOff>0</xdr:rowOff>
        </xdr:to>
        <xdr:sp macro="" textlink="">
          <xdr:nvSpPr>
            <xdr:cNvPr id="1090" name="Check Box 66" hidden="1">
              <a:extLst>
                <a:ext uri="{63B3BB69-23CF-44E3-9099-C40C66FF867C}">
                  <a14:compatExt spid="_x0000_s1090"/>
                </a:ext>
                <a:ext uri="{FF2B5EF4-FFF2-40B4-BE49-F238E27FC236}">
                  <a16:creationId xmlns:a16="http://schemas.microsoft.com/office/drawing/2014/main" id="{00000000-0008-0000-0800-00004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00" mc:Ignorable="a14" a14:legacySpreadsheetColorIndex="13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A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Casilla 57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41</xdr:row>
          <xdr:rowOff>9525</xdr:rowOff>
        </xdr:from>
        <xdr:to>
          <xdr:col>0</xdr:col>
          <xdr:colOff>657225</xdr:colOff>
          <xdr:row>43</xdr:row>
          <xdr:rowOff>0</xdr:rowOff>
        </xdr:to>
        <xdr:sp macro="" textlink="">
          <xdr:nvSpPr>
            <xdr:cNvPr id="1091" name="Check Box 67" hidden="1">
              <a:extLst>
                <a:ext uri="{63B3BB69-23CF-44E3-9099-C40C66FF867C}">
                  <a14:compatExt spid="_x0000_s1091"/>
                </a:ext>
                <a:ext uri="{FF2B5EF4-FFF2-40B4-BE49-F238E27FC236}">
                  <a16:creationId xmlns:a16="http://schemas.microsoft.com/office/drawing/2014/main" id="{00000000-0008-0000-0800-00004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00" mc:Ignorable="a14" a14:legacySpreadsheetColorIndex="13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A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Casilla 57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50</xdr:row>
          <xdr:rowOff>171450</xdr:rowOff>
        </xdr:from>
        <xdr:to>
          <xdr:col>0</xdr:col>
          <xdr:colOff>647700</xdr:colOff>
          <xdr:row>52</xdr:row>
          <xdr:rowOff>206188</xdr:rowOff>
        </xdr:to>
        <xdr:sp macro="" textlink="">
          <xdr:nvSpPr>
            <xdr:cNvPr id="1092" name="Check Box 68" hidden="1">
              <a:extLst>
                <a:ext uri="{63B3BB69-23CF-44E3-9099-C40C66FF867C}">
                  <a14:compatExt spid="_x0000_s1092"/>
                </a:ext>
                <a:ext uri="{FF2B5EF4-FFF2-40B4-BE49-F238E27FC236}">
                  <a16:creationId xmlns:a16="http://schemas.microsoft.com/office/drawing/2014/main" id="{00000000-0008-0000-0800-00004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00" mc:Ignorable="a14" a14:legacySpreadsheetColorIndex="13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A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Casilla 57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46</xdr:row>
          <xdr:rowOff>161925</xdr:rowOff>
        </xdr:from>
        <xdr:to>
          <xdr:col>1</xdr:col>
          <xdr:colOff>9525</xdr:colOff>
          <xdr:row>49</xdr:row>
          <xdr:rowOff>25212</xdr:rowOff>
        </xdr:to>
        <xdr:sp macro="" textlink="">
          <xdr:nvSpPr>
            <xdr:cNvPr id="1093" name="Check Box 69" hidden="1">
              <a:extLst>
                <a:ext uri="{63B3BB69-23CF-44E3-9099-C40C66FF867C}">
                  <a14:compatExt spid="_x0000_s1093"/>
                </a:ext>
                <a:ext uri="{FF2B5EF4-FFF2-40B4-BE49-F238E27FC236}">
                  <a16:creationId xmlns:a16="http://schemas.microsoft.com/office/drawing/2014/main" id="{00000000-0008-0000-0800-00004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00" mc:Ignorable="a14" a14:legacySpreadsheetColorIndex="13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A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Casilla 57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63</xdr:row>
          <xdr:rowOff>161925</xdr:rowOff>
        </xdr:from>
        <xdr:to>
          <xdr:col>1</xdr:col>
          <xdr:colOff>0</xdr:colOff>
          <xdr:row>65</xdr:row>
          <xdr:rowOff>222436</xdr:rowOff>
        </xdr:to>
        <xdr:sp macro="" textlink="">
          <xdr:nvSpPr>
            <xdr:cNvPr id="1094" name="Check Box 70" hidden="1">
              <a:extLst>
                <a:ext uri="{63B3BB69-23CF-44E3-9099-C40C66FF867C}">
                  <a14:compatExt spid="_x0000_s1094"/>
                </a:ext>
                <a:ext uri="{FF2B5EF4-FFF2-40B4-BE49-F238E27FC236}">
                  <a16:creationId xmlns:a16="http://schemas.microsoft.com/office/drawing/2014/main" id="{00000000-0008-0000-0800-00004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00" mc:Ignorable="a14" a14:legacySpreadsheetColorIndex="13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A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Casilla 57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59</xdr:row>
          <xdr:rowOff>161925</xdr:rowOff>
        </xdr:from>
        <xdr:to>
          <xdr:col>1</xdr:col>
          <xdr:colOff>9525</xdr:colOff>
          <xdr:row>62</xdr:row>
          <xdr:rowOff>25212</xdr:rowOff>
        </xdr:to>
        <xdr:sp macro="" textlink="">
          <xdr:nvSpPr>
            <xdr:cNvPr id="1095" name="Check Box 71" hidden="1">
              <a:extLst>
                <a:ext uri="{63B3BB69-23CF-44E3-9099-C40C66FF867C}">
                  <a14:compatExt spid="_x0000_s1095"/>
                </a:ext>
                <a:ext uri="{FF2B5EF4-FFF2-40B4-BE49-F238E27FC236}">
                  <a16:creationId xmlns:a16="http://schemas.microsoft.com/office/drawing/2014/main" id="{00000000-0008-0000-0800-00004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00" mc:Ignorable="a14" a14:legacySpreadsheetColorIndex="13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A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Casilla 57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56</xdr:row>
          <xdr:rowOff>161925</xdr:rowOff>
        </xdr:from>
        <xdr:to>
          <xdr:col>1</xdr:col>
          <xdr:colOff>0</xdr:colOff>
          <xdr:row>58</xdr:row>
          <xdr:rowOff>222437</xdr:rowOff>
        </xdr:to>
        <xdr:sp macro="" textlink="">
          <xdr:nvSpPr>
            <xdr:cNvPr id="1096" name="Check Box 72" hidden="1">
              <a:extLst>
                <a:ext uri="{63B3BB69-23CF-44E3-9099-C40C66FF867C}">
                  <a14:compatExt spid="_x0000_s1096"/>
                </a:ext>
                <a:ext uri="{FF2B5EF4-FFF2-40B4-BE49-F238E27FC236}">
                  <a16:creationId xmlns:a16="http://schemas.microsoft.com/office/drawing/2014/main" id="{00000000-0008-0000-0800-00004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00" mc:Ignorable="a14" a14:legacySpreadsheetColorIndex="13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A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Casilla 57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53</xdr:row>
          <xdr:rowOff>171450</xdr:rowOff>
        </xdr:from>
        <xdr:to>
          <xdr:col>1</xdr:col>
          <xdr:colOff>9525</xdr:colOff>
          <xdr:row>55</xdr:row>
          <xdr:rowOff>231961</xdr:rowOff>
        </xdr:to>
        <xdr:sp macro="" textlink="">
          <xdr:nvSpPr>
            <xdr:cNvPr id="1097" name="Check Box 73" hidden="1">
              <a:extLst>
                <a:ext uri="{63B3BB69-23CF-44E3-9099-C40C66FF867C}">
                  <a14:compatExt spid="_x0000_s1097"/>
                </a:ext>
                <a:ext uri="{FF2B5EF4-FFF2-40B4-BE49-F238E27FC236}">
                  <a16:creationId xmlns:a16="http://schemas.microsoft.com/office/drawing/2014/main" id="{00000000-0008-0000-0800-00004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00" mc:Ignorable="a14" a14:legacySpreadsheetColorIndex="13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A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Casilla 57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</xdr:row>
          <xdr:rowOff>9525</xdr:rowOff>
        </xdr:from>
        <xdr:to>
          <xdr:col>0</xdr:col>
          <xdr:colOff>647700</xdr:colOff>
          <xdr:row>46</xdr:row>
          <xdr:rowOff>0</xdr:rowOff>
        </xdr:to>
        <xdr:sp macro="" textlink="">
          <xdr:nvSpPr>
            <xdr:cNvPr id="1098" name="Check Box 74" hidden="1">
              <a:extLst>
                <a:ext uri="{63B3BB69-23CF-44E3-9099-C40C66FF867C}">
                  <a14:compatExt spid="_x0000_s1098"/>
                </a:ext>
                <a:ext uri="{FF2B5EF4-FFF2-40B4-BE49-F238E27FC236}">
                  <a16:creationId xmlns:a16="http://schemas.microsoft.com/office/drawing/2014/main" id="{00000000-0008-0000-0800-00004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00" mc:Ignorable="a14" a14:legacySpreadsheetColorIndex="13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A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Casilla 57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90</xdr:row>
          <xdr:rowOff>0</xdr:rowOff>
        </xdr:from>
        <xdr:to>
          <xdr:col>0</xdr:col>
          <xdr:colOff>647700</xdr:colOff>
          <xdr:row>91</xdr:row>
          <xdr:rowOff>228601</xdr:rowOff>
        </xdr:to>
        <xdr:sp macro="" textlink="">
          <xdr:nvSpPr>
            <xdr:cNvPr id="1108" name="Check Box 84" hidden="1">
              <a:extLst>
                <a:ext uri="{63B3BB69-23CF-44E3-9099-C40C66FF867C}">
                  <a14:compatExt spid="_x0000_s1108"/>
                </a:ext>
                <a:ext uri="{FF2B5EF4-FFF2-40B4-BE49-F238E27FC236}">
                  <a16:creationId xmlns:a16="http://schemas.microsoft.com/office/drawing/2014/main" id="{00000000-0008-0000-0800-00005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00" mc:Ignorable="a14" a14:legacySpreadsheetColorIndex="13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A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Casilla 57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93</xdr:row>
          <xdr:rowOff>0</xdr:rowOff>
        </xdr:from>
        <xdr:to>
          <xdr:col>0</xdr:col>
          <xdr:colOff>647700</xdr:colOff>
          <xdr:row>94</xdr:row>
          <xdr:rowOff>228600</xdr:rowOff>
        </xdr:to>
        <xdr:sp macro="" textlink="">
          <xdr:nvSpPr>
            <xdr:cNvPr id="1109" name="Check Box 85" hidden="1">
              <a:extLst>
                <a:ext uri="{63B3BB69-23CF-44E3-9099-C40C66FF867C}">
                  <a14:compatExt spid="_x0000_s1109"/>
                </a:ext>
                <a:ext uri="{FF2B5EF4-FFF2-40B4-BE49-F238E27FC236}">
                  <a16:creationId xmlns:a16="http://schemas.microsoft.com/office/drawing/2014/main" id="{00000000-0008-0000-0800-00005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00" mc:Ignorable="a14" a14:legacySpreadsheetColorIndex="13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A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Casilla 57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96</xdr:row>
          <xdr:rowOff>0</xdr:rowOff>
        </xdr:from>
        <xdr:to>
          <xdr:col>0</xdr:col>
          <xdr:colOff>647700</xdr:colOff>
          <xdr:row>97</xdr:row>
          <xdr:rowOff>200025</xdr:rowOff>
        </xdr:to>
        <xdr:sp macro="" textlink="">
          <xdr:nvSpPr>
            <xdr:cNvPr id="1110" name="Check Box 86" hidden="1">
              <a:extLst>
                <a:ext uri="{63B3BB69-23CF-44E3-9099-C40C66FF867C}">
                  <a14:compatExt spid="_x0000_s1110"/>
                </a:ext>
                <a:ext uri="{FF2B5EF4-FFF2-40B4-BE49-F238E27FC236}">
                  <a16:creationId xmlns:a16="http://schemas.microsoft.com/office/drawing/2014/main" id="{00000000-0008-0000-0800-00005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00" mc:Ignorable="a14" a14:legacySpreadsheetColorIndex="13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A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Casilla 57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96</xdr:row>
          <xdr:rowOff>0</xdr:rowOff>
        </xdr:from>
        <xdr:to>
          <xdr:col>0</xdr:col>
          <xdr:colOff>647700</xdr:colOff>
          <xdr:row>97</xdr:row>
          <xdr:rowOff>200025</xdr:rowOff>
        </xdr:to>
        <xdr:sp macro="" textlink="">
          <xdr:nvSpPr>
            <xdr:cNvPr id="1111" name="Check Box 87" hidden="1">
              <a:extLst>
                <a:ext uri="{63B3BB69-23CF-44E3-9099-C40C66FF867C}">
                  <a14:compatExt spid="_x0000_s1111"/>
                </a:ext>
                <a:ext uri="{FF2B5EF4-FFF2-40B4-BE49-F238E27FC236}">
                  <a16:creationId xmlns:a16="http://schemas.microsoft.com/office/drawing/2014/main" id="{00000000-0008-0000-0800-00005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00" mc:Ignorable="a14" a14:legacySpreadsheetColorIndex="13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A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Casilla 57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99</xdr:row>
          <xdr:rowOff>0</xdr:rowOff>
        </xdr:from>
        <xdr:to>
          <xdr:col>0</xdr:col>
          <xdr:colOff>647700</xdr:colOff>
          <xdr:row>100</xdr:row>
          <xdr:rowOff>228601</xdr:rowOff>
        </xdr:to>
        <xdr:sp macro="" textlink="">
          <xdr:nvSpPr>
            <xdr:cNvPr id="1112" name="Check Box 88" hidden="1">
              <a:extLst>
                <a:ext uri="{63B3BB69-23CF-44E3-9099-C40C66FF867C}">
                  <a14:compatExt spid="_x0000_s1112"/>
                </a:ext>
                <a:ext uri="{FF2B5EF4-FFF2-40B4-BE49-F238E27FC236}">
                  <a16:creationId xmlns:a16="http://schemas.microsoft.com/office/drawing/2014/main" id="{00000000-0008-0000-0800-00005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00" mc:Ignorable="a14" a14:legacySpreadsheetColorIndex="13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A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Casilla 57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103</xdr:row>
          <xdr:rowOff>0</xdr:rowOff>
        </xdr:from>
        <xdr:to>
          <xdr:col>0</xdr:col>
          <xdr:colOff>647700</xdr:colOff>
          <xdr:row>104</xdr:row>
          <xdr:rowOff>228600</xdr:rowOff>
        </xdr:to>
        <xdr:sp macro="" textlink="">
          <xdr:nvSpPr>
            <xdr:cNvPr id="1113" name="Check Box 89" hidden="1">
              <a:extLst>
                <a:ext uri="{63B3BB69-23CF-44E3-9099-C40C66FF867C}">
                  <a14:compatExt spid="_x0000_s1113"/>
                </a:ext>
                <a:ext uri="{FF2B5EF4-FFF2-40B4-BE49-F238E27FC236}">
                  <a16:creationId xmlns:a16="http://schemas.microsoft.com/office/drawing/2014/main" id="{00000000-0008-0000-0800-00005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00" mc:Ignorable="a14" a14:legacySpreadsheetColorIndex="13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A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Casilla 57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106</xdr:row>
          <xdr:rowOff>0</xdr:rowOff>
        </xdr:from>
        <xdr:to>
          <xdr:col>0</xdr:col>
          <xdr:colOff>647700</xdr:colOff>
          <xdr:row>107</xdr:row>
          <xdr:rowOff>228601</xdr:rowOff>
        </xdr:to>
        <xdr:sp macro="" textlink="">
          <xdr:nvSpPr>
            <xdr:cNvPr id="1114" name="Check Box 90" hidden="1">
              <a:extLst>
                <a:ext uri="{63B3BB69-23CF-44E3-9099-C40C66FF867C}">
                  <a14:compatExt spid="_x0000_s1114"/>
                </a:ext>
                <a:ext uri="{FF2B5EF4-FFF2-40B4-BE49-F238E27FC236}">
                  <a16:creationId xmlns:a16="http://schemas.microsoft.com/office/drawing/2014/main" id="{00000000-0008-0000-0800-00005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00" mc:Ignorable="a14" a14:legacySpreadsheetColorIndex="13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A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Casilla 57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109</xdr:row>
          <xdr:rowOff>0</xdr:rowOff>
        </xdr:from>
        <xdr:to>
          <xdr:col>0</xdr:col>
          <xdr:colOff>647700</xdr:colOff>
          <xdr:row>110</xdr:row>
          <xdr:rowOff>228600</xdr:rowOff>
        </xdr:to>
        <xdr:sp macro="" textlink="">
          <xdr:nvSpPr>
            <xdr:cNvPr id="1115" name="Check Box 91" hidden="1">
              <a:extLst>
                <a:ext uri="{63B3BB69-23CF-44E3-9099-C40C66FF867C}">
                  <a14:compatExt spid="_x0000_s1115"/>
                </a:ext>
                <a:ext uri="{FF2B5EF4-FFF2-40B4-BE49-F238E27FC236}">
                  <a16:creationId xmlns:a16="http://schemas.microsoft.com/office/drawing/2014/main" id="{00000000-0008-0000-0800-00005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00" mc:Ignorable="a14" a14:legacySpreadsheetColorIndex="13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A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Casilla 57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112</xdr:row>
          <xdr:rowOff>0</xdr:rowOff>
        </xdr:from>
        <xdr:to>
          <xdr:col>0</xdr:col>
          <xdr:colOff>647700</xdr:colOff>
          <xdr:row>113</xdr:row>
          <xdr:rowOff>228600</xdr:rowOff>
        </xdr:to>
        <xdr:sp macro="" textlink="">
          <xdr:nvSpPr>
            <xdr:cNvPr id="1116" name="Check Box 92" hidden="1">
              <a:extLst>
                <a:ext uri="{63B3BB69-23CF-44E3-9099-C40C66FF867C}">
                  <a14:compatExt spid="_x0000_s1116"/>
                </a:ext>
                <a:ext uri="{FF2B5EF4-FFF2-40B4-BE49-F238E27FC236}">
                  <a16:creationId xmlns:a16="http://schemas.microsoft.com/office/drawing/2014/main" id="{00000000-0008-0000-0800-00005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00" mc:Ignorable="a14" a14:legacySpreadsheetColorIndex="13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A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Casilla 57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116</xdr:row>
          <xdr:rowOff>0</xdr:rowOff>
        </xdr:from>
        <xdr:to>
          <xdr:col>0</xdr:col>
          <xdr:colOff>647700</xdr:colOff>
          <xdr:row>117</xdr:row>
          <xdr:rowOff>228601</xdr:rowOff>
        </xdr:to>
        <xdr:sp macro="" textlink="">
          <xdr:nvSpPr>
            <xdr:cNvPr id="1117" name="Check Box 93" hidden="1">
              <a:extLst>
                <a:ext uri="{63B3BB69-23CF-44E3-9099-C40C66FF867C}">
                  <a14:compatExt spid="_x0000_s1117"/>
                </a:ext>
                <a:ext uri="{FF2B5EF4-FFF2-40B4-BE49-F238E27FC236}">
                  <a16:creationId xmlns:a16="http://schemas.microsoft.com/office/drawing/2014/main" id="{00000000-0008-0000-0800-00005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00" mc:Ignorable="a14" a14:legacySpreadsheetColorIndex="13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A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Casilla 57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119</xdr:row>
          <xdr:rowOff>0</xdr:rowOff>
        </xdr:from>
        <xdr:to>
          <xdr:col>0</xdr:col>
          <xdr:colOff>647700</xdr:colOff>
          <xdr:row>120</xdr:row>
          <xdr:rowOff>238126</xdr:rowOff>
        </xdr:to>
        <xdr:sp macro="" textlink="">
          <xdr:nvSpPr>
            <xdr:cNvPr id="1118" name="Check Box 94" hidden="1">
              <a:extLst>
                <a:ext uri="{63B3BB69-23CF-44E3-9099-C40C66FF867C}">
                  <a14:compatExt spid="_x0000_s1118"/>
                </a:ext>
                <a:ext uri="{FF2B5EF4-FFF2-40B4-BE49-F238E27FC236}">
                  <a16:creationId xmlns:a16="http://schemas.microsoft.com/office/drawing/2014/main" id="{00000000-0008-0000-0800-00005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00" mc:Ignorable="a14" a14:legacySpreadsheetColorIndex="13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A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Casilla 57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122</xdr:row>
          <xdr:rowOff>0</xdr:rowOff>
        </xdr:from>
        <xdr:to>
          <xdr:col>0</xdr:col>
          <xdr:colOff>647700</xdr:colOff>
          <xdr:row>123</xdr:row>
          <xdr:rowOff>228600</xdr:rowOff>
        </xdr:to>
        <xdr:sp macro="" textlink="">
          <xdr:nvSpPr>
            <xdr:cNvPr id="1119" name="Check Box 95" hidden="1">
              <a:extLst>
                <a:ext uri="{63B3BB69-23CF-44E3-9099-C40C66FF867C}">
                  <a14:compatExt spid="_x0000_s1119"/>
                </a:ext>
                <a:ext uri="{FF2B5EF4-FFF2-40B4-BE49-F238E27FC236}">
                  <a16:creationId xmlns:a16="http://schemas.microsoft.com/office/drawing/2014/main" id="{00000000-0008-0000-0800-00005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00" mc:Ignorable="a14" a14:legacySpreadsheetColorIndex="13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A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Casilla 57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125</xdr:row>
          <xdr:rowOff>0</xdr:rowOff>
        </xdr:from>
        <xdr:to>
          <xdr:col>0</xdr:col>
          <xdr:colOff>647700</xdr:colOff>
          <xdr:row>126</xdr:row>
          <xdr:rowOff>228600</xdr:rowOff>
        </xdr:to>
        <xdr:sp macro="" textlink="">
          <xdr:nvSpPr>
            <xdr:cNvPr id="1120" name="Check Box 96" hidden="1">
              <a:extLst>
                <a:ext uri="{63B3BB69-23CF-44E3-9099-C40C66FF867C}">
                  <a14:compatExt spid="_x0000_s1120"/>
                </a:ext>
                <a:ext uri="{FF2B5EF4-FFF2-40B4-BE49-F238E27FC236}">
                  <a16:creationId xmlns:a16="http://schemas.microsoft.com/office/drawing/2014/main" id="{00000000-0008-0000-0800-00006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00" mc:Ignorable="a14" a14:legacySpreadsheetColorIndex="13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A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Casilla 57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129</xdr:row>
          <xdr:rowOff>0</xdr:rowOff>
        </xdr:from>
        <xdr:to>
          <xdr:col>0</xdr:col>
          <xdr:colOff>647700</xdr:colOff>
          <xdr:row>130</xdr:row>
          <xdr:rowOff>228601</xdr:rowOff>
        </xdr:to>
        <xdr:sp macro="" textlink="">
          <xdr:nvSpPr>
            <xdr:cNvPr id="1121" name="Check Box 97" hidden="1">
              <a:extLst>
                <a:ext uri="{63B3BB69-23CF-44E3-9099-C40C66FF867C}">
                  <a14:compatExt spid="_x0000_s1121"/>
                </a:ext>
                <a:ext uri="{FF2B5EF4-FFF2-40B4-BE49-F238E27FC236}">
                  <a16:creationId xmlns:a16="http://schemas.microsoft.com/office/drawing/2014/main" id="{00000000-0008-0000-0800-00006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00" mc:Ignorable="a14" a14:legacySpreadsheetColorIndex="13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A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Casilla 57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139</xdr:row>
          <xdr:rowOff>0</xdr:rowOff>
        </xdr:from>
        <xdr:to>
          <xdr:col>0</xdr:col>
          <xdr:colOff>647700</xdr:colOff>
          <xdr:row>140</xdr:row>
          <xdr:rowOff>228600</xdr:rowOff>
        </xdr:to>
        <xdr:sp macro="" textlink="">
          <xdr:nvSpPr>
            <xdr:cNvPr id="1122" name="Check Box 98" hidden="1">
              <a:extLst>
                <a:ext uri="{63B3BB69-23CF-44E3-9099-C40C66FF867C}">
                  <a14:compatExt spid="_x0000_s1122"/>
                </a:ext>
                <a:ext uri="{FF2B5EF4-FFF2-40B4-BE49-F238E27FC236}">
                  <a16:creationId xmlns:a16="http://schemas.microsoft.com/office/drawing/2014/main" id="{00000000-0008-0000-0800-00006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00" mc:Ignorable="a14" a14:legacySpreadsheetColorIndex="13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A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Casilla 57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142</xdr:row>
          <xdr:rowOff>0</xdr:rowOff>
        </xdr:from>
        <xdr:to>
          <xdr:col>0</xdr:col>
          <xdr:colOff>647700</xdr:colOff>
          <xdr:row>143</xdr:row>
          <xdr:rowOff>228600</xdr:rowOff>
        </xdr:to>
        <xdr:sp macro="" textlink="">
          <xdr:nvSpPr>
            <xdr:cNvPr id="1123" name="Check Box 99" hidden="1">
              <a:extLst>
                <a:ext uri="{63B3BB69-23CF-44E3-9099-C40C66FF867C}">
                  <a14:compatExt spid="_x0000_s1123"/>
                </a:ext>
                <a:ext uri="{FF2B5EF4-FFF2-40B4-BE49-F238E27FC236}">
                  <a16:creationId xmlns:a16="http://schemas.microsoft.com/office/drawing/2014/main" id="{00000000-0008-0000-0800-00006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00" mc:Ignorable="a14" a14:legacySpreadsheetColorIndex="13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A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Casilla 57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145</xdr:row>
          <xdr:rowOff>0</xdr:rowOff>
        </xdr:from>
        <xdr:to>
          <xdr:col>0</xdr:col>
          <xdr:colOff>647700</xdr:colOff>
          <xdr:row>146</xdr:row>
          <xdr:rowOff>228600</xdr:rowOff>
        </xdr:to>
        <xdr:sp macro="" textlink="">
          <xdr:nvSpPr>
            <xdr:cNvPr id="1124" name="Check Box 100" hidden="1">
              <a:extLst>
                <a:ext uri="{63B3BB69-23CF-44E3-9099-C40C66FF867C}">
                  <a14:compatExt spid="_x0000_s1124"/>
                </a:ext>
                <a:ext uri="{FF2B5EF4-FFF2-40B4-BE49-F238E27FC236}">
                  <a16:creationId xmlns:a16="http://schemas.microsoft.com/office/drawing/2014/main" id="{00000000-0008-0000-0800-00006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00" mc:Ignorable="a14" a14:legacySpreadsheetColorIndex="13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A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Casilla 57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148</xdr:row>
          <xdr:rowOff>0</xdr:rowOff>
        </xdr:from>
        <xdr:to>
          <xdr:col>0</xdr:col>
          <xdr:colOff>647700</xdr:colOff>
          <xdr:row>149</xdr:row>
          <xdr:rowOff>228601</xdr:rowOff>
        </xdr:to>
        <xdr:sp macro="" textlink="">
          <xdr:nvSpPr>
            <xdr:cNvPr id="1125" name="Check Box 101" hidden="1">
              <a:extLst>
                <a:ext uri="{63B3BB69-23CF-44E3-9099-C40C66FF867C}">
                  <a14:compatExt spid="_x0000_s1125"/>
                </a:ext>
                <a:ext uri="{FF2B5EF4-FFF2-40B4-BE49-F238E27FC236}">
                  <a16:creationId xmlns:a16="http://schemas.microsoft.com/office/drawing/2014/main" id="{00000000-0008-0000-0800-00006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00" mc:Ignorable="a14" a14:legacySpreadsheetColorIndex="13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A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Casilla 57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151</xdr:row>
          <xdr:rowOff>0</xdr:rowOff>
        </xdr:from>
        <xdr:to>
          <xdr:col>0</xdr:col>
          <xdr:colOff>647700</xdr:colOff>
          <xdr:row>152</xdr:row>
          <xdr:rowOff>228601</xdr:rowOff>
        </xdr:to>
        <xdr:sp macro="" textlink="">
          <xdr:nvSpPr>
            <xdr:cNvPr id="1126" name="Check Box 102" hidden="1">
              <a:extLst>
                <a:ext uri="{63B3BB69-23CF-44E3-9099-C40C66FF867C}">
                  <a14:compatExt spid="_x0000_s1126"/>
                </a:ext>
                <a:ext uri="{FF2B5EF4-FFF2-40B4-BE49-F238E27FC236}">
                  <a16:creationId xmlns:a16="http://schemas.microsoft.com/office/drawing/2014/main" id="{00000000-0008-0000-0800-00006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00" mc:Ignorable="a14" a14:legacySpreadsheetColorIndex="13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A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Casilla 57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</xdr:colOff>
          <xdr:row>153</xdr:row>
          <xdr:rowOff>152400</xdr:rowOff>
        </xdr:from>
        <xdr:to>
          <xdr:col>1</xdr:col>
          <xdr:colOff>0</xdr:colOff>
          <xdr:row>155</xdr:row>
          <xdr:rowOff>132790</xdr:rowOff>
        </xdr:to>
        <xdr:sp macro="" textlink="">
          <xdr:nvSpPr>
            <xdr:cNvPr id="1127" name="Check Box 103" hidden="1">
              <a:extLst>
                <a:ext uri="{63B3BB69-23CF-44E3-9099-C40C66FF867C}">
                  <a14:compatExt spid="_x0000_s1127"/>
                </a:ext>
                <a:ext uri="{FF2B5EF4-FFF2-40B4-BE49-F238E27FC236}">
                  <a16:creationId xmlns:a16="http://schemas.microsoft.com/office/drawing/2014/main" id="{00000000-0008-0000-0800-00006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00" mc:Ignorable="a14" a14:legacySpreadsheetColorIndex="13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A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Casilla 57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160</xdr:row>
          <xdr:rowOff>19050</xdr:rowOff>
        </xdr:from>
        <xdr:to>
          <xdr:col>0</xdr:col>
          <xdr:colOff>647700</xdr:colOff>
          <xdr:row>161</xdr:row>
          <xdr:rowOff>200025</xdr:rowOff>
        </xdr:to>
        <xdr:sp macro="" textlink="">
          <xdr:nvSpPr>
            <xdr:cNvPr id="1128" name="Check Box 104" hidden="1">
              <a:extLst>
                <a:ext uri="{63B3BB69-23CF-44E3-9099-C40C66FF867C}">
                  <a14:compatExt spid="_x0000_s1128"/>
                </a:ext>
                <a:ext uri="{FF2B5EF4-FFF2-40B4-BE49-F238E27FC236}">
                  <a16:creationId xmlns:a16="http://schemas.microsoft.com/office/drawing/2014/main" id="{00000000-0008-0000-0800-00006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00" mc:Ignorable="a14" a14:legacySpreadsheetColorIndex="13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A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Casilla 57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</xdr:colOff>
          <xdr:row>157</xdr:row>
          <xdr:rowOff>9525</xdr:rowOff>
        </xdr:from>
        <xdr:to>
          <xdr:col>1</xdr:col>
          <xdr:colOff>0</xdr:colOff>
          <xdr:row>159</xdr:row>
          <xdr:rowOff>0</xdr:rowOff>
        </xdr:to>
        <xdr:sp macro="" textlink="">
          <xdr:nvSpPr>
            <xdr:cNvPr id="1129" name="Check Box 105" hidden="1">
              <a:extLst>
                <a:ext uri="{63B3BB69-23CF-44E3-9099-C40C66FF867C}">
                  <a14:compatExt spid="_x0000_s1129"/>
                </a:ext>
                <a:ext uri="{FF2B5EF4-FFF2-40B4-BE49-F238E27FC236}">
                  <a16:creationId xmlns:a16="http://schemas.microsoft.com/office/drawing/2014/main" id="{00000000-0008-0000-0800-00006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00" mc:Ignorable="a14" a14:legacySpreadsheetColorIndex="13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A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Casilla 57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163</xdr:row>
          <xdr:rowOff>19050</xdr:rowOff>
        </xdr:from>
        <xdr:to>
          <xdr:col>0</xdr:col>
          <xdr:colOff>647700</xdr:colOff>
          <xdr:row>165</xdr:row>
          <xdr:rowOff>19050</xdr:rowOff>
        </xdr:to>
        <xdr:sp macro="" textlink="">
          <xdr:nvSpPr>
            <xdr:cNvPr id="1131" name="Check Box 107" hidden="1">
              <a:extLst>
                <a:ext uri="{63B3BB69-23CF-44E3-9099-C40C66FF867C}">
                  <a14:compatExt spid="_x0000_s1131"/>
                </a:ext>
                <a:ext uri="{FF2B5EF4-FFF2-40B4-BE49-F238E27FC236}">
                  <a16:creationId xmlns:a16="http://schemas.microsoft.com/office/drawing/2014/main" id="{00000000-0008-0000-0800-00006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00" mc:Ignorable="a14" a14:legacySpreadsheetColorIndex="13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A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Casilla 57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135</xdr:row>
          <xdr:rowOff>0</xdr:rowOff>
        </xdr:from>
        <xdr:to>
          <xdr:col>0</xdr:col>
          <xdr:colOff>647700</xdr:colOff>
          <xdr:row>136</xdr:row>
          <xdr:rowOff>228599</xdr:rowOff>
        </xdr:to>
        <xdr:sp macro="" textlink="">
          <xdr:nvSpPr>
            <xdr:cNvPr id="1132" name="Check Box 108" hidden="1">
              <a:extLst>
                <a:ext uri="{63B3BB69-23CF-44E3-9099-C40C66FF867C}">
                  <a14:compatExt spid="_x0000_s1132"/>
                </a:ext>
                <a:ext uri="{FF2B5EF4-FFF2-40B4-BE49-F238E27FC236}">
                  <a16:creationId xmlns:a16="http://schemas.microsoft.com/office/drawing/2014/main" id="{00000000-0008-0000-0800-00006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00" mc:Ignorable="a14" a14:legacySpreadsheetColorIndex="13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A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Casilla 57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132</xdr:row>
          <xdr:rowOff>0</xdr:rowOff>
        </xdr:from>
        <xdr:to>
          <xdr:col>0</xdr:col>
          <xdr:colOff>647700</xdr:colOff>
          <xdr:row>133</xdr:row>
          <xdr:rowOff>228601</xdr:rowOff>
        </xdr:to>
        <xdr:sp macro="" textlink="">
          <xdr:nvSpPr>
            <xdr:cNvPr id="1133" name="Check Box 109" hidden="1">
              <a:extLst>
                <a:ext uri="{63B3BB69-23CF-44E3-9099-C40C66FF867C}">
                  <a14:compatExt spid="_x0000_s1133"/>
                </a:ext>
                <a:ext uri="{FF2B5EF4-FFF2-40B4-BE49-F238E27FC236}">
                  <a16:creationId xmlns:a16="http://schemas.microsoft.com/office/drawing/2014/main" id="{00000000-0008-0000-0800-00006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00" mc:Ignorable="a14" a14:legacySpreadsheetColorIndex="13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A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Casilla 57</a:t>
              </a:r>
            </a:p>
          </xdr:txBody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ga\OneDrive\Escritorio\Productos%20y%20Costos%2012-08-25.xlsx" TargetMode="External"/><Relationship Id="rId1" Type="http://schemas.openxmlformats.org/officeDocument/2006/relationships/externalLinkPath" Target="/Users/Maga/OneDrive/Escritorio/Productos%20y%20Costos%2012-08-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rganizadores"/>
      <sheetName val="M LIBRE"/>
      <sheetName val="Precios"/>
      <sheetName val="Precios2"/>
      <sheetName val="Insumos"/>
      <sheetName val="Costos"/>
      <sheetName val="Hoja2"/>
      <sheetName val="Hoja1"/>
      <sheetName val="Comparaciones"/>
      <sheetName val="squad"/>
    </sheetNames>
    <sheetDataSet>
      <sheetData sheetId="0" refreshError="1"/>
      <sheetData sheetId="1" refreshError="1"/>
      <sheetData sheetId="2" refreshError="1">
        <row r="8">
          <cell r="M8">
            <v>2158.0250000000001</v>
          </cell>
        </row>
        <row r="147">
          <cell r="M147">
            <v>1126.4922857142853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9" Type="http://schemas.openxmlformats.org/officeDocument/2006/relationships/ctrlProp" Target="../ctrlProps/ctrlProp36.xml"/><Relationship Id="rId21" Type="http://schemas.openxmlformats.org/officeDocument/2006/relationships/ctrlProp" Target="../ctrlProps/ctrlProp18.xml"/><Relationship Id="rId34" Type="http://schemas.openxmlformats.org/officeDocument/2006/relationships/ctrlProp" Target="../ctrlProps/ctrlProp31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29" Type="http://schemas.openxmlformats.org/officeDocument/2006/relationships/ctrlProp" Target="../ctrlProps/ctrlProp26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40" Type="http://schemas.openxmlformats.org/officeDocument/2006/relationships/ctrlProp" Target="../ctrlProps/ctrlProp37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31" Type="http://schemas.openxmlformats.org/officeDocument/2006/relationships/ctrlProp" Target="../ctrlProps/ctrlProp2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/Relationships>
</file>

<file path=xl/worksheets/_rels/sheet1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indubox.com.ar/estructura/secciones/s_producto.php?mIdProducto=2844" TargetMode="External"/><Relationship Id="rId18" Type="http://schemas.openxmlformats.org/officeDocument/2006/relationships/hyperlink" Target="https://nuevasluces.empretienda.com.ar/insumos-para-velas/materiales/ojalillo-chico" TargetMode="External"/><Relationship Id="rId26" Type="http://schemas.openxmlformats.org/officeDocument/2006/relationships/hyperlink" Target="https://articulo.mercadolibre.com.ar/MLA-1242358179-100-bolsas-polipropileno-10x205-cierre-adhesivo-40-mic-_JM" TargetMode="External"/><Relationship Id="rId39" Type="http://schemas.openxmlformats.org/officeDocument/2006/relationships/hyperlink" Target="https://articulo.mercadolibre.com.ar/MLA-2303032940-borlas-flecos-hilos-de-seda-x-5-unidades-varios-colores-_JM?searchVariation=185044894988" TargetMode="External"/><Relationship Id="rId21" Type="http://schemas.openxmlformats.org/officeDocument/2006/relationships/hyperlink" Target="https://articulo.mercadolibre.com.ar/MLA-878958880-esencia-cocovainilla-velas-soja-parafinas-pura-100-intensa-_JM" TargetMode="External"/><Relationship Id="rId34" Type="http://schemas.openxmlformats.org/officeDocument/2006/relationships/hyperlink" Target="https://www.mercadolibre.com.ar/carton-cartulina-triplex-a4-300-grs-100-hojas-cajas-tapas/up/MLAU213151214?has_official_store=false&amp;highlight=false&amp;headerTopBrand=true" TargetMode="External"/><Relationship Id="rId42" Type="http://schemas.openxmlformats.org/officeDocument/2006/relationships/hyperlink" Target="https://www.candycraft.com.ar/productos/cinta-trigal-10-mm-x-10-metros/" TargetMode="External"/><Relationship Id="rId47" Type="http://schemas.openxmlformats.org/officeDocument/2006/relationships/hyperlink" Target="https://www.mercadolibre.com.ar/1-kg-cera-soja-apf-alto-punto-fusion-para-moldes/up/MLAU2922895309" TargetMode="External"/><Relationship Id="rId7" Type="http://schemas.openxmlformats.org/officeDocument/2006/relationships/hyperlink" Target="https://www.mercadolibre.com.ar/50-cajas-blancas-deslizantes-d128-16x4x2-indubox/up/MLAU255700304?quantity=2" TargetMode="External"/><Relationship Id="rId2" Type="http://schemas.openxmlformats.org/officeDocument/2006/relationships/hyperlink" Target="https://articulo.mercadolibre.com.ar/MLA-1135527814-papel-autoadhesivo-a4-brillante-laser-ilustracion-adhesivo-_JM" TargetMode="External"/><Relationship Id="rId16" Type="http://schemas.openxmlformats.org/officeDocument/2006/relationships/hyperlink" Target="https://www.chocolatecolonial.com.ar/productos/chocolatinas-con-leche-x-5-gr-011-62079/" TargetMode="External"/><Relationship Id="rId29" Type="http://schemas.openxmlformats.org/officeDocument/2006/relationships/hyperlink" Target="https://www.mercadolibre.com.ar/papel-autoadhesivo-a4-obra-mate-100-hojas/up/MLAU134062372" TargetMode="External"/><Relationship Id="rId1" Type="http://schemas.openxmlformats.org/officeDocument/2006/relationships/hyperlink" Target="https://www.mercadolibre.com.ar/chocolatinas-con-leche-colonial-x-50un/p/MLA46066379" TargetMode="External"/><Relationship Id="rId6" Type="http://schemas.openxmlformats.org/officeDocument/2006/relationships/hyperlink" Target="https://articulo.mercadolibre.com.ar/MLA-1880603398-papel-foil-metalizado-textil-para-telas-y-toner-32x6-film-_JM?attributes=COLOR_SECONDARY_COLOR%3ARG9yYWRvIGJyaWxsYW50ZQ%3D%3D&amp;picker=true&amp;searchVariation=184217996625&amp;quantity=1" TargetMode="External"/><Relationship Id="rId11" Type="http://schemas.openxmlformats.org/officeDocument/2006/relationships/hyperlink" Target="https://www.chocolatecolonial.com.ar/productos/chocolatinas-con-leche-x-5-gr-pack-de-10-cajas-de-200-unidades-082-62081/" TargetMode="External"/><Relationship Id="rId24" Type="http://schemas.openxmlformats.org/officeDocument/2006/relationships/hyperlink" Target="https://articulo.mercadolibre.com.ar/MLA-1114406041-bolsa-de-polipropileno-4x25cm-ideal-garrapinadas-x-100u-_JM" TargetMode="External"/><Relationship Id="rId32" Type="http://schemas.openxmlformats.org/officeDocument/2006/relationships/hyperlink" Target="https://www.mercadolibre.com.ar/papel-ilustracion-300-gramos-a4-p-tarjetas-resma-100-hojas/up/MLAU191509905?pdp_filters=item_id:MLA739528995" TargetMode="External"/><Relationship Id="rId37" Type="http://schemas.openxmlformats.org/officeDocument/2006/relationships/hyperlink" Target="https://www.candycraft.com.ar/productos/cinta-lurex-brooklyn-4-mm-x-20-metros-art-1506/" TargetMode="External"/><Relationship Id="rId40" Type="http://schemas.openxmlformats.org/officeDocument/2006/relationships/hyperlink" Target="https://articulo.mercadolibre.com.ar/MLA-927085687-dijes-cruces-lisas-de-madera-para-crucifijo-pack-x-200-pcs-_JM?attributes=COLOR_SECONDARY_COLOR%3AQ3JlbWE%3D&amp;picker=true&amp;searchVariation=89090500545&amp;quantity=1" TargetMode="External"/><Relationship Id="rId45" Type="http://schemas.openxmlformats.org/officeDocument/2006/relationships/hyperlink" Target="https://www.doblementa.com.ar/productos/pack-de-cajas-6x6x85-kraft-modelo-a30/" TargetMode="External"/><Relationship Id="rId5" Type="http://schemas.openxmlformats.org/officeDocument/2006/relationships/hyperlink" Target="https://articulo.mercadolibre.com.ar/MLA-762882777-tinta-epson-t544-original-70-ml-x4-colores-544-l3110-l3150-_JM" TargetMode="External"/><Relationship Id="rId15" Type="http://schemas.openxmlformats.org/officeDocument/2006/relationships/hyperlink" Target="https://www.indubox.com.ar/estructura/secciones/s_producto.php?mIdProducto=139" TargetMode="External"/><Relationship Id="rId23" Type="http://schemas.openxmlformats.org/officeDocument/2006/relationships/hyperlink" Target="https://articulo.mercadolibre.com.ar/MLA-1163252177-hilo-algodon-36h-colores-macrame-35mm-mejor-calidad-100-mts-_JM" TargetMode="External"/><Relationship Id="rId28" Type="http://schemas.openxmlformats.org/officeDocument/2006/relationships/hyperlink" Target="https://articulo.mercadolibre.com.ar/MLA-924491518-24-vaso-wiskie-tennessee-para-velas-cera-x-mayor-_JM?searchVariation=87323372096" TargetMode="External"/><Relationship Id="rId36" Type="http://schemas.openxmlformats.org/officeDocument/2006/relationships/hyperlink" Target="https://www.candycraft.com.ar/productos/cinta-raso-n0-3-mm-x-50-metros/" TargetMode="External"/><Relationship Id="rId10" Type="http://schemas.openxmlformats.org/officeDocument/2006/relationships/hyperlink" Target="https://www.candycraft.com.ar/productos/cinta-raso-n2-1-cm-x-10-metros/" TargetMode="External"/><Relationship Id="rId19" Type="http://schemas.openxmlformats.org/officeDocument/2006/relationships/hyperlink" Target="https://nuevasluces.empretienda.com.ar/insumos-para-velas/materiales/pegamento-para-ojalillo-en-rollo-x100-puntos" TargetMode="External"/><Relationship Id="rId31" Type="http://schemas.openxmlformats.org/officeDocument/2006/relationships/hyperlink" Target="https://articulo.mercadolibre.com.ar/MLA-1412621905-opalina-cartulina-a4-125-hojas-210-grs-chambril-blanco-liso-_JM?has_official_store=false&amp;highlight=false&amp;searchVariation=179959910796&amp;headerTopBrand=true" TargetMode="External"/><Relationship Id="rId44" Type="http://schemas.openxmlformats.org/officeDocument/2006/relationships/hyperlink" Target="https://www.mercadolibre.com.ar/stendy-zipper-transparente-5x7cm-pack-500-5-cm-7-cm/p/MLA47606885?product_trigger_id=MLA60357848&amp;picker=true&amp;quantity=1" TargetMode="External"/><Relationship Id="rId4" Type="http://schemas.openxmlformats.org/officeDocument/2006/relationships/hyperlink" Target="https://articulo.mercadolibre.com.ar/MLA-1166759946-papel-texturado-tarjeteria-a4-250grs-opalina-mate-telado-x20-_JM" TargetMode="External"/><Relationship Id="rId9" Type="http://schemas.openxmlformats.org/officeDocument/2006/relationships/hyperlink" Target="https://www.doblementa.com.ar/productos/pack-de-cajas-deslizantes-7x7x1-blancas-modelo-d10/" TargetMode="External"/><Relationship Id="rId14" Type="http://schemas.openxmlformats.org/officeDocument/2006/relationships/hyperlink" Target="https://www.indubox.com.ar/estructura/secciones/s_producto.php?mIdProducto=141" TargetMode="External"/><Relationship Id="rId22" Type="http://schemas.openxmlformats.org/officeDocument/2006/relationships/hyperlink" Target="https://articulo.mercadolibre.com.ar/MLA-866855433-hilo-dorado-o-plateado-lurex-cola-de-raton-souvenir-x100-mts-_JM" TargetMode="External"/><Relationship Id="rId27" Type="http://schemas.openxmlformats.org/officeDocument/2006/relationships/hyperlink" Target="https://almacendearmado.com.ar/productos/mosqueton-de-hierro-2-cm-mod-b/" TargetMode="External"/><Relationship Id="rId30" Type="http://schemas.openxmlformats.org/officeDocument/2006/relationships/hyperlink" Target="https://www.doblementa.com.ar/productos/pack-de-cajas-8x8x10-blancas-modelo-a32/" TargetMode="External"/><Relationship Id="rId35" Type="http://schemas.openxmlformats.org/officeDocument/2006/relationships/hyperlink" Target="https://almacendearmado.com.ar/productos/dije-de-fundicion-letra-a/" TargetMode="External"/><Relationship Id="rId43" Type="http://schemas.openxmlformats.org/officeDocument/2006/relationships/hyperlink" Target="https://www.mercadolibre.com.ar/canvas-corteza-de-pino-230g-a4-50-hojas/up/MLAU240631643?pdp_filters=official_store%3A209106" TargetMode="External"/><Relationship Id="rId48" Type="http://schemas.openxmlformats.org/officeDocument/2006/relationships/printerSettings" Target="../printerSettings/printerSettings3.bin"/><Relationship Id="rId8" Type="http://schemas.openxmlformats.org/officeDocument/2006/relationships/hyperlink" Target="https://www.golosinasdelsur.com.ar/productos/chocolatin-georgalos-x-40-unidades-8-grms/" TargetMode="External"/><Relationship Id="rId3" Type="http://schemas.openxmlformats.org/officeDocument/2006/relationships/hyperlink" Target="https://articulo.mercadolibre.com.ar/MLA-831789435-papel-fotografico-autoadhesivo-a4-brillante-foil-100-hojas-_JM?searchVariation=48388231674" TargetMode="External"/><Relationship Id="rId12" Type="http://schemas.openxmlformats.org/officeDocument/2006/relationships/hyperlink" Target="https://www.indubox.com.ar/estructura/secciones/s_producto.php?mIdProducto=140" TargetMode="External"/><Relationship Id="rId17" Type="http://schemas.openxmlformats.org/officeDocument/2006/relationships/hyperlink" Target="https://nuevasluces.empretienda.com.ar/insumos-para-velas/cera/cera-de-soja-astra-bpf" TargetMode="External"/><Relationship Id="rId25" Type="http://schemas.openxmlformats.org/officeDocument/2006/relationships/hyperlink" Target="https://articulo.mercadolibre.com.ar/MLA-846595834-papel-kraft-a4-270gr-resma-x50-hojas-madera-misionero-_JM" TargetMode="External"/><Relationship Id="rId33" Type="http://schemas.openxmlformats.org/officeDocument/2006/relationships/hyperlink" Target="https://articulo.mercadolibre.com.ar/MLA-1485466166-bolsa-de-polipropileno-4x25cm-ideal-garrapinadas-x-200-u-_JM?has_official_store=false&amp;highlight=false&amp;headerTopBrand=true" TargetMode="External"/><Relationship Id="rId38" Type="http://schemas.openxmlformats.org/officeDocument/2006/relationships/hyperlink" Target="https://www.mercadolibre.com.ar/holofan-artjet-adhesivo-noche-estrellada-a4-20-hojas/up/MLAU238908238?pdp_filters=official_store%3A209106" TargetMode="External"/><Relationship Id="rId46" Type="http://schemas.openxmlformats.org/officeDocument/2006/relationships/hyperlink" Target="https://articulo.mercadolibre.com.ar/MLA-874369388-frasco-anchoero-vidrio-100-cc-con-tapa-48-axial-x35-unidades-_JM?searchVariation=69520677813" TargetMode="External"/><Relationship Id="rId20" Type="http://schemas.openxmlformats.org/officeDocument/2006/relationships/hyperlink" Target="https://articulo.mercadolibre.com.ar/MLA-811699400-opp-transparente-a4-vinilo-autoadhesivo-x20u-papel-p-laser-_JM" TargetMode="External"/><Relationship Id="rId41" Type="http://schemas.openxmlformats.org/officeDocument/2006/relationships/hyperlink" Target="https://www.mercadolibre.com.ar/papel-kraft-a4-270gr-resma-x50-hojas-madera-misionero/up/MLAU175523047?pdp_filters=item_id:MLA84659583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2B5C2-AC13-4FB0-B4E1-B24C12F6135C}">
  <dimension ref="A1:AU500"/>
  <sheetViews>
    <sheetView topLeftCell="I2" zoomScale="60" zoomScaleNormal="60" workbookViewId="0">
      <pane ySplit="1" topLeftCell="A76" activePane="bottomLeft" state="frozen"/>
      <selection activeCell="A2" sqref="A2"/>
      <selection pane="bottomLeft" activeCell="S81" sqref="S81:V110"/>
    </sheetView>
  </sheetViews>
  <sheetFormatPr baseColWidth="10" defaultRowHeight="18.75" customHeight="1" x14ac:dyDescent="0.35"/>
  <cols>
    <col min="1" max="1" width="22.85546875" style="195" customWidth="1"/>
    <col min="2" max="2" width="17.140625" style="254" customWidth="1"/>
    <col min="3" max="3" width="17.7109375" style="20" customWidth="1"/>
    <col min="4" max="4" width="34" style="20" customWidth="1"/>
    <col min="5" max="5" width="49.42578125" style="363" bestFit="1" customWidth="1"/>
    <col min="6" max="7" width="24.7109375" style="3" hidden="1" customWidth="1"/>
    <col min="8" max="8" width="26.28515625" style="20" customWidth="1"/>
    <col min="9" max="9" width="19.85546875" style="20" customWidth="1"/>
    <col min="10" max="10" width="19.7109375" style="204" customWidth="1"/>
    <col min="11" max="11" width="20.42578125" style="255" customWidth="1"/>
    <col min="12" max="14" width="19.5703125" style="392" customWidth="1"/>
    <col min="15" max="17" width="19.5703125" style="255" customWidth="1"/>
    <col min="18" max="18" width="19.28515625" style="227" customWidth="1"/>
    <col min="19" max="19" width="17.28515625" style="230" customWidth="1"/>
    <col min="20" max="20" width="17.28515625" style="230" bestFit="1" customWidth="1"/>
    <col min="21" max="21" width="22.28515625" style="230" bestFit="1" customWidth="1"/>
    <col min="22" max="22" width="13.42578125" style="230" bestFit="1" customWidth="1"/>
    <col min="23" max="23" width="25.85546875" style="228" customWidth="1"/>
    <col min="24" max="24" width="22.7109375" style="238" customWidth="1"/>
    <col min="25" max="25" width="16.5703125" style="20" customWidth="1"/>
    <col min="26" max="26" width="20.140625" style="20" customWidth="1"/>
    <col min="27" max="27" width="19.28515625" style="20" customWidth="1"/>
    <col min="28" max="28" width="14.5703125" style="20" bestFit="1" customWidth="1"/>
    <col min="29" max="29" width="27.28515625" style="361" bestFit="1" customWidth="1"/>
    <col min="30" max="30" width="17" style="20" customWidth="1"/>
    <col min="31" max="31" width="17.5703125" style="20" customWidth="1"/>
    <col min="32" max="32" width="21.28515625" style="20" customWidth="1"/>
    <col min="33" max="33" width="16" style="20" customWidth="1"/>
    <col min="34" max="34" width="11.7109375" style="20" bestFit="1" customWidth="1"/>
    <col min="35" max="35" width="11.42578125" style="20"/>
    <col min="36" max="36" width="31.42578125" style="20" customWidth="1"/>
    <col min="37" max="16384" width="11.42578125" style="20"/>
  </cols>
  <sheetData>
    <row r="1" spans="1:47" ht="18.75" customHeight="1" x14ac:dyDescent="0.35">
      <c r="R1" s="180"/>
      <c r="S1" s="177"/>
      <c r="T1" s="177"/>
      <c r="U1" s="177"/>
      <c r="V1" s="177"/>
      <c r="X1" s="237"/>
      <c r="Y1" s="20">
        <v>0.15</v>
      </c>
    </row>
    <row r="2" spans="1:47" s="381" customFormat="1" ht="24.75" customHeight="1" x14ac:dyDescent="0.4">
      <c r="A2" s="355" t="s">
        <v>360</v>
      </c>
      <c r="B2" s="368" t="s">
        <v>162</v>
      </c>
      <c r="C2" s="369" t="s">
        <v>157</v>
      </c>
      <c r="D2" s="370" t="s">
        <v>166</v>
      </c>
      <c r="E2" s="371" t="s">
        <v>158</v>
      </c>
      <c r="F2" s="369"/>
      <c r="G2" s="369" t="s">
        <v>189</v>
      </c>
      <c r="H2" s="372" t="s">
        <v>85</v>
      </c>
      <c r="I2" s="372" t="s">
        <v>160</v>
      </c>
      <c r="J2" s="373" t="s">
        <v>167</v>
      </c>
      <c r="K2" s="374" t="s">
        <v>319</v>
      </c>
      <c r="L2" s="390" t="s">
        <v>445</v>
      </c>
      <c r="M2" s="390" t="s">
        <v>444</v>
      </c>
      <c r="N2" s="390" t="s">
        <v>446</v>
      </c>
      <c r="O2" s="374" t="s">
        <v>440</v>
      </c>
      <c r="P2" s="374" t="s">
        <v>441</v>
      </c>
      <c r="Q2" s="374" t="s">
        <v>443</v>
      </c>
      <c r="R2" s="375" t="s">
        <v>259</v>
      </c>
      <c r="S2" s="376" t="s">
        <v>282</v>
      </c>
      <c r="T2" s="377" t="s">
        <v>284</v>
      </c>
      <c r="U2" s="377" t="s">
        <v>285</v>
      </c>
      <c r="V2" s="377" t="s">
        <v>283</v>
      </c>
      <c r="W2" s="378" t="s">
        <v>7</v>
      </c>
      <c r="X2" s="379" t="s">
        <v>297</v>
      </c>
      <c r="Y2" s="380" t="s">
        <v>161</v>
      </c>
      <c r="AC2" s="382" t="s">
        <v>388</v>
      </c>
      <c r="AE2" s="381" t="s">
        <v>389</v>
      </c>
    </row>
    <row r="3" spans="1:47" ht="18.75" customHeight="1" x14ac:dyDescent="0.35">
      <c r="B3" s="254">
        <v>45921</v>
      </c>
      <c r="C3" s="205" t="s">
        <v>156</v>
      </c>
      <c r="D3" s="205">
        <v>113000</v>
      </c>
      <c r="E3" s="364"/>
      <c r="F3" s="208"/>
      <c r="G3" s="208"/>
      <c r="H3" s="205" t="s">
        <v>159</v>
      </c>
      <c r="I3" s="205">
        <v>100</v>
      </c>
      <c r="J3" s="190">
        <v>77184</v>
      </c>
      <c r="R3" s="224"/>
      <c r="S3" s="190"/>
      <c r="T3" s="190"/>
      <c r="U3" s="190"/>
      <c r="V3" s="190"/>
      <c r="W3" s="190">
        <v>45870</v>
      </c>
      <c r="X3" s="233"/>
      <c r="Y3" s="206">
        <f>W3*$Y$1</f>
        <v>6880.5</v>
      </c>
      <c r="Z3" s="207">
        <f>SUM(Y3:Y9)</f>
        <v>14292.9</v>
      </c>
      <c r="AR3" s="20" t="s">
        <v>287</v>
      </c>
      <c r="AS3" s="20">
        <v>0.01</v>
      </c>
    </row>
    <row r="4" spans="1:47" ht="18.75" customHeight="1" x14ac:dyDescent="0.35">
      <c r="B4" s="254">
        <v>25</v>
      </c>
      <c r="C4" s="205" t="s">
        <v>168</v>
      </c>
      <c r="D4" s="205"/>
      <c r="E4" s="364" t="s">
        <v>169</v>
      </c>
      <c r="F4" s="208"/>
      <c r="G4" s="208"/>
      <c r="H4" s="205" t="s">
        <v>75</v>
      </c>
      <c r="I4" s="205">
        <v>50</v>
      </c>
      <c r="J4" s="190">
        <v>23250</v>
      </c>
      <c r="R4" s="224"/>
      <c r="S4" s="190"/>
      <c r="T4" s="190"/>
      <c r="U4" s="190"/>
      <c r="V4" s="190"/>
      <c r="W4" s="190">
        <v>7646</v>
      </c>
      <c r="X4" s="234"/>
      <c r="Y4" s="206">
        <f>W4*$Y$1</f>
        <v>1146.8999999999999</v>
      </c>
      <c r="AR4" s="20" t="s">
        <v>288</v>
      </c>
      <c r="AS4" s="232">
        <v>0.1</v>
      </c>
    </row>
    <row r="5" spans="1:47" ht="18.75" customHeight="1" x14ac:dyDescent="0.35">
      <c r="B5" s="254">
        <v>45915</v>
      </c>
      <c r="C5" s="205" t="s">
        <v>170</v>
      </c>
      <c r="D5" s="205"/>
      <c r="E5" s="364" t="s">
        <v>171</v>
      </c>
      <c r="F5" s="208"/>
      <c r="G5" s="208"/>
      <c r="H5" s="205" t="s">
        <v>33</v>
      </c>
      <c r="I5" s="205">
        <v>15</v>
      </c>
      <c r="J5" s="190">
        <v>36112</v>
      </c>
      <c r="R5" s="224"/>
      <c r="S5" s="190"/>
      <c r="T5" s="190"/>
      <c r="U5" s="190"/>
      <c r="V5" s="190"/>
      <c r="W5" s="190">
        <v>12225</v>
      </c>
      <c r="X5" s="234"/>
      <c r="Y5" s="206">
        <f>W5*$Y$1</f>
        <v>1833.75</v>
      </c>
      <c r="AR5" s="20" t="s">
        <v>168</v>
      </c>
      <c r="AS5" s="20">
        <v>0.1</v>
      </c>
    </row>
    <row r="6" spans="1:47" ht="18.75" customHeight="1" x14ac:dyDescent="0.35">
      <c r="B6" s="254">
        <v>45929</v>
      </c>
      <c r="C6" s="205" t="s">
        <v>172</v>
      </c>
      <c r="D6" s="205"/>
      <c r="E6" s="364" t="s">
        <v>173</v>
      </c>
      <c r="F6" s="208"/>
      <c r="G6" s="208"/>
      <c r="H6" s="205" t="s">
        <v>95</v>
      </c>
      <c r="I6" s="205">
        <v>20</v>
      </c>
      <c r="J6" s="190">
        <v>63745</v>
      </c>
      <c r="R6" s="224"/>
      <c r="S6" s="190"/>
      <c r="T6" s="190"/>
      <c r="U6" s="190"/>
      <c r="V6" s="190"/>
      <c r="W6" s="190">
        <f>J6-(2310*20)</f>
        <v>17545</v>
      </c>
      <c r="X6" s="234"/>
      <c r="Y6" s="207">
        <f>W6*$Y$1</f>
        <v>2631.75</v>
      </c>
      <c r="AR6" s="20" t="s">
        <v>289</v>
      </c>
      <c r="AS6" s="20">
        <v>0.05</v>
      </c>
    </row>
    <row r="7" spans="1:47" ht="18.75" customHeight="1" x14ac:dyDescent="0.35">
      <c r="B7" s="254">
        <v>45926</v>
      </c>
      <c r="C7" s="221" t="s">
        <v>156</v>
      </c>
      <c r="D7" s="221">
        <v>50500</v>
      </c>
      <c r="E7" s="365" t="s">
        <v>182</v>
      </c>
      <c r="F7" s="222"/>
      <c r="G7" s="222"/>
      <c r="H7" s="221" t="s">
        <v>33</v>
      </c>
      <c r="I7" s="221">
        <v>15</v>
      </c>
      <c r="J7" s="223">
        <v>36746</v>
      </c>
      <c r="K7" s="256"/>
      <c r="L7" s="393"/>
      <c r="M7" s="393"/>
      <c r="N7" s="393"/>
      <c r="O7" s="256"/>
      <c r="P7" s="256"/>
      <c r="Q7" s="256"/>
      <c r="R7" s="226"/>
      <c r="S7" s="223"/>
      <c r="T7" s="223"/>
      <c r="U7" s="223"/>
      <c r="V7" s="223"/>
      <c r="W7" s="223">
        <v>12000</v>
      </c>
      <c r="X7" s="235"/>
      <c r="Y7" s="207">
        <f>W7*$Y$1</f>
        <v>1800</v>
      </c>
      <c r="AB7" s="218"/>
    </row>
    <row r="8" spans="1:47" ht="18.75" customHeight="1" x14ac:dyDescent="0.35">
      <c r="C8" s="474" t="s">
        <v>190</v>
      </c>
      <c r="D8" s="475"/>
      <c r="E8" s="475"/>
      <c r="F8" s="475"/>
      <c r="G8" s="475"/>
      <c r="H8" s="475"/>
      <c r="I8" s="475"/>
      <c r="J8" s="475"/>
      <c r="K8" s="475"/>
      <c r="L8" s="475"/>
      <c r="M8" s="475"/>
      <c r="N8" s="475"/>
      <c r="O8" s="475"/>
      <c r="P8" s="475"/>
      <c r="Q8" s="475"/>
      <c r="R8" s="475"/>
      <c r="S8" s="475"/>
      <c r="T8" s="475"/>
      <c r="U8" s="475"/>
      <c r="V8" s="475"/>
      <c r="W8" s="475"/>
      <c r="X8" s="236"/>
      <c r="Y8" s="177"/>
    </row>
    <row r="9" spans="1:47" ht="18.75" customHeight="1" x14ac:dyDescent="0.35">
      <c r="B9" s="254">
        <v>45931</v>
      </c>
      <c r="C9" s="221" t="s">
        <v>170</v>
      </c>
      <c r="D9" s="221"/>
      <c r="E9" s="365" t="s">
        <v>187</v>
      </c>
      <c r="F9" s="222"/>
      <c r="G9" s="222"/>
      <c r="H9" s="221" t="s">
        <v>33</v>
      </c>
      <c r="I9" s="221">
        <v>100</v>
      </c>
      <c r="J9" s="223">
        <v>216675</v>
      </c>
      <c r="K9" s="256"/>
      <c r="L9" s="393"/>
      <c r="M9" s="393"/>
      <c r="N9" s="393"/>
      <c r="O9" s="256"/>
      <c r="P9" s="256"/>
      <c r="Q9" s="256"/>
      <c r="R9" s="226"/>
      <c r="S9" s="223"/>
      <c r="T9" s="223"/>
      <c r="U9" s="223"/>
      <c r="V9" s="223"/>
      <c r="W9" s="223">
        <v>66294</v>
      </c>
      <c r="X9" s="239"/>
      <c r="Y9" s="207"/>
      <c r="AR9" s="20" t="s">
        <v>294</v>
      </c>
      <c r="AS9" s="177">
        <f>SUM(J9:J26)</f>
        <v>1936729.94</v>
      </c>
      <c r="AU9" s="177">
        <f>AS10*0.05</f>
        <v>34975.230999999992</v>
      </c>
    </row>
    <row r="10" spans="1:47" ht="18.75" customHeight="1" x14ac:dyDescent="0.35">
      <c r="B10" s="254">
        <v>45931</v>
      </c>
      <c r="C10" s="221" t="s">
        <v>290</v>
      </c>
      <c r="D10" s="221"/>
      <c r="E10" s="365" t="s">
        <v>188</v>
      </c>
      <c r="F10" s="222"/>
      <c r="G10" s="222">
        <v>3416742265</v>
      </c>
      <c r="H10" s="221" t="s">
        <v>159</v>
      </c>
      <c r="I10" s="221">
        <v>200</v>
      </c>
      <c r="J10" s="223">
        <v>145350</v>
      </c>
      <c r="K10" s="256"/>
      <c r="L10" s="393"/>
      <c r="M10" s="393"/>
      <c r="N10" s="393"/>
      <c r="O10" s="256"/>
      <c r="P10" s="256"/>
      <c r="Q10" s="256"/>
      <c r="R10" s="226"/>
      <c r="S10" s="223"/>
      <c r="T10" s="223"/>
      <c r="U10" s="223"/>
      <c r="V10" s="223"/>
      <c r="W10" s="223">
        <v>69645</v>
      </c>
      <c r="X10" s="243"/>
      <c r="Y10" s="207">
        <f>W10*$Y$8</f>
        <v>0</v>
      </c>
      <c r="Z10" s="207" t="e">
        <f>SUM(Y10:Y120)</f>
        <v>#REF!</v>
      </c>
      <c r="AJ10" s="20" t="s">
        <v>75</v>
      </c>
      <c r="AK10" s="20">
        <v>294</v>
      </c>
      <c r="AR10" s="20" t="s">
        <v>295</v>
      </c>
      <c r="AS10" s="177">
        <f>SUM(W9:W26)-W24</f>
        <v>699504.61999999988</v>
      </c>
      <c r="AU10" s="219"/>
    </row>
    <row r="11" spans="1:47" ht="18.75" customHeight="1" x14ac:dyDescent="0.35">
      <c r="B11" s="254">
        <v>45933</v>
      </c>
      <c r="C11" s="221" t="s">
        <v>290</v>
      </c>
      <c r="D11" s="221"/>
      <c r="E11" s="365" t="s">
        <v>193</v>
      </c>
      <c r="F11" s="222"/>
      <c r="G11" s="222">
        <v>1123192733</v>
      </c>
      <c r="H11" s="221" t="s">
        <v>33</v>
      </c>
      <c r="I11" s="221">
        <v>85</v>
      </c>
      <c r="J11" s="223">
        <v>203490</v>
      </c>
      <c r="K11" s="256"/>
      <c r="L11" s="393"/>
      <c r="M11" s="393"/>
      <c r="N11" s="393"/>
      <c r="O11" s="256"/>
      <c r="P11" s="256"/>
      <c r="Q11" s="256"/>
      <c r="R11" s="226"/>
      <c r="S11" s="223"/>
      <c r="T11" s="223"/>
      <c r="U11" s="223"/>
      <c r="V11" s="223"/>
      <c r="W11" s="223">
        <f>J11-(1570.84*85)</f>
        <v>69968.600000000006</v>
      </c>
      <c r="X11" s="244"/>
      <c r="Y11" s="207">
        <f>W11*$Y$8</f>
        <v>0</v>
      </c>
      <c r="AJ11" s="20" t="s">
        <v>0</v>
      </c>
      <c r="AK11" s="20">
        <v>327</v>
      </c>
      <c r="AU11" s="177">
        <f>AS9-AS10</f>
        <v>1237225.32</v>
      </c>
    </row>
    <row r="12" spans="1:47" ht="18.75" customHeight="1" x14ac:dyDescent="0.35">
      <c r="B12" s="254">
        <v>45933</v>
      </c>
      <c r="C12" s="221" t="s">
        <v>191</v>
      </c>
      <c r="D12" s="221"/>
      <c r="E12" s="365" t="s">
        <v>192</v>
      </c>
      <c r="F12" s="222"/>
      <c r="G12" s="222"/>
      <c r="H12" s="221" t="s">
        <v>198</v>
      </c>
      <c r="I12" s="221">
        <v>80</v>
      </c>
      <c r="J12" s="223">
        <v>64960</v>
      </c>
      <c r="K12" s="256"/>
      <c r="L12" s="393"/>
      <c r="M12" s="393"/>
      <c r="N12" s="393"/>
      <c r="O12" s="256"/>
      <c r="P12" s="256"/>
      <c r="Q12" s="256"/>
      <c r="R12" s="226"/>
      <c r="S12" s="223"/>
      <c r="T12" s="223"/>
      <c r="U12" s="223"/>
      <c r="V12" s="223"/>
      <c r="W12" s="223">
        <v>32560</v>
      </c>
      <c r="X12" s="245"/>
      <c r="Y12" s="207">
        <f>W12*$Y$8</f>
        <v>0</v>
      </c>
      <c r="AJ12" s="20" t="s">
        <v>5</v>
      </c>
      <c r="AK12" s="20">
        <v>330</v>
      </c>
    </row>
    <row r="13" spans="1:47" ht="18.75" customHeight="1" x14ac:dyDescent="0.35">
      <c r="B13" s="254">
        <v>45936</v>
      </c>
      <c r="C13" s="221" t="s">
        <v>191</v>
      </c>
      <c r="D13" s="205">
        <v>113000</v>
      </c>
      <c r="E13" s="364" t="s">
        <v>199</v>
      </c>
      <c r="F13" s="208"/>
      <c r="G13" s="208"/>
      <c r="H13" s="221" t="s">
        <v>159</v>
      </c>
      <c r="I13" s="205">
        <v>100</v>
      </c>
      <c r="J13" s="190">
        <v>76950</v>
      </c>
      <c r="R13" s="224"/>
      <c r="S13" s="190"/>
      <c r="T13" s="190"/>
      <c r="U13" s="190"/>
      <c r="V13" s="190"/>
      <c r="W13" s="190">
        <v>36600</v>
      </c>
      <c r="X13" s="240"/>
      <c r="Y13" s="207" cm="1">
        <f t="array" ref="Y13" xml:space="preserve"> W13 * _xlfn.XLOOKUP(C13, {"MELI";"WEB";"IG";"OTRO"}, $AS$3:$AS$6)</f>
        <v>366</v>
      </c>
      <c r="AA13" s="177"/>
      <c r="AJ13" s="20" t="s">
        <v>33</v>
      </c>
      <c r="AK13" s="20">
        <v>1443.5</v>
      </c>
    </row>
    <row r="14" spans="1:47" ht="18.75" customHeight="1" x14ac:dyDescent="0.35">
      <c r="B14" s="254">
        <v>45936</v>
      </c>
      <c r="C14" s="221" t="s">
        <v>191</v>
      </c>
      <c r="D14" s="205">
        <v>32000</v>
      </c>
      <c r="E14" s="364" t="s">
        <v>200</v>
      </c>
      <c r="F14" s="208"/>
      <c r="G14" s="208"/>
      <c r="H14" s="221" t="s">
        <v>33</v>
      </c>
      <c r="I14" s="205">
        <v>10</v>
      </c>
      <c r="J14" s="190">
        <v>24000</v>
      </c>
      <c r="R14" s="224"/>
      <c r="S14" s="190"/>
      <c r="T14" s="190"/>
      <c r="U14" s="190"/>
      <c r="V14" s="190"/>
      <c r="W14" s="190">
        <v>8150</v>
      </c>
      <c r="X14" s="243"/>
      <c r="Y14" s="207" cm="1">
        <f t="array" ref="Y14" xml:space="preserve"> W14 * _xlfn.XLOOKUP(C14, {"MELI";"WEB";"IG";"OTRO"}, $AS$3:$AS$6)</f>
        <v>81.5</v>
      </c>
      <c r="AA14" s="177"/>
      <c r="AD14" s="177"/>
      <c r="AE14" s="220"/>
      <c r="AF14" s="177"/>
      <c r="AJ14" s="20" t="s">
        <v>437</v>
      </c>
      <c r="AK14" s="20">
        <v>1499.86</v>
      </c>
    </row>
    <row r="15" spans="1:47" ht="18.75" customHeight="1" x14ac:dyDescent="0.35">
      <c r="B15" s="254">
        <v>45940</v>
      </c>
      <c r="C15" s="205" t="s">
        <v>290</v>
      </c>
      <c r="D15" s="205"/>
      <c r="E15" s="365" t="s">
        <v>193</v>
      </c>
      <c r="F15" s="222"/>
      <c r="G15" s="222">
        <v>1123192733</v>
      </c>
      <c r="H15" s="205" t="s">
        <v>201</v>
      </c>
      <c r="I15" s="205">
        <v>85</v>
      </c>
      <c r="J15" s="190">
        <v>24000</v>
      </c>
      <c r="R15" s="224"/>
      <c r="S15" s="190"/>
      <c r="T15" s="190"/>
      <c r="U15" s="190"/>
      <c r="V15" s="190"/>
      <c r="W15" s="190">
        <f>J15-(2079+3036)</f>
        <v>18885</v>
      </c>
      <c r="X15" s="243"/>
      <c r="Y15" s="207" cm="1">
        <f t="array" ref="Y15" xml:space="preserve"> W15 * _xlfn.XLOOKUP(C15, {"MELI";"WEB";"IG";"OTRO"}, $AS$3:$AS$6)</f>
        <v>944.25</v>
      </c>
      <c r="AA15" s="177"/>
      <c r="AD15" s="252"/>
      <c r="AF15" s="177"/>
      <c r="AJ15" s="20" t="s">
        <v>382</v>
      </c>
      <c r="AK15" s="20">
        <v>2263.63</v>
      </c>
    </row>
    <row r="16" spans="1:47" ht="18.75" customHeight="1" x14ac:dyDescent="0.35">
      <c r="B16" s="254">
        <v>45944</v>
      </c>
      <c r="C16" s="20" t="s">
        <v>250</v>
      </c>
      <c r="E16" s="363" t="s">
        <v>251</v>
      </c>
      <c r="G16" s="3" t="s">
        <v>252</v>
      </c>
      <c r="H16" s="20" t="s">
        <v>101</v>
      </c>
      <c r="I16" s="20">
        <v>50</v>
      </c>
      <c r="J16" s="204">
        <v>22500</v>
      </c>
      <c r="S16" s="231"/>
      <c r="W16" s="228">
        <v>7773</v>
      </c>
      <c r="X16" s="241"/>
      <c r="Y16" s="207" cm="1">
        <f t="array" ref="Y16" xml:space="preserve"> W16 * _xlfn.XLOOKUP(C16, {"MELI";"WEB";"IG";"OTRO"}, $AS$3:$AS$6)</f>
        <v>777.30000000000007</v>
      </c>
      <c r="Z16" s="217"/>
      <c r="AA16" s="177"/>
      <c r="AF16" s="180"/>
      <c r="AJ16" s="20" t="s">
        <v>364</v>
      </c>
      <c r="AK16" s="20">
        <v>2422</v>
      </c>
    </row>
    <row r="17" spans="2:37" ht="18.75" customHeight="1" x14ac:dyDescent="0.35">
      <c r="B17" s="254">
        <v>45944</v>
      </c>
      <c r="C17" s="20" t="s">
        <v>168</v>
      </c>
      <c r="E17" s="363" t="s">
        <v>253</v>
      </c>
      <c r="G17" s="3" t="s">
        <v>254</v>
      </c>
      <c r="H17" s="20" t="s">
        <v>0</v>
      </c>
      <c r="I17" s="20">
        <v>130</v>
      </c>
      <c r="J17" s="204">
        <v>111150</v>
      </c>
      <c r="S17" s="231"/>
      <c r="W17" s="228">
        <v>65970</v>
      </c>
      <c r="X17" s="242"/>
      <c r="Y17" s="207" cm="1">
        <f t="array" ref="Y17" xml:space="preserve"> W17 * _xlfn.XLOOKUP(C17, {"MELI";"WEB";"IG";"OTRO"}, $AS$3:$AS$6)</f>
        <v>6597</v>
      </c>
      <c r="Z17" s="177"/>
      <c r="AA17" s="177"/>
      <c r="AF17" s="225"/>
      <c r="AG17" s="177"/>
      <c r="AH17" s="177"/>
      <c r="AJ17" s="20" t="s">
        <v>312</v>
      </c>
      <c r="AK17" s="20">
        <v>2384.8000000000002</v>
      </c>
    </row>
    <row r="18" spans="2:37" ht="18.75" customHeight="1" x14ac:dyDescent="0.35">
      <c r="C18" s="20" t="s">
        <v>293</v>
      </c>
      <c r="E18" s="363" t="s">
        <v>255</v>
      </c>
      <c r="G18" s="3" t="s">
        <v>256</v>
      </c>
      <c r="H18" s="20" t="s">
        <v>248</v>
      </c>
      <c r="I18" s="20">
        <v>1</v>
      </c>
      <c r="J18" s="204">
        <v>13000</v>
      </c>
      <c r="S18" s="231"/>
      <c r="W18" s="228">
        <v>5871</v>
      </c>
      <c r="X18" s="243"/>
      <c r="Y18" s="207" cm="1">
        <f t="array" ref="Y18" xml:space="preserve"> W18 * _xlfn.XLOOKUP(C18, {"MELI";"WEB";"IG";"OTRO"}, $AS$3:$AS$6)</f>
        <v>587.1</v>
      </c>
      <c r="AA18" s="177"/>
      <c r="AF18" s="180"/>
      <c r="AJ18" s="20" t="s">
        <v>438</v>
      </c>
      <c r="AK18" s="20">
        <v>2610</v>
      </c>
    </row>
    <row r="19" spans="2:37" ht="18.75" customHeight="1" x14ac:dyDescent="0.35">
      <c r="C19" s="20" t="s">
        <v>293</v>
      </c>
      <c r="E19" s="363" t="str">
        <f>E18</f>
        <v>Cris</v>
      </c>
      <c r="G19" s="3" t="str">
        <f>G18</f>
        <v>2235 22-6326</v>
      </c>
      <c r="H19" s="20" t="s">
        <v>257</v>
      </c>
      <c r="I19" s="20">
        <v>30</v>
      </c>
      <c r="J19" s="204">
        <v>33000</v>
      </c>
      <c r="R19" s="227">
        <v>19710</v>
      </c>
      <c r="S19" s="231"/>
      <c r="W19" s="228">
        <f>J19-R19</f>
        <v>13290</v>
      </c>
      <c r="X19" s="240"/>
      <c r="Y19" s="207" cm="1">
        <f t="array" ref="Y19" xml:space="preserve"> W19 * _xlfn.XLOOKUP(C19, {"MELI";"WEB";"IG";"OTRO"}, $AS$3:$AS$6)</f>
        <v>1329</v>
      </c>
      <c r="AA19" s="177"/>
      <c r="AJ19" s="20" t="s">
        <v>433</v>
      </c>
      <c r="AK19" s="20">
        <v>440.7</v>
      </c>
    </row>
    <row r="20" spans="2:37" ht="18.75" customHeight="1" x14ac:dyDescent="0.35">
      <c r="C20" s="20" t="s">
        <v>191</v>
      </c>
      <c r="E20" s="363" t="s">
        <v>199</v>
      </c>
      <c r="H20" s="20" t="s">
        <v>0</v>
      </c>
      <c r="I20" s="20">
        <v>100</v>
      </c>
      <c r="J20" s="204">
        <v>93196</v>
      </c>
      <c r="R20" s="227">
        <v>34754</v>
      </c>
      <c r="S20" s="231"/>
      <c r="W20" s="228">
        <f>(J20-R20)-9500</f>
        <v>48942</v>
      </c>
      <c r="X20" s="242"/>
      <c r="Y20" s="207" cm="1">
        <f t="array" ref="Y20" xml:space="preserve"> W20 * _xlfn.XLOOKUP(C20, {"MELI";"WEB";"IG";"OTRO"}, $AS$3:$AS$6)</f>
        <v>489.42</v>
      </c>
      <c r="AA20" s="177"/>
      <c r="AD20" s="253"/>
      <c r="AJ20" s="20" t="s">
        <v>354</v>
      </c>
      <c r="AK20" s="20">
        <v>1293</v>
      </c>
    </row>
    <row r="21" spans="2:37" ht="18.75" customHeight="1" x14ac:dyDescent="0.25">
      <c r="C21" s="20" t="s">
        <v>191</v>
      </c>
      <c r="E21" s="366" t="s">
        <v>260</v>
      </c>
      <c r="F21" s="229"/>
      <c r="H21" s="20" t="s">
        <v>261</v>
      </c>
      <c r="I21" s="20">
        <v>10</v>
      </c>
      <c r="J21" s="204">
        <v>23385.47</v>
      </c>
      <c r="R21" s="227">
        <v>14190</v>
      </c>
      <c r="S21" s="231"/>
      <c r="W21" s="228">
        <f>J21-R21</f>
        <v>9195.4700000000012</v>
      </c>
      <c r="X21" s="243"/>
      <c r="Y21" s="207" cm="1">
        <f t="array" ref="Y21" xml:space="preserve"> W21 * _xlfn.XLOOKUP(C21, {"MELI";"WEB";"IG";"OTRO"}, $AS$3:$AS$6)</f>
        <v>91.954700000000017</v>
      </c>
      <c r="AA21" s="177"/>
      <c r="AJ21" s="20" t="s">
        <v>333</v>
      </c>
      <c r="AK21" s="20">
        <v>1367</v>
      </c>
    </row>
    <row r="22" spans="2:37" ht="18.75" customHeight="1" x14ac:dyDescent="0.25">
      <c r="C22" s="20" t="s">
        <v>191</v>
      </c>
      <c r="E22" s="366" t="s">
        <v>262</v>
      </c>
      <c r="F22" s="229"/>
      <c r="H22" s="20" t="s">
        <v>261</v>
      </c>
      <c r="I22" s="20">
        <v>10</v>
      </c>
      <c r="J22" s="204">
        <f>J21</f>
        <v>23385.47</v>
      </c>
      <c r="R22" s="227">
        <f>R21</f>
        <v>14190</v>
      </c>
      <c r="S22" s="231"/>
      <c r="W22" s="228">
        <f>J22-R22</f>
        <v>9195.4700000000012</v>
      </c>
      <c r="X22" s="243"/>
      <c r="Y22" s="207" cm="1">
        <f t="array" ref="Y22" xml:space="preserve"> W22 * _xlfn.XLOOKUP(C22, {"MELI";"WEB";"IG";"OTRO"}, $AS$3:$AS$6)</f>
        <v>91.954700000000017</v>
      </c>
      <c r="AA22" s="177"/>
      <c r="AE22" s="248"/>
      <c r="AJ22" s="20" t="s">
        <v>434</v>
      </c>
    </row>
    <row r="23" spans="2:37" ht="18.75" customHeight="1" x14ac:dyDescent="0.35">
      <c r="C23" s="20" t="s">
        <v>292</v>
      </c>
      <c r="E23" s="363" t="s">
        <v>278</v>
      </c>
      <c r="G23" s="3" t="s">
        <v>279</v>
      </c>
      <c r="H23" s="20" t="s">
        <v>280</v>
      </c>
      <c r="I23" s="20">
        <v>65</v>
      </c>
      <c r="J23" s="204">
        <v>257985</v>
      </c>
      <c r="R23" s="227">
        <f>141765+5159+154.79</f>
        <v>147078.79</v>
      </c>
      <c r="S23" s="231"/>
      <c r="T23" s="230">
        <v>154.79</v>
      </c>
      <c r="U23" s="230">
        <v>5159.7</v>
      </c>
      <c r="W23" s="228">
        <f>J23-R23</f>
        <v>110906.20999999999</v>
      </c>
      <c r="X23" s="240"/>
      <c r="Y23" s="207" cm="1">
        <f t="array" ref="Y23" xml:space="preserve"> W23 * _xlfn.XLOOKUP(C23, {"MELI";"WEB";"IG";"OTRO"}, $AS$3:$AS$6)</f>
        <v>1109.0620999999999</v>
      </c>
      <c r="Z23" s="177"/>
      <c r="AB23" s="476"/>
      <c r="AJ23" s="20" t="s">
        <v>435</v>
      </c>
    </row>
    <row r="24" spans="2:37" ht="18.75" customHeight="1" x14ac:dyDescent="0.35">
      <c r="C24" s="20" t="s">
        <v>292</v>
      </c>
      <c r="E24" s="363" t="str">
        <f t="shared" ref="E24:R24" si="0">E23</f>
        <v>Caja Forense de la pampa</v>
      </c>
      <c r="G24" s="3" t="str">
        <f t="shared" si="0"/>
        <v>2215 37-4454</v>
      </c>
      <c r="H24" s="20" t="str">
        <f t="shared" si="0"/>
        <v>Cajita Gold</v>
      </c>
      <c r="I24" s="20">
        <f t="shared" si="0"/>
        <v>65</v>
      </c>
      <c r="J24" s="204">
        <f t="shared" si="0"/>
        <v>257985</v>
      </c>
      <c r="R24" s="227">
        <f t="shared" si="0"/>
        <v>147078.79</v>
      </c>
      <c r="S24" s="231"/>
      <c r="T24" s="230">
        <v>309.58</v>
      </c>
      <c r="U24" s="230">
        <v>5159.7</v>
      </c>
      <c r="W24" s="228">
        <f>J24-R24</f>
        <v>110906.20999999999</v>
      </c>
      <c r="X24" s="243"/>
      <c r="Y24" s="207" cm="1">
        <f t="array" ref="Y24" xml:space="preserve"> W24 * _xlfn.XLOOKUP(C24, {"MELI";"WEB";"IG";"OTRO"}, $AS$3:$AS$6)</f>
        <v>1109.0620999999999</v>
      </c>
      <c r="Z24" s="177"/>
      <c r="AB24" s="476"/>
      <c r="AJ24" s="20" t="s">
        <v>439</v>
      </c>
      <c r="AK24" s="20">
        <v>12512</v>
      </c>
    </row>
    <row r="25" spans="2:37" ht="18.75" customHeight="1" x14ac:dyDescent="0.35">
      <c r="C25" s="257" t="s">
        <v>291</v>
      </c>
      <c r="D25" s="257"/>
      <c r="E25" s="367" t="s">
        <v>281</v>
      </c>
      <c r="F25" s="258"/>
      <c r="G25" s="258"/>
      <c r="H25" s="257" t="s">
        <v>103</v>
      </c>
      <c r="I25" s="257">
        <v>50</v>
      </c>
      <c r="J25" s="259">
        <v>247500</v>
      </c>
      <c r="K25" s="259"/>
      <c r="O25" s="259"/>
      <c r="P25" s="259"/>
      <c r="Q25" s="259"/>
      <c r="R25" s="260">
        <f>123100</f>
        <v>123100</v>
      </c>
      <c r="S25" s="259">
        <v>18834.75</v>
      </c>
      <c r="T25" s="259">
        <v>61.88</v>
      </c>
      <c r="U25" s="259">
        <v>7425</v>
      </c>
      <c r="V25" s="259">
        <v>11137.5</v>
      </c>
      <c r="W25" s="259">
        <f>J25-R25-S25-T25-U25-V25</f>
        <v>86940.87</v>
      </c>
      <c r="X25" s="261">
        <f>W25*0.05</f>
        <v>4347.0434999999998</v>
      </c>
      <c r="Y25" s="207" cm="1">
        <f t="array" ref="Y25" xml:space="preserve"> W25 * _xlfn.XLOOKUP(C25, {"MELI";"WEB";"IG";"OTRO"}, $AS$3:$AS$6)</f>
        <v>8694.0869999999995</v>
      </c>
      <c r="AC25" s="361">
        <f>I25*6</f>
        <v>300</v>
      </c>
    </row>
    <row r="26" spans="2:37" ht="18.75" customHeight="1" x14ac:dyDescent="0.35">
      <c r="C26" s="20" t="s">
        <v>287</v>
      </c>
      <c r="E26" s="363" t="s">
        <v>286</v>
      </c>
      <c r="H26" s="20" t="s">
        <v>101</v>
      </c>
      <c r="I26" s="20">
        <v>200</v>
      </c>
      <c r="J26" s="204">
        <v>98218</v>
      </c>
      <c r="R26" s="227">
        <v>58900</v>
      </c>
      <c r="S26" s="231"/>
      <c r="W26" s="228">
        <f>J26-R26</f>
        <v>39318</v>
      </c>
      <c r="X26" s="243">
        <f>W26*0.05</f>
        <v>1965.9</v>
      </c>
      <c r="Y26" s="207" cm="1">
        <f t="array" ref="Y26" xml:space="preserve"> W26 * _xlfn.XLOOKUP(C26, {"MELI";"WEB";"IG";"OTRO"}, $AS$3:$AS$6)</f>
        <v>393.18</v>
      </c>
    </row>
    <row r="27" spans="2:37" ht="18.75" customHeight="1" x14ac:dyDescent="0.35">
      <c r="C27" s="20" t="s">
        <v>287</v>
      </c>
      <c r="E27" s="363" t="s">
        <v>298</v>
      </c>
      <c r="H27" s="20" t="s">
        <v>159</v>
      </c>
      <c r="I27" s="20">
        <v>100</v>
      </c>
      <c r="J27" s="204">
        <v>83841</v>
      </c>
      <c r="R27" s="227">
        <v>34754</v>
      </c>
      <c r="S27" s="231"/>
      <c r="W27" s="228">
        <f>J27-R27</f>
        <v>49087</v>
      </c>
      <c r="X27" s="243">
        <f t="shared" ref="X27:X90" si="1">W27*0.05</f>
        <v>2454.35</v>
      </c>
      <c r="Y27" s="207" cm="1">
        <f t="array" ref="Y27" xml:space="preserve"> W27 * _xlfn.XLOOKUP(C27, {"MELI";"WEB";"IG";"OTRO"}, $AS$3:$AS$6)</f>
        <v>490.87</v>
      </c>
    </row>
    <row r="28" spans="2:37" ht="18.75" customHeight="1" x14ac:dyDescent="0.35">
      <c r="B28" s="254">
        <v>45687</v>
      </c>
      <c r="C28" s="20" t="s">
        <v>287</v>
      </c>
      <c r="E28" s="363" t="s">
        <v>307</v>
      </c>
      <c r="H28" s="20" t="s">
        <v>75</v>
      </c>
      <c r="I28" s="20">
        <v>25</v>
      </c>
      <c r="J28" s="204">
        <v>14458.37</v>
      </c>
      <c r="K28" s="255">
        <v>20100</v>
      </c>
      <c r="O28" s="255">
        <v>7370.99</v>
      </c>
      <c r="R28" s="230">
        <v>7377.75</v>
      </c>
      <c r="S28" s="231"/>
      <c r="W28" s="228">
        <f>J28-R28</f>
        <v>7080.6200000000008</v>
      </c>
      <c r="X28" s="243"/>
      <c r="Y28" s="177" cm="1">
        <f t="array" ref="Y28" xml:space="preserve"> W28 * _xlfn.XLOOKUP(C28, {"MELI";"WEB";"IG";"OTRO"}, $AS$3:$AS$6)</f>
        <v>70.806200000000004</v>
      </c>
    </row>
    <row r="29" spans="2:37" ht="18.75" customHeight="1" x14ac:dyDescent="0.35">
      <c r="B29" s="254">
        <v>45961</v>
      </c>
      <c r="C29" s="20" t="s">
        <v>287</v>
      </c>
      <c r="E29" s="363" t="s">
        <v>308</v>
      </c>
      <c r="H29" s="20" t="s">
        <v>309</v>
      </c>
      <c r="I29" s="20">
        <v>16</v>
      </c>
      <c r="J29" s="204">
        <v>76614.100000000006</v>
      </c>
      <c r="K29" s="255">
        <v>92000</v>
      </c>
      <c r="R29" s="227">
        <v>37023.519999999997</v>
      </c>
      <c r="S29" s="231"/>
      <c r="W29" s="228">
        <f>J29-R29</f>
        <v>39590.580000000009</v>
      </c>
      <c r="X29" s="243"/>
      <c r="Y29" s="177" cm="1">
        <f t="array" ref="Y29" xml:space="preserve"> W29 * _xlfn.XLOOKUP(C29, {"MELI";"WEB";"IG";"OTRO"}, $AS$3:$AS$6)</f>
        <v>395.90580000000011</v>
      </c>
    </row>
    <row r="30" spans="2:37" ht="18.75" customHeight="1" x14ac:dyDescent="0.35">
      <c r="C30" s="20" t="s">
        <v>287</v>
      </c>
      <c r="E30" s="363" t="s">
        <v>308</v>
      </c>
      <c r="H30" s="20" t="s">
        <v>309</v>
      </c>
      <c r="I30" s="20">
        <v>5</v>
      </c>
      <c r="J30" s="204">
        <v>24000</v>
      </c>
      <c r="R30" s="227">
        <v>11569.85</v>
      </c>
      <c r="S30" s="231"/>
      <c r="T30" s="230">
        <v>14.4</v>
      </c>
      <c r="U30" s="230">
        <v>480</v>
      </c>
      <c r="W30" s="228">
        <f>J30-SUM(R30:V30)</f>
        <v>11935.75</v>
      </c>
      <c r="X30" s="243"/>
      <c r="Y30" s="177" cm="1">
        <f t="array" ref="Y30" xml:space="preserve"> W30 * _xlfn.XLOOKUP(C30, {"MELI";"WEB";"IG";"OTRO"}, $AS$3:$AS$6)</f>
        <v>119.3575</v>
      </c>
    </row>
    <row r="31" spans="2:37" ht="27.75" customHeight="1" x14ac:dyDescent="0.35">
      <c r="D31" s="474" t="s">
        <v>306</v>
      </c>
      <c r="E31" s="475"/>
      <c r="F31" s="475"/>
      <c r="G31" s="475"/>
      <c r="H31" s="475"/>
      <c r="I31" s="475"/>
      <c r="J31" s="475"/>
      <c r="K31" s="475"/>
      <c r="L31" s="475"/>
      <c r="M31" s="475"/>
      <c r="N31" s="475"/>
      <c r="O31" s="475"/>
      <c r="P31" s="475"/>
      <c r="Q31" s="475"/>
      <c r="R31" s="475"/>
      <c r="S31" s="475"/>
      <c r="T31" s="475"/>
      <c r="U31" s="475"/>
      <c r="V31" s="475"/>
      <c r="W31" s="477"/>
      <c r="X31" s="243"/>
      <c r="Y31" s="251" t="s">
        <v>296</v>
      </c>
      <c r="Z31" s="177" t="e">
        <f>SUM(Y76:Y200)-4000</f>
        <v>#REF!</v>
      </c>
      <c r="AC31" s="362" t="e">
        <f>SUM(AC32:AC188)</f>
        <v>#REF!</v>
      </c>
      <c r="AD31" s="262" t="e">
        <f>AC31/50</f>
        <v>#REF!</v>
      </c>
      <c r="AF31" s="177">
        <f>SUM(W32:W53)</f>
        <v>481858.12000000005</v>
      </c>
    </row>
    <row r="32" spans="2:37" ht="18.75" customHeight="1" x14ac:dyDescent="0.35">
      <c r="B32" s="254">
        <v>45964</v>
      </c>
      <c r="C32" s="20" t="s">
        <v>168</v>
      </c>
      <c r="D32" s="20" t="s">
        <v>314</v>
      </c>
      <c r="E32" s="363" t="s">
        <v>305</v>
      </c>
      <c r="G32" s="3">
        <v>93586016473</v>
      </c>
      <c r="H32" s="20" t="s">
        <v>75</v>
      </c>
      <c r="I32" s="20">
        <v>100</v>
      </c>
      <c r="J32" s="204">
        <f>K32-T32-U32</f>
        <v>67335.569999999992</v>
      </c>
      <c r="K32" s="255">
        <v>68794</v>
      </c>
      <c r="R32" s="227">
        <v>29500</v>
      </c>
      <c r="S32" s="231"/>
      <c r="T32" s="230">
        <v>82.55</v>
      </c>
      <c r="U32" s="230">
        <v>1375.88</v>
      </c>
      <c r="W32" s="228">
        <f>J32-SUM(R32:V32)</f>
        <v>36377.139999999992</v>
      </c>
      <c r="X32" s="243">
        <f t="shared" si="1"/>
        <v>1818.8569999999997</v>
      </c>
      <c r="Y32" s="207" cm="1">
        <f t="array" ref="Y32" xml:space="preserve"> W32 * _xlfn.XLOOKUP(C32, {"MELI";"WEB";"IG";"OTRO"}, $AS$3:$AS$6)</f>
        <v>3637.7139999999995</v>
      </c>
      <c r="AA32" s="20" t="s">
        <v>314</v>
      </c>
    </row>
    <row r="33" spans="2:31" ht="18.75" customHeight="1" x14ac:dyDescent="0.35">
      <c r="B33" s="254">
        <v>45932</v>
      </c>
      <c r="C33" s="20" t="s">
        <v>287</v>
      </c>
      <c r="D33" s="20" t="s">
        <v>314</v>
      </c>
      <c r="E33" s="363" t="s">
        <v>310</v>
      </c>
      <c r="F33" s="20"/>
      <c r="H33" s="20" t="s">
        <v>312</v>
      </c>
      <c r="I33" s="20">
        <v>8</v>
      </c>
      <c r="J33" s="204">
        <v>35286.6</v>
      </c>
      <c r="K33" s="255">
        <v>53600</v>
      </c>
      <c r="R33" s="227">
        <v>18511</v>
      </c>
      <c r="S33" s="231"/>
      <c r="W33" s="228">
        <f>J33-SUM(R33:V33)</f>
        <v>16775.599999999999</v>
      </c>
      <c r="X33" s="243">
        <f t="shared" si="1"/>
        <v>838.78</v>
      </c>
      <c r="Y33" s="207" cm="1">
        <f t="array" ref="Y33" xml:space="preserve"> W33 * _xlfn.XLOOKUP(C33, {"MELI";"WEB";"IG";"OTRO"}, $AS$3:$AS$6)</f>
        <v>167.756</v>
      </c>
      <c r="AA33" s="20" t="s">
        <v>314</v>
      </c>
    </row>
    <row r="34" spans="2:31" ht="18.75" customHeight="1" x14ac:dyDescent="0.35">
      <c r="B34" s="254">
        <v>45964</v>
      </c>
      <c r="C34" s="20" t="s">
        <v>287</v>
      </c>
      <c r="D34" s="20" t="s">
        <v>314</v>
      </c>
      <c r="E34" s="363" t="s">
        <v>311</v>
      </c>
      <c r="H34" s="20" t="s">
        <v>312</v>
      </c>
      <c r="I34" s="20">
        <v>25</v>
      </c>
      <c r="J34" s="204">
        <v>115465</v>
      </c>
      <c r="K34" s="255">
        <v>140000</v>
      </c>
      <c r="R34" s="227">
        <v>57849.25</v>
      </c>
      <c r="S34" s="231"/>
      <c r="W34" s="228">
        <f>J34-SUM(R34:V34)</f>
        <v>57615.75</v>
      </c>
      <c r="X34" s="243">
        <f t="shared" si="1"/>
        <v>2880.7875000000004</v>
      </c>
      <c r="Y34" s="207" cm="1">
        <f t="array" ref="Y34" xml:space="preserve"> W34 * _xlfn.XLOOKUP(C34, {"MELI";"WEB";"IG";"OTRO"}, $AS$3:$AS$6)</f>
        <v>576.15750000000003</v>
      </c>
      <c r="AA34" s="177" t="s">
        <v>314</v>
      </c>
    </row>
    <row r="35" spans="2:31" ht="18.75" customHeight="1" x14ac:dyDescent="0.35">
      <c r="B35" s="254">
        <v>45964</v>
      </c>
      <c r="C35" s="20" t="s">
        <v>287</v>
      </c>
      <c r="D35" s="20" t="s">
        <v>314</v>
      </c>
      <c r="E35" s="363" t="s">
        <v>286</v>
      </c>
      <c r="F35" s="3" t="s">
        <v>346</v>
      </c>
      <c r="H35" s="20" t="s">
        <v>75</v>
      </c>
      <c r="I35" s="20">
        <v>200</v>
      </c>
      <c r="J35" s="204">
        <v>113893.26</v>
      </c>
      <c r="K35" s="255">
        <v>145000</v>
      </c>
      <c r="R35" s="227">
        <v>59022</v>
      </c>
      <c r="S35" s="231"/>
      <c r="W35" s="228">
        <f>J35-SUM(R35:V35)</f>
        <v>54871.259999999995</v>
      </c>
      <c r="X35" s="243">
        <f t="shared" si="1"/>
        <v>2743.5630000000001</v>
      </c>
      <c r="Y35" s="207" cm="1">
        <f t="array" ref="Y35" xml:space="preserve"> W35 * _xlfn.XLOOKUP(C35, {"MELI";"WEB";"IG";"OTRO"}, $AS$3:$AS$6)</f>
        <v>548.71259999999995</v>
      </c>
      <c r="AA35" s="177" t="s">
        <v>314</v>
      </c>
    </row>
    <row r="36" spans="2:31" ht="18.75" customHeight="1" x14ac:dyDescent="0.35">
      <c r="B36" s="254">
        <v>45964</v>
      </c>
      <c r="C36" s="20" t="s">
        <v>289</v>
      </c>
      <c r="D36" s="20" t="s">
        <v>314</v>
      </c>
      <c r="E36" s="363" t="s">
        <v>313</v>
      </c>
      <c r="F36" s="3" t="s">
        <v>345</v>
      </c>
      <c r="G36" s="3" t="s">
        <v>318</v>
      </c>
      <c r="H36" s="247" t="s">
        <v>312</v>
      </c>
      <c r="I36" s="20">
        <v>25</v>
      </c>
      <c r="J36" s="204">
        <f>K36-T36-U36-O36</f>
        <v>107479.32</v>
      </c>
      <c r="K36" s="255">
        <v>118900</v>
      </c>
      <c r="O36" s="255">
        <v>8900</v>
      </c>
      <c r="R36" s="227">
        <v>57849.25</v>
      </c>
      <c r="S36" s="231"/>
      <c r="T36" s="230">
        <v>142.68</v>
      </c>
      <c r="U36" s="230">
        <v>2378</v>
      </c>
      <c r="W36" s="228">
        <f>J36-R36</f>
        <v>49630.070000000007</v>
      </c>
      <c r="X36" s="243">
        <f t="shared" si="1"/>
        <v>2481.5035000000007</v>
      </c>
      <c r="Y36" s="207" cm="1">
        <f t="array" ref="Y36" xml:space="preserve"> W36 * _xlfn.XLOOKUP(C36, {"MELI";"WEB";"IG";"OTRO"}, $AS$3:$AS$6)</f>
        <v>2481.5035000000007</v>
      </c>
      <c r="AA36" s="20" t="s">
        <v>315</v>
      </c>
    </row>
    <row r="37" spans="2:31" ht="18.75" customHeight="1" x14ac:dyDescent="0.35">
      <c r="B37" s="254">
        <v>45966</v>
      </c>
      <c r="C37" s="20" t="s">
        <v>288</v>
      </c>
      <c r="D37" s="20" t="s">
        <v>314</v>
      </c>
      <c r="E37" s="363" t="s">
        <v>316</v>
      </c>
      <c r="F37" s="3" t="s">
        <v>344</v>
      </c>
      <c r="G37" s="3" t="s">
        <v>317</v>
      </c>
      <c r="H37" s="20" t="s">
        <v>312</v>
      </c>
      <c r="I37" s="20">
        <v>10</v>
      </c>
      <c r="J37" s="204">
        <f>K37-O37-T37-U37</f>
        <v>42953.08</v>
      </c>
      <c r="K37" s="255">
        <v>54100</v>
      </c>
      <c r="O37" s="255">
        <v>10000</v>
      </c>
      <c r="R37" s="227">
        <v>23139.7</v>
      </c>
      <c r="S37" s="231"/>
      <c r="T37" s="230">
        <v>64.92</v>
      </c>
      <c r="U37" s="230">
        <v>1082</v>
      </c>
      <c r="W37" s="228">
        <f>J37-SUM(R37:V37)</f>
        <v>18666.460000000003</v>
      </c>
      <c r="X37" s="243">
        <f t="shared" si="1"/>
        <v>933.32300000000021</v>
      </c>
      <c r="Y37" s="207" cm="1">
        <f t="array" ref="Y37" xml:space="preserve"> W37 * _xlfn.XLOOKUP(C37, {"MELI";"WEB";"IG";"OTRO"}, $AS$3:$AS$6)</f>
        <v>1866.6460000000004</v>
      </c>
      <c r="AA37" s="20" t="s">
        <v>314</v>
      </c>
    </row>
    <row r="38" spans="2:31" ht="18.75" customHeight="1" x14ac:dyDescent="0.35">
      <c r="C38" s="20" t="s">
        <v>289</v>
      </c>
      <c r="D38" s="20" t="s">
        <v>314</v>
      </c>
      <c r="E38" s="363" t="s">
        <v>320</v>
      </c>
      <c r="G38" s="3" t="s">
        <v>321</v>
      </c>
      <c r="K38" s="255">
        <v>1600</v>
      </c>
      <c r="S38" s="231"/>
      <c r="W38" s="228">
        <f>J38-R38</f>
        <v>0</v>
      </c>
      <c r="X38" s="243">
        <f t="shared" si="1"/>
        <v>0</v>
      </c>
      <c r="Y38" s="207" cm="1">
        <f t="array" ref="Y38" xml:space="preserve"> W38 * _xlfn.XLOOKUP(C38, {"MELI";"WEB";"IG";"OTRO"}, $AS$3:$AS$6)</f>
        <v>0</v>
      </c>
      <c r="AC38" s="361" t="str">
        <f t="shared" ref="AC38:AC78" si="2">IF(OR(H38="D6 Classic",H38="D6 Deluxe",H38="D6 Gold"),6*I38,
 IF(OR(H38="D2",H38="D2 moño"),2*I38,
 IF(H38="Cajita de 4",4*I38,
 IF(OR(H38="Mini Recuerdo",H38="Choco Cintas",H38="Choco Suelto"),1*I38,
 IF(H38="Caja 22 Chocos",22*I38,
 IF(H38="Caja 44 Chocos",44*I38,""))))))</f>
        <v/>
      </c>
    </row>
    <row r="39" spans="2:31" ht="18.75" customHeight="1" x14ac:dyDescent="0.35">
      <c r="B39" s="254">
        <v>45968</v>
      </c>
      <c r="C39" s="20" t="s">
        <v>288</v>
      </c>
      <c r="D39" s="20" t="s">
        <v>314</v>
      </c>
      <c r="E39" s="363" t="s">
        <v>334</v>
      </c>
      <c r="F39" s="3" t="s">
        <v>343</v>
      </c>
      <c r="G39" s="3" t="s">
        <v>332</v>
      </c>
      <c r="H39" s="20" t="s">
        <v>333</v>
      </c>
      <c r="I39" s="20">
        <v>50</v>
      </c>
      <c r="J39" s="204">
        <f>K39-R39-T39-U39-8000</f>
        <v>81711.87000000001</v>
      </c>
      <c r="K39" s="255">
        <v>165242</v>
      </c>
      <c r="R39" s="227">
        <v>72027</v>
      </c>
      <c r="S39" s="231"/>
      <c r="T39" s="230">
        <v>198.29</v>
      </c>
      <c r="U39" s="230">
        <v>3304.84</v>
      </c>
      <c r="W39" s="228">
        <f>J39-SUM(R39:V39)</f>
        <v>6181.7400000000198</v>
      </c>
      <c r="X39" s="243">
        <f t="shared" si="1"/>
        <v>309.08700000000101</v>
      </c>
      <c r="Y39" s="207" cm="1">
        <f t="array" ref="Y39" xml:space="preserve"> W39 * _xlfn.XLOOKUP(C39, {"MELI";"WEB";"IG";"OTRO"}, $AS$3:$AS$6)</f>
        <v>618.17400000000202</v>
      </c>
      <c r="AC39" s="361">
        <f t="shared" si="2"/>
        <v>100</v>
      </c>
    </row>
    <row r="40" spans="2:31" ht="18.75" customHeight="1" x14ac:dyDescent="0.35">
      <c r="B40" s="254">
        <v>45968</v>
      </c>
      <c r="C40" s="20" t="s">
        <v>287</v>
      </c>
      <c r="D40" s="20" t="s">
        <v>314</v>
      </c>
      <c r="E40" s="363" t="s">
        <v>335</v>
      </c>
      <c r="G40" s="3" t="s">
        <v>336</v>
      </c>
      <c r="H40" s="20" t="s">
        <v>0</v>
      </c>
      <c r="I40" s="20">
        <v>50</v>
      </c>
      <c r="J40" s="478">
        <f>K40-O40</f>
        <v>45742</v>
      </c>
      <c r="K40" s="479">
        <v>54584</v>
      </c>
      <c r="L40" s="394"/>
      <c r="M40" s="394"/>
      <c r="N40" s="394"/>
      <c r="O40" s="479">
        <v>8842</v>
      </c>
      <c r="P40" s="187"/>
      <c r="Q40" s="187"/>
      <c r="R40" s="264">
        <f>17377+R41</f>
        <v>22385.86</v>
      </c>
      <c r="S40" s="265"/>
      <c r="T40" s="230">
        <v>65.5</v>
      </c>
      <c r="U40" s="230">
        <v>1091.68</v>
      </c>
      <c r="V40" s="266"/>
      <c r="W40" s="480">
        <f>J40-SUM(R40:V40)</f>
        <v>22198.959999999999</v>
      </c>
      <c r="X40" s="481">
        <f t="shared" si="1"/>
        <v>1109.9480000000001</v>
      </c>
      <c r="Y40" s="207" cm="1">
        <f t="array" ref="Y40" xml:space="preserve"> W40 * _xlfn.XLOOKUP(C40, {"MELI";"WEB";"IG";"OTRO"}, $AS$3:$AS$6)</f>
        <v>221.9896</v>
      </c>
      <c r="AC40" s="361">
        <f t="shared" si="2"/>
        <v>50</v>
      </c>
    </row>
    <row r="41" spans="2:31" ht="18.75" customHeight="1" x14ac:dyDescent="0.35">
      <c r="C41" s="20" t="s">
        <v>287</v>
      </c>
      <c r="D41" s="20" t="s">
        <v>314</v>
      </c>
      <c r="E41" s="363" t="s">
        <v>335</v>
      </c>
      <c r="G41" s="3" t="s">
        <v>336</v>
      </c>
      <c r="H41" s="20" t="s">
        <v>33</v>
      </c>
      <c r="I41" s="20">
        <v>2</v>
      </c>
      <c r="J41" s="478"/>
      <c r="K41" s="479"/>
      <c r="L41" s="394"/>
      <c r="M41" s="394"/>
      <c r="N41" s="394"/>
      <c r="O41" s="479"/>
      <c r="P41" s="187"/>
      <c r="Q41" s="187"/>
      <c r="R41" s="264">
        <v>5008.8599999999997</v>
      </c>
      <c r="S41" s="265"/>
      <c r="V41" s="266"/>
      <c r="W41" s="480"/>
      <c r="X41" s="482"/>
      <c r="Y41" s="207" cm="1">
        <f t="array" ref="Y41" xml:space="preserve"> W41 * _xlfn.XLOOKUP(C41, {"MELI";"WEB";"IG";"OTRO"}, $AS$3:$AS$6)</f>
        <v>0</v>
      </c>
      <c r="AC41" s="361">
        <f t="shared" si="2"/>
        <v>8</v>
      </c>
      <c r="AE41" s="177"/>
    </row>
    <row r="42" spans="2:31" ht="18.75" customHeight="1" x14ac:dyDescent="0.35">
      <c r="C42" s="20" t="s">
        <v>287</v>
      </c>
      <c r="D42" s="20" t="s">
        <v>314</v>
      </c>
      <c r="E42" s="363" t="s">
        <v>337</v>
      </c>
      <c r="H42" s="20" t="s">
        <v>33</v>
      </c>
      <c r="I42" s="20">
        <v>20</v>
      </c>
      <c r="J42" s="204">
        <v>49790.66</v>
      </c>
      <c r="K42" s="255">
        <v>81400</v>
      </c>
      <c r="R42" s="227">
        <v>28390</v>
      </c>
      <c r="S42" s="231"/>
      <c r="W42" s="228">
        <f t="shared" ref="W42:W47" si="3">J42-SUM(R42:V42)</f>
        <v>21400.660000000003</v>
      </c>
      <c r="X42" s="243">
        <f t="shared" si="1"/>
        <v>1070.0330000000001</v>
      </c>
      <c r="Y42" s="207" cm="1">
        <f t="array" ref="Y42" xml:space="preserve"> W42 * _xlfn.XLOOKUP(C42, {"MELI";"WEB";"IG";"OTRO"}, $AS$3:$AS$6)</f>
        <v>214.00660000000005</v>
      </c>
      <c r="AC42" s="361">
        <f t="shared" si="2"/>
        <v>80</v>
      </c>
    </row>
    <row r="43" spans="2:31" ht="18.75" customHeight="1" x14ac:dyDescent="0.35">
      <c r="C43" s="20" t="s">
        <v>287</v>
      </c>
      <c r="D43" s="20" t="s">
        <v>314</v>
      </c>
      <c r="E43" s="363" t="s">
        <v>338</v>
      </c>
      <c r="H43" s="20" t="s">
        <v>312</v>
      </c>
      <c r="I43" s="20">
        <v>10</v>
      </c>
      <c r="J43" s="204">
        <v>44108.25</v>
      </c>
      <c r="K43" s="255">
        <v>67000</v>
      </c>
      <c r="R43" s="227">
        <v>26159.8</v>
      </c>
      <c r="S43" s="231"/>
      <c r="W43" s="228">
        <f t="shared" si="3"/>
        <v>17948.45</v>
      </c>
      <c r="X43" s="243">
        <f t="shared" si="1"/>
        <v>897.42250000000013</v>
      </c>
      <c r="Y43" s="207" cm="1">
        <f t="array" ref="Y43" xml:space="preserve"> W43 * _xlfn.XLOOKUP(C43, {"MELI";"WEB";"IG";"OTRO"}, $AS$3:$AS$6)</f>
        <v>179.4845</v>
      </c>
      <c r="AC43" s="361">
        <f t="shared" si="2"/>
        <v>60</v>
      </c>
    </row>
    <row r="44" spans="2:31" ht="18.75" customHeight="1" x14ac:dyDescent="0.35">
      <c r="C44" s="20" t="s">
        <v>287</v>
      </c>
      <c r="D44" s="20" t="s">
        <v>314</v>
      </c>
      <c r="E44" s="363" t="s">
        <v>341</v>
      </c>
      <c r="H44" s="20" t="s">
        <v>128</v>
      </c>
      <c r="I44" s="20">
        <v>5</v>
      </c>
      <c r="S44" s="231"/>
      <c r="W44" s="228">
        <f t="shared" si="3"/>
        <v>0</v>
      </c>
      <c r="X44" s="243">
        <f t="shared" si="1"/>
        <v>0</v>
      </c>
      <c r="Y44" s="207" cm="1">
        <f t="array" ref="Y44" xml:space="preserve"> W44 * _xlfn.XLOOKUP(C44, {"MELI";"WEB";"IG";"OTRO"}, $AS$3:$AS$6)</f>
        <v>0</v>
      </c>
      <c r="AB44" s="180"/>
      <c r="AC44" s="361" t="str">
        <f t="shared" si="2"/>
        <v/>
      </c>
    </row>
    <row r="45" spans="2:31" ht="18.75" customHeight="1" x14ac:dyDescent="0.35">
      <c r="C45" s="20" t="s">
        <v>287</v>
      </c>
      <c r="D45" s="20" t="s">
        <v>314</v>
      </c>
      <c r="E45" s="363" t="str">
        <f>E44</f>
        <v>María paula gomez</v>
      </c>
      <c r="H45" s="20" t="s">
        <v>33</v>
      </c>
      <c r="I45" s="20">
        <v>10</v>
      </c>
      <c r="S45" s="231"/>
      <c r="W45" s="228">
        <f t="shared" si="3"/>
        <v>0</v>
      </c>
      <c r="X45" s="243">
        <f t="shared" si="1"/>
        <v>0</v>
      </c>
      <c r="Y45" s="207" cm="1">
        <f t="array" ref="Y45" xml:space="preserve"> W45 * _xlfn.XLOOKUP(C45, {"MELI";"WEB";"IG";"OTRO"}, $AS$3:$AS$6)</f>
        <v>0</v>
      </c>
      <c r="Z45" s="177">
        <f>SUM(K32:K78)</f>
        <v>2606683.5</v>
      </c>
      <c r="AC45" s="361">
        <f t="shared" si="2"/>
        <v>40</v>
      </c>
    </row>
    <row r="46" spans="2:31" ht="18.75" customHeight="1" x14ac:dyDescent="0.35">
      <c r="C46" s="20" t="s">
        <v>287</v>
      </c>
      <c r="D46" s="20" t="s">
        <v>314</v>
      </c>
      <c r="E46" s="363" t="s">
        <v>342</v>
      </c>
      <c r="H46" s="20" t="s">
        <v>75</v>
      </c>
      <c r="I46" s="20">
        <v>100</v>
      </c>
      <c r="J46" s="204">
        <v>58865</v>
      </c>
      <c r="K46" s="255">
        <v>79000</v>
      </c>
      <c r="R46" s="227">
        <v>30100</v>
      </c>
      <c r="S46" s="231"/>
      <c r="W46" s="228">
        <f t="shared" si="3"/>
        <v>28765</v>
      </c>
      <c r="X46" s="243">
        <f t="shared" si="1"/>
        <v>1438.25</v>
      </c>
      <c r="Y46" s="207" cm="1">
        <f t="array" ref="Y46" xml:space="preserve"> W46 * _xlfn.XLOOKUP(C46, {"MELI";"WEB";"IG";"OTRO"}, $AS$3:$AS$6)</f>
        <v>287.65000000000003</v>
      </c>
      <c r="AC46" s="361">
        <f t="shared" si="2"/>
        <v>100</v>
      </c>
    </row>
    <row r="47" spans="2:31" ht="18.75" customHeight="1" x14ac:dyDescent="0.35">
      <c r="C47" s="20" t="s">
        <v>289</v>
      </c>
      <c r="D47" s="20" t="s">
        <v>314</v>
      </c>
      <c r="E47" s="363" t="s">
        <v>347</v>
      </c>
      <c r="H47" s="20" t="s">
        <v>75</v>
      </c>
      <c r="I47" s="20">
        <v>100</v>
      </c>
      <c r="J47" s="204">
        <v>59400</v>
      </c>
      <c r="K47" s="255">
        <v>59400</v>
      </c>
      <c r="R47" s="227">
        <v>30100</v>
      </c>
      <c r="S47" s="231"/>
      <c r="T47" s="230">
        <v>71.28</v>
      </c>
      <c r="W47" s="228">
        <f t="shared" si="3"/>
        <v>29228.720000000001</v>
      </c>
      <c r="X47" s="243">
        <f t="shared" si="1"/>
        <v>1461.4360000000001</v>
      </c>
      <c r="Y47" s="207"/>
      <c r="AC47" s="361">
        <f t="shared" si="2"/>
        <v>100</v>
      </c>
    </row>
    <row r="48" spans="2:31" ht="18.75" customHeight="1" x14ac:dyDescent="0.35">
      <c r="B48" s="254">
        <v>45972</v>
      </c>
      <c r="C48" s="20" t="s">
        <v>287</v>
      </c>
      <c r="D48" s="20" t="s">
        <v>314</v>
      </c>
      <c r="E48" s="363" t="s">
        <v>348</v>
      </c>
      <c r="H48" s="20" t="s">
        <v>0</v>
      </c>
      <c r="I48" s="20">
        <v>100</v>
      </c>
      <c r="J48" s="204">
        <v>85490.75</v>
      </c>
      <c r="K48" s="255">
        <v>115000</v>
      </c>
      <c r="R48" s="227">
        <v>61397</v>
      </c>
      <c r="S48" s="231"/>
      <c r="X48" s="243">
        <f t="shared" si="1"/>
        <v>0</v>
      </c>
      <c r="Y48" s="207" cm="1">
        <f t="array" ref="Y48" xml:space="preserve"> W48 * _xlfn.XLOOKUP(C48, {"MELI";"WEB";"IG";"OTRO"}, $AS$3:$AS$6)</f>
        <v>0</v>
      </c>
      <c r="AC48" s="361">
        <f t="shared" si="2"/>
        <v>100</v>
      </c>
    </row>
    <row r="49" spans="2:32" ht="18.75" customHeight="1" x14ac:dyDescent="0.35">
      <c r="B49" s="254">
        <v>45975</v>
      </c>
      <c r="C49" s="20" t="s">
        <v>287</v>
      </c>
      <c r="D49" s="20" t="s">
        <v>314</v>
      </c>
      <c r="E49" s="363" t="s">
        <v>348</v>
      </c>
      <c r="H49" s="20" t="s">
        <v>0</v>
      </c>
      <c r="I49" s="20">
        <v>50</v>
      </c>
      <c r="J49" s="204">
        <v>42099.76</v>
      </c>
      <c r="K49" s="255">
        <v>59000</v>
      </c>
      <c r="R49" s="227">
        <v>30698.5</v>
      </c>
      <c r="S49" s="231"/>
      <c r="W49" s="228">
        <f>J48-SUM(R49:V49)</f>
        <v>54792.25</v>
      </c>
      <c r="X49" s="243">
        <f t="shared" ref="X49" si="4">W49*0.05</f>
        <v>2739.6125000000002</v>
      </c>
      <c r="Y49" s="207" cm="1">
        <f t="array" ref="Y49" xml:space="preserve"> W49 * _xlfn.XLOOKUP(C49, {"MELI";"WEB";"IG";"OTRO"}, $AS$3:$AS$6)</f>
        <v>547.92250000000001</v>
      </c>
      <c r="AC49" s="361">
        <f t="shared" si="2"/>
        <v>50</v>
      </c>
    </row>
    <row r="50" spans="2:32" ht="18.75" customHeight="1" x14ac:dyDescent="0.35">
      <c r="C50" s="20" t="s">
        <v>289</v>
      </c>
      <c r="D50" s="20" t="s">
        <v>314</v>
      </c>
      <c r="E50" s="363" t="s">
        <v>349</v>
      </c>
      <c r="H50" s="20" t="s">
        <v>75</v>
      </c>
      <c r="I50" s="20">
        <v>50</v>
      </c>
      <c r="J50" s="204">
        <v>40000</v>
      </c>
      <c r="R50" s="227">
        <v>15050</v>
      </c>
      <c r="S50" s="231"/>
      <c r="T50" s="230">
        <v>48</v>
      </c>
      <c r="U50" s="230">
        <v>800</v>
      </c>
      <c r="W50" s="228">
        <f>J50-SUM(R50:V50)</f>
        <v>24102</v>
      </c>
      <c r="X50" s="243">
        <f t="shared" si="1"/>
        <v>1205.1000000000001</v>
      </c>
      <c r="Y50" s="207" cm="1">
        <f t="array" ref="Y50" xml:space="preserve"> W50 * _xlfn.XLOOKUP(C50, {"MELI";"WEB";"IG";"OTRO"}, $AS$3:$AS$6)</f>
        <v>1205.1000000000001</v>
      </c>
      <c r="AC50" s="361">
        <f t="shared" si="2"/>
        <v>50</v>
      </c>
    </row>
    <row r="51" spans="2:32" ht="18.75" customHeight="1" x14ac:dyDescent="0.35">
      <c r="C51" s="20" t="s">
        <v>289</v>
      </c>
      <c r="D51" s="20" t="s">
        <v>314</v>
      </c>
      <c r="E51" s="363" t="s">
        <v>350</v>
      </c>
      <c r="H51" s="20" t="s">
        <v>0</v>
      </c>
      <c r="I51" s="20">
        <v>50</v>
      </c>
      <c r="J51" s="204">
        <v>46500</v>
      </c>
      <c r="R51" s="227">
        <v>30699</v>
      </c>
      <c r="S51" s="231"/>
      <c r="T51" s="230">
        <v>55.8</v>
      </c>
      <c r="U51" s="230">
        <v>930</v>
      </c>
      <c r="W51" s="228">
        <f>J51-SUM(R51:V51)</f>
        <v>14815.2</v>
      </c>
      <c r="X51" s="243">
        <f t="shared" si="1"/>
        <v>740.7600000000001</v>
      </c>
      <c r="Y51" s="207" cm="1">
        <f t="array" ref="Y51" xml:space="preserve"> W51 * _xlfn.XLOOKUP(C51, {"MELI";"WEB";"IG";"OTRO"}, $AS$3:$AS$6)</f>
        <v>740.7600000000001</v>
      </c>
      <c r="AC51" s="361">
        <f t="shared" si="2"/>
        <v>50</v>
      </c>
    </row>
    <row r="52" spans="2:32" ht="18.75" customHeight="1" x14ac:dyDescent="0.35">
      <c r="C52" s="20" t="s">
        <v>289</v>
      </c>
      <c r="D52" s="20" t="s">
        <v>314</v>
      </c>
      <c r="E52" s="363" t="s">
        <v>351</v>
      </c>
      <c r="J52" s="204">
        <v>10800</v>
      </c>
      <c r="K52" s="255">
        <v>10800</v>
      </c>
      <c r="S52" s="231"/>
      <c r="T52" s="230">
        <v>12.96</v>
      </c>
      <c r="U52" s="230">
        <v>216</v>
      </c>
      <c r="W52" s="228">
        <f>J52-SUM(R52:V52)</f>
        <v>10571.04</v>
      </c>
      <c r="X52" s="243">
        <f t="shared" si="1"/>
        <v>528.55200000000002</v>
      </c>
      <c r="Y52" s="207" cm="1">
        <f t="array" ref="Y52" xml:space="preserve"> W52 * _xlfn.XLOOKUP(C52, {"MELI";"WEB";"IG";"OTRO"}, $AS$3:$AS$6)</f>
        <v>528.55200000000002</v>
      </c>
      <c r="AC52" s="361" t="str">
        <f t="shared" si="2"/>
        <v/>
      </c>
    </row>
    <row r="53" spans="2:32" ht="18.75" customHeight="1" x14ac:dyDescent="0.35">
      <c r="B53" s="254">
        <v>45975</v>
      </c>
      <c r="C53" s="20" t="s">
        <v>288</v>
      </c>
      <c r="D53" s="20" t="s">
        <v>314</v>
      </c>
      <c r="E53" s="363" t="s">
        <v>352</v>
      </c>
      <c r="F53" s="3" t="s">
        <v>355</v>
      </c>
      <c r="G53" s="3" t="s">
        <v>353</v>
      </c>
      <c r="H53" s="20" t="s">
        <v>354</v>
      </c>
      <c r="I53" s="20">
        <v>12</v>
      </c>
      <c r="J53" s="204">
        <v>38955.089999999997</v>
      </c>
      <c r="K53" s="255">
        <v>43591</v>
      </c>
      <c r="O53" s="255">
        <v>9391</v>
      </c>
      <c r="R53" s="227">
        <v>16401.36</v>
      </c>
      <c r="S53" s="231">
        <v>3317.28</v>
      </c>
      <c r="T53" s="230">
        <v>10.9</v>
      </c>
      <c r="U53" s="230">
        <v>1307.73</v>
      </c>
      <c r="W53" s="228">
        <f>J53-SUM(R53:V53)</f>
        <v>17917.819999999996</v>
      </c>
      <c r="X53" s="243">
        <f t="shared" si="1"/>
        <v>895.89099999999985</v>
      </c>
      <c r="Y53" s="207" cm="1">
        <f t="array" ref="Y53" xml:space="preserve"> W53 * _xlfn.XLOOKUP(C53, {"MELI";"WEB";"IG";"OTRO"}, $AS$3:$AS$6)</f>
        <v>1791.7819999999997</v>
      </c>
      <c r="AC53" s="361">
        <f t="shared" si="2"/>
        <v>24</v>
      </c>
    </row>
    <row r="54" spans="2:32" ht="18.75" customHeight="1" x14ac:dyDescent="0.35">
      <c r="B54" s="254">
        <v>45668</v>
      </c>
      <c r="C54" s="20" t="s">
        <v>287</v>
      </c>
      <c r="D54" s="20" t="s">
        <v>314</v>
      </c>
      <c r="E54" s="363" t="s">
        <v>356</v>
      </c>
      <c r="F54" s="3" t="s">
        <v>357</v>
      </c>
      <c r="H54" s="20" t="s">
        <v>312</v>
      </c>
      <c r="I54" s="20">
        <v>2</v>
      </c>
      <c r="J54" s="204">
        <v>8821.65</v>
      </c>
      <c r="K54" s="255">
        <v>13400</v>
      </c>
      <c r="R54" s="227">
        <v>4859.96</v>
      </c>
      <c r="W54" s="228">
        <f t="shared" ref="W54:W59" si="5">J54-R54</f>
        <v>3961.6899999999996</v>
      </c>
      <c r="X54" s="243">
        <f t="shared" si="1"/>
        <v>198.08449999999999</v>
      </c>
      <c r="Y54" s="383" cm="1">
        <f t="array" ref="Y54" xml:space="preserve"> W54 * _xlfn.XLOOKUP(C54, {"MELI";"WEB";"IG";"OTRO"}, $AS$3:$AS$6)</f>
        <v>39.616899999999994</v>
      </c>
      <c r="AC54" s="361">
        <f t="shared" si="2"/>
        <v>12</v>
      </c>
    </row>
    <row r="55" spans="2:32" ht="18.75" customHeight="1" x14ac:dyDescent="0.35">
      <c r="B55" s="254">
        <v>45975</v>
      </c>
      <c r="C55" s="20" t="s">
        <v>287</v>
      </c>
      <c r="D55" s="20" t="s">
        <v>314</v>
      </c>
      <c r="E55" s="363" t="s">
        <v>358</v>
      </c>
      <c r="F55" s="3" t="s">
        <v>359</v>
      </c>
      <c r="H55" s="20" t="s">
        <v>75</v>
      </c>
      <c r="I55" s="20">
        <v>25</v>
      </c>
      <c r="J55" s="204">
        <v>14458.37</v>
      </c>
      <c r="K55" s="255">
        <v>20100</v>
      </c>
      <c r="R55" s="227">
        <v>7527.75</v>
      </c>
      <c r="W55" s="228">
        <f t="shared" si="5"/>
        <v>6930.6200000000008</v>
      </c>
      <c r="X55" s="243">
        <f t="shared" si="1"/>
        <v>346.53100000000006</v>
      </c>
      <c r="Y55" s="383" cm="1">
        <f t="array" ref="Y55" xml:space="preserve"> W55 * _xlfn.XLOOKUP(C55, {"MELI";"WEB";"IG";"OTRO"}, $AS$3:$AS$6)</f>
        <v>69.306200000000004</v>
      </c>
      <c r="AC55" s="361">
        <f t="shared" si="2"/>
        <v>25</v>
      </c>
    </row>
    <row r="56" spans="2:32" ht="18.75" customHeight="1" x14ac:dyDescent="0.35">
      <c r="B56" s="254">
        <v>45973</v>
      </c>
      <c r="C56" s="20" t="s">
        <v>288</v>
      </c>
      <c r="D56" s="20" t="s">
        <v>314</v>
      </c>
      <c r="E56" s="363" t="s">
        <v>361</v>
      </c>
      <c r="F56" s="3" t="s">
        <v>362</v>
      </c>
      <c r="G56" s="3" t="s">
        <v>363</v>
      </c>
      <c r="H56" s="20" t="s">
        <v>364</v>
      </c>
      <c r="I56" s="20">
        <v>20</v>
      </c>
      <c r="J56" s="204">
        <f>K56-T56</f>
        <v>87202.565000000002</v>
      </c>
      <c r="K56" s="255">
        <v>88920</v>
      </c>
      <c r="R56" s="227">
        <v>49792.6</v>
      </c>
      <c r="T56" s="230">
        <v>1717.4349999999999</v>
      </c>
      <c r="W56" s="228">
        <f t="shared" si="5"/>
        <v>37409.965000000004</v>
      </c>
      <c r="X56" s="243">
        <f t="shared" si="1"/>
        <v>1870.4982500000003</v>
      </c>
      <c r="Y56" s="207" cm="1">
        <f t="array" ref="Y56" xml:space="preserve"> W56 * _xlfn.XLOOKUP(C56, {"MELI";"WEB";"IG";"OTRO"}, $AS$3:$AS$6)</f>
        <v>3740.9965000000007</v>
      </c>
      <c r="AC56" s="361">
        <f t="shared" si="2"/>
        <v>120</v>
      </c>
    </row>
    <row r="57" spans="2:32" ht="18.75" customHeight="1" x14ac:dyDescent="0.35">
      <c r="B57" s="254">
        <v>45973</v>
      </c>
      <c r="C57" s="20" t="s">
        <v>288</v>
      </c>
      <c r="D57" s="20" t="s">
        <v>314</v>
      </c>
      <c r="E57" s="363" t="s">
        <v>361</v>
      </c>
      <c r="F57" s="3" t="s">
        <v>362</v>
      </c>
      <c r="G57" s="3" t="s">
        <v>363</v>
      </c>
      <c r="H57" s="20" t="s">
        <v>354</v>
      </c>
      <c r="I57" s="20">
        <v>30</v>
      </c>
      <c r="J57" s="204">
        <f>K57-T57</f>
        <v>71385.065000000002</v>
      </c>
      <c r="K57" s="255">
        <v>73102.5</v>
      </c>
      <c r="R57" s="227">
        <v>41003.4</v>
      </c>
      <c r="T57" s="230">
        <v>1717.4349999999999</v>
      </c>
      <c r="W57" s="228">
        <f t="shared" si="5"/>
        <v>30381.665000000001</v>
      </c>
      <c r="X57" s="243">
        <f t="shared" si="1"/>
        <v>1519.0832500000001</v>
      </c>
      <c r="Y57" s="207" cm="1">
        <f t="array" ref="Y57" xml:space="preserve"> W57 * _xlfn.XLOOKUP(C57, {"MELI";"WEB";"IG";"OTRO"}, $AS$3:$AS$6)</f>
        <v>3038.1665000000003</v>
      </c>
      <c r="AC57" s="361">
        <f t="shared" si="2"/>
        <v>60</v>
      </c>
    </row>
    <row r="58" spans="2:32" ht="18.75" customHeight="1" x14ac:dyDescent="0.35">
      <c r="C58" s="20" t="s">
        <v>287</v>
      </c>
      <c r="D58" s="20" t="s">
        <v>314</v>
      </c>
      <c r="E58" s="363" t="s">
        <v>376</v>
      </c>
      <c r="H58" s="20" t="s">
        <v>75</v>
      </c>
      <c r="I58" s="20">
        <v>25</v>
      </c>
      <c r="J58" s="204">
        <v>14233</v>
      </c>
      <c r="K58" s="255">
        <v>20100</v>
      </c>
      <c r="R58" s="227">
        <v>7527.75</v>
      </c>
      <c r="W58" s="228">
        <f t="shared" si="5"/>
        <v>6705.25</v>
      </c>
      <c r="X58" s="243">
        <f t="shared" si="1"/>
        <v>335.26250000000005</v>
      </c>
      <c r="Y58" s="207" cm="1">
        <f t="array" ref="Y58" xml:space="preserve"> W58 * _xlfn.XLOOKUP(C58, {"MELI";"WEB";"IG";"OTRO"}, $AS$3:$AS$6)</f>
        <v>67.052499999999995</v>
      </c>
      <c r="AC58" s="361">
        <f t="shared" si="2"/>
        <v>25</v>
      </c>
    </row>
    <row r="59" spans="2:32" ht="18.75" customHeight="1" x14ac:dyDescent="0.35">
      <c r="C59" s="20" t="s">
        <v>287</v>
      </c>
      <c r="D59" s="20" t="s">
        <v>314</v>
      </c>
      <c r="E59" s="363" t="s">
        <v>384</v>
      </c>
      <c r="H59" s="20" t="s">
        <v>75</v>
      </c>
      <c r="I59" s="20">
        <v>100</v>
      </c>
      <c r="J59" s="204">
        <v>65204.5</v>
      </c>
      <c r="K59" s="255">
        <v>80400</v>
      </c>
      <c r="R59" s="227">
        <v>30111</v>
      </c>
      <c r="W59" s="228">
        <f t="shared" si="5"/>
        <v>35093.5</v>
      </c>
      <c r="X59" s="243">
        <f t="shared" si="1"/>
        <v>1754.6750000000002</v>
      </c>
      <c r="Y59" s="207" cm="1">
        <f t="array" ref="Y59" xml:space="preserve"> W59 * _xlfn.XLOOKUP(C59, {"MELI";"WEB";"IG";"OTRO"}, $AS$3:$AS$6)</f>
        <v>350.935</v>
      </c>
      <c r="AC59" s="361">
        <f t="shared" si="2"/>
        <v>100</v>
      </c>
    </row>
    <row r="60" spans="2:32" ht="18.75" customHeight="1" x14ac:dyDescent="0.35">
      <c r="C60" s="20" t="s">
        <v>287</v>
      </c>
      <c r="D60" s="20" t="s">
        <v>314</v>
      </c>
      <c r="E60" s="363" t="s">
        <v>386</v>
      </c>
      <c r="H60" s="20" t="s">
        <v>0</v>
      </c>
      <c r="I60" s="20">
        <v>50</v>
      </c>
      <c r="J60" s="204">
        <v>42001</v>
      </c>
      <c r="K60" s="255">
        <v>59000</v>
      </c>
      <c r="R60" s="227">
        <v>30699</v>
      </c>
      <c r="W60" s="228">
        <f>J60-R6</f>
        <v>42001</v>
      </c>
      <c r="X60" s="243">
        <f t="shared" si="1"/>
        <v>2100.0500000000002</v>
      </c>
      <c r="Y60" s="207" cm="1">
        <f t="array" ref="Y60" xml:space="preserve"> W60 * _xlfn.XLOOKUP(C60, {"MELI";"WEB";"IG";"OTRO"}, $AS$3:$AS$6)</f>
        <v>420.01</v>
      </c>
      <c r="AC60" s="361">
        <f t="shared" si="2"/>
        <v>50</v>
      </c>
    </row>
    <row r="61" spans="2:32" ht="18.75" customHeight="1" x14ac:dyDescent="0.35">
      <c r="C61" s="20" t="s">
        <v>287</v>
      </c>
      <c r="D61" s="20" t="s">
        <v>314</v>
      </c>
      <c r="E61" s="363" t="s">
        <v>386</v>
      </c>
      <c r="H61" s="20" t="s">
        <v>0</v>
      </c>
      <c r="I61" s="20">
        <v>25</v>
      </c>
      <c r="J61" s="204">
        <v>22969.7</v>
      </c>
      <c r="K61" s="255">
        <v>36000</v>
      </c>
      <c r="R61" s="227">
        <v>15349.5</v>
      </c>
      <c r="W61" s="228">
        <f t="shared" ref="W61:W70" si="6">J61-R61</f>
        <v>7620.2000000000007</v>
      </c>
      <c r="X61" s="243">
        <f t="shared" si="1"/>
        <v>381.01000000000005</v>
      </c>
      <c r="Y61" s="207" cm="1">
        <f t="array" ref="Y61" xml:space="preserve"> W61 * _xlfn.XLOOKUP(C61, {"MELI";"WEB";"IG";"OTRO"}, $AS$3:$AS$6)</f>
        <v>76.202000000000012</v>
      </c>
      <c r="AC61" s="361">
        <f t="shared" si="2"/>
        <v>25</v>
      </c>
    </row>
    <row r="62" spans="2:32" ht="18.75" customHeight="1" x14ac:dyDescent="0.35">
      <c r="C62" s="20" t="s">
        <v>287</v>
      </c>
      <c r="D62" s="20" t="s">
        <v>314</v>
      </c>
      <c r="E62" s="363" t="s">
        <v>387</v>
      </c>
      <c r="H62" s="20" t="s">
        <v>75</v>
      </c>
      <c r="I62" s="20">
        <v>25</v>
      </c>
      <c r="J62" s="204">
        <v>14458.37</v>
      </c>
      <c r="K62" s="255">
        <v>20100</v>
      </c>
      <c r="R62" s="227">
        <v>7527.75</v>
      </c>
      <c r="W62" s="228">
        <f t="shared" si="6"/>
        <v>6930.6200000000008</v>
      </c>
      <c r="X62" s="243">
        <f t="shared" si="1"/>
        <v>346.53100000000006</v>
      </c>
      <c r="Y62" s="207" cm="1">
        <f t="array" ref="Y62" xml:space="preserve"> W62 * _xlfn.XLOOKUP(C62, {"MELI";"WEB";"IG";"OTRO"}, $AS$3:$AS$6)</f>
        <v>69.306200000000004</v>
      </c>
      <c r="AC62" s="361">
        <f t="shared" si="2"/>
        <v>25</v>
      </c>
      <c r="AE62" s="20">
        <f>SUM(AD63:AD500)</f>
        <v>35</v>
      </c>
      <c r="AF62" s="20">
        <f>AE62/50</f>
        <v>0.7</v>
      </c>
    </row>
    <row r="63" spans="2:32" ht="18.75" customHeight="1" x14ac:dyDescent="0.35">
      <c r="B63" s="254">
        <v>45985</v>
      </c>
      <c r="C63" s="20" t="s">
        <v>287</v>
      </c>
      <c r="D63" s="20" t="s">
        <v>314</v>
      </c>
      <c r="E63" s="363" t="s">
        <v>377</v>
      </c>
      <c r="F63" s="3" t="s">
        <v>381</v>
      </c>
      <c r="H63" s="20" t="s">
        <v>312</v>
      </c>
      <c r="I63" s="20">
        <v>30</v>
      </c>
      <c r="J63" s="204">
        <v>147667.76</v>
      </c>
      <c r="K63" s="255">
        <v>187000</v>
      </c>
      <c r="O63" s="255">
        <v>6560.49</v>
      </c>
      <c r="R63" s="227">
        <v>72809.442857142873</v>
      </c>
      <c r="T63" s="230">
        <v>46.75</v>
      </c>
      <c r="U63" s="230">
        <v>5610</v>
      </c>
      <c r="W63" s="228">
        <f t="shared" si="6"/>
        <v>74858.317142857137</v>
      </c>
      <c r="X63" s="243">
        <f t="shared" si="1"/>
        <v>3742.915857142857</v>
      </c>
      <c r="Y63" s="207" cm="1">
        <f t="array" ref="Y63" xml:space="preserve"> W63 * _xlfn.XLOOKUP(C63, {"MELI";"WEB";"IG";"OTRO"}, $AS$3:$AS$6)</f>
        <v>748.5831714285714</v>
      </c>
      <c r="AC63" s="361">
        <f t="shared" si="2"/>
        <v>180</v>
      </c>
      <c r="AD63" s="20">
        <f t="shared" ref="AD63:AD94" si="7">IF(D63="Falta", AC63, 0)</f>
        <v>0</v>
      </c>
    </row>
    <row r="64" spans="2:32" ht="18.75" customHeight="1" x14ac:dyDescent="0.35">
      <c r="C64" s="20" t="s">
        <v>287</v>
      </c>
      <c r="D64" s="20" t="s">
        <v>314</v>
      </c>
      <c r="E64" s="363" t="s">
        <v>378</v>
      </c>
      <c r="H64" s="20" t="s">
        <v>33</v>
      </c>
      <c r="I64" s="20">
        <v>20</v>
      </c>
      <c r="J64" s="204">
        <v>55509.01</v>
      </c>
      <c r="K64" s="255">
        <v>81400</v>
      </c>
      <c r="O64" s="255">
        <v>11645.99</v>
      </c>
      <c r="R64" s="227">
        <v>28870</v>
      </c>
      <c r="U64" s="230">
        <v>2442</v>
      </c>
      <c r="W64" s="228">
        <f t="shared" si="6"/>
        <v>26639.010000000002</v>
      </c>
      <c r="X64" s="243">
        <f t="shared" si="1"/>
        <v>1331.9505000000001</v>
      </c>
      <c r="Y64" s="207" cm="1">
        <f t="array" ref="Y64" xml:space="preserve"> W64 * _xlfn.XLOOKUP(C64, {"MELI";"WEB";"IG";"OTRO"}, $AS$3:$AS$6)</f>
        <v>266.39010000000002</v>
      </c>
      <c r="Z64" s="177">
        <f>SUM(W32:W79)</f>
        <v>1150001.2257142856</v>
      </c>
      <c r="AC64" s="361">
        <f t="shared" si="2"/>
        <v>80</v>
      </c>
      <c r="AD64" s="20">
        <f t="shared" si="7"/>
        <v>0</v>
      </c>
    </row>
    <row r="65" spans="2:30" ht="18.75" customHeight="1" x14ac:dyDescent="0.35">
      <c r="C65" s="20" t="s">
        <v>287</v>
      </c>
      <c r="D65" s="20" t="s">
        <v>314</v>
      </c>
      <c r="E65" s="363" t="s">
        <v>379</v>
      </c>
      <c r="H65" s="20" t="s">
        <v>382</v>
      </c>
      <c r="I65" s="20">
        <v>20</v>
      </c>
      <c r="J65" s="204">
        <v>98970</v>
      </c>
      <c r="K65" s="255">
        <v>120000</v>
      </c>
      <c r="R65" s="227">
        <v>46629.8</v>
      </c>
      <c r="W65" s="228">
        <f t="shared" si="6"/>
        <v>52340.2</v>
      </c>
      <c r="X65" s="243">
        <f t="shared" si="1"/>
        <v>2617.0100000000002</v>
      </c>
      <c r="Y65" s="207" cm="1">
        <f t="array" ref="Y65" xml:space="preserve"> W65 * _xlfn.XLOOKUP(C65, {"MELI";"WEB";"IG";"OTRO"}, $AS$3:$AS$6)</f>
        <v>523.40199999999993</v>
      </c>
      <c r="AC65" s="361">
        <f t="shared" si="2"/>
        <v>120</v>
      </c>
      <c r="AD65" s="20">
        <f t="shared" si="7"/>
        <v>0</v>
      </c>
    </row>
    <row r="66" spans="2:30" ht="18.75" customHeight="1" x14ac:dyDescent="0.35">
      <c r="C66" s="20" t="s">
        <v>287</v>
      </c>
      <c r="D66" s="20" t="s">
        <v>314</v>
      </c>
      <c r="E66" s="363" t="s">
        <v>383</v>
      </c>
      <c r="F66" s="3" t="s">
        <v>385</v>
      </c>
      <c r="H66" s="20" t="s">
        <v>75</v>
      </c>
      <c r="I66" s="20">
        <v>50</v>
      </c>
      <c r="J66" s="204">
        <v>28916.75</v>
      </c>
      <c r="K66" s="255">
        <v>40200</v>
      </c>
      <c r="R66" s="227">
        <v>15050</v>
      </c>
      <c r="W66" s="228">
        <f t="shared" si="6"/>
        <v>13866.75</v>
      </c>
      <c r="X66" s="243">
        <f t="shared" si="1"/>
        <v>693.33750000000009</v>
      </c>
      <c r="Y66" s="207" cm="1">
        <f t="array" ref="Y66" xml:space="preserve"> W66 * _xlfn.XLOOKUP(C66, {"MELI";"WEB";"IG";"OTRO"}, $AS$3:$AS$6)</f>
        <v>138.66749999999999</v>
      </c>
      <c r="Z66" s="180">
        <f>SUM(R32:R68)</f>
        <v>989823.01428571425</v>
      </c>
      <c r="AC66" s="361">
        <f t="shared" si="2"/>
        <v>50</v>
      </c>
      <c r="AD66" s="20">
        <f t="shared" si="7"/>
        <v>0</v>
      </c>
    </row>
    <row r="67" spans="2:30" ht="18.75" customHeight="1" x14ac:dyDescent="0.35">
      <c r="C67" s="20" t="s">
        <v>287</v>
      </c>
      <c r="D67" s="20" t="s">
        <v>314</v>
      </c>
      <c r="E67" s="363" t="s">
        <v>380</v>
      </c>
      <c r="H67" s="20" t="s">
        <v>0</v>
      </c>
      <c r="I67" s="20">
        <v>25</v>
      </c>
      <c r="J67" s="204">
        <v>23130.5</v>
      </c>
      <c r="K67" s="255">
        <v>36000</v>
      </c>
      <c r="R67" s="227">
        <v>15349.5</v>
      </c>
      <c r="W67" s="228">
        <f t="shared" si="6"/>
        <v>7781</v>
      </c>
      <c r="X67" s="243">
        <f t="shared" si="1"/>
        <v>389.05</v>
      </c>
      <c r="Y67" s="207" cm="1">
        <f t="array" ref="Y67" xml:space="preserve"> W67 * _xlfn.XLOOKUP(C67, {"MELI";"WEB";"IG";"OTRO"}, $AS$3:$AS$6)</f>
        <v>77.81</v>
      </c>
      <c r="AC67" s="361">
        <f t="shared" si="2"/>
        <v>25</v>
      </c>
      <c r="AD67" s="20">
        <f t="shared" si="7"/>
        <v>0</v>
      </c>
    </row>
    <row r="68" spans="2:30" ht="18.75" customHeight="1" x14ac:dyDescent="0.35">
      <c r="C68" s="20" t="s">
        <v>287</v>
      </c>
      <c r="D68" s="20" t="s">
        <v>314</v>
      </c>
      <c r="E68" s="363" t="s">
        <v>356</v>
      </c>
      <c r="H68" s="20" t="s">
        <v>312</v>
      </c>
      <c r="I68" s="20">
        <v>1</v>
      </c>
      <c r="J68" s="204">
        <v>4205</v>
      </c>
      <c r="K68" s="255">
        <v>6700</v>
      </c>
      <c r="R68" s="227">
        <v>2426.9814285714292</v>
      </c>
      <c r="W68" s="228">
        <f t="shared" si="6"/>
        <v>1778.0185714285708</v>
      </c>
      <c r="X68" s="243">
        <f t="shared" si="1"/>
        <v>88.900928571428551</v>
      </c>
      <c r="Y68" s="207" cm="1">
        <f t="array" ref="Y68" xml:space="preserve"> W68 * _xlfn.XLOOKUP(C68, {"MELI";"WEB";"IG";"OTRO"}, $AS$3:$AS$6)</f>
        <v>17.780185714285707</v>
      </c>
      <c r="AC68" s="361">
        <f t="shared" si="2"/>
        <v>6</v>
      </c>
      <c r="AD68" s="20">
        <f t="shared" si="7"/>
        <v>0</v>
      </c>
    </row>
    <row r="69" spans="2:30" ht="18.75" customHeight="1" x14ac:dyDescent="0.35">
      <c r="C69" s="20" t="s">
        <v>287</v>
      </c>
      <c r="D69" s="20" t="s">
        <v>314</v>
      </c>
      <c r="E69" s="363" t="s">
        <v>390</v>
      </c>
      <c r="H69" s="20" t="s">
        <v>75</v>
      </c>
      <c r="I69" s="20">
        <v>200</v>
      </c>
      <c r="J69" s="204">
        <f>K69-T69-U69</f>
        <v>118297.77</v>
      </c>
      <c r="K69" s="255">
        <v>120860</v>
      </c>
      <c r="R69" s="227">
        <v>60222</v>
      </c>
      <c r="T69" s="230">
        <v>145.03</v>
      </c>
      <c r="U69" s="230">
        <v>2417.1999999999998</v>
      </c>
      <c r="W69" s="228">
        <f t="shared" si="6"/>
        <v>58075.770000000004</v>
      </c>
      <c r="X69" s="243">
        <f t="shared" si="1"/>
        <v>2903.7885000000006</v>
      </c>
      <c r="Y69" s="207" cm="1">
        <f t="array" ref="Y69" xml:space="preserve"> W69 * _xlfn.XLOOKUP(C69, {"MELI";"WEB";"IG";"OTRO"}, $AS$3:$AS$6)</f>
        <v>580.7577</v>
      </c>
      <c r="Z69" s="177">
        <f>SUM(J32:J68)</f>
        <v>1785009.4500000002</v>
      </c>
      <c r="AC69" s="361">
        <f t="shared" si="2"/>
        <v>200</v>
      </c>
      <c r="AD69" s="20">
        <f t="shared" si="7"/>
        <v>0</v>
      </c>
    </row>
    <row r="70" spans="2:30" ht="18.75" customHeight="1" x14ac:dyDescent="0.35">
      <c r="C70" s="20" t="s">
        <v>288</v>
      </c>
      <c r="D70" s="20" t="s">
        <v>314</v>
      </c>
      <c r="E70" s="363" t="s">
        <v>391</v>
      </c>
      <c r="H70" s="20" t="s">
        <v>75</v>
      </c>
      <c r="I70" s="20">
        <v>175</v>
      </c>
      <c r="J70" s="204">
        <f>K70-T70-U70</f>
        <v>149448.07999999999</v>
      </c>
      <c r="K70" s="255">
        <v>152685</v>
      </c>
      <c r="R70" s="227">
        <v>73906.649999999994</v>
      </c>
      <c r="T70" s="230">
        <v>183.22</v>
      </c>
      <c r="U70" s="230">
        <v>3053.7</v>
      </c>
      <c r="W70" s="228">
        <f t="shared" si="6"/>
        <v>75541.429999999993</v>
      </c>
      <c r="X70" s="243">
        <f t="shared" si="1"/>
        <v>3777.0715</v>
      </c>
      <c r="Y70" s="207" cm="1">
        <f t="array" ref="Y70" xml:space="preserve"> W70 * _xlfn.XLOOKUP(C70, {"MELI";"WEB";"IG";"OTRO"}, $AS$3:$AS$6)</f>
        <v>7554.143</v>
      </c>
      <c r="AC70" s="361">
        <f t="shared" si="2"/>
        <v>175</v>
      </c>
      <c r="AD70" s="20">
        <f t="shared" si="7"/>
        <v>0</v>
      </c>
    </row>
    <row r="71" spans="2:30" ht="18.75" customHeight="1" x14ac:dyDescent="0.35">
      <c r="C71" s="20" t="s">
        <v>287</v>
      </c>
      <c r="D71" s="20" t="s">
        <v>314</v>
      </c>
      <c r="E71" s="363" t="s">
        <v>391</v>
      </c>
      <c r="H71" s="20" t="s">
        <v>0</v>
      </c>
      <c r="I71" s="20">
        <v>60</v>
      </c>
      <c r="X71" s="243">
        <f t="shared" si="1"/>
        <v>0</v>
      </c>
      <c r="Y71" s="207" cm="1">
        <f t="array" ref="Y71" xml:space="preserve"> W71 * _xlfn.XLOOKUP(C71, {"MELI";"WEB";"IG";"OTRO"}, $AS$3:$AS$6)</f>
        <v>0</v>
      </c>
      <c r="AC71" s="361">
        <f t="shared" si="2"/>
        <v>60</v>
      </c>
      <c r="AD71" s="20">
        <f t="shared" si="7"/>
        <v>0</v>
      </c>
    </row>
    <row r="72" spans="2:30" ht="18.75" customHeight="1" x14ac:dyDescent="0.35">
      <c r="C72" s="20" t="s">
        <v>287</v>
      </c>
      <c r="D72" s="20" t="s">
        <v>314</v>
      </c>
      <c r="E72" s="363" t="s">
        <v>392</v>
      </c>
      <c r="H72" s="20" t="s">
        <v>0</v>
      </c>
      <c r="I72" s="20">
        <v>25</v>
      </c>
      <c r="J72" s="204">
        <v>23130.51</v>
      </c>
      <c r="K72" s="255">
        <v>36000</v>
      </c>
      <c r="R72" s="227">
        <v>8838.5</v>
      </c>
      <c r="W72" s="228">
        <f>J72-R72</f>
        <v>14292.009999999998</v>
      </c>
      <c r="X72" s="243">
        <f t="shared" si="1"/>
        <v>714.60050000000001</v>
      </c>
      <c r="Y72" s="207" cm="1">
        <f t="array" ref="Y72" xml:space="preserve"> W72 * _xlfn.XLOOKUP(C72, {"MELI";"WEB";"IG";"OTRO"}, $AS$3:$AS$6)</f>
        <v>142.92009999999999</v>
      </c>
      <c r="Z72" s="177">
        <f>Z64+Z66</f>
        <v>2139824.2399999998</v>
      </c>
      <c r="AC72" s="361">
        <f t="shared" si="2"/>
        <v>25</v>
      </c>
      <c r="AD72" s="20">
        <f t="shared" si="7"/>
        <v>0</v>
      </c>
    </row>
    <row r="73" spans="2:30" ht="18.75" customHeight="1" x14ac:dyDescent="0.35">
      <c r="C73" s="20" t="s">
        <v>287</v>
      </c>
      <c r="D73" s="20" t="s">
        <v>314</v>
      </c>
      <c r="E73" s="363" t="s">
        <v>392</v>
      </c>
      <c r="H73" s="20" t="s">
        <v>0</v>
      </c>
      <c r="I73" s="20">
        <v>10</v>
      </c>
      <c r="J73" s="204">
        <v>9800</v>
      </c>
      <c r="R73" s="227">
        <v>3535.4</v>
      </c>
      <c r="T73" s="230">
        <v>11.76</v>
      </c>
      <c r="U73" s="230">
        <v>196</v>
      </c>
      <c r="W73" s="228">
        <f>J73-R73-T73-U73</f>
        <v>6056.84</v>
      </c>
      <c r="X73" s="243">
        <f t="shared" si="1"/>
        <v>302.84200000000004</v>
      </c>
      <c r="Y73" s="207" cm="1">
        <f t="array" ref="Y73" xml:space="preserve"> W73 * _xlfn.XLOOKUP(C73, {"MELI";"WEB";"IG";"OTRO"}, $AS$3:$AS$6)</f>
        <v>60.568400000000004</v>
      </c>
      <c r="AC73" s="361">
        <f t="shared" si="2"/>
        <v>10</v>
      </c>
      <c r="AD73" s="20">
        <f t="shared" si="7"/>
        <v>0</v>
      </c>
    </row>
    <row r="74" spans="2:30" ht="18.75" customHeight="1" x14ac:dyDescent="0.35">
      <c r="B74" s="254">
        <v>45989</v>
      </c>
      <c r="C74" s="20" t="s">
        <v>287</v>
      </c>
      <c r="D74" s="20" t="s">
        <v>315</v>
      </c>
      <c r="E74" s="363" t="s">
        <v>393</v>
      </c>
      <c r="H74" s="20" t="s">
        <v>0</v>
      </c>
      <c r="I74" s="20">
        <v>35</v>
      </c>
      <c r="J74" s="204">
        <v>29925</v>
      </c>
      <c r="R74" s="227">
        <v>12374</v>
      </c>
      <c r="T74" s="230">
        <v>35.909999999999997</v>
      </c>
      <c r="U74" s="230">
        <v>598.5</v>
      </c>
      <c r="W74" s="228">
        <f>J74-R74-T74-U74</f>
        <v>16916.59</v>
      </c>
      <c r="X74" s="243">
        <f t="shared" si="1"/>
        <v>845.82950000000005</v>
      </c>
      <c r="Y74" s="207" cm="1">
        <f t="array" ref="Y74" xml:space="preserve"> W74 * _xlfn.XLOOKUP(C74, {"MELI";"WEB";"IG";"OTRO"}, $AS$3:$AS$6)</f>
        <v>169.16589999999999</v>
      </c>
      <c r="AC74" s="361">
        <f t="shared" si="2"/>
        <v>35</v>
      </c>
      <c r="AD74" s="20">
        <f t="shared" si="7"/>
        <v>35</v>
      </c>
    </row>
    <row r="75" spans="2:30" ht="18.75" customHeight="1" x14ac:dyDescent="0.35">
      <c r="B75" s="254">
        <v>45989</v>
      </c>
      <c r="C75" s="20" t="s">
        <v>287</v>
      </c>
      <c r="D75" s="20" t="s">
        <v>314</v>
      </c>
      <c r="E75" s="363" t="s">
        <v>394</v>
      </c>
      <c r="H75" s="20" t="s">
        <v>75</v>
      </c>
      <c r="I75" s="20">
        <v>150</v>
      </c>
      <c r="J75" s="204">
        <v>109000</v>
      </c>
      <c r="O75" s="255">
        <v>10000</v>
      </c>
      <c r="R75" s="227">
        <v>45150</v>
      </c>
      <c r="T75" s="230">
        <v>130.80000000000001</v>
      </c>
      <c r="U75" s="230">
        <v>2180</v>
      </c>
      <c r="W75" s="228">
        <f>J75-O75-R75-T75-U75</f>
        <v>51539.199999999997</v>
      </c>
      <c r="X75" s="243">
        <f t="shared" si="1"/>
        <v>2576.96</v>
      </c>
      <c r="Y75" s="207" cm="1">
        <f t="array" ref="Y75" xml:space="preserve"> W75 * _xlfn.XLOOKUP(C75, {"MELI";"WEB";"IG";"OTRO"}, $AS$3:$AS$6)</f>
        <v>515.39199999999994</v>
      </c>
      <c r="AC75" s="361">
        <f t="shared" si="2"/>
        <v>150</v>
      </c>
      <c r="AD75" s="20">
        <f t="shared" si="7"/>
        <v>0</v>
      </c>
    </row>
    <row r="76" spans="2:30" ht="18.75" customHeight="1" x14ac:dyDescent="0.35">
      <c r="B76" s="254">
        <v>45988</v>
      </c>
      <c r="C76" s="20" t="s">
        <v>168</v>
      </c>
      <c r="D76" s="20" t="s">
        <v>314</v>
      </c>
      <c r="E76" s="363" t="s">
        <v>395</v>
      </c>
      <c r="H76" s="20" t="s">
        <v>75</v>
      </c>
      <c r="I76" s="20">
        <v>50</v>
      </c>
      <c r="J76" s="204">
        <v>29700</v>
      </c>
      <c r="K76" s="255">
        <v>37659</v>
      </c>
      <c r="O76" s="255">
        <f>K76-J76</f>
        <v>7959</v>
      </c>
      <c r="R76" s="227">
        <v>15050</v>
      </c>
      <c r="T76" s="230">
        <v>45.19</v>
      </c>
      <c r="U76" s="230">
        <v>753.18</v>
      </c>
      <c r="W76" s="228">
        <f>J76-R76-T76-U76</f>
        <v>13851.63</v>
      </c>
      <c r="X76" s="243">
        <f t="shared" si="1"/>
        <v>692.58150000000001</v>
      </c>
      <c r="Y76" s="207" cm="1">
        <f t="array" ref="Y76" xml:space="preserve"> W76 * _xlfn.XLOOKUP(C76, {"MELI";"WEB";"IG";"OTRO"}, $AS$3:$AS$6)</f>
        <v>1385.163</v>
      </c>
      <c r="AC76" s="361">
        <f t="shared" si="2"/>
        <v>50</v>
      </c>
      <c r="AD76" s="20">
        <f t="shared" si="7"/>
        <v>0</v>
      </c>
    </row>
    <row r="77" spans="2:30" ht="18.75" customHeight="1" x14ac:dyDescent="0.35">
      <c r="C77" s="20" t="s">
        <v>168</v>
      </c>
      <c r="D77" s="20" t="s">
        <v>314</v>
      </c>
      <c r="E77" s="363" t="s">
        <v>396</v>
      </c>
      <c r="H77" s="20" t="s">
        <v>312</v>
      </c>
      <c r="I77" s="20">
        <v>10</v>
      </c>
      <c r="J77" s="204">
        <v>50400</v>
      </c>
      <c r="K77" s="255">
        <v>60046</v>
      </c>
      <c r="O77" s="255">
        <v>9646</v>
      </c>
      <c r="R77" s="227">
        <v>24270</v>
      </c>
      <c r="T77" s="230">
        <v>36.03</v>
      </c>
      <c r="U77" s="230">
        <v>1200.92</v>
      </c>
      <c r="W77" s="228">
        <f>J77-R77-T77-U77</f>
        <v>24893.050000000003</v>
      </c>
      <c r="X77" s="243">
        <f t="shared" si="1"/>
        <v>1244.6525000000001</v>
      </c>
      <c r="Y77" s="207" cm="1">
        <f t="array" ref="Y77" xml:space="preserve"> W77 * _xlfn.XLOOKUP(C77, {"MELI";"WEB";"IG";"OTRO"}, $AS$3:$AS$6)</f>
        <v>2489.3050000000003</v>
      </c>
      <c r="AC77" s="361">
        <f t="shared" si="2"/>
        <v>60</v>
      </c>
      <c r="AD77" s="20">
        <f t="shared" si="7"/>
        <v>0</v>
      </c>
    </row>
    <row r="78" spans="2:30" ht="18.75" customHeight="1" x14ac:dyDescent="0.35">
      <c r="C78" s="20" t="s">
        <v>168</v>
      </c>
      <c r="D78" s="20" t="s">
        <v>314</v>
      </c>
      <c r="E78" s="363" t="s">
        <v>397</v>
      </c>
      <c r="H78" s="20" t="s">
        <v>354</v>
      </c>
      <c r="I78" s="20">
        <v>50</v>
      </c>
      <c r="J78" s="204">
        <v>121125</v>
      </c>
      <c r="R78" s="227">
        <v>68300</v>
      </c>
      <c r="T78" s="230">
        <v>146.22</v>
      </c>
      <c r="W78" s="228">
        <f>J78-R78-T78</f>
        <v>52678.78</v>
      </c>
      <c r="X78" s="243">
        <f t="shared" si="1"/>
        <v>2633.9390000000003</v>
      </c>
      <c r="Y78" s="207" cm="1">
        <f t="array" ref="Y78" xml:space="preserve"> W78 * _xlfn.XLOOKUP(C78, {"MELI";"WEB";"IG";"OTRO"}, $AS$3:$AS$6)</f>
        <v>5267.8780000000006</v>
      </c>
      <c r="AC78" s="361">
        <f t="shared" si="2"/>
        <v>100</v>
      </c>
      <c r="AD78" s="20">
        <f t="shared" si="7"/>
        <v>0</v>
      </c>
    </row>
    <row r="79" spans="2:30" ht="18.75" customHeight="1" x14ac:dyDescent="0.35">
      <c r="C79" s="20" t="s">
        <v>287</v>
      </c>
      <c r="X79" s="243">
        <f t="shared" si="1"/>
        <v>0</v>
      </c>
      <c r="Y79" s="246" cm="1">
        <f t="array" ref="Y79" xml:space="preserve"> W79 * _xlfn.XLOOKUP(C79, {"MELI";"WEB";"IG";"OTRO"}, $AS$3:$AS$6)</f>
        <v>0</v>
      </c>
      <c r="AC79" s="361">
        <f>IF(OR(H81="D6 Classic",H81="D6 Deluxe",H81="D6 Gold"),6*I79,
 IF(OR(H81="D2",H81="D2 moño"),2*I79,
 IF(H81="Cajita de 4",4*I79,
 IF(OR(H81="Mini Recuerdo",H81="Choco Cintas",H81="Choco Suelto"),1*I79,
 IF(H81="Caja 22 Chocos",22*I79,
 IF(H81="Caja 44 Chocos",44*I79,""))))))</f>
        <v>0</v>
      </c>
      <c r="AD79" s="20">
        <f t="shared" si="7"/>
        <v>0</v>
      </c>
    </row>
    <row r="80" spans="2:30" ht="39.75" customHeight="1" x14ac:dyDescent="0.25">
      <c r="C80" s="20" t="s">
        <v>287</v>
      </c>
      <c r="E80" s="472" t="s">
        <v>374</v>
      </c>
      <c r="F80" s="473"/>
      <c r="G80" s="473"/>
      <c r="H80" s="473"/>
      <c r="I80" s="473"/>
      <c r="J80" s="473"/>
      <c r="K80" s="473"/>
      <c r="L80" s="473"/>
      <c r="M80" s="473"/>
      <c r="N80" s="473"/>
      <c r="O80" s="473"/>
      <c r="P80" s="473"/>
      <c r="Q80" s="473"/>
      <c r="R80" s="473"/>
      <c r="S80" s="473"/>
      <c r="T80" s="473"/>
      <c r="U80" s="473"/>
      <c r="V80" s="473"/>
      <c r="W80" s="473"/>
      <c r="X80" s="243">
        <f t="shared" si="1"/>
        <v>0</v>
      </c>
      <c r="Y80" s="246" cm="1">
        <f t="array" ref="Y80" xml:space="preserve"> W80 * _xlfn.XLOOKUP(C80, {"MELI";"WEB";"IG";"OTRO"}, $AS$3:$AS$6)</f>
        <v>0</v>
      </c>
      <c r="AC80" s="361" t="str">
        <f>IF(OR(H80="D6 Classic",H80="D6 Deluxe",H80="D6 Gold"),6*I80,
 IF(OR(H80="D2",H80="D2 moño"),2*I80,
 IF(H80="Cajita de 4",4*I80,
 IF(OR(H80="Mini Recuerdo",H80="Choco Cintas",H80="Choco Suelto"),1*I80,
 IF(H80="Caja 22 Chocos",22*I80,
 IF(H80="Caja 44 Chocos",44*I80,""))))))</f>
        <v/>
      </c>
      <c r="AD80" s="20">
        <f t="shared" si="7"/>
        <v>0</v>
      </c>
    </row>
    <row r="81" spans="1:30" ht="18.75" customHeight="1" x14ac:dyDescent="0.35">
      <c r="C81" s="20" t="s">
        <v>287</v>
      </c>
      <c r="D81" s="20" t="s">
        <v>314</v>
      </c>
      <c r="E81" s="363" t="s">
        <v>405</v>
      </c>
      <c r="H81" s="20" t="s">
        <v>75</v>
      </c>
      <c r="I81" s="20">
        <v>200</v>
      </c>
      <c r="J81" s="204">
        <v>112860</v>
      </c>
      <c r="K81" s="255">
        <v>122860</v>
      </c>
      <c r="O81" s="255">
        <v>10000</v>
      </c>
      <c r="R81" s="227">
        <f>_xlfn.XLOOKUP(H81, AJ:AJ, AK:AK) * I81</f>
        <v>58800</v>
      </c>
      <c r="T81" s="230">
        <v>73.72</v>
      </c>
      <c r="U81" s="230">
        <v>2457.1999999999998</v>
      </c>
      <c r="W81" s="228">
        <f>J81-T81-U81-R81</f>
        <v>51529.08</v>
      </c>
      <c r="X81" s="243">
        <f t="shared" si="1"/>
        <v>2576.4540000000002</v>
      </c>
      <c r="Y81" s="246" cm="1">
        <f t="array" ref="Y81" xml:space="preserve"> W81 * _xlfn.XLOOKUP(C81, {"MELI";"WEB";"IG";"OTRO"}, $AS$3:$AS$6)</f>
        <v>515.29079999999999</v>
      </c>
      <c r="AC81" s="361" t="e">
        <f>IF(OR(#REF!="D6 Classic",#REF!="D6 Deluxe",#REF!="D6 Gold"),6*I81,
 IF(OR(#REF!="D2",#REF!="D2 moño"),2*I81,
 IF(#REF!="Cajita de 4",4*I81,
 IF(OR(#REF!="Mini Recuerdo",#REF!="Choco Cintas",#REF!="Choco Suelto"),1*I81,
 IF(#REF!="Caja 22 Chocos",22*I81,
 IF(#REF!="Caja 44 Chocos",44*I81,""))))))</f>
        <v>#REF!</v>
      </c>
      <c r="AD81" s="20">
        <f t="shared" si="7"/>
        <v>0</v>
      </c>
    </row>
    <row r="82" spans="1:30" ht="18.75" customHeight="1" x14ac:dyDescent="0.35">
      <c r="C82" s="20" t="s">
        <v>287</v>
      </c>
      <c r="E82" s="363" t="s">
        <v>406</v>
      </c>
      <c r="I82" s="20">
        <v>1</v>
      </c>
      <c r="J82" s="204">
        <v>15000</v>
      </c>
      <c r="K82" s="255">
        <v>15000</v>
      </c>
      <c r="R82" s="227">
        <v>15000</v>
      </c>
      <c r="T82" s="230">
        <v>9</v>
      </c>
      <c r="U82" s="230">
        <v>300</v>
      </c>
      <c r="W82" s="228">
        <f t="shared" ref="W82:W145" si="8">J82-S82-T82-U82-V82-R82</f>
        <v>-309</v>
      </c>
      <c r="X82" s="243">
        <f>W82*0.05</f>
        <v>-15.450000000000001</v>
      </c>
      <c r="Y82" s="246" cm="1">
        <f t="array" ref="Y82" xml:space="preserve"> W82 * _xlfn.XLOOKUP(C82, {"MELI";"WEB";"IG";"OTRO"}, $AS$3:$AS$6)</f>
        <v>-3.09</v>
      </c>
      <c r="AC82" s="361" t="str">
        <f t="shared" ref="AC82:AC113" si="9">IF(OR(H82="D6 Classic",H82="D6 Deluxe",H82="D6 Gold"),6*I82,
 IF(OR(H82="D2",H82="D2 moño"),2*I82,
 IF(H82="Cajita de 4",4*I82,
 IF(OR(H82="Mini Recuerdo",H82="Choco Cintas",H82="Choco Suelto"),1*I82,
 IF(H82="Caja 22 Chocos",22*I82,
 IF(H82="Caja 44 Chocos",44*I82,""))))))</f>
        <v/>
      </c>
      <c r="AD82" s="20">
        <f t="shared" si="7"/>
        <v>0</v>
      </c>
    </row>
    <row r="83" spans="1:30" ht="18.75" customHeight="1" x14ac:dyDescent="0.35">
      <c r="C83" s="20" t="s">
        <v>287</v>
      </c>
      <c r="E83" s="363" t="s">
        <v>407</v>
      </c>
      <c r="H83" s="20" t="s">
        <v>0</v>
      </c>
      <c r="I83" s="20">
        <v>25</v>
      </c>
      <c r="J83" s="204">
        <v>23398</v>
      </c>
      <c r="K83" s="255">
        <v>31200</v>
      </c>
      <c r="R83" s="227">
        <f t="shared" ref="R83:R109" si="10">_xlfn.XLOOKUP(H83, AJ:AJ, AK:AK) * I83</f>
        <v>8175</v>
      </c>
      <c r="W83" s="228">
        <f t="shared" si="8"/>
        <v>15223</v>
      </c>
      <c r="X83" s="243" t="e">
        <f>#REF!*0.05</f>
        <v>#REF!</v>
      </c>
      <c r="Y83" s="246" t="e" cm="1">
        <f t="array" ref="Y83">#REF! * _xlfn.XLOOKUP( C83, {"MELI";"WEB";"IG";"OTRO"}, $AS$3:$AS$6)</f>
        <v>#REF!</v>
      </c>
      <c r="AC83" s="361">
        <f t="shared" si="9"/>
        <v>25</v>
      </c>
      <c r="AD83" s="20">
        <f t="shared" si="7"/>
        <v>0</v>
      </c>
    </row>
    <row r="84" spans="1:30" ht="18.75" customHeight="1" x14ac:dyDescent="0.35">
      <c r="C84" s="20" t="s">
        <v>287</v>
      </c>
      <c r="E84" s="363" t="s">
        <v>408</v>
      </c>
      <c r="H84" s="20" t="s">
        <v>75</v>
      </c>
      <c r="I84" s="20">
        <v>50</v>
      </c>
      <c r="J84" s="204">
        <v>41628.5</v>
      </c>
      <c r="K84" s="255">
        <v>55400</v>
      </c>
      <c r="R84" s="227">
        <f t="shared" si="10"/>
        <v>14700</v>
      </c>
      <c r="W84" s="228">
        <f t="shared" si="8"/>
        <v>26928.5</v>
      </c>
      <c r="X84" s="243">
        <f t="shared" si="1"/>
        <v>1346.4250000000002</v>
      </c>
      <c r="Y84" s="246" cm="1">
        <f t="array" ref="Y84" xml:space="preserve"> W84 * _xlfn.XLOOKUP(C84, {"MELI";"WEB";"IG";"OTRO"}, $AS$3:$AS$6)</f>
        <v>269.28500000000003</v>
      </c>
      <c r="AC84" s="361">
        <f t="shared" si="9"/>
        <v>50</v>
      </c>
      <c r="AD84" s="20">
        <f t="shared" si="7"/>
        <v>0</v>
      </c>
    </row>
    <row r="85" spans="1:30" ht="18.75" customHeight="1" x14ac:dyDescent="0.25">
      <c r="A85" s="195">
        <f>_xlfn.XLOOKUP(H85, AJ:AJ, AK:AK) * I85</f>
        <v>7350</v>
      </c>
      <c r="C85" s="20" t="s">
        <v>287</v>
      </c>
      <c r="E85" s="385" t="s">
        <v>409</v>
      </c>
      <c r="H85" s="20" t="s">
        <v>75</v>
      </c>
      <c r="I85" s="20">
        <v>25</v>
      </c>
      <c r="J85" s="204">
        <v>17140</v>
      </c>
      <c r="K85" s="255">
        <v>22500</v>
      </c>
      <c r="R85" s="227">
        <f t="shared" si="10"/>
        <v>7350</v>
      </c>
      <c r="W85" s="228">
        <f t="shared" si="8"/>
        <v>9790</v>
      </c>
      <c r="X85" s="243">
        <f t="shared" si="1"/>
        <v>489.5</v>
      </c>
      <c r="Y85" s="246" cm="1">
        <f t="array" ref="Y85" xml:space="preserve"> W85 * _xlfn.XLOOKUP(C85, {"MELI";"WEB";"IG";"OTRO"}, $AS$3:$AS$6)</f>
        <v>97.9</v>
      </c>
      <c r="AC85" s="361">
        <f t="shared" si="9"/>
        <v>25</v>
      </c>
      <c r="AD85" s="20">
        <f t="shared" si="7"/>
        <v>0</v>
      </c>
    </row>
    <row r="86" spans="1:30" ht="18.75" customHeight="1" x14ac:dyDescent="0.25">
      <c r="C86" s="20" t="s">
        <v>287</v>
      </c>
      <c r="E86" s="386" t="s">
        <v>410</v>
      </c>
      <c r="H86" s="20" t="s">
        <v>0</v>
      </c>
      <c r="I86" s="20">
        <v>25</v>
      </c>
      <c r="J86" s="204">
        <v>23679</v>
      </c>
      <c r="K86" s="255">
        <v>36000</v>
      </c>
      <c r="R86" s="227">
        <f t="shared" si="10"/>
        <v>8175</v>
      </c>
      <c r="W86" s="228">
        <f t="shared" si="8"/>
        <v>15504</v>
      </c>
      <c r="X86" s="243">
        <f t="shared" si="1"/>
        <v>775.2</v>
      </c>
      <c r="Y86" s="246" cm="1">
        <f t="array" ref="Y86" xml:space="preserve"> W86 * _xlfn.XLOOKUP(C86, {"MELI";"WEB";"IG";"OTRO"}, $AS$3:$AS$6)</f>
        <v>155.04</v>
      </c>
      <c r="AC86" s="361">
        <f t="shared" si="9"/>
        <v>25</v>
      </c>
      <c r="AD86" s="20">
        <f t="shared" si="7"/>
        <v>0</v>
      </c>
    </row>
    <row r="87" spans="1:30" ht="18.75" customHeight="1" x14ac:dyDescent="0.35">
      <c r="C87" s="20" t="s">
        <v>287</v>
      </c>
      <c r="R87" s="227">
        <f t="shared" si="10"/>
        <v>0</v>
      </c>
      <c r="W87" s="228">
        <f t="shared" si="8"/>
        <v>0</v>
      </c>
      <c r="X87" s="243">
        <f t="shared" si="1"/>
        <v>0</v>
      </c>
      <c r="Y87" s="246" cm="1">
        <f t="array" ref="Y87" xml:space="preserve"> W87 * _xlfn.XLOOKUP(C87, {"MELI";"WEB";"IG";"OTRO"}, $AS$3:$AS$6)</f>
        <v>0</v>
      </c>
      <c r="AC87" s="361" t="str">
        <f t="shared" si="9"/>
        <v/>
      </c>
      <c r="AD87" s="20">
        <f t="shared" si="7"/>
        <v>0</v>
      </c>
    </row>
    <row r="88" spans="1:30" ht="18.75" customHeight="1" x14ac:dyDescent="0.25">
      <c r="C88" s="20" t="s">
        <v>287</v>
      </c>
      <c r="E88" s="387" t="s">
        <v>411</v>
      </c>
      <c r="H88" s="20" t="s">
        <v>33</v>
      </c>
      <c r="I88" s="388">
        <v>10</v>
      </c>
      <c r="J88" s="204">
        <v>41134.19</v>
      </c>
      <c r="K88" s="255">
        <v>41800</v>
      </c>
      <c r="L88" s="395">
        <v>-5684.8</v>
      </c>
      <c r="M88" s="395">
        <v>-4600</v>
      </c>
      <c r="N88" s="391">
        <v>-627</v>
      </c>
      <c r="O88" s="389">
        <v>10245.99</v>
      </c>
      <c r="P88" s="389">
        <v>0</v>
      </c>
      <c r="Q88" s="255">
        <f>P88+O88</f>
        <v>10245.99</v>
      </c>
      <c r="R88" s="227">
        <f t="shared" si="10"/>
        <v>14435</v>
      </c>
      <c r="S88" s="396">
        <f>K88+L88+M88+N88+Q88</f>
        <v>41134.189999999995</v>
      </c>
      <c r="T88" s="391"/>
      <c r="U88" s="230" t="e">
        <f>K88-Q88-#REF!-#REF!-S88</f>
        <v>#REF!</v>
      </c>
      <c r="W88" s="228" t="e">
        <f t="shared" si="8"/>
        <v>#REF!</v>
      </c>
      <c r="X88" s="243" t="e">
        <f t="shared" si="1"/>
        <v>#REF!</v>
      </c>
      <c r="Y88" s="246" t="e" cm="1">
        <f t="array" ref="Y88" xml:space="preserve"> W88 * _xlfn.XLOOKUP(C88, {"MELI";"WEB";"IG";"OTRO"}, $AS$3:$AS$6)</f>
        <v>#REF!</v>
      </c>
      <c r="AC88" s="361">
        <f t="shared" si="9"/>
        <v>40</v>
      </c>
      <c r="AD88" s="20">
        <f t="shared" si="7"/>
        <v>0</v>
      </c>
    </row>
    <row r="89" spans="1:30" ht="18.75" customHeight="1" x14ac:dyDescent="0.25">
      <c r="C89" s="20" t="s">
        <v>287</v>
      </c>
      <c r="E89" s="387" t="s">
        <v>412</v>
      </c>
      <c r="H89" s="20" t="s">
        <v>75</v>
      </c>
      <c r="I89" s="388">
        <v>75</v>
      </c>
      <c r="J89" s="204">
        <v>58790.99</v>
      </c>
      <c r="K89" s="255">
        <v>67500</v>
      </c>
      <c r="L89" s="395">
        <v>-9180</v>
      </c>
      <c r="M89" s="395">
        <v>-6900</v>
      </c>
      <c r="N89" s="391" t="s">
        <v>442</v>
      </c>
      <c r="O89" s="389">
        <v>7370.99</v>
      </c>
      <c r="P89" s="389">
        <v>0</v>
      </c>
      <c r="Q89" s="255">
        <f>P89+O89</f>
        <v>7370.99</v>
      </c>
      <c r="R89" s="227">
        <f t="shared" si="10"/>
        <v>22050</v>
      </c>
      <c r="S89" s="391"/>
      <c r="T89" s="391"/>
      <c r="W89" s="228">
        <f t="shared" si="8"/>
        <v>36740.99</v>
      </c>
      <c r="X89" s="243">
        <f t="shared" si="1"/>
        <v>1837.0495000000001</v>
      </c>
      <c r="Y89" s="246" cm="1">
        <f t="array" ref="Y89" xml:space="preserve"> W89 * _xlfn.XLOOKUP(C89, {"MELI";"WEB";"IG";"OTRO"}, $AS$3:$AS$6)</f>
        <v>367.40989999999999</v>
      </c>
      <c r="AC89" s="361">
        <f t="shared" si="9"/>
        <v>75</v>
      </c>
      <c r="AD89" s="20">
        <f t="shared" si="7"/>
        <v>0</v>
      </c>
    </row>
    <row r="90" spans="1:30" ht="18.75" customHeight="1" x14ac:dyDescent="0.25">
      <c r="C90" s="20" t="s">
        <v>287</v>
      </c>
      <c r="E90" s="387" t="s">
        <v>413</v>
      </c>
      <c r="H90" s="20" t="s">
        <v>33</v>
      </c>
      <c r="I90" s="388">
        <v>5</v>
      </c>
      <c r="J90" s="204">
        <v>15444.1</v>
      </c>
      <c r="K90" s="255">
        <v>20900</v>
      </c>
      <c r="L90" s="395">
        <v>-2842.4</v>
      </c>
      <c r="M90" s="395">
        <v>-2300</v>
      </c>
      <c r="N90" s="391">
        <v>-313.5</v>
      </c>
      <c r="O90" s="389">
        <v>16830.990000000002</v>
      </c>
      <c r="P90" s="389">
        <v>-16830.990000000002</v>
      </c>
      <c r="Q90" s="255">
        <f t="shared" ref="Q90:Q109" si="11">P90+O90</f>
        <v>0</v>
      </c>
      <c r="R90" s="227">
        <f t="shared" si="10"/>
        <v>7217.5</v>
      </c>
      <c r="S90" s="391"/>
      <c r="T90" s="391"/>
      <c r="W90" s="228">
        <f t="shared" si="8"/>
        <v>8226.6</v>
      </c>
      <c r="X90" s="243">
        <f t="shared" si="1"/>
        <v>411.33000000000004</v>
      </c>
      <c r="Y90" s="246" cm="1">
        <f t="array" ref="Y90" xml:space="preserve"> W90 * _xlfn.XLOOKUP(C90, {"MELI";"WEB";"IG";"OTRO"}, $AS$3:$AS$6)</f>
        <v>82.266000000000005</v>
      </c>
      <c r="AC90" s="361">
        <f t="shared" si="9"/>
        <v>20</v>
      </c>
      <c r="AD90" s="20">
        <f t="shared" si="7"/>
        <v>0</v>
      </c>
    </row>
    <row r="91" spans="1:30" ht="18.75" customHeight="1" x14ac:dyDescent="0.25">
      <c r="C91" s="20" t="s">
        <v>287</v>
      </c>
      <c r="E91" s="387" t="s">
        <v>414</v>
      </c>
      <c r="H91" s="20" t="s">
        <v>75</v>
      </c>
      <c r="I91" s="388">
        <v>25</v>
      </c>
      <c r="J91" s="204">
        <v>24510.99</v>
      </c>
      <c r="K91" s="255">
        <v>22500</v>
      </c>
      <c r="L91" s="395">
        <v>-3060</v>
      </c>
      <c r="M91" s="395">
        <v>-2300</v>
      </c>
      <c r="N91" s="391" t="s">
        <v>442</v>
      </c>
      <c r="O91" s="389">
        <v>7370.99</v>
      </c>
      <c r="P91" s="389">
        <v>0</v>
      </c>
      <c r="Q91" s="255">
        <f t="shared" si="11"/>
        <v>7370.99</v>
      </c>
      <c r="R91" s="227">
        <f t="shared" si="10"/>
        <v>7350</v>
      </c>
      <c r="S91" s="391"/>
      <c r="T91" s="391"/>
      <c r="W91" s="228">
        <f t="shared" si="8"/>
        <v>17160.990000000002</v>
      </c>
      <c r="X91" s="243">
        <f t="shared" ref="X91:X135" si="12">W91*0.05</f>
        <v>858.04950000000008</v>
      </c>
      <c r="Y91" s="246" cm="1">
        <f t="array" ref="Y91" xml:space="preserve"> W91 * _xlfn.XLOOKUP(C91, {"MELI";"WEB";"IG";"OTRO"}, $AS$3:$AS$6)</f>
        <v>171.60990000000001</v>
      </c>
      <c r="AC91" s="361">
        <f t="shared" si="9"/>
        <v>25</v>
      </c>
      <c r="AD91" s="20">
        <f t="shared" si="7"/>
        <v>0</v>
      </c>
    </row>
    <row r="92" spans="1:30" ht="18.75" customHeight="1" x14ac:dyDescent="0.25">
      <c r="C92" s="20" t="s">
        <v>287</v>
      </c>
      <c r="E92" s="387" t="s">
        <v>415</v>
      </c>
      <c r="H92" s="20" t="s">
        <v>75</v>
      </c>
      <c r="I92" s="388">
        <v>25</v>
      </c>
      <c r="J92" s="204">
        <v>24510.99</v>
      </c>
      <c r="K92" s="255">
        <v>22500</v>
      </c>
      <c r="L92" s="395">
        <v>-3060</v>
      </c>
      <c r="M92" s="395">
        <v>-2300</v>
      </c>
      <c r="N92" s="391" t="s">
        <v>442</v>
      </c>
      <c r="O92" s="389">
        <v>7370.99</v>
      </c>
      <c r="P92" s="389">
        <v>0</v>
      </c>
      <c r="Q92" s="255">
        <f t="shared" si="11"/>
        <v>7370.99</v>
      </c>
      <c r="R92" s="227">
        <f t="shared" si="10"/>
        <v>7350</v>
      </c>
      <c r="S92" s="391"/>
      <c r="T92" s="391"/>
      <c r="W92" s="228">
        <f t="shared" si="8"/>
        <v>17160.990000000002</v>
      </c>
      <c r="X92" s="243">
        <f t="shared" si="12"/>
        <v>858.04950000000008</v>
      </c>
      <c r="Y92" s="246" cm="1">
        <f t="array" ref="Y92" xml:space="preserve"> W92 * _xlfn.XLOOKUP(C92, {"MELI";"WEB";"IG";"OTRO"}, $AS$3:$AS$6)</f>
        <v>171.60990000000001</v>
      </c>
      <c r="AC92" s="361">
        <f t="shared" si="9"/>
        <v>25</v>
      </c>
      <c r="AD92" s="20">
        <f t="shared" si="7"/>
        <v>0</v>
      </c>
    </row>
    <row r="93" spans="1:30" ht="18.75" customHeight="1" x14ac:dyDescent="0.25">
      <c r="C93" s="20" t="s">
        <v>287</v>
      </c>
      <c r="E93" s="387" t="s">
        <v>416</v>
      </c>
      <c r="H93" s="20" t="s">
        <v>75</v>
      </c>
      <c r="I93" s="388">
        <v>25</v>
      </c>
      <c r="J93" s="204">
        <v>16664.72</v>
      </c>
      <c r="K93" s="255">
        <v>22500</v>
      </c>
      <c r="L93" s="395">
        <v>-3060</v>
      </c>
      <c r="M93" s="395">
        <v>-2300</v>
      </c>
      <c r="N93" s="391">
        <v>-475.28</v>
      </c>
      <c r="O93" s="389">
        <v>9185.14</v>
      </c>
      <c r="P93" s="389">
        <v>-9185.14</v>
      </c>
      <c r="Q93" s="255">
        <f t="shared" si="11"/>
        <v>0</v>
      </c>
      <c r="R93" s="227">
        <f t="shared" si="10"/>
        <v>7350</v>
      </c>
      <c r="S93" s="391"/>
      <c r="T93" s="391"/>
      <c r="W93" s="228">
        <f t="shared" si="8"/>
        <v>9314.7200000000012</v>
      </c>
      <c r="X93" s="243">
        <f t="shared" si="12"/>
        <v>465.7360000000001</v>
      </c>
      <c r="Y93" s="246" cm="1">
        <f t="array" ref="Y93" xml:space="preserve"> W93 * _xlfn.XLOOKUP(C93, {"MELI";"WEB";"IG";"OTRO"}, $AS$3:$AS$6)</f>
        <v>93.147200000000012</v>
      </c>
      <c r="AC93" s="361">
        <f t="shared" si="9"/>
        <v>25</v>
      </c>
      <c r="AD93" s="20">
        <f t="shared" si="7"/>
        <v>0</v>
      </c>
    </row>
    <row r="94" spans="1:30" ht="18.75" customHeight="1" x14ac:dyDescent="0.25">
      <c r="C94" s="20" t="s">
        <v>287</v>
      </c>
      <c r="E94" s="387" t="s">
        <v>417</v>
      </c>
      <c r="H94" s="20" t="s">
        <v>75</v>
      </c>
      <c r="I94" s="388">
        <v>50</v>
      </c>
      <c r="J94" s="204">
        <v>37679</v>
      </c>
      <c r="K94" s="255">
        <v>51000</v>
      </c>
      <c r="L94" s="395">
        <v>-6936</v>
      </c>
      <c r="M94" s="395">
        <v>-5620</v>
      </c>
      <c r="N94" s="391">
        <v>-765</v>
      </c>
      <c r="O94" s="389">
        <v>0</v>
      </c>
      <c r="P94" s="389">
        <v>0</v>
      </c>
      <c r="Q94" s="255">
        <f t="shared" si="11"/>
        <v>0</v>
      </c>
      <c r="R94" s="227">
        <f t="shared" si="10"/>
        <v>14700</v>
      </c>
      <c r="S94" s="391"/>
      <c r="T94" s="391"/>
      <c r="W94" s="228">
        <f t="shared" si="8"/>
        <v>22979</v>
      </c>
      <c r="X94" s="243">
        <f t="shared" si="12"/>
        <v>1148.95</v>
      </c>
      <c r="Y94" s="246" cm="1">
        <f t="array" ref="Y94" xml:space="preserve"> W94 * _xlfn.XLOOKUP(C94, {"MELI";"WEB";"IG";"OTRO"}, $AS$3:$AS$6)</f>
        <v>229.79</v>
      </c>
      <c r="AC94" s="361">
        <f t="shared" si="9"/>
        <v>50</v>
      </c>
      <c r="AD94" s="20">
        <f t="shared" si="7"/>
        <v>0</v>
      </c>
    </row>
    <row r="95" spans="1:30" ht="18.75" customHeight="1" x14ac:dyDescent="0.25">
      <c r="C95" s="20" t="s">
        <v>287</v>
      </c>
      <c r="E95" s="387" t="s">
        <v>418</v>
      </c>
      <c r="H95" s="20" t="s">
        <v>75</v>
      </c>
      <c r="I95" s="388">
        <v>25</v>
      </c>
      <c r="J95" s="204">
        <v>16713.419999999998</v>
      </c>
      <c r="K95" s="255">
        <v>22500</v>
      </c>
      <c r="L95" s="395">
        <v>-3060</v>
      </c>
      <c r="M95" s="395">
        <v>-2300</v>
      </c>
      <c r="N95" s="391">
        <v>-426.58</v>
      </c>
      <c r="O95" s="389">
        <v>5938.79</v>
      </c>
      <c r="P95" s="389">
        <v>-5938.79</v>
      </c>
      <c r="Q95" s="255">
        <f t="shared" si="11"/>
        <v>0</v>
      </c>
      <c r="R95" s="227">
        <f t="shared" si="10"/>
        <v>7350</v>
      </c>
      <c r="S95" s="391"/>
      <c r="T95" s="391"/>
      <c r="W95" s="228">
        <f t="shared" si="8"/>
        <v>9363.4199999999983</v>
      </c>
      <c r="X95" s="243">
        <f t="shared" si="12"/>
        <v>468.17099999999994</v>
      </c>
      <c r="Y95" s="246" cm="1">
        <f t="array" ref="Y95" xml:space="preserve"> W95 * _xlfn.XLOOKUP(C95, {"MELI";"WEB";"IG";"OTRO"}, $AS$3:$AS$6)</f>
        <v>93.634199999999979</v>
      </c>
      <c r="AC95" s="361">
        <f t="shared" si="9"/>
        <v>25</v>
      </c>
      <c r="AD95" s="20">
        <f t="shared" ref="AD95:AD126" si="13">IF(D95="Falta", AC95, 0)</f>
        <v>0</v>
      </c>
    </row>
    <row r="96" spans="1:30" ht="18.75" customHeight="1" x14ac:dyDescent="0.25">
      <c r="C96" s="20" t="s">
        <v>287</v>
      </c>
      <c r="E96" s="387" t="s">
        <v>419</v>
      </c>
      <c r="H96" s="20" t="s">
        <v>0</v>
      </c>
      <c r="I96" s="388">
        <v>25</v>
      </c>
      <c r="J96" s="204">
        <v>30701.1</v>
      </c>
      <c r="K96" s="255">
        <v>36000</v>
      </c>
      <c r="L96" s="395">
        <v>-5220</v>
      </c>
      <c r="M96" s="395" t="s">
        <v>442</v>
      </c>
      <c r="N96" s="391">
        <v>-540</v>
      </c>
      <c r="O96" s="389">
        <v>461.1</v>
      </c>
      <c r="P96" s="389">
        <v>0</v>
      </c>
      <c r="Q96" s="255">
        <f t="shared" si="11"/>
        <v>461.1</v>
      </c>
      <c r="R96" s="227">
        <f t="shared" si="10"/>
        <v>8175</v>
      </c>
      <c r="S96" s="391"/>
      <c r="T96" s="391"/>
      <c r="W96" s="228">
        <f t="shared" si="8"/>
        <v>22526.1</v>
      </c>
      <c r="X96" s="243">
        <f t="shared" si="12"/>
        <v>1126.3050000000001</v>
      </c>
      <c r="Y96" s="246" cm="1">
        <f t="array" ref="Y96" xml:space="preserve"> W96 * _xlfn.XLOOKUP(C96, {"MELI";"WEB";"IG";"OTRO"}, $AS$3:$AS$6)</f>
        <v>225.261</v>
      </c>
      <c r="AC96" s="361">
        <f t="shared" si="9"/>
        <v>25</v>
      </c>
      <c r="AD96" s="20">
        <f t="shared" si="13"/>
        <v>0</v>
      </c>
    </row>
    <row r="97" spans="3:30" ht="18.75" customHeight="1" x14ac:dyDescent="0.25">
      <c r="C97" s="20" t="s">
        <v>287</v>
      </c>
      <c r="E97" s="387" t="s">
        <v>420</v>
      </c>
      <c r="H97" s="20" t="s">
        <v>75</v>
      </c>
      <c r="I97" s="388">
        <v>25</v>
      </c>
      <c r="J97" s="204">
        <v>16802.5</v>
      </c>
      <c r="K97" s="255">
        <v>22500</v>
      </c>
      <c r="L97" s="395">
        <v>-3060</v>
      </c>
      <c r="M97" s="395">
        <v>-2300</v>
      </c>
      <c r="N97" s="391">
        <v>-337.5</v>
      </c>
      <c r="O97" s="389">
        <v>5942.79</v>
      </c>
      <c r="P97" s="389">
        <v>-5942.79</v>
      </c>
      <c r="Q97" s="255">
        <f t="shared" si="11"/>
        <v>0</v>
      </c>
      <c r="R97" s="227">
        <f t="shared" si="10"/>
        <v>7350</v>
      </c>
      <c r="S97" s="391"/>
      <c r="T97" s="391"/>
      <c r="W97" s="228">
        <f t="shared" si="8"/>
        <v>9452.5</v>
      </c>
      <c r="X97" s="243">
        <f t="shared" si="12"/>
        <v>472.625</v>
      </c>
      <c r="Y97" s="246" cm="1">
        <f t="array" ref="Y97" xml:space="preserve"> W97 * _xlfn.XLOOKUP(C97, {"MELI";"WEB";"IG";"OTRO"}, $AS$3:$AS$6)</f>
        <v>94.525000000000006</v>
      </c>
      <c r="AC97" s="361">
        <f t="shared" si="9"/>
        <v>25</v>
      </c>
      <c r="AD97" s="20">
        <f t="shared" si="13"/>
        <v>0</v>
      </c>
    </row>
    <row r="98" spans="3:30" ht="18.75" customHeight="1" x14ac:dyDescent="0.25">
      <c r="C98" s="20" t="s">
        <v>287</v>
      </c>
      <c r="E98" s="387" t="s">
        <v>421</v>
      </c>
      <c r="H98" s="20" t="s">
        <v>432</v>
      </c>
      <c r="I98" s="388">
        <v>1</v>
      </c>
      <c r="J98" s="204">
        <v>25057.360000000001</v>
      </c>
      <c r="K98" s="255">
        <v>32900</v>
      </c>
      <c r="L98" s="395">
        <v>-4474.3999999999996</v>
      </c>
      <c r="M98" s="395">
        <v>-2810</v>
      </c>
      <c r="N98" s="391">
        <v>-558.24</v>
      </c>
      <c r="O98" s="389">
        <v>4315.9399999999996</v>
      </c>
      <c r="P98" s="389">
        <v>-4315.9399999999996</v>
      </c>
      <c r="Q98" s="255">
        <f t="shared" si="11"/>
        <v>0</v>
      </c>
      <c r="R98" s="227">
        <f t="shared" si="10"/>
        <v>12512</v>
      </c>
      <c r="S98" s="391"/>
      <c r="T98" s="391"/>
      <c r="W98" s="228">
        <f t="shared" si="8"/>
        <v>12545.36</v>
      </c>
      <c r="X98" s="243">
        <f t="shared" si="12"/>
        <v>627.26800000000003</v>
      </c>
      <c r="Y98" s="246" cm="1">
        <f t="array" ref="Y98" xml:space="preserve"> W98 * _xlfn.XLOOKUP(C98, {"MELI";"WEB";"IG";"OTRO"}, $AS$3:$AS$6)</f>
        <v>125.45360000000001</v>
      </c>
      <c r="AC98" s="361">
        <f t="shared" si="9"/>
        <v>44</v>
      </c>
      <c r="AD98" s="20">
        <f t="shared" si="13"/>
        <v>0</v>
      </c>
    </row>
    <row r="99" spans="3:30" ht="18.75" customHeight="1" x14ac:dyDescent="0.25">
      <c r="C99" s="20" t="s">
        <v>287</v>
      </c>
      <c r="E99" s="387" t="s">
        <v>422</v>
      </c>
      <c r="H99" s="20" t="s">
        <v>0</v>
      </c>
      <c r="I99" s="388">
        <v>25</v>
      </c>
      <c r="J99" s="204">
        <v>23679.51</v>
      </c>
      <c r="K99" s="255">
        <v>36000</v>
      </c>
      <c r="L99" s="395">
        <v>-5220</v>
      </c>
      <c r="M99" s="395" t="s">
        <v>442</v>
      </c>
      <c r="N99" s="391">
        <v>-540</v>
      </c>
      <c r="O99" s="389">
        <v>0</v>
      </c>
      <c r="P99" s="389">
        <v>-6560.49</v>
      </c>
      <c r="Q99" s="255">
        <f t="shared" si="11"/>
        <v>-6560.49</v>
      </c>
      <c r="R99" s="227">
        <f t="shared" si="10"/>
        <v>8175</v>
      </c>
      <c r="S99" s="391"/>
      <c r="T99" s="391"/>
      <c r="W99" s="228">
        <f t="shared" si="8"/>
        <v>15504.509999999998</v>
      </c>
      <c r="X99" s="243">
        <f t="shared" si="12"/>
        <v>775.22550000000001</v>
      </c>
      <c r="Y99" s="246" cm="1">
        <f t="array" ref="Y99" xml:space="preserve"> W99 * _xlfn.XLOOKUP(C99, {"MELI";"WEB";"IG";"OTRO"}, $AS$3:$AS$6)</f>
        <v>155.04509999999999</v>
      </c>
      <c r="AC99" s="361">
        <f t="shared" si="9"/>
        <v>25</v>
      </c>
      <c r="AD99" s="20">
        <f t="shared" si="13"/>
        <v>0</v>
      </c>
    </row>
    <row r="100" spans="3:30" ht="18.75" customHeight="1" x14ac:dyDescent="0.25">
      <c r="C100" s="20" t="s">
        <v>287</v>
      </c>
      <c r="E100" s="387" t="s">
        <v>423</v>
      </c>
      <c r="H100" s="20" t="s">
        <v>75</v>
      </c>
      <c r="I100" s="388">
        <v>25</v>
      </c>
      <c r="J100" s="204">
        <v>16702.14</v>
      </c>
      <c r="K100" s="255">
        <v>22500</v>
      </c>
      <c r="L100" s="395">
        <v>-3060</v>
      </c>
      <c r="M100" s="395">
        <v>-2300</v>
      </c>
      <c r="N100" s="391">
        <v>-437.86</v>
      </c>
      <c r="O100" s="389">
        <v>6690.99</v>
      </c>
      <c r="P100" s="389">
        <v>-6690.99</v>
      </c>
      <c r="Q100" s="255">
        <f t="shared" si="11"/>
        <v>0</v>
      </c>
      <c r="R100" s="227">
        <f t="shared" si="10"/>
        <v>7350</v>
      </c>
      <c r="S100" s="391"/>
      <c r="T100" s="391"/>
      <c r="W100" s="228">
        <f t="shared" si="8"/>
        <v>9352.14</v>
      </c>
      <c r="X100" s="243">
        <f t="shared" si="12"/>
        <v>467.60699999999997</v>
      </c>
      <c r="Y100" s="246" cm="1">
        <f t="array" ref="Y100" xml:space="preserve"> W100 * _xlfn.XLOOKUP(C100, {"MELI";"WEB";"IG";"OTRO"}, $AS$3:$AS$6)</f>
        <v>93.5214</v>
      </c>
      <c r="AC100" s="361">
        <f t="shared" si="9"/>
        <v>25</v>
      </c>
      <c r="AD100" s="20">
        <f t="shared" si="13"/>
        <v>0</v>
      </c>
    </row>
    <row r="101" spans="3:30" ht="18.75" customHeight="1" x14ac:dyDescent="0.25">
      <c r="C101" s="20" t="s">
        <v>287</v>
      </c>
      <c r="E101" s="387" t="s">
        <v>424</v>
      </c>
      <c r="H101" s="20" t="s">
        <v>75</v>
      </c>
      <c r="I101" s="388">
        <v>25</v>
      </c>
      <c r="J101" s="204">
        <v>16713.419999999998</v>
      </c>
      <c r="K101" s="255">
        <v>22500</v>
      </c>
      <c r="L101" s="395">
        <v>-3060</v>
      </c>
      <c r="M101" s="395">
        <v>-2300</v>
      </c>
      <c r="N101" s="391">
        <v>-426.58</v>
      </c>
      <c r="O101" s="389">
        <v>5938.79</v>
      </c>
      <c r="P101" s="389">
        <v>-5938.79</v>
      </c>
      <c r="Q101" s="255">
        <f t="shared" si="11"/>
        <v>0</v>
      </c>
      <c r="R101" s="227">
        <f t="shared" si="10"/>
        <v>7350</v>
      </c>
      <c r="S101" s="391"/>
      <c r="T101" s="391"/>
      <c r="W101" s="228">
        <f t="shared" si="8"/>
        <v>9363.4199999999983</v>
      </c>
      <c r="X101" s="243">
        <f t="shared" si="12"/>
        <v>468.17099999999994</v>
      </c>
      <c r="Y101" s="246" cm="1">
        <f t="array" ref="Y101" xml:space="preserve"> W101 * _xlfn.XLOOKUP(C101, {"MELI";"WEB";"IG";"OTRO"}, $AS$3:$AS$6)</f>
        <v>93.634199999999979</v>
      </c>
      <c r="AC101" s="361">
        <f t="shared" si="9"/>
        <v>25</v>
      </c>
      <c r="AD101" s="20">
        <f t="shared" si="13"/>
        <v>0</v>
      </c>
    </row>
    <row r="102" spans="3:30" ht="18.75" customHeight="1" x14ac:dyDescent="0.25">
      <c r="C102" s="20" t="s">
        <v>287</v>
      </c>
      <c r="E102" s="387" t="s">
        <v>414</v>
      </c>
      <c r="H102" s="20" t="s">
        <v>75</v>
      </c>
      <c r="I102" s="388">
        <v>25</v>
      </c>
      <c r="J102" s="204">
        <v>24510.99</v>
      </c>
      <c r="K102" s="255">
        <v>22500</v>
      </c>
      <c r="L102" s="395">
        <v>-3060</v>
      </c>
      <c r="M102" s="395">
        <v>-2300</v>
      </c>
      <c r="N102" s="391" t="s">
        <v>442</v>
      </c>
      <c r="O102" s="389">
        <v>7370.99</v>
      </c>
      <c r="P102" s="389">
        <v>0</v>
      </c>
      <c r="Q102" s="255">
        <f t="shared" si="11"/>
        <v>7370.99</v>
      </c>
      <c r="R102" s="227">
        <f t="shared" si="10"/>
        <v>7350</v>
      </c>
      <c r="S102" s="391"/>
      <c r="T102" s="391"/>
      <c r="W102" s="228">
        <f t="shared" si="8"/>
        <v>17160.990000000002</v>
      </c>
      <c r="X102" s="243">
        <f t="shared" si="12"/>
        <v>858.04950000000008</v>
      </c>
      <c r="Y102" s="246" cm="1">
        <f t="array" ref="Y102" xml:space="preserve"> W102 * _xlfn.XLOOKUP(C102, {"MELI";"WEB";"IG";"OTRO"}, $AS$3:$AS$6)</f>
        <v>171.60990000000001</v>
      </c>
      <c r="AC102" s="361">
        <f t="shared" si="9"/>
        <v>25</v>
      </c>
      <c r="AD102" s="20">
        <f t="shared" si="13"/>
        <v>0</v>
      </c>
    </row>
    <row r="103" spans="3:30" ht="18.75" customHeight="1" x14ac:dyDescent="0.25">
      <c r="C103" s="20" t="s">
        <v>287</v>
      </c>
      <c r="E103" s="387" t="s">
        <v>425</v>
      </c>
      <c r="H103" s="20" t="s">
        <v>75</v>
      </c>
      <c r="I103" s="388">
        <v>400</v>
      </c>
      <c r="J103" s="204">
        <v>240282.02</v>
      </c>
      <c r="K103" s="255">
        <v>316000</v>
      </c>
      <c r="L103" s="395">
        <v>-42976</v>
      </c>
      <c r="M103" s="395" t="s">
        <v>442</v>
      </c>
      <c r="N103" s="391">
        <v>-4740</v>
      </c>
      <c r="O103" s="389">
        <v>0</v>
      </c>
      <c r="P103" s="389">
        <v>-28001.98</v>
      </c>
      <c r="Q103" s="255">
        <f t="shared" si="11"/>
        <v>-28001.98</v>
      </c>
      <c r="R103" s="227">
        <f t="shared" si="10"/>
        <v>117600</v>
      </c>
      <c r="S103" s="391"/>
      <c r="T103" s="391"/>
      <c r="W103" s="228">
        <f t="shared" si="8"/>
        <v>122682.01999999999</v>
      </c>
      <c r="X103" s="243">
        <f t="shared" si="12"/>
        <v>6134.1009999999997</v>
      </c>
      <c r="Y103" s="246" cm="1">
        <f t="array" ref="Y103" xml:space="preserve"> W103 * _xlfn.XLOOKUP(C103, {"MELI";"WEB";"IG";"OTRO"}, $AS$3:$AS$6)</f>
        <v>1226.8201999999999</v>
      </c>
      <c r="AC103" s="361">
        <f t="shared" si="9"/>
        <v>400</v>
      </c>
      <c r="AD103" s="20">
        <f t="shared" si="13"/>
        <v>0</v>
      </c>
    </row>
    <row r="104" spans="3:30" ht="18.75" customHeight="1" x14ac:dyDescent="0.25">
      <c r="C104" s="20" t="s">
        <v>287</v>
      </c>
      <c r="E104" s="387" t="s">
        <v>426</v>
      </c>
      <c r="H104" s="20" t="s">
        <v>0</v>
      </c>
      <c r="I104" s="388">
        <v>25</v>
      </c>
      <c r="J104" s="204">
        <v>0</v>
      </c>
      <c r="K104" s="255">
        <v>36000</v>
      </c>
      <c r="L104" s="395">
        <v>-5220</v>
      </c>
      <c r="M104" s="395" t="s">
        <v>442</v>
      </c>
      <c r="N104" s="391">
        <v>-540</v>
      </c>
      <c r="O104" s="389">
        <v>1024.5999999999999</v>
      </c>
      <c r="P104" s="389">
        <v>0</v>
      </c>
      <c r="Q104" s="255">
        <f t="shared" si="11"/>
        <v>1024.5999999999999</v>
      </c>
      <c r="R104" s="227">
        <f t="shared" si="10"/>
        <v>8175</v>
      </c>
      <c r="S104" s="391"/>
      <c r="T104" s="391"/>
      <c r="W104" s="228">
        <f t="shared" si="8"/>
        <v>-8175</v>
      </c>
      <c r="X104" s="243">
        <f t="shared" si="12"/>
        <v>-408.75</v>
      </c>
      <c r="Y104" s="246" cm="1">
        <f t="array" ref="Y104" xml:space="preserve"> W104 * _xlfn.XLOOKUP(C104, {"MELI";"WEB";"IG";"OTRO"}, $AS$3:$AS$6)</f>
        <v>-81.75</v>
      </c>
      <c r="AC104" s="361">
        <f t="shared" si="9"/>
        <v>25</v>
      </c>
      <c r="AD104" s="20">
        <f t="shared" si="13"/>
        <v>0</v>
      </c>
    </row>
    <row r="105" spans="3:30" ht="18.75" customHeight="1" x14ac:dyDescent="0.25">
      <c r="C105" s="20" t="s">
        <v>287</v>
      </c>
      <c r="E105" s="387" t="s">
        <v>427</v>
      </c>
      <c r="H105" s="20" t="s">
        <v>75</v>
      </c>
      <c r="I105" s="388">
        <v>50</v>
      </c>
      <c r="J105" s="204">
        <v>43850.99</v>
      </c>
      <c r="K105" s="255">
        <v>45000</v>
      </c>
      <c r="L105" s="395">
        <v>-6120</v>
      </c>
      <c r="M105" s="395">
        <v>-4600</v>
      </c>
      <c r="N105" s="391">
        <v>-675</v>
      </c>
      <c r="O105" s="389">
        <v>10245.99</v>
      </c>
      <c r="P105" s="389">
        <v>0</v>
      </c>
      <c r="Q105" s="255">
        <f t="shared" si="11"/>
        <v>10245.99</v>
      </c>
      <c r="R105" s="227">
        <f t="shared" si="10"/>
        <v>14700</v>
      </c>
      <c r="S105" s="391"/>
      <c r="T105" s="391"/>
      <c r="W105" s="228">
        <f t="shared" si="8"/>
        <v>29150.989999999998</v>
      </c>
      <c r="X105" s="243">
        <f t="shared" si="12"/>
        <v>1457.5495000000001</v>
      </c>
      <c r="Y105" s="246" cm="1">
        <f t="array" ref="Y105" xml:space="preserve"> W105 * _xlfn.XLOOKUP(C105, {"MELI";"WEB";"IG";"OTRO"}, $AS$3:$AS$6)</f>
        <v>291.50989999999996</v>
      </c>
      <c r="AC105" s="361">
        <f t="shared" si="9"/>
        <v>50</v>
      </c>
      <c r="AD105" s="20">
        <f t="shared" si="13"/>
        <v>0</v>
      </c>
    </row>
    <row r="106" spans="3:30" ht="18.75" customHeight="1" x14ac:dyDescent="0.25">
      <c r="C106" s="20" t="s">
        <v>287</v>
      </c>
      <c r="E106" s="387" t="s">
        <v>428</v>
      </c>
      <c r="H106" s="20" t="s">
        <v>0</v>
      </c>
      <c r="I106" s="388">
        <v>25</v>
      </c>
      <c r="J106" s="204">
        <v>23679.51</v>
      </c>
      <c r="K106" s="255">
        <v>36000</v>
      </c>
      <c r="L106" s="395">
        <v>-5220</v>
      </c>
      <c r="M106" s="395" t="s">
        <v>442</v>
      </c>
      <c r="N106" s="391">
        <v>-540</v>
      </c>
      <c r="O106" s="389">
        <v>0</v>
      </c>
      <c r="P106" s="389">
        <v>-6560.49</v>
      </c>
      <c r="Q106" s="255">
        <f t="shared" si="11"/>
        <v>-6560.49</v>
      </c>
      <c r="R106" s="227">
        <f t="shared" si="10"/>
        <v>8175</v>
      </c>
      <c r="S106" s="391"/>
      <c r="T106" s="391"/>
      <c r="W106" s="228">
        <f t="shared" si="8"/>
        <v>15504.509999999998</v>
      </c>
      <c r="X106" s="243">
        <f t="shared" si="12"/>
        <v>775.22550000000001</v>
      </c>
      <c r="Y106" s="246" cm="1">
        <f t="array" ref="Y106" xml:space="preserve"> W106 * _xlfn.XLOOKUP(C106, {"MELI";"WEB";"IG";"OTRO"}, $AS$3:$AS$6)</f>
        <v>155.04509999999999</v>
      </c>
      <c r="AC106" s="361">
        <f t="shared" si="9"/>
        <v>25</v>
      </c>
      <c r="AD106" s="20">
        <f t="shared" si="13"/>
        <v>0</v>
      </c>
    </row>
    <row r="107" spans="3:30" ht="18.75" customHeight="1" x14ac:dyDescent="0.25">
      <c r="C107" s="20" t="s">
        <v>287</v>
      </c>
      <c r="E107" s="387" t="s">
        <v>429</v>
      </c>
      <c r="H107" s="20" t="s">
        <v>0</v>
      </c>
      <c r="I107" s="388">
        <v>25</v>
      </c>
      <c r="J107" s="204">
        <v>23679.51</v>
      </c>
      <c r="K107" s="255">
        <v>36000</v>
      </c>
      <c r="L107" s="395">
        <v>-5220</v>
      </c>
      <c r="M107" s="395" t="s">
        <v>442</v>
      </c>
      <c r="N107" s="391">
        <v>-540</v>
      </c>
      <c r="O107" s="389">
        <v>0</v>
      </c>
      <c r="P107" s="389">
        <v>-6560.49</v>
      </c>
      <c r="Q107" s="255">
        <f t="shared" si="11"/>
        <v>-6560.49</v>
      </c>
      <c r="R107" s="227">
        <f t="shared" si="10"/>
        <v>8175</v>
      </c>
      <c r="S107" s="391"/>
      <c r="T107" s="391"/>
      <c r="W107" s="228">
        <f t="shared" si="8"/>
        <v>15504.509999999998</v>
      </c>
      <c r="X107" s="243">
        <f t="shared" si="12"/>
        <v>775.22550000000001</v>
      </c>
      <c r="Y107" s="246" cm="1">
        <f t="array" ref="Y107" xml:space="preserve"> W107 * _xlfn.XLOOKUP(C107, {"MELI";"WEB";"IG";"OTRO"}, $AS$3:$AS$6)</f>
        <v>155.04509999999999</v>
      </c>
      <c r="AC107" s="361">
        <f t="shared" si="9"/>
        <v>25</v>
      </c>
      <c r="AD107" s="20">
        <f t="shared" si="13"/>
        <v>0</v>
      </c>
    </row>
    <row r="108" spans="3:30" ht="18.75" customHeight="1" x14ac:dyDescent="0.25">
      <c r="C108" s="20" t="s">
        <v>287</v>
      </c>
      <c r="E108" s="387" t="s">
        <v>430</v>
      </c>
      <c r="H108" s="20" t="s">
        <v>75</v>
      </c>
      <c r="I108" s="388">
        <v>25</v>
      </c>
      <c r="J108" s="204">
        <v>16702.14</v>
      </c>
      <c r="K108" s="255">
        <v>22500</v>
      </c>
      <c r="L108" s="395">
        <v>-3060</v>
      </c>
      <c r="M108" s="395">
        <v>-2300</v>
      </c>
      <c r="N108" s="391">
        <v>-437.86</v>
      </c>
      <c r="O108" s="389">
        <v>6690.99</v>
      </c>
      <c r="P108" s="389">
        <v>-6690.99</v>
      </c>
      <c r="Q108" s="255">
        <f t="shared" si="11"/>
        <v>0</v>
      </c>
      <c r="R108" s="227">
        <f t="shared" si="10"/>
        <v>7350</v>
      </c>
      <c r="S108" s="391"/>
      <c r="T108" s="391"/>
      <c r="W108" s="228">
        <f t="shared" si="8"/>
        <v>9352.14</v>
      </c>
      <c r="X108" s="243">
        <f t="shared" si="12"/>
        <v>467.60699999999997</v>
      </c>
      <c r="Y108" s="246" cm="1">
        <f t="array" ref="Y108" xml:space="preserve"> W108 * _xlfn.XLOOKUP(C108, {"MELI";"WEB";"IG";"OTRO"}, $AS$3:$AS$6)</f>
        <v>93.5214</v>
      </c>
      <c r="AC108" s="361">
        <f t="shared" si="9"/>
        <v>25</v>
      </c>
      <c r="AD108" s="20">
        <f t="shared" si="13"/>
        <v>0</v>
      </c>
    </row>
    <row r="109" spans="3:30" ht="18.75" customHeight="1" x14ac:dyDescent="0.25">
      <c r="C109" s="20" t="s">
        <v>287</v>
      </c>
      <c r="E109" s="387" t="s">
        <v>431</v>
      </c>
      <c r="H109" s="20" t="s">
        <v>75</v>
      </c>
      <c r="I109" s="388">
        <v>50</v>
      </c>
      <c r="J109" s="204">
        <v>33605</v>
      </c>
      <c r="K109" s="255">
        <v>45000</v>
      </c>
      <c r="L109" s="395">
        <v>-6120</v>
      </c>
      <c r="M109" s="395">
        <v>-4600</v>
      </c>
      <c r="N109" s="391">
        <v>-675</v>
      </c>
      <c r="O109" s="389">
        <v>0</v>
      </c>
      <c r="P109" s="389">
        <v>0</v>
      </c>
      <c r="Q109" s="255">
        <f t="shared" si="11"/>
        <v>0</v>
      </c>
      <c r="R109" s="227">
        <f t="shared" si="10"/>
        <v>14700</v>
      </c>
      <c r="S109" s="391"/>
      <c r="T109" s="391"/>
      <c r="W109" s="228">
        <f t="shared" si="8"/>
        <v>18905</v>
      </c>
      <c r="X109" s="243">
        <f t="shared" si="12"/>
        <v>945.25</v>
      </c>
      <c r="Y109" s="246" cm="1">
        <f t="array" ref="Y109" xml:space="preserve"> W109 * _xlfn.XLOOKUP(C109, {"MELI";"WEB";"IG";"OTRO"}, $AS$3:$AS$6)</f>
        <v>189.05</v>
      </c>
      <c r="AC109" s="361">
        <f t="shared" si="9"/>
        <v>50</v>
      </c>
      <c r="AD109" s="20">
        <f t="shared" si="13"/>
        <v>0</v>
      </c>
    </row>
    <row r="110" spans="3:30" ht="18.75" customHeight="1" x14ac:dyDescent="0.35">
      <c r="C110" s="20" t="s">
        <v>287</v>
      </c>
      <c r="W110" s="228">
        <f t="shared" si="8"/>
        <v>0</v>
      </c>
      <c r="X110" s="243">
        <f t="shared" si="12"/>
        <v>0</v>
      </c>
      <c r="Y110" s="246" cm="1">
        <f t="array" ref="Y110" xml:space="preserve"> W110 * _xlfn.XLOOKUP(C110, {"MELI";"WEB";"IG";"OTRO"}, $AS$3:$AS$6)</f>
        <v>0</v>
      </c>
      <c r="AC110" s="361" t="str">
        <f t="shared" si="9"/>
        <v/>
      </c>
      <c r="AD110" s="20">
        <f t="shared" si="13"/>
        <v>0</v>
      </c>
    </row>
    <row r="111" spans="3:30" ht="18.75" customHeight="1" x14ac:dyDescent="0.35">
      <c r="C111" s="20" t="s">
        <v>287</v>
      </c>
      <c r="W111" s="228">
        <f t="shared" si="8"/>
        <v>0</v>
      </c>
      <c r="X111" s="243">
        <f t="shared" si="12"/>
        <v>0</v>
      </c>
      <c r="Y111" s="246" cm="1">
        <f t="array" ref="Y111" xml:space="preserve"> W111 * _xlfn.XLOOKUP(C111, {"MELI";"WEB";"IG";"OTRO"}, $AS$3:$AS$6)</f>
        <v>0</v>
      </c>
      <c r="AC111" s="361" t="str">
        <f t="shared" si="9"/>
        <v/>
      </c>
      <c r="AD111" s="20">
        <f t="shared" si="13"/>
        <v>0</v>
      </c>
    </row>
    <row r="112" spans="3:30" ht="18.75" customHeight="1" x14ac:dyDescent="0.35">
      <c r="C112" s="20" t="s">
        <v>287</v>
      </c>
      <c r="W112" s="228">
        <f t="shared" si="8"/>
        <v>0</v>
      </c>
      <c r="X112" s="243">
        <f t="shared" si="12"/>
        <v>0</v>
      </c>
      <c r="Y112" s="246" cm="1">
        <f t="array" ref="Y112" xml:space="preserve"> W112 * _xlfn.XLOOKUP(C112, {"MELI";"WEB";"IG";"OTRO"}, $AS$3:$AS$6)</f>
        <v>0</v>
      </c>
      <c r="AC112" s="361" t="str">
        <f t="shared" si="9"/>
        <v/>
      </c>
      <c r="AD112" s="20">
        <f t="shared" si="13"/>
        <v>0</v>
      </c>
    </row>
    <row r="113" spans="3:30" ht="18.75" customHeight="1" x14ac:dyDescent="0.35">
      <c r="C113" s="20" t="s">
        <v>287</v>
      </c>
      <c r="W113" s="228">
        <f t="shared" si="8"/>
        <v>0</v>
      </c>
      <c r="X113" s="243">
        <f t="shared" si="12"/>
        <v>0</v>
      </c>
      <c r="Y113" s="246" cm="1">
        <f t="array" ref="Y113" xml:space="preserve"> W113 * _xlfn.XLOOKUP(C113, {"MELI";"WEB";"IG";"OTRO"}, $AS$3:$AS$6)</f>
        <v>0</v>
      </c>
      <c r="AC113" s="361" t="str">
        <f t="shared" si="9"/>
        <v/>
      </c>
      <c r="AD113" s="20">
        <f t="shared" si="13"/>
        <v>0</v>
      </c>
    </row>
    <row r="114" spans="3:30" ht="18.75" customHeight="1" x14ac:dyDescent="0.35">
      <c r="C114" s="20" t="s">
        <v>287</v>
      </c>
      <c r="W114" s="228">
        <f t="shared" si="8"/>
        <v>0</v>
      </c>
      <c r="X114" s="243">
        <f t="shared" si="12"/>
        <v>0</v>
      </c>
      <c r="Y114" s="246" cm="1">
        <f t="array" ref="Y114" xml:space="preserve"> W114 * _xlfn.XLOOKUP(C114, {"MELI";"WEB";"IG";"OTRO"}, $AS$3:$AS$6)</f>
        <v>0</v>
      </c>
      <c r="AC114" s="361" t="str">
        <f t="shared" ref="AC114:AC145" si="14">IF(OR(H114="D6 Classic",H114="D6 Deluxe",H114="D6 Gold"),6*I114,
 IF(OR(H114="D2",H114="D2 moño"),2*I114,
 IF(H114="Cajita de 4",4*I114,
 IF(OR(H114="Mini Recuerdo",H114="Choco Cintas",H114="Choco Suelto"),1*I114,
 IF(H114="Caja 22 Chocos",22*I114,
 IF(H114="Caja 44 Chocos",44*I114,""))))))</f>
        <v/>
      </c>
      <c r="AD114" s="20">
        <f t="shared" si="13"/>
        <v>0</v>
      </c>
    </row>
    <row r="115" spans="3:30" ht="18.75" customHeight="1" x14ac:dyDescent="0.35">
      <c r="C115" s="20" t="s">
        <v>287</v>
      </c>
      <c r="W115" s="228">
        <f t="shared" si="8"/>
        <v>0</v>
      </c>
      <c r="X115" s="243">
        <f t="shared" si="12"/>
        <v>0</v>
      </c>
      <c r="Y115" s="246" cm="1">
        <f t="array" ref="Y115" xml:space="preserve"> W115 * _xlfn.XLOOKUP(C115, {"MELI";"WEB";"IG";"OTRO"}, $AS$3:$AS$6)</f>
        <v>0</v>
      </c>
      <c r="AC115" s="361" t="str">
        <f t="shared" si="14"/>
        <v/>
      </c>
      <c r="AD115" s="20">
        <f t="shared" si="13"/>
        <v>0</v>
      </c>
    </row>
    <row r="116" spans="3:30" ht="18.75" customHeight="1" x14ac:dyDescent="0.35">
      <c r="C116" s="20" t="s">
        <v>287</v>
      </c>
      <c r="W116" s="228">
        <f t="shared" si="8"/>
        <v>0</v>
      </c>
      <c r="X116" s="243">
        <f t="shared" si="12"/>
        <v>0</v>
      </c>
      <c r="Y116" s="246" cm="1">
        <f t="array" ref="Y116" xml:space="preserve"> W116 * _xlfn.XLOOKUP(C116, {"MELI";"WEB";"IG";"OTRO"}, $AS$3:$AS$6)</f>
        <v>0</v>
      </c>
      <c r="AC116" s="361" t="str">
        <f t="shared" si="14"/>
        <v/>
      </c>
      <c r="AD116" s="20">
        <f t="shared" si="13"/>
        <v>0</v>
      </c>
    </row>
    <row r="117" spans="3:30" ht="18.75" customHeight="1" x14ac:dyDescent="0.35">
      <c r="C117" s="20" t="s">
        <v>287</v>
      </c>
      <c r="W117" s="228">
        <f t="shared" si="8"/>
        <v>0</v>
      </c>
      <c r="X117" s="243">
        <f t="shared" si="12"/>
        <v>0</v>
      </c>
      <c r="Y117" s="246" cm="1">
        <f t="array" ref="Y117" xml:space="preserve"> W117 * _xlfn.XLOOKUP(C117, {"MELI";"WEB";"IG";"OTRO"}, $AS$3:$AS$6)</f>
        <v>0</v>
      </c>
      <c r="AC117" s="361" t="str">
        <f t="shared" si="14"/>
        <v/>
      </c>
      <c r="AD117" s="20">
        <f t="shared" si="13"/>
        <v>0</v>
      </c>
    </row>
    <row r="118" spans="3:30" ht="18.75" customHeight="1" x14ac:dyDescent="0.35">
      <c r="C118" s="20" t="s">
        <v>287</v>
      </c>
      <c r="W118" s="228">
        <f t="shared" si="8"/>
        <v>0</v>
      </c>
      <c r="X118" s="243">
        <f t="shared" si="12"/>
        <v>0</v>
      </c>
      <c r="Y118" s="246" cm="1">
        <f t="array" ref="Y118" xml:space="preserve"> W118 * _xlfn.XLOOKUP(C118, {"MELI";"WEB";"IG";"OTRO"}, $AS$3:$AS$6)</f>
        <v>0</v>
      </c>
      <c r="AC118" s="361" t="str">
        <f t="shared" si="14"/>
        <v/>
      </c>
      <c r="AD118" s="20">
        <f t="shared" si="13"/>
        <v>0</v>
      </c>
    </row>
    <row r="119" spans="3:30" ht="18.75" customHeight="1" x14ac:dyDescent="0.35">
      <c r="C119" s="20" t="s">
        <v>287</v>
      </c>
      <c r="W119" s="228">
        <f t="shared" si="8"/>
        <v>0</v>
      </c>
      <c r="X119" s="243">
        <f t="shared" si="12"/>
        <v>0</v>
      </c>
      <c r="Y119" s="246" cm="1">
        <f t="array" ref="Y119" xml:space="preserve"> W119 * _xlfn.XLOOKUP(C119, {"MELI";"WEB";"IG";"OTRO"}, $AS$3:$AS$6)</f>
        <v>0</v>
      </c>
      <c r="AC119" s="361" t="str">
        <f t="shared" si="14"/>
        <v/>
      </c>
      <c r="AD119" s="20">
        <f t="shared" si="13"/>
        <v>0</v>
      </c>
    </row>
    <row r="120" spans="3:30" ht="18.75" customHeight="1" x14ac:dyDescent="0.35">
      <c r="C120" s="20" t="s">
        <v>287</v>
      </c>
      <c r="W120" s="228">
        <f t="shared" si="8"/>
        <v>0</v>
      </c>
      <c r="X120" s="243">
        <f t="shared" si="12"/>
        <v>0</v>
      </c>
      <c r="Y120" s="246" cm="1">
        <f t="array" ref="Y120" xml:space="preserve"> W120 * _xlfn.XLOOKUP(C120, {"MELI";"WEB";"IG";"OTRO"}, $AS$3:$AS$6)</f>
        <v>0</v>
      </c>
      <c r="AC120" s="361" t="str">
        <f t="shared" si="14"/>
        <v/>
      </c>
      <c r="AD120" s="20">
        <f t="shared" si="13"/>
        <v>0</v>
      </c>
    </row>
    <row r="121" spans="3:30" ht="18.75" customHeight="1" x14ac:dyDescent="0.35">
      <c r="C121" s="20" t="s">
        <v>287</v>
      </c>
      <c r="W121" s="228">
        <f t="shared" si="8"/>
        <v>0</v>
      </c>
      <c r="X121" s="243">
        <f t="shared" si="12"/>
        <v>0</v>
      </c>
      <c r="Y121" s="246" cm="1">
        <f t="array" ref="Y121" xml:space="preserve"> W121 * _xlfn.XLOOKUP(C121, {"MELI";"WEB";"IG";"OTRO"}, $AS$3:$AS$6)</f>
        <v>0</v>
      </c>
      <c r="AC121" s="361" t="str">
        <f t="shared" si="14"/>
        <v/>
      </c>
      <c r="AD121" s="20">
        <f t="shared" si="13"/>
        <v>0</v>
      </c>
    </row>
    <row r="122" spans="3:30" ht="18.75" customHeight="1" x14ac:dyDescent="0.35">
      <c r="C122" s="20" t="s">
        <v>287</v>
      </c>
      <c r="W122" s="228">
        <f t="shared" si="8"/>
        <v>0</v>
      </c>
      <c r="X122" s="243">
        <f t="shared" si="12"/>
        <v>0</v>
      </c>
      <c r="Y122" s="246" cm="1">
        <f t="array" ref="Y122" xml:space="preserve"> W122 * _xlfn.XLOOKUP(C122, {"MELI";"WEB";"IG";"OTRO"}, $AS$3:$AS$6)</f>
        <v>0</v>
      </c>
      <c r="AC122" s="361" t="str">
        <f t="shared" si="14"/>
        <v/>
      </c>
      <c r="AD122" s="20">
        <f t="shared" si="13"/>
        <v>0</v>
      </c>
    </row>
    <row r="123" spans="3:30" ht="18.75" customHeight="1" x14ac:dyDescent="0.35">
      <c r="C123" s="20" t="s">
        <v>287</v>
      </c>
      <c r="W123" s="228">
        <f t="shared" si="8"/>
        <v>0</v>
      </c>
      <c r="X123" s="243">
        <f t="shared" si="12"/>
        <v>0</v>
      </c>
      <c r="Y123" s="246" cm="1">
        <f t="array" ref="Y123" xml:space="preserve"> W123 * _xlfn.XLOOKUP(C123, {"MELI";"WEB";"IG";"OTRO"}, $AS$3:$AS$6)</f>
        <v>0</v>
      </c>
      <c r="AC123" s="361" t="str">
        <f t="shared" si="14"/>
        <v/>
      </c>
      <c r="AD123" s="20">
        <f t="shared" si="13"/>
        <v>0</v>
      </c>
    </row>
    <row r="124" spans="3:30" ht="18.75" customHeight="1" x14ac:dyDescent="0.35">
      <c r="C124" s="20" t="s">
        <v>287</v>
      </c>
      <c r="W124" s="228">
        <f t="shared" si="8"/>
        <v>0</v>
      </c>
      <c r="X124" s="243">
        <f t="shared" si="12"/>
        <v>0</v>
      </c>
      <c r="Y124" s="246" cm="1">
        <f t="array" ref="Y124" xml:space="preserve"> W124 * _xlfn.XLOOKUP(C124, {"MELI";"WEB";"IG";"OTRO"}, $AS$3:$AS$6)</f>
        <v>0</v>
      </c>
      <c r="AC124" s="361" t="str">
        <f t="shared" si="14"/>
        <v/>
      </c>
      <c r="AD124" s="20">
        <f t="shared" si="13"/>
        <v>0</v>
      </c>
    </row>
    <row r="125" spans="3:30" ht="18.75" customHeight="1" x14ac:dyDescent="0.35">
      <c r="C125" s="20" t="s">
        <v>287</v>
      </c>
      <c r="W125" s="228">
        <f t="shared" si="8"/>
        <v>0</v>
      </c>
      <c r="X125" s="243">
        <f t="shared" si="12"/>
        <v>0</v>
      </c>
      <c r="Y125" s="246" cm="1">
        <f t="array" ref="Y125" xml:space="preserve"> W125 * _xlfn.XLOOKUP(C125, {"MELI";"WEB";"IG";"OTRO"}, $AS$3:$AS$6)</f>
        <v>0</v>
      </c>
      <c r="AC125" s="361" t="str">
        <f t="shared" si="14"/>
        <v/>
      </c>
      <c r="AD125" s="20">
        <f t="shared" si="13"/>
        <v>0</v>
      </c>
    </row>
    <row r="126" spans="3:30" ht="18.75" customHeight="1" x14ac:dyDescent="0.35">
      <c r="C126" s="20" t="s">
        <v>287</v>
      </c>
      <c r="W126" s="228">
        <f t="shared" si="8"/>
        <v>0</v>
      </c>
      <c r="X126" s="243">
        <f t="shared" si="12"/>
        <v>0</v>
      </c>
      <c r="Y126" s="246" cm="1">
        <f t="array" ref="Y126" xml:space="preserve"> W126 * _xlfn.XLOOKUP(C126, {"MELI";"WEB";"IG";"OTRO"}, $AS$3:$AS$6)</f>
        <v>0</v>
      </c>
      <c r="AC126" s="361" t="str">
        <f t="shared" si="14"/>
        <v/>
      </c>
      <c r="AD126" s="20">
        <f t="shared" si="13"/>
        <v>0</v>
      </c>
    </row>
    <row r="127" spans="3:30" ht="18.75" customHeight="1" x14ac:dyDescent="0.35">
      <c r="C127" s="20" t="s">
        <v>287</v>
      </c>
      <c r="W127" s="228">
        <f t="shared" si="8"/>
        <v>0</v>
      </c>
      <c r="X127" s="243">
        <f t="shared" si="12"/>
        <v>0</v>
      </c>
      <c r="Y127" s="246" cm="1">
        <f t="array" ref="Y127" xml:space="preserve"> W127 * _xlfn.XLOOKUP(C127, {"MELI";"WEB";"IG";"OTRO"}, $AS$3:$AS$6)</f>
        <v>0</v>
      </c>
      <c r="AC127" s="361" t="str">
        <f t="shared" si="14"/>
        <v/>
      </c>
      <c r="AD127" s="20">
        <f t="shared" ref="AD127:AD158" si="15">IF(D127="Falta", AC127, 0)</f>
        <v>0</v>
      </c>
    </row>
    <row r="128" spans="3:30" ht="18.75" customHeight="1" x14ac:dyDescent="0.35">
      <c r="C128" s="20" t="s">
        <v>287</v>
      </c>
      <c r="W128" s="228">
        <f t="shared" si="8"/>
        <v>0</v>
      </c>
      <c r="X128" s="243">
        <f t="shared" si="12"/>
        <v>0</v>
      </c>
      <c r="Y128" s="246" cm="1">
        <f t="array" ref="Y128" xml:space="preserve"> W128 * _xlfn.XLOOKUP(C128, {"MELI";"WEB";"IG";"OTRO"}, $AS$3:$AS$6)</f>
        <v>0</v>
      </c>
      <c r="AC128" s="361" t="str">
        <f t="shared" si="14"/>
        <v/>
      </c>
      <c r="AD128" s="20">
        <f t="shared" si="15"/>
        <v>0</v>
      </c>
    </row>
    <row r="129" spans="3:30" ht="18.75" customHeight="1" x14ac:dyDescent="0.35">
      <c r="C129" s="20" t="s">
        <v>287</v>
      </c>
      <c r="W129" s="228">
        <f t="shared" si="8"/>
        <v>0</v>
      </c>
      <c r="X129" s="243">
        <f t="shared" si="12"/>
        <v>0</v>
      </c>
      <c r="Y129" s="246" cm="1">
        <f t="array" ref="Y129" xml:space="preserve"> W129 * _xlfn.XLOOKUP(C129, {"MELI";"WEB";"IG";"OTRO"}, $AS$3:$AS$6)</f>
        <v>0</v>
      </c>
      <c r="AC129" s="361" t="str">
        <f t="shared" si="14"/>
        <v/>
      </c>
      <c r="AD129" s="20">
        <f t="shared" si="15"/>
        <v>0</v>
      </c>
    </row>
    <row r="130" spans="3:30" ht="18.75" customHeight="1" x14ac:dyDescent="0.35">
      <c r="C130" s="20" t="s">
        <v>287</v>
      </c>
      <c r="W130" s="228">
        <f t="shared" si="8"/>
        <v>0</v>
      </c>
      <c r="X130" s="243">
        <f t="shared" si="12"/>
        <v>0</v>
      </c>
      <c r="Y130" s="246" cm="1">
        <f t="array" ref="Y130" xml:space="preserve"> W130 * _xlfn.XLOOKUP(C130, {"MELI";"WEB";"IG";"OTRO"}, $AS$3:$AS$6)</f>
        <v>0</v>
      </c>
      <c r="AC130" s="361" t="str">
        <f t="shared" si="14"/>
        <v/>
      </c>
      <c r="AD130" s="20">
        <f t="shared" si="15"/>
        <v>0</v>
      </c>
    </row>
    <row r="131" spans="3:30" ht="18.75" customHeight="1" x14ac:dyDescent="0.35">
      <c r="C131" s="20" t="s">
        <v>287</v>
      </c>
      <c r="W131" s="228">
        <f t="shared" si="8"/>
        <v>0</v>
      </c>
      <c r="X131" s="243">
        <f t="shared" si="12"/>
        <v>0</v>
      </c>
      <c r="Y131" s="246" cm="1">
        <f t="array" ref="Y131" xml:space="preserve"> W131 * _xlfn.XLOOKUP(C131, {"MELI";"WEB";"IG";"OTRO"}, $AS$3:$AS$6)</f>
        <v>0</v>
      </c>
      <c r="AC131" s="361" t="str">
        <f t="shared" si="14"/>
        <v/>
      </c>
      <c r="AD131" s="20">
        <f t="shared" si="15"/>
        <v>0</v>
      </c>
    </row>
    <row r="132" spans="3:30" ht="18.75" customHeight="1" x14ac:dyDescent="0.35">
      <c r="C132" s="20" t="s">
        <v>287</v>
      </c>
      <c r="W132" s="228">
        <f t="shared" si="8"/>
        <v>0</v>
      </c>
      <c r="X132" s="243">
        <f t="shared" si="12"/>
        <v>0</v>
      </c>
      <c r="Y132" s="246" cm="1">
        <f t="array" ref="Y132" xml:space="preserve"> W132 * _xlfn.XLOOKUP(C132, {"MELI";"WEB";"IG";"OTRO"}, $AS$3:$AS$6)</f>
        <v>0</v>
      </c>
      <c r="AC132" s="361" t="str">
        <f t="shared" si="14"/>
        <v/>
      </c>
      <c r="AD132" s="20">
        <f t="shared" si="15"/>
        <v>0</v>
      </c>
    </row>
    <row r="133" spans="3:30" ht="18.75" customHeight="1" x14ac:dyDescent="0.35">
      <c r="C133" s="20" t="s">
        <v>287</v>
      </c>
      <c r="W133" s="228">
        <f t="shared" si="8"/>
        <v>0</v>
      </c>
      <c r="X133" s="243">
        <f t="shared" si="12"/>
        <v>0</v>
      </c>
      <c r="Y133" s="246" cm="1">
        <f t="array" ref="Y133" xml:space="preserve"> W133 * _xlfn.XLOOKUP(C133, {"MELI";"WEB";"IG";"OTRO"}, $AS$3:$AS$6)</f>
        <v>0</v>
      </c>
      <c r="AC133" s="361" t="str">
        <f t="shared" si="14"/>
        <v/>
      </c>
      <c r="AD133" s="20">
        <f t="shared" si="15"/>
        <v>0</v>
      </c>
    </row>
    <row r="134" spans="3:30" ht="18.75" customHeight="1" x14ac:dyDescent="0.35">
      <c r="C134" s="20" t="s">
        <v>287</v>
      </c>
      <c r="W134" s="228">
        <f t="shared" si="8"/>
        <v>0</v>
      </c>
      <c r="X134" s="243">
        <f t="shared" si="12"/>
        <v>0</v>
      </c>
      <c r="Y134" s="246" cm="1">
        <f t="array" ref="Y134" xml:space="preserve"> W134 * _xlfn.XLOOKUP(C134, {"MELI";"WEB";"IG";"OTRO"}, $AS$3:$AS$6)</f>
        <v>0</v>
      </c>
      <c r="AC134" s="361" t="str">
        <f t="shared" si="14"/>
        <v/>
      </c>
      <c r="AD134" s="20">
        <f t="shared" si="15"/>
        <v>0</v>
      </c>
    </row>
    <row r="135" spans="3:30" ht="18.75" customHeight="1" x14ac:dyDescent="0.35">
      <c r="C135" s="20" t="s">
        <v>287</v>
      </c>
      <c r="W135" s="228">
        <f t="shared" si="8"/>
        <v>0</v>
      </c>
      <c r="X135" s="243">
        <f t="shared" si="12"/>
        <v>0</v>
      </c>
      <c r="Y135" s="246" cm="1">
        <f t="array" ref="Y135" xml:space="preserve"> W135 * _xlfn.XLOOKUP(C135, {"MELI";"WEB";"IG";"OTRO"}, $AS$3:$AS$6)</f>
        <v>0</v>
      </c>
      <c r="AC135" s="361" t="str">
        <f t="shared" si="14"/>
        <v/>
      </c>
      <c r="AD135" s="20">
        <f t="shared" si="15"/>
        <v>0</v>
      </c>
    </row>
    <row r="136" spans="3:30" ht="18.75" customHeight="1" x14ac:dyDescent="0.35">
      <c r="C136" s="20" t="s">
        <v>287</v>
      </c>
      <c r="W136" s="228">
        <f t="shared" si="8"/>
        <v>0</v>
      </c>
      <c r="Y136" s="246" cm="1">
        <f t="array" ref="Y136" xml:space="preserve"> W136 * _xlfn.XLOOKUP(C136, {"MELI";"WEB";"IG";"OTRO"}, $AS$3:$AS$6)</f>
        <v>0</v>
      </c>
      <c r="AC136" s="361" t="str">
        <f t="shared" si="14"/>
        <v/>
      </c>
      <c r="AD136" s="20">
        <f t="shared" si="15"/>
        <v>0</v>
      </c>
    </row>
    <row r="137" spans="3:30" ht="18.75" customHeight="1" x14ac:dyDescent="0.35">
      <c r="C137" s="20" t="s">
        <v>287</v>
      </c>
      <c r="W137" s="228">
        <f t="shared" si="8"/>
        <v>0</v>
      </c>
      <c r="Y137" s="246" cm="1">
        <f t="array" ref="Y137" xml:space="preserve"> W137 * _xlfn.XLOOKUP(C137, {"MELI";"WEB";"IG";"OTRO"}, $AS$3:$AS$6)</f>
        <v>0</v>
      </c>
      <c r="AC137" s="361" t="str">
        <f t="shared" si="14"/>
        <v/>
      </c>
      <c r="AD137" s="20">
        <f t="shared" si="15"/>
        <v>0</v>
      </c>
    </row>
    <row r="138" spans="3:30" ht="18.75" customHeight="1" x14ac:dyDescent="0.35">
      <c r="C138" s="20" t="s">
        <v>287</v>
      </c>
      <c r="W138" s="228">
        <f t="shared" si="8"/>
        <v>0</v>
      </c>
      <c r="Y138" s="246" cm="1">
        <f t="array" ref="Y138" xml:space="preserve"> W138 * _xlfn.XLOOKUP(C138, {"MELI";"WEB";"IG";"OTRO"}, $AS$3:$AS$6)</f>
        <v>0</v>
      </c>
      <c r="AC138" s="361" t="str">
        <f t="shared" si="14"/>
        <v/>
      </c>
      <c r="AD138" s="20">
        <f t="shared" si="15"/>
        <v>0</v>
      </c>
    </row>
    <row r="139" spans="3:30" ht="18.75" customHeight="1" x14ac:dyDescent="0.35">
      <c r="C139" s="20" t="s">
        <v>287</v>
      </c>
      <c r="W139" s="228">
        <f t="shared" si="8"/>
        <v>0</v>
      </c>
      <c r="Y139" s="246" cm="1">
        <f t="array" ref="Y139" xml:space="preserve"> W139 * _xlfn.XLOOKUP(C139, {"MELI";"WEB";"IG";"OTRO"}, $AS$3:$AS$6)</f>
        <v>0</v>
      </c>
      <c r="AC139" s="361" t="str">
        <f t="shared" si="14"/>
        <v/>
      </c>
      <c r="AD139" s="20">
        <f t="shared" si="15"/>
        <v>0</v>
      </c>
    </row>
    <row r="140" spans="3:30" ht="18.75" customHeight="1" x14ac:dyDescent="0.35">
      <c r="C140" s="20" t="s">
        <v>287</v>
      </c>
      <c r="W140" s="228">
        <f t="shared" si="8"/>
        <v>0</v>
      </c>
      <c r="Y140" s="246" cm="1">
        <f t="array" ref="Y140" xml:space="preserve"> W140 * _xlfn.XLOOKUP(C140, {"MELI";"WEB";"IG";"OTRO"}, $AS$3:$AS$6)</f>
        <v>0</v>
      </c>
      <c r="AC140" s="361" t="str">
        <f t="shared" si="14"/>
        <v/>
      </c>
      <c r="AD140" s="20">
        <f t="shared" si="15"/>
        <v>0</v>
      </c>
    </row>
    <row r="141" spans="3:30" ht="18.75" customHeight="1" x14ac:dyDescent="0.35">
      <c r="C141" s="20" t="s">
        <v>287</v>
      </c>
      <c r="W141" s="228">
        <f t="shared" si="8"/>
        <v>0</v>
      </c>
      <c r="Y141" s="246" cm="1">
        <f t="array" ref="Y141" xml:space="preserve"> W141 * _xlfn.XLOOKUP(C141, {"MELI";"WEB";"IG";"OTRO"}, $AS$3:$AS$6)</f>
        <v>0</v>
      </c>
      <c r="AC141" s="361" t="str">
        <f t="shared" si="14"/>
        <v/>
      </c>
      <c r="AD141" s="20">
        <f t="shared" si="15"/>
        <v>0</v>
      </c>
    </row>
    <row r="142" spans="3:30" ht="18.75" customHeight="1" x14ac:dyDescent="0.35">
      <c r="C142" s="20" t="s">
        <v>287</v>
      </c>
      <c r="W142" s="228">
        <f t="shared" si="8"/>
        <v>0</v>
      </c>
      <c r="Y142" s="246" cm="1">
        <f t="array" ref="Y142" xml:space="preserve"> W142 * _xlfn.XLOOKUP(C142, {"MELI";"WEB";"IG";"OTRO"}, $AS$3:$AS$6)</f>
        <v>0</v>
      </c>
      <c r="AC142" s="361" t="str">
        <f t="shared" si="14"/>
        <v/>
      </c>
      <c r="AD142" s="20">
        <f t="shared" si="15"/>
        <v>0</v>
      </c>
    </row>
    <row r="143" spans="3:30" ht="18.75" customHeight="1" x14ac:dyDescent="0.35">
      <c r="C143" s="20" t="s">
        <v>287</v>
      </c>
      <c r="W143" s="228">
        <f t="shared" si="8"/>
        <v>0</v>
      </c>
      <c r="Y143" s="246" cm="1">
        <f t="array" ref="Y143" xml:space="preserve"> W143 * _xlfn.XLOOKUP(C143, {"MELI";"WEB";"IG";"OTRO"}, $AS$3:$AS$6)</f>
        <v>0</v>
      </c>
      <c r="AC143" s="361" t="str">
        <f t="shared" si="14"/>
        <v/>
      </c>
      <c r="AD143" s="20">
        <f t="shared" si="15"/>
        <v>0</v>
      </c>
    </row>
    <row r="144" spans="3:30" ht="18.75" customHeight="1" x14ac:dyDescent="0.35">
      <c r="C144" s="20" t="s">
        <v>287</v>
      </c>
      <c r="W144" s="228">
        <f t="shared" si="8"/>
        <v>0</v>
      </c>
      <c r="Y144" s="246" cm="1">
        <f t="array" ref="Y144" xml:space="preserve"> W144 * _xlfn.XLOOKUP(C144, {"MELI";"WEB";"IG";"OTRO"}, $AS$3:$AS$6)</f>
        <v>0</v>
      </c>
      <c r="AC144" s="361" t="str">
        <f t="shared" si="14"/>
        <v/>
      </c>
      <c r="AD144" s="20">
        <f t="shared" si="15"/>
        <v>0</v>
      </c>
    </row>
    <row r="145" spans="3:30" ht="18.75" customHeight="1" x14ac:dyDescent="0.35">
      <c r="C145" s="20" t="s">
        <v>287</v>
      </c>
      <c r="W145" s="228">
        <f t="shared" si="8"/>
        <v>0</v>
      </c>
      <c r="Y145" s="246" cm="1">
        <f t="array" ref="Y145" xml:space="preserve"> W145 * _xlfn.XLOOKUP(C145, {"MELI";"WEB";"IG";"OTRO"}, $AS$3:$AS$6)</f>
        <v>0</v>
      </c>
      <c r="AC145" s="361" t="str">
        <f t="shared" si="14"/>
        <v/>
      </c>
      <c r="AD145" s="20">
        <f t="shared" si="15"/>
        <v>0</v>
      </c>
    </row>
    <row r="146" spans="3:30" ht="18.75" customHeight="1" x14ac:dyDescent="0.35">
      <c r="C146" s="20" t="s">
        <v>287</v>
      </c>
      <c r="W146" s="228">
        <f t="shared" ref="W146:W209" si="16">J146-S146-T146-U146-V146-R146</f>
        <v>0</v>
      </c>
      <c r="Y146" s="246" cm="1">
        <f t="array" ref="Y146" xml:space="preserve"> W146 * _xlfn.XLOOKUP(C146, {"MELI";"WEB";"IG";"OTRO"}, $AS$3:$AS$6)</f>
        <v>0</v>
      </c>
      <c r="AC146" s="361" t="str">
        <f t="shared" ref="AC146:AC177" si="17">IF(OR(H146="D6 Classic",H146="D6 Deluxe",H146="D6 Gold"),6*I146,
 IF(OR(H146="D2",H146="D2 moño"),2*I146,
 IF(H146="Cajita de 4",4*I146,
 IF(OR(H146="Mini Recuerdo",H146="Choco Cintas",H146="Choco Suelto"),1*I146,
 IF(H146="Caja 22 Chocos",22*I146,
 IF(H146="Caja 44 Chocos",44*I146,""))))))</f>
        <v/>
      </c>
      <c r="AD146" s="20">
        <f t="shared" si="15"/>
        <v>0</v>
      </c>
    </row>
    <row r="147" spans="3:30" ht="18.75" customHeight="1" x14ac:dyDescent="0.35">
      <c r="C147" s="20" t="s">
        <v>287</v>
      </c>
      <c r="W147" s="228">
        <f t="shared" si="16"/>
        <v>0</v>
      </c>
      <c r="Y147" s="246" cm="1">
        <f t="array" ref="Y147" xml:space="preserve"> W147 * _xlfn.XLOOKUP(C147, {"MELI";"WEB";"IG";"OTRO"}, $AS$3:$AS$6)</f>
        <v>0</v>
      </c>
      <c r="AC147" s="361" t="str">
        <f t="shared" si="17"/>
        <v/>
      </c>
      <c r="AD147" s="20">
        <f t="shared" si="15"/>
        <v>0</v>
      </c>
    </row>
    <row r="148" spans="3:30" ht="18.75" customHeight="1" x14ac:dyDescent="0.35">
      <c r="C148" s="20" t="s">
        <v>287</v>
      </c>
      <c r="W148" s="228">
        <f t="shared" si="16"/>
        <v>0</v>
      </c>
      <c r="Y148" s="246" cm="1">
        <f t="array" ref="Y148" xml:space="preserve"> W148 * _xlfn.XLOOKUP(C148, {"MELI";"WEB";"IG";"OTRO"}, $AS$3:$AS$6)</f>
        <v>0</v>
      </c>
      <c r="AC148" s="361" t="str">
        <f t="shared" si="17"/>
        <v/>
      </c>
      <c r="AD148" s="20">
        <f t="shared" si="15"/>
        <v>0</v>
      </c>
    </row>
    <row r="149" spans="3:30" ht="18.75" customHeight="1" x14ac:dyDescent="0.35">
      <c r="C149" s="20" t="s">
        <v>287</v>
      </c>
      <c r="W149" s="228">
        <f t="shared" si="16"/>
        <v>0</v>
      </c>
      <c r="Y149" s="246" cm="1">
        <f t="array" ref="Y149" xml:space="preserve"> W149 * _xlfn.XLOOKUP(C149, {"MELI";"WEB";"IG";"OTRO"}, $AS$3:$AS$6)</f>
        <v>0</v>
      </c>
      <c r="AC149" s="361" t="str">
        <f t="shared" si="17"/>
        <v/>
      </c>
      <c r="AD149" s="20">
        <f t="shared" si="15"/>
        <v>0</v>
      </c>
    </row>
    <row r="150" spans="3:30" ht="18.75" customHeight="1" x14ac:dyDescent="0.35">
      <c r="C150" s="20" t="s">
        <v>287</v>
      </c>
      <c r="W150" s="228">
        <f t="shared" si="16"/>
        <v>0</v>
      </c>
      <c r="Y150" s="246" cm="1">
        <f t="array" ref="Y150" xml:space="preserve"> W150 * _xlfn.XLOOKUP(C150, {"MELI";"WEB";"IG";"OTRO"}, $AS$3:$AS$6)</f>
        <v>0</v>
      </c>
      <c r="AC150" s="361" t="str">
        <f t="shared" si="17"/>
        <v/>
      </c>
      <c r="AD150" s="20">
        <f t="shared" si="15"/>
        <v>0</v>
      </c>
    </row>
    <row r="151" spans="3:30" ht="18.75" customHeight="1" x14ac:dyDescent="0.35">
      <c r="C151" s="20" t="s">
        <v>287</v>
      </c>
      <c r="W151" s="228">
        <f t="shared" si="16"/>
        <v>0</v>
      </c>
      <c r="Y151" s="246" cm="1">
        <f t="array" ref="Y151" xml:space="preserve"> W151 * _xlfn.XLOOKUP(C151, {"MELI";"WEB";"IG";"OTRO"}, $AS$3:$AS$6)</f>
        <v>0</v>
      </c>
      <c r="AC151" s="361" t="str">
        <f t="shared" si="17"/>
        <v/>
      </c>
      <c r="AD151" s="20">
        <f t="shared" si="15"/>
        <v>0</v>
      </c>
    </row>
    <row r="152" spans="3:30" ht="18.75" customHeight="1" x14ac:dyDescent="0.35">
      <c r="C152" s="20" t="s">
        <v>287</v>
      </c>
      <c r="W152" s="228">
        <f t="shared" si="16"/>
        <v>0</v>
      </c>
      <c r="Y152" s="246" cm="1">
        <f t="array" ref="Y152" xml:space="preserve"> W152 * _xlfn.XLOOKUP(C152, {"MELI";"WEB";"IG";"OTRO"}, $AS$3:$AS$6)</f>
        <v>0</v>
      </c>
      <c r="AC152" s="361" t="str">
        <f t="shared" si="17"/>
        <v/>
      </c>
      <c r="AD152" s="20">
        <f t="shared" si="15"/>
        <v>0</v>
      </c>
    </row>
    <row r="153" spans="3:30" ht="18.75" customHeight="1" x14ac:dyDescent="0.35">
      <c r="C153" s="20" t="s">
        <v>287</v>
      </c>
      <c r="W153" s="228">
        <f t="shared" si="16"/>
        <v>0</v>
      </c>
      <c r="Y153" s="246" cm="1">
        <f t="array" ref="Y153" xml:space="preserve"> W153 * _xlfn.XLOOKUP(C153, {"MELI";"WEB";"IG";"OTRO"}, $AS$3:$AS$6)</f>
        <v>0</v>
      </c>
      <c r="AC153" s="361" t="str">
        <f t="shared" si="17"/>
        <v/>
      </c>
      <c r="AD153" s="20">
        <f t="shared" si="15"/>
        <v>0</v>
      </c>
    </row>
    <row r="154" spans="3:30" ht="18.75" customHeight="1" x14ac:dyDescent="0.35">
      <c r="C154" s="20" t="s">
        <v>287</v>
      </c>
      <c r="W154" s="228">
        <f t="shared" si="16"/>
        <v>0</v>
      </c>
      <c r="Y154" s="246" cm="1">
        <f t="array" ref="Y154" xml:space="preserve"> W154 * _xlfn.XLOOKUP(C154, {"MELI";"WEB";"IG";"OTRO"}, $AS$3:$AS$6)</f>
        <v>0</v>
      </c>
      <c r="AC154" s="361" t="str">
        <f t="shared" si="17"/>
        <v/>
      </c>
      <c r="AD154" s="20">
        <f t="shared" si="15"/>
        <v>0</v>
      </c>
    </row>
    <row r="155" spans="3:30" ht="18.75" customHeight="1" x14ac:dyDescent="0.35">
      <c r="C155" s="20" t="s">
        <v>287</v>
      </c>
      <c r="W155" s="228">
        <f t="shared" si="16"/>
        <v>0</v>
      </c>
      <c r="Y155" s="246" cm="1">
        <f t="array" ref="Y155" xml:space="preserve"> W155 * _xlfn.XLOOKUP(C155, {"MELI";"WEB";"IG";"OTRO"}, $AS$3:$AS$6)</f>
        <v>0</v>
      </c>
      <c r="AC155" s="361" t="str">
        <f t="shared" si="17"/>
        <v/>
      </c>
      <c r="AD155" s="20">
        <f t="shared" si="15"/>
        <v>0</v>
      </c>
    </row>
    <row r="156" spans="3:30" ht="18.75" customHeight="1" x14ac:dyDescent="0.35">
      <c r="C156" s="20" t="s">
        <v>287</v>
      </c>
      <c r="W156" s="228">
        <f t="shared" si="16"/>
        <v>0</v>
      </c>
      <c r="Y156" s="246" cm="1">
        <f t="array" ref="Y156" xml:space="preserve"> W156 * _xlfn.XLOOKUP(C156, {"MELI";"WEB";"IG";"OTRO"}, $AS$3:$AS$6)</f>
        <v>0</v>
      </c>
      <c r="AC156" s="361" t="str">
        <f t="shared" si="17"/>
        <v/>
      </c>
      <c r="AD156" s="20">
        <f t="shared" si="15"/>
        <v>0</v>
      </c>
    </row>
    <row r="157" spans="3:30" ht="18.75" customHeight="1" x14ac:dyDescent="0.35">
      <c r="C157" s="20" t="s">
        <v>287</v>
      </c>
      <c r="W157" s="228">
        <f t="shared" si="16"/>
        <v>0</v>
      </c>
      <c r="Y157" s="246" cm="1">
        <f t="array" ref="Y157" xml:space="preserve"> W157 * _xlfn.XLOOKUP(C157, {"MELI";"WEB";"IG";"OTRO"}, $AS$3:$AS$6)</f>
        <v>0</v>
      </c>
      <c r="AC157" s="361" t="str">
        <f t="shared" si="17"/>
        <v/>
      </c>
      <c r="AD157" s="20">
        <f t="shared" si="15"/>
        <v>0</v>
      </c>
    </row>
    <row r="158" spans="3:30" ht="18.75" customHeight="1" x14ac:dyDescent="0.35">
      <c r="C158" s="20" t="s">
        <v>287</v>
      </c>
      <c r="W158" s="228">
        <f t="shared" si="16"/>
        <v>0</v>
      </c>
      <c r="Y158" s="246" cm="1">
        <f t="array" ref="Y158" xml:space="preserve"> W158 * _xlfn.XLOOKUP(C158, {"MELI";"WEB";"IG";"OTRO"}, $AS$3:$AS$6)</f>
        <v>0</v>
      </c>
      <c r="AC158" s="361" t="str">
        <f t="shared" si="17"/>
        <v/>
      </c>
      <c r="AD158" s="20">
        <f t="shared" si="15"/>
        <v>0</v>
      </c>
    </row>
    <row r="159" spans="3:30" ht="18.75" customHeight="1" x14ac:dyDescent="0.35">
      <c r="C159" s="20" t="s">
        <v>287</v>
      </c>
      <c r="W159" s="228">
        <f t="shared" si="16"/>
        <v>0</v>
      </c>
      <c r="Y159" s="246" cm="1">
        <f t="array" ref="Y159" xml:space="preserve"> W159 * _xlfn.XLOOKUP(C159, {"MELI";"WEB";"IG";"OTRO"}, $AS$3:$AS$6)</f>
        <v>0</v>
      </c>
      <c r="AC159" s="361" t="str">
        <f t="shared" si="17"/>
        <v/>
      </c>
      <c r="AD159" s="20">
        <f t="shared" ref="AD159:AD190" si="18">IF(D159="Falta", AC159, 0)</f>
        <v>0</v>
      </c>
    </row>
    <row r="160" spans="3:30" ht="18.75" customHeight="1" x14ac:dyDescent="0.35">
      <c r="C160" s="20" t="s">
        <v>287</v>
      </c>
      <c r="W160" s="228">
        <f t="shared" si="16"/>
        <v>0</v>
      </c>
      <c r="Y160" s="246" cm="1">
        <f t="array" ref="Y160" xml:space="preserve"> W160 * _xlfn.XLOOKUP(C160, {"MELI";"WEB";"IG";"OTRO"}, $AS$3:$AS$6)</f>
        <v>0</v>
      </c>
      <c r="AC160" s="361" t="str">
        <f t="shared" si="17"/>
        <v/>
      </c>
      <c r="AD160" s="20">
        <f t="shared" si="18"/>
        <v>0</v>
      </c>
    </row>
    <row r="161" spans="3:30" ht="18.75" customHeight="1" x14ac:dyDescent="0.35">
      <c r="C161" s="20" t="s">
        <v>287</v>
      </c>
      <c r="W161" s="228">
        <f t="shared" si="16"/>
        <v>0</v>
      </c>
      <c r="Y161" s="246" cm="1">
        <f t="array" ref="Y161" xml:space="preserve"> W161 * _xlfn.XLOOKUP(C161, {"MELI";"WEB";"IG";"OTRO"}, $AS$3:$AS$6)</f>
        <v>0</v>
      </c>
      <c r="AC161" s="361" t="str">
        <f t="shared" si="17"/>
        <v/>
      </c>
      <c r="AD161" s="20">
        <f t="shared" si="18"/>
        <v>0</v>
      </c>
    </row>
    <row r="162" spans="3:30" ht="18.75" customHeight="1" x14ac:dyDescent="0.35">
      <c r="C162" s="20" t="s">
        <v>287</v>
      </c>
      <c r="W162" s="228">
        <f t="shared" si="16"/>
        <v>0</v>
      </c>
      <c r="Y162" s="246" cm="1">
        <f t="array" ref="Y162" xml:space="preserve"> W162 * _xlfn.XLOOKUP(C162, {"MELI";"WEB";"IG";"OTRO"}, $AS$3:$AS$6)</f>
        <v>0</v>
      </c>
      <c r="AC162" s="361" t="str">
        <f t="shared" si="17"/>
        <v/>
      </c>
      <c r="AD162" s="20">
        <f t="shared" si="18"/>
        <v>0</v>
      </c>
    </row>
    <row r="163" spans="3:30" ht="18.75" customHeight="1" x14ac:dyDescent="0.35">
      <c r="C163" s="20" t="s">
        <v>287</v>
      </c>
      <c r="W163" s="228">
        <f t="shared" si="16"/>
        <v>0</v>
      </c>
      <c r="Y163" s="246" cm="1">
        <f t="array" ref="Y163" xml:space="preserve"> W163 * _xlfn.XLOOKUP(C163, {"MELI";"WEB";"IG";"OTRO"}, $AS$3:$AS$6)</f>
        <v>0</v>
      </c>
      <c r="AC163" s="361" t="str">
        <f t="shared" si="17"/>
        <v/>
      </c>
      <c r="AD163" s="20">
        <f t="shared" si="18"/>
        <v>0</v>
      </c>
    </row>
    <row r="164" spans="3:30" ht="18.75" customHeight="1" x14ac:dyDescent="0.35">
      <c r="C164" s="20" t="s">
        <v>287</v>
      </c>
      <c r="W164" s="228">
        <f t="shared" si="16"/>
        <v>0</v>
      </c>
      <c r="Y164" s="246" cm="1">
        <f t="array" ref="Y164" xml:space="preserve"> W164 * _xlfn.XLOOKUP(C164, {"MELI";"WEB";"IG";"OTRO"}, $AS$3:$AS$6)</f>
        <v>0</v>
      </c>
      <c r="AC164" s="361" t="str">
        <f t="shared" si="17"/>
        <v/>
      </c>
      <c r="AD164" s="20">
        <f t="shared" si="18"/>
        <v>0</v>
      </c>
    </row>
    <row r="165" spans="3:30" ht="18.75" customHeight="1" x14ac:dyDescent="0.35">
      <c r="C165" s="20" t="s">
        <v>287</v>
      </c>
      <c r="W165" s="228">
        <f t="shared" si="16"/>
        <v>0</v>
      </c>
      <c r="Y165" s="246" cm="1">
        <f t="array" ref="Y165" xml:space="preserve"> W165 * _xlfn.XLOOKUP(C165, {"MELI";"WEB";"IG";"OTRO"}, $AS$3:$AS$6)</f>
        <v>0</v>
      </c>
      <c r="AC165" s="361" t="str">
        <f t="shared" si="17"/>
        <v/>
      </c>
      <c r="AD165" s="20">
        <f t="shared" si="18"/>
        <v>0</v>
      </c>
    </row>
    <row r="166" spans="3:30" ht="18.75" customHeight="1" x14ac:dyDescent="0.35">
      <c r="C166" s="20" t="s">
        <v>287</v>
      </c>
      <c r="W166" s="228">
        <f t="shared" si="16"/>
        <v>0</v>
      </c>
      <c r="Y166" s="246" cm="1">
        <f t="array" ref="Y166" xml:space="preserve"> W166 * _xlfn.XLOOKUP(C166, {"MELI";"WEB";"IG";"OTRO"}, $AS$3:$AS$6)</f>
        <v>0</v>
      </c>
      <c r="AC166" s="361" t="str">
        <f t="shared" si="17"/>
        <v/>
      </c>
      <c r="AD166" s="20">
        <f t="shared" si="18"/>
        <v>0</v>
      </c>
    </row>
    <row r="167" spans="3:30" ht="18.75" customHeight="1" x14ac:dyDescent="0.35">
      <c r="C167" s="20" t="s">
        <v>287</v>
      </c>
      <c r="W167" s="228">
        <f t="shared" si="16"/>
        <v>0</v>
      </c>
      <c r="Y167" s="246" cm="1">
        <f t="array" ref="Y167" xml:space="preserve"> W167 * _xlfn.XLOOKUP(C167, {"MELI";"WEB";"IG";"OTRO"}, $AS$3:$AS$6)</f>
        <v>0</v>
      </c>
      <c r="AC167" s="361" t="str">
        <f t="shared" si="17"/>
        <v/>
      </c>
      <c r="AD167" s="20">
        <f t="shared" si="18"/>
        <v>0</v>
      </c>
    </row>
    <row r="168" spans="3:30" ht="18.75" customHeight="1" x14ac:dyDescent="0.35">
      <c r="C168" s="20" t="s">
        <v>287</v>
      </c>
      <c r="W168" s="228">
        <f t="shared" si="16"/>
        <v>0</v>
      </c>
      <c r="Y168" s="246" cm="1">
        <f t="array" ref="Y168" xml:space="preserve"> W168 * _xlfn.XLOOKUP(C168, {"MELI";"WEB";"IG";"OTRO"}, $AS$3:$AS$6)</f>
        <v>0</v>
      </c>
      <c r="AC168" s="361" t="str">
        <f t="shared" si="17"/>
        <v/>
      </c>
      <c r="AD168" s="20">
        <f t="shared" si="18"/>
        <v>0</v>
      </c>
    </row>
    <row r="169" spans="3:30" ht="18.75" customHeight="1" x14ac:dyDescent="0.35">
      <c r="C169" s="20" t="s">
        <v>287</v>
      </c>
      <c r="W169" s="228">
        <f t="shared" si="16"/>
        <v>0</v>
      </c>
      <c r="Y169" s="246" cm="1">
        <f t="array" ref="Y169" xml:space="preserve"> W169 * _xlfn.XLOOKUP(C169, {"MELI";"WEB";"IG";"OTRO"}, $AS$3:$AS$6)</f>
        <v>0</v>
      </c>
      <c r="AC169" s="361" t="str">
        <f t="shared" si="17"/>
        <v/>
      </c>
      <c r="AD169" s="20">
        <f t="shared" si="18"/>
        <v>0</v>
      </c>
    </row>
    <row r="170" spans="3:30" ht="18.75" customHeight="1" x14ac:dyDescent="0.35">
      <c r="C170" s="20" t="s">
        <v>287</v>
      </c>
      <c r="W170" s="228">
        <f t="shared" si="16"/>
        <v>0</v>
      </c>
      <c r="Y170" s="246" cm="1">
        <f t="array" ref="Y170" xml:space="preserve"> W170 * _xlfn.XLOOKUP(C170, {"MELI";"WEB";"IG";"OTRO"}, $AS$3:$AS$6)</f>
        <v>0</v>
      </c>
      <c r="AC170" s="361" t="str">
        <f t="shared" si="17"/>
        <v/>
      </c>
      <c r="AD170" s="20">
        <f t="shared" si="18"/>
        <v>0</v>
      </c>
    </row>
    <row r="171" spans="3:30" ht="18.75" customHeight="1" x14ac:dyDescent="0.35">
      <c r="C171" s="20" t="s">
        <v>287</v>
      </c>
      <c r="W171" s="228">
        <f t="shared" si="16"/>
        <v>0</v>
      </c>
      <c r="Y171" s="246" cm="1">
        <f t="array" ref="Y171" xml:space="preserve"> W171 * _xlfn.XLOOKUP(C171, {"MELI";"WEB";"IG";"OTRO"}, $AS$3:$AS$6)</f>
        <v>0</v>
      </c>
      <c r="AC171" s="361" t="str">
        <f t="shared" si="17"/>
        <v/>
      </c>
      <c r="AD171" s="20">
        <f t="shared" si="18"/>
        <v>0</v>
      </c>
    </row>
    <row r="172" spans="3:30" ht="18.75" customHeight="1" x14ac:dyDescent="0.35">
      <c r="C172" s="20" t="s">
        <v>287</v>
      </c>
      <c r="W172" s="228">
        <f t="shared" si="16"/>
        <v>0</v>
      </c>
      <c r="Y172" s="246" cm="1">
        <f t="array" ref="Y172" xml:space="preserve"> W172 * _xlfn.XLOOKUP(C172, {"MELI";"WEB";"IG";"OTRO"}, $AS$3:$AS$6)</f>
        <v>0</v>
      </c>
      <c r="AC172" s="361" t="str">
        <f t="shared" si="17"/>
        <v/>
      </c>
      <c r="AD172" s="20">
        <f t="shared" si="18"/>
        <v>0</v>
      </c>
    </row>
    <row r="173" spans="3:30" ht="18.75" customHeight="1" x14ac:dyDescent="0.35">
      <c r="C173" s="20" t="s">
        <v>287</v>
      </c>
      <c r="W173" s="228">
        <f t="shared" si="16"/>
        <v>0</v>
      </c>
      <c r="Y173" s="246" cm="1">
        <f t="array" ref="Y173" xml:space="preserve"> W173 * _xlfn.XLOOKUP(C173, {"MELI";"WEB";"IG";"OTRO"}, $AS$3:$AS$6)</f>
        <v>0</v>
      </c>
      <c r="AC173" s="361" t="str">
        <f t="shared" si="17"/>
        <v/>
      </c>
      <c r="AD173" s="20">
        <f t="shared" si="18"/>
        <v>0</v>
      </c>
    </row>
    <row r="174" spans="3:30" ht="18.75" customHeight="1" x14ac:dyDescent="0.35">
      <c r="C174" s="20" t="s">
        <v>287</v>
      </c>
      <c r="W174" s="228">
        <f t="shared" si="16"/>
        <v>0</v>
      </c>
      <c r="Y174" s="246" cm="1">
        <f t="array" ref="Y174" xml:space="preserve"> W174 * _xlfn.XLOOKUP(C174, {"MELI";"WEB";"IG";"OTRO"}, $AS$3:$AS$6)</f>
        <v>0</v>
      </c>
      <c r="AC174" s="361" t="str">
        <f t="shared" si="17"/>
        <v/>
      </c>
      <c r="AD174" s="20">
        <f t="shared" si="18"/>
        <v>0</v>
      </c>
    </row>
    <row r="175" spans="3:30" ht="18.75" customHeight="1" x14ac:dyDescent="0.35">
      <c r="C175" s="20" t="s">
        <v>287</v>
      </c>
      <c r="W175" s="228">
        <f t="shared" si="16"/>
        <v>0</v>
      </c>
      <c r="Y175" s="246" cm="1">
        <f t="array" ref="Y175" xml:space="preserve"> W175 * _xlfn.XLOOKUP(C175, {"MELI";"WEB";"IG";"OTRO"}, $AS$3:$AS$6)</f>
        <v>0</v>
      </c>
      <c r="AC175" s="361" t="str">
        <f t="shared" si="17"/>
        <v/>
      </c>
      <c r="AD175" s="20">
        <f t="shared" si="18"/>
        <v>0</v>
      </c>
    </row>
    <row r="176" spans="3:30" ht="18.75" customHeight="1" x14ac:dyDescent="0.35">
      <c r="C176" s="20" t="s">
        <v>287</v>
      </c>
      <c r="W176" s="228">
        <f t="shared" si="16"/>
        <v>0</v>
      </c>
      <c r="Y176" s="246" cm="1">
        <f t="array" ref="Y176" xml:space="preserve"> W176 * _xlfn.XLOOKUP(C176, {"MELI";"WEB";"IG";"OTRO"}, $AS$3:$AS$6)</f>
        <v>0</v>
      </c>
      <c r="AC176" s="361" t="str">
        <f t="shared" si="17"/>
        <v/>
      </c>
      <c r="AD176" s="20">
        <f t="shared" si="18"/>
        <v>0</v>
      </c>
    </row>
    <row r="177" spans="3:30" ht="18.75" customHeight="1" x14ac:dyDescent="0.35">
      <c r="C177" s="20" t="s">
        <v>287</v>
      </c>
      <c r="W177" s="228">
        <f t="shared" si="16"/>
        <v>0</v>
      </c>
      <c r="Y177" s="246" cm="1">
        <f t="array" ref="Y177" xml:space="preserve"> W177 * _xlfn.XLOOKUP(C177, {"MELI";"WEB";"IG";"OTRO"}, $AS$3:$AS$6)</f>
        <v>0</v>
      </c>
      <c r="AC177" s="361" t="str">
        <f t="shared" si="17"/>
        <v/>
      </c>
      <c r="AD177" s="20">
        <f t="shared" si="18"/>
        <v>0</v>
      </c>
    </row>
    <row r="178" spans="3:30" ht="18.75" customHeight="1" x14ac:dyDescent="0.35">
      <c r="C178" s="20" t="s">
        <v>287</v>
      </c>
      <c r="W178" s="228">
        <f t="shared" si="16"/>
        <v>0</v>
      </c>
      <c r="Y178" s="246" cm="1">
        <f t="array" ref="Y178" xml:space="preserve"> W178 * _xlfn.XLOOKUP(C178, {"MELI";"WEB";"IG";"OTRO"}, $AS$3:$AS$6)</f>
        <v>0</v>
      </c>
      <c r="AC178" s="361" t="str">
        <f t="shared" ref="AC178:AC200" si="19">IF(OR(H178="D6 Classic",H178="D6 Deluxe",H178="D6 Gold"),6*I178,
 IF(OR(H178="D2",H178="D2 moño"),2*I178,
 IF(H178="Cajita de 4",4*I178,
 IF(OR(H178="Mini Recuerdo",H178="Choco Cintas",H178="Choco Suelto"),1*I178,
 IF(H178="Caja 22 Chocos",22*I178,
 IF(H178="Caja 44 Chocos",44*I178,""))))))</f>
        <v/>
      </c>
      <c r="AD178" s="20">
        <f t="shared" si="18"/>
        <v>0</v>
      </c>
    </row>
    <row r="179" spans="3:30" ht="18.75" customHeight="1" x14ac:dyDescent="0.35">
      <c r="C179" s="20" t="s">
        <v>287</v>
      </c>
      <c r="W179" s="228">
        <f t="shared" si="16"/>
        <v>0</v>
      </c>
      <c r="Y179" s="246" cm="1">
        <f t="array" ref="Y179" xml:space="preserve"> W179 * _xlfn.XLOOKUP(C179, {"MELI";"WEB";"IG";"OTRO"}, $AS$3:$AS$6)</f>
        <v>0</v>
      </c>
      <c r="AC179" s="361" t="str">
        <f t="shared" si="19"/>
        <v/>
      </c>
      <c r="AD179" s="20">
        <f t="shared" si="18"/>
        <v>0</v>
      </c>
    </row>
    <row r="180" spans="3:30" ht="18.75" customHeight="1" x14ac:dyDescent="0.35">
      <c r="C180" s="20" t="s">
        <v>287</v>
      </c>
      <c r="W180" s="228">
        <f t="shared" si="16"/>
        <v>0</v>
      </c>
      <c r="Y180" s="246" cm="1">
        <f t="array" ref="Y180" xml:space="preserve"> W180 * _xlfn.XLOOKUP(C180, {"MELI";"WEB";"IG";"OTRO"}, $AS$3:$AS$6)</f>
        <v>0</v>
      </c>
      <c r="AC180" s="361" t="str">
        <f t="shared" si="19"/>
        <v/>
      </c>
      <c r="AD180" s="20">
        <f t="shared" si="18"/>
        <v>0</v>
      </c>
    </row>
    <row r="181" spans="3:30" ht="18.75" customHeight="1" x14ac:dyDescent="0.35">
      <c r="C181" s="20" t="s">
        <v>287</v>
      </c>
      <c r="W181" s="228">
        <f t="shared" si="16"/>
        <v>0</v>
      </c>
      <c r="Y181" s="246" cm="1">
        <f t="array" ref="Y181" xml:space="preserve"> W181 * _xlfn.XLOOKUP(C181, {"MELI";"WEB";"IG";"OTRO"}, $AS$3:$AS$6)</f>
        <v>0</v>
      </c>
      <c r="AC181" s="361" t="str">
        <f t="shared" si="19"/>
        <v/>
      </c>
      <c r="AD181" s="20">
        <f t="shared" si="18"/>
        <v>0</v>
      </c>
    </row>
    <row r="182" spans="3:30" ht="18.75" customHeight="1" x14ac:dyDescent="0.35">
      <c r="C182" s="20" t="s">
        <v>287</v>
      </c>
      <c r="W182" s="228">
        <f t="shared" si="16"/>
        <v>0</v>
      </c>
      <c r="Y182" s="246" cm="1">
        <f t="array" ref="Y182" xml:space="preserve"> W182 * _xlfn.XLOOKUP(C182, {"MELI";"WEB";"IG";"OTRO"}, $AS$3:$AS$6)</f>
        <v>0</v>
      </c>
      <c r="AC182" s="361" t="str">
        <f t="shared" si="19"/>
        <v/>
      </c>
      <c r="AD182" s="20">
        <f t="shared" si="18"/>
        <v>0</v>
      </c>
    </row>
    <row r="183" spans="3:30" ht="18.75" customHeight="1" x14ac:dyDescent="0.35">
      <c r="C183" s="20" t="s">
        <v>287</v>
      </c>
      <c r="W183" s="228">
        <f t="shared" si="16"/>
        <v>0</v>
      </c>
      <c r="Y183" s="246" cm="1">
        <f t="array" ref="Y183" xml:space="preserve"> W183 * _xlfn.XLOOKUP(C183, {"MELI";"WEB";"IG";"OTRO"}, $AS$3:$AS$6)</f>
        <v>0</v>
      </c>
      <c r="AC183" s="361" t="str">
        <f t="shared" si="19"/>
        <v/>
      </c>
      <c r="AD183" s="20">
        <f t="shared" si="18"/>
        <v>0</v>
      </c>
    </row>
    <row r="184" spans="3:30" ht="18.75" customHeight="1" x14ac:dyDescent="0.35">
      <c r="C184" s="20" t="s">
        <v>287</v>
      </c>
      <c r="W184" s="228">
        <f t="shared" si="16"/>
        <v>0</v>
      </c>
      <c r="Y184" s="246" cm="1">
        <f t="array" ref="Y184" xml:space="preserve"> W184 * _xlfn.XLOOKUP(C184, {"MELI";"WEB";"IG";"OTRO"}, $AS$3:$AS$6)</f>
        <v>0</v>
      </c>
      <c r="AC184" s="361" t="str">
        <f t="shared" si="19"/>
        <v/>
      </c>
      <c r="AD184" s="20">
        <f t="shared" si="18"/>
        <v>0</v>
      </c>
    </row>
    <row r="185" spans="3:30" ht="18.75" customHeight="1" x14ac:dyDescent="0.35">
      <c r="C185" s="20" t="s">
        <v>287</v>
      </c>
      <c r="W185" s="228">
        <f t="shared" si="16"/>
        <v>0</v>
      </c>
      <c r="Y185" s="246" cm="1">
        <f t="array" ref="Y185" xml:space="preserve"> W185 * _xlfn.XLOOKUP(C185, {"MELI";"WEB";"IG";"OTRO"}, $AS$3:$AS$6)</f>
        <v>0</v>
      </c>
      <c r="AC185" s="361" t="str">
        <f t="shared" si="19"/>
        <v/>
      </c>
      <c r="AD185" s="20">
        <f t="shared" si="18"/>
        <v>0</v>
      </c>
    </row>
    <row r="186" spans="3:30" ht="18.75" customHeight="1" x14ac:dyDescent="0.35">
      <c r="C186" s="20" t="s">
        <v>287</v>
      </c>
      <c r="W186" s="228">
        <f t="shared" si="16"/>
        <v>0</v>
      </c>
      <c r="Y186" s="246" cm="1">
        <f t="array" ref="Y186" xml:space="preserve"> W186 * _xlfn.XLOOKUP(C186, {"MELI";"WEB";"IG";"OTRO"}, $AS$3:$AS$6)</f>
        <v>0</v>
      </c>
      <c r="AC186" s="361" t="str">
        <f t="shared" si="19"/>
        <v/>
      </c>
      <c r="AD186" s="20">
        <f t="shared" si="18"/>
        <v>0</v>
      </c>
    </row>
    <row r="187" spans="3:30" ht="18.75" customHeight="1" x14ac:dyDescent="0.35">
      <c r="C187" s="20" t="s">
        <v>287</v>
      </c>
      <c r="W187" s="228">
        <f t="shared" si="16"/>
        <v>0</v>
      </c>
      <c r="Y187" s="246" cm="1">
        <f t="array" ref="Y187" xml:space="preserve"> W187 * _xlfn.XLOOKUP(C187, {"MELI";"WEB";"IG";"OTRO"}, $AS$3:$AS$6)</f>
        <v>0</v>
      </c>
      <c r="AC187" s="361" t="str">
        <f t="shared" si="19"/>
        <v/>
      </c>
      <c r="AD187" s="20">
        <f t="shared" si="18"/>
        <v>0</v>
      </c>
    </row>
    <row r="188" spans="3:30" ht="18.75" customHeight="1" x14ac:dyDescent="0.35">
      <c r="C188" s="20" t="s">
        <v>287</v>
      </c>
      <c r="W188" s="228">
        <f t="shared" si="16"/>
        <v>0</v>
      </c>
      <c r="Y188" s="246" cm="1">
        <f t="array" ref="Y188" xml:space="preserve"> W188 * _xlfn.XLOOKUP(C188, {"MELI";"WEB";"IG";"OTRO"}, $AS$3:$AS$6)</f>
        <v>0</v>
      </c>
      <c r="AC188" s="361" t="str">
        <f t="shared" si="19"/>
        <v/>
      </c>
      <c r="AD188" s="20">
        <f t="shared" si="18"/>
        <v>0</v>
      </c>
    </row>
    <row r="189" spans="3:30" ht="18.75" customHeight="1" x14ac:dyDescent="0.35">
      <c r="C189" s="20" t="s">
        <v>287</v>
      </c>
      <c r="W189" s="228">
        <f t="shared" si="16"/>
        <v>0</v>
      </c>
      <c r="Y189" s="246" cm="1">
        <f t="array" ref="Y189" xml:space="preserve"> W189 * _xlfn.XLOOKUP(C189, {"MELI";"WEB";"IG";"OTRO"}, $AS$3:$AS$6)</f>
        <v>0</v>
      </c>
      <c r="AC189" s="361" t="str">
        <f t="shared" si="19"/>
        <v/>
      </c>
      <c r="AD189" s="20">
        <f t="shared" si="18"/>
        <v>0</v>
      </c>
    </row>
    <row r="190" spans="3:30" ht="18.75" customHeight="1" x14ac:dyDescent="0.35">
      <c r="C190" s="20" t="s">
        <v>287</v>
      </c>
      <c r="W190" s="228">
        <f t="shared" si="16"/>
        <v>0</v>
      </c>
      <c r="Y190" s="246" cm="1">
        <f t="array" ref="Y190" xml:space="preserve"> W190 * _xlfn.XLOOKUP(C190, {"MELI";"WEB";"IG";"OTRO"}, $AS$3:$AS$6)</f>
        <v>0</v>
      </c>
      <c r="AC190" s="361" t="str">
        <f t="shared" si="19"/>
        <v/>
      </c>
      <c r="AD190" s="20">
        <f t="shared" si="18"/>
        <v>0</v>
      </c>
    </row>
    <row r="191" spans="3:30" ht="18.75" customHeight="1" x14ac:dyDescent="0.35">
      <c r="C191" s="20" t="s">
        <v>287</v>
      </c>
      <c r="W191" s="228">
        <f t="shared" si="16"/>
        <v>0</v>
      </c>
      <c r="Y191" s="246" cm="1">
        <f t="array" ref="Y191" xml:space="preserve"> W191 * _xlfn.XLOOKUP(C191, {"MELI";"WEB";"IG";"OTRO"}, $AS$3:$AS$6)</f>
        <v>0</v>
      </c>
      <c r="AC191" s="361" t="str">
        <f t="shared" si="19"/>
        <v/>
      </c>
      <c r="AD191" s="20">
        <f t="shared" ref="AD191:AD200" si="20">IF(D191="Falta", AC191, 0)</f>
        <v>0</v>
      </c>
    </row>
    <row r="192" spans="3:30" ht="18.75" customHeight="1" x14ac:dyDescent="0.35">
      <c r="C192" s="20" t="s">
        <v>287</v>
      </c>
      <c r="W192" s="228">
        <f t="shared" si="16"/>
        <v>0</v>
      </c>
      <c r="Y192" s="246" cm="1">
        <f t="array" ref="Y192" xml:space="preserve"> W192 * _xlfn.XLOOKUP(C192, {"MELI";"WEB";"IG";"OTRO"}, $AS$3:$AS$6)</f>
        <v>0</v>
      </c>
      <c r="AC192" s="361" t="str">
        <f t="shared" si="19"/>
        <v/>
      </c>
      <c r="AD192" s="20">
        <f t="shared" si="20"/>
        <v>0</v>
      </c>
    </row>
    <row r="193" spans="3:30" ht="18.75" customHeight="1" x14ac:dyDescent="0.35">
      <c r="C193" s="20" t="s">
        <v>287</v>
      </c>
      <c r="W193" s="228">
        <f t="shared" si="16"/>
        <v>0</v>
      </c>
      <c r="Y193" s="246" cm="1">
        <f t="array" ref="Y193" xml:space="preserve"> W193 * _xlfn.XLOOKUP(C193, {"MELI";"WEB";"IG";"OTRO"}, $AS$3:$AS$6)</f>
        <v>0</v>
      </c>
      <c r="AC193" s="361" t="str">
        <f t="shared" si="19"/>
        <v/>
      </c>
      <c r="AD193" s="20">
        <f t="shared" si="20"/>
        <v>0</v>
      </c>
    </row>
    <row r="194" spans="3:30" ht="18.75" customHeight="1" x14ac:dyDescent="0.35">
      <c r="C194" s="20" t="s">
        <v>287</v>
      </c>
      <c r="W194" s="228">
        <f t="shared" si="16"/>
        <v>0</v>
      </c>
      <c r="Y194" s="246" cm="1">
        <f t="array" ref="Y194" xml:space="preserve"> W194 * _xlfn.XLOOKUP(C194, {"MELI";"WEB";"IG";"OTRO"}, $AS$3:$AS$6)</f>
        <v>0</v>
      </c>
      <c r="AC194" s="361" t="str">
        <f t="shared" si="19"/>
        <v/>
      </c>
      <c r="AD194" s="20">
        <f t="shared" si="20"/>
        <v>0</v>
      </c>
    </row>
    <row r="195" spans="3:30" ht="18.75" customHeight="1" x14ac:dyDescent="0.35">
      <c r="C195" s="20" t="s">
        <v>287</v>
      </c>
      <c r="W195" s="228">
        <f t="shared" si="16"/>
        <v>0</v>
      </c>
      <c r="Y195" s="246" cm="1">
        <f t="array" ref="Y195" xml:space="preserve"> W195 * _xlfn.XLOOKUP(C195, {"MELI";"WEB";"IG";"OTRO"}, $AS$3:$AS$6)</f>
        <v>0</v>
      </c>
      <c r="AC195" s="361" t="str">
        <f t="shared" si="19"/>
        <v/>
      </c>
      <c r="AD195" s="20">
        <f t="shared" si="20"/>
        <v>0</v>
      </c>
    </row>
    <row r="196" spans="3:30" ht="18.75" customHeight="1" x14ac:dyDescent="0.35">
      <c r="C196" s="20" t="s">
        <v>287</v>
      </c>
      <c r="W196" s="228">
        <f t="shared" si="16"/>
        <v>0</v>
      </c>
      <c r="Y196" s="246" cm="1">
        <f t="array" ref="Y196" xml:space="preserve"> W196 * _xlfn.XLOOKUP(C196, {"MELI";"WEB";"IG";"OTRO"}, $AS$3:$AS$6)</f>
        <v>0</v>
      </c>
      <c r="AC196" s="361" t="str">
        <f t="shared" si="19"/>
        <v/>
      </c>
      <c r="AD196" s="20">
        <f t="shared" si="20"/>
        <v>0</v>
      </c>
    </row>
    <row r="197" spans="3:30" ht="18.75" customHeight="1" x14ac:dyDescent="0.35">
      <c r="C197" s="20" t="s">
        <v>287</v>
      </c>
      <c r="W197" s="228">
        <f t="shared" si="16"/>
        <v>0</v>
      </c>
      <c r="Y197" s="246" cm="1">
        <f t="array" ref="Y197" xml:space="preserve"> W197 * _xlfn.XLOOKUP(C197, {"MELI";"WEB";"IG";"OTRO"}, $AS$3:$AS$6)</f>
        <v>0</v>
      </c>
      <c r="AC197" s="361" t="str">
        <f t="shared" si="19"/>
        <v/>
      </c>
      <c r="AD197" s="20">
        <f t="shared" si="20"/>
        <v>0</v>
      </c>
    </row>
    <row r="198" spans="3:30" ht="18.75" customHeight="1" x14ac:dyDescent="0.35">
      <c r="C198" s="20" t="s">
        <v>287</v>
      </c>
      <c r="W198" s="228">
        <f t="shared" si="16"/>
        <v>0</v>
      </c>
      <c r="Y198" s="246" cm="1">
        <f t="array" ref="Y198" xml:space="preserve"> W198 * _xlfn.XLOOKUP(C198, {"MELI";"WEB";"IG";"OTRO"}, $AS$3:$AS$6)</f>
        <v>0</v>
      </c>
      <c r="AC198" s="361" t="str">
        <f t="shared" si="19"/>
        <v/>
      </c>
      <c r="AD198" s="20">
        <f t="shared" si="20"/>
        <v>0</v>
      </c>
    </row>
    <row r="199" spans="3:30" ht="18.75" customHeight="1" x14ac:dyDescent="0.35">
      <c r="C199" s="20" t="s">
        <v>287</v>
      </c>
      <c r="W199" s="228">
        <f t="shared" si="16"/>
        <v>0</v>
      </c>
      <c r="Y199" s="246" cm="1">
        <f t="array" ref="Y199" xml:space="preserve"> W199 * _xlfn.XLOOKUP(C199, {"MELI";"WEB";"IG";"OTRO"}, $AS$3:$AS$6)</f>
        <v>0</v>
      </c>
      <c r="AC199" s="361" t="str">
        <f t="shared" si="19"/>
        <v/>
      </c>
      <c r="AD199" s="20">
        <f t="shared" si="20"/>
        <v>0</v>
      </c>
    </row>
    <row r="200" spans="3:30" ht="18.75" customHeight="1" x14ac:dyDescent="0.35">
      <c r="C200" s="20" t="s">
        <v>287</v>
      </c>
      <c r="W200" s="228">
        <f t="shared" si="16"/>
        <v>0</v>
      </c>
      <c r="Y200" s="246" cm="1">
        <f t="array" ref="Y200" xml:space="preserve"> W200 * _xlfn.XLOOKUP(C200, {"MELI";"WEB";"IG";"OTRO"}, $AS$3:$AS$6)</f>
        <v>0</v>
      </c>
      <c r="AC200" s="361" t="str">
        <f t="shared" si="19"/>
        <v/>
      </c>
      <c r="AD200" s="20">
        <f t="shared" si="20"/>
        <v>0</v>
      </c>
    </row>
    <row r="201" spans="3:30" ht="18.75" customHeight="1" x14ac:dyDescent="0.35">
      <c r="C201" s="20" t="s">
        <v>287</v>
      </c>
      <c r="W201" s="228">
        <f t="shared" si="16"/>
        <v>0</v>
      </c>
    </row>
    <row r="202" spans="3:30" ht="18.75" customHeight="1" x14ac:dyDescent="0.35">
      <c r="C202" s="20" t="s">
        <v>287</v>
      </c>
      <c r="W202" s="228">
        <f t="shared" si="16"/>
        <v>0</v>
      </c>
    </row>
    <row r="203" spans="3:30" ht="18.75" customHeight="1" x14ac:dyDescent="0.35">
      <c r="C203" s="20" t="s">
        <v>287</v>
      </c>
      <c r="W203" s="228">
        <f t="shared" si="16"/>
        <v>0</v>
      </c>
    </row>
    <row r="204" spans="3:30" ht="18.75" customHeight="1" x14ac:dyDescent="0.35">
      <c r="C204" s="20" t="s">
        <v>287</v>
      </c>
      <c r="W204" s="228">
        <f t="shared" si="16"/>
        <v>0</v>
      </c>
    </row>
    <row r="205" spans="3:30" ht="18.75" customHeight="1" x14ac:dyDescent="0.35">
      <c r="C205" s="20" t="s">
        <v>287</v>
      </c>
      <c r="W205" s="228">
        <f t="shared" si="16"/>
        <v>0</v>
      </c>
    </row>
    <row r="206" spans="3:30" ht="18.75" customHeight="1" x14ac:dyDescent="0.35">
      <c r="C206" s="20" t="s">
        <v>287</v>
      </c>
      <c r="W206" s="228">
        <f t="shared" si="16"/>
        <v>0</v>
      </c>
    </row>
    <row r="207" spans="3:30" ht="18.75" customHeight="1" x14ac:dyDescent="0.35">
      <c r="C207" s="20" t="s">
        <v>287</v>
      </c>
      <c r="W207" s="228">
        <f t="shared" si="16"/>
        <v>0</v>
      </c>
    </row>
    <row r="208" spans="3:30" ht="18.75" customHeight="1" x14ac:dyDescent="0.35">
      <c r="C208" s="20" t="s">
        <v>287</v>
      </c>
      <c r="W208" s="228">
        <f t="shared" si="16"/>
        <v>0</v>
      </c>
    </row>
    <row r="209" spans="3:23" ht="18.75" customHeight="1" x14ac:dyDescent="0.35">
      <c r="C209" s="20" t="s">
        <v>287</v>
      </c>
      <c r="W209" s="228">
        <f t="shared" si="16"/>
        <v>0</v>
      </c>
    </row>
    <row r="210" spans="3:23" ht="18.75" customHeight="1" x14ac:dyDescent="0.35">
      <c r="C210" s="20" t="s">
        <v>287</v>
      </c>
      <c r="W210" s="228">
        <f t="shared" ref="W210:W273" si="21">J210-S210-T210-U210-V210-R210</f>
        <v>0</v>
      </c>
    </row>
    <row r="211" spans="3:23" ht="18.75" customHeight="1" x14ac:dyDescent="0.35">
      <c r="C211" s="20" t="s">
        <v>287</v>
      </c>
      <c r="W211" s="228">
        <f t="shared" si="21"/>
        <v>0</v>
      </c>
    </row>
    <row r="212" spans="3:23" ht="18.75" customHeight="1" x14ac:dyDescent="0.35">
      <c r="C212" s="20" t="s">
        <v>287</v>
      </c>
      <c r="W212" s="228">
        <f t="shared" si="21"/>
        <v>0</v>
      </c>
    </row>
    <row r="213" spans="3:23" ht="18.75" customHeight="1" x14ac:dyDescent="0.35">
      <c r="C213" s="20" t="s">
        <v>287</v>
      </c>
      <c r="W213" s="228">
        <f t="shared" si="21"/>
        <v>0</v>
      </c>
    </row>
    <row r="214" spans="3:23" ht="18.75" customHeight="1" x14ac:dyDescent="0.35">
      <c r="C214" s="20" t="s">
        <v>287</v>
      </c>
      <c r="W214" s="228">
        <f t="shared" si="21"/>
        <v>0</v>
      </c>
    </row>
    <row r="215" spans="3:23" ht="18.75" customHeight="1" x14ac:dyDescent="0.35">
      <c r="C215" s="20" t="s">
        <v>287</v>
      </c>
      <c r="W215" s="228">
        <f t="shared" si="21"/>
        <v>0</v>
      </c>
    </row>
    <row r="216" spans="3:23" ht="18.75" customHeight="1" x14ac:dyDescent="0.35">
      <c r="C216" s="20" t="s">
        <v>287</v>
      </c>
      <c r="W216" s="228">
        <f t="shared" si="21"/>
        <v>0</v>
      </c>
    </row>
    <row r="217" spans="3:23" ht="18.75" customHeight="1" x14ac:dyDescent="0.35">
      <c r="C217" s="20" t="s">
        <v>287</v>
      </c>
      <c r="W217" s="228">
        <f t="shared" si="21"/>
        <v>0</v>
      </c>
    </row>
    <row r="218" spans="3:23" ht="18.75" customHeight="1" x14ac:dyDescent="0.35">
      <c r="C218" s="20" t="s">
        <v>287</v>
      </c>
      <c r="W218" s="228">
        <f t="shared" si="21"/>
        <v>0</v>
      </c>
    </row>
    <row r="219" spans="3:23" ht="18.75" customHeight="1" x14ac:dyDescent="0.35">
      <c r="C219" s="20" t="s">
        <v>287</v>
      </c>
      <c r="W219" s="228">
        <f t="shared" si="21"/>
        <v>0</v>
      </c>
    </row>
    <row r="220" spans="3:23" ht="18.75" customHeight="1" x14ac:dyDescent="0.35">
      <c r="C220" s="20" t="s">
        <v>287</v>
      </c>
      <c r="W220" s="228">
        <f t="shared" si="21"/>
        <v>0</v>
      </c>
    </row>
    <row r="221" spans="3:23" ht="18.75" customHeight="1" x14ac:dyDescent="0.35">
      <c r="C221" s="20" t="s">
        <v>287</v>
      </c>
      <c r="W221" s="228">
        <f t="shared" si="21"/>
        <v>0</v>
      </c>
    </row>
    <row r="222" spans="3:23" ht="18.75" customHeight="1" x14ac:dyDescent="0.35">
      <c r="C222" s="20" t="s">
        <v>287</v>
      </c>
      <c r="W222" s="228">
        <f t="shared" si="21"/>
        <v>0</v>
      </c>
    </row>
    <row r="223" spans="3:23" ht="18.75" customHeight="1" x14ac:dyDescent="0.35">
      <c r="C223" s="20" t="s">
        <v>287</v>
      </c>
      <c r="W223" s="228">
        <f t="shared" si="21"/>
        <v>0</v>
      </c>
    </row>
    <row r="224" spans="3:23" ht="18.75" customHeight="1" x14ac:dyDescent="0.35">
      <c r="C224" s="20" t="s">
        <v>287</v>
      </c>
      <c r="W224" s="228">
        <f t="shared" si="21"/>
        <v>0</v>
      </c>
    </row>
    <row r="225" spans="3:23" ht="18.75" customHeight="1" x14ac:dyDescent="0.35">
      <c r="C225" s="20" t="s">
        <v>287</v>
      </c>
      <c r="W225" s="228">
        <f t="shared" si="21"/>
        <v>0</v>
      </c>
    </row>
    <row r="226" spans="3:23" ht="18.75" customHeight="1" x14ac:dyDescent="0.35">
      <c r="C226" s="20" t="s">
        <v>287</v>
      </c>
      <c r="W226" s="228">
        <f t="shared" si="21"/>
        <v>0</v>
      </c>
    </row>
    <row r="227" spans="3:23" ht="18.75" customHeight="1" x14ac:dyDescent="0.35">
      <c r="C227" s="20" t="s">
        <v>287</v>
      </c>
      <c r="W227" s="228">
        <f t="shared" si="21"/>
        <v>0</v>
      </c>
    </row>
    <row r="228" spans="3:23" ht="18.75" customHeight="1" x14ac:dyDescent="0.35">
      <c r="C228" s="20" t="s">
        <v>287</v>
      </c>
      <c r="W228" s="228">
        <f t="shared" si="21"/>
        <v>0</v>
      </c>
    </row>
    <row r="229" spans="3:23" ht="18.75" customHeight="1" x14ac:dyDescent="0.35">
      <c r="C229" s="20" t="s">
        <v>287</v>
      </c>
      <c r="W229" s="228">
        <f t="shared" si="21"/>
        <v>0</v>
      </c>
    </row>
    <row r="230" spans="3:23" ht="18.75" customHeight="1" x14ac:dyDescent="0.35">
      <c r="C230" s="20" t="s">
        <v>287</v>
      </c>
      <c r="W230" s="228">
        <f t="shared" si="21"/>
        <v>0</v>
      </c>
    </row>
    <row r="231" spans="3:23" ht="18.75" customHeight="1" x14ac:dyDescent="0.35">
      <c r="C231" s="20" t="s">
        <v>287</v>
      </c>
      <c r="W231" s="228">
        <f t="shared" si="21"/>
        <v>0</v>
      </c>
    </row>
    <row r="232" spans="3:23" ht="18.75" customHeight="1" x14ac:dyDescent="0.35">
      <c r="C232" s="20" t="s">
        <v>287</v>
      </c>
      <c r="W232" s="228">
        <f t="shared" si="21"/>
        <v>0</v>
      </c>
    </row>
    <row r="233" spans="3:23" ht="18.75" customHeight="1" x14ac:dyDescent="0.35">
      <c r="C233" s="20" t="s">
        <v>287</v>
      </c>
      <c r="W233" s="228">
        <f t="shared" si="21"/>
        <v>0</v>
      </c>
    </row>
    <row r="234" spans="3:23" ht="18.75" customHeight="1" x14ac:dyDescent="0.35">
      <c r="C234" s="20" t="s">
        <v>287</v>
      </c>
      <c r="W234" s="228">
        <f t="shared" si="21"/>
        <v>0</v>
      </c>
    </row>
    <row r="235" spans="3:23" ht="18.75" customHeight="1" x14ac:dyDescent="0.35">
      <c r="C235" s="20" t="s">
        <v>287</v>
      </c>
      <c r="W235" s="228">
        <f t="shared" si="21"/>
        <v>0</v>
      </c>
    </row>
    <row r="236" spans="3:23" ht="18.75" customHeight="1" x14ac:dyDescent="0.35">
      <c r="C236" s="20" t="s">
        <v>287</v>
      </c>
      <c r="W236" s="228">
        <f t="shared" si="21"/>
        <v>0</v>
      </c>
    </row>
    <row r="237" spans="3:23" ht="18.75" customHeight="1" x14ac:dyDescent="0.35">
      <c r="C237" s="20" t="s">
        <v>287</v>
      </c>
      <c r="W237" s="228">
        <f t="shared" si="21"/>
        <v>0</v>
      </c>
    </row>
    <row r="238" spans="3:23" ht="18.75" customHeight="1" x14ac:dyDescent="0.35">
      <c r="C238" s="20" t="s">
        <v>287</v>
      </c>
      <c r="W238" s="228">
        <f t="shared" si="21"/>
        <v>0</v>
      </c>
    </row>
    <row r="239" spans="3:23" ht="18.75" customHeight="1" x14ac:dyDescent="0.35">
      <c r="C239" s="20" t="s">
        <v>287</v>
      </c>
      <c r="W239" s="228">
        <f t="shared" si="21"/>
        <v>0</v>
      </c>
    </row>
    <row r="240" spans="3:23" ht="18.75" customHeight="1" x14ac:dyDescent="0.35">
      <c r="C240" s="20" t="s">
        <v>287</v>
      </c>
      <c r="W240" s="228">
        <f t="shared" si="21"/>
        <v>0</v>
      </c>
    </row>
    <row r="241" spans="3:23" ht="18.75" customHeight="1" x14ac:dyDescent="0.35">
      <c r="C241" s="20" t="s">
        <v>287</v>
      </c>
      <c r="W241" s="228">
        <f t="shared" si="21"/>
        <v>0</v>
      </c>
    </row>
    <row r="242" spans="3:23" ht="18.75" customHeight="1" x14ac:dyDescent="0.35">
      <c r="C242" s="20" t="s">
        <v>287</v>
      </c>
      <c r="W242" s="228">
        <f t="shared" si="21"/>
        <v>0</v>
      </c>
    </row>
    <row r="243" spans="3:23" ht="18.75" customHeight="1" x14ac:dyDescent="0.35">
      <c r="C243" s="20" t="s">
        <v>287</v>
      </c>
      <c r="W243" s="228">
        <f t="shared" si="21"/>
        <v>0</v>
      </c>
    </row>
    <row r="244" spans="3:23" ht="18.75" customHeight="1" x14ac:dyDescent="0.35">
      <c r="C244" s="20" t="s">
        <v>287</v>
      </c>
      <c r="W244" s="228">
        <f t="shared" si="21"/>
        <v>0</v>
      </c>
    </row>
    <row r="245" spans="3:23" ht="18.75" customHeight="1" x14ac:dyDescent="0.35">
      <c r="C245" s="20" t="s">
        <v>287</v>
      </c>
      <c r="W245" s="228">
        <f t="shared" si="21"/>
        <v>0</v>
      </c>
    </row>
    <row r="246" spans="3:23" ht="18.75" customHeight="1" x14ac:dyDescent="0.35">
      <c r="C246" s="20" t="s">
        <v>287</v>
      </c>
      <c r="W246" s="228">
        <f t="shared" si="21"/>
        <v>0</v>
      </c>
    </row>
    <row r="247" spans="3:23" ht="18.75" customHeight="1" x14ac:dyDescent="0.35">
      <c r="C247" s="20" t="s">
        <v>287</v>
      </c>
      <c r="W247" s="228">
        <f t="shared" si="21"/>
        <v>0</v>
      </c>
    </row>
    <row r="248" spans="3:23" ht="18.75" customHeight="1" x14ac:dyDescent="0.35">
      <c r="C248" s="20" t="s">
        <v>287</v>
      </c>
      <c r="W248" s="228">
        <f t="shared" si="21"/>
        <v>0</v>
      </c>
    </row>
    <row r="249" spans="3:23" ht="18.75" customHeight="1" x14ac:dyDescent="0.35">
      <c r="C249" s="20" t="s">
        <v>287</v>
      </c>
      <c r="W249" s="228">
        <f t="shared" si="21"/>
        <v>0</v>
      </c>
    </row>
    <row r="250" spans="3:23" ht="18.75" customHeight="1" x14ac:dyDescent="0.35">
      <c r="C250" s="20" t="s">
        <v>287</v>
      </c>
      <c r="W250" s="228">
        <f t="shared" si="21"/>
        <v>0</v>
      </c>
    </row>
    <row r="251" spans="3:23" ht="18.75" customHeight="1" x14ac:dyDescent="0.35">
      <c r="C251" s="20" t="s">
        <v>287</v>
      </c>
      <c r="W251" s="228">
        <f t="shared" si="21"/>
        <v>0</v>
      </c>
    </row>
    <row r="252" spans="3:23" ht="18.75" customHeight="1" x14ac:dyDescent="0.35">
      <c r="C252" s="20" t="s">
        <v>287</v>
      </c>
      <c r="W252" s="228">
        <f t="shared" si="21"/>
        <v>0</v>
      </c>
    </row>
    <row r="253" spans="3:23" ht="18.75" customHeight="1" x14ac:dyDescent="0.35">
      <c r="C253" s="20" t="s">
        <v>287</v>
      </c>
      <c r="W253" s="228">
        <f t="shared" si="21"/>
        <v>0</v>
      </c>
    </row>
    <row r="254" spans="3:23" ht="18.75" customHeight="1" x14ac:dyDescent="0.35">
      <c r="C254" s="20" t="s">
        <v>287</v>
      </c>
      <c r="W254" s="228">
        <f t="shared" si="21"/>
        <v>0</v>
      </c>
    </row>
    <row r="255" spans="3:23" ht="18.75" customHeight="1" x14ac:dyDescent="0.35">
      <c r="C255" s="20" t="s">
        <v>287</v>
      </c>
      <c r="W255" s="228">
        <f t="shared" si="21"/>
        <v>0</v>
      </c>
    </row>
    <row r="256" spans="3:23" ht="18.75" customHeight="1" x14ac:dyDescent="0.35">
      <c r="C256" s="20" t="s">
        <v>287</v>
      </c>
      <c r="W256" s="228">
        <f t="shared" si="21"/>
        <v>0</v>
      </c>
    </row>
    <row r="257" spans="3:23" ht="18.75" customHeight="1" x14ac:dyDescent="0.35">
      <c r="C257" s="20" t="s">
        <v>287</v>
      </c>
      <c r="W257" s="228">
        <f t="shared" si="21"/>
        <v>0</v>
      </c>
    </row>
    <row r="258" spans="3:23" ht="18.75" customHeight="1" x14ac:dyDescent="0.35">
      <c r="C258" s="20" t="s">
        <v>287</v>
      </c>
      <c r="W258" s="228">
        <f t="shared" si="21"/>
        <v>0</v>
      </c>
    </row>
    <row r="259" spans="3:23" ht="18.75" customHeight="1" x14ac:dyDescent="0.35">
      <c r="C259" s="20" t="s">
        <v>287</v>
      </c>
      <c r="W259" s="228">
        <f t="shared" si="21"/>
        <v>0</v>
      </c>
    </row>
    <row r="260" spans="3:23" ht="18.75" customHeight="1" x14ac:dyDescent="0.35">
      <c r="C260" s="20" t="s">
        <v>287</v>
      </c>
      <c r="W260" s="228">
        <f t="shared" si="21"/>
        <v>0</v>
      </c>
    </row>
    <row r="261" spans="3:23" ht="18.75" customHeight="1" x14ac:dyDescent="0.35">
      <c r="C261" s="20" t="s">
        <v>287</v>
      </c>
      <c r="W261" s="228">
        <f t="shared" si="21"/>
        <v>0</v>
      </c>
    </row>
    <row r="262" spans="3:23" ht="18.75" customHeight="1" x14ac:dyDescent="0.35">
      <c r="C262" s="20" t="s">
        <v>287</v>
      </c>
      <c r="W262" s="228">
        <f t="shared" si="21"/>
        <v>0</v>
      </c>
    </row>
    <row r="263" spans="3:23" ht="18.75" customHeight="1" x14ac:dyDescent="0.35">
      <c r="C263" s="20" t="s">
        <v>287</v>
      </c>
      <c r="W263" s="228">
        <f t="shared" si="21"/>
        <v>0</v>
      </c>
    </row>
    <row r="264" spans="3:23" ht="18.75" customHeight="1" x14ac:dyDescent="0.35">
      <c r="C264" s="20" t="s">
        <v>287</v>
      </c>
      <c r="W264" s="228">
        <f t="shared" si="21"/>
        <v>0</v>
      </c>
    </row>
    <row r="265" spans="3:23" ht="18.75" customHeight="1" x14ac:dyDescent="0.35">
      <c r="C265" s="20" t="s">
        <v>287</v>
      </c>
      <c r="W265" s="228">
        <f t="shared" si="21"/>
        <v>0</v>
      </c>
    </row>
    <row r="266" spans="3:23" ht="18.75" customHeight="1" x14ac:dyDescent="0.35">
      <c r="C266" s="20" t="s">
        <v>287</v>
      </c>
      <c r="W266" s="228">
        <f t="shared" si="21"/>
        <v>0</v>
      </c>
    </row>
    <row r="267" spans="3:23" ht="18.75" customHeight="1" x14ac:dyDescent="0.35">
      <c r="C267" s="20" t="s">
        <v>287</v>
      </c>
      <c r="W267" s="228">
        <f t="shared" si="21"/>
        <v>0</v>
      </c>
    </row>
    <row r="268" spans="3:23" ht="18.75" customHeight="1" x14ac:dyDescent="0.35">
      <c r="C268" s="20" t="s">
        <v>287</v>
      </c>
      <c r="W268" s="228">
        <f t="shared" si="21"/>
        <v>0</v>
      </c>
    </row>
    <row r="269" spans="3:23" ht="18.75" customHeight="1" x14ac:dyDescent="0.35">
      <c r="C269" s="20" t="s">
        <v>287</v>
      </c>
      <c r="W269" s="228">
        <f t="shared" si="21"/>
        <v>0</v>
      </c>
    </row>
    <row r="270" spans="3:23" ht="18.75" customHeight="1" x14ac:dyDescent="0.35">
      <c r="C270" s="20" t="s">
        <v>287</v>
      </c>
      <c r="W270" s="228">
        <f t="shared" si="21"/>
        <v>0</v>
      </c>
    </row>
    <row r="271" spans="3:23" ht="18.75" customHeight="1" x14ac:dyDescent="0.35">
      <c r="C271" s="20" t="s">
        <v>287</v>
      </c>
      <c r="W271" s="228">
        <f t="shared" si="21"/>
        <v>0</v>
      </c>
    </row>
    <row r="272" spans="3:23" ht="18.75" customHeight="1" x14ac:dyDescent="0.35">
      <c r="C272" s="20" t="s">
        <v>287</v>
      </c>
      <c r="W272" s="228">
        <f t="shared" si="21"/>
        <v>0</v>
      </c>
    </row>
    <row r="273" spans="3:23" ht="18.75" customHeight="1" x14ac:dyDescent="0.35">
      <c r="C273" s="20" t="s">
        <v>287</v>
      </c>
      <c r="W273" s="228">
        <f t="shared" si="21"/>
        <v>0</v>
      </c>
    </row>
    <row r="274" spans="3:23" ht="18.75" customHeight="1" x14ac:dyDescent="0.35">
      <c r="C274" s="20" t="s">
        <v>287</v>
      </c>
      <c r="W274" s="228">
        <f t="shared" ref="W274:W337" si="22">J274-S274-T274-U274-V274-R274</f>
        <v>0</v>
      </c>
    </row>
    <row r="275" spans="3:23" ht="18.75" customHeight="1" x14ac:dyDescent="0.35">
      <c r="C275" s="20" t="s">
        <v>287</v>
      </c>
      <c r="W275" s="228">
        <f t="shared" si="22"/>
        <v>0</v>
      </c>
    </row>
    <row r="276" spans="3:23" ht="18.75" customHeight="1" x14ac:dyDescent="0.35">
      <c r="C276" s="20" t="s">
        <v>287</v>
      </c>
      <c r="W276" s="228">
        <f t="shared" si="22"/>
        <v>0</v>
      </c>
    </row>
    <row r="277" spans="3:23" ht="18.75" customHeight="1" x14ac:dyDescent="0.35">
      <c r="C277" s="20" t="s">
        <v>287</v>
      </c>
      <c r="W277" s="228">
        <f t="shared" si="22"/>
        <v>0</v>
      </c>
    </row>
    <row r="278" spans="3:23" ht="18.75" customHeight="1" x14ac:dyDescent="0.35">
      <c r="C278" s="20" t="s">
        <v>287</v>
      </c>
      <c r="W278" s="228">
        <f t="shared" si="22"/>
        <v>0</v>
      </c>
    </row>
    <row r="279" spans="3:23" ht="18.75" customHeight="1" x14ac:dyDescent="0.35">
      <c r="C279" s="20" t="s">
        <v>287</v>
      </c>
      <c r="W279" s="228">
        <f t="shared" si="22"/>
        <v>0</v>
      </c>
    </row>
    <row r="280" spans="3:23" ht="18.75" customHeight="1" x14ac:dyDescent="0.35">
      <c r="C280" s="20" t="s">
        <v>287</v>
      </c>
      <c r="W280" s="228">
        <f t="shared" si="22"/>
        <v>0</v>
      </c>
    </row>
    <row r="281" spans="3:23" ht="18.75" customHeight="1" x14ac:dyDescent="0.35">
      <c r="C281" s="20" t="s">
        <v>287</v>
      </c>
      <c r="W281" s="228">
        <f t="shared" si="22"/>
        <v>0</v>
      </c>
    </row>
    <row r="282" spans="3:23" ht="18.75" customHeight="1" x14ac:dyDescent="0.35">
      <c r="C282" s="20" t="s">
        <v>287</v>
      </c>
      <c r="W282" s="228">
        <f t="shared" si="22"/>
        <v>0</v>
      </c>
    </row>
    <row r="283" spans="3:23" ht="18.75" customHeight="1" x14ac:dyDescent="0.35">
      <c r="C283" s="20" t="s">
        <v>287</v>
      </c>
      <c r="W283" s="228">
        <f t="shared" si="22"/>
        <v>0</v>
      </c>
    </row>
    <row r="284" spans="3:23" ht="18.75" customHeight="1" x14ac:dyDescent="0.35">
      <c r="C284" s="20" t="s">
        <v>287</v>
      </c>
      <c r="W284" s="228">
        <f t="shared" si="22"/>
        <v>0</v>
      </c>
    </row>
    <row r="285" spans="3:23" ht="18.75" customHeight="1" x14ac:dyDescent="0.35">
      <c r="C285" s="20" t="s">
        <v>287</v>
      </c>
      <c r="W285" s="228">
        <f t="shared" si="22"/>
        <v>0</v>
      </c>
    </row>
    <row r="286" spans="3:23" ht="18.75" customHeight="1" x14ac:dyDescent="0.35">
      <c r="C286" s="20" t="s">
        <v>287</v>
      </c>
      <c r="W286" s="228">
        <f t="shared" si="22"/>
        <v>0</v>
      </c>
    </row>
    <row r="287" spans="3:23" ht="18.75" customHeight="1" x14ac:dyDescent="0.35">
      <c r="C287" s="20" t="s">
        <v>287</v>
      </c>
      <c r="W287" s="228">
        <f t="shared" si="22"/>
        <v>0</v>
      </c>
    </row>
    <row r="288" spans="3:23" ht="18.75" customHeight="1" x14ac:dyDescent="0.35">
      <c r="C288" s="20" t="s">
        <v>287</v>
      </c>
      <c r="W288" s="228">
        <f t="shared" si="22"/>
        <v>0</v>
      </c>
    </row>
    <row r="289" spans="3:23" ht="18.75" customHeight="1" x14ac:dyDescent="0.35">
      <c r="C289" s="20" t="s">
        <v>287</v>
      </c>
      <c r="W289" s="228">
        <f t="shared" si="22"/>
        <v>0</v>
      </c>
    </row>
    <row r="290" spans="3:23" ht="18.75" customHeight="1" x14ac:dyDescent="0.35">
      <c r="C290" s="20" t="s">
        <v>287</v>
      </c>
      <c r="W290" s="228">
        <f t="shared" si="22"/>
        <v>0</v>
      </c>
    </row>
    <row r="291" spans="3:23" ht="18.75" customHeight="1" x14ac:dyDescent="0.35">
      <c r="C291" s="20" t="s">
        <v>287</v>
      </c>
      <c r="W291" s="228">
        <f t="shared" si="22"/>
        <v>0</v>
      </c>
    </row>
    <row r="292" spans="3:23" ht="18.75" customHeight="1" x14ac:dyDescent="0.35">
      <c r="C292" s="20" t="s">
        <v>287</v>
      </c>
      <c r="W292" s="228">
        <f t="shared" si="22"/>
        <v>0</v>
      </c>
    </row>
    <row r="293" spans="3:23" ht="18.75" customHeight="1" x14ac:dyDescent="0.35">
      <c r="C293" s="20" t="s">
        <v>287</v>
      </c>
      <c r="W293" s="228">
        <f t="shared" si="22"/>
        <v>0</v>
      </c>
    </row>
    <row r="294" spans="3:23" ht="18.75" customHeight="1" x14ac:dyDescent="0.35">
      <c r="C294" s="20" t="s">
        <v>287</v>
      </c>
      <c r="W294" s="228">
        <f t="shared" si="22"/>
        <v>0</v>
      </c>
    </row>
    <row r="295" spans="3:23" ht="18.75" customHeight="1" x14ac:dyDescent="0.35">
      <c r="C295" s="20" t="s">
        <v>287</v>
      </c>
      <c r="W295" s="228">
        <f t="shared" si="22"/>
        <v>0</v>
      </c>
    </row>
    <row r="296" spans="3:23" ht="18.75" customHeight="1" x14ac:dyDescent="0.35">
      <c r="C296" s="20" t="s">
        <v>287</v>
      </c>
      <c r="W296" s="228">
        <f t="shared" si="22"/>
        <v>0</v>
      </c>
    </row>
    <row r="297" spans="3:23" ht="18.75" customHeight="1" x14ac:dyDescent="0.35">
      <c r="C297" s="20" t="s">
        <v>287</v>
      </c>
      <c r="W297" s="228">
        <f t="shared" si="22"/>
        <v>0</v>
      </c>
    </row>
    <row r="298" spans="3:23" ht="18.75" customHeight="1" x14ac:dyDescent="0.35">
      <c r="C298" s="20" t="s">
        <v>287</v>
      </c>
      <c r="W298" s="228">
        <f t="shared" si="22"/>
        <v>0</v>
      </c>
    </row>
    <row r="299" spans="3:23" ht="18.75" customHeight="1" x14ac:dyDescent="0.35">
      <c r="C299" s="20" t="s">
        <v>287</v>
      </c>
      <c r="W299" s="228">
        <f t="shared" si="22"/>
        <v>0</v>
      </c>
    </row>
    <row r="300" spans="3:23" ht="18.75" customHeight="1" x14ac:dyDescent="0.35">
      <c r="C300" s="20" t="s">
        <v>287</v>
      </c>
      <c r="W300" s="228">
        <f t="shared" si="22"/>
        <v>0</v>
      </c>
    </row>
    <row r="301" spans="3:23" ht="18.75" customHeight="1" x14ac:dyDescent="0.35">
      <c r="C301" s="20" t="s">
        <v>287</v>
      </c>
      <c r="W301" s="228">
        <f t="shared" si="22"/>
        <v>0</v>
      </c>
    </row>
    <row r="302" spans="3:23" ht="18.75" customHeight="1" x14ac:dyDescent="0.35">
      <c r="C302" s="20" t="s">
        <v>287</v>
      </c>
      <c r="W302" s="228">
        <f t="shared" si="22"/>
        <v>0</v>
      </c>
    </row>
    <row r="303" spans="3:23" ht="18.75" customHeight="1" x14ac:dyDescent="0.35">
      <c r="C303" s="20" t="s">
        <v>287</v>
      </c>
      <c r="W303" s="228">
        <f t="shared" si="22"/>
        <v>0</v>
      </c>
    </row>
    <row r="304" spans="3:23" ht="18.75" customHeight="1" x14ac:dyDescent="0.35">
      <c r="C304" s="20" t="s">
        <v>287</v>
      </c>
      <c r="W304" s="228">
        <f t="shared" si="22"/>
        <v>0</v>
      </c>
    </row>
    <row r="305" spans="3:23" ht="18.75" customHeight="1" x14ac:dyDescent="0.35">
      <c r="C305" s="20" t="s">
        <v>287</v>
      </c>
      <c r="W305" s="228">
        <f t="shared" si="22"/>
        <v>0</v>
      </c>
    </row>
    <row r="306" spans="3:23" ht="18.75" customHeight="1" x14ac:dyDescent="0.35">
      <c r="C306" s="20" t="s">
        <v>287</v>
      </c>
      <c r="W306" s="228">
        <f t="shared" si="22"/>
        <v>0</v>
      </c>
    </row>
    <row r="307" spans="3:23" ht="18.75" customHeight="1" x14ac:dyDescent="0.35">
      <c r="C307" s="20" t="s">
        <v>287</v>
      </c>
      <c r="W307" s="228">
        <f t="shared" si="22"/>
        <v>0</v>
      </c>
    </row>
    <row r="308" spans="3:23" ht="18.75" customHeight="1" x14ac:dyDescent="0.35">
      <c r="C308" s="20" t="s">
        <v>287</v>
      </c>
      <c r="W308" s="228">
        <f t="shared" si="22"/>
        <v>0</v>
      </c>
    </row>
    <row r="309" spans="3:23" ht="18.75" customHeight="1" x14ac:dyDescent="0.35">
      <c r="C309" s="20" t="s">
        <v>287</v>
      </c>
      <c r="W309" s="228">
        <f t="shared" si="22"/>
        <v>0</v>
      </c>
    </row>
    <row r="310" spans="3:23" ht="18.75" customHeight="1" x14ac:dyDescent="0.35">
      <c r="C310" s="20" t="s">
        <v>287</v>
      </c>
      <c r="W310" s="228">
        <f t="shared" si="22"/>
        <v>0</v>
      </c>
    </row>
    <row r="311" spans="3:23" ht="18.75" customHeight="1" x14ac:dyDescent="0.35">
      <c r="C311" s="20" t="s">
        <v>287</v>
      </c>
      <c r="W311" s="228">
        <f t="shared" si="22"/>
        <v>0</v>
      </c>
    </row>
    <row r="312" spans="3:23" ht="18.75" customHeight="1" x14ac:dyDescent="0.35">
      <c r="C312" s="20" t="s">
        <v>287</v>
      </c>
      <c r="W312" s="228">
        <f t="shared" si="22"/>
        <v>0</v>
      </c>
    </row>
    <row r="313" spans="3:23" ht="18.75" customHeight="1" x14ac:dyDescent="0.35">
      <c r="C313" s="20" t="s">
        <v>287</v>
      </c>
      <c r="W313" s="228">
        <f t="shared" si="22"/>
        <v>0</v>
      </c>
    </row>
    <row r="314" spans="3:23" ht="18.75" customHeight="1" x14ac:dyDescent="0.35">
      <c r="C314" s="20" t="s">
        <v>287</v>
      </c>
      <c r="W314" s="228">
        <f t="shared" si="22"/>
        <v>0</v>
      </c>
    </row>
    <row r="315" spans="3:23" ht="18.75" customHeight="1" x14ac:dyDescent="0.35">
      <c r="C315" s="20" t="s">
        <v>287</v>
      </c>
      <c r="W315" s="228">
        <f t="shared" si="22"/>
        <v>0</v>
      </c>
    </row>
    <row r="316" spans="3:23" ht="18.75" customHeight="1" x14ac:dyDescent="0.35">
      <c r="C316" s="20" t="s">
        <v>287</v>
      </c>
      <c r="W316" s="228">
        <f t="shared" si="22"/>
        <v>0</v>
      </c>
    </row>
    <row r="317" spans="3:23" ht="18.75" customHeight="1" x14ac:dyDescent="0.35">
      <c r="C317" s="20" t="s">
        <v>287</v>
      </c>
      <c r="W317" s="228">
        <f t="shared" si="22"/>
        <v>0</v>
      </c>
    </row>
    <row r="318" spans="3:23" ht="18.75" customHeight="1" x14ac:dyDescent="0.35">
      <c r="C318" s="20" t="s">
        <v>287</v>
      </c>
      <c r="W318" s="228">
        <f t="shared" si="22"/>
        <v>0</v>
      </c>
    </row>
    <row r="319" spans="3:23" ht="18.75" customHeight="1" x14ac:dyDescent="0.35">
      <c r="C319" s="20" t="s">
        <v>287</v>
      </c>
      <c r="W319" s="228">
        <f t="shared" si="22"/>
        <v>0</v>
      </c>
    </row>
    <row r="320" spans="3:23" ht="18.75" customHeight="1" x14ac:dyDescent="0.35">
      <c r="C320" s="20" t="s">
        <v>287</v>
      </c>
      <c r="W320" s="228">
        <f t="shared" si="22"/>
        <v>0</v>
      </c>
    </row>
    <row r="321" spans="3:23" ht="18.75" customHeight="1" x14ac:dyDescent="0.35">
      <c r="C321" s="20" t="s">
        <v>287</v>
      </c>
      <c r="W321" s="228">
        <f t="shared" si="22"/>
        <v>0</v>
      </c>
    </row>
    <row r="322" spans="3:23" ht="18.75" customHeight="1" x14ac:dyDescent="0.35">
      <c r="C322" s="20" t="s">
        <v>287</v>
      </c>
      <c r="W322" s="228">
        <f t="shared" si="22"/>
        <v>0</v>
      </c>
    </row>
    <row r="323" spans="3:23" ht="18.75" customHeight="1" x14ac:dyDescent="0.35">
      <c r="C323" s="20" t="s">
        <v>287</v>
      </c>
      <c r="W323" s="228">
        <f t="shared" si="22"/>
        <v>0</v>
      </c>
    </row>
    <row r="324" spans="3:23" ht="18.75" customHeight="1" x14ac:dyDescent="0.35">
      <c r="C324" s="20" t="s">
        <v>287</v>
      </c>
      <c r="W324" s="228">
        <f t="shared" si="22"/>
        <v>0</v>
      </c>
    </row>
    <row r="325" spans="3:23" ht="18.75" customHeight="1" x14ac:dyDescent="0.35">
      <c r="C325" s="20" t="s">
        <v>287</v>
      </c>
      <c r="W325" s="228">
        <f t="shared" si="22"/>
        <v>0</v>
      </c>
    </row>
    <row r="326" spans="3:23" ht="18.75" customHeight="1" x14ac:dyDescent="0.35">
      <c r="C326" s="20" t="s">
        <v>287</v>
      </c>
      <c r="W326" s="228">
        <f t="shared" si="22"/>
        <v>0</v>
      </c>
    </row>
    <row r="327" spans="3:23" ht="18.75" customHeight="1" x14ac:dyDescent="0.35">
      <c r="C327" s="20" t="s">
        <v>287</v>
      </c>
      <c r="W327" s="228">
        <f t="shared" si="22"/>
        <v>0</v>
      </c>
    </row>
    <row r="328" spans="3:23" ht="18.75" customHeight="1" x14ac:dyDescent="0.35">
      <c r="C328" s="20" t="s">
        <v>287</v>
      </c>
      <c r="W328" s="228">
        <f t="shared" si="22"/>
        <v>0</v>
      </c>
    </row>
    <row r="329" spans="3:23" ht="18.75" customHeight="1" x14ac:dyDescent="0.35">
      <c r="C329" s="20" t="s">
        <v>287</v>
      </c>
      <c r="W329" s="228">
        <f t="shared" si="22"/>
        <v>0</v>
      </c>
    </row>
    <row r="330" spans="3:23" ht="18.75" customHeight="1" x14ac:dyDescent="0.35">
      <c r="C330" s="20" t="s">
        <v>287</v>
      </c>
      <c r="W330" s="228">
        <f t="shared" si="22"/>
        <v>0</v>
      </c>
    </row>
    <row r="331" spans="3:23" ht="18.75" customHeight="1" x14ac:dyDescent="0.35">
      <c r="C331" s="20" t="s">
        <v>287</v>
      </c>
      <c r="W331" s="228">
        <f t="shared" si="22"/>
        <v>0</v>
      </c>
    </row>
    <row r="332" spans="3:23" ht="18.75" customHeight="1" x14ac:dyDescent="0.35">
      <c r="C332" s="20" t="s">
        <v>287</v>
      </c>
      <c r="W332" s="228">
        <f t="shared" si="22"/>
        <v>0</v>
      </c>
    </row>
    <row r="333" spans="3:23" ht="18.75" customHeight="1" x14ac:dyDescent="0.35">
      <c r="C333" s="20" t="s">
        <v>287</v>
      </c>
      <c r="W333" s="228">
        <f t="shared" si="22"/>
        <v>0</v>
      </c>
    </row>
    <row r="334" spans="3:23" ht="18.75" customHeight="1" x14ac:dyDescent="0.35">
      <c r="C334" s="20" t="s">
        <v>287</v>
      </c>
      <c r="W334" s="228">
        <f t="shared" si="22"/>
        <v>0</v>
      </c>
    </row>
    <row r="335" spans="3:23" ht="18.75" customHeight="1" x14ac:dyDescent="0.35">
      <c r="C335" s="20" t="s">
        <v>287</v>
      </c>
      <c r="W335" s="228">
        <f t="shared" si="22"/>
        <v>0</v>
      </c>
    </row>
    <row r="336" spans="3:23" ht="18.75" customHeight="1" x14ac:dyDescent="0.35">
      <c r="C336" s="20" t="s">
        <v>287</v>
      </c>
      <c r="W336" s="228">
        <f t="shared" si="22"/>
        <v>0</v>
      </c>
    </row>
    <row r="337" spans="3:23" ht="18.75" customHeight="1" x14ac:dyDescent="0.35">
      <c r="C337" s="20" t="s">
        <v>287</v>
      </c>
      <c r="W337" s="228">
        <f t="shared" si="22"/>
        <v>0</v>
      </c>
    </row>
    <row r="338" spans="3:23" ht="18.75" customHeight="1" x14ac:dyDescent="0.35">
      <c r="C338" s="20" t="s">
        <v>287</v>
      </c>
      <c r="W338" s="228">
        <f t="shared" ref="W338:W401" si="23">J338-S338-T338-U338-V338-R338</f>
        <v>0</v>
      </c>
    </row>
    <row r="339" spans="3:23" ht="18.75" customHeight="1" x14ac:dyDescent="0.35">
      <c r="C339" s="20" t="s">
        <v>287</v>
      </c>
      <c r="W339" s="228">
        <f t="shared" si="23"/>
        <v>0</v>
      </c>
    </row>
    <row r="340" spans="3:23" ht="18.75" customHeight="1" x14ac:dyDescent="0.35">
      <c r="C340" s="20" t="s">
        <v>287</v>
      </c>
      <c r="W340" s="228">
        <f t="shared" si="23"/>
        <v>0</v>
      </c>
    </row>
    <row r="341" spans="3:23" ht="18.75" customHeight="1" x14ac:dyDescent="0.35">
      <c r="C341" s="20" t="s">
        <v>287</v>
      </c>
      <c r="W341" s="228">
        <f t="shared" si="23"/>
        <v>0</v>
      </c>
    </row>
    <row r="342" spans="3:23" ht="18.75" customHeight="1" x14ac:dyDescent="0.35">
      <c r="C342" s="20" t="s">
        <v>287</v>
      </c>
      <c r="W342" s="228">
        <f t="shared" si="23"/>
        <v>0</v>
      </c>
    </row>
    <row r="343" spans="3:23" ht="18.75" customHeight="1" x14ac:dyDescent="0.35">
      <c r="C343" s="20" t="s">
        <v>287</v>
      </c>
      <c r="W343" s="228">
        <f t="shared" si="23"/>
        <v>0</v>
      </c>
    </row>
    <row r="344" spans="3:23" ht="18.75" customHeight="1" x14ac:dyDescent="0.35">
      <c r="C344" s="20" t="s">
        <v>287</v>
      </c>
      <c r="W344" s="228">
        <f t="shared" si="23"/>
        <v>0</v>
      </c>
    </row>
    <row r="345" spans="3:23" ht="18.75" customHeight="1" x14ac:dyDescent="0.35">
      <c r="C345" s="20" t="s">
        <v>287</v>
      </c>
      <c r="W345" s="228">
        <f t="shared" si="23"/>
        <v>0</v>
      </c>
    </row>
    <row r="346" spans="3:23" ht="18.75" customHeight="1" x14ac:dyDescent="0.35">
      <c r="C346" s="20" t="s">
        <v>287</v>
      </c>
      <c r="W346" s="228">
        <f t="shared" si="23"/>
        <v>0</v>
      </c>
    </row>
    <row r="347" spans="3:23" ht="18.75" customHeight="1" x14ac:dyDescent="0.35">
      <c r="C347" s="20" t="s">
        <v>287</v>
      </c>
      <c r="W347" s="228">
        <f t="shared" si="23"/>
        <v>0</v>
      </c>
    </row>
    <row r="348" spans="3:23" ht="18.75" customHeight="1" x14ac:dyDescent="0.35">
      <c r="C348" s="20" t="s">
        <v>287</v>
      </c>
      <c r="W348" s="228">
        <f t="shared" si="23"/>
        <v>0</v>
      </c>
    </row>
    <row r="349" spans="3:23" ht="18.75" customHeight="1" x14ac:dyDescent="0.35">
      <c r="C349" s="20" t="s">
        <v>287</v>
      </c>
      <c r="W349" s="228">
        <f t="shared" si="23"/>
        <v>0</v>
      </c>
    </row>
    <row r="350" spans="3:23" ht="18.75" customHeight="1" x14ac:dyDescent="0.35">
      <c r="C350" s="20" t="s">
        <v>287</v>
      </c>
      <c r="W350" s="228">
        <f t="shared" si="23"/>
        <v>0</v>
      </c>
    </row>
    <row r="351" spans="3:23" ht="18.75" customHeight="1" x14ac:dyDescent="0.35">
      <c r="C351" s="20" t="s">
        <v>287</v>
      </c>
      <c r="W351" s="228">
        <f t="shared" si="23"/>
        <v>0</v>
      </c>
    </row>
    <row r="352" spans="3:23" ht="18.75" customHeight="1" x14ac:dyDescent="0.35">
      <c r="C352" s="20" t="s">
        <v>287</v>
      </c>
      <c r="W352" s="228">
        <f t="shared" si="23"/>
        <v>0</v>
      </c>
    </row>
    <row r="353" spans="3:23" ht="18.75" customHeight="1" x14ac:dyDescent="0.35">
      <c r="C353" s="20" t="s">
        <v>287</v>
      </c>
      <c r="W353" s="228">
        <f t="shared" si="23"/>
        <v>0</v>
      </c>
    </row>
    <row r="354" spans="3:23" ht="18.75" customHeight="1" x14ac:dyDescent="0.35">
      <c r="C354" s="20" t="s">
        <v>287</v>
      </c>
      <c r="W354" s="228">
        <f t="shared" si="23"/>
        <v>0</v>
      </c>
    </row>
    <row r="355" spans="3:23" ht="18.75" customHeight="1" x14ac:dyDescent="0.35">
      <c r="C355" s="20" t="s">
        <v>287</v>
      </c>
      <c r="W355" s="228">
        <f t="shared" si="23"/>
        <v>0</v>
      </c>
    </row>
    <row r="356" spans="3:23" ht="18.75" customHeight="1" x14ac:dyDescent="0.35">
      <c r="C356" s="20" t="s">
        <v>287</v>
      </c>
      <c r="W356" s="228">
        <f t="shared" si="23"/>
        <v>0</v>
      </c>
    </row>
    <row r="357" spans="3:23" ht="18.75" customHeight="1" x14ac:dyDescent="0.35">
      <c r="C357" s="20" t="s">
        <v>287</v>
      </c>
      <c r="W357" s="228">
        <f t="shared" si="23"/>
        <v>0</v>
      </c>
    </row>
    <row r="358" spans="3:23" ht="18.75" customHeight="1" x14ac:dyDescent="0.35">
      <c r="C358" s="20" t="s">
        <v>287</v>
      </c>
      <c r="W358" s="228">
        <f t="shared" si="23"/>
        <v>0</v>
      </c>
    </row>
    <row r="359" spans="3:23" ht="18.75" customHeight="1" x14ac:dyDescent="0.35">
      <c r="C359" s="20" t="s">
        <v>287</v>
      </c>
      <c r="W359" s="228">
        <f t="shared" si="23"/>
        <v>0</v>
      </c>
    </row>
    <row r="360" spans="3:23" ht="18.75" customHeight="1" x14ac:dyDescent="0.35">
      <c r="C360" s="20" t="s">
        <v>287</v>
      </c>
      <c r="W360" s="228">
        <f t="shared" si="23"/>
        <v>0</v>
      </c>
    </row>
    <row r="361" spans="3:23" ht="18.75" customHeight="1" x14ac:dyDescent="0.35">
      <c r="C361" s="20" t="s">
        <v>287</v>
      </c>
      <c r="W361" s="228">
        <f t="shared" si="23"/>
        <v>0</v>
      </c>
    </row>
    <row r="362" spans="3:23" ht="18.75" customHeight="1" x14ac:dyDescent="0.35">
      <c r="C362" s="20" t="s">
        <v>287</v>
      </c>
      <c r="W362" s="228">
        <f t="shared" si="23"/>
        <v>0</v>
      </c>
    </row>
    <row r="363" spans="3:23" ht="18.75" customHeight="1" x14ac:dyDescent="0.35">
      <c r="C363" s="20" t="s">
        <v>287</v>
      </c>
      <c r="W363" s="228">
        <f t="shared" si="23"/>
        <v>0</v>
      </c>
    </row>
    <row r="364" spans="3:23" ht="18.75" customHeight="1" x14ac:dyDescent="0.35">
      <c r="C364" s="20" t="s">
        <v>287</v>
      </c>
      <c r="W364" s="228">
        <f t="shared" si="23"/>
        <v>0</v>
      </c>
    </row>
    <row r="365" spans="3:23" ht="18.75" customHeight="1" x14ac:dyDescent="0.35">
      <c r="C365" s="20" t="s">
        <v>287</v>
      </c>
      <c r="W365" s="228">
        <f t="shared" si="23"/>
        <v>0</v>
      </c>
    </row>
    <row r="366" spans="3:23" ht="18.75" customHeight="1" x14ac:dyDescent="0.35">
      <c r="C366" s="20" t="s">
        <v>287</v>
      </c>
      <c r="W366" s="228">
        <f t="shared" si="23"/>
        <v>0</v>
      </c>
    </row>
    <row r="367" spans="3:23" ht="18.75" customHeight="1" x14ac:dyDescent="0.35">
      <c r="C367" s="20" t="s">
        <v>287</v>
      </c>
      <c r="W367" s="228">
        <f t="shared" si="23"/>
        <v>0</v>
      </c>
    </row>
    <row r="368" spans="3:23" ht="18.75" customHeight="1" x14ac:dyDescent="0.35">
      <c r="C368" s="20" t="s">
        <v>287</v>
      </c>
      <c r="W368" s="228">
        <f t="shared" si="23"/>
        <v>0</v>
      </c>
    </row>
    <row r="369" spans="3:23" ht="18.75" customHeight="1" x14ac:dyDescent="0.35">
      <c r="C369" s="20" t="s">
        <v>287</v>
      </c>
      <c r="W369" s="228">
        <f t="shared" si="23"/>
        <v>0</v>
      </c>
    </row>
    <row r="370" spans="3:23" ht="18.75" customHeight="1" x14ac:dyDescent="0.35">
      <c r="C370" s="20" t="s">
        <v>287</v>
      </c>
      <c r="W370" s="228">
        <f t="shared" si="23"/>
        <v>0</v>
      </c>
    </row>
    <row r="371" spans="3:23" ht="18.75" customHeight="1" x14ac:dyDescent="0.35">
      <c r="C371" s="20" t="s">
        <v>287</v>
      </c>
      <c r="W371" s="228">
        <f t="shared" si="23"/>
        <v>0</v>
      </c>
    </row>
    <row r="372" spans="3:23" ht="18.75" customHeight="1" x14ac:dyDescent="0.35">
      <c r="C372" s="20" t="s">
        <v>287</v>
      </c>
      <c r="W372" s="228">
        <f t="shared" si="23"/>
        <v>0</v>
      </c>
    </row>
    <row r="373" spans="3:23" ht="18.75" customHeight="1" x14ac:dyDescent="0.35">
      <c r="C373" s="20" t="s">
        <v>287</v>
      </c>
      <c r="W373" s="228">
        <f t="shared" si="23"/>
        <v>0</v>
      </c>
    </row>
    <row r="374" spans="3:23" ht="18.75" customHeight="1" x14ac:dyDescent="0.35">
      <c r="C374" s="20" t="s">
        <v>287</v>
      </c>
      <c r="W374" s="228">
        <f t="shared" si="23"/>
        <v>0</v>
      </c>
    </row>
    <row r="375" spans="3:23" ht="18.75" customHeight="1" x14ac:dyDescent="0.35">
      <c r="C375" s="20" t="s">
        <v>287</v>
      </c>
      <c r="W375" s="228">
        <f t="shared" si="23"/>
        <v>0</v>
      </c>
    </row>
    <row r="376" spans="3:23" ht="18.75" customHeight="1" x14ac:dyDescent="0.35">
      <c r="C376" s="20" t="s">
        <v>287</v>
      </c>
      <c r="W376" s="228">
        <f t="shared" si="23"/>
        <v>0</v>
      </c>
    </row>
    <row r="377" spans="3:23" ht="18.75" customHeight="1" x14ac:dyDescent="0.35">
      <c r="C377" s="20" t="s">
        <v>287</v>
      </c>
      <c r="W377" s="228">
        <f t="shared" si="23"/>
        <v>0</v>
      </c>
    </row>
    <row r="378" spans="3:23" ht="18.75" customHeight="1" x14ac:dyDescent="0.35">
      <c r="C378" s="20" t="s">
        <v>287</v>
      </c>
      <c r="W378" s="228">
        <f t="shared" si="23"/>
        <v>0</v>
      </c>
    </row>
    <row r="379" spans="3:23" ht="18.75" customHeight="1" x14ac:dyDescent="0.35">
      <c r="C379" s="20" t="s">
        <v>287</v>
      </c>
      <c r="W379" s="228">
        <f t="shared" si="23"/>
        <v>0</v>
      </c>
    </row>
    <row r="380" spans="3:23" ht="18.75" customHeight="1" x14ac:dyDescent="0.35">
      <c r="C380" s="20" t="s">
        <v>287</v>
      </c>
      <c r="W380" s="228">
        <f t="shared" si="23"/>
        <v>0</v>
      </c>
    </row>
    <row r="381" spans="3:23" ht="18.75" customHeight="1" x14ac:dyDescent="0.35">
      <c r="C381" s="20" t="s">
        <v>287</v>
      </c>
      <c r="W381" s="228">
        <f t="shared" si="23"/>
        <v>0</v>
      </c>
    </row>
    <row r="382" spans="3:23" ht="18.75" customHeight="1" x14ac:dyDescent="0.35">
      <c r="C382" s="20" t="s">
        <v>287</v>
      </c>
      <c r="W382" s="228">
        <f t="shared" si="23"/>
        <v>0</v>
      </c>
    </row>
    <row r="383" spans="3:23" ht="18.75" customHeight="1" x14ac:dyDescent="0.35">
      <c r="C383" s="20" t="s">
        <v>287</v>
      </c>
      <c r="W383" s="228">
        <f t="shared" si="23"/>
        <v>0</v>
      </c>
    </row>
    <row r="384" spans="3:23" ht="18.75" customHeight="1" x14ac:dyDescent="0.35">
      <c r="C384" s="20" t="s">
        <v>287</v>
      </c>
      <c r="W384" s="228">
        <f t="shared" si="23"/>
        <v>0</v>
      </c>
    </row>
    <row r="385" spans="3:23" ht="18.75" customHeight="1" x14ac:dyDescent="0.35">
      <c r="C385" s="20" t="s">
        <v>287</v>
      </c>
      <c r="W385" s="228">
        <f t="shared" si="23"/>
        <v>0</v>
      </c>
    </row>
    <row r="386" spans="3:23" ht="18.75" customHeight="1" x14ac:dyDescent="0.35">
      <c r="C386" s="20" t="s">
        <v>287</v>
      </c>
      <c r="W386" s="228">
        <f t="shared" si="23"/>
        <v>0</v>
      </c>
    </row>
    <row r="387" spans="3:23" ht="18.75" customHeight="1" x14ac:dyDescent="0.35">
      <c r="C387" s="20" t="s">
        <v>287</v>
      </c>
      <c r="W387" s="228">
        <f t="shared" si="23"/>
        <v>0</v>
      </c>
    </row>
    <row r="388" spans="3:23" ht="18.75" customHeight="1" x14ac:dyDescent="0.35">
      <c r="C388" s="20" t="s">
        <v>287</v>
      </c>
      <c r="W388" s="228">
        <f t="shared" si="23"/>
        <v>0</v>
      </c>
    </row>
    <row r="389" spans="3:23" ht="18.75" customHeight="1" x14ac:dyDescent="0.35">
      <c r="C389" s="20" t="s">
        <v>287</v>
      </c>
      <c r="W389" s="228">
        <f t="shared" si="23"/>
        <v>0</v>
      </c>
    </row>
    <row r="390" spans="3:23" ht="18.75" customHeight="1" x14ac:dyDescent="0.35">
      <c r="C390" s="20" t="s">
        <v>287</v>
      </c>
      <c r="W390" s="228">
        <f t="shared" si="23"/>
        <v>0</v>
      </c>
    </row>
    <row r="391" spans="3:23" ht="18.75" customHeight="1" x14ac:dyDescent="0.35">
      <c r="C391" s="20" t="s">
        <v>287</v>
      </c>
      <c r="W391" s="228">
        <f t="shared" si="23"/>
        <v>0</v>
      </c>
    </row>
    <row r="392" spans="3:23" ht="18.75" customHeight="1" x14ac:dyDescent="0.35">
      <c r="C392" s="20" t="s">
        <v>287</v>
      </c>
      <c r="W392" s="228">
        <f t="shared" si="23"/>
        <v>0</v>
      </c>
    </row>
    <row r="393" spans="3:23" ht="18.75" customHeight="1" x14ac:dyDescent="0.35">
      <c r="C393" s="20" t="s">
        <v>287</v>
      </c>
      <c r="W393" s="228">
        <f t="shared" si="23"/>
        <v>0</v>
      </c>
    </row>
    <row r="394" spans="3:23" ht="18.75" customHeight="1" x14ac:dyDescent="0.35">
      <c r="C394" s="20" t="s">
        <v>287</v>
      </c>
      <c r="W394" s="228">
        <f t="shared" si="23"/>
        <v>0</v>
      </c>
    </row>
    <row r="395" spans="3:23" ht="18.75" customHeight="1" x14ac:dyDescent="0.35">
      <c r="C395" s="20" t="s">
        <v>287</v>
      </c>
      <c r="W395" s="228">
        <f t="shared" si="23"/>
        <v>0</v>
      </c>
    </row>
    <row r="396" spans="3:23" ht="18.75" customHeight="1" x14ac:dyDescent="0.35">
      <c r="C396" s="20" t="s">
        <v>287</v>
      </c>
      <c r="W396" s="228">
        <f t="shared" si="23"/>
        <v>0</v>
      </c>
    </row>
    <row r="397" spans="3:23" ht="18.75" customHeight="1" x14ac:dyDescent="0.35">
      <c r="C397" s="20" t="s">
        <v>287</v>
      </c>
      <c r="W397" s="228">
        <f t="shared" si="23"/>
        <v>0</v>
      </c>
    </row>
    <row r="398" spans="3:23" ht="18.75" customHeight="1" x14ac:dyDescent="0.35">
      <c r="C398" s="20" t="s">
        <v>287</v>
      </c>
      <c r="W398" s="228">
        <f t="shared" si="23"/>
        <v>0</v>
      </c>
    </row>
    <row r="399" spans="3:23" ht="18.75" customHeight="1" x14ac:dyDescent="0.35">
      <c r="C399" s="20" t="s">
        <v>287</v>
      </c>
      <c r="W399" s="228">
        <f t="shared" si="23"/>
        <v>0</v>
      </c>
    </row>
    <row r="400" spans="3:23" ht="18.75" customHeight="1" x14ac:dyDescent="0.35">
      <c r="C400" s="20" t="s">
        <v>287</v>
      </c>
      <c r="W400" s="228">
        <f t="shared" si="23"/>
        <v>0</v>
      </c>
    </row>
    <row r="401" spans="3:23" ht="18.75" customHeight="1" x14ac:dyDescent="0.35">
      <c r="C401" s="20" t="s">
        <v>287</v>
      </c>
      <c r="W401" s="228">
        <f t="shared" si="23"/>
        <v>0</v>
      </c>
    </row>
    <row r="402" spans="3:23" ht="18.75" customHeight="1" x14ac:dyDescent="0.35">
      <c r="C402" s="20" t="s">
        <v>287</v>
      </c>
      <c r="W402" s="228">
        <f t="shared" ref="W402:W465" si="24">J402-S402-T402-U402-V402-R402</f>
        <v>0</v>
      </c>
    </row>
    <row r="403" spans="3:23" ht="18.75" customHeight="1" x14ac:dyDescent="0.35">
      <c r="C403" s="20" t="s">
        <v>287</v>
      </c>
      <c r="W403" s="228">
        <f t="shared" si="24"/>
        <v>0</v>
      </c>
    </row>
    <row r="404" spans="3:23" ht="18.75" customHeight="1" x14ac:dyDescent="0.35">
      <c r="C404" s="20" t="s">
        <v>287</v>
      </c>
      <c r="W404" s="228">
        <f t="shared" si="24"/>
        <v>0</v>
      </c>
    </row>
    <row r="405" spans="3:23" ht="18.75" customHeight="1" x14ac:dyDescent="0.35">
      <c r="C405" s="20" t="s">
        <v>287</v>
      </c>
      <c r="W405" s="228">
        <f t="shared" si="24"/>
        <v>0</v>
      </c>
    </row>
    <row r="406" spans="3:23" ht="18.75" customHeight="1" x14ac:dyDescent="0.35">
      <c r="C406" s="20" t="s">
        <v>287</v>
      </c>
      <c r="W406" s="228">
        <f t="shared" si="24"/>
        <v>0</v>
      </c>
    </row>
    <row r="407" spans="3:23" ht="18.75" customHeight="1" x14ac:dyDescent="0.35">
      <c r="C407" s="20" t="s">
        <v>287</v>
      </c>
      <c r="W407" s="228">
        <f t="shared" si="24"/>
        <v>0</v>
      </c>
    </row>
    <row r="408" spans="3:23" ht="18.75" customHeight="1" x14ac:dyDescent="0.35">
      <c r="C408" s="20" t="s">
        <v>287</v>
      </c>
      <c r="W408" s="228">
        <f t="shared" si="24"/>
        <v>0</v>
      </c>
    </row>
    <row r="409" spans="3:23" ht="18.75" customHeight="1" x14ac:dyDescent="0.35">
      <c r="C409" s="20" t="s">
        <v>287</v>
      </c>
      <c r="W409" s="228">
        <f t="shared" si="24"/>
        <v>0</v>
      </c>
    </row>
    <row r="410" spans="3:23" ht="18.75" customHeight="1" x14ac:dyDescent="0.35">
      <c r="C410" s="20" t="s">
        <v>287</v>
      </c>
      <c r="W410" s="228">
        <f t="shared" si="24"/>
        <v>0</v>
      </c>
    </row>
    <row r="411" spans="3:23" ht="18.75" customHeight="1" x14ac:dyDescent="0.35">
      <c r="C411" s="20" t="s">
        <v>287</v>
      </c>
      <c r="W411" s="228">
        <f t="shared" si="24"/>
        <v>0</v>
      </c>
    </row>
    <row r="412" spans="3:23" ht="18.75" customHeight="1" x14ac:dyDescent="0.35">
      <c r="C412" s="20" t="s">
        <v>287</v>
      </c>
      <c r="W412" s="228">
        <f t="shared" si="24"/>
        <v>0</v>
      </c>
    </row>
    <row r="413" spans="3:23" ht="18.75" customHeight="1" x14ac:dyDescent="0.35">
      <c r="C413" s="20" t="s">
        <v>287</v>
      </c>
      <c r="W413" s="228">
        <f t="shared" si="24"/>
        <v>0</v>
      </c>
    </row>
    <row r="414" spans="3:23" ht="18.75" customHeight="1" x14ac:dyDescent="0.35">
      <c r="C414" s="20" t="s">
        <v>287</v>
      </c>
      <c r="W414" s="228">
        <f t="shared" si="24"/>
        <v>0</v>
      </c>
    </row>
    <row r="415" spans="3:23" ht="18.75" customHeight="1" x14ac:dyDescent="0.35">
      <c r="C415" s="20" t="s">
        <v>287</v>
      </c>
      <c r="W415" s="228">
        <f t="shared" si="24"/>
        <v>0</v>
      </c>
    </row>
    <row r="416" spans="3:23" ht="18.75" customHeight="1" x14ac:dyDescent="0.35">
      <c r="C416" s="20" t="s">
        <v>287</v>
      </c>
      <c r="W416" s="228">
        <f t="shared" si="24"/>
        <v>0</v>
      </c>
    </row>
    <row r="417" spans="3:23" ht="18.75" customHeight="1" x14ac:dyDescent="0.35">
      <c r="C417" s="20" t="s">
        <v>287</v>
      </c>
      <c r="W417" s="228">
        <f t="shared" si="24"/>
        <v>0</v>
      </c>
    </row>
    <row r="418" spans="3:23" ht="18.75" customHeight="1" x14ac:dyDescent="0.35">
      <c r="C418" s="20" t="s">
        <v>287</v>
      </c>
      <c r="W418" s="228">
        <f t="shared" si="24"/>
        <v>0</v>
      </c>
    </row>
    <row r="419" spans="3:23" ht="18.75" customHeight="1" x14ac:dyDescent="0.35">
      <c r="C419" s="20" t="s">
        <v>287</v>
      </c>
      <c r="W419" s="228">
        <f t="shared" si="24"/>
        <v>0</v>
      </c>
    </row>
    <row r="420" spans="3:23" ht="18.75" customHeight="1" x14ac:dyDescent="0.35">
      <c r="C420" s="20" t="s">
        <v>287</v>
      </c>
      <c r="W420" s="228">
        <f t="shared" si="24"/>
        <v>0</v>
      </c>
    </row>
    <row r="421" spans="3:23" ht="18.75" customHeight="1" x14ac:dyDescent="0.35">
      <c r="C421" s="20" t="s">
        <v>287</v>
      </c>
      <c r="W421" s="228">
        <f t="shared" si="24"/>
        <v>0</v>
      </c>
    </row>
    <row r="422" spans="3:23" ht="18.75" customHeight="1" x14ac:dyDescent="0.35">
      <c r="C422" s="20" t="s">
        <v>287</v>
      </c>
      <c r="W422" s="228">
        <f t="shared" si="24"/>
        <v>0</v>
      </c>
    </row>
    <row r="423" spans="3:23" ht="18.75" customHeight="1" x14ac:dyDescent="0.35">
      <c r="C423" s="20" t="s">
        <v>287</v>
      </c>
      <c r="W423" s="228">
        <f t="shared" si="24"/>
        <v>0</v>
      </c>
    </row>
    <row r="424" spans="3:23" ht="18.75" customHeight="1" x14ac:dyDescent="0.35">
      <c r="C424" s="20" t="s">
        <v>287</v>
      </c>
      <c r="W424" s="228">
        <f t="shared" si="24"/>
        <v>0</v>
      </c>
    </row>
    <row r="425" spans="3:23" ht="18.75" customHeight="1" x14ac:dyDescent="0.35">
      <c r="C425" s="20" t="s">
        <v>287</v>
      </c>
      <c r="W425" s="228">
        <f t="shared" si="24"/>
        <v>0</v>
      </c>
    </row>
    <row r="426" spans="3:23" ht="18.75" customHeight="1" x14ac:dyDescent="0.35">
      <c r="C426" s="20" t="s">
        <v>287</v>
      </c>
      <c r="W426" s="228">
        <f t="shared" si="24"/>
        <v>0</v>
      </c>
    </row>
    <row r="427" spans="3:23" ht="18.75" customHeight="1" x14ac:dyDescent="0.35">
      <c r="C427" s="20" t="s">
        <v>287</v>
      </c>
      <c r="W427" s="228">
        <f t="shared" si="24"/>
        <v>0</v>
      </c>
    </row>
    <row r="428" spans="3:23" ht="18.75" customHeight="1" x14ac:dyDescent="0.35">
      <c r="C428" s="20" t="s">
        <v>287</v>
      </c>
      <c r="W428" s="228">
        <f t="shared" si="24"/>
        <v>0</v>
      </c>
    </row>
    <row r="429" spans="3:23" ht="18.75" customHeight="1" x14ac:dyDescent="0.35">
      <c r="C429" s="20" t="s">
        <v>287</v>
      </c>
      <c r="W429" s="228">
        <f t="shared" si="24"/>
        <v>0</v>
      </c>
    </row>
    <row r="430" spans="3:23" ht="18.75" customHeight="1" x14ac:dyDescent="0.35">
      <c r="C430" s="20" t="s">
        <v>287</v>
      </c>
      <c r="W430" s="228">
        <f t="shared" si="24"/>
        <v>0</v>
      </c>
    </row>
    <row r="431" spans="3:23" ht="18.75" customHeight="1" x14ac:dyDescent="0.35">
      <c r="C431" s="20" t="s">
        <v>287</v>
      </c>
      <c r="W431" s="228">
        <f t="shared" si="24"/>
        <v>0</v>
      </c>
    </row>
    <row r="432" spans="3:23" ht="18.75" customHeight="1" x14ac:dyDescent="0.35">
      <c r="C432" s="20" t="s">
        <v>287</v>
      </c>
      <c r="W432" s="228">
        <f t="shared" si="24"/>
        <v>0</v>
      </c>
    </row>
    <row r="433" spans="3:23" ht="18.75" customHeight="1" x14ac:dyDescent="0.35">
      <c r="C433" s="20" t="s">
        <v>287</v>
      </c>
      <c r="W433" s="228">
        <f t="shared" si="24"/>
        <v>0</v>
      </c>
    </row>
    <row r="434" spans="3:23" ht="18.75" customHeight="1" x14ac:dyDescent="0.35">
      <c r="C434" s="20" t="s">
        <v>287</v>
      </c>
      <c r="W434" s="228">
        <f t="shared" si="24"/>
        <v>0</v>
      </c>
    </row>
    <row r="435" spans="3:23" ht="18.75" customHeight="1" x14ac:dyDescent="0.35">
      <c r="C435" s="20" t="s">
        <v>287</v>
      </c>
      <c r="W435" s="228">
        <f t="shared" si="24"/>
        <v>0</v>
      </c>
    </row>
    <row r="436" spans="3:23" ht="18.75" customHeight="1" x14ac:dyDescent="0.35">
      <c r="C436" s="20" t="s">
        <v>287</v>
      </c>
      <c r="W436" s="228">
        <f t="shared" si="24"/>
        <v>0</v>
      </c>
    </row>
    <row r="437" spans="3:23" ht="18.75" customHeight="1" x14ac:dyDescent="0.35">
      <c r="C437" s="20" t="s">
        <v>287</v>
      </c>
      <c r="W437" s="228">
        <f t="shared" si="24"/>
        <v>0</v>
      </c>
    </row>
    <row r="438" spans="3:23" ht="18.75" customHeight="1" x14ac:dyDescent="0.35">
      <c r="C438" s="20" t="s">
        <v>287</v>
      </c>
      <c r="W438" s="228">
        <f t="shared" si="24"/>
        <v>0</v>
      </c>
    </row>
    <row r="439" spans="3:23" ht="18.75" customHeight="1" x14ac:dyDescent="0.35">
      <c r="C439" s="20" t="s">
        <v>287</v>
      </c>
      <c r="W439" s="228">
        <f t="shared" si="24"/>
        <v>0</v>
      </c>
    </row>
    <row r="440" spans="3:23" ht="18.75" customHeight="1" x14ac:dyDescent="0.35">
      <c r="C440" s="20" t="s">
        <v>287</v>
      </c>
      <c r="W440" s="228">
        <f t="shared" si="24"/>
        <v>0</v>
      </c>
    </row>
    <row r="441" spans="3:23" ht="18.75" customHeight="1" x14ac:dyDescent="0.35">
      <c r="C441" s="20" t="s">
        <v>287</v>
      </c>
      <c r="W441" s="228">
        <f t="shared" si="24"/>
        <v>0</v>
      </c>
    </row>
    <row r="442" spans="3:23" ht="18.75" customHeight="1" x14ac:dyDescent="0.35">
      <c r="C442" s="20" t="s">
        <v>287</v>
      </c>
      <c r="W442" s="228">
        <f t="shared" si="24"/>
        <v>0</v>
      </c>
    </row>
    <row r="443" spans="3:23" ht="18.75" customHeight="1" x14ac:dyDescent="0.35">
      <c r="C443" s="20" t="s">
        <v>287</v>
      </c>
      <c r="W443" s="228">
        <f t="shared" si="24"/>
        <v>0</v>
      </c>
    </row>
    <row r="444" spans="3:23" ht="18.75" customHeight="1" x14ac:dyDescent="0.35">
      <c r="C444" s="20" t="s">
        <v>287</v>
      </c>
      <c r="W444" s="228">
        <f t="shared" si="24"/>
        <v>0</v>
      </c>
    </row>
    <row r="445" spans="3:23" ht="18.75" customHeight="1" x14ac:dyDescent="0.35">
      <c r="C445" s="20" t="s">
        <v>287</v>
      </c>
      <c r="W445" s="228">
        <f t="shared" si="24"/>
        <v>0</v>
      </c>
    </row>
    <row r="446" spans="3:23" ht="18.75" customHeight="1" x14ac:dyDescent="0.35">
      <c r="C446" s="20" t="s">
        <v>287</v>
      </c>
      <c r="W446" s="228">
        <f t="shared" si="24"/>
        <v>0</v>
      </c>
    </row>
    <row r="447" spans="3:23" ht="18.75" customHeight="1" x14ac:dyDescent="0.35">
      <c r="C447" s="20" t="s">
        <v>287</v>
      </c>
      <c r="W447" s="228">
        <f t="shared" si="24"/>
        <v>0</v>
      </c>
    </row>
    <row r="448" spans="3:23" ht="18.75" customHeight="1" x14ac:dyDescent="0.35">
      <c r="C448" s="20" t="s">
        <v>287</v>
      </c>
      <c r="W448" s="228">
        <f t="shared" si="24"/>
        <v>0</v>
      </c>
    </row>
    <row r="449" spans="3:23" ht="18.75" customHeight="1" x14ac:dyDescent="0.35">
      <c r="C449" s="20" t="s">
        <v>287</v>
      </c>
      <c r="W449" s="228">
        <f t="shared" si="24"/>
        <v>0</v>
      </c>
    </row>
    <row r="450" spans="3:23" ht="18.75" customHeight="1" x14ac:dyDescent="0.35">
      <c r="C450" s="20" t="s">
        <v>287</v>
      </c>
      <c r="W450" s="228">
        <f t="shared" si="24"/>
        <v>0</v>
      </c>
    </row>
    <row r="451" spans="3:23" ht="18.75" customHeight="1" x14ac:dyDescent="0.35">
      <c r="C451" s="20" t="s">
        <v>287</v>
      </c>
      <c r="W451" s="228">
        <f t="shared" si="24"/>
        <v>0</v>
      </c>
    </row>
    <row r="452" spans="3:23" ht="18.75" customHeight="1" x14ac:dyDescent="0.35">
      <c r="C452" s="20" t="s">
        <v>287</v>
      </c>
      <c r="W452" s="228">
        <f t="shared" si="24"/>
        <v>0</v>
      </c>
    </row>
    <row r="453" spans="3:23" ht="18.75" customHeight="1" x14ac:dyDescent="0.35">
      <c r="C453" s="20" t="s">
        <v>287</v>
      </c>
      <c r="W453" s="228">
        <f t="shared" si="24"/>
        <v>0</v>
      </c>
    </row>
    <row r="454" spans="3:23" ht="18.75" customHeight="1" x14ac:dyDescent="0.35">
      <c r="C454" s="20" t="s">
        <v>287</v>
      </c>
      <c r="W454" s="228">
        <f t="shared" si="24"/>
        <v>0</v>
      </c>
    </row>
    <row r="455" spans="3:23" ht="18.75" customHeight="1" x14ac:dyDescent="0.35">
      <c r="C455" s="20" t="s">
        <v>287</v>
      </c>
      <c r="W455" s="228">
        <f t="shared" si="24"/>
        <v>0</v>
      </c>
    </row>
    <row r="456" spans="3:23" ht="18.75" customHeight="1" x14ac:dyDescent="0.35">
      <c r="C456" s="20" t="s">
        <v>287</v>
      </c>
      <c r="W456" s="228">
        <f t="shared" si="24"/>
        <v>0</v>
      </c>
    </row>
    <row r="457" spans="3:23" ht="18.75" customHeight="1" x14ac:dyDescent="0.35">
      <c r="C457" s="20" t="s">
        <v>287</v>
      </c>
      <c r="W457" s="228">
        <f t="shared" si="24"/>
        <v>0</v>
      </c>
    </row>
    <row r="458" spans="3:23" ht="18.75" customHeight="1" x14ac:dyDescent="0.35">
      <c r="C458" s="20" t="s">
        <v>287</v>
      </c>
      <c r="W458" s="228">
        <f t="shared" si="24"/>
        <v>0</v>
      </c>
    </row>
    <row r="459" spans="3:23" ht="18.75" customHeight="1" x14ac:dyDescent="0.35">
      <c r="C459" s="20" t="s">
        <v>287</v>
      </c>
      <c r="W459" s="228">
        <f t="shared" si="24"/>
        <v>0</v>
      </c>
    </row>
    <row r="460" spans="3:23" ht="18.75" customHeight="1" x14ac:dyDescent="0.35">
      <c r="C460" s="20" t="s">
        <v>287</v>
      </c>
      <c r="W460" s="228">
        <f t="shared" si="24"/>
        <v>0</v>
      </c>
    </row>
    <row r="461" spans="3:23" ht="18.75" customHeight="1" x14ac:dyDescent="0.35">
      <c r="C461" s="20" t="s">
        <v>287</v>
      </c>
      <c r="W461" s="228">
        <f t="shared" si="24"/>
        <v>0</v>
      </c>
    </row>
    <row r="462" spans="3:23" ht="18.75" customHeight="1" x14ac:dyDescent="0.35">
      <c r="C462" s="20" t="s">
        <v>287</v>
      </c>
      <c r="W462" s="228">
        <f t="shared" si="24"/>
        <v>0</v>
      </c>
    </row>
    <row r="463" spans="3:23" ht="18.75" customHeight="1" x14ac:dyDescent="0.35">
      <c r="C463" s="20" t="s">
        <v>287</v>
      </c>
      <c r="W463" s="228">
        <f t="shared" si="24"/>
        <v>0</v>
      </c>
    </row>
    <row r="464" spans="3:23" ht="18.75" customHeight="1" x14ac:dyDescent="0.35">
      <c r="C464" s="20" t="s">
        <v>287</v>
      </c>
      <c r="W464" s="228">
        <f t="shared" si="24"/>
        <v>0</v>
      </c>
    </row>
    <row r="465" spans="3:23" ht="18.75" customHeight="1" x14ac:dyDescent="0.35">
      <c r="C465" s="20" t="s">
        <v>287</v>
      </c>
      <c r="W465" s="228">
        <f t="shared" si="24"/>
        <v>0</v>
      </c>
    </row>
    <row r="466" spans="3:23" ht="18.75" customHeight="1" x14ac:dyDescent="0.35">
      <c r="C466" s="20" t="s">
        <v>287</v>
      </c>
      <c r="W466" s="228">
        <f t="shared" ref="W466:W495" si="25">J466-S466-T466-U466-V466-R466</f>
        <v>0</v>
      </c>
    </row>
    <row r="467" spans="3:23" ht="18.75" customHeight="1" x14ac:dyDescent="0.35">
      <c r="C467" s="20" t="s">
        <v>287</v>
      </c>
      <c r="W467" s="228">
        <f t="shared" si="25"/>
        <v>0</v>
      </c>
    </row>
    <row r="468" spans="3:23" ht="18.75" customHeight="1" x14ac:dyDescent="0.35">
      <c r="C468" s="20" t="s">
        <v>287</v>
      </c>
      <c r="W468" s="228">
        <f t="shared" si="25"/>
        <v>0</v>
      </c>
    </row>
    <row r="469" spans="3:23" ht="18.75" customHeight="1" x14ac:dyDescent="0.35">
      <c r="C469" s="20" t="s">
        <v>287</v>
      </c>
      <c r="W469" s="228">
        <f t="shared" si="25"/>
        <v>0</v>
      </c>
    </row>
    <row r="470" spans="3:23" ht="18.75" customHeight="1" x14ac:dyDescent="0.35">
      <c r="C470" s="20" t="s">
        <v>287</v>
      </c>
      <c r="W470" s="228">
        <f t="shared" si="25"/>
        <v>0</v>
      </c>
    </row>
    <row r="471" spans="3:23" ht="18.75" customHeight="1" x14ac:dyDescent="0.35">
      <c r="C471" s="20" t="s">
        <v>287</v>
      </c>
      <c r="W471" s="228">
        <f t="shared" si="25"/>
        <v>0</v>
      </c>
    </row>
    <row r="472" spans="3:23" ht="18.75" customHeight="1" x14ac:dyDescent="0.35">
      <c r="C472" s="20" t="s">
        <v>287</v>
      </c>
      <c r="W472" s="228">
        <f t="shared" si="25"/>
        <v>0</v>
      </c>
    </row>
    <row r="473" spans="3:23" ht="18.75" customHeight="1" x14ac:dyDescent="0.35">
      <c r="C473" s="20" t="s">
        <v>287</v>
      </c>
      <c r="W473" s="228">
        <f t="shared" si="25"/>
        <v>0</v>
      </c>
    </row>
    <row r="474" spans="3:23" ht="18.75" customHeight="1" x14ac:dyDescent="0.35">
      <c r="C474" s="20" t="s">
        <v>287</v>
      </c>
      <c r="W474" s="228">
        <f t="shared" si="25"/>
        <v>0</v>
      </c>
    </row>
    <row r="475" spans="3:23" ht="18.75" customHeight="1" x14ac:dyDescent="0.35">
      <c r="C475" s="20" t="s">
        <v>287</v>
      </c>
      <c r="W475" s="228">
        <f t="shared" si="25"/>
        <v>0</v>
      </c>
    </row>
    <row r="476" spans="3:23" ht="18.75" customHeight="1" x14ac:dyDescent="0.35">
      <c r="C476" s="20" t="s">
        <v>287</v>
      </c>
      <c r="W476" s="228">
        <f t="shared" si="25"/>
        <v>0</v>
      </c>
    </row>
    <row r="477" spans="3:23" ht="18.75" customHeight="1" x14ac:dyDescent="0.35">
      <c r="C477" s="20" t="s">
        <v>287</v>
      </c>
      <c r="W477" s="228">
        <f t="shared" si="25"/>
        <v>0</v>
      </c>
    </row>
    <row r="478" spans="3:23" ht="18.75" customHeight="1" x14ac:dyDescent="0.35">
      <c r="C478" s="20" t="s">
        <v>287</v>
      </c>
      <c r="W478" s="228">
        <f t="shared" si="25"/>
        <v>0</v>
      </c>
    </row>
    <row r="479" spans="3:23" ht="18.75" customHeight="1" x14ac:dyDescent="0.35">
      <c r="C479" s="20" t="s">
        <v>287</v>
      </c>
      <c r="W479" s="228">
        <f t="shared" si="25"/>
        <v>0</v>
      </c>
    </row>
    <row r="480" spans="3:23" ht="18.75" customHeight="1" x14ac:dyDescent="0.35">
      <c r="C480" s="20" t="s">
        <v>287</v>
      </c>
      <c r="W480" s="228">
        <f t="shared" si="25"/>
        <v>0</v>
      </c>
    </row>
    <row r="481" spans="3:23" ht="18.75" customHeight="1" x14ac:dyDescent="0.35">
      <c r="C481" s="20" t="s">
        <v>287</v>
      </c>
      <c r="W481" s="228">
        <f t="shared" si="25"/>
        <v>0</v>
      </c>
    </row>
    <row r="482" spans="3:23" ht="18.75" customHeight="1" x14ac:dyDescent="0.35">
      <c r="C482" s="20" t="s">
        <v>287</v>
      </c>
      <c r="W482" s="228">
        <f t="shared" si="25"/>
        <v>0</v>
      </c>
    </row>
    <row r="483" spans="3:23" ht="18.75" customHeight="1" x14ac:dyDescent="0.35">
      <c r="C483" s="20" t="s">
        <v>287</v>
      </c>
      <c r="W483" s="228">
        <f t="shared" si="25"/>
        <v>0</v>
      </c>
    </row>
    <row r="484" spans="3:23" ht="18.75" customHeight="1" x14ac:dyDescent="0.35">
      <c r="C484" s="20" t="s">
        <v>287</v>
      </c>
      <c r="W484" s="228">
        <f t="shared" si="25"/>
        <v>0</v>
      </c>
    </row>
    <row r="485" spans="3:23" ht="18.75" customHeight="1" x14ac:dyDescent="0.35">
      <c r="C485" s="20" t="s">
        <v>287</v>
      </c>
      <c r="W485" s="228">
        <f t="shared" si="25"/>
        <v>0</v>
      </c>
    </row>
    <row r="486" spans="3:23" ht="18.75" customHeight="1" x14ac:dyDescent="0.35">
      <c r="C486" s="20" t="s">
        <v>287</v>
      </c>
      <c r="W486" s="228">
        <f t="shared" si="25"/>
        <v>0</v>
      </c>
    </row>
    <row r="487" spans="3:23" ht="18.75" customHeight="1" x14ac:dyDescent="0.35">
      <c r="C487" s="20" t="s">
        <v>287</v>
      </c>
      <c r="W487" s="228">
        <f t="shared" si="25"/>
        <v>0</v>
      </c>
    </row>
    <row r="488" spans="3:23" ht="18.75" customHeight="1" x14ac:dyDescent="0.35">
      <c r="C488" s="20" t="s">
        <v>287</v>
      </c>
      <c r="W488" s="228">
        <f t="shared" si="25"/>
        <v>0</v>
      </c>
    </row>
    <row r="489" spans="3:23" ht="18.75" customHeight="1" x14ac:dyDescent="0.35">
      <c r="C489" s="20" t="s">
        <v>287</v>
      </c>
      <c r="W489" s="228">
        <f t="shared" si="25"/>
        <v>0</v>
      </c>
    </row>
    <row r="490" spans="3:23" ht="18.75" customHeight="1" x14ac:dyDescent="0.35">
      <c r="C490" s="20" t="s">
        <v>287</v>
      </c>
      <c r="W490" s="228">
        <f t="shared" si="25"/>
        <v>0</v>
      </c>
    </row>
    <row r="491" spans="3:23" ht="18.75" customHeight="1" x14ac:dyDescent="0.35">
      <c r="C491" s="20" t="s">
        <v>287</v>
      </c>
      <c r="W491" s="228">
        <f t="shared" si="25"/>
        <v>0</v>
      </c>
    </row>
    <row r="492" spans="3:23" ht="18.75" customHeight="1" x14ac:dyDescent="0.35">
      <c r="C492" s="20" t="s">
        <v>287</v>
      </c>
      <c r="W492" s="228">
        <f t="shared" si="25"/>
        <v>0</v>
      </c>
    </row>
    <row r="493" spans="3:23" ht="18.75" customHeight="1" x14ac:dyDescent="0.35">
      <c r="C493" s="20" t="s">
        <v>287</v>
      </c>
      <c r="W493" s="228">
        <f t="shared" si="25"/>
        <v>0</v>
      </c>
    </row>
    <row r="494" spans="3:23" ht="18.75" customHeight="1" x14ac:dyDescent="0.35">
      <c r="C494" s="20" t="s">
        <v>287</v>
      </c>
      <c r="W494" s="228">
        <f t="shared" si="25"/>
        <v>0</v>
      </c>
    </row>
    <row r="495" spans="3:23" ht="18.75" customHeight="1" x14ac:dyDescent="0.35">
      <c r="C495" s="20" t="s">
        <v>287</v>
      </c>
      <c r="W495" s="228">
        <f t="shared" si="25"/>
        <v>0</v>
      </c>
    </row>
    <row r="496" spans="3:23" ht="18.75" customHeight="1" x14ac:dyDescent="0.35">
      <c r="C496" s="20" t="s">
        <v>287</v>
      </c>
    </row>
    <row r="497" spans="3:3" ht="18.75" customHeight="1" x14ac:dyDescent="0.35">
      <c r="C497" s="20" t="s">
        <v>287</v>
      </c>
    </row>
    <row r="498" spans="3:3" ht="18.75" customHeight="1" x14ac:dyDescent="0.35">
      <c r="C498" s="20" t="s">
        <v>287</v>
      </c>
    </row>
    <row r="499" spans="3:3" ht="18.75" customHeight="1" x14ac:dyDescent="0.35">
      <c r="C499" s="20" t="s">
        <v>287</v>
      </c>
    </row>
    <row r="500" spans="3:3" ht="18.75" customHeight="1" x14ac:dyDescent="0.35">
      <c r="C500" s="20" t="s">
        <v>287</v>
      </c>
    </row>
  </sheetData>
  <autoFilter ref="B2:AU54" xr:uid="{A3C2B5C2-AC13-4FB0-B4E1-B24C12F6135C}"/>
  <mergeCells count="9">
    <mergeCell ref="E80:W80"/>
    <mergeCell ref="C8:W8"/>
    <mergeCell ref="AB23:AB24"/>
    <mergeCell ref="D31:W31"/>
    <mergeCell ref="J40:J41"/>
    <mergeCell ref="K40:K41"/>
    <mergeCell ref="O40:O41"/>
    <mergeCell ref="W40:W41"/>
    <mergeCell ref="X40:X41"/>
  </mergeCells>
  <conditionalFormatting sqref="D32:D688">
    <cfRule type="expression" dxfId="5" priority="1">
      <formula>$D32="Despachar"</formula>
    </cfRule>
    <cfRule type="expression" dxfId="4" priority="2">
      <formula>$D32="Falta"</formula>
    </cfRule>
    <cfRule type="expression" dxfId="3" priority="3">
      <formula>$D32="Completado"</formula>
    </cfRule>
  </conditionalFormatting>
  <dataValidations count="7">
    <dataValidation type="list" allowBlank="1" showInputMessage="1" showErrorMessage="1" sqref="H24 H32:H78 H81:H188 AJ10:AJ11 AJ13 AJ17" xr:uid="{1295475B-12FE-4F7E-9FE9-CF4297A6D44E}">
      <formula1>"D6 Classic,Velas,D6 Gold,D6 Deluxe,D2 moño,D2,Choco Suelto,Mini Recuerdo,Cajita de 4,Caja 44 Chocos, Caja 22 Chocos,Choco Cintas"</formula1>
    </dataValidation>
    <dataValidation type="list" showInputMessage="1" showErrorMessage="1" sqref="AA32" xr:uid="{770ABF6B-AB38-4187-A731-A650747DE056}">
      <formula1>"Completado, "</formula1>
    </dataValidation>
    <dataValidation type="list" allowBlank="1" showInputMessage="1" showErrorMessage="1" sqref="AA33:AA53" xr:uid="{AD125930-C687-4114-AEFE-4CDFD96E030A}">
      <formula1>"Completado,Falta"</formula1>
    </dataValidation>
    <dataValidation type="list" allowBlank="1" showInputMessage="1" showErrorMessage="1" sqref="D689:D1048576 D1:D31" xr:uid="{F56E8CAF-6DC6-4F03-A827-1767662B5A80}">
      <formula1>"Completo, Falta"</formula1>
    </dataValidation>
    <dataValidation type="list" allowBlank="1" showInputMessage="1" showErrorMessage="1" sqref="AA54:AA188" xr:uid="{9B34003A-3535-4B6C-8A3E-01ECA35C28BE}">
      <formula1>"Completado"</formula1>
    </dataValidation>
    <dataValidation type="list" allowBlank="1" showInputMessage="1" showErrorMessage="1" sqref="D32:D688" xr:uid="{6A12085C-D78C-4466-A07D-727BE9A541E8}">
      <formula1>"Completado,Falta,Despachar"</formula1>
    </dataValidation>
    <dataValidation type="list" allowBlank="1" showInputMessage="1" showErrorMessage="1" sqref="C26:C500" xr:uid="{8C5ADAE4-598B-418B-9AFD-95E4E2B2FBB5}">
      <formula1>"MELI,WEB,IG,PAGINA,OTRO"</formula1>
    </dataValidation>
  </dataValidations>
  <pageMargins left="0.7" right="0.7" top="0.75" bottom="0.75" header="0.3" footer="0.3"/>
  <ignoredErrors>
    <ignoredError sqref="W28" evalError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67F64-3ABC-4708-BA81-92E920AC7AEC}">
  <dimension ref="C3:I10"/>
  <sheetViews>
    <sheetView workbookViewId="0">
      <selection activeCell="J10" sqref="J10"/>
    </sheetView>
  </sheetViews>
  <sheetFormatPr baseColWidth="10" defaultRowHeight="15" x14ac:dyDescent="0.25"/>
  <sheetData>
    <row r="3" spans="3:9" x14ac:dyDescent="0.25">
      <c r="F3" s="3" t="s">
        <v>73</v>
      </c>
      <c r="H3" t="s">
        <v>74</v>
      </c>
    </row>
    <row r="4" spans="3:9" x14ac:dyDescent="0.25">
      <c r="C4" t="s">
        <v>67</v>
      </c>
      <c r="D4">
        <v>1000</v>
      </c>
      <c r="E4" s="22">
        <v>7494</v>
      </c>
      <c r="F4" s="6">
        <f>E4/D4</f>
        <v>7.4939999999999998</v>
      </c>
      <c r="H4">
        <v>85</v>
      </c>
      <c r="I4" s="2">
        <f>F4*$H$4</f>
        <v>636.99</v>
      </c>
    </row>
    <row r="5" spans="3:9" x14ac:dyDescent="0.25">
      <c r="C5" t="s">
        <v>68</v>
      </c>
      <c r="D5">
        <v>1000</v>
      </c>
      <c r="E5" s="22">
        <v>8795</v>
      </c>
      <c r="F5" s="6">
        <f t="shared" ref="F5:F9" si="0">E5/D5</f>
        <v>8.7949999999999999</v>
      </c>
      <c r="H5">
        <v>6</v>
      </c>
      <c r="I5" s="2">
        <f t="shared" ref="I5:I9" si="1">F5*$H$4</f>
        <v>747.57500000000005</v>
      </c>
    </row>
    <row r="6" spans="3:9" x14ac:dyDescent="0.25">
      <c r="C6" t="s">
        <v>69</v>
      </c>
      <c r="D6">
        <v>1000</v>
      </c>
      <c r="E6" s="22">
        <v>9999</v>
      </c>
      <c r="F6" s="6">
        <f t="shared" si="0"/>
        <v>9.9990000000000006</v>
      </c>
      <c r="H6" s="32">
        <f>H4*H5</f>
        <v>510</v>
      </c>
      <c r="I6" s="2">
        <f t="shared" si="1"/>
        <v>849.91500000000008</v>
      </c>
    </row>
    <row r="7" spans="3:9" x14ac:dyDescent="0.25">
      <c r="C7" t="s">
        <v>70</v>
      </c>
      <c r="D7">
        <v>500</v>
      </c>
      <c r="E7" s="22">
        <v>7400</v>
      </c>
      <c r="F7" s="6">
        <f t="shared" si="0"/>
        <v>14.8</v>
      </c>
      <c r="I7" s="2">
        <f t="shared" si="1"/>
        <v>1258</v>
      </c>
    </row>
    <row r="8" spans="3:9" x14ac:dyDescent="0.25">
      <c r="C8" t="s">
        <v>71</v>
      </c>
      <c r="D8">
        <v>500</v>
      </c>
      <c r="E8" s="22">
        <v>5123</v>
      </c>
      <c r="F8" s="6">
        <f t="shared" si="0"/>
        <v>10.246</v>
      </c>
      <c r="I8" s="2">
        <f t="shared" si="1"/>
        <v>870.91000000000008</v>
      </c>
    </row>
    <row r="9" spans="3:9" x14ac:dyDescent="0.25">
      <c r="C9" t="s">
        <v>72</v>
      </c>
      <c r="D9">
        <v>500</v>
      </c>
      <c r="E9" s="22">
        <v>5800</v>
      </c>
      <c r="F9" s="6">
        <f t="shared" si="0"/>
        <v>11.6</v>
      </c>
      <c r="I9" s="2">
        <f t="shared" si="1"/>
        <v>986</v>
      </c>
    </row>
    <row r="10" spans="3:9" x14ac:dyDescent="0.25">
      <c r="I10" s="31">
        <f>SUM(I4:I9)</f>
        <v>5349.39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FEA9B-4D2A-4961-9A81-4878B204DC04}">
  <dimension ref="B3:T72"/>
  <sheetViews>
    <sheetView topLeftCell="A55" workbookViewId="0">
      <selection activeCell="H64" sqref="H64"/>
    </sheetView>
  </sheetViews>
  <sheetFormatPr baseColWidth="10" defaultRowHeight="15" x14ac:dyDescent="0.25"/>
  <cols>
    <col min="2" max="2" width="18.28515625" customWidth="1"/>
    <col min="4" max="4" width="13.140625" bestFit="1" customWidth="1"/>
  </cols>
  <sheetData>
    <row r="3" spans="2:20" x14ac:dyDescent="0.25">
      <c r="B3" s="147"/>
      <c r="C3" s="148"/>
      <c r="D3" s="149"/>
      <c r="E3" s="150"/>
      <c r="F3" s="149"/>
      <c r="G3" s="149"/>
      <c r="H3" s="149"/>
      <c r="I3" s="149"/>
      <c r="J3" s="147"/>
      <c r="K3" s="149"/>
      <c r="L3" s="149"/>
      <c r="M3" s="149"/>
      <c r="N3" s="151">
        <v>0.1</v>
      </c>
      <c r="O3" s="151">
        <v>0.08</v>
      </c>
      <c r="P3" s="149"/>
      <c r="Q3" s="148"/>
      <c r="R3" s="148"/>
      <c r="S3" s="148"/>
      <c r="T3" s="148"/>
    </row>
    <row r="4" spans="2:20" x14ac:dyDescent="0.25">
      <c r="B4" s="149"/>
      <c r="C4" s="148"/>
      <c r="D4" s="149"/>
      <c r="E4" s="149"/>
      <c r="F4" s="149"/>
      <c r="G4" s="149"/>
      <c r="H4" s="149"/>
      <c r="I4" s="149"/>
      <c r="J4" s="149"/>
      <c r="K4" s="149"/>
      <c r="L4" s="149"/>
      <c r="M4" s="149"/>
      <c r="N4" s="153">
        <v>0.09</v>
      </c>
      <c r="O4" s="153">
        <v>0.06</v>
      </c>
      <c r="P4" s="149"/>
      <c r="Q4" s="148"/>
      <c r="R4" s="148"/>
      <c r="S4" s="148"/>
      <c r="T4" s="148"/>
    </row>
    <row r="5" spans="2:20" x14ac:dyDescent="0.25">
      <c r="B5" s="149"/>
      <c r="C5" s="148"/>
      <c r="D5" s="149"/>
      <c r="E5" s="149"/>
      <c r="F5" s="149"/>
      <c r="G5" s="149"/>
      <c r="H5" s="149"/>
      <c r="I5" s="149"/>
      <c r="J5" s="149"/>
      <c r="K5" s="149"/>
      <c r="L5" s="149"/>
      <c r="M5" s="149"/>
      <c r="N5" s="154">
        <f>N4+N3</f>
        <v>0.19</v>
      </c>
      <c r="O5" s="154">
        <f>O4+O3</f>
        <v>0.14000000000000001</v>
      </c>
      <c r="P5" s="155"/>
      <c r="Q5" s="156"/>
      <c r="R5" s="157" t="s">
        <v>76</v>
      </c>
      <c r="S5" s="157" t="s">
        <v>76</v>
      </c>
      <c r="T5" s="157" t="s">
        <v>76</v>
      </c>
    </row>
    <row r="6" spans="2:20" x14ac:dyDescent="0.25">
      <c r="B6" s="483" t="s">
        <v>184</v>
      </c>
      <c r="C6" s="158" t="s">
        <v>30</v>
      </c>
      <c r="D6" s="159" t="s">
        <v>185</v>
      </c>
      <c r="E6" s="160" t="s">
        <v>25</v>
      </c>
      <c r="F6" s="159" t="s">
        <v>265</v>
      </c>
      <c r="G6" s="159" t="s">
        <v>266</v>
      </c>
      <c r="H6" s="159"/>
      <c r="I6" s="159"/>
      <c r="J6" s="147"/>
      <c r="K6" s="161" t="s">
        <v>6</v>
      </c>
      <c r="L6" s="162" t="s">
        <v>7</v>
      </c>
      <c r="M6" s="163" t="s">
        <v>80</v>
      </c>
      <c r="N6" s="164" t="s">
        <v>77</v>
      </c>
      <c r="O6" s="165" t="s">
        <v>79</v>
      </c>
      <c r="P6" s="149"/>
      <c r="Q6" s="148"/>
      <c r="R6" s="154">
        <v>0.05</v>
      </c>
      <c r="S6" s="154">
        <v>0.1</v>
      </c>
      <c r="T6" s="154">
        <v>0.15</v>
      </c>
    </row>
    <row r="7" spans="2:20" x14ac:dyDescent="0.25">
      <c r="B7" s="483"/>
      <c r="C7" s="148">
        <f>Insumos!G12/4</f>
        <v>101.75</v>
      </c>
      <c r="D7" s="149">
        <f>Insumos!G18/6</f>
        <v>10.893333333333333</v>
      </c>
      <c r="E7" s="150">
        <f>Insumos!G15/6</f>
        <v>48.666666666666664</v>
      </c>
      <c r="F7" s="149">
        <v>100</v>
      </c>
      <c r="G7" s="149">
        <v>100</v>
      </c>
      <c r="H7" s="149"/>
      <c r="I7" s="149"/>
      <c r="J7" s="147"/>
      <c r="K7" s="149">
        <f>SUM(C7:J7)</f>
        <v>361.31</v>
      </c>
      <c r="L7" s="149">
        <v>500</v>
      </c>
      <c r="M7" s="149">
        <f>L7+K7</f>
        <v>861.31</v>
      </c>
      <c r="N7" s="166">
        <f>(L7+K7)+((K7+L7)*(N5))</f>
        <v>1024.9588999999999</v>
      </c>
      <c r="O7" s="149">
        <f>N7-(N7*O5)-K7</f>
        <v>520.15465399999994</v>
      </c>
      <c r="P7" s="149"/>
      <c r="Q7" s="148"/>
      <c r="R7" s="167">
        <v>50</v>
      </c>
      <c r="S7" s="167">
        <v>100</v>
      </c>
      <c r="T7" s="167">
        <v>200</v>
      </c>
    </row>
    <row r="8" spans="2:20" x14ac:dyDescent="0.25">
      <c r="B8" s="149"/>
      <c r="C8" s="148"/>
      <c r="D8" s="149"/>
      <c r="E8" s="149"/>
      <c r="F8" s="149"/>
      <c r="G8" s="149"/>
      <c r="H8" s="149"/>
      <c r="I8" s="149"/>
      <c r="J8" s="149"/>
      <c r="K8" s="149"/>
      <c r="L8" s="149"/>
      <c r="M8" s="149"/>
      <c r="N8" s="149"/>
      <c r="O8" s="149"/>
      <c r="P8" s="149"/>
      <c r="Q8" s="148"/>
      <c r="R8" s="168" t="s">
        <v>6</v>
      </c>
      <c r="S8" s="168" t="s">
        <v>6</v>
      </c>
      <c r="T8" s="168" t="s">
        <v>6</v>
      </c>
    </row>
    <row r="9" spans="2:20" x14ac:dyDescent="0.25">
      <c r="B9" s="147"/>
      <c r="C9" s="148"/>
      <c r="D9" s="155"/>
      <c r="E9" s="155"/>
      <c r="F9" s="155"/>
      <c r="G9" s="155"/>
      <c r="H9" s="155"/>
      <c r="I9" s="155"/>
      <c r="J9" s="155"/>
      <c r="K9" s="149"/>
      <c r="L9" s="155"/>
      <c r="M9" s="149"/>
      <c r="N9" s="149"/>
      <c r="O9" s="155"/>
      <c r="P9" s="149"/>
      <c r="Q9" s="148"/>
      <c r="R9" s="148">
        <f>K7*R7</f>
        <v>18065.5</v>
      </c>
      <c r="S9" s="148">
        <f>K7*S7</f>
        <v>36131</v>
      </c>
      <c r="T9" s="148">
        <f>K9*T7</f>
        <v>0</v>
      </c>
    </row>
    <row r="10" spans="2:20" x14ac:dyDescent="0.25">
      <c r="B10" s="147"/>
      <c r="C10" s="148"/>
      <c r="D10" s="149"/>
      <c r="E10" s="149"/>
      <c r="F10" s="149"/>
      <c r="G10" s="149"/>
      <c r="H10" s="149"/>
      <c r="I10" s="149"/>
      <c r="J10" s="149"/>
      <c r="K10" s="149"/>
      <c r="L10" s="149"/>
      <c r="M10" s="149"/>
      <c r="N10" s="169" t="s">
        <v>65</v>
      </c>
      <c r="O10" s="149"/>
      <c r="P10" s="149"/>
      <c r="Q10" s="148"/>
      <c r="R10" s="170" t="s">
        <v>77</v>
      </c>
      <c r="S10" s="170" t="s">
        <v>77</v>
      </c>
      <c r="T10" s="170" t="s">
        <v>77</v>
      </c>
    </row>
    <row r="11" spans="2:20" x14ac:dyDescent="0.25">
      <c r="B11" s="147"/>
      <c r="C11" s="148"/>
      <c r="D11" s="149"/>
      <c r="E11" s="150"/>
      <c r="F11" s="149"/>
      <c r="G11" s="149"/>
      <c r="H11" s="149"/>
      <c r="I11" s="149"/>
      <c r="J11" s="147"/>
      <c r="K11" s="149"/>
      <c r="L11" s="149"/>
      <c r="M11" s="149"/>
      <c r="N11" s="149">
        <f>N7-(N7*R18)</f>
        <v>922.46300999999983</v>
      </c>
      <c r="O11" s="149"/>
      <c r="P11" s="149"/>
      <c r="Q11" s="148"/>
      <c r="R11" s="171">
        <f t="shared" ref="R11:T11" si="0">($N7*R7)-(($N7*R7)*R6)</f>
        <v>48685.547749999991</v>
      </c>
      <c r="S11" s="171">
        <f t="shared" si="0"/>
        <v>92246.300999999978</v>
      </c>
      <c r="T11" s="171">
        <f t="shared" si="0"/>
        <v>174243.01299999998</v>
      </c>
    </row>
    <row r="12" spans="2:20" x14ac:dyDescent="0.25">
      <c r="B12" s="147"/>
      <c r="C12" s="148"/>
      <c r="D12" s="149"/>
      <c r="E12" s="150"/>
      <c r="F12" s="149"/>
      <c r="G12" s="149"/>
      <c r="H12" s="149"/>
      <c r="I12" s="149"/>
      <c r="J12" s="147"/>
      <c r="K12" s="149"/>
      <c r="L12" s="149"/>
      <c r="M12" s="149"/>
      <c r="N12" s="172" t="s">
        <v>83</v>
      </c>
      <c r="O12" s="149"/>
      <c r="P12" s="149"/>
      <c r="Q12" s="148"/>
      <c r="R12" s="148">
        <f>R11/R7</f>
        <v>973.71095499999979</v>
      </c>
      <c r="S12" s="148">
        <f t="shared" ref="S12:T12" si="1">S11/S7</f>
        <v>922.46300999999983</v>
      </c>
      <c r="T12" s="148">
        <f t="shared" si="1"/>
        <v>871.21506499999987</v>
      </c>
    </row>
    <row r="13" spans="2:20" x14ac:dyDescent="0.25">
      <c r="B13" s="147"/>
      <c r="C13" s="148"/>
      <c r="D13" s="155"/>
      <c r="E13" s="155"/>
      <c r="F13" s="149"/>
      <c r="G13" s="149"/>
      <c r="H13" s="149"/>
      <c r="I13" s="149"/>
      <c r="J13" s="149"/>
      <c r="K13" s="149"/>
      <c r="L13" s="155"/>
      <c r="M13" s="149"/>
      <c r="N13" s="149">
        <f>(N11-(N11*O4))-K7</f>
        <v>505.80522939999986</v>
      </c>
      <c r="O13" s="149"/>
      <c r="P13" s="149"/>
      <c r="Q13" s="148"/>
      <c r="R13" s="172" t="s">
        <v>78</v>
      </c>
      <c r="S13" s="172" t="s">
        <v>78</v>
      </c>
      <c r="T13" s="172" t="s">
        <v>78</v>
      </c>
    </row>
    <row r="14" spans="2:20" x14ac:dyDescent="0.25">
      <c r="B14" s="147"/>
      <c r="C14" s="148"/>
      <c r="D14" s="149"/>
      <c r="E14" s="149"/>
      <c r="F14" s="149"/>
      <c r="G14" s="149"/>
      <c r="H14" s="149"/>
      <c r="I14" s="149"/>
      <c r="J14" s="149"/>
      <c r="K14" s="149"/>
      <c r="L14" s="149"/>
      <c r="M14" s="149"/>
      <c r="N14" s="149"/>
      <c r="O14" s="149"/>
      <c r="P14" s="149"/>
      <c r="Q14" s="148"/>
      <c r="R14" s="148">
        <f>(R11-R9)-(R11*$O$27)</f>
        <v>30620.047749999991</v>
      </c>
      <c r="S14" s="148">
        <f t="shared" ref="S14:T14" si="2">(S11-S9)-(S11*$O$27)</f>
        <v>56115.300999999978</v>
      </c>
      <c r="T14" s="148">
        <f t="shared" si="2"/>
        <v>174243.01299999998</v>
      </c>
    </row>
    <row r="15" spans="2:20" x14ac:dyDescent="0.25">
      <c r="B15" s="147"/>
      <c r="C15" s="148"/>
      <c r="D15" s="155"/>
      <c r="E15" s="155"/>
      <c r="F15" s="155"/>
      <c r="G15" s="155"/>
      <c r="H15" s="155"/>
      <c r="I15" s="155"/>
      <c r="J15" s="155"/>
      <c r="K15" s="149"/>
      <c r="L15" s="149"/>
      <c r="M15" s="155"/>
      <c r="N15" s="155"/>
      <c r="O15" s="149"/>
      <c r="P15" s="155"/>
      <c r="Q15" s="156"/>
      <c r="R15" s="148">
        <f>R14/R7</f>
        <v>612.40095499999984</v>
      </c>
      <c r="S15" s="148">
        <f t="shared" ref="S15:T15" si="3">S14/S7</f>
        <v>561.15300999999977</v>
      </c>
      <c r="T15" s="148">
        <f t="shared" si="3"/>
        <v>871.21506499999987</v>
      </c>
    </row>
    <row r="16" spans="2:20" x14ac:dyDescent="0.25">
      <c r="B16" s="147"/>
      <c r="C16" s="156"/>
      <c r="D16" s="155"/>
      <c r="E16" s="155"/>
      <c r="F16" s="155"/>
      <c r="G16" s="155"/>
      <c r="H16" s="155"/>
      <c r="I16" s="155"/>
      <c r="J16" s="155"/>
      <c r="K16" s="149"/>
      <c r="L16" s="149"/>
      <c r="M16" s="149"/>
      <c r="N16" s="149"/>
      <c r="O16" s="155"/>
      <c r="P16" s="149"/>
      <c r="Q16" s="148"/>
      <c r="R16" s="169" t="s">
        <v>65</v>
      </c>
      <c r="S16" s="169" t="s">
        <v>65</v>
      </c>
      <c r="T16" s="169" t="s">
        <v>65</v>
      </c>
    </row>
    <row r="17" spans="2:20" x14ac:dyDescent="0.25">
      <c r="B17" s="147"/>
      <c r="C17" s="148"/>
      <c r="D17" s="155"/>
      <c r="E17" s="155"/>
      <c r="F17" s="155"/>
      <c r="G17" s="155"/>
      <c r="H17" s="155"/>
      <c r="I17" s="155"/>
      <c r="J17" s="155"/>
      <c r="K17" s="149"/>
      <c r="L17" s="149"/>
      <c r="M17" s="149"/>
      <c r="N17" s="149"/>
      <c r="O17" s="149"/>
      <c r="P17" s="149"/>
      <c r="Q17" s="148"/>
      <c r="R17" s="148">
        <f>R11-(R11*R18)</f>
        <v>43816.992974999994</v>
      </c>
      <c r="S17" s="148">
        <f t="shared" ref="S17:T17" si="4">S11-(S11*S18)</f>
        <v>83021.670899999983</v>
      </c>
      <c r="T17" s="148">
        <f t="shared" si="4"/>
        <v>156818.71169999999</v>
      </c>
    </row>
    <row r="18" spans="2:20" x14ac:dyDescent="0.25">
      <c r="B18" s="147"/>
      <c r="C18" s="148"/>
      <c r="D18" s="149"/>
      <c r="E18" s="150"/>
      <c r="F18" s="149"/>
      <c r="G18" s="149"/>
      <c r="H18" s="149"/>
      <c r="I18" s="149"/>
      <c r="J18" s="147"/>
      <c r="K18" s="149"/>
      <c r="L18" s="149"/>
      <c r="M18" s="149"/>
      <c r="N18" s="151">
        <v>0.1</v>
      </c>
      <c r="O18" s="151">
        <v>0.08</v>
      </c>
      <c r="P18" s="149"/>
      <c r="Q18" s="148"/>
      <c r="R18" s="154">
        <v>0.1</v>
      </c>
      <c r="S18" s="154">
        <v>0.1</v>
      </c>
      <c r="T18" s="154">
        <v>0.1</v>
      </c>
    </row>
    <row r="19" spans="2:20" x14ac:dyDescent="0.25">
      <c r="B19" s="149"/>
      <c r="C19" s="148"/>
      <c r="D19" s="149"/>
      <c r="E19" s="149"/>
      <c r="F19" s="149"/>
      <c r="G19" s="149"/>
      <c r="H19" s="149"/>
      <c r="I19" s="149"/>
      <c r="J19" s="149"/>
      <c r="K19" s="149"/>
      <c r="L19" s="149"/>
      <c r="M19" s="149"/>
      <c r="N19" s="153">
        <v>0.09</v>
      </c>
      <c r="O19" s="153">
        <v>0.06</v>
      </c>
      <c r="P19" s="149"/>
      <c r="Q19" s="148"/>
      <c r="R19" s="148">
        <f>R17/R7</f>
        <v>876.33985949999987</v>
      </c>
      <c r="S19" s="148">
        <f>S17/S7</f>
        <v>830.21670899999981</v>
      </c>
      <c r="T19" s="148">
        <f t="shared" ref="T19" si="5">T17/T7</f>
        <v>784.09355849999997</v>
      </c>
    </row>
    <row r="20" spans="2:20" x14ac:dyDescent="0.25">
      <c r="B20" s="149"/>
      <c r="C20" s="148"/>
      <c r="D20" s="149"/>
      <c r="E20" s="149"/>
      <c r="F20" s="149"/>
      <c r="G20" s="149"/>
      <c r="H20" s="149"/>
      <c r="I20" s="149"/>
      <c r="J20" s="149"/>
      <c r="K20" s="149"/>
      <c r="L20" s="149"/>
      <c r="M20" s="149"/>
      <c r="N20" s="154">
        <f>N19+N18</f>
        <v>0.19</v>
      </c>
      <c r="O20" s="154">
        <f>O19+O18</f>
        <v>0.14000000000000001</v>
      </c>
      <c r="P20" s="149"/>
      <c r="Q20" s="148"/>
      <c r="R20" s="172" t="s">
        <v>81</v>
      </c>
      <c r="S20" s="172" t="s">
        <v>81</v>
      </c>
      <c r="T20" s="172" t="s">
        <v>81</v>
      </c>
    </row>
    <row r="21" spans="2:20" x14ac:dyDescent="0.25">
      <c r="B21" s="483" t="s">
        <v>267</v>
      </c>
      <c r="C21" s="158" t="s">
        <v>268</v>
      </c>
      <c r="D21" s="159" t="s">
        <v>269</v>
      </c>
      <c r="E21" s="160" t="s">
        <v>30</v>
      </c>
      <c r="F21" s="159" t="s">
        <v>270</v>
      </c>
      <c r="G21" s="159" t="s">
        <v>265</v>
      </c>
      <c r="H21" s="159"/>
      <c r="I21" s="159"/>
      <c r="J21" s="147"/>
      <c r="K21" s="161" t="s">
        <v>6</v>
      </c>
      <c r="L21" s="162" t="s">
        <v>7</v>
      </c>
      <c r="M21" s="163" t="s">
        <v>80</v>
      </c>
      <c r="N21" s="164" t="s">
        <v>77</v>
      </c>
      <c r="O21" s="165" t="s">
        <v>79</v>
      </c>
      <c r="P21" s="155"/>
      <c r="Q21" s="156"/>
      <c r="R21" s="148">
        <f>R17-(R17*$O$26)-R9</f>
        <v>25751.492974999994</v>
      </c>
      <c r="S21" s="148">
        <f t="shared" ref="S21:T21" si="6">S17-(S17*$O$26)-S9</f>
        <v>46890.670899999983</v>
      </c>
      <c r="T21" s="148">
        <f t="shared" si="6"/>
        <v>156818.71169999999</v>
      </c>
    </row>
    <row r="22" spans="2:20" x14ac:dyDescent="0.25">
      <c r="B22" s="483"/>
      <c r="C22" s="148">
        <f>Insumos!R18</f>
        <v>95.275000000000006</v>
      </c>
      <c r="D22" s="149">
        <f>Insumos!G18/5</f>
        <v>13.071999999999999</v>
      </c>
      <c r="E22" s="150">
        <f>Insumos!G18/4</f>
        <v>16.34</v>
      </c>
      <c r="F22" s="149">
        <f>Insumos!R15</f>
        <v>347.8</v>
      </c>
      <c r="G22" s="149">
        <v>100</v>
      </c>
      <c r="H22" s="149"/>
      <c r="I22" s="149"/>
      <c r="J22" s="147"/>
      <c r="K22" s="149">
        <f>SUM(C22:J22)</f>
        <v>572.48700000000008</v>
      </c>
      <c r="L22" s="149">
        <v>500</v>
      </c>
      <c r="M22" s="149">
        <f>L22+K22</f>
        <v>1072.4870000000001</v>
      </c>
      <c r="N22" s="166">
        <f>(L22+K22)+((K22+L22)*(N20))</f>
        <v>1276.25953</v>
      </c>
      <c r="O22" s="149">
        <f>N22-(N22*O20)-K22</f>
        <v>525.09619580000003</v>
      </c>
      <c r="P22" s="149"/>
      <c r="Q22" s="148"/>
      <c r="R22" s="156">
        <f t="shared" ref="R22:T22" si="7">R21/R7</f>
        <v>515.02985949999993</v>
      </c>
      <c r="S22" s="156">
        <f t="shared" si="7"/>
        <v>468.90670899999981</v>
      </c>
      <c r="T22" s="156">
        <f t="shared" si="7"/>
        <v>784.09355849999997</v>
      </c>
    </row>
    <row r="23" spans="2:20" x14ac:dyDescent="0.25">
      <c r="B23" s="149"/>
      <c r="C23" s="148"/>
      <c r="D23" s="149"/>
      <c r="E23" s="149"/>
      <c r="F23" s="149"/>
      <c r="G23" s="149"/>
      <c r="H23" s="149"/>
      <c r="I23" s="149"/>
      <c r="J23" s="149"/>
      <c r="K23" s="149"/>
      <c r="L23" s="149"/>
      <c r="M23" s="149"/>
      <c r="N23" s="149"/>
      <c r="O23" s="149"/>
    </row>
    <row r="24" spans="2:20" x14ac:dyDescent="0.25">
      <c r="B24" s="147"/>
      <c r="C24" s="148"/>
      <c r="D24" s="155"/>
      <c r="E24" s="155"/>
      <c r="F24" s="155"/>
      <c r="G24" s="155"/>
      <c r="H24" s="155"/>
      <c r="I24" s="155"/>
      <c r="J24" s="155"/>
      <c r="K24" s="149"/>
      <c r="L24" s="155"/>
      <c r="M24" s="149"/>
      <c r="N24" s="149"/>
      <c r="O24" s="155"/>
    </row>
    <row r="25" spans="2:20" x14ac:dyDescent="0.25">
      <c r="B25" s="147"/>
      <c r="C25" s="148"/>
      <c r="D25" s="149"/>
      <c r="E25" s="149"/>
      <c r="F25" s="149"/>
      <c r="G25" s="149"/>
      <c r="H25" s="149"/>
      <c r="I25" s="149"/>
      <c r="J25" s="149"/>
      <c r="K25" s="149"/>
      <c r="L25" s="149"/>
      <c r="M25" s="149"/>
      <c r="N25" s="169" t="s">
        <v>65</v>
      </c>
      <c r="O25" s="149"/>
    </row>
    <row r="26" spans="2:20" x14ac:dyDescent="0.25">
      <c r="B26" s="147"/>
      <c r="C26" s="148"/>
      <c r="D26" s="149"/>
      <c r="E26" s="150"/>
      <c r="F26" s="149"/>
      <c r="G26" s="149"/>
      <c r="H26" s="149"/>
      <c r="I26" s="149"/>
      <c r="J26" s="147"/>
      <c r="K26" s="149"/>
      <c r="L26" s="149"/>
      <c r="M26" s="149"/>
      <c r="N26" s="149">
        <f>N22-(N22*R33)</f>
        <v>1276.25953</v>
      </c>
      <c r="O26" s="149"/>
    </row>
    <row r="27" spans="2:20" x14ac:dyDescent="0.25">
      <c r="B27" s="147"/>
      <c r="C27" s="148"/>
      <c r="D27" s="149"/>
      <c r="E27" s="150"/>
      <c r="F27" s="149"/>
      <c r="G27" s="149"/>
      <c r="H27" s="149"/>
      <c r="I27" s="149"/>
      <c r="J27" s="147"/>
      <c r="K27" s="149"/>
      <c r="L27" s="149"/>
      <c r="M27" s="149"/>
      <c r="N27" s="172" t="s">
        <v>83</v>
      </c>
      <c r="O27" s="149"/>
    </row>
    <row r="28" spans="2:20" x14ac:dyDescent="0.25">
      <c r="B28" s="147"/>
      <c r="C28" s="148"/>
      <c r="D28" s="155"/>
      <c r="E28" s="155"/>
      <c r="F28" s="149"/>
      <c r="G28" s="149"/>
      <c r="H28" s="149"/>
      <c r="I28" s="149"/>
      <c r="J28" s="149"/>
      <c r="K28" s="149"/>
      <c r="L28" s="155"/>
      <c r="M28" s="149"/>
      <c r="N28" s="149">
        <f>(N26-(N26*O19))-K22</f>
        <v>627.19695819999993</v>
      </c>
      <c r="O28" s="149"/>
    </row>
    <row r="32" spans="2:20" x14ac:dyDescent="0.25">
      <c r="B32" s="147"/>
      <c r="C32" s="148"/>
      <c r="D32" s="149"/>
      <c r="E32" s="150"/>
      <c r="F32" s="149"/>
      <c r="G32" s="149"/>
      <c r="H32" s="149"/>
      <c r="I32" s="149"/>
      <c r="J32" s="147"/>
      <c r="K32" s="149"/>
      <c r="L32" s="149"/>
      <c r="M32" s="149"/>
      <c r="N32" s="151">
        <v>0.1</v>
      </c>
      <c r="O32" s="151">
        <v>0.08</v>
      </c>
    </row>
    <row r="33" spans="2:15" x14ac:dyDescent="0.25">
      <c r="B33" s="149"/>
      <c r="C33" s="148"/>
      <c r="D33" s="149"/>
      <c r="E33" s="149"/>
      <c r="F33" s="149"/>
      <c r="G33" s="149"/>
      <c r="H33" s="149"/>
      <c r="I33" s="149"/>
      <c r="J33" s="149"/>
      <c r="K33" s="149"/>
      <c r="L33" s="149"/>
      <c r="M33" s="149"/>
      <c r="N33" s="153">
        <v>0.09</v>
      </c>
      <c r="O33" s="153">
        <v>0.06</v>
      </c>
    </row>
    <row r="34" spans="2:15" x14ac:dyDescent="0.25">
      <c r="B34" s="149"/>
      <c r="C34" s="148"/>
      <c r="D34" s="149"/>
      <c r="E34" s="149"/>
      <c r="F34" s="149"/>
      <c r="G34" s="149"/>
      <c r="H34" s="149"/>
      <c r="I34" s="149"/>
      <c r="J34" s="149"/>
      <c r="K34" s="149"/>
      <c r="L34" s="149"/>
      <c r="M34" s="149"/>
      <c r="N34" s="154">
        <f>N33+N32</f>
        <v>0.19</v>
      </c>
      <c r="O34" s="154">
        <f>O33+O32</f>
        <v>0.14000000000000001</v>
      </c>
    </row>
    <row r="35" spans="2:15" x14ac:dyDescent="0.25">
      <c r="B35" s="483" t="s">
        <v>273</v>
      </c>
      <c r="C35" s="158"/>
      <c r="D35" s="159" t="s">
        <v>269</v>
      </c>
      <c r="E35" s="160" t="s">
        <v>30</v>
      </c>
      <c r="F35" s="159" t="s">
        <v>275</v>
      </c>
      <c r="G35" s="159" t="s">
        <v>265</v>
      </c>
      <c r="H35" s="159"/>
      <c r="I35" s="159"/>
      <c r="J35" s="147"/>
      <c r="K35" s="161" t="s">
        <v>6</v>
      </c>
      <c r="L35" s="162" t="s">
        <v>7</v>
      </c>
      <c r="M35" s="163" t="s">
        <v>80</v>
      </c>
      <c r="N35" s="164" t="s">
        <v>77</v>
      </c>
      <c r="O35" s="165" t="s">
        <v>79</v>
      </c>
    </row>
    <row r="36" spans="2:15" x14ac:dyDescent="0.25">
      <c r="B36" s="483"/>
      <c r="C36" s="148"/>
      <c r="D36" s="149">
        <f>Insumos!G21/6</f>
        <v>63.375</v>
      </c>
      <c r="E36" s="150">
        <f>Insumos!G42/6</f>
        <v>24.283333333333331</v>
      </c>
      <c r="F36" s="149">
        <f>Insumos!AK11*16</f>
        <v>79.296000000000006</v>
      </c>
      <c r="G36" s="149">
        <v>50</v>
      </c>
      <c r="H36" s="149"/>
      <c r="I36" s="149"/>
      <c r="J36" s="147"/>
      <c r="K36" s="149">
        <f>SUM(C36:J36)</f>
        <v>216.95433333333335</v>
      </c>
      <c r="L36" s="149">
        <v>500</v>
      </c>
      <c r="M36" s="149">
        <f>L36+K36</f>
        <v>716.95433333333335</v>
      </c>
      <c r="N36" s="166">
        <f>(L36+K36)+((K36+L36)*(N34))</f>
        <v>853.17565666666667</v>
      </c>
      <c r="O36" s="149">
        <f>N36-(N36*O34)-K36</f>
        <v>516.77673140000002</v>
      </c>
    </row>
    <row r="37" spans="2:15" x14ac:dyDescent="0.25">
      <c r="B37" s="149"/>
      <c r="C37" s="148"/>
      <c r="D37" s="149"/>
      <c r="E37" s="149"/>
      <c r="F37" s="149"/>
      <c r="G37" s="149"/>
      <c r="H37" s="149"/>
      <c r="I37" s="149"/>
      <c r="J37" s="149"/>
      <c r="K37" s="149"/>
      <c r="L37" s="149"/>
      <c r="M37" s="149"/>
      <c r="N37" s="149"/>
      <c r="O37" s="149"/>
    </row>
    <row r="38" spans="2:15" x14ac:dyDescent="0.25">
      <c r="B38" s="147"/>
      <c r="C38" s="148"/>
      <c r="D38" s="155"/>
      <c r="E38" s="155"/>
      <c r="F38" s="155"/>
      <c r="G38" s="155"/>
      <c r="H38" s="155"/>
      <c r="I38" s="155"/>
      <c r="J38" s="155"/>
      <c r="K38" s="149"/>
      <c r="L38" s="155"/>
      <c r="M38" s="149"/>
      <c r="N38" s="149"/>
      <c r="O38" s="155"/>
    </row>
    <row r="39" spans="2:15" x14ac:dyDescent="0.25">
      <c r="B39" s="147"/>
      <c r="C39" s="148"/>
      <c r="D39" s="149"/>
      <c r="E39" s="149"/>
      <c r="F39" s="149"/>
      <c r="G39" s="149"/>
      <c r="H39" s="149"/>
      <c r="I39" s="149"/>
      <c r="J39" s="149"/>
      <c r="K39" s="149"/>
      <c r="L39" s="149"/>
      <c r="M39" s="149"/>
      <c r="N39" s="169" t="s">
        <v>65</v>
      </c>
      <c r="O39" s="149"/>
    </row>
    <row r="40" spans="2:15" x14ac:dyDescent="0.25">
      <c r="B40" s="147"/>
      <c r="C40" s="148"/>
      <c r="D40" s="149"/>
      <c r="E40" s="150"/>
      <c r="F40" s="149"/>
      <c r="G40" s="149"/>
      <c r="H40" s="149"/>
      <c r="I40" s="149"/>
      <c r="J40" s="147"/>
      <c r="K40" s="149"/>
      <c r="L40" s="149"/>
      <c r="M40" s="149"/>
      <c r="N40" s="149">
        <f>N36-(N36*R47)</f>
        <v>853.17565666666667</v>
      </c>
      <c r="O40" s="149"/>
    </row>
    <row r="41" spans="2:15" x14ac:dyDescent="0.25">
      <c r="B41" s="147"/>
      <c r="C41" s="148"/>
      <c r="D41" s="149"/>
      <c r="E41" s="150"/>
      <c r="F41" s="149"/>
      <c r="G41" s="149"/>
      <c r="H41" s="149"/>
      <c r="I41" s="149"/>
      <c r="J41" s="147"/>
      <c r="K41" s="149"/>
      <c r="L41" s="149"/>
      <c r="M41" s="149"/>
      <c r="N41" s="172" t="s">
        <v>83</v>
      </c>
      <c r="O41" s="149"/>
    </row>
    <row r="42" spans="2:15" x14ac:dyDescent="0.25">
      <c r="B42" s="147"/>
      <c r="C42" s="148"/>
      <c r="D42" s="155"/>
      <c r="E42" s="155"/>
      <c r="F42" s="149"/>
      <c r="G42" s="149"/>
      <c r="H42" s="149"/>
      <c r="I42" s="149"/>
      <c r="J42" s="149"/>
      <c r="K42" s="149"/>
      <c r="L42" s="155"/>
      <c r="M42" s="149"/>
      <c r="N42" s="149">
        <f>(N40-(N40*O33))-K36</f>
        <v>585.03078393333328</v>
      </c>
      <c r="O42" s="149"/>
    </row>
    <row r="59" spans="3:4" x14ac:dyDescent="0.25">
      <c r="C59" t="s">
        <v>365</v>
      </c>
      <c r="D59" s="2"/>
    </row>
    <row r="60" spans="3:4" x14ac:dyDescent="0.25">
      <c r="C60" t="s">
        <v>366</v>
      </c>
      <c r="D60" s="2"/>
    </row>
    <row r="61" spans="3:4" x14ac:dyDescent="0.25">
      <c r="C61" t="s">
        <v>367</v>
      </c>
      <c r="D61" s="2"/>
    </row>
    <row r="62" spans="3:4" x14ac:dyDescent="0.25">
      <c r="C62" t="s">
        <v>368</v>
      </c>
      <c r="D62" s="2"/>
    </row>
    <row r="63" spans="3:4" x14ac:dyDescent="0.25">
      <c r="C63" t="s">
        <v>369</v>
      </c>
      <c r="D63" s="2"/>
    </row>
    <row r="64" spans="3:4" x14ac:dyDescent="0.25">
      <c r="C64" s="360" t="s">
        <v>370</v>
      </c>
      <c r="D64" s="14">
        <v>325493.64</v>
      </c>
    </row>
    <row r="65" spans="3:5" x14ac:dyDescent="0.25">
      <c r="C65" s="360" t="s">
        <v>371</v>
      </c>
      <c r="D65" s="14">
        <v>410590.9</v>
      </c>
      <c r="E65" s="22">
        <f>D65-D64</f>
        <v>85097.260000000009</v>
      </c>
    </row>
    <row r="66" spans="3:5" x14ac:dyDescent="0.25">
      <c r="C66" s="360" t="s">
        <v>372</v>
      </c>
      <c r="D66" s="14">
        <v>499098.12</v>
      </c>
      <c r="E66" s="22">
        <f t="shared" ref="E66:E70" si="8">D66-D65</f>
        <v>88507.219999999972</v>
      </c>
    </row>
    <row r="67" spans="3:5" x14ac:dyDescent="0.25">
      <c r="C67" s="360" t="s">
        <v>373</v>
      </c>
      <c r="D67" s="14">
        <v>600123.73</v>
      </c>
      <c r="E67" s="22">
        <f t="shared" si="8"/>
        <v>101025.60999999999</v>
      </c>
    </row>
    <row r="68" spans="3:5" x14ac:dyDescent="0.25">
      <c r="C68" s="360" t="s">
        <v>190</v>
      </c>
      <c r="D68" s="14">
        <v>715714.53</v>
      </c>
      <c r="E68" s="22">
        <f t="shared" si="8"/>
        <v>115590.80000000005</v>
      </c>
    </row>
    <row r="69" spans="3:5" x14ac:dyDescent="0.25">
      <c r="C69" s="360" t="s">
        <v>306</v>
      </c>
      <c r="D69" s="14">
        <v>831488.44</v>
      </c>
      <c r="E69" s="22">
        <f t="shared" si="8"/>
        <v>115773.90999999992</v>
      </c>
    </row>
    <row r="70" spans="3:5" x14ac:dyDescent="0.25">
      <c r="C70" s="360" t="s">
        <v>374</v>
      </c>
      <c r="D70" s="14">
        <v>1451534</v>
      </c>
      <c r="E70" s="22">
        <f t="shared" si="8"/>
        <v>620045.56000000006</v>
      </c>
    </row>
    <row r="71" spans="3:5" x14ac:dyDescent="0.25">
      <c r="D71" s="2"/>
    </row>
    <row r="72" spans="3:5" x14ac:dyDescent="0.25">
      <c r="D72" s="2"/>
    </row>
  </sheetData>
  <mergeCells count="3">
    <mergeCell ref="B6:B7"/>
    <mergeCell ref="B21:B22"/>
    <mergeCell ref="B35:B3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97A44-6BD1-48BC-9054-1A2DCEEADCD5}">
  <dimension ref="B3:X69"/>
  <sheetViews>
    <sheetView topLeftCell="A3" zoomScale="90" zoomScaleNormal="90" workbookViewId="0">
      <selection activeCell="N54" sqref="N54"/>
    </sheetView>
  </sheetViews>
  <sheetFormatPr baseColWidth="10" defaultRowHeight="15" x14ac:dyDescent="0.25"/>
  <cols>
    <col min="2" max="2" width="12.85546875" customWidth="1"/>
    <col min="3" max="3" width="8.7109375" customWidth="1"/>
    <col min="4" max="4" width="9" bestFit="1" customWidth="1"/>
    <col min="5" max="5" width="9.85546875" bestFit="1" customWidth="1"/>
    <col min="6" max="9" width="8.7109375" customWidth="1"/>
    <col min="10" max="10" width="5.85546875" customWidth="1"/>
    <col min="11" max="14" width="9.42578125" customWidth="1"/>
    <col min="15" max="15" width="9.42578125" hidden="1" customWidth="1"/>
    <col min="16" max="16" width="9.42578125" customWidth="1"/>
    <col min="17" max="18" width="3.140625" customWidth="1"/>
    <col min="19" max="21" width="13.140625" customWidth="1"/>
  </cols>
  <sheetData>
    <row r="3" spans="2:24" x14ac:dyDescent="0.25">
      <c r="B3" s="147"/>
      <c r="C3" s="148"/>
      <c r="D3" s="149"/>
      <c r="E3" s="150"/>
      <c r="F3" s="149"/>
      <c r="G3" s="149"/>
      <c r="H3" s="149"/>
      <c r="I3" s="149"/>
      <c r="J3" s="147"/>
      <c r="K3" s="149"/>
      <c r="L3" s="149"/>
      <c r="M3" s="149"/>
      <c r="N3" s="151">
        <v>0.1</v>
      </c>
      <c r="O3" s="151"/>
      <c r="P3" s="151">
        <v>0.08</v>
      </c>
      <c r="Q3" s="149"/>
      <c r="R3" s="148"/>
      <c r="S3" s="148"/>
      <c r="T3" s="148"/>
      <c r="U3" s="148"/>
      <c r="V3" s="148"/>
      <c r="W3" s="149"/>
      <c r="X3" s="149"/>
    </row>
    <row r="4" spans="2:24" x14ac:dyDescent="0.25">
      <c r="B4" s="149"/>
      <c r="C4" s="148"/>
      <c r="D4" s="149"/>
      <c r="E4" s="149"/>
      <c r="F4" s="149"/>
      <c r="G4" s="149"/>
      <c r="H4" s="149"/>
      <c r="I4" s="149"/>
      <c r="J4" s="149"/>
      <c r="K4" s="149"/>
      <c r="L4" s="149"/>
      <c r="M4" s="149"/>
      <c r="N4" s="153">
        <v>0.09</v>
      </c>
      <c r="O4" s="153"/>
      <c r="P4" s="153">
        <v>0.06</v>
      </c>
      <c r="Q4" s="149"/>
      <c r="R4" s="148"/>
      <c r="S4" s="148"/>
      <c r="T4" s="148"/>
      <c r="U4" s="148"/>
      <c r="V4" s="148"/>
      <c r="W4" s="149"/>
      <c r="X4" s="149"/>
    </row>
    <row r="5" spans="2:24" x14ac:dyDescent="0.25">
      <c r="B5" s="149"/>
      <c r="C5" s="148"/>
      <c r="D5" s="149"/>
      <c r="E5" s="149"/>
      <c r="F5" s="149"/>
      <c r="G5" s="149"/>
      <c r="H5" s="149"/>
      <c r="I5" s="149"/>
      <c r="J5" s="149"/>
      <c r="K5" s="149"/>
      <c r="L5" s="149"/>
      <c r="M5" s="149"/>
      <c r="N5" s="154">
        <f>N4+N3</f>
        <v>0.19</v>
      </c>
      <c r="O5" s="154"/>
      <c r="P5" s="154">
        <f>P4+P3</f>
        <v>0.14000000000000001</v>
      </c>
      <c r="Q5" s="155"/>
      <c r="R5" s="156"/>
      <c r="S5" s="157" t="s">
        <v>76</v>
      </c>
      <c r="T5" s="157" t="s">
        <v>76</v>
      </c>
      <c r="U5" s="157" t="s">
        <v>76</v>
      </c>
      <c r="V5" s="148"/>
      <c r="W5" s="148"/>
      <c r="X5" s="148"/>
    </row>
    <row r="6" spans="2:24" ht="13.5" customHeight="1" x14ac:dyDescent="0.25">
      <c r="B6" s="483" t="s">
        <v>152</v>
      </c>
      <c r="C6" s="158" t="s">
        <v>138</v>
      </c>
      <c r="D6" s="159" t="s">
        <v>139</v>
      </c>
      <c r="E6" s="160" t="s">
        <v>140</v>
      </c>
      <c r="F6" s="159" t="s">
        <v>5</v>
      </c>
      <c r="G6" s="159" t="s">
        <v>120</v>
      </c>
      <c r="H6" s="159" t="s">
        <v>151</v>
      </c>
      <c r="I6" s="159" t="s">
        <v>150</v>
      </c>
      <c r="J6" s="147"/>
      <c r="K6" s="161" t="s">
        <v>6</v>
      </c>
      <c r="L6" s="162" t="s">
        <v>7</v>
      </c>
      <c r="M6" s="163" t="s">
        <v>80</v>
      </c>
      <c r="N6" s="164" t="s">
        <v>77</v>
      </c>
      <c r="O6" s="164" t="s">
        <v>77</v>
      </c>
      <c r="P6" s="165" t="s">
        <v>79</v>
      </c>
      <c r="Q6" s="149"/>
      <c r="R6" s="148"/>
      <c r="S6" s="154">
        <v>0.05</v>
      </c>
      <c r="T6" s="154">
        <v>0.1</v>
      </c>
      <c r="U6" s="154">
        <v>0.15</v>
      </c>
      <c r="V6" s="173"/>
      <c r="W6" s="173"/>
      <c r="X6" s="173"/>
    </row>
    <row r="7" spans="2:24" ht="13.5" customHeight="1" x14ac:dyDescent="0.25">
      <c r="B7" s="483"/>
      <c r="C7" s="148">
        <f>(Insumos!V5*70)*2</f>
        <v>128.87</v>
      </c>
      <c r="D7" s="149">
        <f>Insumos!V5*35</f>
        <v>32.217500000000001</v>
      </c>
      <c r="E7" s="150">
        <f>Insumos!V5*15</f>
        <v>13.807499999999999</v>
      </c>
      <c r="F7" s="149">
        <f>Insumos!G12/3</f>
        <v>135.66666666666666</v>
      </c>
      <c r="G7" s="149">
        <f>Insumos!AA8</f>
        <v>34.659999999999997</v>
      </c>
      <c r="H7" s="149">
        <f>Insumos!V11</f>
        <v>329.9</v>
      </c>
      <c r="I7" s="149">
        <v>200</v>
      </c>
      <c r="J7" s="147"/>
      <c r="K7" s="149">
        <f>SUM(C7:J7)</f>
        <v>875.12166666666667</v>
      </c>
      <c r="L7" s="149">
        <v>2000</v>
      </c>
      <c r="M7" s="149">
        <f>L7+K7</f>
        <v>2875.1216666666669</v>
      </c>
      <c r="N7" s="166">
        <f>ROUND(O7/50,0)*50</f>
        <v>3400</v>
      </c>
      <c r="O7" s="166">
        <f>(L7+K7)+((K7+L7)*(N5))</f>
        <v>3421.3947833333336</v>
      </c>
      <c r="P7" s="149">
        <f>N7-(N7*P5)-K7</f>
        <v>2048.8783333333331</v>
      </c>
      <c r="Q7" s="149"/>
      <c r="R7" s="148"/>
      <c r="S7" s="167">
        <v>50</v>
      </c>
      <c r="T7" s="167">
        <v>100</v>
      </c>
      <c r="U7" s="167">
        <v>200</v>
      </c>
      <c r="V7" s="167"/>
      <c r="W7" s="167"/>
      <c r="X7" s="167"/>
    </row>
    <row r="8" spans="2:24" ht="13.5" customHeight="1" x14ac:dyDescent="0.25">
      <c r="B8" s="149"/>
      <c r="C8" s="148"/>
      <c r="D8" s="149"/>
      <c r="E8" s="149"/>
      <c r="F8" s="149"/>
      <c r="G8" s="149"/>
      <c r="H8" s="149"/>
      <c r="I8" s="149"/>
      <c r="J8" s="149"/>
      <c r="K8" s="149"/>
      <c r="L8" s="149"/>
      <c r="M8" s="149"/>
      <c r="N8" s="149"/>
      <c r="O8" s="149"/>
      <c r="P8" s="149"/>
      <c r="Q8" s="149"/>
      <c r="R8" s="148"/>
      <c r="S8" s="168" t="s">
        <v>6</v>
      </c>
      <c r="T8" s="168" t="s">
        <v>6</v>
      </c>
      <c r="U8" s="168" t="s">
        <v>6</v>
      </c>
      <c r="V8" s="156"/>
      <c r="W8" s="156"/>
      <c r="X8" s="156"/>
    </row>
    <row r="9" spans="2:24" ht="13.5" customHeight="1" x14ac:dyDescent="0.25">
      <c r="B9" s="147"/>
      <c r="C9" s="148"/>
      <c r="D9" s="155"/>
      <c r="E9" s="155"/>
      <c r="F9" s="155"/>
      <c r="G9" s="155"/>
      <c r="H9" s="155"/>
      <c r="I9" s="155"/>
      <c r="J9" s="155"/>
      <c r="K9" s="149"/>
      <c r="L9" s="155"/>
      <c r="M9" s="149"/>
      <c r="N9" s="149"/>
      <c r="O9" s="149"/>
      <c r="P9" s="155"/>
      <c r="Q9" s="149"/>
      <c r="R9" s="148"/>
      <c r="S9" s="148">
        <f>K7*S7</f>
        <v>43756.083333333336</v>
      </c>
      <c r="T9" s="148">
        <f>K7*T7</f>
        <v>87512.166666666672</v>
      </c>
      <c r="U9" s="148">
        <f>K9*U7</f>
        <v>0</v>
      </c>
      <c r="V9" s="148"/>
      <c r="W9" s="148"/>
      <c r="X9" s="148"/>
    </row>
    <row r="10" spans="2:24" ht="13.5" customHeight="1" x14ac:dyDescent="0.25">
      <c r="B10" s="147"/>
      <c r="C10" s="148"/>
      <c r="D10" s="149"/>
      <c r="E10" s="149"/>
      <c r="F10" s="149"/>
      <c r="G10" s="149"/>
      <c r="H10" s="149"/>
      <c r="I10" s="149"/>
      <c r="J10" s="149"/>
      <c r="K10" s="149"/>
      <c r="L10" s="149"/>
      <c r="M10" s="149"/>
      <c r="N10" s="169" t="s">
        <v>65</v>
      </c>
      <c r="O10" s="169"/>
      <c r="P10" s="149"/>
      <c r="Q10" s="149"/>
      <c r="R10" s="148"/>
      <c r="S10" s="170" t="s">
        <v>77</v>
      </c>
      <c r="T10" s="170" t="s">
        <v>77</v>
      </c>
      <c r="U10" s="170" t="s">
        <v>77</v>
      </c>
      <c r="V10" s="156"/>
      <c r="W10" s="156"/>
      <c r="X10" s="156"/>
    </row>
    <row r="11" spans="2:24" ht="13.5" customHeight="1" x14ac:dyDescent="0.25">
      <c r="B11" s="147"/>
      <c r="C11" s="148"/>
      <c r="D11" s="149"/>
      <c r="E11" s="150"/>
      <c r="F11" s="149"/>
      <c r="G11" s="149"/>
      <c r="H11" s="149"/>
      <c r="I11" s="149"/>
      <c r="J11" s="147"/>
      <c r="K11" s="149"/>
      <c r="L11" s="149"/>
      <c r="M11" s="149"/>
      <c r="N11" s="149">
        <f>N7-(N7*S18)</f>
        <v>3060</v>
      </c>
      <c r="O11" s="149"/>
      <c r="P11" s="149"/>
      <c r="Q11" s="149"/>
      <c r="R11" s="148"/>
      <c r="S11" s="171">
        <f t="shared" ref="S11:U11" si="0">($N7*S7)-(($N7*S7)*S6)</f>
        <v>161500</v>
      </c>
      <c r="T11" s="171">
        <f t="shared" si="0"/>
        <v>306000</v>
      </c>
      <c r="U11" s="171">
        <f t="shared" si="0"/>
        <v>578000</v>
      </c>
      <c r="V11" s="171"/>
      <c r="W11" s="171"/>
      <c r="X11" s="171"/>
    </row>
    <row r="12" spans="2:24" ht="13.5" customHeight="1" x14ac:dyDescent="0.25">
      <c r="B12" s="147"/>
      <c r="C12" s="148"/>
      <c r="D12" s="149"/>
      <c r="E12" s="150"/>
      <c r="F12" s="149"/>
      <c r="G12" s="149"/>
      <c r="H12" s="149"/>
      <c r="I12" s="149"/>
      <c r="J12" s="147"/>
      <c r="K12" s="149"/>
      <c r="L12" s="149" t="s">
        <v>155</v>
      </c>
      <c r="M12" s="149"/>
      <c r="N12" s="172" t="s">
        <v>83</v>
      </c>
      <c r="O12" s="172"/>
      <c r="P12" s="149"/>
      <c r="Q12" s="149"/>
      <c r="R12" s="148"/>
      <c r="S12" s="148">
        <f>S11/S7</f>
        <v>3230</v>
      </c>
      <c r="T12" s="148">
        <f t="shared" ref="T12:U12" si="1">T11/T7</f>
        <v>3060</v>
      </c>
      <c r="U12" s="148">
        <f t="shared" si="1"/>
        <v>2890</v>
      </c>
      <c r="V12" s="148"/>
      <c r="W12" s="148"/>
      <c r="X12" s="148"/>
    </row>
    <row r="13" spans="2:24" ht="13.5" customHeight="1" x14ac:dyDescent="0.25">
      <c r="B13" s="147"/>
      <c r="C13" s="148"/>
      <c r="D13" s="155"/>
      <c r="E13" s="155"/>
      <c r="F13" s="149"/>
      <c r="G13" s="149"/>
      <c r="H13" s="149"/>
      <c r="I13" s="149"/>
      <c r="J13" s="149"/>
      <c r="K13" s="149"/>
      <c r="L13" s="155"/>
      <c r="M13" s="149"/>
      <c r="N13" s="149">
        <f>(N11-(N11*P4))-K7</f>
        <v>2001.2783333333334</v>
      </c>
      <c r="O13" s="149"/>
      <c r="P13" s="149"/>
      <c r="Q13" s="149"/>
      <c r="R13" s="148"/>
      <c r="S13" s="172" t="s">
        <v>78</v>
      </c>
      <c r="T13" s="172" t="s">
        <v>78</v>
      </c>
      <c r="U13" s="172" t="s">
        <v>78</v>
      </c>
      <c r="V13" s="156"/>
      <c r="W13" s="156"/>
      <c r="X13" s="156"/>
    </row>
    <row r="14" spans="2:24" ht="13.5" customHeight="1" x14ac:dyDescent="0.25">
      <c r="B14" s="147"/>
      <c r="C14" s="148"/>
      <c r="D14" s="149"/>
      <c r="E14" s="149"/>
      <c r="F14" s="149"/>
      <c r="G14" s="149"/>
      <c r="H14" s="149"/>
      <c r="I14" s="149"/>
      <c r="J14" s="149"/>
      <c r="K14" s="149"/>
      <c r="L14" s="149"/>
      <c r="M14" s="149"/>
      <c r="N14" s="149"/>
      <c r="O14" s="149"/>
      <c r="P14" s="149"/>
      <c r="Q14" s="149"/>
      <c r="R14" s="148"/>
      <c r="S14" s="148">
        <f>(S11-S9)-(S11*$P$27)</f>
        <v>104823.91666666666</v>
      </c>
      <c r="T14" s="148">
        <f t="shared" ref="T14:U14" si="2">(T11-T9)-(T11*$P$27)</f>
        <v>194007.83333333331</v>
      </c>
      <c r="U14" s="148">
        <f t="shared" si="2"/>
        <v>531760</v>
      </c>
      <c r="V14" s="148"/>
      <c r="W14" s="148"/>
      <c r="X14" s="148"/>
    </row>
    <row r="15" spans="2:24" ht="13.5" customHeight="1" x14ac:dyDescent="0.25">
      <c r="B15" s="147"/>
      <c r="C15" s="148"/>
      <c r="D15" s="155"/>
      <c r="E15" s="155"/>
      <c r="F15" s="155"/>
      <c r="G15" s="155"/>
      <c r="H15" s="155"/>
      <c r="I15" s="155"/>
      <c r="J15" s="155"/>
      <c r="K15" s="149"/>
      <c r="L15" s="149"/>
      <c r="M15" s="155"/>
      <c r="N15" s="155"/>
      <c r="O15" s="155"/>
      <c r="P15" s="149"/>
      <c r="Q15" s="155"/>
      <c r="R15" s="156"/>
      <c r="S15" s="148">
        <f>S14/S7</f>
        <v>2096.478333333333</v>
      </c>
      <c r="T15" s="148">
        <f t="shared" ref="T15:U15" si="3">T14/T7</f>
        <v>1940.0783333333331</v>
      </c>
      <c r="U15" s="148">
        <f t="shared" si="3"/>
        <v>2658.8</v>
      </c>
      <c r="V15" s="148"/>
      <c r="W15" s="148"/>
      <c r="X15" s="148"/>
    </row>
    <row r="16" spans="2:24" ht="13.5" customHeight="1" x14ac:dyDescent="0.25">
      <c r="B16" s="147"/>
      <c r="C16" s="156"/>
      <c r="D16" s="155"/>
      <c r="E16" s="155"/>
      <c r="F16" s="155"/>
      <c r="G16" s="155"/>
      <c r="H16" s="155"/>
      <c r="I16" s="155"/>
      <c r="J16" s="155"/>
      <c r="K16" s="149"/>
      <c r="L16" s="149"/>
      <c r="M16" s="149"/>
      <c r="N16" s="149"/>
      <c r="O16" s="149"/>
      <c r="P16" s="155"/>
      <c r="Q16" s="149"/>
      <c r="R16" s="148"/>
      <c r="S16" s="169" t="s">
        <v>65</v>
      </c>
      <c r="T16" s="169" t="s">
        <v>65</v>
      </c>
      <c r="U16" s="169" t="s">
        <v>65</v>
      </c>
      <c r="V16" s="148"/>
      <c r="W16" s="148"/>
      <c r="X16" s="148"/>
    </row>
    <row r="17" spans="2:24" ht="13.5" customHeight="1" x14ac:dyDescent="0.25">
      <c r="B17" s="147"/>
      <c r="C17" s="148"/>
      <c r="D17" s="155"/>
      <c r="E17" s="155"/>
      <c r="F17" s="155"/>
      <c r="G17" s="155"/>
      <c r="H17" s="155"/>
      <c r="I17" s="155"/>
      <c r="J17" s="155"/>
      <c r="K17" s="149"/>
      <c r="L17" s="149"/>
      <c r="M17" s="149"/>
      <c r="N17" s="149"/>
      <c r="O17" s="149"/>
      <c r="P17" s="149"/>
      <c r="Q17" s="149"/>
      <c r="R17" s="148"/>
      <c r="S17" s="148">
        <f>S11-(S11*S18)</f>
        <v>145350</v>
      </c>
      <c r="T17" s="148">
        <f t="shared" ref="T17:U17" si="4">T11-(T11*T18)</f>
        <v>275400</v>
      </c>
      <c r="U17" s="148">
        <f t="shared" si="4"/>
        <v>520200</v>
      </c>
      <c r="V17" s="148"/>
      <c r="W17" s="148"/>
      <c r="X17" s="148"/>
    </row>
    <row r="18" spans="2:24" x14ac:dyDescent="0.25">
      <c r="B18" s="147"/>
      <c r="C18" s="156"/>
      <c r="D18" s="155"/>
      <c r="E18" s="155"/>
      <c r="F18" s="155"/>
      <c r="G18" s="155"/>
      <c r="H18" s="155"/>
      <c r="I18" s="155"/>
      <c r="J18" s="155"/>
      <c r="K18" s="149"/>
      <c r="L18" s="149"/>
      <c r="M18" s="149"/>
      <c r="N18" s="149"/>
      <c r="O18" s="149"/>
      <c r="P18" s="149"/>
      <c r="Q18" s="149"/>
      <c r="R18" s="148"/>
      <c r="S18" s="154">
        <v>0.1</v>
      </c>
      <c r="T18" s="154">
        <v>0.1</v>
      </c>
      <c r="U18" s="154">
        <v>0.1</v>
      </c>
      <c r="V18" s="173"/>
      <c r="W18" s="173"/>
      <c r="X18" s="173"/>
    </row>
    <row r="19" spans="2:24" x14ac:dyDescent="0.25">
      <c r="B19" s="147"/>
      <c r="C19" s="156"/>
      <c r="D19" s="155"/>
      <c r="E19" s="155"/>
      <c r="F19" s="155"/>
      <c r="G19" s="155"/>
      <c r="H19" s="155"/>
      <c r="I19" s="155"/>
      <c r="J19" s="155"/>
      <c r="K19" s="149"/>
      <c r="L19" s="149"/>
      <c r="M19" s="149"/>
      <c r="N19" s="149"/>
      <c r="O19" s="149"/>
      <c r="P19" s="149"/>
      <c r="Q19" s="149"/>
      <c r="R19" s="148"/>
      <c r="S19" s="148">
        <f>S17/S7</f>
        <v>2907</v>
      </c>
      <c r="T19" s="148">
        <f>T17/T7</f>
        <v>2754</v>
      </c>
      <c r="U19" s="148">
        <f t="shared" ref="U19" si="5">U17/U7</f>
        <v>2601</v>
      </c>
      <c r="V19" s="148"/>
      <c r="W19" s="148"/>
      <c r="X19" s="148"/>
    </row>
    <row r="20" spans="2:24" x14ac:dyDescent="0.25">
      <c r="B20" s="147"/>
      <c r="C20" s="156"/>
      <c r="D20" s="155"/>
      <c r="E20" s="155"/>
      <c r="F20" s="155"/>
      <c r="G20" s="155"/>
      <c r="H20" s="155"/>
      <c r="I20" s="155"/>
      <c r="J20" s="155"/>
      <c r="K20" s="149"/>
      <c r="L20" s="149"/>
      <c r="M20" s="149"/>
      <c r="N20" s="149"/>
      <c r="O20" s="149"/>
      <c r="P20" s="149"/>
      <c r="Q20" s="149"/>
      <c r="R20" s="148"/>
      <c r="S20" s="172" t="s">
        <v>81</v>
      </c>
      <c r="T20" s="172" t="s">
        <v>81</v>
      </c>
      <c r="U20" s="172" t="s">
        <v>81</v>
      </c>
      <c r="V20" s="156"/>
      <c r="W20" s="156"/>
      <c r="X20" s="156"/>
    </row>
    <row r="21" spans="2:24" x14ac:dyDescent="0.25">
      <c r="B21" s="147"/>
      <c r="C21" s="156"/>
      <c r="D21" s="155"/>
      <c r="E21" s="155"/>
      <c r="F21" s="155"/>
      <c r="G21" s="155"/>
      <c r="H21" s="155"/>
      <c r="I21" s="155"/>
      <c r="J21" s="155"/>
      <c r="K21" s="149"/>
      <c r="L21" s="155"/>
      <c r="M21" s="155"/>
      <c r="N21" s="155"/>
      <c r="O21" s="155"/>
      <c r="P21" s="149"/>
      <c r="Q21" s="155"/>
      <c r="R21" s="156"/>
      <c r="S21" s="148">
        <f>S17-(S17*$P$26)-S9</f>
        <v>101593.91666666666</v>
      </c>
      <c r="T21" s="148">
        <f t="shared" ref="T21:U21" si="6">T17-(T17*$P$26)-T9</f>
        <v>187887.83333333331</v>
      </c>
      <c r="U21" s="148">
        <f t="shared" si="6"/>
        <v>520200</v>
      </c>
      <c r="V21" s="148"/>
      <c r="W21" s="148"/>
      <c r="X21" s="148"/>
    </row>
    <row r="22" spans="2:24" x14ac:dyDescent="0.25">
      <c r="B22" s="147"/>
      <c r="C22" s="156"/>
      <c r="D22" s="155"/>
      <c r="E22" s="155"/>
      <c r="F22" s="155"/>
      <c r="G22" s="155"/>
      <c r="H22" s="155"/>
      <c r="I22" s="155"/>
      <c r="J22" s="155"/>
      <c r="K22" s="149"/>
      <c r="L22" s="149"/>
      <c r="M22" s="149"/>
      <c r="N22" s="149"/>
      <c r="O22" s="149"/>
      <c r="P22" s="149"/>
      <c r="Q22" s="149"/>
      <c r="R22" s="148"/>
      <c r="S22" s="156">
        <f t="shared" ref="S22:U22" si="7">S21/S7</f>
        <v>2031.8783333333331</v>
      </c>
      <c r="T22" s="156">
        <f t="shared" si="7"/>
        <v>1878.8783333333331</v>
      </c>
      <c r="U22" s="156">
        <f t="shared" si="7"/>
        <v>2601</v>
      </c>
      <c r="V22" s="156"/>
      <c r="W22" s="156"/>
      <c r="X22" s="156"/>
    </row>
    <row r="27" spans="2:24" x14ac:dyDescent="0.25">
      <c r="B27" s="147"/>
      <c r="C27" s="148"/>
      <c r="D27" s="149"/>
      <c r="E27" s="150"/>
      <c r="F27" s="149"/>
      <c r="G27" s="149"/>
      <c r="H27" s="149"/>
      <c r="I27" s="149"/>
      <c r="J27" s="147"/>
      <c r="K27" s="149"/>
      <c r="L27" s="149"/>
      <c r="M27" s="149"/>
      <c r="N27" s="151">
        <v>0.1</v>
      </c>
      <c r="O27" s="151"/>
      <c r="P27" s="151">
        <v>0.08</v>
      </c>
      <c r="Q27" s="149"/>
      <c r="R27" s="148"/>
      <c r="S27" s="148"/>
      <c r="T27" s="148"/>
      <c r="U27" s="148"/>
    </row>
    <row r="28" spans="2:24" x14ac:dyDescent="0.25">
      <c r="B28" s="149"/>
      <c r="C28" s="148"/>
      <c r="D28" s="149"/>
      <c r="E28" s="149"/>
      <c r="F28" s="149"/>
      <c r="G28" s="149"/>
      <c r="H28" s="149"/>
      <c r="I28" s="149"/>
      <c r="J28" s="149"/>
      <c r="K28" s="149"/>
      <c r="L28" s="149"/>
      <c r="M28" s="149"/>
      <c r="N28" s="153">
        <v>0.09</v>
      </c>
      <c r="O28" s="153"/>
      <c r="P28" s="153">
        <v>0.06</v>
      </c>
      <c r="Q28" s="149"/>
      <c r="R28" s="148"/>
      <c r="S28" s="148"/>
      <c r="T28" s="148"/>
      <c r="U28" s="148"/>
    </row>
    <row r="29" spans="2:24" x14ac:dyDescent="0.25">
      <c r="B29" s="149"/>
      <c r="C29" s="148"/>
      <c r="D29" s="149"/>
      <c r="E29" s="149"/>
      <c r="F29" s="149"/>
      <c r="G29" s="149"/>
      <c r="H29" s="149"/>
      <c r="I29" s="149"/>
      <c r="J29" s="149"/>
      <c r="K29" s="149"/>
      <c r="L29" s="149"/>
      <c r="M29" s="149"/>
      <c r="N29" s="154">
        <f>N28+N27</f>
        <v>0.19</v>
      </c>
      <c r="O29" s="154"/>
      <c r="P29" s="154">
        <f>P28+P27</f>
        <v>0.14000000000000001</v>
      </c>
      <c r="Q29" s="155"/>
      <c r="R29" s="156"/>
      <c r="S29" s="157" t="s">
        <v>76</v>
      </c>
      <c r="T29" s="157" t="s">
        <v>76</v>
      </c>
      <c r="U29" s="157" t="s">
        <v>76</v>
      </c>
    </row>
    <row r="30" spans="2:24" x14ac:dyDescent="0.25">
      <c r="B30" s="483" t="s">
        <v>146</v>
      </c>
      <c r="C30" s="158" t="s">
        <v>138</v>
      </c>
      <c r="D30" s="159" t="s">
        <v>139</v>
      </c>
      <c r="E30" s="160" t="s">
        <v>140</v>
      </c>
      <c r="F30" s="159" t="s">
        <v>5</v>
      </c>
      <c r="G30" s="159" t="s">
        <v>120</v>
      </c>
      <c r="H30" s="159" t="s">
        <v>119</v>
      </c>
      <c r="I30" s="159"/>
      <c r="J30" s="147"/>
      <c r="K30" s="161" t="s">
        <v>6</v>
      </c>
      <c r="L30" s="162" t="s">
        <v>7</v>
      </c>
      <c r="M30" s="163" t="s">
        <v>80</v>
      </c>
      <c r="N30" s="164" t="s">
        <v>77</v>
      </c>
      <c r="O30" s="164" t="s">
        <v>77</v>
      </c>
      <c r="P30" s="165" t="s">
        <v>79</v>
      </c>
      <c r="Q30" s="149"/>
      <c r="R30" s="148"/>
      <c r="S30" s="154">
        <v>0.05</v>
      </c>
      <c r="T30" s="154">
        <v>0.1</v>
      </c>
      <c r="U30" s="154">
        <v>0.15</v>
      </c>
    </row>
    <row r="31" spans="2:24" x14ac:dyDescent="0.25">
      <c r="B31" s="483"/>
      <c r="C31" s="148">
        <f>C7</f>
        <v>128.87</v>
      </c>
      <c r="D31" s="149">
        <f>D7</f>
        <v>32.217500000000001</v>
      </c>
      <c r="E31" s="150">
        <f>E7</f>
        <v>13.807499999999999</v>
      </c>
      <c r="F31" s="149">
        <f>Insumos!G12/3</f>
        <v>135.66666666666666</v>
      </c>
      <c r="G31" s="149">
        <f>Insumos!AA8</f>
        <v>34.659999999999997</v>
      </c>
      <c r="H31" s="149">
        <f>Insumos!V8</f>
        <v>51.85</v>
      </c>
      <c r="I31" s="149"/>
      <c r="J31" s="147"/>
      <c r="K31" s="149">
        <f>SUM(C31:J31)</f>
        <v>397.07166666666672</v>
      </c>
      <c r="L31" s="149">
        <v>1500</v>
      </c>
      <c r="M31" s="149">
        <f>L31+K31</f>
        <v>1897.0716666666667</v>
      </c>
      <c r="N31" s="166">
        <f>ROUND(O31/50,0)*50</f>
        <v>2250</v>
      </c>
      <c r="O31" s="166">
        <f>(L31+K31)+((K31+L31)*(N29))</f>
        <v>2257.5152833333332</v>
      </c>
      <c r="P31" s="149">
        <f>N31-(N31*P29)-K31</f>
        <v>1537.9283333333333</v>
      </c>
      <c r="Q31" s="149"/>
      <c r="R31" s="148"/>
      <c r="S31" s="167">
        <v>50</v>
      </c>
      <c r="T31" s="167">
        <v>100</v>
      </c>
      <c r="U31" s="167">
        <v>200</v>
      </c>
    </row>
    <row r="32" spans="2:24" x14ac:dyDescent="0.25">
      <c r="B32" s="149"/>
      <c r="C32" s="148"/>
      <c r="D32" s="149"/>
      <c r="E32" s="149"/>
      <c r="F32" s="149"/>
      <c r="G32" s="149"/>
      <c r="H32" s="149"/>
      <c r="I32" s="149"/>
      <c r="J32" s="149"/>
      <c r="K32" s="149"/>
      <c r="L32" s="149"/>
      <c r="M32" s="149"/>
      <c r="N32" s="149"/>
      <c r="O32" s="149"/>
      <c r="P32" s="149"/>
      <c r="Q32" s="149"/>
      <c r="R32" s="148"/>
      <c r="S32" s="168" t="s">
        <v>6</v>
      </c>
      <c r="T32" s="168" t="s">
        <v>6</v>
      </c>
      <c r="U32" s="168" t="s">
        <v>6</v>
      </c>
    </row>
    <row r="33" spans="2:21" x14ac:dyDescent="0.25">
      <c r="B33" s="147"/>
      <c r="C33" s="148"/>
      <c r="D33" s="155"/>
      <c r="E33" s="155"/>
      <c r="F33" s="155"/>
      <c r="G33" s="155"/>
      <c r="H33" s="155"/>
      <c r="I33" s="155"/>
      <c r="J33" s="155"/>
      <c r="K33" s="149"/>
      <c r="L33" s="155"/>
      <c r="M33" s="149"/>
      <c r="N33" s="149"/>
      <c r="O33" s="149"/>
      <c r="P33" s="155"/>
      <c r="Q33" s="149"/>
      <c r="R33" s="148"/>
      <c r="S33" s="148">
        <f>K31*S31</f>
        <v>19853.583333333336</v>
      </c>
      <c r="T33" s="148">
        <f>K31*T31</f>
        <v>39707.166666666672</v>
      </c>
      <c r="U33" s="148">
        <f>K33*U31</f>
        <v>0</v>
      </c>
    </row>
    <row r="34" spans="2:21" x14ac:dyDescent="0.25">
      <c r="B34" s="147"/>
      <c r="C34" s="148"/>
      <c r="D34" s="149"/>
      <c r="E34" s="149"/>
      <c r="F34" s="149"/>
      <c r="G34" s="149"/>
      <c r="H34" s="149"/>
      <c r="I34" s="149"/>
      <c r="J34" s="149"/>
      <c r="K34" s="149"/>
      <c r="L34" s="149"/>
      <c r="M34" s="149"/>
      <c r="N34" s="169" t="s">
        <v>65</v>
      </c>
      <c r="O34" s="169"/>
      <c r="P34" s="149"/>
      <c r="Q34" s="149"/>
      <c r="R34" s="148"/>
      <c r="S34" s="170" t="s">
        <v>77</v>
      </c>
      <c r="T34" s="170" t="s">
        <v>77</v>
      </c>
      <c r="U34" s="170" t="s">
        <v>77</v>
      </c>
    </row>
    <row r="35" spans="2:21" x14ac:dyDescent="0.25">
      <c r="B35" s="147"/>
      <c r="C35" s="148"/>
      <c r="D35" s="149"/>
      <c r="E35" s="150"/>
      <c r="F35" s="149"/>
      <c r="G35" s="149"/>
      <c r="H35" s="149"/>
      <c r="I35" s="149"/>
      <c r="J35" s="147"/>
      <c r="K35" s="149"/>
      <c r="L35" s="149"/>
      <c r="M35" s="149"/>
      <c r="N35" s="149">
        <f>N31-(N31*S42)</f>
        <v>2025</v>
      </c>
      <c r="O35" s="149"/>
      <c r="P35" s="149"/>
      <c r="Q35" s="149"/>
      <c r="R35" s="148"/>
      <c r="S35" s="171">
        <f t="shared" ref="S35:U35" si="8">($N31*S31)-(($N31*S31)*S30)</f>
        <v>106875</v>
      </c>
      <c r="T35" s="171">
        <f t="shared" si="8"/>
        <v>202500</v>
      </c>
      <c r="U35" s="171">
        <f t="shared" si="8"/>
        <v>382500</v>
      </c>
    </row>
    <row r="36" spans="2:21" x14ac:dyDescent="0.25">
      <c r="B36" s="147"/>
      <c r="C36" s="148"/>
      <c r="D36" s="149"/>
      <c r="E36" s="150"/>
      <c r="F36" s="149"/>
      <c r="G36" s="149"/>
      <c r="H36" s="149"/>
      <c r="I36" s="149"/>
      <c r="J36" s="147"/>
      <c r="K36" s="149"/>
      <c r="L36" s="149"/>
      <c r="M36" s="149"/>
      <c r="N36" s="172" t="s">
        <v>83</v>
      </c>
      <c r="O36" s="172"/>
      <c r="P36" s="149"/>
      <c r="Q36" s="149"/>
      <c r="R36" s="148"/>
      <c r="S36" s="148">
        <f>S35/S31</f>
        <v>2137.5</v>
      </c>
      <c r="T36" s="148">
        <f t="shared" ref="T36:U36" si="9">T35/T31</f>
        <v>2025</v>
      </c>
      <c r="U36" s="148">
        <f t="shared" si="9"/>
        <v>1912.5</v>
      </c>
    </row>
    <row r="37" spans="2:21" x14ac:dyDescent="0.25">
      <c r="B37" s="147"/>
      <c r="C37" s="148"/>
      <c r="D37" s="155"/>
      <c r="E37" s="155"/>
      <c r="F37" s="149"/>
      <c r="G37" s="149"/>
      <c r="H37" s="149"/>
      <c r="I37" s="149"/>
      <c r="J37" s="149"/>
      <c r="K37" s="149"/>
      <c r="L37" s="155"/>
      <c r="M37" s="149"/>
      <c r="N37" s="149">
        <f>(N35-(N35*P28))-K31</f>
        <v>1506.4283333333333</v>
      </c>
      <c r="O37" s="149"/>
      <c r="P37" s="149"/>
      <c r="Q37" s="149"/>
      <c r="R37" s="148"/>
      <c r="S37" s="172" t="s">
        <v>78</v>
      </c>
      <c r="T37" s="172" t="s">
        <v>78</v>
      </c>
      <c r="U37" s="172" t="s">
        <v>78</v>
      </c>
    </row>
    <row r="38" spans="2:21" x14ac:dyDescent="0.25">
      <c r="B38" s="147"/>
      <c r="C38" s="148"/>
      <c r="D38" s="149"/>
      <c r="E38" s="149"/>
      <c r="F38" s="149"/>
      <c r="G38" s="149"/>
      <c r="H38" s="149"/>
      <c r="I38" s="149"/>
      <c r="J38" s="149"/>
      <c r="K38" s="149"/>
      <c r="L38" s="149"/>
      <c r="M38" s="149"/>
      <c r="N38" s="149"/>
      <c r="O38" s="149"/>
      <c r="P38" s="149"/>
      <c r="Q38" s="149"/>
      <c r="R38" s="148"/>
      <c r="S38" s="148">
        <f>(S35-S33)-(S35*$P$27)</f>
        <v>78471.416666666657</v>
      </c>
      <c r="T38" s="148">
        <f t="shared" ref="T38:U38" si="10">(T35-T33)-(T35*$P$27)</f>
        <v>146592.83333333331</v>
      </c>
      <c r="U38" s="148">
        <f t="shared" si="10"/>
        <v>351900</v>
      </c>
    </row>
    <row r="39" spans="2:21" x14ac:dyDescent="0.25">
      <c r="B39" s="147"/>
      <c r="C39" s="148"/>
      <c r="D39" s="155"/>
      <c r="E39" s="155"/>
      <c r="F39" s="155"/>
      <c r="G39" s="155"/>
      <c r="H39" s="155"/>
      <c r="I39" s="155"/>
      <c r="J39" s="155"/>
      <c r="K39" s="149"/>
      <c r="L39" s="149"/>
      <c r="M39" s="155"/>
      <c r="N39" s="155"/>
      <c r="O39" s="155"/>
      <c r="P39" s="149"/>
      <c r="Q39" s="155"/>
      <c r="R39" s="156"/>
      <c r="S39" s="148">
        <f>S38/S31</f>
        <v>1569.4283333333331</v>
      </c>
      <c r="T39" s="148">
        <f t="shared" ref="T39:U39" si="11">T38/T31</f>
        <v>1465.9283333333331</v>
      </c>
      <c r="U39" s="148">
        <f t="shared" si="11"/>
        <v>1759.5</v>
      </c>
    </row>
    <row r="40" spans="2:21" x14ac:dyDescent="0.25">
      <c r="B40" s="147"/>
      <c r="C40" s="156"/>
      <c r="D40" s="155"/>
      <c r="E40" s="155"/>
      <c r="F40" s="155"/>
      <c r="G40" s="155"/>
      <c r="H40" s="155"/>
      <c r="I40" s="155"/>
      <c r="J40" s="155"/>
      <c r="K40" s="149"/>
      <c r="L40" s="149"/>
      <c r="M40" s="149"/>
      <c r="N40" s="149"/>
      <c r="O40" s="149"/>
      <c r="P40" s="155"/>
      <c r="Q40" s="149"/>
      <c r="R40" s="148"/>
      <c r="S40" s="169" t="s">
        <v>65</v>
      </c>
      <c r="T40" s="169" t="s">
        <v>65</v>
      </c>
      <c r="U40" s="169" t="s">
        <v>65</v>
      </c>
    </row>
    <row r="41" spans="2:21" x14ac:dyDescent="0.25">
      <c r="B41" s="147"/>
      <c r="C41" s="148"/>
      <c r="D41" s="155"/>
      <c r="E41" s="155"/>
      <c r="F41" s="155"/>
      <c r="G41" s="155"/>
      <c r="H41" s="155"/>
      <c r="I41" s="155"/>
      <c r="J41" s="155"/>
      <c r="K41" s="149"/>
      <c r="L41" s="149"/>
      <c r="M41" s="149"/>
      <c r="N41" s="149"/>
      <c r="O41" s="149"/>
      <c r="P41" s="149"/>
      <c r="Q41" s="149"/>
      <c r="R41" s="148"/>
      <c r="S41" s="148">
        <f>S35-(S35*S42)</f>
        <v>96187.5</v>
      </c>
      <c r="T41" s="148">
        <f t="shared" ref="T41:U41" si="12">T35-(T35*T42)</f>
        <v>182250</v>
      </c>
      <c r="U41" s="148">
        <f t="shared" si="12"/>
        <v>344250</v>
      </c>
    </row>
    <row r="42" spans="2:21" x14ac:dyDescent="0.25">
      <c r="B42" s="147"/>
      <c r="C42" s="156"/>
      <c r="D42" s="155"/>
      <c r="E42" s="155"/>
      <c r="F42" s="155"/>
      <c r="G42" s="155"/>
      <c r="H42" s="155"/>
      <c r="I42" s="155"/>
      <c r="J42" s="155"/>
      <c r="K42" s="149"/>
      <c r="L42" s="149"/>
      <c r="M42" s="149"/>
      <c r="N42" s="149"/>
      <c r="O42" s="149"/>
      <c r="P42" s="149"/>
      <c r="Q42" s="149"/>
      <c r="R42" s="148"/>
      <c r="S42" s="154">
        <v>0.1</v>
      </c>
      <c r="T42" s="154">
        <v>0.1</v>
      </c>
      <c r="U42" s="154">
        <v>0.1</v>
      </c>
    </row>
    <row r="43" spans="2:21" x14ac:dyDescent="0.25">
      <c r="B43" s="147"/>
      <c r="C43" s="156"/>
      <c r="D43" s="155"/>
      <c r="E43" s="155"/>
      <c r="F43" s="155"/>
      <c r="G43" s="155"/>
      <c r="H43" s="155"/>
      <c r="I43" s="155"/>
      <c r="J43" s="155"/>
      <c r="K43" s="149"/>
      <c r="L43" s="149"/>
      <c r="M43" s="149"/>
      <c r="N43" s="149"/>
      <c r="O43" s="149"/>
      <c r="P43" s="149"/>
      <c r="Q43" s="149"/>
      <c r="R43" s="148"/>
      <c r="S43" s="148">
        <f>S41/S31</f>
        <v>1923.75</v>
      </c>
      <c r="T43" s="148">
        <f>T41/T31</f>
        <v>1822.5</v>
      </c>
      <c r="U43" s="148">
        <f t="shared" ref="U43" si="13">U41/U31</f>
        <v>1721.25</v>
      </c>
    </row>
    <row r="44" spans="2:21" x14ac:dyDescent="0.25">
      <c r="B44" s="147"/>
      <c r="C44" s="156"/>
      <c r="D44" s="155"/>
      <c r="E44" s="155"/>
      <c r="F44" s="155"/>
      <c r="G44" s="155"/>
      <c r="H44" s="155"/>
      <c r="I44" s="155"/>
      <c r="J44" s="155"/>
      <c r="K44" s="149"/>
      <c r="L44" s="149"/>
      <c r="M44" s="149"/>
      <c r="N44" s="149"/>
      <c r="O44" s="149"/>
      <c r="P44" s="149"/>
      <c r="Q44" s="149"/>
      <c r="R44" s="148"/>
      <c r="S44" s="172" t="s">
        <v>81</v>
      </c>
      <c r="T44" s="172" t="s">
        <v>81</v>
      </c>
      <c r="U44" s="172" t="s">
        <v>81</v>
      </c>
    </row>
    <row r="45" spans="2:21" x14ac:dyDescent="0.25">
      <c r="B45" s="147"/>
      <c r="C45" s="156"/>
      <c r="D45" s="155"/>
      <c r="E45" s="155"/>
      <c r="F45" s="155"/>
      <c r="G45" s="155"/>
      <c r="H45" s="155"/>
      <c r="I45" s="155"/>
      <c r="J45" s="155"/>
      <c r="K45" s="149"/>
      <c r="L45" s="155"/>
      <c r="M45" s="155"/>
      <c r="N45" s="155"/>
      <c r="O45" s="155"/>
      <c r="P45" s="149"/>
      <c r="Q45" s="155"/>
      <c r="R45" s="156"/>
      <c r="S45" s="148">
        <f>S41-(S41*$P$26)-S33</f>
        <v>76333.916666666657</v>
      </c>
      <c r="T45" s="148">
        <f t="shared" ref="T45:U45" si="14">T41-(T41*$P$26)-T33</f>
        <v>142542.83333333331</v>
      </c>
      <c r="U45" s="148">
        <f t="shared" si="14"/>
        <v>344250</v>
      </c>
    </row>
    <row r="46" spans="2:21" x14ac:dyDescent="0.25">
      <c r="B46" s="147"/>
      <c r="C46" s="156"/>
      <c r="D46" s="155"/>
      <c r="E46" s="155"/>
      <c r="F46" s="155"/>
      <c r="G46" s="155"/>
      <c r="H46" s="155"/>
      <c r="I46" s="155"/>
      <c r="J46" s="155"/>
      <c r="K46" s="149"/>
      <c r="L46" s="149"/>
      <c r="M46" s="149"/>
      <c r="N46" s="149"/>
      <c r="O46" s="149"/>
      <c r="P46" s="149"/>
      <c r="Q46" s="149"/>
      <c r="R46" s="148"/>
      <c r="S46" s="156">
        <f t="shared" ref="S46:U46" si="15">S45/S31</f>
        <v>1526.6783333333331</v>
      </c>
      <c r="T46" s="156">
        <f t="shared" si="15"/>
        <v>1425.4283333333331</v>
      </c>
      <c r="U46" s="156">
        <f t="shared" si="15"/>
        <v>1721.25</v>
      </c>
    </row>
    <row r="50" spans="2:21" x14ac:dyDescent="0.25">
      <c r="B50" s="147"/>
      <c r="C50" s="148"/>
      <c r="D50" s="149"/>
      <c r="E50" s="150"/>
      <c r="F50" s="149"/>
      <c r="G50" s="149"/>
      <c r="H50" s="149"/>
      <c r="I50" s="149"/>
      <c r="J50" s="147"/>
      <c r="K50" s="149"/>
      <c r="L50" s="149"/>
      <c r="M50" s="149"/>
      <c r="N50" s="151">
        <v>0.1</v>
      </c>
      <c r="O50" s="151"/>
      <c r="P50" s="151">
        <v>0.08</v>
      </c>
      <c r="Q50" s="149"/>
      <c r="R50" s="148"/>
      <c r="S50" s="148"/>
      <c r="T50" s="148"/>
      <c r="U50" s="148"/>
    </row>
    <row r="51" spans="2:21" x14ac:dyDescent="0.25">
      <c r="B51" s="149"/>
      <c r="C51" s="148"/>
      <c r="D51" s="149"/>
      <c r="E51" s="149"/>
      <c r="F51" s="149"/>
      <c r="G51" s="149"/>
      <c r="H51" s="149"/>
      <c r="I51" s="149"/>
      <c r="J51" s="149"/>
      <c r="K51" s="149"/>
      <c r="L51" s="149"/>
      <c r="M51" s="149"/>
      <c r="N51" s="153">
        <v>0.09</v>
      </c>
      <c r="O51" s="153"/>
      <c r="P51" s="153">
        <v>0.06</v>
      </c>
      <c r="Q51" s="149"/>
      <c r="R51" s="148"/>
      <c r="S51" s="148"/>
      <c r="T51" s="148"/>
      <c r="U51" s="148"/>
    </row>
    <row r="52" spans="2:21" x14ac:dyDescent="0.25">
      <c r="B52" s="149"/>
      <c r="C52" s="148"/>
      <c r="D52" s="149"/>
      <c r="E52" s="149"/>
      <c r="F52" s="149"/>
      <c r="G52" s="149"/>
      <c r="H52" s="149"/>
      <c r="I52" s="149"/>
      <c r="J52" s="149"/>
      <c r="K52" s="149"/>
      <c r="L52" s="149"/>
      <c r="M52" s="149"/>
      <c r="N52" s="154">
        <f>N51+N50</f>
        <v>0.19</v>
      </c>
      <c r="O52" s="154"/>
      <c r="P52" s="154">
        <f>P51+P50</f>
        <v>0.14000000000000001</v>
      </c>
      <c r="Q52" s="155"/>
      <c r="R52" s="156"/>
      <c r="S52" s="157" t="s">
        <v>76</v>
      </c>
      <c r="T52" s="157" t="s">
        <v>76</v>
      </c>
      <c r="U52" s="157" t="s">
        <v>76</v>
      </c>
    </row>
    <row r="53" spans="2:21" x14ac:dyDescent="0.25">
      <c r="B53" s="483" t="s">
        <v>202</v>
      </c>
      <c r="C53" s="158" t="s">
        <v>138</v>
      </c>
      <c r="D53" s="159" t="s">
        <v>139</v>
      </c>
      <c r="E53" s="160" t="s">
        <v>140</v>
      </c>
      <c r="F53" s="159" t="s">
        <v>5</v>
      </c>
      <c r="G53" s="159" t="s">
        <v>120</v>
      </c>
      <c r="H53" s="159" t="s">
        <v>119</v>
      </c>
      <c r="I53" s="159"/>
      <c r="J53" s="147"/>
      <c r="K53" s="161" t="s">
        <v>6</v>
      </c>
      <c r="L53" s="162" t="s">
        <v>7</v>
      </c>
      <c r="M53" s="163" t="s">
        <v>80</v>
      </c>
      <c r="N53" s="164" t="s">
        <v>77</v>
      </c>
      <c r="O53" s="164" t="s">
        <v>77</v>
      </c>
      <c r="P53" s="165" t="s">
        <v>79</v>
      </c>
      <c r="Q53" s="149"/>
      <c r="R53" s="148"/>
      <c r="S53" s="154">
        <v>0.05</v>
      </c>
      <c r="T53" s="154">
        <v>0.1</v>
      </c>
      <c r="U53" s="154">
        <v>0.15</v>
      </c>
    </row>
    <row r="54" spans="2:21" x14ac:dyDescent="0.25">
      <c r="B54" s="483"/>
      <c r="C54" s="148">
        <f>C31</f>
        <v>128.87</v>
      </c>
      <c r="D54" s="148">
        <f>D31</f>
        <v>32.217500000000001</v>
      </c>
      <c r="E54" s="148">
        <f>E31</f>
        <v>13.807499999999999</v>
      </c>
      <c r="F54" s="149">
        <f>Insumos!G12/20</f>
        <v>20.350000000000001</v>
      </c>
      <c r="G54" s="149">
        <f>Insumos!V14</f>
        <v>13.795</v>
      </c>
      <c r="H54" s="148">
        <f>H31</f>
        <v>51.85</v>
      </c>
      <c r="I54" s="149"/>
      <c r="J54" s="147"/>
      <c r="K54" s="149">
        <f>SUM(C54:J54)</f>
        <v>260.89</v>
      </c>
      <c r="L54" s="149">
        <v>1500</v>
      </c>
      <c r="M54" s="149">
        <f>L54+K54</f>
        <v>1760.8899999999999</v>
      </c>
      <c r="N54" s="166">
        <f>ROUND(O54/50,0)*50</f>
        <v>2100</v>
      </c>
      <c r="O54" s="166">
        <f>(L54+K54)+((K54+L54)*(N52))</f>
        <v>2095.4591</v>
      </c>
      <c r="P54" s="149">
        <f>N54-(N54*P52)-K54</f>
        <v>1545.1100000000001</v>
      </c>
      <c r="Q54" s="149"/>
      <c r="R54" s="148"/>
      <c r="S54" s="167">
        <v>50</v>
      </c>
      <c r="T54" s="167">
        <v>100</v>
      </c>
      <c r="U54" s="167">
        <v>200</v>
      </c>
    </row>
    <row r="55" spans="2:21" x14ac:dyDescent="0.25">
      <c r="B55" s="149"/>
      <c r="C55" s="148"/>
      <c r="D55" s="149"/>
      <c r="E55" s="149"/>
      <c r="F55" s="149"/>
      <c r="G55" s="149"/>
      <c r="H55" s="149"/>
      <c r="I55" s="149"/>
      <c r="J55" s="149"/>
      <c r="K55" s="149"/>
      <c r="L55" s="149"/>
      <c r="M55" s="149"/>
      <c r="N55" s="149"/>
      <c r="O55" s="149"/>
      <c r="P55" s="149"/>
      <c r="Q55" s="149"/>
      <c r="R55" s="148"/>
      <c r="S55" s="168" t="s">
        <v>6</v>
      </c>
      <c r="T55" s="168" t="s">
        <v>6</v>
      </c>
      <c r="U55" s="168" t="s">
        <v>6</v>
      </c>
    </row>
    <row r="56" spans="2:21" x14ac:dyDescent="0.25">
      <c r="B56" s="147"/>
      <c r="C56" s="148"/>
      <c r="D56" s="155"/>
      <c r="E56" s="155"/>
      <c r="F56" s="155"/>
      <c r="G56" s="155"/>
      <c r="H56" s="155"/>
      <c r="I56" s="155"/>
      <c r="J56" s="155"/>
      <c r="K56" s="149"/>
      <c r="L56" s="155"/>
      <c r="M56" s="149"/>
      <c r="N56" s="149"/>
      <c r="O56" s="149"/>
      <c r="P56" s="155"/>
      <c r="Q56" s="149"/>
      <c r="R56" s="148"/>
      <c r="S56" s="148">
        <f>K54*S54</f>
        <v>13044.5</v>
      </c>
      <c r="T56" s="148">
        <f>K54*T54</f>
        <v>26089</v>
      </c>
      <c r="U56" s="148">
        <f>K56*U54</f>
        <v>0</v>
      </c>
    </row>
    <row r="57" spans="2:21" x14ac:dyDescent="0.25">
      <c r="B57" s="147"/>
      <c r="C57" s="148"/>
      <c r="D57" s="149"/>
      <c r="E57" s="149"/>
      <c r="F57" s="149"/>
      <c r="G57" s="149"/>
      <c r="H57" s="149"/>
      <c r="I57" s="149"/>
      <c r="J57" s="149"/>
      <c r="K57" s="149"/>
      <c r="L57" s="149"/>
      <c r="M57" s="149"/>
      <c r="N57" s="169" t="s">
        <v>65</v>
      </c>
      <c r="O57" s="169"/>
      <c r="P57" s="149"/>
      <c r="Q57" s="149"/>
      <c r="R57" s="148"/>
      <c r="S57" s="170" t="s">
        <v>77</v>
      </c>
      <c r="T57" s="170" t="s">
        <v>77</v>
      </c>
      <c r="U57" s="170" t="s">
        <v>77</v>
      </c>
    </row>
    <row r="58" spans="2:21" x14ac:dyDescent="0.25">
      <c r="B58" s="147"/>
      <c r="C58" s="148"/>
      <c r="D58" s="149"/>
      <c r="E58" s="150"/>
      <c r="F58" s="149"/>
      <c r="G58" s="149"/>
      <c r="H58" s="149"/>
      <c r="I58" s="149"/>
      <c r="J58" s="147"/>
      <c r="K58" s="149"/>
      <c r="L58" s="149"/>
      <c r="M58" s="149"/>
      <c r="N58" s="149">
        <f>N54-(N54*S65)</f>
        <v>1890</v>
      </c>
      <c r="O58" s="149"/>
      <c r="P58" s="149"/>
      <c r="Q58" s="149"/>
      <c r="R58" s="148"/>
      <c r="S58" s="171">
        <f t="shared" ref="S58:U58" si="16">($N54*S54)-(($N54*S54)*S53)</f>
        <v>99750</v>
      </c>
      <c r="T58" s="171">
        <f t="shared" si="16"/>
        <v>189000</v>
      </c>
      <c r="U58" s="171">
        <f t="shared" si="16"/>
        <v>357000</v>
      </c>
    </row>
    <row r="59" spans="2:21" x14ac:dyDescent="0.25">
      <c r="B59" s="147"/>
      <c r="C59" s="148"/>
      <c r="D59" s="149"/>
      <c r="E59" s="150"/>
      <c r="F59" s="149"/>
      <c r="G59" s="149"/>
      <c r="H59" s="149"/>
      <c r="I59" s="149"/>
      <c r="J59" s="147"/>
      <c r="K59" s="149"/>
      <c r="L59" s="149"/>
      <c r="M59" s="149"/>
      <c r="N59" s="172" t="s">
        <v>83</v>
      </c>
      <c r="O59" s="172"/>
      <c r="P59" s="149"/>
      <c r="Q59" s="149"/>
      <c r="R59" s="148"/>
      <c r="S59" s="148">
        <f>S58/S54</f>
        <v>1995</v>
      </c>
      <c r="T59" s="148">
        <f t="shared" ref="T59:U59" si="17">T58/T54</f>
        <v>1890</v>
      </c>
      <c r="U59" s="148">
        <f t="shared" si="17"/>
        <v>1785</v>
      </c>
    </row>
    <row r="60" spans="2:21" x14ac:dyDescent="0.25">
      <c r="B60" s="147"/>
      <c r="C60" s="148"/>
      <c r="D60" s="155"/>
      <c r="E60" s="155"/>
      <c r="F60" s="149"/>
      <c r="G60" s="149"/>
      <c r="H60" s="149"/>
      <c r="I60" s="149"/>
      <c r="J60" s="149"/>
      <c r="K60" s="149"/>
      <c r="L60" s="155"/>
      <c r="M60" s="149"/>
      <c r="N60" s="149">
        <f>(N58-(N58*P51))-K54</f>
        <v>1515.71</v>
      </c>
      <c r="O60" s="149"/>
      <c r="P60" s="149"/>
      <c r="Q60" s="149"/>
      <c r="R60" s="148"/>
      <c r="S60" s="172" t="s">
        <v>78</v>
      </c>
      <c r="T60" s="172" t="s">
        <v>78</v>
      </c>
      <c r="U60" s="172" t="s">
        <v>78</v>
      </c>
    </row>
    <row r="61" spans="2:21" x14ac:dyDescent="0.25">
      <c r="B61" s="147"/>
      <c r="C61" s="148"/>
      <c r="D61" s="149"/>
      <c r="E61" s="149"/>
      <c r="F61" s="149"/>
      <c r="G61" s="149"/>
      <c r="H61" s="149"/>
      <c r="I61" s="149"/>
      <c r="J61" s="149"/>
      <c r="K61" s="149"/>
      <c r="L61" s="149"/>
      <c r="M61" s="149"/>
      <c r="N61" s="149"/>
      <c r="O61" s="149"/>
      <c r="P61" s="149"/>
      <c r="Q61" s="149"/>
      <c r="R61" s="148"/>
      <c r="S61" s="148">
        <f>(S58-S56)-(S58*$P$27)</f>
        <v>78725.5</v>
      </c>
      <c r="T61" s="148">
        <f t="shared" ref="T61:U61" si="18">(T58-T56)-(T58*$P$27)</f>
        <v>147791</v>
      </c>
      <c r="U61" s="148">
        <f t="shared" si="18"/>
        <v>328440</v>
      </c>
    </row>
    <row r="62" spans="2:21" x14ac:dyDescent="0.25">
      <c r="B62" s="147"/>
      <c r="C62" s="148"/>
      <c r="D62" s="155"/>
      <c r="E62" s="155"/>
      <c r="F62" s="155"/>
      <c r="G62" s="155"/>
      <c r="H62" s="155"/>
      <c r="I62" s="155"/>
      <c r="J62" s="155"/>
      <c r="K62" s="149"/>
      <c r="L62" s="149"/>
      <c r="M62" s="155"/>
      <c r="N62" s="155"/>
      <c r="O62" s="155"/>
      <c r="P62" s="149"/>
      <c r="Q62" s="155"/>
      <c r="R62" s="156"/>
      <c r="S62" s="148">
        <f>S61/S54</f>
        <v>1574.51</v>
      </c>
      <c r="T62" s="148">
        <f t="shared" ref="T62:U62" si="19">T61/T54</f>
        <v>1477.91</v>
      </c>
      <c r="U62" s="148">
        <f t="shared" si="19"/>
        <v>1642.2</v>
      </c>
    </row>
    <row r="63" spans="2:21" x14ac:dyDescent="0.25">
      <c r="B63" s="147"/>
      <c r="C63" s="156"/>
      <c r="D63" s="155"/>
      <c r="E63" s="155"/>
      <c r="F63" s="155"/>
      <c r="G63" s="155"/>
      <c r="H63" s="155"/>
      <c r="I63" s="155"/>
      <c r="J63" s="155"/>
      <c r="K63" s="149"/>
      <c r="L63" s="149"/>
      <c r="M63" s="149"/>
      <c r="N63" s="149"/>
      <c r="O63" s="149"/>
      <c r="P63" s="155"/>
      <c r="Q63" s="149"/>
      <c r="R63" s="148"/>
      <c r="S63" s="169" t="s">
        <v>65</v>
      </c>
      <c r="T63" s="169" t="s">
        <v>65</v>
      </c>
      <c r="U63" s="169" t="s">
        <v>65</v>
      </c>
    </row>
    <row r="64" spans="2:21" x14ac:dyDescent="0.25">
      <c r="B64" s="147"/>
      <c r="C64" s="148"/>
      <c r="D64" s="155"/>
      <c r="E64" s="155"/>
      <c r="F64" s="155"/>
      <c r="G64" s="155"/>
      <c r="H64" s="155"/>
      <c r="I64" s="155"/>
      <c r="J64" s="155"/>
      <c r="K64" s="149"/>
      <c r="L64" s="149"/>
      <c r="M64" s="149"/>
      <c r="N64" s="149"/>
      <c r="O64" s="149"/>
      <c r="P64" s="149"/>
      <c r="Q64" s="149"/>
      <c r="R64" s="148"/>
      <c r="S64" s="148">
        <f>S58-(S58*S65)</f>
        <v>89775</v>
      </c>
      <c r="T64" s="148">
        <f t="shared" ref="T64:U64" si="20">T58-(T58*T65)</f>
        <v>170100</v>
      </c>
      <c r="U64" s="148">
        <f t="shared" si="20"/>
        <v>321300</v>
      </c>
    </row>
    <row r="65" spans="2:21" x14ac:dyDescent="0.25">
      <c r="B65" s="147"/>
      <c r="C65" s="156"/>
      <c r="D65" s="155"/>
      <c r="E65" s="155"/>
      <c r="F65" s="155"/>
      <c r="G65" s="155"/>
      <c r="H65" s="155"/>
      <c r="I65" s="155"/>
      <c r="J65" s="155"/>
      <c r="K65" s="149"/>
      <c r="L65" s="149"/>
      <c r="M65" s="149"/>
      <c r="N65" s="149"/>
      <c r="O65" s="149"/>
      <c r="P65" s="149"/>
      <c r="Q65" s="149"/>
      <c r="R65" s="148"/>
      <c r="S65" s="154">
        <v>0.1</v>
      </c>
      <c r="T65" s="154">
        <v>0.1</v>
      </c>
      <c r="U65" s="154">
        <v>0.1</v>
      </c>
    </row>
    <row r="66" spans="2:21" x14ac:dyDescent="0.25">
      <c r="B66" s="147"/>
      <c r="C66" s="156"/>
      <c r="D66" s="155"/>
      <c r="E66" s="155"/>
      <c r="F66" s="155"/>
      <c r="G66" s="155"/>
      <c r="H66" s="155"/>
      <c r="I66" s="155"/>
      <c r="J66" s="155"/>
      <c r="K66" s="149"/>
      <c r="L66" s="149"/>
      <c r="M66" s="149"/>
      <c r="N66" s="149"/>
      <c r="O66" s="149"/>
      <c r="P66" s="149"/>
      <c r="Q66" s="149"/>
      <c r="R66" s="148"/>
      <c r="S66" s="148">
        <f>S64/S54</f>
        <v>1795.5</v>
      </c>
      <c r="T66" s="148">
        <f>T64/T54</f>
        <v>1701</v>
      </c>
      <c r="U66" s="148">
        <f t="shared" ref="U66" si="21">U64/U54</f>
        <v>1606.5</v>
      </c>
    </row>
    <row r="67" spans="2:21" x14ac:dyDescent="0.25">
      <c r="B67" s="147"/>
      <c r="C67" s="156"/>
      <c r="D67" s="155"/>
      <c r="E67" s="155"/>
      <c r="F67" s="155"/>
      <c r="G67" s="155"/>
      <c r="H67" s="155"/>
      <c r="I67" s="155"/>
      <c r="J67" s="155"/>
      <c r="K67" s="149"/>
      <c r="L67" s="149"/>
      <c r="M67" s="149"/>
      <c r="N67" s="149"/>
      <c r="O67" s="149"/>
      <c r="P67" s="149"/>
      <c r="Q67" s="149"/>
      <c r="R67" s="148"/>
      <c r="S67" s="172" t="s">
        <v>81</v>
      </c>
      <c r="T67" s="172" t="s">
        <v>81</v>
      </c>
      <c r="U67" s="172" t="s">
        <v>81</v>
      </c>
    </row>
    <row r="68" spans="2:21" x14ac:dyDescent="0.25">
      <c r="B68" s="147"/>
      <c r="C68" s="156"/>
      <c r="D68" s="155"/>
      <c r="E68" s="155"/>
      <c r="F68" s="155"/>
      <c r="G68" s="155"/>
      <c r="H68" s="155"/>
      <c r="I68" s="155"/>
      <c r="J68" s="155"/>
      <c r="K68" s="149"/>
      <c r="L68" s="155"/>
      <c r="M68" s="155"/>
      <c r="N68" s="155"/>
      <c r="O68" s="155"/>
      <c r="P68" s="149"/>
      <c r="Q68" s="155"/>
      <c r="R68" s="156"/>
      <c r="S68" s="148">
        <f>S64-(S64*$P$26)-S56</f>
        <v>76730.5</v>
      </c>
      <c r="T68" s="148">
        <f t="shared" ref="T68:U68" si="22">T64-(T64*$P$26)-T56</f>
        <v>144011</v>
      </c>
      <c r="U68" s="148">
        <f t="shared" si="22"/>
        <v>321300</v>
      </c>
    </row>
    <row r="69" spans="2:21" x14ac:dyDescent="0.25">
      <c r="B69" s="147"/>
      <c r="C69" s="156"/>
      <c r="D69" s="155"/>
      <c r="E69" s="155"/>
      <c r="F69" s="155"/>
      <c r="G69" s="155"/>
      <c r="H69" s="155"/>
      <c r="I69" s="155"/>
      <c r="J69" s="155"/>
      <c r="K69" s="149"/>
      <c r="L69" s="149"/>
      <c r="M69" s="149"/>
      <c r="N69" s="149"/>
      <c r="O69" s="149"/>
      <c r="P69" s="149"/>
      <c r="Q69" s="149"/>
      <c r="R69" s="148"/>
      <c r="S69" s="156">
        <f t="shared" ref="S69:U69" si="23">S68/S54</f>
        <v>1534.61</v>
      </c>
      <c r="T69" s="156">
        <f t="shared" si="23"/>
        <v>1440.11</v>
      </c>
      <c r="U69" s="156">
        <f t="shared" si="23"/>
        <v>1606.5</v>
      </c>
    </row>
  </sheetData>
  <mergeCells count="3">
    <mergeCell ref="B6:B7"/>
    <mergeCell ref="B30:B31"/>
    <mergeCell ref="B53:B5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D2F38-EBCE-4A1F-B7FF-1BA3F82D0DB6}">
  <dimension ref="A3:Y68"/>
  <sheetViews>
    <sheetView zoomScale="70" zoomScaleNormal="70" workbookViewId="0">
      <selection activeCell="J12" sqref="J12"/>
    </sheetView>
  </sheetViews>
  <sheetFormatPr baseColWidth="10" defaultRowHeight="15.75" x14ac:dyDescent="0.25"/>
  <cols>
    <col min="1" max="1" width="11.42578125" style="209"/>
    <col min="2" max="2" width="17.5703125" style="209" customWidth="1"/>
    <col min="3" max="3" width="11.5703125" style="209" bestFit="1" customWidth="1"/>
    <col min="4" max="4" width="11.140625" style="209" customWidth="1"/>
    <col min="5" max="5" width="11.7109375" style="209" customWidth="1"/>
    <col min="6" max="6" width="10.28515625" style="209" customWidth="1"/>
    <col min="7" max="7" width="14.140625" style="209" bestFit="1" customWidth="1"/>
    <col min="8" max="8" width="11.42578125" style="209"/>
    <col min="9" max="10" width="11.5703125" style="209" bestFit="1" customWidth="1"/>
    <col min="11" max="11" width="13.42578125" style="209" customWidth="1"/>
    <col min="12" max="12" width="12.28515625" style="209" bestFit="1" customWidth="1"/>
    <col min="13" max="13" width="12.28515625" style="209" customWidth="1"/>
    <col min="14" max="15" width="11.42578125" style="209"/>
    <col min="16" max="21" width="17.28515625" style="209" customWidth="1"/>
    <col min="22" max="22" width="15.42578125" style="209" bestFit="1" customWidth="1"/>
    <col min="23" max="16384" width="11.42578125" style="209"/>
  </cols>
  <sheetData>
    <row r="3" spans="1:25" x14ac:dyDescent="0.25">
      <c r="A3" s="20"/>
      <c r="B3" s="177"/>
      <c r="C3" s="484" t="s">
        <v>46</v>
      </c>
      <c r="D3" s="484"/>
      <c r="E3" s="484"/>
      <c r="F3" s="484"/>
      <c r="G3" s="484"/>
      <c r="I3" s="177"/>
      <c r="J3" s="177"/>
      <c r="K3" s="177"/>
      <c r="L3" s="182">
        <v>0.1</v>
      </c>
      <c r="M3" s="182"/>
      <c r="N3" s="182">
        <v>0.08</v>
      </c>
      <c r="O3" s="177"/>
      <c r="P3" s="180"/>
      <c r="Q3" s="180"/>
      <c r="R3" s="180"/>
      <c r="S3" s="180"/>
      <c r="T3" s="180"/>
      <c r="U3" s="177"/>
      <c r="V3" s="177"/>
    </row>
    <row r="4" spans="1:25" x14ac:dyDescent="0.25">
      <c r="A4" s="20"/>
      <c r="B4" s="177"/>
      <c r="C4" s="177"/>
      <c r="D4" s="177"/>
      <c r="E4" s="177"/>
      <c r="F4" s="177"/>
      <c r="G4" s="177"/>
      <c r="I4" s="177"/>
      <c r="J4" s="177"/>
      <c r="K4" s="177"/>
      <c r="L4" s="183">
        <v>0.09</v>
      </c>
      <c r="M4" s="183"/>
      <c r="N4" s="183">
        <v>0.06</v>
      </c>
      <c r="O4" s="177"/>
      <c r="P4" s="180"/>
      <c r="Q4" s="180"/>
      <c r="R4" s="180"/>
      <c r="S4" s="180"/>
      <c r="T4" s="180"/>
      <c r="U4" s="177"/>
      <c r="V4" s="177"/>
    </row>
    <row r="5" spans="1:25" x14ac:dyDescent="0.25">
      <c r="A5" s="20"/>
      <c r="B5" s="177"/>
      <c r="C5" s="210"/>
      <c r="D5" s="177"/>
      <c r="E5" s="181"/>
      <c r="F5" s="177"/>
      <c r="G5" s="177"/>
      <c r="I5" s="177"/>
      <c r="J5" s="177"/>
      <c r="K5" s="177"/>
      <c r="L5" s="184">
        <f>L4+L3</f>
        <v>0.19</v>
      </c>
      <c r="M5" s="184"/>
      <c r="N5" s="184">
        <f>N4+N3</f>
        <v>0.14000000000000001</v>
      </c>
      <c r="O5" s="179"/>
      <c r="P5" s="185" t="s">
        <v>76</v>
      </c>
      <c r="Q5" s="185" t="s">
        <v>76</v>
      </c>
      <c r="R5" s="185" t="s">
        <v>76</v>
      </c>
      <c r="S5" s="185" t="s">
        <v>76</v>
      </c>
      <c r="T5" s="185" t="s">
        <v>76</v>
      </c>
      <c r="U5" s="185" t="s">
        <v>76</v>
      </c>
      <c r="W5" s="186"/>
      <c r="X5" s="186"/>
      <c r="Y5" s="186"/>
    </row>
    <row r="6" spans="1:25" x14ac:dyDescent="0.25">
      <c r="A6" s="186">
        <v>2</v>
      </c>
      <c r="B6" s="485" t="s">
        <v>47</v>
      </c>
      <c r="C6" s="187" t="s">
        <v>1</v>
      </c>
      <c r="D6" s="187" t="s">
        <v>55</v>
      </c>
      <c r="E6" s="187" t="s">
        <v>56</v>
      </c>
      <c r="F6" s="187" t="s">
        <v>29</v>
      </c>
      <c r="G6" s="187" t="s">
        <v>183</v>
      </c>
      <c r="H6" s="186"/>
      <c r="I6" s="188" t="s">
        <v>6</v>
      </c>
      <c r="J6" s="189" t="s">
        <v>7</v>
      </c>
      <c r="K6" s="190" t="s">
        <v>80</v>
      </c>
      <c r="L6" s="191" t="s">
        <v>77</v>
      </c>
      <c r="M6" s="191" t="s">
        <v>77</v>
      </c>
      <c r="N6" s="192" t="s">
        <v>79</v>
      </c>
      <c r="O6" s="177"/>
      <c r="P6" s="184">
        <v>0</v>
      </c>
      <c r="Q6" s="184">
        <v>0.05</v>
      </c>
      <c r="R6" s="184">
        <v>7.0000000000000007E-2</v>
      </c>
      <c r="S6" s="193">
        <v>0.09</v>
      </c>
      <c r="T6" s="193">
        <v>0.11</v>
      </c>
      <c r="U6" s="193">
        <v>0.13</v>
      </c>
      <c r="W6" s="178"/>
      <c r="X6" s="178"/>
      <c r="Y6" s="178"/>
    </row>
    <row r="7" spans="1:25" x14ac:dyDescent="0.25">
      <c r="A7" s="20"/>
      <c r="B7" s="485"/>
      <c r="C7" s="211">
        <f>Insumos!C16*2</f>
        <v>782.4</v>
      </c>
      <c r="D7" s="202">
        <f>(Insumos!G6/5)</f>
        <v>47.983999999999995</v>
      </c>
      <c r="E7" s="212">
        <f>Insumos!G6/6</f>
        <v>39.986666666666665</v>
      </c>
      <c r="F7" s="202">
        <f>Insumos!N36</f>
        <v>365</v>
      </c>
      <c r="G7" s="202">
        <f>Insumos!G15/5</f>
        <v>58.4</v>
      </c>
      <c r="H7" s="211"/>
      <c r="I7" s="177">
        <f>SUM(B7:H7)</f>
        <v>1293.7706666666668</v>
      </c>
      <c r="J7" s="177">
        <f>K7-I7</f>
        <v>2587.5413333333336</v>
      </c>
      <c r="K7" s="177">
        <f>I7*3</f>
        <v>3881.3120000000004</v>
      </c>
      <c r="L7" s="194">
        <f>ROUND(M7/50,0)*50</f>
        <v>4600</v>
      </c>
      <c r="M7" s="194">
        <f>(J7+I7)+((I7+J7)*(L5))</f>
        <v>4618.7612800000006</v>
      </c>
      <c r="N7" s="177">
        <f>(L7-(L7*N5))-I7</f>
        <v>2662.2293333333332</v>
      </c>
      <c r="O7" s="177"/>
      <c r="P7" s="195">
        <v>50</v>
      </c>
      <c r="Q7" s="195">
        <v>100</v>
      </c>
      <c r="R7" s="195">
        <v>200</v>
      </c>
      <c r="S7" s="195">
        <v>500</v>
      </c>
      <c r="T7" s="195">
        <v>1000</v>
      </c>
      <c r="U7" s="195">
        <v>2000</v>
      </c>
      <c r="W7" s="202"/>
      <c r="X7" s="202"/>
      <c r="Y7" s="202"/>
    </row>
    <row r="8" spans="1:25" x14ac:dyDescent="0.25">
      <c r="A8" s="20"/>
      <c r="B8" s="177"/>
      <c r="C8" s="211"/>
      <c r="D8" s="202"/>
      <c r="E8" s="212"/>
      <c r="F8" s="202"/>
      <c r="G8" s="202"/>
      <c r="H8" s="211"/>
      <c r="I8" s="177"/>
      <c r="J8" s="177"/>
      <c r="K8" s="177"/>
      <c r="L8" s="177"/>
      <c r="M8" s="177"/>
      <c r="N8" s="177"/>
      <c r="O8" s="177"/>
      <c r="P8" s="196" t="s">
        <v>6</v>
      </c>
      <c r="Q8" s="196" t="s">
        <v>6</v>
      </c>
      <c r="R8" s="196" t="s">
        <v>6</v>
      </c>
      <c r="S8" s="196" t="s">
        <v>6</v>
      </c>
      <c r="T8" s="196" t="s">
        <v>6</v>
      </c>
      <c r="U8" s="196" t="s">
        <v>6</v>
      </c>
      <c r="W8" s="213"/>
      <c r="X8" s="213"/>
      <c r="Y8" s="213"/>
    </row>
    <row r="9" spans="1:25" x14ac:dyDescent="0.25">
      <c r="A9" s="20"/>
      <c r="B9" s="209">
        <v>100</v>
      </c>
      <c r="F9" s="202">
        <f>Insumos!N39</f>
        <v>312.07499999999999</v>
      </c>
      <c r="I9" s="177">
        <f>C7+D7+E7+F9</f>
        <v>1182.4456666666667</v>
      </c>
      <c r="J9" s="177"/>
      <c r="K9" s="177">
        <f>I9+J7</f>
        <v>3769.9870000000001</v>
      </c>
      <c r="L9" s="177"/>
      <c r="M9" s="177"/>
      <c r="N9" s="179"/>
      <c r="O9" s="177"/>
      <c r="P9" s="180">
        <f>I7*P7</f>
        <v>64688.53333333334</v>
      </c>
      <c r="Q9" s="180">
        <f>I9*Q7</f>
        <v>118244.56666666668</v>
      </c>
      <c r="R9" s="180">
        <f>$I$9*R7</f>
        <v>236489.13333333336</v>
      </c>
      <c r="S9" s="180">
        <f t="shared" ref="S9:U9" si="0">$I$9*S7</f>
        <v>591222.83333333337</v>
      </c>
      <c r="T9" s="180">
        <f t="shared" si="0"/>
        <v>1182445.6666666667</v>
      </c>
      <c r="U9" s="180">
        <f t="shared" si="0"/>
        <v>2364891.3333333335</v>
      </c>
      <c r="W9" s="197"/>
      <c r="X9" s="197"/>
      <c r="Y9" s="197"/>
    </row>
    <row r="10" spans="1:25" x14ac:dyDescent="0.25">
      <c r="A10" s="20"/>
      <c r="B10" s="20"/>
      <c r="C10" s="211"/>
      <c r="D10" s="211"/>
      <c r="E10" s="211"/>
      <c r="G10" s="202"/>
      <c r="H10" s="211"/>
      <c r="I10" s="177"/>
      <c r="J10" s="177"/>
      <c r="K10" s="177"/>
      <c r="L10" s="198" t="s">
        <v>65</v>
      </c>
      <c r="M10" s="198"/>
      <c r="N10" s="177"/>
      <c r="O10" s="177"/>
      <c r="P10" s="199" t="s">
        <v>77</v>
      </c>
      <c r="Q10" s="199" t="s">
        <v>77</v>
      </c>
      <c r="R10" s="199" t="s">
        <v>77</v>
      </c>
      <c r="S10" s="199" t="s">
        <v>77</v>
      </c>
      <c r="T10" s="199" t="s">
        <v>77</v>
      </c>
      <c r="U10" s="199" t="s">
        <v>77</v>
      </c>
      <c r="W10" s="202"/>
      <c r="X10" s="202"/>
      <c r="Y10" s="202"/>
    </row>
    <row r="11" spans="1:25" x14ac:dyDescent="0.25">
      <c r="A11" s="20"/>
      <c r="B11" s="177"/>
      <c r="C11" s="211"/>
      <c r="D11" s="202"/>
      <c r="E11" s="212"/>
      <c r="F11" s="202"/>
      <c r="G11" s="202"/>
      <c r="H11" s="211"/>
      <c r="I11" s="177"/>
      <c r="J11" s="177"/>
      <c r="K11" s="177"/>
      <c r="L11" s="177">
        <f>L7-(L7*P18)</f>
        <v>4140</v>
      </c>
      <c r="M11" s="177"/>
      <c r="N11" s="177"/>
      <c r="O11" s="177"/>
      <c r="P11" s="200">
        <f t="shared" ref="P11:U11" si="1">($L7*P7)-(($L7*P7)*P6)</f>
        <v>230000</v>
      </c>
      <c r="Q11" s="200">
        <f t="shared" si="1"/>
        <v>437000</v>
      </c>
      <c r="R11" s="200">
        <f t="shared" si="1"/>
        <v>855600</v>
      </c>
      <c r="S11" s="200">
        <f t="shared" si="1"/>
        <v>2093000</v>
      </c>
      <c r="T11" s="200">
        <f t="shared" si="1"/>
        <v>4094000</v>
      </c>
      <c r="U11" s="200">
        <f t="shared" si="1"/>
        <v>8004000</v>
      </c>
      <c r="W11" s="202"/>
      <c r="X11" s="202"/>
      <c r="Y11" s="202"/>
    </row>
    <row r="12" spans="1:25" x14ac:dyDescent="0.25">
      <c r="A12" s="20"/>
      <c r="B12" s="177"/>
      <c r="C12" s="211"/>
      <c r="D12" s="202"/>
      <c r="E12" s="212"/>
      <c r="F12" s="202"/>
      <c r="G12" s="202"/>
      <c r="H12" s="211"/>
      <c r="I12" s="177"/>
      <c r="J12" s="177"/>
      <c r="K12" s="177"/>
      <c r="L12" s="201" t="s">
        <v>83</v>
      </c>
      <c r="M12" s="201"/>
      <c r="N12" s="177"/>
      <c r="O12" s="177"/>
      <c r="P12" s="180">
        <f>P11/P7</f>
        <v>4600</v>
      </c>
      <c r="Q12" s="180">
        <f t="shared" ref="Q12:U12" si="2">Q11/Q7</f>
        <v>4370</v>
      </c>
      <c r="R12" s="180">
        <f t="shared" si="2"/>
        <v>4278</v>
      </c>
      <c r="S12" s="180">
        <f t="shared" si="2"/>
        <v>4186</v>
      </c>
      <c r="T12" s="180">
        <f t="shared" si="2"/>
        <v>4094</v>
      </c>
      <c r="U12" s="180">
        <f t="shared" si="2"/>
        <v>4002</v>
      </c>
      <c r="W12" s="213"/>
      <c r="X12" s="213"/>
      <c r="Y12" s="213"/>
    </row>
    <row r="13" spans="1:25" x14ac:dyDescent="0.25">
      <c r="A13" s="20"/>
      <c r="B13" s="177"/>
      <c r="C13" s="211"/>
      <c r="D13" s="202"/>
      <c r="E13" s="212"/>
      <c r="F13" s="202"/>
      <c r="G13" s="202"/>
      <c r="H13" s="211"/>
      <c r="I13" s="177"/>
      <c r="J13" s="177"/>
      <c r="K13" s="177"/>
      <c r="L13" s="177">
        <f>(L11-(L11*N4))-I7</f>
        <v>2597.8293333333331</v>
      </c>
      <c r="M13" s="177"/>
      <c r="N13" s="177"/>
      <c r="O13" s="177"/>
      <c r="P13" s="201" t="s">
        <v>84</v>
      </c>
      <c r="Q13" s="201" t="s">
        <v>84</v>
      </c>
      <c r="R13" s="201" t="s">
        <v>84</v>
      </c>
      <c r="S13" s="201" t="s">
        <v>84</v>
      </c>
      <c r="T13" s="201" t="s">
        <v>84</v>
      </c>
      <c r="U13" s="201" t="s">
        <v>84</v>
      </c>
      <c r="W13" s="202"/>
      <c r="X13" s="202"/>
      <c r="Y13" s="202"/>
    </row>
    <row r="14" spans="1:25" x14ac:dyDescent="0.25">
      <c r="A14" s="20"/>
      <c r="B14" s="177"/>
      <c r="C14" s="211"/>
      <c r="D14" s="202"/>
      <c r="E14" s="212"/>
      <c r="F14" s="202"/>
      <c r="G14" s="202"/>
      <c r="H14" s="211"/>
      <c r="I14" s="177"/>
      <c r="J14" s="177"/>
      <c r="K14" s="177"/>
      <c r="L14" s="177"/>
      <c r="M14" s="177"/>
      <c r="N14" s="177"/>
      <c r="O14" s="177"/>
      <c r="P14" s="180">
        <f>(P11-P9)-(P11*$N$5)</f>
        <v>133111.46666666667</v>
      </c>
      <c r="Q14" s="180">
        <f t="shared" ref="Q14:U14" si="3">(Q11-Q9)-(Q11*$N$5)</f>
        <v>257575.43333333335</v>
      </c>
      <c r="R14" s="180">
        <f>(R11-R9)-(R11*$N$5)</f>
        <v>499326.8666666667</v>
      </c>
      <c r="S14" s="180">
        <f t="shared" si="3"/>
        <v>1208757.1666666665</v>
      </c>
      <c r="T14" s="180">
        <f t="shared" si="3"/>
        <v>2338394.333333333</v>
      </c>
      <c r="U14" s="180">
        <f t="shared" si="3"/>
        <v>4518548.666666666</v>
      </c>
      <c r="W14" s="213"/>
      <c r="X14" s="213"/>
      <c r="Y14" s="213"/>
    </row>
    <row r="15" spans="1:25" x14ac:dyDescent="0.25">
      <c r="A15" s="20"/>
      <c r="B15" s="177"/>
      <c r="C15" s="211"/>
      <c r="D15" s="202"/>
      <c r="E15" s="212"/>
      <c r="F15" s="202"/>
      <c r="G15" s="202"/>
      <c r="H15" s="211"/>
      <c r="I15" s="177"/>
      <c r="J15" s="177"/>
      <c r="K15" s="179"/>
      <c r="L15" s="179"/>
      <c r="M15" s="179"/>
      <c r="N15" s="177"/>
      <c r="O15" s="179"/>
      <c r="P15" s="180">
        <f>P14/P7</f>
        <v>2662.2293333333337</v>
      </c>
      <c r="Q15" s="180">
        <f t="shared" ref="Q15:U15" si="4">Q14/Q7</f>
        <v>2575.7543333333333</v>
      </c>
      <c r="R15" s="180">
        <f t="shared" si="4"/>
        <v>2496.6343333333334</v>
      </c>
      <c r="S15" s="180">
        <f t="shared" si="4"/>
        <v>2417.5143333333331</v>
      </c>
      <c r="T15" s="180">
        <f t="shared" si="4"/>
        <v>2338.3943333333332</v>
      </c>
      <c r="U15" s="180">
        <f t="shared" si="4"/>
        <v>2259.2743333333328</v>
      </c>
      <c r="W15" s="34"/>
      <c r="X15" s="34"/>
      <c r="Y15" s="34"/>
    </row>
    <row r="16" spans="1:25" x14ac:dyDescent="0.25">
      <c r="A16" s="20"/>
      <c r="B16" s="177"/>
      <c r="C16" s="211"/>
      <c r="D16" s="202"/>
      <c r="E16" s="212"/>
      <c r="F16" s="202"/>
      <c r="G16" s="202"/>
      <c r="H16" s="211"/>
      <c r="I16" s="177"/>
      <c r="J16" s="177"/>
      <c r="K16" s="177"/>
      <c r="L16" s="177"/>
      <c r="M16" s="177"/>
      <c r="N16" s="179"/>
      <c r="O16" s="177"/>
      <c r="P16" s="198" t="s">
        <v>65</v>
      </c>
      <c r="Q16" s="198" t="s">
        <v>65</v>
      </c>
      <c r="R16" s="198" t="s">
        <v>65</v>
      </c>
      <c r="S16" s="198" t="s">
        <v>65</v>
      </c>
      <c r="T16" s="198" t="s">
        <v>65</v>
      </c>
      <c r="U16" s="198" t="s">
        <v>65</v>
      </c>
      <c r="W16" s="202"/>
      <c r="X16" s="202"/>
      <c r="Y16" s="202"/>
    </row>
    <row r="17" spans="2:22" x14ac:dyDescent="0.25">
      <c r="I17" s="177"/>
      <c r="J17" s="177"/>
      <c r="K17" s="177"/>
      <c r="L17" s="177"/>
      <c r="M17" s="177"/>
      <c r="N17" s="177"/>
      <c r="O17" s="177"/>
      <c r="P17" s="180">
        <f>P11-(P11*P18)</f>
        <v>207000</v>
      </c>
      <c r="Q17" s="180">
        <f t="shared" ref="Q17:U17" si="5">Q11-(Q11*Q18)</f>
        <v>393300</v>
      </c>
      <c r="R17" s="180">
        <f t="shared" si="5"/>
        <v>770040</v>
      </c>
      <c r="S17" s="180">
        <f t="shared" si="5"/>
        <v>1883700</v>
      </c>
      <c r="T17" s="180">
        <f t="shared" si="5"/>
        <v>3684600</v>
      </c>
      <c r="U17" s="180">
        <f t="shared" si="5"/>
        <v>7203600</v>
      </c>
    </row>
    <row r="18" spans="2:22" x14ac:dyDescent="0.25">
      <c r="I18" s="177"/>
      <c r="J18" s="177"/>
      <c r="K18" s="177"/>
      <c r="L18" s="177"/>
      <c r="M18" s="177"/>
      <c r="N18" s="177"/>
      <c r="O18" s="177"/>
      <c r="P18" s="184">
        <v>0.1</v>
      </c>
      <c r="Q18" s="184">
        <v>0.1</v>
      </c>
      <c r="R18" s="184">
        <v>0.1</v>
      </c>
      <c r="S18" s="184">
        <v>0.1</v>
      </c>
      <c r="T18" s="184">
        <v>0.1</v>
      </c>
      <c r="U18" s="184">
        <v>0.1</v>
      </c>
    </row>
    <row r="19" spans="2:22" x14ac:dyDescent="0.25">
      <c r="I19" s="177"/>
      <c r="J19" s="177"/>
      <c r="K19" s="177"/>
      <c r="L19" s="177"/>
      <c r="M19" s="177"/>
      <c r="N19" s="177"/>
      <c r="O19" s="177"/>
      <c r="P19" s="180">
        <f>P17/P7</f>
        <v>4140</v>
      </c>
      <c r="Q19" s="180">
        <f t="shared" ref="Q19:U19" si="6">Q17/Q7</f>
        <v>3933</v>
      </c>
      <c r="R19" s="180">
        <f t="shared" si="6"/>
        <v>3850.2</v>
      </c>
      <c r="S19" s="180">
        <f t="shared" si="6"/>
        <v>3767.4</v>
      </c>
      <c r="T19" s="180">
        <f t="shared" si="6"/>
        <v>3684.6</v>
      </c>
      <c r="U19" s="180">
        <f t="shared" si="6"/>
        <v>3601.8</v>
      </c>
    </row>
    <row r="20" spans="2:22" x14ac:dyDescent="0.25">
      <c r="B20" s="177"/>
      <c r="C20" s="210"/>
      <c r="D20" s="177"/>
      <c r="E20" s="181"/>
      <c r="F20" s="177"/>
      <c r="G20" s="177"/>
      <c r="I20" s="177"/>
      <c r="J20" s="177"/>
      <c r="K20" s="177"/>
      <c r="L20" s="177"/>
      <c r="M20" s="177"/>
      <c r="N20" s="177"/>
      <c r="O20" s="177"/>
      <c r="P20" s="201" t="s">
        <v>83</v>
      </c>
      <c r="Q20" s="201" t="s">
        <v>83</v>
      </c>
      <c r="R20" s="201" t="s">
        <v>83</v>
      </c>
      <c r="S20" s="201" t="s">
        <v>83</v>
      </c>
      <c r="T20" s="201" t="s">
        <v>83</v>
      </c>
      <c r="U20" s="201" t="s">
        <v>83</v>
      </c>
    </row>
    <row r="21" spans="2:22" x14ac:dyDescent="0.25">
      <c r="O21" s="179"/>
      <c r="P21" s="180">
        <f>P17-(P17*$N$4)-P9</f>
        <v>129891.46666666666</v>
      </c>
      <c r="Q21" s="180">
        <f t="shared" ref="Q21:T21" si="7">Q17-(Q17*$N$4)-Q9</f>
        <v>251457.43333333332</v>
      </c>
      <c r="R21" s="180">
        <f t="shared" si="7"/>
        <v>487348.46666666662</v>
      </c>
      <c r="S21" s="180">
        <f t="shared" si="7"/>
        <v>1179455.1666666665</v>
      </c>
      <c r="T21" s="180">
        <f t="shared" si="7"/>
        <v>2281078.333333333</v>
      </c>
      <c r="U21" s="180">
        <f>U17-(U17*$N$4)-U9</f>
        <v>4406492.666666666</v>
      </c>
    </row>
    <row r="22" spans="2:22" x14ac:dyDescent="0.25">
      <c r="O22" s="177"/>
      <c r="P22" s="178">
        <f t="shared" ref="P22:U22" si="8">P21/P7</f>
        <v>2597.8293333333331</v>
      </c>
      <c r="Q22" s="178">
        <f t="shared" si="8"/>
        <v>2514.574333333333</v>
      </c>
      <c r="R22" s="178">
        <f t="shared" si="8"/>
        <v>2436.7423333333331</v>
      </c>
      <c r="S22" s="178">
        <f t="shared" si="8"/>
        <v>2358.9103333333328</v>
      </c>
      <c r="T22" s="178">
        <f t="shared" si="8"/>
        <v>2281.0783333333329</v>
      </c>
      <c r="U22" s="178">
        <f t="shared" si="8"/>
        <v>2203.246333333333</v>
      </c>
    </row>
    <row r="23" spans="2:22" x14ac:dyDescent="0.25">
      <c r="O23" s="211"/>
      <c r="P23" s="213"/>
      <c r="Q23" s="213"/>
      <c r="R23" s="213"/>
      <c r="S23" s="213"/>
      <c r="T23" s="213"/>
    </row>
    <row r="24" spans="2:22" x14ac:dyDescent="0.25">
      <c r="O24" s="214"/>
      <c r="P24" s="197"/>
      <c r="Q24" s="197"/>
      <c r="R24" s="197"/>
      <c r="S24" s="197"/>
      <c r="T24" s="197"/>
    </row>
    <row r="25" spans="2:22" x14ac:dyDescent="0.25">
      <c r="O25" s="211"/>
      <c r="P25" s="202"/>
      <c r="Q25" s="202"/>
      <c r="R25" s="202"/>
      <c r="S25" s="202"/>
      <c r="T25" s="202"/>
    </row>
    <row r="26" spans="2:22" x14ac:dyDescent="0.25">
      <c r="I26" s="177"/>
      <c r="J26" s="177"/>
      <c r="K26" s="179"/>
      <c r="L26" s="179"/>
      <c r="M26" s="179"/>
      <c r="N26" s="177"/>
      <c r="O26" s="211"/>
      <c r="P26" s="202"/>
      <c r="Q26" s="202"/>
      <c r="R26" s="202"/>
      <c r="S26" s="202"/>
      <c r="T26" s="202"/>
    </row>
    <row r="27" spans="2:22" x14ac:dyDescent="0.25">
      <c r="I27" s="177"/>
      <c r="J27" s="177"/>
      <c r="K27" s="177"/>
      <c r="L27" s="182">
        <v>0.1</v>
      </c>
      <c r="M27" s="182"/>
      <c r="N27" s="182">
        <v>0.08</v>
      </c>
      <c r="O27" s="177"/>
      <c r="P27" s="180"/>
      <c r="Q27" s="180"/>
      <c r="R27" s="180"/>
      <c r="S27" s="180"/>
      <c r="T27" s="180"/>
      <c r="U27" s="177"/>
      <c r="V27" s="177"/>
    </row>
    <row r="28" spans="2:22" x14ac:dyDescent="0.25">
      <c r="I28" s="177"/>
      <c r="J28" s="177"/>
      <c r="K28" s="177"/>
      <c r="L28" s="183">
        <v>0.09</v>
      </c>
      <c r="M28" s="183"/>
      <c r="N28" s="183">
        <v>0.06</v>
      </c>
      <c r="O28" s="177"/>
      <c r="P28" s="180"/>
      <c r="Q28" s="180"/>
      <c r="R28" s="180"/>
      <c r="S28" s="180"/>
      <c r="T28" s="180"/>
      <c r="U28" s="177"/>
      <c r="V28" s="177"/>
    </row>
    <row r="29" spans="2:22" x14ac:dyDescent="0.25">
      <c r="I29" s="177"/>
      <c r="J29" s="177"/>
      <c r="K29" s="177"/>
      <c r="L29" s="184">
        <f>L28+L27</f>
        <v>0.19</v>
      </c>
      <c r="M29" s="184"/>
      <c r="N29" s="184">
        <f>N28+N27</f>
        <v>0.14000000000000001</v>
      </c>
      <c r="O29" s="179"/>
      <c r="P29" s="185" t="s">
        <v>76</v>
      </c>
      <c r="Q29" s="185" t="s">
        <v>76</v>
      </c>
      <c r="R29" s="185" t="s">
        <v>76</v>
      </c>
      <c r="S29" s="185" t="s">
        <v>76</v>
      </c>
      <c r="T29" s="185" t="s">
        <v>76</v>
      </c>
      <c r="U29" s="185" t="s">
        <v>76</v>
      </c>
      <c r="V29" s="180"/>
    </row>
    <row r="30" spans="2:22" x14ac:dyDescent="0.25">
      <c r="B30" s="485" t="s">
        <v>57</v>
      </c>
      <c r="C30" s="187" t="s">
        <v>1</v>
      </c>
      <c r="D30" s="187" t="s">
        <v>55</v>
      </c>
      <c r="E30" s="187" t="s">
        <v>40</v>
      </c>
      <c r="F30" s="187" t="s">
        <v>29</v>
      </c>
      <c r="G30" s="187" t="s">
        <v>52</v>
      </c>
      <c r="H30" s="186"/>
      <c r="I30" s="188" t="s">
        <v>6</v>
      </c>
      <c r="J30" s="189" t="s">
        <v>7</v>
      </c>
      <c r="K30" s="190" t="s">
        <v>80</v>
      </c>
      <c r="L30" s="191" t="s">
        <v>77</v>
      </c>
      <c r="M30" s="191" t="s">
        <v>77</v>
      </c>
      <c r="N30" s="192" t="s">
        <v>79</v>
      </c>
      <c r="O30" s="177"/>
      <c r="P30" s="184">
        <v>0</v>
      </c>
      <c r="Q30" s="184">
        <v>0.05</v>
      </c>
      <c r="R30" s="184">
        <v>7.0000000000000007E-2</v>
      </c>
      <c r="S30" s="193">
        <v>0.09</v>
      </c>
      <c r="T30" s="193">
        <v>0.11</v>
      </c>
      <c r="U30" s="193">
        <v>0.13</v>
      </c>
      <c r="V30" s="215"/>
    </row>
    <row r="31" spans="2:22" x14ac:dyDescent="0.25">
      <c r="B31" s="485"/>
      <c r="C31" s="211">
        <f>C7</f>
        <v>782.4</v>
      </c>
      <c r="D31" s="202">
        <f>D7</f>
        <v>47.983999999999995</v>
      </c>
      <c r="E31" s="212">
        <f>E7</f>
        <v>39.986666666666665</v>
      </c>
      <c r="F31" s="202">
        <f>F7</f>
        <v>365</v>
      </c>
      <c r="G31" s="202">
        <f>Insumos!R9*70</f>
        <v>132.16</v>
      </c>
      <c r="H31" s="211"/>
      <c r="I31" s="177">
        <f>SUM(B31:H31)</f>
        <v>1367.5306666666668</v>
      </c>
      <c r="J31" s="177">
        <f>K31-I31</f>
        <v>3008.5674666666673</v>
      </c>
      <c r="K31" s="177">
        <f>I31*3.2</f>
        <v>4376.0981333333339</v>
      </c>
      <c r="L31" s="194">
        <f>ROUND(M31/50,0)*50</f>
        <v>5200</v>
      </c>
      <c r="M31" s="194">
        <f>(J31+I31)+((I31+J31)*(L29))</f>
        <v>5207.556778666667</v>
      </c>
      <c r="N31" s="177">
        <f>(L31-(L31*N29))-I31</f>
        <v>3104.4693333333335</v>
      </c>
      <c r="O31" s="177"/>
      <c r="P31" s="195">
        <v>50</v>
      </c>
      <c r="Q31" s="195">
        <v>100</v>
      </c>
      <c r="R31" s="195">
        <v>200</v>
      </c>
      <c r="S31" s="195">
        <v>500</v>
      </c>
      <c r="T31" s="195">
        <v>1000</v>
      </c>
      <c r="U31" s="195">
        <v>2000</v>
      </c>
      <c r="V31" s="195"/>
    </row>
    <row r="32" spans="2:22" x14ac:dyDescent="0.25">
      <c r="B32" s="177"/>
      <c r="C32" s="211"/>
      <c r="D32" s="202"/>
      <c r="E32" s="212"/>
      <c r="F32" s="202"/>
      <c r="G32" s="202"/>
      <c r="H32" s="211"/>
      <c r="I32" s="177"/>
      <c r="J32" s="177"/>
      <c r="K32" s="177"/>
      <c r="L32" s="177"/>
      <c r="M32" s="177"/>
      <c r="N32" s="177"/>
      <c r="O32" s="177"/>
      <c r="P32" s="196" t="s">
        <v>6</v>
      </c>
      <c r="Q32" s="196" t="s">
        <v>6</v>
      </c>
      <c r="R32" s="196" t="s">
        <v>6</v>
      </c>
      <c r="S32" s="196" t="s">
        <v>6</v>
      </c>
      <c r="T32" s="196" t="s">
        <v>6</v>
      </c>
      <c r="U32" s="196" t="s">
        <v>6</v>
      </c>
      <c r="V32" s="178"/>
    </row>
    <row r="33" spans="2:22" x14ac:dyDescent="0.25">
      <c r="B33" s="20">
        <v>100</v>
      </c>
      <c r="C33" s="211">
        <f>C31</f>
        <v>782.4</v>
      </c>
      <c r="D33" s="211">
        <f>D31</f>
        <v>47.983999999999995</v>
      </c>
      <c r="E33" s="211">
        <f>E31</f>
        <v>39.986666666666665</v>
      </c>
      <c r="F33" s="202">
        <f>Insumos!N39</f>
        <v>312.07499999999999</v>
      </c>
      <c r="G33" s="202">
        <f>G31</f>
        <v>132.16</v>
      </c>
      <c r="H33" s="211"/>
      <c r="I33" s="177">
        <f>C33+D33+E33+F33+G33</f>
        <v>1314.6056666666668</v>
      </c>
      <c r="J33" s="177"/>
      <c r="K33" s="177">
        <f>I33+J31</f>
        <v>4323.1731333333337</v>
      </c>
      <c r="L33" s="177"/>
      <c r="M33" s="177"/>
      <c r="N33" s="179"/>
      <c r="O33" s="177"/>
      <c r="P33" s="180">
        <f>I31*P31</f>
        <v>68376.53333333334</v>
      </c>
      <c r="Q33" s="180">
        <f>I33*Q31</f>
        <v>131460.56666666668</v>
      </c>
      <c r="R33" s="180">
        <f>$I$33*R31</f>
        <v>262921.13333333336</v>
      </c>
      <c r="S33" s="180">
        <f t="shared" ref="S33:U33" si="9">$I$33*S31</f>
        <v>657302.83333333337</v>
      </c>
      <c r="T33" s="180">
        <f t="shared" si="9"/>
        <v>1314605.6666666667</v>
      </c>
      <c r="U33" s="180">
        <f t="shared" si="9"/>
        <v>2629211.3333333335</v>
      </c>
      <c r="V33" s="180"/>
    </row>
    <row r="34" spans="2:22" x14ac:dyDescent="0.25">
      <c r="H34" s="211"/>
      <c r="I34" s="177"/>
      <c r="J34" s="177"/>
      <c r="K34" s="177"/>
      <c r="L34" s="198" t="s">
        <v>65</v>
      </c>
      <c r="M34" s="198"/>
      <c r="N34" s="177"/>
      <c r="O34" s="177"/>
      <c r="P34" s="199" t="s">
        <v>77</v>
      </c>
      <c r="Q34" s="199" t="s">
        <v>77</v>
      </c>
      <c r="R34" s="199" t="s">
        <v>77</v>
      </c>
      <c r="S34" s="199" t="s">
        <v>77</v>
      </c>
      <c r="T34" s="199" t="s">
        <v>77</v>
      </c>
      <c r="U34" s="199" t="s">
        <v>77</v>
      </c>
      <c r="V34" s="178"/>
    </row>
    <row r="35" spans="2:22" x14ac:dyDescent="0.25">
      <c r="B35" s="177"/>
      <c r="C35" s="211"/>
      <c r="D35" s="202"/>
      <c r="E35" s="212"/>
      <c r="F35" s="202"/>
      <c r="G35" s="202"/>
      <c r="H35" s="211"/>
      <c r="I35" s="177"/>
      <c r="J35" s="177"/>
      <c r="K35" s="177"/>
      <c r="L35" s="177">
        <f>L31-(L31*Q42)</f>
        <v>4680</v>
      </c>
      <c r="M35" s="177"/>
      <c r="N35" s="177"/>
      <c r="O35" s="177"/>
      <c r="P35" s="200">
        <f t="shared" ref="P35:U35" si="10">($L31*P31)-(($L31*P31)*P30)</f>
        <v>260000</v>
      </c>
      <c r="Q35" s="200">
        <f t="shared" si="10"/>
        <v>494000</v>
      </c>
      <c r="R35" s="200">
        <f t="shared" si="10"/>
        <v>967200</v>
      </c>
      <c r="S35" s="200">
        <f t="shared" si="10"/>
        <v>2366000</v>
      </c>
      <c r="T35" s="200">
        <f t="shared" si="10"/>
        <v>4628000</v>
      </c>
      <c r="U35" s="200">
        <f t="shared" si="10"/>
        <v>9048000</v>
      </c>
      <c r="V35" s="200"/>
    </row>
    <row r="36" spans="2:22" x14ac:dyDescent="0.25">
      <c r="B36" s="177"/>
      <c r="C36" s="211"/>
      <c r="D36" s="202"/>
      <c r="E36" s="212"/>
      <c r="F36" s="202"/>
      <c r="G36" s="202"/>
      <c r="H36" s="211"/>
      <c r="I36" s="177"/>
      <c r="J36" s="177"/>
      <c r="K36" s="177"/>
      <c r="L36" s="201" t="s">
        <v>83</v>
      </c>
      <c r="M36" s="201"/>
      <c r="N36" s="177"/>
      <c r="O36" s="177"/>
      <c r="P36" s="180">
        <f>P35/P31</f>
        <v>5200</v>
      </c>
      <c r="Q36" s="180">
        <f t="shared" ref="Q36:U36" si="11">Q35/Q31</f>
        <v>4940</v>
      </c>
      <c r="R36" s="180">
        <f t="shared" si="11"/>
        <v>4836</v>
      </c>
      <c r="S36" s="180">
        <f t="shared" si="11"/>
        <v>4732</v>
      </c>
      <c r="T36" s="180">
        <f t="shared" si="11"/>
        <v>4628</v>
      </c>
      <c r="U36" s="180">
        <f t="shared" si="11"/>
        <v>4524</v>
      </c>
      <c r="V36" s="180"/>
    </row>
    <row r="37" spans="2:22" x14ac:dyDescent="0.25">
      <c r="I37" s="177"/>
      <c r="J37" s="177"/>
      <c r="K37" s="177"/>
      <c r="L37" s="177">
        <f>(L35-(L35*N28))-I31</f>
        <v>3031.6693333333333</v>
      </c>
      <c r="M37" s="177"/>
      <c r="N37" s="177"/>
      <c r="O37" s="177"/>
      <c r="P37" s="201" t="s">
        <v>84</v>
      </c>
      <c r="Q37" s="201" t="s">
        <v>84</v>
      </c>
      <c r="R37" s="201" t="s">
        <v>84</v>
      </c>
      <c r="S37" s="201" t="s">
        <v>84</v>
      </c>
      <c r="T37" s="201" t="s">
        <v>84</v>
      </c>
      <c r="U37" s="201" t="s">
        <v>84</v>
      </c>
      <c r="V37" s="178"/>
    </row>
    <row r="38" spans="2:22" x14ac:dyDescent="0.25">
      <c r="I38" s="177"/>
      <c r="J38" s="177"/>
      <c r="K38" s="177"/>
      <c r="L38" s="177"/>
      <c r="M38" s="177"/>
      <c r="N38" s="177"/>
      <c r="O38" s="177"/>
      <c r="P38" s="180">
        <f>(P35-P33)-(P35*$N$5)</f>
        <v>155223.46666666667</v>
      </c>
      <c r="Q38" s="180">
        <f t="shared" ref="Q38" si="12">(Q35-Q33)-(Q35*$N$5)</f>
        <v>293379.43333333335</v>
      </c>
      <c r="R38" s="180">
        <f>(R35-R33)-(R35*$N$5)</f>
        <v>568870.8666666667</v>
      </c>
      <c r="S38" s="180">
        <f t="shared" ref="S38:U38" si="13">(S35-S33)-(S35*$N$5)</f>
        <v>1377457.1666666665</v>
      </c>
      <c r="T38" s="180">
        <f t="shared" si="13"/>
        <v>2665474.333333333</v>
      </c>
      <c r="U38" s="180">
        <f t="shared" si="13"/>
        <v>5152068.666666666</v>
      </c>
      <c r="V38" s="180"/>
    </row>
    <row r="39" spans="2:22" x14ac:dyDescent="0.25">
      <c r="I39" s="177"/>
      <c r="J39" s="177"/>
      <c r="K39" s="179"/>
      <c r="L39" s="179"/>
      <c r="M39" s="179"/>
      <c r="N39" s="177"/>
      <c r="O39" s="179"/>
      <c r="P39" s="180">
        <f>P38/P31</f>
        <v>3104.4693333333335</v>
      </c>
      <c r="Q39" s="180">
        <f t="shared" ref="Q39:U39" si="14">Q38/Q31</f>
        <v>2933.7943333333333</v>
      </c>
      <c r="R39" s="180">
        <f t="shared" si="14"/>
        <v>2844.3543333333337</v>
      </c>
      <c r="S39" s="180">
        <f t="shared" si="14"/>
        <v>2754.9143333333332</v>
      </c>
      <c r="T39" s="180">
        <f t="shared" si="14"/>
        <v>2665.4743333333331</v>
      </c>
      <c r="U39" s="180">
        <f t="shared" si="14"/>
        <v>2576.0343333333331</v>
      </c>
      <c r="V39" s="180"/>
    </row>
    <row r="40" spans="2:22" x14ac:dyDescent="0.25">
      <c r="I40" s="177"/>
      <c r="J40" s="177"/>
      <c r="K40" s="177"/>
      <c r="L40" s="177"/>
      <c r="M40" s="177"/>
      <c r="N40" s="179"/>
      <c r="O40" s="177"/>
      <c r="P40" s="198" t="s">
        <v>65</v>
      </c>
      <c r="Q40" s="198" t="s">
        <v>65</v>
      </c>
      <c r="R40" s="198" t="s">
        <v>65</v>
      </c>
      <c r="S40" s="198" t="s">
        <v>65</v>
      </c>
      <c r="T40" s="198" t="s">
        <v>65</v>
      </c>
      <c r="U40" s="198" t="s">
        <v>65</v>
      </c>
      <c r="V40" s="180"/>
    </row>
    <row r="41" spans="2:22" x14ac:dyDescent="0.25">
      <c r="I41" s="177"/>
      <c r="J41" s="177"/>
      <c r="K41" s="177"/>
      <c r="L41" s="177"/>
      <c r="M41" s="177"/>
      <c r="N41" s="177"/>
      <c r="O41" s="177"/>
      <c r="P41" s="180">
        <f>P35-(P35*P42)</f>
        <v>234000</v>
      </c>
      <c r="Q41" s="180">
        <f t="shared" ref="Q41:U41" si="15">Q35-(Q35*Q42)</f>
        <v>444600</v>
      </c>
      <c r="R41" s="180">
        <f t="shared" si="15"/>
        <v>870480</v>
      </c>
      <c r="S41" s="180">
        <f t="shared" si="15"/>
        <v>2129400</v>
      </c>
      <c r="T41" s="180">
        <f t="shared" si="15"/>
        <v>4165200</v>
      </c>
      <c r="U41" s="180">
        <f t="shared" si="15"/>
        <v>8143200</v>
      </c>
      <c r="V41" s="180"/>
    </row>
    <row r="42" spans="2:22" x14ac:dyDescent="0.25">
      <c r="I42" s="177"/>
      <c r="J42" s="177"/>
      <c r="K42" s="177"/>
      <c r="L42" s="177"/>
      <c r="M42" s="177"/>
      <c r="N42" s="177"/>
      <c r="O42" s="177"/>
      <c r="P42" s="184">
        <v>0.1</v>
      </c>
      <c r="Q42" s="184">
        <v>0.1</v>
      </c>
      <c r="R42" s="184">
        <v>0.1</v>
      </c>
      <c r="S42" s="184">
        <v>0.1</v>
      </c>
      <c r="T42" s="184">
        <v>0.1</v>
      </c>
      <c r="U42" s="184">
        <v>0.1</v>
      </c>
      <c r="V42" s="215"/>
    </row>
    <row r="43" spans="2:22" x14ac:dyDescent="0.25">
      <c r="I43" s="177"/>
      <c r="J43" s="177"/>
      <c r="K43" s="177"/>
      <c r="L43" s="177"/>
      <c r="M43" s="177"/>
      <c r="N43" s="177"/>
      <c r="O43" s="177"/>
      <c r="P43" s="180">
        <f>P41/P31</f>
        <v>4680</v>
      </c>
      <c r="Q43" s="180">
        <f t="shared" ref="Q43:U43" si="16">Q41/Q31</f>
        <v>4446</v>
      </c>
      <c r="R43" s="180">
        <f t="shared" si="16"/>
        <v>4352.3999999999996</v>
      </c>
      <c r="S43" s="180">
        <f t="shared" si="16"/>
        <v>4258.8</v>
      </c>
      <c r="T43" s="180">
        <f t="shared" si="16"/>
        <v>4165.2</v>
      </c>
      <c r="U43" s="180">
        <f t="shared" si="16"/>
        <v>4071.6</v>
      </c>
      <c r="V43" s="180"/>
    </row>
    <row r="44" spans="2:22" x14ac:dyDescent="0.25">
      <c r="I44" s="177"/>
      <c r="J44" s="177"/>
      <c r="K44" s="177"/>
      <c r="L44" s="177"/>
      <c r="M44" s="177"/>
      <c r="N44" s="177"/>
      <c r="O44" s="177"/>
      <c r="P44" s="201" t="s">
        <v>83</v>
      </c>
      <c r="Q44" s="201" t="s">
        <v>83</v>
      </c>
      <c r="R44" s="201" t="s">
        <v>83</v>
      </c>
      <c r="S44" s="201" t="s">
        <v>83</v>
      </c>
      <c r="T44" s="201" t="s">
        <v>83</v>
      </c>
      <c r="U44" s="201" t="s">
        <v>83</v>
      </c>
      <c r="V44" s="178"/>
    </row>
    <row r="45" spans="2:22" x14ac:dyDescent="0.25">
      <c r="B45" s="177"/>
      <c r="C45" s="211"/>
      <c r="D45" s="202"/>
      <c r="E45" s="216"/>
      <c r="F45" s="202"/>
      <c r="G45" s="202"/>
      <c r="H45" s="211"/>
      <c r="O45" s="179"/>
      <c r="P45" s="180">
        <f>P41-(P41*$N$4)-P33</f>
        <v>151583.46666666667</v>
      </c>
      <c r="Q45" s="180">
        <f t="shared" ref="Q45:T45" si="17">Q41-(Q41*$N$4)-Q33</f>
        <v>286463.43333333335</v>
      </c>
      <c r="R45" s="180">
        <f t="shared" si="17"/>
        <v>555330.06666666665</v>
      </c>
      <c r="S45" s="180">
        <f t="shared" si="17"/>
        <v>1344333.1666666665</v>
      </c>
      <c r="T45" s="180">
        <f t="shared" si="17"/>
        <v>2600682.333333333</v>
      </c>
      <c r="U45" s="180">
        <f>U41-(U41*$N$4)-U33</f>
        <v>5025396.666666666</v>
      </c>
      <c r="V45" s="180"/>
    </row>
    <row r="46" spans="2:22" x14ac:dyDescent="0.25">
      <c r="B46" s="20"/>
      <c r="C46" s="211"/>
      <c r="D46" s="211"/>
      <c r="E46" s="211"/>
      <c r="F46" s="202"/>
      <c r="G46" s="202"/>
      <c r="H46" s="211"/>
      <c r="O46" s="177"/>
      <c r="P46" s="178">
        <f t="shared" ref="P46:U46" si="18">P45/P31</f>
        <v>3031.6693333333333</v>
      </c>
      <c r="Q46" s="178">
        <f t="shared" si="18"/>
        <v>2864.6343333333334</v>
      </c>
      <c r="R46" s="178">
        <f t="shared" si="18"/>
        <v>2776.650333333333</v>
      </c>
      <c r="S46" s="178">
        <f t="shared" si="18"/>
        <v>2688.6663333333331</v>
      </c>
      <c r="T46" s="178">
        <f t="shared" si="18"/>
        <v>2600.6823333333332</v>
      </c>
      <c r="U46" s="178">
        <f t="shared" si="18"/>
        <v>2512.6983333333328</v>
      </c>
      <c r="V46" s="178"/>
    </row>
    <row r="47" spans="2:22" x14ac:dyDescent="0.25">
      <c r="B47" s="177"/>
      <c r="C47" s="211"/>
      <c r="D47" s="202"/>
      <c r="E47" s="212"/>
      <c r="F47" s="202"/>
      <c r="G47" s="202"/>
      <c r="H47" s="211"/>
      <c r="I47" s="211"/>
      <c r="J47" s="211"/>
      <c r="K47" s="211"/>
      <c r="L47" s="211"/>
      <c r="M47" s="211"/>
      <c r="N47" s="211"/>
      <c r="O47" s="211"/>
      <c r="P47" s="202"/>
      <c r="Q47" s="202"/>
      <c r="R47" s="202"/>
      <c r="S47" s="202"/>
      <c r="T47" s="202"/>
    </row>
    <row r="49" spans="2:22" x14ac:dyDescent="0.25">
      <c r="K49" s="177"/>
      <c r="L49" s="182">
        <v>0.1</v>
      </c>
      <c r="M49" s="182"/>
      <c r="N49" s="182">
        <v>0.08</v>
      </c>
      <c r="O49" s="177"/>
      <c r="P49" s="180"/>
      <c r="Q49" s="180"/>
      <c r="R49" s="180"/>
      <c r="S49" s="180"/>
      <c r="T49" s="180"/>
      <c r="U49" s="177"/>
      <c r="V49" s="177"/>
    </row>
    <row r="50" spans="2:22" x14ac:dyDescent="0.25">
      <c r="K50" s="177"/>
      <c r="L50" s="183">
        <v>0.09</v>
      </c>
      <c r="M50" s="183"/>
      <c r="N50" s="183">
        <v>0.06</v>
      </c>
      <c r="O50" s="177"/>
      <c r="P50" s="180"/>
      <c r="Q50" s="180"/>
      <c r="R50" s="180"/>
      <c r="S50" s="180"/>
      <c r="T50" s="180"/>
      <c r="U50" s="177"/>
      <c r="V50" s="177"/>
    </row>
    <row r="51" spans="2:22" x14ac:dyDescent="0.25">
      <c r="B51" s="177"/>
      <c r="C51" s="210"/>
      <c r="D51" s="177"/>
      <c r="E51" s="181"/>
      <c r="F51" s="177"/>
      <c r="G51" s="177"/>
      <c r="I51" s="210"/>
      <c r="J51" s="210"/>
      <c r="K51" s="177"/>
      <c r="L51" s="184">
        <f>L50+L49</f>
        <v>0.19</v>
      </c>
      <c r="M51" s="184"/>
      <c r="N51" s="184">
        <f>N50+N49</f>
        <v>0.14000000000000001</v>
      </c>
      <c r="O51" s="179"/>
      <c r="P51" s="185" t="s">
        <v>76</v>
      </c>
      <c r="Q51" s="185" t="s">
        <v>76</v>
      </c>
      <c r="R51" s="185" t="s">
        <v>76</v>
      </c>
      <c r="S51" s="185" t="s">
        <v>76</v>
      </c>
      <c r="T51" s="185" t="s">
        <v>76</v>
      </c>
      <c r="U51" s="185" t="s">
        <v>76</v>
      </c>
      <c r="V51" s="180"/>
    </row>
    <row r="52" spans="2:22" x14ac:dyDescent="0.25">
      <c r="B52" s="485" t="s">
        <v>75</v>
      </c>
      <c r="C52" s="187" t="s">
        <v>1</v>
      </c>
      <c r="D52" s="187" t="s">
        <v>55</v>
      </c>
      <c r="E52" s="187"/>
      <c r="F52" s="187"/>
      <c r="G52" s="187"/>
      <c r="H52" s="186"/>
      <c r="I52" s="188" t="s">
        <v>6</v>
      </c>
      <c r="J52" s="189" t="s">
        <v>7</v>
      </c>
      <c r="K52" s="190" t="s">
        <v>80</v>
      </c>
      <c r="L52" s="191" t="s">
        <v>77</v>
      </c>
      <c r="M52" s="191" t="s">
        <v>77</v>
      </c>
      <c r="N52" s="192" t="s">
        <v>79</v>
      </c>
      <c r="O52" s="177"/>
      <c r="P52" s="184">
        <v>0</v>
      </c>
      <c r="Q52" s="184">
        <v>0.05</v>
      </c>
      <c r="R52" s="184">
        <v>7.0000000000000007E-2</v>
      </c>
      <c r="S52" s="193">
        <v>0.09</v>
      </c>
      <c r="T52" s="193">
        <v>0.11</v>
      </c>
      <c r="U52" s="193">
        <v>0.13</v>
      </c>
      <c r="V52" s="215"/>
    </row>
    <row r="53" spans="2:22" x14ac:dyDescent="0.25">
      <c r="B53" s="485"/>
      <c r="C53" s="211">
        <f>Insumos!C16</f>
        <v>391.2</v>
      </c>
      <c r="D53" s="202">
        <f>Insumos!G6/10</f>
        <v>23.991999999999997</v>
      </c>
      <c r="E53" s="212"/>
      <c r="F53" s="202"/>
      <c r="G53" s="202"/>
      <c r="H53" s="211"/>
      <c r="I53" s="211">
        <f>SUM(C53:H53)</f>
        <v>415.19200000000001</v>
      </c>
      <c r="J53" s="211">
        <v>350</v>
      </c>
      <c r="K53" s="177">
        <f>J53+I53</f>
        <v>765.19200000000001</v>
      </c>
      <c r="L53" s="194">
        <f>ROUND(M53/50,0)*50</f>
        <v>900</v>
      </c>
      <c r="M53" s="194">
        <f>(J53+I53)+((I53+J53)*(L51))</f>
        <v>910.57848000000001</v>
      </c>
      <c r="N53" s="177">
        <f>(L53-(L53*N51))-I53</f>
        <v>358.80799999999999</v>
      </c>
      <c r="O53" s="177"/>
      <c r="P53" s="195">
        <v>50</v>
      </c>
      <c r="Q53" s="195">
        <v>100</v>
      </c>
      <c r="R53" s="195">
        <v>200</v>
      </c>
      <c r="S53" s="195">
        <v>500</v>
      </c>
      <c r="T53" s="195">
        <v>1000</v>
      </c>
      <c r="U53" s="195">
        <v>2000</v>
      </c>
      <c r="V53" s="195"/>
    </row>
    <row r="54" spans="2:22" x14ac:dyDescent="0.25">
      <c r="B54" s="177"/>
      <c r="C54" s="211"/>
      <c r="D54" s="202"/>
      <c r="E54" s="212"/>
      <c r="F54" s="202"/>
      <c r="G54" s="202"/>
      <c r="H54" s="211"/>
      <c r="I54" s="211"/>
      <c r="J54" s="211"/>
      <c r="K54" s="177"/>
      <c r="L54" s="177"/>
      <c r="M54" s="177"/>
      <c r="N54" s="177"/>
      <c r="O54" s="177"/>
      <c r="P54" s="196" t="s">
        <v>6</v>
      </c>
      <c r="Q54" s="196" t="s">
        <v>6</v>
      </c>
      <c r="R54" s="196" t="s">
        <v>6</v>
      </c>
      <c r="S54" s="196" t="s">
        <v>6</v>
      </c>
      <c r="T54" s="196" t="s">
        <v>6</v>
      </c>
      <c r="U54" s="196" t="s">
        <v>6</v>
      </c>
      <c r="V54" s="178"/>
    </row>
    <row r="55" spans="2:22" x14ac:dyDescent="0.25">
      <c r="K55" s="177"/>
      <c r="L55" s="177"/>
      <c r="M55" s="177"/>
      <c r="N55" s="179"/>
      <c r="O55" s="177"/>
      <c r="P55" s="180">
        <f>I53*P53</f>
        <v>20759.599999999999</v>
      </c>
      <c r="Q55" s="180">
        <f>I53*Q53</f>
        <v>41519.199999999997</v>
      </c>
      <c r="R55" s="180">
        <f>$I$53*R53</f>
        <v>83038.399999999994</v>
      </c>
      <c r="S55" s="180">
        <f t="shared" ref="S55:U55" si="19">$I$53*S53</f>
        <v>207596</v>
      </c>
      <c r="T55" s="180">
        <f t="shared" si="19"/>
        <v>415192</v>
      </c>
      <c r="U55" s="180">
        <f t="shared" si="19"/>
        <v>830384</v>
      </c>
      <c r="V55" s="180"/>
    </row>
    <row r="56" spans="2:22" x14ac:dyDescent="0.25">
      <c r="K56" s="177"/>
      <c r="L56" s="198" t="s">
        <v>65</v>
      </c>
      <c r="M56" s="198"/>
      <c r="N56" s="177"/>
      <c r="O56" s="177"/>
      <c r="P56" s="199" t="s">
        <v>77</v>
      </c>
      <c r="Q56" s="199" t="s">
        <v>77</v>
      </c>
      <c r="R56" s="199" t="s">
        <v>77</v>
      </c>
      <c r="S56" s="199" t="s">
        <v>77</v>
      </c>
      <c r="T56" s="199" t="s">
        <v>77</v>
      </c>
      <c r="U56" s="199" t="s">
        <v>77</v>
      </c>
      <c r="V56" s="178"/>
    </row>
    <row r="57" spans="2:22" x14ac:dyDescent="0.25">
      <c r="K57" s="177"/>
      <c r="L57" s="177">
        <f>L53-(L53*Q64)</f>
        <v>810</v>
      </c>
      <c r="M57" s="177"/>
      <c r="N57" s="177"/>
      <c r="O57" s="177"/>
      <c r="P57" s="200">
        <f t="shared" ref="P57:U57" si="20">($L53*P53)-(($L53*P53)*P52)</f>
        <v>45000</v>
      </c>
      <c r="Q57" s="200">
        <f t="shared" si="20"/>
        <v>85500</v>
      </c>
      <c r="R57" s="200">
        <f t="shared" si="20"/>
        <v>167400</v>
      </c>
      <c r="S57" s="200">
        <f t="shared" si="20"/>
        <v>409500</v>
      </c>
      <c r="T57" s="200">
        <f t="shared" si="20"/>
        <v>801000</v>
      </c>
      <c r="U57" s="200">
        <f t="shared" si="20"/>
        <v>1566000</v>
      </c>
      <c r="V57" s="200"/>
    </row>
    <row r="58" spans="2:22" x14ac:dyDescent="0.25">
      <c r="K58" s="177"/>
      <c r="L58" s="201" t="s">
        <v>83</v>
      </c>
      <c r="M58" s="201"/>
      <c r="N58" s="177"/>
      <c r="O58" s="177"/>
      <c r="P58" s="180">
        <f>P57/P53</f>
        <v>900</v>
      </c>
      <c r="Q58" s="180">
        <f t="shared" ref="Q58:U58" si="21">Q57/Q53</f>
        <v>855</v>
      </c>
      <c r="R58" s="180">
        <f t="shared" si="21"/>
        <v>837</v>
      </c>
      <c r="S58" s="180">
        <f t="shared" si="21"/>
        <v>819</v>
      </c>
      <c r="T58" s="180">
        <f t="shared" si="21"/>
        <v>801</v>
      </c>
      <c r="U58" s="180">
        <f t="shared" si="21"/>
        <v>783</v>
      </c>
      <c r="V58" s="180"/>
    </row>
    <row r="59" spans="2:22" x14ac:dyDescent="0.25">
      <c r="K59" s="177"/>
      <c r="L59" s="177">
        <f>(L57-(L57*N50))-I53</f>
        <v>346.20799999999997</v>
      </c>
      <c r="M59" s="177"/>
      <c r="N59" s="177"/>
      <c r="O59" s="177"/>
      <c r="P59" s="201" t="s">
        <v>84</v>
      </c>
      <c r="Q59" s="201" t="s">
        <v>84</v>
      </c>
      <c r="R59" s="201" t="s">
        <v>84</v>
      </c>
      <c r="S59" s="201" t="s">
        <v>84</v>
      </c>
      <c r="T59" s="201" t="s">
        <v>84</v>
      </c>
      <c r="U59" s="201" t="s">
        <v>84</v>
      </c>
      <c r="V59" s="178"/>
    </row>
    <row r="60" spans="2:22" x14ac:dyDescent="0.25">
      <c r="K60" s="177"/>
      <c r="L60" s="177"/>
      <c r="M60" s="177"/>
      <c r="N60" s="177"/>
      <c r="O60" s="177"/>
      <c r="P60" s="180">
        <f>(P57-P55)-(P57*$N$5)</f>
        <v>17940.400000000001</v>
      </c>
      <c r="Q60" s="180">
        <f t="shared" ref="Q60" si="22">(Q57-Q55)-(Q57*$N$5)</f>
        <v>32010.800000000003</v>
      </c>
      <c r="R60" s="180">
        <f>(R57-R55)-(R57*$N$5)</f>
        <v>60925.600000000006</v>
      </c>
      <c r="S60" s="180">
        <f t="shared" ref="S60:U60" si="23">(S57-S55)-(S57*$N$5)</f>
        <v>144574</v>
      </c>
      <c r="T60" s="180">
        <f t="shared" si="23"/>
        <v>273668</v>
      </c>
      <c r="U60" s="180">
        <f t="shared" si="23"/>
        <v>516376</v>
      </c>
      <c r="V60" s="180"/>
    </row>
    <row r="61" spans="2:22" x14ac:dyDescent="0.25">
      <c r="K61" s="179"/>
      <c r="L61" s="179"/>
      <c r="M61" s="179"/>
      <c r="N61" s="177"/>
      <c r="O61" s="179"/>
      <c r="P61" s="180">
        <f>P60/P53</f>
        <v>358.80800000000005</v>
      </c>
      <c r="Q61" s="180">
        <f t="shared" ref="Q61:U61" si="24">Q60/Q53</f>
        <v>320.108</v>
      </c>
      <c r="R61" s="180">
        <f t="shared" si="24"/>
        <v>304.62800000000004</v>
      </c>
      <c r="S61" s="180">
        <f t="shared" si="24"/>
        <v>289.14800000000002</v>
      </c>
      <c r="T61" s="180">
        <f t="shared" si="24"/>
        <v>273.66800000000001</v>
      </c>
      <c r="U61" s="180">
        <f t="shared" si="24"/>
        <v>258.18799999999999</v>
      </c>
      <c r="V61" s="180"/>
    </row>
    <row r="62" spans="2:22" x14ac:dyDescent="0.25">
      <c r="K62" s="177"/>
      <c r="L62" s="177"/>
      <c r="M62" s="177"/>
      <c r="N62" s="179"/>
      <c r="O62" s="177"/>
      <c r="P62" s="198" t="s">
        <v>65</v>
      </c>
      <c r="Q62" s="198" t="s">
        <v>65</v>
      </c>
      <c r="R62" s="198" t="s">
        <v>65</v>
      </c>
      <c r="S62" s="198" t="s">
        <v>65</v>
      </c>
      <c r="T62" s="198" t="s">
        <v>65</v>
      </c>
      <c r="U62" s="198" t="s">
        <v>65</v>
      </c>
      <c r="V62" s="180"/>
    </row>
    <row r="63" spans="2:22" x14ac:dyDescent="0.25">
      <c r="K63" s="177"/>
      <c r="L63" s="177"/>
      <c r="M63" s="177"/>
      <c r="N63" s="177"/>
      <c r="O63" s="177"/>
      <c r="P63" s="180">
        <f>P57-(P57*P64)</f>
        <v>40500</v>
      </c>
      <c r="Q63" s="180">
        <f t="shared" ref="Q63:U63" si="25">Q57-(Q57*Q64)</f>
        <v>76950</v>
      </c>
      <c r="R63" s="180">
        <f t="shared" si="25"/>
        <v>150660</v>
      </c>
      <c r="S63" s="180">
        <f t="shared" si="25"/>
        <v>368550</v>
      </c>
      <c r="T63" s="180">
        <f t="shared" si="25"/>
        <v>720900</v>
      </c>
      <c r="U63" s="180">
        <f t="shared" si="25"/>
        <v>1409400</v>
      </c>
      <c r="V63" s="180"/>
    </row>
    <row r="64" spans="2:22" x14ac:dyDescent="0.25">
      <c r="K64" s="177"/>
      <c r="L64" s="177"/>
      <c r="M64" s="177"/>
      <c r="N64" s="177"/>
      <c r="O64" s="177"/>
      <c r="P64" s="184">
        <v>0.1</v>
      </c>
      <c r="Q64" s="184">
        <v>0.1</v>
      </c>
      <c r="R64" s="184">
        <v>0.1</v>
      </c>
      <c r="S64" s="184">
        <v>0.1</v>
      </c>
      <c r="T64" s="184">
        <v>0.1</v>
      </c>
      <c r="U64" s="184">
        <v>0.1</v>
      </c>
      <c r="V64" s="215"/>
    </row>
    <row r="65" spans="11:22" x14ac:dyDescent="0.25">
      <c r="K65" s="177"/>
      <c r="L65" s="177"/>
      <c r="M65" s="177"/>
      <c r="N65" s="177"/>
      <c r="O65" s="177"/>
      <c r="P65" s="180">
        <f>P63/P53</f>
        <v>810</v>
      </c>
      <c r="Q65" s="180">
        <f t="shared" ref="Q65:U65" si="26">Q63/Q53</f>
        <v>769.5</v>
      </c>
      <c r="R65" s="180">
        <f t="shared" si="26"/>
        <v>753.3</v>
      </c>
      <c r="S65" s="180">
        <f t="shared" si="26"/>
        <v>737.1</v>
      </c>
      <c r="T65" s="180">
        <f t="shared" si="26"/>
        <v>720.9</v>
      </c>
      <c r="U65" s="180">
        <f t="shared" si="26"/>
        <v>704.7</v>
      </c>
      <c r="V65" s="180"/>
    </row>
    <row r="66" spans="11:22" x14ac:dyDescent="0.25">
      <c r="K66" s="177"/>
      <c r="L66" s="177"/>
      <c r="M66" s="177"/>
      <c r="N66" s="177"/>
      <c r="O66" s="177"/>
      <c r="P66" s="201" t="s">
        <v>83</v>
      </c>
      <c r="Q66" s="201" t="s">
        <v>83</v>
      </c>
      <c r="R66" s="201" t="s">
        <v>83</v>
      </c>
      <c r="S66" s="201" t="s">
        <v>83</v>
      </c>
      <c r="T66" s="201" t="s">
        <v>83</v>
      </c>
      <c r="U66" s="201" t="s">
        <v>83</v>
      </c>
      <c r="V66" s="178"/>
    </row>
    <row r="67" spans="11:22" x14ac:dyDescent="0.25">
      <c r="O67" s="179"/>
      <c r="P67" s="180">
        <f>P63-(P63*$N$4)-P55</f>
        <v>17310.400000000001</v>
      </c>
      <c r="Q67" s="180">
        <f t="shared" ref="Q67:T67" si="27">Q63-(Q63*$N$4)-Q55</f>
        <v>30813.800000000003</v>
      </c>
      <c r="R67" s="180">
        <f t="shared" si="27"/>
        <v>58582</v>
      </c>
      <c r="S67" s="180">
        <f t="shared" si="27"/>
        <v>138841</v>
      </c>
      <c r="T67" s="180">
        <f t="shared" si="27"/>
        <v>262454</v>
      </c>
      <c r="U67" s="180">
        <f>U63-(U63*$N$4)-U55</f>
        <v>494452</v>
      </c>
      <c r="V67" s="180"/>
    </row>
    <row r="68" spans="11:22" x14ac:dyDescent="0.25">
      <c r="O68" s="177"/>
      <c r="P68" s="178">
        <f t="shared" ref="P68:U68" si="28">P67/P53</f>
        <v>346.20800000000003</v>
      </c>
      <c r="Q68" s="178">
        <f t="shared" si="28"/>
        <v>308.13800000000003</v>
      </c>
      <c r="R68" s="178">
        <f t="shared" si="28"/>
        <v>292.91000000000003</v>
      </c>
      <c r="S68" s="178">
        <f t="shared" si="28"/>
        <v>277.68200000000002</v>
      </c>
      <c r="T68" s="178">
        <f t="shared" si="28"/>
        <v>262.45400000000001</v>
      </c>
      <c r="U68" s="178">
        <f t="shared" si="28"/>
        <v>247.226</v>
      </c>
      <c r="V68" s="178"/>
    </row>
  </sheetData>
  <mergeCells count="4">
    <mergeCell ref="C3:G3"/>
    <mergeCell ref="B6:B7"/>
    <mergeCell ref="B30:B31"/>
    <mergeCell ref="B52:B5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A6C8F-C295-41C2-8B7B-4EA0182BEF8C}">
  <dimension ref="A1:AL600"/>
  <sheetViews>
    <sheetView topLeftCell="J2" zoomScale="60" zoomScaleNormal="60" workbookViewId="0">
      <pane ySplit="1" topLeftCell="A3" activePane="bottomLeft" state="frozen"/>
      <selection activeCell="A2" sqref="A2"/>
      <selection pane="bottomLeft" activeCell="X3" sqref="X3"/>
    </sheetView>
  </sheetViews>
  <sheetFormatPr baseColWidth="10" defaultRowHeight="18.75" customHeight="1" x14ac:dyDescent="0.35"/>
  <cols>
    <col min="1" max="1" width="22.85546875" style="195" customWidth="1"/>
    <col min="2" max="2" width="17.140625" style="254" customWidth="1"/>
    <col min="3" max="3" width="17.7109375" style="20" customWidth="1"/>
    <col min="4" max="4" width="34" style="20" customWidth="1"/>
    <col min="5" max="5" width="49.42578125" style="363" bestFit="1" customWidth="1"/>
    <col min="6" max="7" width="24.7109375" style="3" hidden="1" customWidth="1"/>
    <col min="8" max="8" width="26.28515625" style="20" customWidth="1"/>
    <col min="9" max="10" width="19.85546875" style="20" customWidth="1"/>
    <col min="11" max="11" width="13.85546875" style="411" customWidth="1"/>
    <col min="12" max="12" width="19.7109375" style="204" customWidth="1"/>
    <col min="13" max="13" width="20.42578125" style="255" customWidth="1"/>
    <col min="14" max="14" width="19.5703125" style="421" customWidth="1"/>
    <col min="15" max="15" width="2.140625" customWidth="1"/>
    <col min="16" max="16" width="19.28515625" style="227" customWidth="1"/>
    <col min="17" max="17" width="4" style="230" customWidth="1"/>
    <col min="18" max="19" width="25.85546875" style="230" customWidth="1"/>
    <col min="20" max="20" width="25.85546875" style="228" customWidth="1"/>
    <col min="21" max="21" width="25.85546875" style="413" customWidth="1"/>
    <col min="22" max="22" width="22.7109375" style="238" customWidth="1"/>
    <col min="23" max="23" width="16.5703125" style="20" customWidth="1"/>
    <col min="24" max="24" width="16" style="20" customWidth="1"/>
    <col min="25" max="25" width="23.5703125" style="20" customWidth="1"/>
    <col min="26" max="26" width="11.42578125" style="20"/>
    <col min="27" max="27" width="31.42578125" style="20" customWidth="1"/>
    <col min="28" max="30" width="11.42578125" style="20"/>
    <col min="31" max="31" width="16.85546875" style="20" customWidth="1"/>
    <col min="32" max="16384" width="11.42578125" style="20"/>
  </cols>
  <sheetData>
    <row r="1" spans="1:38" ht="18.75" customHeight="1" x14ac:dyDescent="0.35">
      <c r="P1" s="180"/>
      <c r="R1" s="177"/>
      <c r="S1" s="177"/>
      <c r="V1" s="237"/>
      <c r="W1" s="20">
        <v>0.15</v>
      </c>
    </row>
    <row r="2" spans="1:38" s="381" customFormat="1" ht="24.75" customHeight="1" x14ac:dyDescent="0.4">
      <c r="A2" s="355" t="s">
        <v>360</v>
      </c>
      <c r="B2" s="368" t="s">
        <v>162</v>
      </c>
      <c r="C2" s="369" t="s">
        <v>157</v>
      </c>
      <c r="D2" s="370" t="s">
        <v>166</v>
      </c>
      <c r="E2" s="417" t="s">
        <v>158</v>
      </c>
      <c r="F2" s="369"/>
      <c r="G2" s="369" t="s">
        <v>189</v>
      </c>
      <c r="H2" s="372" t="s">
        <v>85</v>
      </c>
      <c r="I2" s="372" t="s">
        <v>160</v>
      </c>
      <c r="J2" s="372" t="s">
        <v>470</v>
      </c>
      <c r="K2" s="412"/>
      <c r="L2" s="373" t="s">
        <v>167</v>
      </c>
      <c r="M2" s="374" t="s">
        <v>319</v>
      </c>
      <c r="N2" s="422" t="s">
        <v>461</v>
      </c>
      <c r="P2" s="375" t="s">
        <v>259</v>
      </c>
      <c r="Q2" s="377" t="s">
        <v>282</v>
      </c>
      <c r="R2" s="377" t="s">
        <v>465</v>
      </c>
      <c r="S2" s="377" t="s">
        <v>466</v>
      </c>
      <c r="T2" s="378" t="s">
        <v>7</v>
      </c>
      <c r="U2" s="414" t="s">
        <v>463</v>
      </c>
      <c r="V2" s="379" t="s">
        <v>297</v>
      </c>
      <c r="W2" s="251" t="s">
        <v>296</v>
      </c>
    </row>
    <row r="3" spans="1:38" ht="18.75" customHeight="1" x14ac:dyDescent="0.25">
      <c r="C3" s="20" t="s">
        <v>287</v>
      </c>
      <c r="E3" s="419" t="s">
        <v>374</v>
      </c>
      <c r="F3" s="420"/>
      <c r="G3" s="420"/>
      <c r="H3" s="420"/>
      <c r="I3" s="420"/>
      <c r="J3" s="420"/>
      <c r="K3" s="420"/>
      <c r="L3" s="420"/>
      <c r="M3" s="420"/>
      <c r="N3" s="423"/>
      <c r="P3" s="420"/>
      <c r="Q3" s="420"/>
      <c r="R3" s="420"/>
      <c r="S3" s="420"/>
      <c r="T3" s="420"/>
      <c r="U3" s="415"/>
      <c r="V3" s="410">
        <f>T3*0.05</f>
        <v>0</v>
      </c>
      <c r="W3" s="416"/>
      <c r="X3" s="177">
        <f>SUM(W5:W22)</f>
        <v>13214.279260000001</v>
      </c>
      <c r="Y3" s="177">
        <f>X3+'Ventas MELI'!U3</f>
        <v>24232.148459999997</v>
      </c>
    </row>
    <row r="4" spans="1:38" ht="18.75" customHeight="1" x14ac:dyDescent="0.35">
      <c r="C4" s="20" t="s">
        <v>288</v>
      </c>
      <c r="D4" s="20" t="s">
        <v>314</v>
      </c>
      <c r="E4" s="363" t="s">
        <v>405</v>
      </c>
      <c r="H4" s="20" t="s">
        <v>474</v>
      </c>
      <c r="I4" s="20">
        <v>200</v>
      </c>
      <c r="K4" s="411" t="s">
        <v>464</v>
      </c>
      <c r="L4" s="204">
        <v>112860</v>
      </c>
      <c r="M4" s="255">
        <v>122860</v>
      </c>
      <c r="N4" s="421">
        <f t="shared" ref="N4:N5" si="0">M4-L4</f>
        <v>10000</v>
      </c>
      <c r="P4" s="227">
        <f>_xlfn.XLOOKUP(H4, AA:AA, AB:AB) * I4</f>
        <v>58800</v>
      </c>
      <c r="R4" s="230">
        <f t="shared" ref="R4:R12" si="1">M4*0.0006</f>
        <v>73.715999999999994</v>
      </c>
      <c r="S4" s="230">
        <f t="shared" ref="S4:S12" si="2">M4*0.02</f>
        <v>2457.2000000000003</v>
      </c>
      <c r="T4" s="228">
        <f t="shared" ref="T4:T67" si="3">L4-P4-Q4-R4-S4</f>
        <v>51529.084000000003</v>
      </c>
      <c r="U4" s="413">
        <f t="shared" ref="U4:U67" si="4">IF(K4="CORREO",0,N4)</f>
        <v>10000</v>
      </c>
      <c r="V4" s="410">
        <f>T4*0.05</f>
        <v>2576.4542000000001</v>
      </c>
      <c r="W4" s="416">
        <f>T4*0.05</f>
        <v>2576.4542000000001</v>
      </c>
      <c r="AJ4" s="232"/>
    </row>
    <row r="5" spans="1:38" ht="18.75" customHeight="1" x14ac:dyDescent="0.35">
      <c r="C5" s="20" t="s">
        <v>288</v>
      </c>
      <c r="E5" s="363" t="s">
        <v>406</v>
      </c>
      <c r="I5" s="20">
        <v>1</v>
      </c>
      <c r="K5" s="411" t="s">
        <v>462</v>
      </c>
      <c r="L5" s="204">
        <v>15000</v>
      </c>
      <c r="M5" s="255">
        <v>15000</v>
      </c>
      <c r="N5" s="421">
        <f t="shared" si="0"/>
        <v>0</v>
      </c>
      <c r="P5" s="227">
        <v>11000</v>
      </c>
      <c r="R5" s="230">
        <f t="shared" si="1"/>
        <v>9</v>
      </c>
      <c r="S5" s="230">
        <f t="shared" si="2"/>
        <v>300</v>
      </c>
      <c r="T5" s="228">
        <f t="shared" si="3"/>
        <v>3691</v>
      </c>
      <c r="U5" s="413">
        <f t="shared" si="4"/>
        <v>0</v>
      </c>
      <c r="V5" s="410">
        <f t="shared" ref="V5:V68" si="5">T5*0.05</f>
        <v>184.55</v>
      </c>
      <c r="W5" s="246">
        <f t="shared" ref="W5:W68" si="6">T5*0.05</f>
        <v>184.55</v>
      </c>
      <c r="AD5" s="20" t="s">
        <v>471</v>
      </c>
      <c r="AE5" s="20" t="s">
        <v>65</v>
      </c>
    </row>
    <row r="6" spans="1:38" ht="18.75" customHeight="1" x14ac:dyDescent="0.35">
      <c r="C6" s="20" t="s">
        <v>288</v>
      </c>
      <c r="E6" s="363" t="s">
        <v>460</v>
      </c>
      <c r="H6" s="20" t="s">
        <v>0</v>
      </c>
      <c r="I6" s="20">
        <v>20</v>
      </c>
      <c r="K6" s="411" t="s">
        <v>462</v>
      </c>
      <c r="L6" s="204">
        <v>17100</v>
      </c>
      <c r="M6" s="255">
        <v>28400</v>
      </c>
      <c r="N6" s="421">
        <f>M6-L6</f>
        <v>11300</v>
      </c>
      <c r="P6" s="227">
        <f t="shared" ref="P6:P69" si="7">_xlfn.XLOOKUP(H6, AA:AA, AB:AB) * I6</f>
        <v>6540</v>
      </c>
      <c r="R6" s="230">
        <f t="shared" si="1"/>
        <v>17.04</v>
      </c>
      <c r="S6" s="230">
        <f t="shared" si="2"/>
        <v>568</v>
      </c>
      <c r="T6" s="228">
        <f t="shared" si="3"/>
        <v>9974.9599999999991</v>
      </c>
      <c r="U6" s="413">
        <f t="shared" si="4"/>
        <v>0</v>
      </c>
      <c r="V6" s="410">
        <f t="shared" si="5"/>
        <v>498.74799999999999</v>
      </c>
      <c r="W6" s="246">
        <f t="shared" si="6"/>
        <v>498.74799999999999</v>
      </c>
      <c r="AA6" s="20" t="s">
        <v>75</v>
      </c>
      <c r="AB6" s="20">
        <v>294</v>
      </c>
      <c r="AD6" s="20">
        <v>660</v>
      </c>
      <c r="AE6" s="20">
        <f>AD6-(AD6*0.1)</f>
        <v>594</v>
      </c>
    </row>
    <row r="7" spans="1:38" ht="18.75" customHeight="1" x14ac:dyDescent="0.25">
      <c r="E7" s="418" t="s">
        <v>467</v>
      </c>
      <c r="H7" s="20" t="s">
        <v>0</v>
      </c>
      <c r="I7" s="388">
        <v>110</v>
      </c>
      <c r="J7" s="388"/>
      <c r="K7" s="411" t="s">
        <v>468</v>
      </c>
      <c r="L7" s="204">
        <v>87318</v>
      </c>
      <c r="M7" s="177">
        <v>87318</v>
      </c>
      <c r="N7" s="421">
        <f t="shared" ref="N7:N70" si="8">M7-L7</f>
        <v>0</v>
      </c>
      <c r="P7" s="227">
        <f t="shared" si="7"/>
        <v>35970</v>
      </c>
      <c r="Q7" s="424"/>
      <c r="R7" s="230">
        <f t="shared" si="1"/>
        <v>52.390799999999999</v>
      </c>
      <c r="S7" s="230">
        <f t="shared" si="2"/>
        <v>1746.3600000000001</v>
      </c>
      <c r="T7" s="228">
        <f t="shared" si="3"/>
        <v>49549.249199999998</v>
      </c>
      <c r="U7" s="413">
        <f t="shared" si="4"/>
        <v>0</v>
      </c>
      <c r="V7" s="410">
        <f t="shared" si="5"/>
        <v>2477.4624600000002</v>
      </c>
      <c r="W7" s="246">
        <f t="shared" si="6"/>
        <v>2477.4624600000002</v>
      </c>
    </row>
    <row r="8" spans="1:38" ht="18.75" customHeight="1" x14ac:dyDescent="0.25">
      <c r="E8" s="418" t="s">
        <v>469</v>
      </c>
      <c r="H8" s="20" t="s">
        <v>75</v>
      </c>
      <c r="I8" s="388">
        <v>50</v>
      </c>
      <c r="J8" s="388"/>
      <c r="K8" s="411" t="s">
        <v>464</v>
      </c>
      <c r="L8" s="204">
        <v>29700</v>
      </c>
      <c r="M8" s="177">
        <v>39700</v>
      </c>
      <c r="N8" s="421">
        <f t="shared" si="8"/>
        <v>10000</v>
      </c>
      <c r="P8" s="227">
        <f t="shared" si="7"/>
        <v>14700</v>
      </c>
      <c r="Q8" s="425"/>
      <c r="R8" s="230">
        <f t="shared" si="1"/>
        <v>23.819999999999997</v>
      </c>
      <c r="S8" s="230">
        <f t="shared" si="2"/>
        <v>794</v>
      </c>
      <c r="T8" s="228">
        <f t="shared" si="3"/>
        <v>14182.18</v>
      </c>
      <c r="U8" s="413">
        <f t="shared" si="4"/>
        <v>10000</v>
      </c>
      <c r="V8" s="410">
        <f t="shared" si="5"/>
        <v>709.10900000000004</v>
      </c>
      <c r="W8" s="246">
        <f t="shared" si="6"/>
        <v>709.10900000000004</v>
      </c>
      <c r="AA8" s="20" t="s">
        <v>0</v>
      </c>
      <c r="AB8" s="20">
        <v>327</v>
      </c>
      <c r="AD8" s="20">
        <v>950</v>
      </c>
      <c r="AE8" s="20">
        <f t="shared" ref="AE8:AE21" si="9">AD8-(AD8*0.1)</f>
        <v>855</v>
      </c>
    </row>
    <row r="9" spans="1:38" ht="18.75" customHeight="1" x14ac:dyDescent="0.25">
      <c r="E9" s="385" t="s">
        <v>472</v>
      </c>
      <c r="H9" s="20" t="s">
        <v>312</v>
      </c>
      <c r="I9" s="388">
        <v>55</v>
      </c>
      <c r="J9" s="388"/>
      <c r="L9" s="204">
        <v>263340</v>
      </c>
      <c r="M9" s="177">
        <v>273340</v>
      </c>
      <c r="N9" s="421">
        <f t="shared" si="8"/>
        <v>10000</v>
      </c>
      <c r="P9" s="227">
        <f t="shared" si="7"/>
        <v>131164</v>
      </c>
      <c r="Q9" s="425"/>
      <c r="R9" s="230">
        <f t="shared" si="1"/>
        <v>164.00399999999999</v>
      </c>
      <c r="S9" s="230">
        <f t="shared" si="2"/>
        <v>5466.8</v>
      </c>
      <c r="T9" s="228">
        <f t="shared" si="3"/>
        <v>126545.19600000001</v>
      </c>
      <c r="U9" s="413">
        <f t="shared" si="4"/>
        <v>10000</v>
      </c>
      <c r="V9" s="410">
        <f t="shared" si="5"/>
        <v>6327.2598000000007</v>
      </c>
      <c r="W9" s="246">
        <f t="shared" si="6"/>
        <v>6327.2598000000007</v>
      </c>
      <c r="AA9" s="20" t="s">
        <v>5</v>
      </c>
      <c r="AB9" s="20">
        <v>330</v>
      </c>
      <c r="AD9" s="20">
        <v>980</v>
      </c>
      <c r="AE9" s="20">
        <f t="shared" si="9"/>
        <v>882</v>
      </c>
      <c r="AJ9" s="177"/>
      <c r="AL9" s="177"/>
    </row>
    <row r="10" spans="1:38" ht="18.75" customHeight="1" x14ac:dyDescent="0.25">
      <c r="E10" s="418"/>
      <c r="I10" s="388"/>
      <c r="J10" s="388"/>
      <c r="L10" s="204">
        <f t="shared" ref="L10:L12" si="10">IFERROR(IF(J10="Transferencia",_xlfn.XLOOKUP(H10,$AA:$AA,$AE:$AE)*I10,_xlfn.XLOOKUP(H10,$AA:$AA,$AD:$AD)*I10),0)</f>
        <v>0</v>
      </c>
      <c r="M10" s="177"/>
      <c r="N10" s="421">
        <f t="shared" si="8"/>
        <v>0</v>
      </c>
      <c r="P10" s="227">
        <f t="shared" si="7"/>
        <v>0</v>
      </c>
      <c r="Q10" s="425"/>
      <c r="R10" s="230">
        <f t="shared" si="1"/>
        <v>0</v>
      </c>
      <c r="S10" s="230">
        <f t="shared" si="2"/>
        <v>0</v>
      </c>
      <c r="T10" s="228">
        <f t="shared" si="3"/>
        <v>0</v>
      </c>
      <c r="U10" s="413">
        <f t="shared" si="4"/>
        <v>0</v>
      </c>
      <c r="V10" s="410">
        <f t="shared" si="5"/>
        <v>0</v>
      </c>
      <c r="W10" s="246">
        <f t="shared" si="6"/>
        <v>0</v>
      </c>
      <c r="AA10" s="20" t="s">
        <v>33</v>
      </c>
      <c r="AB10" s="20">
        <v>1443.5</v>
      </c>
      <c r="AD10" s="20">
        <v>3000</v>
      </c>
      <c r="AE10" s="20">
        <f t="shared" si="9"/>
        <v>2700</v>
      </c>
      <c r="AJ10" s="177"/>
      <c r="AL10" s="219"/>
    </row>
    <row r="11" spans="1:38" ht="18.75" customHeight="1" x14ac:dyDescent="0.25">
      <c r="E11" s="418"/>
      <c r="I11" s="388"/>
      <c r="J11" s="388"/>
      <c r="L11" s="204">
        <f t="shared" si="10"/>
        <v>0</v>
      </c>
      <c r="M11" s="177"/>
      <c r="N11" s="421">
        <f t="shared" si="8"/>
        <v>0</v>
      </c>
      <c r="P11" s="227">
        <f t="shared" si="7"/>
        <v>0</v>
      </c>
      <c r="Q11" s="425"/>
      <c r="R11" s="230">
        <f t="shared" si="1"/>
        <v>0</v>
      </c>
      <c r="S11" s="230">
        <f t="shared" si="2"/>
        <v>0</v>
      </c>
      <c r="T11" s="228">
        <f t="shared" si="3"/>
        <v>0</v>
      </c>
      <c r="U11" s="413">
        <f t="shared" si="4"/>
        <v>0</v>
      </c>
      <c r="V11" s="410">
        <f t="shared" si="5"/>
        <v>0</v>
      </c>
      <c r="W11" s="246">
        <f t="shared" si="6"/>
        <v>0</v>
      </c>
      <c r="AA11" s="20" t="s">
        <v>437</v>
      </c>
      <c r="AB11" s="20">
        <v>1499.86</v>
      </c>
      <c r="AD11" s="20">
        <v>3100</v>
      </c>
      <c r="AE11" s="20">
        <f t="shared" si="9"/>
        <v>2790</v>
      </c>
      <c r="AL11" s="177"/>
    </row>
    <row r="12" spans="1:38" ht="18.75" customHeight="1" x14ac:dyDescent="0.25">
      <c r="E12" s="418"/>
      <c r="I12" s="388"/>
      <c r="J12" s="388"/>
      <c r="L12" s="204">
        <f t="shared" si="10"/>
        <v>0</v>
      </c>
      <c r="M12" s="177"/>
      <c r="N12" s="421">
        <f t="shared" si="8"/>
        <v>0</v>
      </c>
      <c r="P12" s="227">
        <f t="shared" si="7"/>
        <v>0</v>
      </c>
      <c r="Q12" s="425"/>
      <c r="R12" s="230">
        <f t="shared" si="1"/>
        <v>0</v>
      </c>
      <c r="S12" s="230">
        <f t="shared" si="2"/>
        <v>0</v>
      </c>
      <c r="T12" s="228">
        <f t="shared" si="3"/>
        <v>0</v>
      </c>
      <c r="U12" s="413">
        <f t="shared" si="4"/>
        <v>0</v>
      </c>
      <c r="V12" s="410">
        <f t="shared" si="5"/>
        <v>0</v>
      </c>
      <c r="W12" s="246">
        <f t="shared" si="6"/>
        <v>0</v>
      </c>
      <c r="AA12" s="20" t="s">
        <v>382</v>
      </c>
      <c r="AB12" s="20">
        <v>2263.63</v>
      </c>
      <c r="AD12" s="20">
        <v>4900</v>
      </c>
      <c r="AE12" s="20">
        <f t="shared" si="9"/>
        <v>4410</v>
      </c>
    </row>
    <row r="13" spans="1:38" ht="18.75" customHeight="1" x14ac:dyDescent="0.25">
      <c r="E13" s="418"/>
      <c r="H13" s="20" t="s">
        <v>0</v>
      </c>
      <c r="I13" s="388">
        <v>100</v>
      </c>
      <c r="J13" s="388" t="s">
        <v>471</v>
      </c>
      <c r="K13" s="411" t="s">
        <v>462</v>
      </c>
      <c r="L13" s="204">
        <f>IFERROR(IF(J13="Transferencia",_xlfn.XLOOKUP(H13,$AA:$AA,$AE:$AE)*I13,_xlfn.XLOOKUP(H13,$AA:$AA,$AD:$AD)*I13),0)</f>
        <v>95000</v>
      </c>
      <c r="M13" s="255">
        <v>110000</v>
      </c>
      <c r="N13" s="421">
        <f t="shared" si="8"/>
        <v>15000</v>
      </c>
      <c r="P13" s="227">
        <f t="shared" si="7"/>
        <v>32700</v>
      </c>
      <c r="Q13" s="425"/>
      <c r="R13" s="230">
        <f>L13*0.0006</f>
        <v>56.999999999999993</v>
      </c>
      <c r="S13" s="230">
        <f>L13*0.02</f>
        <v>1900</v>
      </c>
      <c r="T13" s="228">
        <f t="shared" si="3"/>
        <v>60343</v>
      </c>
      <c r="U13" s="413">
        <f t="shared" si="4"/>
        <v>0</v>
      </c>
      <c r="V13" s="410">
        <f t="shared" si="5"/>
        <v>3017.15</v>
      </c>
      <c r="W13" s="246">
        <f t="shared" si="6"/>
        <v>3017.15</v>
      </c>
      <c r="AA13" s="20" t="s">
        <v>364</v>
      </c>
      <c r="AB13" s="20">
        <v>2422</v>
      </c>
      <c r="AD13" s="20">
        <v>5200</v>
      </c>
      <c r="AE13" s="20">
        <f t="shared" si="9"/>
        <v>4680</v>
      </c>
    </row>
    <row r="14" spans="1:38" ht="18.75" customHeight="1" x14ac:dyDescent="0.25">
      <c r="E14" s="418"/>
      <c r="I14" s="388"/>
      <c r="J14" s="388" t="s">
        <v>300</v>
      </c>
      <c r="K14" s="411" t="s">
        <v>462</v>
      </c>
      <c r="L14" s="204">
        <f t="shared" ref="L14:L77" si="11">IFERROR(IF(J14="Transferencia",_xlfn.XLOOKUP(H14,$AA:$AA,$AE:$AE)*I14,_xlfn.XLOOKUP(H14,$AA:$AA,$AD:$AD)*I14),0)</f>
        <v>0</v>
      </c>
      <c r="M14" s="177"/>
      <c r="N14" s="421">
        <f t="shared" si="8"/>
        <v>0</v>
      </c>
      <c r="P14" s="227">
        <f t="shared" si="7"/>
        <v>0</v>
      </c>
      <c r="Q14" s="425"/>
      <c r="R14" s="230">
        <f t="shared" ref="R14:R77" si="12">M14*0.0006</f>
        <v>0</v>
      </c>
      <c r="S14" s="230">
        <f t="shared" ref="S14:S77" si="13">M14*0.02</f>
        <v>0</v>
      </c>
      <c r="T14" s="228">
        <f t="shared" si="3"/>
        <v>0</v>
      </c>
      <c r="U14" s="413">
        <f t="shared" si="4"/>
        <v>0</v>
      </c>
      <c r="V14" s="410">
        <f t="shared" si="5"/>
        <v>0</v>
      </c>
      <c r="W14" s="246">
        <f t="shared" si="6"/>
        <v>0</v>
      </c>
      <c r="AA14" s="20" t="s">
        <v>312</v>
      </c>
      <c r="AB14" s="20">
        <v>2384.8000000000002</v>
      </c>
      <c r="AD14" s="20">
        <v>5600</v>
      </c>
      <c r="AE14" s="20">
        <f t="shared" si="9"/>
        <v>5040</v>
      </c>
    </row>
    <row r="15" spans="1:38" ht="18.75" customHeight="1" x14ac:dyDescent="0.25">
      <c r="E15" s="418"/>
      <c r="I15" s="388"/>
      <c r="J15" s="388"/>
      <c r="L15" s="204">
        <f t="shared" si="11"/>
        <v>0</v>
      </c>
      <c r="M15" s="177"/>
      <c r="N15" s="421">
        <f t="shared" si="8"/>
        <v>0</v>
      </c>
      <c r="P15" s="227">
        <f t="shared" si="7"/>
        <v>0</v>
      </c>
      <c r="Q15" s="425"/>
      <c r="R15" s="230">
        <f t="shared" si="12"/>
        <v>0</v>
      </c>
      <c r="S15" s="230">
        <f t="shared" si="13"/>
        <v>0</v>
      </c>
      <c r="T15" s="228">
        <f t="shared" si="3"/>
        <v>0</v>
      </c>
      <c r="U15" s="413">
        <f t="shared" si="4"/>
        <v>0</v>
      </c>
      <c r="V15" s="410">
        <f t="shared" si="5"/>
        <v>0</v>
      </c>
      <c r="W15" s="246">
        <f t="shared" si="6"/>
        <v>0</v>
      </c>
      <c r="AA15" s="20" t="s">
        <v>438</v>
      </c>
      <c r="AB15" s="20">
        <v>2610</v>
      </c>
      <c r="AD15" s="20">
        <v>6100</v>
      </c>
      <c r="AE15" s="20">
        <f t="shared" si="9"/>
        <v>5490</v>
      </c>
    </row>
    <row r="16" spans="1:38" ht="18.75" customHeight="1" x14ac:dyDescent="0.25">
      <c r="E16" s="418"/>
      <c r="I16" s="388"/>
      <c r="J16" s="388"/>
      <c r="L16" s="204">
        <f t="shared" si="11"/>
        <v>0</v>
      </c>
      <c r="M16" s="177"/>
      <c r="N16" s="421">
        <f t="shared" si="8"/>
        <v>0</v>
      </c>
      <c r="P16" s="227">
        <f t="shared" si="7"/>
        <v>0</v>
      </c>
      <c r="Q16" s="425"/>
      <c r="R16" s="230">
        <f t="shared" si="12"/>
        <v>0</v>
      </c>
      <c r="S16" s="230">
        <f t="shared" si="13"/>
        <v>0</v>
      </c>
      <c r="T16" s="228">
        <f t="shared" si="3"/>
        <v>0</v>
      </c>
      <c r="U16" s="413">
        <f t="shared" si="4"/>
        <v>0</v>
      </c>
      <c r="V16" s="410">
        <f t="shared" si="5"/>
        <v>0</v>
      </c>
      <c r="W16" s="246">
        <f t="shared" si="6"/>
        <v>0</v>
      </c>
      <c r="AA16" s="20" t="s">
        <v>433</v>
      </c>
      <c r="AB16" s="20">
        <v>440.7</v>
      </c>
      <c r="AD16" s="20">
        <v>1100</v>
      </c>
      <c r="AE16" s="20">
        <f t="shared" si="9"/>
        <v>990</v>
      </c>
    </row>
    <row r="17" spans="5:31" ht="18.75" customHeight="1" x14ac:dyDescent="0.25">
      <c r="E17" s="418"/>
      <c r="I17" s="388"/>
      <c r="J17" s="388"/>
      <c r="L17" s="204">
        <f t="shared" si="11"/>
        <v>0</v>
      </c>
      <c r="M17" s="177"/>
      <c r="N17" s="421">
        <f t="shared" si="8"/>
        <v>0</v>
      </c>
      <c r="P17" s="227">
        <f t="shared" si="7"/>
        <v>0</v>
      </c>
      <c r="Q17" s="425"/>
      <c r="R17" s="230">
        <f t="shared" si="12"/>
        <v>0</v>
      </c>
      <c r="S17" s="230">
        <f t="shared" si="13"/>
        <v>0</v>
      </c>
      <c r="T17" s="228">
        <f t="shared" si="3"/>
        <v>0</v>
      </c>
      <c r="U17" s="413">
        <f t="shared" si="4"/>
        <v>0</v>
      </c>
      <c r="V17" s="410">
        <f t="shared" si="5"/>
        <v>0</v>
      </c>
      <c r="W17" s="246">
        <f t="shared" si="6"/>
        <v>0</v>
      </c>
      <c r="X17" s="177"/>
      <c r="Y17" s="177"/>
      <c r="AA17" s="20" t="s">
        <v>354</v>
      </c>
      <c r="AB17" s="20">
        <v>1293</v>
      </c>
      <c r="AD17" s="20">
        <v>2850</v>
      </c>
      <c r="AE17" s="20">
        <f t="shared" si="9"/>
        <v>2565</v>
      </c>
    </row>
    <row r="18" spans="5:31" ht="18.75" customHeight="1" x14ac:dyDescent="0.25">
      <c r="E18" s="418"/>
      <c r="I18" s="388"/>
      <c r="J18" s="388"/>
      <c r="L18" s="204">
        <f t="shared" si="11"/>
        <v>0</v>
      </c>
      <c r="M18" s="177"/>
      <c r="N18" s="421">
        <f t="shared" si="8"/>
        <v>0</v>
      </c>
      <c r="P18" s="227">
        <f t="shared" si="7"/>
        <v>0</v>
      </c>
      <c r="Q18" s="425"/>
      <c r="R18" s="230">
        <f t="shared" si="12"/>
        <v>0</v>
      </c>
      <c r="S18" s="230">
        <f t="shared" si="13"/>
        <v>0</v>
      </c>
      <c r="T18" s="228">
        <f t="shared" si="3"/>
        <v>0</v>
      </c>
      <c r="U18" s="413">
        <f t="shared" si="4"/>
        <v>0</v>
      </c>
      <c r="V18" s="410">
        <f t="shared" si="5"/>
        <v>0</v>
      </c>
      <c r="W18" s="246">
        <f t="shared" si="6"/>
        <v>0</v>
      </c>
      <c r="AA18" s="20" t="s">
        <v>333</v>
      </c>
      <c r="AB18" s="20">
        <v>1367</v>
      </c>
      <c r="AD18" s="20">
        <v>3500</v>
      </c>
      <c r="AE18" s="20">
        <f t="shared" si="9"/>
        <v>3150</v>
      </c>
    </row>
    <row r="19" spans="5:31" ht="18.75" customHeight="1" x14ac:dyDescent="0.25">
      <c r="E19" s="418"/>
      <c r="I19" s="388"/>
      <c r="J19" s="388"/>
      <c r="L19" s="204">
        <f t="shared" si="11"/>
        <v>0</v>
      </c>
      <c r="M19" s="177"/>
      <c r="N19" s="421">
        <f t="shared" si="8"/>
        <v>0</v>
      </c>
      <c r="P19" s="227">
        <f t="shared" si="7"/>
        <v>0</v>
      </c>
      <c r="Q19" s="425"/>
      <c r="R19" s="230">
        <f t="shared" si="12"/>
        <v>0</v>
      </c>
      <c r="S19" s="230">
        <f t="shared" si="13"/>
        <v>0</v>
      </c>
      <c r="T19" s="228">
        <f t="shared" si="3"/>
        <v>0</v>
      </c>
      <c r="U19" s="413">
        <f t="shared" si="4"/>
        <v>0</v>
      </c>
      <c r="V19" s="410">
        <f t="shared" si="5"/>
        <v>0</v>
      </c>
      <c r="W19" s="246">
        <f t="shared" si="6"/>
        <v>0</v>
      </c>
      <c r="AA19" s="20" t="s">
        <v>434</v>
      </c>
      <c r="AD19" s="20">
        <v>2600</v>
      </c>
      <c r="AE19" s="20">
        <f t="shared" si="9"/>
        <v>2340</v>
      </c>
    </row>
    <row r="20" spans="5:31" ht="18.75" customHeight="1" x14ac:dyDescent="0.25">
      <c r="E20" s="418"/>
      <c r="I20" s="388"/>
      <c r="J20" s="388"/>
      <c r="L20" s="204">
        <f t="shared" si="11"/>
        <v>0</v>
      </c>
      <c r="M20" s="177"/>
      <c r="N20" s="421">
        <f t="shared" si="8"/>
        <v>0</v>
      </c>
      <c r="P20" s="227">
        <f t="shared" si="7"/>
        <v>0</v>
      </c>
      <c r="Q20" s="425"/>
      <c r="R20" s="230">
        <f t="shared" si="12"/>
        <v>0</v>
      </c>
      <c r="S20" s="230">
        <f t="shared" si="13"/>
        <v>0</v>
      </c>
      <c r="T20" s="228">
        <f t="shared" si="3"/>
        <v>0</v>
      </c>
      <c r="U20" s="413">
        <f t="shared" si="4"/>
        <v>0</v>
      </c>
      <c r="V20" s="410">
        <f t="shared" si="5"/>
        <v>0</v>
      </c>
      <c r="W20" s="246">
        <f t="shared" si="6"/>
        <v>0</v>
      </c>
      <c r="AA20" s="20" t="s">
        <v>435</v>
      </c>
      <c r="AE20" s="20">
        <f t="shared" si="9"/>
        <v>0</v>
      </c>
    </row>
    <row r="21" spans="5:31" ht="18.75" customHeight="1" x14ac:dyDescent="0.25">
      <c r="E21" s="418"/>
      <c r="I21" s="388"/>
      <c r="J21" s="388"/>
      <c r="L21" s="204">
        <f t="shared" si="11"/>
        <v>0</v>
      </c>
      <c r="M21" s="177"/>
      <c r="N21" s="421">
        <f t="shared" si="8"/>
        <v>0</v>
      </c>
      <c r="P21" s="227">
        <f t="shared" si="7"/>
        <v>0</v>
      </c>
      <c r="Q21" s="425"/>
      <c r="R21" s="230">
        <f t="shared" si="12"/>
        <v>0</v>
      </c>
      <c r="S21" s="230">
        <f t="shared" si="13"/>
        <v>0</v>
      </c>
      <c r="T21" s="228">
        <f t="shared" si="3"/>
        <v>0</v>
      </c>
      <c r="U21" s="413">
        <f t="shared" si="4"/>
        <v>0</v>
      </c>
      <c r="V21" s="410">
        <f t="shared" si="5"/>
        <v>0</v>
      </c>
      <c r="W21" s="246">
        <f t="shared" si="6"/>
        <v>0</v>
      </c>
      <c r="AA21" s="20" t="s">
        <v>439</v>
      </c>
      <c r="AB21" s="20">
        <v>12512</v>
      </c>
      <c r="AD21" s="20">
        <v>31000</v>
      </c>
      <c r="AE21" s="20">
        <f t="shared" si="9"/>
        <v>27900</v>
      </c>
    </row>
    <row r="22" spans="5:31" ht="18.75" customHeight="1" x14ac:dyDescent="0.25">
      <c r="E22" s="418"/>
      <c r="I22" s="388"/>
      <c r="J22" s="388"/>
      <c r="L22" s="204">
        <f t="shared" si="11"/>
        <v>0</v>
      </c>
      <c r="M22" s="177"/>
      <c r="N22" s="421">
        <f t="shared" si="8"/>
        <v>0</v>
      </c>
      <c r="P22" s="227">
        <f t="shared" si="7"/>
        <v>0</v>
      </c>
      <c r="Q22" s="425"/>
      <c r="R22" s="230">
        <f t="shared" si="12"/>
        <v>0</v>
      </c>
      <c r="S22" s="230">
        <f t="shared" si="13"/>
        <v>0</v>
      </c>
      <c r="T22" s="228">
        <f t="shared" si="3"/>
        <v>0</v>
      </c>
      <c r="U22" s="413">
        <f t="shared" si="4"/>
        <v>0</v>
      </c>
      <c r="V22" s="410">
        <f t="shared" si="5"/>
        <v>0</v>
      </c>
      <c r="W22" s="246">
        <f t="shared" si="6"/>
        <v>0</v>
      </c>
      <c r="AA22" s="20" t="s">
        <v>473</v>
      </c>
      <c r="AB22" s="20">
        <v>294</v>
      </c>
      <c r="AD22" s="20">
        <f>AD6-(AD6*0.05)</f>
        <v>627</v>
      </c>
      <c r="AE22" s="20">
        <f>AE6-(AE6*0.05)</f>
        <v>564.29999999999995</v>
      </c>
    </row>
    <row r="23" spans="5:31" ht="18.75" customHeight="1" x14ac:dyDescent="0.25">
      <c r="E23" s="418"/>
      <c r="I23" s="388"/>
      <c r="J23" s="388"/>
      <c r="L23" s="204">
        <f t="shared" si="11"/>
        <v>0</v>
      </c>
      <c r="M23" s="177"/>
      <c r="N23" s="421">
        <f t="shared" si="8"/>
        <v>0</v>
      </c>
      <c r="P23" s="227">
        <f t="shared" si="7"/>
        <v>0</v>
      </c>
      <c r="Q23" s="425"/>
      <c r="R23" s="230">
        <f t="shared" si="12"/>
        <v>0</v>
      </c>
      <c r="S23" s="230">
        <f t="shared" si="13"/>
        <v>0</v>
      </c>
      <c r="T23" s="228">
        <f t="shared" si="3"/>
        <v>0</v>
      </c>
      <c r="U23" s="413">
        <f t="shared" si="4"/>
        <v>0</v>
      </c>
      <c r="V23" s="410">
        <f t="shared" si="5"/>
        <v>0</v>
      </c>
      <c r="W23" s="246">
        <f t="shared" si="6"/>
        <v>0</v>
      </c>
    </row>
    <row r="24" spans="5:31" ht="18.75" customHeight="1" x14ac:dyDescent="0.25">
      <c r="E24" s="418"/>
      <c r="I24" s="388"/>
      <c r="J24" s="388"/>
      <c r="L24" s="204">
        <f t="shared" si="11"/>
        <v>0</v>
      </c>
      <c r="M24" s="177"/>
      <c r="N24" s="421">
        <f t="shared" si="8"/>
        <v>0</v>
      </c>
      <c r="P24" s="227">
        <f t="shared" si="7"/>
        <v>0</v>
      </c>
      <c r="Q24" s="425"/>
      <c r="R24" s="230">
        <f t="shared" si="12"/>
        <v>0</v>
      </c>
      <c r="S24" s="230">
        <f t="shared" si="13"/>
        <v>0</v>
      </c>
      <c r="T24" s="228">
        <f t="shared" si="3"/>
        <v>0</v>
      </c>
      <c r="U24" s="413">
        <f t="shared" si="4"/>
        <v>0</v>
      </c>
      <c r="V24" s="410">
        <f t="shared" si="5"/>
        <v>0</v>
      </c>
      <c r="W24" s="246">
        <f t="shared" si="6"/>
        <v>0</v>
      </c>
    </row>
    <row r="25" spans="5:31" ht="18.75" customHeight="1" x14ac:dyDescent="0.25">
      <c r="E25" s="418"/>
      <c r="I25" s="388"/>
      <c r="J25" s="388"/>
      <c r="L25" s="204">
        <f t="shared" si="11"/>
        <v>0</v>
      </c>
      <c r="M25" s="177"/>
      <c r="N25" s="421">
        <f t="shared" si="8"/>
        <v>0</v>
      </c>
      <c r="P25" s="227">
        <f t="shared" si="7"/>
        <v>0</v>
      </c>
      <c r="Q25" s="425"/>
      <c r="R25" s="230">
        <f t="shared" si="12"/>
        <v>0</v>
      </c>
      <c r="S25" s="230">
        <f t="shared" si="13"/>
        <v>0</v>
      </c>
      <c r="T25" s="228">
        <f t="shared" si="3"/>
        <v>0</v>
      </c>
      <c r="U25" s="413">
        <f t="shared" si="4"/>
        <v>0</v>
      </c>
      <c r="V25" s="410">
        <f t="shared" si="5"/>
        <v>0</v>
      </c>
      <c r="W25" s="246">
        <f t="shared" si="6"/>
        <v>0</v>
      </c>
    </row>
    <row r="26" spans="5:31" ht="18.75" customHeight="1" x14ac:dyDescent="0.25">
      <c r="E26" s="418"/>
      <c r="I26" s="388"/>
      <c r="J26" s="388"/>
      <c r="L26" s="204">
        <f t="shared" si="11"/>
        <v>0</v>
      </c>
      <c r="M26" s="177"/>
      <c r="N26" s="421">
        <f t="shared" si="8"/>
        <v>0</v>
      </c>
      <c r="P26" s="227">
        <f t="shared" si="7"/>
        <v>0</v>
      </c>
      <c r="Q26" s="425"/>
      <c r="R26" s="230">
        <f t="shared" si="12"/>
        <v>0</v>
      </c>
      <c r="S26" s="230">
        <f t="shared" si="13"/>
        <v>0</v>
      </c>
      <c r="T26" s="228">
        <f t="shared" si="3"/>
        <v>0</v>
      </c>
      <c r="U26" s="413">
        <f t="shared" si="4"/>
        <v>0</v>
      </c>
      <c r="V26" s="410">
        <f t="shared" si="5"/>
        <v>0</v>
      </c>
      <c r="W26" s="246">
        <f t="shared" si="6"/>
        <v>0</v>
      </c>
    </row>
    <row r="27" spans="5:31" ht="18.75" customHeight="1" x14ac:dyDescent="0.25">
      <c r="E27" s="418"/>
      <c r="I27" s="388"/>
      <c r="J27" s="388"/>
      <c r="L27" s="204">
        <f t="shared" si="11"/>
        <v>0</v>
      </c>
      <c r="M27" s="177"/>
      <c r="N27" s="421">
        <f t="shared" si="8"/>
        <v>0</v>
      </c>
      <c r="P27" s="227">
        <f t="shared" si="7"/>
        <v>0</v>
      </c>
      <c r="Q27" s="425"/>
      <c r="R27" s="230">
        <f t="shared" si="12"/>
        <v>0</v>
      </c>
      <c r="S27" s="230">
        <f t="shared" si="13"/>
        <v>0</v>
      </c>
      <c r="T27" s="228">
        <f t="shared" si="3"/>
        <v>0</v>
      </c>
      <c r="U27" s="413">
        <f t="shared" si="4"/>
        <v>0</v>
      </c>
      <c r="V27" s="410">
        <f t="shared" si="5"/>
        <v>0</v>
      </c>
      <c r="W27" s="246">
        <f t="shared" si="6"/>
        <v>0</v>
      </c>
    </row>
    <row r="28" spans="5:31" ht="18.75" customHeight="1" x14ac:dyDescent="0.25">
      <c r="E28" s="418"/>
      <c r="I28" s="388"/>
      <c r="J28" s="388"/>
      <c r="L28" s="204">
        <f t="shared" si="11"/>
        <v>0</v>
      </c>
      <c r="M28" s="177"/>
      <c r="N28" s="421">
        <f t="shared" si="8"/>
        <v>0</v>
      </c>
      <c r="P28" s="227">
        <f t="shared" si="7"/>
        <v>0</v>
      </c>
      <c r="Q28" s="425"/>
      <c r="R28" s="230">
        <f t="shared" si="12"/>
        <v>0</v>
      </c>
      <c r="S28" s="230">
        <f t="shared" si="13"/>
        <v>0</v>
      </c>
      <c r="T28" s="228">
        <f t="shared" si="3"/>
        <v>0</v>
      </c>
      <c r="U28" s="413">
        <f t="shared" si="4"/>
        <v>0</v>
      </c>
      <c r="V28" s="410">
        <f t="shared" si="5"/>
        <v>0</v>
      </c>
      <c r="W28" s="246">
        <f t="shared" si="6"/>
        <v>0</v>
      </c>
    </row>
    <row r="29" spans="5:31" ht="18.75" customHeight="1" x14ac:dyDescent="0.35">
      <c r="L29" s="204">
        <f t="shared" si="11"/>
        <v>0</v>
      </c>
      <c r="M29" s="177"/>
      <c r="N29" s="421">
        <f t="shared" si="8"/>
        <v>0</v>
      </c>
      <c r="P29" s="227">
        <f t="shared" si="7"/>
        <v>0</v>
      </c>
      <c r="R29" s="230">
        <f t="shared" si="12"/>
        <v>0</v>
      </c>
      <c r="S29" s="230">
        <f t="shared" si="13"/>
        <v>0</v>
      </c>
      <c r="T29" s="228">
        <f t="shared" si="3"/>
        <v>0</v>
      </c>
      <c r="U29" s="413">
        <f t="shared" si="4"/>
        <v>0</v>
      </c>
      <c r="V29" s="410">
        <f t="shared" si="5"/>
        <v>0</v>
      </c>
      <c r="W29" s="246">
        <f t="shared" si="6"/>
        <v>0</v>
      </c>
    </row>
    <row r="30" spans="5:31" ht="18.75" customHeight="1" x14ac:dyDescent="0.35">
      <c r="L30" s="204">
        <f t="shared" si="11"/>
        <v>0</v>
      </c>
      <c r="M30" s="177"/>
      <c r="N30" s="421">
        <f t="shared" si="8"/>
        <v>0</v>
      </c>
      <c r="P30" s="227">
        <f t="shared" si="7"/>
        <v>0</v>
      </c>
      <c r="R30" s="230">
        <f t="shared" si="12"/>
        <v>0</v>
      </c>
      <c r="S30" s="230">
        <f t="shared" si="13"/>
        <v>0</v>
      </c>
      <c r="T30" s="228">
        <f t="shared" si="3"/>
        <v>0</v>
      </c>
      <c r="U30" s="413">
        <f t="shared" si="4"/>
        <v>0</v>
      </c>
      <c r="V30" s="410">
        <f t="shared" si="5"/>
        <v>0</v>
      </c>
      <c r="W30" s="246">
        <f t="shared" si="6"/>
        <v>0</v>
      </c>
    </row>
    <row r="31" spans="5:31" ht="27.75" customHeight="1" x14ac:dyDescent="0.35">
      <c r="L31" s="204">
        <f t="shared" si="11"/>
        <v>0</v>
      </c>
      <c r="M31" s="177"/>
      <c r="N31" s="421">
        <f t="shared" si="8"/>
        <v>0</v>
      </c>
      <c r="P31" s="227">
        <f t="shared" si="7"/>
        <v>0</v>
      </c>
      <c r="R31" s="230">
        <f t="shared" si="12"/>
        <v>0</v>
      </c>
      <c r="S31" s="230">
        <f t="shared" si="13"/>
        <v>0</v>
      </c>
      <c r="T31" s="228">
        <f t="shared" si="3"/>
        <v>0</v>
      </c>
      <c r="U31" s="413">
        <f t="shared" si="4"/>
        <v>0</v>
      </c>
      <c r="V31" s="410">
        <f t="shared" si="5"/>
        <v>0</v>
      </c>
      <c r="W31" s="246">
        <f t="shared" si="6"/>
        <v>0</v>
      </c>
    </row>
    <row r="32" spans="5:31" ht="18.75" customHeight="1" x14ac:dyDescent="0.35">
      <c r="L32" s="204">
        <f t="shared" si="11"/>
        <v>0</v>
      </c>
      <c r="M32" s="177"/>
      <c r="N32" s="421">
        <f t="shared" si="8"/>
        <v>0</v>
      </c>
      <c r="P32" s="227">
        <f t="shared" si="7"/>
        <v>0</v>
      </c>
      <c r="R32" s="230">
        <f t="shared" si="12"/>
        <v>0</v>
      </c>
      <c r="S32" s="230">
        <f t="shared" si="13"/>
        <v>0</v>
      </c>
      <c r="T32" s="228">
        <f t="shared" si="3"/>
        <v>0</v>
      </c>
      <c r="U32" s="413">
        <f t="shared" si="4"/>
        <v>0</v>
      </c>
      <c r="V32" s="410">
        <f t="shared" si="5"/>
        <v>0</v>
      </c>
      <c r="W32" s="246">
        <f t="shared" si="6"/>
        <v>0</v>
      </c>
    </row>
    <row r="33" spans="3:23" ht="18.75" customHeight="1" x14ac:dyDescent="0.35">
      <c r="L33" s="204">
        <f t="shared" si="11"/>
        <v>0</v>
      </c>
      <c r="M33" s="177"/>
      <c r="N33" s="421">
        <f t="shared" si="8"/>
        <v>0</v>
      </c>
      <c r="P33" s="227">
        <f t="shared" si="7"/>
        <v>0</v>
      </c>
      <c r="R33" s="230">
        <f t="shared" si="12"/>
        <v>0</v>
      </c>
      <c r="S33" s="230">
        <f t="shared" si="13"/>
        <v>0</v>
      </c>
      <c r="T33" s="228">
        <f t="shared" si="3"/>
        <v>0</v>
      </c>
      <c r="U33" s="413">
        <f t="shared" si="4"/>
        <v>0</v>
      </c>
      <c r="V33" s="410">
        <f t="shared" si="5"/>
        <v>0</v>
      </c>
      <c r="W33" s="246">
        <f t="shared" si="6"/>
        <v>0</v>
      </c>
    </row>
    <row r="34" spans="3:23" ht="18.75" customHeight="1" x14ac:dyDescent="0.35">
      <c r="L34" s="204">
        <f t="shared" si="11"/>
        <v>0</v>
      </c>
      <c r="M34" s="177"/>
      <c r="N34" s="421">
        <f t="shared" si="8"/>
        <v>0</v>
      </c>
      <c r="P34" s="227">
        <f t="shared" si="7"/>
        <v>0</v>
      </c>
      <c r="R34" s="230">
        <f t="shared" si="12"/>
        <v>0</v>
      </c>
      <c r="S34" s="230">
        <f t="shared" si="13"/>
        <v>0</v>
      </c>
      <c r="T34" s="228">
        <f t="shared" si="3"/>
        <v>0</v>
      </c>
      <c r="U34" s="413">
        <f t="shared" si="4"/>
        <v>0</v>
      </c>
      <c r="V34" s="410">
        <f t="shared" si="5"/>
        <v>0</v>
      </c>
      <c r="W34" s="246">
        <f t="shared" si="6"/>
        <v>0</v>
      </c>
    </row>
    <row r="35" spans="3:23" ht="18.75" customHeight="1" x14ac:dyDescent="0.35">
      <c r="C35" s="20" t="s">
        <v>287</v>
      </c>
      <c r="L35" s="204">
        <f t="shared" si="11"/>
        <v>0</v>
      </c>
      <c r="N35" s="421">
        <f t="shared" si="8"/>
        <v>0</v>
      </c>
      <c r="P35" s="227">
        <f t="shared" si="7"/>
        <v>0</v>
      </c>
      <c r="R35" s="230">
        <f t="shared" si="12"/>
        <v>0</v>
      </c>
      <c r="S35" s="230">
        <f t="shared" si="13"/>
        <v>0</v>
      </c>
      <c r="T35" s="228">
        <f t="shared" si="3"/>
        <v>0</v>
      </c>
      <c r="U35" s="413">
        <f t="shared" si="4"/>
        <v>0</v>
      </c>
      <c r="V35" s="410">
        <f t="shared" si="5"/>
        <v>0</v>
      </c>
      <c r="W35" s="246">
        <f t="shared" si="6"/>
        <v>0</v>
      </c>
    </row>
    <row r="36" spans="3:23" ht="18.75" customHeight="1" x14ac:dyDescent="0.35">
      <c r="C36" s="20" t="s">
        <v>287</v>
      </c>
      <c r="L36" s="204">
        <f t="shared" si="11"/>
        <v>0</v>
      </c>
      <c r="N36" s="421">
        <f t="shared" si="8"/>
        <v>0</v>
      </c>
      <c r="P36" s="227">
        <f t="shared" si="7"/>
        <v>0</v>
      </c>
      <c r="R36" s="230">
        <f t="shared" si="12"/>
        <v>0</v>
      </c>
      <c r="S36" s="230">
        <f t="shared" si="13"/>
        <v>0</v>
      </c>
      <c r="T36" s="228">
        <f t="shared" si="3"/>
        <v>0</v>
      </c>
      <c r="U36" s="413">
        <f t="shared" si="4"/>
        <v>0</v>
      </c>
      <c r="V36" s="410">
        <f t="shared" si="5"/>
        <v>0</v>
      </c>
      <c r="W36" s="246">
        <f t="shared" si="6"/>
        <v>0</v>
      </c>
    </row>
    <row r="37" spans="3:23" ht="18.75" customHeight="1" x14ac:dyDescent="0.35">
      <c r="C37" s="20" t="s">
        <v>287</v>
      </c>
      <c r="L37" s="204">
        <f t="shared" si="11"/>
        <v>0</v>
      </c>
      <c r="N37" s="421">
        <f t="shared" si="8"/>
        <v>0</v>
      </c>
      <c r="P37" s="227">
        <f t="shared" si="7"/>
        <v>0</v>
      </c>
      <c r="R37" s="230">
        <f t="shared" si="12"/>
        <v>0</v>
      </c>
      <c r="S37" s="230">
        <f t="shared" si="13"/>
        <v>0</v>
      </c>
      <c r="T37" s="228">
        <f t="shared" si="3"/>
        <v>0</v>
      </c>
      <c r="U37" s="413">
        <f t="shared" si="4"/>
        <v>0</v>
      </c>
      <c r="V37" s="410">
        <f t="shared" si="5"/>
        <v>0</v>
      </c>
      <c r="W37" s="246">
        <f t="shared" si="6"/>
        <v>0</v>
      </c>
    </row>
    <row r="38" spans="3:23" ht="18.75" customHeight="1" x14ac:dyDescent="0.35">
      <c r="C38" s="20" t="s">
        <v>287</v>
      </c>
      <c r="L38" s="204">
        <f t="shared" si="11"/>
        <v>0</v>
      </c>
      <c r="N38" s="421">
        <f t="shared" si="8"/>
        <v>0</v>
      </c>
      <c r="P38" s="227">
        <f t="shared" si="7"/>
        <v>0</v>
      </c>
      <c r="R38" s="230">
        <f t="shared" si="12"/>
        <v>0</v>
      </c>
      <c r="S38" s="230">
        <f t="shared" si="13"/>
        <v>0</v>
      </c>
      <c r="T38" s="228">
        <f t="shared" si="3"/>
        <v>0</v>
      </c>
      <c r="U38" s="413">
        <f t="shared" si="4"/>
        <v>0</v>
      </c>
      <c r="V38" s="410">
        <f t="shared" si="5"/>
        <v>0</v>
      </c>
      <c r="W38" s="246">
        <f t="shared" si="6"/>
        <v>0</v>
      </c>
    </row>
    <row r="39" spans="3:23" ht="18.75" customHeight="1" x14ac:dyDescent="0.35">
      <c r="C39" s="20" t="s">
        <v>287</v>
      </c>
      <c r="L39" s="204">
        <f t="shared" si="11"/>
        <v>0</v>
      </c>
      <c r="N39" s="421">
        <f t="shared" si="8"/>
        <v>0</v>
      </c>
      <c r="P39" s="227">
        <f t="shared" si="7"/>
        <v>0</v>
      </c>
      <c r="R39" s="230">
        <f t="shared" si="12"/>
        <v>0</v>
      </c>
      <c r="S39" s="230">
        <f t="shared" si="13"/>
        <v>0</v>
      </c>
      <c r="T39" s="228">
        <f t="shared" si="3"/>
        <v>0</v>
      </c>
      <c r="U39" s="413">
        <f t="shared" si="4"/>
        <v>0</v>
      </c>
      <c r="V39" s="410">
        <f t="shared" si="5"/>
        <v>0</v>
      </c>
      <c r="W39" s="246">
        <f t="shared" si="6"/>
        <v>0</v>
      </c>
    </row>
    <row r="40" spans="3:23" ht="18.75" customHeight="1" x14ac:dyDescent="0.35">
      <c r="C40" s="20" t="s">
        <v>287</v>
      </c>
      <c r="L40" s="204">
        <f t="shared" si="11"/>
        <v>0</v>
      </c>
      <c r="N40" s="421">
        <f t="shared" si="8"/>
        <v>0</v>
      </c>
      <c r="P40" s="227">
        <f t="shared" si="7"/>
        <v>0</v>
      </c>
      <c r="R40" s="230">
        <f t="shared" si="12"/>
        <v>0</v>
      </c>
      <c r="S40" s="230">
        <f t="shared" si="13"/>
        <v>0</v>
      </c>
      <c r="T40" s="228">
        <f t="shared" si="3"/>
        <v>0</v>
      </c>
      <c r="U40" s="413">
        <f t="shared" si="4"/>
        <v>0</v>
      </c>
      <c r="V40" s="410">
        <f t="shared" si="5"/>
        <v>0</v>
      </c>
      <c r="W40" s="246">
        <f t="shared" si="6"/>
        <v>0</v>
      </c>
    </row>
    <row r="41" spans="3:23" ht="18.75" customHeight="1" x14ac:dyDescent="0.35">
      <c r="C41" s="20" t="s">
        <v>287</v>
      </c>
      <c r="L41" s="204">
        <f t="shared" si="11"/>
        <v>0</v>
      </c>
      <c r="N41" s="421">
        <f t="shared" si="8"/>
        <v>0</v>
      </c>
      <c r="P41" s="227">
        <f t="shared" si="7"/>
        <v>0</v>
      </c>
      <c r="R41" s="230">
        <f t="shared" si="12"/>
        <v>0</v>
      </c>
      <c r="S41" s="230">
        <f t="shared" si="13"/>
        <v>0</v>
      </c>
      <c r="T41" s="228">
        <f t="shared" si="3"/>
        <v>0</v>
      </c>
      <c r="U41" s="413">
        <f t="shared" si="4"/>
        <v>0</v>
      </c>
      <c r="V41" s="410">
        <f t="shared" si="5"/>
        <v>0</v>
      </c>
      <c r="W41" s="246">
        <f t="shared" si="6"/>
        <v>0</v>
      </c>
    </row>
    <row r="42" spans="3:23" ht="18.75" customHeight="1" x14ac:dyDescent="0.35">
      <c r="C42" s="20" t="s">
        <v>287</v>
      </c>
      <c r="L42" s="204">
        <f t="shared" si="11"/>
        <v>0</v>
      </c>
      <c r="N42" s="421">
        <f t="shared" si="8"/>
        <v>0</v>
      </c>
      <c r="P42" s="227">
        <f t="shared" si="7"/>
        <v>0</v>
      </c>
      <c r="R42" s="230">
        <f t="shared" si="12"/>
        <v>0</v>
      </c>
      <c r="S42" s="230">
        <f t="shared" si="13"/>
        <v>0</v>
      </c>
      <c r="T42" s="228">
        <f t="shared" si="3"/>
        <v>0</v>
      </c>
      <c r="U42" s="413">
        <f t="shared" si="4"/>
        <v>0</v>
      </c>
      <c r="V42" s="410">
        <f t="shared" si="5"/>
        <v>0</v>
      </c>
      <c r="W42" s="246">
        <f t="shared" si="6"/>
        <v>0</v>
      </c>
    </row>
    <row r="43" spans="3:23" ht="18.75" customHeight="1" x14ac:dyDescent="0.35">
      <c r="C43" s="20" t="s">
        <v>287</v>
      </c>
      <c r="L43" s="204">
        <f t="shared" si="11"/>
        <v>0</v>
      </c>
      <c r="N43" s="421">
        <f t="shared" si="8"/>
        <v>0</v>
      </c>
      <c r="P43" s="227">
        <f t="shared" si="7"/>
        <v>0</v>
      </c>
      <c r="R43" s="230">
        <f t="shared" si="12"/>
        <v>0</v>
      </c>
      <c r="S43" s="230">
        <f t="shared" si="13"/>
        <v>0</v>
      </c>
      <c r="T43" s="228">
        <f t="shared" si="3"/>
        <v>0</v>
      </c>
      <c r="U43" s="413">
        <f t="shared" si="4"/>
        <v>0</v>
      </c>
      <c r="V43" s="410">
        <f t="shared" si="5"/>
        <v>0</v>
      </c>
      <c r="W43" s="246">
        <f t="shared" si="6"/>
        <v>0</v>
      </c>
    </row>
    <row r="44" spans="3:23" ht="18.75" customHeight="1" x14ac:dyDescent="0.35">
      <c r="C44" s="20" t="s">
        <v>287</v>
      </c>
      <c r="L44" s="204">
        <f t="shared" si="11"/>
        <v>0</v>
      </c>
      <c r="N44" s="421">
        <f t="shared" si="8"/>
        <v>0</v>
      </c>
      <c r="P44" s="227">
        <f t="shared" si="7"/>
        <v>0</v>
      </c>
      <c r="R44" s="230">
        <f t="shared" si="12"/>
        <v>0</v>
      </c>
      <c r="S44" s="230">
        <f t="shared" si="13"/>
        <v>0</v>
      </c>
      <c r="T44" s="228">
        <f t="shared" si="3"/>
        <v>0</v>
      </c>
      <c r="U44" s="413">
        <f t="shared" si="4"/>
        <v>0</v>
      </c>
      <c r="V44" s="410">
        <f t="shared" si="5"/>
        <v>0</v>
      </c>
      <c r="W44" s="246">
        <f t="shared" si="6"/>
        <v>0</v>
      </c>
    </row>
    <row r="45" spans="3:23" ht="18.75" customHeight="1" x14ac:dyDescent="0.35">
      <c r="C45" s="20" t="s">
        <v>287</v>
      </c>
      <c r="L45" s="204">
        <f t="shared" si="11"/>
        <v>0</v>
      </c>
      <c r="N45" s="421">
        <f t="shared" si="8"/>
        <v>0</v>
      </c>
      <c r="P45" s="227">
        <f t="shared" si="7"/>
        <v>0</v>
      </c>
      <c r="R45" s="230">
        <f t="shared" si="12"/>
        <v>0</v>
      </c>
      <c r="S45" s="230">
        <f t="shared" si="13"/>
        <v>0</v>
      </c>
      <c r="T45" s="228">
        <f t="shared" si="3"/>
        <v>0</v>
      </c>
      <c r="U45" s="413">
        <f t="shared" si="4"/>
        <v>0</v>
      </c>
      <c r="V45" s="410">
        <f t="shared" si="5"/>
        <v>0</v>
      </c>
      <c r="W45" s="246">
        <f t="shared" si="6"/>
        <v>0</v>
      </c>
    </row>
    <row r="46" spans="3:23" ht="18.75" customHeight="1" x14ac:dyDescent="0.35">
      <c r="C46" s="20" t="s">
        <v>287</v>
      </c>
      <c r="L46" s="204">
        <f t="shared" si="11"/>
        <v>0</v>
      </c>
      <c r="N46" s="421">
        <f t="shared" si="8"/>
        <v>0</v>
      </c>
      <c r="P46" s="227">
        <f t="shared" si="7"/>
        <v>0</v>
      </c>
      <c r="R46" s="230">
        <f t="shared" si="12"/>
        <v>0</v>
      </c>
      <c r="S46" s="230">
        <f t="shared" si="13"/>
        <v>0</v>
      </c>
      <c r="T46" s="228">
        <f t="shared" si="3"/>
        <v>0</v>
      </c>
      <c r="U46" s="413">
        <f t="shared" si="4"/>
        <v>0</v>
      </c>
      <c r="V46" s="410">
        <f t="shared" si="5"/>
        <v>0</v>
      </c>
      <c r="W46" s="246">
        <f t="shared" si="6"/>
        <v>0</v>
      </c>
    </row>
    <row r="47" spans="3:23" ht="18.75" customHeight="1" x14ac:dyDescent="0.35">
      <c r="C47" s="20" t="s">
        <v>287</v>
      </c>
      <c r="L47" s="204">
        <f t="shared" si="11"/>
        <v>0</v>
      </c>
      <c r="N47" s="421">
        <f t="shared" si="8"/>
        <v>0</v>
      </c>
      <c r="P47" s="227">
        <f t="shared" si="7"/>
        <v>0</v>
      </c>
      <c r="R47" s="230">
        <f t="shared" si="12"/>
        <v>0</v>
      </c>
      <c r="S47" s="230">
        <f t="shared" si="13"/>
        <v>0</v>
      </c>
      <c r="T47" s="228">
        <f t="shared" si="3"/>
        <v>0</v>
      </c>
      <c r="U47" s="413">
        <f t="shared" si="4"/>
        <v>0</v>
      </c>
      <c r="V47" s="410">
        <f t="shared" si="5"/>
        <v>0</v>
      </c>
      <c r="W47" s="246">
        <f t="shared" si="6"/>
        <v>0</v>
      </c>
    </row>
    <row r="48" spans="3:23" ht="18.75" customHeight="1" x14ac:dyDescent="0.35">
      <c r="C48" s="20" t="s">
        <v>287</v>
      </c>
      <c r="L48" s="204">
        <f t="shared" si="11"/>
        <v>0</v>
      </c>
      <c r="N48" s="421">
        <f t="shared" si="8"/>
        <v>0</v>
      </c>
      <c r="P48" s="227">
        <f t="shared" si="7"/>
        <v>0</v>
      </c>
      <c r="R48" s="230">
        <f t="shared" si="12"/>
        <v>0</v>
      </c>
      <c r="S48" s="230">
        <f t="shared" si="13"/>
        <v>0</v>
      </c>
      <c r="T48" s="228">
        <f t="shared" si="3"/>
        <v>0</v>
      </c>
      <c r="U48" s="413">
        <f t="shared" si="4"/>
        <v>0</v>
      </c>
      <c r="V48" s="410">
        <f t="shared" si="5"/>
        <v>0</v>
      </c>
      <c r="W48" s="246">
        <f t="shared" si="6"/>
        <v>0</v>
      </c>
    </row>
    <row r="49" spans="3:23" ht="18.75" customHeight="1" x14ac:dyDescent="0.35">
      <c r="C49" s="20" t="s">
        <v>287</v>
      </c>
      <c r="L49" s="204">
        <f t="shared" si="11"/>
        <v>0</v>
      </c>
      <c r="N49" s="421">
        <f t="shared" si="8"/>
        <v>0</v>
      </c>
      <c r="P49" s="227">
        <f t="shared" si="7"/>
        <v>0</v>
      </c>
      <c r="R49" s="230">
        <f t="shared" si="12"/>
        <v>0</v>
      </c>
      <c r="S49" s="230">
        <f t="shared" si="13"/>
        <v>0</v>
      </c>
      <c r="T49" s="228">
        <f t="shared" si="3"/>
        <v>0</v>
      </c>
      <c r="U49" s="413">
        <f t="shared" si="4"/>
        <v>0</v>
      </c>
      <c r="V49" s="410">
        <f t="shared" si="5"/>
        <v>0</v>
      </c>
      <c r="W49" s="246">
        <f t="shared" si="6"/>
        <v>0</v>
      </c>
    </row>
    <row r="50" spans="3:23" ht="18.75" customHeight="1" x14ac:dyDescent="0.35">
      <c r="C50" s="20" t="s">
        <v>287</v>
      </c>
      <c r="L50" s="204">
        <f t="shared" si="11"/>
        <v>0</v>
      </c>
      <c r="N50" s="421">
        <f t="shared" si="8"/>
        <v>0</v>
      </c>
      <c r="P50" s="227">
        <f t="shared" si="7"/>
        <v>0</v>
      </c>
      <c r="R50" s="230">
        <f t="shared" si="12"/>
        <v>0</v>
      </c>
      <c r="S50" s="230">
        <f t="shared" si="13"/>
        <v>0</v>
      </c>
      <c r="T50" s="228">
        <f t="shared" si="3"/>
        <v>0</v>
      </c>
      <c r="U50" s="413">
        <f t="shared" si="4"/>
        <v>0</v>
      </c>
      <c r="V50" s="410">
        <f t="shared" si="5"/>
        <v>0</v>
      </c>
      <c r="W50" s="246">
        <f t="shared" si="6"/>
        <v>0</v>
      </c>
    </row>
    <row r="51" spans="3:23" ht="18.75" customHeight="1" x14ac:dyDescent="0.35">
      <c r="C51" s="20" t="s">
        <v>287</v>
      </c>
      <c r="L51" s="204">
        <f t="shared" si="11"/>
        <v>0</v>
      </c>
      <c r="N51" s="421">
        <f t="shared" si="8"/>
        <v>0</v>
      </c>
      <c r="P51" s="227">
        <f t="shared" si="7"/>
        <v>0</v>
      </c>
      <c r="R51" s="230">
        <f t="shared" si="12"/>
        <v>0</v>
      </c>
      <c r="S51" s="230">
        <f t="shared" si="13"/>
        <v>0</v>
      </c>
      <c r="T51" s="228">
        <f t="shared" si="3"/>
        <v>0</v>
      </c>
      <c r="U51" s="413">
        <f t="shared" si="4"/>
        <v>0</v>
      </c>
      <c r="V51" s="410">
        <f t="shared" si="5"/>
        <v>0</v>
      </c>
      <c r="W51" s="246">
        <f t="shared" si="6"/>
        <v>0</v>
      </c>
    </row>
    <row r="52" spans="3:23" ht="18.75" customHeight="1" x14ac:dyDescent="0.35">
      <c r="C52" s="20" t="s">
        <v>287</v>
      </c>
      <c r="L52" s="204">
        <f t="shared" si="11"/>
        <v>0</v>
      </c>
      <c r="N52" s="421">
        <f t="shared" si="8"/>
        <v>0</v>
      </c>
      <c r="P52" s="227">
        <f t="shared" si="7"/>
        <v>0</v>
      </c>
      <c r="R52" s="230">
        <f t="shared" si="12"/>
        <v>0</v>
      </c>
      <c r="S52" s="230">
        <f t="shared" si="13"/>
        <v>0</v>
      </c>
      <c r="T52" s="228">
        <f t="shared" si="3"/>
        <v>0</v>
      </c>
      <c r="U52" s="413">
        <f t="shared" si="4"/>
        <v>0</v>
      </c>
      <c r="V52" s="410">
        <f t="shared" si="5"/>
        <v>0</v>
      </c>
      <c r="W52" s="246">
        <f t="shared" si="6"/>
        <v>0</v>
      </c>
    </row>
    <row r="53" spans="3:23" ht="18.75" customHeight="1" x14ac:dyDescent="0.35">
      <c r="C53" s="20" t="s">
        <v>287</v>
      </c>
      <c r="L53" s="204">
        <f t="shared" si="11"/>
        <v>0</v>
      </c>
      <c r="N53" s="421">
        <f t="shared" si="8"/>
        <v>0</v>
      </c>
      <c r="P53" s="227">
        <f t="shared" si="7"/>
        <v>0</v>
      </c>
      <c r="R53" s="230">
        <f t="shared" si="12"/>
        <v>0</v>
      </c>
      <c r="S53" s="230">
        <f t="shared" si="13"/>
        <v>0</v>
      </c>
      <c r="T53" s="228">
        <f t="shared" si="3"/>
        <v>0</v>
      </c>
      <c r="U53" s="413">
        <f t="shared" si="4"/>
        <v>0</v>
      </c>
      <c r="V53" s="410">
        <f t="shared" si="5"/>
        <v>0</v>
      </c>
      <c r="W53" s="246">
        <f t="shared" si="6"/>
        <v>0</v>
      </c>
    </row>
    <row r="54" spans="3:23" ht="18.75" customHeight="1" x14ac:dyDescent="0.35">
      <c r="C54" s="20" t="s">
        <v>287</v>
      </c>
      <c r="L54" s="204">
        <f t="shared" si="11"/>
        <v>0</v>
      </c>
      <c r="N54" s="421">
        <f t="shared" si="8"/>
        <v>0</v>
      </c>
      <c r="P54" s="227">
        <f t="shared" si="7"/>
        <v>0</v>
      </c>
      <c r="R54" s="230">
        <f t="shared" si="12"/>
        <v>0</v>
      </c>
      <c r="S54" s="230">
        <f t="shared" si="13"/>
        <v>0</v>
      </c>
      <c r="T54" s="228">
        <f t="shared" si="3"/>
        <v>0</v>
      </c>
      <c r="U54" s="413">
        <f t="shared" si="4"/>
        <v>0</v>
      </c>
      <c r="V54" s="410">
        <f t="shared" si="5"/>
        <v>0</v>
      </c>
      <c r="W54" s="246">
        <f t="shared" si="6"/>
        <v>0</v>
      </c>
    </row>
    <row r="55" spans="3:23" ht="18.75" customHeight="1" x14ac:dyDescent="0.35">
      <c r="C55" s="20" t="s">
        <v>287</v>
      </c>
      <c r="L55" s="204">
        <f t="shared" si="11"/>
        <v>0</v>
      </c>
      <c r="N55" s="421">
        <f t="shared" si="8"/>
        <v>0</v>
      </c>
      <c r="P55" s="227">
        <f t="shared" si="7"/>
        <v>0</v>
      </c>
      <c r="R55" s="230">
        <f t="shared" si="12"/>
        <v>0</v>
      </c>
      <c r="S55" s="230">
        <f t="shared" si="13"/>
        <v>0</v>
      </c>
      <c r="T55" s="228">
        <f t="shared" si="3"/>
        <v>0</v>
      </c>
      <c r="U55" s="413">
        <f t="shared" si="4"/>
        <v>0</v>
      </c>
      <c r="V55" s="410">
        <f t="shared" si="5"/>
        <v>0</v>
      </c>
      <c r="W55" s="246">
        <f t="shared" si="6"/>
        <v>0</v>
      </c>
    </row>
    <row r="56" spans="3:23" ht="18.75" customHeight="1" x14ac:dyDescent="0.35">
      <c r="C56" s="20" t="s">
        <v>287</v>
      </c>
      <c r="L56" s="204">
        <f t="shared" si="11"/>
        <v>0</v>
      </c>
      <c r="N56" s="421">
        <f t="shared" si="8"/>
        <v>0</v>
      </c>
      <c r="P56" s="227">
        <f t="shared" si="7"/>
        <v>0</v>
      </c>
      <c r="R56" s="230">
        <f t="shared" si="12"/>
        <v>0</v>
      </c>
      <c r="S56" s="230">
        <f t="shared" si="13"/>
        <v>0</v>
      </c>
      <c r="T56" s="228">
        <f t="shared" si="3"/>
        <v>0</v>
      </c>
      <c r="U56" s="413">
        <f t="shared" si="4"/>
        <v>0</v>
      </c>
      <c r="V56" s="410">
        <f t="shared" si="5"/>
        <v>0</v>
      </c>
      <c r="W56" s="246">
        <f t="shared" si="6"/>
        <v>0</v>
      </c>
    </row>
    <row r="57" spans="3:23" ht="18.75" customHeight="1" x14ac:dyDescent="0.35">
      <c r="C57" s="20" t="s">
        <v>287</v>
      </c>
      <c r="L57" s="204">
        <f t="shared" si="11"/>
        <v>0</v>
      </c>
      <c r="N57" s="421">
        <f t="shared" si="8"/>
        <v>0</v>
      </c>
      <c r="P57" s="227">
        <f t="shared" si="7"/>
        <v>0</v>
      </c>
      <c r="R57" s="230">
        <f t="shared" si="12"/>
        <v>0</v>
      </c>
      <c r="S57" s="230">
        <f t="shared" si="13"/>
        <v>0</v>
      </c>
      <c r="T57" s="228">
        <f t="shared" si="3"/>
        <v>0</v>
      </c>
      <c r="U57" s="413">
        <f t="shared" si="4"/>
        <v>0</v>
      </c>
      <c r="V57" s="410">
        <f t="shared" si="5"/>
        <v>0</v>
      </c>
      <c r="W57" s="246">
        <f t="shared" si="6"/>
        <v>0</v>
      </c>
    </row>
    <row r="58" spans="3:23" ht="18.75" customHeight="1" x14ac:dyDescent="0.35">
      <c r="C58" s="20" t="s">
        <v>287</v>
      </c>
      <c r="L58" s="204">
        <f t="shared" si="11"/>
        <v>0</v>
      </c>
      <c r="N58" s="421">
        <f t="shared" si="8"/>
        <v>0</v>
      </c>
      <c r="P58" s="227">
        <f t="shared" si="7"/>
        <v>0</v>
      </c>
      <c r="R58" s="230">
        <f t="shared" si="12"/>
        <v>0</v>
      </c>
      <c r="S58" s="230">
        <f t="shared" si="13"/>
        <v>0</v>
      </c>
      <c r="T58" s="228">
        <f t="shared" si="3"/>
        <v>0</v>
      </c>
      <c r="U58" s="413">
        <f t="shared" si="4"/>
        <v>0</v>
      </c>
      <c r="V58" s="410">
        <f t="shared" si="5"/>
        <v>0</v>
      </c>
      <c r="W58" s="246">
        <f t="shared" si="6"/>
        <v>0</v>
      </c>
    </row>
    <row r="59" spans="3:23" ht="18.75" customHeight="1" x14ac:dyDescent="0.35">
      <c r="C59" s="20" t="s">
        <v>287</v>
      </c>
      <c r="L59" s="204">
        <f t="shared" si="11"/>
        <v>0</v>
      </c>
      <c r="N59" s="421">
        <f t="shared" si="8"/>
        <v>0</v>
      </c>
      <c r="P59" s="227">
        <f t="shared" si="7"/>
        <v>0</v>
      </c>
      <c r="R59" s="230">
        <f t="shared" si="12"/>
        <v>0</v>
      </c>
      <c r="S59" s="230">
        <f t="shared" si="13"/>
        <v>0</v>
      </c>
      <c r="T59" s="228">
        <f t="shared" si="3"/>
        <v>0</v>
      </c>
      <c r="U59" s="413">
        <f t="shared" si="4"/>
        <v>0</v>
      </c>
      <c r="V59" s="410">
        <f t="shared" si="5"/>
        <v>0</v>
      </c>
      <c r="W59" s="246">
        <f t="shared" si="6"/>
        <v>0</v>
      </c>
    </row>
    <row r="60" spans="3:23" ht="18.75" customHeight="1" x14ac:dyDescent="0.35">
      <c r="C60" s="20" t="s">
        <v>287</v>
      </c>
      <c r="L60" s="204">
        <f t="shared" si="11"/>
        <v>0</v>
      </c>
      <c r="N60" s="421">
        <f t="shared" si="8"/>
        <v>0</v>
      </c>
      <c r="P60" s="227">
        <f t="shared" si="7"/>
        <v>0</v>
      </c>
      <c r="R60" s="230">
        <f t="shared" si="12"/>
        <v>0</v>
      </c>
      <c r="S60" s="230">
        <f t="shared" si="13"/>
        <v>0</v>
      </c>
      <c r="T60" s="228">
        <f t="shared" si="3"/>
        <v>0</v>
      </c>
      <c r="U60" s="413">
        <f t="shared" si="4"/>
        <v>0</v>
      </c>
      <c r="V60" s="410">
        <f t="shared" si="5"/>
        <v>0</v>
      </c>
      <c r="W60" s="246">
        <f t="shared" si="6"/>
        <v>0</v>
      </c>
    </row>
    <row r="61" spans="3:23" ht="18.75" customHeight="1" x14ac:dyDescent="0.35">
      <c r="C61" s="20" t="s">
        <v>287</v>
      </c>
      <c r="L61" s="204">
        <f t="shared" si="11"/>
        <v>0</v>
      </c>
      <c r="N61" s="421">
        <f t="shared" si="8"/>
        <v>0</v>
      </c>
      <c r="P61" s="227">
        <f t="shared" si="7"/>
        <v>0</v>
      </c>
      <c r="R61" s="230">
        <f t="shared" si="12"/>
        <v>0</v>
      </c>
      <c r="S61" s="230">
        <f t="shared" si="13"/>
        <v>0</v>
      </c>
      <c r="T61" s="228">
        <f t="shared" si="3"/>
        <v>0</v>
      </c>
      <c r="U61" s="413">
        <f t="shared" si="4"/>
        <v>0</v>
      </c>
      <c r="V61" s="410">
        <f t="shared" si="5"/>
        <v>0</v>
      </c>
      <c r="W61" s="246">
        <f t="shared" si="6"/>
        <v>0</v>
      </c>
    </row>
    <row r="62" spans="3:23" ht="18.75" customHeight="1" x14ac:dyDescent="0.35">
      <c r="C62" s="20" t="s">
        <v>287</v>
      </c>
      <c r="L62" s="204">
        <f t="shared" si="11"/>
        <v>0</v>
      </c>
      <c r="N62" s="421">
        <f t="shared" si="8"/>
        <v>0</v>
      </c>
      <c r="P62" s="227">
        <f t="shared" si="7"/>
        <v>0</v>
      </c>
      <c r="R62" s="230">
        <f t="shared" si="12"/>
        <v>0</v>
      </c>
      <c r="S62" s="230">
        <f t="shared" si="13"/>
        <v>0</v>
      </c>
      <c r="T62" s="228">
        <f t="shared" si="3"/>
        <v>0</v>
      </c>
      <c r="U62" s="413">
        <f t="shared" si="4"/>
        <v>0</v>
      </c>
      <c r="V62" s="410">
        <f t="shared" si="5"/>
        <v>0</v>
      </c>
      <c r="W62" s="246">
        <f t="shared" si="6"/>
        <v>0</v>
      </c>
    </row>
    <row r="63" spans="3:23" ht="18.75" customHeight="1" x14ac:dyDescent="0.35">
      <c r="C63" s="20" t="s">
        <v>287</v>
      </c>
      <c r="L63" s="204">
        <f t="shared" si="11"/>
        <v>0</v>
      </c>
      <c r="N63" s="421">
        <f t="shared" si="8"/>
        <v>0</v>
      </c>
      <c r="P63" s="227">
        <f t="shared" si="7"/>
        <v>0</v>
      </c>
      <c r="R63" s="230">
        <f t="shared" si="12"/>
        <v>0</v>
      </c>
      <c r="S63" s="230">
        <f t="shared" si="13"/>
        <v>0</v>
      </c>
      <c r="T63" s="228">
        <f t="shared" si="3"/>
        <v>0</v>
      </c>
      <c r="U63" s="413">
        <f t="shared" si="4"/>
        <v>0</v>
      </c>
      <c r="V63" s="410">
        <f t="shared" si="5"/>
        <v>0</v>
      </c>
      <c r="W63" s="246">
        <f t="shared" si="6"/>
        <v>0</v>
      </c>
    </row>
    <row r="64" spans="3:23" ht="18.75" customHeight="1" x14ac:dyDescent="0.35">
      <c r="C64" s="20" t="s">
        <v>287</v>
      </c>
      <c r="L64" s="204">
        <f t="shared" si="11"/>
        <v>0</v>
      </c>
      <c r="N64" s="421">
        <f t="shared" si="8"/>
        <v>0</v>
      </c>
      <c r="P64" s="227">
        <f t="shared" si="7"/>
        <v>0</v>
      </c>
      <c r="R64" s="230">
        <f t="shared" si="12"/>
        <v>0</v>
      </c>
      <c r="S64" s="230">
        <f t="shared" si="13"/>
        <v>0</v>
      </c>
      <c r="T64" s="228">
        <f t="shared" si="3"/>
        <v>0</v>
      </c>
      <c r="U64" s="413">
        <f t="shared" si="4"/>
        <v>0</v>
      </c>
      <c r="V64" s="410">
        <f t="shared" si="5"/>
        <v>0</v>
      </c>
      <c r="W64" s="246">
        <f t="shared" si="6"/>
        <v>0</v>
      </c>
    </row>
    <row r="65" spans="3:23" ht="18.75" customHeight="1" x14ac:dyDescent="0.35">
      <c r="C65" s="20" t="s">
        <v>287</v>
      </c>
      <c r="L65" s="204">
        <f t="shared" si="11"/>
        <v>0</v>
      </c>
      <c r="N65" s="421">
        <f t="shared" si="8"/>
        <v>0</v>
      </c>
      <c r="P65" s="227">
        <f t="shared" si="7"/>
        <v>0</v>
      </c>
      <c r="R65" s="230">
        <f t="shared" si="12"/>
        <v>0</v>
      </c>
      <c r="S65" s="230">
        <f t="shared" si="13"/>
        <v>0</v>
      </c>
      <c r="T65" s="228">
        <f t="shared" si="3"/>
        <v>0</v>
      </c>
      <c r="U65" s="413">
        <f t="shared" si="4"/>
        <v>0</v>
      </c>
      <c r="V65" s="410">
        <f t="shared" si="5"/>
        <v>0</v>
      </c>
      <c r="W65" s="246">
        <f t="shared" si="6"/>
        <v>0</v>
      </c>
    </row>
    <row r="66" spans="3:23" ht="18.75" customHeight="1" x14ac:dyDescent="0.35">
      <c r="C66" s="20" t="s">
        <v>287</v>
      </c>
      <c r="L66" s="204">
        <f t="shared" si="11"/>
        <v>0</v>
      </c>
      <c r="N66" s="421">
        <f t="shared" si="8"/>
        <v>0</v>
      </c>
      <c r="P66" s="227">
        <f t="shared" si="7"/>
        <v>0</v>
      </c>
      <c r="R66" s="230">
        <f t="shared" si="12"/>
        <v>0</v>
      </c>
      <c r="S66" s="230">
        <f t="shared" si="13"/>
        <v>0</v>
      </c>
      <c r="T66" s="228">
        <f t="shared" si="3"/>
        <v>0</v>
      </c>
      <c r="U66" s="413">
        <f t="shared" si="4"/>
        <v>0</v>
      </c>
      <c r="V66" s="410">
        <f t="shared" si="5"/>
        <v>0</v>
      </c>
      <c r="W66" s="246">
        <f t="shared" si="6"/>
        <v>0</v>
      </c>
    </row>
    <row r="67" spans="3:23" ht="18.75" customHeight="1" x14ac:dyDescent="0.35">
      <c r="C67" s="20" t="s">
        <v>287</v>
      </c>
      <c r="L67" s="204">
        <f t="shared" si="11"/>
        <v>0</v>
      </c>
      <c r="N67" s="421">
        <f t="shared" si="8"/>
        <v>0</v>
      </c>
      <c r="P67" s="227">
        <f t="shared" si="7"/>
        <v>0</v>
      </c>
      <c r="R67" s="230">
        <f t="shared" si="12"/>
        <v>0</v>
      </c>
      <c r="S67" s="230">
        <f t="shared" si="13"/>
        <v>0</v>
      </c>
      <c r="T67" s="228">
        <f t="shared" si="3"/>
        <v>0</v>
      </c>
      <c r="U67" s="413">
        <f t="shared" si="4"/>
        <v>0</v>
      </c>
      <c r="V67" s="410">
        <f t="shared" si="5"/>
        <v>0</v>
      </c>
      <c r="W67" s="246">
        <f t="shared" si="6"/>
        <v>0</v>
      </c>
    </row>
    <row r="68" spans="3:23" ht="18.75" customHeight="1" x14ac:dyDescent="0.35">
      <c r="C68" s="20" t="s">
        <v>287</v>
      </c>
      <c r="L68" s="204">
        <f t="shared" si="11"/>
        <v>0</v>
      </c>
      <c r="N68" s="421">
        <f t="shared" si="8"/>
        <v>0</v>
      </c>
      <c r="P68" s="227">
        <f t="shared" si="7"/>
        <v>0</v>
      </c>
      <c r="R68" s="230">
        <f t="shared" si="12"/>
        <v>0</v>
      </c>
      <c r="S68" s="230">
        <f t="shared" si="13"/>
        <v>0</v>
      </c>
      <c r="T68" s="228">
        <f t="shared" ref="T68:T131" si="14">L68-P68-Q68-R68-S68</f>
        <v>0</v>
      </c>
      <c r="U68" s="413">
        <f t="shared" ref="U68:U131" si="15">IF(K68="CORREO",0,N68)</f>
        <v>0</v>
      </c>
      <c r="V68" s="410">
        <f t="shared" si="5"/>
        <v>0</v>
      </c>
      <c r="W68" s="246">
        <f t="shared" si="6"/>
        <v>0</v>
      </c>
    </row>
    <row r="69" spans="3:23" ht="18.75" customHeight="1" x14ac:dyDescent="0.35">
      <c r="C69" s="20" t="s">
        <v>287</v>
      </c>
      <c r="L69" s="204">
        <f t="shared" si="11"/>
        <v>0</v>
      </c>
      <c r="N69" s="421">
        <f t="shared" si="8"/>
        <v>0</v>
      </c>
      <c r="P69" s="227">
        <f t="shared" si="7"/>
        <v>0</v>
      </c>
      <c r="R69" s="230">
        <f t="shared" si="12"/>
        <v>0</v>
      </c>
      <c r="S69" s="230">
        <f t="shared" si="13"/>
        <v>0</v>
      </c>
      <c r="T69" s="228">
        <f t="shared" si="14"/>
        <v>0</v>
      </c>
      <c r="U69" s="413">
        <f t="shared" si="15"/>
        <v>0</v>
      </c>
      <c r="V69" s="410">
        <f t="shared" ref="V69:V132" si="16">T69*0.05</f>
        <v>0</v>
      </c>
      <c r="W69" s="246">
        <f t="shared" ref="W69:W132" si="17">T69*0.05</f>
        <v>0</v>
      </c>
    </row>
    <row r="70" spans="3:23" ht="18.75" customHeight="1" x14ac:dyDescent="0.35">
      <c r="C70" s="20" t="s">
        <v>287</v>
      </c>
      <c r="L70" s="204">
        <f t="shared" si="11"/>
        <v>0</v>
      </c>
      <c r="N70" s="421">
        <f t="shared" si="8"/>
        <v>0</v>
      </c>
      <c r="P70" s="227">
        <f t="shared" ref="P70:P133" si="18">_xlfn.XLOOKUP(H70, AA:AA, AB:AB) * I70</f>
        <v>0</v>
      </c>
      <c r="R70" s="230">
        <f t="shared" si="12"/>
        <v>0</v>
      </c>
      <c r="S70" s="230">
        <f t="shared" si="13"/>
        <v>0</v>
      </c>
      <c r="T70" s="228">
        <f t="shared" si="14"/>
        <v>0</v>
      </c>
      <c r="U70" s="413">
        <f t="shared" si="15"/>
        <v>0</v>
      </c>
      <c r="V70" s="410">
        <f t="shared" si="16"/>
        <v>0</v>
      </c>
      <c r="W70" s="246">
        <f t="shared" si="17"/>
        <v>0</v>
      </c>
    </row>
    <row r="71" spans="3:23" ht="18.75" customHeight="1" x14ac:dyDescent="0.35">
      <c r="C71" s="20" t="s">
        <v>287</v>
      </c>
      <c r="L71" s="204">
        <f t="shared" si="11"/>
        <v>0</v>
      </c>
      <c r="N71" s="421">
        <f t="shared" ref="N71:N134" si="19">M71-L71</f>
        <v>0</v>
      </c>
      <c r="P71" s="227">
        <f t="shared" si="18"/>
        <v>0</v>
      </c>
      <c r="R71" s="230">
        <f t="shared" si="12"/>
        <v>0</v>
      </c>
      <c r="S71" s="230">
        <f t="shared" si="13"/>
        <v>0</v>
      </c>
      <c r="T71" s="228">
        <f t="shared" si="14"/>
        <v>0</v>
      </c>
      <c r="U71" s="413">
        <f t="shared" si="15"/>
        <v>0</v>
      </c>
      <c r="V71" s="410">
        <f t="shared" si="16"/>
        <v>0</v>
      </c>
      <c r="W71" s="246">
        <f t="shared" si="17"/>
        <v>0</v>
      </c>
    </row>
    <row r="72" spans="3:23" ht="18.75" customHeight="1" x14ac:dyDescent="0.35">
      <c r="C72" s="20" t="s">
        <v>287</v>
      </c>
      <c r="L72" s="204">
        <f t="shared" si="11"/>
        <v>0</v>
      </c>
      <c r="N72" s="421">
        <f t="shared" si="19"/>
        <v>0</v>
      </c>
      <c r="P72" s="227">
        <f t="shared" si="18"/>
        <v>0</v>
      </c>
      <c r="R72" s="230">
        <f t="shared" si="12"/>
        <v>0</v>
      </c>
      <c r="S72" s="230">
        <f t="shared" si="13"/>
        <v>0</v>
      </c>
      <c r="T72" s="228">
        <f t="shared" si="14"/>
        <v>0</v>
      </c>
      <c r="U72" s="413">
        <f t="shared" si="15"/>
        <v>0</v>
      </c>
      <c r="V72" s="410">
        <f t="shared" si="16"/>
        <v>0</v>
      </c>
      <c r="W72" s="246">
        <f t="shared" si="17"/>
        <v>0</v>
      </c>
    </row>
    <row r="73" spans="3:23" ht="18.75" customHeight="1" x14ac:dyDescent="0.35">
      <c r="C73" s="20" t="s">
        <v>287</v>
      </c>
      <c r="L73" s="204">
        <f t="shared" si="11"/>
        <v>0</v>
      </c>
      <c r="N73" s="421">
        <f t="shared" si="19"/>
        <v>0</v>
      </c>
      <c r="P73" s="227">
        <f t="shared" si="18"/>
        <v>0</v>
      </c>
      <c r="R73" s="230">
        <f t="shared" si="12"/>
        <v>0</v>
      </c>
      <c r="S73" s="230">
        <f t="shared" si="13"/>
        <v>0</v>
      </c>
      <c r="T73" s="228">
        <f t="shared" si="14"/>
        <v>0</v>
      </c>
      <c r="U73" s="413">
        <f t="shared" si="15"/>
        <v>0</v>
      </c>
      <c r="V73" s="410">
        <f t="shared" si="16"/>
        <v>0</v>
      </c>
      <c r="W73" s="246">
        <f t="shared" si="17"/>
        <v>0</v>
      </c>
    </row>
    <row r="74" spans="3:23" ht="18.75" customHeight="1" x14ac:dyDescent="0.35">
      <c r="C74" s="20" t="s">
        <v>287</v>
      </c>
      <c r="L74" s="204">
        <f t="shared" si="11"/>
        <v>0</v>
      </c>
      <c r="N74" s="421">
        <f t="shared" si="19"/>
        <v>0</v>
      </c>
      <c r="P74" s="227">
        <f t="shared" si="18"/>
        <v>0</v>
      </c>
      <c r="R74" s="230">
        <f t="shared" si="12"/>
        <v>0</v>
      </c>
      <c r="S74" s="230">
        <f t="shared" si="13"/>
        <v>0</v>
      </c>
      <c r="T74" s="228">
        <f t="shared" si="14"/>
        <v>0</v>
      </c>
      <c r="U74" s="413">
        <f t="shared" si="15"/>
        <v>0</v>
      </c>
      <c r="V74" s="410">
        <f t="shared" si="16"/>
        <v>0</v>
      </c>
      <c r="W74" s="246">
        <f t="shared" si="17"/>
        <v>0</v>
      </c>
    </row>
    <row r="75" spans="3:23" ht="18.75" customHeight="1" x14ac:dyDescent="0.35">
      <c r="C75" s="20" t="s">
        <v>287</v>
      </c>
      <c r="L75" s="204">
        <f t="shared" si="11"/>
        <v>0</v>
      </c>
      <c r="N75" s="421">
        <f t="shared" si="19"/>
        <v>0</v>
      </c>
      <c r="P75" s="227">
        <f t="shared" si="18"/>
        <v>0</v>
      </c>
      <c r="R75" s="230">
        <f t="shared" si="12"/>
        <v>0</v>
      </c>
      <c r="S75" s="230">
        <f t="shared" si="13"/>
        <v>0</v>
      </c>
      <c r="T75" s="228">
        <f t="shared" si="14"/>
        <v>0</v>
      </c>
      <c r="U75" s="413">
        <f t="shared" si="15"/>
        <v>0</v>
      </c>
      <c r="V75" s="410">
        <f t="shared" si="16"/>
        <v>0</v>
      </c>
      <c r="W75" s="246">
        <f t="shared" si="17"/>
        <v>0</v>
      </c>
    </row>
    <row r="76" spans="3:23" ht="18.75" customHeight="1" x14ac:dyDescent="0.35">
      <c r="C76" s="20" t="s">
        <v>287</v>
      </c>
      <c r="L76" s="204">
        <f t="shared" si="11"/>
        <v>0</v>
      </c>
      <c r="N76" s="421">
        <f t="shared" si="19"/>
        <v>0</v>
      </c>
      <c r="P76" s="227">
        <f t="shared" si="18"/>
        <v>0</v>
      </c>
      <c r="R76" s="230">
        <f t="shared" si="12"/>
        <v>0</v>
      </c>
      <c r="S76" s="230">
        <f t="shared" si="13"/>
        <v>0</v>
      </c>
      <c r="T76" s="228">
        <f t="shared" si="14"/>
        <v>0</v>
      </c>
      <c r="U76" s="413">
        <f t="shared" si="15"/>
        <v>0</v>
      </c>
      <c r="V76" s="410">
        <f t="shared" si="16"/>
        <v>0</v>
      </c>
      <c r="W76" s="246">
        <f t="shared" si="17"/>
        <v>0</v>
      </c>
    </row>
    <row r="77" spans="3:23" ht="18.75" customHeight="1" x14ac:dyDescent="0.35">
      <c r="C77" s="20" t="s">
        <v>287</v>
      </c>
      <c r="L77" s="204">
        <f t="shared" si="11"/>
        <v>0</v>
      </c>
      <c r="N77" s="421">
        <f t="shared" si="19"/>
        <v>0</v>
      </c>
      <c r="P77" s="227">
        <f t="shared" si="18"/>
        <v>0</v>
      </c>
      <c r="R77" s="230">
        <f t="shared" si="12"/>
        <v>0</v>
      </c>
      <c r="S77" s="230">
        <f t="shared" si="13"/>
        <v>0</v>
      </c>
      <c r="T77" s="228">
        <f t="shared" si="14"/>
        <v>0</v>
      </c>
      <c r="U77" s="413">
        <f t="shared" si="15"/>
        <v>0</v>
      </c>
      <c r="V77" s="410">
        <f t="shared" si="16"/>
        <v>0</v>
      </c>
      <c r="W77" s="246">
        <f t="shared" si="17"/>
        <v>0</v>
      </c>
    </row>
    <row r="78" spans="3:23" ht="18.75" customHeight="1" x14ac:dyDescent="0.35">
      <c r="C78" s="20" t="s">
        <v>287</v>
      </c>
      <c r="L78" s="204">
        <f t="shared" ref="L78:L141" si="20">IFERROR(IF(J78="Transferencia",_xlfn.XLOOKUP(H78,$AA:$AA,$AE:$AE)*I78,_xlfn.XLOOKUP(H78,$AA:$AA,$AD:$AD)*I78),0)</f>
        <v>0</v>
      </c>
      <c r="N78" s="421">
        <f t="shared" si="19"/>
        <v>0</v>
      </c>
      <c r="P78" s="227">
        <f t="shared" si="18"/>
        <v>0</v>
      </c>
      <c r="R78" s="230">
        <f t="shared" ref="R78:R141" si="21">M78*0.0006</f>
        <v>0</v>
      </c>
      <c r="S78" s="230">
        <f t="shared" ref="S78:S141" si="22">M78*0.02</f>
        <v>0</v>
      </c>
      <c r="T78" s="228">
        <f t="shared" si="14"/>
        <v>0</v>
      </c>
      <c r="U78" s="413">
        <f t="shared" si="15"/>
        <v>0</v>
      </c>
      <c r="V78" s="410">
        <f t="shared" si="16"/>
        <v>0</v>
      </c>
      <c r="W78" s="246">
        <f t="shared" si="17"/>
        <v>0</v>
      </c>
    </row>
    <row r="79" spans="3:23" ht="18.75" customHeight="1" x14ac:dyDescent="0.35">
      <c r="C79" s="20" t="s">
        <v>287</v>
      </c>
      <c r="L79" s="204">
        <f t="shared" si="20"/>
        <v>0</v>
      </c>
      <c r="N79" s="421">
        <f t="shared" si="19"/>
        <v>0</v>
      </c>
      <c r="P79" s="227">
        <f t="shared" si="18"/>
        <v>0</v>
      </c>
      <c r="R79" s="230">
        <f t="shared" si="21"/>
        <v>0</v>
      </c>
      <c r="S79" s="230">
        <f t="shared" si="22"/>
        <v>0</v>
      </c>
      <c r="T79" s="228">
        <f t="shared" si="14"/>
        <v>0</v>
      </c>
      <c r="U79" s="413">
        <f t="shared" si="15"/>
        <v>0</v>
      </c>
      <c r="V79" s="410">
        <f t="shared" si="16"/>
        <v>0</v>
      </c>
      <c r="W79" s="246">
        <f t="shared" si="17"/>
        <v>0</v>
      </c>
    </row>
    <row r="80" spans="3:23" ht="39.75" customHeight="1" x14ac:dyDescent="0.35">
      <c r="C80" s="20" t="s">
        <v>287</v>
      </c>
      <c r="L80" s="204">
        <f t="shared" si="20"/>
        <v>0</v>
      </c>
      <c r="N80" s="421">
        <f t="shared" si="19"/>
        <v>0</v>
      </c>
      <c r="P80" s="227">
        <f t="shared" si="18"/>
        <v>0</v>
      </c>
      <c r="R80" s="230">
        <f t="shared" si="21"/>
        <v>0</v>
      </c>
      <c r="S80" s="230">
        <f t="shared" si="22"/>
        <v>0</v>
      </c>
      <c r="T80" s="228">
        <f t="shared" si="14"/>
        <v>0</v>
      </c>
      <c r="U80" s="413">
        <f t="shared" si="15"/>
        <v>0</v>
      </c>
      <c r="V80" s="410">
        <f t="shared" si="16"/>
        <v>0</v>
      </c>
      <c r="W80" s="246">
        <f t="shared" si="17"/>
        <v>0</v>
      </c>
    </row>
    <row r="81" spans="3:23" ht="18.75" customHeight="1" x14ac:dyDescent="0.35">
      <c r="C81" s="20" t="s">
        <v>287</v>
      </c>
      <c r="L81" s="204">
        <f t="shared" si="20"/>
        <v>0</v>
      </c>
      <c r="N81" s="421">
        <f t="shared" si="19"/>
        <v>0</v>
      </c>
      <c r="P81" s="227">
        <f t="shared" si="18"/>
        <v>0</v>
      </c>
      <c r="R81" s="230">
        <f t="shared" si="21"/>
        <v>0</v>
      </c>
      <c r="S81" s="230">
        <f t="shared" si="22"/>
        <v>0</v>
      </c>
      <c r="T81" s="228">
        <f t="shared" si="14"/>
        <v>0</v>
      </c>
      <c r="U81" s="413">
        <f t="shared" si="15"/>
        <v>0</v>
      </c>
      <c r="V81" s="410">
        <f t="shared" si="16"/>
        <v>0</v>
      </c>
      <c r="W81" s="246">
        <f t="shared" si="17"/>
        <v>0</v>
      </c>
    </row>
    <row r="82" spans="3:23" ht="18.75" customHeight="1" x14ac:dyDescent="0.35">
      <c r="C82" s="20" t="s">
        <v>287</v>
      </c>
      <c r="L82" s="204">
        <f t="shared" si="20"/>
        <v>0</v>
      </c>
      <c r="N82" s="421">
        <f t="shared" si="19"/>
        <v>0</v>
      </c>
      <c r="P82" s="227">
        <f t="shared" si="18"/>
        <v>0</v>
      </c>
      <c r="R82" s="230">
        <f t="shared" si="21"/>
        <v>0</v>
      </c>
      <c r="S82" s="230">
        <f t="shared" si="22"/>
        <v>0</v>
      </c>
      <c r="T82" s="228">
        <f t="shared" si="14"/>
        <v>0</v>
      </c>
      <c r="U82" s="413">
        <f t="shared" si="15"/>
        <v>0</v>
      </c>
      <c r="V82" s="410">
        <f t="shared" si="16"/>
        <v>0</v>
      </c>
      <c r="W82" s="246">
        <f t="shared" si="17"/>
        <v>0</v>
      </c>
    </row>
    <row r="83" spans="3:23" ht="18.75" customHeight="1" x14ac:dyDescent="0.35">
      <c r="C83" s="20" t="s">
        <v>287</v>
      </c>
      <c r="L83" s="204">
        <f t="shared" si="20"/>
        <v>0</v>
      </c>
      <c r="N83" s="421">
        <f t="shared" si="19"/>
        <v>0</v>
      </c>
      <c r="P83" s="227">
        <f t="shared" si="18"/>
        <v>0</v>
      </c>
      <c r="R83" s="230">
        <f t="shared" si="21"/>
        <v>0</v>
      </c>
      <c r="S83" s="230">
        <f t="shared" si="22"/>
        <v>0</v>
      </c>
      <c r="T83" s="228">
        <f t="shared" si="14"/>
        <v>0</v>
      </c>
      <c r="U83" s="413">
        <f t="shared" si="15"/>
        <v>0</v>
      </c>
      <c r="V83" s="410">
        <f t="shared" si="16"/>
        <v>0</v>
      </c>
      <c r="W83" s="246">
        <f t="shared" si="17"/>
        <v>0</v>
      </c>
    </row>
    <row r="84" spans="3:23" ht="18.75" customHeight="1" x14ac:dyDescent="0.35">
      <c r="C84" s="20" t="s">
        <v>287</v>
      </c>
      <c r="L84" s="204">
        <f t="shared" si="20"/>
        <v>0</v>
      </c>
      <c r="N84" s="421">
        <f t="shared" si="19"/>
        <v>0</v>
      </c>
      <c r="P84" s="227">
        <f t="shared" si="18"/>
        <v>0</v>
      </c>
      <c r="R84" s="230">
        <f t="shared" si="21"/>
        <v>0</v>
      </c>
      <c r="S84" s="230">
        <f t="shared" si="22"/>
        <v>0</v>
      </c>
      <c r="T84" s="228">
        <f t="shared" si="14"/>
        <v>0</v>
      </c>
      <c r="U84" s="413">
        <f t="shared" si="15"/>
        <v>0</v>
      </c>
      <c r="V84" s="410">
        <f t="shared" si="16"/>
        <v>0</v>
      </c>
      <c r="W84" s="246">
        <f t="shared" si="17"/>
        <v>0</v>
      </c>
    </row>
    <row r="85" spans="3:23" ht="18.75" customHeight="1" x14ac:dyDescent="0.35">
      <c r="C85" s="20" t="s">
        <v>287</v>
      </c>
      <c r="L85" s="204">
        <f t="shared" si="20"/>
        <v>0</v>
      </c>
      <c r="N85" s="421">
        <f t="shared" si="19"/>
        <v>0</v>
      </c>
      <c r="P85" s="227">
        <f t="shared" si="18"/>
        <v>0</v>
      </c>
      <c r="R85" s="230">
        <f t="shared" si="21"/>
        <v>0</v>
      </c>
      <c r="S85" s="230">
        <f t="shared" si="22"/>
        <v>0</v>
      </c>
      <c r="T85" s="228">
        <f t="shared" si="14"/>
        <v>0</v>
      </c>
      <c r="U85" s="413">
        <f t="shared" si="15"/>
        <v>0</v>
      </c>
      <c r="V85" s="410">
        <f t="shared" si="16"/>
        <v>0</v>
      </c>
      <c r="W85" s="246">
        <f t="shared" si="17"/>
        <v>0</v>
      </c>
    </row>
    <row r="86" spans="3:23" ht="18.75" customHeight="1" x14ac:dyDescent="0.35">
      <c r="C86" s="20" t="s">
        <v>287</v>
      </c>
      <c r="L86" s="204">
        <f t="shared" si="20"/>
        <v>0</v>
      </c>
      <c r="N86" s="421">
        <f t="shared" si="19"/>
        <v>0</v>
      </c>
      <c r="P86" s="227">
        <f t="shared" si="18"/>
        <v>0</v>
      </c>
      <c r="R86" s="230">
        <f t="shared" si="21"/>
        <v>0</v>
      </c>
      <c r="S86" s="230">
        <f t="shared" si="22"/>
        <v>0</v>
      </c>
      <c r="T86" s="228">
        <f t="shared" si="14"/>
        <v>0</v>
      </c>
      <c r="U86" s="413">
        <f t="shared" si="15"/>
        <v>0</v>
      </c>
      <c r="V86" s="410">
        <f t="shared" si="16"/>
        <v>0</v>
      </c>
      <c r="W86" s="246">
        <f t="shared" si="17"/>
        <v>0</v>
      </c>
    </row>
    <row r="87" spans="3:23" ht="18.75" customHeight="1" x14ac:dyDescent="0.35">
      <c r="C87" s="20" t="s">
        <v>287</v>
      </c>
      <c r="L87" s="204">
        <f t="shared" si="20"/>
        <v>0</v>
      </c>
      <c r="N87" s="421">
        <f t="shared" si="19"/>
        <v>0</v>
      </c>
      <c r="P87" s="227">
        <f t="shared" si="18"/>
        <v>0</v>
      </c>
      <c r="R87" s="230">
        <f t="shared" si="21"/>
        <v>0</v>
      </c>
      <c r="S87" s="230">
        <f t="shared" si="22"/>
        <v>0</v>
      </c>
      <c r="T87" s="228">
        <f t="shared" si="14"/>
        <v>0</v>
      </c>
      <c r="U87" s="413">
        <f t="shared" si="15"/>
        <v>0</v>
      </c>
      <c r="V87" s="410">
        <f t="shared" si="16"/>
        <v>0</v>
      </c>
      <c r="W87" s="246">
        <f t="shared" si="17"/>
        <v>0</v>
      </c>
    </row>
    <row r="88" spans="3:23" ht="18.75" customHeight="1" x14ac:dyDescent="0.35">
      <c r="C88" s="20" t="s">
        <v>287</v>
      </c>
      <c r="L88" s="204">
        <f t="shared" si="20"/>
        <v>0</v>
      </c>
      <c r="N88" s="421">
        <f t="shared" si="19"/>
        <v>0</v>
      </c>
      <c r="P88" s="227">
        <f t="shared" si="18"/>
        <v>0</v>
      </c>
      <c r="R88" s="230">
        <f t="shared" si="21"/>
        <v>0</v>
      </c>
      <c r="S88" s="230">
        <f t="shared" si="22"/>
        <v>0</v>
      </c>
      <c r="T88" s="228">
        <f t="shared" si="14"/>
        <v>0</v>
      </c>
      <c r="U88" s="413">
        <f t="shared" si="15"/>
        <v>0</v>
      </c>
      <c r="V88" s="410">
        <f t="shared" si="16"/>
        <v>0</v>
      </c>
      <c r="W88" s="246">
        <f t="shared" si="17"/>
        <v>0</v>
      </c>
    </row>
    <row r="89" spans="3:23" ht="18.75" customHeight="1" x14ac:dyDescent="0.35">
      <c r="C89" s="20" t="s">
        <v>287</v>
      </c>
      <c r="L89" s="204">
        <f t="shared" si="20"/>
        <v>0</v>
      </c>
      <c r="N89" s="421">
        <f t="shared" si="19"/>
        <v>0</v>
      </c>
      <c r="P89" s="227">
        <f t="shared" si="18"/>
        <v>0</v>
      </c>
      <c r="R89" s="230">
        <f t="shared" si="21"/>
        <v>0</v>
      </c>
      <c r="S89" s="230">
        <f t="shared" si="22"/>
        <v>0</v>
      </c>
      <c r="T89" s="228">
        <f t="shared" si="14"/>
        <v>0</v>
      </c>
      <c r="U89" s="413">
        <f t="shared" si="15"/>
        <v>0</v>
      </c>
      <c r="V89" s="410">
        <f t="shared" si="16"/>
        <v>0</v>
      </c>
      <c r="W89" s="246">
        <f t="shared" si="17"/>
        <v>0</v>
      </c>
    </row>
    <row r="90" spans="3:23" ht="18.75" customHeight="1" x14ac:dyDescent="0.35">
      <c r="C90" s="20" t="s">
        <v>287</v>
      </c>
      <c r="L90" s="204">
        <f t="shared" si="20"/>
        <v>0</v>
      </c>
      <c r="N90" s="421">
        <f t="shared" si="19"/>
        <v>0</v>
      </c>
      <c r="P90" s="227">
        <f t="shared" si="18"/>
        <v>0</v>
      </c>
      <c r="R90" s="230">
        <f t="shared" si="21"/>
        <v>0</v>
      </c>
      <c r="S90" s="230">
        <f t="shared" si="22"/>
        <v>0</v>
      </c>
      <c r="T90" s="228">
        <f t="shared" si="14"/>
        <v>0</v>
      </c>
      <c r="U90" s="413">
        <f t="shared" si="15"/>
        <v>0</v>
      </c>
      <c r="V90" s="410">
        <f t="shared" si="16"/>
        <v>0</v>
      </c>
      <c r="W90" s="246">
        <f t="shared" si="17"/>
        <v>0</v>
      </c>
    </row>
    <row r="91" spans="3:23" ht="18.75" customHeight="1" x14ac:dyDescent="0.35">
      <c r="C91" s="20" t="s">
        <v>287</v>
      </c>
      <c r="L91" s="204">
        <f t="shared" si="20"/>
        <v>0</v>
      </c>
      <c r="N91" s="421">
        <f t="shared" si="19"/>
        <v>0</v>
      </c>
      <c r="P91" s="227">
        <f t="shared" si="18"/>
        <v>0</v>
      </c>
      <c r="R91" s="230">
        <f t="shared" si="21"/>
        <v>0</v>
      </c>
      <c r="S91" s="230">
        <f t="shared" si="22"/>
        <v>0</v>
      </c>
      <c r="T91" s="228">
        <f t="shared" si="14"/>
        <v>0</v>
      </c>
      <c r="U91" s="413">
        <f t="shared" si="15"/>
        <v>0</v>
      </c>
      <c r="V91" s="410">
        <f t="shared" si="16"/>
        <v>0</v>
      </c>
      <c r="W91" s="246">
        <f t="shared" si="17"/>
        <v>0</v>
      </c>
    </row>
    <row r="92" spans="3:23" ht="18.75" customHeight="1" x14ac:dyDescent="0.35">
      <c r="C92" s="20" t="s">
        <v>287</v>
      </c>
      <c r="L92" s="204">
        <f t="shared" si="20"/>
        <v>0</v>
      </c>
      <c r="N92" s="421">
        <f t="shared" si="19"/>
        <v>0</v>
      </c>
      <c r="P92" s="227">
        <f t="shared" si="18"/>
        <v>0</v>
      </c>
      <c r="R92" s="230">
        <f t="shared" si="21"/>
        <v>0</v>
      </c>
      <c r="S92" s="230">
        <f t="shared" si="22"/>
        <v>0</v>
      </c>
      <c r="T92" s="228">
        <f t="shared" si="14"/>
        <v>0</v>
      </c>
      <c r="U92" s="413">
        <f t="shared" si="15"/>
        <v>0</v>
      </c>
      <c r="V92" s="410">
        <f t="shared" si="16"/>
        <v>0</v>
      </c>
      <c r="W92" s="246">
        <f t="shared" si="17"/>
        <v>0</v>
      </c>
    </row>
    <row r="93" spans="3:23" ht="18.75" customHeight="1" x14ac:dyDescent="0.35">
      <c r="C93" s="20" t="s">
        <v>287</v>
      </c>
      <c r="L93" s="204">
        <f t="shared" si="20"/>
        <v>0</v>
      </c>
      <c r="N93" s="421">
        <f t="shared" si="19"/>
        <v>0</v>
      </c>
      <c r="P93" s="227">
        <f t="shared" si="18"/>
        <v>0</v>
      </c>
      <c r="R93" s="230">
        <f t="shared" si="21"/>
        <v>0</v>
      </c>
      <c r="S93" s="230">
        <f t="shared" si="22"/>
        <v>0</v>
      </c>
      <c r="T93" s="228">
        <f t="shared" si="14"/>
        <v>0</v>
      </c>
      <c r="U93" s="413">
        <f t="shared" si="15"/>
        <v>0</v>
      </c>
      <c r="V93" s="410">
        <f t="shared" si="16"/>
        <v>0</v>
      </c>
      <c r="W93" s="246">
        <f t="shared" si="17"/>
        <v>0</v>
      </c>
    </row>
    <row r="94" spans="3:23" ht="18.75" customHeight="1" x14ac:dyDescent="0.35">
      <c r="C94" s="20" t="s">
        <v>287</v>
      </c>
      <c r="L94" s="204">
        <f t="shared" si="20"/>
        <v>0</v>
      </c>
      <c r="N94" s="421">
        <f t="shared" si="19"/>
        <v>0</v>
      </c>
      <c r="P94" s="227">
        <f t="shared" si="18"/>
        <v>0</v>
      </c>
      <c r="R94" s="230">
        <f t="shared" si="21"/>
        <v>0</v>
      </c>
      <c r="S94" s="230">
        <f t="shared" si="22"/>
        <v>0</v>
      </c>
      <c r="T94" s="228">
        <f t="shared" si="14"/>
        <v>0</v>
      </c>
      <c r="U94" s="413">
        <f t="shared" si="15"/>
        <v>0</v>
      </c>
      <c r="V94" s="410">
        <f t="shared" si="16"/>
        <v>0</v>
      </c>
      <c r="W94" s="246">
        <f t="shared" si="17"/>
        <v>0</v>
      </c>
    </row>
    <row r="95" spans="3:23" ht="18.75" customHeight="1" x14ac:dyDescent="0.35">
      <c r="C95" s="20" t="s">
        <v>287</v>
      </c>
      <c r="L95" s="204">
        <f t="shared" si="20"/>
        <v>0</v>
      </c>
      <c r="N95" s="421">
        <f t="shared" si="19"/>
        <v>0</v>
      </c>
      <c r="P95" s="227">
        <f t="shared" si="18"/>
        <v>0</v>
      </c>
      <c r="R95" s="230">
        <f t="shared" si="21"/>
        <v>0</v>
      </c>
      <c r="S95" s="230">
        <f t="shared" si="22"/>
        <v>0</v>
      </c>
      <c r="T95" s="228">
        <f t="shared" si="14"/>
        <v>0</v>
      </c>
      <c r="U95" s="413">
        <f t="shared" si="15"/>
        <v>0</v>
      </c>
      <c r="V95" s="410">
        <f t="shared" si="16"/>
        <v>0</v>
      </c>
      <c r="W95" s="246">
        <f t="shared" si="17"/>
        <v>0</v>
      </c>
    </row>
    <row r="96" spans="3:23" ht="18.75" customHeight="1" x14ac:dyDescent="0.35">
      <c r="C96" s="20" t="s">
        <v>287</v>
      </c>
      <c r="L96" s="204">
        <f t="shared" si="20"/>
        <v>0</v>
      </c>
      <c r="N96" s="421">
        <f t="shared" si="19"/>
        <v>0</v>
      </c>
      <c r="P96" s="227">
        <f t="shared" si="18"/>
        <v>0</v>
      </c>
      <c r="R96" s="230">
        <f t="shared" si="21"/>
        <v>0</v>
      </c>
      <c r="S96" s="230">
        <f t="shared" si="22"/>
        <v>0</v>
      </c>
      <c r="T96" s="228">
        <f t="shared" si="14"/>
        <v>0</v>
      </c>
      <c r="U96" s="413">
        <f t="shared" si="15"/>
        <v>0</v>
      </c>
      <c r="V96" s="410">
        <f t="shared" si="16"/>
        <v>0</v>
      </c>
      <c r="W96" s="246">
        <f t="shared" si="17"/>
        <v>0</v>
      </c>
    </row>
    <row r="97" spans="3:23" ht="18.75" customHeight="1" x14ac:dyDescent="0.35">
      <c r="C97" s="20" t="s">
        <v>287</v>
      </c>
      <c r="L97" s="204">
        <f t="shared" si="20"/>
        <v>0</v>
      </c>
      <c r="N97" s="421">
        <f t="shared" si="19"/>
        <v>0</v>
      </c>
      <c r="P97" s="227">
        <f t="shared" si="18"/>
        <v>0</v>
      </c>
      <c r="R97" s="230">
        <f t="shared" si="21"/>
        <v>0</v>
      </c>
      <c r="S97" s="230">
        <f t="shared" si="22"/>
        <v>0</v>
      </c>
      <c r="T97" s="228">
        <f t="shared" si="14"/>
        <v>0</v>
      </c>
      <c r="U97" s="413">
        <f t="shared" si="15"/>
        <v>0</v>
      </c>
      <c r="V97" s="410">
        <f t="shared" si="16"/>
        <v>0</v>
      </c>
      <c r="W97" s="246">
        <f t="shared" si="17"/>
        <v>0</v>
      </c>
    </row>
    <row r="98" spans="3:23" ht="18.75" customHeight="1" x14ac:dyDescent="0.35">
      <c r="C98" s="20" t="s">
        <v>287</v>
      </c>
      <c r="L98" s="204">
        <f t="shared" si="20"/>
        <v>0</v>
      </c>
      <c r="N98" s="421">
        <f t="shared" si="19"/>
        <v>0</v>
      </c>
      <c r="P98" s="227">
        <f t="shared" si="18"/>
        <v>0</v>
      </c>
      <c r="R98" s="230">
        <f t="shared" si="21"/>
        <v>0</v>
      </c>
      <c r="S98" s="230">
        <f t="shared" si="22"/>
        <v>0</v>
      </c>
      <c r="T98" s="228">
        <f t="shared" si="14"/>
        <v>0</v>
      </c>
      <c r="U98" s="413">
        <f t="shared" si="15"/>
        <v>0</v>
      </c>
      <c r="V98" s="410">
        <f t="shared" si="16"/>
        <v>0</v>
      </c>
      <c r="W98" s="246">
        <f t="shared" si="17"/>
        <v>0</v>
      </c>
    </row>
    <row r="99" spans="3:23" ht="18.75" customHeight="1" x14ac:dyDescent="0.35">
      <c r="C99" s="20" t="s">
        <v>287</v>
      </c>
      <c r="L99" s="204">
        <f t="shared" si="20"/>
        <v>0</v>
      </c>
      <c r="N99" s="421">
        <f t="shared" si="19"/>
        <v>0</v>
      </c>
      <c r="P99" s="227">
        <f t="shared" si="18"/>
        <v>0</v>
      </c>
      <c r="R99" s="230">
        <f t="shared" si="21"/>
        <v>0</v>
      </c>
      <c r="S99" s="230">
        <f t="shared" si="22"/>
        <v>0</v>
      </c>
      <c r="T99" s="228">
        <f t="shared" si="14"/>
        <v>0</v>
      </c>
      <c r="U99" s="413">
        <f t="shared" si="15"/>
        <v>0</v>
      </c>
      <c r="V99" s="410">
        <f t="shared" si="16"/>
        <v>0</v>
      </c>
      <c r="W99" s="246">
        <f t="shared" si="17"/>
        <v>0</v>
      </c>
    </row>
    <row r="100" spans="3:23" ht="18.75" customHeight="1" x14ac:dyDescent="0.35">
      <c r="C100" s="20" t="s">
        <v>287</v>
      </c>
      <c r="L100" s="204">
        <f t="shared" si="20"/>
        <v>0</v>
      </c>
      <c r="N100" s="421">
        <f t="shared" si="19"/>
        <v>0</v>
      </c>
      <c r="P100" s="227">
        <f t="shared" si="18"/>
        <v>0</v>
      </c>
      <c r="R100" s="230">
        <f t="shared" si="21"/>
        <v>0</v>
      </c>
      <c r="S100" s="230">
        <f t="shared" si="22"/>
        <v>0</v>
      </c>
      <c r="T100" s="228">
        <f t="shared" si="14"/>
        <v>0</v>
      </c>
      <c r="U100" s="413">
        <f t="shared" si="15"/>
        <v>0</v>
      </c>
      <c r="V100" s="410">
        <f t="shared" si="16"/>
        <v>0</v>
      </c>
      <c r="W100" s="246">
        <f t="shared" si="17"/>
        <v>0</v>
      </c>
    </row>
    <row r="101" spans="3:23" ht="18.75" customHeight="1" x14ac:dyDescent="0.35">
      <c r="C101" s="20" t="s">
        <v>287</v>
      </c>
      <c r="L101" s="204">
        <f t="shared" si="20"/>
        <v>0</v>
      </c>
      <c r="N101" s="421">
        <f t="shared" si="19"/>
        <v>0</v>
      </c>
      <c r="P101" s="227">
        <f t="shared" si="18"/>
        <v>0</v>
      </c>
      <c r="R101" s="230">
        <f t="shared" si="21"/>
        <v>0</v>
      </c>
      <c r="S101" s="230">
        <f t="shared" si="22"/>
        <v>0</v>
      </c>
      <c r="T101" s="228">
        <f t="shared" si="14"/>
        <v>0</v>
      </c>
      <c r="U101" s="413">
        <f t="shared" si="15"/>
        <v>0</v>
      </c>
      <c r="V101" s="410">
        <f t="shared" si="16"/>
        <v>0</v>
      </c>
      <c r="W101" s="246">
        <f t="shared" si="17"/>
        <v>0</v>
      </c>
    </row>
    <row r="102" spans="3:23" ht="18.75" customHeight="1" x14ac:dyDescent="0.35">
      <c r="C102" s="20" t="s">
        <v>287</v>
      </c>
      <c r="L102" s="204">
        <f t="shared" si="20"/>
        <v>0</v>
      </c>
      <c r="N102" s="421">
        <f t="shared" si="19"/>
        <v>0</v>
      </c>
      <c r="P102" s="227">
        <f t="shared" si="18"/>
        <v>0</v>
      </c>
      <c r="R102" s="230">
        <f t="shared" si="21"/>
        <v>0</v>
      </c>
      <c r="S102" s="230">
        <f t="shared" si="22"/>
        <v>0</v>
      </c>
      <c r="T102" s="228">
        <f t="shared" si="14"/>
        <v>0</v>
      </c>
      <c r="U102" s="413">
        <f t="shared" si="15"/>
        <v>0</v>
      </c>
      <c r="V102" s="410">
        <f t="shared" si="16"/>
        <v>0</v>
      </c>
      <c r="W102" s="246">
        <f t="shared" si="17"/>
        <v>0</v>
      </c>
    </row>
    <row r="103" spans="3:23" ht="18.75" customHeight="1" x14ac:dyDescent="0.35">
      <c r="C103" s="20" t="s">
        <v>287</v>
      </c>
      <c r="L103" s="204">
        <f t="shared" si="20"/>
        <v>0</v>
      </c>
      <c r="N103" s="421">
        <f t="shared" si="19"/>
        <v>0</v>
      </c>
      <c r="P103" s="227">
        <f t="shared" si="18"/>
        <v>0</v>
      </c>
      <c r="R103" s="230">
        <f t="shared" si="21"/>
        <v>0</v>
      </c>
      <c r="S103" s="230">
        <f t="shared" si="22"/>
        <v>0</v>
      </c>
      <c r="T103" s="228">
        <f t="shared" si="14"/>
        <v>0</v>
      </c>
      <c r="U103" s="413">
        <f t="shared" si="15"/>
        <v>0</v>
      </c>
      <c r="V103" s="410">
        <f t="shared" si="16"/>
        <v>0</v>
      </c>
      <c r="W103" s="246">
        <f t="shared" si="17"/>
        <v>0</v>
      </c>
    </row>
    <row r="104" spans="3:23" ht="18.75" customHeight="1" x14ac:dyDescent="0.35">
      <c r="C104" s="20" t="s">
        <v>287</v>
      </c>
      <c r="L104" s="204">
        <f t="shared" si="20"/>
        <v>0</v>
      </c>
      <c r="N104" s="421">
        <f t="shared" si="19"/>
        <v>0</v>
      </c>
      <c r="P104" s="227">
        <f t="shared" si="18"/>
        <v>0</v>
      </c>
      <c r="R104" s="230">
        <f t="shared" si="21"/>
        <v>0</v>
      </c>
      <c r="S104" s="230">
        <f t="shared" si="22"/>
        <v>0</v>
      </c>
      <c r="T104" s="228">
        <f t="shared" si="14"/>
        <v>0</v>
      </c>
      <c r="U104" s="413">
        <f t="shared" si="15"/>
        <v>0</v>
      </c>
      <c r="V104" s="410">
        <f t="shared" si="16"/>
        <v>0</v>
      </c>
      <c r="W104" s="246">
        <f t="shared" si="17"/>
        <v>0</v>
      </c>
    </row>
    <row r="105" spans="3:23" ht="18.75" customHeight="1" x14ac:dyDescent="0.35">
      <c r="C105" s="20" t="s">
        <v>287</v>
      </c>
      <c r="L105" s="204">
        <f t="shared" si="20"/>
        <v>0</v>
      </c>
      <c r="N105" s="421">
        <f t="shared" si="19"/>
        <v>0</v>
      </c>
      <c r="P105" s="227">
        <f t="shared" si="18"/>
        <v>0</v>
      </c>
      <c r="R105" s="230">
        <f t="shared" si="21"/>
        <v>0</v>
      </c>
      <c r="S105" s="230">
        <f t="shared" si="22"/>
        <v>0</v>
      </c>
      <c r="T105" s="228">
        <f t="shared" si="14"/>
        <v>0</v>
      </c>
      <c r="U105" s="413">
        <f t="shared" si="15"/>
        <v>0</v>
      </c>
      <c r="V105" s="410">
        <f t="shared" si="16"/>
        <v>0</v>
      </c>
      <c r="W105" s="246">
        <f t="shared" si="17"/>
        <v>0</v>
      </c>
    </row>
    <row r="106" spans="3:23" ht="18.75" customHeight="1" x14ac:dyDescent="0.35">
      <c r="C106" s="20" t="s">
        <v>287</v>
      </c>
      <c r="L106" s="204">
        <f t="shared" si="20"/>
        <v>0</v>
      </c>
      <c r="N106" s="421">
        <f t="shared" si="19"/>
        <v>0</v>
      </c>
      <c r="P106" s="227">
        <f t="shared" si="18"/>
        <v>0</v>
      </c>
      <c r="R106" s="230">
        <f t="shared" si="21"/>
        <v>0</v>
      </c>
      <c r="S106" s="230">
        <f t="shared" si="22"/>
        <v>0</v>
      </c>
      <c r="T106" s="228">
        <f t="shared" si="14"/>
        <v>0</v>
      </c>
      <c r="U106" s="413">
        <f t="shared" si="15"/>
        <v>0</v>
      </c>
      <c r="V106" s="410">
        <f t="shared" si="16"/>
        <v>0</v>
      </c>
      <c r="W106" s="246">
        <f t="shared" si="17"/>
        <v>0</v>
      </c>
    </row>
    <row r="107" spans="3:23" ht="18.75" customHeight="1" x14ac:dyDescent="0.35">
      <c r="C107" s="20" t="s">
        <v>287</v>
      </c>
      <c r="L107" s="204">
        <f t="shared" si="20"/>
        <v>0</v>
      </c>
      <c r="N107" s="421">
        <f t="shared" si="19"/>
        <v>0</v>
      </c>
      <c r="P107" s="227">
        <f t="shared" si="18"/>
        <v>0</v>
      </c>
      <c r="R107" s="230">
        <f t="shared" si="21"/>
        <v>0</v>
      </c>
      <c r="S107" s="230">
        <f t="shared" si="22"/>
        <v>0</v>
      </c>
      <c r="T107" s="228">
        <f t="shared" si="14"/>
        <v>0</v>
      </c>
      <c r="U107" s="413">
        <f t="shared" si="15"/>
        <v>0</v>
      </c>
      <c r="V107" s="410">
        <f t="shared" si="16"/>
        <v>0</v>
      </c>
      <c r="W107" s="246">
        <f t="shared" si="17"/>
        <v>0</v>
      </c>
    </row>
    <row r="108" spans="3:23" ht="18.75" customHeight="1" x14ac:dyDescent="0.35">
      <c r="C108" s="20" t="s">
        <v>287</v>
      </c>
      <c r="L108" s="204">
        <f t="shared" si="20"/>
        <v>0</v>
      </c>
      <c r="N108" s="421">
        <f t="shared" si="19"/>
        <v>0</v>
      </c>
      <c r="P108" s="227">
        <f t="shared" si="18"/>
        <v>0</v>
      </c>
      <c r="R108" s="230">
        <f t="shared" si="21"/>
        <v>0</v>
      </c>
      <c r="S108" s="230">
        <f t="shared" si="22"/>
        <v>0</v>
      </c>
      <c r="T108" s="228">
        <f t="shared" si="14"/>
        <v>0</v>
      </c>
      <c r="U108" s="413">
        <f t="shared" si="15"/>
        <v>0</v>
      </c>
      <c r="V108" s="410">
        <f t="shared" si="16"/>
        <v>0</v>
      </c>
      <c r="W108" s="246">
        <f t="shared" si="17"/>
        <v>0</v>
      </c>
    </row>
    <row r="109" spans="3:23" ht="18.75" customHeight="1" x14ac:dyDescent="0.35">
      <c r="C109" s="20" t="s">
        <v>287</v>
      </c>
      <c r="L109" s="204">
        <f t="shared" si="20"/>
        <v>0</v>
      </c>
      <c r="N109" s="421">
        <f t="shared" si="19"/>
        <v>0</v>
      </c>
      <c r="P109" s="227">
        <f t="shared" si="18"/>
        <v>0</v>
      </c>
      <c r="R109" s="230">
        <f t="shared" si="21"/>
        <v>0</v>
      </c>
      <c r="S109" s="230">
        <f t="shared" si="22"/>
        <v>0</v>
      </c>
      <c r="T109" s="228">
        <f t="shared" si="14"/>
        <v>0</v>
      </c>
      <c r="U109" s="413">
        <f t="shared" si="15"/>
        <v>0</v>
      </c>
      <c r="V109" s="410">
        <f t="shared" si="16"/>
        <v>0</v>
      </c>
      <c r="W109" s="246">
        <f t="shared" si="17"/>
        <v>0</v>
      </c>
    </row>
    <row r="110" spans="3:23" ht="18.75" customHeight="1" x14ac:dyDescent="0.35">
      <c r="C110" s="20" t="s">
        <v>287</v>
      </c>
      <c r="L110" s="204">
        <f t="shared" si="20"/>
        <v>0</v>
      </c>
      <c r="N110" s="421">
        <f t="shared" si="19"/>
        <v>0</v>
      </c>
      <c r="P110" s="227">
        <f t="shared" si="18"/>
        <v>0</v>
      </c>
      <c r="R110" s="230">
        <f t="shared" si="21"/>
        <v>0</v>
      </c>
      <c r="S110" s="230">
        <f t="shared" si="22"/>
        <v>0</v>
      </c>
      <c r="T110" s="228">
        <f t="shared" si="14"/>
        <v>0</v>
      </c>
      <c r="U110" s="413">
        <f t="shared" si="15"/>
        <v>0</v>
      </c>
      <c r="V110" s="410">
        <f t="shared" si="16"/>
        <v>0</v>
      </c>
      <c r="W110" s="246">
        <f t="shared" si="17"/>
        <v>0</v>
      </c>
    </row>
    <row r="111" spans="3:23" ht="18.75" customHeight="1" x14ac:dyDescent="0.35">
      <c r="C111" s="20" t="s">
        <v>287</v>
      </c>
      <c r="L111" s="204">
        <f t="shared" si="20"/>
        <v>0</v>
      </c>
      <c r="N111" s="421">
        <f t="shared" si="19"/>
        <v>0</v>
      </c>
      <c r="P111" s="227">
        <f t="shared" si="18"/>
        <v>0</v>
      </c>
      <c r="R111" s="230">
        <f t="shared" si="21"/>
        <v>0</v>
      </c>
      <c r="S111" s="230">
        <f t="shared" si="22"/>
        <v>0</v>
      </c>
      <c r="T111" s="228">
        <f t="shared" si="14"/>
        <v>0</v>
      </c>
      <c r="U111" s="413">
        <f t="shared" si="15"/>
        <v>0</v>
      </c>
      <c r="V111" s="410">
        <f t="shared" si="16"/>
        <v>0</v>
      </c>
      <c r="W111" s="246">
        <f t="shared" si="17"/>
        <v>0</v>
      </c>
    </row>
    <row r="112" spans="3:23" ht="18.75" customHeight="1" x14ac:dyDescent="0.35">
      <c r="C112" s="20" t="s">
        <v>287</v>
      </c>
      <c r="L112" s="204">
        <f t="shared" si="20"/>
        <v>0</v>
      </c>
      <c r="N112" s="421">
        <f t="shared" si="19"/>
        <v>0</v>
      </c>
      <c r="P112" s="227">
        <f t="shared" si="18"/>
        <v>0</v>
      </c>
      <c r="R112" s="230">
        <f t="shared" si="21"/>
        <v>0</v>
      </c>
      <c r="S112" s="230">
        <f t="shared" si="22"/>
        <v>0</v>
      </c>
      <c r="T112" s="228">
        <f t="shared" si="14"/>
        <v>0</v>
      </c>
      <c r="U112" s="413">
        <f t="shared" si="15"/>
        <v>0</v>
      </c>
      <c r="V112" s="410">
        <f t="shared" si="16"/>
        <v>0</v>
      </c>
      <c r="W112" s="246">
        <f t="shared" si="17"/>
        <v>0</v>
      </c>
    </row>
    <row r="113" spans="3:23" ht="18.75" customHeight="1" x14ac:dyDescent="0.35">
      <c r="C113" s="20" t="s">
        <v>287</v>
      </c>
      <c r="L113" s="204">
        <f t="shared" si="20"/>
        <v>0</v>
      </c>
      <c r="N113" s="421">
        <f t="shared" si="19"/>
        <v>0</v>
      </c>
      <c r="P113" s="227">
        <f t="shared" si="18"/>
        <v>0</v>
      </c>
      <c r="R113" s="230">
        <f t="shared" si="21"/>
        <v>0</v>
      </c>
      <c r="S113" s="230">
        <f t="shared" si="22"/>
        <v>0</v>
      </c>
      <c r="T113" s="228">
        <f t="shared" si="14"/>
        <v>0</v>
      </c>
      <c r="U113" s="413">
        <f t="shared" si="15"/>
        <v>0</v>
      </c>
      <c r="V113" s="410">
        <f t="shared" si="16"/>
        <v>0</v>
      </c>
      <c r="W113" s="246">
        <f t="shared" si="17"/>
        <v>0</v>
      </c>
    </row>
    <row r="114" spans="3:23" ht="18.75" customHeight="1" x14ac:dyDescent="0.35">
      <c r="C114" s="20" t="s">
        <v>287</v>
      </c>
      <c r="L114" s="204">
        <f t="shared" si="20"/>
        <v>0</v>
      </c>
      <c r="N114" s="421">
        <f t="shared" si="19"/>
        <v>0</v>
      </c>
      <c r="P114" s="227">
        <f t="shared" si="18"/>
        <v>0</v>
      </c>
      <c r="R114" s="230">
        <f t="shared" si="21"/>
        <v>0</v>
      </c>
      <c r="S114" s="230">
        <f t="shared" si="22"/>
        <v>0</v>
      </c>
      <c r="T114" s="228">
        <f t="shared" si="14"/>
        <v>0</v>
      </c>
      <c r="U114" s="413">
        <f t="shared" si="15"/>
        <v>0</v>
      </c>
      <c r="V114" s="410">
        <f t="shared" si="16"/>
        <v>0</v>
      </c>
      <c r="W114" s="246">
        <f t="shared" si="17"/>
        <v>0</v>
      </c>
    </row>
    <row r="115" spans="3:23" ht="18.75" customHeight="1" x14ac:dyDescent="0.35">
      <c r="C115" s="20" t="s">
        <v>287</v>
      </c>
      <c r="L115" s="204">
        <f t="shared" si="20"/>
        <v>0</v>
      </c>
      <c r="N115" s="421">
        <f t="shared" si="19"/>
        <v>0</v>
      </c>
      <c r="P115" s="227">
        <f t="shared" si="18"/>
        <v>0</v>
      </c>
      <c r="R115" s="230">
        <f t="shared" si="21"/>
        <v>0</v>
      </c>
      <c r="S115" s="230">
        <f t="shared" si="22"/>
        <v>0</v>
      </c>
      <c r="T115" s="228">
        <f t="shared" si="14"/>
        <v>0</v>
      </c>
      <c r="U115" s="413">
        <f t="shared" si="15"/>
        <v>0</v>
      </c>
      <c r="V115" s="410">
        <f t="shared" si="16"/>
        <v>0</v>
      </c>
      <c r="W115" s="246">
        <f t="shared" si="17"/>
        <v>0</v>
      </c>
    </row>
    <row r="116" spans="3:23" ht="18.75" customHeight="1" x14ac:dyDescent="0.35">
      <c r="C116" s="20" t="s">
        <v>287</v>
      </c>
      <c r="L116" s="204">
        <f t="shared" si="20"/>
        <v>0</v>
      </c>
      <c r="N116" s="421">
        <f t="shared" si="19"/>
        <v>0</v>
      </c>
      <c r="P116" s="227">
        <f t="shared" si="18"/>
        <v>0</v>
      </c>
      <c r="R116" s="230">
        <f t="shared" si="21"/>
        <v>0</v>
      </c>
      <c r="S116" s="230">
        <f t="shared" si="22"/>
        <v>0</v>
      </c>
      <c r="T116" s="228">
        <f t="shared" si="14"/>
        <v>0</v>
      </c>
      <c r="U116" s="413">
        <f t="shared" si="15"/>
        <v>0</v>
      </c>
      <c r="V116" s="410">
        <f t="shared" si="16"/>
        <v>0</v>
      </c>
      <c r="W116" s="246">
        <f t="shared" si="17"/>
        <v>0</v>
      </c>
    </row>
    <row r="117" spans="3:23" ht="18.75" customHeight="1" x14ac:dyDescent="0.35">
      <c r="C117" s="20" t="s">
        <v>287</v>
      </c>
      <c r="L117" s="204">
        <f t="shared" si="20"/>
        <v>0</v>
      </c>
      <c r="N117" s="421">
        <f t="shared" si="19"/>
        <v>0</v>
      </c>
      <c r="P117" s="227">
        <f t="shared" si="18"/>
        <v>0</v>
      </c>
      <c r="R117" s="230">
        <f t="shared" si="21"/>
        <v>0</v>
      </c>
      <c r="S117" s="230">
        <f t="shared" si="22"/>
        <v>0</v>
      </c>
      <c r="T117" s="228">
        <f t="shared" si="14"/>
        <v>0</v>
      </c>
      <c r="U117" s="413">
        <f t="shared" si="15"/>
        <v>0</v>
      </c>
      <c r="V117" s="410">
        <f t="shared" si="16"/>
        <v>0</v>
      </c>
      <c r="W117" s="246">
        <f t="shared" si="17"/>
        <v>0</v>
      </c>
    </row>
    <row r="118" spans="3:23" ht="18.75" customHeight="1" x14ac:dyDescent="0.35">
      <c r="C118" s="20" t="s">
        <v>287</v>
      </c>
      <c r="L118" s="204">
        <f t="shared" si="20"/>
        <v>0</v>
      </c>
      <c r="N118" s="421">
        <f t="shared" si="19"/>
        <v>0</v>
      </c>
      <c r="P118" s="227">
        <f t="shared" si="18"/>
        <v>0</v>
      </c>
      <c r="R118" s="230">
        <f t="shared" si="21"/>
        <v>0</v>
      </c>
      <c r="S118" s="230">
        <f t="shared" si="22"/>
        <v>0</v>
      </c>
      <c r="T118" s="228">
        <f t="shared" si="14"/>
        <v>0</v>
      </c>
      <c r="U118" s="413">
        <f t="shared" si="15"/>
        <v>0</v>
      </c>
      <c r="V118" s="410">
        <f t="shared" si="16"/>
        <v>0</v>
      </c>
      <c r="W118" s="246">
        <f t="shared" si="17"/>
        <v>0</v>
      </c>
    </row>
    <row r="119" spans="3:23" ht="18.75" customHeight="1" x14ac:dyDescent="0.35">
      <c r="C119" s="20" t="s">
        <v>287</v>
      </c>
      <c r="L119" s="204">
        <f t="shared" si="20"/>
        <v>0</v>
      </c>
      <c r="N119" s="421">
        <f t="shared" si="19"/>
        <v>0</v>
      </c>
      <c r="P119" s="227">
        <f t="shared" si="18"/>
        <v>0</v>
      </c>
      <c r="R119" s="230">
        <f t="shared" si="21"/>
        <v>0</v>
      </c>
      <c r="S119" s="230">
        <f t="shared" si="22"/>
        <v>0</v>
      </c>
      <c r="T119" s="228">
        <f t="shared" si="14"/>
        <v>0</v>
      </c>
      <c r="U119" s="413">
        <f t="shared" si="15"/>
        <v>0</v>
      </c>
      <c r="V119" s="410">
        <f t="shared" si="16"/>
        <v>0</v>
      </c>
      <c r="W119" s="246">
        <f t="shared" si="17"/>
        <v>0</v>
      </c>
    </row>
    <row r="120" spans="3:23" ht="18.75" customHeight="1" x14ac:dyDescent="0.35">
      <c r="C120" s="20" t="s">
        <v>287</v>
      </c>
      <c r="L120" s="204">
        <f t="shared" si="20"/>
        <v>0</v>
      </c>
      <c r="N120" s="421">
        <f t="shared" si="19"/>
        <v>0</v>
      </c>
      <c r="P120" s="227">
        <f t="shared" si="18"/>
        <v>0</v>
      </c>
      <c r="R120" s="230">
        <f t="shared" si="21"/>
        <v>0</v>
      </c>
      <c r="S120" s="230">
        <f t="shared" si="22"/>
        <v>0</v>
      </c>
      <c r="T120" s="228">
        <f t="shared" si="14"/>
        <v>0</v>
      </c>
      <c r="U120" s="413">
        <f t="shared" si="15"/>
        <v>0</v>
      </c>
      <c r="V120" s="410">
        <f t="shared" si="16"/>
        <v>0</v>
      </c>
      <c r="W120" s="246">
        <f t="shared" si="17"/>
        <v>0</v>
      </c>
    </row>
    <row r="121" spans="3:23" ht="18.75" customHeight="1" x14ac:dyDescent="0.35">
      <c r="C121" s="20" t="s">
        <v>287</v>
      </c>
      <c r="L121" s="204">
        <f t="shared" si="20"/>
        <v>0</v>
      </c>
      <c r="N121" s="421">
        <f t="shared" si="19"/>
        <v>0</v>
      </c>
      <c r="P121" s="227">
        <f t="shared" si="18"/>
        <v>0</v>
      </c>
      <c r="R121" s="230">
        <f t="shared" si="21"/>
        <v>0</v>
      </c>
      <c r="S121" s="230">
        <f t="shared" si="22"/>
        <v>0</v>
      </c>
      <c r="T121" s="228">
        <f t="shared" si="14"/>
        <v>0</v>
      </c>
      <c r="U121" s="413">
        <f t="shared" si="15"/>
        <v>0</v>
      </c>
      <c r="V121" s="410">
        <f t="shared" si="16"/>
        <v>0</v>
      </c>
      <c r="W121" s="246">
        <f t="shared" si="17"/>
        <v>0</v>
      </c>
    </row>
    <row r="122" spans="3:23" ht="18.75" customHeight="1" x14ac:dyDescent="0.35">
      <c r="C122" s="20" t="s">
        <v>287</v>
      </c>
      <c r="L122" s="204">
        <f t="shared" si="20"/>
        <v>0</v>
      </c>
      <c r="N122" s="421">
        <f t="shared" si="19"/>
        <v>0</v>
      </c>
      <c r="P122" s="227">
        <f t="shared" si="18"/>
        <v>0</v>
      </c>
      <c r="R122" s="230">
        <f t="shared" si="21"/>
        <v>0</v>
      </c>
      <c r="S122" s="230">
        <f t="shared" si="22"/>
        <v>0</v>
      </c>
      <c r="T122" s="228">
        <f t="shared" si="14"/>
        <v>0</v>
      </c>
      <c r="U122" s="413">
        <f t="shared" si="15"/>
        <v>0</v>
      </c>
      <c r="V122" s="410">
        <f t="shared" si="16"/>
        <v>0</v>
      </c>
      <c r="W122" s="246">
        <f t="shared" si="17"/>
        <v>0</v>
      </c>
    </row>
    <row r="123" spans="3:23" ht="18.75" customHeight="1" x14ac:dyDescent="0.35">
      <c r="C123" s="20" t="s">
        <v>287</v>
      </c>
      <c r="L123" s="204">
        <f t="shared" si="20"/>
        <v>0</v>
      </c>
      <c r="N123" s="421">
        <f t="shared" si="19"/>
        <v>0</v>
      </c>
      <c r="P123" s="227">
        <f t="shared" si="18"/>
        <v>0</v>
      </c>
      <c r="R123" s="230">
        <f t="shared" si="21"/>
        <v>0</v>
      </c>
      <c r="S123" s="230">
        <f t="shared" si="22"/>
        <v>0</v>
      </c>
      <c r="T123" s="228">
        <f t="shared" si="14"/>
        <v>0</v>
      </c>
      <c r="U123" s="413">
        <f t="shared" si="15"/>
        <v>0</v>
      </c>
      <c r="V123" s="410">
        <f t="shared" si="16"/>
        <v>0</v>
      </c>
      <c r="W123" s="246">
        <f t="shared" si="17"/>
        <v>0</v>
      </c>
    </row>
    <row r="124" spans="3:23" ht="18.75" customHeight="1" x14ac:dyDescent="0.35">
      <c r="C124" s="20" t="s">
        <v>287</v>
      </c>
      <c r="L124" s="204">
        <f t="shared" si="20"/>
        <v>0</v>
      </c>
      <c r="N124" s="421">
        <f t="shared" si="19"/>
        <v>0</v>
      </c>
      <c r="P124" s="227">
        <f t="shared" si="18"/>
        <v>0</v>
      </c>
      <c r="R124" s="230">
        <f t="shared" si="21"/>
        <v>0</v>
      </c>
      <c r="S124" s="230">
        <f t="shared" si="22"/>
        <v>0</v>
      </c>
      <c r="T124" s="228">
        <f t="shared" si="14"/>
        <v>0</v>
      </c>
      <c r="U124" s="413">
        <f t="shared" si="15"/>
        <v>0</v>
      </c>
      <c r="V124" s="410">
        <f t="shared" si="16"/>
        <v>0</v>
      </c>
      <c r="W124" s="246">
        <f t="shared" si="17"/>
        <v>0</v>
      </c>
    </row>
    <row r="125" spans="3:23" ht="18.75" customHeight="1" x14ac:dyDescent="0.35">
      <c r="C125" s="20" t="s">
        <v>287</v>
      </c>
      <c r="L125" s="204">
        <f t="shared" si="20"/>
        <v>0</v>
      </c>
      <c r="N125" s="421">
        <f t="shared" si="19"/>
        <v>0</v>
      </c>
      <c r="P125" s="227">
        <f t="shared" si="18"/>
        <v>0</v>
      </c>
      <c r="R125" s="230">
        <f t="shared" si="21"/>
        <v>0</v>
      </c>
      <c r="S125" s="230">
        <f t="shared" si="22"/>
        <v>0</v>
      </c>
      <c r="T125" s="228">
        <f t="shared" si="14"/>
        <v>0</v>
      </c>
      <c r="U125" s="413">
        <f t="shared" si="15"/>
        <v>0</v>
      </c>
      <c r="V125" s="410">
        <f t="shared" si="16"/>
        <v>0</v>
      </c>
      <c r="W125" s="246">
        <f t="shared" si="17"/>
        <v>0</v>
      </c>
    </row>
    <row r="126" spans="3:23" ht="18.75" customHeight="1" x14ac:dyDescent="0.35">
      <c r="C126" s="20" t="s">
        <v>287</v>
      </c>
      <c r="L126" s="204">
        <f t="shared" si="20"/>
        <v>0</v>
      </c>
      <c r="N126" s="421">
        <f t="shared" si="19"/>
        <v>0</v>
      </c>
      <c r="P126" s="227">
        <f t="shared" si="18"/>
        <v>0</v>
      </c>
      <c r="R126" s="230">
        <f t="shared" si="21"/>
        <v>0</v>
      </c>
      <c r="S126" s="230">
        <f t="shared" si="22"/>
        <v>0</v>
      </c>
      <c r="T126" s="228">
        <f t="shared" si="14"/>
        <v>0</v>
      </c>
      <c r="U126" s="413">
        <f t="shared" si="15"/>
        <v>0</v>
      </c>
      <c r="V126" s="410">
        <f t="shared" si="16"/>
        <v>0</v>
      </c>
      <c r="W126" s="246">
        <f t="shared" si="17"/>
        <v>0</v>
      </c>
    </row>
    <row r="127" spans="3:23" ht="18.75" customHeight="1" x14ac:dyDescent="0.35">
      <c r="C127" s="20" t="s">
        <v>287</v>
      </c>
      <c r="L127" s="204">
        <f t="shared" si="20"/>
        <v>0</v>
      </c>
      <c r="N127" s="421">
        <f t="shared" si="19"/>
        <v>0</v>
      </c>
      <c r="P127" s="227">
        <f t="shared" si="18"/>
        <v>0</v>
      </c>
      <c r="R127" s="230">
        <f t="shared" si="21"/>
        <v>0</v>
      </c>
      <c r="S127" s="230">
        <f t="shared" si="22"/>
        <v>0</v>
      </c>
      <c r="T127" s="228">
        <f t="shared" si="14"/>
        <v>0</v>
      </c>
      <c r="U127" s="413">
        <f t="shared" si="15"/>
        <v>0</v>
      </c>
      <c r="V127" s="410">
        <f t="shared" si="16"/>
        <v>0</v>
      </c>
      <c r="W127" s="246">
        <f t="shared" si="17"/>
        <v>0</v>
      </c>
    </row>
    <row r="128" spans="3:23" ht="18.75" customHeight="1" x14ac:dyDescent="0.35">
      <c r="C128" s="20" t="s">
        <v>287</v>
      </c>
      <c r="L128" s="204">
        <f t="shared" si="20"/>
        <v>0</v>
      </c>
      <c r="N128" s="421">
        <f t="shared" si="19"/>
        <v>0</v>
      </c>
      <c r="P128" s="227">
        <f t="shared" si="18"/>
        <v>0</v>
      </c>
      <c r="R128" s="230">
        <f t="shared" si="21"/>
        <v>0</v>
      </c>
      <c r="S128" s="230">
        <f t="shared" si="22"/>
        <v>0</v>
      </c>
      <c r="T128" s="228">
        <f t="shared" si="14"/>
        <v>0</v>
      </c>
      <c r="U128" s="413">
        <f t="shared" si="15"/>
        <v>0</v>
      </c>
      <c r="V128" s="410">
        <f t="shared" si="16"/>
        <v>0</v>
      </c>
      <c r="W128" s="246">
        <f t="shared" si="17"/>
        <v>0</v>
      </c>
    </row>
    <row r="129" spans="3:23" ht="18.75" customHeight="1" x14ac:dyDescent="0.35">
      <c r="C129" s="20" t="s">
        <v>287</v>
      </c>
      <c r="L129" s="204">
        <f t="shared" si="20"/>
        <v>0</v>
      </c>
      <c r="N129" s="421">
        <f t="shared" si="19"/>
        <v>0</v>
      </c>
      <c r="P129" s="227">
        <f t="shared" si="18"/>
        <v>0</v>
      </c>
      <c r="R129" s="230">
        <f t="shared" si="21"/>
        <v>0</v>
      </c>
      <c r="S129" s="230">
        <f t="shared" si="22"/>
        <v>0</v>
      </c>
      <c r="T129" s="228">
        <f t="shared" si="14"/>
        <v>0</v>
      </c>
      <c r="U129" s="413">
        <f t="shared" si="15"/>
        <v>0</v>
      </c>
      <c r="V129" s="410">
        <f t="shared" si="16"/>
        <v>0</v>
      </c>
      <c r="W129" s="246">
        <f t="shared" si="17"/>
        <v>0</v>
      </c>
    </row>
    <row r="130" spans="3:23" ht="18.75" customHeight="1" x14ac:dyDescent="0.35">
      <c r="C130" s="20" t="s">
        <v>287</v>
      </c>
      <c r="L130" s="204">
        <f t="shared" si="20"/>
        <v>0</v>
      </c>
      <c r="N130" s="421">
        <f t="shared" si="19"/>
        <v>0</v>
      </c>
      <c r="P130" s="227">
        <f t="shared" si="18"/>
        <v>0</v>
      </c>
      <c r="R130" s="230">
        <f t="shared" si="21"/>
        <v>0</v>
      </c>
      <c r="S130" s="230">
        <f t="shared" si="22"/>
        <v>0</v>
      </c>
      <c r="T130" s="228">
        <f t="shared" si="14"/>
        <v>0</v>
      </c>
      <c r="U130" s="413">
        <f t="shared" si="15"/>
        <v>0</v>
      </c>
      <c r="V130" s="410">
        <f t="shared" si="16"/>
        <v>0</v>
      </c>
      <c r="W130" s="246">
        <f t="shared" si="17"/>
        <v>0</v>
      </c>
    </row>
    <row r="131" spans="3:23" ht="18.75" customHeight="1" x14ac:dyDescent="0.35">
      <c r="C131" s="20" t="s">
        <v>287</v>
      </c>
      <c r="L131" s="204">
        <f t="shared" si="20"/>
        <v>0</v>
      </c>
      <c r="N131" s="421">
        <f t="shared" si="19"/>
        <v>0</v>
      </c>
      <c r="P131" s="227">
        <f t="shared" si="18"/>
        <v>0</v>
      </c>
      <c r="R131" s="230">
        <f t="shared" si="21"/>
        <v>0</v>
      </c>
      <c r="S131" s="230">
        <f t="shared" si="22"/>
        <v>0</v>
      </c>
      <c r="T131" s="228">
        <f t="shared" si="14"/>
        <v>0</v>
      </c>
      <c r="U131" s="413">
        <f t="shared" si="15"/>
        <v>0</v>
      </c>
      <c r="V131" s="410">
        <f t="shared" si="16"/>
        <v>0</v>
      </c>
      <c r="W131" s="246">
        <f t="shared" si="17"/>
        <v>0</v>
      </c>
    </row>
    <row r="132" spans="3:23" ht="18.75" customHeight="1" x14ac:dyDescent="0.35">
      <c r="C132" s="20" t="s">
        <v>287</v>
      </c>
      <c r="L132" s="204">
        <f t="shared" si="20"/>
        <v>0</v>
      </c>
      <c r="N132" s="421">
        <f t="shared" si="19"/>
        <v>0</v>
      </c>
      <c r="P132" s="227">
        <f t="shared" si="18"/>
        <v>0</v>
      </c>
      <c r="R132" s="230">
        <f t="shared" si="21"/>
        <v>0</v>
      </c>
      <c r="S132" s="230">
        <f t="shared" si="22"/>
        <v>0</v>
      </c>
      <c r="T132" s="228">
        <f t="shared" ref="T132:T195" si="23">L132-P132-Q132-R132-S132</f>
        <v>0</v>
      </c>
      <c r="U132" s="413">
        <f t="shared" ref="U132:U195" si="24">IF(K132="CORREO",0,N132)</f>
        <v>0</v>
      </c>
      <c r="V132" s="410">
        <f t="shared" si="16"/>
        <v>0</v>
      </c>
      <c r="W132" s="246">
        <f t="shared" si="17"/>
        <v>0</v>
      </c>
    </row>
    <row r="133" spans="3:23" ht="18.75" customHeight="1" x14ac:dyDescent="0.35">
      <c r="C133" s="20" t="s">
        <v>287</v>
      </c>
      <c r="L133" s="204">
        <f t="shared" si="20"/>
        <v>0</v>
      </c>
      <c r="N133" s="421">
        <f t="shared" si="19"/>
        <v>0</v>
      </c>
      <c r="P133" s="227">
        <f t="shared" si="18"/>
        <v>0</v>
      </c>
      <c r="R133" s="230">
        <f t="shared" si="21"/>
        <v>0</v>
      </c>
      <c r="S133" s="230">
        <f t="shared" si="22"/>
        <v>0</v>
      </c>
      <c r="T133" s="228">
        <f t="shared" si="23"/>
        <v>0</v>
      </c>
      <c r="U133" s="413">
        <f t="shared" si="24"/>
        <v>0</v>
      </c>
      <c r="V133" s="410">
        <f t="shared" ref="V133:V196" si="25">T133*0.05</f>
        <v>0</v>
      </c>
      <c r="W133" s="246">
        <f t="shared" ref="W133:W196" si="26">T133*0.05</f>
        <v>0</v>
      </c>
    </row>
    <row r="134" spans="3:23" ht="18.75" customHeight="1" x14ac:dyDescent="0.35">
      <c r="C134" s="20" t="s">
        <v>287</v>
      </c>
      <c r="L134" s="204">
        <f t="shared" si="20"/>
        <v>0</v>
      </c>
      <c r="N134" s="421">
        <f t="shared" si="19"/>
        <v>0</v>
      </c>
      <c r="P134" s="227">
        <f t="shared" ref="P134:P197" si="27">_xlfn.XLOOKUP(H134, AA:AA, AB:AB) * I134</f>
        <v>0</v>
      </c>
      <c r="R134" s="230">
        <f t="shared" si="21"/>
        <v>0</v>
      </c>
      <c r="S134" s="230">
        <f t="shared" si="22"/>
        <v>0</v>
      </c>
      <c r="T134" s="228">
        <f t="shared" si="23"/>
        <v>0</v>
      </c>
      <c r="U134" s="413">
        <f t="shared" si="24"/>
        <v>0</v>
      </c>
      <c r="V134" s="410">
        <f t="shared" si="25"/>
        <v>0</v>
      </c>
      <c r="W134" s="246">
        <f t="shared" si="26"/>
        <v>0</v>
      </c>
    </row>
    <row r="135" spans="3:23" ht="18.75" customHeight="1" x14ac:dyDescent="0.35">
      <c r="C135" s="20" t="s">
        <v>287</v>
      </c>
      <c r="L135" s="204">
        <f t="shared" si="20"/>
        <v>0</v>
      </c>
      <c r="N135" s="421">
        <f t="shared" ref="N135:N198" si="28">M135-L135</f>
        <v>0</v>
      </c>
      <c r="P135" s="227">
        <f t="shared" si="27"/>
        <v>0</v>
      </c>
      <c r="R135" s="230">
        <f t="shared" si="21"/>
        <v>0</v>
      </c>
      <c r="S135" s="230">
        <f t="shared" si="22"/>
        <v>0</v>
      </c>
      <c r="T135" s="228">
        <f t="shared" si="23"/>
        <v>0</v>
      </c>
      <c r="U135" s="413">
        <f t="shared" si="24"/>
        <v>0</v>
      </c>
      <c r="V135" s="410">
        <f t="shared" si="25"/>
        <v>0</v>
      </c>
      <c r="W135" s="246">
        <f t="shared" si="26"/>
        <v>0</v>
      </c>
    </row>
    <row r="136" spans="3:23" ht="18.75" customHeight="1" x14ac:dyDescent="0.35">
      <c r="C136" s="20" t="s">
        <v>287</v>
      </c>
      <c r="L136" s="204">
        <f t="shared" si="20"/>
        <v>0</v>
      </c>
      <c r="N136" s="421">
        <f t="shared" si="28"/>
        <v>0</v>
      </c>
      <c r="P136" s="227">
        <f t="shared" si="27"/>
        <v>0</v>
      </c>
      <c r="R136" s="230">
        <f t="shared" si="21"/>
        <v>0</v>
      </c>
      <c r="S136" s="230">
        <f t="shared" si="22"/>
        <v>0</v>
      </c>
      <c r="T136" s="228">
        <f t="shared" si="23"/>
        <v>0</v>
      </c>
      <c r="U136" s="413">
        <f t="shared" si="24"/>
        <v>0</v>
      </c>
      <c r="V136" s="410">
        <f t="shared" si="25"/>
        <v>0</v>
      </c>
      <c r="W136" s="246">
        <f t="shared" si="26"/>
        <v>0</v>
      </c>
    </row>
    <row r="137" spans="3:23" ht="18.75" customHeight="1" x14ac:dyDescent="0.35">
      <c r="C137" s="20" t="s">
        <v>287</v>
      </c>
      <c r="L137" s="204">
        <f t="shared" si="20"/>
        <v>0</v>
      </c>
      <c r="N137" s="421">
        <f t="shared" si="28"/>
        <v>0</v>
      </c>
      <c r="P137" s="227">
        <f t="shared" si="27"/>
        <v>0</v>
      </c>
      <c r="R137" s="230">
        <f t="shared" si="21"/>
        <v>0</v>
      </c>
      <c r="S137" s="230">
        <f t="shared" si="22"/>
        <v>0</v>
      </c>
      <c r="T137" s="228">
        <f t="shared" si="23"/>
        <v>0</v>
      </c>
      <c r="U137" s="413">
        <f t="shared" si="24"/>
        <v>0</v>
      </c>
      <c r="V137" s="410">
        <f t="shared" si="25"/>
        <v>0</v>
      </c>
      <c r="W137" s="246">
        <f t="shared" si="26"/>
        <v>0</v>
      </c>
    </row>
    <row r="138" spans="3:23" ht="18.75" customHeight="1" x14ac:dyDescent="0.35">
      <c r="C138" s="20" t="s">
        <v>287</v>
      </c>
      <c r="L138" s="204">
        <f t="shared" si="20"/>
        <v>0</v>
      </c>
      <c r="N138" s="421">
        <f t="shared" si="28"/>
        <v>0</v>
      </c>
      <c r="P138" s="227">
        <f t="shared" si="27"/>
        <v>0</v>
      </c>
      <c r="R138" s="230">
        <f t="shared" si="21"/>
        <v>0</v>
      </c>
      <c r="S138" s="230">
        <f t="shared" si="22"/>
        <v>0</v>
      </c>
      <c r="T138" s="228">
        <f t="shared" si="23"/>
        <v>0</v>
      </c>
      <c r="U138" s="413">
        <f t="shared" si="24"/>
        <v>0</v>
      </c>
      <c r="V138" s="410">
        <f t="shared" si="25"/>
        <v>0</v>
      </c>
      <c r="W138" s="246">
        <f t="shared" si="26"/>
        <v>0</v>
      </c>
    </row>
    <row r="139" spans="3:23" ht="18.75" customHeight="1" x14ac:dyDescent="0.35">
      <c r="C139" s="20" t="s">
        <v>287</v>
      </c>
      <c r="L139" s="204">
        <f t="shared" si="20"/>
        <v>0</v>
      </c>
      <c r="N139" s="421">
        <f t="shared" si="28"/>
        <v>0</v>
      </c>
      <c r="P139" s="227">
        <f t="shared" si="27"/>
        <v>0</v>
      </c>
      <c r="R139" s="230">
        <f t="shared" si="21"/>
        <v>0</v>
      </c>
      <c r="S139" s="230">
        <f t="shared" si="22"/>
        <v>0</v>
      </c>
      <c r="T139" s="228">
        <f t="shared" si="23"/>
        <v>0</v>
      </c>
      <c r="U139" s="413">
        <f t="shared" si="24"/>
        <v>0</v>
      </c>
      <c r="V139" s="410">
        <f t="shared" si="25"/>
        <v>0</v>
      </c>
      <c r="W139" s="246">
        <f t="shared" si="26"/>
        <v>0</v>
      </c>
    </row>
    <row r="140" spans="3:23" ht="18.75" customHeight="1" x14ac:dyDescent="0.35">
      <c r="C140" s="20" t="s">
        <v>287</v>
      </c>
      <c r="L140" s="204">
        <f t="shared" si="20"/>
        <v>0</v>
      </c>
      <c r="N140" s="421">
        <f t="shared" si="28"/>
        <v>0</v>
      </c>
      <c r="P140" s="227">
        <f t="shared" si="27"/>
        <v>0</v>
      </c>
      <c r="R140" s="230">
        <f t="shared" si="21"/>
        <v>0</v>
      </c>
      <c r="S140" s="230">
        <f t="shared" si="22"/>
        <v>0</v>
      </c>
      <c r="T140" s="228">
        <f t="shared" si="23"/>
        <v>0</v>
      </c>
      <c r="U140" s="413">
        <f t="shared" si="24"/>
        <v>0</v>
      </c>
      <c r="V140" s="410">
        <f t="shared" si="25"/>
        <v>0</v>
      </c>
      <c r="W140" s="246">
        <f t="shared" si="26"/>
        <v>0</v>
      </c>
    </row>
    <row r="141" spans="3:23" ht="18.75" customHeight="1" x14ac:dyDescent="0.35">
      <c r="C141" s="20" t="s">
        <v>287</v>
      </c>
      <c r="L141" s="204">
        <f t="shared" si="20"/>
        <v>0</v>
      </c>
      <c r="N141" s="421">
        <f t="shared" si="28"/>
        <v>0</v>
      </c>
      <c r="P141" s="227">
        <f t="shared" si="27"/>
        <v>0</v>
      </c>
      <c r="R141" s="230">
        <f t="shared" si="21"/>
        <v>0</v>
      </c>
      <c r="S141" s="230">
        <f t="shared" si="22"/>
        <v>0</v>
      </c>
      <c r="T141" s="228">
        <f t="shared" si="23"/>
        <v>0</v>
      </c>
      <c r="U141" s="413">
        <f t="shared" si="24"/>
        <v>0</v>
      </c>
      <c r="V141" s="410">
        <f t="shared" si="25"/>
        <v>0</v>
      </c>
      <c r="W141" s="246">
        <f t="shared" si="26"/>
        <v>0</v>
      </c>
    </row>
    <row r="142" spans="3:23" ht="18.75" customHeight="1" x14ac:dyDescent="0.35">
      <c r="C142" s="20" t="s">
        <v>287</v>
      </c>
      <c r="L142" s="204">
        <f t="shared" ref="L142:L205" si="29">IFERROR(IF(J142="Transferencia",_xlfn.XLOOKUP(H142,$AA:$AA,$AE:$AE)*I142,_xlfn.XLOOKUP(H142,$AA:$AA,$AD:$AD)*I142),0)</f>
        <v>0</v>
      </c>
      <c r="N142" s="421">
        <f t="shared" si="28"/>
        <v>0</v>
      </c>
      <c r="P142" s="227">
        <f t="shared" si="27"/>
        <v>0</v>
      </c>
      <c r="R142" s="230">
        <f t="shared" ref="R142:R205" si="30">M142*0.0006</f>
        <v>0</v>
      </c>
      <c r="S142" s="230">
        <f t="shared" ref="S142:S205" si="31">M142*0.02</f>
        <v>0</v>
      </c>
      <c r="T142" s="228">
        <f t="shared" si="23"/>
        <v>0</v>
      </c>
      <c r="U142" s="413">
        <f t="shared" si="24"/>
        <v>0</v>
      </c>
      <c r="V142" s="410">
        <f t="shared" si="25"/>
        <v>0</v>
      </c>
      <c r="W142" s="246">
        <f t="shared" si="26"/>
        <v>0</v>
      </c>
    </row>
    <row r="143" spans="3:23" ht="18.75" customHeight="1" x14ac:dyDescent="0.35">
      <c r="C143" s="20" t="s">
        <v>287</v>
      </c>
      <c r="L143" s="204">
        <f t="shared" si="29"/>
        <v>0</v>
      </c>
      <c r="N143" s="421">
        <f t="shared" si="28"/>
        <v>0</v>
      </c>
      <c r="P143" s="227">
        <f t="shared" si="27"/>
        <v>0</v>
      </c>
      <c r="R143" s="230">
        <f t="shared" si="30"/>
        <v>0</v>
      </c>
      <c r="S143" s="230">
        <f t="shared" si="31"/>
        <v>0</v>
      </c>
      <c r="T143" s="228">
        <f t="shared" si="23"/>
        <v>0</v>
      </c>
      <c r="U143" s="413">
        <f t="shared" si="24"/>
        <v>0</v>
      </c>
      <c r="V143" s="410">
        <f t="shared" si="25"/>
        <v>0</v>
      </c>
      <c r="W143" s="246">
        <f t="shared" si="26"/>
        <v>0</v>
      </c>
    </row>
    <row r="144" spans="3:23" ht="18.75" customHeight="1" x14ac:dyDescent="0.35">
      <c r="C144" s="20" t="s">
        <v>287</v>
      </c>
      <c r="L144" s="204">
        <f t="shared" si="29"/>
        <v>0</v>
      </c>
      <c r="N144" s="421">
        <f t="shared" si="28"/>
        <v>0</v>
      </c>
      <c r="P144" s="227">
        <f t="shared" si="27"/>
        <v>0</v>
      </c>
      <c r="R144" s="230">
        <f t="shared" si="30"/>
        <v>0</v>
      </c>
      <c r="S144" s="230">
        <f t="shared" si="31"/>
        <v>0</v>
      </c>
      <c r="T144" s="228">
        <f t="shared" si="23"/>
        <v>0</v>
      </c>
      <c r="U144" s="413">
        <f t="shared" si="24"/>
        <v>0</v>
      </c>
      <c r="V144" s="410">
        <f t="shared" si="25"/>
        <v>0</v>
      </c>
      <c r="W144" s="246">
        <f t="shared" si="26"/>
        <v>0</v>
      </c>
    </row>
    <row r="145" spans="3:23" ht="18.75" customHeight="1" x14ac:dyDescent="0.35">
      <c r="C145" s="20" t="s">
        <v>287</v>
      </c>
      <c r="L145" s="204">
        <f t="shared" si="29"/>
        <v>0</v>
      </c>
      <c r="N145" s="421">
        <f t="shared" si="28"/>
        <v>0</v>
      </c>
      <c r="P145" s="227">
        <f t="shared" si="27"/>
        <v>0</v>
      </c>
      <c r="R145" s="230">
        <f t="shared" si="30"/>
        <v>0</v>
      </c>
      <c r="S145" s="230">
        <f t="shared" si="31"/>
        <v>0</v>
      </c>
      <c r="T145" s="228">
        <f t="shared" si="23"/>
        <v>0</v>
      </c>
      <c r="U145" s="413">
        <f t="shared" si="24"/>
        <v>0</v>
      </c>
      <c r="V145" s="410">
        <f t="shared" si="25"/>
        <v>0</v>
      </c>
      <c r="W145" s="246">
        <f t="shared" si="26"/>
        <v>0</v>
      </c>
    </row>
    <row r="146" spans="3:23" ht="18.75" customHeight="1" x14ac:dyDescent="0.35">
      <c r="C146" s="20" t="s">
        <v>287</v>
      </c>
      <c r="L146" s="204">
        <f t="shared" si="29"/>
        <v>0</v>
      </c>
      <c r="N146" s="421">
        <f t="shared" si="28"/>
        <v>0</v>
      </c>
      <c r="P146" s="227">
        <f t="shared" si="27"/>
        <v>0</v>
      </c>
      <c r="R146" s="230">
        <f t="shared" si="30"/>
        <v>0</v>
      </c>
      <c r="S146" s="230">
        <f t="shared" si="31"/>
        <v>0</v>
      </c>
      <c r="T146" s="228">
        <f t="shared" si="23"/>
        <v>0</v>
      </c>
      <c r="U146" s="413">
        <f t="shared" si="24"/>
        <v>0</v>
      </c>
      <c r="V146" s="410">
        <f t="shared" si="25"/>
        <v>0</v>
      </c>
      <c r="W146" s="246">
        <f t="shared" si="26"/>
        <v>0</v>
      </c>
    </row>
    <row r="147" spans="3:23" ht="18.75" customHeight="1" x14ac:dyDescent="0.35">
      <c r="C147" s="20" t="s">
        <v>287</v>
      </c>
      <c r="L147" s="204">
        <f t="shared" si="29"/>
        <v>0</v>
      </c>
      <c r="N147" s="421">
        <f t="shared" si="28"/>
        <v>0</v>
      </c>
      <c r="P147" s="227">
        <f t="shared" si="27"/>
        <v>0</v>
      </c>
      <c r="R147" s="230">
        <f t="shared" si="30"/>
        <v>0</v>
      </c>
      <c r="S147" s="230">
        <f t="shared" si="31"/>
        <v>0</v>
      </c>
      <c r="T147" s="228">
        <f t="shared" si="23"/>
        <v>0</v>
      </c>
      <c r="U147" s="413">
        <f t="shared" si="24"/>
        <v>0</v>
      </c>
      <c r="V147" s="410">
        <f t="shared" si="25"/>
        <v>0</v>
      </c>
      <c r="W147" s="246">
        <f t="shared" si="26"/>
        <v>0</v>
      </c>
    </row>
    <row r="148" spans="3:23" ht="18.75" customHeight="1" x14ac:dyDescent="0.35">
      <c r="C148" s="20" t="s">
        <v>287</v>
      </c>
      <c r="L148" s="204">
        <f t="shared" si="29"/>
        <v>0</v>
      </c>
      <c r="N148" s="421">
        <f t="shared" si="28"/>
        <v>0</v>
      </c>
      <c r="P148" s="227">
        <f t="shared" si="27"/>
        <v>0</v>
      </c>
      <c r="R148" s="230">
        <f t="shared" si="30"/>
        <v>0</v>
      </c>
      <c r="S148" s="230">
        <f t="shared" si="31"/>
        <v>0</v>
      </c>
      <c r="T148" s="228">
        <f t="shared" si="23"/>
        <v>0</v>
      </c>
      <c r="U148" s="413">
        <f t="shared" si="24"/>
        <v>0</v>
      </c>
      <c r="V148" s="410">
        <f t="shared" si="25"/>
        <v>0</v>
      </c>
      <c r="W148" s="246">
        <f t="shared" si="26"/>
        <v>0</v>
      </c>
    </row>
    <row r="149" spans="3:23" ht="18.75" customHeight="1" x14ac:dyDescent="0.35">
      <c r="C149" s="20" t="s">
        <v>287</v>
      </c>
      <c r="L149" s="204">
        <f t="shared" si="29"/>
        <v>0</v>
      </c>
      <c r="N149" s="421">
        <f t="shared" si="28"/>
        <v>0</v>
      </c>
      <c r="P149" s="227">
        <f t="shared" si="27"/>
        <v>0</v>
      </c>
      <c r="R149" s="230">
        <f t="shared" si="30"/>
        <v>0</v>
      </c>
      <c r="S149" s="230">
        <f t="shared" si="31"/>
        <v>0</v>
      </c>
      <c r="T149" s="228">
        <f t="shared" si="23"/>
        <v>0</v>
      </c>
      <c r="U149" s="413">
        <f t="shared" si="24"/>
        <v>0</v>
      </c>
      <c r="V149" s="410">
        <f t="shared" si="25"/>
        <v>0</v>
      </c>
      <c r="W149" s="246">
        <f t="shared" si="26"/>
        <v>0</v>
      </c>
    </row>
    <row r="150" spans="3:23" ht="18.75" customHeight="1" x14ac:dyDescent="0.35">
      <c r="C150" s="20" t="s">
        <v>287</v>
      </c>
      <c r="L150" s="204">
        <f t="shared" si="29"/>
        <v>0</v>
      </c>
      <c r="N150" s="421">
        <f t="shared" si="28"/>
        <v>0</v>
      </c>
      <c r="P150" s="227">
        <f t="shared" si="27"/>
        <v>0</v>
      </c>
      <c r="R150" s="230">
        <f t="shared" si="30"/>
        <v>0</v>
      </c>
      <c r="S150" s="230">
        <f t="shared" si="31"/>
        <v>0</v>
      </c>
      <c r="T150" s="228">
        <f t="shared" si="23"/>
        <v>0</v>
      </c>
      <c r="U150" s="413">
        <f t="shared" si="24"/>
        <v>0</v>
      </c>
      <c r="V150" s="410">
        <f t="shared" si="25"/>
        <v>0</v>
      </c>
      <c r="W150" s="246">
        <f t="shared" si="26"/>
        <v>0</v>
      </c>
    </row>
    <row r="151" spans="3:23" ht="18.75" customHeight="1" x14ac:dyDescent="0.35">
      <c r="C151" s="20" t="s">
        <v>287</v>
      </c>
      <c r="L151" s="204">
        <f t="shared" si="29"/>
        <v>0</v>
      </c>
      <c r="N151" s="421">
        <f t="shared" si="28"/>
        <v>0</v>
      </c>
      <c r="P151" s="227">
        <f t="shared" si="27"/>
        <v>0</v>
      </c>
      <c r="R151" s="230">
        <f t="shared" si="30"/>
        <v>0</v>
      </c>
      <c r="S151" s="230">
        <f t="shared" si="31"/>
        <v>0</v>
      </c>
      <c r="T151" s="228">
        <f t="shared" si="23"/>
        <v>0</v>
      </c>
      <c r="U151" s="413">
        <f t="shared" si="24"/>
        <v>0</v>
      </c>
      <c r="V151" s="410">
        <f t="shared" si="25"/>
        <v>0</v>
      </c>
      <c r="W151" s="246">
        <f t="shared" si="26"/>
        <v>0</v>
      </c>
    </row>
    <row r="152" spans="3:23" ht="18.75" customHeight="1" x14ac:dyDescent="0.35">
      <c r="C152" s="20" t="s">
        <v>287</v>
      </c>
      <c r="L152" s="204">
        <f t="shared" si="29"/>
        <v>0</v>
      </c>
      <c r="N152" s="421">
        <f t="shared" si="28"/>
        <v>0</v>
      </c>
      <c r="P152" s="227">
        <f t="shared" si="27"/>
        <v>0</v>
      </c>
      <c r="R152" s="230">
        <f t="shared" si="30"/>
        <v>0</v>
      </c>
      <c r="S152" s="230">
        <f t="shared" si="31"/>
        <v>0</v>
      </c>
      <c r="T152" s="228">
        <f t="shared" si="23"/>
        <v>0</v>
      </c>
      <c r="U152" s="413">
        <f t="shared" si="24"/>
        <v>0</v>
      </c>
      <c r="V152" s="410">
        <f t="shared" si="25"/>
        <v>0</v>
      </c>
      <c r="W152" s="246">
        <f t="shared" si="26"/>
        <v>0</v>
      </c>
    </row>
    <row r="153" spans="3:23" ht="18.75" customHeight="1" x14ac:dyDescent="0.35">
      <c r="C153" s="20" t="s">
        <v>287</v>
      </c>
      <c r="L153" s="204">
        <f t="shared" si="29"/>
        <v>0</v>
      </c>
      <c r="N153" s="421">
        <f t="shared" si="28"/>
        <v>0</v>
      </c>
      <c r="P153" s="227">
        <f t="shared" si="27"/>
        <v>0</v>
      </c>
      <c r="R153" s="230">
        <f t="shared" si="30"/>
        <v>0</v>
      </c>
      <c r="S153" s="230">
        <f t="shared" si="31"/>
        <v>0</v>
      </c>
      <c r="T153" s="228">
        <f t="shared" si="23"/>
        <v>0</v>
      </c>
      <c r="U153" s="413">
        <f t="shared" si="24"/>
        <v>0</v>
      </c>
      <c r="V153" s="410">
        <f t="shared" si="25"/>
        <v>0</v>
      </c>
      <c r="W153" s="246">
        <f t="shared" si="26"/>
        <v>0</v>
      </c>
    </row>
    <row r="154" spans="3:23" ht="18.75" customHeight="1" x14ac:dyDescent="0.35">
      <c r="C154" s="20" t="s">
        <v>287</v>
      </c>
      <c r="L154" s="204">
        <f t="shared" si="29"/>
        <v>0</v>
      </c>
      <c r="N154" s="421">
        <f t="shared" si="28"/>
        <v>0</v>
      </c>
      <c r="P154" s="227">
        <f t="shared" si="27"/>
        <v>0</v>
      </c>
      <c r="R154" s="230">
        <f t="shared" si="30"/>
        <v>0</v>
      </c>
      <c r="S154" s="230">
        <f t="shared" si="31"/>
        <v>0</v>
      </c>
      <c r="T154" s="228">
        <f t="shared" si="23"/>
        <v>0</v>
      </c>
      <c r="U154" s="413">
        <f t="shared" si="24"/>
        <v>0</v>
      </c>
      <c r="V154" s="410">
        <f t="shared" si="25"/>
        <v>0</v>
      </c>
      <c r="W154" s="246">
        <f t="shared" si="26"/>
        <v>0</v>
      </c>
    </row>
    <row r="155" spans="3:23" ht="18.75" customHeight="1" x14ac:dyDescent="0.35">
      <c r="C155" s="20" t="s">
        <v>287</v>
      </c>
      <c r="L155" s="204">
        <f t="shared" si="29"/>
        <v>0</v>
      </c>
      <c r="N155" s="421">
        <f t="shared" si="28"/>
        <v>0</v>
      </c>
      <c r="P155" s="227">
        <f t="shared" si="27"/>
        <v>0</v>
      </c>
      <c r="R155" s="230">
        <f t="shared" si="30"/>
        <v>0</v>
      </c>
      <c r="S155" s="230">
        <f t="shared" si="31"/>
        <v>0</v>
      </c>
      <c r="T155" s="228">
        <f t="shared" si="23"/>
        <v>0</v>
      </c>
      <c r="U155" s="413">
        <f t="shared" si="24"/>
        <v>0</v>
      </c>
      <c r="V155" s="410">
        <f t="shared" si="25"/>
        <v>0</v>
      </c>
      <c r="W155" s="246">
        <f t="shared" si="26"/>
        <v>0</v>
      </c>
    </row>
    <row r="156" spans="3:23" ht="18.75" customHeight="1" x14ac:dyDescent="0.35">
      <c r="C156" s="20" t="s">
        <v>287</v>
      </c>
      <c r="L156" s="204">
        <f t="shared" si="29"/>
        <v>0</v>
      </c>
      <c r="N156" s="421">
        <f t="shared" si="28"/>
        <v>0</v>
      </c>
      <c r="P156" s="227">
        <f t="shared" si="27"/>
        <v>0</v>
      </c>
      <c r="R156" s="230">
        <f t="shared" si="30"/>
        <v>0</v>
      </c>
      <c r="S156" s="230">
        <f t="shared" si="31"/>
        <v>0</v>
      </c>
      <c r="T156" s="228">
        <f t="shared" si="23"/>
        <v>0</v>
      </c>
      <c r="U156" s="413">
        <f t="shared" si="24"/>
        <v>0</v>
      </c>
      <c r="V156" s="410">
        <f t="shared" si="25"/>
        <v>0</v>
      </c>
      <c r="W156" s="246">
        <f t="shared" si="26"/>
        <v>0</v>
      </c>
    </row>
    <row r="157" spans="3:23" ht="18.75" customHeight="1" x14ac:dyDescent="0.35">
      <c r="C157" s="20" t="s">
        <v>287</v>
      </c>
      <c r="L157" s="204">
        <f t="shared" si="29"/>
        <v>0</v>
      </c>
      <c r="N157" s="421">
        <f t="shared" si="28"/>
        <v>0</v>
      </c>
      <c r="P157" s="227">
        <f t="shared" si="27"/>
        <v>0</v>
      </c>
      <c r="R157" s="230">
        <f t="shared" si="30"/>
        <v>0</v>
      </c>
      <c r="S157" s="230">
        <f t="shared" si="31"/>
        <v>0</v>
      </c>
      <c r="T157" s="228">
        <f t="shared" si="23"/>
        <v>0</v>
      </c>
      <c r="U157" s="413">
        <f t="shared" si="24"/>
        <v>0</v>
      </c>
      <c r="V157" s="410">
        <f t="shared" si="25"/>
        <v>0</v>
      </c>
      <c r="W157" s="246">
        <f t="shared" si="26"/>
        <v>0</v>
      </c>
    </row>
    <row r="158" spans="3:23" ht="18.75" customHeight="1" x14ac:dyDescent="0.35">
      <c r="C158" s="20" t="s">
        <v>287</v>
      </c>
      <c r="L158" s="204">
        <f t="shared" si="29"/>
        <v>0</v>
      </c>
      <c r="N158" s="421">
        <f t="shared" si="28"/>
        <v>0</v>
      </c>
      <c r="P158" s="227">
        <f t="shared" si="27"/>
        <v>0</v>
      </c>
      <c r="R158" s="230">
        <f t="shared" si="30"/>
        <v>0</v>
      </c>
      <c r="S158" s="230">
        <f t="shared" si="31"/>
        <v>0</v>
      </c>
      <c r="T158" s="228">
        <f t="shared" si="23"/>
        <v>0</v>
      </c>
      <c r="U158" s="413">
        <f t="shared" si="24"/>
        <v>0</v>
      </c>
      <c r="V158" s="410">
        <f t="shared" si="25"/>
        <v>0</v>
      </c>
      <c r="W158" s="246">
        <f t="shared" si="26"/>
        <v>0</v>
      </c>
    </row>
    <row r="159" spans="3:23" ht="18.75" customHeight="1" x14ac:dyDescent="0.35">
      <c r="C159" s="20" t="s">
        <v>287</v>
      </c>
      <c r="L159" s="204">
        <f t="shared" si="29"/>
        <v>0</v>
      </c>
      <c r="N159" s="421">
        <f t="shared" si="28"/>
        <v>0</v>
      </c>
      <c r="P159" s="227">
        <f t="shared" si="27"/>
        <v>0</v>
      </c>
      <c r="R159" s="230">
        <f t="shared" si="30"/>
        <v>0</v>
      </c>
      <c r="S159" s="230">
        <f t="shared" si="31"/>
        <v>0</v>
      </c>
      <c r="T159" s="228">
        <f t="shared" si="23"/>
        <v>0</v>
      </c>
      <c r="U159" s="413">
        <f t="shared" si="24"/>
        <v>0</v>
      </c>
      <c r="V159" s="410">
        <f t="shared" si="25"/>
        <v>0</v>
      </c>
      <c r="W159" s="246">
        <f t="shared" si="26"/>
        <v>0</v>
      </c>
    </row>
    <row r="160" spans="3:23" ht="18.75" customHeight="1" x14ac:dyDescent="0.35">
      <c r="C160" s="20" t="s">
        <v>287</v>
      </c>
      <c r="L160" s="204">
        <f t="shared" si="29"/>
        <v>0</v>
      </c>
      <c r="N160" s="421">
        <f t="shared" si="28"/>
        <v>0</v>
      </c>
      <c r="P160" s="227">
        <f t="shared" si="27"/>
        <v>0</v>
      </c>
      <c r="R160" s="230">
        <f t="shared" si="30"/>
        <v>0</v>
      </c>
      <c r="S160" s="230">
        <f t="shared" si="31"/>
        <v>0</v>
      </c>
      <c r="T160" s="228">
        <f t="shared" si="23"/>
        <v>0</v>
      </c>
      <c r="U160" s="413">
        <f t="shared" si="24"/>
        <v>0</v>
      </c>
      <c r="V160" s="410">
        <f t="shared" si="25"/>
        <v>0</v>
      </c>
      <c r="W160" s="246">
        <f t="shared" si="26"/>
        <v>0</v>
      </c>
    </row>
    <row r="161" spans="3:23" ht="18.75" customHeight="1" x14ac:dyDescent="0.35">
      <c r="C161" s="20" t="s">
        <v>287</v>
      </c>
      <c r="L161" s="204">
        <f t="shared" si="29"/>
        <v>0</v>
      </c>
      <c r="N161" s="421">
        <f t="shared" si="28"/>
        <v>0</v>
      </c>
      <c r="P161" s="227">
        <f t="shared" si="27"/>
        <v>0</v>
      </c>
      <c r="R161" s="230">
        <f t="shared" si="30"/>
        <v>0</v>
      </c>
      <c r="S161" s="230">
        <f t="shared" si="31"/>
        <v>0</v>
      </c>
      <c r="T161" s="228">
        <f t="shared" si="23"/>
        <v>0</v>
      </c>
      <c r="U161" s="413">
        <f t="shared" si="24"/>
        <v>0</v>
      </c>
      <c r="V161" s="410">
        <f t="shared" si="25"/>
        <v>0</v>
      </c>
      <c r="W161" s="246">
        <f t="shared" si="26"/>
        <v>0</v>
      </c>
    </row>
    <row r="162" spans="3:23" ht="18.75" customHeight="1" x14ac:dyDescent="0.35">
      <c r="C162" s="20" t="s">
        <v>287</v>
      </c>
      <c r="L162" s="204">
        <f t="shared" si="29"/>
        <v>0</v>
      </c>
      <c r="N162" s="421">
        <f t="shared" si="28"/>
        <v>0</v>
      </c>
      <c r="P162" s="227">
        <f t="shared" si="27"/>
        <v>0</v>
      </c>
      <c r="R162" s="230">
        <f t="shared" si="30"/>
        <v>0</v>
      </c>
      <c r="S162" s="230">
        <f t="shared" si="31"/>
        <v>0</v>
      </c>
      <c r="T162" s="228">
        <f t="shared" si="23"/>
        <v>0</v>
      </c>
      <c r="U162" s="413">
        <f t="shared" si="24"/>
        <v>0</v>
      </c>
      <c r="V162" s="410">
        <f t="shared" si="25"/>
        <v>0</v>
      </c>
      <c r="W162" s="246">
        <f t="shared" si="26"/>
        <v>0</v>
      </c>
    </row>
    <row r="163" spans="3:23" ht="18.75" customHeight="1" x14ac:dyDescent="0.35">
      <c r="C163" s="20" t="s">
        <v>287</v>
      </c>
      <c r="L163" s="204">
        <f t="shared" si="29"/>
        <v>0</v>
      </c>
      <c r="N163" s="421">
        <f t="shared" si="28"/>
        <v>0</v>
      </c>
      <c r="P163" s="227">
        <f t="shared" si="27"/>
        <v>0</v>
      </c>
      <c r="R163" s="230">
        <f t="shared" si="30"/>
        <v>0</v>
      </c>
      <c r="S163" s="230">
        <f t="shared" si="31"/>
        <v>0</v>
      </c>
      <c r="T163" s="228">
        <f t="shared" si="23"/>
        <v>0</v>
      </c>
      <c r="U163" s="413">
        <f t="shared" si="24"/>
        <v>0</v>
      </c>
      <c r="V163" s="410">
        <f t="shared" si="25"/>
        <v>0</v>
      </c>
      <c r="W163" s="246">
        <f t="shared" si="26"/>
        <v>0</v>
      </c>
    </row>
    <row r="164" spans="3:23" ht="18.75" customHeight="1" x14ac:dyDescent="0.35">
      <c r="C164" s="20" t="s">
        <v>287</v>
      </c>
      <c r="L164" s="204">
        <f t="shared" si="29"/>
        <v>0</v>
      </c>
      <c r="N164" s="421">
        <f t="shared" si="28"/>
        <v>0</v>
      </c>
      <c r="P164" s="227">
        <f t="shared" si="27"/>
        <v>0</v>
      </c>
      <c r="R164" s="230">
        <f t="shared" si="30"/>
        <v>0</v>
      </c>
      <c r="S164" s="230">
        <f t="shared" si="31"/>
        <v>0</v>
      </c>
      <c r="T164" s="228">
        <f t="shared" si="23"/>
        <v>0</v>
      </c>
      <c r="U164" s="413">
        <f t="shared" si="24"/>
        <v>0</v>
      </c>
      <c r="V164" s="410">
        <f t="shared" si="25"/>
        <v>0</v>
      </c>
      <c r="W164" s="246">
        <f t="shared" si="26"/>
        <v>0</v>
      </c>
    </row>
    <row r="165" spans="3:23" ht="18.75" customHeight="1" x14ac:dyDescent="0.35">
      <c r="C165" s="20" t="s">
        <v>287</v>
      </c>
      <c r="L165" s="204">
        <f t="shared" si="29"/>
        <v>0</v>
      </c>
      <c r="N165" s="421">
        <f t="shared" si="28"/>
        <v>0</v>
      </c>
      <c r="P165" s="227">
        <f t="shared" si="27"/>
        <v>0</v>
      </c>
      <c r="R165" s="230">
        <f t="shared" si="30"/>
        <v>0</v>
      </c>
      <c r="S165" s="230">
        <f t="shared" si="31"/>
        <v>0</v>
      </c>
      <c r="T165" s="228">
        <f t="shared" si="23"/>
        <v>0</v>
      </c>
      <c r="U165" s="413">
        <f t="shared" si="24"/>
        <v>0</v>
      </c>
      <c r="V165" s="410">
        <f t="shared" si="25"/>
        <v>0</v>
      </c>
      <c r="W165" s="246">
        <f t="shared" si="26"/>
        <v>0</v>
      </c>
    </row>
    <row r="166" spans="3:23" ht="18.75" customHeight="1" x14ac:dyDescent="0.35">
      <c r="C166" s="20" t="s">
        <v>287</v>
      </c>
      <c r="L166" s="204">
        <f t="shared" si="29"/>
        <v>0</v>
      </c>
      <c r="N166" s="421">
        <f t="shared" si="28"/>
        <v>0</v>
      </c>
      <c r="P166" s="227">
        <f t="shared" si="27"/>
        <v>0</v>
      </c>
      <c r="R166" s="230">
        <f t="shared" si="30"/>
        <v>0</v>
      </c>
      <c r="S166" s="230">
        <f t="shared" si="31"/>
        <v>0</v>
      </c>
      <c r="T166" s="228">
        <f t="shared" si="23"/>
        <v>0</v>
      </c>
      <c r="U166" s="413">
        <f t="shared" si="24"/>
        <v>0</v>
      </c>
      <c r="V166" s="410">
        <f t="shared" si="25"/>
        <v>0</v>
      </c>
      <c r="W166" s="246">
        <f t="shared" si="26"/>
        <v>0</v>
      </c>
    </row>
    <row r="167" spans="3:23" ht="18.75" customHeight="1" x14ac:dyDescent="0.35">
      <c r="C167" s="20" t="s">
        <v>287</v>
      </c>
      <c r="L167" s="204">
        <f t="shared" si="29"/>
        <v>0</v>
      </c>
      <c r="N167" s="421">
        <f t="shared" si="28"/>
        <v>0</v>
      </c>
      <c r="P167" s="227">
        <f t="shared" si="27"/>
        <v>0</v>
      </c>
      <c r="R167" s="230">
        <f t="shared" si="30"/>
        <v>0</v>
      </c>
      <c r="S167" s="230">
        <f t="shared" si="31"/>
        <v>0</v>
      </c>
      <c r="T167" s="228">
        <f t="shared" si="23"/>
        <v>0</v>
      </c>
      <c r="U167" s="413">
        <f t="shared" si="24"/>
        <v>0</v>
      </c>
      <c r="V167" s="410">
        <f t="shared" si="25"/>
        <v>0</v>
      </c>
      <c r="W167" s="246">
        <f t="shared" si="26"/>
        <v>0</v>
      </c>
    </row>
    <row r="168" spans="3:23" ht="18.75" customHeight="1" x14ac:dyDescent="0.35">
      <c r="C168" s="20" t="s">
        <v>287</v>
      </c>
      <c r="L168" s="204">
        <f t="shared" si="29"/>
        <v>0</v>
      </c>
      <c r="N168" s="421">
        <f t="shared" si="28"/>
        <v>0</v>
      </c>
      <c r="P168" s="227">
        <f t="shared" si="27"/>
        <v>0</v>
      </c>
      <c r="R168" s="230">
        <f t="shared" si="30"/>
        <v>0</v>
      </c>
      <c r="S168" s="230">
        <f t="shared" si="31"/>
        <v>0</v>
      </c>
      <c r="T168" s="228">
        <f t="shared" si="23"/>
        <v>0</v>
      </c>
      <c r="U168" s="413">
        <f t="shared" si="24"/>
        <v>0</v>
      </c>
      <c r="V168" s="410">
        <f t="shared" si="25"/>
        <v>0</v>
      </c>
      <c r="W168" s="246">
        <f t="shared" si="26"/>
        <v>0</v>
      </c>
    </row>
    <row r="169" spans="3:23" ht="18.75" customHeight="1" x14ac:dyDescent="0.35">
      <c r="C169" s="20" t="s">
        <v>287</v>
      </c>
      <c r="L169" s="204">
        <f t="shared" si="29"/>
        <v>0</v>
      </c>
      <c r="N169" s="421">
        <f t="shared" si="28"/>
        <v>0</v>
      </c>
      <c r="P169" s="227">
        <f t="shared" si="27"/>
        <v>0</v>
      </c>
      <c r="R169" s="230">
        <f t="shared" si="30"/>
        <v>0</v>
      </c>
      <c r="S169" s="230">
        <f t="shared" si="31"/>
        <v>0</v>
      </c>
      <c r="T169" s="228">
        <f t="shared" si="23"/>
        <v>0</v>
      </c>
      <c r="U169" s="413">
        <f t="shared" si="24"/>
        <v>0</v>
      </c>
      <c r="V169" s="410">
        <f t="shared" si="25"/>
        <v>0</v>
      </c>
      <c r="W169" s="246">
        <f t="shared" si="26"/>
        <v>0</v>
      </c>
    </row>
    <row r="170" spans="3:23" ht="18.75" customHeight="1" x14ac:dyDescent="0.35">
      <c r="C170" s="20" t="s">
        <v>287</v>
      </c>
      <c r="L170" s="204">
        <f t="shared" si="29"/>
        <v>0</v>
      </c>
      <c r="N170" s="421">
        <f t="shared" si="28"/>
        <v>0</v>
      </c>
      <c r="P170" s="227">
        <f t="shared" si="27"/>
        <v>0</v>
      </c>
      <c r="R170" s="230">
        <f t="shared" si="30"/>
        <v>0</v>
      </c>
      <c r="S170" s="230">
        <f t="shared" si="31"/>
        <v>0</v>
      </c>
      <c r="T170" s="228">
        <f t="shared" si="23"/>
        <v>0</v>
      </c>
      <c r="U170" s="413">
        <f t="shared" si="24"/>
        <v>0</v>
      </c>
      <c r="V170" s="410">
        <f t="shared" si="25"/>
        <v>0</v>
      </c>
      <c r="W170" s="246">
        <f t="shared" si="26"/>
        <v>0</v>
      </c>
    </row>
    <row r="171" spans="3:23" ht="18.75" customHeight="1" x14ac:dyDescent="0.35">
      <c r="C171" s="20" t="s">
        <v>287</v>
      </c>
      <c r="L171" s="204">
        <f t="shared" si="29"/>
        <v>0</v>
      </c>
      <c r="N171" s="421">
        <f t="shared" si="28"/>
        <v>0</v>
      </c>
      <c r="P171" s="227">
        <f t="shared" si="27"/>
        <v>0</v>
      </c>
      <c r="R171" s="230">
        <f t="shared" si="30"/>
        <v>0</v>
      </c>
      <c r="S171" s="230">
        <f t="shared" si="31"/>
        <v>0</v>
      </c>
      <c r="T171" s="228">
        <f t="shared" si="23"/>
        <v>0</v>
      </c>
      <c r="U171" s="413">
        <f t="shared" si="24"/>
        <v>0</v>
      </c>
      <c r="V171" s="410">
        <f t="shared" si="25"/>
        <v>0</v>
      </c>
      <c r="W171" s="246">
        <f t="shared" si="26"/>
        <v>0</v>
      </c>
    </row>
    <row r="172" spans="3:23" ht="18.75" customHeight="1" x14ac:dyDescent="0.35">
      <c r="C172" s="20" t="s">
        <v>287</v>
      </c>
      <c r="L172" s="204">
        <f t="shared" si="29"/>
        <v>0</v>
      </c>
      <c r="N172" s="421">
        <f t="shared" si="28"/>
        <v>0</v>
      </c>
      <c r="P172" s="227">
        <f t="shared" si="27"/>
        <v>0</v>
      </c>
      <c r="R172" s="230">
        <f t="shared" si="30"/>
        <v>0</v>
      </c>
      <c r="S172" s="230">
        <f t="shared" si="31"/>
        <v>0</v>
      </c>
      <c r="T172" s="228">
        <f t="shared" si="23"/>
        <v>0</v>
      </c>
      <c r="U172" s="413">
        <f t="shared" si="24"/>
        <v>0</v>
      </c>
      <c r="V172" s="410">
        <f t="shared" si="25"/>
        <v>0</v>
      </c>
      <c r="W172" s="246">
        <f t="shared" si="26"/>
        <v>0</v>
      </c>
    </row>
    <row r="173" spans="3:23" ht="18.75" customHeight="1" x14ac:dyDescent="0.35">
      <c r="C173" s="20" t="s">
        <v>287</v>
      </c>
      <c r="L173" s="204">
        <f t="shared" si="29"/>
        <v>0</v>
      </c>
      <c r="N173" s="421">
        <f t="shared" si="28"/>
        <v>0</v>
      </c>
      <c r="P173" s="227">
        <f t="shared" si="27"/>
        <v>0</v>
      </c>
      <c r="R173" s="230">
        <f t="shared" si="30"/>
        <v>0</v>
      </c>
      <c r="S173" s="230">
        <f t="shared" si="31"/>
        <v>0</v>
      </c>
      <c r="T173" s="228">
        <f t="shared" si="23"/>
        <v>0</v>
      </c>
      <c r="U173" s="413">
        <f t="shared" si="24"/>
        <v>0</v>
      </c>
      <c r="V173" s="410">
        <f t="shared" si="25"/>
        <v>0</v>
      </c>
      <c r="W173" s="246">
        <f t="shared" si="26"/>
        <v>0</v>
      </c>
    </row>
    <row r="174" spans="3:23" ht="18.75" customHeight="1" x14ac:dyDescent="0.35">
      <c r="C174" s="20" t="s">
        <v>287</v>
      </c>
      <c r="L174" s="204">
        <f t="shared" si="29"/>
        <v>0</v>
      </c>
      <c r="N174" s="421">
        <f t="shared" si="28"/>
        <v>0</v>
      </c>
      <c r="P174" s="227">
        <f t="shared" si="27"/>
        <v>0</v>
      </c>
      <c r="R174" s="230">
        <f t="shared" si="30"/>
        <v>0</v>
      </c>
      <c r="S174" s="230">
        <f t="shared" si="31"/>
        <v>0</v>
      </c>
      <c r="T174" s="228">
        <f t="shared" si="23"/>
        <v>0</v>
      </c>
      <c r="U174" s="413">
        <f t="shared" si="24"/>
        <v>0</v>
      </c>
      <c r="V174" s="410">
        <f t="shared" si="25"/>
        <v>0</v>
      </c>
      <c r="W174" s="246">
        <f t="shared" si="26"/>
        <v>0</v>
      </c>
    </row>
    <row r="175" spans="3:23" ht="18.75" customHeight="1" x14ac:dyDescent="0.35">
      <c r="C175" s="20" t="s">
        <v>287</v>
      </c>
      <c r="L175" s="204">
        <f t="shared" si="29"/>
        <v>0</v>
      </c>
      <c r="N175" s="421">
        <f t="shared" si="28"/>
        <v>0</v>
      </c>
      <c r="P175" s="227">
        <f t="shared" si="27"/>
        <v>0</v>
      </c>
      <c r="R175" s="230">
        <f t="shared" si="30"/>
        <v>0</v>
      </c>
      <c r="S175" s="230">
        <f t="shared" si="31"/>
        <v>0</v>
      </c>
      <c r="T175" s="228">
        <f t="shared" si="23"/>
        <v>0</v>
      </c>
      <c r="U175" s="413">
        <f t="shared" si="24"/>
        <v>0</v>
      </c>
      <c r="V175" s="410">
        <f t="shared" si="25"/>
        <v>0</v>
      </c>
      <c r="W175" s="246">
        <f t="shared" si="26"/>
        <v>0</v>
      </c>
    </row>
    <row r="176" spans="3:23" ht="18.75" customHeight="1" x14ac:dyDescent="0.35">
      <c r="C176" s="20" t="s">
        <v>287</v>
      </c>
      <c r="L176" s="204">
        <f t="shared" si="29"/>
        <v>0</v>
      </c>
      <c r="N176" s="421">
        <f t="shared" si="28"/>
        <v>0</v>
      </c>
      <c r="P176" s="227">
        <f t="shared" si="27"/>
        <v>0</v>
      </c>
      <c r="R176" s="230">
        <f t="shared" si="30"/>
        <v>0</v>
      </c>
      <c r="S176" s="230">
        <f t="shared" si="31"/>
        <v>0</v>
      </c>
      <c r="T176" s="228">
        <f t="shared" si="23"/>
        <v>0</v>
      </c>
      <c r="U176" s="413">
        <f t="shared" si="24"/>
        <v>0</v>
      </c>
      <c r="V176" s="410">
        <f t="shared" si="25"/>
        <v>0</v>
      </c>
      <c r="W176" s="246">
        <f t="shared" si="26"/>
        <v>0</v>
      </c>
    </row>
    <row r="177" spans="3:23" ht="18.75" customHeight="1" x14ac:dyDescent="0.35">
      <c r="C177" s="20" t="s">
        <v>287</v>
      </c>
      <c r="L177" s="204">
        <f t="shared" si="29"/>
        <v>0</v>
      </c>
      <c r="N177" s="421">
        <f t="shared" si="28"/>
        <v>0</v>
      </c>
      <c r="P177" s="227">
        <f t="shared" si="27"/>
        <v>0</v>
      </c>
      <c r="R177" s="230">
        <f t="shared" si="30"/>
        <v>0</v>
      </c>
      <c r="S177" s="230">
        <f t="shared" si="31"/>
        <v>0</v>
      </c>
      <c r="T177" s="228">
        <f t="shared" si="23"/>
        <v>0</v>
      </c>
      <c r="U177" s="413">
        <f t="shared" si="24"/>
        <v>0</v>
      </c>
      <c r="V177" s="410">
        <f t="shared" si="25"/>
        <v>0</v>
      </c>
      <c r="W177" s="246">
        <f t="shared" si="26"/>
        <v>0</v>
      </c>
    </row>
    <row r="178" spans="3:23" ht="18.75" customHeight="1" x14ac:dyDescent="0.35">
      <c r="C178" s="20" t="s">
        <v>287</v>
      </c>
      <c r="L178" s="204">
        <f t="shared" si="29"/>
        <v>0</v>
      </c>
      <c r="N178" s="421">
        <f t="shared" si="28"/>
        <v>0</v>
      </c>
      <c r="P178" s="227">
        <f t="shared" si="27"/>
        <v>0</v>
      </c>
      <c r="R178" s="230">
        <f t="shared" si="30"/>
        <v>0</v>
      </c>
      <c r="S178" s="230">
        <f t="shared" si="31"/>
        <v>0</v>
      </c>
      <c r="T178" s="228">
        <f t="shared" si="23"/>
        <v>0</v>
      </c>
      <c r="U178" s="413">
        <f t="shared" si="24"/>
        <v>0</v>
      </c>
      <c r="V178" s="410">
        <f t="shared" si="25"/>
        <v>0</v>
      </c>
      <c r="W178" s="246">
        <f t="shared" si="26"/>
        <v>0</v>
      </c>
    </row>
    <row r="179" spans="3:23" ht="18.75" customHeight="1" x14ac:dyDescent="0.35">
      <c r="C179" s="20" t="s">
        <v>287</v>
      </c>
      <c r="L179" s="204">
        <f t="shared" si="29"/>
        <v>0</v>
      </c>
      <c r="N179" s="421">
        <f t="shared" si="28"/>
        <v>0</v>
      </c>
      <c r="P179" s="227">
        <f t="shared" si="27"/>
        <v>0</v>
      </c>
      <c r="R179" s="230">
        <f t="shared" si="30"/>
        <v>0</v>
      </c>
      <c r="S179" s="230">
        <f t="shared" si="31"/>
        <v>0</v>
      </c>
      <c r="T179" s="228">
        <f t="shared" si="23"/>
        <v>0</v>
      </c>
      <c r="U179" s="413">
        <f t="shared" si="24"/>
        <v>0</v>
      </c>
      <c r="V179" s="410">
        <f t="shared" si="25"/>
        <v>0</v>
      </c>
      <c r="W179" s="246">
        <f t="shared" si="26"/>
        <v>0</v>
      </c>
    </row>
    <row r="180" spans="3:23" ht="18.75" customHeight="1" x14ac:dyDescent="0.35">
      <c r="C180" s="20" t="s">
        <v>287</v>
      </c>
      <c r="L180" s="204">
        <f t="shared" si="29"/>
        <v>0</v>
      </c>
      <c r="N180" s="421">
        <f t="shared" si="28"/>
        <v>0</v>
      </c>
      <c r="P180" s="227">
        <f t="shared" si="27"/>
        <v>0</v>
      </c>
      <c r="R180" s="230">
        <f t="shared" si="30"/>
        <v>0</v>
      </c>
      <c r="S180" s="230">
        <f t="shared" si="31"/>
        <v>0</v>
      </c>
      <c r="T180" s="228">
        <f t="shared" si="23"/>
        <v>0</v>
      </c>
      <c r="U180" s="413">
        <f t="shared" si="24"/>
        <v>0</v>
      </c>
      <c r="V180" s="410">
        <f t="shared" si="25"/>
        <v>0</v>
      </c>
      <c r="W180" s="246">
        <f t="shared" si="26"/>
        <v>0</v>
      </c>
    </row>
    <row r="181" spans="3:23" ht="18.75" customHeight="1" x14ac:dyDescent="0.35">
      <c r="C181" s="20" t="s">
        <v>287</v>
      </c>
      <c r="L181" s="204">
        <f t="shared" si="29"/>
        <v>0</v>
      </c>
      <c r="N181" s="421">
        <f t="shared" si="28"/>
        <v>0</v>
      </c>
      <c r="P181" s="227">
        <f t="shared" si="27"/>
        <v>0</v>
      </c>
      <c r="R181" s="230">
        <f t="shared" si="30"/>
        <v>0</v>
      </c>
      <c r="S181" s="230">
        <f t="shared" si="31"/>
        <v>0</v>
      </c>
      <c r="T181" s="228">
        <f t="shared" si="23"/>
        <v>0</v>
      </c>
      <c r="U181" s="413">
        <f t="shared" si="24"/>
        <v>0</v>
      </c>
      <c r="V181" s="410">
        <f t="shared" si="25"/>
        <v>0</v>
      </c>
      <c r="W181" s="246">
        <f t="shared" si="26"/>
        <v>0</v>
      </c>
    </row>
    <row r="182" spans="3:23" ht="18.75" customHeight="1" x14ac:dyDescent="0.35">
      <c r="C182" s="20" t="s">
        <v>287</v>
      </c>
      <c r="L182" s="204">
        <f t="shared" si="29"/>
        <v>0</v>
      </c>
      <c r="N182" s="421">
        <f t="shared" si="28"/>
        <v>0</v>
      </c>
      <c r="P182" s="227">
        <f t="shared" si="27"/>
        <v>0</v>
      </c>
      <c r="R182" s="230">
        <f t="shared" si="30"/>
        <v>0</v>
      </c>
      <c r="S182" s="230">
        <f t="shared" si="31"/>
        <v>0</v>
      </c>
      <c r="T182" s="228">
        <f t="shared" si="23"/>
        <v>0</v>
      </c>
      <c r="U182" s="413">
        <f t="shared" si="24"/>
        <v>0</v>
      </c>
      <c r="V182" s="410">
        <f t="shared" si="25"/>
        <v>0</v>
      </c>
      <c r="W182" s="246">
        <f t="shared" si="26"/>
        <v>0</v>
      </c>
    </row>
    <row r="183" spans="3:23" ht="18.75" customHeight="1" x14ac:dyDescent="0.35">
      <c r="C183" s="20" t="s">
        <v>287</v>
      </c>
      <c r="L183" s="204">
        <f t="shared" si="29"/>
        <v>0</v>
      </c>
      <c r="N183" s="421">
        <f t="shared" si="28"/>
        <v>0</v>
      </c>
      <c r="P183" s="227">
        <f t="shared" si="27"/>
        <v>0</v>
      </c>
      <c r="R183" s="230">
        <f t="shared" si="30"/>
        <v>0</v>
      </c>
      <c r="S183" s="230">
        <f t="shared" si="31"/>
        <v>0</v>
      </c>
      <c r="T183" s="228">
        <f t="shared" si="23"/>
        <v>0</v>
      </c>
      <c r="U183" s="413">
        <f t="shared" si="24"/>
        <v>0</v>
      </c>
      <c r="V183" s="410">
        <f t="shared" si="25"/>
        <v>0</v>
      </c>
      <c r="W183" s="246">
        <f t="shared" si="26"/>
        <v>0</v>
      </c>
    </row>
    <row r="184" spans="3:23" ht="18.75" customHeight="1" x14ac:dyDescent="0.35">
      <c r="C184" s="20" t="s">
        <v>287</v>
      </c>
      <c r="L184" s="204">
        <f t="shared" si="29"/>
        <v>0</v>
      </c>
      <c r="N184" s="421">
        <f t="shared" si="28"/>
        <v>0</v>
      </c>
      <c r="P184" s="227">
        <f t="shared" si="27"/>
        <v>0</v>
      </c>
      <c r="R184" s="230">
        <f t="shared" si="30"/>
        <v>0</v>
      </c>
      <c r="S184" s="230">
        <f t="shared" si="31"/>
        <v>0</v>
      </c>
      <c r="T184" s="228">
        <f t="shared" si="23"/>
        <v>0</v>
      </c>
      <c r="U184" s="413">
        <f t="shared" si="24"/>
        <v>0</v>
      </c>
      <c r="V184" s="410">
        <f t="shared" si="25"/>
        <v>0</v>
      </c>
      <c r="W184" s="246">
        <f t="shared" si="26"/>
        <v>0</v>
      </c>
    </row>
    <row r="185" spans="3:23" ht="18.75" customHeight="1" x14ac:dyDescent="0.35">
      <c r="C185" s="20" t="s">
        <v>287</v>
      </c>
      <c r="L185" s="204">
        <f t="shared" si="29"/>
        <v>0</v>
      </c>
      <c r="N185" s="421">
        <f t="shared" si="28"/>
        <v>0</v>
      </c>
      <c r="P185" s="227">
        <f t="shared" si="27"/>
        <v>0</v>
      </c>
      <c r="R185" s="230">
        <f t="shared" si="30"/>
        <v>0</v>
      </c>
      <c r="S185" s="230">
        <f t="shared" si="31"/>
        <v>0</v>
      </c>
      <c r="T185" s="228">
        <f t="shared" si="23"/>
        <v>0</v>
      </c>
      <c r="U185" s="413">
        <f t="shared" si="24"/>
        <v>0</v>
      </c>
      <c r="V185" s="410">
        <f t="shared" si="25"/>
        <v>0</v>
      </c>
      <c r="W185" s="246">
        <f t="shared" si="26"/>
        <v>0</v>
      </c>
    </row>
    <row r="186" spans="3:23" ht="18.75" customHeight="1" x14ac:dyDescent="0.35">
      <c r="C186" s="20" t="s">
        <v>287</v>
      </c>
      <c r="L186" s="204">
        <f t="shared" si="29"/>
        <v>0</v>
      </c>
      <c r="N186" s="421">
        <f t="shared" si="28"/>
        <v>0</v>
      </c>
      <c r="P186" s="227">
        <f t="shared" si="27"/>
        <v>0</v>
      </c>
      <c r="R186" s="230">
        <f t="shared" si="30"/>
        <v>0</v>
      </c>
      <c r="S186" s="230">
        <f t="shared" si="31"/>
        <v>0</v>
      </c>
      <c r="T186" s="228">
        <f t="shared" si="23"/>
        <v>0</v>
      </c>
      <c r="U186" s="413">
        <f t="shared" si="24"/>
        <v>0</v>
      </c>
      <c r="V186" s="410">
        <f t="shared" si="25"/>
        <v>0</v>
      </c>
      <c r="W186" s="246">
        <f t="shared" si="26"/>
        <v>0</v>
      </c>
    </row>
    <row r="187" spans="3:23" ht="18.75" customHeight="1" x14ac:dyDescent="0.35">
      <c r="C187" s="20" t="s">
        <v>287</v>
      </c>
      <c r="L187" s="204">
        <f t="shared" si="29"/>
        <v>0</v>
      </c>
      <c r="N187" s="421">
        <f t="shared" si="28"/>
        <v>0</v>
      </c>
      <c r="P187" s="227">
        <f t="shared" si="27"/>
        <v>0</v>
      </c>
      <c r="R187" s="230">
        <f t="shared" si="30"/>
        <v>0</v>
      </c>
      <c r="S187" s="230">
        <f t="shared" si="31"/>
        <v>0</v>
      </c>
      <c r="T187" s="228">
        <f t="shared" si="23"/>
        <v>0</v>
      </c>
      <c r="U187" s="413">
        <f t="shared" si="24"/>
        <v>0</v>
      </c>
      <c r="V187" s="410">
        <f t="shared" si="25"/>
        <v>0</v>
      </c>
      <c r="W187" s="246">
        <f t="shared" si="26"/>
        <v>0</v>
      </c>
    </row>
    <row r="188" spans="3:23" ht="18.75" customHeight="1" x14ac:dyDescent="0.35">
      <c r="C188" s="20" t="s">
        <v>287</v>
      </c>
      <c r="L188" s="204">
        <f t="shared" si="29"/>
        <v>0</v>
      </c>
      <c r="N188" s="421">
        <f t="shared" si="28"/>
        <v>0</v>
      </c>
      <c r="P188" s="227">
        <f t="shared" si="27"/>
        <v>0</v>
      </c>
      <c r="R188" s="230">
        <f t="shared" si="30"/>
        <v>0</v>
      </c>
      <c r="S188" s="230">
        <f t="shared" si="31"/>
        <v>0</v>
      </c>
      <c r="T188" s="228">
        <f t="shared" si="23"/>
        <v>0</v>
      </c>
      <c r="U188" s="413">
        <f t="shared" si="24"/>
        <v>0</v>
      </c>
      <c r="V188" s="410">
        <f t="shared" si="25"/>
        <v>0</v>
      </c>
      <c r="W188" s="246">
        <f t="shared" si="26"/>
        <v>0</v>
      </c>
    </row>
    <row r="189" spans="3:23" ht="18.75" customHeight="1" x14ac:dyDescent="0.35">
      <c r="C189" s="20" t="s">
        <v>287</v>
      </c>
      <c r="L189" s="204">
        <f t="shared" si="29"/>
        <v>0</v>
      </c>
      <c r="N189" s="421">
        <f t="shared" si="28"/>
        <v>0</v>
      </c>
      <c r="P189" s="227">
        <f t="shared" si="27"/>
        <v>0</v>
      </c>
      <c r="R189" s="230">
        <f t="shared" si="30"/>
        <v>0</v>
      </c>
      <c r="S189" s="230">
        <f t="shared" si="31"/>
        <v>0</v>
      </c>
      <c r="T189" s="228">
        <f t="shared" si="23"/>
        <v>0</v>
      </c>
      <c r="U189" s="413">
        <f t="shared" si="24"/>
        <v>0</v>
      </c>
      <c r="V189" s="410">
        <f t="shared" si="25"/>
        <v>0</v>
      </c>
      <c r="W189" s="246">
        <f t="shared" si="26"/>
        <v>0</v>
      </c>
    </row>
    <row r="190" spans="3:23" ht="18.75" customHeight="1" x14ac:dyDescent="0.35">
      <c r="C190" s="20" t="s">
        <v>287</v>
      </c>
      <c r="L190" s="204">
        <f t="shared" si="29"/>
        <v>0</v>
      </c>
      <c r="N190" s="421">
        <f t="shared" si="28"/>
        <v>0</v>
      </c>
      <c r="P190" s="227">
        <f t="shared" si="27"/>
        <v>0</v>
      </c>
      <c r="R190" s="230">
        <f t="shared" si="30"/>
        <v>0</v>
      </c>
      <c r="S190" s="230">
        <f t="shared" si="31"/>
        <v>0</v>
      </c>
      <c r="T190" s="228">
        <f t="shared" si="23"/>
        <v>0</v>
      </c>
      <c r="U190" s="413">
        <f t="shared" si="24"/>
        <v>0</v>
      </c>
      <c r="V190" s="410">
        <f t="shared" si="25"/>
        <v>0</v>
      </c>
      <c r="W190" s="246">
        <f t="shared" si="26"/>
        <v>0</v>
      </c>
    </row>
    <row r="191" spans="3:23" ht="18.75" customHeight="1" x14ac:dyDescent="0.35">
      <c r="C191" s="20" t="s">
        <v>287</v>
      </c>
      <c r="L191" s="204">
        <f t="shared" si="29"/>
        <v>0</v>
      </c>
      <c r="N191" s="421">
        <f t="shared" si="28"/>
        <v>0</v>
      </c>
      <c r="P191" s="227">
        <f t="shared" si="27"/>
        <v>0</v>
      </c>
      <c r="R191" s="230">
        <f t="shared" si="30"/>
        <v>0</v>
      </c>
      <c r="S191" s="230">
        <f t="shared" si="31"/>
        <v>0</v>
      </c>
      <c r="T191" s="228">
        <f t="shared" si="23"/>
        <v>0</v>
      </c>
      <c r="U191" s="413">
        <f t="shared" si="24"/>
        <v>0</v>
      </c>
      <c r="V191" s="410">
        <f t="shared" si="25"/>
        <v>0</v>
      </c>
      <c r="W191" s="246">
        <f t="shared" si="26"/>
        <v>0</v>
      </c>
    </row>
    <row r="192" spans="3:23" ht="18.75" customHeight="1" x14ac:dyDescent="0.35">
      <c r="C192" s="20" t="s">
        <v>287</v>
      </c>
      <c r="L192" s="204">
        <f t="shared" si="29"/>
        <v>0</v>
      </c>
      <c r="N192" s="421">
        <f t="shared" si="28"/>
        <v>0</v>
      </c>
      <c r="P192" s="227">
        <f t="shared" si="27"/>
        <v>0</v>
      </c>
      <c r="R192" s="230">
        <f t="shared" si="30"/>
        <v>0</v>
      </c>
      <c r="S192" s="230">
        <f t="shared" si="31"/>
        <v>0</v>
      </c>
      <c r="T192" s="228">
        <f t="shared" si="23"/>
        <v>0</v>
      </c>
      <c r="U192" s="413">
        <f t="shared" si="24"/>
        <v>0</v>
      </c>
      <c r="V192" s="410">
        <f t="shared" si="25"/>
        <v>0</v>
      </c>
      <c r="W192" s="246">
        <f t="shared" si="26"/>
        <v>0</v>
      </c>
    </row>
    <row r="193" spans="1:38" ht="18.75" customHeight="1" x14ac:dyDescent="0.35">
      <c r="C193" s="20" t="s">
        <v>287</v>
      </c>
      <c r="L193" s="204">
        <f t="shared" si="29"/>
        <v>0</v>
      </c>
      <c r="N193" s="421">
        <f t="shared" si="28"/>
        <v>0</v>
      </c>
      <c r="P193" s="227">
        <f t="shared" si="27"/>
        <v>0</v>
      </c>
      <c r="R193" s="230">
        <f t="shared" si="30"/>
        <v>0</v>
      </c>
      <c r="S193" s="230">
        <f t="shared" si="31"/>
        <v>0</v>
      </c>
      <c r="T193" s="228">
        <f t="shared" si="23"/>
        <v>0</v>
      </c>
      <c r="U193" s="413">
        <f t="shared" si="24"/>
        <v>0</v>
      </c>
      <c r="V193" s="410">
        <f t="shared" si="25"/>
        <v>0</v>
      </c>
      <c r="W193" s="246">
        <f t="shared" si="26"/>
        <v>0</v>
      </c>
    </row>
    <row r="194" spans="1:38" ht="18.75" customHeight="1" x14ac:dyDescent="0.35">
      <c r="C194" s="20" t="s">
        <v>287</v>
      </c>
      <c r="L194" s="204">
        <f t="shared" si="29"/>
        <v>0</v>
      </c>
      <c r="N194" s="421">
        <f t="shared" si="28"/>
        <v>0</v>
      </c>
      <c r="P194" s="227">
        <f t="shared" si="27"/>
        <v>0</v>
      </c>
      <c r="R194" s="230">
        <f t="shared" si="30"/>
        <v>0</v>
      </c>
      <c r="S194" s="230">
        <f t="shared" si="31"/>
        <v>0</v>
      </c>
      <c r="T194" s="228">
        <f t="shared" si="23"/>
        <v>0</v>
      </c>
      <c r="U194" s="413">
        <f t="shared" si="24"/>
        <v>0</v>
      </c>
      <c r="V194" s="410">
        <f t="shared" si="25"/>
        <v>0</v>
      </c>
      <c r="W194" s="246">
        <f t="shared" si="26"/>
        <v>0</v>
      </c>
    </row>
    <row r="195" spans="1:38" ht="18.75" customHeight="1" x14ac:dyDescent="0.35">
      <c r="C195" s="20" t="s">
        <v>287</v>
      </c>
      <c r="L195" s="204">
        <f t="shared" si="29"/>
        <v>0</v>
      </c>
      <c r="N195" s="421">
        <f t="shared" si="28"/>
        <v>0</v>
      </c>
      <c r="P195" s="227">
        <f t="shared" si="27"/>
        <v>0</v>
      </c>
      <c r="R195" s="230">
        <f t="shared" si="30"/>
        <v>0</v>
      </c>
      <c r="S195" s="230">
        <f t="shared" si="31"/>
        <v>0</v>
      </c>
      <c r="T195" s="228">
        <f t="shared" si="23"/>
        <v>0</v>
      </c>
      <c r="U195" s="413">
        <f t="shared" si="24"/>
        <v>0</v>
      </c>
      <c r="V195" s="410">
        <f t="shared" si="25"/>
        <v>0</v>
      </c>
      <c r="W195" s="246">
        <f t="shared" si="26"/>
        <v>0</v>
      </c>
    </row>
    <row r="196" spans="1:38" ht="18.75" customHeight="1" x14ac:dyDescent="0.35">
      <c r="C196" s="20" t="s">
        <v>287</v>
      </c>
      <c r="L196" s="204">
        <f t="shared" si="29"/>
        <v>0</v>
      </c>
      <c r="N196" s="421">
        <f t="shared" si="28"/>
        <v>0</v>
      </c>
      <c r="P196" s="227">
        <f t="shared" si="27"/>
        <v>0</v>
      </c>
      <c r="R196" s="230">
        <f t="shared" si="30"/>
        <v>0</v>
      </c>
      <c r="S196" s="230">
        <f t="shared" si="31"/>
        <v>0</v>
      </c>
      <c r="T196" s="228">
        <f t="shared" ref="T196:T259" si="32">L196-P196-Q196-R196-S196</f>
        <v>0</v>
      </c>
      <c r="U196" s="413">
        <f t="shared" ref="U196:U259" si="33">IF(K196="CORREO",0,N196)</f>
        <v>0</v>
      </c>
      <c r="V196" s="410">
        <f t="shared" si="25"/>
        <v>0</v>
      </c>
      <c r="W196" s="246">
        <f t="shared" si="26"/>
        <v>0</v>
      </c>
    </row>
    <row r="197" spans="1:38" ht="18.75" customHeight="1" x14ac:dyDescent="0.35">
      <c r="C197" s="20" t="s">
        <v>287</v>
      </c>
      <c r="L197" s="204">
        <f t="shared" si="29"/>
        <v>0</v>
      </c>
      <c r="N197" s="421">
        <f t="shared" si="28"/>
        <v>0</v>
      </c>
      <c r="P197" s="227">
        <f t="shared" si="27"/>
        <v>0</v>
      </c>
      <c r="R197" s="230">
        <f t="shared" si="30"/>
        <v>0</v>
      </c>
      <c r="S197" s="230">
        <f t="shared" si="31"/>
        <v>0</v>
      </c>
      <c r="T197" s="228">
        <f t="shared" si="32"/>
        <v>0</v>
      </c>
      <c r="U197" s="413">
        <f t="shared" si="33"/>
        <v>0</v>
      </c>
      <c r="V197" s="410">
        <f t="shared" ref="V197:V260" si="34">T197*0.05</f>
        <v>0</v>
      </c>
      <c r="W197" s="246">
        <f t="shared" ref="W197:W260" si="35">T197*0.05</f>
        <v>0</v>
      </c>
    </row>
    <row r="198" spans="1:38" ht="18.75" customHeight="1" x14ac:dyDescent="0.35">
      <c r="C198" s="20" t="s">
        <v>287</v>
      </c>
      <c r="L198" s="204">
        <f t="shared" si="29"/>
        <v>0</v>
      </c>
      <c r="N198" s="421">
        <f t="shared" si="28"/>
        <v>0</v>
      </c>
      <c r="P198" s="227">
        <f t="shared" ref="P198:P261" si="36">_xlfn.XLOOKUP(H198, AA:AA, AB:AB) * I198</f>
        <v>0</v>
      </c>
      <c r="R198" s="230">
        <f t="shared" si="30"/>
        <v>0</v>
      </c>
      <c r="S198" s="230">
        <f t="shared" si="31"/>
        <v>0</v>
      </c>
      <c r="T198" s="228">
        <f t="shared" si="32"/>
        <v>0</v>
      </c>
      <c r="U198" s="413">
        <f t="shared" si="33"/>
        <v>0</v>
      </c>
      <c r="V198" s="410">
        <f t="shared" si="34"/>
        <v>0</v>
      </c>
      <c r="W198" s="246">
        <f t="shared" si="35"/>
        <v>0</v>
      </c>
    </row>
    <row r="199" spans="1:38" ht="18.75" customHeight="1" x14ac:dyDescent="0.35">
      <c r="C199" s="20" t="s">
        <v>287</v>
      </c>
      <c r="L199" s="204">
        <f t="shared" si="29"/>
        <v>0</v>
      </c>
      <c r="N199" s="421">
        <f t="shared" ref="N199:N262" si="37">M199-L199</f>
        <v>0</v>
      </c>
      <c r="P199" s="227">
        <f t="shared" si="36"/>
        <v>0</v>
      </c>
      <c r="R199" s="230">
        <f t="shared" si="30"/>
        <v>0</v>
      </c>
      <c r="S199" s="230">
        <f t="shared" si="31"/>
        <v>0</v>
      </c>
      <c r="T199" s="228">
        <f t="shared" si="32"/>
        <v>0</v>
      </c>
      <c r="U199" s="413">
        <f t="shared" si="33"/>
        <v>0</v>
      </c>
      <c r="V199" s="410">
        <f t="shared" si="34"/>
        <v>0</v>
      </c>
      <c r="W199" s="246">
        <f t="shared" si="35"/>
        <v>0</v>
      </c>
    </row>
    <row r="200" spans="1:38" ht="18.75" customHeight="1" x14ac:dyDescent="0.35">
      <c r="C200" s="20" t="s">
        <v>287</v>
      </c>
      <c r="L200" s="204">
        <f t="shared" si="29"/>
        <v>0</v>
      </c>
      <c r="N200" s="421">
        <f t="shared" si="37"/>
        <v>0</v>
      </c>
      <c r="P200" s="227">
        <f t="shared" si="36"/>
        <v>0</v>
      </c>
      <c r="R200" s="230">
        <f t="shared" si="30"/>
        <v>0</v>
      </c>
      <c r="S200" s="230">
        <f t="shared" si="31"/>
        <v>0</v>
      </c>
      <c r="T200" s="228">
        <f t="shared" si="32"/>
        <v>0</v>
      </c>
      <c r="U200" s="413">
        <f t="shared" si="33"/>
        <v>0</v>
      </c>
      <c r="V200" s="410">
        <f t="shared" si="34"/>
        <v>0</v>
      </c>
      <c r="W200" s="246">
        <f t="shared" si="35"/>
        <v>0</v>
      </c>
    </row>
    <row r="201" spans="1:38" ht="18.75" customHeight="1" x14ac:dyDescent="0.35">
      <c r="C201" s="20" t="s">
        <v>287</v>
      </c>
      <c r="L201" s="204">
        <f t="shared" si="29"/>
        <v>0</v>
      </c>
      <c r="N201" s="421">
        <f t="shared" si="37"/>
        <v>0</v>
      </c>
      <c r="P201" s="227">
        <f t="shared" si="36"/>
        <v>0</v>
      </c>
      <c r="R201" s="230">
        <f t="shared" si="30"/>
        <v>0</v>
      </c>
      <c r="S201" s="230">
        <f t="shared" si="31"/>
        <v>0</v>
      </c>
      <c r="T201" s="228">
        <f t="shared" si="32"/>
        <v>0</v>
      </c>
      <c r="U201" s="413">
        <f t="shared" si="33"/>
        <v>0</v>
      </c>
      <c r="V201" s="410">
        <f t="shared" si="34"/>
        <v>0</v>
      </c>
      <c r="W201" s="246">
        <f t="shared" si="35"/>
        <v>0</v>
      </c>
    </row>
    <row r="202" spans="1:38" ht="18.75" customHeight="1" x14ac:dyDescent="0.35">
      <c r="C202" s="20" t="s">
        <v>287</v>
      </c>
      <c r="L202" s="204">
        <f t="shared" si="29"/>
        <v>0</v>
      </c>
      <c r="N202" s="421">
        <f t="shared" si="37"/>
        <v>0</v>
      </c>
      <c r="P202" s="227">
        <f t="shared" si="36"/>
        <v>0</v>
      </c>
      <c r="R202" s="230">
        <f t="shared" si="30"/>
        <v>0</v>
      </c>
      <c r="S202" s="230">
        <f t="shared" si="31"/>
        <v>0</v>
      </c>
      <c r="T202" s="228">
        <f t="shared" si="32"/>
        <v>0</v>
      </c>
      <c r="U202" s="413">
        <f t="shared" si="33"/>
        <v>0</v>
      </c>
      <c r="V202" s="410">
        <f t="shared" si="34"/>
        <v>0</v>
      </c>
      <c r="W202" s="246">
        <f t="shared" si="35"/>
        <v>0</v>
      </c>
    </row>
    <row r="203" spans="1:38" ht="18.75" customHeight="1" x14ac:dyDescent="0.35">
      <c r="C203" s="20" t="s">
        <v>287</v>
      </c>
      <c r="L203" s="204">
        <f t="shared" si="29"/>
        <v>0</v>
      </c>
      <c r="N203" s="421">
        <f t="shared" si="37"/>
        <v>0</v>
      </c>
      <c r="P203" s="227">
        <f t="shared" si="36"/>
        <v>0</v>
      </c>
      <c r="R203" s="230">
        <f t="shared" si="30"/>
        <v>0</v>
      </c>
      <c r="S203" s="230">
        <f t="shared" si="31"/>
        <v>0</v>
      </c>
      <c r="T203" s="228">
        <f t="shared" si="32"/>
        <v>0</v>
      </c>
      <c r="U203" s="413">
        <f t="shared" si="33"/>
        <v>0</v>
      </c>
      <c r="V203" s="410">
        <f t="shared" si="34"/>
        <v>0</v>
      </c>
      <c r="W203" s="246">
        <f t="shared" si="35"/>
        <v>0</v>
      </c>
    </row>
    <row r="204" spans="1:38" ht="18.75" customHeight="1" x14ac:dyDescent="0.35">
      <c r="C204" s="20" t="s">
        <v>287</v>
      </c>
      <c r="L204" s="204">
        <f t="shared" si="29"/>
        <v>0</v>
      </c>
      <c r="N204" s="421">
        <f t="shared" si="37"/>
        <v>0</v>
      </c>
      <c r="P204" s="227">
        <f t="shared" si="36"/>
        <v>0</v>
      </c>
      <c r="R204" s="230">
        <f t="shared" si="30"/>
        <v>0</v>
      </c>
      <c r="S204" s="230">
        <f t="shared" si="31"/>
        <v>0</v>
      </c>
      <c r="T204" s="228">
        <f t="shared" si="32"/>
        <v>0</v>
      </c>
      <c r="U204" s="413">
        <f t="shared" si="33"/>
        <v>0</v>
      </c>
      <c r="V204" s="410">
        <f t="shared" si="34"/>
        <v>0</v>
      </c>
      <c r="W204" s="246">
        <f t="shared" si="35"/>
        <v>0</v>
      </c>
    </row>
    <row r="205" spans="1:38" s="238" customFormat="1" ht="18.75" customHeight="1" x14ac:dyDescent="0.35">
      <c r="A205" s="195"/>
      <c r="B205" s="254"/>
      <c r="C205" s="20" t="s">
        <v>287</v>
      </c>
      <c r="D205" s="20"/>
      <c r="E205" s="363"/>
      <c r="F205" s="3"/>
      <c r="G205" s="3"/>
      <c r="H205" s="20"/>
      <c r="I205" s="20"/>
      <c r="J205" s="20"/>
      <c r="K205" s="411"/>
      <c r="L205" s="204">
        <f t="shared" si="29"/>
        <v>0</v>
      </c>
      <c r="M205" s="255"/>
      <c r="N205" s="421">
        <f t="shared" si="37"/>
        <v>0</v>
      </c>
      <c r="P205" s="227">
        <f t="shared" si="36"/>
        <v>0</v>
      </c>
      <c r="Q205" s="230"/>
      <c r="R205" s="230">
        <f t="shared" si="30"/>
        <v>0</v>
      </c>
      <c r="S205" s="230">
        <f t="shared" si="31"/>
        <v>0</v>
      </c>
      <c r="T205" s="228">
        <f t="shared" si="32"/>
        <v>0</v>
      </c>
      <c r="U205" s="413">
        <f t="shared" si="33"/>
        <v>0</v>
      </c>
      <c r="V205" s="410">
        <f t="shared" si="34"/>
        <v>0</v>
      </c>
      <c r="W205" s="246">
        <f t="shared" si="35"/>
        <v>0</v>
      </c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</row>
    <row r="206" spans="1:38" s="238" customFormat="1" ht="18.75" customHeight="1" x14ac:dyDescent="0.35">
      <c r="A206" s="195"/>
      <c r="B206" s="254"/>
      <c r="C206" s="20" t="s">
        <v>287</v>
      </c>
      <c r="D206" s="20"/>
      <c r="E206" s="363"/>
      <c r="F206" s="3"/>
      <c r="G206" s="3"/>
      <c r="H206" s="20"/>
      <c r="I206" s="20"/>
      <c r="J206" s="20"/>
      <c r="K206" s="411"/>
      <c r="L206" s="204">
        <f t="shared" ref="L206:L269" si="38">IFERROR(IF(J206="Transferencia",_xlfn.XLOOKUP(H206,$AA:$AA,$AE:$AE)*I206,_xlfn.XLOOKUP(H206,$AA:$AA,$AD:$AD)*I206),0)</f>
        <v>0</v>
      </c>
      <c r="M206" s="255"/>
      <c r="N206" s="421">
        <f t="shared" si="37"/>
        <v>0</v>
      </c>
      <c r="P206" s="227">
        <f t="shared" si="36"/>
        <v>0</v>
      </c>
      <c r="Q206" s="230"/>
      <c r="R206" s="230">
        <f t="shared" ref="R206:R269" si="39">M206*0.0006</f>
        <v>0</v>
      </c>
      <c r="S206" s="230">
        <f t="shared" ref="S206:S269" si="40">M206*0.02</f>
        <v>0</v>
      </c>
      <c r="T206" s="228">
        <f t="shared" si="32"/>
        <v>0</v>
      </c>
      <c r="U206" s="413">
        <f t="shared" si="33"/>
        <v>0</v>
      </c>
      <c r="V206" s="410">
        <f t="shared" si="34"/>
        <v>0</v>
      </c>
      <c r="W206" s="246">
        <f t="shared" si="35"/>
        <v>0</v>
      </c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</row>
    <row r="207" spans="1:38" s="238" customFormat="1" ht="18.75" customHeight="1" x14ac:dyDescent="0.35">
      <c r="A207" s="195"/>
      <c r="B207" s="254"/>
      <c r="C207" s="20" t="s">
        <v>287</v>
      </c>
      <c r="D207" s="20"/>
      <c r="E207" s="363"/>
      <c r="F207" s="3"/>
      <c r="G207" s="3"/>
      <c r="H207" s="20"/>
      <c r="I207" s="20"/>
      <c r="J207" s="20"/>
      <c r="K207" s="411"/>
      <c r="L207" s="204">
        <f t="shared" si="38"/>
        <v>0</v>
      </c>
      <c r="M207" s="255"/>
      <c r="N207" s="421">
        <f t="shared" si="37"/>
        <v>0</v>
      </c>
      <c r="P207" s="227">
        <f t="shared" si="36"/>
        <v>0</v>
      </c>
      <c r="Q207" s="230"/>
      <c r="R207" s="230">
        <f t="shared" si="39"/>
        <v>0</v>
      </c>
      <c r="S207" s="230">
        <f t="shared" si="40"/>
        <v>0</v>
      </c>
      <c r="T207" s="228">
        <f t="shared" si="32"/>
        <v>0</v>
      </c>
      <c r="U207" s="413">
        <f t="shared" si="33"/>
        <v>0</v>
      </c>
      <c r="V207" s="410">
        <f t="shared" si="34"/>
        <v>0</v>
      </c>
      <c r="W207" s="246">
        <f t="shared" si="35"/>
        <v>0</v>
      </c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</row>
    <row r="208" spans="1:38" s="238" customFormat="1" ht="18.75" customHeight="1" x14ac:dyDescent="0.35">
      <c r="A208" s="195"/>
      <c r="B208" s="254"/>
      <c r="C208" s="20" t="s">
        <v>287</v>
      </c>
      <c r="D208" s="20"/>
      <c r="E208" s="363"/>
      <c r="F208" s="3"/>
      <c r="G208" s="3"/>
      <c r="H208" s="20"/>
      <c r="I208" s="20"/>
      <c r="J208" s="20"/>
      <c r="K208" s="411"/>
      <c r="L208" s="204">
        <f t="shared" si="38"/>
        <v>0</v>
      </c>
      <c r="M208" s="255"/>
      <c r="N208" s="421">
        <f t="shared" si="37"/>
        <v>0</v>
      </c>
      <c r="P208" s="227">
        <f t="shared" si="36"/>
        <v>0</v>
      </c>
      <c r="Q208" s="230"/>
      <c r="R208" s="230">
        <f t="shared" si="39"/>
        <v>0</v>
      </c>
      <c r="S208" s="230">
        <f t="shared" si="40"/>
        <v>0</v>
      </c>
      <c r="T208" s="228">
        <f t="shared" si="32"/>
        <v>0</v>
      </c>
      <c r="U208" s="413">
        <f t="shared" si="33"/>
        <v>0</v>
      </c>
      <c r="V208" s="410">
        <f t="shared" si="34"/>
        <v>0</v>
      </c>
      <c r="W208" s="246">
        <f t="shared" si="35"/>
        <v>0</v>
      </c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</row>
    <row r="209" spans="1:38" s="238" customFormat="1" ht="18.75" customHeight="1" x14ac:dyDescent="0.35">
      <c r="A209" s="195"/>
      <c r="B209" s="254"/>
      <c r="C209" s="20" t="s">
        <v>287</v>
      </c>
      <c r="D209" s="20"/>
      <c r="E209" s="363"/>
      <c r="F209" s="3"/>
      <c r="G209" s="3"/>
      <c r="H209" s="20"/>
      <c r="I209" s="20"/>
      <c r="J209" s="20"/>
      <c r="K209" s="411"/>
      <c r="L209" s="204">
        <f t="shared" si="38"/>
        <v>0</v>
      </c>
      <c r="M209" s="255"/>
      <c r="N209" s="421">
        <f t="shared" si="37"/>
        <v>0</v>
      </c>
      <c r="P209" s="227">
        <f t="shared" si="36"/>
        <v>0</v>
      </c>
      <c r="Q209" s="230"/>
      <c r="R209" s="230">
        <f t="shared" si="39"/>
        <v>0</v>
      </c>
      <c r="S209" s="230">
        <f t="shared" si="40"/>
        <v>0</v>
      </c>
      <c r="T209" s="228">
        <f t="shared" si="32"/>
        <v>0</v>
      </c>
      <c r="U209" s="413">
        <f t="shared" si="33"/>
        <v>0</v>
      </c>
      <c r="V209" s="410">
        <f t="shared" si="34"/>
        <v>0</v>
      </c>
      <c r="W209" s="246">
        <f t="shared" si="35"/>
        <v>0</v>
      </c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</row>
    <row r="210" spans="1:38" s="238" customFormat="1" ht="18.75" customHeight="1" x14ac:dyDescent="0.35">
      <c r="A210" s="195"/>
      <c r="B210" s="254"/>
      <c r="C210" s="20" t="s">
        <v>287</v>
      </c>
      <c r="D210" s="20"/>
      <c r="E210" s="363"/>
      <c r="F210" s="3"/>
      <c r="G210" s="3"/>
      <c r="H210" s="20"/>
      <c r="I210" s="20"/>
      <c r="J210" s="20"/>
      <c r="K210" s="411"/>
      <c r="L210" s="204">
        <f t="shared" si="38"/>
        <v>0</v>
      </c>
      <c r="M210" s="255"/>
      <c r="N210" s="421">
        <f t="shared" si="37"/>
        <v>0</v>
      </c>
      <c r="P210" s="227">
        <f t="shared" si="36"/>
        <v>0</v>
      </c>
      <c r="Q210" s="230"/>
      <c r="R210" s="230">
        <f t="shared" si="39"/>
        <v>0</v>
      </c>
      <c r="S210" s="230">
        <f t="shared" si="40"/>
        <v>0</v>
      </c>
      <c r="T210" s="228">
        <f t="shared" si="32"/>
        <v>0</v>
      </c>
      <c r="U210" s="413">
        <f t="shared" si="33"/>
        <v>0</v>
      </c>
      <c r="V210" s="410">
        <f t="shared" si="34"/>
        <v>0</v>
      </c>
      <c r="W210" s="246">
        <f t="shared" si="35"/>
        <v>0</v>
      </c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</row>
    <row r="211" spans="1:38" s="238" customFormat="1" ht="18.75" customHeight="1" x14ac:dyDescent="0.35">
      <c r="A211" s="195"/>
      <c r="B211" s="254"/>
      <c r="C211" s="20" t="s">
        <v>287</v>
      </c>
      <c r="D211" s="20"/>
      <c r="E211" s="363"/>
      <c r="F211" s="3"/>
      <c r="G211" s="3"/>
      <c r="H211" s="20"/>
      <c r="I211" s="20"/>
      <c r="J211" s="20"/>
      <c r="K211" s="411"/>
      <c r="L211" s="204">
        <f t="shared" si="38"/>
        <v>0</v>
      </c>
      <c r="M211" s="255"/>
      <c r="N211" s="421">
        <f t="shared" si="37"/>
        <v>0</v>
      </c>
      <c r="P211" s="227">
        <f t="shared" si="36"/>
        <v>0</v>
      </c>
      <c r="Q211" s="230"/>
      <c r="R211" s="230">
        <f t="shared" si="39"/>
        <v>0</v>
      </c>
      <c r="S211" s="230">
        <f t="shared" si="40"/>
        <v>0</v>
      </c>
      <c r="T211" s="228">
        <f t="shared" si="32"/>
        <v>0</v>
      </c>
      <c r="U211" s="413">
        <f t="shared" si="33"/>
        <v>0</v>
      </c>
      <c r="V211" s="410">
        <f t="shared" si="34"/>
        <v>0</v>
      </c>
      <c r="W211" s="246">
        <f t="shared" si="35"/>
        <v>0</v>
      </c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</row>
    <row r="212" spans="1:38" s="238" customFormat="1" ht="18.75" customHeight="1" x14ac:dyDescent="0.35">
      <c r="A212" s="195"/>
      <c r="B212" s="254"/>
      <c r="C212" s="20" t="s">
        <v>287</v>
      </c>
      <c r="D212" s="20"/>
      <c r="E212" s="363"/>
      <c r="F212" s="3"/>
      <c r="G212" s="3"/>
      <c r="H212" s="20"/>
      <c r="I212" s="20"/>
      <c r="J212" s="20"/>
      <c r="K212" s="411"/>
      <c r="L212" s="204">
        <f t="shared" si="38"/>
        <v>0</v>
      </c>
      <c r="M212" s="255"/>
      <c r="N212" s="421">
        <f t="shared" si="37"/>
        <v>0</v>
      </c>
      <c r="P212" s="227">
        <f t="shared" si="36"/>
        <v>0</v>
      </c>
      <c r="Q212" s="230"/>
      <c r="R212" s="230">
        <f t="shared" si="39"/>
        <v>0</v>
      </c>
      <c r="S212" s="230">
        <f t="shared" si="40"/>
        <v>0</v>
      </c>
      <c r="T212" s="228">
        <f t="shared" si="32"/>
        <v>0</v>
      </c>
      <c r="U212" s="413">
        <f t="shared" si="33"/>
        <v>0</v>
      </c>
      <c r="V212" s="410">
        <f t="shared" si="34"/>
        <v>0</v>
      </c>
      <c r="W212" s="246">
        <f t="shared" si="35"/>
        <v>0</v>
      </c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</row>
    <row r="213" spans="1:38" s="238" customFormat="1" ht="18.75" customHeight="1" x14ac:dyDescent="0.35">
      <c r="A213" s="195"/>
      <c r="B213" s="254"/>
      <c r="C213" s="20" t="s">
        <v>287</v>
      </c>
      <c r="D213" s="20"/>
      <c r="E213" s="363"/>
      <c r="F213" s="3"/>
      <c r="G213" s="3"/>
      <c r="H213" s="20"/>
      <c r="I213" s="20"/>
      <c r="J213" s="20"/>
      <c r="K213" s="411"/>
      <c r="L213" s="204">
        <f t="shared" si="38"/>
        <v>0</v>
      </c>
      <c r="M213" s="255"/>
      <c r="N213" s="421">
        <f t="shared" si="37"/>
        <v>0</v>
      </c>
      <c r="P213" s="227">
        <f t="shared" si="36"/>
        <v>0</v>
      </c>
      <c r="Q213" s="230"/>
      <c r="R213" s="230">
        <f t="shared" si="39"/>
        <v>0</v>
      </c>
      <c r="S213" s="230">
        <f t="shared" si="40"/>
        <v>0</v>
      </c>
      <c r="T213" s="228">
        <f t="shared" si="32"/>
        <v>0</v>
      </c>
      <c r="U213" s="413">
        <f t="shared" si="33"/>
        <v>0</v>
      </c>
      <c r="V213" s="410">
        <f t="shared" si="34"/>
        <v>0</v>
      </c>
      <c r="W213" s="246">
        <f t="shared" si="35"/>
        <v>0</v>
      </c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</row>
    <row r="214" spans="1:38" s="238" customFormat="1" ht="18.75" customHeight="1" x14ac:dyDescent="0.35">
      <c r="A214" s="195"/>
      <c r="B214" s="254"/>
      <c r="C214" s="20" t="s">
        <v>287</v>
      </c>
      <c r="D214" s="20"/>
      <c r="E214" s="363"/>
      <c r="F214" s="3"/>
      <c r="G214" s="3"/>
      <c r="H214" s="20"/>
      <c r="I214" s="20"/>
      <c r="J214" s="20"/>
      <c r="K214" s="411"/>
      <c r="L214" s="204">
        <f t="shared" si="38"/>
        <v>0</v>
      </c>
      <c r="M214" s="255"/>
      <c r="N214" s="421">
        <f t="shared" si="37"/>
        <v>0</v>
      </c>
      <c r="P214" s="227">
        <f t="shared" si="36"/>
        <v>0</v>
      </c>
      <c r="Q214" s="230"/>
      <c r="R214" s="230">
        <f t="shared" si="39"/>
        <v>0</v>
      </c>
      <c r="S214" s="230">
        <f t="shared" si="40"/>
        <v>0</v>
      </c>
      <c r="T214" s="228">
        <f t="shared" si="32"/>
        <v>0</v>
      </c>
      <c r="U214" s="413">
        <f t="shared" si="33"/>
        <v>0</v>
      </c>
      <c r="V214" s="410">
        <f t="shared" si="34"/>
        <v>0</v>
      </c>
      <c r="W214" s="246">
        <f t="shared" si="35"/>
        <v>0</v>
      </c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</row>
    <row r="215" spans="1:38" s="238" customFormat="1" ht="18.75" customHeight="1" x14ac:dyDescent="0.35">
      <c r="A215" s="195"/>
      <c r="B215" s="254"/>
      <c r="C215" s="20" t="s">
        <v>287</v>
      </c>
      <c r="D215" s="20"/>
      <c r="E215" s="363"/>
      <c r="F215" s="3"/>
      <c r="G215" s="3"/>
      <c r="H215" s="20"/>
      <c r="I215" s="20"/>
      <c r="J215" s="20"/>
      <c r="K215" s="411"/>
      <c r="L215" s="204">
        <f t="shared" si="38"/>
        <v>0</v>
      </c>
      <c r="M215" s="255"/>
      <c r="N215" s="421">
        <f t="shared" si="37"/>
        <v>0</v>
      </c>
      <c r="P215" s="227">
        <f t="shared" si="36"/>
        <v>0</v>
      </c>
      <c r="Q215" s="230"/>
      <c r="R215" s="230">
        <f t="shared" si="39"/>
        <v>0</v>
      </c>
      <c r="S215" s="230">
        <f t="shared" si="40"/>
        <v>0</v>
      </c>
      <c r="T215" s="228">
        <f t="shared" si="32"/>
        <v>0</v>
      </c>
      <c r="U215" s="413">
        <f t="shared" si="33"/>
        <v>0</v>
      </c>
      <c r="V215" s="410">
        <f t="shared" si="34"/>
        <v>0</v>
      </c>
      <c r="W215" s="246">
        <f t="shared" si="35"/>
        <v>0</v>
      </c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</row>
    <row r="216" spans="1:38" s="238" customFormat="1" ht="18.75" customHeight="1" x14ac:dyDescent="0.35">
      <c r="A216" s="195"/>
      <c r="B216" s="254"/>
      <c r="C216" s="20" t="s">
        <v>287</v>
      </c>
      <c r="D216" s="20"/>
      <c r="E216" s="363"/>
      <c r="F216" s="3"/>
      <c r="G216" s="3"/>
      <c r="H216" s="20"/>
      <c r="I216" s="20"/>
      <c r="J216" s="20"/>
      <c r="K216" s="411"/>
      <c r="L216" s="204">
        <f t="shared" si="38"/>
        <v>0</v>
      </c>
      <c r="M216" s="255"/>
      <c r="N216" s="421">
        <f t="shared" si="37"/>
        <v>0</v>
      </c>
      <c r="P216" s="227">
        <f t="shared" si="36"/>
        <v>0</v>
      </c>
      <c r="Q216" s="230"/>
      <c r="R216" s="230">
        <f t="shared" si="39"/>
        <v>0</v>
      </c>
      <c r="S216" s="230">
        <f t="shared" si="40"/>
        <v>0</v>
      </c>
      <c r="T216" s="228">
        <f t="shared" si="32"/>
        <v>0</v>
      </c>
      <c r="U216" s="413">
        <f t="shared" si="33"/>
        <v>0</v>
      </c>
      <c r="V216" s="410">
        <f t="shared" si="34"/>
        <v>0</v>
      </c>
      <c r="W216" s="246">
        <f t="shared" si="35"/>
        <v>0</v>
      </c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</row>
    <row r="217" spans="1:38" s="238" customFormat="1" ht="18.75" customHeight="1" x14ac:dyDescent="0.35">
      <c r="A217" s="195"/>
      <c r="B217" s="254"/>
      <c r="C217" s="20" t="s">
        <v>287</v>
      </c>
      <c r="D217" s="20"/>
      <c r="E217" s="363"/>
      <c r="F217" s="3"/>
      <c r="G217" s="3"/>
      <c r="H217" s="20"/>
      <c r="I217" s="20"/>
      <c r="J217" s="20"/>
      <c r="K217" s="411"/>
      <c r="L217" s="204">
        <f t="shared" si="38"/>
        <v>0</v>
      </c>
      <c r="M217" s="255"/>
      <c r="N217" s="421">
        <f t="shared" si="37"/>
        <v>0</v>
      </c>
      <c r="P217" s="227">
        <f t="shared" si="36"/>
        <v>0</v>
      </c>
      <c r="Q217" s="230"/>
      <c r="R217" s="230">
        <f t="shared" si="39"/>
        <v>0</v>
      </c>
      <c r="S217" s="230">
        <f t="shared" si="40"/>
        <v>0</v>
      </c>
      <c r="T217" s="228">
        <f t="shared" si="32"/>
        <v>0</v>
      </c>
      <c r="U217" s="413">
        <f t="shared" si="33"/>
        <v>0</v>
      </c>
      <c r="V217" s="410">
        <f t="shared" si="34"/>
        <v>0</v>
      </c>
      <c r="W217" s="246">
        <f t="shared" si="35"/>
        <v>0</v>
      </c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</row>
    <row r="218" spans="1:38" s="238" customFormat="1" ht="18.75" customHeight="1" x14ac:dyDescent="0.35">
      <c r="A218" s="195"/>
      <c r="B218" s="254"/>
      <c r="C218" s="20" t="s">
        <v>287</v>
      </c>
      <c r="D218" s="20"/>
      <c r="E218" s="363"/>
      <c r="F218" s="3"/>
      <c r="G218" s="3"/>
      <c r="H218" s="20"/>
      <c r="I218" s="20"/>
      <c r="J218" s="20"/>
      <c r="K218" s="411"/>
      <c r="L218" s="204">
        <f t="shared" si="38"/>
        <v>0</v>
      </c>
      <c r="M218" s="255"/>
      <c r="N218" s="421">
        <f t="shared" si="37"/>
        <v>0</v>
      </c>
      <c r="P218" s="227">
        <f t="shared" si="36"/>
        <v>0</v>
      </c>
      <c r="Q218" s="230"/>
      <c r="R218" s="230">
        <f t="shared" si="39"/>
        <v>0</v>
      </c>
      <c r="S218" s="230">
        <f t="shared" si="40"/>
        <v>0</v>
      </c>
      <c r="T218" s="228">
        <f t="shared" si="32"/>
        <v>0</v>
      </c>
      <c r="U218" s="413">
        <f t="shared" si="33"/>
        <v>0</v>
      </c>
      <c r="V218" s="410">
        <f t="shared" si="34"/>
        <v>0</v>
      </c>
      <c r="W218" s="246">
        <f t="shared" si="35"/>
        <v>0</v>
      </c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</row>
    <row r="219" spans="1:38" s="238" customFormat="1" ht="18.75" customHeight="1" x14ac:dyDescent="0.35">
      <c r="A219" s="195"/>
      <c r="B219" s="254"/>
      <c r="C219" s="20" t="s">
        <v>287</v>
      </c>
      <c r="D219" s="20"/>
      <c r="E219" s="363"/>
      <c r="F219" s="3"/>
      <c r="G219" s="3"/>
      <c r="H219" s="20"/>
      <c r="I219" s="20"/>
      <c r="J219" s="20"/>
      <c r="K219" s="411"/>
      <c r="L219" s="204">
        <f t="shared" si="38"/>
        <v>0</v>
      </c>
      <c r="M219" s="255"/>
      <c r="N219" s="421">
        <f t="shared" si="37"/>
        <v>0</v>
      </c>
      <c r="P219" s="227">
        <f t="shared" si="36"/>
        <v>0</v>
      </c>
      <c r="Q219" s="230"/>
      <c r="R219" s="230">
        <f t="shared" si="39"/>
        <v>0</v>
      </c>
      <c r="S219" s="230">
        <f t="shared" si="40"/>
        <v>0</v>
      </c>
      <c r="T219" s="228">
        <f t="shared" si="32"/>
        <v>0</v>
      </c>
      <c r="U219" s="413">
        <f t="shared" si="33"/>
        <v>0</v>
      </c>
      <c r="V219" s="410">
        <f t="shared" si="34"/>
        <v>0</v>
      </c>
      <c r="W219" s="246">
        <f t="shared" si="35"/>
        <v>0</v>
      </c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</row>
    <row r="220" spans="1:38" s="238" customFormat="1" ht="18.75" customHeight="1" x14ac:dyDescent="0.35">
      <c r="A220" s="195"/>
      <c r="B220" s="254"/>
      <c r="C220" s="20" t="s">
        <v>287</v>
      </c>
      <c r="D220" s="20"/>
      <c r="E220" s="363"/>
      <c r="F220" s="3"/>
      <c r="G220" s="3"/>
      <c r="H220" s="20"/>
      <c r="I220" s="20"/>
      <c r="J220" s="20"/>
      <c r="K220" s="411"/>
      <c r="L220" s="204">
        <f t="shared" si="38"/>
        <v>0</v>
      </c>
      <c r="M220" s="255"/>
      <c r="N220" s="421">
        <f t="shared" si="37"/>
        <v>0</v>
      </c>
      <c r="P220" s="227">
        <f t="shared" si="36"/>
        <v>0</v>
      </c>
      <c r="Q220" s="230"/>
      <c r="R220" s="230">
        <f t="shared" si="39"/>
        <v>0</v>
      </c>
      <c r="S220" s="230">
        <f t="shared" si="40"/>
        <v>0</v>
      </c>
      <c r="T220" s="228">
        <f t="shared" si="32"/>
        <v>0</v>
      </c>
      <c r="U220" s="413">
        <f t="shared" si="33"/>
        <v>0</v>
      </c>
      <c r="V220" s="410">
        <f t="shared" si="34"/>
        <v>0</v>
      </c>
      <c r="W220" s="246">
        <f t="shared" si="35"/>
        <v>0</v>
      </c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</row>
    <row r="221" spans="1:38" s="238" customFormat="1" ht="18.75" customHeight="1" x14ac:dyDescent="0.35">
      <c r="A221" s="195"/>
      <c r="B221" s="254"/>
      <c r="C221" s="20" t="s">
        <v>287</v>
      </c>
      <c r="D221" s="20"/>
      <c r="E221" s="363"/>
      <c r="F221" s="3"/>
      <c r="G221" s="3"/>
      <c r="H221" s="20"/>
      <c r="I221" s="20"/>
      <c r="J221" s="20"/>
      <c r="K221" s="411"/>
      <c r="L221" s="204">
        <f t="shared" si="38"/>
        <v>0</v>
      </c>
      <c r="M221" s="255"/>
      <c r="N221" s="421">
        <f t="shared" si="37"/>
        <v>0</v>
      </c>
      <c r="P221" s="227">
        <f t="shared" si="36"/>
        <v>0</v>
      </c>
      <c r="Q221" s="230"/>
      <c r="R221" s="230">
        <f t="shared" si="39"/>
        <v>0</v>
      </c>
      <c r="S221" s="230">
        <f t="shared" si="40"/>
        <v>0</v>
      </c>
      <c r="T221" s="228">
        <f t="shared" si="32"/>
        <v>0</v>
      </c>
      <c r="U221" s="413">
        <f t="shared" si="33"/>
        <v>0</v>
      </c>
      <c r="V221" s="410">
        <f t="shared" si="34"/>
        <v>0</v>
      </c>
      <c r="W221" s="246">
        <f t="shared" si="35"/>
        <v>0</v>
      </c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</row>
    <row r="222" spans="1:38" s="238" customFormat="1" ht="18.75" customHeight="1" x14ac:dyDescent="0.35">
      <c r="A222" s="195"/>
      <c r="B222" s="254"/>
      <c r="C222" s="20" t="s">
        <v>287</v>
      </c>
      <c r="D222" s="20"/>
      <c r="E222" s="363"/>
      <c r="F222" s="3"/>
      <c r="G222" s="3"/>
      <c r="H222" s="20"/>
      <c r="I222" s="20"/>
      <c r="J222" s="20"/>
      <c r="K222" s="411"/>
      <c r="L222" s="204">
        <f t="shared" si="38"/>
        <v>0</v>
      </c>
      <c r="M222" s="255"/>
      <c r="N222" s="421">
        <f t="shared" si="37"/>
        <v>0</v>
      </c>
      <c r="P222" s="227">
        <f t="shared" si="36"/>
        <v>0</v>
      </c>
      <c r="Q222" s="230"/>
      <c r="R222" s="230">
        <f t="shared" si="39"/>
        <v>0</v>
      </c>
      <c r="S222" s="230">
        <f t="shared" si="40"/>
        <v>0</v>
      </c>
      <c r="T222" s="228">
        <f t="shared" si="32"/>
        <v>0</v>
      </c>
      <c r="U222" s="413">
        <f t="shared" si="33"/>
        <v>0</v>
      </c>
      <c r="V222" s="410">
        <f t="shared" si="34"/>
        <v>0</v>
      </c>
      <c r="W222" s="246">
        <f t="shared" si="35"/>
        <v>0</v>
      </c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</row>
    <row r="223" spans="1:38" s="238" customFormat="1" ht="18.75" customHeight="1" x14ac:dyDescent="0.35">
      <c r="A223" s="195"/>
      <c r="B223" s="254"/>
      <c r="C223" s="20" t="s">
        <v>287</v>
      </c>
      <c r="D223" s="20"/>
      <c r="E223" s="363"/>
      <c r="F223" s="3"/>
      <c r="G223" s="3"/>
      <c r="H223" s="20"/>
      <c r="I223" s="20"/>
      <c r="J223" s="20"/>
      <c r="K223" s="411"/>
      <c r="L223" s="204">
        <f t="shared" si="38"/>
        <v>0</v>
      </c>
      <c r="M223" s="255"/>
      <c r="N223" s="421">
        <f t="shared" si="37"/>
        <v>0</v>
      </c>
      <c r="P223" s="227">
        <f t="shared" si="36"/>
        <v>0</v>
      </c>
      <c r="Q223" s="230"/>
      <c r="R223" s="230">
        <f t="shared" si="39"/>
        <v>0</v>
      </c>
      <c r="S223" s="230">
        <f t="shared" si="40"/>
        <v>0</v>
      </c>
      <c r="T223" s="228">
        <f t="shared" si="32"/>
        <v>0</v>
      </c>
      <c r="U223" s="413">
        <f t="shared" si="33"/>
        <v>0</v>
      </c>
      <c r="V223" s="410">
        <f t="shared" si="34"/>
        <v>0</v>
      </c>
      <c r="W223" s="246">
        <f t="shared" si="35"/>
        <v>0</v>
      </c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</row>
    <row r="224" spans="1:38" s="238" customFormat="1" ht="18.75" customHeight="1" x14ac:dyDescent="0.35">
      <c r="A224" s="195"/>
      <c r="B224" s="254"/>
      <c r="C224" s="20" t="s">
        <v>287</v>
      </c>
      <c r="D224" s="20"/>
      <c r="E224" s="363"/>
      <c r="F224" s="3"/>
      <c r="G224" s="3"/>
      <c r="H224" s="20"/>
      <c r="I224" s="20"/>
      <c r="J224" s="20"/>
      <c r="K224" s="411"/>
      <c r="L224" s="204">
        <f t="shared" si="38"/>
        <v>0</v>
      </c>
      <c r="M224" s="255"/>
      <c r="N224" s="421">
        <f t="shared" si="37"/>
        <v>0</v>
      </c>
      <c r="P224" s="227">
        <f t="shared" si="36"/>
        <v>0</v>
      </c>
      <c r="Q224" s="230"/>
      <c r="R224" s="230">
        <f t="shared" si="39"/>
        <v>0</v>
      </c>
      <c r="S224" s="230">
        <f t="shared" si="40"/>
        <v>0</v>
      </c>
      <c r="T224" s="228">
        <f t="shared" si="32"/>
        <v>0</v>
      </c>
      <c r="U224" s="413">
        <f t="shared" si="33"/>
        <v>0</v>
      </c>
      <c r="V224" s="410">
        <f t="shared" si="34"/>
        <v>0</v>
      </c>
      <c r="W224" s="246">
        <f t="shared" si="35"/>
        <v>0</v>
      </c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</row>
    <row r="225" spans="1:38" s="238" customFormat="1" ht="18.75" customHeight="1" x14ac:dyDescent="0.35">
      <c r="A225" s="195"/>
      <c r="B225" s="254"/>
      <c r="C225" s="20" t="s">
        <v>287</v>
      </c>
      <c r="D225" s="20"/>
      <c r="E225" s="363"/>
      <c r="F225" s="3"/>
      <c r="G225" s="3"/>
      <c r="H225" s="20"/>
      <c r="I225" s="20"/>
      <c r="J225" s="20"/>
      <c r="K225" s="411"/>
      <c r="L225" s="204">
        <f t="shared" si="38"/>
        <v>0</v>
      </c>
      <c r="M225" s="255"/>
      <c r="N225" s="421">
        <f t="shared" si="37"/>
        <v>0</v>
      </c>
      <c r="P225" s="227">
        <f t="shared" si="36"/>
        <v>0</v>
      </c>
      <c r="Q225" s="230"/>
      <c r="R225" s="230">
        <f t="shared" si="39"/>
        <v>0</v>
      </c>
      <c r="S225" s="230">
        <f t="shared" si="40"/>
        <v>0</v>
      </c>
      <c r="T225" s="228">
        <f t="shared" si="32"/>
        <v>0</v>
      </c>
      <c r="U225" s="413">
        <f t="shared" si="33"/>
        <v>0</v>
      </c>
      <c r="V225" s="410">
        <f t="shared" si="34"/>
        <v>0</v>
      </c>
      <c r="W225" s="246">
        <f t="shared" si="35"/>
        <v>0</v>
      </c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</row>
    <row r="226" spans="1:38" s="238" customFormat="1" ht="18.75" customHeight="1" x14ac:dyDescent="0.35">
      <c r="A226" s="195"/>
      <c r="B226" s="254"/>
      <c r="C226" s="20" t="s">
        <v>287</v>
      </c>
      <c r="D226" s="20"/>
      <c r="E226" s="363"/>
      <c r="F226" s="3"/>
      <c r="G226" s="3"/>
      <c r="H226" s="20"/>
      <c r="I226" s="20"/>
      <c r="J226" s="20"/>
      <c r="K226" s="411"/>
      <c r="L226" s="204">
        <f t="shared" si="38"/>
        <v>0</v>
      </c>
      <c r="M226" s="255"/>
      <c r="N226" s="421">
        <f t="shared" si="37"/>
        <v>0</v>
      </c>
      <c r="P226" s="227">
        <f t="shared" si="36"/>
        <v>0</v>
      </c>
      <c r="Q226" s="230"/>
      <c r="R226" s="230">
        <f t="shared" si="39"/>
        <v>0</v>
      </c>
      <c r="S226" s="230">
        <f t="shared" si="40"/>
        <v>0</v>
      </c>
      <c r="T226" s="228">
        <f t="shared" si="32"/>
        <v>0</v>
      </c>
      <c r="U226" s="413">
        <f t="shared" si="33"/>
        <v>0</v>
      </c>
      <c r="V226" s="410">
        <f t="shared" si="34"/>
        <v>0</v>
      </c>
      <c r="W226" s="246">
        <f t="shared" si="35"/>
        <v>0</v>
      </c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</row>
    <row r="227" spans="1:38" s="238" customFormat="1" ht="18.75" customHeight="1" x14ac:dyDescent="0.35">
      <c r="A227" s="195"/>
      <c r="B227" s="254"/>
      <c r="C227" s="20" t="s">
        <v>287</v>
      </c>
      <c r="D227" s="20"/>
      <c r="E227" s="363"/>
      <c r="F227" s="3"/>
      <c r="G227" s="3"/>
      <c r="H227" s="20"/>
      <c r="I227" s="20"/>
      <c r="J227" s="20"/>
      <c r="K227" s="411"/>
      <c r="L227" s="204">
        <f t="shared" si="38"/>
        <v>0</v>
      </c>
      <c r="M227" s="255"/>
      <c r="N227" s="421">
        <f t="shared" si="37"/>
        <v>0</v>
      </c>
      <c r="P227" s="227">
        <f t="shared" si="36"/>
        <v>0</v>
      </c>
      <c r="Q227" s="230"/>
      <c r="R227" s="230">
        <f t="shared" si="39"/>
        <v>0</v>
      </c>
      <c r="S227" s="230">
        <f t="shared" si="40"/>
        <v>0</v>
      </c>
      <c r="T227" s="228">
        <f t="shared" si="32"/>
        <v>0</v>
      </c>
      <c r="U227" s="413">
        <f t="shared" si="33"/>
        <v>0</v>
      </c>
      <c r="V227" s="410">
        <f t="shared" si="34"/>
        <v>0</v>
      </c>
      <c r="W227" s="246">
        <f t="shared" si="35"/>
        <v>0</v>
      </c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</row>
    <row r="228" spans="1:38" s="238" customFormat="1" ht="18.75" customHeight="1" x14ac:dyDescent="0.35">
      <c r="A228" s="195"/>
      <c r="B228" s="254"/>
      <c r="C228" s="20" t="s">
        <v>287</v>
      </c>
      <c r="D228" s="20"/>
      <c r="E228" s="363"/>
      <c r="F228" s="3"/>
      <c r="G228" s="3"/>
      <c r="H228" s="20"/>
      <c r="I228" s="20"/>
      <c r="J228" s="20"/>
      <c r="K228" s="411"/>
      <c r="L228" s="204">
        <f t="shared" si="38"/>
        <v>0</v>
      </c>
      <c r="M228" s="255"/>
      <c r="N228" s="421">
        <f t="shared" si="37"/>
        <v>0</v>
      </c>
      <c r="P228" s="227">
        <f t="shared" si="36"/>
        <v>0</v>
      </c>
      <c r="Q228" s="230"/>
      <c r="R228" s="230">
        <f t="shared" si="39"/>
        <v>0</v>
      </c>
      <c r="S228" s="230">
        <f t="shared" si="40"/>
        <v>0</v>
      </c>
      <c r="T228" s="228">
        <f t="shared" si="32"/>
        <v>0</v>
      </c>
      <c r="U228" s="413">
        <f t="shared" si="33"/>
        <v>0</v>
      </c>
      <c r="V228" s="410">
        <f t="shared" si="34"/>
        <v>0</v>
      </c>
      <c r="W228" s="246">
        <f t="shared" si="35"/>
        <v>0</v>
      </c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</row>
    <row r="229" spans="1:38" s="238" customFormat="1" ht="18.75" customHeight="1" x14ac:dyDescent="0.35">
      <c r="A229" s="195"/>
      <c r="B229" s="254"/>
      <c r="C229" s="20" t="s">
        <v>287</v>
      </c>
      <c r="D229" s="20"/>
      <c r="E229" s="363"/>
      <c r="F229" s="3"/>
      <c r="G229" s="3"/>
      <c r="H229" s="20"/>
      <c r="I229" s="20"/>
      <c r="J229" s="20"/>
      <c r="K229" s="411"/>
      <c r="L229" s="204">
        <f t="shared" si="38"/>
        <v>0</v>
      </c>
      <c r="M229" s="255"/>
      <c r="N229" s="421">
        <f t="shared" si="37"/>
        <v>0</v>
      </c>
      <c r="P229" s="227">
        <f t="shared" si="36"/>
        <v>0</v>
      </c>
      <c r="Q229" s="230"/>
      <c r="R229" s="230">
        <f t="shared" si="39"/>
        <v>0</v>
      </c>
      <c r="S229" s="230">
        <f t="shared" si="40"/>
        <v>0</v>
      </c>
      <c r="T229" s="228">
        <f t="shared" si="32"/>
        <v>0</v>
      </c>
      <c r="U229" s="413">
        <f t="shared" si="33"/>
        <v>0</v>
      </c>
      <c r="V229" s="410">
        <f t="shared" si="34"/>
        <v>0</v>
      </c>
      <c r="W229" s="246">
        <f t="shared" si="35"/>
        <v>0</v>
      </c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</row>
    <row r="230" spans="1:38" s="238" customFormat="1" ht="18.75" customHeight="1" x14ac:dyDescent="0.35">
      <c r="A230" s="195"/>
      <c r="B230" s="254"/>
      <c r="C230" s="20" t="s">
        <v>287</v>
      </c>
      <c r="D230" s="20"/>
      <c r="E230" s="363"/>
      <c r="F230" s="3"/>
      <c r="G230" s="3"/>
      <c r="H230" s="20"/>
      <c r="I230" s="20"/>
      <c r="J230" s="20"/>
      <c r="K230" s="411"/>
      <c r="L230" s="204">
        <f t="shared" si="38"/>
        <v>0</v>
      </c>
      <c r="M230" s="255"/>
      <c r="N230" s="421">
        <f t="shared" si="37"/>
        <v>0</v>
      </c>
      <c r="P230" s="227">
        <f t="shared" si="36"/>
        <v>0</v>
      </c>
      <c r="Q230" s="230"/>
      <c r="R230" s="230">
        <f t="shared" si="39"/>
        <v>0</v>
      </c>
      <c r="S230" s="230">
        <f t="shared" si="40"/>
        <v>0</v>
      </c>
      <c r="T230" s="228">
        <f t="shared" si="32"/>
        <v>0</v>
      </c>
      <c r="U230" s="413">
        <f t="shared" si="33"/>
        <v>0</v>
      </c>
      <c r="V230" s="410">
        <f t="shared" si="34"/>
        <v>0</v>
      </c>
      <c r="W230" s="246">
        <f t="shared" si="35"/>
        <v>0</v>
      </c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</row>
    <row r="231" spans="1:38" s="238" customFormat="1" ht="18.75" customHeight="1" x14ac:dyDescent="0.35">
      <c r="A231" s="195"/>
      <c r="B231" s="254"/>
      <c r="C231" s="20" t="s">
        <v>287</v>
      </c>
      <c r="D231" s="20"/>
      <c r="E231" s="363"/>
      <c r="F231" s="3"/>
      <c r="G231" s="3"/>
      <c r="H231" s="20"/>
      <c r="I231" s="20"/>
      <c r="J231" s="20"/>
      <c r="K231" s="411"/>
      <c r="L231" s="204">
        <f t="shared" si="38"/>
        <v>0</v>
      </c>
      <c r="M231" s="255"/>
      <c r="N231" s="421">
        <f t="shared" si="37"/>
        <v>0</v>
      </c>
      <c r="P231" s="227">
        <f t="shared" si="36"/>
        <v>0</v>
      </c>
      <c r="Q231" s="230"/>
      <c r="R231" s="230">
        <f t="shared" si="39"/>
        <v>0</v>
      </c>
      <c r="S231" s="230">
        <f t="shared" si="40"/>
        <v>0</v>
      </c>
      <c r="T231" s="228">
        <f t="shared" si="32"/>
        <v>0</v>
      </c>
      <c r="U231" s="413">
        <f t="shared" si="33"/>
        <v>0</v>
      </c>
      <c r="V231" s="410">
        <f t="shared" si="34"/>
        <v>0</v>
      </c>
      <c r="W231" s="246">
        <f t="shared" si="35"/>
        <v>0</v>
      </c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</row>
    <row r="232" spans="1:38" s="238" customFormat="1" ht="18.75" customHeight="1" x14ac:dyDescent="0.35">
      <c r="A232" s="195"/>
      <c r="B232" s="254"/>
      <c r="C232" s="20" t="s">
        <v>287</v>
      </c>
      <c r="D232" s="20"/>
      <c r="E232" s="363"/>
      <c r="F232" s="3"/>
      <c r="G232" s="3"/>
      <c r="H232" s="20"/>
      <c r="I232" s="20"/>
      <c r="J232" s="20"/>
      <c r="K232" s="411"/>
      <c r="L232" s="204">
        <f t="shared" si="38"/>
        <v>0</v>
      </c>
      <c r="M232" s="255"/>
      <c r="N232" s="421">
        <f t="shared" si="37"/>
        <v>0</v>
      </c>
      <c r="P232" s="227">
        <f t="shared" si="36"/>
        <v>0</v>
      </c>
      <c r="Q232" s="230"/>
      <c r="R232" s="230">
        <f t="shared" si="39"/>
        <v>0</v>
      </c>
      <c r="S232" s="230">
        <f t="shared" si="40"/>
        <v>0</v>
      </c>
      <c r="T232" s="228">
        <f t="shared" si="32"/>
        <v>0</v>
      </c>
      <c r="U232" s="413">
        <f t="shared" si="33"/>
        <v>0</v>
      </c>
      <c r="V232" s="410">
        <f t="shared" si="34"/>
        <v>0</v>
      </c>
      <c r="W232" s="246">
        <f t="shared" si="35"/>
        <v>0</v>
      </c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</row>
    <row r="233" spans="1:38" s="238" customFormat="1" ht="18.75" customHeight="1" x14ac:dyDescent="0.35">
      <c r="A233" s="195"/>
      <c r="B233" s="254"/>
      <c r="C233" s="20" t="s">
        <v>287</v>
      </c>
      <c r="D233" s="20"/>
      <c r="E233" s="363"/>
      <c r="F233" s="3"/>
      <c r="G233" s="3"/>
      <c r="H233" s="20"/>
      <c r="I233" s="20"/>
      <c r="J233" s="20"/>
      <c r="K233" s="411"/>
      <c r="L233" s="204">
        <f t="shared" si="38"/>
        <v>0</v>
      </c>
      <c r="M233" s="255"/>
      <c r="N233" s="421">
        <f t="shared" si="37"/>
        <v>0</v>
      </c>
      <c r="P233" s="227">
        <f t="shared" si="36"/>
        <v>0</v>
      </c>
      <c r="Q233" s="230"/>
      <c r="R233" s="230">
        <f t="shared" si="39"/>
        <v>0</v>
      </c>
      <c r="S233" s="230">
        <f t="shared" si="40"/>
        <v>0</v>
      </c>
      <c r="T233" s="228">
        <f t="shared" si="32"/>
        <v>0</v>
      </c>
      <c r="U233" s="413">
        <f t="shared" si="33"/>
        <v>0</v>
      </c>
      <c r="V233" s="410">
        <f t="shared" si="34"/>
        <v>0</v>
      </c>
      <c r="W233" s="246">
        <f t="shared" si="35"/>
        <v>0</v>
      </c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</row>
    <row r="234" spans="1:38" s="238" customFormat="1" ht="18.75" customHeight="1" x14ac:dyDescent="0.35">
      <c r="A234" s="195"/>
      <c r="B234" s="254"/>
      <c r="C234" s="20" t="s">
        <v>287</v>
      </c>
      <c r="D234" s="20"/>
      <c r="E234" s="363"/>
      <c r="F234" s="3"/>
      <c r="G234" s="3"/>
      <c r="H234" s="20"/>
      <c r="I234" s="20"/>
      <c r="J234" s="20"/>
      <c r="K234" s="411"/>
      <c r="L234" s="204">
        <f t="shared" si="38"/>
        <v>0</v>
      </c>
      <c r="M234" s="255"/>
      <c r="N234" s="421">
        <f t="shared" si="37"/>
        <v>0</v>
      </c>
      <c r="P234" s="227">
        <f t="shared" si="36"/>
        <v>0</v>
      </c>
      <c r="Q234" s="230"/>
      <c r="R234" s="230">
        <f t="shared" si="39"/>
        <v>0</v>
      </c>
      <c r="S234" s="230">
        <f t="shared" si="40"/>
        <v>0</v>
      </c>
      <c r="T234" s="228">
        <f t="shared" si="32"/>
        <v>0</v>
      </c>
      <c r="U234" s="413">
        <f t="shared" si="33"/>
        <v>0</v>
      </c>
      <c r="V234" s="410">
        <f t="shared" si="34"/>
        <v>0</v>
      </c>
      <c r="W234" s="246">
        <f t="shared" si="35"/>
        <v>0</v>
      </c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</row>
    <row r="235" spans="1:38" s="238" customFormat="1" ht="18.75" customHeight="1" x14ac:dyDescent="0.35">
      <c r="A235" s="195"/>
      <c r="B235" s="254"/>
      <c r="C235" s="20" t="s">
        <v>287</v>
      </c>
      <c r="D235" s="20"/>
      <c r="E235" s="363"/>
      <c r="F235" s="3"/>
      <c r="G235" s="3"/>
      <c r="H235" s="20"/>
      <c r="I235" s="20"/>
      <c r="J235" s="20"/>
      <c r="K235" s="411"/>
      <c r="L235" s="204">
        <f t="shared" si="38"/>
        <v>0</v>
      </c>
      <c r="M235" s="255"/>
      <c r="N235" s="421">
        <f t="shared" si="37"/>
        <v>0</v>
      </c>
      <c r="P235" s="227">
        <f t="shared" si="36"/>
        <v>0</v>
      </c>
      <c r="Q235" s="230"/>
      <c r="R235" s="230">
        <f t="shared" si="39"/>
        <v>0</v>
      </c>
      <c r="S235" s="230">
        <f t="shared" si="40"/>
        <v>0</v>
      </c>
      <c r="T235" s="228">
        <f t="shared" si="32"/>
        <v>0</v>
      </c>
      <c r="U235" s="413">
        <f t="shared" si="33"/>
        <v>0</v>
      </c>
      <c r="V235" s="410">
        <f t="shared" si="34"/>
        <v>0</v>
      </c>
      <c r="W235" s="246">
        <f t="shared" si="35"/>
        <v>0</v>
      </c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</row>
    <row r="236" spans="1:38" s="238" customFormat="1" ht="18.75" customHeight="1" x14ac:dyDescent="0.35">
      <c r="A236" s="195"/>
      <c r="B236" s="254"/>
      <c r="C236" s="20" t="s">
        <v>287</v>
      </c>
      <c r="D236" s="20"/>
      <c r="E236" s="363"/>
      <c r="F236" s="3"/>
      <c r="G236" s="3"/>
      <c r="H236" s="20"/>
      <c r="I236" s="20"/>
      <c r="J236" s="20"/>
      <c r="K236" s="411"/>
      <c r="L236" s="204">
        <f t="shared" si="38"/>
        <v>0</v>
      </c>
      <c r="M236" s="255"/>
      <c r="N236" s="421">
        <f t="shared" si="37"/>
        <v>0</v>
      </c>
      <c r="P236" s="227">
        <f t="shared" si="36"/>
        <v>0</v>
      </c>
      <c r="Q236" s="230"/>
      <c r="R236" s="230">
        <f t="shared" si="39"/>
        <v>0</v>
      </c>
      <c r="S236" s="230">
        <f t="shared" si="40"/>
        <v>0</v>
      </c>
      <c r="T236" s="228">
        <f t="shared" si="32"/>
        <v>0</v>
      </c>
      <c r="U236" s="413">
        <f t="shared" si="33"/>
        <v>0</v>
      </c>
      <c r="V236" s="410">
        <f t="shared" si="34"/>
        <v>0</v>
      </c>
      <c r="W236" s="246">
        <f t="shared" si="35"/>
        <v>0</v>
      </c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</row>
    <row r="237" spans="1:38" s="238" customFormat="1" ht="18.75" customHeight="1" x14ac:dyDescent="0.35">
      <c r="A237" s="195"/>
      <c r="B237" s="254"/>
      <c r="C237" s="20" t="s">
        <v>287</v>
      </c>
      <c r="D237" s="20"/>
      <c r="E237" s="363"/>
      <c r="F237" s="3"/>
      <c r="G237" s="3"/>
      <c r="H237" s="20"/>
      <c r="I237" s="20"/>
      <c r="J237" s="20"/>
      <c r="K237" s="411"/>
      <c r="L237" s="204">
        <f t="shared" si="38"/>
        <v>0</v>
      </c>
      <c r="M237" s="255"/>
      <c r="N237" s="421">
        <f t="shared" si="37"/>
        <v>0</v>
      </c>
      <c r="P237" s="227">
        <f t="shared" si="36"/>
        <v>0</v>
      </c>
      <c r="Q237" s="230"/>
      <c r="R237" s="230">
        <f t="shared" si="39"/>
        <v>0</v>
      </c>
      <c r="S237" s="230">
        <f t="shared" si="40"/>
        <v>0</v>
      </c>
      <c r="T237" s="228">
        <f t="shared" si="32"/>
        <v>0</v>
      </c>
      <c r="U237" s="413">
        <f t="shared" si="33"/>
        <v>0</v>
      </c>
      <c r="V237" s="410">
        <f t="shared" si="34"/>
        <v>0</v>
      </c>
      <c r="W237" s="246">
        <f t="shared" si="35"/>
        <v>0</v>
      </c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</row>
    <row r="238" spans="1:38" s="238" customFormat="1" ht="18.75" customHeight="1" x14ac:dyDescent="0.35">
      <c r="A238" s="195"/>
      <c r="B238" s="254"/>
      <c r="C238" s="20" t="s">
        <v>287</v>
      </c>
      <c r="D238" s="20"/>
      <c r="E238" s="363"/>
      <c r="F238" s="3"/>
      <c r="G238" s="3"/>
      <c r="H238" s="20"/>
      <c r="I238" s="20"/>
      <c r="J238" s="20"/>
      <c r="K238" s="411"/>
      <c r="L238" s="204">
        <f t="shared" si="38"/>
        <v>0</v>
      </c>
      <c r="M238" s="255"/>
      <c r="N238" s="421">
        <f t="shared" si="37"/>
        <v>0</v>
      </c>
      <c r="P238" s="227">
        <f t="shared" si="36"/>
        <v>0</v>
      </c>
      <c r="Q238" s="230"/>
      <c r="R238" s="230">
        <f t="shared" si="39"/>
        <v>0</v>
      </c>
      <c r="S238" s="230">
        <f t="shared" si="40"/>
        <v>0</v>
      </c>
      <c r="T238" s="228">
        <f t="shared" si="32"/>
        <v>0</v>
      </c>
      <c r="U238" s="413">
        <f t="shared" si="33"/>
        <v>0</v>
      </c>
      <c r="V238" s="410">
        <f t="shared" si="34"/>
        <v>0</v>
      </c>
      <c r="W238" s="246">
        <f t="shared" si="35"/>
        <v>0</v>
      </c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</row>
    <row r="239" spans="1:38" s="238" customFormat="1" ht="18.75" customHeight="1" x14ac:dyDescent="0.35">
      <c r="A239" s="195"/>
      <c r="B239" s="254"/>
      <c r="C239" s="20" t="s">
        <v>287</v>
      </c>
      <c r="D239" s="20"/>
      <c r="E239" s="363"/>
      <c r="F239" s="3"/>
      <c r="G239" s="3"/>
      <c r="H239" s="20"/>
      <c r="I239" s="20"/>
      <c r="J239" s="20"/>
      <c r="K239" s="411"/>
      <c r="L239" s="204">
        <f t="shared" si="38"/>
        <v>0</v>
      </c>
      <c r="M239" s="255"/>
      <c r="N239" s="421">
        <f t="shared" si="37"/>
        <v>0</v>
      </c>
      <c r="P239" s="227">
        <f t="shared" si="36"/>
        <v>0</v>
      </c>
      <c r="Q239" s="230"/>
      <c r="R239" s="230">
        <f t="shared" si="39"/>
        <v>0</v>
      </c>
      <c r="S239" s="230">
        <f t="shared" si="40"/>
        <v>0</v>
      </c>
      <c r="T239" s="228">
        <f t="shared" si="32"/>
        <v>0</v>
      </c>
      <c r="U239" s="413">
        <f t="shared" si="33"/>
        <v>0</v>
      </c>
      <c r="V239" s="410">
        <f t="shared" si="34"/>
        <v>0</v>
      </c>
      <c r="W239" s="246">
        <f t="shared" si="35"/>
        <v>0</v>
      </c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</row>
    <row r="240" spans="1:38" s="238" customFormat="1" ht="18.75" customHeight="1" x14ac:dyDescent="0.35">
      <c r="A240" s="195"/>
      <c r="B240" s="254"/>
      <c r="C240" s="20" t="s">
        <v>287</v>
      </c>
      <c r="D240" s="20"/>
      <c r="E240" s="363"/>
      <c r="F240" s="3"/>
      <c r="G240" s="3"/>
      <c r="H240" s="20"/>
      <c r="I240" s="20"/>
      <c r="J240" s="20"/>
      <c r="K240" s="411"/>
      <c r="L240" s="204">
        <f t="shared" si="38"/>
        <v>0</v>
      </c>
      <c r="M240" s="255"/>
      <c r="N240" s="421">
        <f t="shared" si="37"/>
        <v>0</v>
      </c>
      <c r="P240" s="227">
        <f t="shared" si="36"/>
        <v>0</v>
      </c>
      <c r="Q240" s="230"/>
      <c r="R240" s="230">
        <f t="shared" si="39"/>
        <v>0</v>
      </c>
      <c r="S240" s="230">
        <f t="shared" si="40"/>
        <v>0</v>
      </c>
      <c r="T240" s="228">
        <f t="shared" si="32"/>
        <v>0</v>
      </c>
      <c r="U240" s="413">
        <f t="shared" si="33"/>
        <v>0</v>
      </c>
      <c r="V240" s="410">
        <f t="shared" si="34"/>
        <v>0</v>
      </c>
      <c r="W240" s="246">
        <f t="shared" si="35"/>
        <v>0</v>
      </c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</row>
    <row r="241" spans="1:38" s="238" customFormat="1" ht="18.75" customHeight="1" x14ac:dyDescent="0.35">
      <c r="A241" s="195"/>
      <c r="B241" s="254"/>
      <c r="C241" s="20" t="s">
        <v>287</v>
      </c>
      <c r="D241" s="20"/>
      <c r="E241" s="363"/>
      <c r="F241" s="3"/>
      <c r="G241" s="3"/>
      <c r="H241" s="20"/>
      <c r="I241" s="20"/>
      <c r="J241" s="20"/>
      <c r="K241" s="411"/>
      <c r="L241" s="204">
        <f t="shared" si="38"/>
        <v>0</v>
      </c>
      <c r="M241" s="255"/>
      <c r="N241" s="421">
        <f t="shared" si="37"/>
        <v>0</v>
      </c>
      <c r="P241" s="227">
        <f t="shared" si="36"/>
        <v>0</v>
      </c>
      <c r="Q241" s="230"/>
      <c r="R241" s="230">
        <f t="shared" si="39"/>
        <v>0</v>
      </c>
      <c r="S241" s="230">
        <f t="shared" si="40"/>
        <v>0</v>
      </c>
      <c r="T241" s="228">
        <f t="shared" si="32"/>
        <v>0</v>
      </c>
      <c r="U241" s="413">
        <f t="shared" si="33"/>
        <v>0</v>
      </c>
      <c r="V241" s="410">
        <f t="shared" si="34"/>
        <v>0</v>
      </c>
      <c r="W241" s="246">
        <f t="shared" si="35"/>
        <v>0</v>
      </c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</row>
    <row r="242" spans="1:38" s="238" customFormat="1" ht="18.75" customHeight="1" x14ac:dyDescent="0.35">
      <c r="A242" s="195"/>
      <c r="B242" s="254"/>
      <c r="C242" s="20" t="s">
        <v>287</v>
      </c>
      <c r="D242" s="20"/>
      <c r="E242" s="363"/>
      <c r="F242" s="3"/>
      <c r="G242" s="3"/>
      <c r="H242" s="20"/>
      <c r="I242" s="20"/>
      <c r="J242" s="20"/>
      <c r="K242" s="411"/>
      <c r="L242" s="204">
        <f t="shared" si="38"/>
        <v>0</v>
      </c>
      <c r="M242" s="255"/>
      <c r="N242" s="421">
        <f t="shared" si="37"/>
        <v>0</v>
      </c>
      <c r="P242" s="227">
        <f t="shared" si="36"/>
        <v>0</v>
      </c>
      <c r="Q242" s="230"/>
      <c r="R242" s="230">
        <f t="shared" si="39"/>
        <v>0</v>
      </c>
      <c r="S242" s="230">
        <f t="shared" si="40"/>
        <v>0</v>
      </c>
      <c r="T242" s="228">
        <f t="shared" si="32"/>
        <v>0</v>
      </c>
      <c r="U242" s="413">
        <f t="shared" si="33"/>
        <v>0</v>
      </c>
      <c r="V242" s="410">
        <f t="shared" si="34"/>
        <v>0</v>
      </c>
      <c r="W242" s="246">
        <f t="shared" si="35"/>
        <v>0</v>
      </c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</row>
    <row r="243" spans="1:38" s="238" customFormat="1" ht="18.75" customHeight="1" x14ac:dyDescent="0.35">
      <c r="A243" s="195"/>
      <c r="B243" s="254"/>
      <c r="C243" s="20" t="s">
        <v>287</v>
      </c>
      <c r="D243" s="20"/>
      <c r="E243" s="363"/>
      <c r="F243" s="3"/>
      <c r="G243" s="3"/>
      <c r="H243" s="20"/>
      <c r="I243" s="20"/>
      <c r="J243" s="20"/>
      <c r="K243" s="411"/>
      <c r="L243" s="204">
        <f t="shared" si="38"/>
        <v>0</v>
      </c>
      <c r="M243" s="255"/>
      <c r="N243" s="421">
        <f t="shared" si="37"/>
        <v>0</v>
      </c>
      <c r="P243" s="227">
        <f t="shared" si="36"/>
        <v>0</v>
      </c>
      <c r="Q243" s="230"/>
      <c r="R243" s="230">
        <f t="shared" si="39"/>
        <v>0</v>
      </c>
      <c r="S243" s="230">
        <f t="shared" si="40"/>
        <v>0</v>
      </c>
      <c r="T243" s="228">
        <f t="shared" si="32"/>
        <v>0</v>
      </c>
      <c r="U243" s="413">
        <f t="shared" si="33"/>
        <v>0</v>
      </c>
      <c r="V243" s="410">
        <f t="shared" si="34"/>
        <v>0</v>
      </c>
      <c r="W243" s="246">
        <f t="shared" si="35"/>
        <v>0</v>
      </c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</row>
    <row r="244" spans="1:38" s="238" customFormat="1" ht="18.75" customHeight="1" x14ac:dyDescent="0.35">
      <c r="A244" s="195"/>
      <c r="B244" s="254"/>
      <c r="C244" s="20" t="s">
        <v>287</v>
      </c>
      <c r="D244" s="20"/>
      <c r="E244" s="363"/>
      <c r="F244" s="3"/>
      <c r="G244" s="3"/>
      <c r="H244" s="20"/>
      <c r="I244" s="20"/>
      <c r="J244" s="20"/>
      <c r="K244" s="411"/>
      <c r="L244" s="204">
        <f t="shared" si="38"/>
        <v>0</v>
      </c>
      <c r="M244" s="255"/>
      <c r="N244" s="421">
        <f t="shared" si="37"/>
        <v>0</v>
      </c>
      <c r="P244" s="227">
        <f t="shared" si="36"/>
        <v>0</v>
      </c>
      <c r="Q244" s="230"/>
      <c r="R244" s="230">
        <f t="shared" si="39"/>
        <v>0</v>
      </c>
      <c r="S244" s="230">
        <f t="shared" si="40"/>
        <v>0</v>
      </c>
      <c r="T244" s="228">
        <f t="shared" si="32"/>
        <v>0</v>
      </c>
      <c r="U244" s="413">
        <f t="shared" si="33"/>
        <v>0</v>
      </c>
      <c r="V244" s="410">
        <f t="shared" si="34"/>
        <v>0</v>
      </c>
      <c r="W244" s="246">
        <f t="shared" si="35"/>
        <v>0</v>
      </c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</row>
    <row r="245" spans="1:38" s="238" customFormat="1" ht="18.75" customHeight="1" x14ac:dyDescent="0.35">
      <c r="A245" s="195"/>
      <c r="B245" s="254"/>
      <c r="C245" s="20" t="s">
        <v>287</v>
      </c>
      <c r="D245" s="20"/>
      <c r="E245" s="363"/>
      <c r="F245" s="3"/>
      <c r="G245" s="3"/>
      <c r="H245" s="20"/>
      <c r="I245" s="20"/>
      <c r="J245" s="20"/>
      <c r="K245" s="411"/>
      <c r="L245" s="204">
        <f t="shared" si="38"/>
        <v>0</v>
      </c>
      <c r="M245" s="255"/>
      <c r="N245" s="421">
        <f t="shared" si="37"/>
        <v>0</v>
      </c>
      <c r="P245" s="227">
        <f t="shared" si="36"/>
        <v>0</v>
      </c>
      <c r="Q245" s="230"/>
      <c r="R245" s="230">
        <f t="shared" si="39"/>
        <v>0</v>
      </c>
      <c r="S245" s="230">
        <f t="shared" si="40"/>
        <v>0</v>
      </c>
      <c r="T245" s="228">
        <f t="shared" si="32"/>
        <v>0</v>
      </c>
      <c r="U245" s="413">
        <f t="shared" si="33"/>
        <v>0</v>
      </c>
      <c r="V245" s="410">
        <f t="shared" si="34"/>
        <v>0</v>
      </c>
      <c r="W245" s="246">
        <f t="shared" si="35"/>
        <v>0</v>
      </c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</row>
    <row r="246" spans="1:38" s="238" customFormat="1" ht="18.75" customHeight="1" x14ac:dyDescent="0.35">
      <c r="A246" s="195"/>
      <c r="B246" s="254"/>
      <c r="C246" s="20" t="s">
        <v>287</v>
      </c>
      <c r="D246" s="20"/>
      <c r="E246" s="363"/>
      <c r="F246" s="3"/>
      <c r="G246" s="3"/>
      <c r="H246" s="20"/>
      <c r="I246" s="20"/>
      <c r="J246" s="20"/>
      <c r="K246" s="411"/>
      <c r="L246" s="204">
        <f t="shared" si="38"/>
        <v>0</v>
      </c>
      <c r="M246" s="255"/>
      <c r="N246" s="421">
        <f t="shared" si="37"/>
        <v>0</v>
      </c>
      <c r="P246" s="227">
        <f t="shared" si="36"/>
        <v>0</v>
      </c>
      <c r="Q246" s="230"/>
      <c r="R246" s="230">
        <f t="shared" si="39"/>
        <v>0</v>
      </c>
      <c r="S246" s="230">
        <f t="shared" si="40"/>
        <v>0</v>
      </c>
      <c r="T246" s="228">
        <f t="shared" si="32"/>
        <v>0</v>
      </c>
      <c r="U246" s="413">
        <f t="shared" si="33"/>
        <v>0</v>
      </c>
      <c r="V246" s="410">
        <f t="shared" si="34"/>
        <v>0</v>
      </c>
      <c r="W246" s="246">
        <f t="shared" si="35"/>
        <v>0</v>
      </c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</row>
    <row r="247" spans="1:38" s="238" customFormat="1" ht="18.75" customHeight="1" x14ac:dyDescent="0.35">
      <c r="A247" s="195"/>
      <c r="B247" s="254"/>
      <c r="C247" s="20" t="s">
        <v>287</v>
      </c>
      <c r="D247" s="20"/>
      <c r="E247" s="363"/>
      <c r="F247" s="3"/>
      <c r="G247" s="3"/>
      <c r="H247" s="20"/>
      <c r="I247" s="20"/>
      <c r="J247" s="20"/>
      <c r="K247" s="411"/>
      <c r="L247" s="204">
        <f t="shared" si="38"/>
        <v>0</v>
      </c>
      <c r="M247" s="255"/>
      <c r="N247" s="421">
        <f t="shared" si="37"/>
        <v>0</v>
      </c>
      <c r="P247" s="227">
        <f t="shared" si="36"/>
        <v>0</v>
      </c>
      <c r="Q247" s="230"/>
      <c r="R247" s="230">
        <f t="shared" si="39"/>
        <v>0</v>
      </c>
      <c r="S247" s="230">
        <f t="shared" si="40"/>
        <v>0</v>
      </c>
      <c r="T247" s="228">
        <f t="shared" si="32"/>
        <v>0</v>
      </c>
      <c r="U247" s="413">
        <f t="shared" si="33"/>
        <v>0</v>
      </c>
      <c r="V247" s="410">
        <f t="shared" si="34"/>
        <v>0</v>
      </c>
      <c r="W247" s="246">
        <f t="shared" si="35"/>
        <v>0</v>
      </c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</row>
    <row r="248" spans="1:38" s="238" customFormat="1" ht="18.75" customHeight="1" x14ac:dyDescent="0.35">
      <c r="A248" s="195"/>
      <c r="B248" s="254"/>
      <c r="C248" s="20" t="s">
        <v>287</v>
      </c>
      <c r="D248" s="20"/>
      <c r="E248" s="363"/>
      <c r="F248" s="3"/>
      <c r="G248" s="3"/>
      <c r="H248" s="20"/>
      <c r="I248" s="20"/>
      <c r="J248" s="20"/>
      <c r="K248" s="411"/>
      <c r="L248" s="204">
        <f t="shared" si="38"/>
        <v>0</v>
      </c>
      <c r="M248" s="255"/>
      <c r="N248" s="421">
        <f t="shared" si="37"/>
        <v>0</v>
      </c>
      <c r="P248" s="227">
        <f t="shared" si="36"/>
        <v>0</v>
      </c>
      <c r="Q248" s="230"/>
      <c r="R248" s="230">
        <f t="shared" si="39"/>
        <v>0</v>
      </c>
      <c r="S248" s="230">
        <f t="shared" si="40"/>
        <v>0</v>
      </c>
      <c r="T248" s="228">
        <f t="shared" si="32"/>
        <v>0</v>
      </c>
      <c r="U248" s="413">
        <f t="shared" si="33"/>
        <v>0</v>
      </c>
      <c r="V248" s="410">
        <f t="shared" si="34"/>
        <v>0</v>
      </c>
      <c r="W248" s="246">
        <f t="shared" si="35"/>
        <v>0</v>
      </c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</row>
    <row r="249" spans="1:38" s="238" customFormat="1" ht="18.75" customHeight="1" x14ac:dyDescent="0.35">
      <c r="A249" s="195"/>
      <c r="B249" s="254"/>
      <c r="C249" s="20" t="s">
        <v>287</v>
      </c>
      <c r="D249" s="20"/>
      <c r="E249" s="363"/>
      <c r="F249" s="3"/>
      <c r="G249" s="3"/>
      <c r="H249" s="20"/>
      <c r="I249" s="20"/>
      <c r="J249" s="20"/>
      <c r="K249" s="411"/>
      <c r="L249" s="204">
        <f t="shared" si="38"/>
        <v>0</v>
      </c>
      <c r="M249" s="255"/>
      <c r="N249" s="421">
        <f t="shared" si="37"/>
        <v>0</v>
      </c>
      <c r="P249" s="227">
        <f t="shared" si="36"/>
        <v>0</v>
      </c>
      <c r="Q249" s="230"/>
      <c r="R249" s="230">
        <f t="shared" si="39"/>
        <v>0</v>
      </c>
      <c r="S249" s="230">
        <f t="shared" si="40"/>
        <v>0</v>
      </c>
      <c r="T249" s="228">
        <f t="shared" si="32"/>
        <v>0</v>
      </c>
      <c r="U249" s="413">
        <f t="shared" si="33"/>
        <v>0</v>
      </c>
      <c r="V249" s="410">
        <f t="shared" si="34"/>
        <v>0</v>
      </c>
      <c r="W249" s="246">
        <f t="shared" si="35"/>
        <v>0</v>
      </c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</row>
    <row r="250" spans="1:38" s="238" customFormat="1" ht="18.75" customHeight="1" x14ac:dyDescent="0.35">
      <c r="A250" s="195"/>
      <c r="B250" s="254"/>
      <c r="C250" s="20" t="s">
        <v>287</v>
      </c>
      <c r="D250" s="20"/>
      <c r="E250" s="363"/>
      <c r="F250" s="3"/>
      <c r="G250" s="3"/>
      <c r="H250" s="20"/>
      <c r="I250" s="20"/>
      <c r="J250" s="20"/>
      <c r="K250" s="411"/>
      <c r="L250" s="204">
        <f t="shared" si="38"/>
        <v>0</v>
      </c>
      <c r="M250" s="255"/>
      <c r="N250" s="421">
        <f t="shared" si="37"/>
        <v>0</v>
      </c>
      <c r="P250" s="227">
        <f t="shared" si="36"/>
        <v>0</v>
      </c>
      <c r="Q250" s="230"/>
      <c r="R250" s="230">
        <f t="shared" si="39"/>
        <v>0</v>
      </c>
      <c r="S250" s="230">
        <f t="shared" si="40"/>
        <v>0</v>
      </c>
      <c r="T250" s="228">
        <f t="shared" si="32"/>
        <v>0</v>
      </c>
      <c r="U250" s="413">
        <f t="shared" si="33"/>
        <v>0</v>
      </c>
      <c r="V250" s="410">
        <f t="shared" si="34"/>
        <v>0</v>
      </c>
      <c r="W250" s="246">
        <f t="shared" si="35"/>
        <v>0</v>
      </c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</row>
    <row r="251" spans="1:38" s="238" customFormat="1" ht="18.75" customHeight="1" x14ac:dyDescent="0.35">
      <c r="A251" s="195"/>
      <c r="B251" s="254"/>
      <c r="C251" s="20" t="s">
        <v>287</v>
      </c>
      <c r="D251" s="20"/>
      <c r="E251" s="363"/>
      <c r="F251" s="3"/>
      <c r="G251" s="3"/>
      <c r="H251" s="20"/>
      <c r="I251" s="20"/>
      <c r="J251" s="20"/>
      <c r="K251" s="411"/>
      <c r="L251" s="204">
        <f t="shared" si="38"/>
        <v>0</v>
      </c>
      <c r="M251" s="255"/>
      <c r="N251" s="421">
        <f t="shared" si="37"/>
        <v>0</v>
      </c>
      <c r="P251" s="227">
        <f t="shared" si="36"/>
        <v>0</v>
      </c>
      <c r="Q251" s="230"/>
      <c r="R251" s="230">
        <f t="shared" si="39"/>
        <v>0</v>
      </c>
      <c r="S251" s="230">
        <f t="shared" si="40"/>
        <v>0</v>
      </c>
      <c r="T251" s="228">
        <f t="shared" si="32"/>
        <v>0</v>
      </c>
      <c r="U251" s="413">
        <f t="shared" si="33"/>
        <v>0</v>
      </c>
      <c r="V251" s="410">
        <f t="shared" si="34"/>
        <v>0</v>
      </c>
      <c r="W251" s="246">
        <f t="shared" si="35"/>
        <v>0</v>
      </c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</row>
    <row r="252" spans="1:38" s="238" customFormat="1" ht="18.75" customHeight="1" x14ac:dyDescent="0.35">
      <c r="A252" s="195"/>
      <c r="B252" s="254"/>
      <c r="C252" s="20" t="s">
        <v>287</v>
      </c>
      <c r="D252" s="20"/>
      <c r="E252" s="363"/>
      <c r="F252" s="3"/>
      <c r="G252" s="3"/>
      <c r="H252" s="20"/>
      <c r="I252" s="20"/>
      <c r="J252" s="20"/>
      <c r="K252" s="411"/>
      <c r="L252" s="204">
        <f t="shared" si="38"/>
        <v>0</v>
      </c>
      <c r="M252" s="255"/>
      <c r="N252" s="421">
        <f t="shared" si="37"/>
        <v>0</v>
      </c>
      <c r="P252" s="227">
        <f t="shared" si="36"/>
        <v>0</v>
      </c>
      <c r="Q252" s="230"/>
      <c r="R252" s="230">
        <f t="shared" si="39"/>
        <v>0</v>
      </c>
      <c r="S252" s="230">
        <f t="shared" si="40"/>
        <v>0</v>
      </c>
      <c r="T252" s="228">
        <f t="shared" si="32"/>
        <v>0</v>
      </c>
      <c r="U252" s="413">
        <f t="shared" si="33"/>
        <v>0</v>
      </c>
      <c r="V252" s="410">
        <f t="shared" si="34"/>
        <v>0</v>
      </c>
      <c r="W252" s="246">
        <f t="shared" si="35"/>
        <v>0</v>
      </c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</row>
    <row r="253" spans="1:38" s="238" customFormat="1" ht="18.75" customHeight="1" x14ac:dyDescent="0.35">
      <c r="A253" s="195"/>
      <c r="B253" s="254"/>
      <c r="C253" s="20" t="s">
        <v>287</v>
      </c>
      <c r="D253" s="20"/>
      <c r="E253" s="363"/>
      <c r="F253" s="3"/>
      <c r="G253" s="3"/>
      <c r="H253" s="20"/>
      <c r="I253" s="20"/>
      <c r="J253" s="20"/>
      <c r="K253" s="411"/>
      <c r="L253" s="204">
        <f t="shared" si="38"/>
        <v>0</v>
      </c>
      <c r="M253" s="255"/>
      <c r="N253" s="421">
        <f t="shared" si="37"/>
        <v>0</v>
      </c>
      <c r="P253" s="227">
        <f t="shared" si="36"/>
        <v>0</v>
      </c>
      <c r="Q253" s="230"/>
      <c r="R253" s="230">
        <f t="shared" si="39"/>
        <v>0</v>
      </c>
      <c r="S253" s="230">
        <f t="shared" si="40"/>
        <v>0</v>
      </c>
      <c r="T253" s="228">
        <f t="shared" si="32"/>
        <v>0</v>
      </c>
      <c r="U253" s="413">
        <f t="shared" si="33"/>
        <v>0</v>
      </c>
      <c r="V253" s="410">
        <f t="shared" si="34"/>
        <v>0</v>
      </c>
      <c r="W253" s="246">
        <f t="shared" si="35"/>
        <v>0</v>
      </c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</row>
    <row r="254" spans="1:38" s="238" customFormat="1" ht="18.75" customHeight="1" x14ac:dyDescent="0.35">
      <c r="A254" s="195"/>
      <c r="B254" s="254"/>
      <c r="C254" s="20" t="s">
        <v>287</v>
      </c>
      <c r="D254" s="20"/>
      <c r="E254" s="363"/>
      <c r="F254" s="3"/>
      <c r="G254" s="3"/>
      <c r="H254" s="20"/>
      <c r="I254" s="20"/>
      <c r="J254" s="20"/>
      <c r="K254" s="411"/>
      <c r="L254" s="204">
        <f t="shared" si="38"/>
        <v>0</v>
      </c>
      <c r="M254" s="255"/>
      <c r="N254" s="421">
        <f t="shared" si="37"/>
        <v>0</v>
      </c>
      <c r="P254" s="227">
        <f t="shared" si="36"/>
        <v>0</v>
      </c>
      <c r="Q254" s="230"/>
      <c r="R254" s="230">
        <f t="shared" si="39"/>
        <v>0</v>
      </c>
      <c r="S254" s="230">
        <f t="shared" si="40"/>
        <v>0</v>
      </c>
      <c r="T254" s="228">
        <f t="shared" si="32"/>
        <v>0</v>
      </c>
      <c r="U254" s="413">
        <f t="shared" si="33"/>
        <v>0</v>
      </c>
      <c r="V254" s="410">
        <f t="shared" si="34"/>
        <v>0</v>
      </c>
      <c r="W254" s="246">
        <f t="shared" si="35"/>
        <v>0</v>
      </c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</row>
    <row r="255" spans="1:38" s="238" customFormat="1" ht="18.75" customHeight="1" x14ac:dyDescent="0.35">
      <c r="A255" s="195"/>
      <c r="B255" s="254"/>
      <c r="C255" s="20" t="s">
        <v>287</v>
      </c>
      <c r="D255" s="20"/>
      <c r="E255" s="363"/>
      <c r="F255" s="3"/>
      <c r="G255" s="3"/>
      <c r="H255" s="20"/>
      <c r="I255" s="20"/>
      <c r="J255" s="20"/>
      <c r="K255" s="411"/>
      <c r="L255" s="204">
        <f t="shared" si="38"/>
        <v>0</v>
      </c>
      <c r="M255" s="255"/>
      <c r="N255" s="421">
        <f t="shared" si="37"/>
        <v>0</v>
      </c>
      <c r="P255" s="227">
        <f t="shared" si="36"/>
        <v>0</v>
      </c>
      <c r="Q255" s="230"/>
      <c r="R255" s="230">
        <f t="shared" si="39"/>
        <v>0</v>
      </c>
      <c r="S255" s="230">
        <f t="shared" si="40"/>
        <v>0</v>
      </c>
      <c r="T255" s="228">
        <f t="shared" si="32"/>
        <v>0</v>
      </c>
      <c r="U255" s="413">
        <f t="shared" si="33"/>
        <v>0</v>
      </c>
      <c r="V255" s="410">
        <f t="shared" si="34"/>
        <v>0</v>
      </c>
      <c r="W255" s="246">
        <f t="shared" si="35"/>
        <v>0</v>
      </c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</row>
    <row r="256" spans="1:38" s="238" customFormat="1" ht="18.75" customHeight="1" x14ac:dyDescent="0.35">
      <c r="A256" s="195"/>
      <c r="B256" s="254"/>
      <c r="C256" s="20" t="s">
        <v>287</v>
      </c>
      <c r="D256" s="20"/>
      <c r="E256" s="363"/>
      <c r="F256" s="3"/>
      <c r="G256" s="3"/>
      <c r="H256" s="20"/>
      <c r="I256" s="20"/>
      <c r="J256" s="20"/>
      <c r="K256" s="411"/>
      <c r="L256" s="204">
        <f t="shared" si="38"/>
        <v>0</v>
      </c>
      <c r="M256" s="255"/>
      <c r="N256" s="421">
        <f t="shared" si="37"/>
        <v>0</v>
      </c>
      <c r="P256" s="227">
        <f t="shared" si="36"/>
        <v>0</v>
      </c>
      <c r="Q256" s="230"/>
      <c r="R256" s="230">
        <f t="shared" si="39"/>
        <v>0</v>
      </c>
      <c r="S256" s="230">
        <f t="shared" si="40"/>
        <v>0</v>
      </c>
      <c r="T256" s="228">
        <f t="shared" si="32"/>
        <v>0</v>
      </c>
      <c r="U256" s="413">
        <f t="shared" si="33"/>
        <v>0</v>
      </c>
      <c r="V256" s="410">
        <f t="shared" si="34"/>
        <v>0</v>
      </c>
      <c r="W256" s="246">
        <f t="shared" si="35"/>
        <v>0</v>
      </c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</row>
    <row r="257" spans="1:38" s="238" customFormat="1" ht="18.75" customHeight="1" x14ac:dyDescent="0.35">
      <c r="A257" s="195"/>
      <c r="B257" s="254"/>
      <c r="C257" s="20" t="s">
        <v>287</v>
      </c>
      <c r="D257" s="20"/>
      <c r="E257" s="363"/>
      <c r="F257" s="3"/>
      <c r="G257" s="3"/>
      <c r="H257" s="20"/>
      <c r="I257" s="20"/>
      <c r="J257" s="20"/>
      <c r="K257" s="411"/>
      <c r="L257" s="204">
        <f t="shared" si="38"/>
        <v>0</v>
      </c>
      <c r="M257" s="255"/>
      <c r="N257" s="421">
        <f t="shared" si="37"/>
        <v>0</v>
      </c>
      <c r="P257" s="227">
        <f t="shared" si="36"/>
        <v>0</v>
      </c>
      <c r="Q257" s="230"/>
      <c r="R257" s="230">
        <f t="shared" si="39"/>
        <v>0</v>
      </c>
      <c r="S257" s="230">
        <f t="shared" si="40"/>
        <v>0</v>
      </c>
      <c r="T257" s="228">
        <f t="shared" si="32"/>
        <v>0</v>
      </c>
      <c r="U257" s="413">
        <f t="shared" si="33"/>
        <v>0</v>
      </c>
      <c r="V257" s="410">
        <f t="shared" si="34"/>
        <v>0</v>
      </c>
      <c r="W257" s="246">
        <f t="shared" si="35"/>
        <v>0</v>
      </c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</row>
    <row r="258" spans="1:38" s="238" customFormat="1" ht="18.75" customHeight="1" x14ac:dyDescent="0.35">
      <c r="A258" s="195"/>
      <c r="B258" s="254"/>
      <c r="C258" s="20" t="s">
        <v>287</v>
      </c>
      <c r="D258" s="20"/>
      <c r="E258" s="363"/>
      <c r="F258" s="3"/>
      <c r="G258" s="3"/>
      <c r="H258" s="20"/>
      <c r="I258" s="20"/>
      <c r="J258" s="20"/>
      <c r="K258" s="411"/>
      <c r="L258" s="204">
        <f t="shared" si="38"/>
        <v>0</v>
      </c>
      <c r="M258" s="255"/>
      <c r="N258" s="421">
        <f t="shared" si="37"/>
        <v>0</v>
      </c>
      <c r="P258" s="227">
        <f t="shared" si="36"/>
        <v>0</v>
      </c>
      <c r="Q258" s="230"/>
      <c r="R258" s="230">
        <f t="shared" si="39"/>
        <v>0</v>
      </c>
      <c r="S258" s="230">
        <f t="shared" si="40"/>
        <v>0</v>
      </c>
      <c r="T258" s="228">
        <f t="shared" si="32"/>
        <v>0</v>
      </c>
      <c r="U258" s="413">
        <f t="shared" si="33"/>
        <v>0</v>
      </c>
      <c r="V258" s="410">
        <f t="shared" si="34"/>
        <v>0</v>
      </c>
      <c r="W258" s="246">
        <f t="shared" si="35"/>
        <v>0</v>
      </c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</row>
    <row r="259" spans="1:38" s="238" customFormat="1" ht="18.75" customHeight="1" x14ac:dyDescent="0.35">
      <c r="A259" s="195"/>
      <c r="B259" s="254"/>
      <c r="C259" s="20" t="s">
        <v>287</v>
      </c>
      <c r="D259" s="20"/>
      <c r="E259" s="363"/>
      <c r="F259" s="3"/>
      <c r="G259" s="3"/>
      <c r="H259" s="20"/>
      <c r="I259" s="20"/>
      <c r="J259" s="20"/>
      <c r="K259" s="411"/>
      <c r="L259" s="204">
        <f t="shared" si="38"/>
        <v>0</v>
      </c>
      <c r="M259" s="255"/>
      <c r="N259" s="421">
        <f t="shared" si="37"/>
        <v>0</v>
      </c>
      <c r="P259" s="227">
        <f t="shared" si="36"/>
        <v>0</v>
      </c>
      <c r="Q259" s="230"/>
      <c r="R259" s="230">
        <f t="shared" si="39"/>
        <v>0</v>
      </c>
      <c r="S259" s="230">
        <f t="shared" si="40"/>
        <v>0</v>
      </c>
      <c r="T259" s="228">
        <f t="shared" si="32"/>
        <v>0</v>
      </c>
      <c r="U259" s="413">
        <f t="shared" si="33"/>
        <v>0</v>
      </c>
      <c r="V259" s="410">
        <f t="shared" si="34"/>
        <v>0</v>
      </c>
      <c r="W259" s="246">
        <f t="shared" si="35"/>
        <v>0</v>
      </c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</row>
    <row r="260" spans="1:38" s="238" customFormat="1" ht="18.75" customHeight="1" x14ac:dyDescent="0.35">
      <c r="A260" s="195"/>
      <c r="B260" s="254"/>
      <c r="C260" s="20" t="s">
        <v>287</v>
      </c>
      <c r="D260" s="20"/>
      <c r="E260" s="363"/>
      <c r="F260" s="3"/>
      <c r="G260" s="3"/>
      <c r="H260" s="20"/>
      <c r="I260" s="20"/>
      <c r="J260" s="20"/>
      <c r="K260" s="411"/>
      <c r="L260" s="204">
        <f t="shared" si="38"/>
        <v>0</v>
      </c>
      <c r="M260" s="255"/>
      <c r="N260" s="421">
        <f t="shared" si="37"/>
        <v>0</v>
      </c>
      <c r="P260" s="227">
        <f t="shared" si="36"/>
        <v>0</v>
      </c>
      <c r="Q260" s="230"/>
      <c r="R260" s="230">
        <f t="shared" si="39"/>
        <v>0</v>
      </c>
      <c r="S260" s="230">
        <f t="shared" si="40"/>
        <v>0</v>
      </c>
      <c r="T260" s="228">
        <f t="shared" ref="T260:T323" si="41">L260-P260-Q260-R260-S260</f>
        <v>0</v>
      </c>
      <c r="U260" s="413">
        <f t="shared" ref="U260:U323" si="42">IF(K260="CORREO",0,N260)</f>
        <v>0</v>
      </c>
      <c r="V260" s="410">
        <f t="shared" si="34"/>
        <v>0</v>
      </c>
      <c r="W260" s="246">
        <f t="shared" si="35"/>
        <v>0</v>
      </c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</row>
    <row r="261" spans="1:38" s="238" customFormat="1" ht="18.75" customHeight="1" x14ac:dyDescent="0.35">
      <c r="A261" s="195"/>
      <c r="B261" s="254"/>
      <c r="C261" s="20" t="s">
        <v>287</v>
      </c>
      <c r="D261" s="20"/>
      <c r="E261" s="363"/>
      <c r="F261" s="3"/>
      <c r="G261" s="3"/>
      <c r="H261" s="20"/>
      <c r="I261" s="20"/>
      <c r="J261" s="20"/>
      <c r="K261" s="411"/>
      <c r="L261" s="204">
        <f t="shared" si="38"/>
        <v>0</v>
      </c>
      <c r="M261" s="255"/>
      <c r="N261" s="421">
        <f t="shared" si="37"/>
        <v>0</v>
      </c>
      <c r="P261" s="227">
        <f t="shared" si="36"/>
        <v>0</v>
      </c>
      <c r="Q261" s="230"/>
      <c r="R261" s="230">
        <f t="shared" si="39"/>
        <v>0</v>
      </c>
      <c r="S261" s="230">
        <f t="shared" si="40"/>
        <v>0</v>
      </c>
      <c r="T261" s="228">
        <f t="shared" si="41"/>
        <v>0</v>
      </c>
      <c r="U261" s="413">
        <f t="shared" si="42"/>
        <v>0</v>
      </c>
      <c r="V261" s="410">
        <f t="shared" ref="V261:V324" si="43">T261*0.05</f>
        <v>0</v>
      </c>
      <c r="W261" s="246">
        <f t="shared" ref="W261:W324" si="44">T261*0.05</f>
        <v>0</v>
      </c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</row>
    <row r="262" spans="1:38" s="238" customFormat="1" ht="18.75" customHeight="1" x14ac:dyDescent="0.35">
      <c r="A262" s="195"/>
      <c r="B262" s="254"/>
      <c r="C262" s="20" t="s">
        <v>287</v>
      </c>
      <c r="D262" s="20"/>
      <c r="E262" s="363"/>
      <c r="F262" s="3"/>
      <c r="G262" s="3"/>
      <c r="H262" s="20"/>
      <c r="I262" s="20"/>
      <c r="J262" s="20"/>
      <c r="K262" s="411"/>
      <c r="L262" s="204">
        <f t="shared" si="38"/>
        <v>0</v>
      </c>
      <c r="M262" s="255"/>
      <c r="N262" s="421">
        <f t="shared" si="37"/>
        <v>0</v>
      </c>
      <c r="P262" s="227">
        <f t="shared" ref="P262:P325" si="45">_xlfn.XLOOKUP(H262, AA:AA, AB:AB) * I262</f>
        <v>0</v>
      </c>
      <c r="Q262" s="230"/>
      <c r="R262" s="230">
        <f t="shared" si="39"/>
        <v>0</v>
      </c>
      <c r="S262" s="230">
        <f t="shared" si="40"/>
        <v>0</v>
      </c>
      <c r="T262" s="228">
        <f t="shared" si="41"/>
        <v>0</v>
      </c>
      <c r="U262" s="413">
        <f t="shared" si="42"/>
        <v>0</v>
      </c>
      <c r="V262" s="410">
        <f t="shared" si="43"/>
        <v>0</v>
      </c>
      <c r="W262" s="246">
        <f t="shared" si="44"/>
        <v>0</v>
      </c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</row>
    <row r="263" spans="1:38" s="238" customFormat="1" ht="18.75" customHeight="1" x14ac:dyDescent="0.35">
      <c r="A263" s="195"/>
      <c r="B263" s="254"/>
      <c r="C263" s="20" t="s">
        <v>287</v>
      </c>
      <c r="D263" s="20"/>
      <c r="E263" s="363"/>
      <c r="F263" s="3"/>
      <c r="G263" s="3"/>
      <c r="H263" s="20"/>
      <c r="I263" s="20"/>
      <c r="J263" s="20"/>
      <c r="K263" s="411"/>
      <c r="L263" s="204">
        <f t="shared" si="38"/>
        <v>0</v>
      </c>
      <c r="M263" s="255"/>
      <c r="N263" s="421">
        <f t="shared" ref="N263:N326" si="46">M263-L263</f>
        <v>0</v>
      </c>
      <c r="P263" s="227">
        <f t="shared" si="45"/>
        <v>0</v>
      </c>
      <c r="Q263" s="230"/>
      <c r="R263" s="230">
        <f t="shared" si="39"/>
        <v>0</v>
      </c>
      <c r="S263" s="230">
        <f t="shared" si="40"/>
        <v>0</v>
      </c>
      <c r="T263" s="228">
        <f t="shared" si="41"/>
        <v>0</v>
      </c>
      <c r="U263" s="413">
        <f t="shared" si="42"/>
        <v>0</v>
      </c>
      <c r="V263" s="410">
        <f t="shared" si="43"/>
        <v>0</v>
      </c>
      <c r="W263" s="246">
        <f t="shared" si="44"/>
        <v>0</v>
      </c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</row>
    <row r="264" spans="1:38" s="238" customFormat="1" ht="18.75" customHeight="1" x14ac:dyDescent="0.35">
      <c r="A264" s="195"/>
      <c r="B264" s="254"/>
      <c r="C264" s="20" t="s">
        <v>287</v>
      </c>
      <c r="D264" s="20"/>
      <c r="E264" s="363"/>
      <c r="F264" s="3"/>
      <c r="G264" s="3"/>
      <c r="H264" s="20"/>
      <c r="I264" s="20"/>
      <c r="J264" s="20"/>
      <c r="K264" s="411"/>
      <c r="L264" s="204">
        <f t="shared" si="38"/>
        <v>0</v>
      </c>
      <c r="M264" s="255"/>
      <c r="N264" s="421">
        <f t="shared" si="46"/>
        <v>0</v>
      </c>
      <c r="P264" s="227">
        <f t="shared" si="45"/>
        <v>0</v>
      </c>
      <c r="Q264" s="230"/>
      <c r="R264" s="230">
        <f t="shared" si="39"/>
        <v>0</v>
      </c>
      <c r="S264" s="230">
        <f t="shared" si="40"/>
        <v>0</v>
      </c>
      <c r="T264" s="228">
        <f t="shared" si="41"/>
        <v>0</v>
      </c>
      <c r="U264" s="413">
        <f t="shared" si="42"/>
        <v>0</v>
      </c>
      <c r="V264" s="410">
        <f t="shared" si="43"/>
        <v>0</v>
      </c>
      <c r="W264" s="246">
        <f t="shared" si="44"/>
        <v>0</v>
      </c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</row>
    <row r="265" spans="1:38" s="238" customFormat="1" ht="18.75" customHeight="1" x14ac:dyDescent="0.35">
      <c r="A265" s="195"/>
      <c r="B265" s="254"/>
      <c r="C265" s="20" t="s">
        <v>287</v>
      </c>
      <c r="D265" s="20"/>
      <c r="E265" s="363"/>
      <c r="F265" s="3"/>
      <c r="G265" s="3"/>
      <c r="H265" s="20"/>
      <c r="I265" s="20"/>
      <c r="J265" s="20"/>
      <c r="K265" s="411"/>
      <c r="L265" s="204">
        <f t="shared" si="38"/>
        <v>0</v>
      </c>
      <c r="M265" s="255"/>
      <c r="N265" s="421">
        <f t="shared" si="46"/>
        <v>0</v>
      </c>
      <c r="P265" s="227">
        <f t="shared" si="45"/>
        <v>0</v>
      </c>
      <c r="Q265" s="230"/>
      <c r="R265" s="230">
        <f t="shared" si="39"/>
        <v>0</v>
      </c>
      <c r="S265" s="230">
        <f t="shared" si="40"/>
        <v>0</v>
      </c>
      <c r="T265" s="228">
        <f t="shared" si="41"/>
        <v>0</v>
      </c>
      <c r="U265" s="413">
        <f t="shared" si="42"/>
        <v>0</v>
      </c>
      <c r="V265" s="410">
        <f t="shared" si="43"/>
        <v>0</v>
      </c>
      <c r="W265" s="246">
        <f t="shared" si="44"/>
        <v>0</v>
      </c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</row>
    <row r="266" spans="1:38" s="238" customFormat="1" ht="18.75" customHeight="1" x14ac:dyDescent="0.35">
      <c r="A266" s="195"/>
      <c r="B266" s="254"/>
      <c r="C266" s="20" t="s">
        <v>287</v>
      </c>
      <c r="D266" s="20"/>
      <c r="E266" s="363"/>
      <c r="F266" s="3"/>
      <c r="G266" s="3"/>
      <c r="H266" s="20"/>
      <c r="I266" s="20"/>
      <c r="J266" s="20"/>
      <c r="K266" s="411"/>
      <c r="L266" s="204">
        <f t="shared" si="38"/>
        <v>0</v>
      </c>
      <c r="M266" s="255"/>
      <c r="N266" s="421">
        <f t="shared" si="46"/>
        <v>0</v>
      </c>
      <c r="P266" s="227">
        <f t="shared" si="45"/>
        <v>0</v>
      </c>
      <c r="Q266" s="230"/>
      <c r="R266" s="230">
        <f t="shared" si="39"/>
        <v>0</v>
      </c>
      <c r="S266" s="230">
        <f t="shared" si="40"/>
        <v>0</v>
      </c>
      <c r="T266" s="228">
        <f t="shared" si="41"/>
        <v>0</v>
      </c>
      <c r="U266" s="413">
        <f t="shared" si="42"/>
        <v>0</v>
      </c>
      <c r="V266" s="410">
        <f t="shared" si="43"/>
        <v>0</v>
      </c>
      <c r="W266" s="246">
        <f t="shared" si="44"/>
        <v>0</v>
      </c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</row>
    <row r="267" spans="1:38" s="238" customFormat="1" ht="18.75" customHeight="1" x14ac:dyDescent="0.35">
      <c r="A267" s="195"/>
      <c r="B267" s="254"/>
      <c r="C267" s="20" t="s">
        <v>287</v>
      </c>
      <c r="D267" s="20"/>
      <c r="E267" s="363"/>
      <c r="F267" s="3"/>
      <c r="G267" s="3"/>
      <c r="H267" s="20"/>
      <c r="I267" s="20"/>
      <c r="J267" s="20"/>
      <c r="K267" s="411"/>
      <c r="L267" s="204">
        <f t="shared" si="38"/>
        <v>0</v>
      </c>
      <c r="M267" s="255"/>
      <c r="N267" s="421">
        <f t="shared" si="46"/>
        <v>0</v>
      </c>
      <c r="P267" s="227">
        <f t="shared" si="45"/>
        <v>0</v>
      </c>
      <c r="Q267" s="230"/>
      <c r="R267" s="230">
        <f t="shared" si="39"/>
        <v>0</v>
      </c>
      <c r="S267" s="230">
        <f t="shared" si="40"/>
        <v>0</v>
      </c>
      <c r="T267" s="228">
        <f t="shared" si="41"/>
        <v>0</v>
      </c>
      <c r="U267" s="413">
        <f t="shared" si="42"/>
        <v>0</v>
      </c>
      <c r="V267" s="410">
        <f t="shared" si="43"/>
        <v>0</v>
      </c>
      <c r="W267" s="246">
        <f t="shared" si="44"/>
        <v>0</v>
      </c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</row>
    <row r="268" spans="1:38" s="238" customFormat="1" ht="18.75" customHeight="1" x14ac:dyDescent="0.35">
      <c r="A268" s="195"/>
      <c r="B268" s="254"/>
      <c r="C268" s="20" t="s">
        <v>287</v>
      </c>
      <c r="D268" s="20"/>
      <c r="E268" s="363"/>
      <c r="F268" s="3"/>
      <c r="G268" s="3"/>
      <c r="H268" s="20"/>
      <c r="I268" s="20"/>
      <c r="J268" s="20"/>
      <c r="K268" s="411"/>
      <c r="L268" s="204">
        <f t="shared" si="38"/>
        <v>0</v>
      </c>
      <c r="M268" s="255"/>
      <c r="N268" s="421">
        <f t="shared" si="46"/>
        <v>0</v>
      </c>
      <c r="P268" s="227">
        <f t="shared" si="45"/>
        <v>0</v>
      </c>
      <c r="Q268" s="230"/>
      <c r="R268" s="230">
        <f t="shared" si="39"/>
        <v>0</v>
      </c>
      <c r="S268" s="230">
        <f t="shared" si="40"/>
        <v>0</v>
      </c>
      <c r="T268" s="228">
        <f t="shared" si="41"/>
        <v>0</v>
      </c>
      <c r="U268" s="413">
        <f t="shared" si="42"/>
        <v>0</v>
      </c>
      <c r="V268" s="410">
        <f t="shared" si="43"/>
        <v>0</v>
      </c>
      <c r="W268" s="246">
        <f t="shared" si="44"/>
        <v>0</v>
      </c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</row>
    <row r="269" spans="1:38" s="238" customFormat="1" ht="18.75" customHeight="1" x14ac:dyDescent="0.35">
      <c r="A269" s="195"/>
      <c r="B269" s="254"/>
      <c r="C269" s="20" t="s">
        <v>287</v>
      </c>
      <c r="D269" s="20"/>
      <c r="E269" s="363"/>
      <c r="F269" s="3"/>
      <c r="G269" s="3"/>
      <c r="H269" s="20"/>
      <c r="I269" s="20"/>
      <c r="J269" s="20"/>
      <c r="K269" s="411"/>
      <c r="L269" s="204">
        <f t="shared" si="38"/>
        <v>0</v>
      </c>
      <c r="M269" s="255"/>
      <c r="N269" s="421">
        <f t="shared" si="46"/>
        <v>0</v>
      </c>
      <c r="P269" s="227">
        <f t="shared" si="45"/>
        <v>0</v>
      </c>
      <c r="Q269" s="230"/>
      <c r="R269" s="230">
        <f t="shared" si="39"/>
        <v>0</v>
      </c>
      <c r="S269" s="230">
        <f t="shared" si="40"/>
        <v>0</v>
      </c>
      <c r="T269" s="228">
        <f t="shared" si="41"/>
        <v>0</v>
      </c>
      <c r="U269" s="413">
        <f t="shared" si="42"/>
        <v>0</v>
      </c>
      <c r="V269" s="410">
        <f t="shared" si="43"/>
        <v>0</v>
      </c>
      <c r="W269" s="246">
        <f t="shared" si="44"/>
        <v>0</v>
      </c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</row>
    <row r="270" spans="1:38" s="238" customFormat="1" ht="18.75" customHeight="1" x14ac:dyDescent="0.35">
      <c r="A270" s="195"/>
      <c r="B270" s="254"/>
      <c r="C270" s="20" t="s">
        <v>287</v>
      </c>
      <c r="D270" s="20"/>
      <c r="E270" s="363"/>
      <c r="F270" s="3"/>
      <c r="G270" s="3"/>
      <c r="H270" s="20"/>
      <c r="I270" s="20"/>
      <c r="J270" s="20"/>
      <c r="K270" s="411"/>
      <c r="L270" s="204">
        <f t="shared" ref="L270:L302" si="47">IFERROR(IF(J270="Transferencia",_xlfn.XLOOKUP(H270,$AA:$AA,$AE:$AE)*I270,_xlfn.XLOOKUP(H270,$AA:$AA,$AD:$AD)*I270),0)</f>
        <v>0</v>
      </c>
      <c r="M270" s="255"/>
      <c r="N270" s="421">
        <f t="shared" si="46"/>
        <v>0</v>
      </c>
      <c r="P270" s="227">
        <f t="shared" si="45"/>
        <v>0</v>
      </c>
      <c r="Q270" s="230"/>
      <c r="R270" s="230">
        <f t="shared" ref="R270:R333" si="48">M270*0.0006</f>
        <v>0</v>
      </c>
      <c r="S270" s="230">
        <f t="shared" ref="S270:S333" si="49">M270*0.02</f>
        <v>0</v>
      </c>
      <c r="T270" s="228">
        <f t="shared" si="41"/>
        <v>0</v>
      </c>
      <c r="U270" s="413">
        <f t="shared" si="42"/>
        <v>0</v>
      </c>
      <c r="V270" s="410">
        <f t="shared" si="43"/>
        <v>0</v>
      </c>
      <c r="W270" s="246">
        <f t="shared" si="44"/>
        <v>0</v>
      </c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</row>
    <row r="271" spans="1:38" s="238" customFormat="1" ht="18.75" customHeight="1" x14ac:dyDescent="0.35">
      <c r="A271" s="195"/>
      <c r="B271" s="254"/>
      <c r="C271" s="20" t="s">
        <v>287</v>
      </c>
      <c r="D271" s="20"/>
      <c r="E271" s="363"/>
      <c r="F271" s="3"/>
      <c r="G271" s="3"/>
      <c r="H271" s="20"/>
      <c r="I271" s="20"/>
      <c r="J271" s="20"/>
      <c r="K271" s="411"/>
      <c r="L271" s="204">
        <f t="shared" si="47"/>
        <v>0</v>
      </c>
      <c r="M271" s="255"/>
      <c r="N271" s="421">
        <f t="shared" si="46"/>
        <v>0</v>
      </c>
      <c r="P271" s="227">
        <f t="shared" si="45"/>
        <v>0</v>
      </c>
      <c r="Q271" s="230"/>
      <c r="R271" s="230">
        <f t="shared" si="48"/>
        <v>0</v>
      </c>
      <c r="S271" s="230">
        <f t="shared" si="49"/>
        <v>0</v>
      </c>
      <c r="T271" s="228">
        <f t="shared" si="41"/>
        <v>0</v>
      </c>
      <c r="U271" s="413">
        <f t="shared" si="42"/>
        <v>0</v>
      </c>
      <c r="V271" s="410">
        <f t="shared" si="43"/>
        <v>0</v>
      </c>
      <c r="W271" s="246">
        <f t="shared" si="44"/>
        <v>0</v>
      </c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</row>
    <row r="272" spans="1:38" s="238" customFormat="1" ht="18.75" customHeight="1" x14ac:dyDescent="0.35">
      <c r="A272" s="195"/>
      <c r="B272" s="254"/>
      <c r="C272" s="20" t="s">
        <v>287</v>
      </c>
      <c r="D272" s="20"/>
      <c r="E272" s="363"/>
      <c r="F272" s="3"/>
      <c r="G272" s="3"/>
      <c r="H272" s="20"/>
      <c r="I272" s="20"/>
      <c r="J272" s="20"/>
      <c r="K272" s="411"/>
      <c r="L272" s="204">
        <f t="shared" si="47"/>
        <v>0</v>
      </c>
      <c r="M272" s="255"/>
      <c r="N272" s="421">
        <f t="shared" si="46"/>
        <v>0</v>
      </c>
      <c r="P272" s="227">
        <f t="shared" si="45"/>
        <v>0</v>
      </c>
      <c r="Q272" s="230"/>
      <c r="R272" s="230">
        <f t="shared" si="48"/>
        <v>0</v>
      </c>
      <c r="S272" s="230">
        <f t="shared" si="49"/>
        <v>0</v>
      </c>
      <c r="T272" s="228">
        <f t="shared" si="41"/>
        <v>0</v>
      </c>
      <c r="U272" s="413">
        <f t="shared" si="42"/>
        <v>0</v>
      </c>
      <c r="V272" s="410">
        <f t="shared" si="43"/>
        <v>0</v>
      </c>
      <c r="W272" s="246">
        <f t="shared" si="44"/>
        <v>0</v>
      </c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</row>
    <row r="273" spans="1:38" s="238" customFormat="1" ht="18.75" customHeight="1" x14ac:dyDescent="0.35">
      <c r="A273" s="195"/>
      <c r="B273" s="254"/>
      <c r="C273" s="20" t="s">
        <v>287</v>
      </c>
      <c r="D273" s="20"/>
      <c r="E273" s="363"/>
      <c r="F273" s="3"/>
      <c r="G273" s="3"/>
      <c r="H273" s="20"/>
      <c r="I273" s="20"/>
      <c r="J273" s="20"/>
      <c r="K273" s="411"/>
      <c r="L273" s="204">
        <f t="shared" si="47"/>
        <v>0</v>
      </c>
      <c r="M273" s="255"/>
      <c r="N273" s="421">
        <f t="shared" si="46"/>
        <v>0</v>
      </c>
      <c r="P273" s="227">
        <f t="shared" si="45"/>
        <v>0</v>
      </c>
      <c r="Q273" s="230"/>
      <c r="R273" s="230">
        <f t="shared" si="48"/>
        <v>0</v>
      </c>
      <c r="S273" s="230">
        <f t="shared" si="49"/>
        <v>0</v>
      </c>
      <c r="T273" s="228">
        <f t="shared" si="41"/>
        <v>0</v>
      </c>
      <c r="U273" s="413">
        <f t="shared" si="42"/>
        <v>0</v>
      </c>
      <c r="V273" s="410">
        <f t="shared" si="43"/>
        <v>0</v>
      </c>
      <c r="W273" s="246">
        <f t="shared" si="44"/>
        <v>0</v>
      </c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</row>
    <row r="274" spans="1:38" s="238" customFormat="1" ht="18.75" customHeight="1" x14ac:dyDescent="0.35">
      <c r="A274" s="195"/>
      <c r="B274" s="254"/>
      <c r="C274" s="20" t="s">
        <v>287</v>
      </c>
      <c r="D274" s="20"/>
      <c r="E274" s="363"/>
      <c r="F274" s="3"/>
      <c r="G274" s="3"/>
      <c r="H274" s="20"/>
      <c r="I274" s="20"/>
      <c r="J274" s="20"/>
      <c r="K274" s="411"/>
      <c r="L274" s="204">
        <f t="shared" si="47"/>
        <v>0</v>
      </c>
      <c r="M274" s="255"/>
      <c r="N274" s="421">
        <f t="shared" si="46"/>
        <v>0</v>
      </c>
      <c r="P274" s="227">
        <f t="shared" si="45"/>
        <v>0</v>
      </c>
      <c r="Q274" s="230"/>
      <c r="R274" s="230">
        <f t="shared" si="48"/>
        <v>0</v>
      </c>
      <c r="S274" s="230">
        <f t="shared" si="49"/>
        <v>0</v>
      </c>
      <c r="T274" s="228">
        <f t="shared" si="41"/>
        <v>0</v>
      </c>
      <c r="U274" s="413">
        <f t="shared" si="42"/>
        <v>0</v>
      </c>
      <c r="V274" s="410">
        <f t="shared" si="43"/>
        <v>0</v>
      </c>
      <c r="W274" s="246">
        <f t="shared" si="44"/>
        <v>0</v>
      </c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</row>
    <row r="275" spans="1:38" s="238" customFormat="1" ht="18.75" customHeight="1" x14ac:dyDescent="0.35">
      <c r="A275" s="195"/>
      <c r="B275" s="254"/>
      <c r="C275" s="20" t="s">
        <v>287</v>
      </c>
      <c r="D275" s="20"/>
      <c r="E275" s="363"/>
      <c r="F275" s="3"/>
      <c r="G275" s="3"/>
      <c r="H275" s="20"/>
      <c r="I275" s="20"/>
      <c r="J275" s="20"/>
      <c r="K275" s="411"/>
      <c r="L275" s="204">
        <f t="shared" si="47"/>
        <v>0</v>
      </c>
      <c r="M275" s="255"/>
      <c r="N275" s="421">
        <f t="shared" si="46"/>
        <v>0</v>
      </c>
      <c r="P275" s="227">
        <f t="shared" si="45"/>
        <v>0</v>
      </c>
      <c r="Q275" s="230"/>
      <c r="R275" s="230">
        <f t="shared" si="48"/>
        <v>0</v>
      </c>
      <c r="S275" s="230">
        <f t="shared" si="49"/>
        <v>0</v>
      </c>
      <c r="T275" s="228">
        <f t="shared" si="41"/>
        <v>0</v>
      </c>
      <c r="U275" s="413">
        <f t="shared" si="42"/>
        <v>0</v>
      </c>
      <c r="V275" s="410">
        <f t="shared" si="43"/>
        <v>0</v>
      </c>
      <c r="W275" s="246">
        <f t="shared" si="44"/>
        <v>0</v>
      </c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</row>
    <row r="276" spans="1:38" s="238" customFormat="1" ht="18.75" customHeight="1" x14ac:dyDescent="0.35">
      <c r="A276" s="195"/>
      <c r="B276" s="254"/>
      <c r="C276" s="20" t="s">
        <v>287</v>
      </c>
      <c r="D276" s="20"/>
      <c r="E276" s="363"/>
      <c r="F276" s="3"/>
      <c r="G276" s="3"/>
      <c r="H276" s="20"/>
      <c r="I276" s="20"/>
      <c r="J276" s="20"/>
      <c r="K276" s="411"/>
      <c r="L276" s="204">
        <f t="shared" si="47"/>
        <v>0</v>
      </c>
      <c r="M276" s="255"/>
      <c r="N276" s="421">
        <f t="shared" si="46"/>
        <v>0</v>
      </c>
      <c r="P276" s="227">
        <f t="shared" si="45"/>
        <v>0</v>
      </c>
      <c r="Q276" s="230"/>
      <c r="R276" s="230">
        <f t="shared" si="48"/>
        <v>0</v>
      </c>
      <c r="S276" s="230">
        <f t="shared" si="49"/>
        <v>0</v>
      </c>
      <c r="T276" s="228">
        <f t="shared" si="41"/>
        <v>0</v>
      </c>
      <c r="U276" s="413">
        <f t="shared" si="42"/>
        <v>0</v>
      </c>
      <c r="V276" s="410">
        <f t="shared" si="43"/>
        <v>0</v>
      </c>
      <c r="W276" s="246">
        <f t="shared" si="44"/>
        <v>0</v>
      </c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</row>
    <row r="277" spans="1:38" s="238" customFormat="1" ht="18.75" customHeight="1" x14ac:dyDescent="0.35">
      <c r="A277" s="195"/>
      <c r="B277" s="254"/>
      <c r="C277" s="20" t="s">
        <v>287</v>
      </c>
      <c r="D277" s="20"/>
      <c r="E277" s="363"/>
      <c r="F277" s="3"/>
      <c r="G277" s="3"/>
      <c r="H277" s="20"/>
      <c r="I277" s="20"/>
      <c r="J277" s="20"/>
      <c r="K277" s="411"/>
      <c r="L277" s="204">
        <f t="shared" si="47"/>
        <v>0</v>
      </c>
      <c r="M277" s="255"/>
      <c r="N277" s="421">
        <f t="shared" si="46"/>
        <v>0</v>
      </c>
      <c r="P277" s="227">
        <f t="shared" si="45"/>
        <v>0</v>
      </c>
      <c r="Q277" s="230"/>
      <c r="R277" s="230">
        <f t="shared" si="48"/>
        <v>0</v>
      </c>
      <c r="S277" s="230">
        <f t="shared" si="49"/>
        <v>0</v>
      </c>
      <c r="T277" s="228">
        <f t="shared" si="41"/>
        <v>0</v>
      </c>
      <c r="U277" s="413">
        <f t="shared" si="42"/>
        <v>0</v>
      </c>
      <c r="V277" s="410">
        <f t="shared" si="43"/>
        <v>0</v>
      </c>
      <c r="W277" s="246">
        <f t="shared" si="44"/>
        <v>0</v>
      </c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</row>
    <row r="278" spans="1:38" s="238" customFormat="1" ht="18.75" customHeight="1" x14ac:dyDescent="0.35">
      <c r="A278" s="195"/>
      <c r="B278" s="254"/>
      <c r="C278" s="20" t="s">
        <v>287</v>
      </c>
      <c r="D278" s="20"/>
      <c r="E278" s="363"/>
      <c r="F278" s="3"/>
      <c r="G278" s="3"/>
      <c r="H278" s="20"/>
      <c r="I278" s="20"/>
      <c r="J278" s="20"/>
      <c r="K278" s="411"/>
      <c r="L278" s="204">
        <f t="shared" si="47"/>
        <v>0</v>
      </c>
      <c r="M278" s="255"/>
      <c r="N278" s="421">
        <f t="shared" si="46"/>
        <v>0</v>
      </c>
      <c r="P278" s="227">
        <f t="shared" si="45"/>
        <v>0</v>
      </c>
      <c r="Q278" s="230"/>
      <c r="R278" s="230">
        <f t="shared" si="48"/>
        <v>0</v>
      </c>
      <c r="S278" s="230">
        <f t="shared" si="49"/>
        <v>0</v>
      </c>
      <c r="T278" s="228">
        <f t="shared" si="41"/>
        <v>0</v>
      </c>
      <c r="U278" s="413">
        <f t="shared" si="42"/>
        <v>0</v>
      </c>
      <c r="V278" s="410">
        <f t="shared" si="43"/>
        <v>0</v>
      </c>
      <c r="W278" s="246">
        <f t="shared" si="44"/>
        <v>0</v>
      </c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</row>
    <row r="279" spans="1:38" s="238" customFormat="1" ht="18.75" customHeight="1" x14ac:dyDescent="0.35">
      <c r="A279" s="195"/>
      <c r="B279" s="254"/>
      <c r="C279" s="20" t="s">
        <v>287</v>
      </c>
      <c r="D279" s="20"/>
      <c r="E279" s="363"/>
      <c r="F279" s="3"/>
      <c r="G279" s="3"/>
      <c r="H279" s="20"/>
      <c r="I279" s="20"/>
      <c r="J279" s="20"/>
      <c r="K279" s="411"/>
      <c r="L279" s="204">
        <f t="shared" si="47"/>
        <v>0</v>
      </c>
      <c r="M279" s="255"/>
      <c r="N279" s="421">
        <f t="shared" si="46"/>
        <v>0</v>
      </c>
      <c r="P279" s="227">
        <f t="shared" si="45"/>
        <v>0</v>
      </c>
      <c r="Q279" s="230"/>
      <c r="R279" s="230">
        <f t="shared" si="48"/>
        <v>0</v>
      </c>
      <c r="S279" s="230">
        <f t="shared" si="49"/>
        <v>0</v>
      </c>
      <c r="T279" s="228">
        <f t="shared" si="41"/>
        <v>0</v>
      </c>
      <c r="U279" s="413">
        <f t="shared" si="42"/>
        <v>0</v>
      </c>
      <c r="V279" s="410">
        <f t="shared" si="43"/>
        <v>0</v>
      </c>
      <c r="W279" s="246">
        <f t="shared" si="44"/>
        <v>0</v>
      </c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</row>
    <row r="280" spans="1:38" s="238" customFormat="1" ht="18.75" customHeight="1" x14ac:dyDescent="0.35">
      <c r="A280" s="195"/>
      <c r="B280" s="254"/>
      <c r="C280" s="20" t="s">
        <v>287</v>
      </c>
      <c r="D280" s="20"/>
      <c r="E280" s="363"/>
      <c r="F280" s="3"/>
      <c r="G280" s="3"/>
      <c r="H280" s="20"/>
      <c r="I280" s="20"/>
      <c r="J280" s="20"/>
      <c r="K280" s="411"/>
      <c r="L280" s="204">
        <f t="shared" si="47"/>
        <v>0</v>
      </c>
      <c r="M280" s="255"/>
      <c r="N280" s="421">
        <f t="shared" si="46"/>
        <v>0</v>
      </c>
      <c r="P280" s="227">
        <f t="shared" si="45"/>
        <v>0</v>
      </c>
      <c r="Q280" s="230"/>
      <c r="R280" s="230">
        <f t="shared" si="48"/>
        <v>0</v>
      </c>
      <c r="S280" s="230">
        <f t="shared" si="49"/>
        <v>0</v>
      </c>
      <c r="T280" s="228">
        <f t="shared" si="41"/>
        <v>0</v>
      </c>
      <c r="U280" s="413">
        <f t="shared" si="42"/>
        <v>0</v>
      </c>
      <c r="V280" s="410">
        <f t="shared" si="43"/>
        <v>0</v>
      </c>
      <c r="W280" s="246">
        <f t="shared" si="44"/>
        <v>0</v>
      </c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</row>
    <row r="281" spans="1:38" s="238" customFormat="1" ht="18.75" customHeight="1" x14ac:dyDescent="0.35">
      <c r="A281" s="195"/>
      <c r="B281" s="254"/>
      <c r="C281" s="20" t="s">
        <v>287</v>
      </c>
      <c r="D281" s="20"/>
      <c r="E281" s="363"/>
      <c r="F281" s="3"/>
      <c r="G281" s="3"/>
      <c r="H281" s="20"/>
      <c r="I281" s="20"/>
      <c r="J281" s="20"/>
      <c r="K281" s="411"/>
      <c r="L281" s="204">
        <f t="shared" si="47"/>
        <v>0</v>
      </c>
      <c r="M281" s="255"/>
      <c r="N281" s="421">
        <f t="shared" si="46"/>
        <v>0</v>
      </c>
      <c r="P281" s="227">
        <f t="shared" si="45"/>
        <v>0</v>
      </c>
      <c r="Q281" s="230"/>
      <c r="R281" s="230">
        <f t="shared" si="48"/>
        <v>0</v>
      </c>
      <c r="S281" s="230">
        <f t="shared" si="49"/>
        <v>0</v>
      </c>
      <c r="T281" s="228">
        <f t="shared" si="41"/>
        <v>0</v>
      </c>
      <c r="U281" s="413">
        <f t="shared" si="42"/>
        <v>0</v>
      </c>
      <c r="V281" s="410">
        <f t="shared" si="43"/>
        <v>0</v>
      </c>
      <c r="W281" s="246">
        <f t="shared" si="44"/>
        <v>0</v>
      </c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</row>
    <row r="282" spans="1:38" s="238" customFormat="1" ht="18.75" customHeight="1" x14ac:dyDescent="0.35">
      <c r="A282" s="195"/>
      <c r="B282" s="254"/>
      <c r="C282" s="20" t="s">
        <v>287</v>
      </c>
      <c r="D282" s="20"/>
      <c r="E282" s="363"/>
      <c r="F282" s="3"/>
      <c r="G282" s="3"/>
      <c r="H282" s="20"/>
      <c r="I282" s="20"/>
      <c r="J282" s="20"/>
      <c r="K282" s="411"/>
      <c r="L282" s="204">
        <f t="shared" si="47"/>
        <v>0</v>
      </c>
      <c r="M282" s="255"/>
      <c r="N282" s="421">
        <f t="shared" si="46"/>
        <v>0</v>
      </c>
      <c r="P282" s="227">
        <f t="shared" si="45"/>
        <v>0</v>
      </c>
      <c r="Q282" s="230"/>
      <c r="R282" s="230">
        <f t="shared" si="48"/>
        <v>0</v>
      </c>
      <c r="S282" s="230">
        <f t="shared" si="49"/>
        <v>0</v>
      </c>
      <c r="T282" s="228">
        <f t="shared" si="41"/>
        <v>0</v>
      </c>
      <c r="U282" s="413">
        <f t="shared" si="42"/>
        <v>0</v>
      </c>
      <c r="V282" s="410">
        <f t="shared" si="43"/>
        <v>0</v>
      </c>
      <c r="W282" s="246">
        <f t="shared" si="44"/>
        <v>0</v>
      </c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</row>
    <row r="283" spans="1:38" s="238" customFormat="1" ht="18.75" customHeight="1" x14ac:dyDescent="0.35">
      <c r="A283" s="195"/>
      <c r="B283" s="254"/>
      <c r="C283" s="20" t="s">
        <v>287</v>
      </c>
      <c r="D283" s="20"/>
      <c r="E283" s="363"/>
      <c r="F283" s="3"/>
      <c r="G283" s="3"/>
      <c r="H283" s="20"/>
      <c r="I283" s="20"/>
      <c r="J283" s="20"/>
      <c r="K283" s="411"/>
      <c r="L283" s="204">
        <f t="shared" si="47"/>
        <v>0</v>
      </c>
      <c r="M283" s="255"/>
      <c r="N283" s="421">
        <f t="shared" si="46"/>
        <v>0</v>
      </c>
      <c r="P283" s="227">
        <f t="shared" si="45"/>
        <v>0</v>
      </c>
      <c r="Q283" s="230"/>
      <c r="R283" s="230">
        <f t="shared" si="48"/>
        <v>0</v>
      </c>
      <c r="S283" s="230">
        <f t="shared" si="49"/>
        <v>0</v>
      </c>
      <c r="T283" s="228">
        <f t="shared" si="41"/>
        <v>0</v>
      </c>
      <c r="U283" s="413">
        <f t="shared" si="42"/>
        <v>0</v>
      </c>
      <c r="V283" s="410">
        <f t="shared" si="43"/>
        <v>0</v>
      </c>
      <c r="W283" s="246">
        <f t="shared" si="44"/>
        <v>0</v>
      </c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</row>
    <row r="284" spans="1:38" s="238" customFormat="1" ht="18.75" customHeight="1" x14ac:dyDescent="0.35">
      <c r="A284" s="195"/>
      <c r="B284" s="254"/>
      <c r="C284" s="20" t="s">
        <v>287</v>
      </c>
      <c r="D284" s="20"/>
      <c r="E284" s="363"/>
      <c r="F284" s="3"/>
      <c r="G284" s="3"/>
      <c r="H284" s="20"/>
      <c r="I284" s="20"/>
      <c r="J284" s="20"/>
      <c r="K284" s="411"/>
      <c r="L284" s="204">
        <f t="shared" si="47"/>
        <v>0</v>
      </c>
      <c r="M284" s="255"/>
      <c r="N284" s="421">
        <f t="shared" si="46"/>
        <v>0</v>
      </c>
      <c r="P284" s="227">
        <f t="shared" si="45"/>
        <v>0</v>
      </c>
      <c r="Q284" s="230"/>
      <c r="R284" s="230">
        <f t="shared" si="48"/>
        <v>0</v>
      </c>
      <c r="S284" s="230">
        <f t="shared" si="49"/>
        <v>0</v>
      </c>
      <c r="T284" s="228">
        <f t="shared" si="41"/>
        <v>0</v>
      </c>
      <c r="U284" s="413">
        <f t="shared" si="42"/>
        <v>0</v>
      </c>
      <c r="V284" s="410">
        <f t="shared" si="43"/>
        <v>0</v>
      </c>
      <c r="W284" s="246">
        <f t="shared" si="44"/>
        <v>0</v>
      </c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</row>
    <row r="285" spans="1:38" s="238" customFormat="1" ht="18.75" customHeight="1" x14ac:dyDescent="0.35">
      <c r="A285" s="195"/>
      <c r="B285" s="254"/>
      <c r="C285" s="20" t="s">
        <v>287</v>
      </c>
      <c r="D285" s="20"/>
      <c r="E285" s="363"/>
      <c r="F285" s="3"/>
      <c r="G285" s="3"/>
      <c r="H285" s="20"/>
      <c r="I285" s="20"/>
      <c r="J285" s="20"/>
      <c r="K285" s="411"/>
      <c r="L285" s="204">
        <f t="shared" si="47"/>
        <v>0</v>
      </c>
      <c r="M285" s="255"/>
      <c r="N285" s="421">
        <f t="shared" si="46"/>
        <v>0</v>
      </c>
      <c r="P285" s="227">
        <f t="shared" si="45"/>
        <v>0</v>
      </c>
      <c r="Q285" s="230"/>
      <c r="R285" s="230">
        <f t="shared" si="48"/>
        <v>0</v>
      </c>
      <c r="S285" s="230">
        <f t="shared" si="49"/>
        <v>0</v>
      </c>
      <c r="T285" s="228">
        <f t="shared" si="41"/>
        <v>0</v>
      </c>
      <c r="U285" s="413">
        <f t="shared" si="42"/>
        <v>0</v>
      </c>
      <c r="V285" s="410">
        <f t="shared" si="43"/>
        <v>0</v>
      </c>
      <c r="W285" s="246">
        <f t="shared" si="44"/>
        <v>0</v>
      </c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</row>
    <row r="286" spans="1:38" s="238" customFormat="1" ht="18.75" customHeight="1" x14ac:dyDescent="0.35">
      <c r="A286" s="195"/>
      <c r="B286" s="254"/>
      <c r="C286" s="20" t="s">
        <v>287</v>
      </c>
      <c r="D286" s="20"/>
      <c r="E286" s="363"/>
      <c r="F286" s="3"/>
      <c r="G286" s="3"/>
      <c r="H286" s="20"/>
      <c r="I286" s="20"/>
      <c r="J286" s="20"/>
      <c r="K286" s="411"/>
      <c r="L286" s="204">
        <f t="shared" si="47"/>
        <v>0</v>
      </c>
      <c r="M286" s="255"/>
      <c r="N286" s="421">
        <f t="shared" si="46"/>
        <v>0</v>
      </c>
      <c r="P286" s="227">
        <f t="shared" si="45"/>
        <v>0</v>
      </c>
      <c r="Q286" s="230"/>
      <c r="R286" s="230">
        <f t="shared" si="48"/>
        <v>0</v>
      </c>
      <c r="S286" s="230">
        <f t="shared" si="49"/>
        <v>0</v>
      </c>
      <c r="T286" s="228">
        <f t="shared" si="41"/>
        <v>0</v>
      </c>
      <c r="U286" s="413">
        <f t="shared" si="42"/>
        <v>0</v>
      </c>
      <c r="V286" s="410">
        <f t="shared" si="43"/>
        <v>0</v>
      </c>
      <c r="W286" s="246">
        <f t="shared" si="44"/>
        <v>0</v>
      </c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</row>
    <row r="287" spans="1:38" s="238" customFormat="1" ht="18.75" customHeight="1" x14ac:dyDescent="0.35">
      <c r="A287" s="195"/>
      <c r="B287" s="254"/>
      <c r="C287" s="20" t="s">
        <v>287</v>
      </c>
      <c r="D287" s="20"/>
      <c r="E287" s="363"/>
      <c r="F287" s="3"/>
      <c r="G287" s="3"/>
      <c r="H287" s="20"/>
      <c r="I287" s="20"/>
      <c r="J287" s="20"/>
      <c r="K287" s="411"/>
      <c r="L287" s="204">
        <f t="shared" si="47"/>
        <v>0</v>
      </c>
      <c r="M287" s="255"/>
      <c r="N287" s="421">
        <f t="shared" si="46"/>
        <v>0</v>
      </c>
      <c r="P287" s="227">
        <f t="shared" si="45"/>
        <v>0</v>
      </c>
      <c r="Q287" s="230"/>
      <c r="R287" s="230">
        <f t="shared" si="48"/>
        <v>0</v>
      </c>
      <c r="S287" s="230">
        <f t="shared" si="49"/>
        <v>0</v>
      </c>
      <c r="T287" s="228">
        <f t="shared" si="41"/>
        <v>0</v>
      </c>
      <c r="U287" s="413">
        <f t="shared" si="42"/>
        <v>0</v>
      </c>
      <c r="V287" s="410">
        <f t="shared" si="43"/>
        <v>0</v>
      </c>
      <c r="W287" s="246">
        <f t="shared" si="44"/>
        <v>0</v>
      </c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</row>
    <row r="288" spans="1:38" s="238" customFormat="1" ht="18.75" customHeight="1" x14ac:dyDescent="0.35">
      <c r="A288" s="195"/>
      <c r="B288" s="254"/>
      <c r="C288" s="20" t="s">
        <v>287</v>
      </c>
      <c r="D288" s="20"/>
      <c r="E288" s="363"/>
      <c r="F288" s="3"/>
      <c r="G288" s="3"/>
      <c r="H288" s="20"/>
      <c r="I288" s="20"/>
      <c r="J288" s="20"/>
      <c r="K288" s="411"/>
      <c r="L288" s="204">
        <f t="shared" si="47"/>
        <v>0</v>
      </c>
      <c r="M288" s="255"/>
      <c r="N288" s="421">
        <f t="shared" si="46"/>
        <v>0</v>
      </c>
      <c r="P288" s="227">
        <f t="shared" si="45"/>
        <v>0</v>
      </c>
      <c r="Q288" s="230"/>
      <c r="R288" s="230">
        <f t="shared" si="48"/>
        <v>0</v>
      </c>
      <c r="S288" s="230">
        <f t="shared" si="49"/>
        <v>0</v>
      </c>
      <c r="T288" s="228">
        <f t="shared" si="41"/>
        <v>0</v>
      </c>
      <c r="U288" s="413">
        <f t="shared" si="42"/>
        <v>0</v>
      </c>
      <c r="V288" s="410">
        <f t="shared" si="43"/>
        <v>0</v>
      </c>
      <c r="W288" s="246">
        <f t="shared" si="44"/>
        <v>0</v>
      </c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</row>
    <row r="289" spans="1:38" s="238" customFormat="1" ht="18.75" customHeight="1" x14ac:dyDescent="0.35">
      <c r="A289" s="195"/>
      <c r="B289" s="254"/>
      <c r="C289" s="20" t="s">
        <v>287</v>
      </c>
      <c r="D289" s="20"/>
      <c r="E289" s="363"/>
      <c r="F289" s="3"/>
      <c r="G289" s="3"/>
      <c r="H289" s="20"/>
      <c r="I289" s="20"/>
      <c r="J289" s="20"/>
      <c r="K289" s="411"/>
      <c r="L289" s="204">
        <f t="shared" si="47"/>
        <v>0</v>
      </c>
      <c r="M289" s="255"/>
      <c r="N289" s="421">
        <f t="shared" si="46"/>
        <v>0</v>
      </c>
      <c r="P289" s="227">
        <f t="shared" si="45"/>
        <v>0</v>
      </c>
      <c r="Q289" s="230"/>
      <c r="R289" s="230">
        <f t="shared" si="48"/>
        <v>0</v>
      </c>
      <c r="S289" s="230">
        <f t="shared" si="49"/>
        <v>0</v>
      </c>
      <c r="T289" s="228">
        <f t="shared" si="41"/>
        <v>0</v>
      </c>
      <c r="U289" s="413">
        <f t="shared" si="42"/>
        <v>0</v>
      </c>
      <c r="V289" s="410">
        <f t="shared" si="43"/>
        <v>0</v>
      </c>
      <c r="W289" s="246">
        <f t="shared" si="44"/>
        <v>0</v>
      </c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</row>
    <row r="290" spans="1:38" s="238" customFormat="1" ht="18.75" customHeight="1" x14ac:dyDescent="0.35">
      <c r="A290" s="195"/>
      <c r="B290" s="254"/>
      <c r="C290" s="20" t="s">
        <v>287</v>
      </c>
      <c r="D290" s="20"/>
      <c r="E290" s="363"/>
      <c r="F290" s="3"/>
      <c r="G290" s="3"/>
      <c r="H290" s="20"/>
      <c r="I290" s="20"/>
      <c r="J290" s="20"/>
      <c r="K290" s="411"/>
      <c r="L290" s="204">
        <f t="shared" si="47"/>
        <v>0</v>
      </c>
      <c r="M290" s="255"/>
      <c r="N290" s="421">
        <f t="shared" si="46"/>
        <v>0</v>
      </c>
      <c r="P290" s="227">
        <f t="shared" si="45"/>
        <v>0</v>
      </c>
      <c r="Q290" s="230"/>
      <c r="R290" s="230">
        <f t="shared" si="48"/>
        <v>0</v>
      </c>
      <c r="S290" s="230">
        <f t="shared" si="49"/>
        <v>0</v>
      </c>
      <c r="T290" s="228">
        <f t="shared" si="41"/>
        <v>0</v>
      </c>
      <c r="U290" s="413">
        <f t="shared" si="42"/>
        <v>0</v>
      </c>
      <c r="V290" s="410">
        <f t="shared" si="43"/>
        <v>0</v>
      </c>
      <c r="W290" s="246">
        <f t="shared" si="44"/>
        <v>0</v>
      </c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</row>
    <row r="291" spans="1:38" s="238" customFormat="1" ht="18.75" customHeight="1" x14ac:dyDescent="0.35">
      <c r="A291" s="195"/>
      <c r="B291" s="254"/>
      <c r="C291" s="20" t="s">
        <v>287</v>
      </c>
      <c r="D291" s="20"/>
      <c r="E291" s="363"/>
      <c r="F291" s="3"/>
      <c r="G291" s="3"/>
      <c r="H291" s="20"/>
      <c r="I291" s="20"/>
      <c r="J291" s="20"/>
      <c r="K291" s="411"/>
      <c r="L291" s="204">
        <f t="shared" si="47"/>
        <v>0</v>
      </c>
      <c r="M291" s="255"/>
      <c r="N291" s="421">
        <f t="shared" si="46"/>
        <v>0</v>
      </c>
      <c r="P291" s="227">
        <f t="shared" si="45"/>
        <v>0</v>
      </c>
      <c r="Q291" s="230"/>
      <c r="R291" s="230">
        <f t="shared" si="48"/>
        <v>0</v>
      </c>
      <c r="S291" s="230">
        <f t="shared" si="49"/>
        <v>0</v>
      </c>
      <c r="T291" s="228">
        <f t="shared" si="41"/>
        <v>0</v>
      </c>
      <c r="U291" s="413">
        <f t="shared" si="42"/>
        <v>0</v>
      </c>
      <c r="V291" s="410">
        <f t="shared" si="43"/>
        <v>0</v>
      </c>
      <c r="W291" s="246">
        <f t="shared" si="44"/>
        <v>0</v>
      </c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</row>
    <row r="292" spans="1:38" s="238" customFormat="1" ht="18.75" customHeight="1" x14ac:dyDescent="0.35">
      <c r="A292" s="195"/>
      <c r="B292" s="254"/>
      <c r="C292" s="20" t="s">
        <v>287</v>
      </c>
      <c r="D292" s="20"/>
      <c r="E292" s="363"/>
      <c r="F292" s="3"/>
      <c r="G292" s="3"/>
      <c r="H292" s="20"/>
      <c r="I292" s="20"/>
      <c r="J292" s="20"/>
      <c r="K292" s="411"/>
      <c r="L292" s="204">
        <f t="shared" si="47"/>
        <v>0</v>
      </c>
      <c r="M292" s="255"/>
      <c r="N292" s="421">
        <f t="shared" si="46"/>
        <v>0</v>
      </c>
      <c r="P292" s="227">
        <f t="shared" si="45"/>
        <v>0</v>
      </c>
      <c r="Q292" s="230"/>
      <c r="R292" s="230">
        <f t="shared" si="48"/>
        <v>0</v>
      </c>
      <c r="S292" s="230">
        <f t="shared" si="49"/>
        <v>0</v>
      </c>
      <c r="T292" s="228">
        <f t="shared" si="41"/>
        <v>0</v>
      </c>
      <c r="U292" s="413">
        <f t="shared" si="42"/>
        <v>0</v>
      </c>
      <c r="V292" s="410">
        <f t="shared" si="43"/>
        <v>0</v>
      </c>
      <c r="W292" s="246">
        <f t="shared" si="44"/>
        <v>0</v>
      </c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</row>
    <row r="293" spans="1:38" s="238" customFormat="1" ht="18.75" customHeight="1" x14ac:dyDescent="0.35">
      <c r="A293" s="195"/>
      <c r="B293" s="254"/>
      <c r="C293" s="20" t="s">
        <v>287</v>
      </c>
      <c r="D293" s="20"/>
      <c r="E293" s="363"/>
      <c r="F293" s="3"/>
      <c r="G293" s="3"/>
      <c r="H293" s="20"/>
      <c r="I293" s="20"/>
      <c r="J293" s="20"/>
      <c r="K293" s="411"/>
      <c r="L293" s="204">
        <f t="shared" si="47"/>
        <v>0</v>
      </c>
      <c r="M293" s="255"/>
      <c r="N293" s="421">
        <f t="shared" si="46"/>
        <v>0</v>
      </c>
      <c r="P293" s="227">
        <f t="shared" si="45"/>
        <v>0</v>
      </c>
      <c r="Q293" s="230"/>
      <c r="R293" s="230">
        <f t="shared" si="48"/>
        <v>0</v>
      </c>
      <c r="S293" s="230">
        <f t="shared" si="49"/>
        <v>0</v>
      </c>
      <c r="T293" s="228">
        <f t="shared" si="41"/>
        <v>0</v>
      </c>
      <c r="U293" s="413">
        <f t="shared" si="42"/>
        <v>0</v>
      </c>
      <c r="V293" s="410">
        <f t="shared" si="43"/>
        <v>0</v>
      </c>
      <c r="W293" s="246">
        <f t="shared" si="44"/>
        <v>0</v>
      </c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</row>
    <row r="294" spans="1:38" s="238" customFormat="1" ht="18.75" customHeight="1" x14ac:dyDescent="0.35">
      <c r="A294" s="195"/>
      <c r="B294" s="254"/>
      <c r="C294" s="20" t="s">
        <v>287</v>
      </c>
      <c r="D294" s="20"/>
      <c r="E294" s="363"/>
      <c r="F294" s="3"/>
      <c r="G294" s="3"/>
      <c r="H294" s="20"/>
      <c r="I294" s="20"/>
      <c r="J294" s="20"/>
      <c r="K294" s="411"/>
      <c r="L294" s="204">
        <f t="shared" si="47"/>
        <v>0</v>
      </c>
      <c r="M294" s="255"/>
      <c r="N294" s="421">
        <f t="shared" si="46"/>
        <v>0</v>
      </c>
      <c r="P294" s="227">
        <f t="shared" si="45"/>
        <v>0</v>
      </c>
      <c r="Q294" s="230"/>
      <c r="R294" s="230">
        <f t="shared" si="48"/>
        <v>0</v>
      </c>
      <c r="S294" s="230">
        <f t="shared" si="49"/>
        <v>0</v>
      </c>
      <c r="T294" s="228">
        <f t="shared" si="41"/>
        <v>0</v>
      </c>
      <c r="U294" s="413">
        <f t="shared" si="42"/>
        <v>0</v>
      </c>
      <c r="V294" s="410">
        <f t="shared" si="43"/>
        <v>0</v>
      </c>
      <c r="W294" s="246">
        <f t="shared" si="44"/>
        <v>0</v>
      </c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</row>
    <row r="295" spans="1:38" s="238" customFormat="1" ht="18.75" customHeight="1" x14ac:dyDescent="0.35">
      <c r="A295" s="195"/>
      <c r="B295" s="254"/>
      <c r="C295" s="20" t="s">
        <v>287</v>
      </c>
      <c r="D295" s="20"/>
      <c r="E295" s="363"/>
      <c r="F295" s="3"/>
      <c r="G295" s="3"/>
      <c r="H295" s="20"/>
      <c r="I295" s="20"/>
      <c r="J295" s="20"/>
      <c r="K295" s="411"/>
      <c r="L295" s="204">
        <f t="shared" si="47"/>
        <v>0</v>
      </c>
      <c r="M295" s="255"/>
      <c r="N295" s="421">
        <f t="shared" si="46"/>
        <v>0</v>
      </c>
      <c r="P295" s="227">
        <f t="shared" si="45"/>
        <v>0</v>
      </c>
      <c r="Q295" s="230"/>
      <c r="R295" s="230">
        <f t="shared" si="48"/>
        <v>0</v>
      </c>
      <c r="S295" s="230">
        <f t="shared" si="49"/>
        <v>0</v>
      </c>
      <c r="T295" s="228">
        <f t="shared" si="41"/>
        <v>0</v>
      </c>
      <c r="U295" s="413">
        <f t="shared" si="42"/>
        <v>0</v>
      </c>
      <c r="V295" s="410">
        <f t="shared" si="43"/>
        <v>0</v>
      </c>
      <c r="W295" s="246">
        <f t="shared" si="44"/>
        <v>0</v>
      </c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</row>
    <row r="296" spans="1:38" s="238" customFormat="1" ht="18.75" customHeight="1" x14ac:dyDescent="0.35">
      <c r="A296" s="195"/>
      <c r="B296" s="254"/>
      <c r="C296" s="20" t="s">
        <v>287</v>
      </c>
      <c r="D296" s="20"/>
      <c r="E296" s="363"/>
      <c r="F296" s="3"/>
      <c r="G296" s="3"/>
      <c r="H296" s="20"/>
      <c r="I296" s="20"/>
      <c r="J296" s="20"/>
      <c r="K296" s="411"/>
      <c r="L296" s="204">
        <f t="shared" si="47"/>
        <v>0</v>
      </c>
      <c r="M296" s="255"/>
      <c r="N296" s="421">
        <f t="shared" si="46"/>
        <v>0</v>
      </c>
      <c r="P296" s="227">
        <f t="shared" si="45"/>
        <v>0</v>
      </c>
      <c r="Q296" s="230"/>
      <c r="R296" s="230">
        <f t="shared" si="48"/>
        <v>0</v>
      </c>
      <c r="S296" s="230">
        <f t="shared" si="49"/>
        <v>0</v>
      </c>
      <c r="T296" s="228">
        <f t="shared" si="41"/>
        <v>0</v>
      </c>
      <c r="U296" s="413">
        <f t="shared" si="42"/>
        <v>0</v>
      </c>
      <c r="V296" s="410">
        <f t="shared" si="43"/>
        <v>0</v>
      </c>
      <c r="W296" s="246">
        <f t="shared" si="44"/>
        <v>0</v>
      </c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</row>
    <row r="297" spans="1:38" s="238" customFormat="1" ht="18.75" customHeight="1" x14ac:dyDescent="0.35">
      <c r="A297" s="195"/>
      <c r="B297" s="254"/>
      <c r="C297" s="20" t="s">
        <v>287</v>
      </c>
      <c r="D297" s="20"/>
      <c r="E297" s="363"/>
      <c r="F297" s="3"/>
      <c r="G297" s="3"/>
      <c r="H297" s="20"/>
      <c r="I297" s="20"/>
      <c r="J297" s="20"/>
      <c r="K297" s="411"/>
      <c r="L297" s="204">
        <f t="shared" si="47"/>
        <v>0</v>
      </c>
      <c r="M297" s="255"/>
      <c r="N297" s="421">
        <f t="shared" si="46"/>
        <v>0</v>
      </c>
      <c r="P297" s="227">
        <f t="shared" si="45"/>
        <v>0</v>
      </c>
      <c r="Q297" s="230"/>
      <c r="R297" s="230">
        <f t="shared" si="48"/>
        <v>0</v>
      </c>
      <c r="S297" s="230">
        <f t="shared" si="49"/>
        <v>0</v>
      </c>
      <c r="T297" s="228">
        <f t="shared" si="41"/>
        <v>0</v>
      </c>
      <c r="U297" s="413">
        <f t="shared" si="42"/>
        <v>0</v>
      </c>
      <c r="V297" s="410">
        <f t="shared" si="43"/>
        <v>0</v>
      </c>
      <c r="W297" s="246">
        <f t="shared" si="44"/>
        <v>0</v>
      </c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</row>
    <row r="298" spans="1:38" s="238" customFormat="1" ht="18.75" customHeight="1" x14ac:dyDescent="0.35">
      <c r="A298" s="195"/>
      <c r="B298" s="254"/>
      <c r="C298" s="20" t="s">
        <v>287</v>
      </c>
      <c r="D298" s="20"/>
      <c r="E298" s="363"/>
      <c r="F298" s="3"/>
      <c r="G298" s="3"/>
      <c r="H298" s="20"/>
      <c r="I298" s="20"/>
      <c r="J298" s="20"/>
      <c r="K298" s="411"/>
      <c r="L298" s="204">
        <f t="shared" si="47"/>
        <v>0</v>
      </c>
      <c r="M298" s="255"/>
      <c r="N298" s="421">
        <f t="shared" si="46"/>
        <v>0</v>
      </c>
      <c r="P298" s="227">
        <f t="shared" si="45"/>
        <v>0</v>
      </c>
      <c r="Q298" s="230"/>
      <c r="R298" s="230">
        <f t="shared" si="48"/>
        <v>0</v>
      </c>
      <c r="S298" s="230">
        <f t="shared" si="49"/>
        <v>0</v>
      </c>
      <c r="T298" s="228">
        <f t="shared" si="41"/>
        <v>0</v>
      </c>
      <c r="U298" s="413">
        <f t="shared" si="42"/>
        <v>0</v>
      </c>
      <c r="V298" s="410">
        <f t="shared" si="43"/>
        <v>0</v>
      </c>
      <c r="W298" s="246">
        <f t="shared" si="44"/>
        <v>0</v>
      </c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</row>
    <row r="299" spans="1:38" s="238" customFormat="1" ht="18.75" customHeight="1" x14ac:dyDescent="0.35">
      <c r="A299" s="195"/>
      <c r="B299" s="254"/>
      <c r="C299" s="20" t="s">
        <v>287</v>
      </c>
      <c r="D299" s="20"/>
      <c r="E299" s="363"/>
      <c r="F299" s="3"/>
      <c r="G299" s="3"/>
      <c r="H299" s="20"/>
      <c r="I299" s="20"/>
      <c r="J299" s="20"/>
      <c r="K299" s="411"/>
      <c r="L299" s="204">
        <f t="shared" si="47"/>
        <v>0</v>
      </c>
      <c r="M299" s="255"/>
      <c r="N299" s="421">
        <f t="shared" si="46"/>
        <v>0</v>
      </c>
      <c r="P299" s="227">
        <f t="shared" si="45"/>
        <v>0</v>
      </c>
      <c r="Q299" s="230"/>
      <c r="R299" s="230">
        <f t="shared" si="48"/>
        <v>0</v>
      </c>
      <c r="S299" s="230">
        <f t="shared" si="49"/>
        <v>0</v>
      </c>
      <c r="T299" s="228">
        <f t="shared" si="41"/>
        <v>0</v>
      </c>
      <c r="U299" s="413">
        <f t="shared" si="42"/>
        <v>0</v>
      </c>
      <c r="V299" s="410">
        <f t="shared" si="43"/>
        <v>0</v>
      </c>
      <c r="W299" s="246">
        <f t="shared" si="44"/>
        <v>0</v>
      </c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</row>
    <row r="300" spans="1:38" s="238" customFormat="1" ht="18.75" customHeight="1" x14ac:dyDescent="0.35">
      <c r="A300" s="195"/>
      <c r="B300" s="254"/>
      <c r="C300" s="20" t="s">
        <v>287</v>
      </c>
      <c r="D300" s="20"/>
      <c r="E300" s="363"/>
      <c r="F300" s="3"/>
      <c r="G300" s="3"/>
      <c r="H300" s="20"/>
      <c r="I300" s="20"/>
      <c r="J300" s="20"/>
      <c r="K300" s="411"/>
      <c r="L300" s="204">
        <f t="shared" si="47"/>
        <v>0</v>
      </c>
      <c r="M300" s="255"/>
      <c r="N300" s="421">
        <f t="shared" si="46"/>
        <v>0</v>
      </c>
      <c r="P300" s="227">
        <f t="shared" si="45"/>
        <v>0</v>
      </c>
      <c r="Q300" s="230"/>
      <c r="R300" s="230">
        <f t="shared" si="48"/>
        <v>0</v>
      </c>
      <c r="S300" s="230">
        <f t="shared" si="49"/>
        <v>0</v>
      </c>
      <c r="T300" s="228">
        <f t="shared" si="41"/>
        <v>0</v>
      </c>
      <c r="U300" s="413">
        <f t="shared" si="42"/>
        <v>0</v>
      </c>
      <c r="V300" s="410">
        <f t="shared" si="43"/>
        <v>0</v>
      </c>
      <c r="W300" s="246">
        <f t="shared" si="44"/>
        <v>0</v>
      </c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</row>
    <row r="301" spans="1:38" s="238" customFormat="1" ht="18.75" customHeight="1" x14ac:dyDescent="0.35">
      <c r="A301" s="195"/>
      <c r="B301" s="254"/>
      <c r="C301" s="20" t="s">
        <v>287</v>
      </c>
      <c r="D301" s="20"/>
      <c r="E301" s="363"/>
      <c r="F301" s="3"/>
      <c r="G301" s="3"/>
      <c r="H301" s="20"/>
      <c r="I301" s="20"/>
      <c r="J301" s="20"/>
      <c r="K301" s="411"/>
      <c r="L301" s="204">
        <f t="shared" si="47"/>
        <v>0</v>
      </c>
      <c r="M301" s="255"/>
      <c r="N301" s="421">
        <f t="shared" si="46"/>
        <v>0</v>
      </c>
      <c r="P301" s="227">
        <f t="shared" si="45"/>
        <v>0</v>
      </c>
      <c r="Q301" s="230"/>
      <c r="R301" s="230">
        <f t="shared" si="48"/>
        <v>0</v>
      </c>
      <c r="S301" s="230">
        <f t="shared" si="49"/>
        <v>0</v>
      </c>
      <c r="T301" s="228">
        <f t="shared" si="41"/>
        <v>0</v>
      </c>
      <c r="U301" s="413">
        <f t="shared" si="42"/>
        <v>0</v>
      </c>
      <c r="V301" s="410">
        <f t="shared" si="43"/>
        <v>0</v>
      </c>
      <c r="W301" s="246">
        <f t="shared" si="44"/>
        <v>0</v>
      </c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</row>
    <row r="302" spans="1:38" s="238" customFormat="1" ht="18.75" customHeight="1" x14ac:dyDescent="0.35">
      <c r="A302" s="195"/>
      <c r="B302" s="254"/>
      <c r="C302" s="20" t="s">
        <v>287</v>
      </c>
      <c r="D302" s="20"/>
      <c r="E302" s="363"/>
      <c r="F302" s="3"/>
      <c r="G302" s="3"/>
      <c r="H302" s="20"/>
      <c r="I302" s="20"/>
      <c r="J302" s="20"/>
      <c r="K302" s="411"/>
      <c r="L302" s="204">
        <f t="shared" si="47"/>
        <v>0</v>
      </c>
      <c r="M302" s="255"/>
      <c r="N302" s="421">
        <f t="shared" si="46"/>
        <v>0</v>
      </c>
      <c r="P302" s="227">
        <f t="shared" si="45"/>
        <v>0</v>
      </c>
      <c r="Q302" s="230"/>
      <c r="R302" s="230">
        <f t="shared" si="48"/>
        <v>0</v>
      </c>
      <c r="S302" s="230">
        <f t="shared" si="49"/>
        <v>0</v>
      </c>
      <c r="T302" s="228">
        <f t="shared" si="41"/>
        <v>0</v>
      </c>
      <c r="U302" s="413">
        <f t="shared" si="42"/>
        <v>0</v>
      </c>
      <c r="V302" s="410">
        <f t="shared" si="43"/>
        <v>0</v>
      </c>
      <c r="W302" s="246">
        <f t="shared" si="44"/>
        <v>0</v>
      </c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</row>
    <row r="303" spans="1:38" s="238" customFormat="1" ht="18.75" customHeight="1" x14ac:dyDescent="0.35">
      <c r="A303" s="195"/>
      <c r="B303" s="254"/>
      <c r="C303" s="20" t="s">
        <v>287</v>
      </c>
      <c r="D303" s="20"/>
      <c r="E303" s="363"/>
      <c r="F303" s="3"/>
      <c r="G303" s="3"/>
      <c r="H303" s="20"/>
      <c r="I303" s="20"/>
      <c r="J303" s="20"/>
      <c r="K303" s="411"/>
      <c r="L303" s="204"/>
      <c r="M303" s="255"/>
      <c r="N303" s="421">
        <f t="shared" si="46"/>
        <v>0</v>
      </c>
      <c r="P303" s="227">
        <f t="shared" si="45"/>
        <v>0</v>
      </c>
      <c r="Q303" s="230"/>
      <c r="R303" s="230">
        <f t="shared" si="48"/>
        <v>0</v>
      </c>
      <c r="S303" s="230">
        <f t="shared" si="49"/>
        <v>0</v>
      </c>
      <c r="T303" s="228">
        <f t="shared" si="41"/>
        <v>0</v>
      </c>
      <c r="U303" s="413">
        <f t="shared" si="42"/>
        <v>0</v>
      </c>
      <c r="V303" s="410">
        <f t="shared" si="43"/>
        <v>0</v>
      </c>
      <c r="W303" s="246">
        <f t="shared" si="44"/>
        <v>0</v>
      </c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</row>
    <row r="304" spans="1:38" s="238" customFormat="1" ht="18.75" customHeight="1" x14ac:dyDescent="0.35">
      <c r="A304" s="195"/>
      <c r="B304" s="254"/>
      <c r="C304" s="20" t="s">
        <v>287</v>
      </c>
      <c r="D304" s="20"/>
      <c r="E304" s="363"/>
      <c r="F304" s="3"/>
      <c r="G304" s="3"/>
      <c r="H304" s="20"/>
      <c r="I304" s="20"/>
      <c r="J304" s="20"/>
      <c r="K304" s="411"/>
      <c r="L304" s="204"/>
      <c r="M304" s="255"/>
      <c r="N304" s="421">
        <f t="shared" si="46"/>
        <v>0</v>
      </c>
      <c r="P304" s="227">
        <f t="shared" si="45"/>
        <v>0</v>
      </c>
      <c r="Q304" s="230"/>
      <c r="R304" s="230">
        <f t="shared" si="48"/>
        <v>0</v>
      </c>
      <c r="S304" s="230">
        <f t="shared" si="49"/>
        <v>0</v>
      </c>
      <c r="T304" s="228">
        <f t="shared" si="41"/>
        <v>0</v>
      </c>
      <c r="U304" s="413">
        <f t="shared" si="42"/>
        <v>0</v>
      </c>
      <c r="V304" s="410">
        <f t="shared" si="43"/>
        <v>0</v>
      </c>
      <c r="W304" s="246">
        <f t="shared" si="44"/>
        <v>0</v>
      </c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</row>
    <row r="305" spans="1:38" s="238" customFormat="1" ht="18.75" customHeight="1" x14ac:dyDescent="0.35">
      <c r="A305" s="195"/>
      <c r="B305" s="254"/>
      <c r="C305" s="20" t="s">
        <v>287</v>
      </c>
      <c r="D305" s="20"/>
      <c r="E305" s="363"/>
      <c r="F305" s="3"/>
      <c r="G305" s="3"/>
      <c r="H305" s="20"/>
      <c r="I305" s="20"/>
      <c r="J305" s="20"/>
      <c r="K305" s="411"/>
      <c r="L305" s="204"/>
      <c r="M305" s="255"/>
      <c r="N305" s="421">
        <f t="shared" si="46"/>
        <v>0</v>
      </c>
      <c r="P305" s="227">
        <f t="shared" si="45"/>
        <v>0</v>
      </c>
      <c r="Q305" s="230"/>
      <c r="R305" s="230">
        <f t="shared" si="48"/>
        <v>0</v>
      </c>
      <c r="S305" s="230">
        <f t="shared" si="49"/>
        <v>0</v>
      </c>
      <c r="T305" s="228">
        <f t="shared" si="41"/>
        <v>0</v>
      </c>
      <c r="U305" s="413">
        <f t="shared" si="42"/>
        <v>0</v>
      </c>
      <c r="V305" s="410">
        <f t="shared" si="43"/>
        <v>0</v>
      </c>
      <c r="W305" s="246">
        <f t="shared" si="44"/>
        <v>0</v>
      </c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</row>
    <row r="306" spans="1:38" s="238" customFormat="1" ht="18.75" customHeight="1" x14ac:dyDescent="0.35">
      <c r="A306" s="195"/>
      <c r="B306" s="254"/>
      <c r="C306" s="20" t="s">
        <v>287</v>
      </c>
      <c r="D306" s="20"/>
      <c r="E306" s="363"/>
      <c r="F306" s="3"/>
      <c r="G306" s="3"/>
      <c r="H306" s="20"/>
      <c r="I306" s="20"/>
      <c r="J306" s="20"/>
      <c r="K306" s="411"/>
      <c r="L306" s="204"/>
      <c r="M306" s="255"/>
      <c r="N306" s="421">
        <f t="shared" si="46"/>
        <v>0</v>
      </c>
      <c r="P306" s="227">
        <f t="shared" si="45"/>
        <v>0</v>
      </c>
      <c r="Q306" s="230"/>
      <c r="R306" s="230">
        <f t="shared" si="48"/>
        <v>0</v>
      </c>
      <c r="S306" s="230">
        <f t="shared" si="49"/>
        <v>0</v>
      </c>
      <c r="T306" s="228">
        <f t="shared" si="41"/>
        <v>0</v>
      </c>
      <c r="U306" s="413">
        <f t="shared" si="42"/>
        <v>0</v>
      </c>
      <c r="V306" s="410">
        <f t="shared" si="43"/>
        <v>0</v>
      </c>
      <c r="W306" s="246">
        <f t="shared" si="44"/>
        <v>0</v>
      </c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</row>
    <row r="307" spans="1:38" s="238" customFormat="1" ht="18.75" customHeight="1" x14ac:dyDescent="0.35">
      <c r="A307" s="195"/>
      <c r="B307" s="254"/>
      <c r="C307" s="20" t="s">
        <v>287</v>
      </c>
      <c r="D307" s="20"/>
      <c r="E307" s="363"/>
      <c r="F307" s="3"/>
      <c r="G307" s="3"/>
      <c r="H307" s="20"/>
      <c r="I307" s="20"/>
      <c r="J307" s="20"/>
      <c r="K307" s="411"/>
      <c r="L307" s="204"/>
      <c r="M307" s="255"/>
      <c r="N307" s="421">
        <f t="shared" si="46"/>
        <v>0</v>
      </c>
      <c r="P307" s="227">
        <f t="shared" si="45"/>
        <v>0</v>
      </c>
      <c r="Q307" s="230"/>
      <c r="R307" s="230">
        <f t="shared" si="48"/>
        <v>0</v>
      </c>
      <c r="S307" s="230">
        <f t="shared" si="49"/>
        <v>0</v>
      </c>
      <c r="T307" s="228">
        <f t="shared" si="41"/>
        <v>0</v>
      </c>
      <c r="U307" s="413">
        <f t="shared" si="42"/>
        <v>0</v>
      </c>
      <c r="V307" s="410">
        <f t="shared" si="43"/>
        <v>0</v>
      </c>
      <c r="W307" s="246">
        <f t="shared" si="44"/>
        <v>0</v>
      </c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</row>
    <row r="308" spans="1:38" s="238" customFormat="1" ht="18.75" customHeight="1" x14ac:dyDescent="0.35">
      <c r="A308" s="195"/>
      <c r="B308" s="254"/>
      <c r="C308" s="20" t="s">
        <v>287</v>
      </c>
      <c r="D308" s="20"/>
      <c r="E308" s="363"/>
      <c r="F308" s="3"/>
      <c r="G308" s="3"/>
      <c r="H308" s="20"/>
      <c r="I308" s="20"/>
      <c r="J308" s="20"/>
      <c r="K308" s="411"/>
      <c r="L308" s="204"/>
      <c r="M308" s="255"/>
      <c r="N308" s="421">
        <f t="shared" si="46"/>
        <v>0</v>
      </c>
      <c r="P308" s="227">
        <f t="shared" si="45"/>
        <v>0</v>
      </c>
      <c r="Q308" s="230"/>
      <c r="R308" s="230">
        <f t="shared" si="48"/>
        <v>0</v>
      </c>
      <c r="S308" s="230">
        <f t="shared" si="49"/>
        <v>0</v>
      </c>
      <c r="T308" s="228">
        <f t="shared" si="41"/>
        <v>0</v>
      </c>
      <c r="U308" s="413">
        <f t="shared" si="42"/>
        <v>0</v>
      </c>
      <c r="V308" s="410">
        <f t="shared" si="43"/>
        <v>0</v>
      </c>
      <c r="W308" s="246">
        <f t="shared" si="44"/>
        <v>0</v>
      </c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</row>
    <row r="309" spans="1:38" s="238" customFormat="1" ht="18.75" customHeight="1" x14ac:dyDescent="0.35">
      <c r="A309" s="195"/>
      <c r="B309" s="254"/>
      <c r="C309" s="20" t="s">
        <v>287</v>
      </c>
      <c r="D309" s="20"/>
      <c r="E309" s="363"/>
      <c r="F309" s="3"/>
      <c r="G309" s="3"/>
      <c r="H309" s="20"/>
      <c r="I309" s="20"/>
      <c r="J309" s="20"/>
      <c r="K309" s="411"/>
      <c r="L309" s="204"/>
      <c r="M309" s="255"/>
      <c r="N309" s="421">
        <f t="shared" si="46"/>
        <v>0</v>
      </c>
      <c r="P309" s="227">
        <f t="shared" si="45"/>
        <v>0</v>
      </c>
      <c r="Q309" s="230"/>
      <c r="R309" s="230">
        <f t="shared" si="48"/>
        <v>0</v>
      </c>
      <c r="S309" s="230">
        <f t="shared" si="49"/>
        <v>0</v>
      </c>
      <c r="T309" s="228">
        <f t="shared" si="41"/>
        <v>0</v>
      </c>
      <c r="U309" s="413">
        <f t="shared" si="42"/>
        <v>0</v>
      </c>
      <c r="V309" s="410">
        <f t="shared" si="43"/>
        <v>0</v>
      </c>
      <c r="W309" s="246">
        <f t="shared" si="44"/>
        <v>0</v>
      </c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</row>
    <row r="310" spans="1:38" s="238" customFormat="1" ht="18.75" customHeight="1" x14ac:dyDescent="0.35">
      <c r="A310" s="195"/>
      <c r="B310" s="254"/>
      <c r="C310" s="20" t="s">
        <v>287</v>
      </c>
      <c r="D310" s="20"/>
      <c r="E310" s="363"/>
      <c r="F310" s="3"/>
      <c r="G310" s="3"/>
      <c r="H310" s="20"/>
      <c r="I310" s="20"/>
      <c r="J310" s="20"/>
      <c r="K310" s="411"/>
      <c r="L310" s="204"/>
      <c r="M310" s="255"/>
      <c r="N310" s="421">
        <f t="shared" si="46"/>
        <v>0</v>
      </c>
      <c r="P310" s="227">
        <f t="shared" si="45"/>
        <v>0</v>
      </c>
      <c r="Q310" s="230"/>
      <c r="R310" s="230">
        <f t="shared" si="48"/>
        <v>0</v>
      </c>
      <c r="S310" s="230">
        <f t="shared" si="49"/>
        <v>0</v>
      </c>
      <c r="T310" s="228">
        <f t="shared" si="41"/>
        <v>0</v>
      </c>
      <c r="U310" s="413">
        <f t="shared" si="42"/>
        <v>0</v>
      </c>
      <c r="V310" s="410">
        <f t="shared" si="43"/>
        <v>0</v>
      </c>
      <c r="W310" s="246">
        <f t="shared" si="44"/>
        <v>0</v>
      </c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</row>
    <row r="311" spans="1:38" s="238" customFormat="1" ht="18.75" customHeight="1" x14ac:dyDescent="0.35">
      <c r="A311" s="195"/>
      <c r="B311" s="254"/>
      <c r="C311" s="20" t="s">
        <v>287</v>
      </c>
      <c r="D311" s="20"/>
      <c r="E311" s="363"/>
      <c r="F311" s="3"/>
      <c r="G311" s="3"/>
      <c r="H311" s="20"/>
      <c r="I311" s="20"/>
      <c r="J311" s="20"/>
      <c r="K311" s="411"/>
      <c r="L311" s="204"/>
      <c r="M311" s="255"/>
      <c r="N311" s="421">
        <f t="shared" si="46"/>
        <v>0</v>
      </c>
      <c r="P311" s="227">
        <f t="shared" si="45"/>
        <v>0</v>
      </c>
      <c r="Q311" s="230"/>
      <c r="R311" s="230">
        <f t="shared" si="48"/>
        <v>0</v>
      </c>
      <c r="S311" s="230">
        <f t="shared" si="49"/>
        <v>0</v>
      </c>
      <c r="T311" s="228">
        <f t="shared" si="41"/>
        <v>0</v>
      </c>
      <c r="U311" s="413">
        <f t="shared" si="42"/>
        <v>0</v>
      </c>
      <c r="V311" s="410">
        <f t="shared" si="43"/>
        <v>0</v>
      </c>
      <c r="W311" s="246">
        <f t="shared" si="44"/>
        <v>0</v>
      </c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</row>
    <row r="312" spans="1:38" s="238" customFormat="1" ht="18.75" customHeight="1" x14ac:dyDescent="0.35">
      <c r="A312" s="195"/>
      <c r="B312" s="254"/>
      <c r="C312" s="20" t="s">
        <v>287</v>
      </c>
      <c r="D312" s="20"/>
      <c r="E312" s="363"/>
      <c r="F312" s="3"/>
      <c r="G312" s="3"/>
      <c r="H312" s="20"/>
      <c r="I312" s="20"/>
      <c r="J312" s="20"/>
      <c r="K312" s="411"/>
      <c r="L312" s="204"/>
      <c r="M312" s="255"/>
      <c r="N312" s="421">
        <f t="shared" si="46"/>
        <v>0</v>
      </c>
      <c r="P312" s="227">
        <f t="shared" si="45"/>
        <v>0</v>
      </c>
      <c r="Q312" s="230"/>
      <c r="R312" s="230">
        <f t="shared" si="48"/>
        <v>0</v>
      </c>
      <c r="S312" s="230">
        <f t="shared" si="49"/>
        <v>0</v>
      </c>
      <c r="T312" s="228">
        <f t="shared" si="41"/>
        <v>0</v>
      </c>
      <c r="U312" s="413">
        <f t="shared" si="42"/>
        <v>0</v>
      </c>
      <c r="V312" s="410">
        <f t="shared" si="43"/>
        <v>0</v>
      </c>
      <c r="W312" s="246">
        <f t="shared" si="44"/>
        <v>0</v>
      </c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</row>
    <row r="313" spans="1:38" s="238" customFormat="1" ht="18.75" customHeight="1" x14ac:dyDescent="0.35">
      <c r="A313" s="195"/>
      <c r="B313" s="254"/>
      <c r="C313" s="20" t="s">
        <v>287</v>
      </c>
      <c r="D313" s="20"/>
      <c r="E313" s="363"/>
      <c r="F313" s="3"/>
      <c r="G313" s="3"/>
      <c r="H313" s="20"/>
      <c r="I313" s="20"/>
      <c r="J313" s="20"/>
      <c r="K313" s="411"/>
      <c r="L313" s="204"/>
      <c r="M313" s="255"/>
      <c r="N313" s="421">
        <f t="shared" si="46"/>
        <v>0</v>
      </c>
      <c r="P313" s="227">
        <f t="shared" si="45"/>
        <v>0</v>
      </c>
      <c r="Q313" s="230"/>
      <c r="R313" s="230">
        <f t="shared" si="48"/>
        <v>0</v>
      </c>
      <c r="S313" s="230">
        <f t="shared" si="49"/>
        <v>0</v>
      </c>
      <c r="T313" s="228">
        <f t="shared" si="41"/>
        <v>0</v>
      </c>
      <c r="U313" s="413">
        <f t="shared" si="42"/>
        <v>0</v>
      </c>
      <c r="V313" s="410">
        <f t="shared" si="43"/>
        <v>0</v>
      </c>
      <c r="W313" s="246">
        <f t="shared" si="44"/>
        <v>0</v>
      </c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</row>
    <row r="314" spans="1:38" s="238" customFormat="1" ht="18.75" customHeight="1" x14ac:dyDescent="0.35">
      <c r="A314" s="195"/>
      <c r="B314" s="254"/>
      <c r="C314" s="20" t="s">
        <v>287</v>
      </c>
      <c r="D314" s="20"/>
      <c r="E314" s="363"/>
      <c r="F314" s="3"/>
      <c r="G314" s="3"/>
      <c r="H314" s="20"/>
      <c r="I314" s="20"/>
      <c r="J314" s="20"/>
      <c r="K314" s="411"/>
      <c r="L314" s="204"/>
      <c r="M314" s="255"/>
      <c r="N314" s="421">
        <f t="shared" si="46"/>
        <v>0</v>
      </c>
      <c r="P314" s="227">
        <f t="shared" si="45"/>
        <v>0</v>
      </c>
      <c r="Q314" s="230"/>
      <c r="R314" s="230">
        <f t="shared" si="48"/>
        <v>0</v>
      </c>
      <c r="S314" s="230">
        <f t="shared" si="49"/>
        <v>0</v>
      </c>
      <c r="T314" s="228">
        <f t="shared" si="41"/>
        <v>0</v>
      </c>
      <c r="U314" s="413">
        <f t="shared" si="42"/>
        <v>0</v>
      </c>
      <c r="V314" s="410">
        <f t="shared" si="43"/>
        <v>0</v>
      </c>
      <c r="W314" s="246">
        <f t="shared" si="44"/>
        <v>0</v>
      </c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</row>
    <row r="315" spans="1:38" s="238" customFormat="1" ht="18.75" customHeight="1" x14ac:dyDescent="0.35">
      <c r="A315" s="195"/>
      <c r="B315" s="254"/>
      <c r="C315" s="20" t="s">
        <v>287</v>
      </c>
      <c r="D315" s="20"/>
      <c r="E315" s="363"/>
      <c r="F315" s="3"/>
      <c r="G315" s="3"/>
      <c r="H315" s="20"/>
      <c r="I315" s="20"/>
      <c r="J315" s="20"/>
      <c r="K315" s="411"/>
      <c r="L315" s="204"/>
      <c r="M315" s="255"/>
      <c r="N315" s="421">
        <f t="shared" si="46"/>
        <v>0</v>
      </c>
      <c r="P315" s="227">
        <f t="shared" si="45"/>
        <v>0</v>
      </c>
      <c r="Q315" s="230"/>
      <c r="R315" s="230">
        <f t="shared" si="48"/>
        <v>0</v>
      </c>
      <c r="S315" s="230">
        <f t="shared" si="49"/>
        <v>0</v>
      </c>
      <c r="T315" s="228">
        <f t="shared" si="41"/>
        <v>0</v>
      </c>
      <c r="U315" s="413">
        <f t="shared" si="42"/>
        <v>0</v>
      </c>
      <c r="V315" s="410">
        <f t="shared" si="43"/>
        <v>0</v>
      </c>
      <c r="W315" s="246">
        <f t="shared" si="44"/>
        <v>0</v>
      </c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</row>
    <row r="316" spans="1:38" s="238" customFormat="1" ht="18.75" customHeight="1" x14ac:dyDescent="0.35">
      <c r="A316" s="195"/>
      <c r="B316" s="254"/>
      <c r="C316" s="20" t="s">
        <v>287</v>
      </c>
      <c r="D316" s="20"/>
      <c r="E316" s="363"/>
      <c r="F316" s="3"/>
      <c r="G316" s="3"/>
      <c r="H316" s="20"/>
      <c r="I316" s="20"/>
      <c r="J316" s="20"/>
      <c r="K316" s="411"/>
      <c r="L316" s="204"/>
      <c r="M316" s="255"/>
      <c r="N316" s="421">
        <f t="shared" si="46"/>
        <v>0</v>
      </c>
      <c r="P316" s="227">
        <f t="shared" si="45"/>
        <v>0</v>
      </c>
      <c r="Q316" s="230"/>
      <c r="R316" s="230">
        <f t="shared" si="48"/>
        <v>0</v>
      </c>
      <c r="S316" s="230">
        <f t="shared" si="49"/>
        <v>0</v>
      </c>
      <c r="T316" s="228">
        <f t="shared" si="41"/>
        <v>0</v>
      </c>
      <c r="U316" s="413">
        <f t="shared" si="42"/>
        <v>0</v>
      </c>
      <c r="V316" s="410">
        <f t="shared" si="43"/>
        <v>0</v>
      </c>
      <c r="W316" s="246">
        <f t="shared" si="44"/>
        <v>0</v>
      </c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</row>
    <row r="317" spans="1:38" s="238" customFormat="1" ht="18.75" customHeight="1" x14ac:dyDescent="0.35">
      <c r="A317" s="195"/>
      <c r="B317" s="254"/>
      <c r="C317" s="20" t="s">
        <v>287</v>
      </c>
      <c r="D317" s="20"/>
      <c r="E317" s="363"/>
      <c r="F317" s="3"/>
      <c r="G317" s="3"/>
      <c r="H317" s="20"/>
      <c r="I317" s="20"/>
      <c r="J317" s="20"/>
      <c r="K317" s="411"/>
      <c r="L317" s="204"/>
      <c r="M317" s="255"/>
      <c r="N317" s="421">
        <f t="shared" si="46"/>
        <v>0</v>
      </c>
      <c r="P317" s="227">
        <f t="shared" si="45"/>
        <v>0</v>
      </c>
      <c r="Q317" s="230"/>
      <c r="R317" s="230">
        <f t="shared" si="48"/>
        <v>0</v>
      </c>
      <c r="S317" s="230">
        <f t="shared" si="49"/>
        <v>0</v>
      </c>
      <c r="T317" s="228">
        <f t="shared" si="41"/>
        <v>0</v>
      </c>
      <c r="U317" s="413">
        <f t="shared" si="42"/>
        <v>0</v>
      </c>
      <c r="V317" s="410">
        <f t="shared" si="43"/>
        <v>0</v>
      </c>
      <c r="W317" s="246">
        <f t="shared" si="44"/>
        <v>0</v>
      </c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</row>
    <row r="318" spans="1:38" s="238" customFormat="1" ht="18.75" customHeight="1" x14ac:dyDescent="0.35">
      <c r="A318" s="195"/>
      <c r="B318" s="254"/>
      <c r="C318" s="20" t="s">
        <v>287</v>
      </c>
      <c r="D318" s="20"/>
      <c r="E318" s="363"/>
      <c r="F318" s="3"/>
      <c r="G318" s="3"/>
      <c r="H318" s="20"/>
      <c r="I318" s="20"/>
      <c r="J318" s="20"/>
      <c r="K318" s="411"/>
      <c r="L318" s="204"/>
      <c r="M318" s="255"/>
      <c r="N318" s="421">
        <f t="shared" si="46"/>
        <v>0</v>
      </c>
      <c r="P318" s="227">
        <f t="shared" si="45"/>
        <v>0</v>
      </c>
      <c r="Q318" s="230"/>
      <c r="R318" s="230">
        <f t="shared" si="48"/>
        <v>0</v>
      </c>
      <c r="S318" s="230">
        <f t="shared" si="49"/>
        <v>0</v>
      </c>
      <c r="T318" s="228">
        <f t="shared" si="41"/>
        <v>0</v>
      </c>
      <c r="U318" s="413">
        <f t="shared" si="42"/>
        <v>0</v>
      </c>
      <c r="V318" s="410">
        <f t="shared" si="43"/>
        <v>0</v>
      </c>
      <c r="W318" s="246">
        <f t="shared" si="44"/>
        <v>0</v>
      </c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</row>
    <row r="319" spans="1:38" s="238" customFormat="1" ht="18.75" customHeight="1" x14ac:dyDescent="0.35">
      <c r="A319" s="195"/>
      <c r="B319" s="254"/>
      <c r="C319" s="20" t="s">
        <v>287</v>
      </c>
      <c r="D319" s="20"/>
      <c r="E319" s="363"/>
      <c r="F319" s="3"/>
      <c r="G319" s="3"/>
      <c r="H319" s="20"/>
      <c r="I319" s="20"/>
      <c r="J319" s="20"/>
      <c r="K319" s="411"/>
      <c r="L319" s="204"/>
      <c r="M319" s="255"/>
      <c r="N319" s="421">
        <f t="shared" si="46"/>
        <v>0</v>
      </c>
      <c r="P319" s="227">
        <f t="shared" si="45"/>
        <v>0</v>
      </c>
      <c r="Q319" s="230"/>
      <c r="R319" s="230">
        <f t="shared" si="48"/>
        <v>0</v>
      </c>
      <c r="S319" s="230">
        <f t="shared" si="49"/>
        <v>0</v>
      </c>
      <c r="T319" s="228">
        <f t="shared" si="41"/>
        <v>0</v>
      </c>
      <c r="U319" s="413">
        <f t="shared" si="42"/>
        <v>0</v>
      </c>
      <c r="V319" s="410">
        <f t="shared" si="43"/>
        <v>0</v>
      </c>
      <c r="W319" s="246">
        <f t="shared" si="44"/>
        <v>0</v>
      </c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</row>
    <row r="320" spans="1:38" s="238" customFormat="1" ht="18.75" customHeight="1" x14ac:dyDescent="0.35">
      <c r="A320" s="195"/>
      <c r="B320" s="254"/>
      <c r="C320" s="20" t="s">
        <v>287</v>
      </c>
      <c r="D320" s="20"/>
      <c r="E320" s="363"/>
      <c r="F320" s="3"/>
      <c r="G320" s="3"/>
      <c r="H320" s="20"/>
      <c r="I320" s="20"/>
      <c r="J320" s="20"/>
      <c r="K320" s="411"/>
      <c r="L320" s="204"/>
      <c r="M320" s="255"/>
      <c r="N320" s="421">
        <f t="shared" si="46"/>
        <v>0</v>
      </c>
      <c r="P320" s="227">
        <f t="shared" si="45"/>
        <v>0</v>
      </c>
      <c r="Q320" s="230"/>
      <c r="R320" s="230">
        <f t="shared" si="48"/>
        <v>0</v>
      </c>
      <c r="S320" s="230">
        <f t="shared" si="49"/>
        <v>0</v>
      </c>
      <c r="T320" s="228">
        <f t="shared" si="41"/>
        <v>0</v>
      </c>
      <c r="U320" s="413">
        <f t="shared" si="42"/>
        <v>0</v>
      </c>
      <c r="V320" s="410">
        <f t="shared" si="43"/>
        <v>0</v>
      </c>
      <c r="W320" s="246">
        <f t="shared" si="44"/>
        <v>0</v>
      </c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</row>
    <row r="321" spans="1:38" s="238" customFormat="1" ht="18.75" customHeight="1" x14ac:dyDescent="0.35">
      <c r="A321" s="195"/>
      <c r="B321" s="254"/>
      <c r="C321" s="20" t="s">
        <v>287</v>
      </c>
      <c r="D321" s="20"/>
      <c r="E321" s="363"/>
      <c r="F321" s="3"/>
      <c r="G321" s="3"/>
      <c r="H321" s="20"/>
      <c r="I321" s="20"/>
      <c r="J321" s="20"/>
      <c r="K321" s="411"/>
      <c r="L321" s="204"/>
      <c r="M321" s="255"/>
      <c r="N321" s="421">
        <f t="shared" si="46"/>
        <v>0</v>
      </c>
      <c r="P321" s="227">
        <f t="shared" si="45"/>
        <v>0</v>
      </c>
      <c r="Q321" s="230"/>
      <c r="R321" s="230">
        <f t="shared" si="48"/>
        <v>0</v>
      </c>
      <c r="S321" s="230">
        <f t="shared" si="49"/>
        <v>0</v>
      </c>
      <c r="T321" s="228">
        <f t="shared" si="41"/>
        <v>0</v>
      </c>
      <c r="U321" s="413">
        <f t="shared" si="42"/>
        <v>0</v>
      </c>
      <c r="V321" s="410">
        <f t="shared" si="43"/>
        <v>0</v>
      </c>
      <c r="W321" s="246">
        <f t="shared" si="44"/>
        <v>0</v>
      </c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</row>
    <row r="322" spans="1:38" s="238" customFormat="1" ht="18.75" customHeight="1" x14ac:dyDescent="0.35">
      <c r="A322" s="195"/>
      <c r="B322" s="254"/>
      <c r="C322" s="20" t="s">
        <v>287</v>
      </c>
      <c r="D322" s="20"/>
      <c r="E322" s="363"/>
      <c r="F322" s="3"/>
      <c r="G322" s="3"/>
      <c r="H322" s="20"/>
      <c r="I322" s="20"/>
      <c r="J322" s="20"/>
      <c r="K322" s="411"/>
      <c r="L322" s="204"/>
      <c r="M322" s="255"/>
      <c r="N322" s="421">
        <f t="shared" si="46"/>
        <v>0</v>
      </c>
      <c r="P322" s="227">
        <f t="shared" si="45"/>
        <v>0</v>
      </c>
      <c r="Q322" s="230"/>
      <c r="R322" s="230">
        <f t="shared" si="48"/>
        <v>0</v>
      </c>
      <c r="S322" s="230">
        <f t="shared" si="49"/>
        <v>0</v>
      </c>
      <c r="T322" s="228">
        <f t="shared" si="41"/>
        <v>0</v>
      </c>
      <c r="U322" s="413">
        <f t="shared" si="42"/>
        <v>0</v>
      </c>
      <c r="V322" s="410">
        <f t="shared" si="43"/>
        <v>0</v>
      </c>
      <c r="W322" s="246">
        <f t="shared" si="44"/>
        <v>0</v>
      </c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</row>
    <row r="323" spans="1:38" s="238" customFormat="1" ht="18.75" customHeight="1" x14ac:dyDescent="0.35">
      <c r="A323" s="195"/>
      <c r="B323" s="254"/>
      <c r="C323" s="20" t="s">
        <v>287</v>
      </c>
      <c r="D323" s="20"/>
      <c r="E323" s="363"/>
      <c r="F323" s="3"/>
      <c r="G323" s="3"/>
      <c r="H323" s="20"/>
      <c r="I323" s="20"/>
      <c r="J323" s="20"/>
      <c r="K323" s="411"/>
      <c r="L323" s="204"/>
      <c r="M323" s="255"/>
      <c r="N323" s="421">
        <f t="shared" si="46"/>
        <v>0</v>
      </c>
      <c r="P323" s="227">
        <f t="shared" si="45"/>
        <v>0</v>
      </c>
      <c r="Q323" s="230"/>
      <c r="R323" s="230">
        <f t="shared" si="48"/>
        <v>0</v>
      </c>
      <c r="S323" s="230">
        <f t="shared" si="49"/>
        <v>0</v>
      </c>
      <c r="T323" s="228">
        <f t="shared" si="41"/>
        <v>0</v>
      </c>
      <c r="U323" s="413">
        <f t="shared" si="42"/>
        <v>0</v>
      </c>
      <c r="V323" s="410">
        <f t="shared" si="43"/>
        <v>0</v>
      </c>
      <c r="W323" s="246">
        <f t="shared" si="44"/>
        <v>0</v>
      </c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</row>
    <row r="324" spans="1:38" s="238" customFormat="1" ht="18.75" customHeight="1" x14ac:dyDescent="0.35">
      <c r="A324" s="195"/>
      <c r="B324" s="254"/>
      <c r="C324" s="20" t="s">
        <v>287</v>
      </c>
      <c r="D324" s="20"/>
      <c r="E324" s="363"/>
      <c r="F324" s="3"/>
      <c r="G324" s="3"/>
      <c r="H324" s="20"/>
      <c r="I324" s="20"/>
      <c r="J324" s="20"/>
      <c r="K324" s="411"/>
      <c r="L324" s="204"/>
      <c r="M324" s="255"/>
      <c r="N324" s="421">
        <f t="shared" si="46"/>
        <v>0</v>
      </c>
      <c r="P324" s="227">
        <f t="shared" si="45"/>
        <v>0</v>
      </c>
      <c r="Q324" s="230"/>
      <c r="R324" s="230">
        <f t="shared" si="48"/>
        <v>0</v>
      </c>
      <c r="S324" s="230">
        <f t="shared" si="49"/>
        <v>0</v>
      </c>
      <c r="T324" s="228">
        <f t="shared" ref="T324:T387" si="50">L324-P324-Q324-R324-S324</f>
        <v>0</v>
      </c>
      <c r="U324" s="413">
        <f t="shared" ref="U324:U387" si="51">IF(K324="CORREO",0,N324)</f>
        <v>0</v>
      </c>
      <c r="V324" s="410">
        <f t="shared" si="43"/>
        <v>0</v>
      </c>
      <c r="W324" s="246">
        <f t="shared" si="44"/>
        <v>0</v>
      </c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</row>
    <row r="325" spans="1:38" s="238" customFormat="1" ht="18.75" customHeight="1" x14ac:dyDescent="0.35">
      <c r="A325" s="195"/>
      <c r="B325" s="254"/>
      <c r="C325" s="20" t="s">
        <v>287</v>
      </c>
      <c r="D325" s="20"/>
      <c r="E325" s="363"/>
      <c r="F325" s="3"/>
      <c r="G325" s="3"/>
      <c r="H325" s="20"/>
      <c r="I325" s="20"/>
      <c r="J325" s="20"/>
      <c r="K325" s="411"/>
      <c r="L325" s="204"/>
      <c r="M325" s="255"/>
      <c r="N325" s="421">
        <f t="shared" si="46"/>
        <v>0</v>
      </c>
      <c r="P325" s="227">
        <f t="shared" si="45"/>
        <v>0</v>
      </c>
      <c r="Q325" s="230"/>
      <c r="R325" s="230">
        <f t="shared" si="48"/>
        <v>0</v>
      </c>
      <c r="S325" s="230">
        <f t="shared" si="49"/>
        <v>0</v>
      </c>
      <c r="T325" s="228">
        <f t="shared" si="50"/>
        <v>0</v>
      </c>
      <c r="U325" s="413">
        <f t="shared" si="51"/>
        <v>0</v>
      </c>
      <c r="V325" s="410">
        <f t="shared" ref="V325:V388" si="52">T325*0.05</f>
        <v>0</v>
      </c>
      <c r="W325" s="246">
        <f t="shared" ref="W325:W388" si="53">T325*0.05</f>
        <v>0</v>
      </c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</row>
    <row r="326" spans="1:38" s="238" customFormat="1" ht="18.75" customHeight="1" x14ac:dyDescent="0.35">
      <c r="A326" s="195"/>
      <c r="B326" s="254"/>
      <c r="C326" s="20" t="s">
        <v>287</v>
      </c>
      <c r="D326" s="20"/>
      <c r="E326" s="363"/>
      <c r="F326" s="3"/>
      <c r="G326" s="3"/>
      <c r="H326" s="20"/>
      <c r="I326" s="20"/>
      <c r="J326" s="20"/>
      <c r="K326" s="411"/>
      <c r="L326" s="204"/>
      <c r="M326" s="255"/>
      <c r="N326" s="421">
        <f t="shared" si="46"/>
        <v>0</v>
      </c>
      <c r="P326" s="227">
        <f t="shared" ref="P326:P389" si="54">_xlfn.XLOOKUP(H326, AA:AA, AB:AB) * I326</f>
        <v>0</v>
      </c>
      <c r="Q326" s="230"/>
      <c r="R326" s="230">
        <f t="shared" si="48"/>
        <v>0</v>
      </c>
      <c r="S326" s="230">
        <f t="shared" si="49"/>
        <v>0</v>
      </c>
      <c r="T326" s="228">
        <f t="shared" si="50"/>
        <v>0</v>
      </c>
      <c r="U326" s="413">
        <f t="shared" si="51"/>
        <v>0</v>
      </c>
      <c r="V326" s="410">
        <f t="shared" si="52"/>
        <v>0</v>
      </c>
      <c r="W326" s="246">
        <f t="shared" si="53"/>
        <v>0</v>
      </c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</row>
    <row r="327" spans="1:38" s="238" customFormat="1" ht="18.75" customHeight="1" x14ac:dyDescent="0.35">
      <c r="A327" s="195"/>
      <c r="B327" s="254"/>
      <c r="C327" s="20" t="s">
        <v>287</v>
      </c>
      <c r="D327" s="20"/>
      <c r="E327" s="363"/>
      <c r="F327" s="3"/>
      <c r="G327" s="3"/>
      <c r="H327" s="20"/>
      <c r="I327" s="20"/>
      <c r="J327" s="20"/>
      <c r="K327" s="411"/>
      <c r="L327" s="204"/>
      <c r="M327" s="255"/>
      <c r="N327" s="421">
        <f t="shared" ref="N327:N390" si="55">M327-L327</f>
        <v>0</v>
      </c>
      <c r="P327" s="227">
        <f t="shared" si="54"/>
        <v>0</v>
      </c>
      <c r="Q327" s="230"/>
      <c r="R327" s="230">
        <f t="shared" si="48"/>
        <v>0</v>
      </c>
      <c r="S327" s="230">
        <f t="shared" si="49"/>
        <v>0</v>
      </c>
      <c r="T327" s="228">
        <f t="shared" si="50"/>
        <v>0</v>
      </c>
      <c r="U327" s="413">
        <f t="shared" si="51"/>
        <v>0</v>
      </c>
      <c r="V327" s="410">
        <f t="shared" si="52"/>
        <v>0</v>
      </c>
      <c r="W327" s="246">
        <f t="shared" si="53"/>
        <v>0</v>
      </c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</row>
    <row r="328" spans="1:38" s="238" customFormat="1" ht="18.75" customHeight="1" x14ac:dyDescent="0.35">
      <c r="A328" s="195"/>
      <c r="B328" s="254"/>
      <c r="C328" s="20" t="s">
        <v>287</v>
      </c>
      <c r="D328" s="20"/>
      <c r="E328" s="363"/>
      <c r="F328" s="3"/>
      <c r="G328" s="3"/>
      <c r="H328" s="20"/>
      <c r="I328" s="20"/>
      <c r="J328" s="20"/>
      <c r="K328" s="411"/>
      <c r="L328" s="204"/>
      <c r="M328" s="255"/>
      <c r="N328" s="421">
        <f t="shared" si="55"/>
        <v>0</v>
      </c>
      <c r="P328" s="227">
        <f t="shared" si="54"/>
        <v>0</v>
      </c>
      <c r="Q328" s="230"/>
      <c r="R328" s="230">
        <f t="shared" si="48"/>
        <v>0</v>
      </c>
      <c r="S328" s="230">
        <f t="shared" si="49"/>
        <v>0</v>
      </c>
      <c r="T328" s="228">
        <f t="shared" si="50"/>
        <v>0</v>
      </c>
      <c r="U328" s="413">
        <f t="shared" si="51"/>
        <v>0</v>
      </c>
      <c r="V328" s="410">
        <f t="shared" si="52"/>
        <v>0</v>
      </c>
      <c r="W328" s="246">
        <f t="shared" si="53"/>
        <v>0</v>
      </c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</row>
    <row r="329" spans="1:38" s="238" customFormat="1" ht="18.75" customHeight="1" x14ac:dyDescent="0.35">
      <c r="A329" s="195"/>
      <c r="B329" s="254"/>
      <c r="C329" s="20" t="s">
        <v>287</v>
      </c>
      <c r="D329" s="20"/>
      <c r="E329" s="363"/>
      <c r="F329" s="3"/>
      <c r="G329" s="3"/>
      <c r="H329" s="20"/>
      <c r="I329" s="20"/>
      <c r="J329" s="20"/>
      <c r="K329" s="411"/>
      <c r="L329" s="204"/>
      <c r="M329" s="255"/>
      <c r="N329" s="421">
        <f t="shared" si="55"/>
        <v>0</v>
      </c>
      <c r="P329" s="227">
        <f t="shared" si="54"/>
        <v>0</v>
      </c>
      <c r="Q329" s="230"/>
      <c r="R329" s="230">
        <f t="shared" si="48"/>
        <v>0</v>
      </c>
      <c r="S329" s="230">
        <f t="shared" si="49"/>
        <v>0</v>
      </c>
      <c r="T329" s="228">
        <f t="shared" si="50"/>
        <v>0</v>
      </c>
      <c r="U329" s="413">
        <f t="shared" si="51"/>
        <v>0</v>
      </c>
      <c r="V329" s="410">
        <f t="shared" si="52"/>
        <v>0</v>
      </c>
      <c r="W329" s="246">
        <f t="shared" si="53"/>
        <v>0</v>
      </c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</row>
    <row r="330" spans="1:38" s="238" customFormat="1" ht="18.75" customHeight="1" x14ac:dyDescent="0.35">
      <c r="A330" s="195"/>
      <c r="B330" s="254"/>
      <c r="C330" s="20" t="s">
        <v>287</v>
      </c>
      <c r="D330" s="20"/>
      <c r="E330" s="363"/>
      <c r="F330" s="3"/>
      <c r="G330" s="3"/>
      <c r="H330" s="20"/>
      <c r="I330" s="20"/>
      <c r="J330" s="20"/>
      <c r="K330" s="411"/>
      <c r="L330" s="204"/>
      <c r="M330" s="255"/>
      <c r="N330" s="421">
        <f t="shared" si="55"/>
        <v>0</v>
      </c>
      <c r="P330" s="227">
        <f t="shared" si="54"/>
        <v>0</v>
      </c>
      <c r="Q330" s="230"/>
      <c r="R330" s="230">
        <f t="shared" si="48"/>
        <v>0</v>
      </c>
      <c r="S330" s="230">
        <f t="shared" si="49"/>
        <v>0</v>
      </c>
      <c r="T330" s="228">
        <f t="shared" si="50"/>
        <v>0</v>
      </c>
      <c r="U330" s="413">
        <f t="shared" si="51"/>
        <v>0</v>
      </c>
      <c r="V330" s="410">
        <f t="shared" si="52"/>
        <v>0</v>
      </c>
      <c r="W330" s="246">
        <f t="shared" si="53"/>
        <v>0</v>
      </c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</row>
    <row r="331" spans="1:38" s="238" customFormat="1" ht="18.75" customHeight="1" x14ac:dyDescent="0.35">
      <c r="A331" s="195"/>
      <c r="B331" s="254"/>
      <c r="C331" s="20" t="s">
        <v>287</v>
      </c>
      <c r="D331" s="20"/>
      <c r="E331" s="363"/>
      <c r="F331" s="3"/>
      <c r="G331" s="3"/>
      <c r="H331" s="20"/>
      <c r="I331" s="20"/>
      <c r="J331" s="20"/>
      <c r="K331" s="411"/>
      <c r="L331" s="204"/>
      <c r="M331" s="255"/>
      <c r="N331" s="421">
        <f t="shared" si="55"/>
        <v>0</v>
      </c>
      <c r="P331" s="227">
        <f t="shared" si="54"/>
        <v>0</v>
      </c>
      <c r="Q331" s="230"/>
      <c r="R331" s="230">
        <f t="shared" si="48"/>
        <v>0</v>
      </c>
      <c r="S331" s="230">
        <f t="shared" si="49"/>
        <v>0</v>
      </c>
      <c r="T331" s="228">
        <f t="shared" si="50"/>
        <v>0</v>
      </c>
      <c r="U331" s="413">
        <f t="shared" si="51"/>
        <v>0</v>
      </c>
      <c r="V331" s="410">
        <f t="shared" si="52"/>
        <v>0</v>
      </c>
      <c r="W331" s="246">
        <f t="shared" si="53"/>
        <v>0</v>
      </c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</row>
    <row r="332" spans="1:38" s="238" customFormat="1" ht="18.75" customHeight="1" x14ac:dyDescent="0.35">
      <c r="A332" s="195"/>
      <c r="B332" s="254"/>
      <c r="C332" s="20" t="s">
        <v>287</v>
      </c>
      <c r="D332" s="20"/>
      <c r="E332" s="363"/>
      <c r="F332" s="3"/>
      <c r="G332" s="3"/>
      <c r="H332" s="20"/>
      <c r="I332" s="20"/>
      <c r="J332" s="20"/>
      <c r="K332" s="411"/>
      <c r="L332" s="204"/>
      <c r="M332" s="255"/>
      <c r="N332" s="421">
        <f t="shared" si="55"/>
        <v>0</v>
      </c>
      <c r="P332" s="227">
        <f t="shared" si="54"/>
        <v>0</v>
      </c>
      <c r="Q332" s="230"/>
      <c r="R332" s="230">
        <f t="shared" si="48"/>
        <v>0</v>
      </c>
      <c r="S332" s="230">
        <f t="shared" si="49"/>
        <v>0</v>
      </c>
      <c r="T332" s="228">
        <f t="shared" si="50"/>
        <v>0</v>
      </c>
      <c r="U332" s="413">
        <f t="shared" si="51"/>
        <v>0</v>
      </c>
      <c r="V332" s="410">
        <f t="shared" si="52"/>
        <v>0</v>
      </c>
      <c r="W332" s="246">
        <f t="shared" si="53"/>
        <v>0</v>
      </c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</row>
    <row r="333" spans="1:38" s="238" customFormat="1" ht="18.75" customHeight="1" x14ac:dyDescent="0.35">
      <c r="A333" s="195"/>
      <c r="B333" s="254"/>
      <c r="C333" s="20" t="s">
        <v>287</v>
      </c>
      <c r="D333" s="20"/>
      <c r="E333" s="363"/>
      <c r="F333" s="3"/>
      <c r="G333" s="3"/>
      <c r="H333" s="20"/>
      <c r="I333" s="20"/>
      <c r="J333" s="20"/>
      <c r="K333" s="411"/>
      <c r="L333" s="204"/>
      <c r="M333" s="255"/>
      <c r="N333" s="421">
        <f t="shared" si="55"/>
        <v>0</v>
      </c>
      <c r="P333" s="227">
        <f t="shared" si="54"/>
        <v>0</v>
      </c>
      <c r="Q333" s="230"/>
      <c r="R333" s="230">
        <f t="shared" si="48"/>
        <v>0</v>
      </c>
      <c r="S333" s="230">
        <f t="shared" si="49"/>
        <v>0</v>
      </c>
      <c r="T333" s="228">
        <f t="shared" si="50"/>
        <v>0</v>
      </c>
      <c r="U333" s="413">
        <f t="shared" si="51"/>
        <v>0</v>
      </c>
      <c r="V333" s="410">
        <f t="shared" si="52"/>
        <v>0</v>
      </c>
      <c r="W333" s="246">
        <f t="shared" si="53"/>
        <v>0</v>
      </c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</row>
    <row r="334" spans="1:38" s="238" customFormat="1" ht="18.75" customHeight="1" x14ac:dyDescent="0.35">
      <c r="A334" s="195"/>
      <c r="B334" s="254"/>
      <c r="C334" s="20" t="s">
        <v>287</v>
      </c>
      <c r="D334" s="20"/>
      <c r="E334" s="363"/>
      <c r="F334" s="3"/>
      <c r="G334" s="3"/>
      <c r="H334" s="20"/>
      <c r="I334" s="20"/>
      <c r="J334" s="20"/>
      <c r="K334" s="411"/>
      <c r="L334" s="204"/>
      <c r="M334" s="255"/>
      <c r="N334" s="421">
        <f t="shared" si="55"/>
        <v>0</v>
      </c>
      <c r="P334" s="227">
        <f t="shared" si="54"/>
        <v>0</v>
      </c>
      <c r="Q334" s="230"/>
      <c r="R334" s="230">
        <f t="shared" ref="R334:R400" si="56">M334*0.0006</f>
        <v>0</v>
      </c>
      <c r="S334" s="230">
        <f t="shared" ref="S334:S397" si="57">M334*0.02</f>
        <v>0</v>
      </c>
      <c r="T334" s="228">
        <f t="shared" si="50"/>
        <v>0</v>
      </c>
      <c r="U334" s="413">
        <f t="shared" si="51"/>
        <v>0</v>
      </c>
      <c r="V334" s="410">
        <f t="shared" si="52"/>
        <v>0</v>
      </c>
      <c r="W334" s="246">
        <f t="shared" si="53"/>
        <v>0</v>
      </c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</row>
    <row r="335" spans="1:38" s="238" customFormat="1" ht="18.75" customHeight="1" x14ac:dyDescent="0.35">
      <c r="A335" s="195"/>
      <c r="B335" s="254"/>
      <c r="C335" s="20" t="s">
        <v>287</v>
      </c>
      <c r="D335" s="20"/>
      <c r="E335" s="363"/>
      <c r="F335" s="3"/>
      <c r="G335" s="3"/>
      <c r="H335" s="20"/>
      <c r="I335" s="20"/>
      <c r="J335" s="20"/>
      <c r="K335" s="411"/>
      <c r="L335" s="204"/>
      <c r="M335" s="255"/>
      <c r="N335" s="421">
        <f t="shared" si="55"/>
        <v>0</v>
      </c>
      <c r="P335" s="227">
        <f t="shared" si="54"/>
        <v>0</v>
      </c>
      <c r="Q335" s="230"/>
      <c r="R335" s="230">
        <f t="shared" si="56"/>
        <v>0</v>
      </c>
      <c r="S335" s="230">
        <f t="shared" si="57"/>
        <v>0</v>
      </c>
      <c r="T335" s="228">
        <f t="shared" si="50"/>
        <v>0</v>
      </c>
      <c r="U335" s="413">
        <f t="shared" si="51"/>
        <v>0</v>
      </c>
      <c r="V335" s="410">
        <f t="shared" si="52"/>
        <v>0</v>
      </c>
      <c r="W335" s="246">
        <f t="shared" si="53"/>
        <v>0</v>
      </c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</row>
    <row r="336" spans="1:38" s="238" customFormat="1" ht="18.75" customHeight="1" x14ac:dyDescent="0.35">
      <c r="A336" s="195"/>
      <c r="B336" s="254"/>
      <c r="C336" s="20" t="s">
        <v>287</v>
      </c>
      <c r="D336" s="20"/>
      <c r="E336" s="363"/>
      <c r="F336" s="3"/>
      <c r="G336" s="3"/>
      <c r="H336" s="20"/>
      <c r="I336" s="20"/>
      <c r="J336" s="20"/>
      <c r="K336" s="411"/>
      <c r="L336" s="204"/>
      <c r="M336" s="255"/>
      <c r="N336" s="421">
        <f t="shared" si="55"/>
        <v>0</v>
      </c>
      <c r="P336" s="227">
        <f t="shared" si="54"/>
        <v>0</v>
      </c>
      <c r="Q336" s="230"/>
      <c r="R336" s="230">
        <f t="shared" si="56"/>
        <v>0</v>
      </c>
      <c r="S336" s="230">
        <f t="shared" si="57"/>
        <v>0</v>
      </c>
      <c r="T336" s="228">
        <f t="shared" si="50"/>
        <v>0</v>
      </c>
      <c r="U336" s="413">
        <f t="shared" si="51"/>
        <v>0</v>
      </c>
      <c r="V336" s="410">
        <f t="shared" si="52"/>
        <v>0</v>
      </c>
      <c r="W336" s="246">
        <f t="shared" si="53"/>
        <v>0</v>
      </c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</row>
    <row r="337" spans="1:38" s="238" customFormat="1" ht="18.75" customHeight="1" x14ac:dyDescent="0.35">
      <c r="A337" s="195"/>
      <c r="B337" s="254"/>
      <c r="C337" s="20" t="s">
        <v>287</v>
      </c>
      <c r="D337" s="20"/>
      <c r="E337" s="363"/>
      <c r="F337" s="3"/>
      <c r="G337" s="3"/>
      <c r="H337" s="20"/>
      <c r="I337" s="20"/>
      <c r="J337" s="20"/>
      <c r="K337" s="411"/>
      <c r="L337" s="204"/>
      <c r="M337" s="255"/>
      <c r="N337" s="421">
        <f t="shared" si="55"/>
        <v>0</v>
      </c>
      <c r="P337" s="227">
        <f t="shared" si="54"/>
        <v>0</v>
      </c>
      <c r="Q337" s="230"/>
      <c r="R337" s="230">
        <f t="shared" si="56"/>
        <v>0</v>
      </c>
      <c r="S337" s="230">
        <f t="shared" si="57"/>
        <v>0</v>
      </c>
      <c r="T337" s="228">
        <f t="shared" si="50"/>
        <v>0</v>
      </c>
      <c r="U337" s="413">
        <f t="shared" si="51"/>
        <v>0</v>
      </c>
      <c r="V337" s="410">
        <f t="shared" si="52"/>
        <v>0</v>
      </c>
      <c r="W337" s="246">
        <f t="shared" si="53"/>
        <v>0</v>
      </c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</row>
    <row r="338" spans="1:38" s="238" customFormat="1" ht="18.75" customHeight="1" x14ac:dyDescent="0.35">
      <c r="A338" s="195"/>
      <c r="B338" s="254"/>
      <c r="C338" s="20" t="s">
        <v>287</v>
      </c>
      <c r="D338" s="20"/>
      <c r="E338" s="363"/>
      <c r="F338" s="3"/>
      <c r="G338" s="3"/>
      <c r="H338" s="20"/>
      <c r="I338" s="20"/>
      <c r="J338" s="20"/>
      <c r="K338" s="411"/>
      <c r="L338" s="204"/>
      <c r="M338" s="255"/>
      <c r="N338" s="421">
        <f t="shared" si="55"/>
        <v>0</v>
      </c>
      <c r="P338" s="227">
        <f t="shared" si="54"/>
        <v>0</v>
      </c>
      <c r="Q338" s="230"/>
      <c r="R338" s="230">
        <f t="shared" si="56"/>
        <v>0</v>
      </c>
      <c r="S338" s="230">
        <f t="shared" si="57"/>
        <v>0</v>
      </c>
      <c r="T338" s="228">
        <f t="shared" si="50"/>
        <v>0</v>
      </c>
      <c r="U338" s="413">
        <f t="shared" si="51"/>
        <v>0</v>
      </c>
      <c r="V338" s="410">
        <f t="shared" si="52"/>
        <v>0</v>
      </c>
      <c r="W338" s="246">
        <f t="shared" si="53"/>
        <v>0</v>
      </c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</row>
    <row r="339" spans="1:38" s="238" customFormat="1" ht="18.75" customHeight="1" x14ac:dyDescent="0.35">
      <c r="A339" s="195"/>
      <c r="B339" s="254"/>
      <c r="C339" s="20" t="s">
        <v>287</v>
      </c>
      <c r="D339" s="20"/>
      <c r="E339" s="363"/>
      <c r="F339" s="3"/>
      <c r="G339" s="3"/>
      <c r="H339" s="20"/>
      <c r="I339" s="20"/>
      <c r="J339" s="20"/>
      <c r="K339" s="411"/>
      <c r="L339" s="204"/>
      <c r="M339" s="255"/>
      <c r="N339" s="421">
        <f t="shared" si="55"/>
        <v>0</v>
      </c>
      <c r="P339" s="227">
        <f t="shared" si="54"/>
        <v>0</v>
      </c>
      <c r="Q339" s="230"/>
      <c r="R339" s="230">
        <f t="shared" si="56"/>
        <v>0</v>
      </c>
      <c r="S339" s="230">
        <f t="shared" si="57"/>
        <v>0</v>
      </c>
      <c r="T339" s="228">
        <f t="shared" si="50"/>
        <v>0</v>
      </c>
      <c r="U339" s="413">
        <f t="shared" si="51"/>
        <v>0</v>
      </c>
      <c r="V339" s="410">
        <f t="shared" si="52"/>
        <v>0</v>
      </c>
      <c r="W339" s="246">
        <f t="shared" si="53"/>
        <v>0</v>
      </c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</row>
    <row r="340" spans="1:38" s="238" customFormat="1" ht="18.75" customHeight="1" x14ac:dyDescent="0.35">
      <c r="A340" s="195"/>
      <c r="B340" s="254"/>
      <c r="C340" s="20" t="s">
        <v>287</v>
      </c>
      <c r="D340" s="20"/>
      <c r="E340" s="363"/>
      <c r="F340" s="3"/>
      <c r="G340" s="3"/>
      <c r="H340" s="20"/>
      <c r="I340" s="20"/>
      <c r="J340" s="20"/>
      <c r="K340" s="411"/>
      <c r="L340" s="204"/>
      <c r="M340" s="255"/>
      <c r="N340" s="421">
        <f t="shared" si="55"/>
        <v>0</v>
      </c>
      <c r="P340" s="227">
        <f t="shared" si="54"/>
        <v>0</v>
      </c>
      <c r="Q340" s="230"/>
      <c r="R340" s="230">
        <f t="shared" si="56"/>
        <v>0</v>
      </c>
      <c r="S340" s="230">
        <f t="shared" si="57"/>
        <v>0</v>
      </c>
      <c r="T340" s="228">
        <f t="shared" si="50"/>
        <v>0</v>
      </c>
      <c r="U340" s="413">
        <f t="shared" si="51"/>
        <v>0</v>
      </c>
      <c r="V340" s="410">
        <f t="shared" si="52"/>
        <v>0</v>
      </c>
      <c r="W340" s="246">
        <f t="shared" si="53"/>
        <v>0</v>
      </c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</row>
    <row r="341" spans="1:38" s="238" customFormat="1" ht="18.75" customHeight="1" x14ac:dyDescent="0.35">
      <c r="A341" s="195"/>
      <c r="B341" s="254"/>
      <c r="C341" s="20" t="s">
        <v>287</v>
      </c>
      <c r="D341" s="20"/>
      <c r="E341" s="363"/>
      <c r="F341" s="3"/>
      <c r="G341" s="3"/>
      <c r="H341" s="20"/>
      <c r="I341" s="20"/>
      <c r="J341" s="20"/>
      <c r="K341" s="411"/>
      <c r="L341" s="204"/>
      <c r="M341" s="255"/>
      <c r="N341" s="421">
        <f t="shared" si="55"/>
        <v>0</v>
      </c>
      <c r="P341" s="227">
        <f t="shared" si="54"/>
        <v>0</v>
      </c>
      <c r="Q341" s="230"/>
      <c r="R341" s="230">
        <f t="shared" si="56"/>
        <v>0</v>
      </c>
      <c r="S341" s="230">
        <f t="shared" si="57"/>
        <v>0</v>
      </c>
      <c r="T341" s="228">
        <f t="shared" si="50"/>
        <v>0</v>
      </c>
      <c r="U341" s="413">
        <f t="shared" si="51"/>
        <v>0</v>
      </c>
      <c r="V341" s="410">
        <f t="shared" si="52"/>
        <v>0</v>
      </c>
      <c r="W341" s="246">
        <f t="shared" si="53"/>
        <v>0</v>
      </c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</row>
    <row r="342" spans="1:38" s="238" customFormat="1" ht="18.75" customHeight="1" x14ac:dyDescent="0.35">
      <c r="A342" s="195"/>
      <c r="B342" s="254"/>
      <c r="C342" s="20" t="s">
        <v>287</v>
      </c>
      <c r="D342" s="20"/>
      <c r="E342" s="363"/>
      <c r="F342" s="3"/>
      <c r="G342" s="3"/>
      <c r="H342" s="20"/>
      <c r="I342" s="20"/>
      <c r="J342" s="20"/>
      <c r="K342" s="411"/>
      <c r="L342" s="204"/>
      <c r="M342" s="255"/>
      <c r="N342" s="421">
        <f t="shared" si="55"/>
        <v>0</v>
      </c>
      <c r="P342" s="227">
        <f t="shared" si="54"/>
        <v>0</v>
      </c>
      <c r="Q342" s="230"/>
      <c r="R342" s="230">
        <f t="shared" si="56"/>
        <v>0</v>
      </c>
      <c r="S342" s="230">
        <f t="shared" si="57"/>
        <v>0</v>
      </c>
      <c r="T342" s="228">
        <f t="shared" si="50"/>
        <v>0</v>
      </c>
      <c r="U342" s="413">
        <f t="shared" si="51"/>
        <v>0</v>
      </c>
      <c r="V342" s="410">
        <f t="shared" si="52"/>
        <v>0</v>
      </c>
      <c r="W342" s="246">
        <f t="shared" si="53"/>
        <v>0</v>
      </c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</row>
    <row r="343" spans="1:38" s="238" customFormat="1" ht="18.75" customHeight="1" x14ac:dyDescent="0.35">
      <c r="A343" s="195"/>
      <c r="B343" s="254"/>
      <c r="C343" s="20" t="s">
        <v>287</v>
      </c>
      <c r="D343" s="20"/>
      <c r="E343" s="363"/>
      <c r="F343" s="3"/>
      <c r="G343" s="3"/>
      <c r="H343" s="20"/>
      <c r="I343" s="20"/>
      <c r="J343" s="20"/>
      <c r="K343" s="411"/>
      <c r="L343" s="204"/>
      <c r="M343" s="255"/>
      <c r="N343" s="421">
        <f t="shared" si="55"/>
        <v>0</v>
      </c>
      <c r="P343" s="227">
        <f t="shared" si="54"/>
        <v>0</v>
      </c>
      <c r="Q343" s="230"/>
      <c r="R343" s="230">
        <f t="shared" si="56"/>
        <v>0</v>
      </c>
      <c r="S343" s="230">
        <f t="shared" si="57"/>
        <v>0</v>
      </c>
      <c r="T343" s="228">
        <f t="shared" si="50"/>
        <v>0</v>
      </c>
      <c r="U343" s="413">
        <f t="shared" si="51"/>
        <v>0</v>
      </c>
      <c r="V343" s="410">
        <f t="shared" si="52"/>
        <v>0</v>
      </c>
      <c r="W343" s="246">
        <f t="shared" si="53"/>
        <v>0</v>
      </c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</row>
    <row r="344" spans="1:38" s="238" customFormat="1" ht="18.75" customHeight="1" x14ac:dyDescent="0.35">
      <c r="A344" s="195"/>
      <c r="B344" s="254"/>
      <c r="C344" s="20" t="s">
        <v>287</v>
      </c>
      <c r="D344" s="20"/>
      <c r="E344" s="363"/>
      <c r="F344" s="3"/>
      <c r="G344" s="3"/>
      <c r="H344" s="20"/>
      <c r="I344" s="20"/>
      <c r="J344" s="20"/>
      <c r="K344" s="411"/>
      <c r="L344" s="204"/>
      <c r="M344" s="255"/>
      <c r="N344" s="421">
        <f t="shared" si="55"/>
        <v>0</v>
      </c>
      <c r="P344" s="227">
        <f t="shared" si="54"/>
        <v>0</v>
      </c>
      <c r="Q344" s="230"/>
      <c r="R344" s="230">
        <f t="shared" si="56"/>
        <v>0</v>
      </c>
      <c r="S344" s="230">
        <f t="shared" si="57"/>
        <v>0</v>
      </c>
      <c r="T344" s="228">
        <f t="shared" si="50"/>
        <v>0</v>
      </c>
      <c r="U344" s="413">
        <f t="shared" si="51"/>
        <v>0</v>
      </c>
      <c r="V344" s="410">
        <f t="shared" si="52"/>
        <v>0</v>
      </c>
      <c r="W344" s="246">
        <f t="shared" si="53"/>
        <v>0</v>
      </c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</row>
    <row r="345" spans="1:38" s="238" customFormat="1" ht="18.75" customHeight="1" x14ac:dyDescent="0.35">
      <c r="A345" s="195"/>
      <c r="B345" s="254"/>
      <c r="C345" s="20" t="s">
        <v>287</v>
      </c>
      <c r="D345" s="20"/>
      <c r="E345" s="363"/>
      <c r="F345" s="3"/>
      <c r="G345" s="3"/>
      <c r="H345" s="20"/>
      <c r="I345" s="20"/>
      <c r="J345" s="20"/>
      <c r="K345" s="411"/>
      <c r="L345" s="204"/>
      <c r="M345" s="255"/>
      <c r="N345" s="421">
        <f t="shared" si="55"/>
        <v>0</v>
      </c>
      <c r="P345" s="227">
        <f t="shared" si="54"/>
        <v>0</v>
      </c>
      <c r="Q345" s="230"/>
      <c r="R345" s="230">
        <f t="shared" si="56"/>
        <v>0</v>
      </c>
      <c r="S345" s="230">
        <f t="shared" si="57"/>
        <v>0</v>
      </c>
      <c r="T345" s="228">
        <f t="shared" si="50"/>
        <v>0</v>
      </c>
      <c r="U345" s="413">
        <f t="shared" si="51"/>
        <v>0</v>
      </c>
      <c r="V345" s="410">
        <f t="shared" si="52"/>
        <v>0</v>
      </c>
      <c r="W345" s="246">
        <f t="shared" si="53"/>
        <v>0</v>
      </c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</row>
    <row r="346" spans="1:38" s="238" customFormat="1" ht="18.75" customHeight="1" x14ac:dyDescent="0.35">
      <c r="A346" s="195"/>
      <c r="B346" s="254"/>
      <c r="C346" s="20" t="s">
        <v>287</v>
      </c>
      <c r="D346" s="20"/>
      <c r="E346" s="363"/>
      <c r="F346" s="3"/>
      <c r="G346" s="3"/>
      <c r="H346" s="20"/>
      <c r="I346" s="20"/>
      <c r="J346" s="20"/>
      <c r="K346" s="411"/>
      <c r="L346" s="204"/>
      <c r="M346" s="255"/>
      <c r="N346" s="421">
        <f t="shared" si="55"/>
        <v>0</v>
      </c>
      <c r="P346" s="227">
        <f t="shared" si="54"/>
        <v>0</v>
      </c>
      <c r="Q346" s="230"/>
      <c r="R346" s="230">
        <f t="shared" si="56"/>
        <v>0</v>
      </c>
      <c r="S346" s="230">
        <f t="shared" si="57"/>
        <v>0</v>
      </c>
      <c r="T346" s="228">
        <f t="shared" si="50"/>
        <v>0</v>
      </c>
      <c r="U346" s="413">
        <f t="shared" si="51"/>
        <v>0</v>
      </c>
      <c r="V346" s="410">
        <f t="shared" si="52"/>
        <v>0</v>
      </c>
      <c r="W346" s="246">
        <f t="shared" si="53"/>
        <v>0</v>
      </c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</row>
    <row r="347" spans="1:38" s="238" customFormat="1" ht="18.75" customHeight="1" x14ac:dyDescent="0.35">
      <c r="A347" s="195"/>
      <c r="B347" s="254"/>
      <c r="C347" s="20" t="s">
        <v>287</v>
      </c>
      <c r="D347" s="20"/>
      <c r="E347" s="363"/>
      <c r="F347" s="3"/>
      <c r="G347" s="3"/>
      <c r="H347" s="20"/>
      <c r="I347" s="20"/>
      <c r="J347" s="20"/>
      <c r="K347" s="411"/>
      <c r="L347" s="204"/>
      <c r="M347" s="255"/>
      <c r="N347" s="421">
        <f t="shared" si="55"/>
        <v>0</v>
      </c>
      <c r="P347" s="227">
        <f t="shared" si="54"/>
        <v>0</v>
      </c>
      <c r="Q347" s="230"/>
      <c r="R347" s="230">
        <f t="shared" si="56"/>
        <v>0</v>
      </c>
      <c r="S347" s="230">
        <f t="shared" si="57"/>
        <v>0</v>
      </c>
      <c r="T347" s="228">
        <f t="shared" si="50"/>
        <v>0</v>
      </c>
      <c r="U347" s="413">
        <f t="shared" si="51"/>
        <v>0</v>
      </c>
      <c r="V347" s="410">
        <f t="shared" si="52"/>
        <v>0</v>
      </c>
      <c r="W347" s="246">
        <f t="shared" si="53"/>
        <v>0</v>
      </c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</row>
    <row r="348" spans="1:38" s="238" customFormat="1" ht="18.75" customHeight="1" x14ac:dyDescent="0.35">
      <c r="A348" s="195"/>
      <c r="B348" s="254"/>
      <c r="C348" s="20" t="s">
        <v>287</v>
      </c>
      <c r="D348" s="20"/>
      <c r="E348" s="363"/>
      <c r="F348" s="3"/>
      <c r="G348" s="3"/>
      <c r="H348" s="20"/>
      <c r="I348" s="20"/>
      <c r="J348" s="20"/>
      <c r="K348" s="411"/>
      <c r="L348" s="204"/>
      <c r="M348" s="255"/>
      <c r="N348" s="421">
        <f t="shared" si="55"/>
        <v>0</v>
      </c>
      <c r="P348" s="227">
        <f t="shared" si="54"/>
        <v>0</v>
      </c>
      <c r="Q348" s="230"/>
      <c r="R348" s="230">
        <f t="shared" si="56"/>
        <v>0</v>
      </c>
      <c r="S348" s="230">
        <f t="shared" si="57"/>
        <v>0</v>
      </c>
      <c r="T348" s="228">
        <f t="shared" si="50"/>
        <v>0</v>
      </c>
      <c r="U348" s="413">
        <f t="shared" si="51"/>
        <v>0</v>
      </c>
      <c r="V348" s="410">
        <f t="shared" si="52"/>
        <v>0</v>
      </c>
      <c r="W348" s="246">
        <f t="shared" si="53"/>
        <v>0</v>
      </c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</row>
    <row r="349" spans="1:38" s="238" customFormat="1" ht="18.75" customHeight="1" x14ac:dyDescent="0.35">
      <c r="A349" s="195"/>
      <c r="B349" s="254"/>
      <c r="C349" s="20" t="s">
        <v>287</v>
      </c>
      <c r="D349" s="20"/>
      <c r="E349" s="363"/>
      <c r="F349" s="3"/>
      <c r="G349" s="3"/>
      <c r="H349" s="20"/>
      <c r="I349" s="20"/>
      <c r="J349" s="20"/>
      <c r="K349" s="411"/>
      <c r="L349" s="204"/>
      <c r="M349" s="255"/>
      <c r="N349" s="421">
        <f t="shared" si="55"/>
        <v>0</v>
      </c>
      <c r="P349" s="227">
        <f t="shared" si="54"/>
        <v>0</v>
      </c>
      <c r="Q349" s="230"/>
      <c r="R349" s="230">
        <f t="shared" si="56"/>
        <v>0</v>
      </c>
      <c r="S349" s="230">
        <f t="shared" si="57"/>
        <v>0</v>
      </c>
      <c r="T349" s="228">
        <f t="shared" si="50"/>
        <v>0</v>
      </c>
      <c r="U349" s="413">
        <f t="shared" si="51"/>
        <v>0</v>
      </c>
      <c r="V349" s="410">
        <f t="shared" si="52"/>
        <v>0</v>
      </c>
      <c r="W349" s="246">
        <f t="shared" si="53"/>
        <v>0</v>
      </c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</row>
    <row r="350" spans="1:38" s="238" customFormat="1" ht="18.75" customHeight="1" x14ac:dyDescent="0.35">
      <c r="A350" s="195"/>
      <c r="B350" s="254"/>
      <c r="C350" s="20" t="s">
        <v>287</v>
      </c>
      <c r="D350" s="20"/>
      <c r="E350" s="363"/>
      <c r="F350" s="3"/>
      <c r="G350" s="3"/>
      <c r="H350" s="20"/>
      <c r="I350" s="20"/>
      <c r="J350" s="20"/>
      <c r="K350" s="411"/>
      <c r="L350" s="204"/>
      <c r="M350" s="255"/>
      <c r="N350" s="421">
        <f t="shared" si="55"/>
        <v>0</v>
      </c>
      <c r="P350" s="227">
        <f t="shared" si="54"/>
        <v>0</v>
      </c>
      <c r="Q350" s="230"/>
      <c r="R350" s="230">
        <f t="shared" si="56"/>
        <v>0</v>
      </c>
      <c r="S350" s="230">
        <f t="shared" si="57"/>
        <v>0</v>
      </c>
      <c r="T350" s="228">
        <f t="shared" si="50"/>
        <v>0</v>
      </c>
      <c r="U350" s="413">
        <f t="shared" si="51"/>
        <v>0</v>
      </c>
      <c r="V350" s="410">
        <f t="shared" si="52"/>
        <v>0</v>
      </c>
      <c r="W350" s="246">
        <f t="shared" si="53"/>
        <v>0</v>
      </c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</row>
    <row r="351" spans="1:38" s="238" customFormat="1" ht="18.75" customHeight="1" x14ac:dyDescent="0.35">
      <c r="A351" s="195"/>
      <c r="B351" s="254"/>
      <c r="C351" s="20" t="s">
        <v>287</v>
      </c>
      <c r="D351" s="20"/>
      <c r="E351" s="363"/>
      <c r="F351" s="3"/>
      <c r="G351" s="3"/>
      <c r="H351" s="20"/>
      <c r="I351" s="20"/>
      <c r="J351" s="20"/>
      <c r="K351" s="411"/>
      <c r="L351" s="204"/>
      <c r="M351" s="255"/>
      <c r="N351" s="421">
        <f t="shared" si="55"/>
        <v>0</v>
      </c>
      <c r="P351" s="227">
        <f t="shared" si="54"/>
        <v>0</v>
      </c>
      <c r="Q351" s="230"/>
      <c r="R351" s="230">
        <f t="shared" si="56"/>
        <v>0</v>
      </c>
      <c r="S351" s="230">
        <f t="shared" si="57"/>
        <v>0</v>
      </c>
      <c r="T351" s="228">
        <f t="shared" si="50"/>
        <v>0</v>
      </c>
      <c r="U351" s="413">
        <f t="shared" si="51"/>
        <v>0</v>
      </c>
      <c r="V351" s="410">
        <f t="shared" si="52"/>
        <v>0</v>
      </c>
      <c r="W351" s="246">
        <f t="shared" si="53"/>
        <v>0</v>
      </c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</row>
    <row r="352" spans="1:38" s="238" customFormat="1" ht="18.75" customHeight="1" x14ac:dyDescent="0.35">
      <c r="A352" s="195"/>
      <c r="B352" s="254"/>
      <c r="C352" s="20" t="s">
        <v>287</v>
      </c>
      <c r="D352" s="20"/>
      <c r="E352" s="363"/>
      <c r="F352" s="3"/>
      <c r="G352" s="3"/>
      <c r="H352" s="20"/>
      <c r="I352" s="20"/>
      <c r="J352" s="20"/>
      <c r="K352" s="411"/>
      <c r="L352" s="204"/>
      <c r="M352" s="255"/>
      <c r="N352" s="421">
        <f t="shared" si="55"/>
        <v>0</v>
      </c>
      <c r="P352" s="227">
        <f t="shared" si="54"/>
        <v>0</v>
      </c>
      <c r="Q352" s="230"/>
      <c r="R352" s="230">
        <f t="shared" si="56"/>
        <v>0</v>
      </c>
      <c r="S352" s="230">
        <f t="shared" si="57"/>
        <v>0</v>
      </c>
      <c r="T352" s="228">
        <f t="shared" si="50"/>
        <v>0</v>
      </c>
      <c r="U352" s="413">
        <f t="shared" si="51"/>
        <v>0</v>
      </c>
      <c r="V352" s="410">
        <f t="shared" si="52"/>
        <v>0</v>
      </c>
      <c r="W352" s="246">
        <f t="shared" si="53"/>
        <v>0</v>
      </c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</row>
    <row r="353" spans="1:38" s="238" customFormat="1" ht="18.75" customHeight="1" x14ac:dyDescent="0.35">
      <c r="A353" s="195"/>
      <c r="B353" s="254"/>
      <c r="C353" s="20" t="s">
        <v>287</v>
      </c>
      <c r="D353" s="20"/>
      <c r="E353" s="363"/>
      <c r="F353" s="3"/>
      <c r="G353" s="3"/>
      <c r="H353" s="20"/>
      <c r="I353" s="20"/>
      <c r="J353" s="20"/>
      <c r="K353" s="411"/>
      <c r="L353" s="204"/>
      <c r="M353" s="255"/>
      <c r="N353" s="421">
        <f t="shared" si="55"/>
        <v>0</v>
      </c>
      <c r="P353" s="227">
        <f t="shared" si="54"/>
        <v>0</v>
      </c>
      <c r="Q353" s="230"/>
      <c r="R353" s="230">
        <f t="shared" si="56"/>
        <v>0</v>
      </c>
      <c r="S353" s="230">
        <f t="shared" si="57"/>
        <v>0</v>
      </c>
      <c r="T353" s="228">
        <f t="shared" si="50"/>
        <v>0</v>
      </c>
      <c r="U353" s="413">
        <f t="shared" si="51"/>
        <v>0</v>
      </c>
      <c r="V353" s="410">
        <f t="shared" si="52"/>
        <v>0</v>
      </c>
      <c r="W353" s="246">
        <f t="shared" si="53"/>
        <v>0</v>
      </c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</row>
    <row r="354" spans="1:38" s="238" customFormat="1" ht="18.75" customHeight="1" x14ac:dyDescent="0.35">
      <c r="A354" s="195"/>
      <c r="B354" s="254"/>
      <c r="C354" s="20" t="s">
        <v>287</v>
      </c>
      <c r="D354" s="20"/>
      <c r="E354" s="363"/>
      <c r="F354" s="3"/>
      <c r="G354" s="3"/>
      <c r="H354" s="20"/>
      <c r="I354" s="20"/>
      <c r="J354" s="20"/>
      <c r="K354" s="411"/>
      <c r="L354" s="204"/>
      <c r="M354" s="255"/>
      <c r="N354" s="421">
        <f t="shared" si="55"/>
        <v>0</v>
      </c>
      <c r="P354" s="227">
        <f t="shared" si="54"/>
        <v>0</v>
      </c>
      <c r="Q354" s="230"/>
      <c r="R354" s="230">
        <f t="shared" si="56"/>
        <v>0</v>
      </c>
      <c r="S354" s="230">
        <f t="shared" si="57"/>
        <v>0</v>
      </c>
      <c r="T354" s="228">
        <f t="shared" si="50"/>
        <v>0</v>
      </c>
      <c r="U354" s="413">
        <f t="shared" si="51"/>
        <v>0</v>
      </c>
      <c r="V354" s="410">
        <f t="shared" si="52"/>
        <v>0</v>
      </c>
      <c r="W354" s="246">
        <f t="shared" si="53"/>
        <v>0</v>
      </c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</row>
    <row r="355" spans="1:38" s="238" customFormat="1" ht="18.75" customHeight="1" x14ac:dyDescent="0.35">
      <c r="A355" s="195"/>
      <c r="B355" s="254"/>
      <c r="C355" s="20" t="s">
        <v>287</v>
      </c>
      <c r="D355" s="20"/>
      <c r="E355" s="363"/>
      <c r="F355" s="3"/>
      <c r="G355" s="3"/>
      <c r="H355" s="20"/>
      <c r="I355" s="20"/>
      <c r="J355" s="20"/>
      <c r="K355" s="411"/>
      <c r="L355" s="204"/>
      <c r="M355" s="255"/>
      <c r="N355" s="421">
        <f t="shared" si="55"/>
        <v>0</v>
      </c>
      <c r="P355" s="227">
        <f t="shared" si="54"/>
        <v>0</v>
      </c>
      <c r="Q355" s="230"/>
      <c r="R355" s="230">
        <f t="shared" si="56"/>
        <v>0</v>
      </c>
      <c r="S355" s="230">
        <f t="shared" si="57"/>
        <v>0</v>
      </c>
      <c r="T355" s="228">
        <f t="shared" si="50"/>
        <v>0</v>
      </c>
      <c r="U355" s="413">
        <f t="shared" si="51"/>
        <v>0</v>
      </c>
      <c r="V355" s="410">
        <f t="shared" si="52"/>
        <v>0</v>
      </c>
      <c r="W355" s="246">
        <f t="shared" si="53"/>
        <v>0</v>
      </c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</row>
    <row r="356" spans="1:38" s="238" customFormat="1" ht="18.75" customHeight="1" x14ac:dyDescent="0.35">
      <c r="A356" s="195"/>
      <c r="B356" s="254"/>
      <c r="C356" s="20" t="s">
        <v>287</v>
      </c>
      <c r="D356" s="20"/>
      <c r="E356" s="363"/>
      <c r="F356" s="3"/>
      <c r="G356" s="3"/>
      <c r="H356" s="20"/>
      <c r="I356" s="20"/>
      <c r="J356" s="20"/>
      <c r="K356" s="411"/>
      <c r="L356" s="204"/>
      <c r="M356" s="255"/>
      <c r="N356" s="421">
        <f t="shared" si="55"/>
        <v>0</v>
      </c>
      <c r="P356" s="227">
        <f t="shared" si="54"/>
        <v>0</v>
      </c>
      <c r="Q356" s="230"/>
      <c r="R356" s="230">
        <f t="shared" si="56"/>
        <v>0</v>
      </c>
      <c r="S356" s="230">
        <f t="shared" si="57"/>
        <v>0</v>
      </c>
      <c r="T356" s="228">
        <f t="shared" si="50"/>
        <v>0</v>
      </c>
      <c r="U356" s="413">
        <f t="shared" si="51"/>
        <v>0</v>
      </c>
      <c r="V356" s="410">
        <f t="shared" si="52"/>
        <v>0</v>
      </c>
      <c r="W356" s="246">
        <f t="shared" si="53"/>
        <v>0</v>
      </c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</row>
    <row r="357" spans="1:38" s="238" customFormat="1" ht="18.75" customHeight="1" x14ac:dyDescent="0.35">
      <c r="A357" s="195"/>
      <c r="B357" s="254"/>
      <c r="C357" s="20" t="s">
        <v>287</v>
      </c>
      <c r="D357" s="20"/>
      <c r="E357" s="363"/>
      <c r="F357" s="3"/>
      <c r="G357" s="3"/>
      <c r="H357" s="20"/>
      <c r="I357" s="20"/>
      <c r="J357" s="20"/>
      <c r="K357" s="411"/>
      <c r="L357" s="204"/>
      <c r="M357" s="255"/>
      <c r="N357" s="421">
        <f t="shared" si="55"/>
        <v>0</v>
      </c>
      <c r="P357" s="227">
        <f t="shared" si="54"/>
        <v>0</v>
      </c>
      <c r="Q357" s="230"/>
      <c r="R357" s="230">
        <f t="shared" si="56"/>
        <v>0</v>
      </c>
      <c r="S357" s="230">
        <f t="shared" si="57"/>
        <v>0</v>
      </c>
      <c r="T357" s="228">
        <f t="shared" si="50"/>
        <v>0</v>
      </c>
      <c r="U357" s="413">
        <f t="shared" si="51"/>
        <v>0</v>
      </c>
      <c r="V357" s="410">
        <f t="shared" si="52"/>
        <v>0</v>
      </c>
      <c r="W357" s="246">
        <f t="shared" si="53"/>
        <v>0</v>
      </c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</row>
    <row r="358" spans="1:38" s="238" customFormat="1" ht="18.75" customHeight="1" x14ac:dyDescent="0.35">
      <c r="A358" s="195"/>
      <c r="B358" s="254"/>
      <c r="C358" s="20" t="s">
        <v>287</v>
      </c>
      <c r="D358" s="20"/>
      <c r="E358" s="363"/>
      <c r="F358" s="3"/>
      <c r="G358" s="3"/>
      <c r="H358" s="20"/>
      <c r="I358" s="20"/>
      <c r="J358" s="20"/>
      <c r="K358" s="411"/>
      <c r="L358" s="204"/>
      <c r="M358" s="255"/>
      <c r="N358" s="421">
        <f t="shared" si="55"/>
        <v>0</v>
      </c>
      <c r="P358" s="227">
        <f t="shared" si="54"/>
        <v>0</v>
      </c>
      <c r="Q358" s="230"/>
      <c r="R358" s="230">
        <f t="shared" si="56"/>
        <v>0</v>
      </c>
      <c r="S358" s="230">
        <f t="shared" si="57"/>
        <v>0</v>
      </c>
      <c r="T358" s="228">
        <f t="shared" si="50"/>
        <v>0</v>
      </c>
      <c r="U358" s="413">
        <f t="shared" si="51"/>
        <v>0</v>
      </c>
      <c r="V358" s="410">
        <f t="shared" si="52"/>
        <v>0</v>
      </c>
      <c r="W358" s="246">
        <f t="shared" si="53"/>
        <v>0</v>
      </c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</row>
    <row r="359" spans="1:38" s="238" customFormat="1" ht="18.75" customHeight="1" x14ac:dyDescent="0.35">
      <c r="A359" s="195"/>
      <c r="B359" s="254"/>
      <c r="C359" s="20" t="s">
        <v>287</v>
      </c>
      <c r="D359" s="20"/>
      <c r="E359" s="363"/>
      <c r="F359" s="3"/>
      <c r="G359" s="3"/>
      <c r="H359" s="20"/>
      <c r="I359" s="20"/>
      <c r="J359" s="20"/>
      <c r="K359" s="411"/>
      <c r="L359" s="204"/>
      <c r="M359" s="255"/>
      <c r="N359" s="421">
        <f t="shared" si="55"/>
        <v>0</v>
      </c>
      <c r="P359" s="227">
        <f t="shared" si="54"/>
        <v>0</v>
      </c>
      <c r="Q359" s="230"/>
      <c r="R359" s="230">
        <f t="shared" si="56"/>
        <v>0</v>
      </c>
      <c r="S359" s="230">
        <f t="shared" si="57"/>
        <v>0</v>
      </c>
      <c r="T359" s="228">
        <f t="shared" si="50"/>
        <v>0</v>
      </c>
      <c r="U359" s="413">
        <f t="shared" si="51"/>
        <v>0</v>
      </c>
      <c r="V359" s="410">
        <f t="shared" si="52"/>
        <v>0</v>
      </c>
      <c r="W359" s="246">
        <f t="shared" si="53"/>
        <v>0</v>
      </c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</row>
    <row r="360" spans="1:38" s="238" customFormat="1" ht="18.75" customHeight="1" x14ac:dyDescent="0.35">
      <c r="A360" s="195"/>
      <c r="B360" s="254"/>
      <c r="C360" s="20" t="s">
        <v>287</v>
      </c>
      <c r="D360" s="20"/>
      <c r="E360" s="363"/>
      <c r="F360" s="3"/>
      <c r="G360" s="3"/>
      <c r="H360" s="20"/>
      <c r="I360" s="20"/>
      <c r="J360" s="20"/>
      <c r="K360" s="411"/>
      <c r="L360" s="204"/>
      <c r="M360" s="255"/>
      <c r="N360" s="421">
        <f t="shared" si="55"/>
        <v>0</v>
      </c>
      <c r="P360" s="227">
        <f t="shared" si="54"/>
        <v>0</v>
      </c>
      <c r="Q360" s="230"/>
      <c r="R360" s="230">
        <f t="shared" si="56"/>
        <v>0</v>
      </c>
      <c r="S360" s="230">
        <f t="shared" si="57"/>
        <v>0</v>
      </c>
      <c r="T360" s="228">
        <f t="shared" si="50"/>
        <v>0</v>
      </c>
      <c r="U360" s="413">
        <f t="shared" si="51"/>
        <v>0</v>
      </c>
      <c r="V360" s="410">
        <f t="shared" si="52"/>
        <v>0</v>
      </c>
      <c r="W360" s="246">
        <f t="shared" si="53"/>
        <v>0</v>
      </c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</row>
    <row r="361" spans="1:38" s="238" customFormat="1" ht="18.75" customHeight="1" x14ac:dyDescent="0.35">
      <c r="A361" s="195"/>
      <c r="B361" s="254"/>
      <c r="C361" s="20" t="s">
        <v>287</v>
      </c>
      <c r="D361" s="20"/>
      <c r="E361" s="363"/>
      <c r="F361" s="3"/>
      <c r="G361" s="3"/>
      <c r="H361" s="20"/>
      <c r="I361" s="20"/>
      <c r="J361" s="20"/>
      <c r="K361" s="411"/>
      <c r="L361" s="204"/>
      <c r="M361" s="255"/>
      <c r="N361" s="421">
        <f t="shared" si="55"/>
        <v>0</v>
      </c>
      <c r="P361" s="227">
        <f t="shared" si="54"/>
        <v>0</v>
      </c>
      <c r="Q361" s="230"/>
      <c r="R361" s="230">
        <f t="shared" si="56"/>
        <v>0</v>
      </c>
      <c r="S361" s="230">
        <f t="shared" si="57"/>
        <v>0</v>
      </c>
      <c r="T361" s="228">
        <f t="shared" si="50"/>
        <v>0</v>
      </c>
      <c r="U361" s="413">
        <f t="shared" si="51"/>
        <v>0</v>
      </c>
      <c r="V361" s="410">
        <f t="shared" si="52"/>
        <v>0</v>
      </c>
      <c r="W361" s="246">
        <f t="shared" si="53"/>
        <v>0</v>
      </c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</row>
    <row r="362" spans="1:38" s="238" customFormat="1" ht="18.75" customHeight="1" x14ac:dyDescent="0.35">
      <c r="A362" s="195"/>
      <c r="B362" s="254"/>
      <c r="C362" s="20" t="s">
        <v>287</v>
      </c>
      <c r="D362" s="20"/>
      <c r="E362" s="363"/>
      <c r="F362" s="3"/>
      <c r="G362" s="3"/>
      <c r="H362" s="20"/>
      <c r="I362" s="20"/>
      <c r="J362" s="20"/>
      <c r="K362" s="411"/>
      <c r="L362" s="204"/>
      <c r="M362" s="255"/>
      <c r="N362" s="421">
        <f t="shared" si="55"/>
        <v>0</v>
      </c>
      <c r="P362" s="227">
        <f t="shared" si="54"/>
        <v>0</v>
      </c>
      <c r="Q362" s="230"/>
      <c r="R362" s="230">
        <f t="shared" si="56"/>
        <v>0</v>
      </c>
      <c r="S362" s="230">
        <f t="shared" si="57"/>
        <v>0</v>
      </c>
      <c r="T362" s="228">
        <f t="shared" si="50"/>
        <v>0</v>
      </c>
      <c r="U362" s="413">
        <f t="shared" si="51"/>
        <v>0</v>
      </c>
      <c r="V362" s="410">
        <f t="shared" si="52"/>
        <v>0</v>
      </c>
      <c r="W362" s="246">
        <f t="shared" si="53"/>
        <v>0</v>
      </c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</row>
    <row r="363" spans="1:38" s="238" customFormat="1" ht="18.75" customHeight="1" x14ac:dyDescent="0.35">
      <c r="A363" s="195"/>
      <c r="B363" s="254"/>
      <c r="C363" s="20" t="s">
        <v>287</v>
      </c>
      <c r="D363" s="20"/>
      <c r="E363" s="363"/>
      <c r="F363" s="3"/>
      <c r="G363" s="3"/>
      <c r="H363" s="20"/>
      <c r="I363" s="20"/>
      <c r="J363" s="20"/>
      <c r="K363" s="411"/>
      <c r="L363" s="204"/>
      <c r="M363" s="255"/>
      <c r="N363" s="421">
        <f t="shared" si="55"/>
        <v>0</v>
      </c>
      <c r="P363" s="227">
        <f t="shared" si="54"/>
        <v>0</v>
      </c>
      <c r="Q363" s="230"/>
      <c r="R363" s="230">
        <f t="shared" si="56"/>
        <v>0</v>
      </c>
      <c r="S363" s="230">
        <f t="shared" si="57"/>
        <v>0</v>
      </c>
      <c r="T363" s="228">
        <f t="shared" si="50"/>
        <v>0</v>
      </c>
      <c r="U363" s="413">
        <f t="shared" si="51"/>
        <v>0</v>
      </c>
      <c r="V363" s="410">
        <f t="shared" si="52"/>
        <v>0</v>
      </c>
      <c r="W363" s="246">
        <f t="shared" si="53"/>
        <v>0</v>
      </c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</row>
    <row r="364" spans="1:38" s="238" customFormat="1" ht="18.75" customHeight="1" x14ac:dyDescent="0.35">
      <c r="A364" s="195"/>
      <c r="B364" s="254"/>
      <c r="C364" s="20" t="s">
        <v>287</v>
      </c>
      <c r="D364" s="20"/>
      <c r="E364" s="363"/>
      <c r="F364" s="3"/>
      <c r="G364" s="3"/>
      <c r="H364" s="20"/>
      <c r="I364" s="20"/>
      <c r="J364" s="20"/>
      <c r="K364" s="411"/>
      <c r="L364" s="204"/>
      <c r="M364" s="255"/>
      <c r="N364" s="421">
        <f t="shared" si="55"/>
        <v>0</v>
      </c>
      <c r="P364" s="227">
        <f t="shared" si="54"/>
        <v>0</v>
      </c>
      <c r="Q364" s="230"/>
      <c r="R364" s="230">
        <f t="shared" si="56"/>
        <v>0</v>
      </c>
      <c r="S364" s="230">
        <f t="shared" si="57"/>
        <v>0</v>
      </c>
      <c r="T364" s="228">
        <f t="shared" si="50"/>
        <v>0</v>
      </c>
      <c r="U364" s="413">
        <f t="shared" si="51"/>
        <v>0</v>
      </c>
      <c r="V364" s="410">
        <f t="shared" si="52"/>
        <v>0</v>
      </c>
      <c r="W364" s="246">
        <f t="shared" si="53"/>
        <v>0</v>
      </c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</row>
    <row r="365" spans="1:38" s="238" customFormat="1" ht="18.75" customHeight="1" x14ac:dyDescent="0.35">
      <c r="A365" s="195"/>
      <c r="B365" s="254"/>
      <c r="C365" s="20" t="s">
        <v>287</v>
      </c>
      <c r="D365" s="20"/>
      <c r="E365" s="363"/>
      <c r="F365" s="3"/>
      <c r="G365" s="3"/>
      <c r="H365" s="20"/>
      <c r="I365" s="20"/>
      <c r="J365" s="20"/>
      <c r="K365" s="411"/>
      <c r="L365" s="204"/>
      <c r="M365" s="255"/>
      <c r="N365" s="421">
        <f t="shared" si="55"/>
        <v>0</v>
      </c>
      <c r="P365" s="227">
        <f t="shared" si="54"/>
        <v>0</v>
      </c>
      <c r="Q365" s="230"/>
      <c r="R365" s="230">
        <f t="shared" si="56"/>
        <v>0</v>
      </c>
      <c r="S365" s="230">
        <f t="shared" si="57"/>
        <v>0</v>
      </c>
      <c r="T365" s="228">
        <f t="shared" si="50"/>
        <v>0</v>
      </c>
      <c r="U365" s="413">
        <f t="shared" si="51"/>
        <v>0</v>
      </c>
      <c r="V365" s="410">
        <f t="shared" si="52"/>
        <v>0</v>
      </c>
      <c r="W365" s="246">
        <f t="shared" si="53"/>
        <v>0</v>
      </c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</row>
    <row r="366" spans="1:38" s="238" customFormat="1" ht="18.75" customHeight="1" x14ac:dyDescent="0.35">
      <c r="A366" s="195"/>
      <c r="B366" s="254"/>
      <c r="C366" s="20" t="s">
        <v>287</v>
      </c>
      <c r="D366" s="20"/>
      <c r="E366" s="363"/>
      <c r="F366" s="3"/>
      <c r="G366" s="3"/>
      <c r="H366" s="20"/>
      <c r="I366" s="20"/>
      <c r="J366" s="20"/>
      <c r="K366" s="411"/>
      <c r="L366" s="204"/>
      <c r="M366" s="255"/>
      <c r="N366" s="421">
        <f t="shared" si="55"/>
        <v>0</v>
      </c>
      <c r="P366" s="227">
        <f t="shared" si="54"/>
        <v>0</v>
      </c>
      <c r="Q366" s="230"/>
      <c r="R366" s="230">
        <f t="shared" si="56"/>
        <v>0</v>
      </c>
      <c r="S366" s="230">
        <f t="shared" si="57"/>
        <v>0</v>
      </c>
      <c r="T366" s="228">
        <f t="shared" si="50"/>
        <v>0</v>
      </c>
      <c r="U366" s="413">
        <f t="shared" si="51"/>
        <v>0</v>
      </c>
      <c r="V366" s="410">
        <f t="shared" si="52"/>
        <v>0</v>
      </c>
      <c r="W366" s="246">
        <f t="shared" si="53"/>
        <v>0</v>
      </c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</row>
    <row r="367" spans="1:38" s="238" customFormat="1" ht="18.75" customHeight="1" x14ac:dyDescent="0.35">
      <c r="A367" s="195"/>
      <c r="B367" s="254"/>
      <c r="C367" s="20" t="s">
        <v>287</v>
      </c>
      <c r="D367" s="20"/>
      <c r="E367" s="363"/>
      <c r="F367" s="3"/>
      <c r="G367" s="3"/>
      <c r="H367" s="20"/>
      <c r="I367" s="20"/>
      <c r="J367" s="20"/>
      <c r="K367" s="411"/>
      <c r="L367" s="204"/>
      <c r="M367" s="255"/>
      <c r="N367" s="421">
        <f t="shared" si="55"/>
        <v>0</v>
      </c>
      <c r="P367" s="227">
        <f t="shared" si="54"/>
        <v>0</v>
      </c>
      <c r="Q367" s="230"/>
      <c r="R367" s="230">
        <f t="shared" si="56"/>
        <v>0</v>
      </c>
      <c r="S367" s="230">
        <f t="shared" si="57"/>
        <v>0</v>
      </c>
      <c r="T367" s="228">
        <f t="shared" si="50"/>
        <v>0</v>
      </c>
      <c r="U367" s="413">
        <f t="shared" si="51"/>
        <v>0</v>
      </c>
      <c r="V367" s="410">
        <f t="shared" si="52"/>
        <v>0</v>
      </c>
      <c r="W367" s="246">
        <f t="shared" si="53"/>
        <v>0</v>
      </c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</row>
    <row r="368" spans="1:38" s="238" customFormat="1" ht="18.75" customHeight="1" x14ac:dyDescent="0.35">
      <c r="A368" s="195"/>
      <c r="B368" s="254"/>
      <c r="C368" s="20" t="s">
        <v>287</v>
      </c>
      <c r="D368" s="20"/>
      <c r="E368" s="363"/>
      <c r="F368" s="3"/>
      <c r="G368" s="3"/>
      <c r="H368" s="20"/>
      <c r="I368" s="20"/>
      <c r="J368" s="20"/>
      <c r="K368" s="411"/>
      <c r="L368" s="204"/>
      <c r="M368" s="255"/>
      <c r="N368" s="421">
        <f t="shared" si="55"/>
        <v>0</v>
      </c>
      <c r="P368" s="227">
        <f t="shared" si="54"/>
        <v>0</v>
      </c>
      <c r="Q368" s="230"/>
      <c r="R368" s="230">
        <f t="shared" si="56"/>
        <v>0</v>
      </c>
      <c r="S368" s="230">
        <f t="shared" si="57"/>
        <v>0</v>
      </c>
      <c r="T368" s="228">
        <f t="shared" si="50"/>
        <v>0</v>
      </c>
      <c r="U368" s="413">
        <f t="shared" si="51"/>
        <v>0</v>
      </c>
      <c r="V368" s="410">
        <f t="shared" si="52"/>
        <v>0</v>
      </c>
      <c r="W368" s="246">
        <f t="shared" si="53"/>
        <v>0</v>
      </c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</row>
    <row r="369" spans="1:38" s="238" customFormat="1" ht="18.75" customHeight="1" x14ac:dyDescent="0.35">
      <c r="A369" s="195"/>
      <c r="B369" s="254"/>
      <c r="C369" s="20" t="s">
        <v>287</v>
      </c>
      <c r="D369" s="20"/>
      <c r="E369" s="363"/>
      <c r="F369" s="3"/>
      <c r="G369" s="3"/>
      <c r="H369" s="20"/>
      <c r="I369" s="20"/>
      <c r="J369" s="20"/>
      <c r="K369" s="411"/>
      <c r="L369" s="204"/>
      <c r="M369" s="255"/>
      <c r="N369" s="421">
        <f t="shared" si="55"/>
        <v>0</v>
      </c>
      <c r="P369" s="227">
        <f t="shared" si="54"/>
        <v>0</v>
      </c>
      <c r="Q369" s="230"/>
      <c r="R369" s="230">
        <f t="shared" si="56"/>
        <v>0</v>
      </c>
      <c r="S369" s="230">
        <f t="shared" si="57"/>
        <v>0</v>
      </c>
      <c r="T369" s="228">
        <f t="shared" si="50"/>
        <v>0</v>
      </c>
      <c r="U369" s="413">
        <f t="shared" si="51"/>
        <v>0</v>
      </c>
      <c r="V369" s="410">
        <f t="shared" si="52"/>
        <v>0</v>
      </c>
      <c r="W369" s="246">
        <f t="shared" si="53"/>
        <v>0</v>
      </c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</row>
    <row r="370" spans="1:38" s="238" customFormat="1" ht="18.75" customHeight="1" x14ac:dyDescent="0.35">
      <c r="A370" s="195"/>
      <c r="B370" s="254"/>
      <c r="C370" s="20" t="s">
        <v>287</v>
      </c>
      <c r="D370" s="20"/>
      <c r="E370" s="363"/>
      <c r="F370" s="3"/>
      <c r="G370" s="3"/>
      <c r="H370" s="20"/>
      <c r="I370" s="20"/>
      <c r="J370" s="20"/>
      <c r="K370" s="411"/>
      <c r="L370" s="204"/>
      <c r="M370" s="255"/>
      <c r="N370" s="421">
        <f t="shared" si="55"/>
        <v>0</v>
      </c>
      <c r="P370" s="227">
        <f t="shared" si="54"/>
        <v>0</v>
      </c>
      <c r="Q370" s="230"/>
      <c r="R370" s="230">
        <f t="shared" si="56"/>
        <v>0</v>
      </c>
      <c r="S370" s="230">
        <f t="shared" si="57"/>
        <v>0</v>
      </c>
      <c r="T370" s="228">
        <f t="shared" si="50"/>
        <v>0</v>
      </c>
      <c r="U370" s="413">
        <f t="shared" si="51"/>
        <v>0</v>
      </c>
      <c r="V370" s="410">
        <f t="shared" si="52"/>
        <v>0</v>
      </c>
      <c r="W370" s="246">
        <f t="shared" si="53"/>
        <v>0</v>
      </c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</row>
    <row r="371" spans="1:38" s="238" customFormat="1" ht="18.75" customHeight="1" x14ac:dyDescent="0.35">
      <c r="A371" s="195"/>
      <c r="B371" s="254"/>
      <c r="C371" s="20" t="s">
        <v>287</v>
      </c>
      <c r="D371" s="20"/>
      <c r="E371" s="363"/>
      <c r="F371" s="3"/>
      <c r="G371" s="3"/>
      <c r="H371" s="20"/>
      <c r="I371" s="20"/>
      <c r="J371" s="20"/>
      <c r="K371" s="411"/>
      <c r="L371" s="204"/>
      <c r="M371" s="255"/>
      <c r="N371" s="421">
        <f t="shared" si="55"/>
        <v>0</v>
      </c>
      <c r="P371" s="227">
        <f t="shared" si="54"/>
        <v>0</v>
      </c>
      <c r="Q371" s="230"/>
      <c r="R371" s="230">
        <f t="shared" si="56"/>
        <v>0</v>
      </c>
      <c r="S371" s="230">
        <f t="shared" si="57"/>
        <v>0</v>
      </c>
      <c r="T371" s="228">
        <f t="shared" si="50"/>
        <v>0</v>
      </c>
      <c r="U371" s="413">
        <f t="shared" si="51"/>
        <v>0</v>
      </c>
      <c r="V371" s="410">
        <f t="shared" si="52"/>
        <v>0</v>
      </c>
      <c r="W371" s="246">
        <f t="shared" si="53"/>
        <v>0</v>
      </c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</row>
    <row r="372" spans="1:38" s="238" customFormat="1" ht="18.75" customHeight="1" x14ac:dyDescent="0.35">
      <c r="A372" s="195"/>
      <c r="B372" s="254"/>
      <c r="C372" s="20" t="s">
        <v>287</v>
      </c>
      <c r="D372" s="20"/>
      <c r="E372" s="363"/>
      <c r="F372" s="3"/>
      <c r="G372" s="3"/>
      <c r="H372" s="20"/>
      <c r="I372" s="20"/>
      <c r="J372" s="20"/>
      <c r="K372" s="411"/>
      <c r="L372" s="204"/>
      <c r="M372" s="255"/>
      <c r="N372" s="421">
        <f t="shared" si="55"/>
        <v>0</v>
      </c>
      <c r="P372" s="227">
        <f t="shared" si="54"/>
        <v>0</v>
      </c>
      <c r="Q372" s="230"/>
      <c r="R372" s="230">
        <f t="shared" si="56"/>
        <v>0</v>
      </c>
      <c r="S372" s="230">
        <f t="shared" si="57"/>
        <v>0</v>
      </c>
      <c r="T372" s="228">
        <f t="shared" si="50"/>
        <v>0</v>
      </c>
      <c r="U372" s="413">
        <f t="shared" si="51"/>
        <v>0</v>
      </c>
      <c r="V372" s="410">
        <f t="shared" si="52"/>
        <v>0</v>
      </c>
      <c r="W372" s="246">
        <f t="shared" si="53"/>
        <v>0</v>
      </c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</row>
    <row r="373" spans="1:38" s="238" customFormat="1" ht="18.75" customHeight="1" x14ac:dyDescent="0.35">
      <c r="A373" s="195"/>
      <c r="B373" s="254"/>
      <c r="C373" s="20" t="s">
        <v>287</v>
      </c>
      <c r="D373" s="20"/>
      <c r="E373" s="363"/>
      <c r="F373" s="3"/>
      <c r="G373" s="3"/>
      <c r="H373" s="20"/>
      <c r="I373" s="20"/>
      <c r="J373" s="20"/>
      <c r="K373" s="411"/>
      <c r="L373" s="204"/>
      <c r="M373" s="255"/>
      <c r="N373" s="421">
        <f t="shared" si="55"/>
        <v>0</v>
      </c>
      <c r="P373" s="227">
        <f t="shared" si="54"/>
        <v>0</v>
      </c>
      <c r="Q373" s="230"/>
      <c r="R373" s="230">
        <f t="shared" si="56"/>
        <v>0</v>
      </c>
      <c r="S373" s="230">
        <f t="shared" si="57"/>
        <v>0</v>
      </c>
      <c r="T373" s="228">
        <f t="shared" si="50"/>
        <v>0</v>
      </c>
      <c r="U373" s="413">
        <f t="shared" si="51"/>
        <v>0</v>
      </c>
      <c r="V373" s="410">
        <f t="shared" si="52"/>
        <v>0</v>
      </c>
      <c r="W373" s="246">
        <f t="shared" si="53"/>
        <v>0</v>
      </c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</row>
    <row r="374" spans="1:38" s="238" customFormat="1" ht="18.75" customHeight="1" x14ac:dyDescent="0.35">
      <c r="A374" s="195"/>
      <c r="B374" s="254"/>
      <c r="C374" s="20" t="s">
        <v>287</v>
      </c>
      <c r="D374" s="20"/>
      <c r="E374" s="363"/>
      <c r="F374" s="3"/>
      <c r="G374" s="3"/>
      <c r="H374" s="20"/>
      <c r="I374" s="20"/>
      <c r="J374" s="20"/>
      <c r="K374" s="411"/>
      <c r="L374" s="204"/>
      <c r="M374" s="255"/>
      <c r="N374" s="421">
        <f t="shared" si="55"/>
        <v>0</v>
      </c>
      <c r="P374" s="227">
        <f t="shared" si="54"/>
        <v>0</v>
      </c>
      <c r="Q374" s="230"/>
      <c r="R374" s="230">
        <f t="shared" si="56"/>
        <v>0</v>
      </c>
      <c r="S374" s="230">
        <f t="shared" si="57"/>
        <v>0</v>
      </c>
      <c r="T374" s="228">
        <f t="shared" si="50"/>
        <v>0</v>
      </c>
      <c r="U374" s="413">
        <f t="shared" si="51"/>
        <v>0</v>
      </c>
      <c r="V374" s="410">
        <f t="shared" si="52"/>
        <v>0</v>
      </c>
      <c r="W374" s="246">
        <f t="shared" si="53"/>
        <v>0</v>
      </c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</row>
    <row r="375" spans="1:38" s="238" customFormat="1" ht="18.75" customHeight="1" x14ac:dyDescent="0.35">
      <c r="A375" s="195"/>
      <c r="B375" s="254"/>
      <c r="C375" s="20" t="s">
        <v>287</v>
      </c>
      <c r="D375" s="20"/>
      <c r="E375" s="363"/>
      <c r="F375" s="3"/>
      <c r="G375" s="3"/>
      <c r="H375" s="20"/>
      <c r="I375" s="20"/>
      <c r="J375" s="20"/>
      <c r="K375" s="411"/>
      <c r="L375" s="204"/>
      <c r="M375" s="255"/>
      <c r="N375" s="421">
        <f t="shared" si="55"/>
        <v>0</v>
      </c>
      <c r="P375" s="227">
        <f t="shared" si="54"/>
        <v>0</v>
      </c>
      <c r="Q375" s="230"/>
      <c r="R375" s="230">
        <f t="shared" si="56"/>
        <v>0</v>
      </c>
      <c r="S375" s="230">
        <f t="shared" si="57"/>
        <v>0</v>
      </c>
      <c r="T375" s="228">
        <f t="shared" si="50"/>
        <v>0</v>
      </c>
      <c r="U375" s="413">
        <f t="shared" si="51"/>
        <v>0</v>
      </c>
      <c r="V375" s="410">
        <f t="shared" si="52"/>
        <v>0</v>
      </c>
      <c r="W375" s="246">
        <f t="shared" si="53"/>
        <v>0</v>
      </c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</row>
    <row r="376" spans="1:38" s="238" customFormat="1" ht="18.75" customHeight="1" x14ac:dyDescent="0.35">
      <c r="A376" s="195"/>
      <c r="B376" s="254"/>
      <c r="C376" s="20" t="s">
        <v>287</v>
      </c>
      <c r="D376" s="20"/>
      <c r="E376" s="363"/>
      <c r="F376" s="3"/>
      <c r="G376" s="3"/>
      <c r="H376" s="20"/>
      <c r="I376" s="20"/>
      <c r="J376" s="20"/>
      <c r="K376" s="411"/>
      <c r="L376" s="204"/>
      <c r="M376" s="255"/>
      <c r="N376" s="421">
        <f t="shared" si="55"/>
        <v>0</v>
      </c>
      <c r="P376" s="227">
        <f t="shared" si="54"/>
        <v>0</v>
      </c>
      <c r="Q376" s="230"/>
      <c r="R376" s="230">
        <f t="shared" si="56"/>
        <v>0</v>
      </c>
      <c r="S376" s="230">
        <f t="shared" si="57"/>
        <v>0</v>
      </c>
      <c r="T376" s="228">
        <f t="shared" si="50"/>
        <v>0</v>
      </c>
      <c r="U376" s="413">
        <f t="shared" si="51"/>
        <v>0</v>
      </c>
      <c r="V376" s="410">
        <f t="shared" si="52"/>
        <v>0</v>
      </c>
      <c r="W376" s="246">
        <f t="shared" si="53"/>
        <v>0</v>
      </c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</row>
    <row r="377" spans="1:38" s="238" customFormat="1" ht="18.75" customHeight="1" x14ac:dyDescent="0.35">
      <c r="A377" s="195"/>
      <c r="B377" s="254"/>
      <c r="C377" s="20" t="s">
        <v>287</v>
      </c>
      <c r="D377" s="20"/>
      <c r="E377" s="363"/>
      <c r="F377" s="3"/>
      <c r="G377" s="3"/>
      <c r="H377" s="20"/>
      <c r="I377" s="20"/>
      <c r="J377" s="20"/>
      <c r="K377" s="411"/>
      <c r="L377" s="204"/>
      <c r="M377" s="255"/>
      <c r="N377" s="421">
        <f t="shared" si="55"/>
        <v>0</v>
      </c>
      <c r="P377" s="227">
        <f t="shared" si="54"/>
        <v>0</v>
      </c>
      <c r="Q377" s="230"/>
      <c r="R377" s="230">
        <f t="shared" si="56"/>
        <v>0</v>
      </c>
      <c r="S377" s="230">
        <f t="shared" si="57"/>
        <v>0</v>
      </c>
      <c r="T377" s="228">
        <f t="shared" si="50"/>
        <v>0</v>
      </c>
      <c r="U377" s="413">
        <f t="shared" si="51"/>
        <v>0</v>
      </c>
      <c r="V377" s="410">
        <f t="shared" si="52"/>
        <v>0</v>
      </c>
      <c r="W377" s="246">
        <f t="shared" si="53"/>
        <v>0</v>
      </c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</row>
    <row r="378" spans="1:38" s="238" customFormat="1" ht="18.75" customHeight="1" x14ac:dyDescent="0.35">
      <c r="A378" s="195"/>
      <c r="B378" s="254"/>
      <c r="C378" s="20" t="s">
        <v>287</v>
      </c>
      <c r="D378" s="20"/>
      <c r="E378" s="363"/>
      <c r="F378" s="3"/>
      <c r="G378" s="3"/>
      <c r="H378" s="20"/>
      <c r="I378" s="20"/>
      <c r="J378" s="20"/>
      <c r="K378" s="411"/>
      <c r="L378" s="204"/>
      <c r="M378" s="255"/>
      <c r="N378" s="421">
        <f t="shared" si="55"/>
        <v>0</v>
      </c>
      <c r="P378" s="227">
        <f t="shared" si="54"/>
        <v>0</v>
      </c>
      <c r="Q378" s="230"/>
      <c r="R378" s="230">
        <f t="shared" si="56"/>
        <v>0</v>
      </c>
      <c r="S378" s="230">
        <f t="shared" si="57"/>
        <v>0</v>
      </c>
      <c r="T378" s="228">
        <f t="shared" si="50"/>
        <v>0</v>
      </c>
      <c r="U378" s="413">
        <f t="shared" si="51"/>
        <v>0</v>
      </c>
      <c r="V378" s="410">
        <f t="shared" si="52"/>
        <v>0</v>
      </c>
      <c r="W378" s="246">
        <f t="shared" si="53"/>
        <v>0</v>
      </c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</row>
    <row r="379" spans="1:38" s="238" customFormat="1" ht="18.75" customHeight="1" x14ac:dyDescent="0.35">
      <c r="A379" s="195"/>
      <c r="B379" s="254"/>
      <c r="C379" s="20" t="s">
        <v>287</v>
      </c>
      <c r="D379" s="20"/>
      <c r="E379" s="363"/>
      <c r="F379" s="3"/>
      <c r="G379" s="3"/>
      <c r="H379" s="20"/>
      <c r="I379" s="20"/>
      <c r="J379" s="20"/>
      <c r="K379" s="411"/>
      <c r="L379" s="204"/>
      <c r="M379" s="255"/>
      <c r="N379" s="421">
        <f t="shared" si="55"/>
        <v>0</v>
      </c>
      <c r="P379" s="227">
        <f t="shared" si="54"/>
        <v>0</v>
      </c>
      <c r="Q379" s="230"/>
      <c r="R379" s="230">
        <f t="shared" si="56"/>
        <v>0</v>
      </c>
      <c r="S379" s="230">
        <f t="shared" si="57"/>
        <v>0</v>
      </c>
      <c r="T379" s="228">
        <f t="shared" si="50"/>
        <v>0</v>
      </c>
      <c r="U379" s="413">
        <f t="shared" si="51"/>
        <v>0</v>
      </c>
      <c r="V379" s="410">
        <f t="shared" si="52"/>
        <v>0</v>
      </c>
      <c r="W379" s="246">
        <f t="shared" si="53"/>
        <v>0</v>
      </c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</row>
    <row r="380" spans="1:38" s="238" customFormat="1" ht="18.75" customHeight="1" x14ac:dyDescent="0.35">
      <c r="A380" s="195"/>
      <c r="B380" s="254"/>
      <c r="C380" s="20" t="s">
        <v>287</v>
      </c>
      <c r="D380" s="20"/>
      <c r="E380" s="363"/>
      <c r="F380" s="3"/>
      <c r="G380" s="3"/>
      <c r="H380" s="20"/>
      <c r="I380" s="20"/>
      <c r="J380" s="20"/>
      <c r="K380" s="411"/>
      <c r="L380" s="204"/>
      <c r="M380" s="255"/>
      <c r="N380" s="421">
        <f t="shared" si="55"/>
        <v>0</v>
      </c>
      <c r="P380" s="227">
        <f t="shared" si="54"/>
        <v>0</v>
      </c>
      <c r="Q380" s="230"/>
      <c r="R380" s="230">
        <f t="shared" si="56"/>
        <v>0</v>
      </c>
      <c r="S380" s="230">
        <f t="shared" si="57"/>
        <v>0</v>
      </c>
      <c r="T380" s="228">
        <f t="shared" si="50"/>
        <v>0</v>
      </c>
      <c r="U380" s="413">
        <f t="shared" si="51"/>
        <v>0</v>
      </c>
      <c r="V380" s="410">
        <f t="shared" si="52"/>
        <v>0</v>
      </c>
      <c r="W380" s="246">
        <f t="shared" si="53"/>
        <v>0</v>
      </c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</row>
    <row r="381" spans="1:38" s="238" customFormat="1" ht="18.75" customHeight="1" x14ac:dyDescent="0.35">
      <c r="A381" s="195"/>
      <c r="B381" s="254"/>
      <c r="C381" s="20" t="s">
        <v>287</v>
      </c>
      <c r="D381" s="20"/>
      <c r="E381" s="363"/>
      <c r="F381" s="3"/>
      <c r="G381" s="3"/>
      <c r="H381" s="20"/>
      <c r="I381" s="20"/>
      <c r="J381" s="20"/>
      <c r="K381" s="411"/>
      <c r="L381" s="204"/>
      <c r="M381" s="255"/>
      <c r="N381" s="421">
        <f t="shared" si="55"/>
        <v>0</v>
      </c>
      <c r="P381" s="227">
        <f t="shared" si="54"/>
        <v>0</v>
      </c>
      <c r="Q381" s="230"/>
      <c r="R381" s="230">
        <f t="shared" si="56"/>
        <v>0</v>
      </c>
      <c r="S381" s="230">
        <f t="shared" si="57"/>
        <v>0</v>
      </c>
      <c r="T381" s="228">
        <f t="shared" si="50"/>
        <v>0</v>
      </c>
      <c r="U381" s="413">
        <f t="shared" si="51"/>
        <v>0</v>
      </c>
      <c r="V381" s="410">
        <f t="shared" si="52"/>
        <v>0</v>
      </c>
      <c r="W381" s="246">
        <f t="shared" si="53"/>
        <v>0</v>
      </c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</row>
    <row r="382" spans="1:38" s="238" customFormat="1" ht="18.75" customHeight="1" x14ac:dyDescent="0.35">
      <c r="A382" s="195"/>
      <c r="B382" s="254"/>
      <c r="C382" s="20" t="s">
        <v>287</v>
      </c>
      <c r="D382" s="20"/>
      <c r="E382" s="363"/>
      <c r="F382" s="3"/>
      <c r="G382" s="3"/>
      <c r="H382" s="20"/>
      <c r="I382" s="20"/>
      <c r="J382" s="20"/>
      <c r="K382" s="411"/>
      <c r="L382" s="204"/>
      <c r="M382" s="255"/>
      <c r="N382" s="421">
        <f t="shared" si="55"/>
        <v>0</v>
      </c>
      <c r="P382" s="227">
        <f t="shared" si="54"/>
        <v>0</v>
      </c>
      <c r="Q382" s="230"/>
      <c r="R382" s="230">
        <f t="shared" si="56"/>
        <v>0</v>
      </c>
      <c r="S382" s="230">
        <f t="shared" si="57"/>
        <v>0</v>
      </c>
      <c r="T382" s="228">
        <f t="shared" si="50"/>
        <v>0</v>
      </c>
      <c r="U382" s="413">
        <f t="shared" si="51"/>
        <v>0</v>
      </c>
      <c r="V382" s="410">
        <f t="shared" si="52"/>
        <v>0</v>
      </c>
      <c r="W382" s="246">
        <f t="shared" si="53"/>
        <v>0</v>
      </c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</row>
    <row r="383" spans="1:38" s="238" customFormat="1" ht="18.75" customHeight="1" x14ac:dyDescent="0.35">
      <c r="A383" s="195"/>
      <c r="B383" s="254"/>
      <c r="C383" s="20" t="s">
        <v>287</v>
      </c>
      <c r="D383" s="20"/>
      <c r="E383" s="363"/>
      <c r="F383" s="3"/>
      <c r="G383" s="3"/>
      <c r="H383" s="20"/>
      <c r="I383" s="20"/>
      <c r="J383" s="20"/>
      <c r="K383" s="411"/>
      <c r="L383" s="204"/>
      <c r="M383" s="255"/>
      <c r="N383" s="421">
        <f t="shared" si="55"/>
        <v>0</v>
      </c>
      <c r="P383" s="227">
        <f t="shared" si="54"/>
        <v>0</v>
      </c>
      <c r="Q383" s="230"/>
      <c r="R383" s="230">
        <f t="shared" si="56"/>
        <v>0</v>
      </c>
      <c r="S383" s="230">
        <f t="shared" si="57"/>
        <v>0</v>
      </c>
      <c r="T383" s="228">
        <f t="shared" si="50"/>
        <v>0</v>
      </c>
      <c r="U383" s="413">
        <f t="shared" si="51"/>
        <v>0</v>
      </c>
      <c r="V383" s="410">
        <f t="shared" si="52"/>
        <v>0</v>
      </c>
      <c r="W383" s="246">
        <f t="shared" si="53"/>
        <v>0</v>
      </c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</row>
    <row r="384" spans="1:38" s="238" customFormat="1" ht="18.75" customHeight="1" x14ac:dyDescent="0.35">
      <c r="A384" s="195"/>
      <c r="B384" s="254"/>
      <c r="C384" s="20" t="s">
        <v>287</v>
      </c>
      <c r="D384" s="20"/>
      <c r="E384" s="363"/>
      <c r="F384" s="3"/>
      <c r="G384" s="3"/>
      <c r="H384" s="20"/>
      <c r="I384" s="20"/>
      <c r="J384" s="20"/>
      <c r="K384" s="411"/>
      <c r="L384" s="204"/>
      <c r="M384" s="255"/>
      <c r="N384" s="421">
        <f t="shared" si="55"/>
        <v>0</v>
      </c>
      <c r="P384" s="227">
        <f t="shared" si="54"/>
        <v>0</v>
      </c>
      <c r="Q384" s="230"/>
      <c r="R384" s="230">
        <f t="shared" si="56"/>
        <v>0</v>
      </c>
      <c r="S384" s="230">
        <f t="shared" si="57"/>
        <v>0</v>
      </c>
      <c r="T384" s="228">
        <f t="shared" si="50"/>
        <v>0</v>
      </c>
      <c r="U384" s="413">
        <f t="shared" si="51"/>
        <v>0</v>
      </c>
      <c r="V384" s="410">
        <f t="shared" si="52"/>
        <v>0</v>
      </c>
      <c r="W384" s="246">
        <f t="shared" si="53"/>
        <v>0</v>
      </c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</row>
    <row r="385" spans="1:38" s="238" customFormat="1" ht="18.75" customHeight="1" x14ac:dyDescent="0.35">
      <c r="A385" s="195"/>
      <c r="B385" s="254"/>
      <c r="C385" s="20" t="s">
        <v>287</v>
      </c>
      <c r="D385" s="20"/>
      <c r="E385" s="363"/>
      <c r="F385" s="3"/>
      <c r="G385" s="3"/>
      <c r="H385" s="20"/>
      <c r="I385" s="20"/>
      <c r="J385" s="20"/>
      <c r="K385" s="411"/>
      <c r="L385" s="204"/>
      <c r="M385" s="255"/>
      <c r="N385" s="421">
        <f t="shared" si="55"/>
        <v>0</v>
      </c>
      <c r="P385" s="227">
        <f t="shared" si="54"/>
        <v>0</v>
      </c>
      <c r="Q385" s="230"/>
      <c r="R385" s="230">
        <f t="shared" si="56"/>
        <v>0</v>
      </c>
      <c r="S385" s="230">
        <f t="shared" si="57"/>
        <v>0</v>
      </c>
      <c r="T385" s="228">
        <f t="shared" si="50"/>
        <v>0</v>
      </c>
      <c r="U385" s="413">
        <f t="shared" si="51"/>
        <v>0</v>
      </c>
      <c r="V385" s="410">
        <f t="shared" si="52"/>
        <v>0</v>
      </c>
      <c r="W385" s="246">
        <f t="shared" si="53"/>
        <v>0</v>
      </c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</row>
    <row r="386" spans="1:38" s="238" customFormat="1" ht="18.75" customHeight="1" x14ac:dyDescent="0.35">
      <c r="A386" s="195"/>
      <c r="B386" s="254"/>
      <c r="C386" s="20" t="s">
        <v>287</v>
      </c>
      <c r="D386" s="20"/>
      <c r="E386" s="363"/>
      <c r="F386" s="3"/>
      <c r="G386" s="3"/>
      <c r="H386" s="20"/>
      <c r="I386" s="20"/>
      <c r="J386" s="20"/>
      <c r="K386" s="411"/>
      <c r="L386" s="204"/>
      <c r="M386" s="255"/>
      <c r="N386" s="421">
        <f t="shared" si="55"/>
        <v>0</v>
      </c>
      <c r="P386" s="227">
        <f t="shared" si="54"/>
        <v>0</v>
      </c>
      <c r="Q386" s="230"/>
      <c r="R386" s="230">
        <f t="shared" si="56"/>
        <v>0</v>
      </c>
      <c r="S386" s="230">
        <f t="shared" si="57"/>
        <v>0</v>
      </c>
      <c r="T386" s="228">
        <f t="shared" si="50"/>
        <v>0</v>
      </c>
      <c r="U386" s="413">
        <f t="shared" si="51"/>
        <v>0</v>
      </c>
      <c r="V386" s="410">
        <f t="shared" si="52"/>
        <v>0</v>
      </c>
      <c r="W386" s="246">
        <f t="shared" si="53"/>
        <v>0</v>
      </c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</row>
    <row r="387" spans="1:38" s="238" customFormat="1" ht="18.75" customHeight="1" x14ac:dyDescent="0.35">
      <c r="A387" s="195"/>
      <c r="B387" s="254"/>
      <c r="C387" s="20" t="s">
        <v>287</v>
      </c>
      <c r="D387" s="20"/>
      <c r="E387" s="363"/>
      <c r="F387" s="3"/>
      <c r="G387" s="3"/>
      <c r="H387" s="20"/>
      <c r="I387" s="20"/>
      <c r="J387" s="20"/>
      <c r="K387" s="411"/>
      <c r="L387" s="204"/>
      <c r="M387" s="255"/>
      <c r="N387" s="421">
        <f t="shared" si="55"/>
        <v>0</v>
      </c>
      <c r="P387" s="227">
        <f t="shared" si="54"/>
        <v>0</v>
      </c>
      <c r="Q387" s="230"/>
      <c r="R387" s="230">
        <f t="shared" si="56"/>
        <v>0</v>
      </c>
      <c r="S387" s="230">
        <f t="shared" si="57"/>
        <v>0</v>
      </c>
      <c r="T387" s="228">
        <f t="shared" si="50"/>
        <v>0</v>
      </c>
      <c r="U387" s="413">
        <f t="shared" si="51"/>
        <v>0</v>
      </c>
      <c r="V387" s="410">
        <f t="shared" si="52"/>
        <v>0</v>
      </c>
      <c r="W387" s="246">
        <f t="shared" si="53"/>
        <v>0</v>
      </c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</row>
    <row r="388" spans="1:38" s="238" customFormat="1" ht="18.75" customHeight="1" x14ac:dyDescent="0.35">
      <c r="A388" s="195"/>
      <c r="B388" s="254"/>
      <c r="C388" s="20" t="s">
        <v>287</v>
      </c>
      <c r="D388" s="20"/>
      <c r="E388" s="363"/>
      <c r="F388" s="3"/>
      <c r="G388" s="3"/>
      <c r="H388" s="20"/>
      <c r="I388" s="20"/>
      <c r="J388" s="20"/>
      <c r="K388" s="411"/>
      <c r="L388" s="204"/>
      <c r="M388" s="255"/>
      <c r="N388" s="421">
        <f t="shared" si="55"/>
        <v>0</v>
      </c>
      <c r="P388" s="227">
        <f t="shared" si="54"/>
        <v>0</v>
      </c>
      <c r="Q388" s="230"/>
      <c r="R388" s="230">
        <f t="shared" si="56"/>
        <v>0</v>
      </c>
      <c r="S388" s="230">
        <f t="shared" si="57"/>
        <v>0</v>
      </c>
      <c r="T388" s="228">
        <f t="shared" ref="T388:T400" si="58">L388-P388-Q388-R388-S388</f>
        <v>0</v>
      </c>
      <c r="U388" s="413">
        <f t="shared" ref="U388:U400" si="59">IF(K388="CORREO",0,N388)</f>
        <v>0</v>
      </c>
      <c r="V388" s="410">
        <f t="shared" si="52"/>
        <v>0</v>
      </c>
      <c r="W388" s="246">
        <f t="shared" si="53"/>
        <v>0</v>
      </c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</row>
    <row r="389" spans="1:38" s="238" customFormat="1" ht="18.75" customHeight="1" x14ac:dyDescent="0.35">
      <c r="A389" s="195"/>
      <c r="B389" s="254"/>
      <c r="C389" s="20" t="s">
        <v>287</v>
      </c>
      <c r="D389" s="20"/>
      <c r="E389" s="363"/>
      <c r="F389" s="3"/>
      <c r="G389" s="3"/>
      <c r="H389" s="20"/>
      <c r="I389" s="20"/>
      <c r="J389" s="20"/>
      <c r="K389" s="411"/>
      <c r="L389" s="204"/>
      <c r="M389" s="255"/>
      <c r="N389" s="421">
        <f t="shared" si="55"/>
        <v>0</v>
      </c>
      <c r="P389" s="227">
        <f t="shared" si="54"/>
        <v>0</v>
      </c>
      <c r="Q389" s="230"/>
      <c r="R389" s="230">
        <f t="shared" si="56"/>
        <v>0</v>
      </c>
      <c r="S389" s="230">
        <f t="shared" si="57"/>
        <v>0</v>
      </c>
      <c r="T389" s="228">
        <f t="shared" si="58"/>
        <v>0</v>
      </c>
      <c r="U389" s="413">
        <f t="shared" si="59"/>
        <v>0</v>
      </c>
      <c r="V389" s="410">
        <f t="shared" ref="V389:V452" si="60">T389*0.05</f>
        <v>0</v>
      </c>
      <c r="W389" s="246">
        <f t="shared" ref="W389:W452" si="61">T389*0.05</f>
        <v>0</v>
      </c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</row>
    <row r="390" spans="1:38" s="238" customFormat="1" ht="18.75" customHeight="1" x14ac:dyDescent="0.35">
      <c r="A390" s="195"/>
      <c r="B390" s="254"/>
      <c r="C390" s="20" t="s">
        <v>287</v>
      </c>
      <c r="D390" s="20"/>
      <c r="E390" s="363"/>
      <c r="F390" s="3"/>
      <c r="G390" s="3"/>
      <c r="H390" s="20"/>
      <c r="I390" s="20"/>
      <c r="J390" s="20"/>
      <c r="K390" s="411"/>
      <c r="L390" s="204"/>
      <c r="M390" s="255"/>
      <c r="N390" s="421">
        <f t="shared" si="55"/>
        <v>0</v>
      </c>
      <c r="P390" s="227">
        <f t="shared" ref="P390:P453" si="62">_xlfn.XLOOKUP(H390, AA:AA, AB:AB) * I390</f>
        <v>0</v>
      </c>
      <c r="Q390" s="230"/>
      <c r="R390" s="230">
        <f t="shared" si="56"/>
        <v>0</v>
      </c>
      <c r="S390" s="230">
        <f t="shared" si="57"/>
        <v>0</v>
      </c>
      <c r="T390" s="228">
        <f t="shared" si="58"/>
        <v>0</v>
      </c>
      <c r="U390" s="413">
        <f t="shared" si="59"/>
        <v>0</v>
      </c>
      <c r="V390" s="410">
        <f t="shared" si="60"/>
        <v>0</v>
      </c>
      <c r="W390" s="246">
        <f t="shared" si="61"/>
        <v>0</v>
      </c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</row>
    <row r="391" spans="1:38" s="238" customFormat="1" ht="18.75" customHeight="1" x14ac:dyDescent="0.35">
      <c r="A391" s="195"/>
      <c r="B391" s="254"/>
      <c r="C391" s="20" t="s">
        <v>287</v>
      </c>
      <c r="D391" s="20"/>
      <c r="E391" s="363"/>
      <c r="F391" s="3"/>
      <c r="G391" s="3"/>
      <c r="H391" s="20"/>
      <c r="I391" s="20"/>
      <c r="J391" s="20"/>
      <c r="K391" s="411"/>
      <c r="L391" s="204"/>
      <c r="M391" s="255"/>
      <c r="N391" s="421">
        <f t="shared" ref="N391:N400" si="63">M391-L391</f>
        <v>0</v>
      </c>
      <c r="P391" s="227">
        <f t="shared" si="62"/>
        <v>0</v>
      </c>
      <c r="Q391" s="230"/>
      <c r="R391" s="230">
        <f t="shared" si="56"/>
        <v>0</v>
      </c>
      <c r="S391" s="230">
        <f t="shared" si="57"/>
        <v>0</v>
      </c>
      <c r="T391" s="228">
        <f t="shared" si="58"/>
        <v>0</v>
      </c>
      <c r="U391" s="413">
        <f t="shared" si="59"/>
        <v>0</v>
      </c>
      <c r="V391" s="410">
        <f t="shared" si="60"/>
        <v>0</v>
      </c>
      <c r="W391" s="246">
        <f t="shared" si="61"/>
        <v>0</v>
      </c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</row>
    <row r="392" spans="1:38" s="238" customFormat="1" ht="18.75" customHeight="1" x14ac:dyDescent="0.35">
      <c r="A392" s="195"/>
      <c r="B392" s="254"/>
      <c r="C392" s="20" t="s">
        <v>287</v>
      </c>
      <c r="D392" s="20"/>
      <c r="E392" s="363"/>
      <c r="F392" s="3"/>
      <c r="G392" s="3"/>
      <c r="H392" s="20"/>
      <c r="I392" s="20"/>
      <c r="J392" s="20"/>
      <c r="K392" s="411"/>
      <c r="L392" s="204"/>
      <c r="M392" s="255"/>
      <c r="N392" s="421">
        <f t="shared" si="63"/>
        <v>0</v>
      </c>
      <c r="P392" s="227">
        <f t="shared" si="62"/>
        <v>0</v>
      </c>
      <c r="Q392" s="230"/>
      <c r="R392" s="230">
        <f t="shared" si="56"/>
        <v>0</v>
      </c>
      <c r="S392" s="230">
        <f t="shared" si="57"/>
        <v>0</v>
      </c>
      <c r="T392" s="228">
        <f t="shared" si="58"/>
        <v>0</v>
      </c>
      <c r="U392" s="413">
        <f t="shared" si="59"/>
        <v>0</v>
      </c>
      <c r="V392" s="410">
        <f t="shared" si="60"/>
        <v>0</v>
      </c>
      <c r="W392" s="246">
        <f t="shared" si="61"/>
        <v>0</v>
      </c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</row>
    <row r="393" spans="1:38" s="238" customFormat="1" ht="18.75" customHeight="1" x14ac:dyDescent="0.35">
      <c r="A393" s="195"/>
      <c r="B393" s="254"/>
      <c r="C393" s="20" t="s">
        <v>287</v>
      </c>
      <c r="D393" s="20"/>
      <c r="E393" s="363"/>
      <c r="F393" s="3"/>
      <c r="G393" s="3"/>
      <c r="H393" s="20"/>
      <c r="I393" s="20"/>
      <c r="J393" s="20"/>
      <c r="K393" s="411"/>
      <c r="L393" s="204"/>
      <c r="M393" s="255"/>
      <c r="N393" s="421">
        <f t="shared" si="63"/>
        <v>0</v>
      </c>
      <c r="P393" s="227">
        <f t="shared" si="62"/>
        <v>0</v>
      </c>
      <c r="Q393" s="230"/>
      <c r="R393" s="230">
        <f t="shared" si="56"/>
        <v>0</v>
      </c>
      <c r="S393" s="230">
        <f t="shared" si="57"/>
        <v>0</v>
      </c>
      <c r="T393" s="228">
        <f t="shared" si="58"/>
        <v>0</v>
      </c>
      <c r="U393" s="413">
        <f t="shared" si="59"/>
        <v>0</v>
      </c>
      <c r="V393" s="410">
        <f t="shared" si="60"/>
        <v>0</v>
      </c>
      <c r="W393" s="246">
        <f t="shared" si="61"/>
        <v>0</v>
      </c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</row>
    <row r="394" spans="1:38" s="238" customFormat="1" ht="18.75" customHeight="1" x14ac:dyDescent="0.35">
      <c r="A394" s="195"/>
      <c r="B394" s="254"/>
      <c r="C394" s="20" t="s">
        <v>287</v>
      </c>
      <c r="D394" s="20"/>
      <c r="E394" s="363"/>
      <c r="F394" s="3"/>
      <c r="G394" s="3"/>
      <c r="H394" s="20"/>
      <c r="I394" s="20"/>
      <c r="J394" s="20"/>
      <c r="K394" s="411"/>
      <c r="L394" s="204"/>
      <c r="M394" s="255"/>
      <c r="N394" s="421">
        <f t="shared" si="63"/>
        <v>0</v>
      </c>
      <c r="P394" s="227">
        <f t="shared" si="62"/>
        <v>0</v>
      </c>
      <c r="Q394" s="230"/>
      <c r="R394" s="230">
        <f t="shared" si="56"/>
        <v>0</v>
      </c>
      <c r="S394" s="230">
        <f t="shared" si="57"/>
        <v>0</v>
      </c>
      <c r="T394" s="228">
        <f t="shared" si="58"/>
        <v>0</v>
      </c>
      <c r="U394" s="413">
        <f t="shared" si="59"/>
        <v>0</v>
      </c>
      <c r="V394" s="410">
        <f t="shared" si="60"/>
        <v>0</v>
      </c>
      <c r="W394" s="246">
        <f t="shared" si="61"/>
        <v>0</v>
      </c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</row>
    <row r="395" spans="1:38" s="238" customFormat="1" ht="18.75" customHeight="1" x14ac:dyDescent="0.35">
      <c r="A395" s="195"/>
      <c r="B395" s="254"/>
      <c r="C395" s="20" t="s">
        <v>287</v>
      </c>
      <c r="D395" s="20"/>
      <c r="E395" s="363"/>
      <c r="F395" s="3"/>
      <c r="G395" s="3"/>
      <c r="H395" s="20"/>
      <c r="I395" s="20"/>
      <c r="J395" s="20"/>
      <c r="K395" s="411"/>
      <c r="L395" s="204"/>
      <c r="M395" s="255"/>
      <c r="N395" s="421">
        <f t="shared" si="63"/>
        <v>0</v>
      </c>
      <c r="P395" s="227">
        <f t="shared" si="62"/>
        <v>0</v>
      </c>
      <c r="Q395" s="230"/>
      <c r="R395" s="230">
        <f t="shared" si="56"/>
        <v>0</v>
      </c>
      <c r="S395" s="230">
        <f t="shared" si="57"/>
        <v>0</v>
      </c>
      <c r="T395" s="228">
        <f t="shared" si="58"/>
        <v>0</v>
      </c>
      <c r="U395" s="413">
        <f t="shared" si="59"/>
        <v>0</v>
      </c>
      <c r="V395" s="410">
        <f t="shared" si="60"/>
        <v>0</v>
      </c>
      <c r="W395" s="246">
        <f t="shared" si="61"/>
        <v>0</v>
      </c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</row>
    <row r="396" spans="1:38" s="238" customFormat="1" ht="18.75" customHeight="1" x14ac:dyDescent="0.35">
      <c r="A396" s="195"/>
      <c r="B396" s="254"/>
      <c r="C396" s="20" t="s">
        <v>287</v>
      </c>
      <c r="D396" s="20"/>
      <c r="E396" s="363"/>
      <c r="F396" s="3"/>
      <c r="G396" s="3"/>
      <c r="H396" s="20"/>
      <c r="I396" s="20"/>
      <c r="J396" s="20"/>
      <c r="K396" s="411"/>
      <c r="L396" s="204"/>
      <c r="M396" s="255"/>
      <c r="N396" s="421">
        <f t="shared" si="63"/>
        <v>0</v>
      </c>
      <c r="P396" s="227">
        <f t="shared" si="62"/>
        <v>0</v>
      </c>
      <c r="Q396" s="230"/>
      <c r="R396" s="230">
        <f t="shared" si="56"/>
        <v>0</v>
      </c>
      <c r="S396" s="230">
        <f t="shared" si="57"/>
        <v>0</v>
      </c>
      <c r="T396" s="228">
        <f t="shared" si="58"/>
        <v>0</v>
      </c>
      <c r="U396" s="413">
        <f t="shared" si="59"/>
        <v>0</v>
      </c>
      <c r="V396" s="410">
        <f t="shared" si="60"/>
        <v>0</v>
      </c>
      <c r="W396" s="246">
        <f t="shared" si="61"/>
        <v>0</v>
      </c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</row>
    <row r="397" spans="1:38" s="238" customFormat="1" ht="18.75" customHeight="1" x14ac:dyDescent="0.35">
      <c r="A397" s="195"/>
      <c r="B397" s="254"/>
      <c r="C397" s="20" t="s">
        <v>287</v>
      </c>
      <c r="D397" s="20"/>
      <c r="E397" s="363"/>
      <c r="F397" s="3"/>
      <c r="G397" s="3"/>
      <c r="H397" s="20"/>
      <c r="I397" s="20"/>
      <c r="J397" s="20"/>
      <c r="K397" s="411"/>
      <c r="L397" s="204"/>
      <c r="M397" s="255"/>
      <c r="N397" s="421">
        <f t="shared" si="63"/>
        <v>0</v>
      </c>
      <c r="P397" s="227">
        <f t="shared" si="62"/>
        <v>0</v>
      </c>
      <c r="Q397" s="230"/>
      <c r="R397" s="230">
        <f t="shared" si="56"/>
        <v>0</v>
      </c>
      <c r="S397" s="230">
        <f t="shared" si="57"/>
        <v>0</v>
      </c>
      <c r="T397" s="228">
        <f t="shared" si="58"/>
        <v>0</v>
      </c>
      <c r="U397" s="413">
        <f t="shared" si="59"/>
        <v>0</v>
      </c>
      <c r="V397" s="410">
        <f t="shared" si="60"/>
        <v>0</v>
      </c>
      <c r="W397" s="246">
        <f t="shared" si="61"/>
        <v>0</v>
      </c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</row>
    <row r="398" spans="1:38" s="238" customFormat="1" ht="18.75" customHeight="1" x14ac:dyDescent="0.35">
      <c r="A398" s="195"/>
      <c r="B398" s="254"/>
      <c r="C398" s="20" t="s">
        <v>287</v>
      </c>
      <c r="D398" s="20"/>
      <c r="E398" s="363"/>
      <c r="F398" s="3"/>
      <c r="G398" s="3"/>
      <c r="H398" s="20"/>
      <c r="I398" s="20"/>
      <c r="J398" s="20"/>
      <c r="K398" s="411"/>
      <c r="L398" s="204"/>
      <c r="M398" s="255"/>
      <c r="N398" s="421">
        <f t="shared" si="63"/>
        <v>0</v>
      </c>
      <c r="P398" s="227">
        <f t="shared" si="62"/>
        <v>0</v>
      </c>
      <c r="Q398" s="230"/>
      <c r="R398" s="230">
        <f t="shared" si="56"/>
        <v>0</v>
      </c>
      <c r="S398" s="230">
        <f t="shared" ref="S398:S461" si="64">M398*0.02</f>
        <v>0</v>
      </c>
      <c r="T398" s="228">
        <f t="shared" si="58"/>
        <v>0</v>
      </c>
      <c r="U398" s="413">
        <f t="shared" si="59"/>
        <v>0</v>
      </c>
      <c r="V398" s="410">
        <f t="shared" si="60"/>
        <v>0</v>
      </c>
      <c r="W398" s="246">
        <f t="shared" si="61"/>
        <v>0</v>
      </c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</row>
    <row r="399" spans="1:38" s="238" customFormat="1" ht="18.75" customHeight="1" x14ac:dyDescent="0.35">
      <c r="A399" s="195"/>
      <c r="B399" s="254"/>
      <c r="C399" s="20" t="s">
        <v>287</v>
      </c>
      <c r="D399" s="20"/>
      <c r="E399" s="363"/>
      <c r="F399" s="3"/>
      <c r="G399" s="3"/>
      <c r="H399" s="20"/>
      <c r="I399" s="20"/>
      <c r="J399" s="20"/>
      <c r="K399" s="411"/>
      <c r="L399" s="204"/>
      <c r="M399" s="255"/>
      <c r="N399" s="421">
        <f t="shared" si="63"/>
        <v>0</v>
      </c>
      <c r="P399" s="227">
        <f t="shared" si="62"/>
        <v>0</v>
      </c>
      <c r="Q399" s="230"/>
      <c r="R399" s="230">
        <f t="shared" si="56"/>
        <v>0</v>
      </c>
      <c r="S399" s="230">
        <f t="shared" si="64"/>
        <v>0</v>
      </c>
      <c r="T399" s="228">
        <f t="shared" si="58"/>
        <v>0</v>
      </c>
      <c r="U399" s="413">
        <f t="shared" si="59"/>
        <v>0</v>
      </c>
      <c r="V399" s="410">
        <f t="shared" si="60"/>
        <v>0</v>
      </c>
      <c r="W399" s="246">
        <f t="shared" si="61"/>
        <v>0</v>
      </c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</row>
    <row r="400" spans="1:38" s="238" customFormat="1" ht="18.75" customHeight="1" x14ac:dyDescent="0.35">
      <c r="A400" s="195"/>
      <c r="B400" s="254"/>
      <c r="C400" s="20" t="s">
        <v>287</v>
      </c>
      <c r="D400" s="20"/>
      <c r="E400" s="363"/>
      <c r="F400" s="3"/>
      <c r="G400" s="3"/>
      <c r="H400" s="20"/>
      <c r="I400" s="20"/>
      <c r="J400" s="20"/>
      <c r="K400" s="411"/>
      <c r="L400" s="204"/>
      <c r="M400" s="255"/>
      <c r="N400" s="421">
        <f t="shared" si="63"/>
        <v>0</v>
      </c>
      <c r="P400" s="227">
        <f t="shared" si="62"/>
        <v>0</v>
      </c>
      <c r="Q400" s="230"/>
      <c r="R400" s="230">
        <f t="shared" si="56"/>
        <v>0</v>
      </c>
      <c r="S400" s="230">
        <f t="shared" si="64"/>
        <v>0</v>
      </c>
      <c r="T400" s="228">
        <f t="shared" si="58"/>
        <v>0</v>
      </c>
      <c r="U400" s="413">
        <f t="shared" si="59"/>
        <v>0</v>
      </c>
      <c r="V400" s="410">
        <f t="shared" si="60"/>
        <v>0</v>
      </c>
      <c r="W400" s="246">
        <f t="shared" si="61"/>
        <v>0</v>
      </c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</row>
    <row r="401" spans="1:38" s="238" customFormat="1" ht="18.75" customHeight="1" x14ac:dyDescent="0.35">
      <c r="A401" s="195"/>
      <c r="B401" s="254"/>
      <c r="C401" s="20" t="s">
        <v>287</v>
      </c>
      <c r="D401" s="20"/>
      <c r="E401" s="363"/>
      <c r="F401" s="3"/>
      <c r="G401" s="3"/>
      <c r="H401" s="20"/>
      <c r="I401" s="20"/>
      <c r="J401" s="20"/>
      <c r="K401" s="411"/>
      <c r="L401" s="204"/>
      <c r="M401" s="255"/>
      <c r="N401" s="421"/>
      <c r="P401" s="227">
        <f t="shared" si="62"/>
        <v>0</v>
      </c>
      <c r="Q401" s="230"/>
      <c r="R401" s="230"/>
      <c r="S401" s="230">
        <f t="shared" si="64"/>
        <v>0</v>
      </c>
      <c r="T401" s="228">
        <f t="shared" ref="T401:T432" si="65">L401-N401-P401-Q401-R401-S401</f>
        <v>0</v>
      </c>
      <c r="U401" s="413" t="str">
        <f t="shared" ref="U401:U432" si="66">IF(K401="CORREO","0","L6")</f>
        <v>L6</v>
      </c>
      <c r="V401" s="410">
        <f t="shared" si="60"/>
        <v>0</v>
      </c>
      <c r="W401" s="246">
        <f t="shared" si="61"/>
        <v>0</v>
      </c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</row>
    <row r="402" spans="1:38" s="238" customFormat="1" ht="18.75" customHeight="1" x14ac:dyDescent="0.35">
      <c r="A402" s="195"/>
      <c r="B402" s="254"/>
      <c r="C402" s="20" t="s">
        <v>287</v>
      </c>
      <c r="D402" s="20"/>
      <c r="E402" s="363"/>
      <c r="F402" s="3"/>
      <c r="G402" s="3"/>
      <c r="H402" s="20"/>
      <c r="I402" s="20"/>
      <c r="J402" s="20"/>
      <c r="K402" s="411"/>
      <c r="L402" s="204"/>
      <c r="M402" s="255"/>
      <c r="N402" s="421"/>
      <c r="P402" s="227">
        <f t="shared" si="62"/>
        <v>0</v>
      </c>
      <c r="Q402" s="230"/>
      <c r="R402" s="230"/>
      <c r="S402" s="230">
        <f t="shared" si="64"/>
        <v>0</v>
      </c>
      <c r="T402" s="228">
        <f t="shared" si="65"/>
        <v>0</v>
      </c>
      <c r="U402" s="413" t="str">
        <f t="shared" si="66"/>
        <v>L6</v>
      </c>
      <c r="V402" s="410">
        <f t="shared" si="60"/>
        <v>0</v>
      </c>
      <c r="W402" s="246">
        <f t="shared" si="61"/>
        <v>0</v>
      </c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</row>
    <row r="403" spans="1:38" s="238" customFormat="1" ht="18.75" customHeight="1" x14ac:dyDescent="0.35">
      <c r="A403" s="195"/>
      <c r="B403" s="254"/>
      <c r="C403" s="20" t="s">
        <v>287</v>
      </c>
      <c r="D403" s="20"/>
      <c r="E403" s="363"/>
      <c r="F403" s="3"/>
      <c r="G403" s="3"/>
      <c r="H403" s="20"/>
      <c r="I403" s="20"/>
      <c r="J403" s="20"/>
      <c r="K403" s="411"/>
      <c r="L403" s="204"/>
      <c r="M403" s="255"/>
      <c r="N403" s="421"/>
      <c r="P403" s="227">
        <f t="shared" si="62"/>
        <v>0</v>
      </c>
      <c r="Q403" s="230"/>
      <c r="R403" s="230"/>
      <c r="S403" s="230">
        <f t="shared" si="64"/>
        <v>0</v>
      </c>
      <c r="T403" s="228">
        <f t="shared" si="65"/>
        <v>0</v>
      </c>
      <c r="U403" s="413" t="str">
        <f t="shared" si="66"/>
        <v>L6</v>
      </c>
      <c r="V403" s="410">
        <f t="shared" si="60"/>
        <v>0</v>
      </c>
      <c r="W403" s="246">
        <f t="shared" si="61"/>
        <v>0</v>
      </c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</row>
    <row r="404" spans="1:38" s="238" customFormat="1" ht="18.75" customHeight="1" x14ac:dyDescent="0.35">
      <c r="A404" s="195"/>
      <c r="B404" s="254"/>
      <c r="C404" s="20" t="s">
        <v>287</v>
      </c>
      <c r="D404" s="20"/>
      <c r="E404" s="363"/>
      <c r="F404" s="3"/>
      <c r="G404" s="3"/>
      <c r="H404" s="20"/>
      <c r="I404" s="20"/>
      <c r="J404" s="20"/>
      <c r="K404" s="411"/>
      <c r="L404" s="204"/>
      <c r="M404" s="255"/>
      <c r="N404" s="421"/>
      <c r="P404" s="227">
        <f t="shared" si="62"/>
        <v>0</v>
      </c>
      <c r="Q404" s="230"/>
      <c r="R404" s="230"/>
      <c r="S404" s="230">
        <f t="shared" si="64"/>
        <v>0</v>
      </c>
      <c r="T404" s="228">
        <f t="shared" si="65"/>
        <v>0</v>
      </c>
      <c r="U404" s="413" t="str">
        <f t="shared" si="66"/>
        <v>L6</v>
      </c>
      <c r="V404" s="410">
        <f t="shared" si="60"/>
        <v>0</v>
      </c>
      <c r="W404" s="246">
        <f t="shared" si="61"/>
        <v>0</v>
      </c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</row>
    <row r="405" spans="1:38" s="238" customFormat="1" ht="18.75" customHeight="1" x14ac:dyDescent="0.35">
      <c r="A405" s="195"/>
      <c r="B405" s="254"/>
      <c r="C405" s="20" t="s">
        <v>287</v>
      </c>
      <c r="D405" s="20"/>
      <c r="E405" s="363"/>
      <c r="F405" s="3"/>
      <c r="G405" s="3"/>
      <c r="H405" s="20"/>
      <c r="I405" s="20"/>
      <c r="J405" s="20"/>
      <c r="K405" s="411"/>
      <c r="L405" s="204"/>
      <c r="M405" s="255"/>
      <c r="N405" s="421"/>
      <c r="P405" s="227">
        <f t="shared" si="62"/>
        <v>0</v>
      </c>
      <c r="Q405" s="230"/>
      <c r="R405" s="230"/>
      <c r="S405" s="230">
        <f t="shared" si="64"/>
        <v>0</v>
      </c>
      <c r="T405" s="228">
        <f t="shared" si="65"/>
        <v>0</v>
      </c>
      <c r="U405" s="413" t="str">
        <f t="shared" si="66"/>
        <v>L6</v>
      </c>
      <c r="V405" s="410">
        <f t="shared" si="60"/>
        <v>0</v>
      </c>
      <c r="W405" s="246">
        <f t="shared" si="61"/>
        <v>0</v>
      </c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</row>
    <row r="406" spans="1:38" s="238" customFormat="1" ht="18.75" customHeight="1" x14ac:dyDescent="0.35">
      <c r="A406" s="195"/>
      <c r="B406" s="254"/>
      <c r="C406" s="20" t="s">
        <v>287</v>
      </c>
      <c r="D406" s="20"/>
      <c r="E406" s="363"/>
      <c r="F406" s="3"/>
      <c r="G406" s="3"/>
      <c r="H406" s="20"/>
      <c r="I406" s="20"/>
      <c r="J406" s="20"/>
      <c r="K406" s="411"/>
      <c r="L406" s="204"/>
      <c r="M406" s="255"/>
      <c r="N406" s="421"/>
      <c r="P406" s="227">
        <f t="shared" si="62"/>
        <v>0</v>
      </c>
      <c r="Q406" s="230"/>
      <c r="R406" s="230"/>
      <c r="S406" s="230">
        <f t="shared" si="64"/>
        <v>0</v>
      </c>
      <c r="T406" s="228">
        <f t="shared" si="65"/>
        <v>0</v>
      </c>
      <c r="U406" s="413" t="str">
        <f t="shared" si="66"/>
        <v>L6</v>
      </c>
      <c r="V406" s="410">
        <f t="shared" si="60"/>
        <v>0</v>
      </c>
      <c r="W406" s="246">
        <f t="shared" si="61"/>
        <v>0</v>
      </c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</row>
    <row r="407" spans="1:38" s="238" customFormat="1" ht="18.75" customHeight="1" x14ac:dyDescent="0.35">
      <c r="A407" s="195"/>
      <c r="B407" s="254"/>
      <c r="C407" s="20" t="s">
        <v>287</v>
      </c>
      <c r="D407" s="20"/>
      <c r="E407" s="363"/>
      <c r="F407" s="3"/>
      <c r="G407" s="3"/>
      <c r="H407" s="20"/>
      <c r="I407" s="20"/>
      <c r="J407" s="20"/>
      <c r="K407" s="411"/>
      <c r="L407" s="204"/>
      <c r="M407" s="255"/>
      <c r="N407" s="421"/>
      <c r="P407" s="227">
        <f t="shared" si="62"/>
        <v>0</v>
      </c>
      <c r="Q407" s="230"/>
      <c r="R407" s="230"/>
      <c r="S407" s="230">
        <f t="shared" si="64"/>
        <v>0</v>
      </c>
      <c r="T407" s="228">
        <f t="shared" si="65"/>
        <v>0</v>
      </c>
      <c r="U407" s="413" t="str">
        <f t="shared" si="66"/>
        <v>L6</v>
      </c>
      <c r="V407" s="410">
        <f t="shared" si="60"/>
        <v>0</v>
      </c>
      <c r="W407" s="246">
        <f t="shared" si="61"/>
        <v>0</v>
      </c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</row>
    <row r="408" spans="1:38" s="238" customFormat="1" ht="18.75" customHeight="1" x14ac:dyDescent="0.35">
      <c r="A408" s="195"/>
      <c r="B408" s="254"/>
      <c r="C408" s="20" t="s">
        <v>287</v>
      </c>
      <c r="D408" s="20"/>
      <c r="E408" s="363"/>
      <c r="F408" s="3"/>
      <c r="G408" s="3"/>
      <c r="H408" s="20"/>
      <c r="I408" s="20"/>
      <c r="J408" s="20"/>
      <c r="K408" s="411"/>
      <c r="L408" s="204"/>
      <c r="M408" s="255"/>
      <c r="N408" s="421"/>
      <c r="P408" s="227">
        <f t="shared" si="62"/>
        <v>0</v>
      </c>
      <c r="Q408" s="230"/>
      <c r="R408" s="230"/>
      <c r="S408" s="230">
        <f t="shared" si="64"/>
        <v>0</v>
      </c>
      <c r="T408" s="228">
        <f t="shared" si="65"/>
        <v>0</v>
      </c>
      <c r="U408" s="413" t="str">
        <f t="shared" si="66"/>
        <v>L6</v>
      </c>
      <c r="V408" s="410">
        <f t="shared" si="60"/>
        <v>0</v>
      </c>
      <c r="W408" s="246">
        <f t="shared" si="61"/>
        <v>0</v>
      </c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</row>
    <row r="409" spans="1:38" s="238" customFormat="1" ht="18.75" customHeight="1" x14ac:dyDescent="0.35">
      <c r="A409" s="195"/>
      <c r="B409" s="254"/>
      <c r="C409" s="20" t="s">
        <v>287</v>
      </c>
      <c r="D409" s="20"/>
      <c r="E409" s="363"/>
      <c r="F409" s="3"/>
      <c r="G409" s="3"/>
      <c r="H409" s="20"/>
      <c r="I409" s="20"/>
      <c r="J409" s="20"/>
      <c r="K409" s="411"/>
      <c r="L409" s="204"/>
      <c r="M409" s="255"/>
      <c r="N409" s="421"/>
      <c r="P409" s="227">
        <f t="shared" si="62"/>
        <v>0</v>
      </c>
      <c r="Q409" s="230"/>
      <c r="R409" s="230"/>
      <c r="S409" s="230">
        <f t="shared" si="64"/>
        <v>0</v>
      </c>
      <c r="T409" s="228">
        <f t="shared" si="65"/>
        <v>0</v>
      </c>
      <c r="U409" s="413" t="str">
        <f t="shared" si="66"/>
        <v>L6</v>
      </c>
      <c r="V409" s="410">
        <f t="shared" si="60"/>
        <v>0</v>
      </c>
      <c r="W409" s="246">
        <f t="shared" si="61"/>
        <v>0</v>
      </c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</row>
    <row r="410" spans="1:38" s="238" customFormat="1" ht="18.75" customHeight="1" x14ac:dyDescent="0.35">
      <c r="A410" s="195"/>
      <c r="B410" s="254"/>
      <c r="C410" s="20" t="s">
        <v>287</v>
      </c>
      <c r="D410" s="20"/>
      <c r="E410" s="363"/>
      <c r="F410" s="3"/>
      <c r="G410" s="3"/>
      <c r="H410" s="20"/>
      <c r="I410" s="20"/>
      <c r="J410" s="20"/>
      <c r="K410" s="411"/>
      <c r="L410" s="204"/>
      <c r="M410" s="255"/>
      <c r="N410" s="421"/>
      <c r="P410" s="227">
        <f t="shared" si="62"/>
        <v>0</v>
      </c>
      <c r="Q410" s="230"/>
      <c r="R410" s="230"/>
      <c r="S410" s="230">
        <f t="shared" si="64"/>
        <v>0</v>
      </c>
      <c r="T410" s="228">
        <f t="shared" si="65"/>
        <v>0</v>
      </c>
      <c r="U410" s="413" t="str">
        <f t="shared" si="66"/>
        <v>L6</v>
      </c>
      <c r="V410" s="410">
        <f t="shared" si="60"/>
        <v>0</v>
      </c>
      <c r="W410" s="246">
        <f t="shared" si="61"/>
        <v>0</v>
      </c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</row>
    <row r="411" spans="1:38" s="238" customFormat="1" ht="18.75" customHeight="1" x14ac:dyDescent="0.35">
      <c r="A411" s="195"/>
      <c r="B411" s="254"/>
      <c r="C411" s="20" t="s">
        <v>287</v>
      </c>
      <c r="D411" s="20"/>
      <c r="E411" s="363"/>
      <c r="F411" s="3"/>
      <c r="G411" s="3"/>
      <c r="H411" s="20"/>
      <c r="I411" s="20"/>
      <c r="J411" s="20"/>
      <c r="K411" s="411"/>
      <c r="L411" s="204"/>
      <c r="M411" s="255"/>
      <c r="N411" s="421"/>
      <c r="P411" s="227">
        <f t="shared" si="62"/>
        <v>0</v>
      </c>
      <c r="Q411" s="230"/>
      <c r="R411" s="230"/>
      <c r="S411" s="230">
        <f t="shared" si="64"/>
        <v>0</v>
      </c>
      <c r="T411" s="228">
        <f t="shared" si="65"/>
        <v>0</v>
      </c>
      <c r="U411" s="413" t="str">
        <f t="shared" si="66"/>
        <v>L6</v>
      </c>
      <c r="V411" s="410">
        <f t="shared" si="60"/>
        <v>0</v>
      </c>
      <c r="W411" s="246">
        <f t="shared" si="61"/>
        <v>0</v>
      </c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</row>
    <row r="412" spans="1:38" s="238" customFormat="1" ht="18.75" customHeight="1" x14ac:dyDescent="0.35">
      <c r="A412" s="195"/>
      <c r="B412" s="254"/>
      <c r="C412" s="20" t="s">
        <v>287</v>
      </c>
      <c r="D412" s="20"/>
      <c r="E412" s="363"/>
      <c r="F412" s="3"/>
      <c r="G412" s="3"/>
      <c r="H412" s="20"/>
      <c r="I412" s="20"/>
      <c r="J412" s="20"/>
      <c r="K412" s="411"/>
      <c r="L412" s="204"/>
      <c r="M412" s="255"/>
      <c r="N412" s="421"/>
      <c r="P412" s="227">
        <f t="shared" si="62"/>
        <v>0</v>
      </c>
      <c r="Q412" s="230"/>
      <c r="R412" s="230"/>
      <c r="S412" s="230">
        <f t="shared" si="64"/>
        <v>0</v>
      </c>
      <c r="T412" s="228">
        <f t="shared" si="65"/>
        <v>0</v>
      </c>
      <c r="U412" s="413" t="str">
        <f t="shared" si="66"/>
        <v>L6</v>
      </c>
      <c r="V412" s="410">
        <f t="shared" si="60"/>
        <v>0</v>
      </c>
      <c r="W412" s="246">
        <f t="shared" si="61"/>
        <v>0</v>
      </c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</row>
    <row r="413" spans="1:38" s="238" customFormat="1" ht="18.75" customHeight="1" x14ac:dyDescent="0.35">
      <c r="A413" s="195"/>
      <c r="B413" s="254"/>
      <c r="C413" s="20" t="s">
        <v>287</v>
      </c>
      <c r="D413" s="20"/>
      <c r="E413" s="363"/>
      <c r="F413" s="3"/>
      <c r="G413" s="3"/>
      <c r="H413" s="20"/>
      <c r="I413" s="20"/>
      <c r="J413" s="20"/>
      <c r="K413" s="411"/>
      <c r="L413" s="204"/>
      <c r="M413" s="255"/>
      <c r="N413" s="421"/>
      <c r="P413" s="227">
        <f t="shared" si="62"/>
        <v>0</v>
      </c>
      <c r="Q413" s="230"/>
      <c r="R413" s="230"/>
      <c r="S413" s="230">
        <f t="shared" si="64"/>
        <v>0</v>
      </c>
      <c r="T413" s="228">
        <f t="shared" si="65"/>
        <v>0</v>
      </c>
      <c r="U413" s="413" t="str">
        <f t="shared" si="66"/>
        <v>L6</v>
      </c>
      <c r="V413" s="410">
        <f t="shared" si="60"/>
        <v>0</v>
      </c>
      <c r="W413" s="246">
        <f t="shared" si="61"/>
        <v>0</v>
      </c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</row>
    <row r="414" spans="1:38" s="238" customFormat="1" ht="18.75" customHeight="1" x14ac:dyDescent="0.35">
      <c r="A414" s="195"/>
      <c r="B414" s="254"/>
      <c r="C414" s="20" t="s">
        <v>287</v>
      </c>
      <c r="D414" s="20"/>
      <c r="E414" s="363"/>
      <c r="F414" s="3"/>
      <c r="G414" s="3"/>
      <c r="H414" s="20"/>
      <c r="I414" s="20"/>
      <c r="J414" s="20"/>
      <c r="K414" s="411"/>
      <c r="L414" s="204"/>
      <c r="M414" s="255"/>
      <c r="N414" s="421"/>
      <c r="P414" s="227">
        <f t="shared" si="62"/>
        <v>0</v>
      </c>
      <c r="Q414" s="230"/>
      <c r="R414" s="230"/>
      <c r="S414" s="230">
        <f t="shared" si="64"/>
        <v>0</v>
      </c>
      <c r="T414" s="228">
        <f t="shared" si="65"/>
        <v>0</v>
      </c>
      <c r="U414" s="413" t="str">
        <f t="shared" si="66"/>
        <v>L6</v>
      </c>
      <c r="V414" s="410">
        <f t="shared" si="60"/>
        <v>0</v>
      </c>
      <c r="W414" s="246">
        <f t="shared" si="61"/>
        <v>0</v>
      </c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</row>
    <row r="415" spans="1:38" s="238" customFormat="1" ht="18.75" customHeight="1" x14ac:dyDescent="0.35">
      <c r="A415" s="195"/>
      <c r="B415" s="254"/>
      <c r="C415" s="20" t="s">
        <v>287</v>
      </c>
      <c r="D415" s="20"/>
      <c r="E415" s="363"/>
      <c r="F415" s="3"/>
      <c r="G415" s="3"/>
      <c r="H415" s="20"/>
      <c r="I415" s="20"/>
      <c r="J415" s="20"/>
      <c r="K415" s="411"/>
      <c r="L415" s="204"/>
      <c r="M415" s="255"/>
      <c r="N415" s="421"/>
      <c r="P415" s="227">
        <f t="shared" si="62"/>
        <v>0</v>
      </c>
      <c r="Q415" s="230"/>
      <c r="R415" s="230"/>
      <c r="S415" s="230">
        <f t="shared" si="64"/>
        <v>0</v>
      </c>
      <c r="T415" s="228">
        <f t="shared" si="65"/>
        <v>0</v>
      </c>
      <c r="U415" s="413" t="str">
        <f t="shared" si="66"/>
        <v>L6</v>
      </c>
      <c r="V415" s="410">
        <f t="shared" si="60"/>
        <v>0</v>
      </c>
      <c r="W415" s="246">
        <f t="shared" si="61"/>
        <v>0</v>
      </c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</row>
    <row r="416" spans="1:38" s="238" customFormat="1" ht="18.75" customHeight="1" x14ac:dyDescent="0.35">
      <c r="A416" s="195"/>
      <c r="B416" s="254"/>
      <c r="C416" s="20" t="s">
        <v>287</v>
      </c>
      <c r="D416" s="20"/>
      <c r="E416" s="363"/>
      <c r="F416" s="3"/>
      <c r="G416" s="3"/>
      <c r="H416" s="20"/>
      <c r="I416" s="20"/>
      <c r="J416" s="20"/>
      <c r="K416" s="411"/>
      <c r="L416" s="204"/>
      <c r="M416" s="255"/>
      <c r="N416" s="421"/>
      <c r="P416" s="227">
        <f t="shared" si="62"/>
        <v>0</v>
      </c>
      <c r="Q416" s="230"/>
      <c r="R416" s="230"/>
      <c r="S416" s="230">
        <f t="shared" si="64"/>
        <v>0</v>
      </c>
      <c r="T416" s="228">
        <f t="shared" si="65"/>
        <v>0</v>
      </c>
      <c r="U416" s="413" t="str">
        <f t="shared" si="66"/>
        <v>L6</v>
      </c>
      <c r="V416" s="410">
        <f t="shared" si="60"/>
        <v>0</v>
      </c>
      <c r="W416" s="246">
        <f t="shared" si="61"/>
        <v>0</v>
      </c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</row>
    <row r="417" spans="1:38" s="238" customFormat="1" ht="18.75" customHeight="1" x14ac:dyDescent="0.35">
      <c r="A417" s="195"/>
      <c r="B417" s="254"/>
      <c r="C417" s="20" t="s">
        <v>287</v>
      </c>
      <c r="D417" s="20"/>
      <c r="E417" s="363"/>
      <c r="F417" s="3"/>
      <c r="G417" s="3"/>
      <c r="H417" s="20"/>
      <c r="I417" s="20"/>
      <c r="J417" s="20"/>
      <c r="K417" s="411"/>
      <c r="L417" s="204"/>
      <c r="M417" s="255"/>
      <c r="N417" s="421"/>
      <c r="P417" s="227">
        <f t="shared" si="62"/>
        <v>0</v>
      </c>
      <c r="Q417" s="230"/>
      <c r="R417" s="230"/>
      <c r="S417" s="230">
        <f t="shared" si="64"/>
        <v>0</v>
      </c>
      <c r="T417" s="228">
        <f t="shared" si="65"/>
        <v>0</v>
      </c>
      <c r="U417" s="413" t="str">
        <f t="shared" si="66"/>
        <v>L6</v>
      </c>
      <c r="V417" s="410">
        <f t="shared" si="60"/>
        <v>0</v>
      </c>
      <c r="W417" s="246">
        <f t="shared" si="61"/>
        <v>0</v>
      </c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</row>
    <row r="418" spans="1:38" s="238" customFormat="1" ht="18.75" customHeight="1" x14ac:dyDescent="0.35">
      <c r="A418" s="195"/>
      <c r="B418" s="254"/>
      <c r="C418" s="20" t="s">
        <v>287</v>
      </c>
      <c r="D418" s="20"/>
      <c r="E418" s="363"/>
      <c r="F418" s="3"/>
      <c r="G418" s="3"/>
      <c r="H418" s="20"/>
      <c r="I418" s="20"/>
      <c r="J418" s="20"/>
      <c r="K418" s="411"/>
      <c r="L418" s="204"/>
      <c r="M418" s="255"/>
      <c r="N418" s="421"/>
      <c r="P418" s="227">
        <f t="shared" si="62"/>
        <v>0</v>
      </c>
      <c r="Q418" s="230"/>
      <c r="R418" s="230"/>
      <c r="S418" s="230">
        <f t="shared" si="64"/>
        <v>0</v>
      </c>
      <c r="T418" s="228">
        <f t="shared" si="65"/>
        <v>0</v>
      </c>
      <c r="U418" s="413" t="str">
        <f t="shared" si="66"/>
        <v>L6</v>
      </c>
      <c r="V418" s="410">
        <f t="shared" si="60"/>
        <v>0</v>
      </c>
      <c r="W418" s="246">
        <f t="shared" si="61"/>
        <v>0</v>
      </c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</row>
    <row r="419" spans="1:38" s="238" customFormat="1" ht="18.75" customHeight="1" x14ac:dyDescent="0.35">
      <c r="A419" s="195"/>
      <c r="B419" s="254"/>
      <c r="C419" s="20" t="s">
        <v>287</v>
      </c>
      <c r="D419" s="20"/>
      <c r="E419" s="363"/>
      <c r="F419" s="3"/>
      <c r="G419" s="3"/>
      <c r="H419" s="20"/>
      <c r="I419" s="20"/>
      <c r="J419" s="20"/>
      <c r="K419" s="411"/>
      <c r="L419" s="204"/>
      <c r="M419" s="255"/>
      <c r="N419" s="421"/>
      <c r="P419" s="227">
        <f t="shared" si="62"/>
        <v>0</v>
      </c>
      <c r="Q419" s="230"/>
      <c r="R419" s="230"/>
      <c r="S419" s="230">
        <f t="shared" si="64"/>
        <v>0</v>
      </c>
      <c r="T419" s="228">
        <f t="shared" si="65"/>
        <v>0</v>
      </c>
      <c r="U419" s="413" t="str">
        <f t="shared" si="66"/>
        <v>L6</v>
      </c>
      <c r="V419" s="410">
        <f t="shared" si="60"/>
        <v>0</v>
      </c>
      <c r="W419" s="246">
        <f t="shared" si="61"/>
        <v>0</v>
      </c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</row>
    <row r="420" spans="1:38" s="238" customFormat="1" ht="18.75" customHeight="1" x14ac:dyDescent="0.35">
      <c r="A420" s="195"/>
      <c r="B420" s="254"/>
      <c r="C420" s="20"/>
      <c r="D420" s="20"/>
      <c r="E420" s="363"/>
      <c r="F420" s="3"/>
      <c r="G420" s="3"/>
      <c r="H420" s="20"/>
      <c r="I420" s="20"/>
      <c r="J420" s="20"/>
      <c r="K420" s="411"/>
      <c r="L420" s="204"/>
      <c r="M420" s="255"/>
      <c r="N420" s="421"/>
      <c r="P420" s="227">
        <f t="shared" si="62"/>
        <v>0</v>
      </c>
      <c r="Q420" s="230"/>
      <c r="R420" s="230"/>
      <c r="S420" s="230">
        <f t="shared" si="64"/>
        <v>0</v>
      </c>
      <c r="T420" s="228">
        <f t="shared" si="65"/>
        <v>0</v>
      </c>
      <c r="U420" s="413" t="str">
        <f t="shared" si="66"/>
        <v>L6</v>
      </c>
      <c r="V420" s="410">
        <f t="shared" si="60"/>
        <v>0</v>
      </c>
      <c r="W420" s="246">
        <f t="shared" si="61"/>
        <v>0</v>
      </c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</row>
    <row r="421" spans="1:38" s="238" customFormat="1" ht="18.75" customHeight="1" x14ac:dyDescent="0.35">
      <c r="A421" s="195"/>
      <c r="B421" s="254"/>
      <c r="C421" s="20"/>
      <c r="D421" s="20"/>
      <c r="E421" s="363"/>
      <c r="F421" s="3"/>
      <c r="G421" s="3"/>
      <c r="H421" s="20"/>
      <c r="I421" s="20"/>
      <c r="J421" s="20"/>
      <c r="K421" s="411"/>
      <c r="L421" s="204"/>
      <c r="M421" s="255"/>
      <c r="N421" s="421"/>
      <c r="P421" s="227">
        <f t="shared" si="62"/>
        <v>0</v>
      </c>
      <c r="Q421" s="230"/>
      <c r="R421" s="230"/>
      <c r="S421" s="230">
        <f t="shared" si="64"/>
        <v>0</v>
      </c>
      <c r="T421" s="228">
        <f t="shared" si="65"/>
        <v>0</v>
      </c>
      <c r="U421" s="413" t="str">
        <f t="shared" si="66"/>
        <v>L6</v>
      </c>
      <c r="V421" s="410">
        <f t="shared" si="60"/>
        <v>0</v>
      </c>
      <c r="W421" s="246">
        <f t="shared" si="61"/>
        <v>0</v>
      </c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</row>
    <row r="422" spans="1:38" s="238" customFormat="1" ht="18.75" customHeight="1" x14ac:dyDescent="0.35">
      <c r="A422" s="195"/>
      <c r="B422" s="254"/>
      <c r="C422" s="20"/>
      <c r="D422" s="20"/>
      <c r="E422" s="363"/>
      <c r="F422" s="3"/>
      <c r="G422" s="3"/>
      <c r="H422" s="20"/>
      <c r="I422" s="20"/>
      <c r="J422" s="20"/>
      <c r="K422" s="411"/>
      <c r="L422" s="204"/>
      <c r="M422" s="255"/>
      <c r="N422" s="421"/>
      <c r="P422" s="227">
        <f t="shared" si="62"/>
        <v>0</v>
      </c>
      <c r="Q422" s="230"/>
      <c r="R422" s="230"/>
      <c r="S422" s="230">
        <f t="shared" si="64"/>
        <v>0</v>
      </c>
      <c r="T422" s="228">
        <f t="shared" si="65"/>
        <v>0</v>
      </c>
      <c r="U422" s="413" t="str">
        <f t="shared" si="66"/>
        <v>L6</v>
      </c>
      <c r="V422" s="410">
        <f t="shared" si="60"/>
        <v>0</v>
      </c>
      <c r="W422" s="246">
        <f t="shared" si="61"/>
        <v>0</v>
      </c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</row>
    <row r="423" spans="1:38" s="238" customFormat="1" ht="18.75" customHeight="1" x14ac:dyDescent="0.35">
      <c r="A423" s="195"/>
      <c r="B423" s="254"/>
      <c r="C423" s="20"/>
      <c r="D423" s="20"/>
      <c r="E423" s="363"/>
      <c r="F423" s="3"/>
      <c r="G423" s="3"/>
      <c r="H423" s="20"/>
      <c r="I423" s="20"/>
      <c r="J423" s="20"/>
      <c r="K423" s="411"/>
      <c r="L423" s="204"/>
      <c r="M423" s="255"/>
      <c r="N423" s="421"/>
      <c r="P423" s="227">
        <f t="shared" si="62"/>
        <v>0</v>
      </c>
      <c r="Q423" s="230"/>
      <c r="R423" s="230"/>
      <c r="S423" s="230">
        <f t="shared" si="64"/>
        <v>0</v>
      </c>
      <c r="T423" s="228">
        <f t="shared" si="65"/>
        <v>0</v>
      </c>
      <c r="U423" s="413" t="str">
        <f t="shared" si="66"/>
        <v>L6</v>
      </c>
      <c r="V423" s="410">
        <f t="shared" si="60"/>
        <v>0</v>
      </c>
      <c r="W423" s="246">
        <f t="shared" si="61"/>
        <v>0</v>
      </c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</row>
    <row r="424" spans="1:38" s="238" customFormat="1" ht="18.75" customHeight="1" x14ac:dyDescent="0.35">
      <c r="A424" s="195"/>
      <c r="B424" s="254"/>
      <c r="C424" s="20"/>
      <c r="D424" s="20"/>
      <c r="E424" s="363"/>
      <c r="F424" s="3"/>
      <c r="G424" s="3"/>
      <c r="H424" s="20"/>
      <c r="I424" s="20"/>
      <c r="J424" s="20"/>
      <c r="K424" s="411"/>
      <c r="L424" s="204"/>
      <c r="M424" s="255"/>
      <c r="N424" s="421"/>
      <c r="P424" s="227">
        <f t="shared" si="62"/>
        <v>0</v>
      </c>
      <c r="Q424" s="230"/>
      <c r="R424" s="230"/>
      <c r="S424" s="230">
        <f t="shared" si="64"/>
        <v>0</v>
      </c>
      <c r="T424" s="228">
        <f t="shared" si="65"/>
        <v>0</v>
      </c>
      <c r="U424" s="413" t="str">
        <f t="shared" si="66"/>
        <v>L6</v>
      </c>
      <c r="V424" s="410">
        <f t="shared" si="60"/>
        <v>0</v>
      </c>
      <c r="W424" s="246">
        <f t="shared" si="61"/>
        <v>0</v>
      </c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</row>
    <row r="425" spans="1:38" s="238" customFormat="1" ht="18.75" customHeight="1" x14ac:dyDescent="0.35">
      <c r="A425" s="195"/>
      <c r="B425" s="254"/>
      <c r="C425" s="20"/>
      <c r="D425" s="20"/>
      <c r="E425" s="363"/>
      <c r="F425" s="3"/>
      <c r="G425" s="3"/>
      <c r="H425" s="20"/>
      <c r="I425" s="20"/>
      <c r="J425" s="20"/>
      <c r="K425" s="411"/>
      <c r="L425" s="204"/>
      <c r="M425" s="255"/>
      <c r="N425" s="421"/>
      <c r="P425" s="227">
        <f t="shared" si="62"/>
        <v>0</v>
      </c>
      <c r="Q425" s="230"/>
      <c r="R425" s="230"/>
      <c r="S425" s="230">
        <f t="shared" si="64"/>
        <v>0</v>
      </c>
      <c r="T425" s="228">
        <f t="shared" si="65"/>
        <v>0</v>
      </c>
      <c r="U425" s="413" t="str">
        <f t="shared" si="66"/>
        <v>L6</v>
      </c>
      <c r="V425" s="410">
        <f t="shared" si="60"/>
        <v>0</v>
      </c>
      <c r="W425" s="246">
        <f t="shared" si="61"/>
        <v>0</v>
      </c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</row>
    <row r="426" spans="1:38" s="238" customFormat="1" ht="18.75" customHeight="1" x14ac:dyDescent="0.35">
      <c r="A426" s="195"/>
      <c r="B426" s="254"/>
      <c r="C426" s="20"/>
      <c r="D426" s="20"/>
      <c r="E426" s="363"/>
      <c r="F426" s="3"/>
      <c r="G426" s="3"/>
      <c r="H426" s="20"/>
      <c r="I426" s="20"/>
      <c r="J426" s="20"/>
      <c r="K426" s="411"/>
      <c r="L426" s="204"/>
      <c r="M426" s="255"/>
      <c r="N426" s="421"/>
      <c r="P426" s="227">
        <f t="shared" si="62"/>
        <v>0</v>
      </c>
      <c r="Q426" s="230"/>
      <c r="R426" s="230"/>
      <c r="S426" s="230">
        <f t="shared" si="64"/>
        <v>0</v>
      </c>
      <c r="T426" s="228">
        <f t="shared" si="65"/>
        <v>0</v>
      </c>
      <c r="U426" s="413" t="str">
        <f t="shared" si="66"/>
        <v>L6</v>
      </c>
      <c r="V426" s="410">
        <f t="shared" si="60"/>
        <v>0</v>
      </c>
      <c r="W426" s="246">
        <f t="shared" si="61"/>
        <v>0</v>
      </c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</row>
    <row r="427" spans="1:38" s="238" customFormat="1" ht="18.75" customHeight="1" x14ac:dyDescent="0.35">
      <c r="A427" s="195"/>
      <c r="B427" s="254"/>
      <c r="C427" s="20"/>
      <c r="D427" s="20"/>
      <c r="E427" s="363"/>
      <c r="F427" s="3"/>
      <c r="G427" s="3"/>
      <c r="H427" s="20"/>
      <c r="I427" s="20"/>
      <c r="J427" s="20"/>
      <c r="K427" s="411"/>
      <c r="L427" s="204"/>
      <c r="M427" s="255"/>
      <c r="N427" s="421"/>
      <c r="P427" s="227">
        <f t="shared" si="62"/>
        <v>0</v>
      </c>
      <c r="Q427" s="230"/>
      <c r="R427" s="230"/>
      <c r="S427" s="230">
        <f t="shared" si="64"/>
        <v>0</v>
      </c>
      <c r="T427" s="228">
        <f t="shared" si="65"/>
        <v>0</v>
      </c>
      <c r="U427" s="413" t="str">
        <f t="shared" si="66"/>
        <v>L6</v>
      </c>
      <c r="V427" s="410">
        <f t="shared" si="60"/>
        <v>0</v>
      </c>
      <c r="W427" s="246">
        <f t="shared" si="61"/>
        <v>0</v>
      </c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</row>
    <row r="428" spans="1:38" s="238" customFormat="1" ht="18.75" customHeight="1" x14ac:dyDescent="0.35">
      <c r="A428" s="195"/>
      <c r="B428" s="254"/>
      <c r="C428" s="20"/>
      <c r="D428" s="20"/>
      <c r="E428" s="363"/>
      <c r="F428" s="3"/>
      <c r="G428" s="3"/>
      <c r="H428" s="20"/>
      <c r="I428" s="20"/>
      <c r="J428" s="20"/>
      <c r="K428" s="411"/>
      <c r="L428" s="204"/>
      <c r="M428" s="255"/>
      <c r="N428" s="421"/>
      <c r="P428" s="227">
        <f t="shared" si="62"/>
        <v>0</v>
      </c>
      <c r="Q428" s="230"/>
      <c r="R428" s="230"/>
      <c r="S428" s="230">
        <f t="shared" si="64"/>
        <v>0</v>
      </c>
      <c r="T428" s="228">
        <f t="shared" si="65"/>
        <v>0</v>
      </c>
      <c r="U428" s="413" t="str">
        <f t="shared" si="66"/>
        <v>L6</v>
      </c>
      <c r="V428" s="410">
        <f t="shared" si="60"/>
        <v>0</v>
      </c>
      <c r="W428" s="246">
        <f t="shared" si="61"/>
        <v>0</v>
      </c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</row>
    <row r="429" spans="1:38" s="238" customFormat="1" ht="18.75" customHeight="1" x14ac:dyDescent="0.35">
      <c r="A429" s="195"/>
      <c r="B429" s="254"/>
      <c r="C429" s="20"/>
      <c r="D429" s="20"/>
      <c r="E429" s="363"/>
      <c r="F429" s="3"/>
      <c r="G429" s="3"/>
      <c r="H429" s="20"/>
      <c r="I429" s="20"/>
      <c r="J429" s="20"/>
      <c r="K429" s="411"/>
      <c r="L429" s="204"/>
      <c r="M429" s="255"/>
      <c r="N429" s="421"/>
      <c r="P429" s="227">
        <f t="shared" si="62"/>
        <v>0</v>
      </c>
      <c r="Q429" s="230"/>
      <c r="R429" s="230"/>
      <c r="S429" s="230">
        <f t="shared" si="64"/>
        <v>0</v>
      </c>
      <c r="T429" s="228">
        <f t="shared" si="65"/>
        <v>0</v>
      </c>
      <c r="U429" s="413" t="str">
        <f t="shared" si="66"/>
        <v>L6</v>
      </c>
      <c r="V429" s="410">
        <f t="shared" si="60"/>
        <v>0</v>
      </c>
      <c r="W429" s="246">
        <f t="shared" si="61"/>
        <v>0</v>
      </c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</row>
    <row r="430" spans="1:38" s="238" customFormat="1" ht="18.75" customHeight="1" x14ac:dyDescent="0.35">
      <c r="A430" s="195"/>
      <c r="B430" s="254"/>
      <c r="C430" s="20"/>
      <c r="D430" s="20"/>
      <c r="E430" s="363"/>
      <c r="F430" s="3"/>
      <c r="G430" s="3"/>
      <c r="H430" s="20"/>
      <c r="I430" s="20"/>
      <c r="J430" s="20"/>
      <c r="K430" s="411"/>
      <c r="L430" s="204"/>
      <c r="M430" s="255"/>
      <c r="N430" s="421"/>
      <c r="P430" s="227">
        <f t="shared" si="62"/>
        <v>0</v>
      </c>
      <c r="Q430" s="230"/>
      <c r="R430" s="230"/>
      <c r="S430" s="230">
        <f t="shared" si="64"/>
        <v>0</v>
      </c>
      <c r="T430" s="228">
        <f t="shared" si="65"/>
        <v>0</v>
      </c>
      <c r="U430" s="413" t="str">
        <f t="shared" si="66"/>
        <v>L6</v>
      </c>
      <c r="V430" s="410">
        <f t="shared" si="60"/>
        <v>0</v>
      </c>
      <c r="W430" s="246">
        <f t="shared" si="61"/>
        <v>0</v>
      </c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</row>
    <row r="431" spans="1:38" s="238" customFormat="1" ht="18.75" customHeight="1" x14ac:dyDescent="0.35">
      <c r="A431" s="195"/>
      <c r="B431" s="254"/>
      <c r="C431" s="20"/>
      <c r="D431" s="20"/>
      <c r="E431" s="363"/>
      <c r="F431" s="3"/>
      <c r="G431" s="3"/>
      <c r="H431" s="20"/>
      <c r="I431" s="20"/>
      <c r="J431" s="20"/>
      <c r="K431" s="411"/>
      <c r="L431" s="204"/>
      <c r="M431" s="255"/>
      <c r="N431" s="421"/>
      <c r="P431" s="227">
        <f t="shared" si="62"/>
        <v>0</v>
      </c>
      <c r="Q431" s="230"/>
      <c r="R431" s="230"/>
      <c r="S431" s="230">
        <f t="shared" si="64"/>
        <v>0</v>
      </c>
      <c r="T431" s="228">
        <f t="shared" si="65"/>
        <v>0</v>
      </c>
      <c r="U431" s="413" t="str">
        <f t="shared" si="66"/>
        <v>L6</v>
      </c>
      <c r="V431" s="410">
        <f t="shared" si="60"/>
        <v>0</v>
      </c>
      <c r="W431" s="246">
        <f t="shared" si="61"/>
        <v>0</v>
      </c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</row>
    <row r="432" spans="1:38" s="238" customFormat="1" ht="18.75" customHeight="1" x14ac:dyDescent="0.35">
      <c r="A432" s="195"/>
      <c r="B432" s="254"/>
      <c r="C432" s="20"/>
      <c r="D432" s="20"/>
      <c r="E432" s="363"/>
      <c r="F432" s="3"/>
      <c r="G432" s="3"/>
      <c r="H432" s="20"/>
      <c r="I432" s="20"/>
      <c r="J432" s="20"/>
      <c r="K432" s="411"/>
      <c r="L432" s="204"/>
      <c r="M432" s="255"/>
      <c r="N432" s="421"/>
      <c r="P432" s="227">
        <f t="shared" si="62"/>
        <v>0</v>
      </c>
      <c r="Q432" s="230"/>
      <c r="R432" s="230"/>
      <c r="S432" s="230">
        <f t="shared" si="64"/>
        <v>0</v>
      </c>
      <c r="T432" s="228">
        <f t="shared" si="65"/>
        <v>0</v>
      </c>
      <c r="U432" s="413" t="str">
        <f t="shared" si="66"/>
        <v>L6</v>
      </c>
      <c r="V432" s="410">
        <f t="shared" si="60"/>
        <v>0</v>
      </c>
      <c r="W432" s="246">
        <f t="shared" si="61"/>
        <v>0</v>
      </c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</row>
    <row r="433" spans="1:38" s="238" customFormat="1" ht="18.75" customHeight="1" x14ac:dyDescent="0.35">
      <c r="A433" s="195"/>
      <c r="B433" s="254"/>
      <c r="C433" s="20"/>
      <c r="D433" s="20"/>
      <c r="E433" s="363"/>
      <c r="F433" s="3"/>
      <c r="G433" s="3"/>
      <c r="H433" s="20"/>
      <c r="I433" s="20"/>
      <c r="J433" s="20"/>
      <c r="K433" s="411"/>
      <c r="L433" s="204"/>
      <c r="M433" s="255"/>
      <c r="N433" s="421"/>
      <c r="P433" s="227">
        <f t="shared" si="62"/>
        <v>0</v>
      </c>
      <c r="Q433" s="230"/>
      <c r="R433" s="230"/>
      <c r="S433" s="230">
        <f t="shared" si="64"/>
        <v>0</v>
      </c>
      <c r="T433" s="228">
        <f t="shared" ref="T433:T464" si="67">L433-N433-P433-Q433-R433-S433</f>
        <v>0</v>
      </c>
      <c r="U433" s="413" t="str">
        <f t="shared" ref="U433:U464" si="68">IF(K433="CORREO","0","L6")</f>
        <v>L6</v>
      </c>
      <c r="V433" s="410">
        <f t="shared" si="60"/>
        <v>0</v>
      </c>
      <c r="W433" s="246">
        <f t="shared" si="61"/>
        <v>0</v>
      </c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</row>
    <row r="434" spans="1:38" s="238" customFormat="1" ht="18.75" customHeight="1" x14ac:dyDescent="0.35">
      <c r="A434" s="195"/>
      <c r="B434" s="254"/>
      <c r="C434" s="20"/>
      <c r="D434" s="20"/>
      <c r="E434" s="363"/>
      <c r="F434" s="3"/>
      <c r="G434" s="3"/>
      <c r="H434" s="20"/>
      <c r="I434" s="20"/>
      <c r="J434" s="20"/>
      <c r="K434" s="411"/>
      <c r="L434" s="204"/>
      <c r="M434" s="255"/>
      <c r="N434" s="421"/>
      <c r="P434" s="227">
        <f t="shared" si="62"/>
        <v>0</v>
      </c>
      <c r="Q434" s="230"/>
      <c r="R434" s="230"/>
      <c r="S434" s="230">
        <f t="shared" si="64"/>
        <v>0</v>
      </c>
      <c r="T434" s="228">
        <f t="shared" si="67"/>
        <v>0</v>
      </c>
      <c r="U434" s="413" t="str">
        <f t="shared" si="68"/>
        <v>L6</v>
      </c>
      <c r="V434" s="410">
        <f t="shared" si="60"/>
        <v>0</v>
      </c>
      <c r="W434" s="246">
        <f t="shared" si="61"/>
        <v>0</v>
      </c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</row>
    <row r="435" spans="1:38" s="238" customFormat="1" ht="18.75" customHeight="1" x14ac:dyDescent="0.35">
      <c r="A435" s="195"/>
      <c r="B435" s="254"/>
      <c r="C435" s="20"/>
      <c r="D435" s="20"/>
      <c r="E435" s="363"/>
      <c r="F435" s="3"/>
      <c r="G435" s="3"/>
      <c r="H435" s="20"/>
      <c r="I435" s="20"/>
      <c r="J435" s="20"/>
      <c r="K435" s="411"/>
      <c r="L435" s="204"/>
      <c r="M435" s="255"/>
      <c r="N435" s="421"/>
      <c r="P435" s="227">
        <f t="shared" si="62"/>
        <v>0</v>
      </c>
      <c r="Q435" s="230"/>
      <c r="R435" s="230"/>
      <c r="S435" s="230">
        <f t="shared" si="64"/>
        <v>0</v>
      </c>
      <c r="T435" s="228">
        <f t="shared" si="67"/>
        <v>0</v>
      </c>
      <c r="U435" s="413" t="str">
        <f t="shared" si="68"/>
        <v>L6</v>
      </c>
      <c r="V435" s="410">
        <f t="shared" si="60"/>
        <v>0</v>
      </c>
      <c r="W435" s="246">
        <f t="shared" si="61"/>
        <v>0</v>
      </c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  <c r="AL435" s="20"/>
    </row>
    <row r="436" spans="1:38" s="238" customFormat="1" ht="18.75" customHeight="1" x14ac:dyDescent="0.35">
      <c r="A436" s="195"/>
      <c r="B436" s="254"/>
      <c r="C436" s="20"/>
      <c r="D436" s="20"/>
      <c r="E436" s="363"/>
      <c r="F436" s="3"/>
      <c r="G436" s="3"/>
      <c r="H436" s="20"/>
      <c r="I436" s="20"/>
      <c r="J436" s="20"/>
      <c r="K436" s="411"/>
      <c r="L436" s="204"/>
      <c r="M436" s="255"/>
      <c r="N436" s="421"/>
      <c r="P436" s="227">
        <f t="shared" si="62"/>
        <v>0</v>
      </c>
      <c r="Q436" s="230"/>
      <c r="R436" s="230"/>
      <c r="S436" s="230">
        <f t="shared" si="64"/>
        <v>0</v>
      </c>
      <c r="T436" s="228">
        <f t="shared" si="67"/>
        <v>0</v>
      </c>
      <c r="U436" s="413" t="str">
        <f t="shared" si="68"/>
        <v>L6</v>
      </c>
      <c r="V436" s="410">
        <f t="shared" si="60"/>
        <v>0</v>
      </c>
      <c r="W436" s="246">
        <f t="shared" si="61"/>
        <v>0</v>
      </c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20"/>
      <c r="AL436" s="20"/>
    </row>
    <row r="437" spans="1:38" s="238" customFormat="1" ht="18.75" customHeight="1" x14ac:dyDescent="0.35">
      <c r="A437" s="195"/>
      <c r="B437" s="254"/>
      <c r="C437" s="20"/>
      <c r="D437" s="20"/>
      <c r="E437" s="363"/>
      <c r="F437" s="3"/>
      <c r="G437" s="3"/>
      <c r="H437" s="20"/>
      <c r="I437" s="20"/>
      <c r="J437" s="20"/>
      <c r="K437" s="411"/>
      <c r="L437" s="204"/>
      <c r="M437" s="255"/>
      <c r="N437" s="421"/>
      <c r="P437" s="227">
        <f t="shared" si="62"/>
        <v>0</v>
      </c>
      <c r="Q437" s="230"/>
      <c r="R437" s="230"/>
      <c r="S437" s="230">
        <f t="shared" si="64"/>
        <v>0</v>
      </c>
      <c r="T437" s="228">
        <f t="shared" si="67"/>
        <v>0</v>
      </c>
      <c r="U437" s="413" t="str">
        <f t="shared" si="68"/>
        <v>L6</v>
      </c>
      <c r="V437" s="410">
        <f t="shared" si="60"/>
        <v>0</v>
      </c>
      <c r="W437" s="246">
        <f t="shared" si="61"/>
        <v>0</v>
      </c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  <c r="AL437" s="20"/>
    </row>
    <row r="438" spans="1:38" s="238" customFormat="1" ht="18.75" customHeight="1" x14ac:dyDescent="0.35">
      <c r="A438" s="195"/>
      <c r="B438" s="254"/>
      <c r="C438" s="20"/>
      <c r="D438" s="20"/>
      <c r="E438" s="363"/>
      <c r="F438" s="3"/>
      <c r="G438" s="3"/>
      <c r="H438" s="20"/>
      <c r="I438" s="20"/>
      <c r="J438" s="20"/>
      <c r="K438" s="411"/>
      <c r="L438" s="204"/>
      <c r="M438" s="255"/>
      <c r="N438" s="421"/>
      <c r="P438" s="227">
        <f t="shared" si="62"/>
        <v>0</v>
      </c>
      <c r="Q438" s="230"/>
      <c r="R438" s="230"/>
      <c r="S438" s="230">
        <f t="shared" si="64"/>
        <v>0</v>
      </c>
      <c r="T438" s="228">
        <f t="shared" si="67"/>
        <v>0</v>
      </c>
      <c r="U438" s="413" t="str">
        <f t="shared" si="68"/>
        <v>L6</v>
      </c>
      <c r="V438" s="410">
        <f t="shared" si="60"/>
        <v>0</v>
      </c>
      <c r="W438" s="246">
        <f t="shared" si="61"/>
        <v>0</v>
      </c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0"/>
      <c r="AJ438" s="20"/>
      <c r="AK438" s="20"/>
      <c r="AL438" s="20"/>
    </row>
    <row r="439" spans="1:38" s="238" customFormat="1" ht="18.75" customHeight="1" x14ac:dyDescent="0.35">
      <c r="A439" s="195"/>
      <c r="B439" s="254"/>
      <c r="C439" s="20"/>
      <c r="D439" s="20"/>
      <c r="E439" s="363"/>
      <c r="F439" s="3"/>
      <c r="G439" s="3"/>
      <c r="H439" s="20"/>
      <c r="I439" s="20"/>
      <c r="J439" s="20"/>
      <c r="K439" s="411"/>
      <c r="L439" s="204"/>
      <c r="M439" s="255"/>
      <c r="N439" s="421"/>
      <c r="P439" s="227">
        <f t="shared" si="62"/>
        <v>0</v>
      </c>
      <c r="Q439" s="230"/>
      <c r="R439" s="230"/>
      <c r="S439" s="230">
        <f t="shared" si="64"/>
        <v>0</v>
      </c>
      <c r="T439" s="228">
        <f t="shared" si="67"/>
        <v>0</v>
      </c>
      <c r="U439" s="413" t="str">
        <f t="shared" si="68"/>
        <v>L6</v>
      </c>
      <c r="V439" s="410">
        <f t="shared" si="60"/>
        <v>0</v>
      </c>
      <c r="W439" s="246">
        <f t="shared" si="61"/>
        <v>0</v>
      </c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0"/>
      <c r="AJ439" s="20"/>
      <c r="AK439" s="20"/>
      <c r="AL439" s="20"/>
    </row>
    <row r="440" spans="1:38" s="238" customFormat="1" ht="18.75" customHeight="1" x14ac:dyDescent="0.35">
      <c r="A440" s="195"/>
      <c r="B440" s="254"/>
      <c r="C440" s="20"/>
      <c r="D440" s="20"/>
      <c r="E440" s="363"/>
      <c r="F440" s="3"/>
      <c r="G440" s="3"/>
      <c r="H440" s="20"/>
      <c r="I440" s="20"/>
      <c r="J440" s="20"/>
      <c r="K440" s="411"/>
      <c r="L440" s="204"/>
      <c r="M440" s="255"/>
      <c r="N440" s="421"/>
      <c r="P440" s="227">
        <f t="shared" si="62"/>
        <v>0</v>
      </c>
      <c r="Q440" s="230"/>
      <c r="R440" s="230"/>
      <c r="S440" s="230">
        <f t="shared" si="64"/>
        <v>0</v>
      </c>
      <c r="T440" s="228">
        <f t="shared" si="67"/>
        <v>0</v>
      </c>
      <c r="U440" s="413" t="str">
        <f t="shared" si="68"/>
        <v>L6</v>
      </c>
      <c r="V440" s="410">
        <f t="shared" si="60"/>
        <v>0</v>
      </c>
      <c r="W440" s="246">
        <f t="shared" si="61"/>
        <v>0</v>
      </c>
      <c r="X440" s="20"/>
      <c r="Y440" s="20"/>
      <c r="Z440" s="20"/>
      <c r="AA440" s="20"/>
      <c r="AB440" s="20"/>
      <c r="AC440" s="20"/>
      <c r="AD440" s="20"/>
      <c r="AE440" s="20"/>
      <c r="AF440" s="20"/>
      <c r="AG440" s="20"/>
      <c r="AH440" s="20"/>
      <c r="AI440" s="20"/>
      <c r="AJ440" s="20"/>
      <c r="AK440" s="20"/>
      <c r="AL440" s="20"/>
    </row>
    <row r="441" spans="1:38" s="238" customFormat="1" ht="18.75" customHeight="1" x14ac:dyDescent="0.35">
      <c r="A441" s="195"/>
      <c r="B441" s="254"/>
      <c r="C441" s="20"/>
      <c r="D441" s="20"/>
      <c r="E441" s="363"/>
      <c r="F441" s="3"/>
      <c r="G441" s="3"/>
      <c r="H441" s="20"/>
      <c r="I441" s="20"/>
      <c r="J441" s="20"/>
      <c r="K441" s="411"/>
      <c r="L441" s="204"/>
      <c r="M441" s="255"/>
      <c r="N441" s="421"/>
      <c r="P441" s="227">
        <f t="shared" si="62"/>
        <v>0</v>
      </c>
      <c r="Q441" s="230"/>
      <c r="R441" s="230"/>
      <c r="S441" s="230">
        <f t="shared" si="64"/>
        <v>0</v>
      </c>
      <c r="T441" s="228">
        <f t="shared" si="67"/>
        <v>0</v>
      </c>
      <c r="U441" s="413" t="str">
        <f t="shared" si="68"/>
        <v>L6</v>
      </c>
      <c r="V441" s="410">
        <f t="shared" si="60"/>
        <v>0</v>
      </c>
      <c r="W441" s="246">
        <f t="shared" si="61"/>
        <v>0</v>
      </c>
      <c r="X441" s="20"/>
      <c r="Y441" s="20"/>
      <c r="Z441" s="20"/>
      <c r="AA441" s="20"/>
      <c r="AB441" s="20"/>
      <c r="AC441" s="20"/>
      <c r="AD441" s="20"/>
      <c r="AE441" s="20"/>
      <c r="AF441" s="20"/>
      <c r="AG441" s="20"/>
      <c r="AH441" s="20"/>
      <c r="AI441" s="20"/>
      <c r="AJ441" s="20"/>
      <c r="AK441" s="20"/>
      <c r="AL441" s="20"/>
    </row>
    <row r="442" spans="1:38" s="238" customFormat="1" ht="18.75" customHeight="1" x14ac:dyDescent="0.35">
      <c r="A442" s="195"/>
      <c r="B442" s="254"/>
      <c r="C442" s="20"/>
      <c r="D442" s="20"/>
      <c r="E442" s="363"/>
      <c r="F442" s="3"/>
      <c r="G442" s="3"/>
      <c r="H442" s="20"/>
      <c r="I442" s="20"/>
      <c r="J442" s="20"/>
      <c r="K442" s="411"/>
      <c r="L442" s="204"/>
      <c r="M442" s="255"/>
      <c r="N442" s="421"/>
      <c r="P442" s="227">
        <f t="shared" si="62"/>
        <v>0</v>
      </c>
      <c r="Q442" s="230"/>
      <c r="R442" s="230"/>
      <c r="S442" s="230">
        <f t="shared" si="64"/>
        <v>0</v>
      </c>
      <c r="T442" s="228">
        <f t="shared" si="67"/>
        <v>0</v>
      </c>
      <c r="U442" s="413" t="str">
        <f t="shared" si="68"/>
        <v>L6</v>
      </c>
      <c r="V442" s="410">
        <f t="shared" si="60"/>
        <v>0</v>
      </c>
      <c r="W442" s="246">
        <f t="shared" si="61"/>
        <v>0</v>
      </c>
      <c r="X442" s="20"/>
      <c r="Y442" s="20"/>
      <c r="Z442" s="20"/>
      <c r="AA442" s="20"/>
      <c r="AB442" s="20"/>
      <c r="AC442" s="20"/>
      <c r="AD442" s="20"/>
      <c r="AE442" s="20"/>
      <c r="AF442" s="20"/>
      <c r="AG442" s="20"/>
      <c r="AH442" s="20"/>
      <c r="AI442" s="20"/>
      <c r="AJ442" s="20"/>
      <c r="AK442" s="20"/>
      <c r="AL442" s="20"/>
    </row>
    <row r="443" spans="1:38" s="238" customFormat="1" ht="18.75" customHeight="1" x14ac:dyDescent="0.35">
      <c r="A443" s="195"/>
      <c r="B443" s="254"/>
      <c r="C443" s="20"/>
      <c r="D443" s="20"/>
      <c r="E443" s="363"/>
      <c r="F443" s="3"/>
      <c r="G443" s="3"/>
      <c r="H443" s="20"/>
      <c r="I443" s="20"/>
      <c r="J443" s="20"/>
      <c r="K443" s="411"/>
      <c r="L443" s="204"/>
      <c r="M443" s="255"/>
      <c r="N443" s="421"/>
      <c r="P443" s="227">
        <f t="shared" si="62"/>
        <v>0</v>
      </c>
      <c r="Q443" s="230"/>
      <c r="R443" s="230"/>
      <c r="S443" s="230">
        <f t="shared" si="64"/>
        <v>0</v>
      </c>
      <c r="T443" s="228">
        <f t="shared" si="67"/>
        <v>0</v>
      </c>
      <c r="U443" s="413" t="str">
        <f t="shared" si="68"/>
        <v>L6</v>
      </c>
      <c r="V443" s="410">
        <f t="shared" si="60"/>
        <v>0</v>
      </c>
      <c r="W443" s="246">
        <f t="shared" si="61"/>
        <v>0</v>
      </c>
      <c r="X443" s="20"/>
      <c r="Y443" s="20"/>
      <c r="Z443" s="20"/>
      <c r="AA443" s="20"/>
      <c r="AB443" s="20"/>
      <c r="AC443" s="20"/>
      <c r="AD443" s="20"/>
      <c r="AE443" s="20"/>
      <c r="AF443" s="20"/>
      <c r="AG443" s="20"/>
      <c r="AH443" s="20"/>
      <c r="AI443" s="20"/>
      <c r="AJ443" s="20"/>
      <c r="AK443" s="20"/>
      <c r="AL443" s="20"/>
    </row>
    <row r="444" spans="1:38" s="238" customFormat="1" ht="18.75" customHeight="1" x14ac:dyDescent="0.35">
      <c r="A444" s="195"/>
      <c r="B444" s="254"/>
      <c r="C444" s="20"/>
      <c r="D444" s="20"/>
      <c r="E444" s="363"/>
      <c r="F444" s="3"/>
      <c r="G444" s="3"/>
      <c r="H444" s="20"/>
      <c r="I444" s="20"/>
      <c r="J444" s="20"/>
      <c r="K444" s="411"/>
      <c r="L444" s="204"/>
      <c r="M444" s="255"/>
      <c r="N444" s="421"/>
      <c r="P444" s="227">
        <f t="shared" si="62"/>
        <v>0</v>
      </c>
      <c r="Q444" s="230"/>
      <c r="R444" s="230"/>
      <c r="S444" s="230">
        <f t="shared" si="64"/>
        <v>0</v>
      </c>
      <c r="T444" s="228">
        <f t="shared" si="67"/>
        <v>0</v>
      </c>
      <c r="U444" s="413" t="str">
        <f t="shared" si="68"/>
        <v>L6</v>
      </c>
      <c r="V444" s="410">
        <f t="shared" si="60"/>
        <v>0</v>
      </c>
      <c r="W444" s="246">
        <f t="shared" si="61"/>
        <v>0</v>
      </c>
      <c r="X444" s="20"/>
      <c r="Y444" s="20"/>
      <c r="Z444" s="20"/>
      <c r="AA444" s="20"/>
      <c r="AB444" s="20"/>
      <c r="AC444" s="20"/>
      <c r="AD444" s="20"/>
      <c r="AE444" s="20"/>
      <c r="AF444" s="20"/>
      <c r="AG444" s="20"/>
      <c r="AH444" s="20"/>
      <c r="AI444" s="20"/>
      <c r="AJ444" s="20"/>
      <c r="AK444" s="20"/>
      <c r="AL444" s="20"/>
    </row>
    <row r="445" spans="1:38" s="238" customFormat="1" ht="18.75" customHeight="1" x14ac:dyDescent="0.35">
      <c r="A445" s="195"/>
      <c r="B445" s="254"/>
      <c r="C445" s="20"/>
      <c r="D445" s="20"/>
      <c r="E445" s="363"/>
      <c r="F445" s="3"/>
      <c r="G445" s="3"/>
      <c r="H445" s="20"/>
      <c r="I445" s="20"/>
      <c r="J445" s="20"/>
      <c r="K445" s="411"/>
      <c r="L445" s="204"/>
      <c r="M445" s="255"/>
      <c r="N445" s="421"/>
      <c r="P445" s="227">
        <f t="shared" si="62"/>
        <v>0</v>
      </c>
      <c r="Q445" s="230"/>
      <c r="R445" s="230"/>
      <c r="S445" s="230">
        <f t="shared" si="64"/>
        <v>0</v>
      </c>
      <c r="T445" s="228">
        <f t="shared" si="67"/>
        <v>0</v>
      </c>
      <c r="U445" s="413" t="str">
        <f t="shared" si="68"/>
        <v>L6</v>
      </c>
      <c r="V445" s="410">
        <f t="shared" si="60"/>
        <v>0</v>
      </c>
      <c r="W445" s="246">
        <f t="shared" si="61"/>
        <v>0</v>
      </c>
      <c r="X445" s="20"/>
      <c r="Y445" s="20"/>
      <c r="Z445" s="20"/>
      <c r="AA445" s="20"/>
      <c r="AB445" s="20"/>
      <c r="AC445" s="20"/>
      <c r="AD445" s="20"/>
      <c r="AE445" s="20"/>
      <c r="AF445" s="20"/>
      <c r="AG445" s="20"/>
      <c r="AH445" s="20"/>
      <c r="AI445" s="20"/>
      <c r="AJ445" s="20"/>
      <c r="AK445" s="20"/>
      <c r="AL445" s="20"/>
    </row>
    <row r="446" spans="1:38" s="238" customFormat="1" ht="18.75" customHeight="1" x14ac:dyDescent="0.35">
      <c r="A446" s="195"/>
      <c r="B446" s="254"/>
      <c r="C446" s="20"/>
      <c r="D446" s="20"/>
      <c r="E446" s="363"/>
      <c r="F446" s="3"/>
      <c r="G446" s="3"/>
      <c r="H446" s="20"/>
      <c r="I446" s="20"/>
      <c r="J446" s="20"/>
      <c r="K446" s="411"/>
      <c r="L446" s="204"/>
      <c r="M446" s="255"/>
      <c r="N446" s="421"/>
      <c r="P446" s="227">
        <f t="shared" si="62"/>
        <v>0</v>
      </c>
      <c r="Q446" s="230"/>
      <c r="R446" s="230"/>
      <c r="S446" s="230">
        <f t="shared" si="64"/>
        <v>0</v>
      </c>
      <c r="T446" s="228">
        <f t="shared" si="67"/>
        <v>0</v>
      </c>
      <c r="U446" s="413" t="str">
        <f t="shared" si="68"/>
        <v>L6</v>
      </c>
      <c r="V446" s="410">
        <f t="shared" si="60"/>
        <v>0</v>
      </c>
      <c r="W446" s="246">
        <f t="shared" si="61"/>
        <v>0</v>
      </c>
      <c r="X446" s="20"/>
      <c r="Y446" s="20"/>
      <c r="Z446" s="20"/>
      <c r="AA446" s="20"/>
      <c r="AB446" s="20"/>
      <c r="AC446" s="20"/>
      <c r="AD446" s="20"/>
      <c r="AE446" s="20"/>
      <c r="AF446" s="20"/>
      <c r="AG446" s="20"/>
      <c r="AH446" s="20"/>
      <c r="AI446" s="20"/>
      <c r="AJ446" s="20"/>
      <c r="AK446" s="20"/>
      <c r="AL446" s="20"/>
    </row>
    <row r="447" spans="1:38" s="238" customFormat="1" ht="18.75" customHeight="1" x14ac:dyDescent="0.35">
      <c r="A447" s="195"/>
      <c r="B447" s="254"/>
      <c r="C447" s="20"/>
      <c r="D447" s="20"/>
      <c r="E447" s="363"/>
      <c r="F447" s="3"/>
      <c r="G447" s="3"/>
      <c r="H447" s="20"/>
      <c r="I447" s="20"/>
      <c r="J447" s="20"/>
      <c r="K447" s="411"/>
      <c r="L447" s="204"/>
      <c r="M447" s="255"/>
      <c r="N447" s="421"/>
      <c r="P447" s="227">
        <f t="shared" si="62"/>
        <v>0</v>
      </c>
      <c r="Q447" s="230"/>
      <c r="R447" s="230"/>
      <c r="S447" s="230">
        <f t="shared" si="64"/>
        <v>0</v>
      </c>
      <c r="T447" s="228">
        <f t="shared" si="67"/>
        <v>0</v>
      </c>
      <c r="U447" s="413" t="str">
        <f t="shared" si="68"/>
        <v>L6</v>
      </c>
      <c r="V447" s="410">
        <f t="shared" si="60"/>
        <v>0</v>
      </c>
      <c r="W447" s="246">
        <f t="shared" si="61"/>
        <v>0</v>
      </c>
      <c r="X447" s="20"/>
      <c r="Y447" s="20"/>
      <c r="Z447" s="20"/>
      <c r="AA447" s="20"/>
      <c r="AB447" s="20"/>
      <c r="AC447" s="20"/>
      <c r="AD447" s="20"/>
      <c r="AE447" s="20"/>
      <c r="AF447" s="20"/>
      <c r="AG447" s="20"/>
      <c r="AH447" s="20"/>
      <c r="AI447" s="20"/>
      <c r="AJ447" s="20"/>
      <c r="AK447" s="20"/>
      <c r="AL447" s="20"/>
    </row>
    <row r="448" spans="1:38" s="238" customFormat="1" ht="18.75" customHeight="1" x14ac:dyDescent="0.35">
      <c r="A448" s="195"/>
      <c r="B448" s="254"/>
      <c r="C448" s="20"/>
      <c r="D448" s="20"/>
      <c r="E448" s="363"/>
      <c r="F448" s="3"/>
      <c r="G448" s="3"/>
      <c r="H448" s="20"/>
      <c r="I448" s="20"/>
      <c r="J448" s="20"/>
      <c r="K448" s="411"/>
      <c r="L448" s="204"/>
      <c r="M448" s="255"/>
      <c r="N448" s="421"/>
      <c r="P448" s="227">
        <f t="shared" si="62"/>
        <v>0</v>
      </c>
      <c r="Q448" s="230"/>
      <c r="R448" s="230"/>
      <c r="S448" s="230">
        <f t="shared" si="64"/>
        <v>0</v>
      </c>
      <c r="T448" s="228">
        <f t="shared" si="67"/>
        <v>0</v>
      </c>
      <c r="U448" s="413" t="str">
        <f t="shared" si="68"/>
        <v>L6</v>
      </c>
      <c r="V448" s="410">
        <f t="shared" si="60"/>
        <v>0</v>
      </c>
      <c r="W448" s="246">
        <f t="shared" si="61"/>
        <v>0</v>
      </c>
      <c r="X448" s="20"/>
      <c r="Y448" s="20"/>
      <c r="Z448" s="20"/>
      <c r="AA448" s="20"/>
      <c r="AB448" s="20"/>
      <c r="AC448" s="20"/>
      <c r="AD448" s="20"/>
      <c r="AE448" s="20"/>
      <c r="AF448" s="20"/>
      <c r="AG448" s="20"/>
      <c r="AH448" s="20"/>
      <c r="AI448" s="20"/>
      <c r="AJ448" s="20"/>
      <c r="AK448" s="20"/>
      <c r="AL448" s="20"/>
    </row>
    <row r="449" spans="1:38" s="238" customFormat="1" ht="18.75" customHeight="1" x14ac:dyDescent="0.35">
      <c r="A449" s="195"/>
      <c r="B449" s="254"/>
      <c r="C449" s="20"/>
      <c r="D449" s="20"/>
      <c r="E449" s="363"/>
      <c r="F449" s="3"/>
      <c r="G449" s="3"/>
      <c r="H449" s="20"/>
      <c r="I449" s="20"/>
      <c r="J449" s="20"/>
      <c r="K449" s="411"/>
      <c r="L449" s="204"/>
      <c r="M449" s="255"/>
      <c r="N449" s="421"/>
      <c r="P449" s="227">
        <f t="shared" si="62"/>
        <v>0</v>
      </c>
      <c r="Q449" s="230"/>
      <c r="R449" s="230"/>
      <c r="S449" s="230">
        <f t="shared" si="64"/>
        <v>0</v>
      </c>
      <c r="T449" s="228">
        <f t="shared" si="67"/>
        <v>0</v>
      </c>
      <c r="U449" s="413" t="str">
        <f t="shared" si="68"/>
        <v>L6</v>
      </c>
      <c r="V449" s="410">
        <f t="shared" si="60"/>
        <v>0</v>
      </c>
      <c r="W449" s="246">
        <f t="shared" si="61"/>
        <v>0</v>
      </c>
      <c r="X449" s="20"/>
      <c r="Y449" s="20"/>
      <c r="Z449" s="20"/>
      <c r="AA449" s="20"/>
      <c r="AB449" s="20"/>
      <c r="AC449" s="20"/>
      <c r="AD449" s="20"/>
      <c r="AE449" s="20"/>
      <c r="AF449" s="20"/>
      <c r="AG449" s="20"/>
      <c r="AH449" s="20"/>
      <c r="AI449" s="20"/>
      <c r="AJ449" s="20"/>
      <c r="AK449" s="20"/>
      <c r="AL449" s="20"/>
    </row>
    <row r="450" spans="1:38" s="238" customFormat="1" ht="18.75" customHeight="1" x14ac:dyDescent="0.35">
      <c r="A450" s="195"/>
      <c r="B450" s="254"/>
      <c r="C450" s="20"/>
      <c r="D450" s="20"/>
      <c r="E450" s="363"/>
      <c r="F450" s="3"/>
      <c r="G450" s="3"/>
      <c r="H450" s="20"/>
      <c r="I450" s="20"/>
      <c r="J450" s="20"/>
      <c r="K450" s="411"/>
      <c r="L450" s="204"/>
      <c r="M450" s="255"/>
      <c r="N450" s="421"/>
      <c r="P450" s="227">
        <f t="shared" si="62"/>
        <v>0</v>
      </c>
      <c r="Q450" s="230"/>
      <c r="R450" s="230"/>
      <c r="S450" s="230">
        <f t="shared" si="64"/>
        <v>0</v>
      </c>
      <c r="T450" s="228">
        <f t="shared" si="67"/>
        <v>0</v>
      </c>
      <c r="U450" s="413" t="str">
        <f t="shared" si="68"/>
        <v>L6</v>
      </c>
      <c r="V450" s="410">
        <f t="shared" si="60"/>
        <v>0</v>
      </c>
      <c r="W450" s="246">
        <f t="shared" si="61"/>
        <v>0</v>
      </c>
      <c r="X450" s="20"/>
      <c r="Y450" s="20"/>
      <c r="Z450" s="20"/>
      <c r="AA450" s="20"/>
      <c r="AB450" s="20"/>
      <c r="AC450" s="20"/>
      <c r="AD450" s="20"/>
      <c r="AE450" s="20"/>
      <c r="AF450" s="20"/>
      <c r="AG450" s="20"/>
      <c r="AH450" s="20"/>
      <c r="AI450" s="20"/>
      <c r="AJ450" s="20"/>
      <c r="AK450" s="20"/>
      <c r="AL450" s="20"/>
    </row>
    <row r="451" spans="1:38" s="238" customFormat="1" ht="18.75" customHeight="1" x14ac:dyDescent="0.35">
      <c r="A451" s="195"/>
      <c r="B451" s="254"/>
      <c r="C451" s="20"/>
      <c r="D451" s="20"/>
      <c r="E451" s="363"/>
      <c r="F451" s="3"/>
      <c r="G451" s="3"/>
      <c r="H451" s="20"/>
      <c r="I451" s="20"/>
      <c r="J451" s="20"/>
      <c r="K451" s="411"/>
      <c r="L451" s="204"/>
      <c r="M451" s="255"/>
      <c r="N451" s="421"/>
      <c r="P451" s="227">
        <f t="shared" si="62"/>
        <v>0</v>
      </c>
      <c r="Q451" s="230"/>
      <c r="R451" s="230"/>
      <c r="S451" s="230">
        <f t="shared" si="64"/>
        <v>0</v>
      </c>
      <c r="T451" s="228">
        <f t="shared" si="67"/>
        <v>0</v>
      </c>
      <c r="U451" s="413" t="str">
        <f t="shared" si="68"/>
        <v>L6</v>
      </c>
      <c r="V451" s="410">
        <f t="shared" si="60"/>
        <v>0</v>
      </c>
      <c r="W451" s="246">
        <f t="shared" si="61"/>
        <v>0</v>
      </c>
      <c r="X451" s="20"/>
      <c r="Y451" s="20"/>
      <c r="Z451" s="20"/>
      <c r="AA451" s="20"/>
      <c r="AB451" s="20"/>
      <c r="AC451" s="20"/>
      <c r="AD451" s="20"/>
      <c r="AE451" s="20"/>
      <c r="AF451" s="20"/>
      <c r="AG451" s="20"/>
      <c r="AH451" s="20"/>
      <c r="AI451" s="20"/>
      <c r="AJ451" s="20"/>
      <c r="AK451" s="20"/>
      <c r="AL451" s="20"/>
    </row>
    <row r="452" spans="1:38" s="238" customFormat="1" ht="18.75" customHeight="1" x14ac:dyDescent="0.35">
      <c r="A452" s="195"/>
      <c r="B452" s="254"/>
      <c r="C452" s="20"/>
      <c r="D452" s="20"/>
      <c r="E452" s="363"/>
      <c r="F452" s="3"/>
      <c r="G452" s="3"/>
      <c r="H452" s="20"/>
      <c r="I452" s="20"/>
      <c r="J452" s="20"/>
      <c r="K452" s="411"/>
      <c r="L452" s="204"/>
      <c r="M452" s="255"/>
      <c r="N452" s="421"/>
      <c r="P452" s="227">
        <f t="shared" si="62"/>
        <v>0</v>
      </c>
      <c r="Q452" s="230"/>
      <c r="R452" s="230"/>
      <c r="S452" s="230">
        <f t="shared" si="64"/>
        <v>0</v>
      </c>
      <c r="T452" s="228">
        <f t="shared" si="67"/>
        <v>0</v>
      </c>
      <c r="U452" s="413" t="str">
        <f t="shared" si="68"/>
        <v>L6</v>
      </c>
      <c r="V452" s="410">
        <f t="shared" si="60"/>
        <v>0</v>
      </c>
      <c r="W452" s="246">
        <f t="shared" si="61"/>
        <v>0</v>
      </c>
      <c r="X452" s="20"/>
      <c r="Y452" s="20"/>
      <c r="Z452" s="20"/>
      <c r="AA452" s="20"/>
      <c r="AB452" s="20"/>
      <c r="AC452" s="20"/>
      <c r="AD452" s="20"/>
      <c r="AE452" s="20"/>
      <c r="AF452" s="20"/>
      <c r="AG452" s="20"/>
      <c r="AH452" s="20"/>
      <c r="AI452" s="20"/>
      <c r="AJ452" s="20"/>
      <c r="AK452" s="20"/>
      <c r="AL452" s="20"/>
    </row>
    <row r="453" spans="1:38" s="238" customFormat="1" ht="18.75" customHeight="1" x14ac:dyDescent="0.35">
      <c r="A453" s="195"/>
      <c r="B453" s="254"/>
      <c r="C453" s="20"/>
      <c r="D453" s="20"/>
      <c r="E453" s="363"/>
      <c r="F453" s="3"/>
      <c r="G453" s="3"/>
      <c r="H453" s="20"/>
      <c r="I453" s="20"/>
      <c r="J453" s="20"/>
      <c r="K453" s="411"/>
      <c r="L453" s="204"/>
      <c r="M453" s="255"/>
      <c r="N453" s="421"/>
      <c r="P453" s="227">
        <f t="shared" si="62"/>
        <v>0</v>
      </c>
      <c r="Q453" s="230"/>
      <c r="R453" s="230"/>
      <c r="S453" s="230">
        <f t="shared" si="64"/>
        <v>0</v>
      </c>
      <c r="T453" s="228">
        <f t="shared" si="67"/>
        <v>0</v>
      </c>
      <c r="U453" s="413" t="str">
        <f t="shared" si="68"/>
        <v>L6</v>
      </c>
      <c r="V453" s="410">
        <f t="shared" ref="V453:V500" si="69">T453*0.05</f>
        <v>0</v>
      </c>
      <c r="W453" s="246">
        <f t="shared" ref="W453:W498" si="70">T453*0.05</f>
        <v>0</v>
      </c>
      <c r="X453" s="20"/>
      <c r="Y453" s="20"/>
      <c r="Z453" s="20"/>
      <c r="AA453" s="20"/>
      <c r="AB453" s="20"/>
      <c r="AC453" s="20"/>
      <c r="AD453" s="20"/>
      <c r="AE453" s="20"/>
      <c r="AF453" s="20"/>
      <c r="AG453" s="20"/>
      <c r="AH453" s="20"/>
      <c r="AI453" s="20"/>
      <c r="AJ453" s="20"/>
      <c r="AK453" s="20"/>
      <c r="AL453" s="20"/>
    </row>
    <row r="454" spans="1:38" s="238" customFormat="1" ht="18.75" customHeight="1" x14ac:dyDescent="0.35">
      <c r="A454" s="195"/>
      <c r="B454" s="254"/>
      <c r="C454" s="20"/>
      <c r="D454" s="20"/>
      <c r="E454" s="363"/>
      <c r="F454" s="3"/>
      <c r="G454" s="3"/>
      <c r="H454" s="20"/>
      <c r="I454" s="20"/>
      <c r="J454" s="20"/>
      <c r="K454" s="411"/>
      <c r="L454" s="204"/>
      <c r="M454" s="255"/>
      <c r="N454" s="421"/>
      <c r="P454" s="227">
        <f t="shared" ref="P454:P517" si="71">_xlfn.XLOOKUP(H454, AA:AA, AB:AB) * I454</f>
        <v>0</v>
      </c>
      <c r="Q454" s="230"/>
      <c r="R454" s="230"/>
      <c r="S454" s="230">
        <f t="shared" si="64"/>
        <v>0</v>
      </c>
      <c r="T454" s="228">
        <f t="shared" si="67"/>
        <v>0</v>
      </c>
      <c r="U454" s="413" t="str">
        <f t="shared" si="68"/>
        <v>L6</v>
      </c>
      <c r="V454" s="410">
        <f t="shared" si="69"/>
        <v>0</v>
      </c>
      <c r="W454" s="246">
        <f t="shared" si="70"/>
        <v>0</v>
      </c>
      <c r="X454" s="20"/>
      <c r="Y454" s="20"/>
      <c r="Z454" s="20"/>
      <c r="AA454" s="20"/>
      <c r="AB454" s="20"/>
      <c r="AC454" s="20"/>
      <c r="AD454" s="20"/>
      <c r="AE454" s="20"/>
      <c r="AF454" s="20"/>
      <c r="AG454" s="20"/>
      <c r="AH454" s="20"/>
      <c r="AI454" s="20"/>
      <c r="AJ454" s="20"/>
      <c r="AK454" s="20"/>
      <c r="AL454" s="20"/>
    </row>
    <row r="455" spans="1:38" s="238" customFormat="1" ht="18.75" customHeight="1" x14ac:dyDescent="0.35">
      <c r="A455" s="195"/>
      <c r="B455" s="254"/>
      <c r="C455" s="20"/>
      <c r="D455" s="20"/>
      <c r="E455" s="363"/>
      <c r="F455" s="3"/>
      <c r="G455" s="3"/>
      <c r="H455" s="20"/>
      <c r="I455" s="20"/>
      <c r="J455" s="20"/>
      <c r="K455" s="411"/>
      <c r="L455" s="204"/>
      <c r="M455" s="255"/>
      <c r="N455" s="421"/>
      <c r="P455" s="227">
        <f t="shared" si="71"/>
        <v>0</v>
      </c>
      <c r="Q455" s="230"/>
      <c r="R455" s="230"/>
      <c r="S455" s="230">
        <f t="shared" si="64"/>
        <v>0</v>
      </c>
      <c r="T455" s="228">
        <f t="shared" si="67"/>
        <v>0</v>
      </c>
      <c r="U455" s="413" t="str">
        <f t="shared" si="68"/>
        <v>L6</v>
      </c>
      <c r="V455" s="410">
        <f t="shared" si="69"/>
        <v>0</v>
      </c>
      <c r="W455" s="246">
        <f t="shared" si="70"/>
        <v>0</v>
      </c>
      <c r="X455" s="20"/>
      <c r="Y455" s="20"/>
      <c r="Z455" s="20"/>
      <c r="AA455" s="20"/>
      <c r="AB455" s="20"/>
      <c r="AC455" s="20"/>
      <c r="AD455" s="20"/>
      <c r="AE455" s="20"/>
      <c r="AF455" s="20"/>
      <c r="AG455" s="20"/>
      <c r="AH455" s="20"/>
      <c r="AI455" s="20"/>
      <c r="AJ455" s="20"/>
      <c r="AK455" s="20"/>
      <c r="AL455" s="20"/>
    </row>
    <row r="456" spans="1:38" s="238" customFormat="1" ht="18.75" customHeight="1" x14ac:dyDescent="0.35">
      <c r="A456" s="195"/>
      <c r="B456" s="254"/>
      <c r="C456" s="20"/>
      <c r="D456" s="20"/>
      <c r="E456" s="363"/>
      <c r="F456" s="3"/>
      <c r="G456" s="3"/>
      <c r="H456" s="20"/>
      <c r="I456" s="20"/>
      <c r="J456" s="20"/>
      <c r="K456" s="411"/>
      <c r="L456" s="204"/>
      <c r="M456" s="255"/>
      <c r="N456" s="421"/>
      <c r="P456" s="227">
        <f t="shared" si="71"/>
        <v>0</v>
      </c>
      <c r="Q456" s="230"/>
      <c r="R456" s="230"/>
      <c r="S456" s="230">
        <f t="shared" si="64"/>
        <v>0</v>
      </c>
      <c r="T456" s="228">
        <f t="shared" si="67"/>
        <v>0</v>
      </c>
      <c r="U456" s="413" t="str">
        <f t="shared" si="68"/>
        <v>L6</v>
      </c>
      <c r="V456" s="410">
        <f t="shared" si="69"/>
        <v>0</v>
      </c>
      <c r="W456" s="246">
        <f t="shared" si="70"/>
        <v>0</v>
      </c>
      <c r="X456" s="20"/>
      <c r="Y456" s="20"/>
      <c r="Z456" s="20"/>
      <c r="AA456" s="20"/>
      <c r="AB456" s="20"/>
      <c r="AC456" s="20"/>
      <c r="AD456" s="20"/>
      <c r="AE456" s="20"/>
      <c r="AF456" s="20"/>
      <c r="AG456" s="20"/>
      <c r="AH456" s="20"/>
      <c r="AI456" s="20"/>
      <c r="AJ456" s="20"/>
      <c r="AK456" s="20"/>
      <c r="AL456" s="20"/>
    </row>
    <row r="457" spans="1:38" s="238" customFormat="1" ht="18.75" customHeight="1" x14ac:dyDescent="0.35">
      <c r="A457" s="195"/>
      <c r="B457" s="254"/>
      <c r="C457" s="20"/>
      <c r="D457" s="20"/>
      <c r="E457" s="363"/>
      <c r="F457" s="3"/>
      <c r="G457" s="3"/>
      <c r="H457" s="20"/>
      <c r="I457" s="20"/>
      <c r="J457" s="20"/>
      <c r="K457" s="411"/>
      <c r="L457" s="204"/>
      <c r="M457" s="255"/>
      <c r="N457" s="421"/>
      <c r="P457" s="227">
        <f t="shared" si="71"/>
        <v>0</v>
      </c>
      <c r="Q457" s="230"/>
      <c r="R457" s="230"/>
      <c r="S457" s="230">
        <f t="shared" si="64"/>
        <v>0</v>
      </c>
      <c r="T457" s="228">
        <f t="shared" si="67"/>
        <v>0</v>
      </c>
      <c r="U457" s="413" t="str">
        <f t="shared" si="68"/>
        <v>L6</v>
      </c>
      <c r="V457" s="410">
        <f t="shared" si="69"/>
        <v>0</v>
      </c>
      <c r="W457" s="246">
        <f t="shared" si="70"/>
        <v>0</v>
      </c>
      <c r="X457" s="20"/>
      <c r="Y457" s="20"/>
      <c r="Z457" s="20"/>
      <c r="AA457" s="20"/>
      <c r="AB457" s="20"/>
      <c r="AC457" s="20"/>
      <c r="AD457" s="20"/>
      <c r="AE457" s="20"/>
      <c r="AF457" s="20"/>
      <c r="AG457" s="20"/>
      <c r="AH457" s="20"/>
      <c r="AI457" s="20"/>
      <c r="AJ457" s="20"/>
      <c r="AK457" s="20"/>
      <c r="AL457" s="20"/>
    </row>
    <row r="458" spans="1:38" s="238" customFormat="1" ht="18.75" customHeight="1" x14ac:dyDescent="0.35">
      <c r="A458" s="195"/>
      <c r="B458" s="254"/>
      <c r="C458" s="20"/>
      <c r="D458" s="20"/>
      <c r="E458" s="363"/>
      <c r="F458" s="3"/>
      <c r="G458" s="3"/>
      <c r="H458" s="20"/>
      <c r="I458" s="20"/>
      <c r="J458" s="20"/>
      <c r="K458" s="411"/>
      <c r="L458" s="204"/>
      <c r="M458" s="255"/>
      <c r="N458" s="421"/>
      <c r="P458" s="227">
        <f t="shared" si="71"/>
        <v>0</v>
      </c>
      <c r="Q458" s="230"/>
      <c r="R458" s="230"/>
      <c r="S458" s="230">
        <f t="shared" si="64"/>
        <v>0</v>
      </c>
      <c r="T458" s="228">
        <f t="shared" si="67"/>
        <v>0</v>
      </c>
      <c r="U458" s="413" t="str">
        <f t="shared" si="68"/>
        <v>L6</v>
      </c>
      <c r="V458" s="410">
        <f t="shared" si="69"/>
        <v>0</v>
      </c>
      <c r="W458" s="246">
        <f t="shared" si="70"/>
        <v>0</v>
      </c>
      <c r="X458" s="20"/>
      <c r="Y458" s="20"/>
      <c r="Z458" s="20"/>
      <c r="AA458" s="20"/>
      <c r="AB458" s="20"/>
      <c r="AC458" s="20"/>
      <c r="AD458" s="20"/>
      <c r="AE458" s="20"/>
      <c r="AF458" s="20"/>
      <c r="AG458" s="20"/>
      <c r="AH458" s="20"/>
      <c r="AI458" s="20"/>
      <c r="AJ458" s="20"/>
      <c r="AK458" s="20"/>
      <c r="AL458" s="20"/>
    </row>
    <row r="459" spans="1:38" s="238" customFormat="1" ht="18.75" customHeight="1" x14ac:dyDescent="0.35">
      <c r="A459" s="195"/>
      <c r="B459" s="254"/>
      <c r="C459" s="20"/>
      <c r="D459" s="20"/>
      <c r="E459" s="363"/>
      <c r="F459" s="3"/>
      <c r="G459" s="3"/>
      <c r="H459" s="20"/>
      <c r="I459" s="20"/>
      <c r="J459" s="20"/>
      <c r="K459" s="411"/>
      <c r="L459" s="204"/>
      <c r="M459" s="255"/>
      <c r="N459" s="421"/>
      <c r="P459" s="227">
        <f t="shared" si="71"/>
        <v>0</v>
      </c>
      <c r="Q459" s="230"/>
      <c r="R459" s="230"/>
      <c r="S459" s="230">
        <f t="shared" si="64"/>
        <v>0</v>
      </c>
      <c r="T459" s="228">
        <f t="shared" si="67"/>
        <v>0</v>
      </c>
      <c r="U459" s="413" t="str">
        <f t="shared" si="68"/>
        <v>L6</v>
      </c>
      <c r="V459" s="410">
        <f t="shared" si="69"/>
        <v>0</v>
      </c>
      <c r="W459" s="246">
        <f t="shared" si="70"/>
        <v>0</v>
      </c>
      <c r="X459" s="20"/>
      <c r="Y459" s="20"/>
      <c r="Z459" s="20"/>
      <c r="AA459" s="20"/>
      <c r="AB459" s="20"/>
      <c r="AC459" s="20"/>
      <c r="AD459" s="20"/>
      <c r="AE459" s="20"/>
      <c r="AF459" s="20"/>
      <c r="AG459" s="20"/>
      <c r="AH459" s="20"/>
      <c r="AI459" s="20"/>
      <c r="AJ459" s="20"/>
      <c r="AK459" s="20"/>
      <c r="AL459" s="20"/>
    </row>
    <row r="460" spans="1:38" s="238" customFormat="1" ht="18.75" customHeight="1" x14ac:dyDescent="0.35">
      <c r="A460" s="195"/>
      <c r="B460" s="254"/>
      <c r="C460" s="20"/>
      <c r="D460" s="20"/>
      <c r="E460" s="363"/>
      <c r="F460" s="3"/>
      <c r="G460" s="3"/>
      <c r="H460" s="20"/>
      <c r="I460" s="20"/>
      <c r="J460" s="20"/>
      <c r="K460" s="411"/>
      <c r="L460" s="204"/>
      <c r="M460" s="255"/>
      <c r="N460" s="421"/>
      <c r="P460" s="227">
        <f t="shared" si="71"/>
        <v>0</v>
      </c>
      <c r="Q460" s="230"/>
      <c r="R460" s="230"/>
      <c r="S460" s="230">
        <f t="shared" si="64"/>
        <v>0</v>
      </c>
      <c r="T460" s="228">
        <f t="shared" si="67"/>
        <v>0</v>
      </c>
      <c r="U460" s="413" t="str">
        <f t="shared" si="68"/>
        <v>L6</v>
      </c>
      <c r="V460" s="410">
        <f t="shared" si="69"/>
        <v>0</v>
      </c>
      <c r="W460" s="246">
        <f t="shared" si="70"/>
        <v>0</v>
      </c>
      <c r="X460" s="20"/>
      <c r="Y460" s="20"/>
      <c r="Z460" s="20"/>
      <c r="AA460" s="20"/>
      <c r="AB460" s="20"/>
      <c r="AC460" s="20"/>
      <c r="AD460" s="20"/>
      <c r="AE460" s="20"/>
      <c r="AF460" s="20"/>
      <c r="AG460" s="20"/>
      <c r="AH460" s="20"/>
      <c r="AI460" s="20"/>
      <c r="AJ460" s="20"/>
      <c r="AK460" s="20"/>
      <c r="AL460" s="20"/>
    </row>
    <row r="461" spans="1:38" s="238" customFormat="1" ht="18.75" customHeight="1" x14ac:dyDescent="0.35">
      <c r="A461" s="195"/>
      <c r="B461" s="254"/>
      <c r="C461" s="20"/>
      <c r="D461" s="20"/>
      <c r="E461" s="363"/>
      <c r="F461" s="3"/>
      <c r="G461" s="3"/>
      <c r="H461" s="20"/>
      <c r="I461" s="20"/>
      <c r="J461" s="20"/>
      <c r="K461" s="411"/>
      <c r="L461" s="204"/>
      <c r="M461" s="255"/>
      <c r="N461" s="421"/>
      <c r="P461" s="227">
        <f t="shared" si="71"/>
        <v>0</v>
      </c>
      <c r="Q461" s="230"/>
      <c r="R461" s="230"/>
      <c r="S461" s="230">
        <f t="shared" si="64"/>
        <v>0</v>
      </c>
      <c r="T461" s="228">
        <f t="shared" si="67"/>
        <v>0</v>
      </c>
      <c r="U461" s="413" t="str">
        <f t="shared" si="68"/>
        <v>L6</v>
      </c>
      <c r="V461" s="410">
        <f t="shared" si="69"/>
        <v>0</v>
      </c>
      <c r="W461" s="246">
        <f t="shared" si="70"/>
        <v>0</v>
      </c>
      <c r="X461" s="20"/>
      <c r="Y461" s="20"/>
      <c r="Z461" s="20"/>
      <c r="AA461" s="20"/>
      <c r="AB461" s="20"/>
      <c r="AC461" s="20"/>
      <c r="AD461" s="20"/>
      <c r="AE461" s="20"/>
      <c r="AF461" s="20"/>
      <c r="AG461" s="20"/>
      <c r="AH461" s="20"/>
      <c r="AI461" s="20"/>
      <c r="AJ461" s="20"/>
      <c r="AK461" s="20"/>
      <c r="AL461" s="20"/>
    </row>
    <row r="462" spans="1:38" s="238" customFormat="1" ht="18.75" customHeight="1" x14ac:dyDescent="0.35">
      <c r="A462" s="195"/>
      <c r="B462" s="254"/>
      <c r="C462" s="20"/>
      <c r="D462" s="20"/>
      <c r="E462" s="363"/>
      <c r="F462" s="3"/>
      <c r="G462" s="3"/>
      <c r="H462" s="20"/>
      <c r="I462" s="20"/>
      <c r="J462" s="20"/>
      <c r="K462" s="411"/>
      <c r="L462" s="204"/>
      <c r="M462" s="255"/>
      <c r="N462" s="421"/>
      <c r="P462" s="227">
        <f t="shared" si="71"/>
        <v>0</v>
      </c>
      <c r="Q462" s="230"/>
      <c r="R462" s="230"/>
      <c r="S462" s="230">
        <f t="shared" ref="S462:S500" si="72">M462*0.02</f>
        <v>0</v>
      </c>
      <c r="T462" s="228">
        <f t="shared" si="67"/>
        <v>0</v>
      </c>
      <c r="U462" s="413" t="str">
        <f t="shared" si="68"/>
        <v>L6</v>
      </c>
      <c r="V462" s="410">
        <f t="shared" si="69"/>
        <v>0</v>
      </c>
      <c r="W462" s="246">
        <f t="shared" si="70"/>
        <v>0</v>
      </c>
      <c r="X462" s="20"/>
      <c r="Y462" s="20"/>
      <c r="Z462" s="20"/>
      <c r="AA462" s="20"/>
      <c r="AB462" s="20"/>
      <c r="AC462" s="20"/>
      <c r="AD462" s="20"/>
      <c r="AE462" s="20"/>
      <c r="AF462" s="20"/>
      <c r="AG462" s="20"/>
      <c r="AH462" s="20"/>
      <c r="AI462" s="20"/>
      <c r="AJ462" s="20"/>
      <c r="AK462" s="20"/>
      <c r="AL462" s="20"/>
    </row>
    <row r="463" spans="1:38" s="238" customFormat="1" ht="18.75" customHeight="1" x14ac:dyDescent="0.35">
      <c r="A463" s="195"/>
      <c r="B463" s="254"/>
      <c r="C463" s="20"/>
      <c r="D463" s="20"/>
      <c r="E463" s="363"/>
      <c r="F463" s="3"/>
      <c r="G463" s="3"/>
      <c r="H463" s="20"/>
      <c r="I463" s="20"/>
      <c r="J463" s="20"/>
      <c r="K463" s="411"/>
      <c r="L463" s="204"/>
      <c r="M463" s="255"/>
      <c r="N463" s="421"/>
      <c r="P463" s="227">
        <f t="shared" si="71"/>
        <v>0</v>
      </c>
      <c r="Q463" s="230"/>
      <c r="R463" s="230"/>
      <c r="S463" s="230">
        <f t="shared" si="72"/>
        <v>0</v>
      </c>
      <c r="T463" s="228">
        <f t="shared" si="67"/>
        <v>0</v>
      </c>
      <c r="U463" s="413" t="str">
        <f t="shared" si="68"/>
        <v>L6</v>
      </c>
      <c r="V463" s="410">
        <f t="shared" si="69"/>
        <v>0</v>
      </c>
      <c r="W463" s="246">
        <f t="shared" si="70"/>
        <v>0</v>
      </c>
      <c r="X463" s="20"/>
      <c r="Y463" s="20"/>
      <c r="Z463" s="20"/>
      <c r="AA463" s="20"/>
      <c r="AB463" s="20"/>
      <c r="AC463" s="20"/>
      <c r="AD463" s="20"/>
      <c r="AE463" s="20"/>
      <c r="AF463" s="20"/>
      <c r="AG463" s="20"/>
      <c r="AH463" s="20"/>
      <c r="AI463" s="20"/>
      <c r="AJ463" s="20"/>
      <c r="AK463" s="20"/>
      <c r="AL463" s="20"/>
    </row>
    <row r="464" spans="1:38" s="238" customFormat="1" ht="18.75" customHeight="1" x14ac:dyDescent="0.35">
      <c r="A464" s="195"/>
      <c r="B464" s="254"/>
      <c r="C464" s="20"/>
      <c r="D464" s="20"/>
      <c r="E464" s="363"/>
      <c r="F464" s="3"/>
      <c r="G464" s="3"/>
      <c r="H464" s="20"/>
      <c r="I464" s="20"/>
      <c r="J464" s="20"/>
      <c r="K464" s="411"/>
      <c r="L464" s="204"/>
      <c r="M464" s="255"/>
      <c r="N464" s="421"/>
      <c r="P464" s="227">
        <f t="shared" si="71"/>
        <v>0</v>
      </c>
      <c r="Q464" s="230"/>
      <c r="R464" s="230"/>
      <c r="S464" s="230">
        <f t="shared" si="72"/>
        <v>0</v>
      </c>
      <c r="T464" s="228">
        <f t="shared" si="67"/>
        <v>0</v>
      </c>
      <c r="U464" s="413" t="str">
        <f t="shared" si="68"/>
        <v>L6</v>
      </c>
      <c r="V464" s="410">
        <f t="shared" si="69"/>
        <v>0</v>
      </c>
      <c r="W464" s="246">
        <f t="shared" si="70"/>
        <v>0</v>
      </c>
      <c r="X464" s="20"/>
      <c r="Y464" s="20"/>
      <c r="Z464" s="20"/>
      <c r="AA464" s="20"/>
      <c r="AB464" s="20"/>
      <c r="AC464" s="20"/>
      <c r="AD464" s="20"/>
      <c r="AE464" s="20"/>
      <c r="AF464" s="20"/>
      <c r="AG464" s="20"/>
      <c r="AH464" s="20"/>
      <c r="AI464" s="20"/>
      <c r="AJ464" s="20"/>
      <c r="AK464" s="20"/>
      <c r="AL464" s="20"/>
    </row>
    <row r="465" spans="1:38" s="238" customFormat="1" ht="18.75" customHeight="1" x14ac:dyDescent="0.35">
      <c r="A465" s="195"/>
      <c r="B465" s="254"/>
      <c r="C465" s="20"/>
      <c r="D465" s="20"/>
      <c r="E465" s="363"/>
      <c r="F465" s="3"/>
      <c r="G465" s="3"/>
      <c r="H465" s="20"/>
      <c r="I465" s="20"/>
      <c r="J465" s="20"/>
      <c r="K465" s="411"/>
      <c r="L465" s="204"/>
      <c r="M465" s="255"/>
      <c r="N465" s="421"/>
      <c r="P465" s="227">
        <f t="shared" si="71"/>
        <v>0</v>
      </c>
      <c r="Q465" s="230"/>
      <c r="R465" s="230"/>
      <c r="S465" s="230">
        <f t="shared" si="72"/>
        <v>0</v>
      </c>
      <c r="T465" s="228">
        <f t="shared" ref="T465:T496" si="73">L465-N465-P465-Q465-R465-S465</f>
        <v>0</v>
      </c>
      <c r="U465" s="413" t="str">
        <f t="shared" ref="U465:U488" si="74">IF(K465="CORREO","0","L6")</f>
        <v>L6</v>
      </c>
      <c r="V465" s="410">
        <f t="shared" si="69"/>
        <v>0</v>
      </c>
      <c r="W465" s="246">
        <f t="shared" si="70"/>
        <v>0</v>
      </c>
      <c r="X465" s="20"/>
      <c r="Y465" s="20"/>
      <c r="Z465" s="20"/>
      <c r="AA465" s="20"/>
      <c r="AB465" s="20"/>
      <c r="AC465" s="20"/>
      <c r="AD465" s="20"/>
      <c r="AE465" s="20"/>
      <c r="AF465" s="20"/>
      <c r="AG465" s="20"/>
      <c r="AH465" s="20"/>
      <c r="AI465" s="20"/>
      <c r="AJ465" s="20"/>
      <c r="AK465" s="20"/>
      <c r="AL465" s="20"/>
    </row>
    <row r="466" spans="1:38" s="238" customFormat="1" ht="18.75" customHeight="1" x14ac:dyDescent="0.35">
      <c r="A466" s="195"/>
      <c r="B466" s="254"/>
      <c r="C466" s="20"/>
      <c r="D466" s="20"/>
      <c r="E466" s="363"/>
      <c r="F466" s="3"/>
      <c r="G466" s="3"/>
      <c r="H466" s="20"/>
      <c r="I466" s="20"/>
      <c r="J466" s="20"/>
      <c r="K466" s="411"/>
      <c r="L466" s="204"/>
      <c r="M466" s="255"/>
      <c r="N466" s="421"/>
      <c r="P466" s="227">
        <f t="shared" si="71"/>
        <v>0</v>
      </c>
      <c r="Q466" s="230"/>
      <c r="R466" s="230"/>
      <c r="S466" s="230">
        <f t="shared" si="72"/>
        <v>0</v>
      </c>
      <c r="T466" s="228">
        <f t="shared" si="73"/>
        <v>0</v>
      </c>
      <c r="U466" s="413" t="str">
        <f t="shared" si="74"/>
        <v>L6</v>
      </c>
      <c r="V466" s="410">
        <f t="shared" si="69"/>
        <v>0</v>
      </c>
      <c r="W466" s="246">
        <f t="shared" si="70"/>
        <v>0</v>
      </c>
      <c r="X466" s="20"/>
      <c r="Y466" s="20"/>
      <c r="Z466" s="20"/>
      <c r="AA466" s="20"/>
      <c r="AB466" s="20"/>
      <c r="AC466" s="20"/>
      <c r="AD466" s="20"/>
      <c r="AE466" s="20"/>
      <c r="AF466" s="20"/>
      <c r="AG466" s="20"/>
      <c r="AH466" s="20"/>
      <c r="AI466" s="20"/>
      <c r="AJ466" s="20"/>
      <c r="AK466" s="20"/>
      <c r="AL466" s="20"/>
    </row>
    <row r="467" spans="1:38" s="238" customFormat="1" ht="18.75" customHeight="1" x14ac:dyDescent="0.35">
      <c r="A467" s="195"/>
      <c r="B467" s="254"/>
      <c r="C467" s="20"/>
      <c r="D467" s="20"/>
      <c r="E467" s="363"/>
      <c r="F467" s="3"/>
      <c r="G467" s="3"/>
      <c r="H467" s="20"/>
      <c r="I467" s="20"/>
      <c r="J467" s="20"/>
      <c r="K467" s="411"/>
      <c r="L467" s="204"/>
      <c r="M467" s="255"/>
      <c r="N467" s="421"/>
      <c r="P467" s="227">
        <f t="shared" si="71"/>
        <v>0</v>
      </c>
      <c r="Q467" s="230"/>
      <c r="R467" s="230"/>
      <c r="S467" s="230">
        <f t="shared" si="72"/>
        <v>0</v>
      </c>
      <c r="T467" s="228">
        <f t="shared" si="73"/>
        <v>0</v>
      </c>
      <c r="U467" s="413" t="str">
        <f t="shared" si="74"/>
        <v>L6</v>
      </c>
      <c r="V467" s="410">
        <f t="shared" si="69"/>
        <v>0</v>
      </c>
      <c r="W467" s="246">
        <f t="shared" si="70"/>
        <v>0</v>
      </c>
      <c r="X467" s="20"/>
      <c r="Y467" s="20"/>
      <c r="Z467" s="20"/>
      <c r="AA467" s="20"/>
      <c r="AB467" s="20"/>
      <c r="AC467" s="20"/>
      <c r="AD467" s="20"/>
      <c r="AE467" s="20"/>
      <c r="AF467" s="20"/>
      <c r="AG467" s="20"/>
      <c r="AH467" s="20"/>
      <c r="AI467" s="20"/>
      <c r="AJ467" s="20"/>
      <c r="AK467" s="20"/>
      <c r="AL467" s="20"/>
    </row>
    <row r="468" spans="1:38" s="238" customFormat="1" ht="18.75" customHeight="1" x14ac:dyDescent="0.35">
      <c r="A468" s="195"/>
      <c r="B468" s="254"/>
      <c r="C468" s="20"/>
      <c r="D468" s="20"/>
      <c r="E468" s="363"/>
      <c r="F468" s="3"/>
      <c r="G468" s="3"/>
      <c r="H468" s="20"/>
      <c r="I468" s="20"/>
      <c r="J468" s="20"/>
      <c r="K468" s="411"/>
      <c r="L468" s="204"/>
      <c r="M468" s="255"/>
      <c r="N468" s="421"/>
      <c r="P468" s="227">
        <f t="shared" si="71"/>
        <v>0</v>
      </c>
      <c r="Q468" s="230"/>
      <c r="R468" s="230"/>
      <c r="S468" s="230">
        <f t="shared" si="72"/>
        <v>0</v>
      </c>
      <c r="T468" s="228">
        <f t="shared" si="73"/>
        <v>0</v>
      </c>
      <c r="U468" s="413" t="str">
        <f t="shared" si="74"/>
        <v>L6</v>
      </c>
      <c r="V468" s="410">
        <f t="shared" si="69"/>
        <v>0</v>
      </c>
      <c r="W468" s="246">
        <f t="shared" si="70"/>
        <v>0</v>
      </c>
      <c r="X468" s="20"/>
      <c r="Y468" s="20"/>
      <c r="Z468" s="20"/>
      <c r="AA468" s="20"/>
      <c r="AB468" s="20"/>
      <c r="AC468" s="20"/>
      <c r="AD468" s="20"/>
      <c r="AE468" s="20"/>
      <c r="AF468" s="20"/>
      <c r="AG468" s="20"/>
      <c r="AH468" s="20"/>
      <c r="AI468" s="20"/>
      <c r="AJ468" s="20"/>
      <c r="AK468" s="20"/>
      <c r="AL468" s="20"/>
    </row>
    <row r="469" spans="1:38" s="238" customFormat="1" ht="18.75" customHeight="1" x14ac:dyDescent="0.35">
      <c r="A469" s="195"/>
      <c r="B469" s="254"/>
      <c r="C469" s="20"/>
      <c r="D469" s="20"/>
      <c r="E469" s="363"/>
      <c r="F469" s="3"/>
      <c r="G469" s="3"/>
      <c r="H469" s="20"/>
      <c r="I469" s="20"/>
      <c r="J469" s="20"/>
      <c r="K469" s="411"/>
      <c r="L469" s="204"/>
      <c r="M469" s="255"/>
      <c r="N469" s="421"/>
      <c r="P469" s="227">
        <f t="shared" si="71"/>
        <v>0</v>
      </c>
      <c r="Q469" s="230"/>
      <c r="R469" s="230"/>
      <c r="S469" s="230">
        <f t="shared" si="72"/>
        <v>0</v>
      </c>
      <c r="T469" s="228">
        <f t="shared" si="73"/>
        <v>0</v>
      </c>
      <c r="U469" s="413" t="str">
        <f t="shared" si="74"/>
        <v>L6</v>
      </c>
      <c r="V469" s="410">
        <f t="shared" si="69"/>
        <v>0</v>
      </c>
      <c r="W469" s="246">
        <f t="shared" si="70"/>
        <v>0</v>
      </c>
      <c r="X469" s="20"/>
      <c r="Y469" s="20"/>
      <c r="Z469" s="20"/>
      <c r="AA469" s="20"/>
      <c r="AB469" s="20"/>
      <c r="AC469" s="20"/>
      <c r="AD469" s="20"/>
      <c r="AE469" s="20"/>
      <c r="AF469" s="20"/>
      <c r="AG469" s="20"/>
      <c r="AH469" s="20"/>
      <c r="AI469" s="20"/>
      <c r="AJ469" s="20"/>
      <c r="AK469" s="20"/>
      <c r="AL469" s="20"/>
    </row>
    <row r="470" spans="1:38" s="238" customFormat="1" ht="18.75" customHeight="1" x14ac:dyDescent="0.35">
      <c r="A470" s="195"/>
      <c r="B470" s="254"/>
      <c r="C470" s="20"/>
      <c r="D470" s="20"/>
      <c r="E470" s="363"/>
      <c r="F470" s="3"/>
      <c r="G470" s="3"/>
      <c r="H470" s="20"/>
      <c r="I470" s="20"/>
      <c r="J470" s="20"/>
      <c r="K470" s="411"/>
      <c r="L470" s="204"/>
      <c r="M470" s="255"/>
      <c r="N470" s="421"/>
      <c r="P470" s="227">
        <f t="shared" si="71"/>
        <v>0</v>
      </c>
      <c r="Q470" s="230"/>
      <c r="R470" s="230"/>
      <c r="S470" s="230">
        <f t="shared" si="72"/>
        <v>0</v>
      </c>
      <c r="T470" s="228">
        <f t="shared" si="73"/>
        <v>0</v>
      </c>
      <c r="U470" s="413" t="str">
        <f t="shared" si="74"/>
        <v>L6</v>
      </c>
      <c r="V470" s="410">
        <f t="shared" si="69"/>
        <v>0</v>
      </c>
      <c r="W470" s="246">
        <f t="shared" si="70"/>
        <v>0</v>
      </c>
      <c r="X470" s="20"/>
      <c r="Y470" s="20"/>
      <c r="Z470" s="20"/>
      <c r="AA470" s="20"/>
      <c r="AB470" s="20"/>
      <c r="AC470" s="20"/>
      <c r="AD470" s="20"/>
      <c r="AE470" s="20"/>
      <c r="AF470" s="20"/>
      <c r="AG470" s="20"/>
      <c r="AH470" s="20"/>
      <c r="AI470" s="20"/>
      <c r="AJ470" s="20"/>
      <c r="AK470" s="20"/>
      <c r="AL470" s="20"/>
    </row>
    <row r="471" spans="1:38" s="238" customFormat="1" ht="18.75" customHeight="1" x14ac:dyDescent="0.35">
      <c r="A471" s="195"/>
      <c r="B471" s="254"/>
      <c r="C471" s="20"/>
      <c r="D471" s="20"/>
      <c r="E471" s="363"/>
      <c r="F471" s="3"/>
      <c r="G471" s="3"/>
      <c r="H471" s="20"/>
      <c r="I471" s="20"/>
      <c r="J471" s="20"/>
      <c r="K471" s="411"/>
      <c r="L471" s="204"/>
      <c r="M471" s="255"/>
      <c r="N471" s="421"/>
      <c r="P471" s="227">
        <f t="shared" si="71"/>
        <v>0</v>
      </c>
      <c r="Q471" s="230"/>
      <c r="R471" s="230"/>
      <c r="S471" s="230">
        <f t="shared" si="72"/>
        <v>0</v>
      </c>
      <c r="T471" s="228">
        <f t="shared" si="73"/>
        <v>0</v>
      </c>
      <c r="U471" s="413" t="str">
        <f t="shared" si="74"/>
        <v>L6</v>
      </c>
      <c r="V471" s="410">
        <f t="shared" si="69"/>
        <v>0</v>
      </c>
      <c r="W471" s="246">
        <f t="shared" si="70"/>
        <v>0</v>
      </c>
      <c r="X471" s="20"/>
      <c r="Y471" s="20"/>
      <c r="Z471" s="20"/>
      <c r="AA471" s="20"/>
      <c r="AB471" s="20"/>
      <c r="AC471" s="20"/>
      <c r="AD471" s="20"/>
      <c r="AE471" s="20"/>
      <c r="AF471" s="20"/>
      <c r="AG471" s="20"/>
      <c r="AH471" s="20"/>
      <c r="AI471" s="20"/>
      <c r="AJ471" s="20"/>
      <c r="AK471" s="20"/>
      <c r="AL471" s="20"/>
    </row>
    <row r="472" spans="1:38" s="238" customFormat="1" ht="18.75" customHeight="1" x14ac:dyDescent="0.35">
      <c r="A472" s="195"/>
      <c r="B472" s="254"/>
      <c r="C472" s="20"/>
      <c r="D472" s="20"/>
      <c r="E472" s="363"/>
      <c r="F472" s="3"/>
      <c r="G472" s="3"/>
      <c r="H472" s="20"/>
      <c r="I472" s="20"/>
      <c r="J472" s="20"/>
      <c r="K472" s="411"/>
      <c r="L472" s="204"/>
      <c r="M472" s="255"/>
      <c r="N472" s="421"/>
      <c r="P472" s="227">
        <f t="shared" si="71"/>
        <v>0</v>
      </c>
      <c r="Q472" s="230"/>
      <c r="R472" s="230"/>
      <c r="S472" s="230">
        <f t="shared" si="72"/>
        <v>0</v>
      </c>
      <c r="T472" s="228">
        <f t="shared" si="73"/>
        <v>0</v>
      </c>
      <c r="U472" s="413" t="str">
        <f t="shared" si="74"/>
        <v>L6</v>
      </c>
      <c r="V472" s="410">
        <f t="shared" si="69"/>
        <v>0</v>
      </c>
      <c r="W472" s="246">
        <f t="shared" si="70"/>
        <v>0</v>
      </c>
      <c r="X472" s="20"/>
      <c r="Y472" s="20"/>
      <c r="Z472" s="20"/>
      <c r="AA472" s="20"/>
      <c r="AB472" s="20"/>
      <c r="AC472" s="20"/>
      <c r="AD472" s="20"/>
      <c r="AE472" s="20"/>
      <c r="AF472" s="20"/>
      <c r="AG472" s="20"/>
      <c r="AH472" s="20"/>
      <c r="AI472" s="20"/>
      <c r="AJ472" s="20"/>
      <c r="AK472" s="20"/>
      <c r="AL472" s="20"/>
    </row>
    <row r="473" spans="1:38" s="238" customFormat="1" ht="18.75" customHeight="1" x14ac:dyDescent="0.35">
      <c r="A473" s="195"/>
      <c r="B473" s="254"/>
      <c r="C473" s="20"/>
      <c r="D473" s="20"/>
      <c r="E473" s="363"/>
      <c r="F473" s="3"/>
      <c r="G473" s="3"/>
      <c r="H473" s="20"/>
      <c r="I473" s="20"/>
      <c r="J473" s="20"/>
      <c r="K473" s="411"/>
      <c r="L473" s="204"/>
      <c r="M473" s="255"/>
      <c r="N473" s="421"/>
      <c r="P473" s="227">
        <f t="shared" si="71"/>
        <v>0</v>
      </c>
      <c r="Q473" s="230"/>
      <c r="R473" s="230"/>
      <c r="S473" s="230">
        <f t="shared" si="72"/>
        <v>0</v>
      </c>
      <c r="T473" s="228">
        <f t="shared" si="73"/>
        <v>0</v>
      </c>
      <c r="U473" s="413" t="str">
        <f t="shared" si="74"/>
        <v>L6</v>
      </c>
      <c r="V473" s="410">
        <f t="shared" si="69"/>
        <v>0</v>
      </c>
      <c r="W473" s="246">
        <f t="shared" si="70"/>
        <v>0</v>
      </c>
      <c r="X473" s="20"/>
      <c r="Y473" s="20"/>
      <c r="Z473" s="20"/>
      <c r="AA473" s="20"/>
      <c r="AB473" s="20"/>
      <c r="AC473" s="20"/>
      <c r="AD473" s="20"/>
      <c r="AE473" s="20"/>
      <c r="AF473" s="20"/>
      <c r="AG473" s="20"/>
      <c r="AH473" s="20"/>
      <c r="AI473" s="20"/>
      <c r="AJ473" s="20"/>
      <c r="AK473" s="20"/>
      <c r="AL473" s="20"/>
    </row>
    <row r="474" spans="1:38" s="238" customFormat="1" ht="18.75" customHeight="1" x14ac:dyDescent="0.35">
      <c r="A474" s="195"/>
      <c r="B474" s="254"/>
      <c r="C474" s="20"/>
      <c r="D474" s="20"/>
      <c r="E474" s="363"/>
      <c r="F474" s="3"/>
      <c r="G474" s="3"/>
      <c r="H474" s="20"/>
      <c r="I474" s="20"/>
      <c r="J474" s="20"/>
      <c r="K474" s="411"/>
      <c r="L474" s="204"/>
      <c r="M474" s="255"/>
      <c r="N474" s="421"/>
      <c r="P474" s="227">
        <f t="shared" si="71"/>
        <v>0</v>
      </c>
      <c r="Q474" s="230"/>
      <c r="R474" s="230"/>
      <c r="S474" s="230">
        <f t="shared" si="72"/>
        <v>0</v>
      </c>
      <c r="T474" s="228">
        <f t="shared" si="73"/>
        <v>0</v>
      </c>
      <c r="U474" s="413" t="str">
        <f t="shared" si="74"/>
        <v>L6</v>
      </c>
      <c r="V474" s="410">
        <f t="shared" si="69"/>
        <v>0</v>
      </c>
      <c r="W474" s="246">
        <f t="shared" si="70"/>
        <v>0</v>
      </c>
      <c r="X474" s="20"/>
      <c r="Y474" s="20"/>
      <c r="Z474" s="20"/>
      <c r="AA474" s="20"/>
      <c r="AB474" s="20"/>
      <c r="AC474" s="20"/>
      <c r="AD474" s="20"/>
      <c r="AE474" s="20"/>
      <c r="AF474" s="20"/>
      <c r="AG474" s="20"/>
      <c r="AH474" s="20"/>
      <c r="AI474" s="20"/>
      <c r="AJ474" s="20"/>
      <c r="AK474" s="20"/>
      <c r="AL474" s="20"/>
    </row>
    <row r="475" spans="1:38" s="238" customFormat="1" ht="18.75" customHeight="1" x14ac:dyDescent="0.35">
      <c r="A475" s="195"/>
      <c r="B475" s="254"/>
      <c r="C475" s="20"/>
      <c r="D475" s="20"/>
      <c r="E475" s="363"/>
      <c r="F475" s="3"/>
      <c r="G475" s="3"/>
      <c r="H475" s="20"/>
      <c r="I475" s="20"/>
      <c r="J475" s="20"/>
      <c r="K475" s="411"/>
      <c r="L475" s="204"/>
      <c r="M475" s="255"/>
      <c r="N475" s="421"/>
      <c r="P475" s="227">
        <f t="shared" si="71"/>
        <v>0</v>
      </c>
      <c r="Q475" s="230"/>
      <c r="R475" s="230"/>
      <c r="S475" s="230">
        <f t="shared" si="72"/>
        <v>0</v>
      </c>
      <c r="T475" s="228">
        <f t="shared" si="73"/>
        <v>0</v>
      </c>
      <c r="U475" s="413" t="str">
        <f t="shared" si="74"/>
        <v>L6</v>
      </c>
      <c r="V475" s="410">
        <f t="shared" si="69"/>
        <v>0</v>
      </c>
      <c r="W475" s="246">
        <f t="shared" si="70"/>
        <v>0</v>
      </c>
      <c r="X475" s="20"/>
      <c r="Y475" s="20"/>
      <c r="Z475" s="20"/>
      <c r="AA475" s="20"/>
      <c r="AB475" s="20"/>
      <c r="AC475" s="20"/>
      <c r="AD475" s="20"/>
      <c r="AE475" s="20"/>
      <c r="AF475" s="20"/>
      <c r="AG475" s="20"/>
      <c r="AH475" s="20"/>
      <c r="AI475" s="20"/>
      <c r="AJ475" s="20"/>
      <c r="AK475" s="20"/>
      <c r="AL475" s="20"/>
    </row>
    <row r="476" spans="1:38" s="238" customFormat="1" ht="18.75" customHeight="1" x14ac:dyDescent="0.35">
      <c r="A476" s="195"/>
      <c r="B476" s="254"/>
      <c r="C476" s="20"/>
      <c r="D476" s="20"/>
      <c r="E476" s="363"/>
      <c r="F476" s="3"/>
      <c r="G476" s="3"/>
      <c r="H476" s="20"/>
      <c r="I476" s="20"/>
      <c r="J476" s="20"/>
      <c r="K476" s="411"/>
      <c r="L476" s="204"/>
      <c r="M476" s="255"/>
      <c r="N476" s="421"/>
      <c r="P476" s="227">
        <f t="shared" si="71"/>
        <v>0</v>
      </c>
      <c r="Q476" s="230"/>
      <c r="R476" s="230"/>
      <c r="S476" s="230">
        <f t="shared" si="72"/>
        <v>0</v>
      </c>
      <c r="T476" s="228">
        <f t="shared" si="73"/>
        <v>0</v>
      </c>
      <c r="U476" s="413" t="str">
        <f t="shared" si="74"/>
        <v>L6</v>
      </c>
      <c r="V476" s="410">
        <f t="shared" si="69"/>
        <v>0</v>
      </c>
      <c r="W476" s="246">
        <f t="shared" si="70"/>
        <v>0</v>
      </c>
      <c r="X476" s="20"/>
      <c r="Y476" s="20"/>
      <c r="Z476" s="20"/>
      <c r="AA476" s="20"/>
      <c r="AB476" s="20"/>
      <c r="AC476" s="20"/>
      <c r="AD476" s="20"/>
      <c r="AE476" s="20"/>
      <c r="AF476" s="20"/>
      <c r="AG476" s="20"/>
      <c r="AH476" s="20"/>
      <c r="AI476" s="20"/>
      <c r="AJ476" s="20"/>
      <c r="AK476" s="20"/>
      <c r="AL476" s="20"/>
    </row>
    <row r="477" spans="1:38" s="238" customFormat="1" ht="18.75" customHeight="1" x14ac:dyDescent="0.35">
      <c r="A477" s="195"/>
      <c r="B477" s="254"/>
      <c r="C477" s="20"/>
      <c r="D477" s="20"/>
      <c r="E477" s="363"/>
      <c r="F477" s="3"/>
      <c r="G477" s="3"/>
      <c r="H477" s="20"/>
      <c r="I477" s="20"/>
      <c r="J477" s="20"/>
      <c r="K477" s="411"/>
      <c r="L477" s="204"/>
      <c r="M477" s="255"/>
      <c r="N477" s="421"/>
      <c r="P477" s="227">
        <f t="shared" si="71"/>
        <v>0</v>
      </c>
      <c r="Q477" s="230"/>
      <c r="R477" s="230"/>
      <c r="S477" s="230">
        <f t="shared" si="72"/>
        <v>0</v>
      </c>
      <c r="T477" s="228">
        <f t="shared" si="73"/>
        <v>0</v>
      </c>
      <c r="U477" s="413" t="str">
        <f t="shared" si="74"/>
        <v>L6</v>
      </c>
      <c r="V477" s="410">
        <f t="shared" si="69"/>
        <v>0</v>
      </c>
      <c r="W477" s="246">
        <f t="shared" si="70"/>
        <v>0</v>
      </c>
      <c r="X477" s="20"/>
      <c r="Y477" s="20"/>
      <c r="Z477" s="20"/>
      <c r="AA477" s="20"/>
      <c r="AB477" s="20"/>
      <c r="AC477" s="20"/>
      <c r="AD477" s="20"/>
      <c r="AE477" s="20"/>
      <c r="AF477" s="20"/>
      <c r="AG477" s="20"/>
      <c r="AH477" s="20"/>
      <c r="AI477" s="20"/>
      <c r="AJ477" s="20"/>
      <c r="AK477" s="20"/>
      <c r="AL477" s="20"/>
    </row>
    <row r="478" spans="1:38" s="238" customFormat="1" ht="18.75" customHeight="1" x14ac:dyDescent="0.35">
      <c r="A478" s="195"/>
      <c r="B478" s="254"/>
      <c r="C478" s="20"/>
      <c r="D478" s="20"/>
      <c r="E478" s="363"/>
      <c r="F478" s="3"/>
      <c r="G478" s="3"/>
      <c r="H478" s="20"/>
      <c r="I478" s="20"/>
      <c r="J478" s="20"/>
      <c r="K478" s="411"/>
      <c r="L478" s="204"/>
      <c r="M478" s="255"/>
      <c r="N478" s="421"/>
      <c r="P478" s="227">
        <f t="shared" si="71"/>
        <v>0</v>
      </c>
      <c r="Q478" s="230"/>
      <c r="R478" s="230"/>
      <c r="S478" s="230">
        <f t="shared" si="72"/>
        <v>0</v>
      </c>
      <c r="T478" s="228">
        <f t="shared" si="73"/>
        <v>0</v>
      </c>
      <c r="U478" s="413" t="str">
        <f t="shared" si="74"/>
        <v>L6</v>
      </c>
      <c r="V478" s="410">
        <f t="shared" si="69"/>
        <v>0</v>
      </c>
      <c r="W478" s="246">
        <f t="shared" si="70"/>
        <v>0</v>
      </c>
      <c r="X478" s="20"/>
      <c r="Y478" s="20"/>
      <c r="Z478" s="20"/>
      <c r="AA478" s="20"/>
      <c r="AB478" s="20"/>
      <c r="AC478" s="20"/>
      <c r="AD478" s="20"/>
      <c r="AE478" s="20"/>
      <c r="AF478" s="20"/>
      <c r="AG478" s="20"/>
      <c r="AH478" s="20"/>
      <c r="AI478" s="20"/>
      <c r="AJ478" s="20"/>
      <c r="AK478" s="20"/>
      <c r="AL478" s="20"/>
    </row>
    <row r="479" spans="1:38" s="238" customFormat="1" ht="18.75" customHeight="1" x14ac:dyDescent="0.35">
      <c r="A479" s="195"/>
      <c r="B479" s="254"/>
      <c r="C479" s="20"/>
      <c r="D479" s="20"/>
      <c r="E479" s="363"/>
      <c r="F479" s="3"/>
      <c r="G479" s="3"/>
      <c r="H479" s="20"/>
      <c r="I479" s="20"/>
      <c r="J479" s="20"/>
      <c r="K479" s="411"/>
      <c r="L479" s="204"/>
      <c r="M479" s="255"/>
      <c r="N479" s="421"/>
      <c r="P479" s="227">
        <f t="shared" si="71"/>
        <v>0</v>
      </c>
      <c r="Q479" s="230"/>
      <c r="R479" s="230"/>
      <c r="S479" s="230">
        <f t="shared" si="72"/>
        <v>0</v>
      </c>
      <c r="T479" s="228">
        <f t="shared" si="73"/>
        <v>0</v>
      </c>
      <c r="U479" s="413" t="str">
        <f t="shared" si="74"/>
        <v>L6</v>
      </c>
      <c r="V479" s="410">
        <f t="shared" si="69"/>
        <v>0</v>
      </c>
      <c r="W479" s="246">
        <f t="shared" si="70"/>
        <v>0</v>
      </c>
      <c r="X479" s="20"/>
      <c r="Y479" s="20"/>
      <c r="Z479" s="20"/>
      <c r="AA479" s="20"/>
      <c r="AB479" s="20"/>
      <c r="AC479" s="20"/>
      <c r="AD479" s="20"/>
      <c r="AE479" s="20"/>
      <c r="AF479" s="20"/>
      <c r="AG479" s="20"/>
      <c r="AH479" s="20"/>
      <c r="AI479" s="20"/>
      <c r="AJ479" s="20"/>
      <c r="AK479" s="20"/>
      <c r="AL479" s="20"/>
    </row>
    <row r="480" spans="1:38" s="238" customFormat="1" ht="18.75" customHeight="1" x14ac:dyDescent="0.35">
      <c r="A480" s="195"/>
      <c r="B480" s="254"/>
      <c r="C480" s="20"/>
      <c r="D480" s="20"/>
      <c r="E480" s="363"/>
      <c r="F480" s="3"/>
      <c r="G480" s="3"/>
      <c r="H480" s="20"/>
      <c r="I480" s="20"/>
      <c r="J480" s="20"/>
      <c r="K480" s="411"/>
      <c r="L480" s="204"/>
      <c r="M480" s="255"/>
      <c r="N480" s="421"/>
      <c r="P480" s="227">
        <f t="shared" si="71"/>
        <v>0</v>
      </c>
      <c r="Q480" s="230"/>
      <c r="R480" s="230"/>
      <c r="S480" s="230">
        <f t="shared" si="72"/>
        <v>0</v>
      </c>
      <c r="T480" s="228">
        <f t="shared" si="73"/>
        <v>0</v>
      </c>
      <c r="U480" s="413" t="str">
        <f t="shared" si="74"/>
        <v>L6</v>
      </c>
      <c r="V480" s="410">
        <f t="shared" si="69"/>
        <v>0</v>
      </c>
      <c r="W480" s="246">
        <f t="shared" si="70"/>
        <v>0</v>
      </c>
      <c r="X480" s="20"/>
      <c r="Y480" s="20"/>
      <c r="Z480" s="20"/>
      <c r="AA480" s="20"/>
      <c r="AB480" s="20"/>
      <c r="AC480" s="20"/>
      <c r="AD480" s="20"/>
      <c r="AE480" s="20"/>
      <c r="AF480" s="20"/>
      <c r="AG480" s="20"/>
      <c r="AH480" s="20"/>
      <c r="AI480" s="20"/>
      <c r="AJ480" s="20"/>
      <c r="AK480" s="20"/>
      <c r="AL480" s="20"/>
    </row>
    <row r="481" spans="1:38" s="238" customFormat="1" ht="18.75" customHeight="1" x14ac:dyDescent="0.35">
      <c r="A481" s="195"/>
      <c r="B481" s="254"/>
      <c r="C481" s="20"/>
      <c r="D481" s="20"/>
      <c r="E481" s="363"/>
      <c r="F481" s="3"/>
      <c r="G481" s="3"/>
      <c r="H481" s="20"/>
      <c r="I481" s="20"/>
      <c r="J481" s="20"/>
      <c r="K481" s="411"/>
      <c r="L481" s="204"/>
      <c r="M481" s="255"/>
      <c r="N481" s="421"/>
      <c r="P481" s="227">
        <f t="shared" si="71"/>
        <v>0</v>
      </c>
      <c r="Q481" s="230"/>
      <c r="R481" s="230"/>
      <c r="S481" s="230">
        <f t="shared" si="72"/>
        <v>0</v>
      </c>
      <c r="T481" s="228">
        <f t="shared" si="73"/>
        <v>0</v>
      </c>
      <c r="U481" s="413" t="str">
        <f t="shared" si="74"/>
        <v>L6</v>
      </c>
      <c r="V481" s="410">
        <f t="shared" si="69"/>
        <v>0</v>
      </c>
      <c r="W481" s="246">
        <f t="shared" si="70"/>
        <v>0</v>
      </c>
      <c r="X481" s="20"/>
      <c r="Y481" s="20"/>
      <c r="Z481" s="20"/>
      <c r="AA481" s="20"/>
      <c r="AB481" s="20"/>
      <c r="AC481" s="20"/>
      <c r="AD481" s="20"/>
      <c r="AE481" s="20"/>
      <c r="AF481" s="20"/>
      <c r="AG481" s="20"/>
      <c r="AH481" s="20"/>
      <c r="AI481" s="20"/>
      <c r="AJ481" s="20"/>
      <c r="AK481" s="20"/>
      <c r="AL481" s="20"/>
    </row>
    <row r="482" spans="1:38" s="238" customFormat="1" ht="18.75" customHeight="1" x14ac:dyDescent="0.35">
      <c r="A482" s="195"/>
      <c r="B482" s="254"/>
      <c r="C482" s="20"/>
      <c r="D482" s="20"/>
      <c r="E482" s="363"/>
      <c r="F482" s="3"/>
      <c r="G482" s="3"/>
      <c r="H482" s="20"/>
      <c r="I482" s="20"/>
      <c r="J482" s="20"/>
      <c r="K482" s="411"/>
      <c r="L482" s="204"/>
      <c r="M482" s="255"/>
      <c r="N482" s="421"/>
      <c r="P482" s="227">
        <f t="shared" si="71"/>
        <v>0</v>
      </c>
      <c r="Q482" s="230"/>
      <c r="R482" s="230"/>
      <c r="S482" s="230">
        <f t="shared" si="72"/>
        <v>0</v>
      </c>
      <c r="T482" s="228">
        <f t="shared" si="73"/>
        <v>0</v>
      </c>
      <c r="U482" s="413" t="str">
        <f t="shared" si="74"/>
        <v>L6</v>
      </c>
      <c r="V482" s="410">
        <f t="shared" si="69"/>
        <v>0</v>
      </c>
      <c r="W482" s="246">
        <f t="shared" si="70"/>
        <v>0</v>
      </c>
      <c r="X482" s="20"/>
      <c r="Y482" s="20"/>
      <c r="Z482" s="20"/>
      <c r="AA482" s="20"/>
      <c r="AB482" s="20"/>
      <c r="AC482" s="20"/>
      <c r="AD482" s="20"/>
      <c r="AE482" s="20"/>
      <c r="AF482" s="20"/>
      <c r="AG482" s="20"/>
      <c r="AH482" s="20"/>
      <c r="AI482" s="20"/>
      <c r="AJ482" s="20"/>
      <c r="AK482" s="20"/>
      <c r="AL482" s="20"/>
    </row>
    <row r="483" spans="1:38" s="238" customFormat="1" ht="18.75" customHeight="1" x14ac:dyDescent="0.35">
      <c r="A483" s="195"/>
      <c r="B483" s="254"/>
      <c r="C483" s="20"/>
      <c r="D483" s="20"/>
      <c r="E483" s="363"/>
      <c r="F483" s="3"/>
      <c r="G483" s="3"/>
      <c r="H483" s="20"/>
      <c r="I483" s="20"/>
      <c r="J483" s="20"/>
      <c r="K483" s="411"/>
      <c r="L483" s="204"/>
      <c r="M483" s="255"/>
      <c r="N483" s="421"/>
      <c r="P483" s="227">
        <f t="shared" si="71"/>
        <v>0</v>
      </c>
      <c r="Q483" s="230"/>
      <c r="R483" s="230"/>
      <c r="S483" s="230">
        <f t="shared" si="72"/>
        <v>0</v>
      </c>
      <c r="T483" s="228">
        <f t="shared" si="73"/>
        <v>0</v>
      </c>
      <c r="U483" s="413" t="str">
        <f t="shared" si="74"/>
        <v>L6</v>
      </c>
      <c r="V483" s="410">
        <f t="shared" si="69"/>
        <v>0</v>
      </c>
      <c r="W483" s="246">
        <f t="shared" si="70"/>
        <v>0</v>
      </c>
      <c r="X483" s="20"/>
      <c r="Y483" s="20"/>
      <c r="Z483" s="20"/>
      <c r="AA483" s="20"/>
      <c r="AB483" s="20"/>
      <c r="AC483" s="20"/>
      <c r="AD483" s="20"/>
      <c r="AE483" s="20"/>
      <c r="AF483" s="20"/>
      <c r="AG483" s="20"/>
      <c r="AH483" s="20"/>
      <c r="AI483" s="20"/>
      <c r="AJ483" s="20"/>
      <c r="AK483" s="20"/>
      <c r="AL483" s="20"/>
    </row>
    <row r="484" spans="1:38" s="238" customFormat="1" ht="18.75" customHeight="1" x14ac:dyDescent="0.35">
      <c r="A484" s="195"/>
      <c r="B484" s="254"/>
      <c r="C484" s="20"/>
      <c r="D484" s="20"/>
      <c r="E484" s="363"/>
      <c r="F484" s="3"/>
      <c r="G484" s="3"/>
      <c r="H484" s="20"/>
      <c r="I484" s="20"/>
      <c r="J484" s="20"/>
      <c r="K484" s="411"/>
      <c r="L484" s="204"/>
      <c r="M484" s="255"/>
      <c r="N484" s="421"/>
      <c r="P484" s="227">
        <f t="shared" si="71"/>
        <v>0</v>
      </c>
      <c r="Q484" s="230"/>
      <c r="R484" s="230"/>
      <c r="S484" s="230">
        <f t="shared" si="72"/>
        <v>0</v>
      </c>
      <c r="T484" s="228">
        <f t="shared" si="73"/>
        <v>0</v>
      </c>
      <c r="U484" s="413" t="str">
        <f t="shared" si="74"/>
        <v>L6</v>
      </c>
      <c r="V484" s="410">
        <f t="shared" si="69"/>
        <v>0</v>
      </c>
      <c r="W484" s="246">
        <f t="shared" si="70"/>
        <v>0</v>
      </c>
      <c r="X484" s="20"/>
      <c r="Y484" s="20"/>
      <c r="Z484" s="20"/>
      <c r="AA484" s="20"/>
      <c r="AB484" s="20"/>
      <c r="AC484" s="20"/>
      <c r="AD484" s="20"/>
      <c r="AE484" s="20"/>
      <c r="AF484" s="20"/>
      <c r="AG484" s="20"/>
      <c r="AH484" s="20"/>
      <c r="AI484" s="20"/>
      <c r="AJ484" s="20"/>
      <c r="AK484" s="20"/>
      <c r="AL484" s="20"/>
    </row>
    <row r="485" spans="1:38" s="238" customFormat="1" ht="18.75" customHeight="1" x14ac:dyDescent="0.35">
      <c r="A485" s="195"/>
      <c r="B485" s="254"/>
      <c r="C485" s="20"/>
      <c r="D485" s="20"/>
      <c r="E485" s="363"/>
      <c r="F485" s="3"/>
      <c r="G485" s="3"/>
      <c r="H485" s="20"/>
      <c r="I485" s="20"/>
      <c r="J485" s="20"/>
      <c r="K485" s="411"/>
      <c r="L485" s="204"/>
      <c r="M485" s="255"/>
      <c r="N485" s="421"/>
      <c r="P485" s="227">
        <f t="shared" si="71"/>
        <v>0</v>
      </c>
      <c r="Q485" s="230"/>
      <c r="R485" s="230"/>
      <c r="S485" s="230">
        <f t="shared" si="72"/>
        <v>0</v>
      </c>
      <c r="T485" s="228">
        <f t="shared" si="73"/>
        <v>0</v>
      </c>
      <c r="U485" s="413" t="str">
        <f t="shared" si="74"/>
        <v>L6</v>
      </c>
      <c r="V485" s="410">
        <f t="shared" si="69"/>
        <v>0</v>
      </c>
      <c r="W485" s="246">
        <f t="shared" si="70"/>
        <v>0</v>
      </c>
      <c r="X485" s="20"/>
      <c r="Y485" s="20"/>
      <c r="Z485" s="20"/>
      <c r="AA485" s="20"/>
      <c r="AB485" s="20"/>
      <c r="AC485" s="20"/>
      <c r="AD485" s="20"/>
      <c r="AE485" s="20"/>
      <c r="AF485" s="20"/>
      <c r="AG485" s="20"/>
      <c r="AH485" s="20"/>
      <c r="AI485" s="20"/>
      <c r="AJ485" s="20"/>
      <c r="AK485" s="20"/>
      <c r="AL485" s="20"/>
    </row>
    <row r="486" spans="1:38" s="238" customFormat="1" ht="18.75" customHeight="1" x14ac:dyDescent="0.35">
      <c r="A486" s="195"/>
      <c r="B486" s="254"/>
      <c r="C486" s="20"/>
      <c r="D486" s="20"/>
      <c r="E486" s="363"/>
      <c r="F486" s="3"/>
      <c r="G486" s="3"/>
      <c r="H486" s="20"/>
      <c r="I486" s="20"/>
      <c r="J486" s="20"/>
      <c r="K486" s="411"/>
      <c r="L486" s="204"/>
      <c r="M486" s="255"/>
      <c r="N486" s="421"/>
      <c r="P486" s="227">
        <f t="shared" si="71"/>
        <v>0</v>
      </c>
      <c r="Q486" s="230"/>
      <c r="R486" s="230"/>
      <c r="S486" s="230">
        <f t="shared" si="72"/>
        <v>0</v>
      </c>
      <c r="T486" s="228">
        <f t="shared" si="73"/>
        <v>0</v>
      </c>
      <c r="U486" s="413" t="str">
        <f t="shared" si="74"/>
        <v>L6</v>
      </c>
      <c r="V486" s="410">
        <f t="shared" si="69"/>
        <v>0</v>
      </c>
      <c r="W486" s="246">
        <f t="shared" si="70"/>
        <v>0</v>
      </c>
      <c r="X486" s="20"/>
      <c r="Y486" s="20"/>
      <c r="Z486" s="20"/>
      <c r="AA486" s="20"/>
      <c r="AB486" s="20"/>
      <c r="AC486" s="20"/>
      <c r="AD486" s="20"/>
      <c r="AE486" s="20"/>
      <c r="AF486" s="20"/>
      <c r="AG486" s="20"/>
      <c r="AH486" s="20"/>
      <c r="AI486" s="20"/>
      <c r="AJ486" s="20"/>
      <c r="AK486" s="20"/>
      <c r="AL486" s="20"/>
    </row>
    <row r="487" spans="1:38" s="238" customFormat="1" ht="18.75" customHeight="1" x14ac:dyDescent="0.35">
      <c r="A487" s="195"/>
      <c r="B487" s="254"/>
      <c r="C487" s="20"/>
      <c r="D487" s="20"/>
      <c r="E487" s="363"/>
      <c r="F487" s="3"/>
      <c r="G487" s="3"/>
      <c r="H487" s="20"/>
      <c r="I487" s="20"/>
      <c r="J487" s="20"/>
      <c r="K487" s="411"/>
      <c r="L487" s="204"/>
      <c r="M487" s="255"/>
      <c r="N487" s="421"/>
      <c r="P487" s="227">
        <f t="shared" si="71"/>
        <v>0</v>
      </c>
      <c r="Q487" s="230"/>
      <c r="R487" s="230"/>
      <c r="S487" s="230">
        <f t="shared" si="72"/>
        <v>0</v>
      </c>
      <c r="T487" s="228">
        <f t="shared" si="73"/>
        <v>0</v>
      </c>
      <c r="U487" s="413" t="str">
        <f t="shared" si="74"/>
        <v>L6</v>
      </c>
      <c r="V487" s="410">
        <f t="shared" si="69"/>
        <v>0</v>
      </c>
      <c r="W487" s="246">
        <f t="shared" si="70"/>
        <v>0</v>
      </c>
      <c r="X487" s="20"/>
      <c r="Y487" s="20"/>
      <c r="Z487" s="20"/>
      <c r="AA487" s="20"/>
      <c r="AB487" s="20"/>
      <c r="AC487" s="20"/>
      <c r="AD487" s="20"/>
      <c r="AE487" s="20"/>
      <c r="AF487" s="20"/>
      <c r="AG487" s="20"/>
      <c r="AH487" s="20"/>
      <c r="AI487" s="20"/>
      <c r="AJ487" s="20"/>
      <c r="AK487" s="20"/>
      <c r="AL487" s="20"/>
    </row>
    <row r="488" spans="1:38" s="238" customFormat="1" ht="18.75" customHeight="1" x14ac:dyDescent="0.35">
      <c r="A488" s="195"/>
      <c r="B488" s="254"/>
      <c r="C488" s="20"/>
      <c r="D488" s="20"/>
      <c r="E488" s="363"/>
      <c r="F488" s="3"/>
      <c r="G488" s="3"/>
      <c r="H488" s="20"/>
      <c r="I488" s="20"/>
      <c r="J488" s="20"/>
      <c r="K488" s="411"/>
      <c r="L488" s="204"/>
      <c r="M488" s="255"/>
      <c r="N488" s="421"/>
      <c r="P488" s="227">
        <f t="shared" si="71"/>
        <v>0</v>
      </c>
      <c r="Q488" s="230"/>
      <c r="R488" s="230"/>
      <c r="S488" s="230">
        <f t="shared" si="72"/>
        <v>0</v>
      </c>
      <c r="T488" s="228">
        <f t="shared" si="73"/>
        <v>0</v>
      </c>
      <c r="U488" s="413" t="str">
        <f t="shared" si="74"/>
        <v>L6</v>
      </c>
      <c r="V488" s="410">
        <f t="shared" si="69"/>
        <v>0</v>
      </c>
      <c r="W488" s="246">
        <f t="shared" si="70"/>
        <v>0</v>
      </c>
      <c r="X488" s="20"/>
      <c r="Y488" s="20"/>
      <c r="Z488" s="20"/>
      <c r="AA488" s="20"/>
      <c r="AB488" s="20"/>
      <c r="AC488" s="20"/>
      <c r="AD488" s="20"/>
      <c r="AE488" s="20"/>
      <c r="AF488" s="20"/>
      <c r="AG488" s="20"/>
      <c r="AH488" s="20"/>
      <c r="AI488" s="20"/>
      <c r="AJ488" s="20"/>
      <c r="AK488" s="20"/>
      <c r="AL488" s="20"/>
    </row>
    <row r="489" spans="1:38" s="238" customFormat="1" ht="18.75" customHeight="1" x14ac:dyDescent="0.35">
      <c r="A489" s="195"/>
      <c r="B489" s="254"/>
      <c r="C489" s="20"/>
      <c r="D489" s="20"/>
      <c r="E489" s="363"/>
      <c r="F489" s="3"/>
      <c r="G489" s="3"/>
      <c r="H489" s="20"/>
      <c r="I489" s="20"/>
      <c r="J489" s="20"/>
      <c r="K489" s="411"/>
      <c r="L489" s="204"/>
      <c r="M489" s="255"/>
      <c r="N489" s="421"/>
      <c r="P489" s="227">
        <f t="shared" si="71"/>
        <v>0</v>
      </c>
      <c r="Q489" s="230"/>
      <c r="R489" s="230"/>
      <c r="S489" s="230">
        <f t="shared" si="72"/>
        <v>0</v>
      </c>
      <c r="T489" s="228">
        <f t="shared" si="73"/>
        <v>0</v>
      </c>
      <c r="U489" s="413"/>
      <c r="V489" s="410">
        <f t="shared" si="69"/>
        <v>0</v>
      </c>
      <c r="W489" s="246">
        <f t="shared" si="70"/>
        <v>0</v>
      </c>
      <c r="X489" s="20"/>
      <c r="Y489" s="20"/>
      <c r="Z489" s="20"/>
      <c r="AA489" s="20"/>
      <c r="AB489" s="20"/>
      <c r="AC489" s="20"/>
      <c r="AD489" s="20"/>
      <c r="AE489" s="20"/>
      <c r="AF489" s="20"/>
      <c r="AG489" s="20"/>
      <c r="AH489" s="20"/>
      <c r="AI489" s="20"/>
      <c r="AJ489" s="20"/>
      <c r="AK489" s="20"/>
      <c r="AL489" s="20"/>
    </row>
    <row r="490" spans="1:38" s="238" customFormat="1" ht="18.75" customHeight="1" x14ac:dyDescent="0.35">
      <c r="A490" s="195"/>
      <c r="B490" s="254"/>
      <c r="C490" s="20"/>
      <c r="D490" s="20"/>
      <c r="E490" s="363"/>
      <c r="F490" s="3"/>
      <c r="G490" s="3"/>
      <c r="H490" s="20"/>
      <c r="I490" s="20"/>
      <c r="J490" s="20"/>
      <c r="K490" s="411"/>
      <c r="L490" s="204"/>
      <c r="M490" s="255"/>
      <c r="N490" s="421"/>
      <c r="P490" s="227">
        <f t="shared" si="71"/>
        <v>0</v>
      </c>
      <c r="Q490" s="230"/>
      <c r="R490" s="230"/>
      <c r="S490" s="230">
        <f t="shared" si="72"/>
        <v>0</v>
      </c>
      <c r="T490" s="228">
        <f t="shared" si="73"/>
        <v>0</v>
      </c>
      <c r="U490" s="413"/>
      <c r="V490" s="410">
        <f t="shared" si="69"/>
        <v>0</v>
      </c>
      <c r="W490" s="246">
        <f t="shared" si="70"/>
        <v>0</v>
      </c>
      <c r="X490" s="20"/>
      <c r="Y490" s="20"/>
      <c r="Z490" s="20"/>
      <c r="AA490" s="20"/>
      <c r="AB490" s="20"/>
      <c r="AC490" s="20"/>
      <c r="AD490" s="20"/>
      <c r="AE490" s="20"/>
      <c r="AF490" s="20"/>
      <c r="AG490" s="20"/>
      <c r="AH490" s="20"/>
      <c r="AI490" s="20"/>
      <c r="AJ490" s="20"/>
      <c r="AK490" s="20"/>
      <c r="AL490" s="20"/>
    </row>
    <row r="491" spans="1:38" s="238" customFormat="1" ht="18.75" customHeight="1" x14ac:dyDescent="0.35">
      <c r="A491" s="195"/>
      <c r="B491" s="254"/>
      <c r="C491" s="20"/>
      <c r="D491" s="20"/>
      <c r="E491" s="363"/>
      <c r="F491" s="3"/>
      <c r="G491" s="3"/>
      <c r="H491" s="20"/>
      <c r="I491" s="20"/>
      <c r="J491" s="20"/>
      <c r="K491" s="411"/>
      <c r="L491" s="204"/>
      <c r="M491" s="255"/>
      <c r="N491" s="421"/>
      <c r="P491" s="227">
        <f t="shared" si="71"/>
        <v>0</v>
      </c>
      <c r="Q491" s="230"/>
      <c r="R491" s="230"/>
      <c r="S491" s="230">
        <f t="shared" si="72"/>
        <v>0</v>
      </c>
      <c r="T491" s="228">
        <f t="shared" si="73"/>
        <v>0</v>
      </c>
      <c r="U491" s="413"/>
      <c r="V491" s="410">
        <f t="shared" si="69"/>
        <v>0</v>
      </c>
      <c r="W491" s="246">
        <f t="shared" si="70"/>
        <v>0</v>
      </c>
      <c r="X491" s="20"/>
      <c r="Y491" s="20"/>
      <c r="Z491" s="20"/>
      <c r="AA491" s="20"/>
      <c r="AB491" s="20"/>
      <c r="AC491" s="20"/>
      <c r="AD491" s="20"/>
      <c r="AE491" s="20"/>
      <c r="AF491" s="20"/>
      <c r="AG491" s="20"/>
      <c r="AH491" s="20"/>
      <c r="AI491" s="20"/>
      <c r="AJ491" s="20"/>
      <c r="AK491" s="20"/>
      <c r="AL491" s="20"/>
    </row>
    <row r="492" spans="1:38" s="238" customFormat="1" ht="18.75" customHeight="1" x14ac:dyDescent="0.35">
      <c r="A492" s="195"/>
      <c r="B492" s="254"/>
      <c r="C492" s="20"/>
      <c r="D492" s="20"/>
      <c r="E492" s="363"/>
      <c r="F492" s="3"/>
      <c r="G492" s="3"/>
      <c r="H492" s="20"/>
      <c r="I492" s="20"/>
      <c r="J492" s="20"/>
      <c r="K492" s="411"/>
      <c r="L492" s="204"/>
      <c r="M492" s="255"/>
      <c r="N492" s="421"/>
      <c r="P492" s="227">
        <f t="shared" si="71"/>
        <v>0</v>
      </c>
      <c r="Q492" s="230"/>
      <c r="R492" s="230"/>
      <c r="S492" s="230">
        <f t="shared" si="72"/>
        <v>0</v>
      </c>
      <c r="T492" s="228">
        <f t="shared" si="73"/>
        <v>0</v>
      </c>
      <c r="U492" s="413"/>
      <c r="V492" s="410">
        <f t="shared" si="69"/>
        <v>0</v>
      </c>
      <c r="W492" s="246">
        <f t="shared" si="70"/>
        <v>0</v>
      </c>
      <c r="X492" s="20"/>
      <c r="Y492" s="20"/>
      <c r="Z492" s="20"/>
      <c r="AA492" s="20"/>
      <c r="AB492" s="20"/>
      <c r="AC492" s="20"/>
      <c r="AD492" s="20"/>
      <c r="AE492" s="20"/>
      <c r="AF492" s="20"/>
      <c r="AG492" s="20"/>
      <c r="AH492" s="20"/>
      <c r="AI492" s="20"/>
      <c r="AJ492" s="20"/>
      <c r="AK492" s="20"/>
      <c r="AL492" s="20"/>
    </row>
    <row r="493" spans="1:38" ht="18.75" customHeight="1" x14ac:dyDescent="0.35">
      <c r="P493" s="227">
        <f t="shared" si="71"/>
        <v>0</v>
      </c>
      <c r="S493" s="230">
        <f t="shared" si="72"/>
        <v>0</v>
      </c>
      <c r="T493" s="228">
        <f t="shared" si="73"/>
        <v>0</v>
      </c>
      <c r="V493" s="410">
        <f t="shared" si="69"/>
        <v>0</v>
      </c>
      <c r="W493" s="246">
        <f t="shared" si="70"/>
        <v>0</v>
      </c>
    </row>
    <row r="494" spans="1:38" ht="18.75" customHeight="1" x14ac:dyDescent="0.35">
      <c r="P494" s="227">
        <f t="shared" si="71"/>
        <v>0</v>
      </c>
      <c r="S494" s="230">
        <f t="shared" si="72"/>
        <v>0</v>
      </c>
      <c r="T494" s="228">
        <f t="shared" si="73"/>
        <v>0</v>
      </c>
      <c r="V494" s="410">
        <f t="shared" si="69"/>
        <v>0</v>
      </c>
      <c r="W494" s="246">
        <f t="shared" si="70"/>
        <v>0</v>
      </c>
    </row>
    <row r="495" spans="1:38" ht="18.75" customHeight="1" x14ac:dyDescent="0.35">
      <c r="P495" s="227">
        <f t="shared" si="71"/>
        <v>0</v>
      </c>
      <c r="S495" s="230">
        <f t="shared" si="72"/>
        <v>0</v>
      </c>
      <c r="T495" s="228">
        <f t="shared" si="73"/>
        <v>0</v>
      </c>
      <c r="V495" s="410">
        <f t="shared" si="69"/>
        <v>0</v>
      </c>
      <c r="W495" s="246">
        <f t="shared" si="70"/>
        <v>0</v>
      </c>
    </row>
    <row r="496" spans="1:38" ht="18.75" customHeight="1" x14ac:dyDescent="0.35">
      <c r="P496" s="227">
        <f t="shared" si="71"/>
        <v>0</v>
      </c>
      <c r="S496" s="230">
        <f t="shared" si="72"/>
        <v>0</v>
      </c>
      <c r="T496" s="228">
        <f t="shared" si="73"/>
        <v>0</v>
      </c>
      <c r="V496" s="410">
        <f t="shared" si="69"/>
        <v>0</v>
      </c>
      <c r="W496" s="246">
        <f t="shared" si="70"/>
        <v>0</v>
      </c>
    </row>
    <row r="497" spans="16:23" ht="18.75" customHeight="1" x14ac:dyDescent="0.35">
      <c r="P497" s="227">
        <f t="shared" si="71"/>
        <v>0</v>
      </c>
      <c r="S497" s="230">
        <f t="shared" si="72"/>
        <v>0</v>
      </c>
      <c r="T497" s="228">
        <f t="shared" ref="T497:T500" si="75">L497-N497-P497-Q497-R497-S497</f>
        <v>0</v>
      </c>
      <c r="V497" s="410">
        <f t="shared" si="69"/>
        <v>0</v>
      </c>
      <c r="W497" s="246">
        <f t="shared" si="70"/>
        <v>0</v>
      </c>
    </row>
    <row r="498" spans="16:23" ht="18.75" customHeight="1" x14ac:dyDescent="0.35">
      <c r="P498" s="227">
        <f t="shared" si="71"/>
        <v>0</v>
      </c>
      <c r="S498" s="230">
        <f t="shared" si="72"/>
        <v>0</v>
      </c>
      <c r="T498" s="228">
        <f t="shared" si="75"/>
        <v>0</v>
      </c>
      <c r="V498" s="410">
        <f t="shared" si="69"/>
        <v>0</v>
      </c>
      <c r="W498" s="246">
        <f t="shared" si="70"/>
        <v>0</v>
      </c>
    </row>
    <row r="499" spans="16:23" ht="18.75" customHeight="1" x14ac:dyDescent="0.35">
      <c r="P499" s="227">
        <f t="shared" si="71"/>
        <v>0</v>
      </c>
      <c r="S499" s="230">
        <f t="shared" si="72"/>
        <v>0</v>
      </c>
      <c r="T499" s="228">
        <f t="shared" si="75"/>
        <v>0</v>
      </c>
      <c r="V499" s="410">
        <f t="shared" si="69"/>
        <v>0</v>
      </c>
    </row>
    <row r="500" spans="16:23" ht="18.75" customHeight="1" x14ac:dyDescent="0.35">
      <c r="P500" s="227">
        <f t="shared" si="71"/>
        <v>0</v>
      </c>
      <c r="S500" s="230">
        <f t="shared" si="72"/>
        <v>0</v>
      </c>
      <c r="T500" s="228">
        <f t="shared" si="75"/>
        <v>0</v>
      </c>
      <c r="V500" s="410">
        <f t="shared" si="69"/>
        <v>0</v>
      </c>
    </row>
    <row r="501" spans="16:23" ht="18.75" customHeight="1" x14ac:dyDescent="0.35">
      <c r="P501" s="227">
        <f t="shared" si="71"/>
        <v>0</v>
      </c>
    </row>
    <row r="502" spans="16:23" ht="18.75" customHeight="1" x14ac:dyDescent="0.35">
      <c r="P502" s="227">
        <f t="shared" si="71"/>
        <v>0</v>
      </c>
    </row>
    <row r="503" spans="16:23" ht="18.75" customHeight="1" x14ac:dyDescent="0.35">
      <c r="P503" s="227">
        <f t="shared" si="71"/>
        <v>0</v>
      </c>
    </row>
    <row r="504" spans="16:23" ht="18.75" customHeight="1" x14ac:dyDescent="0.35">
      <c r="P504" s="227">
        <f t="shared" si="71"/>
        <v>0</v>
      </c>
    </row>
    <row r="505" spans="16:23" ht="18.75" customHeight="1" x14ac:dyDescent="0.35">
      <c r="P505" s="227">
        <f t="shared" si="71"/>
        <v>0</v>
      </c>
    </row>
    <row r="506" spans="16:23" ht="18.75" customHeight="1" x14ac:dyDescent="0.35">
      <c r="P506" s="227">
        <f t="shared" si="71"/>
        <v>0</v>
      </c>
    </row>
    <row r="507" spans="16:23" ht="18.75" customHeight="1" x14ac:dyDescent="0.35">
      <c r="P507" s="227">
        <f t="shared" si="71"/>
        <v>0</v>
      </c>
    </row>
    <row r="508" spans="16:23" ht="18.75" customHeight="1" x14ac:dyDescent="0.35">
      <c r="P508" s="227">
        <f t="shared" si="71"/>
        <v>0</v>
      </c>
    </row>
    <row r="509" spans="16:23" ht="18.75" customHeight="1" x14ac:dyDescent="0.35">
      <c r="P509" s="227">
        <f t="shared" si="71"/>
        <v>0</v>
      </c>
    </row>
    <row r="510" spans="16:23" ht="18.75" customHeight="1" x14ac:dyDescent="0.35">
      <c r="P510" s="227">
        <f t="shared" si="71"/>
        <v>0</v>
      </c>
    </row>
    <row r="511" spans="16:23" ht="18.75" customHeight="1" x14ac:dyDescent="0.35">
      <c r="P511" s="227">
        <f t="shared" si="71"/>
        <v>0</v>
      </c>
    </row>
    <row r="512" spans="16:23" ht="18.75" customHeight="1" x14ac:dyDescent="0.35">
      <c r="P512" s="227">
        <f t="shared" si="71"/>
        <v>0</v>
      </c>
    </row>
    <row r="513" spans="16:16" ht="18.75" customHeight="1" x14ac:dyDescent="0.35">
      <c r="P513" s="227">
        <f t="shared" si="71"/>
        <v>0</v>
      </c>
    </row>
    <row r="514" spans="16:16" ht="18.75" customHeight="1" x14ac:dyDescent="0.35">
      <c r="P514" s="227">
        <f t="shared" si="71"/>
        <v>0</v>
      </c>
    </row>
    <row r="515" spans="16:16" ht="18.75" customHeight="1" x14ac:dyDescent="0.35">
      <c r="P515" s="227">
        <f t="shared" si="71"/>
        <v>0</v>
      </c>
    </row>
    <row r="516" spans="16:16" ht="18.75" customHeight="1" x14ac:dyDescent="0.35">
      <c r="P516" s="227">
        <f t="shared" si="71"/>
        <v>0</v>
      </c>
    </row>
    <row r="517" spans="16:16" ht="18.75" customHeight="1" x14ac:dyDescent="0.35">
      <c r="P517" s="227">
        <f t="shared" si="71"/>
        <v>0</v>
      </c>
    </row>
    <row r="518" spans="16:16" ht="18.75" customHeight="1" x14ac:dyDescent="0.35">
      <c r="P518" s="227">
        <f t="shared" ref="P518:P581" si="76">_xlfn.XLOOKUP(H518, AA:AA, AB:AB) * I518</f>
        <v>0</v>
      </c>
    </row>
    <row r="519" spans="16:16" ht="18.75" customHeight="1" x14ac:dyDescent="0.35">
      <c r="P519" s="227">
        <f t="shared" si="76"/>
        <v>0</v>
      </c>
    </row>
    <row r="520" spans="16:16" ht="18.75" customHeight="1" x14ac:dyDescent="0.35">
      <c r="P520" s="227">
        <f t="shared" si="76"/>
        <v>0</v>
      </c>
    </row>
    <row r="521" spans="16:16" ht="18.75" customHeight="1" x14ac:dyDescent="0.35">
      <c r="P521" s="227">
        <f t="shared" si="76"/>
        <v>0</v>
      </c>
    </row>
    <row r="522" spans="16:16" ht="18.75" customHeight="1" x14ac:dyDescent="0.35">
      <c r="P522" s="227">
        <f t="shared" si="76"/>
        <v>0</v>
      </c>
    </row>
    <row r="523" spans="16:16" ht="18.75" customHeight="1" x14ac:dyDescent="0.35">
      <c r="P523" s="227">
        <f t="shared" si="76"/>
        <v>0</v>
      </c>
    </row>
    <row r="524" spans="16:16" ht="18.75" customHeight="1" x14ac:dyDescent="0.35">
      <c r="P524" s="227">
        <f t="shared" si="76"/>
        <v>0</v>
      </c>
    </row>
    <row r="525" spans="16:16" ht="18.75" customHeight="1" x14ac:dyDescent="0.35">
      <c r="P525" s="227">
        <f t="shared" si="76"/>
        <v>0</v>
      </c>
    </row>
    <row r="526" spans="16:16" ht="18.75" customHeight="1" x14ac:dyDescent="0.35">
      <c r="P526" s="227">
        <f t="shared" si="76"/>
        <v>0</v>
      </c>
    </row>
    <row r="527" spans="16:16" ht="18.75" customHeight="1" x14ac:dyDescent="0.35">
      <c r="P527" s="227">
        <f t="shared" si="76"/>
        <v>0</v>
      </c>
    </row>
    <row r="528" spans="16:16" ht="18.75" customHeight="1" x14ac:dyDescent="0.35">
      <c r="P528" s="227">
        <f t="shared" si="76"/>
        <v>0</v>
      </c>
    </row>
    <row r="529" spans="16:16" ht="18.75" customHeight="1" x14ac:dyDescent="0.35">
      <c r="P529" s="227">
        <f t="shared" si="76"/>
        <v>0</v>
      </c>
    </row>
    <row r="530" spans="16:16" ht="18.75" customHeight="1" x14ac:dyDescent="0.35">
      <c r="P530" s="227">
        <f t="shared" si="76"/>
        <v>0</v>
      </c>
    </row>
    <row r="531" spans="16:16" ht="18.75" customHeight="1" x14ac:dyDescent="0.35">
      <c r="P531" s="227">
        <f t="shared" si="76"/>
        <v>0</v>
      </c>
    </row>
    <row r="532" spans="16:16" ht="18.75" customHeight="1" x14ac:dyDescent="0.35">
      <c r="P532" s="227">
        <f t="shared" si="76"/>
        <v>0</v>
      </c>
    </row>
    <row r="533" spans="16:16" ht="18.75" customHeight="1" x14ac:dyDescent="0.35">
      <c r="P533" s="227">
        <f t="shared" si="76"/>
        <v>0</v>
      </c>
    </row>
    <row r="534" spans="16:16" ht="18.75" customHeight="1" x14ac:dyDescent="0.35">
      <c r="P534" s="227">
        <f t="shared" si="76"/>
        <v>0</v>
      </c>
    </row>
    <row r="535" spans="16:16" ht="18.75" customHeight="1" x14ac:dyDescent="0.35">
      <c r="P535" s="227">
        <f t="shared" si="76"/>
        <v>0</v>
      </c>
    </row>
    <row r="536" spans="16:16" ht="18.75" customHeight="1" x14ac:dyDescent="0.35">
      <c r="P536" s="227">
        <f t="shared" si="76"/>
        <v>0</v>
      </c>
    </row>
    <row r="537" spans="16:16" ht="18.75" customHeight="1" x14ac:dyDescent="0.35">
      <c r="P537" s="227">
        <f t="shared" si="76"/>
        <v>0</v>
      </c>
    </row>
    <row r="538" spans="16:16" ht="18.75" customHeight="1" x14ac:dyDescent="0.35">
      <c r="P538" s="227">
        <f t="shared" si="76"/>
        <v>0</v>
      </c>
    </row>
    <row r="539" spans="16:16" ht="18.75" customHeight="1" x14ac:dyDescent="0.35">
      <c r="P539" s="227">
        <f t="shared" si="76"/>
        <v>0</v>
      </c>
    </row>
    <row r="540" spans="16:16" ht="18.75" customHeight="1" x14ac:dyDescent="0.35">
      <c r="P540" s="227">
        <f t="shared" si="76"/>
        <v>0</v>
      </c>
    </row>
    <row r="541" spans="16:16" ht="18.75" customHeight="1" x14ac:dyDescent="0.35">
      <c r="P541" s="227">
        <f t="shared" si="76"/>
        <v>0</v>
      </c>
    </row>
    <row r="542" spans="16:16" ht="18.75" customHeight="1" x14ac:dyDescent="0.35">
      <c r="P542" s="227">
        <f t="shared" si="76"/>
        <v>0</v>
      </c>
    </row>
    <row r="543" spans="16:16" ht="18.75" customHeight="1" x14ac:dyDescent="0.35">
      <c r="P543" s="227">
        <f t="shared" si="76"/>
        <v>0</v>
      </c>
    </row>
    <row r="544" spans="16:16" ht="18.75" customHeight="1" x14ac:dyDescent="0.35">
      <c r="P544" s="227">
        <f t="shared" si="76"/>
        <v>0</v>
      </c>
    </row>
    <row r="545" spans="16:16" ht="18.75" customHeight="1" x14ac:dyDescent="0.35">
      <c r="P545" s="227">
        <f t="shared" si="76"/>
        <v>0</v>
      </c>
    </row>
    <row r="546" spans="16:16" ht="18.75" customHeight="1" x14ac:dyDescent="0.35">
      <c r="P546" s="227">
        <f t="shared" si="76"/>
        <v>0</v>
      </c>
    </row>
    <row r="547" spans="16:16" ht="18.75" customHeight="1" x14ac:dyDescent="0.35">
      <c r="P547" s="227">
        <f t="shared" si="76"/>
        <v>0</v>
      </c>
    </row>
    <row r="548" spans="16:16" ht="18.75" customHeight="1" x14ac:dyDescent="0.35">
      <c r="P548" s="227">
        <f t="shared" si="76"/>
        <v>0</v>
      </c>
    </row>
    <row r="549" spans="16:16" ht="18.75" customHeight="1" x14ac:dyDescent="0.35">
      <c r="P549" s="227">
        <f t="shared" si="76"/>
        <v>0</v>
      </c>
    </row>
    <row r="550" spans="16:16" ht="18.75" customHeight="1" x14ac:dyDescent="0.35">
      <c r="P550" s="227">
        <f t="shared" si="76"/>
        <v>0</v>
      </c>
    </row>
    <row r="551" spans="16:16" ht="18.75" customHeight="1" x14ac:dyDescent="0.35">
      <c r="P551" s="227">
        <f t="shared" si="76"/>
        <v>0</v>
      </c>
    </row>
    <row r="552" spans="16:16" ht="18.75" customHeight="1" x14ac:dyDescent="0.35">
      <c r="P552" s="227">
        <f t="shared" si="76"/>
        <v>0</v>
      </c>
    </row>
    <row r="553" spans="16:16" ht="18.75" customHeight="1" x14ac:dyDescent="0.35">
      <c r="P553" s="227">
        <f t="shared" si="76"/>
        <v>0</v>
      </c>
    </row>
    <row r="554" spans="16:16" ht="18.75" customHeight="1" x14ac:dyDescent="0.35">
      <c r="P554" s="227">
        <f t="shared" si="76"/>
        <v>0</v>
      </c>
    </row>
    <row r="555" spans="16:16" ht="18.75" customHeight="1" x14ac:dyDescent="0.35">
      <c r="P555" s="227">
        <f t="shared" si="76"/>
        <v>0</v>
      </c>
    </row>
    <row r="556" spans="16:16" ht="18.75" customHeight="1" x14ac:dyDescent="0.35">
      <c r="P556" s="227">
        <f t="shared" si="76"/>
        <v>0</v>
      </c>
    </row>
    <row r="557" spans="16:16" ht="18.75" customHeight="1" x14ac:dyDescent="0.35">
      <c r="P557" s="227">
        <f t="shared" si="76"/>
        <v>0</v>
      </c>
    </row>
    <row r="558" spans="16:16" ht="18.75" customHeight="1" x14ac:dyDescent="0.35">
      <c r="P558" s="227">
        <f t="shared" si="76"/>
        <v>0</v>
      </c>
    </row>
    <row r="559" spans="16:16" ht="18.75" customHeight="1" x14ac:dyDescent="0.35">
      <c r="P559" s="227">
        <f t="shared" si="76"/>
        <v>0</v>
      </c>
    </row>
    <row r="560" spans="16:16" ht="18.75" customHeight="1" x14ac:dyDescent="0.35">
      <c r="P560" s="227">
        <f t="shared" si="76"/>
        <v>0</v>
      </c>
    </row>
    <row r="561" spans="16:16" ht="18.75" customHeight="1" x14ac:dyDescent="0.35">
      <c r="P561" s="227">
        <f t="shared" si="76"/>
        <v>0</v>
      </c>
    </row>
    <row r="562" spans="16:16" ht="18.75" customHeight="1" x14ac:dyDescent="0.35">
      <c r="P562" s="227">
        <f t="shared" si="76"/>
        <v>0</v>
      </c>
    </row>
    <row r="563" spans="16:16" ht="18.75" customHeight="1" x14ac:dyDescent="0.35">
      <c r="P563" s="227">
        <f t="shared" si="76"/>
        <v>0</v>
      </c>
    </row>
    <row r="564" spans="16:16" ht="18.75" customHeight="1" x14ac:dyDescent="0.35">
      <c r="P564" s="227">
        <f t="shared" si="76"/>
        <v>0</v>
      </c>
    </row>
    <row r="565" spans="16:16" ht="18.75" customHeight="1" x14ac:dyDescent="0.35">
      <c r="P565" s="227">
        <f t="shared" si="76"/>
        <v>0</v>
      </c>
    </row>
    <row r="566" spans="16:16" ht="18.75" customHeight="1" x14ac:dyDescent="0.35">
      <c r="P566" s="227">
        <f t="shared" si="76"/>
        <v>0</v>
      </c>
    </row>
    <row r="567" spans="16:16" ht="18.75" customHeight="1" x14ac:dyDescent="0.35">
      <c r="P567" s="227">
        <f t="shared" si="76"/>
        <v>0</v>
      </c>
    </row>
    <row r="568" spans="16:16" ht="18.75" customHeight="1" x14ac:dyDescent="0.35">
      <c r="P568" s="227">
        <f t="shared" si="76"/>
        <v>0</v>
      </c>
    </row>
    <row r="569" spans="16:16" ht="18.75" customHeight="1" x14ac:dyDescent="0.35">
      <c r="P569" s="227">
        <f t="shared" si="76"/>
        <v>0</v>
      </c>
    </row>
    <row r="570" spans="16:16" ht="18.75" customHeight="1" x14ac:dyDescent="0.35">
      <c r="P570" s="227">
        <f t="shared" si="76"/>
        <v>0</v>
      </c>
    </row>
    <row r="571" spans="16:16" ht="18.75" customHeight="1" x14ac:dyDescent="0.35">
      <c r="P571" s="227">
        <f t="shared" si="76"/>
        <v>0</v>
      </c>
    </row>
    <row r="572" spans="16:16" ht="18.75" customHeight="1" x14ac:dyDescent="0.35">
      <c r="P572" s="227">
        <f t="shared" si="76"/>
        <v>0</v>
      </c>
    </row>
    <row r="573" spans="16:16" ht="18.75" customHeight="1" x14ac:dyDescent="0.35">
      <c r="P573" s="227">
        <f t="shared" si="76"/>
        <v>0</v>
      </c>
    </row>
    <row r="574" spans="16:16" ht="18.75" customHeight="1" x14ac:dyDescent="0.35">
      <c r="P574" s="227">
        <f t="shared" si="76"/>
        <v>0</v>
      </c>
    </row>
    <row r="575" spans="16:16" ht="18.75" customHeight="1" x14ac:dyDescent="0.35">
      <c r="P575" s="227">
        <f t="shared" si="76"/>
        <v>0</v>
      </c>
    </row>
    <row r="576" spans="16:16" ht="18.75" customHeight="1" x14ac:dyDescent="0.35">
      <c r="P576" s="227">
        <f t="shared" si="76"/>
        <v>0</v>
      </c>
    </row>
    <row r="577" spans="16:16" ht="18.75" customHeight="1" x14ac:dyDescent="0.35">
      <c r="P577" s="227">
        <f t="shared" si="76"/>
        <v>0</v>
      </c>
    </row>
    <row r="578" spans="16:16" ht="18.75" customHeight="1" x14ac:dyDescent="0.35">
      <c r="P578" s="227">
        <f t="shared" si="76"/>
        <v>0</v>
      </c>
    </row>
    <row r="579" spans="16:16" ht="18.75" customHeight="1" x14ac:dyDescent="0.35">
      <c r="P579" s="227">
        <f t="shared" si="76"/>
        <v>0</v>
      </c>
    </row>
    <row r="580" spans="16:16" ht="18.75" customHeight="1" x14ac:dyDescent="0.35">
      <c r="P580" s="227">
        <f t="shared" si="76"/>
        <v>0</v>
      </c>
    </row>
    <row r="581" spans="16:16" ht="18.75" customHeight="1" x14ac:dyDescent="0.35">
      <c r="P581" s="227">
        <f t="shared" si="76"/>
        <v>0</v>
      </c>
    </row>
    <row r="582" spans="16:16" ht="18.75" customHeight="1" x14ac:dyDescent="0.35">
      <c r="P582" s="227">
        <f t="shared" ref="P582:P600" si="77">_xlfn.XLOOKUP(H582, AA:AA, AB:AB) * I582</f>
        <v>0</v>
      </c>
    </row>
    <row r="583" spans="16:16" ht="18.75" customHeight="1" x14ac:dyDescent="0.35">
      <c r="P583" s="227">
        <f t="shared" si="77"/>
        <v>0</v>
      </c>
    </row>
    <row r="584" spans="16:16" ht="18.75" customHeight="1" x14ac:dyDescent="0.35">
      <c r="P584" s="227">
        <f t="shared" si="77"/>
        <v>0</v>
      </c>
    </row>
    <row r="585" spans="16:16" ht="18.75" customHeight="1" x14ac:dyDescent="0.35">
      <c r="P585" s="227">
        <f t="shared" si="77"/>
        <v>0</v>
      </c>
    </row>
    <row r="586" spans="16:16" ht="18.75" customHeight="1" x14ac:dyDescent="0.35">
      <c r="P586" s="227">
        <f t="shared" si="77"/>
        <v>0</v>
      </c>
    </row>
    <row r="587" spans="16:16" ht="18.75" customHeight="1" x14ac:dyDescent="0.35">
      <c r="P587" s="227">
        <f t="shared" si="77"/>
        <v>0</v>
      </c>
    </row>
    <row r="588" spans="16:16" ht="18.75" customHeight="1" x14ac:dyDescent="0.35">
      <c r="P588" s="227">
        <f t="shared" si="77"/>
        <v>0</v>
      </c>
    </row>
    <row r="589" spans="16:16" ht="18.75" customHeight="1" x14ac:dyDescent="0.35">
      <c r="P589" s="227">
        <f t="shared" si="77"/>
        <v>0</v>
      </c>
    </row>
    <row r="590" spans="16:16" ht="18.75" customHeight="1" x14ac:dyDescent="0.35">
      <c r="P590" s="227">
        <f t="shared" si="77"/>
        <v>0</v>
      </c>
    </row>
    <row r="591" spans="16:16" ht="18.75" customHeight="1" x14ac:dyDescent="0.35">
      <c r="P591" s="227">
        <f t="shared" si="77"/>
        <v>0</v>
      </c>
    </row>
    <row r="592" spans="16:16" ht="18.75" customHeight="1" x14ac:dyDescent="0.35">
      <c r="P592" s="227">
        <f t="shared" si="77"/>
        <v>0</v>
      </c>
    </row>
    <row r="593" spans="16:16" ht="18.75" customHeight="1" x14ac:dyDescent="0.35">
      <c r="P593" s="227">
        <f t="shared" si="77"/>
        <v>0</v>
      </c>
    </row>
    <row r="594" spans="16:16" ht="18.75" customHeight="1" x14ac:dyDescent="0.35">
      <c r="P594" s="227">
        <f t="shared" si="77"/>
        <v>0</v>
      </c>
    </row>
    <row r="595" spans="16:16" ht="18.75" customHeight="1" x14ac:dyDescent="0.35">
      <c r="P595" s="227">
        <f t="shared" si="77"/>
        <v>0</v>
      </c>
    </row>
    <row r="596" spans="16:16" ht="18.75" customHeight="1" x14ac:dyDescent="0.35">
      <c r="P596" s="227">
        <f t="shared" si="77"/>
        <v>0</v>
      </c>
    </row>
    <row r="597" spans="16:16" ht="18.75" customHeight="1" x14ac:dyDescent="0.35">
      <c r="P597" s="227">
        <f t="shared" si="77"/>
        <v>0</v>
      </c>
    </row>
    <row r="598" spans="16:16" ht="18.75" customHeight="1" x14ac:dyDescent="0.35">
      <c r="P598" s="227">
        <f t="shared" si="77"/>
        <v>0</v>
      </c>
    </row>
    <row r="599" spans="16:16" ht="18.75" customHeight="1" x14ac:dyDescent="0.35">
      <c r="P599" s="227">
        <f t="shared" si="77"/>
        <v>0</v>
      </c>
    </row>
    <row r="600" spans="16:16" ht="18.75" customHeight="1" x14ac:dyDescent="0.35">
      <c r="P600" s="227">
        <f t="shared" si="77"/>
        <v>0</v>
      </c>
    </row>
  </sheetData>
  <conditionalFormatting sqref="D3:D607">
    <cfRule type="expression" dxfId="2" priority="1">
      <formula>$D3="Despachar"</formula>
    </cfRule>
    <cfRule type="expression" dxfId="1" priority="2">
      <formula>$D3="Falta"</formula>
    </cfRule>
    <cfRule type="expression" dxfId="0" priority="3">
      <formula>$D3="Completado"</formula>
    </cfRule>
  </conditionalFormatting>
  <dataValidations count="7">
    <dataValidation type="list" allowBlank="1" showInputMessage="1" showErrorMessage="1" sqref="D608:D1048576 D1:D2" xr:uid="{E5F8FAE8-9B1F-4273-BD8D-3488D1E6140F}">
      <formula1>"Completo, Falta"</formula1>
    </dataValidation>
    <dataValidation type="list" allowBlank="1" showInputMessage="1" showErrorMessage="1" sqref="AA10 AA14 AA6:AA8" xr:uid="{5A4FAF6B-1200-4253-9855-DAD66B97D38D}">
      <formula1>"D6 Classic,Velas,D6 Gold,D6 Deluxe,D2 moño,D2,Choco Suelto,Mini Recuerdo,Cajita de 4,Caja 44 Chocos, Caja 22 Chocos,Choco Cintas"</formula1>
    </dataValidation>
    <dataValidation type="list" allowBlank="1" showInputMessage="1" showErrorMessage="1" sqref="C3:C419" xr:uid="{24235674-ECD8-4281-A142-2A5030F8796E}">
      <formula1>"MELI,WEB,IG,PAGINA,OTRO"</formula1>
    </dataValidation>
    <dataValidation type="list" allowBlank="1" showInputMessage="1" showErrorMessage="1" sqref="D3:D607" xr:uid="{3DBB6468-EDAB-48C8-915F-E7A338111522}">
      <formula1>"Completado,Falta,Despachar"</formula1>
    </dataValidation>
    <dataValidation type="list" allowBlank="1" showInputMessage="1" showErrorMessage="1" sqref="K4:K400" xr:uid="{C960E3AF-6FBA-4C3F-8E37-BE25C2DD61E9}">
      <formula1>"CORREO,DECOYA,RETIRO"</formula1>
    </dataValidation>
    <dataValidation type="list" allowBlank="1" showInputMessage="1" showErrorMessage="1" sqref="H4:H500" xr:uid="{1012C126-3625-4262-8348-AF91321E9F13}">
      <formula1>"D6 Classic,Choco suelto +200, Velas,D6 Gold,D6 Deluxe,D2 moño,D2,Choco Suelto,Mini Recuerdo,Cajita de 4,Caja 44 Chocos, Caja 22 Chocos,Choco Cintas"</formula1>
    </dataValidation>
    <dataValidation type="list" allowBlank="1" showInputMessage="1" showErrorMessage="1" sqref="J4:K700" xr:uid="{637026DD-C5E9-43B7-996F-AA3E09801D87}">
      <formula1>"Credito,Transferencia"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7D469-99C2-42F7-A542-35B168223C82}">
  <dimension ref="A1:AP49991"/>
  <sheetViews>
    <sheetView topLeftCell="A2" zoomScale="60" zoomScaleNormal="60" workbookViewId="0">
      <pane ySplit="1" topLeftCell="A3" activePane="bottomLeft" state="frozen"/>
      <selection activeCell="A2" sqref="A2"/>
      <selection pane="bottomLeft" activeCell="O20" sqref="O20"/>
    </sheetView>
  </sheetViews>
  <sheetFormatPr baseColWidth="10" defaultRowHeight="18.75" customHeight="1" x14ac:dyDescent="0.35"/>
  <cols>
    <col min="1" max="1" width="22.85546875" style="195" customWidth="1"/>
    <col min="2" max="2" width="17.140625" style="254" customWidth="1"/>
    <col min="3" max="3" width="49.42578125" style="399" bestFit="1" customWidth="1"/>
    <col min="4" max="5" width="24.7109375" style="3" hidden="1" customWidth="1"/>
    <col min="6" max="6" width="26.28515625" style="20" customWidth="1"/>
    <col min="7" max="7" width="19.85546875" style="20" customWidth="1"/>
    <col min="8" max="8" width="20.42578125" style="255" customWidth="1"/>
    <col min="9" max="9" width="25" style="392" customWidth="1"/>
    <col min="10" max="11" width="19.5703125" style="392" customWidth="1"/>
    <col min="12" max="13" width="19.5703125" style="255" customWidth="1"/>
    <col min="14" max="14" width="10.5703125" style="255" customWidth="1"/>
    <col min="15" max="15" width="16.42578125" style="255" customWidth="1"/>
    <col min="16" max="16" width="19.7109375" style="204" customWidth="1"/>
    <col min="17" max="17" width="19.28515625" style="227" customWidth="1"/>
    <col min="18" max="18" width="25.85546875" style="228" customWidth="1"/>
    <col min="19" max="19" width="22.7109375" style="238" customWidth="1"/>
    <col min="20" max="20" width="16.5703125" style="20" customWidth="1"/>
    <col min="21" max="21" width="20.28515625" customWidth="1"/>
    <col min="22" max="22" width="20.140625" style="20" customWidth="1"/>
    <col min="23" max="23" width="25" style="20" customWidth="1"/>
    <col min="24" max="24" width="27.28515625" style="361" bestFit="1" customWidth="1"/>
    <col min="25" max="25" width="17" style="20" customWidth="1"/>
    <col min="26" max="26" width="17.5703125" style="20" customWidth="1"/>
    <col min="27" max="27" width="21.28515625" style="20" customWidth="1"/>
    <col min="28" max="28" width="16" style="20" customWidth="1"/>
    <col min="29" max="29" width="11.7109375" style="20" bestFit="1" customWidth="1"/>
    <col min="30" max="30" width="11.42578125" style="20"/>
    <col min="31" max="31" width="31.42578125" style="20" customWidth="1"/>
    <col min="32" max="16384" width="11.42578125" style="20"/>
  </cols>
  <sheetData>
    <row r="1" spans="1:42" ht="18.75" customHeight="1" x14ac:dyDescent="0.35">
      <c r="Q1" s="180"/>
      <c r="S1" s="237"/>
      <c r="T1" s="20">
        <v>0.15</v>
      </c>
    </row>
    <row r="2" spans="1:42" ht="24.75" customHeight="1" x14ac:dyDescent="0.25">
      <c r="A2" s="195" t="s">
        <v>360</v>
      </c>
      <c r="B2" s="254" t="s">
        <v>162</v>
      </c>
      <c r="C2" s="406" t="s">
        <v>452</v>
      </c>
      <c r="D2" s="407"/>
      <c r="E2" s="407" t="s">
        <v>189</v>
      </c>
      <c r="F2" s="408" t="s">
        <v>85</v>
      </c>
      <c r="G2" s="408" t="s">
        <v>160</v>
      </c>
      <c r="H2" s="255" t="s">
        <v>319</v>
      </c>
      <c r="I2" s="392" t="s">
        <v>445</v>
      </c>
      <c r="J2" s="392" t="s">
        <v>444</v>
      </c>
      <c r="K2" s="392" t="s">
        <v>453</v>
      </c>
      <c r="L2" s="403" t="s">
        <v>440</v>
      </c>
      <c r="M2" s="403" t="s">
        <v>441</v>
      </c>
      <c r="N2" s="403" t="s">
        <v>448</v>
      </c>
      <c r="P2" s="204" t="s">
        <v>457</v>
      </c>
      <c r="Q2" s="227" t="s">
        <v>259</v>
      </c>
      <c r="R2" s="228" t="s">
        <v>7</v>
      </c>
      <c r="S2" s="238" t="s">
        <v>297</v>
      </c>
      <c r="T2" s="409">
        <v>0.02</v>
      </c>
      <c r="X2" s="361" t="s">
        <v>388</v>
      </c>
      <c r="Z2" s="20" t="s">
        <v>389</v>
      </c>
    </row>
    <row r="3" spans="1:42" ht="18.75" customHeight="1" x14ac:dyDescent="0.25">
      <c r="C3" s="472" t="s">
        <v>374</v>
      </c>
      <c r="D3" s="473"/>
      <c r="E3" s="473"/>
      <c r="F3" s="473"/>
      <c r="G3" s="473"/>
      <c r="H3" s="473"/>
      <c r="I3" s="473"/>
      <c r="J3" s="473"/>
      <c r="K3" s="473"/>
      <c r="L3" s="473"/>
      <c r="M3" s="473"/>
      <c r="N3" s="473"/>
      <c r="O3" s="473"/>
      <c r="P3" s="473"/>
      <c r="Q3" s="473"/>
      <c r="R3" s="486"/>
      <c r="S3" s="243"/>
      <c r="T3" s="398" t="s">
        <v>447</v>
      </c>
      <c r="U3" s="2">
        <f>SUM(T4:T39)</f>
        <v>11017.869199999997</v>
      </c>
      <c r="V3" s="397" t="s">
        <v>449</v>
      </c>
    </row>
    <row r="4" spans="1:42" ht="18.75" customHeight="1" x14ac:dyDescent="0.35">
      <c r="L4" s="404"/>
      <c r="M4" s="404"/>
      <c r="N4" s="404"/>
      <c r="O4" s="404"/>
      <c r="S4" s="243"/>
      <c r="T4" s="246"/>
      <c r="V4" s="207">
        <f>SUM(T3:T32)</f>
        <v>9433.1811999999973</v>
      </c>
      <c r="W4" s="20" t="s">
        <v>455</v>
      </c>
      <c r="X4" s="361" t="s">
        <v>458</v>
      </c>
      <c r="Y4" s="361" t="s">
        <v>456</v>
      </c>
      <c r="Z4" s="20" t="s">
        <v>454</v>
      </c>
      <c r="AE4" s="20" t="s">
        <v>75</v>
      </c>
      <c r="AF4" s="20">
        <v>294</v>
      </c>
      <c r="AN4" s="177"/>
      <c r="AP4" s="219"/>
    </row>
    <row r="5" spans="1:42" ht="18.75" customHeight="1" x14ac:dyDescent="0.25">
      <c r="C5" s="400" t="s">
        <v>411</v>
      </c>
      <c r="F5" s="20" t="s">
        <v>33</v>
      </c>
      <c r="G5" s="388">
        <v>10</v>
      </c>
      <c r="H5" s="255">
        <v>41800</v>
      </c>
      <c r="I5" s="395">
        <v>-5684.8</v>
      </c>
      <c r="J5" s="395">
        <v>-4600</v>
      </c>
      <c r="K5" s="395">
        <v>-627</v>
      </c>
      <c r="L5" s="405">
        <v>10245.99</v>
      </c>
      <c r="M5" s="405">
        <v>0</v>
      </c>
      <c r="N5" s="404" t="str">
        <f>IF(O5="Mercado Envíos Flex","SI","NO")</f>
        <v>SI</v>
      </c>
      <c r="O5" s="404" t="s">
        <v>450</v>
      </c>
      <c r="P5" s="204">
        <f t="shared" ref="P5:P25" si="0">H5+I5+J5+K5+L5+M5</f>
        <v>41134.189999999995</v>
      </c>
      <c r="Q5" s="227">
        <f t="shared" ref="Q5:Q25" si="1">_xlfn.XLOOKUP(F5, AE:AE, AF:AF) * G5</f>
        <v>14435</v>
      </c>
      <c r="R5" s="228">
        <f>IF(N5="Si", P5-Q5-L5, P5-Q5)</f>
        <v>16453.199999999997</v>
      </c>
      <c r="S5" s="243">
        <f t="shared" ref="S5:S64" si="2">R5*0.05</f>
        <v>822.65999999999985</v>
      </c>
      <c r="T5" s="426">
        <f>R5*$T$2</f>
        <v>329.06399999999996</v>
      </c>
      <c r="V5" s="20">
        <f t="shared" ref="V5:V29" si="3">IF(N5= "Si",L5,0)</f>
        <v>10245.99</v>
      </c>
      <c r="W5" s="177">
        <f>SUM(H5:H400)</f>
        <v>1294600</v>
      </c>
      <c r="X5" s="177">
        <f>SUM(P5:P400)</f>
        <v>1030723.98</v>
      </c>
      <c r="Y5" s="177">
        <f>SUM(Q5:Q400)</f>
        <v>411776.5</v>
      </c>
      <c r="Z5" s="177">
        <f>SUM(R5:R400)</f>
        <v>550893.46000000008</v>
      </c>
      <c r="AE5" s="20" t="s">
        <v>0</v>
      </c>
      <c r="AF5" s="20">
        <v>327</v>
      </c>
      <c r="AP5" s="177"/>
    </row>
    <row r="6" spans="1:42" ht="18.75" customHeight="1" x14ac:dyDescent="0.25">
      <c r="C6" s="400" t="s">
        <v>412</v>
      </c>
      <c r="F6" s="20" t="s">
        <v>75</v>
      </c>
      <c r="G6" s="388">
        <v>75</v>
      </c>
      <c r="H6" s="255">
        <v>67500</v>
      </c>
      <c r="I6" s="395">
        <v>-9180</v>
      </c>
      <c r="J6" s="395">
        <v>-6900</v>
      </c>
      <c r="K6" s="395">
        <v>0</v>
      </c>
      <c r="L6" s="405">
        <v>7370.99</v>
      </c>
      <c r="M6" s="405">
        <v>0</v>
      </c>
      <c r="N6" s="404" t="str">
        <f t="shared" ref="N6:N69" si="4">IF(O6="Mercado Envíos Flex","SI","NO")</f>
        <v>SI</v>
      </c>
      <c r="O6" s="404" t="s">
        <v>450</v>
      </c>
      <c r="P6" s="204">
        <f t="shared" si="0"/>
        <v>58790.99</v>
      </c>
      <c r="Q6" s="227">
        <f t="shared" si="1"/>
        <v>22050</v>
      </c>
      <c r="R6" s="228">
        <f t="shared" ref="R6:R66" si="5">IF(N6="Si", P6-Q6-L6, P6-Q6)</f>
        <v>29370</v>
      </c>
      <c r="S6" s="243">
        <f t="shared" si="2"/>
        <v>1468.5</v>
      </c>
      <c r="T6" s="426">
        <f t="shared" ref="T6:T69" si="6">R6*$T$2</f>
        <v>587.4</v>
      </c>
      <c r="V6" s="20">
        <f t="shared" si="3"/>
        <v>7370.99</v>
      </c>
      <c r="AE6" s="20" t="s">
        <v>5</v>
      </c>
      <c r="AF6" s="20">
        <v>330</v>
      </c>
    </row>
    <row r="7" spans="1:42" ht="18.75" customHeight="1" x14ac:dyDescent="0.25">
      <c r="C7" s="400" t="s">
        <v>413</v>
      </c>
      <c r="F7" s="20" t="s">
        <v>33</v>
      </c>
      <c r="G7" s="388">
        <v>5</v>
      </c>
      <c r="H7" s="255">
        <v>20900</v>
      </c>
      <c r="I7" s="395">
        <v>-2842.4</v>
      </c>
      <c r="J7" s="395">
        <v>-2300</v>
      </c>
      <c r="K7" s="395">
        <v>-313.5</v>
      </c>
      <c r="L7" s="405">
        <v>16830.990000000002</v>
      </c>
      <c r="M7" s="405">
        <v>-16830.990000000002</v>
      </c>
      <c r="N7" s="404" t="str">
        <f t="shared" si="4"/>
        <v>NO</v>
      </c>
      <c r="O7" s="404" t="s">
        <v>451</v>
      </c>
      <c r="P7" s="204">
        <f t="shared" si="0"/>
        <v>15444.099999999999</v>
      </c>
      <c r="Q7" s="227">
        <f t="shared" si="1"/>
        <v>7217.5</v>
      </c>
      <c r="R7" s="228">
        <f t="shared" si="5"/>
        <v>8226.5999999999985</v>
      </c>
      <c r="S7" s="243">
        <f t="shared" si="2"/>
        <v>411.32999999999993</v>
      </c>
      <c r="T7" s="426">
        <f t="shared" si="6"/>
        <v>164.53199999999998</v>
      </c>
      <c r="V7" s="20">
        <f t="shared" si="3"/>
        <v>0</v>
      </c>
      <c r="AE7" s="20" t="s">
        <v>33</v>
      </c>
      <c r="AF7" s="20">
        <v>1443.5</v>
      </c>
    </row>
    <row r="8" spans="1:42" ht="18.75" customHeight="1" x14ac:dyDescent="0.25">
      <c r="C8" s="400" t="s">
        <v>414</v>
      </c>
      <c r="F8" s="20" t="s">
        <v>75</v>
      </c>
      <c r="G8" s="388">
        <v>25</v>
      </c>
      <c r="H8" s="255">
        <v>22500</v>
      </c>
      <c r="I8" s="395">
        <v>-3060</v>
      </c>
      <c r="J8" s="395">
        <v>-2300</v>
      </c>
      <c r="K8" s="395">
        <v>0</v>
      </c>
      <c r="L8" s="405">
        <v>7370.99</v>
      </c>
      <c r="M8" s="405">
        <v>0</v>
      </c>
      <c r="N8" s="404" t="str">
        <f t="shared" si="4"/>
        <v>SI</v>
      </c>
      <c r="O8" s="404" t="s">
        <v>450</v>
      </c>
      <c r="P8" s="204">
        <f t="shared" si="0"/>
        <v>24510.989999999998</v>
      </c>
      <c r="Q8" s="227">
        <f t="shared" si="1"/>
        <v>7350</v>
      </c>
      <c r="R8" s="228">
        <f t="shared" si="5"/>
        <v>9789.9999999999982</v>
      </c>
      <c r="S8" s="243">
        <f t="shared" si="2"/>
        <v>489.49999999999994</v>
      </c>
      <c r="T8" s="426">
        <f t="shared" si="6"/>
        <v>195.79999999999995</v>
      </c>
      <c r="V8" s="20">
        <f t="shared" si="3"/>
        <v>7370.99</v>
      </c>
      <c r="Y8" s="177"/>
      <c r="Z8" s="220"/>
      <c r="AA8" s="177"/>
      <c r="AE8" s="20" t="s">
        <v>437</v>
      </c>
      <c r="AF8" s="20">
        <v>1499.86</v>
      </c>
    </row>
    <row r="9" spans="1:42" ht="18.75" customHeight="1" x14ac:dyDescent="0.25">
      <c r="C9" s="400" t="s">
        <v>415</v>
      </c>
      <c r="F9" s="20" t="s">
        <v>75</v>
      </c>
      <c r="G9" s="388">
        <v>25</v>
      </c>
      <c r="H9" s="255">
        <v>22500</v>
      </c>
      <c r="I9" s="395">
        <v>-3060</v>
      </c>
      <c r="J9" s="395">
        <v>-2300</v>
      </c>
      <c r="K9" s="395">
        <v>0</v>
      </c>
      <c r="L9" s="405">
        <v>7370.99</v>
      </c>
      <c r="M9" s="405">
        <v>0</v>
      </c>
      <c r="N9" s="404" t="str">
        <f t="shared" si="4"/>
        <v>SI</v>
      </c>
      <c r="O9" s="404" t="s">
        <v>450</v>
      </c>
      <c r="P9" s="204">
        <f t="shared" si="0"/>
        <v>24510.989999999998</v>
      </c>
      <c r="Q9" s="227">
        <f t="shared" si="1"/>
        <v>7350</v>
      </c>
      <c r="R9" s="228">
        <f t="shared" si="5"/>
        <v>9789.9999999999982</v>
      </c>
      <c r="S9" s="243">
        <f t="shared" si="2"/>
        <v>489.49999999999994</v>
      </c>
      <c r="T9" s="426">
        <f t="shared" si="6"/>
        <v>195.79999999999995</v>
      </c>
      <c r="V9" s="20">
        <f t="shared" si="3"/>
        <v>7370.99</v>
      </c>
      <c r="Y9" s="252"/>
      <c r="AA9" s="177"/>
      <c r="AE9" s="20" t="s">
        <v>382</v>
      </c>
      <c r="AF9" s="20">
        <v>2263.63</v>
      </c>
    </row>
    <row r="10" spans="1:42" ht="18.75" customHeight="1" x14ac:dyDescent="0.25">
      <c r="C10" s="400" t="s">
        <v>416</v>
      </c>
      <c r="F10" s="20" t="s">
        <v>75</v>
      </c>
      <c r="G10" s="388">
        <v>25</v>
      </c>
      <c r="H10" s="255">
        <v>22500</v>
      </c>
      <c r="I10" s="395">
        <v>-3060</v>
      </c>
      <c r="J10" s="395">
        <v>-2300</v>
      </c>
      <c r="K10" s="395">
        <v>-475.28</v>
      </c>
      <c r="L10" s="405">
        <v>9185.14</v>
      </c>
      <c r="M10" s="405">
        <v>-9185.14</v>
      </c>
      <c r="N10" s="404" t="str">
        <f t="shared" si="4"/>
        <v>NO</v>
      </c>
      <c r="O10" s="404" t="s">
        <v>451</v>
      </c>
      <c r="P10" s="204">
        <f t="shared" si="0"/>
        <v>16664.72</v>
      </c>
      <c r="Q10" s="227">
        <f t="shared" si="1"/>
        <v>7350</v>
      </c>
      <c r="R10" s="228">
        <f t="shared" si="5"/>
        <v>9314.7200000000012</v>
      </c>
      <c r="S10" s="243">
        <f t="shared" si="2"/>
        <v>465.7360000000001</v>
      </c>
      <c r="T10" s="426">
        <f t="shared" si="6"/>
        <v>186.29440000000002</v>
      </c>
      <c r="V10" s="20">
        <f t="shared" si="3"/>
        <v>0</v>
      </c>
      <c r="AA10" s="180"/>
      <c r="AE10" s="20" t="s">
        <v>364</v>
      </c>
      <c r="AF10" s="20">
        <v>2422</v>
      </c>
    </row>
    <row r="11" spans="1:42" ht="18.75" customHeight="1" x14ac:dyDescent="0.25">
      <c r="C11" s="400" t="s">
        <v>417</v>
      </c>
      <c r="F11" s="20" t="s">
        <v>75</v>
      </c>
      <c r="G11" s="388">
        <v>50</v>
      </c>
      <c r="H11" s="255">
        <v>51000</v>
      </c>
      <c r="I11" s="395">
        <v>-6936</v>
      </c>
      <c r="J11" s="395">
        <v>-5620</v>
      </c>
      <c r="K11" s="395">
        <v>-765</v>
      </c>
      <c r="L11" s="405">
        <v>0</v>
      </c>
      <c r="M11" s="405">
        <v>0</v>
      </c>
      <c r="N11" s="404" t="str">
        <f t="shared" si="4"/>
        <v>NO</v>
      </c>
      <c r="O11" s="404" t="s">
        <v>451</v>
      </c>
      <c r="P11" s="204">
        <f t="shared" si="0"/>
        <v>37679</v>
      </c>
      <c r="Q11" s="227">
        <f t="shared" si="1"/>
        <v>14700</v>
      </c>
      <c r="R11" s="228">
        <f t="shared" si="5"/>
        <v>22979</v>
      </c>
      <c r="S11" s="243">
        <f t="shared" si="2"/>
        <v>1148.95</v>
      </c>
      <c r="T11" s="426">
        <f t="shared" si="6"/>
        <v>459.58</v>
      </c>
      <c r="V11" s="20">
        <f t="shared" si="3"/>
        <v>0</v>
      </c>
      <c r="AA11" s="225"/>
      <c r="AB11" s="177"/>
      <c r="AC11" s="177"/>
      <c r="AE11" s="20" t="s">
        <v>312</v>
      </c>
      <c r="AF11" s="20">
        <v>2384.8000000000002</v>
      </c>
    </row>
    <row r="12" spans="1:42" ht="18.75" customHeight="1" x14ac:dyDescent="0.25">
      <c r="C12" s="400" t="s">
        <v>418</v>
      </c>
      <c r="F12" s="20" t="s">
        <v>75</v>
      </c>
      <c r="G12" s="388">
        <v>25</v>
      </c>
      <c r="H12" s="255">
        <v>22500</v>
      </c>
      <c r="I12" s="395">
        <v>-3060</v>
      </c>
      <c r="J12" s="395">
        <v>-2300</v>
      </c>
      <c r="K12" s="395">
        <v>-426.58</v>
      </c>
      <c r="L12" s="405">
        <v>5938.79</v>
      </c>
      <c r="M12" s="405">
        <v>-5938.79</v>
      </c>
      <c r="N12" s="404" t="str">
        <f t="shared" si="4"/>
        <v>NO</v>
      </c>
      <c r="O12" s="404" t="s">
        <v>451</v>
      </c>
      <c r="P12" s="204">
        <f t="shared" si="0"/>
        <v>16713.419999999998</v>
      </c>
      <c r="Q12" s="227">
        <f t="shared" si="1"/>
        <v>7350</v>
      </c>
      <c r="R12" s="228">
        <f t="shared" si="5"/>
        <v>9363.4199999999983</v>
      </c>
      <c r="S12" s="243">
        <f t="shared" si="2"/>
        <v>468.17099999999994</v>
      </c>
      <c r="T12" s="426">
        <f t="shared" si="6"/>
        <v>187.26839999999996</v>
      </c>
      <c r="V12" s="20">
        <f t="shared" si="3"/>
        <v>0</v>
      </c>
      <c r="AA12" s="180"/>
      <c r="AE12" s="20" t="s">
        <v>438</v>
      </c>
      <c r="AF12" s="20">
        <v>2610</v>
      </c>
    </row>
    <row r="13" spans="1:42" ht="18.75" customHeight="1" x14ac:dyDescent="0.25">
      <c r="C13" s="400" t="s">
        <v>419</v>
      </c>
      <c r="F13" s="20" t="s">
        <v>0</v>
      </c>
      <c r="G13" s="388">
        <v>25</v>
      </c>
      <c r="H13" s="255">
        <v>36000</v>
      </c>
      <c r="I13" s="395">
        <v>-5220</v>
      </c>
      <c r="J13" s="395">
        <v>0</v>
      </c>
      <c r="K13" s="395">
        <v>-540</v>
      </c>
      <c r="L13" s="405">
        <v>461.1</v>
      </c>
      <c r="M13" s="405">
        <v>0</v>
      </c>
      <c r="N13" s="404" t="str">
        <f t="shared" si="4"/>
        <v>SI</v>
      </c>
      <c r="O13" s="404" t="s">
        <v>450</v>
      </c>
      <c r="P13" s="204">
        <f t="shared" si="0"/>
        <v>30701.1</v>
      </c>
      <c r="Q13" s="227">
        <f t="shared" si="1"/>
        <v>8175</v>
      </c>
      <c r="R13" s="228">
        <f t="shared" si="5"/>
        <v>22065</v>
      </c>
      <c r="S13" s="243">
        <f t="shared" si="2"/>
        <v>1103.25</v>
      </c>
      <c r="T13" s="426">
        <f t="shared" si="6"/>
        <v>441.3</v>
      </c>
      <c r="V13" s="20">
        <f t="shared" si="3"/>
        <v>461.1</v>
      </c>
      <c r="AE13" s="20" t="s">
        <v>433</v>
      </c>
      <c r="AF13" s="20">
        <v>440.7</v>
      </c>
    </row>
    <row r="14" spans="1:42" ht="18.75" customHeight="1" x14ac:dyDescent="0.25">
      <c r="C14" s="400" t="s">
        <v>420</v>
      </c>
      <c r="F14" s="20" t="s">
        <v>75</v>
      </c>
      <c r="G14" s="388">
        <v>25</v>
      </c>
      <c r="H14" s="255">
        <v>22500</v>
      </c>
      <c r="I14" s="395">
        <v>-3060</v>
      </c>
      <c r="J14" s="395">
        <v>-2300</v>
      </c>
      <c r="K14" s="395">
        <v>-337.5</v>
      </c>
      <c r="L14" s="405">
        <v>5942.79</v>
      </c>
      <c r="M14" s="405">
        <v>-5942.79</v>
      </c>
      <c r="N14" s="404" t="str">
        <f t="shared" si="4"/>
        <v>NO</v>
      </c>
      <c r="O14" s="404" t="s">
        <v>451</v>
      </c>
      <c r="P14" s="204">
        <f t="shared" si="0"/>
        <v>16802.5</v>
      </c>
      <c r="Q14" s="227">
        <f t="shared" si="1"/>
        <v>7350</v>
      </c>
      <c r="R14" s="228">
        <f t="shared" si="5"/>
        <v>9452.5</v>
      </c>
      <c r="S14" s="243">
        <f t="shared" si="2"/>
        <v>472.625</v>
      </c>
      <c r="T14" s="426">
        <f t="shared" si="6"/>
        <v>189.05</v>
      </c>
      <c r="V14" s="20">
        <f t="shared" si="3"/>
        <v>0</v>
      </c>
      <c r="Y14" s="253"/>
      <c r="AE14" s="20" t="s">
        <v>354</v>
      </c>
      <c r="AF14" s="20">
        <v>1293</v>
      </c>
    </row>
    <row r="15" spans="1:42" ht="18.75" customHeight="1" x14ac:dyDescent="0.25">
      <c r="C15" s="400" t="s">
        <v>421</v>
      </c>
      <c r="F15" s="20" t="s">
        <v>432</v>
      </c>
      <c r="G15" s="388">
        <v>1</v>
      </c>
      <c r="H15" s="255">
        <v>32900</v>
      </c>
      <c r="I15" s="395">
        <v>-4474.3999999999996</v>
      </c>
      <c r="J15" s="395">
        <v>-2810</v>
      </c>
      <c r="K15" s="395">
        <v>-558.24</v>
      </c>
      <c r="L15" s="405">
        <v>4315.9399999999996</v>
      </c>
      <c r="M15" s="405">
        <v>-4315.9399999999996</v>
      </c>
      <c r="N15" s="404" t="str">
        <f t="shared" si="4"/>
        <v>NO</v>
      </c>
      <c r="O15" s="404" t="s">
        <v>451</v>
      </c>
      <c r="P15" s="204">
        <f t="shared" si="0"/>
        <v>25057.359999999997</v>
      </c>
      <c r="Q15" s="227">
        <f t="shared" si="1"/>
        <v>12512</v>
      </c>
      <c r="R15" s="228">
        <f t="shared" si="5"/>
        <v>12545.359999999997</v>
      </c>
      <c r="S15" s="243">
        <f t="shared" si="2"/>
        <v>627.26799999999992</v>
      </c>
      <c r="T15" s="426">
        <f t="shared" si="6"/>
        <v>250.90719999999993</v>
      </c>
      <c r="V15" s="20">
        <f t="shared" si="3"/>
        <v>0</v>
      </c>
      <c r="AE15" s="20" t="s">
        <v>333</v>
      </c>
      <c r="AF15" s="20">
        <v>1367</v>
      </c>
    </row>
    <row r="16" spans="1:42" ht="18.75" customHeight="1" x14ac:dyDescent="0.25">
      <c r="C16" s="400" t="s">
        <v>422</v>
      </c>
      <c r="F16" s="20" t="s">
        <v>0</v>
      </c>
      <c r="G16" s="388">
        <v>25</v>
      </c>
      <c r="H16" s="255">
        <v>36000</v>
      </c>
      <c r="I16" s="395">
        <v>-5220</v>
      </c>
      <c r="J16" s="395">
        <v>0</v>
      </c>
      <c r="K16" s="395">
        <v>-540</v>
      </c>
      <c r="L16" s="405">
        <v>0</v>
      </c>
      <c r="M16" s="405">
        <v>-6560.49</v>
      </c>
      <c r="N16" s="404" t="str">
        <f t="shared" si="4"/>
        <v>NO</v>
      </c>
      <c r="O16" s="404" t="s">
        <v>451</v>
      </c>
      <c r="P16" s="204">
        <f t="shared" si="0"/>
        <v>23679.510000000002</v>
      </c>
      <c r="Q16" s="227">
        <f t="shared" si="1"/>
        <v>8175</v>
      </c>
      <c r="R16" s="228">
        <f t="shared" si="5"/>
        <v>15504.510000000002</v>
      </c>
      <c r="S16" s="243">
        <f t="shared" si="2"/>
        <v>775.22550000000012</v>
      </c>
      <c r="T16" s="426">
        <f t="shared" si="6"/>
        <v>310.09020000000004</v>
      </c>
      <c r="V16" s="20">
        <f t="shared" si="3"/>
        <v>0</v>
      </c>
      <c r="Z16" s="248"/>
      <c r="AE16" s="20" t="s">
        <v>434</v>
      </c>
    </row>
    <row r="17" spans="1:32" ht="18.75" customHeight="1" x14ac:dyDescent="0.25">
      <c r="C17" s="400" t="s">
        <v>423</v>
      </c>
      <c r="F17" s="20" t="s">
        <v>75</v>
      </c>
      <c r="G17" s="388">
        <v>25</v>
      </c>
      <c r="H17" s="255">
        <v>22500</v>
      </c>
      <c r="I17" s="395">
        <v>-3060</v>
      </c>
      <c r="J17" s="395">
        <v>-2300</v>
      </c>
      <c r="K17" s="395">
        <v>-437.86</v>
      </c>
      <c r="L17" s="405">
        <v>6690.99</v>
      </c>
      <c r="M17" s="405">
        <v>-6690.99</v>
      </c>
      <c r="N17" s="404" t="str">
        <f t="shared" si="4"/>
        <v>NO</v>
      </c>
      <c r="O17" s="404" t="s">
        <v>451</v>
      </c>
      <c r="P17" s="204">
        <f t="shared" si="0"/>
        <v>16702.14</v>
      </c>
      <c r="Q17" s="227">
        <f t="shared" si="1"/>
        <v>7350</v>
      </c>
      <c r="R17" s="228">
        <f t="shared" si="5"/>
        <v>9352.14</v>
      </c>
      <c r="S17" s="243">
        <f t="shared" si="2"/>
        <v>467.60699999999997</v>
      </c>
      <c r="T17" s="426">
        <f t="shared" si="6"/>
        <v>187.0428</v>
      </c>
      <c r="V17" s="20">
        <f t="shared" si="3"/>
        <v>0</v>
      </c>
      <c r="W17" s="476"/>
      <c r="AE17" s="20" t="s">
        <v>435</v>
      </c>
    </row>
    <row r="18" spans="1:32" ht="18.75" customHeight="1" x14ac:dyDescent="0.25">
      <c r="C18" s="400" t="s">
        <v>424</v>
      </c>
      <c r="F18" s="20" t="s">
        <v>75</v>
      </c>
      <c r="G18" s="388">
        <v>25</v>
      </c>
      <c r="H18" s="255">
        <v>22500</v>
      </c>
      <c r="I18" s="395">
        <v>-3060</v>
      </c>
      <c r="J18" s="395">
        <v>-2300</v>
      </c>
      <c r="K18" s="395">
        <v>-426.58</v>
      </c>
      <c r="L18" s="405">
        <v>5938.79</v>
      </c>
      <c r="M18" s="405">
        <v>-5938.79</v>
      </c>
      <c r="N18" s="404" t="str">
        <f t="shared" si="4"/>
        <v>NO</v>
      </c>
      <c r="O18" s="404" t="s">
        <v>451</v>
      </c>
      <c r="P18" s="204">
        <f t="shared" si="0"/>
        <v>16713.419999999998</v>
      </c>
      <c r="Q18" s="227">
        <f t="shared" si="1"/>
        <v>7350</v>
      </c>
      <c r="R18" s="228">
        <f t="shared" si="5"/>
        <v>9363.4199999999983</v>
      </c>
      <c r="S18" s="243">
        <f t="shared" si="2"/>
        <v>468.17099999999994</v>
      </c>
      <c r="T18" s="426">
        <f t="shared" si="6"/>
        <v>187.26839999999996</v>
      </c>
      <c r="V18" s="20">
        <f t="shared" si="3"/>
        <v>0</v>
      </c>
      <c r="W18" s="476"/>
      <c r="AE18" s="20" t="s">
        <v>439</v>
      </c>
      <c r="AF18" s="20">
        <v>12512</v>
      </c>
    </row>
    <row r="19" spans="1:32" ht="18.75" customHeight="1" x14ac:dyDescent="0.25">
      <c r="C19" s="400" t="s">
        <v>414</v>
      </c>
      <c r="F19" s="20" t="s">
        <v>75</v>
      </c>
      <c r="G19" s="388">
        <v>25</v>
      </c>
      <c r="H19" s="255">
        <v>22500</v>
      </c>
      <c r="I19" s="395">
        <v>-3060</v>
      </c>
      <c r="J19" s="395">
        <v>-2300</v>
      </c>
      <c r="K19" s="395">
        <v>0</v>
      </c>
      <c r="L19" s="405">
        <v>7370.99</v>
      </c>
      <c r="M19" s="405">
        <v>0</v>
      </c>
      <c r="N19" s="404" t="str">
        <f t="shared" si="4"/>
        <v>SI</v>
      </c>
      <c r="O19" s="404" t="s">
        <v>450</v>
      </c>
      <c r="P19" s="204">
        <f t="shared" si="0"/>
        <v>24510.989999999998</v>
      </c>
      <c r="Q19" s="227">
        <f t="shared" si="1"/>
        <v>7350</v>
      </c>
      <c r="R19" s="228">
        <f t="shared" si="5"/>
        <v>9789.9999999999982</v>
      </c>
      <c r="S19" s="243">
        <f t="shared" si="2"/>
        <v>489.49999999999994</v>
      </c>
      <c r="T19" s="426">
        <f t="shared" si="6"/>
        <v>195.79999999999995</v>
      </c>
      <c r="V19" s="20">
        <f t="shared" si="3"/>
        <v>7370.99</v>
      </c>
    </row>
    <row r="20" spans="1:32" ht="18.75" customHeight="1" x14ac:dyDescent="0.25">
      <c r="C20" s="400" t="s">
        <v>425</v>
      </c>
      <c r="F20" s="20" t="s">
        <v>75</v>
      </c>
      <c r="G20" s="388">
        <v>400</v>
      </c>
      <c r="H20" s="255">
        <v>316000</v>
      </c>
      <c r="I20" s="395">
        <v>-42976</v>
      </c>
      <c r="J20" s="395">
        <v>0</v>
      </c>
      <c r="K20" s="395">
        <v>-4740</v>
      </c>
      <c r="L20" s="405">
        <v>0</v>
      </c>
      <c r="M20" s="405">
        <v>-28001.98</v>
      </c>
      <c r="N20" s="404" t="str">
        <f t="shared" si="4"/>
        <v>NO</v>
      </c>
      <c r="O20" s="404" t="s">
        <v>451</v>
      </c>
      <c r="P20" s="204">
        <f t="shared" si="0"/>
        <v>240282.02</v>
      </c>
      <c r="Q20" s="227">
        <f t="shared" si="1"/>
        <v>117600</v>
      </c>
      <c r="R20" s="228">
        <f t="shared" si="5"/>
        <v>122682.01999999999</v>
      </c>
      <c r="S20" s="243">
        <f t="shared" si="2"/>
        <v>6134.1009999999997</v>
      </c>
      <c r="T20" s="426">
        <f t="shared" si="6"/>
        <v>2453.6403999999998</v>
      </c>
      <c r="V20" s="20">
        <f t="shared" si="3"/>
        <v>0</v>
      </c>
    </row>
    <row r="21" spans="1:32" ht="18.75" customHeight="1" x14ac:dyDescent="0.25">
      <c r="C21" s="400" t="s">
        <v>427</v>
      </c>
      <c r="F21" s="20" t="s">
        <v>75</v>
      </c>
      <c r="G21" s="388">
        <v>50</v>
      </c>
      <c r="H21" s="255">
        <v>45000</v>
      </c>
      <c r="I21" s="395">
        <v>-6120</v>
      </c>
      <c r="J21" s="395">
        <v>-4600</v>
      </c>
      <c r="K21" s="395">
        <v>-675</v>
      </c>
      <c r="L21" s="405">
        <v>10245.99</v>
      </c>
      <c r="M21" s="405">
        <v>0</v>
      </c>
      <c r="N21" s="404" t="str">
        <f t="shared" si="4"/>
        <v>SI</v>
      </c>
      <c r="O21" s="404" t="s">
        <v>450</v>
      </c>
      <c r="P21" s="204">
        <f t="shared" si="0"/>
        <v>43850.99</v>
      </c>
      <c r="Q21" s="227">
        <f t="shared" si="1"/>
        <v>14700</v>
      </c>
      <c r="R21" s="228">
        <f>IF(N21="Si", P21-Q21-L21, P21-Q21)</f>
        <v>18905</v>
      </c>
      <c r="S21" s="243">
        <f t="shared" si="2"/>
        <v>945.25</v>
      </c>
      <c r="T21" s="426">
        <f t="shared" si="6"/>
        <v>378.1</v>
      </c>
      <c r="V21" s="20">
        <f t="shared" si="3"/>
        <v>10245.99</v>
      </c>
    </row>
    <row r="22" spans="1:32" ht="18.75" customHeight="1" x14ac:dyDescent="0.25">
      <c r="C22" s="400" t="s">
        <v>428</v>
      </c>
      <c r="F22" s="20" t="s">
        <v>0</v>
      </c>
      <c r="G22" s="388">
        <v>25</v>
      </c>
      <c r="H22" s="255">
        <v>36000</v>
      </c>
      <c r="I22" s="395">
        <v>-5220</v>
      </c>
      <c r="J22" s="395">
        <v>0</v>
      </c>
      <c r="K22" s="395">
        <v>-540</v>
      </c>
      <c r="L22" s="405">
        <v>0</v>
      </c>
      <c r="M22" s="405">
        <v>-6560.49</v>
      </c>
      <c r="N22" s="404" t="str">
        <f t="shared" si="4"/>
        <v>NO</v>
      </c>
      <c r="O22" s="404" t="s">
        <v>451</v>
      </c>
      <c r="P22" s="204">
        <f t="shared" si="0"/>
        <v>23679.510000000002</v>
      </c>
      <c r="Q22" s="227">
        <f t="shared" si="1"/>
        <v>8175</v>
      </c>
      <c r="R22" s="228">
        <f t="shared" si="5"/>
        <v>15504.510000000002</v>
      </c>
      <c r="S22" s="243">
        <f t="shared" si="2"/>
        <v>775.22550000000012</v>
      </c>
      <c r="T22" s="426">
        <f t="shared" si="6"/>
        <v>310.09020000000004</v>
      </c>
      <c r="V22" s="20">
        <f t="shared" si="3"/>
        <v>0</v>
      </c>
    </row>
    <row r="23" spans="1:32" ht="18.75" customHeight="1" x14ac:dyDescent="0.25">
      <c r="C23" s="400" t="s">
        <v>429</v>
      </c>
      <c r="F23" s="20" t="s">
        <v>0</v>
      </c>
      <c r="G23" s="388">
        <v>25</v>
      </c>
      <c r="H23" s="255">
        <v>36000</v>
      </c>
      <c r="I23" s="395">
        <v>-5220</v>
      </c>
      <c r="J23" s="395">
        <v>0</v>
      </c>
      <c r="K23" s="395">
        <v>-540</v>
      </c>
      <c r="L23" s="405">
        <v>0</v>
      </c>
      <c r="M23" s="405">
        <v>-6560.49</v>
      </c>
      <c r="N23" s="404" t="str">
        <f t="shared" si="4"/>
        <v>NO</v>
      </c>
      <c r="O23" s="404" t="s">
        <v>451</v>
      </c>
      <c r="P23" s="204">
        <f t="shared" si="0"/>
        <v>23679.510000000002</v>
      </c>
      <c r="Q23" s="227">
        <f t="shared" si="1"/>
        <v>8175</v>
      </c>
      <c r="R23" s="228">
        <f t="shared" si="5"/>
        <v>15504.510000000002</v>
      </c>
      <c r="S23" s="243">
        <f t="shared" si="2"/>
        <v>775.22550000000012</v>
      </c>
      <c r="T23" s="426">
        <f t="shared" si="6"/>
        <v>310.09020000000004</v>
      </c>
      <c r="V23" s="20">
        <f t="shared" si="3"/>
        <v>0</v>
      </c>
    </row>
    <row r="24" spans="1:32" ht="20.25" customHeight="1" x14ac:dyDescent="0.25">
      <c r="C24" s="400" t="s">
        <v>430</v>
      </c>
      <c r="F24" s="20" t="s">
        <v>75</v>
      </c>
      <c r="G24" s="388">
        <v>25</v>
      </c>
      <c r="H24" s="255">
        <v>22500</v>
      </c>
      <c r="I24" s="395">
        <v>-3060</v>
      </c>
      <c r="J24" s="395">
        <v>-2300</v>
      </c>
      <c r="K24" s="395">
        <v>-437.86</v>
      </c>
      <c r="L24" s="405">
        <v>6690.99</v>
      </c>
      <c r="M24" s="405">
        <v>-6690.99</v>
      </c>
      <c r="N24" s="404" t="str">
        <f t="shared" si="4"/>
        <v>NO</v>
      </c>
      <c r="O24" s="404" t="s">
        <v>451</v>
      </c>
      <c r="P24" s="204">
        <f t="shared" si="0"/>
        <v>16702.14</v>
      </c>
      <c r="Q24" s="227">
        <f t="shared" si="1"/>
        <v>7350</v>
      </c>
      <c r="R24" s="228">
        <f t="shared" si="5"/>
        <v>9352.14</v>
      </c>
      <c r="S24" s="243">
        <f t="shared" si="2"/>
        <v>467.60699999999997</v>
      </c>
      <c r="T24" s="426">
        <f t="shared" si="6"/>
        <v>187.0428</v>
      </c>
      <c r="V24" s="20">
        <f t="shared" si="3"/>
        <v>0</v>
      </c>
      <c r="X24" s="362"/>
      <c r="Y24" s="262"/>
      <c r="AA24" s="177"/>
    </row>
    <row r="25" spans="1:32" ht="18.75" customHeight="1" x14ac:dyDescent="0.25">
      <c r="C25" s="400" t="s">
        <v>431</v>
      </c>
      <c r="F25" s="20" t="s">
        <v>75</v>
      </c>
      <c r="G25" s="388">
        <v>50</v>
      </c>
      <c r="H25" s="255">
        <v>45000</v>
      </c>
      <c r="I25" s="395">
        <v>-6120</v>
      </c>
      <c r="J25" s="395">
        <v>-4600</v>
      </c>
      <c r="K25" s="395">
        <v>-675</v>
      </c>
      <c r="L25" s="405">
        <v>0</v>
      </c>
      <c r="M25" s="405">
        <v>0</v>
      </c>
      <c r="N25" s="404" t="str">
        <f t="shared" si="4"/>
        <v>NO</v>
      </c>
      <c r="O25" s="404" t="s">
        <v>451</v>
      </c>
      <c r="P25" s="204">
        <f t="shared" si="0"/>
        <v>33605</v>
      </c>
      <c r="Q25" s="227">
        <f t="shared" si="1"/>
        <v>14700</v>
      </c>
      <c r="R25" s="228">
        <f t="shared" si="5"/>
        <v>18905</v>
      </c>
      <c r="S25" s="243">
        <f t="shared" si="2"/>
        <v>945.25</v>
      </c>
      <c r="T25" s="426">
        <f t="shared" si="6"/>
        <v>378.1</v>
      </c>
      <c r="V25" s="20">
        <f t="shared" si="3"/>
        <v>0</v>
      </c>
    </row>
    <row r="26" spans="1:32" ht="18.75" customHeight="1" x14ac:dyDescent="0.35">
      <c r="L26" s="405"/>
      <c r="M26" s="405"/>
      <c r="N26" s="404"/>
      <c r="O26" s="404"/>
      <c r="R26" s="228">
        <f t="shared" si="5"/>
        <v>0</v>
      </c>
      <c r="S26" s="243">
        <f t="shared" si="2"/>
        <v>0</v>
      </c>
      <c r="T26" s="426">
        <f t="shared" si="6"/>
        <v>0</v>
      </c>
      <c r="V26" s="20">
        <f t="shared" si="3"/>
        <v>0</v>
      </c>
    </row>
    <row r="27" spans="1:32" ht="18.75" customHeight="1" x14ac:dyDescent="0.35">
      <c r="A27" s="195">
        <v>29</v>
      </c>
      <c r="C27" s="402" t="s">
        <v>410</v>
      </c>
      <c r="F27" s="20" t="s">
        <v>0</v>
      </c>
      <c r="G27" s="20">
        <v>25</v>
      </c>
      <c r="H27" s="255">
        <v>36000</v>
      </c>
      <c r="I27" s="395">
        <v>-5220</v>
      </c>
      <c r="J27" s="392">
        <v>0</v>
      </c>
      <c r="K27" s="392">
        <v>-540</v>
      </c>
      <c r="L27" s="405">
        <v>4075.49</v>
      </c>
      <c r="M27" s="405">
        <v>-10635.98</v>
      </c>
      <c r="N27" s="404" t="str">
        <f t="shared" si="4"/>
        <v>NO</v>
      </c>
      <c r="O27" s="404" t="s">
        <v>451</v>
      </c>
      <c r="P27" s="204">
        <f t="shared" ref="P27:P32" si="7">H27+I27+J27+K27+L27+M27</f>
        <v>23679.51</v>
      </c>
      <c r="Q27" s="227">
        <f>_xlfn.XLOOKUP(F27, AE:AE, AF:AF) * G27</f>
        <v>8175</v>
      </c>
      <c r="R27" s="228">
        <f>IF(N27="Si", P27-Q27-L27, P27-Q27)</f>
        <v>15504.509999999998</v>
      </c>
      <c r="S27" s="243">
        <f>R27*0.05</f>
        <v>775.22550000000001</v>
      </c>
      <c r="T27" s="426">
        <f t="shared" si="6"/>
        <v>310.09019999999998</v>
      </c>
      <c r="V27" s="20">
        <f t="shared" si="3"/>
        <v>0</v>
      </c>
    </row>
    <row r="28" spans="1:32" ht="18.75" customHeight="1" x14ac:dyDescent="0.35">
      <c r="A28" s="195">
        <v>30</v>
      </c>
      <c r="C28" s="401" t="s">
        <v>409</v>
      </c>
      <c r="F28" s="20" t="s">
        <v>75</v>
      </c>
      <c r="G28" s="20">
        <v>25</v>
      </c>
      <c r="H28" s="255">
        <v>22500</v>
      </c>
      <c r="I28" s="395">
        <v>-3060</v>
      </c>
      <c r="J28" s="392">
        <v>-2300</v>
      </c>
      <c r="K28" s="392">
        <v>0</v>
      </c>
      <c r="L28" s="405">
        <v>7370.99</v>
      </c>
      <c r="M28" s="405">
        <v>0</v>
      </c>
      <c r="N28" s="404" t="str">
        <f t="shared" si="4"/>
        <v>SI</v>
      </c>
      <c r="O28" s="404" t="s">
        <v>450</v>
      </c>
      <c r="P28" s="204">
        <f t="shared" si="7"/>
        <v>24510.989999999998</v>
      </c>
      <c r="Q28" s="227">
        <f>_xlfn.XLOOKUP(F28, AE:AE, AF:AF) * G28</f>
        <v>7350</v>
      </c>
      <c r="R28" s="228">
        <f>IF(N28="Si", P28-Q28-L28, P28-Q28)</f>
        <v>9789.9999999999982</v>
      </c>
      <c r="S28" s="243">
        <f>R28*0.05</f>
        <v>489.49999999999994</v>
      </c>
      <c r="T28" s="426">
        <f t="shared" si="6"/>
        <v>195.79999999999995</v>
      </c>
      <c r="V28" s="20">
        <f t="shared" si="3"/>
        <v>7370.99</v>
      </c>
    </row>
    <row r="29" spans="1:32" ht="18.75" customHeight="1" x14ac:dyDescent="0.35">
      <c r="A29" s="195">
        <v>31</v>
      </c>
      <c r="C29" s="399" t="s">
        <v>408</v>
      </c>
      <c r="F29" s="20" t="s">
        <v>75</v>
      </c>
      <c r="G29" s="20">
        <v>50</v>
      </c>
      <c r="H29" s="255">
        <v>55400</v>
      </c>
      <c r="I29" s="395">
        <v>-7830.5</v>
      </c>
      <c r="J29" s="392">
        <v>-5110</v>
      </c>
      <c r="K29" s="392">
        <v>-831</v>
      </c>
      <c r="L29" s="405">
        <v>0</v>
      </c>
      <c r="M29" s="405">
        <v>0</v>
      </c>
      <c r="N29" s="404" t="str">
        <f t="shared" si="4"/>
        <v>NO</v>
      </c>
      <c r="O29" s="404" t="s">
        <v>451</v>
      </c>
      <c r="P29" s="204">
        <f t="shared" si="7"/>
        <v>41628.5</v>
      </c>
      <c r="Q29" s="227">
        <f>_xlfn.XLOOKUP(F29, AE:AE, AF:AF) * G29</f>
        <v>14700</v>
      </c>
      <c r="R29" s="228">
        <f>IF(N29="Si", P29-Q29-L29, P29-Q29)</f>
        <v>26928.5</v>
      </c>
      <c r="S29" s="243">
        <f>R29*0.05</f>
        <v>1346.4250000000002</v>
      </c>
      <c r="T29" s="426">
        <f t="shared" si="6"/>
        <v>538.57000000000005</v>
      </c>
      <c r="V29" s="20">
        <f t="shared" si="3"/>
        <v>0</v>
      </c>
    </row>
    <row r="30" spans="1:32" ht="18.75" customHeight="1" x14ac:dyDescent="0.35">
      <c r="I30" s="395" t="s">
        <v>442</v>
      </c>
      <c r="J30" s="392" t="s">
        <v>442</v>
      </c>
      <c r="K30" s="392" t="s">
        <v>442</v>
      </c>
      <c r="L30" s="405" t="s">
        <v>442</v>
      </c>
      <c r="M30" s="405" t="s">
        <v>442</v>
      </c>
      <c r="N30" s="404" t="str">
        <f t="shared" si="4"/>
        <v>NO</v>
      </c>
      <c r="O30" s="404" t="s">
        <v>19</v>
      </c>
      <c r="T30" s="426">
        <f t="shared" si="6"/>
        <v>0</v>
      </c>
    </row>
    <row r="31" spans="1:32" ht="18.75" customHeight="1" x14ac:dyDescent="0.35">
      <c r="I31" s="395" t="s">
        <v>442</v>
      </c>
      <c r="J31" s="392" t="s">
        <v>442</v>
      </c>
      <c r="K31" s="392" t="s">
        <v>442</v>
      </c>
      <c r="L31" s="405" t="s">
        <v>442</v>
      </c>
      <c r="M31" s="405" t="s">
        <v>442</v>
      </c>
      <c r="N31" s="404" t="str">
        <f t="shared" si="4"/>
        <v>NO</v>
      </c>
      <c r="O31" s="404" t="s">
        <v>19</v>
      </c>
      <c r="T31" s="426">
        <f t="shared" si="6"/>
        <v>0</v>
      </c>
    </row>
    <row r="32" spans="1:32" ht="18.75" customHeight="1" x14ac:dyDescent="0.35">
      <c r="A32" s="195">
        <v>34</v>
      </c>
      <c r="C32" s="399" t="s">
        <v>407</v>
      </c>
      <c r="F32" s="20" t="s">
        <v>0</v>
      </c>
      <c r="G32" s="20">
        <v>25</v>
      </c>
      <c r="H32" s="255">
        <v>31200</v>
      </c>
      <c r="I32" s="395">
        <v>-4524</v>
      </c>
      <c r="J32" s="392">
        <v>-2810</v>
      </c>
      <c r="K32" s="392">
        <v>-468</v>
      </c>
      <c r="L32" s="405">
        <v>9155.99</v>
      </c>
      <c r="M32" s="405">
        <v>-9155.99</v>
      </c>
      <c r="N32" s="404" t="str">
        <f t="shared" si="4"/>
        <v>NO</v>
      </c>
      <c r="O32" s="404" t="s">
        <v>451</v>
      </c>
      <c r="P32" s="204">
        <f t="shared" si="7"/>
        <v>23398</v>
      </c>
      <c r="Q32" s="227">
        <f t="shared" ref="Q32:Q95" si="8">_xlfn.XLOOKUP(F32, AE:AE, AF:AF) * G32</f>
        <v>8175</v>
      </c>
      <c r="R32" s="228">
        <f>IF(N32="Si", P32-Q32-L32, P32-Q32)</f>
        <v>15223</v>
      </c>
      <c r="S32" s="243">
        <f>R32*0.05</f>
        <v>761.15000000000009</v>
      </c>
      <c r="T32" s="426">
        <f t="shared" si="6"/>
        <v>304.45999999999998</v>
      </c>
      <c r="V32" s="20">
        <f>IF(N32= "Si",L32,0)</f>
        <v>0</v>
      </c>
    </row>
    <row r="33" spans="3:23" ht="18.75" customHeight="1" x14ac:dyDescent="0.35">
      <c r="C33" s="399" t="s">
        <v>475</v>
      </c>
      <c r="F33" s="20" t="s">
        <v>75</v>
      </c>
      <c r="G33" s="20">
        <v>25</v>
      </c>
      <c r="H33" s="255">
        <v>25000</v>
      </c>
      <c r="I33" s="395">
        <v>-3400</v>
      </c>
      <c r="J33" s="392">
        <v>-2810</v>
      </c>
      <c r="K33" s="392">
        <v>-450.96</v>
      </c>
      <c r="L33" s="405">
        <v>5064.1400000000003</v>
      </c>
      <c r="M33" s="405">
        <v>-5064.1400000000003</v>
      </c>
      <c r="N33" s="404" t="str">
        <f t="shared" si="4"/>
        <v>NO</v>
      </c>
      <c r="O33" s="404" t="s">
        <v>451</v>
      </c>
      <c r="P33" s="204">
        <v>18339.04</v>
      </c>
      <c r="Q33" s="227">
        <f t="shared" si="8"/>
        <v>7350</v>
      </c>
      <c r="R33" s="228">
        <f t="shared" ref="R33:R55" si="9">IF(N33="Si", P33-Q33-L33, P33-Q33)</f>
        <v>10989.04</v>
      </c>
      <c r="S33" s="243">
        <f>R33*0.05</f>
        <v>549.45200000000011</v>
      </c>
      <c r="T33" s="426">
        <f t="shared" si="6"/>
        <v>219.78080000000003</v>
      </c>
    </row>
    <row r="34" spans="3:23" ht="18.75" customHeight="1" x14ac:dyDescent="0.35">
      <c r="C34" s="399" t="s">
        <v>476</v>
      </c>
      <c r="F34" s="20" t="s">
        <v>75</v>
      </c>
      <c r="G34" s="20">
        <v>100</v>
      </c>
      <c r="H34" s="255">
        <v>100000</v>
      </c>
      <c r="I34" s="395">
        <v>-13600</v>
      </c>
      <c r="J34" s="395">
        <v>-11240</v>
      </c>
      <c r="K34" s="395">
        <v>-1500</v>
      </c>
      <c r="L34" s="405">
        <v>10245.99</v>
      </c>
      <c r="M34" s="405">
        <v>0</v>
      </c>
      <c r="N34" s="404" t="str">
        <f t="shared" si="4"/>
        <v>SI</v>
      </c>
      <c r="O34" s="404" t="s">
        <v>450</v>
      </c>
      <c r="P34" s="204">
        <v>83905.99</v>
      </c>
      <c r="Q34" s="227">
        <f t="shared" si="8"/>
        <v>29400</v>
      </c>
      <c r="R34" s="228">
        <f t="shared" si="9"/>
        <v>44260.000000000007</v>
      </c>
      <c r="S34" s="243">
        <f>R34*0.05</f>
        <v>2213.0000000000005</v>
      </c>
      <c r="T34" s="426">
        <f t="shared" si="6"/>
        <v>885.20000000000016</v>
      </c>
    </row>
    <row r="35" spans="3:23" ht="18.75" customHeight="1" x14ac:dyDescent="0.35">
      <c r="C35" s="399" t="s">
        <v>477</v>
      </c>
      <c r="F35" s="20" t="s">
        <v>75</v>
      </c>
      <c r="G35" s="20">
        <v>25</v>
      </c>
      <c r="H35" s="255">
        <v>25000</v>
      </c>
      <c r="I35" s="395">
        <v>-3400</v>
      </c>
      <c r="J35" s="392">
        <v>-2810</v>
      </c>
      <c r="L35" s="404">
        <v>4667.6400000000003</v>
      </c>
      <c r="M35" s="405">
        <v>-4667.6400000000003</v>
      </c>
      <c r="N35" s="404" t="str">
        <f t="shared" si="4"/>
        <v>NO</v>
      </c>
      <c r="O35" s="404" t="s">
        <v>451</v>
      </c>
      <c r="P35" s="204">
        <v>18790</v>
      </c>
      <c r="Q35" s="227">
        <f t="shared" si="8"/>
        <v>7350</v>
      </c>
      <c r="R35" s="228">
        <f t="shared" si="9"/>
        <v>11440</v>
      </c>
      <c r="S35" s="243">
        <f t="shared" si="2"/>
        <v>572</v>
      </c>
      <c r="T35" s="426">
        <f t="shared" si="6"/>
        <v>228.8</v>
      </c>
      <c r="V35" s="20">
        <f>IF(N35= "Si",L35,0)</f>
        <v>0</v>
      </c>
      <c r="W35" s="180"/>
    </row>
    <row r="36" spans="3:23" ht="18.75" customHeight="1" x14ac:dyDescent="0.35">
      <c r="C36" s="399" t="s">
        <v>478</v>
      </c>
      <c r="F36" s="20" t="s">
        <v>432</v>
      </c>
      <c r="G36" s="20">
        <v>1</v>
      </c>
      <c r="H36" s="255">
        <v>32900</v>
      </c>
      <c r="I36" s="427">
        <v>-4474.3999999999996</v>
      </c>
      <c r="J36" s="427">
        <v>-2810</v>
      </c>
      <c r="K36" s="427">
        <v>-558.24</v>
      </c>
      <c r="L36" s="427">
        <v>4315.9399999999996</v>
      </c>
      <c r="M36" s="427">
        <v>-4315.9399999999996</v>
      </c>
      <c r="N36" s="404" t="str">
        <f t="shared" si="4"/>
        <v>NO</v>
      </c>
      <c r="O36" s="404" t="s">
        <v>451</v>
      </c>
      <c r="P36" s="204">
        <v>25057.360000000001</v>
      </c>
      <c r="Q36" s="227">
        <f t="shared" si="8"/>
        <v>12512</v>
      </c>
      <c r="R36" s="228">
        <f t="shared" si="9"/>
        <v>12545.36</v>
      </c>
      <c r="S36" s="243">
        <f t="shared" si="2"/>
        <v>627.26800000000003</v>
      </c>
      <c r="T36" s="426">
        <f t="shared" si="6"/>
        <v>250.90720000000002</v>
      </c>
      <c r="V36" s="20">
        <f>IF(N36= "Si",L36,0)</f>
        <v>0</v>
      </c>
    </row>
    <row r="37" spans="3:23" ht="18.75" customHeight="1" x14ac:dyDescent="0.35">
      <c r="L37" s="404"/>
      <c r="M37" s="404"/>
      <c r="N37" s="404" t="str">
        <f t="shared" si="4"/>
        <v>NO</v>
      </c>
      <c r="O37" s="404"/>
      <c r="Q37" s="227">
        <f t="shared" si="8"/>
        <v>0</v>
      </c>
      <c r="R37" s="228">
        <f t="shared" si="9"/>
        <v>0</v>
      </c>
      <c r="S37" s="243">
        <f t="shared" si="2"/>
        <v>0</v>
      </c>
      <c r="T37" s="426">
        <f t="shared" si="6"/>
        <v>0</v>
      </c>
    </row>
    <row r="38" spans="3:23" ht="18.75" customHeight="1" x14ac:dyDescent="0.35">
      <c r="L38" s="404"/>
      <c r="M38" s="404"/>
      <c r="N38" s="404" t="str">
        <f t="shared" si="4"/>
        <v>NO</v>
      </c>
      <c r="O38" s="404"/>
      <c r="Q38" s="227">
        <f t="shared" si="8"/>
        <v>0</v>
      </c>
      <c r="R38" s="228">
        <f t="shared" si="9"/>
        <v>0</v>
      </c>
      <c r="S38" s="243">
        <f t="shared" si="2"/>
        <v>0</v>
      </c>
      <c r="T38" s="426">
        <f t="shared" si="6"/>
        <v>0</v>
      </c>
    </row>
    <row r="39" spans="3:23" ht="18.75" customHeight="1" x14ac:dyDescent="0.35">
      <c r="L39" s="404"/>
      <c r="M39" s="404"/>
      <c r="N39" s="404" t="str">
        <f t="shared" si="4"/>
        <v>NO</v>
      </c>
      <c r="O39" s="404"/>
      <c r="Q39" s="227">
        <f t="shared" si="8"/>
        <v>0</v>
      </c>
      <c r="R39" s="228">
        <f t="shared" si="9"/>
        <v>0</v>
      </c>
      <c r="S39" s="243">
        <f t="shared" si="2"/>
        <v>0</v>
      </c>
      <c r="T39" s="426">
        <f t="shared" si="6"/>
        <v>0</v>
      </c>
    </row>
    <row r="40" spans="3:23" ht="18.75" customHeight="1" x14ac:dyDescent="0.35">
      <c r="L40" s="404"/>
      <c r="M40" s="404"/>
      <c r="N40" s="404" t="str">
        <f t="shared" si="4"/>
        <v>NO</v>
      </c>
      <c r="O40" s="404"/>
      <c r="Q40" s="227">
        <f t="shared" si="8"/>
        <v>0</v>
      </c>
      <c r="R40" s="228">
        <f t="shared" si="9"/>
        <v>0</v>
      </c>
      <c r="S40" s="243">
        <f t="shared" si="2"/>
        <v>0</v>
      </c>
      <c r="T40" s="426">
        <f t="shared" si="6"/>
        <v>0</v>
      </c>
    </row>
    <row r="41" spans="3:23" ht="18.75" customHeight="1" x14ac:dyDescent="0.35">
      <c r="L41" s="404"/>
      <c r="M41" s="404"/>
      <c r="N41" s="404" t="str">
        <f t="shared" si="4"/>
        <v>NO</v>
      </c>
      <c r="O41" s="404"/>
      <c r="Q41" s="227">
        <f t="shared" si="8"/>
        <v>0</v>
      </c>
      <c r="R41" s="228">
        <f t="shared" si="9"/>
        <v>0</v>
      </c>
      <c r="S41" s="243">
        <f t="shared" si="2"/>
        <v>0</v>
      </c>
      <c r="T41" s="426">
        <f t="shared" si="6"/>
        <v>0</v>
      </c>
    </row>
    <row r="42" spans="3:23" ht="18.75" customHeight="1" x14ac:dyDescent="0.35">
      <c r="L42" s="404"/>
      <c r="M42" s="404"/>
      <c r="N42" s="404" t="str">
        <f t="shared" si="4"/>
        <v>NO</v>
      </c>
      <c r="O42" s="404"/>
      <c r="Q42" s="227">
        <f t="shared" si="8"/>
        <v>0</v>
      </c>
      <c r="R42" s="228">
        <f t="shared" si="9"/>
        <v>0</v>
      </c>
      <c r="S42" s="243">
        <f t="shared" si="2"/>
        <v>0</v>
      </c>
      <c r="T42" s="426">
        <f t="shared" si="6"/>
        <v>0</v>
      </c>
    </row>
    <row r="43" spans="3:23" ht="18.75" customHeight="1" x14ac:dyDescent="0.35">
      <c r="L43" s="404"/>
      <c r="M43" s="404"/>
      <c r="N43" s="404" t="str">
        <f t="shared" si="4"/>
        <v>NO</v>
      </c>
      <c r="O43" s="404"/>
      <c r="Q43" s="227">
        <f t="shared" si="8"/>
        <v>0</v>
      </c>
      <c r="R43" s="228">
        <f t="shared" si="9"/>
        <v>0</v>
      </c>
      <c r="S43" s="243">
        <f t="shared" si="2"/>
        <v>0</v>
      </c>
      <c r="T43" s="426">
        <f t="shared" si="6"/>
        <v>0</v>
      </c>
    </row>
    <row r="44" spans="3:23" ht="18.75" customHeight="1" x14ac:dyDescent="0.35">
      <c r="L44" s="404"/>
      <c r="M44" s="404"/>
      <c r="N44" s="404" t="str">
        <f t="shared" si="4"/>
        <v>NO</v>
      </c>
      <c r="O44" s="404"/>
      <c r="Q44" s="227">
        <f t="shared" si="8"/>
        <v>0</v>
      </c>
      <c r="R44" s="228">
        <f t="shared" si="9"/>
        <v>0</v>
      </c>
      <c r="S44" s="243">
        <f t="shared" si="2"/>
        <v>0</v>
      </c>
      <c r="T44" s="426">
        <f t="shared" si="6"/>
        <v>0</v>
      </c>
    </row>
    <row r="45" spans="3:23" ht="18.75" customHeight="1" x14ac:dyDescent="0.35">
      <c r="L45" s="404"/>
      <c r="M45" s="404"/>
      <c r="N45" s="404" t="str">
        <f t="shared" si="4"/>
        <v>NO</v>
      </c>
      <c r="O45" s="404"/>
      <c r="Q45" s="227">
        <f t="shared" si="8"/>
        <v>0</v>
      </c>
      <c r="R45" s="228">
        <f t="shared" si="9"/>
        <v>0</v>
      </c>
      <c r="S45" s="243">
        <f t="shared" si="2"/>
        <v>0</v>
      </c>
      <c r="T45" s="426">
        <f t="shared" si="6"/>
        <v>0</v>
      </c>
    </row>
    <row r="46" spans="3:23" ht="18.75" customHeight="1" x14ac:dyDescent="0.35">
      <c r="L46" s="404"/>
      <c r="M46" s="404"/>
      <c r="N46" s="404" t="str">
        <f t="shared" si="4"/>
        <v>NO</v>
      </c>
      <c r="O46" s="404"/>
      <c r="Q46" s="227">
        <f t="shared" si="8"/>
        <v>0</v>
      </c>
      <c r="R46" s="228">
        <f t="shared" si="9"/>
        <v>0</v>
      </c>
      <c r="S46" s="243">
        <f t="shared" si="2"/>
        <v>0</v>
      </c>
      <c r="T46" s="426">
        <f t="shared" si="6"/>
        <v>0</v>
      </c>
    </row>
    <row r="47" spans="3:23" ht="18.75" customHeight="1" x14ac:dyDescent="0.35">
      <c r="L47" s="404"/>
      <c r="M47" s="404"/>
      <c r="N47" s="404" t="str">
        <f t="shared" si="4"/>
        <v>NO</v>
      </c>
      <c r="O47" s="404"/>
      <c r="Q47" s="227">
        <f t="shared" si="8"/>
        <v>0</v>
      </c>
      <c r="R47" s="228">
        <f t="shared" si="9"/>
        <v>0</v>
      </c>
      <c r="S47" s="243">
        <f t="shared" si="2"/>
        <v>0</v>
      </c>
      <c r="T47" s="426">
        <f t="shared" si="6"/>
        <v>0</v>
      </c>
    </row>
    <row r="48" spans="3:23" ht="18.75" customHeight="1" x14ac:dyDescent="0.35">
      <c r="L48" s="404"/>
      <c r="M48" s="404"/>
      <c r="N48" s="404" t="str">
        <f t="shared" si="4"/>
        <v>NO</v>
      </c>
      <c r="O48" s="404"/>
      <c r="Q48" s="227">
        <f t="shared" si="8"/>
        <v>0</v>
      </c>
      <c r="R48" s="228">
        <f t="shared" si="9"/>
        <v>0</v>
      </c>
      <c r="S48" s="243">
        <f t="shared" si="2"/>
        <v>0</v>
      </c>
      <c r="T48" s="426">
        <f t="shared" si="6"/>
        <v>0</v>
      </c>
    </row>
    <row r="49" spans="12:22" ht="18.75" customHeight="1" x14ac:dyDescent="0.35">
      <c r="L49" s="404"/>
      <c r="M49" s="404"/>
      <c r="N49" s="404" t="str">
        <f t="shared" si="4"/>
        <v>NO</v>
      </c>
      <c r="O49" s="404"/>
      <c r="Q49" s="227">
        <f t="shared" si="8"/>
        <v>0</v>
      </c>
      <c r="R49" s="228">
        <f t="shared" si="9"/>
        <v>0</v>
      </c>
      <c r="S49" s="243">
        <f t="shared" si="2"/>
        <v>0</v>
      </c>
      <c r="T49" s="426">
        <f t="shared" si="6"/>
        <v>0</v>
      </c>
    </row>
    <row r="50" spans="12:22" ht="18.75" customHeight="1" x14ac:dyDescent="0.35">
      <c r="L50" s="404"/>
      <c r="M50" s="404"/>
      <c r="N50" s="404" t="str">
        <f t="shared" si="4"/>
        <v>NO</v>
      </c>
      <c r="O50" s="404"/>
      <c r="Q50" s="227">
        <f t="shared" si="8"/>
        <v>0</v>
      </c>
      <c r="R50" s="228">
        <f t="shared" si="9"/>
        <v>0</v>
      </c>
      <c r="S50" s="243">
        <f t="shared" si="2"/>
        <v>0</v>
      </c>
      <c r="T50" s="426">
        <f t="shared" si="6"/>
        <v>0</v>
      </c>
    </row>
    <row r="51" spans="12:22" ht="18.75" customHeight="1" x14ac:dyDescent="0.35">
      <c r="L51" s="404"/>
      <c r="M51" s="404"/>
      <c r="N51" s="404" t="str">
        <f t="shared" si="4"/>
        <v>NO</v>
      </c>
      <c r="O51" s="404"/>
      <c r="Q51" s="227">
        <f t="shared" si="8"/>
        <v>0</v>
      </c>
      <c r="R51" s="228">
        <f t="shared" si="9"/>
        <v>0</v>
      </c>
      <c r="S51" s="243">
        <f t="shared" si="2"/>
        <v>0</v>
      </c>
      <c r="T51" s="426">
        <f t="shared" si="6"/>
        <v>0</v>
      </c>
    </row>
    <row r="52" spans="12:22" ht="18.75" customHeight="1" x14ac:dyDescent="0.35">
      <c r="L52" s="404"/>
      <c r="M52" s="404"/>
      <c r="N52" s="404" t="str">
        <f t="shared" si="4"/>
        <v>NO</v>
      </c>
      <c r="O52" s="404"/>
      <c r="Q52" s="227">
        <f t="shared" si="8"/>
        <v>0</v>
      </c>
      <c r="R52" s="228">
        <f t="shared" si="9"/>
        <v>0</v>
      </c>
      <c r="S52" s="243">
        <f t="shared" si="2"/>
        <v>0</v>
      </c>
      <c r="T52" s="426">
        <f t="shared" si="6"/>
        <v>0</v>
      </c>
    </row>
    <row r="53" spans="12:22" ht="18.75" customHeight="1" x14ac:dyDescent="0.35">
      <c r="L53" s="404"/>
      <c r="M53" s="404"/>
      <c r="N53" s="404" t="str">
        <f t="shared" si="4"/>
        <v>NO</v>
      </c>
      <c r="O53" s="404"/>
      <c r="Q53" s="227">
        <f t="shared" si="8"/>
        <v>0</v>
      </c>
      <c r="R53" s="228">
        <f t="shared" si="9"/>
        <v>0</v>
      </c>
      <c r="S53" s="243">
        <f t="shared" si="2"/>
        <v>0</v>
      </c>
      <c r="T53" s="426">
        <f t="shared" si="6"/>
        <v>0</v>
      </c>
    </row>
    <row r="54" spans="12:22" ht="18.75" customHeight="1" x14ac:dyDescent="0.35">
      <c r="L54" s="404"/>
      <c r="M54" s="404"/>
      <c r="N54" s="404" t="str">
        <f t="shared" si="4"/>
        <v>NO</v>
      </c>
      <c r="O54" s="404"/>
      <c r="Q54" s="227">
        <f t="shared" si="8"/>
        <v>0</v>
      </c>
      <c r="R54" s="228">
        <f t="shared" si="9"/>
        <v>0</v>
      </c>
      <c r="S54" s="243">
        <f t="shared" si="2"/>
        <v>0</v>
      </c>
      <c r="T54" s="426">
        <f t="shared" si="6"/>
        <v>0</v>
      </c>
    </row>
    <row r="55" spans="12:22" ht="18.75" customHeight="1" x14ac:dyDescent="0.35">
      <c r="L55" s="404"/>
      <c r="M55" s="404"/>
      <c r="N55" s="404" t="str">
        <f t="shared" si="4"/>
        <v>NO</v>
      </c>
      <c r="O55" s="404"/>
      <c r="Q55" s="227">
        <f t="shared" si="8"/>
        <v>0</v>
      </c>
      <c r="R55" s="228">
        <f t="shared" si="9"/>
        <v>0</v>
      </c>
      <c r="S55" s="243">
        <f t="shared" si="2"/>
        <v>0</v>
      </c>
      <c r="T55" s="426">
        <f t="shared" si="6"/>
        <v>0</v>
      </c>
      <c r="V55" s="177"/>
    </row>
    <row r="56" spans="12:22" ht="18.75" customHeight="1" x14ac:dyDescent="0.35">
      <c r="L56" s="404"/>
      <c r="M56" s="404"/>
      <c r="N56" s="404" t="str">
        <f t="shared" si="4"/>
        <v>NO</v>
      </c>
      <c r="O56" s="404"/>
      <c r="Q56" s="227">
        <f t="shared" si="8"/>
        <v>0</v>
      </c>
      <c r="R56" s="228">
        <f t="shared" si="5"/>
        <v>0</v>
      </c>
      <c r="S56" s="243">
        <f t="shared" si="2"/>
        <v>0</v>
      </c>
      <c r="T56" s="426">
        <f t="shared" si="6"/>
        <v>0</v>
      </c>
    </row>
    <row r="57" spans="12:22" ht="18.75" customHeight="1" x14ac:dyDescent="0.35">
      <c r="L57" s="404"/>
      <c r="M57" s="404"/>
      <c r="N57" s="404" t="str">
        <f t="shared" si="4"/>
        <v>NO</v>
      </c>
      <c r="O57" s="404"/>
      <c r="Q57" s="227">
        <f t="shared" si="8"/>
        <v>0</v>
      </c>
      <c r="R57" s="228">
        <f t="shared" si="5"/>
        <v>0</v>
      </c>
      <c r="S57" s="243">
        <f t="shared" si="2"/>
        <v>0</v>
      </c>
      <c r="T57" s="426">
        <f t="shared" si="6"/>
        <v>0</v>
      </c>
      <c r="V57" s="180"/>
    </row>
    <row r="58" spans="12:22" ht="18.75" customHeight="1" x14ac:dyDescent="0.35">
      <c r="L58" s="404"/>
      <c r="M58" s="404"/>
      <c r="N58" s="404" t="str">
        <f t="shared" si="4"/>
        <v>NO</v>
      </c>
      <c r="O58" s="404"/>
      <c r="Q58" s="227">
        <f t="shared" si="8"/>
        <v>0</v>
      </c>
      <c r="R58" s="228">
        <f t="shared" si="5"/>
        <v>0</v>
      </c>
      <c r="S58" s="243">
        <f t="shared" si="2"/>
        <v>0</v>
      </c>
      <c r="T58" s="426">
        <f t="shared" si="6"/>
        <v>0</v>
      </c>
    </row>
    <row r="59" spans="12:22" ht="18.75" customHeight="1" x14ac:dyDescent="0.35">
      <c r="L59" s="404"/>
      <c r="M59" s="404"/>
      <c r="N59" s="404" t="str">
        <f t="shared" si="4"/>
        <v>NO</v>
      </c>
      <c r="O59" s="404"/>
      <c r="Q59" s="227">
        <f t="shared" si="8"/>
        <v>0</v>
      </c>
      <c r="R59" s="228">
        <f t="shared" si="5"/>
        <v>0</v>
      </c>
      <c r="S59" s="243">
        <f t="shared" si="2"/>
        <v>0</v>
      </c>
      <c r="T59" s="426">
        <f t="shared" si="6"/>
        <v>0</v>
      </c>
    </row>
    <row r="60" spans="12:22" ht="18.75" customHeight="1" x14ac:dyDescent="0.35">
      <c r="L60" s="404"/>
      <c r="M60" s="404"/>
      <c r="N60" s="404" t="str">
        <f t="shared" si="4"/>
        <v>NO</v>
      </c>
      <c r="O60" s="404"/>
      <c r="Q60" s="227">
        <f t="shared" si="8"/>
        <v>0</v>
      </c>
      <c r="R60" s="228">
        <f t="shared" si="5"/>
        <v>0</v>
      </c>
      <c r="S60" s="243">
        <f t="shared" si="2"/>
        <v>0</v>
      </c>
      <c r="T60" s="426">
        <f t="shared" si="6"/>
        <v>0</v>
      </c>
      <c r="V60" s="177"/>
    </row>
    <row r="61" spans="12:22" ht="18.75" customHeight="1" x14ac:dyDescent="0.35">
      <c r="L61" s="404"/>
      <c r="M61" s="404"/>
      <c r="N61" s="404" t="str">
        <f t="shared" si="4"/>
        <v>NO</v>
      </c>
      <c r="O61" s="404"/>
      <c r="Q61" s="227">
        <f t="shared" si="8"/>
        <v>0</v>
      </c>
      <c r="R61" s="228">
        <f t="shared" si="5"/>
        <v>0</v>
      </c>
      <c r="S61" s="243">
        <f t="shared" si="2"/>
        <v>0</v>
      </c>
      <c r="T61" s="426">
        <f t="shared" si="6"/>
        <v>0</v>
      </c>
    </row>
    <row r="62" spans="12:22" ht="18.75" customHeight="1" x14ac:dyDescent="0.35">
      <c r="L62" s="404"/>
      <c r="M62" s="404"/>
      <c r="N62" s="404" t="str">
        <f t="shared" si="4"/>
        <v>NO</v>
      </c>
      <c r="O62" s="404"/>
      <c r="Q62" s="227">
        <f t="shared" si="8"/>
        <v>0</v>
      </c>
      <c r="R62" s="228">
        <f t="shared" si="5"/>
        <v>0</v>
      </c>
      <c r="S62" s="243">
        <f t="shared" si="2"/>
        <v>0</v>
      </c>
      <c r="T62" s="426">
        <f t="shared" si="6"/>
        <v>0</v>
      </c>
    </row>
    <row r="63" spans="12:22" ht="18.75" customHeight="1" x14ac:dyDescent="0.35">
      <c r="L63" s="404"/>
      <c r="M63" s="404"/>
      <c r="N63" s="404" t="str">
        <f t="shared" si="4"/>
        <v>NO</v>
      </c>
      <c r="O63" s="404"/>
      <c r="Q63" s="227">
        <f t="shared" si="8"/>
        <v>0</v>
      </c>
      <c r="R63" s="228">
        <f t="shared" si="5"/>
        <v>0</v>
      </c>
      <c r="S63" s="243">
        <f t="shared" si="2"/>
        <v>0</v>
      </c>
      <c r="T63" s="426">
        <f t="shared" si="6"/>
        <v>0</v>
      </c>
      <c r="V63" s="177"/>
    </row>
    <row r="64" spans="12:22" ht="18.75" customHeight="1" x14ac:dyDescent="0.35">
      <c r="L64" s="404"/>
      <c r="M64" s="404"/>
      <c r="N64" s="404" t="str">
        <f t="shared" si="4"/>
        <v>NO</v>
      </c>
      <c r="O64" s="404"/>
      <c r="Q64" s="227">
        <f t="shared" si="8"/>
        <v>0</v>
      </c>
      <c r="R64" s="228">
        <f t="shared" si="5"/>
        <v>0</v>
      </c>
      <c r="S64" s="243">
        <f t="shared" si="2"/>
        <v>0</v>
      </c>
      <c r="T64" s="426">
        <f t="shared" si="6"/>
        <v>0</v>
      </c>
    </row>
    <row r="65" spans="12:20" ht="18.75" customHeight="1" x14ac:dyDescent="0.35">
      <c r="L65" s="404"/>
      <c r="M65" s="404"/>
      <c r="N65" s="404" t="str">
        <f t="shared" si="4"/>
        <v>NO</v>
      </c>
      <c r="O65" s="404"/>
      <c r="Q65" s="227">
        <f t="shared" si="8"/>
        <v>0</v>
      </c>
      <c r="R65" s="228">
        <f t="shared" si="5"/>
        <v>0</v>
      </c>
      <c r="S65" s="243">
        <f t="shared" ref="S65:S128" si="10">R65*0.05</f>
        <v>0</v>
      </c>
      <c r="T65" s="426">
        <f t="shared" si="6"/>
        <v>0</v>
      </c>
    </row>
    <row r="66" spans="12:20" ht="18.75" customHeight="1" x14ac:dyDescent="0.35">
      <c r="L66" s="404"/>
      <c r="M66" s="404"/>
      <c r="N66" s="404" t="str">
        <f t="shared" si="4"/>
        <v>NO</v>
      </c>
      <c r="O66" s="404"/>
      <c r="Q66" s="227">
        <f t="shared" si="8"/>
        <v>0</v>
      </c>
      <c r="R66" s="228">
        <f t="shared" si="5"/>
        <v>0</v>
      </c>
      <c r="S66" s="243">
        <f t="shared" si="10"/>
        <v>0</v>
      </c>
      <c r="T66" s="426">
        <f t="shared" si="6"/>
        <v>0</v>
      </c>
    </row>
    <row r="67" spans="12:20" ht="18.75" customHeight="1" x14ac:dyDescent="0.35">
      <c r="L67" s="404"/>
      <c r="M67" s="404"/>
      <c r="N67" s="404" t="str">
        <f t="shared" si="4"/>
        <v>NO</v>
      </c>
      <c r="O67" s="404"/>
      <c r="Q67" s="227">
        <f t="shared" si="8"/>
        <v>0</v>
      </c>
      <c r="R67" s="228">
        <f t="shared" ref="R67:R130" si="11">IF(N67="Si", P67-Q67-L67, P67-Q67)</f>
        <v>0</v>
      </c>
      <c r="S67" s="243">
        <f t="shared" si="10"/>
        <v>0</v>
      </c>
      <c r="T67" s="426">
        <f t="shared" si="6"/>
        <v>0</v>
      </c>
    </row>
    <row r="68" spans="12:20" ht="18.75" customHeight="1" x14ac:dyDescent="0.35">
      <c r="L68" s="404"/>
      <c r="M68" s="404"/>
      <c r="N68" s="404" t="str">
        <f t="shared" si="4"/>
        <v>NO</v>
      </c>
      <c r="O68" s="404"/>
      <c r="Q68" s="227">
        <f t="shared" si="8"/>
        <v>0</v>
      </c>
      <c r="R68" s="228">
        <f t="shared" si="11"/>
        <v>0</v>
      </c>
      <c r="S68" s="243">
        <f t="shared" si="10"/>
        <v>0</v>
      </c>
      <c r="T68" s="426">
        <f t="shared" si="6"/>
        <v>0</v>
      </c>
    </row>
    <row r="69" spans="12:20" ht="18.75" customHeight="1" x14ac:dyDescent="0.35">
      <c r="L69" s="404"/>
      <c r="M69" s="404"/>
      <c r="N69" s="404" t="str">
        <f t="shared" si="4"/>
        <v>NO</v>
      </c>
      <c r="O69" s="404"/>
      <c r="Q69" s="227">
        <f t="shared" si="8"/>
        <v>0</v>
      </c>
      <c r="R69" s="228">
        <f t="shared" si="11"/>
        <v>0</v>
      </c>
      <c r="S69" s="243">
        <f t="shared" si="10"/>
        <v>0</v>
      </c>
      <c r="T69" s="426">
        <f t="shared" si="6"/>
        <v>0</v>
      </c>
    </row>
    <row r="70" spans="12:20" ht="18.75" customHeight="1" x14ac:dyDescent="0.35">
      <c r="L70" s="404"/>
      <c r="M70" s="404"/>
      <c r="N70" s="404" t="str">
        <f t="shared" ref="N70:N133" si="12">IF(O70="Mercado Envíos Flex","SI","NO")</f>
        <v>NO</v>
      </c>
      <c r="O70" s="404"/>
      <c r="Q70" s="227">
        <f t="shared" si="8"/>
        <v>0</v>
      </c>
      <c r="R70" s="228">
        <f t="shared" si="11"/>
        <v>0</v>
      </c>
      <c r="S70" s="243">
        <f t="shared" si="10"/>
        <v>0</v>
      </c>
      <c r="T70" s="426">
        <f t="shared" ref="T70:T133" si="13">R70*$T$2</f>
        <v>0</v>
      </c>
    </row>
    <row r="71" spans="12:20" ht="39.75" customHeight="1" x14ac:dyDescent="0.35">
      <c r="L71" s="404"/>
      <c r="M71" s="404"/>
      <c r="N71" s="404" t="str">
        <f t="shared" si="12"/>
        <v>NO</v>
      </c>
      <c r="O71" s="404"/>
      <c r="Q71" s="227">
        <f t="shared" si="8"/>
        <v>0</v>
      </c>
      <c r="R71" s="228">
        <f t="shared" si="11"/>
        <v>0</v>
      </c>
      <c r="S71" s="243">
        <f t="shared" si="10"/>
        <v>0</v>
      </c>
      <c r="T71" s="426">
        <f t="shared" si="13"/>
        <v>0</v>
      </c>
    </row>
    <row r="72" spans="12:20" ht="18.75" customHeight="1" x14ac:dyDescent="0.35">
      <c r="L72" s="404"/>
      <c r="M72" s="404"/>
      <c r="N72" s="404" t="str">
        <f t="shared" si="12"/>
        <v>NO</v>
      </c>
      <c r="O72" s="404"/>
      <c r="Q72" s="227">
        <f t="shared" si="8"/>
        <v>0</v>
      </c>
      <c r="R72" s="228">
        <f t="shared" si="11"/>
        <v>0</v>
      </c>
      <c r="S72" s="243">
        <f t="shared" si="10"/>
        <v>0</v>
      </c>
      <c r="T72" s="426">
        <f t="shared" si="13"/>
        <v>0</v>
      </c>
    </row>
    <row r="73" spans="12:20" ht="18.75" customHeight="1" x14ac:dyDescent="0.35">
      <c r="L73" s="404"/>
      <c r="M73" s="404"/>
      <c r="N73" s="404" t="str">
        <f t="shared" si="12"/>
        <v>NO</v>
      </c>
      <c r="O73" s="404"/>
      <c r="Q73" s="227">
        <f t="shared" si="8"/>
        <v>0</v>
      </c>
      <c r="R73" s="228">
        <f t="shared" si="11"/>
        <v>0</v>
      </c>
      <c r="S73" s="243">
        <f t="shared" si="10"/>
        <v>0</v>
      </c>
      <c r="T73" s="426">
        <f t="shared" si="13"/>
        <v>0</v>
      </c>
    </row>
    <row r="74" spans="12:20" ht="18.75" customHeight="1" x14ac:dyDescent="0.35">
      <c r="L74" s="404"/>
      <c r="M74" s="404"/>
      <c r="N74" s="404" t="str">
        <f t="shared" si="12"/>
        <v>NO</v>
      </c>
      <c r="O74" s="404"/>
      <c r="Q74" s="227">
        <f t="shared" si="8"/>
        <v>0</v>
      </c>
      <c r="R74" s="228">
        <f t="shared" si="11"/>
        <v>0</v>
      </c>
      <c r="S74" s="243">
        <f t="shared" si="10"/>
        <v>0</v>
      </c>
      <c r="T74" s="426">
        <f t="shared" si="13"/>
        <v>0</v>
      </c>
    </row>
    <row r="75" spans="12:20" ht="18.75" customHeight="1" x14ac:dyDescent="0.35">
      <c r="L75" s="404"/>
      <c r="M75" s="404"/>
      <c r="N75" s="404" t="str">
        <f t="shared" si="12"/>
        <v>NO</v>
      </c>
      <c r="O75" s="404"/>
      <c r="Q75" s="227">
        <f t="shared" si="8"/>
        <v>0</v>
      </c>
      <c r="R75" s="228">
        <f t="shared" si="11"/>
        <v>0</v>
      </c>
      <c r="S75" s="243">
        <f t="shared" si="10"/>
        <v>0</v>
      </c>
      <c r="T75" s="426">
        <f t="shared" si="13"/>
        <v>0</v>
      </c>
    </row>
    <row r="76" spans="12:20" ht="18.75" customHeight="1" x14ac:dyDescent="0.35">
      <c r="L76" s="404"/>
      <c r="M76" s="404"/>
      <c r="N76" s="404" t="str">
        <f t="shared" si="12"/>
        <v>NO</v>
      </c>
      <c r="O76" s="404"/>
      <c r="Q76" s="227">
        <f t="shared" si="8"/>
        <v>0</v>
      </c>
      <c r="R76" s="228">
        <f t="shared" si="11"/>
        <v>0</v>
      </c>
      <c r="S76" s="243">
        <f t="shared" si="10"/>
        <v>0</v>
      </c>
      <c r="T76" s="426">
        <f t="shared" si="13"/>
        <v>0</v>
      </c>
    </row>
    <row r="77" spans="12:20" ht="18.75" customHeight="1" x14ac:dyDescent="0.35">
      <c r="L77" s="404"/>
      <c r="M77" s="404"/>
      <c r="N77" s="404" t="str">
        <f t="shared" si="12"/>
        <v>NO</v>
      </c>
      <c r="O77" s="404"/>
      <c r="Q77" s="227">
        <f t="shared" si="8"/>
        <v>0</v>
      </c>
      <c r="R77" s="228">
        <f t="shared" si="11"/>
        <v>0</v>
      </c>
      <c r="S77" s="243">
        <f t="shared" si="10"/>
        <v>0</v>
      </c>
      <c r="T77" s="426">
        <f t="shared" si="13"/>
        <v>0</v>
      </c>
    </row>
    <row r="78" spans="12:20" ht="18.75" customHeight="1" x14ac:dyDescent="0.35">
      <c r="L78" s="404"/>
      <c r="M78" s="404"/>
      <c r="N78" s="404" t="str">
        <f t="shared" si="12"/>
        <v>NO</v>
      </c>
      <c r="O78" s="404"/>
      <c r="Q78" s="227">
        <f t="shared" si="8"/>
        <v>0</v>
      </c>
      <c r="R78" s="228">
        <f t="shared" si="11"/>
        <v>0</v>
      </c>
      <c r="S78" s="243">
        <f t="shared" si="10"/>
        <v>0</v>
      </c>
      <c r="T78" s="426">
        <f t="shared" si="13"/>
        <v>0</v>
      </c>
    </row>
    <row r="79" spans="12:20" ht="18.75" customHeight="1" x14ac:dyDescent="0.35">
      <c r="L79" s="404"/>
      <c r="M79" s="404"/>
      <c r="N79" s="404" t="str">
        <f t="shared" si="12"/>
        <v>NO</v>
      </c>
      <c r="O79" s="404"/>
      <c r="Q79" s="227">
        <f t="shared" si="8"/>
        <v>0</v>
      </c>
      <c r="R79" s="228">
        <f t="shared" si="11"/>
        <v>0</v>
      </c>
      <c r="S79" s="243">
        <f t="shared" si="10"/>
        <v>0</v>
      </c>
      <c r="T79" s="426">
        <f t="shared" si="13"/>
        <v>0</v>
      </c>
    </row>
    <row r="80" spans="12:20" ht="18.75" customHeight="1" x14ac:dyDescent="0.35">
      <c r="L80" s="404"/>
      <c r="M80" s="404"/>
      <c r="N80" s="404" t="str">
        <f t="shared" si="12"/>
        <v>NO</v>
      </c>
      <c r="O80" s="404"/>
      <c r="Q80" s="227">
        <f t="shared" si="8"/>
        <v>0</v>
      </c>
      <c r="R80" s="228">
        <f t="shared" si="11"/>
        <v>0</v>
      </c>
      <c r="S80" s="243">
        <f t="shared" si="10"/>
        <v>0</v>
      </c>
      <c r="T80" s="426">
        <f t="shared" si="13"/>
        <v>0</v>
      </c>
    </row>
    <row r="81" spans="12:20" ht="18.75" customHeight="1" x14ac:dyDescent="0.35">
      <c r="L81" s="404"/>
      <c r="M81" s="404"/>
      <c r="N81" s="404" t="str">
        <f t="shared" si="12"/>
        <v>NO</v>
      </c>
      <c r="O81" s="404"/>
      <c r="Q81" s="227">
        <f t="shared" si="8"/>
        <v>0</v>
      </c>
      <c r="R81" s="228">
        <f t="shared" si="11"/>
        <v>0</v>
      </c>
      <c r="S81" s="243">
        <f t="shared" si="10"/>
        <v>0</v>
      </c>
      <c r="T81" s="426">
        <f t="shared" si="13"/>
        <v>0</v>
      </c>
    </row>
    <row r="82" spans="12:20" ht="18.75" customHeight="1" x14ac:dyDescent="0.35">
      <c r="L82" s="404"/>
      <c r="M82" s="404"/>
      <c r="N82" s="404" t="str">
        <f t="shared" si="12"/>
        <v>NO</v>
      </c>
      <c r="O82" s="404"/>
      <c r="Q82" s="227">
        <f t="shared" si="8"/>
        <v>0</v>
      </c>
      <c r="R82" s="228">
        <f t="shared" si="11"/>
        <v>0</v>
      </c>
      <c r="S82" s="243">
        <f t="shared" si="10"/>
        <v>0</v>
      </c>
      <c r="T82" s="426">
        <f t="shared" si="13"/>
        <v>0</v>
      </c>
    </row>
    <row r="83" spans="12:20" ht="18.75" customHeight="1" x14ac:dyDescent="0.35">
      <c r="L83" s="404"/>
      <c r="M83" s="404"/>
      <c r="N83" s="404" t="str">
        <f t="shared" si="12"/>
        <v>NO</v>
      </c>
      <c r="O83" s="404"/>
      <c r="Q83" s="227">
        <f t="shared" si="8"/>
        <v>0</v>
      </c>
      <c r="R83" s="228">
        <f t="shared" si="11"/>
        <v>0</v>
      </c>
      <c r="S83" s="243">
        <f t="shared" si="10"/>
        <v>0</v>
      </c>
      <c r="T83" s="426">
        <f t="shared" si="13"/>
        <v>0</v>
      </c>
    </row>
    <row r="84" spans="12:20" ht="18.75" customHeight="1" x14ac:dyDescent="0.35">
      <c r="L84" s="404"/>
      <c r="M84" s="404"/>
      <c r="N84" s="404" t="str">
        <f t="shared" si="12"/>
        <v>NO</v>
      </c>
      <c r="O84" s="404"/>
      <c r="Q84" s="227">
        <f t="shared" si="8"/>
        <v>0</v>
      </c>
      <c r="R84" s="228">
        <f t="shared" si="11"/>
        <v>0</v>
      </c>
      <c r="S84" s="243">
        <f t="shared" si="10"/>
        <v>0</v>
      </c>
      <c r="T84" s="426">
        <f t="shared" si="13"/>
        <v>0</v>
      </c>
    </row>
    <row r="85" spans="12:20" ht="18.75" customHeight="1" x14ac:dyDescent="0.35">
      <c r="L85" s="404"/>
      <c r="M85" s="404"/>
      <c r="N85" s="404" t="str">
        <f t="shared" si="12"/>
        <v>NO</v>
      </c>
      <c r="O85" s="404"/>
      <c r="Q85" s="227">
        <f t="shared" si="8"/>
        <v>0</v>
      </c>
      <c r="R85" s="228">
        <f t="shared" si="11"/>
        <v>0</v>
      </c>
      <c r="S85" s="243">
        <f t="shared" si="10"/>
        <v>0</v>
      </c>
      <c r="T85" s="426">
        <f t="shared" si="13"/>
        <v>0</v>
      </c>
    </row>
    <row r="86" spans="12:20" ht="18.75" customHeight="1" x14ac:dyDescent="0.35">
      <c r="L86" s="404"/>
      <c r="M86" s="404"/>
      <c r="N86" s="404" t="str">
        <f t="shared" si="12"/>
        <v>NO</v>
      </c>
      <c r="O86" s="404"/>
      <c r="Q86" s="227">
        <f t="shared" si="8"/>
        <v>0</v>
      </c>
      <c r="R86" s="228">
        <f t="shared" si="11"/>
        <v>0</v>
      </c>
      <c r="S86" s="243">
        <f t="shared" si="10"/>
        <v>0</v>
      </c>
      <c r="T86" s="426">
        <f t="shared" si="13"/>
        <v>0</v>
      </c>
    </row>
    <row r="87" spans="12:20" ht="18.75" customHeight="1" x14ac:dyDescent="0.35">
      <c r="L87" s="404"/>
      <c r="M87" s="404"/>
      <c r="N87" s="404" t="str">
        <f t="shared" si="12"/>
        <v>NO</v>
      </c>
      <c r="O87" s="404"/>
      <c r="Q87" s="227">
        <f t="shared" si="8"/>
        <v>0</v>
      </c>
      <c r="R87" s="228">
        <f t="shared" si="11"/>
        <v>0</v>
      </c>
      <c r="S87" s="243">
        <f t="shared" si="10"/>
        <v>0</v>
      </c>
      <c r="T87" s="426">
        <f t="shared" si="13"/>
        <v>0</v>
      </c>
    </row>
    <row r="88" spans="12:20" ht="18.75" customHeight="1" x14ac:dyDescent="0.35">
      <c r="L88" s="404"/>
      <c r="M88" s="404"/>
      <c r="N88" s="404" t="str">
        <f t="shared" si="12"/>
        <v>NO</v>
      </c>
      <c r="O88" s="404"/>
      <c r="Q88" s="227">
        <f t="shared" si="8"/>
        <v>0</v>
      </c>
      <c r="R88" s="228">
        <f t="shared" si="11"/>
        <v>0</v>
      </c>
      <c r="S88" s="243">
        <f t="shared" si="10"/>
        <v>0</v>
      </c>
      <c r="T88" s="426">
        <f t="shared" si="13"/>
        <v>0</v>
      </c>
    </row>
    <row r="89" spans="12:20" ht="18.75" customHeight="1" x14ac:dyDescent="0.35">
      <c r="L89" s="404"/>
      <c r="M89" s="404"/>
      <c r="N89" s="404" t="str">
        <f t="shared" si="12"/>
        <v>NO</v>
      </c>
      <c r="O89" s="404"/>
      <c r="Q89" s="227">
        <f t="shared" si="8"/>
        <v>0</v>
      </c>
      <c r="R89" s="228">
        <f t="shared" si="11"/>
        <v>0</v>
      </c>
      <c r="S89" s="243">
        <f t="shared" si="10"/>
        <v>0</v>
      </c>
      <c r="T89" s="426">
        <f t="shared" si="13"/>
        <v>0</v>
      </c>
    </row>
    <row r="90" spans="12:20" ht="18.75" customHeight="1" x14ac:dyDescent="0.35">
      <c r="L90" s="404"/>
      <c r="M90" s="404"/>
      <c r="N90" s="404" t="str">
        <f t="shared" si="12"/>
        <v>NO</v>
      </c>
      <c r="O90" s="404"/>
      <c r="Q90" s="227">
        <f t="shared" si="8"/>
        <v>0</v>
      </c>
      <c r="R90" s="228">
        <f t="shared" si="11"/>
        <v>0</v>
      </c>
      <c r="S90" s="243">
        <f t="shared" si="10"/>
        <v>0</v>
      </c>
      <c r="T90" s="426">
        <f t="shared" si="13"/>
        <v>0</v>
      </c>
    </row>
    <row r="91" spans="12:20" ht="18.75" customHeight="1" x14ac:dyDescent="0.35">
      <c r="L91" s="404"/>
      <c r="M91" s="404"/>
      <c r="N91" s="404" t="str">
        <f t="shared" si="12"/>
        <v>NO</v>
      </c>
      <c r="O91" s="404"/>
      <c r="Q91" s="227">
        <f t="shared" si="8"/>
        <v>0</v>
      </c>
      <c r="R91" s="228">
        <f t="shared" si="11"/>
        <v>0</v>
      </c>
      <c r="S91" s="243">
        <f t="shared" si="10"/>
        <v>0</v>
      </c>
      <c r="T91" s="426">
        <f t="shared" si="13"/>
        <v>0</v>
      </c>
    </row>
    <row r="92" spans="12:20" ht="18.75" customHeight="1" x14ac:dyDescent="0.35">
      <c r="L92" s="404"/>
      <c r="M92" s="404"/>
      <c r="N92" s="404" t="str">
        <f t="shared" si="12"/>
        <v>NO</v>
      </c>
      <c r="O92" s="404"/>
      <c r="Q92" s="227">
        <f t="shared" si="8"/>
        <v>0</v>
      </c>
      <c r="R92" s="228">
        <f t="shared" si="11"/>
        <v>0</v>
      </c>
      <c r="S92" s="243">
        <f t="shared" si="10"/>
        <v>0</v>
      </c>
      <c r="T92" s="426">
        <f t="shared" si="13"/>
        <v>0</v>
      </c>
    </row>
    <row r="93" spans="12:20" ht="18.75" customHeight="1" x14ac:dyDescent="0.35">
      <c r="L93" s="404"/>
      <c r="M93" s="404"/>
      <c r="N93" s="404" t="str">
        <f t="shared" si="12"/>
        <v>NO</v>
      </c>
      <c r="O93" s="404"/>
      <c r="Q93" s="227">
        <f t="shared" si="8"/>
        <v>0</v>
      </c>
      <c r="R93" s="228">
        <f t="shared" si="11"/>
        <v>0</v>
      </c>
      <c r="S93" s="243">
        <f t="shared" si="10"/>
        <v>0</v>
      </c>
      <c r="T93" s="426">
        <f t="shared" si="13"/>
        <v>0</v>
      </c>
    </row>
    <row r="94" spans="12:20" ht="18.75" customHeight="1" x14ac:dyDescent="0.35">
      <c r="L94" s="404"/>
      <c r="M94" s="404"/>
      <c r="N94" s="404" t="str">
        <f t="shared" si="12"/>
        <v>NO</v>
      </c>
      <c r="O94" s="404"/>
      <c r="Q94" s="227">
        <f t="shared" si="8"/>
        <v>0</v>
      </c>
      <c r="R94" s="228">
        <f t="shared" si="11"/>
        <v>0</v>
      </c>
      <c r="S94" s="243">
        <f t="shared" si="10"/>
        <v>0</v>
      </c>
      <c r="T94" s="426">
        <f t="shared" si="13"/>
        <v>0</v>
      </c>
    </row>
    <row r="95" spans="12:20" ht="18.75" customHeight="1" x14ac:dyDescent="0.35">
      <c r="L95" s="404"/>
      <c r="M95" s="404"/>
      <c r="N95" s="404" t="str">
        <f t="shared" si="12"/>
        <v>NO</v>
      </c>
      <c r="O95" s="404"/>
      <c r="Q95" s="227">
        <f t="shared" si="8"/>
        <v>0</v>
      </c>
      <c r="R95" s="228">
        <f t="shared" si="11"/>
        <v>0</v>
      </c>
      <c r="S95" s="243">
        <f t="shared" si="10"/>
        <v>0</v>
      </c>
      <c r="T95" s="426">
        <f t="shared" si="13"/>
        <v>0</v>
      </c>
    </row>
    <row r="96" spans="12:20" ht="18.75" customHeight="1" x14ac:dyDescent="0.35">
      <c r="L96" s="404"/>
      <c r="M96" s="404"/>
      <c r="N96" s="404" t="str">
        <f t="shared" si="12"/>
        <v>NO</v>
      </c>
      <c r="O96" s="404"/>
      <c r="Q96" s="227">
        <f t="shared" ref="Q96:Q159" si="14">_xlfn.XLOOKUP(F96, AE:AE, AF:AF) * G96</f>
        <v>0</v>
      </c>
      <c r="R96" s="228">
        <f t="shared" si="11"/>
        <v>0</v>
      </c>
      <c r="S96" s="243">
        <f t="shared" si="10"/>
        <v>0</v>
      </c>
      <c r="T96" s="426">
        <f t="shared" si="13"/>
        <v>0</v>
      </c>
    </row>
    <row r="97" spans="12:20" ht="18.75" customHeight="1" x14ac:dyDescent="0.35">
      <c r="L97" s="404"/>
      <c r="M97" s="404"/>
      <c r="N97" s="404" t="str">
        <f t="shared" si="12"/>
        <v>NO</v>
      </c>
      <c r="O97" s="404"/>
      <c r="Q97" s="227">
        <f t="shared" si="14"/>
        <v>0</v>
      </c>
      <c r="R97" s="228">
        <f t="shared" si="11"/>
        <v>0</v>
      </c>
      <c r="S97" s="243">
        <f t="shared" si="10"/>
        <v>0</v>
      </c>
      <c r="T97" s="426">
        <f t="shared" si="13"/>
        <v>0</v>
      </c>
    </row>
    <row r="98" spans="12:20" ht="18.75" customHeight="1" x14ac:dyDescent="0.35">
      <c r="L98" s="404"/>
      <c r="M98" s="404"/>
      <c r="N98" s="404" t="str">
        <f t="shared" si="12"/>
        <v>NO</v>
      </c>
      <c r="O98" s="404"/>
      <c r="Q98" s="227">
        <f t="shared" si="14"/>
        <v>0</v>
      </c>
      <c r="R98" s="228">
        <f t="shared" si="11"/>
        <v>0</v>
      </c>
      <c r="S98" s="243">
        <f t="shared" si="10"/>
        <v>0</v>
      </c>
      <c r="T98" s="426">
        <f t="shared" si="13"/>
        <v>0</v>
      </c>
    </row>
    <row r="99" spans="12:20" ht="18.75" customHeight="1" x14ac:dyDescent="0.35">
      <c r="L99" s="404"/>
      <c r="M99" s="404"/>
      <c r="N99" s="404" t="str">
        <f t="shared" si="12"/>
        <v>NO</v>
      </c>
      <c r="O99" s="404"/>
      <c r="Q99" s="227">
        <f t="shared" si="14"/>
        <v>0</v>
      </c>
      <c r="R99" s="228">
        <f t="shared" si="11"/>
        <v>0</v>
      </c>
      <c r="S99" s="243">
        <f t="shared" si="10"/>
        <v>0</v>
      </c>
      <c r="T99" s="426">
        <f t="shared" si="13"/>
        <v>0</v>
      </c>
    </row>
    <row r="100" spans="12:20" ht="18.75" customHeight="1" x14ac:dyDescent="0.35">
      <c r="L100" s="404"/>
      <c r="M100" s="404"/>
      <c r="N100" s="404" t="str">
        <f t="shared" si="12"/>
        <v>NO</v>
      </c>
      <c r="O100" s="404"/>
      <c r="Q100" s="227">
        <f t="shared" si="14"/>
        <v>0</v>
      </c>
      <c r="R100" s="228">
        <f t="shared" si="11"/>
        <v>0</v>
      </c>
      <c r="S100" s="243">
        <f t="shared" si="10"/>
        <v>0</v>
      </c>
      <c r="T100" s="426">
        <f t="shared" si="13"/>
        <v>0</v>
      </c>
    </row>
    <row r="101" spans="12:20" ht="18.75" customHeight="1" x14ac:dyDescent="0.35">
      <c r="L101" s="404"/>
      <c r="M101" s="404"/>
      <c r="N101" s="404" t="str">
        <f t="shared" si="12"/>
        <v>NO</v>
      </c>
      <c r="O101" s="404"/>
      <c r="Q101" s="227">
        <f t="shared" si="14"/>
        <v>0</v>
      </c>
      <c r="R101" s="228">
        <f t="shared" si="11"/>
        <v>0</v>
      </c>
      <c r="S101" s="243">
        <f t="shared" si="10"/>
        <v>0</v>
      </c>
      <c r="T101" s="426">
        <f t="shared" si="13"/>
        <v>0</v>
      </c>
    </row>
    <row r="102" spans="12:20" ht="18.75" customHeight="1" x14ac:dyDescent="0.35">
      <c r="L102" s="404"/>
      <c r="M102" s="404"/>
      <c r="N102" s="404" t="str">
        <f t="shared" si="12"/>
        <v>NO</v>
      </c>
      <c r="O102" s="404"/>
      <c r="Q102" s="227">
        <f t="shared" si="14"/>
        <v>0</v>
      </c>
      <c r="R102" s="228">
        <f t="shared" si="11"/>
        <v>0</v>
      </c>
      <c r="S102" s="243">
        <f t="shared" si="10"/>
        <v>0</v>
      </c>
      <c r="T102" s="426">
        <f t="shared" si="13"/>
        <v>0</v>
      </c>
    </row>
    <row r="103" spans="12:20" ht="18.75" customHeight="1" x14ac:dyDescent="0.35">
      <c r="L103" s="404"/>
      <c r="M103" s="404"/>
      <c r="N103" s="404" t="str">
        <f t="shared" si="12"/>
        <v>NO</v>
      </c>
      <c r="O103" s="404"/>
      <c r="Q103" s="227">
        <f t="shared" si="14"/>
        <v>0</v>
      </c>
      <c r="R103" s="228">
        <f t="shared" si="11"/>
        <v>0</v>
      </c>
      <c r="S103" s="243">
        <f t="shared" si="10"/>
        <v>0</v>
      </c>
      <c r="T103" s="426">
        <f t="shared" si="13"/>
        <v>0</v>
      </c>
    </row>
    <row r="104" spans="12:20" ht="18.75" customHeight="1" x14ac:dyDescent="0.35">
      <c r="L104" s="404"/>
      <c r="M104" s="404"/>
      <c r="N104" s="404" t="str">
        <f t="shared" si="12"/>
        <v>NO</v>
      </c>
      <c r="O104" s="404"/>
      <c r="Q104" s="227">
        <f t="shared" si="14"/>
        <v>0</v>
      </c>
      <c r="R104" s="228">
        <f t="shared" si="11"/>
        <v>0</v>
      </c>
      <c r="S104" s="243">
        <f t="shared" si="10"/>
        <v>0</v>
      </c>
      <c r="T104" s="426">
        <f t="shared" si="13"/>
        <v>0</v>
      </c>
    </row>
    <row r="105" spans="12:20" ht="18.75" customHeight="1" x14ac:dyDescent="0.35">
      <c r="L105" s="404"/>
      <c r="M105" s="404"/>
      <c r="N105" s="404" t="str">
        <f t="shared" si="12"/>
        <v>NO</v>
      </c>
      <c r="O105" s="404"/>
      <c r="Q105" s="227">
        <f t="shared" si="14"/>
        <v>0</v>
      </c>
      <c r="R105" s="228">
        <f t="shared" si="11"/>
        <v>0</v>
      </c>
      <c r="S105" s="243">
        <f t="shared" si="10"/>
        <v>0</v>
      </c>
      <c r="T105" s="426">
        <f t="shared" si="13"/>
        <v>0</v>
      </c>
    </row>
    <row r="106" spans="12:20" ht="18.75" customHeight="1" x14ac:dyDescent="0.35">
      <c r="L106" s="404"/>
      <c r="M106" s="404"/>
      <c r="N106" s="404" t="str">
        <f t="shared" si="12"/>
        <v>NO</v>
      </c>
      <c r="O106" s="404"/>
      <c r="Q106" s="227">
        <f t="shared" si="14"/>
        <v>0</v>
      </c>
      <c r="R106" s="228">
        <f t="shared" si="11"/>
        <v>0</v>
      </c>
      <c r="S106" s="243">
        <f t="shared" si="10"/>
        <v>0</v>
      </c>
      <c r="T106" s="426">
        <f t="shared" si="13"/>
        <v>0</v>
      </c>
    </row>
    <row r="107" spans="12:20" ht="18.75" customHeight="1" x14ac:dyDescent="0.35">
      <c r="L107" s="404"/>
      <c r="M107" s="404"/>
      <c r="N107" s="404" t="str">
        <f t="shared" si="12"/>
        <v>NO</v>
      </c>
      <c r="O107" s="404"/>
      <c r="Q107" s="227">
        <f t="shared" si="14"/>
        <v>0</v>
      </c>
      <c r="R107" s="228">
        <f t="shared" si="11"/>
        <v>0</v>
      </c>
      <c r="S107" s="243">
        <f t="shared" si="10"/>
        <v>0</v>
      </c>
      <c r="T107" s="426">
        <f t="shared" si="13"/>
        <v>0</v>
      </c>
    </row>
    <row r="108" spans="12:20" ht="18.75" customHeight="1" x14ac:dyDescent="0.35">
      <c r="L108" s="404"/>
      <c r="M108" s="404"/>
      <c r="N108" s="404" t="str">
        <f t="shared" si="12"/>
        <v>NO</v>
      </c>
      <c r="O108" s="404"/>
      <c r="Q108" s="227">
        <f t="shared" si="14"/>
        <v>0</v>
      </c>
      <c r="R108" s="228">
        <f t="shared" si="11"/>
        <v>0</v>
      </c>
      <c r="S108" s="243">
        <f t="shared" si="10"/>
        <v>0</v>
      </c>
      <c r="T108" s="426">
        <f t="shared" si="13"/>
        <v>0</v>
      </c>
    </row>
    <row r="109" spans="12:20" ht="18.75" customHeight="1" x14ac:dyDescent="0.35">
      <c r="L109" s="404"/>
      <c r="M109" s="404"/>
      <c r="N109" s="404" t="str">
        <f t="shared" si="12"/>
        <v>NO</v>
      </c>
      <c r="O109" s="404"/>
      <c r="Q109" s="227">
        <f t="shared" si="14"/>
        <v>0</v>
      </c>
      <c r="R109" s="228">
        <f t="shared" si="11"/>
        <v>0</v>
      </c>
      <c r="S109" s="243">
        <f t="shared" si="10"/>
        <v>0</v>
      </c>
      <c r="T109" s="426">
        <f t="shared" si="13"/>
        <v>0</v>
      </c>
    </row>
    <row r="110" spans="12:20" ht="18.75" customHeight="1" x14ac:dyDescent="0.35">
      <c r="L110" s="404"/>
      <c r="M110" s="404"/>
      <c r="N110" s="404" t="str">
        <f t="shared" si="12"/>
        <v>NO</v>
      </c>
      <c r="O110" s="404"/>
      <c r="Q110" s="227">
        <f t="shared" si="14"/>
        <v>0</v>
      </c>
      <c r="R110" s="228">
        <f t="shared" si="11"/>
        <v>0</v>
      </c>
      <c r="S110" s="243">
        <f t="shared" si="10"/>
        <v>0</v>
      </c>
      <c r="T110" s="426">
        <f t="shared" si="13"/>
        <v>0</v>
      </c>
    </row>
    <row r="111" spans="12:20" ht="18.75" customHeight="1" x14ac:dyDescent="0.35">
      <c r="L111" s="404"/>
      <c r="M111" s="404"/>
      <c r="N111" s="404" t="str">
        <f t="shared" si="12"/>
        <v>NO</v>
      </c>
      <c r="O111" s="404"/>
      <c r="Q111" s="227">
        <f t="shared" si="14"/>
        <v>0</v>
      </c>
      <c r="R111" s="228">
        <f t="shared" si="11"/>
        <v>0</v>
      </c>
      <c r="S111" s="243">
        <f t="shared" si="10"/>
        <v>0</v>
      </c>
      <c r="T111" s="426">
        <f t="shared" si="13"/>
        <v>0</v>
      </c>
    </row>
    <row r="112" spans="12:20" ht="18.75" customHeight="1" x14ac:dyDescent="0.35">
      <c r="L112" s="404"/>
      <c r="M112" s="404"/>
      <c r="N112" s="404" t="str">
        <f t="shared" si="12"/>
        <v>NO</v>
      </c>
      <c r="O112" s="404"/>
      <c r="Q112" s="227">
        <f t="shared" si="14"/>
        <v>0</v>
      </c>
      <c r="R112" s="228">
        <f t="shared" si="11"/>
        <v>0</v>
      </c>
      <c r="S112" s="243">
        <f t="shared" si="10"/>
        <v>0</v>
      </c>
      <c r="T112" s="426">
        <f t="shared" si="13"/>
        <v>0</v>
      </c>
    </row>
    <row r="113" spans="12:25" ht="18.75" customHeight="1" x14ac:dyDescent="0.35">
      <c r="L113" s="404"/>
      <c r="M113" s="404"/>
      <c r="N113" s="404" t="str">
        <f t="shared" si="12"/>
        <v>NO</v>
      </c>
      <c r="O113" s="404"/>
      <c r="Q113" s="227">
        <f t="shared" si="14"/>
        <v>0</v>
      </c>
      <c r="R113" s="228">
        <f t="shared" si="11"/>
        <v>0</v>
      </c>
      <c r="S113" s="243">
        <f t="shared" si="10"/>
        <v>0</v>
      </c>
      <c r="T113" s="426">
        <f t="shared" si="13"/>
        <v>0</v>
      </c>
    </row>
    <row r="114" spans="12:25" ht="18.75" customHeight="1" x14ac:dyDescent="0.35">
      <c r="L114" s="404"/>
      <c r="M114" s="404"/>
      <c r="N114" s="404" t="str">
        <f t="shared" si="12"/>
        <v>NO</v>
      </c>
      <c r="O114" s="404"/>
      <c r="Q114" s="227">
        <f t="shared" si="14"/>
        <v>0</v>
      </c>
      <c r="R114" s="228">
        <f t="shared" si="11"/>
        <v>0</v>
      </c>
      <c r="S114" s="243">
        <f t="shared" si="10"/>
        <v>0</v>
      </c>
      <c r="T114" s="426">
        <f t="shared" si="13"/>
        <v>0</v>
      </c>
    </row>
    <row r="115" spans="12:25" ht="18.75" customHeight="1" x14ac:dyDescent="0.35">
      <c r="L115" s="404"/>
      <c r="M115" s="404"/>
      <c r="N115" s="404" t="str">
        <f t="shared" si="12"/>
        <v>NO</v>
      </c>
      <c r="O115" s="404"/>
      <c r="Q115" s="227">
        <f t="shared" si="14"/>
        <v>0</v>
      </c>
      <c r="R115" s="228">
        <f t="shared" si="11"/>
        <v>0</v>
      </c>
      <c r="S115" s="243">
        <f t="shared" si="10"/>
        <v>0</v>
      </c>
      <c r="T115" s="426">
        <f t="shared" si="13"/>
        <v>0</v>
      </c>
    </row>
    <row r="116" spans="12:25" ht="18.75" customHeight="1" x14ac:dyDescent="0.35">
      <c r="L116" s="404"/>
      <c r="M116" s="404"/>
      <c r="N116" s="404" t="str">
        <f t="shared" si="12"/>
        <v>NO</v>
      </c>
      <c r="O116" s="404"/>
      <c r="Q116" s="227">
        <f t="shared" si="14"/>
        <v>0</v>
      </c>
      <c r="R116" s="228">
        <f t="shared" si="11"/>
        <v>0</v>
      </c>
      <c r="S116" s="243">
        <f t="shared" si="10"/>
        <v>0</v>
      </c>
      <c r="T116" s="426">
        <f t="shared" si="13"/>
        <v>0</v>
      </c>
    </row>
    <row r="117" spans="12:25" ht="18.75" customHeight="1" x14ac:dyDescent="0.35">
      <c r="L117" s="404"/>
      <c r="M117" s="404"/>
      <c r="N117" s="404" t="str">
        <f t="shared" si="12"/>
        <v>NO</v>
      </c>
      <c r="O117" s="404"/>
      <c r="Q117" s="227">
        <f t="shared" si="14"/>
        <v>0</v>
      </c>
      <c r="R117" s="228">
        <f t="shared" si="11"/>
        <v>0</v>
      </c>
      <c r="S117" s="243">
        <f t="shared" si="10"/>
        <v>0</v>
      </c>
      <c r="T117" s="426">
        <f t="shared" si="13"/>
        <v>0</v>
      </c>
    </row>
    <row r="118" spans="12:25" ht="18.75" customHeight="1" x14ac:dyDescent="0.35">
      <c r="L118" s="404"/>
      <c r="M118" s="404"/>
      <c r="N118" s="404" t="str">
        <f t="shared" si="12"/>
        <v>NO</v>
      </c>
      <c r="O118" s="404"/>
      <c r="Q118" s="227">
        <f t="shared" si="14"/>
        <v>0</v>
      </c>
      <c r="R118" s="228">
        <f t="shared" si="11"/>
        <v>0</v>
      </c>
      <c r="S118" s="243">
        <f t="shared" si="10"/>
        <v>0</v>
      </c>
      <c r="T118" s="426">
        <f t="shared" si="13"/>
        <v>0</v>
      </c>
    </row>
    <row r="119" spans="12:25" ht="18.75" customHeight="1" x14ac:dyDescent="0.35">
      <c r="L119" s="404"/>
      <c r="M119" s="404"/>
      <c r="N119" s="404" t="str">
        <f t="shared" si="12"/>
        <v>NO</v>
      </c>
      <c r="O119" s="404"/>
      <c r="Q119" s="227">
        <f t="shared" si="14"/>
        <v>0</v>
      </c>
      <c r="R119" s="228">
        <f t="shared" si="11"/>
        <v>0</v>
      </c>
      <c r="S119" s="243">
        <f t="shared" si="10"/>
        <v>0</v>
      </c>
      <c r="T119" s="426">
        <f t="shared" si="13"/>
        <v>0</v>
      </c>
      <c r="X119" s="361" t="str">
        <f t="shared" ref="X119:X150" si="15">IF(OR(F42="D6 Classic",F42="D6 Deluxe",F42="D6 Gold"),6*G42,
 IF(OR(F42="D2",F42="D2 moño"),2*G42,
 IF(F42="Cajita de 4",4*G42,
 IF(OR(F42="Mini Recuerdo",F42="Choco Cintas",F42="Choco Suelto"),1*G42,
 IF(F42="Caja 22 Chocos",22*G42,
 IF(F42="Caja 44 Chocos",44*G42,""))))))</f>
        <v/>
      </c>
      <c r="Y119" s="20" t="e">
        <f>IF(#REF!="Falta", X119, 0)</f>
        <v>#REF!</v>
      </c>
    </row>
    <row r="120" spans="12:25" ht="18.75" customHeight="1" x14ac:dyDescent="0.35">
      <c r="L120" s="404"/>
      <c r="M120" s="404"/>
      <c r="N120" s="404" t="str">
        <f t="shared" si="12"/>
        <v>NO</v>
      </c>
      <c r="O120" s="404"/>
      <c r="Q120" s="227">
        <f t="shared" si="14"/>
        <v>0</v>
      </c>
      <c r="R120" s="228">
        <f t="shared" si="11"/>
        <v>0</v>
      </c>
      <c r="S120" s="243">
        <f t="shared" si="10"/>
        <v>0</v>
      </c>
      <c r="T120" s="426">
        <f t="shared" si="13"/>
        <v>0</v>
      </c>
      <c r="X120" s="361" t="str">
        <f t="shared" si="15"/>
        <v/>
      </c>
      <c r="Y120" s="20" t="e">
        <f>IF(#REF!="Falta", X120, 0)</f>
        <v>#REF!</v>
      </c>
    </row>
    <row r="121" spans="12:25" ht="18.75" customHeight="1" x14ac:dyDescent="0.35">
      <c r="L121" s="404"/>
      <c r="M121" s="404"/>
      <c r="N121" s="404" t="str">
        <f t="shared" si="12"/>
        <v>NO</v>
      </c>
      <c r="O121" s="404"/>
      <c r="Q121" s="227">
        <f t="shared" si="14"/>
        <v>0</v>
      </c>
      <c r="R121" s="228">
        <f t="shared" si="11"/>
        <v>0</v>
      </c>
      <c r="S121" s="243">
        <f t="shared" si="10"/>
        <v>0</v>
      </c>
      <c r="T121" s="426">
        <f t="shared" si="13"/>
        <v>0</v>
      </c>
      <c r="X121" s="361" t="str">
        <f t="shared" si="15"/>
        <v/>
      </c>
      <c r="Y121" s="20" t="e">
        <f>IF(#REF!="Falta", X121, 0)</f>
        <v>#REF!</v>
      </c>
    </row>
    <row r="122" spans="12:25" ht="18.75" customHeight="1" x14ac:dyDescent="0.35">
      <c r="L122" s="404"/>
      <c r="M122" s="404"/>
      <c r="N122" s="404" t="str">
        <f t="shared" si="12"/>
        <v>NO</v>
      </c>
      <c r="O122" s="404"/>
      <c r="Q122" s="227">
        <f t="shared" si="14"/>
        <v>0</v>
      </c>
      <c r="R122" s="228">
        <f t="shared" si="11"/>
        <v>0</v>
      </c>
      <c r="S122" s="243">
        <f t="shared" si="10"/>
        <v>0</v>
      </c>
      <c r="T122" s="426">
        <f t="shared" si="13"/>
        <v>0</v>
      </c>
      <c r="X122" s="361" t="str">
        <f t="shared" si="15"/>
        <v/>
      </c>
      <c r="Y122" s="20" t="e">
        <f>IF(#REF!="Falta", X122, 0)</f>
        <v>#REF!</v>
      </c>
    </row>
    <row r="123" spans="12:25" ht="18.75" customHeight="1" x14ac:dyDescent="0.35">
      <c r="L123" s="404"/>
      <c r="M123" s="404"/>
      <c r="N123" s="404" t="str">
        <f t="shared" si="12"/>
        <v>NO</v>
      </c>
      <c r="O123" s="404"/>
      <c r="Q123" s="227">
        <f t="shared" si="14"/>
        <v>0</v>
      </c>
      <c r="R123" s="228">
        <f t="shared" si="11"/>
        <v>0</v>
      </c>
      <c r="S123" s="243">
        <f t="shared" si="10"/>
        <v>0</v>
      </c>
      <c r="T123" s="426">
        <f t="shared" si="13"/>
        <v>0</v>
      </c>
      <c r="X123" s="361" t="str">
        <f t="shared" si="15"/>
        <v/>
      </c>
      <c r="Y123" s="20" t="e">
        <f>IF(#REF!="Falta", X123, 0)</f>
        <v>#REF!</v>
      </c>
    </row>
    <row r="124" spans="12:25" ht="18.75" customHeight="1" x14ac:dyDescent="0.35">
      <c r="L124" s="404"/>
      <c r="M124" s="404"/>
      <c r="N124" s="404" t="str">
        <f t="shared" si="12"/>
        <v>NO</v>
      </c>
      <c r="O124" s="404"/>
      <c r="Q124" s="227">
        <f t="shared" si="14"/>
        <v>0</v>
      </c>
      <c r="R124" s="228">
        <f t="shared" si="11"/>
        <v>0</v>
      </c>
      <c r="S124" s="243">
        <f t="shared" si="10"/>
        <v>0</v>
      </c>
      <c r="T124" s="426">
        <f t="shared" si="13"/>
        <v>0</v>
      </c>
      <c r="X124" s="361" t="str">
        <f t="shared" si="15"/>
        <v/>
      </c>
      <c r="Y124" s="20" t="e">
        <f>IF(#REF!="Falta", X124, 0)</f>
        <v>#REF!</v>
      </c>
    </row>
    <row r="125" spans="12:25" ht="18.75" customHeight="1" x14ac:dyDescent="0.35">
      <c r="L125" s="404"/>
      <c r="M125" s="404"/>
      <c r="N125" s="404" t="str">
        <f t="shared" si="12"/>
        <v>NO</v>
      </c>
      <c r="O125" s="404"/>
      <c r="Q125" s="227">
        <f t="shared" si="14"/>
        <v>0</v>
      </c>
      <c r="R125" s="228">
        <f t="shared" si="11"/>
        <v>0</v>
      </c>
      <c r="S125" s="243">
        <f t="shared" si="10"/>
        <v>0</v>
      </c>
      <c r="T125" s="426">
        <f t="shared" si="13"/>
        <v>0</v>
      </c>
      <c r="X125" s="361" t="str">
        <f t="shared" si="15"/>
        <v/>
      </c>
      <c r="Y125" s="20" t="e">
        <f>IF(#REF!="Falta", X125, 0)</f>
        <v>#REF!</v>
      </c>
    </row>
    <row r="126" spans="12:25" ht="18.75" customHeight="1" x14ac:dyDescent="0.35">
      <c r="L126" s="404"/>
      <c r="M126" s="404"/>
      <c r="N126" s="404" t="str">
        <f t="shared" si="12"/>
        <v>NO</v>
      </c>
      <c r="O126" s="404"/>
      <c r="Q126" s="227">
        <f t="shared" si="14"/>
        <v>0</v>
      </c>
      <c r="R126" s="228">
        <f t="shared" si="11"/>
        <v>0</v>
      </c>
      <c r="S126" s="243">
        <f t="shared" si="10"/>
        <v>0</v>
      </c>
      <c r="T126" s="426">
        <f t="shared" si="13"/>
        <v>0</v>
      </c>
      <c r="X126" s="361" t="str">
        <f t="shared" si="15"/>
        <v/>
      </c>
      <c r="Y126" s="20" t="e">
        <f>IF(#REF!="Falta", X126, 0)</f>
        <v>#REF!</v>
      </c>
    </row>
    <row r="127" spans="12:25" ht="18.75" customHeight="1" x14ac:dyDescent="0.35">
      <c r="L127" s="404"/>
      <c r="M127" s="404"/>
      <c r="N127" s="404" t="str">
        <f t="shared" si="12"/>
        <v>NO</v>
      </c>
      <c r="O127" s="404"/>
      <c r="Q127" s="227">
        <f t="shared" si="14"/>
        <v>0</v>
      </c>
      <c r="R127" s="228">
        <f t="shared" si="11"/>
        <v>0</v>
      </c>
      <c r="S127" s="243">
        <f t="shared" si="10"/>
        <v>0</v>
      </c>
      <c r="T127" s="426">
        <f t="shared" si="13"/>
        <v>0</v>
      </c>
      <c r="X127" s="361" t="str">
        <f t="shared" si="15"/>
        <v/>
      </c>
      <c r="Y127" s="20" t="e">
        <f>IF(#REF!="Falta", X127, 0)</f>
        <v>#REF!</v>
      </c>
    </row>
    <row r="128" spans="12:25" ht="18.75" customHeight="1" x14ac:dyDescent="0.35">
      <c r="L128" s="404"/>
      <c r="M128" s="404"/>
      <c r="N128" s="404" t="str">
        <f t="shared" si="12"/>
        <v>NO</v>
      </c>
      <c r="O128" s="404"/>
      <c r="Q128" s="227">
        <f t="shared" si="14"/>
        <v>0</v>
      </c>
      <c r="R128" s="228">
        <f t="shared" si="11"/>
        <v>0</v>
      </c>
      <c r="S128" s="243">
        <f t="shared" si="10"/>
        <v>0</v>
      </c>
      <c r="T128" s="426">
        <f t="shared" si="13"/>
        <v>0</v>
      </c>
      <c r="X128" s="361" t="str">
        <f t="shared" si="15"/>
        <v/>
      </c>
      <c r="Y128" s="20" t="e">
        <f>IF(#REF!="Falta", X128, 0)</f>
        <v>#REF!</v>
      </c>
    </row>
    <row r="129" spans="12:25" ht="18.75" customHeight="1" x14ac:dyDescent="0.35">
      <c r="L129" s="404"/>
      <c r="M129" s="404"/>
      <c r="N129" s="404" t="str">
        <f t="shared" si="12"/>
        <v>NO</v>
      </c>
      <c r="O129" s="404"/>
      <c r="Q129" s="227">
        <f t="shared" si="14"/>
        <v>0</v>
      </c>
      <c r="R129" s="228">
        <f t="shared" si="11"/>
        <v>0</v>
      </c>
      <c r="S129" s="243">
        <f t="shared" ref="S129:S192" si="16">R129*0.05</f>
        <v>0</v>
      </c>
      <c r="T129" s="426">
        <f t="shared" si="13"/>
        <v>0</v>
      </c>
      <c r="X129" s="361" t="str">
        <f t="shared" si="15"/>
        <v/>
      </c>
      <c r="Y129" s="20" t="e">
        <f>IF(#REF!="Falta", X129, 0)</f>
        <v>#REF!</v>
      </c>
    </row>
    <row r="130" spans="12:25" ht="18.75" customHeight="1" x14ac:dyDescent="0.35">
      <c r="L130" s="404"/>
      <c r="M130" s="404"/>
      <c r="N130" s="404" t="str">
        <f t="shared" si="12"/>
        <v>NO</v>
      </c>
      <c r="O130" s="404"/>
      <c r="Q130" s="227">
        <f t="shared" si="14"/>
        <v>0</v>
      </c>
      <c r="R130" s="228">
        <f t="shared" si="11"/>
        <v>0</v>
      </c>
      <c r="S130" s="243">
        <f t="shared" si="16"/>
        <v>0</v>
      </c>
      <c r="T130" s="426">
        <f t="shared" si="13"/>
        <v>0</v>
      </c>
      <c r="X130" s="361" t="str">
        <f t="shared" si="15"/>
        <v/>
      </c>
      <c r="Y130" s="20" t="e">
        <f>IF(#REF!="Falta", X130, 0)</f>
        <v>#REF!</v>
      </c>
    </row>
    <row r="131" spans="12:25" ht="18.75" customHeight="1" x14ac:dyDescent="0.35">
      <c r="L131" s="404"/>
      <c r="M131" s="404"/>
      <c r="N131" s="404" t="str">
        <f t="shared" si="12"/>
        <v>NO</v>
      </c>
      <c r="O131" s="404"/>
      <c r="Q131" s="227">
        <f t="shared" si="14"/>
        <v>0</v>
      </c>
      <c r="R131" s="228">
        <f t="shared" ref="R131:R194" si="17">IF(N131="Si", P131-Q131-L131, P131-Q131)</f>
        <v>0</v>
      </c>
      <c r="S131" s="243">
        <f t="shared" si="16"/>
        <v>0</v>
      </c>
      <c r="T131" s="426">
        <f t="shared" si="13"/>
        <v>0</v>
      </c>
      <c r="X131" s="361" t="str">
        <f t="shared" si="15"/>
        <v/>
      </c>
      <c r="Y131" s="20" t="e">
        <f>IF(#REF!="Falta", X131, 0)</f>
        <v>#REF!</v>
      </c>
    </row>
    <row r="132" spans="12:25" ht="18.75" customHeight="1" x14ac:dyDescent="0.35">
      <c r="L132" s="404"/>
      <c r="M132" s="404"/>
      <c r="N132" s="404" t="str">
        <f t="shared" si="12"/>
        <v>NO</v>
      </c>
      <c r="O132" s="404"/>
      <c r="Q132" s="227">
        <f t="shared" si="14"/>
        <v>0</v>
      </c>
      <c r="R132" s="228">
        <f t="shared" si="17"/>
        <v>0</v>
      </c>
      <c r="S132" s="243">
        <f t="shared" si="16"/>
        <v>0</v>
      </c>
      <c r="T132" s="426">
        <f t="shared" si="13"/>
        <v>0</v>
      </c>
      <c r="X132" s="361" t="str">
        <f t="shared" si="15"/>
        <v/>
      </c>
      <c r="Y132" s="20" t="e">
        <f>IF(#REF!="Falta", X132, 0)</f>
        <v>#REF!</v>
      </c>
    </row>
    <row r="133" spans="12:25" ht="18.75" customHeight="1" x14ac:dyDescent="0.35">
      <c r="L133" s="404"/>
      <c r="M133" s="404"/>
      <c r="N133" s="404" t="str">
        <f t="shared" si="12"/>
        <v>NO</v>
      </c>
      <c r="O133" s="404"/>
      <c r="Q133" s="227">
        <f t="shared" si="14"/>
        <v>0</v>
      </c>
      <c r="R133" s="228">
        <f t="shared" si="17"/>
        <v>0</v>
      </c>
      <c r="S133" s="243">
        <f t="shared" si="16"/>
        <v>0</v>
      </c>
      <c r="T133" s="426">
        <f t="shared" si="13"/>
        <v>0</v>
      </c>
      <c r="X133" s="361" t="str">
        <f t="shared" si="15"/>
        <v/>
      </c>
      <c r="Y133" s="20" t="e">
        <f>IF(#REF!="Falta", X133, 0)</f>
        <v>#REF!</v>
      </c>
    </row>
    <row r="134" spans="12:25" ht="18.75" customHeight="1" x14ac:dyDescent="0.35">
      <c r="L134" s="404"/>
      <c r="M134" s="404"/>
      <c r="N134" s="404" t="str">
        <f t="shared" ref="N134:N197" si="18">IF(O134="Mercado Envíos Flex","SI","NO")</f>
        <v>NO</v>
      </c>
      <c r="O134" s="404"/>
      <c r="Q134" s="227">
        <f t="shared" si="14"/>
        <v>0</v>
      </c>
      <c r="R134" s="228">
        <f t="shared" si="17"/>
        <v>0</v>
      </c>
      <c r="S134" s="243">
        <f t="shared" si="16"/>
        <v>0</v>
      </c>
      <c r="T134" s="426">
        <f t="shared" ref="T134:T197" si="19">R134*$T$2</f>
        <v>0</v>
      </c>
      <c r="X134" s="361" t="str">
        <f t="shared" si="15"/>
        <v/>
      </c>
      <c r="Y134" s="20" t="e">
        <f>IF(#REF!="Falta", X134, 0)</f>
        <v>#REF!</v>
      </c>
    </row>
    <row r="135" spans="12:25" ht="18.75" customHeight="1" x14ac:dyDescent="0.35">
      <c r="L135" s="404"/>
      <c r="M135" s="404"/>
      <c r="N135" s="404" t="str">
        <f t="shared" si="18"/>
        <v>NO</v>
      </c>
      <c r="O135" s="404"/>
      <c r="Q135" s="227">
        <f t="shared" si="14"/>
        <v>0</v>
      </c>
      <c r="R135" s="228">
        <f t="shared" si="17"/>
        <v>0</v>
      </c>
      <c r="S135" s="243">
        <f t="shared" si="16"/>
        <v>0</v>
      </c>
      <c r="T135" s="426">
        <f t="shared" si="19"/>
        <v>0</v>
      </c>
      <c r="X135" s="361" t="str">
        <f t="shared" si="15"/>
        <v/>
      </c>
      <c r="Y135" s="20" t="e">
        <f>IF(#REF!="Falta", X135, 0)</f>
        <v>#REF!</v>
      </c>
    </row>
    <row r="136" spans="12:25" ht="18.75" customHeight="1" x14ac:dyDescent="0.35">
      <c r="L136" s="404"/>
      <c r="M136" s="404"/>
      <c r="N136" s="404" t="str">
        <f t="shared" si="18"/>
        <v>NO</v>
      </c>
      <c r="O136" s="404"/>
      <c r="Q136" s="227">
        <f t="shared" si="14"/>
        <v>0</v>
      </c>
      <c r="R136" s="228">
        <f t="shared" si="17"/>
        <v>0</v>
      </c>
      <c r="S136" s="243">
        <f t="shared" si="16"/>
        <v>0</v>
      </c>
      <c r="T136" s="426">
        <f t="shared" si="19"/>
        <v>0</v>
      </c>
      <c r="X136" s="361" t="str">
        <f t="shared" si="15"/>
        <v/>
      </c>
      <c r="Y136" s="20" t="e">
        <f>IF(#REF!="Falta", X136, 0)</f>
        <v>#REF!</v>
      </c>
    </row>
    <row r="137" spans="12:25" ht="18.75" customHeight="1" x14ac:dyDescent="0.35">
      <c r="L137" s="404"/>
      <c r="M137" s="404"/>
      <c r="N137" s="404" t="str">
        <f t="shared" si="18"/>
        <v>NO</v>
      </c>
      <c r="O137" s="404"/>
      <c r="Q137" s="227">
        <f t="shared" si="14"/>
        <v>0</v>
      </c>
      <c r="R137" s="228">
        <f t="shared" si="17"/>
        <v>0</v>
      </c>
      <c r="S137" s="243">
        <f t="shared" si="16"/>
        <v>0</v>
      </c>
      <c r="T137" s="426">
        <f t="shared" si="19"/>
        <v>0</v>
      </c>
      <c r="X137" s="361" t="str">
        <f t="shared" si="15"/>
        <v/>
      </c>
      <c r="Y137" s="20" t="e">
        <f>IF(#REF!="Falta", X137, 0)</f>
        <v>#REF!</v>
      </c>
    </row>
    <row r="138" spans="12:25" ht="18.75" customHeight="1" x14ac:dyDescent="0.35">
      <c r="L138" s="404"/>
      <c r="M138" s="404"/>
      <c r="N138" s="404" t="str">
        <f t="shared" si="18"/>
        <v>NO</v>
      </c>
      <c r="O138" s="404"/>
      <c r="Q138" s="227">
        <f t="shared" si="14"/>
        <v>0</v>
      </c>
      <c r="R138" s="228">
        <f t="shared" si="17"/>
        <v>0</v>
      </c>
      <c r="S138" s="243">
        <f t="shared" si="16"/>
        <v>0</v>
      </c>
      <c r="T138" s="426">
        <f t="shared" si="19"/>
        <v>0</v>
      </c>
      <c r="X138" s="361" t="str">
        <f t="shared" si="15"/>
        <v/>
      </c>
      <c r="Y138" s="20" t="e">
        <f>IF(#REF!="Falta", X138, 0)</f>
        <v>#REF!</v>
      </c>
    </row>
    <row r="139" spans="12:25" ht="18.75" customHeight="1" x14ac:dyDescent="0.35">
      <c r="L139" s="404"/>
      <c r="M139" s="404"/>
      <c r="N139" s="404" t="str">
        <f t="shared" si="18"/>
        <v>NO</v>
      </c>
      <c r="O139" s="404"/>
      <c r="Q139" s="227">
        <f t="shared" si="14"/>
        <v>0</v>
      </c>
      <c r="R139" s="228">
        <f t="shared" si="17"/>
        <v>0</v>
      </c>
      <c r="S139" s="243">
        <f t="shared" si="16"/>
        <v>0</v>
      </c>
      <c r="T139" s="426">
        <f t="shared" si="19"/>
        <v>0</v>
      </c>
      <c r="X139" s="361" t="str">
        <f t="shared" si="15"/>
        <v/>
      </c>
      <c r="Y139" s="20" t="e">
        <f>IF(#REF!="Falta", X139, 0)</f>
        <v>#REF!</v>
      </c>
    </row>
    <row r="140" spans="12:25" ht="18.75" customHeight="1" x14ac:dyDescent="0.35">
      <c r="L140" s="404"/>
      <c r="M140" s="404"/>
      <c r="N140" s="404" t="str">
        <f t="shared" si="18"/>
        <v>NO</v>
      </c>
      <c r="O140" s="404"/>
      <c r="Q140" s="227">
        <f t="shared" si="14"/>
        <v>0</v>
      </c>
      <c r="R140" s="228">
        <f t="shared" si="17"/>
        <v>0</v>
      </c>
      <c r="S140" s="243">
        <f t="shared" si="16"/>
        <v>0</v>
      </c>
      <c r="T140" s="426">
        <f t="shared" si="19"/>
        <v>0</v>
      </c>
      <c r="X140" s="361" t="str">
        <f t="shared" si="15"/>
        <v/>
      </c>
      <c r="Y140" s="20" t="e">
        <f>IF(#REF!="Falta", X140, 0)</f>
        <v>#REF!</v>
      </c>
    </row>
    <row r="141" spans="12:25" ht="18.75" customHeight="1" x14ac:dyDescent="0.35">
      <c r="L141" s="404"/>
      <c r="M141" s="404"/>
      <c r="N141" s="404" t="str">
        <f t="shared" si="18"/>
        <v>NO</v>
      </c>
      <c r="O141" s="404"/>
      <c r="Q141" s="227">
        <f t="shared" si="14"/>
        <v>0</v>
      </c>
      <c r="R141" s="228">
        <f t="shared" si="17"/>
        <v>0</v>
      </c>
      <c r="S141" s="243">
        <f t="shared" si="16"/>
        <v>0</v>
      </c>
      <c r="T141" s="426">
        <f t="shared" si="19"/>
        <v>0</v>
      </c>
      <c r="X141" s="361" t="str">
        <f t="shared" si="15"/>
        <v/>
      </c>
      <c r="Y141" s="20" t="e">
        <f>IF(#REF!="Falta", X141, 0)</f>
        <v>#REF!</v>
      </c>
    </row>
    <row r="142" spans="12:25" ht="18.75" customHeight="1" x14ac:dyDescent="0.35">
      <c r="L142" s="404"/>
      <c r="M142" s="404"/>
      <c r="N142" s="404" t="str">
        <f t="shared" si="18"/>
        <v>NO</v>
      </c>
      <c r="O142" s="404"/>
      <c r="Q142" s="227">
        <f t="shared" si="14"/>
        <v>0</v>
      </c>
      <c r="R142" s="228">
        <f t="shared" si="17"/>
        <v>0</v>
      </c>
      <c r="S142" s="243">
        <f t="shared" si="16"/>
        <v>0</v>
      </c>
      <c r="T142" s="426">
        <f t="shared" si="19"/>
        <v>0</v>
      </c>
      <c r="X142" s="361" t="str">
        <f t="shared" si="15"/>
        <v/>
      </c>
      <c r="Y142" s="20" t="e">
        <f>IF(#REF!="Falta", X142, 0)</f>
        <v>#REF!</v>
      </c>
    </row>
    <row r="143" spans="12:25" ht="18.75" customHeight="1" x14ac:dyDescent="0.35">
      <c r="L143" s="404"/>
      <c r="M143" s="404"/>
      <c r="N143" s="404" t="str">
        <f t="shared" si="18"/>
        <v>NO</v>
      </c>
      <c r="O143" s="404"/>
      <c r="Q143" s="227">
        <f t="shared" si="14"/>
        <v>0</v>
      </c>
      <c r="R143" s="228">
        <f t="shared" si="17"/>
        <v>0</v>
      </c>
      <c r="S143" s="243">
        <f t="shared" si="16"/>
        <v>0</v>
      </c>
      <c r="T143" s="426">
        <f t="shared" si="19"/>
        <v>0</v>
      </c>
      <c r="X143" s="361" t="str">
        <f t="shared" si="15"/>
        <v/>
      </c>
      <c r="Y143" s="20" t="e">
        <f>IF(#REF!="Falta", X143, 0)</f>
        <v>#REF!</v>
      </c>
    </row>
    <row r="144" spans="12:25" ht="18.75" customHeight="1" x14ac:dyDescent="0.35">
      <c r="L144" s="404"/>
      <c r="M144" s="404"/>
      <c r="N144" s="404" t="str">
        <f t="shared" si="18"/>
        <v>NO</v>
      </c>
      <c r="O144" s="404"/>
      <c r="Q144" s="227">
        <f t="shared" si="14"/>
        <v>0</v>
      </c>
      <c r="R144" s="228">
        <f t="shared" si="17"/>
        <v>0</v>
      </c>
      <c r="S144" s="243">
        <f t="shared" si="16"/>
        <v>0</v>
      </c>
      <c r="T144" s="426">
        <f t="shared" si="19"/>
        <v>0</v>
      </c>
      <c r="X144" s="361" t="str">
        <f t="shared" si="15"/>
        <v/>
      </c>
      <c r="Y144" s="20" t="e">
        <f>IF(#REF!="Falta", X144, 0)</f>
        <v>#REF!</v>
      </c>
    </row>
    <row r="145" spans="12:25" ht="18.75" customHeight="1" x14ac:dyDescent="0.35">
      <c r="L145" s="404"/>
      <c r="M145" s="404"/>
      <c r="N145" s="404" t="str">
        <f t="shared" si="18"/>
        <v>NO</v>
      </c>
      <c r="O145" s="404"/>
      <c r="Q145" s="227">
        <f t="shared" si="14"/>
        <v>0</v>
      </c>
      <c r="R145" s="228">
        <f t="shared" si="17"/>
        <v>0</v>
      </c>
      <c r="S145" s="243">
        <f t="shared" si="16"/>
        <v>0</v>
      </c>
      <c r="T145" s="426">
        <f t="shared" si="19"/>
        <v>0</v>
      </c>
      <c r="X145" s="361" t="str">
        <f t="shared" si="15"/>
        <v/>
      </c>
      <c r="Y145" s="20" t="e">
        <f>IF(#REF!="Falta", X145, 0)</f>
        <v>#REF!</v>
      </c>
    </row>
    <row r="146" spans="12:25" ht="18.75" customHeight="1" x14ac:dyDescent="0.35">
      <c r="L146" s="404"/>
      <c r="M146" s="404"/>
      <c r="N146" s="404" t="str">
        <f t="shared" si="18"/>
        <v>NO</v>
      </c>
      <c r="O146" s="404"/>
      <c r="Q146" s="227">
        <f t="shared" si="14"/>
        <v>0</v>
      </c>
      <c r="R146" s="228">
        <f t="shared" si="17"/>
        <v>0</v>
      </c>
      <c r="S146" s="243">
        <f t="shared" si="16"/>
        <v>0</v>
      </c>
      <c r="T146" s="426">
        <f t="shared" si="19"/>
        <v>0</v>
      </c>
      <c r="X146" s="361" t="str">
        <f t="shared" si="15"/>
        <v/>
      </c>
      <c r="Y146" s="20" t="e">
        <f>IF(#REF!="Falta", X146, 0)</f>
        <v>#REF!</v>
      </c>
    </row>
    <row r="147" spans="12:25" ht="18.75" customHeight="1" x14ac:dyDescent="0.35">
      <c r="L147" s="404"/>
      <c r="M147" s="404"/>
      <c r="N147" s="404" t="str">
        <f t="shared" si="18"/>
        <v>NO</v>
      </c>
      <c r="O147" s="404"/>
      <c r="Q147" s="227">
        <f t="shared" si="14"/>
        <v>0</v>
      </c>
      <c r="R147" s="228">
        <f t="shared" si="17"/>
        <v>0</v>
      </c>
      <c r="S147" s="243">
        <f t="shared" si="16"/>
        <v>0</v>
      </c>
      <c r="T147" s="426">
        <f t="shared" si="19"/>
        <v>0</v>
      </c>
      <c r="X147" s="361" t="str">
        <f t="shared" si="15"/>
        <v/>
      </c>
      <c r="Y147" s="20" t="e">
        <f>IF(#REF!="Falta", X147, 0)</f>
        <v>#REF!</v>
      </c>
    </row>
    <row r="148" spans="12:25" ht="18.75" customHeight="1" x14ac:dyDescent="0.35">
      <c r="L148" s="404"/>
      <c r="M148" s="404"/>
      <c r="N148" s="404" t="str">
        <f t="shared" si="18"/>
        <v>NO</v>
      </c>
      <c r="O148" s="404"/>
      <c r="Q148" s="227">
        <f t="shared" si="14"/>
        <v>0</v>
      </c>
      <c r="R148" s="228">
        <f t="shared" si="17"/>
        <v>0</v>
      </c>
      <c r="S148" s="243">
        <f t="shared" si="16"/>
        <v>0</v>
      </c>
      <c r="T148" s="426">
        <f t="shared" si="19"/>
        <v>0</v>
      </c>
      <c r="X148" s="361" t="str">
        <f t="shared" si="15"/>
        <v/>
      </c>
      <c r="Y148" s="20" t="e">
        <f>IF(#REF!="Falta", X148, 0)</f>
        <v>#REF!</v>
      </c>
    </row>
    <row r="149" spans="12:25" ht="18.75" customHeight="1" x14ac:dyDescent="0.35">
      <c r="L149" s="404"/>
      <c r="M149" s="404"/>
      <c r="N149" s="404" t="str">
        <f t="shared" si="18"/>
        <v>NO</v>
      </c>
      <c r="O149" s="404"/>
      <c r="Q149" s="227">
        <f t="shared" si="14"/>
        <v>0</v>
      </c>
      <c r="R149" s="228">
        <f t="shared" si="17"/>
        <v>0</v>
      </c>
      <c r="S149" s="243">
        <f t="shared" si="16"/>
        <v>0</v>
      </c>
      <c r="T149" s="426">
        <f t="shared" si="19"/>
        <v>0</v>
      </c>
      <c r="X149" s="361" t="str">
        <f t="shared" si="15"/>
        <v/>
      </c>
      <c r="Y149" s="20" t="e">
        <f>IF(#REF!="Falta", X149, 0)</f>
        <v>#REF!</v>
      </c>
    </row>
    <row r="150" spans="12:25" ht="18.75" customHeight="1" x14ac:dyDescent="0.35">
      <c r="L150" s="404"/>
      <c r="M150" s="404"/>
      <c r="N150" s="404" t="str">
        <f t="shared" si="18"/>
        <v>NO</v>
      </c>
      <c r="O150" s="404"/>
      <c r="Q150" s="227">
        <f t="shared" si="14"/>
        <v>0</v>
      </c>
      <c r="R150" s="228">
        <f t="shared" si="17"/>
        <v>0</v>
      </c>
      <c r="S150" s="243">
        <f t="shared" si="16"/>
        <v>0</v>
      </c>
      <c r="T150" s="426">
        <f t="shared" si="19"/>
        <v>0</v>
      </c>
      <c r="X150" s="361" t="str">
        <f t="shared" si="15"/>
        <v/>
      </c>
      <c r="Y150" s="20" t="e">
        <f>IF(#REF!="Falta", X150, 0)</f>
        <v>#REF!</v>
      </c>
    </row>
    <row r="151" spans="12:25" ht="18.75" customHeight="1" x14ac:dyDescent="0.35">
      <c r="L151" s="404"/>
      <c r="M151" s="404"/>
      <c r="N151" s="404" t="str">
        <f t="shared" si="18"/>
        <v>NO</v>
      </c>
      <c r="O151" s="404"/>
      <c r="Q151" s="227">
        <f t="shared" si="14"/>
        <v>0</v>
      </c>
      <c r="R151" s="228">
        <f t="shared" si="17"/>
        <v>0</v>
      </c>
      <c r="S151" s="243">
        <f t="shared" si="16"/>
        <v>0</v>
      </c>
      <c r="T151" s="426">
        <f t="shared" si="19"/>
        <v>0</v>
      </c>
      <c r="X151" s="361" t="str">
        <f t="shared" ref="X151:X182" si="20">IF(OR(F74="D6 Classic",F74="D6 Deluxe",F74="D6 Gold"),6*G74,
 IF(OR(F74="D2",F74="D2 moño"),2*G74,
 IF(F74="Cajita de 4",4*G74,
 IF(OR(F74="Mini Recuerdo",F74="Choco Cintas",F74="Choco Suelto"),1*G74,
 IF(F74="Caja 22 Chocos",22*G74,
 IF(F74="Caja 44 Chocos",44*G74,""))))))</f>
        <v/>
      </c>
      <c r="Y151" s="20" t="e">
        <f>IF(#REF!="Falta", X151, 0)</f>
        <v>#REF!</v>
      </c>
    </row>
    <row r="152" spans="12:25" ht="18.75" customHeight="1" x14ac:dyDescent="0.35">
      <c r="L152" s="404"/>
      <c r="M152" s="404"/>
      <c r="N152" s="404" t="str">
        <f t="shared" si="18"/>
        <v>NO</v>
      </c>
      <c r="O152" s="404"/>
      <c r="Q152" s="227">
        <f t="shared" si="14"/>
        <v>0</v>
      </c>
      <c r="R152" s="228">
        <f t="shared" si="17"/>
        <v>0</v>
      </c>
      <c r="S152" s="243">
        <f t="shared" si="16"/>
        <v>0</v>
      </c>
      <c r="T152" s="426">
        <f t="shared" si="19"/>
        <v>0</v>
      </c>
      <c r="X152" s="361" t="str">
        <f t="shared" si="20"/>
        <v/>
      </c>
      <c r="Y152" s="20" t="e">
        <f>IF(#REF!="Falta", X152, 0)</f>
        <v>#REF!</v>
      </c>
    </row>
    <row r="153" spans="12:25" ht="18.75" customHeight="1" x14ac:dyDescent="0.35">
      <c r="L153" s="404"/>
      <c r="M153" s="404"/>
      <c r="N153" s="404" t="str">
        <f t="shared" si="18"/>
        <v>NO</v>
      </c>
      <c r="O153" s="404"/>
      <c r="Q153" s="227">
        <f t="shared" si="14"/>
        <v>0</v>
      </c>
      <c r="R153" s="228">
        <f t="shared" si="17"/>
        <v>0</v>
      </c>
      <c r="S153" s="243">
        <f t="shared" si="16"/>
        <v>0</v>
      </c>
      <c r="T153" s="426">
        <f t="shared" si="19"/>
        <v>0</v>
      </c>
      <c r="X153" s="361" t="str">
        <f t="shared" si="20"/>
        <v/>
      </c>
      <c r="Y153" s="20" t="e">
        <f>IF(#REF!="Falta", X153, 0)</f>
        <v>#REF!</v>
      </c>
    </row>
    <row r="154" spans="12:25" ht="18.75" customHeight="1" x14ac:dyDescent="0.35">
      <c r="L154" s="404"/>
      <c r="M154" s="404"/>
      <c r="N154" s="404" t="str">
        <f t="shared" si="18"/>
        <v>NO</v>
      </c>
      <c r="O154" s="404"/>
      <c r="Q154" s="227">
        <f t="shared" si="14"/>
        <v>0</v>
      </c>
      <c r="R154" s="228">
        <f t="shared" si="17"/>
        <v>0</v>
      </c>
      <c r="S154" s="243">
        <f t="shared" si="16"/>
        <v>0</v>
      </c>
      <c r="T154" s="426">
        <f t="shared" si="19"/>
        <v>0</v>
      </c>
      <c r="X154" s="361" t="str">
        <f t="shared" si="20"/>
        <v/>
      </c>
      <c r="Y154" s="20" t="e">
        <f>IF(#REF!="Falta", X154, 0)</f>
        <v>#REF!</v>
      </c>
    </row>
    <row r="155" spans="12:25" ht="18.75" customHeight="1" x14ac:dyDescent="0.35">
      <c r="L155" s="404"/>
      <c r="M155" s="404"/>
      <c r="N155" s="404" t="str">
        <f t="shared" si="18"/>
        <v>NO</v>
      </c>
      <c r="O155" s="404"/>
      <c r="Q155" s="227">
        <f t="shared" si="14"/>
        <v>0</v>
      </c>
      <c r="R155" s="228">
        <f t="shared" si="17"/>
        <v>0</v>
      </c>
      <c r="S155" s="243">
        <f t="shared" si="16"/>
        <v>0</v>
      </c>
      <c r="T155" s="426">
        <f t="shared" si="19"/>
        <v>0</v>
      </c>
      <c r="X155" s="361" t="str">
        <f t="shared" si="20"/>
        <v/>
      </c>
      <c r="Y155" s="20" t="e">
        <f>IF(#REF!="Falta", X155, 0)</f>
        <v>#REF!</v>
      </c>
    </row>
    <row r="156" spans="12:25" ht="18.75" customHeight="1" x14ac:dyDescent="0.35">
      <c r="L156" s="404"/>
      <c r="M156" s="404"/>
      <c r="N156" s="404" t="str">
        <f t="shared" si="18"/>
        <v>NO</v>
      </c>
      <c r="O156" s="404"/>
      <c r="Q156" s="227">
        <f t="shared" si="14"/>
        <v>0</v>
      </c>
      <c r="R156" s="228">
        <f t="shared" si="17"/>
        <v>0</v>
      </c>
      <c r="S156" s="243">
        <f t="shared" si="16"/>
        <v>0</v>
      </c>
      <c r="T156" s="426">
        <f t="shared" si="19"/>
        <v>0</v>
      </c>
      <c r="X156" s="361" t="str">
        <f t="shared" si="20"/>
        <v/>
      </c>
      <c r="Y156" s="20" t="e">
        <f>IF(#REF!="Falta", X156, 0)</f>
        <v>#REF!</v>
      </c>
    </row>
    <row r="157" spans="12:25" ht="18.75" customHeight="1" x14ac:dyDescent="0.35">
      <c r="L157" s="404"/>
      <c r="M157" s="404"/>
      <c r="N157" s="404" t="str">
        <f t="shared" si="18"/>
        <v>NO</v>
      </c>
      <c r="O157" s="404"/>
      <c r="Q157" s="227">
        <f t="shared" si="14"/>
        <v>0</v>
      </c>
      <c r="R157" s="228">
        <f t="shared" si="17"/>
        <v>0</v>
      </c>
      <c r="S157" s="243">
        <f t="shared" si="16"/>
        <v>0</v>
      </c>
      <c r="T157" s="426">
        <f t="shared" si="19"/>
        <v>0</v>
      </c>
      <c r="X157" s="361" t="str">
        <f t="shared" si="20"/>
        <v/>
      </c>
      <c r="Y157" s="20" t="e">
        <f>IF(#REF!="Falta", X157, 0)</f>
        <v>#REF!</v>
      </c>
    </row>
    <row r="158" spans="12:25" ht="18.75" customHeight="1" x14ac:dyDescent="0.35">
      <c r="L158" s="404"/>
      <c r="M158" s="404"/>
      <c r="N158" s="404" t="str">
        <f t="shared" si="18"/>
        <v>NO</v>
      </c>
      <c r="O158" s="404"/>
      <c r="Q158" s="227">
        <f t="shared" si="14"/>
        <v>0</v>
      </c>
      <c r="R158" s="228">
        <f t="shared" si="17"/>
        <v>0</v>
      </c>
      <c r="S158" s="243">
        <f t="shared" si="16"/>
        <v>0</v>
      </c>
      <c r="T158" s="426">
        <f t="shared" si="19"/>
        <v>0</v>
      </c>
      <c r="X158" s="361" t="str">
        <f t="shared" si="20"/>
        <v/>
      </c>
      <c r="Y158" s="20" t="e">
        <f>IF(#REF!="Falta", X158, 0)</f>
        <v>#REF!</v>
      </c>
    </row>
    <row r="159" spans="12:25" ht="18.75" customHeight="1" x14ac:dyDescent="0.35">
      <c r="L159" s="404"/>
      <c r="M159" s="404"/>
      <c r="N159" s="404" t="str">
        <f t="shared" si="18"/>
        <v>NO</v>
      </c>
      <c r="O159" s="404"/>
      <c r="Q159" s="227">
        <f t="shared" si="14"/>
        <v>0</v>
      </c>
      <c r="R159" s="228">
        <f t="shared" si="17"/>
        <v>0</v>
      </c>
      <c r="S159" s="243">
        <f t="shared" si="16"/>
        <v>0</v>
      </c>
      <c r="T159" s="426">
        <f t="shared" si="19"/>
        <v>0</v>
      </c>
      <c r="X159" s="361" t="str">
        <f t="shared" si="20"/>
        <v/>
      </c>
      <c r="Y159" s="20" t="e">
        <f>IF(#REF!="Falta", X159, 0)</f>
        <v>#REF!</v>
      </c>
    </row>
    <row r="160" spans="12:25" ht="18.75" customHeight="1" x14ac:dyDescent="0.35">
      <c r="L160" s="404"/>
      <c r="M160" s="404"/>
      <c r="N160" s="404" t="str">
        <f t="shared" si="18"/>
        <v>NO</v>
      </c>
      <c r="O160" s="404"/>
      <c r="Q160" s="227">
        <f t="shared" ref="Q160:Q223" si="21">_xlfn.XLOOKUP(F160, AE:AE, AF:AF) * G160</f>
        <v>0</v>
      </c>
      <c r="R160" s="228">
        <f t="shared" si="17"/>
        <v>0</v>
      </c>
      <c r="S160" s="243">
        <f t="shared" si="16"/>
        <v>0</v>
      </c>
      <c r="T160" s="426">
        <f t="shared" si="19"/>
        <v>0</v>
      </c>
      <c r="X160" s="361" t="str">
        <f t="shared" si="20"/>
        <v/>
      </c>
      <c r="Y160" s="20" t="e">
        <f>IF(#REF!="Falta", X160, 0)</f>
        <v>#REF!</v>
      </c>
    </row>
    <row r="161" spans="12:25" ht="18.75" customHeight="1" x14ac:dyDescent="0.35">
      <c r="L161" s="404"/>
      <c r="M161" s="404"/>
      <c r="N161" s="404" t="str">
        <f t="shared" si="18"/>
        <v>NO</v>
      </c>
      <c r="O161" s="404"/>
      <c r="Q161" s="227">
        <f t="shared" si="21"/>
        <v>0</v>
      </c>
      <c r="R161" s="228">
        <f t="shared" si="17"/>
        <v>0</v>
      </c>
      <c r="S161" s="243">
        <f t="shared" si="16"/>
        <v>0</v>
      </c>
      <c r="T161" s="426">
        <f t="shared" si="19"/>
        <v>0</v>
      </c>
      <c r="X161" s="361" t="str">
        <f t="shared" si="20"/>
        <v/>
      </c>
      <c r="Y161" s="20" t="e">
        <f>IF(#REF!="Falta", X161, 0)</f>
        <v>#REF!</v>
      </c>
    </row>
    <row r="162" spans="12:25" ht="18.75" customHeight="1" x14ac:dyDescent="0.35">
      <c r="L162" s="404"/>
      <c r="M162" s="404"/>
      <c r="N162" s="404" t="str">
        <f t="shared" si="18"/>
        <v>NO</v>
      </c>
      <c r="O162" s="404"/>
      <c r="Q162" s="227">
        <f t="shared" si="21"/>
        <v>0</v>
      </c>
      <c r="R162" s="228">
        <f t="shared" si="17"/>
        <v>0</v>
      </c>
      <c r="S162" s="243">
        <f t="shared" si="16"/>
        <v>0</v>
      </c>
      <c r="T162" s="426">
        <f t="shared" si="19"/>
        <v>0</v>
      </c>
      <c r="X162" s="361" t="str">
        <f t="shared" si="20"/>
        <v/>
      </c>
      <c r="Y162" s="20" t="e">
        <f>IF(#REF!="Falta", X162, 0)</f>
        <v>#REF!</v>
      </c>
    </row>
    <row r="163" spans="12:25" ht="18.75" customHeight="1" x14ac:dyDescent="0.35">
      <c r="L163" s="404"/>
      <c r="M163" s="404"/>
      <c r="N163" s="404" t="str">
        <f t="shared" si="18"/>
        <v>NO</v>
      </c>
      <c r="O163" s="404"/>
      <c r="Q163" s="227">
        <f t="shared" si="21"/>
        <v>0</v>
      </c>
      <c r="R163" s="228">
        <f t="shared" si="17"/>
        <v>0</v>
      </c>
      <c r="S163" s="243">
        <f t="shared" si="16"/>
        <v>0</v>
      </c>
      <c r="T163" s="426">
        <f t="shared" si="19"/>
        <v>0</v>
      </c>
      <c r="X163" s="361" t="str">
        <f t="shared" si="20"/>
        <v/>
      </c>
      <c r="Y163" s="20" t="e">
        <f>IF(#REF!="Falta", X163, 0)</f>
        <v>#REF!</v>
      </c>
    </row>
    <row r="164" spans="12:25" ht="18.75" customHeight="1" x14ac:dyDescent="0.35">
      <c r="L164" s="404"/>
      <c r="M164" s="404"/>
      <c r="N164" s="404" t="str">
        <f t="shared" si="18"/>
        <v>NO</v>
      </c>
      <c r="O164" s="404"/>
      <c r="Q164" s="227">
        <f t="shared" si="21"/>
        <v>0</v>
      </c>
      <c r="R164" s="228">
        <f t="shared" si="17"/>
        <v>0</v>
      </c>
      <c r="S164" s="243">
        <f t="shared" si="16"/>
        <v>0</v>
      </c>
      <c r="T164" s="426">
        <f t="shared" si="19"/>
        <v>0</v>
      </c>
      <c r="X164" s="361" t="str">
        <f t="shared" si="20"/>
        <v/>
      </c>
      <c r="Y164" s="20" t="e">
        <f>IF(#REF!="Falta", X164, 0)</f>
        <v>#REF!</v>
      </c>
    </row>
    <row r="165" spans="12:25" ht="18.75" customHeight="1" x14ac:dyDescent="0.35">
      <c r="L165" s="404"/>
      <c r="M165" s="404"/>
      <c r="N165" s="404" t="str">
        <f t="shared" si="18"/>
        <v>NO</v>
      </c>
      <c r="O165" s="404"/>
      <c r="Q165" s="227">
        <f t="shared" si="21"/>
        <v>0</v>
      </c>
      <c r="R165" s="228">
        <f t="shared" si="17"/>
        <v>0</v>
      </c>
      <c r="S165" s="243">
        <f t="shared" si="16"/>
        <v>0</v>
      </c>
      <c r="T165" s="426">
        <f t="shared" si="19"/>
        <v>0</v>
      </c>
      <c r="X165" s="361" t="str">
        <f t="shared" si="20"/>
        <v/>
      </c>
      <c r="Y165" s="20" t="e">
        <f>IF(#REF!="Falta", X165, 0)</f>
        <v>#REF!</v>
      </c>
    </row>
    <row r="166" spans="12:25" ht="18.75" customHeight="1" x14ac:dyDescent="0.35">
      <c r="L166" s="404"/>
      <c r="M166" s="404"/>
      <c r="N166" s="404" t="str">
        <f t="shared" si="18"/>
        <v>NO</v>
      </c>
      <c r="O166" s="404"/>
      <c r="Q166" s="227">
        <f t="shared" si="21"/>
        <v>0</v>
      </c>
      <c r="R166" s="228">
        <f t="shared" si="17"/>
        <v>0</v>
      </c>
      <c r="S166" s="243">
        <f t="shared" si="16"/>
        <v>0</v>
      </c>
      <c r="T166" s="426">
        <f t="shared" si="19"/>
        <v>0</v>
      </c>
      <c r="X166" s="361" t="str">
        <f t="shared" si="20"/>
        <v/>
      </c>
      <c r="Y166" s="20" t="e">
        <f>IF(#REF!="Falta", X166, 0)</f>
        <v>#REF!</v>
      </c>
    </row>
    <row r="167" spans="12:25" ht="18.75" customHeight="1" x14ac:dyDescent="0.35">
      <c r="L167" s="404"/>
      <c r="M167" s="404"/>
      <c r="N167" s="404" t="str">
        <f t="shared" si="18"/>
        <v>NO</v>
      </c>
      <c r="O167" s="404"/>
      <c r="Q167" s="227">
        <f t="shared" si="21"/>
        <v>0</v>
      </c>
      <c r="R167" s="228">
        <f t="shared" si="17"/>
        <v>0</v>
      </c>
      <c r="S167" s="243">
        <f t="shared" si="16"/>
        <v>0</v>
      </c>
      <c r="T167" s="426">
        <f t="shared" si="19"/>
        <v>0</v>
      </c>
      <c r="X167" s="361" t="str">
        <f t="shared" si="20"/>
        <v/>
      </c>
      <c r="Y167" s="20" t="e">
        <f>IF(#REF!="Falta", X167, 0)</f>
        <v>#REF!</v>
      </c>
    </row>
    <row r="168" spans="12:25" ht="18.75" customHeight="1" x14ac:dyDescent="0.35">
      <c r="L168" s="404"/>
      <c r="M168" s="404"/>
      <c r="N168" s="404" t="str">
        <f t="shared" si="18"/>
        <v>NO</v>
      </c>
      <c r="Q168" s="227">
        <f t="shared" si="21"/>
        <v>0</v>
      </c>
      <c r="R168" s="228">
        <f t="shared" si="17"/>
        <v>0</v>
      </c>
      <c r="S168" s="243">
        <f t="shared" si="16"/>
        <v>0</v>
      </c>
      <c r="T168" s="426">
        <f t="shared" si="19"/>
        <v>0</v>
      </c>
      <c r="X168" s="361" t="str">
        <f t="shared" si="20"/>
        <v/>
      </c>
      <c r="Y168" s="20" t="e">
        <f>IF(#REF!="Falta", X168, 0)</f>
        <v>#REF!</v>
      </c>
    </row>
    <row r="169" spans="12:25" ht="18.75" customHeight="1" x14ac:dyDescent="0.35">
      <c r="L169" s="404"/>
      <c r="M169" s="404"/>
      <c r="N169" s="404" t="str">
        <f t="shared" si="18"/>
        <v>NO</v>
      </c>
      <c r="Q169" s="227">
        <f t="shared" si="21"/>
        <v>0</v>
      </c>
      <c r="R169" s="228">
        <f t="shared" si="17"/>
        <v>0</v>
      </c>
      <c r="S169" s="243">
        <f t="shared" si="16"/>
        <v>0</v>
      </c>
      <c r="T169" s="426">
        <f t="shared" si="19"/>
        <v>0</v>
      </c>
      <c r="X169" s="361" t="str">
        <f t="shared" si="20"/>
        <v/>
      </c>
      <c r="Y169" s="20" t="e">
        <f>IF(#REF!="Falta", X169, 0)</f>
        <v>#REF!</v>
      </c>
    </row>
    <row r="170" spans="12:25" ht="18.75" customHeight="1" x14ac:dyDescent="0.35">
      <c r="L170" s="404"/>
      <c r="M170" s="404"/>
      <c r="N170" s="404" t="str">
        <f t="shared" si="18"/>
        <v>NO</v>
      </c>
      <c r="Q170" s="227">
        <f t="shared" si="21"/>
        <v>0</v>
      </c>
      <c r="R170" s="228">
        <f t="shared" si="17"/>
        <v>0</v>
      </c>
      <c r="S170" s="243">
        <f t="shared" si="16"/>
        <v>0</v>
      </c>
      <c r="T170" s="426">
        <f t="shared" si="19"/>
        <v>0</v>
      </c>
      <c r="X170" s="361" t="str">
        <f t="shared" si="20"/>
        <v/>
      </c>
      <c r="Y170" s="20" t="e">
        <f>IF(#REF!="Falta", X170, 0)</f>
        <v>#REF!</v>
      </c>
    </row>
    <row r="171" spans="12:25" ht="18.75" customHeight="1" x14ac:dyDescent="0.35">
      <c r="L171" s="404"/>
      <c r="M171" s="404"/>
      <c r="N171" s="404" t="str">
        <f t="shared" si="18"/>
        <v>NO</v>
      </c>
      <c r="Q171" s="227">
        <f t="shared" si="21"/>
        <v>0</v>
      </c>
      <c r="R171" s="228">
        <f t="shared" si="17"/>
        <v>0</v>
      </c>
      <c r="S171" s="243">
        <f t="shared" si="16"/>
        <v>0</v>
      </c>
      <c r="T171" s="426">
        <f t="shared" si="19"/>
        <v>0</v>
      </c>
      <c r="X171" s="361" t="str">
        <f t="shared" si="20"/>
        <v/>
      </c>
      <c r="Y171" s="20" t="e">
        <f>IF(#REF!="Falta", X171, 0)</f>
        <v>#REF!</v>
      </c>
    </row>
    <row r="172" spans="12:25" ht="18.75" customHeight="1" x14ac:dyDescent="0.35">
      <c r="L172" s="404"/>
      <c r="M172" s="404"/>
      <c r="N172" s="404" t="str">
        <f t="shared" si="18"/>
        <v>NO</v>
      </c>
      <c r="Q172" s="227">
        <f t="shared" si="21"/>
        <v>0</v>
      </c>
      <c r="R172" s="228">
        <f t="shared" si="17"/>
        <v>0</v>
      </c>
      <c r="S172" s="243">
        <f t="shared" si="16"/>
        <v>0</v>
      </c>
      <c r="T172" s="426">
        <f t="shared" si="19"/>
        <v>0</v>
      </c>
      <c r="X172" s="361" t="str">
        <f t="shared" si="20"/>
        <v/>
      </c>
      <c r="Y172" s="20" t="e">
        <f>IF(#REF!="Falta", X172, 0)</f>
        <v>#REF!</v>
      </c>
    </row>
    <row r="173" spans="12:25" ht="18.75" customHeight="1" x14ac:dyDescent="0.35">
      <c r="L173" s="404"/>
      <c r="M173" s="404"/>
      <c r="N173" s="404" t="str">
        <f t="shared" si="18"/>
        <v>NO</v>
      </c>
      <c r="Q173" s="227">
        <f t="shared" si="21"/>
        <v>0</v>
      </c>
      <c r="R173" s="228">
        <f t="shared" si="17"/>
        <v>0</v>
      </c>
      <c r="S173" s="243">
        <f t="shared" si="16"/>
        <v>0</v>
      </c>
      <c r="T173" s="426">
        <f t="shared" si="19"/>
        <v>0</v>
      </c>
      <c r="X173" s="361" t="str">
        <f t="shared" si="20"/>
        <v/>
      </c>
      <c r="Y173" s="20" t="e">
        <f>IF(#REF!="Falta", X173, 0)</f>
        <v>#REF!</v>
      </c>
    </row>
    <row r="174" spans="12:25" ht="18.75" customHeight="1" x14ac:dyDescent="0.35">
      <c r="L174" s="404"/>
      <c r="M174" s="404"/>
      <c r="N174" s="404" t="str">
        <f t="shared" si="18"/>
        <v>NO</v>
      </c>
      <c r="Q174" s="227">
        <f t="shared" si="21"/>
        <v>0</v>
      </c>
      <c r="R174" s="228">
        <f t="shared" si="17"/>
        <v>0</v>
      </c>
      <c r="S174" s="243">
        <f t="shared" si="16"/>
        <v>0</v>
      </c>
      <c r="T174" s="426">
        <f t="shared" si="19"/>
        <v>0</v>
      </c>
      <c r="X174" s="361" t="str">
        <f t="shared" si="20"/>
        <v/>
      </c>
      <c r="Y174" s="20" t="e">
        <f>IF(#REF!="Falta", X174, 0)</f>
        <v>#REF!</v>
      </c>
    </row>
    <row r="175" spans="12:25" ht="18.75" customHeight="1" x14ac:dyDescent="0.35">
      <c r="L175" s="404"/>
      <c r="M175" s="404"/>
      <c r="N175" s="404" t="str">
        <f t="shared" si="18"/>
        <v>NO</v>
      </c>
      <c r="Q175" s="227">
        <f t="shared" si="21"/>
        <v>0</v>
      </c>
      <c r="R175" s="228">
        <f t="shared" si="17"/>
        <v>0</v>
      </c>
      <c r="S175" s="243">
        <f t="shared" si="16"/>
        <v>0</v>
      </c>
      <c r="T175" s="426">
        <f t="shared" si="19"/>
        <v>0</v>
      </c>
      <c r="X175" s="361" t="str">
        <f t="shared" si="20"/>
        <v/>
      </c>
      <c r="Y175" s="20" t="e">
        <f>IF(#REF!="Falta", X175, 0)</f>
        <v>#REF!</v>
      </c>
    </row>
    <row r="176" spans="12:25" ht="18.75" customHeight="1" x14ac:dyDescent="0.35">
      <c r="L176" s="404"/>
      <c r="M176" s="404"/>
      <c r="N176" s="404" t="str">
        <f t="shared" si="18"/>
        <v>NO</v>
      </c>
      <c r="Q176" s="227">
        <f t="shared" si="21"/>
        <v>0</v>
      </c>
      <c r="R176" s="228">
        <f t="shared" si="17"/>
        <v>0</v>
      </c>
      <c r="S176" s="243">
        <f t="shared" si="16"/>
        <v>0</v>
      </c>
      <c r="T176" s="426">
        <f t="shared" si="19"/>
        <v>0</v>
      </c>
      <c r="X176" s="361" t="str">
        <f t="shared" si="20"/>
        <v/>
      </c>
      <c r="Y176" s="20" t="e">
        <f>IF(#REF!="Falta", X176, 0)</f>
        <v>#REF!</v>
      </c>
    </row>
    <row r="177" spans="12:25" ht="18.75" customHeight="1" x14ac:dyDescent="0.35">
      <c r="L177" s="404"/>
      <c r="M177" s="404"/>
      <c r="N177" s="404" t="str">
        <f t="shared" si="18"/>
        <v>NO</v>
      </c>
      <c r="Q177" s="227">
        <f t="shared" si="21"/>
        <v>0</v>
      </c>
      <c r="R177" s="228">
        <f t="shared" si="17"/>
        <v>0</v>
      </c>
      <c r="S177" s="243">
        <f t="shared" si="16"/>
        <v>0</v>
      </c>
      <c r="T177" s="426">
        <f t="shared" si="19"/>
        <v>0</v>
      </c>
      <c r="X177" s="361" t="str">
        <f t="shared" si="20"/>
        <v/>
      </c>
      <c r="Y177" s="20" t="e">
        <f>IF(#REF!="Falta", X177, 0)</f>
        <v>#REF!</v>
      </c>
    </row>
    <row r="178" spans="12:25" ht="18.75" customHeight="1" x14ac:dyDescent="0.35">
      <c r="L178" s="404"/>
      <c r="M178" s="404"/>
      <c r="N178" s="404" t="str">
        <f t="shared" si="18"/>
        <v>NO</v>
      </c>
      <c r="Q178" s="227">
        <f t="shared" si="21"/>
        <v>0</v>
      </c>
      <c r="R178" s="228">
        <f t="shared" si="17"/>
        <v>0</v>
      </c>
      <c r="S178" s="243">
        <f t="shared" si="16"/>
        <v>0</v>
      </c>
      <c r="T178" s="426">
        <f t="shared" si="19"/>
        <v>0</v>
      </c>
      <c r="X178" s="361" t="str">
        <f t="shared" si="20"/>
        <v/>
      </c>
      <c r="Y178" s="20" t="e">
        <f>IF(#REF!="Falta", X178, 0)</f>
        <v>#REF!</v>
      </c>
    </row>
    <row r="179" spans="12:25" ht="18.75" customHeight="1" x14ac:dyDescent="0.35">
      <c r="L179" s="404"/>
      <c r="M179" s="404"/>
      <c r="N179" s="404" t="str">
        <f t="shared" si="18"/>
        <v>NO</v>
      </c>
      <c r="Q179" s="227">
        <f t="shared" si="21"/>
        <v>0</v>
      </c>
      <c r="R179" s="228">
        <f t="shared" si="17"/>
        <v>0</v>
      </c>
      <c r="S179" s="243">
        <f t="shared" si="16"/>
        <v>0</v>
      </c>
      <c r="T179" s="426">
        <f t="shared" si="19"/>
        <v>0</v>
      </c>
      <c r="X179" s="361" t="str">
        <f t="shared" si="20"/>
        <v/>
      </c>
      <c r="Y179" s="20" t="e">
        <f>IF(#REF!="Falta", X179, 0)</f>
        <v>#REF!</v>
      </c>
    </row>
    <row r="180" spans="12:25" ht="18.75" customHeight="1" x14ac:dyDescent="0.35">
      <c r="L180" s="404"/>
      <c r="M180" s="404"/>
      <c r="N180" s="404" t="str">
        <f t="shared" si="18"/>
        <v>NO</v>
      </c>
      <c r="Q180" s="227">
        <f t="shared" si="21"/>
        <v>0</v>
      </c>
      <c r="R180" s="228">
        <f t="shared" si="17"/>
        <v>0</v>
      </c>
      <c r="S180" s="243">
        <f t="shared" si="16"/>
        <v>0</v>
      </c>
      <c r="T180" s="426">
        <f t="shared" si="19"/>
        <v>0</v>
      </c>
      <c r="X180" s="361" t="str">
        <f t="shared" si="20"/>
        <v/>
      </c>
      <c r="Y180" s="20" t="e">
        <f>IF(#REF!="Falta", X180, 0)</f>
        <v>#REF!</v>
      </c>
    </row>
    <row r="181" spans="12:25" ht="18.75" customHeight="1" x14ac:dyDescent="0.35">
      <c r="L181" s="404"/>
      <c r="M181" s="404"/>
      <c r="N181" s="404" t="str">
        <f t="shared" si="18"/>
        <v>NO</v>
      </c>
      <c r="Q181" s="227">
        <f t="shared" si="21"/>
        <v>0</v>
      </c>
      <c r="R181" s="228">
        <f t="shared" si="17"/>
        <v>0</v>
      </c>
      <c r="S181" s="243">
        <f t="shared" si="16"/>
        <v>0</v>
      </c>
      <c r="T181" s="426">
        <f t="shared" si="19"/>
        <v>0</v>
      </c>
      <c r="X181" s="361" t="str">
        <f t="shared" si="20"/>
        <v/>
      </c>
      <c r="Y181" s="20" t="e">
        <f>IF(#REF!="Falta", X181, 0)</f>
        <v>#REF!</v>
      </c>
    </row>
    <row r="182" spans="12:25" ht="18.75" customHeight="1" x14ac:dyDescent="0.35">
      <c r="L182" s="404"/>
      <c r="M182" s="404"/>
      <c r="N182" s="404" t="str">
        <f t="shared" si="18"/>
        <v>NO</v>
      </c>
      <c r="Q182" s="227">
        <f t="shared" si="21"/>
        <v>0</v>
      </c>
      <c r="R182" s="228">
        <f t="shared" si="17"/>
        <v>0</v>
      </c>
      <c r="S182" s="243">
        <f t="shared" si="16"/>
        <v>0</v>
      </c>
      <c r="T182" s="426">
        <f t="shared" si="19"/>
        <v>0</v>
      </c>
      <c r="X182" s="361" t="str">
        <f t="shared" si="20"/>
        <v/>
      </c>
      <c r="Y182" s="20" t="e">
        <f>IF(#REF!="Falta", X182, 0)</f>
        <v>#REF!</v>
      </c>
    </row>
    <row r="183" spans="12:25" ht="18.75" customHeight="1" x14ac:dyDescent="0.35">
      <c r="L183" s="404"/>
      <c r="M183" s="404"/>
      <c r="N183" s="404" t="str">
        <f t="shared" si="18"/>
        <v>NO</v>
      </c>
      <c r="Q183" s="227">
        <f t="shared" si="21"/>
        <v>0</v>
      </c>
      <c r="R183" s="228">
        <f t="shared" si="17"/>
        <v>0</v>
      </c>
      <c r="S183" s="243">
        <f t="shared" si="16"/>
        <v>0</v>
      </c>
      <c r="T183" s="426">
        <f t="shared" si="19"/>
        <v>0</v>
      </c>
      <c r="X183" s="361" t="str">
        <f t="shared" ref="X183:X191" si="22">IF(OR(F106="D6 Classic",F106="D6 Deluxe",F106="D6 Gold"),6*G106,
 IF(OR(F106="D2",F106="D2 moño"),2*G106,
 IF(F106="Cajita de 4",4*G106,
 IF(OR(F106="Mini Recuerdo",F106="Choco Cintas",F106="Choco Suelto"),1*G106,
 IF(F106="Caja 22 Chocos",22*G106,
 IF(F106="Caja 44 Chocos",44*G106,""))))))</f>
        <v/>
      </c>
      <c r="Y183" s="20" t="e">
        <f>IF(#REF!="Falta", X183, 0)</f>
        <v>#REF!</v>
      </c>
    </row>
    <row r="184" spans="12:25" ht="18.75" customHeight="1" x14ac:dyDescent="0.35">
      <c r="L184" s="404"/>
      <c r="M184" s="404"/>
      <c r="N184" s="404" t="str">
        <f t="shared" si="18"/>
        <v>NO</v>
      </c>
      <c r="Q184" s="227">
        <f t="shared" si="21"/>
        <v>0</v>
      </c>
      <c r="R184" s="228">
        <f t="shared" si="17"/>
        <v>0</v>
      </c>
      <c r="S184" s="243">
        <f t="shared" si="16"/>
        <v>0</v>
      </c>
      <c r="T184" s="426">
        <f t="shared" si="19"/>
        <v>0</v>
      </c>
      <c r="X184" s="361" t="str">
        <f t="shared" si="22"/>
        <v/>
      </c>
      <c r="Y184" s="20" t="e">
        <f>IF(#REF!="Falta", X184, 0)</f>
        <v>#REF!</v>
      </c>
    </row>
    <row r="185" spans="12:25" ht="18.75" customHeight="1" x14ac:dyDescent="0.35">
      <c r="L185" s="404"/>
      <c r="M185" s="404"/>
      <c r="N185" s="404" t="str">
        <f t="shared" si="18"/>
        <v>NO</v>
      </c>
      <c r="Q185" s="227">
        <f t="shared" si="21"/>
        <v>0</v>
      </c>
      <c r="R185" s="228">
        <f t="shared" si="17"/>
        <v>0</v>
      </c>
      <c r="S185" s="243">
        <f t="shared" si="16"/>
        <v>0</v>
      </c>
      <c r="T185" s="426">
        <f t="shared" si="19"/>
        <v>0</v>
      </c>
      <c r="X185" s="361" t="str">
        <f t="shared" si="22"/>
        <v/>
      </c>
      <c r="Y185" s="20" t="e">
        <f>IF(#REF!="Falta", X185, 0)</f>
        <v>#REF!</v>
      </c>
    </row>
    <row r="186" spans="12:25" ht="18.75" customHeight="1" x14ac:dyDescent="0.35">
      <c r="L186" s="404"/>
      <c r="M186" s="404"/>
      <c r="N186" s="404" t="str">
        <f t="shared" si="18"/>
        <v>NO</v>
      </c>
      <c r="Q186" s="227">
        <f t="shared" si="21"/>
        <v>0</v>
      </c>
      <c r="R186" s="228">
        <f t="shared" si="17"/>
        <v>0</v>
      </c>
      <c r="S186" s="243">
        <f t="shared" si="16"/>
        <v>0</v>
      </c>
      <c r="T186" s="426">
        <f t="shared" si="19"/>
        <v>0</v>
      </c>
      <c r="X186" s="361" t="str">
        <f t="shared" si="22"/>
        <v/>
      </c>
      <c r="Y186" s="20" t="e">
        <f>IF(#REF!="Falta", X186, 0)</f>
        <v>#REF!</v>
      </c>
    </row>
    <row r="187" spans="12:25" ht="18.75" customHeight="1" x14ac:dyDescent="0.35">
      <c r="L187" s="404"/>
      <c r="M187" s="404"/>
      <c r="N187" s="404" t="str">
        <f t="shared" si="18"/>
        <v>NO</v>
      </c>
      <c r="Q187" s="227">
        <f t="shared" si="21"/>
        <v>0</v>
      </c>
      <c r="R187" s="228">
        <f t="shared" si="17"/>
        <v>0</v>
      </c>
      <c r="S187" s="243">
        <f t="shared" si="16"/>
        <v>0</v>
      </c>
      <c r="T187" s="426">
        <f t="shared" si="19"/>
        <v>0</v>
      </c>
      <c r="X187" s="361" t="str">
        <f t="shared" si="22"/>
        <v/>
      </c>
      <c r="Y187" s="20" t="e">
        <f>IF(#REF!="Falta", X187, 0)</f>
        <v>#REF!</v>
      </c>
    </row>
    <row r="188" spans="12:25" ht="18.75" customHeight="1" x14ac:dyDescent="0.35">
      <c r="L188" s="404"/>
      <c r="M188" s="404"/>
      <c r="N188" s="404" t="str">
        <f t="shared" si="18"/>
        <v>NO</v>
      </c>
      <c r="Q188" s="227">
        <f t="shared" si="21"/>
        <v>0</v>
      </c>
      <c r="R188" s="228">
        <f t="shared" si="17"/>
        <v>0</v>
      </c>
      <c r="S188" s="243">
        <f t="shared" si="16"/>
        <v>0</v>
      </c>
      <c r="T188" s="426">
        <f t="shared" si="19"/>
        <v>0</v>
      </c>
      <c r="X188" s="361" t="str">
        <f t="shared" si="22"/>
        <v/>
      </c>
      <c r="Y188" s="20" t="e">
        <f>IF(#REF!="Falta", X188, 0)</f>
        <v>#REF!</v>
      </c>
    </row>
    <row r="189" spans="12:25" ht="18.75" customHeight="1" x14ac:dyDescent="0.35">
      <c r="L189" s="404"/>
      <c r="M189" s="404"/>
      <c r="N189" s="404" t="str">
        <f t="shared" si="18"/>
        <v>NO</v>
      </c>
      <c r="Q189" s="227">
        <f t="shared" si="21"/>
        <v>0</v>
      </c>
      <c r="R189" s="228">
        <f t="shared" si="17"/>
        <v>0</v>
      </c>
      <c r="S189" s="243">
        <f t="shared" si="16"/>
        <v>0</v>
      </c>
      <c r="T189" s="426">
        <f t="shared" si="19"/>
        <v>0</v>
      </c>
      <c r="X189" s="361" t="str">
        <f t="shared" si="22"/>
        <v/>
      </c>
      <c r="Y189" s="20" t="e">
        <f>IF(#REF!="Falta", X189, 0)</f>
        <v>#REF!</v>
      </c>
    </row>
    <row r="190" spans="12:25" ht="18.75" customHeight="1" x14ac:dyDescent="0.35">
      <c r="L190" s="404"/>
      <c r="M190" s="404"/>
      <c r="N190" s="404" t="str">
        <f t="shared" si="18"/>
        <v>NO</v>
      </c>
      <c r="Q190" s="227">
        <f t="shared" si="21"/>
        <v>0</v>
      </c>
      <c r="R190" s="228">
        <f t="shared" si="17"/>
        <v>0</v>
      </c>
      <c r="S190" s="243">
        <f t="shared" si="16"/>
        <v>0</v>
      </c>
      <c r="T190" s="426">
        <f t="shared" si="19"/>
        <v>0</v>
      </c>
      <c r="X190" s="361" t="str">
        <f t="shared" si="22"/>
        <v/>
      </c>
      <c r="Y190" s="20" t="e">
        <f>IF(#REF!="Falta", X190, 0)</f>
        <v>#REF!</v>
      </c>
    </row>
    <row r="191" spans="12:25" ht="18.75" customHeight="1" x14ac:dyDescent="0.35">
      <c r="L191" s="404"/>
      <c r="M191" s="404"/>
      <c r="N191" s="404" t="str">
        <f t="shared" si="18"/>
        <v>NO</v>
      </c>
      <c r="Q191" s="227">
        <f t="shared" si="21"/>
        <v>0</v>
      </c>
      <c r="R191" s="228">
        <f t="shared" si="17"/>
        <v>0</v>
      </c>
      <c r="S191" s="243">
        <f t="shared" si="16"/>
        <v>0</v>
      </c>
      <c r="T191" s="426">
        <f t="shared" si="19"/>
        <v>0</v>
      </c>
      <c r="X191" s="361" t="str">
        <f t="shared" si="22"/>
        <v/>
      </c>
      <c r="Y191" s="20" t="e">
        <f>IF(#REF!="Falta", X191, 0)</f>
        <v>#REF!</v>
      </c>
    </row>
    <row r="192" spans="12:25" ht="18.75" customHeight="1" x14ac:dyDescent="0.35">
      <c r="L192" s="404"/>
      <c r="M192" s="404"/>
      <c r="N192" s="404" t="str">
        <f t="shared" si="18"/>
        <v>NO</v>
      </c>
      <c r="Q192" s="227">
        <f t="shared" si="21"/>
        <v>0</v>
      </c>
      <c r="R192" s="228">
        <f t="shared" si="17"/>
        <v>0</v>
      </c>
      <c r="S192" s="243">
        <f t="shared" si="16"/>
        <v>0</v>
      </c>
      <c r="T192" s="426">
        <f t="shared" si="19"/>
        <v>0</v>
      </c>
    </row>
    <row r="193" spans="1:42" ht="18.75" customHeight="1" x14ac:dyDescent="0.35">
      <c r="L193" s="404"/>
      <c r="M193" s="404"/>
      <c r="N193" s="404" t="str">
        <f t="shared" si="18"/>
        <v>NO</v>
      </c>
      <c r="Q193" s="227">
        <f t="shared" si="21"/>
        <v>0</v>
      </c>
      <c r="R193" s="228">
        <f t="shared" si="17"/>
        <v>0</v>
      </c>
      <c r="S193" s="243">
        <f t="shared" ref="S193:S256" si="23">R193*0.05</f>
        <v>0</v>
      </c>
      <c r="T193" s="426">
        <f t="shared" si="19"/>
        <v>0</v>
      </c>
    </row>
    <row r="194" spans="1:42" ht="18.75" customHeight="1" x14ac:dyDescent="0.35">
      <c r="L194" s="404"/>
      <c r="M194" s="404"/>
      <c r="N194" s="404" t="str">
        <f t="shared" si="18"/>
        <v>NO</v>
      </c>
      <c r="Q194" s="227">
        <f t="shared" si="21"/>
        <v>0</v>
      </c>
      <c r="R194" s="228">
        <f t="shared" si="17"/>
        <v>0</v>
      </c>
      <c r="S194" s="243">
        <f t="shared" si="23"/>
        <v>0</v>
      </c>
      <c r="T194" s="426">
        <f t="shared" si="19"/>
        <v>0</v>
      </c>
    </row>
    <row r="195" spans="1:42" ht="18.75" customHeight="1" x14ac:dyDescent="0.35">
      <c r="L195" s="404"/>
      <c r="M195" s="404"/>
      <c r="N195" s="404" t="str">
        <f t="shared" si="18"/>
        <v>NO</v>
      </c>
      <c r="Q195" s="227">
        <f t="shared" si="21"/>
        <v>0</v>
      </c>
      <c r="R195" s="228">
        <f t="shared" ref="R195:R258" si="24">IF(N195="Si", P195-Q195-L195, P195-Q195)</f>
        <v>0</v>
      </c>
      <c r="S195" s="243">
        <f t="shared" si="23"/>
        <v>0</v>
      </c>
      <c r="T195" s="426">
        <f t="shared" si="19"/>
        <v>0</v>
      </c>
    </row>
    <row r="196" spans="1:42" ht="18.75" customHeight="1" x14ac:dyDescent="0.35">
      <c r="L196" s="404"/>
      <c r="M196" s="404"/>
      <c r="N196" s="404" t="str">
        <f t="shared" si="18"/>
        <v>NO</v>
      </c>
      <c r="Q196" s="227">
        <f t="shared" si="21"/>
        <v>0</v>
      </c>
      <c r="R196" s="228">
        <f t="shared" si="24"/>
        <v>0</v>
      </c>
      <c r="S196" s="243">
        <f t="shared" si="23"/>
        <v>0</v>
      </c>
      <c r="T196" s="426">
        <f t="shared" si="19"/>
        <v>0</v>
      </c>
    </row>
    <row r="197" spans="1:42" ht="18.75" customHeight="1" x14ac:dyDescent="0.35">
      <c r="L197" s="404"/>
      <c r="M197" s="404"/>
      <c r="N197" s="404" t="str">
        <f t="shared" si="18"/>
        <v>NO</v>
      </c>
      <c r="Q197" s="227">
        <f t="shared" si="21"/>
        <v>0</v>
      </c>
      <c r="R197" s="228">
        <f t="shared" si="24"/>
        <v>0</v>
      </c>
      <c r="S197" s="243">
        <f t="shared" si="23"/>
        <v>0</v>
      </c>
      <c r="T197" s="426">
        <f t="shared" si="19"/>
        <v>0</v>
      </c>
    </row>
    <row r="198" spans="1:42" ht="18.75" customHeight="1" x14ac:dyDescent="0.35">
      <c r="L198" s="404"/>
      <c r="M198" s="404"/>
      <c r="N198" s="404" t="str">
        <f t="shared" ref="N198:N261" si="25">IF(O198="Mercado Envíos Flex","SI","NO")</f>
        <v>NO</v>
      </c>
      <c r="Q198" s="227">
        <f t="shared" si="21"/>
        <v>0</v>
      </c>
      <c r="R198" s="228">
        <f t="shared" si="24"/>
        <v>0</v>
      </c>
      <c r="S198" s="243">
        <f t="shared" si="23"/>
        <v>0</v>
      </c>
      <c r="T198" s="426">
        <f t="shared" ref="T198:T261" si="26">R198*$T$2</f>
        <v>0</v>
      </c>
    </row>
    <row r="199" spans="1:42" ht="18.75" customHeight="1" x14ac:dyDescent="0.35">
      <c r="L199" s="404"/>
      <c r="M199" s="404"/>
      <c r="N199" s="404" t="str">
        <f t="shared" si="25"/>
        <v>NO</v>
      </c>
      <c r="Q199" s="227">
        <f t="shared" si="21"/>
        <v>0</v>
      </c>
      <c r="R199" s="228">
        <f t="shared" si="24"/>
        <v>0</v>
      </c>
      <c r="S199" s="243">
        <f t="shared" si="23"/>
        <v>0</v>
      </c>
      <c r="T199" s="426">
        <f t="shared" si="26"/>
        <v>0</v>
      </c>
    </row>
    <row r="200" spans="1:42" s="238" customFormat="1" ht="18.75" customHeight="1" x14ac:dyDescent="0.35">
      <c r="A200" s="195"/>
      <c r="B200" s="254"/>
      <c r="C200" s="399"/>
      <c r="D200" s="3"/>
      <c r="E200" s="3"/>
      <c r="F200" s="20"/>
      <c r="G200" s="20"/>
      <c r="H200" s="255"/>
      <c r="I200" s="392"/>
      <c r="J200" s="392"/>
      <c r="K200" s="392"/>
      <c r="L200" s="404"/>
      <c r="M200" s="404"/>
      <c r="N200" s="404" t="str">
        <f t="shared" si="25"/>
        <v>NO</v>
      </c>
      <c r="O200" s="255"/>
      <c r="P200" s="204"/>
      <c r="Q200" s="227">
        <f t="shared" si="21"/>
        <v>0</v>
      </c>
      <c r="R200" s="228">
        <f t="shared" si="24"/>
        <v>0</v>
      </c>
      <c r="S200" s="243">
        <f t="shared" si="23"/>
        <v>0</v>
      </c>
      <c r="T200" s="426">
        <f t="shared" si="26"/>
        <v>0</v>
      </c>
      <c r="V200" s="20"/>
      <c r="W200" s="20"/>
      <c r="X200" s="361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  <c r="AP200" s="20"/>
    </row>
    <row r="201" spans="1:42" s="238" customFormat="1" ht="18.75" customHeight="1" x14ac:dyDescent="0.35">
      <c r="A201" s="195"/>
      <c r="B201" s="254"/>
      <c r="C201" s="399"/>
      <c r="D201" s="3"/>
      <c r="E201" s="3"/>
      <c r="F201" s="20"/>
      <c r="G201" s="20"/>
      <c r="H201" s="255"/>
      <c r="I201" s="392"/>
      <c r="J201" s="392"/>
      <c r="K201" s="392"/>
      <c r="L201" s="404"/>
      <c r="M201" s="404"/>
      <c r="N201" s="404" t="str">
        <f t="shared" si="25"/>
        <v>NO</v>
      </c>
      <c r="O201" s="255"/>
      <c r="P201" s="204"/>
      <c r="Q201" s="227">
        <f t="shared" si="21"/>
        <v>0</v>
      </c>
      <c r="R201" s="228">
        <f t="shared" si="24"/>
        <v>0</v>
      </c>
      <c r="S201" s="243">
        <f t="shared" si="23"/>
        <v>0</v>
      </c>
      <c r="T201" s="426">
        <f t="shared" si="26"/>
        <v>0</v>
      </c>
      <c r="V201" s="20"/>
      <c r="W201" s="20"/>
      <c r="X201" s="361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  <c r="AP201" s="20"/>
    </row>
    <row r="202" spans="1:42" s="238" customFormat="1" ht="18.75" customHeight="1" x14ac:dyDescent="0.35">
      <c r="A202" s="195"/>
      <c r="B202" s="254"/>
      <c r="C202" s="399"/>
      <c r="D202" s="3"/>
      <c r="E202" s="3"/>
      <c r="F202" s="20"/>
      <c r="G202" s="20"/>
      <c r="H202" s="255"/>
      <c r="I202" s="392"/>
      <c r="J202" s="392"/>
      <c r="K202" s="392"/>
      <c r="L202" s="404"/>
      <c r="M202" s="404"/>
      <c r="N202" s="404" t="str">
        <f t="shared" si="25"/>
        <v>NO</v>
      </c>
      <c r="O202" s="255"/>
      <c r="P202" s="204"/>
      <c r="Q202" s="227">
        <f t="shared" si="21"/>
        <v>0</v>
      </c>
      <c r="R202" s="228">
        <f t="shared" si="24"/>
        <v>0</v>
      </c>
      <c r="S202" s="243">
        <f t="shared" si="23"/>
        <v>0</v>
      </c>
      <c r="T202" s="426">
        <f t="shared" si="26"/>
        <v>0</v>
      </c>
      <c r="V202" s="20"/>
      <c r="W202" s="20"/>
      <c r="X202" s="361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  <c r="AP202" s="20"/>
    </row>
    <row r="203" spans="1:42" s="238" customFormat="1" ht="18.75" customHeight="1" x14ac:dyDescent="0.35">
      <c r="A203" s="195"/>
      <c r="B203" s="254"/>
      <c r="C203" s="399"/>
      <c r="D203" s="3"/>
      <c r="E203" s="3"/>
      <c r="F203" s="20"/>
      <c r="G203" s="20"/>
      <c r="H203" s="255"/>
      <c r="I203" s="392"/>
      <c r="J203" s="392"/>
      <c r="K203" s="392"/>
      <c r="L203" s="404"/>
      <c r="M203" s="404"/>
      <c r="N203" s="404" t="str">
        <f t="shared" si="25"/>
        <v>NO</v>
      </c>
      <c r="O203" s="255"/>
      <c r="P203" s="204"/>
      <c r="Q203" s="227">
        <f t="shared" si="21"/>
        <v>0</v>
      </c>
      <c r="R203" s="228">
        <f t="shared" si="24"/>
        <v>0</v>
      </c>
      <c r="S203" s="243">
        <f t="shared" si="23"/>
        <v>0</v>
      </c>
      <c r="T203" s="426">
        <f t="shared" si="26"/>
        <v>0</v>
      </c>
      <c r="V203" s="20"/>
      <c r="W203" s="20"/>
      <c r="X203" s="361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  <c r="AP203" s="20"/>
    </row>
    <row r="204" spans="1:42" s="238" customFormat="1" ht="18.75" customHeight="1" x14ac:dyDescent="0.35">
      <c r="A204" s="195"/>
      <c r="B204" s="254"/>
      <c r="C204" s="399"/>
      <c r="D204" s="3"/>
      <c r="E204" s="3"/>
      <c r="F204" s="20"/>
      <c r="G204" s="20"/>
      <c r="H204" s="255"/>
      <c r="I204" s="392"/>
      <c r="J204" s="392"/>
      <c r="K204" s="392"/>
      <c r="L204" s="404"/>
      <c r="M204" s="404"/>
      <c r="N204" s="404" t="str">
        <f t="shared" si="25"/>
        <v>NO</v>
      </c>
      <c r="O204" s="255"/>
      <c r="P204" s="204"/>
      <c r="Q204" s="227">
        <f t="shared" si="21"/>
        <v>0</v>
      </c>
      <c r="R204" s="228">
        <f t="shared" si="24"/>
        <v>0</v>
      </c>
      <c r="S204" s="243">
        <f t="shared" si="23"/>
        <v>0</v>
      </c>
      <c r="T204" s="426">
        <f t="shared" si="26"/>
        <v>0</v>
      </c>
      <c r="V204" s="20"/>
      <c r="W204" s="20"/>
      <c r="X204" s="361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  <c r="AP204" s="20"/>
    </row>
    <row r="205" spans="1:42" s="238" customFormat="1" ht="18.75" customHeight="1" x14ac:dyDescent="0.35">
      <c r="A205" s="195"/>
      <c r="B205" s="254"/>
      <c r="C205" s="399"/>
      <c r="D205" s="3"/>
      <c r="E205" s="3"/>
      <c r="F205" s="20"/>
      <c r="G205" s="20"/>
      <c r="H205" s="255"/>
      <c r="I205" s="392"/>
      <c r="J205" s="392"/>
      <c r="K205" s="392"/>
      <c r="L205" s="404"/>
      <c r="M205" s="404"/>
      <c r="N205" s="404" t="str">
        <f t="shared" si="25"/>
        <v>NO</v>
      </c>
      <c r="O205" s="255"/>
      <c r="P205" s="204"/>
      <c r="Q205" s="227">
        <f t="shared" si="21"/>
        <v>0</v>
      </c>
      <c r="R205" s="228">
        <f t="shared" si="24"/>
        <v>0</v>
      </c>
      <c r="S205" s="243">
        <f t="shared" si="23"/>
        <v>0</v>
      </c>
      <c r="T205" s="426">
        <f t="shared" si="26"/>
        <v>0</v>
      </c>
      <c r="V205" s="20"/>
      <c r="W205" s="20"/>
      <c r="X205" s="361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  <c r="AP205" s="20"/>
    </row>
    <row r="206" spans="1:42" s="238" customFormat="1" ht="18.75" customHeight="1" x14ac:dyDescent="0.35">
      <c r="A206" s="195"/>
      <c r="B206" s="254"/>
      <c r="C206" s="399"/>
      <c r="D206" s="3"/>
      <c r="E206" s="3"/>
      <c r="F206" s="20"/>
      <c r="G206" s="20"/>
      <c r="H206" s="255"/>
      <c r="I206" s="392"/>
      <c r="J206" s="392"/>
      <c r="K206" s="392"/>
      <c r="L206" s="404"/>
      <c r="M206" s="404"/>
      <c r="N206" s="404" t="str">
        <f t="shared" si="25"/>
        <v>NO</v>
      </c>
      <c r="O206" s="255"/>
      <c r="P206" s="204"/>
      <c r="Q206" s="227">
        <f t="shared" si="21"/>
        <v>0</v>
      </c>
      <c r="R206" s="228">
        <f t="shared" si="24"/>
        <v>0</v>
      </c>
      <c r="S206" s="243">
        <f t="shared" si="23"/>
        <v>0</v>
      </c>
      <c r="T206" s="426">
        <f t="shared" si="26"/>
        <v>0</v>
      </c>
      <c r="V206" s="20"/>
      <c r="W206" s="20"/>
      <c r="X206" s="361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  <c r="AP206" s="20"/>
    </row>
    <row r="207" spans="1:42" s="238" customFormat="1" ht="18.75" customHeight="1" x14ac:dyDescent="0.35">
      <c r="A207" s="195"/>
      <c r="B207" s="254"/>
      <c r="C207" s="399"/>
      <c r="D207" s="3"/>
      <c r="E207" s="3"/>
      <c r="F207" s="20"/>
      <c r="G207" s="20"/>
      <c r="H207" s="255"/>
      <c r="I207" s="392"/>
      <c r="J207" s="392"/>
      <c r="K207" s="392"/>
      <c r="L207" s="404"/>
      <c r="M207" s="404"/>
      <c r="N207" s="404" t="str">
        <f t="shared" si="25"/>
        <v>NO</v>
      </c>
      <c r="O207" s="255"/>
      <c r="P207" s="204"/>
      <c r="Q207" s="227">
        <f t="shared" si="21"/>
        <v>0</v>
      </c>
      <c r="R207" s="228">
        <f t="shared" si="24"/>
        <v>0</v>
      </c>
      <c r="S207" s="243">
        <f t="shared" si="23"/>
        <v>0</v>
      </c>
      <c r="T207" s="426">
        <f t="shared" si="26"/>
        <v>0</v>
      </c>
      <c r="V207" s="20"/>
      <c r="W207" s="20"/>
      <c r="X207" s="361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  <c r="AP207" s="20"/>
    </row>
    <row r="208" spans="1:42" s="238" customFormat="1" ht="18.75" customHeight="1" x14ac:dyDescent="0.35">
      <c r="A208" s="195"/>
      <c r="B208" s="254"/>
      <c r="C208" s="399"/>
      <c r="D208" s="3"/>
      <c r="E208" s="3"/>
      <c r="F208" s="20"/>
      <c r="G208" s="20"/>
      <c r="H208" s="255"/>
      <c r="I208" s="392"/>
      <c r="J208" s="392"/>
      <c r="K208" s="392"/>
      <c r="L208" s="404"/>
      <c r="M208" s="404"/>
      <c r="N208" s="404" t="str">
        <f t="shared" si="25"/>
        <v>NO</v>
      </c>
      <c r="O208" s="255"/>
      <c r="P208" s="204"/>
      <c r="Q208" s="227">
        <f t="shared" si="21"/>
        <v>0</v>
      </c>
      <c r="R208" s="228">
        <f t="shared" si="24"/>
        <v>0</v>
      </c>
      <c r="S208" s="243">
        <f t="shared" si="23"/>
        <v>0</v>
      </c>
      <c r="T208" s="426">
        <f t="shared" si="26"/>
        <v>0</v>
      </c>
      <c r="V208" s="20"/>
      <c r="W208" s="20"/>
      <c r="X208" s="361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  <c r="AP208" s="20"/>
    </row>
    <row r="209" spans="1:42" s="238" customFormat="1" ht="18.75" customHeight="1" x14ac:dyDescent="0.35">
      <c r="A209" s="195"/>
      <c r="B209" s="254"/>
      <c r="C209" s="399"/>
      <c r="D209" s="3"/>
      <c r="E209" s="3"/>
      <c r="F209" s="20"/>
      <c r="G209" s="20"/>
      <c r="H209" s="255"/>
      <c r="I209" s="392"/>
      <c r="J209" s="392"/>
      <c r="K209" s="392"/>
      <c r="L209" s="404"/>
      <c r="M209" s="404"/>
      <c r="N209" s="404" t="str">
        <f t="shared" si="25"/>
        <v>NO</v>
      </c>
      <c r="O209" s="255"/>
      <c r="P209" s="204"/>
      <c r="Q209" s="227">
        <f t="shared" si="21"/>
        <v>0</v>
      </c>
      <c r="R209" s="228">
        <f t="shared" si="24"/>
        <v>0</v>
      </c>
      <c r="S209" s="243">
        <f t="shared" si="23"/>
        <v>0</v>
      </c>
      <c r="T209" s="426">
        <f t="shared" si="26"/>
        <v>0</v>
      </c>
      <c r="V209" s="20"/>
      <c r="W209" s="20"/>
      <c r="X209" s="361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  <c r="AP209" s="20"/>
    </row>
    <row r="210" spans="1:42" s="238" customFormat="1" ht="18.75" customHeight="1" x14ac:dyDescent="0.35">
      <c r="A210" s="195"/>
      <c r="B210" s="254"/>
      <c r="C210" s="399"/>
      <c r="D210" s="3"/>
      <c r="E210" s="3"/>
      <c r="F210" s="20"/>
      <c r="G210" s="20"/>
      <c r="H210" s="255"/>
      <c r="I210" s="392"/>
      <c r="J210" s="392"/>
      <c r="K210" s="392"/>
      <c r="L210" s="404"/>
      <c r="M210" s="404"/>
      <c r="N210" s="404" t="str">
        <f t="shared" si="25"/>
        <v>NO</v>
      </c>
      <c r="O210" s="255"/>
      <c r="P210" s="204"/>
      <c r="Q210" s="227">
        <f t="shared" si="21"/>
        <v>0</v>
      </c>
      <c r="R210" s="228">
        <f t="shared" si="24"/>
        <v>0</v>
      </c>
      <c r="S210" s="243">
        <f t="shared" si="23"/>
        <v>0</v>
      </c>
      <c r="T210" s="426">
        <f t="shared" si="26"/>
        <v>0</v>
      </c>
      <c r="V210" s="20"/>
      <c r="W210" s="20"/>
      <c r="X210" s="361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  <c r="AP210" s="20"/>
    </row>
    <row r="211" spans="1:42" s="238" customFormat="1" ht="18.75" customHeight="1" x14ac:dyDescent="0.35">
      <c r="A211" s="195"/>
      <c r="B211" s="254"/>
      <c r="C211" s="399"/>
      <c r="D211" s="3"/>
      <c r="E211" s="3"/>
      <c r="F211" s="20"/>
      <c r="G211" s="20"/>
      <c r="H211" s="255"/>
      <c r="I211" s="392"/>
      <c r="J211" s="392"/>
      <c r="K211" s="392"/>
      <c r="L211" s="404"/>
      <c r="M211" s="404"/>
      <c r="N211" s="404" t="str">
        <f t="shared" si="25"/>
        <v>NO</v>
      </c>
      <c r="O211" s="255"/>
      <c r="P211" s="204"/>
      <c r="Q211" s="227">
        <f t="shared" si="21"/>
        <v>0</v>
      </c>
      <c r="R211" s="228">
        <f t="shared" si="24"/>
        <v>0</v>
      </c>
      <c r="S211" s="243">
        <f t="shared" si="23"/>
        <v>0</v>
      </c>
      <c r="T211" s="426">
        <f t="shared" si="26"/>
        <v>0</v>
      </c>
      <c r="V211" s="20"/>
      <c r="W211" s="20"/>
      <c r="X211" s="361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  <c r="AP211" s="20"/>
    </row>
    <row r="212" spans="1:42" s="238" customFormat="1" ht="18.75" customHeight="1" x14ac:dyDescent="0.35">
      <c r="A212" s="195"/>
      <c r="B212" s="254"/>
      <c r="C212" s="399"/>
      <c r="D212" s="3"/>
      <c r="E212" s="3"/>
      <c r="F212" s="20"/>
      <c r="G212" s="20"/>
      <c r="H212" s="255"/>
      <c r="I212" s="392"/>
      <c r="J212" s="392"/>
      <c r="K212" s="392"/>
      <c r="L212" s="404"/>
      <c r="M212" s="404"/>
      <c r="N212" s="404" t="str">
        <f t="shared" si="25"/>
        <v>NO</v>
      </c>
      <c r="O212" s="255"/>
      <c r="P212" s="204"/>
      <c r="Q212" s="227">
        <f t="shared" si="21"/>
        <v>0</v>
      </c>
      <c r="R212" s="228">
        <f t="shared" si="24"/>
        <v>0</v>
      </c>
      <c r="S212" s="243">
        <f t="shared" si="23"/>
        <v>0</v>
      </c>
      <c r="T212" s="426">
        <f t="shared" si="26"/>
        <v>0</v>
      </c>
      <c r="V212" s="20"/>
      <c r="W212" s="20"/>
      <c r="X212" s="361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  <c r="AP212" s="20"/>
    </row>
    <row r="213" spans="1:42" s="238" customFormat="1" ht="18.75" customHeight="1" x14ac:dyDescent="0.35">
      <c r="A213" s="195"/>
      <c r="B213" s="254"/>
      <c r="C213" s="399"/>
      <c r="D213" s="3"/>
      <c r="E213" s="3"/>
      <c r="F213" s="20"/>
      <c r="G213" s="20"/>
      <c r="H213" s="255"/>
      <c r="I213" s="392"/>
      <c r="J213" s="392"/>
      <c r="K213" s="392"/>
      <c r="L213" s="404"/>
      <c r="M213" s="404"/>
      <c r="N213" s="404" t="str">
        <f t="shared" si="25"/>
        <v>NO</v>
      </c>
      <c r="O213" s="255"/>
      <c r="P213" s="204"/>
      <c r="Q213" s="227">
        <f t="shared" si="21"/>
        <v>0</v>
      </c>
      <c r="R213" s="228">
        <f t="shared" si="24"/>
        <v>0</v>
      </c>
      <c r="S213" s="243">
        <f t="shared" si="23"/>
        <v>0</v>
      </c>
      <c r="T213" s="426">
        <f t="shared" si="26"/>
        <v>0</v>
      </c>
      <c r="V213" s="20"/>
      <c r="W213" s="20"/>
      <c r="X213" s="361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  <c r="AP213" s="20"/>
    </row>
    <row r="214" spans="1:42" s="238" customFormat="1" ht="18.75" customHeight="1" x14ac:dyDescent="0.35">
      <c r="A214" s="195"/>
      <c r="B214" s="254"/>
      <c r="C214" s="399"/>
      <c r="D214" s="3"/>
      <c r="E214" s="3"/>
      <c r="F214" s="20"/>
      <c r="G214" s="20"/>
      <c r="H214" s="255"/>
      <c r="I214" s="392"/>
      <c r="J214" s="392"/>
      <c r="K214" s="392"/>
      <c r="L214" s="404"/>
      <c r="M214" s="404"/>
      <c r="N214" s="404" t="str">
        <f t="shared" si="25"/>
        <v>NO</v>
      </c>
      <c r="O214" s="255"/>
      <c r="P214" s="204"/>
      <c r="Q214" s="227">
        <f t="shared" si="21"/>
        <v>0</v>
      </c>
      <c r="R214" s="228">
        <f t="shared" si="24"/>
        <v>0</v>
      </c>
      <c r="S214" s="243">
        <f t="shared" si="23"/>
        <v>0</v>
      </c>
      <c r="T214" s="426">
        <f t="shared" si="26"/>
        <v>0</v>
      </c>
      <c r="V214" s="20"/>
      <c r="W214" s="20"/>
      <c r="X214" s="361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  <c r="AP214" s="20"/>
    </row>
    <row r="215" spans="1:42" s="238" customFormat="1" ht="18.75" customHeight="1" x14ac:dyDescent="0.35">
      <c r="A215" s="195"/>
      <c r="B215" s="254"/>
      <c r="C215" s="399"/>
      <c r="D215" s="3"/>
      <c r="E215" s="3"/>
      <c r="F215" s="20"/>
      <c r="G215" s="20"/>
      <c r="H215" s="255"/>
      <c r="I215" s="392"/>
      <c r="J215" s="392"/>
      <c r="K215" s="392"/>
      <c r="L215" s="404"/>
      <c r="M215" s="404"/>
      <c r="N215" s="404" t="str">
        <f t="shared" si="25"/>
        <v>NO</v>
      </c>
      <c r="O215" s="255"/>
      <c r="P215" s="204"/>
      <c r="Q215" s="227">
        <f t="shared" si="21"/>
        <v>0</v>
      </c>
      <c r="R215" s="228">
        <f t="shared" si="24"/>
        <v>0</v>
      </c>
      <c r="S215" s="243">
        <f t="shared" si="23"/>
        <v>0</v>
      </c>
      <c r="T215" s="426">
        <f t="shared" si="26"/>
        <v>0</v>
      </c>
      <c r="V215" s="20"/>
      <c r="W215" s="20"/>
      <c r="X215" s="361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  <c r="AP215" s="20"/>
    </row>
    <row r="216" spans="1:42" s="238" customFormat="1" ht="18.75" customHeight="1" x14ac:dyDescent="0.35">
      <c r="A216" s="195"/>
      <c r="B216" s="254"/>
      <c r="C216" s="399"/>
      <c r="D216" s="3"/>
      <c r="E216" s="3"/>
      <c r="F216" s="20"/>
      <c r="G216" s="20"/>
      <c r="H216" s="255"/>
      <c r="I216" s="392"/>
      <c r="J216" s="392"/>
      <c r="K216" s="392"/>
      <c r="L216" s="404"/>
      <c r="M216" s="404"/>
      <c r="N216" s="404" t="str">
        <f t="shared" si="25"/>
        <v>NO</v>
      </c>
      <c r="O216" s="255"/>
      <c r="P216" s="204"/>
      <c r="Q216" s="227">
        <f t="shared" si="21"/>
        <v>0</v>
      </c>
      <c r="R216" s="228">
        <f t="shared" si="24"/>
        <v>0</v>
      </c>
      <c r="S216" s="243">
        <f t="shared" si="23"/>
        <v>0</v>
      </c>
      <c r="T216" s="426">
        <f t="shared" si="26"/>
        <v>0</v>
      </c>
      <c r="V216" s="20"/>
      <c r="W216" s="20"/>
      <c r="X216" s="361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  <c r="AP216" s="20"/>
    </row>
    <row r="217" spans="1:42" s="238" customFormat="1" ht="18.75" customHeight="1" x14ac:dyDescent="0.35">
      <c r="A217" s="195"/>
      <c r="B217" s="254"/>
      <c r="C217" s="399"/>
      <c r="D217" s="3"/>
      <c r="E217" s="3"/>
      <c r="F217" s="20"/>
      <c r="G217" s="20"/>
      <c r="H217" s="255"/>
      <c r="I217" s="392"/>
      <c r="J217" s="392"/>
      <c r="K217" s="392"/>
      <c r="L217" s="404"/>
      <c r="M217" s="404"/>
      <c r="N217" s="404" t="str">
        <f t="shared" si="25"/>
        <v>NO</v>
      </c>
      <c r="O217" s="255"/>
      <c r="P217" s="204"/>
      <c r="Q217" s="227">
        <f t="shared" si="21"/>
        <v>0</v>
      </c>
      <c r="R217" s="228">
        <f t="shared" si="24"/>
        <v>0</v>
      </c>
      <c r="S217" s="243">
        <f t="shared" si="23"/>
        <v>0</v>
      </c>
      <c r="T217" s="426">
        <f t="shared" si="26"/>
        <v>0</v>
      </c>
      <c r="V217" s="20"/>
      <c r="W217" s="20"/>
      <c r="X217" s="361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  <c r="AP217" s="20"/>
    </row>
    <row r="218" spans="1:42" s="238" customFormat="1" ht="18.75" customHeight="1" x14ac:dyDescent="0.35">
      <c r="A218" s="195"/>
      <c r="B218" s="254"/>
      <c r="C218" s="399"/>
      <c r="D218" s="3"/>
      <c r="E218" s="3"/>
      <c r="F218" s="20"/>
      <c r="G218" s="20"/>
      <c r="H218" s="255"/>
      <c r="I218" s="392"/>
      <c r="J218" s="392"/>
      <c r="K218" s="392"/>
      <c r="L218" s="404"/>
      <c r="M218" s="404"/>
      <c r="N218" s="404" t="str">
        <f t="shared" si="25"/>
        <v>NO</v>
      </c>
      <c r="O218" s="255"/>
      <c r="P218" s="204"/>
      <c r="Q218" s="227">
        <f t="shared" si="21"/>
        <v>0</v>
      </c>
      <c r="R218" s="228">
        <f t="shared" si="24"/>
        <v>0</v>
      </c>
      <c r="S218" s="243">
        <f t="shared" si="23"/>
        <v>0</v>
      </c>
      <c r="T218" s="426">
        <f t="shared" si="26"/>
        <v>0</v>
      </c>
      <c r="V218" s="20"/>
      <c r="W218" s="20"/>
      <c r="X218" s="361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  <c r="AP218" s="20"/>
    </row>
    <row r="219" spans="1:42" s="238" customFormat="1" ht="18.75" customHeight="1" x14ac:dyDescent="0.35">
      <c r="A219" s="195"/>
      <c r="B219" s="254"/>
      <c r="C219" s="399"/>
      <c r="D219" s="3"/>
      <c r="E219" s="3"/>
      <c r="F219" s="20"/>
      <c r="G219" s="20"/>
      <c r="H219" s="255"/>
      <c r="I219" s="392"/>
      <c r="J219" s="392"/>
      <c r="K219" s="392"/>
      <c r="L219" s="404"/>
      <c r="M219" s="404"/>
      <c r="N219" s="404" t="str">
        <f t="shared" si="25"/>
        <v>NO</v>
      </c>
      <c r="O219" s="255"/>
      <c r="P219" s="204"/>
      <c r="Q219" s="227">
        <f t="shared" si="21"/>
        <v>0</v>
      </c>
      <c r="R219" s="228">
        <f t="shared" si="24"/>
        <v>0</v>
      </c>
      <c r="S219" s="243">
        <f t="shared" si="23"/>
        <v>0</v>
      </c>
      <c r="T219" s="426">
        <f t="shared" si="26"/>
        <v>0</v>
      </c>
      <c r="V219" s="20"/>
      <c r="W219" s="20"/>
      <c r="X219" s="361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  <c r="AP219" s="20"/>
    </row>
    <row r="220" spans="1:42" s="238" customFormat="1" ht="18.75" customHeight="1" x14ac:dyDescent="0.35">
      <c r="A220" s="195"/>
      <c r="B220" s="254"/>
      <c r="C220" s="399"/>
      <c r="D220" s="3"/>
      <c r="E220" s="3"/>
      <c r="F220" s="20"/>
      <c r="G220" s="20"/>
      <c r="H220" s="255"/>
      <c r="I220" s="392"/>
      <c r="J220" s="392"/>
      <c r="K220" s="392"/>
      <c r="L220" s="404"/>
      <c r="M220" s="404"/>
      <c r="N220" s="404" t="str">
        <f t="shared" si="25"/>
        <v>NO</v>
      </c>
      <c r="O220" s="255"/>
      <c r="P220" s="204"/>
      <c r="Q220" s="227">
        <f t="shared" si="21"/>
        <v>0</v>
      </c>
      <c r="R220" s="228">
        <f t="shared" si="24"/>
        <v>0</v>
      </c>
      <c r="S220" s="243">
        <f t="shared" si="23"/>
        <v>0</v>
      </c>
      <c r="T220" s="426">
        <f t="shared" si="26"/>
        <v>0</v>
      </c>
      <c r="V220" s="20"/>
      <c r="W220" s="20"/>
      <c r="X220" s="361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  <c r="AP220" s="20"/>
    </row>
    <row r="221" spans="1:42" s="238" customFormat="1" ht="18.75" customHeight="1" x14ac:dyDescent="0.35">
      <c r="A221" s="195"/>
      <c r="B221" s="254"/>
      <c r="C221" s="399"/>
      <c r="D221" s="3"/>
      <c r="E221" s="3"/>
      <c r="F221" s="20"/>
      <c r="G221" s="20"/>
      <c r="H221" s="255"/>
      <c r="I221" s="392"/>
      <c r="J221" s="392"/>
      <c r="K221" s="392"/>
      <c r="L221" s="404"/>
      <c r="M221" s="404"/>
      <c r="N221" s="404" t="str">
        <f t="shared" si="25"/>
        <v>NO</v>
      </c>
      <c r="O221" s="255"/>
      <c r="P221" s="204"/>
      <c r="Q221" s="227">
        <f t="shared" si="21"/>
        <v>0</v>
      </c>
      <c r="R221" s="228">
        <f t="shared" si="24"/>
        <v>0</v>
      </c>
      <c r="S221" s="243">
        <f t="shared" si="23"/>
        <v>0</v>
      </c>
      <c r="T221" s="426">
        <f t="shared" si="26"/>
        <v>0</v>
      </c>
      <c r="V221" s="20"/>
      <c r="W221" s="20"/>
      <c r="X221" s="361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  <c r="AP221" s="20"/>
    </row>
    <row r="222" spans="1:42" s="238" customFormat="1" ht="18.75" customHeight="1" x14ac:dyDescent="0.35">
      <c r="A222" s="195"/>
      <c r="B222" s="254"/>
      <c r="C222" s="399"/>
      <c r="D222" s="3"/>
      <c r="E222" s="3"/>
      <c r="F222" s="20"/>
      <c r="G222" s="20"/>
      <c r="H222" s="255"/>
      <c r="I222" s="392"/>
      <c r="J222" s="392"/>
      <c r="K222" s="392"/>
      <c r="L222" s="404"/>
      <c r="M222" s="404"/>
      <c r="N222" s="404" t="str">
        <f t="shared" si="25"/>
        <v>NO</v>
      </c>
      <c r="O222" s="255"/>
      <c r="P222" s="204"/>
      <c r="Q222" s="227">
        <f t="shared" si="21"/>
        <v>0</v>
      </c>
      <c r="R222" s="228">
        <f t="shared" si="24"/>
        <v>0</v>
      </c>
      <c r="S222" s="243">
        <f t="shared" si="23"/>
        <v>0</v>
      </c>
      <c r="T222" s="426">
        <f t="shared" si="26"/>
        <v>0</v>
      </c>
      <c r="V222" s="20"/>
      <c r="W222" s="20"/>
      <c r="X222" s="361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  <c r="AP222" s="20"/>
    </row>
    <row r="223" spans="1:42" s="238" customFormat="1" ht="18.75" customHeight="1" x14ac:dyDescent="0.35">
      <c r="A223" s="195"/>
      <c r="B223" s="254"/>
      <c r="C223" s="399"/>
      <c r="D223" s="3"/>
      <c r="E223" s="3"/>
      <c r="F223" s="20"/>
      <c r="G223" s="20"/>
      <c r="H223" s="255"/>
      <c r="I223" s="392"/>
      <c r="J223" s="392"/>
      <c r="K223" s="392"/>
      <c r="L223" s="404"/>
      <c r="M223" s="404"/>
      <c r="N223" s="404" t="str">
        <f t="shared" si="25"/>
        <v>NO</v>
      </c>
      <c r="O223" s="255"/>
      <c r="P223" s="204"/>
      <c r="Q223" s="227">
        <f t="shared" si="21"/>
        <v>0</v>
      </c>
      <c r="R223" s="228">
        <f t="shared" si="24"/>
        <v>0</v>
      </c>
      <c r="S223" s="243">
        <f t="shared" si="23"/>
        <v>0</v>
      </c>
      <c r="T223" s="426">
        <f t="shared" si="26"/>
        <v>0</v>
      </c>
      <c r="V223" s="20"/>
      <c r="W223" s="20"/>
      <c r="X223" s="361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  <c r="AP223" s="20"/>
    </row>
    <row r="224" spans="1:42" s="238" customFormat="1" ht="18.75" customHeight="1" x14ac:dyDescent="0.35">
      <c r="A224" s="195"/>
      <c r="B224" s="254"/>
      <c r="C224" s="399"/>
      <c r="D224" s="3"/>
      <c r="E224" s="3"/>
      <c r="F224" s="20"/>
      <c r="G224" s="20"/>
      <c r="H224" s="255"/>
      <c r="I224" s="392"/>
      <c r="J224" s="392"/>
      <c r="K224" s="392"/>
      <c r="L224" s="404"/>
      <c r="M224" s="404"/>
      <c r="N224" s="404" t="str">
        <f t="shared" si="25"/>
        <v>NO</v>
      </c>
      <c r="O224" s="255"/>
      <c r="P224" s="204"/>
      <c r="Q224" s="227">
        <f t="shared" ref="Q224:Q287" si="27">_xlfn.XLOOKUP(F224, AE:AE, AF:AF) * G224</f>
        <v>0</v>
      </c>
      <c r="R224" s="228">
        <f t="shared" si="24"/>
        <v>0</v>
      </c>
      <c r="S224" s="243">
        <f t="shared" si="23"/>
        <v>0</v>
      </c>
      <c r="T224" s="426">
        <f t="shared" si="26"/>
        <v>0</v>
      </c>
      <c r="V224" s="20"/>
      <c r="W224" s="20"/>
      <c r="X224" s="361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  <c r="AP224" s="20"/>
    </row>
    <row r="225" spans="1:42" s="238" customFormat="1" ht="18.75" customHeight="1" x14ac:dyDescent="0.35">
      <c r="A225" s="195"/>
      <c r="B225" s="254"/>
      <c r="C225" s="399"/>
      <c r="D225" s="3"/>
      <c r="E225" s="3"/>
      <c r="F225" s="20"/>
      <c r="G225" s="20"/>
      <c r="H225" s="255"/>
      <c r="I225" s="392"/>
      <c r="J225" s="392"/>
      <c r="K225" s="392"/>
      <c r="L225" s="404"/>
      <c r="M225" s="404"/>
      <c r="N225" s="404" t="str">
        <f t="shared" si="25"/>
        <v>NO</v>
      </c>
      <c r="O225" s="255"/>
      <c r="P225" s="204"/>
      <c r="Q225" s="227">
        <f t="shared" si="27"/>
        <v>0</v>
      </c>
      <c r="R225" s="228">
        <f t="shared" si="24"/>
        <v>0</v>
      </c>
      <c r="S225" s="243">
        <f t="shared" si="23"/>
        <v>0</v>
      </c>
      <c r="T225" s="426">
        <f t="shared" si="26"/>
        <v>0</v>
      </c>
      <c r="V225" s="20"/>
      <c r="W225" s="20"/>
      <c r="X225" s="361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  <c r="AP225" s="20"/>
    </row>
    <row r="226" spans="1:42" s="238" customFormat="1" ht="18.75" customHeight="1" x14ac:dyDescent="0.35">
      <c r="A226" s="195"/>
      <c r="B226" s="254"/>
      <c r="C226" s="399"/>
      <c r="D226" s="3"/>
      <c r="E226" s="3"/>
      <c r="F226" s="20"/>
      <c r="G226" s="20"/>
      <c r="H226" s="255"/>
      <c r="I226" s="392"/>
      <c r="J226" s="392"/>
      <c r="K226" s="392"/>
      <c r="L226" s="404"/>
      <c r="M226" s="404"/>
      <c r="N226" s="404" t="str">
        <f t="shared" si="25"/>
        <v>NO</v>
      </c>
      <c r="O226" s="255"/>
      <c r="P226" s="204"/>
      <c r="Q226" s="227">
        <f t="shared" si="27"/>
        <v>0</v>
      </c>
      <c r="R226" s="228">
        <f t="shared" si="24"/>
        <v>0</v>
      </c>
      <c r="S226" s="243">
        <f t="shared" si="23"/>
        <v>0</v>
      </c>
      <c r="T226" s="426">
        <f t="shared" si="26"/>
        <v>0</v>
      </c>
      <c r="V226" s="20"/>
      <c r="W226" s="20"/>
      <c r="X226" s="361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  <c r="AP226" s="20"/>
    </row>
    <row r="227" spans="1:42" s="238" customFormat="1" ht="18.75" customHeight="1" x14ac:dyDescent="0.35">
      <c r="A227" s="195"/>
      <c r="B227" s="254"/>
      <c r="C227" s="399"/>
      <c r="D227" s="3"/>
      <c r="E227" s="3"/>
      <c r="F227" s="20"/>
      <c r="G227" s="20"/>
      <c r="H227" s="255"/>
      <c r="I227" s="392"/>
      <c r="J227" s="392"/>
      <c r="K227" s="392"/>
      <c r="L227" s="404"/>
      <c r="M227" s="404"/>
      <c r="N227" s="404" t="str">
        <f t="shared" si="25"/>
        <v>NO</v>
      </c>
      <c r="O227" s="255"/>
      <c r="P227" s="204"/>
      <c r="Q227" s="227">
        <f t="shared" si="27"/>
        <v>0</v>
      </c>
      <c r="R227" s="228">
        <f t="shared" si="24"/>
        <v>0</v>
      </c>
      <c r="S227" s="243">
        <f t="shared" si="23"/>
        <v>0</v>
      </c>
      <c r="T227" s="426">
        <f t="shared" si="26"/>
        <v>0</v>
      </c>
      <c r="V227" s="20"/>
      <c r="W227" s="20"/>
      <c r="X227" s="361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  <c r="AP227" s="20"/>
    </row>
    <row r="228" spans="1:42" s="238" customFormat="1" ht="18.75" customHeight="1" x14ac:dyDescent="0.35">
      <c r="A228" s="195"/>
      <c r="B228" s="254"/>
      <c r="C228" s="399"/>
      <c r="D228" s="3"/>
      <c r="E228" s="3"/>
      <c r="F228" s="20"/>
      <c r="G228" s="20"/>
      <c r="H228" s="255"/>
      <c r="I228" s="392"/>
      <c r="J228" s="392"/>
      <c r="K228" s="392"/>
      <c r="L228" s="404"/>
      <c r="M228" s="404"/>
      <c r="N228" s="404" t="str">
        <f t="shared" si="25"/>
        <v>NO</v>
      </c>
      <c r="O228" s="255"/>
      <c r="P228" s="204"/>
      <c r="Q228" s="227">
        <f t="shared" si="27"/>
        <v>0</v>
      </c>
      <c r="R228" s="228">
        <f t="shared" si="24"/>
        <v>0</v>
      </c>
      <c r="S228" s="243">
        <f t="shared" si="23"/>
        <v>0</v>
      </c>
      <c r="T228" s="426">
        <f t="shared" si="26"/>
        <v>0</v>
      </c>
      <c r="V228" s="20"/>
      <c r="W228" s="20"/>
      <c r="X228" s="361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  <c r="AP228" s="20"/>
    </row>
    <row r="229" spans="1:42" s="238" customFormat="1" ht="18.75" customHeight="1" x14ac:dyDescent="0.35">
      <c r="A229" s="195"/>
      <c r="B229" s="254"/>
      <c r="C229" s="399"/>
      <c r="D229" s="3"/>
      <c r="E229" s="3"/>
      <c r="F229" s="20"/>
      <c r="G229" s="20"/>
      <c r="H229" s="255"/>
      <c r="I229" s="392"/>
      <c r="J229" s="392"/>
      <c r="K229" s="392"/>
      <c r="L229" s="404"/>
      <c r="M229" s="404"/>
      <c r="N229" s="404" t="str">
        <f t="shared" si="25"/>
        <v>NO</v>
      </c>
      <c r="O229" s="255"/>
      <c r="P229" s="204"/>
      <c r="Q229" s="227">
        <f t="shared" si="27"/>
        <v>0</v>
      </c>
      <c r="R229" s="228">
        <f t="shared" si="24"/>
        <v>0</v>
      </c>
      <c r="S229" s="243">
        <f t="shared" si="23"/>
        <v>0</v>
      </c>
      <c r="T229" s="426">
        <f t="shared" si="26"/>
        <v>0</v>
      </c>
      <c r="V229" s="20"/>
      <c r="W229" s="20"/>
      <c r="X229" s="361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  <c r="AP229" s="20"/>
    </row>
    <row r="230" spans="1:42" s="238" customFormat="1" ht="18.75" customHeight="1" x14ac:dyDescent="0.35">
      <c r="A230" s="195"/>
      <c r="B230" s="254"/>
      <c r="C230" s="399"/>
      <c r="D230" s="3"/>
      <c r="E230" s="3"/>
      <c r="F230" s="20"/>
      <c r="G230" s="20"/>
      <c r="H230" s="255"/>
      <c r="I230" s="392"/>
      <c r="J230" s="392"/>
      <c r="K230" s="392"/>
      <c r="L230" s="404"/>
      <c r="M230" s="404"/>
      <c r="N230" s="404" t="str">
        <f t="shared" si="25"/>
        <v>NO</v>
      </c>
      <c r="O230" s="255"/>
      <c r="P230" s="204"/>
      <c r="Q230" s="227">
        <f t="shared" si="27"/>
        <v>0</v>
      </c>
      <c r="R230" s="228">
        <f t="shared" si="24"/>
        <v>0</v>
      </c>
      <c r="S230" s="243">
        <f t="shared" si="23"/>
        <v>0</v>
      </c>
      <c r="T230" s="426">
        <f t="shared" si="26"/>
        <v>0</v>
      </c>
      <c r="V230" s="20"/>
      <c r="W230" s="20"/>
      <c r="X230" s="361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  <c r="AP230" s="20"/>
    </row>
    <row r="231" spans="1:42" s="238" customFormat="1" ht="18.75" customHeight="1" x14ac:dyDescent="0.35">
      <c r="A231" s="195"/>
      <c r="B231" s="254"/>
      <c r="C231" s="399"/>
      <c r="D231" s="3"/>
      <c r="E231" s="3"/>
      <c r="F231" s="20"/>
      <c r="G231" s="20"/>
      <c r="H231" s="255"/>
      <c r="I231" s="392"/>
      <c r="J231" s="392"/>
      <c r="K231" s="392"/>
      <c r="L231" s="404"/>
      <c r="M231" s="404"/>
      <c r="N231" s="404" t="str">
        <f t="shared" si="25"/>
        <v>NO</v>
      </c>
      <c r="O231" s="255"/>
      <c r="P231" s="204"/>
      <c r="Q231" s="227">
        <f t="shared" si="27"/>
        <v>0</v>
      </c>
      <c r="R231" s="228">
        <f t="shared" si="24"/>
        <v>0</v>
      </c>
      <c r="S231" s="243">
        <f t="shared" si="23"/>
        <v>0</v>
      </c>
      <c r="T231" s="426">
        <f t="shared" si="26"/>
        <v>0</v>
      </c>
      <c r="V231" s="20"/>
      <c r="W231" s="20"/>
      <c r="X231" s="361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  <c r="AP231" s="20"/>
    </row>
    <row r="232" spans="1:42" s="238" customFormat="1" ht="18.75" customHeight="1" x14ac:dyDescent="0.35">
      <c r="A232" s="195"/>
      <c r="B232" s="254"/>
      <c r="C232" s="399"/>
      <c r="D232" s="3"/>
      <c r="E232" s="3"/>
      <c r="F232" s="20"/>
      <c r="G232" s="20"/>
      <c r="H232" s="255"/>
      <c r="I232" s="392"/>
      <c r="J232" s="392"/>
      <c r="K232" s="392"/>
      <c r="L232" s="404"/>
      <c r="M232" s="404"/>
      <c r="N232" s="404" t="str">
        <f t="shared" si="25"/>
        <v>NO</v>
      </c>
      <c r="O232" s="255"/>
      <c r="P232" s="204"/>
      <c r="Q232" s="227">
        <f t="shared" si="27"/>
        <v>0</v>
      </c>
      <c r="R232" s="228">
        <f t="shared" si="24"/>
        <v>0</v>
      </c>
      <c r="S232" s="243">
        <f t="shared" si="23"/>
        <v>0</v>
      </c>
      <c r="T232" s="426">
        <f t="shared" si="26"/>
        <v>0</v>
      </c>
      <c r="V232" s="20"/>
      <c r="W232" s="20"/>
      <c r="X232" s="361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  <c r="AP232" s="20"/>
    </row>
    <row r="233" spans="1:42" s="238" customFormat="1" ht="18.75" customHeight="1" x14ac:dyDescent="0.35">
      <c r="A233" s="195"/>
      <c r="B233" s="254"/>
      <c r="C233" s="399"/>
      <c r="D233" s="3"/>
      <c r="E233" s="3"/>
      <c r="F233" s="20"/>
      <c r="G233" s="20"/>
      <c r="H233" s="255"/>
      <c r="I233" s="392"/>
      <c r="J233" s="392"/>
      <c r="K233" s="392"/>
      <c r="L233" s="404"/>
      <c r="M233" s="404"/>
      <c r="N233" s="404" t="str">
        <f t="shared" si="25"/>
        <v>NO</v>
      </c>
      <c r="O233" s="255"/>
      <c r="P233" s="204"/>
      <c r="Q233" s="227">
        <f t="shared" si="27"/>
        <v>0</v>
      </c>
      <c r="R233" s="228">
        <f t="shared" si="24"/>
        <v>0</v>
      </c>
      <c r="S233" s="243">
        <f t="shared" si="23"/>
        <v>0</v>
      </c>
      <c r="T233" s="426">
        <f t="shared" si="26"/>
        <v>0</v>
      </c>
      <c r="V233" s="20"/>
      <c r="W233" s="20"/>
      <c r="X233" s="361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  <c r="AP233" s="20"/>
    </row>
    <row r="234" spans="1:42" s="238" customFormat="1" ht="18.75" customHeight="1" x14ac:dyDescent="0.35">
      <c r="A234" s="195"/>
      <c r="B234" s="254"/>
      <c r="C234" s="399"/>
      <c r="D234" s="3"/>
      <c r="E234" s="3"/>
      <c r="F234" s="20"/>
      <c r="G234" s="20"/>
      <c r="H234" s="255"/>
      <c r="I234" s="392"/>
      <c r="J234" s="392"/>
      <c r="K234" s="392"/>
      <c r="L234" s="404"/>
      <c r="M234" s="404"/>
      <c r="N234" s="404" t="str">
        <f t="shared" si="25"/>
        <v>NO</v>
      </c>
      <c r="O234" s="255"/>
      <c r="P234" s="204"/>
      <c r="Q234" s="227">
        <f t="shared" si="27"/>
        <v>0</v>
      </c>
      <c r="R234" s="228">
        <f t="shared" si="24"/>
        <v>0</v>
      </c>
      <c r="S234" s="243">
        <f t="shared" si="23"/>
        <v>0</v>
      </c>
      <c r="T234" s="426">
        <f t="shared" si="26"/>
        <v>0</v>
      </c>
      <c r="V234" s="20"/>
      <c r="W234" s="20"/>
      <c r="X234" s="361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  <c r="AP234" s="20"/>
    </row>
    <row r="235" spans="1:42" s="238" customFormat="1" ht="18.75" customHeight="1" x14ac:dyDescent="0.35">
      <c r="A235" s="195"/>
      <c r="B235" s="254"/>
      <c r="C235" s="399"/>
      <c r="D235" s="3"/>
      <c r="E235" s="3"/>
      <c r="F235" s="20"/>
      <c r="G235" s="20"/>
      <c r="H235" s="255"/>
      <c r="I235" s="392"/>
      <c r="J235" s="392"/>
      <c r="K235" s="392"/>
      <c r="L235" s="404"/>
      <c r="M235" s="404"/>
      <c r="N235" s="404" t="str">
        <f t="shared" si="25"/>
        <v>NO</v>
      </c>
      <c r="O235" s="255"/>
      <c r="P235" s="204"/>
      <c r="Q235" s="227">
        <f t="shared" si="27"/>
        <v>0</v>
      </c>
      <c r="R235" s="228">
        <f t="shared" si="24"/>
        <v>0</v>
      </c>
      <c r="S235" s="243">
        <f t="shared" si="23"/>
        <v>0</v>
      </c>
      <c r="T235" s="426">
        <f t="shared" si="26"/>
        <v>0</v>
      </c>
      <c r="V235" s="20"/>
      <c r="W235" s="20"/>
      <c r="X235" s="361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  <c r="AP235" s="20"/>
    </row>
    <row r="236" spans="1:42" s="238" customFormat="1" ht="18.75" customHeight="1" x14ac:dyDescent="0.35">
      <c r="A236" s="195"/>
      <c r="B236" s="254"/>
      <c r="C236" s="399"/>
      <c r="D236" s="3"/>
      <c r="E236" s="3"/>
      <c r="F236" s="20"/>
      <c r="G236" s="20"/>
      <c r="H236" s="255"/>
      <c r="I236" s="392"/>
      <c r="J236" s="392"/>
      <c r="K236" s="392"/>
      <c r="L236" s="404"/>
      <c r="M236" s="404"/>
      <c r="N236" s="404" t="str">
        <f t="shared" si="25"/>
        <v>NO</v>
      </c>
      <c r="O236" s="255"/>
      <c r="P236" s="204"/>
      <c r="Q236" s="227">
        <f t="shared" si="27"/>
        <v>0</v>
      </c>
      <c r="R236" s="228">
        <f t="shared" si="24"/>
        <v>0</v>
      </c>
      <c r="S236" s="243">
        <f t="shared" si="23"/>
        <v>0</v>
      </c>
      <c r="T236" s="426">
        <f t="shared" si="26"/>
        <v>0</v>
      </c>
      <c r="V236" s="20"/>
      <c r="W236" s="20"/>
      <c r="X236" s="361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  <c r="AP236" s="20"/>
    </row>
    <row r="237" spans="1:42" s="238" customFormat="1" ht="18.75" customHeight="1" x14ac:dyDescent="0.35">
      <c r="A237" s="195"/>
      <c r="B237" s="254"/>
      <c r="C237" s="399"/>
      <c r="D237" s="3"/>
      <c r="E237" s="3"/>
      <c r="F237" s="20"/>
      <c r="G237" s="20"/>
      <c r="H237" s="255"/>
      <c r="I237" s="392"/>
      <c r="J237" s="392"/>
      <c r="K237" s="392"/>
      <c r="L237" s="404"/>
      <c r="M237" s="404"/>
      <c r="N237" s="404" t="str">
        <f t="shared" si="25"/>
        <v>NO</v>
      </c>
      <c r="O237" s="255"/>
      <c r="P237" s="204"/>
      <c r="Q237" s="227">
        <f t="shared" si="27"/>
        <v>0</v>
      </c>
      <c r="R237" s="228">
        <f t="shared" si="24"/>
        <v>0</v>
      </c>
      <c r="S237" s="243">
        <f t="shared" si="23"/>
        <v>0</v>
      </c>
      <c r="T237" s="426">
        <f t="shared" si="26"/>
        <v>0</v>
      </c>
      <c r="V237" s="20"/>
      <c r="W237" s="20"/>
      <c r="X237" s="361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  <c r="AP237" s="20"/>
    </row>
    <row r="238" spans="1:42" s="238" customFormat="1" ht="18.75" customHeight="1" x14ac:dyDescent="0.35">
      <c r="A238" s="195"/>
      <c r="B238" s="254"/>
      <c r="C238" s="399"/>
      <c r="D238" s="3"/>
      <c r="E238" s="3"/>
      <c r="F238" s="20"/>
      <c r="G238" s="20"/>
      <c r="H238" s="255"/>
      <c r="I238" s="392"/>
      <c r="J238" s="392"/>
      <c r="K238" s="392"/>
      <c r="L238" s="404"/>
      <c r="M238" s="404"/>
      <c r="N238" s="404" t="str">
        <f t="shared" si="25"/>
        <v>NO</v>
      </c>
      <c r="O238" s="255"/>
      <c r="P238" s="204"/>
      <c r="Q238" s="227">
        <f t="shared" si="27"/>
        <v>0</v>
      </c>
      <c r="R238" s="228">
        <f t="shared" si="24"/>
        <v>0</v>
      </c>
      <c r="S238" s="243">
        <f t="shared" si="23"/>
        <v>0</v>
      </c>
      <c r="T238" s="426">
        <f t="shared" si="26"/>
        <v>0</v>
      </c>
      <c r="V238" s="20"/>
      <c r="W238" s="20"/>
      <c r="X238" s="361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  <c r="AP238" s="20"/>
    </row>
    <row r="239" spans="1:42" s="238" customFormat="1" ht="18.75" customHeight="1" x14ac:dyDescent="0.35">
      <c r="A239" s="195"/>
      <c r="B239" s="254"/>
      <c r="C239" s="399"/>
      <c r="D239" s="3"/>
      <c r="E239" s="3"/>
      <c r="F239" s="20"/>
      <c r="G239" s="20"/>
      <c r="H239" s="255"/>
      <c r="I239" s="392"/>
      <c r="J239" s="392"/>
      <c r="K239" s="392"/>
      <c r="L239" s="404"/>
      <c r="M239" s="404"/>
      <c r="N239" s="404" t="str">
        <f t="shared" si="25"/>
        <v>NO</v>
      </c>
      <c r="O239" s="255"/>
      <c r="P239" s="204"/>
      <c r="Q239" s="227">
        <f t="shared" si="27"/>
        <v>0</v>
      </c>
      <c r="R239" s="228">
        <f t="shared" si="24"/>
        <v>0</v>
      </c>
      <c r="S239" s="243">
        <f t="shared" si="23"/>
        <v>0</v>
      </c>
      <c r="T239" s="426">
        <f t="shared" si="26"/>
        <v>0</v>
      </c>
      <c r="V239" s="20"/>
      <c r="W239" s="20"/>
      <c r="X239" s="361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  <c r="AP239" s="20"/>
    </row>
    <row r="240" spans="1:42" s="238" customFormat="1" ht="18.75" customHeight="1" x14ac:dyDescent="0.35">
      <c r="A240" s="195"/>
      <c r="B240" s="254"/>
      <c r="C240" s="399"/>
      <c r="D240" s="3"/>
      <c r="E240" s="3"/>
      <c r="F240" s="20"/>
      <c r="G240" s="20"/>
      <c r="H240" s="255"/>
      <c r="I240" s="392"/>
      <c r="J240" s="392"/>
      <c r="K240" s="392"/>
      <c r="L240" s="404"/>
      <c r="M240" s="404"/>
      <c r="N240" s="404" t="str">
        <f t="shared" si="25"/>
        <v>NO</v>
      </c>
      <c r="O240" s="255"/>
      <c r="P240" s="204"/>
      <c r="Q240" s="227">
        <f t="shared" si="27"/>
        <v>0</v>
      </c>
      <c r="R240" s="228">
        <f t="shared" si="24"/>
        <v>0</v>
      </c>
      <c r="S240" s="243">
        <f t="shared" si="23"/>
        <v>0</v>
      </c>
      <c r="T240" s="426">
        <f t="shared" si="26"/>
        <v>0</v>
      </c>
      <c r="V240" s="20"/>
      <c r="W240" s="20"/>
      <c r="X240" s="361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  <c r="AP240" s="20"/>
    </row>
    <row r="241" spans="1:42" s="238" customFormat="1" ht="18.75" customHeight="1" x14ac:dyDescent="0.35">
      <c r="A241" s="195"/>
      <c r="B241" s="254"/>
      <c r="C241" s="399"/>
      <c r="D241" s="3"/>
      <c r="E241" s="3"/>
      <c r="F241" s="20"/>
      <c r="G241" s="20"/>
      <c r="H241" s="255"/>
      <c r="I241" s="392"/>
      <c r="J241" s="392"/>
      <c r="K241" s="392"/>
      <c r="L241" s="404"/>
      <c r="M241" s="404"/>
      <c r="N241" s="404" t="str">
        <f t="shared" si="25"/>
        <v>NO</v>
      </c>
      <c r="O241" s="255"/>
      <c r="P241" s="204"/>
      <c r="Q241" s="227">
        <f t="shared" si="27"/>
        <v>0</v>
      </c>
      <c r="R241" s="228">
        <f t="shared" si="24"/>
        <v>0</v>
      </c>
      <c r="S241" s="243">
        <f t="shared" si="23"/>
        <v>0</v>
      </c>
      <c r="T241" s="426">
        <f t="shared" si="26"/>
        <v>0</v>
      </c>
      <c r="V241" s="20"/>
      <c r="W241" s="20"/>
      <c r="X241" s="361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  <c r="AP241" s="20"/>
    </row>
    <row r="242" spans="1:42" s="238" customFormat="1" ht="18.75" customHeight="1" x14ac:dyDescent="0.35">
      <c r="A242" s="195"/>
      <c r="B242" s="254"/>
      <c r="C242" s="399"/>
      <c r="D242" s="3"/>
      <c r="E242" s="3"/>
      <c r="F242" s="20"/>
      <c r="G242" s="20"/>
      <c r="H242" s="255"/>
      <c r="I242" s="392"/>
      <c r="J242" s="392"/>
      <c r="K242" s="392"/>
      <c r="L242" s="404"/>
      <c r="M242" s="404"/>
      <c r="N242" s="404" t="str">
        <f t="shared" si="25"/>
        <v>NO</v>
      </c>
      <c r="O242" s="255"/>
      <c r="P242" s="204"/>
      <c r="Q242" s="227">
        <f t="shared" si="27"/>
        <v>0</v>
      </c>
      <c r="R242" s="228">
        <f t="shared" si="24"/>
        <v>0</v>
      </c>
      <c r="S242" s="243">
        <f t="shared" si="23"/>
        <v>0</v>
      </c>
      <c r="T242" s="426">
        <f t="shared" si="26"/>
        <v>0</v>
      </c>
      <c r="V242" s="20"/>
      <c r="W242" s="20"/>
      <c r="X242" s="361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  <c r="AP242" s="20"/>
    </row>
    <row r="243" spans="1:42" s="238" customFormat="1" ht="18.75" customHeight="1" x14ac:dyDescent="0.35">
      <c r="A243" s="195"/>
      <c r="B243" s="254"/>
      <c r="C243" s="399"/>
      <c r="D243" s="3"/>
      <c r="E243" s="3"/>
      <c r="F243" s="20"/>
      <c r="G243" s="20"/>
      <c r="H243" s="255"/>
      <c r="I243" s="392"/>
      <c r="J243" s="392"/>
      <c r="K243" s="392"/>
      <c r="L243" s="404"/>
      <c r="M243" s="404"/>
      <c r="N243" s="404" t="str">
        <f t="shared" si="25"/>
        <v>NO</v>
      </c>
      <c r="O243" s="255"/>
      <c r="P243" s="204"/>
      <c r="Q243" s="227">
        <f t="shared" si="27"/>
        <v>0</v>
      </c>
      <c r="R243" s="228">
        <f t="shared" si="24"/>
        <v>0</v>
      </c>
      <c r="S243" s="243">
        <f t="shared" si="23"/>
        <v>0</v>
      </c>
      <c r="T243" s="426">
        <f t="shared" si="26"/>
        <v>0</v>
      </c>
      <c r="V243" s="20"/>
      <c r="W243" s="20"/>
      <c r="X243" s="361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  <c r="AP243" s="20"/>
    </row>
    <row r="244" spans="1:42" s="238" customFormat="1" ht="18.75" customHeight="1" x14ac:dyDescent="0.35">
      <c r="A244" s="195"/>
      <c r="B244" s="254"/>
      <c r="C244" s="399"/>
      <c r="D244" s="3"/>
      <c r="E244" s="3"/>
      <c r="F244" s="20"/>
      <c r="G244" s="20"/>
      <c r="H244" s="255"/>
      <c r="I244" s="392"/>
      <c r="J244" s="392"/>
      <c r="K244" s="392"/>
      <c r="L244" s="404"/>
      <c r="M244" s="404"/>
      <c r="N244" s="404" t="str">
        <f t="shared" si="25"/>
        <v>NO</v>
      </c>
      <c r="O244" s="255"/>
      <c r="P244" s="204"/>
      <c r="Q244" s="227">
        <f t="shared" si="27"/>
        <v>0</v>
      </c>
      <c r="R244" s="228">
        <f t="shared" si="24"/>
        <v>0</v>
      </c>
      <c r="S244" s="243">
        <f t="shared" si="23"/>
        <v>0</v>
      </c>
      <c r="T244" s="426">
        <f t="shared" si="26"/>
        <v>0</v>
      </c>
      <c r="V244" s="20"/>
      <c r="W244" s="20"/>
      <c r="X244" s="361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  <c r="AP244" s="20"/>
    </row>
    <row r="245" spans="1:42" s="238" customFormat="1" ht="18.75" customHeight="1" x14ac:dyDescent="0.35">
      <c r="A245" s="195"/>
      <c r="B245" s="254"/>
      <c r="C245" s="399"/>
      <c r="D245" s="3"/>
      <c r="E245" s="3"/>
      <c r="F245" s="20"/>
      <c r="G245" s="20"/>
      <c r="H245" s="255"/>
      <c r="I245" s="392"/>
      <c r="J245" s="392"/>
      <c r="K245" s="392"/>
      <c r="L245" s="404"/>
      <c r="M245" s="404"/>
      <c r="N245" s="404" t="str">
        <f t="shared" si="25"/>
        <v>NO</v>
      </c>
      <c r="O245" s="255"/>
      <c r="P245" s="204"/>
      <c r="Q245" s="227">
        <f t="shared" si="27"/>
        <v>0</v>
      </c>
      <c r="R245" s="228">
        <f t="shared" si="24"/>
        <v>0</v>
      </c>
      <c r="S245" s="243">
        <f t="shared" si="23"/>
        <v>0</v>
      </c>
      <c r="T245" s="426">
        <f t="shared" si="26"/>
        <v>0</v>
      </c>
      <c r="V245" s="20"/>
      <c r="W245" s="20"/>
      <c r="X245" s="361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  <c r="AP245" s="20"/>
    </row>
    <row r="246" spans="1:42" s="238" customFormat="1" ht="18.75" customHeight="1" x14ac:dyDescent="0.35">
      <c r="A246" s="195"/>
      <c r="B246" s="254"/>
      <c r="C246" s="399"/>
      <c r="D246" s="3"/>
      <c r="E246" s="3"/>
      <c r="F246" s="20"/>
      <c r="G246" s="20"/>
      <c r="H246" s="255"/>
      <c r="I246" s="392"/>
      <c r="J246" s="392"/>
      <c r="K246" s="392"/>
      <c r="L246" s="404"/>
      <c r="M246" s="404"/>
      <c r="N246" s="404" t="str">
        <f t="shared" si="25"/>
        <v>NO</v>
      </c>
      <c r="O246" s="255"/>
      <c r="P246" s="204"/>
      <c r="Q246" s="227">
        <f t="shared" si="27"/>
        <v>0</v>
      </c>
      <c r="R246" s="228">
        <f t="shared" si="24"/>
        <v>0</v>
      </c>
      <c r="S246" s="243">
        <f t="shared" si="23"/>
        <v>0</v>
      </c>
      <c r="T246" s="426">
        <f t="shared" si="26"/>
        <v>0</v>
      </c>
      <c r="V246" s="20"/>
      <c r="W246" s="20"/>
      <c r="X246" s="361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  <c r="AP246" s="20"/>
    </row>
    <row r="247" spans="1:42" s="238" customFormat="1" ht="18.75" customHeight="1" x14ac:dyDescent="0.35">
      <c r="A247" s="195"/>
      <c r="B247" s="254"/>
      <c r="C247" s="399"/>
      <c r="D247" s="3"/>
      <c r="E247" s="3"/>
      <c r="F247" s="20"/>
      <c r="G247" s="20"/>
      <c r="H247" s="255"/>
      <c r="I247" s="392"/>
      <c r="J247" s="392"/>
      <c r="K247" s="392"/>
      <c r="L247" s="404"/>
      <c r="M247" s="404"/>
      <c r="N247" s="404" t="str">
        <f t="shared" si="25"/>
        <v>NO</v>
      </c>
      <c r="O247" s="255"/>
      <c r="P247" s="204"/>
      <c r="Q247" s="227">
        <f t="shared" si="27"/>
        <v>0</v>
      </c>
      <c r="R247" s="228">
        <f t="shared" si="24"/>
        <v>0</v>
      </c>
      <c r="S247" s="243">
        <f t="shared" si="23"/>
        <v>0</v>
      </c>
      <c r="T247" s="426">
        <f t="shared" si="26"/>
        <v>0</v>
      </c>
      <c r="V247" s="20"/>
      <c r="W247" s="20"/>
      <c r="X247" s="361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  <c r="AP247" s="20"/>
    </row>
    <row r="248" spans="1:42" s="238" customFormat="1" ht="18.75" customHeight="1" x14ac:dyDescent="0.35">
      <c r="A248" s="195"/>
      <c r="B248" s="254"/>
      <c r="C248" s="399"/>
      <c r="D248" s="3"/>
      <c r="E248" s="3"/>
      <c r="F248" s="20"/>
      <c r="G248" s="20"/>
      <c r="H248" s="255"/>
      <c r="I248" s="392"/>
      <c r="J248" s="392"/>
      <c r="K248" s="392"/>
      <c r="L248" s="404"/>
      <c r="M248" s="404"/>
      <c r="N248" s="404" t="str">
        <f t="shared" si="25"/>
        <v>NO</v>
      </c>
      <c r="O248" s="255"/>
      <c r="P248" s="204"/>
      <c r="Q248" s="227">
        <f t="shared" si="27"/>
        <v>0</v>
      </c>
      <c r="R248" s="228">
        <f t="shared" si="24"/>
        <v>0</v>
      </c>
      <c r="S248" s="243">
        <f t="shared" si="23"/>
        <v>0</v>
      </c>
      <c r="T248" s="426">
        <f t="shared" si="26"/>
        <v>0</v>
      </c>
      <c r="V248" s="20"/>
      <c r="W248" s="20"/>
      <c r="X248" s="361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  <c r="AP248" s="20"/>
    </row>
    <row r="249" spans="1:42" s="238" customFormat="1" ht="18.75" customHeight="1" x14ac:dyDescent="0.35">
      <c r="A249" s="195"/>
      <c r="B249" s="254"/>
      <c r="C249" s="399"/>
      <c r="D249" s="3"/>
      <c r="E249" s="3"/>
      <c r="F249" s="20"/>
      <c r="G249" s="20"/>
      <c r="H249" s="255"/>
      <c r="I249" s="392"/>
      <c r="J249" s="392"/>
      <c r="K249" s="392"/>
      <c r="L249" s="404"/>
      <c r="M249" s="404"/>
      <c r="N249" s="404" t="str">
        <f t="shared" si="25"/>
        <v>NO</v>
      </c>
      <c r="O249" s="255"/>
      <c r="P249" s="204"/>
      <c r="Q249" s="227">
        <f t="shared" si="27"/>
        <v>0</v>
      </c>
      <c r="R249" s="228">
        <f t="shared" si="24"/>
        <v>0</v>
      </c>
      <c r="S249" s="243">
        <f t="shared" si="23"/>
        <v>0</v>
      </c>
      <c r="T249" s="426">
        <f t="shared" si="26"/>
        <v>0</v>
      </c>
      <c r="V249" s="20"/>
      <c r="W249" s="20"/>
      <c r="X249" s="361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  <c r="AP249" s="20"/>
    </row>
    <row r="250" spans="1:42" s="238" customFormat="1" ht="18.75" customHeight="1" x14ac:dyDescent="0.35">
      <c r="A250" s="195"/>
      <c r="B250" s="254"/>
      <c r="C250" s="399"/>
      <c r="D250" s="3"/>
      <c r="E250" s="3"/>
      <c r="F250" s="20"/>
      <c r="G250" s="20"/>
      <c r="H250" s="255"/>
      <c r="I250" s="392"/>
      <c r="J250" s="392"/>
      <c r="K250" s="392"/>
      <c r="L250" s="404"/>
      <c r="M250" s="404"/>
      <c r="N250" s="404" t="str">
        <f t="shared" si="25"/>
        <v>NO</v>
      </c>
      <c r="O250" s="255"/>
      <c r="P250" s="204"/>
      <c r="Q250" s="227">
        <f t="shared" si="27"/>
        <v>0</v>
      </c>
      <c r="R250" s="228">
        <f t="shared" si="24"/>
        <v>0</v>
      </c>
      <c r="S250" s="243">
        <f t="shared" si="23"/>
        <v>0</v>
      </c>
      <c r="T250" s="426">
        <f t="shared" si="26"/>
        <v>0</v>
      </c>
      <c r="V250" s="20"/>
      <c r="W250" s="20"/>
      <c r="X250" s="361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  <c r="AP250" s="20"/>
    </row>
    <row r="251" spans="1:42" s="238" customFormat="1" ht="18.75" customHeight="1" x14ac:dyDescent="0.35">
      <c r="A251" s="195"/>
      <c r="B251" s="254"/>
      <c r="C251" s="399"/>
      <c r="D251" s="3"/>
      <c r="E251" s="3"/>
      <c r="F251" s="20"/>
      <c r="G251" s="20"/>
      <c r="H251" s="255"/>
      <c r="I251" s="392"/>
      <c r="J251" s="392"/>
      <c r="K251" s="392"/>
      <c r="L251" s="404"/>
      <c r="M251" s="404"/>
      <c r="N251" s="404" t="str">
        <f t="shared" si="25"/>
        <v>NO</v>
      </c>
      <c r="O251" s="255"/>
      <c r="P251" s="204"/>
      <c r="Q251" s="227">
        <f t="shared" si="27"/>
        <v>0</v>
      </c>
      <c r="R251" s="228">
        <f t="shared" si="24"/>
        <v>0</v>
      </c>
      <c r="S251" s="243">
        <f t="shared" si="23"/>
        <v>0</v>
      </c>
      <c r="T251" s="426">
        <f t="shared" si="26"/>
        <v>0</v>
      </c>
      <c r="V251" s="20"/>
      <c r="W251" s="20"/>
      <c r="X251" s="361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  <c r="AP251" s="20"/>
    </row>
    <row r="252" spans="1:42" s="238" customFormat="1" ht="18.75" customHeight="1" x14ac:dyDescent="0.35">
      <c r="A252" s="195"/>
      <c r="B252" s="254"/>
      <c r="C252" s="399"/>
      <c r="D252" s="3"/>
      <c r="E252" s="3"/>
      <c r="F252" s="20"/>
      <c r="G252" s="20"/>
      <c r="H252" s="255"/>
      <c r="I252" s="392"/>
      <c r="J252" s="392"/>
      <c r="K252" s="392"/>
      <c r="L252" s="404"/>
      <c r="M252" s="404"/>
      <c r="N252" s="404" t="str">
        <f t="shared" si="25"/>
        <v>NO</v>
      </c>
      <c r="O252" s="255"/>
      <c r="P252" s="204"/>
      <c r="Q252" s="227">
        <f t="shared" si="27"/>
        <v>0</v>
      </c>
      <c r="R252" s="228">
        <f t="shared" si="24"/>
        <v>0</v>
      </c>
      <c r="S252" s="243">
        <f t="shared" si="23"/>
        <v>0</v>
      </c>
      <c r="T252" s="426">
        <f t="shared" si="26"/>
        <v>0</v>
      </c>
      <c r="V252" s="20"/>
      <c r="W252" s="20"/>
      <c r="X252" s="361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  <c r="AP252" s="20"/>
    </row>
    <row r="253" spans="1:42" s="238" customFormat="1" ht="18.75" customHeight="1" x14ac:dyDescent="0.35">
      <c r="A253" s="195"/>
      <c r="B253" s="254"/>
      <c r="C253" s="399"/>
      <c r="D253" s="3"/>
      <c r="E253" s="3"/>
      <c r="F253" s="20"/>
      <c r="G253" s="20"/>
      <c r="H253" s="255"/>
      <c r="I253" s="392"/>
      <c r="J253" s="392"/>
      <c r="K253" s="392"/>
      <c r="L253" s="404"/>
      <c r="M253" s="404"/>
      <c r="N253" s="404" t="str">
        <f t="shared" si="25"/>
        <v>NO</v>
      </c>
      <c r="O253" s="255"/>
      <c r="P253" s="204"/>
      <c r="Q253" s="227">
        <f t="shared" si="27"/>
        <v>0</v>
      </c>
      <c r="R253" s="228">
        <f t="shared" si="24"/>
        <v>0</v>
      </c>
      <c r="S253" s="243">
        <f t="shared" si="23"/>
        <v>0</v>
      </c>
      <c r="T253" s="426">
        <f t="shared" si="26"/>
        <v>0</v>
      </c>
      <c r="V253" s="20"/>
      <c r="W253" s="20"/>
      <c r="X253" s="361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  <c r="AP253" s="20"/>
    </row>
    <row r="254" spans="1:42" s="238" customFormat="1" ht="18.75" customHeight="1" x14ac:dyDescent="0.35">
      <c r="A254" s="195"/>
      <c r="B254" s="254"/>
      <c r="C254" s="399"/>
      <c r="D254" s="3"/>
      <c r="E254" s="3"/>
      <c r="F254" s="20"/>
      <c r="G254" s="20"/>
      <c r="H254" s="255"/>
      <c r="I254" s="392"/>
      <c r="J254" s="392"/>
      <c r="K254" s="392"/>
      <c r="L254" s="404"/>
      <c r="M254" s="404"/>
      <c r="N254" s="404" t="str">
        <f t="shared" si="25"/>
        <v>NO</v>
      </c>
      <c r="O254" s="255"/>
      <c r="P254" s="204"/>
      <c r="Q254" s="227">
        <f t="shared" si="27"/>
        <v>0</v>
      </c>
      <c r="R254" s="228">
        <f t="shared" si="24"/>
        <v>0</v>
      </c>
      <c r="S254" s="243">
        <f t="shared" si="23"/>
        <v>0</v>
      </c>
      <c r="T254" s="426">
        <f t="shared" si="26"/>
        <v>0</v>
      </c>
      <c r="V254" s="20"/>
      <c r="W254" s="20"/>
      <c r="X254" s="361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  <c r="AP254" s="20"/>
    </row>
    <row r="255" spans="1:42" s="238" customFormat="1" ht="18.75" customHeight="1" x14ac:dyDescent="0.35">
      <c r="A255" s="195"/>
      <c r="B255" s="254"/>
      <c r="C255" s="399"/>
      <c r="D255" s="3"/>
      <c r="E255" s="3"/>
      <c r="F255" s="20"/>
      <c r="G255" s="20"/>
      <c r="H255" s="255"/>
      <c r="I255" s="392"/>
      <c r="J255" s="392"/>
      <c r="K255" s="392"/>
      <c r="L255" s="404"/>
      <c r="M255" s="404"/>
      <c r="N255" s="404" t="str">
        <f t="shared" si="25"/>
        <v>NO</v>
      </c>
      <c r="O255" s="255"/>
      <c r="P255" s="204"/>
      <c r="Q255" s="227">
        <f t="shared" si="27"/>
        <v>0</v>
      </c>
      <c r="R255" s="228">
        <f t="shared" si="24"/>
        <v>0</v>
      </c>
      <c r="S255" s="243">
        <f t="shared" si="23"/>
        <v>0</v>
      </c>
      <c r="T255" s="426">
        <f t="shared" si="26"/>
        <v>0</v>
      </c>
      <c r="V255" s="20"/>
      <c r="W255" s="20"/>
      <c r="X255" s="361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  <c r="AP255" s="20"/>
    </row>
    <row r="256" spans="1:42" s="238" customFormat="1" ht="18.75" customHeight="1" x14ac:dyDescent="0.35">
      <c r="A256" s="195"/>
      <c r="B256" s="254"/>
      <c r="C256" s="399"/>
      <c r="D256" s="3"/>
      <c r="E256" s="3"/>
      <c r="F256" s="20"/>
      <c r="G256" s="20"/>
      <c r="H256" s="255"/>
      <c r="I256" s="392"/>
      <c r="J256" s="392"/>
      <c r="K256" s="392"/>
      <c r="L256" s="404"/>
      <c r="M256" s="404"/>
      <c r="N256" s="404" t="str">
        <f t="shared" si="25"/>
        <v>NO</v>
      </c>
      <c r="O256" s="255"/>
      <c r="P256" s="204"/>
      <c r="Q256" s="227">
        <f t="shared" si="27"/>
        <v>0</v>
      </c>
      <c r="R256" s="228">
        <f t="shared" si="24"/>
        <v>0</v>
      </c>
      <c r="S256" s="243">
        <f t="shared" si="23"/>
        <v>0</v>
      </c>
      <c r="T256" s="426">
        <f t="shared" si="26"/>
        <v>0</v>
      </c>
      <c r="V256" s="20"/>
      <c r="W256" s="20"/>
      <c r="X256" s="361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  <c r="AP256" s="20"/>
    </row>
    <row r="257" spans="1:42" s="238" customFormat="1" ht="18.75" customHeight="1" x14ac:dyDescent="0.35">
      <c r="A257" s="195"/>
      <c r="B257" s="254"/>
      <c r="C257" s="399"/>
      <c r="D257" s="3"/>
      <c r="E257" s="3"/>
      <c r="F257" s="20"/>
      <c r="G257" s="20"/>
      <c r="H257" s="255"/>
      <c r="I257" s="392"/>
      <c r="J257" s="392"/>
      <c r="K257" s="392"/>
      <c r="L257" s="404"/>
      <c r="M257" s="404"/>
      <c r="N257" s="404" t="str">
        <f t="shared" si="25"/>
        <v>NO</v>
      </c>
      <c r="O257" s="255"/>
      <c r="P257" s="204"/>
      <c r="Q257" s="227">
        <f t="shared" si="27"/>
        <v>0</v>
      </c>
      <c r="R257" s="228">
        <f t="shared" si="24"/>
        <v>0</v>
      </c>
      <c r="S257" s="243">
        <f t="shared" ref="S257:S320" si="28">R257*0.05</f>
        <v>0</v>
      </c>
      <c r="T257" s="426">
        <f t="shared" si="26"/>
        <v>0</v>
      </c>
      <c r="V257" s="20"/>
      <c r="W257" s="20"/>
      <c r="X257" s="361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  <c r="AP257" s="20"/>
    </row>
    <row r="258" spans="1:42" s="238" customFormat="1" ht="18.75" customHeight="1" x14ac:dyDescent="0.35">
      <c r="A258" s="195"/>
      <c r="B258" s="254"/>
      <c r="C258" s="399"/>
      <c r="D258" s="3"/>
      <c r="E258" s="3"/>
      <c r="F258" s="20"/>
      <c r="G258" s="20"/>
      <c r="H258" s="255"/>
      <c r="I258" s="392"/>
      <c r="J258" s="392"/>
      <c r="K258" s="392"/>
      <c r="L258" s="404"/>
      <c r="M258" s="404"/>
      <c r="N258" s="404" t="str">
        <f t="shared" si="25"/>
        <v>NO</v>
      </c>
      <c r="O258" s="255"/>
      <c r="P258" s="204"/>
      <c r="Q258" s="227">
        <f t="shared" si="27"/>
        <v>0</v>
      </c>
      <c r="R258" s="228">
        <f t="shared" si="24"/>
        <v>0</v>
      </c>
      <c r="S258" s="243">
        <f t="shared" si="28"/>
        <v>0</v>
      </c>
      <c r="T258" s="426">
        <f t="shared" si="26"/>
        <v>0</v>
      </c>
      <c r="V258" s="20"/>
      <c r="W258" s="20"/>
      <c r="X258" s="361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  <c r="AP258" s="20"/>
    </row>
    <row r="259" spans="1:42" s="238" customFormat="1" ht="18.75" customHeight="1" x14ac:dyDescent="0.35">
      <c r="A259" s="195"/>
      <c r="B259" s="254"/>
      <c r="C259" s="399"/>
      <c r="D259" s="3"/>
      <c r="E259" s="3"/>
      <c r="F259" s="20"/>
      <c r="G259" s="20"/>
      <c r="H259" s="255"/>
      <c r="I259" s="392"/>
      <c r="J259" s="392"/>
      <c r="K259" s="392"/>
      <c r="L259" s="404"/>
      <c r="M259" s="404"/>
      <c r="N259" s="404" t="str">
        <f t="shared" si="25"/>
        <v>NO</v>
      </c>
      <c r="O259" s="255"/>
      <c r="P259" s="204"/>
      <c r="Q259" s="227">
        <f t="shared" si="27"/>
        <v>0</v>
      </c>
      <c r="R259" s="228">
        <f t="shared" ref="R259:R322" si="29">IF(N259="Si", P259-Q259-L259, P259-Q259)</f>
        <v>0</v>
      </c>
      <c r="S259" s="243">
        <f t="shared" si="28"/>
        <v>0</v>
      </c>
      <c r="T259" s="426">
        <f t="shared" si="26"/>
        <v>0</v>
      </c>
      <c r="V259" s="20"/>
      <c r="W259" s="20"/>
      <c r="X259" s="361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  <c r="AP259" s="20"/>
    </row>
    <row r="260" spans="1:42" s="238" customFormat="1" ht="18.75" customHeight="1" x14ac:dyDescent="0.35">
      <c r="A260" s="195"/>
      <c r="B260" s="254"/>
      <c r="C260" s="399"/>
      <c r="D260" s="3"/>
      <c r="E260" s="3"/>
      <c r="F260" s="20"/>
      <c r="G260" s="20"/>
      <c r="H260" s="255"/>
      <c r="I260" s="392"/>
      <c r="J260" s="392"/>
      <c r="K260" s="392"/>
      <c r="L260" s="404"/>
      <c r="M260" s="404"/>
      <c r="N260" s="404" t="str">
        <f t="shared" si="25"/>
        <v>NO</v>
      </c>
      <c r="O260" s="255"/>
      <c r="P260" s="204"/>
      <c r="Q260" s="227">
        <f t="shared" si="27"/>
        <v>0</v>
      </c>
      <c r="R260" s="228">
        <f t="shared" si="29"/>
        <v>0</v>
      </c>
      <c r="S260" s="243">
        <f t="shared" si="28"/>
        <v>0</v>
      </c>
      <c r="T260" s="426">
        <f t="shared" si="26"/>
        <v>0</v>
      </c>
      <c r="V260" s="20"/>
      <c r="W260" s="20"/>
      <c r="X260" s="361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  <c r="AP260" s="20"/>
    </row>
    <row r="261" spans="1:42" s="238" customFormat="1" ht="18.75" customHeight="1" x14ac:dyDescent="0.35">
      <c r="A261" s="195"/>
      <c r="B261" s="254"/>
      <c r="C261" s="399"/>
      <c r="D261" s="3"/>
      <c r="E261" s="3"/>
      <c r="F261" s="20"/>
      <c r="G261" s="20"/>
      <c r="H261" s="255"/>
      <c r="I261" s="392"/>
      <c r="J261" s="392"/>
      <c r="K261" s="392"/>
      <c r="L261" s="404"/>
      <c r="M261" s="404"/>
      <c r="N261" s="404" t="str">
        <f t="shared" si="25"/>
        <v>NO</v>
      </c>
      <c r="O261" s="255"/>
      <c r="P261" s="204"/>
      <c r="Q261" s="227">
        <f t="shared" si="27"/>
        <v>0</v>
      </c>
      <c r="R261" s="228">
        <f t="shared" si="29"/>
        <v>0</v>
      </c>
      <c r="S261" s="243">
        <f t="shared" si="28"/>
        <v>0</v>
      </c>
      <c r="T261" s="426">
        <f t="shared" si="26"/>
        <v>0</v>
      </c>
      <c r="V261" s="20"/>
      <c r="W261" s="20"/>
      <c r="X261" s="361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  <c r="AP261" s="20"/>
    </row>
    <row r="262" spans="1:42" s="238" customFormat="1" ht="18.75" customHeight="1" x14ac:dyDescent="0.35">
      <c r="A262" s="195"/>
      <c r="B262" s="254"/>
      <c r="C262" s="399"/>
      <c r="D262" s="3"/>
      <c r="E262" s="3"/>
      <c r="F262" s="20"/>
      <c r="G262" s="20"/>
      <c r="H262" s="255"/>
      <c r="I262" s="392"/>
      <c r="J262" s="392"/>
      <c r="K262" s="392"/>
      <c r="L262" s="404"/>
      <c r="M262" s="404"/>
      <c r="N262" s="404" t="str">
        <f t="shared" ref="N262" si="30">IF(O262="Mercado Envíos Flex","SI","NO")</f>
        <v>NO</v>
      </c>
      <c r="O262" s="255"/>
      <c r="P262" s="204"/>
      <c r="Q262" s="227">
        <f t="shared" si="27"/>
        <v>0</v>
      </c>
      <c r="R262" s="228">
        <f t="shared" si="29"/>
        <v>0</v>
      </c>
      <c r="S262" s="243">
        <f t="shared" si="28"/>
        <v>0</v>
      </c>
      <c r="T262" s="426">
        <f t="shared" ref="T262:T325" si="31">R262*$T$2</f>
        <v>0</v>
      </c>
      <c r="V262" s="20"/>
      <c r="W262" s="20"/>
      <c r="X262" s="361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  <c r="AP262" s="20"/>
    </row>
    <row r="263" spans="1:42" s="238" customFormat="1" ht="18.75" customHeight="1" x14ac:dyDescent="0.35">
      <c r="A263" s="195"/>
      <c r="B263" s="254"/>
      <c r="C263" s="399"/>
      <c r="D263" s="3"/>
      <c r="E263" s="3"/>
      <c r="F263" s="20"/>
      <c r="G263" s="20"/>
      <c r="H263" s="255"/>
      <c r="I263" s="392"/>
      <c r="J263" s="392"/>
      <c r="K263" s="392"/>
      <c r="L263" s="404"/>
      <c r="M263" s="404"/>
      <c r="N263" s="404"/>
      <c r="O263" s="255"/>
      <c r="P263" s="204"/>
      <c r="Q263" s="227">
        <f t="shared" si="27"/>
        <v>0</v>
      </c>
      <c r="R263" s="228">
        <f t="shared" si="29"/>
        <v>0</v>
      </c>
      <c r="S263" s="243">
        <f t="shared" si="28"/>
        <v>0</v>
      </c>
      <c r="T263" s="426">
        <f t="shared" si="31"/>
        <v>0</v>
      </c>
      <c r="V263" s="20"/>
      <c r="W263" s="20"/>
      <c r="X263" s="361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  <c r="AP263" s="20"/>
    </row>
    <row r="264" spans="1:42" s="238" customFormat="1" ht="18.75" customHeight="1" x14ac:dyDescent="0.35">
      <c r="A264" s="195"/>
      <c r="B264" s="254"/>
      <c r="C264" s="399"/>
      <c r="D264" s="3"/>
      <c r="E264" s="3"/>
      <c r="F264" s="20"/>
      <c r="G264" s="20"/>
      <c r="H264" s="255"/>
      <c r="I264" s="392"/>
      <c r="J264" s="392"/>
      <c r="K264" s="392"/>
      <c r="L264" s="404"/>
      <c r="M264" s="404"/>
      <c r="N264" s="404"/>
      <c r="O264" s="255"/>
      <c r="P264" s="204"/>
      <c r="Q264" s="227">
        <f t="shared" si="27"/>
        <v>0</v>
      </c>
      <c r="R264" s="228">
        <f t="shared" si="29"/>
        <v>0</v>
      </c>
      <c r="S264" s="243">
        <f t="shared" si="28"/>
        <v>0</v>
      </c>
      <c r="T264" s="426">
        <f t="shared" si="31"/>
        <v>0</v>
      </c>
      <c r="V264" s="20"/>
      <c r="W264" s="20"/>
      <c r="X264" s="361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  <c r="AP264" s="20"/>
    </row>
    <row r="265" spans="1:42" s="238" customFormat="1" ht="18.75" customHeight="1" x14ac:dyDescent="0.35">
      <c r="A265" s="195"/>
      <c r="B265" s="254"/>
      <c r="C265" s="399"/>
      <c r="D265" s="3"/>
      <c r="E265" s="3"/>
      <c r="F265" s="20"/>
      <c r="G265" s="20"/>
      <c r="H265" s="255"/>
      <c r="I265" s="392"/>
      <c r="J265" s="392"/>
      <c r="K265" s="392"/>
      <c r="L265" s="404"/>
      <c r="M265" s="404"/>
      <c r="N265" s="404"/>
      <c r="O265" s="255"/>
      <c r="P265" s="204"/>
      <c r="Q265" s="227">
        <f t="shared" si="27"/>
        <v>0</v>
      </c>
      <c r="R265" s="228">
        <f t="shared" si="29"/>
        <v>0</v>
      </c>
      <c r="S265" s="243">
        <f t="shared" si="28"/>
        <v>0</v>
      </c>
      <c r="T265" s="426">
        <f t="shared" si="31"/>
        <v>0</v>
      </c>
      <c r="V265" s="20"/>
      <c r="W265" s="20"/>
      <c r="X265" s="361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  <c r="AP265" s="20"/>
    </row>
    <row r="266" spans="1:42" s="238" customFormat="1" ht="18.75" customHeight="1" x14ac:dyDescent="0.35">
      <c r="A266" s="195"/>
      <c r="B266" s="254"/>
      <c r="C266" s="399"/>
      <c r="D266" s="3"/>
      <c r="E266" s="3"/>
      <c r="F266" s="20"/>
      <c r="G266" s="20"/>
      <c r="H266" s="255"/>
      <c r="I266" s="392"/>
      <c r="J266" s="392"/>
      <c r="K266" s="392"/>
      <c r="L266" s="404"/>
      <c r="M266" s="404"/>
      <c r="N266" s="404"/>
      <c r="O266" s="255"/>
      <c r="P266" s="204"/>
      <c r="Q266" s="227">
        <f t="shared" si="27"/>
        <v>0</v>
      </c>
      <c r="R266" s="228">
        <f t="shared" si="29"/>
        <v>0</v>
      </c>
      <c r="S266" s="243">
        <f t="shared" si="28"/>
        <v>0</v>
      </c>
      <c r="T266" s="426">
        <f t="shared" si="31"/>
        <v>0</v>
      </c>
      <c r="V266" s="20"/>
      <c r="W266" s="20"/>
      <c r="X266" s="361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  <c r="AP266" s="20"/>
    </row>
    <row r="267" spans="1:42" s="238" customFormat="1" ht="18.75" customHeight="1" x14ac:dyDescent="0.35">
      <c r="A267" s="195"/>
      <c r="B267" s="254"/>
      <c r="C267" s="399"/>
      <c r="D267" s="3"/>
      <c r="E267" s="3"/>
      <c r="F267" s="20"/>
      <c r="G267" s="20"/>
      <c r="H267" s="255"/>
      <c r="I267" s="392"/>
      <c r="J267" s="392"/>
      <c r="K267" s="392"/>
      <c r="L267" s="404"/>
      <c r="M267" s="404"/>
      <c r="N267" s="404"/>
      <c r="O267" s="255"/>
      <c r="P267" s="204"/>
      <c r="Q267" s="227">
        <f t="shared" si="27"/>
        <v>0</v>
      </c>
      <c r="R267" s="228">
        <f t="shared" si="29"/>
        <v>0</v>
      </c>
      <c r="S267" s="243">
        <f t="shared" si="28"/>
        <v>0</v>
      </c>
      <c r="T267" s="426">
        <f t="shared" si="31"/>
        <v>0</v>
      </c>
      <c r="V267" s="20"/>
      <c r="W267" s="20"/>
      <c r="X267" s="361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  <c r="AP267" s="20"/>
    </row>
    <row r="268" spans="1:42" s="238" customFormat="1" ht="18.75" customHeight="1" x14ac:dyDescent="0.35">
      <c r="A268" s="195"/>
      <c r="B268" s="254"/>
      <c r="C268" s="399"/>
      <c r="D268" s="3"/>
      <c r="E268" s="3"/>
      <c r="F268" s="20"/>
      <c r="G268" s="20"/>
      <c r="H268" s="255"/>
      <c r="I268" s="392"/>
      <c r="J268" s="392"/>
      <c r="K268" s="392"/>
      <c r="L268" s="404"/>
      <c r="M268" s="404"/>
      <c r="N268" s="404"/>
      <c r="O268" s="255"/>
      <c r="P268" s="204"/>
      <c r="Q268" s="227">
        <f t="shared" si="27"/>
        <v>0</v>
      </c>
      <c r="R268" s="228">
        <f t="shared" si="29"/>
        <v>0</v>
      </c>
      <c r="S268" s="243">
        <f t="shared" si="28"/>
        <v>0</v>
      </c>
      <c r="T268" s="426">
        <f t="shared" si="31"/>
        <v>0</v>
      </c>
      <c r="V268" s="20"/>
      <c r="W268" s="20"/>
      <c r="X268" s="361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  <c r="AP268" s="20"/>
    </row>
    <row r="269" spans="1:42" s="238" customFormat="1" ht="18.75" customHeight="1" x14ac:dyDescent="0.35">
      <c r="A269" s="195"/>
      <c r="B269" s="254"/>
      <c r="C269" s="399"/>
      <c r="D269" s="3"/>
      <c r="E269" s="3"/>
      <c r="F269" s="20"/>
      <c r="G269" s="20"/>
      <c r="H269" s="255"/>
      <c r="I269" s="392"/>
      <c r="J269" s="392"/>
      <c r="K269" s="392"/>
      <c r="L269" s="404"/>
      <c r="M269" s="404"/>
      <c r="N269" s="404"/>
      <c r="O269" s="255"/>
      <c r="P269" s="204"/>
      <c r="Q269" s="227">
        <f t="shared" si="27"/>
        <v>0</v>
      </c>
      <c r="R269" s="228">
        <f t="shared" si="29"/>
        <v>0</v>
      </c>
      <c r="S269" s="243">
        <f t="shared" si="28"/>
        <v>0</v>
      </c>
      <c r="T269" s="426">
        <f t="shared" si="31"/>
        <v>0</v>
      </c>
      <c r="V269" s="20"/>
      <c r="W269" s="20"/>
      <c r="X269" s="361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  <c r="AP269" s="20"/>
    </row>
    <row r="270" spans="1:42" s="238" customFormat="1" ht="18.75" customHeight="1" x14ac:dyDescent="0.35">
      <c r="A270" s="195"/>
      <c r="B270" s="254"/>
      <c r="C270" s="399"/>
      <c r="D270" s="3"/>
      <c r="E270" s="3"/>
      <c r="F270" s="20"/>
      <c r="G270" s="20"/>
      <c r="H270" s="255"/>
      <c r="I270" s="392"/>
      <c r="J270" s="392"/>
      <c r="K270" s="392"/>
      <c r="L270" s="404"/>
      <c r="M270" s="404"/>
      <c r="N270" s="404"/>
      <c r="O270" s="255"/>
      <c r="P270" s="204"/>
      <c r="Q270" s="227">
        <f t="shared" si="27"/>
        <v>0</v>
      </c>
      <c r="R270" s="228">
        <f t="shared" si="29"/>
        <v>0</v>
      </c>
      <c r="S270" s="243">
        <f t="shared" si="28"/>
        <v>0</v>
      </c>
      <c r="T270" s="426">
        <f t="shared" si="31"/>
        <v>0</v>
      </c>
      <c r="V270" s="20"/>
      <c r="W270" s="20"/>
      <c r="X270" s="361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  <c r="AP270" s="20"/>
    </row>
    <row r="271" spans="1:42" s="238" customFormat="1" ht="18.75" customHeight="1" x14ac:dyDescent="0.35">
      <c r="A271" s="195"/>
      <c r="B271" s="254"/>
      <c r="C271" s="399"/>
      <c r="D271" s="3"/>
      <c r="E271" s="3"/>
      <c r="F271" s="20"/>
      <c r="G271" s="20"/>
      <c r="H271" s="255"/>
      <c r="I271" s="392"/>
      <c r="J271" s="392"/>
      <c r="K271" s="392"/>
      <c r="L271" s="404"/>
      <c r="M271" s="404"/>
      <c r="N271" s="404"/>
      <c r="O271" s="255"/>
      <c r="P271" s="204"/>
      <c r="Q271" s="227">
        <f t="shared" si="27"/>
        <v>0</v>
      </c>
      <c r="R271" s="228">
        <f t="shared" si="29"/>
        <v>0</v>
      </c>
      <c r="S271" s="243">
        <f t="shared" si="28"/>
        <v>0</v>
      </c>
      <c r="T271" s="426">
        <f t="shared" si="31"/>
        <v>0</v>
      </c>
      <c r="V271" s="20"/>
      <c r="W271" s="20"/>
      <c r="X271" s="361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  <c r="AP271" s="20"/>
    </row>
    <row r="272" spans="1:42" s="238" customFormat="1" ht="18.75" customHeight="1" x14ac:dyDescent="0.35">
      <c r="A272" s="195"/>
      <c r="B272" s="254"/>
      <c r="C272" s="399"/>
      <c r="D272" s="3"/>
      <c r="E272" s="3"/>
      <c r="F272" s="20"/>
      <c r="G272" s="20"/>
      <c r="H272" s="255"/>
      <c r="I272" s="392"/>
      <c r="J272" s="392"/>
      <c r="K272" s="392"/>
      <c r="L272" s="404"/>
      <c r="M272" s="404"/>
      <c r="N272" s="404"/>
      <c r="O272" s="255"/>
      <c r="P272" s="204"/>
      <c r="Q272" s="227">
        <f t="shared" si="27"/>
        <v>0</v>
      </c>
      <c r="R272" s="228">
        <f t="shared" si="29"/>
        <v>0</v>
      </c>
      <c r="S272" s="243">
        <f t="shared" si="28"/>
        <v>0</v>
      </c>
      <c r="T272" s="426">
        <f t="shared" si="31"/>
        <v>0</v>
      </c>
      <c r="V272" s="20"/>
      <c r="W272" s="20"/>
      <c r="X272" s="361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  <c r="AP272" s="20"/>
    </row>
    <row r="273" spans="1:42" s="238" customFormat="1" ht="18.75" customHeight="1" x14ac:dyDescent="0.35">
      <c r="A273" s="195"/>
      <c r="B273" s="254"/>
      <c r="C273" s="399"/>
      <c r="D273" s="3"/>
      <c r="E273" s="3"/>
      <c r="F273" s="20"/>
      <c r="G273" s="20"/>
      <c r="H273" s="255"/>
      <c r="I273" s="392"/>
      <c r="J273" s="392"/>
      <c r="K273" s="392"/>
      <c r="L273" s="404"/>
      <c r="M273" s="404"/>
      <c r="N273" s="404"/>
      <c r="O273" s="255"/>
      <c r="P273" s="204"/>
      <c r="Q273" s="227">
        <f t="shared" si="27"/>
        <v>0</v>
      </c>
      <c r="R273" s="228">
        <f t="shared" si="29"/>
        <v>0</v>
      </c>
      <c r="S273" s="243">
        <f t="shared" si="28"/>
        <v>0</v>
      </c>
      <c r="T273" s="426">
        <f t="shared" si="31"/>
        <v>0</v>
      </c>
      <c r="V273" s="20"/>
      <c r="W273" s="20"/>
      <c r="X273" s="361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  <c r="AP273" s="20"/>
    </row>
    <row r="274" spans="1:42" s="238" customFormat="1" ht="18.75" customHeight="1" x14ac:dyDescent="0.35">
      <c r="A274" s="195"/>
      <c r="B274" s="254"/>
      <c r="C274" s="399"/>
      <c r="D274" s="3"/>
      <c r="E274" s="3"/>
      <c r="F274" s="20"/>
      <c r="G274" s="20"/>
      <c r="H274" s="255"/>
      <c r="I274" s="392"/>
      <c r="J274" s="392"/>
      <c r="K274" s="392"/>
      <c r="L274" s="404"/>
      <c r="M274" s="404"/>
      <c r="N274" s="404"/>
      <c r="O274" s="255"/>
      <c r="P274" s="204"/>
      <c r="Q274" s="227">
        <f t="shared" si="27"/>
        <v>0</v>
      </c>
      <c r="R274" s="228">
        <f t="shared" si="29"/>
        <v>0</v>
      </c>
      <c r="S274" s="243">
        <f t="shared" si="28"/>
        <v>0</v>
      </c>
      <c r="T274" s="426">
        <f t="shared" si="31"/>
        <v>0</v>
      </c>
      <c r="V274" s="20"/>
      <c r="W274" s="20"/>
      <c r="X274" s="361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  <c r="AP274" s="20"/>
    </row>
    <row r="275" spans="1:42" s="238" customFormat="1" ht="18.75" customHeight="1" x14ac:dyDescent="0.35">
      <c r="A275" s="195"/>
      <c r="B275" s="254"/>
      <c r="C275" s="399"/>
      <c r="D275" s="3"/>
      <c r="E275" s="3"/>
      <c r="F275" s="20"/>
      <c r="G275" s="20"/>
      <c r="H275" s="255"/>
      <c r="I275" s="392"/>
      <c r="J275" s="392"/>
      <c r="K275" s="392"/>
      <c r="L275" s="404"/>
      <c r="M275" s="404"/>
      <c r="N275" s="404"/>
      <c r="O275" s="255"/>
      <c r="P275" s="204"/>
      <c r="Q275" s="227">
        <f t="shared" si="27"/>
        <v>0</v>
      </c>
      <c r="R275" s="228">
        <f t="shared" si="29"/>
        <v>0</v>
      </c>
      <c r="S275" s="243">
        <f t="shared" si="28"/>
        <v>0</v>
      </c>
      <c r="T275" s="426">
        <f t="shared" si="31"/>
        <v>0</v>
      </c>
      <c r="V275" s="20"/>
      <c r="W275" s="20"/>
      <c r="X275" s="361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  <c r="AP275" s="20"/>
    </row>
    <row r="276" spans="1:42" s="238" customFormat="1" ht="18.75" customHeight="1" x14ac:dyDescent="0.35">
      <c r="A276" s="195"/>
      <c r="B276" s="254"/>
      <c r="C276" s="399"/>
      <c r="D276" s="3"/>
      <c r="E276" s="3"/>
      <c r="F276" s="20"/>
      <c r="G276" s="20"/>
      <c r="H276" s="255"/>
      <c r="I276" s="392"/>
      <c r="J276" s="392"/>
      <c r="K276" s="392"/>
      <c r="L276" s="404"/>
      <c r="M276" s="404"/>
      <c r="N276" s="404"/>
      <c r="O276" s="255"/>
      <c r="P276" s="204"/>
      <c r="Q276" s="227">
        <f t="shared" si="27"/>
        <v>0</v>
      </c>
      <c r="R276" s="228">
        <f t="shared" si="29"/>
        <v>0</v>
      </c>
      <c r="S276" s="243">
        <f t="shared" si="28"/>
        <v>0</v>
      </c>
      <c r="T276" s="426">
        <f t="shared" si="31"/>
        <v>0</v>
      </c>
      <c r="V276" s="20"/>
      <c r="W276" s="20"/>
      <c r="X276" s="361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  <c r="AP276" s="20"/>
    </row>
    <row r="277" spans="1:42" s="238" customFormat="1" ht="18.75" customHeight="1" x14ac:dyDescent="0.35">
      <c r="A277" s="195"/>
      <c r="B277" s="254"/>
      <c r="C277" s="399"/>
      <c r="D277" s="3"/>
      <c r="E277" s="3"/>
      <c r="F277" s="20"/>
      <c r="G277" s="20"/>
      <c r="H277" s="255"/>
      <c r="I277" s="392"/>
      <c r="J277" s="392"/>
      <c r="K277" s="392"/>
      <c r="L277" s="404"/>
      <c r="M277" s="404"/>
      <c r="N277" s="404"/>
      <c r="O277" s="255"/>
      <c r="P277" s="204"/>
      <c r="Q277" s="227">
        <f t="shared" si="27"/>
        <v>0</v>
      </c>
      <c r="R277" s="228">
        <f t="shared" si="29"/>
        <v>0</v>
      </c>
      <c r="S277" s="243">
        <f t="shared" si="28"/>
        <v>0</v>
      </c>
      <c r="T277" s="426">
        <f t="shared" si="31"/>
        <v>0</v>
      </c>
      <c r="V277" s="20"/>
      <c r="W277" s="20"/>
      <c r="X277" s="361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  <c r="AP277" s="20"/>
    </row>
    <row r="278" spans="1:42" s="238" customFormat="1" ht="18.75" customHeight="1" x14ac:dyDescent="0.35">
      <c r="A278" s="195"/>
      <c r="B278" s="254"/>
      <c r="C278" s="399"/>
      <c r="D278" s="3"/>
      <c r="E278" s="3"/>
      <c r="F278" s="20"/>
      <c r="G278" s="20"/>
      <c r="H278" s="255"/>
      <c r="I278" s="392"/>
      <c r="J278" s="392"/>
      <c r="K278" s="392"/>
      <c r="L278" s="404"/>
      <c r="M278" s="404"/>
      <c r="N278" s="404"/>
      <c r="O278" s="255"/>
      <c r="P278" s="204"/>
      <c r="Q278" s="227">
        <f t="shared" si="27"/>
        <v>0</v>
      </c>
      <c r="R278" s="228">
        <f t="shared" si="29"/>
        <v>0</v>
      </c>
      <c r="S278" s="243">
        <f t="shared" si="28"/>
        <v>0</v>
      </c>
      <c r="T278" s="426">
        <f t="shared" si="31"/>
        <v>0</v>
      </c>
      <c r="V278" s="20"/>
      <c r="W278" s="20"/>
      <c r="X278" s="361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  <c r="AP278" s="20"/>
    </row>
    <row r="279" spans="1:42" s="238" customFormat="1" ht="18.75" customHeight="1" x14ac:dyDescent="0.35">
      <c r="A279" s="195"/>
      <c r="B279" s="254"/>
      <c r="C279" s="399"/>
      <c r="D279" s="3"/>
      <c r="E279" s="3"/>
      <c r="F279" s="20"/>
      <c r="G279" s="20"/>
      <c r="H279" s="255"/>
      <c r="I279" s="392"/>
      <c r="J279" s="392"/>
      <c r="K279" s="392"/>
      <c r="L279" s="404"/>
      <c r="M279" s="404"/>
      <c r="N279" s="404"/>
      <c r="O279" s="255"/>
      <c r="P279" s="204"/>
      <c r="Q279" s="227">
        <f t="shared" si="27"/>
        <v>0</v>
      </c>
      <c r="R279" s="228">
        <f t="shared" si="29"/>
        <v>0</v>
      </c>
      <c r="S279" s="243">
        <f t="shared" si="28"/>
        <v>0</v>
      </c>
      <c r="T279" s="426">
        <f t="shared" si="31"/>
        <v>0</v>
      </c>
      <c r="V279" s="20"/>
      <c r="W279" s="20"/>
      <c r="X279" s="361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  <c r="AP279" s="20"/>
    </row>
    <row r="280" spans="1:42" s="238" customFormat="1" ht="18.75" customHeight="1" x14ac:dyDescent="0.35">
      <c r="A280" s="195"/>
      <c r="B280" s="254"/>
      <c r="C280" s="399"/>
      <c r="D280" s="3"/>
      <c r="E280" s="3"/>
      <c r="F280" s="20"/>
      <c r="G280" s="20"/>
      <c r="H280" s="255"/>
      <c r="I280" s="392"/>
      <c r="J280" s="392"/>
      <c r="K280" s="392"/>
      <c r="L280" s="404"/>
      <c r="M280" s="404"/>
      <c r="N280" s="404"/>
      <c r="O280" s="255"/>
      <c r="P280" s="204"/>
      <c r="Q280" s="227">
        <f t="shared" si="27"/>
        <v>0</v>
      </c>
      <c r="R280" s="228">
        <f t="shared" si="29"/>
        <v>0</v>
      </c>
      <c r="S280" s="243">
        <f t="shared" si="28"/>
        <v>0</v>
      </c>
      <c r="T280" s="426">
        <f t="shared" si="31"/>
        <v>0</v>
      </c>
      <c r="V280" s="20"/>
      <c r="W280" s="20"/>
      <c r="X280" s="361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  <c r="AP280" s="20"/>
    </row>
    <row r="281" spans="1:42" s="238" customFormat="1" ht="18.75" customHeight="1" x14ac:dyDescent="0.35">
      <c r="A281" s="195"/>
      <c r="B281" s="254"/>
      <c r="C281" s="399"/>
      <c r="D281" s="3"/>
      <c r="E281" s="3"/>
      <c r="F281" s="20"/>
      <c r="G281" s="20"/>
      <c r="H281" s="255"/>
      <c r="I281" s="392"/>
      <c r="J281" s="392"/>
      <c r="K281" s="392"/>
      <c r="L281" s="404"/>
      <c r="M281" s="404"/>
      <c r="N281" s="404"/>
      <c r="O281" s="255"/>
      <c r="P281" s="204"/>
      <c r="Q281" s="227">
        <f t="shared" si="27"/>
        <v>0</v>
      </c>
      <c r="R281" s="228">
        <f t="shared" si="29"/>
        <v>0</v>
      </c>
      <c r="S281" s="243">
        <f t="shared" si="28"/>
        <v>0</v>
      </c>
      <c r="T281" s="426">
        <f t="shared" si="31"/>
        <v>0</v>
      </c>
      <c r="V281" s="20"/>
      <c r="W281" s="20"/>
      <c r="X281" s="361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  <c r="AP281" s="20"/>
    </row>
    <row r="282" spans="1:42" s="238" customFormat="1" ht="18.75" customHeight="1" x14ac:dyDescent="0.35">
      <c r="A282" s="195"/>
      <c r="B282" s="254"/>
      <c r="C282" s="399"/>
      <c r="D282" s="3"/>
      <c r="E282" s="3"/>
      <c r="F282" s="20"/>
      <c r="G282" s="20"/>
      <c r="H282" s="255"/>
      <c r="I282" s="392"/>
      <c r="J282" s="392"/>
      <c r="K282" s="392"/>
      <c r="L282" s="404"/>
      <c r="M282" s="404"/>
      <c r="N282" s="404"/>
      <c r="O282" s="255"/>
      <c r="P282" s="204"/>
      <c r="Q282" s="227">
        <f t="shared" si="27"/>
        <v>0</v>
      </c>
      <c r="R282" s="228">
        <f t="shared" si="29"/>
        <v>0</v>
      </c>
      <c r="S282" s="243">
        <f t="shared" si="28"/>
        <v>0</v>
      </c>
      <c r="T282" s="426">
        <f t="shared" si="31"/>
        <v>0</v>
      </c>
      <c r="V282" s="20"/>
      <c r="W282" s="20"/>
      <c r="X282" s="361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  <c r="AP282" s="20"/>
    </row>
    <row r="283" spans="1:42" s="238" customFormat="1" ht="18.75" customHeight="1" x14ac:dyDescent="0.35">
      <c r="A283" s="195"/>
      <c r="B283" s="254"/>
      <c r="C283" s="399"/>
      <c r="D283" s="3"/>
      <c r="E283" s="3"/>
      <c r="F283" s="20"/>
      <c r="G283" s="20"/>
      <c r="H283" s="255"/>
      <c r="I283" s="392"/>
      <c r="J283" s="392"/>
      <c r="K283" s="392"/>
      <c r="L283" s="404"/>
      <c r="M283" s="404"/>
      <c r="N283" s="404"/>
      <c r="O283" s="255"/>
      <c r="P283" s="204"/>
      <c r="Q283" s="227">
        <f t="shared" si="27"/>
        <v>0</v>
      </c>
      <c r="R283" s="228">
        <f t="shared" si="29"/>
        <v>0</v>
      </c>
      <c r="S283" s="243">
        <f t="shared" si="28"/>
        <v>0</v>
      </c>
      <c r="T283" s="426">
        <f t="shared" si="31"/>
        <v>0</v>
      </c>
      <c r="V283" s="20"/>
      <c r="W283" s="20"/>
      <c r="X283" s="361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  <c r="AP283" s="20"/>
    </row>
    <row r="284" spans="1:42" s="238" customFormat="1" ht="18.75" customHeight="1" x14ac:dyDescent="0.35">
      <c r="A284" s="195"/>
      <c r="B284" s="254"/>
      <c r="C284" s="399"/>
      <c r="D284" s="3"/>
      <c r="E284" s="3"/>
      <c r="F284" s="20"/>
      <c r="G284" s="20"/>
      <c r="H284" s="255"/>
      <c r="I284" s="392"/>
      <c r="J284" s="392"/>
      <c r="K284" s="392"/>
      <c r="L284" s="404"/>
      <c r="M284" s="404"/>
      <c r="N284" s="404"/>
      <c r="O284" s="255"/>
      <c r="P284" s="204"/>
      <c r="Q284" s="227">
        <f t="shared" si="27"/>
        <v>0</v>
      </c>
      <c r="R284" s="228">
        <f t="shared" si="29"/>
        <v>0</v>
      </c>
      <c r="S284" s="243">
        <f t="shared" si="28"/>
        <v>0</v>
      </c>
      <c r="T284" s="426">
        <f t="shared" si="31"/>
        <v>0</v>
      </c>
      <c r="V284" s="20"/>
      <c r="W284" s="20"/>
      <c r="X284" s="361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  <c r="AP284" s="20"/>
    </row>
    <row r="285" spans="1:42" s="238" customFormat="1" ht="18.75" customHeight="1" x14ac:dyDescent="0.35">
      <c r="A285" s="195"/>
      <c r="B285" s="254"/>
      <c r="C285" s="399"/>
      <c r="D285" s="3"/>
      <c r="E285" s="3"/>
      <c r="F285" s="20"/>
      <c r="G285" s="20"/>
      <c r="H285" s="255"/>
      <c r="I285" s="392"/>
      <c r="J285" s="392"/>
      <c r="K285" s="392"/>
      <c r="L285" s="404"/>
      <c r="M285" s="404"/>
      <c r="N285" s="404"/>
      <c r="O285" s="255"/>
      <c r="P285" s="204"/>
      <c r="Q285" s="227">
        <f t="shared" si="27"/>
        <v>0</v>
      </c>
      <c r="R285" s="228">
        <f t="shared" si="29"/>
        <v>0</v>
      </c>
      <c r="S285" s="243">
        <f t="shared" si="28"/>
        <v>0</v>
      </c>
      <c r="T285" s="426">
        <f t="shared" si="31"/>
        <v>0</v>
      </c>
      <c r="V285" s="20"/>
      <c r="W285" s="20"/>
      <c r="X285" s="361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  <c r="AP285" s="20"/>
    </row>
    <row r="286" spans="1:42" s="238" customFormat="1" ht="18.75" customHeight="1" x14ac:dyDescent="0.35">
      <c r="A286" s="195"/>
      <c r="B286" s="254"/>
      <c r="C286" s="399"/>
      <c r="D286" s="3"/>
      <c r="E286" s="3"/>
      <c r="F286" s="20"/>
      <c r="G286" s="20"/>
      <c r="H286" s="255"/>
      <c r="I286" s="392"/>
      <c r="J286" s="392"/>
      <c r="K286" s="392"/>
      <c r="L286" s="404"/>
      <c r="M286" s="404"/>
      <c r="N286" s="404"/>
      <c r="O286" s="255"/>
      <c r="P286" s="204"/>
      <c r="Q286" s="227">
        <f t="shared" si="27"/>
        <v>0</v>
      </c>
      <c r="R286" s="228">
        <f t="shared" si="29"/>
        <v>0</v>
      </c>
      <c r="S286" s="243">
        <f t="shared" si="28"/>
        <v>0</v>
      </c>
      <c r="T286" s="426">
        <f t="shared" si="31"/>
        <v>0</v>
      </c>
      <c r="V286" s="20"/>
      <c r="W286" s="20"/>
      <c r="X286" s="361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  <c r="AP286" s="20"/>
    </row>
    <row r="287" spans="1:42" s="238" customFormat="1" ht="18.75" customHeight="1" x14ac:dyDescent="0.35">
      <c r="A287" s="195"/>
      <c r="B287" s="254"/>
      <c r="C287" s="399"/>
      <c r="D287" s="3"/>
      <c r="E287" s="3"/>
      <c r="F287" s="20"/>
      <c r="G287" s="20"/>
      <c r="H287" s="255"/>
      <c r="I287" s="392"/>
      <c r="J287" s="392"/>
      <c r="K287" s="392"/>
      <c r="L287" s="404"/>
      <c r="M287" s="404"/>
      <c r="N287" s="404"/>
      <c r="O287" s="255"/>
      <c r="P287" s="204"/>
      <c r="Q287" s="227">
        <f t="shared" si="27"/>
        <v>0</v>
      </c>
      <c r="R287" s="228">
        <f t="shared" si="29"/>
        <v>0</v>
      </c>
      <c r="S287" s="243">
        <f t="shared" si="28"/>
        <v>0</v>
      </c>
      <c r="T287" s="426">
        <f t="shared" si="31"/>
        <v>0</v>
      </c>
      <c r="V287" s="20"/>
      <c r="W287" s="20"/>
      <c r="X287" s="361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  <c r="AP287" s="20"/>
    </row>
    <row r="288" spans="1:42" s="238" customFormat="1" ht="18.75" customHeight="1" x14ac:dyDescent="0.35">
      <c r="A288" s="195"/>
      <c r="B288" s="254"/>
      <c r="C288" s="399"/>
      <c r="D288" s="3"/>
      <c r="E288" s="3"/>
      <c r="F288" s="20"/>
      <c r="G288" s="20"/>
      <c r="H288" s="255"/>
      <c r="I288" s="392"/>
      <c r="J288" s="392"/>
      <c r="K288" s="392"/>
      <c r="L288" s="404"/>
      <c r="M288" s="404"/>
      <c r="N288" s="404"/>
      <c r="O288" s="255"/>
      <c r="P288" s="204"/>
      <c r="Q288" s="227">
        <f t="shared" ref="Q288:Q351" si="32">_xlfn.XLOOKUP(F288, AE:AE, AF:AF) * G288</f>
        <v>0</v>
      </c>
      <c r="R288" s="228">
        <f t="shared" si="29"/>
        <v>0</v>
      </c>
      <c r="S288" s="243">
        <f t="shared" si="28"/>
        <v>0</v>
      </c>
      <c r="T288" s="426">
        <f t="shared" si="31"/>
        <v>0</v>
      </c>
      <c r="V288" s="20"/>
      <c r="W288" s="20"/>
      <c r="X288" s="361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  <c r="AP288" s="20"/>
    </row>
    <row r="289" spans="1:42" s="238" customFormat="1" ht="18.75" customHeight="1" x14ac:dyDescent="0.35">
      <c r="A289" s="195"/>
      <c r="B289" s="254"/>
      <c r="C289" s="399"/>
      <c r="D289" s="3"/>
      <c r="E289" s="3"/>
      <c r="F289" s="20"/>
      <c r="G289" s="20"/>
      <c r="H289" s="255"/>
      <c r="I289" s="392"/>
      <c r="J289" s="392"/>
      <c r="K289" s="392"/>
      <c r="L289" s="404"/>
      <c r="M289" s="404"/>
      <c r="N289" s="404"/>
      <c r="O289" s="255"/>
      <c r="P289" s="204"/>
      <c r="Q289" s="227">
        <f t="shared" si="32"/>
        <v>0</v>
      </c>
      <c r="R289" s="228">
        <f t="shared" si="29"/>
        <v>0</v>
      </c>
      <c r="S289" s="243">
        <f t="shared" si="28"/>
        <v>0</v>
      </c>
      <c r="T289" s="426">
        <f t="shared" si="31"/>
        <v>0</v>
      </c>
      <c r="V289" s="20"/>
      <c r="W289" s="20"/>
      <c r="X289" s="361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  <c r="AP289" s="20"/>
    </row>
    <row r="290" spans="1:42" s="238" customFormat="1" ht="18.75" customHeight="1" x14ac:dyDescent="0.35">
      <c r="A290" s="195"/>
      <c r="B290" s="254"/>
      <c r="C290" s="399"/>
      <c r="D290" s="3"/>
      <c r="E290" s="3"/>
      <c r="F290" s="20"/>
      <c r="G290" s="20"/>
      <c r="H290" s="255"/>
      <c r="I290" s="392"/>
      <c r="J290" s="392"/>
      <c r="K290" s="392"/>
      <c r="L290" s="404"/>
      <c r="M290" s="404"/>
      <c r="N290" s="404"/>
      <c r="O290" s="255"/>
      <c r="P290" s="204"/>
      <c r="Q290" s="227">
        <f t="shared" si="32"/>
        <v>0</v>
      </c>
      <c r="R290" s="228">
        <f t="shared" si="29"/>
        <v>0</v>
      </c>
      <c r="S290" s="243">
        <f t="shared" si="28"/>
        <v>0</v>
      </c>
      <c r="T290" s="426">
        <f t="shared" si="31"/>
        <v>0</v>
      </c>
      <c r="V290" s="20"/>
      <c r="W290" s="20"/>
      <c r="X290" s="361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  <c r="AP290" s="20"/>
    </row>
    <row r="291" spans="1:42" s="238" customFormat="1" ht="18.75" customHeight="1" x14ac:dyDescent="0.35">
      <c r="A291" s="195"/>
      <c r="B291" s="254"/>
      <c r="C291" s="399"/>
      <c r="D291" s="3"/>
      <c r="E291" s="3"/>
      <c r="F291" s="20"/>
      <c r="G291" s="20"/>
      <c r="H291" s="255"/>
      <c r="I291" s="392"/>
      <c r="J291" s="392"/>
      <c r="K291" s="392"/>
      <c r="L291" s="404"/>
      <c r="M291" s="404"/>
      <c r="N291" s="404"/>
      <c r="O291" s="255"/>
      <c r="P291" s="204"/>
      <c r="Q291" s="227">
        <f t="shared" si="32"/>
        <v>0</v>
      </c>
      <c r="R291" s="228">
        <f t="shared" si="29"/>
        <v>0</v>
      </c>
      <c r="S291" s="243">
        <f t="shared" si="28"/>
        <v>0</v>
      </c>
      <c r="T291" s="426">
        <f t="shared" si="31"/>
        <v>0</v>
      </c>
      <c r="V291" s="20"/>
      <c r="W291" s="20"/>
      <c r="X291" s="361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  <c r="AP291" s="20"/>
    </row>
    <row r="292" spans="1:42" s="238" customFormat="1" ht="18.75" customHeight="1" x14ac:dyDescent="0.35">
      <c r="A292" s="195"/>
      <c r="B292" s="254"/>
      <c r="C292" s="399"/>
      <c r="D292" s="3"/>
      <c r="E292" s="3"/>
      <c r="F292" s="20"/>
      <c r="G292" s="20"/>
      <c r="H292" s="255"/>
      <c r="I292" s="392"/>
      <c r="J292" s="392"/>
      <c r="K292" s="392"/>
      <c r="L292" s="404"/>
      <c r="M292" s="404"/>
      <c r="N292" s="404"/>
      <c r="O292" s="255"/>
      <c r="P292" s="204"/>
      <c r="Q292" s="227">
        <f t="shared" si="32"/>
        <v>0</v>
      </c>
      <c r="R292" s="228">
        <f t="shared" si="29"/>
        <v>0</v>
      </c>
      <c r="S292" s="243">
        <f t="shared" si="28"/>
        <v>0</v>
      </c>
      <c r="T292" s="426">
        <f t="shared" si="31"/>
        <v>0</v>
      </c>
      <c r="V292" s="20"/>
      <c r="W292" s="20"/>
      <c r="X292" s="361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  <c r="AP292" s="20"/>
    </row>
    <row r="293" spans="1:42" s="238" customFormat="1" ht="18.75" customHeight="1" x14ac:dyDescent="0.35">
      <c r="A293" s="195"/>
      <c r="B293" s="254"/>
      <c r="C293" s="399"/>
      <c r="D293" s="3"/>
      <c r="E293" s="3"/>
      <c r="F293" s="20"/>
      <c r="G293" s="20"/>
      <c r="H293" s="255"/>
      <c r="I293" s="392"/>
      <c r="J293" s="392"/>
      <c r="K293" s="392"/>
      <c r="L293" s="404"/>
      <c r="M293" s="404"/>
      <c r="N293" s="404"/>
      <c r="O293" s="255"/>
      <c r="P293" s="204"/>
      <c r="Q293" s="227">
        <f t="shared" si="32"/>
        <v>0</v>
      </c>
      <c r="R293" s="228">
        <f t="shared" si="29"/>
        <v>0</v>
      </c>
      <c r="S293" s="243">
        <f t="shared" si="28"/>
        <v>0</v>
      </c>
      <c r="T293" s="426">
        <f t="shared" si="31"/>
        <v>0</v>
      </c>
      <c r="V293" s="20"/>
      <c r="W293" s="20"/>
      <c r="X293" s="361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  <c r="AP293" s="20"/>
    </row>
    <row r="294" spans="1:42" s="238" customFormat="1" ht="18.75" customHeight="1" x14ac:dyDescent="0.35">
      <c r="A294" s="195"/>
      <c r="B294" s="254"/>
      <c r="C294" s="399"/>
      <c r="D294" s="3"/>
      <c r="E294" s="3"/>
      <c r="F294" s="20"/>
      <c r="G294" s="20"/>
      <c r="H294" s="255"/>
      <c r="I294" s="392"/>
      <c r="J294" s="392"/>
      <c r="K294" s="392"/>
      <c r="L294" s="404"/>
      <c r="M294" s="404"/>
      <c r="N294" s="404"/>
      <c r="O294" s="255"/>
      <c r="P294" s="204"/>
      <c r="Q294" s="227">
        <f t="shared" si="32"/>
        <v>0</v>
      </c>
      <c r="R294" s="228">
        <f t="shared" si="29"/>
        <v>0</v>
      </c>
      <c r="S294" s="243">
        <f t="shared" si="28"/>
        <v>0</v>
      </c>
      <c r="T294" s="426">
        <f t="shared" si="31"/>
        <v>0</v>
      </c>
      <c r="V294" s="20"/>
      <c r="W294" s="20"/>
      <c r="X294" s="361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  <c r="AP294" s="20"/>
    </row>
    <row r="295" spans="1:42" s="238" customFormat="1" ht="18.75" customHeight="1" x14ac:dyDescent="0.35">
      <c r="A295" s="195"/>
      <c r="B295" s="254"/>
      <c r="C295" s="399"/>
      <c r="D295" s="3"/>
      <c r="E295" s="3"/>
      <c r="F295" s="20"/>
      <c r="G295" s="20"/>
      <c r="H295" s="255"/>
      <c r="I295" s="392"/>
      <c r="J295" s="392"/>
      <c r="K295" s="392"/>
      <c r="L295" s="404"/>
      <c r="M295" s="404"/>
      <c r="N295" s="404"/>
      <c r="O295" s="255"/>
      <c r="P295" s="204"/>
      <c r="Q295" s="227">
        <f t="shared" si="32"/>
        <v>0</v>
      </c>
      <c r="R295" s="228">
        <f t="shared" si="29"/>
        <v>0</v>
      </c>
      <c r="S295" s="243">
        <f t="shared" si="28"/>
        <v>0</v>
      </c>
      <c r="T295" s="426">
        <f t="shared" si="31"/>
        <v>0</v>
      </c>
      <c r="V295" s="20"/>
      <c r="W295" s="20"/>
      <c r="X295" s="361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  <c r="AP295" s="20"/>
    </row>
    <row r="296" spans="1:42" s="238" customFormat="1" ht="18.75" customHeight="1" x14ac:dyDescent="0.35">
      <c r="A296" s="195"/>
      <c r="B296" s="254"/>
      <c r="C296" s="399"/>
      <c r="D296" s="3"/>
      <c r="E296" s="3"/>
      <c r="F296" s="20"/>
      <c r="G296" s="20"/>
      <c r="H296" s="255"/>
      <c r="I296" s="392"/>
      <c r="J296" s="392"/>
      <c r="K296" s="392"/>
      <c r="L296" s="404"/>
      <c r="M296" s="404"/>
      <c r="N296" s="404"/>
      <c r="O296" s="255"/>
      <c r="P296" s="204"/>
      <c r="Q296" s="227">
        <f t="shared" si="32"/>
        <v>0</v>
      </c>
      <c r="R296" s="228">
        <f t="shared" si="29"/>
        <v>0</v>
      </c>
      <c r="S296" s="243">
        <f t="shared" si="28"/>
        <v>0</v>
      </c>
      <c r="T296" s="426">
        <f t="shared" si="31"/>
        <v>0</v>
      </c>
      <c r="V296" s="20"/>
      <c r="W296" s="20"/>
      <c r="X296" s="361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  <c r="AP296" s="20"/>
    </row>
    <row r="297" spans="1:42" s="238" customFormat="1" ht="18.75" customHeight="1" x14ac:dyDescent="0.35">
      <c r="A297" s="195"/>
      <c r="B297" s="254"/>
      <c r="C297" s="399"/>
      <c r="D297" s="3"/>
      <c r="E297" s="3"/>
      <c r="F297" s="20"/>
      <c r="G297" s="20"/>
      <c r="H297" s="255"/>
      <c r="I297" s="392"/>
      <c r="J297" s="392"/>
      <c r="K297" s="392"/>
      <c r="L297" s="404"/>
      <c r="M297" s="404"/>
      <c r="N297" s="404"/>
      <c r="O297" s="255"/>
      <c r="P297" s="204"/>
      <c r="Q297" s="227">
        <f t="shared" si="32"/>
        <v>0</v>
      </c>
      <c r="R297" s="228">
        <f t="shared" si="29"/>
        <v>0</v>
      </c>
      <c r="S297" s="243">
        <f t="shared" si="28"/>
        <v>0</v>
      </c>
      <c r="T297" s="426">
        <f t="shared" si="31"/>
        <v>0</v>
      </c>
      <c r="V297" s="20"/>
      <c r="W297" s="20"/>
      <c r="X297" s="361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  <c r="AP297" s="20"/>
    </row>
    <row r="298" spans="1:42" s="238" customFormat="1" ht="18.75" customHeight="1" x14ac:dyDescent="0.35">
      <c r="A298" s="195"/>
      <c r="B298" s="254"/>
      <c r="C298" s="399"/>
      <c r="D298" s="3"/>
      <c r="E298" s="3"/>
      <c r="F298" s="20"/>
      <c r="G298" s="20"/>
      <c r="H298" s="255"/>
      <c r="I298" s="392"/>
      <c r="J298" s="392"/>
      <c r="K298" s="392"/>
      <c r="L298" s="404"/>
      <c r="M298" s="404"/>
      <c r="N298" s="404"/>
      <c r="O298" s="255"/>
      <c r="P298" s="204"/>
      <c r="Q298" s="227">
        <f t="shared" si="32"/>
        <v>0</v>
      </c>
      <c r="R298" s="228">
        <f t="shared" si="29"/>
        <v>0</v>
      </c>
      <c r="S298" s="243">
        <f t="shared" si="28"/>
        <v>0</v>
      </c>
      <c r="T298" s="426">
        <f t="shared" si="31"/>
        <v>0</v>
      </c>
      <c r="V298" s="20"/>
      <c r="W298" s="20"/>
      <c r="X298" s="361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  <c r="AP298" s="20"/>
    </row>
    <row r="299" spans="1:42" s="238" customFormat="1" ht="18.75" customHeight="1" x14ac:dyDescent="0.35">
      <c r="A299" s="195"/>
      <c r="B299" s="254"/>
      <c r="C299" s="399"/>
      <c r="D299" s="3"/>
      <c r="E299" s="3"/>
      <c r="F299" s="20"/>
      <c r="G299" s="20"/>
      <c r="H299" s="255"/>
      <c r="I299" s="392"/>
      <c r="J299" s="392"/>
      <c r="K299" s="392"/>
      <c r="L299" s="404"/>
      <c r="M299" s="404"/>
      <c r="N299" s="404"/>
      <c r="O299" s="255"/>
      <c r="P299" s="204"/>
      <c r="Q299" s="227">
        <f t="shared" si="32"/>
        <v>0</v>
      </c>
      <c r="R299" s="228">
        <f t="shared" si="29"/>
        <v>0</v>
      </c>
      <c r="S299" s="243">
        <f t="shared" si="28"/>
        <v>0</v>
      </c>
      <c r="T299" s="426">
        <f t="shared" si="31"/>
        <v>0</v>
      </c>
      <c r="V299" s="20"/>
      <c r="W299" s="20"/>
      <c r="X299" s="361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  <c r="AP299" s="20"/>
    </row>
    <row r="300" spans="1:42" s="238" customFormat="1" ht="18.75" customHeight="1" x14ac:dyDescent="0.35">
      <c r="A300" s="195"/>
      <c r="B300" s="254"/>
      <c r="C300" s="399"/>
      <c r="D300" s="3"/>
      <c r="E300" s="3"/>
      <c r="F300" s="20"/>
      <c r="G300" s="20"/>
      <c r="H300" s="255"/>
      <c r="I300" s="392"/>
      <c r="J300" s="392"/>
      <c r="K300" s="392"/>
      <c r="L300" s="404"/>
      <c r="M300" s="404"/>
      <c r="N300" s="404"/>
      <c r="O300" s="255"/>
      <c r="P300" s="204"/>
      <c r="Q300" s="227">
        <f t="shared" si="32"/>
        <v>0</v>
      </c>
      <c r="R300" s="228">
        <f t="shared" si="29"/>
        <v>0</v>
      </c>
      <c r="S300" s="243">
        <f t="shared" si="28"/>
        <v>0</v>
      </c>
      <c r="T300" s="426">
        <f t="shared" si="31"/>
        <v>0</v>
      </c>
      <c r="V300" s="20"/>
      <c r="W300" s="20"/>
      <c r="X300" s="361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  <c r="AP300" s="20"/>
    </row>
    <row r="301" spans="1:42" s="238" customFormat="1" ht="18.75" customHeight="1" x14ac:dyDescent="0.35">
      <c r="A301" s="195"/>
      <c r="B301" s="254"/>
      <c r="C301" s="399"/>
      <c r="D301" s="3"/>
      <c r="E301" s="3"/>
      <c r="F301" s="20"/>
      <c r="G301" s="20"/>
      <c r="H301" s="255"/>
      <c r="I301" s="392"/>
      <c r="J301" s="392"/>
      <c r="K301" s="392"/>
      <c r="L301" s="404"/>
      <c r="M301" s="404"/>
      <c r="N301" s="404"/>
      <c r="O301" s="255"/>
      <c r="P301" s="204"/>
      <c r="Q301" s="227">
        <f t="shared" si="32"/>
        <v>0</v>
      </c>
      <c r="R301" s="228">
        <f t="shared" si="29"/>
        <v>0</v>
      </c>
      <c r="S301" s="243">
        <f t="shared" si="28"/>
        <v>0</v>
      </c>
      <c r="T301" s="426">
        <f t="shared" si="31"/>
        <v>0</v>
      </c>
      <c r="V301" s="20"/>
      <c r="W301" s="20"/>
      <c r="X301" s="361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  <c r="AP301" s="20"/>
    </row>
    <row r="302" spans="1:42" s="238" customFormat="1" ht="18.75" customHeight="1" x14ac:dyDescent="0.35">
      <c r="A302" s="195"/>
      <c r="B302" s="254"/>
      <c r="C302" s="399"/>
      <c r="D302" s="3"/>
      <c r="E302" s="3"/>
      <c r="F302" s="20"/>
      <c r="G302" s="20"/>
      <c r="H302" s="255"/>
      <c r="I302" s="392"/>
      <c r="J302" s="392"/>
      <c r="K302" s="392"/>
      <c r="L302" s="404"/>
      <c r="M302" s="404"/>
      <c r="N302" s="404"/>
      <c r="O302" s="255"/>
      <c r="P302" s="204"/>
      <c r="Q302" s="227">
        <f t="shared" si="32"/>
        <v>0</v>
      </c>
      <c r="R302" s="228">
        <f t="shared" si="29"/>
        <v>0</v>
      </c>
      <c r="S302" s="243">
        <f t="shared" si="28"/>
        <v>0</v>
      </c>
      <c r="T302" s="426">
        <f t="shared" si="31"/>
        <v>0</v>
      </c>
      <c r="V302" s="20"/>
      <c r="W302" s="20"/>
      <c r="X302" s="361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  <c r="AP302" s="20"/>
    </row>
    <row r="303" spans="1:42" s="238" customFormat="1" ht="18.75" customHeight="1" x14ac:dyDescent="0.35">
      <c r="A303" s="195"/>
      <c r="B303" s="254"/>
      <c r="C303" s="399"/>
      <c r="D303" s="3"/>
      <c r="E303" s="3"/>
      <c r="F303" s="20"/>
      <c r="G303" s="20"/>
      <c r="H303" s="255"/>
      <c r="I303" s="392"/>
      <c r="J303" s="392"/>
      <c r="K303" s="392"/>
      <c r="L303" s="404"/>
      <c r="M303" s="404"/>
      <c r="N303" s="404"/>
      <c r="O303" s="255"/>
      <c r="P303" s="204"/>
      <c r="Q303" s="227">
        <f t="shared" si="32"/>
        <v>0</v>
      </c>
      <c r="R303" s="228">
        <f t="shared" si="29"/>
        <v>0</v>
      </c>
      <c r="S303" s="243">
        <f t="shared" si="28"/>
        <v>0</v>
      </c>
      <c r="T303" s="426">
        <f t="shared" si="31"/>
        <v>0</v>
      </c>
      <c r="V303" s="20"/>
      <c r="W303" s="20"/>
      <c r="X303" s="361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  <c r="AP303" s="20"/>
    </row>
    <row r="304" spans="1:42" s="238" customFormat="1" ht="18.75" customHeight="1" x14ac:dyDescent="0.35">
      <c r="A304" s="195"/>
      <c r="B304" s="254"/>
      <c r="C304" s="399"/>
      <c r="D304" s="3"/>
      <c r="E304" s="3"/>
      <c r="F304" s="20"/>
      <c r="G304" s="20"/>
      <c r="H304" s="255"/>
      <c r="I304" s="392"/>
      <c r="J304" s="392"/>
      <c r="K304" s="392"/>
      <c r="L304" s="404"/>
      <c r="M304" s="404"/>
      <c r="N304" s="404"/>
      <c r="O304" s="255"/>
      <c r="P304" s="204"/>
      <c r="Q304" s="227">
        <f t="shared" si="32"/>
        <v>0</v>
      </c>
      <c r="R304" s="228">
        <f t="shared" si="29"/>
        <v>0</v>
      </c>
      <c r="S304" s="243">
        <f t="shared" si="28"/>
        <v>0</v>
      </c>
      <c r="T304" s="426">
        <f t="shared" si="31"/>
        <v>0</v>
      </c>
      <c r="V304" s="20"/>
      <c r="W304" s="20"/>
      <c r="X304" s="361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  <c r="AP304" s="20"/>
    </row>
    <row r="305" spans="1:42" s="238" customFormat="1" ht="18.75" customHeight="1" x14ac:dyDescent="0.35">
      <c r="A305" s="195"/>
      <c r="B305" s="254"/>
      <c r="C305" s="399"/>
      <c r="D305" s="3"/>
      <c r="E305" s="3"/>
      <c r="F305" s="20"/>
      <c r="G305" s="20"/>
      <c r="H305" s="255"/>
      <c r="I305" s="392"/>
      <c r="J305" s="392"/>
      <c r="K305" s="392"/>
      <c r="L305" s="404"/>
      <c r="M305" s="404"/>
      <c r="N305" s="404"/>
      <c r="O305" s="255"/>
      <c r="P305" s="204"/>
      <c r="Q305" s="227">
        <f t="shared" si="32"/>
        <v>0</v>
      </c>
      <c r="R305" s="228">
        <f t="shared" si="29"/>
        <v>0</v>
      </c>
      <c r="S305" s="243">
        <f t="shared" si="28"/>
        <v>0</v>
      </c>
      <c r="T305" s="426">
        <f t="shared" si="31"/>
        <v>0</v>
      </c>
      <c r="V305" s="20"/>
      <c r="W305" s="20"/>
      <c r="X305" s="361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  <c r="AP305" s="20"/>
    </row>
    <row r="306" spans="1:42" s="238" customFormat="1" ht="18.75" customHeight="1" x14ac:dyDescent="0.35">
      <c r="A306" s="195"/>
      <c r="B306" s="254"/>
      <c r="C306" s="399"/>
      <c r="D306" s="3"/>
      <c r="E306" s="3"/>
      <c r="F306" s="20"/>
      <c r="G306" s="20"/>
      <c r="H306" s="255"/>
      <c r="I306" s="392"/>
      <c r="J306" s="392"/>
      <c r="K306" s="392"/>
      <c r="L306" s="404"/>
      <c r="M306" s="404"/>
      <c r="N306" s="404"/>
      <c r="O306" s="255"/>
      <c r="P306" s="204"/>
      <c r="Q306" s="227">
        <f t="shared" si="32"/>
        <v>0</v>
      </c>
      <c r="R306" s="228">
        <f t="shared" si="29"/>
        <v>0</v>
      </c>
      <c r="S306" s="243">
        <f t="shared" si="28"/>
        <v>0</v>
      </c>
      <c r="T306" s="426">
        <f t="shared" si="31"/>
        <v>0</v>
      </c>
      <c r="V306" s="20"/>
      <c r="W306" s="20"/>
      <c r="X306" s="361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  <c r="AP306" s="20"/>
    </row>
    <row r="307" spans="1:42" s="238" customFormat="1" ht="18.75" customHeight="1" x14ac:dyDescent="0.35">
      <c r="A307" s="195"/>
      <c r="B307" s="254"/>
      <c r="C307" s="399"/>
      <c r="D307" s="3"/>
      <c r="E307" s="3"/>
      <c r="F307" s="20"/>
      <c r="G307" s="20"/>
      <c r="H307" s="255"/>
      <c r="I307" s="392"/>
      <c r="J307" s="392"/>
      <c r="K307" s="392"/>
      <c r="L307" s="404"/>
      <c r="M307" s="404"/>
      <c r="N307" s="404"/>
      <c r="O307" s="255"/>
      <c r="P307" s="204"/>
      <c r="Q307" s="227">
        <f t="shared" si="32"/>
        <v>0</v>
      </c>
      <c r="R307" s="228">
        <f t="shared" si="29"/>
        <v>0</v>
      </c>
      <c r="S307" s="243">
        <f t="shared" si="28"/>
        <v>0</v>
      </c>
      <c r="T307" s="426">
        <f t="shared" si="31"/>
        <v>0</v>
      </c>
      <c r="V307" s="20"/>
      <c r="W307" s="20"/>
      <c r="X307" s="361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  <c r="AM307" s="20"/>
      <c r="AN307" s="20"/>
      <c r="AO307" s="20"/>
      <c r="AP307" s="20"/>
    </row>
    <row r="308" spans="1:42" s="238" customFormat="1" ht="18.75" customHeight="1" x14ac:dyDescent="0.35">
      <c r="A308" s="195"/>
      <c r="B308" s="254"/>
      <c r="C308" s="399"/>
      <c r="D308" s="3"/>
      <c r="E308" s="3"/>
      <c r="F308" s="20"/>
      <c r="G308" s="20"/>
      <c r="H308" s="255"/>
      <c r="I308" s="392"/>
      <c r="J308" s="392"/>
      <c r="K308" s="392"/>
      <c r="L308" s="404"/>
      <c r="M308" s="404"/>
      <c r="N308" s="404"/>
      <c r="O308" s="255"/>
      <c r="P308" s="204"/>
      <c r="Q308" s="227">
        <f t="shared" si="32"/>
        <v>0</v>
      </c>
      <c r="R308" s="228">
        <f t="shared" si="29"/>
        <v>0</v>
      </c>
      <c r="S308" s="243">
        <f t="shared" si="28"/>
        <v>0</v>
      </c>
      <c r="T308" s="426">
        <f t="shared" si="31"/>
        <v>0</v>
      </c>
      <c r="V308" s="20"/>
      <c r="W308" s="20"/>
      <c r="X308" s="361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  <c r="AP308" s="20"/>
    </row>
    <row r="309" spans="1:42" s="238" customFormat="1" ht="18.75" customHeight="1" x14ac:dyDescent="0.35">
      <c r="A309" s="195"/>
      <c r="B309" s="254"/>
      <c r="C309" s="399"/>
      <c r="D309" s="3"/>
      <c r="E309" s="3"/>
      <c r="F309" s="20"/>
      <c r="G309" s="20"/>
      <c r="H309" s="255"/>
      <c r="I309" s="392"/>
      <c r="J309" s="392"/>
      <c r="K309" s="392"/>
      <c r="L309" s="404"/>
      <c r="M309" s="404"/>
      <c r="N309" s="404"/>
      <c r="O309" s="255"/>
      <c r="P309" s="204"/>
      <c r="Q309" s="227">
        <f t="shared" si="32"/>
        <v>0</v>
      </c>
      <c r="R309" s="228">
        <f t="shared" si="29"/>
        <v>0</v>
      </c>
      <c r="S309" s="243">
        <f t="shared" si="28"/>
        <v>0</v>
      </c>
      <c r="T309" s="426">
        <f t="shared" si="31"/>
        <v>0</v>
      </c>
      <c r="V309" s="20"/>
      <c r="W309" s="20"/>
      <c r="X309" s="361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  <c r="AP309" s="20"/>
    </row>
    <row r="310" spans="1:42" s="238" customFormat="1" ht="18.75" customHeight="1" x14ac:dyDescent="0.35">
      <c r="A310" s="195"/>
      <c r="B310" s="254"/>
      <c r="C310" s="399"/>
      <c r="D310" s="3"/>
      <c r="E310" s="3"/>
      <c r="F310" s="20"/>
      <c r="G310" s="20"/>
      <c r="H310" s="255"/>
      <c r="I310" s="392"/>
      <c r="J310" s="392"/>
      <c r="K310" s="392"/>
      <c r="L310" s="404"/>
      <c r="M310" s="404"/>
      <c r="N310" s="404"/>
      <c r="O310" s="255"/>
      <c r="P310" s="204"/>
      <c r="Q310" s="227">
        <f t="shared" si="32"/>
        <v>0</v>
      </c>
      <c r="R310" s="228">
        <f t="shared" si="29"/>
        <v>0</v>
      </c>
      <c r="S310" s="243">
        <f t="shared" si="28"/>
        <v>0</v>
      </c>
      <c r="T310" s="426">
        <f t="shared" si="31"/>
        <v>0</v>
      </c>
      <c r="V310" s="20"/>
      <c r="W310" s="20"/>
      <c r="X310" s="361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  <c r="AP310" s="20"/>
    </row>
    <row r="311" spans="1:42" s="238" customFormat="1" ht="18.75" customHeight="1" x14ac:dyDescent="0.35">
      <c r="A311" s="195"/>
      <c r="B311" s="254"/>
      <c r="C311" s="399"/>
      <c r="D311" s="3"/>
      <c r="E311" s="3"/>
      <c r="F311" s="20"/>
      <c r="G311" s="20"/>
      <c r="H311" s="255"/>
      <c r="I311" s="392"/>
      <c r="J311" s="392"/>
      <c r="K311" s="392"/>
      <c r="L311" s="404"/>
      <c r="M311" s="404"/>
      <c r="N311" s="404"/>
      <c r="O311" s="255"/>
      <c r="P311" s="204"/>
      <c r="Q311" s="227">
        <f t="shared" si="32"/>
        <v>0</v>
      </c>
      <c r="R311" s="228">
        <f t="shared" si="29"/>
        <v>0</v>
      </c>
      <c r="S311" s="243">
        <f t="shared" si="28"/>
        <v>0</v>
      </c>
      <c r="T311" s="426">
        <f t="shared" si="31"/>
        <v>0</v>
      </c>
      <c r="V311" s="20"/>
      <c r="W311" s="20"/>
      <c r="X311" s="361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  <c r="AP311" s="20"/>
    </row>
    <row r="312" spans="1:42" s="238" customFormat="1" ht="18.75" customHeight="1" x14ac:dyDescent="0.35">
      <c r="A312" s="195"/>
      <c r="B312" s="254"/>
      <c r="C312" s="399"/>
      <c r="D312" s="3"/>
      <c r="E312" s="3"/>
      <c r="F312" s="20"/>
      <c r="G312" s="20"/>
      <c r="H312" s="255"/>
      <c r="I312" s="392"/>
      <c r="J312" s="392"/>
      <c r="K312" s="392"/>
      <c r="L312" s="404"/>
      <c r="M312" s="404"/>
      <c r="N312" s="404"/>
      <c r="O312" s="255"/>
      <c r="P312" s="204"/>
      <c r="Q312" s="227">
        <f t="shared" si="32"/>
        <v>0</v>
      </c>
      <c r="R312" s="228">
        <f t="shared" si="29"/>
        <v>0</v>
      </c>
      <c r="S312" s="243">
        <f t="shared" si="28"/>
        <v>0</v>
      </c>
      <c r="T312" s="426">
        <f t="shared" si="31"/>
        <v>0</v>
      </c>
      <c r="V312" s="20"/>
      <c r="W312" s="20"/>
      <c r="X312" s="361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  <c r="AP312" s="20"/>
    </row>
    <row r="313" spans="1:42" s="238" customFormat="1" ht="18.75" customHeight="1" x14ac:dyDescent="0.35">
      <c r="A313" s="195"/>
      <c r="B313" s="254"/>
      <c r="C313" s="399"/>
      <c r="D313" s="3"/>
      <c r="E313" s="3"/>
      <c r="F313" s="20"/>
      <c r="G313" s="20"/>
      <c r="H313" s="255"/>
      <c r="I313" s="392"/>
      <c r="J313" s="392"/>
      <c r="K313" s="392"/>
      <c r="L313" s="404"/>
      <c r="M313" s="404"/>
      <c r="N313" s="404"/>
      <c r="O313" s="255"/>
      <c r="P313" s="204"/>
      <c r="Q313" s="227">
        <f t="shared" si="32"/>
        <v>0</v>
      </c>
      <c r="R313" s="228">
        <f t="shared" si="29"/>
        <v>0</v>
      </c>
      <c r="S313" s="243">
        <f t="shared" si="28"/>
        <v>0</v>
      </c>
      <c r="T313" s="426">
        <f t="shared" si="31"/>
        <v>0</v>
      </c>
      <c r="V313" s="20"/>
      <c r="W313" s="20"/>
      <c r="X313" s="361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  <c r="AP313" s="20"/>
    </row>
    <row r="314" spans="1:42" s="238" customFormat="1" ht="18.75" customHeight="1" x14ac:dyDescent="0.35">
      <c r="A314" s="195"/>
      <c r="B314" s="254"/>
      <c r="C314" s="399"/>
      <c r="D314" s="3"/>
      <c r="E314" s="3"/>
      <c r="F314" s="20"/>
      <c r="G314" s="20"/>
      <c r="H314" s="255"/>
      <c r="I314" s="392"/>
      <c r="J314" s="392"/>
      <c r="K314" s="392"/>
      <c r="L314" s="404"/>
      <c r="M314" s="404"/>
      <c r="N314" s="404"/>
      <c r="O314" s="255"/>
      <c r="P314" s="204"/>
      <c r="Q314" s="227">
        <f t="shared" si="32"/>
        <v>0</v>
      </c>
      <c r="R314" s="228">
        <f t="shared" si="29"/>
        <v>0</v>
      </c>
      <c r="S314" s="243">
        <f t="shared" si="28"/>
        <v>0</v>
      </c>
      <c r="T314" s="426">
        <f t="shared" si="31"/>
        <v>0</v>
      </c>
      <c r="V314" s="20"/>
      <c r="W314" s="20"/>
      <c r="X314" s="361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  <c r="AP314" s="20"/>
    </row>
    <row r="315" spans="1:42" s="238" customFormat="1" ht="18.75" customHeight="1" x14ac:dyDescent="0.35">
      <c r="A315" s="195"/>
      <c r="B315" s="254"/>
      <c r="C315" s="399"/>
      <c r="D315" s="3"/>
      <c r="E315" s="3"/>
      <c r="F315" s="20"/>
      <c r="G315" s="20"/>
      <c r="H315" s="255"/>
      <c r="I315" s="392"/>
      <c r="J315" s="392"/>
      <c r="K315" s="392"/>
      <c r="L315" s="404"/>
      <c r="M315" s="404"/>
      <c r="N315" s="404"/>
      <c r="O315" s="255"/>
      <c r="P315" s="204"/>
      <c r="Q315" s="227">
        <f t="shared" si="32"/>
        <v>0</v>
      </c>
      <c r="R315" s="228">
        <f t="shared" si="29"/>
        <v>0</v>
      </c>
      <c r="S315" s="243">
        <f t="shared" si="28"/>
        <v>0</v>
      </c>
      <c r="T315" s="426">
        <f t="shared" si="31"/>
        <v>0</v>
      </c>
      <c r="V315" s="20"/>
      <c r="W315" s="20"/>
      <c r="X315" s="361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  <c r="AP315" s="20"/>
    </row>
    <row r="316" spans="1:42" s="238" customFormat="1" ht="18.75" customHeight="1" x14ac:dyDescent="0.35">
      <c r="A316" s="195"/>
      <c r="B316" s="254"/>
      <c r="C316" s="399"/>
      <c r="D316" s="3"/>
      <c r="E316" s="3"/>
      <c r="F316" s="20"/>
      <c r="G316" s="20"/>
      <c r="H316" s="255"/>
      <c r="I316" s="392"/>
      <c r="J316" s="392"/>
      <c r="K316" s="392"/>
      <c r="L316" s="404"/>
      <c r="M316" s="404"/>
      <c r="N316" s="404"/>
      <c r="O316" s="255"/>
      <c r="P316" s="204"/>
      <c r="Q316" s="227">
        <f t="shared" si="32"/>
        <v>0</v>
      </c>
      <c r="R316" s="228">
        <f t="shared" si="29"/>
        <v>0</v>
      </c>
      <c r="S316" s="243">
        <f t="shared" si="28"/>
        <v>0</v>
      </c>
      <c r="T316" s="426">
        <f t="shared" si="31"/>
        <v>0</v>
      </c>
      <c r="V316" s="20"/>
      <c r="W316" s="20"/>
      <c r="X316" s="361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  <c r="AM316" s="20"/>
      <c r="AN316" s="20"/>
      <c r="AO316" s="20"/>
      <c r="AP316" s="20"/>
    </row>
    <row r="317" spans="1:42" s="238" customFormat="1" ht="18.75" customHeight="1" x14ac:dyDescent="0.35">
      <c r="A317" s="195"/>
      <c r="B317" s="254"/>
      <c r="C317" s="399"/>
      <c r="D317" s="3"/>
      <c r="E317" s="3"/>
      <c r="F317" s="20"/>
      <c r="G317" s="20"/>
      <c r="H317" s="255"/>
      <c r="I317" s="392"/>
      <c r="J317" s="392"/>
      <c r="K317" s="392"/>
      <c r="L317" s="404"/>
      <c r="M317" s="404"/>
      <c r="N317" s="404"/>
      <c r="O317" s="255"/>
      <c r="P317" s="204"/>
      <c r="Q317" s="227">
        <f t="shared" si="32"/>
        <v>0</v>
      </c>
      <c r="R317" s="228">
        <f t="shared" si="29"/>
        <v>0</v>
      </c>
      <c r="S317" s="243">
        <f t="shared" si="28"/>
        <v>0</v>
      </c>
      <c r="T317" s="426">
        <f t="shared" si="31"/>
        <v>0</v>
      </c>
      <c r="V317" s="20"/>
      <c r="W317" s="20"/>
      <c r="X317" s="361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  <c r="AP317" s="20"/>
    </row>
    <row r="318" spans="1:42" s="238" customFormat="1" ht="18.75" customHeight="1" x14ac:dyDescent="0.35">
      <c r="A318" s="195"/>
      <c r="B318" s="254"/>
      <c r="C318" s="399"/>
      <c r="D318" s="3"/>
      <c r="E318" s="3"/>
      <c r="F318" s="20"/>
      <c r="G318" s="20"/>
      <c r="H318" s="255"/>
      <c r="I318" s="392"/>
      <c r="J318" s="392"/>
      <c r="K318" s="392"/>
      <c r="L318" s="404"/>
      <c r="M318" s="404"/>
      <c r="N318" s="404"/>
      <c r="O318" s="255"/>
      <c r="P318" s="204"/>
      <c r="Q318" s="227">
        <f t="shared" si="32"/>
        <v>0</v>
      </c>
      <c r="R318" s="228">
        <f t="shared" si="29"/>
        <v>0</v>
      </c>
      <c r="S318" s="243">
        <f t="shared" si="28"/>
        <v>0</v>
      </c>
      <c r="T318" s="426">
        <f t="shared" si="31"/>
        <v>0</v>
      </c>
      <c r="V318" s="20"/>
      <c r="W318" s="20"/>
      <c r="X318" s="361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  <c r="AP318" s="20"/>
    </row>
    <row r="319" spans="1:42" s="238" customFormat="1" ht="18.75" customHeight="1" x14ac:dyDescent="0.35">
      <c r="A319" s="195"/>
      <c r="B319" s="254"/>
      <c r="C319" s="399"/>
      <c r="D319" s="3"/>
      <c r="E319" s="3"/>
      <c r="F319" s="20"/>
      <c r="G319" s="20"/>
      <c r="H319" s="255"/>
      <c r="I319" s="392"/>
      <c r="J319" s="392"/>
      <c r="K319" s="392"/>
      <c r="L319" s="404"/>
      <c r="M319" s="404"/>
      <c r="N319" s="404"/>
      <c r="O319" s="255"/>
      <c r="P319" s="204"/>
      <c r="Q319" s="227">
        <f t="shared" si="32"/>
        <v>0</v>
      </c>
      <c r="R319" s="228">
        <f t="shared" si="29"/>
        <v>0</v>
      </c>
      <c r="S319" s="243">
        <f t="shared" si="28"/>
        <v>0</v>
      </c>
      <c r="T319" s="426">
        <f t="shared" si="31"/>
        <v>0</v>
      </c>
      <c r="V319" s="20"/>
      <c r="W319" s="20"/>
      <c r="X319" s="361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  <c r="AP319" s="20"/>
    </row>
    <row r="320" spans="1:42" s="238" customFormat="1" ht="18.75" customHeight="1" x14ac:dyDescent="0.35">
      <c r="A320" s="195"/>
      <c r="B320" s="254"/>
      <c r="C320" s="399"/>
      <c r="D320" s="3"/>
      <c r="E320" s="3"/>
      <c r="F320" s="20"/>
      <c r="G320" s="20"/>
      <c r="H320" s="255"/>
      <c r="I320" s="392"/>
      <c r="J320" s="392"/>
      <c r="K320" s="392"/>
      <c r="L320" s="404"/>
      <c r="M320" s="404"/>
      <c r="N320" s="404"/>
      <c r="O320" s="255"/>
      <c r="P320" s="204"/>
      <c r="Q320" s="227">
        <f t="shared" si="32"/>
        <v>0</v>
      </c>
      <c r="R320" s="228">
        <f t="shared" si="29"/>
        <v>0</v>
      </c>
      <c r="S320" s="243">
        <f t="shared" si="28"/>
        <v>0</v>
      </c>
      <c r="T320" s="426">
        <f t="shared" si="31"/>
        <v>0</v>
      </c>
      <c r="V320" s="20"/>
      <c r="W320" s="20"/>
      <c r="X320" s="361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  <c r="AP320" s="20"/>
    </row>
    <row r="321" spans="1:42" s="238" customFormat="1" ht="18.75" customHeight="1" x14ac:dyDescent="0.35">
      <c r="A321" s="195"/>
      <c r="B321" s="254"/>
      <c r="C321" s="399"/>
      <c r="D321" s="3"/>
      <c r="E321" s="3"/>
      <c r="F321" s="20"/>
      <c r="G321" s="20"/>
      <c r="H321" s="255"/>
      <c r="I321" s="392"/>
      <c r="J321" s="392"/>
      <c r="K321" s="392"/>
      <c r="L321" s="404"/>
      <c r="M321" s="404"/>
      <c r="N321" s="404"/>
      <c r="O321" s="255"/>
      <c r="P321" s="204"/>
      <c r="Q321" s="227">
        <f t="shared" si="32"/>
        <v>0</v>
      </c>
      <c r="R321" s="228">
        <f t="shared" si="29"/>
        <v>0</v>
      </c>
      <c r="S321" s="243">
        <f t="shared" ref="S321:S384" si="33">R321*0.05</f>
        <v>0</v>
      </c>
      <c r="T321" s="426">
        <f t="shared" si="31"/>
        <v>0</v>
      </c>
      <c r="V321" s="20"/>
      <c r="W321" s="20"/>
      <c r="X321" s="361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  <c r="AP321" s="20"/>
    </row>
    <row r="322" spans="1:42" s="238" customFormat="1" ht="18.75" customHeight="1" x14ac:dyDescent="0.35">
      <c r="A322" s="195"/>
      <c r="B322" s="254"/>
      <c r="C322" s="399"/>
      <c r="D322" s="3"/>
      <c r="E322" s="3"/>
      <c r="F322" s="20"/>
      <c r="G322" s="20"/>
      <c r="H322" s="255"/>
      <c r="I322" s="392"/>
      <c r="J322" s="392"/>
      <c r="K322" s="392"/>
      <c r="L322" s="404"/>
      <c r="M322" s="404"/>
      <c r="N322" s="404"/>
      <c r="O322" s="255"/>
      <c r="P322" s="204"/>
      <c r="Q322" s="227">
        <f t="shared" si="32"/>
        <v>0</v>
      </c>
      <c r="R322" s="228">
        <f t="shared" si="29"/>
        <v>0</v>
      </c>
      <c r="S322" s="243">
        <f t="shared" si="33"/>
        <v>0</v>
      </c>
      <c r="T322" s="426">
        <f t="shared" si="31"/>
        <v>0</v>
      </c>
      <c r="V322" s="20"/>
      <c r="W322" s="20"/>
      <c r="X322" s="361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  <c r="AP322" s="20"/>
    </row>
    <row r="323" spans="1:42" s="238" customFormat="1" ht="18.75" customHeight="1" x14ac:dyDescent="0.35">
      <c r="A323" s="195"/>
      <c r="B323" s="254"/>
      <c r="C323" s="399"/>
      <c r="D323" s="3"/>
      <c r="E323" s="3"/>
      <c r="F323" s="20"/>
      <c r="G323" s="20"/>
      <c r="H323" s="255"/>
      <c r="I323" s="392"/>
      <c r="J323" s="392"/>
      <c r="K323" s="392"/>
      <c r="L323" s="404"/>
      <c r="M323" s="404"/>
      <c r="N323" s="404"/>
      <c r="O323" s="255"/>
      <c r="P323" s="204"/>
      <c r="Q323" s="227">
        <f t="shared" si="32"/>
        <v>0</v>
      </c>
      <c r="R323" s="228">
        <f t="shared" ref="R323:R386" si="34">IF(N323="Si", P323-Q323-L323, P323-Q323)</f>
        <v>0</v>
      </c>
      <c r="S323" s="243">
        <f t="shared" si="33"/>
        <v>0</v>
      </c>
      <c r="T323" s="426">
        <f t="shared" si="31"/>
        <v>0</v>
      </c>
      <c r="V323" s="20"/>
      <c r="W323" s="20"/>
      <c r="X323" s="361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  <c r="AP323" s="20"/>
    </row>
    <row r="324" spans="1:42" s="238" customFormat="1" ht="18.75" customHeight="1" x14ac:dyDescent="0.35">
      <c r="A324" s="195"/>
      <c r="B324" s="254"/>
      <c r="C324" s="399"/>
      <c r="D324" s="3"/>
      <c r="E324" s="3"/>
      <c r="F324" s="20"/>
      <c r="G324" s="20"/>
      <c r="H324" s="255"/>
      <c r="I324" s="392"/>
      <c r="J324" s="392"/>
      <c r="K324" s="392"/>
      <c r="L324" s="404"/>
      <c r="M324" s="404"/>
      <c r="N324" s="404"/>
      <c r="O324" s="255"/>
      <c r="P324" s="204"/>
      <c r="Q324" s="227">
        <f t="shared" si="32"/>
        <v>0</v>
      </c>
      <c r="R324" s="228">
        <f t="shared" si="34"/>
        <v>0</v>
      </c>
      <c r="S324" s="243">
        <f t="shared" si="33"/>
        <v>0</v>
      </c>
      <c r="T324" s="426">
        <f t="shared" si="31"/>
        <v>0</v>
      </c>
      <c r="V324" s="20"/>
      <c r="W324" s="20"/>
      <c r="X324" s="361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  <c r="AP324" s="20"/>
    </row>
    <row r="325" spans="1:42" s="238" customFormat="1" ht="18.75" customHeight="1" x14ac:dyDescent="0.35">
      <c r="A325" s="195"/>
      <c r="B325" s="254"/>
      <c r="C325" s="399"/>
      <c r="D325" s="3"/>
      <c r="E325" s="3"/>
      <c r="F325" s="20"/>
      <c r="G325" s="20"/>
      <c r="H325" s="255"/>
      <c r="I325" s="392"/>
      <c r="J325" s="392"/>
      <c r="K325" s="392"/>
      <c r="L325" s="404"/>
      <c r="M325" s="404"/>
      <c r="N325" s="404"/>
      <c r="O325" s="255"/>
      <c r="P325" s="204"/>
      <c r="Q325" s="227">
        <f t="shared" si="32"/>
        <v>0</v>
      </c>
      <c r="R325" s="228">
        <f t="shared" si="34"/>
        <v>0</v>
      </c>
      <c r="S325" s="243">
        <f t="shared" si="33"/>
        <v>0</v>
      </c>
      <c r="T325" s="426">
        <f t="shared" si="31"/>
        <v>0</v>
      </c>
      <c r="V325" s="20"/>
      <c r="W325" s="20"/>
      <c r="X325" s="361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  <c r="AP325" s="20"/>
    </row>
    <row r="326" spans="1:42" s="238" customFormat="1" ht="18.75" customHeight="1" x14ac:dyDescent="0.35">
      <c r="A326" s="195"/>
      <c r="B326" s="254"/>
      <c r="C326" s="399"/>
      <c r="D326" s="3"/>
      <c r="E326" s="3"/>
      <c r="F326" s="20"/>
      <c r="G326" s="20"/>
      <c r="H326" s="255"/>
      <c r="I326" s="392"/>
      <c r="J326" s="392"/>
      <c r="K326" s="392"/>
      <c r="L326" s="404"/>
      <c r="M326" s="404"/>
      <c r="N326" s="404"/>
      <c r="O326" s="255"/>
      <c r="P326" s="204"/>
      <c r="Q326" s="227">
        <f t="shared" si="32"/>
        <v>0</v>
      </c>
      <c r="R326" s="228">
        <f t="shared" si="34"/>
        <v>0</v>
      </c>
      <c r="S326" s="243">
        <f t="shared" si="33"/>
        <v>0</v>
      </c>
      <c r="T326" s="426">
        <f t="shared" ref="T326:T389" si="35">R326*$T$2</f>
        <v>0</v>
      </c>
      <c r="V326" s="20"/>
      <c r="W326" s="20"/>
      <c r="X326" s="361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  <c r="AM326" s="20"/>
      <c r="AN326" s="20"/>
      <c r="AO326" s="20"/>
      <c r="AP326" s="20"/>
    </row>
    <row r="327" spans="1:42" s="238" customFormat="1" ht="18.75" customHeight="1" x14ac:dyDescent="0.35">
      <c r="A327" s="195"/>
      <c r="B327" s="254"/>
      <c r="C327" s="399"/>
      <c r="D327" s="3"/>
      <c r="E327" s="3"/>
      <c r="F327" s="20"/>
      <c r="G327" s="20"/>
      <c r="H327" s="255"/>
      <c r="I327" s="392"/>
      <c r="J327" s="392"/>
      <c r="K327" s="392"/>
      <c r="L327" s="404"/>
      <c r="M327" s="404"/>
      <c r="N327" s="404"/>
      <c r="O327" s="255"/>
      <c r="P327" s="204"/>
      <c r="Q327" s="227">
        <f t="shared" si="32"/>
        <v>0</v>
      </c>
      <c r="R327" s="228">
        <f t="shared" si="34"/>
        <v>0</v>
      </c>
      <c r="S327" s="243">
        <f t="shared" si="33"/>
        <v>0</v>
      </c>
      <c r="T327" s="426">
        <f t="shared" si="35"/>
        <v>0</v>
      </c>
      <c r="V327" s="20"/>
      <c r="W327" s="20"/>
      <c r="X327" s="361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  <c r="AP327" s="20"/>
    </row>
    <row r="328" spans="1:42" s="238" customFormat="1" ht="18.75" customHeight="1" x14ac:dyDescent="0.35">
      <c r="A328" s="195"/>
      <c r="B328" s="254"/>
      <c r="C328" s="399"/>
      <c r="D328" s="3"/>
      <c r="E328" s="3"/>
      <c r="F328" s="20"/>
      <c r="G328" s="20"/>
      <c r="H328" s="255"/>
      <c r="I328" s="392"/>
      <c r="J328" s="392"/>
      <c r="K328" s="392"/>
      <c r="L328" s="404"/>
      <c r="M328" s="404"/>
      <c r="N328" s="404"/>
      <c r="O328" s="255"/>
      <c r="P328" s="204"/>
      <c r="Q328" s="227">
        <f t="shared" si="32"/>
        <v>0</v>
      </c>
      <c r="R328" s="228">
        <f t="shared" si="34"/>
        <v>0</v>
      </c>
      <c r="S328" s="243">
        <f t="shared" si="33"/>
        <v>0</v>
      </c>
      <c r="T328" s="426">
        <f t="shared" si="35"/>
        <v>0</v>
      </c>
      <c r="V328" s="20"/>
      <c r="W328" s="20"/>
      <c r="X328" s="361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  <c r="AP328" s="20"/>
    </row>
    <row r="329" spans="1:42" s="238" customFormat="1" ht="18.75" customHeight="1" x14ac:dyDescent="0.35">
      <c r="A329" s="195"/>
      <c r="B329" s="254"/>
      <c r="C329" s="399"/>
      <c r="D329" s="3"/>
      <c r="E329" s="3"/>
      <c r="F329" s="20"/>
      <c r="G329" s="20"/>
      <c r="H329" s="255"/>
      <c r="I329" s="392"/>
      <c r="J329" s="392"/>
      <c r="K329" s="392"/>
      <c r="L329" s="404"/>
      <c r="M329" s="404"/>
      <c r="N329" s="404"/>
      <c r="O329" s="255"/>
      <c r="P329" s="204"/>
      <c r="Q329" s="227">
        <f t="shared" si="32"/>
        <v>0</v>
      </c>
      <c r="R329" s="228">
        <f t="shared" si="34"/>
        <v>0</v>
      </c>
      <c r="S329" s="243">
        <f t="shared" si="33"/>
        <v>0</v>
      </c>
      <c r="T329" s="426">
        <f t="shared" si="35"/>
        <v>0</v>
      </c>
      <c r="V329" s="20"/>
      <c r="W329" s="20"/>
      <c r="X329" s="361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  <c r="AP329" s="20"/>
    </row>
    <row r="330" spans="1:42" s="238" customFormat="1" ht="18.75" customHeight="1" x14ac:dyDescent="0.35">
      <c r="A330" s="195"/>
      <c r="B330" s="254"/>
      <c r="C330" s="399"/>
      <c r="D330" s="3"/>
      <c r="E330" s="3"/>
      <c r="F330" s="20"/>
      <c r="G330" s="20"/>
      <c r="H330" s="255"/>
      <c r="I330" s="392"/>
      <c r="J330" s="392"/>
      <c r="K330" s="392"/>
      <c r="L330" s="404"/>
      <c r="M330" s="404"/>
      <c r="N330" s="404"/>
      <c r="O330" s="255"/>
      <c r="P330" s="204"/>
      <c r="Q330" s="227">
        <f t="shared" si="32"/>
        <v>0</v>
      </c>
      <c r="R330" s="228">
        <f t="shared" si="34"/>
        <v>0</v>
      </c>
      <c r="S330" s="243">
        <f t="shared" si="33"/>
        <v>0</v>
      </c>
      <c r="T330" s="426">
        <f t="shared" si="35"/>
        <v>0</v>
      </c>
      <c r="V330" s="20"/>
      <c r="W330" s="20"/>
      <c r="X330" s="361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  <c r="AP330" s="20"/>
    </row>
    <row r="331" spans="1:42" s="238" customFormat="1" ht="18.75" customHeight="1" x14ac:dyDescent="0.35">
      <c r="A331" s="195"/>
      <c r="B331" s="254"/>
      <c r="C331" s="399"/>
      <c r="D331" s="3"/>
      <c r="E331" s="3"/>
      <c r="F331" s="20"/>
      <c r="G331" s="20"/>
      <c r="H331" s="255"/>
      <c r="I331" s="392"/>
      <c r="J331" s="392"/>
      <c r="K331" s="392"/>
      <c r="L331" s="404"/>
      <c r="M331" s="404"/>
      <c r="N331" s="404"/>
      <c r="O331" s="255"/>
      <c r="P331" s="204"/>
      <c r="Q331" s="227">
        <f t="shared" si="32"/>
        <v>0</v>
      </c>
      <c r="R331" s="228">
        <f t="shared" si="34"/>
        <v>0</v>
      </c>
      <c r="S331" s="243">
        <f t="shared" si="33"/>
        <v>0</v>
      </c>
      <c r="T331" s="426">
        <f t="shared" si="35"/>
        <v>0</v>
      </c>
      <c r="V331" s="20"/>
      <c r="W331" s="20"/>
      <c r="X331" s="361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  <c r="AP331" s="20"/>
    </row>
    <row r="332" spans="1:42" s="238" customFormat="1" ht="18.75" customHeight="1" x14ac:dyDescent="0.35">
      <c r="A332" s="195"/>
      <c r="B332" s="254"/>
      <c r="C332" s="399"/>
      <c r="D332" s="3"/>
      <c r="E332" s="3"/>
      <c r="F332" s="20"/>
      <c r="G332" s="20"/>
      <c r="H332" s="255"/>
      <c r="I332" s="392"/>
      <c r="J332" s="392"/>
      <c r="K332" s="392"/>
      <c r="L332" s="404"/>
      <c r="M332" s="404"/>
      <c r="N332" s="404"/>
      <c r="O332" s="255"/>
      <c r="P332" s="204"/>
      <c r="Q332" s="227">
        <f t="shared" si="32"/>
        <v>0</v>
      </c>
      <c r="R332" s="228">
        <f t="shared" si="34"/>
        <v>0</v>
      </c>
      <c r="S332" s="243">
        <f t="shared" si="33"/>
        <v>0</v>
      </c>
      <c r="T332" s="426">
        <f t="shared" si="35"/>
        <v>0</v>
      </c>
      <c r="V332" s="20"/>
      <c r="W332" s="20"/>
      <c r="X332" s="361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  <c r="AP332" s="20"/>
    </row>
    <row r="333" spans="1:42" s="238" customFormat="1" ht="18.75" customHeight="1" x14ac:dyDescent="0.35">
      <c r="A333" s="195"/>
      <c r="B333" s="254"/>
      <c r="C333" s="399"/>
      <c r="D333" s="3"/>
      <c r="E333" s="3"/>
      <c r="F333" s="20"/>
      <c r="G333" s="20"/>
      <c r="H333" s="255"/>
      <c r="I333" s="392"/>
      <c r="J333" s="392"/>
      <c r="K333" s="392"/>
      <c r="L333" s="404"/>
      <c r="M333" s="404"/>
      <c r="N333" s="404"/>
      <c r="O333" s="255"/>
      <c r="P333" s="204"/>
      <c r="Q333" s="227">
        <f t="shared" si="32"/>
        <v>0</v>
      </c>
      <c r="R333" s="228">
        <f t="shared" si="34"/>
        <v>0</v>
      </c>
      <c r="S333" s="243">
        <f t="shared" si="33"/>
        <v>0</v>
      </c>
      <c r="T333" s="426">
        <f t="shared" si="35"/>
        <v>0</v>
      </c>
      <c r="V333" s="20"/>
      <c r="W333" s="20"/>
      <c r="X333" s="361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  <c r="AP333" s="20"/>
    </row>
    <row r="334" spans="1:42" s="238" customFormat="1" ht="18.75" customHeight="1" x14ac:dyDescent="0.35">
      <c r="A334" s="195"/>
      <c r="B334" s="254"/>
      <c r="C334" s="399"/>
      <c r="D334" s="3"/>
      <c r="E334" s="3"/>
      <c r="F334" s="20"/>
      <c r="G334" s="20"/>
      <c r="H334" s="255"/>
      <c r="I334" s="392"/>
      <c r="J334" s="392"/>
      <c r="K334" s="392"/>
      <c r="L334" s="404"/>
      <c r="M334" s="404"/>
      <c r="N334" s="404"/>
      <c r="O334" s="255"/>
      <c r="P334" s="204"/>
      <c r="Q334" s="227">
        <f t="shared" si="32"/>
        <v>0</v>
      </c>
      <c r="R334" s="228">
        <f t="shared" si="34"/>
        <v>0</v>
      </c>
      <c r="S334" s="243">
        <f t="shared" si="33"/>
        <v>0</v>
      </c>
      <c r="T334" s="426">
        <f t="shared" si="35"/>
        <v>0</v>
      </c>
      <c r="V334" s="20"/>
      <c r="W334" s="20"/>
      <c r="X334" s="361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  <c r="AP334" s="20"/>
    </row>
    <row r="335" spans="1:42" s="238" customFormat="1" ht="18.75" customHeight="1" x14ac:dyDescent="0.35">
      <c r="A335" s="195"/>
      <c r="B335" s="254"/>
      <c r="C335" s="399"/>
      <c r="D335" s="3"/>
      <c r="E335" s="3"/>
      <c r="F335" s="20"/>
      <c r="G335" s="20"/>
      <c r="H335" s="255"/>
      <c r="I335" s="392"/>
      <c r="J335" s="392"/>
      <c r="K335" s="392"/>
      <c r="L335" s="404"/>
      <c r="M335" s="404"/>
      <c r="N335" s="404"/>
      <c r="O335" s="255"/>
      <c r="P335" s="204"/>
      <c r="Q335" s="227">
        <f t="shared" si="32"/>
        <v>0</v>
      </c>
      <c r="R335" s="228">
        <f t="shared" si="34"/>
        <v>0</v>
      </c>
      <c r="S335" s="243">
        <f t="shared" si="33"/>
        <v>0</v>
      </c>
      <c r="T335" s="426">
        <f t="shared" si="35"/>
        <v>0</v>
      </c>
      <c r="V335" s="20"/>
      <c r="W335" s="20"/>
      <c r="X335" s="361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  <c r="AP335" s="20"/>
    </row>
    <row r="336" spans="1:42" s="238" customFormat="1" ht="18.75" customHeight="1" x14ac:dyDescent="0.35">
      <c r="A336" s="195"/>
      <c r="B336" s="254"/>
      <c r="C336" s="399"/>
      <c r="D336" s="3"/>
      <c r="E336" s="3"/>
      <c r="F336" s="20"/>
      <c r="G336" s="20"/>
      <c r="H336" s="255"/>
      <c r="I336" s="392"/>
      <c r="J336" s="392"/>
      <c r="K336" s="392"/>
      <c r="L336" s="404"/>
      <c r="M336" s="404"/>
      <c r="N336" s="404"/>
      <c r="O336" s="255"/>
      <c r="P336" s="204"/>
      <c r="Q336" s="227">
        <f t="shared" si="32"/>
        <v>0</v>
      </c>
      <c r="R336" s="228">
        <f t="shared" si="34"/>
        <v>0</v>
      </c>
      <c r="S336" s="243">
        <f t="shared" si="33"/>
        <v>0</v>
      </c>
      <c r="T336" s="426">
        <f t="shared" si="35"/>
        <v>0</v>
      </c>
      <c r="V336" s="20"/>
      <c r="W336" s="20"/>
      <c r="X336" s="361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  <c r="AP336" s="20"/>
    </row>
    <row r="337" spans="1:42" s="238" customFormat="1" ht="18.75" customHeight="1" x14ac:dyDescent="0.35">
      <c r="A337" s="195"/>
      <c r="B337" s="254"/>
      <c r="C337" s="399"/>
      <c r="D337" s="3"/>
      <c r="E337" s="3"/>
      <c r="F337" s="20"/>
      <c r="G337" s="20"/>
      <c r="H337" s="255"/>
      <c r="I337" s="392"/>
      <c r="J337" s="392"/>
      <c r="K337" s="392"/>
      <c r="L337" s="404"/>
      <c r="M337" s="404"/>
      <c r="N337" s="404"/>
      <c r="O337" s="255"/>
      <c r="P337" s="204"/>
      <c r="Q337" s="227">
        <f t="shared" si="32"/>
        <v>0</v>
      </c>
      <c r="R337" s="228">
        <f t="shared" si="34"/>
        <v>0</v>
      </c>
      <c r="S337" s="243">
        <f t="shared" si="33"/>
        <v>0</v>
      </c>
      <c r="T337" s="426">
        <f t="shared" si="35"/>
        <v>0</v>
      </c>
      <c r="V337" s="20"/>
      <c r="W337" s="20"/>
      <c r="X337" s="361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  <c r="AP337" s="20"/>
    </row>
    <row r="338" spans="1:42" s="238" customFormat="1" ht="18.75" customHeight="1" x14ac:dyDescent="0.35">
      <c r="A338" s="195"/>
      <c r="B338" s="254"/>
      <c r="C338" s="399"/>
      <c r="D338" s="3"/>
      <c r="E338" s="3"/>
      <c r="F338" s="20"/>
      <c r="G338" s="20"/>
      <c r="H338" s="255"/>
      <c r="I338" s="392"/>
      <c r="J338" s="392"/>
      <c r="K338" s="392"/>
      <c r="L338" s="404"/>
      <c r="M338" s="404"/>
      <c r="N338" s="404"/>
      <c r="O338" s="255"/>
      <c r="P338" s="204"/>
      <c r="Q338" s="227">
        <f t="shared" si="32"/>
        <v>0</v>
      </c>
      <c r="R338" s="228">
        <f t="shared" si="34"/>
        <v>0</v>
      </c>
      <c r="S338" s="243">
        <f t="shared" si="33"/>
        <v>0</v>
      </c>
      <c r="T338" s="426">
        <f t="shared" si="35"/>
        <v>0</v>
      </c>
      <c r="V338" s="20"/>
      <c r="W338" s="20"/>
      <c r="X338" s="361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  <c r="AM338" s="20"/>
      <c r="AN338" s="20"/>
      <c r="AO338" s="20"/>
      <c r="AP338" s="20"/>
    </row>
    <row r="339" spans="1:42" s="238" customFormat="1" ht="18.75" customHeight="1" x14ac:dyDescent="0.35">
      <c r="A339" s="195"/>
      <c r="B339" s="254"/>
      <c r="C339" s="399"/>
      <c r="D339" s="3"/>
      <c r="E339" s="3"/>
      <c r="F339" s="20"/>
      <c r="G339" s="20"/>
      <c r="H339" s="255"/>
      <c r="I339" s="392"/>
      <c r="J339" s="392"/>
      <c r="K339" s="392"/>
      <c r="L339" s="404"/>
      <c r="M339" s="404"/>
      <c r="N339" s="404"/>
      <c r="O339" s="255"/>
      <c r="P339" s="204"/>
      <c r="Q339" s="227">
        <f t="shared" si="32"/>
        <v>0</v>
      </c>
      <c r="R339" s="228">
        <f t="shared" si="34"/>
        <v>0</v>
      </c>
      <c r="S339" s="243">
        <f t="shared" si="33"/>
        <v>0</v>
      </c>
      <c r="T339" s="426">
        <f t="shared" si="35"/>
        <v>0</v>
      </c>
      <c r="V339" s="20"/>
      <c r="W339" s="20"/>
      <c r="X339" s="361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  <c r="AP339" s="20"/>
    </row>
    <row r="340" spans="1:42" s="238" customFormat="1" ht="18.75" customHeight="1" x14ac:dyDescent="0.35">
      <c r="A340" s="195"/>
      <c r="B340" s="254"/>
      <c r="C340" s="399"/>
      <c r="D340" s="3"/>
      <c r="E340" s="3"/>
      <c r="F340" s="20"/>
      <c r="G340" s="20"/>
      <c r="H340" s="255"/>
      <c r="I340" s="392"/>
      <c r="J340" s="392"/>
      <c r="K340" s="392"/>
      <c r="L340" s="404"/>
      <c r="M340" s="404"/>
      <c r="N340" s="404"/>
      <c r="O340" s="255"/>
      <c r="P340" s="204"/>
      <c r="Q340" s="227">
        <f t="shared" si="32"/>
        <v>0</v>
      </c>
      <c r="R340" s="228">
        <f t="shared" si="34"/>
        <v>0</v>
      </c>
      <c r="S340" s="243">
        <f t="shared" si="33"/>
        <v>0</v>
      </c>
      <c r="T340" s="426">
        <f t="shared" si="35"/>
        <v>0</v>
      </c>
      <c r="V340" s="20"/>
      <c r="W340" s="20"/>
      <c r="X340" s="361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  <c r="AP340" s="20"/>
    </row>
    <row r="341" spans="1:42" s="238" customFormat="1" ht="18.75" customHeight="1" x14ac:dyDescent="0.35">
      <c r="A341" s="195"/>
      <c r="B341" s="254"/>
      <c r="C341" s="399"/>
      <c r="D341" s="3"/>
      <c r="E341" s="3"/>
      <c r="F341" s="20"/>
      <c r="G341" s="20"/>
      <c r="H341" s="255"/>
      <c r="I341" s="392"/>
      <c r="J341" s="392"/>
      <c r="K341" s="392"/>
      <c r="L341" s="404"/>
      <c r="M341" s="404"/>
      <c r="N341" s="404"/>
      <c r="O341" s="255"/>
      <c r="P341" s="204"/>
      <c r="Q341" s="227">
        <f t="shared" si="32"/>
        <v>0</v>
      </c>
      <c r="R341" s="228">
        <f t="shared" si="34"/>
        <v>0</v>
      </c>
      <c r="S341" s="243">
        <f t="shared" si="33"/>
        <v>0</v>
      </c>
      <c r="T341" s="426">
        <f t="shared" si="35"/>
        <v>0</v>
      </c>
      <c r="V341" s="20"/>
      <c r="W341" s="20"/>
      <c r="X341" s="361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  <c r="AP341" s="20"/>
    </row>
    <row r="342" spans="1:42" s="238" customFormat="1" ht="18.75" customHeight="1" x14ac:dyDescent="0.35">
      <c r="A342" s="195"/>
      <c r="B342" s="254"/>
      <c r="C342" s="399"/>
      <c r="D342" s="3"/>
      <c r="E342" s="3"/>
      <c r="F342" s="20"/>
      <c r="G342" s="20"/>
      <c r="H342" s="255"/>
      <c r="I342" s="392"/>
      <c r="J342" s="392"/>
      <c r="K342" s="392"/>
      <c r="L342" s="404"/>
      <c r="M342" s="404"/>
      <c r="N342" s="404"/>
      <c r="O342" s="255"/>
      <c r="P342" s="204"/>
      <c r="Q342" s="227">
        <f t="shared" si="32"/>
        <v>0</v>
      </c>
      <c r="R342" s="228">
        <f t="shared" si="34"/>
        <v>0</v>
      </c>
      <c r="S342" s="243">
        <f t="shared" si="33"/>
        <v>0</v>
      </c>
      <c r="T342" s="426">
        <f t="shared" si="35"/>
        <v>0</v>
      </c>
      <c r="V342" s="20"/>
      <c r="W342" s="20"/>
      <c r="X342" s="361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  <c r="AP342" s="20"/>
    </row>
    <row r="343" spans="1:42" s="238" customFormat="1" ht="18.75" customHeight="1" x14ac:dyDescent="0.35">
      <c r="A343" s="195"/>
      <c r="B343" s="254"/>
      <c r="C343" s="399"/>
      <c r="D343" s="3"/>
      <c r="E343" s="3"/>
      <c r="F343" s="20"/>
      <c r="G343" s="20"/>
      <c r="H343" s="255"/>
      <c r="I343" s="392"/>
      <c r="J343" s="392"/>
      <c r="K343" s="392"/>
      <c r="L343" s="404"/>
      <c r="M343" s="404"/>
      <c r="N343" s="404"/>
      <c r="O343" s="255"/>
      <c r="P343" s="204"/>
      <c r="Q343" s="227">
        <f t="shared" si="32"/>
        <v>0</v>
      </c>
      <c r="R343" s="228">
        <f t="shared" si="34"/>
        <v>0</v>
      </c>
      <c r="S343" s="243">
        <f t="shared" si="33"/>
        <v>0</v>
      </c>
      <c r="T343" s="426">
        <f t="shared" si="35"/>
        <v>0</v>
      </c>
      <c r="V343" s="20"/>
      <c r="W343" s="20"/>
      <c r="X343" s="361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  <c r="AM343" s="20"/>
      <c r="AN343" s="20"/>
      <c r="AO343" s="20"/>
      <c r="AP343" s="20"/>
    </row>
    <row r="344" spans="1:42" s="238" customFormat="1" ht="18.75" customHeight="1" x14ac:dyDescent="0.35">
      <c r="A344" s="195"/>
      <c r="B344" s="254"/>
      <c r="C344" s="399"/>
      <c r="D344" s="3"/>
      <c r="E344" s="3"/>
      <c r="F344" s="20"/>
      <c r="G344" s="20"/>
      <c r="H344" s="255"/>
      <c r="I344" s="392"/>
      <c r="J344" s="392"/>
      <c r="K344" s="392"/>
      <c r="L344" s="404"/>
      <c r="M344" s="404"/>
      <c r="N344" s="404"/>
      <c r="O344" s="255"/>
      <c r="P344" s="204"/>
      <c r="Q344" s="227">
        <f t="shared" si="32"/>
        <v>0</v>
      </c>
      <c r="R344" s="228">
        <f t="shared" si="34"/>
        <v>0</v>
      </c>
      <c r="S344" s="243">
        <f t="shared" si="33"/>
        <v>0</v>
      </c>
      <c r="T344" s="426">
        <f t="shared" si="35"/>
        <v>0</v>
      </c>
      <c r="V344" s="20"/>
      <c r="W344" s="20"/>
      <c r="X344" s="361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  <c r="AP344" s="20"/>
    </row>
    <row r="345" spans="1:42" s="238" customFormat="1" ht="18.75" customHeight="1" x14ac:dyDescent="0.35">
      <c r="A345" s="195"/>
      <c r="B345" s="254"/>
      <c r="C345" s="399"/>
      <c r="D345" s="3"/>
      <c r="E345" s="3"/>
      <c r="F345" s="20"/>
      <c r="G345" s="20"/>
      <c r="H345" s="255"/>
      <c r="I345" s="392"/>
      <c r="J345" s="392"/>
      <c r="K345" s="392"/>
      <c r="L345" s="404"/>
      <c r="M345" s="404"/>
      <c r="N345" s="404"/>
      <c r="O345" s="255"/>
      <c r="P345" s="204"/>
      <c r="Q345" s="227">
        <f t="shared" si="32"/>
        <v>0</v>
      </c>
      <c r="R345" s="228">
        <f t="shared" si="34"/>
        <v>0</v>
      </c>
      <c r="S345" s="243">
        <f t="shared" si="33"/>
        <v>0</v>
      </c>
      <c r="T345" s="426">
        <f t="shared" si="35"/>
        <v>0</v>
      </c>
      <c r="V345" s="20"/>
      <c r="W345" s="20"/>
      <c r="X345" s="361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  <c r="AP345" s="20"/>
    </row>
    <row r="346" spans="1:42" s="238" customFormat="1" ht="18.75" customHeight="1" x14ac:dyDescent="0.35">
      <c r="A346" s="195"/>
      <c r="B346" s="254"/>
      <c r="C346" s="399"/>
      <c r="D346" s="3"/>
      <c r="E346" s="3"/>
      <c r="F346" s="20"/>
      <c r="G346" s="20"/>
      <c r="H346" s="255"/>
      <c r="I346" s="392"/>
      <c r="J346" s="392"/>
      <c r="K346" s="392"/>
      <c r="L346" s="404"/>
      <c r="M346" s="404"/>
      <c r="N346" s="404"/>
      <c r="O346" s="255"/>
      <c r="P346" s="204"/>
      <c r="Q346" s="227">
        <f t="shared" si="32"/>
        <v>0</v>
      </c>
      <c r="R346" s="228">
        <f t="shared" si="34"/>
        <v>0</v>
      </c>
      <c r="S346" s="243">
        <f t="shared" si="33"/>
        <v>0</v>
      </c>
      <c r="T346" s="426">
        <f t="shared" si="35"/>
        <v>0</v>
      </c>
      <c r="V346" s="20"/>
      <c r="W346" s="20"/>
      <c r="X346" s="361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  <c r="AP346" s="20"/>
    </row>
    <row r="347" spans="1:42" s="238" customFormat="1" ht="18.75" customHeight="1" x14ac:dyDescent="0.35">
      <c r="A347" s="195"/>
      <c r="B347" s="254"/>
      <c r="C347" s="399"/>
      <c r="D347" s="3"/>
      <c r="E347" s="3"/>
      <c r="F347" s="20"/>
      <c r="G347" s="20"/>
      <c r="H347" s="255"/>
      <c r="I347" s="392"/>
      <c r="J347" s="392"/>
      <c r="K347" s="392"/>
      <c r="L347" s="404"/>
      <c r="M347" s="404"/>
      <c r="N347" s="404"/>
      <c r="O347" s="255"/>
      <c r="P347" s="204"/>
      <c r="Q347" s="227">
        <f t="shared" si="32"/>
        <v>0</v>
      </c>
      <c r="R347" s="228">
        <f t="shared" si="34"/>
        <v>0</v>
      </c>
      <c r="S347" s="243">
        <f t="shared" si="33"/>
        <v>0</v>
      </c>
      <c r="T347" s="426">
        <f t="shared" si="35"/>
        <v>0</v>
      </c>
      <c r="V347" s="20"/>
      <c r="W347" s="20"/>
      <c r="X347" s="361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  <c r="AP347" s="20"/>
    </row>
    <row r="348" spans="1:42" s="238" customFormat="1" ht="18.75" customHeight="1" x14ac:dyDescent="0.35">
      <c r="A348" s="195"/>
      <c r="B348" s="254"/>
      <c r="C348" s="399"/>
      <c r="D348" s="3"/>
      <c r="E348" s="3"/>
      <c r="F348" s="20"/>
      <c r="G348" s="20"/>
      <c r="H348" s="255"/>
      <c r="I348" s="392"/>
      <c r="J348" s="392"/>
      <c r="K348" s="392"/>
      <c r="L348" s="404"/>
      <c r="M348" s="404"/>
      <c r="N348" s="404"/>
      <c r="O348" s="255"/>
      <c r="P348" s="204"/>
      <c r="Q348" s="227">
        <f t="shared" si="32"/>
        <v>0</v>
      </c>
      <c r="R348" s="228">
        <f t="shared" si="34"/>
        <v>0</v>
      </c>
      <c r="S348" s="243">
        <f t="shared" si="33"/>
        <v>0</v>
      </c>
      <c r="T348" s="426">
        <f t="shared" si="35"/>
        <v>0</v>
      </c>
      <c r="V348" s="20"/>
      <c r="W348" s="20"/>
      <c r="X348" s="361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  <c r="AP348" s="20"/>
    </row>
    <row r="349" spans="1:42" s="238" customFormat="1" ht="18.75" customHeight="1" x14ac:dyDescent="0.35">
      <c r="A349" s="195"/>
      <c r="B349" s="254"/>
      <c r="C349" s="399"/>
      <c r="D349" s="3"/>
      <c r="E349" s="3"/>
      <c r="F349" s="20"/>
      <c r="G349" s="20"/>
      <c r="H349" s="255"/>
      <c r="I349" s="392"/>
      <c r="J349" s="392"/>
      <c r="K349" s="392"/>
      <c r="L349" s="404"/>
      <c r="M349" s="404"/>
      <c r="N349" s="404"/>
      <c r="O349" s="255"/>
      <c r="P349" s="204"/>
      <c r="Q349" s="227">
        <f t="shared" si="32"/>
        <v>0</v>
      </c>
      <c r="R349" s="228">
        <f t="shared" si="34"/>
        <v>0</v>
      </c>
      <c r="S349" s="243">
        <f t="shared" si="33"/>
        <v>0</v>
      </c>
      <c r="T349" s="426">
        <f t="shared" si="35"/>
        <v>0</v>
      </c>
      <c r="V349" s="20"/>
      <c r="W349" s="20"/>
      <c r="X349" s="361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  <c r="AP349" s="20"/>
    </row>
    <row r="350" spans="1:42" s="238" customFormat="1" ht="18.75" customHeight="1" x14ac:dyDescent="0.35">
      <c r="A350" s="195"/>
      <c r="B350" s="254"/>
      <c r="C350" s="399"/>
      <c r="D350" s="3"/>
      <c r="E350" s="3"/>
      <c r="F350" s="20"/>
      <c r="G350" s="20"/>
      <c r="H350" s="255"/>
      <c r="I350" s="392"/>
      <c r="J350" s="392"/>
      <c r="K350" s="392"/>
      <c r="L350" s="404"/>
      <c r="M350" s="404"/>
      <c r="N350" s="404"/>
      <c r="O350" s="255"/>
      <c r="P350" s="204"/>
      <c r="Q350" s="227">
        <f t="shared" si="32"/>
        <v>0</v>
      </c>
      <c r="R350" s="228">
        <f t="shared" si="34"/>
        <v>0</v>
      </c>
      <c r="S350" s="243">
        <f t="shared" si="33"/>
        <v>0</v>
      </c>
      <c r="T350" s="426">
        <f t="shared" si="35"/>
        <v>0</v>
      </c>
      <c r="V350" s="20"/>
      <c r="W350" s="20"/>
      <c r="X350" s="361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  <c r="AP350" s="20"/>
    </row>
    <row r="351" spans="1:42" s="238" customFormat="1" ht="18.75" customHeight="1" x14ac:dyDescent="0.35">
      <c r="A351" s="195"/>
      <c r="B351" s="254"/>
      <c r="C351" s="399"/>
      <c r="D351" s="3"/>
      <c r="E351" s="3"/>
      <c r="F351" s="20"/>
      <c r="G351" s="20"/>
      <c r="H351" s="255"/>
      <c r="I351" s="392"/>
      <c r="J351" s="392"/>
      <c r="K351" s="392"/>
      <c r="L351" s="404"/>
      <c r="M351" s="404"/>
      <c r="N351" s="404"/>
      <c r="O351" s="255"/>
      <c r="P351" s="204"/>
      <c r="Q351" s="227">
        <f t="shared" si="32"/>
        <v>0</v>
      </c>
      <c r="R351" s="228">
        <f t="shared" si="34"/>
        <v>0</v>
      </c>
      <c r="S351" s="243">
        <f t="shared" si="33"/>
        <v>0</v>
      </c>
      <c r="T351" s="426">
        <f t="shared" si="35"/>
        <v>0</v>
      </c>
      <c r="V351" s="20"/>
      <c r="W351" s="20"/>
      <c r="X351" s="361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  <c r="AP351" s="20"/>
    </row>
    <row r="352" spans="1:42" s="238" customFormat="1" ht="18.75" customHeight="1" x14ac:dyDescent="0.35">
      <c r="A352" s="195"/>
      <c r="B352" s="254"/>
      <c r="C352" s="399"/>
      <c r="D352" s="3"/>
      <c r="E352" s="3"/>
      <c r="F352" s="20"/>
      <c r="G352" s="20"/>
      <c r="H352" s="255"/>
      <c r="I352" s="392"/>
      <c r="J352" s="392"/>
      <c r="K352" s="392"/>
      <c r="L352" s="404"/>
      <c r="M352" s="404"/>
      <c r="N352" s="404"/>
      <c r="O352" s="255"/>
      <c r="P352" s="204"/>
      <c r="Q352" s="227">
        <f t="shared" ref="Q352:Q415" si="36">_xlfn.XLOOKUP(F352, AE:AE, AF:AF) * G352</f>
        <v>0</v>
      </c>
      <c r="R352" s="228">
        <f t="shared" si="34"/>
        <v>0</v>
      </c>
      <c r="S352" s="243">
        <f t="shared" si="33"/>
        <v>0</v>
      </c>
      <c r="T352" s="426">
        <f t="shared" si="35"/>
        <v>0</v>
      </c>
      <c r="V352" s="20"/>
      <c r="W352" s="20"/>
      <c r="X352" s="361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  <c r="AP352" s="20"/>
    </row>
    <row r="353" spans="1:42" s="238" customFormat="1" ht="18.75" customHeight="1" x14ac:dyDescent="0.35">
      <c r="A353" s="195"/>
      <c r="B353" s="254"/>
      <c r="C353" s="399"/>
      <c r="D353" s="3"/>
      <c r="E353" s="3"/>
      <c r="F353" s="20"/>
      <c r="G353" s="20"/>
      <c r="H353" s="255"/>
      <c r="I353" s="392"/>
      <c r="J353" s="392"/>
      <c r="K353" s="392"/>
      <c r="L353" s="404"/>
      <c r="M353" s="404"/>
      <c r="N353" s="404"/>
      <c r="O353" s="255"/>
      <c r="P353" s="204"/>
      <c r="Q353" s="227">
        <f t="shared" si="36"/>
        <v>0</v>
      </c>
      <c r="R353" s="228">
        <f t="shared" si="34"/>
        <v>0</v>
      </c>
      <c r="S353" s="243">
        <f t="shared" si="33"/>
        <v>0</v>
      </c>
      <c r="T353" s="426">
        <f t="shared" si="35"/>
        <v>0</v>
      </c>
      <c r="V353" s="20"/>
      <c r="W353" s="20"/>
      <c r="X353" s="361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  <c r="AP353" s="20"/>
    </row>
    <row r="354" spans="1:42" s="238" customFormat="1" ht="18.75" customHeight="1" x14ac:dyDescent="0.35">
      <c r="A354" s="195"/>
      <c r="B354" s="254"/>
      <c r="C354" s="399"/>
      <c r="D354" s="3"/>
      <c r="E354" s="3"/>
      <c r="F354" s="20"/>
      <c r="G354" s="20"/>
      <c r="H354" s="255"/>
      <c r="I354" s="392"/>
      <c r="J354" s="392"/>
      <c r="K354" s="392"/>
      <c r="L354" s="404"/>
      <c r="M354" s="404"/>
      <c r="N354" s="404"/>
      <c r="O354" s="255"/>
      <c r="P354" s="204"/>
      <c r="Q354" s="227">
        <f t="shared" si="36"/>
        <v>0</v>
      </c>
      <c r="R354" s="228">
        <f t="shared" si="34"/>
        <v>0</v>
      </c>
      <c r="S354" s="243">
        <f t="shared" si="33"/>
        <v>0</v>
      </c>
      <c r="T354" s="426">
        <f t="shared" si="35"/>
        <v>0</v>
      </c>
      <c r="V354" s="20"/>
      <c r="W354" s="20"/>
      <c r="X354" s="361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  <c r="AP354" s="20"/>
    </row>
    <row r="355" spans="1:42" s="238" customFormat="1" ht="18.75" customHeight="1" x14ac:dyDescent="0.35">
      <c r="A355" s="195"/>
      <c r="B355" s="254"/>
      <c r="C355" s="399"/>
      <c r="D355" s="3"/>
      <c r="E355" s="3"/>
      <c r="F355" s="20"/>
      <c r="G355" s="20"/>
      <c r="H355" s="255"/>
      <c r="I355" s="392"/>
      <c r="J355" s="392"/>
      <c r="K355" s="392"/>
      <c r="L355" s="404"/>
      <c r="M355" s="404"/>
      <c r="N355" s="404"/>
      <c r="O355" s="255"/>
      <c r="P355" s="204"/>
      <c r="Q355" s="227">
        <f t="shared" si="36"/>
        <v>0</v>
      </c>
      <c r="R355" s="228">
        <f t="shared" si="34"/>
        <v>0</v>
      </c>
      <c r="S355" s="243">
        <f t="shared" si="33"/>
        <v>0</v>
      </c>
      <c r="T355" s="426">
        <f t="shared" si="35"/>
        <v>0</v>
      </c>
      <c r="V355" s="20"/>
      <c r="W355" s="20"/>
      <c r="X355" s="361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  <c r="AP355" s="20"/>
    </row>
    <row r="356" spans="1:42" s="238" customFormat="1" ht="18.75" customHeight="1" x14ac:dyDescent="0.35">
      <c r="A356" s="195"/>
      <c r="B356" s="254"/>
      <c r="C356" s="399"/>
      <c r="D356" s="3"/>
      <c r="E356" s="3"/>
      <c r="F356" s="20"/>
      <c r="G356" s="20"/>
      <c r="H356" s="255"/>
      <c r="I356" s="392"/>
      <c r="J356" s="392"/>
      <c r="K356" s="392"/>
      <c r="L356" s="404"/>
      <c r="M356" s="404"/>
      <c r="N356" s="404"/>
      <c r="O356" s="255"/>
      <c r="P356" s="204"/>
      <c r="Q356" s="227">
        <f t="shared" si="36"/>
        <v>0</v>
      </c>
      <c r="R356" s="228">
        <f t="shared" si="34"/>
        <v>0</v>
      </c>
      <c r="S356" s="243">
        <f t="shared" si="33"/>
        <v>0</v>
      </c>
      <c r="T356" s="426">
        <f t="shared" si="35"/>
        <v>0</v>
      </c>
      <c r="V356" s="20"/>
      <c r="W356" s="20"/>
      <c r="X356" s="361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  <c r="AM356" s="20"/>
      <c r="AN356" s="20"/>
      <c r="AO356" s="20"/>
      <c r="AP356" s="20"/>
    </row>
    <row r="357" spans="1:42" s="238" customFormat="1" ht="18.75" customHeight="1" x14ac:dyDescent="0.35">
      <c r="A357" s="195"/>
      <c r="B357" s="254"/>
      <c r="C357" s="399"/>
      <c r="D357" s="3"/>
      <c r="E357" s="3"/>
      <c r="F357" s="20"/>
      <c r="G357" s="20"/>
      <c r="H357" s="255"/>
      <c r="I357" s="392"/>
      <c r="J357" s="392"/>
      <c r="K357" s="392"/>
      <c r="L357" s="404"/>
      <c r="M357" s="404"/>
      <c r="N357" s="404"/>
      <c r="O357" s="255"/>
      <c r="P357" s="204"/>
      <c r="Q357" s="227">
        <f t="shared" si="36"/>
        <v>0</v>
      </c>
      <c r="R357" s="228">
        <f t="shared" si="34"/>
        <v>0</v>
      </c>
      <c r="S357" s="243">
        <f t="shared" si="33"/>
        <v>0</v>
      </c>
      <c r="T357" s="426">
        <f t="shared" si="35"/>
        <v>0</v>
      </c>
      <c r="V357" s="20"/>
      <c r="W357" s="20"/>
      <c r="X357" s="361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  <c r="AP357" s="20"/>
    </row>
    <row r="358" spans="1:42" s="238" customFormat="1" ht="18.75" customHeight="1" x14ac:dyDescent="0.35">
      <c r="A358" s="195"/>
      <c r="B358" s="254"/>
      <c r="C358" s="399"/>
      <c r="D358" s="3"/>
      <c r="E358" s="3"/>
      <c r="F358" s="20"/>
      <c r="G358" s="20"/>
      <c r="H358" s="255"/>
      <c r="I358" s="392"/>
      <c r="J358" s="392"/>
      <c r="K358" s="392"/>
      <c r="L358" s="404"/>
      <c r="M358" s="404"/>
      <c r="N358" s="404"/>
      <c r="O358" s="255"/>
      <c r="P358" s="204"/>
      <c r="Q358" s="227">
        <f t="shared" si="36"/>
        <v>0</v>
      </c>
      <c r="R358" s="228">
        <f t="shared" si="34"/>
        <v>0</v>
      </c>
      <c r="S358" s="243">
        <f t="shared" si="33"/>
        <v>0</v>
      </c>
      <c r="T358" s="426">
        <f t="shared" si="35"/>
        <v>0</v>
      </c>
      <c r="V358" s="20"/>
      <c r="W358" s="20"/>
      <c r="X358" s="361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  <c r="AM358" s="20"/>
      <c r="AN358" s="20"/>
      <c r="AO358" s="20"/>
      <c r="AP358" s="20"/>
    </row>
    <row r="359" spans="1:42" s="238" customFormat="1" ht="18.75" customHeight="1" x14ac:dyDescent="0.35">
      <c r="A359" s="195"/>
      <c r="B359" s="254"/>
      <c r="C359" s="399"/>
      <c r="D359" s="3"/>
      <c r="E359" s="3"/>
      <c r="F359" s="20"/>
      <c r="G359" s="20"/>
      <c r="H359" s="255"/>
      <c r="I359" s="392"/>
      <c r="J359" s="392"/>
      <c r="K359" s="392"/>
      <c r="L359" s="404"/>
      <c r="M359" s="404"/>
      <c r="N359" s="404"/>
      <c r="O359" s="255"/>
      <c r="P359" s="204"/>
      <c r="Q359" s="227">
        <f t="shared" si="36"/>
        <v>0</v>
      </c>
      <c r="R359" s="228">
        <f t="shared" si="34"/>
        <v>0</v>
      </c>
      <c r="S359" s="243">
        <f t="shared" si="33"/>
        <v>0</v>
      </c>
      <c r="T359" s="426">
        <f t="shared" si="35"/>
        <v>0</v>
      </c>
      <c r="V359" s="20"/>
      <c r="W359" s="20"/>
      <c r="X359" s="361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  <c r="AM359" s="20"/>
      <c r="AN359" s="20"/>
      <c r="AO359" s="20"/>
      <c r="AP359" s="20"/>
    </row>
    <row r="360" spans="1:42" s="238" customFormat="1" ht="18.75" customHeight="1" x14ac:dyDescent="0.35">
      <c r="A360" s="195"/>
      <c r="B360" s="254"/>
      <c r="C360" s="399"/>
      <c r="D360" s="3"/>
      <c r="E360" s="3"/>
      <c r="F360" s="20"/>
      <c r="G360" s="20"/>
      <c r="H360" s="255"/>
      <c r="I360" s="392"/>
      <c r="J360" s="392"/>
      <c r="K360" s="392"/>
      <c r="L360" s="404"/>
      <c r="M360" s="404"/>
      <c r="N360" s="404"/>
      <c r="O360" s="255"/>
      <c r="P360" s="204"/>
      <c r="Q360" s="227">
        <f t="shared" si="36"/>
        <v>0</v>
      </c>
      <c r="R360" s="228">
        <f t="shared" si="34"/>
        <v>0</v>
      </c>
      <c r="S360" s="243">
        <f t="shared" si="33"/>
        <v>0</v>
      </c>
      <c r="T360" s="426">
        <f t="shared" si="35"/>
        <v>0</v>
      </c>
      <c r="V360" s="20"/>
      <c r="W360" s="20"/>
      <c r="X360" s="361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  <c r="AM360" s="20"/>
      <c r="AN360" s="20"/>
      <c r="AO360" s="20"/>
      <c r="AP360" s="20"/>
    </row>
    <row r="361" spans="1:42" s="238" customFormat="1" ht="18.75" customHeight="1" x14ac:dyDescent="0.35">
      <c r="A361" s="195"/>
      <c r="B361" s="254"/>
      <c r="C361" s="399"/>
      <c r="D361" s="3"/>
      <c r="E361" s="3"/>
      <c r="F361" s="20"/>
      <c r="G361" s="20"/>
      <c r="H361" s="255"/>
      <c r="I361" s="392"/>
      <c r="J361" s="392"/>
      <c r="K361" s="392"/>
      <c r="L361" s="404"/>
      <c r="M361" s="404"/>
      <c r="N361" s="404"/>
      <c r="O361" s="255"/>
      <c r="P361" s="204"/>
      <c r="Q361" s="227">
        <f t="shared" si="36"/>
        <v>0</v>
      </c>
      <c r="R361" s="228">
        <f t="shared" si="34"/>
        <v>0</v>
      </c>
      <c r="S361" s="243">
        <f t="shared" si="33"/>
        <v>0</v>
      </c>
      <c r="T361" s="426">
        <f t="shared" si="35"/>
        <v>0</v>
      </c>
      <c r="V361" s="20"/>
      <c r="W361" s="20"/>
      <c r="X361" s="361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  <c r="AP361" s="20"/>
    </row>
    <row r="362" spans="1:42" s="238" customFormat="1" ht="18.75" customHeight="1" x14ac:dyDescent="0.35">
      <c r="A362" s="195"/>
      <c r="B362" s="254"/>
      <c r="C362" s="399"/>
      <c r="D362" s="3"/>
      <c r="E362" s="3"/>
      <c r="F362" s="20"/>
      <c r="G362" s="20"/>
      <c r="H362" s="255"/>
      <c r="I362" s="392"/>
      <c r="J362" s="392"/>
      <c r="K362" s="392"/>
      <c r="L362" s="404"/>
      <c r="M362" s="404"/>
      <c r="N362" s="404"/>
      <c r="O362" s="255"/>
      <c r="P362" s="204"/>
      <c r="Q362" s="227">
        <f t="shared" si="36"/>
        <v>0</v>
      </c>
      <c r="R362" s="228">
        <f t="shared" si="34"/>
        <v>0</v>
      </c>
      <c r="S362" s="243">
        <f t="shared" si="33"/>
        <v>0</v>
      </c>
      <c r="T362" s="426">
        <f t="shared" si="35"/>
        <v>0</v>
      </c>
      <c r="V362" s="20"/>
      <c r="W362" s="20"/>
      <c r="X362" s="361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  <c r="AM362" s="20"/>
      <c r="AN362" s="20"/>
      <c r="AO362" s="20"/>
      <c r="AP362" s="20"/>
    </row>
    <row r="363" spans="1:42" s="238" customFormat="1" ht="18.75" customHeight="1" x14ac:dyDescent="0.35">
      <c r="A363" s="195"/>
      <c r="B363" s="254"/>
      <c r="C363" s="399"/>
      <c r="D363" s="3"/>
      <c r="E363" s="3"/>
      <c r="F363" s="20"/>
      <c r="G363" s="20"/>
      <c r="H363" s="255"/>
      <c r="I363" s="392"/>
      <c r="J363" s="392"/>
      <c r="K363" s="392"/>
      <c r="L363" s="404"/>
      <c r="M363" s="404"/>
      <c r="N363" s="404"/>
      <c r="O363" s="255"/>
      <c r="P363" s="204"/>
      <c r="Q363" s="227">
        <f t="shared" si="36"/>
        <v>0</v>
      </c>
      <c r="R363" s="228">
        <f t="shared" si="34"/>
        <v>0</v>
      </c>
      <c r="S363" s="243">
        <f t="shared" si="33"/>
        <v>0</v>
      </c>
      <c r="T363" s="426">
        <f t="shared" si="35"/>
        <v>0</v>
      </c>
      <c r="V363" s="20"/>
      <c r="W363" s="20"/>
      <c r="X363" s="361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  <c r="AP363" s="20"/>
    </row>
    <row r="364" spans="1:42" s="238" customFormat="1" ht="18.75" customHeight="1" x14ac:dyDescent="0.35">
      <c r="A364" s="195"/>
      <c r="B364" s="254"/>
      <c r="C364" s="399"/>
      <c r="D364" s="3"/>
      <c r="E364" s="3"/>
      <c r="F364" s="20"/>
      <c r="G364" s="20"/>
      <c r="H364" s="255"/>
      <c r="I364" s="392"/>
      <c r="J364" s="392"/>
      <c r="K364" s="392"/>
      <c r="L364" s="404"/>
      <c r="M364" s="404"/>
      <c r="N364" s="404"/>
      <c r="O364" s="255"/>
      <c r="P364" s="204"/>
      <c r="Q364" s="227">
        <f t="shared" si="36"/>
        <v>0</v>
      </c>
      <c r="R364" s="228">
        <f t="shared" si="34"/>
        <v>0</v>
      </c>
      <c r="S364" s="243">
        <f t="shared" si="33"/>
        <v>0</v>
      </c>
      <c r="T364" s="426">
        <f t="shared" si="35"/>
        <v>0</v>
      </c>
      <c r="V364" s="20"/>
      <c r="W364" s="20"/>
      <c r="X364" s="361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M364" s="20"/>
      <c r="AN364" s="20"/>
      <c r="AO364" s="20"/>
      <c r="AP364" s="20"/>
    </row>
    <row r="365" spans="1:42" s="238" customFormat="1" ht="18.75" customHeight="1" x14ac:dyDescent="0.35">
      <c r="A365" s="195"/>
      <c r="B365" s="254"/>
      <c r="C365" s="399"/>
      <c r="D365" s="3"/>
      <c r="E365" s="3"/>
      <c r="F365" s="20"/>
      <c r="G365" s="20"/>
      <c r="H365" s="255"/>
      <c r="I365" s="392"/>
      <c r="J365" s="392"/>
      <c r="K365" s="392"/>
      <c r="L365" s="404"/>
      <c r="M365" s="404"/>
      <c r="N365" s="404"/>
      <c r="O365" s="255"/>
      <c r="P365" s="204"/>
      <c r="Q365" s="227">
        <f t="shared" si="36"/>
        <v>0</v>
      </c>
      <c r="R365" s="228">
        <f t="shared" si="34"/>
        <v>0</v>
      </c>
      <c r="S365" s="243">
        <f t="shared" si="33"/>
        <v>0</v>
      </c>
      <c r="T365" s="426">
        <f t="shared" si="35"/>
        <v>0</v>
      </c>
      <c r="V365" s="20"/>
      <c r="W365" s="20"/>
      <c r="X365" s="361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  <c r="AP365" s="20"/>
    </row>
    <row r="366" spans="1:42" s="238" customFormat="1" ht="18.75" customHeight="1" x14ac:dyDescent="0.35">
      <c r="A366" s="195"/>
      <c r="B366" s="254"/>
      <c r="C366" s="399"/>
      <c r="D366" s="3"/>
      <c r="E366" s="3"/>
      <c r="F366" s="20"/>
      <c r="G366" s="20"/>
      <c r="H366" s="255"/>
      <c r="I366" s="392"/>
      <c r="J366" s="392"/>
      <c r="K366" s="392"/>
      <c r="L366" s="404"/>
      <c r="M366" s="404"/>
      <c r="N366" s="404"/>
      <c r="O366" s="255"/>
      <c r="P366" s="204"/>
      <c r="Q366" s="227">
        <f t="shared" si="36"/>
        <v>0</v>
      </c>
      <c r="R366" s="228">
        <f t="shared" si="34"/>
        <v>0</v>
      </c>
      <c r="S366" s="243">
        <f t="shared" si="33"/>
        <v>0</v>
      </c>
      <c r="T366" s="426">
        <f t="shared" si="35"/>
        <v>0</v>
      </c>
      <c r="V366" s="20"/>
      <c r="W366" s="20"/>
      <c r="X366" s="361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  <c r="AP366" s="20"/>
    </row>
    <row r="367" spans="1:42" s="238" customFormat="1" ht="18.75" customHeight="1" x14ac:dyDescent="0.35">
      <c r="A367" s="195"/>
      <c r="B367" s="254"/>
      <c r="C367" s="399"/>
      <c r="D367" s="3"/>
      <c r="E367" s="3"/>
      <c r="F367" s="20"/>
      <c r="G367" s="20"/>
      <c r="H367" s="255"/>
      <c r="I367" s="392"/>
      <c r="J367" s="392"/>
      <c r="K367" s="392"/>
      <c r="L367" s="404"/>
      <c r="M367" s="404"/>
      <c r="N367" s="404"/>
      <c r="O367" s="255"/>
      <c r="P367" s="204"/>
      <c r="Q367" s="227">
        <f t="shared" si="36"/>
        <v>0</v>
      </c>
      <c r="R367" s="228">
        <f t="shared" si="34"/>
        <v>0</v>
      </c>
      <c r="S367" s="243">
        <f t="shared" si="33"/>
        <v>0</v>
      </c>
      <c r="T367" s="426">
        <f t="shared" si="35"/>
        <v>0</v>
      </c>
      <c r="V367" s="20"/>
      <c r="W367" s="20"/>
      <c r="X367" s="361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  <c r="AP367" s="20"/>
    </row>
    <row r="368" spans="1:42" s="238" customFormat="1" ht="18.75" customHeight="1" x14ac:dyDescent="0.35">
      <c r="A368" s="195"/>
      <c r="B368" s="254"/>
      <c r="C368" s="399"/>
      <c r="D368" s="3"/>
      <c r="E368" s="3"/>
      <c r="F368" s="20"/>
      <c r="G368" s="20"/>
      <c r="H368" s="255"/>
      <c r="I368" s="392"/>
      <c r="J368" s="392"/>
      <c r="K368" s="392"/>
      <c r="L368" s="404"/>
      <c r="M368" s="404"/>
      <c r="N368" s="404"/>
      <c r="O368" s="255"/>
      <c r="P368" s="204"/>
      <c r="Q368" s="227">
        <f t="shared" si="36"/>
        <v>0</v>
      </c>
      <c r="R368" s="228">
        <f t="shared" si="34"/>
        <v>0</v>
      </c>
      <c r="S368" s="243">
        <f t="shared" si="33"/>
        <v>0</v>
      </c>
      <c r="T368" s="426">
        <f t="shared" si="35"/>
        <v>0</v>
      </c>
      <c r="V368" s="20"/>
      <c r="W368" s="20"/>
      <c r="X368" s="361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  <c r="AP368" s="20"/>
    </row>
    <row r="369" spans="1:42" s="238" customFormat="1" ht="18.75" customHeight="1" x14ac:dyDescent="0.35">
      <c r="A369" s="195"/>
      <c r="B369" s="254"/>
      <c r="C369" s="399"/>
      <c r="D369" s="3"/>
      <c r="E369" s="3"/>
      <c r="F369" s="20"/>
      <c r="G369" s="20"/>
      <c r="H369" s="255"/>
      <c r="I369" s="392"/>
      <c r="J369" s="392"/>
      <c r="K369" s="392"/>
      <c r="L369" s="404"/>
      <c r="M369" s="404"/>
      <c r="N369" s="404"/>
      <c r="O369" s="255"/>
      <c r="P369" s="204"/>
      <c r="Q369" s="227">
        <f t="shared" si="36"/>
        <v>0</v>
      </c>
      <c r="R369" s="228">
        <f t="shared" si="34"/>
        <v>0</v>
      </c>
      <c r="S369" s="243">
        <f t="shared" si="33"/>
        <v>0</v>
      </c>
      <c r="T369" s="426">
        <f t="shared" si="35"/>
        <v>0</v>
      </c>
      <c r="V369" s="20"/>
      <c r="W369" s="20"/>
      <c r="X369" s="361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  <c r="AP369" s="20"/>
    </row>
    <row r="370" spans="1:42" s="238" customFormat="1" ht="18.75" customHeight="1" x14ac:dyDescent="0.35">
      <c r="A370" s="195"/>
      <c r="B370" s="254"/>
      <c r="C370" s="399"/>
      <c r="D370" s="3"/>
      <c r="E370" s="3"/>
      <c r="F370" s="20"/>
      <c r="G370" s="20"/>
      <c r="H370" s="255"/>
      <c r="I370" s="392"/>
      <c r="J370" s="392"/>
      <c r="K370" s="392"/>
      <c r="L370" s="404"/>
      <c r="M370" s="404"/>
      <c r="N370" s="404"/>
      <c r="O370" s="255"/>
      <c r="P370" s="204"/>
      <c r="Q370" s="227">
        <f t="shared" si="36"/>
        <v>0</v>
      </c>
      <c r="R370" s="228">
        <f t="shared" si="34"/>
        <v>0</v>
      </c>
      <c r="S370" s="243">
        <f t="shared" si="33"/>
        <v>0</v>
      </c>
      <c r="T370" s="426">
        <f t="shared" si="35"/>
        <v>0</v>
      </c>
      <c r="V370" s="20"/>
      <c r="W370" s="20"/>
      <c r="X370" s="361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  <c r="AP370" s="20"/>
    </row>
    <row r="371" spans="1:42" s="238" customFormat="1" ht="18.75" customHeight="1" x14ac:dyDescent="0.35">
      <c r="A371" s="195"/>
      <c r="B371" s="254"/>
      <c r="C371" s="399"/>
      <c r="D371" s="3"/>
      <c r="E371" s="3"/>
      <c r="F371" s="20"/>
      <c r="G371" s="20"/>
      <c r="H371" s="255"/>
      <c r="I371" s="392"/>
      <c r="J371" s="392"/>
      <c r="K371" s="392"/>
      <c r="L371" s="404"/>
      <c r="M371" s="404"/>
      <c r="N371" s="404"/>
      <c r="O371" s="255"/>
      <c r="P371" s="204"/>
      <c r="Q371" s="227">
        <f t="shared" si="36"/>
        <v>0</v>
      </c>
      <c r="R371" s="228">
        <f t="shared" si="34"/>
        <v>0</v>
      </c>
      <c r="S371" s="243">
        <f t="shared" si="33"/>
        <v>0</v>
      </c>
      <c r="T371" s="426">
        <f t="shared" si="35"/>
        <v>0</v>
      </c>
      <c r="V371" s="20"/>
      <c r="W371" s="20"/>
      <c r="X371" s="361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  <c r="AM371" s="20"/>
      <c r="AN371" s="20"/>
      <c r="AO371" s="20"/>
      <c r="AP371" s="20"/>
    </row>
    <row r="372" spans="1:42" s="238" customFormat="1" ht="18.75" customHeight="1" x14ac:dyDescent="0.35">
      <c r="A372" s="195"/>
      <c r="B372" s="254"/>
      <c r="C372" s="399"/>
      <c r="D372" s="3"/>
      <c r="E372" s="3"/>
      <c r="F372" s="20"/>
      <c r="G372" s="20"/>
      <c r="H372" s="255"/>
      <c r="I372" s="392"/>
      <c r="J372" s="392"/>
      <c r="K372" s="392"/>
      <c r="L372" s="404"/>
      <c r="M372" s="404"/>
      <c r="N372" s="404"/>
      <c r="O372" s="255"/>
      <c r="P372" s="204"/>
      <c r="Q372" s="227">
        <f t="shared" si="36"/>
        <v>0</v>
      </c>
      <c r="R372" s="228">
        <f t="shared" si="34"/>
        <v>0</v>
      </c>
      <c r="S372" s="243">
        <f t="shared" si="33"/>
        <v>0</v>
      </c>
      <c r="T372" s="426">
        <f t="shared" si="35"/>
        <v>0</v>
      </c>
      <c r="V372" s="20"/>
      <c r="W372" s="20"/>
      <c r="X372" s="361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  <c r="AP372" s="20"/>
    </row>
    <row r="373" spans="1:42" s="238" customFormat="1" ht="18.75" customHeight="1" x14ac:dyDescent="0.35">
      <c r="A373" s="195"/>
      <c r="B373" s="254"/>
      <c r="C373" s="399"/>
      <c r="D373" s="3"/>
      <c r="E373" s="3"/>
      <c r="F373" s="20"/>
      <c r="G373" s="20"/>
      <c r="H373" s="255"/>
      <c r="I373" s="392"/>
      <c r="J373" s="392"/>
      <c r="K373" s="392"/>
      <c r="L373" s="404"/>
      <c r="M373" s="404"/>
      <c r="N373" s="404"/>
      <c r="O373" s="255"/>
      <c r="P373" s="204"/>
      <c r="Q373" s="227">
        <f t="shared" si="36"/>
        <v>0</v>
      </c>
      <c r="R373" s="228">
        <f t="shared" si="34"/>
        <v>0</v>
      </c>
      <c r="S373" s="243">
        <f t="shared" si="33"/>
        <v>0</v>
      </c>
      <c r="T373" s="426">
        <f t="shared" si="35"/>
        <v>0</v>
      </c>
      <c r="V373" s="20"/>
      <c r="W373" s="20"/>
      <c r="X373" s="361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  <c r="AP373" s="20"/>
    </row>
    <row r="374" spans="1:42" s="238" customFormat="1" ht="18.75" customHeight="1" x14ac:dyDescent="0.35">
      <c r="A374" s="195"/>
      <c r="B374" s="254"/>
      <c r="C374" s="399"/>
      <c r="D374" s="3"/>
      <c r="E374" s="3"/>
      <c r="F374" s="20"/>
      <c r="G374" s="20"/>
      <c r="H374" s="255"/>
      <c r="I374" s="392"/>
      <c r="J374" s="392"/>
      <c r="K374" s="392"/>
      <c r="L374" s="404"/>
      <c r="M374" s="404"/>
      <c r="N374" s="404"/>
      <c r="O374" s="255"/>
      <c r="P374" s="204"/>
      <c r="Q374" s="227">
        <f t="shared" si="36"/>
        <v>0</v>
      </c>
      <c r="R374" s="228">
        <f t="shared" si="34"/>
        <v>0</v>
      </c>
      <c r="S374" s="243">
        <f t="shared" si="33"/>
        <v>0</v>
      </c>
      <c r="T374" s="426">
        <f t="shared" si="35"/>
        <v>0</v>
      </c>
      <c r="V374" s="20"/>
      <c r="W374" s="20"/>
      <c r="X374" s="361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  <c r="AM374" s="20"/>
      <c r="AN374" s="20"/>
      <c r="AO374" s="20"/>
      <c r="AP374" s="20"/>
    </row>
    <row r="375" spans="1:42" s="238" customFormat="1" ht="18.75" customHeight="1" x14ac:dyDescent="0.35">
      <c r="A375" s="195"/>
      <c r="B375" s="254"/>
      <c r="C375" s="399"/>
      <c r="D375" s="3"/>
      <c r="E375" s="3"/>
      <c r="F375" s="20"/>
      <c r="G375" s="20"/>
      <c r="H375" s="255"/>
      <c r="I375" s="392"/>
      <c r="J375" s="392"/>
      <c r="K375" s="392"/>
      <c r="L375" s="404"/>
      <c r="M375" s="404"/>
      <c r="N375" s="404"/>
      <c r="O375" s="255"/>
      <c r="P375" s="204"/>
      <c r="Q375" s="227">
        <f t="shared" si="36"/>
        <v>0</v>
      </c>
      <c r="R375" s="228">
        <f t="shared" si="34"/>
        <v>0</v>
      </c>
      <c r="S375" s="243">
        <f t="shared" si="33"/>
        <v>0</v>
      </c>
      <c r="T375" s="426">
        <f t="shared" si="35"/>
        <v>0</v>
      </c>
      <c r="V375" s="20"/>
      <c r="W375" s="20"/>
      <c r="X375" s="361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  <c r="AP375" s="20"/>
    </row>
    <row r="376" spans="1:42" s="238" customFormat="1" ht="18.75" customHeight="1" x14ac:dyDescent="0.35">
      <c r="A376" s="195"/>
      <c r="B376" s="254"/>
      <c r="C376" s="399"/>
      <c r="D376" s="3"/>
      <c r="E376" s="3"/>
      <c r="F376" s="20"/>
      <c r="G376" s="20"/>
      <c r="H376" s="255"/>
      <c r="I376" s="392"/>
      <c r="J376" s="392"/>
      <c r="K376" s="392"/>
      <c r="L376" s="404"/>
      <c r="M376" s="404"/>
      <c r="N376" s="404"/>
      <c r="O376" s="255"/>
      <c r="P376" s="204"/>
      <c r="Q376" s="227">
        <f t="shared" si="36"/>
        <v>0</v>
      </c>
      <c r="R376" s="228">
        <f t="shared" si="34"/>
        <v>0</v>
      </c>
      <c r="S376" s="243">
        <f t="shared" si="33"/>
        <v>0</v>
      </c>
      <c r="T376" s="426">
        <f t="shared" si="35"/>
        <v>0</v>
      </c>
      <c r="V376" s="20"/>
      <c r="W376" s="20"/>
      <c r="X376" s="361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  <c r="AM376" s="20"/>
      <c r="AN376" s="20"/>
      <c r="AO376" s="20"/>
      <c r="AP376" s="20"/>
    </row>
    <row r="377" spans="1:42" s="238" customFormat="1" ht="18.75" customHeight="1" x14ac:dyDescent="0.35">
      <c r="A377" s="195"/>
      <c r="B377" s="254"/>
      <c r="C377" s="399"/>
      <c r="D377" s="3"/>
      <c r="E377" s="3"/>
      <c r="F377" s="20"/>
      <c r="G377" s="20"/>
      <c r="H377" s="255"/>
      <c r="I377" s="392"/>
      <c r="J377" s="392"/>
      <c r="K377" s="392"/>
      <c r="L377" s="404"/>
      <c r="M377" s="404"/>
      <c r="N377" s="404"/>
      <c r="O377" s="255"/>
      <c r="P377" s="204"/>
      <c r="Q377" s="227">
        <f t="shared" si="36"/>
        <v>0</v>
      </c>
      <c r="R377" s="228">
        <f t="shared" si="34"/>
        <v>0</v>
      </c>
      <c r="S377" s="243">
        <f t="shared" si="33"/>
        <v>0</v>
      </c>
      <c r="T377" s="426">
        <f t="shared" si="35"/>
        <v>0</v>
      </c>
      <c r="V377" s="20"/>
      <c r="W377" s="20"/>
      <c r="X377" s="361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  <c r="AP377" s="20"/>
    </row>
    <row r="378" spans="1:42" s="238" customFormat="1" ht="18.75" customHeight="1" x14ac:dyDescent="0.35">
      <c r="A378" s="195"/>
      <c r="B378" s="254"/>
      <c r="C378" s="399"/>
      <c r="D378" s="3"/>
      <c r="E378" s="3"/>
      <c r="F378" s="20"/>
      <c r="G378" s="20"/>
      <c r="H378" s="255"/>
      <c r="I378" s="392"/>
      <c r="J378" s="392"/>
      <c r="K378" s="392"/>
      <c r="L378" s="404"/>
      <c r="M378" s="404"/>
      <c r="N378" s="404"/>
      <c r="O378" s="255"/>
      <c r="P378" s="204"/>
      <c r="Q378" s="227">
        <f t="shared" si="36"/>
        <v>0</v>
      </c>
      <c r="R378" s="228">
        <f t="shared" si="34"/>
        <v>0</v>
      </c>
      <c r="S378" s="243">
        <f t="shared" si="33"/>
        <v>0</v>
      </c>
      <c r="T378" s="426">
        <f t="shared" si="35"/>
        <v>0</v>
      </c>
      <c r="V378" s="20"/>
      <c r="W378" s="20"/>
      <c r="X378" s="361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  <c r="AP378" s="20"/>
    </row>
    <row r="379" spans="1:42" s="238" customFormat="1" ht="18.75" customHeight="1" x14ac:dyDescent="0.35">
      <c r="A379" s="195"/>
      <c r="B379" s="254"/>
      <c r="C379" s="399"/>
      <c r="D379" s="3"/>
      <c r="E379" s="3"/>
      <c r="F379" s="20"/>
      <c r="G379" s="20"/>
      <c r="H379" s="255"/>
      <c r="I379" s="392"/>
      <c r="J379" s="392"/>
      <c r="K379" s="392"/>
      <c r="L379" s="404"/>
      <c r="M379" s="404"/>
      <c r="N379" s="404"/>
      <c r="O379" s="255"/>
      <c r="P379" s="204"/>
      <c r="Q379" s="227">
        <f t="shared" si="36"/>
        <v>0</v>
      </c>
      <c r="R379" s="228">
        <f t="shared" si="34"/>
        <v>0</v>
      </c>
      <c r="S379" s="243">
        <f t="shared" si="33"/>
        <v>0</v>
      </c>
      <c r="T379" s="426">
        <f t="shared" si="35"/>
        <v>0</v>
      </c>
      <c r="V379" s="20"/>
      <c r="W379" s="20"/>
      <c r="X379" s="361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  <c r="AM379" s="20"/>
      <c r="AN379" s="20"/>
      <c r="AO379" s="20"/>
      <c r="AP379" s="20"/>
    </row>
    <row r="380" spans="1:42" s="238" customFormat="1" ht="18.75" customHeight="1" x14ac:dyDescent="0.35">
      <c r="A380" s="195"/>
      <c r="B380" s="254"/>
      <c r="C380" s="399"/>
      <c r="D380" s="3"/>
      <c r="E380" s="3"/>
      <c r="F380" s="20"/>
      <c r="G380" s="20"/>
      <c r="H380" s="255"/>
      <c r="I380" s="392"/>
      <c r="J380" s="392"/>
      <c r="K380" s="392"/>
      <c r="L380" s="404"/>
      <c r="M380" s="404"/>
      <c r="N380" s="404"/>
      <c r="O380" s="255"/>
      <c r="P380" s="204"/>
      <c r="Q380" s="227">
        <f t="shared" si="36"/>
        <v>0</v>
      </c>
      <c r="R380" s="228">
        <f t="shared" si="34"/>
        <v>0</v>
      </c>
      <c r="S380" s="243">
        <f t="shared" si="33"/>
        <v>0</v>
      </c>
      <c r="T380" s="426">
        <f t="shared" si="35"/>
        <v>0</v>
      </c>
      <c r="V380" s="20"/>
      <c r="W380" s="20"/>
      <c r="X380" s="361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  <c r="AP380" s="20"/>
    </row>
    <row r="381" spans="1:42" s="238" customFormat="1" ht="18.75" customHeight="1" x14ac:dyDescent="0.35">
      <c r="A381" s="195"/>
      <c r="B381" s="254"/>
      <c r="C381" s="399"/>
      <c r="D381" s="3"/>
      <c r="E381" s="3"/>
      <c r="F381" s="20"/>
      <c r="G381" s="20"/>
      <c r="H381" s="255"/>
      <c r="I381" s="392"/>
      <c r="J381" s="392"/>
      <c r="K381" s="392"/>
      <c r="L381" s="404"/>
      <c r="M381" s="404"/>
      <c r="N381" s="404"/>
      <c r="O381" s="255"/>
      <c r="P381" s="204"/>
      <c r="Q381" s="227">
        <f t="shared" si="36"/>
        <v>0</v>
      </c>
      <c r="R381" s="228">
        <f t="shared" si="34"/>
        <v>0</v>
      </c>
      <c r="S381" s="243">
        <f t="shared" si="33"/>
        <v>0</v>
      </c>
      <c r="T381" s="426">
        <f t="shared" si="35"/>
        <v>0</v>
      </c>
      <c r="V381" s="20"/>
      <c r="W381" s="20"/>
      <c r="X381" s="361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  <c r="AM381" s="20"/>
      <c r="AN381" s="20"/>
      <c r="AO381" s="20"/>
      <c r="AP381" s="20"/>
    </row>
    <row r="382" spans="1:42" s="238" customFormat="1" ht="18.75" customHeight="1" x14ac:dyDescent="0.35">
      <c r="A382" s="195"/>
      <c r="B382" s="254"/>
      <c r="C382" s="399"/>
      <c r="D382" s="3"/>
      <c r="E382" s="3"/>
      <c r="F382" s="20"/>
      <c r="G382" s="20"/>
      <c r="H382" s="255"/>
      <c r="I382" s="392"/>
      <c r="J382" s="392"/>
      <c r="K382" s="392"/>
      <c r="L382" s="404"/>
      <c r="M382" s="404"/>
      <c r="N382" s="404"/>
      <c r="O382" s="255"/>
      <c r="P382" s="204"/>
      <c r="Q382" s="227">
        <f t="shared" si="36"/>
        <v>0</v>
      </c>
      <c r="R382" s="228">
        <f t="shared" si="34"/>
        <v>0</v>
      </c>
      <c r="S382" s="243">
        <f t="shared" si="33"/>
        <v>0</v>
      </c>
      <c r="T382" s="426">
        <f t="shared" si="35"/>
        <v>0</v>
      </c>
      <c r="V382" s="20"/>
      <c r="W382" s="20"/>
      <c r="X382" s="361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  <c r="AP382" s="20"/>
    </row>
    <row r="383" spans="1:42" s="238" customFormat="1" ht="18.75" customHeight="1" x14ac:dyDescent="0.35">
      <c r="A383" s="195"/>
      <c r="B383" s="254"/>
      <c r="C383" s="399"/>
      <c r="D383" s="3"/>
      <c r="E383" s="3"/>
      <c r="F383" s="20"/>
      <c r="G383" s="20"/>
      <c r="H383" s="255"/>
      <c r="I383" s="392"/>
      <c r="J383" s="392"/>
      <c r="K383" s="392"/>
      <c r="L383" s="404"/>
      <c r="M383" s="404"/>
      <c r="N383" s="404"/>
      <c r="O383" s="255"/>
      <c r="P383" s="204"/>
      <c r="Q383" s="227">
        <f t="shared" si="36"/>
        <v>0</v>
      </c>
      <c r="R383" s="228">
        <f t="shared" si="34"/>
        <v>0</v>
      </c>
      <c r="S383" s="243">
        <f t="shared" si="33"/>
        <v>0</v>
      </c>
      <c r="T383" s="426">
        <f t="shared" si="35"/>
        <v>0</v>
      </c>
      <c r="V383" s="20"/>
      <c r="W383" s="20"/>
      <c r="X383" s="361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  <c r="AP383" s="20"/>
    </row>
    <row r="384" spans="1:42" s="238" customFormat="1" ht="18.75" customHeight="1" x14ac:dyDescent="0.35">
      <c r="A384" s="195"/>
      <c r="B384" s="254"/>
      <c r="C384" s="399"/>
      <c r="D384" s="3"/>
      <c r="E384" s="3"/>
      <c r="F384" s="20"/>
      <c r="G384" s="20"/>
      <c r="H384" s="255"/>
      <c r="I384" s="392"/>
      <c r="J384" s="392"/>
      <c r="K384" s="392"/>
      <c r="L384" s="404"/>
      <c r="M384" s="404"/>
      <c r="N384" s="404"/>
      <c r="O384" s="255"/>
      <c r="P384" s="204"/>
      <c r="Q384" s="227">
        <f t="shared" si="36"/>
        <v>0</v>
      </c>
      <c r="R384" s="228">
        <f t="shared" si="34"/>
        <v>0</v>
      </c>
      <c r="S384" s="243">
        <f t="shared" si="33"/>
        <v>0</v>
      </c>
      <c r="T384" s="426">
        <f t="shared" si="35"/>
        <v>0</v>
      </c>
      <c r="V384" s="20"/>
      <c r="W384" s="20"/>
      <c r="X384" s="361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  <c r="AP384" s="20"/>
    </row>
    <row r="385" spans="1:42" s="238" customFormat="1" ht="18.75" customHeight="1" x14ac:dyDescent="0.35">
      <c r="A385" s="195"/>
      <c r="B385" s="254"/>
      <c r="C385" s="399"/>
      <c r="D385" s="3"/>
      <c r="E385" s="3"/>
      <c r="F385" s="20"/>
      <c r="G385" s="20"/>
      <c r="H385" s="255"/>
      <c r="I385" s="392"/>
      <c r="J385" s="392"/>
      <c r="K385" s="392"/>
      <c r="L385" s="404"/>
      <c r="M385" s="404"/>
      <c r="N385" s="404"/>
      <c r="O385" s="255"/>
      <c r="P385" s="204"/>
      <c r="Q385" s="227">
        <f t="shared" si="36"/>
        <v>0</v>
      </c>
      <c r="R385" s="228">
        <f t="shared" si="34"/>
        <v>0</v>
      </c>
      <c r="S385" s="243">
        <f t="shared" ref="S385:S398" si="37">R385*0.05</f>
        <v>0</v>
      </c>
      <c r="T385" s="426">
        <f t="shared" si="35"/>
        <v>0</v>
      </c>
      <c r="V385" s="20"/>
      <c r="W385" s="20"/>
      <c r="X385" s="361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  <c r="AP385" s="20"/>
    </row>
    <row r="386" spans="1:42" s="238" customFormat="1" ht="18.75" customHeight="1" x14ac:dyDescent="0.35">
      <c r="A386" s="195"/>
      <c r="B386" s="254"/>
      <c r="C386" s="399"/>
      <c r="D386" s="3"/>
      <c r="E386" s="3"/>
      <c r="F386" s="20"/>
      <c r="G386" s="20"/>
      <c r="H386" s="255"/>
      <c r="I386" s="392"/>
      <c r="J386" s="392"/>
      <c r="K386" s="392"/>
      <c r="L386" s="404"/>
      <c r="M386" s="404"/>
      <c r="N386" s="404"/>
      <c r="O386" s="255"/>
      <c r="P386" s="204"/>
      <c r="Q386" s="227">
        <f t="shared" si="36"/>
        <v>0</v>
      </c>
      <c r="R386" s="228">
        <f t="shared" si="34"/>
        <v>0</v>
      </c>
      <c r="S386" s="243">
        <f t="shared" si="37"/>
        <v>0</v>
      </c>
      <c r="T386" s="426">
        <f t="shared" si="35"/>
        <v>0</v>
      </c>
      <c r="V386" s="20"/>
      <c r="W386" s="20"/>
      <c r="X386" s="361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  <c r="AP386" s="20"/>
    </row>
    <row r="387" spans="1:42" s="238" customFormat="1" ht="18.75" customHeight="1" x14ac:dyDescent="0.35">
      <c r="A387" s="195"/>
      <c r="B387" s="254"/>
      <c r="C387" s="399"/>
      <c r="D387" s="3"/>
      <c r="E387" s="3"/>
      <c r="F387" s="20"/>
      <c r="G387" s="20"/>
      <c r="H387" s="255"/>
      <c r="I387" s="392"/>
      <c r="J387" s="392"/>
      <c r="K387" s="392"/>
      <c r="L387" s="404"/>
      <c r="M387" s="404"/>
      <c r="N387" s="404"/>
      <c r="O387" s="255"/>
      <c r="P387" s="204"/>
      <c r="Q387" s="227">
        <f t="shared" si="36"/>
        <v>0</v>
      </c>
      <c r="R387" s="228">
        <f t="shared" ref="R387:R450" si="38">IF(N387="Si", P387-Q387-L387, P387-Q387)</f>
        <v>0</v>
      </c>
      <c r="S387" s="243">
        <f t="shared" si="37"/>
        <v>0</v>
      </c>
      <c r="T387" s="426">
        <f t="shared" si="35"/>
        <v>0</v>
      </c>
      <c r="V387" s="20"/>
      <c r="W387" s="20"/>
      <c r="X387" s="361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  <c r="AP387" s="20"/>
    </row>
    <row r="388" spans="1:42" s="238" customFormat="1" ht="18.75" customHeight="1" x14ac:dyDescent="0.35">
      <c r="A388" s="195"/>
      <c r="B388" s="254"/>
      <c r="C388" s="399"/>
      <c r="D388" s="3"/>
      <c r="E388" s="3"/>
      <c r="F388" s="20"/>
      <c r="G388" s="20"/>
      <c r="H388" s="255"/>
      <c r="I388" s="392"/>
      <c r="J388" s="392"/>
      <c r="K388" s="392"/>
      <c r="L388" s="404"/>
      <c r="M388" s="404"/>
      <c r="N388" s="404"/>
      <c r="O388" s="255"/>
      <c r="P388" s="204"/>
      <c r="Q388" s="227">
        <f t="shared" si="36"/>
        <v>0</v>
      </c>
      <c r="R388" s="228">
        <f t="shared" si="38"/>
        <v>0</v>
      </c>
      <c r="S388" s="243">
        <f t="shared" si="37"/>
        <v>0</v>
      </c>
      <c r="T388" s="426">
        <f t="shared" si="35"/>
        <v>0</v>
      </c>
      <c r="V388" s="20"/>
      <c r="W388" s="20"/>
      <c r="X388" s="361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  <c r="AP388" s="20"/>
    </row>
    <row r="389" spans="1:42" s="238" customFormat="1" ht="18.75" customHeight="1" x14ac:dyDescent="0.35">
      <c r="A389" s="195"/>
      <c r="B389" s="254"/>
      <c r="C389" s="399"/>
      <c r="D389" s="3"/>
      <c r="E389" s="3"/>
      <c r="F389" s="20"/>
      <c r="G389" s="20"/>
      <c r="H389" s="255"/>
      <c r="I389" s="392"/>
      <c r="J389" s="392"/>
      <c r="K389" s="392"/>
      <c r="L389" s="404"/>
      <c r="M389" s="404"/>
      <c r="N389" s="404"/>
      <c r="O389" s="255"/>
      <c r="P389" s="204"/>
      <c r="Q389" s="227">
        <f t="shared" si="36"/>
        <v>0</v>
      </c>
      <c r="R389" s="228">
        <f t="shared" si="38"/>
        <v>0</v>
      </c>
      <c r="S389" s="243">
        <f t="shared" si="37"/>
        <v>0</v>
      </c>
      <c r="T389" s="426">
        <f t="shared" si="35"/>
        <v>0</v>
      </c>
      <c r="V389" s="20"/>
      <c r="W389" s="20"/>
      <c r="X389" s="361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  <c r="AP389" s="20"/>
    </row>
    <row r="390" spans="1:42" s="238" customFormat="1" ht="18.75" customHeight="1" x14ac:dyDescent="0.35">
      <c r="A390" s="195"/>
      <c r="B390" s="254"/>
      <c r="C390" s="399"/>
      <c r="D390" s="3"/>
      <c r="E390" s="3"/>
      <c r="F390" s="20"/>
      <c r="G390" s="20"/>
      <c r="H390" s="255"/>
      <c r="I390" s="392"/>
      <c r="J390" s="392"/>
      <c r="K390" s="392"/>
      <c r="L390" s="404"/>
      <c r="M390" s="404"/>
      <c r="N390" s="404"/>
      <c r="O390" s="255"/>
      <c r="P390" s="204"/>
      <c r="Q390" s="227">
        <f t="shared" si="36"/>
        <v>0</v>
      </c>
      <c r="R390" s="228">
        <f t="shared" si="38"/>
        <v>0</v>
      </c>
      <c r="S390" s="243">
        <f t="shared" si="37"/>
        <v>0</v>
      </c>
      <c r="T390" s="426">
        <f t="shared" ref="T390:T453" si="39">R390*$T$2</f>
        <v>0</v>
      </c>
      <c r="V390" s="20"/>
      <c r="W390" s="20"/>
      <c r="X390" s="361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  <c r="AM390" s="20"/>
      <c r="AN390" s="20"/>
      <c r="AO390" s="20"/>
      <c r="AP390" s="20"/>
    </row>
    <row r="391" spans="1:42" s="238" customFormat="1" ht="18.75" customHeight="1" x14ac:dyDescent="0.35">
      <c r="A391" s="195"/>
      <c r="B391" s="254"/>
      <c r="C391" s="399"/>
      <c r="D391" s="3"/>
      <c r="E391" s="3"/>
      <c r="F391" s="20"/>
      <c r="G391" s="20"/>
      <c r="H391" s="255"/>
      <c r="I391" s="392"/>
      <c r="J391" s="392"/>
      <c r="K391" s="392"/>
      <c r="L391" s="404"/>
      <c r="M391" s="404"/>
      <c r="N391" s="404"/>
      <c r="O391" s="255"/>
      <c r="P391" s="204"/>
      <c r="Q391" s="227">
        <f t="shared" si="36"/>
        <v>0</v>
      </c>
      <c r="R391" s="228">
        <f t="shared" si="38"/>
        <v>0</v>
      </c>
      <c r="S391" s="243">
        <f t="shared" si="37"/>
        <v>0</v>
      </c>
      <c r="T391" s="426">
        <f t="shared" si="39"/>
        <v>0</v>
      </c>
      <c r="V391" s="20"/>
      <c r="W391" s="20"/>
      <c r="X391" s="361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  <c r="AM391" s="20"/>
      <c r="AN391" s="20"/>
      <c r="AO391" s="20"/>
      <c r="AP391" s="20"/>
    </row>
    <row r="392" spans="1:42" s="238" customFormat="1" ht="18.75" customHeight="1" x14ac:dyDescent="0.35">
      <c r="A392" s="195"/>
      <c r="B392" s="254"/>
      <c r="C392" s="399"/>
      <c r="D392" s="3"/>
      <c r="E392" s="3"/>
      <c r="F392" s="20"/>
      <c r="G392" s="20"/>
      <c r="H392" s="255"/>
      <c r="I392" s="392"/>
      <c r="J392" s="392"/>
      <c r="K392" s="392"/>
      <c r="L392" s="404"/>
      <c r="M392" s="404"/>
      <c r="N392" s="404"/>
      <c r="O392" s="255"/>
      <c r="P392" s="204"/>
      <c r="Q392" s="227">
        <f t="shared" si="36"/>
        <v>0</v>
      </c>
      <c r="R392" s="228">
        <f t="shared" si="38"/>
        <v>0</v>
      </c>
      <c r="S392" s="243">
        <f t="shared" si="37"/>
        <v>0</v>
      </c>
      <c r="T392" s="426">
        <f t="shared" si="39"/>
        <v>0</v>
      </c>
      <c r="V392" s="20"/>
      <c r="W392" s="20"/>
      <c r="X392" s="361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  <c r="AM392" s="20"/>
      <c r="AN392" s="20"/>
      <c r="AO392" s="20"/>
      <c r="AP392" s="20"/>
    </row>
    <row r="393" spans="1:42" s="238" customFormat="1" ht="18.75" customHeight="1" x14ac:dyDescent="0.35">
      <c r="A393" s="195"/>
      <c r="B393" s="254"/>
      <c r="C393" s="399"/>
      <c r="D393" s="3"/>
      <c r="E393" s="3"/>
      <c r="F393" s="20"/>
      <c r="G393" s="20"/>
      <c r="H393" s="255"/>
      <c r="I393" s="392"/>
      <c r="J393" s="392"/>
      <c r="K393" s="392"/>
      <c r="L393" s="404"/>
      <c r="M393" s="404"/>
      <c r="N393" s="404"/>
      <c r="O393" s="255"/>
      <c r="P393" s="204"/>
      <c r="Q393" s="227">
        <f t="shared" si="36"/>
        <v>0</v>
      </c>
      <c r="R393" s="228">
        <f t="shared" si="38"/>
        <v>0</v>
      </c>
      <c r="S393" s="243">
        <f t="shared" si="37"/>
        <v>0</v>
      </c>
      <c r="T393" s="426">
        <f t="shared" si="39"/>
        <v>0</v>
      </c>
      <c r="V393" s="20"/>
      <c r="W393" s="20"/>
      <c r="X393" s="361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  <c r="AM393" s="20"/>
      <c r="AN393" s="20"/>
      <c r="AO393" s="20"/>
      <c r="AP393" s="20"/>
    </row>
    <row r="394" spans="1:42" s="238" customFormat="1" ht="18.75" customHeight="1" x14ac:dyDescent="0.35">
      <c r="A394" s="195"/>
      <c r="B394" s="254"/>
      <c r="C394" s="399"/>
      <c r="D394" s="3"/>
      <c r="E394" s="3"/>
      <c r="F394" s="20"/>
      <c r="G394" s="20"/>
      <c r="H394" s="255"/>
      <c r="I394" s="392"/>
      <c r="J394" s="392"/>
      <c r="K394" s="392"/>
      <c r="L394" s="404"/>
      <c r="M394" s="404"/>
      <c r="N394" s="404"/>
      <c r="O394" s="255"/>
      <c r="P394" s="204"/>
      <c r="Q394" s="227">
        <f t="shared" si="36"/>
        <v>0</v>
      </c>
      <c r="R394" s="228">
        <f t="shared" si="38"/>
        <v>0</v>
      </c>
      <c r="S394" s="243">
        <f t="shared" si="37"/>
        <v>0</v>
      </c>
      <c r="T394" s="426">
        <f t="shared" si="39"/>
        <v>0</v>
      </c>
      <c r="V394" s="20"/>
      <c r="W394" s="20"/>
      <c r="X394" s="361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20"/>
      <c r="AN394" s="20"/>
      <c r="AO394" s="20"/>
      <c r="AP394" s="20"/>
    </row>
    <row r="395" spans="1:42" s="238" customFormat="1" ht="18.75" customHeight="1" x14ac:dyDescent="0.35">
      <c r="A395" s="195"/>
      <c r="B395" s="254"/>
      <c r="C395" s="399"/>
      <c r="D395" s="3"/>
      <c r="E395" s="3"/>
      <c r="F395" s="20"/>
      <c r="G395" s="20"/>
      <c r="H395" s="255"/>
      <c r="I395" s="392"/>
      <c r="J395" s="392"/>
      <c r="K395" s="392"/>
      <c r="L395" s="404"/>
      <c r="M395" s="404"/>
      <c r="N395" s="404"/>
      <c r="O395" s="255"/>
      <c r="P395" s="204"/>
      <c r="Q395" s="227">
        <f t="shared" si="36"/>
        <v>0</v>
      </c>
      <c r="R395" s="228">
        <f t="shared" si="38"/>
        <v>0</v>
      </c>
      <c r="S395" s="243">
        <f t="shared" si="37"/>
        <v>0</v>
      </c>
      <c r="T395" s="426">
        <f t="shared" si="39"/>
        <v>0</v>
      </c>
      <c r="V395" s="20"/>
      <c r="W395" s="20"/>
      <c r="X395" s="361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  <c r="AP395" s="20"/>
    </row>
    <row r="396" spans="1:42" s="238" customFormat="1" ht="18.75" customHeight="1" x14ac:dyDescent="0.35">
      <c r="A396" s="195"/>
      <c r="B396" s="254"/>
      <c r="C396" s="399"/>
      <c r="D396" s="3"/>
      <c r="E396" s="3"/>
      <c r="F396" s="20"/>
      <c r="G396" s="20"/>
      <c r="H396" s="255"/>
      <c r="I396" s="392"/>
      <c r="J396" s="392"/>
      <c r="K396" s="392"/>
      <c r="L396" s="404"/>
      <c r="M396" s="404"/>
      <c r="N396" s="404"/>
      <c r="O396" s="255"/>
      <c r="P396" s="204"/>
      <c r="Q396" s="227">
        <f t="shared" si="36"/>
        <v>0</v>
      </c>
      <c r="R396" s="228">
        <f t="shared" si="38"/>
        <v>0</v>
      </c>
      <c r="S396" s="243">
        <f t="shared" si="37"/>
        <v>0</v>
      </c>
      <c r="T396" s="426">
        <f t="shared" si="39"/>
        <v>0</v>
      </c>
      <c r="V396" s="20"/>
      <c r="W396" s="20"/>
      <c r="X396" s="361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  <c r="AN396" s="20"/>
      <c r="AO396" s="20"/>
      <c r="AP396" s="20"/>
    </row>
    <row r="397" spans="1:42" s="238" customFormat="1" ht="18.75" customHeight="1" x14ac:dyDescent="0.35">
      <c r="A397" s="195"/>
      <c r="B397" s="254"/>
      <c r="C397" s="399"/>
      <c r="D397" s="3"/>
      <c r="E397" s="3"/>
      <c r="F397" s="20"/>
      <c r="G397" s="20"/>
      <c r="H397" s="255"/>
      <c r="I397" s="392"/>
      <c r="J397" s="392"/>
      <c r="K397" s="392"/>
      <c r="L397" s="404"/>
      <c r="M397" s="404"/>
      <c r="N397" s="404"/>
      <c r="O397" s="255"/>
      <c r="P397" s="204"/>
      <c r="Q397" s="227">
        <f t="shared" si="36"/>
        <v>0</v>
      </c>
      <c r="R397" s="228">
        <f t="shared" si="38"/>
        <v>0</v>
      </c>
      <c r="S397" s="243">
        <f t="shared" si="37"/>
        <v>0</v>
      </c>
      <c r="T397" s="426">
        <f t="shared" si="39"/>
        <v>0</v>
      </c>
      <c r="V397" s="20"/>
      <c r="W397" s="20"/>
      <c r="X397" s="361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  <c r="AP397" s="20"/>
    </row>
    <row r="398" spans="1:42" s="238" customFormat="1" ht="18.75" customHeight="1" x14ac:dyDescent="0.35">
      <c r="A398" s="195"/>
      <c r="B398" s="254"/>
      <c r="C398" s="399"/>
      <c r="D398" s="3"/>
      <c r="E398" s="3"/>
      <c r="F398" s="20"/>
      <c r="G398" s="20"/>
      <c r="H398" s="255"/>
      <c r="I398" s="392"/>
      <c r="J398" s="392"/>
      <c r="K398" s="392"/>
      <c r="L398" s="404"/>
      <c r="M398" s="404"/>
      <c r="N398" s="404"/>
      <c r="O398" s="255"/>
      <c r="P398" s="204"/>
      <c r="Q398" s="227">
        <f t="shared" si="36"/>
        <v>0</v>
      </c>
      <c r="R398" s="228">
        <f t="shared" si="38"/>
        <v>0</v>
      </c>
      <c r="S398" s="243">
        <f t="shared" si="37"/>
        <v>0</v>
      </c>
      <c r="T398" s="426">
        <f t="shared" si="39"/>
        <v>0</v>
      </c>
      <c r="V398" s="20"/>
      <c r="W398" s="20"/>
      <c r="X398" s="361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20"/>
      <c r="AN398" s="20"/>
      <c r="AO398" s="20"/>
      <c r="AP398" s="20"/>
    </row>
    <row r="399" spans="1:42" s="238" customFormat="1" ht="18.75" customHeight="1" x14ac:dyDescent="0.35">
      <c r="A399" s="195"/>
      <c r="B399" s="254"/>
      <c r="C399" s="399"/>
      <c r="D399" s="3"/>
      <c r="E399" s="3"/>
      <c r="F399" s="20"/>
      <c r="G399" s="20"/>
      <c r="H399" s="255"/>
      <c r="I399" s="392"/>
      <c r="J399" s="392"/>
      <c r="K399" s="392"/>
      <c r="L399" s="404"/>
      <c r="M399" s="404"/>
      <c r="N399" s="404"/>
      <c r="O399" s="255"/>
      <c r="P399" s="204"/>
      <c r="Q399" s="227">
        <f t="shared" si="36"/>
        <v>0</v>
      </c>
      <c r="R399" s="228">
        <f t="shared" si="38"/>
        <v>0</v>
      </c>
      <c r="T399" s="426">
        <f t="shared" si="39"/>
        <v>0</v>
      </c>
      <c r="V399" s="20"/>
      <c r="W399" s="20"/>
      <c r="X399" s="361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  <c r="AP399" s="20"/>
    </row>
    <row r="400" spans="1:42" s="238" customFormat="1" ht="18.75" customHeight="1" x14ac:dyDescent="0.35">
      <c r="A400" s="195"/>
      <c r="B400" s="254"/>
      <c r="C400" s="399"/>
      <c r="D400" s="3"/>
      <c r="E400" s="3"/>
      <c r="F400" s="20"/>
      <c r="G400" s="20"/>
      <c r="H400" s="255"/>
      <c r="I400" s="392"/>
      <c r="J400" s="392"/>
      <c r="K400" s="392"/>
      <c r="L400" s="404"/>
      <c r="M400" s="404"/>
      <c r="N400" s="404"/>
      <c r="O400" s="255"/>
      <c r="P400" s="204"/>
      <c r="Q400" s="227">
        <f t="shared" si="36"/>
        <v>0</v>
      </c>
      <c r="R400" s="228">
        <f t="shared" si="38"/>
        <v>0</v>
      </c>
      <c r="T400" s="426">
        <f t="shared" si="39"/>
        <v>0</v>
      </c>
      <c r="V400" s="20"/>
      <c r="W400" s="20"/>
      <c r="X400" s="361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  <c r="AP400" s="20"/>
    </row>
    <row r="401" spans="1:42" s="238" customFormat="1" ht="18.75" customHeight="1" x14ac:dyDescent="0.35">
      <c r="A401" s="195"/>
      <c r="B401" s="254"/>
      <c r="C401" s="399"/>
      <c r="D401" s="3"/>
      <c r="E401" s="3"/>
      <c r="F401" s="20"/>
      <c r="G401" s="20"/>
      <c r="H401" s="255"/>
      <c r="I401" s="392"/>
      <c r="J401" s="392"/>
      <c r="K401" s="392"/>
      <c r="L401" s="404"/>
      <c r="M401" s="404"/>
      <c r="N401" s="404"/>
      <c r="O401" s="255"/>
      <c r="P401" s="204"/>
      <c r="Q401" s="227">
        <f t="shared" si="36"/>
        <v>0</v>
      </c>
      <c r="R401" s="228">
        <f t="shared" si="38"/>
        <v>0</v>
      </c>
      <c r="T401" s="426">
        <f t="shared" si="39"/>
        <v>0</v>
      </c>
      <c r="V401" s="20"/>
      <c r="W401" s="20"/>
      <c r="X401" s="361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  <c r="AP401" s="20"/>
    </row>
    <row r="402" spans="1:42" s="238" customFormat="1" ht="18.75" customHeight="1" x14ac:dyDescent="0.35">
      <c r="A402" s="195"/>
      <c r="B402" s="254"/>
      <c r="C402" s="399"/>
      <c r="D402" s="3"/>
      <c r="E402" s="3"/>
      <c r="F402" s="20"/>
      <c r="G402" s="20"/>
      <c r="H402" s="255"/>
      <c r="I402" s="392"/>
      <c r="J402" s="392"/>
      <c r="K402" s="392"/>
      <c r="L402" s="404"/>
      <c r="M402" s="404"/>
      <c r="N402" s="404"/>
      <c r="O402" s="255"/>
      <c r="P402" s="204"/>
      <c r="Q402" s="227">
        <f t="shared" si="36"/>
        <v>0</v>
      </c>
      <c r="R402" s="228">
        <f t="shared" si="38"/>
        <v>0</v>
      </c>
      <c r="T402" s="426">
        <f t="shared" si="39"/>
        <v>0</v>
      </c>
      <c r="V402" s="20"/>
      <c r="W402" s="20"/>
      <c r="X402" s="361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  <c r="AN402" s="20"/>
      <c r="AO402" s="20"/>
      <c r="AP402" s="20"/>
    </row>
    <row r="403" spans="1:42" s="238" customFormat="1" ht="18.75" customHeight="1" x14ac:dyDescent="0.35">
      <c r="A403" s="195"/>
      <c r="B403" s="254"/>
      <c r="C403" s="399"/>
      <c r="D403" s="3"/>
      <c r="E403" s="3"/>
      <c r="F403" s="20"/>
      <c r="G403" s="20"/>
      <c r="H403" s="255"/>
      <c r="I403" s="392"/>
      <c r="J403" s="392"/>
      <c r="K403" s="392"/>
      <c r="L403" s="404"/>
      <c r="M403" s="404"/>
      <c r="N403" s="404"/>
      <c r="O403" s="255"/>
      <c r="P403" s="204"/>
      <c r="Q403" s="227">
        <f t="shared" si="36"/>
        <v>0</v>
      </c>
      <c r="R403" s="228">
        <f t="shared" si="38"/>
        <v>0</v>
      </c>
      <c r="T403" s="426">
        <f t="shared" si="39"/>
        <v>0</v>
      </c>
      <c r="V403" s="20"/>
      <c r="W403" s="20"/>
      <c r="X403" s="361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  <c r="AM403" s="20"/>
      <c r="AN403" s="20"/>
      <c r="AO403" s="20"/>
      <c r="AP403" s="20"/>
    </row>
    <row r="404" spans="1:42" s="238" customFormat="1" ht="18.75" customHeight="1" x14ac:dyDescent="0.35">
      <c r="A404" s="195"/>
      <c r="B404" s="254"/>
      <c r="C404" s="399"/>
      <c r="D404" s="3"/>
      <c r="E404" s="3"/>
      <c r="F404" s="20"/>
      <c r="G404" s="20"/>
      <c r="H404" s="255"/>
      <c r="I404" s="392"/>
      <c r="J404" s="392"/>
      <c r="K404" s="392"/>
      <c r="L404" s="404"/>
      <c r="M404" s="404"/>
      <c r="N404" s="404"/>
      <c r="O404" s="255"/>
      <c r="P404" s="204"/>
      <c r="Q404" s="227">
        <f t="shared" si="36"/>
        <v>0</v>
      </c>
      <c r="R404" s="228">
        <f t="shared" si="38"/>
        <v>0</v>
      </c>
      <c r="T404" s="426">
        <f t="shared" si="39"/>
        <v>0</v>
      </c>
      <c r="V404" s="20"/>
      <c r="W404" s="20"/>
      <c r="X404" s="361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  <c r="AM404" s="20"/>
      <c r="AN404" s="20"/>
      <c r="AO404" s="20"/>
      <c r="AP404" s="20"/>
    </row>
    <row r="405" spans="1:42" s="238" customFormat="1" ht="18.75" customHeight="1" x14ac:dyDescent="0.35">
      <c r="A405" s="195"/>
      <c r="B405" s="254"/>
      <c r="C405" s="399"/>
      <c r="D405" s="3"/>
      <c r="E405" s="3"/>
      <c r="F405" s="20"/>
      <c r="G405" s="20"/>
      <c r="H405" s="255"/>
      <c r="I405" s="392"/>
      <c r="J405" s="392"/>
      <c r="K405" s="392"/>
      <c r="L405" s="404"/>
      <c r="M405" s="404"/>
      <c r="N405" s="404"/>
      <c r="O405" s="255"/>
      <c r="P405" s="204"/>
      <c r="Q405" s="227">
        <f t="shared" si="36"/>
        <v>0</v>
      </c>
      <c r="R405" s="228">
        <f t="shared" si="38"/>
        <v>0</v>
      </c>
      <c r="T405" s="426">
        <f t="shared" si="39"/>
        <v>0</v>
      </c>
      <c r="V405" s="20"/>
      <c r="W405" s="20"/>
      <c r="X405" s="361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  <c r="AM405" s="20"/>
      <c r="AN405" s="20"/>
      <c r="AO405" s="20"/>
      <c r="AP405" s="20"/>
    </row>
    <row r="406" spans="1:42" s="238" customFormat="1" ht="18.75" customHeight="1" x14ac:dyDescent="0.35">
      <c r="A406" s="195"/>
      <c r="B406" s="254"/>
      <c r="C406" s="399"/>
      <c r="D406" s="3"/>
      <c r="E406" s="3"/>
      <c r="F406" s="20"/>
      <c r="G406" s="20"/>
      <c r="H406" s="255"/>
      <c r="I406" s="392"/>
      <c r="J406" s="392"/>
      <c r="K406" s="392"/>
      <c r="L406" s="404"/>
      <c r="M406" s="404"/>
      <c r="N406" s="404"/>
      <c r="O406" s="255"/>
      <c r="P406" s="204"/>
      <c r="Q406" s="227">
        <f t="shared" si="36"/>
        <v>0</v>
      </c>
      <c r="R406" s="228">
        <f t="shared" si="38"/>
        <v>0</v>
      </c>
      <c r="T406" s="426">
        <f t="shared" si="39"/>
        <v>0</v>
      </c>
      <c r="V406" s="20"/>
      <c r="W406" s="20"/>
      <c r="X406" s="361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  <c r="AM406" s="20"/>
      <c r="AN406" s="20"/>
      <c r="AO406" s="20"/>
      <c r="AP406" s="20"/>
    </row>
    <row r="407" spans="1:42" s="238" customFormat="1" ht="18.75" customHeight="1" x14ac:dyDescent="0.35">
      <c r="A407" s="195"/>
      <c r="B407" s="254"/>
      <c r="C407" s="399"/>
      <c r="D407" s="3"/>
      <c r="E407" s="3"/>
      <c r="F407" s="20"/>
      <c r="G407" s="20"/>
      <c r="H407" s="255"/>
      <c r="I407" s="392"/>
      <c r="J407" s="392"/>
      <c r="K407" s="392"/>
      <c r="L407" s="404"/>
      <c r="M407" s="404"/>
      <c r="N407" s="404"/>
      <c r="O407" s="255"/>
      <c r="P407" s="204"/>
      <c r="Q407" s="227">
        <f t="shared" si="36"/>
        <v>0</v>
      </c>
      <c r="R407" s="228">
        <f t="shared" si="38"/>
        <v>0</v>
      </c>
      <c r="T407" s="426">
        <f t="shared" si="39"/>
        <v>0</v>
      </c>
      <c r="V407" s="20"/>
      <c r="W407" s="20"/>
      <c r="X407" s="361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  <c r="AP407" s="20"/>
    </row>
    <row r="408" spans="1:42" s="238" customFormat="1" ht="18.75" customHeight="1" x14ac:dyDescent="0.35">
      <c r="A408" s="195"/>
      <c r="B408" s="254"/>
      <c r="C408" s="399"/>
      <c r="D408" s="3"/>
      <c r="E408" s="3"/>
      <c r="F408" s="20"/>
      <c r="G408" s="20"/>
      <c r="H408" s="255"/>
      <c r="I408" s="392"/>
      <c r="J408" s="392"/>
      <c r="K408" s="392"/>
      <c r="L408" s="404"/>
      <c r="M408" s="404"/>
      <c r="N408" s="404"/>
      <c r="O408" s="255"/>
      <c r="P408" s="204"/>
      <c r="Q408" s="227">
        <f t="shared" si="36"/>
        <v>0</v>
      </c>
      <c r="R408" s="228">
        <f t="shared" si="38"/>
        <v>0</v>
      </c>
      <c r="T408" s="426">
        <f t="shared" si="39"/>
        <v>0</v>
      </c>
      <c r="V408" s="20"/>
      <c r="W408" s="20"/>
      <c r="X408" s="361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  <c r="AM408" s="20"/>
      <c r="AN408" s="20"/>
      <c r="AO408" s="20"/>
      <c r="AP408" s="20"/>
    </row>
    <row r="409" spans="1:42" s="238" customFormat="1" ht="18.75" customHeight="1" x14ac:dyDescent="0.35">
      <c r="A409" s="195"/>
      <c r="B409" s="254"/>
      <c r="C409" s="399"/>
      <c r="D409" s="3"/>
      <c r="E409" s="3"/>
      <c r="F409" s="20"/>
      <c r="G409" s="20"/>
      <c r="H409" s="255"/>
      <c r="I409" s="392"/>
      <c r="J409" s="392"/>
      <c r="K409" s="392"/>
      <c r="L409" s="404"/>
      <c r="M409" s="404"/>
      <c r="N409" s="404"/>
      <c r="O409" s="255"/>
      <c r="P409" s="204"/>
      <c r="Q409" s="227">
        <f t="shared" si="36"/>
        <v>0</v>
      </c>
      <c r="R409" s="228">
        <f t="shared" si="38"/>
        <v>0</v>
      </c>
      <c r="T409" s="426">
        <f t="shared" si="39"/>
        <v>0</v>
      </c>
      <c r="V409" s="20"/>
      <c r="W409" s="20"/>
      <c r="X409" s="361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  <c r="AM409" s="20"/>
      <c r="AN409" s="20"/>
      <c r="AO409" s="20"/>
      <c r="AP409" s="20"/>
    </row>
    <row r="410" spans="1:42" s="238" customFormat="1" ht="18.75" customHeight="1" x14ac:dyDescent="0.35">
      <c r="A410" s="195"/>
      <c r="B410" s="254"/>
      <c r="C410" s="399"/>
      <c r="D410" s="3"/>
      <c r="E410" s="3"/>
      <c r="F410" s="20"/>
      <c r="G410" s="20"/>
      <c r="H410" s="255"/>
      <c r="I410" s="392"/>
      <c r="J410" s="392"/>
      <c r="K410" s="392"/>
      <c r="L410" s="404"/>
      <c r="M410" s="404"/>
      <c r="N410" s="404"/>
      <c r="O410" s="255"/>
      <c r="P410" s="204"/>
      <c r="Q410" s="227">
        <f t="shared" si="36"/>
        <v>0</v>
      </c>
      <c r="R410" s="228">
        <f t="shared" si="38"/>
        <v>0</v>
      </c>
      <c r="T410" s="426">
        <f t="shared" si="39"/>
        <v>0</v>
      </c>
      <c r="V410" s="20"/>
      <c r="W410" s="20"/>
      <c r="X410" s="361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  <c r="AM410" s="20"/>
      <c r="AN410" s="20"/>
      <c r="AO410" s="20"/>
      <c r="AP410" s="20"/>
    </row>
    <row r="411" spans="1:42" s="238" customFormat="1" ht="18.75" customHeight="1" x14ac:dyDescent="0.35">
      <c r="A411" s="195"/>
      <c r="B411" s="254"/>
      <c r="C411" s="399"/>
      <c r="D411" s="3"/>
      <c r="E411" s="3"/>
      <c r="F411" s="20"/>
      <c r="G411" s="20"/>
      <c r="H411" s="255"/>
      <c r="I411" s="392"/>
      <c r="J411" s="392"/>
      <c r="K411" s="392"/>
      <c r="L411" s="404"/>
      <c r="M411" s="404"/>
      <c r="N411" s="404"/>
      <c r="O411" s="255"/>
      <c r="P411" s="204"/>
      <c r="Q411" s="227">
        <f t="shared" si="36"/>
        <v>0</v>
      </c>
      <c r="R411" s="228">
        <f t="shared" si="38"/>
        <v>0</v>
      </c>
      <c r="T411" s="426">
        <f t="shared" si="39"/>
        <v>0</v>
      </c>
      <c r="V411" s="20"/>
      <c r="W411" s="20"/>
      <c r="X411" s="361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  <c r="AM411" s="20"/>
      <c r="AN411" s="20"/>
      <c r="AO411" s="20"/>
      <c r="AP411" s="20"/>
    </row>
    <row r="412" spans="1:42" s="238" customFormat="1" ht="18.75" customHeight="1" x14ac:dyDescent="0.35">
      <c r="A412" s="195"/>
      <c r="B412" s="254"/>
      <c r="C412" s="399"/>
      <c r="D412" s="3"/>
      <c r="E412" s="3"/>
      <c r="F412" s="20"/>
      <c r="G412" s="20"/>
      <c r="H412" s="255"/>
      <c r="I412" s="392"/>
      <c r="J412" s="392"/>
      <c r="K412" s="392"/>
      <c r="L412" s="404"/>
      <c r="M412" s="404"/>
      <c r="N412" s="404"/>
      <c r="O412" s="255"/>
      <c r="P412" s="204"/>
      <c r="Q412" s="227">
        <f t="shared" si="36"/>
        <v>0</v>
      </c>
      <c r="R412" s="228">
        <f t="shared" si="38"/>
        <v>0</v>
      </c>
      <c r="T412" s="426">
        <f t="shared" si="39"/>
        <v>0</v>
      </c>
      <c r="V412" s="20"/>
      <c r="W412" s="20"/>
      <c r="X412" s="361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  <c r="AM412" s="20"/>
      <c r="AN412" s="20"/>
      <c r="AO412" s="20"/>
      <c r="AP412" s="20"/>
    </row>
    <row r="413" spans="1:42" s="238" customFormat="1" ht="18.75" customHeight="1" x14ac:dyDescent="0.35">
      <c r="A413" s="195"/>
      <c r="B413" s="254"/>
      <c r="C413" s="399"/>
      <c r="D413" s="3"/>
      <c r="E413" s="3"/>
      <c r="F413" s="20"/>
      <c r="G413" s="20"/>
      <c r="H413" s="255"/>
      <c r="I413" s="392"/>
      <c r="J413" s="392"/>
      <c r="K413" s="392"/>
      <c r="L413" s="404"/>
      <c r="M413" s="404"/>
      <c r="N413" s="404"/>
      <c r="O413" s="255"/>
      <c r="P413" s="204"/>
      <c r="Q413" s="227">
        <f t="shared" si="36"/>
        <v>0</v>
      </c>
      <c r="R413" s="228">
        <f t="shared" si="38"/>
        <v>0</v>
      </c>
      <c r="T413" s="426">
        <f t="shared" si="39"/>
        <v>0</v>
      </c>
      <c r="V413" s="20"/>
      <c r="W413" s="20"/>
      <c r="X413" s="361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  <c r="AN413" s="20"/>
      <c r="AO413" s="20"/>
      <c r="AP413" s="20"/>
    </row>
    <row r="414" spans="1:42" s="238" customFormat="1" ht="18.75" customHeight="1" x14ac:dyDescent="0.35">
      <c r="A414" s="195"/>
      <c r="B414" s="254"/>
      <c r="C414" s="399"/>
      <c r="D414" s="3"/>
      <c r="E414" s="3"/>
      <c r="F414" s="20"/>
      <c r="G414" s="20"/>
      <c r="H414" s="255"/>
      <c r="I414" s="392"/>
      <c r="J414" s="392"/>
      <c r="K414" s="392"/>
      <c r="L414" s="404"/>
      <c r="M414" s="404"/>
      <c r="N414" s="404"/>
      <c r="O414" s="255"/>
      <c r="P414" s="204"/>
      <c r="Q414" s="227">
        <f t="shared" si="36"/>
        <v>0</v>
      </c>
      <c r="R414" s="228">
        <f t="shared" si="38"/>
        <v>0</v>
      </c>
      <c r="T414" s="426">
        <f t="shared" si="39"/>
        <v>0</v>
      </c>
      <c r="V414" s="20"/>
      <c r="W414" s="20"/>
      <c r="X414" s="361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  <c r="AM414" s="20"/>
      <c r="AN414" s="20"/>
      <c r="AO414" s="20"/>
      <c r="AP414" s="20"/>
    </row>
    <row r="415" spans="1:42" ht="18.75" customHeight="1" x14ac:dyDescent="0.35">
      <c r="L415" s="404"/>
      <c r="M415" s="404"/>
      <c r="N415" s="404"/>
      <c r="Q415" s="227">
        <f t="shared" si="36"/>
        <v>0</v>
      </c>
      <c r="R415" s="228">
        <f t="shared" si="38"/>
        <v>0</v>
      </c>
      <c r="T415" s="426">
        <f t="shared" si="39"/>
        <v>0</v>
      </c>
    </row>
    <row r="416" spans="1:42" ht="18.75" customHeight="1" x14ac:dyDescent="0.35">
      <c r="L416" s="404"/>
      <c r="M416" s="404"/>
      <c r="N416" s="404"/>
      <c r="Q416" s="227">
        <f t="shared" ref="Q416:Q479" si="40">_xlfn.XLOOKUP(F416, AE:AE, AF:AF) * G416</f>
        <v>0</v>
      </c>
      <c r="R416" s="228">
        <f t="shared" si="38"/>
        <v>0</v>
      </c>
      <c r="T416" s="426">
        <f t="shared" si="39"/>
        <v>0</v>
      </c>
    </row>
    <row r="417" spans="12:20" ht="18.75" customHeight="1" x14ac:dyDescent="0.35">
      <c r="L417" s="404"/>
      <c r="M417" s="404"/>
      <c r="N417" s="404"/>
      <c r="Q417" s="227">
        <f t="shared" si="40"/>
        <v>0</v>
      </c>
      <c r="R417" s="228">
        <f t="shared" si="38"/>
        <v>0</v>
      </c>
      <c r="T417" s="426">
        <f t="shared" si="39"/>
        <v>0</v>
      </c>
    </row>
    <row r="418" spans="12:20" ht="18.75" customHeight="1" x14ac:dyDescent="0.35">
      <c r="L418" s="404"/>
      <c r="M418" s="404"/>
      <c r="N418" s="404"/>
      <c r="Q418" s="227">
        <f t="shared" si="40"/>
        <v>0</v>
      </c>
      <c r="R418" s="228">
        <f t="shared" si="38"/>
        <v>0</v>
      </c>
      <c r="T418" s="426">
        <f t="shared" si="39"/>
        <v>0</v>
      </c>
    </row>
    <row r="419" spans="12:20" ht="18.75" customHeight="1" x14ac:dyDescent="0.35">
      <c r="L419" s="404"/>
      <c r="M419" s="404"/>
      <c r="N419" s="404"/>
      <c r="Q419" s="227">
        <f t="shared" si="40"/>
        <v>0</v>
      </c>
      <c r="R419" s="228">
        <f t="shared" si="38"/>
        <v>0</v>
      </c>
      <c r="T419" s="426">
        <f t="shared" si="39"/>
        <v>0</v>
      </c>
    </row>
    <row r="420" spans="12:20" ht="18.75" customHeight="1" x14ac:dyDescent="0.35">
      <c r="L420" s="404"/>
      <c r="M420" s="404"/>
      <c r="N420" s="404"/>
      <c r="Q420" s="227">
        <f t="shared" si="40"/>
        <v>0</v>
      </c>
      <c r="R420" s="228">
        <f t="shared" si="38"/>
        <v>0</v>
      </c>
      <c r="T420" s="426">
        <f t="shared" si="39"/>
        <v>0</v>
      </c>
    </row>
    <row r="421" spans="12:20" ht="18.75" customHeight="1" x14ac:dyDescent="0.35">
      <c r="L421" s="404"/>
      <c r="M421" s="404"/>
      <c r="N421" s="404"/>
      <c r="Q421" s="227">
        <f t="shared" si="40"/>
        <v>0</v>
      </c>
      <c r="R421" s="228">
        <f t="shared" si="38"/>
        <v>0</v>
      </c>
      <c r="T421" s="426">
        <f t="shared" si="39"/>
        <v>0</v>
      </c>
    </row>
    <row r="422" spans="12:20" ht="18.75" customHeight="1" x14ac:dyDescent="0.35">
      <c r="L422" s="404"/>
      <c r="M422" s="404"/>
      <c r="N422" s="404"/>
      <c r="Q422" s="227">
        <f t="shared" si="40"/>
        <v>0</v>
      </c>
      <c r="R422" s="228">
        <f t="shared" si="38"/>
        <v>0</v>
      </c>
      <c r="T422" s="426">
        <f t="shared" si="39"/>
        <v>0</v>
      </c>
    </row>
    <row r="423" spans="12:20" ht="18.75" customHeight="1" x14ac:dyDescent="0.35">
      <c r="L423" s="404"/>
      <c r="M423" s="404"/>
      <c r="N423" s="404"/>
      <c r="Q423" s="227">
        <f t="shared" si="40"/>
        <v>0</v>
      </c>
      <c r="R423" s="228">
        <f t="shared" si="38"/>
        <v>0</v>
      </c>
      <c r="T423" s="426">
        <f t="shared" si="39"/>
        <v>0</v>
      </c>
    </row>
    <row r="424" spans="12:20" ht="18.75" customHeight="1" x14ac:dyDescent="0.35">
      <c r="L424" s="404"/>
      <c r="M424" s="404"/>
      <c r="N424" s="404"/>
      <c r="Q424" s="227">
        <f t="shared" si="40"/>
        <v>0</v>
      </c>
      <c r="R424" s="228">
        <f t="shared" si="38"/>
        <v>0</v>
      </c>
      <c r="T424" s="426">
        <f t="shared" si="39"/>
        <v>0</v>
      </c>
    </row>
    <row r="425" spans="12:20" ht="18.75" customHeight="1" x14ac:dyDescent="0.35">
      <c r="L425" s="404"/>
      <c r="M425" s="404"/>
      <c r="N425" s="404"/>
      <c r="Q425" s="227">
        <f t="shared" si="40"/>
        <v>0</v>
      </c>
      <c r="R425" s="228">
        <f t="shared" si="38"/>
        <v>0</v>
      </c>
      <c r="T425" s="426">
        <f t="shared" si="39"/>
        <v>0</v>
      </c>
    </row>
    <row r="426" spans="12:20" ht="18.75" customHeight="1" x14ac:dyDescent="0.35">
      <c r="L426" s="404"/>
      <c r="M426" s="404"/>
      <c r="N426" s="404"/>
      <c r="Q426" s="227">
        <f t="shared" si="40"/>
        <v>0</v>
      </c>
      <c r="R426" s="228">
        <f t="shared" si="38"/>
        <v>0</v>
      </c>
      <c r="T426" s="426">
        <f t="shared" si="39"/>
        <v>0</v>
      </c>
    </row>
    <row r="427" spans="12:20" ht="18.75" customHeight="1" x14ac:dyDescent="0.35">
      <c r="L427" s="404"/>
      <c r="M427" s="404"/>
      <c r="N427" s="404"/>
      <c r="Q427" s="227">
        <f t="shared" si="40"/>
        <v>0</v>
      </c>
      <c r="R427" s="228">
        <f t="shared" si="38"/>
        <v>0</v>
      </c>
      <c r="T427" s="426">
        <f t="shared" si="39"/>
        <v>0</v>
      </c>
    </row>
    <row r="428" spans="12:20" ht="18.75" customHeight="1" x14ac:dyDescent="0.35">
      <c r="L428" s="404"/>
      <c r="M428" s="404"/>
      <c r="N428" s="404"/>
      <c r="Q428" s="227">
        <f t="shared" si="40"/>
        <v>0</v>
      </c>
      <c r="R428" s="228">
        <f t="shared" si="38"/>
        <v>0</v>
      </c>
      <c r="T428" s="426">
        <f t="shared" si="39"/>
        <v>0</v>
      </c>
    </row>
    <row r="429" spans="12:20" ht="18.75" customHeight="1" x14ac:dyDescent="0.35">
      <c r="L429" s="404"/>
      <c r="M429" s="404"/>
      <c r="N429" s="404"/>
      <c r="Q429" s="227">
        <f t="shared" si="40"/>
        <v>0</v>
      </c>
      <c r="R429" s="228">
        <f t="shared" si="38"/>
        <v>0</v>
      </c>
      <c r="T429" s="426">
        <f t="shared" si="39"/>
        <v>0</v>
      </c>
    </row>
    <row r="430" spans="12:20" ht="18.75" customHeight="1" x14ac:dyDescent="0.35">
      <c r="L430" s="404"/>
      <c r="M430" s="404"/>
      <c r="N430" s="404"/>
      <c r="Q430" s="227">
        <f t="shared" si="40"/>
        <v>0</v>
      </c>
      <c r="R430" s="228">
        <f t="shared" si="38"/>
        <v>0</v>
      </c>
      <c r="T430" s="426">
        <f t="shared" si="39"/>
        <v>0</v>
      </c>
    </row>
    <row r="431" spans="12:20" ht="18.75" customHeight="1" x14ac:dyDescent="0.35">
      <c r="L431" s="404"/>
      <c r="M431" s="404"/>
      <c r="N431" s="404"/>
      <c r="Q431" s="227">
        <f t="shared" si="40"/>
        <v>0</v>
      </c>
      <c r="R431" s="228">
        <f t="shared" si="38"/>
        <v>0</v>
      </c>
      <c r="T431" s="426">
        <f t="shared" si="39"/>
        <v>0</v>
      </c>
    </row>
    <row r="432" spans="12:20" ht="18.75" customHeight="1" x14ac:dyDescent="0.35">
      <c r="L432" s="404"/>
      <c r="M432" s="404"/>
      <c r="N432" s="404"/>
      <c r="Q432" s="227">
        <f t="shared" si="40"/>
        <v>0</v>
      </c>
      <c r="R432" s="228">
        <f t="shared" si="38"/>
        <v>0</v>
      </c>
      <c r="T432" s="426">
        <f t="shared" si="39"/>
        <v>0</v>
      </c>
    </row>
    <row r="433" spans="12:20" ht="18.75" customHeight="1" x14ac:dyDescent="0.35">
      <c r="L433" s="404"/>
      <c r="M433" s="404"/>
      <c r="N433" s="404"/>
      <c r="Q433" s="227">
        <f t="shared" si="40"/>
        <v>0</v>
      </c>
      <c r="R433" s="228">
        <f t="shared" si="38"/>
        <v>0</v>
      </c>
      <c r="T433" s="426">
        <f t="shared" si="39"/>
        <v>0</v>
      </c>
    </row>
    <row r="434" spans="12:20" ht="18.75" customHeight="1" x14ac:dyDescent="0.35">
      <c r="L434" s="404"/>
      <c r="M434" s="404"/>
      <c r="N434" s="404"/>
      <c r="Q434" s="227">
        <f t="shared" si="40"/>
        <v>0</v>
      </c>
      <c r="R434" s="228">
        <f t="shared" si="38"/>
        <v>0</v>
      </c>
      <c r="T434" s="426">
        <f t="shared" si="39"/>
        <v>0</v>
      </c>
    </row>
    <row r="435" spans="12:20" ht="18.75" customHeight="1" x14ac:dyDescent="0.35">
      <c r="L435" s="404"/>
      <c r="M435" s="404"/>
      <c r="N435" s="404"/>
      <c r="Q435" s="227">
        <f t="shared" si="40"/>
        <v>0</v>
      </c>
      <c r="R435" s="228">
        <f t="shared" si="38"/>
        <v>0</v>
      </c>
      <c r="T435" s="426">
        <f t="shared" si="39"/>
        <v>0</v>
      </c>
    </row>
    <row r="436" spans="12:20" ht="18.75" customHeight="1" x14ac:dyDescent="0.35">
      <c r="L436" s="404"/>
      <c r="M436" s="404"/>
      <c r="N436" s="404"/>
      <c r="Q436" s="227">
        <f t="shared" si="40"/>
        <v>0</v>
      </c>
      <c r="R436" s="228">
        <f t="shared" si="38"/>
        <v>0</v>
      </c>
      <c r="T436" s="426">
        <f t="shared" si="39"/>
        <v>0</v>
      </c>
    </row>
    <row r="437" spans="12:20" ht="18.75" customHeight="1" x14ac:dyDescent="0.35">
      <c r="L437" s="404"/>
      <c r="M437" s="404"/>
      <c r="N437" s="404"/>
      <c r="Q437" s="227">
        <f t="shared" si="40"/>
        <v>0</v>
      </c>
      <c r="R437" s="228">
        <f t="shared" si="38"/>
        <v>0</v>
      </c>
      <c r="T437" s="426">
        <f t="shared" si="39"/>
        <v>0</v>
      </c>
    </row>
    <row r="438" spans="12:20" ht="18.75" customHeight="1" x14ac:dyDescent="0.35">
      <c r="L438" s="404"/>
      <c r="M438" s="404"/>
      <c r="N438" s="404"/>
      <c r="Q438" s="227">
        <f t="shared" si="40"/>
        <v>0</v>
      </c>
      <c r="R438" s="228">
        <f t="shared" si="38"/>
        <v>0</v>
      </c>
      <c r="T438" s="426">
        <f t="shared" si="39"/>
        <v>0</v>
      </c>
    </row>
    <row r="439" spans="12:20" ht="18.75" customHeight="1" x14ac:dyDescent="0.35">
      <c r="L439" s="404"/>
      <c r="M439" s="404"/>
      <c r="N439" s="404"/>
      <c r="Q439" s="227">
        <f t="shared" si="40"/>
        <v>0</v>
      </c>
      <c r="R439" s="228">
        <f t="shared" si="38"/>
        <v>0</v>
      </c>
      <c r="T439" s="426">
        <f t="shared" si="39"/>
        <v>0</v>
      </c>
    </row>
    <row r="440" spans="12:20" ht="18.75" customHeight="1" x14ac:dyDescent="0.35">
      <c r="L440" s="404"/>
      <c r="M440" s="404"/>
      <c r="N440" s="404"/>
      <c r="Q440" s="227">
        <f t="shared" si="40"/>
        <v>0</v>
      </c>
      <c r="R440" s="228">
        <f t="shared" si="38"/>
        <v>0</v>
      </c>
      <c r="T440" s="426">
        <f t="shared" si="39"/>
        <v>0</v>
      </c>
    </row>
    <row r="441" spans="12:20" ht="18.75" customHeight="1" x14ac:dyDescent="0.35">
      <c r="L441" s="404"/>
      <c r="M441" s="404"/>
      <c r="N441" s="404"/>
      <c r="Q441" s="227">
        <f t="shared" si="40"/>
        <v>0</v>
      </c>
      <c r="R441" s="228">
        <f t="shared" si="38"/>
        <v>0</v>
      </c>
      <c r="T441" s="426">
        <f t="shared" si="39"/>
        <v>0</v>
      </c>
    </row>
    <row r="442" spans="12:20" ht="18.75" customHeight="1" x14ac:dyDescent="0.35">
      <c r="L442" s="404"/>
      <c r="M442" s="404"/>
      <c r="N442" s="404"/>
      <c r="Q442" s="227">
        <f t="shared" si="40"/>
        <v>0</v>
      </c>
      <c r="R442" s="228">
        <f t="shared" si="38"/>
        <v>0</v>
      </c>
      <c r="T442" s="426">
        <f t="shared" si="39"/>
        <v>0</v>
      </c>
    </row>
    <row r="443" spans="12:20" ht="18.75" customHeight="1" x14ac:dyDescent="0.35">
      <c r="L443" s="404"/>
      <c r="M443" s="404"/>
      <c r="N443" s="404"/>
      <c r="Q443" s="227">
        <f t="shared" si="40"/>
        <v>0</v>
      </c>
      <c r="R443" s="228">
        <f t="shared" si="38"/>
        <v>0</v>
      </c>
      <c r="T443" s="426">
        <f t="shared" si="39"/>
        <v>0</v>
      </c>
    </row>
    <row r="444" spans="12:20" ht="18.75" customHeight="1" x14ac:dyDescent="0.35">
      <c r="L444" s="404"/>
      <c r="M444" s="404"/>
      <c r="N444" s="404"/>
      <c r="Q444" s="227">
        <f t="shared" si="40"/>
        <v>0</v>
      </c>
      <c r="R444" s="228">
        <f t="shared" si="38"/>
        <v>0</v>
      </c>
      <c r="T444" s="426">
        <f t="shared" si="39"/>
        <v>0</v>
      </c>
    </row>
    <row r="445" spans="12:20" ht="18.75" customHeight="1" x14ac:dyDescent="0.35">
      <c r="L445" s="404"/>
      <c r="M445" s="404"/>
      <c r="N445" s="404"/>
      <c r="Q445" s="227">
        <f t="shared" si="40"/>
        <v>0</v>
      </c>
      <c r="R445" s="228">
        <f t="shared" si="38"/>
        <v>0</v>
      </c>
      <c r="T445" s="426">
        <f t="shared" si="39"/>
        <v>0</v>
      </c>
    </row>
    <row r="446" spans="12:20" ht="18.75" customHeight="1" x14ac:dyDescent="0.35">
      <c r="L446" s="404"/>
      <c r="M446" s="404"/>
      <c r="N446" s="404"/>
      <c r="Q446" s="227">
        <f t="shared" si="40"/>
        <v>0</v>
      </c>
      <c r="R446" s="228">
        <f t="shared" si="38"/>
        <v>0</v>
      </c>
      <c r="T446" s="426">
        <f t="shared" si="39"/>
        <v>0</v>
      </c>
    </row>
    <row r="447" spans="12:20" ht="18.75" customHeight="1" x14ac:dyDescent="0.35">
      <c r="L447" s="404"/>
      <c r="M447" s="404"/>
      <c r="N447" s="404"/>
      <c r="Q447" s="227">
        <f t="shared" si="40"/>
        <v>0</v>
      </c>
      <c r="R447" s="228">
        <f t="shared" si="38"/>
        <v>0</v>
      </c>
      <c r="T447" s="426">
        <f t="shared" si="39"/>
        <v>0</v>
      </c>
    </row>
    <row r="448" spans="12:20" ht="18.75" customHeight="1" x14ac:dyDescent="0.35">
      <c r="L448" s="404"/>
      <c r="M448" s="404"/>
      <c r="N448" s="404"/>
      <c r="Q448" s="227">
        <f t="shared" si="40"/>
        <v>0</v>
      </c>
      <c r="R448" s="228">
        <f t="shared" si="38"/>
        <v>0</v>
      </c>
      <c r="T448" s="426">
        <f t="shared" si="39"/>
        <v>0</v>
      </c>
    </row>
    <row r="449" spans="12:20" ht="18.75" customHeight="1" x14ac:dyDescent="0.35">
      <c r="L449" s="404"/>
      <c r="M449" s="404"/>
      <c r="N449" s="404"/>
      <c r="Q449" s="227">
        <f t="shared" si="40"/>
        <v>0</v>
      </c>
      <c r="R449" s="228">
        <f t="shared" si="38"/>
        <v>0</v>
      </c>
      <c r="T449" s="426">
        <f t="shared" si="39"/>
        <v>0</v>
      </c>
    </row>
    <row r="450" spans="12:20" ht="18.75" customHeight="1" x14ac:dyDescent="0.35">
      <c r="L450" s="404"/>
      <c r="M450" s="404"/>
      <c r="N450" s="404"/>
      <c r="Q450" s="227">
        <f t="shared" si="40"/>
        <v>0</v>
      </c>
      <c r="R450" s="228">
        <f t="shared" si="38"/>
        <v>0</v>
      </c>
      <c r="T450" s="426">
        <f t="shared" si="39"/>
        <v>0</v>
      </c>
    </row>
    <row r="451" spans="12:20" ht="18.75" customHeight="1" x14ac:dyDescent="0.35">
      <c r="L451" s="404"/>
      <c r="M451" s="404"/>
      <c r="N451" s="404"/>
      <c r="Q451" s="227">
        <f t="shared" si="40"/>
        <v>0</v>
      </c>
      <c r="R451" s="228">
        <f t="shared" ref="R451:R456" si="41">IF(N451="Si", P451-Q451-L451, P451-Q451)</f>
        <v>0</v>
      </c>
      <c r="T451" s="426">
        <f t="shared" si="39"/>
        <v>0</v>
      </c>
    </row>
    <row r="452" spans="12:20" ht="18.75" customHeight="1" x14ac:dyDescent="0.35">
      <c r="L452" s="404"/>
      <c r="M452" s="404"/>
      <c r="N452" s="404"/>
      <c r="Q452" s="227">
        <f t="shared" si="40"/>
        <v>0</v>
      </c>
      <c r="R452" s="228">
        <f t="shared" si="41"/>
        <v>0</v>
      </c>
      <c r="T452" s="426">
        <f t="shared" si="39"/>
        <v>0</v>
      </c>
    </row>
    <row r="453" spans="12:20" ht="18.75" customHeight="1" x14ac:dyDescent="0.35">
      <c r="L453" s="404"/>
      <c r="M453" s="404"/>
      <c r="N453" s="404"/>
      <c r="Q453" s="227">
        <f t="shared" si="40"/>
        <v>0</v>
      </c>
      <c r="R453" s="228">
        <f t="shared" si="41"/>
        <v>0</v>
      </c>
      <c r="T453" s="426">
        <f t="shared" si="39"/>
        <v>0</v>
      </c>
    </row>
    <row r="454" spans="12:20" ht="18.75" customHeight="1" x14ac:dyDescent="0.35">
      <c r="L454" s="404"/>
      <c r="M454" s="404"/>
      <c r="N454" s="404"/>
      <c r="Q454" s="227">
        <f t="shared" si="40"/>
        <v>0</v>
      </c>
      <c r="R454" s="228">
        <f t="shared" si="41"/>
        <v>0</v>
      </c>
      <c r="T454" s="426">
        <f t="shared" ref="T454:T517" si="42">R454*$T$2</f>
        <v>0</v>
      </c>
    </row>
    <row r="455" spans="12:20" ht="18.75" customHeight="1" x14ac:dyDescent="0.35">
      <c r="L455" s="404"/>
      <c r="M455" s="404"/>
      <c r="N455" s="404"/>
      <c r="Q455" s="227">
        <f t="shared" si="40"/>
        <v>0</v>
      </c>
      <c r="R455" s="228">
        <f t="shared" si="41"/>
        <v>0</v>
      </c>
      <c r="T455" s="426">
        <f t="shared" si="42"/>
        <v>0</v>
      </c>
    </row>
    <row r="456" spans="12:20" ht="18.75" customHeight="1" x14ac:dyDescent="0.35">
      <c r="L456" s="404"/>
      <c r="M456" s="404"/>
      <c r="N456" s="404"/>
      <c r="Q456" s="227">
        <f t="shared" si="40"/>
        <v>0</v>
      </c>
      <c r="R456" s="228">
        <f t="shared" si="41"/>
        <v>0</v>
      </c>
      <c r="T456" s="426">
        <f t="shared" si="42"/>
        <v>0</v>
      </c>
    </row>
    <row r="457" spans="12:20" ht="18.75" customHeight="1" x14ac:dyDescent="0.35">
      <c r="L457" s="404"/>
      <c r="M457" s="404"/>
      <c r="N457" s="404"/>
      <c r="Q457" s="227">
        <f t="shared" si="40"/>
        <v>0</v>
      </c>
      <c r="T457" s="426">
        <f t="shared" si="42"/>
        <v>0</v>
      </c>
    </row>
    <row r="458" spans="12:20" ht="18.75" customHeight="1" x14ac:dyDescent="0.35">
      <c r="L458" s="404"/>
      <c r="M458" s="404"/>
      <c r="N458" s="404"/>
      <c r="Q458" s="227">
        <f t="shared" si="40"/>
        <v>0</v>
      </c>
      <c r="T458" s="426">
        <f t="shared" si="42"/>
        <v>0</v>
      </c>
    </row>
    <row r="459" spans="12:20" ht="18.75" customHeight="1" x14ac:dyDescent="0.35">
      <c r="L459" s="404"/>
      <c r="M459" s="404"/>
      <c r="N459" s="404"/>
      <c r="Q459" s="227">
        <f t="shared" si="40"/>
        <v>0</v>
      </c>
      <c r="T459" s="426">
        <f t="shared" si="42"/>
        <v>0</v>
      </c>
    </row>
    <row r="460" spans="12:20" ht="18.75" customHeight="1" x14ac:dyDescent="0.35">
      <c r="L460" s="404"/>
      <c r="M460" s="404"/>
      <c r="N460" s="404"/>
      <c r="Q460" s="227">
        <f t="shared" si="40"/>
        <v>0</v>
      </c>
      <c r="T460" s="426">
        <f t="shared" si="42"/>
        <v>0</v>
      </c>
    </row>
    <row r="461" spans="12:20" ht="18.75" customHeight="1" x14ac:dyDescent="0.35">
      <c r="L461" s="404"/>
      <c r="M461" s="404"/>
      <c r="N461" s="404"/>
      <c r="Q461" s="227">
        <f t="shared" si="40"/>
        <v>0</v>
      </c>
      <c r="T461" s="426">
        <f t="shared" si="42"/>
        <v>0</v>
      </c>
    </row>
    <row r="462" spans="12:20" ht="18.75" customHeight="1" x14ac:dyDescent="0.35">
      <c r="L462" s="404"/>
      <c r="M462" s="404"/>
      <c r="N462" s="404"/>
      <c r="Q462" s="227">
        <f t="shared" si="40"/>
        <v>0</v>
      </c>
      <c r="T462" s="426">
        <f t="shared" si="42"/>
        <v>0</v>
      </c>
    </row>
    <row r="463" spans="12:20" ht="18.75" customHeight="1" x14ac:dyDescent="0.35">
      <c r="L463" s="404"/>
      <c r="M463" s="404"/>
      <c r="N463" s="404"/>
      <c r="Q463" s="227">
        <f t="shared" si="40"/>
        <v>0</v>
      </c>
      <c r="T463" s="426">
        <f t="shared" si="42"/>
        <v>0</v>
      </c>
    </row>
    <row r="464" spans="12:20" ht="18.75" customHeight="1" x14ac:dyDescent="0.35">
      <c r="L464" s="404"/>
      <c r="M464" s="404"/>
      <c r="N464" s="404"/>
      <c r="Q464" s="227">
        <f t="shared" si="40"/>
        <v>0</v>
      </c>
      <c r="T464" s="426">
        <f t="shared" si="42"/>
        <v>0</v>
      </c>
    </row>
    <row r="465" spans="12:20" ht="18.75" customHeight="1" x14ac:dyDescent="0.35">
      <c r="L465" s="404"/>
      <c r="M465" s="404"/>
      <c r="N465" s="404"/>
      <c r="Q465" s="227">
        <f t="shared" si="40"/>
        <v>0</v>
      </c>
      <c r="T465" s="426">
        <f t="shared" si="42"/>
        <v>0</v>
      </c>
    </row>
    <row r="466" spans="12:20" ht="18.75" customHeight="1" x14ac:dyDescent="0.35">
      <c r="L466" s="404"/>
      <c r="M466" s="404"/>
      <c r="N466" s="404"/>
      <c r="Q466" s="227">
        <f t="shared" si="40"/>
        <v>0</v>
      </c>
      <c r="T466" s="426">
        <f t="shared" si="42"/>
        <v>0</v>
      </c>
    </row>
    <row r="467" spans="12:20" ht="18.75" customHeight="1" x14ac:dyDescent="0.35">
      <c r="L467" s="404"/>
      <c r="M467" s="404"/>
      <c r="N467" s="404"/>
      <c r="Q467" s="227">
        <f t="shared" si="40"/>
        <v>0</v>
      </c>
      <c r="T467" s="426">
        <f t="shared" si="42"/>
        <v>0</v>
      </c>
    </row>
    <row r="468" spans="12:20" ht="18.75" customHeight="1" x14ac:dyDescent="0.35">
      <c r="L468" s="404"/>
      <c r="M468" s="404"/>
      <c r="N468" s="404"/>
      <c r="Q468" s="227">
        <f t="shared" si="40"/>
        <v>0</v>
      </c>
      <c r="T468" s="426">
        <f t="shared" si="42"/>
        <v>0</v>
      </c>
    </row>
    <row r="469" spans="12:20" ht="18.75" customHeight="1" x14ac:dyDescent="0.35">
      <c r="L469" s="404"/>
      <c r="M469" s="404"/>
      <c r="N469" s="404"/>
      <c r="Q469" s="227">
        <f t="shared" si="40"/>
        <v>0</v>
      </c>
      <c r="T469" s="426">
        <f t="shared" si="42"/>
        <v>0</v>
      </c>
    </row>
    <row r="470" spans="12:20" ht="18.75" customHeight="1" x14ac:dyDescent="0.35">
      <c r="L470" s="404"/>
      <c r="M470" s="404"/>
      <c r="N470" s="404"/>
      <c r="Q470" s="227">
        <f t="shared" si="40"/>
        <v>0</v>
      </c>
      <c r="T470" s="426">
        <f t="shared" si="42"/>
        <v>0</v>
      </c>
    </row>
    <row r="471" spans="12:20" ht="18.75" customHeight="1" x14ac:dyDescent="0.35">
      <c r="L471" s="404"/>
      <c r="M471" s="404"/>
      <c r="N471" s="404"/>
      <c r="Q471" s="227">
        <f t="shared" si="40"/>
        <v>0</v>
      </c>
      <c r="T471" s="426">
        <f t="shared" si="42"/>
        <v>0</v>
      </c>
    </row>
    <row r="472" spans="12:20" ht="18.75" customHeight="1" x14ac:dyDescent="0.35">
      <c r="L472" s="404"/>
      <c r="M472" s="404"/>
      <c r="N472" s="404"/>
      <c r="Q472" s="227">
        <f t="shared" si="40"/>
        <v>0</v>
      </c>
      <c r="T472" s="426">
        <f t="shared" si="42"/>
        <v>0</v>
      </c>
    </row>
    <row r="473" spans="12:20" ht="18.75" customHeight="1" x14ac:dyDescent="0.35">
      <c r="L473" s="404"/>
      <c r="M473" s="404"/>
      <c r="N473" s="404"/>
      <c r="Q473" s="227">
        <f t="shared" si="40"/>
        <v>0</v>
      </c>
      <c r="T473" s="426">
        <f t="shared" si="42"/>
        <v>0</v>
      </c>
    </row>
    <row r="474" spans="12:20" ht="18.75" customHeight="1" x14ac:dyDescent="0.35">
      <c r="L474" s="404"/>
      <c r="M474" s="404"/>
      <c r="N474" s="404"/>
      <c r="Q474" s="227">
        <f t="shared" si="40"/>
        <v>0</v>
      </c>
      <c r="T474" s="426">
        <f t="shared" si="42"/>
        <v>0</v>
      </c>
    </row>
    <row r="475" spans="12:20" ht="18.75" customHeight="1" x14ac:dyDescent="0.35">
      <c r="L475" s="404"/>
      <c r="M475" s="404"/>
      <c r="N475" s="404"/>
      <c r="Q475" s="227">
        <f t="shared" si="40"/>
        <v>0</v>
      </c>
      <c r="T475" s="426">
        <f t="shared" si="42"/>
        <v>0</v>
      </c>
    </row>
    <row r="476" spans="12:20" ht="18.75" customHeight="1" x14ac:dyDescent="0.35">
      <c r="L476" s="404"/>
      <c r="M476" s="404"/>
      <c r="N476" s="404"/>
      <c r="Q476" s="227">
        <f t="shared" si="40"/>
        <v>0</v>
      </c>
      <c r="T476" s="426">
        <f t="shared" si="42"/>
        <v>0</v>
      </c>
    </row>
    <row r="477" spans="12:20" ht="18.75" customHeight="1" x14ac:dyDescent="0.35">
      <c r="L477" s="404"/>
      <c r="M477" s="404"/>
      <c r="N477" s="404"/>
      <c r="Q477" s="227">
        <f t="shared" si="40"/>
        <v>0</v>
      </c>
      <c r="T477" s="426">
        <f t="shared" si="42"/>
        <v>0</v>
      </c>
    </row>
    <row r="478" spans="12:20" ht="18.75" customHeight="1" x14ac:dyDescent="0.35">
      <c r="L478" s="404"/>
      <c r="M478" s="404"/>
      <c r="N478" s="404"/>
      <c r="Q478" s="227">
        <f t="shared" si="40"/>
        <v>0</v>
      </c>
      <c r="T478" s="426">
        <f t="shared" si="42"/>
        <v>0</v>
      </c>
    </row>
    <row r="479" spans="12:20" ht="18.75" customHeight="1" x14ac:dyDescent="0.35">
      <c r="L479" s="404"/>
      <c r="M479" s="404"/>
      <c r="N479" s="404"/>
      <c r="Q479" s="227">
        <f t="shared" si="40"/>
        <v>0</v>
      </c>
      <c r="T479" s="426">
        <f t="shared" si="42"/>
        <v>0</v>
      </c>
    </row>
    <row r="480" spans="12:20" ht="18.75" customHeight="1" x14ac:dyDescent="0.35">
      <c r="L480" s="404"/>
      <c r="M480" s="404"/>
      <c r="N480" s="404"/>
      <c r="Q480" s="227">
        <f t="shared" ref="Q480:Q543" si="43">_xlfn.XLOOKUP(F480, AE:AE, AF:AF) * G480</f>
        <v>0</v>
      </c>
      <c r="T480" s="426">
        <f t="shared" si="42"/>
        <v>0</v>
      </c>
    </row>
    <row r="481" spans="12:20" ht="18.75" customHeight="1" x14ac:dyDescent="0.35">
      <c r="L481" s="404"/>
      <c r="M481" s="404"/>
      <c r="N481" s="404"/>
      <c r="Q481" s="227">
        <f t="shared" si="43"/>
        <v>0</v>
      </c>
      <c r="T481" s="426">
        <f t="shared" si="42"/>
        <v>0</v>
      </c>
    </row>
    <row r="482" spans="12:20" ht="18.75" customHeight="1" x14ac:dyDescent="0.35">
      <c r="L482" s="404"/>
      <c r="M482" s="404"/>
      <c r="N482" s="404"/>
      <c r="Q482" s="227">
        <f t="shared" si="43"/>
        <v>0</v>
      </c>
      <c r="T482" s="426">
        <f t="shared" si="42"/>
        <v>0</v>
      </c>
    </row>
    <row r="483" spans="12:20" ht="18.75" customHeight="1" x14ac:dyDescent="0.35">
      <c r="L483" s="404"/>
      <c r="M483" s="404"/>
      <c r="N483" s="404"/>
      <c r="Q483" s="227">
        <f t="shared" si="43"/>
        <v>0</v>
      </c>
      <c r="T483" s="426">
        <f t="shared" si="42"/>
        <v>0</v>
      </c>
    </row>
    <row r="484" spans="12:20" ht="18.75" customHeight="1" x14ac:dyDescent="0.35">
      <c r="L484" s="404"/>
      <c r="M484" s="404"/>
      <c r="N484" s="404"/>
      <c r="Q484" s="227">
        <f t="shared" si="43"/>
        <v>0</v>
      </c>
      <c r="T484" s="426">
        <f t="shared" si="42"/>
        <v>0</v>
      </c>
    </row>
    <row r="485" spans="12:20" ht="18.75" customHeight="1" x14ac:dyDescent="0.35">
      <c r="L485" s="404"/>
      <c r="M485" s="404"/>
      <c r="N485" s="404"/>
      <c r="Q485" s="227">
        <f t="shared" si="43"/>
        <v>0</v>
      </c>
      <c r="T485" s="426">
        <f t="shared" si="42"/>
        <v>0</v>
      </c>
    </row>
    <row r="486" spans="12:20" ht="18.75" customHeight="1" x14ac:dyDescent="0.35">
      <c r="L486" s="404"/>
      <c r="M486" s="404"/>
      <c r="N486" s="404"/>
      <c r="Q486" s="227">
        <f t="shared" si="43"/>
        <v>0</v>
      </c>
      <c r="T486" s="426">
        <f t="shared" si="42"/>
        <v>0</v>
      </c>
    </row>
    <row r="487" spans="12:20" ht="18.75" customHeight="1" x14ac:dyDescent="0.35">
      <c r="L487" s="404"/>
      <c r="M487" s="404"/>
      <c r="N487" s="404"/>
      <c r="Q487" s="227">
        <f t="shared" si="43"/>
        <v>0</v>
      </c>
      <c r="T487" s="426">
        <f t="shared" si="42"/>
        <v>0</v>
      </c>
    </row>
    <row r="488" spans="12:20" ht="18.75" customHeight="1" x14ac:dyDescent="0.35">
      <c r="L488" s="404"/>
      <c r="M488" s="404"/>
      <c r="N488" s="404"/>
      <c r="Q488" s="227">
        <f t="shared" si="43"/>
        <v>0</v>
      </c>
      <c r="T488" s="426">
        <f t="shared" si="42"/>
        <v>0</v>
      </c>
    </row>
    <row r="489" spans="12:20" ht="18.75" customHeight="1" x14ac:dyDescent="0.35">
      <c r="L489" s="404"/>
      <c r="M489" s="404"/>
      <c r="N489" s="404"/>
      <c r="Q489" s="227">
        <f t="shared" si="43"/>
        <v>0</v>
      </c>
      <c r="T489" s="426">
        <f t="shared" si="42"/>
        <v>0</v>
      </c>
    </row>
    <row r="490" spans="12:20" ht="18.75" customHeight="1" x14ac:dyDescent="0.35">
      <c r="L490" s="404"/>
      <c r="M490" s="404"/>
      <c r="N490" s="404"/>
      <c r="Q490" s="227">
        <f t="shared" si="43"/>
        <v>0</v>
      </c>
      <c r="T490" s="426">
        <f t="shared" si="42"/>
        <v>0</v>
      </c>
    </row>
    <row r="491" spans="12:20" ht="18.75" customHeight="1" x14ac:dyDescent="0.35">
      <c r="L491" s="404"/>
      <c r="M491" s="404"/>
      <c r="N491" s="404"/>
      <c r="Q491" s="227">
        <f t="shared" si="43"/>
        <v>0</v>
      </c>
      <c r="T491" s="426">
        <f t="shared" si="42"/>
        <v>0</v>
      </c>
    </row>
    <row r="492" spans="12:20" ht="18.75" customHeight="1" x14ac:dyDescent="0.35">
      <c r="L492" s="404"/>
      <c r="M492" s="404"/>
      <c r="N492" s="404"/>
      <c r="Q492" s="227">
        <f t="shared" si="43"/>
        <v>0</v>
      </c>
      <c r="T492" s="426">
        <f t="shared" si="42"/>
        <v>0</v>
      </c>
    </row>
    <row r="493" spans="12:20" ht="18.75" customHeight="1" x14ac:dyDescent="0.35">
      <c r="L493" s="404"/>
      <c r="M493" s="404"/>
      <c r="N493" s="404"/>
      <c r="Q493" s="227">
        <f t="shared" si="43"/>
        <v>0</v>
      </c>
      <c r="T493" s="426">
        <f t="shared" si="42"/>
        <v>0</v>
      </c>
    </row>
    <row r="494" spans="12:20" ht="18.75" customHeight="1" x14ac:dyDescent="0.35">
      <c r="L494" s="404"/>
      <c r="M494" s="404"/>
      <c r="N494" s="404"/>
      <c r="Q494" s="227">
        <f t="shared" si="43"/>
        <v>0</v>
      </c>
      <c r="T494" s="426">
        <f t="shared" si="42"/>
        <v>0</v>
      </c>
    </row>
    <row r="495" spans="12:20" ht="18.75" customHeight="1" x14ac:dyDescent="0.35">
      <c r="L495" s="404"/>
      <c r="M495" s="404"/>
      <c r="N495" s="404"/>
      <c r="Q495" s="227">
        <f t="shared" si="43"/>
        <v>0</v>
      </c>
      <c r="T495" s="426">
        <f t="shared" si="42"/>
        <v>0</v>
      </c>
    </row>
    <row r="496" spans="12:20" ht="18.75" customHeight="1" x14ac:dyDescent="0.35">
      <c r="L496" s="404"/>
      <c r="M496" s="404"/>
      <c r="N496" s="404"/>
      <c r="Q496" s="227">
        <f t="shared" si="43"/>
        <v>0</v>
      </c>
      <c r="T496" s="426">
        <f t="shared" si="42"/>
        <v>0</v>
      </c>
    </row>
    <row r="497" spans="12:20" ht="18.75" customHeight="1" x14ac:dyDescent="0.35">
      <c r="L497" s="404"/>
      <c r="M497" s="404"/>
      <c r="N497" s="404"/>
      <c r="Q497" s="227">
        <f t="shared" si="43"/>
        <v>0</v>
      </c>
      <c r="T497" s="426">
        <f t="shared" si="42"/>
        <v>0</v>
      </c>
    </row>
    <row r="498" spans="12:20" ht="18.75" customHeight="1" x14ac:dyDescent="0.35">
      <c r="L498" s="404"/>
      <c r="M498" s="404"/>
      <c r="N498" s="404"/>
      <c r="Q498" s="227">
        <f t="shared" si="43"/>
        <v>0</v>
      </c>
      <c r="T498" s="426">
        <f t="shared" si="42"/>
        <v>0</v>
      </c>
    </row>
    <row r="499" spans="12:20" ht="18.75" customHeight="1" x14ac:dyDescent="0.35">
      <c r="L499" s="404"/>
      <c r="M499" s="404"/>
      <c r="N499" s="404"/>
      <c r="Q499" s="227">
        <f t="shared" si="43"/>
        <v>0</v>
      </c>
      <c r="T499" s="426">
        <f t="shared" si="42"/>
        <v>0</v>
      </c>
    </row>
    <row r="500" spans="12:20" ht="18.75" customHeight="1" x14ac:dyDescent="0.35">
      <c r="L500" s="404"/>
      <c r="M500" s="404"/>
      <c r="N500" s="404"/>
      <c r="Q500" s="227">
        <f t="shared" si="43"/>
        <v>0</v>
      </c>
      <c r="T500" s="426">
        <f t="shared" si="42"/>
        <v>0</v>
      </c>
    </row>
    <row r="501" spans="12:20" ht="18.75" customHeight="1" x14ac:dyDescent="0.35">
      <c r="L501" s="404"/>
      <c r="M501" s="404"/>
      <c r="N501" s="404"/>
      <c r="Q501" s="227">
        <f t="shared" si="43"/>
        <v>0</v>
      </c>
      <c r="T501" s="426">
        <f t="shared" si="42"/>
        <v>0</v>
      </c>
    </row>
    <row r="502" spans="12:20" ht="18.75" customHeight="1" x14ac:dyDescent="0.35">
      <c r="L502" s="404"/>
      <c r="M502" s="404"/>
      <c r="N502" s="404"/>
      <c r="Q502" s="227">
        <f t="shared" si="43"/>
        <v>0</v>
      </c>
      <c r="T502" s="426">
        <f t="shared" si="42"/>
        <v>0</v>
      </c>
    </row>
    <row r="503" spans="12:20" ht="18.75" customHeight="1" x14ac:dyDescent="0.35">
      <c r="L503" s="404"/>
      <c r="M503" s="404"/>
      <c r="N503" s="404"/>
      <c r="Q503" s="227">
        <f t="shared" si="43"/>
        <v>0</v>
      </c>
      <c r="T503" s="426">
        <f t="shared" si="42"/>
        <v>0</v>
      </c>
    </row>
    <row r="504" spans="12:20" ht="18.75" customHeight="1" x14ac:dyDescent="0.35">
      <c r="L504" s="404"/>
      <c r="M504" s="404"/>
      <c r="N504" s="404"/>
      <c r="Q504" s="227">
        <f t="shared" si="43"/>
        <v>0</v>
      </c>
      <c r="T504" s="426">
        <f t="shared" si="42"/>
        <v>0</v>
      </c>
    </row>
    <row r="505" spans="12:20" ht="18.75" customHeight="1" x14ac:dyDescent="0.35">
      <c r="L505" s="404"/>
      <c r="M505" s="404"/>
      <c r="N505" s="404"/>
      <c r="Q505" s="227">
        <f t="shared" si="43"/>
        <v>0</v>
      </c>
      <c r="T505" s="426">
        <f t="shared" si="42"/>
        <v>0</v>
      </c>
    </row>
    <row r="506" spans="12:20" ht="18.75" customHeight="1" x14ac:dyDescent="0.35">
      <c r="L506" s="404"/>
      <c r="M506" s="404"/>
      <c r="N506" s="404"/>
      <c r="Q506" s="227">
        <f t="shared" si="43"/>
        <v>0</v>
      </c>
      <c r="T506" s="426">
        <f t="shared" si="42"/>
        <v>0</v>
      </c>
    </row>
    <row r="507" spans="12:20" ht="18.75" customHeight="1" x14ac:dyDescent="0.35">
      <c r="L507" s="404"/>
      <c r="M507" s="404"/>
      <c r="N507" s="404"/>
      <c r="Q507" s="227">
        <f t="shared" si="43"/>
        <v>0</v>
      </c>
      <c r="T507" s="426">
        <f t="shared" si="42"/>
        <v>0</v>
      </c>
    </row>
    <row r="508" spans="12:20" ht="18.75" customHeight="1" x14ac:dyDescent="0.35">
      <c r="L508" s="404"/>
      <c r="M508" s="404"/>
      <c r="N508" s="404"/>
      <c r="Q508" s="227">
        <f t="shared" si="43"/>
        <v>0</v>
      </c>
      <c r="T508" s="426">
        <f t="shared" si="42"/>
        <v>0</v>
      </c>
    </row>
    <row r="509" spans="12:20" ht="18.75" customHeight="1" x14ac:dyDescent="0.35">
      <c r="L509" s="404"/>
      <c r="M509" s="404"/>
      <c r="N509" s="404"/>
      <c r="Q509" s="227">
        <f t="shared" si="43"/>
        <v>0</v>
      </c>
      <c r="T509" s="426">
        <f t="shared" si="42"/>
        <v>0</v>
      </c>
    </row>
    <row r="510" spans="12:20" ht="18.75" customHeight="1" x14ac:dyDescent="0.35">
      <c r="L510" s="404"/>
      <c r="M510" s="404"/>
      <c r="N510" s="404"/>
      <c r="Q510" s="227">
        <f t="shared" si="43"/>
        <v>0</v>
      </c>
      <c r="T510" s="426">
        <f t="shared" si="42"/>
        <v>0</v>
      </c>
    </row>
    <row r="511" spans="12:20" ht="18.75" customHeight="1" x14ac:dyDescent="0.35">
      <c r="L511" s="404"/>
      <c r="M511" s="404"/>
      <c r="N511" s="404"/>
      <c r="Q511" s="227">
        <f t="shared" si="43"/>
        <v>0</v>
      </c>
      <c r="T511" s="426">
        <f t="shared" si="42"/>
        <v>0</v>
      </c>
    </row>
    <row r="512" spans="12:20" ht="18.75" customHeight="1" x14ac:dyDescent="0.35">
      <c r="L512" s="404"/>
      <c r="M512" s="404"/>
      <c r="N512" s="404"/>
      <c r="Q512" s="227">
        <f t="shared" si="43"/>
        <v>0</v>
      </c>
      <c r="T512" s="426">
        <f t="shared" si="42"/>
        <v>0</v>
      </c>
    </row>
    <row r="513" spans="12:20" ht="18.75" customHeight="1" x14ac:dyDescent="0.35">
      <c r="L513" s="404"/>
      <c r="M513" s="404"/>
      <c r="N513" s="404"/>
      <c r="Q513" s="227">
        <f t="shared" si="43"/>
        <v>0</v>
      </c>
      <c r="T513" s="426">
        <f t="shared" si="42"/>
        <v>0</v>
      </c>
    </row>
    <row r="514" spans="12:20" ht="18.75" customHeight="1" x14ac:dyDescent="0.35">
      <c r="L514" s="404"/>
      <c r="M514" s="404"/>
      <c r="N514" s="404"/>
      <c r="Q514" s="227">
        <f t="shared" si="43"/>
        <v>0</v>
      </c>
      <c r="T514" s="426">
        <f t="shared" si="42"/>
        <v>0</v>
      </c>
    </row>
    <row r="515" spans="12:20" ht="18.75" customHeight="1" x14ac:dyDescent="0.35">
      <c r="L515" s="404"/>
      <c r="M515" s="404"/>
      <c r="N515" s="404"/>
      <c r="Q515" s="227">
        <f t="shared" si="43"/>
        <v>0</v>
      </c>
      <c r="T515" s="426">
        <f t="shared" si="42"/>
        <v>0</v>
      </c>
    </row>
    <row r="516" spans="12:20" ht="18.75" customHeight="1" x14ac:dyDescent="0.35">
      <c r="L516" s="404"/>
      <c r="M516" s="404"/>
      <c r="N516" s="404"/>
      <c r="Q516" s="227">
        <f t="shared" si="43"/>
        <v>0</v>
      </c>
      <c r="T516" s="426">
        <f t="shared" si="42"/>
        <v>0</v>
      </c>
    </row>
    <row r="517" spans="12:20" ht="18.75" customHeight="1" x14ac:dyDescent="0.35">
      <c r="L517" s="404"/>
      <c r="M517" s="404"/>
      <c r="N517" s="404"/>
      <c r="Q517" s="227">
        <f t="shared" si="43"/>
        <v>0</v>
      </c>
      <c r="T517" s="426">
        <f t="shared" si="42"/>
        <v>0</v>
      </c>
    </row>
    <row r="518" spans="12:20" ht="18.75" customHeight="1" x14ac:dyDescent="0.35">
      <c r="L518" s="404"/>
      <c r="M518" s="404"/>
      <c r="N518" s="404"/>
      <c r="Q518" s="227">
        <f t="shared" si="43"/>
        <v>0</v>
      </c>
      <c r="T518" s="426">
        <f t="shared" ref="T518:T581" si="44">R518*$T$2</f>
        <v>0</v>
      </c>
    </row>
    <row r="519" spans="12:20" ht="18.75" customHeight="1" x14ac:dyDescent="0.35">
      <c r="L519" s="404"/>
      <c r="M519" s="404"/>
      <c r="N519" s="404"/>
      <c r="Q519" s="227">
        <f t="shared" si="43"/>
        <v>0</v>
      </c>
      <c r="T519" s="426">
        <f t="shared" si="44"/>
        <v>0</v>
      </c>
    </row>
    <row r="520" spans="12:20" ht="18.75" customHeight="1" x14ac:dyDescent="0.35">
      <c r="L520" s="404"/>
      <c r="M520" s="404"/>
      <c r="N520" s="404"/>
      <c r="Q520" s="227">
        <f t="shared" si="43"/>
        <v>0</v>
      </c>
      <c r="T520" s="426">
        <f t="shared" si="44"/>
        <v>0</v>
      </c>
    </row>
    <row r="521" spans="12:20" ht="18.75" customHeight="1" x14ac:dyDescent="0.35">
      <c r="L521" s="404"/>
      <c r="M521" s="404"/>
      <c r="N521" s="404"/>
      <c r="Q521" s="227">
        <f t="shared" si="43"/>
        <v>0</v>
      </c>
      <c r="T521" s="426">
        <f t="shared" si="44"/>
        <v>0</v>
      </c>
    </row>
    <row r="522" spans="12:20" ht="18.75" customHeight="1" x14ac:dyDescent="0.35">
      <c r="L522" s="404"/>
      <c r="M522" s="404"/>
      <c r="N522" s="404"/>
      <c r="Q522" s="227">
        <f t="shared" si="43"/>
        <v>0</v>
      </c>
      <c r="T522" s="426">
        <f t="shared" si="44"/>
        <v>0</v>
      </c>
    </row>
    <row r="523" spans="12:20" ht="18.75" customHeight="1" x14ac:dyDescent="0.35">
      <c r="L523" s="404"/>
      <c r="M523" s="404"/>
      <c r="N523" s="404"/>
      <c r="Q523" s="227">
        <f t="shared" si="43"/>
        <v>0</v>
      </c>
      <c r="T523" s="426">
        <f t="shared" si="44"/>
        <v>0</v>
      </c>
    </row>
    <row r="524" spans="12:20" ht="18.75" customHeight="1" x14ac:dyDescent="0.35">
      <c r="L524" s="404"/>
      <c r="M524" s="404"/>
      <c r="N524" s="404"/>
      <c r="Q524" s="227">
        <f t="shared" si="43"/>
        <v>0</v>
      </c>
      <c r="T524" s="426">
        <f t="shared" si="44"/>
        <v>0</v>
      </c>
    </row>
    <row r="525" spans="12:20" ht="18.75" customHeight="1" x14ac:dyDescent="0.35">
      <c r="L525" s="404"/>
      <c r="M525" s="404"/>
      <c r="N525" s="404"/>
      <c r="Q525" s="227">
        <f t="shared" si="43"/>
        <v>0</v>
      </c>
      <c r="T525" s="426">
        <f t="shared" si="44"/>
        <v>0</v>
      </c>
    </row>
    <row r="526" spans="12:20" ht="18.75" customHeight="1" x14ac:dyDescent="0.35">
      <c r="L526" s="404"/>
      <c r="M526" s="404"/>
      <c r="N526" s="404"/>
      <c r="Q526" s="227">
        <f t="shared" si="43"/>
        <v>0</v>
      </c>
      <c r="T526" s="426">
        <f t="shared" si="44"/>
        <v>0</v>
      </c>
    </row>
    <row r="527" spans="12:20" ht="18.75" customHeight="1" x14ac:dyDescent="0.35">
      <c r="L527" s="404"/>
      <c r="M527" s="404"/>
      <c r="N527" s="404"/>
      <c r="Q527" s="227">
        <f t="shared" si="43"/>
        <v>0</v>
      </c>
      <c r="T527" s="426">
        <f t="shared" si="44"/>
        <v>0</v>
      </c>
    </row>
    <row r="528" spans="12:20" ht="18.75" customHeight="1" x14ac:dyDescent="0.35">
      <c r="L528" s="404"/>
      <c r="M528" s="404"/>
      <c r="N528" s="404"/>
      <c r="Q528" s="227">
        <f t="shared" si="43"/>
        <v>0</v>
      </c>
      <c r="T528" s="426">
        <f t="shared" si="44"/>
        <v>0</v>
      </c>
    </row>
    <row r="529" spans="12:20" ht="18.75" customHeight="1" x14ac:dyDescent="0.35">
      <c r="L529" s="404"/>
      <c r="M529" s="404"/>
      <c r="N529" s="404"/>
      <c r="Q529" s="227">
        <f t="shared" si="43"/>
        <v>0</v>
      </c>
      <c r="T529" s="426">
        <f t="shared" si="44"/>
        <v>0</v>
      </c>
    </row>
    <row r="530" spans="12:20" ht="18.75" customHeight="1" x14ac:dyDescent="0.35">
      <c r="L530" s="404"/>
      <c r="M530" s="404"/>
      <c r="N530" s="404"/>
      <c r="Q530" s="227">
        <f t="shared" si="43"/>
        <v>0</v>
      </c>
      <c r="T530" s="426">
        <f t="shared" si="44"/>
        <v>0</v>
      </c>
    </row>
    <row r="531" spans="12:20" ht="18.75" customHeight="1" x14ac:dyDescent="0.35">
      <c r="L531" s="404"/>
      <c r="M531" s="404"/>
      <c r="N531" s="404"/>
      <c r="Q531" s="227">
        <f t="shared" si="43"/>
        <v>0</v>
      </c>
      <c r="T531" s="426">
        <f t="shared" si="44"/>
        <v>0</v>
      </c>
    </row>
    <row r="532" spans="12:20" ht="18.75" customHeight="1" x14ac:dyDescent="0.35">
      <c r="L532" s="404"/>
      <c r="M532" s="404"/>
      <c r="N532" s="404"/>
      <c r="Q532" s="227">
        <f t="shared" si="43"/>
        <v>0</v>
      </c>
      <c r="T532" s="426">
        <f t="shared" si="44"/>
        <v>0</v>
      </c>
    </row>
    <row r="533" spans="12:20" ht="18.75" customHeight="1" x14ac:dyDescent="0.35">
      <c r="L533" s="404"/>
      <c r="M533" s="404"/>
      <c r="N533" s="404"/>
      <c r="Q533" s="227">
        <f t="shared" si="43"/>
        <v>0</v>
      </c>
      <c r="T533" s="426">
        <f t="shared" si="44"/>
        <v>0</v>
      </c>
    </row>
    <row r="534" spans="12:20" ht="18.75" customHeight="1" x14ac:dyDescent="0.35">
      <c r="L534" s="404"/>
      <c r="M534" s="404"/>
      <c r="N534" s="404"/>
      <c r="Q534" s="227">
        <f t="shared" si="43"/>
        <v>0</v>
      </c>
      <c r="T534" s="426">
        <f t="shared" si="44"/>
        <v>0</v>
      </c>
    </row>
    <row r="535" spans="12:20" ht="18.75" customHeight="1" x14ac:dyDescent="0.35">
      <c r="L535" s="404"/>
      <c r="M535" s="404"/>
      <c r="N535" s="404"/>
      <c r="Q535" s="227">
        <f t="shared" si="43"/>
        <v>0</v>
      </c>
      <c r="T535" s="426">
        <f t="shared" si="44"/>
        <v>0</v>
      </c>
    </row>
    <row r="536" spans="12:20" ht="18.75" customHeight="1" x14ac:dyDescent="0.35">
      <c r="L536" s="404"/>
      <c r="M536" s="404"/>
      <c r="N536" s="404"/>
      <c r="Q536" s="227">
        <f t="shared" si="43"/>
        <v>0</v>
      </c>
      <c r="T536" s="426">
        <f t="shared" si="44"/>
        <v>0</v>
      </c>
    </row>
    <row r="537" spans="12:20" ht="18.75" customHeight="1" x14ac:dyDescent="0.35">
      <c r="L537" s="404"/>
      <c r="M537" s="404"/>
      <c r="N537" s="404"/>
      <c r="Q537" s="227">
        <f t="shared" si="43"/>
        <v>0</v>
      </c>
      <c r="T537" s="426">
        <f t="shared" si="44"/>
        <v>0</v>
      </c>
    </row>
    <row r="538" spans="12:20" ht="18.75" customHeight="1" x14ac:dyDescent="0.35">
      <c r="L538" s="404"/>
      <c r="M538" s="404"/>
      <c r="N538" s="404"/>
      <c r="Q538" s="227">
        <f t="shared" si="43"/>
        <v>0</v>
      </c>
      <c r="T538" s="426">
        <f t="shared" si="44"/>
        <v>0</v>
      </c>
    </row>
    <row r="539" spans="12:20" ht="18.75" customHeight="1" x14ac:dyDescent="0.35">
      <c r="L539" s="404"/>
      <c r="M539" s="404"/>
      <c r="N539" s="404"/>
      <c r="Q539" s="227">
        <f t="shared" si="43"/>
        <v>0</v>
      </c>
      <c r="T539" s="426">
        <f t="shared" si="44"/>
        <v>0</v>
      </c>
    </row>
    <row r="540" spans="12:20" ht="18.75" customHeight="1" x14ac:dyDescent="0.35">
      <c r="L540" s="404"/>
      <c r="M540" s="404"/>
      <c r="N540" s="404"/>
      <c r="Q540" s="227">
        <f t="shared" si="43"/>
        <v>0</v>
      </c>
      <c r="T540" s="426">
        <f t="shared" si="44"/>
        <v>0</v>
      </c>
    </row>
    <row r="541" spans="12:20" ht="18.75" customHeight="1" x14ac:dyDescent="0.35">
      <c r="L541" s="404"/>
      <c r="M541" s="404"/>
      <c r="N541" s="404"/>
      <c r="Q541" s="227">
        <f t="shared" si="43"/>
        <v>0</v>
      </c>
      <c r="T541" s="426">
        <f t="shared" si="44"/>
        <v>0</v>
      </c>
    </row>
    <row r="542" spans="12:20" ht="18.75" customHeight="1" x14ac:dyDescent="0.35">
      <c r="L542" s="404"/>
      <c r="M542" s="404"/>
      <c r="N542" s="404"/>
      <c r="Q542" s="227">
        <f t="shared" si="43"/>
        <v>0</v>
      </c>
      <c r="T542" s="426">
        <f t="shared" si="44"/>
        <v>0</v>
      </c>
    </row>
    <row r="543" spans="12:20" ht="18.75" customHeight="1" x14ac:dyDescent="0.35">
      <c r="L543" s="404"/>
      <c r="M543" s="404"/>
      <c r="N543" s="404"/>
      <c r="Q543" s="227">
        <f t="shared" si="43"/>
        <v>0</v>
      </c>
      <c r="T543" s="426">
        <f t="shared" si="44"/>
        <v>0</v>
      </c>
    </row>
    <row r="544" spans="12:20" ht="18.75" customHeight="1" x14ac:dyDescent="0.35">
      <c r="L544" s="404"/>
      <c r="M544" s="404"/>
      <c r="N544" s="404"/>
      <c r="Q544" s="227">
        <f t="shared" ref="Q544:Q572" si="45">_xlfn.XLOOKUP(F544, AE:AE, AF:AF) * G544</f>
        <v>0</v>
      </c>
      <c r="T544" s="426">
        <f t="shared" si="44"/>
        <v>0</v>
      </c>
    </row>
    <row r="545" spans="12:20" ht="18.75" customHeight="1" x14ac:dyDescent="0.35">
      <c r="L545" s="404"/>
      <c r="M545" s="404"/>
      <c r="N545" s="404"/>
      <c r="Q545" s="227">
        <f t="shared" si="45"/>
        <v>0</v>
      </c>
      <c r="T545" s="426">
        <f t="shared" si="44"/>
        <v>0</v>
      </c>
    </row>
    <row r="546" spans="12:20" ht="18.75" customHeight="1" x14ac:dyDescent="0.35">
      <c r="L546" s="404"/>
      <c r="M546" s="404"/>
      <c r="N546" s="404"/>
      <c r="Q546" s="227">
        <f t="shared" si="45"/>
        <v>0</v>
      </c>
      <c r="T546" s="426">
        <f t="shared" si="44"/>
        <v>0</v>
      </c>
    </row>
    <row r="547" spans="12:20" ht="18.75" customHeight="1" x14ac:dyDescent="0.35">
      <c r="L547" s="404"/>
      <c r="M547" s="404"/>
      <c r="N547" s="404"/>
      <c r="Q547" s="227">
        <f t="shared" si="45"/>
        <v>0</v>
      </c>
      <c r="T547" s="426">
        <f t="shared" si="44"/>
        <v>0</v>
      </c>
    </row>
    <row r="548" spans="12:20" ht="18.75" customHeight="1" x14ac:dyDescent="0.35">
      <c r="L548" s="404"/>
      <c r="M548" s="404"/>
      <c r="N548" s="404"/>
      <c r="Q548" s="227">
        <f t="shared" si="45"/>
        <v>0</v>
      </c>
      <c r="T548" s="426">
        <f t="shared" si="44"/>
        <v>0</v>
      </c>
    </row>
    <row r="549" spans="12:20" ht="18.75" customHeight="1" x14ac:dyDescent="0.35">
      <c r="L549" s="404"/>
      <c r="M549" s="404"/>
      <c r="N549" s="404"/>
      <c r="Q549" s="227">
        <f t="shared" si="45"/>
        <v>0</v>
      </c>
      <c r="T549" s="426">
        <f t="shared" si="44"/>
        <v>0</v>
      </c>
    </row>
    <row r="550" spans="12:20" ht="18.75" customHeight="1" x14ac:dyDescent="0.35">
      <c r="L550" s="404"/>
      <c r="M550" s="404"/>
      <c r="N550" s="404"/>
      <c r="Q550" s="227">
        <f t="shared" si="45"/>
        <v>0</v>
      </c>
      <c r="T550" s="426">
        <f t="shared" si="44"/>
        <v>0</v>
      </c>
    </row>
    <row r="551" spans="12:20" ht="18.75" customHeight="1" x14ac:dyDescent="0.35">
      <c r="L551" s="404"/>
      <c r="M551" s="404"/>
      <c r="N551" s="404"/>
      <c r="Q551" s="227">
        <f t="shared" si="45"/>
        <v>0</v>
      </c>
      <c r="T551" s="426">
        <f t="shared" si="44"/>
        <v>0</v>
      </c>
    </row>
    <row r="552" spans="12:20" ht="18.75" customHeight="1" x14ac:dyDescent="0.35">
      <c r="L552" s="404"/>
      <c r="M552" s="404"/>
      <c r="N552" s="404"/>
      <c r="Q552" s="227">
        <f t="shared" si="45"/>
        <v>0</v>
      </c>
      <c r="T552" s="426">
        <f t="shared" si="44"/>
        <v>0</v>
      </c>
    </row>
    <row r="553" spans="12:20" ht="18.75" customHeight="1" x14ac:dyDescent="0.35">
      <c r="L553" s="404"/>
      <c r="M553" s="404"/>
      <c r="N553" s="404"/>
      <c r="Q553" s="227">
        <f t="shared" si="45"/>
        <v>0</v>
      </c>
      <c r="T553" s="426">
        <f t="shared" si="44"/>
        <v>0</v>
      </c>
    </row>
    <row r="554" spans="12:20" ht="18.75" customHeight="1" x14ac:dyDescent="0.35">
      <c r="L554" s="404"/>
      <c r="M554" s="404"/>
      <c r="N554" s="404"/>
      <c r="Q554" s="227">
        <f t="shared" si="45"/>
        <v>0</v>
      </c>
      <c r="T554" s="426">
        <f t="shared" si="44"/>
        <v>0</v>
      </c>
    </row>
    <row r="555" spans="12:20" ht="18.75" customHeight="1" x14ac:dyDescent="0.35">
      <c r="L555" s="404"/>
      <c r="M555" s="404"/>
      <c r="N555" s="404"/>
      <c r="Q555" s="227">
        <f t="shared" si="45"/>
        <v>0</v>
      </c>
      <c r="T555" s="426">
        <f t="shared" si="44"/>
        <v>0</v>
      </c>
    </row>
    <row r="556" spans="12:20" ht="18.75" customHeight="1" x14ac:dyDescent="0.35">
      <c r="L556" s="404"/>
      <c r="M556" s="404"/>
      <c r="N556" s="404"/>
      <c r="Q556" s="227">
        <f t="shared" si="45"/>
        <v>0</v>
      </c>
      <c r="T556" s="426">
        <f t="shared" si="44"/>
        <v>0</v>
      </c>
    </row>
    <row r="557" spans="12:20" ht="18.75" customHeight="1" x14ac:dyDescent="0.35">
      <c r="L557" s="404"/>
      <c r="M557" s="404"/>
      <c r="N557" s="404"/>
      <c r="Q557" s="227">
        <f t="shared" si="45"/>
        <v>0</v>
      </c>
      <c r="T557" s="426">
        <f t="shared" si="44"/>
        <v>0</v>
      </c>
    </row>
    <row r="558" spans="12:20" ht="18.75" customHeight="1" x14ac:dyDescent="0.35">
      <c r="L558" s="404"/>
      <c r="M558" s="404"/>
      <c r="N558" s="404"/>
      <c r="Q558" s="227">
        <f t="shared" si="45"/>
        <v>0</v>
      </c>
      <c r="T558" s="426">
        <f t="shared" si="44"/>
        <v>0</v>
      </c>
    </row>
    <row r="559" spans="12:20" ht="18.75" customHeight="1" x14ac:dyDescent="0.35">
      <c r="L559" s="404"/>
      <c r="M559" s="404"/>
      <c r="N559" s="404"/>
      <c r="Q559" s="227">
        <f t="shared" si="45"/>
        <v>0</v>
      </c>
      <c r="T559" s="426">
        <f t="shared" si="44"/>
        <v>0</v>
      </c>
    </row>
    <row r="560" spans="12:20" ht="18.75" customHeight="1" x14ac:dyDescent="0.35">
      <c r="L560" s="404"/>
      <c r="M560" s="404"/>
      <c r="N560" s="404"/>
      <c r="Q560" s="227">
        <f t="shared" si="45"/>
        <v>0</v>
      </c>
      <c r="T560" s="426">
        <f t="shared" si="44"/>
        <v>0</v>
      </c>
    </row>
    <row r="561" spans="12:20" ht="18.75" customHeight="1" x14ac:dyDescent="0.35">
      <c r="L561" s="404"/>
      <c r="M561" s="404"/>
      <c r="N561" s="404"/>
      <c r="Q561" s="227">
        <f t="shared" si="45"/>
        <v>0</v>
      </c>
      <c r="T561" s="426">
        <f t="shared" si="44"/>
        <v>0</v>
      </c>
    </row>
    <row r="562" spans="12:20" ht="18.75" customHeight="1" x14ac:dyDescent="0.35">
      <c r="L562" s="404"/>
      <c r="M562" s="404"/>
      <c r="N562" s="404"/>
      <c r="Q562" s="227">
        <f t="shared" si="45"/>
        <v>0</v>
      </c>
      <c r="T562" s="426">
        <f t="shared" si="44"/>
        <v>0</v>
      </c>
    </row>
    <row r="563" spans="12:20" ht="18.75" customHeight="1" x14ac:dyDescent="0.35">
      <c r="L563" s="404"/>
      <c r="M563" s="404"/>
      <c r="N563" s="404"/>
      <c r="Q563" s="227">
        <f t="shared" si="45"/>
        <v>0</v>
      </c>
      <c r="T563" s="426">
        <f t="shared" si="44"/>
        <v>0</v>
      </c>
    </row>
    <row r="564" spans="12:20" ht="18.75" customHeight="1" x14ac:dyDescent="0.35">
      <c r="L564" s="404"/>
      <c r="M564" s="404"/>
      <c r="N564" s="404"/>
      <c r="Q564" s="227">
        <f t="shared" si="45"/>
        <v>0</v>
      </c>
      <c r="T564" s="426">
        <f t="shared" si="44"/>
        <v>0</v>
      </c>
    </row>
    <row r="565" spans="12:20" ht="18.75" customHeight="1" x14ac:dyDescent="0.35">
      <c r="L565" s="404"/>
      <c r="M565" s="404"/>
      <c r="N565" s="404"/>
      <c r="Q565" s="227">
        <f t="shared" si="45"/>
        <v>0</v>
      </c>
      <c r="T565" s="426">
        <f t="shared" si="44"/>
        <v>0</v>
      </c>
    </row>
    <row r="566" spans="12:20" ht="18.75" customHeight="1" x14ac:dyDescent="0.35">
      <c r="L566" s="404"/>
      <c r="M566" s="404"/>
      <c r="N566" s="404"/>
      <c r="Q566" s="227">
        <f t="shared" si="45"/>
        <v>0</v>
      </c>
      <c r="T566" s="426">
        <f t="shared" si="44"/>
        <v>0</v>
      </c>
    </row>
    <row r="567" spans="12:20" ht="18.75" customHeight="1" x14ac:dyDescent="0.35">
      <c r="L567" s="404"/>
      <c r="M567" s="404"/>
      <c r="N567" s="404"/>
      <c r="Q567" s="227">
        <f t="shared" si="45"/>
        <v>0</v>
      </c>
      <c r="T567" s="426">
        <f t="shared" si="44"/>
        <v>0</v>
      </c>
    </row>
    <row r="568" spans="12:20" ht="18.75" customHeight="1" x14ac:dyDescent="0.35">
      <c r="L568" s="404"/>
      <c r="M568" s="404"/>
      <c r="N568" s="404"/>
      <c r="Q568" s="227">
        <f t="shared" si="45"/>
        <v>0</v>
      </c>
      <c r="T568" s="426">
        <f t="shared" si="44"/>
        <v>0</v>
      </c>
    </row>
    <row r="569" spans="12:20" ht="18.75" customHeight="1" x14ac:dyDescent="0.35">
      <c r="L569" s="404"/>
      <c r="M569" s="404"/>
      <c r="N569" s="404"/>
      <c r="Q569" s="227">
        <f t="shared" si="45"/>
        <v>0</v>
      </c>
      <c r="T569" s="426">
        <f t="shared" si="44"/>
        <v>0</v>
      </c>
    </row>
    <row r="570" spans="12:20" ht="18.75" customHeight="1" x14ac:dyDescent="0.35">
      <c r="L570" s="404"/>
      <c r="M570" s="404"/>
      <c r="N570" s="404"/>
      <c r="Q570" s="227">
        <f t="shared" si="45"/>
        <v>0</v>
      </c>
      <c r="T570" s="426">
        <f t="shared" si="44"/>
        <v>0</v>
      </c>
    </row>
    <row r="571" spans="12:20" ht="18.75" customHeight="1" x14ac:dyDescent="0.35">
      <c r="L571" s="404"/>
      <c r="M571" s="404"/>
      <c r="N571" s="404"/>
      <c r="Q571" s="227">
        <f t="shared" si="45"/>
        <v>0</v>
      </c>
      <c r="T571" s="426">
        <f t="shared" si="44"/>
        <v>0</v>
      </c>
    </row>
    <row r="572" spans="12:20" ht="18.75" customHeight="1" x14ac:dyDescent="0.35">
      <c r="L572" s="404"/>
      <c r="M572" s="404"/>
      <c r="N572" s="404"/>
      <c r="Q572" s="227">
        <f t="shared" si="45"/>
        <v>0</v>
      </c>
      <c r="T572" s="426">
        <f t="shared" si="44"/>
        <v>0</v>
      </c>
    </row>
    <row r="573" spans="12:20" ht="18.75" customHeight="1" x14ac:dyDescent="0.35">
      <c r="L573" s="404"/>
      <c r="M573" s="404"/>
      <c r="N573" s="404"/>
      <c r="T573" s="426">
        <f t="shared" si="44"/>
        <v>0</v>
      </c>
    </row>
    <row r="574" spans="12:20" ht="18.75" customHeight="1" x14ac:dyDescent="0.35">
      <c r="L574" s="404"/>
      <c r="M574" s="404"/>
      <c r="N574" s="404"/>
      <c r="T574" s="426">
        <f t="shared" si="44"/>
        <v>0</v>
      </c>
    </row>
    <row r="575" spans="12:20" ht="18.75" customHeight="1" x14ac:dyDescent="0.35">
      <c r="L575" s="404"/>
      <c r="M575" s="404"/>
      <c r="N575" s="404"/>
      <c r="T575" s="426">
        <f t="shared" si="44"/>
        <v>0</v>
      </c>
    </row>
    <row r="576" spans="12:20" ht="18.75" customHeight="1" x14ac:dyDescent="0.35">
      <c r="L576" s="404"/>
      <c r="M576" s="404"/>
      <c r="N576" s="404"/>
      <c r="T576" s="426">
        <f t="shared" si="44"/>
        <v>0</v>
      </c>
    </row>
    <row r="577" spans="12:20" ht="18.75" customHeight="1" x14ac:dyDescent="0.35">
      <c r="L577" s="404"/>
      <c r="M577" s="404"/>
      <c r="N577" s="404"/>
      <c r="T577" s="426">
        <f t="shared" si="44"/>
        <v>0</v>
      </c>
    </row>
    <row r="578" spans="12:20" ht="18.75" customHeight="1" x14ac:dyDescent="0.35">
      <c r="L578" s="404"/>
      <c r="M578" s="404"/>
      <c r="N578" s="404"/>
      <c r="T578" s="426">
        <f t="shared" si="44"/>
        <v>0</v>
      </c>
    </row>
    <row r="579" spans="12:20" ht="18.75" customHeight="1" x14ac:dyDescent="0.35">
      <c r="L579" s="404"/>
      <c r="M579" s="404"/>
      <c r="N579" s="404"/>
      <c r="T579" s="426">
        <f t="shared" si="44"/>
        <v>0</v>
      </c>
    </row>
    <row r="580" spans="12:20" ht="18.75" customHeight="1" x14ac:dyDescent="0.35">
      <c r="L580" s="404"/>
      <c r="M580" s="404"/>
      <c r="N580" s="404"/>
      <c r="T580" s="426">
        <f t="shared" si="44"/>
        <v>0</v>
      </c>
    </row>
    <row r="581" spans="12:20" ht="18.75" customHeight="1" x14ac:dyDescent="0.35">
      <c r="L581" s="404"/>
      <c r="M581" s="404"/>
      <c r="N581" s="404"/>
      <c r="T581" s="426">
        <f t="shared" si="44"/>
        <v>0</v>
      </c>
    </row>
    <row r="582" spans="12:20" ht="18.75" customHeight="1" x14ac:dyDescent="0.35">
      <c r="L582" s="404"/>
      <c r="M582" s="404"/>
      <c r="N582" s="404"/>
      <c r="T582" s="426">
        <f t="shared" ref="T582:T645" si="46">R582*$T$2</f>
        <v>0</v>
      </c>
    </row>
    <row r="583" spans="12:20" ht="18.75" customHeight="1" x14ac:dyDescent="0.35">
      <c r="L583" s="404"/>
      <c r="M583" s="404"/>
      <c r="N583" s="404"/>
      <c r="T583" s="426">
        <f t="shared" si="46"/>
        <v>0</v>
      </c>
    </row>
    <row r="584" spans="12:20" ht="18.75" customHeight="1" x14ac:dyDescent="0.35">
      <c r="L584" s="404"/>
      <c r="M584" s="404"/>
      <c r="N584" s="404"/>
      <c r="T584" s="426">
        <f t="shared" si="46"/>
        <v>0</v>
      </c>
    </row>
    <row r="585" spans="12:20" ht="18.75" customHeight="1" x14ac:dyDescent="0.35">
      <c r="L585" s="404"/>
      <c r="M585" s="404"/>
      <c r="N585" s="404"/>
      <c r="T585" s="426">
        <f t="shared" si="46"/>
        <v>0</v>
      </c>
    </row>
    <row r="586" spans="12:20" ht="18.75" customHeight="1" x14ac:dyDescent="0.35">
      <c r="L586" s="404"/>
      <c r="M586" s="404"/>
      <c r="N586" s="404"/>
      <c r="T586" s="426">
        <f t="shared" si="46"/>
        <v>0</v>
      </c>
    </row>
    <row r="587" spans="12:20" ht="18.75" customHeight="1" x14ac:dyDescent="0.35">
      <c r="L587" s="404"/>
      <c r="M587" s="404"/>
      <c r="N587" s="404"/>
      <c r="T587" s="426">
        <f t="shared" si="46"/>
        <v>0</v>
      </c>
    </row>
    <row r="588" spans="12:20" ht="18.75" customHeight="1" x14ac:dyDescent="0.35">
      <c r="L588" s="404"/>
      <c r="M588" s="404"/>
      <c r="N588" s="404"/>
      <c r="T588" s="426">
        <f t="shared" si="46"/>
        <v>0</v>
      </c>
    </row>
    <row r="589" spans="12:20" ht="18.75" customHeight="1" x14ac:dyDescent="0.35">
      <c r="L589" s="404"/>
      <c r="M589" s="404"/>
      <c r="N589" s="404"/>
      <c r="T589" s="426">
        <f t="shared" si="46"/>
        <v>0</v>
      </c>
    </row>
    <row r="590" spans="12:20" ht="18.75" customHeight="1" x14ac:dyDescent="0.35">
      <c r="L590" s="404"/>
      <c r="M590" s="404"/>
      <c r="N590" s="404"/>
      <c r="T590" s="426">
        <f t="shared" si="46"/>
        <v>0</v>
      </c>
    </row>
    <row r="591" spans="12:20" ht="18.75" customHeight="1" x14ac:dyDescent="0.35">
      <c r="L591" s="404"/>
      <c r="M591" s="404"/>
      <c r="N591" s="404"/>
      <c r="T591" s="426">
        <f t="shared" si="46"/>
        <v>0</v>
      </c>
    </row>
    <row r="592" spans="12:20" ht="18.75" customHeight="1" x14ac:dyDescent="0.35">
      <c r="L592" s="404"/>
      <c r="M592" s="404"/>
      <c r="N592" s="404"/>
      <c r="T592" s="426">
        <f t="shared" si="46"/>
        <v>0</v>
      </c>
    </row>
    <row r="593" spans="12:20" ht="18.75" customHeight="1" x14ac:dyDescent="0.35">
      <c r="L593" s="404"/>
      <c r="M593" s="404"/>
      <c r="N593" s="404"/>
      <c r="T593" s="426">
        <f t="shared" si="46"/>
        <v>0</v>
      </c>
    </row>
    <row r="594" spans="12:20" ht="18.75" customHeight="1" x14ac:dyDescent="0.35">
      <c r="L594" s="404"/>
      <c r="M594" s="404"/>
      <c r="N594" s="404"/>
      <c r="T594" s="426">
        <f t="shared" si="46"/>
        <v>0</v>
      </c>
    </row>
    <row r="595" spans="12:20" ht="18.75" customHeight="1" x14ac:dyDescent="0.35">
      <c r="L595" s="404"/>
      <c r="M595" s="404"/>
      <c r="N595" s="404"/>
      <c r="T595" s="426">
        <f t="shared" si="46"/>
        <v>0</v>
      </c>
    </row>
    <row r="596" spans="12:20" ht="18.75" customHeight="1" x14ac:dyDescent="0.35">
      <c r="L596" s="404"/>
      <c r="M596" s="404"/>
      <c r="N596" s="404"/>
      <c r="T596" s="426">
        <f t="shared" si="46"/>
        <v>0</v>
      </c>
    </row>
    <row r="597" spans="12:20" ht="18.75" customHeight="1" x14ac:dyDescent="0.35">
      <c r="L597" s="404"/>
      <c r="M597" s="404"/>
      <c r="N597" s="404"/>
      <c r="T597" s="426">
        <f t="shared" si="46"/>
        <v>0</v>
      </c>
    </row>
    <row r="598" spans="12:20" ht="18.75" customHeight="1" x14ac:dyDescent="0.35">
      <c r="L598" s="404"/>
      <c r="M598" s="404"/>
      <c r="N598" s="404"/>
      <c r="T598" s="426">
        <f t="shared" si="46"/>
        <v>0</v>
      </c>
    </row>
    <row r="599" spans="12:20" ht="18.75" customHeight="1" x14ac:dyDescent="0.35">
      <c r="L599" s="404"/>
      <c r="M599" s="404"/>
      <c r="N599" s="404"/>
      <c r="T599" s="426">
        <f t="shared" si="46"/>
        <v>0</v>
      </c>
    </row>
    <row r="600" spans="12:20" ht="18.75" customHeight="1" x14ac:dyDescent="0.35">
      <c r="L600" s="404"/>
      <c r="M600" s="404"/>
      <c r="N600" s="404"/>
      <c r="T600" s="426">
        <f t="shared" si="46"/>
        <v>0</v>
      </c>
    </row>
    <row r="601" spans="12:20" ht="18.75" customHeight="1" x14ac:dyDescent="0.35">
      <c r="L601" s="404"/>
      <c r="M601" s="404"/>
      <c r="N601" s="404"/>
      <c r="T601" s="426">
        <f t="shared" si="46"/>
        <v>0</v>
      </c>
    </row>
    <row r="602" spans="12:20" ht="18.75" customHeight="1" x14ac:dyDescent="0.35">
      <c r="L602" s="404"/>
      <c r="M602" s="404"/>
      <c r="N602" s="404"/>
      <c r="T602" s="426">
        <f t="shared" si="46"/>
        <v>0</v>
      </c>
    </row>
    <row r="603" spans="12:20" ht="18.75" customHeight="1" x14ac:dyDescent="0.35">
      <c r="L603" s="404"/>
      <c r="M603" s="404"/>
      <c r="N603" s="404"/>
      <c r="T603" s="426">
        <f t="shared" si="46"/>
        <v>0</v>
      </c>
    </row>
    <row r="604" spans="12:20" ht="18.75" customHeight="1" x14ac:dyDescent="0.35">
      <c r="L604" s="404"/>
      <c r="M604" s="404"/>
      <c r="N604" s="404"/>
      <c r="T604" s="426">
        <f t="shared" si="46"/>
        <v>0</v>
      </c>
    </row>
    <row r="605" spans="12:20" ht="18.75" customHeight="1" x14ac:dyDescent="0.35">
      <c r="L605" s="404"/>
      <c r="M605" s="404"/>
      <c r="N605" s="404"/>
      <c r="T605" s="426">
        <f t="shared" si="46"/>
        <v>0</v>
      </c>
    </row>
    <row r="606" spans="12:20" ht="18.75" customHeight="1" x14ac:dyDescent="0.35">
      <c r="L606" s="404"/>
      <c r="M606" s="404"/>
      <c r="N606" s="404"/>
      <c r="T606" s="426">
        <f t="shared" si="46"/>
        <v>0</v>
      </c>
    </row>
    <row r="607" spans="12:20" ht="18.75" customHeight="1" x14ac:dyDescent="0.35">
      <c r="L607" s="404"/>
      <c r="M607" s="404"/>
      <c r="N607" s="404"/>
      <c r="T607" s="426">
        <f t="shared" si="46"/>
        <v>0</v>
      </c>
    </row>
    <row r="608" spans="12:20" ht="18.75" customHeight="1" x14ac:dyDescent="0.35">
      <c r="L608" s="404"/>
      <c r="M608" s="404"/>
      <c r="N608" s="404"/>
      <c r="T608" s="426">
        <f t="shared" si="46"/>
        <v>0</v>
      </c>
    </row>
    <row r="609" spans="12:20" ht="18.75" customHeight="1" x14ac:dyDescent="0.35">
      <c r="L609" s="404"/>
      <c r="M609" s="404"/>
      <c r="N609" s="404"/>
      <c r="T609" s="426">
        <f t="shared" si="46"/>
        <v>0</v>
      </c>
    </row>
    <row r="610" spans="12:20" ht="18.75" customHeight="1" x14ac:dyDescent="0.35">
      <c r="L610" s="404"/>
      <c r="M610" s="404"/>
      <c r="N610" s="404"/>
      <c r="T610" s="426">
        <f t="shared" si="46"/>
        <v>0</v>
      </c>
    </row>
    <row r="611" spans="12:20" ht="18.75" customHeight="1" x14ac:dyDescent="0.35">
      <c r="L611" s="404"/>
      <c r="M611" s="404"/>
      <c r="N611" s="404"/>
      <c r="T611" s="426">
        <f t="shared" si="46"/>
        <v>0</v>
      </c>
    </row>
    <row r="612" spans="12:20" ht="18.75" customHeight="1" x14ac:dyDescent="0.35">
      <c r="L612" s="404"/>
      <c r="M612" s="404"/>
      <c r="N612" s="404"/>
      <c r="T612" s="426">
        <f t="shared" si="46"/>
        <v>0</v>
      </c>
    </row>
    <row r="613" spans="12:20" ht="18.75" customHeight="1" x14ac:dyDescent="0.35">
      <c r="L613" s="404"/>
      <c r="M613" s="404"/>
      <c r="N613" s="404"/>
      <c r="T613" s="426">
        <f t="shared" si="46"/>
        <v>0</v>
      </c>
    </row>
    <row r="614" spans="12:20" ht="18.75" customHeight="1" x14ac:dyDescent="0.35">
      <c r="L614" s="404"/>
      <c r="M614" s="404"/>
      <c r="N614" s="404"/>
      <c r="T614" s="426">
        <f t="shared" si="46"/>
        <v>0</v>
      </c>
    </row>
    <row r="615" spans="12:20" ht="18.75" customHeight="1" x14ac:dyDescent="0.35">
      <c r="L615" s="404"/>
      <c r="M615" s="404"/>
      <c r="N615" s="404"/>
      <c r="T615" s="426">
        <f t="shared" si="46"/>
        <v>0</v>
      </c>
    </row>
    <row r="616" spans="12:20" ht="18.75" customHeight="1" x14ac:dyDescent="0.35">
      <c r="L616" s="404"/>
      <c r="M616" s="404"/>
      <c r="N616" s="404"/>
      <c r="T616" s="426">
        <f t="shared" si="46"/>
        <v>0</v>
      </c>
    </row>
    <row r="617" spans="12:20" ht="18.75" customHeight="1" x14ac:dyDescent="0.35">
      <c r="L617" s="404"/>
      <c r="M617" s="404"/>
      <c r="N617" s="404"/>
      <c r="T617" s="426">
        <f t="shared" si="46"/>
        <v>0</v>
      </c>
    </row>
    <row r="618" spans="12:20" ht="18.75" customHeight="1" x14ac:dyDescent="0.35">
      <c r="L618" s="404"/>
      <c r="M618" s="404"/>
      <c r="N618" s="404"/>
      <c r="T618" s="426">
        <f t="shared" si="46"/>
        <v>0</v>
      </c>
    </row>
    <row r="619" spans="12:20" ht="18.75" customHeight="1" x14ac:dyDescent="0.35">
      <c r="L619" s="404"/>
      <c r="M619" s="404"/>
      <c r="N619" s="404"/>
      <c r="T619" s="426">
        <f t="shared" si="46"/>
        <v>0</v>
      </c>
    </row>
    <row r="620" spans="12:20" ht="18.75" customHeight="1" x14ac:dyDescent="0.35">
      <c r="L620" s="404"/>
      <c r="M620" s="404"/>
      <c r="N620" s="404"/>
      <c r="T620" s="426">
        <f t="shared" si="46"/>
        <v>0</v>
      </c>
    </row>
    <row r="621" spans="12:20" ht="18.75" customHeight="1" x14ac:dyDescent="0.35">
      <c r="L621" s="404"/>
      <c r="M621" s="404"/>
      <c r="N621" s="404"/>
      <c r="T621" s="426">
        <f t="shared" si="46"/>
        <v>0</v>
      </c>
    </row>
    <row r="622" spans="12:20" ht="18.75" customHeight="1" x14ac:dyDescent="0.35">
      <c r="L622" s="404"/>
      <c r="M622" s="404"/>
      <c r="N622" s="404"/>
      <c r="T622" s="426">
        <f t="shared" si="46"/>
        <v>0</v>
      </c>
    </row>
    <row r="623" spans="12:20" ht="18.75" customHeight="1" x14ac:dyDescent="0.35">
      <c r="L623" s="404"/>
      <c r="M623" s="404"/>
      <c r="N623" s="404"/>
      <c r="T623" s="426">
        <f t="shared" si="46"/>
        <v>0</v>
      </c>
    </row>
    <row r="624" spans="12:20" ht="18.75" customHeight="1" x14ac:dyDescent="0.35">
      <c r="L624" s="404"/>
      <c r="M624" s="404"/>
      <c r="N624" s="404"/>
      <c r="T624" s="426">
        <f t="shared" si="46"/>
        <v>0</v>
      </c>
    </row>
    <row r="625" spans="12:20" ht="18.75" customHeight="1" x14ac:dyDescent="0.35">
      <c r="L625" s="404"/>
      <c r="M625" s="404"/>
      <c r="N625" s="404"/>
      <c r="T625" s="426">
        <f t="shared" si="46"/>
        <v>0</v>
      </c>
    </row>
    <row r="626" spans="12:20" ht="18.75" customHeight="1" x14ac:dyDescent="0.35">
      <c r="L626" s="404"/>
      <c r="M626" s="404"/>
      <c r="N626" s="404"/>
      <c r="T626" s="426">
        <f t="shared" si="46"/>
        <v>0</v>
      </c>
    </row>
    <row r="627" spans="12:20" ht="18.75" customHeight="1" x14ac:dyDescent="0.35">
      <c r="L627" s="404"/>
      <c r="M627" s="404"/>
      <c r="N627" s="404"/>
      <c r="T627" s="426">
        <f t="shared" si="46"/>
        <v>0</v>
      </c>
    </row>
    <row r="628" spans="12:20" ht="18.75" customHeight="1" x14ac:dyDescent="0.35">
      <c r="L628" s="404"/>
      <c r="M628" s="404"/>
      <c r="N628" s="404"/>
      <c r="T628" s="426">
        <f t="shared" si="46"/>
        <v>0</v>
      </c>
    </row>
    <row r="629" spans="12:20" ht="18.75" customHeight="1" x14ac:dyDescent="0.35">
      <c r="L629" s="404"/>
      <c r="M629" s="404"/>
      <c r="N629" s="404"/>
      <c r="T629" s="426">
        <f t="shared" si="46"/>
        <v>0</v>
      </c>
    </row>
    <row r="630" spans="12:20" ht="18.75" customHeight="1" x14ac:dyDescent="0.35">
      <c r="L630" s="404"/>
      <c r="M630" s="404"/>
      <c r="N630" s="404"/>
      <c r="T630" s="426">
        <f t="shared" si="46"/>
        <v>0</v>
      </c>
    </row>
    <row r="631" spans="12:20" ht="18.75" customHeight="1" x14ac:dyDescent="0.35">
      <c r="L631" s="404"/>
      <c r="M631" s="404"/>
      <c r="N631" s="404"/>
      <c r="T631" s="426">
        <f t="shared" si="46"/>
        <v>0</v>
      </c>
    </row>
    <row r="632" spans="12:20" ht="18.75" customHeight="1" x14ac:dyDescent="0.35">
      <c r="L632" s="404"/>
      <c r="M632" s="404"/>
      <c r="N632" s="404"/>
      <c r="T632" s="426">
        <f t="shared" si="46"/>
        <v>0</v>
      </c>
    </row>
    <row r="633" spans="12:20" ht="18.75" customHeight="1" x14ac:dyDescent="0.35">
      <c r="L633" s="404"/>
      <c r="M633" s="404"/>
      <c r="N633" s="404"/>
      <c r="T633" s="426">
        <f t="shared" si="46"/>
        <v>0</v>
      </c>
    </row>
    <row r="634" spans="12:20" ht="18.75" customHeight="1" x14ac:dyDescent="0.35">
      <c r="L634" s="404"/>
      <c r="M634" s="404"/>
      <c r="N634" s="404"/>
      <c r="T634" s="426">
        <f t="shared" si="46"/>
        <v>0</v>
      </c>
    </row>
    <row r="635" spans="12:20" ht="18.75" customHeight="1" x14ac:dyDescent="0.35">
      <c r="L635" s="404"/>
      <c r="M635" s="404"/>
      <c r="N635" s="404"/>
      <c r="T635" s="426">
        <f t="shared" si="46"/>
        <v>0</v>
      </c>
    </row>
    <row r="636" spans="12:20" ht="18.75" customHeight="1" x14ac:dyDescent="0.35">
      <c r="L636" s="404"/>
      <c r="M636" s="404"/>
      <c r="N636" s="404"/>
      <c r="T636" s="426">
        <f t="shared" si="46"/>
        <v>0</v>
      </c>
    </row>
    <row r="637" spans="12:20" ht="18.75" customHeight="1" x14ac:dyDescent="0.35">
      <c r="L637" s="404"/>
      <c r="M637" s="404"/>
      <c r="N637" s="404"/>
      <c r="T637" s="426">
        <f t="shared" si="46"/>
        <v>0</v>
      </c>
    </row>
    <row r="638" spans="12:20" ht="18.75" customHeight="1" x14ac:dyDescent="0.35">
      <c r="L638" s="404"/>
      <c r="M638" s="404"/>
      <c r="N638" s="404"/>
      <c r="T638" s="426">
        <f t="shared" si="46"/>
        <v>0</v>
      </c>
    </row>
    <row r="639" spans="12:20" ht="18.75" customHeight="1" x14ac:dyDescent="0.35">
      <c r="L639" s="404"/>
      <c r="M639" s="404"/>
      <c r="N639" s="404"/>
      <c r="T639" s="426">
        <f t="shared" si="46"/>
        <v>0</v>
      </c>
    </row>
    <row r="640" spans="12:20" ht="18.75" customHeight="1" x14ac:dyDescent="0.35">
      <c r="L640" s="404"/>
      <c r="M640" s="404"/>
      <c r="N640" s="404"/>
      <c r="T640" s="426">
        <f t="shared" si="46"/>
        <v>0</v>
      </c>
    </row>
    <row r="641" spans="12:20" ht="18.75" customHeight="1" x14ac:dyDescent="0.35">
      <c r="L641" s="404"/>
      <c r="M641" s="404"/>
      <c r="N641" s="404"/>
      <c r="T641" s="426">
        <f t="shared" si="46"/>
        <v>0</v>
      </c>
    </row>
    <row r="642" spans="12:20" ht="18.75" customHeight="1" x14ac:dyDescent="0.35">
      <c r="L642" s="404"/>
      <c r="M642" s="404"/>
      <c r="N642" s="404"/>
      <c r="T642" s="426">
        <f t="shared" si="46"/>
        <v>0</v>
      </c>
    </row>
    <row r="643" spans="12:20" ht="18.75" customHeight="1" x14ac:dyDescent="0.35">
      <c r="L643" s="404"/>
      <c r="M643" s="404"/>
      <c r="N643" s="404"/>
      <c r="T643" s="426">
        <f t="shared" si="46"/>
        <v>0</v>
      </c>
    </row>
    <row r="644" spans="12:20" ht="18.75" customHeight="1" x14ac:dyDescent="0.35">
      <c r="L644" s="404"/>
      <c r="M644" s="404"/>
      <c r="N644" s="404"/>
      <c r="T644" s="426">
        <f t="shared" si="46"/>
        <v>0</v>
      </c>
    </row>
    <row r="645" spans="12:20" ht="18.75" customHeight="1" x14ac:dyDescent="0.35">
      <c r="L645" s="404"/>
      <c r="M645" s="404"/>
      <c r="N645" s="404"/>
      <c r="T645" s="426">
        <f t="shared" si="46"/>
        <v>0</v>
      </c>
    </row>
    <row r="646" spans="12:20" ht="18.75" customHeight="1" x14ac:dyDescent="0.35">
      <c r="L646" s="404"/>
      <c r="M646" s="404"/>
      <c r="N646" s="404"/>
      <c r="T646" s="426">
        <f t="shared" ref="T646:T709" si="47">R646*$T$2</f>
        <v>0</v>
      </c>
    </row>
    <row r="647" spans="12:20" ht="18.75" customHeight="1" x14ac:dyDescent="0.35">
      <c r="L647" s="404"/>
      <c r="M647" s="404"/>
      <c r="N647" s="404"/>
      <c r="T647" s="426">
        <f t="shared" si="47"/>
        <v>0</v>
      </c>
    </row>
    <row r="648" spans="12:20" ht="18.75" customHeight="1" x14ac:dyDescent="0.35">
      <c r="L648" s="404"/>
      <c r="M648" s="404"/>
      <c r="N648" s="404"/>
      <c r="T648" s="426">
        <f t="shared" si="47"/>
        <v>0</v>
      </c>
    </row>
    <row r="649" spans="12:20" ht="18.75" customHeight="1" x14ac:dyDescent="0.35">
      <c r="L649" s="404"/>
      <c r="M649" s="404"/>
      <c r="N649" s="404"/>
      <c r="T649" s="426">
        <f t="shared" si="47"/>
        <v>0</v>
      </c>
    </row>
    <row r="650" spans="12:20" ht="18.75" customHeight="1" x14ac:dyDescent="0.35">
      <c r="L650" s="404"/>
      <c r="M650" s="404"/>
      <c r="N650" s="404"/>
      <c r="T650" s="426">
        <f t="shared" si="47"/>
        <v>0</v>
      </c>
    </row>
    <row r="651" spans="12:20" ht="18.75" customHeight="1" x14ac:dyDescent="0.35">
      <c r="L651" s="404"/>
      <c r="M651" s="404"/>
      <c r="N651" s="404"/>
      <c r="T651" s="426">
        <f t="shared" si="47"/>
        <v>0</v>
      </c>
    </row>
    <row r="652" spans="12:20" ht="18.75" customHeight="1" x14ac:dyDescent="0.35">
      <c r="L652" s="404"/>
      <c r="M652" s="404"/>
      <c r="N652" s="404"/>
      <c r="T652" s="426">
        <f t="shared" si="47"/>
        <v>0</v>
      </c>
    </row>
    <row r="653" spans="12:20" ht="18.75" customHeight="1" x14ac:dyDescent="0.35">
      <c r="L653" s="404"/>
      <c r="M653" s="404"/>
      <c r="N653" s="404"/>
      <c r="T653" s="426">
        <f t="shared" si="47"/>
        <v>0</v>
      </c>
    </row>
    <row r="654" spans="12:20" ht="18.75" customHeight="1" x14ac:dyDescent="0.35">
      <c r="L654" s="404"/>
      <c r="M654" s="404"/>
      <c r="N654" s="404"/>
      <c r="T654" s="426">
        <f t="shared" si="47"/>
        <v>0</v>
      </c>
    </row>
    <row r="655" spans="12:20" ht="18.75" customHeight="1" x14ac:dyDescent="0.35">
      <c r="L655" s="404"/>
      <c r="M655" s="404"/>
      <c r="N655" s="404"/>
      <c r="T655" s="426">
        <f t="shared" si="47"/>
        <v>0</v>
      </c>
    </row>
    <row r="656" spans="12:20" ht="18.75" customHeight="1" x14ac:dyDescent="0.35">
      <c r="L656" s="404"/>
      <c r="M656" s="404"/>
      <c r="N656" s="404"/>
      <c r="T656" s="426">
        <f t="shared" si="47"/>
        <v>0</v>
      </c>
    </row>
    <row r="657" spans="12:20" ht="18.75" customHeight="1" x14ac:dyDescent="0.35">
      <c r="L657" s="404"/>
      <c r="M657" s="404"/>
      <c r="N657" s="404"/>
      <c r="T657" s="426">
        <f t="shared" si="47"/>
        <v>0</v>
      </c>
    </row>
    <row r="658" spans="12:20" ht="18.75" customHeight="1" x14ac:dyDescent="0.35">
      <c r="L658" s="404"/>
      <c r="M658" s="404"/>
      <c r="N658" s="404"/>
      <c r="T658" s="426">
        <f t="shared" si="47"/>
        <v>0</v>
      </c>
    </row>
    <row r="659" spans="12:20" ht="18.75" customHeight="1" x14ac:dyDescent="0.35">
      <c r="L659" s="404"/>
      <c r="M659" s="404"/>
      <c r="N659" s="404"/>
      <c r="T659" s="426">
        <f t="shared" si="47"/>
        <v>0</v>
      </c>
    </row>
    <row r="660" spans="12:20" ht="18.75" customHeight="1" x14ac:dyDescent="0.35">
      <c r="L660" s="404"/>
      <c r="M660" s="404"/>
      <c r="N660" s="404"/>
      <c r="T660" s="426">
        <f t="shared" si="47"/>
        <v>0</v>
      </c>
    </row>
    <row r="661" spans="12:20" ht="18.75" customHeight="1" x14ac:dyDescent="0.35">
      <c r="L661" s="404"/>
      <c r="M661" s="404"/>
      <c r="N661" s="404"/>
      <c r="T661" s="426">
        <f t="shared" si="47"/>
        <v>0</v>
      </c>
    </row>
    <row r="662" spans="12:20" ht="18.75" customHeight="1" x14ac:dyDescent="0.35">
      <c r="L662" s="404"/>
      <c r="M662" s="404"/>
      <c r="N662" s="404"/>
      <c r="T662" s="426">
        <f t="shared" si="47"/>
        <v>0</v>
      </c>
    </row>
    <row r="663" spans="12:20" ht="18.75" customHeight="1" x14ac:dyDescent="0.35">
      <c r="L663" s="404"/>
      <c r="M663" s="404"/>
      <c r="N663" s="404"/>
      <c r="T663" s="426">
        <f t="shared" si="47"/>
        <v>0</v>
      </c>
    </row>
    <row r="664" spans="12:20" ht="18.75" customHeight="1" x14ac:dyDescent="0.35">
      <c r="L664" s="404"/>
      <c r="M664" s="404"/>
      <c r="N664" s="404"/>
      <c r="T664" s="426">
        <f t="shared" si="47"/>
        <v>0</v>
      </c>
    </row>
    <row r="665" spans="12:20" ht="18.75" customHeight="1" x14ac:dyDescent="0.35">
      <c r="L665" s="404"/>
      <c r="M665" s="404"/>
      <c r="N665" s="404"/>
      <c r="T665" s="426">
        <f t="shared" si="47"/>
        <v>0</v>
      </c>
    </row>
    <row r="666" spans="12:20" ht="18.75" customHeight="1" x14ac:dyDescent="0.35">
      <c r="L666" s="404"/>
      <c r="M666" s="404"/>
      <c r="N666" s="404"/>
      <c r="T666" s="426">
        <f t="shared" si="47"/>
        <v>0</v>
      </c>
    </row>
    <row r="667" spans="12:20" ht="18.75" customHeight="1" x14ac:dyDescent="0.35">
      <c r="L667" s="404"/>
      <c r="M667" s="404"/>
      <c r="N667" s="404"/>
      <c r="T667" s="426">
        <f t="shared" si="47"/>
        <v>0</v>
      </c>
    </row>
    <row r="668" spans="12:20" ht="18.75" customHeight="1" x14ac:dyDescent="0.35">
      <c r="L668" s="404"/>
      <c r="M668" s="404"/>
      <c r="N668" s="404"/>
      <c r="T668" s="426">
        <f t="shared" si="47"/>
        <v>0</v>
      </c>
    </row>
    <row r="669" spans="12:20" ht="18.75" customHeight="1" x14ac:dyDescent="0.35">
      <c r="L669" s="404"/>
      <c r="M669" s="404"/>
      <c r="N669" s="404"/>
      <c r="T669" s="426">
        <f t="shared" si="47"/>
        <v>0</v>
      </c>
    </row>
    <row r="670" spans="12:20" ht="18.75" customHeight="1" x14ac:dyDescent="0.35">
      <c r="L670" s="404"/>
      <c r="M670" s="404"/>
      <c r="N670" s="404"/>
      <c r="T670" s="426">
        <f t="shared" si="47"/>
        <v>0</v>
      </c>
    </row>
    <row r="671" spans="12:20" ht="18.75" customHeight="1" x14ac:dyDescent="0.35">
      <c r="L671" s="404"/>
      <c r="M671" s="404"/>
      <c r="N671" s="404"/>
      <c r="T671" s="426">
        <f t="shared" si="47"/>
        <v>0</v>
      </c>
    </row>
    <row r="672" spans="12:20" ht="18.75" customHeight="1" x14ac:dyDescent="0.35">
      <c r="L672" s="404"/>
      <c r="M672" s="404"/>
      <c r="N672" s="404"/>
      <c r="T672" s="426">
        <f t="shared" si="47"/>
        <v>0</v>
      </c>
    </row>
    <row r="673" spans="12:20" ht="18.75" customHeight="1" x14ac:dyDescent="0.35">
      <c r="L673" s="404"/>
      <c r="M673" s="404"/>
      <c r="N673" s="404"/>
      <c r="T673" s="426">
        <f t="shared" si="47"/>
        <v>0</v>
      </c>
    </row>
    <row r="674" spans="12:20" ht="18.75" customHeight="1" x14ac:dyDescent="0.35">
      <c r="L674" s="404"/>
      <c r="M674" s="404"/>
      <c r="N674" s="404"/>
      <c r="T674" s="426">
        <f t="shared" si="47"/>
        <v>0</v>
      </c>
    </row>
    <row r="675" spans="12:20" ht="18.75" customHeight="1" x14ac:dyDescent="0.35">
      <c r="L675" s="404"/>
      <c r="M675" s="404"/>
      <c r="N675" s="404"/>
      <c r="T675" s="426">
        <f t="shared" si="47"/>
        <v>0</v>
      </c>
    </row>
    <row r="676" spans="12:20" ht="18.75" customHeight="1" x14ac:dyDescent="0.35">
      <c r="L676" s="404"/>
      <c r="M676" s="404"/>
      <c r="N676" s="404"/>
      <c r="T676" s="426">
        <f t="shared" si="47"/>
        <v>0</v>
      </c>
    </row>
    <row r="677" spans="12:20" ht="18.75" customHeight="1" x14ac:dyDescent="0.35">
      <c r="L677" s="404"/>
      <c r="M677" s="404"/>
      <c r="N677" s="404"/>
      <c r="T677" s="426">
        <f t="shared" si="47"/>
        <v>0</v>
      </c>
    </row>
    <row r="678" spans="12:20" ht="18.75" customHeight="1" x14ac:dyDescent="0.35">
      <c r="L678" s="404"/>
      <c r="M678" s="404"/>
      <c r="N678" s="404"/>
      <c r="T678" s="426">
        <f t="shared" si="47"/>
        <v>0</v>
      </c>
    </row>
    <row r="679" spans="12:20" ht="18.75" customHeight="1" x14ac:dyDescent="0.35">
      <c r="L679" s="404"/>
      <c r="M679" s="404"/>
      <c r="N679" s="404"/>
      <c r="T679" s="426">
        <f t="shared" si="47"/>
        <v>0</v>
      </c>
    </row>
    <row r="680" spans="12:20" ht="18.75" customHeight="1" x14ac:dyDescent="0.35">
      <c r="L680" s="404"/>
      <c r="M680" s="404"/>
      <c r="N680" s="404"/>
      <c r="T680" s="426">
        <f t="shared" si="47"/>
        <v>0</v>
      </c>
    </row>
    <row r="681" spans="12:20" ht="18.75" customHeight="1" x14ac:dyDescent="0.35">
      <c r="L681" s="404"/>
      <c r="M681" s="404"/>
      <c r="N681" s="404"/>
      <c r="T681" s="426">
        <f t="shared" si="47"/>
        <v>0</v>
      </c>
    </row>
    <row r="682" spans="12:20" ht="18.75" customHeight="1" x14ac:dyDescent="0.35">
      <c r="L682" s="404"/>
      <c r="M682" s="404"/>
      <c r="N682" s="404"/>
      <c r="T682" s="426">
        <f t="shared" si="47"/>
        <v>0</v>
      </c>
    </row>
    <row r="683" spans="12:20" ht="18.75" customHeight="1" x14ac:dyDescent="0.35">
      <c r="L683" s="404"/>
      <c r="M683" s="404"/>
      <c r="N683" s="404"/>
      <c r="T683" s="426">
        <f t="shared" si="47"/>
        <v>0</v>
      </c>
    </row>
    <row r="684" spans="12:20" ht="18.75" customHeight="1" x14ac:dyDescent="0.35">
      <c r="L684" s="404"/>
      <c r="M684" s="404"/>
      <c r="N684" s="404"/>
      <c r="T684" s="426">
        <f t="shared" si="47"/>
        <v>0</v>
      </c>
    </row>
    <row r="685" spans="12:20" ht="18.75" customHeight="1" x14ac:dyDescent="0.35">
      <c r="L685" s="404"/>
      <c r="M685" s="404"/>
      <c r="N685" s="404"/>
      <c r="T685" s="426">
        <f t="shared" si="47"/>
        <v>0</v>
      </c>
    </row>
    <row r="686" spans="12:20" ht="18.75" customHeight="1" x14ac:dyDescent="0.35">
      <c r="L686" s="404"/>
      <c r="M686" s="404"/>
      <c r="N686" s="404"/>
      <c r="T686" s="426">
        <f t="shared" si="47"/>
        <v>0</v>
      </c>
    </row>
    <row r="687" spans="12:20" ht="18.75" customHeight="1" x14ac:dyDescent="0.35">
      <c r="L687" s="404"/>
      <c r="M687" s="404"/>
      <c r="N687" s="404"/>
      <c r="T687" s="426">
        <f t="shared" si="47"/>
        <v>0</v>
      </c>
    </row>
    <row r="688" spans="12:20" ht="18.75" customHeight="1" x14ac:dyDescent="0.35">
      <c r="L688" s="404"/>
      <c r="M688" s="404"/>
      <c r="N688" s="404"/>
      <c r="T688" s="426">
        <f t="shared" si="47"/>
        <v>0</v>
      </c>
    </row>
    <row r="689" spans="12:20" ht="18.75" customHeight="1" x14ac:dyDescent="0.35">
      <c r="L689" s="404"/>
      <c r="M689" s="404"/>
      <c r="N689" s="404"/>
      <c r="T689" s="426">
        <f t="shared" si="47"/>
        <v>0</v>
      </c>
    </row>
    <row r="690" spans="12:20" ht="18.75" customHeight="1" x14ac:dyDescent="0.35">
      <c r="L690" s="404"/>
      <c r="M690" s="404"/>
      <c r="N690" s="404"/>
      <c r="T690" s="426">
        <f t="shared" si="47"/>
        <v>0</v>
      </c>
    </row>
    <row r="691" spans="12:20" ht="18.75" customHeight="1" x14ac:dyDescent="0.35">
      <c r="L691" s="404"/>
      <c r="M691" s="404"/>
      <c r="N691" s="404"/>
      <c r="T691" s="426">
        <f t="shared" si="47"/>
        <v>0</v>
      </c>
    </row>
    <row r="692" spans="12:20" ht="18.75" customHeight="1" x14ac:dyDescent="0.35">
      <c r="L692" s="404"/>
      <c r="M692" s="404"/>
      <c r="N692" s="404"/>
      <c r="T692" s="426">
        <f t="shared" si="47"/>
        <v>0</v>
      </c>
    </row>
    <row r="693" spans="12:20" ht="18.75" customHeight="1" x14ac:dyDescent="0.35">
      <c r="L693" s="404"/>
      <c r="M693" s="404"/>
      <c r="N693" s="404"/>
      <c r="T693" s="426">
        <f t="shared" si="47"/>
        <v>0</v>
      </c>
    </row>
    <row r="694" spans="12:20" ht="18.75" customHeight="1" x14ac:dyDescent="0.35">
      <c r="L694" s="404"/>
      <c r="M694" s="404"/>
      <c r="N694" s="404"/>
      <c r="T694" s="426">
        <f t="shared" si="47"/>
        <v>0</v>
      </c>
    </row>
    <row r="695" spans="12:20" ht="18.75" customHeight="1" x14ac:dyDescent="0.35">
      <c r="L695" s="404"/>
      <c r="M695" s="404"/>
      <c r="N695" s="404"/>
      <c r="T695" s="426">
        <f t="shared" si="47"/>
        <v>0</v>
      </c>
    </row>
    <row r="696" spans="12:20" ht="18.75" customHeight="1" x14ac:dyDescent="0.35">
      <c r="L696" s="404"/>
      <c r="M696" s="404"/>
      <c r="N696" s="404"/>
      <c r="T696" s="426">
        <f t="shared" si="47"/>
        <v>0</v>
      </c>
    </row>
    <row r="697" spans="12:20" ht="18.75" customHeight="1" x14ac:dyDescent="0.35">
      <c r="L697" s="404"/>
      <c r="M697" s="404"/>
      <c r="N697" s="404"/>
      <c r="T697" s="426">
        <f t="shared" si="47"/>
        <v>0</v>
      </c>
    </row>
    <row r="698" spans="12:20" ht="18.75" customHeight="1" x14ac:dyDescent="0.35">
      <c r="L698" s="404"/>
      <c r="M698" s="404"/>
      <c r="N698" s="404"/>
      <c r="T698" s="426">
        <f t="shared" si="47"/>
        <v>0</v>
      </c>
    </row>
    <row r="699" spans="12:20" ht="18.75" customHeight="1" x14ac:dyDescent="0.35">
      <c r="L699" s="404"/>
      <c r="M699" s="404"/>
      <c r="N699" s="404"/>
      <c r="T699" s="426">
        <f t="shared" si="47"/>
        <v>0</v>
      </c>
    </row>
    <row r="700" spans="12:20" ht="18.75" customHeight="1" x14ac:dyDescent="0.35">
      <c r="L700" s="404"/>
      <c r="M700" s="404"/>
      <c r="N700" s="404"/>
      <c r="T700" s="426">
        <f t="shared" si="47"/>
        <v>0</v>
      </c>
    </row>
    <row r="701" spans="12:20" ht="18.75" customHeight="1" x14ac:dyDescent="0.35">
      <c r="L701" s="404"/>
      <c r="M701" s="404"/>
      <c r="N701" s="404"/>
      <c r="T701" s="426">
        <f t="shared" si="47"/>
        <v>0</v>
      </c>
    </row>
    <row r="702" spans="12:20" ht="18.75" customHeight="1" x14ac:dyDescent="0.35">
      <c r="L702" s="404"/>
      <c r="M702" s="404"/>
      <c r="N702" s="404"/>
      <c r="T702" s="426">
        <f t="shared" si="47"/>
        <v>0</v>
      </c>
    </row>
    <row r="703" spans="12:20" ht="18.75" customHeight="1" x14ac:dyDescent="0.35">
      <c r="L703" s="404"/>
      <c r="M703" s="404"/>
      <c r="N703" s="404"/>
      <c r="T703" s="426">
        <f t="shared" si="47"/>
        <v>0</v>
      </c>
    </row>
    <row r="704" spans="12:20" ht="18.75" customHeight="1" x14ac:dyDescent="0.35">
      <c r="L704" s="404"/>
      <c r="M704" s="404"/>
      <c r="N704" s="404"/>
      <c r="T704" s="426">
        <f t="shared" si="47"/>
        <v>0</v>
      </c>
    </row>
    <row r="705" spans="12:20" ht="18.75" customHeight="1" x14ac:dyDescent="0.35">
      <c r="L705" s="404"/>
      <c r="M705" s="404"/>
      <c r="N705" s="404"/>
      <c r="T705" s="426">
        <f t="shared" si="47"/>
        <v>0</v>
      </c>
    </row>
    <row r="706" spans="12:20" ht="18.75" customHeight="1" x14ac:dyDescent="0.35">
      <c r="L706" s="404"/>
      <c r="M706" s="404"/>
      <c r="N706" s="404"/>
      <c r="T706" s="426">
        <f t="shared" si="47"/>
        <v>0</v>
      </c>
    </row>
    <row r="707" spans="12:20" ht="18.75" customHeight="1" x14ac:dyDescent="0.35">
      <c r="L707" s="404"/>
      <c r="M707" s="404"/>
      <c r="N707" s="404"/>
      <c r="T707" s="426">
        <f t="shared" si="47"/>
        <v>0</v>
      </c>
    </row>
    <row r="708" spans="12:20" ht="18.75" customHeight="1" x14ac:dyDescent="0.35">
      <c r="L708" s="404"/>
      <c r="M708" s="404"/>
      <c r="N708" s="404"/>
      <c r="T708" s="426">
        <f t="shared" si="47"/>
        <v>0</v>
      </c>
    </row>
    <row r="709" spans="12:20" ht="18.75" customHeight="1" x14ac:dyDescent="0.35">
      <c r="L709" s="404"/>
      <c r="M709" s="404"/>
      <c r="N709" s="404"/>
      <c r="T709" s="426">
        <f t="shared" si="47"/>
        <v>0</v>
      </c>
    </row>
    <row r="710" spans="12:20" ht="18.75" customHeight="1" x14ac:dyDescent="0.35">
      <c r="L710" s="404"/>
      <c r="M710" s="404"/>
      <c r="N710" s="404"/>
      <c r="T710" s="426">
        <f t="shared" ref="T710" si="48">R710*$T$2</f>
        <v>0</v>
      </c>
    </row>
    <row r="711" spans="12:20" ht="18.75" customHeight="1" x14ac:dyDescent="0.35">
      <c r="L711" s="404"/>
      <c r="M711" s="404"/>
      <c r="N711" s="404"/>
      <c r="T711" s="246">
        <f t="shared" ref="T711:T763" si="49">R711*0.01</f>
        <v>0</v>
      </c>
    </row>
    <row r="712" spans="12:20" ht="18.75" customHeight="1" x14ac:dyDescent="0.35">
      <c r="L712" s="404"/>
      <c r="M712" s="404"/>
      <c r="N712" s="404"/>
      <c r="T712" s="246">
        <f t="shared" si="49"/>
        <v>0</v>
      </c>
    </row>
    <row r="713" spans="12:20" ht="18.75" customHeight="1" x14ac:dyDescent="0.35">
      <c r="L713" s="404"/>
      <c r="M713" s="404"/>
      <c r="N713" s="404"/>
      <c r="T713" s="246">
        <f t="shared" si="49"/>
        <v>0</v>
      </c>
    </row>
    <row r="714" spans="12:20" ht="18.75" customHeight="1" x14ac:dyDescent="0.35">
      <c r="L714" s="404"/>
      <c r="M714" s="404"/>
      <c r="N714" s="404"/>
      <c r="T714" s="246">
        <f t="shared" si="49"/>
        <v>0</v>
      </c>
    </row>
    <row r="715" spans="12:20" ht="18.75" customHeight="1" x14ac:dyDescent="0.35">
      <c r="L715" s="404"/>
      <c r="M715" s="404"/>
      <c r="N715" s="404"/>
      <c r="T715" s="246">
        <f t="shared" si="49"/>
        <v>0</v>
      </c>
    </row>
    <row r="716" spans="12:20" ht="18.75" customHeight="1" x14ac:dyDescent="0.35">
      <c r="L716" s="404"/>
      <c r="M716" s="404"/>
      <c r="N716" s="404"/>
      <c r="T716" s="246">
        <f t="shared" si="49"/>
        <v>0</v>
      </c>
    </row>
    <row r="717" spans="12:20" ht="18.75" customHeight="1" x14ac:dyDescent="0.35">
      <c r="L717" s="404"/>
      <c r="M717" s="404"/>
      <c r="N717" s="404"/>
      <c r="T717" s="246">
        <f t="shared" si="49"/>
        <v>0</v>
      </c>
    </row>
    <row r="718" spans="12:20" ht="18.75" customHeight="1" x14ac:dyDescent="0.35">
      <c r="L718" s="404"/>
      <c r="M718" s="404"/>
      <c r="N718" s="404"/>
      <c r="T718" s="246">
        <f t="shared" si="49"/>
        <v>0</v>
      </c>
    </row>
    <row r="719" spans="12:20" ht="18.75" customHeight="1" x14ac:dyDescent="0.35">
      <c r="L719" s="404"/>
      <c r="M719" s="404"/>
      <c r="N719" s="404"/>
      <c r="T719" s="246">
        <f t="shared" si="49"/>
        <v>0</v>
      </c>
    </row>
    <row r="720" spans="12:20" ht="18.75" customHeight="1" x14ac:dyDescent="0.35">
      <c r="L720" s="404"/>
      <c r="M720" s="404"/>
      <c r="N720" s="404"/>
      <c r="T720" s="246">
        <f t="shared" si="49"/>
        <v>0</v>
      </c>
    </row>
    <row r="721" spans="12:20" ht="18.75" customHeight="1" x14ac:dyDescent="0.35">
      <c r="L721" s="404"/>
      <c r="M721" s="404"/>
      <c r="N721" s="404"/>
      <c r="T721" s="246">
        <f t="shared" si="49"/>
        <v>0</v>
      </c>
    </row>
    <row r="722" spans="12:20" ht="18.75" customHeight="1" x14ac:dyDescent="0.35">
      <c r="L722" s="404"/>
      <c r="M722" s="404"/>
      <c r="N722" s="404"/>
      <c r="T722" s="246">
        <f t="shared" si="49"/>
        <v>0</v>
      </c>
    </row>
    <row r="723" spans="12:20" ht="18.75" customHeight="1" x14ac:dyDescent="0.35">
      <c r="L723" s="404"/>
      <c r="M723" s="404"/>
      <c r="N723" s="404"/>
      <c r="T723" s="246">
        <f t="shared" si="49"/>
        <v>0</v>
      </c>
    </row>
    <row r="724" spans="12:20" ht="18.75" customHeight="1" x14ac:dyDescent="0.35">
      <c r="L724" s="404"/>
      <c r="M724" s="404"/>
      <c r="N724" s="404"/>
      <c r="T724" s="246">
        <f t="shared" si="49"/>
        <v>0</v>
      </c>
    </row>
    <row r="725" spans="12:20" ht="18.75" customHeight="1" x14ac:dyDescent="0.35">
      <c r="L725" s="404"/>
      <c r="M725" s="404"/>
      <c r="N725" s="404"/>
      <c r="T725" s="246">
        <f t="shared" si="49"/>
        <v>0</v>
      </c>
    </row>
    <row r="726" spans="12:20" ht="18.75" customHeight="1" x14ac:dyDescent="0.35">
      <c r="L726" s="404"/>
      <c r="M726" s="404"/>
      <c r="N726" s="404"/>
      <c r="T726" s="246">
        <f t="shared" si="49"/>
        <v>0</v>
      </c>
    </row>
    <row r="727" spans="12:20" ht="18.75" customHeight="1" x14ac:dyDescent="0.35">
      <c r="L727" s="404"/>
      <c r="M727" s="404"/>
      <c r="N727" s="404"/>
      <c r="T727" s="246">
        <f t="shared" si="49"/>
        <v>0</v>
      </c>
    </row>
    <row r="728" spans="12:20" ht="18.75" customHeight="1" x14ac:dyDescent="0.35">
      <c r="L728" s="404"/>
      <c r="M728" s="404"/>
      <c r="N728" s="404"/>
      <c r="T728" s="246">
        <f t="shared" si="49"/>
        <v>0</v>
      </c>
    </row>
    <row r="729" spans="12:20" ht="18.75" customHeight="1" x14ac:dyDescent="0.35">
      <c r="L729" s="404"/>
      <c r="M729" s="404"/>
      <c r="N729" s="404"/>
      <c r="T729" s="246">
        <f t="shared" si="49"/>
        <v>0</v>
      </c>
    </row>
    <row r="730" spans="12:20" ht="18.75" customHeight="1" x14ac:dyDescent="0.35">
      <c r="L730" s="404"/>
      <c r="M730" s="404"/>
      <c r="N730" s="404"/>
      <c r="T730" s="246">
        <f t="shared" si="49"/>
        <v>0</v>
      </c>
    </row>
    <row r="731" spans="12:20" ht="18.75" customHeight="1" x14ac:dyDescent="0.35">
      <c r="L731" s="404"/>
      <c r="M731" s="404"/>
      <c r="N731" s="404"/>
      <c r="T731" s="246">
        <f t="shared" si="49"/>
        <v>0</v>
      </c>
    </row>
    <row r="732" spans="12:20" ht="18.75" customHeight="1" x14ac:dyDescent="0.35">
      <c r="L732" s="404"/>
      <c r="M732" s="404"/>
      <c r="N732" s="404"/>
      <c r="T732" s="246">
        <f t="shared" si="49"/>
        <v>0</v>
      </c>
    </row>
    <row r="733" spans="12:20" ht="18.75" customHeight="1" x14ac:dyDescent="0.35">
      <c r="L733" s="404"/>
      <c r="M733" s="404"/>
      <c r="N733" s="404"/>
      <c r="T733" s="246">
        <f t="shared" si="49"/>
        <v>0</v>
      </c>
    </row>
    <row r="734" spans="12:20" ht="18.75" customHeight="1" x14ac:dyDescent="0.35">
      <c r="L734" s="404"/>
      <c r="M734" s="404"/>
      <c r="N734" s="404"/>
      <c r="T734" s="246">
        <f t="shared" si="49"/>
        <v>0</v>
      </c>
    </row>
    <row r="735" spans="12:20" ht="18.75" customHeight="1" x14ac:dyDescent="0.35">
      <c r="L735" s="404"/>
      <c r="M735" s="404"/>
      <c r="N735" s="404"/>
      <c r="T735" s="246">
        <f t="shared" si="49"/>
        <v>0</v>
      </c>
    </row>
    <row r="736" spans="12:20" ht="18.75" customHeight="1" x14ac:dyDescent="0.35">
      <c r="L736" s="404"/>
      <c r="M736" s="404"/>
      <c r="N736" s="404"/>
      <c r="T736" s="246">
        <f t="shared" si="49"/>
        <v>0</v>
      </c>
    </row>
    <row r="737" spans="12:20" ht="18.75" customHeight="1" x14ac:dyDescent="0.35">
      <c r="L737" s="404"/>
      <c r="M737" s="404"/>
      <c r="N737" s="404"/>
      <c r="T737" s="246">
        <f t="shared" si="49"/>
        <v>0</v>
      </c>
    </row>
    <row r="738" spans="12:20" ht="18.75" customHeight="1" x14ac:dyDescent="0.35">
      <c r="L738" s="404"/>
      <c r="M738" s="404"/>
      <c r="N738" s="404"/>
      <c r="T738" s="246">
        <f t="shared" si="49"/>
        <v>0</v>
      </c>
    </row>
    <row r="739" spans="12:20" ht="18.75" customHeight="1" x14ac:dyDescent="0.35">
      <c r="L739" s="404"/>
      <c r="M739" s="404"/>
      <c r="N739" s="404"/>
      <c r="T739" s="246">
        <f t="shared" si="49"/>
        <v>0</v>
      </c>
    </row>
    <row r="740" spans="12:20" ht="18.75" customHeight="1" x14ac:dyDescent="0.35">
      <c r="L740" s="404"/>
      <c r="M740" s="404"/>
      <c r="N740" s="404"/>
      <c r="T740" s="246">
        <f t="shared" si="49"/>
        <v>0</v>
      </c>
    </row>
    <row r="741" spans="12:20" ht="18.75" customHeight="1" x14ac:dyDescent="0.35">
      <c r="L741" s="404"/>
      <c r="M741" s="404"/>
      <c r="N741" s="404"/>
      <c r="T741" s="246">
        <f t="shared" si="49"/>
        <v>0</v>
      </c>
    </row>
    <row r="742" spans="12:20" ht="18.75" customHeight="1" x14ac:dyDescent="0.35">
      <c r="T742" s="246">
        <f t="shared" si="49"/>
        <v>0</v>
      </c>
    </row>
    <row r="743" spans="12:20" ht="18.75" customHeight="1" x14ac:dyDescent="0.35">
      <c r="T743" s="246">
        <f t="shared" si="49"/>
        <v>0</v>
      </c>
    </row>
    <row r="744" spans="12:20" ht="18.75" customHeight="1" x14ac:dyDescent="0.35">
      <c r="T744" s="246">
        <f t="shared" si="49"/>
        <v>0</v>
      </c>
    </row>
    <row r="745" spans="12:20" ht="18.75" customHeight="1" x14ac:dyDescent="0.35">
      <c r="T745" s="246">
        <f t="shared" si="49"/>
        <v>0</v>
      </c>
    </row>
    <row r="746" spans="12:20" ht="18.75" customHeight="1" x14ac:dyDescent="0.35">
      <c r="T746" s="246">
        <f t="shared" si="49"/>
        <v>0</v>
      </c>
    </row>
    <row r="747" spans="12:20" ht="18.75" customHeight="1" x14ac:dyDescent="0.35">
      <c r="T747" s="246">
        <f t="shared" si="49"/>
        <v>0</v>
      </c>
    </row>
    <row r="748" spans="12:20" ht="18.75" customHeight="1" x14ac:dyDescent="0.35">
      <c r="T748" s="246">
        <f t="shared" si="49"/>
        <v>0</v>
      </c>
    </row>
    <row r="749" spans="12:20" ht="18.75" customHeight="1" x14ac:dyDescent="0.35">
      <c r="T749" s="246">
        <f t="shared" si="49"/>
        <v>0</v>
      </c>
    </row>
    <row r="750" spans="12:20" ht="18.75" customHeight="1" x14ac:dyDescent="0.35">
      <c r="T750" s="246">
        <f t="shared" si="49"/>
        <v>0</v>
      </c>
    </row>
    <row r="751" spans="12:20" ht="18.75" customHeight="1" x14ac:dyDescent="0.35">
      <c r="T751" s="246">
        <f t="shared" si="49"/>
        <v>0</v>
      </c>
    </row>
    <row r="752" spans="12:20" ht="18.75" customHeight="1" x14ac:dyDescent="0.35">
      <c r="T752" s="246">
        <f t="shared" si="49"/>
        <v>0</v>
      </c>
    </row>
    <row r="753" spans="20:20" ht="18.75" customHeight="1" x14ac:dyDescent="0.35">
      <c r="T753" s="246">
        <f t="shared" si="49"/>
        <v>0</v>
      </c>
    </row>
    <row r="754" spans="20:20" ht="18.75" customHeight="1" x14ac:dyDescent="0.35">
      <c r="T754" s="246">
        <f t="shared" si="49"/>
        <v>0</v>
      </c>
    </row>
    <row r="755" spans="20:20" ht="18.75" customHeight="1" x14ac:dyDescent="0.35">
      <c r="T755" s="246">
        <f t="shared" si="49"/>
        <v>0</v>
      </c>
    </row>
    <row r="756" spans="20:20" ht="18.75" customHeight="1" x14ac:dyDescent="0.35">
      <c r="T756" s="246">
        <f t="shared" si="49"/>
        <v>0</v>
      </c>
    </row>
    <row r="757" spans="20:20" ht="18.75" customHeight="1" x14ac:dyDescent="0.35">
      <c r="T757" s="246">
        <f t="shared" si="49"/>
        <v>0</v>
      </c>
    </row>
    <row r="758" spans="20:20" ht="18.75" customHeight="1" x14ac:dyDescent="0.35">
      <c r="T758" s="246">
        <f t="shared" si="49"/>
        <v>0</v>
      </c>
    </row>
    <row r="759" spans="20:20" ht="18.75" customHeight="1" x14ac:dyDescent="0.35">
      <c r="T759" s="246">
        <f t="shared" si="49"/>
        <v>0</v>
      </c>
    </row>
    <row r="760" spans="20:20" ht="18.75" customHeight="1" x14ac:dyDescent="0.35">
      <c r="T760" s="246">
        <f t="shared" si="49"/>
        <v>0</v>
      </c>
    </row>
    <row r="761" spans="20:20" ht="18.75" customHeight="1" x14ac:dyDescent="0.35">
      <c r="T761" s="246">
        <f t="shared" si="49"/>
        <v>0</v>
      </c>
    </row>
    <row r="762" spans="20:20" ht="18.75" customHeight="1" x14ac:dyDescent="0.35">
      <c r="T762" s="246">
        <f t="shared" si="49"/>
        <v>0</v>
      </c>
    </row>
    <row r="763" spans="20:20" ht="18.75" customHeight="1" x14ac:dyDescent="0.35">
      <c r="T763" s="246">
        <f t="shared" si="49"/>
        <v>0</v>
      </c>
    </row>
    <row r="764" spans="20:20" ht="18.75" customHeight="1" x14ac:dyDescent="0.35">
      <c r="T764" s="246">
        <f t="shared" ref="T764:T827" si="50">R764*0.01</f>
        <v>0</v>
      </c>
    </row>
    <row r="765" spans="20:20" ht="18.75" customHeight="1" x14ac:dyDescent="0.35">
      <c r="T765" s="246">
        <f t="shared" si="50"/>
        <v>0</v>
      </c>
    </row>
    <row r="766" spans="20:20" ht="18.75" customHeight="1" x14ac:dyDescent="0.35">
      <c r="T766" s="246">
        <f t="shared" si="50"/>
        <v>0</v>
      </c>
    </row>
    <row r="767" spans="20:20" ht="18.75" customHeight="1" x14ac:dyDescent="0.35">
      <c r="T767" s="246">
        <f t="shared" si="50"/>
        <v>0</v>
      </c>
    </row>
    <row r="768" spans="20:20" ht="18.75" customHeight="1" x14ac:dyDescent="0.35">
      <c r="T768" s="246">
        <f t="shared" si="50"/>
        <v>0</v>
      </c>
    </row>
    <row r="769" spans="20:20" ht="18.75" customHeight="1" x14ac:dyDescent="0.35">
      <c r="T769" s="246">
        <f t="shared" si="50"/>
        <v>0</v>
      </c>
    </row>
    <row r="770" spans="20:20" ht="18.75" customHeight="1" x14ac:dyDescent="0.35">
      <c r="T770" s="246">
        <f t="shared" si="50"/>
        <v>0</v>
      </c>
    </row>
    <row r="771" spans="20:20" ht="18.75" customHeight="1" x14ac:dyDescent="0.35">
      <c r="T771" s="246">
        <f t="shared" si="50"/>
        <v>0</v>
      </c>
    </row>
    <row r="772" spans="20:20" ht="18.75" customHeight="1" x14ac:dyDescent="0.35">
      <c r="T772" s="246">
        <f t="shared" si="50"/>
        <v>0</v>
      </c>
    </row>
    <row r="773" spans="20:20" ht="18.75" customHeight="1" x14ac:dyDescent="0.35">
      <c r="T773" s="246">
        <f t="shared" si="50"/>
        <v>0</v>
      </c>
    </row>
    <row r="774" spans="20:20" ht="18.75" customHeight="1" x14ac:dyDescent="0.35">
      <c r="T774" s="246">
        <f t="shared" si="50"/>
        <v>0</v>
      </c>
    </row>
    <row r="775" spans="20:20" ht="18.75" customHeight="1" x14ac:dyDescent="0.35">
      <c r="T775" s="246">
        <f t="shared" si="50"/>
        <v>0</v>
      </c>
    </row>
    <row r="776" spans="20:20" ht="18.75" customHeight="1" x14ac:dyDescent="0.35">
      <c r="T776" s="246">
        <f t="shared" si="50"/>
        <v>0</v>
      </c>
    </row>
    <row r="777" spans="20:20" ht="18.75" customHeight="1" x14ac:dyDescent="0.35">
      <c r="T777" s="246">
        <f t="shared" si="50"/>
        <v>0</v>
      </c>
    </row>
    <row r="778" spans="20:20" ht="18.75" customHeight="1" x14ac:dyDescent="0.35">
      <c r="T778" s="246">
        <f t="shared" si="50"/>
        <v>0</v>
      </c>
    </row>
    <row r="779" spans="20:20" ht="18.75" customHeight="1" x14ac:dyDescent="0.35">
      <c r="T779" s="246">
        <f t="shared" si="50"/>
        <v>0</v>
      </c>
    </row>
    <row r="780" spans="20:20" ht="18.75" customHeight="1" x14ac:dyDescent="0.35">
      <c r="T780" s="246">
        <f t="shared" si="50"/>
        <v>0</v>
      </c>
    </row>
    <row r="781" spans="20:20" ht="18.75" customHeight="1" x14ac:dyDescent="0.35">
      <c r="T781" s="246">
        <f t="shared" si="50"/>
        <v>0</v>
      </c>
    </row>
    <row r="782" spans="20:20" ht="18.75" customHeight="1" x14ac:dyDescent="0.35">
      <c r="T782" s="246">
        <f t="shared" si="50"/>
        <v>0</v>
      </c>
    </row>
    <row r="783" spans="20:20" ht="18.75" customHeight="1" x14ac:dyDescent="0.35">
      <c r="T783" s="246">
        <f t="shared" si="50"/>
        <v>0</v>
      </c>
    </row>
    <row r="784" spans="20:20" ht="18.75" customHeight="1" x14ac:dyDescent="0.35">
      <c r="T784" s="246">
        <f t="shared" si="50"/>
        <v>0</v>
      </c>
    </row>
    <row r="785" spans="20:20" ht="18.75" customHeight="1" x14ac:dyDescent="0.35">
      <c r="T785" s="246">
        <f t="shared" si="50"/>
        <v>0</v>
      </c>
    </row>
    <row r="786" spans="20:20" ht="18.75" customHeight="1" x14ac:dyDescent="0.35">
      <c r="T786" s="246">
        <f t="shared" si="50"/>
        <v>0</v>
      </c>
    </row>
    <row r="787" spans="20:20" ht="18.75" customHeight="1" x14ac:dyDescent="0.35">
      <c r="T787" s="246">
        <f t="shared" si="50"/>
        <v>0</v>
      </c>
    </row>
    <row r="788" spans="20:20" ht="18.75" customHeight="1" x14ac:dyDescent="0.35">
      <c r="T788" s="246">
        <f t="shared" si="50"/>
        <v>0</v>
      </c>
    </row>
    <row r="789" spans="20:20" ht="18.75" customHeight="1" x14ac:dyDescent="0.35">
      <c r="T789" s="246">
        <f t="shared" si="50"/>
        <v>0</v>
      </c>
    </row>
    <row r="790" spans="20:20" ht="18.75" customHeight="1" x14ac:dyDescent="0.35">
      <c r="T790" s="246">
        <f t="shared" si="50"/>
        <v>0</v>
      </c>
    </row>
    <row r="791" spans="20:20" ht="18.75" customHeight="1" x14ac:dyDescent="0.35">
      <c r="T791" s="246">
        <f t="shared" si="50"/>
        <v>0</v>
      </c>
    </row>
    <row r="792" spans="20:20" ht="18.75" customHeight="1" x14ac:dyDescent="0.35">
      <c r="T792" s="246">
        <f t="shared" si="50"/>
        <v>0</v>
      </c>
    </row>
    <row r="793" spans="20:20" ht="18.75" customHeight="1" x14ac:dyDescent="0.35">
      <c r="T793" s="246">
        <f t="shared" si="50"/>
        <v>0</v>
      </c>
    </row>
    <row r="794" spans="20:20" ht="18.75" customHeight="1" x14ac:dyDescent="0.35">
      <c r="T794" s="246">
        <f t="shared" si="50"/>
        <v>0</v>
      </c>
    </row>
    <row r="795" spans="20:20" ht="18.75" customHeight="1" x14ac:dyDescent="0.35">
      <c r="T795" s="246">
        <f t="shared" si="50"/>
        <v>0</v>
      </c>
    </row>
    <row r="796" spans="20:20" ht="18.75" customHeight="1" x14ac:dyDescent="0.35">
      <c r="T796" s="246">
        <f t="shared" si="50"/>
        <v>0</v>
      </c>
    </row>
    <row r="797" spans="20:20" ht="18.75" customHeight="1" x14ac:dyDescent="0.35">
      <c r="T797" s="246">
        <f t="shared" si="50"/>
        <v>0</v>
      </c>
    </row>
    <row r="798" spans="20:20" ht="18.75" customHeight="1" x14ac:dyDescent="0.35">
      <c r="T798" s="246">
        <f t="shared" si="50"/>
        <v>0</v>
      </c>
    </row>
    <row r="799" spans="20:20" ht="18.75" customHeight="1" x14ac:dyDescent="0.35">
      <c r="T799" s="246">
        <f t="shared" si="50"/>
        <v>0</v>
      </c>
    </row>
    <row r="800" spans="20:20" ht="18.75" customHeight="1" x14ac:dyDescent="0.35">
      <c r="T800" s="246">
        <f t="shared" si="50"/>
        <v>0</v>
      </c>
    </row>
    <row r="801" spans="20:20" ht="18.75" customHeight="1" x14ac:dyDescent="0.35">
      <c r="T801" s="246">
        <f t="shared" si="50"/>
        <v>0</v>
      </c>
    </row>
    <row r="802" spans="20:20" ht="18.75" customHeight="1" x14ac:dyDescent="0.35">
      <c r="T802" s="246">
        <f t="shared" si="50"/>
        <v>0</v>
      </c>
    </row>
    <row r="803" spans="20:20" ht="18.75" customHeight="1" x14ac:dyDescent="0.35">
      <c r="T803" s="246">
        <f t="shared" si="50"/>
        <v>0</v>
      </c>
    </row>
    <row r="804" spans="20:20" ht="18.75" customHeight="1" x14ac:dyDescent="0.35">
      <c r="T804" s="246">
        <f t="shared" si="50"/>
        <v>0</v>
      </c>
    </row>
    <row r="805" spans="20:20" ht="18.75" customHeight="1" x14ac:dyDescent="0.35">
      <c r="T805" s="246">
        <f t="shared" si="50"/>
        <v>0</v>
      </c>
    </row>
    <row r="806" spans="20:20" ht="18.75" customHeight="1" x14ac:dyDescent="0.35">
      <c r="T806" s="246">
        <f t="shared" si="50"/>
        <v>0</v>
      </c>
    </row>
    <row r="807" spans="20:20" ht="18.75" customHeight="1" x14ac:dyDescent="0.35">
      <c r="T807" s="246">
        <f t="shared" si="50"/>
        <v>0</v>
      </c>
    </row>
    <row r="808" spans="20:20" ht="18.75" customHeight="1" x14ac:dyDescent="0.35">
      <c r="T808" s="246">
        <f t="shared" si="50"/>
        <v>0</v>
      </c>
    </row>
    <row r="809" spans="20:20" ht="18.75" customHeight="1" x14ac:dyDescent="0.35">
      <c r="T809" s="246">
        <f t="shared" si="50"/>
        <v>0</v>
      </c>
    </row>
    <row r="810" spans="20:20" ht="18.75" customHeight="1" x14ac:dyDescent="0.35">
      <c r="T810" s="246">
        <f t="shared" si="50"/>
        <v>0</v>
      </c>
    </row>
    <row r="811" spans="20:20" ht="18.75" customHeight="1" x14ac:dyDescent="0.35">
      <c r="T811" s="246">
        <f t="shared" si="50"/>
        <v>0</v>
      </c>
    </row>
    <row r="812" spans="20:20" ht="18.75" customHeight="1" x14ac:dyDescent="0.35">
      <c r="T812" s="246">
        <f t="shared" si="50"/>
        <v>0</v>
      </c>
    </row>
    <row r="813" spans="20:20" ht="18.75" customHeight="1" x14ac:dyDescent="0.35">
      <c r="T813" s="246">
        <f t="shared" si="50"/>
        <v>0</v>
      </c>
    </row>
    <row r="814" spans="20:20" ht="18.75" customHeight="1" x14ac:dyDescent="0.35">
      <c r="T814" s="246">
        <f t="shared" si="50"/>
        <v>0</v>
      </c>
    </row>
    <row r="815" spans="20:20" ht="18.75" customHeight="1" x14ac:dyDescent="0.35">
      <c r="T815" s="246">
        <f t="shared" si="50"/>
        <v>0</v>
      </c>
    </row>
    <row r="816" spans="20:20" ht="18.75" customHeight="1" x14ac:dyDescent="0.35">
      <c r="T816" s="246">
        <f t="shared" si="50"/>
        <v>0</v>
      </c>
    </row>
    <row r="817" spans="20:20" ht="18.75" customHeight="1" x14ac:dyDescent="0.35">
      <c r="T817" s="246">
        <f t="shared" si="50"/>
        <v>0</v>
      </c>
    </row>
    <row r="818" spans="20:20" ht="18.75" customHeight="1" x14ac:dyDescent="0.35">
      <c r="T818" s="246">
        <f t="shared" si="50"/>
        <v>0</v>
      </c>
    </row>
    <row r="819" spans="20:20" ht="18.75" customHeight="1" x14ac:dyDescent="0.35">
      <c r="T819" s="246">
        <f t="shared" si="50"/>
        <v>0</v>
      </c>
    </row>
    <row r="820" spans="20:20" ht="18.75" customHeight="1" x14ac:dyDescent="0.35">
      <c r="T820" s="246">
        <f t="shared" si="50"/>
        <v>0</v>
      </c>
    </row>
    <row r="821" spans="20:20" ht="18.75" customHeight="1" x14ac:dyDescent="0.35">
      <c r="T821" s="246">
        <f t="shared" si="50"/>
        <v>0</v>
      </c>
    </row>
    <row r="822" spans="20:20" ht="18.75" customHeight="1" x14ac:dyDescent="0.35">
      <c r="T822" s="246">
        <f t="shared" si="50"/>
        <v>0</v>
      </c>
    </row>
    <row r="823" spans="20:20" ht="18.75" customHeight="1" x14ac:dyDescent="0.35">
      <c r="T823" s="246">
        <f t="shared" si="50"/>
        <v>0</v>
      </c>
    </row>
    <row r="824" spans="20:20" ht="18.75" customHeight="1" x14ac:dyDescent="0.35">
      <c r="T824" s="246">
        <f t="shared" si="50"/>
        <v>0</v>
      </c>
    </row>
    <row r="825" spans="20:20" ht="18.75" customHeight="1" x14ac:dyDescent="0.35">
      <c r="T825" s="246">
        <f t="shared" si="50"/>
        <v>0</v>
      </c>
    </row>
    <row r="826" spans="20:20" ht="18.75" customHeight="1" x14ac:dyDescent="0.35">
      <c r="T826" s="246">
        <f t="shared" si="50"/>
        <v>0</v>
      </c>
    </row>
    <row r="827" spans="20:20" ht="18.75" customHeight="1" x14ac:dyDescent="0.35">
      <c r="T827" s="246">
        <f t="shared" si="50"/>
        <v>0</v>
      </c>
    </row>
    <row r="828" spans="20:20" ht="18.75" customHeight="1" x14ac:dyDescent="0.35">
      <c r="T828" s="246">
        <f t="shared" ref="T828:T891" si="51">R828*0.01</f>
        <v>0</v>
      </c>
    </row>
    <row r="829" spans="20:20" ht="18.75" customHeight="1" x14ac:dyDescent="0.35">
      <c r="T829" s="246">
        <f t="shared" si="51"/>
        <v>0</v>
      </c>
    </row>
    <row r="830" spans="20:20" ht="18.75" customHeight="1" x14ac:dyDescent="0.35">
      <c r="T830" s="246">
        <f t="shared" si="51"/>
        <v>0</v>
      </c>
    </row>
    <row r="831" spans="20:20" ht="18.75" customHeight="1" x14ac:dyDescent="0.35">
      <c r="T831" s="246">
        <f t="shared" si="51"/>
        <v>0</v>
      </c>
    </row>
    <row r="832" spans="20:20" ht="18.75" customHeight="1" x14ac:dyDescent="0.35">
      <c r="T832" s="246">
        <f t="shared" si="51"/>
        <v>0</v>
      </c>
    </row>
    <row r="833" spans="20:20" ht="18.75" customHeight="1" x14ac:dyDescent="0.35">
      <c r="T833" s="246">
        <f t="shared" si="51"/>
        <v>0</v>
      </c>
    </row>
    <row r="834" spans="20:20" ht="18.75" customHeight="1" x14ac:dyDescent="0.35">
      <c r="T834" s="246">
        <f t="shared" si="51"/>
        <v>0</v>
      </c>
    </row>
    <row r="835" spans="20:20" ht="18.75" customHeight="1" x14ac:dyDescent="0.35">
      <c r="T835" s="246">
        <f t="shared" si="51"/>
        <v>0</v>
      </c>
    </row>
    <row r="836" spans="20:20" ht="18.75" customHeight="1" x14ac:dyDescent="0.35">
      <c r="T836" s="246">
        <f t="shared" si="51"/>
        <v>0</v>
      </c>
    </row>
    <row r="837" spans="20:20" ht="18.75" customHeight="1" x14ac:dyDescent="0.35">
      <c r="T837" s="246">
        <f t="shared" si="51"/>
        <v>0</v>
      </c>
    </row>
    <row r="838" spans="20:20" ht="18.75" customHeight="1" x14ac:dyDescent="0.35">
      <c r="T838" s="246">
        <f t="shared" si="51"/>
        <v>0</v>
      </c>
    </row>
    <row r="839" spans="20:20" ht="18.75" customHeight="1" x14ac:dyDescent="0.35">
      <c r="T839" s="246">
        <f t="shared" si="51"/>
        <v>0</v>
      </c>
    </row>
    <row r="840" spans="20:20" ht="18.75" customHeight="1" x14ac:dyDescent="0.35">
      <c r="T840" s="246">
        <f t="shared" si="51"/>
        <v>0</v>
      </c>
    </row>
    <row r="841" spans="20:20" ht="18.75" customHeight="1" x14ac:dyDescent="0.35">
      <c r="T841" s="246">
        <f t="shared" si="51"/>
        <v>0</v>
      </c>
    </row>
    <row r="842" spans="20:20" ht="18.75" customHeight="1" x14ac:dyDescent="0.35">
      <c r="T842" s="246">
        <f t="shared" si="51"/>
        <v>0</v>
      </c>
    </row>
    <row r="843" spans="20:20" ht="18.75" customHeight="1" x14ac:dyDescent="0.35">
      <c r="T843" s="246">
        <f t="shared" si="51"/>
        <v>0</v>
      </c>
    </row>
    <row r="844" spans="20:20" ht="18.75" customHeight="1" x14ac:dyDescent="0.35">
      <c r="T844" s="246">
        <f t="shared" si="51"/>
        <v>0</v>
      </c>
    </row>
    <row r="845" spans="20:20" ht="18.75" customHeight="1" x14ac:dyDescent="0.35">
      <c r="T845" s="246">
        <f t="shared" si="51"/>
        <v>0</v>
      </c>
    </row>
    <row r="846" spans="20:20" ht="18.75" customHeight="1" x14ac:dyDescent="0.35">
      <c r="T846" s="246">
        <f t="shared" si="51"/>
        <v>0</v>
      </c>
    </row>
    <row r="847" spans="20:20" ht="18.75" customHeight="1" x14ac:dyDescent="0.35">
      <c r="T847" s="246">
        <f t="shared" si="51"/>
        <v>0</v>
      </c>
    </row>
    <row r="848" spans="20:20" ht="18.75" customHeight="1" x14ac:dyDescent="0.35">
      <c r="T848" s="246">
        <f t="shared" si="51"/>
        <v>0</v>
      </c>
    </row>
    <row r="849" spans="20:20" ht="18.75" customHeight="1" x14ac:dyDescent="0.35">
      <c r="T849" s="246">
        <f t="shared" si="51"/>
        <v>0</v>
      </c>
    </row>
    <row r="850" spans="20:20" ht="18.75" customHeight="1" x14ac:dyDescent="0.35">
      <c r="T850" s="246">
        <f t="shared" si="51"/>
        <v>0</v>
      </c>
    </row>
    <row r="851" spans="20:20" ht="18.75" customHeight="1" x14ac:dyDescent="0.35">
      <c r="T851" s="246">
        <f t="shared" si="51"/>
        <v>0</v>
      </c>
    </row>
    <row r="852" spans="20:20" ht="18.75" customHeight="1" x14ac:dyDescent="0.35">
      <c r="T852" s="246">
        <f t="shared" si="51"/>
        <v>0</v>
      </c>
    </row>
    <row r="853" spans="20:20" ht="18.75" customHeight="1" x14ac:dyDescent="0.35">
      <c r="T853" s="246">
        <f t="shared" si="51"/>
        <v>0</v>
      </c>
    </row>
    <row r="854" spans="20:20" ht="18.75" customHeight="1" x14ac:dyDescent="0.35">
      <c r="T854" s="246">
        <f t="shared" si="51"/>
        <v>0</v>
      </c>
    </row>
    <row r="855" spans="20:20" ht="18.75" customHeight="1" x14ac:dyDescent="0.35">
      <c r="T855" s="246">
        <f t="shared" si="51"/>
        <v>0</v>
      </c>
    </row>
    <row r="856" spans="20:20" ht="18.75" customHeight="1" x14ac:dyDescent="0.35">
      <c r="T856" s="246">
        <f t="shared" si="51"/>
        <v>0</v>
      </c>
    </row>
    <row r="857" spans="20:20" ht="18.75" customHeight="1" x14ac:dyDescent="0.35">
      <c r="T857" s="246">
        <f t="shared" si="51"/>
        <v>0</v>
      </c>
    </row>
    <row r="858" spans="20:20" ht="18.75" customHeight="1" x14ac:dyDescent="0.35">
      <c r="T858" s="246">
        <f t="shared" si="51"/>
        <v>0</v>
      </c>
    </row>
    <row r="859" spans="20:20" ht="18.75" customHeight="1" x14ac:dyDescent="0.35">
      <c r="T859" s="246">
        <f t="shared" si="51"/>
        <v>0</v>
      </c>
    </row>
    <row r="860" spans="20:20" ht="18.75" customHeight="1" x14ac:dyDescent="0.35">
      <c r="T860" s="246">
        <f t="shared" si="51"/>
        <v>0</v>
      </c>
    </row>
    <row r="861" spans="20:20" ht="18.75" customHeight="1" x14ac:dyDescent="0.35">
      <c r="T861" s="246">
        <f t="shared" si="51"/>
        <v>0</v>
      </c>
    </row>
    <row r="862" spans="20:20" ht="18.75" customHeight="1" x14ac:dyDescent="0.35">
      <c r="T862" s="246">
        <f t="shared" si="51"/>
        <v>0</v>
      </c>
    </row>
    <row r="863" spans="20:20" ht="18.75" customHeight="1" x14ac:dyDescent="0.35">
      <c r="T863" s="246">
        <f t="shared" si="51"/>
        <v>0</v>
      </c>
    </row>
    <row r="864" spans="20:20" ht="18.75" customHeight="1" x14ac:dyDescent="0.35">
      <c r="T864" s="246">
        <f t="shared" si="51"/>
        <v>0</v>
      </c>
    </row>
    <row r="865" spans="20:20" ht="18.75" customHeight="1" x14ac:dyDescent="0.35">
      <c r="T865" s="246">
        <f t="shared" si="51"/>
        <v>0</v>
      </c>
    </row>
    <row r="866" spans="20:20" ht="18.75" customHeight="1" x14ac:dyDescent="0.35">
      <c r="T866" s="246">
        <f t="shared" si="51"/>
        <v>0</v>
      </c>
    </row>
    <row r="867" spans="20:20" ht="18.75" customHeight="1" x14ac:dyDescent="0.35">
      <c r="T867" s="246">
        <f t="shared" si="51"/>
        <v>0</v>
      </c>
    </row>
    <row r="868" spans="20:20" ht="18.75" customHeight="1" x14ac:dyDescent="0.35">
      <c r="T868" s="246">
        <f t="shared" si="51"/>
        <v>0</v>
      </c>
    </row>
    <row r="869" spans="20:20" ht="18.75" customHeight="1" x14ac:dyDescent="0.35">
      <c r="T869" s="246">
        <f t="shared" si="51"/>
        <v>0</v>
      </c>
    </row>
    <row r="870" spans="20:20" ht="18.75" customHeight="1" x14ac:dyDescent="0.35">
      <c r="T870" s="246">
        <f t="shared" si="51"/>
        <v>0</v>
      </c>
    </row>
    <row r="871" spans="20:20" ht="18.75" customHeight="1" x14ac:dyDescent="0.35">
      <c r="T871" s="246">
        <f t="shared" si="51"/>
        <v>0</v>
      </c>
    </row>
    <row r="872" spans="20:20" ht="18.75" customHeight="1" x14ac:dyDescent="0.35">
      <c r="T872" s="246">
        <f t="shared" si="51"/>
        <v>0</v>
      </c>
    </row>
    <row r="873" spans="20:20" ht="18.75" customHeight="1" x14ac:dyDescent="0.35">
      <c r="T873" s="246">
        <f t="shared" si="51"/>
        <v>0</v>
      </c>
    </row>
    <row r="874" spans="20:20" ht="18.75" customHeight="1" x14ac:dyDescent="0.35">
      <c r="T874" s="246">
        <f t="shared" si="51"/>
        <v>0</v>
      </c>
    </row>
    <row r="875" spans="20:20" ht="18.75" customHeight="1" x14ac:dyDescent="0.35">
      <c r="T875" s="246">
        <f t="shared" si="51"/>
        <v>0</v>
      </c>
    </row>
    <row r="876" spans="20:20" ht="18.75" customHeight="1" x14ac:dyDescent="0.35">
      <c r="T876" s="246">
        <f t="shared" si="51"/>
        <v>0</v>
      </c>
    </row>
    <row r="877" spans="20:20" ht="18.75" customHeight="1" x14ac:dyDescent="0.35">
      <c r="T877" s="246">
        <f t="shared" si="51"/>
        <v>0</v>
      </c>
    </row>
    <row r="878" spans="20:20" ht="18.75" customHeight="1" x14ac:dyDescent="0.35">
      <c r="T878" s="246">
        <f t="shared" si="51"/>
        <v>0</v>
      </c>
    </row>
    <row r="879" spans="20:20" ht="18.75" customHeight="1" x14ac:dyDescent="0.35">
      <c r="T879" s="246">
        <f t="shared" si="51"/>
        <v>0</v>
      </c>
    </row>
    <row r="880" spans="20:20" ht="18.75" customHeight="1" x14ac:dyDescent="0.35">
      <c r="T880" s="246">
        <f t="shared" si="51"/>
        <v>0</v>
      </c>
    </row>
    <row r="881" spans="20:20" ht="18.75" customHeight="1" x14ac:dyDescent="0.35">
      <c r="T881" s="246">
        <f t="shared" si="51"/>
        <v>0</v>
      </c>
    </row>
    <row r="882" spans="20:20" ht="18.75" customHeight="1" x14ac:dyDescent="0.35">
      <c r="T882" s="246">
        <f t="shared" si="51"/>
        <v>0</v>
      </c>
    </row>
    <row r="883" spans="20:20" ht="18.75" customHeight="1" x14ac:dyDescent="0.35">
      <c r="T883" s="246">
        <f t="shared" si="51"/>
        <v>0</v>
      </c>
    </row>
    <row r="884" spans="20:20" ht="18.75" customHeight="1" x14ac:dyDescent="0.35">
      <c r="T884" s="246">
        <f t="shared" si="51"/>
        <v>0</v>
      </c>
    </row>
    <row r="885" spans="20:20" ht="18.75" customHeight="1" x14ac:dyDescent="0.35">
      <c r="T885" s="246">
        <f t="shared" si="51"/>
        <v>0</v>
      </c>
    </row>
    <row r="886" spans="20:20" ht="18.75" customHeight="1" x14ac:dyDescent="0.35">
      <c r="T886" s="246">
        <f t="shared" si="51"/>
        <v>0</v>
      </c>
    </row>
    <row r="887" spans="20:20" ht="18.75" customHeight="1" x14ac:dyDescent="0.35">
      <c r="T887" s="246">
        <f t="shared" si="51"/>
        <v>0</v>
      </c>
    </row>
    <row r="888" spans="20:20" ht="18.75" customHeight="1" x14ac:dyDescent="0.35">
      <c r="T888" s="246">
        <f t="shared" si="51"/>
        <v>0</v>
      </c>
    </row>
    <row r="889" spans="20:20" ht="18.75" customHeight="1" x14ac:dyDescent="0.35">
      <c r="T889" s="246">
        <f t="shared" si="51"/>
        <v>0</v>
      </c>
    </row>
    <row r="890" spans="20:20" ht="18.75" customHeight="1" x14ac:dyDescent="0.35">
      <c r="T890" s="246">
        <f t="shared" si="51"/>
        <v>0</v>
      </c>
    </row>
    <row r="891" spans="20:20" ht="18.75" customHeight="1" x14ac:dyDescent="0.35">
      <c r="T891" s="246">
        <f t="shared" si="51"/>
        <v>0</v>
      </c>
    </row>
    <row r="892" spans="20:20" ht="18.75" customHeight="1" x14ac:dyDescent="0.35">
      <c r="T892" s="246">
        <f t="shared" ref="T892:T955" si="52">R892*0.01</f>
        <v>0</v>
      </c>
    </row>
    <row r="893" spans="20:20" ht="18.75" customHeight="1" x14ac:dyDescent="0.35">
      <c r="T893" s="246">
        <f t="shared" si="52"/>
        <v>0</v>
      </c>
    </row>
    <row r="894" spans="20:20" ht="18.75" customHeight="1" x14ac:dyDescent="0.35">
      <c r="T894" s="246">
        <f t="shared" si="52"/>
        <v>0</v>
      </c>
    </row>
    <row r="895" spans="20:20" ht="18.75" customHeight="1" x14ac:dyDescent="0.35">
      <c r="T895" s="246">
        <f t="shared" si="52"/>
        <v>0</v>
      </c>
    </row>
    <row r="896" spans="20:20" ht="18.75" customHeight="1" x14ac:dyDescent="0.35">
      <c r="T896" s="246">
        <f t="shared" si="52"/>
        <v>0</v>
      </c>
    </row>
    <row r="897" spans="20:20" ht="18.75" customHeight="1" x14ac:dyDescent="0.35">
      <c r="T897" s="246">
        <f t="shared" si="52"/>
        <v>0</v>
      </c>
    </row>
    <row r="898" spans="20:20" ht="18.75" customHeight="1" x14ac:dyDescent="0.35">
      <c r="T898" s="246">
        <f t="shared" si="52"/>
        <v>0</v>
      </c>
    </row>
    <row r="899" spans="20:20" ht="18.75" customHeight="1" x14ac:dyDescent="0.35">
      <c r="T899" s="246">
        <f t="shared" si="52"/>
        <v>0</v>
      </c>
    </row>
    <row r="900" spans="20:20" ht="18.75" customHeight="1" x14ac:dyDescent="0.35">
      <c r="T900" s="246">
        <f t="shared" si="52"/>
        <v>0</v>
      </c>
    </row>
    <row r="901" spans="20:20" ht="18.75" customHeight="1" x14ac:dyDescent="0.35">
      <c r="T901" s="246">
        <f t="shared" si="52"/>
        <v>0</v>
      </c>
    </row>
    <row r="902" spans="20:20" ht="18.75" customHeight="1" x14ac:dyDescent="0.35">
      <c r="T902" s="246">
        <f t="shared" si="52"/>
        <v>0</v>
      </c>
    </row>
    <row r="903" spans="20:20" ht="18.75" customHeight="1" x14ac:dyDescent="0.35">
      <c r="T903" s="246">
        <f t="shared" si="52"/>
        <v>0</v>
      </c>
    </row>
    <row r="904" spans="20:20" ht="18.75" customHeight="1" x14ac:dyDescent="0.35">
      <c r="T904" s="246">
        <f t="shared" si="52"/>
        <v>0</v>
      </c>
    </row>
    <row r="905" spans="20:20" ht="18.75" customHeight="1" x14ac:dyDescent="0.35">
      <c r="T905" s="246">
        <f t="shared" si="52"/>
        <v>0</v>
      </c>
    </row>
    <row r="906" spans="20:20" ht="18.75" customHeight="1" x14ac:dyDescent="0.35">
      <c r="T906" s="246">
        <f t="shared" si="52"/>
        <v>0</v>
      </c>
    </row>
    <row r="907" spans="20:20" ht="18.75" customHeight="1" x14ac:dyDescent="0.35">
      <c r="T907" s="246">
        <f t="shared" si="52"/>
        <v>0</v>
      </c>
    </row>
    <row r="908" spans="20:20" ht="18.75" customHeight="1" x14ac:dyDescent="0.35">
      <c r="T908" s="246">
        <f t="shared" si="52"/>
        <v>0</v>
      </c>
    </row>
    <row r="909" spans="20:20" ht="18.75" customHeight="1" x14ac:dyDescent="0.35">
      <c r="T909" s="246">
        <f t="shared" si="52"/>
        <v>0</v>
      </c>
    </row>
    <row r="910" spans="20:20" ht="18.75" customHeight="1" x14ac:dyDescent="0.35">
      <c r="T910" s="246">
        <f t="shared" si="52"/>
        <v>0</v>
      </c>
    </row>
    <row r="911" spans="20:20" ht="18.75" customHeight="1" x14ac:dyDescent="0.35">
      <c r="T911" s="246">
        <f t="shared" si="52"/>
        <v>0</v>
      </c>
    </row>
    <row r="912" spans="20:20" ht="18.75" customHeight="1" x14ac:dyDescent="0.35">
      <c r="T912" s="246">
        <f t="shared" si="52"/>
        <v>0</v>
      </c>
    </row>
    <row r="913" spans="20:20" ht="18.75" customHeight="1" x14ac:dyDescent="0.35">
      <c r="T913" s="246">
        <f t="shared" si="52"/>
        <v>0</v>
      </c>
    </row>
    <row r="914" spans="20:20" ht="18.75" customHeight="1" x14ac:dyDescent="0.35">
      <c r="T914" s="246">
        <f t="shared" si="52"/>
        <v>0</v>
      </c>
    </row>
    <row r="915" spans="20:20" ht="18.75" customHeight="1" x14ac:dyDescent="0.35">
      <c r="T915" s="246">
        <f t="shared" si="52"/>
        <v>0</v>
      </c>
    </row>
    <row r="916" spans="20:20" ht="18.75" customHeight="1" x14ac:dyDescent="0.35">
      <c r="T916" s="246">
        <f t="shared" si="52"/>
        <v>0</v>
      </c>
    </row>
    <row r="917" spans="20:20" ht="18.75" customHeight="1" x14ac:dyDescent="0.35">
      <c r="T917" s="246">
        <f t="shared" si="52"/>
        <v>0</v>
      </c>
    </row>
    <row r="918" spans="20:20" ht="18.75" customHeight="1" x14ac:dyDescent="0.35">
      <c r="T918" s="246">
        <f t="shared" si="52"/>
        <v>0</v>
      </c>
    </row>
    <row r="919" spans="20:20" ht="18.75" customHeight="1" x14ac:dyDescent="0.35">
      <c r="T919" s="246">
        <f t="shared" si="52"/>
        <v>0</v>
      </c>
    </row>
    <row r="920" spans="20:20" ht="18.75" customHeight="1" x14ac:dyDescent="0.35">
      <c r="T920" s="246">
        <f t="shared" si="52"/>
        <v>0</v>
      </c>
    </row>
    <row r="921" spans="20:20" ht="18.75" customHeight="1" x14ac:dyDescent="0.35">
      <c r="T921" s="246">
        <f t="shared" si="52"/>
        <v>0</v>
      </c>
    </row>
    <row r="922" spans="20:20" ht="18.75" customHeight="1" x14ac:dyDescent="0.35">
      <c r="T922" s="246">
        <f t="shared" si="52"/>
        <v>0</v>
      </c>
    </row>
    <row r="923" spans="20:20" ht="18.75" customHeight="1" x14ac:dyDescent="0.35">
      <c r="T923" s="246">
        <f t="shared" si="52"/>
        <v>0</v>
      </c>
    </row>
    <row r="924" spans="20:20" ht="18.75" customHeight="1" x14ac:dyDescent="0.35">
      <c r="T924" s="246">
        <f t="shared" si="52"/>
        <v>0</v>
      </c>
    </row>
    <row r="925" spans="20:20" ht="18.75" customHeight="1" x14ac:dyDescent="0.35">
      <c r="T925" s="246">
        <f t="shared" si="52"/>
        <v>0</v>
      </c>
    </row>
    <row r="926" spans="20:20" ht="18.75" customHeight="1" x14ac:dyDescent="0.35">
      <c r="T926" s="246">
        <f t="shared" si="52"/>
        <v>0</v>
      </c>
    </row>
    <row r="927" spans="20:20" ht="18.75" customHeight="1" x14ac:dyDescent="0.35">
      <c r="T927" s="246">
        <f t="shared" si="52"/>
        <v>0</v>
      </c>
    </row>
    <row r="928" spans="20:20" ht="18.75" customHeight="1" x14ac:dyDescent="0.35">
      <c r="T928" s="246">
        <f t="shared" si="52"/>
        <v>0</v>
      </c>
    </row>
    <row r="929" spans="20:20" ht="18.75" customHeight="1" x14ac:dyDescent="0.35">
      <c r="T929" s="246">
        <f t="shared" si="52"/>
        <v>0</v>
      </c>
    </row>
    <row r="930" spans="20:20" ht="18.75" customHeight="1" x14ac:dyDescent="0.35">
      <c r="T930" s="246">
        <f t="shared" si="52"/>
        <v>0</v>
      </c>
    </row>
    <row r="931" spans="20:20" ht="18.75" customHeight="1" x14ac:dyDescent="0.35">
      <c r="T931" s="246">
        <f t="shared" si="52"/>
        <v>0</v>
      </c>
    </row>
    <row r="932" spans="20:20" ht="18.75" customHeight="1" x14ac:dyDescent="0.35">
      <c r="T932" s="246">
        <f t="shared" si="52"/>
        <v>0</v>
      </c>
    </row>
    <row r="933" spans="20:20" ht="18.75" customHeight="1" x14ac:dyDescent="0.35">
      <c r="T933" s="246">
        <f t="shared" si="52"/>
        <v>0</v>
      </c>
    </row>
    <row r="934" spans="20:20" ht="18.75" customHeight="1" x14ac:dyDescent="0.35">
      <c r="T934" s="246">
        <f t="shared" si="52"/>
        <v>0</v>
      </c>
    </row>
    <row r="935" spans="20:20" ht="18.75" customHeight="1" x14ac:dyDescent="0.35">
      <c r="T935" s="246">
        <f t="shared" si="52"/>
        <v>0</v>
      </c>
    </row>
    <row r="936" spans="20:20" ht="18.75" customHeight="1" x14ac:dyDescent="0.35">
      <c r="T936" s="246">
        <f t="shared" si="52"/>
        <v>0</v>
      </c>
    </row>
    <row r="937" spans="20:20" ht="18.75" customHeight="1" x14ac:dyDescent="0.35">
      <c r="T937" s="246">
        <f t="shared" si="52"/>
        <v>0</v>
      </c>
    </row>
    <row r="938" spans="20:20" ht="18.75" customHeight="1" x14ac:dyDescent="0.35">
      <c r="T938" s="246">
        <f t="shared" si="52"/>
        <v>0</v>
      </c>
    </row>
    <row r="939" spans="20:20" ht="18.75" customHeight="1" x14ac:dyDescent="0.35">
      <c r="T939" s="246">
        <f t="shared" si="52"/>
        <v>0</v>
      </c>
    </row>
    <row r="940" spans="20:20" ht="18.75" customHeight="1" x14ac:dyDescent="0.35">
      <c r="T940" s="246">
        <f t="shared" si="52"/>
        <v>0</v>
      </c>
    </row>
    <row r="941" spans="20:20" ht="18.75" customHeight="1" x14ac:dyDescent="0.35">
      <c r="T941" s="246">
        <f t="shared" si="52"/>
        <v>0</v>
      </c>
    </row>
    <row r="942" spans="20:20" ht="18.75" customHeight="1" x14ac:dyDescent="0.35">
      <c r="T942" s="246">
        <f t="shared" si="52"/>
        <v>0</v>
      </c>
    </row>
    <row r="943" spans="20:20" ht="18.75" customHeight="1" x14ac:dyDescent="0.35">
      <c r="T943" s="246">
        <f t="shared" si="52"/>
        <v>0</v>
      </c>
    </row>
    <row r="944" spans="20:20" ht="18.75" customHeight="1" x14ac:dyDescent="0.35">
      <c r="T944" s="246">
        <f t="shared" si="52"/>
        <v>0</v>
      </c>
    </row>
    <row r="945" spans="20:20" ht="18.75" customHeight="1" x14ac:dyDescent="0.35">
      <c r="T945" s="246">
        <f t="shared" si="52"/>
        <v>0</v>
      </c>
    </row>
    <row r="946" spans="20:20" ht="18.75" customHeight="1" x14ac:dyDescent="0.35">
      <c r="T946" s="246">
        <f t="shared" si="52"/>
        <v>0</v>
      </c>
    </row>
    <row r="947" spans="20:20" ht="18.75" customHeight="1" x14ac:dyDescent="0.35">
      <c r="T947" s="246">
        <f t="shared" si="52"/>
        <v>0</v>
      </c>
    </row>
    <row r="948" spans="20:20" ht="18.75" customHeight="1" x14ac:dyDescent="0.35">
      <c r="T948" s="246">
        <f t="shared" si="52"/>
        <v>0</v>
      </c>
    </row>
    <row r="949" spans="20:20" ht="18.75" customHeight="1" x14ac:dyDescent="0.35">
      <c r="T949" s="246">
        <f t="shared" si="52"/>
        <v>0</v>
      </c>
    </row>
    <row r="950" spans="20:20" ht="18.75" customHeight="1" x14ac:dyDescent="0.35">
      <c r="T950" s="246">
        <f t="shared" si="52"/>
        <v>0</v>
      </c>
    </row>
    <row r="951" spans="20:20" ht="18.75" customHeight="1" x14ac:dyDescent="0.35">
      <c r="T951" s="246">
        <f t="shared" si="52"/>
        <v>0</v>
      </c>
    </row>
    <row r="952" spans="20:20" ht="18.75" customHeight="1" x14ac:dyDescent="0.35">
      <c r="T952" s="246">
        <f t="shared" si="52"/>
        <v>0</v>
      </c>
    </row>
    <row r="953" spans="20:20" ht="18.75" customHeight="1" x14ac:dyDescent="0.35">
      <c r="T953" s="246">
        <f t="shared" si="52"/>
        <v>0</v>
      </c>
    </row>
    <row r="954" spans="20:20" ht="18.75" customHeight="1" x14ac:dyDescent="0.35">
      <c r="T954" s="246">
        <f t="shared" si="52"/>
        <v>0</v>
      </c>
    </row>
    <row r="955" spans="20:20" ht="18.75" customHeight="1" x14ac:dyDescent="0.35">
      <c r="T955" s="246">
        <f t="shared" si="52"/>
        <v>0</v>
      </c>
    </row>
    <row r="956" spans="20:20" ht="18.75" customHeight="1" x14ac:dyDescent="0.35">
      <c r="T956" s="246">
        <f t="shared" ref="T956:T1019" si="53">R956*0.01</f>
        <v>0</v>
      </c>
    </row>
    <row r="957" spans="20:20" ht="18.75" customHeight="1" x14ac:dyDescent="0.35">
      <c r="T957" s="246">
        <f t="shared" si="53"/>
        <v>0</v>
      </c>
    </row>
    <row r="958" spans="20:20" ht="18.75" customHeight="1" x14ac:dyDescent="0.35">
      <c r="T958" s="246">
        <f t="shared" si="53"/>
        <v>0</v>
      </c>
    </row>
    <row r="959" spans="20:20" ht="18.75" customHeight="1" x14ac:dyDescent="0.35">
      <c r="T959" s="246">
        <f t="shared" si="53"/>
        <v>0</v>
      </c>
    </row>
    <row r="960" spans="20:20" ht="18.75" customHeight="1" x14ac:dyDescent="0.35">
      <c r="T960" s="246">
        <f t="shared" si="53"/>
        <v>0</v>
      </c>
    </row>
    <row r="961" spans="20:20" ht="18.75" customHeight="1" x14ac:dyDescent="0.35">
      <c r="T961" s="246">
        <f t="shared" si="53"/>
        <v>0</v>
      </c>
    </row>
    <row r="962" spans="20:20" ht="18.75" customHeight="1" x14ac:dyDescent="0.35">
      <c r="T962" s="246">
        <f t="shared" si="53"/>
        <v>0</v>
      </c>
    </row>
    <row r="963" spans="20:20" ht="18.75" customHeight="1" x14ac:dyDescent="0.35">
      <c r="T963" s="246">
        <f t="shared" si="53"/>
        <v>0</v>
      </c>
    </row>
    <row r="964" spans="20:20" ht="18.75" customHeight="1" x14ac:dyDescent="0.35">
      <c r="T964" s="246">
        <f t="shared" si="53"/>
        <v>0</v>
      </c>
    </row>
    <row r="965" spans="20:20" ht="18.75" customHeight="1" x14ac:dyDescent="0.35">
      <c r="T965" s="246">
        <f t="shared" si="53"/>
        <v>0</v>
      </c>
    </row>
    <row r="966" spans="20:20" ht="18.75" customHeight="1" x14ac:dyDescent="0.35">
      <c r="T966" s="246">
        <f t="shared" si="53"/>
        <v>0</v>
      </c>
    </row>
    <row r="967" spans="20:20" ht="18.75" customHeight="1" x14ac:dyDescent="0.35">
      <c r="T967" s="246">
        <f t="shared" si="53"/>
        <v>0</v>
      </c>
    </row>
    <row r="968" spans="20:20" ht="18.75" customHeight="1" x14ac:dyDescent="0.35">
      <c r="T968" s="246">
        <f t="shared" si="53"/>
        <v>0</v>
      </c>
    </row>
    <row r="969" spans="20:20" ht="18.75" customHeight="1" x14ac:dyDescent="0.35">
      <c r="T969" s="246">
        <f t="shared" si="53"/>
        <v>0</v>
      </c>
    </row>
    <row r="970" spans="20:20" ht="18.75" customHeight="1" x14ac:dyDescent="0.35">
      <c r="T970" s="246">
        <f t="shared" si="53"/>
        <v>0</v>
      </c>
    </row>
    <row r="971" spans="20:20" ht="18.75" customHeight="1" x14ac:dyDescent="0.35">
      <c r="T971" s="246">
        <f t="shared" si="53"/>
        <v>0</v>
      </c>
    </row>
    <row r="972" spans="20:20" ht="18.75" customHeight="1" x14ac:dyDescent="0.35">
      <c r="T972" s="246">
        <f t="shared" si="53"/>
        <v>0</v>
      </c>
    </row>
    <row r="973" spans="20:20" ht="18.75" customHeight="1" x14ac:dyDescent="0.35">
      <c r="T973" s="246">
        <f t="shared" si="53"/>
        <v>0</v>
      </c>
    </row>
    <row r="974" spans="20:20" ht="18.75" customHeight="1" x14ac:dyDescent="0.35">
      <c r="T974" s="246">
        <f t="shared" si="53"/>
        <v>0</v>
      </c>
    </row>
    <row r="975" spans="20:20" ht="18.75" customHeight="1" x14ac:dyDescent="0.35">
      <c r="T975" s="246">
        <f t="shared" si="53"/>
        <v>0</v>
      </c>
    </row>
    <row r="976" spans="20:20" ht="18.75" customHeight="1" x14ac:dyDescent="0.35">
      <c r="T976" s="246">
        <f t="shared" si="53"/>
        <v>0</v>
      </c>
    </row>
    <row r="977" spans="20:20" ht="18.75" customHeight="1" x14ac:dyDescent="0.35">
      <c r="T977" s="246">
        <f t="shared" si="53"/>
        <v>0</v>
      </c>
    </row>
    <row r="978" spans="20:20" ht="18.75" customHeight="1" x14ac:dyDescent="0.35">
      <c r="T978" s="246">
        <f t="shared" si="53"/>
        <v>0</v>
      </c>
    </row>
    <row r="979" spans="20:20" ht="18.75" customHeight="1" x14ac:dyDescent="0.35">
      <c r="T979" s="246">
        <f t="shared" si="53"/>
        <v>0</v>
      </c>
    </row>
    <row r="980" spans="20:20" ht="18.75" customHeight="1" x14ac:dyDescent="0.35">
      <c r="T980" s="246">
        <f t="shared" si="53"/>
        <v>0</v>
      </c>
    </row>
    <row r="981" spans="20:20" ht="18.75" customHeight="1" x14ac:dyDescent="0.35">
      <c r="T981" s="246">
        <f t="shared" si="53"/>
        <v>0</v>
      </c>
    </row>
    <row r="982" spans="20:20" ht="18.75" customHeight="1" x14ac:dyDescent="0.35">
      <c r="T982" s="246">
        <f t="shared" si="53"/>
        <v>0</v>
      </c>
    </row>
    <row r="983" spans="20:20" ht="18.75" customHeight="1" x14ac:dyDescent="0.35">
      <c r="T983" s="246">
        <f t="shared" si="53"/>
        <v>0</v>
      </c>
    </row>
    <row r="984" spans="20:20" ht="18.75" customHeight="1" x14ac:dyDescent="0.35">
      <c r="T984" s="246">
        <f t="shared" si="53"/>
        <v>0</v>
      </c>
    </row>
    <row r="985" spans="20:20" ht="18.75" customHeight="1" x14ac:dyDescent="0.35">
      <c r="T985" s="246">
        <f t="shared" si="53"/>
        <v>0</v>
      </c>
    </row>
    <row r="986" spans="20:20" ht="18.75" customHeight="1" x14ac:dyDescent="0.35">
      <c r="T986" s="246">
        <f t="shared" si="53"/>
        <v>0</v>
      </c>
    </row>
    <row r="987" spans="20:20" ht="18.75" customHeight="1" x14ac:dyDescent="0.35">
      <c r="T987" s="246">
        <f t="shared" si="53"/>
        <v>0</v>
      </c>
    </row>
    <row r="988" spans="20:20" ht="18.75" customHeight="1" x14ac:dyDescent="0.35">
      <c r="T988" s="246">
        <f t="shared" si="53"/>
        <v>0</v>
      </c>
    </row>
    <row r="989" spans="20:20" ht="18.75" customHeight="1" x14ac:dyDescent="0.35">
      <c r="T989" s="246">
        <f t="shared" si="53"/>
        <v>0</v>
      </c>
    </row>
    <row r="990" spans="20:20" ht="18.75" customHeight="1" x14ac:dyDescent="0.35">
      <c r="T990" s="246">
        <f t="shared" si="53"/>
        <v>0</v>
      </c>
    </row>
    <row r="991" spans="20:20" ht="18.75" customHeight="1" x14ac:dyDescent="0.35">
      <c r="T991" s="246">
        <f t="shared" si="53"/>
        <v>0</v>
      </c>
    </row>
    <row r="992" spans="20:20" ht="18.75" customHeight="1" x14ac:dyDescent="0.35">
      <c r="T992" s="246">
        <f t="shared" si="53"/>
        <v>0</v>
      </c>
    </row>
    <row r="993" spans="20:20" ht="18.75" customHeight="1" x14ac:dyDescent="0.35">
      <c r="T993" s="246">
        <f t="shared" si="53"/>
        <v>0</v>
      </c>
    </row>
    <row r="994" spans="20:20" ht="18.75" customHeight="1" x14ac:dyDescent="0.35">
      <c r="T994" s="246">
        <f t="shared" si="53"/>
        <v>0</v>
      </c>
    </row>
    <row r="995" spans="20:20" ht="18.75" customHeight="1" x14ac:dyDescent="0.35">
      <c r="T995" s="246">
        <f t="shared" si="53"/>
        <v>0</v>
      </c>
    </row>
    <row r="996" spans="20:20" ht="18.75" customHeight="1" x14ac:dyDescent="0.35">
      <c r="T996" s="246">
        <f t="shared" si="53"/>
        <v>0</v>
      </c>
    </row>
    <row r="997" spans="20:20" ht="18.75" customHeight="1" x14ac:dyDescent="0.35">
      <c r="T997" s="246">
        <f t="shared" si="53"/>
        <v>0</v>
      </c>
    </row>
    <row r="998" spans="20:20" ht="18.75" customHeight="1" x14ac:dyDescent="0.35">
      <c r="T998" s="246">
        <f t="shared" si="53"/>
        <v>0</v>
      </c>
    </row>
    <row r="999" spans="20:20" ht="18.75" customHeight="1" x14ac:dyDescent="0.35">
      <c r="T999" s="246">
        <f t="shared" si="53"/>
        <v>0</v>
      </c>
    </row>
    <row r="1000" spans="20:20" ht="18.75" customHeight="1" x14ac:dyDescent="0.35">
      <c r="T1000" s="246">
        <f t="shared" si="53"/>
        <v>0</v>
      </c>
    </row>
    <row r="1001" spans="20:20" ht="18.75" customHeight="1" x14ac:dyDescent="0.35">
      <c r="T1001" s="246">
        <f t="shared" si="53"/>
        <v>0</v>
      </c>
    </row>
    <row r="1002" spans="20:20" ht="18.75" customHeight="1" x14ac:dyDescent="0.35">
      <c r="T1002" s="246">
        <f t="shared" si="53"/>
        <v>0</v>
      </c>
    </row>
    <row r="1003" spans="20:20" ht="18.75" customHeight="1" x14ac:dyDescent="0.35">
      <c r="T1003" s="246">
        <f t="shared" si="53"/>
        <v>0</v>
      </c>
    </row>
    <row r="1004" spans="20:20" ht="18.75" customHeight="1" x14ac:dyDescent="0.35">
      <c r="T1004" s="246">
        <f t="shared" si="53"/>
        <v>0</v>
      </c>
    </row>
    <row r="1005" spans="20:20" ht="18.75" customHeight="1" x14ac:dyDescent="0.35">
      <c r="T1005" s="246">
        <f t="shared" si="53"/>
        <v>0</v>
      </c>
    </row>
    <row r="1006" spans="20:20" ht="18.75" customHeight="1" x14ac:dyDescent="0.35">
      <c r="T1006" s="246">
        <f t="shared" si="53"/>
        <v>0</v>
      </c>
    </row>
    <row r="1007" spans="20:20" ht="18.75" customHeight="1" x14ac:dyDescent="0.35">
      <c r="T1007" s="246">
        <f t="shared" si="53"/>
        <v>0</v>
      </c>
    </row>
    <row r="1008" spans="20:20" ht="18.75" customHeight="1" x14ac:dyDescent="0.35">
      <c r="T1008" s="246">
        <f t="shared" si="53"/>
        <v>0</v>
      </c>
    </row>
    <row r="1009" spans="20:20" ht="18.75" customHeight="1" x14ac:dyDescent="0.35">
      <c r="T1009" s="246">
        <f t="shared" si="53"/>
        <v>0</v>
      </c>
    </row>
    <row r="1010" spans="20:20" ht="18.75" customHeight="1" x14ac:dyDescent="0.35">
      <c r="T1010" s="246">
        <f t="shared" si="53"/>
        <v>0</v>
      </c>
    </row>
    <row r="1011" spans="20:20" ht="18.75" customHeight="1" x14ac:dyDescent="0.35">
      <c r="T1011" s="246">
        <f t="shared" si="53"/>
        <v>0</v>
      </c>
    </row>
    <row r="1012" spans="20:20" ht="18.75" customHeight="1" x14ac:dyDescent="0.35">
      <c r="T1012" s="246">
        <f t="shared" si="53"/>
        <v>0</v>
      </c>
    </row>
    <row r="1013" spans="20:20" ht="18.75" customHeight="1" x14ac:dyDescent="0.35">
      <c r="T1013" s="246">
        <f t="shared" si="53"/>
        <v>0</v>
      </c>
    </row>
    <row r="1014" spans="20:20" ht="18.75" customHeight="1" x14ac:dyDescent="0.35">
      <c r="T1014" s="246">
        <f t="shared" si="53"/>
        <v>0</v>
      </c>
    </row>
    <row r="1015" spans="20:20" ht="18.75" customHeight="1" x14ac:dyDescent="0.35">
      <c r="T1015" s="246">
        <f t="shared" si="53"/>
        <v>0</v>
      </c>
    </row>
    <row r="1016" spans="20:20" ht="18.75" customHeight="1" x14ac:dyDescent="0.35">
      <c r="T1016" s="246">
        <f t="shared" si="53"/>
        <v>0</v>
      </c>
    </row>
    <row r="1017" spans="20:20" ht="18.75" customHeight="1" x14ac:dyDescent="0.35">
      <c r="T1017" s="246">
        <f t="shared" si="53"/>
        <v>0</v>
      </c>
    </row>
    <row r="1018" spans="20:20" ht="18.75" customHeight="1" x14ac:dyDescent="0.35">
      <c r="T1018" s="246">
        <f t="shared" si="53"/>
        <v>0</v>
      </c>
    </row>
    <row r="1019" spans="20:20" ht="18.75" customHeight="1" x14ac:dyDescent="0.35">
      <c r="T1019" s="246">
        <f t="shared" si="53"/>
        <v>0</v>
      </c>
    </row>
    <row r="1020" spans="20:20" ht="18.75" customHeight="1" x14ac:dyDescent="0.35">
      <c r="T1020" s="246">
        <f t="shared" ref="T1020:T1083" si="54">R1020*0.01</f>
        <v>0</v>
      </c>
    </row>
    <row r="1021" spans="20:20" ht="18.75" customHeight="1" x14ac:dyDescent="0.35">
      <c r="T1021" s="246">
        <f t="shared" si="54"/>
        <v>0</v>
      </c>
    </row>
    <row r="1022" spans="20:20" ht="18.75" customHeight="1" x14ac:dyDescent="0.35">
      <c r="T1022" s="246">
        <f t="shared" si="54"/>
        <v>0</v>
      </c>
    </row>
    <row r="1023" spans="20:20" ht="18.75" customHeight="1" x14ac:dyDescent="0.35">
      <c r="T1023" s="246">
        <f t="shared" si="54"/>
        <v>0</v>
      </c>
    </row>
    <row r="1024" spans="20:20" ht="18.75" customHeight="1" x14ac:dyDescent="0.35">
      <c r="T1024" s="246">
        <f t="shared" si="54"/>
        <v>0</v>
      </c>
    </row>
    <row r="1025" spans="20:20" ht="18.75" customHeight="1" x14ac:dyDescent="0.35">
      <c r="T1025" s="246">
        <f t="shared" si="54"/>
        <v>0</v>
      </c>
    </row>
    <row r="1026" spans="20:20" ht="18.75" customHeight="1" x14ac:dyDescent="0.35">
      <c r="T1026" s="246">
        <f t="shared" si="54"/>
        <v>0</v>
      </c>
    </row>
    <row r="1027" spans="20:20" ht="18.75" customHeight="1" x14ac:dyDescent="0.35">
      <c r="T1027" s="246">
        <f t="shared" si="54"/>
        <v>0</v>
      </c>
    </row>
    <row r="1028" spans="20:20" ht="18.75" customHeight="1" x14ac:dyDescent="0.35">
      <c r="T1028" s="246">
        <f t="shared" si="54"/>
        <v>0</v>
      </c>
    </row>
    <row r="1029" spans="20:20" ht="18.75" customHeight="1" x14ac:dyDescent="0.35">
      <c r="T1029" s="246">
        <f t="shared" si="54"/>
        <v>0</v>
      </c>
    </row>
    <row r="1030" spans="20:20" ht="18.75" customHeight="1" x14ac:dyDescent="0.35">
      <c r="T1030" s="246">
        <f t="shared" si="54"/>
        <v>0</v>
      </c>
    </row>
    <row r="1031" spans="20:20" ht="18.75" customHeight="1" x14ac:dyDescent="0.35">
      <c r="T1031" s="246">
        <f t="shared" si="54"/>
        <v>0</v>
      </c>
    </row>
    <row r="1032" spans="20:20" ht="18.75" customHeight="1" x14ac:dyDescent="0.35">
      <c r="T1032" s="246">
        <f t="shared" si="54"/>
        <v>0</v>
      </c>
    </row>
    <row r="1033" spans="20:20" ht="18.75" customHeight="1" x14ac:dyDescent="0.35">
      <c r="T1033" s="246">
        <f t="shared" si="54"/>
        <v>0</v>
      </c>
    </row>
    <row r="1034" spans="20:20" ht="18.75" customHeight="1" x14ac:dyDescent="0.35">
      <c r="T1034" s="246">
        <f t="shared" si="54"/>
        <v>0</v>
      </c>
    </row>
    <row r="1035" spans="20:20" ht="18.75" customHeight="1" x14ac:dyDescent="0.35">
      <c r="T1035" s="246">
        <f t="shared" si="54"/>
        <v>0</v>
      </c>
    </row>
    <row r="1036" spans="20:20" ht="18.75" customHeight="1" x14ac:dyDescent="0.35">
      <c r="T1036" s="246">
        <f t="shared" si="54"/>
        <v>0</v>
      </c>
    </row>
    <row r="1037" spans="20:20" ht="18.75" customHeight="1" x14ac:dyDescent="0.35">
      <c r="T1037" s="246">
        <f t="shared" si="54"/>
        <v>0</v>
      </c>
    </row>
    <row r="1038" spans="20:20" ht="18.75" customHeight="1" x14ac:dyDescent="0.35">
      <c r="T1038" s="246">
        <f t="shared" si="54"/>
        <v>0</v>
      </c>
    </row>
    <row r="1039" spans="20:20" ht="18.75" customHeight="1" x14ac:dyDescent="0.35">
      <c r="T1039" s="246">
        <f t="shared" si="54"/>
        <v>0</v>
      </c>
    </row>
    <row r="1040" spans="20:20" ht="18.75" customHeight="1" x14ac:dyDescent="0.35">
      <c r="T1040" s="246">
        <f t="shared" si="54"/>
        <v>0</v>
      </c>
    </row>
    <row r="1041" spans="20:20" ht="18.75" customHeight="1" x14ac:dyDescent="0.35">
      <c r="T1041" s="246">
        <f t="shared" si="54"/>
        <v>0</v>
      </c>
    </row>
    <row r="1042" spans="20:20" ht="18.75" customHeight="1" x14ac:dyDescent="0.35">
      <c r="T1042" s="246">
        <f t="shared" si="54"/>
        <v>0</v>
      </c>
    </row>
    <row r="1043" spans="20:20" ht="18.75" customHeight="1" x14ac:dyDescent="0.35">
      <c r="T1043" s="246">
        <f t="shared" si="54"/>
        <v>0</v>
      </c>
    </row>
    <row r="1044" spans="20:20" ht="18.75" customHeight="1" x14ac:dyDescent="0.35">
      <c r="T1044" s="246">
        <f t="shared" si="54"/>
        <v>0</v>
      </c>
    </row>
    <row r="1045" spans="20:20" ht="18.75" customHeight="1" x14ac:dyDescent="0.35">
      <c r="T1045" s="246">
        <f t="shared" si="54"/>
        <v>0</v>
      </c>
    </row>
    <row r="1046" spans="20:20" ht="18.75" customHeight="1" x14ac:dyDescent="0.35">
      <c r="T1046" s="246">
        <f t="shared" si="54"/>
        <v>0</v>
      </c>
    </row>
    <row r="1047" spans="20:20" ht="18.75" customHeight="1" x14ac:dyDescent="0.35">
      <c r="T1047" s="246">
        <f t="shared" si="54"/>
        <v>0</v>
      </c>
    </row>
    <row r="1048" spans="20:20" ht="18.75" customHeight="1" x14ac:dyDescent="0.35">
      <c r="T1048" s="246">
        <f t="shared" si="54"/>
        <v>0</v>
      </c>
    </row>
    <row r="1049" spans="20:20" ht="18.75" customHeight="1" x14ac:dyDescent="0.35">
      <c r="T1049" s="246">
        <f t="shared" si="54"/>
        <v>0</v>
      </c>
    </row>
    <row r="1050" spans="20:20" ht="18.75" customHeight="1" x14ac:dyDescent="0.35">
      <c r="T1050" s="246">
        <f t="shared" si="54"/>
        <v>0</v>
      </c>
    </row>
    <row r="1051" spans="20:20" ht="18.75" customHeight="1" x14ac:dyDescent="0.35">
      <c r="T1051" s="246">
        <f t="shared" si="54"/>
        <v>0</v>
      </c>
    </row>
    <row r="1052" spans="20:20" ht="18.75" customHeight="1" x14ac:dyDescent="0.35">
      <c r="T1052" s="246">
        <f t="shared" si="54"/>
        <v>0</v>
      </c>
    </row>
    <row r="1053" spans="20:20" ht="18.75" customHeight="1" x14ac:dyDescent="0.35">
      <c r="T1053" s="246">
        <f t="shared" si="54"/>
        <v>0</v>
      </c>
    </row>
    <row r="1054" spans="20:20" ht="18.75" customHeight="1" x14ac:dyDescent="0.35">
      <c r="T1054" s="246">
        <f t="shared" si="54"/>
        <v>0</v>
      </c>
    </row>
    <row r="1055" spans="20:20" ht="18.75" customHeight="1" x14ac:dyDescent="0.35">
      <c r="T1055" s="246">
        <f t="shared" si="54"/>
        <v>0</v>
      </c>
    </row>
    <row r="1056" spans="20:20" ht="18.75" customHeight="1" x14ac:dyDescent="0.35">
      <c r="T1056" s="246">
        <f t="shared" si="54"/>
        <v>0</v>
      </c>
    </row>
    <row r="1057" spans="20:20" ht="18.75" customHeight="1" x14ac:dyDescent="0.35">
      <c r="T1057" s="246">
        <f t="shared" si="54"/>
        <v>0</v>
      </c>
    </row>
    <row r="1058" spans="20:20" ht="18.75" customHeight="1" x14ac:dyDescent="0.35">
      <c r="T1058" s="246">
        <f t="shared" si="54"/>
        <v>0</v>
      </c>
    </row>
    <row r="1059" spans="20:20" ht="18.75" customHeight="1" x14ac:dyDescent="0.35">
      <c r="T1059" s="246">
        <f t="shared" si="54"/>
        <v>0</v>
      </c>
    </row>
    <row r="1060" spans="20:20" ht="18.75" customHeight="1" x14ac:dyDescent="0.35">
      <c r="T1060" s="246">
        <f t="shared" si="54"/>
        <v>0</v>
      </c>
    </row>
    <row r="1061" spans="20:20" ht="18.75" customHeight="1" x14ac:dyDescent="0.35">
      <c r="T1061" s="246">
        <f t="shared" si="54"/>
        <v>0</v>
      </c>
    </row>
    <row r="1062" spans="20:20" ht="18.75" customHeight="1" x14ac:dyDescent="0.35">
      <c r="T1062" s="246">
        <f t="shared" si="54"/>
        <v>0</v>
      </c>
    </row>
    <row r="1063" spans="20:20" ht="18.75" customHeight="1" x14ac:dyDescent="0.35">
      <c r="T1063" s="246">
        <f t="shared" si="54"/>
        <v>0</v>
      </c>
    </row>
    <row r="1064" spans="20:20" ht="18.75" customHeight="1" x14ac:dyDescent="0.35">
      <c r="T1064" s="246">
        <f t="shared" si="54"/>
        <v>0</v>
      </c>
    </row>
    <row r="1065" spans="20:20" ht="18.75" customHeight="1" x14ac:dyDescent="0.35">
      <c r="T1065" s="246">
        <f t="shared" si="54"/>
        <v>0</v>
      </c>
    </row>
    <row r="1066" spans="20:20" ht="18.75" customHeight="1" x14ac:dyDescent="0.35">
      <c r="T1066" s="246">
        <f t="shared" si="54"/>
        <v>0</v>
      </c>
    </row>
    <row r="1067" spans="20:20" ht="18.75" customHeight="1" x14ac:dyDescent="0.35">
      <c r="T1067" s="246">
        <f t="shared" si="54"/>
        <v>0</v>
      </c>
    </row>
    <row r="1068" spans="20:20" ht="18.75" customHeight="1" x14ac:dyDescent="0.35">
      <c r="T1068" s="246">
        <f t="shared" si="54"/>
        <v>0</v>
      </c>
    </row>
    <row r="1069" spans="20:20" ht="18.75" customHeight="1" x14ac:dyDescent="0.35">
      <c r="T1069" s="246">
        <f t="shared" si="54"/>
        <v>0</v>
      </c>
    </row>
    <row r="1070" spans="20:20" ht="18.75" customHeight="1" x14ac:dyDescent="0.35">
      <c r="T1070" s="246">
        <f t="shared" si="54"/>
        <v>0</v>
      </c>
    </row>
    <row r="1071" spans="20:20" ht="18.75" customHeight="1" x14ac:dyDescent="0.35">
      <c r="T1071" s="246">
        <f t="shared" si="54"/>
        <v>0</v>
      </c>
    </row>
    <row r="1072" spans="20:20" ht="18.75" customHeight="1" x14ac:dyDescent="0.35">
      <c r="T1072" s="246">
        <f t="shared" si="54"/>
        <v>0</v>
      </c>
    </row>
    <row r="1073" spans="20:20" ht="18.75" customHeight="1" x14ac:dyDescent="0.35">
      <c r="T1073" s="246">
        <f t="shared" si="54"/>
        <v>0</v>
      </c>
    </row>
    <row r="1074" spans="20:20" ht="18.75" customHeight="1" x14ac:dyDescent="0.35">
      <c r="T1074" s="246">
        <f t="shared" si="54"/>
        <v>0</v>
      </c>
    </row>
    <row r="1075" spans="20:20" ht="18.75" customHeight="1" x14ac:dyDescent="0.35">
      <c r="T1075" s="246">
        <f t="shared" si="54"/>
        <v>0</v>
      </c>
    </row>
    <row r="1076" spans="20:20" ht="18.75" customHeight="1" x14ac:dyDescent="0.35">
      <c r="T1076" s="246">
        <f t="shared" si="54"/>
        <v>0</v>
      </c>
    </row>
    <row r="1077" spans="20:20" ht="18.75" customHeight="1" x14ac:dyDescent="0.35">
      <c r="T1077" s="246">
        <f t="shared" si="54"/>
        <v>0</v>
      </c>
    </row>
    <row r="1078" spans="20:20" ht="18.75" customHeight="1" x14ac:dyDescent="0.35">
      <c r="T1078" s="246">
        <f t="shared" si="54"/>
        <v>0</v>
      </c>
    </row>
    <row r="1079" spans="20:20" ht="18.75" customHeight="1" x14ac:dyDescent="0.35">
      <c r="T1079" s="246">
        <f t="shared" si="54"/>
        <v>0</v>
      </c>
    </row>
    <row r="1080" spans="20:20" ht="18.75" customHeight="1" x14ac:dyDescent="0.35">
      <c r="T1080" s="246">
        <f t="shared" si="54"/>
        <v>0</v>
      </c>
    </row>
    <row r="1081" spans="20:20" ht="18.75" customHeight="1" x14ac:dyDescent="0.35">
      <c r="T1081" s="246">
        <f t="shared" si="54"/>
        <v>0</v>
      </c>
    </row>
    <row r="1082" spans="20:20" ht="18.75" customHeight="1" x14ac:dyDescent="0.35">
      <c r="T1082" s="246">
        <f t="shared" si="54"/>
        <v>0</v>
      </c>
    </row>
    <row r="1083" spans="20:20" ht="18.75" customHeight="1" x14ac:dyDescent="0.35">
      <c r="T1083" s="246">
        <f t="shared" si="54"/>
        <v>0</v>
      </c>
    </row>
    <row r="1084" spans="20:20" ht="18.75" customHeight="1" x14ac:dyDescent="0.35">
      <c r="T1084" s="246">
        <f t="shared" ref="T1084:T1147" si="55">R1084*0.01</f>
        <v>0</v>
      </c>
    </row>
    <row r="1085" spans="20:20" ht="18.75" customHeight="1" x14ac:dyDescent="0.35">
      <c r="T1085" s="246">
        <f t="shared" si="55"/>
        <v>0</v>
      </c>
    </row>
    <row r="1086" spans="20:20" ht="18.75" customHeight="1" x14ac:dyDescent="0.35">
      <c r="T1086" s="246">
        <f t="shared" si="55"/>
        <v>0</v>
      </c>
    </row>
    <row r="1087" spans="20:20" ht="18.75" customHeight="1" x14ac:dyDescent="0.35">
      <c r="T1087" s="246">
        <f t="shared" si="55"/>
        <v>0</v>
      </c>
    </row>
    <row r="1088" spans="20:20" ht="18.75" customHeight="1" x14ac:dyDescent="0.35">
      <c r="T1088" s="246">
        <f t="shared" si="55"/>
        <v>0</v>
      </c>
    </row>
    <row r="1089" spans="20:20" ht="18.75" customHeight="1" x14ac:dyDescent="0.35">
      <c r="T1089" s="246">
        <f t="shared" si="55"/>
        <v>0</v>
      </c>
    </row>
    <row r="1090" spans="20:20" ht="18.75" customHeight="1" x14ac:dyDescent="0.35">
      <c r="T1090" s="246">
        <f t="shared" si="55"/>
        <v>0</v>
      </c>
    </row>
    <row r="1091" spans="20:20" ht="18.75" customHeight="1" x14ac:dyDescent="0.35">
      <c r="T1091" s="246">
        <f t="shared" si="55"/>
        <v>0</v>
      </c>
    </row>
    <row r="1092" spans="20:20" ht="18.75" customHeight="1" x14ac:dyDescent="0.35">
      <c r="T1092" s="246">
        <f t="shared" si="55"/>
        <v>0</v>
      </c>
    </row>
    <row r="1093" spans="20:20" ht="18.75" customHeight="1" x14ac:dyDescent="0.35">
      <c r="T1093" s="246">
        <f t="shared" si="55"/>
        <v>0</v>
      </c>
    </row>
    <row r="1094" spans="20:20" ht="18.75" customHeight="1" x14ac:dyDescent="0.35">
      <c r="T1094" s="246">
        <f t="shared" si="55"/>
        <v>0</v>
      </c>
    </row>
    <row r="1095" spans="20:20" ht="18.75" customHeight="1" x14ac:dyDescent="0.35">
      <c r="T1095" s="246">
        <f t="shared" si="55"/>
        <v>0</v>
      </c>
    </row>
    <row r="1096" spans="20:20" ht="18.75" customHeight="1" x14ac:dyDescent="0.35">
      <c r="T1096" s="246">
        <f t="shared" si="55"/>
        <v>0</v>
      </c>
    </row>
    <row r="1097" spans="20:20" ht="18.75" customHeight="1" x14ac:dyDescent="0.35">
      <c r="T1097" s="246">
        <f t="shared" si="55"/>
        <v>0</v>
      </c>
    </row>
    <row r="1098" spans="20:20" ht="18.75" customHeight="1" x14ac:dyDescent="0.35">
      <c r="T1098" s="246">
        <f t="shared" si="55"/>
        <v>0</v>
      </c>
    </row>
    <row r="1099" spans="20:20" ht="18.75" customHeight="1" x14ac:dyDescent="0.35">
      <c r="T1099" s="246">
        <f t="shared" si="55"/>
        <v>0</v>
      </c>
    </row>
    <row r="1100" spans="20:20" ht="18.75" customHeight="1" x14ac:dyDescent="0.35">
      <c r="T1100" s="246">
        <f t="shared" si="55"/>
        <v>0</v>
      </c>
    </row>
    <row r="1101" spans="20:20" ht="18.75" customHeight="1" x14ac:dyDescent="0.35">
      <c r="T1101" s="246">
        <f t="shared" si="55"/>
        <v>0</v>
      </c>
    </row>
    <row r="1102" spans="20:20" ht="18.75" customHeight="1" x14ac:dyDescent="0.35">
      <c r="T1102" s="246">
        <f t="shared" si="55"/>
        <v>0</v>
      </c>
    </row>
    <row r="1103" spans="20:20" ht="18.75" customHeight="1" x14ac:dyDescent="0.35">
      <c r="T1103" s="246">
        <f t="shared" si="55"/>
        <v>0</v>
      </c>
    </row>
    <row r="1104" spans="20:20" ht="18.75" customHeight="1" x14ac:dyDescent="0.35">
      <c r="T1104" s="246">
        <f t="shared" si="55"/>
        <v>0</v>
      </c>
    </row>
    <row r="1105" spans="20:20" ht="18.75" customHeight="1" x14ac:dyDescent="0.35">
      <c r="T1105" s="246">
        <f t="shared" si="55"/>
        <v>0</v>
      </c>
    </row>
    <row r="1106" spans="20:20" ht="18.75" customHeight="1" x14ac:dyDescent="0.35">
      <c r="T1106" s="246">
        <f t="shared" si="55"/>
        <v>0</v>
      </c>
    </row>
    <row r="1107" spans="20:20" ht="18.75" customHeight="1" x14ac:dyDescent="0.35">
      <c r="T1107" s="246">
        <f t="shared" si="55"/>
        <v>0</v>
      </c>
    </row>
    <row r="1108" spans="20:20" ht="18.75" customHeight="1" x14ac:dyDescent="0.35">
      <c r="T1108" s="246">
        <f t="shared" si="55"/>
        <v>0</v>
      </c>
    </row>
    <row r="1109" spans="20:20" ht="18.75" customHeight="1" x14ac:dyDescent="0.35">
      <c r="T1109" s="246">
        <f t="shared" si="55"/>
        <v>0</v>
      </c>
    </row>
    <row r="1110" spans="20:20" ht="18.75" customHeight="1" x14ac:dyDescent="0.35">
      <c r="T1110" s="246">
        <f t="shared" si="55"/>
        <v>0</v>
      </c>
    </row>
    <row r="1111" spans="20:20" ht="18.75" customHeight="1" x14ac:dyDescent="0.35">
      <c r="T1111" s="246">
        <f t="shared" si="55"/>
        <v>0</v>
      </c>
    </row>
    <row r="1112" spans="20:20" ht="18.75" customHeight="1" x14ac:dyDescent="0.35">
      <c r="T1112" s="246">
        <f t="shared" si="55"/>
        <v>0</v>
      </c>
    </row>
    <row r="1113" spans="20:20" ht="18.75" customHeight="1" x14ac:dyDescent="0.35">
      <c r="T1113" s="246">
        <f t="shared" si="55"/>
        <v>0</v>
      </c>
    </row>
    <row r="1114" spans="20:20" ht="18.75" customHeight="1" x14ac:dyDescent="0.35">
      <c r="T1114" s="246">
        <f t="shared" si="55"/>
        <v>0</v>
      </c>
    </row>
    <row r="1115" spans="20:20" ht="18.75" customHeight="1" x14ac:dyDescent="0.35">
      <c r="T1115" s="246">
        <f t="shared" si="55"/>
        <v>0</v>
      </c>
    </row>
    <row r="1116" spans="20:20" ht="18.75" customHeight="1" x14ac:dyDescent="0.35">
      <c r="T1116" s="246">
        <f t="shared" si="55"/>
        <v>0</v>
      </c>
    </row>
    <row r="1117" spans="20:20" ht="18.75" customHeight="1" x14ac:dyDescent="0.35">
      <c r="T1117" s="246">
        <f t="shared" si="55"/>
        <v>0</v>
      </c>
    </row>
    <row r="1118" spans="20:20" ht="18.75" customHeight="1" x14ac:dyDescent="0.35">
      <c r="T1118" s="246">
        <f t="shared" si="55"/>
        <v>0</v>
      </c>
    </row>
    <row r="1119" spans="20:20" ht="18.75" customHeight="1" x14ac:dyDescent="0.35">
      <c r="T1119" s="246">
        <f t="shared" si="55"/>
        <v>0</v>
      </c>
    </row>
    <row r="1120" spans="20:20" ht="18.75" customHeight="1" x14ac:dyDescent="0.35">
      <c r="T1120" s="246">
        <f t="shared" si="55"/>
        <v>0</v>
      </c>
    </row>
    <row r="1121" spans="20:20" ht="18.75" customHeight="1" x14ac:dyDescent="0.35">
      <c r="T1121" s="246">
        <f t="shared" si="55"/>
        <v>0</v>
      </c>
    </row>
    <row r="1122" spans="20:20" ht="18.75" customHeight="1" x14ac:dyDescent="0.35">
      <c r="T1122" s="246">
        <f t="shared" si="55"/>
        <v>0</v>
      </c>
    </row>
    <row r="1123" spans="20:20" ht="18.75" customHeight="1" x14ac:dyDescent="0.35">
      <c r="T1123" s="246">
        <f t="shared" si="55"/>
        <v>0</v>
      </c>
    </row>
    <row r="1124" spans="20:20" ht="18.75" customHeight="1" x14ac:dyDescent="0.35">
      <c r="T1124" s="246">
        <f t="shared" si="55"/>
        <v>0</v>
      </c>
    </row>
    <row r="1125" spans="20:20" ht="18.75" customHeight="1" x14ac:dyDescent="0.35">
      <c r="T1125" s="246">
        <f t="shared" si="55"/>
        <v>0</v>
      </c>
    </row>
    <row r="1126" spans="20:20" ht="18.75" customHeight="1" x14ac:dyDescent="0.35">
      <c r="T1126" s="246">
        <f t="shared" si="55"/>
        <v>0</v>
      </c>
    </row>
    <row r="1127" spans="20:20" ht="18.75" customHeight="1" x14ac:dyDescent="0.35">
      <c r="T1127" s="246">
        <f t="shared" si="55"/>
        <v>0</v>
      </c>
    </row>
    <row r="1128" spans="20:20" ht="18.75" customHeight="1" x14ac:dyDescent="0.35">
      <c r="T1128" s="246">
        <f t="shared" si="55"/>
        <v>0</v>
      </c>
    </row>
    <row r="1129" spans="20:20" ht="18.75" customHeight="1" x14ac:dyDescent="0.35">
      <c r="T1129" s="246">
        <f t="shared" si="55"/>
        <v>0</v>
      </c>
    </row>
    <row r="1130" spans="20:20" ht="18.75" customHeight="1" x14ac:dyDescent="0.35">
      <c r="T1130" s="246">
        <f t="shared" si="55"/>
        <v>0</v>
      </c>
    </row>
    <row r="1131" spans="20:20" ht="18.75" customHeight="1" x14ac:dyDescent="0.35">
      <c r="T1131" s="246">
        <f t="shared" si="55"/>
        <v>0</v>
      </c>
    </row>
    <row r="1132" spans="20:20" ht="18.75" customHeight="1" x14ac:dyDescent="0.35">
      <c r="T1132" s="246">
        <f t="shared" si="55"/>
        <v>0</v>
      </c>
    </row>
    <row r="1133" spans="20:20" ht="18.75" customHeight="1" x14ac:dyDescent="0.35">
      <c r="T1133" s="246">
        <f t="shared" si="55"/>
        <v>0</v>
      </c>
    </row>
    <row r="1134" spans="20:20" ht="18.75" customHeight="1" x14ac:dyDescent="0.35">
      <c r="T1134" s="246">
        <f t="shared" si="55"/>
        <v>0</v>
      </c>
    </row>
    <row r="1135" spans="20:20" ht="18.75" customHeight="1" x14ac:dyDescent="0.35">
      <c r="T1135" s="246">
        <f t="shared" si="55"/>
        <v>0</v>
      </c>
    </row>
    <row r="1136" spans="20:20" ht="18.75" customHeight="1" x14ac:dyDescent="0.35">
      <c r="T1136" s="246">
        <f t="shared" si="55"/>
        <v>0</v>
      </c>
    </row>
    <row r="1137" spans="20:20" ht="18.75" customHeight="1" x14ac:dyDescent="0.35">
      <c r="T1137" s="246">
        <f t="shared" si="55"/>
        <v>0</v>
      </c>
    </row>
    <row r="1138" spans="20:20" ht="18.75" customHeight="1" x14ac:dyDescent="0.35">
      <c r="T1138" s="246">
        <f t="shared" si="55"/>
        <v>0</v>
      </c>
    </row>
    <row r="1139" spans="20:20" ht="18.75" customHeight="1" x14ac:dyDescent="0.35">
      <c r="T1139" s="246">
        <f t="shared" si="55"/>
        <v>0</v>
      </c>
    </row>
    <row r="1140" spans="20:20" ht="18.75" customHeight="1" x14ac:dyDescent="0.35">
      <c r="T1140" s="246">
        <f t="shared" si="55"/>
        <v>0</v>
      </c>
    </row>
    <row r="1141" spans="20:20" ht="18.75" customHeight="1" x14ac:dyDescent="0.35">
      <c r="T1141" s="246">
        <f t="shared" si="55"/>
        <v>0</v>
      </c>
    </row>
    <row r="1142" spans="20:20" ht="18.75" customHeight="1" x14ac:dyDescent="0.35">
      <c r="T1142" s="246">
        <f t="shared" si="55"/>
        <v>0</v>
      </c>
    </row>
    <row r="1143" spans="20:20" ht="18.75" customHeight="1" x14ac:dyDescent="0.35">
      <c r="T1143" s="246">
        <f t="shared" si="55"/>
        <v>0</v>
      </c>
    </row>
    <row r="1144" spans="20:20" ht="18.75" customHeight="1" x14ac:dyDescent="0.35">
      <c r="T1144" s="246">
        <f t="shared" si="55"/>
        <v>0</v>
      </c>
    </row>
    <row r="1145" spans="20:20" ht="18.75" customHeight="1" x14ac:dyDescent="0.35">
      <c r="T1145" s="246">
        <f t="shared" si="55"/>
        <v>0</v>
      </c>
    </row>
    <row r="1146" spans="20:20" ht="18.75" customHeight="1" x14ac:dyDescent="0.35">
      <c r="T1146" s="246">
        <f t="shared" si="55"/>
        <v>0</v>
      </c>
    </row>
    <row r="1147" spans="20:20" ht="18.75" customHeight="1" x14ac:dyDescent="0.35">
      <c r="T1147" s="246">
        <f t="shared" si="55"/>
        <v>0</v>
      </c>
    </row>
    <row r="1148" spans="20:20" ht="18.75" customHeight="1" x14ac:dyDescent="0.35">
      <c r="T1148" s="246">
        <f t="shared" ref="T1148:T1211" si="56">R1148*0.01</f>
        <v>0</v>
      </c>
    </row>
    <row r="1149" spans="20:20" ht="18.75" customHeight="1" x14ac:dyDescent="0.35">
      <c r="T1149" s="246">
        <f t="shared" si="56"/>
        <v>0</v>
      </c>
    </row>
    <row r="1150" spans="20:20" ht="18.75" customHeight="1" x14ac:dyDescent="0.35">
      <c r="T1150" s="246">
        <f t="shared" si="56"/>
        <v>0</v>
      </c>
    </row>
    <row r="1151" spans="20:20" ht="18.75" customHeight="1" x14ac:dyDescent="0.35">
      <c r="T1151" s="246">
        <f t="shared" si="56"/>
        <v>0</v>
      </c>
    </row>
    <row r="1152" spans="20:20" ht="18.75" customHeight="1" x14ac:dyDescent="0.35">
      <c r="T1152" s="246">
        <f t="shared" si="56"/>
        <v>0</v>
      </c>
    </row>
    <row r="1153" spans="20:20" ht="18.75" customHeight="1" x14ac:dyDescent="0.35">
      <c r="T1153" s="246">
        <f t="shared" si="56"/>
        <v>0</v>
      </c>
    </row>
    <row r="1154" spans="20:20" ht="18.75" customHeight="1" x14ac:dyDescent="0.35">
      <c r="T1154" s="246">
        <f t="shared" si="56"/>
        <v>0</v>
      </c>
    </row>
    <row r="1155" spans="20:20" ht="18.75" customHeight="1" x14ac:dyDescent="0.35">
      <c r="T1155" s="246">
        <f t="shared" si="56"/>
        <v>0</v>
      </c>
    </row>
    <row r="1156" spans="20:20" ht="18.75" customHeight="1" x14ac:dyDescent="0.35">
      <c r="T1156" s="246">
        <f t="shared" si="56"/>
        <v>0</v>
      </c>
    </row>
    <row r="1157" spans="20:20" ht="18.75" customHeight="1" x14ac:dyDescent="0.35">
      <c r="T1157" s="246">
        <f t="shared" si="56"/>
        <v>0</v>
      </c>
    </row>
    <row r="1158" spans="20:20" ht="18.75" customHeight="1" x14ac:dyDescent="0.35">
      <c r="T1158" s="246">
        <f t="shared" si="56"/>
        <v>0</v>
      </c>
    </row>
    <row r="1159" spans="20:20" ht="18.75" customHeight="1" x14ac:dyDescent="0.35">
      <c r="T1159" s="246">
        <f t="shared" si="56"/>
        <v>0</v>
      </c>
    </row>
    <row r="1160" spans="20:20" ht="18.75" customHeight="1" x14ac:dyDescent="0.35">
      <c r="T1160" s="246">
        <f t="shared" si="56"/>
        <v>0</v>
      </c>
    </row>
    <row r="1161" spans="20:20" ht="18.75" customHeight="1" x14ac:dyDescent="0.35">
      <c r="T1161" s="246">
        <f t="shared" si="56"/>
        <v>0</v>
      </c>
    </row>
    <row r="1162" spans="20:20" ht="18.75" customHeight="1" x14ac:dyDescent="0.35">
      <c r="T1162" s="246">
        <f t="shared" si="56"/>
        <v>0</v>
      </c>
    </row>
    <row r="1163" spans="20:20" ht="18.75" customHeight="1" x14ac:dyDescent="0.35">
      <c r="T1163" s="246">
        <f t="shared" si="56"/>
        <v>0</v>
      </c>
    </row>
    <row r="1164" spans="20:20" ht="18.75" customHeight="1" x14ac:dyDescent="0.35">
      <c r="T1164" s="246">
        <f t="shared" si="56"/>
        <v>0</v>
      </c>
    </row>
    <row r="1165" spans="20:20" ht="18.75" customHeight="1" x14ac:dyDescent="0.35">
      <c r="T1165" s="246">
        <f t="shared" si="56"/>
        <v>0</v>
      </c>
    </row>
    <row r="1166" spans="20:20" ht="18.75" customHeight="1" x14ac:dyDescent="0.35">
      <c r="T1166" s="246">
        <f t="shared" si="56"/>
        <v>0</v>
      </c>
    </row>
    <row r="1167" spans="20:20" ht="18.75" customHeight="1" x14ac:dyDescent="0.35">
      <c r="T1167" s="246">
        <f t="shared" si="56"/>
        <v>0</v>
      </c>
    </row>
    <row r="1168" spans="20:20" ht="18.75" customHeight="1" x14ac:dyDescent="0.35">
      <c r="T1168" s="246">
        <f t="shared" si="56"/>
        <v>0</v>
      </c>
    </row>
    <row r="1169" spans="20:20" ht="18.75" customHeight="1" x14ac:dyDescent="0.35">
      <c r="T1169" s="246">
        <f t="shared" si="56"/>
        <v>0</v>
      </c>
    </row>
    <row r="1170" spans="20:20" ht="18.75" customHeight="1" x14ac:dyDescent="0.35">
      <c r="T1170" s="246">
        <f t="shared" si="56"/>
        <v>0</v>
      </c>
    </row>
    <row r="1171" spans="20:20" ht="18.75" customHeight="1" x14ac:dyDescent="0.35">
      <c r="T1171" s="246">
        <f t="shared" si="56"/>
        <v>0</v>
      </c>
    </row>
    <row r="1172" spans="20:20" ht="18.75" customHeight="1" x14ac:dyDescent="0.35">
      <c r="T1172" s="246">
        <f t="shared" si="56"/>
        <v>0</v>
      </c>
    </row>
    <row r="1173" spans="20:20" ht="18.75" customHeight="1" x14ac:dyDescent="0.35">
      <c r="T1173" s="246">
        <f t="shared" si="56"/>
        <v>0</v>
      </c>
    </row>
    <row r="1174" spans="20:20" ht="18.75" customHeight="1" x14ac:dyDescent="0.35">
      <c r="T1174" s="246">
        <f t="shared" si="56"/>
        <v>0</v>
      </c>
    </row>
    <row r="1175" spans="20:20" ht="18.75" customHeight="1" x14ac:dyDescent="0.35">
      <c r="T1175" s="246">
        <f t="shared" si="56"/>
        <v>0</v>
      </c>
    </row>
    <row r="1176" spans="20:20" ht="18.75" customHeight="1" x14ac:dyDescent="0.35">
      <c r="T1176" s="246">
        <f t="shared" si="56"/>
        <v>0</v>
      </c>
    </row>
    <row r="1177" spans="20:20" ht="18.75" customHeight="1" x14ac:dyDescent="0.35">
      <c r="T1177" s="246">
        <f t="shared" si="56"/>
        <v>0</v>
      </c>
    </row>
    <row r="1178" spans="20:20" ht="18.75" customHeight="1" x14ac:dyDescent="0.35">
      <c r="T1178" s="246">
        <f t="shared" si="56"/>
        <v>0</v>
      </c>
    </row>
    <row r="1179" spans="20:20" ht="18.75" customHeight="1" x14ac:dyDescent="0.35">
      <c r="T1179" s="246">
        <f t="shared" si="56"/>
        <v>0</v>
      </c>
    </row>
    <row r="1180" spans="20:20" ht="18.75" customHeight="1" x14ac:dyDescent="0.35">
      <c r="T1180" s="246">
        <f t="shared" si="56"/>
        <v>0</v>
      </c>
    </row>
    <row r="1181" spans="20:20" ht="18.75" customHeight="1" x14ac:dyDescent="0.35">
      <c r="T1181" s="246">
        <f t="shared" si="56"/>
        <v>0</v>
      </c>
    </row>
    <row r="1182" spans="20:20" ht="18.75" customHeight="1" x14ac:dyDescent="0.35">
      <c r="T1182" s="246">
        <f t="shared" si="56"/>
        <v>0</v>
      </c>
    </row>
    <row r="1183" spans="20:20" ht="18.75" customHeight="1" x14ac:dyDescent="0.35">
      <c r="T1183" s="246">
        <f t="shared" si="56"/>
        <v>0</v>
      </c>
    </row>
    <row r="1184" spans="20:20" ht="18.75" customHeight="1" x14ac:dyDescent="0.35">
      <c r="T1184" s="246">
        <f t="shared" si="56"/>
        <v>0</v>
      </c>
    </row>
    <row r="1185" spans="20:20" ht="18.75" customHeight="1" x14ac:dyDescent="0.35">
      <c r="T1185" s="246">
        <f t="shared" si="56"/>
        <v>0</v>
      </c>
    </row>
    <row r="1186" spans="20:20" ht="18.75" customHeight="1" x14ac:dyDescent="0.35">
      <c r="T1186" s="246">
        <f t="shared" si="56"/>
        <v>0</v>
      </c>
    </row>
    <row r="1187" spans="20:20" ht="18.75" customHeight="1" x14ac:dyDescent="0.35">
      <c r="T1187" s="246">
        <f t="shared" si="56"/>
        <v>0</v>
      </c>
    </row>
    <row r="1188" spans="20:20" ht="18.75" customHeight="1" x14ac:dyDescent="0.35">
      <c r="T1188" s="246">
        <f t="shared" si="56"/>
        <v>0</v>
      </c>
    </row>
    <row r="1189" spans="20:20" ht="18.75" customHeight="1" x14ac:dyDescent="0.35">
      <c r="T1189" s="246">
        <f t="shared" si="56"/>
        <v>0</v>
      </c>
    </row>
    <row r="1190" spans="20:20" ht="18.75" customHeight="1" x14ac:dyDescent="0.35">
      <c r="T1190" s="246">
        <f t="shared" si="56"/>
        <v>0</v>
      </c>
    </row>
    <row r="1191" spans="20:20" ht="18.75" customHeight="1" x14ac:dyDescent="0.35">
      <c r="T1191" s="246">
        <f t="shared" si="56"/>
        <v>0</v>
      </c>
    </row>
    <row r="1192" spans="20:20" ht="18.75" customHeight="1" x14ac:dyDescent="0.35">
      <c r="T1192" s="246">
        <f t="shared" si="56"/>
        <v>0</v>
      </c>
    </row>
    <row r="1193" spans="20:20" ht="18.75" customHeight="1" x14ac:dyDescent="0.35">
      <c r="T1193" s="246">
        <f t="shared" si="56"/>
        <v>0</v>
      </c>
    </row>
    <row r="1194" spans="20:20" ht="18.75" customHeight="1" x14ac:dyDescent="0.35">
      <c r="T1194" s="246">
        <f t="shared" si="56"/>
        <v>0</v>
      </c>
    </row>
    <row r="1195" spans="20:20" ht="18.75" customHeight="1" x14ac:dyDescent="0.35">
      <c r="T1195" s="246">
        <f t="shared" si="56"/>
        <v>0</v>
      </c>
    </row>
    <row r="1196" spans="20:20" ht="18.75" customHeight="1" x14ac:dyDescent="0.35">
      <c r="T1196" s="246">
        <f t="shared" si="56"/>
        <v>0</v>
      </c>
    </row>
    <row r="1197" spans="20:20" ht="18.75" customHeight="1" x14ac:dyDescent="0.35">
      <c r="T1197" s="246">
        <f t="shared" si="56"/>
        <v>0</v>
      </c>
    </row>
    <row r="1198" spans="20:20" ht="18.75" customHeight="1" x14ac:dyDescent="0.35">
      <c r="T1198" s="246">
        <f t="shared" si="56"/>
        <v>0</v>
      </c>
    </row>
    <row r="1199" spans="20:20" ht="18.75" customHeight="1" x14ac:dyDescent="0.35">
      <c r="T1199" s="246">
        <f t="shared" si="56"/>
        <v>0</v>
      </c>
    </row>
    <row r="1200" spans="20:20" ht="18.75" customHeight="1" x14ac:dyDescent="0.35">
      <c r="T1200" s="246">
        <f t="shared" si="56"/>
        <v>0</v>
      </c>
    </row>
    <row r="1201" spans="20:20" ht="18.75" customHeight="1" x14ac:dyDescent="0.35">
      <c r="T1201" s="246">
        <f t="shared" si="56"/>
        <v>0</v>
      </c>
    </row>
    <row r="1202" spans="20:20" ht="18.75" customHeight="1" x14ac:dyDescent="0.35">
      <c r="T1202" s="246">
        <f t="shared" si="56"/>
        <v>0</v>
      </c>
    </row>
    <row r="1203" spans="20:20" ht="18.75" customHeight="1" x14ac:dyDescent="0.35">
      <c r="T1203" s="246">
        <f t="shared" si="56"/>
        <v>0</v>
      </c>
    </row>
    <row r="1204" spans="20:20" ht="18.75" customHeight="1" x14ac:dyDescent="0.35">
      <c r="T1204" s="246">
        <f t="shared" si="56"/>
        <v>0</v>
      </c>
    </row>
    <row r="1205" spans="20:20" ht="18.75" customHeight="1" x14ac:dyDescent="0.35">
      <c r="T1205" s="246">
        <f t="shared" si="56"/>
        <v>0</v>
      </c>
    </row>
    <row r="1206" spans="20:20" ht="18.75" customHeight="1" x14ac:dyDescent="0.35">
      <c r="T1206" s="246">
        <f t="shared" si="56"/>
        <v>0</v>
      </c>
    </row>
    <row r="1207" spans="20:20" ht="18.75" customHeight="1" x14ac:dyDescent="0.35">
      <c r="T1207" s="246">
        <f t="shared" si="56"/>
        <v>0</v>
      </c>
    </row>
    <row r="1208" spans="20:20" ht="18.75" customHeight="1" x14ac:dyDescent="0.35">
      <c r="T1208" s="246">
        <f t="shared" si="56"/>
        <v>0</v>
      </c>
    </row>
    <row r="1209" spans="20:20" ht="18.75" customHeight="1" x14ac:dyDescent="0.35">
      <c r="T1209" s="246">
        <f t="shared" si="56"/>
        <v>0</v>
      </c>
    </row>
    <row r="1210" spans="20:20" ht="18.75" customHeight="1" x14ac:dyDescent="0.35">
      <c r="T1210" s="246">
        <f t="shared" si="56"/>
        <v>0</v>
      </c>
    </row>
    <row r="1211" spans="20:20" ht="18.75" customHeight="1" x14ac:dyDescent="0.35">
      <c r="T1211" s="246">
        <f t="shared" si="56"/>
        <v>0</v>
      </c>
    </row>
    <row r="1212" spans="20:20" ht="18.75" customHeight="1" x14ac:dyDescent="0.35">
      <c r="T1212" s="246">
        <f t="shared" ref="T1212:T1275" si="57">R1212*0.01</f>
        <v>0</v>
      </c>
    </row>
    <row r="1213" spans="20:20" ht="18.75" customHeight="1" x14ac:dyDescent="0.35">
      <c r="T1213" s="246">
        <f t="shared" si="57"/>
        <v>0</v>
      </c>
    </row>
    <row r="1214" spans="20:20" ht="18.75" customHeight="1" x14ac:dyDescent="0.35">
      <c r="T1214" s="246">
        <f t="shared" si="57"/>
        <v>0</v>
      </c>
    </row>
    <row r="1215" spans="20:20" ht="18.75" customHeight="1" x14ac:dyDescent="0.35">
      <c r="T1215" s="246">
        <f t="shared" si="57"/>
        <v>0</v>
      </c>
    </row>
    <row r="1216" spans="20:20" ht="18.75" customHeight="1" x14ac:dyDescent="0.35">
      <c r="T1216" s="246">
        <f t="shared" si="57"/>
        <v>0</v>
      </c>
    </row>
    <row r="1217" spans="20:20" ht="18.75" customHeight="1" x14ac:dyDescent="0.35">
      <c r="T1217" s="246">
        <f t="shared" si="57"/>
        <v>0</v>
      </c>
    </row>
    <row r="1218" spans="20:20" ht="18.75" customHeight="1" x14ac:dyDescent="0.35">
      <c r="T1218" s="246">
        <f t="shared" si="57"/>
        <v>0</v>
      </c>
    </row>
    <row r="1219" spans="20:20" ht="18.75" customHeight="1" x14ac:dyDescent="0.35">
      <c r="T1219" s="246">
        <f t="shared" si="57"/>
        <v>0</v>
      </c>
    </row>
    <row r="1220" spans="20:20" ht="18.75" customHeight="1" x14ac:dyDescent="0.35">
      <c r="T1220" s="246">
        <f t="shared" si="57"/>
        <v>0</v>
      </c>
    </row>
    <row r="1221" spans="20:20" ht="18.75" customHeight="1" x14ac:dyDescent="0.35">
      <c r="T1221" s="246">
        <f t="shared" si="57"/>
        <v>0</v>
      </c>
    </row>
    <row r="1222" spans="20:20" ht="18.75" customHeight="1" x14ac:dyDescent="0.35">
      <c r="T1222" s="246">
        <f t="shared" si="57"/>
        <v>0</v>
      </c>
    </row>
    <row r="1223" spans="20:20" ht="18.75" customHeight="1" x14ac:dyDescent="0.35">
      <c r="T1223" s="246">
        <f t="shared" si="57"/>
        <v>0</v>
      </c>
    </row>
    <row r="1224" spans="20:20" ht="18.75" customHeight="1" x14ac:dyDescent="0.35">
      <c r="T1224" s="246">
        <f t="shared" si="57"/>
        <v>0</v>
      </c>
    </row>
    <row r="1225" spans="20:20" ht="18.75" customHeight="1" x14ac:dyDescent="0.35">
      <c r="T1225" s="246">
        <f t="shared" si="57"/>
        <v>0</v>
      </c>
    </row>
    <row r="1226" spans="20:20" ht="18.75" customHeight="1" x14ac:dyDescent="0.35">
      <c r="T1226" s="246">
        <f t="shared" si="57"/>
        <v>0</v>
      </c>
    </row>
    <row r="1227" spans="20:20" ht="18.75" customHeight="1" x14ac:dyDescent="0.35">
      <c r="T1227" s="246">
        <f t="shared" si="57"/>
        <v>0</v>
      </c>
    </row>
    <row r="1228" spans="20:20" ht="18.75" customHeight="1" x14ac:dyDescent="0.35">
      <c r="T1228" s="246">
        <f t="shared" si="57"/>
        <v>0</v>
      </c>
    </row>
    <row r="1229" spans="20:20" ht="18.75" customHeight="1" x14ac:dyDescent="0.35">
      <c r="T1229" s="246">
        <f t="shared" si="57"/>
        <v>0</v>
      </c>
    </row>
    <row r="1230" spans="20:20" ht="18.75" customHeight="1" x14ac:dyDescent="0.35">
      <c r="T1230" s="246">
        <f t="shared" si="57"/>
        <v>0</v>
      </c>
    </row>
    <row r="1231" spans="20:20" ht="18.75" customHeight="1" x14ac:dyDescent="0.35">
      <c r="T1231" s="246">
        <f t="shared" si="57"/>
        <v>0</v>
      </c>
    </row>
    <row r="1232" spans="20:20" ht="18.75" customHeight="1" x14ac:dyDescent="0.35">
      <c r="T1232" s="246">
        <f t="shared" si="57"/>
        <v>0</v>
      </c>
    </row>
    <row r="1233" spans="20:20" ht="18.75" customHeight="1" x14ac:dyDescent="0.35">
      <c r="T1233" s="246">
        <f t="shared" si="57"/>
        <v>0</v>
      </c>
    </row>
    <row r="1234" spans="20:20" ht="18.75" customHeight="1" x14ac:dyDescent="0.35">
      <c r="T1234" s="246">
        <f t="shared" si="57"/>
        <v>0</v>
      </c>
    </row>
    <row r="1235" spans="20:20" ht="18.75" customHeight="1" x14ac:dyDescent="0.35">
      <c r="T1235" s="246">
        <f t="shared" si="57"/>
        <v>0</v>
      </c>
    </row>
    <row r="1236" spans="20:20" ht="18.75" customHeight="1" x14ac:dyDescent="0.35">
      <c r="T1236" s="246">
        <f t="shared" si="57"/>
        <v>0</v>
      </c>
    </row>
    <row r="1237" spans="20:20" ht="18.75" customHeight="1" x14ac:dyDescent="0.35">
      <c r="T1237" s="246">
        <f t="shared" si="57"/>
        <v>0</v>
      </c>
    </row>
    <row r="1238" spans="20:20" ht="18.75" customHeight="1" x14ac:dyDescent="0.35">
      <c r="T1238" s="246">
        <f t="shared" si="57"/>
        <v>0</v>
      </c>
    </row>
    <row r="1239" spans="20:20" ht="18.75" customHeight="1" x14ac:dyDescent="0.35">
      <c r="T1239" s="246">
        <f t="shared" si="57"/>
        <v>0</v>
      </c>
    </row>
    <row r="1240" spans="20:20" ht="18.75" customHeight="1" x14ac:dyDescent="0.35">
      <c r="T1240" s="246">
        <f t="shared" si="57"/>
        <v>0</v>
      </c>
    </row>
    <row r="1241" spans="20:20" ht="18.75" customHeight="1" x14ac:dyDescent="0.35">
      <c r="T1241" s="246">
        <f t="shared" si="57"/>
        <v>0</v>
      </c>
    </row>
    <row r="1242" spans="20:20" ht="18.75" customHeight="1" x14ac:dyDescent="0.35">
      <c r="T1242" s="246">
        <f t="shared" si="57"/>
        <v>0</v>
      </c>
    </row>
    <row r="1243" spans="20:20" ht="18.75" customHeight="1" x14ac:dyDescent="0.35">
      <c r="T1243" s="246">
        <f t="shared" si="57"/>
        <v>0</v>
      </c>
    </row>
    <row r="1244" spans="20:20" ht="18.75" customHeight="1" x14ac:dyDescent="0.35">
      <c r="T1244" s="246">
        <f t="shared" si="57"/>
        <v>0</v>
      </c>
    </row>
    <row r="1245" spans="20:20" ht="18.75" customHeight="1" x14ac:dyDescent="0.35">
      <c r="T1245" s="246">
        <f t="shared" si="57"/>
        <v>0</v>
      </c>
    </row>
    <row r="1246" spans="20:20" ht="18.75" customHeight="1" x14ac:dyDescent="0.35">
      <c r="T1246" s="246">
        <f t="shared" si="57"/>
        <v>0</v>
      </c>
    </row>
    <row r="1247" spans="20:20" ht="18.75" customHeight="1" x14ac:dyDescent="0.35">
      <c r="T1247" s="246">
        <f t="shared" si="57"/>
        <v>0</v>
      </c>
    </row>
    <row r="1248" spans="20:20" ht="18.75" customHeight="1" x14ac:dyDescent="0.35">
      <c r="T1248" s="246">
        <f t="shared" si="57"/>
        <v>0</v>
      </c>
    </row>
    <row r="1249" spans="20:20" ht="18.75" customHeight="1" x14ac:dyDescent="0.35">
      <c r="T1249" s="246">
        <f t="shared" si="57"/>
        <v>0</v>
      </c>
    </row>
    <row r="1250" spans="20:20" ht="18.75" customHeight="1" x14ac:dyDescent="0.35">
      <c r="T1250" s="246">
        <f t="shared" si="57"/>
        <v>0</v>
      </c>
    </row>
    <row r="1251" spans="20:20" ht="18.75" customHeight="1" x14ac:dyDescent="0.35">
      <c r="T1251" s="246">
        <f t="shared" si="57"/>
        <v>0</v>
      </c>
    </row>
    <row r="1252" spans="20:20" ht="18.75" customHeight="1" x14ac:dyDescent="0.35">
      <c r="T1252" s="246">
        <f t="shared" si="57"/>
        <v>0</v>
      </c>
    </row>
    <row r="1253" spans="20:20" ht="18.75" customHeight="1" x14ac:dyDescent="0.35">
      <c r="T1253" s="246">
        <f t="shared" si="57"/>
        <v>0</v>
      </c>
    </row>
    <row r="1254" spans="20:20" ht="18.75" customHeight="1" x14ac:dyDescent="0.35">
      <c r="T1254" s="246">
        <f t="shared" si="57"/>
        <v>0</v>
      </c>
    </row>
    <row r="1255" spans="20:20" ht="18.75" customHeight="1" x14ac:dyDescent="0.35">
      <c r="T1255" s="246">
        <f t="shared" si="57"/>
        <v>0</v>
      </c>
    </row>
    <row r="1256" spans="20:20" ht="18.75" customHeight="1" x14ac:dyDescent="0.35">
      <c r="T1256" s="246">
        <f t="shared" si="57"/>
        <v>0</v>
      </c>
    </row>
    <row r="1257" spans="20:20" ht="18.75" customHeight="1" x14ac:dyDescent="0.35">
      <c r="T1257" s="246">
        <f t="shared" si="57"/>
        <v>0</v>
      </c>
    </row>
    <row r="1258" spans="20:20" ht="18.75" customHeight="1" x14ac:dyDescent="0.35">
      <c r="T1258" s="246">
        <f t="shared" si="57"/>
        <v>0</v>
      </c>
    </row>
    <row r="1259" spans="20:20" ht="18.75" customHeight="1" x14ac:dyDescent="0.35">
      <c r="T1259" s="246">
        <f t="shared" si="57"/>
        <v>0</v>
      </c>
    </row>
    <row r="1260" spans="20:20" ht="18.75" customHeight="1" x14ac:dyDescent="0.35">
      <c r="T1260" s="246">
        <f t="shared" si="57"/>
        <v>0</v>
      </c>
    </row>
    <row r="1261" spans="20:20" ht="18.75" customHeight="1" x14ac:dyDescent="0.35">
      <c r="T1261" s="246">
        <f t="shared" si="57"/>
        <v>0</v>
      </c>
    </row>
    <row r="1262" spans="20:20" ht="18.75" customHeight="1" x14ac:dyDescent="0.35">
      <c r="T1262" s="246">
        <f t="shared" si="57"/>
        <v>0</v>
      </c>
    </row>
    <row r="1263" spans="20:20" ht="18.75" customHeight="1" x14ac:dyDescent="0.35">
      <c r="T1263" s="246">
        <f t="shared" si="57"/>
        <v>0</v>
      </c>
    </row>
    <row r="1264" spans="20:20" ht="18.75" customHeight="1" x14ac:dyDescent="0.35">
      <c r="T1264" s="246">
        <f t="shared" si="57"/>
        <v>0</v>
      </c>
    </row>
    <row r="1265" spans="20:20" ht="18.75" customHeight="1" x14ac:dyDescent="0.35">
      <c r="T1265" s="246">
        <f t="shared" si="57"/>
        <v>0</v>
      </c>
    </row>
    <row r="1266" spans="20:20" ht="18.75" customHeight="1" x14ac:dyDescent="0.35">
      <c r="T1266" s="246">
        <f t="shared" si="57"/>
        <v>0</v>
      </c>
    </row>
    <row r="1267" spans="20:20" ht="18.75" customHeight="1" x14ac:dyDescent="0.35">
      <c r="T1267" s="246">
        <f t="shared" si="57"/>
        <v>0</v>
      </c>
    </row>
    <row r="1268" spans="20:20" ht="18.75" customHeight="1" x14ac:dyDescent="0.35">
      <c r="T1268" s="246">
        <f t="shared" si="57"/>
        <v>0</v>
      </c>
    </row>
    <row r="1269" spans="20:20" ht="18.75" customHeight="1" x14ac:dyDescent="0.35">
      <c r="T1269" s="246">
        <f t="shared" si="57"/>
        <v>0</v>
      </c>
    </row>
    <row r="1270" spans="20:20" ht="18.75" customHeight="1" x14ac:dyDescent="0.35">
      <c r="T1270" s="246">
        <f t="shared" si="57"/>
        <v>0</v>
      </c>
    </row>
    <row r="1271" spans="20:20" ht="18.75" customHeight="1" x14ac:dyDescent="0.35">
      <c r="T1271" s="246">
        <f t="shared" si="57"/>
        <v>0</v>
      </c>
    </row>
    <row r="1272" spans="20:20" ht="18.75" customHeight="1" x14ac:dyDescent="0.35">
      <c r="T1272" s="246">
        <f t="shared" si="57"/>
        <v>0</v>
      </c>
    </row>
    <row r="1273" spans="20:20" ht="18.75" customHeight="1" x14ac:dyDescent="0.35">
      <c r="T1273" s="246">
        <f t="shared" si="57"/>
        <v>0</v>
      </c>
    </row>
    <row r="1274" spans="20:20" ht="18.75" customHeight="1" x14ac:dyDescent="0.35">
      <c r="T1274" s="246">
        <f t="shared" si="57"/>
        <v>0</v>
      </c>
    </row>
    <row r="1275" spans="20:20" ht="18.75" customHeight="1" x14ac:dyDescent="0.35">
      <c r="T1275" s="246">
        <f t="shared" si="57"/>
        <v>0</v>
      </c>
    </row>
    <row r="1276" spans="20:20" ht="18.75" customHeight="1" x14ac:dyDescent="0.35">
      <c r="T1276" s="246">
        <f t="shared" ref="T1276:T1339" si="58">R1276*0.01</f>
        <v>0</v>
      </c>
    </row>
    <row r="1277" spans="20:20" ht="18.75" customHeight="1" x14ac:dyDescent="0.35">
      <c r="T1277" s="246">
        <f t="shared" si="58"/>
        <v>0</v>
      </c>
    </row>
    <row r="1278" spans="20:20" ht="18.75" customHeight="1" x14ac:dyDescent="0.35">
      <c r="T1278" s="246">
        <f t="shared" si="58"/>
        <v>0</v>
      </c>
    </row>
    <row r="1279" spans="20:20" ht="18.75" customHeight="1" x14ac:dyDescent="0.35">
      <c r="T1279" s="246">
        <f t="shared" si="58"/>
        <v>0</v>
      </c>
    </row>
    <row r="1280" spans="20:20" ht="18.75" customHeight="1" x14ac:dyDescent="0.35">
      <c r="T1280" s="246">
        <f t="shared" si="58"/>
        <v>0</v>
      </c>
    </row>
    <row r="1281" spans="20:20" ht="18.75" customHeight="1" x14ac:dyDescent="0.35">
      <c r="T1281" s="246">
        <f t="shared" si="58"/>
        <v>0</v>
      </c>
    </row>
    <row r="1282" spans="20:20" ht="18.75" customHeight="1" x14ac:dyDescent="0.35">
      <c r="T1282" s="246">
        <f t="shared" si="58"/>
        <v>0</v>
      </c>
    </row>
    <row r="1283" spans="20:20" ht="18.75" customHeight="1" x14ac:dyDescent="0.35">
      <c r="T1283" s="246">
        <f t="shared" si="58"/>
        <v>0</v>
      </c>
    </row>
    <row r="1284" spans="20:20" ht="18.75" customHeight="1" x14ac:dyDescent="0.35">
      <c r="T1284" s="246">
        <f t="shared" si="58"/>
        <v>0</v>
      </c>
    </row>
    <row r="1285" spans="20:20" ht="18.75" customHeight="1" x14ac:dyDescent="0.35">
      <c r="T1285" s="246">
        <f t="shared" si="58"/>
        <v>0</v>
      </c>
    </row>
    <row r="1286" spans="20:20" ht="18.75" customHeight="1" x14ac:dyDescent="0.35">
      <c r="T1286" s="246">
        <f t="shared" si="58"/>
        <v>0</v>
      </c>
    </row>
    <row r="1287" spans="20:20" ht="18.75" customHeight="1" x14ac:dyDescent="0.35">
      <c r="T1287" s="246">
        <f t="shared" si="58"/>
        <v>0</v>
      </c>
    </row>
    <row r="1288" spans="20:20" ht="18.75" customHeight="1" x14ac:dyDescent="0.35">
      <c r="T1288" s="246">
        <f t="shared" si="58"/>
        <v>0</v>
      </c>
    </row>
    <row r="1289" spans="20:20" ht="18.75" customHeight="1" x14ac:dyDescent="0.35">
      <c r="T1289" s="246">
        <f t="shared" si="58"/>
        <v>0</v>
      </c>
    </row>
    <row r="1290" spans="20:20" ht="18.75" customHeight="1" x14ac:dyDescent="0.35">
      <c r="T1290" s="246">
        <f t="shared" si="58"/>
        <v>0</v>
      </c>
    </row>
    <row r="1291" spans="20:20" ht="18.75" customHeight="1" x14ac:dyDescent="0.35">
      <c r="T1291" s="246">
        <f t="shared" si="58"/>
        <v>0</v>
      </c>
    </row>
    <row r="1292" spans="20:20" ht="18.75" customHeight="1" x14ac:dyDescent="0.35">
      <c r="T1292" s="246">
        <f t="shared" si="58"/>
        <v>0</v>
      </c>
    </row>
    <row r="1293" spans="20:20" ht="18.75" customHeight="1" x14ac:dyDescent="0.35">
      <c r="T1293" s="246">
        <f t="shared" si="58"/>
        <v>0</v>
      </c>
    </row>
    <row r="1294" spans="20:20" ht="18.75" customHeight="1" x14ac:dyDescent="0.35">
      <c r="T1294" s="246">
        <f t="shared" si="58"/>
        <v>0</v>
      </c>
    </row>
    <row r="1295" spans="20:20" ht="18.75" customHeight="1" x14ac:dyDescent="0.35">
      <c r="T1295" s="246">
        <f t="shared" si="58"/>
        <v>0</v>
      </c>
    </row>
    <row r="1296" spans="20:20" ht="18.75" customHeight="1" x14ac:dyDescent="0.35">
      <c r="T1296" s="246">
        <f t="shared" si="58"/>
        <v>0</v>
      </c>
    </row>
    <row r="1297" spans="20:20" ht="18.75" customHeight="1" x14ac:dyDescent="0.35">
      <c r="T1297" s="246">
        <f t="shared" si="58"/>
        <v>0</v>
      </c>
    </row>
    <row r="1298" spans="20:20" ht="18.75" customHeight="1" x14ac:dyDescent="0.35">
      <c r="T1298" s="246">
        <f t="shared" si="58"/>
        <v>0</v>
      </c>
    </row>
    <row r="1299" spans="20:20" ht="18.75" customHeight="1" x14ac:dyDescent="0.35">
      <c r="T1299" s="246">
        <f t="shared" si="58"/>
        <v>0</v>
      </c>
    </row>
    <row r="1300" spans="20:20" ht="18.75" customHeight="1" x14ac:dyDescent="0.35">
      <c r="T1300" s="246">
        <f t="shared" si="58"/>
        <v>0</v>
      </c>
    </row>
    <row r="1301" spans="20:20" ht="18.75" customHeight="1" x14ac:dyDescent="0.35">
      <c r="T1301" s="246">
        <f t="shared" si="58"/>
        <v>0</v>
      </c>
    </row>
    <row r="1302" spans="20:20" ht="18.75" customHeight="1" x14ac:dyDescent="0.35">
      <c r="T1302" s="246">
        <f t="shared" si="58"/>
        <v>0</v>
      </c>
    </row>
    <row r="1303" spans="20:20" ht="18.75" customHeight="1" x14ac:dyDescent="0.35">
      <c r="T1303" s="246">
        <f t="shared" si="58"/>
        <v>0</v>
      </c>
    </row>
    <row r="1304" spans="20:20" ht="18.75" customHeight="1" x14ac:dyDescent="0.35">
      <c r="T1304" s="246">
        <f t="shared" si="58"/>
        <v>0</v>
      </c>
    </row>
    <row r="1305" spans="20:20" ht="18.75" customHeight="1" x14ac:dyDescent="0.35">
      <c r="T1305" s="246">
        <f t="shared" si="58"/>
        <v>0</v>
      </c>
    </row>
    <row r="1306" spans="20:20" ht="18.75" customHeight="1" x14ac:dyDescent="0.35">
      <c r="T1306" s="246">
        <f t="shared" si="58"/>
        <v>0</v>
      </c>
    </row>
    <row r="1307" spans="20:20" ht="18.75" customHeight="1" x14ac:dyDescent="0.35">
      <c r="T1307" s="246">
        <f t="shared" si="58"/>
        <v>0</v>
      </c>
    </row>
    <row r="1308" spans="20:20" ht="18.75" customHeight="1" x14ac:dyDescent="0.35">
      <c r="T1308" s="246">
        <f t="shared" si="58"/>
        <v>0</v>
      </c>
    </row>
    <row r="1309" spans="20:20" ht="18.75" customHeight="1" x14ac:dyDescent="0.35">
      <c r="T1309" s="246">
        <f t="shared" si="58"/>
        <v>0</v>
      </c>
    </row>
    <row r="1310" spans="20:20" ht="18.75" customHeight="1" x14ac:dyDescent="0.35">
      <c r="T1310" s="246">
        <f t="shared" si="58"/>
        <v>0</v>
      </c>
    </row>
    <row r="1311" spans="20:20" ht="18.75" customHeight="1" x14ac:dyDescent="0.35">
      <c r="T1311" s="246">
        <f t="shared" si="58"/>
        <v>0</v>
      </c>
    </row>
    <row r="1312" spans="20:20" ht="18.75" customHeight="1" x14ac:dyDescent="0.35">
      <c r="T1312" s="246">
        <f t="shared" si="58"/>
        <v>0</v>
      </c>
    </row>
    <row r="1313" spans="20:20" ht="18.75" customHeight="1" x14ac:dyDescent="0.35">
      <c r="T1313" s="246">
        <f t="shared" si="58"/>
        <v>0</v>
      </c>
    </row>
    <row r="1314" spans="20:20" ht="18.75" customHeight="1" x14ac:dyDescent="0.35">
      <c r="T1314" s="246">
        <f t="shared" si="58"/>
        <v>0</v>
      </c>
    </row>
    <row r="1315" spans="20:20" ht="18.75" customHeight="1" x14ac:dyDescent="0.35">
      <c r="T1315" s="246">
        <f t="shared" si="58"/>
        <v>0</v>
      </c>
    </row>
    <row r="1316" spans="20:20" ht="18.75" customHeight="1" x14ac:dyDescent="0.35">
      <c r="T1316" s="246">
        <f t="shared" si="58"/>
        <v>0</v>
      </c>
    </row>
    <row r="1317" spans="20:20" ht="18.75" customHeight="1" x14ac:dyDescent="0.35">
      <c r="T1317" s="246">
        <f t="shared" si="58"/>
        <v>0</v>
      </c>
    </row>
    <row r="1318" spans="20:20" ht="18.75" customHeight="1" x14ac:dyDescent="0.35">
      <c r="T1318" s="246">
        <f t="shared" si="58"/>
        <v>0</v>
      </c>
    </row>
    <row r="1319" spans="20:20" ht="18.75" customHeight="1" x14ac:dyDescent="0.35">
      <c r="T1319" s="246">
        <f t="shared" si="58"/>
        <v>0</v>
      </c>
    </row>
    <row r="1320" spans="20:20" ht="18.75" customHeight="1" x14ac:dyDescent="0.35">
      <c r="T1320" s="246">
        <f t="shared" si="58"/>
        <v>0</v>
      </c>
    </row>
    <row r="1321" spans="20:20" ht="18.75" customHeight="1" x14ac:dyDescent="0.35">
      <c r="T1321" s="246">
        <f t="shared" si="58"/>
        <v>0</v>
      </c>
    </row>
    <row r="1322" spans="20:20" ht="18.75" customHeight="1" x14ac:dyDescent="0.35">
      <c r="T1322" s="246">
        <f t="shared" si="58"/>
        <v>0</v>
      </c>
    </row>
    <row r="1323" spans="20:20" ht="18.75" customHeight="1" x14ac:dyDescent="0.35">
      <c r="T1323" s="246">
        <f t="shared" si="58"/>
        <v>0</v>
      </c>
    </row>
    <row r="1324" spans="20:20" ht="18.75" customHeight="1" x14ac:dyDescent="0.35">
      <c r="T1324" s="246">
        <f t="shared" si="58"/>
        <v>0</v>
      </c>
    </row>
    <row r="1325" spans="20:20" ht="18.75" customHeight="1" x14ac:dyDescent="0.35">
      <c r="T1325" s="246">
        <f t="shared" si="58"/>
        <v>0</v>
      </c>
    </row>
    <row r="1326" spans="20:20" ht="18.75" customHeight="1" x14ac:dyDescent="0.35">
      <c r="T1326" s="246">
        <f t="shared" si="58"/>
        <v>0</v>
      </c>
    </row>
    <row r="1327" spans="20:20" ht="18.75" customHeight="1" x14ac:dyDescent="0.35">
      <c r="T1327" s="246">
        <f t="shared" si="58"/>
        <v>0</v>
      </c>
    </row>
    <row r="1328" spans="20:20" ht="18.75" customHeight="1" x14ac:dyDescent="0.35">
      <c r="T1328" s="246">
        <f t="shared" si="58"/>
        <v>0</v>
      </c>
    </row>
    <row r="1329" spans="20:20" ht="18.75" customHeight="1" x14ac:dyDescent="0.35">
      <c r="T1329" s="246">
        <f t="shared" si="58"/>
        <v>0</v>
      </c>
    </row>
    <row r="1330" spans="20:20" ht="18.75" customHeight="1" x14ac:dyDescent="0.35">
      <c r="T1330" s="246">
        <f t="shared" si="58"/>
        <v>0</v>
      </c>
    </row>
    <row r="1331" spans="20:20" ht="18.75" customHeight="1" x14ac:dyDescent="0.35">
      <c r="T1331" s="246">
        <f t="shared" si="58"/>
        <v>0</v>
      </c>
    </row>
    <row r="1332" spans="20:20" ht="18.75" customHeight="1" x14ac:dyDescent="0.35">
      <c r="T1332" s="246">
        <f t="shared" si="58"/>
        <v>0</v>
      </c>
    </row>
    <row r="1333" spans="20:20" ht="18.75" customHeight="1" x14ac:dyDescent="0.35">
      <c r="T1333" s="246">
        <f t="shared" si="58"/>
        <v>0</v>
      </c>
    </row>
    <row r="1334" spans="20:20" ht="18.75" customHeight="1" x14ac:dyDescent="0.35">
      <c r="T1334" s="246">
        <f t="shared" si="58"/>
        <v>0</v>
      </c>
    </row>
    <row r="1335" spans="20:20" ht="18.75" customHeight="1" x14ac:dyDescent="0.35">
      <c r="T1335" s="246">
        <f t="shared" si="58"/>
        <v>0</v>
      </c>
    </row>
    <row r="1336" spans="20:20" ht="18.75" customHeight="1" x14ac:dyDescent="0.35">
      <c r="T1336" s="246">
        <f t="shared" si="58"/>
        <v>0</v>
      </c>
    </row>
    <row r="1337" spans="20:20" ht="18.75" customHeight="1" x14ac:dyDescent="0.35">
      <c r="T1337" s="246">
        <f t="shared" si="58"/>
        <v>0</v>
      </c>
    </row>
    <row r="1338" spans="20:20" ht="18.75" customHeight="1" x14ac:dyDescent="0.35">
      <c r="T1338" s="246">
        <f t="shared" si="58"/>
        <v>0</v>
      </c>
    </row>
    <row r="1339" spans="20:20" ht="18.75" customHeight="1" x14ac:dyDescent="0.35">
      <c r="T1339" s="246">
        <f t="shared" si="58"/>
        <v>0</v>
      </c>
    </row>
    <row r="1340" spans="20:20" ht="18.75" customHeight="1" x14ac:dyDescent="0.35">
      <c r="T1340" s="246">
        <f t="shared" ref="T1340:T1403" si="59">R1340*0.01</f>
        <v>0</v>
      </c>
    </row>
    <row r="1341" spans="20:20" ht="18.75" customHeight="1" x14ac:dyDescent="0.35">
      <c r="T1341" s="246">
        <f t="shared" si="59"/>
        <v>0</v>
      </c>
    </row>
    <row r="1342" spans="20:20" ht="18.75" customHeight="1" x14ac:dyDescent="0.35">
      <c r="T1342" s="246">
        <f t="shared" si="59"/>
        <v>0</v>
      </c>
    </row>
    <row r="1343" spans="20:20" ht="18.75" customHeight="1" x14ac:dyDescent="0.35">
      <c r="T1343" s="246">
        <f t="shared" si="59"/>
        <v>0</v>
      </c>
    </row>
    <row r="1344" spans="20:20" ht="18.75" customHeight="1" x14ac:dyDescent="0.35">
      <c r="T1344" s="246">
        <f t="shared" si="59"/>
        <v>0</v>
      </c>
    </row>
    <row r="1345" spans="20:20" ht="18.75" customHeight="1" x14ac:dyDescent="0.35">
      <c r="T1345" s="246">
        <f t="shared" si="59"/>
        <v>0</v>
      </c>
    </row>
    <row r="1346" spans="20:20" ht="18.75" customHeight="1" x14ac:dyDescent="0.35">
      <c r="T1346" s="246">
        <f t="shared" si="59"/>
        <v>0</v>
      </c>
    </row>
    <row r="1347" spans="20:20" ht="18.75" customHeight="1" x14ac:dyDescent="0.35">
      <c r="T1347" s="246">
        <f t="shared" si="59"/>
        <v>0</v>
      </c>
    </row>
    <row r="1348" spans="20:20" ht="18.75" customHeight="1" x14ac:dyDescent="0.35">
      <c r="T1348" s="246">
        <f t="shared" si="59"/>
        <v>0</v>
      </c>
    </row>
    <row r="1349" spans="20:20" ht="18.75" customHeight="1" x14ac:dyDescent="0.35">
      <c r="T1349" s="246">
        <f t="shared" si="59"/>
        <v>0</v>
      </c>
    </row>
    <row r="1350" spans="20:20" ht="18.75" customHeight="1" x14ac:dyDescent="0.35">
      <c r="T1350" s="246">
        <f t="shared" si="59"/>
        <v>0</v>
      </c>
    </row>
    <row r="1351" spans="20:20" ht="18.75" customHeight="1" x14ac:dyDescent="0.35">
      <c r="T1351" s="246">
        <f t="shared" si="59"/>
        <v>0</v>
      </c>
    </row>
    <row r="1352" spans="20:20" ht="18.75" customHeight="1" x14ac:dyDescent="0.35">
      <c r="T1352" s="246">
        <f t="shared" si="59"/>
        <v>0</v>
      </c>
    </row>
    <row r="1353" spans="20:20" ht="18.75" customHeight="1" x14ac:dyDescent="0.35">
      <c r="T1353" s="246">
        <f t="shared" si="59"/>
        <v>0</v>
      </c>
    </row>
    <row r="1354" spans="20:20" ht="18.75" customHeight="1" x14ac:dyDescent="0.35">
      <c r="T1354" s="246">
        <f t="shared" si="59"/>
        <v>0</v>
      </c>
    </row>
    <row r="1355" spans="20:20" ht="18.75" customHeight="1" x14ac:dyDescent="0.35">
      <c r="T1355" s="246">
        <f t="shared" si="59"/>
        <v>0</v>
      </c>
    </row>
    <row r="1356" spans="20:20" ht="18.75" customHeight="1" x14ac:dyDescent="0.35">
      <c r="T1356" s="246">
        <f t="shared" si="59"/>
        <v>0</v>
      </c>
    </row>
    <row r="1357" spans="20:20" ht="18.75" customHeight="1" x14ac:dyDescent="0.35">
      <c r="T1357" s="246">
        <f t="shared" si="59"/>
        <v>0</v>
      </c>
    </row>
    <row r="1358" spans="20:20" ht="18.75" customHeight="1" x14ac:dyDescent="0.35">
      <c r="T1358" s="246">
        <f t="shared" si="59"/>
        <v>0</v>
      </c>
    </row>
    <row r="1359" spans="20:20" ht="18.75" customHeight="1" x14ac:dyDescent="0.35">
      <c r="T1359" s="246">
        <f t="shared" si="59"/>
        <v>0</v>
      </c>
    </row>
    <row r="1360" spans="20:20" ht="18.75" customHeight="1" x14ac:dyDescent="0.35">
      <c r="T1360" s="246">
        <f t="shared" si="59"/>
        <v>0</v>
      </c>
    </row>
    <row r="1361" spans="20:20" ht="18.75" customHeight="1" x14ac:dyDescent="0.35">
      <c r="T1361" s="246">
        <f t="shared" si="59"/>
        <v>0</v>
      </c>
    </row>
    <row r="1362" spans="20:20" ht="18.75" customHeight="1" x14ac:dyDescent="0.35">
      <c r="T1362" s="246">
        <f t="shared" si="59"/>
        <v>0</v>
      </c>
    </row>
    <row r="1363" spans="20:20" ht="18.75" customHeight="1" x14ac:dyDescent="0.35">
      <c r="T1363" s="246">
        <f t="shared" si="59"/>
        <v>0</v>
      </c>
    </row>
    <row r="1364" spans="20:20" ht="18.75" customHeight="1" x14ac:dyDescent="0.35">
      <c r="T1364" s="246">
        <f t="shared" si="59"/>
        <v>0</v>
      </c>
    </row>
    <row r="1365" spans="20:20" ht="18.75" customHeight="1" x14ac:dyDescent="0.35">
      <c r="T1365" s="246">
        <f t="shared" si="59"/>
        <v>0</v>
      </c>
    </row>
    <row r="1366" spans="20:20" ht="18.75" customHeight="1" x14ac:dyDescent="0.35">
      <c r="T1366" s="246">
        <f t="shared" si="59"/>
        <v>0</v>
      </c>
    </row>
    <row r="1367" spans="20:20" ht="18.75" customHeight="1" x14ac:dyDescent="0.35">
      <c r="T1367" s="246">
        <f t="shared" si="59"/>
        <v>0</v>
      </c>
    </row>
    <row r="1368" spans="20:20" ht="18.75" customHeight="1" x14ac:dyDescent="0.35">
      <c r="T1368" s="246">
        <f t="shared" si="59"/>
        <v>0</v>
      </c>
    </row>
    <row r="1369" spans="20:20" ht="18.75" customHeight="1" x14ac:dyDescent="0.35">
      <c r="T1369" s="246">
        <f t="shared" si="59"/>
        <v>0</v>
      </c>
    </row>
    <row r="1370" spans="20:20" ht="18.75" customHeight="1" x14ac:dyDescent="0.35">
      <c r="T1370" s="246">
        <f t="shared" si="59"/>
        <v>0</v>
      </c>
    </row>
    <row r="1371" spans="20:20" ht="18.75" customHeight="1" x14ac:dyDescent="0.35">
      <c r="T1371" s="246">
        <f t="shared" si="59"/>
        <v>0</v>
      </c>
    </row>
    <row r="1372" spans="20:20" ht="18.75" customHeight="1" x14ac:dyDescent="0.35">
      <c r="T1372" s="246">
        <f t="shared" si="59"/>
        <v>0</v>
      </c>
    </row>
    <row r="1373" spans="20:20" ht="18.75" customHeight="1" x14ac:dyDescent="0.35">
      <c r="T1373" s="246">
        <f t="shared" si="59"/>
        <v>0</v>
      </c>
    </row>
    <row r="1374" spans="20:20" ht="18.75" customHeight="1" x14ac:dyDescent="0.35">
      <c r="T1374" s="246">
        <f t="shared" si="59"/>
        <v>0</v>
      </c>
    </row>
    <row r="1375" spans="20:20" ht="18.75" customHeight="1" x14ac:dyDescent="0.35">
      <c r="T1375" s="246">
        <f t="shared" si="59"/>
        <v>0</v>
      </c>
    </row>
    <row r="1376" spans="20:20" ht="18.75" customHeight="1" x14ac:dyDescent="0.35">
      <c r="T1376" s="246">
        <f t="shared" si="59"/>
        <v>0</v>
      </c>
    </row>
    <row r="1377" spans="20:20" ht="18.75" customHeight="1" x14ac:dyDescent="0.35">
      <c r="T1377" s="246">
        <f t="shared" si="59"/>
        <v>0</v>
      </c>
    </row>
    <row r="1378" spans="20:20" ht="18.75" customHeight="1" x14ac:dyDescent="0.35">
      <c r="T1378" s="246">
        <f t="shared" si="59"/>
        <v>0</v>
      </c>
    </row>
    <row r="1379" spans="20:20" ht="18.75" customHeight="1" x14ac:dyDescent="0.35">
      <c r="T1379" s="246">
        <f t="shared" si="59"/>
        <v>0</v>
      </c>
    </row>
    <row r="1380" spans="20:20" ht="18.75" customHeight="1" x14ac:dyDescent="0.35">
      <c r="T1380" s="246">
        <f t="shared" si="59"/>
        <v>0</v>
      </c>
    </row>
    <row r="1381" spans="20:20" ht="18.75" customHeight="1" x14ac:dyDescent="0.35">
      <c r="T1381" s="246">
        <f t="shared" si="59"/>
        <v>0</v>
      </c>
    </row>
    <row r="1382" spans="20:20" ht="18.75" customHeight="1" x14ac:dyDescent="0.35">
      <c r="T1382" s="246">
        <f t="shared" si="59"/>
        <v>0</v>
      </c>
    </row>
    <row r="1383" spans="20:20" ht="18.75" customHeight="1" x14ac:dyDescent="0.35">
      <c r="T1383" s="246">
        <f t="shared" si="59"/>
        <v>0</v>
      </c>
    </row>
    <row r="1384" spans="20:20" ht="18.75" customHeight="1" x14ac:dyDescent="0.35">
      <c r="T1384" s="246">
        <f t="shared" si="59"/>
        <v>0</v>
      </c>
    </row>
    <row r="1385" spans="20:20" ht="18.75" customHeight="1" x14ac:dyDescent="0.35">
      <c r="T1385" s="246">
        <f t="shared" si="59"/>
        <v>0</v>
      </c>
    </row>
    <row r="1386" spans="20:20" ht="18.75" customHeight="1" x14ac:dyDescent="0.35">
      <c r="T1386" s="246">
        <f t="shared" si="59"/>
        <v>0</v>
      </c>
    </row>
    <row r="1387" spans="20:20" ht="18.75" customHeight="1" x14ac:dyDescent="0.35">
      <c r="T1387" s="246">
        <f t="shared" si="59"/>
        <v>0</v>
      </c>
    </row>
    <row r="1388" spans="20:20" ht="18.75" customHeight="1" x14ac:dyDescent="0.35">
      <c r="T1388" s="246">
        <f t="shared" si="59"/>
        <v>0</v>
      </c>
    </row>
    <row r="1389" spans="20:20" ht="18.75" customHeight="1" x14ac:dyDescent="0.35">
      <c r="T1389" s="246">
        <f t="shared" si="59"/>
        <v>0</v>
      </c>
    </row>
    <row r="1390" spans="20:20" ht="18.75" customHeight="1" x14ac:dyDescent="0.35">
      <c r="T1390" s="246">
        <f t="shared" si="59"/>
        <v>0</v>
      </c>
    </row>
    <row r="1391" spans="20:20" ht="18.75" customHeight="1" x14ac:dyDescent="0.35">
      <c r="T1391" s="246">
        <f t="shared" si="59"/>
        <v>0</v>
      </c>
    </row>
    <row r="1392" spans="20:20" ht="18.75" customHeight="1" x14ac:dyDescent="0.35">
      <c r="T1392" s="246">
        <f t="shared" si="59"/>
        <v>0</v>
      </c>
    </row>
    <row r="1393" spans="20:20" ht="18.75" customHeight="1" x14ac:dyDescent="0.35">
      <c r="T1393" s="246">
        <f t="shared" si="59"/>
        <v>0</v>
      </c>
    </row>
    <row r="1394" spans="20:20" ht="18.75" customHeight="1" x14ac:dyDescent="0.35">
      <c r="T1394" s="246">
        <f t="shared" si="59"/>
        <v>0</v>
      </c>
    </row>
    <row r="1395" spans="20:20" ht="18.75" customHeight="1" x14ac:dyDescent="0.35">
      <c r="T1395" s="246">
        <f t="shared" si="59"/>
        <v>0</v>
      </c>
    </row>
    <row r="1396" spans="20:20" ht="18.75" customHeight="1" x14ac:dyDescent="0.35">
      <c r="T1396" s="246">
        <f t="shared" si="59"/>
        <v>0</v>
      </c>
    </row>
    <row r="1397" spans="20:20" ht="18.75" customHeight="1" x14ac:dyDescent="0.35">
      <c r="T1397" s="246">
        <f t="shared" si="59"/>
        <v>0</v>
      </c>
    </row>
    <row r="1398" spans="20:20" ht="18.75" customHeight="1" x14ac:dyDescent="0.35">
      <c r="T1398" s="246">
        <f t="shared" si="59"/>
        <v>0</v>
      </c>
    </row>
    <row r="1399" spans="20:20" ht="18.75" customHeight="1" x14ac:dyDescent="0.35">
      <c r="T1399" s="246">
        <f t="shared" si="59"/>
        <v>0</v>
      </c>
    </row>
    <row r="1400" spans="20:20" ht="18.75" customHeight="1" x14ac:dyDescent="0.35">
      <c r="T1400" s="246">
        <f t="shared" si="59"/>
        <v>0</v>
      </c>
    </row>
    <row r="1401" spans="20:20" ht="18.75" customHeight="1" x14ac:dyDescent="0.35">
      <c r="T1401" s="246">
        <f t="shared" si="59"/>
        <v>0</v>
      </c>
    </row>
    <row r="1402" spans="20:20" ht="18.75" customHeight="1" x14ac:dyDescent="0.35">
      <c r="T1402" s="246">
        <f t="shared" si="59"/>
        <v>0</v>
      </c>
    </row>
    <row r="1403" spans="20:20" ht="18.75" customHeight="1" x14ac:dyDescent="0.35">
      <c r="T1403" s="246">
        <f t="shared" si="59"/>
        <v>0</v>
      </c>
    </row>
    <row r="1404" spans="20:20" ht="18.75" customHeight="1" x14ac:dyDescent="0.35">
      <c r="T1404" s="246">
        <f t="shared" ref="T1404:T1467" si="60">R1404*0.01</f>
        <v>0</v>
      </c>
    </row>
    <row r="1405" spans="20:20" ht="18.75" customHeight="1" x14ac:dyDescent="0.35">
      <c r="T1405" s="246">
        <f t="shared" si="60"/>
        <v>0</v>
      </c>
    </row>
    <row r="1406" spans="20:20" ht="18.75" customHeight="1" x14ac:dyDescent="0.35">
      <c r="T1406" s="246">
        <f t="shared" si="60"/>
        <v>0</v>
      </c>
    </row>
    <row r="1407" spans="20:20" ht="18.75" customHeight="1" x14ac:dyDescent="0.35">
      <c r="T1407" s="246">
        <f t="shared" si="60"/>
        <v>0</v>
      </c>
    </row>
    <row r="1408" spans="20:20" ht="18.75" customHeight="1" x14ac:dyDescent="0.35">
      <c r="T1408" s="246">
        <f t="shared" si="60"/>
        <v>0</v>
      </c>
    </row>
    <row r="1409" spans="20:20" ht="18.75" customHeight="1" x14ac:dyDescent="0.35">
      <c r="T1409" s="246">
        <f t="shared" si="60"/>
        <v>0</v>
      </c>
    </row>
    <row r="1410" spans="20:20" ht="18.75" customHeight="1" x14ac:dyDescent="0.35">
      <c r="T1410" s="246">
        <f t="shared" si="60"/>
        <v>0</v>
      </c>
    </row>
    <row r="1411" spans="20:20" ht="18.75" customHeight="1" x14ac:dyDescent="0.35">
      <c r="T1411" s="246">
        <f t="shared" si="60"/>
        <v>0</v>
      </c>
    </row>
    <row r="1412" spans="20:20" ht="18.75" customHeight="1" x14ac:dyDescent="0.35">
      <c r="T1412" s="246">
        <f t="shared" si="60"/>
        <v>0</v>
      </c>
    </row>
    <row r="1413" spans="20:20" ht="18.75" customHeight="1" x14ac:dyDescent="0.35">
      <c r="T1413" s="246">
        <f t="shared" si="60"/>
        <v>0</v>
      </c>
    </row>
    <row r="1414" spans="20:20" ht="18.75" customHeight="1" x14ac:dyDescent="0.35">
      <c r="T1414" s="246">
        <f t="shared" si="60"/>
        <v>0</v>
      </c>
    </row>
    <row r="1415" spans="20:20" ht="18.75" customHeight="1" x14ac:dyDescent="0.35">
      <c r="T1415" s="246">
        <f t="shared" si="60"/>
        <v>0</v>
      </c>
    </row>
    <row r="1416" spans="20:20" ht="18.75" customHeight="1" x14ac:dyDescent="0.35">
      <c r="T1416" s="246">
        <f t="shared" si="60"/>
        <v>0</v>
      </c>
    </row>
    <row r="1417" spans="20:20" ht="18.75" customHeight="1" x14ac:dyDescent="0.35">
      <c r="T1417" s="246">
        <f t="shared" si="60"/>
        <v>0</v>
      </c>
    </row>
    <row r="1418" spans="20:20" ht="18.75" customHeight="1" x14ac:dyDescent="0.35">
      <c r="T1418" s="246">
        <f t="shared" si="60"/>
        <v>0</v>
      </c>
    </row>
    <row r="1419" spans="20:20" ht="18.75" customHeight="1" x14ac:dyDescent="0.35">
      <c r="T1419" s="246">
        <f t="shared" si="60"/>
        <v>0</v>
      </c>
    </row>
    <row r="1420" spans="20:20" ht="18.75" customHeight="1" x14ac:dyDescent="0.35">
      <c r="T1420" s="246">
        <f t="shared" si="60"/>
        <v>0</v>
      </c>
    </row>
    <row r="1421" spans="20:20" ht="18.75" customHeight="1" x14ac:dyDescent="0.35">
      <c r="T1421" s="246">
        <f t="shared" si="60"/>
        <v>0</v>
      </c>
    </row>
    <row r="1422" spans="20:20" ht="18.75" customHeight="1" x14ac:dyDescent="0.35">
      <c r="T1422" s="246">
        <f t="shared" si="60"/>
        <v>0</v>
      </c>
    </row>
    <row r="1423" spans="20:20" ht="18.75" customHeight="1" x14ac:dyDescent="0.35">
      <c r="T1423" s="246">
        <f t="shared" si="60"/>
        <v>0</v>
      </c>
    </row>
    <row r="1424" spans="20:20" ht="18.75" customHeight="1" x14ac:dyDescent="0.35">
      <c r="T1424" s="246">
        <f t="shared" si="60"/>
        <v>0</v>
      </c>
    </row>
    <row r="1425" spans="20:20" ht="18.75" customHeight="1" x14ac:dyDescent="0.35">
      <c r="T1425" s="246">
        <f t="shared" si="60"/>
        <v>0</v>
      </c>
    </row>
    <row r="1426" spans="20:20" ht="18.75" customHeight="1" x14ac:dyDescent="0.35">
      <c r="T1426" s="246">
        <f t="shared" si="60"/>
        <v>0</v>
      </c>
    </row>
    <row r="1427" spans="20:20" ht="18.75" customHeight="1" x14ac:dyDescent="0.35">
      <c r="T1427" s="246">
        <f t="shared" si="60"/>
        <v>0</v>
      </c>
    </row>
    <row r="1428" spans="20:20" ht="18.75" customHeight="1" x14ac:dyDescent="0.35">
      <c r="T1428" s="246">
        <f t="shared" si="60"/>
        <v>0</v>
      </c>
    </row>
    <row r="1429" spans="20:20" ht="18.75" customHeight="1" x14ac:dyDescent="0.35">
      <c r="T1429" s="246">
        <f t="shared" si="60"/>
        <v>0</v>
      </c>
    </row>
    <row r="1430" spans="20:20" ht="18.75" customHeight="1" x14ac:dyDescent="0.35">
      <c r="T1430" s="246">
        <f t="shared" si="60"/>
        <v>0</v>
      </c>
    </row>
    <row r="1431" spans="20:20" ht="18.75" customHeight="1" x14ac:dyDescent="0.35">
      <c r="T1431" s="246">
        <f t="shared" si="60"/>
        <v>0</v>
      </c>
    </row>
    <row r="1432" spans="20:20" ht="18.75" customHeight="1" x14ac:dyDescent="0.35">
      <c r="T1432" s="246">
        <f t="shared" si="60"/>
        <v>0</v>
      </c>
    </row>
    <row r="1433" spans="20:20" ht="18.75" customHeight="1" x14ac:dyDescent="0.35">
      <c r="T1433" s="246">
        <f t="shared" si="60"/>
        <v>0</v>
      </c>
    </row>
    <row r="1434" spans="20:20" ht="18.75" customHeight="1" x14ac:dyDescent="0.35">
      <c r="T1434" s="246">
        <f t="shared" si="60"/>
        <v>0</v>
      </c>
    </row>
    <row r="1435" spans="20:20" ht="18.75" customHeight="1" x14ac:dyDescent="0.35">
      <c r="T1435" s="246">
        <f t="shared" si="60"/>
        <v>0</v>
      </c>
    </row>
    <row r="1436" spans="20:20" ht="18.75" customHeight="1" x14ac:dyDescent="0.35">
      <c r="T1436" s="246">
        <f t="shared" si="60"/>
        <v>0</v>
      </c>
    </row>
    <row r="1437" spans="20:20" ht="18.75" customHeight="1" x14ac:dyDescent="0.35">
      <c r="T1437" s="246">
        <f t="shared" si="60"/>
        <v>0</v>
      </c>
    </row>
    <row r="1438" spans="20:20" ht="18.75" customHeight="1" x14ac:dyDescent="0.35">
      <c r="T1438" s="246">
        <f t="shared" si="60"/>
        <v>0</v>
      </c>
    </row>
    <row r="1439" spans="20:20" ht="18.75" customHeight="1" x14ac:dyDescent="0.35">
      <c r="T1439" s="246">
        <f t="shared" si="60"/>
        <v>0</v>
      </c>
    </row>
    <row r="1440" spans="20:20" ht="18.75" customHeight="1" x14ac:dyDescent="0.35">
      <c r="T1440" s="246">
        <f t="shared" si="60"/>
        <v>0</v>
      </c>
    </row>
    <row r="1441" spans="20:20" ht="18.75" customHeight="1" x14ac:dyDescent="0.35">
      <c r="T1441" s="246">
        <f t="shared" si="60"/>
        <v>0</v>
      </c>
    </row>
    <row r="1442" spans="20:20" ht="18.75" customHeight="1" x14ac:dyDescent="0.35">
      <c r="T1442" s="246">
        <f t="shared" si="60"/>
        <v>0</v>
      </c>
    </row>
    <row r="1443" spans="20:20" ht="18.75" customHeight="1" x14ac:dyDescent="0.35">
      <c r="T1443" s="246">
        <f t="shared" si="60"/>
        <v>0</v>
      </c>
    </row>
    <row r="1444" spans="20:20" ht="18.75" customHeight="1" x14ac:dyDescent="0.35">
      <c r="T1444" s="246">
        <f t="shared" si="60"/>
        <v>0</v>
      </c>
    </row>
    <row r="1445" spans="20:20" ht="18.75" customHeight="1" x14ac:dyDescent="0.35">
      <c r="T1445" s="246">
        <f t="shared" si="60"/>
        <v>0</v>
      </c>
    </row>
    <row r="1446" spans="20:20" ht="18.75" customHeight="1" x14ac:dyDescent="0.35">
      <c r="T1446" s="246">
        <f t="shared" si="60"/>
        <v>0</v>
      </c>
    </row>
    <row r="1447" spans="20:20" ht="18.75" customHeight="1" x14ac:dyDescent="0.35">
      <c r="T1447" s="246">
        <f t="shared" si="60"/>
        <v>0</v>
      </c>
    </row>
    <row r="1448" spans="20:20" ht="18.75" customHeight="1" x14ac:dyDescent="0.35">
      <c r="T1448" s="246">
        <f t="shared" si="60"/>
        <v>0</v>
      </c>
    </row>
    <row r="1449" spans="20:20" ht="18.75" customHeight="1" x14ac:dyDescent="0.35">
      <c r="T1449" s="246">
        <f t="shared" si="60"/>
        <v>0</v>
      </c>
    </row>
    <row r="1450" spans="20:20" ht="18.75" customHeight="1" x14ac:dyDescent="0.35">
      <c r="T1450" s="246">
        <f t="shared" si="60"/>
        <v>0</v>
      </c>
    </row>
    <row r="1451" spans="20:20" ht="18.75" customHeight="1" x14ac:dyDescent="0.35">
      <c r="T1451" s="246">
        <f t="shared" si="60"/>
        <v>0</v>
      </c>
    </row>
    <row r="1452" spans="20:20" ht="18.75" customHeight="1" x14ac:dyDescent="0.35">
      <c r="T1452" s="246">
        <f t="shared" si="60"/>
        <v>0</v>
      </c>
    </row>
    <row r="1453" spans="20:20" ht="18.75" customHeight="1" x14ac:dyDescent="0.35">
      <c r="T1453" s="246">
        <f t="shared" si="60"/>
        <v>0</v>
      </c>
    </row>
    <row r="1454" spans="20:20" ht="18.75" customHeight="1" x14ac:dyDescent="0.35">
      <c r="T1454" s="246">
        <f t="shared" si="60"/>
        <v>0</v>
      </c>
    </row>
    <row r="1455" spans="20:20" ht="18.75" customHeight="1" x14ac:dyDescent="0.35">
      <c r="T1455" s="246">
        <f t="shared" si="60"/>
        <v>0</v>
      </c>
    </row>
    <row r="1456" spans="20:20" ht="18.75" customHeight="1" x14ac:dyDescent="0.35">
      <c r="T1456" s="246">
        <f t="shared" si="60"/>
        <v>0</v>
      </c>
    </row>
    <row r="1457" spans="20:20" ht="18.75" customHeight="1" x14ac:dyDescent="0.35">
      <c r="T1457" s="246">
        <f t="shared" si="60"/>
        <v>0</v>
      </c>
    </row>
    <row r="1458" spans="20:20" ht="18.75" customHeight="1" x14ac:dyDescent="0.35">
      <c r="T1458" s="246">
        <f t="shared" si="60"/>
        <v>0</v>
      </c>
    </row>
    <row r="1459" spans="20:20" ht="18.75" customHeight="1" x14ac:dyDescent="0.35">
      <c r="T1459" s="246">
        <f t="shared" si="60"/>
        <v>0</v>
      </c>
    </row>
    <row r="1460" spans="20:20" ht="18.75" customHeight="1" x14ac:dyDescent="0.35">
      <c r="T1460" s="246">
        <f t="shared" si="60"/>
        <v>0</v>
      </c>
    </row>
    <row r="1461" spans="20:20" ht="18.75" customHeight="1" x14ac:dyDescent="0.35">
      <c r="T1461" s="246">
        <f t="shared" si="60"/>
        <v>0</v>
      </c>
    </row>
    <row r="1462" spans="20:20" ht="18.75" customHeight="1" x14ac:dyDescent="0.35">
      <c r="T1462" s="246">
        <f t="shared" si="60"/>
        <v>0</v>
      </c>
    </row>
    <row r="1463" spans="20:20" ht="18.75" customHeight="1" x14ac:dyDescent="0.35">
      <c r="T1463" s="246">
        <f t="shared" si="60"/>
        <v>0</v>
      </c>
    </row>
    <row r="1464" spans="20:20" ht="18.75" customHeight="1" x14ac:dyDescent="0.35">
      <c r="T1464" s="246">
        <f t="shared" si="60"/>
        <v>0</v>
      </c>
    </row>
    <row r="1465" spans="20:20" ht="18.75" customHeight="1" x14ac:dyDescent="0.35">
      <c r="T1465" s="246">
        <f t="shared" si="60"/>
        <v>0</v>
      </c>
    </row>
    <row r="1466" spans="20:20" ht="18.75" customHeight="1" x14ac:dyDescent="0.35">
      <c r="T1466" s="246">
        <f t="shared" si="60"/>
        <v>0</v>
      </c>
    </row>
    <row r="1467" spans="20:20" ht="18.75" customHeight="1" x14ac:dyDescent="0.35">
      <c r="T1467" s="246">
        <f t="shared" si="60"/>
        <v>0</v>
      </c>
    </row>
    <row r="1468" spans="20:20" ht="18.75" customHeight="1" x14ac:dyDescent="0.35">
      <c r="T1468" s="246">
        <f t="shared" ref="T1468:T1531" si="61">R1468*0.01</f>
        <v>0</v>
      </c>
    </row>
    <row r="1469" spans="20:20" ht="18.75" customHeight="1" x14ac:dyDescent="0.35">
      <c r="T1469" s="246">
        <f t="shared" si="61"/>
        <v>0</v>
      </c>
    </row>
    <row r="1470" spans="20:20" ht="18.75" customHeight="1" x14ac:dyDescent="0.35">
      <c r="T1470" s="246">
        <f t="shared" si="61"/>
        <v>0</v>
      </c>
    </row>
    <row r="1471" spans="20:20" ht="18.75" customHeight="1" x14ac:dyDescent="0.35">
      <c r="T1471" s="246">
        <f t="shared" si="61"/>
        <v>0</v>
      </c>
    </row>
    <row r="1472" spans="20:20" ht="18.75" customHeight="1" x14ac:dyDescent="0.35">
      <c r="T1472" s="246">
        <f t="shared" si="61"/>
        <v>0</v>
      </c>
    </row>
    <row r="1473" spans="20:20" ht="18.75" customHeight="1" x14ac:dyDescent="0.35">
      <c r="T1473" s="246">
        <f t="shared" si="61"/>
        <v>0</v>
      </c>
    </row>
    <row r="1474" spans="20:20" ht="18.75" customHeight="1" x14ac:dyDescent="0.35">
      <c r="T1474" s="246">
        <f t="shared" si="61"/>
        <v>0</v>
      </c>
    </row>
    <row r="1475" spans="20:20" ht="18.75" customHeight="1" x14ac:dyDescent="0.35">
      <c r="T1475" s="246">
        <f t="shared" si="61"/>
        <v>0</v>
      </c>
    </row>
    <row r="1476" spans="20:20" ht="18.75" customHeight="1" x14ac:dyDescent="0.35">
      <c r="T1476" s="246">
        <f t="shared" si="61"/>
        <v>0</v>
      </c>
    </row>
    <row r="1477" spans="20:20" ht="18.75" customHeight="1" x14ac:dyDescent="0.35">
      <c r="T1477" s="246">
        <f t="shared" si="61"/>
        <v>0</v>
      </c>
    </row>
    <row r="1478" spans="20:20" ht="18.75" customHeight="1" x14ac:dyDescent="0.35">
      <c r="T1478" s="246">
        <f t="shared" si="61"/>
        <v>0</v>
      </c>
    </row>
    <row r="1479" spans="20:20" ht="18.75" customHeight="1" x14ac:dyDescent="0.35">
      <c r="T1479" s="246">
        <f t="shared" si="61"/>
        <v>0</v>
      </c>
    </row>
    <row r="1480" spans="20:20" ht="18.75" customHeight="1" x14ac:dyDescent="0.35">
      <c r="T1480" s="246">
        <f t="shared" si="61"/>
        <v>0</v>
      </c>
    </row>
    <row r="1481" spans="20:20" ht="18.75" customHeight="1" x14ac:dyDescent="0.35">
      <c r="T1481" s="246">
        <f t="shared" si="61"/>
        <v>0</v>
      </c>
    </row>
    <row r="1482" spans="20:20" ht="18.75" customHeight="1" x14ac:dyDescent="0.35">
      <c r="T1482" s="246">
        <f t="shared" si="61"/>
        <v>0</v>
      </c>
    </row>
    <row r="1483" spans="20:20" ht="18.75" customHeight="1" x14ac:dyDescent="0.35">
      <c r="T1483" s="246">
        <f t="shared" si="61"/>
        <v>0</v>
      </c>
    </row>
    <row r="1484" spans="20:20" ht="18.75" customHeight="1" x14ac:dyDescent="0.35">
      <c r="T1484" s="246">
        <f t="shared" si="61"/>
        <v>0</v>
      </c>
    </row>
    <row r="1485" spans="20:20" ht="18.75" customHeight="1" x14ac:dyDescent="0.35">
      <c r="T1485" s="246">
        <f t="shared" si="61"/>
        <v>0</v>
      </c>
    </row>
    <row r="1486" spans="20:20" ht="18.75" customHeight="1" x14ac:dyDescent="0.35">
      <c r="T1486" s="246">
        <f t="shared" si="61"/>
        <v>0</v>
      </c>
    </row>
    <row r="1487" spans="20:20" ht="18.75" customHeight="1" x14ac:dyDescent="0.35">
      <c r="T1487" s="246">
        <f t="shared" si="61"/>
        <v>0</v>
      </c>
    </row>
    <row r="1488" spans="20:20" ht="18.75" customHeight="1" x14ac:dyDescent="0.35">
      <c r="T1488" s="246">
        <f t="shared" si="61"/>
        <v>0</v>
      </c>
    </row>
    <row r="1489" spans="20:20" ht="18.75" customHeight="1" x14ac:dyDescent="0.35">
      <c r="T1489" s="246">
        <f t="shared" si="61"/>
        <v>0</v>
      </c>
    </row>
    <row r="1490" spans="20:20" ht="18.75" customHeight="1" x14ac:dyDescent="0.35">
      <c r="T1490" s="246">
        <f t="shared" si="61"/>
        <v>0</v>
      </c>
    </row>
    <row r="1491" spans="20:20" ht="18.75" customHeight="1" x14ac:dyDescent="0.35">
      <c r="T1491" s="246">
        <f t="shared" si="61"/>
        <v>0</v>
      </c>
    </row>
    <row r="1492" spans="20:20" ht="18.75" customHeight="1" x14ac:dyDescent="0.35">
      <c r="T1492" s="246">
        <f t="shared" si="61"/>
        <v>0</v>
      </c>
    </row>
    <row r="1493" spans="20:20" ht="18.75" customHeight="1" x14ac:dyDescent="0.35">
      <c r="T1493" s="246">
        <f t="shared" si="61"/>
        <v>0</v>
      </c>
    </row>
    <row r="1494" spans="20:20" ht="18.75" customHeight="1" x14ac:dyDescent="0.35">
      <c r="T1494" s="246">
        <f t="shared" si="61"/>
        <v>0</v>
      </c>
    </row>
    <row r="1495" spans="20:20" ht="18.75" customHeight="1" x14ac:dyDescent="0.35">
      <c r="T1495" s="246">
        <f t="shared" si="61"/>
        <v>0</v>
      </c>
    </row>
    <row r="1496" spans="20:20" ht="18.75" customHeight="1" x14ac:dyDescent="0.35">
      <c r="T1496" s="246">
        <f t="shared" si="61"/>
        <v>0</v>
      </c>
    </row>
    <row r="1497" spans="20:20" ht="18.75" customHeight="1" x14ac:dyDescent="0.35">
      <c r="T1497" s="246">
        <f t="shared" si="61"/>
        <v>0</v>
      </c>
    </row>
    <row r="1498" spans="20:20" ht="18.75" customHeight="1" x14ac:dyDescent="0.35">
      <c r="T1498" s="246">
        <f t="shared" si="61"/>
        <v>0</v>
      </c>
    </row>
    <row r="1499" spans="20:20" ht="18.75" customHeight="1" x14ac:dyDescent="0.35">
      <c r="T1499" s="246">
        <f t="shared" si="61"/>
        <v>0</v>
      </c>
    </row>
    <row r="1500" spans="20:20" ht="18.75" customHeight="1" x14ac:dyDescent="0.35">
      <c r="T1500" s="246">
        <f t="shared" si="61"/>
        <v>0</v>
      </c>
    </row>
    <row r="1501" spans="20:20" ht="18.75" customHeight="1" x14ac:dyDescent="0.35">
      <c r="T1501" s="246">
        <f t="shared" si="61"/>
        <v>0</v>
      </c>
    </row>
    <row r="1502" spans="20:20" ht="18.75" customHeight="1" x14ac:dyDescent="0.35">
      <c r="T1502" s="246">
        <f t="shared" si="61"/>
        <v>0</v>
      </c>
    </row>
    <row r="1503" spans="20:20" ht="18.75" customHeight="1" x14ac:dyDescent="0.35">
      <c r="T1503" s="246">
        <f t="shared" si="61"/>
        <v>0</v>
      </c>
    </row>
    <row r="1504" spans="20:20" ht="18.75" customHeight="1" x14ac:dyDescent="0.35">
      <c r="T1504" s="246">
        <f t="shared" si="61"/>
        <v>0</v>
      </c>
    </row>
    <row r="1505" spans="20:20" ht="18.75" customHeight="1" x14ac:dyDescent="0.35">
      <c r="T1505" s="246">
        <f t="shared" si="61"/>
        <v>0</v>
      </c>
    </row>
    <row r="1506" spans="20:20" ht="18.75" customHeight="1" x14ac:dyDescent="0.35">
      <c r="T1506" s="246">
        <f t="shared" si="61"/>
        <v>0</v>
      </c>
    </row>
    <row r="1507" spans="20:20" ht="18.75" customHeight="1" x14ac:dyDescent="0.35">
      <c r="T1507" s="246">
        <f t="shared" si="61"/>
        <v>0</v>
      </c>
    </row>
    <row r="1508" spans="20:20" ht="18.75" customHeight="1" x14ac:dyDescent="0.35">
      <c r="T1508" s="246">
        <f t="shared" si="61"/>
        <v>0</v>
      </c>
    </row>
    <row r="1509" spans="20:20" ht="18.75" customHeight="1" x14ac:dyDescent="0.35">
      <c r="T1509" s="246">
        <f t="shared" si="61"/>
        <v>0</v>
      </c>
    </row>
    <row r="1510" spans="20:20" ht="18.75" customHeight="1" x14ac:dyDescent="0.35">
      <c r="T1510" s="246">
        <f t="shared" si="61"/>
        <v>0</v>
      </c>
    </row>
    <row r="1511" spans="20:20" ht="18.75" customHeight="1" x14ac:dyDescent="0.35">
      <c r="T1511" s="246">
        <f t="shared" si="61"/>
        <v>0</v>
      </c>
    </row>
    <row r="1512" spans="20:20" ht="18.75" customHeight="1" x14ac:dyDescent="0.35">
      <c r="T1512" s="246">
        <f t="shared" si="61"/>
        <v>0</v>
      </c>
    </row>
    <row r="1513" spans="20:20" ht="18.75" customHeight="1" x14ac:dyDescent="0.35">
      <c r="T1513" s="246">
        <f t="shared" si="61"/>
        <v>0</v>
      </c>
    </row>
    <row r="1514" spans="20:20" ht="18.75" customHeight="1" x14ac:dyDescent="0.35">
      <c r="T1514" s="246">
        <f t="shared" si="61"/>
        <v>0</v>
      </c>
    </row>
    <row r="1515" spans="20:20" ht="18.75" customHeight="1" x14ac:dyDescent="0.35">
      <c r="T1515" s="246">
        <f t="shared" si="61"/>
        <v>0</v>
      </c>
    </row>
    <row r="1516" spans="20:20" ht="18.75" customHeight="1" x14ac:dyDescent="0.35">
      <c r="T1516" s="246">
        <f t="shared" si="61"/>
        <v>0</v>
      </c>
    </row>
    <row r="1517" spans="20:20" ht="18.75" customHeight="1" x14ac:dyDescent="0.35">
      <c r="T1517" s="246">
        <f t="shared" si="61"/>
        <v>0</v>
      </c>
    </row>
    <row r="1518" spans="20:20" ht="18.75" customHeight="1" x14ac:dyDescent="0.35">
      <c r="T1518" s="246">
        <f t="shared" si="61"/>
        <v>0</v>
      </c>
    </row>
    <row r="1519" spans="20:20" ht="18.75" customHeight="1" x14ac:dyDescent="0.35">
      <c r="T1519" s="246">
        <f t="shared" si="61"/>
        <v>0</v>
      </c>
    </row>
    <row r="1520" spans="20:20" ht="18.75" customHeight="1" x14ac:dyDescent="0.35">
      <c r="T1520" s="246">
        <f t="shared" si="61"/>
        <v>0</v>
      </c>
    </row>
    <row r="1521" spans="20:20" ht="18.75" customHeight="1" x14ac:dyDescent="0.35">
      <c r="T1521" s="246">
        <f t="shared" si="61"/>
        <v>0</v>
      </c>
    </row>
    <row r="1522" spans="20:20" ht="18.75" customHeight="1" x14ac:dyDescent="0.35">
      <c r="T1522" s="246">
        <f t="shared" si="61"/>
        <v>0</v>
      </c>
    </row>
    <row r="1523" spans="20:20" ht="18.75" customHeight="1" x14ac:dyDescent="0.35">
      <c r="T1523" s="246">
        <f t="shared" si="61"/>
        <v>0</v>
      </c>
    </row>
    <row r="1524" spans="20:20" ht="18.75" customHeight="1" x14ac:dyDescent="0.35">
      <c r="T1524" s="246">
        <f t="shared" si="61"/>
        <v>0</v>
      </c>
    </row>
    <row r="1525" spans="20:20" ht="18.75" customHeight="1" x14ac:dyDescent="0.35">
      <c r="T1525" s="246">
        <f t="shared" si="61"/>
        <v>0</v>
      </c>
    </row>
    <row r="1526" spans="20:20" ht="18.75" customHeight="1" x14ac:dyDescent="0.35">
      <c r="T1526" s="246">
        <f t="shared" si="61"/>
        <v>0</v>
      </c>
    </row>
    <row r="1527" spans="20:20" ht="18.75" customHeight="1" x14ac:dyDescent="0.35">
      <c r="T1527" s="246">
        <f t="shared" si="61"/>
        <v>0</v>
      </c>
    </row>
    <row r="1528" spans="20:20" ht="18.75" customHeight="1" x14ac:dyDescent="0.35">
      <c r="T1528" s="246">
        <f t="shared" si="61"/>
        <v>0</v>
      </c>
    </row>
    <row r="1529" spans="20:20" ht="18.75" customHeight="1" x14ac:dyDescent="0.35">
      <c r="T1529" s="246">
        <f t="shared" si="61"/>
        <v>0</v>
      </c>
    </row>
    <row r="1530" spans="20:20" ht="18.75" customHeight="1" x14ac:dyDescent="0.35">
      <c r="T1530" s="246">
        <f t="shared" si="61"/>
        <v>0</v>
      </c>
    </row>
    <row r="1531" spans="20:20" ht="18.75" customHeight="1" x14ac:dyDescent="0.35">
      <c r="T1531" s="246">
        <f t="shared" si="61"/>
        <v>0</v>
      </c>
    </row>
    <row r="1532" spans="20:20" ht="18.75" customHeight="1" x14ac:dyDescent="0.35">
      <c r="T1532" s="246">
        <f t="shared" ref="T1532:T1595" si="62">R1532*0.01</f>
        <v>0</v>
      </c>
    </row>
    <row r="1533" spans="20:20" ht="18.75" customHeight="1" x14ac:dyDescent="0.35">
      <c r="T1533" s="246">
        <f t="shared" si="62"/>
        <v>0</v>
      </c>
    </row>
    <row r="1534" spans="20:20" ht="18.75" customHeight="1" x14ac:dyDescent="0.35">
      <c r="T1534" s="246">
        <f t="shared" si="62"/>
        <v>0</v>
      </c>
    </row>
    <row r="1535" spans="20:20" ht="18.75" customHeight="1" x14ac:dyDescent="0.35">
      <c r="T1535" s="246">
        <f t="shared" si="62"/>
        <v>0</v>
      </c>
    </row>
    <row r="1536" spans="20:20" ht="18.75" customHeight="1" x14ac:dyDescent="0.35">
      <c r="T1536" s="246">
        <f t="shared" si="62"/>
        <v>0</v>
      </c>
    </row>
    <row r="1537" spans="20:20" ht="18.75" customHeight="1" x14ac:dyDescent="0.35">
      <c r="T1537" s="246">
        <f t="shared" si="62"/>
        <v>0</v>
      </c>
    </row>
    <row r="1538" spans="20:20" ht="18.75" customHeight="1" x14ac:dyDescent="0.35">
      <c r="T1538" s="246">
        <f t="shared" si="62"/>
        <v>0</v>
      </c>
    </row>
    <row r="1539" spans="20:20" ht="18.75" customHeight="1" x14ac:dyDescent="0.35">
      <c r="T1539" s="246">
        <f t="shared" si="62"/>
        <v>0</v>
      </c>
    </row>
    <row r="1540" spans="20:20" ht="18.75" customHeight="1" x14ac:dyDescent="0.35">
      <c r="T1540" s="246">
        <f t="shared" si="62"/>
        <v>0</v>
      </c>
    </row>
    <row r="1541" spans="20:20" ht="18.75" customHeight="1" x14ac:dyDescent="0.35">
      <c r="T1541" s="246">
        <f t="shared" si="62"/>
        <v>0</v>
      </c>
    </row>
    <row r="1542" spans="20:20" ht="18.75" customHeight="1" x14ac:dyDescent="0.35">
      <c r="T1542" s="246">
        <f t="shared" si="62"/>
        <v>0</v>
      </c>
    </row>
    <row r="1543" spans="20:20" ht="18.75" customHeight="1" x14ac:dyDescent="0.35">
      <c r="T1543" s="246">
        <f t="shared" si="62"/>
        <v>0</v>
      </c>
    </row>
    <row r="1544" spans="20:20" ht="18.75" customHeight="1" x14ac:dyDescent="0.35">
      <c r="T1544" s="246">
        <f t="shared" si="62"/>
        <v>0</v>
      </c>
    </row>
    <row r="1545" spans="20:20" ht="18.75" customHeight="1" x14ac:dyDescent="0.35">
      <c r="T1545" s="246">
        <f t="shared" si="62"/>
        <v>0</v>
      </c>
    </row>
    <row r="1546" spans="20:20" ht="18.75" customHeight="1" x14ac:dyDescent="0.35">
      <c r="T1546" s="246">
        <f t="shared" si="62"/>
        <v>0</v>
      </c>
    </row>
    <row r="1547" spans="20:20" ht="18.75" customHeight="1" x14ac:dyDescent="0.35">
      <c r="T1547" s="246">
        <f t="shared" si="62"/>
        <v>0</v>
      </c>
    </row>
    <row r="1548" spans="20:20" ht="18.75" customHeight="1" x14ac:dyDescent="0.35">
      <c r="T1548" s="246">
        <f t="shared" si="62"/>
        <v>0</v>
      </c>
    </row>
    <row r="1549" spans="20:20" ht="18.75" customHeight="1" x14ac:dyDescent="0.35">
      <c r="T1549" s="246">
        <f t="shared" si="62"/>
        <v>0</v>
      </c>
    </row>
    <row r="1550" spans="20:20" ht="18.75" customHeight="1" x14ac:dyDescent="0.35">
      <c r="T1550" s="246">
        <f t="shared" si="62"/>
        <v>0</v>
      </c>
    </row>
    <row r="1551" spans="20:20" ht="18.75" customHeight="1" x14ac:dyDescent="0.35">
      <c r="T1551" s="246">
        <f t="shared" si="62"/>
        <v>0</v>
      </c>
    </row>
    <row r="1552" spans="20:20" ht="18.75" customHeight="1" x14ac:dyDescent="0.35">
      <c r="T1552" s="246">
        <f t="shared" si="62"/>
        <v>0</v>
      </c>
    </row>
    <row r="1553" spans="20:20" ht="18.75" customHeight="1" x14ac:dyDescent="0.35">
      <c r="T1553" s="246">
        <f t="shared" si="62"/>
        <v>0</v>
      </c>
    </row>
    <row r="1554" spans="20:20" ht="18.75" customHeight="1" x14ac:dyDescent="0.35">
      <c r="T1554" s="246">
        <f t="shared" si="62"/>
        <v>0</v>
      </c>
    </row>
    <row r="1555" spans="20:20" ht="18.75" customHeight="1" x14ac:dyDescent="0.35">
      <c r="T1555" s="246">
        <f t="shared" si="62"/>
        <v>0</v>
      </c>
    </row>
    <row r="1556" spans="20:20" ht="18.75" customHeight="1" x14ac:dyDescent="0.35">
      <c r="T1556" s="246">
        <f t="shared" si="62"/>
        <v>0</v>
      </c>
    </row>
    <row r="1557" spans="20:20" ht="18.75" customHeight="1" x14ac:dyDescent="0.35">
      <c r="T1557" s="246">
        <f t="shared" si="62"/>
        <v>0</v>
      </c>
    </row>
    <row r="1558" spans="20:20" ht="18.75" customHeight="1" x14ac:dyDescent="0.35">
      <c r="T1558" s="246">
        <f t="shared" si="62"/>
        <v>0</v>
      </c>
    </row>
    <row r="1559" spans="20:20" ht="18.75" customHeight="1" x14ac:dyDescent="0.35">
      <c r="T1559" s="246">
        <f t="shared" si="62"/>
        <v>0</v>
      </c>
    </row>
    <row r="1560" spans="20:20" ht="18.75" customHeight="1" x14ac:dyDescent="0.35">
      <c r="T1560" s="246">
        <f t="shared" si="62"/>
        <v>0</v>
      </c>
    </row>
    <row r="1561" spans="20:20" ht="18.75" customHeight="1" x14ac:dyDescent="0.35">
      <c r="T1561" s="246">
        <f t="shared" si="62"/>
        <v>0</v>
      </c>
    </row>
    <row r="1562" spans="20:20" ht="18.75" customHeight="1" x14ac:dyDescent="0.35">
      <c r="T1562" s="246">
        <f t="shared" si="62"/>
        <v>0</v>
      </c>
    </row>
    <row r="1563" spans="20:20" ht="18.75" customHeight="1" x14ac:dyDescent="0.35">
      <c r="T1563" s="246">
        <f t="shared" si="62"/>
        <v>0</v>
      </c>
    </row>
    <row r="1564" spans="20:20" ht="18.75" customHeight="1" x14ac:dyDescent="0.35">
      <c r="T1564" s="246">
        <f t="shared" si="62"/>
        <v>0</v>
      </c>
    </row>
    <row r="1565" spans="20:20" ht="18.75" customHeight="1" x14ac:dyDescent="0.35">
      <c r="T1565" s="246">
        <f t="shared" si="62"/>
        <v>0</v>
      </c>
    </row>
    <row r="1566" spans="20:20" ht="18.75" customHeight="1" x14ac:dyDescent="0.35">
      <c r="T1566" s="246">
        <f t="shared" si="62"/>
        <v>0</v>
      </c>
    </row>
    <row r="1567" spans="20:20" ht="18.75" customHeight="1" x14ac:dyDescent="0.35">
      <c r="T1567" s="246">
        <f t="shared" si="62"/>
        <v>0</v>
      </c>
    </row>
    <row r="1568" spans="20:20" ht="18.75" customHeight="1" x14ac:dyDescent="0.35">
      <c r="T1568" s="246">
        <f t="shared" si="62"/>
        <v>0</v>
      </c>
    </row>
    <row r="1569" spans="20:20" ht="18.75" customHeight="1" x14ac:dyDescent="0.35">
      <c r="T1569" s="246">
        <f t="shared" si="62"/>
        <v>0</v>
      </c>
    </row>
    <row r="1570" spans="20:20" ht="18.75" customHeight="1" x14ac:dyDescent="0.35">
      <c r="T1570" s="246">
        <f t="shared" si="62"/>
        <v>0</v>
      </c>
    </row>
    <row r="1571" spans="20:20" ht="18.75" customHeight="1" x14ac:dyDescent="0.35">
      <c r="T1571" s="246">
        <f t="shared" si="62"/>
        <v>0</v>
      </c>
    </row>
    <row r="1572" spans="20:20" ht="18.75" customHeight="1" x14ac:dyDescent="0.35">
      <c r="T1572" s="246">
        <f t="shared" si="62"/>
        <v>0</v>
      </c>
    </row>
    <row r="1573" spans="20:20" ht="18.75" customHeight="1" x14ac:dyDescent="0.35">
      <c r="T1573" s="246">
        <f t="shared" si="62"/>
        <v>0</v>
      </c>
    </row>
    <row r="1574" spans="20:20" ht="18.75" customHeight="1" x14ac:dyDescent="0.35">
      <c r="T1574" s="246">
        <f t="shared" si="62"/>
        <v>0</v>
      </c>
    </row>
    <row r="1575" spans="20:20" ht="18.75" customHeight="1" x14ac:dyDescent="0.35">
      <c r="T1575" s="246">
        <f t="shared" si="62"/>
        <v>0</v>
      </c>
    </row>
    <row r="1576" spans="20:20" ht="18.75" customHeight="1" x14ac:dyDescent="0.35">
      <c r="T1576" s="246">
        <f t="shared" si="62"/>
        <v>0</v>
      </c>
    </row>
    <row r="1577" spans="20:20" ht="18.75" customHeight="1" x14ac:dyDescent="0.35">
      <c r="T1577" s="246">
        <f t="shared" si="62"/>
        <v>0</v>
      </c>
    </row>
    <row r="1578" spans="20:20" ht="18.75" customHeight="1" x14ac:dyDescent="0.35">
      <c r="T1578" s="246">
        <f t="shared" si="62"/>
        <v>0</v>
      </c>
    </row>
    <row r="1579" spans="20:20" ht="18.75" customHeight="1" x14ac:dyDescent="0.35">
      <c r="T1579" s="246">
        <f t="shared" si="62"/>
        <v>0</v>
      </c>
    </row>
    <row r="1580" spans="20:20" ht="18.75" customHeight="1" x14ac:dyDescent="0.35">
      <c r="T1580" s="246">
        <f t="shared" si="62"/>
        <v>0</v>
      </c>
    </row>
    <row r="1581" spans="20:20" ht="18.75" customHeight="1" x14ac:dyDescent="0.35">
      <c r="T1581" s="246">
        <f t="shared" si="62"/>
        <v>0</v>
      </c>
    </row>
    <row r="1582" spans="20:20" ht="18.75" customHeight="1" x14ac:dyDescent="0.35">
      <c r="T1582" s="246">
        <f t="shared" si="62"/>
        <v>0</v>
      </c>
    </row>
    <row r="1583" spans="20:20" ht="18.75" customHeight="1" x14ac:dyDescent="0.35">
      <c r="T1583" s="246">
        <f t="shared" si="62"/>
        <v>0</v>
      </c>
    </row>
    <row r="1584" spans="20:20" ht="18.75" customHeight="1" x14ac:dyDescent="0.35">
      <c r="T1584" s="246">
        <f t="shared" si="62"/>
        <v>0</v>
      </c>
    </row>
    <row r="1585" spans="20:20" ht="18.75" customHeight="1" x14ac:dyDescent="0.35">
      <c r="T1585" s="246">
        <f t="shared" si="62"/>
        <v>0</v>
      </c>
    </row>
    <row r="1586" spans="20:20" ht="18.75" customHeight="1" x14ac:dyDescent="0.35">
      <c r="T1586" s="246">
        <f t="shared" si="62"/>
        <v>0</v>
      </c>
    </row>
    <row r="1587" spans="20:20" ht="18.75" customHeight="1" x14ac:dyDescent="0.35">
      <c r="T1587" s="246">
        <f t="shared" si="62"/>
        <v>0</v>
      </c>
    </row>
    <row r="1588" spans="20:20" ht="18.75" customHeight="1" x14ac:dyDescent="0.35">
      <c r="T1588" s="246">
        <f t="shared" si="62"/>
        <v>0</v>
      </c>
    </row>
    <row r="1589" spans="20:20" ht="18.75" customHeight="1" x14ac:dyDescent="0.35">
      <c r="T1589" s="246">
        <f t="shared" si="62"/>
        <v>0</v>
      </c>
    </row>
    <row r="1590" spans="20:20" ht="18.75" customHeight="1" x14ac:dyDescent="0.35">
      <c r="T1590" s="246">
        <f t="shared" si="62"/>
        <v>0</v>
      </c>
    </row>
    <row r="1591" spans="20:20" ht="18.75" customHeight="1" x14ac:dyDescent="0.35">
      <c r="T1591" s="246">
        <f t="shared" si="62"/>
        <v>0</v>
      </c>
    </row>
    <row r="1592" spans="20:20" ht="18.75" customHeight="1" x14ac:dyDescent="0.35">
      <c r="T1592" s="246">
        <f t="shared" si="62"/>
        <v>0</v>
      </c>
    </row>
    <row r="1593" spans="20:20" ht="18.75" customHeight="1" x14ac:dyDescent="0.35">
      <c r="T1593" s="246">
        <f t="shared" si="62"/>
        <v>0</v>
      </c>
    </row>
    <row r="1594" spans="20:20" ht="18.75" customHeight="1" x14ac:dyDescent="0.35">
      <c r="T1594" s="246">
        <f t="shared" si="62"/>
        <v>0</v>
      </c>
    </row>
    <row r="1595" spans="20:20" ht="18.75" customHeight="1" x14ac:dyDescent="0.35">
      <c r="T1595" s="246">
        <f t="shared" si="62"/>
        <v>0</v>
      </c>
    </row>
    <row r="1596" spans="20:20" ht="18.75" customHeight="1" x14ac:dyDescent="0.35">
      <c r="T1596" s="246">
        <f t="shared" ref="T1596:T1659" si="63">R1596*0.01</f>
        <v>0</v>
      </c>
    </row>
    <row r="1597" spans="20:20" ht="18.75" customHeight="1" x14ac:dyDescent="0.35">
      <c r="T1597" s="246">
        <f t="shared" si="63"/>
        <v>0</v>
      </c>
    </row>
    <row r="1598" spans="20:20" ht="18.75" customHeight="1" x14ac:dyDescent="0.35">
      <c r="T1598" s="246">
        <f t="shared" si="63"/>
        <v>0</v>
      </c>
    </row>
    <row r="1599" spans="20:20" ht="18.75" customHeight="1" x14ac:dyDescent="0.35">
      <c r="T1599" s="246">
        <f t="shared" si="63"/>
        <v>0</v>
      </c>
    </row>
    <row r="1600" spans="20:20" ht="18.75" customHeight="1" x14ac:dyDescent="0.35">
      <c r="T1600" s="246">
        <f t="shared" si="63"/>
        <v>0</v>
      </c>
    </row>
    <row r="1601" spans="20:20" ht="18.75" customHeight="1" x14ac:dyDescent="0.35">
      <c r="T1601" s="246">
        <f t="shared" si="63"/>
        <v>0</v>
      </c>
    </row>
    <row r="1602" spans="20:20" ht="18.75" customHeight="1" x14ac:dyDescent="0.35">
      <c r="T1602" s="246">
        <f t="shared" si="63"/>
        <v>0</v>
      </c>
    </row>
    <row r="1603" spans="20:20" ht="18.75" customHeight="1" x14ac:dyDescent="0.35">
      <c r="T1603" s="246">
        <f t="shared" si="63"/>
        <v>0</v>
      </c>
    </row>
    <row r="1604" spans="20:20" ht="18.75" customHeight="1" x14ac:dyDescent="0.35">
      <c r="T1604" s="246">
        <f t="shared" si="63"/>
        <v>0</v>
      </c>
    </row>
    <row r="1605" spans="20:20" ht="18.75" customHeight="1" x14ac:dyDescent="0.35">
      <c r="T1605" s="246">
        <f t="shared" si="63"/>
        <v>0</v>
      </c>
    </row>
    <row r="1606" spans="20:20" ht="18.75" customHeight="1" x14ac:dyDescent="0.35">
      <c r="T1606" s="246">
        <f t="shared" si="63"/>
        <v>0</v>
      </c>
    </row>
    <row r="1607" spans="20:20" ht="18.75" customHeight="1" x14ac:dyDescent="0.35">
      <c r="T1607" s="246">
        <f t="shared" si="63"/>
        <v>0</v>
      </c>
    </row>
    <row r="1608" spans="20:20" ht="18.75" customHeight="1" x14ac:dyDescent="0.35">
      <c r="T1608" s="246">
        <f t="shared" si="63"/>
        <v>0</v>
      </c>
    </row>
    <row r="1609" spans="20:20" ht="18.75" customHeight="1" x14ac:dyDescent="0.35">
      <c r="T1609" s="246">
        <f t="shared" si="63"/>
        <v>0</v>
      </c>
    </row>
    <row r="1610" spans="20:20" ht="18.75" customHeight="1" x14ac:dyDescent="0.35">
      <c r="T1610" s="246">
        <f t="shared" si="63"/>
        <v>0</v>
      </c>
    </row>
    <row r="1611" spans="20:20" ht="18.75" customHeight="1" x14ac:dyDescent="0.35">
      <c r="T1611" s="246">
        <f t="shared" si="63"/>
        <v>0</v>
      </c>
    </row>
    <row r="1612" spans="20:20" ht="18.75" customHeight="1" x14ac:dyDescent="0.35">
      <c r="T1612" s="246">
        <f t="shared" si="63"/>
        <v>0</v>
      </c>
    </row>
    <row r="1613" spans="20:20" ht="18.75" customHeight="1" x14ac:dyDescent="0.35">
      <c r="T1613" s="246">
        <f t="shared" si="63"/>
        <v>0</v>
      </c>
    </row>
    <row r="1614" spans="20:20" ht="18.75" customHeight="1" x14ac:dyDescent="0.35">
      <c r="T1614" s="246">
        <f t="shared" si="63"/>
        <v>0</v>
      </c>
    </row>
    <row r="1615" spans="20:20" ht="18.75" customHeight="1" x14ac:dyDescent="0.35">
      <c r="T1615" s="246">
        <f t="shared" si="63"/>
        <v>0</v>
      </c>
    </row>
    <row r="1616" spans="20:20" ht="18.75" customHeight="1" x14ac:dyDescent="0.35">
      <c r="T1616" s="246">
        <f t="shared" si="63"/>
        <v>0</v>
      </c>
    </row>
    <row r="1617" spans="20:20" ht="18.75" customHeight="1" x14ac:dyDescent="0.35">
      <c r="T1617" s="246">
        <f t="shared" si="63"/>
        <v>0</v>
      </c>
    </row>
    <row r="1618" spans="20:20" ht="18.75" customHeight="1" x14ac:dyDescent="0.35">
      <c r="T1618" s="246">
        <f t="shared" si="63"/>
        <v>0</v>
      </c>
    </row>
    <row r="1619" spans="20:20" ht="18.75" customHeight="1" x14ac:dyDescent="0.35">
      <c r="T1619" s="246">
        <f t="shared" si="63"/>
        <v>0</v>
      </c>
    </row>
    <row r="1620" spans="20:20" ht="18.75" customHeight="1" x14ac:dyDescent="0.35">
      <c r="T1620" s="246">
        <f t="shared" si="63"/>
        <v>0</v>
      </c>
    </row>
    <row r="1621" spans="20:20" ht="18.75" customHeight="1" x14ac:dyDescent="0.35">
      <c r="T1621" s="246">
        <f t="shared" si="63"/>
        <v>0</v>
      </c>
    </row>
    <row r="1622" spans="20:20" ht="18.75" customHeight="1" x14ac:dyDescent="0.35">
      <c r="T1622" s="246">
        <f t="shared" si="63"/>
        <v>0</v>
      </c>
    </row>
    <row r="1623" spans="20:20" ht="18.75" customHeight="1" x14ac:dyDescent="0.35">
      <c r="T1623" s="246">
        <f t="shared" si="63"/>
        <v>0</v>
      </c>
    </row>
    <row r="1624" spans="20:20" ht="18.75" customHeight="1" x14ac:dyDescent="0.35">
      <c r="T1624" s="246">
        <f t="shared" si="63"/>
        <v>0</v>
      </c>
    </row>
    <row r="1625" spans="20:20" ht="18.75" customHeight="1" x14ac:dyDescent="0.35">
      <c r="T1625" s="246">
        <f t="shared" si="63"/>
        <v>0</v>
      </c>
    </row>
    <row r="1626" spans="20:20" ht="18.75" customHeight="1" x14ac:dyDescent="0.35">
      <c r="T1626" s="246">
        <f t="shared" si="63"/>
        <v>0</v>
      </c>
    </row>
    <row r="1627" spans="20:20" ht="18.75" customHeight="1" x14ac:dyDescent="0.35">
      <c r="T1627" s="246">
        <f t="shared" si="63"/>
        <v>0</v>
      </c>
    </row>
    <row r="1628" spans="20:20" ht="18.75" customHeight="1" x14ac:dyDescent="0.35">
      <c r="T1628" s="246">
        <f t="shared" si="63"/>
        <v>0</v>
      </c>
    </row>
    <row r="1629" spans="20:20" ht="18.75" customHeight="1" x14ac:dyDescent="0.35">
      <c r="T1629" s="246">
        <f t="shared" si="63"/>
        <v>0</v>
      </c>
    </row>
    <row r="1630" spans="20:20" ht="18.75" customHeight="1" x14ac:dyDescent="0.35">
      <c r="T1630" s="246">
        <f t="shared" si="63"/>
        <v>0</v>
      </c>
    </row>
    <row r="1631" spans="20:20" ht="18.75" customHeight="1" x14ac:dyDescent="0.35">
      <c r="T1631" s="246">
        <f t="shared" si="63"/>
        <v>0</v>
      </c>
    </row>
    <row r="1632" spans="20:20" ht="18.75" customHeight="1" x14ac:dyDescent="0.35">
      <c r="T1632" s="246">
        <f t="shared" si="63"/>
        <v>0</v>
      </c>
    </row>
    <row r="1633" spans="20:20" ht="18.75" customHeight="1" x14ac:dyDescent="0.35">
      <c r="T1633" s="246">
        <f t="shared" si="63"/>
        <v>0</v>
      </c>
    </row>
    <row r="1634" spans="20:20" ht="18.75" customHeight="1" x14ac:dyDescent="0.35">
      <c r="T1634" s="246">
        <f t="shared" si="63"/>
        <v>0</v>
      </c>
    </row>
    <row r="1635" spans="20:20" ht="18.75" customHeight="1" x14ac:dyDescent="0.35">
      <c r="T1635" s="246">
        <f t="shared" si="63"/>
        <v>0</v>
      </c>
    </row>
    <row r="1636" spans="20:20" ht="18.75" customHeight="1" x14ac:dyDescent="0.35">
      <c r="T1636" s="246">
        <f t="shared" si="63"/>
        <v>0</v>
      </c>
    </row>
    <row r="1637" spans="20:20" ht="18.75" customHeight="1" x14ac:dyDescent="0.35">
      <c r="T1637" s="246">
        <f t="shared" si="63"/>
        <v>0</v>
      </c>
    </row>
    <row r="1638" spans="20:20" ht="18.75" customHeight="1" x14ac:dyDescent="0.35">
      <c r="T1638" s="246">
        <f t="shared" si="63"/>
        <v>0</v>
      </c>
    </row>
    <row r="1639" spans="20:20" ht="18.75" customHeight="1" x14ac:dyDescent="0.35">
      <c r="T1639" s="246">
        <f t="shared" si="63"/>
        <v>0</v>
      </c>
    </row>
    <row r="1640" spans="20:20" ht="18.75" customHeight="1" x14ac:dyDescent="0.35">
      <c r="T1640" s="246">
        <f t="shared" si="63"/>
        <v>0</v>
      </c>
    </row>
    <row r="1641" spans="20:20" ht="18.75" customHeight="1" x14ac:dyDescent="0.35">
      <c r="T1641" s="246">
        <f t="shared" si="63"/>
        <v>0</v>
      </c>
    </row>
    <row r="1642" spans="20:20" ht="18.75" customHeight="1" x14ac:dyDescent="0.35">
      <c r="T1642" s="246">
        <f t="shared" si="63"/>
        <v>0</v>
      </c>
    </row>
    <row r="1643" spans="20:20" ht="18.75" customHeight="1" x14ac:dyDescent="0.35">
      <c r="T1643" s="246">
        <f t="shared" si="63"/>
        <v>0</v>
      </c>
    </row>
    <row r="1644" spans="20:20" ht="18.75" customHeight="1" x14ac:dyDescent="0.35">
      <c r="T1644" s="246">
        <f t="shared" si="63"/>
        <v>0</v>
      </c>
    </row>
    <row r="1645" spans="20:20" ht="18.75" customHeight="1" x14ac:dyDescent="0.35">
      <c r="T1645" s="246">
        <f t="shared" si="63"/>
        <v>0</v>
      </c>
    </row>
    <row r="1646" spans="20:20" ht="18.75" customHeight="1" x14ac:dyDescent="0.35">
      <c r="T1646" s="246">
        <f t="shared" si="63"/>
        <v>0</v>
      </c>
    </row>
    <row r="1647" spans="20:20" ht="18.75" customHeight="1" x14ac:dyDescent="0.35">
      <c r="T1647" s="246">
        <f t="shared" si="63"/>
        <v>0</v>
      </c>
    </row>
    <row r="1648" spans="20:20" ht="18.75" customHeight="1" x14ac:dyDescent="0.35">
      <c r="T1648" s="246">
        <f t="shared" si="63"/>
        <v>0</v>
      </c>
    </row>
    <row r="1649" spans="20:20" ht="18.75" customHeight="1" x14ac:dyDescent="0.35">
      <c r="T1649" s="246">
        <f t="shared" si="63"/>
        <v>0</v>
      </c>
    </row>
    <row r="1650" spans="20:20" ht="18.75" customHeight="1" x14ac:dyDescent="0.35">
      <c r="T1650" s="246">
        <f t="shared" si="63"/>
        <v>0</v>
      </c>
    </row>
    <row r="1651" spans="20:20" ht="18.75" customHeight="1" x14ac:dyDescent="0.35">
      <c r="T1651" s="246">
        <f t="shared" si="63"/>
        <v>0</v>
      </c>
    </row>
    <row r="1652" spans="20:20" ht="18.75" customHeight="1" x14ac:dyDescent="0.35">
      <c r="T1652" s="246">
        <f t="shared" si="63"/>
        <v>0</v>
      </c>
    </row>
    <row r="1653" spans="20:20" ht="18.75" customHeight="1" x14ac:dyDescent="0.35">
      <c r="T1653" s="246">
        <f t="shared" si="63"/>
        <v>0</v>
      </c>
    </row>
    <row r="1654" spans="20:20" ht="18.75" customHeight="1" x14ac:dyDescent="0.35">
      <c r="T1654" s="246">
        <f t="shared" si="63"/>
        <v>0</v>
      </c>
    </row>
    <row r="1655" spans="20:20" ht="18.75" customHeight="1" x14ac:dyDescent="0.35">
      <c r="T1655" s="246">
        <f t="shared" si="63"/>
        <v>0</v>
      </c>
    </row>
    <row r="1656" spans="20:20" ht="18.75" customHeight="1" x14ac:dyDescent="0.35">
      <c r="T1656" s="246">
        <f t="shared" si="63"/>
        <v>0</v>
      </c>
    </row>
    <row r="1657" spans="20:20" ht="18.75" customHeight="1" x14ac:dyDescent="0.35">
      <c r="T1657" s="246">
        <f t="shared" si="63"/>
        <v>0</v>
      </c>
    </row>
    <row r="1658" spans="20:20" ht="18.75" customHeight="1" x14ac:dyDescent="0.35">
      <c r="T1658" s="246">
        <f t="shared" si="63"/>
        <v>0</v>
      </c>
    </row>
    <row r="1659" spans="20:20" ht="18.75" customHeight="1" x14ac:dyDescent="0.35">
      <c r="T1659" s="246">
        <f t="shared" si="63"/>
        <v>0</v>
      </c>
    </row>
    <row r="1660" spans="20:20" ht="18.75" customHeight="1" x14ac:dyDescent="0.35">
      <c r="T1660" s="246">
        <f t="shared" ref="T1660:T1723" si="64">R1660*0.01</f>
        <v>0</v>
      </c>
    </row>
    <row r="1661" spans="20:20" ht="18.75" customHeight="1" x14ac:dyDescent="0.35">
      <c r="T1661" s="246">
        <f t="shared" si="64"/>
        <v>0</v>
      </c>
    </row>
    <row r="1662" spans="20:20" ht="18.75" customHeight="1" x14ac:dyDescent="0.35">
      <c r="T1662" s="246">
        <f t="shared" si="64"/>
        <v>0</v>
      </c>
    </row>
    <row r="1663" spans="20:20" ht="18.75" customHeight="1" x14ac:dyDescent="0.35">
      <c r="T1663" s="246">
        <f t="shared" si="64"/>
        <v>0</v>
      </c>
    </row>
    <row r="1664" spans="20:20" ht="18.75" customHeight="1" x14ac:dyDescent="0.35">
      <c r="T1664" s="246">
        <f t="shared" si="64"/>
        <v>0</v>
      </c>
    </row>
    <row r="1665" spans="20:20" ht="18.75" customHeight="1" x14ac:dyDescent="0.35">
      <c r="T1665" s="246">
        <f t="shared" si="64"/>
        <v>0</v>
      </c>
    </row>
    <row r="1666" spans="20:20" ht="18.75" customHeight="1" x14ac:dyDescent="0.35">
      <c r="T1666" s="246">
        <f t="shared" si="64"/>
        <v>0</v>
      </c>
    </row>
    <row r="1667" spans="20:20" ht="18.75" customHeight="1" x14ac:dyDescent="0.35">
      <c r="T1667" s="246">
        <f t="shared" si="64"/>
        <v>0</v>
      </c>
    </row>
    <row r="1668" spans="20:20" ht="18.75" customHeight="1" x14ac:dyDescent="0.35">
      <c r="T1668" s="246">
        <f t="shared" si="64"/>
        <v>0</v>
      </c>
    </row>
    <row r="1669" spans="20:20" ht="18.75" customHeight="1" x14ac:dyDescent="0.35">
      <c r="T1669" s="246">
        <f t="shared" si="64"/>
        <v>0</v>
      </c>
    </row>
    <row r="1670" spans="20:20" ht="18.75" customHeight="1" x14ac:dyDescent="0.35">
      <c r="T1670" s="246">
        <f t="shared" si="64"/>
        <v>0</v>
      </c>
    </row>
    <row r="1671" spans="20:20" ht="18.75" customHeight="1" x14ac:dyDescent="0.35">
      <c r="T1671" s="246">
        <f t="shared" si="64"/>
        <v>0</v>
      </c>
    </row>
    <row r="1672" spans="20:20" ht="18.75" customHeight="1" x14ac:dyDescent="0.35">
      <c r="T1672" s="246">
        <f t="shared" si="64"/>
        <v>0</v>
      </c>
    </row>
    <row r="1673" spans="20:20" ht="18.75" customHeight="1" x14ac:dyDescent="0.35">
      <c r="T1673" s="246">
        <f t="shared" si="64"/>
        <v>0</v>
      </c>
    </row>
    <row r="1674" spans="20:20" ht="18.75" customHeight="1" x14ac:dyDescent="0.35">
      <c r="T1674" s="246">
        <f t="shared" si="64"/>
        <v>0</v>
      </c>
    </row>
    <row r="1675" spans="20:20" ht="18.75" customHeight="1" x14ac:dyDescent="0.35">
      <c r="T1675" s="246">
        <f t="shared" si="64"/>
        <v>0</v>
      </c>
    </row>
    <row r="1676" spans="20:20" ht="18.75" customHeight="1" x14ac:dyDescent="0.35">
      <c r="T1676" s="246">
        <f t="shared" si="64"/>
        <v>0</v>
      </c>
    </row>
    <row r="1677" spans="20:20" ht="18.75" customHeight="1" x14ac:dyDescent="0.35">
      <c r="T1677" s="246">
        <f t="shared" si="64"/>
        <v>0</v>
      </c>
    </row>
    <row r="1678" spans="20:20" ht="18.75" customHeight="1" x14ac:dyDescent="0.35">
      <c r="T1678" s="246">
        <f t="shared" si="64"/>
        <v>0</v>
      </c>
    </row>
    <row r="1679" spans="20:20" ht="18.75" customHeight="1" x14ac:dyDescent="0.35">
      <c r="T1679" s="246">
        <f t="shared" si="64"/>
        <v>0</v>
      </c>
    </row>
    <row r="1680" spans="20:20" ht="18.75" customHeight="1" x14ac:dyDescent="0.35">
      <c r="T1680" s="246">
        <f t="shared" si="64"/>
        <v>0</v>
      </c>
    </row>
    <row r="1681" spans="20:20" ht="18.75" customHeight="1" x14ac:dyDescent="0.35">
      <c r="T1681" s="246">
        <f t="shared" si="64"/>
        <v>0</v>
      </c>
    </row>
    <row r="1682" spans="20:20" ht="18.75" customHeight="1" x14ac:dyDescent="0.35">
      <c r="T1682" s="246">
        <f t="shared" si="64"/>
        <v>0</v>
      </c>
    </row>
    <row r="1683" spans="20:20" ht="18.75" customHeight="1" x14ac:dyDescent="0.35">
      <c r="T1683" s="246">
        <f t="shared" si="64"/>
        <v>0</v>
      </c>
    </row>
    <row r="1684" spans="20:20" ht="18.75" customHeight="1" x14ac:dyDescent="0.35">
      <c r="T1684" s="246">
        <f t="shared" si="64"/>
        <v>0</v>
      </c>
    </row>
    <row r="1685" spans="20:20" ht="18.75" customHeight="1" x14ac:dyDescent="0.35">
      <c r="T1685" s="246">
        <f t="shared" si="64"/>
        <v>0</v>
      </c>
    </row>
    <row r="1686" spans="20:20" ht="18.75" customHeight="1" x14ac:dyDescent="0.35">
      <c r="T1686" s="246">
        <f t="shared" si="64"/>
        <v>0</v>
      </c>
    </row>
    <row r="1687" spans="20:20" ht="18.75" customHeight="1" x14ac:dyDescent="0.35">
      <c r="T1687" s="246">
        <f t="shared" si="64"/>
        <v>0</v>
      </c>
    </row>
    <row r="1688" spans="20:20" ht="18.75" customHeight="1" x14ac:dyDescent="0.35">
      <c r="T1688" s="246">
        <f t="shared" si="64"/>
        <v>0</v>
      </c>
    </row>
    <row r="1689" spans="20:20" ht="18.75" customHeight="1" x14ac:dyDescent="0.35">
      <c r="T1689" s="246">
        <f t="shared" si="64"/>
        <v>0</v>
      </c>
    </row>
    <row r="1690" spans="20:20" ht="18.75" customHeight="1" x14ac:dyDescent="0.35">
      <c r="T1690" s="246">
        <f t="shared" si="64"/>
        <v>0</v>
      </c>
    </row>
    <row r="1691" spans="20:20" ht="18.75" customHeight="1" x14ac:dyDescent="0.35">
      <c r="T1691" s="246">
        <f t="shared" si="64"/>
        <v>0</v>
      </c>
    </row>
    <row r="1692" spans="20:20" ht="18.75" customHeight="1" x14ac:dyDescent="0.35">
      <c r="T1692" s="246">
        <f t="shared" si="64"/>
        <v>0</v>
      </c>
    </row>
    <row r="1693" spans="20:20" ht="18.75" customHeight="1" x14ac:dyDescent="0.35">
      <c r="T1693" s="246">
        <f t="shared" si="64"/>
        <v>0</v>
      </c>
    </row>
    <row r="1694" spans="20:20" ht="18.75" customHeight="1" x14ac:dyDescent="0.35">
      <c r="T1694" s="246">
        <f t="shared" si="64"/>
        <v>0</v>
      </c>
    </row>
    <row r="1695" spans="20:20" ht="18.75" customHeight="1" x14ac:dyDescent="0.35">
      <c r="T1695" s="246">
        <f t="shared" si="64"/>
        <v>0</v>
      </c>
    </row>
    <row r="1696" spans="20:20" ht="18.75" customHeight="1" x14ac:dyDescent="0.35">
      <c r="T1696" s="246">
        <f t="shared" si="64"/>
        <v>0</v>
      </c>
    </row>
    <row r="1697" spans="20:20" ht="18.75" customHeight="1" x14ac:dyDescent="0.35">
      <c r="T1697" s="246">
        <f t="shared" si="64"/>
        <v>0</v>
      </c>
    </row>
    <row r="1698" spans="20:20" ht="18.75" customHeight="1" x14ac:dyDescent="0.35">
      <c r="T1698" s="246">
        <f t="shared" si="64"/>
        <v>0</v>
      </c>
    </row>
    <row r="1699" spans="20:20" ht="18.75" customHeight="1" x14ac:dyDescent="0.35">
      <c r="T1699" s="246">
        <f t="shared" si="64"/>
        <v>0</v>
      </c>
    </row>
    <row r="1700" spans="20:20" ht="18.75" customHeight="1" x14ac:dyDescent="0.35">
      <c r="T1700" s="246">
        <f t="shared" si="64"/>
        <v>0</v>
      </c>
    </row>
    <row r="1701" spans="20:20" ht="18.75" customHeight="1" x14ac:dyDescent="0.35">
      <c r="T1701" s="246">
        <f t="shared" si="64"/>
        <v>0</v>
      </c>
    </row>
    <row r="1702" spans="20:20" ht="18.75" customHeight="1" x14ac:dyDescent="0.35">
      <c r="T1702" s="246">
        <f t="shared" si="64"/>
        <v>0</v>
      </c>
    </row>
    <row r="1703" spans="20:20" ht="18.75" customHeight="1" x14ac:dyDescent="0.35">
      <c r="T1703" s="246">
        <f t="shared" si="64"/>
        <v>0</v>
      </c>
    </row>
    <row r="1704" spans="20:20" ht="18.75" customHeight="1" x14ac:dyDescent="0.35">
      <c r="T1704" s="246">
        <f t="shared" si="64"/>
        <v>0</v>
      </c>
    </row>
    <row r="1705" spans="20:20" ht="18.75" customHeight="1" x14ac:dyDescent="0.35">
      <c r="T1705" s="246">
        <f t="shared" si="64"/>
        <v>0</v>
      </c>
    </row>
    <row r="1706" spans="20:20" ht="18.75" customHeight="1" x14ac:dyDescent="0.35">
      <c r="T1706" s="246">
        <f t="shared" si="64"/>
        <v>0</v>
      </c>
    </row>
    <row r="1707" spans="20:20" ht="18.75" customHeight="1" x14ac:dyDescent="0.35">
      <c r="T1707" s="246">
        <f t="shared" si="64"/>
        <v>0</v>
      </c>
    </row>
    <row r="1708" spans="20:20" ht="18.75" customHeight="1" x14ac:dyDescent="0.35">
      <c r="T1708" s="246">
        <f t="shared" si="64"/>
        <v>0</v>
      </c>
    </row>
    <row r="1709" spans="20:20" ht="18.75" customHeight="1" x14ac:dyDescent="0.35">
      <c r="T1709" s="246">
        <f t="shared" si="64"/>
        <v>0</v>
      </c>
    </row>
    <row r="1710" spans="20:20" ht="18.75" customHeight="1" x14ac:dyDescent="0.35">
      <c r="T1710" s="246">
        <f t="shared" si="64"/>
        <v>0</v>
      </c>
    </row>
    <row r="1711" spans="20:20" ht="18.75" customHeight="1" x14ac:dyDescent="0.35">
      <c r="T1711" s="246">
        <f t="shared" si="64"/>
        <v>0</v>
      </c>
    </row>
    <row r="1712" spans="20:20" ht="18.75" customHeight="1" x14ac:dyDescent="0.35">
      <c r="T1712" s="246">
        <f t="shared" si="64"/>
        <v>0</v>
      </c>
    </row>
    <row r="1713" spans="20:20" ht="18.75" customHeight="1" x14ac:dyDescent="0.35">
      <c r="T1713" s="246">
        <f t="shared" si="64"/>
        <v>0</v>
      </c>
    </row>
    <row r="1714" spans="20:20" ht="18.75" customHeight="1" x14ac:dyDescent="0.35">
      <c r="T1714" s="246">
        <f t="shared" si="64"/>
        <v>0</v>
      </c>
    </row>
    <row r="1715" spans="20:20" ht="18.75" customHeight="1" x14ac:dyDescent="0.35">
      <c r="T1715" s="246">
        <f t="shared" si="64"/>
        <v>0</v>
      </c>
    </row>
    <row r="1716" spans="20:20" ht="18.75" customHeight="1" x14ac:dyDescent="0.35">
      <c r="T1716" s="246">
        <f t="shared" si="64"/>
        <v>0</v>
      </c>
    </row>
    <row r="1717" spans="20:20" ht="18.75" customHeight="1" x14ac:dyDescent="0.35">
      <c r="T1717" s="246">
        <f t="shared" si="64"/>
        <v>0</v>
      </c>
    </row>
    <row r="1718" spans="20:20" ht="18.75" customHeight="1" x14ac:dyDescent="0.35">
      <c r="T1718" s="246">
        <f t="shared" si="64"/>
        <v>0</v>
      </c>
    </row>
    <row r="1719" spans="20:20" ht="18.75" customHeight="1" x14ac:dyDescent="0.35">
      <c r="T1719" s="246">
        <f t="shared" si="64"/>
        <v>0</v>
      </c>
    </row>
    <row r="1720" spans="20:20" ht="18.75" customHeight="1" x14ac:dyDescent="0.35">
      <c r="T1720" s="246">
        <f t="shared" si="64"/>
        <v>0</v>
      </c>
    </row>
    <row r="1721" spans="20:20" ht="18.75" customHeight="1" x14ac:dyDescent="0.35">
      <c r="T1721" s="246">
        <f t="shared" si="64"/>
        <v>0</v>
      </c>
    </row>
    <row r="1722" spans="20:20" ht="18.75" customHeight="1" x14ac:dyDescent="0.35">
      <c r="T1722" s="246">
        <f t="shared" si="64"/>
        <v>0</v>
      </c>
    </row>
    <row r="1723" spans="20:20" ht="18.75" customHeight="1" x14ac:dyDescent="0.35">
      <c r="T1723" s="246">
        <f t="shared" si="64"/>
        <v>0</v>
      </c>
    </row>
    <row r="1724" spans="20:20" ht="18.75" customHeight="1" x14ac:dyDescent="0.35">
      <c r="T1724" s="246">
        <f t="shared" ref="T1724:T1787" si="65">R1724*0.01</f>
        <v>0</v>
      </c>
    </row>
    <row r="1725" spans="20:20" ht="18.75" customHeight="1" x14ac:dyDescent="0.35">
      <c r="T1725" s="246">
        <f t="shared" si="65"/>
        <v>0</v>
      </c>
    </row>
    <row r="1726" spans="20:20" ht="18.75" customHeight="1" x14ac:dyDescent="0.35">
      <c r="T1726" s="246">
        <f t="shared" si="65"/>
        <v>0</v>
      </c>
    </row>
    <row r="1727" spans="20:20" ht="18.75" customHeight="1" x14ac:dyDescent="0.35">
      <c r="T1727" s="246">
        <f t="shared" si="65"/>
        <v>0</v>
      </c>
    </row>
    <row r="1728" spans="20:20" ht="18.75" customHeight="1" x14ac:dyDescent="0.35">
      <c r="T1728" s="246">
        <f t="shared" si="65"/>
        <v>0</v>
      </c>
    </row>
    <row r="1729" spans="20:20" ht="18.75" customHeight="1" x14ac:dyDescent="0.35">
      <c r="T1729" s="246">
        <f t="shared" si="65"/>
        <v>0</v>
      </c>
    </row>
    <row r="1730" spans="20:20" ht="18.75" customHeight="1" x14ac:dyDescent="0.35">
      <c r="T1730" s="246">
        <f t="shared" si="65"/>
        <v>0</v>
      </c>
    </row>
    <row r="1731" spans="20:20" ht="18.75" customHeight="1" x14ac:dyDescent="0.35">
      <c r="T1731" s="246">
        <f t="shared" si="65"/>
        <v>0</v>
      </c>
    </row>
    <row r="1732" spans="20:20" ht="18.75" customHeight="1" x14ac:dyDescent="0.35">
      <c r="T1732" s="246">
        <f t="shared" si="65"/>
        <v>0</v>
      </c>
    </row>
    <row r="1733" spans="20:20" ht="18.75" customHeight="1" x14ac:dyDescent="0.35">
      <c r="T1733" s="246">
        <f t="shared" si="65"/>
        <v>0</v>
      </c>
    </row>
    <row r="1734" spans="20:20" ht="18.75" customHeight="1" x14ac:dyDescent="0.35">
      <c r="T1734" s="246">
        <f t="shared" si="65"/>
        <v>0</v>
      </c>
    </row>
    <row r="1735" spans="20:20" ht="18.75" customHeight="1" x14ac:dyDescent="0.35">
      <c r="T1735" s="246">
        <f t="shared" si="65"/>
        <v>0</v>
      </c>
    </row>
    <row r="1736" spans="20:20" ht="18.75" customHeight="1" x14ac:dyDescent="0.35">
      <c r="T1736" s="246">
        <f t="shared" si="65"/>
        <v>0</v>
      </c>
    </row>
    <row r="1737" spans="20:20" ht="18.75" customHeight="1" x14ac:dyDescent="0.35">
      <c r="T1737" s="246">
        <f t="shared" si="65"/>
        <v>0</v>
      </c>
    </row>
    <row r="1738" spans="20:20" ht="18.75" customHeight="1" x14ac:dyDescent="0.35">
      <c r="T1738" s="246">
        <f t="shared" si="65"/>
        <v>0</v>
      </c>
    </row>
    <row r="1739" spans="20:20" ht="18.75" customHeight="1" x14ac:dyDescent="0.35">
      <c r="T1739" s="246">
        <f t="shared" si="65"/>
        <v>0</v>
      </c>
    </row>
    <row r="1740" spans="20:20" ht="18.75" customHeight="1" x14ac:dyDescent="0.35">
      <c r="T1740" s="246">
        <f t="shared" si="65"/>
        <v>0</v>
      </c>
    </row>
    <row r="1741" spans="20:20" ht="18.75" customHeight="1" x14ac:dyDescent="0.35">
      <c r="T1741" s="246">
        <f t="shared" si="65"/>
        <v>0</v>
      </c>
    </row>
    <row r="1742" spans="20:20" ht="18.75" customHeight="1" x14ac:dyDescent="0.35">
      <c r="T1742" s="246">
        <f t="shared" si="65"/>
        <v>0</v>
      </c>
    </row>
    <row r="1743" spans="20:20" ht="18.75" customHeight="1" x14ac:dyDescent="0.35">
      <c r="T1743" s="246">
        <f t="shared" si="65"/>
        <v>0</v>
      </c>
    </row>
    <row r="1744" spans="20:20" ht="18.75" customHeight="1" x14ac:dyDescent="0.35">
      <c r="T1744" s="246">
        <f t="shared" si="65"/>
        <v>0</v>
      </c>
    </row>
    <row r="1745" spans="20:20" ht="18.75" customHeight="1" x14ac:dyDescent="0.35">
      <c r="T1745" s="246">
        <f t="shared" si="65"/>
        <v>0</v>
      </c>
    </row>
    <row r="1746" spans="20:20" ht="18.75" customHeight="1" x14ac:dyDescent="0.35">
      <c r="T1746" s="246">
        <f t="shared" si="65"/>
        <v>0</v>
      </c>
    </row>
    <row r="1747" spans="20:20" ht="18.75" customHeight="1" x14ac:dyDescent="0.35">
      <c r="T1747" s="246">
        <f t="shared" si="65"/>
        <v>0</v>
      </c>
    </row>
    <row r="1748" spans="20:20" ht="18.75" customHeight="1" x14ac:dyDescent="0.35">
      <c r="T1748" s="246">
        <f t="shared" si="65"/>
        <v>0</v>
      </c>
    </row>
    <row r="1749" spans="20:20" ht="18.75" customHeight="1" x14ac:dyDescent="0.35">
      <c r="T1749" s="246">
        <f t="shared" si="65"/>
        <v>0</v>
      </c>
    </row>
    <row r="1750" spans="20:20" ht="18.75" customHeight="1" x14ac:dyDescent="0.35">
      <c r="T1750" s="246">
        <f t="shared" si="65"/>
        <v>0</v>
      </c>
    </row>
    <row r="1751" spans="20:20" ht="18.75" customHeight="1" x14ac:dyDescent="0.35">
      <c r="T1751" s="246">
        <f t="shared" si="65"/>
        <v>0</v>
      </c>
    </row>
    <row r="1752" spans="20:20" ht="18.75" customHeight="1" x14ac:dyDescent="0.35">
      <c r="T1752" s="246">
        <f t="shared" si="65"/>
        <v>0</v>
      </c>
    </row>
    <row r="1753" spans="20:20" ht="18.75" customHeight="1" x14ac:dyDescent="0.35">
      <c r="T1753" s="246">
        <f t="shared" si="65"/>
        <v>0</v>
      </c>
    </row>
    <row r="1754" spans="20:20" ht="18.75" customHeight="1" x14ac:dyDescent="0.35">
      <c r="T1754" s="246">
        <f t="shared" si="65"/>
        <v>0</v>
      </c>
    </row>
    <row r="1755" spans="20:20" ht="18.75" customHeight="1" x14ac:dyDescent="0.35">
      <c r="T1755" s="246">
        <f t="shared" si="65"/>
        <v>0</v>
      </c>
    </row>
    <row r="1756" spans="20:20" ht="18.75" customHeight="1" x14ac:dyDescent="0.35">
      <c r="T1756" s="246">
        <f t="shared" si="65"/>
        <v>0</v>
      </c>
    </row>
    <row r="1757" spans="20:20" ht="18.75" customHeight="1" x14ac:dyDescent="0.35">
      <c r="T1757" s="246">
        <f t="shared" si="65"/>
        <v>0</v>
      </c>
    </row>
    <row r="1758" spans="20:20" ht="18.75" customHeight="1" x14ac:dyDescent="0.35">
      <c r="T1758" s="246">
        <f t="shared" si="65"/>
        <v>0</v>
      </c>
    </row>
    <row r="1759" spans="20:20" ht="18.75" customHeight="1" x14ac:dyDescent="0.35">
      <c r="T1759" s="246">
        <f t="shared" si="65"/>
        <v>0</v>
      </c>
    </row>
    <row r="1760" spans="20:20" ht="18.75" customHeight="1" x14ac:dyDescent="0.35">
      <c r="T1760" s="246">
        <f t="shared" si="65"/>
        <v>0</v>
      </c>
    </row>
    <row r="1761" spans="20:20" ht="18.75" customHeight="1" x14ac:dyDescent="0.35">
      <c r="T1761" s="246">
        <f t="shared" si="65"/>
        <v>0</v>
      </c>
    </row>
    <row r="1762" spans="20:20" ht="18.75" customHeight="1" x14ac:dyDescent="0.35">
      <c r="T1762" s="246">
        <f t="shared" si="65"/>
        <v>0</v>
      </c>
    </row>
    <row r="1763" spans="20:20" ht="18.75" customHeight="1" x14ac:dyDescent="0.35">
      <c r="T1763" s="246">
        <f t="shared" si="65"/>
        <v>0</v>
      </c>
    </row>
    <row r="1764" spans="20:20" ht="18.75" customHeight="1" x14ac:dyDescent="0.35">
      <c r="T1764" s="246">
        <f t="shared" si="65"/>
        <v>0</v>
      </c>
    </row>
    <row r="1765" spans="20:20" ht="18.75" customHeight="1" x14ac:dyDescent="0.35">
      <c r="T1765" s="246">
        <f t="shared" si="65"/>
        <v>0</v>
      </c>
    </row>
    <row r="1766" spans="20:20" ht="18.75" customHeight="1" x14ac:dyDescent="0.35">
      <c r="T1766" s="246">
        <f t="shared" si="65"/>
        <v>0</v>
      </c>
    </row>
    <row r="1767" spans="20:20" ht="18.75" customHeight="1" x14ac:dyDescent="0.35">
      <c r="T1767" s="246">
        <f t="shared" si="65"/>
        <v>0</v>
      </c>
    </row>
    <row r="1768" spans="20:20" ht="18.75" customHeight="1" x14ac:dyDescent="0.35">
      <c r="T1768" s="246">
        <f t="shared" si="65"/>
        <v>0</v>
      </c>
    </row>
    <row r="1769" spans="20:20" ht="18.75" customHeight="1" x14ac:dyDescent="0.35">
      <c r="T1769" s="246">
        <f t="shared" si="65"/>
        <v>0</v>
      </c>
    </row>
    <row r="1770" spans="20:20" ht="18.75" customHeight="1" x14ac:dyDescent="0.35">
      <c r="T1770" s="246">
        <f t="shared" si="65"/>
        <v>0</v>
      </c>
    </row>
    <row r="1771" spans="20:20" ht="18.75" customHeight="1" x14ac:dyDescent="0.35">
      <c r="T1771" s="246">
        <f t="shared" si="65"/>
        <v>0</v>
      </c>
    </row>
    <row r="1772" spans="20:20" ht="18.75" customHeight="1" x14ac:dyDescent="0.35">
      <c r="T1772" s="246">
        <f t="shared" si="65"/>
        <v>0</v>
      </c>
    </row>
    <row r="1773" spans="20:20" ht="18.75" customHeight="1" x14ac:dyDescent="0.35">
      <c r="T1773" s="246">
        <f t="shared" si="65"/>
        <v>0</v>
      </c>
    </row>
    <row r="1774" spans="20:20" ht="18.75" customHeight="1" x14ac:dyDescent="0.35">
      <c r="T1774" s="246">
        <f t="shared" si="65"/>
        <v>0</v>
      </c>
    </row>
    <row r="1775" spans="20:20" ht="18.75" customHeight="1" x14ac:dyDescent="0.35">
      <c r="T1775" s="246">
        <f t="shared" si="65"/>
        <v>0</v>
      </c>
    </row>
    <row r="1776" spans="20:20" ht="18.75" customHeight="1" x14ac:dyDescent="0.35">
      <c r="T1776" s="246">
        <f t="shared" si="65"/>
        <v>0</v>
      </c>
    </row>
    <row r="1777" spans="20:20" ht="18.75" customHeight="1" x14ac:dyDescent="0.35">
      <c r="T1777" s="246">
        <f t="shared" si="65"/>
        <v>0</v>
      </c>
    </row>
    <row r="1778" spans="20:20" ht="18.75" customHeight="1" x14ac:dyDescent="0.35">
      <c r="T1778" s="246">
        <f t="shared" si="65"/>
        <v>0</v>
      </c>
    </row>
    <row r="1779" spans="20:20" ht="18.75" customHeight="1" x14ac:dyDescent="0.35">
      <c r="T1779" s="246">
        <f t="shared" si="65"/>
        <v>0</v>
      </c>
    </row>
    <row r="1780" spans="20:20" ht="18.75" customHeight="1" x14ac:dyDescent="0.35">
      <c r="T1780" s="246">
        <f t="shared" si="65"/>
        <v>0</v>
      </c>
    </row>
    <row r="1781" spans="20:20" ht="18.75" customHeight="1" x14ac:dyDescent="0.35">
      <c r="T1781" s="246">
        <f t="shared" si="65"/>
        <v>0</v>
      </c>
    </row>
    <row r="1782" spans="20:20" ht="18.75" customHeight="1" x14ac:dyDescent="0.35">
      <c r="T1782" s="246">
        <f t="shared" si="65"/>
        <v>0</v>
      </c>
    </row>
    <row r="1783" spans="20:20" ht="18.75" customHeight="1" x14ac:dyDescent="0.35">
      <c r="T1783" s="246">
        <f t="shared" si="65"/>
        <v>0</v>
      </c>
    </row>
    <row r="1784" spans="20:20" ht="18.75" customHeight="1" x14ac:dyDescent="0.35">
      <c r="T1784" s="246">
        <f t="shared" si="65"/>
        <v>0</v>
      </c>
    </row>
    <row r="1785" spans="20:20" ht="18.75" customHeight="1" x14ac:dyDescent="0.35">
      <c r="T1785" s="246">
        <f t="shared" si="65"/>
        <v>0</v>
      </c>
    </row>
    <row r="1786" spans="20:20" ht="18.75" customHeight="1" x14ac:dyDescent="0.35">
      <c r="T1786" s="246">
        <f t="shared" si="65"/>
        <v>0</v>
      </c>
    </row>
    <row r="1787" spans="20:20" ht="18.75" customHeight="1" x14ac:dyDescent="0.35">
      <c r="T1787" s="246">
        <f t="shared" si="65"/>
        <v>0</v>
      </c>
    </row>
    <row r="1788" spans="20:20" ht="18.75" customHeight="1" x14ac:dyDescent="0.35">
      <c r="T1788" s="246">
        <f t="shared" ref="T1788:T1851" si="66">R1788*0.01</f>
        <v>0</v>
      </c>
    </row>
    <row r="1789" spans="20:20" ht="18.75" customHeight="1" x14ac:dyDescent="0.35">
      <c r="T1789" s="246">
        <f t="shared" si="66"/>
        <v>0</v>
      </c>
    </row>
    <row r="1790" spans="20:20" ht="18.75" customHeight="1" x14ac:dyDescent="0.35">
      <c r="T1790" s="246">
        <f t="shared" si="66"/>
        <v>0</v>
      </c>
    </row>
    <row r="1791" spans="20:20" ht="18.75" customHeight="1" x14ac:dyDescent="0.35">
      <c r="T1791" s="246">
        <f t="shared" si="66"/>
        <v>0</v>
      </c>
    </row>
    <row r="1792" spans="20:20" ht="18.75" customHeight="1" x14ac:dyDescent="0.35">
      <c r="T1792" s="246">
        <f t="shared" si="66"/>
        <v>0</v>
      </c>
    </row>
    <row r="1793" spans="20:20" ht="18.75" customHeight="1" x14ac:dyDescent="0.35">
      <c r="T1793" s="246">
        <f t="shared" si="66"/>
        <v>0</v>
      </c>
    </row>
    <row r="1794" spans="20:20" ht="18.75" customHeight="1" x14ac:dyDescent="0.35">
      <c r="T1794" s="246">
        <f t="shared" si="66"/>
        <v>0</v>
      </c>
    </row>
    <row r="1795" spans="20:20" ht="18.75" customHeight="1" x14ac:dyDescent="0.35">
      <c r="T1795" s="246">
        <f t="shared" si="66"/>
        <v>0</v>
      </c>
    </row>
    <row r="1796" spans="20:20" ht="18.75" customHeight="1" x14ac:dyDescent="0.35">
      <c r="T1796" s="246">
        <f t="shared" si="66"/>
        <v>0</v>
      </c>
    </row>
    <row r="1797" spans="20:20" ht="18.75" customHeight="1" x14ac:dyDescent="0.35">
      <c r="T1797" s="246">
        <f t="shared" si="66"/>
        <v>0</v>
      </c>
    </row>
    <row r="1798" spans="20:20" ht="18.75" customHeight="1" x14ac:dyDescent="0.35">
      <c r="T1798" s="246">
        <f t="shared" si="66"/>
        <v>0</v>
      </c>
    </row>
    <row r="1799" spans="20:20" ht="18.75" customHeight="1" x14ac:dyDescent="0.35">
      <c r="T1799" s="246">
        <f t="shared" si="66"/>
        <v>0</v>
      </c>
    </row>
    <row r="1800" spans="20:20" ht="18.75" customHeight="1" x14ac:dyDescent="0.35">
      <c r="T1800" s="246">
        <f t="shared" si="66"/>
        <v>0</v>
      </c>
    </row>
    <row r="1801" spans="20:20" ht="18.75" customHeight="1" x14ac:dyDescent="0.35">
      <c r="T1801" s="246">
        <f t="shared" si="66"/>
        <v>0</v>
      </c>
    </row>
    <row r="1802" spans="20:20" ht="18.75" customHeight="1" x14ac:dyDescent="0.35">
      <c r="T1802" s="246">
        <f t="shared" si="66"/>
        <v>0</v>
      </c>
    </row>
    <row r="1803" spans="20:20" ht="18.75" customHeight="1" x14ac:dyDescent="0.35">
      <c r="T1803" s="246">
        <f t="shared" si="66"/>
        <v>0</v>
      </c>
    </row>
    <row r="1804" spans="20:20" ht="18.75" customHeight="1" x14ac:dyDescent="0.35">
      <c r="T1804" s="246">
        <f t="shared" si="66"/>
        <v>0</v>
      </c>
    </row>
    <row r="1805" spans="20:20" ht="18.75" customHeight="1" x14ac:dyDescent="0.35">
      <c r="T1805" s="246">
        <f t="shared" si="66"/>
        <v>0</v>
      </c>
    </row>
    <row r="1806" spans="20:20" ht="18.75" customHeight="1" x14ac:dyDescent="0.35">
      <c r="T1806" s="246">
        <f t="shared" si="66"/>
        <v>0</v>
      </c>
    </row>
    <row r="1807" spans="20:20" ht="18.75" customHeight="1" x14ac:dyDescent="0.35">
      <c r="T1807" s="246">
        <f t="shared" si="66"/>
        <v>0</v>
      </c>
    </row>
    <row r="1808" spans="20:20" ht="18.75" customHeight="1" x14ac:dyDescent="0.35">
      <c r="T1808" s="246">
        <f t="shared" si="66"/>
        <v>0</v>
      </c>
    </row>
    <row r="1809" spans="20:20" ht="18.75" customHeight="1" x14ac:dyDescent="0.35">
      <c r="T1809" s="246">
        <f t="shared" si="66"/>
        <v>0</v>
      </c>
    </row>
    <row r="1810" spans="20:20" ht="18.75" customHeight="1" x14ac:dyDescent="0.35">
      <c r="T1810" s="246">
        <f t="shared" si="66"/>
        <v>0</v>
      </c>
    </row>
    <row r="1811" spans="20:20" ht="18.75" customHeight="1" x14ac:dyDescent="0.35">
      <c r="T1811" s="246">
        <f t="shared" si="66"/>
        <v>0</v>
      </c>
    </row>
    <row r="1812" spans="20:20" ht="18.75" customHeight="1" x14ac:dyDescent="0.35">
      <c r="T1812" s="246">
        <f t="shared" si="66"/>
        <v>0</v>
      </c>
    </row>
    <row r="1813" spans="20:20" ht="18.75" customHeight="1" x14ac:dyDescent="0.35">
      <c r="T1813" s="246">
        <f t="shared" si="66"/>
        <v>0</v>
      </c>
    </row>
    <row r="1814" spans="20:20" ht="18.75" customHeight="1" x14ac:dyDescent="0.35">
      <c r="T1814" s="246">
        <f t="shared" si="66"/>
        <v>0</v>
      </c>
    </row>
    <row r="1815" spans="20:20" ht="18.75" customHeight="1" x14ac:dyDescent="0.35">
      <c r="T1815" s="246">
        <f t="shared" si="66"/>
        <v>0</v>
      </c>
    </row>
    <row r="1816" spans="20:20" ht="18.75" customHeight="1" x14ac:dyDescent="0.35">
      <c r="T1816" s="246">
        <f t="shared" si="66"/>
        <v>0</v>
      </c>
    </row>
    <row r="1817" spans="20:20" ht="18.75" customHeight="1" x14ac:dyDescent="0.35">
      <c r="T1817" s="246">
        <f t="shared" si="66"/>
        <v>0</v>
      </c>
    </row>
    <row r="1818" spans="20:20" ht="18.75" customHeight="1" x14ac:dyDescent="0.35">
      <c r="T1818" s="246">
        <f t="shared" si="66"/>
        <v>0</v>
      </c>
    </row>
    <row r="1819" spans="20:20" ht="18.75" customHeight="1" x14ac:dyDescent="0.35">
      <c r="T1819" s="246">
        <f t="shared" si="66"/>
        <v>0</v>
      </c>
    </row>
    <row r="1820" spans="20:20" ht="18.75" customHeight="1" x14ac:dyDescent="0.35">
      <c r="T1820" s="246">
        <f t="shared" si="66"/>
        <v>0</v>
      </c>
    </row>
    <row r="1821" spans="20:20" ht="18.75" customHeight="1" x14ac:dyDescent="0.35">
      <c r="T1821" s="246">
        <f t="shared" si="66"/>
        <v>0</v>
      </c>
    </row>
    <row r="1822" spans="20:20" ht="18.75" customHeight="1" x14ac:dyDescent="0.35">
      <c r="T1822" s="246">
        <f t="shared" si="66"/>
        <v>0</v>
      </c>
    </row>
    <row r="1823" spans="20:20" ht="18.75" customHeight="1" x14ac:dyDescent="0.35">
      <c r="T1823" s="246">
        <f t="shared" si="66"/>
        <v>0</v>
      </c>
    </row>
    <row r="1824" spans="20:20" ht="18.75" customHeight="1" x14ac:dyDescent="0.35">
      <c r="T1824" s="246">
        <f t="shared" si="66"/>
        <v>0</v>
      </c>
    </row>
    <row r="1825" spans="20:20" ht="18.75" customHeight="1" x14ac:dyDescent="0.35">
      <c r="T1825" s="246">
        <f t="shared" si="66"/>
        <v>0</v>
      </c>
    </row>
    <row r="1826" spans="20:20" ht="18.75" customHeight="1" x14ac:dyDescent="0.35">
      <c r="T1826" s="246">
        <f t="shared" si="66"/>
        <v>0</v>
      </c>
    </row>
    <row r="1827" spans="20:20" ht="18.75" customHeight="1" x14ac:dyDescent="0.35">
      <c r="T1827" s="246">
        <f t="shared" si="66"/>
        <v>0</v>
      </c>
    </row>
    <row r="1828" spans="20:20" ht="18.75" customHeight="1" x14ac:dyDescent="0.35">
      <c r="T1828" s="246">
        <f t="shared" si="66"/>
        <v>0</v>
      </c>
    </row>
    <row r="1829" spans="20:20" ht="18.75" customHeight="1" x14ac:dyDescent="0.35">
      <c r="T1829" s="246">
        <f t="shared" si="66"/>
        <v>0</v>
      </c>
    </row>
    <row r="1830" spans="20:20" ht="18.75" customHeight="1" x14ac:dyDescent="0.35">
      <c r="T1830" s="246">
        <f t="shared" si="66"/>
        <v>0</v>
      </c>
    </row>
    <row r="1831" spans="20:20" ht="18.75" customHeight="1" x14ac:dyDescent="0.35">
      <c r="T1831" s="246">
        <f t="shared" si="66"/>
        <v>0</v>
      </c>
    </row>
    <row r="1832" spans="20:20" ht="18.75" customHeight="1" x14ac:dyDescent="0.35">
      <c r="T1832" s="246">
        <f t="shared" si="66"/>
        <v>0</v>
      </c>
    </row>
    <row r="1833" spans="20:20" ht="18.75" customHeight="1" x14ac:dyDescent="0.35">
      <c r="T1833" s="246">
        <f t="shared" si="66"/>
        <v>0</v>
      </c>
    </row>
    <row r="1834" spans="20:20" ht="18.75" customHeight="1" x14ac:dyDescent="0.35">
      <c r="T1834" s="246">
        <f t="shared" si="66"/>
        <v>0</v>
      </c>
    </row>
    <row r="1835" spans="20:20" ht="18.75" customHeight="1" x14ac:dyDescent="0.35">
      <c r="T1835" s="246">
        <f t="shared" si="66"/>
        <v>0</v>
      </c>
    </row>
    <row r="1836" spans="20:20" ht="18.75" customHeight="1" x14ac:dyDescent="0.35">
      <c r="T1836" s="246">
        <f t="shared" si="66"/>
        <v>0</v>
      </c>
    </row>
    <row r="1837" spans="20:20" ht="18.75" customHeight="1" x14ac:dyDescent="0.35">
      <c r="T1837" s="246">
        <f t="shared" si="66"/>
        <v>0</v>
      </c>
    </row>
    <row r="1838" spans="20:20" ht="18.75" customHeight="1" x14ac:dyDescent="0.35">
      <c r="T1838" s="246">
        <f t="shared" si="66"/>
        <v>0</v>
      </c>
    </row>
    <row r="1839" spans="20:20" ht="18.75" customHeight="1" x14ac:dyDescent="0.35">
      <c r="T1839" s="246">
        <f t="shared" si="66"/>
        <v>0</v>
      </c>
    </row>
    <row r="1840" spans="20:20" ht="18.75" customHeight="1" x14ac:dyDescent="0.35">
      <c r="T1840" s="246">
        <f t="shared" si="66"/>
        <v>0</v>
      </c>
    </row>
    <row r="1841" spans="20:20" ht="18.75" customHeight="1" x14ac:dyDescent="0.35">
      <c r="T1841" s="246">
        <f t="shared" si="66"/>
        <v>0</v>
      </c>
    </row>
    <row r="1842" spans="20:20" ht="18.75" customHeight="1" x14ac:dyDescent="0.35">
      <c r="T1842" s="246">
        <f t="shared" si="66"/>
        <v>0</v>
      </c>
    </row>
    <row r="1843" spans="20:20" ht="18.75" customHeight="1" x14ac:dyDescent="0.35">
      <c r="T1843" s="246">
        <f t="shared" si="66"/>
        <v>0</v>
      </c>
    </row>
    <row r="1844" spans="20:20" ht="18.75" customHeight="1" x14ac:dyDescent="0.35">
      <c r="T1844" s="246">
        <f t="shared" si="66"/>
        <v>0</v>
      </c>
    </row>
    <row r="1845" spans="20:20" ht="18.75" customHeight="1" x14ac:dyDescent="0.35">
      <c r="T1845" s="246">
        <f t="shared" si="66"/>
        <v>0</v>
      </c>
    </row>
    <row r="1846" spans="20:20" ht="18.75" customHeight="1" x14ac:dyDescent="0.35">
      <c r="T1846" s="246">
        <f t="shared" si="66"/>
        <v>0</v>
      </c>
    </row>
    <row r="1847" spans="20:20" ht="18.75" customHeight="1" x14ac:dyDescent="0.35">
      <c r="T1847" s="246">
        <f t="shared" si="66"/>
        <v>0</v>
      </c>
    </row>
    <row r="1848" spans="20:20" ht="18.75" customHeight="1" x14ac:dyDescent="0.35">
      <c r="T1848" s="246">
        <f t="shared" si="66"/>
        <v>0</v>
      </c>
    </row>
    <row r="1849" spans="20:20" ht="18.75" customHeight="1" x14ac:dyDescent="0.35">
      <c r="T1849" s="246">
        <f t="shared" si="66"/>
        <v>0</v>
      </c>
    </row>
    <row r="1850" spans="20:20" ht="18.75" customHeight="1" x14ac:dyDescent="0.35">
      <c r="T1850" s="246">
        <f t="shared" si="66"/>
        <v>0</v>
      </c>
    </row>
    <row r="1851" spans="20:20" ht="18.75" customHeight="1" x14ac:dyDescent="0.35">
      <c r="T1851" s="246">
        <f t="shared" si="66"/>
        <v>0</v>
      </c>
    </row>
    <row r="1852" spans="20:20" ht="18.75" customHeight="1" x14ac:dyDescent="0.35">
      <c r="T1852" s="246">
        <f t="shared" ref="T1852:T1915" si="67">R1852*0.01</f>
        <v>0</v>
      </c>
    </row>
    <row r="1853" spans="20:20" ht="18.75" customHeight="1" x14ac:dyDescent="0.35">
      <c r="T1853" s="246">
        <f t="shared" si="67"/>
        <v>0</v>
      </c>
    </row>
    <row r="1854" spans="20:20" ht="18.75" customHeight="1" x14ac:dyDescent="0.35">
      <c r="T1854" s="246">
        <f t="shared" si="67"/>
        <v>0</v>
      </c>
    </row>
    <row r="1855" spans="20:20" ht="18.75" customHeight="1" x14ac:dyDescent="0.35">
      <c r="T1855" s="246">
        <f t="shared" si="67"/>
        <v>0</v>
      </c>
    </row>
    <row r="1856" spans="20:20" ht="18.75" customHeight="1" x14ac:dyDescent="0.35">
      <c r="T1856" s="246">
        <f t="shared" si="67"/>
        <v>0</v>
      </c>
    </row>
    <row r="1857" spans="20:20" ht="18.75" customHeight="1" x14ac:dyDescent="0.35">
      <c r="T1857" s="246">
        <f t="shared" si="67"/>
        <v>0</v>
      </c>
    </row>
    <row r="1858" spans="20:20" ht="18.75" customHeight="1" x14ac:dyDescent="0.35">
      <c r="T1858" s="246">
        <f t="shared" si="67"/>
        <v>0</v>
      </c>
    </row>
    <row r="1859" spans="20:20" ht="18.75" customHeight="1" x14ac:dyDescent="0.35">
      <c r="T1859" s="246">
        <f t="shared" si="67"/>
        <v>0</v>
      </c>
    </row>
    <row r="1860" spans="20:20" ht="18.75" customHeight="1" x14ac:dyDescent="0.35">
      <c r="T1860" s="246">
        <f t="shared" si="67"/>
        <v>0</v>
      </c>
    </row>
    <row r="1861" spans="20:20" ht="18.75" customHeight="1" x14ac:dyDescent="0.35">
      <c r="T1861" s="246">
        <f t="shared" si="67"/>
        <v>0</v>
      </c>
    </row>
    <row r="1862" spans="20:20" ht="18.75" customHeight="1" x14ac:dyDescent="0.35">
      <c r="T1862" s="246">
        <f t="shared" si="67"/>
        <v>0</v>
      </c>
    </row>
    <row r="1863" spans="20:20" ht="18.75" customHeight="1" x14ac:dyDescent="0.35">
      <c r="T1863" s="246">
        <f t="shared" si="67"/>
        <v>0</v>
      </c>
    </row>
    <row r="1864" spans="20:20" ht="18.75" customHeight="1" x14ac:dyDescent="0.35">
      <c r="T1864" s="246">
        <f t="shared" si="67"/>
        <v>0</v>
      </c>
    </row>
    <row r="1865" spans="20:20" ht="18.75" customHeight="1" x14ac:dyDescent="0.35">
      <c r="T1865" s="246">
        <f t="shared" si="67"/>
        <v>0</v>
      </c>
    </row>
    <row r="1866" spans="20:20" ht="18.75" customHeight="1" x14ac:dyDescent="0.35">
      <c r="T1866" s="246">
        <f t="shared" si="67"/>
        <v>0</v>
      </c>
    </row>
    <row r="1867" spans="20:20" ht="18.75" customHeight="1" x14ac:dyDescent="0.35">
      <c r="T1867" s="246">
        <f t="shared" si="67"/>
        <v>0</v>
      </c>
    </row>
    <row r="1868" spans="20:20" ht="18.75" customHeight="1" x14ac:dyDescent="0.35">
      <c r="T1868" s="246">
        <f t="shared" si="67"/>
        <v>0</v>
      </c>
    </row>
    <row r="1869" spans="20:20" ht="18.75" customHeight="1" x14ac:dyDescent="0.35">
      <c r="T1869" s="246">
        <f t="shared" si="67"/>
        <v>0</v>
      </c>
    </row>
    <row r="1870" spans="20:20" ht="18.75" customHeight="1" x14ac:dyDescent="0.35">
      <c r="T1870" s="246">
        <f t="shared" si="67"/>
        <v>0</v>
      </c>
    </row>
    <row r="1871" spans="20:20" ht="18.75" customHeight="1" x14ac:dyDescent="0.35">
      <c r="T1871" s="246">
        <f t="shared" si="67"/>
        <v>0</v>
      </c>
    </row>
    <row r="1872" spans="20:20" ht="18.75" customHeight="1" x14ac:dyDescent="0.35">
      <c r="T1872" s="246">
        <f t="shared" si="67"/>
        <v>0</v>
      </c>
    </row>
    <row r="1873" spans="20:20" ht="18.75" customHeight="1" x14ac:dyDescent="0.35">
      <c r="T1873" s="246">
        <f t="shared" si="67"/>
        <v>0</v>
      </c>
    </row>
    <row r="1874" spans="20:20" ht="18.75" customHeight="1" x14ac:dyDescent="0.35">
      <c r="T1874" s="246">
        <f t="shared" si="67"/>
        <v>0</v>
      </c>
    </row>
    <row r="1875" spans="20:20" ht="18.75" customHeight="1" x14ac:dyDescent="0.35">
      <c r="T1875" s="246">
        <f t="shared" si="67"/>
        <v>0</v>
      </c>
    </row>
    <row r="1876" spans="20:20" ht="18.75" customHeight="1" x14ac:dyDescent="0.35">
      <c r="T1876" s="246">
        <f t="shared" si="67"/>
        <v>0</v>
      </c>
    </row>
    <row r="1877" spans="20:20" ht="18.75" customHeight="1" x14ac:dyDescent="0.35">
      <c r="T1877" s="246">
        <f t="shared" si="67"/>
        <v>0</v>
      </c>
    </row>
    <row r="1878" spans="20:20" ht="18.75" customHeight="1" x14ac:dyDescent="0.35">
      <c r="T1878" s="246">
        <f t="shared" si="67"/>
        <v>0</v>
      </c>
    </row>
    <row r="1879" spans="20:20" ht="18.75" customHeight="1" x14ac:dyDescent="0.35">
      <c r="T1879" s="246">
        <f t="shared" si="67"/>
        <v>0</v>
      </c>
    </row>
    <row r="1880" spans="20:20" ht="18.75" customHeight="1" x14ac:dyDescent="0.35">
      <c r="T1880" s="246">
        <f t="shared" si="67"/>
        <v>0</v>
      </c>
    </row>
    <row r="1881" spans="20:20" ht="18.75" customHeight="1" x14ac:dyDescent="0.35">
      <c r="T1881" s="246">
        <f t="shared" si="67"/>
        <v>0</v>
      </c>
    </row>
    <row r="1882" spans="20:20" ht="18.75" customHeight="1" x14ac:dyDescent="0.35">
      <c r="T1882" s="246">
        <f t="shared" si="67"/>
        <v>0</v>
      </c>
    </row>
    <row r="1883" spans="20:20" ht="18.75" customHeight="1" x14ac:dyDescent="0.35">
      <c r="T1883" s="246">
        <f t="shared" si="67"/>
        <v>0</v>
      </c>
    </row>
    <row r="1884" spans="20:20" ht="18.75" customHeight="1" x14ac:dyDescent="0.35">
      <c r="T1884" s="246">
        <f t="shared" si="67"/>
        <v>0</v>
      </c>
    </row>
    <row r="1885" spans="20:20" ht="18.75" customHeight="1" x14ac:dyDescent="0.35">
      <c r="T1885" s="246">
        <f t="shared" si="67"/>
        <v>0</v>
      </c>
    </row>
    <row r="1886" spans="20:20" ht="18.75" customHeight="1" x14ac:dyDescent="0.35">
      <c r="T1886" s="246">
        <f t="shared" si="67"/>
        <v>0</v>
      </c>
    </row>
    <row r="1887" spans="20:20" ht="18.75" customHeight="1" x14ac:dyDescent="0.35">
      <c r="T1887" s="246">
        <f t="shared" si="67"/>
        <v>0</v>
      </c>
    </row>
    <row r="1888" spans="20:20" ht="18.75" customHeight="1" x14ac:dyDescent="0.35">
      <c r="T1888" s="246">
        <f t="shared" si="67"/>
        <v>0</v>
      </c>
    </row>
    <row r="1889" spans="20:20" ht="18.75" customHeight="1" x14ac:dyDescent="0.35">
      <c r="T1889" s="246">
        <f t="shared" si="67"/>
        <v>0</v>
      </c>
    </row>
    <row r="1890" spans="20:20" ht="18.75" customHeight="1" x14ac:dyDescent="0.35">
      <c r="T1890" s="246">
        <f t="shared" si="67"/>
        <v>0</v>
      </c>
    </row>
    <row r="1891" spans="20:20" ht="18.75" customHeight="1" x14ac:dyDescent="0.35">
      <c r="T1891" s="246">
        <f t="shared" si="67"/>
        <v>0</v>
      </c>
    </row>
    <row r="1892" spans="20:20" ht="18.75" customHeight="1" x14ac:dyDescent="0.35">
      <c r="T1892" s="246">
        <f t="shared" si="67"/>
        <v>0</v>
      </c>
    </row>
    <row r="1893" spans="20:20" ht="18.75" customHeight="1" x14ac:dyDescent="0.35">
      <c r="T1893" s="246">
        <f t="shared" si="67"/>
        <v>0</v>
      </c>
    </row>
    <row r="1894" spans="20:20" ht="18.75" customHeight="1" x14ac:dyDescent="0.35">
      <c r="T1894" s="246">
        <f t="shared" si="67"/>
        <v>0</v>
      </c>
    </row>
    <row r="1895" spans="20:20" ht="18.75" customHeight="1" x14ac:dyDescent="0.35">
      <c r="T1895" s="246">
        <f t="shared" si="67"/>
        <v>0</v>
      </c>
    </row>
    <row r="1896" spans="20:20" ht="18.75" customHeight="1" x14ac:dyDescent="0.35">
      <c r="T1896" s="246">
        <f t="shared" si="67"/>
        <v>0</v>
      </c>
    </row>
    <row r="1897" spans="20:20" ht="18.75" customHeight="1" x14ac:dyDescent="0.35">
      <c r="T1897" s="246">
        <f t="shared" si="67"/>
        <v>0</v>
      </c>
    </row>
    <row r="1898" spans="20:20" ht="18.75" customHeight="1" x14ac:dyDescent="0.35">
      <c r="T1898" s="246">
        <f t="shared" si="67"/>
        <v>0</v>
      </c>
    </row>
    <row r="1899" spans="20:20" ht="18.75" customHeight="1" x14ac:dyDescent="0.35">
      <c r="T1899" s="246">
        <f t="shared" si="67"/>
        <v>0</v>
      </c>
    </row>
    <row r="1900" spans="20:20" ht="18.75" customHeight="1" x14ac:dyDescent="0.35">
      <c r="T1900" s="246">
        <f t="shared" si="67"/>
        <v>0</v>
      </c>
    </row>
    <row r="1901" spans="20:20" ht="18.75" customHeight="1" x14ac:dyDescent="0.35">
      <c r="T1901" s="246">
        <f t="shared" si="67"/>
        <v>0</v>
      </c>
    </row>
    <row r="1902" spans="20:20" ht="18.75" customHeight="1" x14ac:dyDescent="0.35">
      <c r="T1902" s="246">
        <f t="shared" si="67"/>
        <v>0</v>
      </c>
    </row>
    <row r="1903" spans="20:20" ht="18.75" customHeight="1" x14ac:dyDescent="0.35">
      <c r="T1903" s="246">
        <f t="shared" si="67"/>
        <v>0</v>
      </c>
    </row>
    <row r="1904" spans="20:20" ht="18.75" customHeight="1" x14ac:dyDescent="0.35">
      <c r="T1904" s="246">
        <f t="shared" si="67"/>
        <v>0</v>
      </c>
    </row>
    <row r="1905" spans="20:20" ht="18.75" customHeight="1" x14ac:dyDescent="0.35">
      <c r="T1905" s="246">
        <f t="shared" si="67"/>
        <v>0</v>
      </c>
    </row>
    <row r="1906" spans="20:20" ht="18.75" customHeight="1" x14ac:dyDescent="0.35">
      <c r="T1906" s="246">
        <f t="shared" si="67"/>
        <v>0</v>
      </c>
    </row>
    <row r="1907" spans="20:20" ht="18.75" customHeight="1" x14ac:dyDescent="0.35">
      <c r="T1907" s="246">
        <f t="shared" si="67"/>
        <v>0</v>
      </c>
    </row>
    <row r="1908" spans="20:20" ht="18.75" customHeight="1" x14ac:dyDescent="0.35">
      <c r="T1908" s="246">
        <f t="shared" si="67"/>
        <v>0</v>
      </c>
    </row>
    <row r="1909" spans="20:20" ht="18.75" customHeight="1" x14ac:dyDescent="0.35">
      <c r="T1909" s="246">
        <f t="shared" si="67"/>
        <v>0</v>
      </c>
    </row>
    <row r="1910" spans="20:20" ht="18.75" customHeight="1" x14ac:dyDescent="0.35">
      <c r="T1910" s="246">
        <f t="shared" si="67"/>
        <v>0</v>
      </c>
    </row>
    <row r="1911" spans="20:20" ht="18.75" customHeight="1" x14ac:dyDescent="0.35">
      <c r="T1911" s="246">
        <f t="shared" si="67"/>
        <v>0</v>
      </c>
    </row>
    <row r="1912" spans="20:20" ht="18.75" customHeight="1" x14ac:dyDescent="0.35">
      <c r="T1912" s="246">
        <f t="shared" si="67"/>
        <v>0</v>
      </c>
    </row>
    <row r="1913" spans="20:20" ht="18.75" customHeight="1" x14ac:dyDescent="0.35">
      <c r="T1913" s="246">
        <f t="shared" si="67"/>
        <v>0</v>
      </c>
    </row>
    <row r="1914" spans="20:20" ht="18.75" customHeight="1" x14ac:dyDescent="0.35">
      <c r="T1914" s="246">
        <f t="shared" si="67"/>
        <v>0</v>
      </c>
    </row>
    <row r="1915" spans="20:20" ht="18.75" customHeight="1" x14ac:dyDescent="0.35">
      <c r="T1915" s="246">
        <f t="shared" si="67"/>
        <v>0</v>
      </c>
    </row>
    <row r="1916" spans="20:20" ht="18.75" customHeight="1" x14ac:dyDescent="0.35">
      <c r="T1916" s="246">
        <f t="shared" ref="T1916:T1979" si="68">R1916*0.01</f>
        <v>0</v>
      </c>
    </row>
    <row r="1917" spans="20:20" ht="18.75" customHeight="1" x14ac:dyDescent="0.35">
      <c r="T1917" s="246">
        <f t="shared" si="68"/>
        <v>0</v>
      </c>
    </row>
    <row r="1918" spans="20:20" ht="18.75" customHeight="1" x14ac:dyDescent="0.35">
      <c r="T1918" s="246">
        <f t="shared" si="68"/>
        <v>0</v>
      </c>
    </row>
    <row r="1919" spans="20:20" ht="18.75" customHeight="1" x14ac:dyDescent="0.35">
      <c r="T1919" s="246">
        <f t="shared" si="68"/>
        <v>0</v>
      </c>
    </row>
    <row r="1920" spans="20:20" ht="18.75" customHeight="1" x14ac:dyDescent="0.35">
      <c r="T1920" s="246">
        <f t="shared" si="68"/>
        <v>0</v>
      </c>
    </row>
    <row r="1921" spans="20:20" ht="18.75" customHeight="1" x14ac:dyDescent="0.35">
      <c r="T1921" s="246">
        <f t="shared" si="68"/>
        <v>0</v>
      </c>
    </row>
    <row r="1922" spans="20:20" ht="18.75" customHeight="1" x14ac:dyDescent="0.35">
      <c r="T1922" s="246">
        <f t="shared" si="68"/>
        <v>0</v>
      </c>
    </row>
    <row r="1923" spans="20:20" ht="18.75" customHeight="1" x14ac:dyDescent="0.35">
      <c r="T1923" s="246">
        <f t="shared" si="68"/>
        <v>0</v>
      </c>
    </row>
    <row r="1924" spans="20:20" ht="18.75" customHeight="1" x14ac:dyDescent="0.35">
      <c r="T1924" s="246">
        <f t="shared" si="68"/>
        <v>0</v>
      </c>
    </row>
    <row r="1925" spans="20:20" ht="18.75" customHeight="1" x14ac:dyDescent="0.35">
      <c r="T1925" s="246">
        <f t="shared" si="68"/>
        <v>0</v>
      </c>
    </row>
    <row r="1926" spans="20:20" ht="18.75" customHeight="1" x14ac:dyDescent="0.35">
      <c r="T1926" s="246">
        <f t="shared" si="68"/>
        <v>0</v>
      </c>
    </row>
    <row r="1927" spans="20:20" ht="18.75" customHeight="1" x14ac:dyDescent="0.35">
      <c r="T1927" s="246">
        <f t="shared" si="68"/>
        <v>0</v>
      </c>
    </row>
    <row r="1928" spans="20:20" ht="18.75" customHeight="1" x14ac:dyDescent="0.35">
      <c r="T1928" s="246">
        <f t="shared" si="68"/>
        <v>0</v>
      </c>
    </row>
    <row r="1929" spans="20:20" ht="18.75" customHeight="1" x14ac:dyDescent="0.35">
      <c r="T1929" s="246">
        <f t="shared" si="68"/>
        <v>0</v>
      </c>
    </row>
    <row r="1930" spans="20:20" ht="18.75" customHeight="1" x14ac:dyDescent="0.35">
      <c r="T1930" s="246">
        <f t="shared" si="68"/>
        <v>0</v>
      </c>
    </row>
    <row r="1931" spans="20:20" ht="18.75" customHeight="1" x14ac:dyDescent="0.35">
      <c r="T1931" s="246">
        <f t="shared" si="68"/>
        <v>0</v>
      </c>
    </row>
    <row r="1932" spans="20:20" ht="18.75" customHeight="1" x14ac:dyDescent="0.35">
      <c r="T1932" s="246">
        <f t="shared" si="68"/>
        <v>0</v>
      </c>
    </row>
    <row r="1933" spans="20:20" ht="18.75" customHeight="1" x14ac:dyDescent="0.35">
      <c r="T1933" s="246">
        <f t="shared" si="68"/>
        <v>0</v>
      </c>
    </row>
    <row r="1934" spans="20:20" ht="18.75" customHeight="1" x14ac:dyDescent="0.35">
      <c r="T1934" s="246">
        <f t="shared" si="68"/>
        <v>0</v>
      </c>
    </row>
    <row r="1935" spans="20:20" ht="18.75" customHeight="1" x14ac:dyDescent="0.35">
      <c r="T1935" s="246">
        <f t="shared" si="68"/>
        <v>0</v>
      </c>
    </row>
    <row r="1936" spans="20:20" ht="18.75" customHeight="1" x14ac:dyDescent="0.35">
      <c r="T1936" s="246">
        <f t="shared" si="68"/>
        <v>0</v>
      </c>
    </row>
    <row r="1937" spans="20:20" ht="18.75" customHeight="1" x14ac:dyDescent="0.35">
      <c r="T1937" s="246">
        <f t="shared" si="68"/>
        <v>0</v>
      </c>
    </row>
    <row r="1938" spans="20:20" ht="18.75" customHeight="1" x14ac:dyDescent="0.35">
      <c r="T1938" s="246">
        <f t="shared" si="68"/>
        <v>0</v>
      </c>
    </row>
    <row r="1939" spans="20:20" ht="18.75" customHeight="1" x14ac:dyDescent="0.35">
      <c r="T1939" s="246">
        <f t="shared" si="68"/>
        <v>0</v>
      </c>
    </row>
    <row r="1940" spans="20:20" ht="18.75" customHeight="1" x14ac:dyDescent="0.35">
      <c r="T1940" s="246">
        <f t="shared" si="68"/>
        <v>0</v>
      </c>
    </row>
    <row r="1941" spans="20:20" ht="18.75" customHeight="1" x14ac:dyDescent="0.35">
      <c r="T1941" s="246">
        <f t="shared" si="68"/>
        <v>0</v>
      </c>
    </row>
    <row r="1942" spans="20:20" ht="18.75" customHeight="1" x14ac:dyDescent="0.35">
      <c r="T1942" s="246">
        <f t="shared" si="68"/>
        <v>0</v>
      </c>
    </row>
    <row r="1943" spans="20:20" ht="18.75" customHeight="1" x14ac:dyDescent="0.35">
      <c r="T1943" s="246">
        <f t="shared" si="68"/>
        <v>0</v>
      </c>
    </row>
    <row r="1944" spans="20:20" ht="18.75" customHeight="1" x14ac:dyDescent="0.35">
      <c r="T1944" s="246">
        <f t="shared" si="68"/>
        <v>0</v>
      </c>
    </row>
    <row r="1945" spans="20:20" ht="18.75" customHeight="1" x14ac:dyDescent="0.35">
      <c r="T1945" s="246">
        <f t="shared" si="68"/>
        <v>0</v>
      </c>
    </row>
    <row r="1946" spans="20:20" ht="18.75" customHeight="1" x14ac:dyDescent="0.35">
      <c r="T1946" s="246">
        <f t="shared" si="68"/>
        <v>0</v>
      </c>
    </row>
    <row r="1947" spans="20:20" ht="18.75" customHeight="1" x14ac:dyDescent="0.35">
      <c r="T1947" s="246">
        <f t="shared" si="68"/>
        <v>0</v>
      </c>
    </row>
    <row r="1948" spans="20:20" ht="18.75" customHeight="1" x14ac:dyDescent="0.35">
      <c r="T1948" s="246">
        <f t="shared" si="68"/>
        <v>0</v>
      </c>
    </row>
    <row r="1949" spans="20:20" ht="18.75" customHeight="1" x14ac:dyDescent="0.35">
      <c r="T1949" s="246">
        <f t="shared" si="68"/>
        <v>0</v>
      </c>
    </row>
    <row r="1950" spans="20:20" ht="18.75" customHeight="1" x14ac:dyDescent="0.35">
      <c r="T1950" s="246">
        <f t="shared" si="68"/>
        <v>0</v>
      </c>
    </row>
    <row r="1951" spans="20:20" ht="18.75" customHeight="1" x14ac:dyDescent="0.35">
      <c r="T1951" s="246">
        <f t="shared" si="68"/>
        <v>0</v>
      </c>
    </row>
    <row r="1952" spans="20:20" ht="18.75" customHeight="1" x14ac:dyDescent="0.35">
      <c r="T1952" s="246">
        <f t="shared" si="68"/>
        <v>0</v>
      </c>
    </row>
    <row r="1953" spans="20:20" ht="18.75" customHeight="1" x14ac:dyDescent="0.35">
      <c r="T1953" s="246">
        <f t="shared" si="68"/>
        <v>0</v>
      </c>
    </row>
    <row r="1954" spans="20:20" ht="18.75" customHeight="1" x14ac:dyDescent="0.35">
      <c r="T1954" s="246">
        <f t="shared" si="68"/>
        <v>0</v>
      </c>
    </row>
    <row r="1955" spans="20:20" ht="18.75" customHeight="1" x14ac:dyDescent="0.35">
      <c r="T1955" s="246">
        <f t="shared" si="68"/>
        <v>0</v>
      </c>
    </row>
    <row r="1956" spans="20:20" ht="18.75" customHeight="1" x14ac:dyDescent="0.35">
      <c r="T1956" s="246">
        <f t="shared" si="68"/>
        <v>0</v>
      </c>
    </row>
    <row r="1957" spans="20:20" ht="18.75" customHeight="1" x14ac:dyDescent="0.35">
      <c r="T1957" s="246">
        <f t="shared" si="68"/>
        <v>0</v>
      </c>
    </row>
    <row r="1958" spans="20:20" ht="18.75" customHeight="1" x14ac:dyDescent="0.35">
      <c r="T1958" s="246">
        <f t="shared" si="68"/>
        <v>0</v>
      </c>
    </row>
    <row r="1959" spans="20:20" ht="18.75" customHeight="1" x14ac:dyDescent="0.35">
      <c r="T1959" s="246">
        <f t="shared" si="68"/>
        <v>0</v>
      </c>
    </row>
    <row r="1960" spans="20:20" ht="18.75" customHeight="1" x14ac:dyDescent="0.35">
      <c r="T1960" s="246">
        <f t="shared" si="68"/>
        <v>0</v>
      </c>
    </row>
    <row r="1961" spans="20:20" ht="18.75" customHeight="1" x14ac:dyDescent="0.35">
      <c r="T1961" s="246">
        <f t="shared" si="68"/>
        <v>0</v>
      </c>
    </row>
    <row r="1962" spans="20:20" ht="18.75" customHeight="1" x14ac:dyDescent="0.35">
      <c r="T1962" s="246">
        <f t="shared" si="68"/>
        <v>0</v>
      </c>
    </row>
    <row r="1963" spans="20:20" ht="18.75" customHeight="1" x14ac:dyDescent="0.35">
      <c r="T1963" s="246">
        <f t="shared" si="68"/>
        <v>0</v>
      </c>
    </row>
    <row r="1964" spans="20:20" ht="18.75" customHeight="1" x14ac:dyDescent="0.35">
      <c r="T1964" s="246">
        <f t="shared" si="68"/>
        <v>0</v>
      </c>
    </row>
    <row r="1965" spans="20:20" ht="18.75" customHeight="1" x14ac:dyDescent="0.35">
      <c r="T1965" s="246">
        <f t="shared" si="68"/>
        <v>0</v>
      </c>
    </row>
    <row r="1966" spans="20:20" ht="18.75" customHeight="1" x14ac:dyDescent="0.35">
      <c r="T1966" s="246">
        <f t="shared" si="68"/>
        <v>0</v>
      </c>
    </row>
    <row r="1967" spans="20:20" ht="18.75" customHeight="1" x14ac:dyDescent="0.35">
      <c r="T1967" s="246">
        <f t="shared" si="68"/>
        <v>0</v>
      </c>
    </row>
    <row r="1968" spans="20:20" ht="18.75" customHeight="1" x14ac:dyDescent="0.35">
      <c r="T1968" s="246">
        <f t="shared" si="68"/>
        <v>0</v>
      </c>
    </row>
    <row r="1969" spans="20:20" ht="18.75" customHeight="1" x14ac:dyDescent="0.35">
      <c r="T1969" s="246">
        <f t="shared" si="68"/>
        <v>0</v>
      </c>
    </row>
    <row r="1970" spans="20:20" ht="18.75" customHeight="1" x14ac:dyDescent="0.35">
      <c r="T1970" s="246">
        <f t="shared" si="68"/>
        <v>0</v>
      </c>
    </row>
    <row r="1971" spans="20:20" ht="18.75" customHeight="1" x14ac:dyDescent="0.35">
      <c r="T1971" s="246">
        <f t="shared" si="68"/>
        <v>0</v>
      </c>
    </row>
    <row r="1972" spans="20:20" ht="18.75" customHeight="1" x14ac:dyDescent="0.35">
      <c r="T1972" s="246">
        <f t="shared" si="68"/>
        <v>0</v>
      </c>
    </row>
    <row r="1973" spans="20:20" ht="18.75" customHeight="1" x14ac:dyDescent="0.35">
      <c r="T1973" s="246">
        <f t="shared" si="68"/>
        <v>0</v>
      </c>
    </row>
    <row r="1974" spans="20:20" ht="18.75" customHeight="1" x14ac:dyDescent="0.35">
      <c r="T1974" s="246">
        <f t="shared" si="68"/>
        <v>0</v>
      </c>
    </row>
    <row r="1975" spans="20:20" ht="18.75" customHeight="1" x14ac:dyDescent="0.35">
      <c r="T1975" s="246">
        <f t="shared" si="68"/>
        <v>0</v>
      </c>
    </row>
    <row r="1976" spans="20:20" ht="18.75" customHeight="1" x14ac:dyDescent="0.35">
      <c r="T1976" s="246">
        <f t="shared" si="68"/>
        <v>0</v>
      </c>
    </row>
    <row r="1977" spans="20:20" ht="18.75" customHeight="1" x14ac:dyDescent="0.35">
      <c r="T1977" s="246">
        <f t="shared" si="68"/>
        <v>0</v>
      </c>
    </row>
    <row r="1978" spans="20:20" ht="18.75" customHeight="1" x14ac:dyDescent="0.35">
      <c r="T1978" s="246">
        <f t="shared" si="68"/>
        <v>0</v>
      </c>
    </row>
    <row r="1979" spans="20:20" ht="18.75" customHeight="1" x14ac:dyDescent="0.35">
      <c r="T1979" s="246">
        <f t="shared" si="68"/>
        <v>0</v>
      </c>
    </row>
    <row r="1980" spans="20:20" ht="18.75" customHeight="1" x14ac:dyDescent="0.35">
      <c r="T1980" s="246">
        <f t="shared" ref="T1980:T2043" si="69">R1980*0.01</f>
        <v>0</v>
      </c>
    </row>
    <row r="1981" spans="20:20" ht="18.75" customHeight="1" x14ac:dyDescent="0.35">
      <c r="T1981" s="246">
        <f t="shared" si="69"/>
        <v>0</v>
      </c>
    </row>
    <row r="1982" spans="20:20" ht="18.75" customHeight="1" x14ac:dyDescent="0.35">
      <c r="T1982" s="246">
        <f t="shared" si="69"/>
        <v>0</v>
      </c>
    </row>
    <row r="1983" spans="20:20" ht="18.75" customHeight="1" x14ac:dyDescent="0.35">
      <c r="T1983" s="246">
        <f t="shared" si="69"/>
        <v>0</v>
      </c>
    </row>
    <row r="1984" spans="20:20" ht="18.75" customHeight="1" x14ac:dyDescent="0.35">
      <c r="T1984" s="246">
        <f t="shared" si="69"/>
        <v>0</v>
      </c>
    </row>
    <row r="1985" spans="20:20" ht="18.75" customHeight="1" x14ac:dyDescent="0.35">
      <c r="T1985" s="246">
        <f t="shared" si="69"/>
        <v>0</v>
      </c>
    </row>
    <row r="1986" spans="20:20" ht="18.75" customHeight="1" x14ac:dyDescent="0.35">
      <c r="T1986" s="246">
        <f t="shared" si="69"/>
        <v>0</v>
      </c>
    </row>
    <row r="1987" spans="20:20" ht="18.75" customHeight="1" x14ac:dyDescent="0.35">
      <c r="T1987" s="246">
        <f t="shared" si="69"/>
        <v>0</v>
      </c>
    </row>
    <row r="1988" spans="20:20" ht="18.75" customHeight="1" x14ac:dyDescent="0.35">
      <c r="T1988" s="246">
        <f t="shared" si="69"/>
        <v>0</v>
      </c>
    </row>
    <row r="1989" spans="20:20" ht="18.75" customHeight="1" x14ac:dyDescent="0.35">
      <c r="T1989" s="246">
        <f t="shared" si="69"/>
        <v>0</v>
      </c>
    </row>
    <row r="1990" spans="20:20" ht="18.75" customHeight="1" x14ac:dyDescent="0.35">
      <c r="T1990" s="246">
        <f t="shared" si="69"/>
        <v>0</v>
      </c>
    </row>
    <row r="1991" spans="20:20" ht="18.75" customHeight="1" x14ac:dyDescent="0.35">
      <c r="T1991" s="246">
        <f t="shared" si="69"/>
        <v>0</v>
      </c>
    </row>
    <row r="1992" spans="20:20" ht="18.75" customHeight="1" x14ac:dyDescent="0.35">
      <c r="T1992" s="246">
        <f t="shared" si="69"/>
        <v>0</v>
      </c>
    </row>
    <row r="1993" spans="20:20" ht="18.75" customHeight="1" x14ac:dyDescent="0.35">
      <c r="T1993" s="246">
        <f t="shared" si="69"/>
        <v>0</v>
      </c>
    </row>
    <row r="1994" spans="20:20" ht="18.75" customHeight="1" x14ac:dyDescent="0.35">
      <c r="T1994" s="246">
        <f t="shared" si="69"/>
        <v>0</v>
      </c>
    </row>
    <row r="1995" spans="20:20" ht="18.75" customHeight="1" x14ac:dyDescent="0.35">
      <c r="T1995" s="246">
        <f t="shared" si="69"/>
        <v>0</v>
      </c>
    </row>
    <row r="1996" spans="20:20" ht="18.75" customHeight="1" x14ac:dyDescent="0.35">
      <c r="T1996" s="246">
        <f t="shared" si="69"/>
        <v>0</v>
      </c>
    </row>
    <row r="1997" spans="20:20" ht="18.75" customHeight="1" x14ac:dyDescent="0.35">
      <c r="T1997" s="246">
        <f t="shared" si="69"/>
        <v>0</v>
      </c>
    </row>
    <row r="1998" spans="20:20" ht="18.75" customHeight="1" x14ac:dyDescent="0.35">
      <c r="T1998" s="246">
        <f t="shared" si="69"/>
        <v>0</v>
      </c>
    </row>
    <row r="1999" spans="20:20" ht="18.75" customHeight="1" x14ac:dyDescent="0.35">
      <c r="T1999" s="246">
        <f t="shared" si="69"/>
        <v>0</v>
      </c>
    </row>
    <row r="2000" spans="20:20" ht="18.75" customHeight="1" x14ac:dyDescent="0.35">
      <c r="T2000" s="246">
        <f t="shared" si="69"/>
        <v>0</v>
      </c>
    </row>
    <row r="2001" spans="20:20" ht="18.75" customHeight="1" x14ac:dyDescent="0.35">
      <c r="T2001" s="246">
        <f t="shared" si="69"/>
        <v>0</v>
      </c>
    </row>
    <row r="2002" spans="20:20" ht="18.75" customHeight="1" x14ac:dyDescent="0.35">
      <c r="T2002" s="246">
        <f t="shared" si="69"/>
        <v>0</v>
      </c>
    </row>
    <row r="2003" spans="20:20" ht="18.75" customHeight="1" x14ac:dyDescent="0.35">
      <c r="T2003" s="246">
        <f t="shared" si="69"/>
        <v>0</v>
      </c>
    </row>
    <row r="2004" spans="20:20" ht="18.75" customHeight="1" x14ac:dyDescent="0.35">
      <c r="T2004" s="246">
        <f t="shared" si="69"/>
        <v>0</v>
      </c>
    </row>
    <row r="2005" spans="20:20" ht="18.75" customHeight="1" x14ac:dyDescent="0.35">
      <c r="T2005" s="246">
        <f t="shared" si="69"/>
        <v>0</v>
      </c>
    </row>
    <row r="2006" spans="20:20" ht="18.75" customHeight="1" x14ac:dyDescent="0.35">
      <c r="T2006" s="246">
        <f t="shared" si="69"/>
        <v>0</v>
      </c>
    </row>
    <row r="2007" spans="20:20" ht="18.75" customHeight="1" x14ac:dyDescent="0.35">
      <c r="T2007" s="246">
        <f t="shared" si="69"/>
        <v>0</v>
      </c>
    </row>
    <row r="2008" spans="20:20" ht="18.75" customHeight="1" x14ac:dyDescent="0.35">
      <c r="T2008" s="246">
        <f t="shared" si="69"/>
        <v>0</v>
      </c>
    </row>
    <row r="2009" spans="20:20" ht="18.75" customHeight="1" x14ac:dyDescent="0.35">
      <c r="T2009" s="246">
        <f t="shared" si="69"/>
        <v>0</v>
      </c>
    </row>
    <row r="2010" spans="20:20" ht="18.75" customHeight="1" x14ac:dyDescent="0.35">
      <c r="T2010" s="246">
        <f t="shared" si="69"/>
        <v>0</v>
      </c>
    </row>
    <row r="2011" spans="20:20" ht="18.75" customHeight="1" x14ac:dyDescent="0.35">
      <c r="T2011" s="246">
        <f t="shared" si="69"/>
        <v>0</v>
      </c>
    </row>
    <row r="2012" spans="20:20" ht="18.75" customHeight="1" x14ac:dyDescent="0.35">
      <c r="T2012" s="246">
        <f t="shared" si="69"/>
        <v>0</v>
      </c>
    </row>
    <row r="2013" spans="20:20" ht="18.75" customHeight="1" x14ac:dyDescent="0.35">
      <c r="T2013" s="246">
        <f t="shared" si="69"/>
        <v>0</v>
      </c>
    </row>
    <row r="2014" spans="20:20" ht="18.75" customHeight="1" x14ac:dyDescent="0.35">
      <c r="T2014" s="246">
        <f t="shared" si="69"/>
        <v>0</v>
      </c>
    </row>
    <row r="2015" spans="20:20" ht="18.75" customHeight="1" x14ac:dyDescent="0.35">
      <c r="T2015" s="246">
        <f t="shared" si="69"/>
        <v>0</v>
      </c>
    </row>
    <row r="2016" spans="20:20" ht="18.75" customHeight="1" x14ac:dyDescent="0.35">
      <c r="T2016" s="246">
        <f t="shared" si="69"/>
        <v>0</v>
      </c>
    </row>
    <row r="2017" spans="20:20" ht="18.75" customHeight="1" x14ac:dyDescent="0.35">
      <c r="T2017" s="246">
        <f t="shared" si="69"/>
        <v>0</v>
      </c>
    </row>
    <row r="2018" spans="20:20" ht="18.75" customHeight="1" x14ac:dyDescent="0.35">
      <c r="T2018" s="246">
        <f t="shared" si="69"/>
        <v>0</v>
      </c>
    </row>
    <row r="2019" spans="20:20" ht="18.75" customHeight="1" x14ac:dyDescent="0.35">
      <c r="T2019" s="246">
        <f t="shared" si="69"/>
        <v>0</v>
      </c>
    </row>
    <row r="2020" spans="20:20" ht="18.75" customHeight="1" x14ac:dyDescent="0.35">
      <c r="T2020" s="246">
        <f t="shared" si="69"/>
        <v>0</v>
      </c>
    </row>
    <row r="2021" spans="20:20" ht="18.75" customHeight="1" x14ac:dyDescent="0.35">
      <c r="T2021" s="246">
        <f t="shared" si="69"/>
        <v>0</v>
      </c>
    </row>
    <row r="2022" spans="20:20" ht="18.75" customHeight="1" x14ac:dyDescent="0.35">
      <c r="T2022" s="246">
        <f t="shared" si="69"/>
        <v>0</v>
      </c>
    </row>
    <row r="2023" spans="20:20" ht="18.75" customHeight="1" x14ac:dyDescent="0.35">
      <c r="T2023" s="246">
        <f t="shared" si="69"/>
        <v>0</v>
      </c>
    </row>
    <row r="2024" spans="20:20" ht="18.75" customHeight="1" x14ac:dyDescent="0.35">
      <c r="T2024" s="246">
        <f t="shared" si="69"/>
        <v>0</v>
      </c>
    </row>
    <row r="2025" spans="20:20" ht="18.75" customHeight="1" x14ac:dyDescent="0.35">
      <c r="T2025" s="246">
        <f t="shared" si="69"/>
        <v>0</v>
      </c>
    </row>
    <row r="2026" spans="20:20" ht="18.75" customHeight="1" x14ac:dyDescent="0.35">
      <c r="T2026" s="246">
        <f t="shared" si="69"/>
        <v>0</v>
      </c>
    </row>
    <row r="2027" spans="20:20" ht="18.75" customHeight="1" x14ac:dyDescent="0.35">
      <c r="T2027" s="246">
        <f t="shared" si="69"/>
        <v>0</v>
      </c>
    </row>
    <row r="2028" spans="20:20" ht="18.75" customHeight="1" x14ac:dyDescent="0.35">
      <c r="T2028" s="246">
        <f t="shared" si="69"/>
        <v>0</v>
      </c>
    </row>
    <row r="2029" spans="20:20" ht="18.75" customHeight="1" x14ac:dyDescent="0.35">
      <c r="T2029" s="246">
        <f t="shared" si="69"/>
        <v>0</v>
      </c>
    </row>
    <row r="2030" spans="20:20" ht="18.75" customHeight="1" x14ac:dyDescent="0.35">
      <c r="T2030" s="246">
        <f t="shared" si="69"/>
        <v>0</v>
      </c>
    </row>
    <row r="2031" spans="20:20" ht="18.75" customHeight="1" x14ac:dyDescent="0.35">
      <c r="T2031" s="246">
        <f t="shared" si="69"/>
        <v>0</v>
      </c>
    </row>
    <row r="2032" spans="20:20" ht="18.75" customHeight="1" x14ac:dyDescent="0.35">
      <c r="T2032" s="246">
        <f t="shared" si="69"/>
        <v>0</v>
      </c>
    </row>
    <row r="2033" spans="20:20" ht="18.75" customHeight="1" x14ac:dyDescent="0.35">
      <c r="T2033" s="246">
        <f t="shared" si="69"/>
        <v>0</v>
      </c>
    </row>
    <row r="2034" spans="20:20" ht="18.75" customHeight="1" x14ac:dyDescent="0.35">
      <c r="T2034" s="246">
        <f t="shared" si="69"/>
        <v>0</v>
      </c>
    </row>
    <row r="2035" spans="20:20" ht="18.75" customHeight="1" x14ac:dyDescent="0.35">
      <c r="T2035" s="246">
        <f t="shared" si="69"/>
        <v>0</v>
      </c>
    </row>
    <row r="2036" spans="20:20" ht="18.75" customHeight="1" x14ac:dyDescent="0.35">
      <c r="T2036" s="246">
        <f t="shared" si="69"/>
        <v>0</v>
      </c>
    </row>
    <row r="2037" spans="20:20" ht="18.75" customHeight="1" x14ac:dyDescent="0.35">
      <c r="T2037" s="246">
        <f t="shared" si="69"/>
        <v>0</v>
      </c>
    </row>
    <row r="2038" spans="20:20" ht="18.75" customHeight="1" x14ac:dyDescent="0.35">
      <c r="T2038" s="246">
        <f t="shared" si="69"/>
        <v>0</v>
      </c>
    </row>
    <row r="2039" spans="20:20" ht="18.75" customHeight="1" x14ac:dyDescent="0.35">
      <c r="T2039" s="246">
        <f t="shared" si="69"/>
        <v>0</v>
      </c>
    </row>
    <row r="2040" spans="20:20" ht="18.75" customHeight="1" x14ac:dyDescent="0.35">
      <c r="T2040" s="246">
        <f t="shared" si="69"/>
        <v>0</v>
      </c>
    </row>
    <row r="2041" spans="20:20" ht="18.75" customHeight="1" x14ac:dyDescent="0.35">
      <c r="T2041" s="246">
        <f t="shared" si="69"/>
        <v>0</v>
      </c>
    </row>
    <row r="2042" spans="20:20" ht="18.75" customHeight="1" x14ac:dyDescent="0.35">
      <c r="T2042" s="246">
        <f t="shared" si="69"/>
        <v>0</v>
      </c>
    </row>
    <row r="2043" spans="20:20" ht="18.75" customHeight="1" x14ac:dyDescent="0.35">
      <c r="T2043" s="246">
        <f t="shared" si="69"/>
        <v>0</v>
      </c>
    </row>
    <row r="2044" spans="20:20" ht="18.75" customHeight="1" x14ac:dyDescent="0.35">
      <c r="T2044" s="246">
        <f t="shared" ref="T2044:T2107" si="70">R2044*0.01</f>
        <v>0</v>
      </c>
    </row>
    <row r="2045" spans="20:20" ht="18.75" customHeight="1" x14ac:dyDescent="0.35">
      <c r="T2045" s="246">
        <f t="shared" si="70"/>
        <v>0</v>
      </c>
    </row>
    <row r="2046" spans="20:20" ht="18.75" customHeight="1" x14ac:dyDescent="0.35">
      <c r="T2046" s="246">
        <f t="shared" si="70"/>
        <v>0</v>
      </c>
    </row>
    <row r="2047" spans="20:20" ht="18.75" customHeight="1" x14ac:dyDescent="0.35">
      <c r="T2047" s="246">
        <f t="shared" si="70"/>
        <v>0</v>
      </c>
    </row>
    <row r="2048" spans="20:20" ht="18.75" customHeight="1" x14ac:dyDescent="0.35">
      <c r="T2048" s="246">
        <f t="shared" si="70"/>
        <v>0</v>
      </c>
    </row>
    <row r="2049" spans="20:20" ht="18.75" customHeight="1" x14ac:dyDescent="0.35">
      <c r="T2049" s="246">
        <f t="shared" si="70"/>
        <v>0</v>
      </c>
    </row>
    <row r="2050" spans="20:20" ht="18.75" customHeight="1" x14ac:dyDescent="0.35">
      <c r="T2050" s="246">
        <f t="shared" si="70"/>
        <v>0</v>
      </c>
    </row>
    <row r="2051" spans="20:20" ht="18.75" customHeight="1" x14ac:dyDescent="0.35">
      <c r="T2051" s="246">
        <f t="shared" si="70"/>
        <v>0</v>
      </c>
    </row>
    <row r="2052" spans="20:20" ht="18.75" customHeight="1" x14ac:dyDescent="0.35">
      <c r="T2052" s="246">
        <f t="shared" si="70"/>
        <v>0</v>
      </c>
    </row>
    <row r="2053" spans="20:20" ht="18.75" customHeight="1" x14ac:dyDescent="0.35">
      <c r="T2053" s="246">
        <f t="shared" si="70"/>
        <v>0</v>
      </c>
    </row>
    <row r="2054" spans="20:20" ht="18.75" customHeight="1" x14ac:dyDescent="0.35">
      <c r="T2054" s="246">
        <f t="shared" si="70"/>
        <v>0</v>
      </c>
    </row>
    <row r="2055" spans="20:20" ht="18.75" customHeight="1" x14ac:dyDescent="0.35">
      <c r="T2055" s="246">
        <f t="shared" si="70"/>
        <v>0</v>
      </c>
    </row>
    <row r="2056" spans="20:20" ht="18.75" customHeight="1" x14ac:dyDescent="0.35">
      <c r="T2056" s="246">
        <f t="shared" si="70"/>
        <v>0</v>
      </c>
    </row>
    <row r="2057" spans="20:20" ht="18.75" customHeight="1" x14ac:dyDescent="0.35">
      <c r="T2057" s="246">
        <f t="shared" si="70"/>
        <v>0</v>
      </c>
    </row>
    <row r="2058" spans="20:20" ht="18.75" customHeight="1" x14ac:dyDescent="0.35">
      <c r="T2058" s="246">
        <f t="shared" si="70"/>
        <v>0</v>
      </c>
    </row>
    <row r="2059" spans="20:20" ht="18.75" customHeight="1" x14ac:dyDescent="0.35">
      <c r="T2059" s="246">
        <f t="shared" si="70"/>
        <v>0</v>
      </c>
    </row>
    <row r="2060" spans="20:20" ht="18.75" customHeight="1" x14ac:dyDescent="0.35">
      <c r="T2060" s="246">
        <f t="shared" si="70"/>
        <v>0</v>
      </c>
    </row>
    <row r="2061" spans="20:20" ht="18.75" customHeight="1" x14ac:dyDescent="0.35">
      <c r="T2061" s="246">
        <f t="shared" si="70"/>
        <v>0</v>
      </c>
    </row>
    <row r="2062" spans="20:20" ht="18.75" customHeight="1" x14ac:dyDescent="0.35">
      <c r="T2062" s="246">
        <f t="shared" si="70"/>
        <v>0</v>
      </c>
    </row>
    <row r="2063" spans="20:20" ht="18.75" customHeight="1" x14ac:dyDescent="0.35">
      <c r="T2063" s="246">
        <f t="shared" si="70"/>
        <v>0</v>
      </c>
    </row>
    <row r="2064" spans="20:20" ht="18.75" customHeight="1" x14ac:dyDescent="0.35">
      <c r="T2064" s="246">
        <f t="shared" si="70"/>
        <v>0</v>
      </c>
    </row>
    <row r="2065" spans="20:20" ht="18.75" customHeight="1" x14ac:dyDescent="0.35">
      <c r="T2065" s="246">
        <f t="shared" si="70"/>
        <v>0</v>
      </c>
    </row>
    <row r="2066" spans="20:20" ht="18.75" customHeight="1" x14ac:dyDescent="0.35">
      <c r="T2066" s="246">
        <f t="shared" si="70"/>
        <v>0</v>
      </c>
    </row>
    <row r="2067" spans="20:20" ht="18.75" customHeight="1" x14ac:dyDescent="0.35">
      <c r="T2067" s="246">
        <f t="shared" si="70"/>
        <v>0</v>
      </c>
    </row>
    <row r="2068" spans="20:20" ht="18.75" customHeight="1" x14ac:dyDescent="0.35">
      <c r="T2068" s="246">
        <f t="shared" si="70"/>
        <v>0</v>
      </c>
    </row>
    <row r="2069" spans="20:20" ht="18.75" customHeight="1" x14ac:dyDescent="0.35">
      <c r="T2069" s="246">
        <f t="shared" si="70"/>
        <v>0</v>
      </c>
    </row>
    <row r="2070" spans="20:20" ht="18.75" customHeight="1" x14ac:dyDescent="0.35">
      <c r="T2070" s="246">
        <f t="shared" si="70"/>
        <v>0</v>
      </c>
    </row>
    <row r="2071" spans="20:20" ht="18.75" customHeight="1" x14ac:dyDescent="0.35">
      <c r="T2071" s="246">
        <f t="shared" si="70"/>
        <v>0</v>
      </c>
    </row>
    <row r="2072" spans="20:20" ht="18.75" customHeight="1" x14ac:dyDescent="0.35">
      <c r="T2072" s="246">
        <f t="shared" si="70"/>
        <v>0</v>
      </c>
    </row>
    <row r="2073" spans="20:20" ht="18.75" customHeight="1" x14ac:dyDescent="0.35">
      <c r="T2073" s="246">
        <f t="shared" si="70"/>
        <v>0</v>
      </c>
    </row>
    <row r="2074" spans="20:20" ht="18.75" customHeight="1" x14ac:dyDescent="0.35">
      <c r="T2074" s="246">
        <f t="shared" si="70"/>
        <v>0</v>
      </c>
    </row>
    <row r="2075" spans="20:20" ht="18.75" customHeight="1" x14ac:dyDescent="0.35">
      <c r="T2075" s="246">
        <f t="shared" si="70"/>
        <v>0</v>
      </c>
    </row>
    <row r="2076" spans="20:20" ht="18.75" customHeight="1" x14ac:dyDescent="0.35">
      <c r="T2076" s="246">
        <f t="shared" si="70"/>
        <v>0</v>
      </c>
    </row>
    <row r="2077" spans="20:20" ht="18.75" customHeight="1" x14ac:dyDescent="0.35">
      <c r="T2077" s="246">
        <f t="shared" si="70"/>
        <v>0</v>
      </c>
    </row>
    <row r="2078" spans="20:20" ht="18.75" customHeight="1" x14ac:dyDescent="0.35">
      <c r="T2078" s="246">
        <f t="shared" si="70"/>
        <v>0</v>
      </c>
    </row>
    <row r="2079" spans="20:20" ht="18.75" customHeight="1" x14ac:dyDescent="0.35">
      <c r="T2079" s="246">
        <f t="shared" si="70"/>
        <v>0</v>
      </c>
    </row>
    <row r="2080" spans="20:20" ht="18.75" customHeight="1" x14ac:dyDescent="0.35">
      <c r="T2080" s="246">
        <f t="shared" si="70"/>
        <v>0</v>
      </c>
    </row>
    <row r="2081" spans="20:20" ht="18.75" customHeight="1" x14ac:dyDescent="0.35">
      <c r="T2081" s="246">
        <f t="shared" si="70"/>
        <v>0</v>
      </c>
    </row>
    <row r="2082" spans="20:20" ht="18.75" customHeight="1" x14ac:dyDescent="0.35">
      <c r="T2082" s="246">
        <f t="shared" si="70"/>
        <v>0</v>
      </c>
    </row>
    <row r="2083" spans="20:20" ht="18.75" customHeight="1" x14ac:dyDescent="0.35">
      <c r="T2083" s="246">
        <f t="shared" si="70"/>
        <v>0</v>
      </c>
    </row>
    <row r="2084" spans="20:20" ht="18.75" customHeight="1" x14ac:dyDescent="0.35">
      <c r="T2084" s="246">
        <f t="shared" si="70"/>
        <v>0</v>
      </c>
    </row>
    <row r="2085" spans="20:20" ht="18.75" customHeight="1" x14ac:dyDescent="0.35">
      <c r="T2085" s="246">
        <f t="shared" si="70"/>
        <v>0</v>
      </c>
    </row>
    <row r="2086" spans="20:20" ht="18.75" customHeight="1" x14ac:dyDescent="0.35">
      <c r="T2086" s="246">
        <f t="shared" si="70"/>
        <v>0</v>
      </c>
    </row>
    <row r="2087" spans="20:20" ht="18.75" customHeight="1" x14ac:dyDescent="0.35">
      <c r="T2087" s="246">
        <f t="shared" si="70"/>
        <v>0</v>
      </c>
    </row>
    <row r="2088" spans="20:20" ht="18.75" customHeight="1" x14ac:dyDescent="0.35">
      <c r="T2088" s="246">
        <f t="shared" si="70"/>
        <v>0</v>
      </c>
    </row>
    <row r="2089" spans="20:20" ht="18.75" customHeight="1" x14ac:dyDescent="0.35">
      <c r="T2089" s="246">
        <f t="shared" si="70"/>
        <v>0</v>
      </c>
    </row>
    <row r="2090" spans="20:20" ht="18.75" customHeight="1" x14ac:dyDescent="0.35">
      <c r="T2090" s="246">
        <f t="shared" si="70"/>
        <v>0</v>
      </c>
    </row>
    <row r="2091" spans="20:20" ht="18.75" customHeight="1" x14ac:dyDescent="0.35">
      <c r="T2091" s="246">
        <f t="shared" si="70"/>
        <v>0</v>
      </c>
    </row>
    <row r="2092" spans="20:20" ht="18.75" customHeight="1" x14ac:dyDescent="0.35">
      <c r="T2092" s="246">
        <f t="shared" si="70"/>
        <v>0</v>
      </c>
    </row>
    <row r="2093" spans="20:20" ht="18.75" customHeight="1" x14ac:dyDescent="0.35">
      <c r="T2093" s="246">
        <f t="shared" si="70"/>
        <v>0</v>
      </c>
    </row>
    <row r="2094" spans="20:20" ht="18.75" customHeight="1" x14ac:dyDescent="0.35">
      <c r="T2094" s="246">
        <f t="shared" si="70"/>
        <v>0</v>
      </c>
    </row>
    <row r="2095" spans="20:20" ht="18.75" customHeight="1" x14ac:dyDescent="0.35">
      <c r="T2095" s="246">
        <f t="shared" si="70"/>
        <v>0</v>
      </c>
    </row>
    <row r="2096" spans="20:20" ht="18.75" customHeight="1" x14ac:dyDescent="0.35">
      <c r="T2096" s="246">
        <f t="shared" si="70"/>
        <v>0</v>
      </c>
    </row>
    <row r="2097" spans="20:20" ht="18.75" customHeight="1" x14ac:dyDescent="0.35">
      <c r="T2097" s="246">
        <f t="shared" si="70"/>
        <v>0</v>
      </c>
    </row>
    <row r="2098" spans="20:20" ht="18.75" customHeight="1" x14ac:dyDescent="0.35">
      <c r="T2098" s="246">
        <f t="shared" si="70"/>
        <v>0</v>
      </c>
    </row>
    <row r="2099" spans="20:20" ht="18.75" customHeight="1" x14ac:dyDescent="0.35">
      <c r="T2099" s="246">
        <f t="shared" si="70"/>
        <v>0</v>
      </c>
    </row>
    <row r="2100" spans="20:20" ht="18.75" customHeight="1" x14ac:dyDescent="0.35">
      <c r="T2100" s="246">
        <f t="shared" si="70"/>
        <v>0</v>
      </c>
    </row>
    <row r="2101" spans="20:20" ht="18.75" customHeight="1" x14ac:dyDescent="0.35">
      <c r="T2101" s="246">
        <f t="shared" si="70"/>
        <v>0</v>
      </c>
    </row>
    <row r="2102" spans="20:20" ht="18.75" customHeight="1" x14ac:dyDescent="0.35">
      <c r="T2102" s="246">
        <f t="shared" si="70"/>
        <v>0</v>
      </c>
    </row>
    <row r="2103" spans="20:20" ht="18.75" customHeight="1" x14ac:dyDescent="0.35">
      <c r="T2103" s="246">
        <f t="shared" si="70"/>
        <v>0</v>
      </c>
    </row>
    <row r="2104" spans="20:20" ht="18.75" customHeight="1" x14ac:dyDescent="0.35">
      <c r="T2104" s="246">
        <f t="shared" si="70"/>
        <v>0</v>
      </c>
    </row>
    <row r="2105" spans="20:20" ht="18.75" customHeight="1" x14ac:dyDescent="0.35">
      <c r="T2105" s="246">
        <f t="shared" si="70"/>
        <v>0</v>
      </c>
    </row>
    <row r="2106" spans="20:20" ht="18.75" customHeight="1" x14ac:dyDescent="0.35">
      <c r="T2106" s="246">
        <f t="shared" si="70"/>
        <v>0</v>
      </c>
    </row>
    <row r="2107" spans="20:20" ht="18.75" customHeight="1" x14ac:dyDescent="0.35">
      <c r="T2107" s="246">
        <f t="shared" si="70"/>
        <v>0</v>
      </c>
    </row>
    <row r="2108" spans="20:20" ht="18.75" customHeight="1" x14ac:dyDescent="0.35">
      <c r="T2108" s="246">
        <f t="shared" ref="T2108:T2171" si="71">R2108*0.01</f>
        <v>0</v>
      </c>
    </row>
    <row r="2109" spans="20:20" ht="18.75" customHeight="1" x14ac:dyDescent="0.35">
      <c r="T2109" s="246">
        <f t="shared" si="71"/>
        <v>0</v>
      </c>
    </row>
    <row r="2110" spans="20:20" ht="18.75" customHeight="1" x14ac:dyDescent="0.35">
      <c r="T2110" s="246">
        <f t="shared" si="71"/>
        <v>0</v>
      </c>
    </row>
    <row r="2111" spans="20:20" ht="18.75" customHeight="1" x14ac:dyDescent="0.35">
      <c r="T2111" s="246">
        <f t="shared" si="71"/>
        <v>0</v>
      </c>
    </row>
    <row r="2112" spans="20:20" ht="18.75" customHeight="1" x14ac:dyDescent="0.35">
      <c r="T2112" s="246">
        <f t="shared" si="71"/>
        <v>0</v>
      </c>
    </row>
    <row r="2113" spans="20:20" ht="18.75" customHeight="1" x14ac:dyDescent="0.35">
      <c r="T2113" s="246">
        <f t="shared" si="71"/>
        <v>0</v>
      </c>
    </row>
    <row r="2114" spans="20:20" ht="18.75" customHeight="1" x14ac:dyDescent="0.35">
      <c r="T2114" s="246">
        <f t="shared" si="71"/>
        <v>0</v>
      </c>
    </row>
    <row r="2115" spans="20:20" ht="18.75" customHeight="1" x14ac:dyDescent="0.35">
      <c r="T2115" s="246">
        <f t="shared" si="71"/>
        <v>0</v>
      </c>
    </row>
    <row r="2116" spans="20:20" ht="18.75" customHeight="1" x14ac:dyDescent="0.35">
      <c r="T2116" s="246">
        <f t="shared" si="71"/>
        <v>0</v>
      </c>
    </row>
    <row r="2117" spans="20:20" ht="18.75" customHeight="1" x14ac:dyDescent="0.35">
      <c r="T2117" s="246">
        <f t="shared" si="71"/>
        <v>0</v>
      </c>
    </row>
    <row r="2118" spans="20:20" ht="18.75" customHeight="1" x14ac:dyDescent="0.35">
      <c r="T2118" s="246">
        <f t="shared" si="71"/>
        <v>0</v>
      </c>
    </row>
    <row r="2119" spans="20:20" ht="18.75" customHeight="1" x14ac:dyDescent="0.35">
      <c r="T2119" s="246">
        <f t="shared" si="71"/>
        <v>0</v>
      </c>
    </row>
    <row r="2120" spans="20:20" ht="18.75" customHeight="1" x14ac:dyDescent="0.35">
      <c r="T2120" s="246">
        <f t="shared" si="71"/>
        <v>0</v>
      </c>
    </row>
    <row r="2121" spans="20:20" ht="18.75" customHeight="1" x14ac:dyDescent="0.35">
      <c r="T2121" s="246">
        <f t="shared" si="71"/>
        <v>0</v>
      </c>
    </row>
    <row r="2122" spans="20:20" ht="18.75" customHeight="1" x14ac:dyDescent="0.35">
      <c r="T2122" s="246">
        <f t="shared" si="71"/>
        <v>0</v>
      </c>
    </row>
    <row r="2123" spans="20:20" ht="18.75" customHeight="1" x14ac:dyDescent="0.35">
      <c r="T2123" s="246">
        <f t="shared" si="71"/>
        <v>0</v>
      </c>
    </row>
    <row r="2124" spans="20:20" ht="18.75" customHeight="1" x14ac:dyDescent="0.35">
      <c r="T2124" s="246">
        <f t="shared" si="71"/>
        <v>0</v>
      </c>
    </row>
    <row r="2125" spans="20:20" ht="18.75" customHeight="1" x14ac:dyDescent="0.35">
      <c r="T2125" s="246">
        <f t="shared" si="71"/>
        <v>0</v>
      </c>
    </row>
    <row r="2126" spans="20:20" ht="18.75" customHeight="1" x14ac:dyDescent="0.35">
      <c r="T2126" s="246">
        <f t="shared" si="71"/>
        <v>0</v>
      </c>
    </row>
    <row r="2127" spans="20:20" ht="18.75" customHeight="1" x14ac:dyDescent="0.35">
      <c r="T2127" s="246">
        <f t="shared" si="71"/>
        <v>0</v>
      </c>
    </row>
    <row r="2128" spans="20:20" ht="18.75" customHeight="1" x14ac:dyDescent="0.35">
      <c r="T2128" s="246">
        <f t="shared" si="71"/>
        <v>0</v>
      </c>
    </row>
    <row r="2129" spans="20:20" ht="18.75" customHeight="1" x14ac:dyDescent="0.35">
      <c r="T2129" s="246">
        <f t="shared" si="71"/>
        <v>0</v>
      </c>
    </row>
    <row r="2130" spans="20:20" ht="18.75" customHeight="1" x14ac:dyDescent="0.35">
      <c r="T2130" s="246">
        <f t="shared" si="71"/>
        <v>0</v>
      </c>
    </row>
    <row r="2131" spans="20:20" ht="18.75" customHeight="1" x14ac:dyDescent="0.35">
      <c r="T2131" s="246">
        <f t="shared" si="71"/>
        <v>0</v>
      </c>
    </row>
    <row r="2132" spans="20:20" ht="18.75" customHeight="1" x14ac:dyDescent="0.35">
      <c r="T2132" s="246">
        <f t="shared" si="71"/>
        <v>0</v>
      </c>
    </row>
    <row r="2133" spans="20:20" ht="18.75" customHeight="1" x14ac:dyDescent="0.35">
      <c r="T2133" s="246">
        <f t="shared" si="71"/>
        <v>0</v>
      </c>
    </row>
    <row r="2134" spans="20:20" ht="18.75" customHeight="1" x14ac:dyDescent="0.35">
      <c r="T2134" s="246">
        <f t="shared" si="71"/>
        <v>0</v>
      </c>
    </row>
    <row r="2135" spans="20:20" ht="18.75" customHeight="1" x14ac:dyDescent="0.35">
      <c r="T2135" s="246">
        <f t="shared" si="71"/>
        <v>0</v>
      </c>
    </row>
    <row r="2136" spans="20:20" ht="18.75" customHeight="1" x14ac:dyDescent="0.35">
      <c r="T2136" s="246">
        <f t="shared" si="71"/>
        <v>0</v>
      </c>
    </row>
    <row r="2137" spans="20:20" ht="18.75" customHeight="1" x14ac:dyDescent="0.35">
      <c r="T2137" s="246">
        <f t="shared" si="71"/>
        <v>0</v>
      </c>
    </row>
    <row r="2138" spans="20:20" ht="18.75" customHeight="1" x14ac:dyDescent="0.35">
      <c r="T2138" s="246">
        <f t="shared" si="71"/>
        <v>0</v>
      </c>
    </row>
    <row r="2139" spans="20:20" ht="18.75" customHeight="1" x14ac:dyDescent="0.35">
      <c r="T2139" s="246">
        <f t="shared" si="71"/>
        <v>0</v>
      </c>
    </row>
    <row r="2140" spans="20:20" ht="18.75" customHeight="1" x14ac:dyDescent="0.35">
      <c r="T2140" s="246">
        <f t="shared" si="71"/>
        <v>0</v>
      </c>
    </row>
    <row r="2141" spans="20:20" ht="18.75" customHeight="1" x14ac:dyDescent="0.35">
      <c r="T2141" s="246">
        <f t="shared" si="71"/>
        <v>0</v>
      </c>
    </row>
    <row r="2142" spans="20:20" ht="18.75" customHeight="1" x14ac:dyDescent="0.35">
      <c r="T2142" s="246">
        <f t="shared" si="71"/>
        <v>0</v>
      </c>
    </row>
    <row r="2143" spans="20:20" ht="18.75" customHeight="1" x14ac:dyDescent="0.35">
      <c r="T2143" s="246">
        <f t="shared" si="71"/>
        <v>0</v>
      </c>
    </row>
    <row r="2144" spans="20:20" ht="18.75" customHeight="1" x14ac:dyDescent="0.35">
      <c r="T2144" s="246">
        <f t="shared" si="71"/>
        <v>0</v>
      </c>
    </row>
    <row r="2145" spans="20:20" ht="18.75" customHeight="1" x14ac:dyDescent="0.35">
      <c r="T2145" s="246">
        <f t="shared" si="71"/>
        <v>0</v>
      </c>
    </row>
    <row r="2146" spans="20:20" ht="18.75" customHeight="1" x14ac:dyDescent="0.35">
      <c r="T2146" s="246">
        <f t="shared" si="71"/>
        <v>0</v>
      </c>
    </row>
    <row r="2147" spans="20:20" ht="18.75" customHeight="1" x14ac:dyDescent="0.35">
      <c r="T2147" s="246">
        <f t="shared" si="71"/>
        <v>0</v>
      </c>
    </row>
    <row r="2148" spans="20:20" ht="18.75" customHeight="1" x14ac:dyDescent="0.35">
      <c r="T2148" s="246">
        <f t="shared" si="71"/>
        <v>0</v>
      </c>
    </row>
    <row r="2149" spans="20:20" ht="18.75" customHeight="1" x14ac:dyDescent="0.35">
      <c r="T2149" s="246">
        <f t="shared" si="71"/>
        <v>0</v>
      </c>
    </row>
    <row r="2150" spans="20:20" ht="18.75" customHeight="1" x14ac:dyDescent="0.35">
      <c r="T2150" s="246">
        <f t="shared" si="71"/>
        <v>0</v>
      </c>
    </row>
    <row r="2151" spans="20:20" ht="18.75" customHeight="1" x14ac:dyDescent="0.35">
      <c r="T2151" s="246">
        <f t="shared" si="71"/>
        <v>0</v>
      </c>
    </row>
    <row r="2152" spans="20:20" ht="18.75" customHeight="1" x14ac:dyDescent="0.35">
      <c r="T2152" s="246">
        <f t="shared" si="71"/>
        <v>0</v>
      </c>
    </row>
    <row r="2153" spans="20:20" ht="18.75" customHeight="1" x14ac:dyDescent="0.35">
      <c r="T2153" s="246">
        <f t="shared" si="71"/>
        <v>0</v>
      </c>
    </row>
    <row r="2154" spans="20:20" ht="18.75" customHeight="1" x14ac:dyDescent="0.35">
      <c r="T2154" s="246">
        <f t="shared" si="71"/>
        <v>0</v>
      </c>
    </row>
    <row r="2155" spans="20:20" ht="18.75" customHeight="1" x14ac:dyDescent="0.35">
      <c r="T2155" s="246">
        <f t="shared" si="71"/>
        <v>0</v>
      </c>
    </row>
    <row r="2156" spans="20:20" ht="18.75" customHeight="1" x14ac:dyDescent="0.35">
      <c r="T2156" s="246">
        <f t="shared" si="71"/>
        <v>0</v>
      </c>
    </row>
    <row r="2157" spans="20:20" ht="18.75" customHeight="1" x14ac:dyDescent="0.35">
      <c r="T2157" s="246">
        <f t="shared" si="71"/>
        <v>0</v>
      </c>
    </row>
    <row r="2158" spans="20:20" ht="18.75" customHeight="1" x14ac:dyDescent="0.35">
      <c r="T2158" s="246">
        <f t="shared" si="71"/>
        <v>0</v>
      </c>
    </row>
    <row r="2159" spans="20:20" ht="18.75" customHeight="1" x14ac:dyDescent="0.35">
      <c r="T2159" s="246">
        <f t="shared" si="71"/>
        <v>0</v>
      </c>
    </row>
    <row r="2160" spans="20:20" ht="18.75" customHeight="1" x14ac:dyDescent="0.35">
      <c r="T2160" s="246">
        <f t="shared" si="71"/>
        <v>0</v>
      </c>
    </row>
    <row r="2161" spans="20:20" ht="18.75" customHeight="1" x14ac:dyDescent="0.35">
      <c r="T2161" s="246">
        <f t="shared" si="71"/>
        <v>0</v>
      </c>
    </row>
    <row r="2162" spans="20:20" ht="18.75" customHeight="1" x14ac:dyDescent="0.35">
      <c r="T2162" s="246">
        <f t="shared" si="71"/>
        <v>0</v>
      </c>
    </row>
    <row r="2163" spans="20:20" ht="18.75" customHeight="1" x14ac:dyDescent="0.35">
      <c r="T2163" s="246">
        <f t="shared" si="71"/>
        <v>0</v>
      </c>
    </row>
    <row r="2164" spans="20:20" ht="18.75" customHeight="1" x14ac:dyDescent="0.35">
      <c r="T2164" s="246">
        <f t="shared" si="71"/>
        <v>0</v>
      </c>
    </row>
    <row r="2165" spans="20:20" ht="18.75" customHeight="1" x14ac:dyDescent="0.35">
      <c r="T2165" s="246">
        <f t="shared" si="71"/>
        <v>0</v>
      </c>
    </row>
    <row r="2166" spans="20:20" ht="18.75" customHeight="1" x14ac:dyDescent="0.35">
      <c r="T2166" s="246">
        <f t="shared" si="71"/>
        <v>0</v>
      </c>
    </row>
    <row r="2167" spans="20:20" ht="18.75" customHeight="1" x14ac:dyDescent="0.35">
      <c r="T2167" s="246">
        <f t="shared" si="71"/>
        <v>0</v>
      </c>
    </row>
    <row r="2168" spans="20:20" ht="18.75" customHeight="1" x14ac:dyDescent="0.35">
      <c r="T2168" s="246">
        <f t="shared" si="71"/>
        <v>0</v>
      </c>
    </row>
    <row r="2169" spans="20:20" ht="18.75" customHeight="1" x14ac:dyDescent="0.35">
      <c r="T2169" s="246">
        <f t="shared" si="71"/>
        <v>0</v>
      </c>
    </row>
    <row r="2170" spans="20:20" ht="18.75" customHeight="1" x14ac:dyDescent="0.35">
      <c r="T2170" s="246">
        <f t="shared" si="71"/>
        <v>0</v>
      </c>
    </row>
    <row r="2171" spans="20:20" ht="18.75" customHeight="1" x14ac:dyDescent="0.35">
      <c r="T2171" s="246">
        <f t="shared" si="71"/>
        <v>0</v>
      </c>
    </row>
    <row r="2172" spans="20:20" ht="18.75" customHeight="1" x14ac:dyDescent="0.35">
      <c r="T2172" s="246">
        <f t="shared" ref="T2172:T2235" si="72">R2172*0.01</f>
        <v>0</v>
      </c>
    </row>
    <row r="2173" spans="20:20" ht="18.75" customHeight="1" x14ac:dyDescent="0.35">
      <c r="T2173" s="246">
        <f t="shared" si="72"/>
        <v>0</v>
      </c>
    </row>
    <row r="2174" spans="20:20" ht="18.75" customHeight="1" x14ac:dyDescent="0.35">
      <c r="T2174" s="246">
        <f t="shared" si="72"/>
        <v>0</v>
      </c>
    </row>
    <row r="2175" spans="20:20" ht="18.75" customHeight="1" x14ac:dyDescent="0.35">
      <c r="T2175" s="246">
        <f t="shared" si="72"/>
        <v>0</v>
      </c>
    </row>
    <row r="2176" spans="20:20" ht="18.75" customHeight="1" x14ac:dyDescent="0.35">
      <c r="T2176" s="246">
        <f t="shared" si="72"/>
        <v>0</v>
      </c>
    </row>
    <row r="2177" spans="20:20" ht="18.75" customHeight="1" x14ac:dyDescent="0.35">
      <c r="T2177" s="246">
        <f t="shared" si="72"/>
        <v>0</v>
      </c>
    </row>
    <row r="2178" spans="20:20" ht="18.75" customHeight="1" x14ac:dyDescent="0.35">
      <c r="T2178" s="246">
        <f t="shared" si="72"/>
        <v>0</v>
      </c>
    </row>
    <row r="2179" spans="20:20" ht="18.75" customHeight="1" x14ac:dyDescent="0.35">
      <c r="T2179" s="246">
        <f t="shared" si="72"/>
        <v>0</v>
      </c>
    </row>
    <row r="2180" spans="20:20" ht="18.75" customHeight="1" x14ac:dyDescent="0.35">
      <c r="T2180" s="246">
        <f t="shared" si="72"/>
        <v>0</v>
      </c>
    </row>
    <row r="2181" spans="20:20" ht="18.75" customHeight="1" x14ac:dyDescent="0.35">
      <c r="T2181" s="246">
        <f t="shared" si="72"/>
        <v>0</v>
      </c>
    </row>
    <row r="2182" spans="20:20" ht="18.75" customHeight="1" x14ac:dyDescent="0.35">
      <c r="T2182" s="246">
        <f t="shared" si="72"/>
        <v>0</v>
      </c>
    </row>
    <row r="2183" spans="20:20" ht="18.75" customHeight="1" x14ac:dyDescent="0.35">
      <c r="T2183" s="246">
        <f t="shared" si="72"/>
        <v>0</v>
      </c>
    </row>
    <row r="2184" spans="20:20" ht="18.75" customHeight="1" x14ac:dyDescent="0.35">
      <c r="T2184" s="246">
        <f t="shared" si="72"/>
        <v>0</v>
      </c>
    </row>
    <row r="2185" spans="20:20" ht="18.75" customHeight="1" x14ac:dyDescent="0.35">
      <c r="T2185" s="246">
        <f t="shared" si="72"/>
        <v>0</v>
      </c>
    </row>
    <row r="2186" spans="20:20" ht="18.75" customHeight="1" x14ac:dyDescent="0.35">
      <c r="T2186" s="246">
        <f t="shared" si="72"/>
        <v>0</v>
      </c>
    </row>
    <row r="2187" spans="20:20" ht="18.75" customHeight="1" x14ac:dyDescent="0.35">
      <c r="T2187" s="246">
        <f t="shared" si="72"/>
        <v>0</v>
      </c>
    </row>
    <row r="2188" spans="20:20" ht="18.75" customHeight="1" x14ac:dyDescent="0.35">
      <c r="T2188" s="246">
        <f t="shared" si="72"/>
        <v>0</v>
      </c>
    </row>
    <row r="2189" spans="20:20" ht="18.75" customHeight="1" x14ac:dyDescent="0.35">
      <c r="T2189" s="246">
        <f t="shared" si="72"/>
        <v>0</v>
      </c>
    </row>
    <row r="2190" spans="20:20" ht="18.75" customHeight="1" x14ac:dyDescent="0.35">
      <c r="T2190" s="246">
        <f t="shared" si="72"/>
        <v>0</v>
      </c>
    </row>
    <row r="2191" spans="20:20" ht="18.75" customHeight="1" x14ac:dyDescent="0.35">
      <c r="T2191" s="246">
        <f t="shared" si="72"/>
        <v>0</v>
      </c>
    </row>
    <row r="2192" spans="20:20" ht="18.75" customHeight="1" x14ac:dyDescent="0.35">
      <c r="T2192" s="246">
        <f t="shared" si="72"/>
        <v>0</v>
      </c>
    </row>
    <row r="2193" spans="20:20" ht="18.75" customHeight="1" x14ac:dyDescent="0.35">
      <c r="T2193" s="246">
        <f t="shared" si="72"/>
        <v>0</v>
      </c>
    </row>
    <row r="2194" spans="20:20" ht="18.75" customHeight="1" x14ac:dyDescent="0.35">
      <c r="T2194" s="246">
        <f t="shared" si="72"/>
        <v>0</v>
      </c>
    </row>
    <row r="2195" spans="20:20" ht="18.75" customHeight="1" x14ac:dyDescent="0.35">
      <c r="T2195" s="246">
        <f t="shared" si="72"/>
        <v>0</v>
      </c>
    </row>
    <row r="2196" spans="20:20" ht="18.75" customHeight="1" x14ac:dyDescent="0.35">
      <c r="T2196" s="246">
        <f t="shared" si="72"/>
        <v>0</v>
      </c>
    </row>
    <row r="2197" spans="20:20" ht="18.75" customHeight="1" x14ac:dyDescent="0.35">
      <c r="T2197" s="246">
        <f t="shared" si="72"/>
        <v>0</v>
      </c>
    </row>
    <row r="2198" spans="20:20" ht="18.75" customHeight="1" x14ac:dyDescent="0.35">
      <c r="T2198" s="246">
        <f t="shared" si="72"/>
        <v>0</v>
      </c>
    </row>
    <row r="2199" spans="20:20" ht="18.75" customHeight="1" x14ac:dyDescent="0.35">
      <c r="T2199" s="246">
        <f t="shared" si="72"/>
        <v>0</v>
      </c>
    </row>
    <row r="2200" spans="20:20" ht="18.75" customHeight="1" x14ac:dyDescent="0.35">
      <c r="T2200" s="246">
        <f t="shared" si="72"/>
        <v>0</v>
      </c>
    </row>
    <row r="2201" spans="20:20" ht="18.75" customHeight="1" x14ac:dyDescent="0.35">
      <c r="T2201" s="246">
        <f t="shared" si="72"/>
        <v>0</v>
      </c>
    </row>
    <row r="2202" spans="20:20" ht="18.75" customHeight="1" x14ac:dyDescent="0.35">
      <c r="T2202" s="246">
        <f t="shared" si="72"/>
        <v>0</v>
      </c>
    </row>
    <row r="2203" spans="20:20" ht="18.75" customHeight="1" x14ac:dyDescent="0.35">
      <c r="T2203" s="246">
        <f t="shared" si="72"/>
        <v>0</v>
      </c>
    </row>
    <row r="2204" spans="20:20" ht="18.75" customHeight="1" x14ac:dyDescent="0.35">
      <c r="T2204" s="246">
        <f t="shared" si="72"/>
        <v>0</v>
      </c>
    </row>
    <row r="2205" spans="20:20" ht="18.75" customHeight="1" x14ac:dyDescent="0.35">
      <c r="T2205" s="246">
        <f t="shared" si="72"/>
        <v>0</v>
      </c>
    </row>
    <row r="2206" spans="20:20" ht="18.75" customHeight="1" x14ac:dyDescent="0.35">
      <c r="T2206" s="246">
        <f t="shared" si="72"/>
        <v>0</v>
      </c>
    </row>
    <row r="2207" spans="20:20" ht="18.75" customHeight="1" x14ac:dyDescent="0.35">
      <c r="T2207" s="246">
        <f t="shared" si="72"/>
        <v>0</v>
      </c>
    </row>
    <row r="2208" spans="20:20" ht="18.75" customHeight="1" x14ac:dyDescent="0.35">
      <c r="T2208" s="246">
        <f t="shared" si="72"/>
        <v>0</v>
      </c>
    </row>
    <row r="2209" spans="20:20" ht="18.75" customHeight="1" x14ac:dyDescent="0.35">
      <c r="T2209" s="246">
        <f t="shared" si="72"/>
        <v>0</v>
      </c>
    </row>
    <row r="2210" spans="20:20" ht="18.75" customHeight="1" x14ac:dyDescent="0.35">
      <c r="T2210" s="246">
        <f t="shared" si="72"/>
        <v>0</v>
      </c>
    </row>
    <row r="2211" spans="20:20" ht="18.75" customHeight="1" x14ac:dyDescent="0.35">
      <c r="T2211" s="246">
        <f t="shared" si="72"/>
        <v>0</v>
      </c>
    </row>
    <row r="2212" spans="20:20" ht="18.75" customHeight="1" x14ac:dyDescent="0.35">
      <c r="T2212" s="246">
        <f t="shared" si="72"/>
        <v>0</v>
      </c>
    </row>
    <row r="2213" spans="20:20" ht="18.75" customHeight="1" x14ac:dyDescent="0.35">
      <c r="T2213" s="246">
        <f t="shared" si="72"/>
        <v>0</v>
      </c>
    </row>
    <row r="2214" spans="20:20" ht="18.75" customHeight="1" x14ac:dyDescent="0.35">
      <c r="T2214" s="246">
        <f t="shared" si="72"/>
        <v>0</v>
      </c>
    </row>
    <row r="2215" spans="20:20" ht="18.75" customHeight="1" x14ac:dyDescent="0.35">
      <c r="T2215" s="246">
        <f t="shared" si="72"/>
        <v>0</v>
      </c>
    </row>
    <row r="2216" spans="20:20" ht="18.75" customHeight="1" x14ac:dyDescent="0.35">
      <c r="T2216" s="246">
        <f t="shared" si="72"/>
        <v>0</v>
      </c>
    </row>
    <row r="2217" spans="20:20" ht="18.75" customHeight="1" x14ac:dyDescent="0.35">
      <c r="T2217" s="246">
        <f t="shared" si="72"/>
        <v>0</v>
      </c>
    </row>
    <row r="2218" spans="20:20" ht="18.75" customHeight="1" x14ac:dyDescent="0.35">
      <c r="T2218" s="246">
        <f t="shared" si="72"/>
        <v>0</v>
      </c>
    </row>
    <row r="2219" spans="20:20" ht="18.75" customHeight="1" x14ac:dyDescent="0.35">
      <c r="T2219" s="246">
        <f t="shared" si="72"/>
        <v>0</v>
      </c>
    </row>
    <row r="2220" spans="20:20" ht="18.75" customHeight="1" x14ac:dyDescent="0.35">
      <c r="T2220" s="246">
        <f t="shared" si="72"/>
        <v>0</v>
      </c>
    </row>
    <row r="2221" spans="20:20" ht="18.75" customHeight="1" x14ac:dyDescent="0.35">
      <c r="T2221" s="246">
        <f t="shared" si="72"/>
        <v>0</v>
      </c>
    </row>
    <row r="2222" spans="20:20" ht="18.75" customHeight="1" x14ac:dyDescent="0.35">
      <c r="T2222" s="246">
        <f t="shared" si="72"/>
        <v>0</v>
      </c>
    </row>
    <row r="2223" spans="20:20" ht="18.75" customHeight="1" x14ac:dyDescent="0.35">
      <c r="T2223" s="246">
        <f t="shared" si="72"/>
        <v>0</v>
      </c>
    </row>
    <row r="2224" spans="20:20" ht="18.75" customHeight="1" x14ac:dyDescent="0.35">
      <c r="T2224" s="246">
        <f t="shared" si="72"/>
        <v>0</v>
      </c>
    </row>
    <row r="2225" spans="20:20" ht="18.75" customHeight="1" x14ac:dyDescent="0.35">
      <c r="T2225" s="246">
        <f t="shared" si="72"/>
        <v>0</v>
      </c>
    </row>
    <row r="2226" spans="20:20" ht="18.75" customHeight="1" x14ac:dyDescent="0.35">
      <c r="T2226" s="246">
        <f t="shared" si="72"/>
        <v>0</v>
      </c>
    </row>
    <row r="2227" spans="20:20" ht="18.75" customHeight="1" x14ac:dyDescent="0.35">
      <c r="T2227" s="246">
        <f t="shared" si="72"/>
        <v>0</v>
      </c>
    </row>
    <row r="2228" spans="20:20" ht="18.75" customHeight="1" x14ac:dyDescent="0.35">
      <c r="T2228" s="246">
        <f t="shared" si="72"/>
        <v>0</v>
      </c>
    </row>
    <row r="2229" spans="20:20" ht="18.75" customHeight="1" x14ac:dyDescent="0.35">
      <c r="T2229" s="246">
        <f t="shared" si="72"/>
        <v>0</v>
      </c>
    </row>
    <row r="2230" spans="20:20" ht="18.75" customHeight="1" x14ac:dyDescent="0.35">
      <c r="T2230" s="246">
        <f t="shared" si="72"/>
        <v>0</v>
      </c>
    </row>
    <row r="2231" spans="20:20" ht="18.75" customHeight="1" x14ac:dyDescent="0.35">
      <c r="T2231" s="246">
        <f t="shared" si="72"/>
        <v>0</v>
      </c>
    </row>
    <row r="2232" spans="20:20" ht="18.75" customHeight="1" x14ac:dyDescent="0.35">
      <c r="T2232" s="246">
        <f t="shared" si="72"/>
        <v>0</v>
      </c>
    </row>
    <row r="2233" spans="20:20" ht="18.75" customHeight="1" x14ac:dyDescent="0.35">
      <c r="T2233" s="246">
        <f t="shared" si="72"/>
        <v>0</v>
      </c>
    </row>
    <row r="2234" spans="20:20" ht="18.75" customHeight="1" x14ac:dyDescent="0.35">
      <c r="T2234" s="246">
        <f t="shared" si="72"/>
        <v>0</v>
      </c>
    </row>
    <row r="2235" spans="20:20" ht="18.75" customHeight="1" x14ac:dyDescent="0.35">
      <c r="T2235" s="246">
        <f t="shared" si="72"/>
        <v>0</v>
      </c>
    </row>
    <row r="2236" spans="20:20" ht="18.75" customHeight="1" x14ac:dyDescent="0.35">
      <c r="T2236" s="246">
        <f t="shared" ref="T2236:T2299" si="73">R2236*0.01</f>
        <v>0</v>
      </c>
    </row>
    <row r="2237" spans="20:20" ht="18.75" customHeight="1" x14ac:dyDescent="0.35">
      <c r="T2237" s="246">
        <f t="shared" si="73"/>
        <v>0</v>
      </c>
    </row>
    <row r="2238" spans="20:20" ht="18.75" customHeight="1" x14ac:dyDescent="0.35">
      <c r="T2238" s="246">
        <f t="shared" si="73"/>
        <v>0</v>
      </c>
    </row>
    <row r="2239" spans="20:20" ht="18.75" customHeight="1" x14ac:dyDescent="0.35">
      <c r="T2239" s="246">
        <f t="shared" si="73"/>
        <v>0</v>
      </c>
    </row>
    <row r="2240" spans="20:20" ht="18.75" customHeight="1" x14ac:dyDescent="0.35">
      <c r="T2240" s="246">
        <f t="shared" si="73"/>
        <v>0</v>
      </c>
    </row>
    <row r="2241" spans="20:20" ht="18.75" customHeight="1" x14ac:dyDescent="0.35">
      <c r="T2241" s="246">
        <f t="shared" si="73"/>
        <v>0</v>
      </c>
    </row>
    <row r="2242" spans="20:20" ht="18.75" customHeight="1" x14ac:dyDescent="0.35">
      <c r="T2242" s="246">
        <f t="shared" si="73"/>
        <v>0</v>
      </c>
    </row>
    <row r="2243" spans="20:20" ht="18.75" customHeight="1" x14ac:dyDescent="0.35">
      <c r="T2243" s="246">
        <f t="shared" si="73"/>
        <v>0</v>
      </c>
    </row>
    <row r="2244" spans="20:20" ht="18.75" customHeight="1" x14ac:dyDescent="0.35">
      <c r="T2244" s="246">
        <f t="shared" si="73"/>
        <v>0</v>
      </c>
    </row>
    <row r="2245" spans="20:20" ht="18.75" customHeight="1" x14ac:dyDescent="0.35">
      <c r="T2245" s="246">
        <f t="shared" si="73"/>
        <v>0</v>
      </c>
    </row>
    <row r="2246" spans="20:20" ht="18.75" customHeight="1" x14ac:dyDescent="0.35">
      <c r="T2246" s="246">
        <f t="shared" si="73"/>
        <v>0</v>
      </c>
    </row>
    <row r="2247" spans="20:20" ht="18.75" customHeight="1" x14ac:dyDescent="0.35">
      <c r="T2247" s="246">
        <f t="shared" si="73"/>
        <v>0</v>
      </c>
    </row>
    <row r="2248" spans="20:20" ht="18.75" customHeight="1" x14ac:dyDescent="0.35">
      <c r="T2248" s="246">
        <f t="shared" si="73"/>
        <v>0</v>
      </c>
    </row>
    <row r="2249" spans="20:20" ht="18.75" customHeight="1" x14ac:dyDescent="0.35">
      <c r="T2249" s="246">
        <f t="shared" si="73"/>
        <v>0</v>
      </c>
    </row>
    <row r="2250" spans="20:20" ht="18.75" customHeight="1" x14ac:dyDescent="0.35">
      <c r="T2250" s="246">
        <f t="shared" si="73"/>
        <v>0</v>
      </c>
    </row>
    <row r="2251" spans="20:20" ht="18.75" customHeight="1" x14ac:dyDescent="0.35">
      <c r="T2251" s="246">
        <f t="shared" si="73"/>
        <v>0</v>
      </c>
    </row>
    <row r="2252" spans="20:20" ht="18.75" customHeight="1" x14ac:dyDescent="0.35">
      <c r="T2252" s="246">
        <f t="shared" si="73"/>
        <v>0</v>
      </c>
    </row>
    <row r="2253" spans="20:20" ht="18.75" customHeight="1" x14ac:dyDescent="0.35">
      <c r="T2253" s="246">
        <f t="shared" si="73"/>
        <v>0</v>
      </c>
    </row>
    <row r="2254" spans="20:20" ht="18.75" customHeight="1" x14ac:dyDescent="0.35">
      <c r="T2254" s="246">
        <f t="shared" si="73"/>
        <v>0</v>
      </c>
    </row>
    <row r="2255" spans="20:20" ht="18.75" customHeight="1" x14ac:dyDescent="0.35">
      <c r="T2255" s="246">
        <f t="shared" si="73"/>
        <v>0</v>
      </c>
    </row>
    <row r="2256" spans="20:20" ht="18.75" customHeight="1" x14ac:dyDescent="0.35">
      <c r="T2256" s="246">
        <f t="shared" si="73"/>
        <v>0</v>
      </c>
    </row>
    <row r="2257" spans="20:20" ht="18.75" customHeight="1" x14ac:dyDescent="0.35">
      <c r="T2257" s="246">
        <f t="shared" si="73"/>
        <v>0</v>
      </c>
    </row>
    <row r="2258" spans="20:20" ht="18.75" customHeight="1" x14ac:dyDescent="0.35">
      <c r="T2258" s="246">
        <f t="shared" si="73"/>
        <v>0</v>
      </c>
    </row>
    <row r="2259" spans="20:20" ht="18.75" customHeight="1" x14ac:dyDescent="0.35">
      <c r="T2259" s="246">
        <f t="shared" si="73"/>
        <v>0</v>
      </c>
    </row>
    <row r="2260" spans="20:20" ht="18.75" customHeight="1" x14ac:dyDescent="0.35">
      <c r="T2260" s="246">
        <f t="shared" si="73"/>
        <v>0</v>
      </c>
    </row>
    <row r="2261" spans="20:20" ht="18.75" customHeight="1" x14ac:dyDescent="0.35">
      <c r="T2261" s="246">
        <f t="shared" si="73"/>
        <v>0</v>
      </c>
    </row>
    <row r="2262" spans="20:20" ht="18.75" customHeight="1" x14ac:dyDescent="0.35">
      <c r="T2262" s="246">
        <f t="shared" si="73"/>
        <v>0</v>
      </c>
    </row>
    <row r="2263" spans="20:20" ht="18.75" customHeight="1" x14ac:dyDescent="0.35">
      <c r="T2263" s="246">
        <f t="shared" si="73"/>
        <v>0</v>
      </c>
    </row>
    <row r="2264" spans="20:20" ht="18.75" customHeight="1" x14ac:dyDescent="0.35">
      <c r="T2264" s="246">
        <f t="shared" si="73"/>
        <v>0</v>
      </c>
    </row>
    <row r="2265" spans="20:20" ht="18.75" customHeight="1" x14ac:dyDescent="0.35">
      <c r="T2265" s="246">
        <f t="shared" si="73"/>
        <v>0</v>
      </c>
    </row>
    <row r="2266" spans="20:20" ht="18.75" customHeight="1" x14ac:dyDescent="0.35">
      <c r="T2266" s="246">
        <f t="shared" si="73"/>
        <v>0</v>
      </c>
    </row>
    <row r="2267" spans="20:20" ht="18.75" customHeight="1" x14ac:dyDescent="0.35">
      <c r="T2267" s="246">
        <f t="shared" si="73"/>
        <v>0</v>
      </c>
    </row>
    <row r="2268" spans="20:20" ht="18.75" customHeight="1" x14ac:dyDescent="0.35">
      <c r="T2268" s="246">
        <f t="shared" si="73"/>
        <v>0</v>
      </c>
    </row>
    <row r="2269" spans="20:20" ht="18.75" customHeight="1" x14ac:dyDescent="0.35">
      <c r="T2269" s="246">
        <f t="shared" si="73"/>
        <v>0</v>
      </c>
    </row>
    <row r="2270" spans="20:20" ht="18.75" customHeight="1" x14ac:dyDescent="0.35">
      <c r="T2270" s="246">
        <f t="shared" si="73"/>
        <v>0</v>
      </c>
    </row>
    <row r="2271" spans="20:20" ht="18.75" customHeight="1" x14ac:dyDescent="0.35">
      <c r="T2271" s="246">
        <f t="shared" si="73"/>
        <v>0</v>
      </c>
    </row>
    <row r="2272" spans="20:20" ht="18.75" customHeight="1" x14ac:dyDescent="0.35">
      <c r="T2272" s="246">
        <f t="shared" si="73"/>
        <v>0</v>
      </c>
    </row>
    <row r="2273" spans="20:20" ht="18.75" customHeight="1" x14ac:dyDescent="0.35">
      <c r="T2273" s="246">
        <f t="shared" si="73"/>
        <v>0</v>
      </c>
    </row>
    <row r="2274" spans="20:20" ht="18.75" customHeight="1" x14ac:dyDescent="0.35">
      <c r="T2274" s="246">
        <f t="shared" si="73"/>
        <v>0</v>
      </c>
    </row>
    <row r="2275" spans="20:20" ht="18.75" customHeight="1" x14ac:dyDescent="0.35">
      <c r="T2275" s="246">
        <f t="shared" si="73"/>
        <v>0</v>
      </c>
    </row>
    <row r="2276" spans="20:20" ht="18.75" customHeight="1" x14ac:dyDescent="0.35">
      <c r="T2276" s="246">
        <f t="shared" si="73"/>
        <v>0</v>
      </c>
    </row>
    <row r="2277" spans="20:20" ht="18.75" customHeight="1" x14ac:dyDescent="0.35">
      <c r="T2277" s="246">
        <f t="shared" si="73"/>
        <v>0</v>
      </c>
    </row>
    <row r="2278" spans="20:20" ht="18.75" customHeight="1" x14ac:dyDescent="0.35">
      <c r="T2278" s="246">
        <f t="shared" si="73"/>
        <v>0</v>
      </c>
    </row>
    <row r="2279" spans="20:20" ht="18.75" customHeight="1" x14ac:dyDescent="0.35">
      <c r="T2279" s="246">
        <f t="shared" si="73"/>
        <v>0</v>
      </c>
    </row>
    <row r="2280" spans="20:20" ht="18.75" customHeight="1" x14ac:dyDescent="0.35">
      <c r="T2280" s="246">
        <f t="shared" si="73"/>
        <v>0</v>
      </c>
    </row>
    <row r="2281" spans="20:20" ht="18.75" customHeight="1" x14ac:dyDescent="0.35">
      <c r="T2281" s="246">
        <f t="shared" si="73"/>
        <v>0</v>
      </c>
    </row>
    <row r="2282" spans="20:20" ht="18.75" customHeight="1" x14ac:dyDescent="0.35">
      <c r="T2282" s="246">
        <f t="shared" si="73"/>
        <v>0</v>
      </c>
    </row>
    <row r="2283" spans="20:20" ht="18.75" customHeight="1" x14ac:dyDescent="0.35">
      <c r="T2283" s="246">
        <f t="shared" si="73"/>
        <v>0</v>
      </c>
    </row>
    <row r="2284" spans="20:20" ht="18.75" customHeight="1" x14ac:dyDescent="0.35">
      <c r="T2284" s="246">
        <f t="shared" si="73"/>
        <v>0</v>
      </c>
    </row>
    <row r="2285" spans="20:20" ht="18.75" customHeight="1" x14ac:dyDescent="0.35">
      <c r="T2285" s="246">
        <f t="shared" si="73"/>
        <v>0</v>
      </c>
    </row>
    <row r="2286" spans="20:20" ht="18.75" customHeight="1" x14ac:dyDescent="0.35">
      <c r="T2286" s="246">
        <f t="shared" si="73"/>
        <v>0</v>
      </c>
    </row>
    <row r="2287" spans="20:20" ht="18.75" customHeight="1" x14ac:dyDescent="0.35">
      <c r="T2287" s="246">
        <f t="shared" si="73"/>
        <v>0</v>
      </c>
    </row>
    <row r="2288" spans="20:20" ht="18.75" customHeight="1" x14ac:dyDescent="0.35">
      <c r="T2288" s="246">
        <f t="shared" si="73"/>
        <v>0</v>
      </c>
    </row>
    <row r="2289" spans="20:20" ht="18.75" customHeight="1" x14ac:dyDescent="0.35">
      <c r="T2289" s="246">
        <f t="shared" si="73"/>
        <v>0</v>
      </c>
    </row>
    <row r="2290" spans="20:20" ht="18.75" customHeight="1" x14ac:dyDescent="0.35">
      <c r="T2290" s="246">
        <f t="shared" si="73"/>
        <v>0</v>
      </c>
    </row>
    <row r="2291" spans="20:20" ht="18.75" customHeight="1" x14ac:dyDescent="0.35">
      <c r="T2291" s="246">
        <f t="shared" si="73"/>
        <v>0</v>
      </c>
    </row>
    <row r="2292" spans="20:20" ht="18.75" customHeight="1" x14ac:dyDescent="0.35">
      <c r="T2292" s="246">
        <f t="shared" si="73"/>
        <v>0</v>
      </c>
    </row>
    <row r="2293" spans="20:20" ht="18.75" customHeight="1" x14ac:dyDescent="0.35">
      <c r="T2293" s="246">
        <f t="shared" si="73"/>
        <v>0</v>
      </c>
    </row>
    <row r="2294" spans="20:20" ht="18.75" customHeight="1" x14ac:dyDescent="0.35">
      <c r="T2294" s="246">
        <f t="shared" si="73"/>
        <v>0</v>
      </c>
    </row>
    <row r="2295" spans="20:20" ht="18.75" customHeight="1" x14ac:dyDescent="0.35">
      <c r="T2295" s="246">
        <f t="shared" si="73"/>
        <v>0</v>
      </c>
    </row>
    <row r="2296" spans="20:20" ht="18.75" customHeight="1" x14ac:dyDescent="0.35">
      <c r="T2296" s="246">
        <f t="shared" si="73"/>
        <v>0</v>
      </c>
    </row>
    <row r="2297" spans="20:20" ht="18.75" customHeight="1" x14ac:dyDescent="0.35">
      <c r="T2297" s="246">
        <f t="shared" si="73"/>
        <v>0</v>
      </c>
    </row>
    <row r="2298" spans="20:20" ht="18.75" customHeight="1" x14ac:dyDescent="0.35">
      <c r="T2298" s="246">
        <f t="shared" si="73"/>
        <v>0</v>
      </c>
    </row>
    <row r="2299" spans="20:20" ht="18.75" customHeight="1" x14ac:dyDescent="0.35">
      <c r="T2299" s="246">
        <f t="shared" si="73"/>
        <v>0</v>
      </c>
    </row>
    <row r="2300" spans="20:20" ht="18.75" customHeight="1" x14ac:dyDescent="0.35">
      <c r="T2300" s="246">
        <f t="shared" ref="T2300:T2363" si="74">R2300*0.01</f>
        <v>0</v>
      </c>
    </row>
    <row r="2301" spans="20:20" ht="18.75" customHeight="1" x14ac:dyDescent="0.35">
      <c r="T2301" s="246">
        <f t="shared" si="74"/>
        <v>0</v>
      </c>
    </row>
    <row r="2302" spans="20:20" ht="18.75" customHeight="1" x14ac:dyDescent="0.35">
      <c r="T2302" s="246">
        <f t="shared" si="74"/>
        <v>0</v>
      </c>
    </row>
    <row r="2303" spans="20:20" ht="18.75" customHeight="1" x14ac:dyDescent="0.35">
      <c r="T2303" s="246">
        <f t="shared" si="74"/>
        <v>0</v>
      </c>
    </row>
    <row r="2304" spans="20:20" ht="18.75" customHeight="1" x14ac:dyDescent="0.35">
      <c r="T2304" s="246">
        <f t="shared" si="74"/>
        <v>0</v>
      </c>
    </row>
    <row r="2305" spans="20:20" ht="18.75" customHeight="1" x14ac:dyDescent="0.35">
      <c r="T2305" s="246">
        <f t="shared" si="74"/>
        <v>0</v>
      </c>
    </row>
    <row r="2306" spans="20:20" ht="18.75" customHeight="1" x14ac:dyDescent="0.35">
      <c r="T2306" s="246">
        <f t="shared" si="74"/>
        <v>0</v>
      </c>
    </row>
    <row r="2307" spans="20:20" ht="18.75" customHeight="1" x14ac:dyDescent="0.35">
      <c r="T2307" s="246">
        <f t="shared" si="74"/>
        <v>0</v>
      </c>
    </row>
    <row r="2308" spans="20:20" ht="18.75" customHeight="1" x14ac:dyDescent="0.35">
      <c r="T2308" s="246">
        <f t="shared" si="74"/>
        <v>0</v>
      </c>
    </row>
    <row r="2309" spans="20:20" ht="18.75" customHeight="1" x14ac:dyDescent="0.35">
      <c r="T2309" s="246">
        <f t="shared" si="74"/>
        <v>0</v>
      </c>
    </row>
    <row r="2310" spans="20:20" ht="18.75" customHeight="1" x14ac:dyDescent="0.35">
      <c r="T2310" s="246">
        <f t="shared" si="74"/>
        <v>0</v>
      </c>
    </row>
    <row r="2311" spans="20:20" ht="18.75" customHeight="1" x14ac:dyDescent="0.35">
      <c r="T2311" s="246">
        <f t="shared" si="74"/>
        <v>0</v>
      </c>
    </row>
    <row r="2312" spans="20:20" ht="18.75" customHeight="1" x14ac:dyDescent="0.35">
      <c r="T2312" s="246">
        <f t="shared" si="74"/>
        <v>0</v>
      </c>
    </row>
    <row r="2313" spans="20:20" ht="18.75" customHeight="1" x14ac:dyDescent="0.35">
      <c r="T2313" s="246">
        <f t="shared" si="74"/>
        <v>0</v>
      </c>
    </row>
    <row r="2314" spans="20:20" ht="18.75" customHeight="1" x14ac:dyDescent="0.35">
      <c r="T2314" s="246">
        <f t="shared" si="74"/>
        <v>0</v>
      </c>
    </row>
    <row r="2315" spans="20:20" ht="18.75" customHeight="1" x14ac:dyDescent="0.35">
      <c r="T2315" s="246">
        <f t="shared" si="74"/>
        <v>0</v>
      </c>
    </row>
    <row r="2316" spans="20:20" ht="18.75" customHeight="1" x14ac:dyDescent="0.35">
      <c r="T2316" s="246">
        <f t="shared" si="74"/>
        <v>0</v>
      </c>
    </row>
    <row r="2317" spans="20:20" ht="18.75" customHeight="1" x14ac:dyDescent="0.35">
      <c r="T2317" s="246">
        <f t="shared" si="74"/>
        <v>0</v>
      </c>
    </row>
    <row r="2318" spans="20:20" ht="18.75" customHeight="1" x14ac:dyDescent="0.35">
      <c r="T2318" s="246">
        <f t="shared" si="74"/>
        <v>0</v>
      </c>
    </row>
    <row r="2319" spans="20:20" ht="18.75" customHeight="1" x14ac:dyDescent="0.35">
      <c r="T2319" s="246">
        <f t="shared" si="74"/>
        <v>0</v>
      </c>
    </row>
    <row r="2320" spans="20:20" ht="18.75" customHeight="1" x14ac:dyDescent="0.35">
      <c r="T2320" s="246">
        <f t="shared" si="74"/>
        <v>0</v>
      </c>
    </row>
    <row r="2321" spans="20:20" ht="18.75" customHeight="1" x14ac:dyDescent="0.35">
      <c r="T2321" s="246">
        <f t="shared" si="74"/>
        <v>0</v>
      </c>
    </row>
    <row r="2322" spans="20:20" ht="18.75" customHeight="1" x14ac:dyDescent="0.35">
      <c r="T2322" s="246">
        <f t="shared" si="74"/>
        <v>0</v>
      </c>
    </row>
    <row r="2323" spans="20:20" ht="18.75" customHeight="1" x14ac:dyDescent="0.35">
      <c r="T2323" s="246">
        <f t="shared" si="74"/>
        <v>0</v>
      </c>
    </row>
    <row r="2324" spans="20:20" ht="18.75" customHeight="1" x14ac:dyDescent="0.35">
      <c r="T2324" s="246">
        <f t="shared" si="74"/>
        <v>0</v>
      </c>
    </row>
    <row r="2325" spans="20:20" ht="18.75" customHeight="1" x14ac:dyDescent="0.35">
      <c r="T2325" s="246">
        <f t="shared" si="74"/>
        <v>0</v>
      </c>
    </row>
    <row r="2326" spans="20:20" ht="18.75" customHeight="1" x14ac:dyDescent="0.35">
      <c r="T2326" s="246">
        <f t="shared" si="74"/>
        <v>0</v>
      </c>
    </row>
    <row r="2327" spans="20:20" ht="18.75" customHeight="1" x14ac:dyDescent="0.35">
      <c r="T2327" s="246">
        <f t="shared" si="74"/>
        <v>0</v>
      </c>
    </row>
    <row r="2328" spans="20:20" ht="18.75" customHeight="1" x14ac:dyDescent="0.35">
      <c r="T2328" s="246">
        <f t="shared" si="74"/>
        <v>0</v>
      </c>
    </row>
    <row r="2329" spans="20:20" ht="18.75" customHeight="1" x14ac:dyDescent="0.35">
      <c r="T2329" s="246">
        <f t="shared" si="74"/>
        <v>0</v>
      </c>
    </row>
    <row r="2330" spans="20:20" ht="18.75" customHeight="1" x14ac:dyDescent="0.35">
      <c r="T2330" s="246">
        <f t="shared" si="74"/>
        <v>0</v>
      </c>
    </row>
    <row r="2331" spans="20:20" ht="18.75" customHeight="1" x14ac:dyDescent="0.35">
      <c r="T2331" s="246">
        <f t="shared" si="74"/>
        <v>0</v>
      </c>
    </row>
    <row r="2332" spans="20:20" ht="18.75" customHeight="1" x14ac:dyDescent="0.35">
      <c r="T2332" s="246">
        <f t="shared" si="74"/>
        <v>0</v>
      </c>
    </row>
    <row r="2333" spans="20:20" ht="18.75" customHeight="1" x14ac:dyDescent="0.35">
      <c r="T2333" s="246">
        <f t="shared" si="74"/>
        <v>0</v>
      </c>
    </row>
    <row r="2334" spans="20:20" ht="18.75" customHeight="1" x14ac:dyDescent="0.35">
      <c r="T2334" s="246">
        <f t="shared" si="74"/>
        <v>0</v>
      </c>
    </row>
    <row r="2335" spans="20:20" ht="18.75" customHeight="1" x14ac:dyDescent="0.35">
      <c r="T2335" s="246">
        <f t="shared" si="74"/>
        <v>0</v>
      </c>
    </row>
    <row r="2336" spans="20:20" ht="18.75" customHeight="1" x14ac:dyDescent="0.35">
      <c r="T2336" s="246">
        <f t="shared" si="74"/>
        <v>0</v>
      </c>
    </row>
    <row r="2337" spans="20:20" ht="18.75" customHeight="1" x14ac:dyDescent="0.35">
      <c r="T2337" s="246">
        <f t="shared" si="74"/>
        <v>0</v>
      </c>
    </row>
    <row r="2338" spans="20:20" ht="18.75" customHeight="1" x14ac:dyDescent="0.35">
      <c r="T2338" s="246">
        <f t="shared" si="74"/>
        <v>0</v>
      </c>
    </row>
    <row r="2339" spans="20:20" ht="18.75" customHeight="1" x14ac:dyDescent="0.35">
      <c r="T2339" s="246">
        <f t="shared" si="74"/>
        <v>0</v>
      </c>
    </row>
    <row r="2340" spans="20:20" ht="18.75" customHeight="1" x14ac:dyDescent="0.35">
      <c r="T2340" s="246">
        <f t="shared" si="74"/>
        <v>0</v>
      </c>
    </row>
    <row r="2341" spans="20:20" ht="18.75" customHeight="1" x14ac:dyDescent="0.35">
      <c r="T2341" s="246">
        <f t="shared" si="74"/>
        <v>0</v>
      </c>
    </row>
    <row r="2342" spans="20:20" ht="18.75" customHeight="1" x14ac:dyDescent="0.35">
      <c r="T2342" s="246">
        <f t="shared" si="74"/>
        <v>0</v>
      </c>
    </row>
    <row r="2343" spans="20:20" ht="18.75" customHeight="1" x14ac:dyDescent="0.35">
      <c r="T2343" s="246">
        <f t="shared" si="74"/>
        <v>0</v>
      </c>
    </row>
    <row r="2344" spans="20:20" ht="18.75" customHeight="1" x14ac:dyDescent="0.35">
      <c r="T2344" s="246">
        <f t="shared" si="74"/>
        <v>0</v>
      </c>
    </row>
    <row r="2345" spans="20:20" ht="18.75" customHeight="1" x14ac:dyDescent="0.35">
      <c r="T2345" s="246">
        <f t="shared" si="74"/>
        <v>0</v>
      </c>
    </row>
    <row r="2346" spans="20:20" ht="18.75" customHeight="1" x14ac:dyDescent="0.35">
      <c r="T2346" s="246">
        <f t="shared" si="74"/>
        <v>0</v>
      </c>
    </row>
    <row r="2347" spans="20:20" ht="18.75" customHeight="1" x14ac:dyDescent="0.35">
      <c r="T2347" s="246">
        <f t="shared" si="74"/>
        <v>0</v>
      </c>
    </row>
    <row r="2348" spans="20:20" ht="18.75" customHeight="1" x14ac:dyDescent="0.35">
      <c r="T2348" s="246">
        <f t="shared" si="74"/>
        <v>0</v>
      </c>
    </row>
    <row r="2349" spans="20:20" ht="18.75" customHeight="1" x14ac:dyDescent="0.35">
      <c r="T2349" s="246">
        <f t="shared" si="74"/>
        <v>0</v>
      </c>
    </row>
    <row r="2350" spans="20:20" ht="18.75" customHeight="1" x14ac:dyDescent="0.35">
      <c r="T2350" s="246">
        <f t="shared" si="74"/>
        <v>0</v>
      </c>
    </row>
    <row r="2351" spans="20:20" ht="18.75" customHeight="1" x14ac:dyDescent="0.35">
      <c r="T2351" s="246">
        <f t="shared" si="74"/>
        <v>0</v>
      </c>
    </row>
    <row r="2352" spans="20:20" ht="18.75" customHeight="1" x14ac:dyDescent="0.35">
      <c r="T2352" s="246">
        <f t="shared" si="74"/>
        <v>0</v>
      </c>
    </row>
    <row r="2353" spans="20:20" ht="18.75" customHeight="1" x14ac:dyDescent="0.35">
      <c r="T2353" s="246">
        <f t="shared" si="74"/>
        <v>0</v>
      </c>
    </row>
    <row r="2354" spans="20:20" ht="18.75" customHeight="1" x14ac:dyDescent="0.35">
      <c r="T2354" s="246">
        <f t="shared" si="74"/>
        <v>0</v>
      </c>
    </row>
    <row r="2355" spans="20:20" ht="18.75" customHeight="1" x14ac:dyDescent="0.35">
      <c r="T2355" s="246">
        <f t="shared" si="74"/>
        <v>0</v>
      </c>
    </row>
    <row r="2356" spans="20:20" ht="18.75" customHeight="1" x14ac:dyDescent="0.35">
      <c r="T2356" s="246">
        <f t="shared" si="74"/>
        <v>0</v>
      </c>
    </row>
    <row r="2357" spans="20:20" ht="18.75" customHeight="1" x14ac:dyDescent="0.35">
      <c r="T2357" s="246">
        <f t="shared" si="74"/>
        <v>0</v>
      </c>
    </row>
    <row r="2358" spans="20:20" ht="18.75" customHeight="1" x14ac:dyDescent="0.35">
      <c r="T2358" s="246">
        <f t="shared" si="74"/>
        <v>0</v>
      </c>
    </row>
    <row r="2359" spans="20:20" ht="18.75" customHeight="1" x14ac:dyDescent="0.35">
      <c r="T2359" s="246">
        <f t="shared" si="74"/>
        <v>0</v>
      </c>
    </row>
    <row r="2360" spans="20:20" ht="18.75" customHeight="1" x14ac:dyDescent="0.35">
      <c r="T2360" s="246">
        <f t="shared" si="74"/>
        <v>0</v>
      </c>
    </row>
    <row r="2361" spans="20:20" ht="18.75" customHeight="1" x14ac:dyDescent="0.35">
      <c r="T2361" s="246">
        <f t="shared" si="74"/>
        <v>0</v>
      </c>
    </row>
    <row r="2362" spans="20:20" ht="18.75" customHeight="1" x14ac:dyDescent="0.35">
      <c r="T2362" s="246">
        <f t="shared" si="74"/>
        <v>0</v>
      </c>
    </row>
    <row r="2363" spans="20:20" ht="18.75" customHeight="1" x14ac:dyDescent="0.35">
      <c r="T2363" s="246">
        <f t="shared" si="74"/>
        <v>0</v>
      </c>
    </row>
    <row r="2364" spans="20:20" ht="18.75" customHeight="1" x14ac:dyDescent="0.35">
      <c r="T2364" s="246">
        <f t="shared" ref="T2364:T2427" si="75">R2364*0.01</f>
        <v>0</v>
      </c>
    </row>
    <row r="2365" spans="20:20" ht="18.75" customHeight="1" x14ac:dyDescent="0.35">
      <c r="T2365" s="246">
        <f t="shared" si="75"/>
        <v>0</v>
      </c>
    </row>
    <row r="2366" spans="20:20" ht="18.75" customHeight="1" x14ac:dyDescent="0.35">
      <c r="T2366" s="246">
        <f t="shared" si="75"/>
        <v>0</v>
      </c>
    </row>
    <row r="2367" spans="20:20" ht="18.75" customHeight="1" x14ac:dyDescent="0.35">
      <c r="T2367" s="246">
        <f t="shared" si="75"/>
        <v>0</v>
      </c>
    </row>
    <row r="2368" spans="20:20" ht="18.75" customHeight="1" x14ac:dyDescent="0.35">
      <c r="T2368" s="246">
        <f t="shared" si="75"/>
        <v>0</v>
      </c>
    </row>
    <row r="2369" spans="20:20" ht="18.75" customHeight="1" x14ac:dyDescent="0.35">
      <c r="T2369" s="246">
        <f t="shared" si="75"/>
        <v>0</v>
      </c>
    </row>
    <row r="2370" spans="20:20" ht="18.75" customHeight="1" x14ac:dyDescent="0.35">
      <c r="T2370" s="246">
        <f t="shared" si="75"/>
        <v>0</v>
      </c>
    </row>
    <row r="2371" spans="20:20" ht="18.75" customHeight="1" x14ac:dyDescent="0.35">
      <c r="T2371" s="246">
        <f t="shared" si="75"/>
        <v>0</v>
      </c>
    </row>
    <row r="2372" spans="20:20" ht="18.75" customHeight="1" x14ac:dyDescent="0.35">
      <c r="T2372" s="246">
        <f t="shared" si="75"/>
        <v>0</v>
      </c>
    </row>
    <row r="2373" spans="20:20" ht="18.75" customHeight="1" x14ac:dyDescent="0.35">
      <c r="T2373" s="246">
        <f t="shared" si="75"/>
        <v>0</v>
      </c>
    </row>
    <row r="2374" spans="20:20" ht="18.75" customHeight="1" x14ac:dyDescent="0.35">
      <c r="T2374" s="246">
        <f t="shared" si="75"/>
        <v>0</v>
      </c>
    </row>
    <row r="2375" spans="20:20" ht="18.75" customHeight="1" x14ac:dyDescent="0.35">
      <c r="T2375" s="246">
        <f t="shared" si="75"/>
        <v>0</v>
      </c>
    </row>
    <row r="2376" spans="20:20" ht="18.75" customHeight="1" x14ac:dyDescent="0.35">
      <c r="T2376" s="246">
        <f t="shared" si="75"/>
        <v>0</v>
      </c>
    </row>
    <row r="2377" spans="20:20" ht="18.75" customHeight="1" x14ac:dyDescent="0.35">
      <c r="T2377" s="246">
        <f t="shared" si="75"/>
        <v>0</v>
      </c>
    </row>
    <row r="2378" spans="20:20" ht="18.75" customHeight="1" x14ac:dyDescent="0.35">
      <c r="T2378" s="246">
        <f t="shared" si="75"/>
        <v>0</v>
      </c>
    </row>
    <row r="2379" spans="20:20" ht="18.75" customHeight="1" x14ac:dyDescent="0.35">
      <c r="T2379" s="246">
        <f t="shared" si="75"/>
        <v>0</v>
      </c>
    </row>
    <row r="2380" spans="20:20" ht="18.75" customHeight="1" x14ac:dyDescent="0.35">
      <c r="T2380" s="246">
        <f t="shared" si="75"/>
        <v>0</v>
      </c>
    </row>
    <row r="2381" spans="20:20" ht="18.75" customHeight="1" x14ac:dyDescent="0.35">
      <c r="T2381" s="246">
        <f t="shared" si="75"/>
        <v>0</v>
      </c>
    </row>
    <row r="2382" spans="20:20" ht="18.75" customHeight="1" x14ac:dyDescent="0.35">
      <c r="T2382" s="246">
        <f t="shared" si="75"/>
        <v>0</v>
      </c>
    </row>
    <row r="2383" spans="20:20" ht="18.75" customHeight="1" x14ac:dyDescent="0.35">
      <c r="T2383" s="246">
        <f t="shared" si="75"/>
        <v>0</v>
      </c>
    </row>
    <row r="2384" spans="20:20" ht="18.75" customHeight="1" x14ac:dyDescent="0.35">
      <c r="T2384" s="246">
        <f t="shared" si="75"/>
        <v>0</v>
      </c>
    </row>
    <row r="2385" spans="20:20" ht="18.75" customHeight="1" x14ac:dyDescent="0.35">
      <c r="T2385" s="246">
        <f t="shared" si="75"/>
        <v>0</v>
      </c>
    </row>
    <row r="2386" spans="20:20" ht="18.75" customHeight="1" x14ac:dyDescent="0.35">
      <c r="T2386" s="246">
        <f t="shared" si="75"/>
        <v>0</v>
      </c>
    </row>
    <row r="2387" spans="20:20" ht="18.75" customHeight="1" x14ac:dyDescent="0.35">
      <c r="T2387" s="246">
        <f t="shared" si="75"/>
        <v>0</v>
      </c>
    </row>
    <row r="2388" spans="20:20" ht="18.75" customHeight="1" x14ac:dyDescent="0.35">
      <c r="T2388" s="246">
        <f t="shared" si="75"/>
        <v>0</v>
      </c>
    </row>
    <row r="2389" spans="20:20" ht="18.75" customHeight="1" x14ac:dyDescent="0.35">
      <c r="T2389" s="246">
        <f t="shared" si="75"/>
        <v>0</v>
      </c>
    </row>
    <row r="2390" spans="20:20" ht="18.75" customHeight="1" x14ac:dyDescent="0.35">
      <c r="T2390" s="246">
        <f t="shared" si="75"/>
        <v>0</v>
      </c>
    </row>
    <row r="2391" spans="20:20" ht="18.75" customHeight="1" x14ac:dyDescent="0.35">
      <c r="T2391" s="246">
        <f t="shared" si="75"/>
        <v>0</v>
      </c>
    </row>
    <row r="2392" spans="20:20" ht="18.75" customHeight="1" x14ac:dyDescent="0.35">
      <c r="T2392" s="246">
        <f t="shared" si="75"/>
        <v>0</v>
      </c>
    </row>
    <row r="2393" spans="20:20" ht="18.75" customHeight="1" x14ac:dyDescent="0.35">
      <c r="T2393" s="246">
        <f t="shared" si="75"/>
        <v>0</v>
      </c>
    </row>
    <row r="2394" spans="20:20" ht="18.75" customHeight="1" x14ac:dyDescent="0.35">
      <c r="T2394" s="246">
        <f t="shared" si="75"/>
        <v>0</v>
      </c>
    </row>
    <row r="2395" spans="20:20" ht="18.75" customHeight="1" x14ac:dyDescent="0.35">
      <c r="T2395" s="246">
        <f t="shared" si="75"/>
        <v>0</v>
      </c>
    </row>
    <row r="2396" spans="20:20" ht="18.75" customHeight="1" x14ac:dyDescent="0.35">
      <c r="T2396" s="246">
        <f t="shared" si="75"/>
        <v>0</v>
      </c>
    </row>
    <row r="2397" spans="20:20" ht="18.75" customHeight="1" x14ac:dyDescent="0.35">
      <c r="T2397" s="246">
        <f t="shared" si="75"/>
        <v>0</v>
      </c>
    </row>
    <row r="2398" spans="20:20" ht="18.75" customHeight="1" x14ac:dyDescent="0.35">
      <c r="T2398" s="246">
        <f t="shared" si="75"/>
        <v>0</v>
      </c>
    </row>
    <row r="2399" spans="20:20" ht="18.75" customHeight="1" x14ac:dyDescent="0.35">
      <c r="T2399" s="246">
        <f t="shared" si="75"/>
        <v>0</v>
      </c>
    </row>
    <row r="2400" spans="20:20" ht="18.75" customHeight="1" x14ac:dyDescent="0.35">
      <c r="T2400" s="246">
        <f t="shared" si="75"/>
        <v>0</v>
      </c>
    </row>
    <row r="2401" spans="20:20" ht="18.75" customHeight="1" x14ac:dyDescent="0.35">
      <c r="T2401" s="246">
        <f t="shared" si="75"/>
        <v>0</v>
      </c>
    </row>
    <row r="2402" spans="20:20" ht="18.75" customHeight="1" x14ac:dyDescent="0.35">
      <c r="T2402" s="246">
        <f t="shared" si="75"/>
        <v>0</v>
      </c>
    </row>
    <row r="2403" spans="20:20" ht="18.75" customHeight="1" x14ac:dyDescent="0.35">
      <c r="T2403" s="246">
        <f t="shared" si="75"/>
        <v>0</v>
      </c>
    </row>
    <row r="2404" spans="20:20" ht="18.75" customHeight="1" x14ac:dyDescent="0.35">
      <c r="T2404" s="246">
        <f t="shared" si="75"/>
        <v>0</v>
      </c>
    </row>
    <row r="2405" spans="20:20" ht="18.75" customHeight="1" x14ac:dyDescent="0.35">
      <c r="T2405" s="246">
        <f t="shared" si="75"/>
        <v>0</v>
      </c>
    </row>
    <row r="2406" spans="20:20" ht="18.75" customHeight="1" x14ac:dyDescent="0.35">
      <c r="T2406" s="246">
        <f t="shared" si="75"/>
        <v>0</v>
      </c>
    </row>
    <row r="2407" spans="20:20" ht="18.75" customHeight="1" x14ac:dyDescent="0.35">
      <c r="T2407" s="246">
        <f t="shared" si="75"/>
        <v>0</v>
      </c>
    </row>
    <row r="2408" spans="20:20" ht="18.75" customHeight="1" x14ac:dyDescent="0.35">
      <c r="T2408" s="246">
        <f t="shared" si="75"/>
        <v>0</v>
      </c>
    </row>
    <row r="2409" spans="20:20" ht="18.75" customHeight="1" x14ac:dyDescent="0.35">
      <c r="T2409" s="246">
        <f t="shared" si="75"/>
        <v>0</v>
      </c>
    </row>
    <row r="2410" spans="20:20" ht="18.75" customHeight="1" x14ac:dyDescent="0.35">
      <c r="T2410" s="246">
        <f t="shared" si="75"/>
        <v>0</v>
      </c>
    </row>
    <row r="2411" spans="20:20" ht="18.75" customHeight="1" x14ac:dyDescent="0.35">
      <c r="T2411" s="246">
        <f t="shared" si="75"/>
        <v>0</v>
      </c>
    </row>
    <row r="2412" spans="20:20" ht="18.75" customHeight="1" x14ac:dyDescent="0.35">
      <c r="T2412" s="246">
        <f t="shared" si="75"/>
        <v>0</v>
      </c>
    </row>
    <row r="2413" spans="20:20" ht="18.75" customHeight="1" x14ac:dyDescent="0.35">
      <c r="T2413" s="246">
        <f t="shared" si="75"/>
        <v>0</v>
      </c>
    </row>
    <row r="2414" spans="20:20" ht="18.75" customHeight="1" x14ac:dyDescent="0.35">
      <c r="T2414" s="246">
        <f t="shared" si="75"/>
        <v>0</v>
      </c>
    </row>
    <row r="2415" spans="20:20" ht="18.75" customHeight="1" x14ac:dyDescent="0.35">
      <c r="T2415" s="246">
        <f t="shared" si="75"/>
        <v>0</v>
      </c>
    </row>
    <row r="2416" spans="20:20" ht="18.75" customHeight="1" x14ac:dyDescent="0.35">
      <c r="T2416" s="246">
        <f t="shared" si="75"/>
        <v>0</v>
      </c>
    </row>
    <row r="2417" spans="20:20" ht="18.75" customHeight="1" x14ac:dyDescent="0.35">
      <c r="T2417" s="246">
        <f t="shared" si="75"/>
        <v>0</v>
      </c>
    </row>
    <row r="2418" spans="20:20" ht="18.75" customHeight="1" x14ac:dyDescent="0.35">
      <c r="T2418" s="246">
        <f t="shared" si="75"/>
        <v>0</v>
      </c>
    </row>
    <row r="2419" spans="20:20" ht="18.75" customHeight="1" x14ac:dyDescent="0.35">
      <c r="T2419" s="246">
        <f t="shared" si="75"/>
        <v>0</v>
      </c>
    </row>
    <row r="2420" spans="20:20" ht="18.75" customHeight="1" x14ac:dyDescent="0.35">
      <c r="T2420" s="246">
        <f t="shared" si="75"/>
        <v>0</v>
      </c>
    </row>
    <row r="2421" spans="20:20" ht="18.75" customHeight="1" x14ac:dyDescent="0.35">
      <c r="T2421" s="246">
        <f t="shared" si="75"/>
        <v>0</v>
      </c>
    </row>
    <row r="2422" spans="20:20" ht="18.75" customHeight="1" x14ac:dyDescent="0.35">
      <c r="T2422" s="246">
        <f t="shared" si="75"/>
        <v>0</v>
      </c>
    </row>
    <row r="2423" spans="20:20" ht="18.75" customHeight="1" x14ac:dyDescent="0.35">
      <c r="T2423" s="246">
        <f t="shared" si="75"/>
        <v>0</v>
      </c>
    </row>
    <row r="2424" spans="20:20" ht="18.75" customHeight="1" x14ac:dyDescent="0.35">
      <c r="T2424" s="246">
        <f t="shared" si="75"/>
        <v>0</v>
      </c>
    </row>
    <row r="2425" spans="20:20" ht="18.75" customHeight="1" x14ac:dyDescent="0.35">
      <c r="T2425" s="246">
        <f t="shared" si="75"/>
        <v>0</v>
      </c>
    </row>
    <row r="2426" spans="20:20" ht="18.75" customHeight="1" x14ac:dyDescent="0.35">
      <c r="T2426" s="246">
        <f t="shared" si="75"/>
        <v>0</v>
      </c>
    </row>
    <row r="2427" spans="20:20" ht="18.75" customHeight="1" x14ac:dyDescent="0.35">
      <c r="T2427" s="246">
        <f t="shared" si="75"/>
        <v>0</v>
      </c>
    </row>
    <row r="2428" spans="20:20" ht="18.75" customHeight="1" x14ac:dyDescent="0.35">
      <c r="T2428" s="246">
        <f t="shared" ref="T2428:T2491" si="76">R2428*0.01</f>
        <v>0</v>
      </c>
    </row>
    <row r="2429" spans="20:20" ht="18.75" customHeight="1" x14ac:dyDescent="0.35">
      <c r="T2429" s="246">
        <f t="shared" si="76"/>
        <v>0</v>
      </c>
    </row>
    <row r="2430" spans="20:20" ht="18.75" customHeight="1" x14ac:dyDescent="0.35">
      <c r="T2430" s="246">
        <f t="shared" si="76"/>
        <v>0</v>
      </c>
    </row>
    <row r="2431" spans="20:20" ht="18.75" customHeight="1" x14ac:dyDescent="0.35">
      <c r="T2431" s="246">
        <f t="shared" si="76"/>
        <v>0</v>
      </c>
    </row>
    <row r="2432" spans="20:20" ht="18.75" customHeight="1" x14ac:dyDescent="0.35">
      <c r="T2432" s="246">
        <f t="shared" si="76"/>
        <v>0</v>
      </c>
    </row>
    <row r="2433" spans="20:20" ht="18.75" customHeight="1" x14ac:dyDescent="0.35">
      <c r="T2433" s="246">
        <f t="shared" si="76"/>
        <v>0</v>
      </c>
    </row>
    <row r="2434" spans="20:20" ht="18.75" customHeight="1" x14ac:dyDescent="0.35">
      <c r="T2434" s="246">
        <f t="shared" si="76"/>
        <v>0</v>
      </c>
    </row>
    <row r="2435" spans="20:20" ht="18.75" customHeight="1" x14ac:dyDescent="0.35">
      <c r="T2435" s="246">
        <f t="shared" si="76"/>
        <v>0</v>
      </c>
    </row>
    <row r="2436" spans="20:20" ht="18.75" customHeight="1" x14ac:dyDescent="0.35">
      <c r="T2436" s="246">
        <f t="shared" si="76"/>
        <v>0</v>
      </c>
    </row>
    <row r="2437" spans="20:20" ht="18.75" customHeight="1" x14ac:dyDescent="0.35">
      <c r="T2437" s="246">
        <f t="shared" si="76"/>
        <v>0</v>
      </c>
    </row>
    <row r="2438" spans="20:20" ht="18.75" customHeight="1" x14ac:dyDescent="0.35">
      <c r="T2438" s="246">
        <f t="shared" si="76"/>
        <v>0</v>
      </c>
    </row>
    <row r="2439" spans="20:20" ht="18.75" customHeight="1" x14ac:dyDescent="0.35">
      <c r="T2439" s="246">
        <f t="shared" si="76"/>
        <v>0</v>
      </c>
    </row>
    <row r="2440" spans="20:20" ht="18.75" customHeight="1" x14ac:dyDescent="0.35">
      <c r="T2440" s="246">
        <f t="shared" si="76"/>
        <v>0</v>
      </c>
    </row>
    <row r="2441" spans="20:20" ht="18.75" customHeight="1" x14ac:dyDescent="0.35">
      <c r="T2441" s="246">
        <f t="shared" si="76"/>
        <v>0</v>
      </c>
    </row>
    <row r="2442" spans="20:20" ht="18.75" customHeight="1" x14ac:dyDescent="0.35">
      <c r="T2442" s="246">
        <f t="shared" si="76"/>
        <v>0</v>
      </c>
    </row>
    <row r="2443" spans="20:20" ht="18.75" customHeight="1" x14ac:dyDescent="0.35">
      <c r="T2443" s="246">
        <f t="shared" si="76"/>
        <v>0</v>
      </c>
    </row>
    <row r="2444" spans="20:20" ht="18.75" customHeight="1" x14ac:dyDescent="0.35">
      <c r="T2444" s="246">
        <f t="shared" si="76"/>
        <v>0</v>
      </c>
    </row>
    <row r="2445" spans="20:20" ht="18.75" customHeight="1" x14ac:dyDescent="0.35">
      <c r="T2445" s="246">
        <f t="shared" si="76"/>
        <v>0</v>
      </c>
    </row>
    <row r="2446" spans="20:20" ht="18.75" customHeight="1" x14ac:dyDescent="0.35">
      <c r="T2446" s="246">
        <f t="shared" si="76"/>
        <v>0</v>
      </c>
    </row>
    <row r="2447" spans="20:20" ht="18.75" customHeight="1" x14ac:dyDescent="0.35">
      <c r="T2447" s="246">
        <f t="shared" si="76"/>
        <v>0</v>
      </c>
    </row>
    <row r="2448" spans="20:20" ht="18.75" customHeight="1" x14ac:dyDescent="0.35">
      <c r="T2448" s="246">
        <f t="shared" si="76"/>
        <v>0</v>
      </c>
    </row>
    <row r="2449" spans="20:20" ht="18.75" customHeight="1" x14ac:dyDescent="0.35">
      <c r="T2449" s="246">
        <f t="shared" si="76"/>
        <v>0</v>
      </c>
    </row>
    <row r="2450" spans="20:20" ht="18.75" customHeight="1" x14ac:dyDescent="0.35">
      <c r="T2450" s="246">
        <f t="shared" si="76"/>
        <v>0</v>
      </c>
    </row>
    <row r="2451" spans="20:20" ht="18.75" customHeight="1" x14ac:dyDescent="0.35">
      <c r="T2451" s="246">
        <f t="shared" si="76"/>
        <v>0</v>
      </c>
    </row>
    <row r="2452" spans="20:20" ht="18.75" customHeight="1" x14ac:dyDescent="0.35">
      <c r="T2452" s="246">
        <f t="shared" si="76"/>
        <v>0</v>
      </c>
    </row>
    <row r="2453" spans="20:20" ht="18.75" customHeight="1" x14ac:dyDescent="0.35">
      <c r="T2453" s="246">
        <f t="shared" si="76"/>
        <v>0</v>
      </c>
    </row>
    <row r="2454" spans="20:20" ht="18.75" customHeight="1" x14ac:dyDescent="0.35">
      <c r="T2454" s="246">
        <f t="shared" si="76"/>
        <v>0</v>
      </c>
    </row>
    <row r="2455" spans="20:20" ht="18.75" customHeight="1" x14ac:dyDescent="0.35">
      <c r="T2455" s="246">
        <f t="shared" si="76"/>
        <v>0</v>
      </c>
    </row>
    <row r="2456" spans="20:20" ht="18.75" customHeight="1" x14ac:dyDescent="0.35">
      <c r="T2456" s="246">
        <f t="shared" si="76"/>
        <v>0</v>
      </c>
    </row>
    <row r="2457" spans="20:20" ht="18.75" customHeight="1" x14ac:dyDescent="0.35">
      <c r="T2457" s="246">
        <f t="shared" si="76"/>
        <v>0</v>
      </c>
    </row>
    <row r="2458" spans="20:20" ht="18.75" customHeight="1" x14ac:dyDescent="0.35">
      <c r="T2458" s="246">
        <f t="shared" si="76"/>
        <v>0</v>
      </c>
    </row>
    <row r="2459" spans="20:20" ht="18.75" customHeight="1" x14ac:dyDescent="0.35">
      <c r="T2459" s="246">
        <f t="shared" si="76"/>
        <v>0</v>
      </c>
    </row>
    <row r="2460" spans="20:20" ht="18.75" customHeight="1" x14ac:dyDescent="0.35">
      <c r="T2460" s="246">
        <f t="shared" si="76"/>
        <v>0</v>
      </c>
    </row>
    <row r="2461" spans="20:20" ht="18.75" customHeight="1" x14ac:dyDescent="0.35">
      <c r="T2461" s="246">
        <f t="shared" si="76"/>
        <v>0</v>
      </c>
    </row>
    <row r="2462" spans="20:20" ht="18.75" customHeight="1" x14ac:dyDescent="0.35">
      <c r="T2462" s="246">
        <f t="shared" si="76"/>
        <v>0</v>
      </c>
    </row>
    <row r="2463" spans="20:20" ht="18.75" customHeight="1" x14ac:dyDescent="0.35">
      <c r="T2463" s="246">
        <f t="shared" si="76"/>
        <v>0</v>
      </c>
    </row>
    <row r="2464" spans="20:20" ht="18.75" customHeight="1" x14ac:dyDescent="0.35">
      <c r="T2464" s="246">
        <f t="shared" si="76"/>
        <v>0</v>
      </c>
    </row>
    <row r="2465" spans="20:20" ht="18.75" customHeight="1" x14ac:dyDescent="0.35">
      <c r="T2465" s="246">
        <f t="shared" si="76"/>
        <v>0</v>
      </c>
    </row>
    <row r="2466" spans="20:20" ht="18.75" customHeight="1" x14ac:dyDescent="0.35">
      <c r="T2466" s="246">
        <f t="shared" si="76"/>
        <v>0</v>
      </c>
    </row>
    <row r="2467" spans="20:20" ht="18.75" customHeight="1" x14ac:dyDescent="0.35">
      <c r="T2467" s="246">
        <f t="shared" si="76"/>
        <v>0</v>
      </c>
    </row>
    <row r="2468" spans="20:20" ht="18.75" customHeight="1" x14ac:dyDescent="0.35">
      <c r="T2468" s="246">
        <f t="shared" si="76"/>
        <v>0</v>
      </c>
    </row>
    <row r="2469" spans="20:20" ht="18.75" customHeight="1" x14ac:dyDescent="0.35">
      <c r="T2469" s="246">
        <f t="shared" si="76"/>
        <v>0</v>
      </c>
    </row>
    <row r="2470" spans="20:20" ht="18.75" customHeight="1" x14ac:dyDescent="0.35">
      <c r="T2470" s="246">
        <f t="shared" si="76"/>
        <v>0</v>
      </c>
    </row>
    <row r="2471" spans="20:20" ht="18.75" customHeight="1" x14ac:dyDescent="0.35">
      <c r="T2471" s="246">
        <f t="shared" si="76"/>
        <v>0</v>
      </c>
    </row>
    <row r="2472" spans="20:20" ht="18.75" customHeight="1" x14ac:dyDescent="0.35">
      <c r="T2472" s="246">
        <f t="shared" si="76"/>
        <v>0</v>
      </c>
    </row>
    <row r="2473" spans="20:20" ht="18.75" customHeight="1" x14ac:dyDescent="0.35">
      <c r="T2473" s="246">
        <f t="shared" si="76"/>
        <v>0</v>
      </c>
    </row>
    <row r="2474" spans="20:20" ht="18.75" customHeight="1" x14ac:dyDescent="0.35">
      <c r="T2474" s="246">
        <f t="shared" si="76"/>
        <v>0</v>
      </c>
    </row>
    <row r="2475" spans="20:20" ht="18.75" customHeight="1" x14ac:dyDescent="0.35">
      <c r="T2475" s="246">
        <f t="shared" si="76"/>
        <v>0</v>
      </c>
    </row>
    <row r="2476" spans="20:20" ht="18.75" customHeight="1" x14ac:dyDescent="0.35">
      <c r="T2476" s="246">
        <f t="shared" si="76"/>
        <v>0</v>
      </c>
    </row>
    <row r="2477" spans="20:20" ht="18.75" customHeight="1" x14ac:dyDescent="0.35">
      <c r="T2477" s="246">
        <f t="shared" si="76"/>
        <v>0</v>
      </c>
    </row>
    <row r="2478" spans="20:20" ht="18.75" customHeight="1" x14ac:dyDescent="0.35">
      <c r="T2478" s="246">
        <f t="shared" si="76"/>
        <v>0</v>
      </c>
    </row>
    <row r="2479" spans="20:20" ht="18.75" customHeight="1" x14ac:dyDescent="0.35">
      <c r="T2479" s="246">
        <f t="shared" si="76"/>
        <v>0</v>
      </c>
    </row>
    <row r="2480" spans="20:20" ht="18.75" customHeight="1" x14ac:dyDescent="0.35">
      <c r="T2480" s="246">
        <f t="shared" si="76"/>
        <v>0</v>
      </c>
    </row>
    <row r="2481" spans="20:20" ht="18.75" customHeight="1" x14ac:dyDescent="0.35">
      <c r="T2481" s="246">
        <f t="shared" si="76"/>
        <v>0</v>
      </c>
    </row>
    <row r="2482" spans="20:20" ht="18.75" customHeight="1" x14ac:dyDescent="0.35">
      <c r="T2482" s="246">
        <f t="shared" si="76"/>
        <v>0</v>
      </c>
    </row>
    <row r="2483" spans="20:20" ht="18.75" customHeight="1" x14ac:dyDescent="0.35">
      <c r="T2483" s="246">
        <f t="shared" si="76"/>
        <v>0</v>
      </c>
    </row>
    <row r="2484" spans="20:20" ht="18.75" customHeight="1" x14ac:dyDescent="0.35">
      <c r="T2484" s="246">
        <f t="shared" si="76"/>
        <v>0</v>
      </c>
    </row>
    <row r="2485" spans="20:20" ht="18.75" customHeight="1" x14ac:dyDescent="0.35">
      <c r="T2485" s="246">
        <f t="shared" si="76"/>
        <v>0</v>
      </c>
    </row>
    <row r="2486" spans="20:20" ht="18.75" customHeight="1" x14ac:dyDescent="0.35">
      <c r="T2486" s="246">
        <f t="shared" si="76"/>
        <v>0</v>
      </c>
    </row>
    <row r="2487" spans="20:20" ht="18.75" customHeight="1" x14ac:dyDescent="0.35">
      <c r="T2487" s="246">
        <f t="shared" si="76"/>
        <v>0</v>
      </c>
    </row>
    <row r="2488" spans="20:20" ht="18.75" customHeight="1" x14ac:dyDescent="0.35">
      <c r="T2488" s="246">
        <f t="shared" si="76"/>
        <v>0</v>
      </c>
    </row>
    <row r="2489" spans="20:20" ht="18.75" customHeight="1" x14ac:dyDescent="0.35">
      <c r="T2489" s="246">
        <f t="shared" si="76"/>
        <v>0</v>
      </c>
    </row>
    <row r="2490" spans="20:20" ht="18.75" customHeight="1" x14ac:dyDescent="0.35">
      <c r="T2490" s="246">
        <f t="shared" si="76"/>
        <v>0</v>
      </c>
    </row>
    <row r="2491" spans="20:20" ht="18.75" customHeight="1" x14ac:dyDescent="0.35">
      <c r="T2491" s="246">
        <f t="shared" si="76"/>
        <v>0</v>
      </c>
    </row>
    <row r="2492" spans="20:20" ht="18.75" customHeight="1" x14ac:dyDescent="0.35">
      <c r="T2492" s="246">
        <f t="shared" ref="T2492:T2555" si="77">R2492*0.01</f>
        <v>0</v>
      </c>
    </row>
    <row r="2493" spans="20:20" ht="18.75" customHeight="1" x14ac:dyDescent="0.35">
      <c r="T2493" s="246">
        <f t="shared" si="77"/>
        <v>0</v>
      </c>
    </row>
    <row r="2494" spans="20:20" ht="18.75" customHeight="1" x14ac:dyDescent="0.35">
      <c r="T2494" s="246">
        <f t="shared" si="77"/>
        <v>0</v>
      </c>
    </row>
    <row r="2495" spans="20:20" ht="18.75" customHeight="1" x14ac:dyDescent="0.35">
      <c r="T2495" s="246">
        <f t="shared" si="77"/>
        <v>0</v>
      </c>
    </row>
    <row r="2496" spans="20:20" ht="18.75" customHeight="1" x14ac:dyDescent="0.35">
      <c r="T2496" s="246">
        <f t="shared" si="77"/>
        <v>0</v>
      </c>
    </row>
    <row r="2497" spans="20:20" ht="18.75" customHeight="1" x14ac:dyDescent="0.35">
      <c r="T2497" s="246">
        <f t="shared" si="77"/>
        <v>0</v>
      </c>
    </row>
    <row r="2498" spans="20:20" ht="18.75" customHeight="1" x14ac:dyDescent="0.35">
      <c r="T2498" s="246">
        <f t="shared" si="77"/>
        <v>0</v>
      </c>
    </row>
    <row r="2499" spans="20:20" ht="18.75" customHeight="1" x14ac:dyDescent="0.35">
      <c r="T2499" s="246">
        <f t="shared" si="77"/>
        <v>0</v>
      </c>
    </row>
    <row r="2500" spans="20:20" ht="18.75" customHeight="1" x14ac:dyDescent="0.35">
      <c r="T2500" s="246">
        <f t="shared" si="77"/>
        <v>0</v>
      </c>
    </row>
    <row r="2501" spans="20:20" ht="18.75" customHeight="1" x14ac:dyDescent="0.35">
      <c r="T2501" s="246">
        <f t="shared" si="77"/>
        <v>0</v>
      </c>
    </row>
    <row r="2502" spans="20:20" ht="18.75" customHeight="1" x14ac:dyDescent="0.35">
      <c r="T2502" s="246">
        <f t="shared" si="77"/>
        <v>0</v>
      </c>
    </row>
    <row r="2503" spans="20:20" ht="18.75" customHeight="1" x14ac:dyDescent="0.35">
      <c r="T2503" s="246">
        <f t="shared" si="77"/>
        <v>0</v>
      </c>
    </row>
    <row r="2504" spans="20:20" ht="18.75" customHeight="1" x14ac:dyDescent="0.35">
      <c r="T2504" s="246">
        <f t="shared" si="77"/>
        <v>0</v>
      </c>
    </row>
    <row r="2505" spans="20:20" ht="18.75" customHeight="1" x14ac:dyDescent="0.35">
      <c r="T2505" s="246">
        <f t="shared" si="77"/>
        <v>0</v>
      </c>
    </row>
    <row r="2506" spans="20:20" ht="18.75" customHeight="1" x14ac:dyDescent="0.35">
      <c r="T2506" s="246">
        <f t="shared" si="77"/>
        <v>0</v>
      </c>
    </row>
    <row r="2507" spans="20:20" ht="18.75" customHeight="1" x14ac:dyDescent="0.35">
      <c r="T2507" s="246">
        <f t="shared" si="77"/>
        <v>0</v>
      </c>
    </row>
    <row r="2508" spans="20:20" ht="18.75" customHeight="1" x14ac:dyDescent="0.35">
      <c r="T2508" s="246">
        <f t="shared" si="77"/>
        <v>0</v>
      </c>
    </row>
    <row r="2509" spans="20:20" ht="18.75" customHeight="1" x14ac:dyDescent="0.35">
      <c r="T2509" s="246">
        <f t="shared" si="77"/>
        <v>0</v>
      </c>
    </row>
    <row r="2510" spans="20:20" ht="18.75" customHeight="1" x14ac:dyDescent="0.35">
      <c r="T2510" s="246">
        <f t="shared" si="77"/>
        <v>0</v>
      </c>
    </row>
    <row r="2511" spans="20:20" ht="18.75" customHeight="1" x14ac:dyDescent="0.35">
      <c r="T2511" s="246">
        <f t="shared" si="77"/>
        <v>0</v>
      </c>
    </row>
    <row r="2512" spans="20:20" ht="18.75" customHeight="1" x14ac:dyDescent="0.35">
      <c r="T2512" s="246">
        <f t="shared" si="77"/>
        <v>0</v>
      </c>
    </row>
    <row r="2513" spans="20:20" ht="18.75" customHeight="1" x14ac:dyDescent="0.35">
      <c r="T2513" s="246">
        <f t="shared" si="77"/>
        <v>0</v>
      </c>
    </row>
    <row r="2514" spans="20:20" ht="18.75" customHeight="1" x14ac:dyDescent="0.35">
      <c r="T2514" s="246">
        <f t="shared" si="77"/>
        <v>0</v>
      </c>
    </row>
    <row r="2515" spans="20:20" ht="18.75" customHeight="1" x14ac:dyDescent="0.35">
      <c r="T2515" s="246">
        <f t="shared" si="77"/>
        <v>0</v>
      </c>
    </row>
    <row r="2516" spans="20:20" ht="18.75" customHeight="1" x14ac:dyDescent="0.35">
      <c r="T2516" s="246">
        <f t="shared" si="77"/>
        <v>0</v>
      </c>
    </row>
    <row r="2517" spans="20:20" ht="18.75" customHeight="1" x14ac:dyDescent="0.35">
      <c r="T2517" s="246">
        <f t="shared" si="77"/>
        <v>0</v>
      </c>
    </row>
    <row r="2518" spans="20:20" ht="18.75" customHeight="1" x14ac:dyDescent="0.35">
      <c r="T2518" s="246">
        <f t="shared" si="77"/>
        <v>0</v>
      </c>
    </row>
    <row r="2519" spans="20:20" ht="18.75" customHeight="1" x14ac:dyDescent="0.35">
      <c r="T2519" s="246">
        <f t="shared" si="77"/>
        <v>0</v>
      </c>
    </row>
    <row r="2520" spans="20:20" ht="18.75" customHeight="1" x14ac:dyDescent="0.35">
      <c r="T2520" s="246">
        <f t="shared" si="77"/>
        <v>0</v>
      </c>
    </row>
    <row r="2521" spans="20:20" ht="18.75" customHeight="1" x14ac:dyDescent="0.35">
      <c r="T2521" s="246">
        <f t="shared" si="77"/>
        <v>0</v>
      </c>
    </row>
    <row r="2522" spans="20:20" ht="18.75" customHeight="1" x14ac:dyDescent="0.35">
      <c r="T2522" s="246">
        <f t="shared" si="77"/>
        <v>0</v>
      </c>
    </row>
    <row r="2523" spans="20:20" ht="18.75" customHeight="1" x14ac:dyDescent="0.35">
      <c r="T2523" s="246">
        <f t="shared" si="77"/>
        <v>0</v>
      </c>
    </row>
    <row r="2524" spans="20:20" ht="18.75" customHeight="1" x14ac:dyDescent="0.35">
      <c r="T2524" s="246">
        <f t="shared" si="77"/>
        <v>0</v>
      </c>
    </row>
    <row r="2525" spans="20:20" ht="18.75" customHeight="1" x14ac:dyDescent="0.35">
      <c r="T2525" s="246">
        <f t="shared" si="77"/>
        <v>0</v>
      </c>
    </row>
    <row r="2526" spans="20:20" ht="18.75" customHeight="1" x14ac:dyDescent="0.35">
      <c r="T2526" s="246">
        <f t="shared" si="77"/>
        <v>0</v>
      </c>
    </row>
    <row r="2527" spans="20:20" ht="18.75" customHeight="1" x14ac:dyDescent="0.35">
      <c r="T2527" s="246">
        <f t="shared" si="77"/>
        <v>0</v>
      </c>
    </row>
    <row r="2528" spans="20:20" ht="18.75" customHeight="1" x14ac:dyDescent="0.35">
      <c r="T2528" s="246">
        <f t="shared" si="77"/>
        <v>0</v>
      </c>
    </row>
    <row r="2529" spans="20:20" ht="18.75" customHeight="1" x14ac:dyDescent="0.35">
      <c r="T2529" s="246">
        <f t="shared" si="77"/>
        <v>0</v>
      </c>
    </row>
    <row r="2530" spans="20:20" ht="18.75" customHeight="1" x14ac:dyDescent="0.35">
      <c r="T2530" s="246">
        <f t="shared" si="77"/>
        <v>0</v>
      </c>
    </row>
    <row r="2531" spans="20:20" ht="18.75" customHeight="1" x14ac:dyDescent="0.35">
      <c r="T2531" s="246">
        <f t="shared" si="77"/>
        <v>0</v>
      </c>
    </row>
    <row r="2532" spans="20:20" ht="18.75" customHeight="1" x14ac:dyDescent="0.35">
      <c r="T2532" s="246">
        <f t="shared" si="77"/>
        <v>0</v>
      </c>
    </row>
    <row r="2533" spans="20:20" ht="18.75" customHeight="1" x14ac:dyDescent="0.35">
      <c r="T2533" s="246">
        <f t="shared" si="77"/>
        <v>0</v>
      </c>
    </row>
    <row r="2534" spans="20:20" ht="18.75" customHeight="1" x14ac:dyDescent="0.35">
      <c r="T2534" s="246">
        <f t="shared" si="77"/>
        <v>0</v>
      </c>
    </row>
    <row r="2535" spans="20:20" ht="18.75" customHeight="1" x14ac:dyDescent="0.35">
      <c r="T2535" s="246">
        <f t="shared" si="77"/>
        <v>0</v>
      </c>
    </row>
    <row r="2536" spans="20:20" ht="18.75" customHeight="1" x14ac:dyDescent="0.35">
      <c r="T2536" s="246">
        <f t="shared" si="77"/>
        <v>0</v>
      </c>
    </row>
    <row r="2537" spans="20:20" ht="18.75" customHeight="1" x14ac:dyDescent="0.35">
      <c r="T2537" s="246">
        <f t="shared" si="77"/>
        <v>0</v>
      </c>
    </row>
    <row r="2538" spans="20:20" ht="18.75" customHeight="1" x14ac:dyDescent="0.35">
      <c r="T2538" s="246">
        <f t="shared" si="77"/>
        <v>0</v>
      </c>
    </row>
    <row r="2539" spans="20:20" ht="18.75" customHeight="1" x14ac:dyDescent="0.35">
      <c r="T2539" s="246">
        <f t="shared" si="77"/>
        <v>0</v>
      </c>
    </row>
    <row r="2540" spans="20:20" ht="18.75" customHeight="1" x14ac:dyDescent="0.35">
      <c r="T2540" s="246">
        <f t="shared" si="77"/>
        <v>0</v>
      </c>
    </row>
    <row r="2541" spans="20:20" ht="18.75" customHeight="1" x14ac:dyDescent="0.35">
      <c r="T2541" s="246">
        <f t="shared" si="77"/>
        <v>0</v>
      </c>
    </row>
    <row r="2542" spans="20:20" ht="18.75" customHeight="1" x14ac:dyDescent="0.35">
      <c r="T2542" s="246">
        <f t="shared" si="77"/>
        <v>0</v>
      </c>
    </row>
    <row r="2543" spans="20:20" ht="18.75" customHeight="1" x14ac:dyDescent="0.35">
      <c r="T2543" s="246">
        <f t="shared" si="77"/>
        <v>0</v>
      </c>
    </row>
    <row r="2544" spans="20:20" ht="18.75" customHeight="1" x14ac:dyDescent="0.35">
      <c r="T2544" s="246">
        <f t="shared" si="77"/>
        <v>0</v>
      </c>
    </row>
    <row r="2545" spans="20:20" ht="18.75" customHeight="1" x14ac:dyDescent="0.35">
      <c r="T2545" s="246">
        <f t="shared" si="77"/>
        <v>0</v>
      </c>
    </row>
    <row r="2546" spans="20:20" ht="18.75" customHeight="1" x14ac:dyDescent="0.35">
      <c r="T2546" s="246">
        <f t="shared" si="77"/>
        <v>0</v>
      </c>
    </row>
    <row r="2547" spans="20:20" ht="18.75" customHeight="1" x14ac:dyDescent="0.35">
      <c r="T2547" s="246">
        <f t="shared" si="77"/>
        <v>0</v>
      </c>
    </row>
    <row r="2548" spans="20:20" ht="18.75" customHeight="1" x14ac:dyDescent="0.35">
      <c r="T2548" s="246">
        <f t="shared" si="77"/>
        <v>0</v>
      </c>
    </row>
    <row r="2549" spans="20:20" ht="18.75" customHeight="1" x14ac:dyDescent="0.35">
      <c r="T2549" s="246">
        <f t="shared" si="77"/>
        <v>0</v>
      </c>
    </row>
    <row r="2550" spans="20:20" ht="18.75" customHeight="1" x14ac:dyDescent="0.35">
      <c r="T2550" s="246">
        <f t="shared" si="77"/>
        <v>0</v>
      </c>
    </row>
    <row r="2551" spans="20:20" ht="18.75" customHeight="1" x14ac:dyDescent="0.35">
      <c r="T2551" s="246">
        <f t="shared" si="77"/>
        <v>0</v>
      </c>
    </row>
    <row r="2552" spans="20:20" ht="18.75" customHeight="1" x14ac:dyDescent="0.35">
      <c r="T2552" s="246">
        <f t="shared" si="77"/>
        <v>0</v>
      </c>
    </row>
    <row r="2553" spans="20:20" ht="18.75" customHeight="1" x14ac:dyDescent="0.35">
      <c r="T2553" s="246">
        <f t="shared" si="77"/>
        <v>0</v>
      </c>
    </row>
    <row r="2554" spans="20:20" ht="18.75" customHeight="1" x14ac:dyDescent="0.35">
      <c r="T2554" s="246">
        <f t="shared" si="77"/>
        <v>0</v>
      </c>
    </row>
    <row r="2555" spans="20:20" ht="18.75" customHeight="1" x14ac:dyDescent="0.35">
      <c r="T2555" s="246">
        <f t="shared" si="77"/>
        <v>0</v>
      </c>
    </row>
    <row r="2556" spans="20:20" ht="18.75" customHeight="1" x14ac:dyDescent="0.35">
      <c r="T2556" s="246">
        <f t="shared" ref="T2556:T2619" si="78">R2556*0.01</f>
        <v>0</v>
      </c>
    </row>
    <row r="2557" spans="20:20" ht="18.75" customHeight="1" x14ac:dyDescent="0.35">
      <c r="T2557" s="246">
        <f t="shared" si="78"/>
        <v>0</v>
      </c>
    </row>
    <row r="2558" spans="20:20" ht="18.75" customHeight="1" x14ac:dyDescent="0.35">
      <c r="T2558" s="246">
        <f t="shared" si="78"/>
        <v>0</v>
      </c>
    </row>
    <row r="2559" spans="20:20" ht="18.75" customHeight="1" x14ac:dyDescent="0.35">
      <c r="T2559" s="246">
        <f t="shared" si="78"/>
        <v>0</v>
      </c>
    </row>
    <row r="2560" spans="20:20" ht="18.75" customHeight="1" x14ac:dyDescent="0.35">
      <c r="T2560" s="246">
        <f t="shared" si="78"/>
        <v>0</v>
      </c>
    </row>
    <row r="2561" spans="20:20" ht="18.75" customHeight="1" x14ac:dyDescent="0.35">
      <c r="T2561" s="246">
        <f t="shared" si="78"/>
        <v>0</v>
      </c>
    </row>
    <row r="2562" spans="20:20" ht="18.75" customHeight="1" x14ac:dyDescent="0.35">
      <c r="T2562" s="246">
        <f t="shared" si="78"/>
        <v>0</v>
      </c>
    </row>
    <row r="2563" spans="20:20" ht="18.75" customHeight="1" x14ac:dyDescent="0.35">
      <c r="T2563" s="246">
        <f t="shared" si="78"/>
        <v>0</v>
      </c>
    </row>
    <row r="2564" spans="20:20" ht="18.75" customHeight="1" x14ac:dyDescent="0.35">
      <c r="T2564" s="246">
        <f t="shared" si="78"/>
        <v>0</v>
      </c>
    </row>
    <row r="2565" spans="20:20" ht="18.75" customHeight="1" x14ac:dyDescent="0.35">
      <c r="T2565" s="246">
        <f t="shared" si="78"/>
        <v>0</v>
      </c>
    </row>
    <row r="2566" spans="20:20" ht="18.75" customHeight="1" x14ac:dyDescent="0.35">
      <c r="T2566" s="246">
        <f t="shared" si="78"/>
        <v>0</v>
      </c>
    </row>
    <row r="2567" spans="20:20" ht="18.75" customHeight="1" x14ac:dyDescent="0.35">
      <c r="T2567" s="246">
        <f t="shared" si="78"/>
        <v>0</v>
      </c>
    </row>
    <row r="2568" spans="20:20" ht="18.75" customHeight="1" x14ac:dyDescent="0.35">
      <c r="T2568" s="246">
        <f t="shared" si="78"/>
        <v>0</v>
      </c>
    </row>
    <row r="2569" spans="20:20" ht="18.75" customHeight="1" x14ac:dyDescent="0.35">
      <c r="T2569" s="246">
        <f t="shared" si="78"/>
        <v>0</v>
      </c>
    </row>
    <row r="2570" spans="20:20" ht="18.75" customHeight="1" x14ac:dyDescent="0.35">
      <c r="T2570" s="246">
        <f t="shared" si="78"/>
        <v>0</v>
      </c>
    </row>
    <row r="2571" spans="20:20" ht="18.75" customHeight="1" x14ac:dyDescent="0.35">
      <c r="T2571" s="246">
        <f t="shared" si="78"/>
        <v>0</v>
      </c>
    </row>
    <row r="2572" spans="20:20" ht="18.75" customHeight="1" x14ac:dyDescent="0.35">
      <c r="T2572" s="246">
        <f t="shared" si="78"/>
        <v>0</v>
      </c>
    </row>
    <row r="2573" spans="20:20" ht="18.75" customHeight="1" x14ac:dyDescent="0.35">
      <c r="T2573" s="246">
        <f t="shared" si="78"/>
        <v>0</v>
      </c>
    </row>
    <row r="2574" spans="20:20" ht="18.75" customHeight="1" x14ac:dyDescent="0.35">
      <c r="T2574" s="246">
        <f t="shared" si="78"/>
        <v>0</v>
      </c>
    </row>
    <row r="2575" spans="20:20" ht="18.75" customHeight="1" x14ac:dyDescent="0.35">
      <c r="T2575" s="246">
        <f t="shared" si="78"/>
        <v>0</v>
      </c>
    </row>
    <row r="2576" spans="20:20" ht="18.75" customHeight="1" x14ac:dyDescent="0.35">
      <c r="T2576" s="246">
        <f t="shared" si="78"/>
        <v>0</v>
      </c>
    </row>
    <row r="2577" spans="20:20" ht="18.75" customHeight="1" x14ac:dyDescent="0.35">
      <c r="T2577" s="246">
        <f t="shared" si="78"/>
        <v>0</v>
      </c>
    </row>
    <row r="2578" spans="20:20" ht="18.75" customHeight="1" x14ac:dyDescent="0.35">
      <c r="T2578" s="246">
        <f t="shared" si="78"/>
        <v>0</v>
      </c>
    </row>
    <row r="2579" spans="20:20" ht="18.75" customHeight="1" x14ac:dyDescent="0.35">
      <c r="T2579" s="246">
        <f t="shared" si="78"/>
        <v>0</v>
      </c>
    </row>
    <row r="2580" spans="20:20" ht="18.75" customHeight="1" x14ac:dyDescent="0.35">
      <c r="T2580" s="246">
        <f t="shared" si="78"/>
        <v>0</v>
      </c>
    </row>
    <row r="2581" spans="20:20" ht="18.75" customHeight="1" x14ac:dyDescent="0.35">
      <c r="T2581" s="246">
        <f t="shared" si="78"/>
        <v>0</v>
      </c>
    </row>
    <row r="2582" spans="20:20" ht="18.75" customHeight="1" x14ac:dyDescent="0.35">
      <c r="T2582" s="246">
        <f t="shared" si="78"/>
        <v>0</v>
      </c>
    </row>
    <row r="2583" spans="20:20" ht="18.75" customHeight="1" x14ac:dyDescent="0.35">
      <c r="T2583" s="246">
        <f t="shared" si="78"/>
        <v>0</v>
      </c>
    </row>
    <row r="2584" spans="20:20" ht="18.75" customHeight="1" x14ac:dyDescent="0.35">
      <c r="T2584" s="246">
        <f t="shared" si="78"/>
        <v>0</v>
      </c>
    </row>
    <row r="2585" spans="20:20" ht="18.75" customHeight="1" x14ac:dyDescent="0.35">
      <c r="T2585" s="246">
        <f t="shared" si="78"/>
        <v>0</v>
      </c>
    </row>
    <row r="2586" spans="20:20" ht="18.75" customHeight="1" x14ac:dyDescent="0.35">
      <c r="T2586" s="246">
        <f t="shared" si="78"/>
        <v>0</v>
      </c>
    </row>
    <row r="2587" spans="20:20" ht="18.75" customHeight="1" x14ac:dyDescent="0.35">
      <c r="T2587" s="246">
        <f t="shared" si="78"/>
        <v>0</v>
      </c>
    </row>
    <row r="2588" spans="20:20" ht="18.75" customHeight="1" x14ac:dyDescent="0.35">
      <c r="T2588" s="246">
        <f t="shared" si="78"/>
        <v>0</v>
      </c>
    </row>
    <row r="2589" spans="20:20" ht="18.75" customHeight="1" x14ac:dyDescent="0.35">
      <c r="T2589" s="246">
        <f t="shared" si="78"/>
        <v>0</v>
      </c>
    </row>
    <row r="2590" spans="20:20" ht="18.75" customHeight="1" x14ac:dyDescent="0.35">
      <c r="T2590" s="246">
        <f t="shared" si="78"/>
        <v>0</v>
      </c>
    </row>
    <row r="2591" spans="20:20" ht="18.75" customHeight="1" x14ac:dyDescent="0.35">
      <c r="T2591" s="246">
        <f t="shared" si="78"/>
        <v>0</v>
      </c>
    </row>
    <row r="2592" spans="20:20" ht="18.75" customHeight="1" x14ac:dyDescent="0.35">
      <c r="T2592" s="246">
        <f t="shared" si="78"/>
        <v>0</v>
      </c>
    </row>
    <row r="2593" spans="20:20" ht="18.75" customHeight="1" x14ac:dyDescent="0.35">
      <c r="T2593" s="246">
        <f t="shared" si="78"/>
        <v>0</v>
      </c>
    </row>
    <row r="2594" spans="20:20" ht="18.75" customHeight="1" x14ac:dyDescent="0.35">
      <c r="T2594" s="246">
        <f t="shared" si="78"/>
        <v>0</v>
      </c>
    </row>
    <row r="2595" spans="20:20" ht="18.75" customHeight="1" x14ac:dyDescent="0.35">
      <c r="T2595" s="246">
        <f t="shared" si="78"/>
        <v>0</v>
      </c>
    </row>
    <row r="2596" spans="20:20" ht="18.75" customHeight="1" x14ac:dyDescent="0.35">
      <c r="T2596" s="246">
        <f t="shared" si="78"/>
        <v>0</v>
      </c>
    </row>
    <row r="2597" spans="20:20" ht="18.75" customHeight="1" x14ac:dyDescent="0.35">
      <c r="T2597" s="246">
        <f t="shared" si="78"/>
        <v>0</v>
      </c>
    </row>
    <row r="2598" spans="20:20" ht="18.75" customHeight="1" x14ac:dyDescent="0.35">
      <c r="T2598" s="246">
        <f t="shared" si="78"/>
        <v>0</v>
      </c>
    </row>
    <row r="2599" spans="20:20" ht="18.75" customHeight="1" x14ac:dyDescent="0.35">
      <c r="T2599" s="246">
        <f t="shared" si="78"/>
        <v>0</v>
      </c>
    </row>
    <row r="2600" spans="20:20" ht="18.75" customHeight="1" x14ac:dyDescent="0.35">
      <c r="T2600" s="246">
        <f t="shared" si="78"/>
        <v>0</v>
      </c>
    </row>
    <row r="2601" spans="20:20" ht="18.75" customHeight="1" x14ac:dyDescent="0.35">
      <c r="T2601" s="246">
        <f t="shared" si="78"/>
        <v>0</v>
      </c>
    </row>
    <row r="2602" spans="20:20" ht="18.75" customHeight="1" x14ac:dyDescent="0.35">
      <c r="T2602" s="246">
        <f t="shared" si="78"/>
        <v>0</v>
      </c>
    </row>
    <row r="2603" spans="20:20" ht="18.75" customHeight="1" x14ac:dyDescent="0.35">
      <c r="T2603" s="246">
        <f t="shared" si="78"/>
        <v>0</v>
      </c>
    </row>
    <row r="2604" spans="20:20" ht="18.75" customHeight="1" x14ac:dyDescent="0.35">
      <c r="T2604" s="246">
        <f t="shared" si="78"/>
        <v>0</v>
      </c>
    </row>
    <row r="2605" spans="20:20" ht="18.75" customHeight="1" x14ac:dyDescent="0.35">
      <c r="T2605" s="246">
        <f t="shared" si="78"/>
        <v>0</v>
      </c>
    </row>
    <row r="2606" spans="20:20" ht="18.75" customHeight="1" x14ac:dyDescent="0.35">
      <c r="T2606" s="246">
        <f t="shared" si="78"/>
        <v>0</v>
      </c>
    </row>
    <row r="2607" spans="20:20" ht="18.75" customHeight="1" x14ac:dyDescent="0.35">
      <c r="T2607" s="246">
        <f t="shared" si="78"/>
        <v>0</v>
      </c>
    </row>
    <row r="2608" spans="20:20" ht="18.75" customHeight="1" x14ac:dyDescent="0.35">
      <c r="T2608" s="246">
        <f t="shared" si="78"/>
        <v>0</v>
      </c>
    </row>
    <row r="2609" spans="20:20" ht="18.75" customHeight="1" x14ac:dyDescent="0.35">
      <c r="T2609" s="246">
        <f t="shared" si="78"/>
        <v>0</v>
      </c>
    </row>
    <row r="2610" spans="20:20" ht="18.75" customHeight="1" x14ac:dyDescent="0.35">
      <c r="T2610" s="246">
        <f t="shared" si="78"/>
        <v>0</v>
      </c>
    </row>
    <row r="2611" spans="20:20" ht="18.75" customHeight="1" x14ac:dyDescent="0.35">
      <c r="T2611" s="246">
        <f t="shared" si="78"/>
        <v>0</v>
      </c>
    </row>
    <row r="2612" spans="20:20" ht="18.75" customHeight="1" x14ac:dyDescent="0.35">
      <c r="T2612" s="246">
        <f t="shared" si="78"/>
        <v>0</v>
      </c>
    </row>
    <row r="2613" spans="20:20" ht="18.75" customHeight="1" x14ac:dyDescent="0.35">
      <c r="T2613" s="246">
        <f t="shared" si="78"/>
        <v>0</v>
      </c>
    </row>
    <row r="2614" spans="20:20" ht="18.75" customHeight="1" x14ac:dyDescent="0.35">
      <c r="T2614" s="246">
        <f t="shared" si="78"/>
        <v>0</v>
      </c>
    </row>
    <row r="2615" spans="20:20" ht="18.75" customHeight="1" x14ac:dyDescent="0.35">
      <c r="T2615" s="246">
        <f t="shared" si="78"/>
        <v>0</v>
      </c>
    </row>
    <row r="2616" spans="20:20" ht="18.75" customHeight="1" x14ac:dyDescent="0.35">
      <c r="T2616" s="246">
        <f t="shared" si="78"/>
        <v>0</v>
      </c>
    </row>
    <row r="2617" spans="20:20" ht="18.75" customHeight="1" x14ac:dyDescent="0.35">
      <c r="T2617" s="246">
        <f t="shared" si="78"/>
        <v>0</v>
      </c>
    </row>
    <row r="2618" spans="20:20" ht="18.75" customHeight="1" x14ac:dyDescent="0.35">
      <c r="T2618" s="246">
        <f t="shared" si="78"/>
        <v>0</v>
      </c>
    </row>
    <row r="2619" spans="20:20" ht="18.75" customHeight="1" x14ac:dyDescent="0.35">
      <c r="T2619" s="246">
        <f t="shared" si="78"/>
        <v>0</v>
      </c>
    </row>
    <row r="2620" spans="20:20" ht="18.75" customHeight="1" x14ac:dyDescent="0.35">
      <c r="T2620" s="246">
        <f t="shared" ref="T2620:T2683" si="79">R2620*0.01</f>
        <v>0</v>
      </c>
    </row>
    <row r="2621" spans="20:20" ht="18.75" customHeight="1" x14ac:dyDescent="0.35">
      <c r="T2621" s="246">
        <f t="shared" si="79"/>
        <v>0</v>
      </c>
    </row>
    <row r="2622" spans="20:20" ht="18.75" customHeight="1" x14ac:dyDescent="0.35">
      <c r="T2622" s="246">
        <f t="shared" si="79"/>
        <v>0</v>
      </c>
    </row>
    <row r="2623" spans="20:20" ht="18.75" customHeight="1" x14ac:dyDescent="0.35">
      <c r="T2623" s="246">
        <f t="shared" si="79"/>
        <v>0</v>
      </c>
    </row>
    <row r="2624" spans="20:20" ht="18.75" customHeight="1" x14ac:dyDescent="0.35">
      <c r="T2624" s="246">
        <f t="shared" si="79"/>
        <v>0</v>
      </c>
    </row>
    <row r="2625" spans="20:20" ht="18.75" customHeight="1" x14ac:dyDescent="0.35">
      <c r="T2625" s="246">
        <f t="shared" si="79"/>
        <v>0</v>
      </c>
    </row>
    <row r="2626" spans="20:20" ht="18.75" customHeight="1" x14ac:dyDescent="0.35">
      <c r="T2626" s="246">
        <f t="shared" si="79"/>
        <v>0</v>
      </c>
    </row>
    <row r="2627" spans="20:20" ht="18.75" customHeight="1" x14ac:dyDescent="0.35">
      <c r="T2627" s="246">
        <f t="shared" si="79"/>
        <v>0</v>
      </c>
    </row>
    <row r="2628" spans="20:20" ht="18.75" customHeight="1" x14ac:dyDescent="0.35">
      <c r="T2628" s="246">
        <f t="shared" si="79"/>
        <v>0</v>
      </c>
    </row>
    <row r="2629" spans="20:20" ht="18.75" customHeight="1" x14ac:dyDescent="0.35">
      <c r="T2629" s="246">
        <f t="shared" si="79"/>
        <v>0</v>
      </c>
    </row>
    <row r="2630" spans="20:20" ht="18.75" customHeight="1" x14ac:dyDescent="0.35">
      <c r="T2630" s="246">
        <f t="shared" si="79"/>
        <v>0</v>
      </c>
    </row>
    <row r="2631" spans="20:20" ht="18.75" customHeight="1" x14ac:dyDescent="0.35">
      <c r="T2631" s="246">
        <f t="shared" si="79"/>
        <v>0</v>
      </c>
    </row>
    <row r="2632" spans="20:20" ht="18.75" customHeight="1" x14ac:dyDescent="0.35">
      <c r="T2632" s="246">
        <f t="shared" si="79"/>
        <v>0</v>
      </c>
    </row>
    <row r="2633" spans="20:20" ht="18.75" customHeight="1" x14ac:dyDescent="0.35">
      <c r="T2633" s="246">
        <f t="shared" si="79"/>
        <v>0</v>
      </c>
    </row>
    <row r="2634" spans="20:20" ht="18.75" customHeight="1" x14ac:dyDescent="0.35">
      <c r="T2634" s="246">
        <f t="shared" si="79"/>
        <v>0</v>
      </c>
    </row>
    <row r="2635" spans="20:20" ht="18.75" customHeight="1" x14ac:dyDescent="0.35">
      <c r="T2635" s="246">
        <f t="shared" si="79"/>
        <v>0</v>
      </c>
    </row>
    <row r="2636" spans="20:20" ht="18.75" customHeight="1" x14ac:dyDescent="0.35">
      <c r="T2636" s="246">
        <f t="shared" si="79"/>
        <v>0</v>
      </c>
    </row>
    <row r="2637" spans="20:20" ht="18.75" customHeight="1" x14ac:dyDescent="0.35">
      <c r="T2637" s="246">
        <f t="shared" si="79"/>
        <v>0</v>
      </c>
    </row>
    <row r="2638" spans="20:20" ht="18.75" customHeight="1" x14ac:dyDescent="0.35">
      <c r="T2638" s="246">
        <f t="shared" si="79"/>
        <v>0</v>
      </c>
    </row>
    <row r="2639" spans="20:20" ht="18.75" customHeight="1" x14ac:dyDescent="0.35">
      <c r="T2639" s="246">
        <f t="shared" si="79"/>
        <v>0</v>
      </c>
    </row>
    <row r="2640" spans="20:20" ht="18.75" customHeight="1" x14ac:dyDescent="0.35">
      <c r="T2640" s="246">
        <f t="shared" si="79"/>
        <v>0</v>
      </c>
    </row>
    <row r="2641" spans="20:20" ht="18.75" customHeight="1" x14ac:dyDescent="0.35">
      <c r="T2641" s="246">
        <f t="shared" si="79"/>
        <v>0</v>
      </c>
    </row>
    <row r="2642" spans="20:20" ht="18.75" customHeight="1" x14ac:dyDescent="0.35">
      <c r="T2642" s="246">
        <f t="shared" si="79"/>
        <v>0</v>
      </c>
    </row>
    <row r="2643" spans="20:20" ht="18.75" customHeight="1" x14ac:dyDescent="0.35">
      <c r="T2643" s="246">
        <f t="shared" si="79"/>
        <v>0</v>
      </c>
    </row>
    <row r="2644" spans="20:20" ht="18.75" customHeight="1" x14ac:dyDescent="0.35">
      <c r="T2644" s="246">
        <f t="shared" si="79"/>
        <v>0</v>
      </c>
    </row>
    <row r="2645" spans="20:20" ht="18.75" customHeight="1" x14ac:dyDescent="0.35">
      <c r="T2645" s="246">
        <f t="shared" si="79"/>
        <v>0</v>
      </c>
    </row>
    <row r="2646" spans="20:20" ht="18.75" customHeight="1" x14ac:dyDescent="0.35">
      <c r="T2646" s="246">
        <f t="shared" si="79"/>
        <v>0</v>
      </c>
    </row>
    <row r="2647" spans="20:20" ht="18.75" customHeight="1" x14ac:dyDescent="0.35">
      <c r="T2647" s="246">
        <f t="shared" si="79"/>
        <v>0</v>
      </c>
    </row>
    <row r="2648" spans="20:20" ht="18.75" customHeight="1" x14ac:dyDescent="0.35">
      <c r="T2648" s="246">
        <f t="shared" si="79"/>
        <v>0</v>
      </c>
    </row>
    <row r="2649" spans="20:20" ht="18.75" customHeight="1" x14ac:dyDescent="0.35">
      <c r="T2649" s="246">
        <f t="shared" si="79"/>
        <v>0</v>
      </c>
    </row>
    <row r="2650" spans="20:20" ht="18.75" customHeight="1" x14ac:dyDescent="0.35">
      <c r="T2650" s="246">
        <f t="shared" si="79"/>
        <v>0</v>
      </c>
    </row>
    <row r="2651" spans="20:20" ht="18.75" customHeight="1" x14ac:dyDescent="0.35">
      <c r="T2651" s="246">
        <f t="shared" si="79"/>
        <v>0</v>
      </c>
    </row>
    <row r="2652" spans="20:20" ht="18.75" customHeight="1" x14ac:dyDescent="0.35">
      <c r="T2652" s="246">
        <f t="shared" si="79"/>
        <v>0</v>
      </c>
    </row>
    <row r="2653" spans="20:20" ht="18.75" customHeight="1" x14ac:dyDescent="0.35">
      <c r="T2653" s="246">
        <f t="shared" si="79"/>
        <v>0</v>
      </c>
    </row>
    <row r="2654" spans="20:20" ht="18.75" customHeight="1" x14ac:dyDescent="0.35">
      <c r="T2654" s="246">
        <f t="shared" si="79"/>
        <v>0</v>
      </c>
    </row>
    <row r="2655" spans="20:20" ht="18.75" customHeight="1" x14ac:dyDescent="0.35">
      <c r="T2655" s="246">
        <f t="shared" si="79"/>
        <v>0</v>
      </c>
    </row>
    <row r="2656" spans="20:20" ht="18.75" customHeight="1" x14ac:dyDescent="0.35">
      <c r="T2656" s="246">
        <f t="shared" si="79"/>
        <v>0</v>
      </c>
    </row>
    <row r="2657" spans="20:20" ht="18.75" customHeight="1" x14ac:dyDescent="0.35">
      <c r="T2657" s="246">
        <f t="shared" si="79"/>
        <v>0</v>
      </c>
    </row>
    <row r="2658" spans="20:20" ht="18.75" customHeight="1" x14ac:dyDescent="0.35">
      <c r="T2658" s="246">
        <f t="shared" si="79"/>
        <v>0</v>
      </c>
    </row>
    <row r="2659" spans="20:20" ht="18.75" customHeight="1" x14ac:dyDescent="0.35">
      <c r="T2659" s="246">
        <f t="shared" si="79"/>
        <v>0</v>
      </c>
    </row>
    <row r="2660" spans="20:20" ht="18.75" customHeight="1" x14ac:dyDescent="0.35">
      <c r="T2660" s="246">
        <f t="shared" si="79"/>
        <v>0</v>
      </c>
    </row>
    <row r="2661" spans="20:20" ht="18.75" customHeight="1" x14ac:dyDescent="0.35">
      <c r="T2661" s="246">
        <f t="shared" si="79"/>
        <v>0</v>
      </c>
    </row>
    <row r="2662" spans="20:20" ht="18.75" customHeight="1" x14ac:dyDescent="0.35">
      <c r="T2662" s="246">
        <f t="shared" si="79"/>
        <v>0</v>
      </c>
    </row>
    <row r="2663" spans="20:20" ht="18.75" customHeight="1" x14ac:dyDescent="0.35">
      <c r="T2663" s="246">
        <f t="shared" si="79"/>
        <v>0</v>
      </c>
    </row>
    <row r="2664" spans="20:20" ht="18.75" customHeight="1" x14ac:dyDescent="0.35">
      <c r="T2664" s="246">
        <f t="shared" si="79"/>
        <v>0</v>
      </c>
    </row>
    <row r="2665" spans="20:20" ht="18.75" customHeight="1" x14ac:dyDescent="0.35">
      <c r="T2665" s="246">
        <f t="shared" si="79"/>
        <v>0</v>
      </c>
    </row>
    <row r="2666" spans="20:20" ht="18.75" customHeight="1" x14ac:dyDescent="0.35">
      <c r="T2666" s="246">
        <f t="shared" si="79"/>
        <v>0</v>
      </c>
    </row>
    <row r="2667" spans="20:20" ht="18.75" customHeight="1" x14ac:dyDescent="0.35">
      <c r="T2667" s="246">
        <f t="shared" si="79"/>
        <v>0</v>
      </c>
    </row>
    <row r="2668" spans="20:20" ht="18.75" customHeight="1" x14ac:dyDescent="0.35">
      <c r="T2668" s="246">
        <f t="shared" si="79"/>
        <v>0</v>
      </c>
    </row>
    <row r="2669" spans="20:20" ht="18.75" customHeight="1" x14ac:dyDescent="0.35">
      <c r="T2669" s="246">
        <f t="shared" si="79"/>
        <v>0</v>
      </c>
    </row>
    <row r="2670" spans="20:20" ht="18.75" customHeight="1" x14ac:dyDescent="0.35">
      <c r="T2670" s="246">
        <f t="shared" si="79"/>
        <v>0</v>
      </c>
    </row>
    <row r="2671" spans="20:20" ht="18.75" customHeight="1" x14ac:dyDescent="0.35">
      <c r="T2671" s="246">
        <f t="shared" si="79"/>
        <v>0</v>
      </c>
    </row>
    <row r="2672" spans="20:20" ht="18.75" customHeight="1" x14ac:dyDescent="0.35">
      <c r="T2672" s="246">
        <f t="shared" si="79"/>
        <v>0</v>
      </c>
    </row>
    <row r="2673" spans="20:20" ht="18.75" customHeight="1" x14ac:dyDescent="0.35">
      <c r="T2673" s="246">
        <f t="shared" si="79"/>
        <v>0</v>
      </c>
    </row>
    <row r="2674" spans="20:20" ht="18.75" customHeight="1" x14ac:dyDescent="0.35">
      <c r="T2674" s="246">
        <f t="shared" si="79"/>
        <v>0</v>
      </c>
    </row>
    <row r="2675" spans="20:20" ht="18.75" customHeight="1" x14ac:dyDescent="0.35">
      <c r="T2675" s="246">
        <f t="shared" si="79"/>
        <v>0</v>
      </c>
    </row>
    <row r="2676" spans="20:20" ht="18.75" customHeight="1" x14ac:dyDescent="0.35">
      <c r="T2676" s="246">
        <f t="shared" si="79"/>
        <v>0</v>
      </c>
    </row>
    <row r="2677" spans="20:20" ht="18.75" customHeight="1" x14ac:dyDescent="0.35">
      <c r="T2677" s="246">
        <f t="shared" si="79"/>
        <v>0</v>
      </c>
    </row>
    <row r="2678" spans="20:20" ht="18.75" customHeight="1" x14ac:dyDescent="0.35">
      <c r="T2678" s="246">
        <f t="shared" si="79"/>
        <v>0</v>
      </c>
    </row>
    <row r="2679" spans="20:20" ht="18.75" customHeight="1" x14ac:dyDescent="0.35">
      <c r="T2679" s="246">
        <f t="shared" si="79"/>
        <v>0</v>
      </c>
    </row>
    <row r="2680" spans="20:20" ht="18.75" customHeight="1" x14ac:dyDescent="0.35">
      <c r="T2680" s="246">
        <f t="shared" si="79"/>
        <v>0</v>
      </c>
    </row>
    <row r="2681" spans="20:20" ht="18.75" customHeight="1" x14ac:dyDescent="0.35">
      <c r="T2681" s="246">
        <f t="shared" si="79"/>
        <v>0</v>
      </c>
    </row>
    <row r="2682" spans="20:20" ht="18.75" customHeight="1" x14ac:dyDescent="0.35">
      <c r="T2682" s="246">
        <f t="shared" si="79"/>
        <v>0</v>
      </c>
    </row>
    <row r="2683" spans="20:20" ht="18.75" customHeight="1" x14ac:dyDescent="0.35">
      <c r="T2683" s="246">
        <f t="shared" si="79"/>
        <v>0</v>
      </c>
    </row>
    <row r="2684" spans="20:20" ht="18.75" customHeight="1" x14ac:dyDescent="0.35">
      <c r="T2684" s="246">
        <f t="shared" ref="T2684:T2747" si="80">R2684*0.01</f>
        <v>0</v>
      </c>
    </row>
    <row r="2685" spans="20:20" ht="18.75" customHeight="1" x14ac:dyDescent="0.35">
      <c r="T2685" s="246">
        <f t="shared" si="80"/>
        <v>0</v>
      </c>
    </row>
    <row r="2686" spans="20:20" ht="18.75" customHeight="1" x14ac:dyDescent="0.35">
      <c r="T2686" s="246">
        <f t="shared" si="80"/>
        <v>0</v>
      </c>
    </row>
    <row r="2687" spans="20:20" ht="18.75" customHeight="1" x14ac:dyDescent="0.35">
      <c r="T2687" s="246">
        <f t="shared" si="80"/>
        <v>0</v>
      </c>
    </row>
    <row r="2688" spans="20:20" ht="18.75" customHeight="1" x14ac:dyDescent="0.35">
      <c r="T2688" s="246">
        <f t="shared" si="80"/>
        <v>0</v>
      </c>
    </row>
    <row r="2689" spans="20:20" ht="18.75" customHeight="1" x14ac:dyDescent="0.35">
      <c r="T2689" s="246">
        <f t="shared" si="80"/>
        <v>0</v>
      </c>
    </row>
    <row r="2690" spans="20:20" ht="18.75" customHeight="1" x14ac:dyDescent="0.35">
      <c r="T2690" s="246">
        <f t="shared" si="80"/>
        <v>0</v>
      </c>
    </row>
    <row r="2691" spans="20:20" ht="18.75" customHeight="1" x14ac:dyDescent="0.35">
      <c r="T2691" s="246">
        <f t="shared" si="80"/>
        <v>0</v>
      </c>
    </row>
    <row r="2692" spans="20:20" ht="18.75" customHeight="1" x14ac:dyDescent="0.35">
      <c r="T2692" s="246">
        <f t="shared" si="80"/>
        <v>0</v>
      </c>
    </row>
    <row r="2693" spans="20:20" ht="18.75" customHeight="1" x14ac:dyDescent="0.35">
      <c r="T2693" s="246">
        <f t="shared" si="80"/>
        <v>0</v>
      </c>
    </row>
    <row r="2694" spans="20:20" ht="18.75" customHeight="1" x14ac:dyDescent="0.35">
      <c r="T2694" s="246">
        <f t="shared" si="80"/>
        <v>0</v>
      </c>
    </row>
    <row r="2695" spans="20:20" ht="18.75" customHeight="1" x14ac:dyDescent="0.35">
      <c r="T2695" s="246">
        <f t="shared" si="80"/>
        <v>0</v>
      </c>
    </row>
    <row r="2696" spans="20:20" ht="18.75" customHeight="1" x14ac:dyDescent="0.35">
      <c r="T2696" s="246">
        <f t="shared" si="80"/>
        <v>0</v>
      </c>
    </row>
    <row r="2697" spans="20:20" ht="18.75" customHeight="1" x14ac:dyDescent="0.35">
      <c r="T2697" s="246">
        <f t="shared" si="80"/>
        <v>0</v>
      </c>
    </row>
    <row r="2698" spans="20:20" ht="18.75" customHeight="1" x14ac:dyDescent="0.35">
      <c r="T2698" s="246">
        <f t="shared" si="80"/>
        <v>0</v>
      </c>
    </row>
    <row r="2699" spans="20:20" ht="18.75" customHeight="1" x14ac:dyDescent="0.35">
      <c r="T2699" s="246">
        <f t="shared" si="80"/>
        <v>0</v>
      </c>
    </row>
    <row r="2700" spans="20:20" ht="18.75" customHeight="1" x14ac:dyDescent="0.35">
      <c r="T2700" s="246">
        <f t="shared" si="80"/>
        <v>0</v>
      </c>
    </row>
    <row r="2701" spans="20:20" ht="18.75" customHeight="1" x14ac:dyDescent="0.35">
      <c r="T2701" s="246">
        <f t="shared" si="80"/>
        <v>0</v>
      </c>
    </row>
    <row r="2702" spans="20:20" ht="18.75" customHeight="1" x14ac:dyDescent="0.35">
      <c r="T2702" s="246">
        <f t="shared" si="80"/>
        <v>0</v>
      </c>
    </row>
    <row r="2703" spans="20:20" ht="18.75" customHeight="1" x14ac:dyDescent="0.35">
      <c r="T2703" s="246">
        <f t="shared" si="80"/>
        <v>0</v>
      </c>
    </row>
    <row r="2704" spans="20:20" ht="18.75" customHeight="1" x14ac:dyDescent="0.35">
      <c r="T2704" s="246">
        <f t="shared" si="80"/>
        <v>0</v>
      </c>
    </row>
    <row r="2705" spans="20:20" ht="18.75" customHeight="1" x14ac:dyDescent="0.35">
      <c r="T2705" s="246">
        <f t="shared" si="80"/>
        <v>0</v>
      </c>
    </row>
    <row r="2706" spans="20:20" ht="18.75" customHeight="1" x14ac:dyDescent="0.35">
      <c r="T2706" s="246">
        <f t="shared" si="80"/>
        <v>0</v>
      </c>
    </row>
    <row r="2707" spans="20:20" ht="18.75" customHeight="1" x14ac:dyDescent="0.35">
      <c r="T2707" s="246">
        <f t="shared" si="80"/>
        <v>0</v>
      </c>
    </row>
    <row r="2708" spans="20:20" ht="18.75" customHeight="1" x14ac:dyDescent="0.35">
      <c r="T2708" s="246">
        <f t="shared" si="80"/>
        <v>0</v>
      </c>
    </row>
    <row r="2709" spans="20:20" ht="18.75" customHeight="1" x14ac:dyDescent="0.35">
      <c r="T2709" s="246">
        <f t="shared" si="80"/>
        <v>0</v>
      </c>
    </row>
    <row r="2710" spans="20:20" ht="18.75" customHeight="1" x14ac:dyDescent="0.35">
      <c r="T2710" s="246">
        <f t="shared" si="80"/>
        <v>0</v>
      </c>
    </row>
    <row r="2711" spans="20:20" ht="18.75" customHeight="1" x14ac:dyDescent="0.35">
      <c r="T2711" s="246">
        <f t="shared" si="80"/>
        <v>0</v>
      </c>
    </row>
    <row r="2712" spans="20:20" ht="18.75" customHeight="1" x14ac:dyDescent="0.35">
      <c r="T2712" s="246">
        <f t="shared" si="80"/>
        <v>0</v>
      </c>
    </row>
    <row r="2713" spans="20:20" ht="18.75" customHeight="1" x14ac:dyDescent="0.35">
      <c r="T2713" s="246">
        <f t="shared" si="80"/>
        <v>0</v>
      </c>
    </row>
    <row r="2714" spans="20:20" ht="18.75" customHeight="1" x14ac:dyDescent="0.35">
      <c r="T2714" s="246">
        <f t="shared" si="80"/>
        <v>0</v>
      </c>
    </row>
    <row r="2715" spans="20:20" ht="18.75" customHeight="1" x14ac:dyDescent="0.35">
      <c r="T2715" s="246">
        <f t="shared" si="80"/>
        <v>0</v>
      </c>
    </row>
    <row r="2716" spans="20:20" ht="18.75" customHeight="1" x14ac:dyDescent="0.35">
      <c r="T2716" s="246">
        <f t="shared" si="80"/>
        <v>0</v>
      </c>
    </row>
    <row r="2717" spans="20:20" ht="18.75" customHeight="1" x14ac:dyDescent="0.35">
      <c r="T2717" s="246">
        <f t="shared" si="80"/>
        <v>0</v>
      </c>
    </row>
    <row r="2718" spans="20:20" ht="18.75" customHeight="1" x14ac:dyDescent="0.35">
      <c r="T2718" s="246">
        <f t="shared" si="80"/>
        <v>0</v>
      </c>
    </row>
    <row r="2719" spans="20:20" ht="18.75" customHeight="1" x14ac:dyDescent="0.35">
      <c r="T2719" s="246">
        <f t="shared" si="80"/>
        <v>0</v>
      </c>
    </row>
    <row r="2720" spans="20:20" ht="18.75" customHeight="1" x14ac:dyDescent="0.35">
      <c r="T2720" s="246">
        <f t="shared" si="80"/>
        <v>0</v>
      </c>
    </row>
    <row r="2721" spans="20:20" ht="18.75" customHeight="1" x14ac:dyDescent="0.35">
      <c r="T2721" s="246">
        <f t="shared" si="80"/>
        <v>0</v>
      </c>
    </row>
    <row r="2722" spans="20:20" ht="18.75" customHeight="1" x14ac:dyDescent="0.35">
      <c r="T2722" s="246">
        <f t="shared" si="80"/>
        <v>0</v>
      </c>
    </row>
    <row r="2723" spans="20:20" ht="18.75" customHeight="1" x14ac:dyDescent="0.35">
      <c r="T2723" s="246">
        <f t="shared" si="80"/>
        <v>0</v>
      </c>
    </row>
    <row r="2724" spans="20:20" ht="18.75" customHeight="1" x14ac:dyDescent="0.35">
      <c r="T2724" s="246">
        <f t="shared" si="80"/>
        <v>0</v>
      </c>
    </row>
    <row r="2725" spans="20:20" ht="18.75" customHeight="1" x14ac:dyDescent="0.35">
      <c r="T2725" s="246">
        <f t="shared" si="80"/>
        <v>0</v>
      </c>
    </row>
    <row r="2726" spans="20:20" ht="18.75" customHeight="1" x14ac:dyDescent="0.35">
      <c r="T2726" s="246">
        <f t="shared" si="80"/>
        <v>0</v>
      </c>
    </row>
    <row r="2727" spans="20:20" ht="18.75" customHeight="1" x14ac:dyDescent="0.35">
      <c r="T2727" s="246">
        <f t="shared" si="80"/>
        <v>0</v>
      </c>
    </row>
    <row r="2728" spans="20:20" ht="18.75" customHeight="1" x14ac:dyDescent="0.35">
      <c r="T2728" s="246">
        <f t="shared" si="80"/>
        <v>0</v>
      </c>
    </row>
    <row r="2729" spans="20:20" ht="18.75" customHeight="1" x14ac:dyDescent="0.35">
      <c r="T2729" s="246">
        <f t="shared" si="80"/>
        <v>0</v>
      </c>
    </row>
    <row r="2730" spans="20:20" ht="18.75" customHeight="1" x14ac:dyDescent="0.35">
      <c r="T2730" s="246">
        <f t="shared" si="80"/>
        <v>0</v>
      </c>
    </row>
    <row r="2731" spans="20:20" ht="18.75" customHeight="1" x14ac:dyDescent="0.35">
      <c r="T2731" s="246">
        <f t="shared" si="80"/>
        <v>0</v>
      </c>
    </row>
    <row r="2732" spans="20:20" ht="18.75" customHeight="1" x14ac:dyDescent="0.35">
      <c r="T2732" s="246">
        <f t="shared" si="80"/>
        <v>0</v>
      </c>
    </row>
    <row r="2733" spans="20:20" ht="18.75" customHeight="1" x14ac:dyDescent="0.35">
      <c r="T2733" s="246">
        <f t="shared" si="80"/>
        <v>0</v>
      </c>
    </row>
    <row r="2734" spans="20:20" ht="18.75" customHeight="1" x14ac:dyDescent="0.35">
      <c r="T2734" s="246">
        <f t="shared" si="80"/>
        <v>0</v>
      </c>
    </row>
    <row r="2735" spans="20:20" ht="18.75" customHeight="1" x14ac:dyDescent="0.35">
      <c r="T2735" s="246">
        <f t="shared" si="80"/>
        <v>0</v>
      </c>
    </row>
    <row r="2736" spans="20:20" ht="18.75" customHeight="1" x14ac:dyDescent="0.35">
      <c r="T2736" s="246">
        <f t="shared" si="80"/>
        <v>0</v>
      </c>
    </row>
    <row r="2737" spans="20:20" ht="18.75" customHeight="1" x14ac:dyDescent="0.35">
      <c r="T2737" s="246">
        <f t="shared" si="80"/>
        <v>0</v>
      </c>
    </row>
    <row r="2738" spans="20:20" ht="18.75" customHeight="1" x14ac:dyDescent="0.35">
      <c r="T2738" s="246">
        <f t="shared" si="80"/>
        <v>0</v>
      </c>
    </row>
    <row r="2739" spans="20:20" ht="18.75" customHeight="1" x14ac:dyDescent="0.35">
      <c r="T2739" s="246">
        <f t="shared" si="80"/>
        <v>0</v>
      </c>
    </row>
    <row r="2740" spans="20:20" ht="18.75" customHeight="1" x14ac:dyDescent="0.35">
      <c r="T2740" s="246">
        <f t="shared" si="80"/>
        <v>0</v>
      </c>
    </row>
    <row r="2741" spans="20:20" ht="18.75" customHeight="1" x14ac:dyDescent="0.35">
      <c r="T2741" s="246">
        <f t="shared" si="80"/>
        <v>0</v>
      </c>
    </row>
    <row r="2742" spans="20:20" ht="18.75" customHeight="1" x14ac:dyDescent="0.35">
      <c r="T2742" s="246">
        <f t="shared" si="80"/>
        <v>0</v>
      </c>
    </row>
    <row r="2743" spans="20:20" ht="18.75" customHeight="1" x14ac:dyDescent="0.35">
      <c r="T2743" s="246">
        <f t="shared" si="80"/>
        <v>0</v>
      </c>
    </row>
    <row r="2744" spans="20:20" ht="18.75" customHeight="1" x14ac:dyDescent="0.35">
      <c r="T2744" s="246">
        <f t="shared" si="80"/>
        <v>0</v>
      </c>
    </row>
    <row r="2745" spans="20:20" ht="18.75" customHeight="1" x14ac:dyDescent="0.35">
      <c r="T2745" s="246">
        <f t="shared" si="80"/>
        <v>0</v>
      </c>
    </row>
    <row r="2746" spans="20:20" ht="18.75" customHeight="1" x14ac:dyDescent="0.35">
      <c r="T2746" s="246">
        <f t="shared" si="80"/>
        <v>0</v>
      </c>
    </row>
    <row r="2747" spans="20:20" ht="18.75" customHeight="1" x14ac:dyDescent="0.35">
      <c r="T2747" s="246">
        <f t="shared" si="80"/>
        <v>0</v>
      </c>
    </row>
    <row r="2748" spans="20:20" ht="18.75" customHeight="1" x14ac:dyDescent="0.35">
      <c r="T2748" s="246">
        <f t="shared" ref="T2748:T2811" si="81">R2748*0.01</f>
        <v>0</v>
      </c>
    </row>
    <row r="2749" spans="20:20" ht="18.75" customHeight="1" x14ac:dyDescent="0.35">
      <c r="T2749" s="246">
        <f t="shared" si="81"/>
        <v>0</v>
      </c>
    </row>
    <row r="2750" spans="20:20" ht="18.75" customHeight="1" x14ac:dyDescent="0.35">
      <c r="T2750" s="246">
        <f t="shared" si="81"/>
        <v>0</v>
      </c>
    </row>
    <row r="2751" spans="20:20" ht="18.75" customHeight="1" x14ac:dyDescent="0.35">
      <c r="T2751" s="246">
        <f t="shared" si="81"/>
        <v>0</v>
      </c>
    </row>
    <row r="2752" spans="20:20" ht="18.75" customHeight="1" x14ac:dyDescent="0.35">
      <c r="T2752" s="246">
        <f t="shared" si="81"/>
        <v>0</v>
      </c>
    </row>
    <row r="2753" spans="20:20" ht="18.75" customHeight="1" x14ac:dyDescent="0.35">
      <c r="T2753" s="246">
        <f t="shared" si="81"/>
        <v>0</v>
      </c>
    </row>
    <row r="2754" spans="20:20" ht="18.75" customHeight="1" x14ac:dyDescent="0.35">
      <c r="T2754" s="246">
        <f t="shared" si="81"/>
        <v>0</v>
      </c>
    </row>
    <row r="2755" spans="20:20" ht="18.75" customHeight="1" x14ac:dyDescent="0.35">
      <c r="T2755" s="246">
        <f t="shared" si="81"/>
        <v>0</v>
      </c>
    </row>
    <row r="2756" spans="20:20" ht="18.75" customHeight="1" x14ac:dyDescent="0.35">
      <c r="T2756" s="246">
        <f t="shared" si="81"/>
        <v>0</v>
      </c>
    </row>
    <row r="2757" spans="20:20" ht="18.75" customHeight="1" x14ac:dyDescent="0.35">
      <c r="T2757" s="246">
        <f t="shared" si="81"/>
        <v>0</v>
      </c>
    </row>
    <row r="2758" spans="20:20" ht="18.75" customHeight="1" x14ac:dyDescent="0.35">
      <c r="T2758" s="246">
        <f t="shared" si="81"/>
        <v>0</v>
      </c>
    </row>
    <row r="2759" spans="20:20" ht="18.75" customHeight="1" x14ac:dyDescent="0.35">
      <c r="T2759" s="246">
        <f t="shared" si="81"/>
        <v>0</v>
      </c>
    </row>
    <row r="2760" spans="20:20" ht="18.75" customHeight="1" x14ac:dyDescent="0.35">
      <c r="T2760" s="246">
        <f t="shared" si="81"/>
        <v>0</v>
      </c>
    </row>
    <row r="2761" spans="20:20" ht="18.75" customHeight="1" x14ac:dyDescent="0.35">
      <c r="T2761" s="246">
        <f t="shared" si="81"/>
        <v>0</v>
      </c>
    </row>
    <row r="2762" spans="20:20" ht="18.75" customHeight="1" x14ac:dyDescent="0.35">
      <c r="T2762" s="246">
        <f t="shared" si="81"/>
        <v>0</v>
      </c>
    </row>
    <row r="2763" spans="20:20" ht="18.75" customHeight="1" x14ac:dyDescent="0.35">
      <c r="T2763" s="246">
        <f t="shared" si="81"/>
        <v>0</v>
      </c>
    </row>
    <row r="2764" spans="20:20" ht="18.75" customHeight="1" x14ac:dyDescent="0.35">
      <c r="T2764" s="246">
        <f t="shared" si="81"/>
        <v>0</v>
      </c>
    </row>
    <row r="2765" spans="20:20" ht="18.75" customHeight="1" x14ac:dyDescent="0.35">
      <c r="T2765" s="246">
        <f t="shared" si="81"/>
        <v>0</v>
      </c>
    </row>
    <row r="2766" spans="20:20" ht="18.75" customHeight="1" x14ac:dyDescent="0.35">
      <c r="T2766" s="246">
        <f t="shared" si="81"/>
        <v>0</v>
      </c>
    </row>
    <row r="2767" spans="20:20" ht="18.75" customHeight="1" x14ac:dyDescent="0.35">
      <c r="T2767" s="246">
        <f t="shared" si="81"/>
        <v>0</v>
      </c>
    </row>
    <row r="2768" spans="20:20" ht="18.75" customHeight="1" x14ac:dyDescent="0.35">
      <c r="T2768" s="246">
        <f t="shared" si="81"/>
        <v>0</v>
      </c>
    </row>
    <row r="2769" spans="20:20" ht="18.75" customHeight="1" x14ac:dyDescent="0.35">
      <c r="T2769" s="246">
        <f t="shared" si="81"/>
        <v>0</v>
      </c>
    </row>
    <row r="2770" spans="20:20" ht="18.75" customHeight="1" x14ac:dyDescent="0.35">
      <c r="T2770" s="246">
        <f t="shared" si="81"/>
        <v>0</v>
      </c>
    </row>
    <row r="2771" spans="20:20" ht="18.75" customHeight="1" x14ac:dyDescent="0.35">
      <c r="T2771" s="246">
        <f t="shared" si="81"/>
        <v>0</v>
      </c>
    </row>
    <row r="2772" spans="20:20" ht="18.75" customHeight="1" x14ac:dyDescent="0.35">
      <c r="T2772" s="246">
        <f t="shared" si="81"/>
        <v>0</v>
      </c>
    </row>
    <row r="2773" spans="20:20" ht="18.75" customHeight="1" x14ac:dyDescent="0.35">
      <c r="T2773" s="246">
        <f t="shared" si="81"/>
        <v>0</v>
      </c>
    </row>
    <row r="2774" spans="20:20" ht="18.75" customHeight="1" x14ac:dyDescent="0.35">
      <c r="T2774" s="246">
        <f t="shared" si="81"/>
        <v>0</v>
      </c>
    </row>
    <row r="2775" spans="20:20" ht="18.75" customHeight="1" x14ac:dyDescent="0.35">
      <c r="T2775" s="246">
        <f t="shared" si="81"/>
        <v>0</v>
      </c>
    </row>
    <row r="2776" spans="20:20" ht="18.75" customHeight="1" x14ac:dyDescent="0.35">
      <c r="T2776" s="246">
        <f t="shared" si="81"/>
        <v>0</v>
      </c>
    </row>
    <row r="2777" spans="20:20" ht="18.75" customHeight="1" x14ac:dyDescent="0.35">
      <c r="T2777" s="246">
        <f t="shared" si="81"/>
        <v>0</v>
      </c>
    </row>
    <row r="2778" spans="20:20" ht="18.75" customHeight="1" x14ac:dyDescent="0.35">
      <c r="T2778" s="246">
        <f t="shared" si="81"/>
        <v>0</v>
      </c>
    </row>
    <row r="2779" spans="20:20" ht="18.75" customHeight="1" x14ac:dyDescent="0.35">
      <c r="T2779" s="246">
        <f t="shared" si="81"/>
        <v>0</v>
      </c>
    </row>
    <row r="2780" spans="20:20" ht="18.75" customHeight="1" x14ac:dyDescent="0.35">
      <c r="T2780" s="246">
        <f t="shared" si="81"/>
        <v>0</v>
      </c>
    </row>
    <row r="2781" spans="20:20" ht="18.75" customHeight="1" x14ac:dyDescent="0.35">
      <c r="T2781" s="246">
        <f t="shared" si="81"/>
        <v>0</v>
      </c>
    </row>
    <row r="2782" spans="20:20" ht="18.75" customHeight="1" x14ac:dyDescent="0.35">
      <c r="T2782" s="246">
        <f t="shared" si="81"/>
        <v>0</v>
      </c>
    </row>
    <row r="2783" spans="20:20" ht="18.75" customHeight="1" x14ac:dyDescent="0.35">
      <c r="T2783" s="246">
        <f t="shared" si="81"/>
        <v>0</v>
      </c>
    </row>
    <row r="2784" spans="20:20" ht="18.75" customHeight="1" x14ac:dyDescent="0.35">
      <c r="T2784" s="246">
        <f t="shared" si="81"/>
        <v>0</v>
      </c>
    </row>
    <row r="2785" spans="20:20" ht="18.75" customHeight="1" x14ac:dyDescent="0.35">
      <c r="T2785" s="246">
        <f t="shared" si="81"/>
        <v>0</v>
      </c>
    </row>
    <row r="2786" spans="20:20" ht="18.75" customHeight="1" x14ac:dyDescent="0.35">
      <c r="T2786" s="246">
        <f t="shared" si="81"/>
        <v>0</v>
      </c>
    </row>
    <row r="2787" spans="20:20" ht="18.75" customHeight="1" x14ac:dyDescent="0.35">
      <c r="T2787" s="246">
        <f t="shared" si="81"/>
        <v>0</v>
      </c>
    </row>
    <row r="2788" spans="20:20" ht="18.75" customHeight="1" x14ac:dyDescent="0.35">
      <c r="T2788" s="246">
        <f t="shared" si="81"/>
        <v>0</v>
      </c>
    </row>
    <row r="2789" spans="20:20" ht="18.75" customHeight="1" x14ac:dyDescent="0.35">
      <c r="T2789" s="246">
        <f t="shared" si="81"/>
        <v>0</v>
      </c>
    </row>
    <row r="2790" spans="20:20" ht="18.75" customHeight="1" x14ac:dyDescent="0.35">
      <c r="T2790" s="246">
        <f t="shared" si="81"/>
        <v>0</v>
      </c>
    </row>
    <row r="2791" spans="20:20" ht="18.75" customHeight="1" x14ac:dyDescent="0.35">
      <c r="T2791" s="246">
        <f t="shared" si="81"/>
        <v>0</v>
      </c>
    </row>
    <row r="2792" spans="20:20" ht="18.75" customHeight="1" x14ac:dyDescent="0.35">
      <c r="T2792" s="246">
        <f t="shared" si="81"/>
        <v>0</v>
      </c>
    </row>
    <row r="2793" spans="20:20" ht="18.75" customHeight="1" x14ac:dyDescent="0.35">
      <c r="T2793" s="246">
        <f t="shared" si="81"/>
        <v>0</v>
      </c>
    </row>
    <row r="2794" spans="20:20" ht="18.75" customHeight="1" x14ac:dyDescent="0.35">
      <c r="T2794" s="246">
        <f t="shared" si="81"/>
        <v>0</v>
      </c>
    </row>
    <row r="2795" spans="20:20" ht="18.75" customHeight="1" x14ac:dyDescent="0.35">
      <c r="T2795" s="246">
        <f t="shared" si="81"/>
        <v>0</v>
      </c>
    </row>
    <row r="2796" spans="20:20" ht="18.75" customHeight="1" x14ac:dyDescent="0.35">
      <c r="T2796" s="246">
        <f t="shared" si="81"/>
        <v>0</v>
      </c>
    </row>
    <row r="2797" spans="20:20" ht="18.75" customHeight="1" x14ac:dyDescent="0.35">
      <c r="T2797" s="246">
        <f t="shared" si="81"/>
        <v>0</v>
      </c>
    </row>
    <row r="2798" spans="20:20" ht="18.75" customHeight="1" x14ac:dyDescent="0.35">
      <c r="T2798" s="246">
        <f t="shared" si="81"/>
        <v>0</v>
      </c>
    </row>
    <row r="2799" spans="20:20" ht="18.75" customHeight="1" x14ac:dyDescent="0.35">
      <c r="T2799" s="246">
        <f t="shared" si="81"/>
        <v>0</v>
      </c>
    </row>
    <row r="2800" spans="20:20" ht="18.75" customHeight="1" x14ac:dyDescent="0.35">
      <c r="T2800" s="246">
        <f t="shared" si="81"/>
        <v>0</v>
      </c>
    </row>
    <row r="2801" spans="20:20" ht="18.75" customHeight="1" x14ac:dyDescent="0.35">
      <c r="T2801" s="246">
        <f t="shared" si="81"/>
        <v>0</v>
      </c>
    </row>
    <row r="2802" spans="20:20" ht="18.75" customHeight="1" x14ac:dyDescent="0.35">
      <c r="T2802" s="246">
        <f t="shared" si="81"/>
        <v>0</v>
      </c>
    </row>
    <row r="2803" spans="20:20" ht="18.75" customHeight="1" x14ac:dyDescent="0.35">
      <c r="T2803" s="246">
        <f t="shared" si="81"/>
        <v>0</v>
      </c>
    </row>
    <row r="2804" spans="20:20" ht="18.75" customHeight="1" x14ac:dyDescent="0.35">
      <c r="T2804" s="246">
        <f t="shared" si="81"/>
        <v>0</v>
      </c>
    </row>
    <row r="2805" spans="20:20" ht="18.75" customHeight="1" x14ac:dyDescent="0.35">
      <c r="T2805" s="246">
        <f t="shared" si="81"/>
        <v>0</v>
      </c>
    </row>
    <row r="2806" spans="20:20" ht="18.75" customHeight="1" x14ac:dyDescent="0.35">
      <c r="T2806" s="246">
        <f t="shared" si="81"/>
        <v>0</v>
      </c>
    </row>
    <row r="2807" spans="20:20" ht="18.75" customHeight="1" x14ac:dyDescent="0.35">
      <c r="T2807" s="246">
        <f t="shared" si="81"/>
        <v>0</v>
      </c>
    </row>
    <row r="2808" spans="20:20" ht="18.75" customHeight="1" x14ac:dyDescent="0.35">
      <c r="T2808" s="246">
        <f t="shared" si="81"/>
        <v>0</v>
      </c>
    </row>
    <row r="2809" spans="20:20" ht="18.75" customHeight="1" x14ac:dyDescent="0.35">
      <c r="T2809" s="246">
        <f t="shared" si="81"/>
        <v>0</v>
      </c>
    </row>
    <row r="2810" spans="20:20" ht="18.75" customHeight="1" x14ac:dyDescent="0.35">
      <c r="T2810" s="246">
        <f t="shared" si="81"/>
        <v>0</v>
      </c>
    </row>
    <row r="2811" spans="20:20" ht="18.75" customHeight="1" x14ac:dyDescent="0.35">
      <c r="T2811" s="246">
        <f t="shared" si="81"/>
        <v>0</v>
      </c>
    </row>
    <row r="2812" spans="20:20" ht="18.75" customHeight="1" x14ac:dyDescent="0.35">
      <c r="T2812" s="246">
        <f t="shared" ref="T2812:T2875" si="82">R2812*0.01</f>
        <v>0</v>
      </c>
    </row>
    <row r="2813" spans="20:20" ht="18.75" customHeight="1" x14ac:dyDescent="0.35">
      <c r="T2813" s="246">
        <f t="shared" si="82"/>
        <v>0</v>
      </c>
    </row>
    <row r="2814" spans="20:20" ht="18.75" customHeight="1" x14ac:dyDescent="0.35">
      <c r="T2814" s="246">
        <f t="shared" si="82"/>
        <v>0</v>
      </c>
    </row>
    <row r="2815" spans="20:20" ht="18.75" customHeight="1" x14ac:dyDescent="0.35">
      <c r="T2815" s="246">
        <f t="shared" si="82"/>
        <v>0</v>
      </c>
    </row>
    <row r="2816" spans="20:20" ht="18.75" customHeight="1" x14ac:dyDescent="0.35">
      <c r="T2816" s="246">
        <f t="shared" si="82"/>
        <v>0</v>
      </c>
    </row>
    <row r="2817" spans="20:20" ht="18.75" customHeight="1" x14ac:dyDescent="0.35">
      <c r="T2817" s="246">
        <f t="shared" si="82"/>
        <v>0</v>
      </c>
    </row>
    <row r="2818" spans="20:20" ht="18.75" customHeight="1" x14ac:dyDescent="0.35">
      <c r="T2818" s="246">
        <f t="shared" si="82"/>
        <v>0</v>
      </c>
    </row>
    <row r="2819" spans="20:20" ht="18.75" customHeight="1" x14ac:dyDescent="0.35">
      <c r="T2819" s="246">
        <f t="shared" si="82"/>
        <v>0</v>
      </c>
    </row>
    <row r="2820" spans="20:20" ht="18.75" customHeight="1" x14ac:dyDescent="0.35">
      <c r="T2820" s="246">
        <f t="shared" si="82"/>
        <v>0</v>
      </c>
    </row>
    <row r="2821" spans="20:20" ht="18.75" customHeight="1" x14ac:dyDescent="0.35">
      <c r="T2821" s="246">
        <f t="shared" si="82"/>
        <v>0</v>
      </c>
    </row>
    <row r="2822" spans="20:20" ht="18.75" customHeight="1" x14ac:dyDescent="0.35">
      <c r="T2822" s="246">
        <f t="shared" si="82"/>
        <v>0</v>
      </c>
    </row>
    <row r="2823" spans="20:20" ht="18.75" customHeight="1" x14ac:dyDescent="0.35">
      <c r="T2823" s="246">
        <f t="shared" si="82"/>
        <v>0</v>
      </c>
    </row>
    <row r="2824" spans="20:20" ht="18.75" customHeight="1" x14ac:dyDescent="0.35">
      <c r="T2824" s="246">
        <f t="shared" si="82"/>
        <v>0</v>
      </c>
    </row>
    <row r="2825" spans="20:20" ht="18.75" customHeight="1" x14ac:dyDescent="0.35">
      <c r="T2825" s="246">
        <f t="shared" si="82"/>
        <v>0</v>
      </c>
    </row>
    <row r="2826" spans="20:20" ht="18.75" customHeight="1" x14ac:dyDescent="0.35">
      <c r="T2826" s="246">
        <f t="shared" si="82"/>
        <v>0</v>
      </c>
    </row>
    <row r="2827" spans="20:20" ht="18.75" customHeight="1" x14ac:dyDescent="0.35">
      <c r="T2827" s="246">
        <f t="shared" si="82"/>
        <v>0</v>
      </c>
    </row>
    <row r="2828" spans="20:20" ht="18.75" customHeight="1" x14ac:dyDescent="0.35">
      <c r="T2828" s="246">
        <f t="shared" si="82"/>
        <v>0</v>
      </c>
    </row>
    <row r="2829" spans="20:20" ht="18.75" customHeight="1" x14ac:dyDescent="0.35">
      <c r="T2829" s="246">
        <f t="shared" si="82"/>
        <v>0</v>
      </c>
    </row>
    <row r="2830" spans="20:20" ht="18.75" customHeight="1" x14ac:dyDescent="0.35">
      <c r="T2830" s="246">
        <f t="shared" si="82"/>
        <v>0</v>
      </c>
    </row>
    <row r="2831" spans="20:20" ht="18.75" customHeight="1" x14ac:dyDescent="0.35">
      <c r="T2831" s="246">
        <f t="shared" si="82"/>
        <v>0</v>
      </c>
    </row>
    <row r="2832" spans="20:20" ht="18.75" customHeight="1" x14ac:dyDescent="0.35">
      <c r="T2832" s="246">
        <f t="shared" si="82"/>
        <v>0</v>
      </c>
    </row>
    <row r="2833" spans="20:20" ht="18.75" customHeight="1" x14ac:dyDescent="0.35">
      <c r="T2833" s="246">
        <f t="shared" si="82"/>
        <v>0</v>
      </c>
    </row>
    <row r="2834" spans="20:20" ht="18.75" customHeight="1" x14ac:dyDescent="0.35">
      <c r="T2834" s="246">
        <f t="shared" si="82"/>
        <v>0</v>
      </c>
    </row>
    <row r="2835" spans="20:20" ht="18.75" customHeight="1" x14ac:dyDescent="0.35">
      <c r="T2835" s="246">
        <f t="shared" si="82"/>
        <v>0</v>
      </c>
    </row>
    <row r="2836" spans="20:20" ht="18.75" customHeight="1" x14ac:dyDescent="0.35">
      <c r="T2836" s="246">
        <f t="shared" si="82"/>
        <v>0</v>
      </c>
    </row>
    <row r="2837" spans="20:20" ht="18.75" customHeight="1" x14ac:dyDescent="0.35">
      <c r="T2837" s="246">
        <f t="shared" si="82"/>
        <v>0</v>
      </c>
    </row>
    <row r="2838" spans="20:20" ht="18.75" customHeight="1" x14ac:dyDescent="0.35">
      <c r="T2838" s="246">
        <f t="shared" si="82"/>
        <v>0</v>
      </c>
    </row>
    <row r="2839" spans="20:20" ht="18.75" customHeight="1" x14ac:dyDescent="0.35">
      <c r="T2839" s="246">
        <f t="shared" si="82"/>
        <v>0</v>
      </c>
    </row>
    <row r="2840" spans="20:20" ht="18.75" customHeight="1" x14ac:dyDescent="0.35">
      <c r="T2840" s="246">
        <f t="shared" si="82"/>
        <v>0</v>
      </c>
    </row>
    <row r="2841" spans="20:20" ht="18.75" customHeight="1" x14ac:dyDescent="0.35">
      <c r="T2841" s="246">
        <f t="shared" si="82"/>
        <v>0</v>
      </c>
    </row>
    <row r="2842" spans="20:20" ht="18.75" customHeight="1" x14ac:dyDescent="0.35">
      <c r="T2842" s="246">
        <f t="shared" si="82"/>
        <v>0</v>
      </c>
    </row>
    <row r="2843" spans="20:20" ht="18.75" customHeight="1" x14ac:dyDescent="0.35">
      <c r="T2843" s="246">
        <f t="shared" si="82"/>
        <v>0</v>
      </c>
    </row>
    <row r="2844" spans="20:20" ht="18.75" customHeight="1" x14ac:dyDescent="0.35">
      <c r="T2844" s="246">
        <f t="shared" si="82"/>
        <v>0</v>
      </c>
    </row>
    <row r="2845" spans="20:20" ht="18.75" customHeight="1" x14ac:dyDescent="0.35">
      <c r="T2845" s="246">
        <f t="shared" si="82"/>
        <v>0</v>
      </c>
    </row>
    <row r="2846" spans="20:20" ht="18.75" customHeight="1" x14ac:dyDescent="0.35">
      <c r="T2846" s="246">
        <f t="shared" si="82"/>
        <v>0</v>
      </c>
    </row>
    <row r="2847" spans="20:20" ht="18.75" customHeight="1" x14ac:dyDescent="0.35">
      <c r="T2847" s="246">
        <f t="shared" si="82"/>
        <v>0</v>
      </c>
    </row>
    <row r="2848" spans="20:20" ht="18.75" customHeight="1" x14ac:dyDescent="0.35">
      <c r="T2848" s="246">
        <f t="shared" si="82"/>
        <v>0</v>
      </c>
    </row>
    <row r="2849" spans="20:20" ht="18.75" customHeight="1" x14ac:dyDescent="0.35">
      <c r="T2849" s="246">
        <f t="shared" si="82"/>
        <v>0</v>
      </c>
    </row>
    <row r="2850" spans="20:20" ht="18.75" customHeight="1" x14ac:dyDescent="0.35">
      <c r="T2850" s="246">
        <f t="shared" si="82"/>
        <v>0</v>
      </c>
    </row>
    <row r="2851" spans="20:20" ht="18.75" customHeight="1" x14ac:dyDescent="0.35">
      <c r="T2851" s="246">
        <f t="shared" si="82"/>
        <v>0</v>
      </c>
    </row>
    <row r="2852" spans="20:20" ht="18.75" customHeight="1" x14ac:dyDescent="0.35">
      <c r="T2852" s="246">
        <f t="shared" si="82"/>
        <v>0</v>
      </c>
    </row>
    <row r="2853" spans="20:20" ht="18.75" customHeight="1" x14ac:dyDescent="0.35">
      <c r="T2853" s="246">
        <f t="shared" si="82"/>
        <v>0</v>
      </c>
    </row>
    <row r="2854" spans="20:20" ht="18.75" customHeight="1" x14ac:dyDescent="0.35">
      <c r="T2854" s="246">
        <f t="shared" si="82"/>
        <v>0</v>
      </c>
    </row>
    <row r="2855" spans="20:20" ht="18.75" customHeight="1" x14ac:dyDescent="0.35">
      <c r="T2855" s="246">
        <f t="shared" si="82"/>
        <v>0</v>
      </c>
    </row>
    <row r="2856" spans="20:20" ht="18.75" customHeight="1" x14ac:dyDescent="0.35">
      <c r="T2856" s="246">
        <f t="shared" si="82"/>
        <v>0</v>
      </c>
    </row>
    <row r="2857" spans="20:20" ht="18.75" customHeight="1" x14ac:dyDescent="0.35">
      <c r="T2857" s="246">
        <f t="shared" si="82"/>
        <v>0</v>
      </c>
    </row>
    <row r="2858" spans="20:20" ht="18.75" customHeight="1" x14ac:dyDescent="0.35">
      <c r="T2858" s="246">
        <f t="shared" si="82"/>
        <v>0</v>
      </c>
    </row>
    <row r="2859" spans="20:20" ht="18.75" customHeight="1" x14ac:dyDescent="0.35">
      <c r="T2859" s="246">
        <f t="shared" si="82"/>
        <v>0</v>
      </c>
    </row>
    <row r="2860" spans="20:20" ht="18.75" customHeight="1" x14ac:dyDescent="0.35">
      <c r="T2860" s="246">
        <f t="shared" si="82"/>
        <v>0</v>
      </c>
    </row>
    <row r="2861" spans="20:20" ht="18.75" customHeight="1" x14ac:dyDescent="0.35">
      <c r="T2861" s="246">
        <f t="shared" si="82"/>
        <v>0</v>
      </c>
    </row>
    <row r="2862" spans="20:20" ht="18.75" customHeight="1" x14ac:dyDescent="0.35">
      <c r="T2862" s="246">
        <f t="shared" si="82"/>
        <v>0</v>
      </c>
    </row>
    <row r="2863" spans="20:20" ht="18.75" customHeight="1" x14ac:dyDescent="0.35">
      <c r="T2863" s="246">
        <f t="shared" si="82"/>
        <v>0</v>
      </c>
    </row>
    <row r="2864" spans="20:20" ht="18.75" customHeight="1" x14ac:dyDescent="0.35">
      <c r="T2864" s="246">
        <f t="shared" si="82"/>
        <v>0</v>
      </c>
    </row>
    <row r="2865" spans="20:20" ht="18.75" customHeight="1" x14ac:dyDescent="0.35">
      <c r="T2865" s="246">
        <f t="shared" si="82"/>
        <v>0</v>
      </c>
    </row>
    <row r="2866" spans="20:20" ht="18.75" customHeight="1" x14ac:dyDescent="0.35">
      <c r="T2866" s="246">
        <f t="shared" si="82"/>
        <v>0</v>
      </c>
    </row>
    <row r="2867" spans="20:20" ht="18.75" customHeight="1" x14ac:dyDescent="0.35">
      <c r="T2867" s="246">
        <f t="shared" si="82"/>
        <v>0</v>
      </c>
    </row>
    <row r="2868" spans="20:20" ht="18.75" customHeight="1" x14ac:dyDescent="0.35">
      <c r="T2868" s="246">
        <f t="shared" si="82"/>
        <v>0</v>
      </c>
    </row>
    <row r="2869" spans="20:20" ht="18.75" customHeight="1" x14ac:dyDescent="0.35">
      <c r="T2869" s="246">
        <f t="shared" si="82"/>
        <v>0</v>
      </c>
    </row>
    <row r="2870" spans="20:20" ht="18.75" customHeight="1" x14ac:dyDescent="0.35">
      <c r="T2870" s="246">
        <f t="shared" si="82"/>
        <v>0</v>
      </c>
    </row>
    <row r="2871" spans="20:20" ht="18.75" customHeight="1" x14ac:dyDescent="0.35">
      <c r="T2871" s="246">
        <f t="shared" si="82"/>
        <v>0</v>
      </c>
    </row>
    <row r="2872" spans="20:20" ht="18.75" customHeight="1" x14ac:dyDescent="0.35">
      <c r="T2872" s="246">
        <f t="shared" si="82"/>
        <v>0</v>
      </c>
    </row>
    <row r="2873" spans="20:20" ht="18.75" customHeight="1" x14ac:dyDescent="0.35">
      <c r="T2873" s="246">
        <f t="shared" si="82"/>
        <v>0</v>
      </c>
    </row>
    <row r="2874" spans="20:20" ht="18.75" customHeight="1" x14ac:dyDescent="0.35">
      <c r="T2874" s="246">
        <f t="shared" si="82"/>
        <v>0</v>
      </c>
    </row>
    <row r="2875" spans="20:20" ht="18.75" customHeight="1" x14ac:dyDescent="0.35">
      <c r="T2875" s="246">
        <f t="shared" si="82"/>
        <v>0</v>
      </c>
    </row>
    <row r="2876" spans="20:20" ht="18.75" customHeight="1" x14ac:dyDescent="0.35">
      <c r="T2876" s="246">
        <f t="shared" ref="T2876:T2939" si="83">R2876*0.01</f>
        <v>0</v>
      </c>
    </row>
    <row r="2877" spans="20:20" ht="18.75" customHeight="1" x14ac:dyDescent="0.35">
      <c r="T2877" s="246">
        <f t="shared" si="83"/>
        <v>0</v>
      </c>
    </row>
    <row r="2878" spans="20:20" ht="18.75" customHeight="1" x14ac:dyDescent="0.35">
      <c r="T2878" s="246">
        <f t="shared" si="83"/>
        <v>0</v>
      </c>
    </row>
    <row r="2879" spans="20:20" ht="18.75" customHeight="1" x14ac:dyDescent="0.35">
      <c r="T2879" s="246">
        <f t="shared" si="83"/>
        <v>0</v>
      </c>
    </row>
    <row r="2880" spans="20:20" ht="18.75" customHeight="1" x14ac:dyDescent="0.35">
      <c r="T2880" s="246">
        <f t="shared" si="83"/>
        <v>0</v>
      </c>
    </row>
    <row r="2881" spans="20:20" ht="18.75" customHeight="1" x14ac:dyDescent="0.35">
      <c r="T2881" s="246">
        <f t="shared" si="83"/>
        <v>0</v>
      </c>
    </row>
    <row r="2882" spans="20:20" ht="18.75" customHeight="1" x14ac:dyDescent="0.35">
      <c r="T2882" s="246">
        <f t="shared" si="83"/>
        <v>0</v>
      </c>
    </row>
    <row r="2883" spans="20:20" ht="18.75" customHeight="1" x14ac:dyDescent="0.35">
      <c r="T2883" s="246">
        <f t="shared" si="83"/>
        <v>0</v>
      </c>
    </row>
    <row r="2884" spans="20:20" ht="18.75" customHeight="1" x14ac:dyDescent="0.35">
      <c r="T2884" s="246">
        <f t="shared" si="83"/>
        <v>0</v>
      </c>
    </row>
    <row r="2885" spans="20:20" ht="18.75" customHeight="1" x14ac:dyDescent="0.35">
      <c r="T2885" s="246">
        <f t="shared" si="83"/>
        <v>0</v>
      </c>
    </row>
    <row r="2886" spans="20:20" ht="18.75" customHeight="1" x14ac:dyDescent="0.35">
      <c r="T2886" s="246">
        <f t="shared" si="83"/>
        <v>0</v>
      </c>
    </row>
    <row r="2887" spans="20:20" ht="18.75" customHeight="1" x14ac:dyDescent="0.35">
      <c r="T2887" s="246">
        <f t="shared" si="83"/>
        <v>0</v>
      </c>
    </row>
    <row r="2888" spans="20:20" ht="18.75" customHeight="1" x14ac:dyDescent="0.35">
      <c r="T2888" s="246">
        <f t="shared" si="83"/>
        <v>0</v>
      </c>
    </row>
    <row r="2889" spans="20:20" ht="18.75" customHeight="1" x14ac:dyDescent="0.35">
      <c r="T2889" s="246">
        <f t="shared" si="83"/>
        <v>0</v>
      </c>
    </row>
    <row r="2890" spans="20:20" ht="18.75" customHeight="1" x14ac:dyDescent="0.35">
      <c r="T2890" s="246">
        <f t="shared" si="83"/>
        <v>0</v>
      </c>
    </row>
    <row r="2891" spans="20:20" ht="18.75" customHeight="1" x14ac:dyDescent="0.35">
      <c r="T2891" s="246">
        <f t="shared" si="83"/>
        <v>0</v>
      </c>
    </row>
    <row r="2892" spans="20:20" ht="18.75" customHeight="1" x14ac:dyDescent="0.35">
      <c r="T2892" s="246">
        <f t="shared" si="83"/>
        <v>0</v>
      </c>
    </row>
    <row r="2893" spans="20:20" ht="18.75" customHeight="1" x14ac:dyDescent="0.35">
      <c r="T2893" s="246">
        <f t="shared" si="83"/>
        <v>0</v>
      </c>
    </row>
    <row r="2894" spans="20:20" ht="18.75" customHeight="1" x14ac:dyDescent="0.35">
      <c r="T2894" s="246">
        <f t="shared" si="83"/>
        <v>0</v>
      </c>
    </row>
    <row r="2895" spans="20:20" ht="18.75" customHeight="1" x14ac:dyDescent="0.35">
      <c r="T2895" s="246">
        <f t="shared" si="83"/>
        <v>0</v>
      </c>
    </row>
    <row r="2896" spans="20:20" ht="18.75" customHeight="1" x14ac:dyDescent="0.35">
      <c r="T2896" s="246">
        <f t="shared" si="83"/>
        <v>0</v>
      </c>
    </row>
    <row r="2897" spans="20:20" ht="18.75" customHeight="1" x14ac:dyDescent="0.35">
      <c r="T2897" s="246">
        <f t="shared" si="83"/>
        <v>0</v>
      </c>
    </row>
    <row r="2898" spans="20:20" ht="18.75" customHeight="1" x14ac:dyDescent="0.35">
      <c r="T2898" s="246">
        <f t="shared" si="83"/>
        <v>0</v>
      </c>
    </row>
    <row r="2899" spans="20:20" ht="18.75" customHeight="1" x14ac:dyDescent="0.35">
      <c r="T2899" s="246">
        <f t="shared" si="83"/>
        <v>0</v>
      </c>
    </row>
    <row r="2900" spans="20:20" ht="18.75" customHeight="1" x14ac:dyDescent="0.35">
      <c r="T2900" s="246">
        <f t="shared" si="83"/>
        <v>0</v>
      </c>
    </row>
    <row r="2901" spans="20:20" ht="18.75" customHeight="1" x14ac:dyDescent="0.35">
      <c r="T2901" s="246">
        <f t="shared" si="83"/>
        <v>0</v>
      </c>
    </row>
    <row r="2902" spans="20:20" ht="18.75" customHeight="1" x14ac:dyDescent="0.35">
      <c r="T2902" s="246">
        <f t="shared" si="83"/>
        <v>0</v>
      </c>
    </row>
    <row r="2903" spans="20:20" ht="18.75" customHeight="1" x14ac:dyDescent="0.35">
      <c r="T2903" s="246">
        <f t="shared" si="83"/>
        <v>0</v>
      </c>
    </row>
    <row r="2904" spans="20:20" ht="18.75" customHeight="1" x14ac:dyDescent="0.35">
      <c r="T2904" s="246">
        <f t="shared" si="83"/>
        <v>0</v>
      </c>
    </row>
    <row r="2905" spans="20:20" ht="18.75" customHeight="1" x14ac:dyDescent="0.35">
      <c r="T2905" s="246">
        <f t="shared" si="83"/>
        <v>0</v>
      </c>
    </row>
    <row r="2906" spans="20:20" ht="18.75" customHeight="1" x14ac:dyDescent="0.35">
      <c r="T2906" s="246">
        <f t="shared" si="83"/>
        <v>0</v>
      </c>
    </row>
    <row r="2907" spans="20:20" ht="18.75" customHeight="1" x14ac:dyDescent="0.35">
      <c r="T2907" s="246">
        <f t="shared" si="83"/>
        <v>0</v>
      </c>
    </row>
    <row r="2908" spans="20:20" ht="18.75" customHeight="1" x14ac:dyDescent="0.35">
      <c r="T2908" s="246">
        <f t="shared" si="83"/>
        <v>0</v>
      </c>
    </row>
    <row r="2909" spans="20:20" ht="18.75" customHeight="1" x14ac:dyDescent="0.35">
      <c r="T2909" s="246">
        <f t="shared" si="83"/>
        <v>0</v>
      </c>
    </row>
    <row r="2910" spans="20:20" ht="18.75" customHeight="1" x14ac:dyDescent="0.35">
      <c r="T2910" s="246">
        <f t="shared" si="83"/>
        <v>0</v>
      </c>
    </row>
    <row r="2911" spans="20:20" ht="18.75" customHeight="1" x14ac:dyDescent="0.35">
      <c r="T2911" s="246">
        <f t="shared" si="83"/>
        <v>0</v>
      </c>
    </row>
    <row r="2912" spans="20:20" ht="18.75" customHeight="1" x14ac:dyDescent="0.35">
      <c r="T2912" s="246">
        <f t="shared" si="83"/>
        <v>0</v>
      </c>
    </row>
    <row r="2913" spans="20:20" ht="18.75" customHeight="1" x14ac:dyDescent="0.35">
      <c r="T2913" s="246">
        <f t="shared" si="83"/>
        <v>0</v>
      </c>
    </row>
    <row r="2914" spans="20:20" ht="18.75" customHeight="1" x14ac:dyDescent="0.35">
      <c r="T2914" s="246">
        <f t="shared" si="83"/>
        <v>0</v>
      </c>
    </row>
    <row r="2915" spans="20:20" ht="18.75" customHeight="1" x14ac:dyDescent="0.35">
      <c r="T2915" s="246">
        <f t="shared" si="83"/>
        <v>0</v>
      </c>
    </row>
    <row r="2916" spans="20:20" ht="18.75" customHeight="1" x14ac:dyDescent="0.35">
      <c r="T2916" s="246">
        <f t="shared" si="83"/>
        <v>0</v>
      </c>
    </row>
    <row r="2917" spans="20:20" ht="18.75" customHeight="1" x14ac:dyDescent="0.35">
      <c r="T2917" s="246">
        <f t="shared" si="83"/>
        <v>0</v>
      </c>
    </row>
    <row r="2918" spans="20:20" ht="18.75" customHeight="1" x14ac:dyDescent="0.35">
      <c r="T2918" s="246">
        <f t="shared" si="83"/>
        <v>0</v>
      </c>
    </row>
    <row r="2919" spans="20:20" ht="18.75" customHeight="1" x14ac:dyDescent="0.35">
      <c r="T2919" s="246">
        <f t="shared" si="83"/>
        <v>0</v>
      </c>
    </row>
    <row r="2920" spans="20:20" ht="18.75" customHeight="1" x14ac:dyDescent="0.35">
      <c r="T2920" s="246">
        <f t="shared" si="83"/>
        <v>0</v>
      </c>
    </row>
    <row r="2921" spans="20:20" ht="18.75" customHeight="1" x14ac:dyDescent="0.35">
      <c r="T2921" s="246">
        <f t="shared" si="83"/>
        <v>0</v>
      </c>
    </row>
    <row r="2922" spans="20:20" ht="18.75" customHeight="1" x14ac:dyDescent="0.35">
      <c r="T2922" s="246">
        <f t="shared" si="83"/>
        <v>0</v>
      </c>
    </row>
    <row r="2923" spans="20:20" ht="18.75" customHeight="1" x14ac:dyDescent="0.35">
      <c r="T2923" s="246">
        <f t="shared" si="83"/>
        <v>0</v>
      </c>
    </row>
    <row r="2924" spans="20:20" ht="18.75" customHeight="1" x14ac:dyDescent="0.35">
      <c r="T2924" s="246">
        <f t="shared" si="83"/>
        <v>0</v>
      </c>
    </row>
    <row r="2925" spans="20:20" ht="18.75" customHeight="1" x14ac:dyDescent="0.35">
      <c r="T2925" s="246">
        <f t="shared" si="83"/>
        <v>0</v>
      </c>
    </row>
    <row r="2926" spans="20:20" ht="18.75" customHeight="1" x14ac:dyDescent="0.35">
      <c r="T2926" s="246">
        <f t="shared" si="83"/>
        <v>0</v>
      </c>
    </row>
    <row r="2927" spans="20:20" ht="18.75" customHeight="1" x14ac:dyDescent="0.35">
      <c r="T2927" s="246">
        <f t="shared" si="83"/>
        <v>0</v>
      </c>
    </row>
    <row r="2928" spans="20:20" ht="18.75" customHeight="1" x14ac:dyDescent="0.35">
      <c r="T2928" s="246">
        <f t="shared" si="83"/>
        <v>0</v>
      </c>
    </row>
    <row r="2929" spans="20:20" ht="18.75" customHeight="1" x14ac:dyDescent="0.35">
      <c r="T2929" s="246">
        <f t="shared" si="83"/>
        <v>0</v>
      </c>
    </row>
    <row r="2930" spans="20:20" ht="18.75" customHeight="1" x14ac:dyDescent="0.35">
      <c r="T2930" s="246">
        <f t="shared" si="83"/>
        <v>0</v>
      </c>
    </row>
    <row r="2931" spans="20:20" ht="18.75" customHeight="1" x14ac:dyDescent="0.35">
      <c r="T2931" s="246">
        <f t="shared" si="83"/>
        <v>0</v>
      </c>
    </row>
    <row r="2932" spans="20:20" ht="18.75" customHeight="1" x14ac:dyDescent="0.35">
      <c r="T2932" s="246">
        <f t="shared" si="83"/>
        <v>0</v>
      </c>
    </row>
    <row r="2933" spans="20:20" ht="18.75" customHeight="1" x14ac:dyDescent="0.35">
      <c r="T2933" s="246">
        <f t="shared" si="83"/>
        <v>0</v>
      </c>
    </row>
    <row r="2934" spans="20:20" ht="18.75" customHeight="1" x14ac:dyDescent="0.35">
      <c r="T2934" s="246">
        <f t="shared" si="83"/>
        <v>0</v>
      </c>
    </row>
    <row r="2935" spans="20:20" ht="18.75" customHeight="1" x14ac:dyDescent="0.35">
      <c r="T2935" s="246">
        <f t="shared" si="83"/>
        <v>0</v>
      </c>
    </row>
    <row r="2936" spans="20:20" ht="18.75" customHeight="1" x14ac:dyDescent="0.35">
      <c r="T2936" s="246">
        <f t="shared" si="83"/>
        <v>0</v>
      </c>
    </row>
    <row r="2937" spans="20:20" ht="18.75" customHeight="1" x14ac:dyDescent="0.35">
      <c r="T2937" s="246">
        <f t="shared" si="83"/>
        <v>0</v>
      </c>
    </row>
    <row r="2938" spans="20:20" ht="18.75" customHeight="1" x14ac:dyDescent="0.35">
      <c r="T2938" s="246">
        <f t="shared" si="83"/>
        <v>0</v>
      </c>
    </row>
    <row r="2939" spans="20:20" ht="18.75" customHeight="1" x14ac:dyDescent="0.35">
      <c r="T2939" s="246">
        <f t="shared" si="83"/>
        <v>0</v>
      </c>
    </row>
    <row r="2940" spans="20:20" ht="18.75" customHeight="1" x14ac:dyDescent="0.35">
      <c r="T2940" s="246">
        <f t="shared" ref="T2940:T3003" si="84">R2940*0.01</f>
        <v>0</v>
      </c>
    </row>
    <row r="2941" spans="20:20" ht="18.75" customHeight="1" x14ac:dyDescent="0.35">
      <c r="T2941" s="246">
        <f t="shared" si="84"/>
        <v>0</v>
      </c>
    </row>
    <row r="2942" spans="20:20" ht="18.75" customHeight="1" x14ac:dyDescent="0.35">
      <c r="T2942" s="246">
        <f t="shared" si="84"/>
        <v>0</v>
      </c>
    </row>
    <row r="2943" spans="20:20" ht="18.75" customHeight="1" x14ac:dyDescent="0.35">
      <c r="T2943" s="246">
        <f t="shared" si="84"/>
        <v>0</v>
      </c>
    </row>
    <row r="2944" spans="20:20" ht="18.75" customHeight="1" x14ac:dyDescent="0.35">
      <c r="T2944" s="246">
        <f t="shared" si="84"/>
        <v>0</v>
      </c>
    </row>
    <row r="2945" spans="20:20" ht="18.75" customHeight="1" x14ac:dyDescent="0.35">
      <c r="T2945" s="246">
        <f t="shared" si="84"/>
        <v>0</v>
      </c>
    </row>
    <row r="2946" spans="20:20" ht="18.75" customHeight="1" x14ac:dyDescent="0.35">
      <c r="T2946" s="246">
        <f t="shared" si="84"/>
        <v>0</v>
      </c>
    </row>
    <row r="2947" spans="20:20" ht="18.75" customHeight="1" x14ac:dyDescent="0.35">
      <c r="T2947" s="246">
        <f t="shared" si="84"/>
        <v>0</v>
      </c>
    </row>
    <row r="2948" spans="20:20" ht="18.75" customHeight="1" x14ac:dyDescent="0.35">
      <c r="T2948" s="246">
        <f t="shared" si="84"/>
        <v>0</v>
      </c>
    </row>
    <row r="2949" spans="20:20" ht="18.75" customHeight="1" x14ac:dyDescent="0.35">
      <c r="T2949" s="246">
        <f t="shared" si="84"/>
        <v>0</v>
      </c>
    </row>
    <row r="2950" spans="20:20" ht="18.75" customHeight="1" x14ac:dyDescent="0.35">
      <c r="T2950" s="246">
        <f t="shared" si="84"/>
        <v>0</v>
      </c>
    </row>
    <row r="2951" spans="20:20" ht="18.75" customHeight="1" x14ac:dyDescent="0.35">
      <c r="T2951" s="246">
        <f t="shared" si="84"/>
        <v>0</v>
      </c>
    </row>
    <row r="2952" spans="20:20" ht="18.75" customHeight="1" x14ac:dyDescent="0.35">
      <c r="T2952" s="246">
        <f t="shared" si="84"/>
        <v>0</v>
      </c>
    </row>
    <row r="2953" spans="20:20" ht="18.75" customHeight="1" x14ac:dyDescent="0.35">
      <c r="T2953" s="246">
        <f t="shared" si="84"/>
        <v>0</v>
      </c>
    </row>
    <row r="2954" spans="20:20" ht="18.75" customHeight="1" x14ac:dyDescent="0.35">
      <c r="T2954" s="246">
        <f t="shared" si="84"/>
        <v>0</v>
      </c>
    </row>
    <row r="2955" spans="20:20" ht="18.75" customHeight="1" x14ac:dyDescent="0.35">
      <c r="T2955" s="246">
        <f t="shared" si="84"/>
        <v>0</v>
      </c>
    </row>
    <row r="2956" spans="20:20" ht="18.75" customHeight="1" x14ac:dyDescent="0.35">
      <c r="T2956" s="246">
        <f t="shared" si="84"/>
        <v>0</v>
      </c>
    </row>
    <row r="2957" spans="20:20" ht="18.75" customHeight="1" x14ac:dyDescent="0.35">
      <c r="T2957" s="246">
        <f t="shared" si="84"/>
        <v>0</v>
      </c>
    </row>
    <row r="2958" spans="20:20" ht="18.75" customHeight="1" x14ac:dyDescent="0.35">
      <c r="T2958" s="246">
        <f t="shared" si="84"/>
        <v>0</v>
      </c>
    </row>
    <row r="2959" spans="20:20" ht="18.75" customHeight="1" x14ac:dyDescent="0.35">
      <c r="T2959" s="246">
        <f t="shared" si="84"/>
        <v>0</v>
      </c>
    </row>
    <row r="2960" spans="20:20" ht="18.75" customHeight="1" x14ac:dyDescent="0.35">
      <c r="T2960" s="246">
        <f t="shared" si="84"/>
        <v>0</v>
      </c>
    </row>
    <row r="2961" spans="20:20" ht="18.75" customHeight="1" x14ac:dyDescent="0.35">
      <c r="T2961" s="246">
        <f t="shared" si="84"/>
        <v>0</v>
      </c>
    </row>
    <row r="2962" spans="20:20" ht="18.75" customHeight="1" x14ac:dyDescent="0.35">
      <c r="T2962" s="246">
        <f t="shared" si="84"/>
        <v>0</v>
      </c>
    </row>
    <row r="2963" spans="20:20" ht="18.75" customHeight="1" x14ac:dyDescent="0.35">
      <c r="T2963" s="246">
        <f t="shared" si="84"/>
        <v>0</v>
      </c>
    </row>
    <row r="2964" spans="20:20" ht="18.75" customHeight="1" x14ac:dyDescent="0.35">
      <c r="T2964" s="246">
        <f t="shared" si="84"/>
        <v>0</v>
      </c>
    </row>
    <row r="2965" spans="20:20" ht="18.75" customHeight="1" x14ac:dyDescent="0.35">
      <c r="T2965" s="246">
        <f t="shared" si="84"/>
        <v>0</v>
      </c>
    </row>
    <row r="2966" spans="20:20" ht="18.75" customHeight="1" x14ac:dyDescent="0.35">
      <c r="T2966" s="246">
        <f t="shared" si="84"/>
        <v>0</v>
      </c>
    </row>
    <row r="2967" spans="20:20" ht="18.75" customHeight="1" x14ac:dyDescent="0.35">
      <c r="T2967" s="246">
        <f t="shared" si="84"/>
        <v>0</v>
      </c>
    </row>
    <row r="2968" spans="20:20" ht="18.75" customHeight="1" x14ac:dyDescent="0.35">
      <c r="T2968" s="246">
        <f t="shared" si="84"/>
        <v>0</v>
      </c>
    </row>
    <row r="2969" spans="20:20" ht="18.75" customHeight="1" x14ac:dyDescent="0.35">
      <c r="T2969" s="246">
        <f t="shared" si="84"/>
        <v>0</v>
      </c>
    </row>
    <row r="2970" spans="20:20" ht="18.75" customHeight="1" x14ac:dyDescent="0.35">
      <c r="T2970" s="246">
        <f t="shared" si="84"/>
        <v>0</v>
      </c>
    </row>
    <row r="2971" spans="20:20" ht="18.75" customHeight="1" x14ac:dyDescent="0.35">
      <c r="T2971" s="246">
        <f t="shared" si="84"/>
        <v>0</v>
      </c>
    </row>
    <row r="2972" spans="20:20" ht="18.75" customHeight="1" x14ac:dyDescent="0.35">
      <c r="T2972" s="246">
        <f t="shared" si="84"/>
        <v>0</v>
      </c>
    </row>
    <row r="2973" spans="20:20" ht="18.75" customHeight="1" x14ac:dyDescent="0.35">
      <c r="T2973" s="246">
        <f t="shared" si="84"/>
        <v>0</v>
      </c>
    </row>
    <row r="2974" spans="20:20" ht="18.75" customHeight="1" x14ac:dyDescent="0.35">
      <c r="T2974" s="246">
        <f t="shared" si="84"/>
        <v>0</v>
      </c>
    </row>
    <row r="2975" spans="20:20" ht="18.75" customHeight="1" x14ac:dyDescent="0.35">
      <c r="T2975" s="246">
        <f t="shared" si="84"/>
        <v>0</v>
      </c>
    </row>
    <row r="2976" spans="20:20" ht="18.75" customHeight="1" x14ac:dyDescent="0.35">
      <c r="T2976" s="246">
        <f t="shared" si="84"/>
        <v>0</v>
      </c>
    </row>
    <row r="2977" spans="20:20" ht="18.75" customHeight="1" x14ac:dyDescent="0.35">
      <c r="T2977" s="246">
        <f t="shared" si="84"/>
        <v>0</v>
      </c>
    </row>
    <row r="2978" spans="20:20" ht="18.75" customHeight="1" x14ac:dyDescent="0.35">
      <c r="T2978" s="246">
        <f t="shared" si="84"/>
        <v>0</v>
      </c>
    </row>
    <row r="2979" spans="20:20" ht="18.75" customHeight="1" x14ac:dyDescent="0.35">
      <c r="T2979" s="246">
        <f t="shared" si="84"/>
        <v>0</v>
      </c>
    </row>
    <row r="2980" spans="20:20" ht="18.75" customHeight="1" x14ac:dyDescent="0.35">
      <c r="T2980" s="246">
        <f t="shared" si="84"/>
        <v>0</v>
      </c>
    </row>
    <row r="2981" spans="20:20" ht="18.75" customHeight="1" x14ac:dyDescent="0.35">
      <c r="T2981" s="246">
        <f t="shared" si="84"/>
        <v>0</v>
      </c>
    </row>
    <row r="2982" spans="20:20" ht="18.75" customHeight="1" x14ac:dyDescent="0.35">
      <c r="T2982" s="246">
        <f t="shared" si="84"/>
        <v>0</v>
      </c>
    </row>
    <row r="2983" spans="20:20" ht="18.75" customHeight="1" x14ac:dyDescent="0.35">
      <c r="T2983" s="246">
        <f t="shared" si="84"/>
        <v>0</v>
      </c>
    </row>
    <row r="2984" spans="20:20" ht="18.75" customHeight="1" x14ac:dyDescent="0.35">
      <c r="T2984" s="246">
        <f t="shared" si="84"/>
        <v>0</v>
      </c>
    </row>
    <row r="2985" spans="20:20" ht="18.75" customHeight="1" x14ac:dyDescent="0.35">
      <c r="T2985" s="246">
        <f t="shared" si="84"/>
        <v>0</v>
      </c>
    </row>
    <row r="2986" spans="20:20" ht="18.75" customHeight="1" x14ac:dyDescent="0.35">
      <c r="T2986" s="246">
        <f t="shared" si="84"/>
        <v>0</v>
      </c>
    </row>
    <row r="2987" spans="20:20" ht="18.75" customHeight="1" x14ac:dyDescent="0.35">
      <c r="T2987" s="246">
        <f t="shared" si="84"/>
        <v>0</v>
      </c>
    </row>
    <row r="2988" spans="20:20" ht="18.75" customHeight="1" x14ac:dyDescent="0.35">
      <c r="T2988" s="246">
        <f t="shared" si="84"/>
        <v>0</v>
      </c>
    </row>
    <row r="2989" spans="20:20" ht="18.75" customHeight="1" x14ac:dyDescent="0.35">
      <c r="T2989" s="246">
        <f t="shared" si="84"/>
        <v>0</v>
      </c>
    </row>
    <row r="2990" spans="20:20" ht="18.75" customHeight="1" x14ac:dyDescent="0.35">
      <c r="T2990" s="246">
        <f t="shared" si="84"/>
        <v>0</v>
      </c>
    </row>
    <row r="2991" spans="20:20" ht="18.75" customHeight="1" x14ac:dyDescent="0.35">
      <c r="T2991" s="246">
        <f t="shared" si="84"/>
        <v>0</v>
      </c>
    </row>
    <row r="2992" spans="20:20" ht="18.75" customHeight="1" x14ac:dyDescent="0.35">
      <c r="T2992" s="246">
        <f t="shared" si="84"/>
        <v>0</v>
      </c>
    </row>
    <row r="2993" spans="20:20" ht="18.75" customHeight="1" x14ac:dyDescent="0.35">
      <c r="T2993" s="246">
        <f t="shared" si="84"/>
        <v>0</v>
      </c>
    </row>
    <row r="2994" spans="20:20" ht="18.75" customHeight="1" x14ac:dyDescent="0.35">
      <c r="T2994" s="246">
        <f t="shared" si="84"/>
        <v>0</v>
      </c>
    </row>
    <row r="2995" spans="20:20" ht="18.75" customHeight="1" x14ac:dyDescent="0.35">
      <c r="T2995" s="246">
        <f t="shared" si="84"/>
        <v>0</v>
      </c>
    </row>
    <row r="2996" spans="20:20" ht="18.75" customHeight="1" x14ac:dyDescent="0.35">
      <c r="T2996" s="246">
        <f t="shared" si="84"/>
        <v>0</v>
      </c>
    </row>
    <row r="2997" spans="20:20" ht="18.75" customHeight="1" x14ac:dyDescent="0.35">
      <c r="T2997" s="246">
        <f t="shared" si="84"/>
        <v>0</v>
      </c>
    </row>
    <row r="2998" spans="20:20" ht="18.75" customHeight="1" x14ac:dyDescent="0.35">
      <c r="T2998" s="246">
        <f t="shared" si="84"/>
        <v>0</v>
      </c>
    </row>
    <row r="2999" spans="20:20" ht="18.75" customHeight="1" x14ac:dyDescent="0.35">
      <c r="T2999" s="246">
        <f t="shared" si="84"/>
        <v>0</v>
      </c>
    </row>
    <row r="3000" spans="20:20" ht="18.75" customHeight="1" x14ac:dyDescent="0.35">
      <c r="T3000" s="246">
        <f t="shared" si="84"/>
        <v>0</v>
      </c>
    </row>
    <row r="3001" spans="20:20" ht="18.75" customHeight="1" x14ac:dyDescent="0.35">
      <c r="T3001" s="246">
        <f t="shared" si="84"/>
        <v>0</v>
      </c>
    </row>
    <row r="3002" spans="20:20" ht="18.75" customHeight="1" x14ac:dyDescent="0.35">
      <c r="T3002" s="246">
        <f t="shared" si="84"/>
        <v>0</v>
      </c>
    </row>
    <row r="3003" spans="20:20" ht="18.75" customHeight="1" x14ac:dyDescent="0.35">
      <c r="T3003" s="246">
        <f t="shared" si="84"/>
        <v>0</v>
      </c>
    </row>
    <row r="3004" spans="20:20" ht="18.75" customHeight="1" x14ac:dyDescent="0.35">
      <c r="T3004" s="246">
        <f t="shared" ref="T3004:T3067" si="85">R3004*0.01</f>
        <v>0</v>
      </c>
    </row>
    <row r="3005" spans="20:20" ht="18.75" customHeight="1" x14ac:dyDescent="0.35">
      <c r="T3005" s="246">
        <f t="shared" si="85"/>
        <v>0</v>
      </c>
    </row>
    <row r="3006" spans="20:20" ht="18.75" customHeight="1" x14ac:dyDescent="0.35">
      <c r="T3006" s="246">
        <f t="shared" si="85"/>
        <v>0</v>
      </c>
    </row>
    <row r="3007" spans="20:20" ht="18.75" customHeight="1" x14ac:dyDescent="0.35">
      <c r="T3007" s="246">
        <f t="shared" si="85"/>
        <v>0</v>
      </c>
    </row>
    <row r="3008" spans="20:20" ht="18.75" customHeight="1" x14ac:dyDescent="0.35">
      <c r="T3008" s="246">
        <f t="shared" si="85"/>
        <v>0</v>
      </c>
    </row>
    <row r="3009" spans="20:20" ht="18.75" customHeight="1" x14ac:dyDescent="0.35">
      <c r="T3009" s="246">
        <f t="shared" si="85"/>
        <v>0</v>
      </c>
    </row>
    <row r="3010" spans="20:20" ht="18.75" customHeight="1" x14ac:dyDescent="0.35">
      <c r="T3010" s="246">
        <f t="shared" si="85"/>
        <v>0</v>
      </c>
    </row>
    <row r="3011" spans="20:20" ht="18.75" customHeight="1" x14ac:dyDescent="0.35">
      <c r="T3011" s="246">
        <f t="shared" si="85"/>
        <v>0</v>
      </c>
    </row>
    <row r="3012" spans="20:20" ht="18.75" customHeight="1" x14ac:dyDescent="0.35">
      <c r="T3012" s="246">
        <f t="shared" si="85"/>
        <v>0</v>
      </c>
    </row>
    <row r="3013" spans="20:20" ht="18.75" customHeight="1" x14ac:dyDescent="0.35">
      <c r="T3013" s="246">
        <f t="shared" si="85"/>
        <v>0</v>
      </c>
    </row>
    <row r="3014" spans="20:20" ht="18.75" customHeight="1" x14ac:dyDescent="0.35">
      <c r="T3014" s="246">
        <f t="shared" si="85"/>
        <v>0</v>
      </c>
    </row>
    <row r="3015" spans="20:20" ht="18.75" customHeight="1" x14ac:dyDescent="0.35">
      <c r="T3015" s="246">
        <f t="shared" si="85"/>
        <v>0</v>
      </c>
    </row>
    <row r="3016" spans="20:20" ht="18.75" customHeight="1" x14ac:dyDescent="0.35">
      <c r="T3016" s="246">
        <f t="shared" si="85"/>
        <v>0</v>
      </c>
    </row>
    <row r="3017" spans="20:20" ht="18.75" customHeight="1" x14ac:dyDescent="0.35">
      <c r="T3017" s="246">
        <f t="shared" si="85"/>
        <v>0</v>
      </c>
    </row>
    <row r="3018" spans="20:20" ht="18.75" customHeight="1" x14ac:dyDescent="0.35">
      <c r="T3018" s="246">
        <f t="shared" si="85"/>
        <v>0</v>
      </c>
    </row>
    <row r="3019" spans="20:20" ht="18.75" customHeight="1" x14ac:dyDescent="0.35">
      <c r="T3019" s="246">
        <f t="shared" si="85"/>
        <v>0</v>
      </c>
    </row>
    <row r="3020" spans="20:20" ht="18.75" customHeight="1" x14ac:dyDescent="0.35">
      <c r="T3020" s="246">
        <f t="shared" si="85"/>
        <v>0</v>
      </c>
    </row>
    <row r="3021" spans="20:20" ht="18.75" customHeight="1" x14ac:dyDescent="0.35">
      <c r="T3021" s="246">
        <f t="shared" si="85"/>
        <v>0</v>
      </c>
    </row>
    <row r="3022" spans="20:20" ht="18.75" customHeight="1" x14ac:dyDescent="0.35">
      <c r="T3022" s="246">
        <f t="shared" si="85"/>
        <v>0</v>
      </c>
    </row>
    <row r="3023" spans="20:20" ht="18.75" customHeight="1" x14ac:dyDescent="0.35">
      <c r="T3023" s="246">
        <f t="shared" si="85"/>
        <v>0</v>
      </c>
    </row>
    <row r="3024" spans="20:20" ht="18.75" customHeight="1" x14ac:dyDescent="0.35">
      <c r="T3024" s="246">
        <f t="shared" si="85"/>
        <v>0</v>
      </c>
    </row>
    <row r="3025" spans="20:20" ht="18.75" customHeight="1" x14ac:dyDescent="0.35">
      <c r="T3025" s="246">
        <f t="shared" si="85"/>
        <v>0</v>
      </c>
    </row>
    <row r="3026" spans="20:20" ht="18.75" customHeight="1" x14ac:dyDescent="0.35">
      <c r="T3026" s="246">
        <f t="shared" si="85"/>
        <v>0</v>
      </c>
    </row>
    <row r="3027" spans="20:20" ht="18.75" customHeight="1" x14ac:dyDescent="0.35">
      <c r="T3027" s="246">
        <f t="shared" si="85"/>
        <v>0</v>
      </c>
    </row>
    <row r="3028" spans="20:20" ht="18.75" customHeight="1" x14ac:dyDescent="0.35">
      <c r="T3028" s="246">
        <f t="shared" si="85"/>
        <v>0</v>
      </c>
    </row>
    <row r="3029" spans="20:20" ht="18.75" customHeight="1" x14ac:dyDescent="0.35">
      <c r="T3029" s="246">
        <f t="shared" si="85"/>
        <v>0</v>
      </c>
    </row>
    <row r="3030" spans="20:20" ht="18.75" customHeight="1" x14ac:dyDescent="0.35">
      <c r="T3030" s="246">
        <f t="shared" si="85"/>
        <v>0</v>
      </c>
    </row>
    <row r="3031" spans="20:20" ht="18.75" customHeight="1" x14ac:dyDescent="0.35">
      <c r="T3031" s="246">
        <f t="shared" si="85"/>
        <v>0</v>
      </c>
    </row>
    <row r="3032" spans="20:20" ht="18.75" customHeight="1" x14ac:dyDescent="0.35">
      <c r="T3032" s="246">
        <f t="shared" si="85"/>
        <v>0</v>
      </c>
    </row>
    <row r="3033" spans="20:20" ht="18.75" customHeight="1" x14ac:dyDescent="0.35">
      <c r="T3033" s="246">
        <f t="shared" si="85"/>
        <v>0</v>
      </c>
    </row>
    <row r="3034" spans="20:20" ht="18.75" customHeight="1" x14ac:dyDescent="0.35">
      <c r="T3034" s="246">
        <f t="shared" si="85"/>
        <v>0</v>
      </c>
    </row>
    <row r="3035" spans="20:20" ht="18.75" customHeight="1" x14ac:dyDescent="0.35">
      <c r="T3035" s="246">
        <f t="shared" si="85"/>
        <v>0</v>
      </c>
    </row>
    <row r="3036" spans="20:20" ht="18.75" customHeight="1" x14ac:dyDescent="0.35">
      <c r="T3036" s="246">
        <f t="shared" si="85"/>
        <v>0</v>
      </c>
    </row>
    <row r="3037" spans="20:20" ht="18.75" customHeight="1" x14ac:dyDescent="0.35">
      <c r="T3037" s="246">
        <f t="shared" si="85"/>
        <v>0</v>
      </c>
    </row>
    <row r="3038" spans="20:20" ht="18.75" customHeight="1" x14ac:dyDescent="0.35">
      <c r="T3038" s="246">
        <f t="shared" si="85"/>
        <v>0</v>
      </c>
    </row>
    <row r="3039" spans="20:20" ht="18.75" customHeight="1" x14ac:dyDescent="0.35">
      <c r="T3039" s="246">
        <f t="shared" si="85"/>
        <v>0</v>
      </c>
    </row>
    <row r="3040" spans="20:20" ht="18.75" customHeight="1" x14ac:dyDescent="0.35">
      <c r="T3040" s="246">
        <f t="shared" si="85"/>
        <v>0</v>
      </c>
    </row>
    <row r="3041" spans="20:20" ht="18.75" customHeight="1" x14ac:dyDescent="0.35">
      <c r="T3041" s="246">
        <f t="shared" si="85"/>
        <v>0</v>
      </c>
    </row>
    <row r="3042" spans="20:20" ht="18.75" customHeight="1" x14ac:dyDescent="0.35">
      <c r="T3042" s="246">
        <f t="shared" si="85"/>
        <v>0</v>
      </c>
    </row>
    <row r="3043" spans="20:20" ht="18.75" customHeight="1" x14ac:dyDescent="0.35">
      <c r="T3043" s="246">
        <f t="shared" si="85"/>
        <v>0</v>
      </c>
    </row>
    <row r="3044" spans="20:20" ht="18.75" customHeight="1" x14ac:dyDescent="0.35">
      <c r="T3044" s="246">
        <f t="shared" si="85"/>
        <v>0</v>
      </c>
    </row>
    <row r="3045" spans="20:20" ht="18.75" customHeight="1" x14ac:dyDescent="0.35">
      <c r="T3045" s="246">
        <f t="shared" si="85"/>
        <v>0</v>
      </c>
    </row>
    <row r="3046" spans="20:20" ht="18.75" customHeight="1" x14ac:dyDescent="0.35">
      <c r="T3046" s="246">
        <f t="shared" si="85"/>
        <v>0</v>
      </c>
    </row>
    <row r="3047" spans="20:20" ht="18.75" customHeight="1" x14ac:dyDescent="0.35">
      <c r="T3047" s="246">
        <f t="shared" si="85"/>
        <v>0</v>
      </c>
    </row>
    <row r="3048" spans="20:20" ht="18.75" customHeight="1" x14ac:dyDescent="0.35">
      <c r="T3048" s="246">
        <f t="shared" si="85"/>
        <v>0</v>
      </c>
    </row>
    <row r="3049" spans="20:20" ht="18.75" customHeight="1" x14ac:dyDescent="0.35">
      <c r="T3049" s="246">
        <f t="shared" si="85"/>
        <v>0</v>
      </c>
    </row>
    <row r="3050" spans="20:20" ht="18.75" customHeight="1" x14ac:dyDescent="0.35">
      <c r="T3050" s="246">
        <f t="shared" si="85"/>
        <v>0</v>
      </c>
    </row>
    <row r="3051" spans="20:20" ht="18.75" customHeight="1" x14ac:dyDescent="0.35">
      <c r="T3051" s="246">
        <f t="shared" si="85"/>
        <v>0</v>
      </c>
    </row>
    <row r="3052" spans="20:20" ht="18.75" customHeight="1" x14ac:dyDescent="0.35">
      <c r="T3052" s="246">
        <f t="shared" si="85"/>
        <v>0</v>
      </c>
    </row>
    <row r="3053" spans="20:20" ht="18.75" customHeight="1" x14ac:dyDescent="0.35">
      <c r="T3053" s="246">
        <f t="shared" si="85"/>
        <v>0</v>
      </c>
    </row>
    <row r="3054" spans="20:20" ht="18.75" customHeight="1" x14ac:dyDescent="0.35">
      <c r="T3054" s="246">
        <f t="shared" si="85"/>
        <v>0</v>
      </c>
    </row>
    <row r="3055" spans="20:20" ht="18.75" customHeight="1" x14ac:dyDescent="0.35">
      <c r="T3055" s="246">
        <f t="shared" si="85"/>
        <v>0</v>
      </c>
    </row>
    <row r="3056" spans="20:20" ht="18.75" customHeight="1" x14ac:dyDescent="0.35">
      <c r="T3056" s="246">
        <f t="shared" si="85"/>
        <v>0</v>
      </c>
    </row>
    <row r="3057" spans="20:20" ht="18.75" customHeight="1" x14ac:dyDescent="0.35">
      <c r="T3057" s="246">
        <f t="shared" si="85"/>
        <v>0</v>
      </c>
    </row>
    <row r="3058" spans="20:20" ht="18.75" customHeight="1" x14ac:dyDescent="0.35">
      <c r="T3058" s="246">
        <f t="shared" si="85"/>
        <v>0</v>
      </c>
    </row>
    <row r="3059" spans="20:20" ht="18.75" customHeight="1" x14ac:dyDescent="0.35">
      <c r="T3059" s="246">
        <f t="shared" si="85"/>
        <v>0</v>
      </c>
    </row>
    <row r="3060" spans="20:20" ht="18.75" customHeight="1" x14ac:dyDescent="0.35">
      <c r="T3060" s="246">
        <f t="shared" si="85"/>
        <v>0</v>
      </c>
    </row>
    <row r="3061" spans="20:20" ht="18.75" customHeight="1" x14ac:dyDescent="0.35">
      <c r="T3061" s="246">
        <f t="shared" si="85"/>
        <v>0</v>
      </c>
    </row>
    <row r="3062" spans="20:20" ht="18.75" customHeight="1" x14ac:dyDescent="0.35">
      <c r="T3062" s="246">
        <f t="shared" si="85"/>
        <v>0</v>
      </c>
    </row>
    <row r="3063" spans="20:20" ht="18.75" customHeight="1" x14ac:dyDescent="0.35">
      <c r="T3063" s="246">
        <f t="shared" si="85"/>
        <v>0</v>
      </c>
    </row>
    <row r="3064" spans="20:20" ht="18.75" customHeight="1" x14ac:dyDescent="0.35">
      <c r="T3064" s="246">
        <f t="shared" si="85"/>
        <v>0</v>
      </c>
    </row>
    <row r="3065" spans="20:20" ht="18.75" customHeight="1" x14ac:dyDescent="0.35">
      <c r="T3065" s="246">
        <f t="shared" si="85"/>
        <v>0</v>
      </c>
    </row>
    <row r="3066" spans="20:20" ht="18.75" customHeight="1" x14ac:dyDescent="0.35">
      <c r="T3066" s="246">
        <f t="shared" si="85"/>
        <v>0</v>
      </c>
    </row>
    <row r="3067" spans="20:20" ht="18.75" customHeight="1" x14ac:dyDescent="0.35">
      <c r="T3067" s="246">
        <f t="shared" si="85"/>
        <v>0</v>
      </c>
    </row>
    <row r="3068" spans="20:20" ht="18.75" customHeight="1" x14ac:dyDescent="0.35">
      <c r="T3068" s="246">
        <f t="shared" ref="T3068:T3131" si="86">R3068*0.01</f>
        <v>0</v>
      </c>
    </row>
    <row r="3069" spans="20:20" ht="18.75" customHeight="1" x14ac:dyDescent="0.35">
      <c r="T3069" s="246">
        <f t="shared" si="86"/>
        <v>0</v>
      </c>
    </row>
    <row r="3070" spans="20:20" ht="18.75" customHeight="1" x14ac:dyDescent="0.35">
      <c r="T3070" s="246">
        <f t="shared" si="86"/>
        <v>0</v>
      </c>
    </row>
    <row r="3071" spans="20:20" ht="18.75" customHeight="1" x14ac:dyDescent="0.35">
      <c r="T3071" s="246">
        <f t="shared" si="86"/>
        <v>0</v>
      </c>
    </row>
    <row r="3072" spans="20:20" ht="18.75" customHeight="1" x14ac:dyDescent="0.35">
      <c r="T3072" s="246">
        <f t="shared" si="86"/>
        <v>0</v>
      </c>
    </row>
    <row r="3073" spans="20:20" ht="18.75" customHeight="1" x14ac:dyDescent="0.35">
      <c r="T3073" s="246">
        <f t="shared" si="86"/>
        <v>0</v>
      </c>
    </row>
    <row r="3074" spans="20:20" ht="18.75" customHeight="1" x14ac:dyDescent="0.35">
      <c r="T3074" s="246">
        <f t="shared" si="86"/>
        <v>0</v>
      </c>
    </row>
    <row r="3075" spans="20:20" ht="18.75" customHeight="1" x14ac:dyDescent="0.35">
      <c r="T3075" s="246">
        <f t="shared" si="86"/>
        <v>0</v>
      </c>
    </row>
    <row r="3076" spans="20:20" ht="18.75" customHeight="1" x14ac:dyDescent="0.35">
      <c r="T3076" s="246">
        <f t="shared" si="86"/>
        <v>0</v>
      </c>
    </row>
    <row r="3077" spans="20:20" ht="18.75" customHeight="1" x14ac:dyDescent="0.35">
      <c r="T3077" s="246">
        <f t="shared" si="86"/>
        <v>0</v>
      </c>
    </row>
    <row r="3078" spans="20:20" ht="18.75" customHeight="1" x14ac:dyDescent="0.35">
      <c r="T3078" s="246">
        <f t="shared" si="86"/>
        <v>0</v>
      </c>
    </row>
    <row r="3079" spans="20:20" ht="18.75" customHeight="1" x14ac:dyDescent="0.35">
      <c r="T3079" s="246">
        <f t="shared" si="86"/>
        <v>0</v>
      </c>
    </row>
    <row r="3080" spans="20:20" ht="18.75" customHeight="1" x14ac:dyDescent="0.35">
      <c r="T3080" s="246">
        <f t="shared" si="86"/>
        <v>0</v>
      </c>
    </row>
    <row r="3081" spans="20:20" ht="18.75" customHeight="1" x14ac:dyDescent="0.35">
      <c r="T3081" s="246">
        <f t="shared" si="86"/>
        <v>0</v>
      </c>
    </row>
    <row r="3082" spans="20:20" ht="18.75" customHeight="1" x14ac:dyDescent="0.35">
      <c r="T3082" s="246">
        <f t="shared" si="86"/>
        <v>0</v>
      </c>
    </row>
    <row r="3083" spans="20:20" ht="18.75" customHeight="1" x14ac:dyDescent="0.35">
      <c r="T3083" s="246">
        <f t="shared" si="86"/>
        <v>0</v>
      </c>
    </row>
    <row r="3084" spans="20:20" ht="18.75" customHeight="1" x14ac:dyDescent="0.35">
      <c r="T3084" s="246">
        <f t="shared" si="86"/>
        <v>0</v>
      </c>
    </row>
    <row r="3085" spans="20:20" ht="18.75" customHeight="1" x14ac:dyDescent="0.35">
      <c r="T3085" s="246">
        <f t="shared" si="86"/>
        <v>0</v>
      </c>
    </row>
    <row r="3086" spans="20:20" ht="18.75" customHeight="1" x14ac:dyDescent="0.35">
      <c r="T3086" s="246">
        <f t="shared" si="86"/>
        <v>0</v>
      </c>
    </row>
    <row r="3087" spans="20:20" ht="18.75" customHeight="1" x14ac:dyDescent="0.35">
      <c r="T3087" s="246">
        <f t="shared" si="86"/>
        <v>0</v>
      </c>
    </row>
    <row r="3088" spans="20:20" ht="18.75" customHeight="1" x14ac:dyDescent="0.35">
      <c r="T3088" s="246">
        <f t="shared" si="86"/>
        <v>0</v>
      </c>
    </row>
    <row r="3089" spans="20:20" ht="18.75" customHeight="1" x14ac:dyDescent="0.35">
      <c r="T3089" s="246">
        <f t="shared" si="86"/>
        <v>0</v>
      </c>
    </row>
    <row r="3090" spans="20:20" ht="18.75" customHeight="1" x14ac:dyDescent="0.35">
      <c r="T3090" s="246">
        <f t="shared" si="86"/>
        <v>0</v>
      </c>
    </row>
    <row r="3091" spans="20:20" ht="18.75" customHeight="1" x14ac:dyDescent="0.35">
      <c r="T3091" s="246">
        <f t="shared" si="86"/>
        <v>0</v>
      </c>
    </row>
    <row r="3092" spans="20:20" ht="18.75" customHeight="1" x14ac:dyDescent="0.35">
      <c r="T3092" s="246">
        <f t="shared" si="86"/>
        <v>0</v>
      </c>
    </row>
    <row r="3093" spans="20:20" ht="18.75" customHeight="1" x14ac:dyDescent="0.35">
      <c r="T3093" s="246">
        <f t="shared" si="86"/>
        <v>0</v>
      </c>
    </row>
    <row r="3094" spans="20:20" ht="18.75" customHeight="1" x14ac:dyDescent="0.35">
      <c r="T3094" s="246">
        <f t="shared" si="86"/>
        <v>0</v>
      </c>
    </row>
    <row r="3095" spans="20:20" ht="18.75" customHeight="1" x14ac:dyDescent="0.35">
      <c r="T3095" s="246">
        <f t="shared" si="86"/>
        <v>0</v>
      </c>
    </row>
    <row r="3096" spans="20:20" ht="18.75" customHeight="1" x14ac:dyDescent="0.35">
      <c r="T3096" s="246">
        <f t="shared" si="86"/>
        <v>0</v>
      </c>
    </row>
    <row r="3097" spans="20:20" ht="18.75" customHeight="1" x14ac:dyDescent="0.35">
      <c r="T3097" s="246">
        <f t="shared" si="86"/>
        <v>0</v>
      </c>
    </row>
    <row r="3098" spans="20:20" ht="18.75" customHeight="1" x14ac:dyDescent="0.35">
      <c r="T3098" s="246">
        <f t="shared" si="86"/>
        <v>0</v>
      </c>
    </row>
    <row r="3099" spans="20:20" ht="18.75" customHeight="1" x14ac:dyDescent="0.35">
      <c r="T3099" s="246">
        <f t="shared" si="86"/>
        <v>0</v>
      </c>
    </row>
    <row r="3100" spans="20:20" ht="18.75" customHeight="1" x14ac:dyDescent="0.35">
      <c r="T3100" s="246">
        <f t="shared" si="86"/>
        <v>0</v>
      </c>
    </row>
    <row r="3101" spans="20:20" ht="18.75" customHeight="1" x14ac:dyDescent="0.35">
      <c r="T3101" s="246">
        <f t="shared" si="86"/>
        <v>0</v>
      </c>
    </row>
    <row r="3102" spans="20:20" ht="18.75" customHeight="1" x14ac:dyDescent="0.35">
      <c r="T3102" s="246">
        <f t="shared" si="86"/>
        <v>0</v>
      </c>
    </row>
    <row r="3103" spans="20:20" ht="18.75" customHeight="1" x14ac:dyDescent="0.35">
      <c r="T3103" s="246">
        <f t="shared" si="86"/>
        <v>0</v>
      </c>
    </row>
    <row r="3104" spans="20:20" ht="18.75" customHeight="1" x14ac:dyDescent="0.35">
      <c r="T3104" s="246">
        <f t="shared" si="86"/>
        <v>0</v>
      </c>
    </row>
    <row r="3105" spans="20:20" ht="18.75" customHeight="1" x14ac:dyDescent="0.35">
      <c r="T3105" s="246">
        <f t="shared" si="86"/>
        <v>0</v>
      </c>
    </row>
    <row r="3106" spans="20:20" ht="18.75" customHeight="1" x14ac:dyDescent="0.35">
      <c r="T3106" s="246">
        <f t="shared" si="86"/>
        <v>0</v>
      </c>
    </row>
    <row r="3107" spans="20:20" ht="18.75" customHeight="1" x14ac:dyDescent="0.35">
      <c r="T3107" s="246">
        <f t="shared" si="86"/>
        <v>0</v>
      </c>
    </row>
    <row r="3108" spans="20:20" ht="18.75" customHeight="1" x14ac:dyDescent="0.35">
      <c r="T3108" s="246">
        <f t="shared" si="86"/>
        <v>0</v>
      </c>
    </row>
    <row r="3109" spans="20:20" ht="18.75" customHeight="1" x14ac:dyDescent="0.35">
      <c r="T3109" s="246">
        <f t="shared" si="86"/>
        <v>0</v>
      </c>
    </row>
    <row r="3110" spans="20:20" ht="18.75" customHeight="1" x14ac:dyDescent="0.35">
      <c r="T3110" s="246">
        <f t="shared" si="86"/>
        <v>0</v>
      </c>
    </row>
    <row r="3111" spans="20:20" ht="18.75" customHeight="1" x14ac:dyDescent="0.35">
      <c r="T3111" s="246">
        <f t="shared" si="86"/>
        <v>0</v>
      </c>
    </row>
    <row r="3112" spans="20:20" ht="18.75" customHeight="1" x14ac:dyDescent="0.35">
      <c r="T3112" s="246">
        <f t="shared" si="86"/>
        <v>0</v>
      </c>
    </row>
    <row r="3113" spans="20:20" ht="18.75" customHeight="1" x14ac:dyDescent="0.35">
      <c r="T3113" s="246">
        <f t="shared" si="86"/>
        <v>0</v>
      </c>
    </row>
    <row r="3114" spans="20:20" ht="18.75" customHeight="1" x14ac:dyDescent="0.35">
      <c r="T3114" s="246">
        <f t="shared" si="86"/>
        <v>0</v>
      </c>
    </row>
    <row r="3115" spans="20:20" ht="18.75" customHeight="1" x14ac:dyDescent="0.35">
      <c r="T3115" s="246">
        <f t="shared" si="86"/>
        <v>0</v>
      </c>
    </row>
    <row r="3116" spans="20:20" ht="18.75" customHeight="1" x14ac:dyDescent="0.35">
      <c r="T3116" s="246">
        <f t="shared" si="86"/>
        <v>0</v>
      </c>
    </row>
    <row r="3117" spans="20:20" ht="18.75" customHeight="1" x14ac:dyDescent="0.35">
      <c r="T3117" s="246">
        <f t="shared" si="86"/>
        <v>0</v>
      </c>
    </row>
    <row r="3118" spans="20:20" ht="18.75" customHeight="1" x14ac:dyDescent="0.35">
      <c r="T3118" s="246">
        <f t="shared" si="86"/>
        <v>0</v>
      </c>
    </row>
    <row r="3119" spans="20:20" ht="18.75" customHeight="1" x14ac:dyDescent="0.35">
      <c r="T3119" s="246">
        <f t="shared" si="86"/>
        <v>0</v>
      </c>
    </row>
    <row r="3120" spans="20:20" ht="18.75" customHeight="1" x14ac:dyDescent="0.35">
      <c r="T3120" s="246">
        <f t="shared" si="86"/>
        <v>0</v>
      </c>
    </row>
    <row r="3121" spans="20:20" ht="18.75" customHeight="1" x14ac:dyDescent="0.35">
      <c r="T3121" s="246">
        <f t="shared" si="86"/>
        <v>0</v>
      </c>
    </row>
    <row r="3122" spans="20:20" ht="18.75" customHeight="1" x14ac:dyDescent="0.35">
      <c r="T3122" s="246">
        <f t="shared" si="86"/>
        <v>0</v>
      </c>
    </row>
    <row r="3123" spans="20:20" ht="18.75" customHeight="1" x14ac:dyDescent="0.35">
      <c r="T3123" s="246">
        <f t="shared" si="86"/>
        <v>0</v>
      </c>
    </row>
    <row r="3124" spans="20:20" ht="18.75" customHeight="1" x14ac:dyDescent="0.35">
      <c r="T3124" s="246">
        <f t="shared" si="86"/>
        <v>0</v>
      </c>
    </row>
    <row r="3125" spans="20:20" ht="18.75" customHeight="1" x14ac:dyDescent="0.35">
      <c r="T3125" s="246">
        <f t="shared" si="86"/>
        <v>0</v>
      </c>
    </row>
    <row r="3126" spans="20:20" ht="18.75" customHeight="1" x14ac:dyDescent="0.35">
      <c r="T3126" s="246">
        <f t="shared" si="86"/>
        <v>0</v>
      </c>
    </row>
    <row r="3127" spans="20:20" ht="18.75" customHeight="1" x14ac:dyDescent="0.35">
      <c r="T3127" s="246">
        <f t="shared" si="86"/>
        <v>0</v>
      </c>
    </row>
    <row r="3128" spans="20:20" ht="18.75" customHeight="1" x14ac:dyDescent="0.35">
      <c r="T3128" s="246">
        <f t="shared" si="86"/>
        <v>0</v>
      </c>
    </row>
    <row r="3129" spans="20:20" ht="18.75" customHeight="1" x14ac:dyDescent="0.35">
      <c r="T3129" s="246">
        <f t="shared" si="86"/>
        <v>0</v>
      </c>
    </row>
    <row r="3130" spans="20:20" ht="18.75" customHeight="1" x14ac:dyDescent="0.35">
      <c r="T3130" s="246">
        <f t="shared" si="86"/>
        <v>0</v>
      </c>
    </row>
    <row r="3131" spans="20:20" ht="18.75" customHeight="1" x14ac:dyDescent="0.35">
      <c r="T3131" s="246">
        <f t="shared" si="86"/>
        <v>0</v>
      </c>
    </row>
    <row r="3132" spans="20:20" ht="18.75" customHeight="1" x14ac:dyDescent="0.35">
      <c r="T3132" s="246">
        <f t="shared" ref="T3132:T3195" si="87">R3132*0.01</f>
        <v>0</v>
      </c>
    </row>
    <row r="3133" spans="20:20" ht="18.75" customHeight="1" x14ac:dyDescent="0.35">
      <c r="T3133" s="246">
        <f t="shared" si="87"/>
        <v>0</v>
      </c>
    </row>
    <row r="3134" spans="20:20" ht="18.75" customHeight="1" x14ac:dyDescent="0.35">
      <c r="T3134" s="246">
        <f t="shared" si="87"/>
        <v>0</v>
      </c>
    </row>
    <row r="3135" spans="20:20" ht="18.75" customHeight="1" x14ac:dyDescent="0.35">
      <c r="T3135" s="246">
        <f t="shared" si="87"/>
        <v>0</v>
      </c>
    </row>
    <row r="3136" spans="20:20" ht="18.75" customHeight="1" x14ac:dyDescent="0.35">
      <c r="T3136" s="246">
        <f t="shared" si="87"/>
        <v>0</v>
      </c>
    </row>
    <row r="3137" spans="20:20" ht="18.75" customHeight="1" x14ac:dyDescent="0.35">
      <c r="T3137" s="246">
        <f t="shared" si="87"/>
        <v>0</v>
      </c>
    </row>
    <row r="3138" spans="20:20" ht="18.75" customHeight="1" x14ac:dyDescent="0.35">
      <c r="T3138" s="246">
        <f t="shared" si="87"/>
        <v>0</v>
      </c>
    </row>
    <row r="3139" spans="20:20" ht="18.75" customHeight="1" x14ac:dyDescent="0.35">
      <c r="T3139" s="246">
        <f t="shared" si="87"/>
        <v>0</v>
      </c>
    </row>
    <row r="3140" spans="20:20" ht="18.75" customHeight="1" x14ac:dyDescent="0.35">
      <c r="T3140" s="246">
        <f t="shared" si="87"/>
        <v>0</v>
      </c>
    </row>
    <row r="3141" spans="20:20" ht="18.75" customHeight="1" x14ac:dyDescent="0.35">
      <c r="T3141" s="246">
        <f t="shared" si="87"/>
        <v>0</v>
      </c>
    </row>
    <row r="3142" spans="20:20" ht="18.75" customHeight="1" x14ac:dyDescent="0.35">
      <c r="T3142" s="246">
        <f t="shared" si="87"/>
        <v>0</v>
      </c>
    </row>
    <row r="3143" spans="20:20" ht="18.75" customHeight="1" x14ac:dyDescent="0.35">
      <c r="T3143" s="246">
        <f t="shared" si="87"/>
        <v>0</v>
      </c>
    </row>
    <row r="3144" spans="20:20" ht="18.75" customHeight="1" x14ac:dyDescent="0.35">
      <c r="T3144" s="246">
        <f t="shared" si="87"/>
        <v>0</v>
      </c>
    </row>
    <row r="3145" spans="20:20" ht="18.75" customHeight="1" x14ac:dyDescent="0.35">
      <c r="T3145" s="246">
        <f t="shared" si="87"/>
        <v>0</v>
      </c>
    </row>
    <row r="3146" spans="20:20" ht="18.75" customHeight="1" x14ac:dyDescent="0.35">
      <c r="T3146" s="246">
        <f t="shared" si="87"/>
        <v>0</v>
      </c>
    </row>
    <row r="3147" spans="20:20" ht="18.75" customHeight="1" x14ac:dyDescent="0.35">
      <c r="T3147" s="246">
        <f t="shared" si="87"/>
        <v>0</v>
      </c>
    </row>
    <row r="3148" spans="20:20" ht="18.75" customHeight="1" x14ac:dyDescent="0.35">
      <c r="T3148" s="246">
        <f t="shared" si="87"/>
        <v>0</v>
      </c>
    </row>
    <row r="3149" spans="20:20" ht="18.75" customHeight="1" x14ac:dyDescent="0.35">
      <c r="T3149" s="246">
        <f t="shared" si="87"/>
        <v>0</v>
      </c>
    </row>
    <row r="3150" spans="20:20" ht="18.75" customHeight="1" x14ac:dyDescent="0.35">
      <c r="T3150" s="246">
        <f t="shared" si="87"/>
        <v>0</v>
      </c>
    </row>
    <row r="3151" spans="20:20" ht="18.75" customHeight="1" x14ac:dyDescent="0.35">
      <c r="T3151" s="246">
        <f t="shared" si="87"/>
        <v>0</v>
      </c>
    </row>
    <row r="3152" spans="20:20" ht="18.75" customHeight="1" x14ac:dyDescent="0.35">
      <c r="T3152" s="246">
        <f t="shared" si="87"/>
        <v>0</v>
      </c>
    </row>
    <row r="3153" spans="20:20" ht="18.75" customHeight="1" x14ac:dyDescent="0.35">
      <c r="T3153" s="246">
        <f t="shared" si="87"/>
        <v>0</v>
      </c>
    </row>
    <row r="3154" spans="20:20" ht="18.75" customHeight="1" x14ac:dyDescent="0.35">
      <c r="T3154" s="246">
        <f t="shared" si="87"/>
        <v>0</v>
      </c>
    </row>
    <row r="3155" spans="20:20" ht="18.75" customHeight="1" x14ac:dyDescent="0.35">
      <c r="T3155" s="246">
        <f t="shared" si="87"/>
        <v>0</v>
      </c>
    </row>
    <row r="3156" spans="20:20" ht="18.75" customHeight="1" x14ac:dyDescent="0.35">
      <c r="T3156" s="246">
        <f t="shared" si="87"/>
        <v>0</v>
      </c>
    </row>
    <row r="3157" spans="20:20" ht="18.75" customHeight="1" x14ac:dyDescent="0.35">
      <c r="T3157" s="246">
        <f t="shared" si="87"/>
        <v>0</v>
      </c>
    </row>
    <row r="3158" spans="20:20" ht="18.75" customHeight="1" x14ac:dyDescent="0.35">
      <c r="T3158" s="246">
        <f t="shared" si="87"/>
        <v>0</v>
      </c>
    </row>
    <row r="3159" spans="20:20" ht="18.75" customHeight="1" x14ac:dyDescent="0.35">
      <c r="T3159" s="246">
        <f t="shared" si="87"/>
        <v>0</v>
      </c>
    </row>
    <row r="3160" spans="20:20" ht="18.75" customHeight="1" x14ac:dyDescent="0.35">
      <c r="T3160" s="246">
        <f t="shared" si="87"/>
        <v>0</v>
      </c>
    </row>
    <row r="3161" spans="20:20" ht="18.75" customHeight="1" x14ac:dyDescent="0.35">
      <c r="T3161" s="246">
        <f t="shared" si="87"/>
        <v>0</v>
      </c>
    </row>
    <row r="3162" spans="20:20" ht="18.75" customHeight="1" x14ac:dyDescent="0.35">
      <c r="T3162" s="246">
        <f t="shared" si="87"/>
        <v>0</v>
      </c>
    </row>
    <row r="3163" spans="20:20" ht="18.75" customHeight="1" x14ac:dyDescent="0.35">
      <c r="T3163" s="246">
        <f t="shared" si="87"/>
        <v>0</v>
      </c>
    </row>
    <row r="3164" spans="20:20" ht="18.75" customHeight="1" x14ac:dyDescent="0.35">
      <c r="T3164" s="246">
        <f t="shared" si="87"/>
        <v>0</v>
      </c>
    </row>
    <row r="3165" spans="20:20" ht="18.75" customHeight="1" x14ac:dyDescent="0.35">
      <c r="T3165" s="246">
        <f t="shared" si="87"/>
        <v>0</v>
      </c>
    </row>
    <row r="3166" spans="20:20" ht="18.75" customHeight="1" x14ac:dyDescent="0.35">
      <c r="T3166" s="246">
        <f t="shared" si="87"/>
        <v>0</v>
      </c>
    </row>
    <row r="3167" spans="20:20" ht="18.75" customHeight="1" x14ac:dyDescent="0.35">
      <c r="T3167" s="246">
        <f t="shared" si="87"/>
        <v>0</v>
      </c>
    </row>
    <row r="3168" spans="20:20" ht="18.75" customHeight="1" x14ac:dyDescent="0.35">
      <c r="T3168" s="246">
        <f t="shared" si="87"/>
        <v>0</v>
      </c>
    </row>
    <row r="3169" spans="20:20" ht="18.75" customHeight="1" x14ac:dyDescent="0.35">
      <c r="T3169" s="246">
        <f t="shared" si="87"/>
        <v>0</v>
      </c>
    </row>
    <row r="3170" spans="20:20" ht="18.75" customHeight="1" x14ac:dyDescent="0.35">
      <c r="T3170" s="246">
        <f t="shared" si="87"/>
        <v>0</v>
      </c>
    </row>
    <row r="3171" spans="20:20" ht="18.75" customHeight="1" x14ac:dyDescent="0.35">
      <c r="T3171" s="246">
        <f t="shared" si="87"/>
        <v>0</v>
      </c>
    </row>
    <row r="3172" spans="20:20" ht="18.75" customHeight="1" x14ac:dyDescent="0.35">
      <c r="T3172" s="246">
        <f t="shared" si="87"/>
        <v>0</v>
      </c>
    </row>
    <row r="3173" spans="20:20" ht="18.75" customHeight="1" x14ac:dyDescent="0.35">
      <c r="T3173" s="246">
        <f t="shared" si="87"/>
        <v>0</v>
      </c>
    </row>
    <row r="3174" spans="20:20" ht="18.75" customHeight="1" x14ac:dyDescent="0.35">
      <c r="T3174" s="246">
        <f t="shared" si="87"/>
        <v>0</v>
      </c>
    </row>
    <row r="3175" spans="20:20" ht="18.75" customHeight="1" x14ac:dyDescent="0.35">
      <c r="T3175" s="246">
        <f t="shared" si="87"/>
        <v>0</v>
      </c>
    </row>
    <row r="3176" spans="20:20" ht="18.75" customHeight="1" x14ac:dyDescent="0.35">
      <c r="T3176" s="246">
        <f t="shared" si="87"/>
        <v>0</v>
      </c>
    </row>
    <row r="3177" spans="20:20" ht="18.75" customHeight="1" x14ac:dyDescent="0.35">
      <c r="T3177" s="246">
        <f t="shared" si="87"/>
        <v>0</v>
      </c>
    </row>
    <row r="3178" spans="20:20" ht="18.75" customHeight="1" x14ac:dyDescent="0.35">
      <c r="T3178" s="246">
        <f t="shared" si="87"/>
        <v>0</v>
      </c>
    </row>
    <row r="3179" spans="20:20" ht="18.75" customHeight="1" x14ac:dyDescent="0.35">
      <c r="T3179" s="246">
        <f t="shared" si="87"/>
        <v>0</v>
      </c>
    </row>
    <row r="3180" spans="20:20" ht="18.75" customHeight="1" x14ac:dyDescent="0.35">
      <c r="T3180" s="246">
        <f t="shared" si="87"/>
        <v>0</v>
      </c>
    </row>
    <row r="3181" spans="20:20" ht="18.75" customHeight="1" x14ac:dyDescent="0.35">
      <c r="T3181" s="246">
        <f t="shared" si="87"/>
        <v>0</v>
      </c>
    </row>
    <row r="3182" spans="20:20" ht="18.75" customHeight="1" x14ac:dyDescent="0.35">
      <c r="T3182" s="246">
        <f t="shared" si="87"/>
        <v>0</v>
      </c>
    </row>
    <row r="3183" spans="20:20" ht="18.75" customHeight="1" x14ac:dyDescent="0.35">
      <c r="T3183" s="246">
        <f t="shared" si="87"/>
        <v>0</v>
      </c>
    </row>
    <row r="3184" spans="20:20" ht="18.75" customHeight="1" x14ac:dyDescent="0.35">
      <c r="T3184" s="246">
        <f t="shared" si="87"/>
        <v>0</v>
      </c>
    </row>
    <row r="3185" spans="20:20" ht="18.75" customHeight="1" x14ac:dyDescent="0.35">
      <c r="T3185" s="246">
        <f t="shared" si="87"/>
        <v>0</v>
      </c>
    </row>
    <row r="3186" spans="20:20" ht="18.75" customHeight="1" x14ac:dyDescent="0.35">
      <c r="T3186" s="246">
        <f t="shared" si="87"/>
        <v>0</v>
      </c>
    </row>
    <row r="3187" spans="20:20" ht="18.75" customHeight="1" x14ac:dyDescent="0.35">
      <c r="T3187" s="246">
        <f t="shared" si="87"/>
        <v>0</v>
      </c>
    </row>
    <row r="3188" spans="20:20" ht="18.75" customHeight="1" x14ac:dyDescent="0.35">
      <c r="T3188" s="246">
        <f t="shared" si="87"/>
        <v>0</v>
      </c>
    </row>
    <row r="3189" spans="20:20" ht="18.75" customHeight="1" x14ac:dyDescent="0.35">
      <c r="T3189" s="246">
        <f t="shared" si="87"/>
        <v>0</v>
      </c>
    </row>
    <row r="3190" spans="20:20" ht="18.75" customHeight="1" x14ac:dyDescent="0.35">
      <c r="T3190" s="246">
        <f t="shared" si="87"/>
        <v>0</v>
      </c>
    </row>
    <row r="3191" spans="20:20" ht="18.75" customHeight="1" x14ac:dyDescent="0.35">
      <c r="T3191" s="246">
        <f t="shared" si="87"/>
        <v>0</v>
      </c>
    </row>
    <row r="3192" spans="20:20" ht="18.75" customHeight="1" x14ac:dyDescent="0.35">
      <c r="T3192" s="246">
        <f t="shared" si="87"/>
        <v>0</v>
      </c>
    </row>
    <row r="3193" spans="20:20" ht="18.75" customHeight="1" x14ac:dyDescent="0.35">
      <c r="T3193" s="246">
        <f t="shared" si="87"/>
        <v>0</v>
      </c>
    </row>
    <row r="3194" spans="20:20" ht="18.75" customHeight="1" x14ac:dyDescent="0.35">
      <c r="T3194" s="246">
        <f t="shared" si="87"/>
        <v>0</v>
      </c>
    </row>
    <row r="3195" spans="20:20" ht="18.75" customHeight="1" x14ac:dyDescent="0.35">
      <c r="T3195" s="246">
        <f t="shared" si="87"/>
        <v>0</v>
      </c>
    </row>
    <row r="3196" spans="20:20" ht="18.75" customHeight="1" x14ac:dyDescent="0.35">
      <c r="T3196" s="246">
        <f t="shared" ref="T3196:T3259" si="88">R3196*0.01</f>
        <v>0</v>
      </c>
    </row>
    <row r="3197" spans="20:20" ht="18.75" customHeight="1" x14ac:dyDescent="0.35">
      <c r="T3197" s="246">
        <f t="shared" si="88"/>
        <v>0</v>
      </c>
    </row>
    <row r="3198" spans="20:20" ht="18.75" customHeight="1" x14ac:dyDescent="0.35">
      <c r="T3198" s="246">
        <f t="shared" si="88"/>
        <v>0</v>
      </c>
    </row>
    <row r="3199" spans="20:20" ht="18.75" customHeight="1" x14ac:dyDescent="0.35">
      <c r="T3199" s="246">
        <f t="shared" si="88"/>
        <v>0</v>
      </c>
    </row>
    <row r="3200" spans="20:20" ht="18.75" customHeight="1" x14ac:dyDescent="0.35">
      <c r="T3200" s="246">
        <f t="shared" si="88"/>
        <v>0</v>
      </c>
    </row>
    <row r="3201" spans="20:20" ht="18.75" customHeight="1" x14ac:dyDescent="0.35">
      <c r="T3201" s="246">
        <f t="shared" si="88"/>
        <v>0</v>
      </c>
    </row>
    <row r="3202" spans="20:20" ht="18.75" customHeight="1" x14ac:dyDescent="0.35">
      <c r="T3202" s="246">
        <f t="shared" si="88"/>
        <v>0</v>
      </c>
    </row>
    <row r="3203" spans="20:20" ht="18.75" customHeight="1" x14ac:dyDescent="0.35">
      <c r="T3203" s="246">
        <f t="shared" si="88"/>
        <v>0</v>
      </c>
    </row>
    <row r="3204" spans="20:20" ht="18.75" customHeight="1" x14ac:dyDescent="0.35">
      <c r="T3204" s="246">
        <f t="shared" si="88"/>
        <v>0</v>
      </c>
    </row>
    <row r="3205" spans="20:20" ht="18.75" customHeight="1" x14ac:dyDescent="0.35">
      <c r="T3205" s="246">
        <f t="shared" si="88"/>
        <v>0</v>
      </c>
    </row>
    <row r="3206" spans="20:20" ht="18.75" customHeight="1" x14ac:dyDescent="0.35">
      <c r="T3206" s="246">
        <f t="shared" si="88"/>
        <v>0</v>
      </c>
    </row>
    <row r="3207" spans="20:20" ht="18.75" customHeight="1" x14ac:dyDescent="0.35">
      <c r="T3207" s="246">
        <f t="shared" si="88"/>
        <v>0</v>
      </c>
    </row>
    <row r="3208" spans="20:20" ht="18.75" customHeight="1" x14ac:dyDescent="0.35">
      <c r="T3208" s="246">
        <f t="shared" si="88"/>
        <v>0</v>
      </c>
    </row>
    <row r="3209" spans="20:20" ht="18.75" customHeight="1" x14ac:dyDescent="0.35">
      <c r="T3209" s="246">
        <f t="shared" si="88"/>
        <v>0</v>
      </c>
    </row>
    <row r="3210" spans="20:20" ht="18.75" customHeight="1" x14ac:dyDescent="0.35">
      <c r="T3210" s="246">
        <f t="shared" si="88"/>
        <v>0</v>
      </c>
    </row>
    <row r="3211" spans="20:20" ht="18.75" customHeight="1" x14ac:dyDescent="0.35">
      <c r="T3211" s="246">
        <f t="shared" si="88"/>
        <v>0</v>
      </c>
    </row>
    <row r="3212" spans="20:20" ht="18.75" customHeight="1" x14ac:dyDescent="0.35">
      <c r="T3212" s="246">
        <f t="shared" si="88"/>
        <v>0</v>
      </c>
    </row>
    <row r="3213" spans="20:20" ht="18.75" customHeight="1" x14ac:dyDescent="0.35">
      <c r="T3213" s="246">
        <f t="shared" si="88"/>
        <v>0</v>
      </c>
    </row>
    <row r="3214" spans="20:20" ht="18.75" customHeight="1" x14ac:dyDescent="0.35">
      <c r="T3214" s="246">
        <f t="shared" si="88"/>
        <v>0</v>
      </c>
    </row>
    <row r="3215" spans="20:20" ht="18.75" customHeight="1" x14ac:dyDescent="0.35">
      <c r="T3215" s="246">
        <f t="shared" si="88"/>
        <v>0</v>
      </c>
    </row>
    <row r="3216" spans="20:20" ht="18.75" customHeight="1" x14ac:dyDescent="0.35">
      <c r="T3216" s="246">
        <f t="shared" si="88"/>
        <v>0</v>
      </c>
    </row>
    <row r="3217" spans="20:20" ht="18.75" customHeight="1" x14ac:dyDescent="0.35">
      <c r="T3217" s="246">
        <f t="shared" si="88"/>
        <v>0</v>
      </c>
    </row>
    <row r="3218" spans="20:20" ht="18.75" customHeight="1" x14ac:dyDescent="0.35">
      <c r="T3218" s="246">
        <f t="shared" si="88"/>
        <v>0</v>
      </c>
    </row>
    <row r="3219" spans="20:20" ht="18.75" customHeight="1" x14ac:dyDescent="0.35">
      <c r="T3219" s="246">
        <f t="shared" si="88"/>
        <v>0</v>
      </c>
    </row>
    <row r="3220" spans="20:20" ht="18.75" customHeight="1" x14ac:dyDescent="0.35">
      <c r="T3220" s="246">
        <f t="shared" si="88"/>
        <v>0</v>
      </c>
    </row>
    <row r="3221" spans="20:20" ht="18.75" customHeight="1" x14ac:dyDescent="0.35">
      <c r="T3221" s="246">
        <f t="shared" si="88"/>
        <v>0</v>
      </c>
    </row>
    <row r="3222" spans="20:20" ht="18.75" customHeight="1" x14ac:dyDescent="0.35">
      <c r="T3222" s="246">
        <f t="shared" si="88"/>
        <v>0</v>
      </c>
    </row>
    <row r="3223" spans="20:20" ht="18.75" customHeight="1" x14ac:dyDescent="0.35">
      <c r="T3223" s="246">
        <f t="shared" si="88"/>
        <v>0</v>
      </c>
    </row>
    <row r="3224" spans="20:20" ht="18.75" customHeight="1" x14ac:dyDescent="0.35">
      <c r="T3224" s="246">
        <f t="shared" si="88"/>
        <v>0</v>
      </c>
    </row>
    <row r="3225" spans="20:20" ht="18.75" customHeight="1" x14ac:dyDescent="0.35">
      <c r="T3225" s="246">
        <f t="shared" si="88"/>
        <v>0</v>
      </c>
    </row>
    <row r="3226" spans="20:20" ht="18.75" customHeight="1" x14ac:dyDescent="0.35">
      <c r="T3226" s="246">
        <f t="shared" si="88"/>
        <v>0</v>
      </c>
    </row>
    <row r="3227" spans="20:20" ht="18.75" customHeight="1" x14ac:dyDescent="0.35">
      <c r="T3227" s="246">
        <f t="shared" si="88"/>
        <v>0</v>
      </c>
    </row>
    <row r="3228" spans="20:20" ht="18.75" customHeight="1" x14ac:dyDescent="0.35">
      <c r="T3228" s="246">
        <f t="shared" si="88"/>
        <v>0</v>
      </c>
    </row>
    <row r="3229" spans="20:20" ht="18.75" customHeight="1" x14ac:dyDescent="0.35">
      <c r="T3229" s="246">
        <f t="shared" si="88"/>
        <v>0</v>
      </c>
    </row>
    <row r="3230" spans="20:20" ht="18.75" customHeight="1" x14ac:dyDescent="0.35">
      <c r="T3230" s="246">
        <f t="shared" si="88"/>
        <v>0</v>
      </c>
    </row>
    <row r="3231" spans="20:20" ht="18.75" customHeight="1" x14ac:dyDescent="0.35">
      <c r="T3231" s="246">
        <f t="shared" si="88"/>
        <v>0</v>
      </c>
    </row>
    <row r="3232" spans="20:20" ht="18.75" customHeight="1" x14ac:dyDescent="0.35">
      <c r="T3232" s="246">
        <f t="shared" si="88"/>
        <v>0</v>
      </c>
    </row>
    <row r="3233" spans="20:20" ht="18.75" customHeight="1" x14ac:dyDescent="0.35">
      <c r="T3233" s="246">
        <f t="shared" si="88"/>
        <v>0</v>
      </c>
    </row>
    <row r="3234" spans="20:20" ht="18.75" customHeight="1" x14ac:dyDescent="0.35">
      <c r="T3234" s="246">
        <f t="shared" si="88"/>
        <v>0</v>
      </c>
    </row>
    <row r="3235" spans="20:20" ht="18.75" customHeight="1" x14ac:dyDescent="0.35">
      <c r="T3235" s="246">
        <f t="shared" si="88"/>
        <v>0</v>
      </c>
    </row>
    <row r="3236" spans="20:20" ht="18.75" customHeight="1" x14ac:dyDescent="0.35">
      <c r="T3236" s="246">
        <f t="shared" si="88"/>
        <v>0</v>
      </c>
    </row>
    <row r="3237" spans="20:20" ht="18.75" customHeight="1" x14ac:dyDescent="0.35">
      <c r="T3237" s="246">
        <f t="shared" si="88"/>
        <v>0</v>
      </c>
    </row>
    <row r="3238" spans="20:20" ht="18.75" customHeight="1" x14ac:dyDescent="0.35">
      <c r="T3238" s="246">
        <f t="shared" si="88"/>
        <v>0</v>
      </c>
    </row>
    <row r="3239" spans="20:20" ht="18.75" customHeight="1" x14ac:dyDescent="0.35">
      <c r="T3239" s="246">
        <f t="shared" si="88"/>
        <v>0</v>
      </c>
    </row>
    <row r="3240" spans="20:20" ht="18.75" customHeight="1" x14ac:dyDescent="0.35">
      <c r="T3240" s="246">
        <f t="shared" si="88"/>
        <v>0</v>
      </c>
    </row>
    <row r="3241" spans="20:20" ht="18.75" customHeight="1" x14ac:dyDescent="0.35">
      <c r="T3241" s="246">
        <f t="shared" si="88"/>
        <v>0</v>
      </c>
    </row>
    <row r="3242" spans="20:20" ht="18.75" customHeight="1" x14ac:dyDescent="0.35">
      <c r="T3242" s="246">
        <f t="shared" si="88"/>
        <v>0</v>
      </c>
    </row>
    <row r="3243" spans="20:20" ht="18.75" customHeight="1" x14ac:dyDescent="0.35">
      <c r="T3243" s="246">
        <f t="shared" si="88"/>
        <v>0</v>
      </c>
    </row>
    <row r="3244" spans="20:20" ht="18.75" customHeight="1" x14ac:dyDescent="0.35">
      <c r="T3244" s="246">
        <f t="shared" si="88"/>
        <v>0</v>
      </c>
    </row>
    <row r="3245" spans="20:20" ht="18.75" customHeight="1" x14ac:dyDescent="0.35">
      <c r="T3245" s="246">
        <f t="shared" si="88"/>
        <v>0</v>
      </c>
    </row>
    <row r="3246" spans="20:20" ht="18.75" customHeight="1" x14ac:dyDescent="0.35">
      <c r="T3246" s="246">
        <f t="shared" si="88"/>
        <v>0</v>
      </c>
    </row>
    <row r="3247" spans="20:20" ht="18.75" customHeight="1" x14ac:dyDescent="0.35">
      <c r="T3247" s="246">
        <f t="shared" si="88"/>
        <v>0</v>
      </c>
    </row>
    <row r="3248" spans="20:20" ht="18.75" customHeight="1" x14ac:dyDescent="0.35">
      <c r="T3248" s="246">
        <f t="shared" si="88"/>
        <v>0</v>
      </c>
    </row>
    <row r="3249" spans="20:20" ht="18.75" customHeight="1" x14ac:dyDescent="0.35">
      <c r="T3249" s="246">
        <f t="shared" si="88"/>
        <v>0</v>
      </c>
    </row>
    <row r="3250" spans="20:20" ht="18.75" customHeight="1" x14ac:dyDescent="0.35">
      <c r="T3250" s="246">
        <f t="shared" si="88"/>
        <v>0</v>
      </c>
    </row>
    <row r="3251" spans="20:20" ht="18.75" customHeight="1" x14ac:dyDescent="0.35">
      <c r="T3251" s="246">
        <f t="shared" si="88"/>
        <v>0</v>
      </c>
    </row>
    <row r="3252" spans="20:20" ht="18.75" customHeight="1" x14ac:dyDescent="0.35">
      <c r="T3252" s="246">
        <f t="shared" si="88"/>
        <v>0</v>
      </c>
    </row>
    <row r="3253" spans="20:20" ht="18.75" customHeight="1" x14ac:dyDescent="0.35">
      <c r="T3253" s="246">
        <f t="shared" si="88"/>
        <v>0</v>
      </c>
    </row>
    <row r="3254" spans="20:20" ht="18.75" customHeight="1" x14ac:dyDescent="0.35">
      <c r="T3254" s="246">
        <f t="shared" si="88"/>
        <v>0</v>
      </c>
    </row>
    <row r="3255" spans="20:20" ht="18.75" customHeight="1" x14ac:dyDescent="0.35">
      <c r="T3255" s="246">
        <f t="shared" si="88"/>
        <v>0</v>
      </c>
    </row>
    <row r="3256" spans="20:20" ht="18.75" customHeight="1" x14ac:dyDescent="0.35">
      <c r="T3256" s="246">
        <f t="shared" si="88"/>
        <v>0</v>
      </c>
    </row>
    <row r="3257" spans="20:20" ht="18.75" customHeight="1" x14ac:dyDescent="0.35">
      <c r="T3257" s="246">
        <f t="shared" si="88"/>
        <v>0</v>
      </c>
    </row>
    <row r="3258" spans="20:20" ht="18.75" customHeight="1" x14ac:dyDescent="0.35">
      <c r="T3258" s="246">
        <f t="shared" si="88"/>
        <v>0</v>
      </c>
    </row>
    <row r="3259" spans="20:20" ht="18.75" customHeight="1" x14ac:dyDescent="0.35">
      <c r="T3259" s="246">
        <f t="shared" si="88"/>
        <v>0</v>
      </c>
    </row>
    <row r="3260" spans="20:20" ht="18.75" customHeight="1" x14ac:dyDescent="0.35">
      <c r="T3260" s="246">
        <f t="shared" ref="T3260:T3323" si="89">R3260*0.01</f>
        <v>0</v>
      </c>
    </row>
    <row r="3261" spans="20:20" ht="18.75" customHeight="1" x14ac:dyDescent="0.35">
      <c r="T3261" s="246">
        <f t="shared" si="89"/>
        <v>0</v>
      </c>
    </row>
    <row r="3262" spans="20:20" ht="18.75" customHeight="1" x14ac:dyDescent="0.35">
      <c r="T3262" s="246">
        <f t="shared" si="89"/>
        <v>0</v>
      </c>
    </row>
    <row r="3263" spans="20:20" ht="18.75" customHeight="1" x14ac:dyDescent="0.35">
      <c r="T3263" s="246">
        <f t="shared" si="89"/>
        <v>0</v>
      </c>
    </row>
    <row r="3264" spans="20:20" ht="18.75" customHeight="1" x14ac:dyDescent="0.35">
      <c r="T3264" s="246">
        <f t="shared" si="89"/>
        <v>0</v>
      </c>
    </row>
    <row r="3265" spans="20:20" ht="18.75" customHeight="1" x14ac:dyDescent="0.35">
      <c r="T3265" s="246">
        <f t="shared" si="89"/>
        <v>0</v>
      </c>
    </row>
    <row r="3266" spans="20:20" ht="18.75" customHeight="1" x14ac:dyDescent="0.35">
      <c r="T3266" s="246">
        <f t="shared" si="89"/>
        <v>0</v>
      </c>
    </row>
    <row r="3267" spans="20:20" ht="18.75" customHeight="1" x14ac:dyDescent="0.35">
      <c r="T3267" s="246">
        <f t="shared" si="89"/>
        <v>0</v>
      </c>
    </row>
    <row r="3268" spans="20:20" ht="18.75" customHeight="1" x14ac:dyDescent="0.35">
      <c r="T3268" s="246">
        <f t="shared" si="89"/>
        <v>0</v>
      </c>
    </row>
    <row r="3269" spans="20:20" ht="18.75" customHeight="1" x14ac:dyDescent="0.35">
      <c r="T3269" s="246">
        <f t="shared" si="89"/>
        <v>0</v>
      </c>
    </row>
    <row r="3270" spans="20:20" ht="18.75" customHeight="1" x14ac:dyDescent="0.35">
      <c r="T3270" s="246">
        <f t="shared" si="89"/>
        <v>0</v>
      </c>
    </row>
    <row r="3271" spans="20:20" ht="18.75" customHeight="1" x14ac:dyDescent="0.35">
      <c r="T3271" s="246">
        <f t="shared" si="89"/>
        <v>0</v>
      </c>
    </row>
    <row r="3272" spans="20:20" ht="18.75" customHeight="1" x14ac:dyDescent="0.35">
      <c r="T3272" s="246">
        <f t="shared" si="89"/>
        <v>0</v>
      </c>
    </row>
    <row r="3273" spans="20:20" ht="18.75" customHeight="1" x14ac:dyDescent="0.35">
      <c r="T3273" s="246">
        <f t="shared" si="89"/>
        <v>0</v>
      </c>
    </row>
    <row r="3274" spans="20:20" ht="18.75" customHeight="1" x14ac:dyDescent="0.35">
      <c r="T3274" s="246">
        <f t="shared" si="89"/>
        <v>0</v>
      </c>
    </row>
    <row r="3275" spans="20:20" ht="18.75" customHeight="1" x14ac:dyDescent="0.35">
      <c r="T3275" s="246">
        <f t="shared" si="89"/>
        <v>0</v>
      </c>
    </row>
    <row r="3276" spans="20:20" ht="18.75" customHeight="1" x14ac:dyDescent="0.35">
      <c r="T3276" s="246">
        <f t="shared" si="89"/>
        <v>0</v>
      </c>
    </row>
    <row r="3277" spans="20:20" ht="18.75" customHeight="1" x14ac:dyDescent="0.35">
      <c r="T3277" s="246">
        <f t="shared" si="89"/>
        <v>0</v>
      </c>
    </row>
    <row r="3278" spans="20:20" ht="18.75" customHeight="1" x14ac:dyDescent="0.35">
      <c r="T3278" s="246">
        <f t="shared" si="89"/>
        <v>0</v>
      </c>
    </row>
    <row r="3279" spans="20:20" ht="18.75" customHeight="1" x14ac:dyDescent="0.35">
      <c r="T3279" s="246">
        <f t="shared" si="89"/>
        <v>0</v>
      </c>
    </row>
    <row r="3280" spans="20:20" ht="18.75" customHeight="1" x14ac:dyDescent="0.35">
      <c r="T3280" s="246">
        <f t="shared" si="89"/>
        <v>0</v>
      </c>
    </row>
    <row r="3281" spans="20:20" ht="18.75" customHeight="1" x14ac:dyDescent="0.35">
      <c r="T3281" s="246">
        <f t="shared" si="89"/>
        <v>0</v>
      </c>
    </row>
    <row r="3282" spans="20:20" ht="18.75" customHeight="1" x14ac:dyDescent="0.35">
      <c r="T3282" s="246">
        <f t="shared" si="89"/>
        <v>0</v>
      </c>
    </row>
    <row r="3283" spans="20:20" ht="18.75" customHeight="1" x14ac:dyDescent="0.35">
      <c r="T3283" s="246">
        <f t="shared" si="89"/>
        <v>0</v>
      </c>
    </row>
    <row r="3284" spans="20:20" ht="18.75" customHeight="1" x14ac:dyDescent="0.35">
      <c r="T3284" s="246">
        <f t="shared" si="89"/>
        <v>0</v>
      </c>
    </row>
    <row r="3285" spans="20:20" ht="18.75" customHeight="1" x14ac:dyDescent="0.35">
      <c r="T3285" s="246">
        <f t="shared" si="89"/>
        <v>0</v>
      </c>
    </row>
    <row r="3286" spans="20:20" ht="18.75" customHeight="1" x14ac:dyDescent="0.35">
      <c r="T3286" s="246">
        <f t="shared" si="89"/>
        <v>0</v>
      </c>
    </row>
    <row r="3287" spans="20:20" ht="18.75" customHeight="1" x14ac:dyDescent="0.35">
      <c r="T3287" s="246">
        <f t="shared" si="89"/>
        <v>0</v>
      </c>
    </row>
    <row r="3288" spans="20:20" ht="18.75" customHeight="1" x14ac:dyDescent="0.35">
      <c r="T3288" s="246">
        <f t="shared" si="89"/>
        <v>0</v>
      </c>
    </row>
    <row r="3289" spans="20:20" ht="18.75" customHeight="1" x14ac:dyDescent="0.35">
      <c r="T3289" s="246">
        <f t="shared" si="89"/>
        <v>0</v>
      </c>
    </row>
    <row r="3290" spans="20:20" ht="18.75" customHeight="1" x14ac:dyDescent="0.35">
      <c r="T3290" s="246">
        <f t="shared" si="89"/>
        <v>0</v>
      </c>
    </row>
    <row r="3291" spans="20:20" ht="18.75" customHeight="1" x14ac:dyDescent="0.35">
      <c r="T3291" s="246">
        <f t="shared" si="89"/>
        <v>0</v>
      </c>
    </row>
    <row r="3292" spans="20:20" ht="18.75" customHeight="1" x14ac:dyDescent="0.35">
      <c r="T3292" s="246">
        <f t="shared" si="89"/>
        <v>0</v>
      </c>
    </row>
    <row r="3293" spans="20:20" ht="18.75" customHeight="1" x14ac:dyDescent="0.35">
      <c r="T3293" s="246">
        <f t="shared" si="89"/>
        <v>0</v>
      </c>
    </row>
    <row r="3294" spans="20:20" ht="18.75" customHeight="1" x14ac:dyDescent="0.35">
      <c r="T3294" s="246">
        <f t="shared" si="89"/>
        <v>0</v>
      </c>
    </row>
    <row r="3295" spans="20:20" ht="18.75" customHeight="1" x14ac:dyDescent="0.35">
      <c r="T3295" s="246">
        <f t="shared" si="89"/>
        <v>0</v>
      </c>
    </row>
    <row r="3296" spans="20:20" ht="18.75" customHeight="1" x14ac:dyDescent="0.35">
      <c r="T3296" s="246">
        <f t="shared" si="89"/>
        <v>0</v>
      </c>
    </row>
    <row r="3297" spans="20:20" ht="18.75" customHeight="1" x14ac:dyDescent="0.35">
      <c r="T3297" s="246">
        <f t="shared" si="89"/>
        <v>0</v>
      </c>
    </row>
    <row r="3298" spans="20:20" ht="18.75" customHeight="1" x14ac:dyDescent="0.35">
      <c r="T3298" s="246">
        <f t="shared" si="89"/>
        <v>0</v>
      </c>
    </row>
    <row r="3299" spans="20:20" ht="18.75" customHeight="1" x14ac:dyDescent="0.35">
      <c r="T3299" s="246">
        <f t="shared" si="89"/>
        <v>0</v>
      </c>
    </row>
    <row r="3300" spans="20:20" ht="18.75" customHeight="1" x14ac:dyDescent="0.35">
      <c r="T3300" s="246">
        <f t="shared" si="89"/>
        <v>0</v>
      </c>
    </row>
    <row r="3301" spans="20:20" ht="18.75" customHeight="1" x14ac:dyDescent="0.35">
      <c r="T3301" s="246">
        <f t="shared" si="89"/>
        <v>0</v>
      </c>
    </row>
    <row r="3302" spans="20:20" ht="18.75" customHeight="1" x14ac:dyDescent="0.35">
      <c r="T3302" s="246">
        <f t="shared" si="89"/>
        <v>0</v>
      </c>
    </row>
    <row r="3303" spans="20:20" ht="18.75" customHeight="1" x14ac:dyDescent="0.35">
      <c r="T3303" s="246">
        <f t="shared" si="89"/>
        <v>0</v>
      </c>
    </row>
    <row r="3304" spans="20:20" ht="18.75" customHeight="1" x14ac:dyDescent="0.35">
      <c r="T3304" s="246">
        <f t="shared" si="89"/>
        <v>0</v>
      </c>
    </row>
    <row r="3305" spans="20:20" ht="18.75" customHeight="1" x14ac:dyDescent="0.35">
      <c r="T3305" s="246">
        <f t="shared" si="89"/>
        <v>0</v>
      </c>
    </row>
    <row r="3306" spans="20:20" ht="18.75" customHeight="1" x14ac:dyDescent="0.35">
      <c r="T3306" s="246">
        <f t="shared" si="89"/>
        <v>0</v>
      </c>
    </row>
    <row r="3307" spans="20:20" ht="18.75" customHeight="1" x14ac:dyDescent="0.35">
      <c r="T3307" s="246">
        <f t="shared" si="89"/>
        <v>0</v>
      </c>
    </row>
    <row r="3308" spans="20:20" ht="18.75" customHeight="1" x14ac:dyDescent="0.35">
      <c r="T3308" s="246">
        <f t="shared" si="89"/>
        <v>0</v>
      </c>
    </row>
    <row r="3309" spans="20:20" ht="18.75" customHeight="1" x14ac:dyDescent="0.35">
      <c r="T3309" s="246">
        <f t="shared" si="89"/>
        <v>0</v>
      </c>
    </row>
    <row r="3310" spans="20:20" ht="18.75" customHeight="1" x14ac:dyDescent="0.35">
      <c r="T3310" s="246">
        <f t="shared" si="89"/>
        <v>0</v>
      </c>
    </row>
    <row r="3311" spans="20:20" ht="18.75" customHeight="1" x14ac:dyDescent="0.35">
      <c r="T3311" s="246">
        <f t="shared" si="89"/>
        <v>0</v>
      </c>
    </row>
    <row r="3312" spans="20:20" ht="18.75" customHeight="1" x14ac:dyDescent="0.35">
      <c r="T3312" s="246">
        <f t="shared" si="89"/>
        <v>0</v>
      </c>
    </row>
    <row r="3313" spans="20:20" ht="18.75" customHeight="1" x14ac:dyDescent="0.35">
      <c r="T3313" s="246">
        <f t="shared" si="89"/>
        <v>0</v>
      </c>
    </row>
    <row r="3314" spans="20:20" ht="18.75" customHeight="1" x14ac:dyDescent="0.35">
      <c r="T3314" s="246">
        <f t="shared" si="89"/>
        <v>0</v>
      </c>
    </row>
    <row r="3315" spans="20:20" ht="18.75" customHeight="1" x14ac:dyDescent="0.35">
      <c r="T3315" s="246">
        <f t="shared" si="89"/>
        <v>0</v>
      </c>
    </row>
    <row r="3316" spans="20:20" ht="18.75" customHeight="1" x14ac:dyDescent="0.35">
      <c r="T3316" s="246">
        <f t="shared" si="89"/>
        <v>0</v>
      </c>
    </row>
    <row r="3317" spans="20:20" ht="18.75" customHeight="1" x14ac:dyDescent="0.35">
      <c r="T3317" s="246">
        <f t="shared" si="89"/>
        <v>0</v>
      </c>
    </row>
    <row r="3318" spans="20:20" ht="18.75" customHeight="1" x14ac:dyDescent="0.35">
      <c r="T3318" s="246">
        <f t="shared" si="89"/>
        <v>0</v>
      </c>
    </row>
    <row r="3319" spans="20:20" ht="18.75" customHeight="1" x14ac:dyDescent="0.35">
      <c r="T3319" s="246">
        <f t="shared" si="89"/>
        <v>0</v>
      </c>
    </row>
    <row r="3320" spans="20:20" ht="18.75" customHeight="1" x14ac:dyDescent="0.35">
      <c r="T3320" s="246">
        <f t="shared" si="89"/>
        <v>0</v>
      </c>
    </row>
    <row r="3321" spans="20:20" ht="18.75" customHeight="1" x14ac:dyDescent="0.35">
      <c r="T3321" s="246">
        <f t="shared" si="89"/>
        <v>0</v>
      </c>
    </row>
    <row r="3322" spans="20:20" ht="18.75" customHeight="1" x14ac:dyDescent="0.35">
      <c r="T3322" s="246">
        <f t="shared" si="89"/>
        <v>0</v>
      </c>
    </row>
    <row r="3323" spans="20:20" ht="18.75" customHeight="1" x14ac:dyDescent="0.35">
      <c r="T3323" s="246">
        <f t="shared" si="89"/>
        <v>0</v>
      </c>
    </row>
    <row r="3324" spans="20:20" ht="18.75" customHeight="1" x14ac:dyDescent="0.35">
      <c r="T3324" s="246">
        <f t="shared" ref="T3324:T3387" si="90">R3324*0.01</f>
        <v>0</v>
      </c>
    </row>
    <row r="3325" spans="20:20" ht="18.75" customHeight="1" x14ac:dyDescent="0.35">
      <c r="T3325" s="246">
        <f t="shared" si="90"/>
        <v>0</v>
      </c>
    </row>
    <row r="3326" spans="20:20" ht="18.75" customHeight="1" x14ac:dyDescent="0.35">
      <c r="T3326" s="246">
        <f t="shared" si="90"/>
        <v>0</v>
      </c>
    </row>
    <row r="3327" spans="20:20" ht="18.75" customHeight="1" x14ac:dyDescent="0.35">
      <c r="T3327" s="246">
        <f t="shared" si="90"/>
        <v>0</v>
      </c>
    </row>
    <row r="3328" spans="20:20" ht="18.75" customHeight="1" x14ac:dyDescent="0.35">
      <c r="T3328" s="246">
        <f t="shared" si="90"/>
        <v>0</v>
      </c>
    </row>
    <row r="3329" spans="20:20" ht="18.75" customHeight="1" x14ac:dyDescent="0.35">
      <c r="T3329" s="246">
        <f t="shared" si="90"/>
        <v>0</v>
      </c>
    </row>
    <row r="3330" spans="20:20" ht="18.75" customHeight="1" x14ac:dyDescent="0.35">
      <c r="T3330" s="246">
        <f t="shared" si="90"/>
        <v>0</v>
      </c>
    </row>
    <row r="3331" spans="20:20" ht="18.75" customHeight="1" x14ac:dyDescent="0.35">
      <c r="T3331" s="246">
        <f t="shared" si="90"/>
        <v>0</v>
      </c>
    </row>
    <row r="3332" spans="20:20" ht="18.75" customHeight="1" x14ac:dyDescent="0.35">
      <c r="T3332" s="246">
        <f t="shared" si="90"/>
        <v>0</v>
      </c>
    </row>
    <row r="3333" spans="20:20" ht="18.75" customHeight="1" x14ac:dyDescent="0.35">
      <c r="T3333" s="246">
        <f t="shared" si="90"/>
        <v>0</v>
      </c>
    </row>
    <row r="3334" spans="20:20" ht="18.75" customHeight="1" x14ac:dyDescent="0.35">
      <c r="T3334" s="246">
        <f t="shared" si="90"/>
        <v>0</v>
      </c>
    </row>
    <row r="3335" spans="20:20" ht="18.75" customHeight="1" x14ac:dyDescent="0.35">
      <c r="T3335" s="246">
        <f t="shared" si="90"/>
        <v>0</v>
      </c>
    </row>
    <row r="3336" spans="20:20" ht="18.75" customHeight="1" x14ac:dyDescent="0.35">
      <c r="T3336" s="246">
        <f t="shared" si="90"/>
        <v>0</v>
      </c>
    </row>
    <row r="3337" spans="20:20" ht="18.75" customHeight="1" x14ac:dyDescent="0.35">
      <c r="T3337" s="246">
        <f t="shared" si="90"/>
        <v>0</v>
      </c>
    </row>
    <row r="3338" spans="20:20" ht="18.75" customHeight="1" x14ac:dyDescent="0.35">
      <c r="T3338" s="246">
        <f t="shared" si="90"/>
        <v>0</v>
      </c>
    </row>
    <row r="3339" spans="20:20" ht="18.75" customHeight="1" x14ac:dyDescent="0.35">
      <c r="T3339" s="246">
        <f t="shared" si="90"/>
        <v>0</v>
      </c>
    </row>
    <row r="3340" spans="20:20" ht="18.75" customHeight="1" x14ac:dyDescent="0.35">
      <c r="T3340" s="246">
        <f t="shared" si="90"/>
        <v>0</v>
      </c>
    </row>
    <row r="3341" spans="20:20" ht="18.75" customHeight="1" x14ac:dyDescent="0.35">
      <c r="T3341" s="246">
        <f t="shared" si="90"/>
        <v>0</v>
      </c>
    </row>
    <row r="3342" spans="20:20" ht="18.75" customHeight="1" x14ac:dyDescent="0.35">
      <c r="T3342" s="246">
        <f t="shared" si="90"/>
        <v>0</v>
      </c>
    </row>
    <row r="3343" spans="20:20" ht="18.75" customHeight="1" x14ac:dyDescent="0.35">
      <c r="T3343" s="246">
        <f t="shared" si="90"/>
        <v>0</v>
      </c>
    </row>
    <row r="3344" spans="20:20" ht="18.75" customHeight="1" x14ac:dyDescent="0.35">
      <c r="T3344" s="246">
        <f t="shared" si="90"/>
        <v>0</v>
      </c>
    </row>
    <row r="3345" spans="20:20" ht="18.75" customHeight="1" x14ac:dyDescent="0.35">
      <c r="T3345" s="246">
        <f t="shared" si="90"/>
        <v>0</v>
      </c>
    </row>
    <row r="3346" spans="20:20" ht="18.75" customHeight="1" x14ac:dyDescent="0.35">
      <c r="T3346" s="246">
        <f t="shared" si="90"/>
        <v>0</v>
      </c>
    </row>
    <row r="3347" spans="20:20" ht="18.75" customHeight="1" x14ac:dyDescent="0.35">
      <c r="T3347" s="246">
        <f t="shared" si="90"/>
        <v>0</v>
      </c>
    </row>
    <row r="3348" spans="20:20" ht="18.75" customHeight="1" x14ac:dyDescent="0.35">
      <c r="T3348" s="246">
        <f t="shared" si="90"/>
        <v>0</v>
      </c>
    </row>
    <row r="3349" spans="20:20" ht="18.75" customHeight="1" x14ac:dyDescent="0.35">
      <c r="T3349" s="246">
        <f t="shared" si="90"/>
        <v>0</v>
      </c>
    </row>
    <row r="3350" spans="20:20" ht="18.75" customHeight="1" x14ac:dyDescent="0.35">
      <c r="T3350" s="246">
        <f t="shared" si="90"/>
        <v>0</v>
      </c>
    </row>
    <row r="3351" spans="20:20" ht="18.75" customHeight="1" x14ac:dyDescent="0.35">
      <c r="T3351" s="246">
        <f t="shared" si="90"/>
        <v>0</v>
      </c>
    </row>
    <row r="3352" spans="20:20" ht="18.75" customHeight="1" x14ac:dyDescent="0.35">
      <c r="T3352" s="246">
        <f t="shared" si="90"/>
        <v>0</v>
      </c>
    </row>
    <row r="3353" spans="20:20" ht="18.75" customHeight="1" x14ac:dyDescent="0.35">
      <c r="T3353" s="246">
        <f t="shared" si="90"/>
        <v>0</v>
      </c>
    </row>
    <row r="3354" spans="20:20" ht="18.75" customHeight="1" x14ac:dyDescent="0.35">
      <c r="T3354" s="246">
        <f t="shared" si="90"/>
        <v>0</v>
      </c>
    </row>
    <row r="3355" spans="20:20" ht="18.75" customHeight="1" x14ac:dyDescent="0.35">
      <c r="T3355" s="246">
        <f t="shared" si="90"/>
        <v>0</v>
      </c>
    </row>
    <row r="3356" spans="20:20" ht="18.75" customHeight="1" x14ac:dyDescent="0.35">
      <c r="T3356" s="246">
        <f t="shared" si="90"/>
        <v>0</v>
      </c>
    </row>
    <row r="3357" spans="20:20" ht="18.75" customHeight="1" x14ac:dyDescent="0.35">
      <c r="T3357" s="246">
        <f t="shared" si="90"/>
        <v>0</v>
      </c>
    </row>
    <row r="3358" spans="20:20" ht="18.75" customHeight="1" x14ac:dyDescent="0.35">
      <c r="T3358" s="246">
        <f t="shared" si="90"/>
        <v>0</v>
      </c>
    </row>
    <row r="3359" spans="20:20" ht="18.75" customHeight="1" x14ac:dyDescent="0.35">
      <c r="T3359" s="246">
        <f t="shared" si="90"/>
        <v>0</v>
      </c>
    </row>
    <row r="3360" spans="20:20" ht="18.75" customHeight="1" x14ac:dyDescent="0.35">
      <c r="T3360" s="246">
        <f t="shared" si="90"/>
        <v>0</v>
      </c>
    </row>
    <row r="3361" spans="20:20" ht="18.75" customHeight="1" x14ac:dyDescent="0.35">
      <c r="T3361" s="246">
        <f t="shared" si="90"/>
        <v>0</v>
      </c>
    </row>
    <row r="3362" spans="20:20" ht="18.75" customHeight="1" x14ac:dyDescent="0.35">
      <c r="T3362" s="246">
        <f t="shared" si="90"/>
        <v>0</v>
      </c>
    </row>
    <row r="3363" spans="20:20" ht="18.75" customHeight="1" x14ac:dyDescent="0.35">
      <c r="T3363" s="246">
        <f t="shared" si="90"/>
        <v>0</v>
      </c>
    </row>
    <row r="3364" spans="20:20" ht="18.75" customHeight="1" x14ac:dyDescent="0.35">
      <c r="T3364" s="246">
        <f t="shared" si="90"/>
        <v>0</v>
      </c>
    </row>
    <row r="3365" spans="20:20" ht="18.75" customHeight="1" x14ac:dyDescent="0.35">
      <c r="T3365" s="246">
        <f t="shared" si="90"/>
        <v>0</v>
      </c>
    </row>
    <row r="3366" spans="20:20" ht="18.75" customHeight="1" x14ac:dyDescent="0.35">
      <c r="T3366" s="246">
        <f t="shared" si="90"/>
        <v>0</v>
      </c>
    </row>
    <row r="3367" spans="20:20" ht="18.75" customHeight="1" x14ac:dyDescent="0.35">
      <c r="T3367" s="246">
        <f t="shared" si="90"/>
        <v>0</v>
      </c>
    </row>
    <row r="3368" spans="20:20" ht="18.75" customHeight="1" x14ac:dyDescent="0.35">
      <c r="T3368" s="246">
        <f t="shared" si="90"/>
        <v>0</v>
      </c>
    </row>
    <row r="3369" spans="20:20" ht="18.75" customHeight="1" x14ac:dyDescent="0.35">
      <c r="T3369" s="246">
        <f t="shared" si="90"/>
        <v>0</v>
      </c>
    </row>
    <row r="3370" spans="20:20" ht="18.75" customHeight="1" x14ac:dyDescent="0.35">
      <c r="T3370" s="246">
        <f t="shared" si="90"/>
        <v>0</v>
      </c>
    </row>
    <row r="3371" spans="20:20" ht="18.75" customHeight="1" x14ac:dyDescent="0.35">
      <c r="T3371" s="246">
        <f t="shared" si="90"/>
        <v>0</v>
      </c>
    </row>
    <row r="3372" spans="20:20" ht="18.75" customHeight="1" x14ac:dyDescent="0.35">
      <c r="T3372" s="246">
        <f t="shared" si="90"/>
        <v>0</v>
      </c>
    </row>
    <row r="3373" spans="20:20" ht="18.75" customHeight="1" x14ac:dyDescent="0.35">
      <c r="T3373" s="246">
        <f t="shared" si="90"/>
        <v>0</v>
      </c>
    </row>
    <row r="3374" spans="20:20" ht="18.75" customHeight="1" x14ac:dyDescent="0.35">
      <c r="T3374" s="246">
        <f t="shared" si="90"/>
        <v>0</v>
      </c>
    </row>
    <row r="3375" spans="20:20" ht="18.75" customHeight="1" x14ac:dyDescent="0.35">
      <c r="T3375" s="246">
        <f t="shared" si="90"/>
        <v>0</v>
      </c>
    </row>
    <row r="3376" spans="20:20" ht="18.75" customHeight="1" x14ac:dyDescent="0.35">
      <c r="T3376" s="246">
        <f t="shared" si="90"/>
        <v>0</v>
      </c>
    </row>
    <row r="3377" spans="20:20" ht="18.75" customHeight="1" x14ac:dyDescent="0.35">
      <c r="T3377" s="246">
        <f t="shared" si="90"/>
        <v>0</v>
      </c>
    </row>
    <row r="3378" spans="20:20" ht="18.75" customHeight="1" x14ac:dyDescent="0.35">
      <c r="T3378" s="246">
        <f t="shared" si="90"/>
        <v>0</v>
      </c>
    </row>
    <row r="3379" spans="20:20" ht="18.75" customHeight="1" x14ac:dyDescent="0.35">
      <c r="T3379" s="246">
        <f t="shared" si="90"/>
        <v>0</v>
      </c>
    </row>
    <row r="3380" spans="20:20" ht="18.75" customHeight="1" x14ac:dyDescent="0.35">
      <c r="T3380" s="246">
        <f t="shared" si="90"/>
        <v>0</v>
      </c>
    </row>
    <row r="3381" spans="20:20" ht="18.75" customHeight="1" x14ac:dyDescent="0.35">
      <c r="T3381" s="246">
        <f t="shared" si="90"/>
        <v>0</v>
      </c>
    </row>
    <row r="3382" spans="20:20" ht="18.75" customHeight="1" x14ac:dyDescent="0.35">
      <c r="T3382" s="246">
        <f t="shared" si="90"/>
        <v>0</v>
      </c>
    </row>
    <row r="3383" spans="20:20" ht="18.75" customHeight="1" x14ac:dyDescent="0.35">
      <c r="T3383" s="246">
        <f t="shared" si="90"/>
        <v>0</v>
      </c>
    </row>
    <row r="3384" spans="20:20" ht="18.75" customHeight="1" x14ac:dyDescent="0.35">
      <c r="T3384" s="246">
        <f t="shared" si="90"/>
        <v>0</v>
      </c>
    </row>
    <row r="3385" spans="20:20" ht="18.75" customHeight="1" x14ac:dyDescent="0.35">
      <c r="T3385" s="246">
        <f t="shared" si="90"/>
        <v>0</v>
      </c>
    </row>
    <row r="3386" spans="20:20" ht="18.75" customHeight="1" x14ac:dyDescent="0.35">
      <c r="T3386" s="246">
        <f t="shared" si="90"/>
        <v>0</v>
      </c>
    </row>
    <row r="3387" spans="20:20" ht="18.75" customHeight="1" x14ac:dyDescent="0.35">
      <c r="T3387" s="246">
        <f t="shared" si="90"/>
        <v>0</v>
      </c>
    </row>
    <row r="3388" spans="20:20" ht="18.75" customHeight="1" x14ac:dyDescent="0.35">
      <c r="T3388" s="246">
        <f t="shared" ref="T3388:T3451" si="91">R3388*0.01</f>
        <v>0</v>
      </c>
    </row>
    <row r="3389" spans="20:20" ht="18.75" customHeight="1" x14ac:dyDescent="0.35">
      <c r="T3389" s="246">
        <f t="shared" si="91"/>
        <v>0</v>
      </c>
    </row>
    <row r="3390" spans="20:20" ht="18.75" customHeight="1" x14ac:dyDescent="0.35">
      <c r="T3390" s="246">
        <f t="shared" si="91"/>
        <v>0</v>
      </c>
    </row>
    <row r="3391" spans="20:20" ht="18.75" customHeight="1" x14ac:dyDescent="0.35">
      <c r="T3391" s="246">
        <f t="shared" si="91"/>
        <v>0</v>
      </c>
    </row>
    <row r="3392" spans="20:20" ht="18.75" customHeight="1" x14ac:dyDescent="0.35">
      <c r="T3392" s="246">
        <f t="shared" si="91"/>
        <v>0</v>
      </c>
    </row>
    <row r="3393" spans="20:20" ht="18.75" customHeight="1" x14ac:dyDescent="0.35">
      <c r="T3393" s="246">
        <f t="shared" si="91"/>
        <v>0</v>
      </c>
    </row>
    <row r="3394" spans="20:20" ht="18.75" customHeight="1" x14ac:dyDescent="0.35">
      <c r="T3394" s="246">
        <f t="shared" si="91"/>
        <v>0</v>
      </c>
    </row>
    <row r="3395" spans="20:20" ht="18.75" customHeight="1" x14ac:dyDescent="0.35">
      <c r="T3395" s="246">
        <f t="shared" si="91"/>
        <v>0</v>
      </c>
    </row>
    <row r="3396" spans="20:20" ht="18.75" customHeight="1" x14ac:dyDescent="0.35">
      <c r="T3396" s="246">
        <f t="shared" si="91"/>
        <v>0</v>
      </c>
    </row>
    <row r="3397" spans="20:20" ht="18.75" customHeight="1" x14ac:dyDescent="0.35">
      <c r="T3397" s="246">
        <f t="shared" si="91"/>
        <v>0</v>
      </c>
    </row>
    <row r="3398" spans="20:20" ht="18.75" customHeight="1" x14ac:dyDescent="0.35">
      <c r="T3398" s="246">
        <f t="shared" si="91"/>
        <v>0</v>
      </c>
    </row>
    <row r="3399" spans="20:20" ht="18.75" customHeight="1" x14ac:dyDescent="0.35">
      <c r="T3399" s="246">
        <f t="shared" si="91"/>
        <v>0</v>
      </c>
    </row>
    <row r="3400" spans="20:20" ht="18.75" customHeight="1" x14ac:dyDescent="0.35">
      <c r="T3400" s="246">
        <f t="shared" si="91"/>
        <v>0</v>
      </c>
    </row>
    <row r="3401" spans="20:20" ht="18.75" customHeight="1" x14ac:dyDescent="0.35">
      <c r="T3401" s="246">
        <f t="shared" si="91"/>
        <v>0</v>
      </c>
    </row>
    <row r="3402" spans="20:20" ht="18.75" customHeight="1" x14ac:dyDescent="0.35">
      <c r="T3402" s="246">
        <f t="shared" si="91"/>
        <v>0</v>
      </c>
    </row>
    <row r="3403" spans="20:20" ht="18.75" customHeight="1" x14ac:dyDescent="0.35">
      <c r="T3403" s="246">
        <f t="shared" si="91"/>
        <v>0</v>
      </c>
    </row>
    <row r="3404" spans="20:20" ht="18.75" customHeight="1" x14ac:dyDescent="0.35">
      <c r="T3404" s="246">
        <f t="shared" si="91"/>
        <v>0</v>
      </c>
    </row>
    <row r="3405" spans="20:20" ht="18.75" customHeight="1" x14ac:dyDescent="0.35">
      <c r="T3405" s="246">
        <f t="shared" si="91"/>
        <v>0</v>
      </c>
    </row>
    <row r="3406" spans="20:20" ht="18.75" customHeight="1" x14ac:dyDescent="0.35">
      <c r="T3406" s="246">
        <f t="shared" si="91"/>
        <v>0</v>
      </c>
    </row>
    <row r="3407" spans="20:20" ht="18.75" customHeight="1" x14ac:dyDescent="0.35">
      <c r="T3407" s="246">
        <f t="shared" si="91"/>
        <v>0</v>
      </c>
    </row>
    <row r="3408" spans="20:20" ht="18.75" customHeight="1" x14ac:dyDescent="0.35">
      <c r="T3408" s="246">
        <f t="shared" si="91"/>
        <v>0</v>
      </c>
    </row>
    <row r="3409" spans="20:20" ht="18.75" customHeight="1" x14ac:dyDescent="0.35">
      <c r="T3409" s="246">
        <f t="shared" si="91"/>
        <v>0</v>
      </c>
    </row>
    <row r="3410" spans="20:20" ht="18.75" customHeight="1" x14ac:dyDescent="0.35">
      <c r="T3410" s="246">
        <f t="shared" si="91"/>
        <v>0</v>
      </c>
    </row>
    <row r="3411" spans="20:20" ht="18.75" customHeight="1" x14ac:dyDescent="0.35">
      <c r="T3411" s="246">
        <f t="shared" si="91"/>
        <v>0</v>
      </c>
    </row>
    <row r="3412" spans="20:20" ht="18.75" customHeight="1" x14ac:dyDescent="0.35">
      <c r="T3412" s="246">
        <f t="shared" si="91"/>
        <v>0</v>
      </c>
    </row>
    <row r="3413" spans="20:20" ht="18.75" customHeight="1" x14ac:dyDescent="0.35">
      <c r="T3413" s="246">
        <f t="shared" si="91"/>
        <v>0</v>
      </c>
    </row>
    <row r="3414" spans="20:20" ht="18.75" customHeight="1" x14ac:dyDescent="0.35">
      <c r="T3414" s="246">
        <f t="shared" si="91"/>
        <v>0</v>
      </c>
    </row>
    <row r="3415" spans="20:20" ht="18.75" customHeight="1" x14ac:dyDescent="0.35">
      <c r="T3415" s="246">
        <f t="shared" si="91"/>
        <v>0</v>
      </c>
    </row>
    <row r="3416" spans="20:20" ht="18.75" customHeight="1" x14ac:dyDescent="0.35">
      <c r="T3416" s="246">
        <f t="shared" si="91"/>
        <v>0</v>
      </c>
    </row>
    <row r="3417" spans="20:20" ht="18.75" customHeight="1" x14ac:dyDescent="0.35">
      <c r="T3417" s="246">
        <f t="shared" si="91"/>
        <v>0</v>
      </c>
    </row>
    <row r="3418" spans="20:20" ht="18.75" customHeight="1" x14ac:dyDescent="0.35">
      <c r="T3418" s="246">
        <f t="shared" si="91"/>
        <v>0</v>
      </c>
    </row>
    <row r="3419" spans="20:20" ht="18.75" customHeight="1" x14ac:dyDescent="0.35">
      <c r="T3419" s="246">
        <f t="shared" si="91"/>
        <v>0</v>
      </c>
    </row>
    <row r="3420" spans="20:20" ht="18.75" customHeight="1" x14ac:dyDescent="0.35">
      <c r="T3420" s="246">
        <f t="shared" si="91"/>
        <v>0</v>
      </c>
    </row>
    <row r="3421" spans="20:20" ht="18.75" customHeight="1" x14ac:dyDescent="0.35">
      <c r="T3421" s="246">
        <f t="shared" si="91"/>
        <v>0</v>
      </c>
    </row>
    <row r="3422" spans="20:20" ht="18.75" customHeight="1" x14ac:dyDescent="0.35">
      <c r="T3422" s="246">
        <f t="shared" si="91"/>
        <v>0</v>
      </c>
    </row>
    <row r="3423" spans="20:20" ht="18.75" customHeight="1" x14ac:dyDescent="0.35">
      <c r="T3423" s="246">
        <f t="shared" si="91"/>
        <v>0</v>
      </c>
    </row>
    <row r="3424" spans="20:20" ht="18.75" customHeight="1" x14ac:dyDescent="0.35">
      <c r="T3424" s="246">
        <f t="shared" si="91"/>
        <v>0</v>
      </c>
    </row>
    <row r="3425" spans="20:20" ht="18.75" customHeight="1" x14ac:dyDescent="0.35">
      <c r="T3425" s="246">
        <f t="shared" si="91"/>
        <v>0</v>
      </c>
    </row>
    <row r="3426" spans="20:20" ht="18.75" customHeight="1" x14ac:dyDescent="0.35">
      <c r="T3426" s="246">
        <f t="shared" si="91"/>
        <v>0</v>
      </c>
    </row>
    <row r="3427" spans="20:20" ht="18.75" customHeight="1" x14ac:dyDescent="0.35">
      <c r="T3427" s="246">
        <f t="shared" si="91"/>
        <v>0</v>
      </c>
    </row>
    <row r="3428" spans="20:20" ht="18.75" customHeight="1" x14ac:dyDescent="0.35">
      <c r="T3428" s="246">
        <f t="shared" si="91"/>
        <v>0</v>
      </c>
    </row>
    <row r="3429" spans="20:20" ht="18.75" customHeight="1" x14ac:dyDescent="0.35">
      <c r="T3429" s="246">
        <f t="shared" si="91"/>
        <v>0</v>
      </c>
    </row>
    <row r="3430" spans="20:20" ht="18.75" customHeight="1" x14ac:dyDescent="0.35">
      <c r="T3430" s="246">
        <f t="shared" si="91"/>
        <v>0</v>
      </c>
    </row>
    <row r="3431" spans="20:20" ht="18.75" customHeight="1" x14ac:dyDescent="0.35">
      <c r="T3431" s="246">
        <f t="shared" si="91"/>
        <v>0</v>
      </c>
    </row>
    <row r="3432" spans="20:20" ht="18.75" customHeight="1" x14ac:dyDescent="0.35">
      <c r="T3432" s="246">
        <f t="shared" si="91"/>
        <v>0</v>
      </c>
    </row>
    <row r="3433" spans="20:20" ht="18.75" customHeight="1" x14ac:dyDescent="0.35">
      <c r="T3433" s="246">
        <f t="shared" si="91"/>
        <v>0</v>
      </c>
    </row>
    <row r="3434" spans="20:20" ht="18.75" customHeight="1" x14ac:dyDescent="0.35">
      <c r="T3434" s="246">
        <f t="shared" si="91"/>
        <v>0</v>
      </c>
    </row>
    <row r="3435" spans="20:20" ht="18.75" customHeight="1" x14ac:dyDescent="0.35">
      <c r="T3435" s="246">
        <f t="shared" si="91"/>
        <v>0</v>
      </c>
    </row>
    <row r="3436" spans="20:20" ht="18.75" customHeight="1" x14ac:dyDescent="0.35">
      <c r="T3436" s="246">
        <f t="shared" si="91"/>
        <v>0</v>
      </c>
    </row>
    <row r="3437" spans="20:20" ht="18.75" customHeight="1" x14ac:dyDescent="0.35">
      <c r="T3437" s="246">
        <f t="shared" si="91"/>
        <v>0</v>
      </c>
    </row>
    <row r="3438" spans="20:20" ht="18.75" customHeight="1" x14ac:dyDescent="0.35">
      <c r="T3438" s="246">
        <f t="shared" si="91"/>
        <v>0</v>
      </c>
    </row>
    <row r="3439" spans="20:20" ht="18.75" customHeight="1" x14ac:dyDescent="0.35">
      <c r="T3439" s="246">
        <f t="shared" si="91"/>
        <v>0</v>
      </c>
    </row>
    <row r="3440" spans="20:20" ht="18.75" customHeight="1" x14ac:dyDescent="0.35">
      <c r="T3440" s="246">
        <f t="shared" si="91"/>
        <v>0</v>
      </c>
    </row>
    <row r="3441" spans="20:20" ht="18.75" customHeight="1" x14ac:dyDescent="0.35">
      <c r="T3441" s="246">
        <f t="shared" si="91"/>
        <v>0</v>
      </c>
    </row>
    <row r="3442" spans="20:20" ht="18.75" customHeight="1" x14ac:dyDescent="0.35">
      <c r="T3442" s="246">
        <f t="shared" si="91"/>
        <v>0</v>
      </c>
    </row>
    <row r="3443" spans="20:20" ht="18.75" customHeight="1" x14ac:dyDescent="0.35">
      <c r="T3443" s="246">
        <f t="shared" si="91"/>
        <v>0</v>
      </c>
    </row>
    <row r="3444" spans="20:20" ht="18.75" customHeight="1" x14ac:dyDescent="0.35">
      <c r="T3444" s="246">
        <f t="shared" si="91"/>
        <v>0</v>
      </c>
    </row>
    <row r="3445" spans="20:20" ht="18.75" customHeight="1" x14ac:dyDescent="0.35">
      <c r="T3445" s="246">
        <f t="shared" si="91"/>
        <v>0</v>
      </c>
    </row>
    <row r="3446" spans="20:20" ht="18.75" customHeight="1" x14ac:dyDescent="0.35">
      <c r="T3446" s="246">
        <f t="shared" si="91"/>
        <v>0</v>
      </c>
    </row>
    <row r="3447" spans="20:20" ht="18.75" customHeight="1" x14ac:dyDescent="0.35">
      <c r="T3447" s="246">
        <f t="shared" si="91"/>
        <v>0</v>
      </c>
    </row>
    <row r="3448" spans="20:20" ht="18.75" customHeight="1" x14ac:dyDescent="0.35">
      <c r="T3448" s="246">
        <f t="shared" si="91"/>
        <v>0</v>
      </c>
    </row>
    <row r="3449" spans="20:20" ht="18.75" customHeight="1" x14ac:dyDescent="0.35">
      <c r="T3449" s="246">
        <f t="shared" si="91"/>
        <v>0</v>
      </c>
    </row>
    <row r="3450" spans="20:20" ht="18.75" customHeight="1" x14ac:dyDescent="0.35">
      <c r="T3450" s="246">
        <f t="shared" si="91"/>
        <v>0</v>
      </c>
    </row>
    <row r="3451" spans="20:20" ht="18.75" customHeight="1" x14ac:dyDescent="0.35">
      <c r="T3451" s="246">
        <f t="shared" si="91"/>
        <v>0</v>
      </c>
    </row>
    <row r="3452" spans="20:20" ht="18.75" customHeight="1" x14ac:dyDescent="0.35">
      <c r="T3452" s="246">
        <f t="shared" ref="T3452:T3515" si="92">R3452*0.01</f>
        <v>0</v>
      </c>
    </row>
    <row r="3453" spans="20:20" ht="18.75" customHeight="1" x14ac:dyDescent="0.35">
      <c r="T3453" s="246">
        <f t="shared" si="92"/>
        <v>0</v>
      </c>
    </row>
    <row r="3454" spans="20:20" ht="18.75" customHeight="1" x14ac:dyDescent="0.35">
      <c r="T3454" s="246">
        <f t="shared" si="92"/>
        <v>0</v>
      </c>
    </row>
    <row r="3455" spans="20:20" ht="18.75" customHeight="1" x14ac:dyDescent="0.35">
      <c r="T3455" s="246">
        <f t="shared" si="92"/>
        <v>0</v>
      </c>
    </row>
    <row r="3456" spans="20:20" ht="18.75" customHeight="1" x14ac:dyDescent="0.35">
      <c r="T3456" s="246">
        <f t="shared" si="92"/>
        <v>0</v>
      </c>
    </row>
    <row r="3457" spans="20:20" ht="18.75" customHeight="1" x14ac:dyDescent="0.35">
      <c r="T3457" s="246">
        <f t="shared" si="92"/>
        <v>0</v>
      </c>
    </row>
    <row r="3458" spans="20:20" ht="18.75" customHeight="1" x14ac:dyDescent="0.35">
      <c r="T3458" s="246">
        <f t="shared" si="92"/>
        <v>0</v>
      </c>
    </row>
    <row r="3459" spans="20:20" ht="18.75" customHeight="1" x14ac:dyDescent="0.35">
      <c r="T3459" s="246">
        <f t="shared" si="92"/>
        <v>0</v>
      </c>
    </row>
    <row r="3460" spans="20:20" ht="18.75" customHeight="1" x14ac:dyDescent="0.35">
      <c r="T3460" s="246">
        <f t="shared" si="92"/>
        <v>0</v>
      </c>
    </row>
    <row r="3461" spans="20:20" ht="18.75" customHeight="1" x14ac:dyDescent="0.35">
      <c r="T3461" s="246">
        <f t="shared" si="92"/>
        <v>0</v>
      </c>
    </row>
    <row r="3462" spans="20:20" ht="18.75" customHeight="1" x14ac:dyDescent="0.35">
      <c r="T3462" s="246">
        <f t="shared" si="92"/>
        <v>0</v>
      </c>
    </row>
    <row r="3463" spans="20:20" ht="18.75" customHeight="1" x14ac:dyDescent="0.35">
      <c r="T3463" s="246">
        <f t="shared" si="92"/>
        <v>0</v>
      </c>
    </row>
    <row r="3464" spans="20:20" ht="18.75" customHeight="1" x14ac:dyDescent="0.35">
      <c r="T3464" s="246">
        <f t="shared" si="92"/>
        <v>0</v>
      </c>
    </row>
    <row r="3465" spans="20:20" ht="18.75" customHeight="1" x14ac:dyDescent="0.35">
      <c r="T3465" s="246">
        <f t="shared" si="92"/>
        <v>0</v>
      </c>
    </row>
    <row r="3466" spans="20:20" ht="18.75" customHeight="1" x14ac:dyDescent="0.35">
      <c r="T3466" s="246">
        <f t="shared" si="92"/>
        <v>0</v>
      </c>
    </row>
    <row r="3467" spans="20:20" ht="18.75" customHeight="1" x14ac:dyDescent="0.35">
      <c r="T3467" s="246">
        <f t="shared" si="92"/>
        <v>0</v>
      </c>
    </row>
    <row r="3468" spans="20:20" ht="18.75" customHeight="1" x14ac:dyDescent="0.35">
      <c r="T3468" s="246">
        <f t="shared" si="92"/>
        <v>0</v>
      </c>
    </row>
    <row r="3469" spans="20:20" ht="18.75" customHeight="1" x14ac:dyDescent="0.35">
      <c r="T3469" s="246">
        <f t="shared" si="92"/>
        <v>0</v>
      </c>
    </row>
    <row r="3470" spans="20:20" ht="18.75" customHeight="1" x14ac:dyDescent="0.35">
      <c r="T3470" s="246">
        <f t="shared" si="92"/>
        <v>0</v>
      </c>
    </row>
    <row r="3471" spans="20:20" ht="18.75" customHeight="1" x14ac:dyDescent="0.35">
      <c r="T3471" s="246">
        <f t="shared" si="92"/>
        <v>0</v>
      </c>
    </row>
    <row r="3472" spans="20:20" ht="18.75" customHeight="1" x14ac:dyDescent="0.35">
      <c r="T3472" s="246">
        <f t="shared" si="92"/>
        <v>0</v>
      </c>
    </row>
    <row r="3473" spans="20:20" ht="18.75" customHeight="1" x14ac:dyDescent="0.35">
      <c r="T3473" s="246">
        <f t="shared" si="92"/>
        <v>0</v>
      </c>
    </row>
    <row r="3474" spans="20:20" ht="18.75" customHeight="1" x14ac:dyDescent="0.35">
      <c r="T3474" s="246">
        <f t="shared" si="92"/>
        <v>0</v>
      </c>
    </row>
    <row r="3475" spans="20:20" ht="18.75" customHeight="1" x14ac:dyDescent="0.35">
      <c r="T3475" s="246">
        <f t="shared" si="92"/>
        <v>0</v>
      </c>
    </row>
    <row r="3476" spans="20:20" ht="18.75" customHeight="1" x14ac:dyDescent="0.35">
      <c r="T3476" s="246">
        <f t="shared" si="92"/>
        <v>0</v>
      </c>
    </row>
    <row r="3477" spans="20:20" ht="18.75" customHeight="1" x14ac:dyDescent="0.35">
      <c r="T3477" s="246">
        <f t="shared" si="92"/>
        <v>0</v>
      </c>
    </row>
    <row r="3478" spans="20:20" ht="18.75" customHeight="1" x14ac:dyDescent="0.35">
      <c r="T3478" s="246">
        <f t="shared" si="92"/>
        <v>0</v>
      </c>
    </row>
    <row r="3479" spans="20:20" ht="18.75" customHeight="1" x14ac:dyDescent="0.35">
      <c r="T3479" s="246">
        <f t="shared" si="92"/>
        <v>0</v>
      </c>
    </row>
    <row r="3480" spans="20:20" ht="18.75" customHeight="1" x14ac:dyDescent="0.35">
      <c r="T3480" s="246">
        <f t="shared" si="92"/>
        <v>0</v>
      </c>
    </row>
    <row r="3481" spans="20:20" ht="18.75" customHeight="1" x14ac:dyDescent="0.35">
      <c r="T3481" s="246">
        <f t="shared" si="92"/>
        <v>0</v>
      </c>
    </row>
    <row r="3482" spans="20:20" ht="18.75" customHeight="1" x14ac:dyDescent="0.35">
      <c r="T3482" s="246">
        <f t="shared" si="92"/>
        <v>0</v>
      </c>
    </row>
    <row r="3483" spans="20:20" ht="18.75" customHeight="1" x14ac:dyDescent="0.35">
      <c r="T3483" s="246">
        <f t="shared" si="92"/>
        <v>0</v>
      </c>
    </row>
    <row r="3484" spans="20:20" ht="18.75" customHeight="1" x14ac:dyDescent="0.35">
      <c r="T3484" s="246">
        <f t="shared" si="92"/>
        <v>0</v>
      </c>
    </row>
    <row r="3485" spans="20:20" ht="18.75" customHeight="1" x14ac:dyDescent="0.35">
      <c r="T3485" s="246">
        <f t="shared" si="92"/>
        <v>0</v>
      </c>
    </row>
    <row r="3486" spans="20:20" ht="18.75" customHeight="1" x14ac:dyDescent="0.35">
      <c r="T3486" s="246">
        <f t="shared" si="92"/>
        <v>0</v>
      </c>
    </row>
    <row r="3487" spans="20:20" ht="18.75" customHeight="1" x14ac:dyDescent="0.35">
      <c r="T3487" s="246">
        <f t="shared" si="92"/>
        <v>0</v>
      </c>
    </row>
    <row r="3488" spans="20:20" ht="18.75" customHeight="1" x14ac:dyDescent="0.35">
      <c r="T3488" s="246">
        <f t="shared" si="92"/>
        <v>0</v>
      </c>
    </row>
    <row r="3489" spans="20:20" ht="18.75" customHeight="1" x14ac:dyDescent="0.35">
      <c r="T3489" s="246">
        <f t="shared" si="92"/>
        <v>0</v>
      </c>
    </row>
    <row r="3490" spans="20:20" ht="18.75" customHeight="1" x14ac:dyDescent="0.35">
      <c r="T3490" s="246">
        <f t="shared" si="92"/>
        <v>0</v>
      </c>
    </row>
    <row r="3491" spans="20:20" ht="18.75" customHeight="1" x14ac:dyDescent="0.35">
      <c r="T3491" s="246">
        <f t="shared" si="92"/>
        <v>0</v>
      </c>
    </row>
    <row r="3492" spans="20:20" ht="18.75" customHeight="1" x14ac:dyDescent="0.35">
      <c r="T3492" s="246">
        <f t="shared" si="92"/>
        <v>0</v>
      </c>
    </row>
    <row r="3493" spans="20:20" ht="18.75" customHeight="1" x14ac:dyDescent="0.35">
      <c r="T3493" s="246">
        <f t="shared" si="92"/>
        <v>0</v>
      </c>
    </row>
    <row r="3494" spans="20:20" ht="18.75" customHeight="1" x14ac:dyDescent="0.35">
      <c r="T3494" s="246">
        <f t="shared" si="92"/>
        <v>0</v>
      </c>
    </row>
    <row r="3495" spans="20:20" ht="18.75" customHeight="1" x14ac:dyDescent="0.35">
      <c r="T3495" s="246">
        <f t="shared" si="92"/>
        <v>0</v>
      </c>
    </row>
    <row r="3496" spans="20:20" ht="18.75" customHeight="1" x14ac:dyDescent="0.35">
      <c r="T3496" s="246">
        <f t="shared" si="92"/>
        <v>0</v>
      </c>
    </row>
    <row r="3497" spans="20:20" ht="18.75" customHeight="1" x14ac:dyDescent="0.35">
      <c r="T3497" s="246">
        <f t="shared" si="92"/>
        <v>0</v>
      </c>
    </row>
    <row r="3498" spans="20:20" ht="18.75" customHeight="1" x14ac:dyDescent="0.35">
      <c r="T3498" s="246">
        <f t="shared" si="92"/>
        <v>0</v>
      </c>
    </row>
    <row r="3499" spans="20:20" ht="18.75" customHeight="1" x14ac:dyDescent="0.35">
      <c r="T3499" s="246">
        <f t="shared" si="92"/>
        <v>0</v>
      </c>
    </row>
    <row r="3500" spans="20:20" ht="18.75" customHeight="1" x14ac:dyDescent="0.35">
      <c r="T3500" s="246">
        <f t="shared" si="92"/>
        <v>0</v>
      </c>
    </row>
    <row r="3501" spans="20:20" ht="18.75" customHeight="1" x14ac:dyDescent="0.35">
      <c r="T3501" s="246">
        <f t="shared" si="92"/>
        <v>0</v>
      </c>
    </row>
    <row r="3502" spans="20:20" ht="18.75" customHeight="1" x14ac:dyDescent="0.35">
      <c r="T3502" s="246">
        <f t="shared" si="92"/>
        <v>0</v>
      </c>
    </row>
    <row r="3503" spans="20:20" ht="18.75" customHeight="1" x14ac:dyDescent="0.35">
      <c r="T3503" s="246">
        <f t="shared" si="92"/>
        <v>0</v>
      </c>
    </row>
    <row r="3504" spans="20:20" ht="18.75" customHeight="1" x14ac:dyDescent="0.35">
      <c r="T3504" s="246">
        <f t="shared" si="92"/>
        <v>0</v>
      </c>
    </row>
    <row r="3505" spans="20:20" ht="18.75" customHeight="1" x14ac:dyDescent="0.35">
      <c r="T3505" s="246">
        <f t="shared" si="92"/>
        <v>0</v>
      </c>
    </row>
    <row r="3506" spans="20:20" ht="18.75" customHeight="1" x14ac:dyDescent="0.35">
      <c r="T3506" s="246">
        <f t="shared" si="92"/>
        <v>0</v>
      </c>
    </row>
    <row r="3507" spans="20:20" ht="18.75" customHeight="1" x14ac:dyDescent="0.35">
      <c r="T3507" s="246">
        <f t="shared" si="92"/>
        <v>0</v>
      </c>
    </row>
    <row r="3508" spans="20:20" ht="18.75" customHeight="1" x14ac:dyDescent="0.35">
      <c r="T3508" s="246">
        <f t="shared" si="92"/>
        <v>0</v>
      </c>
    </row>
    <row r="3509" spans="20:20" ht="18.75" customHeight="1" x14ac:dyDescent="0.35">
      <c r="T3509" s="246">
        <f t="shared" si="92"/>
        <v>0</v>
      </c>
    </row>
    <row r="3510" spans="20:20" ht="18.75" customHeight="1" x14ac:dyDescent="0.35">
      <c r="T3510" s="246">
        <f t="shared" si="92"/>
        <v>0</v>
      </c>
    </row>
    <row r="3511" spans="20:20" ht="18.75" customHeight="1" x14ac:dyDescent="0.35">
      <c r="T3511" s="246">
        <f t="shared" si="92"/>
        <v>0</v>
      </c>
    </row>
    <row r="3512" spans="20:20" ht="18.75" customHeight="1" x14ac:dyDescent="0.35">
      <c r="T3512" s="246">
        <f t="shared" si="92"/>
        <v>0</v>
      </c>
    </row>
    <row r="3513" spans="20:20" ht="18.75" customHeight="1" x14ac:dyDescent="0.35">
      <c r="T3513" s="246">
        <f t="shared" si="92"/>
        <v>0</v>
      </c>
    </row>
    <row r="3514" spans="20:20" ht="18.75" customHeight="1" x14ac:dyDescent="0.35">
      <c r="T3514" s="246">
        <f t="shared" si="92"/>
        <v>0</v>
      </c>
    </row>
    <row r="3515" spans="20:20" ht="18.75" customHeight="1" x14ac:dyDescent="0.35">
      <c r="T3515" s="246">
        <f t="shared" si="92"/>
        <v>0</v>
      </c>
    </row>
    <row r="3516" spans="20:20" ht="18.75" customHeight="1" x14ac:dyDescent="0.35">
      <c r="T3516" s="246">
        <f t="shared" ref="T3516:T3579" si="93">R3516*0.01</f>
        <v>0</v>
      </c>
    </row>
    <row r="3517" spans="20:20" ht="18.75" customHeight="1" x14ac:dyDescent="0.35">
      <c r="T3517" s="246">
        <f t="shared" si="93"/>
        <v>0</v>
      </c>
    </row>
    <row r="3518" spans="20:20" ht="18.75" customHeight="1" x14ac:dyDescent="0.35">
      <c r="T3518" s="246">
        <f t="shared" si="93"/>
        <v>0</v>
      </c>
    </row>
    <row r="3519" spans="20:20" ht="18.75" customHeight="1" x14ac:dyDescent="0.35">
      <c r="T3519" s="246">
        <f t="shared" si="93"/>
        <v>0</v>
      </c>
    </row>
    <row r="3520" spans="20:20" ht="18.75" customHeight="1" x14ac:dyDescent="0.35">
      <c r="T3520" s="246">
        <f t="shared" si="93"/>
        <v>0</v>
      </c>
    </row>
    <row r="3521" spans="20:20" ht="18.75" customHeight="1" x14ac:dyDescent="0.35">
      <c r="T3521" s="246">
        <f t="shared" si="93"/>
        <v>0</v>
      </c>
    </row>
    <row r="3522" spans="20:20" ht="18.75" customHeight="1" x14ac:dyDescent="0.35">
      <c r="T3522" s="246">
        <f t="shared" si="93"/>
        <v>0</v>
      </c>
    </row>
    <row r="3523" spans="20:20" ht="18.75" customHeight="1" x14ac:dyDescent="0.35">
      <c r="T3523" s="246">
        <f t="shared" si="93"/>
        <v>0</v>
      </c>
    </row>
    <row r="3524" spans="20:20" ht="18.75" customHeight="1" x14ac:dyDescent="0.35">
      <c r="T3524" s="246">
        <f t="shared" si="93"/>
        <v>0</v>
      </c>
    </row>
    <row r="3525" spans="20:20" ht="18.75" customHeight="1" x14ac:dyDescent="0.35">
      <c r="T3525" s="246">
        <f t="shared" si="93"/>
        <v>0</v>
      </c>
    </row>
    <row r="3526" spans="20:20" ht="18.75" customHeight="1" x14ac:dyDescent="0.35">
      <c r="T3526" s="246">
        <f t="shared" si="93"/>
        <v>0</v>
      </c>
    </row>
    <row r="3527" spans="20:20" ht="18.75" customHeight="1" x14ac:dyDescent="0.35">
      <c r="T3527" s="246">
        <f t="shared" si="93"/>
        <v>0</v>
      </c>
    </row>
    <row r="3528" spans="20:20" ht="18.75" customHeight="1" x14ac:dyDescent="0.35">
      <c r="T3528" s="246">
        <f t="shared" si="93"/>
        <v>0</v>
      </c>
    </row>
    <row r="3529" spans="20:20" ht="18.75" customHeight="1" x14ac:dyDescent="0.35">
      <c r="T3529" s="246">
        <f t="shared" si="93"/>
        <v>0</v>
      </c>
    </row>
    <row r="3530" spans="20:20" ht="18.75" customHeight="1" x14ac:dyDescent="0.35">
      <c r="T3530" s="246">
        <f t="shared" si="93"/>
        <v>0</v>
      </c>
    </row>
    <row r="3531" spans="20:20" ht="18.75" customHeight="1" x14ac:dyDescent="0.35">
      <c r="T3531" s="246">
        <f t="shared" si="93"/>
        <v>0</v>
      </c>
    </row>
    <row r="3532" spans="20:20" ht="18.75" customHeight="1" x14ac:dyDescent="0.35">
      <c r="T3532" s="246">
        <f t="shared" si="93"/>
        <v>0</v>
      </c>
    </row>
    <row r="3533" spans="20:20" ht="18.75" customHeight="1" x14ac:dyDescent="0.35">
      <c r="T3533" s="246">
        <f t="shared" si="93"/>
        <v>0</v>
      </c>
    </row>
    <row r="3534" spans="20:20" ht="18.75" customHeight="1" x14ac:dyDescent="0.35">
      <c r="T3534" s="246">
        <f t="shared" si="93"/>
        <v>0</v>
      </c>
    </row>
    <row r="3535" spans="20:20" ht="18.75" customHeight="1" x14ac:dyDescent="0.35">
      <c r="T3535" s="246">
        <f t="shared" si="93"/>
        <v>0</v>
      </c>
    </row>
    <row r="3536" spans="20:20" ht="18.75" customHeight="1" x14ac:dyDescent="0.35">
      <c r="T3536" s="246">
        <f t="shared" si="93"/>
        <v>0</v>
      </c>
    </row>
    <row r="3537" spans="20:20" ht="18.75" customHeight="1" x14ac:dyDescent="0.35">
      <c r="T3537" s="246">
        <f t="shared" si="93"/>
        <v>0</v>
      </c>
    </row>
    <row r="3538" spans="20:20" ht="18.75" customHeight="1" x14ac:dyDescent="0.35">
      <c r="T3538" s="246">
        <f t="shared" si="93"/>
        <v>0</v>
      </c>
    </row>
    <row r="3539" spans="20:20" ht="18.75" customHeight="1" x14ac:dyDescent="0.35">
      <c r="T3539" s="246">
        <f t="shared" si="93"/>
        <v>0</v>
      </c>
    </row>
    <row r="3540" spans="20:20" ht="18.75" customHeight="1" x14ac:dyDescent="0.35">
      <c r="T3540" s="246">
        <f t="shared" si="93"/>
        <v>0</v>
      </c>
    </row>
    <row r="3541" spans="20:20" ht="18.75" customHeight="1" x14ac:dyDescent="0.35">
      <c r="T3541" s="246">
        <f t="shared" si="93"/>
        <v>0</v>
      </c>
    </row>
    <row r="3542" spans="20:20" ht="18.75" customHeight="1" x14ac:dyDescent="0.35">
      <c r="T3542" s="246">
        <f t="shared" si="93"/>
        <v>0</v>
      </c>
    </row>
    <row r="3543" spans="20:20" ht="18.75" customHeight="1" x14ac:dyDescent="0.35">
      <c r="T3543" s="246">
        <f t="shared" si="93"/>
        <v>0</v>
      </c>
    </row>
    <row r="3544" spans="20:20" ht="18.75" customHeight="1" x14ac:dyDescent="0.35">
      <c r="T3544" s="246">
        <f t="shared" si="93"/>
        <v>0</v>
      </c>
    </row>
    <row r="3545" spans="20:20" ht="18.75" customHeight="1" x14ac:dyDescent="0.35">
      <c r="T3545" s="246">
        <f t="shared" si="93"/>
        <v>0</v>
      </c>
    </row>
    <row r="3546" spans="20:20" ht="18.75" customHeight="1" x14ac:dyDescent="0.35">
      <c r="T3546" s="246">
        <f t="shared" si="93"/>
        <v>0</v>
      </c>
    </row>
    <row r="3547" spans="20:20" ht="18.75" customHeight="1" x14ac:dyDescent="0.35">
      <c r="T3547" s="246">
        <f t="shared" si="93"/>
        <v>0</v>
      </c>
    </row>
    <row r="3548" spans="20:20" ht="18.75" customHeight="1" x14ac:dyDescent="0.35">
      <c r="T3548" s="246">
        <f t="shared" si="93"/>
        <v>0</v>
      </c>
    </row>
    <row r="3549" spans="20:20" ht="18.75" customHeight="1" x14ac:dyDescent="0.35">
      <c r="T3549" s="246">
        <f t="shared" si="93"/>
        <v>0</v>
      </c>
    </row>
    <row r="3550" spans="20:20" ht="18.75" customHeight="1" x14ac:dyDescent="0.35">
      <c r="T3550" s="246">
        <f t="shared" si="93"/>
        <v>0</v>
      </c>
    </row>
    <row r="3551" spans="20:20" ht="18.75" customHeight="1" x14ac:dyDescent="0.35">
      <c r="T3551" s="246">
        <f t="shared" si="93"/>
        <v>0</v>
      </c>
    </row>
    <row r="3552" spans="20:20" ht="18.75" customHeight="1" x14ac:dyDescent="0.35">
      <c r="T3552" s="246">
        <f t="shared" si="93"/>
        <v>0</v>
      </c>
    </row>
    <row r="3553" spans="20:20" ht="18.75" customHeight="1" x14ac:dyDescent="0.35">
      <c r="T3553" s="246">
        <f t="shared" si="93"/>
        <v>0</v>
      </c>
    </row>
    <row r="3554" spans="20:20" ht="18.75" customHeight="1" x14ac:dyDescent="0.35">
      <c r="T3554" s="246">
        <f t="shared" si="93"/>
        <v>0</v>
      </c>
    </row>
    <row r="3555" spans="20:20" ht="18.75" customHeight="1" x14ac:dyDescent="0.35">
      <c r="T3555" s="246">
        <f t="shared" si="93"/>
        <v>0</v>
      </c>
    </row>
    <row r="3556" spans="20:20" ht="18.75" customHeight="1" x14ac:dyDescent="0.35">
      <c r="T3556" s="246">
        <f t="shared" si="93"/>
        <v>0</v>
      </c>
    </row>
    <row r="3557" spans="20:20" ht="18.75" customHeight="1" x14ac:dyDescent="0.35">
      <c r="T3557" s="246">
        <f t="shared" si="93"/>
        <v>0</v>
      </c>
    </row>
    <row r="3558" spans="20:20" ht="18.75" customHeight="1" x14ac:dyDescent="0.35">
      <c r="T3558" s="246">
        <f t="shared" si="93"/>
        <v>0</v>
      </c>
    </row>
    <row r="3559" spans="20:20" ht="18.75" customHeight="1" x14ac:dyDescent="0.35">
      <c r="T3559" s="246">
        <f t="shared" si="93"/>
        <v>0</v>
      </c>
    </row>
    <row r="3560" spans="20:20" ht="18.75" customHeight="1" x14ac:dyDescent="0.35">
      <c r="T3560" s="246">
        <f t="shared" si="93"/>
        <v>0</v>
      </c>
    </row>
    <row r="3561" spans="20:20" ht="18.75" customHeight="1" x14ac:dyDescent="0.35">
      <c r="T3561" s="246">
        <f t="shared" si="93"/>
        <v>0</v>
      </c>
    </row>
    <row r="3562" spans="20:20" ht="18.75" customHeight="1" x14ac:dyDescent="0.35">
      <c r="T3562" s="246">
        <f t="shared" si="93"/>
        <v>0</v>
      </c>
    </row>
    <row r="3563" spans="20:20" ht="18.75" customHeight="1" x14ac:dyDescent="0.35">
      <c r="T3563" s="246">
        <f t="shared" si="93"/>
        <v>0</v>
      </c>
    </row>
    <row r="3564" spans="20:20" ht="18.75" customHeight="1" x14ac:dyDescent="0.35">
      <c r="T3564" s="246">
        <f t="shared" si="93"/>
        <v>0</v>
      </c>
    </row>
    <row r="3565" spans="20:20" ht="18.75" customHeight="1" x14ac:dyDescent="0.35">
      <c r="T3565" s="246">
        <f t="shared" si="93"/>
        <v>0</v>
      </c>
    </row>
    <row r="3566" spans="20:20" ht="18.75" customHeight="1" x14ac:dyDescent="0.35">
      <c r="T3566" s="246">
        <f t="shared" si="93"/>
        <v>0</v>
      </c>
    </row>
    <row r="3567" spans="20:20" ht="18.75" customHeight="1" x14ac:dyDescent="0.35">
      <c r="T3567" s="246">
        <f t="shared" si="93"/>
        <v>0</v>
      </c>
    </row>
    <row r="3568" spans="20:20" ht="18.75" customHeight="1" x14ac:dyDescent="0.35">
      <c r="T3568" s="246">
        <f t="shared" si="93"/>
        <v>0</v>
      </c>
    </row>
    <row r="3569" spans="20:20" ht="18.75" customHeight="1" x14ac:dyDescent="0.35">
      <c r="T3569" s="246">
        <f t="shared" si="93"/>
        <v>0</v>
      </c>
    </row>
    <row r="3570" spans="20:20" ht="18.75" customHeight="1" x14ac:dyDescent="0.35">
      <c r="T3570" s="246">
        <f t="shared" si="93"/>
        <v>0</v>
      </c>
    </row>
    <row r="3571" spans="20:20" ht="18.75" customHeight="1" x14ac:dyDescent="0.35">
      <c r="T3571" s="246">
        <f t="shared" si="93"/>
        <v>0</v>
      </c>
    </row>
    <row r="3572" spans="20:20" ht="18.75" customHeight="1" x14ac:dyDescent="0.35">
      <c r="T3572" s="246">
        <f t="shared" si="93"/>
        <v>0</v>
      </c>
    </row>
    <row r="3573" spans="20:20" ht="18.75" customHeight="1" x14ac:dyDescent="0.35">
      <c r="T3573" s="246">
        <f t="shared" si="93"/>
        <v>0</v>
      </c>
    </row>
    <row r="3574" spans="20:20" ht="18.75" customHeight="1" x14ac:dyDescent="0.35">
      <c r="T3574" s="246">
        <f t="shared" si="93"/>
        <v>0</v>
      </c>
    </row>
    <row r="3575" spans="20:20" ht="18.75" customHeight="1" x14ac:dyDescent="0.35">
      <c r="T3575" s="246">
        <f t="shared" si="93"/>
        <v>0</v>
      </c>
    </row>
    <row r="3576" spans="20:20" ht="18.75" customHeight="1" x14ac:dyDescent="0.35">
      <c r="T3576" s="246">
        <f t="shared" si="93"/>
        <v>0</v>
      </c>
    </row>
    <row r="3577" spans="20:20" ht="18.75" customHeight="1" x14ac:dyDescent="0.35">
      <c r="T3577" s="246">
        <f t="shared" si="93"/>
        <v>0</v>
      </c>
    </row>
    <row r="3578" spans="20:20" ht="18.75" customHeight="1" x14ac:dyDescent="0.35">
      <c r="T3578" s="246">
        <f t="shared" si="93"/>
        <v>0</v>
      </c>
    </row>
    <row r="3579" spans="20:20" ht="18.75" customHeight="1" x14ac:dyDescent="0.35">
      <c r="T3579" s="246">
        <f t="shared" si="93"/>
        <v>0</v>
      </c>
    </row>
    <row r="3580" spans="20:20" ht="18.75" customHeight="1" x14ac:dyDescent="0.35">
      <c r="T3580" s="246">
        <f t="shared" ref="T3580:T3643" si="94">R3580*0.01</f>
        <v>0</v>
      </c>
    </row>
    <row r="3581" spans="20:20" ht="18.75" customHeight="1" x14ac:dyDescent="0.35">
      <c r="T3581" s="246">
        <f t="shared" si="94"/>
        <v>0</v>
      </c>
    </row>
    <row r="3582" spans="20:20" ht="18.75" customHeight="1" x14ac:dyDescent="0.35">
      <c r="T3582" s="246">
        <f t="shared" si="94"/>
        <v>0</v>
      </c>
    </row>
    <row r="3583" spans="20:20" ht="18.75" customHeight="1" x14ac:dyDescent="0.35">
      <c r="T3583" s="246">
        <f t="shared" si="94"/>
        <v>0</v>
      </c>
    </row>
    <row r="3584" spans="20:20" ht="18.75" customHeight="1" x14ac:dyDescent="0.35">
      <c r="T3584" s="246">
        <f t="shared" si="94"/>
        <v>0</v>
      </c>
    </row>
    <row r="3585" spans="20:20" ht="18.75" customHeight="1" x14ac:dyDescent="0.35">
      <c r="T3585" s="246">
        <f t="shared" si="94"/>
        <v>0</v>
      </c>
    </row>
    <row r="3586" spans="20:20" ht="18.75" customHeight="1" x14ac:dyDescent="0.35">
      <c r="T3586" s="246">
        <f t="shared" si="94"/>
        <v>0</v>
      </c>
    </row>
    <row r="3587" spans="20:20" ht="18.75" customHeight="1" x14ac:dyDescent="0.35">
      <c r="T3587" s="246">
        <f t="shared" si="94"/>
        <v>0</v>
      </c>
    </row>
    <row r="3588" spans="20:20" ht="18.75" customHeight="1" x14ac:dyDescent="0.35">
      <c r="T3588" s="246">
        <f t="shared" si="94"/>
        <v>0</v>
      </c>
    </row>
    <row r="3589" spans="20:20" ht="18.75" customHeight="1" x14ac:dyDescent="0.35">
      <c r="T3589" s="246">
        <f t="shared" si="94"/>
        <v>0</v>
      </c>
    </row>
    <row r="3590" spans="20:20" ht="18.75" customHeight="1" x14ac:dyDescent="0.35">
      <c r="T3590" s="246">
        <f t="shared" si="94"/>
        <v>0</v>
      </c>
    </row>
    <row r="3591" spans="20:20" ht="18.75" customHeight="1" x14ac:dyDescent="0.35">
      <c r="T3591" s="246">
        <f t="shared" si="94"/>
        <v>0</v>
      </c>
    </row>
    <row r="3592" spans="20:20" ht="18.75" customHeight="1" x14ac:dyDescent="0.35">
      <c r="T3592" s="246">
        <f t="shared" si="94"/>
        <v>0</v>
      </c>
    </row>
    <row r="3593" spans="20:20" ht="18.75" customHeight="1" x14ac:dyDescent="0.35">
      <c r="T3593" s="246">
        <f t="shared" si="94"/>
        <v>0</v>
      </c>
    </row>
    <row r="3594" spans="20:20" ht="18.75" customHeight="1" x14ac:dyDescent="0.35">
      <c r="T3594" s="246">
        <f t="shared" si="94"/>
        <v>0</v>
      </c>
    </row>
    <row r="3595" spans="20:20" ht="18.75" customHeight="1" x14ac:dyDescent="0.35">
      <c r="T3595" s="246">
        <f t="shared" si="94"/>
        <v>0</v>
      </c>
    </row>
    <row r="3596" spans="20:20" ht="18.75" customHeight="1" x14ac:dyDescent="0.35">
      <c r="T3596" s="246">
        <f t="shared" si="94"/>
        <v>0</v>
      </c>
    </row>
    <row r="3597" spans="20:20" ht="18.75" customHeight="1" x14ac:dyDescent="0.35">
      <c r="T3597" s="246">
        <f t="shared" si="94"/>
        <v>0</v>
      </c>
    </row>
    <row r="3598" spans="20:20" ht="18.75" customHeight="1" x14ac:dyDescent="0.35">
      <c r="T3598" s="246">
        <f t="shared" si="94"/>
        <v>0</v>
      </c>
    </row>
    <row r="3599" spans="20:20" ht="18.75" customHeight="1" x14ac:dyDescent="0.35">
      <c r="T3599" s="246">
        <f t="shared" si="94"/>
        <v>0</v>
      </c>
    </row>
    <row r="3600" spans="20:20" ht="18.75" customHeight="1" x14ac:dyDescent="0.35">
      <c r="T3600" s="246">
        <f t="shared" si="94"/>
        <v>0</v>
      </c>
    </row>
    <row r="3601" spans="20:20" ht="18.75" customHeight="1" x14ac:dyDescent="0.35">
      <c r="T3601" s="246">
        <f t="shared" si="94"/>
        <v>0</v>
      </c>
    </row>
    <row r="3602" spans="20:20" ht="18.75" customHeight="1" x14ac:dyDescent="0.35">
      <c r="T3602" s="246">
        <f t="shared" si="94"/>
        <v>0</v>
      </c>
    </row>
    <row r="3603" spans="20:20" ht="18.75" customHeight="1" x14ac:dyDescent="0.35">
      <c r="T3603" s="246">
        <f t="shared" si="94"/>
        <v>0</v>
      </c>
    </row>
    <row r="3604" spans="20:20" ht="18.75" customHeight="1" x14ac:dyDescent="0.35">
      <c r="T3604" s="246">
        <f t="shared" si="94"/>
        <v>0</v>
      </c>
    </row>
    <row r="3605" spans="20:20" ht="18.75" customHeight="1" x14ac:dyDescent="0.35">
      <c r="T3605" s="246">
        <f t="shared" si="94"/>
        <v>0</v>
      </c>
    </row>
    <row r="3606" spans="20:20" ht="18.75" customHeight="1" x14ac:dyDescent="0.35">
      <c r="T3606" s="246">
        <f t="shared" si="94"/>
        <v>0</v>
      </c>
    </row>
    <row r="3607" spans="20:20" ht="18.75" customHeight="1" x14ac:dyDescent="0.35">
      <c r="T3607" s="246">
        <f t="shared" si="94"/>
        <v>0</v>
      </c>
    </row>
    <row r="3608" spans="20:20" ht="18.75" customHeight="1" x14ac:dyDescent="0.35">
      <c r="T3608" s="246">
        <f t="shared" si="94"/>
        <v>0</v>
      </c>
    </row>
    <row r="3609" spans="20:20" ht="18.75" customHeight="1" x14ac:dyDescent="0.35">
      <c r="T3609" s="246">
        <f t="shared" si="94"/>
        <v>0</v>
      </c>
    </row>
    <row r="3610" spans="20:20" ht="18.75" customHeight="1" x14ac:dyDescent="0.35">
      <c r="T3610" s="246">
        <f t="shared" si="94"/>
        <v>0</v>
      </c>
    </row>
    <row r="3611" spans="20:20" ht="18.75" customHeight="1" x14ac:dyDescent="0.35">
      <c r="T3611" s="246">
        <f t="shared" si="94"/>
        <v>0</v>
      </c>
    </row>
    <row r="3612" spans="20:20" ht="18.75" customHeight="1" x14ac:dyDescent="0.35">
      <c r="T3612" s="246">
        <f t="shared" si="94"/>
        <v>0</v>
      </c>
    </row>
    <row r="3613" spans="20:20" ht="18.75" customHeight="1" x14ac:dyDescent="0.35">
      <c r="T3613" s="246">
        <f t="shared" si="94"/>
        <v>0</v>
      </c>
    </row>
    <row r="3614" spans="20:20" ht="18.75" customHeight="1" x14ac:dyDescent="0.35">
      <c r="T3614" s="246">
        <f t="shared" si="94"/>
        <v>0</v>
      </c>
    </row>
    <row r="3615" spans="20:20" ht="18.75" customHeight="1" x14ac:dyDescent="0.35">
      <c r="T3615" s="246">
        <f t="shared" si="94"/>
        <v>0</v>
      </c>
    </row>
    <row r="3616" spans="20:20" ht="18.75" customHeight="1" x14ac:dyDescent="0.35">
      <c r="T3616" s="246">
        <f t="shared" si="94"/>
        <v>0</v>
      </c>
    </row>
    <row r="3617" spans="20:20" ht="18.75" customHeight="1" x14ac:dyDescent="0.35">
      <c r="T3617" s="246">
        <f t="shared" si="94"/>
        <v>0</v>
      </c>
    </row>
    <row r="3618" spans="20:20" ht="18.75" customHeight="1" x14ac:dyDescent="0.35">
      <c r="T3618" s="246">
        <f t="shared" si="94"/>
        <v>0</v>
      </c>
    </row>
    <row r="3619" spans="20:20" ht="18.75" customHeight="1" x14ac:dyDescent="0.35">
      <c r="T3619" s="246">
        <f t="shared" si="94"/>
        <v>0</v>
      </c>
    </row>
    <row r="3620" spans="20:20" ht="18.75" customHeight="1" x14ac:dyDescent="0.35">
      <c r="T3620" s="246">
        <f t="shared" si="94"/>
        <v>0</v>
      </c>
    </row>
    <row r="3621" spans="20:20" ht="18.75" customHeight="1" x14ac:dyDescent="0.35">
      <c r="T3621" s="246">
        <f t="shared" si="94"/>
        <v>0</v>
      </c>
    </row>
    <row r="3622" spans="20:20" ht="18.75" customHeight="1" x14ac:dyDescent="0.35">
      <c r="T3622" s="246">
        <f t="shared" si="94"/>
        <v>0</v>
      </c>
    </row>
    <row r="3623" spans="20:20" ht="18.75" customHeight="1" x14ac:dyDescent="0.35">
      <c r="T3623" s="246">
        <f t="shared" si="94"/>
        <v>0</v>
      </c>
    </row>
    <row r="3624" spans="20:20" ht="18.75" customHeight="1" x14ac:dyDescent="0.35">
      <c r="T3624" s="246">
        <f t="shared" si="94"/>
        <v>0</v>
      </c>
    </row>
    <row r="3625" spans="20:20" ht="18.75" customHeight="1" x14ac:dyDescent="0.35">
      <c r="T3625" s="246">
        <f t="shared" si="94"/>
        <v>0</v>
      </c>
    </row>
    <row r="3626" spans="20:20" ht="18.75" customHeight="1" x14ac:dyDescent="0.35">
      <c r="T3626" s="246">
        <f t="shared" si="94"/>
        <v>0</v>
      </c>
    </row>
    <row r="3627" spans="20:20" ht="18.75" customHeight="1" x14ac:dyDescent="0.35">
      <c r="T3627" s="246">
        <f t="shared" si="94"/>
        <v>0</v>
      </c>
    </row>
    <row r="3628" spans="20:20" ht="18.75" customHeight="1" x14ac:dyDescent="0.35">
      <c r="T3628" s="246">
        <f t="shared" si="94"/>
        <v>0</v>
      </c>
    </row>
    <row r="3629" spans="20:20" ht="18.75" customHeight="1" x14ac:dyDescent="0.35">
      <c r="T3629" s="246">
        <f t="shared" si="94"/>
        <v>0</v>
      </c>
    </row>
    <row r="3630" spans="20:20" ht="18.75" customHeight="1" x14ac:dyDescent="0.35">
      <c r="T3630" s="246">
        <f t="shared" si="94"/>
        <v>0</v>
      </c>
    </row>
    <row r="3631" spans="20:20" ht="18.75" customHeight="1" x14ac:dyDescent="0.35">
      <c r="T3631" s="246">
        <f t="shared" si="94"/>
        <v>0</v>
      </c>
    </row>
    <row r="3632" spans="20:20" ht="18.75" customHeight="1" x14ac:dyDescent="0.35">
      <c r="T3632" s="246">
        <f t="shared" si="94"/>
        <v>0</v>
      </c>
    </row>
    <row r="3633" spans="20:20" ht="18.75" customHeight="1" x14ac:dyDescent="0.35">
      <c r="T3633" s="246">
        <f t="shared" si="94"/>
        <v>0</v>
      </c>
    </row>
    <row r="3634" spans="20:20" ht="18.75" customHeight="1" x14ac:dyDescent="0.35">
      <c r="T3634" s="246">
        <f t="shared" si="94"/>
        <v>0</v>
      </c>
    </row>
    <row r="3635" spans="20:20" ht="18.75" customHeight="1" x14ac:dyDescent="0.35">
      <c r="T3635" s="246">
        <f t="shared" si="94"/>
        <v>0</v>
      </c>
    </row>
    <row r="3636" spans="20:20" ht="18.75" customHeight="1" x14ac:dyDescent="0.35">
      <c r="T3636" s="246">
        <f t="shared" si="94"/>
        <v>0</v>
      </c>
    </row>
    <row r="3637" spans="20:20" ht="18.75" customHeight="1" x14ac:dyDescent="0.35">
      <c r="T3637" s="246">
        <f t="shared" si="94"/>
        <v>0</v>
      </c>
    </row>
    <row r="3638" spans="20:20" ht="18.75" customHeight="1" x14ac:dyDescent="0.35">
      <c r="T3638" s="246">
        <f t="shared" si="94"/>
        <v>0</v>
      </c>
    </row>
    <row r="3639" spans="20:20" ht="18.75" customHeight="1" x14ac:dyDescent="0.35">
      <c r="T3639" s="246">
        <f t="shared" si="94"/>
        <v>0</v>
      </c>
    </row>
    <row r="3640" spans="20:20" ht="18.75" customHeight="1" x14ac:dyDescent="0.35">
      <c r="T3640" s="246">
        <f t="shared" si="94"/>
        <v>0</v>
      </c>
    </row>
    <row r="3641" spans="20:20" ht="18.75" customHeight="1" x14ac:dyDescent="0.35">
      <c r="T3641" s="246">
        <f t="shared" si="94"/>
        <v>0</v>
      </c>
    </row>
    <row r="3642" spans="20:20" ht="18.75" customHeight="1" x14ac:dyDescent="0.35">
      <c r="T3642" s="246">
        <f t="shared" si="94"/>
        <v>0</v>
      </c>
    </row>
    <row r="3643" spans="20:20" ht="18.75" customHeight="1" x14ac:dyDescent="0.35">
      <c r="T3643" s="246">
        <f t="shared" si="94"/>
        <v>0</v>
      </c>
    </row>
    <row r="3644" spans="20:20" ht="18.75" customHeight="1" x14ac:dyDescent="0.35">
      <c r="T3644" s="246">
        <f t="shared" ref="T3644:T3707" si="95">R3644*0.01</f>
        <v>0</v>
      </c>
    </row>
    <row r="3645" spans="20:20" ht="18.75" customHeight="1" x14ac:dyDescent="0.35">
      <c r="T3645" s="246">
        <f t="shared" si="95"/>
        <v>0</v>
      </c>
    </row>
    <row r="3646" spans="20:20" ht="18.75" customHeight="1" x14ac:dyDescent="0.35">
      <c r="T3646" s="246">
        <f t="shared" si="95"/>
        <v>0</v>
      </c>
    </row>
    <row r="3647" spans="20:20" ht="18.75" customHeight="1" x14ac:dyDescent="0.35">
      <c r="T3647" s="246">
        <f t="shared" si="95"/>
        <v>0</v>
      </c>
    </row>
    <row r="3648" spans="20:20" ht="18.75" customHeight="1" x14ac:dyDescent="0.35">
      <c r="T3648" s="246">
        <f t="shared" si="95"/>
        <v>0</v>
      </c>
    </row>
    <row r="3649" spans="20:20" ht="18.75" customHeight="1" x14ac:dyDescent="0.35">
      <c r="T3649" s="246">
        <f t="shared" si="95"/>
        <v>0</v>
      </c>
    </row>
    <row r="3650" spans="20:20" ht="18.75" customHeight="1" x14ac:dyDescent="0.35">
      <c r="T3650" s="246">
        <f t="shared" si="95"/>
        <v>0</v>
      </c>
    </row>
    <row r="3651" spans="20:20" ht="18.75" customHeight="1" x14ac:dyDescent="0.35">
      <c r="T3651" s="246">
        <f t="shared" si="95"/>
        <v>0</v>
      </c>
    </row>
    <row r="3652" spans="20:20" ht="18.75" customHeight="1" x14ac:dyDescent="0.35">
      <c r="T3652" s="246">
        <f t="shared" si="95"/>
        <v>0</v>
      </c>
    </row>
    <row r="3653" spans="20:20" ht="18.75" customHeight="1" x14ac:dyDescent="0.35">
      <c r="T3653" s="246">
        <f t="shared" si="95"/>
        <v>0</v>
      </c>
    </row>
    <row r="3654" spans="20:20" ht="18.75" customHeight="1" x14ac:dyDescent="0.35">
      <c r="T3654" s="246">
        <f t="shared" si="95"/>
        <v>0</v>
      </c>
    </row>
    <row r="3655" spans="20:20" ht="18.75" customHeight="1" x14ac:dyDescent="0.35">
      <c r="T3655" s="246">
        <f t="shared" si="95"/>
        <v>0</v>
      </c>
    </row>
    <row r="3656" spans="20:20" ht="18.75" customHeight="1" x14ac:dyDescent="0.35">
      <c r="T3656" s="246">
        <f t="shared" si="95"/>
        <v>0</v>
      </c>
    </row>
    <row r="3657" spans="20:20" ht="18.75" customHeight="1" x14ac:dyDescent="0.35">
      <c r="T3657" s="246">
        <f t="shared" si="95"/>
        <v>0</v>
      </c>
    </row>
    <row r="3658" spans="20:20" ht="18.75" customHeight="1" x14ac:dyDescent="0.35">
      <c r="T3658" s="246">
        <f t="shared" si="95"/>
        <v>0</v>
      </c>
    </row>
    <row r="3659" spans="20:20" ht="18.75" customHeight="1" x14ac:dyDescent="0.35">
      <c r="T3659" s="246">
        <f t="shared" si="95"/>
        <v>0</v>
      </c>
    </row>
    <row r="3660" spans="20:20" ht="18.75" customHeight="1" x14ac:dyDescent="0.35">
      <c r="T3660" s="246">
        <f t="shared" si="95"/>
        <v>0</v>
      </c>
    </row>
    <row r="3661" spans="20:20" ht="18.75" customHeight="1" x14ac:dyDescent="0.35">
      <c r="T3661" s="246">
        <f t="shared" si="95"/>
        <v>0</v>
      </c>
    </row>
    <row r="3662" spans="20:20" ht="18.75" customHeight="1" x14ac:dyDescent="0.35">
      <c r="T3662" s="246">
        <f t="shared" si="95"/>
        <v>0</v>
      </c>
    </row>
    <row r="3663" spans="20:20" ht="18.75" customHeight="1" x14ac:dyDescent="0.35">
      <c r="T3663" s="246">
        <f t="shared" si="95"/>
        <v>0</v>
      </c>
    </row>
    <row r="3664" spans="20:20" ht="18.75" customHeight="1" x14ac:dyDescent="0.35">
      <c r="T3664" s="246">
        <f t="shared" si="95"/>
        <v>0</v>
      </c>
    </row>
    <row r="3665" spans="20:20" ht="18.75" customHeight="1" x14ac:dyDescent="0.35">
      <c r="T3665" s="246">
        <f t="shared" si="95"/>
        <v>0</v>
      </c>
    </row>
    <row r="3666" spans="20:20" ht="18.75" customHeight="1" x14ac:dyDescent="0.35">
      <c r="T3666" s="246">
        <f t="shared" si="95"/>
        <v>0</v>
      </c>
    </row>
    <row r="3667" spans="20:20" ht="18.75" customHeight="1" x14ac:dyDescent="0.35">
      <c r="T3667" s="246">
        <f t="shared" si="95"/>
        <v>0</v>
      </c>
    </row>
    <row r="3668" spans="20:20" ht="18.75" customHeight="1" x14ac:dyDescent="0.35">
      <c r="T3668" s="246">
        <f t="shared" si="95"/>
        <v>0</v>
      </c>
    </row>
    <row r="3669" spans="20:20" ht="18.75" customHeight="1" x14ac:dyDescent="0.35">
      <c r="T3669" s="246">
        <f t="shared" si="95"/>
        <v>0</v>
      </c>
    </row>
    <row r="3670" spans="20:20" ht="18.75" customHeight="1" x14ac:dyDescent="0.35">
      <c r="T3670" s="246">
        <f t="shared" si="95"/>
        <v>0</v>
      </c>
    </row>
    <row r="3671" spans="20:20" ht="18.75" customHeight="1" x14ac:dyDescent="0.35">
      <c r="T3671" s="246">
        <f t="shared" si="95"/>
        <v>0</v>
      </c>
    </row>
    <row r="3672" spans="20:20" ht="18.75" customHeight="1" x14ac:dyDescent="0.35">
      <c r="T3672" s="246">
        <f t="shared" si="95"/>
        <v>0</v>
      </c>
    </row>
    <row r="3673" spans="20:20" ht="18.75" customHeight="1" x14ac:dyDescent="0.35">
      <c r="T3673" s="246">
        <f t="shared" si="95"/>
        <v>0</v>
      </c>
    </row>
    <row r="3674" spans="20:20" ht="18.75" customHeight="1" x14ac:dyDescent="0.35">
      <c r="T3674" s="246">
        <f t="shared" si="95"/>
        <v>0</v>
      </c>
    </row>
    <row r="3675" spans="20:20" ht="18.75" customHeight="1" x14ac:dyDescent="0.35">
      <c r="T3675" s="246">
        <f t="shared" si="95"/>
        <v>0</v>
      </c>
    </row>
    <row r="3676" spans="20:20" ht="18.75" customHeight="1" x14ac:dyDescent="0.35">
      <c r="T3676" s="246">
        <f t="shared" si="95"/>
        <v>0</v>
      </c>
    </row>
    <row r="3677" spans="20:20" ht="18.75" customHeight="1" x14ac:dyDescent="0.35">
      <c r="T3677" s="246">
        <f t="shared" si="95"/>
        <v>0</v>
      </c>
    </row>
    <row r="3678" spans="20:20" ht="18.75" customHeight="1" x14ac:dyDescent="0.35">
      <c r="T3678" s="246">
        <f t="shared" si="95"/>
        <v>0</v>
      </c>
    </row>
    <row r="3679" spans="20:20" ht="18.75" customHeight="1" x14ac:dyDescent="0.35">
      <c r="T3679" s="246">
        <f t="shared" si="95"/>
        <v>0</v>
      </c>
    </row>
    <row r="3680" spans="20:20" ht="18.75" customHeight="1" x14ac:dyDescent="0.35">
      <c r="T3680" s="246">
        <f t="shared" si="95"/>
        <v>0</v>
      </c>
    </row>
    <row r="3681" spans="20:20" ht="18.75" customHeight="1" x14ac:dyDescent="0.35">
      <c r="T3681" s="246">
        <f t="shared" si="95"/>
        <v>0</v>
      </c>
    </row>
    <row r="3682" spans="20:20" ht="18.75" customHeight="1" x14ac:dyDescent="0.35">
      <c r="T3682" s="246">
        <f t="shared" si="95"/>
        <v>0</v>
      </c>
    </row>
    <row r="3683" spans="20:20" ht="18.75" customHeight="1" x14ac:dyDescent="0.35">
      <c r="T3683" s="246">
        <f t="shared" si="95"/>
        <v>0</v>
      </c>
    </row>
    <row r="3684" spans="20:20" ht="18.75" customHeight="1" x14ac:dyDescent="0.35">
      <c r="T3684" s="246">
        <f t="shared" si="95"/>
        <v>0</v>
      </c>
    </row>
    <row r="3685" spans="20:20" ht="18.75" customHeight="1" x14ac:dyDescent="0.35">
      <c r="T3685" s="246">
        <f t="shared" si="95"/>
        <v>0</v>
      </c>
    </row>
    <row r="3686" spans="20:20" ht="18.75" customHeight="1" x14ac:dyDescent="0.35">
      <c r="T3686" s="246">
        <f t="shared" si="95"/>
        <v>0</v>
      </c>
    </row>
    <row r="3687" spans="20:20" ht="18.75" customHeight="1" x14ac:dyDescent="0.35">
      <c r="T3687" s="246">
        <f t="shared" si="95"/>
        <v>0</v>
      </c>
    </row>
    <row r="3688" spans="20:20" ht="18.75" customHeight="1" x14ac:dyDescent="0.35">
      <c r="T3688" s="246">
        <f t="shared" si="95"/>
        <v>0</v>
      </c>
    </row>
    <row r="3689" spans="20:20" ht="18.75" customHeight="1" x14ac:dyDescent="0.35">
      <c r="T3689" s="246">
        <f t="shared" si="95"/>
        <v>0</v>
      </c>
    </row>
    <row r="3690" spans="20:20" ht="18.75" customHeight="1" x14ac:dyDescent="0.35">
      <c r="T3690" s="246">
        <f t="shared" si="95"/>
        <v>0</v>
      </c>
    </row>
    <row r="3691" spans="20:20" ht="18.75" customHeight="1" x14ac:dyDescent="0.35">
      <c r="T3691" s="246">
        <f t="shared" si="95"/>
        <v>0</v>
      </c>
    </row>
    <row r="3692" spans="20:20" ht="18.75" customHeight="1" x14ac:dyDescent="0.35">
      <c r="T3692" s="246">
        <f t="shared" si="95"/>
        <v>0</v>
      </c>
    </row>
    <row r="3693" spans="20:20" ht="18.75" customHeight="1" x14ac:dyDescent="0.35">
      <c r="T3693" s="246">
        <f t="shared" si="95"/>
        <v>0</v>
      </c>
    </row>
    <row r="3694" spans="20:20" ht="18.75" customHeight="1" x14ac:dyDescent="0.35">
      <c r="T3694" s="246">
        <f t="shared" si="95"/>
        <v>0</v>
      </c>
    </row>
    <row r="3695" spans="20:20" ht="18.75" customHeight="1" x14ac:dyDescent="0.35">
      <c r="T3695" s="246">
        <f t="shared" si="95"/>
        <v>0</v>
      </c>
    </row>
    <row r="3696" spans="20:20" ht="18.75" customHeight="1" x14ac:dyDescent="0.35">
      <c r="T3696" s="246">
        <f t="shared" si="95"/>
        <v>0</v>
      </c>
    </row>
    <row r="3697" spans="20:20" ht="18.75" customHeight="1" x14ac:dyDescent="0.35">
      <c r="T3697" s="246">
        <f t="shared" si="95"/>
        <v>0</v>
      </c>
    </row>
    <row r="3698" spans="20:20" ht="18.75" customHeight="1" x14ac:dyDescent="0.35">
      <c r="T3698" s="246">
        <f t="shared" si="95"/>
        <v>0</v>
      </c>
    </row>
    <row r="3699" spans="20:20" ht="18.75" customHeight="1" x14ac:dyDescent="0.35">
      <c r="T3699" s="246">
        <f t="shared" si="95"/>
        <v>0</v>
      </c>
    </row>
    <row r="3700" spans="20:20" ht="18.75" customHeight="1" x14ac:dyDescent="0.35">
      <c r="T3700" s="246">
        <f t="shared" si="95"/>
        <v>0</v>
      </c>
    </row>
    <row r="3701" spans="20:20" ht="18.75" customHeight="1" x14ac:dyDescent="0.35">
      <c r="T3701" s="246">
        <f t="shared" si="95"/>
        <v>0</v>
      </c>
    </row>
    <row r="3702" spans="20:20" ht="18.75" customHeight="1" x14ac:dyDescent="0.35">
      <c r="T3702" s="246">
        <f t="shared" si="95"/>
        <v>0</v>
      </c>
    </row>
    <row r="3703" spans="20:20" ht="18.75" customHeight="1" x14ac:dyDescent="0.35">
      <c r="T3703" s="246">
        <f t="shared" si="95"/>
        <v>0</v>
      </c>
    </row>
    <row r="3704" spans="20:20" ht="18.75" customHeight="1" x14ac:dyDescent="0.35">
      <c r="T3704" s="246">
        <f t="shared" si="95"/>
        <v>0</v>
      </c>
    </row>
    <row r="3705" spans="20:20" ht="18.75" customHeight="1" x14ac:dyDescent="0.35">
      <c r="T3705" s="246">
        <f t="shared" si="95"/>
        <v>0</v>
      </c>
    </row>
    <row r="3706" spans="20:20" ht="18.75" customHeight="1" x14ac:dyDescent="0.35">
      <c r="T3706" s="246">
        <f t="shared" si="95"/>
        <v>0</v>
      </c>
    </row>
    <row r="3707" spans="20:20" ht="18.75" customHeight="1" x14ac:dyDescent="0.35">
      <c r="T3707" s="246">
        <f t="shared" si="95"/>
        <v>0</v>
      </c>
    </row>
    <row r="3708" spans="20:20" ht="18.75" customHeight="1" x14ac:dyDescent="0.35">
      <c r="T3708" s="246">
        <f t="shared" ref="T3708:T3771" si="96">R3708*0.01</f>
        <v>0</v>
      </c>
    </row>
    <row r="3709" spans="20:20" ht="18.75" customHeight="1" x14ac:dyDescent="0.35">
      <c r="T3709" s="246">
        <f t="shared" si="96"/>
        <v>0</v>
      </c>
    </row>
    <row r="3710" spans="20:20" ht="18.75" customHeight="1" x14ac:dyDescent="0.35">
      <c r="T3710" s="246">
        <f t="shared" si="96"/>
        <v>0</v>
      </c>
    </row>
    <row r="3711" spans="20:20" ht="18.75" customHeight="1" x14ac:dyDescent="0.35">
      <c r="T3711" s="246">
        <f t="shared" si="96"/>
        <v>0</v>
      </c>
    </row>
    <row r="3712" spans="20:20" ht="18.75" customHeight="1" x14ac:dyDescent="0.35">
      <c r="T3712" s="246">
        <f t="shared" si="96"/>
        <v>0</v>
      </c>
    </row>
    <row r="3713" spans="20:20" ht="18.75" customHeight="1" x14ac:dyDescent="0.35">
      <c r="T3713" s="246">
        <f t="shared" si="96"/>
        <v>0</v>
      </c>
    </row>
    <row r="3714" spans="20:20" ht="18.75" customHeight="1" x14ac:dyDescent="0.35">
      <c r="T3714" s="246">
        <f t="shared" si="96"/>
        <v>0</v>
      </c>
    </row>
    <row r="3715" spans="20:20" ht="18.75" customHeight="1" x14ac:dyDescent="0.35">
      <c r="T3715" s="246">
        <f t="shared" si="96"/>
        <v>0</v>
      </c>
    </row>
    <row r="3716" spans="20:20" ht="18.75" customHeight="1" x14ac:dyDescent="0.35">
      <c r="T3716" s="246">
        <f t="shared" si="96"/>
        <v>0</v>
      </c>
    </row>
    <row r="3717" spans="20:20" ht="18.75" customHeight="1" x14ac:dyDescent="0.35">
      <c r="T3717" s="246">
        <f t="shared" si="96"/>
        <v>0</v>
      </c>
    </row>
    <row r="3718" spans="20:20" ht="18.75" customHeight="1" x14ac:dyDescent="0.35">
      <c r="T3718" s="246">
        <f t="shared" si="96"/>
        <v>0</v>
      </c>
    </row>
    <row r="3719" spans="20:20" ht="18.75" customHeight="1" x14ac:dyDescent="0.35">
      <c r="T3719" s="246">
        <f t="shared" si="96"/>
        <v>0</v>
      </c>
    </row>
    <row r="3720" spans="20:20" ht="18.75" customHeight="1" x14ac:dyDescent="0.35">
      <c r="T3720" s="246">
        <f t="shared" si="96"/>
        <v>0</v>
      </c>
    </row>
    <row r="3721" spans="20:20" ht="18.75" customHeight="1" x14ac:dyDescent="0.35">
      <c r="T3721" s="246">
        <f t="shared" si="96"/>
        <v>0</v>
      </c>
    </row>
    <row r="3722" spans="20:20" ht="18.75" customHeight="1" x14ac:dyDescent="0.35">
      <c r="T3722" s="246">
        <f t="shared" si="96"/>
        <v>0</v>
      </c>
    </row>
    <row r="3723" spans="20:20" ht="18.75" customHeight="1" x14ac:dyDescent="0.35">
      <c r="T3723" s="246">
        <f t="shared" si="96"/>
        <v>0</v>
      </c>
    </row>
    <row r="3724" spans="20:20" ht="18.75" customHeight="1" x14ac:dyDescent="0.35">
      <c r="T3724" s="246">
        <f t="shared" si="96"/>
        <v>0</v>
      </c>
    </row>
    <row r="3725" spans="20:20" ht="18.75" customHeight="1" x14ac:dyDescent="0.35">
      <c r="T3725" s="246">
        <f t="shared" si="96"/>
        <v>0</v>
      </c>
    </row>
    <row r="3726" spans="20:20" ht="18.75" customHeight="1" x14ac:dyDescent="0.35">
      <c r="T3726" s="246">
        <f t="shared" si="96"/>
        <v>0</v>
      </c>
    </row>
    <row r="3727" spans="20:20" ht="18.75" customHeight="1" x14ac:dyDescent="0.35">
      <c r="T3727" s="246">
        <f t="shared" si="96"/>
        <v>0</v>
      </c>
    </row>
    <row r="3728" spans="20:20" ht="18.75" customHeight="1" x14ac:dyDescent="0.35">
      <c r="T3728" s="246">
        <f t="shared" si="96"/>
        <v>0</v>
      </c>
    </row>
    <row r="3729" spans="20:20" ht="18.75" customHeight="1" x14ac:dyDescent="0.35">
      <c r="T3729" s="246">
        <f t="shared" si="96"/>
        <v>0</v>
      </c>
    </row>
    <row r="3730" spans="20:20" ht="18.75" customHeight="1" x14ac:dyDescent="0.35">
      <c r="T3730" s="246">
        <f t="shared" si="96"/>
        <v>0</v>
      </c>
    </row>
    <row r="3731" spans="20:20" ht="18.75" customHeight="1" x14ac:dyDescent="0.35">
      <c r="T3731" s="246">
        <f t="shared" si="96"/>
        <v>0</v>
      </c>
    </row>
    <row r="3732" spans="20:20" ht="18.75" customHeight="1" x14ac:dyDescent="0.35">
      <c r="T3732" s="246">
        <f t="shared" si="96"/>
        <v>0</v>
      </c>
    </row>
    <row r="3733" spans="20:20" ht="18.75" customHeight="1" x14ac:dyDescent="0.35">
      <c r="T3733" s="246">
        <f t="shared" si="96"/>
        <v>0</v>
      </c>
    </row>
    <row r="3734" spans="20:20" ht="18.75" customHeight="1" x14ac:dyDescent="0.35">
      <c r="T3734" s="246">
        <f t="shared" si="96"/>
        <v>0</v>
      </c>
    </row>
    <row r="3735" spans="20:20" ht="18.75" customHeight="1" x14ac:dyDescent="0.35">
      <c r="T3735" s="246">
        <f t="shared" si="96"/>
        <v>0</v>
      </c>
    </row>
    <row r="3736" spans="20:20" ht="18.75" customHeight="1" x14ac:dyDescent="0.35">
      <c r="T3736" s="246">
        <f t="shared" si="96"/>
        <v>0</v>
      </c>
    </row>
    <row r="3737" spans="20:20" ht="18.75" customHeight="1" x14ac:dyDescent="0.35">
      <c r="T3737" s="246">
        <f t="shared" si="96"/>
        <v>0</v>
      </c>
    </row>
    <row r="3738" spans="20:20" ht="18.75" customHeight="1" x14ac:dyDescent="0.35">
      <c r="T3738" s="246">
        <f t="shared" si="96"/>
        <v>0</v>
      </c>
    </row>
    <row r="3739" spans="20:20" ht="18.75" customHeight="1" x14ac:dyDescent="0.35">
      <c r="T3739" s="246">
        <f t="shared" si="96"/>
        <v>0</v>
      </c>
    </row>
    <row r="3740" spans="20:20" ht="18.75" customHeight="1" x14ac:dyDescent="0.35">
      <c r="T3740" s="246">
        <f t="shared" si="96"/>
        <v>0</v>
      </c>
    </row>
    <row r="3741" spans="20:20" ht="18.75" customHeight="1" x14ac:dyDescent="0.35">
      <c r="T3741" s="246">
        <f t="shared" si="96"/>
        <v>0</v>
      </c>
    </row>
    <row r="3742" spans="20:20" ht="18.75" customHeight="1" x14ac:dyDescent="0.35">
      <c r="T3742" s="246">
        <f t="shared" si="96"/>
        <v>0</v>
      </c>
    </row>
    <row r="3743" spans="20:20" ht="18.75" customHeight="1" x14ac:dyDescent="0.35">
      <c r="T3743" s="246">
        <f t="shared" si="96"/>
        <v>0</v>
      </c>
    </row>
    <row r="3744" spans="20:20" ht="18.75" customHeight="1" x14ac:dyDescent="0.35">
      <c r="T3744" s="246">
        <f t="shared" si="96"/>
        <v>0</v>
      </c>
    </row>
    <row r="3745" spans="20:20" ht="18.75" customHeight="1" x14ac:dyDescent="0.35">
      <c r="T3745" s="246">
        <f t="shared" si="96"/>
        <v>0</v>
      </c>
    </row>
    <row r="3746" spans="20:20" ht="18.75" customHeight="1" x14ac:dyDescent="0.35">
      <c r="T3746" s="246">
        <f t="shared" si="96"/>
        <v>0</v>
      </c>
    </row>
    <row r="3747" spans="20:20" ht="18.75" customHeight="1" x14ac:dyDescent="0.35">
      <c r="T3747" s="246">
        <f t="shared" si="96"/>
        <v>0</v>
      </c>
    </row>
    <row r="3748" spans="20:20" ht="18.75" customHeight="1" x14ac:dyDescent="0.35">
      <c r="T3748" s="246">
        <f t="shared" si="96"/>
        <v>0</v>
      </c>
    </row>
    <row r="3749" spans="20:20" ht="18.75" customHeight="1" x14ac:dyDescent="0.35">
      <c r="T3749" s="246">
        <f t="shared" si="96"/>
        <v>0</v>
      </c>
    </row>
    <row r="3750" spans="20:20" ht="18.75" customHeight="1" x14ac:dyDescent="0.35">
      <c r="T3750" s="246">
        <f t="shared" si="96"/>
        <v>0</v>
      </c>
    </row>
    <row r="3751" spans="20:20" ht="18.75" customHeight="1" x14ac:dyDescent="0.35">
      <c r="T3751" s="246">
        <f t="shared" si="96"/>
        <v>0</v>
      </c>
    </row>
    <row r="3752" spans="20:20" ht="18.75" customHeight="1" x14ac:dyDescent="0.35">
      <c r="T3752" s="246">
        <f t="shared" si="96"/>
        <v>0</v>
      </c>
    </row>
    <row r="3753" spans="20:20" ht="18.75" customHeight="1" x14ac:dyDescent="0.35">
      <c r="T3753" s="246">
        <f t="shared" si="96"/>
        <v>0</v>
      </c>
    </row>
    <row r="3754" spans="20:20" ht="18.75" customHeight="1" x14ac:dyDescent="0.35">
      <c r="T3754" s="246">
        <f t="shared" si="96"/>
        <v>0</v>
      </c>
    </row>
    <row r="3755" spans="20:20" ht="18.75" customHeight="1" x14ac:dyDescent="0.35">
      <c r="T3755" s="246">
        <f t="shared" si="96"/>
        <v>0</v>
      </c>
    </row>
    <row r="3756" spans="20:20" ht="18.75" customHeight="1" x14ac:dyDescent="0.35">
      <c r="T3756" s="246">
        <f t="shared" si="96"/>
        <v>0</v>
      </c>
    </row>
    <row r="3757" spans="20:20" ht="18.75" customHeight="1" x14ac:dyDescent="0.35">
      <c r="T3757" s="246">
        <f t="shared" si="96"/>
        <v>0</v>
      </c>
    </row>
    <row r="3758" spans="20:20" ht="18.75" customHeight="1" x14ac:dyDescent="0.35">
      <c r="T3758" s="246">
        <f t="shared" si="96"/>
        <v>0</v>
      </c>
    </row>
    <row r="3759" spans="20:20" ht="18.75" customHeight="1" x14ac:dyDescent="0.35">
      <c r="T3759" s="246">
        <f t="shared" si="96"/>
        <v>0</v>
      </c>
    </row>
    <row r="3760" spans="20:20" ht="18.75" customHeight="1" x14ac:dyDescent="0.35">
      <c r="T3760" s="246">
        <f t="shared" si="96"/>
        <v>0</v>
      </c>
    </row>
    <row r="3761" spans="20:20" ht="18.75" customHeight="1" x14ac:dyDescent="0.35">
      <c r="T3761" s="246">
        <f t="shared" si="96"/>
        <v>0</v>
      </c>
    </row>
    <row r="3762" spans="20:20" ht="18.75" customHeight="1" x14ac:dyDescent="0.35">
      <c r="T3762" s="246">
        <f t="shared" si="96"/>
        <v>0</v>
      </c>
    </row>
    <row r="3763" spans="20:20" ht="18.75" customHeight="1" x14ac:dyDescent="0.35">
      <c r="T3763" s="246">
        <f t="shared" si="96"/>
        <v>0</v>
      </c>
    </row>
    <row r="3764" spans="20:20" ht="18.75" customHeight="1" x14ac:dyDescent="0.35">
      <c r="T3764" s="246">
        <f t="shared" si="96"/>
        <v>0</v>
      </c>
    </row>
    <row r="3765" spans="20:20" ht="18.75" customHeight="1" x14ac:dyDescent="0.35">
      <c r="T3765" s="246">
        <f t="shared" si="96"/>
        <v>0</v>
      </c>
    </row>
    <row r="3766" spans="20:20" ht="18.75" customHeight="1" x14ac:dyDescent="0.35">
      <c r="T3766" s="246">
        <f t="shared" si="96"/>
        <v>0</v>
      </c>
    </row>
    <row r="3767" spans="20:20" ht="18.75" customHeight="1" x14ac:dyDescent="0.35">
      <c r="T3767" s="246">
        <f t="shared" si="96"/>
        <v>0</v>
      </c>
    </row>
    <row r="3768" spans="20:20" ht="18.75" customHeight="1" x14ac:dyDescent="0.35">
      <c r="T3768" s="246">
        <f t="shared" si="96"/>
        <v>0</v>
      </c>
    </row>
    <row r="3769" spans="20:20" ht="18.75" customHeight="1" x14ac:dyDescent="0.35">
      <c r="T3769" s="246">
        <f t="shared" si="96"/>
        <v>0</v>
      </c>
    </row>
    <row r="3770" spans="20:20" ht="18.75" customHeight="1" x14ac:dyDescent="0.35">
      <c r="T3770" s="246">
        <f t="shared" si="96"/>
        <v>0</v>
      </c>
    </row>
    <row r="3771" spans="20:20" ht="18.75" customHeight="1" x14ac:dyDescent="0.35">
      <c r="T3771" s="246">
        <f t="shared" si="96"/>
        <v>0</v>
      </c>
    </row>
    <row r="3772" spans="20:20" ht="18.75" customHeight="1" x14ac:dyDescent="0.35">
      <c r="T3772" s="246">
        <f t="shared" ref="T3772:T3835" si="97">R3772*0.01</f>
        <v>0</v>
      </c>
    </row>
    <row r="3773" spans="20:20" ht="18.75" customHeight="1" x14ac:dyDescent="0.35">
      <c r="T3773" s="246">
        <f t="shared" si="97"/>
        <v>0</v>
      </c>
    </row>
    <row r="3774" spans="20:20" ht="18.75" customHeight="1" x14ac:dyDescent="0.35">
      <c r="T3774" s="246">
        <f t="shared" si="97"/>
        <v>0</v>
      </c>
    </row>
    <row r="3775" spans="20:20" ht="18.75" customHeight="1" x14ac:dyDescent="0.35">
      <c r="T3775" s="246">
        <f t="shared" si="97"/>
        <v>0</v>
      </c>
    </row>
    <row r="3776" spans="20:20" ht="18.75" customHeight="1" x14ac:dyDescent="0.35">
      <c r="T3776" s="246">
        <f t="shared" si="97"/>
        <v>0</v>
      </c>
    </row>
    <row r="3777" spans="20:20" ht="18.75" customHeight="1" x14ac:dyDescent="0.35">
      <c r="T3777" s="246">
        <f t="shared" si="97"/>
        <v>0</v>
      </c>
    </row>
    <row r="3778" spans="20:20" ht="18.75" customHeight="1" x14ac:dyDescent="0.35">
      <c r="T3778" s="246">
        <f t="shared" si="97"/>
        <v>0</v>
      </c>
    </row>
    <row r="3779" spans="20:20" ht="18.75" customHeight="1" x14ac:dyDescent="0.35">
      <c r="T3779" s="246">
        <f t="shared" si="97"/>
        <v>0</v>
      </c>
    </row>
    <row r="3780" spans="20:20" ht="18.75" customHeight="1" x14ac:dyDescent="0.35">
      <c r="T3780" s="246">
        <f t="shared" si="97"/>
        <v>0</v>
      </c>
    </row>
    <row r="3781" spans="20:20" ht="18.75" customHeight="1" x14ac:dyDescent="0.35">
      <c r="T3781" s="246">
        <f t="shared" si="97"/>
        <v>0</v>
      </c>
    </row>
    <row r="3782" spans="20:20" ht="18.75" customHeight="1" x14ac:dyDescent="0.35">
      <c r="T3782" s="246">
        <f t="shared" si="97"/>
        <v>0</v>
      </c>
    </row>
    <row r="3783" spans="20:20" ht="18.75" customHeight="1" x14ac:dyDescent="0.35">
      <c r="T3783" s="246">
        <f t="shared" si="97"/>
        <v>0</v>
      </c>
    </row>
    <row r="3784" spans="20:20" ht="18.75" customHeight="1" x14ac:dyDescent="0.35">
      <c r="T3784" s="246">
        <f t="shared" si="97"/>
        <v>0</v>
      </c>
    </row>
    <row r="3785" spans="20:20" ht="18.75" customHeight="1" x14ac:dyDescent="0.35">
      <c r="T3785" s="246">
        <f t="shared" si="97"/>
        <v>0</v>
      </c>
    </row>
    <row r="3786" spans="20:20" ht="18.75" customHeight="1" x14ac:dyDescent="0.35">
      <c r="T3786" s="246">
        <f t="shared" si="97"/>
        <v>0</v>
      </c>
    </row>
    <row r="3787" spans="20:20" ht="18.75" customHeight="1" x14ac:dyDescent="0.35">
      <c r="T3787" s="246">
        <f t="shared" si="97"/>
        <v>0</v>
      </c>
    </row>
    <row r="3788" spans="20:20" ht="18.75" customHeight="1" x14ac:dyDescent="0.35">
      <c r="T3788" s="246">
        <f t="shared" si="97"/>
        <v>0</v>
      </c>
    </row>
    <row r="3789" spans="20:20" ht="18.75" customHeight="1" x14ac:dyDescent="0.35">
      <c r="T3789" s="246">
        <f t="shared" si="97"/>
        <v>0</v>
      </c>
    </row>
    <row r="3790" spans="20:20" ht="18.75" customHeight="1" x14ac:dyDescent="0.35">
      <c r="T3790" s="246">
        <f t="shared" si="97"/>
        <v>0</v>
      </c>
    </row>
    <row r="3791" spans="20:20" ht="18.75" customHeight="1" x14ac:dyDescent="0.35">
      <c r="T3791" s="246">
        <f t="shared" si="97"/>
        <v>0</v>
      </c>
    </row>
    <row r="3792" spans="20:20" ht="18.75" customHeight="1" x14ac:dyDescent="0.35">
      <c r="T3792" s="246">
        <f t="shared" si="97"/>
        <v>0</v>
      </c>
    </row>
    <row r="3793" spans="20:20" ht="18.75" customHeight="1" x14ac:dyDescent="0.35">
      <c r="T3793" s="246">
        <f t="shared" si="97"/>
        <v>0</v>
      </c>
    </row>
    <row r="3794" spans="20:20" ht="18.75" customHeight="1" x14ac:dyDescent="0.35">
      <c r="T3794" s="246">
        <f t="shared" si="97"/>
        <v>0</v>
      </c>
    </row>
    <row r="3795" spans="20:20" ht="18.75" customHeight="1" x14ac:dyDescent="0.35">
      <c r="T3795" s="246">
        <f t="shared" si="97"/>
        <v>0</v>
      </c>
    </row>
    <row r="3796" spans="20:20" ht="18.75" customHeight="1" x14ac:dyDescent="0.35">
      <c r="T3796" s="246">
        <f t="shared" si="97"/>
        <v>0</v>
      </c>
    </row>
    <row r="3797" spans="20:20" ht="18.75" customHeight="1" x14ac:dyDescent="0.35">
      <c r="T3797" s="246">
        <f t="shared" si="97"/>
        <v>0</v>
      </c>
    </row>
    <row r="3798" spans="20:20" ht="18.75" customHeight="1" x14ac:dyDescent="0.35">
      <c r="T3798" s="246">
        <f t="shared" si="97"/>
        <v>0</v>
      </c>
    </row>
    <row r="3799" spans="20:20" ht="18.75" customHeight="1" x14ac:dyDescent="0.35">
      <c r="T3799" s="246">
        <f t="shared" si="97"/>
        <v>0</v>
      </c>
    </row>
    <row r="3800" spans="20:20" ht="18.75" customHeight="1" x14ac:dyDescent="0.35">
      <c r="T3800" s="246">
        <f t="shared" si="97"/>
        <v>0</v>
      </c>
    </row>
    <row r="3801" spans="20:20" ht="18.75" customHeight="1" x14ac:dyDescent="0.35">
      <c r="T3801" s="246">
        <f t="shared" si="97"/>
        <v>0</v>
      </c>
    </row>
    <row r="3802" spans="20:20" ht="18.75" customHeight="1" x14ac:dyDescent="0.35">
      <c r="T3802" s="246">
        <f t="shared" si="97"/>
        <v>0</v>
      </c>
    </row>
    <row r="3803" spans="20:20" ht="18.75" customHeight="1" x14ac:dyDescent="0.35">
      <c r="T3803" s="246">
        <f t="shared" si="97"/>
        <v>0</v>
      </c>
    </row>
    <row r="3804" spans="20:20" ht="18.75" customHeight="1" x14ac:dyDescent="0.35">
      <c r="T3804" s="246">
        <f t="shared" si="97"/>
        <v>0</v>
      </c>
    </row>
    <row r="3805" spans="20:20" ht="18.75" customHeight="1" x14ac:dyDescent="0.35">
      <c r="T3805" s="246">
        <f t="shared" si="97"/>
        <v>0</v>
      </c>
    </row>
    <row r="3806" spans="20:20" ht="18.75" customHeight="1" x14ac:dyDescent="0.35">
      <c r="T3806" s="246">
        <f t="shared" si="97"/>
        <v>0</v>
      </c>
    </row>
    <row r="3807" spans="20:20" ht="18.75" customHeight="1" x14ac:dyDescent="0.35">
      <c r="T3807" s="246">
        <f t="shared" si="97"/>
        <v>0</v>
      </c>
    </row>
    <row r="3808" spans="20:20" ht="18.75" customHeight="1" x14ac:dyDescent="0.35">
      <c r="T3808" s="246">
        <f t="shared" si="97"/>
        <v>0</v>
      </c>
    </row>
    <row r="3809" spans="20:20" ht="18.75" customHeight="1" x14ac:dyDescent="0.35">
      <c r="T3809" s="246">
        <f t="shared" si="97"/>
        <v>0</v>
      </c>
    </row>
    <row r="3810" spans="20:20" ht="18.75" customHeight="1" x14ac:dyDescent="0.35">
      <c r="T3810" s="246">
        <f t="shared" si="97"/>
        <v>0</v>
      </c>
    </row>
    <row r="3811" spans="20:20" ht="18.75" customHeight="1" x14ac:dyDescent="0.35">
      <c r="T3811" s="246">
        <f t="shared" si="97"/>
        <v>0</v>
      </c>
    </row>
    <row r="3812" spans="20:20" ht="18.75" customHeight="1" x14ac:dyDescent="0.35">
      <c r="T3812" s="246">
        <f t="shared" si="97"/>
        <v>0</v>
      </c>
    </row>
    <row r="3813" spans="20:20" ht="18.75" customHeight="1" x14ac:dyDescent="0.35">
      <c r="T3813" s="246">
        <f t="shared" si="97"/>
        <v>0</v>
      </c>
    </row>
    <row r="3814" spans="20:20" ht="18.75" customHeight="1" x14ac:dyDescent="0.35">
      <c r="T3814" s="246">
        <f t="shared" si="97"/>
        <v>0</v>
      </c>
    </row>
    <row r="3815" spans="20:20" ht="18.75" customHeight="1" x14ac:dyDescent="0.35">
      <c r="T3815" s="246">
        <f t="shared" si="97"/>
        <v>0</v>
      </c>
    </row>
    <row r="3816" spans="20:20" ht="18.75" customHeight="1" x14ac:dyDescent="0.35">
      <c r="T3816" s="246">
        <f t="shared" si="97"/>
        <v>0</v>
      </c>
    </row>
    <row r="3817" spans="20:20" ht="18.75" customHeight="1" x14ac:dyDescent="0.35">
      <c r="T3817" s="246">
        <f t="shared" si="97"/>
        <v>0</v>
      </c>
    </row>
    <row r="3818" spans="20:20" ht="18.75" customHeight="1" x14ac:dyDescent="0.35">
      <c r="T3818" s="246">
        <f t="shared" si="97"/>
        <v>0</v>
      </c>
    </row>
    <row r="3819" spans="20:20" ht="18.75" customHeight="1" x14ac:dyDescent="0.35">
      <c r="T3819" s="246">
        <f t="shared" si="97"/>
        <v>0</v>
      </c>
    </row>
    <row r="3820" spans="20:20" ht="18.75" customHeight="1" x14ac:dyDescent="0.35">
      <c r="T3820" s="246">
        <f t="shared" si="97"/>
        <v>0</v>
      </c>
    </row>
    <row r="3821" spans="20:20" ht="18.75" customHeight="1" x14ac:dyDescent="0.35">
      <c r="T3821" s="246">
        <f t="shared" si="97"/>
        <v>0</v>
      </c>
    </row>
    <row r="3822" spans="20:20" ht="18.75" customHeight="1" x14ac:dyDescent="0.35">
      <c r="T3822" s="246">
        <f t="shared" si="97"/>
        <v>0</v>
      </c>
    </row>
    <row r="3823" spans="20:20" ht="18.75" customHeight="1" x14ac:dyDescent="0.35">
      <c r="T3823" s="246">
        <f t="shared" si="97"/>
        <v>0</v>
      </c>
    </row>
    <row r="3824" spans="20:20" ht="18.75" customHeight="1" x14ac:dyDescent="0.35">
      <c r="T3824" s="246">
        <f t="shared" si="97"/>
        <v>0</v>
      </c>
    </row>
    <row r="3825" spans="20:20" ht="18.75" customHeight="1" x14ac:dyDescent="0.35">
      <c r="T3825" s="246">
        <f t="shared" si="97"/>
        <v>0</v>
      </c>
    </row>
    <row r="3826" spans="20:20" ht="18.75" customHeight="1" x14ac:dyDescent="0.35">
      <c r="T3826" s="246">
        <f t="shared" si="97"/>
        <v>0</v>
      </c>
    </row>
    <row r="3827" spans="20:20" ht="18.75" customHeight="1" x14ac:dyDescent="0.35">
      <c r="T3827" s="246">
        <f t="shared" si="97"/>
        <v>0</v>
      </c>
    </row>
    <row r="3828" spans="20:20" ht="18.75" customHeight="1" x14ac:dyDescent="0.35">
      <c r="T3828" s="246">
        <f t="shared" si="97"/>
        <v>0</v>
      </c>
    </row>
    <row r="3829" spans="20:20" ht="18.75" customHeight="1" x14ac:dyDescent="0.35">
      <c r="T3829" s="246">
        <f t="shared" si="97"/>
        <v>0</v>
      </c>
    </row>
    <row r="3830" spans="20:20" ht="18.75" customHeight="1" x14ac:dyDescent="0.35">
      <c r="T3830" s="246">
        <f t="shared" si="97"/>
        <v>0</v>
      </c>
    </row>
    <row r="3831" spans="20:20" ht="18.75" customHeight="1" x14ac:dyDescent="0.35">
      <c r="T3831" s="246">
        <f t="shared" si="97"/>
        <v>0</v>
      </c>
    </row>
    <row r="3832" spans="20:20" ht="18.75" customHeight="1" x14ac:dyDescent="0.35">
      <c r="T3832" s="246">
        <f t="shared" si="97"/>
        <v>0</v>
      </c>
    </row>
    <row r="3833" spans="20:20" ht="18.75" customHeight="1" x14ac:dyDescent="0.35">
      <c r="T3833" s="246">
        <f t="shared" si="97"/>
        <v>0</v>
      </c>
    </row>
    <row r="3834" spans="20:20" ht="18.75" customHeight="1" x14ac:dyDescent="0.35">
      <c r="T3834" s="246">
        <f t="shared" si="97"/>
        <v>0</v>
      </c>
    </row>
    <row r="3835" spans="20:20" ht="18.75" customHeight="1" x14ac:dyDescent="0.35">
      <c r="T3835" s="246">
        <f t="shared" si="97"/>
        <v>0</v>
      </c>
    </row>
    <row r="3836" spans="20:20" ht="18.75" customHeight="1" x14ac:dyDescent="0.35">
      <c r="T3836" s="246">
        <f t="shared" ref="T3836:T3899" si="98">R3836*0.01</f>
        <v>0</v>
      </c>
    </row>
    <row r="3837" spans="20:20" ht="18.75" customHeight="1" x14ac:dyDescent="0.35">
      <c r="T3837" s="246">
        <f t="shared" si="98"/>
        <v>0</v>
      </c>
    </row>
    <row r="3838" spans="20:20" ht="18.75" customHeight="1" x14ac:dyDescent="0.35">
      <c r="T3838" s="246">
        <f t="shared" si="98"/>
        <v>0</v>
      </c>
    </row>
    <row r="3839" spans="20:20" ht="18.75" customHeight="1" x14ac:dyDescent="0.35">
      <c r="T3839" s="246">
        <f t="shared" si="98"/>
        <v>0</v>
      </c>
    </row>
    <row r="3840" spans="20:20" ht="18.75" customHeight="1" x14ac:dyDescent="0.35">
      <c r="T3840" s="246">
        <f t="shared" si="98"/>
        <v>0</v>
      </c>
    </row>
    <row r="3841" spans="20:20" ht="18.75" customHeight="1" x14ac:dyDescent="0.35">
      <c r="T3841" s="246">
        <f t="shared" si="98"/>
        <v>0</v>
      </c>
    </row>
    <row r="3842" spans="20:20" ht="18.75" customHeight="1" x14ac:dyDescent="0.35">
      <c r="T3842" s="246">
        <f t="shared" si="98"/>
        <v>0</v>
      </c>
    </row>
    <row r="3843" spans="20:20" ht="18.75" customHeight="1" x14ac:dyDescent="0.35">
      <c r="T3843" s="246">
        <f t="shared" si="98"/>
        <v>0</v>
      </c>
    </row>
    <row r="3844" spans="20:20" ht="18.75" customHeight="1" x14ac:dyDescent="0.35">
      <c r="T3844" s="246">
        <f t="shared" si="98"/>
        <v>0</v>
      </c>
    </row>
    <row r="3845" spans="20:20" ht="18.75" customHeight="1" x14ac:dyDescent="0.35">
      <c r="T3845" s="246">
        <f t="shared" si="98"/>
        <v>0</v>
      </c>
    </row>
    <row r="3846" spans="20:20" ht="18.75" customHeight="1" x14ac:dyDescent="0.35">
      <c r="T3846" s="246">
        <f t="shared" si="98"/>
        <v>0</v>
      </c>
    </row>
    <row r="3847" spans="20:20" ht="18.75" customHeight="1" x14ac:dyDescent="0.35">
      <c r="T3847" s="246">
        <f t="shared" si="98"/>
        <v>0</v>
      </c>
    </row>
    <row r="3848" spans="20:20" ht="18.75" customHeight="1" x14ac:dyDescent="0.35">
      <c r="T3848" s="246">
        <f t="shared" si="98"/>
        <v>0</v>
      </c>
    </row>
    <row r="3849" spans="20:20" ht="18.75" customHeight="1" x14ac:dyDescent="0.35">
      <c r="T3849" s="246">
        <f t="shared" si="98"/>
        <v>0</v>
      </c>
    </row>
    <row r="3850" spans="20:20" ht="18.75" customHeight="1" x14ac:dyDescent="0.35">
      <c r="T3850" s="246">
        <f t="shared" si="98"/>
        <v>0</v>
      </c>
    </row>
    <row r="3851" spans="20:20" ht="18.75" customHeight="1" x14ac:dyDescent="0.35">
      <c r="T3851" s="246">
        <f t="shared" si="98"/>
        <v>0</v>
      </c>
    </row>
    <row r="3852" spans="20:20" ht="18.75" customHeight="1" x14ac:dyDescent="0.35">
      <c r="T3852" s="246">
        <f t="shared" si="98"/>
        <v>0</v>
      </c>
    </row>
    <row r="3853" spans="20:20" ht="18.75" customHeight="1" x14ac:dyDescent="0.35">
      <c r="T3853" s="246">
        <f t="shared" si="98"/>
        <v>0</v>
      </c>
    </row>
    <row r="3854" spans="20:20" ht="18.75" customHeight="1" x14ac:dyDescent="0.35">
      <c r="T3854" s="246">
        <f t="shared" si="98"/>
        <v>0</v>
      </c>
    </row>
    <row r="3855" spans="20:20" ht="18.75" customHeight="1" x14ac:dyDescent="0.35">
      <c r="T3855" s="246">
        <f t="shared" si="98"/>
        <v>0</v>
      </c>
    </row>
    <row r="3856" spans="20:20" ht="18.75" customHeight="1" x14ac:dyDescent="0.35">
      <c r="T3856" s="246">
        <f t="shared" si="98"/>
        <v>0</v>
      </c>
    </row>
    <row r="3857" spans="20:20" ht="18.75" customHeight="1" x14ac:dyDescent="0.35">
      <c r="T3857" s="246">
        <f t="shared" si="98"/>
        <v>0</v>
      </c>
    </row>
    <row r="3858" spans="20:20" ht="18.75" customHeight="1" x14ac:dyDescent="0.35">
      <c r="T3858" s="246">
        <f t="shared" si="98"/>
        <v>0</v>
      </c>
    </row>
    <row r="3859" spans="20:20" ht="18.75" customHeight="1" x14ac:dyDescent="0.35">
      <c r="T3859" s="246">
        <f t="shared" si="98"/>
        <v>0</v>
      </c>
    </row>
    <row r="3860" spans="20:20" ht="18.75" customHeight="1" x14ac:dyDescent="0.35">
      <c r="T3860" s="246">
        <f t="shared" si="98"/>
        <v>0</v>
      </c>
    </row>
    <row r="3861" spans="20:20" ht="18.75" customHeight="1" x14ac:dyDescent="0.35">
      <c r="T3861" s="246">
        <f t="shared" si="98"/>
        <v>0</v>
      </c>
    </row>
    <row r="3862" spans="20:20" ht="18.75" customHeight="1" x14ac:dyDescent="0.35">
      <c r="T3862" s="246">
        <f t="shared" si="98"/>
        <v>0</v>
      </c>
    </row>
    <row r="3863" spans="20:20" ht="18.75" customHeight="1" x14ac:dyDescent="0.35">
      <c r="T3863" s="246">
        <f t="shared" si="98"/>
        <v>0</v>
      </c>
    </row>
    <row r="3864" spans="20:20" ht="18.75" customHeight="1" x14ac:dyDescent="0.35">
      <c r="T3864" s="246">
        <f t="shared" si="98"/>
        <v>0</v>
      </c>
    </row>
    <row r="3865" spans="20:20" ht="18.75" customHeight="1" x14ac:dyDescent="0.35">
      <c r="T3865" s="246">
        <f t="shared" si="98"/>
        <v>0</v>
      </c>
    </row>
    <row r="3866" spans="20:20" ht="18.75" customHeight="1" x14ac:dyDescent="0.35">
      <c r="T3866" s="246">
        <f t="shared" si="98"/>
        <v>0</v>
      </c>
    </row>
    <row r="3867" spans="20:20" ht="18.75" customHeight="1" x14ac:dyDescent="0.35">
      <c r="T3867" s="246">
        <f t="shared" si="98"/>
        <v>0</v>
      </c>
    </row>
    <row r="3868" spans="20:20" ht="18.75" customHeight="1" x14ac:dyDescent="0.35">
      <c r="T3868" s="246">
        <f t="shared" si="98"/>
        <v>0</v>
      </c>
    </row>
    <row r="3869" spans="20:20" ht="18.75" customHeight="1" x14ac:dyDescent="0.35">
      <c r="T3869" s="246">
        <f t="shared" si="98"/>
        <v>0</v>
      </c>
    </row>
    <row r="3870" spans="20:20" ht="18.75" customHeight="1" x14ac:dyDescent="0.35">
      <c r="T3870" s="246">
        <f t="shared" si="98"/>
        <v>0</v>
      </c>
    </row>
    <row r="3871" spans="20:20" ht="18.75" customHeight="1" x14ac:dyDescent="0.35">
      <c r="T3871" s="246">
        <f t="shared" si="98"/>
        <v>0</v>
      </c>
    </row>
    <row r="3872" spans="20:20" ht="18.75" customHeight="1" x14ac:dyDescent="0.35">
      <c r="T3872" s="246">
        <f t="shared" si="98"/>
        <v>0</v>
      </c>
    </row>
    <row r="3873" spans="20:20" ht="18.75" customHeight="1" x14ac:dyDescent="0.35">
      <c r="T3873" s="246">
        <f t="shared" si="98"/>
        <v>0</v>
      </c>
    </row>
    <row r="3874" spans="20:20" ht="18.75" customHeight="1" x14ac:dyDescent="0.35">
      <c r="T3874" s="246">
        <f t="shared" si="98"/>
        <v>0</v>
      </c>
    </row>
    <row r="3875" spans="20:20" ht="18.75" customHeight="1" x14ac:dyDescent="0.35">
      <c r="T3875" s="246">
        <f t="shared" si="98"/>
        <v>0</v>
      </c>
    </row>
    <row r="3876" spans="20:20" ht="18.75" customHeight="1" x14ac:dyDescent="0.35">
      <c r="T3876" s="246">
        <f t="shared" si="98"/>
        <v>0</v>
      </c>
    </row>
    <row r="3877" spans="20:20" ht="18.75" customHeight="1" x14ac:dyDescent="0.35">
      <c r="T3877" s="246">
        <f t="shared" si="98"/>
        <v>0</v>
      </c>
    </row>
    <row r="3878" spans="20:20" ht="18.75" customHeight="1" x14ac:dyDescent="0.35">
      <c r="T3878" s="246">
        <f t="shared" si="98"/>
        <v>0</v>
      </c>
    </row>
    <row r="3879" spans="20:20" ht="18.75" customHeight="1" x14ac:dyDescent="0.35">
      <c r="T3879" s="246">
        <f t="shared" si="98"/>
        <v>0</v>
      </c>
    </row>
    <row r="3880" spans="20:20" ht="18.75" customHeight="1" x14ac:dyDescent="0.35">
      <c r="T3880" s="246">
        <f t="shared" si="98"/>
        <v>0</v>
      </c>
    </row>
    <row r="3881" spans="20:20" ht="18.75" customHeight="1" x14ac:dyDescent="0.35">
      <c r="T3881" s="246">
        <f t="shared" si="98"/>
        <v>0</v>
      </c>
    </row>
    <row r="3882" spans="20:20" ht="18.75" customHeight="1" x14ac:dyDescent="0.35">
      <c r="T3882" s="246">
        <f t="shared" si="98"/>
        <v>0</v>
      </c>
    </row>
    <row r="3883" spans="20:20" ht="18.75" customHeight="1" x14ac:dyDescent="0.35">
      <c r="T3883" s="246">
        <f t="shared" si="98"/>
        <v>0</v>
      </c>
    </row>
    <row r="3884" spans="20:20" ht="18.75" customHeight="1" x14ac:dyDescent="0.35">
      <c r="T3884" s="246">
        <f t="shared" si="98"/>
        <v>0</v>
      </c>
    </row>
    <row r="3885" spans="20:20" ht="18.75" customHeight="1" x14ac:dyDescent="0.35">
      <c r="T3885" s="246">
        <f t="shared" si="98"/>
        <v>0</v>
      </c>
    </row>
    <row r="3886" spans="20:20" ht="18.75" customHeight="1" x14ac:dyDescent="0.35">
      <c r="T3886" s="246">
        <f t="shared" si="98"/>
        <v>0</v>
      </c>
    </row>
    <row r="3887" spans="20:20" ht="18.75" customHeight="1" x14ac:dyDescent="0.35">
      <c r="T3887" s="246">
        <f t="shared" si="98"/>
        <v>0</v>
      </c>
    </row>
    <row r="3888" spans="20:20" ht="18.75" customHeight="1" x14ac:dyDescent="0.35">
      <c r="T3888" s="246">
        <f t="shared" si="98"/>
        <v>0</v>
      </c>
    </row>
    <row r="3889" spans="20:20" ht="18.75" customHeight="1" x14ac:dyDescent="0.35">
      <c r="T3889" s="246">
        <f t="shared" si="98"/>
        <v>0</v>
      </c>
    </row>
    <row r="3890" spans="20:20" ht="18.75" customHeight="1" x14ac:dyDescent="0.35">
      <c r="T3890" s="246">
        <f t="shared" si="98"/>
        <v>0</v>
      </c>
    </row>
    <row r="3891" spans="20:20" ht="18.75" customHeight="1" x14ac:dyDescent="0.35">
      <c r="T3891" s="246">
        <f t="shared" si="98"/>
        <v>0</v>
      </c>
    </row>
    <row r="3892" spans="20:20" ht="18.75" customHeight="1" x14ac:dyDescent="0.35">
      <c r="T3892" s="246">
        <f t="shared" si="98"/>
        <v>0</v>
      </c>
    </row>
    <row r="3893" spans="20:20" ht="18.75" customHeight="1" x14ac:dyDescent="0.35">
      <c r="T3893" s="246">
        <f t="shared" si="98"/>
        <v>0</v>
      </c>
    </row>
    <row r="3894" spans="20:20" ht="18.75" customHeight="1" x14ac:dyDescent="0.35">
      <c r="T3894" s="246">
        <f t="shared" si="98"/>
        <v>0</v>
      </c>
    </row>
    <row r="3895" spans="20:20" ht="18.75" customHeight="1" x14ac:dyDescent="0.35">
      <c r="T3895" s="246">
        <f t="shared" si="98"/>
        <v>0</v>
      </c>
    </row>
    <row r="3896" spans="20:20" ht="18.75" customHeight="1" x14ac:dyDescent="0.35">
      <c r="T3896" s="246">
        <f t="shared" si="98"/>
        <v>0</v>
      </c>
    </row>
    <row r="3897" spans="20:20" ht="18.75" customHeight="1" x14ac:dyDescent="0.35">
      <c r="T3897" s="246">
        <f t="shared" si="98"/>
        <v>0</v>
      </c>
    </row>
    <row r="3898" spans="20:20" ht="18.75" customHeight="1" x14ac:dyDescent="0.35">
      <c r="T3898" s="246">
        <f t="shared" si="98"/>
        <v>0</v>
      </c>
    </row>
    <row r="3899" spans="20:20" ht="18.75" customHeight="1" x14ac:dyDescent="0.35">
      <c r="T3899" s="246">
        <f t="shared" si="98"/>
        <v>0</v>
      </c>
    </row>
    <row r="3900" spans="20:20" ht="18.75" customHeight="1" x14ac:dyDescent="0.35">
      <c r="T3900" s="246">
        <f t="shared" ref="T3900:T3963" si="99">R3900*0.01</f>
        <v>0</v>
      </c>
    </row>
    <row r="3901" spans="20:20" ht="18.75" customHeight="1" x14ac:dyDescent="0.35">
      <c r="T3901" s="246">
        <f t="shared" si="99"/>
        <v>0</v>
      </c>
    </row>
    <row r="3902" spans="20:20" ht="18.75" customHeight="1" x14ac:dyDescent="0.35">
      <c r="T3902" s="246">
        <f t="shared" si="99"/>
        <v>0</v>
      </c>
    </row>
    <row r="3903" spans="20:20" ht="18.75" customHeight="1" x14ac:dyDescent="0.35">
      <c r="T3903" s="246">
        <f t="shared" si="99"/>
        <v>0</v>
      </c>
    </row>
    <row r="3904" spans="20:20" ht="18.75" customHeight="1" x14ac:dyDescent="0.35">
      <c r="T3904" s="246">
        <f t="shared" si="99"/>
        <v>0</v>
      </c>
    </row>
    <row r="3905" spans="20:20" ht="18.75" customHeight="1" x14ac:dyDescent="0.35">
      <c r="T3905" s="246">
        <f t="shared" si="99"/>
        <v>0</v>
      </c>
    </row>
    <row r="3906" spans="20:20" ht="18.75" customHeight="1" x14ac:dyDescent="0.35">
      <c r="T3906" s="246">
        <f t="shared" si="99"/>
        <v>0</v>
      </c>
    </row>
    <row r="3907" spans="20:20" ht="18.75" customHeight="1" x14ac:dyDescent="0.35">
      <c r="T3907" s="246">
        <f t="shared" si="99"/>
        <v>0</v>
      </c>
    </row>
    <row r="3908" spans="20:20" ht="18.75" customHeight="1" x14ac:dyDescent="0.35">
      <c r="T3908" s="246">
        <f t="shared" si="99"/>
        <v>0</v>
      </c>
    </row>
    <row r="3909" spans="20:20" ht="18.75" customHeight="1" x14ac:dyDescent="0.35">
      <c r="T3909" s="246">
        <f t="shared" si="99"/>
        <v>0</v>
      </c>
    </row>
    <row r="3910" spans="20:20" ht="18.75" customHeight="1" x14ac:dyDescent="0.35">
      <c r="T3910" s="246">
        <f t="shared" si="99"/>
        <v>0</v>
      </c>
    </row>
    <row r="3911" spans="20:20" ht="18.75" customHeight="1" x14ac:dyDescent="0.35">
      <c r="T3911" s="246">
        <f t="shared" si="99"/>
        <v>0</v>
      </c>
    </row>
    <row r="3912" spans="20:20" ht="18.75" customHeight="1" x14ac:dyDescent="0.35">
      <c r="T3912" s="246">
        <f t="shared" si="99"/>
        <v>0</v>
      </c>
    </row>
    <row r="3913" spans="20:20" ht="18.75" customHeight="1" x14ac:dyDescent="0.35">
      <c r="T3913" s="246">
        <f t="shared" si="99"/>
        <v>0</v>
      </c>
    </row>
    <row r="3914" spans="20:20" ht="18.75" customHeight="1" x14ac:dyDescent="0.35">
      <c r="T3914" s="246">
        <f t="shared" si="99"/>
        <v>0</v>
      </c>
    </row>
    <row r="3915" spans="20:20" ht="18.75" customHeight="1" x14ac:dyDescent="0.35">
      <c r="T3915" s="246">
        <f t="shared" si="99"/>
        <v>0</v>
      </c>
    </row>
    <row r="3916" spans="20:20" ht="18.75" customHeight="1" x14ac:dyDescent="0.35">
      <c r="T3916" s="246">
        <f t="shared" si="99"/>
        <v>0</v>
      </c>
    </row>
    <row r="3917" spans="20:20" ht="18.75" customHeight="1" x14ac:dyDescent="0.35">
      <c r="T3917" s="246">
        <f t="shared" si="99"/>
        <v>0</v>
      </c>
    </row>
    <row r="3918" spans="20:20" ht="18.75" customHeight="1" x14ac:dyDescent="0.35">
      <c r="T3918" s="246">
        <f t="shared" si="99"/>
        <v>0</v>
      </c>
    </row>
    <row r="3919" spans="20:20" ht="18.75" customHeight="1" x14ac:dyDescent="0.35">
      <c r="T3919" s="246">
        <f t="shared" si="99"/>
        <v>0</v>
      </c>
    </row>
    <row r="3920" spans="20:20" ht="18.75" customHeight="1" x14ac:dyDescent="0.35">
      <c r="T3920" s="246">
        <f t="shared" si="99"/>
        <v>0</v>
      </c>
    </row>
    <row r="3921" spans="20:20" ht="18.75" customHeight="1" x14ac:dyDescent="0.35">
      <c r="T3921" s="246">
        <f t="shared" si="99"/>
        <v>0</v>
      </c>
    </row>
    <row r="3922" spans="20:20" ht="18.75" customHeight="1" x14ac:dyDescent="0.35">
      <c r="T3922" s="246">
        <f t="shared" si="99"/>
        <v>0</v>
      </c>
    </row>
    <row r="3923" spans="20:20" ht="18.75" customHeight="1" x14ac:dyDescent="0.35">
      <c r="T3923" s="246">
        <f t="shared" si="99"/>
        <v>0</v>
      </c>
    </row>
    <row r="3924" spans="20:20" ht="18.75" customHeight="1" x14ac:dyDescent="0.35">
      <c r="T3924" s="246">
        <f t="shared" si="99"/>
        <v>0</v>
      </c>
    </row>
    <row r="3925" spans="20:20" ht="18.75" customHeight="1" x14ac:dyDescent="0.35">
      <c r="T3925" s="246">
        <f t="shared" si="99"/>
        <v>0</v>
      </c>
    </row>
    <row r="3926" spans="20:20" ht="18.75" customHeight="1" x14ac:dyDescent="0.35">
      <c r="T3926" s="246">
        <f t="shared" si="99"/>
        <v>0</v>
      </c>
    </row>
    <row r="3927" spans="20:20" ht="18.75" customHeight="1" x14ac:dyDescent="0.35">
      <c r="T3927" s="246">
        <f t="shared" si="99"/>
        <v>0</v>
      </c>
    </row>
    <row r="3928" spans="20:20" ht="18.75" customHeight="1" x14ac:dyDescent="0.35">
      <c r="T3928" s="246">
        <f t="shared" si="99"/>
        <v>0</v>
      </c>
    </row>
    <row r="3929" spans="20:20" ht="18.75" customHeight="1" x14ac:dyDescent="0.35">
      <c r="T3929" s="246">
        <f t="shared" si="99"/>
        <v>0</v>
      </c>
    </row>
    <row r="3930" spans="20:20" ht="18.75" customHeight="1" x14ac:dyDescent="0.35">
      <c r="T3930" s="246">
        <f t="shared" si="99"/>
        <v>0</v>
      </c>
    </row>
    <row r="3931" spans="20:20" ht="18.75" customHeight="1" x14ac:dyDescent="0.35">
      <c r="T3931" s="246">
        <f t="shared" si="99"/>
        <v>0</v>
      </c>
    </row>
    <row r="3932" spans="20:20" ht="18.75" customHeight="1" x14ac:dyDescent="0.35">
      <c r="T3932" s="246">
        <f t="shared" si="99"/>
        <v>0</v>
      </c>
    </row>
    <row r="3933" spans="20:20" ht="18.75" customHeight="1" x14ac:dyDescent="0.35">
      <c r="T3933" s="246">
        <f t="shared" si="99"/>
        <v>0</v>
      </c>
    </row>
    <row r="3934" spans="20:20" ht="18.75" customHeight="1" x14ac:dyDescent="0.35">
      <c r="T3934" s="246">
        <f t="shared" si="99"/>
        <v>0</v>
      </c>
    </row>
    <row r="3935" spans="20:20" ht="18.75" customHeight="1" x14ac:dyDescent="0.35">
      <c r="T3935" s="246">
        <f t="shared" si="99"/>
        <v>0</v>
      </c>
    </row>
    <row r="3936" spans="20:20" ht="18.75" customHeight="1" x14ac:dyDescent="0.35">
      <c r="T3936" s="246">
        <f t="shared" si="99"/>
        <v>0</v>
      </c>
    </row>
    <row r="3937" spans="20:20" ht="18.75" customHeight="1" x14ac:dyDescent="0.35">
      <c r="T3937" s="246">
        <f t="shared" si="99"/>
        <v>0</v>
      </c>
    </row>
    <row r="3938" spans="20:20" ht="18.75" customHeight="1" x14ac:dyDescent="0.35">
      <c r="T3938" s="246">
        <f t="shared" si="99"/>
        <v>0</v>
      </c>
    </row>
    <row r="3939" spans="20:20" ht="18.75" customHeight="1" x14ac:dyDescent="0.35">
      <c r="T3939" s="246">
        <f t="shared" si="99"/>
        <v>0</v>
      </c>
    </row>
    <row r="3940" spans="20:20" ht="18.75" customHeight="1" x14ac:dyDescent="0.35">
      <c r="T3940" s="246">
        <f t="shared" si="99"/>
        <v>0</v>
      </c>
    </row>
    <row r="3941" spans="20:20" ht="18.75" customHeight="1" x14ac:dyDescent="0.35">
      <c r="T3941" s="246">
        <f t="shared" si="99"/>
        <v>0</v>
      </c>
    </row>
    <row r="3942" spans="20:20" ht="18.75" customHeight="1" x14ac:dyDescent="0.35">
      <c r="T3942" s="246">
        <f t="shared" si="99"/>
        <v>0</v>
      </c>
    </row>
    <row r="3943" spans="20:20" ht="18.75" customHeight="1" x14ac:dyDescent="0.35">
      <c r="T3943" s="246">
        <f t="shared" si="99"/>
        <v>0</v>
      </c>
    </row>
    <row r="3944" spans="20:20" ht="18.75" customHeight="1" x14ac:dyDescent="0.35">
      <c r="T3944" s="246">
        <f t="shared" si="99"/>
        <v>0</v>
      </c>
    </row>
    <row r="3945" spans="20:20" ht="18.75" customHeight="1" x14ac:dyDescent="0.35">
      <c r="T3945" s="246">
        <f t="shared" si="99"/>
        <v>0</v>
      </c>
    </row>
    <row r="3946" spans="20:20" ht="18.75" customHeight="1" x14ac:dyDescent="0.35">
      <c r="T3946" s="246">
        <f t="shared" si="99"/>
        <v>0</v>
      </c>
    </row>
    <row r="3947" spans="20:20" ht="18.75" customHeight="1" x14ac:dyDescent="0.35">
      <c r="T3947" s="246">
        <f t="shared" si="99"/>
        <v>0</v>
      </c>
    </row>
    <row r="3948" spans="20:20" ht="18.75" customHeight="1" x14ac:dyDescent="0.35">
      <c r="T3948" s="246">
        <f t="shared" si="99"/>
        <v>0</v>
      </c>
    </row>
    <row r="3949" spans="20:20" ht="18.75" customHeight="1" x14ac:dyDescent="0.35">
      <c r="T3949" s="246">
        <f t="shared" si="99"/>
        <v>0</v>
      </c>
    </row>
    <row r="3950" spans="20:20" ht="18.75" customHeight="1" x14ac:dyDescent="0.35">
      <c r="T3950" s="246">
        <f t="shared" si="99"/>
        <v>0</v>
      </c>
    </row>
    <row r="3951" spans="20:20" ht="18.75" customHeight="1" x14ac:dyDescent="0.35">
      <c r="T3951" s="246">
        <f t="shared" si="99"/>
        <v>0</v>
      </c>
    </row>
    <row r="3952" spans="20:20" ht="18.75" customHeight="1" x14ac:dyDescent="0.35">
      <c r="T3952" s="246">
        <f t="shared" si="99"/>
        <v>0</v>
      </c>
    </row>
    <row r="3953" spans="20:20" ht="18.75" customHeight="1" x14ac:dyDescent="0.35">
      <c r="T3953" s="246">
        <f t="shared" si="99"/>
        <v>0</v>
      </c>
    </row>
    <row r="3954" spans="20:20" ht="18.75" customHeight="1" x14ac:dyDescent="0.35">
      <c r="T3954" s="246">
        <f t="shared" si="99"/>
        <v>0</v>
      </c>
    </row>
    <row r="3955" spans="20:20" ht="18.75" customHeight="1" x14ac:dyDescent="0.35">
      <c r="T3955" s="246">
        <f t="shared" si="99"/>
        <v>0</v>
      </c>
    </row>
    <row r="3956" spans="20:20" ht="18.75" customHeight="1" x14ac:dyDescent="0.35">
      <c r="T3956" s="246">
        <f t="shared" si="99"/>
        <v>0</v>
      </c>
    </row>
    <row r="3957" spans="20:20" ht="18.75" customHeight="1" x14ac:dyDescent="0.35">
      <c r="T3957" s="246">
        <f t="shared" si="99"/>
        <v>0</v>
      </c>
    </row>
    <row r="3958" spans="20:20" ht="18.75" customHeight="1" x14ac:dyDescent="0.35">
      <c r="T3958" s="246">
        <f t="shared" si="99"/>
        <v>0</v>
      </c>
    </row>
    <row r="3959" spans="20:20" ht="18.75" customHeight="1" x14ac:dyDescent="0.35">
      <c r="T3959" s="246">
        <f t="shared" si="99"/>
        <v>0</v>
      </c>
    </row>
    <row r="3960" spans="20:20" ht="18.75" customHeight="1" x14ac:dyDescent="0.35">
      <c r="T3960" s="246">
        <f t="shared" si="99"/>
        <v>0</v>
      </c>
    </row>
    <row r="3961" spans="20:20" ht="18.75" customHeight="1" x14ac:dyDescent="0.35">
      <c r="T3961" s="246">
        <f t="shared" si="99"/>
        <v>0</v>
      </c>
    </row>
    <row r="3962" spans="20:20" ht="18.75" customHeight="1" x14ac:dyDescent="0.35">
      <c r="T3962" s="246">
        <f t="shared" si="99"/>
        <v>0</v>
      </c>
    </row>
    <row r="3963" spans="20:20" ht="18.75" customHeight="1" x14ac:dyDescent="0.35">
      <c r="T3963" s="246">
        <f t="shared" si="99"/>
        <v>0</v>
      </c>
    </row>
    <row r="3964" spans="20:20" ht="18.75" customHeight="1" x14ac:dyDescent="0.35">
      <c r="T3964" s="246">
        <f t="shared" ref="T3964:T4027" si="100">R3964*0.01</f>
        <v>0</v>
      </c>
    </row>
    <row r="3965" spans="20:20" ht="18.75" customHeight="1" x14ac:dyDescent="0.35">
      <c r="T3965" s="246">
        <f t="shared" si="100"/>
        <v>0</v>
      </c>
    </row>
    <row r="3966" spans="20:20" ht="18.75" customHeight="1" x14ac:dyDescent="0.35">
      <c r="T3966" s="246">
        <f t="shared" si="100"/>
        <v>0</v>
      </c>
    </row>
    <row r="3967" spans="20:20" ht="18.75" customHeight="1" x14ac:dyDescent="0.35">
      <c r="T3967" s="246">
        <f t="shared" si="100"/>
        <v>0</v>
      </c>
    </row>
    <row r="3968" spans="20:20" ht="18.75" customHeight="1" x14ac:dyDescent="0.35">
      <c r="T3968" s="246">
        <f t="shared" si="100"/>
        <v>0</v>
      </c>
    </row>
    <row r="3969" spans="20:20" ht="18.75" customHeight="1" x14ac:dyDescent="0.35">
      <c r="T3969" s="246">
        <f t="shared" si="100"/>
        <v>0</v>
      </c>
    </row>
    <row r="3970" spans="20:20" ht="18.75" customHeight="1" x14ac:dyDescent="0.35">
      <c r="T3970" s="246">
        <f t="shared" si="100"/>
        <v>0</v>
      </c>
    </row>
    <row r="3971" spans="20:20" ht="18.75" customHeight="1" x14ac:dyDescent="0.35">
      <c r="T3971" s="246">
        <f t="shared" si="100"/>
        <v>0</v>
      </c>
    </row>
    <row r="3972" spans="20:20" ht="18.75" customHeight="1" x14ac:dyDescent="0.35">
      <c r="T3972" s="246">
        <f t="shared" si="100"/>
        <v>0</v>
      </c>
    </row>
    <row r="3973" spans="20:20" ht="18.75" customHeight="1" x14ac:dyDescent="0.35">
      <c r="T3973" s="246">
        <f t="shared" si="100"/>
        <v>0</v>
      </c>
    </row>
    <row r="3974" spans="20:20" ht="18.75" customHeight="1" x14ac:dyDescent="0.35">
      <c r="T3974" s="246">
        <f t="shared" si="100"/>
        <v>0</v>
      </c>
    </row>
    <row r="3975" spans="20:20" ht="18.75" customHeight="1" x14ac:dyDescent="0.35">
      <c r="T3975" s="246">
        <f t="shared" si="100"/>
        <v>0</v>
      </c>
    </row>
    <row r="3976" spans="20:20" ht="18.75" customHeight="1" x14ac:dyDescent="0.35">
      <c r="T3976" s="246">
        <f t="shared" si="100"/>
        <v>0</v>
      </c>
    </row>
    <row r="3977" spans="20:20" ht="18.75" customHeight="1" x14ac:dyDescent="0.35">
      <c r="T3977" s="246">
        <f t="shared" si="100"/>
        <v>0</v>
      </c>
    </row>
    <row r="3978" spans="20:20" ht="18.75" customHeight="1" x14ac:dyDescent="0.35">
      <c r="T3978" s="246">
        <f t="shared" si="100"/>
        <v>0</v>
      </c>
    </row>
    <row r="3979" spans="20:20" ht="18.75" customHeight="1" x14ac:dyDescent="0.35">
      <c r="T3979" s="246">
        <f t="shared" si="100"/>
        <v>0</v>
      </c>
    </row>
    <row r="3980" spans="20:20" ht="18.75" customHeight="1" x14ac:dyDescent="0.35">
      <c r="T3980" s="246">
        <f t="shared" si="100"/>
        <v>0</v>
      </c>
    </row>
    <row r="3981" spans="20:20" ht="18.75" customHeight="1" x14ac:dyDescent="0.35">
      <c r="T3981" s="246">
        <f t="shared" si="100"/>
        <v>0</v>
      </c>
    </row>
    <row r="3982" spans="20:20" ht="18.75" customHeight="1" x14ac:dyDescent="0.35">
      <c r="T3982" s="246">
        <f t="shared" si="100"/>
        <v>0</v>
      </c>
    </row>
    <row r="3983" spans="20:20" ht="18.75" customHeight="1" x14ac:dyDescent="0.35">
      <c r="T3983" s="246">
        <f t="shared" si="100"/>
        <v>0</v>
      </c>
    </row>
    <row r="3984" spans="20:20" ht="18.75" customHeight="1" x14ac:dyDescent="0.35">
      <c r="T3984" s="246">
        <f t="shared" si="100"/>
        <v>0</v>
      </c>
    </row>
    <row r="3985" spans="20:20" ht="18.75" customHeight="1" x14ac:dyDescent="0.35">
      <c r="T3985" s="246">
        <f t="shared" si="100"/>
        <v>0</v>
      </c>
    </row>
    <row r="3986" spans="20:20" ht="18.75" customHeight="1" x14ac:dyDescent="0.35">
      <c r="T3986" s="246">
        <f t="shared" si="100"/>
        <v>0</v>
      </c>
    </row>
    <row r="3987" spans="20:20" ht="18.75" customHeight="1" x14ac:dyDescent="0.35">
      <c r="T3987" s="246">
        <f t="shared" si="100"/>
        <v>0</v>
      </c>
    </row>
    <row r="3988" spans="20:20" ht="18.75" customHeight="1" x14ac:dyDescent="0.35">
      <c r="T3988" s="246">
        <f t="shared" si="100"/>
        <v>0</v>
      </c>
    </row>
    <row r="3989" spans="20:20" ht="18.75" customHeight="1" x14ac:dyDescent="0.35">
      <c r="T3989" s="246">
        <f t="shared" si="100"/>
        <v>0</v>
      </c>
    </row>
    <row r="3990" spans="20:20" ht="18.75" customHeight="1" x14ac:dyDescent="0.35">
      <c r="T3990" s="246">
        <f t="shared" si="100"/>
        <v>0</v>
      </c>
    </row>
    <row r="3991" spans="20:20" ht="18.75" customHeight="1" x14ac:dyDescent="0.35">
      <c r="T3991" s="246">
        <f t="shared" si="100"/>
        <v>0</v>
      </c>
    </row>
    <row r="3992" spans="20:20" ht="18.75" customHeight="1" x14ac:dyDescent="0.35">
      <c r="T3992" s="246">
        <f t="shared" si="100"/>
        <v>0</v>
      </c>
    </row>
    <row r="3993" spans="20:20" ht="18.75" customHeight="1" x14ac:dyDescent="0.35">
      <c r="T3993" s="246">
        <f t="shared" si="100"/>
        <v>0</v>
      </c>
    </row>
    <row r="3994" spans="20:20" ht="18.75" customHeight="1" x14ac:dyDescent="0.35">
      <c r="T3994" s="246">
        <f t="shared" si="100"/>
        <v>0</v>
      </c>
    </row>
    <row r="3995" spans="20:20" ht="18.75" customHeight="1" x14ac:dyDescent="0.35">
      <c r="T3995" s="246">
        <f t="shared" si="100"/>
        <v>0</v>
      </c>
    </row>
    <row r="3996" spans="20:20" ht="18.75" customHeight="1" x14ac:dyDescent="0.35">
      <c r="T3996" s="246">
        <f t="shared" si="100"/>
        <v>0</v>
      </c>
    </row>
    <row r="3997" spans="20:20" ht="18.75" customHeight="1" x14ac:dyDescent="0.35">
      <c r="T3997" s="246">
        <f t="shared" si="100"/>
        <v>0</v>
      </c>
    </row>
    <row r="3998" spans="20:20" ht="18.75" customHeight="1" x14ac:dyDescent="0.35">
      <c r="T3998" s="246">
        <f t="shared" si="100"/>
        <v>0</v>
      </c>
    </row>
    <row r="3999" spans="20:20" ht="18.75" customHeight="1" x14ac:dyDescent="0.35">
      <c r="T3999" s="246">
        <f t="shared" si="100"/>
        <v>0</v>
      </c>
    </row>
    <row r="4000" spans="20:20" ht="18.75" customHeight="1" x14ac:dyDescent="0.35">
      <c r="T4000" s="246">
        <f t="shared" si="100"/>
        <v>0</v>
      </c>
    </row>
    <row r="4001" spans="20:20" ht="18.75" customHeight="1" x14ac:dyDescent="0.35">
      <c r="T4001" s="246">
        <f t="shared" si="100"/>
        <v>0</v>
      </c>
    </row>
    <row r="4002" spans="20:20" ht="18.75" customHeight="1" x14ac:dyDescent="0.35">
      <c r="T4002" s="246">
        <f t="shared" si="100"/>
        <v>0</v>
      </c>
    </row>
    <row r="4003" spans="20:20" ht="18.75" customHeight="1" x14ac:dyDescent="0.35">
      <c r="T4003" s="246">
        <f t="shared" si="100"/>
        <v>0</v>
      </c>
    </row>
    <row r="4004" spans="20:20" ht="18.75" customHeight="1" x14ac:dyDescent="0.35">
      <c r="T4004" s="246">
        <f t="shared" si="100"/>
        <v>0</v>
      </c>
    </row>
    <row r="4005" spans="20:20" ht="18.75" customHeight="1" x14ac:dyDescent="0.35">
      <c r="T4005" s="246">
        <f t="shared" si="100"/>
        <v>0</v>
      </c>
    </row>
    <row r="4006" spans="20:20" ht="18.75" customHeight="1" x14ac:dyDescent="0.35">
      <c r="T4006" s="246">
        <f t="shared" si="100"/>
        <v>0</v>
      </c>
    </row>
    <row r="4007" spans="20:20" ht="18.75" customHeight="1" x14ac:dyDescent="0.35">
      <c r="T4007" s="246">
        <f t="shared" si="100"/>
        <v>0</v>
      </c>
    </row>
    <row r="4008" spans="20:20" ht="18.75" customHeight="1" x14ac:dyDescent="0.35">
      <c r="T4008" s="246">
        <f t="shared" si="100"/>
        <v>0</v>
      </c>
    </row>
    <row r="4009" spans="20:20" ht="18.75" customHeight="1" x14ac:dyDescent="0.35">
      <c r="T4009" s="246">
        <f t="shared" si="100"/>
        <v>0</v>
      </c>
    </row>
    <row r="4010" spans="20:20" ht="18.75" customHeight="1" x14ac:dyDescent="0.35">
      <c r="T4010" s="246">
        <f t="shared" si="100"/>
        <v>0</v>
      </c>
    </row>
    <row r="4011" spans="20:20" ht="18.75" customHeight="1" x14ac:dyDescent="0.35">
      <c r="T4011" s="246">
        <f t="shared" si="100"/>
        <v>0</v>
      </c>
    </row>
    <row r="4012" spans="20:20" ht="18.75" customHeight="1" x14ac:dyDescent="0.35">
      <c r="T4012" s="246">
        <f t="shared" si="100"/>
        <v>0</v>
      </c>
    </row>
    <row r="4013" spans="20:20" ht="18.75" customHeight="1" x14ac:dyDescent="0.35">
      <c r="T4013" s="246">
        <f t="shared" si="100"/>
        <v>0</v>
      </c>
    </row>
    <row r="4014" spans="20:20" ht="18.75" customHeight="1" x14ac:dyDescent="0.35">
      <c r="T4014" s="246">
        <f t="shared" si="100"/>
        <v>0</v>
      </c>
    </row>
    <row r="4015" spans="20:20" ht="18.75" customHeight="1" x14ac:dyDescent="0.35">
      <c r="T4015" s="246">
        <f t="shared" si="100"/>
        <v>0</v>
      </c>
    </row>
    <row r="4016" spans="20:20" ht="18.75" customHeight="1" x14ac:dyDescent="0.35">
      <c r="T4016" s="246">
        <f t="shared" si="100"/>
        <v>0</v>
      </c>
    </row>
    <row r="4017" spans="20:20" ht="18.75" customHeight="1" x14ac:dyDescent="0.35">
      <c r="T4017" s="246">
        <f t="shared" si="100"/>
        <v>0</v>
      </c>
    </row>
    <row r="4018" spans="20:20" ht="18.75" customHeight="1" x14ac:dyDescent="0.35">
      <c r="T4018" s="246">
        <f t="shared" si="100"/>
        <v>0</v>
      </c>
    </row>
    <row r="4019" spans="20:20" ht="18.75" customHeight="1" x14ac:dyDescent="0.35">
      <c r="T4019" s="246">
        <f t="shared" si="100"/>
        <v>0</v>
      </c>
    </row>
    <row r="4020" spans="20:20" ht="18.75" customHeight="1" x14ac:dyDescent="0.35">
      <c r="T4020" s="246">
        <f t="shared" si="100"/>
        <v>0</v>
      </c>
    </row>
    <row r="4021" spans="20:20" ht="18.75" customHeight="1" x14ac:dyDescent="0.35">
      <c r="T4021" s="246">
        <f t="shared" si="100"/>
        <v>0</v>
      </c>
    </row>
    <row r="4022" spans="20:20" ht="18.75" customHeight="1" x14ac:dyDescent="0.35">
      <c r="T4022" s="246">
        <f t="shared" si="100"/>
        <v>0</v>
      </c>
    </row>
    <row r="4023" spans="20:20" ht="18.75" customHeight="1" x14ac:dyDescent="0.35">
      <c r="T4023" s="246">
        <f t="shared" si="100"/>
        <v>0</v>
      </c>
    </row>
    <row r="4024" spans="20:20" ht="18.75" customHeight="1" x14ac:dyDescent="0.35">
      <c r="T4024" s="246">
        <f t="shared" si="100"/>
        <v>0</v>
      </c>
    </row>
    <row r="4025" spans="20:20" ht="18.75" customHeight="1" x14ac:dyDescent="0.35">
      <c r="T4025" s="246">
        <f t="shared" si="100"/>
        <v>0</v>
      </c>
    </row>
    <row r="4026" spans="20:20" ht="18.75" customHeight="1" x14ac:dyDescent="0.35">
      <c r="T4026" s="246">
        <f t="shared" si="100"/>
        <v>0</v>
      </c>
    </row>
    <row r="4027" spans="20:20" ht="18.75" customHeight="1" x14ac:dyDescent="0.35">
      <c r="T4027" s="246">
        <f t="shared" si="100"/>
        <v>0</v>
      </c>
    </row>
    <row r="4028" spans="20:20" ht="18.75" customHeight="1" x14ac:dyDescent="0.35">
      <c r="T4028" s="246">
        <f t="shared" ref="T4028:T4091" si="101">R4028*0.01</f>
        <v>0</v>
      </c>
    </row>
    <row r="4029" spans="20:20" ht="18.75" customHeight="1" x14ac:dyDescent="0.35">
      <c r="T4029" s="246">
        <f t="shared" si="101"/>
        <v>0</v>
      </c>
    </row>
    <row r="4030" spans="20:20" ht="18.75" customHeight="1" x14ac:dyDescent="0.35">
      <c r="T4030" s="246">
        <f t="shared" si="101"/>
        <v>0</v>
      </c>
    </row>
    <row r="4031" spans="20:20" ht="18.75" customHeight="1" x14ac:dyDescent="0.35">
      <c r="T4031" s="246">
        <f t="shared" si="101"/>
        <v>0</v>
      </c>
    </row>
    <row r="4032" spans="20:20" ht="18.75" customHeight="1" x14ac:dyDescent="0.35">
      <c r="T4032" s="246">
        <f t="shared" si="101"/>
        <v>0</v>
      </c>
    </row>
    <row r="4033" spans="20:20" ht="18.75" customHeight="1" x14ac:dyDescent="0.35">
      <c r="T4033" s="246">
        <f t="shared" si="101"/>
        <v>0</v>
      </c>
    </row>
    <row r="4034" spans="20:20" ht="18.75" customHeight="1" x14ac:dyDescent="0.35">
      <c r="T4034" s="246">
        <f t="shared" si="101"/>
        <v>0</v>
      </c>
    </row>
    <row r="4035" spans="20:20" ht="18.75" customHeight="1" x14ac:dyDescent="0.35">
      <c r="T4035" s="246">
        <f t="shared" si="101"/>
        <v>0</v>
      </c>
    </row>
    <row r="4036" spans="20:20" ht="18.75" customHeight="1" x14ac:dyDescent="0.35">
      <c r="T4036" s="246">
        <f t="shared" si="101"/>
        <v>0</v>
      </c>
    </row>
    <row r="4037" spans="20:20" ht="18.75" customHeight="1" x14ac:dyDescent="0.35">
      <c r="T4037" s="246">
        <f t="shared" si="101"/>
        <v>0</v>
      </c>
    </row>
    <row r="4038" spans="20:20" ht="18.75" customHeight="1" x14ac:dyDescent="0.35">
      <c r="T4038" s="246">
        <f t="shared" si="101"/>
        <v>0</v>
      </c>
    </row>
    <row r="4039" spans="20:20" ht="18.75" customHeight="1" x14ac:dyDescent="0.35">
      <c r="T4039" s="246">
        <f t="shared" si="101"/>
        <v>0</v>
      </c>
    </row>
    <row r="4040" spans="20:20" ht="18.75" customHeight="1" x14ac:dyDescent="0.35">
      <c r="T4040" s="246">
        <f t="shared" si="101"/>
        <v>0</v>
      </c>
    </row>
    <row r="4041" spans="20:20" ht="18.75" customHeight="1" x14ac:dyDescent="0.35">
      <c r="T4041" s="246">
        <f t="shared" si="101"/>
        <v>0</v>
      </c>
    </row>
    <row r="4042" spans="20:20" ht="18.75" customHeight="1" x14ac:dyDescent="0.35">
      <c r="T4042" s="246">
        <f t="shared" si="101"/>
        <v>0</v>
      </c>
    </row>
    <row r="4043" spans="20:20" ht="18.75" customHeight="1" x14ac:dyDescent="0.35">
      <c r="T4043" s="246">
        <f t="shared" si="101"/>
        <v>0</v>
      </c>
    </row>
    <row r="4044" spans="20:20" ht="18.75" customHeight="1" x14ac:dyDescent="0.35">
      <c r="T4044" s="246">
        <f t="shared" si="101"/>
        <v>0</v>
      </c>
    </row>
    <row r="4045" spans="20:20" ht="18.75" customHeight="1" x14ac:dyDescent="0.35">
      <c r="T4045" s="246">
        <f t="shared" si="101"/>
        <v>0</v>
      </c>
    </row>
    <row r="4046" spans="20:20" ht="18.75" customHeight="1" x14ac:dyDescent="0.35">
      <c r="T4046" s="246">
        <f t="shared" si="101"/>
        <v>0</v>
      </c>
    </row>
    <row r="4047" spans="20:20" ht="18.75" customHeight="1" x14ac:dyDescent="0.35">
      <c r="T4047" s="246">
        <f t="shared" si="101"/>
        <v>0</v>
      </c>
    </row>
    <row r="4048" spans="20:20" ht="18.75" customHeight="1" x14ac:dyDescent="0.35">
      <c r="T4048" s="246">
        <f t="shared" si="101"/>
        <v>0</v>
      </c>
    </row>
    <row r="4049" spans="20:20" ht="18.75" customHeight="1" x14ac:dyDescent="0.35">
      <c r="T4049" s="246">
        <f t="shared" si="101"/>
        <v>0</v>
      </c>
    </row>
    <row r="4050" spans="20:20" ht="18.75" customHeight="1" x14ac:dyDescent="0.35">
      <c r="T4050" s="246">
        <f t="shared" si="101"/>
        <v>0</v>
      </c>
    </row>
    <row r="4051" spans="20:20" ht="18.75" customHeight="1" x14ac:dyDescent="0.35">
      <c r="T4051" s="246">
        <f t="shared" si="101"/>
        <v>0</v>
      </c>
    </row>
    <row r="4052" spans="20:20" ht="18.75" customHeight="1" x14ac:dyDescent="0.35">
      <c r="T4052" s="246">
        <f t="shared" si="101"/>
        <v>0</v>
      </c>
    </row>
    <row r="4053" spans="20:20" ht="18.75" customHeight="1" x14ac:dyDescent="0.35">
      <c r="T4053" s="246">
        <f t="shared" si="101"/>
        <v>0</v>
      </c>
    </row>
    <row r="4054" spans="20:20" ht="18.75" customHeight="1" x14ac:dyDescent="0.35">
      <c r="T4054" s="246">
        <f t="shared" si="101"/>
        <v>0</v>
      </c>
    </row>
    <row r="4055" spans="20:20" ht="18.75" customHeight="1" x14ac:dyDescent="0.35">
      <c r="T4055" s="246">
        <f t="shared" si="101"/>
        <v>0</v>
      </c>
    </row>
    <row r="4056" spans="20:20" ht="18.75" customHeight="1" x14ac:dyDescent="0.35">
      <c r="T4056" s="246">
        <f t="shared" si="101"/>
        <v>0</v>
      </c>
    </row>
    <row r="4057" spans="20:20" ht="18.75" customHeight="1" x14ac:dyDescent="0.35">
      <c r="T4057" s="246">
        <f t="shared" si="101"/>
        <v>0</v>
      </c>
    </row>
    <row r="4058" spans="20:20" ht="18.75" customHeight="1" x14ac:dyDescent="0.35">
      <c r="T4058" s="246">
        <f t="shared" si="101"/>
        <v>0</v>
      </c>
    </row>
    <row r="4059" spans="20:20" ht="18.75" customHeight="1" x14ac:dyDescent="0.35">
      <c r="T4059" s="246">
        <f t="shared" si="101"/>
        <v>0</v>
      </c>
    </row>
    <row r="4060" spans="20:20" ht="18.75" customHeight="1" x14ac:dyDescent="0.35">
      <c r="T4060" s="246">
        <f t="shared" si="101"/>
        <v>0</v>
      </c>
    </row>
    <row r="4061" spans="20:20" ht="18.75" customHeight="1" x14ac:dyDescent="0.35">
      <c r="T4061" s="246">
        <f t="shared" si="101"/>
        <v>0</v>
      </c>
    </row>
    <row r="4062" spans="20:20" ht="18.75" customHeight="1" x14ac:dyDescent="0.35">
      <c r="T4062" s="246">
        <f t="shared" si="101"/>
        <v>0</v>
      </c>
    </row>
    <row r="4063" spans="20:20" ht="18.75" customHeight="1" x14ac:dyDescent="0.35">
      <c r="T4063" s="246">
        <f t="shared" si="101"/>
        <v>0</v>
      </c>
    </row>
    <row r="4064" spans="20:20" ht="18.75" customHeight="1" x14ac:dyDescent="0.35">
      <c r="T4064" s="246">
        <f t="shared" si="101"/>
        <v>0</v>
      </c>
    </row>
    <row r="4065" spans="20:20" ht="18.75" customHeight="1" x14ac:dyDescent="0.35">
      <c r="T4065" s="246">
        <f t="shared" si="101"/>
        <v>0</v>
      </c>
    </row>
    <row r="4066" spans="20:20" ht="18.75" customHeight="1" x14ac:dyDescent="0.35">
      <c r="T4066" s="246">
        <f t="shared" si="101"/>
        <v>0</v>
      </c>
    </row>
    <row r="4067" spans="20:20" ht="18.75" customHeight="1" x14ac:dyDescent="0.35">
      <c r="T4067" s="246">
        <f t="shared" si="101"/>
        <v>0</v>
      </c>
    </row>
    <row r="4068" spans="20:20" ht="18.75" customHeight="1" x14ac:dyDescent="0.35">
      <c r="T4068" s="246">
        <f t="shared" si="101"/>
        <v>0</v>
      </c>
    </row>
    <row r="4069" spans="20:20" ht="18.75" customHeight="1" x14ac:dyDescent="0.35">
      <c r="T4069" s="246">
        <f t="shared" si="101"/>
        <v>0</v>
      </c>
    </row>
    <row r="4070" spans="20:20" ht="18.75" customHeight="1" x14ac:dyDescent="0.35">
      <c r="T4070" s="246">
        <f t="shared" si="101"/>
        <v>0</v>
      </c>
    </row>
    <row r="4071" spans="20:20" ht="18.75" customHeight="1" x14ac:dyDescent="0.35">
      <c r="T4071" s="246">
        <f t="shared" si="101"/>
        <v>0</v>
      </c>
    </row>
    <row r="4072" spans="20:20" ht="18.75" customHeight="1" x14ac:dyDescent="0.35">
      <c r="T4072" s="246">
        <f t="shared" si="101"/>
        <v>0</v>
      </c>
    </row>
    <row r="4073" spans="20:20" ht="18.75" customHeight="1" x14ac:dyDescent="0.35">
      <c r="T4073" s="246">
        <f t="shared" si="101"/>
        <v>0</v>
      </c>
    </row>
    <row r="4074" spans="20:20" ht="18.75" customHeight="1" x14ac:dyDescent="0.35">
      <c r="T4074" s="246">
        <f t="shared" si="101"/>
        <v>0</v>
      </c>
    </row>
    <row r="4075" spans="20:20" ht="18.75" customHeight="1" x14ac:dyDescent="0.35">
      <c r="T4075" s="246">
        <f t="shared" si="101"/>
        <v>0</v>
      </c>
    </row>
    <row r="4076" spans="20:20" ht="18.75" customHeight="1" x14ac:dyDescent="0.35">
      <c r="T4076" s="246">
        <f t="shared" si="101"/>
        <v>0</v>
      </c>
    </row>
    <row r="4077" spans="20:20" ht="18.75" customHeight="1" x14ac:dyDescent="0.35">
      <c r="T4077" s="246">
        <f t="shared" si="101"/>
        <v>0</v>
      </c>
    </row>
    <row r="4078" spans="20:20" ht="18.75" customHeight="1" x14ac:dyDescent="0.35">
      <c r="T4078" s="246">
        <f t="shared" si="101"/>
        <v>0</v>
      </c>
    </row>
    <row r="4079" spans="20:20" ht="18.75" customHeight="1" x14ac:dyDescent="0.35">
      <c r="T4079" s="246">
        <f t="shared" si="101"/>
        <v>0</v>
      </c>
    </row>
    <row r="4080" spans="20:20" ht="18.75" customHeight="1" x14ac:dyDescent="0.35">
      <c r="T4080" s="246">
        <f t="shared" si="101"/>
        <v>0</v>
      </c>
    </row>
    <row r="4081" spans="20:20" ht="18.75" customHeight="1" x14ac:dyDescent="0.35">
      <c r="T4081" s="246">
        <f t="shared" si="101"/>
        <v>0</v>
      </c>
    </row>
    <row r="4082" spans="20:20" ht="18.75" customHeight="1" x14ac:dyDescent="0.35">
      <c r="T4082" s="246">
        <f t="shared" si="101"/>
        <v>0</v>
      </c>
    </row>
    <row r="4083" spans="20:20" ht="18.75" customHeight="1" x14ac:dyDescent="0.35">
      <c r="T4083" s="246">
        <f t="shared" si="101"/>
        <v>0</v>
      </c>
    </row>
    <row r="4084" spans="20:20" ht="18.75" customHeight="1" x14ac:dyDescent="0.35">
      <c r="T4084" s="246">
        <f t="shared" si="101"/>
        <v>0</v>
      </c>
    </row>
    <row r="4085" spans="20:20" ht="18.75" customHeight="1" x14ac:dyDescent="0.35">
      <c r="T4085" s="246">
        <f t="shared" si="101"/>
        <v>0</v>
      </c>
    </row>
    <row r="4086" spans="20:20" ht="18.75" customHeight="1" x14ac:dyDescent="0.35">
      <c r="T4086" s="246">
        <f t="shared" si="101"/>
        <v>0</v>
      </c>
    </row>
    <row r="4087" spans="20:20" ht="18.75" customHeight="1" x14ac:dyDescent="0.35">
      <c r="T4087" s="246">
        <f t="shared" si="101"/>
        <v>0</v>
      </c>
    </row>
    <row r="4088" spans="20:20" ht="18.75" customHeight="1" x14ac:dyDescent="0.35">
      <c r="T4088" s="246">
        <f t="shared" si="101"/>
        <v>0</v>
      </c>
    </row>
    <row r="4089" spans="20:20" ht="18.75" customHeight="1" x14ac:dyDescent="0.35">
      <c r="T4089" s="246">
        <f t="shared" si="101"/>
        <v>0</v>
      </c>
    </row>
    <row r="4090" spans="20:20" ht="18.75" customHeight="1" x14ac:dyDescent="0.35">
      <c r="T4090" s="246">
        <f t="shared" si="101"/>
        <v>0</v>
      </c>
    </row>
    <row r="4091" spans="20:20" ht="18.75" customHeight="1" x14ac:dyDescent="0.35">
      <c r="T4091" s="246">
        <f t="shared" si="101"/>
        <v>0</v>
      </c>
    </row>
    <row r="4092" spans="20:20" ht="18.75" customHeight="1" x14ac:dyDescent="0.35">
      <c r="T4092" s="246">
        <f t="shared" ref="T4092:T4155" si="102">R4092*0.01</f>
        <v>0</v>
      </c>
    </row>
    <row r="4093" spans="20:20" ht="18.75" customHeight="1" x14ac:dyDescent="0.35">
      <c r="T4093" s="246">
        <f t="shared" si="102"/>
        <v>0</v>
      </c>
    </row>
    <row r="4094" spans="20:20" ht="18.75" customHeight="1" x14ac:dyDescent="0.35">
      <c r="T4094" s="246">
        <f t="shared" si="102"/>
        <v>0</v>
      </c>
    </row>
    <row r="4095" spans="20:20" ht="18.75" customHeight="1" x14ac:dyDescent="0.35">
      <c r="T4095" s="246">
        <f t="shared" si="102"/>
        <v>0</v>
      </c>
    </row>
    <row r="4096" spans="20:20" ht="18.75" customHeight="1" x14ac:dyDescent="0.35">
      <c r="T4096" s="246">
        <f t="shared" si="102"/>
        <v>0</v>
      </c>
    </row>
    <row r="4097" spans="20:20" ht="18.75" customHeight="1" x14ac:dyDescent="0.35">
      <c r="T4097" s="246">
        <f t="shared" si="102"/>
        <v>0</v>
      </c>
    </row>
    <row r="4098" spans="20:20" ht="18.75" customHeight="1" x14ac:dyDescent="0.35">
      <c r="T4098" s="246">
        <f t="shared" si="102"/>
        <v>0</v>
      </c>
    </row>
    <row r="4099" spans="20:20" ht="18.75" customHeight="1" x14ac:dyDescent="0.35">
      <c r="T4099" s="246">
        <f t="shared" si="102"/>
        <v>0</v>
      </c>
    </row>
    <row r="4100" spans="20:20" ht="18.75" customHeight="1" x14ac:dyDescent="0.35">
      <c r="T4100" s="246">
        <f t="shared" si="102"/>
        <v>0</v>
      </c>
    </row>
    <row r="4101" spans="20:20" ht="18.75" customHeight="1" x14ac:dyDescent="0.35">
      <c r="T4101" s="246">
        <f t="shared" si="102"/>
        <v>0</v>
      </c>
    </row>
    <row r="4102" spans="20:20" ht="18.75" customHeight="1" x14ac:dyDescent="0.35">
      <c r="T4102" s="246">
        <f t="shared" si="102"/>
        <v>0</v>
      </c>
    </row>
    <row r="4103" spans="20:20" ht="18.75" customHeight="1" x14ac:dyDescent="0.35">
      <c r="T4103" s="246">
        <f t="shared" si="102"/>
        <v>0</v>
      </c>
    </row>
    <row r="4104" spans="20:20" ht="18.75" customHeight="1" x14ac:dyDescent="0.35">
      <c r="T4104" s="246">
        <f t="shared" si="102"/>
        <v>0</v>
      </c>
    </row>
    <row r="4105" spans="20:20" ht="18.75" customHeight="1" x14ac:dyDescent="0.35">
      <c r="T4105" s="246">
        <f t="shared" si="102"/>
        <v>0</v>
      </c>
    </row>
    <row r="4106" spans="20:20" ht="18.75" customHeight="1" x14ac:dyDescent="0.35">
      <c r="T4106" s="246">
        <f t="shared" si="102"/>
        <v>0</v>
      </c>
    </row>
    <row r="4107" spans="20:20" ht="18.75" customHeight="1" x14ac:dyDescent="0.35">
      <c r="T4107" s="246">
        <f t="shared" si="102"/>
        <v>0</v>
      </c>
    </row>
    <row r="4108" spans="20:20" ht="18.75" customHeight="1" x14ac:dyDescent="0.35">
      <c r="T4108" s="246">
        <f t="shared" si="102"/>
        <v>0</v>
      </c>
    </row>
    <row r="4109" spans="20:20" ht="18.75" customHeight="1" x14ac:dyDescent="0.35">
      <c r="T4109" s="246">
        <f t="shared" si="102"/>
        <v>0</v>
      </c>
    </row>
    <row r="4110" spans="20:20" ht="18.75" customHeight="1" x14ac:dyDescent="0.35">
      <c r="T4110" s="246">
        <f t="shared" si="102"/>
        <v>0</v>
      </c>
    </row>
    <row r="4111" spans="20:20" ht="18.75" customHeight="1" x14ac:dyDescent="0.35">
      <c r="T4111" s="246">
        <f t="shared" si="102"/>
        <v>0</v>
      </c>
    </row>
    <row r="4112" spans="20:20" ht="18.75" customHeight="1" x14ac:dyDescent="0.35">
      <c r="T4112" s="246">
        <f t="shared" si="102"/>
        <v>0</v>
      </c>
    </row>
    <row r="4113" spans="20:20" ht="18.75" customHeight="1" x14ac:dyDescent="0.35">
      <c r="T4113" s="246">
        <f t="shared" si="102"/>
        <v>0</v>
      </c>
    </row>
    <row r="4114" spans="20:20" ht="18.75" customHeight="1" x14ac:dyDescent="0.35">
      <c r="T4114" s="246">
        <f t="shared" si="102"/>
        <v>0</v>
      </c>
    </row>
    <row r="4115" spans="20:20" ht="18.75" customHeight="1" x14ac:dyDescent="0.35">
      <c r="T4115" s="246">
        <f t="shared" si="102"/>
        <v>0</v>
      </c>
    </row>
    <row r="4116" spans="20:20" ht="18.75" customHeight="1" x14ac:dyDescent="0.35">
      <c r="T4116" s="246">
        <f t="shared" si="102"/>
        <v>0</v>
      </c>
    </row>
    <row r="4117" spans="20:20" ht="18.75" customHeight="1" x14ac:dyDescent="0.35">
      <c r="T4117" s="246">
        <f t="shared" si="102"/>
        <v>0</v>
      </c>
    </row>
    <row r="4118" spans="20:20" ht="18.75" customHeight="1" x14ac:dyDescent="0.35">
      <c r="T4118" s="246">
        <f t="shared" si="102"/>
        <v>0</v>
      </c>
    </row>
    <row r="4119" spans="20:20" ht="18.75" customHeight="1" x14ac:dyDescent="0.35">
      <c r="T4119" s="246">
        <f t="shared" si="102"/>
        <v>0</v>
      </c>
    </row>
    <row r="4120" spans="20:20" ht="18.75" customHeight="1" x14ac:dyDescent="0.35">
      <c r="T4120" s="246">
        <f t="shared" si="102"/>
        <v>0</v>
      </c>
    </row>
    <row r="4121" spans="20:20" ht="18.75" customHeight="1" x14ac:dyDescent="0.35">
      <c r="T4121" s="246">
        <f t="shared" si="102"/>
        <v>0</v>
      </c>
    </row>
    <row r="4122" spans="20:20" ht="18.75" customHeight="1" x14ac:dyDescent="0.35">
      <c r="T4122" s="246">
        <f t="shared" si="102"/>
        <v>0</v>
      </c>
    </row>
    <row r="4123" spans="20:20" ht="18.75" customHeight="1" x14ac:dyDescent="0.35">
      <c r="T4123" s="246">
        <f t="shared" si="102"/>
        <v>0</v>
      </c>
    </row>
    <row r="4124" spans="20:20" ht="18.75" customHeight="1" x14ac:dyDescent="0.35">
      <c r="T4124" s="246">
        <f t="shared" si="102"/>
        <v>0</v>
      </c>
    </row>
    <row r="4125" spans="20:20" ht="18.75" customHeight="1" x14ac:dyDescent="0.35">
      <c r="T4125" s="246">
        <f t="shared" si="102"/>
        <v>0</v>
      </c>
    </row>
    <row r="4126" spans="20:20" ht="18.75" customHeight="1" x14ac:dyDescent="0.35">
      <c r="T4126" s="246">
        <f t="shared" si="102"/>
        <v>0</v>
      </c>
    </row>
    <row r="4127" spans="20:20" ht="18.75" customHeight="1" x14ac:dyDescent="0.35">
      <c r="T4127" s="246">
        <f t="shared" si="102"/>
        <v>0</v>
      </c>
    </row>
    <row r="4128" spans="20:20" ht="18.75" customHeight="1" x14ac:dyDescent="0.35">
      <c r="T4128" s="246">
        <f t="shared" si="102"/>
        <v>0</v>
      </c>
    </row>
    <row r="4129" spans="20:20" ht="18.75" customHeight="1" x14ac:dyDescent="0.35">
      <c r="T4129" s="246">
        <f t="shared" si="102"/>
        <v>0</v>
      </c>
    </row>
    <row r="4130" spans="20:20" ht="18.75" customHeight="1" x14ac:dyDescent="0.35">
      <c r="T4130" s="246">
        <f t="shared" si="102"/>
        <v>0</v>
      </c>
    </row>
    <row r="4131" spans="20:20" ht="18.75" customHeight="1" x14ac:dyDescent="0.35">
      <c r="T4131" s="246">
        <f t="shared" si="102"/>
        <v>0</v>
      </c>
    </row>
    <row r="4132" spans="20:20" ht="18.75" customHeight="1" x14ac:dyDescent="0.35">
      <c r="T4132" s="246">
        <f t="shared" si="102"/>
        <v>0</v>
      </c>
    </row>
    <row r="4133" spans="20:20" ht="18.75" customHeight="1" x14ac:dyDescent="0.35">
      <c r="T4133" s="246">
        <f t="shared" si="102"/>
        <v>0</v>
      </c>
    </row>
    <row r="4134" spans="20:20" ht="18.75" customHeight="1" x14ac:dyDescent="0.35">
      <c r="T4134" s="246">
        <f t="shared" si="102"/>
        <v>0</v>
      </c>
    </row>
    <row r="4135" spans="20:20" ht="18.75" customHeight="1" x14ac:dyDescent="0.35">
      <c r="T4135" s="246">
        <f t="shared" si="102"/>
        <v>0</v>
      </c>
    </row>
    <row r="4136" spans="20:20" ht="18.75" customHeight="1" x14ac:dyDescent="0.35">
      <c r="T4136" s="246">
        <f t="shared" si="102"/>
        <v>0</v>
      </c>
    </row>
    <row r="4137" spans="20:20" ht="18.75" customHeight="1" x14ac:dyDescent="0.35">
      <c r="T4137" s="246">
        <f t="shared" si="102"/>
        <v>0</v>
      </c>
    </row>
    <row r="4138" spans="20:20" ht="18.75" customHeight="1" x14ac:dyDescent="0.35">
      <c r="T4138" s="246">
        <f t="shared" si="102"/>
        <v>0</v>
      </c>
    </row>
    <row r="4139" spans="20:20" ht="18.75" customHeight="1" x14ac:dyDescent="0.35">
      <c r="T4139" s="246">
        <f t="shared" si="102"/>
        <v>0</v>
      </c>
    </row>
    <row r="4140" spans="20:20" ht="18.75" customHeight="1" x14ac:dyDescent="0.35">
      <c r="T4140" s="246">
        <f t="shared" si="102"/>
        <v>0</v>
      </c>
    </row>
    <row r="4141" spans="20:20" ht="18.75" customHeight="1" x14ac:dyDescent="0.35">
      <c r="T4141" s="246">
        <f t="shared" si="102"/>
        <v>0</v>
      </c>
    </row>
    <row r="4142" spans="20:20" ht="18.75" customHeight="1" x14ac:dyDescent="0.35">
      <c r="T4142" s="246">
        <f t="shared" si="102"/>
        <v>0</v>
      </c>
    </row>
    <row r="4143" spans="20:20" ht="18.75" customHeight="1" x14ac:dyDescent="0.35">
      <c r="T4143" s="246">
        <f t="shared" si="102"/>
        <v>0</v>
      </c>
    </row>
    <row r="4144" spans="20:20" ht="18.75" customHeight="1" x14ac:dyDescent="0.35">
      <c r="T4144" s="246">
        <f t="shared" si="102"/>
        <v>0</v>
      </c>
    </row>
    <row r="4145" spans="20:20" ht="18.75" customHeight="1" x14ac:dyDescent="0.35">
      <c r="T4145" s="246">
        <f t="shared" si="102"/>
        <v>0</v>
      </c>
    </row>
    <row r="4146" spans="20:20" ht="18.75" customHeight="1" x14ac:dyDescent="0.35">
      <c r="T4146" s="246">
        <f t="shared" si="102"/>
        <v>0</v>
      </c>
    </row>
    <row r="4147" spans="20:20" ht="18.75" customHeight="1" x14ac:dyDescent="0.35">
      <c r="T4147" s="246">
        <f t="shared" si="102"/>
        <v>0</v>
      </c>
    </row>
    <row r="4148" spans="20:20" ht="18.75" customHeight="1" x14ac:dyDescent="0.35">
      <c r="T4148" s="246">
        <f t="shared" si="102"/>
        <v>0</v>
      </c>
    </row>
    <row r="4149" spans="20:20" ht="18.75" customHeight="1" x14ac:dyDescent="0.35">
      <c r="T4149" s="246">
        <f t="shared" si="102"/>
        <v>0</v>
      </c>
    </row>
    <row r="4150" spans="20:20" ht="18.75" customHeight="1" x14ac:dyDescent="0.35">
      <c r="T4150" s="246">
        <f t="shared" si="102"/>
        <v>0</v>
      </c>
    </row>
    <row r="4151" spans="20:20" ht="18.75" customHeight="1" x14ac:dyDescent="0.35">
      <c r="T4151" s="246">
        <f t="shared" si="102"/>
        <v>0</v>
      </c>
    </row>
    <row r="4152" spans="20:20" ht="18.75" customHeight="1" x14ac:dyDescent="0.35">
      <c r="T4152" s="246">
        <f t="shared" si="102"/>
        <v>0</v>
      </c>
    </row>
    <row r="4153" spans="20:20" ht="18.75" customHeight="1" x14ac:dyDescent="0.35">
      <c r="T4153" s="246">
        <f t="shared" si="102"/>
        <v>0</v>
      </c>
    </row>
    <row r="4154" spans="20:20" ht="18.75" customHeight="1" x14ac:dyDescent="0.35">
      <c r="T4154" s="246">
        <f t="shared" si="102"/>
        <v>0</v>
      </c>
    </row>
    <row r="4155" spans="20:20" ht="18.75" customHeight="1" x14ac:dyDescent="0.35">
      <c r="T4155" s="246">
        <f t="shared" si="102"/>
        <v>0</v>
      </c>
    </row>
    <row r="4156" spans="20:20" ht="18.75" customHeight="1" x14ac:dyDescent="0.35">
      <c r="T4156" s="246">
        <f t="shared" ref="T4156:T4219" si="103">R4156*0.01</f>
        <v>0</v>
      </c>
    </row>
    <row r="4157" spans="20:20" ht="18.75" customHeight="1" x14ac:dyDescent="0.35">
      <c r="T4157" s="246">
        <f t="shared" si="103"/>
        <v>0</v>
      </c>
    </row>
    <row r="4158" spans="20:20" ht="18.75" customHeight="1" x14ac:dyDescent="0.35">
      <c r="T4158" s="246">
        <f t="shared" si="103"/>
        <v>0</v>
      </c>
    </row>
    <row r="4159" spans="20:20" ht="18.75" customHeight="1" x14ac:dyDescent="0.35">
      <c r="T4159" s="246">
        <f t="shared" si="103"/>
        <v>0</v>
      </c>
    </row>
    <row r="4160" spans="20:20" ht="18.75" customHeight="1" x14ac:dyDescent="0.35">
      <c r="T4160" s="246">
        <f t="shared" si="103"/>
        <v>0</v>
      </c>
    </row>
    <row r="4161" spans="20:20" ht="18.75" customHeight="1" x14ac:dyDescent="0.35">
      <c r="T4161" s="246">
        <f t="shared" si="103"/>
        <v>0</v>
      </c>
    </row>
    <row r="4162" spans="20:20" ht="18.75" customHeight="1" x14ac:dyDescent="0.35">
      <c r="T4162" s="246">
        <f t="shared" si="103"/>
        <v>0</v>
      </c>
    </row>
    <row r="4163" spans="20:20" ht="18.75" customHeight="1" x14ac:dyDescent="0.35">
      <c r="T4163" s="246">
        <f t="shared" si="103"/>
        <v>0</v>
      </c>
    </row>
    <row r="4164" spans="20:20" ht="18.75" customHeight="1" x14ac:dyDescent="0.35">
      <c r="T4164" s="246">
        <f t="shared" si="103"/>
        <v>0</v>
      </c>
    </row>
    <row r="4165" spans="20:20" ht="18.75" customHeight="1" x14ac:dyDescent="0.35">
      <c r="T4165" s="246">
        <f t="shared" si="103"/>
        <v>0</v>
      </c>
    </row>
    <row r="4166" spans="20:20" ht="18.75" customHeight="1" x14ac:dyDescent="0.35">
      <c r="T4166" s="246">
        <f t="shared" si="103"/>
        <v>0</v>
      </c>
    </row>
    <row r="4167" spans="20:20" ht="18.75" customHeight="1" x14ac:dyDescent="0.35">
      <c r="T4167" s="246">
        <f t="shared" si="103"/>
        <v>0</v>
      </c>
    </row>
    <row r="4168" spans="20:20" ht="18.75" customHeight="1" x14ac:dyDescent="0.35">
      <c r="T4168" s="246">
        <f t="shared" si="103"/>
        <v>0</v>
      </c>
    </row>
    <row r="4169" spans="20:20" ht="18.75" customHeight="1" x14ac:dyDescent="0.35">
      <c r="T4169" s="246">
        <f t="shared" si="103"/>
        <v>0</v>
      </c>
    </row>
    <row r="4170" spans="20:20" ht="18.75" customHeight="1" x14ac:dyDescent="0.35">
      <c r="T4170" s="246">
        <f t="shared" si="103"/>
        <v>0</v>
      </c>
    </row>
    <row r="4171" spans="20:20" ht="18.75" customHeight="1" x14ac:dyDescent="0.35">
      <c r="T4171" s="246">
        <f t="shared" si="103"/>
        <v>0</v>
      </c>
    </row>
    <row r="4172" spans="20:20" ht="18.75" customHeight="1" x14ac:dyDescent="0.35">
      <c r="T4172" s="246">
        <f t="shared" si="103"/>
        <v>0</v>
      </c>
    </row>
    <row r="4173" spans="20:20" ht="18.75" customHeight="1" x14ac:dyDescent="0.35">
      <c r="T4173" s="246">
        <f t="shared" si="103"/>
        <v>0</v>
      </c>
    </row>
    <row r="4174" spans="20:20" ht="18.75" customHeight="1" x14ac:dyDescent="0.35">
      <c r="T4174" s="246">
        <f t="shared" si="103"/>
        <v>0</v>
      </c>
    </row>
    <row r="4175" spans="20:20" ht="18.75" customHeight="1" x14ac:dyDescent="0.35">
      <c r="T4175" s="246">
        <f t="shared" si="103"/>
        <v>0</v>
      </c>
    </row>
    <row r="4176" spans="20:20" ht="18.75" customHeight="1" x14ac:dyDescent="0.35">
      <c r="T4176" s="246">
        <f t="shared" si="103"/>
        <v>0</v>
      </c>
    </row>
    <row r="4177" spans="20:20" ht="18.75" customHeight="1" x14ac:dyDescent="0.35">
      <c r="T4177" s="246">
        <f t="shared" si="103"/>
        <v>0</v>
      </c>
    </row>
    <row r="4178" spans="20:20" ht="18.75" customHeight="1" x14ac:dyDescent="0.35">
      <c r="T4178" s="246">
        <f t="shared" si="103"/>
        <v>0</v>
      </c>
    </row>
    <row r="4179" spans="20:20" ht="18.75" customHeight="1" x14ac:dyDescent="0.35">
      <c r="T4179" s="246">
        <f t="shared" si="103"/>
        <v>0</v>
      </c>
    </row>
    <row r="4180" spans="20:20" ht="18.75" customHeight="1" x14ac:dyDescent="0.35">
      <c r="T4180" s="246">
        <f t="shared" si="103"/>
        <v>0</v>
      </c>
    </row>
    <row r="4181" spans="20:20" ht="18.75" customHeight="1" x14ac:dyDescent="0.35">
      <c r="T4181" s="246">
        <f t="shared" si="103"/>
        <v>0</v>
      </c>
    </row>
    <row r="4182" spans="20:20" ht="18.75" customHeight="1" x14ac:dyDescent="0.35">
      <c r="T4182" s="246">
        <f t="shared" si="103"/>
        <v>0</v>
      </c>
    </row>
    <row r="4183" spans="20:20" ht="18.75" customHeight="1" x14ac:dyDescent="0.35">
      <c r="T4183" s="246">
        <f t="shared" si="103"/>
        <v>0</v>
      </c>
    </row>
    <row r="4184" spans="20:20" ht="18.75" customHeight="1" x14ac:dyDescent="0.35">
      <c r="T4184" s="246">
        <f t="shared" si="103"/>
        <v>0</v>
      </c>
    </row>
    <row r="4185" spans="20:20" ht="18.75" customHeight="1" x14ac:dyDescent="0.35">
      <c r="T4185" s="246">
        <f t="shared" si="103"/>
        <v>0</v>
      </c>
    </row>
    <row r="4186" spans="20:20" ht="18.75" customHeight="1" x14ac:dyDescent="0.35">
      <c r="T4186" s="246">
        <f t="shared" si="103"/>
        <v>0</v>
      </c>
    </row>
    <row r="4187" spans="20:20" ht="18.75" customHeight="1" x14ac:dyDescent="0.35">
      <c r="T4187" s="246">
        <f t="shared" si="103"/>
        <v>0</v>
      </c>
    </row>
    <row r="4188" spans="20:20" ht="18.75" customHeight="1" x14ac:dyDescent="0.35">
      <c r="T4188" s="246">
        <f t="shared" si="103"/>
        <v>0</v>
      </c>
    </row>
    <row r="4189" spans="20:20" ht="18.75" customHeight="1" x14ac:dyDescent="0.35">
      <c r="T4189" s="246">
        <f t="shared" si="103"/>
        <v>0</v>
      </c>
    </row>
    <row r="4190" spans="20:20" ht="18.75" customHeight="1" x14ac:dyDescent="0.35">
      <c r="T4190" s="246">
        <f t="shared" si="103"/>
        <v>0</v>
      </c>
    </row>
    <row r="4191" spans="20:20" ht="18.75" customHeight="1" x14ac:dyDescent="0.35">
      <c r="T4191" s="246">
        <f t="shared" si="103"/>
        <v>0</v>
      </c>
    </row>
    <row r="4192" spans="20:20" ht="18.75" customHeight="1" x14ac:dyDescent="0.35">
      <c r="T4192" s="246">
        <f t="shared" si="103"/>
        <v>0</v>
      </c>
    </row>
    <row r="4193" spans="20:20" ht="18.75" customHeight="1" x14ac:dyDescent="0.35">
      <c r="T4193" s="246">
        <f t="shared" si="103"/>
        <v>0</v>
      </c>
    </row>
    <row r="4194" spans="20:20" ht="18.75" customHeight="1" x14ac:dyDescent="0.35">
      <c r="T4194" s="246">
        <f t="shared" si="103"/>
        <v>0</v>
      </c>
    </row>
    <row r="4195" spans="20:20" ht="18.75" customHeight="1" x14ac:dyDescent="0.35">
      <c r="T4195" s="246">
        <f t="shared" si="103"/>
        <v>0</v>
      </c>
    </row>
    <row r="4196" spans="20:20" ht="18.75" customHeight="1" x14ac:dyDescent="0.35">
      <c r="T4196" s="246">
        <f t="shared" si="103"/>
        <v>0</v>
      </c>
    </row>
    <row r="4197" spans="20:20" ht="18.75" customHeight="1" x14ac:dyDescent="0.35">
      <c r="T4197" s="246">
        <f t="shared" si="103"/>
        <v>0</v>
      </c>
    </row>
    <row r="4198" spans="20:20" ht="18.75" customHeight="1" x14ac:dyDescent="0.35">
      <c r="T4198" s="246">
        <f t="shared" si="103"/>
        <v>0</v>
      </c>
    </row>
    <row r="4199" spans="20:20" ht="18.75" customHeight="1" x14ac:dyDescent="0.35">
      <c r="T4199" s="246">
        <f t="shared" si="103"/>
        <v>0</v>
      </c>
    </row>
    <row r="4200" spans="20:20" ht="18.75" customHeight="1" x14ac:dyDescent="0.35">
      <c r="T4200" s="246">
        <f t="shared" si="103"/>
        <v>0</v>
      </c>
    </row>
    <row r="4201" spans="20:20" ht="18.75" customHeight="1" x14ac:dyDescent="0.35">
      <c r="T4201" s="246">
        <f t="shared" si="103"/>
        <v>0</v>
      </c>
    </row>
    <row r="4202" spans="20:20" ht="18.75" customHeight="1" x14ac:dyDescent="0.35">
      <c r="T4202" s="246">
        <f t="shared" si="103"/>
        <v>0</v>
      </c>
    </row>
    <row r="4203" spans="20:20" ht="18.75" customHeight="1" x14ac:dyDescent="0.35">
      <c r="T4203" s="246">
        <f t="shared" si="103"/>
        <v>0</v>
      </c>
    </row>
    <row r="4204" spans="20:20" ht="18.75" customHeight="1" x14ac:dyDescent="0.35">
      <c r="T4204" s="246">
        <f t="shared" si="103"/>
        <v>0</v>
      </c>
    </row>
    <row r="4205" spans="20:20" ht="18.75" customHeight="1" x14ac:dyDescent="0.35">
      <c r="T4205" s="246">
        <f t="shared" si="103"/>
        <v>0</v>
      </c>
    </row>
    <row r="4206" spans="20:20" ht="18.75" customHeight="1" x14ac:dyDescent="0.35">
      <c r="T4206" s="246">
        <f t="shared" si="103"/>
        <v>0</v>
      </c>
    </row>
    <row r="4207" spans="20:20" ht="18.75" customHeight="1" x14ac:dyDescent="0.35">
      <c r="T4207" s="246">
        <f t="shared" si="103"/>
        <v>0</v>
      </c>
    </row>
    <row r="4208" spans="20:20" ht="18.75" customHeight="1" x14ac:dyDescent="0.35">
      <c r="T4208" s="246">
        <f t="shared" si="103"/>
        <v>0</v>
      </c>
    </row>
    <row r="4209" spans="20:20" ht="18.75" customHeight="1" x14ac:dyDescent="0.35">
      <c r="T4209" s="246">
        <f t="shared" si="103"/>
        <v>0</v>
      </c>
    </row>
    <row r="4210" spans="20:20" ht="18.75" customHeight="1" x14ac:dyDescent="0.35">
      <c r="T4210" s="246">
        <f t="shared" si="103"/>
        <v>0</v>
      </c>
    </row>
    <row r="4211" spans="20:20" ht="18.75" customHeight="1" x14ac:dyDescent="0.35">
      <c r="T4211" s="246">
        <f t="shared" si="103"/>
        <v>0</v>
      </c>
    </row>
    <row r="4212" spans="20:20" ht="18.75" customHeight="1" x14ac:dyDescent="0.35">
      <c r="T4212" s="246">
        <f t="shared" si="103"/>
        <v>0</v>
      </c>
    </row>
    <row r="4213" spans="20:20" ht="18.75" customHeight="1" x14ac:dyDescent="0.35">
      <c r="T4213" s="246">
        <f t="shared" si="103"/>
        <v>0</v>
      </c>
    </row>
    <row r="4214" spans="20:20" ht="18.75" customHeight="1" x14ac:dyDescent="0.35">
      <c r="T4214" s="246">
        <f t="shared" si="103"/>
        <v>0</v>
      </c>
    </row>
    <row r="4215" spans="20:20" ht="18.75" customHeight="1" x14ac:dyDescent="0.35">
      <c r="T4215" s="246">
        <f t="shared" si="103"/>
        <v>0</v>
      </c>
    </row>
    <row r="4216" spans="20:20" ht="18.75" customHeight="1" x14ac:dyDescent="0.35">
      <c r="T4216" s="246">
        <f t="shared" si="103"/>
        <v>0</v>
      </c>
    </row>
    <row r="4217" spans="20:20" ht="18.75" customHeight="1" x14ac:dyDescent="0.35">
      <c r="T4217" s="246">
        <f t="shared" si="103"/>
        <v>0</v>
      </c>
    </row>
    <row r="4218" spans="20:20" ht="18.75" customHeight="1" x14ac:dyDescent="0.35">
      <c r="T4218" s="246">
        <f t="shared" si="103"/>
        <v>0</v>
      </c>
    </row>
    <row r="4219" spans="20:20" ht="18.75" customHeight="1" x14ac:dyDescent="0.35">
      <c r="T4219" s="246">
        <f t="shared" si="103"/>
        <v>0</v>
      </c>
    </row>
    <row r="4220" spans="20:20" ht="18.75" customHeight="1" x14ac:dyDescent="0.35">
      <c r="T4220" s="246">
        <f t="shared" ref="T4220:T4283" si="104">R4220*0.01</f>
        <v>0</v>
      </c>
    </row>
    <row r="4221" spans="20:20" ht="18.75" customHeight="1" x14ac:dyDescent="0.35">
      <c r="T4221" s="246">
        <f t="shared" si="104"/>
        <v>0</v>
      </c>
    </row>
    <row r="4222" spans="20:20" ht="18.75" customHeight="1" x14ac:dyDescent="0.35">
      <c r="T4222" s="246">
        <f t="shared" si="104"/>
        <v>0</v>
      </c>
    </row>
    <row r="4223" spans="20:20" ht="18.75" customHeight="1" x14ac:dyDescent="0.35">
      <c r="T4223" s="246">
        <f t="shared" si="104"/>
        <v>0</v>
      </c>
    </row>
    <row r="4224" spans="20:20" ht="18.75" customHeight="1" x14ac:dyDescent="0.35">
      <c r="T4224" s="246">
        <f t="shared" si="104"/>
        <v>0</v>
      </c>
    </row>
    <row r="4225" spans="20:20" ht="18.75" customHeight="1" x14ac:dyDescent="0.35">
      <c r="T4225" s="246">
        <f t="shared" si="104"/>
        <v>0</v>
      </c>
    </row>
    <row r="4226" spans="20:20" ht="18.75" customHeight="1" x14ac:dyDescent="0.35">
      <c r="T4226" s="246">
        <f t="shared" si="104"/>
        <v>0</v>
      </c>
    </row>
    <row r="4227" spans="20:20" ht="18.75" customHeight="1" x14ac:dyDescent="0.35">
      <c r="T4227" s="246">
        <f t="shared" si="104"/>
        <v>0</v>
      </c>
    </row>
    <row r="4228" spans="20:20" ht="18.75" customHeight="1" x14ac:dyDescent="0.35">
      <c r="T4228" s="246">
        <f t="shared" si="104"/>
        <v>0</v>
      </c>
    </row>
    <row r="4229" spans="20:20" ht="18.75" customHeight="1" x14ac:dyDescent="0.35">
      <c r="T4229" s="246">
        <f t="shared" si="104"/>
        <v>0</v>
      </c>
    </row>
    <row r="4230" spans="20:20" ht="18.75" customHeight="1" x14ac:dyDescent="0.35">
      <c r="T4230" s="246">
        <f t="shared" si="104"/>
        <v>0</v>
      </c>
    </row>
    <row r="4231" spans="20:20" ht="18.75" customHeight="1" x14ac:dyDescent="0.35">
      <c r="T4231" s="246">
        <f t="shared" si="104"/>
        <v>0</v>
      </c>
    </row>
    <row r="4232" spans="20:20" ht="18.75" customHeight="1" x14ac:dyDescent="0.35">
      <c r="T4232" s="246">
        <f t="shared" si="104"/>
        <v>0</v>
      </c>
    </row>
    <row r="4233" spans="20:20" ht="18.75" customHeight="1" x14ac:dyDescent="0.35">
      <c r="T4233" s="246">
        <f t="shared" si="104"/>
        <v>0</v>
      </c>
    </row>
    <row r="4234" spans="20:20" ht="18.75" customHeight="1" x14ac:dyDescent="0.35">
      <c r="T4234" s="246">
        <f t="shared" si="104"/>
        <v>0</v>
      </c>
    </row>
    <row r="4235" spans="20:20" ht="18.75" customHeight="1" x14ac:dyDescent="0.35">
      <c r="T4235" s="246">
        <f t="shared" si="104"/>
        <v>0</v>
      </c>
    </row>
    <row r="4236" spans="20:20" ht="18.75" customHeight="1" x14ac:dyDescent="0.35">
      <c r="T4236" s="246">
        <f t="shared" si="104"/>
        <v>0</v>
      </c>
    </row>
    <row r="4237" spans="20:20" ht="18.75" customHeight="1" x14ac:dyDescent="0.35">
      <c r="T4237" s="246">
        <f t="shared" si="104"/>
        <v>0</v>
      </c>
    </row>
    <row r="4238" spans="20:20" ht="18.75" customHeight="1" x14ac:dyDescent="0.35">
      <c r="T4238" s="246">
        <f t="shared" si="104"/>
        <v>0</v>
      </c>
    </row>
    <row r="4239" spans="20:20" ht="18.75" customHeight="1" x14ac:dyDescent="0.35">
      <c r="T4239" s="246">
        <f t="shared" si="104"/>
        <v>0</v>
      </c>
    </row>
    <row r="4240" spans="20:20" ht="18.75" customHeight="1" x14ac:dyDescent="0.35">
      <c r="T4240" s="246">
        <f t="shared" si="104"/>
        <v>0</v>
      </c>
    </row>
    <row r="4241" spans="20:20" ht="18.75" customHeight="1" x14ac:dyDescent="0.35">
      <c r="T4241" s="246">
        <f t="shared" si="104"/>
        <v>0</v>
      </c>
    </row>
    <row r="4242" spans="20:20" ht="18.75" customHeight="1" x14ac:dyDescent="0.35">
      <c r="T4242" s="246">
        <f t="shared" si="104"/>
        <v>0</v>
      </c>
    </row>
    <row r="4243" spans="20:20" ht="18.75" customHeight="1" x14ac:dyDescent="0.35">
      <c r="T4243" s="246">
        <f t="shared" si="104"/>
        <v>0</v>
      </c>
    </row>
    <row r="4244" spans="20:20" ht="18.75" customHeight="1" x14ac:dyDescent="0.35">
      <c r="T4244" s="246">
        <f t="shared" si="104"/>
        <v>0</v>
      </c>
    </row>
    <row r="4245" spans="20:20" ht="18.75" customHeight="1" x14ac:dyDescent="0.35">
      <c r="T4245" s="246">
        <f t="shared" si="104"/>
        <v>0</v>
      </c>
    </row>
    <row r="4246" spans="20:20" ht="18.75" customHeight="1" x14ac:dyDescent="0.35">
      <c r="T4246" s="246">
        <f t="shared" si="104"/>
        <v>0</v>
      </c>
    </row>
    <row r="4247" spans="20:20" ht="18.75" customHeight="1" x14ac:dyDescent="0.35">
      <c r="T4247" s="246">
        <f t="shared" si="104"/>
        <v>0</v>
      </c>
    </row>
    <row r="4248" spans="20:20" ht="18.75" customHeight="1" x14ac:dyDescent="0.35">
      <c r="T4248" s="246">
        <f t="shared" si="104"/>
        <v>0</v>
      </c>
    </row>
    <row r="4249" spans="20:20" ht="18.75" customHeight="1" x14ac:dyDescent="0.35">
      <c r="T4249" s="246">
        <f t="shared" si="104"/>
        <v>0</v>
      </c>
    </row>
    <row r="4250" spans="20:20" ht="18.75" customHeight="1" x14ac:dyDescent="0.35">
      <c r="T4250" s="246">
        <f t="shared" si="104"/>
        <v>0</v>
      </c>
    </row>
    <row r="4251" spans="20:20" ht="18.75" customHeight="1" x14ac:dyDescent="0.35">
      <c r="T4251" s="246">
        <f t="shared" si="104"/>
        <v>0</v>
      </c>
    </row>
    <row r="4252" spans="20:20" ht="18.75" customHeight="1" x14ac:dyDescent="0.35">
      <c r="T4252" s="246">
        <f t="shared" si="104"/>
        <v>0</v>
      </c>
    </row>
    <row r="4253" spans="20:20" ht="18.75" customHeight="1" x14ac:dyDescent="0.35">
      <c r="T4253" s="246">
        <f t="shared" si="104"/>
        <v>0</v>
      </c>
    </row>
    <row r="4254" spans="20:20" ht="18.75" customHeight="1" x14ac:dyDescent="0.35">
      <c r="T4254" s="246">
        <f t="shared" si="104"/>
        <v>0</v>
      </c>
    </row>
    <row r="4255" spans="20:20" ht="18.75" customHeight="1" x14ac:dyDescent="0.35">
      <c r="T4255" s="246">
        <f t="shared" si="104"/>
        <v>0</v>
      </c>
    </row>
    <row r="4256" spans="20:20" ht="18.75" customHeight="1" x14ac:dyDescent="0.35">
      <c r="T4256" s="246">
        <f t="shared" si="104"/>
        <v>0</v>
      </c>
    </row>
    <row r="4257" spans="20:20" ht="18.75" customHeight="1" x14ac:dyDescent="0.35">
      <c r="T4257" s="246">
        <f t="shared" si="104"/>
        <v>0</v>
      </c>
    </row>
    <row r="4258" spans="20:20" ht="18.75" customHeight="1" x14ac:dyDescent="0.35">
      <c r="T4258" s="246">
        <f t="shared" si="104"/>
        <v>0</v>
      </c>
    </row>
    <row r="4259" spans="20:20" ht="18.75" customHeight="1" x14ac:dyDescent="0.35">
      <c r="T4259" s="246">
        <f t="shared" si="104"/>
        <v>0</v>
      </c>
    </row>
    <row r="4260" spans="20:20" ht="18.75" customHeight="1" x14ac:dyDescent="0.35">
      <c r="T4260" s="246">
        <f t="shared" si="104"/>
        <v>0</v>
      </c>
    </row>
    <row r="4261" spans="20:20" ht="18.75" customHeight="1" x14ac:dyDescent="0.35">
      <c r="T4261" s="246">
        <f t="shared" si="104"/>
        <v>0</v>
      </c>
    </row>
    <row r="4262" spans="20:20" ht="18.75" customHeight="1" x14ac:dyDescent="0.35">
      <c r="T4262" s="246">
        <f t="shared" si="104"/>
        <v>0</v>
      </c>
    </row>
    <row r="4263" spans="20:20" ht="18.75" customHeight="1" x14ac:dyDescent="0.35">
      <c r="T4263" s="246">
        <f t="shared" si="104"/>
        <v>0</v>
      </c>
    </row>
    <row r="4264" spans="20:20" ht="18.75" customHeight="1" x14ac:dyDescent="0.35">
      <c r="T4264" s="246">
        <f t="shared" si="104"/>
        <v>0</v>
      </c>
    </row>
    <row r="4265" spans="20:20" ht="18.75" customHeight="1" x14ac:dyDescent="0.35">
      <c r="T4265" s="246">
        <f t="shared" si="104"/>
        <v>0</v>
      </c>
    </row>
    <row r="4266" spans="20:20" ht="18.75" customHeight="1" x14ac:dyDescent="0.35">
      <c r="T4266" s="246">
        <f t="shared" si="104"/>
        <v>0</v>
      </c>
    </row>
    <row r="4267" spans="20:20" ht="18.75" customHeight="1" x14ac:dyDescent="0.35">
      <c r="T4267" s="246">
        <f t="shared" si="104"/>
        <v>0</v>
      </c>
    </row>
    <row r="4268" spans="20:20" ht="18.75" customHeight="1" x14ac:dyDescent="0.35">
      <c r="T4268" s="246">
        <f t="shared" si="104"/>
        <v>0</v>
      </c>
    </row>
    <row r="4269" spans="20:20" ht="18.75" customHeight="1" x14ac:dyDescent="0.35">
      <c r="T4269" s="246">
        <f t="shared" si="104"/>
        <v>0</v>
      </c>
    </row>
    <row r="4270" spans="20:20" ht="18.75" customHeight="1" x14ac:dyDescent="0.35">
      <c r="T4270" s="246">
        <f t="shared" si="104"/>
        <v>0</v>
      </c>
    </row>
    <row r="4271" spans="20:20" ht="18.75" customHeight="1" x14ac:dyDescent="0.35">
      <c r="T4271" s="246">
        <f t="shared" si="104"/>
        <v>0</v>
      </c>
    </row>
    <row r="4272" spans="20:20" ht="18.75" customHeight="1" x14ac:dyDescent="0.35">
      <c r="T4272" s="246">
        <f t="shared" si="104"/>
        <v>0</v>
      </c>
    </row>
    <row r="4273" spans="20:20" ht="18.75" customHeight="1" x14ac:dyDescent="0.35">
      <c r="T4273" s="246">
        <f t="shared" si="104"/>
        <v>0</v>
      </c>
    </row>
    <row r="4274" spans="20:20" ht="18.75" customHeight="1" x14ac:dyDescent="0.35">
      <c r="T4274" s="246">
        <f t="shared" si="104"/>
        <v>0</v>
      </c>
    </row>
    <row r="4275" spans="20:20" ht="18.75" customHeight="1" x14ac:dyDescent="0.35">
      <c r="T4275" s="246">
        <f t="shared" si="104"/>
        <v>0</v>
      </c>
    </row>
    <row r="4276" spans="20:20" ht="18.75" customHeight="1" x14ac:dyDescent="0.35">
      <c r="T4276" s="246">
        <f t="shared" si="104"/>
        <v>0</v>
      </c>
    </row>
    <row r="4277" spans="20:20" ht="18.75" customHeight="1" x14ac:dyDescent="0.35">
      <c r="T4277" s="246">
        <f t="shared" si="104"/>
        <v>0</v>
      </c>
    </row>
    <row r="4278" spans="20:20" ht="18.75" customHeight="1" x14ac:dyDescent="0.35">
      <c r="T4278" s="246">
        <f t="shared" si="104"/>
        <v>0</v>
      </c>
    </row>
    <row r="4279" spans="20:20" ht="18.75" customHeight="1" x14ac:dyDescent="0.35">
      <c r="T4279" s="246">
        <f t="shared" si="104"/>
        <v>0</v>
      </c>
    </row>
    <row r="4280" spans="20:20" ht="18.75" customHeight="1" x14ac:dyDescent="0.35">
      <c r="T4280" s="246">
        <f t="shared" si="104"/>
        <v>0</v>
      </c>
    </row>
    <row r="4281" spans="20:20" ht="18.75" customHeight="1" x14ac:dyDescent="0.35">
      <c r="T4281" s="246">
        <f t="shared" si="104"/>
        <v>0</v>
      </c>
    </row>
    <row r="4282" spans="20:20" ht="18.75" customHeight="1" x14ac:dyDescent="0.35">
      <c r="T4282" s="246">
        <f t="shared" si="104"/>
        <v>0</v>
      </c>
    </row>
    <row r="4283" spans="20:20" ht="18.75" customHeight="1" x14ac:dyDescent="0.35">
      <c r="T4283" s="246">
        <f t="shared" si="104"/>
        <v>0</v>
      </c>
    </row>
    <row r="4284" spans="20:20" ht="18.75" customHeight="1" x14ac:dyDescent="0.35">
      <c r="T4284" s="246">
        <f t="shared" ref="T4284:T4347" si="105">R4284*0.01</f>
        <v>0</v>
      </c>
    </row>
    <row r="4285" spans="20:20" ht="18.75" customHeight="1" x14ac:dyDescent="0.35">
      <c r="T4285" s="246">
        <f t="shared" si="105"/>
        <v>0</v>
      </c>
    </row>
    <row r="4286" spans="20:20" ht="18.75" customHeight="1" x14ac:dyDescent="0.35">
      <c r="T4286" s="246">
        <f t="shared" si="105"/>
        <v>0</v>
      </c>
    </row>
    <row r="4287" spans="20:20" ht="18.75" customHeight="1" x14ac:dyDescent="0.35">
      <c r="T4287" s="246">
        <f t="shared" si="105"/>
        <v>0</v>
      </c>
    </row>
    <row r="4288" spans="20:20" ht="18.75" customHeight="1" x14ac:dyDescent="0.35">
      <c r="T4288" s="246">
        <f t="shared" si="105"/>
        <v>0</v>
      </c>
    </row>
    <row r="4289" spans="20:20" ht="18.75" customHeight="1" x14ac:dyDescent="0.35">
      <c r="T4289" s="246">
        <f t="shared" si="105"/>
        <v>0</v>
      </c>
    </row>
    <row r="4290" spans="20:20" ht="18.75" customHeight="1" x14ac:dyDescent="0.35">
      <c r="T4290" s="246">
        <f t="shared" si="105"/>
        <v>0</v>
      </c>
    </row>
    <row r="4291" spans="20:20" ht="18.75" customHeight="1" x14ac:dyDescent="0.35">
      <c r="T4291" s="246">
        <f t="shared" si="105"/>
        <v>0</v>
      </c>
    </row>
    <row r="4292" spans="20:20" ht="18.75" customHeight="1" x14ac:dyDescent="0.35">
      <c r="T4292" s="246">
        <f t="shared" si="105"/>
        <v>0</v>
      </c>
    </row>
    <row r="4293" spans="20:20" ht="18.75" customHeight="1" x14ac:dyDescent="0.35">
      <c r="T4293" s="246">
        <f t="shared" si="105"/>
        <v>0</v>
      </c>
    </row>
    <row r="4294" spans="20:20" ht="18.75" customHeight="1" x14ac:dyDescent="0.35">
      <c r="T4294" s="246">
        <f t="shared" si="105"/>
        <v>0</v>
      </c>
    </row>
    <row r="4295" spans="20:20" ht="18.75" customHeight="1" x14ac:dyDescent="0.35">
      <c r="T4295" s="246">
        <f t="shared" si="105"/>
        <v>0</v>
      </c>
    </row>
    <row r="4296" spans="20:20" ht="18.75" customHeight="1" x14ac:dyDescent="0.35">
      <c r="T4296" s="246">
        <f t="shared" si="105"/>
        <v>0</v>
      </c>
    </row>
    <row r="4297" spans="20:20" ht="18.75" customHeight="1" x14ac:dyDescent="0.35">
      <c r="T4297" s="246">
        <f t="shared" si="105"/>
        <v>0</v>
      </c>
    </row>
    <row r="4298" spans="20:20" ht="18.75" customHeight="1" x14ac:dyDescent="0.35">
      <c r="T4298" s="246">
        <f t="shared" si="105"/>
        <v>0</v>
      </c>
    </row>
    <row r="4299" spans="20:20" ht="18.75" customHeight="1" x14ac:dyDescent="0.35">
      <c r="T4299" s="246">
        <f t="shared" si="105"/>
        <v>0</v>
      </c>
    </row>
    <row r="4300" spans="20:20" ht="18.75" customHeight="1" x14ac:dyDescent="0.35">
      <c r="T4300" s="246">
        <f t="shared" si="105"/>
        <v>0</v>
      </c>
    </row>
    <row r="4301" spans="20:20" ht="18.75" customHeight="1" x14ac:dyDescent="0.35">
      <c r="T4301" s="246">
        <f t="shared" si="105"/>
        <v>0</v>
      </c>
    </row>
    <row r="4302" spans="20:20" ht="18.75" customHeight="1" x14ac:dyDescent="0.35">
      <c r="T4302" s="246">
        <f t="shared" si="105"/>
        <v>0</v>
      </c>
    </row>
    <row r="4303" spans="20:20" ht="18.75" customHeight="1" x14ac:dyDescent="0.35">
      <c r="T4303" s="246">
        <f t="shared" si="105"/>
        <v>0</v>
      </c>
    </row>
    <row r="4304" spans="20:20" ht="18.75" customHeight="1" x14ac:dyDescent="0.35">
      <c r="T4304" s="246">
        <f t="shared" si="105"/>
        <v>0</v>
      </c>
    </row>
    <row r="4305" spans="20:20" ht="18.75" customHeight="1" x14ac:dyDescent="0.35">
      <c r="T4305" s="246">
        <f t="shared" si="105"/>
        <v>0</v>
      </c>
    </row>
    <row r="4306" spans="20:20" ht="18.75" customHeight="1" x14ac:dyDescent="0.35">
      <c r="T4306" s="246">
        <f t="shared" si="105"/>
        <v>0</v>
      </c>
    </row>
    <row r="4307" spans="20:20" ht="18.75" customHeight="1" x14ac:dyDescent="0.35">
      <c r="T4307" s="246">
        <f t="shared" si="105"/>
        <v>0</v>
      </c>
    </row>
    <row r="4308" spans="20:20" ht="18.75" customHeight="1" x14ac:dyDescent="0.35">
      <c r="T4308" s="246">
        <f t="shared" si="105"/>
        <v>0</v>
      </c>
    </row>
    <row r="4309" spans="20:20" ht="18.75" customHeight="1" x14ac:dyDescent="0.35">
      <c r="T4309" s="246">
        <f t="shared" si="105"/>
        <v>0</v>
      </c>
    </row>
    <row r="4310" spans="20:20" ht="18.75" customHeight="1" x14ac:dyDescent="0.35">
      <c r="T4310" s="246">
        <f t="shared" si="105"/>
        <v>0</v>
      </c>
    </row>
    <row r="4311" spans="20:20" ht="18.75" customHeight="1" x14ac:dyDescent="0.35">
      <c r="T4311" s="246">
        <f t="shared" si="105"/>
        <v>0</v>
      </c>
    </row>
    <row r="4312" spans="20:20" ht="18.75" customHeight="1" x14ac:dyDescent="0.35">
      <c r="T4312" s="246">
        <f t="shared" si="105"/>
        <v>0</v>
      </c>
    </row>
    <row r="4313" spans="20:20" ht="18.75" customHeight="1" x14ac:dyDescent="0.35">
      <c r="T4313" s="246">
        <f t="shared" si="105"/>
        <v>0</v>
      </c>
    </row>
    <row r="4314" spans="20:20" ht="18.75" customHeight="1" x14ac:dyDescent="0.35">
      <c r="T4314" s="246">
        <f t="shared" si="105"/>
        <v>0</v>
      </c>
    </row>
    <row r="4315" spans="20:20" ht="18.75" customHeight="1" x14ac:dyDescent="0.35">
      <c r="T4315" s="246">
        <f t="shared" si="105"/>
        <v>0</v>
      </c>
    </row>
    <row r="4316" spans="20:20" ht="18.75" customHeight="1" x14ac:dyDescent="0.35">
      <c r="T4316" s="246">
        <f t="shared" si="105"/>
        <v>0</v>
      </c>
    </row>
    <row r="4317" spans="20:20" ht="18.75" customHeight="1" x14ac:dyDescent="0.35">
      <c r="T4317" s="246">
        <f t="shared" si="105"/>
        <v>0</v>
      </c>
    </row>
    <row r="4318" spans="20:20" ht="18.75" customHeight="1" x14ac:dyDescent="0.35">
      <c r="T4318" s="246">
        <f t="shared" si="105"/>
        <v>0</v>
      </c>
    </row>
    <row r="4319" spans="20:20" ht="18.75" customHeight="1" x14ac:dyDescent="0.35">
      <c r="T4319" s="246">
        <f t="shared" si="105"/>
        <v>0</v>
      </c>
    </row>
    <row r="4320" spans="20:20" ht="18.75" customHeight="1" x14ac:dyDescent="0.35">
      <c r="T4320" s="246">
        <f t="shared" si="105"/>
        <v>0</v>
      </c>
    </row>
    <row r="4321" spans="20:20" ht="18.75" customHeight="1" x14ac:dyDescent="0.35">
      <c r="T4321" s="246">
        <f t="shared" si="105"/>
        <v>0</v>
      </c>
    </row>
    <row r="4322" spans="20:20" ht="18.75" customHeight="1" x14ac:dyDescent="0.35">
      <c r="T4322" s="246">
        <f t="shared" si="105"/>
        <v>0</v>
      </c>
    </row>
    <row r="4323" spans="20:20" ht="18.75" customHeight="1" x14ac:dyDescent="0.35">
      <c r="T4323" s="246">
        <f t="shared" si="105"/>
        <v>0</v>
      </c>
    </row>
    <row r="4324" spans="20:20" ht="18.75" customHeight="1" x14ac:dyDescent="0.35">
      <c r="T4324" s="246">
        <f t="shared" si="105"/>
        <v>0</v>
      </c>
    </row>
    <row r="4325" spans="20:20" ht="18.75" customHeight="1" x14ac:dyDescent="0.35">
      <c r="T4325" s="246">
        <f t="shared" si="105"/>
        <v>0</v>
      </c>
    </row>
    <row r="4326" spans="20:20" ht="18.75" customHeight="1" x14ac:dyDescent="0.35">
      <c r="T4326" s="246">
        <f t="shared" si="105"/>
        <v>0</v>
      </c>
    </row>
    <row r="4327" spans="20:20" ht="18.75" customHeight="1" x14ac:dyDescent="0.35">
      <c r="T4327" s="246">
        <f t="shared" si="105"/>
        <v>0</v>
      </c>
    </row>
    <row r="4328" spans="20:20" ht="18.75" customHeight="1" x14ac:dyDescent="0.35">
      <c r="T4328" s="246">
        <f t="shared" si="105"/>
        <v>0</v>
      </c>
    </row>
    <row r="4329" spans="20:20" ht="18.75" customHeight="1" x14ac:dyDescent="0.35">
      <c r="T4329" s="246">
        <f t="shared" si="105"/>
        <v>0</v>
      </c>
    </row>
    <row r="4330" spans="20:20" ht="18.75" customHeight="1" x14ac:dyDescent="0.35">
      <c r="T4330" s="246">
        <f t="shared" si="105"/>
        <v>0</v>
      </c>
    </row>
    <row r="4331" spans="20:20" ht="18.75" customHeight="1" x14ac:dyDescent="0.35">
      <c r="T4331" s="246">
        <f t="shared" si="105"/>
        <v>0</v>
      </c>
    </row>
    <row r="4332" spans="20:20" ht="18.75" customHeight="1" x14ac:dyDescent="0.35">
      <c r="T4332" s="246">
        <f t="shared" si="105"/>
        <v>0</v>
      </c>
    </row>
    <row r="4333" spans="20:20" ht="18.75" customHeight="1" x14ac:dyDescent="0.35">
      <c r="T4333" s="246">
        <f t="shared" si="105"/>
        <v>0</v>
      </c>
    </row>
    <row r="4334" spans="20:20" ht="18.75" customHeight="1" x14ac:dyDescent="0.35">
      <c r="T4334" s="246">
        <f t="shared" si="105"/>
        <v>0</v>
      </c>
    </row>
    <row r="4335" spans="20:20" ht="18.75" customHeight="1" x14ac:dyDescent="0.35">
      <c r="T4335" s="246">
        <f t="shared" si="105"/>
        <v>0</v>
      </c>
    </row>
    <row r="4336" spans="20:20" ht="18.75" customHeight="1" x14ac:dyDescent="0.35">
      <c r="T4336" s="246">
        <f t="shared" si="105"/>
        <v>0</v>
      </c>
    </row>
    <row r="4337" spans="20:20" ht="18.75" customHeight="1" x14ac:dyDescent="0.35">
      <c r="T4337" s="246">
        <f t="shared" si="105"/>
        <v>0</v>
      </c>
    </row>
    <row r="4338" spans="20:20" ht="18.75" customHeight="1" x14ac:dyDescent="0.35">
      <c r="T4338" s="246">
        <f t="shared" si="105"/>
        <v>0</v>
      </c>
    </row>
    <row r="4339" spans="20:20" ht="18.75" customHeight="1" x14ac:dyDescent="0.35">
      <c r="T4339" s="246">
        <f t="shared" si="105"/>
        <v>0</v>
      </c>
    </row>
    <row r="4340" spans="20:20" ht="18.75" customHeight="1" x14ac:dyDescent="0.35">
      <c r="T4340" s="246">
        <f t="shared" si="105"/>
        <v>0</v>
      </c>
    </row>
    <row r="4341" spans="20:20" ht="18.75" customHeight="1" x14ac:dyDescent="0.35">
      <c r="T4341" s="246">
        <f t="shared" si="105"/>
        <v>0</v>
      </c>
    </row>
    <row r="4342" spans="20:20" ht="18.75" customHeight="1" x14ac:dyDescent="0.35">
      <c r="T4342" s="246">
        <f t="shared" si="105"/>
        <v>0</v>
      </c>
    </row>
    <row r="4343" spans="20:20" ht="18.75" customHeight="1" x14ac:dyDescent="0.35">
      <c r="T4343" s="246">
        <f t="shared" si="105"/>
        <v>0</v>
      </c>
    </row>
    <row r="4344" spans="20:20" ht="18.75" customHeight="1" x14ac:dyDescent="0.35">
      <c r="T4344" s="246">
        <f t="shared" si="105"/>
        <v>0</v>
      </c>
    </row>
    <row r="4345" spans="20:20" ht="18.75" customHeight="1" x14ac:dyDescent="0.35">
      <c r="T4345" s="246">
        <f t="shared" si="105"/>
        <v>0</v>
      </c>
    </row>
    <row r="4346" spans="20:20" ht="18.75" customHeight="1" x14ac:dyDescent="0.35">
      <c r="T4346" s="246">
        <f t="shared" si="105"/>
        <v>0</v>
      </c>
    </row>
    <row r="4347" spans="20:20" ht="18.75" customHeight="1" x14ac:dyDescent="0.35">
      <c r="T4347" s="246">
        <f t="shared" si="105"/>
        <v>0</v>
      </c>
    </row>
    <row r="4348" spans="20:20" ht="18.75" customHeight="1" x14ac:dyDescent="0.35">
      <c r="T4348" s="246">
        <f t="shared" ref="T4348:T4411" si="106">R4348*0.01</f>
        <v>0</v>
      </c>
    </row>
    <row r="4349" spans="20:20" ht="18.75" customHeight="1" x14ac:dyDescent="0.35">
      <c r="T4349" s="246">
        <f t="shared" si="106"/>
        <v>0</v>
      </c>
    </row>
    <row r="4350" spans="20:20" ht="18.75" customHeight="1" x14ac:dyDescent="0.35">
      <c r="T4350" s="246">
        <f t="shared" si="106"/>
        <v>0</v>
      </c>
    </row>
    <row r="4351" spans="20:20" ht="18.75" customHeight="1" x14ac:dyDescent="0.35">
      <c r="T4351" s="246">
        <f t="shared" si="106"/>
        <v>0</v>
      </c>
    </row>
    <row r="4352" spans="20:20" ht="18.75" customHeight="1" x14ac:dyDescent="0.35">
      <c r="T4352" s="246">
        <f t="shared" si="106"/>
        <v>0</v>
      </c>
    </row>
    <row r="4353" spans="20:20" ht="18.75" customHeight="1" x14ac:dyDescent="0.35">
      <c r="T4353" s="246">
        <f t="shared" si="106"/>
        <v>0</v>
      </c>
    </row>
    <row r="4354" spans="20:20" ht="18.75" customHeight="1" x14ac:dyDescent="0.35">
      <c r="T4354" s="246">
        <f t="shared" si="106"/>
        <v>0</v>
      </c>
    </row>
    <row r="4355" spans="20:20" ht="18.75" customHeight="1" x14ac:dyDescent="0.35">
      <c r="T4355" s="246">
        <f t="shared" si="106"/>
        <v>0</v>
      </c>
    </row>
    <row r="4356" spans="20:20" ht="18.75" customHeight="1" x14ac:dyDescent="0.35">
      <c r="T4356" s="246">
        <f t="shared" si="106"/>
        <v>0</v>
      </c>
    </row>
    <row r="4357" spans="20:20" ht="18.75" customHeight="1" x14ac:dyDescent="0.35">
      <c r="T4357" s="246">
        <f t="shared" si="106"/>
        <v>0</v>
      </c>
    </row>
    <row r="4358" spans="20:20" ht="18.75" customHeight="1" x14ac:dyDescent="0.35">
      <c r="T4358" s="246">
        <f t="shared" si="106"/>
        <v>0</v>
      </c>
    </row>
    <row r="4359" spans="20:20" ht="18.75" customHeight="1" x14ac:dyDescent="0.35">
      <c r="T4359" s="246">
        <f t="shared" si="106"/>
        <v>0</v>
      </c>
    </row>
    <row r="4360" spans="20:20" ht="18.75" customHeight="1" x14ac:dyDescent="0.35">
      <c r="T4360" s="246">
        <f t="shared" si="106"/>
        <v>0</v>
      </c>
    </row>
    <row r="4361" spans="20:20" ht="18.75" customHeight="1" x14ac:dyDescent="0.35">
      <c r="T4361" s="246">
        <f t="shared" si="106"/>
        <v>0</v>
      </c>
    </row>
    <row r="4362" spans="20:20" ht="18.75" customHeight="1" x14ac:dyDescent="0.35">
      <c r="T4362" s="246">
        <f t="shared" si="106"/>
        <v>0</v>
      </c>
    </row>
    <row r="4363" spans="20:20" ht="18.75" customHeight="1" x14ac:dyDescent="0.35">
      <c r="T4363" s="246">
        <f t="shared" si="106"/>
        <v>0</v>
      </c>
    </row>
    <row r="4364" spans="20:20" ht="18.75" customHeight="1" x14ac:dyDescent="0.35">
      <c r="T4364" s="246">
        <f t="shared" si="106"/>
        <v>0</v>
      </c>
    </row>
    <row r="4365" spans="20:20" ht="18.75" customHeight="1" x14ac:dyDescent="0.35">
      <c r="T4365" s="246">
        <f t="shared" si="106"/>
        <v>0</v>
      </c>
    </row>
    <row r="4366" spans="20:20" ht="18.75" customHeight="1" x14ac:dyDescent="0.35">
      <c r="T4366" s="246">
        <f t="shared" si="106"/>
        <v>0</v>
      </c>
    </row>
    <row r="4367" spans="20:20" ht="18.75" customHeight="1" x14ac:dyDescent="0.35">
      <c r="T4367" s="246">
        <f t="shared" si="106"/>
        <v>0</v>
      </c>
    </row>
    <row r="4368" spans="20:20" ht="18.75" customHeight="1" x14ac:dyDescent="0.35">
      <c r="T4368" s="246">
        <f t="shared" si="106"/>
        <v>0</v>
      </c>
    </row>
    <row r="4369" spans="20:20" ht="18.75" customHeight="1" x14ac:dyDescent="0.35">
      <c r="T4369" s="246">
        <f t="shared" si="106"/>
        <v>0</v>
      </c>
    </row>
    <row r="4370" spans="20:20" ht="18.75" customHeight="1" x14ac:dyDescent="0.35">
      <c r="T4370" s="246">
        <f t="shared" si="106"/>
        <v>0</v>
      </c>
    </row>
    <row r="4371" spans="20:20" ht="18.75" customHeight="1" x14ac:dyDescent="0.35">
      <c r="T4371" s="246">
        <f t="shared" si="106"/>
        <v>0</v>
      </c>
    </row>
    <row r="4372" spans="20:20" ht="18.75" customHeight="1" x14ac:dyDescent="0.35">
      <c r="T4372" s="246">
        <f t="shared" si="106"/>
        <v>0</v>
      </c>
    </row>
    <row r="4373" spans="20:20" ht="18.75" customHeight="1" x14ac:dyDescent="0.35">
      <c r="T4373" s="246">
        <f t="shared" si="106"/>
        <v>0</v>
      </c>
    </row>
    <row r="4374" spans="20:20" ht="18.75" customHeight="1" x14ac:dyDescent="0.35">
      <c r="T4374" s="246">
        <f t="shared" si="106"/>
        <v>0</v>
      </c>
    </row>
    <row r="4375" spans="20:20" ht="18.75" customHeight="1" x14ac:dyDescent="0.35">
      <c r="T4375" s="246">
        <f t="shared" si="106"/>
        <v>0</v>
      </c>
    </row>
    <row r="4376" spans="20:20" ht="18.75" customHeight="1" x14ac:dyDescent="0.35">
      <c r="T4376" s="246">
        <f t="shared" si="106"/>
        <v>0</v>
      </c>
    </row>
    <row r="4377" spans="20:20" ht="18.75" customHeight="1" x14ac:dyDescent="0.35">
      <c r="T4377" s="246">
        <f t="shared" si="106"/>
        <v>0</v>
      </c>
    </row>
    <row r="4378" spans="20:20" ht="18.75" customHeight="1" x14ac:dyDescent="0.35">
      <c r="T4378" s="246">
        <f t="shared" si="106"/>
        <v>0</v>
      </c>
    </row>
    <row r="4379" spans="20:20" ht="18.75" customHeight="1" x14ac:dyDescent="0.35">
      <c r="T4379" s="246">
        <f t="shared" si="106"/>
        <v>0</v>
      </c>
    </row>
    <row r="4380" spans="20:20" ht="18.75" customHeight="1" x14ac:dyDescent="0.35">
      <c r="T4380" s="246">
        <f t="shared" si="106"/>
        <v>0</v>
      </c>
    </row>
    <row r="4381" spans="20:20" ht="18.75" customHeight="1" x14ac:dyDescent="0.35">
      <c r="T4381" s="246">
        <f t="shared" si="106"/>
        <v>0</v>
      </c>
    </row>
    <row r="4382" spans="20:20" ht="18.75" customHeight="1" x14ac:dyDescent="0.35">
      <c r="T4382" s="246">
        <f t="shared" si="106"/>
        <v>0</v>
      </c>
    </row>
    <row r="4383" spans="20:20" ht="18.75" customHeight="1" x14ac:dyDescent="0.35">
      <c r="T4383" s="246">
        <f t="shared" si="106"/>
        <v>0</v>
      </c>
    </row>
    <row r="4384" spans="20:20" ht="18.75" customHeight="1" x14ac:dyDescent="0.35">
      <c r="T4384" s="246">
        <f t="shared" si="106"/>
        <v>0</v>
      </c>
    </row>
    <row r="4385" spans="20:20" ht="18.75" customHeight="1" x14ac:dyDescent="0.35">
      <c r="T4385" s="246">
        <f t="shared" si="106"/>
        <v>0</v>
      </c>
    </row>
    <row r="4386" spans="20:20" ht="18.75" customHeight="1" x14ac:dyDescent="0.35">
      <c r="T4386" s="246">
        <f t="shared" si="106"/>
        <v>0</v>
      </c>
    </row>
    <row r="4387" spans="20:20" ht="18.75" customHeight="1" x14ac:dyDescent="0.35">
      <c r="T4387" s="246">
        <f t="shared" si="106"/>
        <v>0</v>
      </c>
    </row>
    <row r="4388" spans="20:20" ht="18.75" customHeight="1" x14ac:dyDescent="0.35">
      <c r="T4388" s="246">
        <f t="shared" si="106"/>
        <v>0</v>
      </c>
    </row>
    <row r="4389" spans="20:20" ht="18.75" customHeight="1" x14ac:dyDescent="0.35">
      <c r="T4389" s="246">
        <f t="shared" si="106"/>
        <v>0</v>
      </c>
    </row>
    <row r="4390" spans="20:20" ht="18.75" customHeight="1" x14ac:dyDescent="0.35">
      <c r="T4390" s="246">
        <f t="shared" si="106"/>
        <v>0</v>
      </c>
    </row>
    <row r="4391" spans="20:20" ht="18.75" customHeight="1" x14ac:dyDescent="0.35">
      <c r="T4391" s="246">
        <f t="shared" si="106"/>
        <v>0</v>
      </c>
    </row>
    <row r="4392" spans="20:20" ht="18.75" customHeight="1" x14ac:dyDescent="0.35">
      <c r="T4392" s="246">
        <f t="shared" si="106"/>
        <v>0</v>
      </c>
    </row>
    <row r="4393" spans="20:20" ht="18.75" customHeight="1" x14ac:dyDescent="0.35">
      <c r="T4393" s="246">
        <f t="shared" si="106"/>
        <v>0</v>
      </c>
    </row>
    <row r="4394" spans="20:20" ht="18.75" customHeight="1" x14ac:dyDescent="0.35">
      <c r="T4394" s="246">
        <f t="shared" si="106"/>
        <v>0</v>
      </c>
    </row>
    <row r="4395" spans="20:20" ht="18.75" customHeight="1" x14ac:dyDescent="0.35">
      <c r="T4395" s="246">
        <f t="shared" si="106"/>
        <v>0</v>
      </c>
    </row>
    <row r="4396" spans="20:20" ht="18.75" customHeight="1" x14ac:dyDescent="0.35">
      <c r="T4396" s="246">
        <f t="shared" si="106"/>
        <v>0</v>
      </c>
    </row>
    <row r="4397" spans="20:20" ht="18.75" customHeight="1" x14ac:dyDescent="0.35">
      <c r="T4397" s="246">
        <f t="shared" si="106"/>
        <v>0</v>
      </c>
    </row>
    <row r="4398" spans="20:20" ht="18.75" customHeight="1" x14ac:dyDescent="0.35">
      <c r="T4398" s="246">
        <f t="shared" si="106"/>
        <v>0</v>
      </c>
    </row>
    <row r="4399" spans="20:20" ht="18.75" customHeight="1" x14ac:dyDescent="0.35">
      <c r="T4399" s="246">
        <f t="shared" si="106"/>
        <v>0</v>
      </c>
    </row>
    <row r="4400" spans="20:20" ht="18.75" customHeight="1" x14ac:dyDescent="0.35">
      <c r="T4400" s="246">
        <f t="shared" si="106"/>
        <v>0</v>
      </c>
    </row>
    <row r="4401" spans="20:20" ht="18.75" customHeight="1" x14ac:dyDescent="0.35">
      <c r="T4401" s="246">
        <f t="shared" si="106"/>
        <v>0</v>
      </c>
    </row>
    <row r="4402" spans="20:20" ht="18.75" customHeight="1" x14ac:dyDescent="0.35">
      <c r="T4402" s="246">
        <f t="shared" si="106"/>
        <v>0</v>
      </c>
    </row>
    <row r="4403" spans="20:20" ht="18.75" customHeight="1" x14ac:dyDescent="0.35">
      <c r="T4403" s="246">
        <f t="shared" si="106"/>
        <v>0</v>
      </c>
    </row>
    <row r="4404" spans="20:20" ht="18.75" customHeight="1" x14ac:dyDescent="0.35">
      <c r="T4404" s="246">
        <f t="shared" si="106"/>
        <v>0</v>
      </c>
    </row>
    <row r="4405" spans="20:20" ht="18.75" customHeight="1" x14ac:dyDescent="0.35">
      <c r="T4405" s="246">
        <f t="shared" si="106"/>
        <v>0</v>
      </c>
    </row>
    <row r="4406" spans="20:20" ht="18.75" customHeight="1" x14ac:dyDescent="0.35">
      <c r="T4406" s="246">
        <f t="shared" si="106"/>
        <v>0</v>
      </c>
    </row>
    <row r="4407" spans="20:20" ht="18.75" customHeight="1" x14ac:dyDescent="0.35">
      <c r="T4407" s="246">
        <f t="shared" si="106"/>
        <v>0</v>
      </c>
    </row>
    <row r="4408" spans="20:20" ht="18.75" customHeight="1" x14ac:dyDescent="0.35">
      <c r="T4408" s="246">
        <f t="shared" si="106"/>
        <v>0</v>
      </c>
    </row>
    <row r="4409" spans="20:20" ht="18.75" customHeight="1" x14ac:dyDescent="0.35">
      <c r="T4409" s="246">
        <f t="shared" si="106"/>
        <v>0</v>
      </c>
    </row>
    <row r="4410" spans="20:20" ht="18.75" customHeight="1" x14ac:dyDescent="0.35">
      <c r="T4410" s="246">
        <f t="shared" si="106"/>
        <v>0</v>
      </c>
    </row>
    <row r="4411" spans="20:20" ht="18.75" customHeight="1" x14ac:dyDescent="0.35">
      <c r="T4411" s="246">
        <f t="shared" si="106"/>
        <v>0</v>
      </c>
    </row>
    <row r="4412" spans="20:20" ht="18.75" customHeight="1" x14ac:dyDescent="0.35">
      <c r="T4412" s="246">
        <f t="shared" ref="T4412:T4475" si="107">R4412*0.01</f>
        <v>0</v>
      </c>
    </row>
    <row r="4413" spans="20:20" ht="18.75" customHeight="1" x14ac:dyDescent="0.35">
      <c r="T4413" s="246">
        <f t="shared" si="107"/>
        <v>0</v>
      </c>
    </row>
    <row r="4414" spans="20:20" ht="18.75" customHeight="1" x14ac:dyDescent="0.35">
      <c r="T4414" s="246">
        <f t="shared" si="107"/>
        <v>0</v>
      </c>
    </row>
    <row r="4415" spans="20:20" ht="18.75" customHeight="1" x14ac:dyDescent="0.35">
      <c r="T4415" s="246">
        <f t="shared" si="107"/>
        <v>0</v>
      </c>
    </row>
    <row r="4416" spans="20:20" ht="18.75" customHeight="1" x14ac:dyDescent="0.35">
      <c r="T4416" s="246">
        <f t="shared" si="107"/>
        <v>0</v>
      </c>
    </row>
    <row r="4417" spans="20:20" ht="18.75" customHeight="1" x14ac:dyDescent="0.35">
      <c r="T4417" s="246">
        <f t="shared" si="107"/>
        <v>0</v>
      </c>
    </row>
    <row r="4418" spans="20:20" ht="18.75" customHeight="1" x14ac:dyDescent="0.35">
      <c r="T4418" s="246">
        <f t="shared" si="107"/>
        <v>0</v>
      </c>
    </row>
    <row r="4419" spans="20:20" ht="18.75" customHeight="1" x14ac:dyDescent="0.35">
      <c r="T4419" s="246">
        <f t="shared" si="107"/>
        <v>0</v>
      </c>
    </row>
    <row r="4420" spans="20:20" ht="18.75" customHeight="1" x14ac:dyDescent="0.35">
      <c r="T4420" s="246">
        <f t="shared" si="107"/>
        <v>0</v>
      </c>
    </row>
    <row r="4421" spans="20:20" ht="18.75" customHeight="1" x14ac:dyDescent="0.35">
      <c r="T4421" s="246">
        <f t="shared" si="107"/>
        <v>0</v>
      </c>
    </row>
    <row r="4422" spans="20:20" ht="18.75" customHeight="1" x14ac:dyDescent="0.35">
      <c r="T4422" s="246">
        <f t="shared" si="107"/>
        <v>0</v>
      </c>
    </row>
    <row r="4423" spans="20:20" ht="18.75" customHeight="1" x14ac:dyDescent="0.35">
      <c r="T4423" s="246">
        <f t="shared" si="107"/>
        <v>0</v>
      </c>
    </row>
    <row r="4424" spans="20:20" ht="18.75" customHeight="1" x14ac:dyDescent="0.35">
      <c r="T4424" s="246">
        <f t="shared" si="107"/>
        <v>0</v>
      </c>
    </row>
    <row r="4425" spans="20:20" ht="18.75" customHeight="1" x14ac:dyDescent="0.35">
      <c r="T4425" s="246">
        <f t="shared" si="107"/>
        <v>0</v>
      </c>
    </row>
    <row r="4426" spans="20:20" ht="18.75" customHeight="1" x14ac:dyDescent="0.35">
      <c r="T4426" s="246">
        <f t="shared" si="107"/>
        <v>0</v>
      </c>
    </row>
    <row r="4427" spans="20:20" ht="18.75" customHeight="1" x14ac:dyDescent="0.35">
      <c r="T4427" s="246">
        <f t="shared" si="107"/>
        <v>0</v>
      </c>
    </row>
    <row r="4428" spans="20:20" ht="18.75" customHeight="1" x14ac:dyDescent="0.35">
      <c r="T4428" s="246">
        <f t="shared" si="107"/>
        <v>0</v>
      </c>
    </row>
    <row r="4429" spans="20:20" ht="18.75" customHeight="1" x14ac:dyDescent="0.35">
      <c r="T4429" s="246">
        <f t="shared" si="107"/>
        <v>0</v>
      </c>
    </row>
    <row r="4430" spans="20:20" ht="18.75" customHeight="1" x14ac:dyDescent="0.35">
      <c r="T4430" s="246">
        <f t="shared" si="107"/>
        <v>0</v>
      </c>
    </row>
    <row r="4431" spans="20:20" ht="18.75" customHeight="1" x14ac:dyDescent="0.35">
      <c r="T4431" s="246">
        <f t="shared" si="107"/>
        <v>0</v>
      </c>
    </row>
    <row r="4432" spans="20:20" ht="18.75" customHeight="1" x14ac:dyDescent="0.35">
      <c r="T4432" s="246">
        <f t="shared" si="107"/>
        <v>0</v>
      </c>
    </row>
    <row r="4433" spans="20:20" ht="18.75" customHeight="1" x14ac:dyDescent="0.35">
      <c r="T4433" s="246">
        <f t="shared" si="107"/>
        <v>0</v>
      </c>
    </row>
    <row r="4434" spans="20:20" ht="18.75" customHeight="1" x14ac:dyDescent="0.35">
      <c r="T4434" s="246">
        <f t="shared" si="107"/>
        <v>0</v>
      </c>
    </row>
    <row r="4435" spans="20:20" ht="18.75" customHeight="1" x14ac:dyDescent="0.35">
      <c r="T4435" s="246">
        <f t="shared" si="107"/>
        <v>0</v>
      </c>
    </row>
    <row r="4436" spans="20:20" ht="18.75" customHeight="1" x14ac:dyDescent="0.35">
      <c r="T4436" s="246">
        <f t="shared" si="107"/>
        <v>0</v>
      </c>
    </row>
    <row r="4437" spans="20:20" ht="18.75" customHeight="1" x14ac:dyDescent="0.35">
      <c r="T4437" s="246">
        <f t="shared" si="107"/>
        <v>0</v>
      </c>
    </row>
    <row r="4438" spans="20:20" ht="18.75" customHeight="1" x14ac:dyDescent="0.35">
      <c r="T4438" s="246">
        <f t="shared" si="107"/>
        <v>0</v>
      </c>
    </row>
    <row r="4439" spans="20:20" ht="18.75" customHeight="1" x14ac:dyDescent="0.35">
      <c r="T4439" s="246">
        <f t="shared" si="107"/>
        <v>0</v>
      </c>
    </row>
    <row r="4440" spans="20:20" ht="18.75" customHeight="1" x14ac:dyDescent="0.35">
      <c r="T4440" s="246">
        <f t="shared" si="107"/>
        <v>0</v>
      </c>
    </row>
    <row r="4441" spans="20:20" ht="18.75" customHeight="1" x14ac:dyDescent="0.35">
      <c r="T4441" s="246">
        <f t="shared" si="107"/>
        <v>0</v>
      </c>
    </row>
    <row r="4442" spans="20:20" ht="18.75" customHeight="1" x14ac:dyDescent="0.35">
      <c r="T4442" s="246">
        <f t="shared" si="107"/>
        <v>0</v>
      </c>
    </row>
    <row r="4443" spans="20:20" ht="18.75" customHeight="1" x14ac:dyDescent="0.35">
      <c r="T4443" s="246">
        <f t="shared" si="107"/>
        <v>0</v>
      </c>
    </row>
    <row r="4444" spans="20:20" ht="18.75" customHeight="1" x14ac:dyDescent="0.35">
      <c r="T4444" s="246">
        <f t="shared" si="107"/>
        <v>0</v>
      </c>
    </row>
    <row r="4445" spans="20:20" ht="18.75" customHeight="1" x14ac:dyDescent="0.35">
      <c r="T4445" s="246">
        <f t="shared" si="107"/>
        <v>0</v>
      </c>
    </row>
    <row r="4446" spans="20:20" ht="18.75" customHeight="1" x14ac:dyDescent="0.35">
      <c r="T4446" s="246">
        <f t="shared" si="107"/>
        <v>0</v>
      </c>
    </row>
    <row r="4447" spans="20:20" ht="18.75" customHeight="1" x14ac:dyDescent="0.35">
      <c r="T4447" s="246">
        <f t="shared" si="107"/>
        <v>0</v>
      </c>
    </row>
    <row r="4448" spans="20:20" ht="18.75" customHeight="1" x14ac:dyDescent="0.35">
      <c r="T4448" s="246">
        <f t="shared" si="107"/>
        <v>0</v>
      </c>
    </row>
    <row r="4449" spans="20:20" ht="18.75" customHeight="1" x14ac:dyDescent="0.35">
      <c r="T4449" s="246">
        <f t="shared" si="107"/>
        <v>0</v>
      </c>
    </row>
    <row r="4450" spans="20:20" ht="18.75" customHeight="1" x14ac:dyDescent="0.35">
      <c r="T4450" s="246">
        <f t="shared" si="107"/>
        <v>0</v>
      </c>
    </row>
    <row r="4451" spans="20:20" ht="18.75" customHeight="1" x14ac:dyDescent="0.35">
      <c r="T4451" s="246">
        <f t="shared" si="107"/>
        <v>0</v>
      </c>
    </row>
    <row r="4452" spans="20:20" ht="18.75" customHeight="1" x14ac:dyDescent="0.35">
      <c r="T4452" s="246">
        <f t="shared" si="107"/>
        <v>0</v>
      </c>
    </row>
    <row r="4453" spans="20:20" ht="18.75" customHeight="1" x14ac:dyDescent="0.35">
      <c r="T4453" s="246">
        <f t="shared" si="107"/>
        <v>0</v>
      </c>
    </row>
    <row r="4454" spans="20:20" ht="18.75" customHeight="1" x14ac:dyDescent="0.35">
      <c r="T4454" s="246">
        <f t="shared" si="107"/>
        <v>0</v>
      </c>
    </row>
    <row r="4455" spans="20:20" ht="18.75" customHeight="1" x14ac:dyDescent="0.35">
      <c r="T4455" s="246">
        <f t="shared" si="107"/>
        <v>0</v>
      </c>
    </row>
    <row r="4456" spans="20:20" ht="18.75" customHeight="1" x14ac:dyDescent="0.35">
      <c r="T4456" s="246">
        <f t="shared" si="107"/>
        <v>0</v>
      </c>
    </row>
    <row r="4457" spans="20:20" ht="18.75" customHeight="1" x14ac:dyDescent="0.35">
      <c r="T4457" s="246">
        <f t="shared" si="107"/>
        <v>0</v>
      </c>
    </row>
    <row r="4458" spans="20:20" ht="18.75" customHeight="1" x14ac:dyDescent="0.35">
      <c r="T4458" s="246">
        <f t="shared" si="107"/>
        <v>0</v>
      </c>
    </row>
    <row r="4459" spans="20:20" ht="18.75" customHeight="1" x14ac:dyDescent="0.35">
      <c r="T4459" s="246">
        <f t="shared" si="107"/>
        <v>0</v>
      </c>
    </row>
    <row r="4460" spans="20:20" ht="18.75" customHeight="1" x14ac:dyDescent="0.35">
      <c r="T4460" s="246">
        <f t="shared" si="107"/>
        <v>0</v>
      </c>
    </row>
    <row r="4461" spans="20:20" ht="18.75" customHeight="1" x14ac:dyDescent="0.35">
      <c r="T4461" s="246">
        <f t="shared" si="107"/>
        <v>0</v>
      </c>
    </row>
    <row r="4462" spans="20:20" ht="18.75" customHeight="1" x14ac:dyDescent="0.35">
      <c r="T4462" s="246">
        <f t="shared" si="107"/>
        <v>0</v>
      </c>
    </row>
    <row r="4463" spans="20:20" ht="18.75" customHeight="1" x14ac:dyDescent="0.35">
      <c r="T4463" s="246">
        <f t="shared" si="107"/>
        <v>0</v>
      </c>
    </row>
    <row r="4464" spans="20:20" ht="18.75" customHeight="1" x14ac:dyDescent="0.35">
      <c r="T4464" s="246">
        <f t="shared" si="107"/>
        <v>0</v>
      </c>
    </row>
    <row r="4465" spans="20:20" ht="18.75" customHeight="1" x14ac:dyDescent="0.35">
      <c r="T4465" s="246">
        <f t="shared" si="107"/>
        <v>0</v>
      </c>
    </row>
    <row r="4466" spans="20:20" ht="18.75" customHeight="1" x14ac:dyDescent="0.35">
      <c r="T4466" s="246">
        <f t="shared" si="107"/>
        <v>0</v>
      </c>
    </row>
    <row r="4467" spans="20:20" ht="18.75" customHeight="1" x14ac:dyDescent="0.35">
      <c r="T4467" s="246">
        <f t="shared" si="107"/>
        <v>0</v>
      </c>
    </row>
    <row r="4468" spans="20:20" ht="18.75" customHeight="1" x14ac:dyDescent="0.35">
      <c r="T4468" s="246">
        <f t="shared" si="107"/>
        <v>0</v>
      </c>
    </row>
    <row r="4469" spans="20:20" ht="18.75" customHeight="1" x14ac:dyDescent="0.35">
      <c r="T4469" s="246">
        <f t="shared" si="107"/>
        <v>0</v>
      </c>
    </row>
    <row r="4470" spans="20:20" ht="18.75" customHeight="1" x14ac:dyDescent="0.35">
      <c r="T4470" s="246">
        <f t="shared" si="107"/>
        <v>0</v>
      </c>
    </row>
    <row r="4471" spans="20:20" ht="18.75" customHeight="1" x14ac:dyDescent="0.35">
      <c r="T4471" s="246">
        <f t="shared" si="107"/>
        <v>0</v>
      </c>
    </row>
    <row r="4472" spans="20:20" ht="18.75" customHeight="1" x14ac:dyDescent="0.35">
      <c r="T4472" s="246">
        <f t="shared" si="107"/>
        <v>0</v>
      </c>
    </row>
    <row r="4473" spans="20:20" ht="18.75" customHeight="1" x14ac:dyDescent="0.35">
      <c r="T4473" s="246">
        <f t="shared" si="107"/>
        <v>0</v>
      </c>
    </row>
    <row r="4474" spans="20:20" ht="18.75" customHeight="1" x14ac:dyDescent="0.35">
      <c r="T4474" s="246">
        <f t="shared" si="107"/>
        <v>0</v>
      </c>
    </row>
    <row r="4475" spans="20:20" ht="18.75" customHeight="1" x14ac:dyDescent="0.35">
      <c r="T4475" s="246">
        <f t="shared" si="107"/>
        <v>0</v>
      </c>
    </row>
    <row r="4476" spans="20:20" ht="18.75" customHeight="1" x14ac:dyDescent="0.35">
      <c r="T4476" s="246">
        <f t="shared" ref="T4476:T4539" si="108">R4476*0.01</f>
        <v>0</v>
      </c>
    </row>
    <row r="4477" spans="20:20" ht="18.75" customHeight="1" x14ac:dyDescent="0.35">
      <c r="T4477" s="246">
        <f t="shared" si="108"/>
        <v>0</v>
      </c>
    </row>
    <row r="4478" spans="20:20" ht="18.75" customHeight="1" x14ac:dyDescent="0.35">
      <c r="T4478" s="246">
        <f t="shared" si="108"/>
        <v>0</v>
      </c>
    </row>
    <row r="4479" spans="20:20" ht="18.75" customHeight="1" x14ac:dyDescent="0.35">
      <c r="T4479" s="246">
        <f t="shared" si="108"/>
        <v>0</v>
      </c>
    </row>
    <row r="4480" spans="20:20" ht="18.75" customHeight="1" x14ac:dyDescent="0.35">
      <c r="T4480" s="246">
        <f t="shared" si="108"/>
        <v>0</v>
      </c>
    </row>
    <row r="4481" spans="20:20" ht="18.75" customHeight="1" x14ac:dyDescent="0.35">
      <c r="T4481" s="246">
        <f t="shared" si="108"/>
        <v>0</v>
      </c>
    </row>
    <row r="4482" spans="20:20" ht="18.75" customHeight="1" x14ac:dyDescent="0.35">
      <c r="T4482" s="246">
        <f t="shared" si="108"/>
        <v>0</v>
      </c>
    </row>
    <row r="4483" spans="20:20" ht="18.75" customHeight="1" x14ac:dyDescent="0.35">
      <c r="T4483" s="246">
        <f t="shared" si="108"/>
        <v>0</v>
      </c>
    </row>
    <row r="4484" spans="20:20" ht="18.75" customHeight="1" x14ac:dyDescent="0.35">
      <c r="T4484" s="246">
        <f t="shared" si="108"/>
        <v>0</v>
      </c>
    </row>
    <row r="4485" spans="20:20" ht="18.75" customHeight="1" x14ac:dyDescent="0.35">
      <c r="T4485" s="246">
        <f t="shared" si="108"/>
        <v>0</v>
      </c>
    </row>
    <row r="4486" spans="20:20" ht="18.75" customHeight="1" x14ac:dyDescent="0.35">
      <c r="T4486" s="246">
        <f t="shared" si="108"/>
        <v>0</v>
      </c>
    </row>
    <row r="4487" spans="20:20" ht="18.75" customHeight="1" x14ac:dyDescent="0.35">
      <c r="T4487" s="246">
        <f t="shared" si="108"/>
        <v>0</v>
      </c>
    </row>
    <row r="4488" spans="20:20" ht="18.75" customHeight="1" x14ac:dyDescent="0.35">
      <c r="T4488" s="246">
        <f t="shared" si="108"/>
        <v>0</v>
      </c>
    </row>
    <row r="4489" spans="20:20" ht="18.75" customHeight="1" x14ac:dyDescent="0.35">
      <c r="T4489" s="246">
        <f t="shared" si="108"/>
        <v>0</v>
      </c>
    </row>
    <row r="4490" spans="20:20" ht="18.75" customHeight="1" x14ac:dyDescent="0.35">
      <c r="T4490" s="246">
        <f t="shared" si="108"/>
        <v>0</v>
      </c>
    </row>
    <row r="4491" spans="20:20" ht="18.75" customHeight="1" x14ac:dyDescent="0.35">
      <c r="T4491" s="246">
        <f t="shared" si="108"/>
        <v>0</v>
      </c>
    </row>
    <row r="4492" spans="20:20" ht="18.75" customHeight="1" x14ac:dyDescent="0.35">
      <c r="T4492" s="246">
        <f t="shared" si="108"/>
        <v>0</v>
      </c>
    </row>
    <row r="4493" spans="20:20" ht="18.75" customHeight="1" x14ac:dyDescent="0.35">
      <c r="T4493" s="246">
        <f t="shared" si="108"/>
        <v>0</v>
      </c>
    </row>
    <row r="4494" spans="20:20" ht="18.75" customHeight="1" x14ac:dyDescent="0.35">
      <c r="T4494" s="246">
        <f t="shared" si="108"/>
        <v>0</v>
      </c>
    </row>
    <row r="4495" spans="20:20" ht="18.75" customHeight="1" x14ac:dyDescent="0.35">
      <c r="T4495" s="246">
        <f t="shared" si="108"/>
        <v>0</v>
      </c>
    </row>
    <row r="4496" spans="20:20" ht="18.75" customHeight="1" x14ac:dyDescent="0.35">
      <c r="T4496" s="246">
        <f t="shared" si="108"/>
        <v>0</v>
      </c>
    </row>
    <row r="4497" spans="20:20" ht="18.75" customHeight="1" x14ac:dyDescent="0.35">
      <c r="T4497" s="246">
        <f t="shared" si="108"/>
        <v>0</v>
      </c>
    </row>
    <row r="4498" spans="20:20" ht="18.75" customHeight="1" x14ac:dyDescent="0.35">
      <c r="T4498" s="246">
        <f t="shared" si="108"/>
        <v>0</v>
      </c>
    </row>
    <row r="4499" spans="20:20" ht="18.75" customHeight="1" x14ac:dyDescent="0.35">
      <c r="T4499" s="246">
        <f t="shared" si="108"/>
        <v>0</v>
      </c>
    </row>
    <row r="4500" spans="20:20" ht="18.75" customHeight="1" x14ac:dyDescent="0.35">
      <c r="T4500" s="246">
        <f t="shared" si="108"/>
        <v>0</v>
      </c>
    </row>
    <row r="4501" spans="20:20" ht="18.75" customHeight="1" x14ac:dyDescent="0.35">
      <c r="T4501" s="246">
        <f t="shared" si="108"/>
        <v>0</v>
      </c>
    </row>
    <row r="4502" spans="20:20" ht="18.75" customHeight="1" x14ac:dyDescent="0.35">
      <c r="T4502" s="246">
        <f t="shared" si="108"/>
        <v>0</v>
      </c>
    </row>
    <row r="4503" spans="20:20" ht="18.75" customHeight="1" x14ac:dyDescent="0.35">
      <c r="T4503" s="246">
        <f t="shared" si="108"/>
        <v>0</v>
      </c>
    </row>
    <row r="4504" spans="20:20" ht="18.75" customHeight="1" x14ac:dyDescent="0.35">
      <c r="T4504" s="246">
        <f t="shared" si="108"/>
        <v>0</v>
      </c>
    </row>
    <row r="4505" spans="20:20" ht="18.75" customHeight="1" x14ac:dyDescent="0.35">
      <c r="T4505" s="246">
        <f t="shared" si="108"/>
        <v>0</v>
      </c>
    </row>
    <row r="4506" spans="20:20" ht="18.75" customHeight="1" x14ac:dyDescent="0.35">
      <c r="T4506" s="246">
        <f t="shared" si="108"/>
        <v>0</v>
      </c>
    </row>
    <row r="4507" spans="20:20" ht="18.75" customHeight="1" x14ac:dyDescent="0.35">
      <c r="T4507" s="246">
        <f t="shared" si="108"/>
        <v>0</v>
      </c>
    </row>
    <row r="4508" spans="20:20" ht="18.75" customHeight="1" x14ac:dyDescent="0.35">
      <c r="T4508" s="246">
        <f t="shared" si="108"/>
        <v>0</v>
      </c>
    </row>
    <row r="4509" spans="20:20" ht="18.75" customHeight="1" x14ac:dyDescent="0.35">
      <c r="T4509" s="246">
        <f t="shared" si="108"/>
        <v>0</v>
      </c>
    </row>
    <row r="4510" spans="20:20" ht="18.75" customHeight="1" x14ac:dyDescent="0.35">
      <c r="T4510" s="246">
        <f t="shared" si="108"/>
        <v>0</v>
      </c>
    </row>
    <row r="4511" spans="20:20" ht="18.75" customHeight="1" x14ac:dyDescent="0.35">
      <c r="T4511" s="246">
        <f t="shared" si="108"/>
        <v>0</v>
      </c>
    </row>
    <row r="4512" spans="20:20" ht="18.75" customHeight="1" x14ac:dyDescent="0.35">
      <c r="T4512" s="246">
        <f t="shared" si="108"/>
        <v>0</v>
      </c>
    </row>
    <row r="4513" spans="20:20" ht="18.75" customHeight="1" x14ac:dyDescent="0.35">
      <c r="T4513" s="246">
        <f t="shared" si="108"/>
        <v>0</v>
      </c>
    </row>
    <row r="4514" spans="20:20" ht="18.75" customHeight="1" x14ac:dyDescent="0.35">
      <c r="T4514" s="246">
        <f t="shared" si="108"/>
        <v>0</v>
      </c>
    </row>
    <row r="4515" spans="20:20" ht="18.75" customHeight="1" x14ac:dyDescent="0.35">
      <c r="T4515" s="246">
        <f t="shared" si="108"/>
        <v>0</v>
      </c>
    </row>
    <row r="4516" spans="20:20" ht="18.75" customHeight="1" x14ac:dyDescent="0.35">
      <c r="T4516" s="246">
        <f t="shared" si="108"/>
        <v>0</v>
      </c>
    </row>
    <row r="4517" spans="20:20" ht="18.75" customHeight="1" x14ac:dyDescent="0.35">
      <c r="T4517" s="246">
        <f t="shared" si="108"/>
        <v>0</v>
      </c>
    </row>
    <row r="4518" spans="20:20" ht="18.75" customHeight="1" x14ac:dyDescent="0.35">
      <c r="T4518" s="246">
        <f t="shared" si="108"/>
        <v>0</v>
      </c>
    </row>
    <row r="4519" spans="20:20" ht="18.75" customHeight="1" x14ac:dyDescent="0.35">
      <c r="T4519" s="246">
        <f t="shared" si="108"/>
        <v>0</v>
      </c>
    </row>
    <row r="4520" spans="20:20" ht="18.75" customHeight="1" x14ac:dyDescent="0.35">
      <c r="T4520" s="246">
        <f t="shared" si="108"/>
        <v>0</v>
      </c>
    </row>
    <row r="4521" spans="20:20" ht="18.75" customHeight="1" x14ac:dyDescent="0.35">
      <c r="T4521" s="246">
        <f t="shared" si="108"/>
        <v>0</v>
      </c>
    </row>
    <row r="4522" spans="20:20" ht="18.75" customHeight="1" x14ac:dyDescent="0.35">
      <c r="T4522" s="246">
        <f t="shared" si="108"/>
        <v>0</v>
      </c>
    </row>
    <row r="4523" spans="20:20" ht="18.75" customHeight="1" x14ac:dyDescent="0.35">
      <c r="T4523" s="246">
        <f t="shared" si="108"/>
        <v>0</v>
      </c>
    </row>
    <row r="4524" spans="20:20" ht="18.75" customHeight="1" x14ac:dyDescent="0.35">
      <c r="T4524" s="246">
        <f t="shared" si="108"/>
        <v>0</v>
      </c>
    </row>
    <row r="4525" spans="20:20" ht="18.75" customHeight="1" x14ac:dyDescent="0.35">
      <c r="T4525" s="246">
        <f t="shared" si="108"/>
        <v>0</v>
      </c>
    </row>
    <row r="4526" spans="20:20" ht="18.75" customHeight="1" x14ac:dyDescent="0.35">
      <c r="T4526" s="246">
        <f t="shared" si="108"/>
        <v>0</v>
      </c>
    </row>
    <row r="4527" spans="20:20" ht="18.75" customHeight="1" x14ac:dyDescent="0.35">
      <c r="T4527" s="246">
        <f t="shared" si="108"/>
        <v>0</v>
      </c>
    </row>
    <row r="4528" spans="20:20" ht="18.75" customHeight="1" x14ac:dyDescent="0.35">
      <c r="T4528" s="246">
        <f t="shared" si="108"/>
        <v>0</v>
      </c>
    </row>
    <row r="4529" spans="20:20" ht="18.75" customHeight="1" x14ac:dyDescent="0.35">
      <c r="T4529" s="246">
        <f t="shared" si="108"/>
        <v>0</v>
      </c>
    </row>
    <row r="4530" spans="20:20" ht="18.75" customHeight="1" x14ac:dyDescent="0.35">
      <c r="T4530" s="246">
        <f t="shared" si="108"/>
        <v>0</v>
      </c>
    </row>
    <row r="4531" spans="20:20" ht="18.75" customHeight="1" x14ac:dyDescent="0.35">
      <c r="T4531" s="246">
        <f t="shared" si="108"/>
        <v>0</v>
      </c>
    </row>
    <row r="4532" spans="20:20" ht="18.75" customHeight="1" x14ac:dyDescent="0.35">
      <c r="T4532" s="246">
        <f t="shared" si="108"/>
        <v>0</v>
      </c>
    </row>
    <row r="4533" spans="20:20" ht="18.75" customHeight="1" x14ac:dyDescent="0.35">
      <c r="T4533" s="246">
        <f t="shared" si="108"/>
        <v>0</v>
      </c>
    </row>
    <row r="4534" spans="20:20" ht="18.75" customHeight="1" x14ac:dyDescent="0.35">
      <c r="T4534" s="246">
        <f t="shared" si="108"/>
        <v>0</v>
      </c>
    </row>
    <row r="4535" spans="20:20" ht="18.75" customHeight="1" x14ac:dyDescent="0.35">
      <c r="T4535" s="246">
        <f t="shared" si="108"/>
        <v>0</v>
      </c>
    </row>
    <row r="4536" spans="20:20" ht="18.75" customHeight="1" x14ac:dyDescent="0.35">
      <c r="T4536" s="246">
        <f t="shared" si="108"/>
        <v>0</v>
      </c>
    </row>
    <row r="4537" spans="20:20" ht="18.75" customHeight="1" x14ac:dyDescent="0.35">
      <c r="T4537" s="246">
        <f t="shared" si="108"/>
        <v>0</v>
      </c>
    </row>
    <row r="4538" spans="20:20" ht="18.75" customHeight="1" x14ac:dyDescent="0.35">
      <c r="T4538" s="246">
        <f t="shared" si="108"/>
        <v>0</v>
      </c>
    </row>
    <row r="4539" spans="20:20" ht="18.75" customHeight="1" x14ac:dyDescent="0.35">
      <c r="T4539" s="246">
        <f t="shared" si="108"/>
        <v>0</v>
      </c>
    </row>
    <row r="4540" spans="20:20" ht="18.75" customHeight="1" x14ac:dyDescent="0.35">
      <c r="T4540" s="246">
        <f t="shared" ref="T4540:T4603" si="109">R4540*0.01</f>
        <v>0</v>
      </c>
    </row>
    <row r="4541" spans="20:20" ht="18.75" customHeight="1" x14ac:dyDescent="0.35">
      <c r="T4541" s="246">
        <f t="shared" si="109"/>
        <v>0</v>
      </c>
    </row>
    <row r="4542" spans="20:20" ht="18.75" customHeight="1" x14ac:dyDescent="0.35">
      <c r="T4542" s="246">
        <f t="shared" si="109"/>
        <v>0</v>
      </c>
    </row>
    <row r="4543" spans="20:20" ht="18.75" customHeight="1" x14ac:dyDescent="0.35">
      <c r="T4543" s="246">
        <f t="shared" si="109"/>
        <v>0</v>
      </c>
    </row>
    <row r="4544" spans="20:20" ht="18.75" customHeight="1" x14ac:dyDescent="0.35">
      <c r="T4544" s="246">
        <f t="shared" si="109"/>
        <v>0</v>
      </c>
    </row>
    <row r="4545" spans="20:20" ht="18.75" customHeight="1" x14ac:dyDescent="0.35">
      <c r="T4545" s="246">
        <f t="shared" si="109"/>
        <v>0</v>
      </c>
    </row>
    <row r="4546" spans="20:20" ht="18.75" customHeight="1" x14ac:dyDescent="0.35">
      <c r="T4546" s="246">
        <f t="shared" si="109"/>
        <v>0</v>
      </c>
    </row>
    <row r="4547" spans="20:20" ht="18.75" customHeight="1" x14ac:dyDescent="0.35">
      <c r="T4547" s="246">
        <f t="shared" si="109"/>
        <v>0</v>
      </c>
    </row>
    <row r="4548" spans="20:20" ht="18.75" customHeight="1" x14ac:dyDescent="0.35">
      <c r="T4548" s="246">
        <f t="shared" si="109"/>
        <v>0</v>
      </c>
    </row>
    <row r="4549" spans="20:20" ht="18.75" customHeight="1" x14ac:dyDescent="0.35">
      <c r="T4549" s="246">
        <f t="shared" si="109"/>
        <v>0</v>
      </c>
    </row>
    <row r="4550" spans="20:20" ht="18.75" customHeight="1" x14ac:dyDescent="0.35">
      <c r="T4550" s="246">
        <f t="shared" si="109"/>
        <v>0</v>
      </c>
    </row>
    <row r="4551" spans="20:20" ht="18.75" customHeight="1" x14ac:dyDescent="0.35">
      <c r="T4551" s="246">
        <f t="shared" si="109"/>
        <v>0</v>
      </c>
    </row>
    <row r="4552" spans="20:20" ht="18.75" customHeight="1" x14ac:dyDescent="0.35">
      <c r="T4552" s="246">
        <f t="shared" si="109"/>
        <v>0</v>
      </c>
    </row>
    <row r="4553" spans="20:20" ht="18.75" customHeight="1" x14ac:dyDescent="0.35">
      <c r="T4553" s="246">
        <f t="shared" si="109"/>
        <v>0</v>
      </c>
    </row>
    <row r="4554" spans="20:20" ht="18.75" customHeight="1" x14ac:dyDescent="0.35">
      <c r="T4554" s="246">
        <f t="shared" si="109"/>
        <v>0</v>
      </c>
    </row>
    <row r="4555" spans="20:20" ht="18.75" customHeight="1" x14ac:dyDescent="0.35">
      <c r="T4555" s="246">
        <f t="shared" si="109"/>
        <v>0</v>
      </c>
    </row>
    <row r="4556" spans="20:20" ht="18.75" customHeight="1" x14ac:dyDescent="0.35">
      <c r="T4556" s="246">
        <f t="shared" si="109"/>
        <v>0</v>
      </c>
    </row>
    <row r="4557" spans="20:20" ht="18.75" customHeight="1" x14ac:dyDescent="0.35">
      <c r="T4557" s="246">
        <f t="shared" si="109"/>
        <v>0</v>
      </c>
    </row>
    <row r="4558" spans="20:20" ht="18.75" customHeight="1" x14ac:dyDescent="0.35">
      <c r="T4558" s="246">
        <f t="shared" si="109"/>
        <v>0</v>
      </c>
    </row>
    <row r="4559" spans="20:20" ht="18.75" customHeight="1" x14ac:dyDescent="0.35">
      <c r="T4559" s="246">
        <f t="shared" si="109"/>
        <v>0</v>
      </c>
    </row>
    <row r="4560" spans="20:20" ht="18.75" customHeight="1" x14ac:dyDescent="0.35">
      <c r="T4560" s="246">
        <f t="shared" si="109"/>
        <v>0</v>
      </c>
    </row>
    <row r="4561" spans="20:20" ht="18.75" customHeight="1" x14ac:dyDescent="0.35">
      <c r="T4561" s="246">
        <f t="shared" si="109"/>
        <v>0</v>
      </c>
    </row>
    <row r="4562" spans="20:20" ht="18.75" customHeight="1" x14ac:dyDescent="0.35">
      <c r="T4562" s="246">
        <f t="shared" si="109"/>
        <v>0</v>
      </c>
    </row>
    <row r="4563" spans="20:20" ht="18.75" customHeight="1" x14ac:dyDescent="0.35">
      <c r="T4563" s="246">
        <f t="shared" si="109"/>
        <v>0</v>
      </c>
    </row>
    <row r="4564" spans="20:20" ht="18.75" customHeight="1" x14ac:dyDescent="0.35">
      <c r="T4564" s="246">
        <f t="shared" si="109"/>
        <v>0</v>
      </c>
    </row>
    <row r="4565" spans="20:20" ht="18.75" customHeight="1" x14ac:dyDescent="0.35">
      <c r="T4565" s="246">
        <f t="shared" si="109"/>
        <v>0</v>
      </c>
    </row>
    <row r="4566" spans="20:20" ht="18.75" customHeight="1" x14ac:dyDescent="0.35">
      <c r="T4566" s="246">
        <f t="shared" si="109"/>
        <v>0</v>
      </c>
    </row>
    <row r="4567" spans="20:20" ht="18.75" customHeight="1" x14ac:dyDescent="0.35">
      <c r="T4567" s="246">
        <f t="shared" si="109"/>
        <v>0</v>
      </c>
    </row>
    <row r="4568" spans="20:20" ht="18.75" customHeight="1" x14ac:dyDescent="0.35">
      <c r="T4568" s="246">
        <f t="shared" si="109"/>
        <v>0</v>
      </c>
    </row>
    <row r="4569" spans="20:20" ht="18.75" customHeight="1" x14ac:dyDescent="0.35">
      <c r="T4569" s="246">
        <f t="shared" si="109"/>
        <v>0</v>
      </c>
    </row>
    <row r="4570" spans="20:20" ht="18.75" customHeight="1" x14ac:dyDescent="0.35">
      <c r="T4570" s="246">
        <f t="shared" si="109"/>
        <v>0</v>
      </c>
    </row>
    <row r="4571" spans="20:20" ht="18.75" customHeight="1" x14ac:dyDescent="0.35">
      <c r="T4571" s="246">
        <f t="shared" si="109"/>
        <v>0</v>
      </c>
    </row>
    <row r="4572" spans="20:20" ht="18.75" customHeight="1" x14ac:dyDescent="0.35">
      <c r="T4572" s="246">
        <f t="shared" si="109"/>
        <v>0</v>
      </c>
    </row>
    <row r="4573" spans="20:20" ht="18.75" customHeight="1" x14ac:dyDescent="0.35">
      <c r="T4573" s="246">
        <f t="shared" si="109"/>
        <v>0</v>
      </c>
    </row>
    <row r="4574" spans="20:20" ht="18.75" customHeight="1" x14ac:dyDescent="0.35">
      <c r="T4574" s="246">
        <f t="shared" si="109"/>
        <v>0</v>
      </c>
    </row>
    <row r="4575" spans="20:20" ht="18.75" customHeight="1" x14ac:dyDescent="0.35">
      <c r="T4575" s="246">
        <f t="shared" si="109"/>
        <v>0</v>
      </c>
    </row>
    <row r="4576" spans="20:20" ht="18.75" customHeight="1" x14ac:dyDescent="0.35">
      <c r="T4576" s="246">
        <f t="shared" si="109"/>
        <v>0</v>
      </c>
    </row>
    <row r="4577" spans="20:20" ht="18.75" customHeight="1" x14ac:dyDescent="0.35">
      <c r="T4577" s="246">
        <f t="shared" si="109"/>
        <v>0</v>
      </c>
    </row>
    <row r="4578" spans="20:20" ht="18.75" customHeight="1" x14ac:dyDescent="0.35">
      <c r="T4578" s="246">
        <f t="shared" si="109"/>
        <v>0</v>
      </c>
    </row>
    <row r="4579" spans="20:20" ht="18.75" customHeight="1" x14ac:dyDescent="0.35">
      <c r="T4579" s="246">
        <f t="shared" si="109"/>
        <v>0</v>
      </c>
    </row>
    <row r="4580" spans="20:20" ht="18.75" customHeight="1" x14ac:dyDescent="0.35">
      <c r="T4580" s="246">
        <f t="shared" si="109"/>
        <v>0</v>
      </c>
    </row>
    <row r="4581" spans="20:20" ht="18.75" customHeight="1" x14ac:dyDescent="0.35">
      <c r="T4581" s="246">
        <f t="shared" si="109"/>
        <v>0</v>
      </c>
    </row>
    <row r="4582" spans="20:20" ht="18.75" customHeight="1" x14ac:dyDescent="0.35">
      <c r="T4582" s="246">
        <f t="shared" si="109"/>
        <v>0</v>
      </c>
    </row>
    <row r="4583" spans="20:20" ht="18.75" customHeight="1" x14ac:dyDescent="0.35">
      <c r="T4583" s="246">
        <f t="shared" si="109"/>
        <v>0</v>
      </c>
    </row>
    <row r="4584" spans="20:20" ht="18.75" customHeight="1" x14ac:dyDescent="0.35">
      <c r="T4584" s="246">
        <f t="shared" si="109"/>
        <v>0</v>
      </c>
    </row>
    <row r="4585" spans="20:20" ht="18.75" customHeight="1" x14ac:dyDescent="0.35">
      <c r="T4585" s="246">
        <f t="shared" si="109"/>
        <v>0</v>
      </c>
    </row>
    <row r="4586" spans="20:20" ht="18.75" customHeight="1" x14ac:dyDescent="0.35">
      <c r="T4586" s="246">
        <f t="shared" si="109"/>
        <v>0</v>
      </c>
    </row>
    <row r="4587" spans="20:20" ht="18.75" customHeight="1" x14ac:dyDescent="0.35">
      <c r="T4587" s="246">
        <f t="shared" si="109"/>
        <v>0</v>
      </c>
    </row>
    <row r="4588" spans="20:20" ht="18.75" customHeight="1" x14ac:dyDescent="0.35">
      <c r="T4588" s="246">
        <f t="shared" si="109"/>
        <v>0</v>
      </c>
    </row>
    <row r="4589" spans="20:20" ht="18.75" customHeight="1" x14ac:dyDescent="0.35">
      <c r="T4589" s="246">
        <f t="shared" si="109"/>
        <v>0</v>
      </c>
    </row>
    <row r="4590" spans="20:20" ht="18.75" customHeight="1" x14ac:dyDescent="0.35">
      <c r="T4590" s="246">
        <f t="shared" si="109"/>
        <v>0</v>
      </c>
    </row>
    <row r="4591" spans="20:20" ht="18.75" customHeight="1" x14ac:dyDescent="0.35">
      <c r="T4591" s="246">
        <f t="shared" si="109"/>
        <v>0</v>
      </c>
    </row>
    <row r="4592" spans="20:20" ht="18.75" customHeight="1" x14ac:dyDescent="0.35">
      <c r="T4592" s="246">
        <f t="shared" si="109"/>
        <v>0</v>
      </c>
    </row>
    <row r="4593" spans="20:20" ht="18.75" customHeight="1" x14ac:dyDescent="0.35">
      <c r="T4593" s="246">
        <f t="shared" si="109"/>
        <v>0</v>
      </c>
    </row>
    <row r="4594" spans="20:20" ht="18.75" customHeight="1" x14ac:dyDescent="0.35">
      <c r="T4594" s="246">
        <f t="shared" si="109"/>
        <v>0</v>
      </c>
    </row>
    <row r="4595" spans="20:20" ht="18.75" customHeight="1" x14ac:dyDescent="0.35">
      <c r="T4595" s="246">
        <f t="shared" si="109"/>
        <v>0</v>
      </c>
    </row>
    <row r="4596" spans="20:20" ht="18.75" customHeight="1" x14ac:dyDescent="0.35">
      <c r="T4596" s="246">
        <f t="shared" si="109"/>
        <v>0</v>
      </c>
    </row>
    <row r="4597" spans="20:20" ht="18.75" customHeight="1" x14ac:dyDescent="0.35">
      <c r="T4597" s="246">
        <f t="shared" si="109"/>
        <v>0</v>
      </c>
    </row>
    <row r="4598" spans="20:20" ht="18.75" customHeight="1" x14ac:dyDescent="0.35">
      <c r="T4598" s="246">
        <f t="shared" si="109"/>
        <v>0</v>
      </c>
    </row>
    <row r="4599" spans="20:20" ht="18.75" customHeight="1" x14ac:dyDescent="0.35">
      <c r="T4599" s="246">
        <f t="shared" si="109"/>
        <v>0</v>
      </c>
    </row>
    <row r="4600" spans="20:20" ht="18.75" customHeight="1" x14ac:dyDescent="0.35">
      <c r="T4600" s="246">
        <f t="shared" si="109"/>
        <v>0</v>
      </c>
    </row>
    <row r="4601" spans="20:20" ht="18.75" customHeight="1" x14ac:dyDescent="0.35">
      <c r="T4601" s="246">
        <f t="shared" si="109"/>
        <v>0</v>
      </c>
    </row>
    <row r="4602" spans="20:20" ht="18.75" customHeight="1" x14ac:dyDescent="0.35">
      <c r="T4602" s="246">
        <f t="shared" si="109"/>
        <v>0</v>
      </c>
    </row>
    <row r="4603" spans="20:20" ht="18.75" customHeight="1" x14ac:dyDescent="0.35">
      <c r="T4603" s="246">
        <f t="shared" si="109"/>
        <v>0</v>
      </c>
    </row>
    <row r="4604" spans="20:20" ht="18.75" customHeight="1" x14ac:dyDescent="0.35">
      <c r="T4604" s="246">
        <f t="shared" ref="T4604:T4667" si="110">R4604*0.01</f>
        <v>0</v>
      </c>
    </row>
    <row r="4605" spans="20:20" ht="18.75" customHeight="1" x14ac:dyDescent="0.35">
      <c r="T4605" s="246">
        <f t="shared" si="110"/>
        <v>0</v>
      </c>
    </row>
    <row r="4606" spans="20:20" ht="18.75" customHeight="1" x14ac:dyDescent="0.35">
      <c r="T4606" s="246">
        <f t="shared" si="110"/>
        <v>0</v>
      </c>
    </row>
    <row r="4607" spans="20:20" ht="18.75" customHeight="1" x14ac:dyDescent="0.35">
      <c r="T4607" s="246">
        <f t="shared" si="110"/>
        <v>0</v>
      </c>
    </row>
    <row r="4608" spans="20:20" ht="18.75" customHeight="1" x14ac:dyDescent="0.35">
      <c r="T4608" s="246">
        <f t="shared" si="110"/>
        <v>0</v>
      </c>
    </row>
    <row r="4609" spans="20:20" ht="18.75" customHeight="1" x14ac:dyDescent="0.35">
      <c r="T4609" s="246">
        <f t="shared" si="110"/>
        <v>0</v>
      </c>
    </row>
    <row r="4610" spans="20:20" ht="18.75" customHeight="1" x14ac:dyDescent="0.35">
      <c r="T4610" s="246">
        <f t="shared" si="110"/>
        <v>0</v>
      </c>
    </row>
    <row r="4611" spans="20:20" ht="18.75" customHeight="1" x14ac:dyDescent="0.35">
      <c r="T4611" s="246">
        <f t="shared" si="110"/>
        <v>0</v>
      </c>
    </row>
    <row r="4612" spans="20:20" ht="18.75" customHeight="1" x14ac:dyDescent="0.35">
      <c r="T4612" s="246">
        <f t="shared" si="110"/>
        <v>0</v>
      </c>
    </row>
    <row r="4613" spans="20:20" ht="18.75" customHeight="1" x14ac:dyDescent="0.35">
      <c r="T4613" s="246">
        <f t="shared" si="110"/>
        <v>0</v>
      </c>
    </row>
    <row r="4614" spans="20:20" ht="18.75" customHeight="1" x14ac:dyDescent="0.35">
      <c r="T4614" s="246">
        <f t="shared" si="110"/>
        <v>0</v>
      </c>
    </row>
    <row r="4615" spans="20:20" ht="18.75" customHeight="1" x14ac:dyDescent="0.35">
      <c r="T4615" s="246">
        <f t="shared" si="110"/>
        <v>0</v>
      </c>
    </row>
    <row r="4616" spans="20:20" ht="18.75" customHeight="1" x14ac:dyDescent="0.35">
      <c r="T4616" s="246">
        <f t="shared" si="110"/>
        <v>0</v>
      </c>
    </row>
    <row r="4617" spans="20:20" ht="18.75" customHeight="1" x14ac:dyDescent="0.35">
      <c r="T4617" s="246">
        <f t="shared" si="110"/>
        <v>0</v>
      </c>
    </row>
    <row r="4618" spans="20:20" ht="18.75" customHeight="1" x14ac:dyDescent="0.35">
      <c r="T4618" s="246">
        <f t="shared" si="110"/>
        <v>0</v>
      </c>
    </row>
    <row r="4619" spans="20:20" ht="18.75" customHeight="1" x14ac:dyDescent="0.35">
      <c r="T4619" s="246">
        <f t="shared" si="110"/>
        <v>0</v>
      </c>
    </row>
    <row r="4620" spans="20:20" ht="18.75" customHeight="1" x14ac:dyDescent="0.35">
      <c r="T4620" s="246">
        <f t="shared" si="110"/>
        <v>0</v>
      </c>
    </row>
    <row r="4621" spans="20:20" ht="18.75" customHeight="1" x14ac:dyDescent="0.35">
      <c r="T4621" s="246">
        <f t="shared" si="110"/>
        <v>0</v>
      </c>
    </row>
    <row r="4622" spans="20:20" ht="18.75" customHeight="1" x14ac:dyDescent="0.35">
      <c r="T4622" s="246">
        <f t="shared" si="110"/>
        <v>0</v>
      </c>
    </row>
    <row r="4623" spans="20:20" ht="18.75" customHeight="1" x14ac:dyDescent="0.35">
      <c r="T4623" s="246">
        <f t="shared" si="110"/>
        <v>0</v>
      </c>
    </row>
    <row r="4624" spans="20:20" ht="18.75" customHeight="1" x14ac:dyDescent="0.35">
      <c r="T4624" s="246">
        <f t="shared" si="110"/>
        <v>0</v>
      </c>
    </row>
    <row r="4625" spans="20:20" ht="18.75" customHeight="1" x14ac:dyDescent="0.35">
      <c r="T4625" s="246">
        <f t="shared" si="110"/>
        <v>0</v>
      </c>
    </row>
    <row r="4626" spans="20:20" ht="18.75" customHeight="1" x14ac:dyDescent="0.35">
      <c r="T4626" s="246">
        <f t="shared" si="110"/>
        <v>0</v>
      </c>
    </row>
    <row r="4627" spans="20:20" ht="18.75" customHeight="1" x14ac:dyDescent="0.35">
      <c r="T4627" s="246">
        <f t="shared" si="110"/>
        <v>0</v>
      </c>
    </row>
    <row r="4628" spans="20:20" ht="18.75" customHeight="1" x14ac:dyDescent="0.35">
      <c r="T4628" s="246">
        <f t="shared" si="110"/>
        <v>0</v>
      </c>
    </row>
    <row r="4629" spans="20:20" ht="18.75" customHeight="1" x14ac:dyDescent="0.35">
      <c r="T4629" s="246">
        <f t="shared" si="110"/>
        <v>0</v>
      </c>
    </row>
    <row r="4630" spans="20:20" ht="18.75" customHeight="1" x14ac:dyDescent="0.35">
      <c r="T4630" s="246">
        <f t="shared" si="110"/>
        <v>0</v>
      </c>
    </row>
    <row r="4631" spans="20:20" ht="18.75" customHeight="1" x14ac:dyDescent="0.35">
      <c r="T4631" s="246">
        <f t="shared" si="110"/>
        <v>0</v>
      </c>
    </row>
    <row r="4632" spans="20:20" ht="18.75" customHeight="1" x14ac:dyDescent="0.35">
      <c r="T4632" s="246">
        <f t="shared" si="110"/>
        <v>0</v>
      </c>
    </row>
    <row r="4633" spans="20:20" ht="18.75" customHeight="1" x14ac:dyDescent="0.35">
      <c r="T4633" s="246">
        <f t="shared" si="110"/>
        <v>0</v>
      </c>
    </row>
    <row r="4634" spans="20:20" ht="18.75" customHeight="1" x14ac:dyDescent="0.35">
      <c r="T4634" s="246">
        <f t="shared" si="110"/>
        <v>0</v>
      </c>
    </row>
    <row r="4635" spans="20:20" ht="18.75" customHeight="1" x14ac:dyDescent="0.35">
      <c r="T4635" s="246">
        <f t="shared" si="110"/>
        <v>0</v>
      </c>
    </row>
    <row r="4636" spans="20:20" ht="18.75" customHeight="1" x14ac:dyDescent="0.35">
      <c r="T4636" s="246">
        <f t="shared" si="110"/>
        <v>0</v>
      </c>
    </row>
    <row r="4637" spans="20:20" ht="18.75" customHeight="1" x14ac:dyDescent="0.35">
      <c r="T4637" s="246">
        <f t="shared" si="110"/>
        <v>0</v>
      </c>
    </row>
    <row r="4638" spans="20:20" ht="18.75" customHeight="1" x14ac:dyDescent="0.35">
      <c r="T4638" s="246">
        <f t="shared" si="110"/>
        <v>0</v>
      </c>
    </row>
    <row r="4639" spans="20:20" ht="18.75" customHeight="1" x14ac:dyDescent="0.35">
      <c r="T4639" s="246">
        <f t="shared" si="110"/>
        <v>0</v>
      </c>
    </row>
    <row r="4640" spans="20:20" ht="18.75" customHeight="1" x14ac:dyDescent="0.35">
      <c r="T4640" s="246">
        <f t="shared" si="110"/>
        <v>0</v>
      </c>
    </row>
    <row r="4641" spans="20:20" ht="18.75" customHeight="1" x14ac:dyDescent="0.35">
      <c r="T4641" s="246">
        <f t="shared" si="110"/>
        <v>0</v>
      </c>
    </row>
    <row r="4642" spans="20:20" ht="18.75" customHeight="1" x14ac:dyDescent="0.35">
      <c r="T4642" s="246">
        <f t="shared" si="110"/>
        <v>0</v>
      </c>
    </row>
    <row r="4643" spans="20:20" ht="18.75" customHeight="1" x14ac:dyDescent="0.35">
      <c r="T4643" s="246">
        <f t="shared" si="110"/>
        <v>0</v>
      </c>
    </row>
    <row r="4644" spans="20:20" ht="18.75" customHeight="1" x14ac:dyDescent="0.35">
      <c r="T4644" s="246">
        <f t="shared" si="110"/>
        <v>0</v>
      </c>
    </row>
    <row r="4645" spans="20:20" ht="18.75" customHeight="1" x14ac:dyDescent="0.35">
      <c r="T4645" s="246">
        <f t="shared" si="110"/>
        <v>0</v>
      </c>
    </row>
    <row r="4646" spans="20:20" ht="18.75" customHeight="1" x14ac:dyDescent="0.35">
      <c r="T4646" s="246">
        <f t="shared" si="110"/>
        <v>0</v>
      </c>
    </row>
    <row r="4647" spans="20:20" ht="18.75" customHeight="1" x14ac:dyDescent="0.35">
      <c r="T4647" s="246">
        <f t="shared" si="110"/>
        <v>0</v>
      </c>
    </row>
    <row r="4648" spans="20:20" ht="18.75" customHeight="1" x14ac:dyDescent="0.35">
      <c r="T4648" s="246">
        <f t="shared" si="110"/>
        <v>0</v>
      </c>
    </row>
    <row r="4649" spans="20:20" ht="18.75" customHeight="1" x14ac:dyDescent="0.35">
      <c r="T4649" s="246">
        <f t="shared" si="110"/>
        <v>0</v>
      </c>
    </row>
    <row r="4650" spans="20:20" ht="18.75" customHeight="1" x14ac:dyDescent="0.35">
      <c r="T4650" s="246">
        <f t="shared" si="110"/>
        <v>0</v>
      </c>
    </row>
    <row r="4651" spans="20:20" ht="18.75" customHeight="1" x14ac:dyDescent="0.35">
      <c r="T4651" s="246">
        <f t="shared" si="110"/>
        <v>0</v>
      </c>
    </row>
    <row r="4652" spans="20:20" ht="18.75" customHeight="1" x14ac:dyDescent="0.35">
      <c r="T4652" s="246">
        <f t="shared" si="110"/>
        <v>0</v>
      </c>
    </row>
    <row r="4653" spans="20:20" ht="18.75" customHeight="1" x14ac:dyDescent="0.35">
      <c r="T4653" s="246">
        <f t="shared" si="110"/>
        <v>0</v>
      </c>
    </row>
    <row r="4654" spans="20:20" ht="18.75" customHeight="1" x14ac:dyDescent="0.35">
      <c r="T4654" s="246">
        <f t="shared" si="110"/>
        <v>0</v>
      </c>
    </row>
    <row r="4655" spans="20:20" ht="18.75" customHeight="1" x14ac:dyDescent="0.35">
      <c r="T4655" s="246">
        <f t="shared" si="110"/>
        <v>0</v>
      </c>
    </row>
    <row r="4656" spans="20:20" ht="18.75" customHeight="1" x14ac:dyDescent="0.35">
      <c r="T4656" s="246">
        <f t="shared" si="110"/>
        <v>0</v>
      </c>
    </row>
    <row r="4657" spans="20:20" ht="18.75" customHeight="1" x14ac:dyDescent="0.35">
      <c r="T4657" s="246">
        <f t="shared" si="110"/>
        <v>0</v>
      </c>
    </row>
    <row r="4658" spans="20:20" ht="18.75" customHeight="1" x14ac:dyDescent="0.35">
      <c r="T4658" s="246">
        <f t="shared" si="110"/>
        <v>0</v>
      </c>
    </row>
    <row r="4659" spans="20:20" ht="18.75" customHeight="1" x14ac:dyDescent="0.35">
      <c r="T4659" s="246">
        <f t="shared" si="110"/>
        <v>0</v>
      </c>
    </row>
    <row r="4660" spans="20:20" ht="18.75" customHeight="1" x14ac:dyDescent="0.35">
      <c r="T4660" s="246">
        <f t="shared" si="110"/>
        <v>0</v>
      </c>
    </row>
    <row r="4661" spans="20:20" ht="18.75" customHeight="1" x14ac:dyDescent="0.35">
      <c r="T4661" s="246">
        <f t="shared" si="110"/>
        <v>0</v>
      </c>
    </row>
    <row r="4662" spans="20:20" ht="18.75" customHeight="1" x14ac:dyDescent="0.35">
      <c r="T4662" s="246">
        <f t="shared" si="110"/>
        <v>0</v>
      </c>
    </row>
    <row r="4663" spans="20:20" ht="18.75" customHeight="1" x14ac:dyDescent="0.35">
      <c r="T4663" s="246">
        <f t="shared" si="110"/>
        <v>0</v>
      </c>
    </row>
    <row r="4664" spans="20:20" ht="18.75" customHeight="1" x14ac:dyDescent="0.35">
      <c r="T4664" s="246">
        <f t="shared" si="110"/>
        <v>0</v>
      </c>
    </row>
    <row r="4665" spans="20:20" ht="18.75" customHeight="1" x14ac:dyDescent="0.35">
      <c r="T4665" s="246">
        <f t="shared" si="110"/>
        <v>0</v>
      </c>
    </row>
    <row r="4666" spans="20:20" ht="18.75" customHeight="1" x14ac:dyDescent="0.35">
      <c r="T4666" s="246">
        <f t="shared" si="110"/>
        <v>0</v>
      </c>
    </row>
    <row r="4667" spans="20:20" ht="18.75" customHeight="1" x14ac:dyDescent="0.35">
      <c r="T4667" s="246">
        <f t="shared" si="110"/>
        <v>0</v>
      </c>
    </row>
    <row r="4668" spans="20:20" ht="18.75" customHeight="1" x14ac:dyDescent="0.35">
      <c r="T4668" s="246">
        <f t="shared" ref="T4668:T4731" si="111">R4668*0.01</f>
        <v>0</v>
      </c>
    </row>
    <row r="4669" spans="20:20" ht="18.75" customHeight="1" x14ac:dyDescent="0.35">
      <c r="T4669" s="246">
        <f t="shared" si="111"/>
        <v>0</v>
      </c>
    </row>
    <row r="4670" spans="20:20" ht="18.75" customHeight="1" x14ac:dyDescent="0.35">
      <c r="T4670" s="246">
        <f t="shared" si="111"/>
        <v>0</v>
      </c>
    </row>
    <row r="4671" spans="20:20" ht="18.75" customHeight="1" x14ac:dyDescent="0.35">
      <c r="T4671" s="246">
        <f t="shared" si="111"/>
        <v>0</v>
      </c>
    </row>
    <row r="4672" spans="20:20" ht="18.75" customHeight="1" x14ac:dyDescent="0.35">
      <c r="T4672" s="246">
        <f t="shared" si="111"/>
        <v>0</v>
      </c>
    </row>
    <row r="4673" spans="20:20" ht="18.75" customHeight="1" x14ac:dyDescent="0.35">
      <c r="T4673" s="246">
        <f t="shared" si="111"/>
        <v>0</v>
      </c>
    </row>
    <row r="4674" spans="20:20" ht="18.75" customHeight="1" x14ac:dyDescent="0.35">
      <c r="T4674" s="246">
        <f t="shared" si="111"/>
        <v>0</v>
      </c>
    </row>
    <row r="4675" spans="20:20" ht="18.75" customHeight="1" x14ac:dyDescent="0.35">
      <c r="T4675" s="246">
        <f t="shared" si="111"/>
        <v>0</v>
      </c>
    </row>
    <row r="4676" spans="20:20" ht="18.75" customHeight="1" x14ac:dyDescent="0.35">
      <c r="T4676" s="246">
        <f t="shared" si="111"/>
        <v>0</v>
      </c>
    </row>
    <row r="4677" spans="20:20" ht="18.75" customHeight="1" x14ac:dyDescent="0.35">
      <c r="T4677" s="246">
        <f t="shared" si="111"/>
        <v>0</v>
      </c>
    </row>
    <row r="4678" spans="20:20" ht="18.75" customHeight="1" x14ac:dyDescent="0.35">
      <c r="T4678" s="246">
        <f t="shared" si="111"/>
        <v>0</v>
      </c>
    </row>
    <row r="4679" spans="20:20" ht="18.75" customHeight="1" x14ac:dyDescent="0.35">
      <c r="T4679" s="246">
        <f t="shared" si="111"/>
        <v>0</v>
      </c>
    </row>
    <row r="4680" spans="20:20" ht="18.75" customHeight="1" x14ac:dyDescent="0.35">
      <c r="T4680" s="246">
        <f t="shared" si="111"/>
        <v>0</v>
      </c>
    </row>
    <row r="4681" spans="20:20" ht="18.75" customHeight="1" x14ac:dyDescent="0.35">
      <c r="T4681" s="246">
        <f t="shared" si="111"/>
        <v>0</v>
      </c>
    </row>
    <row r="4682" spans="20:20" ht="18.75" customHeight="1" x14ac:dyDescent="0.35">
      <c r="T4682" s="246">
        <f t="shared" si="111"/>
        <v>0</v>
      </c>
    </row>
    <row r="4683" spans="20:20" ht="18.75" customHeight="1" x14ac:dyDescent="0.35">
      <c r="T4683" s="246">
        <f t="shared" si="111"/>
        <v>0</v>
      </c>
    </row>
    <row r="4684" spans="20:20" ht="18.75" customHeight="1" x14ac:dyDescent="0.35">
      <c r="T4684" s="246">
        <f t="shared" si="111"/>
        <v>0</v>
      </c>
    </row>
    <row r="4685" spans="20:20" ht="18.75" customHeight="1" x14ac:dyDescent="0.35">
      <c r="T4685" s="246">
        <f t="shared" si="111"/>
        <v>0</v>
      </c>
    </row>
    <row r="4686" spans="20:20" ht="18.75" customHeight="1" x14ac:dyDescent="0.35">
      <c r="T4686" s="246">
        <f t="shared" si="111"/>
        <v>0</v>
      </c>
    </row>
    <row r="4687" spans="20:20" ht="18.75" customHeight="1" x14ac:dyDescent="0.35">
      <c r="T4687" s="246">
        <f t="shared" si="111"/>
        <v>0</v>
      </c>
    </row>
    <row r="4688" spans="20:20" ht="18.75" customHeight="1" x14ac:dyDescent="0.35">
      <c r="T4688" s="246">
        <f t="shared" si="111"/>
        <v>0</v>
      </c>
    </row>
    <row r="4689" spans="20:20" ht="18.75" customHeight="1" x14ac:dyDescent="0.35">
      <c r="T4689" s="246">
        <f t="shared" si="111"/>
        <v>0</v>
      </c>
    </row>
    <row r="4690" spans="20:20" ht="18.75" customHeight="1" x14ac:dyDescent="0.35">
      <c r="T4690" s="246">
        <f t="shared" si="111"/>
        <v>0</v>
      </c>
    </row>
    <row r="4691" spans="20:20" ht="18.75" customHeight="1" x14ac:dyDescent="0.35">
      <c r="T4691" s="246">
        <f t="shared" si="111"/>
        <v>0</v>
      </c>
    </row>
    <row r="4692" spans="20:20" ht="18.75" customHeight="1" x14ac:dyDescent="0.35">
      <c r="T4692" s="246">
        <f t="shared" si="111"/>
        <v>0</v>
      </c>
    </row>
    <row r="4693" spans="20:20" ht="18.75" customHeight="1" x14ac:dyDescent="0.35">
      <c r="T4693" s="246">
        <f t="shared" si="111"/>
        <v>0</v>
      </c>
    </row>
    <row r="4694" spans="20:20" ht="18.75" customHeight="1" x14ac:dyDescent="0.35">
      <c r="T4694" s="246">
        <f t="shared" si="111"/>
        <v>0</v>
      </c>
    </row>
    <row r="4695" spans="20:20" ht="18.75" customHeight="1" x14ac:dyDescent="0.35">
      <c r="T4695" s="246">
        <f t="shared" si="111"/>
        <v>0</v>
      </c>
    </row>
    <row r="4696" spans="20:20" ht="18.75" customHeight="1" x14ac:dyDescent="0.35">
      <c r="T4696" s="246">
        <f t="shared" si="111"/>
        <v>0</v>
      </c>
    </row>
    <row r="4697" spans="20:20" ht="18.75" customHeight="1" x14ac:dyDescent="0.35">
      <c r="T4697" s="246">
        <f t="shared" si="111"/>
        <v>0</v>
      </c>
    </row>
    <row r="4698" spans="20:20" ht="18.75" customHeight="1" x14ac:dyDescent="0.35">
      <c r="T4698" s="246">
        <f t="shared" si="111"/>
        <v>0</v>
      </c>
    </row>
    <row r="4699" spans="20:20" ht="18.75" customHeight="1" x14ac:dyDescent="0.35">
      <c r="T4699" s="246">
        <f t="shared" si="111"/>
        <v>0</v>
      </c>
    </row>
    <row r="4700" spans="20:20" ht="18.75" customHeight="1" x14ac:dyDescent="0.35">
      <c r="T4700" s="246">
        <f t="shared" si="111"/>
        <v>0</v>
      </c>
    </row>
    <row r="4701" spans="20:20" ht="18.75" customHeight="1" x14ac:dyDescent="0.35">
      <c r="T4701" s="246">
        <f t="shared" si="111"/>
        <v>0</v>
      </c>
    </row>
    <row r="4702" spans="20:20" ht="18.75" customHeight="1" x14ac:dyDescent="0.35">
      <c r="T4702" s="246">
        <f t="shared" si="111"/>
        <v>0</v>
      </c>
    </row>
    <row r="4703" spans="20:20" ht="18.75" customHeight="1" x14ac:dyDescent="0.35">
      <c r="T4703" s="246">
        <f t="shared" si="111"/>
        <v>0</v>
      </c>
    </row>
    <row r="4704" spans="20:20" ht="18.75" customHeight="1" x14ac:dyDescent="0.35">
      <c r="T4704" s="246">
        <f t="shared" si="111"/>
        <v>0</v>
      </c>
    </row>
    <row r="4705" spans="20:20" ht="18.75" customHeight="1" x14ac:dyDescent="0.35">
      <c r="T4705" s="246">
        <f t="shared" si="111"/>
        <v>0</v>
      </c>
    </row>
    <row r="4706" spans="20:20" ht="18.75" customHeight="1" x14ac:dyDescent="0.35">
      <c r="T4706" s="246">
        <f t="shared" si="111"/>
        <v>0</v>
      </c>
    </row>
    <row r="4707" spans="20:20" ht="18.75" customHeight="1" x14ac:dyDescent="0.35">
      <c r="T4707" s="246">
        <f t="shared" si="111"/>
        <v>0</v>
      </c>
    </row>
    <row r="4708" spans="20:20" ht="18.75" customHeight="1" x14ac:dyDescent="0.35">
      <c r="T4708" s="246">
        <f t="shared" si="111"/>
        <v>0</v>
      </c>
    </row>
    <row r="4709" spans="20:20" ht="18.75" customHeight="1" x14ac:dyDescent="0.35">
      <c r="T4709" s="246">
        <f t="shared" si="111"/>
        <v>0</v>
      </c>
    </row>
    <row r="4710" spans="20:20" ht="18.75" customHeight="1" x14ac:dyDescent="0.35">
      <c r="T4710" s="246">
        <f t="shared" si="111"/>
        <v>0</v>
      </c>
    </row>
    <row r="4711" spans="20:20" ht="18.75" customHeight="1" x14ac:dyDescent="0.35">
      <c r="T4711" s="246">
        <f t="shared" si="111"/>
        <v>0</v>
      </c>
    </row>
    <row r="4712" spans="20:20" ht="18.75" customHeight="1" x14ac:dyDescent="0.35">
      <c r="T4712" s="246">
        <f t="shared" si="111"/>
        <v>0</v>
      </c>
    </row>
    <row r="4713" spans="20:20" ht="18.75" customHeight="1" x14ac:dyDescent="0.35">
      <c r="T4713" s="246">
        <f t="shared" si="111"/>
        <v>0</v>
      </c>
    </row>
    <row r="4714" spans="20:20" ht="18.75" customHeight="1" x14ac:dyDescent="0.35">
      <c r="T4714" s="246">
        <f t="shared" si="111"/>
        <v>0</v>
      </c>
    </row>
    <row r="4715" spans="20:20" ht="18.75" customHeight="1" x14ac:dyDescent="0.35">
      <c r="T4715" s="246">
        <f t="shared" si="111"/>
        <v>0</v>
      </c>
    </row>
    <row r="4716" spans="20:20" ht="18.75" customHeight="1" x14ac:dyDescent="0.35">
      <c r="T4716" s="246">
        <f t="shared" si="111"/>
        <v>0</v>
      </c>
    </row>
    <row r="4717" spans="20:20" ht="18.75" customHeight="1" x14ac:dyDescent="0.35">
      <c r="T4717" s="246">
        <f t="shared" si="111"/>
        <v>0</v>
      </c>
    </row>
    <row r="4718" spans="20:20" ht="18.75" customHeight="1" x14ac:dyDescent="0.35">
      <c r="T4718" s="246">
        <f t="shared" si="111"/>
        <v>0</v>
      </c>
    </row>
    <row r="4719" spans="20:20" ht="18.75" customHeight="1" x14ac:dyDescent="0.35">
      <c r="T4719" s="246">
        <f t="shared" si="111"/>
        <v>0</v>
      </c>
    </row>
    <row r="4720" spans="20:20" ht="18.75" customHeight="1" x14ac:dyDescent="0.35">
      <c r="T4720" s="246">
        <f t="shared" si="111"/>
        <v>0</v>
      </c>
    </row>
    <row r="4721" spans="20:20" ht="18.75" customHeight="1" x14ac:dyDescent="0.35">
      <c r="T4721" s="246">
        <f t="shared" si="111"/>
        <v>0</v>
      </c>
    </row>
    <row r="4722" spans="20:20" ht="18.75" customHeight="1" x14ac:dyDescent="0.35">
      <c r="T4722" s="246">
        <f t="shared" si="111"/>
        <v>0</v>
      </c>
    </row>
    <row r="4723" spans="20:20" ht="18.75" customHeight="1" x14ac:dyDescent="0.35">
      <c r="T4723" s="246">
        <f t="shared" si="111"/>
        <v>0</v>
      </c>
    </row>
    <row r="4724" spans="20:20" ht="18.75" customHeight="1" x14ac:dyDescent="0.35">
      <c r="T4724" s="246">
        <f t="shared" si="111"/>
        <v>0</v>
      </c>
    </row>
    <row r="4725" spans="20:20" ht="18.75" customHeight="1" x14ac:dyDescent="0.35">
      <c r="T4725" s="246">
        <f t="shared" si="111"/>
        <v>0</v>
      </c>
    </row>
    <row r="4726" spans="20:20" ht="18.75" customHeight="1" x14ac:dyDescent="0.35">
      <c r="T4726" s="246">
        <f t="shared" si="111"/>
        <v>0</v>
      </c>
    </row>
    <row r="4727" spans="20:20" ht="18.75" customHeight="1" x14ac:dyDescent="0.35">
      <c r="T4727" s="246">
        <f t="shared" si="111"/>
        <v>0</v>
      </c>
    </row>
    <row r="4728" spans="20:20" ht="18.75" customHeight="1" x14ac:dyDescent="0.35">
      <c r="T4728" s="246">
        <f t="shared" si="111"/>
        <v>0</v>
      </c>
    </row>
    <row r="4729" spans="20:20" ht="18.75" customHeight="1" x14ac:dyDescent="0.35">
      <c r="T4729" s="246">
        <f t="shared" si="111"/>
        <v>0</v>
      </c>
    </row>
    <row r="4730" spans="20:20" ht="18.75" customHeight="1" x14ac:dyDescent="0.35">
      <c r="T4730" s="246">
        <f t="shared" si="111"/>
        <v>0</v>
      </c>
    </row>
    <row r="4731" spans="20:20" ht="18.75" customHeight="1" x14ac:dyDescent="0.35">
      <c r="T4731" s="246">
        <f t="shared" si="111"/>
        <v>0</v>
      </c>
    </row>
    <row r="4732" spans="20:20" ht="18.75" customHeight="1" x14ac:dyDescent="0.35">
      <c r="T4732" s="246">
        <f t="shared" ref="T4732:T4795" si="112">R4732*0.01</f>
        <v>0</v>
      </c>
    </row>
    <row r="4733" spans="20:20" ht="18.75" customHeight="1" x14ac:dyDescent="0.35">
      <c r="T4733" s="246">
        <f t="shared" si="112"/>
        <v>0</v>
      </c>
    </row>
    <row r="4734" spans="20:20" ht="18.75" customHeight="1" x14ac:dyDescent="0.35">
      <c r="T4734" s="246">
        <f t="shared" si="112"/>
        <v>0</v>
      </c>
    </row>
    <row r="4735" spans="20:20" ht="18.75" customHeight="1" x14ac:dyDescent="0.35">
      <c r="T4735" s="246">
        <f t="shared" si="112"/>
        <v>0</v>
      </c>
    </row>
    <row r="4736" spans="20:20" ht="18.75" customHeight="1" x14ac:dyDescent="0.35">
      <c r="T4736" s="246">
        <f t="shared" si="112"/>
        <v>0</v>
      </c>
    </row>
    <row r="4737" spans="20:20" ht="18.75" customHeight="1" x14ac:dyDescent="0.35">
      <c r="T4737" s="246">
        <f t="shared" si="112"/>
        <v>0</v>
      </c>
    </row>
    <row r="4738" spans="20:20" ht="18.75" customHeight="1" x14ac:dyDescent="0.35">
      <c r="T4738" s="246">
        <f t="shared" si="112"/>
        <v>0</v>
      </c>
    </row>
    <row r="4739" spans="20:20" ht="18.75" customHeight="1" x14ac:dyDescent="0.35">
      <c r="T4739" s="246">
        <f t="shared" si="112"/>
        <v>0</v>
      </c>
    </row>
    <row r="4740" spans="20:20" ht="18.75" customHeight="1" x14ac:dyDescent="0.35">
      <c r="T4740" s="246">
        <f t="shared" si="112"/>
        <v>0</v>
      </c>
    </row>
    <row r="4741" spans="20:20" ht="18.75" customHeight="1" x14ac:dyDescent="0.35">
      <c r="T4741" s="246">
        <f t="shared" si="112"/>
        <v>0</v>
      </c>
    </row>
    <row r="4742" spans="20:20" ht="18.75" customHeight="1" x14ac:dyDescent="0.35">
      <c r="T4742" s="246">
        <f t="shared" si="112"/>
        <v>0</v>
      </c>
    </row>
    <row r="4743" spans="20:20" ht="18.75" customHeight="1" x14ac:dyDescent="0.35">
      <c r="T4743" s="246">
        <f t="shared" si="112"/>
        <v>0</v>
      </c>
    </row>
    <row r="4744" spans="20:20" ht="18.75" customHeight="1" x14ac:dyDescent="0.35">
      <c r="T4744" s="246">
        <f t="shared" si="112"/>
        <v>0</v>
      </c>
    </row>
    <row r="4745" spans="20:20" ht="18.75" customHeight="1" x14ac:dyDescent="0.35">
      <c r="T4745" s="246">
        <f t="shared" si="112"/>
        <v>0</v>
      </c>
    </row>
    <row r="4746" spans="20:20" ht="18.75" customHeight="1" x14ac:dyDescent="0.35">
      <c r="T4746" s="246">
        <f t="shared" si="112"/>
        <v>0</v>
      </c>
    </row>
    <row r="4747" spans="20:20" ht="18.75" customHeight="1" x14ac:dyDescent="0.35">
      <c r="T4747" s="246">
        <f t="shared" si="112"/>
        <v>0</v>
      </c>
    </row>
    <row r="4748" spans="20:20" ht="18.75" customHeight="1" x14ac:dyDescent="0.35">
      <c r="T4748" s="246">
        <f t="shared" si="112"/>
        <v>0</v>
      </c>
    </row>
    <row r="4749" spans="20:20" ht="18.75" customHeight="1" x14ac:dyDescent="0.35">
      <c r="T4749" s="246">
        <f t="shared" si="112"/>
        <v>0</v>
      </c>
    </row>
    <row r="4750" spans="20:20" ht="18.75" customHeight="1" x14ac:dyDescent="0.35">
      <c r="T4750" s="246">
        <f t="shared" si="112"/>
        <v>0</v>
      </c>
    </row>
    <row r="4751" spans="20:20" ht="18.75" customHeight="1" x14ac:dyDescent="0.35">
      <c r="T4751" s="246">
        <f t="shared" si="112"/>
        <v>0</v>
      </c>
    </row>
    <row r="4752" spans="20:20" ht="18.75" customHeight="1" x14ac:dyDescent="0.35">
      <c r="T4752" s="246">
        <f t="shared" si="112"/>
        <v>0</v>
      </c>
    </row>
    <row r="4753" spans="20:20" ht="18.75" customHeight="1" x14ac:dyDescent="0.35">
      <c r="T4753" s="246">
        <f t="shared" si="112"/>
        <v>0</v>
      </c>
    </row>
    <row r="4754" spans="20:20" ht="18.75" customHeight="1" x14ac:dyDescent="0.35">
      <c r="T4754" s="246">
        <f t="shared" si="112"/>
        <v>0</v>
      </c>
    </row>
    <row r="4755" spans="20:20" ht="18.75" customHeight="1" x14ac:dyDescent="0.35">
      <c r="T4755" s="246">
        <f t="shared" si="112"/>
        <v>0</v>
      </c>
    </row>
    <row r="4756" spans="20:20" ht="18.75" customHeight="1" x14ac:dyDescent="0.35">
      <c r="T4756" s="246">
        <f t="shared" si="112"/>
        <v>0</v>
      </c>
    </row>
    <row r="4757" spans="20:20" ht="18.75" customHeight="1" x14ac:dyDescent="0.35">
      <c r="T4757" s="246">
        <f t="shared" si="112"/>
        <v>0</v>
      </c>
    </row>
    <row r="4758" spans="20:20" ht="18.75" customHeight="1" x14ac:dyDescent="0.35">
      <c r="T4758" s="246">
        <f t="shared" si="112"/>
        <v>0</v>
      </c>
    </row>
    <row r="4759" spans="20:20" ht="18.75" customHeight="1" x14ac:dyDescent="0.35">
      <c r="T4759" s="246">
        <f t="shared" si="112"/>
        <v>0</v>
      </c>
    </row>
    <row r="4760" spans="20:20" ht="18.75" customHeight="1" x14ac:dyDescent="0.35">
      <c r="T4760" s="246">
        <f t="shared" si="112"/>
        <v>0</v>
      </c>
    </row>
    <row r="4761" spans="20:20" ht="18.75" customHeight="1" x14ac:dyDescent="0.35">
      <c r="T4761" s="246">
        <f t="shared" si="112"/>
        <v>0</v>
      </c>
    </row>
    <row r="4762" spans="20:20" ht="18.75" customHeight="1" x14ac:dyDescent="0.35">
      <c r="T4762" s="246">
        <f t="shared" si="112"/>
        <v>0</v>
      </c>
    </row>
    <row r="4763" spans="20:20" ht="18.75" customHeight="1" x14ac:dyDescent="0.35">
      <c r="T4763" s="246">
        <f t="shared" si="112"/>
        <v>0</v>
      </c>
    </row>
    <row r="4764" spans="20:20" ht="18.75" customHeight="1" x14ac:dyDescent="0.35">
      <c r="T4764" s="246">
        <f t="shared" si="112"/>
        <v>0</v>
      </c>
    </row>
    <row r="4765" spans="20:20" ht="18.75" customHeight="1" x14ac:dyDescent="0.35">
      <c r="T4765" s="246">
        <f t="shared" si="112"/>
        <v>0</v>
      </c>
    </row>
    <row r="4766" spans="20:20" ht="18.75" customHeight="1" x14ac:dyDescent="0.35">
      <c r="T4766" s="246">
        <f t="shared" si="112"/>
        <v>0</v>
      </c>
    </row>
    <row r="4767" spans="20:20" ht="18.75" customHeight="1" x14ac:dyDescent="0.35">
      <c r="T4767" s="246">
        <f t="shared" si="112"/>
        <v>0</v>
      </c>
    </row>
    <row r="4768" spans="20:20" ht="18.75" customHeight="1" x14ac:dyDescent="0.35">
      <c r="T4768" s="246">
        <f t="shared" si="112"/>
        <v>0</v>
      </c>
    </row>
    <row r="4769" spans="20:20" ht="18.75" customHeight="1" x14ac:dyDescent="0.35">
      <c r="T4769" s="246">
        <f t="shared" si="112"/>
        <v>0</v>
      </c>
    </row>
    <row r="4770" spans="20:20" ht="18.75" customHeight="1" x14ac:dyDescent="0.35">
      <c r="T4770" s="246">
        <f t="shared" si="112"/>
        <v>0</v>
      </c>
    </row>
    <row r="4771" spans="20:20" ht="18.75" customHeight="1" x14ac:dyDescent="0.35">
      <c r="T4771" s="246">
        <f t="shared" si="112"/>
        <v>0</v>
      </c>
    </row>
    <row r="4772" spans="20:20" ht="18.75" customHeight="1" x14ac:dyDescent="0.35">
      <c r="T4772" s="246">
        <f t="shared" si="112"/>
        <v>0</v>
      </c>
    </row>
    <row r="4773" spans="20:20" ht="18.75" customHeight="1" x14ac:dyDescent="0.35">
      <c r="T4773" s="246">
        <f t="shared" si="112"/>
        <v>0</v>
      </c>
    </row>
    <row r="4774" spans="20:20" ht="18.75" customHeight="1" x14ac:dyDescent="0.35">
      <c r="T4774" s="246">
        <f t="shared" si="112"/>
        <v>0</v>
      </c>
    </row>
    <row r="4775" spans="20:20" ht="18.75" customHeight="1" x14ac:dyDescent="0.35">
      <c r="T4775" s="246">
        <f t="shared" si="112"/>
        <v>0</v>
      </c>
    </row>
    <row r="4776" spans="20:20" ht="18.75" customHeight="1" x14ac:dyDescent="0.35">
      <c r="T4776" s="246">
        <f t="shared" si="112"/>
        <v>0</v>
      </c>
    </row>
    <row r="4777" spans="20:20" ht="18.75" customHeight="1" x14ac:dyDescent="0.35">
      <c r="T4777" s="246">
        <f t="shared" si="112"/>
        <v>0</v>
      </c>
    </row>
    <row r="4778" spans="20:20" ht="18.75" customHeight="1" x14ac:dyDescent="0.35">
      <c r="T4778" s="246">
        <f t="shared" si="112"/>
        <v>0</v>
      </c>
    </row>
    <row r="4779" spans="20:20" ht="18.75" customHeight="1" x14ac:dyDescent="0.35">
      <c r="T4779" s="246">
        <f t="shared" si="112"/>
        <v>0</v>
      </c>
    </row>
    <row r="4780" spans="20:20" ht="18.75" customHeight="1" x14ac:dyDescent="0.35">
      <c r="T4780" s="246">
        <f t="shared" si="112"/>
        <v>0</v>
      </c>
    </row>
    <row r="4781" spans="20:20" ht="18.75" customHeight="1" x14ac:dyDescent="0.35">
      <c r="T4781" s="246">
        <f t="shared" si="112"/>
        <v>0</v>
      </c>
    </row>
    <row r="4782" spans="20:20" ht="18.75" customHeight="1" x14ac:dyDescent="0.35">
      <c r="T4782" s="246">
        <f t="shared" si="112"/>
        <v>0</v>
      </c>
    </row>
    <row r="4783" spans="20:20" ht="18.75" customHeight="1" x14ac:dyDescent="0.35">
      <c r="T4783" s="246">
        <f t="shared" si="112"/>
        <v>0</v>
      </c>
    </row>
    <row r="4784" spans="20:20" ht="18.75" customHeight="1" x14ac:dyDescent="0.35">
      <c r="T4784" s="246">
        <f t="shared" si="112"/>
        <v>0</v>
      </c>
    </row>
    <row r="4785" spans="20:20" ht="18.75" customHeight="1" x14ac:dyDescent="0.35">
      <c r="T4785" s="246">
        <f t="shared" si="112"/>
        <v>0</v>
      </c>
    </row>
    <row r="4786" spans="20:20" ht="18.75" customHeight="1" x14ac:dyDescent="0.35">
      <c r="T4786" s="246">
        <f t="shared" si="112"/>
        <v>0</v>
      </c>
    </row>
    <row r="4787" spans="20:20" ht="18.75" customHeight="1" x14ac:dyDescent="0.35">
      <c r="T4787" s="246">
        <f t="shared" si="112"/>
        <v>0</v>
      </c>
    </row>
    <row r="4788" spans="20:20" ht="18.75" customHeight="1" x14ac:dyDescent="0.35">
      <c r="T4788" s="246">
        <f t="shared" si="112"/>
        <v>0</v>
      </c>
    </row>
    <row r="4789" spans="20:20" ht="18.75" customHeight="1" x14ac:dyDescent="0.35">
      <c r="T4789" s="246">
        <f t="shared" si="112"/>
        <v>0</v>
      </c>
    </row>
    <row r="4790" spans="20:20" ht="18.75" customHeight="1" x14ac:dyDescent="0.35">
      <c r="T4790" s="246">
        <f t="shared" si="112"/>
        <v>0</v>
      </c>
    </row>
    <row r="4791" spans="20:20" ht="18.75" customHeight="1" x14ac:dyDescent="0.35">
      <c r="T4791" s="246">
        <f t="shared" si="112"/>
        <v>0</v>
      </c>
    </row>
    <row r="4792" spans="20:20" ht="18.75" customHeight="1" x14ac:dyDescent="0.35">
      <c r="T4792" s="246">
        <f t="shared" si="112"/>
        <v>0</v>
      </c>
    </row>
    <row r="4793" spans="20:20" ht="18.75" customHeight="1" x14ac:dyDescent="0.35">
      <c r="T4793" s="246">
        <f t="shared" si="112"/>
        <v>0</v>
      </c>
    </row>
    <row r="4794" spans="20:20" ht="18.75" customHeight="1" x14ac:dyDescent="0.35">
      <c r="T4794" s="246">
        <f t="shared" si="112"/>
        <v>0</v>
      </c>
    </row>
    <row r="4795" spans="20:20" ht="18.75" customHeight="1" x14ac:dyDescent="0.35">
      <c r="T4795" s="246">
        <f t="shared" si="112"/>
        <v>0</v>
      </c>
    </row>
    <row r="4796" spans="20:20" ht="18.75" customHeight="1" x14ac:dyDescent="0.35">
      <c r="T4796" s="246">
        <f t="shared" ref="T4796:T4859" si="113">R4796*0.01</f>
        <v>0</v>
      </c>
    </row>
    <row r="4797" spans="20:20" ht="18.75" customHeight="1" x14ac:dyDescent="0.35">
      <c r="T4797" s="246">
        <f t="shared" si="113"/>
        <v>0</v>
      </c>
    </row>
    <row r="4798" spans="20:20" ht="18.75" customHeight="1" x14ac:dyDescent="0.35">
      <c r="T4798" s="246">
        <f t="shared" si="113"/>
        <v>0</v>
      </c>
    </row>
    <row r="4799" spans="20:20" ht="18.75" customHeight="1" x14ac:dyDescent="0.35">
      <c r="T4799" s="246">
        <f t="shared" si="113"/>
        <v>0</v>
      </c>
    </row>
    <row r="4800" spans="20:20" ht="18.75" customHeight="1" x14ac:dyDescent="0.35">
      <c r="T4800" s="246">
        <f t="shared" si="113"/>
        <v>0</v>
      </c>
    </row>
    <row r="4801" spans="20:20" ht="18.75" customHeight="1" x14ac:dyDescent="0.35">
      <c r="T4801" s="246">
        <f t="shared" si="113"/>
        <v>0</v>
      </c>
    </row>
    <row r="4802" spans="20:20" ht="18.75" customHeight="1" x14ac:dyDescent="0.35">
      <c r="T4802" s="246">
        <f t="shared" si="113"/>
        <v>0</v>
      </c>
    </row>
    <row r="4803" spans="20:20" ht="18.75" customHeight="1" x14ac:dyDescent="0.35">
      <c r="T4803" s="246">
        <f t="shared" si="113"/>
        <v>0</v>
      </c>
    </row>
    <row r="4804" spans="20:20" ht="18.75" customHeight="1" x14ac:dyDescent="0.35">
      <c r="T4804" s="246">
        <f t="shared" si="113"/>
        <v>0</v>
      </c>
    </row>
    <row r="4805" spans="20:20" ht="18.75" customHeight="1" x14ac:dyDescent="0.35">
      <c r="T4805" s="246">
        <f t="shared" si="113"/>
        <v>0</v>
      </c>
    </row>
    <row r="4806" spans="20:20" ht="18.75" customHeight="1" x14ac:dyDescent="0.35">
      <c r="T4806" s="246">
        <f t="shared" si="113"/>
        <v>0</v>
      </c>
    </row>
    <row r="4807" spans="20:20" ht="18.75" customHeight="1" x14ac:dyDescent="0.35">
      <c r="T4807" s="246">
        <f t="shared" si="113"/>
        <v>0</v>
      </c>
    </row>
    <row r="4808" spans="20:20" ht="18.75" customHeight="1" x14ac:dyDescent="0.35">
      <c r="T4808" s="246">
        <f t="shared" si="113"/>
        <v>0</v>
      </c>
    </row>
    <row r="4809" spans="20:20" ht="18.75" customHeight="1" x14ac:dyDescent="0.35">
      <c r="T4809" s="246">
        <f t="shared" si="113"/>
        <v>0</v>
      </c>
    </row>
    <row r="4810" spans="20:20" ht="18.75" customHeight="1" x14ac:dyDescent="0.35">
      <c r="T4810" s="246">
        <f t="shared" si="113"/>
        <v>0</v>
      </c>
    </row>
    <row r="4811" spans="20:20" ht="18.75" customHeight="1" x14ac:dyDescent="0.35">
      <c r="T4811" s="246">
        <f t="shared" si="113"/>
        <v>0</v>
      </c>
    </row>
    <row r="4812" spans="20:20" ht="18.75" customHeight="1" x14ac:dyDescent="0.35">
      <c r="T4812" s="246">
        <f t="shared" si="113"/>
        <v>0</v>
      </c>
    </row>
    <row r="4813" spans="20:20" ht="18.75" customHeight="1" x14ac:dyDescent="0.35">
      <c r="T4813" s="246">
        <f t="shared" si="113"/>
        <v>0</v>
      </c>
    </row>
    <row r="4814" spans="20:20" ht="18.75" customHeight="1" x14ac:dyDescent="0.35">
      <c r="T4814" s="246">
        <f t="shared" si="113"/>
        <v>0</v>
      </c>
    </row>
    <row r="4815" spans="20:20" ht="18.75" customHeight="1" x14ac:dyDescent="0.35">
      <c r="T4815" s="246">
        <f t="shared" si="113"/>
        <v>0</v>
      </c>
    </row>
    <row r="4816" spans="20:20" ht="18.75" customHeight="1" x14ac:dyDescent="0.35">
      <c r="T4816" s="246">
        <f t="shared" si="113"/>
        <v>0</v>
      </c>
    </row>
    <row r="4817" spans="20:20" ht="18.75" customHeight="1" x14ac:dyDescent="0.35">
      <c r="T4817" s="246">
        <f t="shared" si="113"/>
        <v>0</v>
      </c>
    </row>
    <row r="4818" spans="20:20" ht="18.75" customHeight="1" x14ac:dyDescent="0.35">
      <c r="T4818" s="246">
        <f t="shared" si="113"/>
        <v>0</v>
      </c>
    </row>
    <row r="4819" spans="20:20" ht="18.75" customHeight="1" x14ac:dyDescent="0.35">
      <c r="T4819" s="246">
        <f t="shared" si="113"/>
        <v>0</v>
      </c>
    </row>
    <row r="4820" spans="20:20" ht="18.75" customHeight="1" x14ac:dyDescent="0.35">
      <c r="T4820" s="246">
        <f t="shared" si="113"/>
        <v>0</v>
      </c>
    </row>
    <row r="4821" spans="20:20" ht="18.75" customHeight="1" x14ac:dyDescent="0.35">
      <c r="T4821" s="246">
        <f t="shared" si="113"/>
        <v>0</v>
      </c>
    </row>
    <row r="4822" spans="20:20" ht="18.75" customHeight="1" x14ac:dyDescent="0.35">
      <c r="T4822" s="246">
        <f t="shared" si="113"/>
        <v>0</v>
      </c>
    </row>
    <row r="4823" spans="20:20" ht="18.75" customHeight="1" x14ac:dyDescent="0.35">
      <c r="T4823" s="246">
        <f t="shared" si="113"/>
        <v>0</v>
      </c>
    </row>
    <row r="4824" spans="20:20" ht="18.75" customHeight="1" x14ac:dyDescent="0.35">
      <c r="T4824" s="246">
        <f t="shared" si="113"/>
        <v>0</v>
      </c>
    </row>
    <row r="4825" spans="20:20" ht="18.75" customHeight="1" x14ac:dyDescent="0.35">
      <c r="T4825" s="246">
        <f t="shared" si="113"/>
        <v>0</v>
      </c>
    </row>
    <row r="4826" spans="20:20" ht="18.75" customHeight="1" x14ac:dyDescent="0.35">
      <c r="T4826" s="246">
        <f t="shared" si="113"/>
        <v>0</v>
      </c>
    </row>
    <row r="4827" spans="20:20" ht="18.75" customHeight="1" x14ac:dyDescent="0.35">
      <c r="T4827" s="246">
        <f t="shared" si="113"/>
        <v>0</v>
      </c>
    </row>
    <row r="4828" spans="20:20" ht="18.75" customHeight="1" x14ac:dyDescent="0.35">
      <c r="T4828" s="246">
        <f t="shared" si="113"/>
        <v>0</v>
      </c>
    </row>
    <row r="4829" spans="20:20" ht="18.75" customHeight="1" x14ac:dyDescent="0.35">
      <c r="T4829" s="246">
        <f t="shared" si="113"/>
        <v>0</v>
      </c>
    </row>
    <row r="4830" spans="20:20" ht="18.75" customHeight="1" x14ac:dyDescent="0.35">
      <c r="T4830" s="246">
        <f t="shared" si="113"/>
        <v>0</v>
      </c>
    </row>
    <row r="4831" spans="20:20" ht="18.75" customHeight="1" x14ac:dyDescent="0.35">
      <c r="T4831" s="246">
        <f t="shared" si="113"/>
        <v>0</v>
      </c>
    </row>
    <row r="4832" spans="20:20" ht="18.75" customHeight="1" x14ac:dyDescent="0.35">
      <c r="T4832" s="246">
        <f t="shared" si="113"/>
        <v>0</v>
      </c>
    </row>
    <row r="4833" spans="20:20" ht="18.75" customHeight="1" x14ac:dyDescent="0.35">
      <c r="T4833" s="246">
        <f t="shared" si="113"/>
        <v>0</v>
      </c>
    </row>
    <row r="4834" spans="20:20" ht="18.75" customHeight="1" x14ac:dyDescent="0.35">
      <c r="T4834" s="246">
        <f t="shared" si="113"/>
        <v>0</v>
      </c>
    </row>
    <row r="4835" spans="20:20" ht="18.75" customHeight="1" x14ac:dyDescent="0.35">
      <c r="T4835" s="246">
        <f t="shared" si="113"/>
        <v>0</v>
      </c>
    </row>
    <row r="4836" spans="20:20" ht="18.75" customHeight="1" x14ac:dyDescent="0.35">
      <c r="T4836" s="246">
        <f t="shared" si="113"/>
        <v>0</v>
      </c>
    </row>
    <row r="4837" spans="20:20" ht="18.75" customHeight="1" x14ac:dyDescent="0.35">
      <c r="T4837" s="246">
        <f t="shared" si="113"/>
        <v>0</v>
      </c>
    </row>
    <row r="4838" spans="20:20" ht="18.75" customHeight="1" x14ac:dyDescent="0.35">
      <c r="T4838" s="246">
        <f t="shared" si="113"/>
        <v>0</v>
      </c>
    </row>
    <row r="4839" spans="20:20" ht="18.75" customHeight="1" x14ac:dyDescent="0.35">
      <c r="T4839" s="246">
        <f t="shared" si="113"/>
        <v>0</v>
      </c>
    </row>
    <row r="4840" spans="20:20" ht="18.75" customHeight="1" x14ac:dyDescent="0.35">
      <c r="T4840" s="246">
        <f t="shared" si="113"/>
        <v>0</v>
      </c>
    </row>
    <row r="4841" spans="20:20" ht="18.75" customHeight="1" x14ac:dyDescent="0.35">
      <c r="T4841" s="246">
        <f t="shared" si="113"/>
        <v>0</v>
      </c>
    </row>
    <row r="4842" spans="20:20" ht="18.75" customHeight="1" x14ac:dyDescent="0.35">
      <c r="T4842" s="246">
        <f t="shared" si="113"/>
        <v>0</v>
      </c>
    </row>
    <row r="4843" spans="20:20" ht="18.75" customHeight="1" x14ac:dyDescent="0.35">
      <c r="T4843" s="246">
        <f t="shared" si="113"/>
        <v>0</v>
      </c>
    </row>
    <row r="4844" spans="20:20" ht="18.75" customHeight="1" x14ac:dyDescent="0.35">
      <c r="T4844" s="246">
        <f t="shared" si="113"/>
        <v>0</v>
      </c>
    </row>
    <row r="4845" spans="20:20" ht="18.75" customHeight="1" x14ac:dyDescent="0.35">
      <c r="T4845" s="246">
        <f t="shared" si="113"/>
        <v>0</v>
      </c>
    </row>
    <row r="4846" spans="20:20" ht="18.75" customHeight="1" x14ac:dyDescent="0.35">
      <c r="T4846" s="246">
        <f t="shared" si="113"/>
        <v>0</v>
      </c>
    </row>
    <row r="4847" spans="20:20" ht="18.75" customHeight="1" x14ac:dyDescent="0.35">
      <c r="T4847" s="246">
        <f t="shared" si="113"/>
        <v>0</v>
      </c>
    </row>
    <row r="4848" spans="20:20" ht="18.75" customHeight="1" x14ac:dyDescent="0.35">
      <c r="T4848" s="246">
        <f t="shared" si="113"/>
        <v>0</v>
      </c>
    </row>
    <row r="4849" spans="20:20" ht="18.75" customHeight="1" x14ac:dyDescent="0.35">
      <c r="T4849" s="246">
        <f t="shared" si="113"/>
        <v>0</v>
      </c>
    </row>
    <row r="4850" spans="20:20" ht="18.75" customHeight="1" x14ac:dyDescent="0.35">
      <c r="T4850" s="246">
        <f t="shared" si="113"/>
        <v>0</v>
      </c>
    </row>
    <row r="4851" spans="20:20" ht="18.75" customHeight="1" x14ac:dyDescent="0.35">
      <c r="T4851" s="246">
        <f t="shared" si="113"/>
        <v>0</v>
      </c>
    </row>
    <row r="4852" spans="20:20" ht="18.75" customHeight="1" x14ac:dyDescent="0.35">
      <c r="T4852" s="246">
        <f t="shared" si="113"/>
        <v>0</v>
      </c>
    </row>
    <row r="4853" spans="20:20" ht="18.75" customHeight="1" x14ac:dyDescent="0.35">
      <c r="T4853" s="246">
        <f t="shared" si="113"/>
        <v>0</v>
      </c>
    </row>
    <row r="4854" spans="20:20" ht="18.75" customHeight="1" x14ac:dyDescent="0.35">
      <c r="T4854" s="246">
        <f t="shared" si="113"/>
        <v>0</v>
      </c>
    </row>
    <row r="4855" spans="20:20" ht="18.75" customHeight="1" x14ac:dyDescent="0.35">
      <c r="T4855" s="246">
        <f t="shared" si="113"/>
        <v>0</v>
      </c>
    </row>
    <row r="4856" spans="20:20" ht="18.75" customHeight="1" x14ac:dyDescent="0.35">
      <c r="T4856" s="246">
        <f t="shared" si="113"/>
        <v>0</v>
      </c>
    </row>
    <row r="4857" spans="20:20" ht="18.75" customHeight="1" x14ac:dyDescent="0.35">
      <c r="T4857" s="246">
        <f t="shared" si="113"/>
        <v>0</v>
      </c>
    </row>
    <row r="4858" spans="20:20" ht="18.75" customHeight="1" x14ac:dyDescent="0.35">
      <c r="T4858" s="246">
        <f t="shared" si="113"/>
        <v>0</v>
      </c>
    </row>
    <row r="4859" spans="20:20" ht="18.75" customHeight="1" x14ac:dyDescent="0.35">
      <c r="T4859" s="246">
        <f t="shared" si="113"/>
        <v>0</v>
      </c>
    </row>
    <row r="4860" spans="20:20" ht="18.75" customHeight="1" x14ac:dyDescent="0.35">
      <c r="T4860" s="246">
        <f t="shared" ref="T4860:T4923" si="114">R4860*0.01</f>
        <v>0</v>
      </c>
    </row>
    <row r="4861" spans="20:20" ht="18.75" customHeight="1" x14ac:dyDescent="0.35">
      <c r="T4861" s="246">
        <f t="shared" si="114"/>
        <v>0</v>
      </c>
    </row>
    <row r="4862" spans="20:20" ht="18.75" customHeight="1" x14ac:dyDescent="0.35">
      <c r="T4862" s="246">
        <f t="shared" si="114"/>
        <v>0</v>
      </c>
    </row>
    <row r="4863" spans="20:20" ht="18.75" customHeight="1" x14ac:dyDescent="0.35">
      <c r="T4863" s="246">
        <f t="shared" si="114"/>
        <v>0</v>
      </c>
    </row>
    <row r="4864" spans="20:20" ht="18.75" customHeight="1" x14ac:dyDescent="0.35">
      <c r="T4864" s="246">
        <f t="shared" si="114"/>
        <v>0</v>
      </c>
    </row>
    <row r="4865" spans="20:20" ht="18.75" customHeight="1" x14ac:dyDescent="0.35">
      <c r="T4865" s="246">
        <f t="shared" si="114"/>
        <v>0</v>
      </c>
    </row>
    <row r="4866" spans="20:20" ht="18.75" customHeight="1" x14ac:dyDescent="0.35">
      <c r="T4866" s="246">
        <f t="shared" si="114"/>
        <v>0</v>
      </c>
    </row>
    <row r="4867" spans="20:20" ht="18.75" customHeight="1" x14ac:dyDescent="0.35">
      <c r="T4867" s="246">
        <f t="shared" si="114"/>
        <v>0</v>
      </c>
    </row>
    <row r="4868" spans="20:20" ht="18.75" customHeight="1" x14ac:dyDescent="0.35">
      <c r="T4868" s="246">
        <f t="shared" si="114"/>
        <v>0</v>
      </c>
    </row>
    <row r="4869" spans="20:20" ht="18.75" customHeight="1" x14ac:dyDescent="0.35">
      <c r="T4869" s="246">
        <f t="shared" si="114"/>
        <v>0</v>
      </c>
    </row>
    <row r="4870" spans="20:20" ht="18.75" customHeight="1" x14ac:dyDescent="0.35">
      <c r="T4870" s="246">
        <f t="shared" si="114"/>
        <v>0</v>
      </c>
    </row>
    <row r="4871" spans="20:20" ht="18.75" customHeight="1" x14ac:dyDescent="0.35">
      <c r="T4871" s="246">
        <f t="shared" si="114"/>
        <v>0</v>
      </c>
    </row>
    <row r="4872" spans="20:20" ht="18.75" customHeight="1" x14ac:dyDescent="0.35">
      <c r="T4872" s="246">
        <f t="shared" si="114"/>
        <v>0</v>
      </c>
    </row>
    <row r="4873" spans="20:20" ht="18.75" customHeight="1" x14ac:dyDescent="0.35">
      <c r="T4873" s="246">
        <f t="shared" si="114"/>
        <v>0</v>
      </c>
    </row>
    <row r="4874" spans="20:20" ht="18.75" customHeight="1" x14ac:dyDescent="0.35">
      <c r="T4874" s="246">
        <f t="shared" si="114"/>
        <v>0</v>
      </c>
    </row>
    <row r="4875" spans="20:20" ht="18.75" customHeight="1" x14ac:dyDescent="0.35">
      <c r="T4875" s="246">
        <f t="shared" si="114"/>
        <v>0</v>
      </c>
    </row>
    <row r="4876" spans="20:20" ht="18.75" customHeight="1" x14ac:dyDescent="0.35">
      <c r="T4876" s="246">
        <f t="shared" si="114"/>
        <v>0</v>
      </c>
    </row>
    <row r="4877" spans="20:20" ht="18.75" customHeight="1" x14ac:dyDescent="0.35">
      <c r="T4877" s="246">
        <f t="shared" si="114"/>
        <v>0</v>
      </c>
    </row>
    <row r="4878" spans="20:20" ht="18.75" customHeight="1" x14ac:dyDescent="0.35">
      <c r="T4878" s="246">
        <f t="shared" si="114"/>
        <v>0</v>
      </c>
    </row>
    <row r="4879" spans="20:20" ht="18.75" customHeight="1" x14ac:dyDescent="0.35">
      <c r="T4879" s="246">
        <f t="shared" si="114"/>
        <v>0</v>
      </c>
    </row>
    <row r="4880" spans="20:20" ht="18.75" customHeight="1" x14ac:dyDescent="0.35">
      <c r="T4880" s="246">
        <f t="shared" si="114"/>
        <v>0</v>
      </c>
    </row>
    <row r="4881" spans="20:20" ht="18.75" customHeight="1" x14ac:dyDescent="0.35">
      <c r="T4881" s="246">
        <f t="shared" si="114"/>
        <v>0</v>
      </c>
    </row>
    <row r="4882" spans="20:20" ht="18.75" customHeight="1" x14ac:dyDescent="0.35">
      <c r="T4882" s="246">
        <f t="shared" si="114"/>
        <v>0</v>
      </c>
    </row>
    <row r="4883" spans="20:20" ht="18.75" customHeight="1" x14ac:dyDescent="0.35">
      <c r="T4883" s="246">
        <f t="shared" si="114"/>
        <v>0</v>
      </c>
    </row>
    <row r="4884" spans="20:20" ht="18.75" customHeight="1" x14ac:dyDescent="0.35">
      <c r="T4884" s="246">
        <f t="shared" si="114"/>
        <v>0</v>
      </c>
    </row>
    <row r="4885" spans="20:20" ht="18.75" customHeight="1" x14ac:dyDescent="0.35">
      <c r="T4885" s="246">
        <f t="shared" si="114"/>
        <v>0</v>
      </c>
    </row>
    <row r="4886" spans="20:20" ht="18.75" customHeight="1" x14ac:dyDescent="0.35">
      <c r="T4886" s="246">
        <f t="shared" si="114"/>
        <v>0</v>
      </c>
    </row>
    <row r="4887" spans="20:20" ht="18.75" customHeight="1" x14ac:dyDescent="0.35">
      <c r="T4887" s="246">
        <f t="shared" si="114"/>
        <v>0</v>
      </c>
    </row>
    <row r="4888" spans="20:20" ht="18.75" customHeight="1" x14ac:dyDescent="0.35">
      <c r="T4888" s="246">
        <f t="shared" si="114"/>
        <v>0</v>
      </c>
    </row>
    <row r="4889" spans="20:20" ht="18.75" customHeight="1" x14ac:dyDescent="0.35">
      <c r="T4889" s="246">
        <f t="shared" si="114"/>
        <v>0</v>
      </c>
    </row>
    <row r="4890" spans="20:20" ht="18.75" customHeight="1" x14ac:dyDescent="0.35">
      <c r="T4890" s="246">
        <f t="shared" si="114"/>
        <v>0</v>
      </c>
    </row>
    <row r="4891" spans="20:20" ht="18.75" customHeight="1" x14ac:dyDescent="0.35">
      <c r="T4891" s="246">
        <f t="shared" si="114"/>
        <v>0</v>
      </c>
    </row>
    <row r="4892" spans="20:20" ht="18.75" customHeight="1" x14ac:dyDescent="0.35">
      <c r="T4892" s="246">
        <f t="shared" si="114"/>
        <v>0</v>
      </c>
    </row>
    <row r="4893" spans="20:20" ht="18.75" customHeight="1" x14ac:dyDescent="0.35">
      <c r="T4893" s="246">
        <f t="shared" si="114"/>
        <v>0</v>
      </c>
    </row>
    <row r="4894" spans="20:20" ht="18.75" customHeight="1" x14ac:dyDescent="0.35">
      <c r="T4894" s="246">
        <f t="shared" si="114"/>
        <v>0</v>
      </c>
    </row>
    <row r="4895" spans="20:20" ht="18.75" customHeight="1" x14ac:dyDescent="0.35">
      <c r="T4895" s="246">
        <f t="shared" si="114"/>
        <v>0</v>
      </c>
    </row>
    <row r="4896" spans="20:20" ht="18.75" customHeight="1" x14ac:dyDescent="0.35">
      <c r="T4896" s="246">
        <f t="shared" si="114"/>
        <v>0</v>
      </c>
    </row>
    <row r="4897" spans="20:20" ht="18.75" customHeight="1" x14ac:dyDescent="0.35">
      <c r="T4897" s="246">
        <f t="shared" si="114"/>
        <v>0</v>
      </c>
    </row>
    <row r="4898" spans="20:20" ht="18.75" customHeight="1" x14ac:dyDescent="0.35">
      <c r="T4898" s="246">
        <f t="shared" si="114"/>
        <v>0</v>
      </c>
    </row>
    <row r="4899" spans="20:20" ht="18.75" customHeight="1" x14ac:dyDescent="0.35">
      <c r="T4899" s="246">
        <f t="shared" si="114"/>
        <v>0</v>
      </c>
    </row>
    <row r="4900" spans="20:20" ht="18.75" customHeight="1" x14ac:dyDescent="0.35">
      <c r="T4900" s="246">
        <f t="shared" si="114"/>
        <v>0</v>
      </c>
    </row>
    <row r="4901" spans="20:20" ht="18.75" customHeight="1" x14ac:dyDescent="0.35">
      <c r="T4901" s="246">
        <f t="shared" si="114"/>
        <v>0</v>
      </c>
    </row>
    <row r="4902" spans="20:20" ht="18.75" customHeight="1" x14ac:dyDescent="0.35">
      <c r="T4902" s="246">
        <f t="shared" si="114"/>
        <v>0</v>
      </c>
    </row>
    <row r="4903" spans="20:20" ht="18.75" customHeight="1" x14ac:dyDescent="0.35">
      <c r="T4903" s="246">
        <f t="shared" si="114"/>
        <v>0</v>
      </c>
    </row>
    <row r="4904" spans="20:20" ht="18.75" customHeight="1" x14ac:dyDescent="0.35">
      <c r="T4904" s="246">
        <f t="shared" si="114"/>
        <v>0</v>
      </c>
    </row>
    <row r="4905" spans="20:20" ht="18.75" customHeight="1" x14ac:dyDescent="0.35">
      <c r="T4905" s="246">
        <f t="shared" si="114"/>
        <v>0</v>
      </c>
    </row>
    <row r="4906" spans="20:20" ht="18.75" customHeight="1" x14ac:dyDescent="0.35">
      <c r="T4906" s="246">
        <f t="shared" si="114"/>
        <v>0</v>
      </c>
    </row>
    <row r="4907" spans="20:20" ht="18.75" customHeight="1" x14ac:dyDescent="0.35">
      <c r="T4907" s="246">
        <f t="shared" si="114"/>
        <v>0</v>
      </c>
    </row>
    <row r="4908" spans="20:20" ht="18.75" customHeight="1" x14ac:dyDescent="0.35">
      <c r="T4908" s="246">
        <f t="shared" si="114"/>
        <v>0</v>
      </c>
    </row>
    <row r="4909" spans="20:20" ht="18.75" customHeight="1" x14ac:dyDescent="0.35">
      <c r="T4909" s="246">
        <f t="shared" si="114"/>
        <v>0</v>
      </c>
    </row>
    <row r="4910" spans="20:20" ht="18.75" customHeight="1" x14ac:dyDescent="0.35">
      <c r="T4910" s="246">
        <f t="shared" si="114"/>
        <v>0</v>
      </c>
    </row>
    <row r="4911" spans="20:20" ht="18.75" customHeight="1" x14ac:dyDescent="0.35">
      <c r="T4911" s="246">
        <f t="shared" si="114"/>
        <v>0</v>
      </c>
    </row>
    <row r="4912" spans="20:20" ht="18.75" customHeight="1" x14ac:dyDescent="0.35">
      <c r="T4912" s="246">
        <f t="shared" si="114"/>
        <v>0</v>
      </c>
    </row>
    <row r="4913" spans="20:20" ht="18.75" customHeight="1" x14ac:dyDescent="0.35">
      <c r="T4913" s="246">
        <f t="shared" si="114"/>
        <v>0</v>
      </c>
    </row>
    <row r="4914" spans="20:20" ht="18.75" customHeight="1" x14ac:dyDescent="0.35">
      <c r="T4914" s="246">
        <f t="shared" si="114"/>
        <v>0</v>
      </c>
    </row>
    <row r="4915" spans="20:20" ht="18.75" customHeight="1" x14ac:dyDescent="0.35">
      <c r="T4915" s="246">
        <f t="shared" si="114"/>
        <v>0</v>
      </c>
    </row>
    <row r="4916" spans="20:20" ht="18.75" customHeight="1" x14ac:dyDescent="0.35">
      <c r="T4916" s="246">
        <f t="shared" si="114"/>
        <v>0</v>
      </c>
    </row>
    <row r="4917" spans="20:20" ht="18.75" customHeight="1" x14ac:dyDescent="0.35">
      <c r="T4917" s="246">
        <f t="shared" si="114"/>
        <v>0</v>
      </c>
    </row>
    <row r="4918" spans="20:20" ht="18.75" customHeight="1" x14ac:dyDescent="0.35">
      <c r="T4918" s="246">
        <f t="shared" si="114"/>
        <v>0</v>
      </c>
    </row>
    <row r="4919" spans="20:20" ht="18.75" customHeight="1" x14ac:dyDescent="0.35">
      <c r="T4919" s="246">
        <f t="shared" si="114"/>
        <v>0</v>
      </c>
    </row>
    <row r="4920" spans="20:20" ht="18.75" customHeight="1" x14ac:dyDescent="0.35">
      <c r="T4920" s="246">
        <f t="shared" si="114"/>
        <v>0</v>
      </c>
    </row>
    <row r="4921" spans="20:20" ht="18.75" customHeight="1" x14ac:dyDescent="0.35">
      <c r="T4921" s="246">
        <f t="shared" si="114"/>
        <v>0</v>
      </c>
    </row>
    <row r="4922" spans="20:20" ht="18.75" customHeight="1" x14ac:dyDescent="0.35">
      <c r="T4922" s="246">
        <f t="shared" si="114"/>
        <v>0</v>
      </c>
    </row>
    <row r="4923" spans="20:20" ht="18.75" customHeight="1" x14ac:dyDescent="0.35">
      <c r="T4923" s="246">
        <f t="shared" si="114"/>
        <v>0</v>
      </c>
    </row>
    <row r="4924" spans="20:20" ht="18.75" customHeight="1" x14ac:dyDescent="0.35">
      <c r="T4924" s="246">
        <f t="shared" ref="T4924:T4987" si="115">R4924*0.01</f>
        <v>0</v>
      </c>
    </row>
    <row r="4925" spans="20:20" ht="18.75" customHeight="1" x14ac:dyDescent="0.35">
      <c r="T4925" s="246">
        <f t="shared" si="115"/>
        <v>0</v>
      </c>
    </row>
    <row r="4926" spans="20:20" ht="18.75" customHeight="1" x14ac:dyDescent="0.35">
      <c r="T4926" s="246">
        <f t="shared" si="115"/>
        <v>0</v>
      </c>
    </row>
    <row r="4927" spans="20:20" ht="18.75" customHeight="1" x14ac:dyDescent="0.35">
      <c r="T4927" s="246">
        <f t="shared" si="115"/>
        <v>0</v>
      </c>
    </row>
    <row r="4928" spans="20:20" ht="18.75" customHeight="1" x14ac:dyDescent="0.35">
      <c r="T4928" s="246">
        <f t="shared" si="115"/>
        <v>0</v>
      </c>
    </row>
    <row r="4929" spans="20:20" ht="18.75" customHeight="1" x14ac:dyDescent="0.35">
      <c r="T4929" s="246">
        <f t="shared" si="115"/>
        <v>0</v>
      </c>
    </row>
    <row r="4930" spans="20:20" ht="18.75" customHeight="1" x14ac:dyDescent="0.35">
      <c r="T4930" s="246">
        <f t="shared" si="115"/>
        <v>0</v>
      </c>
    </row>
    <row r="4931" spans="20:20" ht="18.75" customHeight="1" x14ac:dyDescent="0.35">
      <c r="T4931" s="246">
        <f t="shared" si="115"/>
        <v>0</v>
      </c>
    </row>
    <row r="4932" spans="20:20" ht="18.75" customHeight="1" x14ac:dyDescent="0.35">
      <c r="T4932" s="246">
        <f t="shared" si="115"/>
        <v>0</v>
      </c>
    </row>
    <row r="4933" spans="20:20" ht="18.75" customHeight="1" x14ac:dyDescent="0.35">
      <c r="T4933" s="246">
        <f t="shared" si="115"/>
        <v>0</v>
      </c>
    </row>
    <row r="4934" spans="20:20" ht="18.75" customHeight="1" x14ac:dyDescent="0.35">
      <c r="T4934" s="246">
        <f t="shared" si="115"/>
        <v>0</v>
      </c>
    </row>
    <row r="4935" spans="20:20" ht="18.75" customHeight="1" x14ac:dyDescent="0.35">
      <c r="T4935" s="246">
        <f t="shared" si="115"/>
        <v>0</v>
      </c>
    </row>
    <row r="4936" spans="20:20" ht="18.75" customHeight="1" x14ac:dyDescent="0.35">
      <c r="T4936" s="246">
        <f t="shared" si="115"/>
        <v>0</v>
      </c>
    </row>
    <row r="4937" spans="20:20" ht="18.75" customHeight="1" x14ac:dyDescent="0.35">
      <c r="T4937" s="246">
        <f t="shared" si="115"/>
        <v>0</v>
      </c>
    </row>
    <row r="4938" spans="20:20" ht="18.75" customHeight="1" x14ac:dyDescent="0.35">
      <c r="T4938" s="246">
        <f t="shared" si="115"/>
        <v>0</v>
      </c>
    </row>
    <row r="4939" spans="20:20" ht="18.75" customHeight="1" x14ac:dyDescent="0.35">
      <c r="T4939" s="246">
        <f t="shared" si="115"/>
        <v>0</v>
      </c>
    </row>
    <row r="4940" spans="20:20" ht="18.75" customHeight="1" x14ac:dyDescent="0.35">
      <c r="T4940" s="246">
        <f t="shared" si="115"/>
        <v>0</v>
      </c>
    </row>
    <row r="4941" spans="20:20" ht="18.75" customHeight="1" x14ac:dyDescent="0.35">
      <c r="T4941" s="246">
        <f t="shared" si="115"/>
        <v>0</v>
      </c>
    </row>
    <row r="4942" spans="20:20" ht="18.75" customHeight="1" x14ac:dyDescent="0.35">
      <c r="T4942" s="246">
        <f t="shared" si="115"/>
        <v>0</v>
      </c>
    </row>
    <row r="4943" spans="20:20" ht="18.75" customHeight="1" x14ac:dyDescent="0.35">
      <c r="T4943" s="246">
        <f t="shared" si="115"/>
        <v>0</v>
      </c>
    </row>
    <row r="4944" spans="20:20" ht="18.75" customHeight="1" x14ac:dyDescent="0.35">
      <c r="T4944" s="246">
        <f t="shared" si="115"/>
        <v>0</v>
      </c>
    </row>
    <row r="4945" spans="20:20" ht="18.75" customHeight="1" x14ac:dyDescent="0.35">
      <c r="T4945" s="246">
        <f t="shared" si="115"/>
        <v>0</v>
      </c>
    </row>
    <row r="4946" spans="20:20" ht="18.75" customHeight="1" x14ac:dyDescent="0.35">
      <c r="T4946" s="246">
        <f t="shared" si="115"/>
        <v>0</v>
      </c>
    </row>
    <row r="4947" spans="20:20" ht="18.75" customHeight="1" x14ac:dyDescent="0.35">
      <c r="T4947" s="246">
        <f t="shared" si="115"/>
        <v>0</v>
      </c>
    </row>
    <row r="4948" spans="20:20" ht="18.75" customHeight="1" x14ac:dyDescent="0.35">
      <c r="T4948" s="246">
        <f t="shared" si="115"/>
        <v>0</v>
      </c>
    </row>
    <row r="4949" spans="20:20" ht="18.75" customHeight="1" x14ac:dyDescent="0.35">
      <c r="T4949" s="246">
        <f t="shared" si="115"/>
        <v>0</v>
      </c>
    </row>
    <row r="4950" spans="20:20" ht="18.75" customHeight="1" x14ac:dyDescent="0.35">
      <c r="T4950" s="246">
        <f t="shared" si="115"/>
        <v>0</v>
      </c>
    </row>
    <row r="4951" spans="20:20" ht="18.75" customHeight="1" x14ac:dyDescent="0.35">
      <c r="T4951" s="246">
        <f t="shared" si="115"/>
        <v>0</v>
      </c>
    </row>
    <row r="4952" spans="20:20" ht="18.75" customHeight="1" x14ac:dyDescent="0.35">
      <c r="T4952" s="246">
        <f t="shared" si="115"/>
        <v>0</v>
      </c>
    </row>
    <row r="4953" spans="20:20" ht="18.75" customHeight="1" x14ac:dyDescent="0.35">
      <c r="T4953" s="246">
        <f t="shared" si="115"/>
        <v>0</v>
      </c>
    </row>
    <row r="4954" spans="20:20" ht="18.75" customHeight="1" x14ac:dyDescent="0.35">
      <c r="T4954" s="246">
        <f t="shared" si="115"/>
        <v>0</v>
      </c>
    </row>
    <row r="4955" spans="20:20" ht="18.75" customHeight="1" x14ac:dyDescent="0.35">
      <c r="T4955" s="246">
        <f t="shared" si="115"/>
        <v>0</v>
      </c>
    </row>
    <row r="4956" spans="20:20" ht="18.75" customHeight="1" x14ac:dyDescent="0.35">
      <c r="T4956" s="246">
        <f t="shared" si="115"/>
        <v>0</v>
      </c>
    </row>
    <row r="4957" spans="20:20" ht="18.75" customHeight="1" x14ac:dyDescent="0.35">
      <c r="T4957" s="246">
        <f t="shared" si="115"/>
        <v>0</v>
      </c>
    </row>
    <row r="4958" spans="20:20" ht="18.75" customHeight="1" x14ac:dyDescent="0.35">
      <c r="T4958" s="246">
        <f t="shared" si="115"/>
        <v>0</v>
      </c>
    </row>
    <row r="4959" spans="20:20" ht="18.75" customHeight="1" x14ac:dyDescent="0.35">
      <c r="T4959" s="246">
        <f t="shared" si="115"/>
        <v>0</v>
      </c>
    </row>
    <row r="4960" spans="20:20" ht="18.75" customHeight="1" x14ac:dyDescent="0.35">
      <c r="T4960" s="246">
        <f t="shared" si="115"/>
        <v>0</v>
      </c>
    </row>
    <row r="4961" spans="20:20" ht="18.75" customHeight="1" x14ac:dyDescent="0.35">
      <c r="T4961" s="246">
        <f t="shared" si="115"/>
        <v>0</v>
      </c>
    </row>
    <row r="4962" spans="20:20" ht="18.75" customHeight="1" x14ac:dyDescent="0.35">
      <c r="T4962" s="246">
        <f t="shared" si="115"/>
        <v>0</v>
      </c>
    </row>
    <row r="4963" spans="20:20" ht="18.75" customHeight="1" x14ac:dyDescent="0.35">
      <c r="T4963" s="246">
        <f t="shared" si="115"/>
        <v>0</v>
      </c>
    </row>
    <row r="4964" spans="20:20" ht="18.75" customHeight="1" x14ac:dyDescent="0.35">
      <c r="T4964" s="246">
        <f t="shared" si="115"/>
        <v>0</v>
      </c>
    </row>
    <row r="4965" spans="20:20" ht="18.75" customHeight="1" x14ac:dyDescent="0.35">
      <c r="T4965" s="246">
        <f t="shared" si="115"/>
        <v>0</v>
      </c>
    </row>
    <row r="4966" spans="20:20" ht="18.75" customHeight="1" x14ac:dyDescent="0.35">
      <c r="T4966" s="246">
        <f t="shared" si="115"/>
        <v>0</v>
      </c>
    </row>
    <row r="4967" spans="20:20" ht="18.75" customHeight="1" x14ac:dyDescent="0.35">
      <c r="T4967" s="246">
        <f t="shared" si="115"/>
        <v>0</v>
      </c>
    </row>
    <row r="4968" spans="20:20" ht="18.75" customHeight="1" x14ac:dyDescent="0.35">
      <c r="T4968" s="246">
        <f t="shared" si="115"/>
        <v>0</v>
      </c>
    </row>
    <row r="4969" spans="20:20" ht="18.75" customHeight="1" x14ac:dyDescent="0.35">
      <c r="T4969" s="246">
        <f t="shared" si="115"/>
        <v>0</v>
      </c>
    </row>
    <row r="4970" spans="20:20" ht="18.75" customHeight="1" x14ac:dyDescent="0.35">
      <c r="T4970" s="246">
        <f t="shared" si="115"/>
        <v>0</v>
      </c>
    </row>
    <row r="4971" spans="20:20" ht="18.75" customHeight="1" x14ac:dyDescent="0.35">
      <c r="T4971" s="246">
        <f t="shared" si="115"/>
        <v>0</v>
      </c>
    </row>
    <row r="4972" spans="20:20" ht="18.75" customHeight="1" x14ac:dyDescent="0.35">
      <c r="T4972" s="246">
        <f t="shared" si="115"/>
        <v>0</v>
      </c>
    </row>
    <row r="4973" spans="20:20" ht="18.75" customHeight="1" x14ac:dyDescent="0.35">
      <c r="T4973" s="246">
        <f t="shared" si="115"/>
        <v>0</v>
      </c>
    </row>
    <row r="4974" spans="20:20" ht="18.75" customHeight="1" x14ac:dyDescent="0.35">
      <c r="T4974" s="246">
        <f t="shared" si="115"/>
        <v>0</v>
      </c>
    </row>
    <row r="4975" spans="20:20" ht="18.75" customHeight="1" x14ac:dyDescent="0.35">
      <c r="T4975" s="246">
        <f t="shared" si="115"/>
        <v>0</v>
      </c>
    </row>
    <row r="4976" spans="20:20" ht="18.75" customHeight="1" x14ac:dyDescent="0.35">
      <c r="T4976" s="246">
        <f t="shared" si="115"/>
        <v>0</v>
      </c>
    </row>
    <row r="4977" spans="20:20" ht="18.75" customHeight="1" x14ac:dyDescent="0.35">
      <c r="T4977" s="246">
        <f t="shared" si="115"/>
        <v>0</v>
      </c>
    </row>
    <row r="4978" spans="20:20" ht="18.75" customHeight="1" x14ac:dyDescent="0.35">
      <c r="T4978" s="246">
        <f t="shared" si="115"/>
        <v>0</v>
      </c>
    </row>
    <row r="4979" spans="20:20" ht="18.75" customHeight="1" x14ac:dyDescent="0.35">
      <c r="T4979" s="246">
        <f t="shared" si="115"/>
        <v>0</v>
      </c>
    </row>
    <row r="4980" spans="20:20" ht="18.75" customHeight="1" x14ac:dyDescent="0.35">
      <c r="T4980" s="246">
        <f t="shared" si="115"/>
        <v>0</v>
      </c>
    </row>
    <row r="4981" spans="20:20" ht="18.75" customHeight="1" x14ac:dyDescent="0.35">
      <c r="T4981" s="246">
        <f t="shared" si="115"/>
        <v>0</v>
      </c>
    </row>
    <row r="4982" spans="20:20" ht="18.75" customHeight="1" x14ac:dyDescent="0.35">
      <c r="T4982" s="246">
        <f t="shared" si="115"/>
        <v>0</v>
      </c>
    </row>
    <row r="4983" spans="20:20" ht="18.75" customHeight="1" x14ac:dyDescent="0.35">
      <c r="T4983" s="246">
        <f t="shared" si="115"/>
        <v>0</v>
      </c>
    </row>
    <row r="4984" spans="20:20" ht="18.75" customHeight="1" x14ac:dyDescent="0.35">
      <c r="T4984" s="246">
        <f t="shared" si="115"/>
        <v>0</v>
      </c>
    </row>
    <row r="4985" spans="20:20" ht="18.75" customHeight="1" x14ac:dyDescent="0.35">
      <c r="T4985" s="246">
        <f t="shared" si="115"/>
        <v>0</v>
      </c>
    </row>
    <row r="4986" spans="20:20" ht="18.75" customHeight="1" x14ac:dyDescent="0.35">
      <c r="T4986" s="246">
        <f t="shared" si="115"/>
        <v>0</v>
      </c>
    </row>
    <row r="4987" spans="20:20" ht="18.75" customHeight="1" x14ac:dyDescent="0.35">
      <c r="T4987" s="246">
        <f t="shared" si="115"/>
        <v>0</v>
      </c>
    </row>
    <row r="4988" spans="20:20" ht="18.75" customHeight="1" x14ac:dyDescent="0.35">
      <c r="T4988" s="246">
        <f t="shared" ref="T4988:T5051" si="116">R4988*0.01</f>
        <v>0</v>
      </c>
    </row>
    <row r="4989" spans="20:20" ht="18.75" customHeight="1" x14ac:dyDescent="0.35">
      <c r="T4989" s="246">
        <f t="shared" si="116"/>
        <v>0</v>
      </c>
    </row>
    <row r="4990" spans="20:20" ht="18.75" customHeight="1" x14ac:dyDescent="0.35">
      <c r="T4990" s="246">
        <f t="shared" si="116"/>
        <v>0</v>
      </c>
    </row>
    <row r="4991" spans="20:20" ht="18.75" customHeight="1" x14ac:dyDescent="0.35">
      <c r="T4991" s="246">
        <f t="shared" si="116"/>
        <v>0</v>
      </c>
    </row>
    <row r="4992" spans="20:20" ht="18.75" customHeight="1" x14ac:dyDescent="0.35">
      <c r="T4992" s="246">
        <f t="shared" si="116"/>
        <v>0</v>
      </c>
    </row>
    <row r="4993" spans="20:20" ht="18.75" customHeight="1" x14ac:dyDescent="0.35">
      <c r="T4993" s="246">
        <f t="shared" si="116"/>
        <v>0</v>
      </c>
    </row>
    <row r="4994" spans="20:20" ht="18.75" customHeight="1" x14ac:dyDescent="0.35">
      <c r="T4994" s="246">
        <f t="shared" si="116"/>
        <v>0</v>
      </c>
    </row>
    <row r="4995" spans="20:20" ht="18.75" customHeight="1" x14ac:dyDescent="0.35">
      <c r="T4995" s="246">
        <f t="shared" si="116"/>
        <v>0</v>
      </c>
    </row>
    <row r="4996" spans="20:20" ht="18.75" customHeight="1" x14ac:dyDescent="0.35">
      <c r="T4996" s="246">
        <f t="shared" si="116"/>
        <v>0</v>
      </c>
    </row>
    <row r="4997" spans="20:20" ht="18.75" customHeight="1" x14ac:dyDescent="0.35">
      <c r="T4997" s="246">
        <f t="shared" si="116"/>
        <v>0</v>
      </c>
    </row>
    <row r="4998" spans="20:20" ht="18.75" customHeight="1" x14ac:dyDescent="0.35">
      <c r="T4998" s="246">
        <f t="shared" si="116"/>
        <v>0</v>
      </c>
    </row>
    <row r="4999" spans="20:20" ht="18.75" customHeight="1" x14ac:dyDescent="0.35">
      <c r="T4999" s="246">
        <f t="shared" si="116"/>
        <v>0</v>
      </c>
    </row>
    <row r="5000" spans="20:20" ht="18.75" customHeight="1" x14ac:dyDescent="0.35">
      <c r="T5000" s="246">
        <f t="shared" si="116"/>
        <v>0</v>
      </c>
    </row>
    <row r="5001" spans="20:20" ht="18.75" customHeight="1" x14ac:dyDescent="0.35">
      <c r="T5001" s="246">
        <f t="shared" si="116"/>
        <v>0</v>
      </c>
    </row>
    <row r="5002" spans="20:20" ht="18.75" customHeight="1" x14ac:dyDescent="0.35">
      <c r="T5002" s="246">
        <f t="shared" si="116"/>
        <v>0</v>
      </c>
    </row>
    <row r="5003" spans="20:20" ht="18.75" customHeight="1" x14ac:dyDescent="0.35">
      <c r="T5003" s="246">
        <f t="shared" si="116"/>
        <v>0</v>
      </c>
    </row>
    <row r="5004" spans="20:20" ht="18.75" customHeight="1" x14ac:dyDescent="0.35">
      <c r="T5004" s="246">
        <f t="shared" si="116"/>
        <v>0</v>
      </c>
    </row>
    <row r="5005" spans="20:20" ht="18.75" customHeight="1" x14ac:dyDescent="0.35">
      <c r="T5005" s="246">
        <f t="shared" si="116"/>
        <v>0</v>
      </c>
    </row>
    <row r="5006" spans="20:20" ht="18.75" customHeight="1" x14ac:dyDescent="0.35">
      <c r="T5006" s="246">
        <f t="shared" si="116"/>
        <v>0</v>
      </c>
    </row>
    <row r="5007" spans="20:20" ht="18.75" customHeight="1" x14ac:dyDescent="0.35">
      <c r="T5007" s="246">
        <f t="shared" si="116"/>
        <v>0</v>
      </c>
    </row>
    <row r="5008" spans="20:20" ht="18.75" customHeight="1" x14ac:dyDescent="0.35">
      <c r="T5008" s="246">
        <f t="shared" si="116"/>
        <v>0</v>
      </c>
    </row>
    <row r="5009" spans="20:20" ht="18.75" customHeight="1" x14ac:dyDescent="0.35">
      <c r="T5009" s="246">
        <f t="shared" si="116"/>
        <v>0</v>
      </c>
    </row>
    <row r="5010" spans="20:20" ht="18.75" customHeight="1" x14ac:dyDescent="0.35">
      <c r="T5010" s="246">
        <f t="shared" si="116"/>
        <v>0</v>
      </c>
    </row>
    <row r="5011" spans="20:20" ht="18.75" customHeight="1" x14ac:dyDescent="0.35">
      <c r="T5011" s="246">
        <f t="shared" si="116"/>
        <v>0</v>
      </c>
    </row>
    <row r="5012" spans="20:20" ht="18.75" customHeight="1" x14ac:dyDescent="0.35">
      <c r="T5012" s="246">
        <f t="shared" si="116"/>
        <v>0</v>
      </c>
    </row>
    <row r="5013" spans="20:20" ht="18.75" customHeight="1" x14ac:dyDescent="0.35">
      <c r="T5013" s="246">
        <f t="shared" si="116"/>
        <v>0</v>
      </c>
    </row>
    <row r="5014" spans="20:20" ht="18.75" customHeight="1" x14ac:dyDescent="0.35">
      <c r="T5014" s="246">
        <f t="shared" si="116"/>
        <v>0</v>
      </c>
    </row>
    <row r="5015" spans="20:20" ht="18.75" customHeight="1" x14ac:dyDescent="0.35">
      <c r="T5015" s="246">
        <f t="shared" si="116"/>
        <v>0</v>
      </c>
    </row>
    <row r="5016" spans="20:20" ht="18.75" customHeight="1" x14ac:dyDescent="0.35">
      <c r="T5016" s="246">
        <f t="shared" si="116"/>
        <v>0</v>
      </c>
    </row>
    <row r="5017" spans="20:20" ht="18.75" customHeight="1" x14ac:dyDescent="0.35">
      <c r="T5017" s="246">
        <f t="shared" si="116"/>
        <v>0</v>
      </c>
    </row>
    <row r="5018" spans="20:20" ht="18.75" customHeight="1" x14ac:dyDescent="0.35">
      <c r="T5018" s="246">
        <f t="shared" si="116"/>
        <v>0</v>
      </c>
    </row>
    <row r="5019" spans="20:20" ht="18.75" customHeight="1" x14ac:dyDescent="0.35">
      <c r="T5019" s="246">
        <f t="shared" si="116"/>
        <v>0</v>
      </c>
    </row>
    <row r="5020" spans="20:20" ht="18.75" customHeight="1" x14ac:dyDescent="0.35">
      <c r="T5020" s="246">
        <f t="shared" si="116"/>
        <v>0</v>
      </c>
    </row>
    <row r="5021" spans="20:20" ht="18.75" customHeight="1" x14ac:dyDescent="0.35">
      <c r="T5021" s="246">
        <f t="shared" si="116"/>
        <v>0</v>
      </c>
    </row>
    <row r="5022" spans="20:20" ht="18.75" customHeight="1" x14ac:dyDescent="0.35">
      <c r="T5022" s="246">
        <f t="shared" si="116"/>
        <v>0</v>
      </c>
    </row>
    <row r="5023" spans="20:20" ht="18.75" customHeight="1" x14ac:dyDescent="0.35">
      <c r="T5023" s="246">
        <f t="shared" si="116"/>
        <v>0</v>
      </c>
    </row>
    <row r="5024" spans="20:20" ht="18.75" customHeight="1" x14ac:dyDescent="0.35">
      <c r="T5024" s="246">
        <f t="shared" si="116"/>
        <v>0</v>
      </c>
    </row>
    <row r="5025" spans="20:20" ht="18.75" customHeight="1" x14ac:dyDescent="0.35">
      <c r="T5025" s="246">
        <f t="shared" si="116"/>
        <v>0</v>
      </c>
    </row>
    <row r="5026" spans="20:20" ht="18.75" customHeight="1" x14ac:dyDescent="0.35">
      <c r="T5026" s="246">
        <f t="shared" si="116"/>
        <v>0</v>
      </c>
    </row>
    <row r="5027" spans="20:20" ht="18.75" customHeight="1" x14ac:dyDescent="0.35">
      <c r="T5027" s="246">
        <f t="shared" si="116"/>
        <v>0</v>
      </c>
    </row>
    <row r="5028" spans="20:20" ht="18.75" customHeight="1" x14ac:dyDescent="0.35">
      <c r="T5028" s="246">
        <f t="shared" si="116"/>
        <v>0</v>
      </c>
    </row>
    <row r="5029" spans="20:20" ht="18.75" customHeight="1" x14ac:dyDescent="0.35">
      <c r="T5029" s="246">
        <f t="shared" si="116"/>
        <v>0</v>
      </c>
    </row>
    <row r="5030" spans="20:20" ht="18.75" customHeight="1" x14ac:dyDescent="0.35">
      <c r="T5030" s="246">
        <f t="shared" si="116"/>
        <v>0</v>
      </c>
    </row>
    <row r="5031" spans="20:20" ht="18.75" customHeight="1" x14ac:dyDescent="0.35">
      <c r="T5031" s="246">
        <f t="shared" si="116"/>
        <v>0</v>
      </c>
    </row>
    <row r="5032" spans="20:20" ht="18.75" customHeight="1" x14ac:dyDescent="0.35">
      <c r="T5032" s="246">
        <f t="shared" si="116"/>
        <v>0</v>
      </c>
    </row>
    <row r="5033" spans="20:20" ht="18.75" customHeight="1" x14ac:dyDescent="0.35">
      <c r="T5033" s="246">
        <f t="shared" si="116"/>
        <v>0</v>
      </c>
    </row>
    <row r="5034" spans="20:20" ht="18.75" customHeight="1" x14ac:dyDescent="0.35">
      <c r="T5034" s="246">
        <f t="shared" si="116"/>
        <v>0</v>
      </c>
    </row>
    <row r="5035" spans="20:20" ht="18.75" customHeight="1" x14ac:dyDescent="0.35">
      <c r="T5035" s="246">
        <f t="shared" si="116"/>
        <v>0</v>
      </c>
    </row>
    <row r="5036" spans="20:20" ht="18.75" customHeight="1" x14ac:dyDescent="0.35">
      <c r="T5036" s="246">
        <f t="shared" si="116"/>
        <v>0</v>
      </c>
    </row>
    <row r="5037" spans="20:20" ht="18.75" customHeight="1" x14ac:dyDescent="0.35">
      <c r="T5037" s="246">
        <f t="shared" si="116"/>
        <v>0</v>
      </c>
    </row>
    <row r="5038" spans="20:20" ht="18.75" customHeight="1" x14ac:dyDescent="0.35">
      <c r="T5038" s="246">
        <f t="shared" si="116"/>
        <v>0</v>
      </c>
    </row>
    <row r="5039" spans="20:20" ht="18.75" customHeight="1" x14ac:dyDescent="0.35">
      <c r="T5039" s="246">
        <f t="shared" si="116"/>
        <v>0</v>
      </c>
    </row>
    <row r="5040" spans="20:20" ht="18.75" customHeight="1" x14ac:dyDescent="0.35">
      <c r="T5040" s="246">
        <f t="shared" si="116"/>
        <v>0</v>
      </c>
    </row>
    <row r="5041" spans="20:20" ht="18.75" customHeight="1" x14ac:dyDescent="0.35">
      <c r="T5041" s="246">
        <f t="shared" si="116"/>
        <v>0</v>
      </c>
    </row>
    <row r="5042" spans="20:20" ht="18.75" customHeight="1" x14ac:dyDescent="0.35">
      <c r="T5042" s="246">
        <f t="shared" si="116"/>
        <v>0</v>
      </c>
    </row>
    <row r="5043" spans="20:20" ht="18.75" customHeight="1" x14ac:dyDescent="0.35">
      <c r="T5043" s="246">
        <f t="shared" si="116"/>
        <v>0</v>
      </c>
    </row>
    <row r="5044" spans="20:20" ht="18.75" customHeight="1" x14ac:dyDescent="0.35">
      <c r="T5044" s="246">
        <f t="shared" si="116"/>
        <v>0</v>
      </c>
    </row>
    <row r="5045" spans="20:20" ht="18.75" customHeight="1" x14ac:dyDescent="0.35">
      <c r="T5045" s="246">
        <f t="shared" si="116"/>
        <v>0</v>
      </c>
    </row>
    <row r="5046" spans="20:20" ht="18.75" customHeight="1" x14ac:dyDescent="0.35">
      <c r="T5046" s="246">
        <f t="shared" si="116"/>
        <v>0</v>
      </c>
    </row>
    <row r="5047" spans="20:20" ht="18.75" customHeight="1" x14ac:dyDescent="0.35">
      <c r="T5047" s="246">
        <f t="shared" si="116"/>
        <v>0</v>
      </c>
    </row>
    <row r="5048" spans="20:20" ht="18.75" customHeight="1" x14ac:dyDescent="0.35">
      <c r="T5048" s="246">
        <f t="shared" si="116"/>
        <v>0</v>
      </c>
    </row>
    <row r="5049" spans="20:20" ht="18.75" customHeight="1" x14ac:dyDescent="0.35">
      <c r="T5049" s="246">
        <f t="shared" si="116"/>
        <v>0</v>
      </c>
    </row>
    <row r="5050" spans="20:20" ht="18.75" customHeight="1" x14ac:dyDescent="0.35">
      <c r="T5050" s="246">
        <f t="shared" si="116"/>
        <v>0</v>
      </c>
    </row>
    <row r="5051" spans="20:20" ht="18.75" customHeight="1" x14ac:dyDescent="0.35">
      <c r="T5051" s="246">
        <f t="shared" si="116"/>
        <v>0</v>
      </c>
    </row>
    <row r="5052" spans="20:20" ht="18.75" customHeight="1" x14ac:dyDescent="0.35">
      <c r="T5052" s="246">
        <f t="shared" ref="T5052:T5115" si="117">R5052*0.01</f>
        <v>0</v>
      </c>
    </row>
    <row r="5053" spans="20:20" ht="18.75" customHeight="1" x14ac:dyDescent="0.35">
      <c r="T5053" s="246">
        <f t="shared" si="117"/>
        <v>0</v>
      </c>
    </row>
    <row r="5054" spans="20:20" ht="18.75" customHeight="1" x14ac:dyDescent="0.35">
      <c r="T5054" s="246">
        <f t="shared" si="117"/>
        <v>0</v>
      </c>
    </row>
    <row r="5055" spans="20:20" ht="18.75" customHeight="1" x14ac:dyDescent="0.35">
      <c r="T5055" s="246">
        <f t="shared" si="117"/>
        <v>0</v>
      </c>
    </row>
    <row r="5056" spans="20:20" ht="18.75" customHeight="1" x14ac:dyDescent="0.35">
      <c r="T5056" s="246">
        <f t="shared" si="117"/>
        <v>0</v>
      </c>
    </row>
    <row r="5057" spans="20:20" ht="18.75" customHeight="1" x14ac:dyDescent="0.35">
      <c r="T5057" s="246">
        <f t="shared" si="117"/>
        <v>0</v>
      </c>
    </row>
    <row r="5058" spans="20:20" ht="18.75" customHeight="1" x14ac:dyDescent="0.35">
      <c r="T5058" s="246">
        <f t="shared" si="117"/>
        <v>0</v>
      </c>
    </row>
    <row r="5059" spans="20:20" ht="18.75" customHeight="1" x14ac:dyDescent="0.35">
      <c r="T5059" s="246">
        <f t="shared" si="117"/>
        <v>0</v>
      </c>
    </row>
    <row r="5060" spans="20:20" ht="18.75" customHeight="1" x14ac:dyDescent="0.35">
      <c r="T5060" s="246">
        <f t="shared" si="117"/>
        <v>0</v>
      </c>
    </row>
    <row r="5061" spans="20:20" ht="18.75" customHeight="1" x14ac:dyDescent="0.35">
      <c r="T5061" s="246">
        <f t="shared" si="117"/>
        <v>0</v>
      </c>
    </row>
    <row r="5062" spans="20:20" ht="18.75" customHeight="1" x14ac:dyDescent="0.35">
      <c r="T5062" s="246">
        <f t="shared" si="117"/>
        <v>0</v>
      </c>
    </row>
    <row r="5063" spans="20:20" ht="18.75" customHeight="1" x14ac:dyDescent="0.35">
      <c r="T5063" s="246">
        <f t="shared" si="117"/>
        <v>0</v>
      </c>
    </row>
    <row r="5064" spans="20:20" ht="18.75" customHeight="1" x14ac:dyDescent="0.35">
      <c r="T5064" s="246">
        <f t="shared" si="117"/>
        <v>0</v>
      </c>
    </row>
    <row r="5065" spans="20:20" ht="18.75" customHeight="1" x14ac:dyDescent="0.35">
      <c r="T5065" s="246">
        <f t="shared" si="117"/>
        <v>0</v>
      </c>
    </row>
    <row r="5066" spans="20:20" ht="18.75" customHeight="1" x14ac:dyDescent="0.35">
      <c r="T5066" s="246">
        <f t="shared" si="117"/>
        <v>0</v>
      </c>
    </row>
    <row r="5067" spans="20:20" ht="18.75" customHeight="1" x14ac:dyDescent="0.35">
      <c r="T5067" s="246">
        <f t="shared" si="117"/>
        <v>0</v>
      </c>
    </row>
    <row r="5068" spans="20:20" ht="18.75" customHeight="1" x14ac:dyDescent="0.35">
      <c r="T5068" s="246">
        <f t="shared" si="117"/>
        <v>0</v>
      </c>
    </row>
    <row r="5069" spans="20:20" ht="18.75" customHeight="1" x14ac:dyDescent="0.35">
      <c r="T5069" s="246">
        <f t="shared" si="117"/>
        <v>0</v>
      </c>
    </row>
    <row r="5070" spans="20:20" ht="18.75" customHeight="1" x14ac:dyDescent="0.35">
      <c r="T5070" s="246">
        <f t="shared" si="117"/>
        <v>0</v>
      </c>
    </row>
    <row r="5071" spans="20:20" ht="18.75" customHeight="1" x14ac:dyDescent="0.35">
      <c r="T5071" s="246">
        <f t="shared" si="117"/>
        <v>0</v>
      </c>
    </row>
    <row r="5072" spans="20:20" ht="18.75" customHeight="1" x14ac:dyDescent="0.35">
      <c r="T5072" s="246">
        <f t="shared" si="117"/>
        <v>0</v>
      </c>
    </row>
    <row r="5073" spans="20:20" ht="18.75" customHeight="1" x14ac:dyDescent="0.35">
      <c r="T5073" s="246">
        <f t="shared" si="117"/>
        <v>0</v>
      </c>
    </row>
    <row r="5074" spans="20:20" ht="18.75" customHeight="1" x14ac:dyDescent="0.35">
      <c r="T5074" s="246">
        <f t="shared" si="117"/>
        <v>0</v>
      </c>
    </row>
    <row r="5075" spans="20:20" ht="18.75" customHeight="1" x14ac:dyDescent="0.35">
      <c r="T5075" s="246">
        <f t="shared" si="117"/>
        <v>0</v>
      </c>
    </row>
    <row r="5076" spans="20:20" ht="18.75" customHeight="1" x14ac:dyDescent="0.35">
      <c r="T5076" s="246">
        <f t="shared" si="117"/>
        <v>0</v>
      </c>
    </row>
    <row r="5077" spans="20:20" ht="18.75" customHeight="1" x14ac:dyDescent="0.35">
      <c r="T5077" s="246">
        <f t="shared" si="117"/>
        <v>0</v>
      </c>
    </row>
    <row r="5078" spans="20:20" ht="18.75" customHeight="1" x14ac:dyDescent="0.35">
      <c r="T5078" s="246">
        <f t="shared" si="117"/>
        <v>0</v>
      </c>
    </row>
    <row r="5079" spans="20:20" ht="18.75" customHeight="1" x14ac:dyDescent="0.35">
      <c r="T5079" s="246">
        <f t="shared" si="117"/>
        <v>0</v>
      </c>
    </row>
    <row r="5080" spans="20:20" ht="18.75" customHeight="1" x14ac:dyDescent="0.35">
      <c r="T5080" s="246">
        <f t="shared" si="117"/>
        <v>0</v>
      </c>
    </row>
    <row r="5081" spans="20:20" ht="18.75" customHeight="1" x14ac:dyDescent="0.35">
      <c r="T5081" s="246">
        <f t="shared" si="117"/>
        <v>0</v>
      </c>
    </row>
    <row r="5082" spans="20:20" ht="18.75" customHeight="1" x14ac:dyDescent="0.35">
      <c r="T5082" s="246">
        <f t="shared" si="117"/>
        <v>0</v>
      </c>
    </row>
    <row r="5083" spans="20:20" ht="18.75" customHeight="1" x14ac:dyDescent="0.35">
      <c r="T5083" s="246">
        <f t="shared" si="117"/>
        <v>0</v>
      </c>
    </row>
    <row r="5084" spans="20:20" ht="18.75" customHeight="1" x14ac:dyDescent="0.35">
      <c r="T5084" s="246">
        <f t="shared" si="117"/>
        <v>0</v>
      </c>
    </row>
    <row r="5085" spans="20:20" ht="18.75" customHeight="1" x14ac:dyDescent="0.35">
      <c r="T5085" s="246">
        <f t="shared" si="117"/>
        <v>0</v>
      </c>
    </row>
    <row r="5086" spans="20:20" ht="18.75" customHeight="1" x14ac:dyDescent="0.35">
      <c r="T5086" s="246">
        <f t="shared" si="117"/>
        <v>0</v>
      </c>
    </row>
    <row r="5087" spans="20:20" ht="18.75" customHeight="1" x14ac:dyDescent="0.35">
      <c r="T5087" s="246">
        <f t="shared" si="117"/>
        <v>0</v>
      </c>
    </row>
    <row r="5088" spans="20:20" ht="18.75" customHeight="1" x14ac:dyDescent="0.35">
      <c r="T5088" s="246">
        <f t="shared" si="117"/>
        <v>0</v>
      </c>
    </row>
    <row r="5089" spans="20:20" ht="18.75" customHeight="1" x14ac:dyDescent="0.35">
      <c r="T5089" s="246">
        <f t="shared" si="117"/>
        <v>0</v>
      </c>
    </row>
    <row r="5090" spans="20:20" ht="18.75" customHeight="1" x14ac:dyDescent="0.35">
      <c r="T5090" s="246">
        <f t="shared" si="117"/>
        <v>0</v>
      </c>
    </row>
    <row r="5091" spans="20:20" ht="18.75" customHeight="1" x14ac:dyDescent="0.35">
      <c r="T5091" s="246">
        <f t="shared" si="117"/>
        <v>0</v>
      </c>
    </row>
    <row r="5092" spans="20:20" ht="18.75" customHeight="1" x14ac:dyDescent="0.35">
      <c r="T5092" s="246">
        <f t="shared" si="117"/>
        <v>0</v>
      </c>
    </row>
    <row r="5093" spans="20:20" ht="18.75" customHeight="1" x14ac:dyDescent="0.35">
      <c r="T5093" s="246">
        <f t="shared" si="117"/>
        <v>0</v>
      </c>
    </row>
    <row r="5094" spans="20:20" ht="18.75" customHeight="1" x14ac:dyDescent="0.35">
      <c r="T5094" s="246">
        <f t="shared" si="117"/>
        <v>0</v>
      </c>
    </row>
    <row r="5095" spans="20:20" ht="18.75" customHeight="1" x14ac:dyDescent="0.35">
      <c r="T5095" s="246">
        <f t="shared" si="117"/>
        <v>0</v>
      </c>
    </row>
    <row r="5096" spans="20:20" ht="18.75" customHeight="1" x14ac:dyDescent="0.35">
      <c r="T5096" s="246">
        <f t="shared" si="117"/>
        <v>0</v>
      </c>
    </row>
    <row r="5097" spans="20:20" ht="18.75" customHeight="1" x14ac:dyDescent="0.35">
      <c r="T5097" s="246">
        <f t="shared" si="117"/>
        <v>0</v>
      </c>
    </row>
    <row r="5098" spans="20:20" ht="18.75" customHeight="1" x14ac:dyDescent="0.35">
      <c r="T5098" s="246">
        <f t="shared" si="117"/>
        <v>0</v>
      </c>
    </row>
    <row r="5099" spans="20:20" ht="18.75" customHeight="1" x14ac:dyDescent="0.35">
      <c r="T5099" s="246">
        <f t="shared" si="117"/>
        <v>0</v>
      </c>
    </row>
    <row r="5100" spans="20:20" ht="18.75" customHeight="1" x14ac:dyDescent="0.35">
      <c r="T5100" s="246">
        <f t="shared" si="117"/>
        <v>0</v>
      </c>
    </row>
    <row r="5101" spans="20:20" ht="18.75" customHeight="1" x14ac:dyDescent="0.35">
      <c r="T5101" s="246">
        <f t="shared" si="117"/>
        <v>0</v>
      </c>
    </row>
    <row r="5102" spans="20:20" ht="18.75" customHeight="1" x14ac:dyDescent="0.35">
      <c r="T5102" s="246">
        <f t="shared" si="117"/>
        <v>0</v>
      </c>
    </row>
    <row r="5103" spans="20:20" ht="18.75" customHeight="1" x14ac:dyDescent="0.35">
      <c r="T5103" s="246">
        <f t="shared" si="117"/>
        <v>0</v>
      </c>
    </row>
    <row r="5104" spans="20:20" ht="18.75" customHeight="1" x14ac:dyDescent="0.35">
      <c r="T5104" s="246">
        <f t="shared" si="117"/>
        <v>0</v>
      </c>
    </row>
    <row r="5105" spans="20:20" ht="18.75" customHeight="1" x14ac:dyDescent="0.35">
      <c r="T5105" s="246">
        <f t="shared" si="117"/>
        <v>0</v>
      </c>
    </row>
    <row r="5106" spans="20:20" ht="18.75" customHeight="1" x14ac:dyDescent="0.35">
      <c r="T5106" s="246">
        <f t="shared" si="117"/>
        <v>0</v>
      </c>
    </row>
    <row r="5107" spans="20:20" ht="18.75" customHeight="1" x14ac:dyDescent="0.35">
      <c r="T5107" s="246">
        <f t="shared" si="117"/>
        <v>0</v>
      </c>
    </row>
    <row r="5108" spans="20:20" ht="18.75" customHeight="1" x14ac:dyDescent="0.35">
      <c r="T5108" s="246">
        <f t="shared" si="117"/>
        <v>0</v>
      </c>
    </row>
    <row r="5109" spans="20:20" ht="18.75" customHeight="1" x14ac:dyDescent="0.35">
      <c r="T5109" s="246">
        <f t="shared" si="117"/>
        <v>0</v>
      </c>
    </row>
    <row r="5110" spans="20:20" ht="18.75" customHeight="1" x14ac:dyDescent="0.35">
      <c r="T5110" s="246">
        <f t="shared" si="117"/>
        <v>0</v>
      </c>
    </row>
    <row r="5111" spans="20:20" ht="18.75" customHeight="1" x14ac:dyDescent="0.35">
      <c r="T5111" s="246">
        <f t="shared" si="117"/>
        <v>0</v>
      </c>
    </row>
    <row r="5112" spans="20:20" ht="18.75" customHeight="1" x14ac:dyDescent="0.35">
      <c r="T5112" s="246">
        <f t="shared" si="117"/>
        <v>0</v>
      </c>
    </row>
    <row r="5113" spans="20:20" ht="18.75" customHeight="1" x14ac:dyDescent="0.35">
      <c r="T5113" s="246">
        <f t="shared" si="117"/>
        <v>0</v>
      </c>
    </row>
    <row r="5114" spans="20:20" ht="18.75" customHeight="1" x14ac:dyDescent="0.35">
      <c r="T5114" s="246">
        <f t="shared" si="117"/>
        <v>0</v>
      </c>
    </row>
    <row r="5115" spans="20:20" ht="18.75" customHeight="1" x14ac:dyDescent="0.35">
      <c r="T5115" s="246">
        <f t="shared" si="117"/>
        <v>0</v>
      </c>
    </row>
    <row r="5116" spans="20:20" ht="18.75" customHeight="1" x14ac:dyDescent="0.35">
      <c r="T5116" s="246">
        <f t="shared" ref="T5116:T5179" si="118">R5116*0.01</f>
        <v>0</v>
      </c>
    </row>
    <row r="5117" spans="20:20" ht="18.75" customHeight="1" x14ac:dyDescent="0.35">
      <c r="T5117" s="246">
        <f t="shared" si="118"/>
        <v>0</v>
      </c>
    </row>
    <row r="5118" spans="20:20" ht="18.75" customHeight="1" x14ac:dyDescent="0.35">
      <c r="T5118" s="246">
        <f t="shared" si="118"/>
        <v>0</v>
      </c>
    </row>
    <row r="5119" spans="20:20" ht="18.75" customHeight="1" x14ac:dyDescent="0.35">
      <c r="T5119" s="246">
        <f t="shared" si="118"/>
        <v>0</v>
      </c>
    </row>
    <row r="5120" spans="20:20" ht="18.75" customHeight="1" x14ac:dyDescent="0.35">
      <c r="T5120" s="246">
        <f t="shared" si="118"/>
        <v>0</v>
      </c>
    </row>
    <row r="5121" spans="20:20" ht="18.75" customHeight="1" x14ac:dyDescent="0.35">
      <c r="T5121" s="246">
        <f t="shared" si="118"/>
        <v>0</v>
      </c>
    </row>
    <row r="5122" spans="20:20" ht="18.75" customHeight="1" x14ac:dyDescent="0.35">
      <c r="T5122" s="246">
        <f t="shared" si="118"/>
        <v>0</v>
      </c>
    </row>
    <row r="5123" spans="20:20" ht="18.75" customHeight="1" x14ac:dyDescent="0.35">
      <c r="T5123" s="246">
        <f t="shared" si="118"/>
        <v>0</v>
      </c>
    </row>
    <row r="5124" spans="20:20" ht="18.75" customHeight="1" x14ac:dyDescent="0.35">
      <c r="T5124" s="246">
        <f t="shared" si="118"/>
        <v>0</v>
      </c>
    </row>
    <row r="5125" spans="20:20" ht="18.75" customHeight="1" x14ac:dyDescent="0.35">
      <c r="T5125" s="246">
        <f t="shared" si="118"/>
        <v>0</v>
      </c>
    </row>
    <row r="5126" spans="20:20" ht="18.75" customHeight="1" x14ac:dyDescent="0.35">
      <c r="T5126" s="246">
        <f t="shared" si="118"/>
        <v>0</v>
      </c>
    </row>
    <row r="5127" spans="20:20" ht="18.75" customHeight="1" x14ac:dyDescent="0.35">
      <c r="T5127" s="246">
        <f t="shared" si="118"/>
        <v>0</v>
      </c>
    </row>
    <row r="5128" spans="20:20" ht="18.75" customHeight="1" x14ac:dyDescent="0.35">
      <c r="T5128" s="246">
        <f t="shared" si="118"/>
        <v>0</v>
      </c>
    </row>
    <row r="5129" spans="20:20" ht="18.75" customHeight="1" x14ac:dyDescent="0.35">
      <c r="T5129" s="246">
        <f t="shared" si="118"/>
        <v>0</v>
      </c>
    </row>
    <row r="5130" spans="20:20" ht="18.75" customHeight="1" x14ac:dyDescent="0.35">
      <c r="T5130" s="246">
        <f t="shared" si="118"/>
        <v>0</v>
      </c>
    </row>
    <row r="5131" spans="20:20" ht="18.75" customHeight="1" x14ac:dyDescent="0.35">
      <c r="T5131" s="246">
        <f t="shared" si="118"/>
        <v>0</v>
      </c>
    </row>
    <row r="5132" spans="20:20" ht="18.75" customHeight="1" x14ac:dyDescent="0.35">
      <c r="T5132" s="246">
        <f t="shared" si="118"/>
        <v>0</v>
      </c>
    </row>
    <row r="5133" spans="20:20" ht="18.75" customHeight="1" x14ac:dyDescent="0.35">
      <c r="T5133" s="246">
        <f t="shared" si="118"/>
        <v>0</v>
      </c>
    </row>
    <row r="5134" spans="20:20" ht="18.75" customHeight="1" x14ac:dyDescent="0.35">
      <c r="T5134" s="246">
        <f t="shared" si="118"/>
        <v>0</v>
      </c>
    </row>
    <row r="5135" spans="20:20" ht="18.75" customHeight="1" x14ac:dyDescent="0.35">
      <c r="T5135" s="246">
        <f t="shared" si="118"/>
        <v>0</v>
      </c>
    </row>
    <row r="5136" spans="20:20" ht="18.75" customHeight="1" x14ac:dyDescent="0.35">
      <c r="T5136" s="246">
        <f t="shared" si="118"/>
        <v>0</v>
      </c>
    </row>
    <row r="5137" spans="20:20" ht="18.75" customHeight="1" x14ac:dyDescent="0.35">
      <c r="T5137" s="246">
        <f t="shared" si="118"/>
        <v>0</v>
      </c>
    </row>
    <row r="5138" spans="20:20" ht="18.75" customHeight="1" x14ac:dyDescent="0.35">
      <c r="T5138" s="246">
        <f t="shared" si="118"/>
        <v>0</v>
      </c>
    </row>
    <row r="5139" spans="20:20" ht="18.75" customHeight="1" x14ac:dyDescent="0.35">
      <c r="T5139" s="246">
        <f t="shared" si="118"/>
        <v>0</v>
      </c>
    </row>
    <row r="5140" spans="20:20" ht="18.75" customHeight="1" x14ac:dyDescent="0.35">
      <c r="T5140" s="246">
        <f t="shared" si="118"/>
        <v>0</v>
      </c>
    </row>
    <row r="5141" spans="20:20" ht="18.75" customHeight="1" x14ac:dyDescent="0.35">
      <c r="T5141" s="246">
        <f t="shared" si="118"/>
        <v>0</v>
      </c>
    </row>
    <row r="5142" spans="20:20" ht="18.75" customHeight="1" x14ac:dyDescent="0.35">
      <c r="T5142" s="246">
        <f t="shared" si="118"/>
        <v>0</v>
      </c>
    </row>
    <row r="5143" spans="20:20" ht="18.75" customHeight="1" x14ac:dyDescent="0.35">
      <c r="T5143" s="246">
        <f t="shared" si="118"/>
        <v>0</v>
      </c>
    </row>
    <row r="5144" spans="20:20" ht="18.75" customHeight="1" x14ac:dyDescent="0.35">
      <c r="T5144" s="246">
        <f t="shared" si="118"/>
        <v>0</v>
      </c>
    </row>
    <row r="5145" spans="20:20" ht="18.75" customHeight="1" x14ac:dyDescent="0.35">
      <c r="T5145" s="246">
        <f t="shared" si="118"/>
        <v>0</v>
      </c>
    </row>
    <row r="5146" spans="20:20" ht="18.75" customHeight="1" x14ac:dyDescent="0.35">
      <c r="T5146" s="246">
        <f t="shared" si="118"/>
        <v>0</v>
      </c>
    </row>
    <row r="5147" spans="20:20" ht="18.75" customHeight="1" x14ac:dyDescent="0.35">
      <c r="T5147" s="246">
        <f t="shared" si="118"/>
        <v>0</v>
      </c>
    </row>
    <row r="5148" spans="20:20" ht="18.75" customHeight="1" x14ac:dyDescent="0.35">
      <c r="T5148" s="246">
        <f t="shared" si="118"/>
        <v>0</v>
      </c>
    </row>
    <row r="5149" spans="20:20" ht="18.75" customHeight="1" x14ac:dyDescent="0.35">
      <c r="T5149" s="246">
        <f t="shared" si="118"/>
        <v>0</v>
      </c>
    </row>
    <row r="5150" spans="20:20" ht="18.75" customHeight="1" x14ac:dyDescent="0.35">
      <c r="T5150" s="246">
        <f t="shared" si="118"/>
        <v>0</v>
      </c>
    </row>
    <row r="5151" spans="20:20" ht="18.75" customHeight="1" x14ac:dyDescent="0.35">
      <c r="T5151" s="246">
        <f t="shared" si="118"/>
        <v>0</v>
      </c>
    </row>
    <row r="5152" spans="20:20" ht="18.75" customHeight="1" x14ac:dyDescent="0.35">
      <c r="T5152" s="246">
        <f t="shared" si="118"/>
        <v>0</v>
      </c>
    </row>
    <row r="5153" spans="20:20" ht="18.75" customHeight="1" x14ac:dyDescent="0.35">
      <c r="T5153" s="246">
        <f t="shared" si="118"/>
        <v>0</v>
      </c>
    </row>
    <row r="5154" spans="20:20" ht="18.75" customHeight="1" x14ac:dyDescent="0.35">
      <c r="T5154" s="246">
        <f t="shared" si="118"/>
        <v>0</v>
      </c>
    </row>
    <row r="5155" spans="20:20" ht="18.75" customHeight="1" x14ac:dyDescent="0.35">
      <c r="T5155" s="246">
        <f t="shared" si="118"/>
        <v>0</v>
      </c>
    </row>
    <row r="5156" spans="20:20" ht="18.75" customHeight="1" x14ac:dyDescent="0.35">
      <c r="T5156" s="246">
        <f t="shared" si="118"/>
        <v>0</v>
      </c>
    </row>
    <row r="5157" spans="20:20" ht="18.75" customHeight="1" x14ac:dyDescent="0.35">
      <c r="T5157" s="246">
        <f t="shared" si="118"/>
        <v>0</v>
      </c>
    </row>
    <row r="5158" spans="20:20" ht="18.75" customHeight="1" x14ac:dyDescent="0.35">
      <c r="T5158" s="246">
        <f t="shared" si="118"/>
        <v>0</v>
      </c>
    </row>
    <row r="5159" spans="20:20" ht="18.75" customHeight="1" x14ac:dyDescent="0.35">
      <c r="T5159" s="246">
        <f t="shared" si="118"/>
        <v>0</v>
      </c>
    </row>
    <row r="5160" spans="20:20" ht="18.75" customHeight="1" x14ac:dyDescent="0.35">
      <c r="T5160" s="246">
        <f t="shared" si="118"/>
        <v>0</v>
      </c>
    </row>
    <row r="5161" spans="20:20" ht="18.75" customHeight="1" x14ac:dyDescent="0.35">
      <c r="T5161" s="246">
        <f t="shared" si="118"/>
        <v>0</v>
      </c>
    </row>
    <row r="5162" spans="20:20" ht="18.75" customHeight="1" x14ac:dyDescent="0.35">
      <c r="T5162" s="246">
        <f t="shared" si="118"/>
        <v>0</v>
      </c>
    </row>
    <row r="5163" spans="20:20" ht="18.75" customHeight="1" x14ac:dyDescent="0.35">
      <c r="T5163" s="246">
        <f t="shared" si="118"/>
        <v>0</v>
      </c>
    </row>
    <row r="5164" spans="20:20" ht="18.75" customHeight="1" x14ac:dyDescent="0.35">
      <c r="T5164" s="246">
        <f t="shared" si="118"/>
        <v>0</v>
      </c>
    </row>
    <row r="5165" spans="20:20" ht="18.75" customHeight="1" x14ac:dyDescent="0.35">
      <c r="T5165" s="246">
        <f t="shared" si="118"/>
        <v>0</v>
      </c>
    </row>
    <row r="5166" spans="20:20" ht="18.75" customHeight="1" x14ac:dyDescent="0.35">
      <c r="T5166" s="246">
        <f t="shared" si="118"/>
        <v>0</v>
      </c>
    </row>
    <row r="5167" spans="20:20" ht="18.75" customHeight="1" x14ac:dyDescent="0.35">
      <c r="T5167" s="246">
        <f t="shared" si="118"/>
        <v>0</v>
      </c>
    </row>
    <row r="5168" spans="20:20" ht="18.75" customHeight="1" x14ac:dyDescent="0.35">
      <c r="T5168" s="246">
        <f t="shared" si="118"/>
        <v>0</v>
      </c>
    </row>
    <row r="5169" spans="20:20" ht="18.75" customHeight="1" x14ac:dyDescent="0.35">
      <c r="T5169" s="246">
        <f t="shared" si="118"/>
        <v>0</v>
      </c>
    </row>
    <row r="5170" spans="20:20" ht="18.75" customHeight="1" x14ac:dyDescent="0.35">
      <c r="T5170" s="246">
        <f t="shared" si="118"/>
        <v>0</v>
      </c>
    </row>
    <row r="5171" spans="20:20" ht="18.75" customHeight="1" x14ac:dyDescent="0.35">
      <c r="T5171" s="246">
        <f t="shared" si="118"/>
        <v>0</v>
      </c>
    </row>
    <row r="5172" spans="20:20" ht="18.75" customHeight="1" x14ac:dyDescent="0.35">
      <c r="T5172" s="246">
        <f t="shared" si="118"/>
        <v>0</v>
      </c>
    </row>
    <row r="5173" spans="20:20" ht="18.75" customHeight="1" x14ac:dyDescent="0.35">
      <c r="T5173" s="246">
        <f t="shared" si="118"/>
        <v>0</v>
      </c>
    </row>
    <row r="5174" spans="20:20" ht="18.75" customHeight="1" x14ac:dyDescent="0.35">
      <c r="T5174" s="246">
        <f t="shared" si="118"/>
        <v>0</v>
      </c>
    </row>
    <row r="5175" spans="20:20" ht="18.75" customHeight="1" x14ac:dyDescent="0.35">
      <c r="T5175" s="246">
        <f t="shared" si="118"/>
        <v>0</v>
      </c>
    </row>
    <row r="5176" spans="20:20" ht="18.75" customHeight="1" x14ac:dyDescent="0.35">
      <c r="T5176" s="246">
        <f t="shared" si="118"/>
        <v>0</v>
      </c>
    </row>
    <row r="5177" spans="20:20" ht="18.75" customHeight="1" x14ac:dyDescent="0.35">
      <c r="T5177" s="246">
        <f t="shared" si="118"/>
        <v>0</v>
      </c>
    </row>
    <row r="5178" spans="20:20" ht="18.75" customHeight="1" x14ac:dyDescent="0.35">
      <c r="T5178" s="246">
        <f t="shared" si="118"/>
        <v>0</v>
      </c>
    </row>
    <row r="5179" spans="20:20" ht="18.75" customHeight="1" x14ac:dyDescent="0.35">
      <c r="T5179" s="246">
        <f t="shared" si="118"/>
        <v>0</v>
      </c>
    </row>
    <row r="5180" spans="20:20" ht="18.75" customHeight="1" x14ac:dyDescent="0.35">
      <c r="T5180" s="246">
        <f t="shared" ref="T5180:T5243" si="119">R5180*0.01</f>
        <v>0</v>
      </c>
    </row>
    <row r="5181" spans="20:20" ht="18.75" customHeight="1" x14ac:dyDescent="0.35">
      <c r="T5181" s="246">
        <f t="shared" si="119"/>
        <v>0</v>
      </c>
    </row>
    <row r="5182" spans="20:20" ht="18.75" customHeight="1" x14ac:dyDescent="0.35">
      <c r="T5182" s="246">
        <f t="shared" si="119"/>
        <v>0</v>
      </c>
    </row>
    <row r="5183" spans="20:20" ht="18.75" customHeight="1" x14ac:dyDescent="0.35">
      <c r="T5183" s="246">
        <f t="shared" si="119"/>
        <v>0</v>
      </c>
    </row>
    <row r="5184" spans="20:20" ht="18.75" customHeight="1" x14ac:dyDescent="0.35">
      <c r="T5184" s="246">
        <f t="shared" si="119"/>
        <v>0</v>
      </c>
    </row>
    <row r="5185" spans="20:20" ht="18.75" customHeight="1" x14ac:dyDescent="0.35">
      <c r="T5185" s="246">
        <f t="shared" si="119"/>
        <v>0</v>
      </c>
    </row>
    <row r="5186" spans="20:20" ht="18.75" customHeight="1" x14ac:dyDescent="0.35">
      <c r="T5186" s="246">
        <f t="shared" si="119"/>
        <v>0</v>
      </c>
    </row>
    <row r="5187" spans="20:20" ht="18.75" customHeight="1" x14ac:dyDescent="0.35">
      <c r="T5187" s="246">
        <f t="shared" si="119"/>
        <v>0</v>
      </c>
    </row>
    <row r="5188" spans="20:20" ht="18.75" customHeight="1" x14ac:dyDescent="0.35">
      <c r="T5188" s="246">
        <f t="shared" si="119"/>
        <v>0</v>
      </c>
    </row>
    <row r="5189" spans="20:20" ht="18.75" customHeight="1" x14ac:dyDescent="0.35">
      <c r="T5189" s="246">
        <f t="shared" si="119"/>
        <v>0</v>
      </c>
    </row>
    <row r="5190" spans="20:20" ht="18.75" customHeight="1" x14ac:dyDescent="0.35">
      <c r="T5190" s="246">
        <f t="shared" si="119"/>
        <v>0</v>
      </c>
    </row>
    <row r="5191" spans="20:20" ht="18.75" customHeight="1" x14ac:dyDescent="0.35">
      <c r="T5191" s="246">
        <f t="shared" si="119"/>
        <v>0</v>
      </c>
    </row>
    <row r="5192" spans="20:20" ht="18.75" customHeight="1" x14ac:dyDescent="0.35">
      <c r="T5192" s="246">
        <f t="shared" si="119"/>
        <v>0</v>
      </c>
    </row>
    <row r="5193" spans="20:20" ht="18.75" customHeight="1" x14ac:dyDescent="0.35">
      <c r="T5193" s="246">
        <f t="shared" si="119"/>
        <v>0</v>
      </c>
    </row>
    <row r="5194" spans="20:20" ht="18.75" customHeight="1" x14ac:dyDescent="0.35">
      <c r="T5194" s="246">
        <f t="shared" si="119"/>
        <v>0</v>
      </c>
    </row>
    <row r="5195" spans="20:20" ht="18.75" customHeight="1" x14ac:dyDescent="0.35">
      <c r="T5195" s="246">
        <f t="shared" si="119"/>
        <v>0</v>
      </c>
    </row>
    <row r="5196" spans="20:20" ht="18.75" customHeight="1" x14ac:dyDescent="0.35">
      <c r="T5196" s="246">
        <f t="shared" si="119"/>
        <v>0</v>
      </c>
    </row>
    <row r="5197" spans="20:20" ht="18.75" customHeight="1" x14ac:dyDescent="0.35">
      <c r="T5197" s="246">
        <f t="shared" si="119"/>
        <v>0</v>
      </c>
    </row>
    <row r="5198" spans="20:20" ht="18.75" customHeight="1" x14ac:dyDescent="0.35">
      <c r="T5198" s="246">
        <f t="shared" si="119"/>
        <v>0</v>
      </c>
    </row>
    <row r="5199" spans="20:20" ht="18.75" customHeight="1" x14ac:dyDescent="0.35">
      <c r="T5199" s="246">
        <f t="shared" si="119"/>
        <v>0</v>
      </c>
    </row>
    <row r="5200" spans="20:20" ht="18.75" customHeight="1" x14ac:dyDescent="0.35">
      <c r="T5200" s="246">
        <f t="shared" si="119"/>
        <v>0</v>
      </c>
    </row>
    <row r="5201" spans="20:20" ht="18.75" customHeight="1" x14ac:dyDescent="0.35">
      <c r="T5201" s="246">
        <f t="shared" si="119"/>
        <v>0</v>
      </c>
    </row>
    <row r="5202" spans="20:20" ht="18.75" customHeight="1" x14ac:dyDescent="0.35">
      <c r="T5202" s="246">
        <f t="shared" si="119"/>
        <v>0</v>
      </c>
    </row>
    <row r="5203" spans="20:20" ht="18.75" customHeight="1" x14ac:dyDescent="0.35">
      <c r="T5203" s="246">
        <f t="shared" si="119"/>
        <v>0</v>
      </c>
    </row>
    <row r="5204" spans="20:20" ht="18.75" customHeight="1" x14ac:dyDescent="0.35">
      <c r="T5204" s="246">
        <f t="shared" si="119"/>
        <v>0</v>
      </c>
    </row>
    <row r="5205" spans="20:20" ht="18.75" customHeight="1" x14ac:dyDescent="0.35">
      <c r="T5205" s="246">
        <f t="shared" si="119"/>
        <v>0</v>
      </c>
    </row>
    <row r="5206" spans="20:20" ht="18.75" customHeight="1" x14ac:dyDescent="0.35">
      <c r="T5206" s="246">
        <f t="shared" si="119"/>
        <v>0</v>
      </c>
    </row>
    <row r="5207" spans="20:20" ht="18.75" customHeight="1" x14ac:dyDescent="0.35">
      <c r="T5207" s="246">
        <f t="shared" si="119"/>
        <v>0</v>
      </c>
    </row>
    <row r="5208" spans="20:20" ht="18.75" customHeight="1" x14ac:dyDescent="0.35">
      <c r="T5208" s="246">
        <f t="shared" si="119"/>
        <v>0</v>
      </c>
    </row>
    <row r="5209" spans="20:20" ht="18.75" customHeight="1" x14ac:dyDescent="0.35">
      <c r="T5209" s="246">
        <f t="shared" si="119"/>
        <v>0</v>
      </c>
    </row>
    <row r="5210" spans="20:20" ht="18.75" customHeight="1" x14ac:dyDescent="0.35">
      <c r="T5210" s="246">
        <f t="shared" si="119"/>
        <v>0</v>
      </c>
    </row>
    <row r="5211" spans="20:20" ht="18.75" customHeight="1" x14ac:dyDescent="0.35">
      <c r="T5211" s="246">
        <f t="shared" si="119"/>
        <v>0</v>
      </c>
    </row>
    <row r="5212" spans="20:20" ht="18.75" customHeight="1" x14ac:dyDescent="0.35">
      <c r="T5212" s="246">
        <f t="shared" si="119"/>
        <v>0</v>
      </c>
    </row>
    <row r="5213" spans="20:20" ht="18.75" customHeight="1" x14ac:dyDescent="0.35">
      <c r="T5213" s="246">
        <f t="shared" si="119"/>
        <v>0</v>
      </c>
    </row>
    <row r="5214" spans="20:20" ht="18.75" customHeight="1" x14ac:dyDescent="0.35">
      <c r="T5214" s="246">
        <f t="shared" si="119"/>
        <v>0</v>
      </c>
    </row>
    <row r="5215" spans="20:20" ht="18.75" customHeight="1" x14ac:dyDescent="0.35">
      <c r="T5215" s="246">
        <f t="shared" si="119"/>
        <v>0</v>
      </c>
    </row>
    <row r="5216" spans="20:20" ht="18.75" customHeight="1" x14ac:dyDescent="0.35">
      <c r="T5216" s="246">
        <f t="shared" si="119"/>
        <v>0</v>
      </c>
    </row>
    <row r="5217" spans="20:20" ht="18.75" customHeight="1" x14ac:dyDescent="0.35">
      <c r="T5217" s="246">
        <f t="shared" si="119"/>
        <v>0</v>
      </c>
    </row>
    <row r="5218" spans="20:20" ht="18.75" customHeight="1" x14ac:dyDescent="0.35">
      <c r="T5218" s="246">
        <f t="shared" si="119"/>
        <v>0</v>
      </c>
    </row>
    <row r="5219" spans="20:20" ht="18.75" customHeight="1" x14ac:dyDescent="0.35">
      <c r="T5219" s="246">
        <f t="shared" si="119"/>
        <v>0</v>
      </c>
    </row>
    <row r="5220" spans="20:20" ht="18.75" customHeight="1" x14ac:dyDescent="0.35">
      <c r="T5220" s="246">
        <f t="shared" si="119"/>
        <v>0</v>
      </c>
    </row>
    <row r="5221" spans="20:20" ht="18.75" customHeight="1" x14ac:dyDescent="0.35">
      <c r="T5221" s="246">
        <f t="shared" si="119"/>
        <v>0</v>
      </c>
    </row>
    <row r="5222" spans="20:20" ht="18.75" customHeight="1" x14ac:dyDescent="0.35">
      <c r="T5222" s="246">
        <f t="shared" si="119"/>
        <v>0</v>
      </c>
    </row>
    <row r="5223" spans="20:20" ht="18.75" customHeight="1" x14ac:dyDescent="0.35">
      <c r="T5223" s="246">
        <f t="shared" si="119"/>
        <v>0</v>
      </c>
    </row>
    <row r="5224" spans="20:20" ht="18.75" customHeight="1" x14ac:dyDescent="0.35">
      <c r="T5224" s="246">
        <f t="shared" si="119"/>
        <v>0</v>
      </c>
    </row>
    <row r="5225" spans="20:20" ht="18.75" customHeight="1" x14ac:dyDescent="0.35">
      <c r="T5225" s="246">
        <f t="shared" si="119"/>
        <v>0</v>
      </c>
    </row>
    <row r="5226" spans="20:20" ht="18.75" customHeight="1" x14ac:dyDescent="0.35">
      <c r="T5226" s="246">
        <f t="shared" si="119"/>
        <v>0</v>
      </c>
    </row>
    <row r="5227" spans="20:20" ht="18.75" customHeight="1" x14ac:dyDescent="0.35">
      <c r="T5227" s="246">
        <f t="shared" si="119"/>
        <v>0</v>
      </c>
    </row>
    <row r="5228" spans="20:20" ht="18.75" customHeight="1" x14ac:dyDescent="0.35">
      <c r="T5228" s="246">
        <f t="shared" si="119"/>
        <v>0</v>
      </c>
    </row>
    <row r="5229" spans="20:20" ht="18.75" customHeight="1" x14ac:dyDescent="0.35">
      <c r="T5229" s="246">
        <f t="shared" si="119"/>
        <v>0</v>
      </c>
    </row>
    <row r="5230" spans="20:20" ht="18.75" customHeight="1" x14ac:dyDescent="0.35">
      <c r="T5230" s="246">
        <f t="shared" si="119"/>
        <v>0</v>
      </c>
    </row>
    <row r="5231" spans="20:20" ht="18.75" customHeight="1" x14ac:dyDescent="0.35">
      <c r="T5231" s="246">
        <f t="shared" si="119"/>
        <v>0</v>
      </c>
    </row>
    <row r="5232" spans="20:20" ht="18.75" customHeight="1" x14ac:dyDescent="0.35">
      <c r="T5232" s="246">
        <f t="shared" si="119"/>
        <v>0</v>
      </c>
    </row>
    <row r="5233" spans="20:20" ht="18.75" customHeight="1" x14ac:dyDescent="0.35">
      <c r="T5233" s="246">
        <f t="shared" si="119"/>
        <v>0</v>
      </c>
    </row>
    <row r="5234" spans="20:20" ht="18.75" customHeight="1" x14ac:dyDescent="0.35">
      <c r="T5234" s="246">
        <f t="shared" si="119"/>
        <v>0</v>
      </c>
    </row>
    <row r="5235" spans="20:20" ht="18.75" customHeight="1" x14ac:dyDescent="0.35">
      <c r="T5235" s="246">
        <f t="shared" si="119"/>
        <v>0</v>
      </c>
    </row>
    <row r="5236" spans="20:20" ht="18.75" customHeight="1" x14ac:dyDescent="0.35">
      <c r="T5236" s="246">
        <f t="shared" si="119"/>
        <v>0</v>
      </c>
    </row>
    <row r="5237" spans="20:20" ht="18.75" customHeight="1" x14ac:dyDescent="0.35">
      <c r="T5237" s="246">
        <f t="shared" si="119"/>
        <v>0</v>
      </c>
    </row>
    <row r="5238" spans="20:20" ht="18.75" customHeight="1" x14ac:dyDescent="0.35">
      <c r="T5238" s="246">
        <f t="shared" si="119"/>
        <v>0</v>
      </c>
    </row>
    <row r="5239" spans="20:20" ht="18.75" customHeight="1" x14ac:dyDescent="0.35">
      <c r="T5239" s="246">
        <f t="shared" si="119"/>
        <v>0</v>
      </c>
    </row>
    <row r="5240" spans="20:20" ht="18.75" customHeight="1" x14ac:dyDescent="0.35">
      <c r="T5240" s="246">
        <f t="shared" si="119"/>
        <v>0</v>
      </c>
    </row>
    <row r="5241" spans="20:20" ht="18.75" customHeight="1" x14ac:dyDescent="0.35">
      <c r="T5241" s="246">
        <f t="shared" si="119"/>
        <v>0</v>
      </c>
    </row>
    <row r="5242" spans="20:20" ht="18.75" customHeight="1" x14ac:dyDescent="0.35">
      <c r="T5242" s="246">
        <f t="shared" si="119"/>
        <v>0</v>
      </c>
    </row>
    <row r="5243" spans="20:20" ht="18.75" customHeight="1" x14ac:dyDescent="0.35">
      <c r="T5243" s="246">
        <f t="shared" si="119"/>
        <v>0</v>
      </c>
    </row>
    <row r="5244" spans="20:20" ht="18.75" customHeight="1" x14ac:dyDescent="0.35">
      <c r="T5244" s="246">
        <f t="shared" ref="T5244:T5307" si="120">R5244*0.01</f>
        <v>0</v>
      </c>
    </row>
    <row r="5245" spans="20:20" ht="18.75" customHeight="1" x14ac:dyDescent="0.35">
      <c r="T5245" s="246">
        <f t="shared" si="120"/>
        <v>0</v>
      </c>
    </row>
    <row r="5246" spans="20:20" ht="18.75" customHeight="1" x14ac:dyDescent="0.35">
      <c r="T5246" s="246">
        <f t="shared" si="120"/>
        <v>0</v>
      </c>
    </row>
    <row r="5247" spans="20:20" ht="18.75" customHeight="1" x14ac:dyDescent="0.35">
      <c r="T5247" s="246">
        <f t="shared" si="120"/>
        <v>0</v>
      </c>
    </row>
    <row r="5248" spans="20:20" ht="18.75" customHeight="1" x14ac:dyDescent="0.35">
      <c r="T5248" s="246">
        <f t="shared" si="120"/>
        <v>0</v>
      </c>
    </row>
    <row r="5249" spans="20:20" ht="18.75" customHeight="1" x14ac:dyDescent="0.35">
      <c r="T5249" s="246">
        <f t="shared" si="120"/>
        <v>0</v>
      </c>
    </row>
    <row r="5250" spans="20:20" ht="18.75" customHeight="1" x14ac:dyDescent="0.35">
      <c r="T5250" s="246">
        <f t="shared" si="120"/>
        <v>0</v>
      </c>
    </row>
    <row r="5251" spans="20:20" ht="18.75" customHeight="1" x14ac:dyDescent="0.35">
      <c r="T5251" s="246">
        <f t="shared" si="120"/>
        <v>0</v>
      </c>
    </row>
    <row r="5252" spans="20:20" ht="18.75" customHeight="1" x14ac:dyDescent="0.35">
      <c r="T5252" s="246">
        <f t="shared" si="120"/>
        <v>0</v>
      </c>
    </row>
    <row r="5253" spans="20:20" ht="18.75" customHeight="1" x14ac:dyDescent="0.35">
      <c r="T5253" s="246">
        <f t="shared" si="120"/>
        <v>0</v>
      </c>
    </row>
    <row r="5254" spans="20:20" ht="18.75" customHeight="1" x14ac:dyDescent="0.35">
      <c r="T5254" s="246">
        <f t="shared" si="120"/>
        <v>0</v>
      </c>
    </row>
    <row r="5255" spans="20:20" ht="18.75" customHeight="1" x14ac:dyDescent="0.35">
      <c r="T5255" s="246">
        <f t="shared" si="120"/>
        <v>0</v>
      </c>
    </row>
    <row r="5256" spans="20:20" ht="18.75" customHeight="1" x14ac:dyDescent="0.35">
      <c r="T5256" s="246">
        <f t="shared" si="120"/>
        <v>0</v>
      </c>
    </row>
    <row r="5257" spans="20:20" ht="18.75" customHeight="1" x14ac:dyDescent="0.35">
      <c r="T5257" s="246">
        <f t="shared" si="120"/>
        <v>0</v>
      </c>
    </row>
    <row r="5258" spans="20:20" ht="18.75" customHeight="1" x14ac:dyDescent="0.35">
      <c r="T5258" s="246">
        <f t="shared" si="120"/>
        <v>0</v>
      </c>
    </row>
    <row r="5259" spans="20:20" ht="18.75" customHeight="1" x14ac:dyDescent="0.35">
      <c r="T5259" s="246">
        <f t="shared" si="120"/>
        <v>0</v>
      </c>
    </row>
    <row r="5260" spans="20:20" ht="18.75" customHeight="1" x14ac:dyDescent="0.35">
      <c r="T5260" s="246">
        <f t="shared" si="120"/>
        <v>0</v>
      </c>
    </row>
    <row r="5261" spans="20:20" ht="18.75" customHeight="1" x14ac:dyDescent="0.35">
      <c r="T5261" s="246">
        <f t="shared" si="120"/>
        <v>0</v>
      </c>
    </row>
    <row r="5262" spans="20:20" ht="18.75" customHeight="1" x14ac:dyDescent="0.35">
      <c r="T5262" s="246">
        <f t="shared" si="120"/>
        <v>0</v>
      </c>
    </row>
    <row r="5263" spans="20:20" ht="18.75" customHeight="1" x14ac:dyDescent="0.35">
      <c r="T5263" s="246">
        <f t="shared" si="120"/>
        <v>0</v>
      </c>
    </row>
    <row r="5264" spans="20:20" ht="18.75" customHeight="1" x14ac:dyDescent="0.35">
      <c r="T5264" s="246">
        <f t="shared" si="120"/>
        <v>0</v>
      </c>
    </row>
    <row r="5265" spans="20:20" ht="18.75" customHeight="1" x14ac:dyDescent="0.35">
      <c r="T5265" s="246">
        <f t="shared" si="120"/>
        <v>0</v>
      </c>
    </row>
    <row r="5266" spans="20:20" ht="18.75" customHeight="1" x14ac:dyDescent="0.35">
      <c r="T5266" s="246">
        <f t="shared" si="120"/>
        <v>0</v>
      </c>
    </row>
    <row r="5267" spans="20:20" ht="18.75" customHeight="1" x14ac:dyDescent="0.35">
      <c r="T5267" s="246">
        <f t="shared" si="120"/>
        <v>0</v>
      </c>
    </row>
    <row r="5268" spans="20:20" ht="18.75" customHeight="1" x14ac:dyDescent="0.35">
      <c r="T5268" s="246">
        <f t="shared" si="120"/>
        <v>0</v>
      </c>
    </row>
    <row r="5269" spans="20:20" ht="18.75" customHeight="1" x14ac:dyDescent="0.35">
      <c r="T5269" s="246">
        <f t="shared" si="120"/>
        <v>0</v>
      </c>
    </row>
    <row r="5270" spans="20:20" ht="18.75" customHeight="1" x14ac:dyDescent="0.35">
      <c r="T5270" s="246">
        <f t="shared" si="120"/>
        <v>0</v>
      </c>
    </row>
    <row r="5271" spans="20:20" ht="18.75" customHeight="1" x14ac:dyDescent="0.35">
      <c r="T5271" s="246">
        <f t="shared" si="120"/>
        <v>0</v>
      </c>
    </row>
    <row r="5272" spans="20:20" ht="18.75" customHeight="1" x14ac:dyDescent="0.35">
      <c r="T5272" s="246">
        <f t="shared" si="120"/>
        <v>0</v>
      </c>
    </row>
    <row r="5273" spans="20:20" ht="18.75" customHeight="1" x14ac:dyDescent="0.35">
      <c r="T5273" s="246">
        <f t="shared" si="120"/>
        <v>0</v>
      </c>
    </row>
    <row r="5274" spans="20:20" ht="18.75" customHeight="1" x14ac:dyDescent="0.35">
      <c r="T5274" s="246">
        <f t="shared" si="120"/>
        <v>0</v>
      </c>
    </row>
    <row r="5275" spans="20:20" ht="18.75" customHeight="1" x14ac:dyDescent="0.35">
      <c r="T5275" s="246">
        <f t="shared" si="120"/>
        <v>0</v>
      </c>
    </row>
    <row r="5276" spans="20:20" ht="18.75" customHeight="1" x14ac:dyDescent="0.35">
      <c r="T5276" s="246">
        <f t="shared" si="120"/>
        <v>0</v>
      </c>
    </row>
    <row r="5277" spans="20:20" ht="18.75" customHeight="1" x14ac:dyDescent="0.35">
      <c r="T5277" s="246">
        <f t="shared" si="120"/>
        <v>0</v>
      </c>
    </row>
    <row r="5278" spans="20:20" ht="18.75" customHeight="1" x14ac:dyDescent="0.35">
      <c r="T5278" s="246">
        <f t="shared" si="120"/>
        <v>0</v>
      </c>
    </row>
    <row r="5279" spans="20:20" ht="18.75" customHeight="1" x14ac:dyDescent="0.35">
      <c r="T5279" s="246">
        <f t="shared" si="120"/>
        <v>0</v>
      </c>
    </row>
    <row r="5280" spans="20:20" ht="18.75" customHeight="1" x14ac:dyDescent="0.35">
      <c r="T5280" s="246">
        <f t="shared" si="120"/>
        <v>0</v>
      </c>
    </row>
    <row r="5281" spans="20:20" ht="18.75" customHeight="1" x14ac:dyDescent="0.35">
      <c r="T5281" s="246">
        <f t="shared" si="120"/>
        <v>0</v>
      </c>
    </row>
    <row r="5282" spans="20:20" ht="18.75" customHeight="1" x14ac:dyDescent="0.35">
      <c r="T5282" s="246">
        <f t="shared" si="120"/>
        <v>0</v>
      </c>
    </row>
    <row r="5283" spans="20:20" ht="18.75" customHeight="1" x14ac:dyDescent="0.35">
      <c r="T5283" s="246">
        <f t="shared" si="120"/>
        <v>0</v>
      </c>
    </row>
    <row r="5284" spans="20:20" ht="18.75" customHeight="1" x14ac:dyDescent="0.35">
      <c r="T5284" s="246">
        <f t="shared" si="120"/>
        <v>0</v>
      </c>
    </row>
    <row r="5285" spans="20:20" ht="18.75" customHeight="1" x14ac:dyDescent="0.35">
      <c r="T5285" s="246">
        <f t="shared" si="120"/>
        <v>0</v>
      </c>
    </row>
    <row r="5286" spans="20:20" ht="18.75" customHeight="1" x14ac:dyDescent="0.35">
      <c r="T5286" s="246">
        <f t="shared" si="120"/>
        <v>0</v>
      </c>
    </row>
    <row r="5287" spans="20:20" ht="18.75" customHeight="1" x14ac:dyDescent="0.35">
      <c r="T5287" s="246">
        <f t="shared" si="120"/>
        <v>0</v>
      </c>
    </row>
    <row r="5288" spans="20:20" ht="18.75" customHeight="1" x14ac:dyDescent="0.35">
      <c r="T5288" s="246">
        <f t="shared" si="120"/>
        <v>0</v>
      </c>
    </row>
    <row r="5289" spans="20:20" ht="18.75" customHeight="1" x14ac:dyDescent="0.35">
      <c r="T5289" s="246">
        <f t="shared" si="120"/>
        <v>0</v>
      </c>
    </row>
    <row r="5290" spans="20:20" ht="18.75" customHeight="1" x14ac:dyDescent="0.35">
      <c r="T5290" s="246">
        <f t="shared" si="120"/>
        <v>0</v>
      </c>
    </row>
    <row r="5291" spans="20:20" ht="18.75" customHeight="1" x14ac:dyDescent="0.35">
      <c r="T5291" s="246">
        <f t="shared" si="120"/>
        <v>0</v>
      </c>
    </row>
    <row r="5292" spans="20:20" ht="18.75" customHeight="1" x14ac:dyDescent="0.35">
      <c r="T5292" s="246">
        <f t="shared" si="120"/>
        <v>0</v>
      </c>
    </row>
    <row r="5293" spans="20:20" ht="18.75" customHeight="1" x14ac:dyDescent="0.35">
      <c r="T5293" s="246">
        <f t="shared" si="120"/>
        <v>0</v>
      </c>
    </row>
    <row r="5294" spans="20:20" ht="18.75" customHeight="1" x14ac:dyDescent="0.35">
      <c r="T5294" s="246">
        <f t="shared" si="120"/>
        <v>0</v>
      </c>
    </row>
    <row r="5295" spans="20:20" ht="18.75" customHeight="1" x14ac:dyDescent="0.35">
      <c r="T5295" s="246">
        <f t="shared" si="120"/>
        <v>0</v>
      </c>
    </row>
    <row r="5296" spans="20:20" ht="18.75" customHeight="1" x14ac:dyDescent="0.35">
      <c r="T5296" s="246">
        <f t="shared" si="120"/>
        <v>0</v>
      </c>
    </row>
    <row r="5297" spans="20:20" ht="18.75" customHeight="1" x14ac:dyDescent="0.35">
      <c r="T5297" s="246">
        <f t="shared" si="120"/>
        <v>0</v>
      </c>
    </row>
    <row r="5298" spans="20:20" ht="18.75" customHeight="1" x14ac:dyDescent="0.35">
      <c r="T5298" s="246">
        <f t="shared" si="120"/>
        <v>0</v>
      </c>
    </row>
    <row r="5299" spans="20:20" ht="18.75" customHeight="1" x14ac:dyDescent="0.35">
      <c r="T5299" s="246">
        <f t="shared" si="120"/>
        <v>0</v>
      </c>
    </row>
    <row r="5300" spans="20:20" ht="18.75" customHeight="1" x14ac:dyDescent="0.35">
      <c r="T5300" s="246">
        <f t="shared" si="120"/>
        <v>0</v>
      </c>
    </row>
    <row r="5301" spans="20:20" ht="18.75" customHeight="1" x14ac:dyDescent="0.35">
      <c r="T5301" s="246">
        <f t="shared" si="120"/>
        <v>0</v>
      </c>
    </row>
    <row r="5302" spans="20:20" ht="18.75" customHeight="1" x14ac:dyDescent="0.35">
      <c r="T5302" s="246">
        <f t="shared" si="120"/>
        <v>0</v>
      </c>
    </row>
    <row r="5303" spans="20:20" ht="18.75" customHeight="1" x14ac:dyDescent="0.35">
      <c r="T5303" s="246">
        <f t="shared" si="120"/>
        <v>0</v>
      </c>
    </row>
    <row r="5304" spans="20:20" ht="18.75" customHeight="1" x14ac:dyDescent="0.35">
      <c r="T5304" s="246">
        <f t="shared" si="120"/>
        <v>0</v>
      </c>
    </row>
    <row r="5305" spans="20:20" ht="18.75" customHeight="1" x14ac:dyDescent="0.35">
      <c r="T5305" s="246">
        <f t="shared" si="120"/>
        <v>0</v>
      </c>
    </row>
    <row r="5306" spans="20:20" ht="18.75" customHeight="1" x14ac:dyDescent="0.35">
      <c r="T5306" s="246">
        <f t="shared" si="120"/>
        <v>0</v>
      </c>
    </row>
    <row r="5307" spans="20:20" ht="18.75" customHeight="1" x14ac:dyDescent="0.35">
      <c r="T5307" s="246">
        <f t="shared" si="120"/>
        <v>0</v>
      </c>
    </row>
    <row r="5308" spans="20:20" ht="18.75" customHeight="1" x14ac:dyDescent="0.35">
      <c r="T5308" s="246">
        <f t="shared" ref="T5308:T5371" si="121">R5308*0.01</f>
        <v>0</v>
      </c>
    </row>
    <row r="5309" spans="20:20" ht="18.75" customHeight="1" x14ac:dyDescent="0.35">
      <c r="T5309" s="246">
        <f t="shared" si="121"/>
        <v>0</v>
      </c>
    </row>
    <row r="5310" spans="20:20" ht="18.75" customHeight="1" x14ac:dyDescent="0.35">
      <c r="T5310" s="246">
        <f t="shared" si="121"/>
        <v>0</v>
      </c>
    </row>
    <row r="5311" spans="20:20" ht="18.75" customHeight="1" x14ac:dyDescent="0.35">
      <c r="T5311" s="246">
        <f t="shared" si="121"/>
        <v>0</v>
      </c>
    </row>
    <row r="5312" spans="20:20" ht="18.75" customHeight="1" x14ac:dyDescent="0.35">
      <c r="T5312" s="246">
        <f t="shared" si="121"/>
        <v>0</v>
      </c>
    </row>
    <row r="5313" spans="20:20" ht="18.75" customHeight="1" x14ac:dyDescent="0.35">
      <c r="T5313" s="246">
        <f t="shared" si="121"/>
        <v>0</v>
      </c>
    </row>
    <row r="5314" spans="20:20" ht="18.75" customHeight="1" x14ac:dyDescent="0.35">
      <c r="T5314" s="246">
        <f t="shared" si="121"/>
        <v>0</v>
      </c>
    </row>
    <row r="5315" spans="20:20" ht="18.75" customHeight="1" x14ac:dyDescent="0.35">
      <c r="T5315" s="246">
        <f t="shared" si="121"/>
        <v>0</v>
      </c>
    </row>
    <row r="5316" spans="20:20" ht="18.75" customHeight="1" x14ac:dyDescent="0.35">
      <c r="T5316" s="246">
        <f t="shared" si="121"/>
        <v>0</v>
      </c>
    </row>
    <row r="5317" spans="20:20" ht="18.75" customHeight="1" x14ac:dyDescent="0.35">
      <c r="T5317" s="246">
        <f t="shared" si="121"/>
        <v>0</v>
      </c>
    </row>
    <row r="5318" spans="20:20" ht="18.75" customHeight="1" x14ac:dyDescent="0.35">
      <c r="T5318" s="246">
        <f t="shared" si="121"/>
        <v>0</v>
      </c>
    </row>
    <row r="5319" spans="20:20" ht="18.75" customHeight="1" x14ac:dyDescent="0.35">
      <c r="T5319" s="246">
        <f t="shared" si="121"/>
        <v>0</v>
      </c>
    </row>
    <row r="5320" spans="20:20" ht="18.75" customHeight="1" x14ac:dyDescent="0.35">
      <c r="T5320" s="246">
        <f t="shared" si="121"/>
        <v>0</v>
      </c>
    </row>
    <row r="5321" spans="20:20" ht="18.75" customHeight="1" x14ac:dyDescent="0.35">
      <c r="T5321" s="246">
        <f t="shared" si="121"/>
        <v>0</v>
      </c>
    </row>
    <row r="5322" spans="20:20" ht="18.75" customHeight="1" x14ac:dyDescent="0.35">
      <c r="T5322" s="246">
        <f t="shared" si="121"/>
        <v>0</v>
      </c>
    </row>
    <row r="5323" spans="20:20" ht="18.75" customHeight="1" x14ac:dyDescent="0.35">
      <c r="T5323" s="246">
        <f t="shared" si="121"/>
        <v>0</v>
      </c>
    </row>
    <row r="5324" spans="20:20" ht="18.75" customHeight="1" x14ac:dyDescent="0.35">
      <c r="T5324" s="246">
        <f t="shared" si="121"/>
        <v>0</v>
      </c>
    </row>
    <row r="5325" spans="20:20" ht="18.75" customHeight="1" x14ac:dyDescent="0.35">
      <c r="T5325" s="246">
        <f t="shared" si="121"/>
        <v>0</v>
      </c>
    </row>
    <row r="5326" spans="20:20" ht="18.75" customHeight="1" x14ac:dyDescent="0.35">
      <c r="T5326" s="246">
        <f t="shared" si="121"/>
        <v>0</v>
      </c>
    </row>
    <row r="5327" spans="20:20" ht="18.75" customHeight="1" x14ac:dyDescent="0.35">
      <c r="T5327" s="246">
        <f t="shared" si="121"/>
        <v>0</v>
      </c>
    </row>
    <row r="5328" spans="20:20" ht="18.75" customHeight="1" x14ac:dyDescent="0.35">
      <c r="T5328" s="246">
        <f t="shared" si="121"/>
        <v>0</v>
      </c>
    </row>
    <row r="5329" spans="20:20" ht="18.75" customHeight="1" x14ac:dyDescent="0.35">
      <c r="T5329" s="246">
        <f t="shared" si="121"/>
        <v>0</v>
      </c>
    </row>
    <row r="5330" spans="20:20" ht="18.75" customHeight="1" x14ac:dyDescent="0.35">
      <c r="T5330" s="246">
        <f t="shared" si="121"/>
        <v>0</v>
      </c>
    </row>
    <row r="5331" spans="20:20" ht="18.75" customHeight="1" x14ac:dyDescent="0.35">
      <c r="T5331" s="246">
        <f t="shared" si="121"/>
        <v>0</v>
      </c>
    </row>
    <row r="5332" spans="20:20" ht="18.75" customHeight="1" x14ac:dyDescent="0.35">
      <c r="T5332" s="246">
        <f t="shared" si="121"/>
        <v>0</v>
      </c>
    </row>
    <row r="5333" spans="20:20" ht="18.75" customHeight="1" x14ac:dyDescent="0.35">
      <c r="T5333" s="246">
        <f t="shared" si="121"/>
        <v>0</v>
      </c>
    </row>
    <row r="5334" spans="20:20" ht="18.75" customHeight="1" x14ac:dyDescent="0.35">
      <c r="T5334" s="246">
        <f t="shared" si="121"/>
        <v>0</v>
      </c>
    </row>
    <row r="5335" spans="20:20" ht="18.75" customHeight="1" x14ac:dyDescent="0.35">
      <c r="T5335" s="246">
        <f t="shared" si="121"/>
        <v>0</v>
      </c>
    </row>
    <row r="5336" spans="20:20" ht="18.75" customHeight="1" x14ac:dyDescent="0.35">
      <c r="T5336" s="246">
        <f t="shared" si="121"/>
        <v>0</v>
      </c>
    </row>
    <row r="5337" spans="20:20" ht="18.75" customHeight="1" x14ac:dyDescent="0.35">
      <c r="T5337" s="246">
        <f t="shared" si="121"/>
        <v>0</v>
      </c>
    </row>
    <row r="5338" spans="20:20" ht="18.75" customHeight="1" x14ac:dyDescent="0.35">
      <c r="T5338" s="246">
        <f t="shared" si="121"/>
        <v>0</v>
      </c>
    </row>
    <row r="5339" spans="20:20" ht="18.75" customHeight="1" x14ac:dyDescent="0.35">
      <c r="T5339" s="246">
        <f t="shared" si="121"/>
        <v>0</v>
      </c>
    </row>
    <row r="5340" spans="20:20" ht="18.75" customHeight="1" x14ac:dyDescent="0.35">
      <c r="T5340" s="246">
        <f t="shared" si="121"/>
        <v>0</v>
      </c>
    </row>
    <row r="5341" spans="20:20" ht="18.75" customHeight="1" x14ac:dyDescent="0.35">
      <c r="T5341" s="246">
        <f t="shared" si="121"/>
        <v>0</v>
      </c>
    </row>
    <row r="5342" spans="20:20" ht="18.75" customHeight="1" x14ac:dyDescent="0.35">
      <c r="T5342" s="246">
        <f t="shared" si="121"/>
        <v>0</v>
      </c>
    </row>
    <row r="5343" spans="20:20" ht="18.75" customHeight="1" x14ac:dyDescent="0.35">
      <c r="T5343" s="246">
        <f t="shared" si="121"/>
        <v>0</v>
      </c>
    </row>
    <row r="5344" spans="20:20" ht="18.75" customHeight="1" x14ac:dyDescent="0.35">
      <c r="T5344" s="246">
        <f t="shared" si="121"/>
        <v>0</v>
      </c>
    </row>
    <row r="5345" spans="20:20" ht="18.75" customHeight="1" x14ac:dyDescent="0.35">
      <c r="T5345" s="246">
        <f t="shared" si="121"/>
        <v>0</v>
      </c>
    </row>
    <row r="5346" spans="20:20" ht="18.75" customHeight="1" x14ac:dyDescent="0.35">
      <c r="T5346" s="246">
        <f t="shared" si="121"/>
        <v>0</v>
      </c>
    </row>
    <row r="5347" spans="20:20" ht="18.75" customHeight="1" x14ac:dyDescent="0.35">
      <c r="T5347" s="246">
        <f t="shared" si="121"/>
        <v>0</v>
      </c>
    </row>
    <row r="5348" spans="20:20" ht="18.75" customHeight="1" x14ac:dyDescent="0.35">
      <c r="T5348" s="246">
        <f t="shared" si="121"/>
        <v>0</v>
      </c>
    </row>
    <row r="5349" spans="20:20" ht="18.75" customHeight="1" x14ac:dyDescent="0.35">
      <c r="T5349" s="246">
        <f t="shared" si="121"/>
        <v>0</v>
      </c>
    </row>
    <row r="5350" spans="20:20" ht="18.75" customHeight="1" x14ac:dyDescent="0.35">
      <c r="T5350" s="246">
        <f t="shared" si="121"/>
        <v>0</v>
      </c>
    </row>
    <row r="5351" spans="20:20" ht="18.75" customHeight="1" x14ac:dyDescent="0.35">
      <c r="T5351" s="246">
        <f t="shared" si="121"/>
        <v>0</v>
      </c>
    </row>
    <row r="5352" spans="20:20" ht="18.75" customHeight="1" x14ac:dyDescent="0.35">
      <c r="T5352" s="246">
        <f t="shared" si="121"/>
        <v>0</v>
      </c>
    </row>
    <row r="5353" spans="20:20" ht="18.75" customHeight="1" x14ac:dyDescent="0.35">
      <c r="T5353" s="246">
        <f t="shared" si="121"/>
        <v>0</v>
      </c>
    </row>
    <row r="5354" spans="20:20" ht="18.75" customHeight="1" x14ac:dyDescent="0.35">
      <c r="T5354" s="246">
        <f t="shared" si="121"/>
        <v>0</v>
      </c>
    </row>
    <row r="5355" spans="20:20" ht="18.75" customHeight="1" x14ac:dyDescent="0.35">
      <c r="T5355" s="246">
        <f t="shared" si="121"/>
        <v>0</v>
      </c>
    </row>
    <row r="5356" spans="20:20" ht="18.75" customHeight="1" x14ac:dyDescent="0.35">
      <c r="T5356" s="246">
        <f t="shared" si="121"/>
        <v>0</v>
      </c>
    </row>
    <row r="5357" spans="20:20" ht="18.75" customHeight="1" x14ac:dyDescent="0.35">
      <c r="T5357" s="246">
        <f t="shared" si="121"/>
        <v>0</v>
      </c>
    </row>
    <row r="5358" spans="20:20" ht="18.75" customHeight="1" x14ac:dyDescent="0.35">
      <c r="T5358" s="246">
        <f t="shared" si="121"/>
        <v>0</v>
      </c>
    </row>
    <row r="5359" spans="20:20" ht="18.75" customHeight="1" x14ac:dyDescent="0.35">
      <c r="T5359" s="246">
        <f t="shared" si="121"/>
        <v>0</v>
      </c>
    </row>
    <row r="5360" spans="20:20" ht="18.75" customHeight="1" x14ac:dyDescent="0.35">
      <c r="T5360" s="246">
        <f t="shared" si="121"/>
        <v>0</v>
      </c>
    </row>
    <row r="5361" spans="20:20" ht="18.75" customHeight="1" x14ac:dyDescent="0.35">
      <c r="T5361" s="246">
        <f t="shared" si="121"/>
        <v>0</v>
      </c>
    </row>
    <row r="5362" spans="20:20" ht="18.75" customHeight="1" x14ac:dyDescent="0.35">
      <c r="T5362" s="246">
        <f t="shared" si="121"/>
        <v>0</v>
      </c>
    </row>
    <row r="5363" spans="20:20" ht="18.75" customHeight="1" x14ac:dyDescent="0.35">
      <c r="T5363" s="246">
        <f t="shared" si="121"/>
        <v>0</v>
      </c>
    </row>
    <row r="5364" spans="20:20" ht="18.75" customHeight="1" x14ac:dyDescent="0.35">
      <c r="T5364" s="246">
        <f t="shared" si="121"/>
        <v>0</v>
      </c>
    </row>
    <row r="5365" spans="20:20" ht="18.75" customHeight="1" x14ac:dyDescent="0.35">
      <c r="T5365" s="246">
        <f t="shared" si="121"/>
        <v>0</v>
      </c>
    </row>
    <row r="5366" spans="20:20" ht="18.75" customHeight="1" x14ac:dyDescent="0.35">
      <c r="T5366" s="246">
        <f t="shared" si="121"/>
        <v>0</v>
      </c>
    </row>
    <row r="5367" spans="20:20" ht="18.75" customHeight="1" x14ac:dyDescent="0.35">
      <c r="T5367" s="246">
        <f t="shared" si="121"/>
        <v>0</v>
      </c>
    </row>
    <row r="5368" spans="20:20" ht="18.75" customHeight="1" x14ac:dyDescent="0.35">
      <c r="T5368" s="246">
        <f t="shared" si="121"/>
        <v>0</v>
      </c>
    </row>
    <row r="5369" spans="20:20" ht="18.75" customHeight="1" x14ac:dyDescent="0.35">
      <c r="T5369" s="246">
        <f t="shared" si="121"/>
        <v>0</v>
      </c>
    </row>
    <row r="5370" spans="20:20" ht="18.75" customHeight="1" x14ac:dyDescent="0.35">
      <c r="T5370" s="246">
        <f t="shared" si="121"/>
        <v>0</v>
      </c>
    </row>
    <row r="5371" spans="20:20" ht="18.75" customHeight="1" x14ac:dyDescent="0.35">
      <c r="T5371" s="246">
        <f t="shared" si="121"/>
        <v>0</v>
      </c>
    </row>
    <row r="5372" spans="20:20" ht="18.75" customHeight="1" x14ac:dyDescent="0.35">
      <c r="T5372" s="246">
        <f t="shared" ref="T5372:T5435" si="122">R5372*0.01</f>
        <v>0</v>
      </c>
    </row>
    <row r="5373" spans="20:20" ht="18.75" customHeight="1" x14ac:dyDescent="0.35">
      <c r="T5373" s="246">
        <f t="shared" si="122"/>
        <v>0</v>
      </c>
    </row>
    <row r="5374" spans="20:20" ht="18.75" customHeight="1" x14ac:dyDescent="0.35">
      <c r="T5374" s="246">
        <f t="shared" si="122"/>
        <v>0</v>
      </c>
    </row>
    <row r="5375" spans="20:20" ht="18.75" customHeight="1" x14ac:dyDescent="0.35">
      <c r="T5375" s="246">
        <f t="shared" si="122"/>
        <v>0</v>
      </c>
    </row>
    <row r="5376" spans="20:20" ht="18.75" customHeight="1" x14ac:dyDescent="0.35">
      <c r="T5376" s="246">
        <f t="shared" si="122"/>
        <v>0</v>
      </c>
    </row>
    <row r="5377" spans="20:20" ht="18.75" customHeight="1" x14ac:dyDescent="0.35">
      <c r="T5377" s="246">
        <f t="shared" si="122"/>
        <v>0</v>
      </c>
    </row>
    <row r="5378" spans="20:20" ht="18.75" customHeight="1" x14ac:dyDescent="0.35">
      <c r="T5378" s="246">
        <f t="shared" si="122"/>
        <v>0</v>
      </c>
    </row>
    <row r="5379" spans="20:20" ht="18.75" customHeight="1" x14ac:dyDescent="0.35">
      <c r="T5379" s="246">
        <f t="shared" si="122"/>
        <v>0</v>
      </c>
    </row>
    <row r="5380" spans="20:20" ht="18.75" customHeight="1" x14ac:dyDescent="0.35">
      <c r="T5380" s="246">
        <f t="shared" si="122"/>
        <v>0</v>
      </c>
    </row>
    <row r="5381" spans="20:20" ht="18.75" customHeight="1" x14ac:dyDescent="0.35">
      <c r="T5381" s="246">
        <f t="shared" si="122"/>
        <v>0</v>
      </c>
    </row>
    <row r="5382" spans="20:20" ht="18.75" customHeight="1" x14ac:dyDescent="0.35">
      <c r="T5382" s="246">
        <f t="shared" si="122"/>
        <v>0</v>
      </c>
    </row>
    <row r="5383" spans="20:20" ht="18.75" customHeight="1" x14ac:dyDescent="0.35">
      <c r="T5383" s="246">
        <f t="shared" si="122"/>
        <v>0</v>
      </c>
    </row>
    <row r="5384" spans="20:20" ht="18.75" customHeight="1" x14ac:dyDescent="0.35">
      <c r="T5384" s="246">
        <f t="shared" si="122"/>
        <v>0</v>
      </c>
    </row>
    <row r="5385" spans="20:20" ht="18.75" customHeight="1" x14ac:dyDescent="0.35">
      <c r="T5385" s="246">
        <f t="shared" si="122"/>
        <v>0</v>
      </c>
    </row>
    <row r="5386" spans="20:20" ht="18.75" customHeight="1" x14ac:dyDescent="0.35">
      <c r="T5386" s="246">
        <f t="shared" si="122"/>
        <v>0</v>
      </c>
    </row>
    <row r="5387" spans="20:20" ht="18.75" customHeight="1" x14ac:dyDescent="0.35">
      <c r="T5387" s="246">
        <f t="shared" si="122"/>
        <v>0</v>
      </c>
    </row>
    <row r="5388" spans="20:20" ht="18.75" customHeight="1" x14ac:dyDescent="0.35">
      <c r="T5388" s="246">
        <f t="shared" si="122"/>
        <v>0</v>
      </c>
    </row>
    <row r="5389" spans="20:20" ht="18.75" customHeight="1" x14ac:dyDescent="0.35">
      <c r="T5389" s="246">
        <f t="shared" si="122"/>
        <v>0</v>
      </c>
    </row>
    <row r="5390" spans="20:20" ht="18.75" customHeight="1" x14ac:dyDescent="0.35">
      <c r="T5390" s="246">
        <f t="shared" si="122"/>
        <v>0</v>
      </c>
    </row>
    <row r="5391" spans="20:20" ht="18.75" customHeight="1" x14ac:dyDescent="0.35">
      <c r="T5391" s="246">
        <f t="shared" si="122"/>
        <v>0</v>
      </c>
    </row>
    <row r="5392" spans="20:20" ht="18.75" customHeight="1" x14ac:dyDescent="0.35">
      <c r="T5392" s="246">
        <f t="shared" si="122"/>
        <v>0</v>
      </c>
    </row>
    <row r="5393" spans="20:20" ht="18.75" customHeight="1" x14ac:dyDescent="0.35">
      <c r="T5393" s="246">
        <f t="shared" si="122"/>
        <v>0</v>
      </c>
    </row>
    <row r="5394" spans="20:20" ht="18.75" customHeight="1" x14ac:dyDescent="0.35">
      <c r="T5394" s="246">
        <f t="shared" si="122"/>
        <v>0</v>
      </c>
    </row>
    <row r="5395" spans="20:20" ht="18.75" customHeight="1" x14ac:dyDescent="0.35">
      <c r="T5395" s="246">
        <f t="shared" si="122"/>
        <v>0</v>
      </c>
    </row>
    <row r="5396" spans="20:20" ht="18.75" customHeight="1" x14ac:dyDescent="0.35">
      <c r="T5396" s="246">
        <f t="shared" si="122"/>
        <v>0</v>
      </c>
    </row>
    <row r="5397" spans="20:20" ht="18.75" customHeight="1" x14ac:dyDescent="0.35">
      <c r="T5397" s="246">
        <f t="shared" si="122"/>
        <v>0</v>
      </c>
    </row>
    <row r="5398" spans="20:20" ht="18.75" customHeight="1" x14ac:dyDescent="0.35">
      <c r="T5398" s="246">
        <f t="shared" si="122"/>
        <v>0</v>
      </c>
    </row>
    <row r="5399" spans="20:20" ht="18.75" customHeight="1" x14ac:dyDescent="0.35">
      <c r="T5399" s="246">
        <f t="shared" si="122"/>
        <v>0</v>
      </c>
    </row>
    <row r="5400" spans="20:20" ht="18.75" customHeight="1" x14ac:dyDescent="0.35">
      <c r="T5400" s="246">
        <f t="shared" si="122"/>
        <v>0</v>
      </c>
    </row>
    <row r="5401" spans="20:20" ht="18.75" customHeight="1" x14ac:dyDescent="0.35">
      <c r="T5401" s="246">
        <f t="shared" si="122"/>
        <v>0</v>
      </c>
    </row>
    <row r="5402" spans="20:20" ht="18.75" customHeight="1" x14ac:dyDescent="0.35">
      <c r="T5402" s="246">
        <f t="shared" si="122"/>
        <v>0</v>
      </c>
    </row>
    <row r="5403" spans="20:20" ht="18.75" customHeight="1" x14ac:dyDescent="0.35">
      <c r="T5403" s="246">
        <f t="shared" si="122"/>
        <v>0</v>
      </c>
    </row>
    <row r="5404" spans="20:20" ht="18.75" customHeight="1" x14ac:dyDescent="0.35">
      <c r="T5404" s="246">
        <f t="shared" si="122"/>
        <v>0</v>
      </c>
    </row>
    <row r="5405" spans="20:20" ht="18.75" customHeight="1" x14ac:dyDescent="0.35">
      <c r="T5405" s="246">
        <f t="shared" si="122"/>
        <v>0</v>
      </c>
    </row>
    <row r="5406" spans="20:20" ht="18.75" customHeight="1" x14ac:dyDescent="0.35">
      <c r="T5406" s="246">
        <f t="shared" si="122"/>
        <v>0</v>
      </c>
    </row>
    <row r="5407" spans="20:20" ht="18.75" customHeight="1" x14ac:dyDescent="0.35">
      <c r="T5407" s="246">
        <f t="shared" si="122"/>
        <v>0</v>
      </c>
    </row>
    <row r="5408" spans="20:20" ht="18.75" customHeight="1" x14ac:dyDescent="0.35">
      <c r="T5408" s="246">
        <f t="shared" si="122"/>
        <v>0</v>
      </c>
    </row>
    <row r="5409" spans="20:20" ht="18.75" customHeight="1" x14ac:dyDescent="0.35">
      <c r="T5409" s="246">
        <f t="shared" si="122"/>
        <v>0</v>
      </c>
    </row>
    <row r="5410" spans="20:20" ht="18.75" customHeight="1" x14ac:dyDescent="0.35">
      <c r="T5410" s="246">
        <f t="shared" si="122"/>
        <v>0</v>
      </c>
    </row>
    <row r="5411" spans="20:20" ht="18.75" customHeight="1" x14ac:dyDescent="0.35">
      <c r="T5411" s="246">
        <f t="shared" si="122"/>
        <v>0</v>
      </c>
    </row>
    <row r="5412" spans="20:20" ht="18.75" customHeight="1" x14ac:dyDescent="0.35">
      <c r="T5412" s="246">
        <f t="shared" si="122"/>
        <v>0</v>
      </c>
    </row>
    <row r="5413" spans="20:20" ht="18.75" customHeight="1" x14ac:dyDescent="0.35">
      <c r="T5413" s="246">
        <f t="shared" si="122"/>
        <v>0</v>
      </c>
    </row>
    <row r="5414" spans="20:20" ht="18.75" customHeight="1" x14ac:dyDescent="0.35">
      <c r="T5414" s="246">
        <f t="shared" si="122"/>
        <v>0</v>
      </c>
    </row>
    <row r="5415" spans="20:20" ht="18.75" customHeight="1" x14ac:dyDescent="0.35">
      <c r="T5415" s="246">
        <f t="shared" si="122"/>
        <v>0</v>
      </c>
    </row>
    <row r="5416" spans="20:20" ht="18.75" customHeight="1" x14ac:dyDescent="0.35">
      <c r="T5416" s="246">
        <f t="shared" si="122"/>
        <v>0</v>
      </c>
    </row>
    <row r="5417" spans="20:20" ht="18.75" customHeight="1" x14ac:dyDescent="0.35">
      <c r="T5417" s="246">
        <f t="shared" si="122"/>
        <v>0</v>
      </c>
    </row>
    <row r="5418" spans="20:20" ht="18.75" customHeight="1" x14ac:dyDescent="0.35">
      <c r="T5418" s="246">
        <f t="shared" si="122"/>
        <v>0</v>
      </c>
    </row>
    <row r="5419" spans="20:20" ht="18.75" customHeight="1" x14ac:dyDescent="0.35">
      <c r="T5419" s="246">
        <f t="shared" si="122"/>
        <v>0</v>
      </c>
    </row>
    <row r="5420" spans="20:20" ht="18.75" customHeight="1" x14ac:dyDescent="0.35">
      <c r="T5420" s="246">
        <f t="shared" si="122"/>
        <v>0</v>
      </c>
    </row>
    <row r="5421" spans="20:20" ht="18.75" customHeight="1" x14ac:dyDescent="0.35">
      <c r="T5421" s="246">
        <f t="shared" si="122"/>
        <v>0</v>
      </c>
    </row>
    <row r="5422" spans="20:20" ht="18.75" customHeight="1" x14ac:dyDescent="0.35">
      <c r="T5422" s="246">
        <f t="shared" si="122"/>
        <v>0</v>
      </c>
    </row>
    <row r="5423" spans="20:20" ht="18.75" customHeight="1" x14ac:dyDescent="0.35">
      <c r="T5423" s="246">
        <f t="shared" si="122"/>
        <v>0</v>
      </c>
    </row>
    <row r="5424" spans="20:20" ht="18.75" customHeight="1" x14ac:dyDescent="0.35">
      <c r="T5424" s="246">
        <f t="shared" si="122"/>
        <v>0</v>
      </c>
    </row>
    <row r="5425" spans="20:20" ht="18.75" customHeight="1" x14ac:dyDescent="0.35">
      <c r="T5425" s="246">
        <f t="shared" si="122"/>
        <v>0</v>
      </c>
    </row>
    <row r="5426" spans="20:20" ht="18.75" customHeight="1" x14ac:dyDescent="0.35">
      <c r="T5426" s="246">
        <f t="shared" si="122"/>
        <v>0</v>
      </c>
    </row>
    <row r="5427" spans="20:20" ht="18.75" customHeight="1" x14ac:dyDescent="0.35">
      <c r="T5427" s="246">
        <f t="shared" si="122"/>
        <v>0</v>
      </c>
    </row>
    <row r="5428" spans="20:20" ht="18.75" customHeight="1" x14ac:dyDescent="0.35">
      <c r="T5428" s="246">
        <f t="shared" si="122"/>
        <v>0</v>
      </c>
    </row>
    <row r="5429" spans="20:20" ht="18.75" customHeight="1" x14ac:dyDescent="0.35">
      <c r="T5429" s="246">
        <f t="shared" si="122"/>
        <v>0</v>
      </c>
    </row>
    <row r="5430" spans="20:20" ht="18.75" customHeight="1" x14ac:dyDescent="0.35">
      <c r="T5430" s="246">
        <f t="shared" si="122"/>
        <v>0</v>
      </c>
    </row>
    <row r="5431" spans="20:20" ht="18.75" customHeight="1" x14ac:dyDescent="0.35">
      <c r="T5431" s="246">
        <f t="shared" si="122"/>
        <v>0</v>
      </c>
    </row>
    <row r="5432" spans="20:20" ht="18.75" customHeight="1" x14ac:dyDescent="0.35">
      <c r="T5432" s="246">
        <f t="shared" si="122"/>
        <v>0</v>
      </c>
    </row>
    <row r="5433" spans="20:20" ht="18.75" customHeight="1" x14ac:dyDescent="0.35">
      <c r="T5433" s="246">
        <f t="shared" si="122"/>
        <v>0</v>
      </c>
    </row>
    <row r="5434" spans="20:20" ht="18.75" customHeight="1" x14ac:dyDescent="0.35">
      <c r="T5434" s="246">
        <f t="shared" si="122"/>
        <v>0</v>
      </c>
    </row>
    <row r="5435" spans="20:20" ht="18.75" customHeight="1" x14ac:dyDescent="0.35">
      <c r="T5435" s="246">
        <f t="shared" si="122"/>
        <v>0</v>
      </c>
    </row>
    <row r="5436" spans="20:20" ht="18.75" customHeight="1" x14ac:dyDescent="0.35">
      <c r="T5436" s="246">
        <f t="shared" ref="T5436:T5499" si="123">R5436*0.01</f>
        <v>0</v>
      </c>
    </row>
    <row r="5437" spans="20:20" ht="18.75" customHeight="1" x14ac:dyDescent="0.35">
      <c r="T5437" s="246">
        <f t="shared" si="123"/>
        <v>0</v>
      </c>
    </row>
    <row r="5438" spans="20:20" ht="18.75" customHeight="1" x14ac:dyDescent="0.35">
      <c r="T5438" s="246">
        <f t="shared" si="123"/>
        <v>0</v>
      </c>
    </row>
    <row r="5439" spans="20:20" ht="18.75" customHeight="1" x14ac:dyDescent="0.35">
      <c r="T5439" s="246">
        <f t="shared" si="123"/>
        <v>0</v>
      </c>
    </row>
    <row r="5440" spans="20:20" ht="18.75" customHeight="1" x14ac:dyDescent="0.35">
      <c r="T5440" s="246">
        <f t="shared" si="123"/>
        <v>0</v>
      </c>
    </row>
    <row r="5441" spans="20:20" ht="18.75" customHeight="1" x14ac:dyDescent="0.35">
      <c r="T5441" s="246">
        <f t="shared" si="123"/>
        <v>0</v>
      </c>
    </row>
    <row r="5442" spans="20:20" ht="18.75" customHeight="1" x14ac:dyDescent="0.35">
      <c r="T5442" s="246">
        <f t="shared" si="123"/>
        <v>0</v>
      </c>
    </row>
    <row r="5443" spans="20:20" ht="18.75" customHeight="1" x14ac:dyDescent="0.35">
      <c r="T5443" s="246">
        <f t="shared" si="123"/>
        <v>0</v>
      </c>
    </row>
    <row r="5444" spans="20:20" ht="18.75" customHeight="1" x14ac:dyDescent="0.35">
      <c r="T5444" s="246">
        <f t="shared" si="123"/>
        <v>0</v>
      </c>
    </row>
    <row r="5445" spans="20:20" ht="18.75" customHeight="1" x14ac:dyDescent="0.35">
      <c r="T5445" s="246">
        <f t="shared" si="123"/>
        <v>0</v>
      </c>
    </row>
    <row r="5446" spans="20:20" ht="18.75" customHeight="1" x14ac:dyDescent="0.35">
      <c r="T5446" s="246">
        <f t="shared" si="123"/>
        <v>0</v>
      </c>
    </row>
    <row r="5447" spans="20:20" ht="18.75" customHeight="1" x14ac:dyDescent="0.35">
      <c r="T5447" s="246">
        <f t="shared" si="123"/>
        <v>0</v>
      </c>
    </row>
    <row r="5448" spans="20:20" ht="18.75" customHeight="1" x14ac:dyDescent="0.35">
      <c r="T5448" s="246">
        <f t="shared" si="123"/>
        <v>0</v>
      </c>
    </row>
    <row r="5449" spans="20:20" ht="18.75" customHeight="1" x14ac:dyDescent="0.35">
      <c r="T5449" s="246">
        <f t="shared" si="123"/>
        <v>0</v>
      </c>
    </row>
    <row r="5450" spans="20:20" ht="18.75" customHeight="1" x14ac:dyDescent="0.35">
      <c r="T5450" s="246">
        <f t="shared" si="123"/>
        <v>0</v>
      </c>
    </row>
    <row r="5451" spans="20:20" ht="18.75" customHeight="1" x14ac:dyDescent="0.35">
      <c r="T5451" s="246">
        <f t="shared" si="123"/>
        <v>0</v>
      </c>
    </row>
    <row r="5452" spans="20:20" ht="18.75" customHeight="1" x14ac:dyDescent="0.35">
      <c r="T5452" s="246">
        <f t="shared" si="123"/>
        <v>0</v>
      </c>
    </row>
    <row r="5453" spans="20:20" ht="18.75" customHeight="1" x14ac:dyDescent="0.35">
      <c r="T5453" s="246">
        <f t="shared" si="123"/>
        <v>0</v>
      </c>
    </row>
    <row r="5454" spans="20:20" ht="18.75" customHeight="1" x14ac:dyDescent="0.35">
      <c r="T5454" s="246">
        <f t="shared" si="123"/>
        <v>0</v>
      </c>
    </row>
    <row r="5455" spans="20:20" ht="18.75" customHeight="1" x14ac:dyDescent="0.35">
      <c r="T5455" s="246">
        <f t="shared" si="123"/>
        <v>0</v>
      </c>
    </row>
    <row r="5456" spans="20:20" ht="18.75" customHeight="1" x14ac:dyDescent="0.35">
      <c r="T5456" s="246">
        <f t="shared" si="123"/>
        <v>0</v>
      </c>
    </row>
    <row r="5457" spans="20:20" ht="18.75" customHeight="1" x14ac:dyDescent="0.35">
      <c r="T5457" s="246">
        <f t="shared" si="123"/>
        <v>0</v>
      </c>
    </row>
    <row r="5458" spans="20:20" ht="18.75" customHeight="1" x14ac:dyDescent="0.35">
      <c r="T5458" s="246">
        <f t="shared" si="123"/>
        <v>0</v>
      </c>
    </row>
    <row r="5459" spans="20:20" ht="18.75" customHeight="1" x14ac:dyDescent="0.35">
      <c r="T5459" s="246">
        <f t="shared" si="123"/>
        <v>0</v>
      </c>
    </row>
    <row r="5460" spans="20:20" ht="18.75" customHeight="1" x14ac:dyDescent="0.35">
      <c r="T5460" s="246">
        <f t="shared" si="123"/>
        <v>0</v>
      </c>
    </row>
    <row r="5461" spans="20:20" ht="18.75" customHeight="1" x14ac:dyDescent="0.35">
      <c r="T5461" s="246">
        <f t="shared" si="123"/>
        <v>0</v>
      </c>
    </row>
    <row r="5462" spans="20:20" ht="18.75" customHeight="1" x14ac:dyDescent="0.35">
      <c r="T5462" s="246">
        <f t="shared" si="123"/>
        <v>0</v>
      </c>
    </row>
    <row r="5463" spans="20:20" ht="18.75" customHeight="1" x14ac:dyDescent="0.35">
      <c r="T5463" s="246">
        <f t="shared" si="123"/>
        <v>0</v>
      </c>
    </row>
    <row r="5464" spans="20:20" ht="18.75" customHeight="1" x14ac:dyDescent="0.35">
      <c r="T5464" s="246">
        <f t="shared" si="123"/>
        <v>0</v>
      </c>
    </row>
    <row r="5465" spans="20:20" ht="18.75" customHeight="1" x14ac:dyDescent="0.35">
      <c r="T5465" s="246">
        <f t="shared" si="123"/>
        <v>0</v>
      </c>
    </row>
    <row r="5466" spans="20:20" ht="18.75" customHeight="1" x14ac:dyDescent="0.35">
      <c r="T5466" s="246">
        <f t="shared" si="123"/>
        <v>0</v>
      </c>
    </row>
    <row r="5467" spans="20:20" ht="18.75" customHeight="1" x14ac:dyDescent="0.35">
      <c r="T5467" s="246">
        <f t="shared" si="123"/>
        <v>0</v>
      </c>
    </row>
    <row r="5468" spans="20:20" ht="18.75" customHeight="1" x14ac:dyDescent="0.35">
      <c r="T5468" s="246">
        <f t="shared" si="123"/>
        <v>0</v>
      </c>
    </row>
    <row r="5469" spans="20:20" ht="18.75" customHeight="1" x14ac:dyDescent="0.35">
      <c r="T5469" s="246">
        <f t="shared" si="123"/>
        <v>0</v>
      </c>
    </row>
    <row r="5470" spans="20:20" ht="18.75" customHeight="1" x14ac:dyDescent="0.35">
      <c r="T5470" s="246">
        <f t="shared" si="123"/>
        <v>0</v>
      </c>
    </row>
    <row r="5471" spans="20:20" ht="18.75" customHeight="1" x14ac:dyDescent="0.35">
      <c r="T5471" s="246">
        <f t="shared" si="123"/>
        <v>0</v>
      </c>
    </row>
    <row r="5472" spans="20:20" ht="18.75" customHeight="1" x14ac:dyDescent="0.35">
      <c r="T5472" s="246">
        <f t="shared" si="123"/>
        <v>0</v>
      </c>
    </row>
    <row r="5473" spans="20:20" ht="18.75" customHeight="1" x14ac:dyDescent="0.35">
      <c r="T5473" s="246">
        <f t="shared" si="123"/>
        <v>0</v>
      </c>
    </row>
    <row r="5474" spans="20:20" ht="18.75" customHeight="1" x14ac:dyDescent="0.35">
      <c r="T5474" s="246">
        <f t="shared" si="123"/>
        <v>0</v>
      </c>
    </row>
    <row r="5475" spans="20:20" ht="18.75" customHeight="1" x14ac:dyDescent="0.35">
      <c r="T5475" s="246">
        <f t="shared" si="123"/>
        <v>0</v>
      </c>
    </row>
    <row r="5476" spans="20:20" ht="18.75" customHeight="1" x14ac:dyDescent="0.35">
      <c r="T5476" s="246">
        <f t="shared" si="123"/>
        <v>0</v>
      </c>
    </row>
    <row r="5477" spans="20:20" ht="18.75" customHeight="1" x14ac:dyDescent="0.35">
      <c r="T5477" s="246">
        <f t="shared" si="123"/>
        <v>0</v>
      </c>
    </row>
    <row r="5478" spans="20:20" ht="18.75" customHeight="1" x14ac:dyDescent="0.35">
      <c r="T5478" s="246">
        <f t="shared" si="123"/>
        <v>0</v>
      </c>
    </row>
    <row r="5479" spans="20:20" ht="18.75" customHeight="1" x14ac:dyDescent="0.35">
      <c r="T5479" s="246">
        <f t="shared" si="123"/>
        <v>0</v>
      </c>
    </row>
    <row r="5480" spans="20:20" ht="18.75" customHeight="1" x14ac:dyDescent="0.35">
      <c r="T5480" s="246">
        <f t="shared" si="123"/>
        <v>0</v>
      </c>
    </row>
    <row r="5481" spans="20:20" ht="18.75" customHeight="1" x14ac:dyDescent="0.35">
      <c r="T5481" s="246">
        <f t="shared" si="123"/>
        <v>0</v>
      </c>
    </row>
    <row r="5482" spans="20:20" ht="18.75" customHeight="1" x14ac:dyDescent="0.35">
      <c r="T5482" s="246">
        <f t="shared" si="123"/>
        <v>0</v>
      </c>
    </row>
    <row r="5483" spans="20:20" ht="18.75" customHeight="1" x14ac:dyDescent="0.35">
      <c r="T5483" s="246">
        <f t="shared" si="123"/>
        <v>0</v>
      </c>
    </row>
    <row r="5484" spans="20:20" ht="18.75" customHeight="1" x14ac:dyDescent="0.35">
      <c r="T5484" s="246">
        <f t="shared" si="123"/>
        <v>0</v>
      </c>
    </row>
    <row r="5485" spans="20:20" ht="18.75" customHeight="1" x14ac:dyDescent="0.35">
      <c r="T5485" s="246">
        <f t="shared" si="123"/>
        <v>0</v>
      </c>
    </row>
    <row r="5486" spans="20:20" ht="18.75" customHeight="1" x14ac:dyDescent="0.35">
      <c r="T5486" s="246">
        <f t="shared" si="123"/>
        <v>0</v>
      </c>
    </row>
    <row r="5487" spans="20:20" ht="18.75" customHeight="1" x14ac:dyDescent="0.35">
      <c r="T5487" s="246">
        <f t="shared" si="123"/>
        <v>0</v>
      </c>
    </row>
    <row r="5488" spans="20:20" ht="18.75" customHeight="1" x14ac:dyDescent="0.35">
      <c r="T5488" s="246">
        <f t="shared" si="123"/>
        <v>0</v>
      </c>
    </row>
    <row r="5489" spans="20:20" ht="18.75" customHeight="1" x14ac:dyDescent="0.35">
      <c r="T5489" s="246">
        <f t="shared" si="123"/>
        <v>0</v>
      </c>
    </row>
    <row r="5490" spans="20:20" ht="18.75" customHeight="1" x14ac:dyDescent="0.35">
      <c r="T5490" s="246">
        <f t="shared" si="123"/>
        <v>0</v>
      </c>
    </row>
    <row r="5491" spans="20:20" ht="18.75" customHeight="1" x14ac:dyDescent="0.35">
      <c r="T5491" s="246">
        <f t="shared" si="123"/>
        <v>0</v>
      </c>
    </row>
    <row r="5492" spans="20:20" ht="18.75" customHeight="1" x14ac:dyDescent="0.35">
      <c r="T5492" s="246">
        <f t="shared" si="123"/>
        <v>0</v>
      </c>
    </row>
    <row r="5493" spans="20:20" ht="18.75" customHeight="1" x14ac:dyDescent="0.35">
      <c r="T5493" s="246">
        <f t="shared" si="123"/>
        <v>0</v>
      </c>
    </row>
    <row r="5494" spans="20:20" ht="18.75" customHeight="1" x14ac:dyDescent="0.35">
      <c r="T5494" s="246">
        <f t="shared" si="123"/>
        <v>0</v>
      </c>
    </row>
    <row r="5495" spans="20:20" ht="18.75" customHeight="1" x14ac:dyDescent="0.35">
      <c r="T5495" s="246">
        <f t="shared" si="123"/>
        <v>0</v>
      </c>
    </row>
    <row r="5496" spans="20:20" ht="18.75" customHeight="1" x14ac:dyDescent="0.35">
      <c r="T5496" s="246">
        <f t="shared" si="123"/>
        <v>0</v>
      </c>
    </row>
    <row r="5497" spans="20:20" ht="18.75" customHeight="1" x14ac:dyDescent="0.35">
      <c r="T5497" s="246">
        <f t="shared" si="123"/>
        <v>0</v>
      </c>
    </row>
    <row r="5498" spans="20:20" ht="18.75" customHeight="1" x14ac:dyDescent="0.35">
      <c r="T5498" s="246">
        <f t="shared" si="123"/>
        <v>0</v>
      </c>
    </row>
    <row r="5499" spans="20:20" ht="18.75" customHeight="1" x14ac:dyDescent="0.35">
      <c r="T5499" s="246">
        <f t="shared" si="123"/>
        <v>0</v>
      </c>
    </row>
    <row r="5500" spans="20:20" ht="18.75" customHeight="1" x14ac:dyDescent="0.35">
      <c r="T5500" s="246">
        <f t="shared" ref="T5500:T5563" si="124">R5500*0.01</f>
        <v>0</v>
      </c>
    </row>
    <row r="5501" spans="20:20" ht="18.75" customHeight="1" x14ac:dyDescent="0.35">
      <c r="T5501" s="246">
        <f t="shared" si="124"/>
        <v>0</v>
      </c>
    </row>
    <row r="5502" spans="20:20" ht="18.75" customHeight="1" x14ac:dyDescent="0.35">
      <c r="T5502" s="246">
        <f t="shared" si="124"/>
        <v>0</v>
      </c>
    </row>
    <row r="5503" spans="20:20" ht="18.75" customHeight="1" x14ac:dyDescent="0.35">
      <c r="T5503" s="246">
        <f t="shared" si="124"/>
        <v>0</v>
      </c>
    </row>
    <row r="5504" spans="20:20" ht="18.75" customHeight="1" x14ac:dyDescent="0.35">
      <c r="T5504" s="246">
        <f t="shared" si="124"/>
        <v>0</v>
      </c>
    </row>
    <row r="5505" spans="20:20" ht="18.75" customHeight="1" x14ac:dyDescent="0.35">
      <c r="T5505" s="246">
        <f t="shared" si="124"/>
        <v>0</v>
      </c>
    </row>
    <row r="5506" spans="20:20" ht="18.75" customHeight="1" x14ac:dyDescent="0.35">
      <c r="T5506" s="246">
        <f t="shared" si="124"/>
        <v>0</v>
      </c>
    </row>
    <row r="5507" spans="20:20" ht="18.75" customHeight="1" x14ac:dyDescent="0.35">
      <c r="T5507" s="246">
        <f t="shared" si="124"/>
        <v>0</v>
      </c>
    </row>
    <row r="5508" spans="20:20" ht="18.75" customHeight="1" x14ac:dyDescent="0.35">
      <c r="T5508" s="246">
        <f t="shared" si="124"/>
        <v>0</v>
      </c>
    </row>
    <row r="5509" spans="20:20" ht="18.75" customHeight="1" x14ac:dyDescent="0.35">
      <c r="T5509" s="246">
        <f t="shared" si="124"/>
        <v>0</v>
      </c>
    </row>
    <row r="5510" spans="20:20" ht="18.75" customHeight="1" x14ac:dyDescent="0.35">
      <c r="T5510" s="246">
        <f t="shared" si="124"/>
        <v>0</v>
      </c>
    </row>
    <row r="5511" spans="20:20" ht="18.75" customHeight="1" x14ac:dyDescent="0.35">
      <c r="T5511" s="246">
        <f t="shared" si="124"/>
        <v>0</v>
      </c>
    </row>
    <row r="5512" spans="20:20" ht="18.75" customHeight="1" x14ac:dyDescent="0.35">
      <c r="T5512" s="246">
        <f t="shared" si="124"/>
        <v>0</v>
      </c>
    </row>
    <row r="5513" spans="20:20" ht="18.75" customHeight="1" x14ac:dyDescent="0.35">
      <c r="T5513" s="246">
        <f t="shared" si="124"/>
        <v>0</v>
      </c>
    </row>
    <row r="5514" spans="20:20" ht="18.75" customHeight="1" x14ac:dyDescent="0.35">
      <c r="T5514" s="246">
        <f t="shared" si="124"/>
        <v>0</v>
      </c>
    </row>
    <row r="5515" spans="20:20" ht="18.75" customHeight="1" x14ac:dyDescent="0.35">
      <c r="T5515" s="246">
        <f t="shared" si="124"/>
        <v>0</v>
      </c>
    </row>
    <row r="5516" spans="20:20" ht="18.75" customHeight="1" x14ac:dyDescent="0.35">
      <c r="T5516" s="246">
        <f t="shared" si="124"/>
        <v>0</v>
      </c>
    </row>
    <row r="5517" spans="20:20" ht="18.75" customHeight="1" x14ac:dyDescent="0.35">
      <c r="T5517" s="246">
        <f t="shared" si="124"/>
        <v>0</v>
      </c>
    </row>
    <row r="5518" spans="20:20" ht="18.75" customHeight="1" x14ac:dyDescent="0.35">
      <c r="T5518" s="246">
        <f t="shared" si="124"/>
        <v>0</v>
      </c>
    </row>
    <row r="5519" spans="20:20" ht="18.75" customHeight="1" x14ac:dyDescent="0.35">
      <c r="T5519" s="246">
        <f t="shared" si="124"/>
        <v>0</v>
      </c>
    </row>
    <row r="5520" spans="20:20" ht="18.75" customHeight="1" x14ac:dyDescent="0.35">
      <c r="T5520" s="246">
        <f t="shared" si="124"/>
        <v>0</v>
      </c>
    </row>
    <row r="5521" spans="20:20" ht="18.75" customHeight="1" x14ac:dyDescent="0.35">
      <c r="T5521" s="246">
        <f t="shared" si="124"/>
        <v>0</v>
      </c>
    </row>
    <row r="5522" spans="20:20" ht="18.75" customHeight="1" x14ac:dyDescent="0.35">
      <c r="T5522" s="246">
        <f t="shared" si="124"/>
        <v>0</v>
      </c>
    </row>
    <row r="5523" spans="20:20" ht="18.75" customHeight="1" x14ac:dyDescent="0.35">
      <c r="T5523" s="246">
        <f t="shared" si="124"/>
        <v>0</v>
      </c>
    </row>
    <row r="5524" spans="20:20" ht="18.75" customHeight="1" x14ac:dyDescent="0.35">
      <c r="T5524" s="246">
        <f t="shared" si="124"/>
        <v>0</v>
      </c>
    </row>
    <row r="5525" spans="20:20" ht="18.75" customHeight="1" x14ac:dyDescent="0.35">
      <c r="T5525" s="246">
        <f t="shared" si="124"/>
        <v>0</v>
      </c>
    </row>
    <row r="5526" spans="20:20" ht="18.75" customHeight="1" x14ac:dyDescent="0.35">
      <c r="T5526" s="246">
        <f t="shared" si="124"/>
        <v>0</v>
      </c>
    </row>
    <row r="5527" spans="20:20" ht="18.75" customHeight="1" x14ac:dyDescent="0.35">
      <c r="T5527" s="246">
        <f t="shared" si="124"/>
        <v>0</v>
      </c>
    </row>
    <row r="5528" spans="20:20" ht="18.75" customHeight="1" x14ac:dyDescent="0.35">
      <c r="T5528" s="246">
        <f t="shared" si="124"/>
        <v>0</v>
      </c>
    </row>
    <row r="5529" spans="20:20" ht="18.75" customHeight="1" x14ac:dyDescent="0.35">
      <c r="T5529" s="246">
        <f t="shared" si="124"/>
        <v>0</v>
      </c>
    </row>
    <row r="5530" spans="20:20" ht="18.75" customHeight="1" x14ac:dyDescent="0.35">
      <c r="T5530" s="246">
        <f t="shared" si="124"/>
        <v>0</v>
      </c>
    </row>
    <row r="5531" spans="20:20" ht="18.75" customHeight="1" x14ac:dyDescent="0.35">
      <c r="T5531" s="246">
        <f t="shared" si="124"/>
        <v>0</v>
      </c>
    </row>
    <row r="5532" spans="20:20" ht="18.75" customHeight="1" x14ac:dyDescent="0.35">
      <c r="T5532" s="246">
        <f t="shared" si="124"/>
        <v>0</v>
      </c>
    </row>
    <row r="5533" spans="20:20" ht="18.75" customHeight="1" x14ac:dyDescent="0.35">
      <c r="T5533" s="246">
        <f t="shared" si="124"/>
        <v>0</v>
      </c>
    </row>
    <row r="5534" spans="20:20" ht="18.75" customHeight="1" x14ac:dyDescent="0.35">
      <c r="T5534" s="246">
        <f t="shared" si="124"/>
        <v>0</v>
      </c>
    </row>
    <row r="5535" spans="20:20" ht="18.75" customHeight="1" x14ac:dyDescent="0.35">
      <c r="T5535" s="246">
        <f t="shared" si="124"/>
        <v>0</v>
      </c>
    </row>
    <row r="5536" spans="20:20" ht="18.75" customHeight="1" x14ac:dyDescent="0.35">
      <c r="T5536" s="246">
        <f t="shared" si="124"/>
        <v>0</v>
      </c>
    </row>
    <row r="5537" spans="20:20" ht="18.75" customHeight="1" x14ac:dyDescent="0.35">
      <c r="T5537" s="246">
        <f t="shared" si="124"/>
        <v>0</v>
      </c>
    </row>
    <row r="5538" spans="20:20" ht="18.75" customHeight="1" x14ac:dyDescent="0.35">
      <c r="T5538" s="246">
        <f t="shared" si="124"/>
        <v>0</v>
      </c>
    </row>
    <row r="5539" spans="20:20" ht="18.75" customHeight="1" x14ac:dyDescent="0.35">
      <c r="T5539" s="246">
        <f t="shared" si="124"/>
        <v>0</v>
      </c>
    </row>
    <row r="5540" spans="20:20" ht="18.75" customHeight="1" x14ac:dyDescent="0.35">
      <c r="T5540" s="246">
        <f t="shared" si="124"/>
        <v>0</v>
      </c>
    </row>
    <row r="5541" spans="20:20" ht="18.75" customHeight="1" x14ac:dyDescent="0.35">
      <c r="T5541" s="246">
        <f t="shared" si="124"/>
        <v>0</v>
      </c>
    </row>
    <row r="5542" spans="20:20" ht="18.75" customHeight="1" x14ac:dyDescent="0.35">
      <c r="T5542" s="246">
        <f t="shared" si="124"/>
        <v>0</v>
      </c>
    </row>
    <row r="5543" spans="20:20" ht="18.75" customHeight="1" x14ac:dyDescent="0.35">
      <c r="T5543" s="246">
        <f t="shared" si="124"/>
        <v>0</v>
      </c>
    </row>
    <row r="5544" spans="20:20" ht="18.75" customHeight="1" x14ac:dyDescent="0.35">
      <c r="T5544" s="246">
        <f t="shared" si="124"/>
        <v>0</v>
      </c>
    </row>
    <row r="5545" spans="20:20" ht="18.75" customHeight="1" x14ac:dyDescent="0.35">
      <c r="T5545" s="246">
        <f t="shared" si="124"/>
        <v>0</v>
      </c>
    </row>
    <row r="5546" spans="20:20" ht="18.75" customHeight="1" x14ac:dyDescent="0.35">
      <c r="T5546" s="246">
        <f t="shared" si="124"/>
        <v>0</v>
      </c>
    </row>
    <row r="5547" spans="20:20" ht="18.75" customHeight="1" x14ac:dyDescent="0.35">
      <c r="T5547" s="246">
        <f t="shared" si="124"/>
        <v>0</v>
      </c>
    </row>
    <row r="5548" spans="20:20" ht="18.75" customHeight="1" x14ac:dyDescent="0.35">
      <c r="T5548" s="246">
        <f t="shared" si="124"/>
        <v>0</v>
      </c>
    </row>
    <row r="5549" spans="20:20" ht="18.75" customHeight="1" x14ac:dyDescent="0.35">
      <c r="T5549" s="246">
        <f t="shared" si="124"/>
        <v>0</v>
      </c>
    </row>
    <row r="5550" spans="20:20" ht="18.75" customHeight="1" x14ac:dyDescent="0.35">
      <c r="T5550" s="246">
        <f t="shared" si="124"/>
        <v>0</v>
      </c>
    </row>
    <row r="5551" spans="20:20" ht="18.75" customHeight="1" x14ac:dyDescent="0.35">
      <c r="T5551" s="246">
        <f t="shared" si="124"/>
        <v>0</v>
      </c>
    </row>
    <row r="5552" spans="20:20" ht="18.75" customHeight="1" x14ac:dyDescent="0.35">
      <c r="T5552" s="246">
        <f t="shared" si="124"/>
        <v>0</v>
      </c>
    </row>
    <row r="5553" spans="20:20" ht="18.75" customHeight="1" x14ac:dyDescent="0.35">
      <c r="T5553" s="246">
        <f t="shared" si="124"/>
        <v>0</v>
      </c>
    </row>
    <row r="5554" spans="20:20" ht="18.75" customHeight="1" x14ac:dyDescent="0.35">
      <c r="T5554" s="246">
        <f t="shared" si="124"/>
        <v>0</v>
      </c>
    </row>
    <row r="5555" spans="20:20" ht="18.75" customHeight="1" x14ac:dyDescent="0.35">
      <c r="T5555" s="246">
        <f t="shared" si="124"/>
        <v>0</v>
      </c>
    </row>
    <row r="5556" spans="20:20" ht="18.75" customHeight="1" x14ac:dyDescent="0.35">
      <c r="T5556" s="246">
        <f t="shared" si="124"/>
        <v>0</v>
      </c>
    </row>
    <row r="5557" spans="20:20" ht="18.75" customHeight="1" x14ac:dyDescent="0.35">
      <c r="T5557" s="246">
        <f t="shared" si="124"/>
        <v>0</v>
      </c>
    </row>
    <row r="5558" spans="20:20" ht="18.75" customHeight="1" x14ac:dyDescent="0.35">
      <c r="T5558" s="246">
        <f t="shared" si="124"/>
        <v>0</v>
      </c>
    </row>
    <row r="5559" spans="20:20" ht="18.75" customHeight="1" x14ac:dyDescent="0.35">
      <c r="T5559" s="246">
        <f t="shared" si="124"/>
        <v>0</v>
      </c>
    </row>
    <row r="5560" spans="20:20" ht="18.75" customHeight="1" x14ac:dyDescent="0.35">
      <c r="T5560" s="246">
        <f t="shared" si="124"/>
        <v>0</v>
      </c>
    </row>
    <row r="5561" spans="20:20" ht="18.75" customHeight="1" x14ac:dyDescent="0.35">
      <c r="T5561" s="246">
        <f t="shared" si="124"/>
        <v>0</v>
      </c>
    </row>
    <row r="5562" spans="20:20" ht="18.75" customHeight="1" x14ac:dyDescent="0.35">
      <c r="T5562" s="246">
        <f t="shared" si="124"/>
        <v>0</v>
      </c>
    </row>
    <row r="5563" spans="20:20" ht="18.75" customHeight="1" x14ac:dyDescent="0.35">
      <c r="T5563" s="246">
        <f t="shared" si="124"/>
        <v>0</v>
      </c>
    </row>
    <row r="5564" spans="20:20" ht="18.75" customHeight="1" x14ac:dyDescent="0.35">
      <c r="T5564" s="246">
        <f t="shared" ref="T5564:T5627" si="125">R5564*0.01</f>
        <v>0</v>
      </c>
    </row>
    <row r="5565" spans="20:20" ht="18.75" customHeight="1" x14ac:dyDescent="0.35">
      <c r="T5565" s="246">
        <f t="shared" si="125"/>
        <v>0</v>
      </c>
    </row>
    <row r="5566" spans="20:20" ht="18.75" customHeight="1" x14ac:dyDescent="0.35">
      <c r="T5566" s="246">
        <f t="shared" si="125"/>
        <v>0</v>
      </c>
    </row>
    <row r="5567" spans="20:20" ht="18.75" customHeight="1" x14ac:dyDescent="0.35">
      <c r="T5567" s="246">
        <f t="shared" si="125"/>
        <v>0</v>
      </c>
    </row>
    <row r="5568" spans="20:20" ht="18.75" customHeight="1" x14ac:dyDescent="0.35">
      <c r="T5568" s="246">
        <f t="shared" si="125"/>
        <v>0</v>
      </c>
    </row>
    <row r="5569" spans="20:20" ht="18.75" customHeight="1" x14ac:dyDescent="0.35">
      <c r="T5569" s="246">
        <f t="shared" si="125"/>
        <v>0</v>
      </c>
    </row>
    <row r="5570" spans="20:20" ht="18.75" customHeight="1" x14ac:dyDescent="0.35">
      <c r="T5570" s="246">
        <f t="shared" si="125"/>
        <v>0</v>
      </c>
    </row>
    <row r="5571" spans="20:20" ht="18.75" customHeight="1" x14ac:dyDescent="0.35">
      <c r="T5571" s="246">
        <f t="shared" si="125"/>
        <v>0</v>
      </c>
    </row>
    <row r="5572" spans="20:20" ht="18.75" customHeight="1" x14ac:dyDescent="0.35">
      <c r="T5572" s="246">
        <f t="shared" si="125"/>
        <v>0</v>
      </c>
    </row>
    <row r="5573" spans="20:20" ht="18.75" customHeight="1" x14ac:dyDescent="0.35">
      <c r="T5573" s="246">
        <f t="shared" si="125"/>
        <v>0</v>
      </c>
    </row>
    <row r="5574" spans="20:20" ht="18.75" customHeight="1" x14ac:dyDescent="0.35">
      <c r="T5574" s="246">
        <f t="shared" si="125"/>
        <v>0</v>
      </c>
    </row>
    <row r="5575" spans="20:20" ht="18.75" customHeight="1" x14ac:dyDescent="0.35">
      <c r="T5575" s="246">
        <f t="shared" si="125"/>
        <v>0</v>
      </c>
    </row>
    <row r="5576" spans="20:20" ht="18.75" customHeight="1" x14ac:dyDescent="0.35">
      <c r="T5576" s="246">
        <f t="shared" si="125"/>
        <v>0</v>
      </c>
    </row>
    <row r="5577" spans="20:20" ht="18.75" customHeight="1" x14ac:dyDescent="0.35">
      <c r="T5577" s="246">
        <f t="shared" si="125"/>
        <v>0</v>
      </c>
    </row>
    <row r="5578" spans="20:20" ht="18.75" customHeight="1" x14ac:dyDescent="0.35">
      <c r="T5578" s="246">
        <f t="shared" si="125"/>
        <v>0</v>
      </c>
    </row>
    <row r="5579" spans="20:20" ht="18.75" customHeight="1" x14ac:dyDescent="0.35">
      <c r="T5579" s="246">
        <f t="shared" si="125"/>
        <v>0</v>
      </c>
    </row>
    <row r="5580" spans="20:20" ht="18.75" customHeight="1" x14ac:dyDescent="0.35">
      <c r="T5580" s="246">
        <f t="shared" si="125"/>
        <v>0</v>
      </c>
    </row>
    <row r="5581" spans="20:20" ht="18.75" customHeight="1" x14ac:dyDescent="0.35">
      <c r="T5581" s="246">
        <f t="shared" si="125"/>
        <v>0</v>
      </c>
    </row>
    <row r="5582" spans="20:20" ht="18.75" customHeight="1" x14ac:dyDescent="0.35">
      <c r="T5582" s="246">
        <f t="shared" si="125"/>
        <v>0</v>
      </c>
    </row>
    <row r="5583" spans="20:20" ht="18.75" customHeight="1" x14ac:dyDescent="0.35">
      <c r="T5583" s="246">
        <f t="shared" si="125"/>
        <v>0</v>
      </c>
    </row>
    <row r="5584" spans="20:20" ht="18.75" customHeight="1" x14ac:dyDescent="0.35">
      <c r="T5584" s="246">
        <f t="shared" si="125"/>
        <v>0</v>
      </c>
    </row>
    <row r="5585" spans="20:20" ht="18.75" customHeight="1" x14ac:dyDescent="0.35">
      <c r="T5585" s="246">
        <f t="shared" si="125"/>
        <v>0</v>
      </c>
    </row>
    <row r="5586" spans="20:20" ht="18.75" customHeight="1" x14ac:dyDescent="0.35">
      <c r="T5586" s="246">
        <f t="shared" si="125"/>
        <v>0</v>
      </c>
    </row>
    <row r="5587" spans="20:20" ht="18.75" customHeight="1" x14ac:dyDescent="0.35">
      <c r="T5587" s="246">
        <f t="shared" si="125"/>
        <v>0</v>
      </c>
    </row>
    <row r="5588" spans="20:20" ht="18.75" customHeight="1" x14ac:dyDescent="0.35">
      <c r="T5588" s="246">
        <f t="shared" si="125"/>
        <v>0</v>
      </c>
    </row>
    <row r="5589" spans="20:20" ht="18.75" customHeight="1" x14ac:dyDescent="0.35">
      <c r="T5589" s="246">
        <f t="shared" si="125"/>
        <v>0</v>
      </c>
    </row>
    <row r="5590" spans="20:20" ht="18.75" customHeight="1" x14ac:dyDescent="0.35">
      <c r="T5590" s="246">
        <f t="shared" si="125"/>
        <v>0</v>
      </c>
    </row>
    <row r="5591" spans="20:20" ht="18.75" customHeight="1" x14ac:dyDescent="0.35">
      <c r="T5591" s="246">
        <f t="shared" si="125"/>
        <v>0</v>
      </c>
    </row>
    <row r="5592" spans="20:20" ht="18.75" customHeight="1" x14ac:dyDescent="0.35">
      <c r="T5592" s="246">
        <f t="shared" si="125"/>
        <v>0</v>
      </c>
    </row>
    <row r="5593" spans="20:20" ht="18.75" customHeight="1" x14ac:dyDescent="0.35">
      <c r="T5593" s="246">
        <f t="shared" si="125"/>
        <v>0</v>
      </c>
    </row>
    <row r="5594" spans="20:20" ht="18.75" customHeight="1" x14ac:dyDescent="0.35">
      <c r="T5594" s="246">
        <f t="shared" si="125"/>
        <v>0</v>
      </c>
    </row>
    <row r="5595" spans="20:20" ht="18.75" customHeight="1" x14ac:dyDescent="0.35">
      <c r="T5595" s="246">
        <f t="shared" si="125"/>
        <v>0</v>
      </c>
    </row>
    <row r="5596" spans="20:20" ht="18.75" customHeight="1" x14ac:dyDescent="0.35">
      <c r="T5596" s="246">
        <f t="shared" si="125"/>
        <v>0</v>
      </c>
    </row>
    <row r="5597" spans="20:20" ht="18.75" customHeight="1" x14ac:dyDescent="0.35">
      <c r="T5597" s="246">
        <f t="shared" si="125"/>
        <v>0</v>
      </c>
    </row>
    <row r="5598" spans="20:20" ht="18.75" customHeight="1" x14ac:dyDescent="0.35">
      <c r="T5598" s="246">
        <f t="shared" si="125"/>
        <v>0</v>
      </c>
    </row>
    <row r="5599" spans="20:20" ht="18.75" customHeight="1" x14ac:dyDescent="0.35">
      <c r="T5599" s="246">
        <f t="shared" si="125"/>
        <v>0</v>
      </c>
    </row>
    <row r="5600" spans="20:20" ht="18.75" customHeight="1" x14ac:dyDescent="0.35">
      <c r="T5600" s="246">
        <f t="shared" si="125"/>
        <v>0</v>
      </c>
    </row>
    <row r="5601" spans="20:20" ht="18.75" customHeight="1" x14ac:dyDescent="0.35">
      <c r="T5601" s="246">
        <f t="shared" si="125"/>
        <v>0</v>
      </c>
    </row>
    <row r="5602" spans="20:20" ht="18.75" customHeight="1" x14ac:dyDescent="0.35">
      <c r="T5602" s="246">
        <f t="shared" si="125"/>
        <v>0</v>
      </c>
    </row>
    <row r="5603" spans="20:20" ht="18.75" customHeight="1" x14ac:dyDescent="0.35">
      <c r="T5603" s="246">
        <f t="shared" si="125"/>
        <v>0</v>
      </c>
    </row>
    <row r="5604" spans="20:20" ht="18.75" customHeight="1" x14ac:dyDescent="0.35">
      <c r="T5604" s="246">
        <f t="shared" si="125"/>
        <v>0</v>
      </c>
    </row>
    <row r="5605" spans="20:20" ht="18.75" customHeight="1" x14ac:dyDescent="0.35">
      <c r="T5605" s="246">
        <f t="shared" si="125"/>
        <v>0</v>
      </c>
    </row>
    <row r="5606" spans="20:20" ht="18.75" customHeight="1" x14ac:dyDescent="0.35">
      <c r="T5606" s="246">
        <f t="shared" si="125"/>
        <v>0</v>
      </c>
    </row>
    <row r="5607" spans="20:20" ht="18.75" customHeight="1" x14ac:dyDescent="0.35">
      <c r="T5607" s="246">
        <f t="shared" si="125"/>
        <v>0</v>
      </c>
    </row>
    <row r="5608" spans="20:20" ht="18.75" customHeight="1" x14ac:dyDescent="0.35">
      <c r="T5608" s="246">
        <f t="shared" si="125"/>
        <v>0</v>
      </c>
    </row>
    <row r="5609" spans="20:20" ht="18.75" customHeight="1" x14ac:dyDescent="0.35">
      <c r="T5609" s="246">
        <f t="shared" si="125"/>
        <v>0</v>
      </c>
    </row>
    <row r="5610" spans="20:20" ht="18.75" customHeight="1" x14ac:dyDescent="0.35">
      <c r="T5610" s="246">
        <f t="shared" si="125"/>
        <v>0</v>
      </c>
    </row>
    <row r="5611" spans="20:20" ht="18.75" customHeight="1" x14ac:dyDescent="0.35">
      <c r="T5611" s="246">
        <f t="shared" si="125"/>
        <v>0</v>
      </c>
    </row>
    <row r="5612" spans="20:20" ht="18.75" customHeight="1" x14ac:dyDescent="0.35">
      <c r="T5612" s="246">
        <f t="shared" si="125"/>
        <v>0</v>
      </c>
    </row>
    <row r="5613" spans="20:20" ht="18.75" customHeight="1" x14ac:dyDescent="0.35">
      <c r="T5613" s="246">
        <f t="shared" si="125"/>
        <v>0</v>
      </c>
    </row>
    <row r="5614" spans="20:20" ht="18.75" customHeight="1" x14ac:dyDescent="0.35">
      <c r="T5614" s="246">
        <f t="shared" si="125"/>
        <v>0</v>
      </c>
    </row>
    <row r="5615" spans="20:20" ht="18.75" customHeight="1" x14ac:dyDescent="0.35">
      <c r="T5615" s="246">
        <f t="shared" si="125"/>
        <v>0</v>
      </c>
    </row>
    <row r="5616" spans="20:20" ht="18.75" customHeight="1" x14ac:dyDescent="0.35">
      <c r="T5616" s="246">
        <f t="shared" si="125"/>
        <v>0</v>
      </c>
    </row>
    <row r="5617" spans="20:20" ht="18.75" customHeight="1" x14ac:dyDescent="0.35">
      <c r="T5617" s="246">
        <f t="shared" si="125"/>
        <v>0</v>
      </c>
    </row>
    <row r="5618" spans="20:20" ht="18.75" customHeight="1" x14ac:dyDescent="0.35">
      <c r="T5618" s="246">
        <f t="shared" si="125"/>
        <v>0</v>
      </c>
    </row>
    <row r="5619" spans="20:20" ht="18.75" customHeight="1" x14ac:dyDescent="0.35">
      <c r="T5619" s="246">
        <f t="shared" si="125"/>
        <v>0</v>
      </c>
    </row>
    <row r="5620" spans="20:20" ht="18.75" customHeight="1" x14ac:dyDescent="0.35">
      <c r="T5620" s="246">
        <f t="shared" si="125"/>
        <v>0</v>
      </c>
    </row>
    <row r="5621" spans="20:20" ht="18.75" customHeight="1" x14ac:dyDescent="0.35">
      <c r="T5621" s="246">
        <f t="shared" si="125"/>
        <v>0</v>
      </c>
    </row>
    <row r="5622" spans="20:20" ht="18.75" customHeight="1" x14ac:dyDescent="0.35">
      <c r="T5622" s="246">
        <f t="shared" si="125"/>
        <v>0</v>
      </c>
    </row>
    <row r="5623" spans="20:20" ht="18.75" customHeight="1" x14ac:dyDescent="0.35">
      <c r="T5623" s="246">
        <f t="shared" si="125"/>
        <v>0</v>
      </c>
    </row>
    <row r="5624" spans="20:20" ht="18.75" customHeight="1" x14ac:dyDescent="0.35">
      <c r="T5624" s="246">
        <f t="shared" si="125"/>
        <v>0</v>
      </c>
    </row>
    <row r="5625" spans="20:20" ht="18.75" customHeight="1" x14ac:dyDescent="0.35">
      <c r="T5625" s="246">
        <f t="shared" si="125"/>
        <v>0</v>
      </c>
    </row>
    <row r="5626" spans="20:20" ht="18.75" customHeight="1" x14ac:dyDescent="0.35">
      <c r="T5626" s="246">
        <f t="shared" si="125"/>
        <v>0</v>
      </c>
    </row>
    <row r="5627" spans="20:20" ht="18.75" customHeight="1" x14ac:dyDescent="0.35">
      <c r="T5627" s="246">
        <f t="shared" si="125"/>
        <v>0</v>
      </c>
    </row>
    <row r="5628" spans="20:20" ht="18.75" customHeight="1" x14ac:dyDescent="0.35">
      <c r="T5628" s="246">
        <f t="shared" ref="T5628:T5691" si="126">R5628*0.01</f>
        <v>0</v>
      </c>
    </row>
    <row r="5629" spans="20:20" ht="18.75" customHeight="1" x14ac:dyDescent="0.35">
      <c r="T5629" s="246">
        <f t="shared" si="126"/>
        <v>0</v>
      </c>
    </row>
    <row r="5630" spans="20:20" ht="18.75" customHeight="1" x14ac:dyDescent="0.35">
      <c r="T5630" s="246">
        <f t="shared" si="126"/>
        <v>0</v>
      </c>
    </row>
    <row r="5631" spans="20:20" ht="18.75" customHeight="1" x14ac:dyDescent="0.35">
      <c r="T5631" s="246">
        <f t="shared" si="126"/>
        <v>0</v>
      </c>
    </row>
    <row r="5632" spans="20:20" ht="18.75" customHeight="1" x14ac:dyDescent="0.35">
      <c r="T5632" s="246">
        <f t="shared" si="126"/>
        <v>0</v>
      </c>
    </row>
    <row r="5633" spans="20:20" ht="18.75" customHeight="1" x14ac:dyDescent="0.35">
      <c r="T5633" s="246">
        <f t="shared" si="126"/>
        <v>0</v>
      </c>
    </row>
    <row r="5634" spans="20:20" ht="18.75" customHeight="1" x14ac:dyDescent="0.35">
      <c r="T5634" s="246">
        <f t="shared" si="126"/>
        <v>0</v>
      </c>
    </row>
    <row r="5635" spans="20:20" ht="18.75" customHeight="1" x14ac:dyDescent="0.35">
      <c r="T5635" s="246">
        <f t="shared" si="126"/>
        <v>0</v>
      </c>
    </row>
    <row r="5636" spans="20:20" ht="18.75" customHeight="1" x14ac:dyDescent="0.35">
      <c r="T5636" s="246">
        <f t="shared" si="126"/>
        <v>0</v>
      </c>
    </row>
    <row r="5637" spans="20:20" ht="18.75" customHeight="1" x14ac:dyDescent="0.35">
      <c r="T5637" s="246">
        <f t="shared" si="126"/>
        <v>0</v>
      </c>
    </row>
    <row r="5638" spans="20:20" ht="18.75" customHeight="1" x14ac:dyDescent="0.35">
      <c r="T5638" s="246">
        <f t="shared" si="126"/>
        <v>0</v>
      </c>
    </row>
    <row r="5639" spans="20:20" ht="18.75" customHeight="1" x14ac:dyDescent="0.35">
      <c r="T5639" s="246">
        <f t="shared" si="126"/>
        <v>0</v>
      </c>
    </row>
    <row r="5640" spans="20:20" ht="18.75" customHeight="1" x14ac:dyDescent="0.35">
      <c r="T5640" s="246">
        <f t="shared" si="126"/>
        <v>0</v>
      </c>
    </row>
    <row r="5641" spans="20:20" ht="18.75" customHeight="1" x14ac:dyDescent="0.35">
      <c r="T5641" s="246">
        <f t="shared" si="126"/>
        <v>0</v>
      </c>
    </row>
    <row r="5642" spans="20:20" ht="18.75" customHeight="1" x14ac:dyDescent="0.35">
      <c r="T5642" s="246">
        <f t="shared" si="126"/>
        <v>0</v>
      </c>
    </row>
    <row r="5643" spans="20:20" ht="18.75" customHeight="1" x14ac:dyDescent="0.35">
      <c r="T5643" s="246">
        <f t="shared" si="126"/>
        <v>0</v>
      </c>
    </row>
    <row r="5644" spans="20:20" ht="18.75" customHeight="1" x14ac:dyDescent="0.35">
      <c r="T5644" s="246">
        <f t="shared" si="126"/>
        <v>0</v>
      </c>
    </row>
    <row r="5645" spans="20:20" ht="18.75" customHeight="1" x14ac:dyDescent="0.35">
      <c r="T5645" s="246">
        <f t="shared" si="126"/>
        <v>0</v>
      </c>
    </row>
    <row r="5646" spans="20:20" ht="18.75" customHeight="1" x14ac:dyDescent="0.35">
      <c r="T5646" s="246">
        <f t="shared" si="126"/>
        <v>0</v>
      </c>
    </row>
    <row r="5647" spans="20:20" ht="18.75" customHeight="1" x14ac:dyDescent="0.35">
      <c r="T5647" s="246">
        <f t="shared" si="126"/>
        <v>0</v>
      </c>
    </row>
    <row r="5648" spans="20:20" ht="18.75" customHeight="1" x14ac:dyDescent="0.35">
      <c r="T5648" s="246">
        <f t="shared" si="126"/>
        <v>0</v>
      </c>
    </row>
    <row r="5649" spans="20:20" ht="18.75" customHeight="1" x14ac:dyDescent="0.35">
      <c r="T5649" s="246">
        <f t="shared" si="126"/>
        <v>0</v>
      </c>
    </row>
    <row r="5650" spans="20:20" ht="18.75" customHeight="1" x14ac:dyDescent="0.35">
      <c r="T5650" s="246">
        <f t="shared" si="126"/>
        <v>0</v>
      </c>
    </row>
    <row r="5651" spans="20:20" ht="18.75" customHeight="1" x14ac:dyDescent="0.35">
      <c r="T5651" s="246">
        <f t="shared" si="126"/>
        <v>0</v>
      </c>
    </row>
    <row r="5652" spans="20:20" ht="18.75" customHeight="1" x14ac:dyDescent="0.35">
      <c r="T5652" s="246">
        <f t="shared" si="126"/>
        <v>0</v>
      </c>
    </row>
    <row r="5653" spans="20:20" ht="18.75" customHeight="1" x14ac:dyDescent="0.35">
      <c r="T5653" s="246">
        <f t="shared" si="126"/>
        <v>0</v>
      </c>
    </row>
    <row r="5654" spans="20:20" ht="18.75" customHeight="1" x14ac:dyDescent="0.35">
      <c r="T5654" s="246">
        <f t="shared" si="126"/>
        <v>0</v>
      </c>
    </row>
    <row r="5655" spans="20:20" ht="18.75" customHeight="1" x14ac:dyDescent="0.35">
      <c r="T5655" s="246">
        <f t="shared" si="126"/>
        <v>0</v>
      </c>
    </row>
    <row r="5656" spans="20:20" ht="18.75" customHeight="1" x14ac:dyDescent="0.35">
      <c r="T5656" s="246">
        <f t="shared" si="126"/>
        <v>0</v>
      </c>
    </row>
    <row r="5657" spans="20:20" ht="18.75" customHeight="1" x14ac:dyDescent="0.35">
      <c r="T5657" s="246">
        <f t="shared" si="126"/>
        <v>0</v>
      </c>
    </row>
    <row r="5658" spans="20:20" ht="18.75" customHeight="1" x14ac:dyDescent="0.35">
      <c r="T5658" s="246">
        <f t="shared" si="126"/>
        <v>0</v>
      </c>
    </row>
    <row r="5659" spans="20:20" ht="18.75" customHeight="1" x14ac:dyDescent="0.35">
      <c r="T5659" s="246">
        <f t="shared" si="126"/>
        <v>0</v>
      </c>
    </row>
    <row r="5660" spans="20:20" ht="18.75" customHeight="1" x14ac:dyDescent="0.35">
      <c r="T5660" s="246">
        <f t="shared" si="126"/>
        <v>0</v>
      </c>
    </row>
    <row r="5661" spans="20:20" ht="18.75" customHeight="1" x14ac:dyDescent="0.35">
      <c r="T5661" s="246">
        <f t="shared" si="126"/>
        <v>0</v>
      </c>
    </row>
    <row r="5662" spans="20:20" ht="18.75" customHeight="1" x14ac:dyDescent="0.35">
      <c r="T5662" s="246">
        <f t="shared" si="126"/>
        <v>0</v>
      </c>
    </row>
    <row r="5663" spans="20:20" ht="18.75" customHeight="1" x14ac:dyDescent="0.35">
      <c r="T5663" s="246">
        <f t="shared" si="126"/>
        <v>0</v>
      </c>
    </row>
    <row r="5664" spans="20:20" ht="18.75" customHeight="1" x14ac:dyDescent="0.35">
      <c r="T5664" s="246">
        <f t="shared" si="126"/>
        <v>0</v>
      </c>
    </row>
    <row r="5665" spans="20:20" ht="18.75" customHeight="1" x14ac:dyDescent="0.35">
      <c r="T5665" s="246">
        <f t="shared" si="126"/>
        <v>0</v>
      </c>
    </row>
    <row r="5666" spans="20:20" ht="18.75" customHeight="1" x14ac:dyDescent="0.35">
      <c r="T5666" s="246">
        <f t="shared" si="126"/>
        <v>0</v>
      </c>
    </row>
    <row r="5667" spans="20:20" ht="18.75" customHeight="1" x14ac:dyDescent="0.35">
      <c r="T5667" s="246">
        <f t="shared" si="126"/>
        <v>0</v>
      </c>
    </row>
    <row r="5668" spans="20:20" ht="18.75" customHeight="1" x14ac:dyDescent="0.35">
      <c r="T5668" s="246">
        <f t="shared" si="126"/>
        <v>0</v>
      </c>
    </row>
    <row r="5669" spans="20:20" ht="18.75" customHeight="1" x14ac:dyDescent="0.35">
      <c r="T5669" s="246">
        <f t="shared" si="126"/>
        <v>0</v>
      </c>
    </row>
    <row r="5670" spans="20:20" ht="18.75" customHeight="1" x14ac:dyDescent="0.35">
      <c r="T5670" s="246">
        <f t="shared" si="126"/>
        <v>0</v>
      </c>
    </row>
    <row r="5671" spans="20:20" ht="18.75" customHeight="1" x14ac:dyDescent="0.35">
      <c r="T5671" s="246">
        <f t="shared" si="126"/>
        <v>0</v>
      </c>
    </row>
    <row r="5672" spans="20:20" ht="18.75" customHeight="1" x14ac:dyDescent="0.35">
      <c r="T5672" s="246">
        <f t="shared" si="126"/>
        <v>0</v>
      </c>
    </row>
    <row r="5673" spans="20:20" ht="18.75" customHeight="1" x14ac:dyDescent="0.35">
      <c r="T5673" s="246">
        <f t="shared" si="126"/>
        <v>0</v>
      </c>
    </row>
    <row r="5674" spans="20:20" ht="18.75" customHeight="1" x14ac:dyDescent="0.35">
      <c r="T5674" s="246">
        <f t="shared" si="126"/>
        <v>0</v>
      </c>
    </row>
    <row r="5675" spans="20:20" ht="18.75" customHeight="1" x14ac:dyDescent="0.35">
      <c r="T5675" s="246">
        <f t="shared" si="126"/>
        <v>0</v>
      </c>
    </row>
    <row r="5676" spans="20:20" ht="18.75" customHeight="1" x14ac:dyDescent="0.35">
      <c r="T5676" s="246">
        <f t="shared" si="126"/>
        <v>0</v>
      </c>
    </row>
    <row r="5677" spans="20:20" ht="18.75" customHeight="1" x14ac:dyDescent="0.35">
      <c r="T5677" s="246">
        <f t="shared" si="126"/>
        <v>0</v>
      </c>
    </row>
    <row r="5678" spans="20:20" ht="18.75" customHeight="1" x14ac:dyDescent="0.35">
      <c r="T5678" s="246">
        <f t="shared" si="126"/>
        <v>0</v>
      </c>
    </row>
    <row r="5679" spans="20:20" ht="18.75" customHeight="1" x14ac:dyDescent="0.35">
      <c r="T5679" s="246">
        <f t="shared" si="126"/>
        <v>0</v>
      </c>
    </row>
    <row r="5680" spans="20:20" ht="18.75" customHeight="1" x14ac:dyDescent="0.35">
      <c r="T5680" s="246">
        <f t="shared" si="126"/>
        <v>0</v>
      </c>
    </row>
    <row r="5681" spans="20:20" ht="18.75" customHeight="1" x14ac:dyDescent="0.35">
      <c r="T5681" s="246">
        <f t="shared" si="126"/>
        <v>0</v>
      </c>
    </row>
    <row r="5682" spans="20:20" ht="18.75" customHeight="1" x14ac:dyDescent="0.35">
      <c r="T5682" s="246">
        <f t="shared" si="126"/>
        <v>0</v>
      </c>
    </row>
    <row r="5683" spans="20:20" ht="18.75" customHeight="1" x14ac:dyDescent="0.35">
      <c r="T5683" s="246">
        <f t="shared" si="126"/>
        <v>0</v>
      </c>
    </row>
    <row r="5684" spans="20:20" ht="18.75" customHeight="1" x14ac:dyDescent="0.35">
      <c r="T5684" s="246">
        <f t="shared" si="126"/>
        <v>0</v>
      </c>
    </row>
    <row r="5685" spans="20:20" ht="18.75" customHeight="1" x14ac:dyDescent="0.35">
      <c r="T5685" s="246">
        <f t="shared" si="126"/>
        <v>0</v>
      </c>
    </row>
    <row r="5686" spans="20:20" ht="18.75" customHeight="1" x14ac:dyDescent="0.35">
      <c r="T5686" s="246">
        <f t="shared" si="126"/>
        <v>0</v>
      </c>
    </row>
    <row r="5687" spans="20:20" ht="18.75" customHeight="1" x14ac:dyDescent="0.35">
      <c r="T5687" s="246">
        <f t="shared" si="126"/>
        <v>0</v>
      </c>
    </row>
    <row r="5688" spans="20:20" ht="18.75" customHeight="1" x14ac:dyDescent="0.35">
      <c r="T5688" s="246">
        <f t="shared" si="126"/>
        <v>0</v>
      </c>
    </row>
    <row r="5689" spans="20:20" ht="18.75" customHeight="1" x14ac:dyDescent="0.35">
      <c r="T5689" s="246">
        <f t="shared" si="126"/>
        <v>0</v>
      </c>
    </row>
    <row r="5690" spans="20:20" ht="18.75" customHeight="1" x14ac:dyDescent="0.35">
      <c r="T5690" s="246">
        <f t="shared" si="126"/>
        <v>0</v>
      </c>
    </row>
    <row r="5691" spans="20:20" ht="18.75" customHeight="1" x14ac:dyDescent="0.35">
      <c r="T5691" s="246">
        <f t="shared" si="126"/>
        <v>0</v>
      </c>
    </row>
    <row r="5692" spans="20:20" ht="18.75" customHeight="1" x14ac:dyDescent="0.35">
      <c r="T5692" s="246">
        <f t="shared" ref="T5692:T5755" si="127">R5692*0.01</f>
        <v>0</v>
      </c>
    </row>
    <row r="5693" spans="20:20" ht="18.75" customHeight="1" x14ac:dyDescent="0.35">
      <c r="T5693" s="246">
        <f t="shared" si="127"/>
        <v>0</v>
      </c>
    </row>
    <row r="5694" spans="20:20" ht="18.75" customHeight="1" x14ac:dyDescent="0.35">
      <c r="T5694" s="246">
        <f t="shared" si="127"/>
        <v>0</v>
      </c>
    </row>
    <row r="5695" spans="20:20" ht="18.75" customHeight="1" x14ac:dyDescent="0.35">
      <c r="T5695" s="246">
        <f t="shared" si="127"/>
        <v>0</v>
      </c>
    </row>
    <row r="5696" spans="20:20" ht="18.75" customHeight="1" x14ac:dyDescent="0.35">
      <c r="T5696" s="246">
        <f t="shared" si="127"/>
        <v>0</v>
      </c>
    </row>
    <row r="5697" spans="20:20" ht="18.75" customHeight="1" x14ac:dyDescent="0.35">
      <c r="T5697" s="246">
        <f t="shared" si="127"/>
        <v>0</v>
      </c>
    </row>
    <row r="5698" spans="20:20" ht="18.75" customHeight="1" x14ac:dyDescent="0.35">
      <c r="T5698" s="246">
        <f t="shared" si="127"/>
        <v>0</v>
      </c>
    </row>
    <row r="5699" spans="20:20" ht="18.75" customHeight="1" x14ac:dyDescent="0.35">
      <c r="T5699" s="246">
        <f t="shared" si="127"/>
        <v>0</v>
      </c>
    </row>
    <row r="5700" spans="20:20" ht="18.75" customHeight="1" x14ac:dyDescent="0.35">
      <c r="T5700" s="246">
        <f t="shared" si="127"/>
        <v>0</v>
      </c>
    </row>
    <row r="5701" spans="20:20" ht="18.75" customHeight="1" x14ac:dyDescent="0.35">
      <c r="T5701" s="246">
        <f t="shared" si="127"/>
        <v>0</v>
      </c>
    </row>
    <row r="5702" spans="20:20" ht="18.75" customHeight="1" x14ac:dyDescent="0.35">
      <c r="T5702" s="246">
        <f t="shared" si="127"/>
        <v>0</v>
      </c>
    </row>
    <row r="5703" spans="20:20" ht="18.75" customHeight="1" x14ac:dyDescent="0.35">
      <c r="T5703" s="246">
        <f t="shared" si="127"/>
        <v>0</v>
      </c>
    </row>
    <row r="5704" spans="20:20" ht="18.75" customHeight="1" x14ac:dyDescent="0.35">
      <c r="T5704" s="246">
        <f t="shared" si="127"/>
        <v>0</v>
      </c>
    </row>
    <row r="5705" spans="20:20" ht="18.75" customHeight="1" x14ac:dyDescent="0.35">
      <c r="T5705" s="246">
        <f t="shared" si="127"/>
        <v>0</v>
      </c>
    </row>
    <row r="5706" spans="20:20" ht="18.75" customHeight="1" x14ac:dyDescent="0.35">
      <c r="T5706" s="246">
        <f t="shared" si="127"/>
        <v>0</v>
      </c>
    </row>
    <row r="5707" spans="20:20" ht="18.75" customHeight="1" x14ac:dyDescent="0.35">
      <c r="T5707" s="246">
        <f t="shared" si="127"/>
        <v>0</v>
      </c>
    </row>
    <row r="5708" spans="20:20" ht="18.75" customHeight="1" x14ac:dyDescent="0.35">
      <c r="T5708" s="246">
        <f t="shared" si="127"/>
        <v>0</v>
      </c>
    </row>
    <row r="5709" spans="20:20" ht="18.75" customHeight="1" x14ac:dyDescent="0.35">
      <c r="T5709" s="246">
        <f t="shared" si="127"/>
        <v>0</v>
      </c>
    </row>
    <row r="5710" spans="20:20" ht="18.75" customHeight="1" x14ac:dyDescent="0.35">
      <c r="T5710" s="246">
        <f t="shared" si="127"/>
        <v>0</v>
      </c>
    </row>
    <row r="5711" spans="20:20" ht="18.75" customHeight="1" x14ac:dyDescent="0.35">
      <c r="T5711" s="246">
        <f t="shared" si="127"/>
        <v>0</v>
      </c>
    </row>
    <row r="5712" spans="20:20" ht="18.75" customHeight="1" x14ac:dyDescent="0.35">
      <c r="T5712" s="246">
        <f t="shared" si="127"/>
        <v>0</v>
      </c>
    </row>
    <row r="5713" spans="20:20" ht="18.75" customHeight="1" x14ac:dyDescent="0.35">
      <c r="T5713" s="246">
        <f t="shared" si="127"/>
        <v>0</v>
      </c>
    </row>
    <row r="5714" spans="20:20" ht="18.75" customHeight="1" x14ac:dyDescent="0.35">
      <c r="T5714" s="246">
        <f t="shared" si="127"/>
        <v>0</v>
      </c>
    </row>
    <row r="5715" spans="20:20" ht="18.75" customHeight="1" x14ac:dyDescent="0.35">
      <c r="T5715" s="246">
        <f t="shared" si="127"/>
        <v>0</v>
      </c>
    </row>
    <row r="5716" spans="20:20" ht="18.75" customHeight="1" x14ac:dyDescent="0.35">
      <c r="T5716" s="246">
        <f t="shared" si="127"/>
        <v>0</v>
      </c>
    </row>
    <row r="5717" spans="20:20" ht="18.75" customHeight="1" x14ac:dyDescent="0.35">
      <c r="T5717" s="246">
        <f t="shared" si="127"/>
        <v>0</v>
      </c>
    </row>
    <row r="5718" spans="20:20" ht="18.75" customHeight="1" x14ac:dyDescent="0.35">
      <c r="T5718" s="246">
        <f t="shared" si="127"/>
        <v>0</v>
      </c>
    </row>
    <row r="5719" spans="20:20" ht="18.75" customHeight="1" x14ac:dyDescent="0.35">
      <c r="T5719" s="246">
        <f t="shared" si="127"/>
        <v>0</v>
      </c>
    </row>
    <row r="5720" spans="20:20" ht="18.75" customHeight="1" x14ac:dyDescent="0.35">
      <c r="T5720" s="246">
        <f t="shared" si="127"/>
        <v>0</v>
      </c>
    </row>
    <row r="5721" spans="20:20" ht="18.75" customHeight="1" x14ac:dyDescent="0.35">
      <c r="T5721" s="246">
        <f t="shared" si="127"/>
        <v>0</v>
      </c>
    </row>
    <row r="5722" spans="20:20" ht="18.75" customHeight="1" x14ac:dyDescent="0.35">
      <c r="T5722" s="246">
        <f t="shared" si="127"/>
        <v>0</v>
      </c>
    </row>
    <row r="5723" spans="20:20" ht="18.75" customHeight="1" x14ac:dyDescent="0.35">
      <c r="T5723" s="246">
        <f t="shared" si="127"/>
        <v>0</v>
      </c>
    </row>
    <row r="5724" spans="20:20" ht="18.75" customHeight="1" x14ac:dyDescent="0.35">
      <c r="T5724" s="246">
        <f t="shared" si="127"/>
        <v>0</v>
      </c>
    </row>
    <row r="5725" spans="20:20" ht="18.75" customHeight="1" x14ac:dyDescent="0.35">
      <c r="T5725" s="246">
        <f t="shared" si="127"/>
        <v>0</v>
      </c>
    </row>
    <row r="5726" spans="20:20" ht="18.75" customHeight="1" x14ac:dyDescent="0.35">
      <c r="T5726" s="246">
        <f t="shared" si="127"/>
        <v>0</v>
      </c>
    </row>
    <row r="5727" spans="20:20" ht="18.75" customHeight="1" x14ac:dyDescent="0.35">
      <c r="T5727" s="246">
        <f t="shared" si="127"/>
        <v>0</v>
      </c>
    </row>
    <row r="5728" spans="20:20" ht="18.75" customHeight="1" x14ac:dyDescent="0.35">
      <c r="T5728" s="246">
        <f t="shared" si="127"/>
        <v>0</v>
      </c>
    </row>
    <row r="5729" spans="20:20" ht="18.75" customHeight="1" x14ac:dyDescent="0.35">
      <c r="T5729" s="246">
        <f t="shared" si="127"/>
        <v>0</v>
      </c>
    </row>
    <row r="5730" spans="20:20" ht="18.75" customHeight="1" x14ac:dyDescent="0.35">
      <c r="T5730" s="246">
        <f t="shared" si="127"/>
        <v>0</v>
      </c>
    </row>
    <row r="5731" spans="20:20" ht="18.75" customHeight="1" x14ac:dyDescent="0.35">
      <c r="T5731" s="246">
        <f t="shared" si="127"/>
        <v>0</v>
      </c>
    </row>
    <row r="5732" spans="20:20" ht="18.75" customHeight="1" x14ac:dyDescent="0.35">
      <c r="T5732" s="246">
        <f t="shared" si="127"/>
        <v>0</v>
      </c>
    </row>
    <row r="5733" spans="20:20" ht="18.75" customHeight="1" x14ac:dyDescent="0.35">
      <c r="T5733" s="246">
        <f t="shared" si="127"/>
        <v>0</v>
      </c>
    </row>
    <row r="5734" spans="20:20" ht="18.75" customHeight="1" x14ac:dyDescent="0.35">
      <c r="T5734" s="246">
        <f t="shared" si="127"/>
        <v>0</v>
      </c>
    </row>
    <row r="5735" spans="20:20" ht="18.75" customHeight="1" x14ac:dyDescent="0.35">
      <c r="T5735" s="246">
        <f t="shared" si="127"/>
        <v>0</v>
      </c>
    </row>
    <row r="5736" spans="20:20" ht="18.75" customHeight="1" x14ac:dyDescent="0.35">
      <c r="T5736" s="246">
        <f t="shared" si="127"/>
        <v>0</v>
      </c>
    </row>
    <row r="5737" spans="20:20" ht="18.75" customHeight="1" x14ac:dyDescent="0.35">
      <c r="T5737" s="246">
        <f t="shared" si="127"/>
        <v>0</v>
      </c>
    </row>
    <row r="5738" spans="20:20" ht="18.75" customHeight="1" x14ac:dyDescent="0.35">
      <c r="T5738" s="246">
        <f t="shared" si="127"/>
        <v>0</v>
      </c>
    </row>
    <row r="5739" spans="20:20" ht="18.75" customHeight="1" x14ac:dyDescent="0.35">
      <c r="T5739" s="246">
        <f t="shared" si="127"/>
        <v>0</v>
      </c>
    </row>
    <row r="5740" spans="20:20" ht="18.75" customHeight="1" x14ac:dyDescent="0.35">
      <c r="T5740" s="246">
        <f t="shared" si="127"/>
        <v>0</v>
      </c>
    </row>
    <row r="5741" spans="20:20" ht="18.75" customHeight="1" x14ac:dyDescent="0.35">
      <c r="T5741" s="246">
        <f t="shared" si="127"/>
        <v>0</v>
      </c>
    </row>
    <row r="5742" spans="20:20" ht="18.75" customHeight="1" x14ac:dyDescent="0.35">
      <c r="T5742" s="246">
        <f t="shared" si="127"/>
        <v>0</v>
      </c>
    </row>
    <row r="5743" spans="20:20" ht="18.75" customHeight="1" x14ac:dyDescent="0.35">
      <c r="T5743" s="246">
        <f t="shared" si="127"/>
        <v>0</v>
      </c>
    </row>
    <row r="5744" spans="20:20" ht="18.75" customHeight="1" x14ac:dyDescent="0.35">
      <c r="T5744" s="246">
        <f t="shared" si="127"/>
        <v>0</v>
      </c>
    </row>
    <row r="5745" spans="20:20" ht="18.75" customHeight="1" x14ac:dyDescent="0.35">
      <c r="T5745" s="246">
        <f t="shared" si="127"/>
        <v>0</v>
      </c>
    </row>
    <row r="5746" spans="20:20" ht="18.75" customHeight="1" x14ac:dyDescent="0.35">
      <c r="T5746" s="246">
        <f t="shared" si="127"/>
        <v>0</v>
      </c>
    </row>
    <row r="5747" spans="20:20" ht="18.75" customHeight="1" x14ac:dyDescent="0.35">
      <c r="T5747" s="246">
        <f t="shared" si="127"/>
        <v>0</v>
      </c>
    </row>
    <row r="5748" spans="20:20" ht="18.75" customHeight="1" x14ac:dyDescent="0.35">
      <c r="T5748" s="246">
        <f t="shared" si="127"/>
        <v>0</v>
      </c>
    </row>
    <row r="5749" spans="20:20" ht="18.75" customHeight="1" x14ac:dyDescent="0.35">
      <c r="T5749" s="246">
        <f t="shared" si="127"/>
        <v>0</v>
      </c>
    </row>
    <row r="5750" spans="20:20" ht="18.75" customHeight="1" x14ac:dyDescent="0.35">
      <c r="T5750" s="246">
        <f t="shared" si="127"/>
        <v>0</v>
      </c>
    </row>
    <row r="5751" spans="20:20" ht="18.75" customHeight="1" x14ac:dyDescent="0.35">
      <c r="T5751" s="246">
        <f t="shared" si="127"/>
        <v>0</v>
      </c>
    </row>
    <row r="5752" spans="20:20" ht="18.75" customHeight="1" x14ac:dyDescent="0.35">
      <c r="T5752" s="246">
        <f t="shared" si="127"/>
        <v>0</v>
      </c>
    </row>
    <row r="5753" spans="20:20" ht="18.75" customHeight="1" x14ac:dyDescent="0.35">
      <c r="T5753" s="246">
        <f t="shared" si="127"/>
        <v>0</v>
      </c>
    </row>
    <row r="5754" spans="20:20" ht="18.75" customHeight="1" x14ac:dyDescent="0.35">
      <c r="T5754" s="246">
        <f t="shared" si="127"/>
        <v>0</v>
      </c>
    </row>
    <row r="5755" spans="20:20" ht="18.75" customHeight="1" x14ac:dyDescent="0.35">
      <c r="T5755" s="246">
        <f t="shared" si="127"/>
        <v>0</v>
      </c>
    </row>
    <row r="5756" spans="20:20" ht="18.75" customHeight="1" x14ac:dyDescent="0.35">
      <c r="T5756" s="246">
        <f t="shared" ref="T5756:T5819" si="128">R5756*0.01</f>
        <v>0</v>
      </c>
    </row>
    <row r="5757" spans="20:20" ht="18.75" customHeight="1" x14ac:dyDescent="0.35">
      <c r="T5757" s="246">
        <f t="shared" si="128"/>
        <v>0</v>
      </c>
    </row>
    <row r="5758" spans="20:20" ht="18.75" customHeight="1" x14ac:dyDescent="0.35">
      <c r="T5758" s="246">
        <f t="shared" si="128"/>
        <v>0</v>
      </c>
    </row>
    <row r="5759" spans="20:20" ht="18.75" customHeight="1" x14ac:dyDescent="0.35">
      <c r="T5759" s="246">
        <f t="shared" si="128"/>
        <v>0</v>
      </c>
    </row>
    <row r="5760" spans="20:20" ht="18.75" customHeight="1" x14ac:dyDescent="0.35">
      <c r="T5760" s="246">
        <f t="shared" si="128"/>
        <v>0</v>
      </c>
    </row>
    <row r="5761" spans="20:20" ht="18.75" customHeight="1" x14ac:dyDescent="0.35">
      <c r="T5761" s="246">
        <f t="shared" si="128"/>
        <v>0</v>
      </c>
    </row>
    <row r="5762" spans="20:20" ht="18.75" customHeight="1" x14ac:dyDescent="0.35">
      <c r="T5762" s="246">
        <f t="shared" si="128"/>
        <v>0</v>
      </c>
    </row>
    <row r="5763" spans="20:20" ht="18.75" customHeight="1" x14ac:dyDescent="0.35">
      <c r="T5763" s="246">
        <f t="shared" si="128"/>
        <v>0</v>
      </c>
    </row>
    <row r="5764" spans="20:20" ht="18.75" customHeight="1" x14ac:dyDescent="0.35">
      <c r="T5764" s="246">
        <f t="shared" si="128"/>
        <v>0</v>
      </c>
    </row>
    <row r="5765" spans="20:20" ht="18.75" customHeight="1" x14ac:dyDescent="0.35">
      <c r="T5765" s="246">
        <f t="shared" si="128"/>
        <v>0</v>
      </c>
    </row>
    <row r="5766" spans="20:20" ht="18.75" customHeight="1" x14ac:dyDescent="0.35">
      <c r="T5766" s="246">
        <f t="shared" si="128"/>
        <v>0</v>
      </c>
    </row>
    <row r="5767" spans="20:20" ht="18.75" customHeight="1" x14ac:dyDescent="0.35">
      <c r="T5767" s="246">
        <f t="shared" si="128"/>
        <v>0</v>
      </c>
    </row>
    <row r="5768" spans="20:20" ht="18.75" customHeight="1" x14ac:dyDescent="0.35">
      <c r="T5768" s="246">
        <f t="shared" si="128"/>
        <v>0</v>
      </c>
    </row>
    <row r="5769" spans="20:20" ht="18.75" customHeight="1" x14ac:dyDescent="0.35">
      <c r="T5769" s="246">
        <f t="shared" si="128"/>
        <v>0</v>
      </c>
    </row>
    <row r="5770" spans="20:20" ht="18.75" customHeight="1" x14ac:dyDescent="0.35">
      <c r="T5770" s="246">
        <f t="shared" si="128"/>
        <v>0</v>
      </c>
    </row>
    <row r="5771" spans="20:20" ht="18.75" customHeight="1" x14ac:dyDescent="0.35">
      <c r="T5771" s="246">
        <f t="shared" si="128"/>
        <v>0</v>
      </c>
    </row>
    <row r="5772" spans="20:20" ht="18.75" customHeight="1" x14ac:dyDescent="0.35">
      <c r="T5772" s="246">
        <f t="shared" si="128"/>
        <v>0</v>
      </c>
    </row>
    <row r="5773" spans="20:20" ht="18.75" customHeight="1" x14ac:dyDescent="0.35">
      <c r="T5773" s="246">
        <f t="shared" si="128"/>
        <v>0</v>
      </c>
    </row>
    <row r="5774" spans="20:20" ht="18.75" customHeight="1" x14ac:dyDescent="0.35">
      <c r="T5774" s="246">
        <f t="shared" si="128"/>
        <v>0</v>
      </c>
    </row>
    <row r="5775" spans="20:20" ht="18.75" customHeight="1" x14ac:dyDescent="0.35">
      <c r="T5775" s="246">
        <f t="shared" si="128"/>
        <v>0</v>
      </c>
    </row>
    <row r="5776" spans="20:20" ht="18.75" customHeight="1" x14ac:dyDescent="0.35">
      <c r="T5776" s="246">
        <f t="shared" si="128"/>
        <v>0</v>
      </c>
    </row>
    <row r="5777" spans="20:20" ht="18.75" customHeight="1" x14ac:dyDescent="0.35">
      <c r="T5777" s="246">
        <f t="shared" si="128"/>
        <v>0</v>
      </c>
    </row>
    <row r="5778" spans="20:20" ht="18.75" customHeight="1" x14ac:dyDescent="0.35">
      <c r="T5778" s="246">
        <f t="shared" si="128"/>
        <v>0</v>
      </c>
    </row>
    <row r="5779" spans="20:20" ht="18.75" customHeight="1" x14ac:dyDescent="0.35">
      <c r="T5779" s="246">
        <f t="shared" si="128"/>
        <v>0</v>
      </c>
    </row>
    <row r="5780" spans="20:20" ht="18.75" customHeight="1" x14ac:dyDescent="0.35">
      <c r="T5780" s="246">
        <f t="shared" si="128"/>
        <v>0</v>
      </c>
    </row>
    <row r="5781" spans="20:20" ht="18.75" customHeight="1" x14ac:dyDescent="0.35">
      <c r="T5781" s="246">
        <f t="shared" si="128"/>
        <v>0</v>
      </c>
    </row>
    <row r="5782" spans="20:20" ht="18.75" customHeight="1" x14ac:dyDescent="0.35">
      <c r="T5782" s="246">
        <f t="shared" si="128"/>
        <v>0</v>
      </c>
    </row>
    <row r="5783" spans="20:20" ht="18.75" customHeight="1" x14ac:dyDescent="0.35">
      <c r="T5783" s="246">
        <f t="shared" si="128"/>
        <v>0</v>
      </c>
    </row>
    <row r="5784" spans="20:20" ht="18.75" customHeight="1" x14ac:dyDescent="0.35">
      <c r="T5784" s="246">
        <f t="shared" si="128"/>
        <v>0</v>
      </c>
    </row>
    <row r="5785" spans="20:20" ht="18.75" customHeight="1" x14ac:dyDescent="0.35">
      <c r="T5785" s="246">
        <f t="shared" si="128"/>
        <v>0</v>
      </c>
    </row>
    <row r="5786" spans="20:20" ht="18.75" customHeight="1" x14ac:dyDescent="0.35">
      <c r="T5786" s="246">
        <f t="shared" si="128"/>
        <v>0</v>
      </c>
    </row>
    <row r="5787" spans="20:20" ht="18.75" customHeight="1" x14ac:dyDescent="0.35">
      <c r="T5787" s="246">
        <f t="shared" si="128"/>
        <v>0</v>
      </c>
    </row>
    <row r="5788" spans="20:20" ht="18.75" customHeight="1" x14ac:dyDescent="0.35">
      <c r="T5788" s="246">
        <f t="shared" si="128"/>
        <v>0</v>
      </c>
    </row>
    <row r="5789" spans="20:20" ht="18.75" customHeight="1" x14ac:dyDescent="0.35">
      <c r="T5789" s="246">
        <f t="shared" si="128"/>
        <v>0</v>
      </c>
    </row>
    <row r="5790" spans="20:20" ht="18.75" customHeight="1" x14ac:dyDescent="0.35">
      <c r="T5790" s="246">
        <f t="shared" si="128"/>
        <v>0</v>
      </c>
    </row>
    <row r="5791" spans="20:20" ht="18.75" customHeight="1" x14ac:dyDescent="0.35">
      <c r="T5791" s="246">
        <f t="shared" si="128"/>
        <v>0</v>
      </c>
    </row>
    <row r="5792" spans="20:20" ht="18.75" customHeight="1" x14ac:dyDescent="0.35">
      <c r="T5792" s="246">
        <f t="shared" si="128"/>
        <v>0</v>
      </c>
    </row>
    <row r="5793" spans="20:20" ht="18.75" customHeight="1" x14ac:dyDescent="0.35">
      <c r="T5793" s="246">
        <f t="shared" si="128"/>
        <v>0</v>
      </c>
    </row>
    <row r="5794" spans="20:20" ht="18.75" customHeight="1" x14ac:dyDescent="0.35">
      <c r="T5794" s="246">
        <f t="shared" si="128"/>
        <v>0</v>
      </c>
    </row>
    <row r="5795" spans="20:20" ht="18.75" customHeight="1" x14ac:dyDescent="0.35">
      <c r="T5795" s="246">
        <f t="shared" si="128"/>
        <v>0</v>
      </c>
    </row>
    <row r="5796" spans="20:20" ht="18.75" customHeight="1" x14ac:dyDescent="0.35">
      <c r="T5796" s="246">
        <f t="shared" si="128"/>
        <v>0</v>
      </c>
    </row>
    <row r="5797" spans="20:20" ht="18.75" customHeight="1" x14ac:dyDescent="0.35">
      <c r="T5797" s="246">
        <f t="shared" si="128"/>
        <v>0</v>
      </c>
    </row>
    <row r="5798" spans="20:20" ht="18.75" customHeight="1" x14ac:dyDescent="0.35">
      <c r="T5798" s="246">
        <f t="shared" si="128"/>
        <v>0</v>
      </c>
    </row>
    <row r="5799" spans="20:20" ht="18.75" customHeight="1" x14ac:dyDescent="0.35">
      <c r="T5799" s="246">
        <f t="shared" si="128"/>
        <v>0</v>
      </c>
    </row>
    <row r="5800" spans="20:20" ht="18.75" customHeight="1" x14ac:dyDescent="0.35">
      <c r="T5800" s="246">
        <f t="shared" si="128"/>
        <v>0</v>
      </c>
    </row>
    <row r="5801" spans="20:20" ht="18.75" customHeight="1" x14ac:dyDescent="0.35">
      <c r="T5801" s="246">
        <f t="shared" si="128"/>
        <v>0</v>
      </c>
    </row>
    <row r="5802" spans="20:20" ht="18.75" customHeight="1" x14ac:dyDescent="0.35">
      <c r="T5802" s="246">
        <f t="shared" si="128"/>
        <v>0</v>
      </c>
    </row>
    <row r="5803" spans="20:20" ht="18.75" customHeight="1" x14ac:dyDescent="0.35">
      <c r="T5803" s="246">
        <f t="shared" si="128"/>
        <v>0</v>
      </c>
    </row>
    <row r="5804" spans="20:20" ht="18.75" customHeight="1" x14ac:dyDescent="0.35">
      <c r="T5804" s="246">
        <f t="shared" si="128"/>
        <v>0</v>
      </c>
    </row>
    <row r="5805" spans="20:20" ht="18.75" customHeight="1" x14ac:dyDescent="0.35">
      <c r="T5805" s="246">
        <f t="shared" si="128"/>
        <v>0</v>
      </c>
    </row>
    <row r="5806" spans="20:20" ht="18.75" customHeight="1" x14ac:dyDescent="0.35">
      <c r="T5806" s="246">
        <f t="shared" si="128"/>
        <v>0</v>
      </c>
    </row>
    <row r="5807" spans="20:20" ht="18.75" customHeight="1" x14ac:dyDescent="0.35">
      <c r="T5807" s="246">
        <f t="shared" si="128"/>
        <v>0</v>
      </c>
    </row>
    <row r="5808" spans="20:20" ht="18.75" customHeight="1" x14ac:dyDescent="0.35">
      <c r="T5808" s="246">
        <f t="shared" si="128"/>
        <v>0</v>
      </c>
    </row>
    <row r="5809" spans="20:20" ht="18.75" customHeight="1" x14ac:dyDescent="0.35">
      <c r="T5809" s="246">
        <f t="shared" si="128"/>
        <v>0</v>
      </c>
    </row>
    <row r="5810" spans="20:20" ht="18.75" customHeight="1" x14ac:dyDescent="0.35">
      <c r="T5810" s="246">
        <f t="shared" si="128"/>
        <v>0</v>
      </c>
    </row>
    <row r="5811" spans="20:20" ht="18.75" customHeight="1" x14ac:dyDescent="0.35">
      <c r="T5811" s="246">
        <f t="shared" si="128"/>
        <v>0</v>
      </c>
    </row>
    <row r="5812" spans="20:20" ht="18.75" customHeight="1" x14ac:dyDescent="0.35">
      <c r="T5812" s="246">
        <f t="shared" si="128"/>
        <v>0</v>
      </c>
    </row>
    <row r="5813" spans="20:20" ht="18.75" customHeight="1" x14ac:dyDescent="0.35">
      <c r="T5813" s="246">
        <f t="shared" si="128"/>
        <v>0</v>
      </c>
    </row>
    <row r="5814" spans="20:20" ht="18.75" customHeight="1" x14ac:dyDescent="0.35">
      <c r="T5814" s="246">
        <f t="shared" si="128"/>
        <v>0</v>
      </c>
    </row>
    <row r="5815" spans="20:20" ht="18.75" customHeight="1" x14ac:dyDescent="0.35">
      <c r="T5815" s="246">
        <f t="shared" si="128"/>
        <v>0</v>
      </c>
    </row>
    <row r="5816" spans="20:20" ht="18.75" customHeight="1" x14ac:dyDescent="0.35">
      <c r="T5816" s="246">
        <f t="shared" si="128"/>
        <v>0</v>
      </c>
    </row>
    <row r="5817" spans="20:20" ht="18.75" customHeight="1" x14ac:dyDescent="0.35">
      <c r="T5817" s="246">
        <f t="shared" si="128"/>
        <v>0</v>
      </c>
    </row>
    <row r="5818" spans="20:20" ht="18.75" customHeight="1" x14ac:dyDescent="0.35">
      <c r="T5818" s="246">
        <f t="shared" si="128"/>
        <v>0</v>
      </c>
    </row>
    <row r="5819" spans="20:20" ht="18.75" customHeight="1" x14ac:dyDescent="0.35">
      <c r="T5819" s="246">
        <f t="shared" si="128"/>
        <v>0</v>
      </c>
    </row>
    <row r="5820" spans="20:20" ht="18.75" customHeight="1" x14ac:dyDescent="0.35">
      <c r="T5820" s="246">
        <f t="shared" ref="T5820:T5883" si="129">R5820*0.01</f>
        <v>0</v>
      </c>
    </row>
    <row r="5821" spans="20:20" ht="18.75" customHeight="1" x14ac:dyDescent="0.35">
      <c r="T5821" s="246">
        <f t="shared" si="129"/>
        <v>0</v>
      </c>
    </row>
    <row r="5822" spans="20:20" ht="18.75" customHeight="1" x14ac:dyDescent="0.35">
      <c r="T5822" s="246">
        <f t="shared" si="129"/>
        <v>0</v>
      </c>
    </row>
    <row r="5823" spans="20:20" ht="18.75" customHeight="1" x14ac:dyDescent="0.35">
      <c r="T5823" s="246">
        <f t="shared" si="129"/>
        <v>0</v>
      </c>
    </row>
    <row r="5824" spans="20:20" ht="18.75" customHeight="1" x14ac:dyDescent="0.35">
      <c r="T5824" s="246">
        <f t="shared" si="129"/>
        <v>0</v>
      </c>
    </row>
    <row r="5825" spans="20:20" ht="18.75" customHeight="1" x14ac:dyDescent="0.35">
      <c r="T5825" s="246">
        <f t="shared" si="129"/>
        <v>0</v>
      </c>
    </row>
    <row r="5826" spans="20:20" ht="18.75" customHeight="1" x14ac:dyDescent="0.35">
      <c r="T5826" s="246">
        <f t="shared" si="129"/>
        <v>0</v>
      </c>
    </row>
    <row r="5827" spans="20:20" ht="18.75" customHeight="1" x14ac:dyDescent="0.35">
      <c r="T5827" s="246">
        <f t="shared" si="129"/>
        <v>0</v>
      </c>
    </row>
    <row r="5828" spans="20:20" ht="18.75" customHeight="1" x14ac:dyDescent="0.35">
      <c r="T5828" s="246">
        <f t="shared" si="129"/>
        <v>0</v>
      </c>
    </row>
    <row r="5829" spans="20:20" ht="18.75" customHeight="1" x14ac:dyDescent="0.35">
      <c r="T5829" s="246">
        <f t="shared" si="129"/>
        <v>0</v>
      </c>
    </row>
    <row r="5830" spans="20:20" ht="18.75" customHeight="1" x14ac:dyDescent="0.35">
      <c r="T5830" s="246">
        <f t="shared" si="129"/>
        <v>0</v>
      </c>
    </row>
    <row r="5831" spans="20:20" ht="18.75" customHeight="1" x14ac:dyDescent="0.35">
      <c r="T5831" s="246">
        <f t="shared" si="129"/>
        <v>0</v>
      </c>
    </row>
    <row r="5832" spans="20:20" ht="18.75" customHeight="1" x14ac:dyDescent="0.35">
      <c r="T5832" s="246">
        <f t="shared" si="129"/>
        <v>0</v>
      </c>
    </row>
    <row r="5833" spans="20:20" ht="18.75" customHeight="1" x14ac:dyDescent="0.35">
      <c r="T5833" s="246">
        <f t="shared" si="129"/>
        <v>0</v>
      </c>
    </row>
    <row r="5834" spans="20:20" ht="18.75" customHeight="1" x14ac:dyDescent="0.35">
      <c r="T5834" s="246">
        <f t="shared" si="129"/>
        <v>0</v>
      </c>
    </row>
    <row r="5835" spans="20:20" ht="18.75" customHeight="1" x14ac:dyDescent="0.35">
      <c r="T5835" s="246">
        <f t="shared" si="129"/>
        <v>0</v>
      </c>
    </row>
    <row r="5836" spans="20:20" ht="18.75" customHeight="1" x14ac:dyDescent="0.35">
      <c r="T5836" s="246">
        <f t="shared" si="129"/>
        <v>0</v>
      </c>
    </row>
    <row r="5837" spans="20:20" ht="18.75" customHeight="1" x14ac:dyDescent="0.35">
      <c r="T5837" s="246">
        <f t="shared" si="129"/>
        <v>0</v>
      </c>
    </row>
    <row r="5838" spans="20:20" ht="18.75" customHeight="1" x14ac:dyDescent="0.35">
      <c r="T5838" s="246">
        <f t="shared" si="129"/>
        <v>0</v>
      </c>
    </row>
    <row r="5839" spans="20:20" ht="18.75" customHeight="1" x14ac:dyDescent="0.35">
      <c r="T5839" s="246">
        <f t="shared" si="129"/>
        <v>0</v>
      </c>
    </row>
    <row r="5840" spans="20:20" ht="18.75" customHeight="1" x14ac:dyDescent="0.35">
      <c r="T5840" s="246">
        <f t="shared" si="129"/>
        <v>0</v>
      </c>
    </row>
    <row r="5841" spans="20:20" ht="18.75" customHeight="1" x14ac:dyDescent="0.35">
      <c r="T5841" s="246">
        <f t="shared" si="129"/>
        <v>0</v>
      </c>
    </row>
    <row r="5842" spans="20:20" ht="18.75" customHeight="1" x14ac:dyDescent="0.35">
      <c r="T5842" s="246">
        <f t="shared" si="129"/>
        <v>0</v>
      </c>
    </row>
    <row r="5843" spans="20:20" ht="18.75" customHeight="1" x14ac:dyDescent="0.35">
      <c r="T5843" s="246">
        <f t="shared" si="129"/>
        <v>0</v>
      </c>
    </row>
    <row r="5844" spans="20:20" ht="18.75" customHeight="1" x14ac:dyDescent="0.35">
      <c r="T5844" s="246">
        <f t="shared" si="129"/>
        <v>0</v>
      </c>
    </row>
    <row r="5845" spans="20:20" ht="18.75" customHeight="1" x14ac:dyDescent="0.35">
      <c r="T5845" s="246">
        <f t="shared" si="129"/>
        <v>0</v>
      </c>
    </row>
    <row r="5846" spans="20:20" ht="18.75" customHeight="1" x14ac:dyDescent="0.35">
      <c r="T5846" s="246">
        <f t="shared" si="129"/>
        <v>0</v>
      </c>
    </row>
    <row r="5847" spans="20:20" ht="18.75" customHeight="1" x14ac:dyDescent="0.35">
      <c r="T5847" s="246">
        <f t="shared" si="129"/>
        <v>0</v>
      </c>
    </row>
    <row r="5848" spans="20:20" ht="18.75" customHeight="1" x14ac:dyDescent="0.35">
      <c r="T5848" s="246">
        <f t="shared" si="129"/>
        <v>0</v>
      </c>
    </row>
    <row r="5849" spans="20:20" ht="18.75" customHeight="1" x14ac:dyDescent="0.35">
      <c r="T5849" s="246">
        <f t="shared" si="129"/>
        <v>0</v>
      </c>
    </row>
    <row r="5850" spans="20:20" ht="18.75" customHeight="1" x14ac:dyDescent="0.35">
      <c r="T5850" s="246">
        <f t="shared" si="129"/>
        <v>0</v>
      </c>
    </row>
    <row r="5851" spans="20:20" ht="18.75" customHeight="1" x14ac:dyDescent="0.35">
      <c r="T5851" s="246">
        <f t="shared" si="129"/>
        <v>0</v>
      </c>
    </row>
    <row r="5852" spans="20:20" ht="18.75" customHeight="1" x14ac:dyDescent="0.35">
      <c r="T5852" s="246">
        <f t="shared" si="129"/>
        <v>0</v>
      </c>
    </row>
    <row r="5853" spans="20:20" ht="18.75" customHeight="1" x14ac:dyDescent="0.35">
      <c r="T5853" s="246">
        <f t="shared" si="129"/>
        <v>0</v>
      </c>
    </row>
    <row r="5854" spans="20:20" ht="18.75" customHeight="1" x14ac:dyDescent="0.35">
      <c r="T5854" s="246">
        <f t="shared" si="129"/>
        <v>0</v>
      </c>
    </row>
    <row r="5855" spans="20:20" ht="18.75" customHeight="1" x14ac:dyDescent="0.35">
      <c r="T5855" s="246">
        <f t="shared" si="129"/>
        <v>0</v>
      </c>
    </row>
    <row r="5856" spans="20:20" ht="18.75" customHeight="1" x14ac:dyDescent="0.35">
      <c r="T5856" s="246">
        <f t="shared" si="129"/>
        <v>0</v>
      </c>
    </row>
    <row r="5857" spans="20:20" ht="18.75" customHeight="1" x14ac:dyDescent="0.35">
      <c r="T5857" s="246">
        <f t="shared" si="129"/>
        <v>0</v>
      </c>
    </row>
    <row r="5858" spans="20:20" ht="18.75" customHeight="1" x14ac:dyDescent="0.35">
      <c r="T5858" s="246">
        <f t="shared" si="129"/>
        <v>0</v>
      </c>
    </row>
    <row r="5859" spans="20:20" ht="18.75" customHeight="1" x14ac:dyDescent="0.35">
      <c r="T5859" s="246">
        <f t="shared" si="129"/>
        <v>0</v>
      </c>
    </row>
    <row r="5860" spans="20:20" ht="18.75" customHeight="1" x14ac:dyDescent="0.35">
      <c r="T5860" s="246">
        <f t="shared" si="129"/>
        <v>0</v>
      </c>
    </row>
    <row r="5861" spans="20:20" ht="18.75" customHeight="1" x14ac:dyDescent="0.35">
      <c r="T5861" s="246">
        <f t="shared" si="129"/>
        <v>0</v>
      </c>
    </row>
    <row r="5862" spans="20:20" ht="18.75" customHeight="1" x14ac:dyDescent="0.35">
      <c r="T5862" s="246">
        <f t="shared" si="129"/>
        <v>0</v>
      </c>
    </row>
    <row r="5863" spans="20:20" ht="18.75" customHeight="1" x14ac:dyDescent="0.35">
      <c r="T5863" s="246">
        <f t="shared" si="129"/>
        <v>0</v>
      </c>
    </row>
    <row r="5864" spans="20:20" ht="18.75" customHeight="1" x14ac:dyDescent="0.35">
      <c r="T5864" s="246">
        <f t="shared" si="129"/>
        <v>0</v>
      </c>
    </row>
    <row r="5865" spans="20:20" ht="18.75" customHeight="1" x14ac:dyDescent="0.35">
      <c r="T5865" s="246">
        <f t="shared" si="129"/>
        <v>0</v>
      </c>
    </row>
    <row r="5866" spans="20:20" ht="18.75" customHeight="1" x14ac:dyDescent="0.35">
      <c r="T5866" s="246">
        <f t="shared" si="129"/>
        <v>0</v>
      </c>
    </row>
    <row r="5867" spans="20:20" ht="18.75" customHeight="1" x14ac:dyDescent="0.35">
      <c r="T5867" s="246">
        <f t="shared" si="129"/>
        <v>0</v>
      </c>
    </row>
    <row r="5868" spans="20:20" ht="18.75" customHeight="1" x14ac:dyDescent="0.35">
      <c r="T5868" s="246">
        <f t="shared" si="129"/>
        <v>0</v>
      </c>
    </row>
    <row r="5869" spans="20:20" ht="18.75" customHeight="1" x14ac:dyDescent="0.35">
      <c r="T5869" s="246">
        <f t="shared" si="129"/>
        <v>0</v>
      </c>
    </row>
    <row r="5870" spans="20:20" ht="18.75" customHeight="1" x14ac:dyDescent="0.35">
      <c r="T5870" s="246">
        <f t="shared" si="129"/>
        <v>0</v>
      </c>
    </row>
    <row r="5871" spans="20:20" ht="18.75" customHeight="1" x14ac:dyDescent="0.35">
      <c r="T5871" s="246">
        <f t="shared" si="129"/>
        <v>0</v>
      </c>
    </row>
    <row r="5872" spans="20:20" ht="18.75" customHeight="1" x14ac:dyDescent="0.35">
      <c r="T5872" s="246">
        <f t="shared" si="129"/>
        <v>0</v>
      </c>
    </row>
    <row r="5873" spans="20:20" ht="18.75" customHeight="1" x14ac:dyDescent="0.35">
      <c r="T5873" s="246">
        <f t="shared" si="129"/>
        <v>0</v>
      </c>
    </row>
    <row r="5874" spans="20:20" ht="18.75" customHeight="1" x14ac:dyDescent="0.35">
      <c r="T5874" s="246">
        <f t="shared" si="129"/>
        <v>0</v>
      </c>
    </row>
    <row r="5875" spans="20:20" ht="18.75" customHeight="1" x14ac:dyDescent="0.35">
      <c r="T5875" s="246">
        <f t="shared" si="129"/>
        <v>0</v>
      </c>
    </row>
    <row r="5876" spans="20:20" ht="18.75" customHeight="1" x14ac:dyDescent="0.35">
      <c r="T5876" s="246">
        <f t="shared" si="129"/>
        <v>0</v>
      </c>
    </row>
    <row r="5877" spans="20:20" ht="18.75" customHeight="1" x14ac:dyDescent="0.35">
      <c r="T5877" s="246">
        <f t="shared" si="129"/>
        <v>0</v>
      </c>
    </row>
    <row r="5878" spans="20:20" ht="18.75" customHeight="1" x14ac:dyDescent="0.35">
      <c r="T5878" s="246">
        <f t="shared" si="129"/>
        <v>0</v>
      </c>
    </row>
    <row r="5879" spans="20:20" ht="18.75" customHeight="1" x14ac:dyDescent="0.35">
      <c r="T5879" s="246">
        <f t="shared" si="129"/>
        <v>0</v>
      </c>
    </row>
    <row r="5880" spans="20:20" ht="18.75" customHeight="1" x14ac:dyDescent="0.35">
      <c r="T5880" s="246">
        <f t="shared" si="129"/>
        <v>0</v>
      </c>
    </row>
    <row r="5881" spans="20:20" ht="18.75" customHeight="1" x14ac:dyDescent="0.35">
      <c r="T5881" s="246">
        <f t="shared" si="129"/>
        <v>0</v>
      </c>
    </row>
    <row r="5882" spans="20:20" ht="18.75" customHeight="1" x14ac:dyDescent="0.35">
      <c r="T5882" s="246">
        <f t="shared" si="129"/>
        <v>0</v>
      </c>
    </row>
    <row r="5883" spans="20:20" ht="18.75" customHeight="1" x14ac:dyDescent="0.35">
      <c r="T5883" s="246">
        <f t="shared" si="129"/>
        <v>0</v>
      </c>
    </row>
    <row r="5884" spans="20:20" ht="18.75" customHeight="1" x14ac:dyDescent="0.35">
      <c r="T5884" s="246">
        <f t="shared" ref="T5884:T5947" si="130">R5884*0.01</f>
        <v>0</v>
      </c>
    </row>
    <row r="5885" spans="20:20" ht="18.75" customHeight="1" x14ac:dyDescent="0.35">
      <c r="T5885" s="246">
        <f t="shared" si="130"/>
        <v>0</v>
      </c>
    </row>
    <row r="5886" spans="20:20" ht="18.75" customHeight="1" x14ac:dyDescent="0.35">
      <c r="T5886" s="246">
        <f t="shared" si="130"/>
        <v>0</v>
      </c>
    </row>
    <row r="5887" spans="20:20" ht="18.75" customHeight="1" x14ac:dyDescent="0.35">
      <c r="T5887" s="246">
        <f t="shared" si="130"/>
        <v>0</v>
      </c>
    </row>
    <row r="5888" spans="20:20" ht="18.75" customHeight="1" x14ac:dyDescent="0.35">
      <c r="T5888" s="246">
        <f t="shared" si="130"/>
        <v>0</v>
      </c>
    </row>
    <row r="5889" spans="20:20" ht="18.75" customHeight="1" x14ac:dyDescent="0.35">
      <c r="T5889" s="246">
        <f t="shared" si="130"/>
        <v>0</v>
      </c>
    </row>
    <row r="5890" spans="20:20" ht="18.75" customHeight="1" x14ac:dyDescent="0.35">
      <c r="T5890" s="246">
        <f t="shared" si="130"/>
        <v>0</v>
      </c>
    </row>
    <row r="5891" spans="20:20" ht="18.75" customHeight="1" x14ac:dyDescent="0.35">
      <c r="T5891" s="246">
        <f t="shared" si="130"/>
        <v>0</v>
      </c>
    </row>
    <row r="5892" spans="20:20" ht="18.75" customHeight="1" x14ac:dyDescent="0.35">
      <c r="T5892" s="246">
        <f t="shared" si="130"/>
        <v>0</v>
      </c>
    </row>
    <row r="5893" spans="20:20" ht="18.75" customHeight="1" x14ac:dyDescent="0.35">
      <c r="T5893" s="246">
        <f t="shared" si="130"/>
        <v>0</v>
      </c>
    </row>
    <row r="5894" spans="20:20" ht="18.75" customHeight="1" x14ac:dyDescent="0.35">
      <c r="T5894" s="246">
        <f t="shared" si="130"/>
        <v>0</v>
      </c>
    </row>
    <row r="5895" spans="20:20" ht="18.75" customHeight="1" x14ac:dyDescent="0.35">
      <c r="T5895" s="246">
        <f t="shared" si="130"/>
        <v>0</v>
      </c>
    </row>
    <row r="5896" spans="20:20" ht="18.75" customHeight="1" x14ac:dyDescent="0.35">
      <c r="T5896" s="246">
        <f t="shared" si="130"/>
        <v>0</v>
      </c>
    </row>
    <row r="5897" spans="20:20" ht="18.75" customHeight="1" x14ac:dyDescent="0.35">
      <c r="T5897" s="246">
        <f t="shared" si="130"/>
        <v>0</v>
      </c>
    </row>
    <row r="5898" spans="20:20" ht="18.75" customHeight="1" x14ac:dyDescent="0.35">
      <c r="T5898" s="246">
        <f t="shared" si="130"/>
        <v>0</v>
      </c>
    </row>
    <row r="5899" spans="20:20" ht="18.75" customHeight="1" x14ac:dyDescent="0.35">
      <c r="T5899" s="246">
        <f t="shared" si="130"/>
        <v>0</v>
      </c>
    </row>
    <row r="5900" spans="20:20" ht="18.75" customHeight="1" x14ac:dyDescent="0.35">
      <c r="T5900" s="246">
        <f t="shared" si="130"/>
        <v>0</v>
      </c>
    </row>
    <row r="5901" spans="20:20" ht="18.75" customHeight="1" x14ac:dyDescent="0.35">
      <c r="T5901" s="246">
        <f t="shared" si="130"/>
        <v>0</v>
      </c>
    </row>
    <row r="5902" spans="20:20" ht="18.75" customHeight="1" x14ac:dyDescent="0.35">
      <c r="T5902" s="246">
        <f t="shared" si="130"/>
        <v>0</v>
      </c>
    </row>
    <row r="5903" spans="20:20" ht="18.75" customHeight="1" x14ac:dyDescent="0.35">
      <c r="T5903" s="246">
        <f t="shared" si="130"/>
        <v>0</v>
      </c>
    </row>
    <row r="5904" spans="20:20" ht="18.75" customHeight="1" x14ac:dyDescent="0.35">
      <c r="T5904" s="246">
        <f t="shared" si="130"/>
        <v>0</v>
      </c>
    </row>
    <row r="5905" spans="20:20" ht="18.75" customHeight="1" x14ac:dyDescent="0.35">
      <c r="T5905" s="246">
        <f t="shared" si="130"/>
        <v>0</v>
      </c>
    </row>
    <row r="5906" spans="20:20" ht="18.75" customHeight="1" x14ac:dyDescent="0.35">
      <c r="T5906" s="246">
        <f t="shared" si="130"/>
        <v>0</v>
      </c>
    </row>
    <row r="5907" spans="20:20" ht="18.75" customHeight="1" x14ac:dyDescent="0.35">
      <c r="T5907" s="246">
        <f t="shared" si="130"/>
        <v>0</v>
      </c>
    </row>
    <row r="5908" spans="20:20" ht="18.75" customHeight="1" x14ac:dyDescent="0.35">
      <c r="T5908" s="246">
        <f t="shared" si="130"/>
        <v>0</v>
      </c>
    </row>
    <row r="5909" spans="20:20" ht="18.75" customHeight="1" x14ac:dyDescent="0.35">
      <c r="T5909" s="246">
        <f t="shared" si="130"/>
        <v>0</v>
      </c>
    </row>
    <row r="5910" spans="20:20" ht="18.75" customHeight="1" x14ac:dyDescent="0.35">
      <c r="T5910" s="246">
        <f t="shared" si="130"/>
        <v>0</v>
      </c>
    </row>
    <row r="5911" spans="20:20" ht="18.75" customHeight="1" x14ac:dyDescent="0.35">
      <c r="T5911" s="246">
        <f t="shared" si="130"/>
        <v>0</v>
      </c>
    </row>
    <row r="5912" spans="20:20" ht="18.75" customHeight="1" x14ac:dyDescent="0.35">
      <c r="T5912" s="246">
        <f t="shared" si="130"/>
        <v>0</v>
      </c>
    </row>
    <row r="5913" spans="20:20" ht="18.75" customHeight="1" x14ac:dyDescent="0.35">
      <c r="T5913" s="246">
        <f t="shared" si="130"/>
        <v>0</v>
      </c>
    </row>
    <row r="5914" spans="20:20" ht="18.75" customHeight="1" x14ac:dyDescent="0.35">
      <c r="T5914" s="246">
        <f t="shared" si="130"/>
        <v>0</v>
      </c>
    </row>
    <row r="5915" spans="20:20" ht="18.75" customHeight="1" x14ac:dyDescent="0.35">
      <c r="T5915" s="246">
        <f t="shared" si="130"/>
        <v>0</v>
      </c>
    </row>
    <row r="5916" spans="20:20" ht="18.75" customHeight="1" x14ac:dyDescent="0.35">
      <c r="T5916" s="246">
        <f t="shared" si="130"/>
        <v>0</v>
      </c>
    </row>
    <row r="5917" spans="20:20" ht="18.75" customHeight="1" x14ac:dyDescent="0.35">
      <c r="T5917" s="246">
        <f t="shared" si="130"/>
        <v>0</v>
      </c>
    </row>
    <row r="5918" spans="20:20" ht="18.75" customHeight="1" x14ac:dyDescent="0.35">
      <c r="T5918" s="246">
        <f t="shared" si="130"/>
        <v>0</v>
      </c>
    </row>
    <row r="5919" spans="20:20" ht="18.75" customHeight="1" x14ac:dyDescent="0.35">
      <c r="T5919" s="246">
        <f t="shared" si="130"/>
        <v>0</v>
      </c>
    </row>
    <row r="5920" spans="20:20" ht="18.75" customHeight="1" x14ac:dyDescent="0.35">
      <c r="T5920" s="246">
        <f t="shared" si="130"/>
        <v>0</v>
      </c>
    </row>
    <row r="5921" spans="20:20" ht="18.75" customHeight="1" x14ac:dyDescent="0.35">
      <c r="T5921" s="246">
        <f t="shared" si="130"/>
        <v>0</v>
      </c>
    </row>
    <row r="5922" spans="20:20" ht="18.75" customHeight="1" x14ac:dyDescent="0.35">
      <c r="T5922" s="246">
        <f t="shared" si="130"/>
        <v>0</v>
      </c>
    </row>
    <row r="5923" spans="20:20" ht="18.75" customHeight="1" x14ac:dyDescent="0.35">
      <c r="T5923" s="246">
        <f t="shared" si="130"/>
        <v>0</v>
      </c>
    </row>
    <row r="5924" spans="20:20" ht="18.75" customHeight="1" x14ac:dyDescent="0.35">
      <c r="T5924" s="246">
        <f t="shared" si="130"/>
        <v>0</v>
      </c>
    </row>
    <row r="5925" spans="20:20" ht="18.75" customHeight="1" x14ac:dyDescent="0.35">
      <c r="T5925" s="246">
        <f t="shared" si="130"/>
        <v>0</v>
      </c>
    </row>
    <row r="5926" spans="20:20" ht="18.75" customHeight="1" x14ac:dyDescent="0.35">
      <c r="T5926" s="246">
        <f t="shared" si="130"/>
        <v>0</v>
      </c>
    </row>
    <row r="5927" spans="20:20" ht="18.75" customHeight="1" x14ac:dyDescent="0.35">
      <c r="T5927" s="246">
        <f t="shared" si="130"/>
        <v>0</v>
      </c>
    </row>
    <row r="5928" spans="20:20" ht="18.75" customHeight="1" x14ac:dyDescent="0.35">
      <c r="T5928" s="246">
        <f t="shared" si="130"/>
        <v>0</v>
      </c>
    </row>
    <row r="5929" spans="20:20" ht="18.75" customHeight="1" x14ac:dyDescent="0.35">
      <c r="T5929" s="246">
        <f t="shared" si="130"/>
        <v>0</v>
      </c>
    </row>
    <row r="5930" spans="20:20" ht="18.75" customHeight="1" x14ac:dyDescent="0.35">
      <c r="T5930" s="246">
        <f t="shared" si="130"/>
        <v>0</v>
      </c>
    </row>
    <row r="5931" spans="20:20" ht="18.75" customHeight="1" x14ac:dyDescent="0.35">
      <c r="T5931" s="246">
        <f t="shared" si="130"/>
        <v>0</v>
      </c>
    </row>
    <row r="5932" spans="20:20" ht="18.75" customHeight="1" x14ac:dyDescent="0.35">
      <c r="T5932" s="246">
        <f t="shared" si="130"/>
        <v>0</v>
      </c>
    </row>
    <row r="5933" spans="20:20" ht="18.75" customHeight="1" x14ac:dyDescent="0.35">
      <c r="T5933" s="246">
        <f t="shared" si="130"/>
        <v>0</v>
      </c>
    </row>
    <row r="5934" spans="20:20" ht="18.75" customHeight="1" x14ac:dyDescent="0.35">
      <c r="T5934" s="246">
        <f t="shared" si="130"/>
        <v>0</v>
      </c>
    </row>
    <row r="5935" spans="20:20" ht="18.75" customHeight="1" x14ac:dyDescent="0.35">
      <c r="T5935" s="246">
        <f t="shared" si="130"/>
        <v>0</v>
      </c>
    </row>
    <row r="5936" spans="20:20" ht="18.75" customHeight="1" x14ac:dyDescent="0.35">
      <c r="T5936" s="246">
        <f t="shared" si="130"/>
        <v>0</v>
      </c>
    </row>
    <row r="5937" spans="20:20" ht="18.75" customHeight="1" x14ac:dyDescent="0.35">
      <c r="T5937" s="246">
        <f t="shared" si="130"/>
        <v>0</v>
      </c>
    </row>
    <row r="5938" spans="20:20" ht="18.75" customHeight="1" x14ac:dyDescent="0.35">
      <c r="T5938" s="246">
        <f t="shared" si="130"/>
        <v>0</v>
      </c>
    </row>
    <row r="5939" spans="20:20" ht="18.75" customHeight="1" x14ac:dyDescent="0.35">
      <c r="T5939" s="246">
        <f t="shared" si="130"/>
        <v>0</v>
      </c>
    </row>
    <row r="5940" spans="20:20" ht="18.75" customHeight="1" x14ac:dyDescent="0.35">
      <c r="T5940" s="246">
        <f t="shared" si="130"/>
        <v>0</v>
      </c>
    </row>
    <row r="5941" spans="20:20" ht="18.75" customHeight="1" x14ac:dyDescent="0.35">
      <c r="T5941" s="246">
        <f t="shared" si="130"/>
        <v>0</v>
      </c>
    </row>
    <row r="5942" spans="20:20" ht="18.75" customHeight="1" x14ac:dyDescent="0.35">
      <c r="T5942" s="246">
        <f t="shared" si="130"/>
        <v>0</v>
      </c>
    </row>
    <row r="5943" spans="20:20" ht="18.75" customHeight="1" x14ac:dyDescent="0.35">
      <c r="T5943" s="246">
        <f t="shared" si="130"/>
        <v>0</v>
      </c>
    </row>
    <row r="5944" spans="20:20" ht="18.75" customHeight="1" x14ac:dyDescent="0.35">
      <c r="T5944" s="246">
        <f t="shared" si="130"/>
        <v>0</v>
      </c>
    </row>
    <row r="5945" spans="20:20" ht="18.75" customHeight="1" x14ac:dyDescent="0.35">
      <c r="T5945" s="246">
        <f t="shared" si="130"/>
        <v>0</v>
      </c>
    </row>
    <row r="5946" spans="20:20" ht="18.75" customHeight="1" x14ac:dyDescent="0.35">
      <c r="T5946" s="246">
        <f t="shared" si="130"/>
        <v>0</v>
      </c>
    </row>
    <row r="5947" spans="20:20" ht="18.75" customHeight="1" x14ac:dyDescent="0.35">
      <c r="T5947" s="246">
        <f t="shared" si="130"/>
        <v>0</v>
      </c>
    </row>
    <row r="5948" spans="20:20" ht="18.75" customHeight="1" x14ac:dyDescent="0.35">
      <c r="T5948" s="246">
        <f t="shared" ref="T5948:T6011" si="131">R5948*0.01</f>
        <v>0</v>
      </c>
    </row>
    <row r="5949" spans="20:20" ht="18.75" customHeight="1" x14ac:dyDescent="0.35">
      <c r="T5949" s="246">
        <f t="shared" si="131"/>
        <v>0</v>
      </c>
    </row>
    <row r="5950" spans="20:20" ht="18.75" customHeight="1" x14ac:dyDescent="0.35">
      <c r="T5950" s="246">
        <f t="shared" si="131"/>
        <v>0</v>
      </c>
    </row>
    <row r="5951" spans="20:20" ht="18.75" customHeight="1" x14ac:dyDescent="0.35">
      <c r="T5951" s="246">
        <f t="shared" si="131"/>
        <v>0</v>
      </c>
    </row>
    <row r="5952" spans="20:20" ht="18.75" customHeight="1" x14ac:dyDescent="0.35">
      <c r="T5952" s="246">
        <f t="shared" si="131"/>
        <v>0</v>
      </c>
    </row>
    <row r="5953" spans="20:20" ht="18.75" customHeight="1" x14ac:dyDescent="0.35">
      <c r="T5953" s="246">
        <f t="shared" si="131"/>
        <v>0</v>
      </c>
    </row>
    <row r="5954" spans="20:20" ht="18.75" customHeight="1" x14ac:dyDescent="0.35">
      <c r="T5954" s="246">
        <f t="shared" si="131"/>
        <v>0</v>
      </c>
    </row>
    <row r="5955" spans="20:20" ht="18.75" customHeight="1" x14ac:dyDescent="0.35">
      <c r="T5955" s="246">
        <f t="shared" si="131"/>
        <v>0</v>
      </c>
    </row>
    <row r="5956" spans="20:20" ht="18.75" customHeight="1" x14ac:dyDescent="0.35">
      <c r="T5956" s="246">
        <f t="shared" si="131"/>
        <v>0</v>
      </c>
    </row>
    <row r="5957" spans="20:20" ht="18.75" customHeight="1" x14ac:dyDescent="0.35">
      <c r="T5957" s="246">
        <f t="shared" si="131"/>
        <v>0</v>
      </c>
    </row>
    <row r="5958" spans="20:20" ht="18.75" customHeight="1" x14ac:dyDescent="0.35">
      <c r="T5958" s="246">
        <f t="shared" si="131"/>
        <v>0</v>
      </c>
    </row>
    <row r="5959" spans="20:20" ht="18.75" customHeight="1" x14ac:dyDescent="0.35">
      <c r="T5959" s="246">
        <f t="shared" si="131"/>
        <v>0</v>
      </c>
    </row>
    <row r="5960" spans="20:20" ht="18.75" customHeight="1" x14ac:dyDescent="0.35">
      <c r="T5960" s="246">
        <f t="shared" si="131"/>
        <v>0</v>
      </c>
    </row>
    <row r="5961" spans="20:20" ht="18.75" customHeight="1" x14ac:dyDescent="0.35">
      <c r="T5961" s="246">
        <f t="shared" si="131"/>
        <v>0</v>
      </c>
    </row>
    <row r="5962" spans="20:20" ht="18.75" customHeight="1" x14ac:dyDescent="0.35">
      <c r="T5962" s="246">
        <f t="shared" si="131"/>
        <v>0</v>
      </c>
    </row>
    <row r="5963" spans="20:20" ht="18.75" customHeight="1" x14ac:dyDescent="0.35">
      <c r="T5963" s="246">
        <f t="shared" si="131"/>
        <v>0</v>
      </c>
    </row>
    <row r="5964" spans="20:20" ht="18.75" customHeight="1" x14ac:dyDescent="0.35">
      <c r="T5964" s="246">
        <f t="shared" si="131"/>
        <v>0</v>
      </c>
    </row>
    <row r="5965" spans="20:20" ht="18.75" customHeight="1" x14ac:dyDescent="0.35">
      <c r="T5965" s="246">
        <f t="shared" si="131"/>
        <v>0</v>
      </c>
    </row>
    <row r="5966" spans="20:20" ht="18.75" customHeight="1" x14ac:dyDescent="0.35">
      <c r="T5966" s="246">
        <f t="shared" si="131"/>
        <v>0</v>
      </c>
    </row>
    <row r="5967" spans="20:20" ht="18.75" customHeight="1" x14ac:dyDescent="0.35">
      <c r="T5967" s="246">
        <f t="shared" si="131"/>
        <v>0</v>
      </c>
    </row>
    <row r="5968" spans="20:20" ht="18.75" customHeight="1" x14ac:dyDescent="0.35">
      <c r="T5968" s="246">
        <f t="shared" si="131"/>
        <v>0</v>
      </c>
    </row>
    <row r="5969" spans="20:20" ht="18.75" customHeight="1" x14ac:dyDescent="0.35">
      <c r="T5969" s="246">
        <f t="shared" si="131"/>
        <v>0</v>
      </c>
    </row>
    <row r="5970" spans="20:20" ht="18.75" customHeight="1" x14ac:dyDescent="0.35">
      <c r="T5970" s="246">
        <f t="shared" si="131"/>
        <v>0</v>
      </c>
    </row>
    <row r="5971" spans="20:20" ht="18.75" customHeight="1" x14ac:dyDescent="0.35">
      <c r="T5971" s="246">
        <f t="shared" si="131"/>
        <v>0</v>
      </c>
    </row>
    <row r="5972" spans="20:20" ht="18.75" customHeight="1" x14ac:dyDescent="0.35">
      <c r="T5972" s="246">
        <f t="shared" si="131"/>
        <v>0</v>
      </c>
    </row>
    <row r="5973" spans="20:20" ht="18.75" customHeight="1" x14ac:dyDescent="0.35">
      <c r="T5973" s="246">
        <f t="shared" si="131"/>
        <v>0</v>
      </c>
    </row>
    <row r="5974" spans="20:20" ht="18.75" customHeight="1" x14ac:dyDescent="0.35">
      <c r="T5974" s="246">
        <f t="shared" si="131"/>
        <v>0</v>
      </c>
    </row>
    <row r="5975" spans="20:20" ht="18.75" customHeight="1" x14ac:dyDescent="0.35">
      <c r="T5975" s="246">
        <f t="shared" si="131"/>
        <v>0</v>
      </c>
    </row>
    <row r="5976" spans="20:20" ht="18.75" customHeight="1" x14ac:dyDescent="0.35">
      <c r="T5976" s="246">
        <f t="shared" si="131"/>
        <v>0</v>
      </c>
    </row>
    <row r="5977" spans="20:20" ht="18.75" customHeight="1" x14ac:dyDescent="0.35">
      <c r="T5977" s="246">
        <f t="shared" si="131"/>
        <v>0</v>
      </c>
    </row>
    <row r="5978" spans="20:20" ht="18.75" customHeight="1" x14ac:dyDescent="0.35">
      <c r="T5978" s="246">
        <f t="shared" si="131"/>
        <v>0</v>
      </c>
    </row>
    <row r="5979" spans="20:20" ht="18.75" customHeight="1" x14ac:dyDescent="0.35">
      <c r="T5979" s="246">
        <f t="shared" si="131"/>
        <v>0</v>
      </c>
    </row>
    <row r="5980" spans="20:20" ht="18.75" customHeight="1" x14ac:dyDescent="0.35">
      <c r="T5980" s="246">
        <f t="shared" si="131"/>
        <v>0</v>
      </c>
    </row>
    <row r="5981" spans="20:20" ht="18.75" customHeight="1" x14ac:dyDescent="0.35">
      <c r="T5981" s="246">
        <f t="shared" si="131"/>
        <v>0</v>
      </c>
    </row>
    <row r="5982" spans="20:20" ht="18.75" customHeight="1" x14ac:dyDescent="0.35">
      <c r="T5982" s="246">
        <f t="shared" si="131"/>
        <v>0</v>
      </c>
    </row>
    <row r="5983" spans="20:20" ht="18.75" customHeight="1" x14ac:dyDescent="0.35">
      <c r="T5983" s="246">
        <f t="shared" si="131"/>
        <v>0</v>
      </c>
    </row>
    <row r="5984" spans="20:20" ht="18.75" customHeight="1" x14ac:dyDescent="0.35">
      <c r="T5984" s="246">
        <f t="shared" si="131"/>
        <v>0</v>
      </c>
    </row>
    <row r="5985" spans="20:20" ht="18.75" customHeight="1" x14ac:dyDescent="0.35">
      <c r="T5985" s="246">
        <f t="shared" si="131"/>
        <v>0</v>
      </c>
    </row>
    <row r="5986" spans="20:20" ht="18.75" customHeight="1" x14ac:dyDescent="0.35">
      <c r="T5986" s="246">
        <f t="shared" si="131"/>
        <v>0</v>
      </c>
    </row>
    <row r="5987" spans="20:20" ht="18.75" customHeight="1" x14ac:dyDescent="0.35">
      <c r="T5987" s="246">
        <f t="shared" si="131"/>
        <v>0</v>
      </c>
    </row>
    <row r="5988" spans="20:20" ht="18.75" customHeight="1" x14ac:dyDescent="0.35">
      <c r="T5988" s="246">
        <f t="shared" si="131"/>
        <v>0</v>
      </c>
    </row>
    <row r="5989" spans="20:20" ht="18.75" customHeight="1" x14ac:dyDescent="0.35">
      <c r="T5989" s="246">
        <f t="shared" si="131"/>
        <v>0</v>
      </c>
    </row>
    <row r="5990" spans="20:20" ht="18.75" customHeight="1" x14ac:dyDescent="0.35">
      <c r="T5990" s="246">
        <f t="shared" si="131"/>
        <v>0</v>
      </c>
    </row>
    <row r="5991" spans="20:20" ht="18.75" customHeight="1" x14ac:dyDescent="0.35">
      <c r="T5991" s="246">
        <f t="shared" si="131"/>
        <v>0</v>
      </c>
    </row>
    <row r="5992" spans="20:20" ht="18.75" customHeight="1" x14ac:dyDescent="0.35">
      <c r="T5992" s="246">
        <f t="shared" si="131"/>
        <v>0</v>
      </c>
    </row>
    <row r="5993" spans="20:20" ht="18.75" customHeight="1" x14ac:dyDescent="0.35">
      <c r="T5993" s="246">
        <f t="shared" si="131"/>
        <v>0</v>
      </c>
    </row>
    <row r="5994" spans="20:20" ht="18.75" customHeight="1" x14ac:dyDescent="0.35">
      <c r="T5994" s="246">
        <f t="shared" si="131"/>
        <v>0</v>
      </c>
    </row>
    <row r="5995" spans="20:20" ht="18.75" customHeight="1" x14ac:dyDescent="0.35">
      <c r="T5995" s="246">
        <f t="shared" si="131"/>
        <v>0</v>
      </c>
    </row>
    <row r="5996" spans="20:20" ht="18.75" customHeight="1" x14ac:dyDescent="0.35">
      <c r="T5996" s="246">
        <f t="shared" si="131"/>
        <v>0</v>
      </c>
    </row>
    <row r="5997" spans="20:20" ht="18.75" customHeight="1" x14ac:dyDescent="0.35">
      <c r="T5997" s="246">
        <f t="shared" si="131"/>
        <v>0</v>
      </c>
    </row>
    <row r="5998" spans="20:20" ht="18.75" customHeight="1" x14ac:dyDescent="0.35">
      <c r="T5998" s="246">
        <f t="shared" si="131"/>
        <v>0</v>
      </c>
    </row>
    <row r="5999" spans="20:20" ht="18.75" customHeight="1" x14ac:dyDescent="0.35">
      <c r="T5999" s="246">
        <f t="shared" si="131"/>
        <v>0</v>
      </c>
    </row>
    <row r="6000" spans="20:20" ht="18.75" customHeight="1" x14ac:dyDescent="0.35">
      <c r="T6000" s="246">
        <f t="shared" si="131"/>
        <v>0</v>
      </c>
    </row>
    <row r="6001" spans="20:20" ht="18.75" customHeight="1" x14ac:dyDescent="0.35">
      <c r="T6001" s="246">
        <f t="shared" si="131"/>
        <v>0</v>
      </c>
    </row>
    <row r="6002" spans="20:20" ht="18.75" customHeight="1" x14ac:dyDescent="0.35">
      <c r="T6002" s="246">
        <f t="shared" si="131"/>
        <v>0</v>
      </c>
    </row>
    <row r="6003" spans="20:20" ht="18.75" customHeight="1" x14ac:dyDescent="0.35">
      <c r="T6003" s="246">
        <f t="shared" si="131"/>
        <v>0</v>
      </c>
    </row>
    <row r="6004" spans="20:20" ht="18.75" customHeight="1" x14ac:dyDescent="0.35">
      <c r="T6004" s="246">
        <f t="shared" si="131"/>
        <v>0</v>
      </c>
    </row>
    <row r="6005" spans="20:20" ht="18.75" customHeight="1" x14ac:dyDescent="0.35">
      <c r="T6005" s="246">
        <f t="shared" si="131"/>
        <v>0</v>
      </c>
    </row>
    <row r="6006" spans="20:20" ht="18.75" customHeight="1" x14ac:dyDescent="0.35">
      <c r="T6006" s="246">
        <f t="shared" si="131"/>
        <v>0</v>
      </c>
    </row>
    <row r="6007" spans="20:20" ht="18.75" customHeight="1" x14ac:dyDescent="0.35">
      <c r="T6007" s="246">
        <f t="shared" si="131"/>
        <v>0</v>
      </c>
    </row>
    <row r="6008" spans="20:20" ht="18.75" customHeight="1" x14ac:dyDescent="0.35">
      <c r="T6008" s="246">
        <f t="shared" si="131"/>
        <v>0</v>
      </c>
    </row>
    <row r="6009" spans="20:20" ht="18.75" customHeight="1" x14ac:dyDescent="0.35">
      <c r="T6009" s="246">
        <f t="shared" si="131"/>
        <v>0</v>
      </c>
    </row>
    <row r="6010" spans="20:20" ht="18.75" customHeight="1" x14ac:dyDescent="0.35">
      <c r="T6010" s="246">
        <f t="shared" si="131"/>
        <v>0</v>
      </c>
    </row>
    <row r="6011" spans="20:20" ht="18.75" customHeight="1" x14ac:dyDescent="0.35">
      <c r="T6011" s="246">
        <f t="shared" si="131"/>
        <v>0</v>
      </c>
    </row>
    <row r="6012" spans="20:20" ht="18.75" customHeight="1" x14ac:dyDescent="0.35">
      <c r="T6012" s="246">
        <f t="shared" ref="T6012:T6075" si="132">R6012*0.01</f>
        <v>0</v>
      </c>
    </row>
    <row r="6013" spans="20:20" ht="18.75" customHeight="1" x14ac:dyDescent="0.35">
      <c r="T6013" s="246">
        <f t="shared" si="132"/>
        <v>0</v>
      </c>
    </row>
    <row r="6014" spans="20:20" ht="18.75" customHeight="1" x14ac:dyDescent="0.35">
      <c r="T6014" s="246">
        <f t="shared" si="132"/>
        <v>0</v>
      </c>
    </row>
    <row r="6015" spans="20:20" ht="18.75" customHeight="1" x14ac:dyDescent="0.35">
      <c r="T6015" s="246">
        <f t="shared" si="132"/>
        <v>0</v>
      </c>
    </row>
    <row r="6016" spans="20:20" ht="18.75" customHeight="1" x14ac:dyDescent="0.35">
      <c r="T6016" s="246">
        <f t="shared" si="132"/>
        <v>0</v>
      </c>
    </row>
    <row r="6017" spans="20:20" ht="18.75" customHeight="1" x14ac:dyDescent="0.35">
      <c r="T6017" s="246">
        <f t="shared" si="132"/>
        <v>0</v>
      </c>
    </row>
    <row r="6018" spans="20:20" ht="18.75" customHeight="1" x14ac:dyDescent="0.35">
      <c r="T6018" s="246">
        <f t="shared" si="132"/>
        <v>0</v>
      </c>
    </row>
    <row r="6019" spans="20:20" ht="18.75" customHeight="1" x14ac:dyDescent="0.35">
      <c r="T6019" s="246">
        <f t="shared" si="132"/>
        <v>0</v>
      </c>
    </row>
    <row r="6020" spans="20:20" ht="18.75" customHeight="1" x14ac:dyDescent="0.35">
      <c r="T6020" s="246">
        <f t="shared" si="132"/>
        <v>0</v>
      </c>
    </row>
    <row r="6021" spans="20:20" ht="18.75" customHeight="1" x14ac:dyDescent="0.35">
      <c r="T6021" s="246">
        <f t="shared" si="132"/>
        <v>0</v>
      </c>
    </row>
    <row r="6022" spans="20:20" ht="18.75" customHeight="1" x14ac:dyDescent="0.35">
      <c r="T6022" s="246">
        <f t="shared" si="132"/>
        <v>0</v>
      </c>
    </row>
    <row r="6023" spans="20:20" ht="18.75" customHeight="1" x14ac:dyDescent="0.35">
      <c r="T6023" s="246">
        <f t="shared" si="132"/>
        <v>0</v>
      </c>
    </row>
    <row r="6024" spans="20:20" ht="18.75" customHeight="1" x14ac:dyDescent="0.35">
      <c r="T6024" s="246">
        <f t="shared" si="132"/>
        <v>0</v>
      </c>
    </row>
    <row r="6025" spans="20:20" ht="18.75" customHeight="1" x14ac:dyDescent="0.35">
      <c r="T6025" s="246">
        <f t="shared" si="132"/>
        <v>0</v>
      </c>
    </row>
    <row r="6026" spans="20:20" ht="18.75" customHeight="1" x14ac:dyDescent="0.35">
      <c r="T6026" s="246">
        <f t="shared" si="132"/>
        <v>0</v>
      </c>
    </row>
    <row r="6027" spans="20:20" ht="18.75" customHeight="1" x14ac:dyDescent="0.35">
      <c r="T6027" s="246">
        <f t="shared" si="132"/>
        <v>0</v>
      </c>
    </row>
    <row r="6028" spans="20:20" ht="18.75" customHeight="1" x14ac:dyDescent="0.35">
      <c r="T6028" s="246">
        <f t="shared" si="132"/>
        <v>0</v>
      </c>
    </row>
    <row r="6029" spans="20:20" ht="18.75" customHeight="1" x14ac:dyDescent="0.35">
      <c r="T6029" s="246">
        <f t="shared" si="132"/>
        <v>0</v>
      </c>
    </row>
    <row r="6030" spans="20:20" ht="18.75" customHeight="1" x14ac:dyDescent="0.35">
      <c r="T6030" s="246">
        <f t="shared" si="132"/>
        <v>0</v>
      </c>
    </row>
    <row r="6031" spans="20:20" ht="18.75" customHeight="1" x14ac:dyDescent="0.35">
      <c r="T6031" s="246">
        <f t="shared" si="132"/>
        <v>0</v>
      </c>
    </row>
    <row r="6032" spans="20:20" ht="18.75" customHeight="1" x14ac:dyDescent="0.35">
      <c r="T6032" s="246">
        <f t="shared" si="132"/>
        <v>0</v>
      </c>
    </row>
    <row r="6033" spans="20:20" ht="18.75" customHeight="1" x14ac:dyDescent="0.35">
      <c r="T6033" s="246">
        <f t="shared" si="132"/>
        <v>0</v>
      </c>
    </row>
    <row r="6034" spans="20:20" ht="18.75" customHeight="1" x14ac:dyDescent="0.35">
      <c r="T6034" s="246">
        <f t="shared" si="132"/>
        <v>0</v>
      </c>
    </row>
    <row r="6035" spans="20:20" ht="18.75" customHeight="1" x14ac:dyDescent="0.35">
      <c r="T6035" s="246">
        <f t="shared" si="132"/>
        <v>0</v>
      </c>
    </row>
    <row r="6036" spans="20:20" ht="18.75" customHeight="1" x14ac:dyDescent="0.35">
      <c r="T6036" s="246">
        <f t="shared" si="132"/>
        <v>0</v>
      </c>
    </row>
    <row r="6037" spans="20:20" ht="18.75" customHeight="1" x14ac:dyDescent="0.35">
      <c r="T6037" s="246">
        <f t="shared" si="132"/>
        <v>0</v>
      </c>
    </row>
    <row r="6038" spans="20:20" ht="18.75" customHeight="1" x14ac:dyDescent="0.35">
      <c r="T6038" s="246">
        <f t="shared" si="132"/>
        <v>0</v>
      </c>
    </row>
    <row r="6039" spans="20:20" ht="18.75" customHeight="1" x14ac:dyDescent="0.35">
      <c r="T6039" s="246">
        <f t="shared" si="132"/>
        <v>0</v>
      </c>
    </row>
    <row r="6040" spans="20:20" ht="18.75" customHeight="1" x14ac:dyDescent="0.35">
      <c r="T6040" s="246">
        <f t="shared" si="132"/>
        <v>0</v>
      </c>
    </row>
    <row r="6041" spans="20:20" ht="18.75" customHeight="1" x14ac:dyDescent="0.35">
      <c r="T6041" s="246">
        <f t="shared" si="132"/>
        <v>0</v>
      </c>
    </row>
    <row r="6042" spans="20:20" ht="18.75" customHeight="1" x14ac:dyDescent="0.35">
      <c r="T6042" s="246">
        <f t="shared" si="132"/>
        <v>0</v>
      </c>
    </row>
    <row r="6043" spans="20:20" ht="18.75" customHeight="1" x14ac:dyDescent="0.35">
      <c r="T6043" s="246">
        <f t="shared" si="132"/>
        <v>0</v>
      </c>
    </row>
    <row r="6044" spans="20:20" ht="18.75" customHeight="1" x14ac:dyDescent="0.35">
      <c r="T6044" s="246">
        <f t="shared" si="132"/>
        <v>0</v>
      </c>
    </row>
    <row r="6045" spans="20:20" ht="18.75" customHeight="1" x14ac:dyDescent="0.35">
      <c r="T6045" s="246">
        <f t="shared" si="132"/>
        <v>0</v>
      </c>
    </row>
    <row r="6046" spans="20:20" ht="18.75" customHeight="1" x14ac:dyDescent="0.35">
      <c r="T6046" s="246">
        <f t="shared" si="132"/>
        <v>0</v>
      </c>
    </row>
    <row r="6047" spans="20:20" ht="18.75" customHeight="1" x14ac:dyDescent="0.35">
      <c r="T6047" s="246">
        <f t="shared" si="132"/>
        <v>0</v>
      </c>
    </row>
    <row r="6048" spans="20:20" ht="18.75" customHeight="1" x14ac:dyDescent="0.35">
      <c r="T6048" s="246">
        <f t="shared" si="132"/>
        <v>0</v>
      </c>
    </row>
    <row r="6049" spans="20:20" ht="18.75" customHeight="1" x14ac:dyDescent="0.35">
      <c r="T6049" s="246">
        <f t="shared" si="132"/>
        <v>0</v>
      </c>
    </row>
    <row r="6050" spans="20:20" ht="18.75" customHeight="1" x14ac:dyDescent="0.35">
      <c r="T6050" s="246">
        <f t="shared" si="132"/>
        <v>0</v>
      </c>
    </row>
    <row r="6051" spans="20:20" ht="18.75" customHeight="1" x14ac:dyDescent="0.35">
      <c r="T6051" s="246">
        <f t="shared" si="132"/>
        <v>0</v>
      </c>
    </row>
    <row r="6052" spans="20:20" ht="18.75" customHeight="1" x14ac:dyDescent="0.35">
      <c r="T6052" s="246">
        <f t="shared" si="132"/>
        <v>0</v>
      </c>
    </row>
    <row r="6053" spans="20:20" ht="18.75" customHeight="1" x14ac:dyDescent="0.35">
      <c r="T6053" s="246">
        <f t="shared" si="132"/>
        <v>0</v>
      </c>
    </row>
    <row r="6054" spans="20:20" ht="18.75" customHeight="1" x14ac:dyDescent="0.35">
      <c r="T6054" s="246">
        <f t="shared" si="132"/>
        <v>0</v>
      </c>
    </row>
    <row r="6055" spans="20:20" ht="18.75" customHeight="1" x14ac:dyDescent="0.35">
      <c r="T6055" s="246">
        <f t="shared" si="132"/>
        <v>0</v>
      </c>
    </row>
    <row r="6056" spans="20:20" ht="18.75" customHeight="1" x14ac:dyDescent="0.35">
      <c r="T6056" s="246">
        <f t="shared" si="132"/>
        <v>0</v>
      </c>
    </row>
    <row r="6057" spans="20:20" ht="18.75" customHeight="1" x14ac:dyDescent="0.35">
      <c r="T6057" s="246">
        <f t="shared" si="132"/>
        <v>0</v>
      </c>
    </row>
    <row r="6058" spans="20:20" ht="18.75" customHeight="1" x14ac:dyDescent="0.35">
      <c r="T6058" s="246">
        <f t="shared" si="132"/>
        <v>0</v>
      </c>
    </row>
    <row r="6059" spans="20:20" ht="18.75" customHeight="1" x14ac:dyDescent="0.35">
      <c r="T6059" s="246">
        <f t="shared" si="132"/>
        <v>0</v>
      </c>
    </row>
    <row r="6060" spans="20:20" ht="18.75" customHeight="1" x14ac:dyDescent="0.35">
      <c r="T6060" s="246">
        <f t="shared" si="132"/>
        <v>0</v>
      </c>
    </row>
    <row r="6061" spans="20:20" ht="18.75" customHeight="1" x14ac:dyDescent="0.35">
      <c r="T6061" s="246">
        <f t="shared" si="132"/>
        <v>0</v>
      </c>
    </row>
    <row r="6062" spans="20:20" ht="18.75" customHeight="1" x14ac:dyDescent="0.35">
      <c r="T6062" s="246">
        <f t="shared" si="132"/>
        <v>0</v>
      </c>
    </row>
    <row r="6063" spans="20:20" ht="18.75" customHeight="1" x14ac:dyDescent="0.35">
      <c r="T6063" s="246">
        <f t="shared" si="132"/>
        <v>0</v>
      </c>
    </row>
    <row r="6064" spans="20:20" ht="18.75" customHeight="1" x14ac:dyDescent="0.35">
      <c r="T6064" s="246">
        <f t="shared" si="132"/>
        <v>0</v>
      </c>
    </row>
    <row r="6065" spans="20:20" ht="18.75" customHeight="1" x14ac:dyDescent="0.35">
      <c r="T6065" s="246">
        <f t="shared" si="132"/>
        <v>0</v>
      </c>
    </row>
    <row r="6066" spans="20:20" ht="18.75" customHeight="1" x14ac:dyDescent="0.35">
      <c r="T6066" s="246">
        <f t="shared" si="132"/>
        <v>0</v>
      </c>
    </row>
    <row r="6067" spans="20:20" ht="18.75" customHeight="1" x14ac:dyDescent="0.35">
      <c r="T6067" s="246">
        <f t="shared" si="132"/>
        <v>0</v>
      </c>
    </row>
    <row r="6068" spans="20:20" ht="18.75" customHeight="1" x14ac:dyDescent="0.35">
      <c r="T6068" s="246">
        <f t="shared" si="132"/>
        <v>0</v>
      </c>
    </row>
    <row r="6069" spans="20:20" ht="18.75" customHeight="1" x14ac:dyDescent="0.35">
      <c r="T6069" s="246">
        <f t="shared" si="132"/>
        <v>0</v>
      </c>
    </row>
    <row r="6070" spans="20:20" ht="18.75" customHeight="1" x14ac:dyDescent="0.35">
      <c r="T6070" s="246">
        <f t="shared" si="132"/>
        <v>0</v>
      </c>
    </row>
    <row r="6071" spans="20:20" ht="18.75" customHeight="1" x14ac:dyDescent="0.35">
      <c r="T6071" s="246">
        <f t="shared" si="132"/>
        <v>0</v>
      </c>
    </row>
    <row r="6072" spans="20:20" ht="18.75" customHeight="1" x14ac:dyDescent="0.35">
      <c r="T6072" s="246">
        <f t="shared" si="132"/>
        <v>0</v>
      </c>
    </row>
    <row r="6073" spans="20:20" ht="18.75" customHeight="1" x14ac:dyDescent="0.35">
      <c r="T6073" s="246">
        <f t="shared" si="132"/>
        <v>0</v>
      </c>
    </row>
    <row r="6074" spans="20:20" ht="18.75" customHeight="1" x14ac:dyDescent="0.35">
      <c r="T6074" s="246">
        <f t="shared" si="132"/>
        <v>0</v>
      </c>
    </row>
    <row r="6075" spans="20:20" ht="18.75" customHeight="1" x14ac:dyDescent="0.35">
      <c r="T6075" s="246">
        <f t="shared" si="132"/>
        <v>0</v>
      </c>
    </row>
    <row r="6076" spans="20:20" ht="18.75" customHeight="1" x14ac:dyDescent="0.35">
      <c r="T6076" s="246">
        <f t="shared" ref="T6076:T6139" si="133">R6076*0.01</f>
        <v>0</v>
      </c>
    </row>
    <row r="6077" spans="20:20" ht="18.75" customHeight="1" x14ac:dyDescent="0.35">
      <c r="T6077" s="246">
        <f t="shared" si="133"/>
        <v>0</v>
      </c>
    </row>
    <row r="6078" spans="20:20" ht="18.75" customHeight="1" x14ac:dyDescent="0.35">
      <c r="T6078" s="246">
        <f t="shared" si="133"/>
        <v>0</v>
      </c>
    </row>
    <row r="6079" spans="20:20" ht="18.75" customHeight="1" x14ac:dyDescent="0.35">
      <c r="T6079" s="246">
        <f t="shared" si="133"/>
        <v>0</v>
      </c>
    </row>
    <row r="6080" spans="20:20" ht="18.75" customHeight="1" x14ac:dyDescent="0.35">
      <c r="T6080" s="246">
        <f t="shared" si="133"/>
        <v>0</v>
      </c>
    </row>
    <row r="6081" spans="20:20" ht="18.75" customHeight="1" x14ac:dyDescent="0.35">
      <c r="T6081" s="246">
        <f t="shared" si="133"/>
        <v>0</v>
      </c>
    </row>
    <row r="6082" spans="20:20" ht="18.75" customHeight="1" x14ac:dyDescent="0.35">
      <c r="T6082" s="246">
        <f t="shared" si="133"/>
        <v>0</v>
      </c>
    </row>
    <row r="6083" spans="20:20" ht="18.75" customHeight="1" x14ac:dyDescent="0.35">
      <c r="T6083" s="246">
        <f t="shared" si="133"/>
        <v>0</v>
      </c>
    </row>
    <row r="6084" spans="20:20" ht="18.75" customHeight="1" x14ac:dyDescent="0.35">
      <c r="T6084" s="246">
        <f t="shared" si="133"/>
        <v>0</v>
      </c>
    </row>
    <row r="6085" spans="20:20" ht="18.75" customHeight="1" x14ac:dyDescent="0.35">
      <c r="T6085" s="246">
        <f t="shared" si="133"/>
        <v>0</v>
      </c>
    </row>
    <row r="6086" spans="20:20" ht="18.75" customHeight="1" x14ac:dyDescent="0.35">
      <c r="T6086" s="246">
        <f t="shared" si="133"/>
        <v>0</v>
      </c>
    </row>
    <row r="6087" spans="20:20" ht="18.75" customHeight="1" x14ac:dyDescent="0.35">
      <c r="T6087" s="246">
        <f t="shared" si="133"/>
        <v>0</v>
      </c>
    </row>
    <row r="6088" spans="20:20" ht="18.75" customHeight="1" x14ac:dyDescent="0.35">
      <c r="T6088" s="246">
        <f t="shared" si="133"/>
        <v>0</v>
      </c>
    </row>
    <row r="6089" spans="20:20" ht="18.75" customHeight="1" x14ac:dyDescent="0.35">
      <c r="T6089" s="246">
        <f t="shared" si="133"/>
        <v>0</v>
      </c>
    </row>
    <row r="6090" spans="20:20" ht="18.75" customHeight="1" x14ac:dyDescent="0.35">
      <c r="T6090" s="246">
        <f t="shared" si="133"/>
        <v>0</v>
      </c>
    </row>
    <row r="6091" spans="20:20" ht="18.75" customHeight="1" x14ac:dyDescent="0.35">
      <c r="T6091" s="246">
        <f t="shared" si="133"/>
        <v>0</v>
      </c>
    </row>
    <row r="6092" spans="20:20" ht="18.75" customHeight="1" x14ac:dyDescent="0.35">
      <c r="T6092" s="246">
        <f t="shared" si="133"/>
        <v>0</v>
      </c>
    </row>
    <row r="6093" spans="20:20" ht="18.75" customHeight="1" x14ac:dyDescent="0.35">
      <c r="T6093" s="246">
        <f t="shared" si="133"/>
        <v>0</v>
      </c>
    </row>
    <row r="6094" spans="20:20" ht="18.75" customHeight="1" x14ac:dyDescent="0.35">
      <c r="T6094" s="246">
        <f t="shared" si="133"/>
        <v>0</v>
      </c>
    </row>
    <row r="6095" spans="20:20" ht="18.75" customHeight="1" x14ac:dyDescent="0.35">
      <c r="T6095" s="246">
        <f t="shared" si="133"/>
        <v>0</v>
      </c>
    </row>
    <row r="6096" spans="20:20" ht="18.75" customHeight="1" x14ac:dyDescent="0.35">
      <c r="T6096" s="246">
        <f t="shared" si="133"/>
        <v>0</v>
      </c>
    </row>
    <row r="6097" spans="20:20" ht="18.75" customHeight="1" x14ac:dyDescent="0.35">
      <c r="T6097" s="246">
        <f t="shared" si="133"/>
        <v>0</v>
      </c>
    </row>
    <row r="6098" spans="20:20" ht="18.75" customHeight="1" x14ac:dyDescent="0.35">
      <c r="T6098" s="246">
        <f t="shared" si="133"/>
        <v>0</v>
      </c>
    </row>
    <row r="6099" spans="20:20" ht="18.75" customHeight="1" x14ac:dyDescent="0.35">
      <c r="T6099" s="246">
        <f t="shared" si="133"/>
        <v>0</v>
      </c>
    </row>
    <row r="6100" spans="20:20" ht="18.75" customHeight="1" x14ac:dyDescent="0.35">
      <c r="T6100" s="246">
        <f t="shared" si="133"/>
        <v>0</v>
      </c>
    </row>
    <row r="6101" spans="20:20" ht="18.75" customHeight="1" x14ac:dyDescent="0.35">
      <c r="T6101" s="246">
        <f t="shared" si="133"/>
        <v>0</v>
      </c>
    </row>
    <row r="6102" spans="20:20" ht="18.75" customHeight="1" x14ac:dyDescent="0.35">
      <c r="T6102" s="246">
        <f t="shared" si="133"/>
        <v>0</v>
      </c>
    </row>
    <row r="6103" spans="20:20" ht="18.75" customHeight="1" x14ac:dyDescent="0.35">
      <c r="T6103" s="246">
        <f t="shared" si="133"/>
        <v>0</v>
      </c>
    </row>
    <row r="6104" spans="20:20" ht="18.75" customHeight="1" x14ac:dyDescent="0.35">
      <c r="T6104" s="246">
        <f t="shared" si="133"/>
        <v>0</v>
      </c>
    </row>
    <row r="6105" spans="20:20" ht="18.75" customHeight="1" x14ac:dyDescent="0.35">
      <c r="T6105" s="246">
        <f t="shared" si="133"/>
        <v>0</v>
      </c>
    </row>
    <row r="6106" spans="20:20" ht="18.75" customHeight="1" x14ac:dyDescent="0.35">
      <c r="T6106" s="246">
        <f t="shared" si="133"/>
        <v>0</v>
      </c>
    </row>
    <row r="6107" spans="20:20" ht="18.75" customHeight="1" x14ac:dyDescent="0.35">
      <c r="T6107" s="246">
        <f t="shared" si="133"/>
        <v>0</v>
      </c>
    </row>
    <row r="6108" spans="20:20" ht="18.75" customHeight="1" x14ac:dyDescent="0.35">
      <c r="T6108" s="246">
        <f t="shared" si="133"/>
        <v>0</v>
      </c>
    </row>
    <row r="6109" spans="20:20" ht="18.75" customHeight="1" x14ac:dyDescent="0.35">
      <c r="T6109" s="246">
        <f t="shared" si="133"/>
        <v>0</v>
      </c>
    </row>
    <row r="6110" spans="20:20" ht="18.75" customHeight="1" x14ac:dyDescent="0.35">
      <c r="T6110" s="246">
        <f t="shared" si="133"/>
        <v>0</v>
      </c>
    </row>
    <row r="6111" spans="20:20" ht="18.75" customHeight="1" x14ac:dyDescent="0.35">
      <c r="T6111" s="246">
        <f t="shared" si="133"/>
        <v>0</v>
      </c>
    </row>
    <row r="6112" spans="20:20" ht="18.75" customHeight="1" x14ac:dyDescent="0.35">
      <c r="T6112" s="246">
        <f t="shared" si="133"/>
        <v>0</v>
      </c>
    </row>
    <row r="6113" spans="20:20" ht="18.75" customHeight="1" x14ac:dyDescent="0.35">
      <c r="T6113" s="246">
        <f t="shared" si="133"/>
        <v>0</v>
      </c>
    </row>
    <row r="6114" spans="20:20" ht="18.75" customHeight="1" x14ac:dyDescent="0.35">
      <c r="T6114" s="246">
        <f t="shared" si="133"/>
        <v>0</v>
      </c>
    </row>
    <row r="6115" spans="20:20" ht="18.75" customHeight="1" x14ac:dyDescent="0.35">
      <c r="T6115" s="246">
        <f t="shared" si="133"/>
        <v>0</v>
      </c>
    </row>
    <row r="6116" spans="20:20" ht="18.75" customHeight="1" x14ac:dyDescent="0.35">
      <c r="T6116" s="246">
        <f t="shared" si="133"/>
        <v>0</v>
      </c>
    </row>
    <row r="6117" spans="20:20" ht="18.75" customHeight="1" x14ac:dyDescent="0.35">
      <c r="T6117" s="246">
        <f t="shared" si="133"/>
        <v>0</v>
      </c>
    </row>
    <row r="6118" spans="20:20" ht="18.75" customHeight="1" x14ac:dyDescent="0.35">
      <c r="T6118" s="246">
        <f t="shared" si="133"/>
        <v>0</v>
      </c>
    </row>
    <row r="6119" spans="20:20" ht="18.75" customHeight="1" x14ac:dyDescent="0.35">
      <c r="T6119" s="246">
        <f t="shared" si="133"/>
        <v>0</v>
      </c>
    </row>
    <row r="6120" spans="20:20" ht="18.75" customHeight="1" x14ac:dyDescent="0.35">
      <c r="T6120" s="246">
        <f t="shared" si="133"/>
        <v>0</v>
      </c>
    </row>
    <row r="6121" spans="20:20" ht="18.75" customHeight="1" x14ac:dyDescent="0.35">
      <c r="T6121" s="246">
        <f t="shared" si="133"/>
        <v>0</v>
      </c>
    </row>
    <row r="6122" spans="20:20" ht="18.75" customHeight="1" x14ac:dyDescent="0.35">
      <c r="T6122" s="246">
        <f t="shared" si="133"/>
        <v>0</v>
      </c>
    </row>
    <row r="6123" spans="20:20" ht="18.75" customHeight="1" x14ac:dyDescent="0.35">
      <c r="T6123" s="246">
        <f t="shared" si="133"/>
        <v>0</v>
      </c>
    </row>
    <row r="6124" spans="20:20" ht="18.75" customHeight="1" x14ac:dyDescent="0.35">
      <c r="T6124" s="246">
        <f t="shared" si="133"/>
        <v>0</v>
      </c>
    </row>
    <row r="6125" spans="20:20" ht="18.75" customHeight="1" x14ac:dyDescent="0.35">
      <c r="T6125" s="246">
        <f t="shared" si="133"/>
        <v>0</v>
      </c>
    </row>
    <row r="6126" spans="20:20" ht="18.75" customHeight="1" x14ac:dyDescent="0.35">
      <c r="T6126" s="246">
        <f t="shared" si="133"/>
        <v>0</v>
      </c>
    </row>
    <row r="6127" spans="20:20" ht="18.75" customHeight="1" x14ac:dyDescent="0.35">
      <c r="T6127" s="246">
        <f t="shared" si="133"/>
        <v>0</v>
      </c>
    </row>
    <row r="6128" spans="20:20" ht="18.75" customHeight="1" x14ac:dyDescent="0.35">
      <c r="T6128" s="246">
        <f t="shared" si="133"/>
        <v>0</v>
      </c>
    </row>
    <row r="6129" spans="20:20" ht="18.75" customHeight="1" x14ac:dyDescent="0.35">
      <c r="T6129" s="246">
        <f t="shared" si="133"/>
        <v>0</v>
      </c>
    </row>
    <row r="6130" spans="20:20" ht="18.75" customHeight="1" x14ac:dyDescent="0.35">
      <c r="T6130" s="246">
        <f t="shared" si="133"/>
        <v>0</v>
      </c>
    </row>
    <row r="6131" spans="20:20" ht="18.75" customHeight="1" x14ac:dyDescent="0.35">
      <c r="T6131" s="246">
        <f t="shared" si="133"/>
        <v>0</v>
      </c>
    </row>
    <row r="6132" spans="20:20" ht="18.75" customHeight="1" x14ac:dyDescent="0.35">
      <c r="T6132" s="246">
        <f t="shared" si="133"/>
        <v>0</v>
      </c>
    </row>
    <row r="6133" spans="20:20" ht="18.75" customHeight="1" x14ac:dyDescent="0.35">
      <c r="T6133" s="246">
        <f t="shared" si="133"/>
        <v>0</v>
      </c>
    </row>
    <row r="6134" spans="20:20" ht="18.75" customHeight="1" x14ac:dyDescent="0.35">
      <c r="T6134" s="246">
        <f t="shared" si="133"/>
        <v>0</v>
      </c>
    </row>
    <row r="6135" spans="20:20" ht="18.75" customHeight="1" x14ac:dyDescent="0.35">
      <c r="T6135" s="246">
        <f t="shared" si="133"/>
        <v>0</v>
      </c>
    </row>
    <row r="6136" spans="20:20" ht="18.75" customHeight="1" x14ac:dyDescent="0.35">
      <c r="T6136" s="246">
        <f t="shared" si="133"/>
        <v>0</v>
      </c>
    </row>
    <row r="6137" spans="20:20" ht="18.75" customHeight="1" x14ac:dyDescent="0.35">
      <c r="T6137" s="246">
        <f t="shared" si="133"/>
        <v>0</v>
      </c>
    </row>
    <row r="6138" spans="20:20" ht="18.75" customHeight="1" x14ac:dyDescent="0.35">
      <c r="T6138" s="246">
        <f t="shared" si="133"/>
        <v>0</v>
      </c>
    </row>
    <row r="6139" spans="20:20" ht="18.75" customHeight="1" x14ac:dyDescent="0.35">
      <c r="T6139" s="246">
        <f t="shared" si="133"/>
        <v>0</v>
      </c>
    </row>
    <row r="6140" spans="20:20" ht="18.75" customHeight="1" x14ac:dyDescent="0.35">
      <c r="T6140" s="246">
        <f t="shared" ref="T6140:T6203" si="134">R6140*0.01</f>
        <v>0</v>
      </c>
    </row>
    <row r="6141" spans="20:20" ht="18.75" customHeight="1" x14ac:dyDescent="0.35">
      <c r="T6141" s="246">
        <f t="shared" si="134"/>
        <v>0</v>
      </c>
    </row>
    <row r="6142" spans="20:20" ht="18.75" customHeight="1" x14ac:dyDescent="0.35">
      <c r="T6142" s="246">
        <f t="shared" si="134"/>
        <v>0</v>
      </c>
    </row>
    <row r="6143" spans="20:20" ht="18.75" customHeight="1" x14ac:dyDescent="0.35">
      <c r="T6143" s="246">
        <f t="shared" si="134"/>
        <v>0</v>
      </c>
    </row>
    <row r="6144" spans="20:20" ht="18.75" customHeight="1" x14ac:dyDescent="0.35">
      <c r="T6144" s="246">
        <f t="shared" si="134"/>
        <v>0</v>
      </c>
    </row>
    <row r="6145" spans="20:20" ht="18.75" customHeight="1" x14ac:dyDescent="0.35">
      <c r="T6145" s="246">
        <f t="shared" si="134"/>
        <v>0</v>
      </c>
    </row>
    <row r="6146" spans="20:20" ht="18.75" customHeight="1" x14ac:dyDescent="0.35">
      <c r="T6146" s="246">
        <f t="shared" si="134"/>
        <v>0</v>
      </c>
    </row>
    <row r="6147" spans="20:20" ht="18.75" customHeight="1" x14ac:dyDescent="0.35">
      <c r="T6147" s="246">
        <f t="shared" si="134"/>
        <v>0</v>
      </c>
    </row>
    <row r="6148" spans="20:20" ht="18.75" customHeight="1" x14ac:dyDescent="0.35">
      <c r="T6148" s="246">
        <f t="shared" si="134"/>
        <v>0</v>
      </c>
    </row>
    <row r="6149" spans="20:20" ht="18.75" customHeight="1" x14ac:dyDescent="0.35">
      <c r="T6149" s="246">
        <f t="shared" si="134"/>
        <v>0</v>
      </c>
    </row>
    <row r="6150" spans="20:20" ht="18.75" customHeight="1" x14ac:dyDescent="0.35">
      <c r="T6150" s="246">
        <f t="shared" si="134"/>
        <v>0</v>
      </c>
    </row>
    <row r="6151" spans="20:20" ht="18.75" customHeight="1" x14ac:dyDescent="0.35">
      <c r="T6151" s="246">
        <f t="shared" si="134"/>
        <v>0</v>
      </c>
    </row>
    <row r="6152" spans="20:20" ht="18.75" customHeight="1" x14ac:dyDescent="0.35">
      <c r="T6152" s="246">
        <f t="shared" si="134"/>
        <v>0</v>
      </c>
    </row>
    <row r="6153" spans="20:20" ht="18.75" customHeight="1" x14ac:dyDescent="0.35">
      <c r="T6153" s="246">
        <f t="shared" si="134"/>
        <v>0</v>
      </c>
    </row>
    <row r="6154" spans="20:20" ht="18.75" customHeight="1" x14ac:dyDescent="0.35">
      <c r="T6154" s="246">
        <f t="shared" si="134"/>
        <v>0</v>
      </c>
    </row>
    <row r="6155" spans="20:20" ht="18.75" customHeight="1" x14ac:dyDescent="0.35">
      <c r="T6155" s="246">
        <f t="shared" si="134"/>
        <v>0</v>
      </c>
    </row>
    <row r="6156" spans="20:20" ht="18.75" customHeight="1" x14ac:dyDescent="0.35">
      <c r="T6156" s="246">
        <f t="shared" si="134"/>
        <v>0</v>
      </c>
    </row>
    <row r="6157" spans="20:20" ht="18.75" customHeight="1" x14ac:dyDescent="0.35">
      <c r="T6157" s="246">
        <f t="shared" si="134"/>
        <v>0</v>
      </c>
    </row>
    <row r="6158" spans="20:20" ht="18.75" customHeight="1" x14ac:dyDescent="0.35">
      <c r="T6158" s="246">
        <f t="shared" si="134"/>
        <v>0</v>
      </c>
    </row>
    <row r="6159" spans="20:20" ht="18.75" customHeight="1" x14ac:dyDescent="0.35">
      <c r="T6159" s="246">
        <f t="shared" si="134"/>
        <v>0</v>
      </c>
    </row>
    <row r="6160" spans="20:20" ht="18.75" customHeight="1" x14ac:dyDescent="0.35">
      <c r="T6160" s="246">
        <f t="shared" si="134"/>
        <v>0</v>
      </c>
    </row>
    <row r="6161" spans="20:20" ht="18.75" customHeight="1" x14ac:dyDescent="0.35">
      <c r="T6161" s="246">
        <f t="shared" si="134"/>
        <v>0</v>
      </c>
    </row>
    <row r="6162" spans="20:20" ht="18.75" customHeight="1" x14ac:dyDescent="0.35">
      <c r="T6162" s="246">
        <f t="shared" si="134"/>
        <v>0</v>
      </c>
    </row>
    <row r="6163" spans="20:20" ht="18.75" customHeight="1" x14ac:dyDescent="0.35">
      <c r="T6163" s="246">
        <f t="shared" si="134"/>
        <v>0</v>
      </c>
    </row>
    <row r="6164" spans="20:20" ht="18.75" customHeight="1" x14ac:dyDescent="0.35">
      <c r="T6164" s="246">
        <f t="shared" si="134"/>
        <v>0</v>
      </c>
    </row>
    <row r="6165" spans="20:20" ht="18.75" customHeight="1" x14ac:dyDescent="0.35">
      <c r="T6165" s="246">
        <f t="shared" si="134"/>
        <v>0</v>
      </c>
    </row>
    <row r="6166" spans="20:20" ht="18.75" customHeight="1" x14ac:dyDescent="0.35">
      <c r="T6166" s="246">
        <f t="shared" si="134"/>
        <v>0</v>
      </c>
    </row>
    <row r="6167" spans="20:20" ht="18.75" customHeight="1" x14ac:dyDescent="0.35">
      <c r="T6167" s="246">
        <f t="shared" si="134"/>
        <v>0</v>
      </c>
    </row>
    <row r="6168" spans="20:20" ht="18.75" customHeight="1" x14ac:dyDescent="0.35">
      <c r="T6168" s="246">
        <f t="shared" si="134"/>
        <v>0</v>
      </c>
    </row>
    <row r="6169" spans="20:20" ht="18.75" customHeight="1" x14ac:dyDescent="0.35">
      <c r="T6169" s="246">
        <f t="shared" si="134"/>
        <v>0</v>
      </c>
    </row>
    <row r="6170" spans="20:20" ht="18.75" customHeight="1" x14ac:dyDescent="0.35">
      <c r="T6170" s="246">
        <f t="shared" si="134"/>
        <v>0</v>
      </c>
    </row>
    <row r="6171" spans="20:20" ht="18.75" customHeight="1" x14ac:dyDescent="0.35">
      <c r="T6171" s="246">
        <f t="shared" si="134"/>
        <v>0</v>
      </c>
    </row>
    <row r="6172" spans="20:20" ht="18.75" customHeight="1" x14ac:dyDescent="0.35">
      <c r="T6172" s="246">
        <f t="shared" si="134"/>
        <v>0</v>
      </c>
    </row>
    <row r="6173" spans="20:20" ht="18.75" customHeight="1" x14ac:dyDescent="0.35">
      <c r="T6173" s="246">
        <f t="shared" si="134"/>
        <v>0</v>
      </c>
    </row>
    <row r="6174" spans="20:20" ht="18.75" customHeight="1" x14ac:dyDescent="0.35">
      <c r="T6174" s="246">
        <f t="shared" si="134"/>
        <v>0</v>
      </c>
    </row>
    <row r="6175" spans="20:20" ht="18.75" customHeight="1" x14ac:dyDescent="0.35">
      <c r="T6175" s="246">
        <f t="shared" si="134"/>
        <v>0</v>
      </c>
    </row>
    <row r="6176" spans="20:20" ht="18.75" customHeight="1" x14ac:dyDescent="0.35">
      <c r="T6176" s="246">
        <f t="shared" si="134"/>
        <v>0</v>
      </c>
    </row>
    <row r="6177" spans="20:20" ht="18.75" customHeight="1" x14ac:dyDescent="0.35">
      <c r="T6177" s="246">
        <f t="shared" si="134"/>
        <v>0</v>
      </c>
    </row>
    <row r="6178" spans="20:20" ht="18.75" customHeight="1" x14ac:dyDescent="0.35">
      <c r="T6178" s="246">
        <f t="shared" si="134"/>
        <v>0</v>
      </c>
    </row>
    <row r="6179" spans="20:20" ht="18.75" customHeight="1" x14ac:dyDescent="0.35">
      <c r="T6179" s="246">
        <f t="shared" si="134"/>
        <v>0</v>
      </c>
    </row>
    <row r="6180" spans="20:20" ht="18.75" customHeight="1" x14ac:dyDescent="0.35">
      <c r="T6180" s="246">
        <f t="shared" si="134"/>
        <v>0</v>
      </c>
    </row>
    <row r="6181" spans="20:20" ht="18.75" customHeight="1" x14ac:dyDescent="0.35">
      <c r="T6181" s="246">
        <f t="shared" si="134"/>
        <v>0</v>
      </c>
    </row>
    <row r="6182" spans="20:20" ht="18.75" customHeight="1" x14ac:dyDescent="0.35">
      <c r="T6182" s="246">
        <f t="shared" si="134"/>
        <v>0</v>
      </c>
    </row>
    <row r="6183" spans="20:20" ht="18.75" customHeight="1" x14ac:dyDescent="0.35">
      <c r="T6183" s="246">
        <f t="shared" si="134"/>
        <v>0</v>
      </c>
    </row>
    <row r="6184" spans="20:20" ht="18.75" customHeight="1" x14ac:dyDescent="0.35">
      <c r="T6184" s="246">
        <f t="shared" si="134"/>
        <v>0</v>
      </c>
    </row>
    <row r="6185" spans="20:20" ht="18.75" customHeight="1" x14ac:dyDescent="0.35">
      <c r="T6185" s="246">
        <f t="shared" si="134"/>
        <v>0</v>
      </c>
    </row>
    <row r="6186" spans="20:20" ht="18.75" customHeight="1" x14ac:dyDescent="0.35">
      <c r="T6186" s="246">
        <f t="shared" si="134"/>
        <v>0</v>
      </c>
    </row>
    <row r="6187" spans="20:20" ht="18.75" customHeight="1" x14ac:dyDescent="0.35">
      <c r="T6187" s="246">
        <f t="shared" si="134"/>
        <v>0</v>
      </c>
    </row>
    <row r="6188" spans="20:20" ht="18.75" customHeight="1" x14ac:dyDescent="0.35">
      <c r="T6188" s="246">
        <f t="shared" si="134"/>
        <v>0</v>
      </c>
    </row>
    <row r="6189" spans="20:20" ht="18.75" customHeight="1" x14ac:dyDescent="0.35">
      <c r="T6189" s="246">
        <f t="shared" si="134"/>
        <v>0</v>
      </c>
    </row>
    <row r="6190" spans="20:20" ht="18.75" customHeight="1" x14ac:dyDescent="0.35">
      <c r="T6190" s="246">
        <f t="shared" si="134"/>
        <v>0</v>
      </c>
    </row>
    <row r="6191" spans="20:20" ht="18.75" customHeight="1" x14ac:dyDescent="0.35">
      <c r="T6191" s="246">
        <f t="shared" si="134"/>
        <v>0</v>
      </c>
    </row>
    <row r="6192" spans="20:20" ht="18.75" customHeight="1" x14ac:dyDescent="0.35">
      <c r="T6192" s="246">
        <f t="shared" si="134"/>
        <v>0</v>
      </c>
    </row>
    <row r="6193" spans="20:20" ht="18.75" customHeight="1" x14ac:dyDescent="0.35">
      <c r="T6193" s="246">
        <f t="shared" si="134"/>
        <v>0</v>
      </c>
    </row>
    <row r="6194" spans="20:20" ht="18.75" customHeight="1" x14ac:dyDescent="0.35">
      <c r="T6194" s="246">
        <f t="shared" si="134"/>
        <v>0</v>
      </c>
    </row>
    <row r="6195" spans="20:20" ht="18.75" customHeight="1" x14ac:dyDescent="0.35">
      <c r="T6195" s="246">
        <f t="shared" si="134"/>
        <v>0</v>
      </c>
    </row>
    <row r="6196" spans="20:20" ht="18.75" customHeight="1" x14ac:dyDescent="0.35">
      <c r="T6196" s="246">
        <f t="shared" si="134"/>
        <v>0</v>
      </c>
    </row>
    <row r="6197" spans="20:20" ht="18.75" customHeight="1" x14ac:dyDescent="0.35">
      <c r="T6197" s="246">
        <f t="shared" si="134"/>
        <v>0</v>
      </c>
    </row>
    <row r="6198" spans="20:20" ht="18.75" customHeight="1" x14ac:dyDescent="0.35">
      <c r="T6198" s="246">
        <f t="shared" si="134"/>
        <v>0</v>
      </c>
    </row>
    <row r="6199" spans="20:20" ht="18.75" customHeight="1" x14ac:dyDescent="0.35">
      <c r="T6199" s="246">
        <f t="shared" si="134"/>
        <v>0</v>
      </c>
    </row>
    <row r="6200" spans="20:20" ht="18.75" customHeight="1" x14ac:dyDescent="0.35">
      <c r="T6200" s="246">
        <f t="shared" si="134"/>
        <v>0</v>
      </c>
    </row>
    <row r="6201" spans="20:20" ht="18.75" customHeight="1" x14ac:dyDescent="0.35">
      <c r="T6201" s="246">
        <f t="shared" si="134"/>
        <v>0</v>
      </c>
    </row>
    <row r="6202" spans="20:20" ht="18.75" customHeight="1" x14ac:dyDescent="0.35">
      <c r="T6202" s="246">
        <f t="shared" si="134"/>
        <v>0</v>
      </c>
    </row>
    <row r="6203" spans="20:20" ht="18.75" customHeight="1" x14ac:dyDescent="0.35">
      <c r="T6203" s="246">
        <f t="shared" si="134"/>
        <v>0</v>
      </c>
    </row>
    <row r="6204" spans="20:20" ht="18.75" customHeight="1" x14ac:dyDescent="0.35">
      <c r="T6204" s="246">
        <f t="shared" ref="T6204:T6267" si="135">R6204*0.01</f>
        <v>0</v>
      </c>
    </row>
    <row r="6205" spans="20:20" ht="18.75" customHeight="1" x14ac:dyDescent="0.35">
      <c r="T6205" s="246">
        <f t="shared" si="135"/>
        <v>0</v>
      </c>
    </row>
    <row r="6206" spans="20:20" ht="18.75" customHeight="1" x14ac:dyDescent="0.35">
      <c r="T6206" s="246">
        <f t="shared" si="135"/>
        <v>0</v>
      </c>
    </row>
    <row r="6207" spans="20:20" ht="18.75" customHeight="1" x14ac:dyDescent="0.35">
      <c r="T6207" s="246">
        <f t="shared" si="135"/>
        <v>0</v>
      </c>
    </row>
    <row r="6208" spans="20:20" ht="18.75" customHeight="1" x14ac:dyDescent="0.35">
      <c r="T6208" s="246">
        <f t="shared" si="135"/>
        <v>0</v>
      </c>
    </row>
    <row r="6209" spans="20:20" ht="18.75" customHeight="1" x14ac:dyDescent="0.35">
      <c r="T6209" s="246">
        <f t="shared" si="135"/>
        <v>0</v>
      </c>
    </row>
    <row r="6210" spans="20:20" ht="18.75" customHeight="1" x14ac:dyDescent="0.35">
      <c r="T6210" s="246">
        <f t="shared" si="135"/>
        <v>0</v>
      </c>
    </row>
    <row r="6211" spans="20:20" ht="18.75" customHeight="1" x14ac:dyDescent="0.35">
      <c r="T6211" s="246">
        <f t="shared" si="135"/>
        <v>0</v>
      </c>
    </row>
    <row r="6212" spans="20:20" ht="18.75" customHeight="1" x14ac:dyDescent="0.35">
      <c r="T6212" s="246">
        <f t="shared" si="135"/>
        <v>0</v>
      </c>
    </row>
    <row r="6213" spans="20:20" ht="18.75" customHeight="1" x14ac:dyDescent="0.35">
      <c r="T6213" s="246">
        <f t="shared" si="135"/>
        <v>0</v>
      </c>
    </row>
    <row r="6214" spans="20:20" ht="18.75" customHeight="1" x14ac:dyDescent="0.35">
      <c r="T6214" s="246">
        <f t="shared" si="135"/>
        <v>0</v>
      </c>
    </row>
    <row r="6215" spans="20:20" ht="18.75" customHeight="1" x14ac:dyDescent="0.35">
      <c r="T6215" s="246">
        <f t="shared" si="135"/>
        <v>0</v>
      </c>
    </row>
    <row r="6216" spans="20:20" ht="18.75" customHeight="1" x14ac:dyDescent="0.35">
      <c r="T6216" s="246">
        <f t="shared" si="135"/>
        <v>0</v>
      </c>
    </row>
    <row r="6217" spans="20:20" ht="18.75" customHeight="1" x14ac:dyDescent="0.35">
      <c r="T6217" s="246">
        <f t="shared" si="135"/>
        <v>0</v>
      </c>
    </row>
    <row r="6218" spans="20:20" ht="18.75" customHeight="1" x14ac:dyDescent="0.35">
      <c r="T6218" s="246">
        <f t="shared" si="135"/>
        <v>0</v>
      </c>
    </row>
    <row r="6219" spans="20:20" ht="18.75" customHeight="1" x14ac:dyDescent="0.35">
      <c r="T6219" s="246">
        <f t="shared" si="135"/>
        <v>0</v>
      </c>
    </row>
    <row r="6220" spans="20:20" ht="18.75" customHeight="1" x14ac:dyDescent="0.35">
      <c r="T6220" s="246">
        <f t="shared" si="135"/>
        <v>0</v>
      </c>
    </row>
    <row r="6221" spans="20:20" ht="18.75" customHeight="1" x14ac:dyDescent="0.35">
      <c r="T6221" s="246">
        <f t="shared" si="135"/>
        <v>0</v>
      </c>
    </row>
    <row r="6222" spans="20:20" ht="18.75" customHeight="1" x14ac:dyDescent="0.35">
      <c r="T6222" s="246">
        <f t="shared" si="135"/>
        <v>0</v>
      </c>
    </row>
    <row r="6223" spans="20:20" ht="18.75" customHeight="1" x14ac:dyDescent="0.35">
      <c r="T6223" s="246">
        <f t="shared" si="135"/>
        <v>0</v>
      </c>
    </row>
    <row r="6224" spans="20:20" ht="18.75" customHeight="1" x14ac:dyDescent="0.35">
      <c r="T6224" s="246">
        <f t="shared" si="135"/>
        <v>0</v>
      </c>
    </row>
    <row r="6225" spans="20:20" ht="18.75" customHeight="1" x14ac:dyDescent="0.35">
      <c r="T6225" s="246">
        <f t="shared" si="135"/>
        <v>0</v>
      </c>
    </row>
    <row r="6226" spans="20:20" ht="18.75" customHeight="1" x14ac:dyDescent="0.35">
      <c r="T6226" s="246">
        <f t="shared" si="135"/>
        <v>0</v>
      </c>
    </row>
    <row r="6227" spans="20:20" ht="18.75" customHeight="1" x14ac:dyDescent="0.35">
      <c r="T6227" s="246">
        <f t="shared" si="135"/>
        <v>0</v>
      </c>
    </row>
    <row r="6228" spans="20:20" ht="18.75" customHeight="1" x14ac:dyDescent="0.35">
      <c r="T6228" s="246">
        <f t="shared" si="135"/>
        <v>0</v>
      </c>
    </row>
    <row r="6229" spans="20:20" ht="18.75" customHeight="1" x14ac:dyDescent="0.35">
      <c r="T6229" s="246">
        <f t="shared" si="135"/>
        <v>0</v>
      </c>
    </row>
    <row r="6230" spans="20:20" ht="18.75" customHeight="1" x14ac:dyDescent="0.35">
      <c r="T6230" s="246">
        <f t="shared" si="135"/>
        <v>0</v>
      </c>
    </row>
    <row r="6231" spans="20:20" ht="18.75" customHeight="1" x14ac:dyDescent="0.35">
      <c r="T6231" s="246">
        <f t="shared" si="135"/>
        <v>0</v>
      </c>
    </row>
    <row r="6232" spans="20:20" ht="18.75" customHeight="1" x14ac:dyDescent="0.35">
      <c r="T6232" s="246">
        <f t="shared" si="135"/>
        <v>0</v>
      </c>
    </row>
    <row r="6233" spans="20:20" ht="18.75" customHeight="1" x14ac:dyDescent="0.35">
      <c r="T6233" s="246">
        <f t="shared" si="135"/>
        <v>0</v>
      </c>
    </row>
    <row r="6234" spans="20:20" ht="18.75" customHeight="1" x14ac:dyDescent="0.35">
      <c r="T6234" s="246">
        <f t="shared" si="135"/>
        <v>0</v>
      </c>
    </row>
    <row r="6235" spans="20:20" ht="18.75" customHeight="1" x14ac:dyDescent="0.35">
      <c r="T6235" s="246">
        <f t="shared" si="135"/>
        <v>0</v>
      </c>
    </row>
    <row r="6236" spans="20:20" ht="18.75" customHeight="1" x14ac:dyDescent="0.35">
      <c r="T6236" s="246">
        <f t="shared" si="135"/>
        <v>0</v>
      </c>
    </row>
    <row r="6237" spans="20:20" ht="18.75" customHeight="1" x14ac:dyDescent="0.35">
      <c r="T6237" s="246">
        <f t="shared" si="135"/>
        <v>0</v>
      </c>
    </row>
    <row r="6238" spans="20:20" ht="18.75" customHeight="1" x14ac:dyDescent="0.35">
      <c r="T6238" s="246">
        <f t="shared" si="135"/>
        <v>0</v>
      </c>
    </row>
    <row r="6239" spans="20:20" ht="18.75" customHeight="1" x14ac:dyDescent="0.35">
      <c r="T6239" s="246">
        <f t="shared" si="135"/>
        <v>0</v>
      </c>
    </row>
    <row r="6240" spans="20:20" ht="18.75" customHeight="1" x14ac:dyDescent="0.35">
      <c r="T6240" s="246">
        <f t="shared" si="135"/>
        <v>0</v>
      </c>
    </row>
    <row r="6241" spans="20:20" ht="18.75" customHeight="1" x14ac:dyDescent="0.35">
      <c r="T6241" s="246">
        <f t="shared" si="135"/>
        <v>0</v>
      </c>
    </row>
    <row r="6242" spans="20:20" ht="18.75" customHeight="1" x14ac:dyDescent="0.35">
      <c r="T6242" s="246">
        <f t="shared" si="135"/>
        <v>0</v>
      </c>
    </row>
    <row r="6243" spans="20:20" ht="18.75" customHeight="1" x14ac:dyDescent="0.35">
      <c r="T6243" s="246">
        <f t="shared" si="135"/>
        <v>0</v>
      </c>
    </row>
    <row r="6244" spans="20:20" ht="18.75" customHeight="1" x14ac:dyDescent="0.35">
      <c r="T6244" s="246">
        <f t="shared" si="135"/>
        <v>0</v>
      </c>
    </row>
    <row r="6245" spans="20:20" ht="18.75" customHeight="1" x14ac:dyDescent="0.35">
      <c r="T6245" s="246">
        <f t="shared" si="135"/>
        <v>0</v>
      </c>
    </row>
    <row r="6246" spans="20:20" ht="18.75" customHeight="1" x14ac:dyDescent="0.35">
      <c r="T6246" s="246">
        <f t="shared" si="135"/>
        <v>0</v>
      </c>
    </row>
    <row r="6247" spans="20:20" ht="18.75" customHeight="1" x14ac:dyDescent="0.35">
      <c r="T6247" s="246">
        <f t="shared" si="135"/>
        <v>0</v>
      </c>
    </row>
    <row r="6248" spans="20:20" ht="18.75" customHeight="1" x14ac:dyDescent="0.35">
      <c r="T6248" s="246">
        <f t="shared" si="135"/>
        <v>0</v>
      </c>
    </row>
    <row r="6249" spans="20:20" ht="18.75" customHeight="1" x14ac:dyDescent="0.35">
      <c r="T6249" s="246">
        <f t="shared" si="135"/>
        <v>0</v>
      </c>
    </row>
    <row r="6250" spans="20:20" ht="18.75" customHeight="1" x14ac:dyDescent="0.35">
      <c r="T6250" s="246">
        <f t="shared" si="135"/>
        <v>0</v>
      </c>
    </row>
    <row r="6251" spans="20:20" ht="18.75" customHeight="1" x14ac:dyDescent="0.35">
      <c r="T6251" s="246">
        <f t="shared" si="135"/>
        <v>0</v>
      </c>
    </row>
    <row r="6252" spans="20:20" ht="18.75" customHeight="1" x14ac:dyDescent="0.35">
      <c r="T6252" s="246">
        <f t="shared" si="135"/>
        <v>0</v>
      </c>
    </row>
    <row r="6253" spans="20:20" ht="18.75" customHeight="1" x14ac:dyDescent="0.35">
      <c r="T6253" s="246">
        <f t="shared" si="135"/>
        <v>0</v>
      </c>
    </row>
    <row r="6254" spans="20:20" ht="18.75" customHeight="1" x14ac:dyDescent="0.35">
      <c r="T6254" s="246">
        <f t="shared" si="135"/>
        <v>0</v>
      </c>
    </row>
    <row r="6255" spans="20:20" ht="18.75" customHeight="1" x14ac:dyDescent="0.35">
      <c r="T6255" s="246">
        <f t="shared" si="135"/>
        <v>0</v>
      </c>
    </row>
    <row r="6256" spans="20:20" ht="18.75" customHeight="1" x14ac:dyDescent="0.35">
      <c r="T6256" s="246">
        <f t="shared" si="135"/>
        <v>0</v>
      </c>
    </row>
    <row r="6257" spans="20:20" ht="18.75" customHeight="1" x14ac:dyDescent="0.35">
      <c r="T6257" s="246">
        <f t="shared" si="135"/>
        <v>0</v>
      </c>
    </row>
    <row r="6258" spans="20:20" ht="18.75" customHeight="1" x14ac:dyDescent="0.35">
      <c r="T6258" s="246">
        <f t="shared" si="135"/>
        <v>0</v>
      </c>
    </row>
    <row r="6259" spans="20:20" ht="18.75" customHeight="1" x14ac:dyDescent="0.35">
      <c r="T6259" s="246">
        <f t="shared" si="135"/>
        <v>0</v>
      </c>
    </row>
    <row r="6260" spans="20:20" ht="18.75" customHeight="1" x14ac:dyDescent="0.35">
      <c r="T6260" s="246">
        <f t="shared" si="135"/>
        <v>0</v>
      </c>
    </row>
    <row r="6261" spans="20:20" ht="18.75" customHeight="1" x14ac:dyDescent="0.35">
      <c r="T6261" s="246">
        <f t="shared" si="135"/>
        <v>0</v>
      </c>
    </row>
    <row r="6262" spans="20:20" ht="18.75" customHeight="1" x14ac:dyDescent="0.35">
      <c r="T6262" s="246">
        <f t="shared" si="135"/>
        <v>0</v>
      </c>
    </row>
    <row r="6263" spans="20:20" ht="18.75" customHeight="1" x14ac:dyDescent="0.35">
      <c r="T6263" s="246">
        <f t="shared" si="135"/>
        <v>0</v>
      </c>
    </row>
    <row r="6264" spans="20:20" ht="18.75" customHeight="1" x14ac:dyDescent="0.35">
      <c r="T6264" s="246">
        <f t="shared" si="135"/>
        <v>0</v>
      </c>
    </row>
    <row r="6265" spans="20:20" ht="18.75" customHeight="1" x14ac:dyDescent="0.35">
      <c r="T6265" s="246">
        <f t="shared" si="135"/>
        <v>0</v>
      </c>
    </row>
    <row r="6266" spans="20:20" ht="18.75" customHeight="1" x14ac:dyDescent="0.35">
      <c r="T6266" s="246">
        <f t="shared" si="135"/>
        <v>0</v>
      </c>
    </row>
    <row r="6267" spans="20:20" ht="18.75" customHeight="1" x14ac:dyDescent="0.35">
      <c r="T6267" s="246">
        <f t="shared" si="135"/>
        <v>0</v>
      </c>
    </row>
    <row r="6268" spans="20:20" ht="18.75" customHeight="1" x14ac:dyDescent="0.35">
      <c r="T6268" s="246">
        <f t="shared" ref="T6268:T6331" si="136">R6268*0.01</f>
        <v>0</v>
      </c>
    </row>
    <row r="6269" spans="20:20" ht="18.75" customHeight="1" x14ac:dyDescent="0.35">
      <c r="T6269" s="246">
        <f t="shared" si="136"/>
        <v>0</v>
      </c>
    </row>
    <row r="6270" spans="20:20" ht="18.75" customHeight="1" x14ac:dyDescent="0.35">
      <c r="T6270" s="246">
        <f t="shared" si="136"/>
        <v>0</v>
      </c>
    </row>
    <row r="6271" spans="20:20" ht="18.75" customHeight="1" x14ac:dyDescent="0.35">
      <c r="T6271" s="246">
        <f t="shared" si="136"/>
        <v>0</v>
      </c>
    </row>
    <row r="6272" spans="20:20" ht="18.75" customHeight="1" x14ac:dyDescent="0.35">
      <c r="T6272" s="246">
        <f t="shared" si="136"/>
        <v>0</v>
      </c>
    </row>
    <row r="6273" spans="20:20" ht="18.75" customHeight="1" x14ac:dyDescent="0.35">
      <c r="T6273" s="246">
        <f t="shared" si="136"/>
        <v>0</v>
      </c>
    </row>
    <row r="6274" spans="20:20" ht="18.75" customHeight="1" x14ac:dyDescent="0.35">
      <c r="T6274" s="246">
        <f t="shared" si="136"/>
        <v>0</v>
      </c>
    </row>
    <row r="6275" spans="20:20" ht="18.75" customHeight="1" x14ac:dyDescent="0.35">
      <c r="T6275" s="246">
        <f t="shared" si="136"/>
        <v>0</v>
      </c>
    </row>
    <row r="6276" spans="20:20" ht="18.75" customHeight="1" x14ac:dyDescent="0.35">
      <c r="T6276" s="246">
        <f t="shared" si="136"/>
        <v>0</v>
      </c>
    </row>
    <row r="6277" spans="20:20" ht="18.75" customHeight="1" x14ac:dyDescent="0.35">
      <c r="T6277" s="246">
        <f t="shared" si="136"/>
        <v>0</v>
      </c>
    </row>
    <row r="6278" spans="20:20" ht="18.75" customHeight="1" x14ac:dyDescent="0.35">
      <c r="T6278" s="246">
        <f t="shared" si="136"/>
        <v>0</v>
      </c>
    </row>
    <row r="6279" spans="20:20" ht="18.75" customHeight="1" x14ac:dyDescent="0.35">
      <c r="T6279" s="246">
        <f t="shared" si="136"/>
        <v>0</v>
      </c>
    </row>
    <row r="6280" spans="20:20" ht="18.75" customHeight="1" x14ac:dyDescent="0.35">
      <c r="T6280" s="246">
        <f t="shared" si="136"/>
        <v>0</v>
      </c>
    </row>
    <row r="6281" spans="20:20" ht="18.75" customHeight="1" x14ac:dyDescent="0.35">
      <c r="T6281" s="246">
        <f t="shared" si="136"/>
        <v>0</v>
      </c>
    </row>
    <row r="6282" spans="20:20" ht="18.75" customHeight="1" x14ac:dyDescent="0.35">
      <c r="T6282" s="246">
        <f t="shared" si="136"/>
        <v>0</v>
      </c>
    </row>
    <row r="6283" spans="20:20" ht="18.75" customHeight="1" x14ac:dyDescent="0.35">
      <c r="T6283" s="246">
        <f t="shared" si="136"/>
        <v>0</v>
      </c>
    </row>
    <row r="6284" spans="20:20" ht="18.75" customHeight="1" x14ac:dyDescent="0.35">
      <c r="T6284" s="246">
        <f t="shared" si="136"/>
        <v>0</v>
      </c>
    </row>
    <row r="6285" spans="20:20" ht="18.75" customHeight="1" x14ac:dyDescent="0.35">
      <c r="T6285" s="246">
        <f t="shared" si="136"/>
        <v>0</v>
      </c>
    </row>
    <row r="6286" spans="20:20" ht="18.75" customHeight="1" x14ac:dyDescent="0.35">
      <c r="T6286" s="246">
        <f t="shared" si="136"/>
        <v>0</v>
      </c>
    </row>
    <row r="6287" spans="20:20" ht="18.75" customHeight="1" x14ac:dyDescent="0.35">
      <c r="T6287" s="246">
        <f t="shared" si="136"/>
        <v>0</v>
      </c>
    </row>
    <row r="6288" spans="20:20" ht="18.75" customHeight="1" x14ac:dyDescent="0.35">
      <c r="T6288" s="246">
        <f t="shared" si="136"/>
        <v>0</v>
      </c>
    </row>
    <row r="6289" spans="20:20" ht="18.75" customHeight="1" x14ac:dyDescent="0.35">
      <c r="T6289" s="246">
        <f t="shared" si="136"/>
        <v>0</v>
      </c>
    </row>
    <row r="6290" spans="20:20" ht="18.75" customHeight="1" x14ac:dyDescent="0.35">
      <c r="T6290" s="246">
        <f t="shared" si="136"/>
        <v>0</v>
      </c>
    </row>
    <row r="6291" spans="20:20" ht="18.75" customHeight="1" x14ac:dyDescent="0.35">
      <c r="T6291" s="246">
        <f t="shared" si="136"/>
        <v>0</v>
      </c>
    </row>
    <row r="6292" spans="20:20" ht="18.75" customHeight="1" x14ac:dyDescent="0.35">
      <c r="T6292" s="246">
        <f t="shared" si="136"/>
        <v>0</v>
      </c>
    </row>
    <row r="6293" spans="20:20" ht="18.75" customHeight="1" x14ac:dyDescent="0.35">
      <c r="T6293" s="246">
        <f t="shared" si="136"/>
        <v>0</v>
      </c>
    </row>
    <row r="6294" spans="20:20" ht="18.75" customHeight="1" x14ac:dyDescent="0.35">
      <c r="T6294" s="246">
        <f t="shared" si="136"/>
        <v>0</v>
      </c>
    </row>
    <row r="6295" spans="20:20" ht="18.75" customHeight="1" x14ac:dyDescent="0.35">
      <c r="T6295" s="246">
        <f t="shared" si="136"/>
        <v>0</v>
      </c>
    </row>
    <row r="6296" spans="20:20" ht="18.75" customHeight="1" x14ac:dyDescent="0.35">
      <c r="T6296" s="246">
        <f t="shared" si="136"/>
        <v>0</v>
      </c>
    </row>
    <row r="6297" spans="20:20" ht="18.75" customHeight="1" x14ac:dyDescent="0.35">
      <c r="T6297" s="246">
        <f t="shared" si="136"/>
        <v>0</v>
      </c>
    </row>
    <row r="6298" spans="20:20" ht="18.75" customHeight="1" x14ac:dyDescent="0.35">
      <c r="T6298" s="246">
        <f t="shared" si="136"/>
        <v>0</v>
      </c>
    </row>
    <row r="6299" spans="20:20" ht="18.75" customHeight="1" x14ac:dyDescent="0.35">
      <c r="T6299" s="246">
        <f t="shared" si="136"/>
        <v>0</v>
      </c>
    </row>
    <row r="6300" spans="20:20" ht="18.75" customHeight="1" x14ac:dyDescent="0.35">
      <c r="T6300" s="246">
        <f t="shared" si="136"/>
        <v>0</v>
      </c>
    </row>
    <row r="6301" spans="20:20" ht="18.75" customHeight="1" x14ac:dyDescent="0.35">
      <c r="T6301" s="246">
        <f t="shared" si="136"/>
        <v>0</v>
      </c>
    </row>
    <row r="6302" spans="20:20" ht="18.75" customHeight="1" x14ac:dyDescent="0.35">
      <c r="T6302" s="246">
        <f t="shared" si="136"/>
        <v>0</v>
      </c>
    </row>
    <row r="6303" spans="20:20" ht="18.75" customHeight="1" x14ac:dyDescent="0.35">
      <c r="T6303" s="246">
        <f t="shared" si="136"/>
        <v>0</v>
      </c>
    </row>
    <row r="6304" spans="20:20" ht="18.75" customHeight="1" x14ac:dyDescent="0.35">
      <c r="T6304" s="246">
        <f t="shared" si="136"/>
        <v>0</v>
      </c>
    </row>
    <row r="6305" spans="20:20" ht="18.75" customHeight="1" x14ac:dyDescent="0.35">
      <c r="T6305" s="246">
        <f t="shared" si="136"/>
        <v>0</v>
      </c>
    </row>
    <row r="6306" spans="20:20" ht="18.75" customHeight="1" x14ac:dyDescent="0.35">
      <c r="T6306" s="246">
        <f t="shared" si="136"/>
        <v>0</v>
      </c>
    </row>
    <row r="6307" spans="20:20" ht="18.75" customHeight="1" x14ac:dyDescent="0.35">
      <c r="T6307" s="246">
        <f t="shared" si="136"/>
        <v>0</v>
      </c>
    </row>
    <row r="6308" spans="20:20" ht="18.75" customHeight="1" x14ac:dyDescent="0.35">
      <c r="T6308" s="246">
        <f t="shared" si="136"/>
        <v>0</v>
      </c>
    </row>
    <row r="6309" spans="20:20" ht="18.75" customHeight="1" x14ac:dyDescent="0.35">
      <c r="T6309" s="246">
        <f t="shared" si="136"/>
        <v>0</v>
      </c>
    </row>
    <row r="6310" spans="20:20" ht="18.75" customHeight="1" x14ac:dyDescent="0.35">
      <c r="T6310" s="246">
        <f t="shared" si="136"/>
        <v>0</v>
      </c>
    </row>
    <row r="6311" spans="20:20" ht="18.75" customHeight="1" x14ac:dyDescent="0.35">
      <c r="T6311" s="246">
        <f t="shared" si="136"/>
        <v>0</v>
      </c>
    </row>
    <row r="6312" spans="20:20" ht="18.75" customHeight="1" x14ac:dyDescent="0.35">
      <c r="T6312" s="246">
        <f t="shared" si="136"/>
        <v>0</v>
      </c>
    </row>
    <row r="6313" spans="20:20" ht="18.75" customHeight="1" x14ac:dyDescent="0.35">
      <c r="T6313" s="246">
        <f t="shared" si="136"/>
        <v>0</v>
      </c>
    </row>
    <row r="6314" spans="20:20" ht="18.75" customHeight="1" x14ac:dyDescent="0.35">
      <c r="T6314" s="246">
        <f t="shared" si="136"/>
        <v>0</v>
      </c>
    </row>
    <row r="6315" spans="20:20" ht="18.75" customHeight="1" x14ac:dyDescent="0.35">
      <c r="T6315" s="246">
        <f t="shared" si="136"/>
        <v>0</v>
      </c>
    </row>
    <row r="6316" spans="20:20" ht="18.75" customHeight="1" x14ac:dyDescent="0.35">
      <c r="T6316" s="246">
        <f t="shared" si="136"/>
        <v>0</v>
      </c>
    </row>
    <row r="6317" spans="20:20" ht="18.75" customHeight="1" x14ac:dyDescent="0.35">
      <c r="T6317" s="246">
        <f t="shared" si="136"/>
        <v>0</v>
      </c>
    </row>
    <row r="6318" spans="20:20" ht="18.75" customHeight="1" x14ac:dyDescent="0.35">
      <c r="T6318" s="246">
        <f t="shared" si="136"/>
        <v>0</v>
      </c>
    </row>
    <row r="6319" spans="20:20" ht="18.75" customHeight="1" x14ac:dyDescent="0.35">
      <c r="T6319" s="246">
        <f t="shared" si="136"/>
        <v>0</v>
      </c>
    </row>
    <row r="6320" spans="20:20" ht="18.75" customHeight="1" x14ac:dyDescent="0.35">
      <c r="T6320" s="246">
        <f t="shared" si="136"/>
        <v>0</v>
      </c>
    </row>
    <row r="6321" spans="20:20" ht="18.75" customHeight="1" x14ac:dyDescent="0.35">
      <c r="T6321" s="246">
        <f t="shared" si="136"/>
        <v>0</v>
      </c>
    </row>
    <row r="6322" spans="20:20" ht="18.75" customHeight="1" x14ac:dyDescent="0.35">
      <c r="T6322" s="246">
        <f t="shared" si="136"/>
        <v>0</v>
      </c>
    </row>
    <row r="6323" spans="20:20" ht="18.75" customHeight="1" x14ac:dyDescent="0.35">
      <c r="T6323" s="246">
        <f t="shared" si="136"/>
        <v>0</v>
      </c>
    </row>
    <row r="6324" spans="20:20" ht="18.75" customHeight="1" x14ac:dyDescent="0.35">
      <c r="T6324" s="246">
        <f t="shared" si="136"/>
        <v>0</v>
      </c>
    </row>
    <row r="6325" spans="20:20" ht="18.75" customHeight="1" x14ac:dyDescent="0.35">
      <c r="T6325" s="246">
        <f t="shared" si="136"/>
        <v>0</v>
      </c>
    </row>
    <row r="6326" spans="20:20" ht="18.75" customHeight="1" x14ac:dyDescent="0.35">
      <c r="T6326" s="246">
        <f t="shared" si="136"/>
        <v>0</v>
      </c>
    </row>
    <row r="6327" spans="20:20" ht="18.75" customHeight="1" x14ac:dyDescent="0.35">
      <c r="T6327" s="246">
        <f t="shared" si="136"/>
        <v>0</v>
      </c>
    </row>
    <row r="6328" spans="20:20" ht="18.75" customHeight="1" x14ac:dyDescent="0.35">
      <c r="T6328" s="246">
        <f t="shared" si="136"/>
        <v>0</v>
      </c>
    </row>
    <row r="6329" spans="20:20" ht="18.75" customHeight="1" x14ac:dyDescent="0.35">
      <c r="T6329" s="246">
        <f t="shared" si="136"/>
        <v>0</v>
      </c>
    </row>
    <row r="6330" spans="20:20" ht="18.75" customHeight="1" x14ac:dyDescent="0.35">
      <c r="T6330" s="246">
        <f t="shared" si="136"/>
        <v>0</v>
      </c>
    </row>
    <row r="6331" spans="20:20" ht="18.75" customHeight="1" x14ac:dyDescent="0.35">
      <c r="T6331" s="246">
        <f t="shared" si="136"/>
        <v>0</v>
      </c>
    </row>
    <row r="6332" spans="20:20" ht="18.75" customHeight="1" x14ac:dyDescent="0.35">
      <c r="T6332" s="246">
        <f t="shared" ref="T6332:T6395" si="137">R6332*0.01</f>
        <v>0</v>
      </c>
    </row>
    <row r="6333" spans="20:20" ht="18.75" customHeight="1" x14ac:dyDescent="0.35">
      <c r="T6333" s="246">
        <f t="shared" si="137"/>
        <v>0</v>
      </c>
    </row>
    <row r="6334" spans="20:20" ht="18.75" customHeight="1" x14ac:dyDescent="0.35">
      <c r="T6334" s="246">
        <f t="shared" si="137"/>
        <v>0</v>
      </c>
    </row>
    <row r="6335" spans="20:20" ht="18.75" customHeight="1" x14ac:dyDescent="0.35">
      <c r="T6335" s="246">
        <f t="shared" si="137"/>
        <v>0</v>
      </c>
    </row>
    <row r="6336" spans="20:20" ht="18.75" customHeight="1" x14ac:dyDescent="0.35">
      <c r="T6336" s="246">
        <f t="shared" si="137"/>
        <v>0</v>
      </c>
    </row>
    <row r="6337" spans="20:20" ht="18.75" customHeight="1" x14ac:dyDescent="0.35">
      <c r="T6337" s="246">
        <f t="shared" si="137"/>
        <v>0</v>
      </c>
    </row>
    <row r="6338" spans="20:20" ht="18.75" customHeight="1" x14ac:dyDescent="0.35">
      <c r="T6338" s="246">
        <f t="shared" si="137"/>
        <v>0</v>
      </c>
    </row>
    <row r="6339" spans="20:20" ht="18.75" customHeight="1" x14ac:dyDescent="0.35">
      <c r="T6339" s="246">
        <f t="shared" si="137"/>
        <v>0</v>
      </c>
    </row>
    <row r="6340" spans="20:20" ht="18.75" customHeight="1" x14ac:dyDescent="0.35">
      <c r="T6340" s="246">
        <f t="shared" si="137"/>
        <v>0</v>
      </c>
    </row>
    <row r="6341" spans="20:20" ht="18.75" customHeight="1" x14ac:dyDescent="0.35">
      <c r="T6341" s="246">
        <f t="shared" si="137"/>
        <v>0</v>
      </c>
    </row>
    <row r="6342" spans="20:20" ht="18.75" customHeight="1" x14ac:dyDescent="0.35">
      <c r="T6342" s="246">
        <f t="shared" si="137"/>
        <v>0</v>
      </c>
    </row>
    <row r="6343" spans="20:20" ht="18.75" customHeight="1" x14ac:dyDescent="0.35">
      <c r="T6343" s="246">
        <f t="shared" si="137"/>
        <v>0</v>
      </c>
    </row>
    <row r="6344" spans="20:20" ht="18.75" customHeight="1" x14ac:dyDescent="0.35">
      <c r="T6344" s="246">
        <f t="shared" si="137"/>
        <v>0</v>
      </c>
    </row>
    <row r="6345" spans="20:20" ht="18.75" customHeight="1" x14ac:dyDescent="0.35">
      <c r="T6345" s="246">
        <f t="shared" si="137"/>
        <v>0</v>
      </c>
    </row>
    <row r="6346" spans="20:20" ht="18.75" customHeight="1" x14ac:dyDescent="0.35">
      <c r="T6346" s="246">
        <f t="shared" si="137"/>
        <v>0</v>
      </c>
    </row>
    <row r="6347" spans="20:20" ht="18.75" customHeight="1" x14ac:dyDescent="0.35">
      <c r="T6347" s="246">
        <f t="shared" si="137"/>
        <v>0</v>
      </c>
    </row>
    <row r="6348" spans="20:20" ht="18.75" customHeight="1" x14ac:dyDescent="0.35">
      <c r="T6348" s="246">
        <f t="shared" si="137"/>
        <v>0</v>
      </c>
    </row>
    <row r="6349" spans="20:20" ht="18.75" customHeight="1" x14ac:dyDescent="0.35">
      <c r="T6349" s="246">
        <f t="shared" si="137"/>
        <v>0</v>
      </c>
    </row>
    <row r="6350" spans="20:20" ht="18.75" customHeight="1" x14ac:dyDescent="0.35">
      <c r="T6350" s="246">
        <f t="shared" si="137"/>
        <v>0</v>
      </c>
    </row>
    <row r="6351" spans="20:20" ht="18.75" customHeight="1" x14ac:dyDescent="0.35">
      <c r="T6351" s="246">
        <f t="shared" si="137"/>
        <v>0</v>
      </c>
    </row>
    <row r="6352" spans="20:20" ht="18.75" customHeight="1" x14ac:dyDescent="0.35">
      <c r="T6352" s="246">
        <f t="shared" si="137"/>
        <v>0</v>
      </c>
    </row>
    <row r="6353" spans="20:20" ht="18.75" customHeight="1" x14ac:dyDescent="0.35">
      <c r="T6353" s="246">
        <f t="shared" si="137"/>
        <v>0</v>
      </c>
    </row>
    <row r="6354" spans="20:20" ht="18.75" customHeight="1" x14ac:dyDescent="0.35">
      <c r="T6354" s="246">
        <f t="shared" si="137"/>
        <v>0</v>
      </c>
    </row>
    <row r="6355" spans="20:20" ht="18.75" customHeight="1" x14ac:dyDescent="0.35">
      <c r="T6355" s="246">
        <f t="shared" si="137"/>
        <v>0</v>
      </c>
    </row>
    <row r="6356" spans="20:20" ht="18.75" customHeight="1" x14ac:dyDescent="0.35">
      <c r="T6356" s="246">
        <f t="shared" si="137"/>
        <v>0</v>
      </c>
    </row>
    <row r="6357" spans="20:20" ht="18.75" customHeight="1" x14ac:dyDescent="0.35">
      <c r="T6357" s="246">
        <f t="shared" si="137"/>
        <v>0</v>
      </c>
    </row>
    <row r="6358" spans="20:20" ht="18.75" customHeight="1" x14ac:dyDescent="0.35">
      <c r="T6358" s="246">
        <f t="shared" si="137"/>
        <v>0</v>
      </c>
    </row>
    <row r="6359" spans="20:20" ht="18.75" customHeight="1" x14ac:dyDescent="0.35">
      <c r="T6359" s="246">
        <f t="shared" si="137"/>
        <v>0</v>
      </c>
    </row>
    <row r="6360" spans="20:20" ht="18.75" customHeight="1" x14ac:dyDescent="0.35">
      <c r="T6360" s="246">
        <f t="shared" si="137"/>
        <v>0</v>
      </c>
    </row>
    <row r="6361" spans="20:20" ht="18.75" customHeight="1" x14ac:dyDescent="0.35">
      <c r="T6361" s="246">
        <f t="shared" si="137"/>
        <v>0</v>
      </c>
    </row>
    <row r="6362" spans="20:20" ht="18.75" customHeight="1" x14ac:dyDescent="0.35">
      <c r="T6362" s="246">
        <f t="shared" si="137"/>
        <v>0</v>
      </c>
    </row>
    <row r="6363" spans="20:20" ht="18.75" customHeight="1" x14ac:dyDescent="0.35">
      <c r="T6363" s="246">
        <f t="shared" si="137"/>
        <v>0</v>
      </c>
    </row>
    <row r="6364" spans="20:20" ht="18.75" customHeight="1" x14ac:dyDescent="0.35">
      <c r="T6364" s="246">
        <f t="shared" si="137"/>
        <v>0</v>
      </c>
    </row>
    <row r="6365" spans="20:20" ht="18.75" customHeight="1" x14ac:dyDescent="0.35">
      <c r="T6365" s="246">
        <f t="shared" si="137"/>
        <v>0</v>
      </c>
    </row>
    <row r="6366" spans="20:20" ht="18.75" customHeight="1" x14ac:dyDescent="0.35">
      <c r="T6366" s="246">
        <f t="shared" si="137"/>
        <v>0</v>
      </c>
    </row>
    <row r="6367" spans="20:20" ht="18.75" customHeight="1" x14ac:dyDescent="0.35">
      <c r="T6367" s="246">
        <f t="shared" si="137"/>
        <v>0</v>
      </c>
    </row>
    <row r="6368" spans="20:20" ht="18.75" customHeight="1" x14ac:dyDescent="0.35">
      <c r="T6368" s="246">
        <f t="shared" si="137"/>
        <v>0</v>
      </c>
    </row>
    <row r="6369" spans="20:20" ht="18.75" customHeight="1" x14ac:dyDescent="0.35">
      <c r="T6369" s="246">
        <f t="shared" si="137"/>
        <v>0</v>
      </c>
    </row>
    <row r="6370" spans="20:20" ht="18.75" customHeight="1" x14ac:dyDescent="0.35">
      <c r="T6370" s="246">
        <f t="shared" si="137"/>
        <v>0</v>
      </c>
    </row>
    <row r="6371" spans="20:20" ht="18.75" customHeight="1" x14ac:dyDescent="0.35">
      <c r="T6371" s="246">
        <f t="shared" si="137"/>
        <v>0</v>
      </c>
    </row>
    <row r="6372" spans="20:20" ht="18.75" customHeight="1" x14ac:dyDescent="0.35">
      <c r="T6372" s="246">
        <f t="shared" si="137"/>
        <v>0</v>
      </c>
    </row>
    <row r="6373" spans="20:20" ht="18.75" customHeight="1" x14ac:dyDescent="0.35">
      <c r="T6373" s="246">
        <f t="shared" si="137"/>
        <v>0</v>
      </c>
    </row>
    <row r="6374" spans="20:20" ht="18.75" customHeight="1" x14ac:dyDescent="0.35">
      <c r="T6374" s="246">
        <f t="shared" si="137"/>
        <v>0</v>
      </c>
    </row>
    <row r="6375" spans="20:20" ht="18.75" customHeight="1" x14ac:dyDescent="0.35">
      <c r="T6375" s="246">
        <f t="shared" si="137"/>
        <v>0</v>
      </c>
    </row>
    <row r="6376" spans="20:20" ht="18.75" customHeight="1" x14ac:dyDescent="0.35">
      <c r="T6376" s="246">
        <f t="shared" si="137"/>
        <v>0</v>
      </c>
    </row>
    <row r="6377" spans="20:20" ht="18.75" customHeight="1" x14ac:dyDescent="0.35">
      <c r="T6377" s="246">
        <f t="shared" si="137"/>
        <v>0</v>
      </c>
    </row>
    <row r="6378" spans="20:20" ht="18.75" customHeight="1" x14ac:dyDescent="0.35">
      <c r="T6378" s="246">
        <f t="shared" si="137"/>
        <v>0</v>
      </c>
    </row>
    <row r="6379" spans="20:20" ht="18.75" customHeight="1" x14ac:dyDescent="0.35">
      <c r="T6379" s="246">
        <f t="shared" si="137"/>
        <v>0</v>
      </c>
    </row>
    <row r="6380" spans="20:20" ht="18.75" customHeight="1" x14ac:dyDescent="0.35">
      <c r="T6380" s="246">
        <f t="shared" si="137"/>
        <v>0</v>
      </c>
    </row>
    <row r="6381" spans="20:20" ht="18.75" customHeight="1" x14ac:dyDescent="0.35">
      <c r="T6381" s="246">
        <f t="shared" si="137"/>
        <v>0</v>
      </c>
    </row>
    <row r="6382" spans="20:20" ht="18.75" customHeight="1" x14ac:dyDescent="0.35">
      <c r="T6382" s="246">
        <f t="shared" si="137"/>
        <v>0</v>
      </c>
    </row>
    <row r="6383" spans="20:20" ht="18.75" customHeight="1" x14ac:dyDescent="0.35">
      <c r="T6383" s="246">
        <f t="shared" si="137"/>
        <v>0</v>
      </c>
    </row>
    <row r="6384" spans="20:20" ht="18.75" customHeight="1" x14ac:dyDescent="0.35">
      <c r="T6384" s="246">
        <f t="shared" si="137"/>
        <v>0</v>
      </c>
    </row>
    <row r="6385" spans="20:20" ht="18.75" customHeight="1" x14ac:dyDescent="0.35">
      <c r="T6385" s="246">
        <f t="shared" si="137"/>
        <v>0</v>
      </c>
    </row>
    <row r="6386" spans="20:20" ht="18.75" customHeight="1" x14ac:dyDescent="0.35">
      <c r="T6386" s="246">
        <f t="shared" si="137"/>
        <v>0</v>
      </c>
    </row>
    <row r="6387" spans="20:20" ht="18.75" customHeight="1" x14ac:dyDescent="0.35">
      <c r="T6387" s="246">
        <f t="shared" si="137"/>
        <v>0</v>
      </c>
    </row>
    <row r="6388" spans="20:20" ht="18.75" customHeight="1" x14ac:dyDescent="0.35">
      <c r="T6388" s="246">
        <f t="shared" si="137"/>
        <v>0</v>
      </c>
    </row>
    <row r="6389" spans="20:20" ht="18.75" customHeight="1" x14ac:dyDescent="0.35">
      <c r="T6389" s="246">
        <f t="shared" si="137"/>
        <v>0</v>
      </c>
    </row>
    <row r="6390" spans="20:20" ht="18.75" customHeight="1" x14ac:dyDescent="0.35">
      <c r="T6390" s="246">
        <f t="shared" si="137"/>
        <v>0</v>
      </c>
    </row>
    <row r="6391" spans="20:20" ht="18.75" customHeight="1" x14ac:dyDescent="0.35">
      <c r="T6391" s="246">
        <f t="shared" si="137"/>
        <v>0</v>
      </c>
    </row>
    <row r="6392" spans="20:20" ht="18.75" customHeight="1" x14ac:dyDescent="0.35">
      <c r="T6392" s="246">
        <f t="shared" si="137"/>
        <v>0</v>
      </c>
    </row>
    <row r="6393" spans="20:20" ht="18.75" customHeight="1" x14ac:dyDescent="0.35">
      <c r="T6393" s="246">
        <f t="shared" si="137"/>
        <v>0</v>
      </c>
    </row>
    <row r="6394" spans="20:20" ht="18.75" customHeight="1" x14ac:dyDescent="0.35">
      <c r="T6394" s="246">
        <f t="shared" si="137"/>
        <v>0</v>
      </c>
    </row>
    <row r="6395" spans="20:20" ht="18.75" customHeight="1" x14ac:dyDescent="0.35">
      <c r="T6395" s="246">
        <f t="shared" si="137"/>
        <v>0</v>
      </c>
    </row>
    <row r="6396" spans="20:20" ht="18.75" customHeight="1" x14ac:dyDescent="0.35">
      <c r="T6396" s="246">
        <f t="shared" ref="T6396:T6459" si="138">R6396*0.01</f>
        <v>0</v>
      </c>
    </row>
    <row r="6397" spans="20:20" ht="18.75" customHeight="1" x14ac:dyDescent="0.35">
      <c r="T6397" s="246">
        <f t="shared" si="138"/>
        <v>0</v>
      </c>
    </row>
    <row r="6398" spans="20:20" ht="18.75" customHeight="1" x14ac:dyDescent="0.35">
      <c r="T6398" s="246">
        <f t="shared" si="138"/>
        <v>0</v>
      </c>
    </row>
    <row r="6399" spans="20:20" ht="18.75" customHeight="1" x14ac:dyDescent="0.35">
      <c r="T6399" s="246">
        <f t="shared" si="138"/>
        <v>0</v>
      </c>
    </row>
    <row r="6400" spans="20:20" ht="18.75" customHeight="1" x14ac:dyDescent="0.35">
      <c r="T6400" s="246">
        <f t="shared" si="138"/>
        <v>0</v>
      </c>
    </row>
    <row r="6401" spans="20:20" ht="18.75" customHeight="1" x14ac:dyDescent="0.35">
      <c r="T6401" s="246">
        <f t="shared" si="138"/>
        <v>0</v>
      </c>
    </row>
    <row r="6402" spans="20:20" ht="18.75" customHeight="1" x14ac:dyDescent="0.35">
      <c r="T6402" s="246">
        <f t="shared" si="138"/>
        <v>0</v>
      </c>
    </row>
    <row r="6403" spans="20:20" ht="18.75" customHeight="1" x14ac:dyDescent="0.35">
      <c r="T6403" s="246">
        <f t="shared" si="138"/>
        <v>0</v>
      </c>
    </row>
    <row r="6404" spans="20:20" ht="18.75" customHeight="1" x14ac:dyDescent="0.35">
      <c r="T6404" s="246">
        <f t="shared" si="138"/>
        <v>0</v>
      </c>
    </row>
    <row r="6405" spans="20:20" ht="18.75" customHeight="1" x14ac:dyDescent="0.35">
      <c r="T6405" s="246">
        <f t="shared" si="138"/>
        <v>0</v>
      </c>
    </row>
    <row r="6406" spans="20:20" ht="18.75" customHeight="1" x14ac:dyDescent="0.35">
      <c r="T6406" s="246">
        <f t="shared" si="138"/>
        <v>0</v>
      </c>
    </row>
    <row r="6407" spans="20:20" ht="18.75" customHeight="1" x14ac:dyDescent="0.35">
      <c r="T6407" s="246">
        <f t="shared" si="138"/>
        <v>0</v>
      </c>
    </row>
    <row r="6408" spans="20:20" ht="18.75" customHeight="1" x14ac:dyDescent="0.35">
      <c r="T6408" s="246">
        <f t="shared" si="138"/>
        <v>0</v>
      </c>
    </row>
    <row r="6409" spans="20:20" ht="18.75" customHeight="1" x14ac:dyDescent="0.35">
      <c r="T6409" s="246">
        <f t="shared" si="138"/>
        <v>0</v>
      </c>
    </row>
    <row r="6410" spans="20:20" ht="18.75" customHeight="1" x14ac:dyDescent="0.35">
      <c r="T6410" s="246">
        <f t="shared" si="138"/>
        <v>0</v>
      </c>
    </row>
    <row r="6411" spans="20:20" ht="18.75" customHeight="1" x14ac:dyDescent="0.35">
      <c r="T6411" s="246">
        <f t="shared" si="138"/>
        <v>0</v>
      </c>
    </row>
    <row r="6412" spans="20:20" ht="18.75" customHeight="1" x14ac:dyDescent="0.35">
      <c r="T6412" s="246">
        <f t="shared" si="138"/>
        <v>0</v>
      </c>
    </row>
    <row r="6413" spans="20:20" ht="18.75" customHeight="1" x14ac:dyDescent="0.35">
      <c r="T6413" s="246">
        <f t="shared" si="138"/>
        <v>0</v>
      </c>
    </row>
    <row r="6414" spans="20:20" ht="18.75" customHeight="1" x14ac:dyDescent="0.35">
      <c r="T6414" s="246">
        <f t="shared" si="138"/>
        <v>0</v>
      </c>
    </row>
    <row r="6415" spans="20:20" ht="18.75" customHeight="1" x14ac:dyDescent="0.35">
      <c r="T6415" s="246">
        <f t="shared" si="138"/>
        <v>0</v>
      </c>
    </row>
    <row r="6416" spans="20:20" ht="18.75" customHeight="1" x14ac:dyDescent="0.35">
      <c r="T6416" s="246">
        <f t="shared" si="138"/>
        <v>0</v>
      </c>
    </row>
    <row r="6417" spans="20:20" ht="18.75" customHeight="1" x14ac:dyDescent="0.35">
      <c r="T6417" s="246">
        <f t="shared" si="138"/>
        <v>0</v>
      </c>
    </row>
    <row r="6418" spans="20:20" ht="18.75" customHeight="1" x14ac:dyDescent="0.35">
      <c r="T6418" s="246">
        <f t="shared" si="138"/>
        <v>0</v>
      </c>
    </row>
    <row r="6419" spans="20:20" ht="18.75" customHeight="1" x14ac:dyDescent="0.35">
      <c r="T6419" s="246">
        <f t="shared" si="138"/>
        <v>0</v>
      </c>
    </row>
    <row r="6420" spans="20:20" ht="18.75" customHeight="1" x14ac:dyDescent="0.35">
      <c r="T6420" s="246">
        <f t="shared" si="138"/>
        <v>0</v>
      </c>
    </row>
    <row r="6421" spans="20:20" ht="18.75" customHeight="1" x14ac:dyDescent="0.35">
      <c r="T6421" s="246">
        <f t="shared" si="138"/>
        <v>0</v>
      </c>
    </row>
    <row r="6422" spans="20:20" ht="18.75" customHeight="1" x14ac:dyDescent="0.35">
      <c r="T6422" s="246">
        <f t="shared" si="138"/>
        <v>0</v>
      </c>
    </row>
    <row r="6423" spans="20:20" ht="18.75" customHeight="1" x14ac:dyDescent="0.35">
      <c r="T6423" s="246">
        <f t="shared" si="138"/>
        <v>0</v>
      </c>
    </row>
    <row r="6424" spans="20:20" ht="18.75" customHeight="1" x14ac:dyDescent="0.35">
      <c r="T6424" s="246">
        <f t="shared" si="138"/>
        <v>0</v>
      </c>
    </row>
    <row r="6425" spans="20:20" ht="18.75" customHeight="1" x14ac:dyDescent="0.35">
      <c r="T6425" s="246">
        <f t="shared" si="138"/>
        <v>0</v>
      </c>
    </row>
    <row r="6426" spans="20:20" ht="18.75" customHeight="1" x14ac:dyDescent="0.35">
      <c r="T6426" s="246">
        <f t="shared" si="138"/>
        <v>0</v>
      </c>
    </row>
    <row r="6427" spans="20:20" ht="18.75" customHeight="1" x14ac:dyDescent="0.35">
      <c r="T6427" s="246">
        <f t="shared" si="138"/>
        <v>0</v>
      </c>
    </row>
    <row r="6428" spans="20:20" ht="18.75" customHeight="1" x14ac:dyDescent="0.35">
      <c r="T6428" s="246">
        <f t="shared" si="138"/>
        <v>0</v>
      </c>
    </row>
    <row r="6429" spans="20:20" ht="18.75" customHeight="1" x14ac:dyDescent="0.35">
      <c r="T6429" s="246">
        <f t="shared" si="138"/>
        <v>0</v>
      </c>
    </row>
    <row r="6430" spans="20:20" ht="18.75" customHeight="1" x14ac:dyDescent="0.35">
      <c r="T6430" s="246">
        <f t="shared" si="138"/>
        <v>0</v>
      </c>
    </row>
    <row r="6431" spans="20:20" ht="18.75" customHeight="1" x14ac:dyDescent="0.35">
      <c r="T6431" s="246">
        <f t="shared" si="138"/>
        <v>0</v>
      </c>
    </row>
    <row r="6432" spans="20:20" ht="18.75" customHeight="1" x14ac:dyDescent="0.35">
      <c r="T6432" s="246">
        <f t="shared" si="138"/>
        <v>0</v>
      </c>
    </row>
    <row r="6433" spans="20:20" ht="18.75" customHeight="1" x14ac:dyDescent="0.35">
      <c r="T6433" s="246">
        <f t="shared" si="138"/>
        <v>0</v>
      </c>
    </row>
    <row r="6434" spans="20:20" ht="18.75" customHeight="1" x14ac:dyDescent="0.35">
      <c r="T6434" s="246">
        <f t="shared" si="138"/>
        <v>0</v>
      </c>
    </row>
    <row r="6435" spans="20:20" ht="18.75" customHeight="1" x14ac:dyDescent="0.35">
      <c r="T6435" s="246">
        <f t="shared" si="138"/>
        <v>0</v>
      </c>
    </row>
    <row r="6436" spans="20:20" ht="18.75" customHeight="1" x14ac:dyDescent="0.35">
      <c r="T6436" s="246">
        <f t="shared" si="138"/>
        <v>0</v>
      </c>
    </row>
    <row r="6437" spans="20:20" ht="18.75" customHeight="1" x14ac:dyDescent="0.35">
      <c r="T6437" s="246">
        <f t="shared" si="138"/>
        <v>0</v>
      </c>
    </row>
    <row r="6438" spans="20:20" ht="18.75" customHeight="1" x14ac:dyDescent="0.35">
      <c r="T6438" s="246">
        <f t="shared" si="138"/>
        <v>0</v>
      </c>
    </row>
    <row r="6439" spans="20:20" ht="18.75" customHeight="1" x14ac:dyDescent="0.35">
      <c r="T6439" s="246">
        <f t="shared" si="138"/>
        <v>0</v>
      </c>
    </row>
    <row r="6440" spans="20:20" ht="18.75" customHeight="1" x14ac:dyDescent="0.35">
      <c r="T6440" s="246">
        <f t="shared" si="138"/>
        <v>0</v>
      </c>
    </row>
    <row r="6441" spans="20:20" ht="18.75" customHeight="1" x14ac:dyDescent="0.35">
      <c r="T6441" s="246">
        <f t="shared" si="138"/>
        <v>0</v>
      </c>
    </row>
    <row r="6442" spans="20:20" ht="18.75" customHeight="1" x14ac:dyDescent="0.35">
      <c r="T6442" s="246">
        <f t="shared" si="138"/>
        <v>0</v>
      </c>
    </row>
    <row r="6443" spans="20:20" ht="18.75" customHeight="1" x14ac:dyDescent="0.35">
      <c r="T6443" s="246">
        <f t="shared" si="138"/>
        <v>0</v>
      </c>
    </row>
    <row r="6444" spans="20:20" ht="18.75" customHeight="1" x14ac:dyDescent="0.35">
      <c r="T6444" s="246">
        <f t="shared" si="138"/>
        <v>0</v>
      </c>
    </row>
    <row r="6445" spans="20:20" ht="18.75" customHeight="1" x14ac:dyDescent="0.35">
      <c r="T6445" s="246">
        <f t="shared" si="138"/>
        <v>0</v>
      </c>
    </row>
    <row r="6446" spans="20:20" ht="18.75" customHeight="1" x14ac:dyDescent="0.35">
      <c r="T6446" s="246">
        <f t="shared" si="138"/>
        <v>0</v>
      </c>
    </row>
    <row r="6447" spans="20:20" ht="18.75" customHeight="1" x14ac:dyDescent="0.35">
      <c r="T6447" s="246">
        <f t="shared" si="138"/>
        <v>0</v>
      </c>
    </row>
    <row r="6448" spans="20:20" ht="18.75" customHeight="1" x14ac:dyDescent="0.35">
      <c r="T6448" s="246">
        <f t="shared" si="138"/>
        <v>0</v>
      </c>
    </row>
    <row r="6449" spans="20:20" ht="18.75" customHeight="1" x14ac:dyDescent="0.35">
      <c r="T6449" s="246">
        <f t="shared" si="138"/>
        <v>0</v>
      </c>
    </row>
    <row r="6450" spans="20:20" ht="18.75" customHeight="1" x14ac:dyDescent="0.35">
      <c r="T6450" s="246">
        <f t="shared" si="138"/>
        <v>0</v>
      </c>
    </row>
    <row r="6451" spans="20:20" ht="18.75" customHeight="1" x14ac:dyDescent="0.35">
      <c r="T6451" s="246">
        <f t="shared" si="138"/>
        <v>0</v>
      </c>
    </row>
    <row r="6452" spans="20:20" ht="18.75" customHeight="1" x14ac:dyDescent="0.35">
      <c r="T6452" s="246">
        <f t="shared" si="138"/>
        <v>0</v>
      </c>
    </row>
    <row r="6453" spans="20:20" ht="18.75" customHeight="1" x14ac:dyDescent="0.35">
      <c r="T6453" s="246">
        <f t="shared" si="138"/>
        <v>0</v>
      </c>
    </row>
    <row r="6454" spans="20:20" ht="18.75" customHeight="1" x14ac:dyDescent="0.35">
      <c r="T6454" s="246">
        <f t="shared" si="138"/>
        <v>0</v>
      </c>
    </row>
    <row r="6455" spans="20:20" ht="18.75" customHeight="1" x14ac:dyDescent="0.35">
      <c r="T6455" s="246">
        <f t="shared" si="138"/>
        <v>0</v>
      </c>
    </row>
    <row r="6456" spans="20:20" ht="18.75" customHeight="1" x14ac:dyDescent="0.35">
      <c r="T6456" s="246">
        <f t="shared" si="138"/>
        <v>0</v>
      </c>
    </row>
    <row r="6457" spans="20:20" ht="18.75" customHeight="1" x14ac:dyDescent="0.35">
      <c r="T6457" s="246">
        <f t="shared" si="138"/>
        <v>0</v>
      </c>
    </row>
    <row r="6458" spans="20:20" ht="18.75" customHeight="1" x14ac:dyDescent="0.35">
      <c r="T6458" s="246">
        <f t="shared" si="138"/>
        <v>0</v>
      </c>
    </row>
    <row r="6459" spans="20:20" ht="18.75" customHeight="1" x14ac:dyDescent="0.35">
      <c r="T6459" s="246">
        <f t="shared" si="138"/>
        <v>0</v>
      </c>
    </row>
    <row r="6460" spans="20:20" ht="18.75" customHeight="1" x14ac:dyDescent="0.35">
      <c r="T6460" s="246">
        <f t="shared" ref="T6460:T6523" si="139">R6460*0.01</f>
        <v>0</v>
      </c>
    </row>
    <row r="6461" spans="20:20" ht="18.75" customHeight="1" x14ac:dyDescent="0.35">
      <c r="T6461" s="246">
        <f t="shared" si="139"/>
        <v>0</v>
      </c>
    </row>
    <row r="6462" spans="20:20" ht="18.75" customHeight="1" x14ac:dyDescent="0.35">
      <c r="T6462" s="246">
        <f t="shared" si="139"/>
        <v>0</v>
      </c>
    </row>
    <row r="6463" spans="20:20" ht="18.75" customHeight="1" x14ac:dyDescent="0.35">
      <c r="T6463" s="246">
        <f t="shared" si="139"/>
        <v>0</v>
      </c>
    </row>
    <row r="6464" spans="20:20" ht="18.75" customHeight="1" x14ac:dyDescent="0.35">
      <c r="T6464" s="246">
        <f t="shared" si="139"/>
        <v>0</v>
      </c>
    </row>
    <row r="6465" spans="20:20" ht="18.75" customHeight="1" x14ac:dyDescent="0.35">
      <c r="T6465" s="246">
        <f t="shared" si="139"/>
        <v>0</v>
      </c>
    </row>
    <row r="6466" spans="20:20" ht="18.75" customHeight="1" x14ac:dyDescent="0.35">
      <c r="T6466" s="246">
        <f t="shared" si="139"/>
        <v>0</v>
      </c>
    </row>
    <row r="6467" spans="20:20" ht="18.75" customHeight="1" x14ac:dyDescent="0.35">
      <c r="T6467" s="246">
        <f t="shared" si="139"/>
        <v>0</v>
      </c>
    </row>
    <row r="6468" spans="20:20" ht="18.75" customHeight="1" x14ac:dyDescent="0.35">
      <c r="T6468" s="246">
        <f t="shared" si="139"/>
        <v>0</v>
      </c>
    </row>
    <row r="6469" spans="20:20" ht="18.75" customHeight="1" x14ac:dyDescent="0.35">
      <c r="T6469" s="246">
        <f t="shared" si="139"/>
        <v>0</v>
      </c>
    </row>
    <row r="6470" spans="20:20" ht="18.75" customHeight="1" x14ac:dyDescent="0.35">
      <c r="T6470" s="246">
        <f t="shared" si="139"/>
        <v>0</v>
      </c>
    </row>
    <row r="6471" spans="20:20" ht="18.75" customHeight="1" x14ac:dyDescent="0.35">
      <c r="T6471" s="246">
        <f t="shared" si="139"/>
        <v>0</v>
      </c>
    </row>
    <row r="6472" spans="20:20" ht="18.75" customHeight="1" x14ac:dyDescent="0.35">
      <c r="T6472" s="246">
        <f t="shared" si="139"/>
        <v>0</v>
      </c>
    </row>
    <row r="6473" spans="20:20" ht="18.75" customHeight="1" x14ac:dyDescent="0.35">
      <c r="T6473" s="246">
        <f t="shared" si="139"/>
        <v>0</v>
      </c>
    </row>
    <row r="6474" spans="20:20" ht="18.75" customHeight="1" x14ac:dyDescent="0.35">
      <c r="T6474" s="246">
        <f t="shared" si="139"/>
        <v>0</v>
      </c>
    </row>
    <row r="6475" spans="20:20" ht="18.75" customHeight="1" x14ac:dyDescent="0.35">
      <c r="T6475" s="246">
        <f t="shared" si="139"/>
        <v>0</v>
      </c>
    </row>
    <row r="6476" spans="20:20" ht="18.75" customHeight="1" x14ac:dyDescent="0.35">
      <c r="T6476" s="246">
        <f t="shared" si="139"/>
        <v>0</v>
      </c>
    </row>
    <row r="6477" spans="20:20" ht="18.75" customHeight="1" x14ac:dyDescent="0.35">
      <c r="T6477" s="246">
        <f t="shared" si="139"/>
        <v>0</v>
      </c>
    </row>
    <row r="6478" spans="20:20" ht="18.75" customHeight="1" x14ac:dyDescent="0.35">
      <c r="T6478" s="246">
        <f t="shared" si="139"/>
        <v>0</v>
      </c>
    </row>
    <row r="6479" spans="20:20" ht="18.75" customHeight="1" x14ac:dyDescent="0.35">
      <c r="T6479" s="246">
        <f t="shared" si="139"/>
        <v>0</v>
      </c>
    </row>
    <row r="6480" spans="20:20" ht="18.75" customHeight="1" x14ac:dyDescent="0.35">
      <c r="T6480" s="246">
        <f t="shared" si="139"/>
        <v>0</v>
      </c>
    </row>
    <row r="6481" spans="20:20" ht="18.75" customHeight="1" x14ac:dyDescent="0.35">
      <c r="T6481" s="246">
        <f t="shared" si="139"/>
        <v>0</v>
      </c>
    </row>
    <row r="6482" spans="20:20" ht="18.75" customHeight="1" x14ac:dyDescent="0.35">
      <c r="T6482" s="246">
        <f t="shared" si="139"/>
        <v>0</v>
      </c>
    </row>
    <row r="6483" spans="20:20" ht="18.75" customHeight="1" x14ac:dyDescent="0.35">
      <c r="T6483" s="246">
        <f t="shared" si="139"/>
        <v>0</v>
      </c>
    </row>
    <row r="6484" spans="20:20" ht="18.75" customHeight="1" x14ac:dyDescent="0.35">
      <c r="T6484" s="246">
        <f t="shared" si="139"/>
        <v>0</v>
      </c>
    </row>
    <row r="6485" spans="20:20" ht="18.75" customHeight="1" x14ac:dyDescent="0.35">
      <c r="T6485" s="246">
        <f t="shared" si="139"/>
        <v>0</v>
      </c>
    </row>
    <row r="6486" spans="20:20" ht="18.75" customHeight="1" x14ac:dyDescent="0.35">
      <c r="T6486" s="246">
        <f t="shared" si="139"/>
        <v>0</v>
      </c>
    </row>
    <row r="6487" spans="20:20" ht="18.75" customHeight="1" x14ac:dyDescent="0.35">
      <c r="T6487" s="246">
        <f t="shared" si="139"/>
        <v>0</v>
      </c>
    </row>
    <row r="6488" spans="20:20" ht="18.75" customHeight="1" x14ac:dyDescent="0.35">
      <c r="T6488" s="246">
        <f t="shared" si="139"/>
        <v>0</v>
      </c>
    </row>
    <row r="6489" spans="20:20" ht="18.75" customHeight="1" x14ac:dyDescent="0.35">
      <c r="T6489" s="246">
        <f t="shared" si="139"/>
        <v>0</v>
      </c>
    </row>
    <row r="6490" spans="20:20" ht="18.75" customHeight="1" x14ac:dyDescent="0.35">
      <c r="T6490" s="246">
        <f t="shared" si="139"/>
        <v>0</v>
      </c>
    </row>
    <row r="6491" spans="20:20" ht="18.75" customHeight="1" x14ac:dyDescent="0.35">
      <c r="T6491" s="246">
        <f t="shared" si="139"/>
        <v>0</v>
      </c>
    </row>
    <row r="6492" spans="20:20" ht="18.75" customHeight="1" x14ac:dyDescent="0.35">
      <c r="T6492" s="246">
        <f t="shared" si="139"/>
        <v>0</v>
      </c>
    </row>
    <row r="6493" spans="20:20" ht="18.75" customHeight="1" x14ac:dyDescent="0.35">
      <c r="T6493" s="246">
        <f t="shared" si="139"/>
        <v>0</v>
      </c>
    </row>
    <row r="6494" spans="20:20" ht="18.75" customHeight="1" x14ac:dyDescent="0.35">
      <c r="T6494" s="246">
        <f t="shared" si="139"/>
        <v>0</v>
      </c>
    </row>
    <row r="6495" spans="20:20" ht="18.75" customHeight="1" x14ac:dyDescent="0.35">
      <c r="T6495" s="246">
        <f t="shared" si="139"/>
        <v>0</v>
      </c>
    </row>
    <row r="6496" spans="20:20" ht="18.75" customHeight="1" x14ac:dyDescent="0.35">
      <c r="T6496" s="246">
        <f t="shared" si="139"/>
        <v>0</v>
      </c>
    </row>
    <row r="6497" spans="20:20" ht="18.75" customHeight="1" x14ac:dyDescent="0.35">
      <c r="T6497" s="246">
        <f t="shared" si="139"/>
        <v>0</v>
      </c>
    </row>
    <row r="6498" spans="20:20" ht="18.75" customHeight="1" x14ac:dyDescent="0.35">
      <c r="T6498" s="246">
        <f t="shared" si="139"/>
        <v>0</v>
      </c>
    </row>
    <row r="6499" spans="20:20" ht="18.75" customHeight="1" x14ac:dyDescent="0.35">
      <c r="T6499" s="246">
        <f t="shared" si="139"/>
        <v>0</v>
      </c>
    </row>
    <row r="6500" spans="20:20" ht="18.75" customHeight="1" x14ac:dyDescent="0.35">
      <c r="T6500" s="246">
        <f t="shared" si="139"/>
        <v>0</v>
      </c>
    </row>
    <row r="6501" spans="20:20" ht="18.75" customHeight="1" x14ac:dyDescent="0.35">
      <c r="T6501" s="246">
        <f t="shared" si="139"/>
        <v>0</v>
      </c>
    </row>
    <row r="6502" spans="20:20" ht="18.75" customHeight="1" x14ac:dyDescent="0.35">
      <c r="T6502" s="246">
        <f t="shared" si="139"/>
        <v>0</v>
      </c>
    </row>
    <row r="6503" spans="20:20" ht="18.75" customHeight="1" x14ac:dyDescent="0.35">
      <c r="T6503" s="246">
        <f t="shared" si="139"/>
        <v>0</v>
      </c>
    </row>
    <row r="6504" spans="20:20" ht="18.75" customHeight="1" x14ac:dyDescent="0.35">
      <c r="T6504" s="246">
        <f t="shared" si="139"/>
        <v>0</v>
      </c>
    </row>
    <row r="6505" spans="20:20" ht="18.75" customHeight="1" x14ac:dyDescent="0.35">
      <c r="T6505" s="246">
        <f t="shared" si="139"/>
        <v>0</v>
      </c>
    </row>
    <row r="6506" spans="20:20" ht="18.75" customHeight="1" x14ac:dyDescent="0.35">
      <c r="T6506" s="246">
        <f t="shared" si="139"/>
        <v>0</v>
      </c>
    </row>
    <row r="6507" spans="20:20" ht="18.75" customHeight="1" x14ac:dyDescent="0.35">
      <c r="T6507" s="246">
        <f t="shared" si="139"/>
        <v>0</v>
      </c>
    </row>
    <row r="6508" spans="20:20" ht="18.75" customHeight="1" x14ac:dyDescent="0.35">
      <c r="T6508" s="246">
        <f t="shared" si="139"/>
        <v>0</v>
      </c>
    </row>
    <row r="6509" spans="20:20" ht="18.75" customHeight="1" x14ac:dyDescent="0.35">
      <c r="T6509" s="246">
        <f t="shared" si="139"/>
        <v>0</v>
      </c>
    </row>
    <row r="6510" spans="20:20" ht="18.75" customHeight="1" x14ac:dyDescent="0.35">
      <c r="T6510" s="246">
        <f t="shared" si="139"/>
        <v>0</v>
      </c>
    </row>
    <row r="6511" spans="20:20" ht="18.75" customHeight="1" x14ac:dyDescent="0.35">
      <c r="T6511" s="246">
        <f t="shared" si="139"/>
        <v>0</v>
      </c>
    </row>
    <row r="6512" spans="20:20" ht="18.75" customHeight="1" x14ac:dyDescent="0.35">
      <c r="T6512" s="246">
        <f t="shared" si="139"/>
        <v>0</v>
      </c>
    </row>
    <row r="6513" spans="20:20" ht="18.75" customHeight="1" x14ac:dyDescent="0.35">
      <c r="T6513" s="246">
        <f t="shared" si="139"/>
        <v>0</v>
      </c>
    </row>
    <row r="6514" spans="20:20" ht="18.75" customHeight="1" x14ac:dyDescent="0.35">
      <c r="T6514" s="246">
        <f t="shared" si="139"/>
        <v>0</v>
      </c>
    </row>
    <row r="6515" spans="20:20" ht="18.75" customHeight="1" x14ac:dyDescent="0.35">
      <c r="T6515" s="246">
        <f t="shared" si="139"/>
        <v>0</v>
      </c>
    </row>
    <row r="6516" spans="20:20" ht="18.75" customHeight="1" x14ac:dyDescent="0.35">
      <c r="T6516" s="246">
        <f t="shared" si="139"/>
        <v>0</v>
      </c>
    </row>
    <row r="6517" spans="20:20" ht="18.75" customHeight="1" x14ac:dyDescent="0.35">
      <c r="T6517" s="246">
        <f t="shared" si="139"/>
        <v>0</v>
      </c>
    </row>
    <row r="6518" spans="20:20" ht="18.75" customHeight="1" x14ac:dyDescent="0.35">
      <c r="T6518" s="246">
        <f t="shared" si="139"/>
        <v>0</v>
      </c>
    </row>
    <row r="6519" spans="20:20" ht="18.75" customHeight="1" x14ac:dyDescent="0.35">
      <c r="T6519" s="246">
        <f t="shared" si="139"/>
        <v>0</v>
      </c>
    </row>
    <row r="6520" spans="20:20" ht="18.75" customHeight="1" x14ac:dyDescent="0.35">
      <c r="T6520" s="246">
        <f t="shared" si="139"/>
        <v>0</v>
      </c>
    </row>
    <row r="6521" spans="20:20" ht="18.75" customHeight="1" x14ac:dyDescent="0.35">
      <c r="T6521" s="246">
        <f t="shared" si="139"/>
        <v>0</v>
      </c>
    </row>
    <row r="6522" spans="20:20" ht="18.75" customHeight="1" x14ac:dyDescent="0.35">
      <c r="T6522" s="246">
        <f t="shared" si="139"/>
        <v>0</v>
      </c>
    </row>
    <row r="6523" spans="20:20" ht="18.75" customHeight="1" x14ac:dyDescent="0.35">
      <c r="T6523" s="246">
        <f t="shared" si="139"/>
        <v>0</v>
      </c>
    </row>
    <row r="6524" spans="20:20" ht="18.75" customHeight="1" x14ac:dyDescent="0.35">
      <c r="T6524" s="246">
        <f t="shared" ref="T6524:T6587" si="140">R6524*0.01</f>
        <v>0</v>
      </c>
    </row>
    <row r="6525" spans="20:20" ht="18.75" customHeight="1" x14ac:dyDescent="0.35">
      <c r="T6525" s="246">
        <f t="shared" si="140"/>
        <v>0</v>
      </c>
    </row>
    <row r="6526" spans="20:20" ht="18.75" customHeight="1" x14ac:dyDescent="0.35">
      <c r="T6526" s="246">
        <f t="shared" si="140"/>
        <v>0</v>
      </c>
    </row>
    <row r="6527" spans="20:20" ht="18.75" customHeight="1" x14ac:dyDescent="0.35">
      <c r="T6527" s="246">
        <f t="shared" si="140"/>
        <v>0</v>
      </c>
    </row>
    <row r="6528" spans="20:20" ht="18.75" customHeight="1" x14ac:dyDescent="0.35">
      <c r="T6528" s="246">
        <f t="shared" si="140"/>
        <v>0</v>
      </c>
    </row>
    <row r="6529" spans="20:20" ht="18.75" customHeight="1" x14ac:dyDescent="0.35">
      <c r="T6529" s="246">
        <f t="shared" si="140"/>
        <v>0</v>
      </c>
    </row>
    <row r="6530" spans="20:20" ht="18.75" customHeight="1" x14ac:dyDescent="0.35">
      <c r="T6530" s="246">
        <f t="shared" si="140"/>
        <v>0</v>
      </c>
    </row>
    <row r="6531" spans="20:20" ht="18.75" customHeight="1" x14ac:dyDescent="0.35">
      <c r="T6531" s="246">
        <f t="shared" si="140"/>
        <v>0</v>
      </c>
    </row>
    <row r="6532" spans="20:20" ht="18.75" customHeight="1" x14ac:dyDescent="0.35">
      <c r="T6532" s="246">
        <f t="shared" si="140"/>
        <v>0</v>
      </c>
    </row>
    <row r="6533" spans="20:20" ht="18.75" customHeight="1" x14ac:dyDescent="0.35">
      <c r="T6533" s="246">
        <f t="shared" si="140"/>
        <v>0</v>
      </c>
    </row>
    <row r="6534" spans="20:20" ht="18.75" customHeight="1" x14ac:dyDescent="0.35">
      <c r="T6534" s="246">
        <f t="shared" si="140"/>
        <v>0</v>
      </c>
    </row>
    <row r="6535" spans="20:20" ht="18.75" customHeight="1" x14ac:dyDescent="0.35">
      <c r="T6535" s="246">
        <f t="shared" si="140"/>
        <v>0</v>
      </c>
    </row>
    <row r="6536" spans="20:20" ht="18.75" customHeight="1" x14ac:dyDescent="0.35">
      <c r="T6536" s="246">
        <f t="shared" si="140"/>
        <v>0</v>
      </c>
    </row>
    <row r="6537" spans="20:20" ht="18.75" customHeight="1" x14ac:dyDescent="0.35">
      <c r="T6537" s="246">
        <f t="shared" si="140"/>
        <v>0</v>
      </c>
    </row>
    <row r="6538" spans="20:20" ht="18.75" customHeight="1" x14ac:dyDescent="0.35">
      <c r="T6538" s="246">
        <f t="shared" si="140"/>
        <v>0</v>
      </c>
    </row>
    <row r="6539" spans="20:20" ht="18.75" customHeight="1" x14ac:dyDescent="0.35">
      <c r="T6539" s="246">
        <f t="shared" si="140"/>
        <v>0</v>
      </c>
    </row>
    <row r="6540" spans="20:20" ht="18.75" customHeight="1" x14ac:dyDescent="0.35">
      <c r="T6540" s="246">
        <f t="shared" si="140"/>
        <v>0</v>
      </c>
    </row>
    <row r="6541" spans="20:20" ht="18.75" customHeight="1" x14ac:dyDescent="0.35">
      <c r="T6541" s="246">
        <f t="shared" si="140"/>
        <v>0</v>
      </c>
    </row>
    <row r="6542" spans="20:20" ht="18.75" customHeight="1" x14ac:dyDescent="0.35">
      <c r="T6542" s="246">
        <f t="shared" si="140"/>
        <v>0</v>
      </c>
    </row>
    <row r="6543" spans="20:20" ht="18.75" customHeight="1" x14ac:dyDescent="0.35">
      <c r="T6543" s="246">
        <f t="shared" si="140"/>
        <v>0</v>
      </c>
    </row>
    <row r="6544" spans="20:20" ht="18.75" customHeight="1" x14ac:dyDescent="0.35">
      <c r="T6544" s="246">
        <f t="shared" si="140"/>
        <v>0</v>
      </c>
    </row>
    <row r="6545" spans="20:20" ht="18.75" customHeight="1" x14ac:dyDescent="0.35">
      <c r="T6545" s="246">
        <f t="shared" si="140"/>
        <v>0</v>
      </c>
    </row>
    <row r="6546" spans="20:20" ht="18.75" customHeight="1" x14ac:dyDescent="0.35">
      <c r="T6546" s="246">
        <f t="shared" si="140"/>
        <v>0</v>
      </c>
    </row>
    <row r="6547" spans="20:20" ht="18.75" customHeight="1" x14ac:dyDescent="0.35">
      <c r="T6547" s="246">
        <f t="shared" si="140"/>
        <v>0</v>
      </c>
    </row>
    <row r="6548" spans="20:20" ht="18.75" customHeight="1" x14ac:dyDescent="0.35">
      <c r="T6548" s="246">
        <f t="shared" si="140"/>
        <v>0</v>
      </c>
    </row>
    <row r="6549" spans="20:20" ht="18.75" customHeight="1" x14ac:dyDescent="0.35">
      <c r="T6549" s="246">
        <f t="shared" si="140"/>
        <v>0</v>
      </c>
    </row>
    <row r="6550" spans="20:20" ht="18.75" customHeight="1" x14ac:dyDescent="0.35">
      <c r="T6550" s="246">
        <f t="shared" si="140"/>
        <v>0</v>
      </c>
    </row>
    <row r="6551" spans="20:20" ht="18.75" customHeight="1" x14ac:dyDescent="0.35">
      <c r="T6551" s="246">
        <f t="shared" si="140"/>
        <v>0</v>
      </c>
    </row>
    <row r="6552" spans="20:20" ht="18.75" customHeight="1" x14ac:dyDescent="0.35">
      <c r="T6552" s="246">
        <f t="shared" si="140"/>
        <v>0</v>
      </c>
    </row>
    <row r="6553" spans="20:20" ht="18.75" customHeight="1" x14ac:dyDescent="0.35">
      <c r="T6553" s="246">
        <f t="shared" si="140"/>
        <v>0</v>
      </c>
    </row>
    <row r="6554" spans="20:20" ht="18.75" customHeight="1" x14ac:dyDescent="0.35">
      <c r="T6554" s="246">
        <f t="shared" si="140"/>
        <v>0</v>
      </c>
    </row>
    <row r="6555" spans="20:20" ht="18.75" customHeight="1" x14ac:dyDescent="0.35">
      <c r="T6555" s="246">
        <f t="shared" si="140"/>
        <v>0</v>
      </c>
    </row>
    <row r="6556" spans="20:20" ht="18.75" customHeight="1" x14ac:dyDescent="0.35">
      <c r="T6556" s="246">
        <f t="shared" si="140"/>
        <v>0</v>
      </c>
    </row>
    <row r="6557" spans="20:20" ht="18.75" customHeight="1" x14ac:dyDescent="0.35">
      <c r="T6557" s="246">
        <f t="shared" si="140"/>
        <v>0</v>
      </c>
    </row>
    <row r="6558" spans="20:20" ht="18.75" customHeight="1" x14ac:dyDescent="0.35">
      <c r="T6558" s="246">
        <f t="shared" si="140"/>
        <v>0</v>
      </c>
    </row>
    <row r="6559" spans="20:20" ht="18.75" customHeight="1" x14ac:dyDescent="0.35">
      <c r="T6559" s="246">
        <f t="shared" si="140"/>
        <v>0</v>
      </c>
    </row>
    <row r="6560" spans="20:20" ht="18.75" customHeight="1" x14ac:dyDescent="0.35">
      <c r="T6560" s="246">
        <f t="shared" si="140"/>
        <v>0</v>
      </c>
    </row>
    <row r="6561" spans="20:20" ht="18.75" customHeight="1" x14ac:dyDescent="0.35">
      <c r="T6561" s="246">
        <f t="shared" si="140"/>
        <v>0</v>
      </c>
    </row>
    <row r="6562" spans="20:20" ht="18.75" customHeight="1" x14ac:dyDescent="0.35">
      <c r="T6562" s="246">
        <f t="shared" si="140"/>
        <v>0</v>
      </c>
    </row>
    <row r="6563" spans="20:20" ht="18.75" customHeight="1" x14ac:dyDescent="0.35">
      <c r="T6563" s="246">
        <f t="shared" si="140"/>
        <v>0</v>
      </c>
    </row>
    <row r="6564" spans="20:20" ht="18.75" customHeight="1" x14ac:dyDescent="0.35">
      <c r="T6564" s="246">
        <f t="shared" si="140"/>
        <v>0</v>
      </c>
    </row>
    <row r="6565" spans="20:20" ht="18.75" customHeight="1" x14ac:dyDescent="0.35">
      <c r="T6565" s="246">
        <f t="shared" si="140"/>
        <v>0</v>
      </c>
    </row>
    <row r="6566" spans="20:20" ht="18.75" customHeight="1" x14ac:dyDescent="0.35">
      <c r="T6566" s="246">
        <f t="shared" si="140"/>
        <v>0</v>
      </c>
    </row>
    <row r="6567" spans="20:20" ht="18.75" customHeight="1" x14ac:dyDescent="0.35">
      <c r="T6567" s="246">
        <f t="shared" si="140"/>
        <v>0</v>
      </c>
    </row>
    <row r="6568" spans="20:20" ht="18.75" customHeight="1" x14ac:dyDescent="0.35">
      <c r="T6568" s="246">
        <f t="shared" si="140"/>
        <v>0</v>
      </c>
    </row>
    <row r="6569" spans="20:20" ht="18.75" customHeight="1" x14ac:dyDescent="0.35">
      <c r="T6569" s="246">
        <f t="shared" si="140"/>
        <v>0</v>
      </c>
    </row>
    <row r="6570" spans="20:20" ht="18.75" customHeight="1" x14ac:dyDescent="0.35">
      <c r="T6570" s="246">
        <f t="shared" si="140"/>
        <v>0</v>
      </c>
    </row>
    <row r="6571" spans="20:20" ht="18.75" customHeight="1" x14ac:dyDescent="0.35">
      <c r="T6571" s="246">
        <f t="shared" si="140"/>
        <v>0</v>
      </c>
    </row>
    <row r="6572" spans="20:20" ht="18.75" customHeight="1" x14ac:dyDescent="0.35">
      <c r="T6572" s="246">
        <f t="shared" si="140"/>
        <v>0</v>
      </c>
    </row>
    <row r="6573" spans="20:20" ht="18.75" customHeight="1" x14ac:dyDescent="0.35">
      <c r="T6573" s="246">
        <f t="shared" si="140"/>
        <v>0</v>
      </c>
    </row>
    <row r="6574" spans="20:20" ht="18.75" customHeight="1" x14ac:dyDescent="0.35">
      <c r="T6574" s="246">
        <f t="shared" si="140"/>
        <v>0</v>
      </c>
    </row>
    <row r="6575" spans="20:20" ht="18.75" customHeight="1" x14ac:dyDescent="0.35">
      <c r="T6575" s="246">
        <f t="shared" si="140"/>
        <v>0</v>
      </c>
    </row>
    <row r="6576" spans="20:20" ht="18.75" customHeight="1" x14ac:dyDescent="0.35">
      <c r="T6576" s="246">
        <f t="shared" si="140"/>
        <v>0</v>
      </c>
    </row>
    <row r="6577" spans="20:20" ht="18.75" customHeight="1" x14ac:dyDescent="0.35">
      <c r="T6577" s="246">
        <f t="shared" si="140"/>
        <v>0</v>
      </c>
    </row>
    <row r="6578" spans="20:20" ht="18.75" customHeight="1" x14ac:dyDescent="0.35">
      <c r="T6578" s="246">
        <f t="shared" si="140"/>
        <v>0</v>
      </c>
    </row>
    <row r="6579" spans="20:20" ht="18.75" customHeight="1" x14ac:dyDescent="0.35">
      <c r="T6579" s="246">
        <f t="shared" si="140"/>
        <v>0</v>
      </c>
    </row>
    <row r="6580" spans="20:20" ht="18.75" customHeight="1" x14ac:dyDescent="0.35">
      <c r="T6580" s="246">
        <f t="shared" si="140"/>
        <v>0</v>
      </c>
    </row>
    <row r="6581" spans="20:20" ht="18.75" customHeight="1" x14ac:dyDescent="0.35">
      <c r="T6581" s="246">
        <f t="shared" si="140"/>
        <v>0</v>
      </c>
    </row>
    <row r="6582" spans="20:20" ht="18.75" customHeight="1" x14ac:dyDescent="0.35">
      <c r="T6582" s="246">
        <f t="shared" si="140"/>
        <v>0</v>
      </c>
    </row>
    <row r="6583" spans="20:20" ht="18.75" customHeight="1" x14ac:dyDescent="0.35">
      <c r="T6583" s="246">
        <f t="shared" si="140"/>
        <v>0</v>
      </c>
    </row>
    <row r="6584" spans="20:20" ht="18.75" customHeight="1" x14ac:dyDescent="0.35">
      <c r="T6584" s="246">
        <f t="shared" si="140"/>
        <v>0</v>
      </c>
    </row>
    <row r="6585" spans="20:20" ht="18.75" customHeight="1" x14ac:dyDescent="0.35">
      <c r="T6585" s="246">
        <f t="shared" si="140"/>
        <v>0</v>
      </c>
    </row>
    <row r="6586" spans="20:20" ht="18.75" customHeight="1" x14ac:dyDescent="0.35">
      <c r="T6586" s="246">
        <f t="shared" si="140"/>
        <v>0</v>
      </c>
    </row>
    <row r="6587" spans="20:20" ht="18.75" customHeight="1" x14ac:dyDescent="0.35">
      <c r="T6587" s="246">
        <f t="shared" si="140"/>
        <v>0</v>
      </c>
    </row>
    <row r="6588" spans="20:20" ht="18.75" customHeight="1" x14ac:dyDescent="0.35">
      <c r="T6588" s="246">
        <f t="shared" ref="T6588:T6651" si="141">R6588*0.01</f>
        <v>0</v>
      </c>
    </row>
    <row r="6589" spans="20:20" ht="18.75" customHeight="1" x14ac:dyDescent="0.35">
      <c r="T6589" s="246">
        <f t="shared" si="141"/>
        <v>0</v>
      </c>
    </row>
    <row r="6590" spans="20:20" ht="18.75" customHeight="1" x14ac:dyDescent="0.35">
      <c r="T6590" s="246">
        <f t="shared" si="141"/>
        <v>0</v>
      </c>
    </row>
    <row r="6591" spans="20:20" ht="18.75" customHeight="1" x14ac:dyDescent="0.35">
      <c r="T6591" s="246">
        <f t="shared" si="141"/>
        <v>0</v>
      </c>
    </row>
    <row r="6592" spans="20:20" ht="18.75" customHeight="1" x14ac:dyDescent="0.35">
      <c r="T6592" s="246">
        <f t="shared" si="141"/>
        <v>0</v>
      </c>
    </row>
    <row r="6593" spans="20:20" ht="18.75" customHeight="1" x14ac:dyDescent="0.35">
      <c r="T6593" s="246">
        <f t="shared" si="141"/>
        <v>0</v>
      </c>
    </row>
    <row r="6594" spans="20:20" ht="18.75" customHeight="1" x14ac:dyDescent="0.35">
      <c r="T6594" s="246">
        <f t="shared" si="141"/>
        <v>0</v>
      </c>
    </row>
    <row r="6595" spans="20:20" ht="18.75" customHeight="1" x14ac:dyDescent="0.35">
      <c r="T6595" s="246">
        <f t="shared" si="141"/>
        <v>0</v>
      </c>
    </row>
    <row r="6596" spans="20:20" ht="18.75" customHeight="1" x14ac:dyDescent="0.35">
      <c r="T6596" s="246">
        <f t="shared" si="141"/>
        <v>0</v>
      </c>
    </row>
    <row r="6597" spans="20:20" ht="18.75" customHeight="1" x14ac:dyDescent="0.35">
      <c r="T6597" s="246">
        <f t="shared" si="141"/>
        <v>0</v>
      </c>
    </row>
    <row r="6598" spans="20:20" ht="18.75" customHeight="1" x14ac:dyDescent="0.35">
      <c r="T6598" s="246">
        <f t="shared" si="141"/>
        <v>0</v>
      </c>
    </row>
    <row r="6599" spans="20:20" ht="18.75" customHeight="1" x14ac:dyDescent="0.35">
      <c r="T6599" s="246">
        <f t="shared" si="141"/>
        <v>0</v>
      </c>
    </row>
    <row r="6600" spans="20:20" ht="18.75" customHeight="1" x14ac:dyDescent="0.35">
      <c r="T6600" s="246">
        <f t="shared" si="141"/>
        <v>0</v>
      </c>
    </row>
    <row r="6601" spans="20:20" ht="18.75" customHeight="1" x14ac:dyDescent="0.35">
      <c r="T6601" s="246">
        <f t="shared" si="141"/>
        <v>0</v>
      </c>
    </row>
    <row r="6602" spans="20:20" ht="18.75" customHeight="1" x14ac:dyDescent="0.35">
      <c r="T6602" s="246">
        <f t="shared" si="141"/>
        <v>0</v>
      </c>
    </row>
    <row r="6603" spans="20:20" ht="18.75" customHeight="1" x14ac:dyDescent="0.35">
      <c r="T6603" s="246">
        <f t="shared" si="141"/>
        <v>0</v>
      </c>
    </row>
    <row r="6604" spans="20:20" ht="18.75" customHeight="1" x14ac:dyDescent="0.35">
      <c r="T6604" s="246">
        <f t="shared" si="141"/>
        <v>0</v>
      </c>
    </row>
    <row r="6605" spans="20:20" ht="18.75" customHeight="1" x14ac:dyDescent="0.35">
      <c r="T6605" s="246">
        <f t="shared" si="141"/>
        <v>0</v>
      </c>
    </row>
    <row r="6606" spans="20:20" ht="18.75" customHeight="1" x14ac:dyDescent="0.35">
      <c r="T6606" s="246">
        <f t="shared" si="141"/>
        <v>0</v>
      </c>
    </row>
    <row r="6607" spans="20:20" ht="18.75" customHeight="1" x14ac:dyDescent="0.35">
      <c r="T6607" s="246">
        <f t="shared" si="141"/>
        <v>0</v>
      </c>
    </row>
    <row r="6608" spans="20:20" ht="18.75" customHeight="1" x14ac:dyDescent="0.35">
      <c r="T6608" s="246">
        <f t="shared" si="141"/>
        <v>0</v>
      </c>
    </row>
    <row r="6609" spans="20:20" ht="18.75" customHeight="1" x14ac:dyDescent="0.35">
      <c r="T6609" s="246">
        <f t="shared" si="141"/>
        <v>0</v>
      </c>
    </row>
    <row r="6610" spans="20:20" ht="18.75" customHeight="1" x14ac:dyDescent="0.35">
      <c r="T6610" s="246">
        <f t="shared" si="141"/>
        <v>0</v>
      </c>
    </row>
    <row r="6611" spans="20:20" ht="18.75" customHeight="1" x14ac:dyDescent="0.35">
      <c r="T6611" s="246">
        <f t="shared" si="141"/>
        <v>0</v>
      </c>
    </row>
    <row r="6612" spans="20:20" ht="18.75" customHeight="1" x14ac:dyDescent="0.35">
      <c r="T6612" s="246">
        <f t="shared" si="141"/>
        <v>0</v>
      </c>
    </row>
    <row r="6613" spans="20:20" ht="18.75" customHeight="1" x14ac:dyDescent="0.35">
      <c r="T6613" s="246">
        <f t="shared" si="141"/>
        <v>0</v>
      </c>
    </row>
    <row r="6614" spans="20:20" ht="18.75" customHeight="1" x14ac:dyDescent="0.35">
      <c r="T6614" s="246">
        <f t="shared" si="141"/>
        <v>0</v>
      </c>
    </row>
    <row r="6615" spans="20:20" ht="18.75" customHeight="1" x14ac:dyDescent="0.35">
      <c r="T6615" s="246">
        <f t="shared" si="141"/>
        <v>0</v>
      </c>
    </row>
    <row r="6616" spans="20:20" ht="18.75" customHeight="1" x14ac:dyDescent="0.35">
      <c r="T6616" s="246">
        <f t="shared" si="141"/>
        <v>0</v>
      </c>
    </row>
    <row r="6617" spans="20:20" ht="18.75" customHeight="1" x14ac:dyDescent="0.35">
      <c r="T6617" s="246">
        <f t="shared" si="141"/>
        <v>0</v>
      </c>
    </row>
    <row r="6618" spans="20:20" ht="18.75" customHeight="1" x14ac:dyDescent="0.35">
      <c r="T6618" s="246">
        <f t="shared" si="141"/>
        <v>0</v>
      </c>
    </row>
    <row r="6619" spans="20:20" ht="18.75" customHeight="1" x14ac:dyDescent="0.35">
      <c r="T6619" s="246">
        <f t="shared" si="141"/>
        <v>0</v>
      </c>
    </row>
    <row r="6620" spans="20:20" ht="18.75" customHeight="1" x14ac:dyDescent="0.35">
      <c r="T6620" s="246">
        <f t="shared" si="141"/>
        <v>0</v>
      </c>
    </row>
    <row r="6621" spans="20:20" ht="18.75" customHeight="1" x14ac:dyDescent="0.35">
      <c r="T6621" s="246">
        <f t="shared" si="141"/>
        <v>0</v>
      </c>
    </row>
    <row r="6622" spans="20:20" ht="18.75" customHeight="1" x14ac:dyDescent="0.35">
      <c r="T6622" s="246">
        <f t="shared" si="141"/>
        <v>0</v>
      </c>
    </row>
    <row r="6623" spans="20:20" ht="18.75" customHeight="1" x14ac:dyDescent="0.35">
      <c r="T6623" s="246">
        <f t="shared" si="141"/>
        <v>0</v>
      </c>
    </row>
    <row r="6624" spans="20:20" ht="18.75" customHeight="1" x14ac:dyDescent="0.35">
      <c r="T6624" s="246">
        <f t="shared" si="141"/>
        <v>0</v>
      </c>
    </row>
    <row r="6625" spans="20:20" ht="18.75" customHeight="1" x14ac:dyDescent="0.35">
      <c r="T6625" s="246">
        <f t="shared" si="141"/>
        <v>0</v>
      </c>
    </row>
    <row r="6626" spans="20:20" ht="18.75" customHeight="1" x14ac:dyDescent="0.35">
      <c r="T6626" s="246">
        <f t="shared" si="141"/>
        <v>0</v>
      </c>
    </row>
    <row r="6627" spans="20:20" ht="18.75" customHeight="1" x14ac:dyDescent="0.35">
      <c r="T6627" s="246">
        <f t="shared" si="141"/>
        <v>0</v>
      </c>
    </row>
    <row r="6628" spans="20:20" ht="18.75" customHeight="1" x14ac:dyDescent="0.35">
      <c r="T6628" s="246">
        <f t="shared" si="141"/>
        <v>0</v>
      </c>
    </row>
    <row r="6629" spans="20:20" ht="18.75" customHeight="1" x14ac:dyDescent="0.35">
      <c r="T6629" s="246">
        <f t="shared" si="141"/>
        <v>0</v>
      </c>
    </row>
    <row r="6630" spans="20:20" ht="18.75" customHeight="1" x14ac:dyDescent="0.35">
      <c r="T6630" s="246">
        <f t="shared" si="141"/>
        <v>0</v>
      </c>
    </row>
    <row r="6631" spans="20:20" ht="18.75" customHeight="1" x14ac:dyDescent="0.35">
      <c r="T6631" s="246">
        <f t="shared" si="141"/>
        <v>0</v>
      </c>
    </row>
    <row r="6632" spans="20:20" ht="18.75" customHeight="1" x14ac:dyDescent="0.35">
      <c r="T6632" s="246">
        <f t="shared" si="141"/>
        <v>0</v>
      </c>
    </row>
    <row r="6633" spans="20:20" ht="18.75" customHeight="1" x14ac:dyDescent="0.35">
      <c r="T6633" s="246">
        <f t="shared" si="141"/>
        <v>0</v>
      </c>
    </row>
    <row r="6634" spans="20:20" ht="18.75" customHeight="1" x14ac:dyDescent="0.35">
      <c r="T6634" s="246">
        <f t="shared" si="141"/>
        <v>0</v>
      </c>
    </row>
    <row r="6635" spans="20:20" ht="18.75" customHeight="1" x14ac:dyDescent="0.35">
      <c r="T6635" s="246">
        <f t="shared" si="141"/>
        <v>0</v>
      </c>
    </row>
    <row r="6636" spans="20:20" ht="18.75" customHeight="1" x14ac:dyDescent="0.35">
      <c r="T6636" s="246">
        <f t="shared" si="141"/>
        <v>0</v>
      </c>
    </row>
    <row r="6637" spans="20:20" ht="18.75" customHeight="1" x14ac:dyDescent="0.35">
      <c r="T6637" s="246">
        <f t="shared" si="141"/>
        <v>0</v>
      </c>
    </row>
    <row r="6638" spans="20:20" ht="18.75" customHeight="1" x14ac:dyDescent="0.35">
      <c r="T6638" s="246">
        <f t="shared" si="141"/>
        <v>0</v>
      </c>
    </row>
    <row r="6639" spans="20:20" ht="18.75" customHeight="1" x14ac:dyDescent="0.35">
      <c r="T6639" s="246">
        <f t="shared" si="141"/>
        <v>0</v>
      </c>
    </row>
    <row r="6640" spans="20:20" ht="18.75" customHeight="1" x14ac:dyDescent="0.35">
      <c r="T6640" s="246">
        <f t="shared" si="141"/>
        <v>0</v>
      </c>
    </row>
    <row r="6641" spans="20:20" ht="18.75" customHeight="1" x14ac:dyDescent="0.35">
      <c r="T6641" s="246">
        <f t="shared" si="141"/>
        <v>0</v>
      </c>
    </row>
    <row r="6642" spans="20:20" ht="18.75" customHeight="1" x14ac:dyDescent="0.35">
      <c r="T6642" s="246">
        <f t="shared" si="141"/>
        <v>0</v>
      </c>
    </row>
    <row r="6643" spans="20:20" ht="18.75" customHeight="1" x14ac:dyDescent="0.35">
      <c r="T6643" s="246">
        <f t="shared" si="141"/>
        <v>0</v>
      </c>
    </row>
    <row r="6644" spans="20:20" ht="18.75" customHeight="1" x14ac:dyDescent="0.35">
      <c r="T6644" s="246">
        <f t="shared" si="141"/>
        <v>0</v>
      </c>
    </row>
    <row r="6645" spans="20:20" ht="18.75" customHeight="1" x14ac:dyDescent="0.35">
      <c r="T6645" s="246">
        <f t="shared" si="141"/>
        <v>0</v>
      </c>
    </row>
    <row r="6646" spans="20:20" ht="18.75" customHeight="1" x14ac:dyDescent="0.35">
      <c r="T6646" s="246">
        <f t="shared" si="141"/>
        <v>0</v>
      </c>
    </row>
    <row r="6647" spans="20:20" ht="18.75" customHeight="1" x14ac:dyDescent="0.35">
      <c r="T6647" s="246">
        <f t="shared" si="141"/>
        <v>0</v>
      </c>
    </row>
    <row r="6648" spans="20:20" ht="18.75" customHeight="1" x14ac:dyDescent="0.35">
      <c r="T6648" s="246">
        <f t="shared" si="141"/>
        <v>0</v>
      </c>
    </row>
    <row r="6649" spans="20:20" ht="18.75" customHeight="1" x14ac:dyDescent="0.35">
      <c r="T6649" s="246">
        <f t="shared" si="141"/>
        <v>0</v>
      </c>
    </row>
    <row r="6650" spans="20:20" ht="18.75" customHeight="1" x14ac:dyDescent="0.35">
      <c r="T6650" s="246">
        <f t="shared" si="141"/>
        <v>0</v>
      </c>
    </row>
    <row r="6651" spans="20:20" ht="18.75" customHeight="1" x14ac:dyDescent="0.35">
      <c r="T6651" s="246">
        <f t="shared" si="141"/>
        <v>0</v>
      </c>
    </row>
    <row r="6652" spans="20:20" ht="18.75" customHeight="1" x14ac:dyDescent="0.35">
      <c r="T6652" s="246">
        <f t="shared" ref="T6652:T6715" si="142">R6652*0.01</f>
        <v>0</v>
      </c>
    </row>
    <row r="6653" spans="20:20" ht="18.75" customHeight="1" x14ac:dyDescent="0.35">
      <c r="T6653" s="246">
        <f t="shared" si="142"/>
        <v>0</v>
      </c>
    </row>
    <row r="6654" spans="20:20" ht="18.75" customHeight="1" x14ac:dyDescent="0.35">
      <c r="T6654" s="246">
        <f t="shared" si="142"/>
        <v>0</v>
      </c>
    </row>
    <row r="6655" spans="20:20" ht="18.75" customHeight="1" x14ac:dyDescent="0.35">
      <c r="T6655" s="246">
        <f t="shared" si="142"/>
        <v>0</v>
      </c>
    </row>
    <row r="6656" spans="20:20" ht="18.75" customHeight="1" x14ac:dyDescent="0.35">
      <c r="T6656" s="246">
        <f t="shared" si="142"/>
        <v>0</v>
      </c>
    </row>
    <row r="6657" spans="20:20" ht="18.75" customHeight="1" x14ac:dyDescent="0.35">
      <c r="T6657" s="246">
        <f t="shared" si="142"/>
        <v>0</v>
      </c>
    </row>
    <row r="6658" spans="20:20" ht="18.75" customHeight="1" x14ac:dyDescent="0.35">
      <c r="T6658" s="246">
        <f t="shared" si="142"/>
        <v>0</v>
      </c>
    </row>
    <row r="6659" spans="20:20" ht="18.75" customHeight="1" x14ac:dyDescent="0.35">
      <c r="T6659" s="246">
        <f t="shared" si="142"/>
        <v>0</v>
      </c>
    </row>
    <row r="6660" spans="20:20" ht="18.75" customHeight="1" x14ac:dyDescent="0.35">
      <c r="T6660" s="246">
        <f t="shared" si="142"/>
        <v>0</v>
      </c>
    </row>
    <row r="6661" spans="20:20" ht="18.75" customHeight="1" x14ac:dyDescent="0.35">
      <c r="T6661" s="246">
        <f t="shared" si="142"/>
        <v>0</v>
      </c>
    </row>
    <row r="6662" spans="20:20" ht="18.75" customHeight="1" x14ac:dyDescent="0.35">
      <c r="T6662" s="246">
        <f t="shared" si="142"/>
        <v>0</v>
      </c>
    </row>
    <row r="6663" spans="20:20" ht="18.75" customHeight="1" x14ac:dyDescent="0.35">
      <c r="T6663" s="246">
        <f t="shared" si="142"/>
        <v>0</v>
      </c>
    </row>
    <row r="6664" spans="20:20" ht="18.75" customHeight="1" x14ac:dyDescent="0.35">
      <c r="T6664" s="246">
        <f t="shared" si="142"/>
        <v>0</v>
      </c>
    </row>
    <row r="6665" spans="20:20" ht="18.75" customHeight="1" x14ac:dyDescent="0.35">
      <c r="T6665" s="246">
        <f t="shared" si="142"/>
        <v>0</v>
      </c>
    </row>
    <row r="6666" spans="20:20" ht="18.75" customHeight="1" x14ac:dyDescent="0.35">
      <c r="T6666" s="246">
        <f t="shared" si="142"/>
        <v>0</v>
      </c>
    </row>
    <row r="6667" spans="20:20" ht="18.75" customHeight="1" x14ac:dyDescent="0.35">
      <c r="T6667" s="246">
        <f t="shared" si="142"/>
        <v>0</v>
      </c>
    </row>
    <row r="6668" spans="20:20" ht="18.75" customHeight="1" x14ac:dyDescent="0.35">
      <c r="T6668" s="246">
        <f t="shared" si="142"/>
        <v>0</v>
      </c>
    </row>
    <row r="6669" spans="20:20" ht="18.75" customHeight="1" x14ac:dyDescent="0.35">
      <c r="T6669" s="246">
        <f t="shared" si="142"/>
        <v>0</v>
      </c>
    </row>
    <row r="6670" spans="20:20" ht="18.75" customHeight="1" x14ac:dyDescent="0.35">
      <c r="T6670" s="246">
        <f t="shared" si="142"/>
        <v>0</v>
      </c>
    </row>
    <row r="6671" spans="20:20" ht="18.75" customHeight="1" x14ac:dyDescent="0.35">
      <c r="T6671" s="246">
        <f t="shared" si="142"/>
        <v>0</v>
      </c>
    </row>
    <row r="6672" spans="20:20" ht="18.75" customHeight="1" x14ac:dyDescent="0.35">
      <c r="T6672" s="246">
        <f t="shared" si="142"/>
        <v>0</v>
      </c>
    </row>
    <row r="6673" spans="20:20" ht="18.75" customHeight="1" x14ac:dyDescent="0.35">
      <c r="T6673" s="246">
        <f t="shared" si="142"/>
        <v>0</v>
      </c>
    </row>
    <row r="6674" spans="20:20" ht="18.75" customHeight="1" x14ac:dyDescent="0.35">
      <c r="T6674" s="246">
        <f t="shared" si="142"/>
        <v>0</v>
      </c>
    </row>
    <row r="6675" spans="20:20" ht="18.75" customHeight="1" x14ac:dyDescent="0.35">
      <c r="T6675" s="246">
        <f t="shared" si="142"/>
        <v>0</v>
      </c>
    </row>
    <row r="6676" spans="20:20" ht="18.75" customHeight="1" x14ac:dyDescent="0.35">
      <c r="T6676" s="246">
        <f t="shared" si="142"/>
        <v>0</v>
      </c>
    </row>
    <row r="6677" spans="20:20" ht="18.75" customHeight="1" x14ac:dyDescent="0.35">
      <c r="T6677" s="246">
        <f t="shared" si="142"/>
        <v>0</v>
      </c>
    </row>
    <row r="6678" spans="20:20" ht="18.75" customHeight="1" x14ac:dyDescent="0.35">
      <c r="T6678" s="246">
        <f t="shared" si="142"/>
        <v>0</v>
      </c>
    </row>
    <row r="6679" spans="20:20" ht="18.75" customHeight="1" x14ac:dyDescent="0.35">
      <c r="T6679" s="246">
        <f t="shared" si="142"/>
        <v>0</v>
      </c>
    </row>
    <row r="6680" spans="20:20" ht="18.75" customHeight="1" x14ac:dyDescent="0.35">
      <c r="T6680" s="246">
        <f t="shared" si="142"/>
        <v>0</v>
      </c>
    </row>
    <row r="6681" spans="20:20" ht="18.75" customHeight="1" x14ac:dyDescent="0.35">
      <c r="T6681" s="246">
        <f t="shared" si="142"/>
        <v>0</v>
      </c>
    </row>
    <row r="6682" spans="20:20" ht="18.75" customHeight="1" x14ac:dyDescent="0.35">
      <c r="T6682" s="246">
        <f t="shared" si="142"/>
        <v>0</v>
      </c>
    </row>
    <row r="6683" spans="20:20" ht="18.75" customHeight="1" x14ac:dyDescent="0.35">
      <c r="T6683" s="246">
        <f t="shared" si="142"/>
        <v>0</v>
      </c>
    </row>
    <row r="6684" spans="20:20" ht="18.75" customHeight="1" x14ac:dyDescent="0.35">
      <c r="T6684" s="246">
        <f t="shared" si="142"/>
        <v>0</v>
      </c>
    </row>
    <row r="6685" spans="20:20" ht="18.75" customHeight="1" x14ac:dyDescent="0.35">
      <c r="T6685" s="246">
        <f t="shared" si="142"/>
        <v>0</v>
      </c>
    </row>
    <row r="6686" spans="20:20" ht="18.75" customHeight="1" x14ac:dyDescent="0.35">
      <c r="T6686" s="246">
        <f t="shared" si="142"/>
        <v>0</v>
      </c>
    </row>
    <row r="6687" spans="20:20" ht="18.75" customHeight="1" x14ac:dyDescent="0.35">
      <c r="T6687" s="246">
        <f t="shared" si="142"/>
        <v>0</v>
      </c>
    </row>
    <row r="6688" spans="20:20" ht="18.75" customHeight="1" x14ac:dyDescent="0.35">
      <c r="T6688" s="246">
        <f t="shared" si="142"/>
        <v>0</v>
      </c>
    </row>
    <row r="6689" spans="20:20" ht="18.75" customHeight="1" x14ac:dyDescent="0.35">
      <c r="T6689" s="246">
        <f t="shared" si="142"/>
        <v>0</v>
      </c>
    </row>
    <row r="6690" spans="20:20" ht="18.75" customHeight="1" x14ac:dyDescent="0.35">
      <c r="T6690" s="246">
        <f t="shared" si="142"/>
        <v>0</v>
      </c>
    </row>
    <row r="6691" spans="20:20" ht="18.75" customHeight="1" x14ac:dyDescent="0.35">
      <c r="T6691" s="246">
        <f t="shared" si="142"/>
        <v>0</v>
      </c>
    </row>
    <row r="6692" spans="20:20" ht="18.75" customHeight="1" x14ac:dyDescent="0.35">
      <c r="T6692" s="246">
        <f t="shared" si="142"/>
        <v>0</v>
      </c>
    </row>
    <row r="6693" spans="20:20" ht="18.75" customHeight="1" x14ac:dyDescent="0.35">
      <c r="T6693" s="246">
        <f t="shared" si="142"/>
        <v>0</v>
      </c>
    </row>
    <row r="6694" spans="20:20" ht="18.75" customHeight="1" x14ac:dyDescent="0.35">
      <c r="T6694" s="246">
        <f t="shared" si="142"/>
        <v>0</v>
      </c>
    </row>
    <row r="6695" spans="20:20" ht="18.75" customHeight="1" x14ac:dyDescent="0.35">
      <c r="T6695" s="246">
        <f t="shared" si="142"/>
        <v>0</v>
      </c>
    </row>
    <row r="6696" spans="20:20" ht="18.75" customHeight="1" x14ac:dyDescent="0.35">
      <c r="T6696" s="246">
        <f t="shared" si="142"/>
        <v>0</v>
      </c>
    </row>
    <row r="6697" spans="20:20" ht="18.75" customHeight="1" x14ac:dyDescent="0.35">
      <c r="T6697" s="246">
        <f t="shared" si="142"/>
        <v>0</v>
      </c>
    </row>
    <row r="6698" spans="20:20" ht="18.75" customHeight="1" x14ac:dyDescent="0.35">
      <c r="T6698" s="246">
        <f t="shared" si="142"/>
        <v>0</v>
      </c>
    </row>
    <row r="6699" spans="20:20" ht="18.75" customHeight="1" x14ac:dyDescent="0.35">
      <c r="T6699" s="246">
        <f t="shared" si="142"/>
        <v>0</v>
      </c>
    </row>
    <row r="6700" spans="20:20" ht="18.75" customHeight="1" x14ac:dyDescent="0.35">
      <c r="T6700" s="246">
        <f t="shared" si="142"/>
        <v>0</v>
      </c>
    </row>
    <row r="6701" spans="20:20" ht="18.75" customHeight="1" x14ac:dyDescent="0.35">
      <c r="T6701" s="246">
        <f t="shared" si="142"/>
        <v>0</v>
      </c>
    </row>
    <row r="6702" spans="20:20" ht="18.75" customHeight="1" x14ac:dyDescent="0.35">
      <c r="T6702" s="246">
        <f t="shared" si="142"/>
        <v>0</v>
      </c>
    </row>
    <row r="6703" spans="20:20" ht="18.75" customHeight="1" x14ac:dyDescent="0.35">
      <c r="T6703" s="246">
        <f t="shared" si="142"/>
        <v>0</v>
      </c>
    </row>
    <row r="6704" spans="20:20" ht="18.75" customHeight="1" x14ac:dyDescent="0.35">
      <c r="T6704" s="246">
        <f t="shared" si="142"/>
        <v>0</v>
      </c>
    </row>
    <row r="6705" spans="20:20" ht="18.75" customHeight="1" x14ac:dyDescent="0.35">
      <c r="T6705" s="246">
        <f t="shared" si="142"/>
        <v>0</v>
      </c>
    </row>
    <row r="6706" spans="20:20" ht="18.75" customHeight="1" x14ac:dyDescent="0.35">
      <c r="T6706" s="246">
        <f t="shared" si="142"/>
        <v>0</v>
      </c>
    </row>
    <row r="6707" spans="20:20" ht="18.75" customHeight="1" x14ac:dyDescent="0.35">
      <c r="T6707" s="246">
        <f t="shared" si="142"/>
        <v>0</v>
      </c>
    </row>
    <row r="6708" spans="20:20" ht="18.75" customHeight="1" x14ac:dyDescent="0.35">
      <c r="T6708" s="246">
        <f t="shared" si="142"/>
        <v>0</v>
      </c>
    </row>
    <row r="6709" spans="20:20" ht="18.75" customHeight="1" x14ac:dyDescent="0.35">
      <c r="T6709" s="246">
        <f t="shared" si="142"/>
        <v>0</v>
      </c>
    </row>
    <row r="6710" spans="20:20" ht="18.75" customHeight="1" x14ac:dyDescent="0.35">
      <c r="T6710" s="246">
        <f t="shared" si="142"/>
        <v>0</v>
      </c>
    </row>
    <row r="6711" spans="20:20" ht="18.75" customHeight="1" x14ac:dyDescent="0.35">
      <c r="T6711" s="246">
        <f t="shared" si="142"/>
        <v>0</v>
      </c>
    </row>
    <row r="6712" spans="20:20" ht="18.75" customHeight="1" x14ac:dyDescent="0.35">
      <c r="T6712" s="246">
        <f t="shared" si="142"/>
        <v>0</v>
      </c>
    </row>
    <row r="6713" spans="20:20" ht="18.75" customHeight="1" x14ac:dyDescent="0.35">
      <c r="T6713" s="246">
        <f t="shared" si="142"/>
        <v>0</v>
      </c>
    </row>
    <row r="6714" spans="20:20" ht="18.75" customHeight="1" x14ac:dyDescent="0.35">
      <c r="T6714" s="246">
        <f t="shared" si="142"/>
        <v>0</v>
      </c>
    </row>
    <row r="6715" spans="20:20" ht="18.75" customHeight="1" x14ac:dyDescent="0.35">
      <c r="T6715" s="246">
        <f t="shared" si="142"/>
        <v>0</v>
      </c>
    </row>
    <row r="6716" spans="20:20" ht="18.75" customHeight="1" x14ac:dyDescent="0.35">
      <c r="T6716" s="246">
        <f t="shared" ref="T6716:T6779" si="143">R6716*0.01</f>
        <v>0</v>
      </c>
    </row>
    <row r="6717" spans="20:20" ht="18.75" customHeight="1" x14ac:dyDescent="0.35">
      <c r="T6717" s="246">
        <f t="shared" si="143"/>
        <v>0</v>
      </c>
    </row>
    <row r="6718" spans="20:20" ht="18.75" customHeight="1" x14ac:dyDescent="0.35">
      <c r="T6718" s="246">
        <f t="shared" si="143"/>
        <v>0</v>
      </c>
    </row>
    <row r="6719" spans="20:20" ht="18.75" customHeight="1" x14ac:dyDescent="0.35">
      <c r="T6719" s="246">
        <f t="shared" si="143"/>
        <v>0</v>
      </c>
    </row>
    <row r="6720" spans="20:20" ht="18.75" customHeight="1" x14ac:dyDescent="0.35">
      <c r="T6720" s="246">
        <f t="shared" si="143"/>
        <v>0</v>
      </c>
    </row>
    <row r="6721" spans="20:20" ht="18.75" customHeight="1" x14ac:dyDescent="0.35">
      <c r="T6721" s="246">
        <f t="shared" si="143"/>
        <v>0</v>
      </c>
    </row>
    <row r="6722" spans="20:20" ht="18.75" customHeight="1" x14ac:dyDescent="0.35">
      <c r="T6722" s="246">
        <f t="shared" si="143"/>
        <v>0</v>
      </c>
    </row>
    <row r="6723" spans="20:20" ht="18.75" customHeight="1" x14ac:dyDescent="0.35">
      <c r="T6723" s="246">
        <f t="shared" si="143"/>
        <v>0</v>
      </c>
    </row>
    <row r="6724" spans="20:20" ht="18.75" customHeight="1" x14ac:dyDescent="0.35">
      <c r="T6724" s="246">
        <f t="shared" si="143"/>
        <v>0</v>
      </c>
    </row>
    <row r="6725" spans="20:20" ht="18.75" customHeight="1" x14ac:dyDescent="0.35">
      <c r="T6725" s="246">
        <f t="shared" si="143"/>
        <v>0</v>
      </c>
    </row>
    <row r="6726" spans="20:20" ht="18.75" customHeight="1" x14ac:dyDescent="0.35">
      <c r="T6726" s="246">
        <f t="shared" si="143"/>
        <v>0</v>
      </c>
    </row>
    <row r="6727" spans="20:20" ht="18.75" customHeight="1" x14ac:dyDescent="0.35">
      <c r="T6727" s="246">
        <f t="shared" si="143"/>
        <v>0</v>
      </c>
    </row>
    <row r="6728" spans="20:20" ht="18.75" customHeight="1" x14ac:dyDescent="0.35">
      <c r="T6728" s="246">
        <f t="shared" si="143"/>
        <v>0</v>
      </c>
    </row>
    <row r="6729" spans="20:20" ht="18.75" customHeight="1" x14ac:dyDescent="0.35">
      <c r="T6729" s="246">
        <f t="shared" si="143"/>
        <v>0</v>
      </c>
    </row>
    <row r="6730" spans="20:20" ht="18.75" customHeight="1" x14ac:dyDescent="0.35">
      <c r="T6730" s="246">
        <f t="shared" si="143"/>
        <v>0</v>
      </c>
    </row>
    <row r="6731" spans="20:20" ht="18.75" customHeight="1" x14ac:dyDescent="0.35">
      <c r="T6731" s="246">
        <f t="shared" si="143"/>
        <v>0</v>
      </c>
    </row>
    <row r="6732" spans="20:20" ht="18.75" customHeight="1" x14ac:dyDescent="0.35">
      <c r="T6732" s="246">
        <f t="shared" si="143"/>
        <v>0</v>
      </c>
    </row>
    <row r="6733" spans="20:20" ht="18.75" customHeight="1" x14ac:dyDescent="0.35">
      <c r="T6733" s="246">
        <f t="shared" si="143"/>
        <v>0</v>
      </c>
    </row>
    <row r="6734" spans="20:20" ht="18.75" customHeight="1" x14ac:dyDescent="0.35">
      <c r="T6734" s="246">
        <f t="shared" si="143"/>
        <v>0</v>
      </c>
    </row>
    <row r="6735" spans="20:20" ht="18.75" customHeight="1" x14ac:dyDescent="0.35">
      <c r="T6735" s="246">
        <f t="shared" si="143"/>
        <v>0</v>
      </c>
    </row>
    <row r="6736" spans="20:20" ht="18.75" customHeight="1" x14ac:dyDescent="0.35">
      <c r="T6736" s="246">
        <f t="shared" si="143"/>
        <v>0</v>
      </c>
    </row>
    <row r="6737" spans="20:20" ht="18.75" customHeight="1" x14ac:dyDescent="0.35">
      <c r="T6737" s="246">
        <f t="shared" si="143"/>
        <v>0</v>
      </c>
    </row>
    <row r="6738" spans="20:20" ht="18.75" customHeight="1" x14ac:dyDescent="0.35">
      <c r="T6738" s="246">
        <f t="shared" si="143"/>
        <v>0</v>
      </c>
    </row>
    <row r="6739" spans="20:20" ht="18.75" customHeight="1" x14ac:dyDescent="0.35">
      <c r="T6739" s="246">
        <f t="shared" si="143"/>
        <v>0</v>
      </c>
    </row>
    <row r="6740" spans="20:20" ht="18.75" customHeight="1" x14ac:dyDescent="0.35">
      <c r="T6740" s="246">
        <f t="shared" si="143"/>
        <v>0</v>
      </c>
    </row>
    <row r="6741" spans="20:20" ht="18.75" customHeight="1" x14ac:dyDescent="0.35">
      <c r="T6741" s="246">
        <f t="shared" si="143"/>
        <v>0</v>
      </c>
    </row>
    <row r="6742" spans="20:20" ht="18.75" customHeight="1" x14ac:dyDescent="0.35">
      <c r="T6742" s="246">
        <f t="shared" si="143"/>
        <v>0</v>
      </c>
    </row>
    <row r="6743" spans="20:20" ht="18.75" customHeight="1" x14ac:dyDescent="0.35">
      <c r="T6743" s="246">
        <f t="shared" si="143"/>
        <v>0</v>
      </c>
    </row>
    <row r="6744" spans="20:20" ht="18.75" customHeight="1" x14ac:dyDescent="0.35">
      <c r="T6744" s="246">
        <f t="shared" si="143"/>
        <v>0</v>
      </c>
    </row>
    <row r="6745" spans="20:20" ht="18.75" customHeight="1" x14ac:dyDescent="0.35">
      <c r="T6745" s="246">
        <f t="shared" si="143"/>
        <v>0</v>
      </c>
    </row>
    <row r="6746" spans="20:20" ht="18.75" customHeight="1" x14ac:dyDescent="0.35">
      <c r="T6746" s="246">
        <f t="shared" si="143"/>
        <v>0</v>
      </c>
    </row>
    <row r="6747" spans="20:20" ht="18.75" customHeight="1" x14ac:dyDescent="0.35">
      <c r="T6747" s="246">
        <f t="shared" si="143"/>
        <v>0</v>
      </c>
    </row>
    <row r="6748" spans="20:20" ht="18.75" customHeight="1" x14ac:dyDescent="0.35">
      <c r="T6748" s="246">
        <f t="shared" si="143"/>
        <v>0</v>
      </c>
    </row>
    <row r="6749" spans="20:20" ht="18.75" customHeight="1" x14ac:dyDescent="0.35">
      <c r="T6749" s="246">
        <f t="shared" si="143"/>
        <v>0</v>
      </c>
    </row>
    <row r="6750" spans="20:20" ht="18.75" customHeight="1" x14ac:dyDescent="0.35">
      <c r="T6750" s="246">
        <f t="shared" si="143"/>
        <v>0</v>
      </c>
    </row>
    <row r="6751" spans="20:20" ht="18.75" customHeight="1" x14ac:dyDescent="0.35">
      <c r="T6751" s="246">
        <f t="shared" si="143"/>
        <v>0</v>
      </c>
    </row>
    <row r="6752" spans="20:20" ht="18.75" customHeight="1" x14ac:dyDescent="0.35">
      <c r="T6752" s="246">
        <f t="shared" si="143"/>
        <v>0</v>
      </c>
    </row>
    <row r="6753" spans="20:20" ht="18.75" customHeight="1" x14ac:dyDescent="0.35">
      <c r="T6753" s="246">
        <f t="shared" si="143"/>
        <v>0</v>
      </c>
    </row>
    <row r="6754" spans="20:20" ht="18.75" customHeight="1" x14ac:dyDescent="0.35">
      <c r="T6754" s="246">
        <f t="shared" si="143"/>
        <v>0</v>
      </c>
    </row>
    <row r="6755" spans="20:20" ht="18.75" customHeight="1" x14ac:dyDescent="0.35">
      <c r="T6755" s="246">
        <f t="shared" si="143"/>
        <v>0</v>
      </c>
    </row>
    <row r="6756" spans="20:20" ht="18.75" customHeight="1" x14ac:dyDescent="0.35">
      <c r="T6756" s="246">
        <f t="shared" si="143"/>
        <v>0</v>
      </c>
    </row>
    <row r="6757" spans="20:20" ht="18.75" customHeight="1" x14ac:dyDescent="0.35">
      <c r="T6757" s="246">
        <f t="shared" si="143"/>
        <v>0</v>
      </c>
    </row>
    <row r="6758" spans="20:20" ht="18.75" customHeight="1" x14ac:dyDescent="0.35">
      <c r="T6758" s="246">
        <f t="shared" si="143"/>
        <v>0</v>
      </c>
    </row>
    <row r="6759" spans="20:20" ht="18.75" customHeight="1" x14ac:dyDescent="0.35">
      <c r="T6759" s="246">
        <f t="shared" si="143"/>
        <v>0</v>
      </c>
    </row>
    <row r="6760" spans="20:20" ht="18.75" customHeight="1" x14ac:dyDescent="0.35">
      <c r="T6760" s="246">
        <f t="shared" si="143"/>
        <v>0</v>
      </c>
    </row>
    <row r="6761" spans="20:20" ht="18.75" customHeight="1" x14ac:dyDescent="0.35">
      <c r="T6761" s="246">
        <f t="shared" si="143"/>
        <v>0</v>
      </c>
    </row>
    <row r="6762" spans="20:20" ht="18.75" customHeight="1" x14ac:dyDescent="0.35">
      <c r="T6762" s="246">
        <f t="shared" si="143"/>
        <v>0</v>
      </c>
    </row>
    <row r="6763" spans="20:20" ht="18.75" customHeight="1" x14ac:dyDescent="0.35">
      <c r="T6763" s="246">
        <f t="shared" si="143"/>
        <v>0</v>
      </c>
    </row>
    <row r="6764" spans="20:20" ht="18.75" customHeight="1" x14ac:dyDescent="0.35">
      <c r="T6764" s="246">
        <f t="shared" si="143"/>
        <v>0</v>
      </c>
    </row>
    <row r="6765" spans="20:20" ht="18.75" customHeight="1" x14ac:dyDescent="0.35">
      <c r="T6765" s="246">
        <f t="shared" si="143"/>
        <v>0</v>
      </c>
    </row>
    <row r="6766" spans="20:20" ht="18.75" customHeight="1" x14ac:dyDescent="0.35">
      <c r="T6766" s="246">
        <f t="shared" si="143"/>
        <v>0</v>
      </c>
    </row>
    <row r="6767" spans="20:20" ht="18.75" customHeight="1" x14ac:dyDescent="0.35">
      <c r="T6767" s="246">
        <f t="shared" si="143"/>
        <v>0</v>
      </c>
    </row>
    <row r="6768" spans="20:20" ht="18.75" customHeight="1" x14ac:dyDescent="0.35">
      <c r="T6768" s="246">
        <f t="shared" si="143"/>
        <v>0</v>
      </c>
    </row>
    <row r="6769" spans="20:20" ht="18.75" customHeight="1" x14ac:dyDescent="0.35">
      <c r="T6769" s="246">
        <f t="shared" si="143"/>
        <v>0</v>
      </c>
    </row>
    <row r="6770" spans="20:20" ht="18.75" customHeight="1" x14ac:dyDescent="0.35">
      <c r="T6770" s="246">
        <f t="shared" si="143"/>
        <v>0</v>
      </c>
    </row>
    <row r="6771" spans="20:20" ht="18.75" customHeight="1" x14ac:dyDescent="0.35">
      <c r="T6771" s="246">
        <f t="shared" si="143"/>
        <v>0</v>
      </c>
    </row>
    <row r="6772" spans="20:20" ht="18.75" customHeight="1" x14ac:dyDescent="0.35">
      <c r="T6772" s="246">
        <f t="shared" si="143"/>
        <v>0</v>
      </c>
    </row>
    <row r="6773" spans="20:20" ht="18.75" customHeight="1" x14ac:dyDescent="0.35">
      <c r="T6773" s="246">
        <f t="shared" si="143"/>
        <v>0</v>
      </c>
    </row>
    <row r="6774" spans="20:20" ht="18.75" customHeight="1" x14ac:dyDescent="0.35">
      <c r="T6774" s="246">
        <f t="shared" si="143"/>
        <v>0</v>
      </c>
    </row>
    <row r="6775" spans="20:20" ht="18.75" customHeight="1" x14ac:dyDescent="0.35">
      <c r="T6775" s="246">
        <f t="shared" si="143"/>
        <v>0</v>
      </c>
    </row>
    <row r="6776" spans="20:20" ht="18.75" customHeight="1" x14ac:dyDescent="0.35">
      <c r="T6776" s="246">
        <f t="shared" si="143"/>
        <v>0</v>
      </c>
    </row>
    <row r="6777" spans="20:20" ht="18.75" customHeight="1" x14ac:dyDescent="0.35">
      <c r="T6777" s="246">
        <f t="shared" si="143"/>
        <v>0</v>
      </c>
    </row>
    <row r="6778" spans="20:20" ht="18.75" customHeight="1" x14ac:dyDescent="0.35">
      <c r="T6778" s="246">
        <f t="shared" si="143"/>
        <v>0</v>
      </c>
    </row>
    <row r="6779" spans="20:20" ht="18.75" customHeight="1" x14ac:dyDescent="0.35">
      <c r="T6779" s="246">
        <f t="shared" si="143"/>
        <v>0</v>
      </c>
    </row>
    <row r="6780" spans="20:20" ht="18.75" customHeight="1" x14ac:dyDescent="0.35">
      <c r="T6780" s="246">
        <f t="shared" ref="T6780:T6843" si="144">R6780*0.01</f>
        <v>0</v>
      </c>
    </row>
    <row r="6781" spans="20:20" ht="18.75" customHeight="1" x14ac:dyDescent="0.35">
      <c r="T6781" s="246">
        <f t="shared" si="144"/>
        <v>0</v>
      </c>
    </row>
    <row r="6782" spans="20:20" ht="18.75" customHeight="1" x14ac:dyDescent="0.35">
      <c r="T6782" s="246">
        <f t="shared" si="144"/>
        <v>0</v>
      </c>
    </row>
    <row r="6783" spans="20:20" ht="18.75" customHeight="1" x14ac:dyDescent="0.35">
      <c r="T6783" s="246">
        <f t="shared" si="144"/>
        <v>0</v>
      </c>
    </row>
    <row r="6784" spans="20:20" ht="18.75" customHeight="1" x14ac:dyDescent="0.35">
      <c r="T6784" s="246">
        <f t="shared" si="144"/>
        <v>0</v>
      </c>
    </row>
    <row r="6785" spans="20:20" ht="18.75" customHeight="1" x14ac:dyDescent="0.35">
      <c r="T6785" s="246">
        <f t="shared" si="144"/>
        <v>0</v>
      </c>
    </row>
    <row r="6786" spans="20:20" ht="18.75" customHeight="1" x14ac:dyDescent="0.35">
      <c r="T6786" s="246">
        <f t="shared" si="144"/>
        <v>0</v>
      </c>
    </row>
    <row r="6787" spans="20:20" ht="18.75" customHeight="1" x14ac:dyDescent="0.35">
      <c r="T6787" s="246">
        <f t="shared" si="144"/>
        <v>0</v>
      </c>
    </row>
    <row r="6788" spans="20:20" ht="18.75" customHeight="1" x14ac:dyDescent="0.35">
      <c r="T6788" s="246">
        <f t="shared" si="144"/>
        <v>0</v>
      </c>
    </row>
    <row r="6789" spans="20:20" ht="18.75" customHeight="1" x14ac:dyDescent="0.35">
      <c r="T6789" s="246">
        <f t="shared" si="144"/>
        <v>0</v>
      </c>
    </row>
    <row r="6790" spans="20:20" ht="18.75" customHeight="1" x14ac:dyDescent="0.35">
      <c r="T6790" s="246">
        <f t="shared" si="144"/>
        <v>0</v>
      </c>
    </row>
    <row r="6791" spans="20:20" ht="18.75" customHeight="1" x14ac:dyDescent="0.35">
      <c r="T6791" s="246">
        <f t="shared" si="144"/>
        <v>0</v>
      </c>
    </row>
    <row r="6792" spans="20:20" ht="18.75" customHeight="1" x14ac:dyDescent="0.35">
      <c r="T6792" s="246">
        <f t="shared" si="144"/>
        <v>0</v>
      </c>
    </row>
    <row r="6793" spans="20:20" ht="18.75" customHeight="1" x14ac:dyDescent="0.35">
      <c r="T6793" s="246">
        <f t="shared" si="144"/>
        <v>0</v>
      </c>
    </row>
    <row r="6794" spans="20:20" ht="18.75" customHeight="1" x14ac:dyDescent="0.35">
      <c r="T6794" s="246">
        <f t="shared" si="144"/>
        <v>0</v>
      </c>
    </row>
    <row r="6795" spans="20:20" ht="18.75" customHeight="1" x14ac:dyDescent="0.35">
      <c r="T6795" s="246">
        <f t="shared" si="144"/>
        <v>0</v>
      </c>
    </row>
    <row r="6796" spans="20:20" ht="18.75" customHeight="1" x14ac:dyDescent="0.35">
      <c r="T6796" s="246">
        <f t="shared" si="144"/>
        <v>0</v>
      </c>
    </row>
    <row r="6797" spans="20:20" ht="18.75" customHeight="1" x14ac:dyDescent="0.35">
      <c r="T6797" s="246">
        <f t="shared" si="144"/>
        <v>0</v>
      </c>
    </row>
    <row r="6798" spans="20:20" ht="18.75" customHeight="1" x14ac:dyDescent="0.35">
      <c r="T6798" s="246">
        <f t="shared" si="144"/>
        <v>0</v>
      </c>
    </row>
    <row r="6799" spans="20:20" ht="18.75" customHeight="1" x14ac:dyDescent="0.35">
      <c r="T6799" s="246">
        <f t="shared" si="144"/>
        <v>0</v>
      </c>
    </row>
    <row r="6800" spans="20:20" ht="18.75" customHeight="1" x14ac:dyDescent="0.35">
      <c r="T6800" s="246">
        <f t="shared" si="144"/>
        <v>0</v>
      </c>
    </row>
    <row r="6801" spans="20:20" ht="18.75" customHeight="1" x14ac:dyDescent="0.35">
      <c r="T6801" s="246">
        <f t="shared" si="144"/>
        <v>0</v>
      </c>
    </row>
    <row r="6802" spans="20:20" ht="18.75" customHeight="1" x14ac:dyDescent="0.35">
      <c r="T6802" s="246">
        <f t="shared" si="144"/>
        <v>0</v>
      </c>
    </row>
    <row r="6803" spans="20:20" ht="18.75" customHeight="1" x14ac:dyDescent="0.35">
      <c r="T6803" s="246">
        <f t="shared" si="144"/>
        <v>0</v>
      </c>
    </row>
    <row r="6804" spans="20:20" ht="18.75" customHeight="1" x14ac:dyDescent="0.35">
      <c r="T6804" s="246">
        <f t="shared" si="144"/>
        <v>0</v>
      </c>
    </row>
    <row r="6805" spans="20:20" ht="18.75" customHeight="1" x14ac:dyDescent="0.35">
      <c r="T6805" s="246">
        <f t="shared" si="144"/>
        <v>0</v>
      </c>
    </row>
    <row r="6806" spans="20:20" ht="18.75" customHeight="1" x14ac:dyDescent="0.35">
      <c r="T6806" s="246">
        <f t="shared" si="144"/>
        <v>0</v>
      </c>
    </row>
    <row r="6807" spans="20:20" ht="18.75" customHeight="1" x14ac:dyDescent="0.35">
      <c r="T6807" s="246">
        <f t="shared" si="144"/>
        <v>0</v>
      </c>
    </row>
    <row r="6808" spans="20:20" ht="18.75" customHeight="1" x14ac:dyDescent="0.35">
      <c r="T6808" s="246">
        <f t="shared" si="144"/>
        <v>0</v>
      </c>
    </row>
    <row r="6809" spans="20:20" ht="18.75" customHeight="1" x14ac:dyDescent="0.35">
      <c r="T6809" s="246">
        <f t="shared" si="144"/>
        <v>0</v>
      </c>
    </row>
    <row r="6810" spans="20:20" ht="18.75" customHeight="1" x14ac:dyDescent="0.35">
      <c r="T6810" s="246">
        <f t="shared" si="144"/>
        <v>0</v>
      </c>
    </row>
    <row r="6811" spans="20:20" ht="18.75" customHeight="1" x14ac:dyDescent="0.35">
      <c r="T6811" s="246">
        <f t="shared" si="144"/>
        <v>0</v>
      </c>
    </row>
    <row r="6812" spans="20:20" ht="18.75" customHeight="1" x14ac:dyDescent="0.35">
      <c r="T6812" s="246">
        <f t="shared" si="144"/>
        <v>0</v>
      </c>
    </row>
    <row r="6813" spans="20:20" ht="18.75" customHeight="1" x14ac:dyDescent="0.35">
      <c r="T6813" s="246">
        <f t="shared" si="144"/>
        <v>0</v>
      </c>
    </row>
    <row r="6814" spans="20:20" ht="18.75" customHeight="1" x14ac:dyDescent="0.35">
      <c r="T6814" s="246">
        <f t="shared" si="144"/>
        <v>0</v>
      </c>
    </row>
    <row r="6815" spans="20:20" ht="18.75" customHeight="1" x14ac:dyDescent="0.35">
      <c r="T6815" s="246">
        <f t="shared" si="144"/>
        <v>0</v>
      </c>
    </row>
    <row r="6816" spans="20:20" ht="18.75" customHeight="1" x14ac:dyDescent="0.35">
      <c r="T6816" s="246">
        <f t="shared" si="144"/>
        <v>0</v>
      </c>
    </row>
    <row r="6817" spans="20:20" ht="18.75" customHeight="1" x14ac:dyDescent="0.35">
      <c r="T6817" s="246">
        <f t="shared" si="144"/>
        <v>0</v>
      </c>
    </row>
    <row r="6818" spans="20:20" ht="18.75" customHeight="1" x14ac:dyDescent="0.35">
      <c r="T6818" s="246">
        <f t="shared" si="144"/>
        <v>0</v>
      </c>
    </row>
    <row r="6819" spans="20:20" ht="18.75" customHeight="1" x14ac:dyDescent="0.35">
      <c r="T6819" s="246">
        <f t="shared" si="144"/>
        <v>0</v>
      </c>
    </row>
    <row r="6820" spans="20:20" ht="18.75" customHeight="1" x14ac:dyDescent="0.35">
      <c r="T6820" s="246">
        <f t="shared" si="144"/>
        <v>0</v>
      </c>
    </row>
    <row r="6821" spans="20:20" ht="18.75" customHeight="1" x14ac:dyDescent="0.35">
      <c r="T6821" s="246">
        <f t="shared" si="144"/>
        <v>0</v>
      </c>
    </row>
    <row r="6822" spans="20:20" ht="18.75" customHeight="1" x14ac:dyDescent="0.35">
      <c r="T6822" s="246">
        <f t="shared" si="144"/>
        <v>0</v>
      </c>
    </row>
    <row r="6823" spans="20:20" ht="18.75" customHeight="1" x14ac:dyDescent="0.35">
      <c r="T6823" s="246">
        <f t="shared" si="144"/>
        <v>0</v>
      </c>
    </row>
    <row r="6824" spans="20:20" ht="18.75" customHeight="1" x14ac:dyDescent="0.35">
      <c r="T6824" s="246">
        <f t="shared" si="144"/>
        <v>0</v>
      </c>
    </row>
    <row r="6825" spans="20:20" ht="18.75" customHeight="1" x14ac:dyDescent="0.35">
      <c r="T6825" s="246">
        <f t="shared" si="144"/>
        <v>0</v>
      </c>
    </row>
    <row r="6826" spans="20:20" ht="18.75" customHeight="1" x14ac:dyDescent="0.35">
      <c r="T6826" s="246">
        <f t="shared" si="144"/>
        <v>0</v>
      </c>
    </row>
    <row r="6827" spans="20:20" ht="18.75" customHeight="1" x14ac:dyDescent="0.35">
      <c r="T6827" s="246">
        <f t="shared" si="144"/>
        <v>0</v>
      </c>
    </row>
    <row r="6828" spans="20:20" ht="18.75" customHeight="1" x14ac:dyDescent="0.35">
      <c r="T6828" s="246">
        <f t="shared" si="144"/>
        <v>0</v>
      </c>
    </row>
    <row r="6829" spans="20:20" ht="18.75" customHeight="1" x14ac:dyDescent="0.35">
      <c r="T6829" s="246">
        <f t="shared" si="144"/>
        <v>0</v>
      </c>
    </row>
    <row r="6830" spans="20:20" ht="18.75" customHeight="1" x14ac:dyDescent="0.35">
      <c r="T6830" s="246">
        <f t="shared" si="144"/>
        <v>0</v>
      </c>
    </row>
    <row r="6831" spans="20:20" ht="18.75" customHeight="1" x14ac:dyDescent="0.35">
      <c r="T6831" s="246">
        <f t="shared" si="144"/>
        <v>0</v>
      </c>
    </row>
    <row r="6832" spans="20:20" ht="18.75" customHeight="1" x14ac:dyDescent="0.35">
      <c r="T6832" s="246">
        <f t="shared" si="144"/>
        <v>0</v>
      </c>
    </row>
    <row r="6833" spans="20:20" ht="18.75" customHeight="1" x14ac:dyDescent="0.35">
      <c r="T6833" s="246">
        <f t="shared" si="144"/>
        <v>0</v>
      </c>
    </row>
    <row r="6834" spans="20:20" ht="18.75" customHeight="1" x14ac:dyDescent="0.35">
      <c r="T6834" s="246">
        <f t="shared" si="144"/>
        <v>0</v>
      </c>
    </row>
    <row r="6835" spans="20:20" ht="18.75" customHeight="1" x14ac:dyDescent="0.35">
      <c r="T6835" s="246">
        <f t="shared" si="144"/>
        <v>0</v>
      </c>
    </row>
    <row r="6836" spans="20:20" ht="18.75" customHeight="1" x14ac:dyDescent="0.35">
      <c r="T6836" s="246">
        <f t="shared" si="144"/>
        <v>0</v>
      </c>
    </row>
    <row r="6837" spans="20:20" ht="18.75" customHeight="1" x14ac:dyDescent="0.35">
      <c r="T6837" s="246">
        <f t="shared" si="144"/>
        <v>0</v>
      </c>
    </row>
    <row r="6838" spans="20:20" ht="18.75" customHeight="1" x14ac:dyDescent="0.35">
      <c r="T6838" s="246">
        <f t="shared" si="144"/>
        <v>0</v>
      </c>
    </row>
    <row r="6839" spans="20:20" ht="18.75" customHeight="1" x14ac:dyDescent="0.35">
      <c r="T6839" s="246">
        <f t="shared" si="144"/>
        <v>0</v>
      </c>
    </row>
    <row r="6840" spans="20:20" ht="18.75" customHeight="1" x14ac:dyDescent="0.35">
      <c r="T6840" s="246">
        <f t="shared" si="144"/>
        <v>0</v>
      </c>
    </row>
    <row r="6841" spans="20:20" ht="18.75" customHeight="1" x14ac:dyDescent="0.35">
      <c r="T6841" s="246">
        <f t="shared" si="144"/>
        <v>0</v>
      </c>
    </row>
    <row r="6842" spans="20:20" ht="18.75" customHeight="1" x14ac:dyDescent="0.35">
      <c r="T6842" s="246">
        <f t="shared" si="144"/>
        <v>0</v>
      </c>
    </row>
    <row r="6843" spans="20:20" ht="18.75" customHeight="1" x14ac:dyDescent="0.35">
      <c r="T6843" s="246">
        <f t="shared" si="144"/>
        <v>0</v>
      </c>
    </row>
    <row r="6844" spans="20:20" ht="18.75" customHeight="1" x14ac:dyDescent="0.35">
      <c r="T6844" s="246">
        <f t="shared" ref="T6844:T6907" si="145">R6844*0.01</f>
        <v>0</v>
      </c>
    </row>
    <row r="6845" spans="20:20" ht="18.75" customHeight="1" x14ac:dyDescent="0.35">
      <c r="T6845" s="246">
        <f t="shared" si="145"/>
        <v>0</v>
      </c>
    </row>
    <row r="6846" spans="20:20" ht="18.75" customHeight="1" x14ac:dyDescent="0.35">
      <c r="T6846" s="246">
        <f t="shared" si="145"/>
        <v>0</v>
      </c>
    </row>
    <row r="6847" spans="20:20" ht="18.75" customHeight="1" x14ac:dyDescent="0.35">
      <c r="T6847" s="246">
        <f t="shared" si="145"/>
        <v>0</v>
      </c>
    </row>
    <row r="6848" spans="20:20" ht="18.75" customHeight="1" x14ac:dyDescent="0.35">
      <c r="T6848" s="246">
        <f t="shared" si="145"/>
        <v>0</v>
      </c>
    </row>
    <row r="6849" spans="20:20" ht="18.75" customHeight="1" x14ac:dyDescent="0.35">
      <c r="T6849" s="246">
        <f t="shared" si="145"/>
        <v>0</v>
      </c>
    </row>
    <row r="6850" spans="20:20" ht="18.75" customHeight="1" x14ac:dyDescent="0.35">
      <c r="T6850" s="246">
        <f t="shared" si="145"/>
        <v>0</v>
      </c>
    </row>
    <row r="6851" spans="20:20" ht="18.75" customHeight="1" x14ac:dyDescent="0.35">
      <c r="T6851" s="246">
        <f t="shared" si="145"/>
        <v>0</v>
      </c>
    </row>
    <row r="6852" spans="20:20" ht="18.75" customHeight="1" x14ac:dyDescent="0.35">
      <c r="T6852" s="246">
        <f t="shared" si="145"/>
        <v>0</v>
      </c>
    </row>
    <row r="6853" spans="20:20" ht="18.75" customHeight="1" x14ac:dyDescent="0.35">
      <c r="T6853" s="246">
        <f t="shared" si="145"/>
        <v>0</v>
      </c>
    </row>
    <row r="6854" spans="20:20" ht="18.75" customHeight="1" x14ac:dyDescent="0.35">
      <c r="T6854" s="246">
        <f t="shared" si="145"/>
        <v>0</v>
      </c>
    </row>
    <row r="6855" spans="20:20" ht="18.75" customHeight="1" x14ac:dyDescent="0.35">
      <c r="T6855" s="246">
        <f t="shared" si="145"/>
        <v>0</v>
      </c>
    </row>
    <row r="6856" spans="20:20" ht="18.75" customHeight="1" x14ac:dyDescent="0.35">
      <c r="T6856" s="246">
        <f t="shared" si="145"/>
        <v>0</v>
      </c>
    </row>
    <row r="6857" spans="20:20" ht="18.75" customHeight="1" x14ac:dyDescent="0.35">
      <c r="T6857" s="246">
        <f t="shared" si="145"/>
        <v>0</v>
      </c>
    </row>
    <row r="6858" spans="20:20" ht="18.75" customHeight="1" x14ac:dyDescent="0.35">
      <c r="T6858" s="246">
        <f t="shared" si="145"/>
        <v>0</v>
      </c>
    </row>
    <row r="6859" spans="20:20" ht="18.75" customHeight="1" x14ac:dyDescent="0.35">
      <c r="T6859" s="246">
        <f t="shared" si="145"/>
        <v>0</v>
      </c>
    </row>
    <row r="6860" spans="20:20" ht="18.75" customHeight="1" x14ac:dyDescent="0.35">
      <c r="T6860" s="246">
        <f t="shared" si="145"/>
        <v>0</v>
      </c>
    </row>
    <row r="6861" spans="20:20" ht="18.75" customHeight="1" x14ac:dyDescent="0.35">
      <c r="T6861" s="246">
        <f t="shared" si="145"/>
        <v>0</v>
      </c>
    </row>
    <row r="6862" spans="20:20" ht="18.75" customHeight="1" x14ac:dyDescent="0.35">
      <c r="T6862" s="246">
        <f t="shared" si="145"/>
        <v>0</v>
      </c>
    </row>
    <row r="6863" spans="20:20" ht="18.75" customHeight="1" x14ac:dyDescent="0.35">
      <c r="T6863" s="246">
        <f t="shared" si="145"/>
        <v>0</v>
      </c>
    </row>
    <row r="6864" spans="20:20" ht="18.75" customHeight="1" x14ac:dyDescent="0.35">
      <c r="T6864" s="246">
        <f t="shared" si="145"/>
        <v>0</v>
      </c>
    </row>
    <row r="6865" spans="20:20" ht="18.75" customHeight="1" x14ac:dyDescent="0.35">
      <c r="T6865" s="246">
        <f t="shared" si="145"/>
        <v>0</v>
      </c>
    </row>
    <row r="6866" spans="20:20" ht="18.75" customHeight="1" x14ac:dyDescent="0.35">
      <c r="T6866" s="246">
        <f t="shared" si="145"/>
        <v>0</v>
      </c>
    </row>
    <row r="6867" spans="20:20" ht="18.75" customHeight="1" x14ac:dyDescent="0.35">
      <c r="T6867" s="246">
        <f t="shared" si="145"/>
        <v>0</v>
      </c>
    </row>
    <row r="6868" spans="20:20" ht="18.75" customHeight="1" x14ac:dyDescent="0.35">
      <c r="T6868" s="246">
        <f t="shared" si="145"/>
        <v>0</v>
      </c>
    </row>
    <row r="6869" spans="20:20" ht="18.75" customHeight="1" x14ac:dyDescent="0.35">
      <c r="T6869" s="246">
        <f t="shared" si="145"/>
        <v>0</v>
      </c>
    </row>
    <row r="6870" spans="20:20" ht="18.75" customHeight="1" x14ac:dyDescent="0.35">
      <c r="T6870" s="246">
        <f t="shared" si="145"/>
        <v>0</v>
      </c>
    </row>
    <row r="6871" spans="20:20" ht="18.75" customHeight="1" x14ac:dyDescent="0.35">
      <c r="T6871" s="246">
        <f t="shared" si="145"/>
        <v>0</v>
      </c>
    </row>
    <row r="6872" spans="20:20" ht="18.75" customHeight="1" x14ac:dyDescent="0.35">
      <c r="T6872" s="246">
        <f t="shared" si="145"/>
        <v>0</v>
      </c>
    </row>
    <row r="6873" spans="20:20" ht="18.75" customHeight="1" x14ac:dyDescent="0.35">
      <c r="T6873" s="246">
        <f t="shared" si="145"/>
        <v>0</v>
      </c>
    </row>
    <row r="6874" spans="20:20" ht="18.75" customHeight="1" x14ac:dyDescent="0.35">
      <c r="T6874" s="246">
        <f t="shared" si="145"/>
        <v>0</v>
      </c>
    </row>
    <row r="6875" spans="20:20" ht="18.75" customHeight="1" x14ac:dyDescent="0.35">
      <c r="T6875" s="246">
        <f t="shared" si="145"/>
        <v>0</v>
      </c>
    </row>
    <row r="6876" spans="20:20" ht="18.75" customHeight="1" x14ac:dyDescent="0.35">
      <c r="T6876" s="246">
        <f t="shared" si="145"/>
        <v>0</v>
      </c>
    </row>
    <row r="6877" spans="20:20" ht="18.75" customHeight="1" x14ac:dyDescent="0.35">
      <c r="T6877" s="246">
        <f t="shared" si="145"/>
        <v>0</v>
      </c>
    </row>
    <row r="6878" spans="20:20" ht="18.75" customHeight="1" x14ac:dyDescent="0.35">
      <c r="T6878" s="246">
        <f t="shared" si="145"/>
        <v>0</v>
      </c>
    </row>
    <row r="6879" spans="20:20" ht="18.75" customHeight="1" x14ac:dyDescent="0.35">
      <c r="T6879" s="246">
        <f t="shared" si="145"/>
        <v>0</v>
      </c>
    </row>
    <row r="6880" spans="20:20" ht="18.75" customHeight="1" x14ac:dyDescent="0.35">
      <c r="T6880" s="246">
        <f t="shared" si="145"/>
        <v>0</v>
      </c>
    </row>
    <row r="6881" spans="20:20" ht="18.75" customHeight="1" x14ac:dyDescent="0.35">
      <c r="T6881" s="246">
        <f t="shared" si="145"/>
        <v>0</v>
      </c>
    </row>
    <row r="6882" spans="20:20" ht="18.75" customHeight="1" x14ac:dyDescent="0.35">
      <c r="T6882" s="246">
        <f t="shared" si="145"/>
        <v>0</v>
      </c>
    </row>
    <row r="6883" spans="20:20" ht="18.75" customHeight="1" x14ac:dyDescent="0.35">
      <c r="T6883" s="246">
        <f t="shared" si="145"/>
        <v>0</v>
      </c>
    </row>
    <row r="6884" spans="20:20" ht="18.75" customHeight="1" x14ac:dyDescent="0.35">
      <c r="T6884" s="246">
        <f t="shared" si="145"/>
        <v>0</v>
      </c>
    </row>
    <row r="6885" spans="20:20" ht="18.75" customHeight="1" x14ac:dyDescent="0.35">
      <c r="T6885" s="246">
        <f t="shared" si="145"/>
        <v>0</v>
      </c>
    </row>
    <row r="6886" spans="20:20" ht="18.75" customHeight="1" x14ac:dyDescent="0.35">
      <c r="T6886" s="246">
        <f t="shared" si="145"/>
        <v>0</v>
      </c>
    </row>
    <row r="6887" spans="20:20" ht="18.75" customHeight="1" x14ac:dyDescent="0.35">
      <c r="T6887" s="246">
        <f t="shared" si="145"/>
        <v>0</v>
      </c>
    </row>
    <row r="6888" spans="20:20" ht="18.75" customHeight="1" x14ac:dyDescent="0.35">
      <c r="T6888" s="246">
        <f t="shared" si="145"/>
        <v>0</v>
      </c>
    </row>
    <row r="6889" spans="20:20" ht="18.75" customHeight="1" x14ac:dyDescent="0.35">
      <c r="T6889" s="246">
        <f t="shared" si="145"/>
        <v>0</v>
      </c>
    </row>
    <row r="6890" spans="20:20" ht="18.75" customHeight="1" x14ac:dyDescent="0.35">
      <c r="T6890" s="246">
        <f t="shared" si="145"/>
        <v>0</v>
      </c>
    </row>
    <row r="6891" spans="20:20" ht="18.75" customHeight="1" x14ac:dyDescent="0.35">
      <c r="T6891" s="246">
        <f t="shared" si="145"/>
        <v>0</v>
      </c>
    </row>
    <row r="6892" spans="20:20" ht="18.75" customHeight="1" x14ac:dyDescent="0.35">
      <c r="T6892" s="246">
        <f t="shared" si="145"/>
        <v>0</v>
      </c>
    </row>
    <row r="6893" spans="20:20" ht="18.75" customHeight="1" x14ac:dyDescent="0.35">
      <c r="T6893" s="246">
        <f t="shared" si="145"/>
        <v>0</v>
      </c>
    </row>
    <row r="6894" spans="20:20" ht="18.75" customHeight="1" x14ac:dyDescent="0.35">
      <c r="T6894" s="246">
        <f t="shared" si="145"/>
        <v>0</v>
      </c>
    </row>
    <row r="6895" spans="20:20" ht="18.75" customHeight="1" x14ac:dyDescent="0.35">
      <c r="T6895" s="246">
        <f t="shared" si="145"/>
        <v>0</v>
      </c>
    </row>
    <row r="6896" spans="20:20" ht="18.75" customHeight="1" x14ac:dyDescent="0.35">
      <c r="T6896" s="246">
        <f t="shared" si="145"/>
        <v>0</v>
      </c>
    </row>
    <row r="6897" spans="20:20" ht="18.75" customHeight="1" x14ac:dyDescent="0.35">
      <c r="T6897" s="246">
        <f t="shared" si="145"/>
        <v>0</v>
      </c>
    </row>
    <row r="6898" spans="20:20" ht="18.75" customHeight="1" x14ac:dyDescent="0.35">
      <c r="T6898" s="246">
        <f t="shared" si="145"/>
        <v>0</v>
      </c>
    </row>
    <row r="6899" spans="20:20" ht="18.75" customHeight="1" x14ac:dyDescent="0.35">
      <c r="T6899" s="246">
        <f t="shared" si="145"/>
        <v>0</v>
      </c>
    </row>
    <row r="6900" spans="20:20" ht="18.75" customHeight="1" x14ac:dyDescent="0.35">
      <c r="T6900" s="246">
        <f t="shared" si="145"/>
        <v>0</v>
      </c>
    </row>
    <row r="6901" spans="20:20" ht="18.75" customHeight="1" x14ac:dyDescent="0.35">
      <c r="T6901" s="246">
        <f t="shared" si="145"/>
        <v>0</v>
      </c>
    </row>
    <row r="6902" spans="20:20" ht="18.75" customHeight="1" x14ac:dyDescent="0.35">
      <c r="T6902" s="246">
        <f t="shared" si="145"/>
        <v>0</v>
      </c>
    </row>
    <row r="6903" spans="20:20" ht="18.75" customHeight="1" x14ac:dyDescent="0.35">
      <c r="T6903" s="246">
        <f t="shared" si="145"/>
        <v>0</v>
      </c>
    </row>
    <row r="6904" spans="20:20" ht="18.75" customHeight="1" x14ac:dyDescent="0.35">
      <c r="T6904" s="246">
        <f t="shared" si="145"/>
        <v>0</v>
      </c>
    </row>
    <row r="6905" spans="20:20" ht="18.75" customHeight="1" x14ac:dyDescent="0.35">
      <c r="T6905" s="246">
        <f t="shared" si="145"/>
        <v>0</v>
      </c>
    </row>
    <row r="6906" spans="20:20" ht="18.75" customHeight="1" x14ac:dyDescent="0.35">
      <c r="T6906" s="246">
        <f t="shared" si="145"/>
        <v>0</v>
      </c>
    </row>
    <row r="6907" spans="20:20" ht="18.75" customHeight="1" x14ac:dyDescent="0.35">
      <c r="T6907" s="246">
        <f t="shared" si="145"/>
        <v>0</v>
      </c>
    </row>
    <row r="6908" spans="20:20" ht="18.75" customHeight="1" x14ac:dyDescent="0.35">
      <c r="T6908" s="246">
        <f t="shared" ref="T6908:T6971" si="146">R6908*0.01</f>
        <v>0</v>
      </c>
    </row>
    <row r="6909" spans="20:20" ht="18.75" customHeight="1" x14ac:dyDescent="0.35">
      <c r="T6909" s="246">
        <f t="shared" si="146"/>
        <v>0</v>
      </c>
    </row>
    <row r="6910" spans="20:20" ht="18.75" customHeight="1" x14ac:dyDescent="0.35">
      <c r="T6910" s="246">
        <f t="shared" si="146"/>
        <v>0</v>
      </c>
    </row>
    <row r="6911" spans="20:20" ht="18.75" customHeight="1" x14ac:dyDescent="0.35">
      <c r="T6911" s="246">
        <f t="shared" si="146"/>
        <v>0</v>
      </c>
    </row>
    <row r="6912" spans="20:20" ht="18.75" customHeight="1" x14ac:dyDescent="0.35">
      <c r="T6912" s="246">
        <f t="shared" si="146"/>
        <v>0</v>
      </c>
    </row>
    <row r="6913" spans="20:20" ht="18.75" customHeight="1" x14ac:dyDescent="0.35">
      <c r="T6913" s="246">
        <f t="shared" si="146"/>
        <v>0</v>
      </c>
    </row>
    <row r="6914" spans="20:20" ht="18.75" customHeight="1" x14ac:dyDescent="0.35">
      <c r="T6914" s="246">
        <f t="shared" si="146"/>
        <v>0</v>
      </c>
    </row>
    <row r="6915" spans="20:20" ht="18.75" customHeight="1" x14ac:dyDescent="0.35">
      <c r="T6915" s="246">
        <f t="shared" si="146"/>
        <v>0</v>
      </c>
    </row>
    <row r="6916" spans="20:20" ht="18.75" customHeight="1" x14ac:dyDescent="0.35">
      <c r="T6916" s="246">
        <f t="shared" si="146"/>
        <v>0</v>
      </c>
    </row>
    <row r="6917" spans="20:20" ht="18.75" customHeight="1" x14ac:dyDescent="0.35">
      <c r="T6917" s="246">
        <f t="shared" si="146"/>
        <v>0</v>
      </c>
    </row>
    <row r="6918" spans="20:20" ht="18.75" customHeight="1" x14ac:dyDescent="0.35">
      <c r="T6918" s="246">
        <f t="shared" si="146"/>
        <v>0</v>
      </c>
    </row>
    <row r="6919" spans="20:20" ht="18.75" customHeight="1" x14ac:dyDescent="0.35">
      <c r="T6919" s="246">
        <f t="shared" si="146"/>
        <v>0</v>
      </c>
    </row>
    <row r="6920" spans="20:20" ht="18.75" customHeight="1" x14ac:dyDescent="0.35">
      <c r="T6920" s="246">
        <f t="shared" si="146"/>
        <v>0</v>
      </c>
    </row>
    <row r="6921" spans="20:20" ht="18.75" customHeight="1" x14ac:dyDescent="0.35">
      <c r="T6921" s="246">
        <f t="shared" si="146"/>
        <v>0</v>
      </c>
    </row>
    <row r="6922" spans="20:20" ht="18.75" customHeight="1" x14ac:dyDescent="0.35">
      <c r="T6922" s="246">
        <f t="shared" si="146"/>
        <v>0</v>
      </c>
    </row>
    <row r="6923" spans="20:20" ht="18.75" customHeight="1" x14ac:dyDescent="0.35">
      <c r="T6923" s="246">
        <f t="shared" si="146"/>
        <v>0</v>
      </c>
    </row>
    <row r="6924" spans="20:20" ht="18.75" customHeight="1" x14ac:dyDescent="0.35">
      <c r="T6924" s="246">
        <f t="shared" si="146"/>
        <v>0</v>
      </c>
    </row>
    <row r="6925" spans="20:20" ht="18.75" customHeight="1" x14ac:dyDescent="0.35">
      <c r="T6925" s="246">
        <f t="shared" si="146"/>
        <v>0</v>
      </c>
    </row>
    <row r="6926" spans="20:20" ht="18.75" customHeight="1" x14ac:dyDescent="0.35">
      <c r="T6926" s="246">
        <f t="shared" si="146"/>
        <v>0</v>
      </c>
    </row>
    <row r="6927" spans="20:20" ht="18.75" customHeight="1" x14ac:dyDescent="0.35">
      <c r="T6927" s="246">
        <f t="shared" si="146"/>
        <v>0</v>
      </c>
    </row>
    <row r="6928" spans="20:20" ht="18.75" customHeight="1" x14ac:dyDescent="0.35">
      <c r="T6928" s="246">
        <f t="shared" si="146"/>
        <v>0</v>
      </c>
    </row>
    <row r="6929" spans="20:20" ht="18.75" customHeight="1" x14ac:dyDescent="0.35">
      <c r="T6929" s="246">
        <f t="shared" si="146"/>
        <v>0</v>
      </c>
    </row>
    <row r="6930" spans="20:20" ht="18.75" customHeight="1" x14ac:dyDescent="0.35">
      <c r="T6930" s="246">
        <f t="shared" si="146"/>
        <v>0</v>
      </c>
    </row>
    <row r="6931" spans="20:20" ht="18.75" customHeight="1" x14ac:dyDescent="0.35">
      <c r="T6931" s="246">
        <f t="shared" si="146"/>
        <v>0</v>
      </c>
    </row>
    <row r="6932" spans="20:20" ht="18.75" customHeight="1" x14ac:dyDescent="0.35">
      <c r="T6932" s="246">
        <f t="shared" si="146"/>
        <v>0</v>
      </c>
    </row>
    <row r="6933" spans="20:20" ht="18.75" customHeight="1" x14ac:dyDescent="0.35">
      <c r="T6933" s="246">
        <f t="shared" si="146"/>
        <v>0</v>
      </c>
    </row>
    <row r="6934" spans="20:20" ht="18.75" customHeight="1" x14ac:dyDescent="0.35">
      <c r="T6934" s="246">
        <f t="shared" si="146"/>
        <v>0</v>
      </c>
    </row>
    <row r="6935" spans="20:20" ht="18.75" customHeight="1" x14ac:dyDescent="0.35">
      <c r="T6935" s="246">
        <f t="shared" si="146"/>
        <v>0</v>
      </c>
    </row>
    <row r="6936" spans="20:20" ht="18.75" customHeight="1" x14ac:dyDescent="0.35">
      <c r="T6936" s="246">
        <f t="shared" si="146"/>
        <v>0</v>
      </c>
    </row>
    <row r="6937" spans="20:20" ht="18.75" customHeight="1" x14ac:dyDescent="0.35">
      <c r="T6937" s="246">
        <f t="shared" si="146"/>
        <v>0</v>
      </c>
    </row>
    <row r="6938" spans="20:20" ht="18.75" customHeight="1" x14ac:dyDescent="0.35">
      <c r="T6938" s="246">
        <f t="shared" si="146"/>
        <v>0</v>
      </c>
    </row>
    <row r="6939" spans="20:20" ht="18.75" customHeight="1" x14ac:dyDescent="0.35">
      <c r="T6939" s="246">
        <f t="shared" si="146"/>
        <v>0</v>
      </c>
    </row>
    <row r="6940" spans="20:20" ht="18.75" customHeight="1" x14ac:dyDescent="0.35">
      <c r="T6940" s="246">
        <f t="shared" si="146"/>
        <v>0</v>
      </c>
    </row>
    <row r="6941" spans="20:20" ht="18.75" customHeight="1" x14ac:dyDescent="0.35">
      <c r="T6941" s="246">
        <f t="shared" si="146"/>
        <v>0</v>
      </c>
    </row>
    <row r="6942" spans="20:20" ht="18.75" customHeight="1" x14ac:dyDescent="0.35">
      <c r="T6942" s="246">
        <f t="shared" si="146"/>
        <v>0</v>
      </c>
    </row>
    <row r="6943" spans="20:20" ht="18.75" customHeight="1" x14ac:dyDescent="0.35">
      <c r="T6943" s="246">
        <f t="shared" si="146"/>
        <v>0</v>
      </c>
    </row>
    <row r="6944" spans="20:20" ht="18.75" customHeight="1" x14ac:dyDescent="0.35">
      <c r="T6944" s="246">
        <f t="shared" si="146"/>
        <v>0</v>
      </c>
    </row>
    <row r="6945" spans="20:20" ht="18.75" customHeight="1" x14ac:dyDescent="0.35">
      <c r="T6945" s="246">
        <f t="shared" si="146"/>
        <v>0</v>
      </c>
    </row>
    <row r="6946" spans="20:20" ht="18.75" customHeight="1" x14ac:dyDescent="0.35">
      <c r="T6946" s="246">
        <f t="shared" si="146"/>
        <v>0</v>
      </c>
    </row>
    <row r="6947" spans="20:20" ht="18.75" customHeight="1" x14ac:dyDescent="0.35">
      <c r="T6947" s="246">
        <f t="shared" si="146"/>
        <v>0</v>
      </c>
    </row>
    <row r="6948" spans="20:20" ht="18.75" customHeight="1" x14ac:dyDescent="0.35">
      <c r="T6948" s="246">
        <f t="shared" si="146"/>
        <v>0</v>
      </c>
    </row>
    <row r="6949" spans="20:20" ht="18.75" customHeight="1" x14ac:dyDescent="0.35">
      <c r="T6949" s="246">
        <f t="shared" si="146"/>
        <v>0</v>
      </c>
    </row>
    <row r="6950" spans="20:20" ht="18.75" customHeight="1" x14ac:dyDescent="0.35">
      <c r="T6950" s="246">
        <f t="shared" si="146"/>
        <v>0</v>
      </c>
    </row>
    <row r="6951" spans="20:20" ht="18.75" customHeight="1" x14ac:dyDescent="0.35">
      <c r="T6951" s="246">
        <f t="shared" si="146"/>
        <v>0</v>
      </c>
    </row>
    <row r="6952" spans="20:20" ht="18.75" customHeight="1" x14ac:dyDescent="0.35">
      <c r="T6952" s="246">
        <f t="shared" si="146"/>
        <v>0</v>
      </c>
    </row>
    <row r="6953" spans="20:20" ht="18.75" customHeight="1" x14ac:dyDescent="0.35">
      <c r="T6953" s="246">
        <f t="shared" si="146"/>
        <v>0</v>
      </c>
    </row>
    <row r="6954" spans="20:20" ht="18.75" customHeight="1" x14ac:dyDescent="0.35">
      <c r="T6954" s="246">
        <f t="shared" si="146"/>
        <v>0</v>
      </c>
    </row>
    <row r="6955" spans="20:20" ht="18.75" customHeight="1" x14ac:dyDescent="0.35">
      <c r="T6955" s="246">
        <f t="shared" si="146"/>
        <v>0</v>
      </c>
    </row>
    <row r="6956" spans="20:20" ht="18.75" customHeight="1" x14ac:dyDescent="0.35">
      <c r="T6956" s="246">
        <f t="shared" si="146"/>
        <v>0</v>
      </c>
    </row>
    <row r="6957" spans="20:20" ht="18.75" customHeight="1" x14ac:dyDescent="0.35">
      <c r="T6957" s="246">
        <f t="shared" si="146"/>
        <v>0</v>
      </c>
    </row>
    <row r="6958" spans="20:20" ht="18.75" customHeight="1" x14ac:dyDescent="0.35">
      <c r="T6958" s="246">
        <f t="shared" si="146"/>
        <v>0</v>
      </c>
    </row>
    <row r="6959" spans="20:20" ht="18.75" customHeight="1" x14ac:dyDescent="0.35">
      <c r="T6959" s="246">
        <f t="shared" si="146"/>
        <v>0</v>
      </c>
    </row>
    <row r="6960" spans="20:20" ht="18.75" customHeight="1" x14ac:dyDescent="0.35">
      <c r="T6960" s="246">
        <f t="shared" si="146"/>
        <v>0</v>
      </c>
    </row>
    <row r="6961" spans="20:20" ht="18.75" customHeight="1" x14ac:dyDescent="0.35">
      <c r="T6961" s="246">
        <f t="shared" si="146"/>
        <v>0</v>
      </c>
    </row>
    <row r="6962" spans="20:20" ht="18.75" customHeight="1" x14ac:dyDescent="0.35">
      <c r="T6962" s="246">
        <f t="shared" si="146"/>
        <v>0</v>
      </c>
    </row>
    <row r="6963" spans="20:20" ht="18.75" customHeight="1" x14ac:dyDescent="0.35">
      <c r="T6963" s="246">
        <f t="shared" si="146"/>
        <v>0</v>
      </c>
    </row>
    <row r="6964" spans="20:20" ht="18.75" customHeight="1" x14ac:dyDescent="0.35">
      <c r="T6964" s="246">
        <f t="shared" si="146"/>
        <v>0</v>
      </c>
    </row>
    <row r="6965" spans="20:20" ht="18.75" customHeight="1" x14ac:dyDescent="0.35">
      <c r="T6965" s="246">
        <f t="shared" si="146"/>
        <v>0</v>
      </c>
    </row>
    <row r="6966" spans="20:20" ht="18.75" customHeight="1" x14ac:dyDescent="0.35">
      <c r="T6966" s="246">
        <f t="shared" si="146"/>
        <v>0</v>
      </c>
    </row>
    <row r="6967" spans="20:20" ht="18.75" customHeight="1" x14ac:dyDescent="0.35">
      <c r="T6967" s="246">
        <f t="shared" si="146"/>
        <v>0</v>
      </c>
    </row>
    <row r="6968" spans="20:20" ht="18.75" customHeight="1" x14ac:dyDescent="0.35">
      <c r="T6968" s="246">
        <f t="shared" si="146"/>
        <v>0</v>
      </c>
    </row>
    <row r="6969" spans="20:20" ht="18.75" customHeight="1" x14ac:dyDescent="0.35">
      <c r="T6969" s="246">
        <f t="shared" si="146"/>
        <v>0</v>
      </c>
    </row>
    <row r="6970" spans="20:20" ht="18.75" customHeight="1" x14ac:dyDescent="0.35">
      <c r="T6970" s="246">
        <f t="shared" si="146"/>
        <v>0</v>
      </c>
    </row>
    <row r="6971" spans="20:20" ht="18.75" customHeight="1" x14ac:dyDescent="0.35">
      <c r="T6971" s="246">
        <f t="shared" si="146"/>
        <v>0</v>
      </c>
    </row>
    <row r="6972" spans="20:20" ht="18.75" customHeight="1" x14ac:dyDescent="0.35">
      <c r="T6972" s="246">
        <f t="shared" ref="T6972:T7035" si="147">R6972*0.01</f>
        <v>0</v>
      </c>
    </row>
    <row r="6973" spans="20:20" ht="18.75" customHeight="1" x14ac:dyDescent="0.35">
      <c r="T6973" s="246">
        <f t="shared" si="147"/>
        <v>0</v>
      </c>
    </row>
    <row r="6974" spans="20:20" ht="18.75" customHeight="1" x14ac:dyDescent="0.35">
      <c r="T6974" s="246">
        <f t="shared" si="147"/>
        <v>0</v>
      </c>
    </row>
    <row r="6975" spans="20:20" ht="18.75" customHeight="1" x14ac:dyDescent="0.35">
      <c r="T6975" s="246">
        <f t="shared" si="147"/>
        <v>0</v>
      </c>
    </row>
    <row r="6976" spans="20:20" ht="18.75" customHeight="1" x14ac:dyDescent="0.35">
      <c r="T6976" s="246">
        <f t="shared" si="147"/>
        <v>0</v>
      </c>
    </row>
    <row r="6977" spans="20:20" ht="18.75" customHeight="1" x14ac:dyDescent="0.35">
      <c r="T6977" s="246">
        <f t="shared" si="147"/>
        <v>0</v>
      </c>
    </row>
    <row r="6978" spans="20:20" ht="18.75" customHeight="1" x14ac:dyDescent="0.35">
      <c r="T6978" s="246">
        <f t="shared" si="147"/>
        <v>0</v>
      </c>
    </row>
    <row r="6979" spans="20:20" ht="18.75" customHeight="1" x14ac:dyDescent="0.35">
      <c r="T6979" s="246">
        <f t="shared" si="147"/>
        <v>0</v>
      </c>
    </row>
    <row r="6980" spans="20:20" ht="18.75" customHeight="1" x14ac:dyDescent="0.35">
      <c r="T6980" s="246">
        <f t="shared" si="147"/>
        <v>0</v>
      </c>
    </row>
    <row r="6981" spans="20:20" ht="18.75" customHeight="1" x14ac:dyDescent="0.35">
      <c r="T6981" s="246">
        <f t="shared" si="147"/>
        <v>0</v>
      </c>
    </row>
    <row r="6982" spans="20:20" ht="18.75" customHeight="1" x14ac:dyDescent="0.35">
      <c r="T6982" s="246">
        <f t="shared" si="147"/>
        <v>0</v>
      </c>
    </row>
    <row r="6983" spans="20:20" ht="18.75" customHeight="1" x14ac:dyDescent="0.35">
      <c r="T6983" s="246">
        <f t="shared" si="147"/>
        <v>0</v>
      </c>
    </row>
    <row r="6984" spans="20:20" ht="18.75" customHeight="1" x14ac:dyDescent="0.35">
      <c r="T6984" s="246">
        <f t="shared" si="147"/>
        <v>0</v>
      </c>
    </row>
    <row r="6985" spans="20:20" ht="18.75" customHeight="1" x14ac:dyDescent="0.35">
      <c r="T6985" s="246">
        <f t="shared" si="147"/>
        <v>0</v>
      </c>
    </row>
    <row r="6986" spans="20:20" ht="18.75" customHeight="1" x14ac:dyDescent="0.35">
      <c r="T6986" s="246">
        <f t="shared" si="147"/>
        <v>0</v>
      </c>
    </row>
    <row r="6987" spans="20:20" ht="18.75" customHeight="1" x14ac:dyDescent="0.35">
      <c r="T6987" s="246">
        <f t="shared" si="147"/>
        <v>0</v>
      </c>
    </row>
    <row r="6988" spans="20:20" ht="18.75" customHeight="1" x14ac:dyDescent="0.35">
      <c r="T6988" s="246">
        <f t="shared" si="147"/>
        <v>0</v>
      </c>
    </row>
    <row r="6989" spans="20:20" ht="18.75" customHeight="1" x14ac:dyDescent="0.35">
      <c r="T6989" s="246">
        <f t="shared" si="147"/>
        <v>0</v>
      </c>
    </row>
    <row r="6990" spans="20:20" ht="18.75" customHeight="1" x14ac:dyDescent="0.35">
      <c r="T6990" s="246">
        <f t="shared" si="147"/>
        <v>0</v>
      </c>
    </row>
    <row r="6991" spans="20:20" ht="18.75" customHeight="1" x14ac:dyDescent="0.35">
      <c r="T6991" s="246">
        <f t="shared" si="147"/>
        <v>0</v>
      </c>
    </row>
    <row r="6992" spans="20:20" ht="18.75" customHeight="1" x14ac:dyDescent="0.35">
      <c r="T6992" s="246">
        <f t="shared" si="147"/>
        <v>0</v>
      </c>
    </row>
    <row r="6993" spans="20:20" ht="18.75" customHeight="1" x14ac:dyDescent="0.35">
      <c r="T6993" s="246">
        <f t="shared" si="147"/>
        <v>0</v>
      </c>
    </row>
    <row r="6994" spans="20:20" ht="18.75" customHeight="1" x14ac:dyDescent="0.35">
      <c r="T6994" s="246">
        <f t="shared" si="147"/>
        <v>0</v>
      </c>
    </row>
    <row r="6995" spans="20:20" ht="18.75" customHeight="1" x14ac:dyDescent="0.35">
      <c r="T6995" s="246">
        <f t="shared" si="147"/>
        <v>0</v>
      </c>
    </row>
    <row r="6996" spans="20:20" ht="18.75" customHeight="1" x14ac:dyDescent="0.35">
      <c r="T6996" s="246">
        <f t="shared" si="147"/>
        <v>0</v>
      </c>
    </row>
    <row r="6997" spans="20:20" ht="18.75" customHeight="1" x14ac:dyDescent="0.35">
      <c r="T6997" s="246">
        <f t="shared" si="147"/>
        <v>0</v>
      </c>
    </row>
    <row r="6998" spans="20:20" ht="18.75" customHeight="1" x14ac:dyDescent="0.35">
      <c r="T6998" s="246">
        <f t="shared" si="147"/>
        <v>0</v>
      </c>
    </row>
    <row r="6999" spans="20:20" ht="18.75" customHeight="1" x14ac:dyDescent="0.35">
      <c r="T6999" s="246">
        <f t="shared" si="147"/>
        <v>0</v>
      </c>
    </row>
    <row r="7000" spans="20:20" ht="18.75" customHeight="1" x14ac:dyDescent="0.35">
      <c r="T7000" s="246">
        <f t="shared" si="147"/>
        <v>0</v>
      </c>
    </row>
    <row r="7001" spans="20:20" ht="18.75" customHeight="1" x14ac:dyDescent="0.35">
      <c r="T7001" s="246">
        <f t="shared" si="147"/>
        <v>0</v>
      </c>
    </row>
    <row r="7002" spans="20:20" ht="18.75" customHeight="1" x14ac:dyDescent="0.35">
      <c r="T7002" s="246">
        <f t="shared" si="147"/>
        <v>0</v>
      </c>
    </row>
    <row r="7003" spans="20:20" ht="18.75" customHeight="1" x14ac:dyDescent="0.35">
      <c r="T7003" s="246">
        <f t="shared" si="147"/>
        <v>0</v>
      </c>
    </row>
    <row r="7004" spans="20:20" ht="18.75" customHeight="1" x14ac:dyDescent="0.35">
      <c r="T7004" s="246">
        <f t="shared" si="147"/>
        <v>0</v>
      </c>
    </row>
    <row r="7005" spans="20:20" ht="18.75" customHeight="1" x14ac:dyDescent="0.35">
      <c r="T7005" s="246">
        <f t="shared" si="147"/>
        <v>0</v>
      </c>
    </row>
    <row r="7006" spans="20:20" ht="18.75" customHeight="1" x14ac:dyDescent="0.35">
      <c r="T7006" s="246">
        <f t="shared" si="147"/>
        <v>0</v>
      </c>
    </row>
    <row r="7007" spans="20:20" ht="18.75" customHeight="1" x14ac:dyDescent="0.35">
      <c r="T7007" s="246">
        <f t="shared" si="147"/>
        <v>0</v>
      </c>
    </row>
    <row r="7008" spans="20:20" ht="18.75" customHeight="1" x14ac:dyDescent="0.35">
      <c r="T7008" s="246">
        <f t="shared" si="147"/>
        <v>0</v>
      </c>
    </row>
    <row r="7009" spans="20:20" ht="18.75" customHeight="1" x14ac:dyDescent="0.35">
      <c r="T7009" s="246">
        <f t="shared" si="147"/>
        <v>0</v>
      </c>
    </row>
    <row r="7010" spans="20:20" ht="18.75" customHeight="1" x14ac:dyDescent="0.35">
      <c r="T7010" s="246">
        <f t="shared" si="147"/>
        <v>0</v>
      </c>
    </row>
    <row r="7011" spans="20:20" ht="18.75" customHeight="1" x14ac:dyDescent="0.35">
      <c r="T7011" s="246">
        <f t="shared" si="147"/>
        <v>0</v>
      </c>
    </row>
    <row r="7012" spans="20:20" ht="18.75" customHeight="1" x14ac:dyDescent="0.35">
      <c r="T7012" s="246">
        <f t="shared" si="147"/>
        <v>0</v>
      </c>
    </row>
    <row r="7013" spans="20:20" ht="18.75" customHeight="1" x14ac:dyDescent="0.35">
      <c r="T7013" s="246">
        <f t="shared" si="147"/>
        <v>0</v>
      </c>
    </row>
    <row r="7014" spans="20:20" ht="18.75" customHeight="1" x14ac:dyDescent="0.35">
      <c r="T7014" s="246">
        <f t="shared" si="147"/>
        <v>0</v>
      </c>
    </row>
    <row r="7015" spans="20:20" ht="18.75" customHeight="1" x14ac:dyDescent="0.35">
      <c r="T7015" s="246">
        <f t="shared" si="147"/>
        <v>0</v>
      </c>
    </row>
    <row r="7016" spans="20:20" ht="18.75" customHeight="1" x14ac:dyDescent="0.35">
      <c r="T7016" s="246">
        <f t="shared" si="147"/>
        <v>0</v>
      </c>
    </row>
    <row r="7017" spans="20:20" ht="18.75" customHeight="1" x14ac:dyDescent="0.35">
      <c r="T7017" s="246">
        <f t="shared" si="147"/>
        <v>0</v>
      </c>
    </row>
    <row r="7018" spans="20:20" ht="18.75" customHeight="1" x14ac:dyDescent="0.35">
      <c r="T7018" s="246">
        <f t="shared" si="147"/>
        <v>0</v>
      </c>
    </row>
    <row r="7019" spans="20:20" ht="18.75" customHeight="1" x14ac:dyDescent="0.35">
      <c r="T7019" s="246">
        <f t="shared" si="147"/>
        <v>0</v>
      </c>
    </row>
    <row r="7020" spans="20:20" ht="18.75" customHeight="1" x14ac:dyDescent="0.35">
      <c r="T7020" s="246">
        <f t="shared" si="147"/>
        <v>0</v>
      </c>
    </row>
    <row r="7021" spans="20:20" ht="18.75" customHeight="1" x14ac:dyDescent="0.35">
      <c r="T7021" s="246">
        <f t="shared" si="147"/>
        <v>0</v>
      </c>
    </row>
    <row r="7022" spans="20:20" ht="18.75" customHeight="1" x14ac:dyDescent="0.35">
      <c r="T7022" s="246">
        <f t="shared" si="147"/>
        <v>0</v>
      </c>
    </row>
    <row r="7023" spans="20:20" ht="18.75" customHeight="1" x14ac:dyDescent="0.35">
      <c r="T7023" s="246">
        <f t="shared" si="147"/>
        <v>0</v>
      </c>
    </row>
    <row r="7024" spans="20:20" ht="18.75" customHeight="1" x14ac:dyDescent="0.35">
      <c r="T7024" s="246">
        <f t="shared" si="147"/>
        <v>0</v>
      </c>
    </row>
    <row r="7025" spans="20:20" ht="18.75" customHeight="1" x14ac:dyDescent="0.35">
      <c r="T7025" s="246">
        <f t="shared" si="147"/>
        <v>0</v>
      </c>
    </row>
    <row r="7026" spans="20:20" ht="18.75" customHeight="1" x14ac:dyDescent="0.35">
      <c r="T7026" s="246">
        <f t="shared" si="147"/>
        <v>0</v>
      </c>
    </row>
    <row r="7027" spans="20:20" ht="18.75" customHeight="1" x14ac:dyDescent="0.35">
      <c r="T7027" s="246">
        <f t="shared" si="147"/>
        <v>0</v>
      </c>
    </row>
    <row r="7028" spans="20:20" ht="18.75" customHeight="1" x14ac:dyDescent="0.35">
      <c r="T7028" s="246">
        <f t="shared" si="147"/>
        <v>0</v>
      </c>
    </row>
    <row r="7029" spans="20:20" ht="18.75" customHeight="1" x14ac:dyDescent="0.35">
      <c r="T7029" s="246">
        <f t="shared" si="147"/>
        <v>0</v>
      </c>
    </row>
    <row r="7030" spans="20:20" ht="18.75" customHeight="1" x14ac:dyDescent="0.35">
      <c r="T7030" s="246">
        <f t="shared" si="147"/>
        <v>0</v>
      </c>
    </row>
    <row r="7031" spans="20:20" ht="18.75" customHeight="1" x14ac:dyDescent="0.35">
      <c r="T7031" s="246">
        <f t="shared" si="147"/>
        <v>0</v>
      </c>
    </row>
    <row r="7032" spans="20:20" ht="18.75" customHeight="1" x14ac:dyDescent="0.35">
      <c r="T7032" s="246">
        <f t="shared" si="147"/>
        <v>0</v>
      </c>
    </row>
    <row r="7033" spans="20:20" ht="18.75" customHeight="1" x14ac:dyDescent="0.35">
      <c r="T7033" s="246">
        <f t="shared" si="147"/>
        <v>0</v>
      </c>
    </row>
    <row r="7034" spans="20:20" ht="18.75" customHeight="1" x14ac:dyDescent="0.35">
      <c r="T7034" s="246">
        <f t="shared" si="147"/>
        <v>0</v>
      </c>
    </row>
    <row r="7035" spans="20:20" ht="18.75" customHeight="1" x14ac:dyDescent="0.35">
      <c r="T7035" s="246">
        <f t="shared" si="147"/>
        <v>0</v>
      </c>
    </row>
    <row r="7036" spans="20:20" ht="18.75" customHeight="1" x14ac:dyDescent="0.35">
      <c r="T7036" s="246">
        <f t="shared" ref="T7036:T7099" si="148">R7036*0.01</f>
        <v>0</v>
      </c>
    </row>
    <row r="7037" spans="20:20" ht="18.75" customHeight="1" x14ac:dyDescent="0.35">
      <c r="T7037" s="246">
        <f t="shared" si="148"/>
        <v>0</v>
      </c>
    </row>
    <row r="7038" spans="20:20" ht="18.75" customHeight="1" x14ac:dyDescent="0.35">
      <c r="T7038" s="246">
        <f t="shared" si="148"/>
        <v>0</v>
      </c>
    </row>
    <row r="7039" spans="20:20" ht="18.75" customHeight="1" x14ac:dyDescent="0.35">
      <c r="T7039" s="246">
        <f t="shared" si="148"/>
        <v>0</v>
      </c>
    </row>
    <row r="7040" spans="20:20" ht="18.75" customHeight="1" x14ac:dyDescent="0.35">
      <c r="T7040" s="246">
        <f t="shared" si="148"/>
        <v>0</v>
      </c>
    </row>
    <row r="7041" spans="20:20" ht="18.75" customHeight="1" x14ac:dyDescent="0.35">
      <c r="T7041" s="246">
        <f t="shared" si="148"/>
        <v>0</v>
      </c>
    </row>
    <row r="7042" spans="20:20" ht="18.75" customHeight="1" x14ac:dyDescent="0.35">
      <c r="T7042" s="246">
        <f t="shared" si="148"/>
        <v>0</v>
      </c>
    </row>
    <row r="7043" spans="20:20" ht="18.75" customHeight="1" x14ac:dyDescent="0.35">
      <c r="T7043" s="246">
        <f t="shared" si="148"/>
        <v>0</v>
      </c>
    </row>
    <row r="7044" spans="20:20" ht="18.75" customHeight="1" x14ac:dyDescent="0.35">
      <c r="T7044" s="246">
        <f t="shared" si="148"/>
        <v>0</v>
      </c>
    </row>
    <row r="7045" spans="20:20" ht="18.75" customHeight="1" x14ac:dyDescent="0.35">
      <c r="T7045" s="246">
        <f t="shared" si="148"/>
        <v>0</v>
      </c>
    </row>
    <row r="7046" spans="20:20" ht="18.75" customHeight="1" x14ac:dyDescent="0.35">
      <c r="T7046" s="246">
        <f t="shared" si="148"/>
        <v>0</v>
      </c>
    </row>
    <row r="7047" spans="20:20" ht="18.75" customHeight="1" x14ac:dyDescent="0.35">
      <c r="T7047" s="246">
        <f t="shared" si="148"/>
        <v>0</v>
      </c>
    </row>
    <row r="7048" spans="20:20" ht="18.75" customHeight="1" x14ac:dyDescent="0.35">
      <c r="T7048" s="246">
        <f t="shared" si="148"/>
        <v>0</v>
      </c>
    </row>
    <row r="7049" spans="20:20" ht="18.75" customHeight="1" x14ac:dyDescent="0.35">
      <c r="T7049" s="246">
        <f t="shared" si="148"/>
        <v>0</v>
      </c>
    </row>
    <row r="7050" spans="20:20" ht="18.75" customHeight="1" x14ac:dyDescent="0.35">
      <c r="T7050" s="246">
        <f t="shared" si="148"/>
        <v>0</v>
      </c>
    </row>
    <row r="7051" spans="20:20" ht="18.75" customHeight="1" x14ac:dyDescent="0.35">
      <c r="T7051" s="246">
        <f t="shared" si="148"/>
        <v>0</v>
      </c>
    </row>
    <row r="7052" spans="20:20" ht="18.75" customHeight="1" x14ac:dyDescent="0.35">
      <c r="T7052" s="246">
        <f t="shared" si="148"/>
        <v>0</v>
      </c>
    </row>
    <row r="7053" spans="20:20" ht="18.75" customHeight="1" x14ac:dyDescent="0.35">
      <c r="T7053" s="246">
        <f t="shared" si="148"/>
        <v>0</v>
      </c>
    </row>
    <row r="7054" spans="20:20" ht="18.75" customHeight="1" x14ac:dyDescent="0.35">
      <c r="T7054" s="246">
        <f t="shared" si="148"/>
        <v>0</v>
      </c>
    </row>
    <row r="7055" spans="20:20" ht="18.75" customHeight="1" x14ac:dyDescent="0.35">
      <c r="T7055" s="246">
        <f t="shared" si="148"/>
        <v>0</v>
      </c>
    </row>
    <row r="7056" spans="20:20" ht="18.75" customHeight="1" x14ac:dyDescent="0.35">
      <c r="T7056" s="246">
        <f t="shared" si="148"/>
        <v>0</v>
      </c>
    </row>
    <row r="7057" spans="20:20" ht="18.75" customHeight="1" x14ac:dyDescent="0.35">
      <c r="T7057" s="246">
        <f t="shared" si="148"/>
        <v>0</v>
      </c>
    </row>
    <row r="7058" spans="20:20" ht="18.75" customHeight="1" x14ac:dyDescent="0.35">
      <c r="T7058" s="246">
        <f t="shared" si="148"/>
        <v>0</v>
      </c>
    </row>
    <row r="7059" spans="20:20" ht="18.75" customHeight="1" x14ac:dyDescent="0.35">
      <c r="T7059" s="246">
        <f t="shared" si="148"/>
        <v>0</v>
      </c>
    </row>
    <row r="7060" spans="20:20" ht="18.75" customHeight="1" x14ac:dyDescent="0.35">
      <c r="T7060" s="246">
        <f t="shared" si="148"/>
        <v>0</v>
      </c>
    </row>
    <row r="7061" spans="20:20" ht="18.75" customHeight="1" x14ac:dyDescent="0.35">
      <c r="T7061" s="246">
        <f t="shared" si="148"/>
        <v>0</v>
      </c>
    </row>
    <row r="7062" spans="20:20" ht="18.75" customHeight="1" x14ac:dyDescent="0.35">
      <c r="T7062" s="246">
        <f t="shared" si="148"/>
        <v>0</v>
      </c>
    </row>
    <row r="7063" spans="20:20" ht="18.75" customHeight="1" x14ac:dyDescent="0.35">
      <c r="T7063" s="246">
        <f t="shared" si="148"/>
        <v>0</v>
      </c>
    </row>
    <row r="7064" spans="20:20" ht="18.75" customHeight="1" x14ac:dyDescent="0.35">
      <c r="T7064" s="246">
        <f t="shared" si="148"/>
        <v>0</v>
      </c>
    </row>
    <row r="7065" spans="20:20" ht="18.75" customHeight="1" x14ac:dyDescent="0.35">
      <c r="T7065" s="246">
        <f t="shared" si="148"/>
        <v>0</v>
      </c>
    </row>
    <row r="7066" spans="20:20" ht="18.75" customHeight="1" x14ac:dyDescent="0.35">
      <c r="T7066" s="246">
        <f t="shared" si="148"/>
        <v>0</v>
      </c>
    </row>
    <row r="7067" spans="20:20" ht="18.75" customHeight="1" x14ac:dyDescent="0.35">
      <c r="T7067" s="246">
        <f t="shared" si="148"/>
        <v>0</v>
      </c>
    </row>
    <row r="7068" spans="20:20" ht="18.75" customHeight="1" x14ac:dyDescent="0.35">
      <c r="T7068" s="246">
        <f t="shared" si="148"/>
        <v>0</v>
      </c>
    </row>
    <row r="7069" spans="20:20" ht="18.75" customHeight="1" x14ac:dyDescent="0.35">
      <c r="T7069" s="246">
        <f t="shared" si="148"/>
        <v>0</v>
      </c>
    </row>
    <row r="7070" spans="20:20" ht="18.75" customHeight="1" x14ac:dyDescent="0.35">
      <c r="T7070" s="246">
        <f t="shared" si="148"/>
        <v>0</v>
      </c>
    </row>
    <row r="7071" spans="20:20" ht="18.75" customHeight="1" x14ac:dyDescent="0.35">
      <c r="T7071" s="246">
        <f t="shared" si="148"/>
        <v>0</v>
      </c>
    </row>
    <row r="7072" spans="20:20" ht="18.75" customHeight="1" x14ac:dyDescent="0.35">
      <c r="T7072" s="246">
        <f t="shared" si="148"/>
        <v>0</v>
      </c>
    </row>
    <row r="7073" spans="20:20" ht="18.75" customHeight="1" x14ac:dyDescent="0.35">
      <c r="T7073" s="246">
        <f t="shared" si="148"/>
        <v>0</v>
      </c>
    </row>
    <row r="7074" spans="20:20" ht="18.75" customHeight="1" x14ac:dyDescent="0.35">
      <c r="T7074" s="246">
        <f t="shared" si="148"/>
        <v>0</v>
      </c>
    </row>
    <row r="7075" spans="20:20" ht="18.75" customHeight="1" x14ac:dyDescent="0.35">
      <c r="T7075" s="246">
        <f t="shared" si="148"/>
        <v>0</v>
      </c>
    </row>
    <row r="7076" spans="20:20" ht="18.75" customHeight="1" x14ac:dyDescent="0.35">
      <c r="T7076" s="246">
        <f t="shared" si="148"/>
        <v>0</v>
      </c>
    </row>
    <row r="7077" spans="20:20" ht="18.75" customHeight="1" x14ac:dyDescent="0.35">
      <c r="T7077" s="246">
        <f t="shared" si="148"/>
        <v>0</v>
      </c>
    </row>
    <row r="7078" spans="20:20" ht="18.75" customHeight="1" x14ac:dyDescent="0.35">
      <c r="T7078" s="246">
        <f t="shared" si="148"/>
        <v>0</v>
      </c>
    </row>
    <row r="7079" spans="20:20" ht="18.75" customHeight="1" x14ac:dyDescent="0.35">
      <c r="T7079" s="246">
        <f t="shared" si="148"/>
        <v>0</v>
      </c>
    </row>
    <row r="7080" spans="20:20" ht="18.75" customHeight="1" x14ac:dyDescent="0.35">
      <c r="T7080" s="246">
        <f t="shared" si="148"/>
        <v>0</v>
      </c>
    </row>
    <row r="7081" spans="20:20" ht="18.75" customHeight="1" x14ac:dyDescent="0.35">
      <c r="T7081" s="246">
        <f t="shared" si="148"/>
        <v>0</v>
      </c>
    </row>
    <row r="7082" spans="20:20" ht="18.75" customHeight="1" x14ac:dyDescent="0.35">
      <c r="T7082" s="246">
        <f t="shared" si="148"/>
        <v>0</v>
      </c>
    </row>
    <row r="7083" spans="20:20" ht="18.75" customHeight="1" x14ac:dyDescent="0.35">
      <c r="T7083" s="246">
        <f t="shared" si="148"/>
        <v>0</v>
      </c>
    </row>
    <row r="7084" spans="20:20" ht="18.75" customHeight="1" x14ac:dyDescent="0.35">
      <c r="T7084" s="246">
        <f t="shared" si="148"/>
        <v>0</v>
      </c>
    </row>
    <row r="7085" spans="20:20" ht="18.75" customHeight="1" x14ac:dyDescent="0.35">
      <c r="T7085" s="246">
        <f t="shared" si="148"/>
        <v>0</v>
      </c>
    </row>
    <row r="7086" spans="20:20" ht="18.75" customHeight="1" x14ac:dyDescent="0.35">
      <c r="T7086" s="246">
        <f t="shared" si="148"/>
        <v>0</v>
      </c>
    </row>
    <row r="7087" spans="20:20" ht="18.75" customHeight="1" x14ac:dyDescent="0.35">
      <c r="T7087" s="246">
        <f t="shared" si="148"/>
        <v>0</v>
      </c>
    </row>
    <row r="7088" spans="20:20" ht="18.75" customHeight="1" x14ac:dyDescent="0.35">
      <c r="T7088" s="246">
        <f t="shared" si="148"/>
        <v>0</v>
      </c>
    </row>
    <row r="7089" spans="20:20" ht="18.75" customHeight="1" x14ac:dyDescent="0.35">
      <c r="T7089" s="246">
        <f t="shared" si="148"/>
        <v>0</v>
      </c>
    </row>
    <row r="7090" spans="20:20" ht="18.75" customHeight="1" x14ac:dyDescent="0.35">
      <c r="T7090" s="246">
        <f t="shared" si="148"/>
        <v>0</v>
      </c>
    </row>
    <row r="7091" spans="20:20" ht="18.75" customHeight="1" x14ac:dyDescent="0.35">
      <c r="T7091" s="246">
        <f t="shared" si="148"/>
        <v>0</v>
      </c>
    </row>
    <row r="7092" spans="20:20" ht="18.75" customHeight="1" x14ac:dyDescent="0.35">
      <c r="T7092" s="246">
        <f t="shared" si="148"/>
        <v>0</v>
      </c>
    </row>
    <row r="7093" spans="20:20" ht="18.75" customHeight="1" x14ac:dyDescent="0.35">
      <c r="T7093" s="246">
        <f t="shared" si="148"/>
        <v>0</v>
      </c>
    </row>
    <row r="7094" spans="20:20" ht="18.75" customHeight="1" x14ac:dyDescent="0.35">
      <c r="T7094" s="246">
        <f t="shared" si="148"/>
        <v>0</v>
      </c>
    </row>
    <row r="7095" spans="20:20" ht="18.75" customHeight="1" x14ac:dyDescent="0.35">
      <c r="T7095" s="246">
        <f t="shared" si="148"/>
        <v>0</v>
      </c>
    </row>
    <row r="7096" spans="20:20" ht="18.75" customHeight="1" x14ac:dyDescent="0.35">
      <c r="T7096" s="246">
        <f t="shared" si="148"/>
        <v>0</v>
      </c>
    </row>
    <row r="7097" spans="20:20" ht="18.75" customHeight="1" x14ac:dyDescent="0.35">
      <c r="T7097" s="246">
        <f t="shared" si="148"/>
        <v>0</v>
      </c>
    </row>
    <row r="7098" spans="20:20" ht="18.75" customHeight="1" x14ac:dyDescent="0.35">
      <c r="T7098" s="246">
        <f t="shared" si="148"/>
        <v>0</v>
      </c>
    </row>
    <row r="7099" spans="20:20" ht="18.75" customHeight="1" x14ac:dyDescent="0.35">
      <c r="T7099" s="246">
        <f t="shared" si="148"/>
        <v>0</v>
      </c>
    </row>
    <row r="7100" spans="20:20" ht="18.75" customHeight="1" x14ac:dyDescent="0.35">
      <c r="T7100" s="246">
        <f t="shared" ref="T7100:T7163" si="149">R7100*0.01</f>
        <v>0</v>
      </c>
    </row>
    <row r="7101" spans="20:20" ht="18.75" customHeight="1" x14ac:dyDescent="0.35">
      <c r="T7101" s="246">
        <f t="shared" si="149"/>
        <v>0</v>
      </c>
    </row>
    <row r="7102" spans="20:20" ht="18.75" customHeight="1" x14ac:dyDescent="0.35">
      <c r="T7102" s="246">
        <f t="shared" si="149"/>
        <v>0</v>
      </c>
    </row>
    <row r="7103" spans="20:20" ht="18.75" customHeight="1" x14ac:dyDescent="0.35">
      <c r="T7103" s="246">
        <f t="shared" si="149"/>
        <v>0</v>
      </c>
    </row>
    <row r="7104" spans="20:20" ht="18.75" customHeight="1" x14ac:dyDescent="0.35">
      <c r="T7104" s="246">
        <f t="shared" si="149"/>
        <v>0</v>
      </c>
    </row>
    <row r="7105" spans="20:20" ht="18.75" customHeight="1" x14ac:dyDescent="0.35">
      <c r="T7105" s="246">
        <f t="shared" si="149"/>
        <v>0</v>
      </c>
    </row>
    <row r="7106" spans="20:20" ht="18.75" customHeight="1" x14ac:dyDescent="0.35">
      <c r="T7106" s="246">
        <f t="shared" si="149"/>
        <v>0</v>
      </c>
    </row>
    <row r="7107" spans="20:20" ht="18.75" customHeight="1" x14ac:dyDescent="0.35">
      <c r="T7107" s="246">
        <f t="shared" si="149"/>
        <v>0</v>
      </c>
    </row>
    <row r="7108" spans="20:20" ht="18.75" customHeight="1" x14ac:dyDescent="0.35">
      <c r="T7108" s="246">
        <f t="shared" si="149"/>
        <v>0</v>
      </c>
    </row>
    <row r="7109" spans="20:20" ht="18.75" customHeight="1" x14ac:dyDescent="0.35">
      <c r="T7109" s="246">
        <f t="shared" si="149"/>
        <v>0</v>
      </c>
    </row>
    <row r="7110" spans="20:20" ht="18.75" customHeight="1" x14ac:dyDescent="0.35">
      <c r="T7110" s="246">
        <f t="shared" si="149"/>
        <v>0</v>
      </c>
    </row>
    <row r="7111" spans="20:20" ht="18.75" customHeight="1" x14ac:dyDescent="0.35">
      <c r="T7111" s="246">
        <f t="shared" si="149"/>
        <v>0</v>
      </c>
    </row>
    <row r="7112" spans="20:20" ht="18.75" customHeight="1" x14ac:dyDescent="0.35">
      <c r="T7112" s="246">
        <f t="shared" si="149"/>
        <v>0</v>
      </c>
    </row>
    <row r="7113" spans="20:20" ht="18.75" customHeight="1" x14ac:dyDescent="0.35">
      <c r="T7113" s="246">
        <f t="shared" si="149"/>
        <v>0</v>
      </c>
    </row>
    <row r="7114" spans="20:20" ht="18.75" customHeight="1" x14ac:dyDescent="0.35">
      <c r="T7114" s="246">
        <f t="shared" si="149"/>
        <v>0</v>
      </c>
    </row>
    <row r="7115" spans="20:20" ht="18.75" customHeight="1" x14ac:dyDescent="0.35">
      <c r="T7115" s="246">
        <f t="shared" si="149"/>
        <v>0</v>
      </c>
    </row>
    <row r="7116" spans="20:20" ht="18.75" customHeight="1" x14ac:dyDescent="0.35">
      <c r="T7116" s="246">
        <f t="shared" si="149"/>
        <v>0</v>
      </c>
    </row>
    <row r="7117" spans="20:20" ht="18.75" customHeight="1" x14ac:dyDescent="0.35">
      <c r="T7117" s="246">
        <f t="shared" si="149"/>
        <v>0</v>
      </c>
    </row>
    <row r="7118" spans="20:20" ht="18.75" customHeight="1" x14ac:dyDescent="0.35">
      <c r="T7118" s="246">
        <f t="shared" si="149"/>
        <v>0</v>
      </c>
    </row>
    <row r="7119" spans="20:20" ht="18.75" customHeight="1" x14ac:dyDescent="0.35">
      <c r="T7119" s="246">
        <f t="shared" si="149"/>
        <v>0</v>
      </c>
    </row>
    <row r="7120" spans="20:20" ht="18.75" customHeight="1" x14ac:dyDescent="0.35">
      <c r="T7120" s="246">
        <f t="shared" si="149"/>
        <v>0</v>
      </c>
    </row>
    <row r="7121" spans="20:20" ht="18.75" customHeight="1" x14ac:dyDescent="0.35">
      <c r="T7121" s="246">
        <f t="shared" si="149"/>
        <v>0</v>
      </c>
    </row>
    <row r="7122" spans="20:20" ht="18.75" customHeight="1" x14ac:dyDescent="0.35">
      <c r="T7122" s="246">
        <f t="shared" si="149"/>
        <v>0</v>
      </c>
    </row>
    <row r="7123" spans="20:20" ht="18.75" customHeight="1" x14ac:dyDescent="0.35">
      <c r="T7123" s="246">
        <f t="shared" si="149"/>
        <v>0</v>
      </c>
    </row>
    <row r="7124" spans="20:20" ht="18.75" customHeight="1" x14ac:dyDescent="0.35">
      <c r="T7124" s="246">
        <f t="shared" si="149"/>
        <v>0</v>
      </c>
    </row>
    <row r="7125" spans="20:20" ht="18.75" customHeight="1" x14ac:dyDescent="0.35">
      <c r="T7125" s="246">
        <f t="shared" si="149"/>
        <v>0</v>
      </c>
    </row>
    <row r="7126" spans="20:20" ht="18.75" customHeight="1" x14ac:dyDescent="0.35">
      <c r="T7126" s="246">
        <f t="shared" si="149"/>
        <v>0</v>
      </c>
    </row>
    <row r="7127" spans="20:20" ht="18.75" customHeight="1" x14ac:dyDescent="0.35">
      <c r="T7127" s="246">
        <f t="shared" si="149"/>
        <v>0</v>
      </c>
    </row>
    <row r="7128" spans="20:20" ht="18.75" customHeight="1" x14ac:dyDescent="0.35">
      <c r="T7128" s="246">
        <f t="shared" si="149"/>
        <v>0</v>
      </c>
    </row>
    <row r="7129" spans="20:20" ht="18.75" customHeight="1" x14ac:dyDescent="0.35">
      <c r="T7129" s="246">
        <f t="shared" si="149"/>
        <v>0</v>
      </c>
    </row>
    <row r="7130" spans="20:20" ht="18.75" customHeight="1" x14ac:dyDescent="0.35">
      <c r="T7130" s="246">
        <f t="shared" si="149"/>
        <v>0</v>
      </c>
    </row>
    <row r="7131" spans="20:20" ht="18.75" customHeight="1" x14ac:dyDescent="0.35">
      <c r="T7131" s="246">
        <f t="shared" si="149"/>
        <v>0</v>
      </c>
    </row>
    <row r="7132" spans="20:20" ht="18.75" customHeight="1" x14ac:dyDescent="0.35">
      <c r="T7132" s="246">
        <f t="shared" si="149"/>
        <v>0</v>
      </c>
    </row>
    <row r="7133" spans="20:20" ht="18.75" customHeight="1" x14ac:dyDescent="0.35">
      <c r="T7133" s="246">
        <f t="shared" si="149"/>
        <v>0</v>
      </c>
    </row>
    <row r="7134" spans="20:20" ht="18.75" customHeight="1" x14ac:dyDescent="0.35">
      <c r="T7134" s="246">
        <f t="shared" si="149"/>
        <v>0</v>
      </c>
    </row>
    <row r="7135" spans="20:20" ht="18.75" customHeight="1" x14ac:dyDescent="0.35">
      <c r="T7135" s="246">
        <f t="shared" si="149"/>
        <v>0</v>
      </c>
    </row>
    <row r="7136" spans="20:20" ht="18.75" customHeight="1" x14ac:dyDescent="0.35">
      <c r="T7136" s="246">
        <f t="shared" si="149"/>
        <v>0</v>
      </c>
    </row>
    <row r="7137" spans="20:20" ht="18.75" customHeight="1" x14ac:dyDescent="0.35">
      <c r="T7137" s="246">
        <f t="shared" si="149"/>
        <v>0</v>
      </c>
    </row>
    <row r="7138" spans="20:20" ht="18.75" customHeight="1" x14ac:dyDescent="0.35">
      <c r="T7138" s="246">
        <f t="shared" si="149"/>
        <v>0</v>
      </c>
    </row>
    <row r="7139" spans="20:20" ht="18.75" customHeight="1" x14ac:dyDescent="0.35">
      <c r="T7139" s="246">
        <f t="shared" si="149"/>
        <v>0</v>
      </c>
    </row>
    <row r="7140" spans="20:20" ht="18.75" customHeight="1" x14ac:dyDescent="0.35">
      <c r="T7140" s="246">
        <f t="shared" si="149"/>
        <v>0</v>
      </c>
    </row>
    <row r="7141" spans="20:20" ht="18.75" customHeight="1" x14ac:dyDescent="0.35">
      <c r="T7141" s="246">
        <f t="shared" si="149"/>
        <v>0</v>
      </c>
    </row>
    <row r="7142" spans="20:20" ht="18.75" customHeight="1" x14ac:dyDescent="0.35">
      <c r="T7142" s="246">
        <f t="shared" si="149"/>
        <v>0</v>
      </c>
    </row>
    <row r="7143" spans="20:20" ht="18.75" customHeight="1" x14ac:dyDescent="0.35">
      <c r="T7143" s="246">
        <f t="shared" si="149"/>
        <v>0</v>
      </c>
    </row>
    <row r="7144" spans="20:20" ht="18.75" customHeight="1" x14ac:dyDescent="0.35">
      <c r="T7144" s="246">
        <f t="shared" si="149"/>
        <v>0</v>
      </c>
    </row>
    <row r="7145" spans="20:20" ht="18.75" customHeight="1" x14ac:dyDescent="0.35">
      <c r="T7145" s="246">
        <f t="shared" si="149"/>
        <v>0</v>
      </c>
    </row>
    <row r="7146" spans="20:20" ht="18.75" customHeight="1" x14ac:dyDescent="0.35">
      <c r="T7146" s="246">
        <f t="shared" si="149"/>
        <v>0</v>
      </c>
    </row>
    <row r="7147" spans="20:20" ht="18.75" customHeight="1" x14ac:dyDescent="0.35">
      <c r="T7147" s="246">
        <f t="shared" si="149"/>
        <v>0</v>
      </c>
    </row>
    <row r="7148" spans="20:20" ht="18.75" customHeight="1" x14ac:dyDescent="0.35">
      <c r="T7148" s="246">
        <f t="shared" si="149"/>
        <v>0</v>
      </c>
    </row>
    <row r="7149" spans="20:20" ht="18.75" customHeight="1" x14ac:dyDescent="0.35">
      <c r="T7149" s="246">
        <f t="shared" si="149"/>
        <v>0</v>
      </c>
    </row>
    <row r="7150" spans="20:20" ht="18.75" customHeight="1" x14ac:dyDescent="0.35">
      <c r="T7150" s="246">
        <f t="shared" si="149"/>
        <v>0</v>
      </c>
    </row>
    <row r="7151" spans="20:20" ht="18.75" customHeight="1" x14ac:dyDescent="0.35">
      <c r="T7151" s="246">
        <f t="shared" si="149"/>
        <v>0</v>
      </c>
    </row>
    <row r="7152" spans="20:20" ht="18.75" customHeight="1" x14ac:dyDescent="0.35">
      <c r="T7152" s="246">
        <f t="shared" si="149"/>
        <v>0</v>
      </c>
    </row>
    <row r="7153" spans="20:20" ht="18.75" customHeight="1" x14ac:dyDescent="0.35">
      <c r="T7153" s="246">
        <f t="shared" si="149"/>
        <v>0</v>
      </c>
    </row>
    <row r="7154" spans="20:20" ht="18.75" customHeight="1" x14ac:dyDescent="0.35">
      <c r="T7154" s="246">
        <f t="shared" si="149"/>
        <v>0</v>
      </c>
    </row>
    <row r="7155" spans="20:20" ht="18.75" customHeight="1" x14ac:dyDescent="0.35">
      <c r="T7155" s="246">
        <f t="shared" si="149"/>
        <v>0</v>
      </c>
    </row>
    <row r="7156" spans="20:20" ht="18.75" customHeight="1" x14ac:dyDescent="0.35">
      <c r="T7156" s="246">
        <f t="shared" si="149"/>
        <v>0</v>
      </c>
    </row>
    <row r="7157" spans="20:20" ht="18.75" customHeight="1" x14ac:dyDescent="0.35">
      <c r="T7157" s="246">
        <f t="shared" si="149"/>
        <v>0</v>
      </c>
    </row>
    <row r="7158" spans="20:20" ht="18.75" customHeight="1" x14ac:dyDescent="0.35">
      <c r="T7158" s="246">
        <f t="shared" si="149"/>
        <v>0</v>
      </c>
    </row>
    <row r="7159" spans="20:20" ht="18.75" customHeight="1" x14ac:dyDescent="0.35">
      <c r="T7159" s="246">
        <f t="shared" si="149"/>
        <v>0</v>
      </c>
    </row>
    <row r="7160" spans="20:20" ht="18.75" customHeight="1" x14ac:dyDescent="0.35">
      <c r="T7160" s="246">
        <f t="shared" si="149"/>
        <v>0</v>
      </c>
    </row>
    <row r="7161" spans="20:20" ht="18.75" customHeight="1" x14ac:dyDescent="0.35">
      <c r="T7161" s="246">
        <f t="shared" si="149"/>
        <v>0</v>
      </c>
    </row>
    <row r="7162" spans="20:20" ht="18.75" customHeight="1" x14ac:dyDescent="0.35">
      <c r="T7162" s="246">
        <f t="shared" si="149"/>
        <v>0</v>
      </c>
    </row>
    <row r="7163" spans="20:20" ht="18.75" customHeight="1" x14ac:dyDescent="0.35">
      <c r="T7163" s="246">
        <f t="shared" si="149"/>
        <v>0</v>
      </c>
    </row>
    <row r="7164" spans="20:20" ht="18.75" customHeight="1" x14ac:dyDescent="0.35">
      <c r="T7164" s="246">
        <f t="shared" ref="T7164:T7227" si="150">R7164*0.01</f>
        <v>0</v>
      </c>
    </row>
    <row r="7165" spans="20:20" ht="18.75" customHeight="1" x14ac:dyDescent="0.35">
      <c r="T7165" s="246">
        <f t="shared" si="150"/>
        <v>0</v>
      </c>
    </row>
    <row r="7166" spans="20:20" ht="18.75" customHeight="1" x14ac:dyDescent="0.35">
      <c r="T7166" s="246">
        <f t="shared" si="150"/>
        <v>0</v>
      </c>
    </row>
    <row r="7167" spans="20:20" ht="18.75" customHeight="1" x14ac:dyDescent="0.35">
      <c r="T7167" s="246">
        <f t="shared" si="150"/>
        <v>0</v>
      </c>
    </row>
    <row r="7168" spans="20:20" ht="18.75" customHeight="1" x14ac:dyDescent="0.35">
      <c r="T7168" s="246">
        <f t="shared" si="150"/>
        <v>0</v>
      </c>
    </row>
    <row r="7169" spans="20:20" ht="18.75" customHeight="1" x14ac:dyDescent="0.35">
      <c r="T7169" s="246">
        <f t="shared" si="150"/>
        <v>0</v>
      </c>
    </row>
    <row r="7170" spans="20:20" ht="18.75" customHeight="1" x14ac:dyDescent="0.35">
      <c r="T7170" s="246">
        <f t="shared" si="150"/>
        <v>0</v>
      </c>
    </row>
    <row r="7171" spans="20:20" ht="18.75" customHeight="1" x14ac:dyDescent="0.35">
      <c r="T7171" s="246">
        <f t="shared" si="150"/>
        <v>0</v>
      </c>
    </row>
    <row r="7172" spans="20:20" ht="18.75" customHeight="1" x14ac:dyDescent="0.35">
      <c r="T7172" s="246">
        <f t="shared" si="150"/>
        <v>0</v>
      </c>
    </row>
    <row r="7173" spans="20:20" ht="18.75" customHeight="1" x14ac:dyDescent="0.35">
      <c r="T7173" s="246">
        <f t="shared" si="150"/>
        <v>0</v>
      </c>
    </row>
    <row r="7174" spans="20:20" ht="18.75" customHeight="1" x14ac:dyDescent="0.35">
      <c r="T7174" s="246">
        <f t="shared" si="150"/>
        <v>0</v>
      </c>
    </row>
    <row r="7175" spans="20:20" ht="18.75" customHeight="1" x14ac:dyDescent="0.35">
      <c r="T7175" s="246">
        <f t="shared" si="150"/>
        <v>0</v>
      </c>
    </row>
    <row r="7176" spans="20:20" ht="18.75" customHeight="1" x14ac:dyDescent="0.35">
      <c r="T7176" s="246">
        <f t="shared" si="150"/>
        <v>0</v>
      </c>
    </row>
    <row r="7177" spans="20:20" ht="18.75" customHeight="1" x14ac:dyDescent="0.35">
      <c r="T7177" s="246">
        <f t="shared" si="150"/>
        <v>0</v>
      </c>
    </row>
    <row r="7178" spans="20:20" ht="18.75" customHeight="1" x14ac:dyDescent="0.35">
      <c r="T7178" s="246">
        <f t="shared" si="150"/>
        <v>0</v>
      </c>
    </row>
    <row r="7179" spans="20:20" ht="18.75" customHeight="1" x14ac:dyDescent="0.35">
      <c r="T7179" s="246">
        <f t="shared" si="150"/>
        <v>0</v>
      </c>
    </row>
    <row r="7180" spans="20:20" ht="18.75" customHeight="1" x14ac:dyDescent="0.35">
      <c r="T7180" s="246">
        <f t="shared" si="150"/>
        <v>0</v>
      </c>
    </row>
    <row r="7181" spans="20:20" ht="18.75" customHeight="1" x14ac:dyDescent="0.35">
      <c r="T7181" s="246">
        <f t="shared" si="150"/>
        <v>0</v>
      </c>
    </row>
    <row r="7182" spans="20:20" ht="18.75" customHeight="1" x14ac:dyDescent="0.35">
      <c r="T7182" s="246">
        <f t="shared" si="150"/>
        <v>0</v>
      </c>
    </row>
    <row r="7183" spans="20:20" ht="18.75" customHeight="1" x14ac:dyDescent="0.35">
      <c r="T7183" s="246">
        <f t="shared" si="150"/>
        <v>0</v>
      </c>
    </row>
    <row r="7184" spans="20:20" ht="18.75" customHeight="1" x14ac:dyDescent="0.35">
      <c r="T7184" s="246">
        <f t="shared" si="150"/>
        <v>0</v>
      </c>
    </row>
    <row r="7185" spans="20:20" ht="18.75" customHeight="1" x14ac:dyDescent="0.35">
      <c r="T7185" s="246">
        <f t="shared" si="150"/>
        <v>0</v>
      </c>
    </row>
    <row r="7186" spans="20:20" ht="18.75" customHeight="1" x14ac:dyDescent="0.35">
      <c r="T7186" s="246">
        <f t="shared" si="150"/>
        <v>0</v>
      </c>
    </row>
    <row r="7187" spans="20:20" ht="18.75" customHeight="1" x14ac:dyDescent="0.35">
      <c r="T7187" s="246">
        <f t="shared" si="150"/>
        <v>0</v>
      </c>
    </row>
    <row r="7188" spans="20:20" ht="18.75" customHeight="1" x14ac:dyDescent="0.35">
      <c r="T7188" s="246">
        <f t="shared" si="150"/>
        <v>0</v>
      </c>
    </row>
    <row r="7189" spans="20:20" ht="18.75" customHeight="1" x14ac:dyDescent="0.35">
      <c r="T7189" s="246">
        <f t="shared" si="150"/>
        <v>0</v>
      </c>
    </row>
    <row r="7190" spans="20:20" ht="18.75" customHeight="1" x14ac:dyDescent="0.35">
      <c r="T7190" s="246">
        <f t="shared" si="150"/>
        <v>0</v>
      </c>
    </row>
    <row r="7191" spans="20:20" ht="18.75" customHeight="1" x14ac:dyDescent="0.35">
      <c r="T7191" s="246">
        <f t="shared" si="150"/>
        <v>0</v>
      </c>
    </row>
    <row r="7192" spans="20:20" ht="18.75" customHeight="1" x14ac:dyDescent="0.35">
      <c r="T7192" s="246">
        <f t="shared" si="150"/>
        <v>0</v>
      </c>
    </row>
    <row r="7193" spans="20:20" ht="18.75" customHeight="1" x14ac:dyDescent="0.35">
      <c r="T7193" s="246">
        <f t="shared" si="150"/>
        <v>0</v>
      </c>
    </row>
    <row r="7194" spans="20:20" ht="18.75" customHeight="1" x14ac:dyDescent="0.35">
      <c r="T7194" s="246">
        <f t="shared" si="150"/>
        <v>0</v>
      </c>
    </row>
    <row r="7195" spans="20:20" ht="18.75" customHeight="1" x14ac:dyDescent="0.35">
      <c r="T7195" s="246">
        <f t="shared" si="150"/>
        <v>0</v>
      </c>
    </row>
    <row r="7196" spans="20:20" ht="18.75" customHeight="1" x14ac:dyDescent="0.35">
      <c r="T7196" s="246">
        <f t="shared" si="150"/>
        <v>0</v>
      </c>
    </row>
    <row r="7197" spans="20:20" ht="18.75" customHeight="1" x14ac:dyDescent="0.35">
      <c r="T7197" s="246">
        <f t="shared" si="150"/>
        <v>0</v>
      </c>
    </row>
    <row r="7198" spans="20:20" ht="18.75" customHeight="1" x14ac:dyDescent="0.35">
      <c r="T7198" s="246">
        <f t="shared" si="150"/>
        <v>0</v>
      </c>
    </row>
    <row r="7199" spans="20:20" ht="18.75" customHeight="1" x14ac:dyDescent="0.35">
      <c r="T7199" s="246">
        <f t="shared" si="150"/>
        <v>0</v>
      </c>
    </row>
    <row r="7200" spans="20:20" ht="18.75" customHeight="1" x14ac:dyDescent="0.35">
      <c r="T7200" s="246">
        <f t="shared" si="150"/>
        <v>0</v>
      </c>
    </row>
    <row r="7201" spans="20:20" ht="18.75" customHeight="1" x14ac:dyDescent="0.35">
      <c r="T7201" s="246">
        <f t="shared" si="150"/>
        <v>0</v>
      </c>
    </row>
    <row r="7202" spans="20:20" ht="18.75" customHeight="1" x14ac:dyDescent="0.35">
      <c r="T7202" s="246">
        <f t="shared" si="150"/>
        <v>0</v>
      </c>
    </row>
    <row r="7203" spans="20:20" ht="18.75" customHeight="1" x14ac:dyDescent="0.35">
      <c r="T7203" s="246">
        <f t="shared" si="150"/>
        <v>0</v>
      </c>
    </row>
    <row r="7204" spans="20:20" ht="18.75" customHeight="1" x14ac:dyDescent="0.35">
      <c r="T7204" s="246">
        <f t="shared" si="150"/>
        <v>0</v>
      </c>
    </row>
    <row r="7205" spans="20:20" ht="18.75" customHeight="1" x14ac:dyDescent="0.35">
      <c r="T7205" s="246">
        <f t="shared" si="150"/>
        <v>0</v>
      </c>
    </row>
    <row r="7206" spans="20:20" ht="18.75" customHeight="1" x14ac:dyDescent="0.35">
      <c r="T7206" s="246">
        <f t="shared" si="150"/>
        <v>0</v>
      </c>
    </row>
    <row r="7207" spans="20:20" ht="18.75" customHeight="1" x14ac:dyDescent="0.35">
      <c r="T7207" s="246">
        <f t="shared" si="150"/>
        <v>0</v>
      </c>
    </row>
    <row r="7208" spans="20:20" ht="18.75" customHeight="1" x14ac:dyDescent="0.35">
      <c r="T7208" s="246">
        <f t="shared" si="150"/>
        <v>0</v>
      </c>
    </row>
    <row r="7209" spans="20:20" ht="18.75" customHeight="1" x14ac:dyDescent="0.35">
      <c r="T7209" s="246">
        <f t="shared" si="150"/>
        <v>0</v>
      </c>
    </row>
    <row r="7210" spans="20:20" ht="18.75" customHeight="1" x14ac:dyDescent="0.35">
      <c r="T7210" s="246">
        <f t="shared" si="150"/>
        <v>0</v>
      </c>
    </row>
    <row r="7211" spans="20:20" ht="18.75" customHeight="1" x14ac:dyDescent="0.35">
      <c r="T7211" s="246">
        <f t="shared" si="150"/>
        <v>0</v>
      </c>
    </row>
    <row r="7212" spans="20:20" ht="18.75" customHeight="1" x14ac:dyDescent="0.35">
      <c r="T7212" s="246">
        <f t="shared" si="150"/>
        <v>0</v>
      </c>
    </row>
    <row r="7213" spans="20:20" ht="18.75" customHeight="1" x14ac:dyDescent="0.35">
      <c r="T7213" s="246">
        <f t="shared" si="150"/>
        <v>0</v>
      </c>
    </row>
    <row r="7214" spans="20:20" ht="18.75" customHeight="1" x14ac:dyDescent="0.35">
      <c r="T7214" s="246">
        <f t="shared" si="150"/>
        <v>0</v>
      </c>
    </row>
    <row r="7215" spans="20:20" ht="18.75" customHeight="1" x14ac:dyDescent="0.35">
      <c r="T7215" s="246">
        <f t="shared" si="150"/>
        <v>0</v>
      </c>
    </row>
    <row r="7216" spans="20:20" ht="18.75" customHeight="1" x14ac:dyDescent="0.35">
      <c r="T7216" s="246">
        <f t="shared" si="150"/>
        <v>0</v>
      </c>
    </row>
    <row r="7217" spans="20:20" ht="18.75" customHeight="1" x14ac:dyDescent="0.35">
      <c r="T7217" s="246">
        <f t="shared" si="150"/>
        <v>0</v>
      </c>
    </row>
    <row r="7218" spans="20:20" ht="18.75" customHeight="1" x14ac:dyDescent="0.35">
      <c r="T7218" s="246">
        <f t="shared" si="150"/>
        <v>0</v>
      </c>
    </row>
    <row r="7219" spans="20:20" ht="18.75" customHeight="1" x14ac:dyDescent="0.35">
      <c r="T7219" s="246">
        <f t="shared" si="150"/>
        <v>0</v>
      </c>
    </row>
    <row r="7220" spans="20:20" ht="18.75" customHeight="1" x14ac:dyDescent="0.35">
      <c r="T7220" s="246">
        <f t="shared" si="150"/>
        <v>0</v>
      </c>
    </row>
    <row r="7221" spans="20:20" ht="18.75" customHeight="1" x14ac:dyDescent="0.35">
      <c r="T7221" s="246">
        <f t="shared" si="150"/>
        <v>0</v>
      </c>
    </row>
    <row r="7222" spans="20:20" ht="18.75" customHeight="1" x14ac:dyDescent="0.35">
      <c r="T7222" s="246">
        <f t="shared" si="150"/>
        <v>0</v>
      </c>
    </row>
    <row r="7223" spans="20:20" ht="18.75" customHeight="1" x14ac:dyDescent="0.35">
      <c r="T7223" s="246">
        <f t="shared" si="150"/>
        <v>0</v>
      </c>
    </row>
    <row r="7224" spans="20:20" ht="18.75" customHeight="1" x14ac:dyDescent="0.35">
      <c r="T7224" s="246">
        <f t="shared" si="150"/>
        <v>0</v>
      </c>
    </row>
    <row r="7225" spans="20:20" ht="18.75" customHeight="1" x14ac:dyDescent="0.35">
      <c r="T7225" s="246">
        <f t="shared" si="150"/>
        <v>0</v>
      </c>
    </row>
    <row r="7226" spans="20:20" ht="18.75" customHeight="1" x14ac:dyDescent="0.35">
      <c r="T7226" s="246">
        <f t="shared" si="150"/>
        <v>0</v>
      </c>
    </row>
    <row r="7227" spans="20:20" ht="18.75" customHeight="1" x14ac:dyDescent="0.35">
      <c r="T7227" s="246">
        <f t="shared" si="150"/>
        <v>0</v>
      </c>
    </row>
    <row r="7228" spans="20:20" ht="18.75" customHeight="1" x14ac:dyDescent="0.35">
      <c r="T7228" s="246">
        <f t="shared" ref="T7228:T7291" si="151">R7228*0.01</f>
        <v>0</v>
      </c>
    </row>
    <row r="7229" spans="20:20" ht="18.75" customHeight="1" x14ac:dyDescent="0.35">
      <c r="T7229" s="246">
        <f t="shared" si="151"/>
        <v>0</v>
      </c>
    </row>
    <row r="7230" spans="20:20" ht="18.75" customHeight="1" x14ac:dyDescent="0.35">
      <c r="T7230" s="246">
        <f t="shared" si="151"/>
        <v>0</v>
      </c>
    </row>
    <row r="7231" spans="20:20" ht="18.75" customHeight="1" x14ac:dyDescent="0.35">
      <c r="T7231" s="246">
        <f t="shared" si="151"/>
        <v>0</v>
      </c>
    </row>
    <row r="7232" spans="20:20" ht="18.75" customHeight="1" x14ac:dyDescent="0.35">
      <c r="T7232" s="246">
        <f t="shared" si="151"/>
        <v>0</v>
      </c>
    </row>
    <row r="7233" spans="20:20" ht="18.75" customHeight="1" x14ac:dyDescent="0.35">
      <c r="T7233" s="246">
        <f t="shared" si="151"/>
        <v>0</v>
      </c>
    </row>
    <row r="7234" spans="20:20" ht="18.75" customHeight="1" x14ac:dyDescent="0.35">
      <c r="T7234" s="246">
        <f t="shared" si="151"/>
        <v>0</v>
      </c>
    </row>
    <row r="7235" spans="20:20" ht="18.75" customHeight="1" x14ac:dyDescent="0.35">
      <c r="T7235" s="246">
        <f t="shared" si="151"/>
        <v>0</v>
      </c>
    </row>
    <row r="7236" spans="20:20" ht="18.75" customHeight="1" x14ac:dyDescent="0.35">
      <c r="T7236" s="246">
        <f t="shared" si="151"/>
        <v>0</v>
      </c>
    </row>
    <row r="7237" spans="20:20" ht="18.75" customHeight="1" x14ac:dyDescent="0.35">
      <c r="T7237" s="246">
        <f t="shared" si="151"/>
        <v>0</v>
      </c>
    </row>
    <row r="7238" spans="20:20" ht="18.75" customHeight="1" x14ac:dyDescent="0.35">
      <c r="T7238" s="246">
        <f t="shared" si="151"/>
        <v>0</v>
      </c>
    </row>
    <row r="7239" spans="20:20" ht="18.75" customHeight="1" x14ac:dyDescent="0.35">
      <c r="T7239" s="246">
        <f t="shared" si="151"/>
        <v>0</v>
      </c>
    </row>
    <row r="7240" spans="20:20" ht="18.75" customHeight="1" x14ac:dyDescent="0.35">
      <c r="T7240" s="246">
        <f t="shared" si="151"/>
        <v>0</v>
      </c>
    </row>
    <row r="7241" spans="20:20" ht="18.75" customHeight="1" x14ac:dyDescent="0.35">
      <c r="T7241" s="246">
        <f t="shared" si="151"/>
        <v>0</v>
      </c>
    </row>
    <row r="7242" spans="20:20" ht="18.75" customHeight="1" x14ac:dyDescent="0.35">
      <c r="T7242" s="246">
        <f t="shared" si="151"/>
        <v>0</v>
      </c>
    </row>
    <row r="7243" spans="20:20" ht="18.75" customHeight="1" x14ac:dyDescent="0.35">
      <c r="T7243" s="246">
        <f t="shared" si="151"/>
        <v>0</v>
      </c>
    </row>
    <row r="7244" spans="20:20" ht="18.75" customHeight="1" x14ac:dyDescent="0.35">
      <c r="T7244" s="246">
        <f t="shared" si="151"/>
        <v>0</v>
      </c>
    </row>
    <row r="7245" spans="20:20" ht="18.75" customHeight="1" x14ac:dyDescent="0.35">
      <c r="T7245" s="246">
        <f t="shared" si="151"/>
        <v>0</v>
      </c>
    </row>
    <row r="7246" spans="20:20" ht="18.75" customHeight="1" x14ac:dyDescent="0.35">
      <c r="T7246" s="246">
        <f t="shared" si="151"/>
        <v>0</v>
      </c>
    </row>
    <row r="7247" spans="20:20" ht="18.75" customHeight="1" x14ac:dyDescent="0.35">
      <c r="T7247" s="246">
        <f t="shared" si="151"/>
        <v>0</v>
      </c>
    </row>
    <row r="7248" spans="20:20" ht="18.75" customHeight="1" x14ac:dyDescent="0.35">
      <c r="T7248" s="246">
        <f t="shared" si="151"/>
        <v>0</v>
      </c>
    </row>
    <row r="7249" spans="20:20" ht="18.75" customHeight="1" x14ac:dyDescent="0.35">
      <c r="T7249" s="246">
        <f t="shared" si="151"/>
        <v>0</v>
      </c>
    </row>
    <row r="7250" spans="20:20" ht="18.75" customHeight="1" x14ac:dyDescent="0.35">
      <c r="T7250" s="246">
        <f t="shared" si="151"/>
        <v>0</v>
      </c>
    </row>
    <row r="7251" spans="20:20" ht="18.75" customHeight="1" x14ac:dyDescent="0.35">
      <c r="T7251" s="246">
        <f t="shared" si="151"/>
        <v>0</v>
      </c>
    </row>
    <row r="7252" spans="20:20" ht="18.75" customHeight="1" x14ac:dyDescent="0.35">
      <c r="T7252" s="246">
        <f t="shared" si="151"/>
        <v>0</v>
      </c>
    </row>
    <row r="7253" spans="20:20" ht="18.75" customHeight="1" x14ac:dyDescent="0.35">
      <c r="T7253" s="246">
        <f t="shared" si="151"/>
        <v>0</v>
      </c>
    </row>
    <row r="7254" spans="20:20" ht="18.75" customHeight="1" x14ac:dyDescent="0.35">
      <c r="T7254" s="246">
        <f t="shared" si="151"/>
        <v>0</v>
      </c>
    </row>
    <row r="7255" spans="20:20" ht="18.75" customHeight="1" x14ac:dyDescent="0.35">
      <c r="T7255" s="246">
        <f t="shared" si="151"/>
        <v>0</v>
      </c>
    </row>
    <row r="7256" spans="20:20" ht="18.75" customHeight="1" x14ac:dyDescent="0.35">
      <c r="T7256" s="246">
        <f t="shared" si="151"/>
        <v>0</v>
      </c>
    </row>
    <row r="7257" spans="20:20" ht="18.75" customHeight="1" x14ac:dyDescent="0.35">
      <c r="T7257" s="246">
        <f t="shared" si="151"/>
        <v>0</v>
      </c>
    </row>
    <row r="7258" spans="20:20" ht="18.75" customHeight="1" x14ac:dyDescent="0.35">
      <c r="T7258" s="246">
        <f t="shared" si="151"/>
        <v>0</v>
      </c>
    </row>
    <row r="7259" spans="20:20" ht="18.75" customHeight="1" x14ac:dyDescent="0.35">
      <c r="T7259" s="246">
        <f t="shared" si="151"/>
        <v>0</v>
      </c>
    </row>
    <row r="7260" spans="20:20" ht="18.75" customHeight="1" x14ac:dyDescent="0.35">
      <c r="T7260" s="246">
        <f t="shared" si="151"/>
        <v>0</v>
      </c>
    </row>
    <row r="7261" spans="20:20" ht="18.75" customHeight="1" x14ac:dyDescent="0.35">
      <c r="T7261" s="246">
        <f t="shared" si="151"/>
        <v>0</v>
      </c>
    </row>
    <row r="7262" spans="20:20" ht="18.75" customHeight="1" x14ac:dyDescent="0.35">
      <c r="T7262" s="246">
        <f t="shared" si="151"/>
        <v>0</v>
      </c>
    </row>
    <row r="7263" spans="20:20" ht="18.75" customHeight="1" x14ac:dyDescent="0.35">
      <c r="T7263" s="246">
        <f t="shared" si="151"/>
        <v>0</v>
      </c>
    </row>
    <row r="7264" spans="20:20" ht="18.75" customHeight="1" x14ac:dyDescent="0.35">
      <c r="T7264" s="246">
        <f t="shared" si="151"/>
        <v>0</v>
      </c>
    </row>
    <row r="7265" spans="20:20" ht="18.75" customHeight="1" x14ac:dyDescent="0.35">
      <c r="T7265" s="246">
        <f t="shared" si="151"/>
        <v>0</v>
      </c>
    </row>
    <row r="7266" spans="20:20" ht="18.75" customHeight="1" x14ac:dyDescent="0.35">
      <c r="T7266" s="246">
        <f t="shared" si="151"/>
        <v>0</v>
      </c>
    </row>
    <row r="7267" spans="20:20" ht="18.75" customHeight="1" x14ac:dyDescent="0.35">
      <c r="T7267" s="246">
        <f t="shared" si="151"/>
        <v>0</v>
      </c>
    </row>
    <row r="7268" spans="20:20" ht="18.75" customHeight="1" x14ac:dyDescent="0.35">
      <c r="T7268" s="246">
        <f t="shared" si="151"/>
        <v>0</v>
      </c>
    </row>
    <row r="7269" spans="20:20" ht="18.75" customHeight="1" x14ac:dyDescent="0.35">
      <c r="T7269" s="246">
        <f t="shared" si="151"/>
        <v>0</v>
      </c>
    </row>
    <row r="7270" spans="20:20" ht="18.75" customHeight="1" x14ac:dyDescent="0.35">
      <c r="T7270" s="246">
        <f t="shared" si="151"/>
        <v>0</v>
      </c>
    </row>
    <row r="7271" spans="20:20" ht="18.75" customHeight="1" x14ac:dyDescent="0.35">
      <c r="T7271" s="246">
        <f t="shared" si="151"/>
        <v>0</v>
      </c>
    </row>
    <row r="7272" spans="20:20" ht="18.75" customHeight="1" x14ac:dyDescent="0.35">
      <c r="T7272" s="246">
        <f t="shared" si="151"/>
        <v>0</v>
      </c>
    </row>
    <row r="7273" spans="20:20" ht="18.75" customHeight="1" x14ac:dyDescent="0.35">
      <c r="T7273" s="246">
        <f t="shared" si="151"/>
        <v>0</v>
      </c>
    </row>
    <row r="7274" spans="20:20" ht="18.75" customHeight="1" x14ac:dyDescent="0.35">
      <c r="T7274" s="246">
        <f t="shared" si="151"/>
        <v>0</v>
      </c>
    </row>
    <row r="7275" spans="20:20" ht="18.75" customHeight="1" x14ac:dyDescent="0.35">
      <c r="T7275" s="246">
        <f t="shared" si="151"/>
        <v>0</v>
      </c>
    </row>
    <row r="7276" spans="20:20" ht="18.75" customHeight="1" x14ac:dyDescent="0.35">
      <c r="T7276" s="246">
        <f t="shared" si="151"/>
        <v>0</v>
      </c>
    </row>
    <row r="7277" spans="20:20" ht="18.75" customHeight="1" x14ac:dyDescent="0.35">
      <c r="T7277" s="246">
        <f t="shared" si="151"/>
        <v>0</v>
      </c>
    </row>
    <row r="7278" spans="20:20" ht="18.75" customHeight="1" x14ac:dyDescent="0.35">
      <c r="T7278" s="246">
        <f t="shared" si="151"/>
        <v>0</v>
      </c>
    </row>
    <row r="7279" spans="20:20" ht="18.75" customHeight="1" x14ac:dyDescent="0.35">
      <c r="T7279" s="246">
        <f t="shared" si="151"/>
        <v>0</v>
      </c>
    </row>
    <row r="7280" spans="20:20" ht="18.75" customHeight="1" x14ac:dyDescent="0.35">
      <c r="T7280" s="246">
        <f t="shared" si="151"/>
        <v>0</v>
      </c>
    </row>
    <row r="7281" spans="20:20" ht="18.75" customHeight="1" x14ac:dyDescent="0.35">
      <c r="T7281" s="246">
        <f t="shared" si="151"/>
        <v>0</v>
      </c>
    </row>
    <row r="7282" spans="20:20" ht="18.75" customHeight="1" x14ac:dyDescent="0.35">
      <c r="T7282" s="246">
        <f t="shared" si="151"/>
        <v>0</v>
      </c>
    </row>
    <row r="7283" spans="20:20" ht="18.75" customHeight="1" x14ac:dyDescent="0.35">
      <c r="T7283" s="246">
        <f t="shared" si="151"/>
        <v>0</v>
      </c>
    </row>
    <row r="7284" spans="20:20" ht="18.75" customHeight="1" x14ac:dyDescent="0.35">
      <c r="T7284" s="246">
        <f t="shared" si="151"/>
        <v>0</v>
      </c>
    </row>
    <row r="7285" spans="20:20" ht="18.75" customHeight="1" x14ac:dyDescent="0.35">
      <c r="T7285" s="246">
        <f t="shared" si="151"/>
        <v>0</v>
      </c>
    </row>
    <row r="7286" spans="20:20" ht="18.75" customHeight="1" x14ac:dyDescent="0.35">
      <c r="T7286" s="246">
        <f t="shared" si="151"/>
        <v>0</v>
      </c>
    </row>
    <row r="7287" spans="20:20" ht="18.75" customHeight="1" x14ac:dyDescent="0.35">
      <c r="T7287" s="246">
        <f t="shared" si="151"/>
        <v>0</v>
      </c>
    </row>
    <row r="7288" spans="20:20" ht="18.75" customHeight="1" x14ac:dyDescent="0.35">
      <c r="T7288" s="246">
        <f t="shared" si="151"/>
        <v>0</v>
      </c>
    </row>
    <row r="7289" spans="20:20" ht="18.75" customHeight="1" x14ac:dyDescent="0.35">
      <c r="T7289" s="246">
        <f t="shared" si="151"/>
        <v>0</v>
      </c>
    </row>
    <row r="7290" spans="20:20" ht="18.75" customHeight="1" x14ac:dyDescent="0.35">
      <c r="T7290" s="246">
        <f t="shared" si="151"/>
        <v>0</v>
      </c>
    </row>
    <row r="7291" spans="20:20" ht="18.75" customHeight="1" x14ac:dyDescent="0.35">
      <c r="T7291" s="246">
        <f t="shared" si="151"/>
        <v>0</v>
      </c>
    </row>
    <row r="7292" spans="20:20" ht="18.75" customHeight="1" x14ac:dyDescent="0.35">
      <c r="T7292" s="246">
        <f t="shared" ref="T7292:T7355" si="152">R7292*0.01</f>
        <v>0</v>
      </c>
    </row>
    <row r="7293" spans="20:20" ht="18.75" customHeight="1" x14ac:dyDescent="0.35">
      <c r="T7293" s="246">
        <f t="shared" si="152"/>
        <v>0</v>
      </c>
    </row>
    <row r="7294" spans="20:20" ht="18.75" customHeight="1" x14ac:dyDescent="0.35">
      <c r="T7294" s="246">
        <f t="shared" si="152"/>
        <v>0</v>
      </c>
    </row>
    <row r="7295" spans="20:20" ht="18.75" customHeight="1" x14ac:dyDescent="0.35">
      <c r="T7295" s="246">
        <f t="shared" si="152"/>
        <v>0</v>
      </c>
    </row>
    <row r="7296" spans="20:20" ht="18.75" customHeight="1" x14ac:dyDescent="0.35">
      <c r="T7296" s="246">
        <f t="shared" si="152"/>
        <v>0</v>
      </c>
    </row>
    <row r="7297" spans="20:20" ht="18.75" customHeight="1" x14ac:dyDescent="0.35">
      <c r="T7297" s="246">
        <f t="shared" si="152"/>
        <v>0</v>
      </c>
    </row>
    <row r="7298" spans="20:20" ht="18.75" customHeight="1" x14ac:dyDescent="0.35">
      <c r="T7298" s="246">
        <f t="shared" si="152"/>
        <v>0</v>
      </c>
    </row>
    <row r="7299" spans="20:20" ht="18.75" customHeight="1" x14ac:dyDescent="0.35">
      <c r="T7299" s="246">
        <f t="shared" si="152"/>
        <v>0</v>
      </c>
    </row>
    <row r="7300" spans="20:20" ht="18.75" customHeight="1" x14ac:dyDescent="0.35">
      <c r="T7300" s="246">
        <f t="shared" si="152"/>
        <v>0</v>
      </c>
    </row>
    <row r="7301" spans="20:20" ht="18.75" customHeight="1" x14ac:dyDescent="0.35">
      <c r="T7301" s="246">
        <f t="shared" si="152"/>
        <v>0</v>
      </c>
    </row>
    <row r="7302" spans="20:20" ht="18.75" customHeight="1" x14ac:dyDescent="0.35">
      <c r="T7302" s="246">
        <f t="shared" si="152"/>
        <v>0</v>
      </c>
    </row>
    <row r="7303" spans="20:20" ht="18.75" customHeight="1" x14ac:dyDescent="0.35">
      <c r="T7303" s="246">
        <f t="shared" si="152"/>
        <v>0</v>
      </c>
    </row>
    <row r="7304" spans="20:20" ht="18.75" customHeight="1" x14ac:dyDescent="0.35">
      <c r="T7304" s="246">
        <f t="shared" si="152"/>
        <v>0</v>
      </c>
    </row>
    <row r="7305" spans="20:20" ht="18.75" customHeight="1" x14ac:dyDescent="0.35">
      <c r="T7305" s="246">
        <f t="shared" si="152"/>
        <v>0</v>
      </c>
    </row>
    <row r="7306" spans="20:20" ht="18.75" customHeight="1" x14ac:dyDescent="0.35">
      <c r="T7306" s="246">
        <f t="shared" si="152"/>
        <v>0</v>
      </c>
    </row>
    <row r="7307" spans="20:20" ht="18.75" customHeight="1" x14ac:dyDescent="0.35">
      <c r="T7307" s="246">
        <f t="shared" si="152"/>
        <v>0</v>
      </c>
    </row>
    <row r="7308" spans="20:20" ht="18.75" customHeight="1" x14ac:dyDescent="0.35">
      <c r="T7308" s="246">
        <f t="shared" si="152"/>
        <v>0</v>
      </c>
    </row>
    <row r="7309" spans="20:20" ht="18.75" customHeight="1" x14ac:dyDescent="0.35">
      <c r="T7309" s="246">
        <f t="shared" si="152"/>
        <v>0</v>
      </c>
    </row>
    <row r="7310" spans="20:20" ht="18.75" customHeight="1" x14ac:dyDescent="0.35">
      <c r="T7310" s="246">
        <f t="shared" si="152"/>
        <v>0</v>
      </c>
    </row>
    <row r="7311" spans="20:20" ht="18.75" customHeight="1" x14ac:dyDescent="0.35">
      <c r="T7311" s="246">
        <f t="shared" si="152"/>
        <v>0</v>
      </c>
    </row>
    <row r="7312" spans="20:20" ht="18.75" customHeight="1" x14ac:dyDescent="0.35">
      <c r="T7312" s="246">
        <f t="shared" si="152"/>
        <v>0</v>
      </c>
    </row>
    <row r="7313" spans="20:20" ht="18.75" customHeight="1" x14ac:dyDescent="0.35">
      <c r="T7313" s="246">
        <f t="shared" si="152"/>
        <v>0</v>
      </c>
    </row>
    <row r="7314" spans="20:20" ht="18.75" customHeight="1" x14ac:dyDescent="0.35">
      <c r="T7314" s="246">
        <f t="shared" si="152"/>
        <v>0</v>
      </c>
    </row>
    <row r="7315" spans="20:20" ht="18.75" customHeight="1" x14ac:dyDescent="0.35">
      <c r="T7315" s="246">
        <f t="shared" si="152"/>
        <v>0</v>
      </c>
    </row>
    <row r="7316" spans="20:20" ht="18.75" customHeight="1" x14ac:dyDescent="0.35">
      <c r="T7316" s="246">
        <f t="shared" si="152"/>
        <v>0</v>
      </c>
    </row>
    <row r="7317" spans="20:20" ht="18.75" customHeight="1" x14ac:dyDescent="0.35">
      <c r="T7317" s="246">
        <f t="shared" si="152"/>
        <v>0</v>
      </c>
    </row>
    <row r="7318" spans="20:20" ht="18.75" customHeight="1" x14ac:dyDescent="0.35">
      <c r="T7318" s="246">
        <f t="shared" si="152"/>
        <v>0</v>
      </c>
    </row>
    <row r="7319" spans="20:20" ht="18.75" customHeight="1" x14ac:dyDescent="0.35">
      <c r="T7319" s="246">
        <f t="shared" si="152"/>
        <v>0</v>
      </c>
    </row>
    <row r="7320" spans="20:20" ht="18.75" customHeight="1" x14ac:dyDescent="0.35">
      <c r="T7320" s="246">
        <f t="shared" si="152"/>
        <v>0</v>
      </c>
    </row>
    <row r="7321" spans="20:20" ht="18.75" customHeight="1" x14ac:dyDescent="0.35">
      <c r="T7321" s="246">
        <f t="shared" si="152"/>
        <v>0</v>
      </c>
    </row>
    <row r="7322" spans="20:20" ht="18.75" customHeight="1" x14ac:dyDescent="0.35">
      <c r="T7322" s="246">
        <f t="shared" si="152"/>
        <v>0</v>
      </c>
    </row>
    <row r="7323" spans="20:20" ht="18.75" customHeight="1" x14ac:dyDescent="0.35">
      <c r="T7323" s="246">
        <f t="shared" si="152"/>
        <v>0</v>
      </c>
    </row>
    <row r="7324" spans="20:20" ht="18.75" customHeight="1" x14ac:dyDescent="0.35">
      <c r="T7324" s="246">
        <f t="shared" si="152"/>
        <v>0</v>
      </c>
    </row>
    <row r="7325" spans="20:20" ht="18.75" customHeight="1" x14ac:dyDescent="0.35">
      <c r="T7325" s="246">
        <f t="shared" si="152"/>
        <v>0</v>
      </c>
    </row>
    <row r="7326" spans="20:20" ht="18.75" customHeight="1" x14ac:dyDescent="0.35">
      <c r="T7326" s="246">
        <f t="shared" si="152"/>
        <v>0</v>
      </c>
    </row>
    <row r="7327" spans="20:20" ht="18.75" customHeight="1" x14ac:dyDescent="0.35">
      <c r="T7327" s="246">
        <f t="shared" si="152"/>
        <v>0</v>
      </c>
    </row>
    <row r="7328" spans="20:20" ht="18.75" customHeight="1" x14ac:dyDescent="0.35">
      <c r="T7328" s="246">
        <f t="shared" si="152"/>
        <v>0</v>
      </c>
    </row>
    <row r="7329" spans="20:20" ht="18.75" customHeight="1" x14ac:dyDescent="0.35">
      <c r="T7329" s="246">
        <f t="shared" si="152"/>
        <v>0</v>
      </c>
    </row>
    <row r="7330" spans="20:20" ht="18.75" customHeight="1" x14ac:dyDescent="0.35">
      <c r="T7330" s="246">
        <f t="shared" si="152"/>
        <v>0</v>
      </c>
    </row>
    <row r="7331" spans="20:20" ht="18.75" customHeight="1" x14ac:dyDescent="0.35">
      <c r="T7331" s="246">
        <f t="shared" si="152"/>
        <v>0</v>
      </c>
    </row>
    <row r="7332" spans="20:20" ht="18.75" customHeight="1" x14ac:dyDescent="0.35">
      <c r="T7332" s="246">
        <f t="shared" si="152"/>
        <v>0</v>
      </c>
    </row>
    <row r="7333" spans="20:20" ht="18.75" customHeight="1" x14ac:dyDescent="0.35">
      <c r="T7333" s="246">
        <f t="shared" si="152"/>
        <v>0</v>
      </c>
    </row>
    <row r="7334" spans="20:20" ht="18.75" customHeight="1" x14ac:dyDescent="0.35">
      <c r="T7334" s="246">
        <f t="shared" si="152"/>
        <v>0</v>
      </c>
    </row>
    <row r="7335" spans="20:20" ht="18.75" customHeight="1" x14ac:dyDescent="0.35">
      <c r="T7335" s="246">
        <f t="shared" si="152"/>
        <v>0</v>
      </c>
    </row>
    <row r="7336" spans="20:20" ht="18.75" customHeight="1" x14ac:dyDescent="0.35">
      <c r="T7336" s="246">
        <f t="shared" si="152"/>
        <v>0</v>
      </c>
    </row>
    <row r="7337" spans="20:20" ht="18.75" customHeight="1" x14ac:dyDescent="0.35">
      <c r="T7337" s="246">
        <f t="shared" si="152"/>
        <v>0</v>
      </c>
    </row>
    <row r="7338" spans="20:20" ht="18.75" customHeight="1" x14ac:dyDescent="0.35">
      <c r="T7338" s="246">
        <f t="shared" si="152"/>
        <v>0</v>
      </c>
    </row>
    <row r="7339" spans="20:20" ht="18.75" customHeight="1" x14ac:dyDescent="0.35">
      <c r="T7339" s="246">
        <f t="shared" si="152"/>
        <v>0</v>
      </c>
    </row>
    <row r="7340" spans="20:20" ht="18.75" customHeight="1" x14ac:dyDescent="0.35">
      <c r="T7340" s="246">
        <f t="shared" si="152"/>
        <v>0</v>
      </c>
    </row>
    <row r="7341" spans="20:20" ht="18.75" customHeight="1" x14ac:dyDescent="0.35">
      <c r="T7341" s="246">
        <f t="shared" si="152"/>
        <v>0</v>
      </c>
    </row>
    <row r="7342" spans="20:20" ht="18.75" customHeight="1" x14ac:dyDescent="0.35">
      <c r="T7342" s="246">
        <f t="shared" si="152"/>
        <v>0</v>
      </c>
    </row>
    <row r="7343" spans="20:20" ht="18.75" customHeight="1" x14ac:dyDescent="0.35">
      <c r="T7343" s="246">
        <f t="shared" si="152"/>
        <v>0</v>
      </c>
    </row>
    <row r="7344" spans="20:20" ht="18.75" customHeight="1" x14ac:dyDescent="0.35">
      <c r="T7344" s="246">
        <f t="shared" si="152"/>
        <v>0</v>
      </c>
    </row>
    <row r="7345" spans="20:20" ht="18.75" customHeight="1" x14ac:dyDescent="0.35">
      <c r="T7345" s="246">
        <f t="shared" si="152"/>
        <v>0</v>
      </c>
    </row>
    <row r="7346" spans="20:20" ht="18.75" customHeight="1" x14ac:dyDescent="0.35">
      <c r="T7346" s="246">
        <f t="shared" si="152"/>
        <v>0</v>
      </c>
    </row>
    <row r="7347" spans="20:20" ht="18.75" customHeight="1" x14ac:dyDescent="0.35">
      <c r="T7347" s="246">
        <f t="shared" si="152"/>
        <v>0</v>
      </c>
    </row>
    <row r="7348" spans="20:20" ht="18.75" customHeight="1" x14ac:dyDescent="0.35">
      <c r="T7348" s="246">
        <f t="shared" si="152"/>
        <v>0</v>
      </c>
    </row>
    <row r="7349" spans="20:20" ht="18.75" customHeight="1" x14ac:dyDescent="0.35">
      <c r="T7349" s="246">
        <f t="shared" si="152"/>
        <v>0</v>
      </c>
    </row>
    <row r="7350" spans="20:20" ht="18.75" customHeight="1" x14ac:dyDescent="0.35">
      <c r="T7350" s="246">
        <f t="shared" si="152"/>
        <v>0</v>
      </c>
    </row>
    <row r="7351" spans="20:20" ht="18.75" customHeight="1" x14ac:dyDescent="0.35">
      <c r="T7351" s="246">
        <f t="shared" si="152"/>
        <v>0</v>
      </c>
    </row>
    <row r="7352" spans="20:20" ht="18.75" customHeight="1" x14ac:dyDescent="0.35">
      <c r="T7352" s="246">
        <f t="shared" si="152"/>
        <v>0</v>
      </c>
    </row>
    <row r="7353" spans="20:20" ht="18.75" customHeight="1" x14ac:dyDescent="0.35">
      <c r="T7353" s="246">
        <f t="shared" si="152"/>
        <v>0</v>
      </c>
    </row>
    <row r="7354" spans="20:20" ht="18.75" customHeight="1" x14ac:dyDescent="0.35">
      <c r="T7354" s="246">
        <f t="shared" si="152"/>
        <v>0</v>
      </c>
    </row>
    <row r="7355" spans="20:20" ht="18.75" customHeight="1" x14ac:dyDescent="0.35">
      <c r="T7355" s="246">
        <f t="shared" si="152"/>
        <v>0</v>
      </c>
    </row>
    <row r="7356" spans="20:20" ht="18.75" customHeight="1" x14ac:dyDescent="0.35">
      <c r="T7356" s="246">
        <f t="shared" ref="T7356:T7419" si="153">R7356*0.01</f>
        <v>0</v>
      </c>
    </row>
    <row r="7357" spans="20:20" ht="18.75" customHeight="1" x14ac:dyDescent="0.35">
      <c r="T7357" s="246">
        <f t="shared" si="153"/>
        <v>0</v>
      </c>
    </row>
    <row r="7358" spans="20:20" ht="18.75" customHeight="1" x14ac:dyDescent="0.35">
      <c r="T7358" s="246">
        <f t="shared" si="153"/>
        <v>0</v>
      </c>
    </row>
    <row r="7359" spans="20:20" ht="18.75" customHeight="1" x14ac:dyDescent="0.35">
      <c r="T7359" s="246">
        <f t="shared" si="153"/>
        <v>0</v>
      </c>
    </row>
    <row r="7360" spans="20:20" ht="18.75" customHeight="1" x14ac:dyDescent="0.35">
      <c r="T7360" s="246">
        <f t="shared" si="153"/>
        <v>0</v>
      </c>
    </row>
    <row r="7361" spans="20:20" ht="18.75" customHeight="1" x14ac:dyDescent="0.35">
      <c r="T7361" s="246">
        <f t="shared" si="153"/>
        <v>0</v>
      </c>
    </row>
    <row r="7362" spans="20:20" ht="18.75" customHeight="1" x14ac:dyDescent="0.35">
      <c r="T7362" s="246">
        <f t="shared" si="153"/>
        <v>0</v>
      </c>
    </row>
    <row r="7363" spans="20:20" ht="18.75" customHeight="1" x14ac:dyDescent="0.35">
      <c r="T7363" s="246">
        <f t="shared" si="153"/>
        <v>0</v>
      </c>
    </row>
    <row r="7364" spans="20:20" ht="18.75" customHeight="1" x14ac:dyDescent="0.35">
      <c r="T7364" s="246">
        <f t="shared" si="153"/>
        <v>0</v>
      </c>
    </row>
    <row r="7365" spans="20:20" ht="18.75" customHeight="1" x14ac:dyDescent="0.35">
      <c r="T7365" s="246">
        <f t="shared" si="153"/>
        <v>0</v>
      </c>
    </row>
    <row r="7366" spans="20:20" ht="18.75" customHeight="1" x14ac:dyDescent="0.35">
      <c r="T7366" s="246">
        <f t="shared" si="153"/>
        <v>0</v>
      </c>
    </row>
    <row r="7367" spans="20:20" ht="18.75" customHeight="1" x14ac:dyDescent="0.35">
      <c r="T7367" s="246">
        <f t="shared" si="153"/>
        <v>0</v>
      </c>
    </row>
    <row r="7368" spans="20:20" ht="18.75" customHeight="1" x14ac:dyDescent="0.35">
      <c r="T7368" s="246">
        <f t="shared" si="153"/>
        <v>0</v>
      </c>
    </row>
    <row r="7369" spans="20:20" ht="18.75" customHeight="1" x14ac:dyDescent="0.35">
      <c r="T7369" s="246">
        <f t="shared" si="153"/>
        <v>0</v>
      </c>
    </row>
    <row r="7370" spans="20:20" ht="18.75" customHeight="1" x14ac:dyDescent="0.35">
      <c r="T7370" s="246">
        <f t="shared" si="153"/>
        <v>0</v>
      </c>
    </row>
    <row r="7371" spans="20:20" ht="18.75" customHeight="1" x14ac:dyDescent="0.35">
      <c r="T7371" s="246">
        <f t="shared" si="153"/>
        <v>0</v>
      </c>
    </row>
    <row r="7372" spans="20:20" ht="18.75" customHeight="1" x14ac:dyDescent="0.35">
      <c r="T7372" s="246">
        <f t="shared" si="153"/>
        <v>0</v>
      </c>
    </row>
    <row r="7373" spans="20:20" ht="18.75" customHeight="1" x14ac:dyDescent="0.35">
      <c r="T7373" s="246">
        <f t="shared" si="153"/>
        <v>0</v>
      </c>
    </row>
    <row r="7374" spans="20:20" ht="18.75" customHeight="1" x14ac:dyDescent="0.35">
      <c r="T7374" s="246">
        <f t="shared" si="153"/>
        <v>0</v>
      </c>
    </row>
    <row r="7375" spans="20:20" ht="18.75" customHeight="1" x14ac:dyDescent="0.35">
      <c r="T7375" s="246">
        <f t="shared" si="153"/>
        <v>0</v>
      </c>
    </row>
    <row r="7376" spans="20:20" ht="18.75" customHeight="1" x14ac:dyDescent="0.35">
      <c r="T7376" s="246">
        <f t="shared" si="153"/>
        <v>0</v>
      </c>
    </row>
    <row r="7377" spans="20:20" ht="18.75" customHeight="1" x14ac:dyDescent="0.35">
      <c r="T7377" s="246">
        <f t="shared" si="153"/>
        <v>0</v>
      </c>
    </row>
    <row r="7378" spans="20:20" ht="18.75" customHeight="1" x14ac:dyDescent="0.35">
      <c r="T7378" s="246">
        <f t="shared" si="153"/>
        <v>0</v>
      </c>
    </row>
    <row r="7379" spans="20:20" ht="18.75" customHeight="1" x14ac:dyDescent="0.35">
      <c r="T7379" s="246">
        <f t="shared" si="153"/>
        <v>0</v>
      </c>
    </row>
    <row r="7380" spans="20:20" ht="18.75" customHeight="1" x14ac:dyDescent="0.35">
      <c r="T7380" s="246">
        <f t="shared" si="153"/>
        <v>0</v>
      </c>
    </row>
    <row r="7381" spans="20:20" ht="18.75" customHeight="1" x14ac:dyDescent="0.35">
      <c r="T7381" s="246">
        <f t="shared" si="153"/>
        <v>0</v>
      </c>
    </row>
    <row r="7382" spans="20:20" ht="18.75" customHeight="1" x14ac:dyDescent="0.35">
      <c r="T7382" s="246">
        <f t="shared" si="153"/>
        <v>0</v>
      </c>
    </row>
    <row r="7383" spans="20:20" ht="18.75" customHeight="1" x14ac:dyDescent="0.35">
      <c r="T7383" s="246">
        <f t="shared" si="153"/>
        <v>0</v>
      </c>
    </row>
    <row r="7384" spans="20:20" ht="18.75" customHeight="1" x14ac:dyDescent="0.35">
      <c r="T7384" s="246">
        <f t="shared" si="153"/>
        <v>0</v>
      </c>
    </row>
    <row r="7385" spans="20:20" ht="18.75" customHeight="1" x14ac:dyDescent="0.35">
      <c r="T7385" s="246">
        <f t="shared" si="153"/>
        <v>0</v>
      </c>
    </row>
    <row r="7386" spans="20:20" ht="18.75" customHeight="1" x14ac:dyDescent="0.35">
      <c r="T7386" s="246">
        <f t="shared" si="153"/>
        <v>0</v>
      </c>
    </row>
    <row r="7387" spans="20:20" ht="18.75" customHeight="1" x14ac:dyDescent="0.35">
      <c r="T7387" s="246">
        <f t="shared" si="153"/>
        <v>0</v>
      </c>
    </row>
    <row r="7388" spans="20:20" ht="18.75" customHeight="1" x14ac:dyDescent="0.35">
      <c r="T7388" s="246">
        <f t="shared" si="153"/>
        <v>0</v>
      </c>
    </row>
    <row r="7389" spans="20:20" ht="18.75" customHeight="1" x14ac:dyDescent="0.35">
      <c r="T7389" s="246">
        <f t="shared" si="153"/>
        <v>0</v>
      </c>
    </row>
    <row r="7390" spans="20:20" ht="18.75" customHeight="1" x14ac:dyDescent="0.35">
      <c r="T7390" s="246">
        <f t="shared" si="153"/>
        <v>0</v>
      </c>
    </row>
    <row r="7391" spans="20:20" ht="18.75" customHeight="1" x14ac:dyDescent="0.35">
      <c r="T7391" s="246">
        <f t="shared" si="153"/>
        <v>0</v>
      </c>
    </row>
    <row r="7392" spans="20:20" ht="18.75" customHeight="1" x14ac:dyDescent="0.35">
      <c r="T7392" s="246">
        <f t="shared" si="153"/>
        <v>0</v>
      </c>
    </row>
    <row r="7393" spans="20:20" ht="18.75" customHeight="1" x14ac:dyDescent="0.35">
      <c r="T7393" s="246">
        <f t="shared" si="153"/>
        <v>0</v>
      </c>
    </row>
    <row r="7394" spans="20:20" ht="18.75" customHeight="1" x14ac:dyDescent="0.35">
      <c r="T7394" s="246">
        <f t="shared" si="153"/>
        <v>0</v>
      </c>
    </row>
    <row r="7395" spans="20:20" ht="18.75" customHeight="1" x14ac:dyDescent="0.35">
      <c r="T7395" s="246">
        <f t="shared" si="153"/>
        <v>0</v>
      </c>
    </row>
    <row r="7396" spans="20:20" ht="18.75" customHeight="1" x14ac:dyDescent="0.35">
      <c r="T7396" s="246">
        <f t="shared" si="153"/>
        <v>0</v>
      </c>
    </row>
    <row r="7397" spans="20:20" ht="18.75" customHeight="1" x14ac:dyDescent="0.35">
      <c r="T7397" s="246">
        <f t="shared" si="153"/>
        <v>0</v>
      </c>
    </row>
    <row r="7398" spans="20:20" ht="18.75" customHeight="1" x14ac:dyDescent="0.35">
      <c r="T7398" s="246">
        <f t="shared" si="153"/>
        <v>0</v>
      </c>
    </row>
    <row r="7399" spans="20:20" ht="18.75" customHeight="1" x14ac:dyDescent="0.35">
      <c r="T7399" s="246">
        <f t="shared" si="153"/>
        <v>0</v>
      </c>
    </row>
    <row r="7400" spans="20:20" ht="18.75" customHeight="1" x14ac:dyDescent="0.35">
      <c r="T7400" s="246">
        <f t="shared" si="153"/>
        <v>0</v>
      </c>
    </row>
    <row r="7401" spans="20:20" ht="18.75" customHeight="1" x14ac:dyDescent="0.35">
      <c r="T7401" s="246">
        <f t="shared" si="153"/>
        <v>0</v>
      </c>
    </row>
    <row r="7402" spans="20:20" ht="18.75" customHeight="1" x14ac:dyDescent="0.35">
      <c r="T7402" s="246">
        <f t="shared" si="153"/>
        <v>0</v>
      </c>
    </row>
    <row r="7403" spans="20:20" ht="18.75" customHeight="1" x14ac:dyDescent="0.35">
      <c r="T7403" s="246">
        <f t="shared" si="153"/>
        <v>0</v>
      </c>
    </row>
    <row r="7404" spans="20:20" ht="18.75" customHeight="1" x14ac:dyDescent="0.35">
      <c r="T7404" s="246">
        <f t="shared" si="153"/>
        <v>0</v>
      </c>
    </row>
    <row r="7405" spans="20:20" ht="18.75" customHeight="1" x14ac:dyDescent="0.35">
      <c r="T7405" s="246">
        <f t="shared" si="153"/>
        <v>0</v>
      </c>
    </row>
    <row r="7406" spans="20:20" ht="18.75" customHeight="1" x14ac:dyDescent="0.35">
      <c r="T7406" s="246">
        <f t="shared" si="153"/>
        <v>0</v>
      </c>
    </row>
    <row r="7407" spans="20:20" ht="18.75" customHeight="1" x14ac:dyDescent="0.35">
      <c r="T7407" s="246">
        <f t="shared" si="153"/>
        <v>0</v>
      </c>
    </row>
    <row r="7408" spans="20:20" ht="18.75" customHeight="1" x14ac:dyDescent="0.35">
      <c r="T7408" s="246">
        <f t="shared" si="153"/>
        <v>0</v>
      </c>
    </row>
    <row r="7409" spans="20:20" ht="18.75" customHeight="1" x14ac:dyDescent="0.35">
      <c r="T7409" s="246">
        <f t="shared" si="153"/>
        <v>0</v>
      </c>
    </row>
    <row r="7410" spans="20:20" ht="18.75" customHeight="1" x14ac:dyDescent="0.35">
      <c r="T7410" s="246">
        <f t="shared" si="153"/>
        <v>0</v>
      </c>
    </row>
    <row r="7411" spans="20:20" ht="18.75" customHeight="1" x14ac:dyDescent="0.35">
      <c r="T7411" s="246">
        <f t="shared" si="153"/>
        <v>0</v>
      </c>
    </row>
    <row r="7412" spans="20:20" ht="18.75" customHeight="1" x14ac:dyDescent="0.35">
      <c r="T7412" s="246">
        <f t="shared" si="153"/>
        <v>0</v>
      </c>
    </row>
    <row r="7413" spans="20:20" ht="18.75" customHeight="1" x14ac:dyDescent="0.35">
      <c r="T7413" s="246">
        <f t="shared" si="153"/>
        <v>0</v>
      </c>
    </row>
    <row r="7414" spans="20:20" ht="18.75" customHeight="1" x14ac:dyDescent="0.35">
      <c r="T7414" s="246">
        <f t="shared" si="153"/>
        <v>0</v>
      </c>
    </row>
    <row r="7415" spans="20:20" ht="18.75" customHeight="1" x14ac:dyDescent="0.35">
      <c r="T7415" s="246">
        <f t="shared" si="153"/>
        <v>0</v>
      </c>
    </row>
    <row r="7416" spans="20:20" ht="18.75" customHeight="1" x14ac:dyDescent="0.35">
      <c r="T7416" s="246">
        <f t="shared" si="153"/>
        <v>0</v>
      </c>
    </row>
    <row r="7417" spans="20:20" ht="18.75" customHeight="1" x14ac:dyDescent="0.35">
      <c r="T7417" s="246">
        <f t="shared" si="153"/>
        <v>0</v>
      </c>
    </row>
    <row r="7418" spans="20:20" ht="18.75" customHeight="1" x14ac:dyDescent="0.35">
      <c r="T7418" s="246">
        <f t="shared" si="153"/>
        <v>0</v>
      </c>
    </row>
    <row r="7419" spans="20:20" ht="18.75" customHeight="1" x14ac:dyDescent="0.35">
      <c r="T7419" s="246">
        <f t="shared" si="153"/>
        <v>0</v>
      </c>
    </row>
    <row r="7420" spans="20:20" ht="18.75" customHeight="1" x14ac:dyDescent="0.35">
      <c r="T7420" s="246">
        <f t="shared" ref="T7420:T7483" si="154">R7420*0.01</f>
        <v>0</v>
      </c>
    </row>
    <row r="7421" spans="20:20" ht="18.75" customHeight="1" x14ac:dyDescent="0.35">
      <c r="T7421" s="246">
        <f t="shared" si="154"/>
        <v>0</v>
      </c>
    </row>
    <row r="7422" spans="20:20" ht="18.75" customHeight="1" x14ac:dyDescent="0.35">
      <c r="T7422" s="246">
        <f t="shared" si="154"/>
        <v>0</v>
      </c>
    </row>
    <row r="7423" spans="20:20" ht="18.75" customHeight="1" x14ac:dyDescent="0.35">
      <c r="T7423" s="246">
        <f t="shared" si="154"/>
        <v>0</v>
      </c>
    </row>
    <row r="7424" spans="20:20" ht="18.75" customHeight="1" x14ac:dyDescent="0.35">
      <c r="T7424" s="246">
        <f t="shared" si="154"/>
        <v>0</v>
      </c>
    </row>
    <row r="7425" spans="20:20" ht="18.75" customHeight="1" x14ac:dyDescent="0.35">
      <c r="T7425" s="246">
        <f t="shared" si="154"/>
        <v>0</v>
      </c>
    </row>
    <row r="7426" spans="20:20" ht="18.75" customHeight="1" x14ac:dyDescent="0.35">
      <c r="T7426" s="246">
        <f t="shared" si="154"/>
        <v>0</v>
      </c>
    </row>
    <row r="7427" spans="20:20" ht="18.75" customHeight="1" x14ac:dyDescent="0.35">
      <c r="T7427" s="246">
        <f t="shared" si="154"/>
        <v>0</v>
      </c>
    </row>
    <row r="7428" spans="20:20" ht="18.75" customHeight="1" x14ac:dyDescent="0.35">
      <c r="T7428" s="246">
        <f t="shared" si="154"/>
        <v>0</v>
      </c>
    </row>
    <row r="7429" spans="20:20" ht="18.75" customHeight="1" x14ac:dyDescent="0.35">
      <c r="T7429" s="246">
        <f t="shared" si="154"/>
        <v>0</v>
      </c>
    </row>
    <row r="7430" spans="20:20" ht="18.75" customHeight="1" x14ac:dyDescent="0.35">
      <c r="T7430" s="246">
        <f t="shared" si="154"/>
        <v>0</v>
      </c>
    </row>
    <row r="7431" spans="20:20" ht="18.75" customHeight="1" x14ac:dyDescent="0.35">
      <c r="T7431" s="246">
        <f t="shared" si="154"/>
        <v>0</v>
      </c>
    </row>
    <row r="7432" spans="20:20" ht="18.75" customHeight="1" x14ac:dyDescent="0.35">
      <c r="T7432" s="246">
        <f t="shared" si="154"/>
        <v>0</v>
      </c>
    </row>
    <row r="7433" spans="20:20" ht="18.75" customHeight="1" x14ac:dyDescent="0.35">
      <c r="T7433" s="246">
        <f t="shared" si="154"/>
        <v>0</v>
      </c>
    </row>
    <row r="7434" spans="20:20" ht="18.75" customHeight="1" x14ac:dyDescent="0.35">
      <c r="T7434" s="246">
        <f t="shared" si="154"/>
        <v>0</v>
      </c>
    </row>
    <row r="7435" spans="20:20" ht="18.75" customHeight="1" x14ac:dyDescent="0.35">
      <c r="T7435" s="246">
        <f t="shared" si="154"/>
        <v>0</v>
      </c>
    </row>
    <row r="7436" spans="20:20" ht="18.75" customHeight="1" x14ac:dyDescent="0.35">
      <c r="T7436" s="246">
        <f t="shared" si="154"/>
        <v>0</v>
      </c>
    </row>
    <row r="7437" spans="20:20" ht="18.75" customHeight="1" x14ac:dyDescent="0.35">
      <c r="T7437" s="246">
        <f t="shared" si="154"/>
        <v>0</v>
      </c>
    </row>
    <row r="7438" spans="20:20" ht="18.75" customHeight="1" x14ac:dyDescent="0.35">
      <c r="T7438" s="246">
        <f t="shared" si="154"/>
        <v>0</v>
      </c>
    </row>
    <row r="7439" spans="20:20" ht="18.75" customHeight="1" x14ac:dyDescent="0.35">
      <c r="T7439" s="246">
        <f t="shared" si="154"/>
        <v>0</v>
      </c>
    </row>
    <row r="7440" spans="20:20" ht="18.75" customHeight="1" x14ac:dyDescent="0.35">
      <c r="T7440" s="246">
        <f t="shared" si="154"/>
        <v>0</v>
      </c>
    </row>
    <row r="7441" spans="20:20" ht="18.75" customHeight="1" x14ac:dyDescent="0.35">
      <c r="T7441" s="246">
        <f t="shared" si="154"/>
        <v>0</v>
      </c>
    </row>
    <row r="7442" spans="20:20" ht="18.75" customHeight="1" x14ac:dyDescent="0.35">
      <c r="T7442" s="246">
        <f t="shared" si="154"/>
        <v>0</v>
      </c>
    </row>
    <row r="7443" spans="20:20" ht="18.75" customHeight="1" x14ac:dyDescent="0.35">
      <c r="T7443" s="246">
        <f t="shared" si="154"/>
        <v>0</v>
      </c>
    </row>
    <row r="7444" spans="20:20" ht="18.75" customHeight="1" x14ac:dyDescent="0.35">
      <c r="T7444" s="246">
        <f t="shared" si="154"/>
        <v>0</v>
      </c>
    </row>
    <row r="7445" spans="20:20" ht="18.75" customHeight="1" x14ac:dyDescent="0.35">
      <c r="T7445" s="246">
        <f t="shared" si="154"/>
        <v>0</v>
      </c>
    </row>
    <row r="7446" spans="20:20" ht="18.75" customHeight="1" x14ac:dyDescent="0.35">
      <c r="T7446" s="246">
        <f t="shared" si="154"/>
        <v>0</v>
      </c>
    </row>
    <row r="7447" spans="20:20" ht="18.75" customHeight="1" x14ac:dyDescent="0.35">
      <c r="T7447" s="246">
        <f t="shared" si="154"/>
        <v>0</v>
      </c>
    </row>
    <row r="7448" spans="20:20" ht="18.75" customHeight="1" x14ac:dyDescent="0.35">
      <c r="T7448" s="246">
        <f t="shared" si="154"/>
        <v>0</v>
      </c>
    </row>
    <row r="7449" spans="20:20" ht="18.75" customHeight="1" x14ac:dyDescent="0.35">
      <c r="T7449" s="246">
        <f t="shared" si="154"/>
        <v>0</v>
      </c>
    </row>
    <row r="7450" spans="20:20" ht="18.75" customHeight="1" x14ac:dyDescent="0.35">
      <c r="T7450" s="246">
        <f t="shared" si="154"/>
        <v>0</v>
      </c>
    </row>
    <row r="7451" spans="20:20" ht="18.75" customHeight="1" x14ac:dyDescent="0.35">
      <c r="T7451" s="246">
        <f t="shared" si="154"/>
        <v>0</v>
      </c>
    </row>
    <row r="7452" spans="20:20" ht="18.75" customHeight="1" x14ac:dyDescent="0.35">
      <c r="T7452" s="246">
        <f t="shared" si="154"/>
        <v>0</v>
      </c>
    </row>
    <row r="7453" spans="20:20" ht="18.75" customHeight="1" x14ac:dyDescent="0.35">
      <c r="T7453" s="246">
        <f t="shared" si="154"/>
        <v>0</v>
      </c>
    </row>
    <row r="7454" spans="20:20" ht="18.75" customHeight="1" x14ac:dyDescent="0.35">
      <c r="T7454" s="246">
        <f t="shared" si="154"/>
        <v>0</v>
      </c>
    </row>
    <row r="7455" spans="20:20" ht="18.75" customHeight="1" x14ac:dyDescent="0.35">
      <c r="T7455" s="246">
        <f t="shared" si="154"/>
        <v>0</v>
      </c>
    </row>
    <row r="7456" spans="20:20" ht="18.75" customHeight="1" x14ac:dyDescent="0.35">
      <c r="T7456" s="246">
        <f t="shared" si="154"/>
        <v>0</v>
      </c>
    </row>
    <row r="7457" spans="20:20" ht="18.75" customHeight="1" x14ac:dyDescent="0.35">
      <c r="T7457" s="246">
        <f t="shared" si="154"/>
        <v>0</v>
      </c>
    </row>
    <row r="7458" spans="20:20" ht="18.75" customHeight="1" x14ac:dyDescent="0.35">
      <c r="T7458" s="246">
        <f t="shared" si="154"/>
        <v>0</v>
      </c>
    </row>
    <row r="7459" spans="20:20" ht="18.75" customHeight="1" x14ac:dyDescent="0.35">
      <c r="T7459" s="246">
        <f t="shared" si="154"/>
        <v>0</v>
      </c>
    </row>
    <row r="7460" spans="20:20" ht="18.75" customHeight="1" x14ac:dyDescent="0.35">
      <c r="T7460" s="246">
        <f t="shared" si="154"/>
        <v>0</v>
      </c>
    </row>
    <row r="7461" spans="20:20" ht="18.75" customHeight="1" x14ac:dyDescent="0.35">
      <c r="T7461" s="246">
        <f t="shared" si="154"/>
        <v>0</v>
      </c>
    </row>
    <row r="7462" spans="20:20" ht="18.75" customHeight="1" x14ac:dyDescent="0.35">
      <c r="T7462" s="246">
        <f t="shared" si="154"/>
        <v>0</v>
      </c>
    </row>
    <row r="7463" spans="20:20" ht="18.75" customHeight="1" x14ac:dyDescent="0.35">
      <c r="T7463" s="246">
        <f t="shared" si="154"/>
        <v>0</v>
      </c>
    </row>
    <row r="7464" spans="20:20" ht="18.75" customHeight="1" x14ac:dyDescent="0.35">
      <c r="T7464" s="246">
        <f t="shared" si="154"/>
        <v>0</v>
      </c>
    </row>
    <row r="7465" spans="20:20" ht="18.75" customHeight="1" x14ac:dyDescent="0.35">
      <c r="T7465" s="246">
        <f t="shared" si="154"/>
        <v>0</v>
      </c>
    </row>
    <row r="7466" spans="20:20" ht="18.75" customHeight="1" x14ac:dyDescent="0.35">
      <c r="T7466" s="246">
        <f t="shared" si="154"/>
        <v>0</v>
      </c>
    </row>
    <row r="7467" spans="20:20" ht="18.75" customHeight="1" x14ac:dyDescent="0.35">
      <c r="T7467" s="246">
        <f t="shared" si="154"/>
        <v>0</v>
      </c>
    </row>
    <row r="7468" spans="20:20" ht="18.75" customHeight="1" x14ac:dyDescent="0.35">
      <c r="T7468" s="246">
        <f t="shared" si="154"/>
        <v>0</v>
      </c>
    </row>
    <row r="7469" spans="20:20" ht="18.75" customHeight="1" x14ac:dyDescent="0.35">
      <c r="T7469" s="246">
        <f t="shared" si="154"/>
        <v>0</v>
      </c>
    </row>
    <row r="7470" spans="20:20" ht="18.75" customHeight="1" x14ac:dyDescent="0.35">
      <c r="T7470" s="246">
        <f t="shared" si="154"/>
        <v>0</v>
      </c>
    </row>
    <row r="7471" spans="20:20" ht="18.75" customHeight="1" x14ac:dyDescent="0.35">
      <c r="T7471" s="246">
        <f t="shared" si="154"/>
        <v>0</v>
      </c>
    </row>
    <row r="7472" spans="20:20" ht="18.75" customHeight="1" x14ac:dyDescent="0.35">
      <c r="T7472" s="246">
        <f t="shared" si="154"/>
        <v>0</v>
      </c>
    </row>
    <row r="7473" spans="20:20" ht="18.75" customHeight="1" x14ac:dyDescent="0.35">
      <c r="T7473" s="246">
        <f t="shared" si="154"/>
        <v>0</v>
      </c>
    </row>
    <row r="7474" spans="20:20" ht="18.75" customHeight="1" x14ac:dyDescent="0.35">
      <c r="T7474" s="246">
        <f t="shared" si="154"/>
        <v>0</v>
      </c>
    </row>
    <row r="7475" spans="20:20" ht="18.75" customHeight="1" x14ac:dyDescent="0.35">
      <c r="T7475" s="246">
        <f t="shared" si="154"/>
        <v>0</v>
      </c>
    </row>
    <row r="7476" spans="20:20" ht="18.75" customHeight="1" x14ac:dyDescent="0.35">
      <c r="T7476" s="246">
        <f t="shared" si="154"/>
        <v>0</v>
      </c>
    </row>
    <row r="7477" spans="20:20" ht="18.75" customHeight="1" x14ac:dyDescent="0.35">
      <c r="T7477" s="246">
        <f t="shared" si="154"/>
        <v>0</v>
      </c>
    </row>
    <row r="7478" spans="20:20" ht="18.75" customHeight="1" x14ac:dyDescent="0.35">
      <c r="T7478" s="246">
        <f t="shared" si="154"/>
        <v>0</v>
      </c>
    </row>
    <row r="7479" spans="20:20" ht="18.75" customHeight="1" x14ac:dyDescent="0.35">
      <c r="T7479" s="246">
        <f t="shared" si="154"/>
        <v>0</v>
      </c>
    </row>
    <row r="7480" spans="20:20" ht="18.75" customHeight="1" x14ac:dyDescent="0.35">
      <c r="T7480" s="246">
        <f t="shared" si="154"/>
        <v>0</v>
      </c>
    </row>
    <row r="7481" spans="20:20" ht="18.75" customHeight="1" x14ac:dyDescent="0.35">
      <c r="T7481" s="246">
        <f t="shared" si="154"/>
        <v>0</v>
      </c>
    </row>
    <row r="7482" spans="20:20" ht="18.75" customHeight="1" x14ac:dyDescent="0.35">
      <c r="T7482" s="246">
        <f t="shared" si="154"/>
        <v>0</v>
      </c>
    </row>
    <row r="7483" spans="20:20" ht="18.75" customHeight="1" x14ac:dyDescent="0.35">
      <c r="T7483" s="246">
        <f t="shared" si="154"/>
        <v>0</v>
      </c>
    </row>
    <row r="7484" spans="20:20" ht="18.75" customHeight="1" x14ac:dyDescent="0.35">
      <c r="T7484" s="246">
        <f t="shared" ref="T7484:T7547" si="155">R7484*0.01</f>
        <v>0</v>
      </c>
    </row>
    <row r="7485" spans="20:20" ht="18.75" customHeight="1" x14ac:dyDescent="0.35">
      <c r="T7485" s="246">
        <f t="shared" si="155"/>
        <v>0</v>
      </c>
    </row>
    <row r="7486" spans="20:20" ht="18.75" customHeight="1" x14ac:dyDescent="0.35">
      <c r="T7486" s="246">
        <f t="shared" si="155"/>
        <v>0</v>
      </c>
    </row>
    <row r="7487" spans="20:20" ht="18.75" customHeight="1" x14ac:dyDescent="0.35">
      <c r="T7487" s="246">
        <f t="shared" si="155"/>
        <v>0</v>
      </c>
    </row>
    <row r="7488" spans="20:20" ht="18.75" customHeight="1" x14ac:dyDescent="0.35">
      <c r="T7488" s="246">
        <f t="shared" si="155"/>
        <v>0</v>
      </c>
    </row>
    <row r="7489" spans="20:20" ht="18.75" customHeight="1" x14ac:dyDescent="0.35">
      <c r="T7489" s="246">
        <f t="shared" si="155"/>
        <v>0</v>
      </c>
    </row>
    <row r="7490" spans="20:20" ht="18.75" customHeight="1" x14ac:dyDescent="0.35">
      <c r="T7490" s="246">
        <f t="shared" si="155"/>
        <v>0</v>
      </c>
    </row>
    <row r="7491" spans="20:20" ht="18.75" customHeight="1" x14ac:dyDescent="0.35">
      <c r="T7491" s="246">
        <f t="shared" si="155"/>
        <v>0</v>
      </c>
    </row>
    <row r="7492" spans="20:20" ht="18.75" customHeight="1" x14ac:dyDescent="0.35">
      <c r="T7492" s="246">
        <f t="shared" si="155"/>
        <v>0</v>
      </c>
    </row>
    <row r="7493" spans="20:20" ht="18.75" customHeight="1" x14ac:dyDescent="0.35">
      <c r="T7493" s="246">
        <f t="shared" si="155"/>
        <v>0</v>
      </c>
    </row>
    <row r="7494" spans="20:20" ht="18.75" customHeight="1" x14ac:dyDescent="0.35">
      <c r="T7494" s="246">
        <f t="shared" si="155"/>
        <v>0</v>
      </c>
    </row>
    <row r="7495" spans="20:20" ht="18.75" customHeight="1" x14ac:dyDescent="0.35">
      <c r="T7495" s="246">
        <f t="shared" si="155"/>
        <v>0</v>
      </c>
    </row>
    <row r="7496" spans="20:20" ht="18.75" customHeight="1" x14ac:dyDescent="0.35">
      <c r="T7496" s="246">
        <f t="shared" si="155"/>
        <v>0</v>
      </c>
    </row>
    <row r="7497" spans="20:20" ht="18.75" customHeight="1" x14ac:dyDescent="0.35">
      <c r="T7497" s="246">
        <f t="shared" si="155"/>
        <v>0</v>
      </c>
    </row>
    <row r="7498" spans="20:20" ht="18.75" customHeight="1" x14ac:dyDescent="0.35">
      <c r="T7498" s="246">
        <f t="shared" si="155"/>
        <v>0</v>
      </c>
    </row>
    <row r="7499" spans="20:20" ht="18.75" customHeight="1" x14ac:dyDescent="0.35">
      <c r="T7499" s="246">
        <f t="shared" si="155"/>
        <v>0</v>
      </c>
    </row>
    <row r="7500" spans="20:20" ht="18.75" customHeight="1" x14ac:dyDescent="0.35">
      <c r="T7500" s="246">
        <f t="shared" si="155"/>
        <v>0</v>
      </c>
    </row>
    <row r="7501" spans="20:20" ht="18.75" customHeight="1" x14ac:dyDescent="0.35">
      <c r="T7501" s="246">
        <f t="shared" si="155"/>
        <v>0</v>
      </c>
    </row>
    <row r="7502" spans="20:20" ht="18.75" customHeight="1" x14ac:dyDescent="0.35">
      <c r="T7502" s="246">
        <f t="shared" si="155"/>
        <v>0</v>
      </c>
    </row>
    <row r="7503" spans="20:20" ht="18.75" customHeight="1" x14ac:dyDescent="0.35">
      <c r="T7503" s="246">
        <f t="shared" si="155"/>
        <v>0</v>
      </c>
    </row>
    <row r="7504" spans="20:20" ht="18.75" customHeight="1" x14ac:dyDescent="0.35">
      <c r="T7504" s="246">
        <f t="shared" si="155"/>
        <v>0</v>
      </c>
    </row>
    <row r="7505" spans="20:20" ht="18.75" customHeight="1" x14ac:dyDescent="0.35">
      <c r="T7505" s="246">
        <f t="shared" si="155"/>
        <v>0</v>
      </c>
    </row>
    <row r="7506" spans="20:20" ht="18.75" customHeight="1" x14ac:dyDescent="0.35">
      <c r="T7506" s="246">
        <f t="shared" si="155"/>
        <v>0</v>
      </c>
    </row>
    <row r="7507" spans="20:20" ht="18.75" customHeight="1" x14ac:dyDescent="0.35">
      <c r="T7507" s="246">
        <f t="shared" si="155"/>
        <v>0</v>
      </c>
    </row>
    <row r="7508" spans="20:20" ht="18.75" customHeight="1" x14ac:dyDescent="0.35">
      <c r="T7508" s="246">
        <f t="shared" si="155"/>
        <v>0</v>
      </c>
    </row>
    <row r="7509" spans="20:20" ht="18.75" customHeight="1" x14ac:dyDescent="0.35">
      <c r="T7509" s="246">
        <f t="shared" si="155"/>
        <v>0</v>
      </c>
    </row>
    <row r="7510" spans="20:20" ht="18.75" customHeight="1" x14ac:dyDescent="0.35">
      <c r="T7510" s="246">
        <f t="shared" si="155"/>
        <v>0</v>
      </c>
    </row>
    <row r="7511" spans="20:20" ht="18.75" customHeight="1" x14ac:dyDescent="0.35">
      <c r="T7511" s="246">
        <f t="shared" si="155"/>
        <v>0</v>
      </c>
    </row>
    <row r="7512" spans="20:20" ht="18.75" customHeight="1" x14ac:dyDescent="0.35">
      <c r="T7512" s="246">
        <f t="shared" si="155"/>
        <v>0</v>
      </c>
    </row>
    <row r="7513" spans="20:20" ht="18.75" customHeight="1" x14ac:dyDescent="0.35">
      <c r="T7513" s="246">
        <f t="shared" si="155"/>
        <v>0</v>
      </c>
    </row>
    <row r="7514" spans="20:20" ht="18.75" customHeight="1" x14ac:dyDescent="0.35">
      <c r="T7514" s="246">
        <f t="shared" si="155"/>
        <v>0</v>
      </c>
    </row>
    <row r="7515" spans="20:20" ht="18.75" customHeight="1" x14ac:dyDescent="0.35">
      <c r="T7515" s="246">
        <f t="shared" si="155"/>
        <v>0</v>
      </c>
    </row>
    <row r="7516" spans="20:20" ht="18.75" customHeight="1" x14ac:dyDescent="0.35">
      <c r="T7516" s="246">
        <f t="shared" si="155"/>
        <v>0</v>
      </c>
    </row>
    <row r="7517" spans="20:20" ht="18.75" customHeight="1" x14ac:dyDescent="0.35">
      <c r="T7517" s="246">
        <f t="shared" si="155"/>
        <v>0</v>
      </c>
    </row>
    <row r="7518" spans="20:20" ht="18.75" customHeight="1" x14ac:dyDescent="0.35">
      <c r="T7518" s="246">
        <f t="shared" si="155"/>
        <v>0</v>
      </c>
    </row>
    <row r="7519" spans="20:20" ht="18.75" customHeight="1" x14ac:dyDescent="0.35">
      <c r="T7519" s="246">
        <f t="shared" si="155"/>
        <v>0</v>
      </c>
    </row>
    <row r="7520" spans="20:20" ht="18.75" customHeight="1" x14ac:dyDescent="0.35">
      <c r="T7520" s="246">
        <f t="shared" si="155"/>
        <v>0</v>
      </c>
    </row>
    <row r="7521" spans="20:20" ht="18.75" customHeight="1" x14ac:dyDescent="0.35">
      <c r="T7521" s="246">
        <f t="shared" si="155"/>
        <v>0</v>
      </c>
    </row>
    <row r="7522" spans="20:20" ht="18.75" customHeight="1" x14ac:dyDescent="0.35">
      <c r="T7522" s="246">
        <f t="shared" si="155"/>
        <v>0</v>
      </c>
    </row>
    <row r="7523" spans="20:20" ht="18.75" customHeight="1" x14ac:dyDescent="0.35">
      <c r="T7523" s="246">
        <f t="shared" si="155"/>
        <v>0</v>
      </c>
    </row>
    <row r="7524" spans="20:20" ht="18.75" customHeight="1" x14ac:dyDescent="0.35">
      <c r="T7524" s="246">
        <f t="shared" si="155"/>
        <v>0</v>
      </c>
    </row>
    <row r="7525" spans="20:20" ht="18.75" customHeight="1" x14ac:dyDescent="0.35">
      <c r="T7525" s="246">
        <f t="shared" si="155"/>
        <v>0</v>
      </c>
    </row>
    <row r="7526" spans="20:20" ht="18.75" customHeight="1" x14ac:dyDescent="0.35">
      <c r="T7526" s="246">
        <f t="shared" si="155"/>
        <v>0</v>
      </c>
    </row>
    <row r="7527" spans="20:20" ht="18.75" customHeight="1" x14ac:dyDescent="0.35">
      <c r="T7527" s="246">
        <f t="shared" si="155"/>
        <v>0</v>
      </c>
    </row>
    <row r="7528" spans="20:20" ht="18.75" customHeight="1" x14ac:dyDescent="0.35">
      <c r="T7528" s="246">
        <f t="shared" si="155"/>
        <v>0</v>
      </c>
    </row>
    <row r="7529" spans="20:20" ht="18.75" customHeight="1" x14ac:dyDescent="0.35">
      <c r="T7529" s="246">
        <f t="shared" si="155"/>
        <v>0</v>
      </c>
    </row>
    <row r="7530" spans="20:20" ht="18.75" customHeight="1" x14ac:dyDescent="0.35">
      <c r="T7530" s="246">
        <f t="shared" si="155"/>
        <v>0</v>
      </c>
    </row>
    <row r="7531" spans="20:20" ht="18.75" customHeight="1" x14ac:dyDescent="0.35">
      <c r="T7531" s="246">
        <f t="shared" si="155"/>
        <v>0</v>
      </c>
    </row>
    <row r="7532" spans="20:20" ht="18.75" customHeight="1" x14ac:dyDescent="0.35">
      <c r="T7532" s="246">
        <f t="shared" si="155"/>
        <v>0</v>
      </c>
    </row>
    <row r="7533" spans="20:20" ht="18.75" customHeight="1" x14ac:dyDescent="0.35">
      <c r="T7533" s="246">
        <f t="shared" si="155"/>
        <v>0</v>
      </c>
    </row>
    <row r="7534" spans="20:20" ht="18.75" customHeight="1" x14ac:dyDescent="0.35">
      <c r="T7534" s="246">
        <f t="shared" si="155"/>
        <v>0</v>
      </c>
    </row>
    <row r="7535" spans="20:20" ht="18.75" customHeight="1" x14ac:dyDescent="0.35">
      <c r="T7535" s="246">
        <f t="shared" si="155"/>
        <v>0</v>
      </c>
    </row>
    <row r="7536" spans="20:20" ht="18.75" customHeight="1" x14ac:dyDescent="0.35">
      <c r="T7536" s="246">
        <f t="shared" si="155"/>
        <v>0</v>
      </c>
    </row>
    <row r="7537" spans="20:20" ht="18.75" customHeight="1" x14ac:dyDescent="0.35">
      <c r="T7537" s="246">
        <f t="shared" si="155"/>
        <v>0</v>
      </c>
    </row>
    <row r="7538" spans="20:20" ht="18.75" customHeight="1" x14ac:dyDescent="0.35">
      <c r="T7538" s="246">
        <f t="shared" si="155"/>
        <v>0</v>
      </c>
    </row>
    <row r="7539" spans="20:20" ht="18.75" customHeight="1" x14ac:dyDescent="0.35">
      <c r="T7539" s="246">
        <f t="shared" si="155"/>
        <v>0</v>
      </c>
    </row>
    <row r="7540" spans="20:20" ht="18.75" customHeight="1" x14ac:dyDescent="0.35">
      <c r="T7540" s="246">
        <f t="shared" si="155"/>
        <v>0</v>
      </c>
    </row>
    <row r="7541" spans="20:20" ht="18.75" customHeight="1" x14ac:dyDescent="0.35">
      <c r="T7541" s="246">
        <f t="shared" si="155"/>
        <v>0</v>
      </c>
    </row>
    <row r="7542" spans="20:20" ht="18.75" customHeight="1" x14ac:dyDescent="0.35">
      <c r="T7542" s="246">
        <f t="shared" si="155"/>
        <v>0</v>
      </c>
    </row>
    <row r="7543" spans="20:20" ht="18.75" customHeight="1" x14ac:dyDescent="0.35">
      <c r="T7543" s="246">
        <f t="shared" si="155"/>
        <v>0</v>
      </c>
    </row>
    <row r="7544" spans="20:20" ht="18.75" customHeight="1" x14ac:dyDescent="0.35">
      <c r="T7544" s="246">
        <f t="shared" si="155"/>
        <v>0</v>
      </c>
    </row>
    <row r="7545" spans="20:20" ht="18.75" customHeight="1" x14ac:dyDescent="0.35">
      <c r="T7545" s="246">
        <f t="shared" si="155"/>
        <v>0</v>
      </c>
    </row>
    <row r="7546" spans="20:20" ht="18.75" customHeight="1" x14ac:dyDescent="0.35">
      <c r="T7546" s="246">
        <f t="shared" si="155"/>
        <v>0</v>
      </c>
    </row>
    <row r="7547" spans="20:20" ht="18.75" customHeight="1" x14ac:dyDescent="0.35">
      <c r="T7547" s="246">
        <f t="shared" si="155"/>
        <v>0</v>
      </c>
    </row>
    <row r="7548" spans="20:20" ht="18.75" customHeight="1" x14ac:dyDescent="0.35">
      <c r="T7548" s="246">
        <f t="shared" ref="T7548:T7611" si="156">R7548*0.01</f>
        <v>0</v>
      </c>
    </row>
    <row r="7549" spans="20:20" ht="18.75" customHeight="1" x14ac:dyDescent="0.35">
      <c r="T7549" s="246">
        <f t="shared" si="156"/>
        <v>0</v>
      </c>
    </row>
    <row r="7550" spans="20:20" ht="18.75" customHeight="1" x14ac:dyDescent="0.35">
      <c r="T7550" s="246">
        <f t="shared" si="156"/>
        <v>0</v>
      </c>
    </row>
    <row r="7551" spans="20:20" ht="18.75" customHeight="1" x14ac:dyDescent="0.35">
      <c r="T7551" s="246">
        <f t="shared" si="156"/>
        <v>0</v>
      </c>
    </row>
    <row r="7552" spans="20:20" ht="18.75" customHeight="1" x14ac:dyDescent="0.35">
      <c r="T7552" s="246">
        <f t="shared" si="156"/>
        <v>0</v>
      </c>
    </row>
    <row r="7553" spans="20:20" ht="18.75" customHeight="1" x14ac:dyDescent="0.35">
      <c r="T7553" s="246">
        <f t="shared" si="156"/>
        <v>0</v>
      </c>
    </row>
    <row r="7554" spans="20:20" ht="18.75" customHeight="1" x14ac:dyDescent="0.35">
      <c r="T7554" s="246">
        <f t="shared" si="156"/>
        <v>0</v>
      </c>
    </row>
    <row r="7555" spans="20:20" ht="18.75" customHeight="1" x14ac:dyDescent="0.35">
      <c r="T7555" s="246">
        <f t="shared" si="156"/>
        <v>0</v>
      </c>
    </row>
    <row r="7556" spans="20:20" ht="18.75" customHeight="1" x14ac:dyDescent="0.35">
      <c r="T7556" s="246">
        <f t="shared" si="156"/>
        <v>0</v>
      </c>
    </row>
    <row r="7557" spans="20:20" ht="18.75" customHeight="1" x14ac:dyDescent="0.35">
      <c r="T7557" s="246">
        <f t="shared" si="156"/>
        <v>0</v>
      </c>
    </row>
    <row r="7558" spans="20:20" ht="18.75" customHeight="1" x14ac:dyDescent="0.35">
      <c r="T7558" s="246">
        <f t="shared" si="156"/>
        <v>0</v>
      </c>
    </row>
    <row r="7559" spans="20:20" ht="18.75" customHeight="1" x14ac:dyDescent="0.35">
      <c r="T7559" s="246">
        <f t="shared" si="156"/>
        <v>0</v>
      </c>
    </row>
    <row r="7560" spans="20:20" ht="18.75" customHeight="1" x14ac:dyDescent="0.35">
      <c r="T7560" s="246">
        <f t="shared" si="156"/>
        <v>0</v>
      </c>
    </row>
    <row r="7561" spans="20:20" ht="18.75" customHeight="1" x14ac:dyDescent="0.35">
      <c r="T7561" s="246">
        <f t="shared" si="156"/>
        <v>0</v>
      </c>
    </row>
    <row r="7562" spans="20:20" ht="18.75" customHeight="1" x14ac:dyDescent="0.35">
      <c r="T7562" s="246">
        <f t="shared" si="156"/>
        <v>0</v>
      </c>
    </row>
    <row r="7563" spans="20:20" ht="18.75" customHeight="1" x14ac:dyDescent="0.35">
      <c r="T7563" s="246">
        <f t="shared" si="156"/>
        <v>0</v>
      </c>
    </row>
    <row r="7564" spans="20:20" ht="18.75" customHeight="1" x14ac:dyDescent="0.35">
      <c r="T7564" s="246">
        <f t="shared" si="156"/>
        <v>0</v>
      </c>
    </row>
    <row r="7565" spans="20:20" ht="18.75" customHeight="1" x14ac:dyDescent="0.35">
      <c r="T7565" s="246">
        <f t="shared" si="156"/>
        <v>0</v>
      </c>
    </row>
    <row r="7566" spans="20:20" ht="18.75" customHeight="1" x14ac:dyDescent="0.35">
      <c r="T7566" s="246">
        <f t="shared" si="156"/>
        <v>0</v>
      </c>
    </row>
    <row r="7567" spans="20:20" ht="18.75" customHeight="1" x14ac:dyDescent="0.35">
      <c r="T7567" s="246">
        <f t="shared" si="156"/>
        <v>0</v>
      </c>
    </row>
    <row r="7568" spans="20:20" ht="18.75" customHeight="1" x14ac:dyDescent="0.35">
      <c r="T7568" s="246">
        <f t="shared" si="156"/>
        <v>0</v>
      </c>
    </row>
    <row r="7569" spans="20:20" ht="18.75" customHeight="1" x14ac:dyDescent="0.35">
      <c r="T7569" s="246">
        <f t="shared" si="156"/>
        <v>0</v>
      </c>
    </row>
    <row r="7570" spans="20:20" ht="18.75" customHeight="1" x14ac:dyDescent="0.35">
      <c r="T7570" s="246">
        <f t="shared" si="156"/>
        <v>0</v>
      </c>
    </row>
    <row r="7571" spans="20:20" ht="18.75" customHeight="1" x14ac:dyDescent="0.35">
      <c r="T7571" s="246">
        <f t="shared" si="156"/>
        <v>0</v>
      </c>
    </row>
    <row r="7572" spans="20:20" ht="18.75" customHeight="1" x14ac:dyDescent="0.35">
      <c r="T7572" s="246">
        <f t="shared" si="156"/>
        <v>0</v>
      </c>
    </row>
    <row r="7573" spans="20:20" ht="18.75" customHeight="1" x14ac:dyDescent="0.35">
      <c r="T7573" s="246">
        <f t="shared" si="156"/>
        <v>0</v>
      </c>
    </row>
    <row r="7574" spans="20:20" ht="18.75" customHeight="1" x14ac:dyDescent="0.35">
      <c r="T7574" s="246">
        <f t="shared" si="156"/>
        <v>0</v>
      </c>
    </row>
    <row r="7575" spans="20:20" ht="18.75" customHeight="1" x14ac:dyDescent="0.35">
      <c r="T7575" s="246">
        <f t="shared" si="156"/>
        <v>0</v>
      </c>
    </row>
    <row r="7576" spans="20:20" ht="18.75" customHeight="1" x14ac:dyDescent="0.35">
      <c r="T7576" s="246">
        <f t="shared" si="156"/>
        <v>0</v>
      </c>
    </row>
    <row r="7577" spans="20:20" ht="18.75" customHeight="1" x14ac:dyDescent="0.35">
      <c r="T7577" s="246">
        <f t="shared" si="156"/>
        <v>0</v>
      </c>
    </row>
    <row r="7578" spans="20:20" ht="18.75" customHeight="1" x14ac:dyDescent="0.35">
      <c r="T7578" s="246">
        <f t="shared" si="156"/>
        <v>0</v>
      </c>
    </row>
    <row r="7579" spans="20:20" ht="18.75" customHeight="1" x14ac:dyDescent="0.35">
      <c r="T7579" s="246">
        <f t="shared" si="156"/>
        <v>0</v>
      </c>
    </row>
    <row r="7580" spans="20:20" ht="18.75" customHeight="1" x14ac:dyDescent="0.35">
      <c r="T7580" s="246">
        <f t="shared" si="156"/>
        <v>0</v>
      </c>
    </row>
    <row r="7581" spans="20:20" ht="18.75" customHeight="1" x14ac:dyDescent="0.35">
      <c r="T7581" s="246">
        <f t="shared" si="156"/>
        <v>0</v>
      </c>
    </row>
    <row r="7582" spans="20:20" ht="18.75" customHeight="1" x14ac:dyDescent="0.35">
      <c r="T7582" s="246">
        <f t="shared" si="156"/>
        <v>0</v>
      </c>
    </row>
    <row r="7583" spans="20:20" ht="18.75" customHeight="1" x14ac:dyDescent="0.35">
      <c r="T7583" s="246">
        <f t="shared" si="156"/>
        <v>0</v>
      </c>
    </row>
    <row r="7584" spans="20:20" ht="18.75" customHeight="1" x14ac:dyDescent="0.35">
      <c r="T7584" s="246">
        <f t="shared" si="156"/>
        <v>0</v>
      </c>
    </row>
    <row r="7585" spans="20:20" ht="18.75" customHeight="1" x14ac:dyDescent="0.35">
      <c r="T7585" s="246">
        <f t="shared" si="156"/>
        <v>0</v>
      </c>
    </row>
    <row r="7586" spans="20:20" ht="18.75" customHeight="1" x14ac:dyDescent="0.35">
      <c r="T7586" s="246">
        <f t="shared" si="156"/>
        <v>0</v>
      </c>
    </row>
    <row r="7587" spans="20:20" ht="18.75" customHeight="1" x14ac:dyDescent="0.35">
      <c r="T7587" s="246">
        <f t="shared" si="156"/>
        <v>0</v>
      </c>
    </row>
    <row r="7588" spans="20:20" ht="18.75" customHeight="1" x14ac:dyDescent="0.35">
      <c r="T7588" s="246">
        <f t="shared" si="156"/>
        <v>0</v>
      </c>
    </row>
    <row r="7589" spans="20:20" ht="18.75" customHeight="1" x14ac:dyDescent="0.35">
      <c r="T7589" s="246">
        <f t="shared" si="156"/>
        <v>0</v>
      </c>
    </row>
    <row r="7590" spans="20:20" ht="18.75" customHeight="1" x14ac:dyDescent="0.35">
      <c r="T7590" s="246">
        <f t="shared" si="156"/>
        <v>0</v>
      </c>
    </row>
    <row r="7591" spans="20:20" ht="18.75" customHeight="1" x14ac:dyDescent="0.35">
      <c r="T7591" s="246">
        <f t="shared" si="156"/>
        <v>0</v>
      </c>
    </row>
    <row r="7592" spans="20:20" ht="18.75" customHeight="1" x14ac:dyDescent="0.35">
      <c r="T7592" s="246">
        <f t="shared" si="156"/>
        <v>0</v>
      </c>
    </row>
    <row r="7593" spans="20:20" ht="18.75" customHeight="1" x14ac:dyDescent="0.35">
      <c r="T7593" s="246">
        <f t="shared" si="156"/>
        <v>0</v>
      </c>
    </row>
    <row r="7594" spans="20:20" ht="18.75" customHeight="1" x14ac:dyDescent="0.35">
      <c r="T7594" s="246">
        <f t="shared" si="156"/>
        <v>0</v>
      </c>
    </row>
    <row r="7595" spans="20:20" ht="18.75" customHeight="1" x14ac:dyDescent="0.35">
      <c r="T7595" s="246">
        <f t="shared" si="156"/>
        <v>0</v>
      </c>
    </row>
    <row r="7596" spans="20:20" ht="18.75" customHeight="1" x14ac:dyDescent="0.35">
      <c r="T7596" s="246">
        <f t="shared" si="156"/>
        <v>0</v>
      </c>
    </row>
    <row r="7597" spans="20:20" ht="18.75" customHeight="1" x14ac:dyDescent="0.35">
      <c r="T7597" s="246">
        <f t="shared" si="156"/>
        <v>0</v>
      </c>
    </row>
    <row r="7598" spans="20:20" ht="18.75" customHeight="1" x14ac:dyDescent="0.35">
      <c r="T7598" s="246">
        <f t="shared" si="156"/>
        <v>0</v>
      </c>
    </row>
    <row r="7599" spans="20:20" ht="18.75" customHeight="1" x14ac:dyDescent="0.35">
      <c r="T7599" s="246">
        <f t="shared" si="156"/>
        <v>0</v>
      </c>
    </row>
    <row r="7600" spans="20:20" ht="18.75" customHeight="1" x14ac:dyDescent="0.35">
      <c r="T7600" s="246">
        <f t="shared" si="156"/>
        <v>0</v>
      </c>
    </row>
    <row r="7601" spans="20:20" ht="18.75" customHeight="1" x14ac:dyDescent="0.35">
      <c r="T7601" s="246">
        <f t="shared" si="156"/>
        <v>0</v>
      </c>
    </row>
    <row r="7602" spans="20:20" ht="18.75" customHeight="1" x14ac:dyDescent="0.35">
      <c r="T7602" s="246">
        <f t="shared" si="156"/>
        <v>0</v>
      </c>
    </row>
    <row r="7603" spans="20:20" ht="18.75" customHeight="1" x14ac:dyDescent="0.35">
      <c r="T7603" s="246">
        <f t="shared" si="156"/>
        <v>0</v>
      </c>
    </row>
    <row r="7604" spans="20:20" ht="18.75" customHeight="1" x14ac:dyDescent="0.35">
      <c r="T7604" s="246">
        <f t="shared" si="156"/>
        <v>0</v>
      </c>
    </row>
    <row r="7605" spans="20:20" ht="18.75" customHeight="1" x14ac:dyDescent="0.35">
      <c r="T7605" s="246">
        <f t="shared" si="156"/>
        <v>0</v>
      </c>
    </row>
    <row r="7606" spans="20:20" ht="18.75" customHeight="1" x14ac:dyDescent="0.35">
      <c r="T7606" s="246">
        <f t="shared" si="156"/>
        <v>0</v>
      </c>
    </row>
    <row r="7607" spans="20:20" ht="18.75" customHeight="1" x14ac:dyDescent="0.35">
      <c r="T7607" s="246">
        <f t="shared" si="156"/>
        <v>0</v>
      </c>
    </row>
    <row r="7608" spans="20:20" ht="18.75" customHeight="1" x14ac:dyDescent="0.35">
      <c r="T7608" s="246">
        <f t="shared" si="156"/>
        <v>0</v>
      </c>
    </row>
    <row r="7609" spans="20:20" ht="18.75" customHeight="1" x14ac:dyDescent="0.35">
      <c r="T7609" s="246">
        <f t="shared" si="156"/>
        <v>0</v>
      </c>
    </row>
    <row r="7610" spans="20:20" ht="18.75" customHeight="1" x14ac:dyDescent="0.35">
      <c r="T7610" s="246">
        <f t="shared" si="156"/>
        <v>0</v>
      </c>
    </row>
    <row r="7611" spans="20:20" ht="18.75" customHeight="1" x14ac:dyDescent="0.35">
      <c r="T7611" s="246">
        <f t="shared" si="156"/>
        <v>0</v>
      </c>
    </row>
    <row r="7612" spans="20:20" ht="18.75" customHeight="1" x14ac:dyDescent="0.35">
      <c r="T7612" s="246">
        <f t="shared" ref="T7612:T7675" si="157">R7612*0.01</f>
        <v>0</v>
      </c>
    </row>
    <row r="7613" spans="20:20" ht="18.75" customHeight="1" x14ac:dyDescent="0.35">
      <c r="T7613" s="246">
        <f t="shared" si="157"/>
        <v>0</v>
      </c>
    </row>
    <row r="7614" spans="20:20" ht="18.75" customHeight="1" x14ac:dyDescent="0.35">
      <c r="T7614" s="246">
        <f t="shared" si="157"/>
        <v>0</v>
      </c>
    </row>
    <row r="7615" spans="20:20" ht="18.75" customHeight="1" x14ac:dyDescent="0.35">
      <c r="T7615" s="246">
        <f t="shared" si="157"/>
        <v>0</v>
      </c>
    </row>
    <row r="7616" spans="20:20" ht="18.75" customHeight="1" x14ac:dyDescent="0.35">
      <c r="T7616" s="246">
        <f t="shared" si="157"/>
        <v>0</v>
      </c>
    </row>
    <row r="7617" spans="20:20" ht="18.75" customHeight="1" x14ac:dyDescent="0.35">
      <c r="T7617" s="246">
        <f t="shared" si="157"/>
        <v>0</v>
      </c>
    </row>
    <row r="7618" spans="20:20" ht="18.75" customHeight="1" x14ac:dyDescent="0.35">
      <c r="T7618" s="246">
        <f t="shared" si="157"/>
        <v>0</v>
      </c>
    </row>
    <row r="7619" spans="20:20" ht="18.75" customHeight="1" x14ac:dyDescent="0.35">
      <c r="T7619" s="246">
        <f t="shared" si="157"/>
        <v>0</v>
      </c>
    </row>
    <row r="7620" spans="20:20" ht="18.75" customHeight="1" x14ac:dyDescent="0.35">
      <c r="T7620" s="246">
        <f t="shared" si="157"/>
        <v>0</v>
      </c>
    </row>
    <row r="7621" spans="20:20" ht="18.75" customHeight="1" x14ac:dyDescent="0.35">
      <c r="T7621" s="246">
        <f t="shared" si="157"/>
        <v>0</v>
      </c>
    </row>
    <row r="7622" spans="20:20" ht="18.75" customHeight="1" x14ac:dyDescent="0.35">
      <c r="T7622" s="246">
        <f t="shared" si="157"/>
        <v>0</v>
      </c>
    </row>
    <row r="7623" spans="20:20" ht="18.75" customHeight="1" x14ac:dyDescent="0.35">
      <c r="T7623" s="246">
        <f t="shared" si="157"/>
        <v>0</v>
      </c>
    </row>
    <row r="7624" spans="20:20" ht="18.75" customHeight="1" x14ac:dyDescent="0.35">
      <c r="T7624" s="246">
        <f t="shared" si="157"/>
        <v>0</v>
      </c>
    </row>
    <row r="7625" spans="20:20" ht="18.75" customHeight="1" x14ac:dyDescent="0.35">
      <c r="T7625" s="246">
        <f t="shared" si="157"/>
        <v>0</v>
      </c>
    </row>
    <row r="7626" spans="20:20" ht="18.75" customHeight="1" x14ac:dyDescent="0.35">
      <c r="T7626" s="246">
        <f t="shared" si="157"/>
        <v>0</v>
      </c>
    </row>
    <row r="7627" spans="20:20" ht="18.75" customHeight="1" x14ac:dyDescent="0.35">
      <c r="T7627" s="246">
        <f t="shared" si="157"/>
        <v>0</v>
      </c>
    </row>
    <row r="7628" spans="20:20" ht="18.75" customHeight="1" x14ac:dyDescent="0.35">
      <c r="T7628" s="246">
        <f t="shared" si="157"/>
        <v>0</v>
      </c>
    </row>
    <row r="7629" spans="20:20" ht="18.75" customHeight="1" x14ac:dyDescent="0.35">
      <c r="T7629" s="246">
        <f t="shared" si="157"/>
        <v>0</v>
      </c>
    </row>
    <row r="7630" spans="20:20" ht="18.75" customHeight="1" x14ac:dyDescent="0.35">
      <c r="T7630" s="246">
        <f t="shared" si="157"/>
        <v>0</v>
      </c>
    </row>
    <row r="7631" spans="20:20" ht="18.75" customHeight="1" x14ac:dyDescent="0.35">
      <c r="T7631" s="246">
        <f t="shared" si="157"/>
        <v>0</v>
      </c>
    </row>
    <row r="7632" spans="20:20" ht="18.75" customHeight="1" x14ac:dyDescent="0.35">
      <c r="T7632" s="246">
        <f t="shared" si="157"/>
        <v>0</v>
      </c>
    </row>
    <row r="7633" spans="20:20" ht="18.75" customHeight="1" x14ac:dyDescent="0.35">
      <c r="T7633" s="246">
        <f t="shared" si="157"/>
        <v>0</v>
      </c>
    </row>
    <row r="7634" spans="20:20" ht="18.75" customHeight="1" x14ac:dyDescent="0.35">
      <c r="T7634" s="246">
        <f t="shared" si="157"/>
        <v>0</v>
      </c>
    </row>
    <row r="7635" spans="20:20" ht="18.75" customHeight="1" x14ac:dyDescent="0.35">
      <c r="T7635" s="246">
        <f t="shared" si="157"/>
        <v>0</v>
      </c>
    </row>
    <row r="7636" spans="20:20" ht="18.75" customHeight="1" x14ac:dyDescent="0.35">
      <c r="T7636" s="246">
        <f t="shared" si="157"/>
        <v>0</v>
      </c>
    </row>
    <row r="7637" spans="20:20" ht="18.75" customHeight="1" x14ac:dyDescent="0.35">
      <c r="T7637" s="246">
        <f t="shared" si="157"/>
        <v>0</v>
      </c>
    </row>
    <row r="7638" spans="20:20" ht="18.75" customHeight="1" x14ac:dyDescent="0.35">
      <c r="T7638" s="246">
        <f t="shared" si="157"/>
        <v>0</v>
      </c>
    </row>
    <row r="7639" spans="20:20" ht="18.75" customHeight="1" x14ac:dyDescent="0.35">
      <c r="T7639" s="246">
        <f t="shared" si="157"/>
        <v>0</v>
      </c>
    </row>
    <row r="7640" spans="20:20" ht="18.75" customHeight="1" x14ac:dyDescent="0.35">
      <c r="T7640" s="246">
        <f t="shared" si="157"/>
        <v>0</v>
      </c>
    </row>
    <row r="7641" spans="20:20" ht="18.75" customHeight="1" x14ac:dyDescent="0.35">
      <c r="T7641" s="246">
        <f t="shared" si="157"/>
        <v>0</v>
      </c>
    </row>
    <row r="7642" spans="20:20" ht="18.75" customHeight="1" x14ac:dyDescent="0.35">
      <c r="T7642" s="246">
        <f t="shared" si="157"/>
        <v>0</v>
      </c>
    </row>
    <row r="7643" spans="20:20" ht="18.75" customHeight="1" x14ac:dyDescent="0.35">
      <c r="T7643" s="246">
        <f t="shared" si="157"/>
        <v>0</v>
      </c>
    </row>
    <row r="7644" spans="20:20" ht="18.75" customHeight="1" x14ac:dyDescent="0.35">
      <c r="T7644" s="246">
        <f t="shared" si="157"/>
        <v>0</v>
      </c>
    </row>
    <row r="7645" spans="20:20" ht="18.75" customHeight="1" x14ac:dyDescent="0.35">
      <c r="T7645" s="246">
        <f t="shared" si="157"/>
        <v>0</v>
      </c>
    </row>
    <row r="7646" spans="20:20" ht="18.75" customHeight="1" x14ac:dyDescent="0.35">
      <c r="T7646" s="246">
        <f t="shared" si="157"/>
        <v>0</v>
      </c>
    </row>
    <row r="7647" spans="20:20" ht="18.75" customHeight="1" x14ac:dyDescent="0.35">
      <c r="T7647" s="246">
        <f t="shared" si="157"/>
        <v>0</v>
      </c>
    </row>
    <row r="7648" spans="20:20" ht="18.75" customHeight="1" x14ac:dyDescent="0.35">
      <c r="T7648" s="246">
        <f t="shared" si="157"/>
        <v>0</v>
      </c>
    </row>
    <row r="7649" spans="20:20" ht="18.75" customHeight="1" x14ac:dyDescent="0.35">
      <c r="T7649" s="246">
        <f t="shared" si="157"/>
        <v>0</v>
      </c>
    </row>
    <row r="7650" spans="20:20" ht="18.75" customHeight="1" x14ac:dyDescent="0.35">
      <c r="T7650" s="246">
        <f t="shared" si="157"/>
        <v>0</v>
      </c>
    </row>
    <row r="7651" spans="20:20" ht="18.75" customHeight="1" x14ac:dyDescent="0.35">
      <c r="T7651" s="246">
        <f t="shared" si="157"/>
        <v>0</v>
      </c>
    </row>
    <row r="7652" spans="20:20" ht="18.75" customHeight="1" x14ac:dyDescent="0.35">
      <c r="T7652" s="246">
        <f t="shared" si="157"/>
        <v>0</v>
      </c>
    </row>
    <row r="7653" spans="20:20" ht="18.75" customHeight="1" x14ac:dyDescent="0.35">
      <c r="T7653" s="246">
        <f t="shared" si="157"/>
        <v>0</v>
      </c>
    </row>
    <row r="7654" spans="20:20" ht="18.75" customHeight="1" x14ac:dyDescent="0.35">
      <c r="T7654" s="246">
        <f t="shared" si="157"/>
        <v>0</v>
      </c>
    </row>
    <row r="7655" spans="20:20" ht="18.75" customHeight="1" x14ac:dyDescent="0.35">
      <c r="T7655" s="246">
        <f t="shared" si="157"/>
        <v>0</v>
      </c>
    </row>
    <row r="7656" spans="20:20" ht="18.75" customHeight="1" x14ac:dyDescent="0.35">
      <c r="T7656" s="246">
        <f t="shared" si="157"/>
        <v>0</v>
      </c>
    </row>
    <row r="7657" spans="20:20" ht="18.75" customHeight="1" x14ac:dyDescent="0.35">
      <c r="T7657" s="246">
        <f t="shared" si="157"/>
        <v>0</v>
      </c>
    </row>
    <row r="7658" spans="20:20" ht="18.75" customHeight="1" x14ac:dyDescent="0.35">
      <c r="T7658" s="246">
        <f t="shared" si="157"/>
        <v>0</v>
      </c>
    </row>
    <row r="7659" spans="20:20" ht="18.75" customHeight="1" x14ac:dyDescent="0.35">
      <c r="T7659" s="246">
        <f t="shared" si="157"/>
        <v>0</v>
      </c>
    </row>
    <row r="7660" spans="20:20" ht="18.75" customHeight="1" x14ac:dyDescent="0.35">
      <c r="T7660" s="246">
        <f t="shared" si="157"/>
        <v>0</v>
      </c>
    </row>
    <row r="7661" spans="20:20" ht="18.75" customHeight="1" x14ac:dyDescent="0.35">
      <c r="T7661" s="246">
        <f t="shared" si="157"/>
        <v>0</v>
      </c>
    </row>
    <row r="7662" spans="20:20" ht="18.75" customHeight="1" x14ac:dyDescent="0.35">
      <c r="T7662" s="246">
        <f t="shared" si="157"/>
        <v>0</v>
      </c>
    </row>
    <row r="7663" spans="20:20" ht="18.75" customHeight="1" x14ac:dyDescent="0.35">
      <c r="T7663" s="246">
        <f t="shared" si="157"/>
        <v>0</v>
      </c>
    </row>
    <row r="7664" spans="20:20" ht="18.75" customHeight="1" x14ac:dyDescent="0.35">
      <c r="T7664" s="246">
        <f t="shared" si="157"/>
        <v>0</v>
      </c>
    </row>
    <row r="7665" spans="20:20" ht="18.75" customHeight="1" x14ac:dyDescent="0.35">
      <c r="T7665" s="246">
        <f t="shared" si="157"/>
        <v>0</v>
      </c>
    </row>
    <row r="7666" spans="20:20" ht="18.75" customHeight="1" x14ac:dyDescent="0.35">
      <c r="T7666" s="246">
        <f t="shared" si="157"/>
        <v>0</v>
      </c>
    </row>
    <row r="7667" spans="20:20" ht="18.75" customHeight="1" x14ac:dyDescent="0.35">
      <c r="T7667" s="246">
        <f t="shared" si="157"/>
        <v>0</v>
      </c>
    </row>
    <row r="7668" spans="20:20" ht="18.75" customHeight="1" x14ac:dyDescent="0.35">
      <c r="T7668" s="246">
        <f t="shared" si="157"/>
        <v>0</v>
      </c>
    </row>
    <row r="7669" spans="20:20" ht="18.75" customHeight="1" x14ac:dyDescent="0.35">
      <c r="T7669" s="246">
        <f t="shared" si="157"/>
        <v>0</v>
      </c>
    </row>
    <row r="7670" spans="20:20" ht="18.75" customHeight="1" x14ac:dyDescent="0.35">
      <c r="T7670" s="246">
        <f t="shared" si="157"/>
        <v>0</v>
      </c>
    </row>
    <row r="7671" spans="20:20" ht="18.75" customHeight="1" x14ac:dyDescent="0.35">
      <c r="T7671" s="246">
        <f t="shared" si="157"/>
        <v>0</v>
      </c>
    </row>
    <row r="7672" spans="20:20" ht="18.75" customHeight="1" x14ac:dyDescent="0.35">
      <c r="T7672" s="246">
        <f t="shared" si="157"/>
        <v>0</v>
      </c>
    </row>
    <row r="7673" spans="20:20" ht="18.75" customHeight="1" x14ac:dyDescent="0.35">
      <c r="T7673" s="246">
        <f t="shared" si="157"/>
        <v>0</v>
      </c>
    </row>
    <row r="7674" spans="20:20" ht="18.75" customHeight="1" x14ac:dyDescent="0.35">
      <c r="T7674" s="246">
        <f t="shared" si="157"/>
        <v>0</v>
      </c>
    </row>
    <row r="7675" spans="20:20" ht="18.75" customHeight="1" x14ac:dyDescent="0.35">
      <c r="T7675" s="246">
        <f t="shared" si="157"/>
        <v>0</v>
      </c>
    </row>
    <row r="7676" spans="20:20" ht="18.75" customHeight="1" x14ac:dyDescent="0.35">
      <c r="T7676" s="246">
        <f t="shared" ref="T7676:T7739" si="158">R7676*0.01</f>
        <v>0</v>
      </c>
    </row>
    <row r="7677" spans="20:20" ht="18.75" customHeight="1" x14ac:dyDescent="0.35">
      <c r="T7677" s="246">
        <f t="shared" si="158"/>
        <v>0</v>
      </c>
    </row>
    <row r="7678" spans="20:20" ht="18.75" customHeight="1" x14ac:dyDescent="0.35">
      <c r="T7678" s="246">
        <f t="shared" si="158"/>
        <v>0</v>
      </c>
    </row>
    <row r="7679" spans="20:20" ht="18.75" customHeight="1" x14ac:dyDescent="0.35">
      <c r="T7679" s="246">
        <f t="shared" si="158"/>
        <v>0</v>
      </c>
    </row>
    <row r="7680" spans="20:20" ht="18.75" customHeight="1" x14ac:dyDescent="0.35">
      <c r="T7680" s="246">
        <f t="shared" si="158"/>
        <v>0</v>
      </c>
    </row>
    <row r="7681" spans="20:20" ht="18.75" customHeight="1" x14ac:dyDescent="0.35">
      <c r="T7681" s="246">
        <f t="shared" si="158"/>
        <v>0</v>
      </c>
    </row>
    <row r="7682" spans="20:20" ht="18.75" customHeight="1" x14ac:dyDescent="0.35">
      <c r="T7682" s="246">
        <f t="shared" si="158"/>
        <v>0</v>
      </c>
    </row>
    <row r="7683" spans="20:20" ht="18.75" customHeight="1" x14ac:dyDescent="0.35">
      <c r="T7683" s="246">
        <f t="shared" si="158"/>
        <v>0</v>
      </c>
    </row>
    <row r="7684" spans="20:20" ht="18.75" customHeight="1" x14ac:dyDescent="0.35">
      <c r="T7684" s="246">
        <f t="shared" si="158"/>
        <v>0</v>
      </c>
    </row>
    <row r="7685" spans="20:20" ht="18.75" customHeight="1" x14ac:dyDescent="0.35">
      <c r="T7685" s="246">
        <f t="shared" si="158"/>
        <v>0</v>
      </c>
    </row>
    <row r="7686" spans="20:20" ht="18.75" customHeight="1" x14ac:dyDescent="0.35">
      <c r="T7686" s="246">
        <f t="shared" si="158"/>
        <v>0</v>
      </c>
    </row>
    <row r="7687" spans="20:20" ht="18.75" customHeight="1" x14ac:dyDescent="0.35">
      <c r="T7687" s="246">
        <f t="shared" si="158"/>
        <v>0</v>
      </c>
    </row>
    <row r="7688" spans="20:20" ht="18.75" customHeight="1" x14ac:dyDescent="0.35">
      <c r="T7688" s="246">
        <f t="shared" si="158"/>
        <v>0</v>
      </c>
    </row>
    <row r="7689" spans="20:20" ht="18.75" customHeight="1" x14ac:dyDescent="0.35">
      <c r="T7689" s="246">
        <f t="shared" si="158"/>
        <v>0</v>
      </c>
    </row>
    <row r="7690" spans="20:20" ht="18.75" customHeight="1" x14ac:dyDescent="0.35">
      <c r="T7690" s="246">
        <f t="shared" si="158"/>
        <v>0</v>
      </c>
    </row>
    <row r="7691" spans="20:20" ht="18.75" customHeight="1" x14ac:dyDescent="0.35">
      <c r="T7691" s="246">
        <f t="shared" si="158"/>
        <v>0</v>
      </c>
    </row>
    <row r="7692" spans="20:20" ht="18.75" customHeight="1" x14ac:dyDescent="0.35">
      <c r="T7692" s="246">
        <f t="shared" si="158"/>
        <v>0</v>
      </c>
    </row>
    <row r="7693" spans="20:20" ht="18.75" customHeight="1" x14ac:dyDescent="0.35">
      <c r="T7693" s="246">
        <f t="shared" si="158"/>
        <v>0</v>
      </c>
    </row>
    <row r="7694" spans="20:20" ht="18.75" customHeight="1" x14ac:dyDescent="0.35">
      <c r="T7694" s="246">
        <f t="shared" si="158"/>
        <v>0</v>
      </c>
    </row>
    <row r="7695" spans="20:20" ht="18.75" customHeight="1" x14ac:dyDescent="0.35">
      <c r="T7695" s="246">
        <f t="shared" si="158"/>
        <v>0</v>
      </c>
    </row>
    <row r="7696" spans="20:20" ht="18.75" customHeight="1" x14ac:dyDescent="0.35">
      <c r="T7696" s="246">
        <f t="shared" si="158"/>
        <v>0</v>
      </c>
    </row>
    <row r="7697" spans="20:20" ht="18.75" customHeight="1" x14ac:dyDescent="0.35">
      <c r="T7697" s="246">
        <f t="shared" si="158"/>
        <v>0</v>
      </c>
    </row>
    <row r="7698" spans="20:20" ht="18.75" customHeight="1" x14ac:dyDescent="0.35">
      <c r="T7698" s="246">
        <f t="shared" si="158"/>
        <v>0</v>
      </c>
    </row>
    <row r="7699" spans="20:20" ht="18.75" customHeight="1" x14ac:dyDescent="0.35">
      <c r="T7699" s="246">
        <f t="shared" si="158"/>
        <v>0</v>
      </c>
    </row>
    <row r="7700" spans="20:20" ht="18.75" customHeight="1" x14ac:dyDescent="0.35">
      <c r="T7700" s="246">
        <f t="shared" si="158"/>
        <v>0</v>
      </c>
    </row>
    <row r="7701" spans="20:20" ht="18.75" customHeight="1" x14ac:dyDescent="0.35">
      <c r="T7701" s="246">
        <f t="shared" si="158"/>
        <v>0</v>
      </c>
    </row>
    <row r="7702" spans="20:20" ht="18.75" customHeight="1" x14ac:dyDescent="0.35">
      <c r="T7702" s="246">
        <f t="shared" si="158"/>
        <v>0</v>
      </c>
    </row>
    <row r="7703" spans="20:20" ht="18.75" customHeight="1" x14ac:dyDescent="0.35">
      <c r="T7703" s="246">
        <f t="shared" si="158"/>
        <v>0</v>
      </c>
    </row>
    <row r="7704" spans="20:20" ht="18.75" customHeight="1" x14ac:dyDescent="0.35">
      <c r="T7704" s="246">
        <f t="shared" si="158"/>
        <v>0</v>
      </c>
    </row>
    <row r="7705" spans="20:20" ht="18.75" customHeight="1" x14ac:dyDescent="0.35">
      <c r="T7705" s="246">
        <f t="shared" si="158"/>
        <v>0</v>
      </c>
    </row>
    <row r="7706" spans="20:20" ht="18.75" customHeight="1" x14ac:dyDescent="0.35">
      <c r="T7706" s="246">
        <f t="shared" si="158"/>
        <v>0</v>
      </c>
    </row>
    <row r="7707" spans="20:20" ht="18.75" customHeight="1" x14ac:dyDescent="0.35">
      <c r="T7707" s="246">
        <f t="shared" si="158"/>
        <v>0</v>
      </c>
    </row>
    <row r="7708" spans="20:20" ht="18.75" customHeight="1" x14ac:dyDescent="0.35">
      <c r="T7708" s="246">
        <f t="shared" si="158"/>
        <v>0</v>
      </c>
    </row>
    <row r="7709" spans="20:20" ht="18.75" customHeight="1" x14ac:dyDescent="0.35">
      <c r="T7709" s="246">
        <f t="shared" si="158"/>
        <v>0</v>
      </c>
    </row>
    <row r="7710" spans="20:20" ht="18.75" customHeight="1" x14ac:dyDescent="0.35">
      <c r="T7710" s="246">
        <f t="shared" si="158"/>
        <v>0</v>
      </c>
    </row>
    <row r="7711" spans="20:20" ht="18.75" customHeight="1" x14ac:dyDescent="0.35">
      <c r="T7711" s="246">
        <f t="shared" si="158"/>
        <v>0</v>
      </c>
    </row>
    <row r="7712" spans="20:20" ht="18.75" customHeight="1" x14ac:dyDescent="0.35">
      <c r="T7712" s="246">
        <f t="shared" si="158"/>
        <v>0</v>
      </c>
    </row>
    <row r="7713" spans="20:20" ht="18.75" customHeight="1" x14ac:dyDescent="0.35">
      <c r="T7713" s="246">
        <f t="shared" si="158"/>
        <v>0</v>
      </c>
    </row>
    <row r="7714" spans="20:20" ht="18.75" customHeight="1" x14ac:dyDescent="0.35">
      <c r="T7714" s="246">
        <f t="shared" si="158"/>
        <v>0</v>
      </c>
    </row>
    <row r="7715" spans="20:20" ht="18.75" customHeight="1" x14ac:dyDescent="0.35">
      <c r="T7715" s="246">
        <f t="shared" si="158"/>
        <v>0</v>
      </c>
    </row>
    <row r="7716" spans="20:20" ht="18.75" customHeight="1" x14ac:dyDescent="0.35">
      <c r="T7716" s="246">
        <f t="shared" si="158"/>
        <v>0</v>
      </c>
    </row>
    <row r="7717" spans="20:20" ht="18.75" customHeight="1" x14ac:dyDescent="0.35">
      <c r="T7717" s="246">
        <f t="shared" si="158"/>
        <v>0</v>
      </c>
    </row>
    <row r="7718" spans="20:20" ht="18.75" customHeight="1" x14ac:dyDescent="0.35">
      <c r="T7718" s="246">
        <f t="shared" si="158"/>
        <v>0</v>
      </c>
    </row>
    <row r="7719" spans="20:20" ht="18.75" customHeight="1" x14ac:dyDescent="0.35">
      <c r="T7719" s="246">
        <f t="shared" si="158"/>
        <v>0</v>
      </c>
    </row>
    <row r="7720" spans="20:20" ht="18.75" customHeight="1" x14ac:dyDescent="0.35">
      <c r="T7720" s="246">
        <f t="shared" si="158"/>
        <v>0</v>
      </c>
    </row>
    <row r="7721" spans="20:20" ht="18.75" customHeight="1" x14ac:dyDescent="0.35">
      <c r="T7721" s="246">
        <f t="shared" si="158"/>
        <v>0</v>
      </c>
    </row>
    <row r="7722" spans="20:20" ht="18.75" customHeight="1" x14ac:dyDescent="0.35">
      <c r="T7722" s="246">
        <f t="shared" si="158"/>
        <v>0</v>
      </c>
    </row>
    <row r="7723" spans="20:20" ht="18.75" customHeight="1" x14ac:dyDescent="0.35">
      <c r="T7723" s="246">
        <f t="shared" si="158"/>
        <v>0</v>
      </c>
    </row>
    <row r="7724" spans="20:20" ht="18.75" customHeight="1" x14ac:dyDescent="0.35">
      <c r="T7724" s="246">
        <f t="shared" si="158"/>
        <v>0</v>
      </c>
    </row>
    <row r="7725" spans="20:20" ht="18.75" customHeight="1" x14ac:dyDescent="0.35">
      <c r="T7725" s="246">
        <f t="shared" si="158"/>
        <v>0</v>
      </c>
    </row>
    <row r="7726" spans="20:20" ht="18.75" customHeight="1" x14ac:dyDescent="0.35">
      <c r="T7726" s="246">
        <f t="shared" si="158"/>
        <v>0</v>
      </c>
    </row>
    <row r="7727" spans="20:20" ht="18.75" customHeight="1" x14ac:dyDescent="0.35">
      <c r="T7727" s="246">
        <f t="shared" si="158"/>
        <v>0</v>
      </c>
    </row>
    <row r="7728" spans="20:20" ht="18.75" customHeight="1" x14ac:dyDescent="0.35">
      <c r="T7728" s="246">
        <f t="shared" si="158"/>
        <v>0</v>
      </c>
    </row>
    <row r="7729" spans="20:20" ht="18.75" customHeight="1" x14ac:dyDescent="0.35">
      <c r="T7729" s="246">
        <f t="shared" si="158"/>
        <v>0</v>
      </c>
    </row>
    <row r="7730" spans="20:20" ht="18.75" customHeight="1" x14ac:dyDescent="0.35">
      <c r="T7730" s="246">
        <f t="shared" si="158"/>
        <v>0</v>
      </c>
    </row>
    <row r="7731" spans="20:20" ht="18.75" customHeight="1" x14ac:dyDescent="0.35">
      <c r="T7731" s="246">
        <f t="shared" si="158"/>
        <v>0</v>
      </c>
    </row>
    <row r="7732" spans="20:20" ht="18.75" customHeight="1" x14ac:dyDescent="0.35">
      <c r="T7732" s="246">
        <f t="shared" si="158"/>
        <v>0</v>
      </c>
    </row>
    <row r="7733" spans="20:20" ht="18.75" customHeight="1" x14ac:dyDescent="0.35">
      <c r="T7733" s="246">
        <f t="shared" si="158"/>
        <v>0</v>
      </c>
    </row>
    <row r="7734" spans="20:20" ht="18.75" customHeight="1" x14ac:dyDescent="0.35">
      <c r="T7734" s="246">
        <f t="shared" si="158"/>
        <v>0</v>
      </c>
    </row>
    <row r="7735" spans="20:20" ht="18.75" customHeight="1" x14ac:dyDescent="0.35">
      <c r="T7735" s="246">
        <f t="shared" si="158"/>
        <v>0</v>
      </c>
    </row>
    <row r="7736" spans="20:20" ht="18.75" customHeight="1" x14ac:dyDescent="0.35">
      <c r="T7736" s="246">
        <f t="shared" si="158"/>
        <v>0</v>
      </c>
    </row>
    <row r="7737" spans="20:20" ht="18.75" customHeight="1" x14ac:dyDescent="0.35">
      <c r="T7737" s="246">
        <f t="shared" si="158"/>
        <v>0</v>
      </c>
    </row>
    <row r="7738" spans="20:20" ht="18.75" customHeight="1" x14ac:dyDescent="0.35">
      <c r="T7738" s="246">
        <f t="shared" si="158"/>
        <v>0</v>
      </c>
    </row>
    <row r="7739" spans="20:20" ht="18.75" customHeight="1" x14ac:dyDescent="0.35">
      <c r="T7739" s="246">
        <f t="shared" si="158"/>
        <v>0</v>
      </c>
    </row>
    <row r="7740" spans="20:20" ht="18.75" customHeight="1" x14ac:dyDescent="0.35">
      <c r="T7740" s="246">
        <f t="shared" ref="T7740:T7803" si="159">R7740*0.01</f>
        <v>0</v>
      </c>
    </row>
    <row r="7741" spans="20:20" ht="18.75" customHeight="1" x14ac:dyDescent="0.35">
      <c r="T7741" s="246">
        <f t="shared" si="159"/>
        <v>0</v>
      </c>
    </row>
    <row r="7742" spans="20:20" ht="18.75" customHeight="1" x14ac:dyDescent="0.35">
      <c r="T7742" s="246">
        <f t="shared" si="159"/>
        <v>0</v>
      </c>
    </row>
    <row r="7743" spans="20:20" ht="18.75" customHeight="1" x14ac:dyDescent="0.35">
      <c r="T7743" s="246">
        <f t="shared" si="159"/>
        <v>0</v>
      </c>
    </row>
    <row r="7744" spans="20:20" ht="18.75" customHeight="1" x14ac:dyDescent="0.35">
      <c r="T7744" s="246">
        <f t="shared" si="159"/>
        <v>0</v>
      </c>
    </row>
    <row r="7745" spans="20:20" ht="18.75" customHeight="1" x14ac:dyDescent="0.35">
      <c r="T7745" s="246">
        <f t="shared" si="159"/>
        <v>0</v>
      </c>
    </row>
    <row r="7746" spans="20:20" ht="18.75" customHeight="1" x14ac:dyDescent="0.35">
      <c r="T7746" s="246">
        <f t="shared" si="159"/>
        <v>0</v>
      </c>
    </row>
    <row r="7747" spans="20:20" ht="18.75" customHeight="1" x14ac:dyDescent="0.35">
      <c r="T7747" s="246">
        <f t="shared" si="159"/>
        <v>0</v>
      </c>
    </row>
    <row r="7748" spans="20:20" ht="18.75" customHeight="1" x14ac:dyDescent="0.35">
      <c r="T7748" s="246">
        <f t="shared" si="159"/>
        <v>0</v>
      </c>
    </row>
    <row r="7749" spans="20:20" ht="18.75" customHeight="1" x14ac:dyDescent="0.35">
      <c r="T7749" s="246">
        <f t="shared" si="159"/>
        <v>0</v>
      </c>
    </row>
    <row r="7750" spans="20:20" ht="18.75" customHeight="1" x14ac:dyDescent="0.35">
      <c r="T7750" s="246">
        <f t="shared" si="159"/>
        <v>0</v>
      </c>
    </row>
    <row r="7751" spans="20:20" ht="18.75" customHeight="1" x14ac:dyDescent="0.35">
      <c r="T7751" s="246">
        <f t="shared" si="159"/>
        <v>0</v>
      </c>
    </row>
    <row r="7752" spans="20:20" ht="18.75" customHeight="1" x14ac:dyDescent="0.35">
      <c r="T7752" s="246">
        <f t="shared" si="159"/>
        <v>0</v>
      </c>
    </row>
    <row r="7753" spans="20:20" ht="18.75" customHeight="1" x14ac:dyDescent="0.35">
      <c r="T7753" s="246">
        <f t="shared" si="159"/>
        <v>0</v>
      </c>
    </row>
    <row r="7754" spans="20:20" ht="18.75" customHeight="1" x14ac:dyDescent="0.35">
      <c r="T7754" s="246">
        <f t="shared" si="159"/>
        <v>0</v>
      </c>
    </row>
    <row r="7755" spans="20:20" ht="18.75" customHeight="1" x14ac:dyDescent="0.35">
      <c r="T7755" s="246">
        <f t="shared" si="159"/>
        <v>0</v>
      </c>
    </row>
    <row r="7756" spans="20:20" ht="18.75" customHeight="1" x14ac:dyDescent="0.35">
      <c r="T7756" s="246">
        <f t="shared" si="159"/>
        <v>0</v>
      </c>
    </row>
    <row r="7757" spans="20:20" ht="18.75" customHeight="1" x14ac:dyDescent="0.35">
      <c r="T7757" s="246">
        <f t="shared" si="159"/>
        <v>0</v>
      </c>
    </row>
    <row r="7758" spans="20:20" ht="18.75" customHeight="1" x14ac:dyDescent="0.35">
      <c r="T7758" s="246">
        <f t="shared" si="159"/>
        <v>0</v>
      </c>
    </row>
    <row r="7759" spans="20:20" ht="18.75" customHeight="1" x14ac:dyDescent="0.35">
      <c r="T7759" s="246">
        <f t="shared" si="159"/>
        <v>0</v>
      </c>
    </row>
    <row r="7760" spans="20:20" ht="18.75" customHeight="1" x14ac:dyDescent="0.35">
      <c r="T7760" s="246">
        <f t="shared" si="159"/>
        <v>0</v>
      </c>
    </row>
    <row r="7761" spans="20:20" ht="18.75" customHeight="1" x14ac:dyDescent="0.35">
      <c r="T7761" s="246">
        <f t="shared" si="159"/>
        <v>0</v>
      </c>
    </row>
    <row r="7762" spans="20:20" ht="18.75" customHeight="1" x14ac:dyDescent="0.35">
      <c r="T7762" s="246">
        <f t="shared" si="159"/>
        <v>0</v>
      </c>
    </row>
    <row r="7763" spans="20:20" ht="18.75" customHeight="1" x14ac:dyDescent="0.35">
      <c r="T7763" s="246">
        <f t="shared" si="159"/>
        <v>0</v>
      </c>
    </row>
    <row r="7764" spans="20:20" ht="18.75" customHeight="1" x14ac:dyDescent="0.35">
      <c r="T7764" s="246">
        <f t="shared" si="159"/>
        <v>0</v>
      </c>
    </row>
    <row r="7765" spans="20:20" ht="18.75" customHeight="1" x14ac:dyDescent="0.35">
      <c r="T7765" s="246">
        <f t="shared" si="159"/>
        <v>0</v>
      </c>
    </row>
    <row r="7766" spans="20:20" ht="18.75" customHeight="1" x14ac:dyDescent="0.35">
      <c r="T7766" s="246">
        <f t="shared" si="159"/>
        <v>0</v>
      </c>
    </row>
    <row r="7767" spans="20:20" ht="18.75" customHeight="1" x14ac:dyDescent="0.35">
      <c r="T7767" s="246">
        <f t="shared" si="159"/>
        <v>0</v>
      </c>
    </row>
    <row r="7768" spans="20:20" ht="18.75" customHeight="1" x14ac:dyDescent="0.35">
      <c r="T7768" s="246">
        <f t="shared" si="159"/>
        <v>0</v>
      </c>
    </row>
    <row r="7769" spans="20:20" ht="18.75" customHeight="1" x14ac:dyDescent="0.35">
      <c r="T7769" s="246">
        <f t="shared" si="159"/>
        <v>0</v>
      </c>
    </row>
    <row r="7770" spans="20:20" ht="18.75" customHeight="1" x14ac:dyDescent="0.35">
      <c r="T7770" s="246">
        <f t="shared" si="159"/>
        <v>0</v>
      </c>
    </row>
    <row r="7771" spans="20:20" ht="18.75" customHeight="1" x14ac:dyDescent="0.35">
      <c r="T7771" s="246">
        <f t="shared" si="159"/>
        <v>0</v>
      </c>
    </row>
    <row r="7772" spans="20:20" ht="18.75" customHeight="1" x14ac:dyDescent="0.35">
      <c r="T7772" s="246">
        <f t="shared" si="159"/>
        <v>0</v>
      </c>
    </row>
    <row r="7773" spans="20:20" ht="18.75" customHeight="1" x14ac:dyDescent="0.35">
      <c r="T7773" s="246">
        <f t="shared" si="159"/>
        <v>0</v>
      </c>
    </row>
    <row r="7774" spans="20:20" ht="18.75" customHeight="1" x14ac:dyDescent="0.35">
      <c r="T7774" s="246">
        <f t="shared" si="159"/>
        <v>0</v>
      </c>
    </row>
    <row r="7775" spans="20:20" ht="18.75" customHeight="1" x14ac:dyDescent="0.35">
      <c r="T7775" s="246">
        <f t="shared" si="159"/>
        <v>0</v>
      </c>
    </row>
    <row r="7776" spans="20:20" ht="18.75" customHeight="1" x14ac:dyDescent="0.35">
      <c r="T7776" s="246">
        <f t="shared" si="159"/>
        <v>0</v>
      </c>
    </row>
    <row r="7777" spans="20:20" ht="18.75" customHeight="1" x14ac:dyDescent="0.35">
      <c r="T7777" s="246">
        <f t="shared" si="159"/>
        <v>0</v>
      </c>
    </row>
    <row r="7778" spans="20:20" ht="18.75" customHeight="1" x14ac:dyDescent="0.35">
      <c r="T7778" s="246">
        <f t="shared" si="159"/>
        <v>0</v>
      </c>
    </row>
    <row r="7779" spans="20:20" ht="18.75" customHeight="1" x14ac:dyDescent="0.35">
      <c r="T7779" s="246">
        <f t="shared" si="159"/>
        <v>0</v>
      </c>
    </row>
    <row r="7780" spans="20:20" ht="18.75" customHeight="1" x14ac:dyDescent="0.35">
      <c r="T7780" s="246">
        <f t="shared" si="159"/>
        <v>0</v>
      </c>
    </row>
    <row r="7781" spans="20:20" ht="18.75" customHeight="1" x14ac:dyDescent="0.35">
      <c r="T7781" s="246">
        <f t="shared" si="159"/>
        <v>0</v>
      </c>
    </row>
    <row r="7782" spans="20:20" ht="18.75" customHeight="1" x14ac:dyDescent="0.35">
      <c r="T7782" s="246">
        <f t="shared" si="159"/>
        <v>0</v>
      </c>
    </row>
    <row r="7783" spans="20:20" ht="18.75" customHeight="1" x14ac:dyDescent="0.35">
      <c r="T7783" s="246">
        <f t="shared" si="159"/>
        <v>0</v>
      </c>
    </row>
    <row r="7784" spans="20:20" ht="18.75" customHeight="1" x14ac:dyDescent="0.35">
      <c r="T7784" s="246">
        <f t="shared" si="159"/>
        <v>0</v>
      </c>
    </row>
    <row r="7785" spans="20:20" ht="18.75" customHeight="1" x14ac:dyDescent="0.35">
      <c r="T7785" s="246">
        <f t="shared" si="159"/>
        <v>0</v>
      </c>
    </row>
    <row r="7786" spans="20:20" ht="18.75" customHeight="1" x14ac:dyDescent="0.35">
      <c r="T7786" s="246">
        <f t="shared" si="159"/>
        <v>0</v>
      </c>
    </row>
    <row r="7787" spans="20:20" ht="18.75" customHeight="1" x14ac:dyDescent="0.35">
      <c r="T7787" s="246">
        <f t="shared" si="159"/>
        <v>0</v>
      </c>
    </row>
    <row r="7788" spans="20:20" ht="18.75" customHeight="1" x14ac:dyDescent="0.35">
      <c r="T7788" s="246">
        <f t="shared" si="159"/>
        <v>0</v>
      </c>
    </row>
    <row r="7789" spans="20:20" ht="18.75" customHeight="1" x14ac:dyDescent="0.35">
      <c r="T7789" s="246">
        <f t="shared" si="159"/>
        <v>0</v>
      </c>
    </row>
    <row r="7790" spans="20:20" ht="18.75" customHeight="1" x14ac:dyDescent="0.35">
      <c r="T7790" s="246">
        <f t="shared" si="159"/>
        <v>0</v>
      </c>
    </row>
    <row r="7791" spans="20:20" ht="18.75" customHeight="1" x14ac:dyDescent="0.35">
      <c r="T7791" s="246">
        <f t="shared" si="159"/>
        <v>0</v>
      </c>
    </row>
    <row r="7792" spans="20:20" ht="18.75" customHeight="1" x14ac:dyDescent="0.35">
      <c r="T7792" s="246">
        <f t="shared" si="159"/>
        <v>0</v>
      </c>
    </row>
    <row r="7793" spans="20:20" ht="18.75" customHeight="1" x14ac:dyDescent="0.35">
      <c r="T7793" s="246">
        <f t="shared" si="159"/>
        <v>0</v>
      </c>
    </row>
    <row r="7794" spans="20:20" ht="18.75" customHeight="1" x14ac:dyDescent="0.35">
      <c r="T7794" s="246">
        <f t="shared" si="159"/>
        <v>0</v>
      </c>
    </row>
    <row r="7795" spans="20:20" ht="18.75" customHeight="1" x14ac:dyDescent="0.35">
      <c r="T7795" s="246">
        <f t="shared" si="159"/>
        <v>0</v>
      </c>
    </row>
    <row r="7796" spans="20:20" ht="18.75" customHeight="1" x14ac:dyDescent="0.35">
      <c r="T7796" s="246">
        <f t="shared" si="159"/>
        <v>0</v>
      </c>
    </row>
    <row r="7797" spans="20:20" ht="18.75" customHeight="1" x14ac:dyDescent="0.35">
      <c r="T7797" s="246">
        <f t="shared" si="159"/>
        <v>0</v>
      </c>
    </row>
    <row r="7798" spans="20:20" ht="18.75" customHeight="1" x14ac:dyDescent="0.35">
      <c r="T7798" s="246">
        <f t="shared" si="159"/>
        <v>0</v>
      </c>
    </row>
    <row r="7799" spans="20:20" ht="18.75" customHeight="1" x14ac:dyDescent="0.35">
      <c r="T7799" s="246">
        <f t="shared" si="159"/>
        <v>0</v>
      </c>
    </row>
    <row r="7800" spans="20:20" ht="18.75" customHeight="1" x14ac:dyDescent="0.35">
      <c r="T7800" s="246">
        <f t="shared" si="159"/>
        <v>0</v>
      </c>
    </row>
    <row r="7801" spans="20:20" ht="18.75" customHeight="1" x14ac:dyDescent="0.35">
      <c r="T7801" s="246">
        <f t="shared" si="159"/>
        <v>0</v>
      </c>
    </row>
    <row r="7802" spans="20:20" ht="18.75" customHeight="1" x14ac:dyDescent="0.35">
      <c r="T7802" s="246">
        <f t="shared" si="159"/>
        <v>0</v>
      </c>
    </row>
    <row r="7803" spans="20:20" ht="18.75" customHeight="1" x14ac:dyDescent="0.35">
      <c r="T7803" s="246">
        <f t="shared" si="159"/>
        <v>0</v>
      </c>
    </row>
    <row r="7804" spans="20:20" ht="18.75" customHeight="1" x14ac:dyDescent="0.35">
      <c r="T7804" s="246">
        <f t="shared" ref="T7804:T7867" si="160">R7804*0.01</f>
        <v>0</v>
      </c>
    </row>
    <row r="7805" spans="20:20" ht="18.75" customHeight="1" x14ac:dyDescent="0.35">
      <c r="T7805" s="246">
        <f t="shared" si="160"/>
        <v>0</v>
      </c>
    </row>
    <row r="7806" spans="20:20" ht="18.75" customHeight="1" x14ac:dyDescent="0.35">
      <c r="T7806" s="246">
        <f t="shared" si="160"/>
        <v>0</v>
      </c>
    </row>
    <row r="7807" spans="20:20" ht="18.75" customHeight="1" x14ac:dyDescent="0.35">
      <c r="T7807" s="246">
        <f t="shared" si="160"/>
        <v>0</v>
      </c>
    </row>
    <row r="7808" spans="20:20" ht="18.75" customHeight="1" x14ac:dyDescent="0.35">
      <c r="T7808" s="246">
        <f t="shared" si="160"/>
        <v>0</v>
      </c>
    </row>
    <row r="7809" spans="20:20" ht="18.75" customHeight="1" x14ac:dyDescent="0.35">
      <c r="T7809" s="246">
        <f t="shared" si="160"/>
        <v>0</v>
      </c>
    </row>
    <row r="7810" spans="20:20" ht="18.75" customHeight="1" x14ac:dyDescent="0.35">
      <c r="T7810" s="246">
        <f t="shared" si="160"/>
        <v>0</v>
      </c>
    </row>
    <row r="7811" spans="20:20" ht="18.75" customHeight="1" x14ac:dyDescent="0.35">
      <c r="T7811" s="246">
        <f t="shared" si="160"/>
        <v>0</v>
      </c>
    </row>
    <row r="7812" spans="20:20" ht="18.75" customHeight="1" x14ac:dyDescent="0.35">
      <c r="T7812" s="246">
        <f t="shared" si="160"/>
        <v>0</v>
      </c>
    </row>
    <row r="7813" spans="20:20" ht="18.75" customHeight="1" x14ac:dyDescent="0.35">
      <c r="T7813" s="246">
        <f t="shared" si="160"/>
        <v>0</v>
      </c>
    </row>
    <row r="7814" spans="20:20" ht="18.75" customHeight="1" x14ac:dyDescent="0.35">
      <c r="T7814" s="246">
        <f t="shared" si="160"/>
        <v>0</v>
      </c>
    </row>
    <row r="7815" spans="20:20" ht="18.75" customHeight="1" x14ac:dyDescent="0.35">
      <c r="T7815" s="246">
        <f t="shared" si="160"/>
        <v>0</v>
      </c>
    </row>
    <row r="7816" spans="20:20" ht="18.75" customHeight="1" x14ac:dyDescent="0.35">
      <c r="T7816" s="246">
        <f t="shared" si="160"/>
        <v>0</v>
      </c>
    </row>
    <row r="7817" spans="20:20" ht="18.75" customHeight="1" x14ac:dyDescent="0.35">
      <c r="T7817" s="246">
        <f t="shared" si="160"/>
        <v>0</v>
      </c>
    </row>
    <row r="7818" spans="20:20" ht="18.75" customHeight="1" x14ac:dyDescent="0.35">
      <c r="T7818" s="246">
        <f t="shared" si="160"/>
        <v>0</v>
      </c>
    </row>
    <row r="7819" spans="20:20" ht="18.75" customHeight="1" x14ac:dyDescent="0.35">
      <c r="T7819" s="246">
        <f t="shared" si="160"/>
        <v>0</v>
      </c>
    </row>
    <row r="7820" spans="20:20" ht="18.75" customHeight="1" x14ac:dyDescent="0.35">
      <c r="T7820" s="246">
        <f t="shared" si="160"/>
        <v>0</v>
      </c>
    </row>
    <row r="7821" spans="20:20" ht="18.75" customHeight="1" x14ac:dyDescent="0.35">
      <c r="T7821" s="246">
        <f t="shared" si="160"/>
        <v>0</v>
      </c>
    </row>
    <row r="7822" spans="20:20" ht="18.75" customHeight="1" x14ac:dyDescent="0.35">
      <c r="T7822" s="246">
        <f t="shared" si="160"/>
        <v>0</v>
      </c>
    </row>
    <row r="7823" spans="20:20" ht="18.75" customHeight="1" x14ac:dyDescent="0.35">
      <c r="T7823" s="246">
        <f t="shared" si="160"/>
        <v>0</v>
      </c>
    </row>
    <row r="7824" spans="20:20" ht="18.75" customHeight="1" x14ac:dyDescent="0.35">
      <c r="T7824" s="246">
        <f t="shared" si="160"/>
        <v>0</v>
      </c>
    </row>
    <row r="7825" spans="20:20" ht="18.75" customHeight="1" x14ac:dyDescent="0.35">
      <c r="T7825" s="246">
        <f t="shared" si="160"/>
        <v>0</v>
      </c>
    </row>
    <row r="7826" spans="20:20" ht="18.75" customHeight="1" x14ac:dyDescent="0.35">
      <c r="T7826" s="246">
        <f t="shared" si="160"/>
        <v>0</v>
      </c>
    </row>
    <row r="7827" spans="20:20" ht="18.75" customHeight="1" x14ac:dyDescent="0.35">
      <c r="T7827" s="246">
        <f t="shared" si="160"/>
        <v>0</v>
      </c>
    </row>
    <row r="7828" spans="20:20" ht="18.75" customHeight="1" x14ac:dyDescent="0.35">
      <c r="T7828" s="246">
        <f t="shared" si="160"/>
        <v>0</v>
      </c>
    </row>
    <row r="7829" spans="20:20" ht="18.75" customHeight="1" x14ac:dyDescent="0.35">
      <c r="T7829" s="246">
        <f t="shared" si="160"/>
        <v>0</v>
      </c>
    </row>
    <row r="7830" spans="20:20" ht="18.75" customHeight="1" x14ac:dyDescent="0.35">
      <c r="T7830" s="246">
        <f t="shared" si="160"/>
        <v>0</v>
      </c>
    </row>
    <row r="7831" spans="20:20" ht="18.75" customHeight="1" x14ac:dyDescent="0.35">
      <c r="T7831" s="246">
        <f t="shared" si="160"/>
        <v>0</v>
      </c>
    </row>
    <row r="7832" spans="20:20" ht="18.75" customHeight="1" x14ac:dyDescent="0.35">
      <c r="T7832" s="246">
        <f t="shared" si="160"/>
        <v>0</v>
      </c>
    </row>
    <row r="7833" spans="20:20" ht="18.75" customHeight="1" x14ac:dyDescent="0.35">
      <c r="T7833" s="246">
        <f t="shared" si="160"/>
        <v>0</v>
      </c>
    </row>
    <row r="7834" spans="20:20" ht="18.75" customHeight="1" x14ac:dyDescent="0.35">
      <c r="T7834" s="246">
        <f t="shared" si="160"/>
        <v>0</v>
      </c>
    </row>
    <row r="7835" spans="20:20" ht="18.75" customHeight="1" x14ac:dyDescent="0.35">
      <c r="T7835" s="246">
        <f t="shared" si="160"/>
        <v>0</v>
      </c>
    </row>
    <row r="7836" spans="20:20" ht="18.75" customHeight="1" x14ac:dyDescent="0.35">
      <c r="T7836" s="246">
        <f t="shared" si="160"/>
        <v>0</v>
      </c>
    </row>
    <row r="7837" spans="20:20" ht="18.75" customHeight="1" x14ac:dyDescent="0.35">
      <c r="T7837" s="246">
        <f t="shared" si="160"/>
        <v>0</v>
      </c>
    </row>
    <row r="7838" spans="20:20" ht="18.75" customHeight="1" x14ac:dyDescent="0.35">
      <c r="T7838" s="246">
        <f t="shared" si="160"/>
        <v>0</v>
      </c>
    </row>
    <row r="7839" spans="20:20" ht="18.75" customHeight="1" x14ac:dyDescent="0.35">
      <c r="T7839" s="246">
        <f t="shared" si="160"/>
        <v>0</v>
      </c>
    </row>
    <row r="7840" spans="20:20" ht="18.75" customHeight="1" x14ac:dyDescent="0.35">
      <c r="T7840" s="246">
        <f t="shared" si="160"/>
        <v>0</v>
      </c>
    </row>
    <row r="7841" spans="20:20" ht="18.75" customHeight="1" x14ac:dyDescent="0.35">
      <c r="T7841" s="246">
        <f t="shared" si="160"/>
        <v>0</v>
      </c>
    </row>
    <row r="7842" spans="20:20" ht="18.75" customHeight="1" x14ac:dyDescent="0.35">
      <c r="T7842" s="246">
        <f t="shared" si="160"/>
        <v>0</v>
      </c>
    </row>
    <row r="7843" spans="20:20" ht="18.75" customHeight="1" x14ac:dyDescent="0.35">
      <c r="T7843" s="246">
        <f t="shared" si="160"/>
        <v>0</v>
      </c>
    </row>
    <row r="7844" spans="20:20" ht="18.75" customHeight="1" x14ac:dyDescent="0.35">
      <c r="T7844" s="246">
        <f t="shared" si="160"/>
        <v>0</v>
      </c>
    </row>
    <row r="7845" spans="20:20" ht="18.75" customHeight="1" x14ac:dyDescent="0.35">
      <c r="T7845" s="246">
        <f t="shared" si="160"/>
        <v>0</v>
      </c>
    </row>
    <row r="7846" spans="20:20" ht="18.75" customHeight="1" x14ac:dyDescent="0.35">
      <c r="T7846" s="246">
        <f t="shared" si="160"/>
        <v>0</v>
      </c>
    </row>
    <row r="7847" spans="20:20" ht="18.75" customHeight="1" x14ac:dyDescent="0.35">
      <c r="T7847" s="246">
        <f t="shared" si="160"/>
        <v>0</v>
      </c>
    </row>
    <row r="7848" spans="20:20" ht="18.75" customHeight="1" x14ac:dyDescent="0.35">
      <c r="T7848" s="246">
        <f t="shared" si="160"/>
        <v>0</v>
      </c>
    </row>
    <row r="7849" spans="20:20" ht="18.75" customHeight="1" x14ac:dyDescent="0.35">
      <c r="T7849" s="246">
        <f t="shared" si="160"/>
        <v>0</v>
      </c>
    </row>
    <row r="7850" spans="20:20" ht="18.75" customHeight="1" x14ac:dyDescent="0.35">
      <c r="T7850" s="246">
        <f t="shared" si="160"/>
        <v>0</v>
      </c>
    </row>
    <row r="7851" spans="20:20" ht="18.75" customHeight="1" x14ac:dyDescent="0.35">
      <c r="T7851" s="246">
        <f t="shared" si="160"/>
        <v>0</v>
      </c>
    </row>
    <row r="7852" spans="20:20" ht="18.75" customHeight="1" x14ac:dyDescent="0.35">
      <c r="T7852" s="246">
        <f t="shared" si="160"/>
        <v>0</v>
      </c>
    </row>
    <row r="7853" spans="20:20" ht="18.75" customHeight="1" x14ac:dyDescent="0.35">
      <c r="T7853" s="246">
        <f t="shared" si="160"/>
        <v>0</v>
      </c>
    </row>
    <row r="7854" spans="20:20" ht="18.75" customHeight="1" x14ac:dyDescent="0.35">
      <c r="T7854" s="246">
        <f t="shared" si="160"/>
        <v>0</v>
      </c>
    </row>
    <row r="7855" spans="20:20" ht="18.75" customHeight="1" x14ac:dyDescent="0.35">
      <c r="T7855" s="246">
        <f t="shared" si="160"/>
        <v>0</v>
      </c>
    </row>
    <row r="7856" spans="20:20" ht="18.75" customHeight="1" x14ac:dyDescent="0.35">
      <c r="T7856" s="246">
        <f t="shared" si="160"/>
        <v>0</v>
      </c>
    </row>
    <row r="7857" spans="20:20" ht="18.75" customHeight="1" x14ac:dyDescent="0.35">
      <c r="T7857" s="246">
        <f t="shared" si="160"/>
        <v>0</v>
      </c>
    </row>
    <row r="7858" spans="20:20" ht="18.75" customHeight="1" x14ac:dyDescent="0.35">
      <c r="T7858" s="246">
        <f t="shared" si="160"/>
        <v>0</v>
      </c>
    </row>
    <row r="7859" spans="20:20" ht="18.75" customHeight="1" x14ac:dyDescent="0.35">
      <c r="T7859" s="246">
        <f t="shared" si="160"/>
        <v>0</v>
      </c>
    </row>
    <row r="7860" spans="20:20" ht="18.75" customHeight="1" x14ac:dyDescent="0.35">
      <c r="T7860" s="246">
        <f t="shared" si="160"/>
        <v>0</v>
      </c>
    </row>
    <row r="7861" spans="20:20" ht="18.75" customHeight="1" x14ac:dyDescent="0.35">
      <c r="T7861" s="246">
        <f t="shared" si="160"/>
        <v>0</v>
      </c>
    </row>
    <row r="7862" spans="20:20" ht="18.75" customHeight="1" x14ac:dyDescent="0.35">
      <c r="T7862" s="246">
        <f t="shared" si="160"/>
        <v>0</v>
      </c>
    </row>
    <row r="7863" spans="20:20" ht="18.75" customHeight="1" x14ac:dyDescent="0.35">
      <c r="T7863" s="246">
        <f t="shared" si="160"/>
        <v>0</v>
      </c>
    </row>
    <row r="7864" spans="20:20" ht="18.75" customHeight="1" x14ac:dyDescent="0.35">
      <c r="T7864" s="246">
        <f t="shared" si="160"/>
        <v>0</v>
      </c>
    </row>
    <row r="7865" spans="20:20" ht="18.75" customHeight="1" x14ac:dyDescent="0.35">
      <c r="T7865" s="246">
        <f t="shared" si="160"/>
        <v>0</v>
      </c>
    </row>
    <row r="7866" spans="20:20" ht="18.75" customHeight="1" x14ac:dyDescent="0.35">
      <c r="T7866" s="246">
        <f t="shared" si="160"/>
        <v>0</v>
      </c>
    </row>
    <row r="7867" spans="20:20" ht="18.75" customHeight="1" x14ac:dyDescent="0.35">
      <c r="T7867" s="246">
        <f t="shared" si="160"/>
        <v>0</v>
      </c>
    </row>
    <row r="7868" spans="20:20" ht="18.75" customHeight="1" x14ac:dyDescent="0.35">
      <c r="T7868" s="246">
        <f t="shared" ref="T7868:T7931" si="161">R7868*0.01</f>
        <v>0</v>
      </c>
    </row>
    <row r="7869" spans="20:20" ht="18.75" customHeight="1" x14ac:dyDescent="0.35">
      <c r="T7869" s="246">
        <f t="shared" si="161"/>
        <v>0</v>
      </c>
    </row>
    <row r="7870" spans="20:20" ht="18.75" customHeight="1" x14ac:dyDescent="0.35">
      <c r="T7870" s="246">
        <f t="shared" si="161"/>
        <v>0</v>
      </c>
    </row>
    <row r="7871" spans="20:20" ht="18.75" customHeight="1" x14ac:dyDescent="0.35">
      <c r="T7871" s="246">
        <f t="shared" si="161"/>
        <v>0</v>
      </c>
    </row>
    <row r="7872" spans="20:20" ht="18.75" customHeight="1" x14ac:dyDescent="0.35">
      <c r="T7872" s="246">
        <f t="shared" si="161"/>
        <v>0</v>
      </c>
    </row>
    <row r="7873" spans="20:20" ht="18.75" customHeight="1" x14ac:dyDescent="0.35">
      <c r="T7873" s="246">
        <f t="shared" si="161"/>
        <v>0</v>
      </c>
    </row>
    <row r="7874" spans="20:20" ht="18.75" customHeight="1" x14ac:dyDescent="0.35">
      <c r="T7874" s="246">
        <f t="shared" si="161"/>
        <v>0</v>
      </c>
    </row>
    <row r="7875" spans="20:20" ht="18.75" customHeight="1" x14ac:dyDescent="0.35">
      <c r="T7875" s="246">
        <f t="shared" si="161"/>
        <v>0</v>
      </c>
    </row>
    <row r="7876" spans="20:20" ht="18.75" customHeight="1" x14ac:dyDescent="0.35">
      <c r="T7876" s="246">
        <f t="shared" si="161"/>
        <v>0</v>
      </c>
    </row>
    <row r="7877" spans="20:20" ht="18.75" customHeight="1" x14ac:dyDescent="0.35">
      <c r="T7877" s="246">
        <f t="shared" si="161"/>
        <v>0</v>
      </c>
    </row>
    <row r="7878" spans="20:20" ht="18.75" customHeight="1" x14ac:dyDescent="0.35">
      <c r="T7878" s="246">
        <f t="shared" si="161"/>
        <v>0</v>
      </c>
    </row>
    <row r="7879" spans="20:20" ht="18.75" customHeight="1" x14ac:dyDescent="0.35">
      <c r="T7879" s="246">
        <f t="shared" si="161"/>
        <v>0</v>
      </c>
    </row>
    <row r="7880" spans="20:20" ht="18.75" customHeight="1" x14ac:dyDescent="0.35">
      <c r="T7880" s="246">
        <f t="shared" si="161"/>
        <v>0</v>
      </c>
    </row>
    <row r="7881" spans="20:20" ht="18.75" customHeight="1" x14ac:dyDescent="0.35">
      <c r="T7881" s="246">
        <f t="shared" si="161"/>
        <v>0</v>
      </c>
    </row>
    <row r="7882" spans="20:20" ht="18.75" customHeight="1" x14ac:dyDescent="0.35">
      <c r="T7882" s="246">
        <f t="shared" si="161"/>
        <v>0</v>
      </c>
    </row>
    <row r="7883" spans="20:20" ht="18.75" customHeight="1" x14ac:dyDescent="0.35">
      <c r="T7883" s="246">
        <f t="shared" si="161"/>
        <v>0</v>
      </c>
    </row>
    <row r="7884" spans="20:20" ht="18.75" customHeight="1" x14ac:dyDescent="0.35">
      <c r="T7884" s="246">
        <f t="shared" si="161"/>
        <v>0</v>
      </c>
    </row>
    <row r="7885" spans="20:20" ht="18.75" customHeight="1" x14ac:dyDescent="0.35">
      <c r="T7885" s="246">
        <f t="shared" si="161"/>
        <v>0</v>
      </c>
    </row>
    <row r="7886" spans="20:20" ht="18.75" customHeight="1" x14ac:dyDescent="0.35">
      <c r="T7886" s="246">
        <f t="shared" si="161"/>
        <v>0</v>
      </c>
    </row>
    <row r="7887" spans="20:20" ht="18.75" customHeight="1" x14ac:dyDescent="0.35">
      <c r="T7887" s="246">
        <f t="shared" si="161"/>
        <v>0</v>
      </c>
    </row>
    <row r="7888" spans="20:20" ht="18.75" customHeight="1" x14ac:dyDescent="0.35">
      <c r="T7888" s="246">
        <f t="shared" si="161"/>
        <v>0</v>
      </c>
    </row>
    <row r="7889" spans="20:20" ht="18.75" customHeight="1" x14ac:dyDescent="0.35">
      <c r="T7889" s="246">
        <f t="shared" si="161"/>
        <v>0</v>
      </c>
    </row>
    <row r="7890" spans="20:20" ht="18.75" customHeight="1" x14ac:dyDescent="0.35">
      <c r="T7890" s="246">
        <f t="shared" si="161"/>
        <v>0</v>
      </c>
    </row>
    <row r="7891" spans="20:20" ht="18.75" customHeight="1" x14ac:dyDescent="0.35">
      <c r="T7891" s="246">
        <f t="shared" si="161"/>
        <v>0</v>
      </c>
    </row>
    <row r="7892" spans="20:20" ht="18.75" customHeight="1" x14ac:dyDescent="0.35">
      <c r="T7892" s="246">
        <f t="shared" si="161"/>
        <v>0</v>
      </c>
    </row>
    <row r="7893" spans="20:20" ht="18.75" customHeight="1" x14ac:dyDescent="0.35">
      <c r="T7893" s="246">
        <f t="shared" si="161"/>
        <v>0</v>
      </c>
    </row>
    <row r="7894" spans="20:20" ht="18.75" customHeight="1" x14ac:dyDescent="0.35">
      <c r="T7894" s="246">
        <f t="shared" si="161"/>
        <v>0</v>
      </c>
    </row>
    <row r="7895" spans="20:20" ht="18.75" customHeight="1" x14ac:dyDescent="0.35">
      <c r="T7895" s="246">
        <f t="shared" si="161"/>
        <v>0</v>
      </c>
    </row>
    <row r="7896" spans="20:20" ht="18.75" customHeight="1" x14ac:dyDescent="0.35">
      <c r="T7896" s="246">
        <f t="shared" si="161"/>
        <v>0</v>
      </c>
    </row>
    <row r="7897" spans="20:20" ht="18.75" customHeight="1" x14ac:dyDescent="0.35">
      <c r="T7897" s="246">
        <f t="shared" si="161"/>
        <v>0</v>
      </c>
    </row>
    <row r="7898" spans="20:20" ht="18.75" customHeight="1" x14ac:dyDescent="0.35">
      <c r="T7898" s="246">
        <f t="shared" si="161"/>
        <v>0</v>
      </c>
    </row>
    <row r="7899" spans="20:20" ht="18.75" customHeight="1" x14ac:dyDescent="0.35">
      <c r="T7899" s="246">
        <f t="shared" si="161"/>
        <v>0</v>
      </c>
    </row>
    <row r="7900" spans="20:20" ht="18.75" customHeight="1" x14ac:dyDescent="0.35">
      <c r="T7900" s="246">
        <f t="shared" si="161"/>
        <v>0</v>
      </c>
    </row>
    <row r="7901" spans="20:20" ht="18.75" customHeight="1" x14ac:dyDescent="0.35">
      <c r="T7901" s="246">
        <f t="shared" si="161"/>
        <v>0</v>
      </c>
    </row>
    <row r="7902" spans="20:20" ht="18.75" customHeight="1" x14ac:dyDescent="0.35">
      <c r="T7902" s="246">
        <f t="shared" si="161"/>
        <v>0</v>
      </c>
    </row>
    <row r="7903" spans="20:20" ht="18.75" customHeight="1" x14ac:dyDescent="0.35">
      <c r="T7903" s="246">
        <f t="shared" si="161"/>
        <v>0</v>
      </c>
    </row>
    <row r="7904" spans="20:20" ht="18.75" customHeight="1" x14ac:dyDescent="0.35">
      <c r="T7904" s="246">
        <f t="shared" si="161"/>
        <v>0</v>
      </c>
    </row>
    <row r="7905" spans="20:20" ht="18.75" customHeight="1" x14ac:dyDescent="0.35">
      <c r="T7905" s="246">
        <f t="shared" si="161"/>
        <v>0</v>
      </c>
    </row>
    <row r="7906" spans="20:20" ht="18.75" customHeight="1" x14ac:dyDescent="0.35">
      <c r="T7906" s="246">
        <f t="shared" si="161"/>
        <v>0</v>
      </c>
    </row>
    <row r="7907" spans="20:20" ht="18.75" customHeight="1" x14ac:dyDescent="0.35">
      <c r="T7907" s="246">
        <f t="shared" si="161"/>
        <v>0</v>
      </c>
    </row>
    <row r="7908" spans="20:20" ht="18.75" customHeight="1" x14ac:dyDescent="0.35">
      <c r="T7908" s="246">
        <f t="shared" si="161"/>
        <v>0</v>
      </c>
    </row>
    <row r="7909" spans="20:20" ht="18.75" customHeight="1" x14ac:dyDescent="0.35">
      <c r="T7909" s="246">
        <f t="shared" si="161"/>
        <v>0</v>
      </c>
    </row>
    <row r="7910" spans="20:20" ht="18.75" customHeight="1" x14ac:dyDescent="0.35">
      <c r="T7910" s="246">
        <f t="shared" si="161"/>
        <v>0</v>
      </c>
    </row>
    <row r="7911" spans="20:20" ht="18.75" customHeight="1" x14ac:dyDescent="0.35">
      <c r="T7911" s="246">
        <f t="shared" si="161"/>
        <v>0</v>
      </c>
    </row>
    <row r="7912" spans="20:20" ht="18.75" customHeight="1" x14ac:dyDescent="0.35">
      <c r="T7912" s="246">
        <f t="shared" si="161"/>
        <v>0</v>
      </c>
    </row>
    <row r="7913" spans="20:20" ht="18.75" customHeight="1" x14ac:dyDescent="0.35">
      <c r="T7913" s="246">
        <f t="shared" si="161"/>
        <v>0</v>
      </c>
    </row>
    <row r="7914" spans="20:20" ht="18.75" customHeight="1" x14ac:dyDescent="0.35">
      <c r="T7914" s="246">
        <f t="shared" si="161"/>
        <v>0</v>
      </c>
    </row>
    <row r="7915" spans="20:20" ht="18.75" customHeight="1" x14ac:dyDescent="0.35">
      <c r="T7915" s="246">
        <f t="shared" si="161"/>
        <v>0</v>
      </c>
    </row>
    <row r="7916" spans="20:20" ht="18.75" customHeight="1" x14ac:dyDescent="0.35">
      <c r="T7916" s="246">
        <f t="shared" si="161"/>
        <v>0</v>
      </c>
    </row>
    <row r="7917" spans="20:20" ht="18.75" customHeight="1" x14ac:dyDescent="0.35">
      <c r="T7917" s="246">
        <f t="shared" si="161"/>
        <v>0</v>
      </c>
    </row>
    <row r="7918" spans="20:20" ht="18.75" customHeight="1" x14ac:dyDescent="0.35">
      <c r="T7918" s="246">
        <f t="shared" si="161"/>
        <v>0</v>
      </c>
    </row>
    <row r="7919" spans="20:20" ht="18.75" customHeight="1" x14ac:dyDescent="0.35">
      <c r="T7919" s="246">
        <f t="shared" si="161"/>
        <v>0</v>
      </c>
    </row>
    <row r="7920" spans="20:20" ht="18.75" customHeight="1" x14ac:dyDescent="0.35">
      <c r="T7920" s="246">
        <f t="shared" si="161"/>
        <v>0</v>
      </c>
    </row>
    <row r="7921" spans="20:20" ht="18.75" customHeight="1" x14ac:dyDescent="0.35">
      <c r="T7921" s="246">
        <f t="shared" si="161"/>
        <v>0</v>
      </c>
    </row>
    <row r="7922" spans="20:20" ht="18.75" customHeight="1" x14ac:dyDescent="0.35">
      <c r="T7922" s="246">
        <f t="shared" si="161"/>
        <v>0</v>
      </c>
    </row>
    <row r="7923" spans="20:20" ht="18.75" customHeight="1" x14ac:dyDescent="0.35">
      <c r="T7923" s="246">
        <f t="shared" si="161"/>
        <v>0</v>
      </c>
    </row>
    <row r="7924" spans="20:20" ht="18.75" customHeight="1" x14ac:dyDescent="0.35">
      <c r="T7924" s="246">
        <f t="shared" si="161"/>
        <v>0</v>
      </c>
    </row>
    <row r="7925" spans="20:20" ht="18.75" customHeight="1" x14ac:dyDescent="0.35">
      <c r="T7925" s="246">
        <f t="shared" si="161"/>
        <v>0</v>
      </c>
    </row>
    <row r="7926" spans="20:20" ht="18.75" customHeight="1" x14ac:dyDescent="0.35">
      <c r="T7926" s="246">
        <f t="shared" si="161"/>
        <v>0</v>
      </c>
    </row>
    <row r="7927" spans="20:20" ht="18.75" customHeight="1" x14ac:dyDescent="0.35">
      <c r="T7927" s="246">
        <f t="shared" si="161"/>
        <v>0</v>
      </c>
    </row>
    <row r="7928" spans="20:20" ht="18.75" customHeight="1" x14ac:dyDescent="0.35">
      <c r="T7928" s="246">
        <f t="shared" si="161"/>
        <v>0</v>
      </c>
    </row>
    <row r="7929" spans="20:20" ht="18.75" customHeight="1" x14ac:dyDescent="0.35">
      <c r="T7929" s="246">
        <f t="shared" si="161"/>
        <v>0</v>
      </c>
    </row>
    <row r="7930" spans="20:20" ht="18.75" customHeight="1" x14ac:dyDescent="0.35">
      <c r="T7930" s="246">
        <f t="shared" si="161"/>
        <v>0</v>
      </c>
    </row>
    <row r="7931" spans="20:20" ht="18.75" customHeight="1" x14ac:dyDescent="0.35">
      <c r="T7931" s="246">
        <f t="shared" si="161"/>
        <v>0</v>
      </c>
    </row>
    <row r="7932" spans="20:20" ht="18.75" customHeight="1" x14ac:dyDescent="0.35">
      <c r="T7932" s="246">
        <f t="shared" ref="T7932:T7995" si="162">R7932*0.01</f>
        <v>0</v>
      </c>
    </row>
    <row r="7933" spans="20:20" ht="18.75" customHeight="1" x14ac:dyDescent="0.35">
      <c r="T7933" s="246">
        <f t="shared" si="162"/>
        <v>0</v>
      </c>
    </row>
    <row r="7934" spans="20:20" ht="18.75" customHeight="1" x14ac:dyDescent="0.35">
      <c r="T7934" s="246">
        <f t="shared" si="162"/>
        <v>0</v>
      </c>
    </row>
    <row r="7935" spans="20:20" ht="18.75" customHeight="1" x14ac:dyDescent="0.35">
      <c r="T7935" s="246">
        <f t="shared" si="162"/>
        <v>0</v>
      </c>
    </row>
    <row r="7936" spans="20:20" ht="18.75" customHeight="1" x14ac:dyDescent="0.35">
      <c r="T7936" s="246">
        <f t="shared" si="162"/>
        <v>0</v>
      </c>
    </row>
    <row r="7937" spans="20:20" ht="18.75" customHeight="1" x14ac:dyDescent="0.35">
      <c r="T7937" s="246">
        <f t="shared" si="162"/>
        <v>0</v>
      </c>
    </row>
    <row r="7938" spans="20:20" ht="18.75" customHeight="1" x14ac:dyDescent="0.35">
      <c r="T7938" s="246">
        <f t="shared" si="162"/>
        <v>0</v>
      </c>
    </row>
    <row r="7939" spans="20:20" ht="18.75" customHeight="1" x14ac:dyDescent="0.35">
      <c r="T7939" s="246">
        <f t="shared" si="162"/>
        <v>0</v>
      </c>
    </row>
    <row r="7940" spans="20:20" ht="18.75" customHeight="1" x14ac:dyDescent="0.35">
      <c r="T7940" s="246">
        <f t="shared" si="162"/>
        <v>0</v>
      </c>
    </row>
    <row r="7941" spans="20:20" ht="18.75" customHeight="1" x14ac:dyDescent="0.35">
      <c r="T7941" s="246">
        <f t="shared" si="162"/>
        <v>0</v>
      </c>
    </row>
    <row r="7942" spans="20:20" ht="18.75" customHeight="1" x14ac:dyDescent="0.35">
      <c r="T7942" s="246">
        <f t="shared" si="162"/>
        <v>0</v>
      </c>
    </row>
    <row r="7943" spans="20:20" ht="18.75" customHeight="1" x14ac:dyDescent="0.35">
      <c r="T7943" s="246">
        <f t="shared" si="162"/>
        <v>0</v>
      </c>
    </row>
    <row r="7944" spans="20:20" ht="18.75" customHeight="1" x14ac:dyDescent="0.35">
      <c r="T7944" s="246">
        <f t="shared" si="162"/>
        <v>0</v>
      </c>
    </row>
    <row r="7945" spans="20:20" ht="18.75" customHeight="1" x14ac:dyDescent="0.35">
      <c r="T7945" s="246">
        <f t="shared" si="162"/>
        <v>0</v>
      </c>
    </row>
    <row r="7946" spans="20:20" ht="18.75" customHeight="1" x14ac:dyDescent="0.35">
      <c r="T7946" s="246">
        <f t="shared" si="162"/>
        <v>0</v>
      </c>
    </row>
    <row r="7947" spans="20:20" ht="18.75" customHeight="1" x14ac:dyDescent="0.35">
      <c r="T7947" s="246">
        <f t="shared" si="162"/>
        <v>0</v>
      </c>
    </row>
    <row r="7948" spans="20:20" ht="18.75" customHeight="1" x14ac:dyDescent="0.35">
      <c r="T7948" s="246">
        <f t="shared" si="162"/>
        <v>0</v>
      </c>
    </row>
    <row r="7949" spans="20:20" ht="18.75" customHeight="1" x14ac:dyDescent="0.35">
      <c r="T7949" s="246">
        <f t="shared" si="162"/>
        <v>0</v>
      </c>
    </row>
    <row r="7950" spans="20:20" ht="18.75" customHeight="1" x14ac:dyDescent="0.35">
      <c r="T7950" s="246">
        <f t="shared" si="162"/>
        <v>0</v>
      </c>
    </row>
    <row r="7951" spans="20:20" ht="18.75" customHeight="1" x14ac:dyDescent="0.35">
      <c r="T7951" s="246">
        <f t="shared" si="162"/>
        <v>0</v>
      </c>
    </row>
    <row r="7952" spans="20:20" ht="18.75" customHeight="1" x14ac:dyDescent="0.35">
      <c r="T7952" s="246">
        <f t="shared" si="162"/>
        <v>0</v>
      </c>
    </row>
    <row r="7953" spans="20:20" ht="18.75" customHeight="1" x14ac:dyDescent="0.35">
      <c r="T7953" s="246">
        <f t="shared" si="162"/>
        <v>0</v>
      </c>
    </row>
    <row r="7954" spans="20:20" ht="18.75" customHeight="1" x14ac:dyDescent="0.35">
      <c r="T7954" s="246">
        <f t="shared" si="162"/>
        <v>0</v>
      </c>
    </row>
    <row r="7955" spans="20:20" ht="18.75" customHeight="1" x14ac:dyDescent="0.35">
      <c r="T7955" s="246">
        <f t="shared" si="162"/>
        <v>0</v>
      </c>
    </row>
    <row r="7956" spans="20:20" ht="18.75" customHeight="1" x14ac:dyDescent="0.35">
      <c r="T7956" s="246">
        <f t="shared" si="162"/>
        <v>0</v>
      </c>
    </row>
    <row r="7957" spans="20:20" ht="18.75" customHeight="1" x14ac:dyDescent="0.35">
      <c r="T7957" s="246">
        <f t="shared" si="162"/>
        <v>0</v>
      </c>
    </row>
    <row r="7958" spans="20:20" ht="18.75" customHeight="1" x14ac:dyDescent="0.35">
      <c r="T7958" s="246">
        <f t="shared" si="162"/>
        <v>0</v>
      </c>
    </row>
    <row r="7959" spans="20:20" ht="18.75" customHeight="1" x14ac:dyDescent="0.35">
      <c r="T7959" s="246">
        <f t="shared" si="162"/>
        <v>0</v>
      </c>
    </row>
    <row r="7960" spans="20:20" ht="18.75" customHeight="1" x14ac:dyDescent="0.35">
      <c r="T7960" s="246">
        <f t="shared" si="162"/>
        <v>0</v>
      </c>
    </row>
    <row r="7961" spans="20:20" ht="18.75" customHeight="1" x14ac:dyDescent="0.35">
      <c r="T7961" s="246">
        <f t="shared" si="162"/>
        <v>0</v>
      </c>
    </row>
    <row r="7962" spans="20:20" ht="18.75" customHeight="1" x14ac:dyDescent="0.35">
      <c r="T7962" s="246">
        <f t="shared" si="162"/>
        <v>0</v>
      </c>
    </row>
    <row r="7963" spans="20:20" ht="18.75" customHeight="1" x14ac:dyDescent="0.35">
      <c r="T7963" s="246">
        <f t="shared" si="162"/>
        <v>0</v>
      </c>
    </row>
    <row r="7964" spans="20:20" ht="18.75" customHeight="1" x14ac:dyDescent="0.35">
      <c r="T7964" s="246">
        <f t="shared" si="162"/>
        <v>0</v>
      </c>
    </row>
    <row r="7965" spans="20:20" ht="18.75" customHeight="1" x14ac:dyDescent="0.35">
      <c r="T7965" s="246">
        <f t="shared" si="162"/>
        <v>0</v>
      </c>
    </row>
    <row r="7966" spans="20:20" ht="18.75" customHeight="1" x14ac:dyDescent="0.35">
      <c r="T7966" s="246">
        <f t="shared" si="162"/>
        <v>0</v>
      </c>
    </row>
    <row r="7967" spans="20:20" ht="18.75" customHeight="1" x14ac:dyDescent="0.35">
      <c r="T7967" s="246">
        <f t="shared" si="162"/>
        <v>0</v>
      </c>
    </row>
    <row r="7968" spans="20:20" ht="18.75" customHeight="1" x14ac:dyDescent="0.35">
      <c r="T7968" s="246">
        <f t="shared" si="162"/>
        <v>0</v>
      </c>
    </row>
    <row r="7969" spans="20:20" ht="18.75" customHeight="1" x14ac:dyDescent="0.35">
      <c r="T7969" s="246">
        <f t="shared" si="162"/>
        <v>0</v>
      </c>
    </row>
    <row r="7970" spans="20:20" ht="18.75" customHeight="1" x14ac:dyDescent="0.35">
      <c r="T7970" s="246">
        <f t="shared" si="162"/>
        <v>0</v>
      </c>
    </row>
    <row r="7971" spans="20:20" ht="18.75" customHeight="1" x14ac:dyDescent="0.35">
      <c r="T7971" s="246">
        <f t="shared" si="162"/>
        <v>0</v>
      </c>
    </row>
    <row r="7972" spans="20:20" ht="18.75" customHeight="1" x14ac:dyDescent="0.35">
      <c r="T7972" s="246">
        <f t="shared" si="162"/>
        <v>0</v>
      </c>
    </row>
    <row r="7973" spans="20:20" ht="18.75" customHeight="1" x14ac:dyDescent="0.35">
      <c r="T7973" s="246">
        <f t="shared" si="162"/>
        <v>0</v>
      </c>
    </row>
    <row r="7974" spans="20:20" ht="18.75" customHeight="1" x14ac:dyDescent="0.35">
      <c r="T7974" s="246">
        <f t="shared" si="162"/>
        <v>0</v>
      </c>
    </row>
    <row r="7975" spans="20:20" ht="18.75" customHeight="1" x14ac:dyDescent="0.35">
      <c r="T7975" s="246">
        <f t="shared" si="162"/>
        <v>0</v>
      </c>
    </row>
    <row r="7976" spans="20:20" ht="18.75" customHeight="1" x14ac:dyDescent="0.35">
      <c r="T7976" s="246">
        <f t="shared" si="162"/>
        <v>0</v>
      </c>
    </row>
    <row r="7977" spans="20:20" ht="18.75" customHeight="1" x14ac:dyDescent="0.35">
      <c r="T7977" s="246">
        <f t="shared" si="162"/>
        <v>0</v>
      </c>
    </row>
    <row r="7978" spans="20:20" ht="18.75" customHeight="1" x14ac:dyDescent="0.35">
      <c r="T7978" s="246">
        <f t="shared" si="162"/>
        <v>0</v>
      </c>
    </row>
    <row r="7979" spans="20:20" ht="18.75" customHeight="1" x14ac:dyDescent="0.35">
      <c r="T7979" s="246">
        <f t="shared" si="162"/>
        <v>0</v>
      </c>
    </row>
    <row r="7980" spans="20:20" ht="18.75" customHeight="1" x14ac:dyDescent="0.35">
      <c r="T7980" s="246">
        <f t="shared" si="162"/>
        <v>0</v>
      </c>
    </row>
    <row r="7981" spans="20:20" ht="18.75" customHeight="1" x14ac:dyDescent="0.35">
      <c r="T7981" s="246">
        <f t="shared" si="162"/>
        <v>0</v>
      </c>
    </row>
    <row r="7982" spans="20:20" ht="18.75" customHeight="1" x14ac:dyDescent="0.35">
      <c r="T7982" s="246">
        <f t="shared" si="162"/>
        <v>0</v>
      </c>
    </row>
    <row r="7983" spans="20:20" ht="18.75" customHeight="1" x14ac:dyDescent="0.35">
      <c r="T7983" s="246">
        <f t="shared" si="162"/>
        <v>0</v>
      </c>
    </row>
    <row r="7984" spans="20:20" ht="18.75" customHeight="1" x14ac:dyDescent="0.35">
      <c r="T7984" s="246">
        <f t="shared" si="162"/>
        <v>0</v>
      </c>
    </row>
    <row r="7985" spans="20:20" ht="18.75" customHeight="1" x14ac:dyDescent="0.35">
      <c r="T7985" s="246">
        <f t="shared" si="162"/>
        <v>0</v>
      </c>
    </row>
    <row r="7986" spans="20:20" ht="18.75" customHeight="1" x14ac:dyDescent="0.35">
      <c r="T7986" s="246">
        <f t="shared" si="162"/>
        <v>0</v>
      </c>
    </row>
    <row r="7987" spans="20:20" ht="18.75" customHeight="1" x14ac:dyDescent="0.35">
      <c r="T7987" s="246">
        <f t="shared" si="162"/>
        <v>0</v>
      </c>
    </row>
    <row r="7988" spans="20:20" ht="18.75" customHeight="1" x14ac:dyDescent="0.35">
      <c r="T7988" s="246">
        <f t="shared" si="162"/>
        <v>0</v>
      </c>
    </row>
    <row r="7989" spans="20:20" ht="18.75" customHeight="1" x14ac:dyDescent="0.35">
      <c r="T7989" s="246">
        <f t="shared" si="162"/>
        <v>0</v>
      </c>
    </row>
    <row r="7990" spans="20:20" ht="18.75" customHeight="1" x14ac:dyDescent="0.35">
      <c r="T7990" s="246">
        <f t="shared" si="162"/>
        <v>0</v>
      </c>
    </row>
    <row r="7991" spans="20:20" ht="18.75" customHeight="1" x14ac:dyDescent="0.35">
      <c r="T7991" s="246">
        <f t="shared" si="162"/>
        <v>0</v>
      </c>
    </row>
    <row r="7992" spans="20:20" ht="18.75" customHeight="1" x14ac:dyDescent="0.35">
      <c r="T7992" s="246">
        <f t="shared" si="162"/>
        <v>0</v>
      </c>
    </row>
    <row r="7993" spans="20:20" ht="18.75" customHeight="1" x14ac:dyDescent="0.35">
      <c r="T7993" s="246">
        <f t="shared" si="162"/>
        <v>0</v>
      </c>
    </row>
    <row r="7994" spans="20:20" ht="18.75" customHeight="1" x14ac:dyDescent="0.35">
      <c r="T7994" s="246">
        <f t="shared" si="162"/>
        <v>0</v>
      </c>
    </row>
    <row r="7995" spans="20:20" ht="18.75" customHeight="1" x14ac:dyDescent="0.35">
      <c r="T7995" s="246">
        <f t="shared" si="162"/>
        <v>0</v>
      </c>
    </row>
    <row r="7996" spans="20:20" ht="18.75" customHeight="1" x14ac:dyDescent="0.35">
      <c r="T7996" s="246">
        <f t="shared" ref="T7996:T8059" si="163">R7996*0.01</f>
        <v>0</v>
      </c>
    </row>
    <row r="7997" spans="20:20" ht="18.75" customHeight="1" x14ac:dyDescent="0.35">
      <c r="T7997" s="246">
        <f t="shared" si="163"/>
        <v>0</v>
      </c>
    </row>
    <row r="7998" spans="20:20" ht="18.75" customHeight="1" x14ac:dyDescent="0.35">
      <c r="T7998" s="246">
        <f t="shared" si="163"/>
        <v>0</v>
      </c>
    </row>
    <row r="7999" spans="20:20" ht="18.75" customHeight="1" x14ac:dyDescent="0.35">
      <c r="T7999" s="246">
        <f t="shared" si="163"/>
        <v>0</v>
      </c>
    </row>
    <row r="8000" spans="20:20" ht="18.75" customHeight="1" x14ac:dyDescent="0.35">
      <c r="T8000" s="246">
        <f t="shared" si="163"/>
        <v>0</v>
      </c>
    </row>
    <row r="8001" spans="20:20" ht="18.75" customHeight="1" x14ac:dyDescent="0.35">
      <c r="T8001" s="246">
        <f t="shared" si="163"/>
        <v>0</v>
      </c>
    </row>
    <row r="8002" spans="20:20" ht="18.75" customHeight="1" x14ac:dyDescent="0.35">
      <c r="T8002" s="246">
        <f t="shared" si="163"/>
        <v>0</v>
      </c>
    </row>
    <row r="8003" spans="20:20" ht="18.75" customHeight="1" x14ac:dyDescent="0.35">
      <c r="T8003" s="246">
        <f t="shared" si="163"/>
        <v>0</v>
      </c>
    </row>
    <row r="8004" spans="20:20" ht="18.75" customHeight="1" x14ac:dyDescent="0.35">
      <c r="T8004" s="246">
        <f t="shared" si="163"/>
        <v>0</v>
      </c>
    </row>
    <row r="8005" spans="20:20" ht="18.75" customHeight="1" x14ac:dyDescent="0.35">
      <c r="T8005" s="246">
        <f t="shared" si="163"/>
        <v>0</v>
      </c>
    </row>
    <row r="8006" spans="20:20" ht="18.75" customHeight="1" x14ac:dyDescent="0.35">
      <c r="T8006" s="246">
        <f t="shared" si="163"/>
        <v>0</v>
      </c>
    </row>
    <row r="8007" spans="20:20" ht="18.75" customHeight="1" x14ac:dyDescent="0.35">
      <c r="T8007" s="246">
        <f t="shared" si="163"/>
        <v>0</v>
      </c>
    </row>
    <row r="8008" spans="20:20" ht="18.75" customHeight="1" x14ac:dyDescent="0.35">
      <c r="T8008" s="246">
        <f t="shared" si="163"/>
        <v>0</v>
      </c>
    </row>
    <row r="8009" spans="20:20" ht="18.75" customHeight="1" x14ac:dyDescent="0.35">
      <c r="T8009" s="246">
        <f t="shared" si="163"/>
        <v>0</v>
      </c>
    </row>
    <row r="8010" spans="20:20" ht="18.75" customHeight="1" x14ac:dyDescent="0.35">
      <c r="T8010" s="246">
        <f t="shared" si="163"/>
        <v>0</v>
      </c>
    </row>
    <row r="8011" spans="20:20" ht="18.75" customHeight="1" x14ac:dyDescent="0.35">
      <c r="T8011" s="246">
        <f t="shared" si="163"/>
        <v>0</v>
      </c>
    </row>
    <row r="8012" spans="20:20" ht="18.75" customHeight="1" x14ac:dyDescent="0.35">
      <c r="T8012" s="246">
        <f t="shared" si="163"/>
        <v>0</v>
      </c>
    </row>
    <row r="8013" spans="20:20" ht="18.75" customHeight="1" x14ac:dyDescent="0.35">
      <c r="T8013" s="246">
        <f t="shared" si="163"/>
        <v>0</v>
      </c>
    </row>
    <row r="8014" spans="20:20" ht="18.75" customHeight="1" x14ac:dyDescent="0.35">
      <c r="T8014" s="246">
        <f t="shared" si="163"/>
        <v>0</v>
      </c>
    </row>
    <row r="8015" spans="20:20" ht="18.75" customHeight="1" x14ac:dyDescent="0.35">
      <c r="T8015" s="246">
        <f t="shared" si="163"/>
        <v>0</v>
      </c>
    </row>
    <row r="8016" spans="20:20" ht="18.75" customHeight="1" x14ac:dyDescent="0.35">
      <c r="T8016" s="246">
        <f t="shared" si="163"/>
        <v>0</v>
      </c>
    </row>
    <row r="8017" spans="20:20" ht="18.75" customHeight="1" x14ac:dyDescent="0.35">
      <c r="T8017" s="246">
        <f t="shared" si="163"/>
        <v>0</v>
      </c>
    </row>
    <row r="8018" spans="20:20" ht="18.75" customHeight="1" x14ac:dyDescent="0.35">
      <c r="T8018" s="246">
        <f t="shared" si="163"/>
        <v>0</v>
      </c>
    </row>
    <row r="8019" spans="20:20" ht="18.75" customHeight="1" x14ac:dyDescent="0.35">
      <c r="T8019" s="246">
        <f t="shared" si="163"/>
        <v>0</v>
      </c>
    </row>
    <row r="8020" spans="20:20" ht="18.75" customHeight="1" x14ac:dyDescent="0.35">
      <c r="T8020" s="246">
        <f t="shared" si="163"/>
        <v>0</v>
      </c>
    </row>
    <row r="8021" spans="20:20" ht="18.75" customHeight="1" x14ac:dyDescent="0.35">
      <c r="T8021" s="246">
        <f t="shared" si="163"/>
        <v>0</v>
      </c>
    </row>
    <row r="8022" spans="20:20" ht="18.75" customHeight="1" x14ac:dyDescent="0.35">
      <c r="T8022" s="246">
        <f t="shared" si="163"/>
        <v>0</v>
      </c>
    </row>
    <row r="8023" spans="20:20" ht="18.75" customHeight="1" x14ac:dyDescent="0.35">
      <c r="T8023" s="246">
        <f t="shared" si="163"/>
        <v>0</v>
      </c>
    </row>
    <row r="8024" spans="20:20" ht="18.75" customHeight="1" x14ac:dyDescent="0.35">
      <c r="T8024" s="246">
        <f t="shared" si="163"/>
        <v>0</v>
      </c>
    </row>
    <row r="8025" spans="20:20" ht="18.75" customHeight="1" x14ac:dyDescent="0.35">
      <c r="T8025" s="246">
        <f t="shared" si="163"/>
        <v>0</v>
      </c>
    </row>
    <row r="8026" spans="20:20" ht="18.75" customHeight="1" x14ac:dyDescent="0.35">
      <c r="T8026" s="246">
        <f t="shared" si="163"/>
        <v>0</v>
      </c>
    </row>
    <row r="8027" spans="20:20" ht="18.75" customHeight="1" x14ac:dyDescent="0.35">
      <c r="T8027" s="246">
        <f t="shared" si="163"/>
        <v>0</v>
      </c>
    </row>
    <row r="8028" spans="20:20" ht="18.75" customHeight="1" x14ac:dyDescent="0.35">
      <c r="T8028" s="246">
        <f t="shared" si="163"/>
        <v>0</v>
      </c>
    </row>
    <row r="8029" spans="20:20" ht="18.75" customHeight="1" x14ac:dyDescent="0.35">
      <c r="T8029" s="246">
        <f t="shared" si="163"/>
        <v>0</v>
      </c>
    </row>
    <row r="8030" spans="20:20" ht="18.75" customHeight="1" x14ac:dyDescent="0.35">
      <c r="T8030" s="246">
        <f t="shared" si="163"/>
        <v>0</v>
      </c>
    </row>
    <row r="8031" spans="20:20" ht="18.75" customHeight="1" x14ac:dyDescent="0.35">
      <c r="T8031" s="246">
        <f t="shared" si="163"/>
        <v>0</v>
      </c>
    </row>
    <row r="8032" spans="20:20" ht="18.75" customHeight="1" x14ac:dyDescent="0.35">
      <c r="T8032" s="246">
        <f t="shared" si="163"/>
        <v>0</v>
      </c>
    </row>
    <row r="8033" spans="20:20" ht="18.75" customHeight="1" x14ac:dyDescent="0.35">
      <c r="T8033" s="246">
        <f t="shared" si="163"/>
        <v>0</v>
      </c>
    </row>
    <row r="8034" spans="20:20" ht="18.75" customHeight="1" x14ac:dyDescent="0.35">
      <c r="T8034" s="246">
        <f t="shared" si="163"/>
        <v>0</v>
      </c>
    </row>
    <row r="8035" spans="20:20" ht="18.75" customHeight="1" x14ac:dyDescent="0.35">
      <c r="T8035" s="246">
        <f t="shared" si="163"/>
        <v>0</v>
      </c>
    </row>
    <row r="8036" spans="20:20" ht="18.75" customHeight="1" x14ac:dyDescent="0.35">
      <c r="T8036" s="246">
        <f t="shared" si="163"/>
        <v>0</v>
      </c>
    </row>
    <row r="8037" spans="20:20" ht="18.75" customHeight="1" x14ac:dyDescent="0.35">
      <c r="T8037" s="246">
        <f t="shared" si="163"/>
        <v>0</v>
      </c>
    </row>
    <row r="8038" spans="20:20" ht="18.75" customHeight="1" x14ac:dyDescent="0.35">
      <c r="T8038" s="246">
        <f t="shared" si="163"/>
        <v>0</v>
      </c>
    </row>
    <row r="8039" spans="20:20" ht="18.75" customHeight="1" x14ac:dyDescent="0.35">
      <c r="T8039" s="246">
        <f t="shared" si="163"/>
        <v>0</v>
      </c>
    </row>
    <row r="8040" spans="20:20" ht="18.75" customHeight="1" x14ac:dyDescent="0.35">
      <c r="T8040" s="246">
        <f t="shared" si="163"/>
        <v>0</v>
      </c>
    </row>
    <row r="8041" spans="20:20" ht="18.75" customHeight="1" x14ac:dyDescent="0.35">
      <c r="T8041" s="246">
        <f t="shared" si="163"/>
        <v>0</v>
      </c>
    </row>
    <row r="8042" spans="20:20" ht="18.75" customHeight="1" x14ac:dyDescent="0.35">
      <c r="T8042" s="246">
        <f t="shared" si="163"/>
        <v>0</v>
      </c>
    </row>
    <row r="8043" spans="20:20" ht="18.75" customHeight="1" x14ac:dyDescent="0.35">
      <c r="T8043" s="246">
        <f t="shared" si="163"/>
        <v>0</v>
      </c>
    </row>
    <row r="8044" spans="20:20" ht="18.75" customHeight="1" x14ac:dyDescent="0.35">
      <c r="T8044" s="246">
        <f t="shared" si="163"/>
        <v>0</v>
      </c>
    </row>
    <row r="8045" spans="20:20" ht="18.75" customHeight="1" x14ac:dyDescent="0.35">
      <c r="T8045" s="246">
        <f t="shared" si="163"/>
        <v>0</v>
      </c>
    </row>
    <row r="8046" spans="20:20" ht="18.75" customHeight="1" x14ac:dyDescent="0.35">
      <c r="T8046" s="246">
        <f t="shared" si="163"/>
        <v>0</v>
      </c>
    </row>
    <row r="8047" spans="20:20" ht="18.75" customHeight="1" x14ac:dyDescent="0.35">
      <c r="T8047" s="246">
        <f t="shared" si="163"/>
        <v>0</v>
      </c>
    </row>
    <row r="8048" spans="20:20" ht="18.75" customHeight="1" x14ac:dyDescent="0.35">
      <c r="T8048" s="246">
        <f t="shared" si="163"/>
        <v>0</v>
      </c>
    </row>
    <row r="8049" spans="20:20" ht="18.75" customHeight="1" x14ac:dyDescent="0.35">
      <c r="T8049" s="246">
        <f t="shared" si="163"/>
        <v>0</v>
      </c>
    </row>
    <row r="8050" spans="20:20" ht="18.75" customHeight="1" x14ac:dyDescent="0.35">
      <c r="T8050" s="246">
        <f t="shared" si="163"/>
        <v>0</v>
      </c>
    </row>
    <row r="8051" spans="20:20" ht="18.75" customHeight="1" x14ac:dyDescent="0.35">
      <c r="T8051" s="246">
        <f t="shared" si="163"/>
        <v>0</v>
      </c>
    </row>
    <row r="8052" spans="20:20" ht="18.75" customHeight="1" x14ac:dyDescent="0.35">
      <c r="T8052" s="246">
        <f t="shared" si="163"/>
        <v>0</v>
      </c>
    </row>
    <row r="8053" spans="20:20" ht="18.75" customHeight="1" x14ac:dyDescent="0.35">
      <c r="T8053" s="246">
        <f t="shared" si="163"/>
        <v>0</v>
      </c>
    </row>
    <row r="8054" spans="20:20" ht="18.75" customHeight="1" x14ac:dyDescent="0.35">
      <c r="T8054" s="246">
        <f t="shared" si="163"/>
        <v>0</v>
      </c>
    </row>
    <row r="8055" spans="20:20" ht="18.75" customHeight="1" x14ac:dyDescent="0.35">
      <c r="T8055" s="246">
        <f t="shared" si="163"/>
        <v>0</v>
      </c>
    </row>
    <row r="8056" spans="20:20" ht="18.75" customHeight="1" x14ac:dyDescent="0.35">
      <c r="T8056" s="246">
        <f t="shared" si="163"/>
        <v>0</v>
      </c>
    </row>
    <row r="8057" spans="20:20" ht="18.75" customHeight="1" x14ac:dyDescent="0.35">
      <c r="T8057" s="246">
        <f t="shared" si="163"/>
        <v>0</v>
      </c>
    </row>
    <row r="8058" spans="20:20" ht="18.75" customHeight="1" x14ac:dyDescent="0.35">
      <c r="T8058" s="246">
        <f t="shared" si="163"/>
        <v>0</v>
      </c>
    </row>
    <row r="8059" spans="20:20" ht="18.75" customHeight="1" x14ac:dyDescent="0.35">
      <c r="T8059" s="246">
        <f t="shared" si="163"/>
        <v>0</v>
      </c>
    </row>
    <row r="8060" spans="20:20" ht="18.75" customHeight="1" x14ac:dyDescent="0.35">
      <c r="T8060" s="246">
        <f t="shared" ref="T8060:T8123" si="164">R8060*0.01</f>
        <v>0</v>
      </c>
    </row>
    <row r="8061" spans="20:20" ht="18.75" customHeight="1" x14ac:dyDescent="0.35">
      <c r="T8061" s="246">
        <f t="shared" si="164"/>
        <v>0</v>
      </c>
    </row>
    <row r="8062" spans="20:20" ht="18.75" customHeight="1" x14ac:dyDescent="0.35">
      <c r="T8062" s="246">
        <f t="shared" si="164"/>
        <v>0</v>
      </c>
    </row>
    <row r="8063" spans="20:20" ht="18.75" customHeight="1" x14ac:dyDescent="0.35">
      <c r="T8063" s="246">
        <f t="shared" si="164"/>
        <v>0</v>
      </c>
    </row>
    <row r="8064" spans="20:20" ht="18.75" customHeight="1" x14ac:dyDescent="0.35">
      <c r="T8064" s="246">
        <f t="shared" si="164"/>
        <v>0</v>
      </c>
    </row>
    <row r="8065" spans="20:20" ht="18.75" customHeight="1" x14ac:dyDescent="0.35">
      <c r="T8065" s="246">
        <f t="shared" si="164"/>
        <v>0</v>
      </c>
    </row>
    <row r="8066" spans="20:20" ht="18.75" customHeight="1" x14ac:dyDescent="0.35">
      <c r="T8066" s="246">
        <f t="shared" si="164"/>
        <v>0</v>
      </c>
    </row>
    <row r="8067" spans="20:20" ht="18.75" customHeight="1" x14ac:dyDescent="0.35">
      <c r="T8067" s="246">
        <f t="shared" si="164"/>
        <v>0</v>
      </c>
    </row>
    <row r="8068" spans="20:20" ht="18.75" customHeight="1" x14ac:dyDescent="0.35">
      <c r="T8068" s="246">
        <f t="shared" si="164"/>
        <v>0</v>
      </c>
    </row>
    <row r="8069" spans="20:20" ht="18.75" customHeight="1" x14ac:dyDescent="0.35">
      <c r="T8069" s="246">
        <f t="shared" si="164"/>
        <v>0</v>
      </c>
    </row>
    <row r="8070" spans="20:20" ht="18.75" customHeight="1" x14ac:dyDescent="0.35">
      <c r="T8070" s="246">
        <f t="shared" si="164"/>
        <v>0</v>
      </c>
    </row>
    <row r="8071" spans="20:20" ht="18.75" customHeight="1" x14ac:dyDescent="0.35">
      <c r="T8071" s="246">
        <f t="shared" si="164"/>
        <v>0</v>
      </c>
    </row>
    <row r="8072" spans="20:20" ht="18.75" customHeight="1" x14ac:dyDescent="0.35">
      <c r="T8072" s="246">
        <f t="shared" si="164"/>
        <v>0</v>
      </c>
    </row>
    <row r="8073" spans="20:20" ht="18.75" customHeight="1" x14ac:dyDescent="0.35">
      <c r="T8073" s="246">
        <f t="shared" si="164"/>
        <v>0</v>
      </c>
    </row>
    <row r="8074" spans="20:20" ht="18.75" customHeight="1" x14ac:dyDescent="0.35">
      <c r="T8074" s="246">
        <f t="shared" si="164"/>
        <v>0</v>
      </c>
    </row>
    <row r="8075" spans="20:20" ht="18.75" customHeight="1" x14ac:dyDescent="0.35">
      <c r="T8075" s="246">
        <f t="shared" si="164"/>
        <v>0</v>
      </c>
    </row>
    <row r="8076" spans="20:20" ht="18.75" customHeight="1" x14ac:dyDescent="0.35">
      <c r="T8076" s="246">
        <f t="shared" si="164"/>
        <v>0</v>
      </c>
    </row>
    <row r="8077" spans="20:20" ht="18.75" customHeight="1" x14ac:dyDescent="0.35">
      <c r="T8077" s="246">
        <f t="shared" si="164"/>
        <v>0</v>
      </c>
    </row>
    <row r="8078" spans="20:20" ht="18.75" customHeight="1" x14ac:dyDescent="0.35">
      <c r="T8078" s="246">
        <f t="shared" si="164"/>
        <v>0</v>
      </c>
    </row>
    <row r="8079" spans="20:20" ht="18.75" customHeight="1" x14ac:dyDescent="0.35">
      <c r="T8079" s="246">
        <f t="shared" si="164"/>
        <v>0</v>
      </c>
    </row>
    <row r="8080" spans="20:20" ht="18.75" customHeight="1" x14ac:dyDescent="0.35">
      <c r="T8080" s="246">
        <f t="shared" si="164"/>
        <v>0</v>
      </c>
    </row>
    <row r="8081" spans="20:20" ht="18.75" customHeight="1" x14ac:dyDescent="0.35">
      <c r="T8081" s="246">
        <f t="shared" si="164"/>
        <v>0</v>
      </c>
    </row>
    <row r="8082" spans="20:20" ht="18.75" customHeight="1" x14ac:dyDescent="0.35">
      <c r="T8082" s="246">
        <f t="shared" si="164"/>
        <v>0</v>
      </c>
    </row>
    <row r="8083" spans="20:20" ht="18.75" customHeight="1" x14ac:dyDescent="0.35">
      <c r="T8083" s="246">
        <f t="shared" si="164"/>
        <v>0</v>
      </c>
    </row>
    <row r="8084" spans="20:20" ht="18.75" customHeight="1" x14ac:dyDescent="0.35">
      <c r="T8084" s="246">
        <f t="shared" si="164"/>
        <v>0</v>
      </c>
    </row>
    <row r="8085" spans="20:20" ht="18.75" customHeight="1" x14ac:dyDescent="0.35">
      <c r="T8085" s="246">
        <f t="shared" si="164"/>
        <v>0</v>
      </c>
    </row>
    <row r="8086" spans="20:20" ht="18.75" customHeight="1" x14ac:dyDescent="0.35">
      <c r="T8086" s="246">
        <f t="shared" si="164"/>
        <v>0</v>
      </c>
    </row>
    <row r="8087" spans="20:20" ht="18.75" customHeight="1" x14ac:dyDescent="0.35">
      <c r="T8087" s="246">
        <f t="shared" si="164"/>
        <v>0</v>
      </c>
    </row>
    <row r="8088" spans="20:20" ht="18.75" customHeight="1" x14ac:dyDescent="0.35">
      <c r="T8088" s="246">
        <f t="shared" si="164"/>
        <v>0</v>
      </c>
    </row>
    <row r="8089" spans="20:20" ht="18.75" customHeight="1" x14ac:dyDescent="0.35">
      <c r="T8089" s="246">
        <f t="shared" si="164"/>
        <v>0</v>
      </c>
    </row>
    <row r="8090" spans="20:20" ht="18.75" customHeight="1" x14ac:dyDescent="0.35">
      <c r="T8090" s="246">
        <f t="shared" si="164"/>
        <v>0</v>
      </c>
    </row>
    <row r="8091" spans="20:20" ht="18.75" customHeight="1" x14ac:dyDescent="0.35">
      <c r="T8091" s="246">
        <f t="shared" si="164"/>
        <v>0</v>
      </c>
    </row>
    <row r="8092" spans="20:20" ht="18.75" customHeight="1" x14ac:dyDescent="0.35">
      <c r="T8092" s="246">
        <f t="shared" si="164"/>
        <v>0</v>
      </c>
    </row>
    <row r="8093" spans="20:20" ht="18.75" customHeight="1" x14ac:dyDescent="0.35">
      <c r="T8093" s="246">
        <f t="shared" si="164"/>
        <v>0</v>
      </c>
    </row>
    <row r="8094" spans="20:20" ht="18.75" customHeight="1" x14ac:dyDescent="0.35">
      <c r="T8094" s="246">
        <f t="shared" si="164"/>
        <v>0</v>
      </c>
    </row>
    <row r="8095" spans="20:20" ht="18.75" customHeight="1" x14ac:dyDescent="0.35">
      <c r="T8095" s="246">
        <f t="shared" si="164"/>
        <v>0</v>
      </c>
    </row>
    <row r="8096" spans="20:20" ht="18.75" customHeight="1" x14ac:dyDescent="0.35">
      <c r="T8096" s="246">
        <f t="shared" si="164"/>
        <v>0</v>
      </c>
    </row>
    <row r="8097" spans="20:20" ht="18.75" customHeight="1" x14ac:dyDescent="0.35">
      <c r="T8097" s="246">
        <f t="shared" si="164"/>
        <v>0</v>
      </c>
    </row>
    <row r="8098" spans="20:20" ht="18.75" customHeight="1" x14ac:dyDescent="0.35">
      <c r="T8098" s="246">
        <f t="shared" si="164"/>
        <v>0</v>
      </c>
    </row>
    <row r="8099" spans="20:20" ht="18.75" customHeight="1" x14ac:dyDescent="0.35">
      <c r="T8099" s="246">
        <f t="shared" si="164"/>
        <v>0</v>
      </c>
    </row>
    <row r="8100" spans="20:20" ht="18.75" customHeight="1" x14ac:dyDescent="0.35">
      <c r="T8100" s="246">
        <f t="shared" si="164"/>
        <v>0</v>
      </c>
    </row>
    <row r="8101" spans="20:20" ht="18.75" customHeight="1" x14ac:dyDescent="0.35">
      <c r="T8101" s="246">
        <f t="shared" si="164"/>
        <v>0</v>
      </c>
    </row>
    <row r="8102" spans="20:20" ht="18.75" customHeight="1" x14ac:dyDescent="0.35">
      <c r="T8102" s="246">
        <f t="shared" si="164"/>
        <v>0</v>
      </c>
    </row>
    <row r="8103" spans="20:20" ht="18.75" customHeight="1" x14ac:dyDescent="0.35">
      <c r="T8103" s="246">
        <f t="shared" si="164"/>
        <v>0</v>
      </c>
    </row>
    <row r="8104" spans="20:20" ht="18.75" customHeight="1" x14ac:dyDescent="0.35">
      <c r="T8104" s="246">
        <f t="shared" si="164"/>
        <v>0</v>
      </c>
    </row>
    <row r="8105" spans="20:20" ht="18.75" customHeight="1" x14ac:dyDescent="0.35">
      <c r="T8105" s="246">
        <f t="shared" si="164"/>
        <v>0</v>
      </c>
    </row>
    <row r="8106" spans="20:20" ht="18.75" customHeight="1" x14ac:dyDescent="0.35">
      <c r="T8106" s="246">
        <f t="shared" si="164"/>
        <v>0</v>
      </c>
    </row>
    <row r="8107" spans="20:20" ht="18.75" customHeight="1" x14ac:dyDescent="0.35">
      <c r="T8107" s="246">
        <f t="shared" si="164"/>
        <v>0</v>
      </c>
    </row>
    <row r="8108" spans="20:20" ht="18.75" customHeight="1" x14ac:dyDescent="0.35">
      <c r="T8108" s="246">
        <f t="shared" si="164"/>
        <v>0</v>
      </c>
    </row>
    <row r="8109" spans="20:20" ht="18.75" customHeight="1" x14ac:dyDescent="0.35">
      <c r="T8109" s="246">
        <f t="shared" si="164"/>
        <v>0</v>
      </c>
    </row>
    <row r="8110" spans="20:20" ht="18.75" customHeight="1" x14ac:dyDescent="0.35">
      <c r="T8110" s="246">
        <f t="shared" si="164"/>
        <v>0</v>
      </c>
    </row>
    <row r="8111" spans="20:20" ht="18.75" customHeight="1" x14ac:dyDescent="0.35">
      <c r="T8111" s="246">
        <f t="shared" si="164"/>
        <v>0</v>
      </c>
    </row>
    <row r="8112" spans="20:20" ht="18.75" customHeight="1" x14ac:dyDescent="0.35">
      <c r="T8112" s="246">
        <f t="shared" si="164"/>
        <v>0</v>
      </c>
    </row>
    <row r="8113" spans="20:20" ht="18.75" customHeight="1" x14ac:dyDescent="0.35">
      <c r="T8113" s="246">
        <f t="shared" si="164"/>
        <v>0</v>
      </c>
    </row>
    <row r="8114" spans="20:20" ht="18.75" customHeight="1" x14ac:dyDescent="0.35">
      <c r="T8114" s="246">
        <f t="shared" si="164"/>
        <v>0</v>
      </c>
    </row>
    <row r="8115" spans="20:20" ht="18.75" customHeight="1" x14ac:dyDescent="0.35">
      <c r="T8115" s="246">
        <f t="shared" si="164"/>
        <v>0</v>
      </c>
    </row>
    <row r="8116" spans="20:20" ht="18.75" customHeight="1" x14ac:dyDescent="0.35">
      <c r="T8116" s="246">
        <f t="shared" si="164"/>
        <v>0</v>
      </c>
    </row>
    <row r="8117" spans="20:20" ht="18.75" customHeight="1" x14ac:dyDescent="0.35">
      <c r="T8117" s="246">
        <f t="shared" si="164"/>
        <v>0</v>
      </c>
    </row>
    <row r="8118" spans="20:20" ht="18.75" customHeight="1" x14ac:dyDescent="0.35">
      <c r="T8118" s="246">
        <f t="shared" si="164"/>
        <v>0</v>
      </c>
    </row>
    <row r="8119" spans="20:20" ht="18.75" customHeight="1" x14ac:dyDescent="0.35">
      <c r="T8119" s="246">
        <f t="shared" si="164"/>
        <v>0</v>
      </c>
    </row>
    <row r="8120" spans="20:20" ht="18.75" customHeight="1" x14ac:dyDescent="0.35">
      <c r="T8120" s="246">
        <f t="shared" si="164"/>
        <v>0</v>
      </c>
    </row>
    <row r="8121" spans="20:20" ht="18.75" customHeight="1" x14ac:dyDescent="0.35">
      <c r="T8121" s="246">
        <f t="shared" si="164"/>
        <v>0</v>
      </c>
    </row>
    <row r="8122" spans="20:20" ht="18.75" customHeight="1" x14ac:dyDescent="0.35">
      <c r="T8122" s="246">
        <f t="shared" si="164"/>
        <v>0</v>
      </c>
    </row>
    <row r="8123" spans="20:20" ht="18.75" customHeight="1" x14ac:dyDescent="0.35">
      <c r="T8123" s="246">
        <f t="shared" si="164"/>
        <v>0</v>
      </c>
    </row>
    <row r="8124" spans="20:20" ht="18.75" customHeight="1" x14ac:dyDescent="0.35">
      <c r="T8124" s="246">
        <f t="shared" ref="T8124:T8187" si="165">R8124*0.01</f>
        <v>0</v>
      </c>
    </row>
    <row r="8125" spans="20:20" ht="18.75" customHeight="1" x14ac:dyDescent="0.35">
      <c r="T8125" s="246">
        <f t="shared" si="165"/>
        <v>0</v>
      </c>
    </row>
    <row r="8126" spans="20:20" ht="18.75" customHeight="1" x14ac:dyDescent="0.35">
      <c r="T8126" s="246">
        <f t="shared" si="165"/>
        <v>0</v>
      </c>
    </row>
    <row r="8127" spans="20:20" ht="18.75" customHeight="1" x14ac:dyDescent="0.35">
      <c r="T8127" s="246">
        <f t="shared" si="165"/>
        <v>0</v>
      </c>
    </row>
    <row r="8128" spans="20:20" ht="18.75" customHeight="1" x14ac:dyDescent="0.35">
      <c r="T8128" s="246">
        <f t="shared" si="165"/>
        <v>0</v>
      </c>
    </row>
    <row r="8129" spans="20:20" ht="18.75" customHeight="1" x14ac:dyDescent="0.35">
      <c r="T8129" s="246">
        <f t="shared" si="165"/>
        <v>0</v>
      </c>
    </row>
    <row r="8130" spans="20:20" ht="18.75" customHeight="1" x14ac:dyDescent="0.35">
      <c r="T8130" s="246">
        <f t="shared" si="165"/>
        <v>0</v>
      </c>
    </row>
    <row r="8131" spans="20:20" ht="18.75" customHeight="1" x14ac:dyDescent="0.35">
      <c r="T8131" s="246">
        <f t="shared" si="165"/>
        <v>0</v>
      </c>
    </row>
    <row r="8132" spans="20:20" ht="18.75" customHeight="1" x14ac:dyDescent="0.35">
      <c r="T8132" s="246">
        <f t="shared" si="165"/>
        <v>0</v>
      </c>
    </row>
    <row r="8133" spans="20:20" ht="18.75" customHeight="1" x14ac:dyDescent="0.35">
      <c r="T8133" s="246">
        <f t="shared" si="165"/>
        <v>0</v>
      </c>
    </row>
    <row r="8134" spans="20:20" ht="18.75" customHeight="1" x14ac:dyDescent="0.35">
      <c r="T8134" s="246">
        <f t="shared" si="165"/>
        <v>0</v>
      </c>
    </row>
    <row r="8135" spans="20:20" ht="18.75" customHeight="1" x14ac:dyDescent="0.35">
      <c r="T8135" s="246">
        <f t="shared" si="165"/>
        <v>0</v>
      </c>
    </row>
    <row r="8136" spans="20:20" ht="18.75" customHeight="1" x14ac:dyDescent="0.35">
      <c r="T8136" s="246">
        <f t="shared" si="165"/>
        <v>0</v>
      </c>
    </row>
    <row r="8137" spans="20:20" ht="18.75" customHeight="1" x14ac:dyDescent="0.35">
      <c r="T8137" s="246">
        <f t="shared" si="165"/>
        <v>0</v>
      </c>
    </row>
    <row r="8138" spans="20:20" ht="18.75" customHeight="1" x14ac:dyDescent="0.35">
      <c r="T8138" s="246">
        <f t="shared" si="165"/>
        <v>0</v>
      </c>
    </row>
    <row r="8139" spans="20:20" ht="18.75" customHeight="1" x14ac:dyDescent="0.35">
      <c r="T8139" s="246">
        <f t="shared" si="165"/>
        <v>0</v>
      </c>
    </row>
    <row r="8140" spans="20:20" ht="18.75" customHeight="1" x14ac:dyDescent="0.35">
      <c r="T8140" s="246">
        <f t="shared" si="165"/>
        <v>0</v>
      </c>
    </row>
    <row r="8141" spans="20:20" ht="18.75" customHeight="1" x14ac:dyDescent="0.35">
      <c r="T8141" s="246">
        <f t="shared" si="165"/>
        <v>0</v>
      </c>
    </row>
    <row r="8142" spans="20:20" ht="18.75" customHeight="1" x14ac:dyDescent="0.35">
      <c r="T8142" s="246">
        <f t="shared" si="165"/>
        <v>0</v>
      </c>
    </row>
    <row r="8143" spans="20:20" ht="18.75" customHeight="1" x14ac:dyDescent="0.35">
      <c r="T8143" s="246">
        <f t="shared" si="165"/>
        <v>0</v>
      </c>
    </row>
    <row r="8144" spans="20:20" ht="18.75" customHeight="1" x14ac:dyDescent="0.35">
      <c r="T8144" s="246">
        <f t="shared" si="165"/>
        <v>0</v>
      </c>
    </row>
    <row r="8145" spans="20:20" ht="18.75" customHeight="1" x14ac:dyDescent="0.35">
      <c r="T8145" s="246">
        <f t="shared" si="165"/>
        <v>0</v>
      </c>
    </row>
    <row r="8146" spans="20:20" ht="18.75" customHeight="1" x14ac:dyDescent="0.35">
      <c r="T8146" s="246">
        <f t="shared" si="165"/>
        <v>0</v>
      </c>
    </row>
    <row r="8147" spans="20:20" ht="18.75" customHeight="1" x14ac:dyDescent="0.35">
      <c r="T8147" s="246">
        <f t="shared" si="165"/>
        <v>0</v>
      </c>
    </row>
    <row r="8148" spans="20:20" ht="18.75" customHeight="1" x14ac:dyDescent="0.35">
      <c r="T8148" s="246">
        <f t="shared" si="165"/>
        <v>0</v>
      </c>
    </row>
    <row r="8149" spans="20:20" ht="18.75" customHeight="1" x14ac:dyDescent="0.35">
      <c r="T8149" s="246">
        <f t="shared" si="165"/>
        <v>0</v>
      </c>
    </row>
    <row r="8150" spans="20:20" ht="18.75" customHeight="1" x14ac:dyDescent="0.35">
      <c r="T8150" s="246">
        <f t="shared" si="165"/>
        <v>0</v>
      </c>
    </row>
    <row r="8151" spans="20:20" ht="18.75" customHeight="1" x14ac:dyDescent="0.35">
      <c r="T8151" s="246">
        <f t="shared" si="165"/>
        <v>0</v>
      </c>
    </row>
    <row r="8152" spans="20:20" ht="18.75" customHeight="1" x14ac:dyDescent="0.35">
      <c r="T8152" s="246">
        <f t="shared" si="165"/>
        <v>0</v>
      </c>
    </row>
    <row r="8153" spans="20:20" ht="18.75" customHeight="1" x14ac:dyDescent="0.35">
      <c r="T8153" s="246">
        <f t="shared" si="165"/>
        <v>0</v>
      </c>
    </row>
    <row r="8154" spans="20:20" ht="18.75" customHeight="1" x14ac:dyDescent="0.35">
      <c r="T8154" s="246">
        <f t="shared" si="165"/>
        <v>0</v>
      </c>
    </row>
    <row r="8155" spans="20:20" ht="18.75" customHeight="1" x14ac:dyDescent="0.35">
      <c r="T8155" s="246">
        <f t="shared" si="165"/>
        <v>0</v>
      </c>
    </row>
    <row r="8156" spans="20:20" ht="18.75" customHeight="1" x14ac:dyDescent="0.35">
      <c r="T8156" s="246">
        <f t="shared" si="165"/>
        <v>0</v>
      </c>
    </row>
    <row r="8157" spans="20:20" ht="18.75" customHeight="1" x14ac:dyDescent="0.35">
      <c r="T8157" s="246">
        <f t="shared" si="165"/>
        <v>0</v>
      </c>
    </row>
    <row r="8158" spans="20:20" ht="18.75" customHeight="1" x14ac:dyDescent="0.35">
      <c r="T8158" s="246">
        <f t="shared" si="165"/>
        <v>0</v>
      </c>
    </row>
    <row r="8159" spans="20:20" ht="18.75" customHeight="1" x14ac:dyDescent="0.35">
      <c r="T8159" s="246">
        <f t="shared" si="165"/>
        <v>0</v>
      </c>
    </row>
    <row r="8160" spans="20:20" ht="18.75" customHeight="1" x14ac:dyDescent="0.35">
      <c r="T8160" s="246">
        <f t="shared" si="165"/>
        <v>0</v>
      </c>
    </row>
    <row r="8161" spans="20:20" ht="18.75" customHeight="1" x14ac:dyDescent="0.35">
      <c r="T8161" s="246">
        <f t="shared" si="165"/>
        <v>0</v>
      </c>
    </row>
    <row r="8162" spans="20:20" ht="18.75" customHeight="1" x14ac:dyDescent="0.35">
      <c r="T8162" s="246">
        <f t="shared" si="165"/>
        <v>0</v>
      </c>
    </row>
    <row r="8163" spans="20:20" ht="18.75" customHeight="1" x14ac:dyDescent="0.35">
      <c r="T8163" s="246">
        <f t="shared" si="165"/>
        <v>0</v>
      </c>
    </row>
    <row r="8164" spans="20:20" ht="18.75" customHeight="1" x14ac:dyDescent="0.35">
      <c r="T8164" s="246">
        <f t="shared" si="165"/>
        <v>0</v>
      </c>
    </row>
    <row r="8165" spans="20:20" ht="18.75" customHeight="1" x14ac:dyDescent="0.35">
      <c r="T8165" s="246">
        <f t="shared" si="165"/>
        <v>0</v>
      </c>
    </row>
    <row r="8166" spans="20:20" ht="18.75" customHeight="1" x14ac:dyDescent="0.35">
      <c r="T8166" s="246">
        <f t="shared" si="165"/>
        <v>0</v>
      </c>
    </row>
    <row r="8167" spans="20:20" ht="18.75" customHeight="1" x14ac:dyDescent="0.35">
      <c r="T8167" s="246">
        <f t="shared" si="165"/>
        <v>0</v>
      </c>
    </row>
    <row r="8168" spans="20:20" ht="18.75" customHeight="1" x14ac:dyDescent="0.35">
      <c r="T8168" s="246">
        <f t="shared" si="165"/>
        <v>0</v>
      </c>
    </row>
    <row r="8169" spans="20:20" ht="18.75" customHeight="1" x14ac:dyDescent="0.35">
      <c r="T8169" s="246">
        <f t="shared" si="165"/>
        <v>0</v>
      </c>
    </row>
    <row r="8170" spans="20:20" ht="18.75" customHeight="1" x14ac:dyDescent="0.35">
      <c r="T8170" s="246">
        <f t="shared" si="165"/>
        <v>0</v>
      </c>
    </row>
    <row r="8171" spans="20:20" ht="18.75" customHeight="1" x14ac:dyDescent="0.35">
      <c r="T8171" s="246">
        <f t="shared" si="165"/>
        <v>0</v>
      </c>
    </row>
    <row r="8172" spans="20:20" ht="18.75" customHeight="1" x14ac:dyDescent="0.35">
      <c r="T8172" s="246">
        <f t="shared" si="165"/>
        <v>0</v>
      </c>
    </row>
    <row r="8173" spans="20:20" ht="18.75" customHeight="1" x14ac:dyDescent="0.35">
      <c r="T8173" s="246">
        <f t="shared" si="165"/>
        <v>0</v>
      </c>
    </row>
    <row r="8174" spans="20:20" ht="18.75" customHeight="1" x14ac:dyDescent="0.35">
      <c r="T8174" s="246">
        <f t="shared" si="165"/>
        <v>0</v>
      </c>
    </row>
    <row r="8175" spans="20:20" ht="18.75" customHeight="1" x14ac:dyDescent="0.35">
      <c r="T8175" s="246">
        <f t="shared" si="165"/>
        <v>0</v>
      </c>
    </row>
    <row r="8176" spans="20:20" ht="18.75" customHeight="1" x14ac:dyDescent="0.35">
      <c r="T8176" s="246">
        <f t="shared" si="165"/>
        <v>0</v>
      </c>
    </row>
    <row r="8177" spans="20:20" ht="18.75" customHeight="1" x14ac:dyDescent="0.35">
      <c r="T8177" s="246">
        <f t="shared" si="165"/>
        <v>0</v>
      </c>
    </row>
    <row r="8178" spans="20:20" ht="18.75" customHeight="1" x14ac:dyDescent="0.35">
      <c r="T8178" s="246">
        <f t="shared" si="165"/>
        <v>0</v>
      </c>
    </row>
    <row r="8179" spans="20:20" ht="18.75" customHeight="1" x14ac:dyDescent="0.35">
      <c r="T8179" s="246">
        <f t="shared" si="165"/>
        <v>0</v>
      </c>
    </row>
    <row r="8180" spans="20:20" ht="18.75" customHeight="1" x14ac:dyDescent="0.35">
      <c r="T8180" s="246">
        <f t="shared" si="165"/>
        <v>0</v>
      </c>
    </row>
    <row r="8181" spans="20:20" ht="18.75" customHeight="1" x14ac:dyDescent="0.35">
      <c r="T8181" s="246">
        <f t="shared" si="165"/>
        <v>0</v>
      </c>
    </row>
    <row r="8182" spans="20:20" ht="18.75" customHeight="1" x14ac:dyDescent="0.35">
      <c r="T8182" s="246">
        <f t="shared" si="165"/>
        <v>0</v>
      </c>
    </row>
    <row r="8183" spans="20:20" ht="18.75" customHeight="1" x14ac:dyDescent="0.35">
      <c r="T8183" s="246">
        <f t="shared" si="165"/>
        <v>0</v>
      </c>
    </row>
    <row r="8184" spans="20:20" ht="18.75" customHeight="1" x14ac:dyDescent="0.35">
      <c r="T8184" s="246">
        <f t="shared" si="165"/>
        <v>0</v>
      </c>
    </row>
    <row r="8185" spans="20:20" ht="18.75" customHeight="1" x14ac:dyDescent="0.35">
      <c r="T8185" s="246">
        <f t="shared" si="165"/>
        <v>0</v>
      </c>
    </row>
    <row r="8186" spans="20:20" ht="18.75" customHeight="1" x14ac:dyDescent="0.35">
      <c r="T8186" s="246">
        <f t="shared" si="165"/>
        <v>0</v>
      </c>
    </row>
    <row r="8187" spans="20:20" ht="18.75" customHeight="1" x14ac:dyDescent="0.35">
      <c r="T8187" s="246">
        <f t="shared" si="165"/>
        <v>0</v>
      </c>
    </row>
    <row r="8188" spans="20:20" ht="18.75" customHeight="1" x14ac:dyDescent="0.35">
      <c r="T8188" s="246">
        <f t="shared" ref="T8188:T8251" si="166">R8188*0.01</f>
        <v>0</v>
      </c>
    </row>
    <row r="8189" spans="20:20" ht="18.75" customHeight="1" x14ac:dyDescent="0.35">
      <c r="T8189" s="246">
        <f t="shared" si="166"/>
        <v>0</v>
      </c>
    </row>
    <row r="8190" spans="20:20" ht="18.75" customHeight="1" x14ac:dyDescent="0.35">
      <c r="T8190" s="246">
        <f t="shared" si="166"/>
        <v>0</v>
      </c>
    </row>
    <row r="8191" spans="20:20" ht="18.75" customHeight="1" x14ac:dyDescent="0.35">
      <c r="T8191" s="246">
        <f t="shared" si="166"/>
        <v>0</v>
      </c>
    </row>
    <row r="8192" spans="20:20" ht="18.75" customHeight="1" x14ac:dyDescent="0.35">
      <c r="T8192" s="246">
        <f t="shared" si="166"/>
        <v>0</v>
      </c>
    </row>
    <row r="8193" spans="20:20" ht="18.75" customHeight="1" x14ac:dyDescent="0.35">
      <c r="T8193" s="246">
        <f t="shared" si="166"/>
        <v>0</v>
      </c>
    </row>
    <row r="8194" spans="20:20" ht="18.75" customHeight="1" x14ac:dyDescent="0.35">
      <c r="T8194" s="246">
        <f t="shared" si="166"/>
        <v>0</v>
      </c>
    </row>
    <row r="8195" spans="20:20" ht="18.75" customHeight="1" x14ac:dyDescent="0.35">
      <c r="T8195" s="246">
        <f t="shared" si="166"/>
        <v>0</v>
      </c>
    </row>
    <row r="8196" spans="20:20" ht="18.75" customHeight="1" x14ac:dyDescent="0.35">
      <c r="T8196" s="246">
        <f t="shared" si="166"/>
        <v>0</v>
      </c>
    </row>
    <row r="8197" spans="20:20" ht="18.75" customHeight="1" x14ac:dyDescent="0.35">
      <c r="T8197" s="246">
        <f t="shared" si="166"/>
        <v>0</v>
      </c>
    </row>
    <row r="8198" spans="20:20" ht="18.75" customHeight="1" x14ac:dyDescent="0.35">
      <c r="T8198" s="246">
        <f t="shared" si="166"/>
        <v>0</v>
      </c>
    </row>
    <row r="8199" spans="20:20" ht="18.75" customHeight="1" x14ac:dyDescent="0.35">
      <c r="T8199" s="246">
        <f t="shared" si="166"/>
        <v>0</v>
      </c>
    </row>
    <row r="8200" spans="20:20" ht="18.75" customHeight="1" x14ac:dyDescent="0.35">
      <c r="T8200" s="246">
        <f t="shared" si="166"/>
        <v>0</v>
      </c>
    </row>
    <row r="8201" spans="20:20" ht="18.75" customHeight="1" x14ac:dyDescent="0.35">
      <c r="T8201" s="246">
        <f t="shared" si="166"/>
        <v>0</v>
      </c>
    </row>
    <row r="8202" spans="20:20" ht="18.75" customHeight="1" x14ac:dyDescent="0.35">
      <c r="T8202" s="246">
        <f t="shared" si="166"/>
        <v>0</v>
      </c>
    </row>
    <row r="8203" spans="20:20" ht="18.75" customHeight="1" x14ac:dyDescent="0.35">
      <c r="T8203" s="246">
        <f t="shared" si="166"/>
        <v>0</v>
      </c>
    </row>
    <row r="8204" spans="20:20" ht="18.75" customHeight="1" x14ac:dyDescent="0.35">
      <c r="T8204" s="246">
        <f t="shared" si="166"/>
        <v>0</v>
      </c>
    </row>
    <row r="8205" spans="20:20" ht="18.75" customHeight="1" x14ac:dyDescent="0.35">
      <c r="T8205" s="246">
        <f t="shared" si="166"/>
        <v>0</v>
      </c>
    </row>
    <row r="8206" spans="20:20" ht="18.75" customHeight="1" x14ac:dyDescent="0.35">
      <c r="T8206" s="246">
        <f t="shared" si="166"/>
        <v>0</v>
      </c>
    </row>
    <row r="8207" spans="20:20" ht="18.75" customHeight="1" x14ac:dyDescent="0.35">
      <c r="T8207" s="246">
        <f t="shared" si="166"/>
        <v>0</v>
      </c>
    </row>
    <row r="8208" spans="20:20" ht="18.75" customHeight="1" x14ac:dyDescent="0.35">
      <c r="T8208" s="246">
        <f t="shared" si="166"/>
        <v>0</v>
      </c>
    </row>
    <row r="8209" spans="20:20" ht="18.75" customHeight="1" x14ac:dyDescent="0.35">
      <c r="T8209" s="246">
        <f t="shared" si="166"/>
        <v>0</v>
      </c>
    </row>
    <row r="8210" spans="20:20" ht="18.75" customHeight="1" x14ac:dyDescent="0.35">
      <c r="T8210" s="246">
        <f t="shared" si="166"/>
        <v>0</v>
      </c>
    </row>
    <row r="8211" spans="20:20" ht="18.75" customHeight="1" x14ac:dyDescent="0.35">
      <c r="T8211" s="246">
        <f t="shared" si="166"/>
        <v>0</v>
      </c>
    </row>
    <row r="8212" spans="20:20" ht="18.75" customHeight="1" x14ac:dyDescent="0.35">
      <c r="T8212" s="246">
        <f t="shared" si="166"/>
        <v>0</v>
      </c>
    </row>
    <row r="8213" spans="20:20" ht="18.75" customHeight="1" x14ac:dyDescent="0.35">
      <c r="T8213" s="246">
        <f t="shared" si="166"/>
        <v>0</v>
      </c>
    </row>
    <row r="8214" spans="20:20" ht="18.75" customHeight="1" x14ac:dyDescent="0.35">
      <c r="T8214" s="246">
        <f t="shared" si="166"/>
        <v>0</v>
      </c>
    </row>
    <row r="8215" spans="20:20" ht="18.75" customHeight="1" x14ac:dyDescent="0.35">
      <c r="T8215" s="246">
        <f t="shared" si="166"/>
        <v>0</v>
      </c>
    </row>
    <row r="8216" spans="20:20" ht="18.75" customHeight="1" x14ac:dyDescent="0.35">
      <c r="T8216" s="246">
        <f t="shared" si="166"/>
        <v>0</v>
      </c>
    </row>
    <row r="8217" spans="20:20" ht="18.75" customHeight="1" x14ac:dyDescent="0.35">
      <c r="T8217" s="246">
        <f t="shared" si="166"/>
        <v>0</v>
      </c>
    </row>
    <row r="8218" spans="20:20" ht="18.75" customHeight="1" x14ac:dyDescent="0.35">
      <c r="T8218" s="246">
        <f t="shared" si="166"/>
        <v>0</v>
      </c>
    </row>
    <row r="8219" spans="20:20" ht="18.75" customHeight="1" x14ac:dyDescent="0.35">
      <c r="T8219" s="246">
        <f t="shared" si="166"/>
        <v>0</v>
      </c>
    </row>
    <row r="8220" spans="20:20" ht="18.75" customHeight="1" x14ac:dyDescent="0.35">
      <c r="T8220" s="246">
        <f t="shared" si="166"/>
        <v>0</v>
      </c>
    </row>
    <row r="8221" spans="20:20" ht="18.75" customHeight="1" x14ac:dyDescent="0.35">
      <c r="T8221" s="246">
        <f t="shared" si="166"/>
        <v>0</v>
      </c>
    </row>
    <row r="8222" spans="20:20" ht="18.75" customHeight="1" x14ac:dyDescent="0.35">
      <c r="T8222" s="246">
        <f t="shared" si="166"/>
        <v>0</v>
      </c>
    </row>
    <row r="8223" spans="20:20" ht="18.75" customHeight="1" x14ac:dyDescent="0.35">
      <c r="T8223" s="246">
        <f t="shared" si="166"/>
        <v>0</v>
      </c>
    </row>
    <row r="8224" spans="20:20" ht="18.75" customHeight="1" x14ac:dyDescent="0.35">
      <c r="T8224" s="246">
        <f t="shared" si="166"/>
        <v>0</v>
      </c>
    </row>
    <row r="8225" spans="20:20" ht="18.75" customHeight="1" x14ac:dyDescent="0.35">
      <c r="T8225" s="246">
        <f t="shared" si="166"/>
        <v>0</v>
      </c>
    </row>
    <row r="8226" spans="20:20" ht="18.75" customHeight="1" x14ac:dyDescent="0.35">
      <c r="T8226" s="246">
        <f t="shared" si="166"/>
        <v>0</v>
      </c>
    </row>
    <row r="8227" spans="20:20" ht="18.75" customHeight="1" x14ac:dyDescent="0.35">
      <c r="T8227" s="246">
        <f t="shared" si="166"/>
        <v>0</v>
      </c>
    </row>
    <row r="8228" spans="20:20" ht="18.75" customHeight="1" x14ac:dyDescent="0.35">
      <c r="T8228" s="246">
        <f t="shared" si="166"/>
        <v>0</v>
      </c>
    </row>
    <row r="8229" spans="20:20" ht="18.75" customHeight="1" x14ac:dyDescent="0.35">
      <c r="T8229" s="246">
        <f t="shared" si="166"/>
        <v>0</v>
      </c>
    </row>
    <row r="8230" spans="20:20" ht="18.75" customHeight="1" x14ac:dyDescent="0.35">
      <c r="T8230" s="246">
        <f t="shared" si="166"/>
        <v>0</v>
      </c>
    </row>
    <row r="8231" spans="20:20" ht="18.75" customHeight="1" x14ac:dyDescent="0.35">
      <c r="T8231" s="246">
        <f t="shared" si="166"/>
        <v>0</v>
      </c>
    </row>
    <row r="8232" spans="20:20" ht="18.75" customHeight="1" x14ac:dyDescent="0.35">
      <c r="T8232" s="246">
        <f t="shared" si="166"/>
        <v>0</v>
      </c>
    </row>
    <row r="8233" spans="20:20" ht="18.75" customHeight="1" x14ac:dyDescent="0.35">
      <c r="T8233" s="246">
        <f t="shared" si="166"/>
        <v>0</v>
      </c>
    </row>
    <row r="8234" spans="20:20" ht="18.75" customHeight="1" x14ac:dyDescent="0.35">
      <c r="T8234" s="246">
        <f t="shared" si="166"/>
        <v>0</v>
      </c>
    </row>
    <row r="8235" spans="20:20" ht="18.75" customHeight="1" x14ac:dyDescent="0.35">
      <c r="T8235" s="246">
        <f t="shared" si="166"/>
        <v>0</v>
      </c>
    </row>
    <row r="8236" spans="20:20" ht="18.75" customHeight="1" x14ac:dyDescent="0.35">
      <c r="T8236" s="246">
        <f t="shared" si="166"/>
        <v>0</v>
      </c>
    </row>
    <row r="8237" spans="20:20" ht="18.75" customHeight="1" x14ac:dyDescent="0.35">
      <c r="T8237" s="246">
        <f t="shared" si="166"/>
        <v>0</v>
      </c>
    </row>
    <row r="8238" spans="20:20" ht="18.75" customHeight="1" x14ac:dyDescent="0.35">
      <c r="T8238" s="246">
        <f t="shared" si="166"/>
        <v>0</v>
      </c>
    </row>
    <row r="8239" spans="20:20" ht="18.75" customHeight="1" x14ac:dyDescent="0.35">
      <c r="T8239" s="246">
        <f t="shared" si="166"/>
        <v>0</v>
      </c>
    </row>
    <row r="8240" spans="20:20" ht="18.75" customHeight="1" x14ac:dyDescent="0.35">
      <c r="T8240" s="246">
        <f t="shared" si="166"/>
        <v>0</v>
      </c>
    </row>
    <row r="8241" spans="20:20" ht="18.75" customHeight="1" x14ac:dyDescent="0.35">
      <c r="T8241" s="246">
        <f t="shared" si="166"/>
        <v>0</v>
      </c>
    </row>
    <row r="8242" spans="20:20" ht="18.75" customHeight="1" x14ac:dyDescent="0.35">
      <c r="T8242" s="246">
        <f t="shared" si="166"/>
        <v>0</v>
      </c>
    </row>
    <row r="8243" spans="20:20" ht="18.75" customHeight="1" x14ac:dyDescent="0.35">
      <c r="T8243" s="246">
        <f t="shared" si="166"/>
        <v>0</v>
      </c>
    </row>
    <row r="8244" spans="20:20" ht="18.75" customHeight="1" x14ac:dyDescent="0.35">
      <c r="T8244" s="246">
        <f t="shared" si="166"/>
        <v>0</v>
      </c>
    </row>
    <row r="8245" spans="20:20" ht="18.75" customHeight="1" x14ac:dyDescent="0.35">
      <c r="T8245" s="246">
        <f t="shared" si="166"/>
        <v>0</v>
      </c>
    </row>
    <row r="8246" spans="20:20" ht="18.75" customHeight="1" x14ac:dyDescent="0.35">
      <c r="T8246" s="246">
        <f t="shared" si="166"/>
        <v>0</v>
      </c>
    </row>
    <row r="8247" spans="20:20" ht="18.75" customHeight="1" x14ac:dyDescent="0.35">
      <c r="T8247" s="246">
        <f t="shared" si="166"/>
        <v>0</v>
      </c>
    </row>
    <row r="8248" spans="20:20" ht="18.75" customHeight="1" x14ac:dyDescent="0.35">
      <c r="T8248" s="246">
        <f t="shared" si="166"/>
        <v>0</v>
      </c>
    </row>
    <row r="8249" spans="20:20" ht="18.75" customHeight="1" x14ac:dyDescent="0.35">
      <c r="T8249" s="246">
        <f t="shared" si="166"/>
        <v>0</v>
      </c>
    </row>
    <row r="8250" spans="20:20" ht="18.75" customHeight="1" x14ac:dyDescent="0.35">
      <c r="T8250" s="246">
        <f t="shared" si="166"/>
        <v>0</v>
      </c>
    </row>
    <row r="8251" spans="20:20" ht="18.75" customHeight="1" x14ac:dyDescent="0.35">
      <c r="T8251" s="246">
        <f t="shared" si="166"/>
        <v>0</v>
      </c>
    </row>
    <row r="8252" spans="20:20" ht="18.75" customHeight="1" x14ac:dyDescent="0.35">
      <c r="T8252" s="246">
        <f t="shared" ref="T8252:T8315" si="167">R8252*0.01</f>
        <v>0</v>
      </c>
    </row>
    <row r="8253" spans="20:20" ht="18.75" customHeight="1" x14ac:dyDescent="0.35">
      <c r="T8253" s="246">
        <f t="shared" si="167"/>
        <v>0</v>
      </c>
    </row>
    <row r="8254" spans="20:20" ht="18.75" customHeight="1" x14ac:dyDescent="0.35">
      <c r="T8254" s="246">
        <f t="shared" si="167"/>
        <v>0</v>
      </c>
    </row>
    <row r="8255" spans="20:20" ht="18.75" customHeight="1" x14ac:dyDescent="0.35">
      <c r="T8255" s="246">
        <f t="shared" si="167"/>
        <v>0</v>
      </c>
    </row>
    <row r="8256" spans="20:20" ht="18.75" customHeight="1" x14ac:dyDescent="0.35">
      <c r="T8256" s="246">
        <f t="shared" si="167"/>
        <v>0</v>
      </c>
    </row>
    <row r="8257" spans="20:20" ht="18.75" customHeight="1" x14ac:dyDescent="0.35">
      <c r="T8257" s="246">
        <f t="shared" si="167"/>
        <v>0</v>
      </c>
    </row>
    <row r="8258" spans="20:20" ht="18.75" customHeight="1" x14ac:dyDescent="0.35">
      <c r="T8258" s="246">
        <f t="shared" si="167"/>
        <v>0</v>
      </c>
    </row>
    <row r="8259" spans="20:20" ht="18.75" customHeight="1" x14ac:dyDescent="0.35">
      <c r="T8259" s="246">
        <f t="shared" si="167"/>
        <v>0</v>
      </c>
    </row>
    <row r="8260" spans="20:20" ht="18.75" customHeight="1" x14ac:dyDescent="0.35">
      <c r="T8260" s="246">
        <f t="shared" si="167"/>
        <v>0</v>
      </c>
    </row>
    <row r="8261" spans="20:20" ht="18.75" customHeight="1" x14ac:dyDescent="0.35">
      <c r="T8261" s="246">
        <f t="shared" si="167"/>
        <v>0</v>
      </c>
    </row>
    <row r="8262" spans="20:20" ht="18.75" customHeight="1" x14ac:dyDescent="0.35">
      <c r="T8262" s="246">
        <f t="shared" si="167"/>
        <v>0</v>
      </c>
    </row>
    <row r="8263" spans="20:20" ht="18.75" customHeight="1" x14ac:dyDescent="0.35">
      <c r="T8263" s="246">
        <f t="shared" si="167"/>
        <v>0</v>
      </c>
    </row>
    <row r="8264" spans="20:20" ht="18.75" customHeight="1" x14ac:dyDescent="0.35">
      <c r="T8264" s="246">
        <f t="shared" si="167"/>
        <v>0</v>
      </c>
    </row>
    <row r="8265" spans="20:20" ht="18.75" customHeight="1" x14ac:dyDescent="0.35">
      <c r="T8265" s="246">
        <f t="shared" si="167"/>
        <v>0</v>
      </c>
    </row>
    <row r="8266" spans="20:20" ht="18.75" customHeight="1" x14ac:dyDescent="0.35">
      <c r="T8266" s="246">
        <f t="shared" si="167"/>
        <v>0</v>
      </c>
    </row>
    <row r="8267" spans="20:20" ht="18.75" customHeight="1" x14ac:dyDescent="0.35">
      <c r="T8267" s="246">
        <f t="shared" si="167"/>
        <v>0</v>
      </c>
    </row>
    <row r="8268" spans="20:20" ht="18.75" customHeight="1" x14ac:dyDescent="0.35">
      <c r="T8268" s="246">
        <f t="shared" si="167"/>
        <v>0</v>
      </c>
    </row>
    <row r="8269" spans="20:20" ht="18.75" customHeight="1" x14ac:dyDescent="0.35">
      <c r="T8269" s="246">
        <f t="shared" si="167"/>
        <v>0</v>
      </c>
    </row>
    <row r="8270" spans="20:20" ht="18.75" customHeight="1" x14ac:dyDescent="0.35">
      <c r="T8270" s="246">
        <f t="shared" si="167"/>
        <v>0</v>
      </c>
    </row>
    <row r="8271" spans="20:20" ht="18.75" customHeight="1" x14ac:dyDescent="0.35">
      <c r="T8271" s="246">
        <f t="shared" si="167"/>
        <v>0</v>
      </c>
    </row>
    <row r="8272" spans="20:20" ht="18.75" customHeight="1" x14ac:dyDescent="0.35">
      <c r="T8272" s="246">
        <f t="shared" si="167"/>
        <v>0</v>
      </c>
    </row>
    <row r="8273" spans="20:20" ht="18.75" customHeight="1" x14ac:dyDescent="0.35">
      <c r="T8273" s="246">
        <f t="shared" si="167"/>
        <v>0</v>
      </c>
    </row>
    <row r="8274" spans="20:20" ht="18.75" customHeight="1" x14ac:dyDescent="0.35">
      <c r="T8274" s="246">
        <f t="shared" si="167"/>
        <v>0</v>
      </c>
    </row>
    <row r="8275" spans="20:20" ht="18.75" customHeight="1" x14ac:dyDescent="0.35">
      <c r="T8275" s="246">
        <f t="shared" si="167"/>
        <v>0</v>
      </c>
    </row>
    <row r="8276" spans="20:20" ht="18.75" customHeight="1" x14ac:dyDescent="0.35">
      <c r="T8276" s="246">
        <f t="shared" si="167"/>
        <v>0</v>
      </c>
    </row>
    <row r="8277" spans="20:20" ht="18.75" customHeight="1" x14ac:dyDescent="0.35">
      <c r="T8277" s="246">
        <f t="shared" si="167"/>
        <v>0</v>
      </c>
    </row>
    <row r="8278" spans="20:20" ht="18.75" customHeight="1" x14ac:dyDescent="0.35">
      <c r="T8278" s="246">
        <f t="shared" si="167"/>
        <v>0</v>
      </c>
    </row>
    <row r="8279" spans="20:20" ht="18.75" customHeight="1" x14ac:dyDescent="0.35">
      <c r="T8279" s="246">
        <f t="shared" si="167"/>
        <v>0</v>
      </c>
    </row>
    <row r="8280" spans="20:20" ht="18.75" customHeight="1" x14ac:dyDescent="0.35">
      <c r="T8280" s="246">
        <f t="shared" si="167"/>
        <v>0</v>
      </c>
    </row>
    <row r="8281" spans="20:20" ht="18.75" customHeight="1" x14ac:dyDescent="0.35">
      <c r="T8281" s="246">
        <f t="shared" si="167"/>
        <v>0</v>
      </c>
    </row>
    <row r="8282" spans="20:20" ht="18.75" customHeight="1" x14ac:dyDescent="0.35">
      <c r="T8282" s="246">
        <f t="shared" si="167"/>
        <v>0</v>
      </c>
    </row>
    <row r="8283" spans="20:20" ht="18.75" customHeight="1" x14ac:dyDescent="0.35">
      <c r="T8283" s="246">
        <f t="shared" si="167"/>
        <v>0</v>
      </c>
    </row>
    <row r="8284" spans="20:20" ht="18.75" customHeight="1" x14ac:dyDescent="0.35">
      <c r="T8284" s="246">
        <f t="shared" si="167"/>
        <v>0</v>
      </c>
    </row>
    <row r="8285" spans="20:20" ht="18.75" customHeight="1" x14ac:dyDescent="0.35">
      <c r="T8285" s="246">
        <f t="shared" si="167"/>
        <v>0</v>
      </c>
    </row>
    <row r="8286" spans="20:20" ht="18.75" customHeight="1" x14ac:dyDescent="0.35">
      <c r="T8286" s="246">
        <f t="shared" si="167"/>
        <v>0</v>
      </c>
    </row>
    <row r="8287" spans="20:20" ht="18.75" customHeight="1" x14ac:dyDescent="0.35">
      <c r="T8287" s="246">
        <f t="shared" si="167"/>
        <v>0</v>
      </c>
    </row>
    <row r="8288" spans="20:20" ht="18.75" customHeight="1" x14ac:dyDescent="0.35">
      <c r="T8288" s="246">
        <f t="shared" si="167"/>
        <v>0</v>
      </c>
    </row>
    <row r="8289" spans="20:20" ht="18.75" customHeight="1" x14ac:dyDescent="0.35">
      <c r="T8289" s="246">
        <f t="shared" si="167"/>
        <v>0</v>
      </c>
    </row>
    <row r="8290" spans="20:20" ht="18.75" customHeight="1" x14ac:dyDescent="0.35">
      <c r="T8290" s="246">
        <f t="shared" si="167"/>
        <v>0</v>
      </c>
    </row>
    <row r="8291" spans="20:20" ht="18.75" customHeight="1" x14ac:dyDescent="0.35">
      <c r="T8291" s="246">
        <f t="shared" si="167"/>
        <v>0</v>
      </c>
    </row>
    <row r="8292" spans="20:20" ht="18.75" customHeight="1" x14ac:dyDescent="0.35">
      <c r="T8292" s="246">
        <f t="shared" si="167"/>
        <v>0</v>
      </c>
    </row>
    <row r="8293" spans="20:20" ht="18.75" customHeight="1" x14ac:dyDescent="0.35">
      <c r="T8293" s="246">
        <f t="shared" si="167"/>
        <v>0</v>
      </c>
    </row>
    <row r="8294" spans="20:20" ht="18.75" customHeight="1" x14ac:dyDescent="0.35">
      <c r="T8294" s="246">
        <f t="shared" si="167"/>
        <v>0</v>
      </c>
    </row>
    <row r="8295" spans="20:20" ht="18.75" customHeight="1" x14ac:dyDescent="0.35">
      <c r="T8295" s="246">
        <f t="shared" si="167"/>
        <v>0</v>
      </c>
    </row>
    <row r="8296" spans="20:20" ht="18.75" customHeight="1" x14ac:dyDescent="0.35">
      <c r="T8296" s="246">
        <f t="shared" si="167"/>
        <v>0</v>
      </c>
    </row>
    <row r="8297" spans="20:20" ht="18.75" customHeight="1" x14ac:dyDescent="0.35">
      <c r="T8297" s="246">
        <f t="shared" si="167"/>
        <v>0</v>
      </c>
    </row>
    <row r="8298" spans="20:20" ht="18.75" customHeight="1" x14ac:dyDescent="0.35">
      <c r="T8298" s="246">
        <f t="shared" si="167"/>
        <v>0</v>
      </c>
    </row>
    <row r="8299" spans="20:20" ht="18.75" customHeight="1" x14ac:dyDescent="0.35">
      <c r="T8299" s="246">
        <f t="shared" si="167"/>
        <v>0</v>
      </c>
    </row>
    <row r="8300" spans="20:20" ht="18.75" customHeight="1" x14ac:dyDescent="0.35">
      <c r="T8300" s="246">
        <f t="shared" si="167"/>
        <v>0</v>
      </c>
    </row>
    <row r="8301" spans="20:20" ht="18.75" customHeight="1" x14ac:dyDescent="0.35">
      <c r="T8301" s="246">
        <f t="shared" si="167"/>
        <v>0</v>
      </c>
    </row>
    <row r="8302" spans="20:20" ht="18.75" customHeight="1" x14ac:dyDescent="0.35">
      <c r="T8302" s="246">
        <f t="shared" si="167"/>
        <v>0</v>
      </c>
    </row>
    <row r="8303" spans="20:20" ht="18.75" customHeight="1" x14ac:dyDescent="0.35">
      <c r="T8303" s="246">
        <f t="shared" si="167"/>
        <v>0</v>
      </c>
    </row>
    <row r="8304" spans="20:20" ht="18.75" customHeight="1" x14ac:dyDescent="0.35">
      <c r="T8304" s="246">
        <f t="shared" si="167"/>
        <v>0</v>
      </c>
    </row>
    <row r="8305" spans="20:20" ht="18.75" customHeight="1" x14ac:dyDescent="0.35">
      <c r="T8305" s="246">
        <f t="shared" si="167"/>
        <v>0</v>
      </c>
    </row>
    <row r="8306" spans="20:20" ht="18.75" customHeight="1" x14ac:dyDescent="0.35">
      <c r="T8306" s="246">
        <f t="shared" si="167"/>
        <v>0</v>
      </c>
    </row>
    <row r="8307" spans="20:20" ht="18.75" customHeight="1" x14ac:dyDescent="0.35">
      <c r="T8307" s="246">
        <f t="shared" si="167"/>
        <v>0</v>
      </c>
    </row>
    <row r="8308" spans="20:20" ht="18.75" customHeight="1" x14ac:dyDescent="0.35">
      <c r="T8308" s="246">
        <f t="shared" si="167"/>
        <v>0</v>
      </c>
    </row>
    <row r="8309" spans="20:20" ht="18.75" customHeight="1" x14ac:dyDescent="0.35">
      <c r="T8309" s="246">
        <f t="shared" si="167"/>
        <v>0</v>
      </c>
    </row>
    <row r="8310" spans="20:20" ht="18.75" customHeight="1" x14ac:dyDescent="0.35">
      <c r="T8310" s="246">
        <f t="shared" si="167"/>
        <v>0</v>
      </c>
    </row>
    <row r="8311" spans="20:20" ht="18.75" customHeight="1" x14ac:dyDescent="0.35">
      <c r="T8311" s="246">
        <f t="shared" si="167"/>
        <v>0</v>
      </c>
    </row>
    <row r="8312" spans="20:20" ht="18.75" customHeight="1" x14ac:dyDescent="0.35">
      <c r="T8312" s="246">
        <f t="shared" si="167"/>
        <v>0</v>
      </c>
    </row>
    <row r="8313" spans="20:20" ht="18.75" customHeight="1" x14ac:dyDescent="0.35">
      <c r="T8313" s="246">
        <f t="shared" si="167"/>
        <v>0</v>
      </c>
    </row>
    <row r="8314" spans="20:20" ht="18.75" customHeight="1" x14ac:dyDescent="0.35">
      <c r="T8314" s="246">
        <f t="shared" si="167"/>
        <v>0</v>
      </c>
    </row>
    <row r="8315" spans="20:20" ht="18.75" customHeight="1" x14ac:dyDescent="0.35">
      <c r="T8315" s="246">
        <f t="shared" si="167"/>
        <v>0</v>
      </c>
    </row>
    <row r="8316" spans="20:20" ht="18.75" customHeight="1" x14ac:dyDescent="0.35">
      <c r="T8316" s="246">
        <f t="shared" ref="T8316:T8379" si="168">R8316*0.01</f>
        <v>0</v>
      </c>
    </row>
    <row r="8317" spans="20:20" ht="18.75" customHeight="1" x14ac:dyDescent="0.35">
      <c r="T8317" s="246">
        <f t="shared" si="168"/>
        <v>0</v>
      </c>
    </row>
    <row r="8318" spans="20:20" ht="18.75" customHeight="1" x14ac:dyDescent="0.35">
      <c r="T8318" s="246">
        <f t="shared" si="168"/>
        <v>0</v>
      </c>
    </row>
    <row r="8319" spans="20:20" ht="18.75" customHeight="1" x14ac:dyDescent="0.35">
      <c r="T8319" s="246">
        <f t="shared" si="168"/>
        <v>0</v>
      </c>
    </row>
    <row r="8320" spans="20:20" ht="18.75" customHeight="1" x14ac:dyDescent="0.35">
      <c r="T8320" s="246">
        <f t="shared" si="168"/>
        <v>0</v>
      </c>
    </row>
    <row r="8321" spans="20:20" ht="18.75" customHeight="1" x14ac:dyDescent="0.35">
      <c r="T8321" s="246">
        <f t="shared" si="168"/>
        <v>0</v>
      </c>
    </row>
    <row r="8322" spans="20:20" ht="18.75" customHeight="1" x14ac:dyDescent="0.35">
      <c r="T8322" s="246">
        <f t="shared" si="168"/>
        <v>0</v>
      </c>
    </row>
    <row r="8323" spans="20:20" ht="18.75" customHeight="1" x14ac:dyDescent="0.35">
      <c r="T8323" s="246">
        <f t="shared" si="168"/>
        <v>0</v>
      </c>
    </row>
    <row r="8324" spans="20:20" ht="18.75" customHeight="1" x14ac:dyDescent="0.35">
      <c r="T8324" s="246">
        <f t="shared" si="168"/>
        <v>0</v>
      </c>
    </row>
    <row r="8325" spans="20:20" ht="18.75" customHeight="1" x14ac:dyDescent="0.35">
      <c r="T8325" s="246">
        <f t="shared" si="168"/>
        <v>0</v>
      </c>
    </row>
    <row r="8326" spans="20:20" ht="18.75" customHeight="1" x14ac:dyDescent="0.35">
      <c r="T8326" s="246">
        <f t="shared" si="168"/>
        <v>0</v>
      </c>
    </row>
    <row r="8327" spans="20:20" ht="18.75" customHeight="1" x14ac:dyDescent="0.35">
      <c r="T8327" s="246">
        <f t="shared" si="168"/>
        <v>0</v>
      </c>
    </row>
    <row r="8328" spans="20:20" ht="18.75" customHeight="1" x14ac:dyDescent="0.35">
      <c r="T8328" s="246">
        <f t="shared" si="168"/>
        <v>0</v>
      </c>
    </row>
    <row r="8329" spans="20:20" ht="18.75" customHeight="1" x14ac:dyDescent="0.35">
      <c r="T8329" s="246">
        <f t="shared" si="168"/>
        <v>0</v>
      </c>
    </row>
    <row r="8330" spans="20:20" ht="18.75" customHeight="1" x14ac:dyDescent="0.35">
      <c r="T8330" s="246">
        <f t="shared" si="168"/>
        <v>0</v>
      </c>
    </row>
    <row r="8331" spans="20:20" ht="18.75" customHeight="1" x14ac:dyDescent="0.35">
      <c r="T8331" s="246">
        <f t="shared" si="168"/>
        <v>0</v>
      </c>
    </row>
    <row r="8332" spans="20:20" ht="18.75" customHeight="1" x14ac:dyDescent="0.35">
      <c r="T8332" s="246">
        <f t="shared" si="168"/>
        <v>0</v>
      </c>
    </row>
    <row r="8333" spans="20:20" ht="18.75" customHeight="1" x14ac:dyDescent="0.35">
      <c r="T8333" s="246">
        <f t="shared" si="168"/>
        <v>0</v>
      </c>
    </row>
    <row r="8334" spans="20:20" ht="18.75" customHeight="1" x14ac:dyDescent="0.35">
      <c r="T8334" s="246">
        <f t="shared" si="168"/>
        <v>0</v>
      </c>
    </row>
    <row r="8335" spans="20:20" ht="18.75" customHeight="1" x14ac:dyDescent="0.35">
      <c r="T8335" s="246">
        <f t="shared" si="168"/>
        <v>0</v>
      </c>
    </row>
    <row r="8336" spans="20:20" ht="18.75" customHeight="1" x14ac:dyDescent="0.35">
      <c r="T8336" s="246">
        <f t="shared" si="168"/>
        <v>0</v>
      </c>
    </row>
    <row r="8337" spans="20:20" ht="18.75" customHeight="1" x14ac:dyDescent="0.35">
      <c r="T8337" s="246">
        <f t="shared" si="168"/>
        <v>0</v>
      </c>
    </row>
    <row r="8338" spans="20:20" ht="18.75" customHeight="1" x14ac:dyDescent="0.35">
      <c r="T8338" s="246">
        <f t="shared" si="168"/>
        <v>0</v>
      </c>
    </row>
    <row r="8339" spans="20:20" ht="18.75" customHeight="1" x14ac:dyDescent="0.35">
      <c r="T8339" s="246">
        <f t="shared" si="168"/>
        <v>0</v>
      </c>
    </row>
    <row r="8340" spans="20:20" ht="18.75" customHeight="1" x14ac:dyDescent="0.35">
      <c r="T8340" s="246">
        <f t="shared" si="168"/>
        <v>0</v>
      </c>
    </row>
    <row r="8341" spans="20:20" ht="18.75" customHeight="1" x14ac:dyDescent="0.35">
      <c r="T8341" s="246">
        <f t="shared" si="168"/>
        <v>0</v>
      </c>
    </row>
    <row r="8342" spans="20:20" ht="18.75" customHeight="1" x14ac:dyDescent="0.35">
      <c r="T8342" s="246">
        <f t="shared" si="168"/>
        <v>0</v>
      </c>
    </row>
    <row r="8343" spans="20:20" ht="18.75" customHeight="1" x14ac:dyDescent="0.35">
      <c r="T8343" s="246">
        <f t="shared" si="168"/>
        <v>0</v>
      </c>
    </row>
    <row r="8344" spans="20:20" ht="18.75" customHeight="1" x14ac:dyDescent="0.35">
      <c r="T8344" s="246">
        <f t="shared" si="168"/>
        <v>0</v>
      </c>
    </row>
    <row r="8345" spans="20:20" ht="18.75" customHeight="1" x14ac:dyDescent="0.35">
      <c r="T8345" s="246">
        <f t="shared" si="168"/>
        <v>0</v>
      </c>
    </row>
    <row r="8346" spans="20:20" ht="18.75" customHeight="1" x14ac:dyDescent="0.35">
      <c r="T8346" s="246">
        <f t="shared" si="168"/>
        <v>0</v>
      </c>
    </row>
    <row r="8347" spans="20:20" ht="18.75" customHeight="1" x14ac:dyDescent="0.35">
      <c r="T8347" s="246">
        <f t="shared" si="168"/>
        <v>0</v>
      </c>
    </row>
    <row r="8348" spans="20:20" ht="18.75" customHeight="1" x14ac:dyDescent="0.35">
      <c r="T8348" s="246">
        <f t="shared" si="168"/>
        <v>0</v>
      </c>
    </row>
    <row r="8349" spans="20:20" ht="18.75" customHeight="1" x14ac:dyDescent="0.35">
      <c r="T8349" s="246">
        <f t="shared" si="168"/>
        <v>0</v>
      </c>
    </row>
    <row r="8350" spans="20:20" ht="18.75" customHeight="1" x14ac:dyDescent="0.35">
      <c r="T8350" s="246">
        <f t="shared" si="168"/>
        <v>0</v>
      </c>
    </row>
    <row r="8351" spans="20:20" ht="18.75" customHeight="1" x14ac:dyDescent="0.35">
      <c r="T8351" s="246">
        <f t="shared" si="168"/>
        <v>0</v>
      </c>
    </row>
    <row r="8352" spans="20:20" ht="18.75" customHeight="1" x14ac:dyDescent="0.35">
      <c r="T8352" s="246">
        <f t="shared" si="168"/>
        <v>0</v>
      </c>
    </row>
    <row r="8353" spans="20:20" ht="18.75" customHeight="1" x14ac:dyDescent="0.35">
      <c r="T8353" s="246">
        <f t="shared" si="168"/>
        <v>0</v>
      </c>
    </row>
    <row r="8354" spans="20:20" ht="18.75" customHeight="1" x14ac:dyDescent="0.35">
      <c r="T8354" s="246">
        <f t="shared" si="168"/>
        <v>0</v>
      </c>
    </row>
    <row r="8355" spans="20:20" ht="18.75" customHeight="1" x14ac:dyDescent="0.35">
      <c r="T8355" s="246">
        <f t="shared" si="168"/>
        <v>0</v>
      </c>
    </row>
    <row r="8356" spans="20:20" ht="18.75" customHeight="1" x14ac:dyDescent="0.35">
      <c r="T8356" s="246">
        <f t="shared" si="168"/>
        <v>0</v>
      </c>
    </row>
    <row r="8357" spans="20:20" ht="18.75" customHeight="1" x14ac:dyDescent="0.35">
      <c r="T8357" s="246">
        <f t="shared" si="168"/>
        <v>0</v>
      </c>
    </row>
    <row r="8358" spans="20:20" ht="18.75" customHeight="1" x14ac:dyDescent="0.35">
      <c r="T8358" s="246">
        <f t="shared" si="168"/>
        <v>0</v>
      </c>
    </row>
    <row r="8359" spans="20:20" ht="18.75" customHeight="1" x14ac:dyDescent="0.35">
      <c r="T8359" s="246">
        <f t="shared" si="168"/>
        <v>0</v>
      </c>
    </row>
    <row r="8360" spans="20:20" ht="18.75" customHeight="1" x14ac:dyDescent="0.35">
      <c r="T8360" s="246">
        <f t="shared" si="168"/>
        <v>0</v>
      </c>
    </row>
    <row r="8361" spans="20:20" ht="18.75" customHeight="1" x14ac:dyDescent="0.35">
      <c r="T8361" s="246">
        <f t="shared" si="168"/>
        <v>0</v>
      </c>
    </row>
    <row r="8362" spans="20:20" ht="18.75" customHeight="1" x14ac:dyDescent="0.35">
      <c r="T8362" s="246">
        <f t="shared" si="168"/>
        <v>0</v>
      </c>
    </row>
    <row r="8363" spans="20:20" ht="18.75" customHeight="1" x14ac:dyDescent="0.35">
      <c r="T8363" s="246">
        <f t="shared" si="168"/>
        <v>0</v>
      </c>
    </row>
    <row r="8364" spans="20:20" ht="18.75" customHeight="1" x14ac:dyDescent="0.35">
      <c r="T8364" s="246">
        <f t="shared" si="168"/>
        <v>0</v>
      </c>
    </row>
    <row r="8365" spans="20:20" ht="18.75" customHeight="1" x14ac:dyDescent="0.35">
      <c r="T8365" s="246">
        <f t="shared" si="168"/>
        <v>0</v>
      </c>
    </row>
    <row r="8366" spans="20:20" ht="18.75" customHeight="1" x14ac:dyDescent="0.35">
      <c r="T8366" s="246">
        <f t="shared" si="168"/>
        <v>0</v>
      </c>
    </row>
    <row r="8367" spans="20:20" ht="18.75" customHeight="1" x14ac:dyDescent="0.35">
      <c r="T8367" s="246">
        <f t="shared" si="168"/>
        <v>0</v>
      </c>
    </row>
    <row r="8368" spans="20:20" ht="18.75" customHeight="1" x14ac:dyDescent="0.35">
      <c r="T8368" s="246">
        <f t="shared" si="168"/>
        <v>0</v>
      </c>
    </row>
    <row r="8369" spans="20:20" ht="18.75" customHeight="1" x14ac:dyDescent="0.35">
      <c r="T8369" s="246">
        <f t="shared" si="168"/>
        <v>0</v>
      </c>
    </row>
    <row r="8370" spans="20:20" ht="18.75" customHeight="1" x14ac:dyDescent="0.35">
      <c r="T8370" s="246">
        <f t="shared" si="168"/>
        <v>0</v>
      </c>
    </row>
    <row r="8371" spans="20:20" ht="18.75" customHeight="1" x14ac:dyDescent="0.35">
      <c r="T8371" s="246">
        <f t="shared" si="168"/>
        <v>0</v>
      </c>
    </row>
    <row r="8372" spans="20:20" ht="18.75" customHeight="1" x14ac:dyDescent="0.35">
      <c r="T8372" s="246">
        <f t="shared" si="168"/>
        <v>0</v>
      </c>
    </row>
    <row r="8373" spans="20:20" ht="18.75" customHeight="1" x14ac:dyDescent="0.35">
      <c r="T8373" s="246">
        <f t="shared" si="168"/>
        <v>0</v>
      </c>
    </row>
    <row r="8374" spans="20:20" ht="18.75" customHeight="1" x14ac:dyDescent="0.35">
      <c r="T8374" s="246">
        <f t="shared" si="168"/>
        <v>0</v>
      </c>
    </row>
    <row r="8375" spans="20:20" ht="18.75" customHeight="1" x14ac:dyDescent="0.35">
      <c r="T8375" s="246">
        <f t="shared" si="168"/>
        <v>0</v>
      </c>
    </row>
    <row r="8376" spans="20:20" ht="18.75" customHeight="1" x14ac:dyDescent="0.35">
      <c r="T8376" s="246">
        <f t="shared" si="168"/>
        <v>0</v>
      </c>
    </row>
    <row r="8377" spans="20:20" ht="18.75" customHeight="1" x14ac:dyDescent="0.35">
      <c r="T8377" s="246">
        <f t="shared" si="168"/>
        <v>0</v>
      </c>
    </row>
    <row r="8378" spans="20:20" ht="18.75" customHeight="1" x14ac:dyDescent="0.35">
      <c r="T8378" s="246">
        <f t="shared" si="168"/>
        <v>0</v>
      </c>
    </row>
    <row r="8379" spans="20:20" ht="18.75" customHeight="1" x14ac:dyDescent="0.35">
      <c r="T8379" s="246">
        <f t="shared" si="168"/>
        <v>0</v>
      </c>
    </row>
    <row r="8380" spans="20:20" ht="18.75" customHeight="1" x14ac:dyDescent="0.35">
      <c r="T8380" s="246">
        <f t="shared" ref="T8380:T8443" si="169">R8380*0.01</f>
        <v>0</v>
      </c>
    </row>
    <row r="8381" spans="20:20" ht="18.75" customHeight="1" x14ac:dyDescent="0.35">
      <c r="T8381" s="246">
        <f t="shared" si="169"/>
        <v>0</v>
      </c>
    </row>
    <row r="8382" spans="20:20" ht="18.75" customHeight="1" x14ac:dyDescent="0.35">
      <c r="T8382" s="246">
        <f t="shared" si="169"/>
        <v>0</v>
      </c>
    </row>
    <row r="8383" spans="20:20" ht="18.75" customHeight="1" x14ac:dyDescent="0.35">
      <c r="T8383" s="246">
        <f t="shared" si="169"/>
        <v>0</v>
      </c>
    </row>
    <row r="8384" spans="20:20" ht="18.75" customHeight="1" x14ac:dyDescent="0.35">
      <c r="T8384" s="246">
        <f t="shared" si="169"/>
        <v>0</v>
      </c>
    </row>
    <row r="8385" spans="20:20" ht="18.75" customHeight="1" x14ac:dyDescent="0.35">
      <c r="T8385" s="246">
        <f t="shared" si="169"/>
        <v>0</v>
      </c>
    </row>
    <row r="8386" spans="20:20" ht="18.75" customHeight="1" x14ac:dyDescent="0.35">
      <c r="T8386" s="246">
        <f t="shared" si="169"/>
        <v>0</v>
      </c>
    </row>
    <row r="8387" spans="20:20" ht="18.75" customHeight="1" x14ac:dyDescent="0.35">
      <c r="T8387" s="246">
        <f t="shared" si="169"/>
        <v>0</v>
      </c>
    </row>
    <row r="8388" spans="20:20" ht="18.75" customHeight="1" x14ac:dyDescent="0.35">
      <c r="T8388" s="246">
        <f t="shared" si="169"/>
        <v>0</v>
      </c>
    </row>
    <row r="8389" spans="20:20" ht="18.75" customHeight="1" x14ac:dyDescent="0.35">
      <c r="T8389" s="246">
        <f t="shared" si="169"/>
        <v>0</v>
      </c>
    </row>
    <row r="8390" spans="20:20" ht="18.75" customHeight="1" x14ac:dyDescent="0.35">
      <c r="T8390" s="246">
        <f t="shared" si="169"/>
        <v>0</v>
      </c>
    </row>
    <row r="8391" spans="20:20" ht="18.75" customHeight="1" x14ac:dyDescent="0.35">
      <c r="T8391" s="246">
        <f t="shared" si="169"/>
        <v>0</v>
      </c>
    </row>
    <row r="8392" spans="20:20" ht="18.75" customHeight="1" x14ac:dyDescent="0.35">
      <c r="T8392" s="246">
        <f t="shared" si="169"/>
        <v>0</v>
      </c>
    </row>
    <row r="8393" spans="20:20" ht="18.75" customHeight="1" x14ac:dyDescent="0.35">
      <c r="T8393" s="246">
        <f t="shared" si="169"/>
        <v>0</v>
      </c>
    </row>
    <row r="8394" spans="20:20" ht="18.75" customHeight="1" x14ac:dyDescent="0.35">
      <c r="T8394" s="246">
        <f t="shared" si="169"/>
        <v>0</v>
      </c>
    </row>
    <row r="8395" spans="20:20" ht="18.75" customHeight="1" x14ac:dyDescent="0.35">
      <c r="T8395" s="246">
        <f t="shared" si="169"/>
        <v>0</v>
      </c>
    </row>
    <row r="8396" spans="20:20" ht="18.75" customHeight="1" x14ac:dyDescent="0.35">
      <c r="T8396" s="246">
        <f t="shared" si="169"/>
        <v>0</v>
      </c>
    </row>
    <row r="8397" spans="20:20" ht="18.75" customHeight="1" x14ac:dyDescent="0.35">
      <c r="T8397" s="246">
        <f t="shared" si="169"/>
        <v>0</v>
      </c>
    </row>
    <row r="8398" spans="20:20" ht="18.75" customHeight="1" x14ac:dyDescent="0.35">
      <c r="T8398" s="246">
        <f t="shared" si="169"/>
        <v>0</v>
      </c>
    </row>
    <row r="8399" spans="20:20" ht="18.75" customHeight="1" x14ac:dyDescent="0.35">
      <c r="T8399" s="246">
        <f t="shared" si="169"/>
        <v>0</v>
      </c>
    </row>
    <row r="8400" spans="20:20" ht="18.75" customHeight="1" x14ac:dyDescent="0.35">
      <c r="T8400" s="246">
        <f t="shared" si="169"/>
        <v>0</v>
      </c>
    </row>
    <row r="8401" spans="20:20" ht="18.75" customHeight="1" x14ac:dyDescent="0.35">
      <c r="T8401" s="246">
        <f t="shared" si="169"/>
        <v>0</v>
      </c>
    </row>
    <row r="8402" spans="20:20" ht="18.75" customHeight="1" x14ac:dyDescent="0.35">
      <c r="T8402" s="246">
        <f t="shared" si="169"/>
        <v>0</v>
      </c>
    </row>
    <row r="8403" spans="20:20" ht="18.75" customHeight="1" x14ac:dyDescent="0.35">
      <c r="T8403" s="246">
        <f t="shared" si="169"/>
        <v>0</v>
      </c>
    </row>
    <row r="8404" spans="20:20" ht="18.75" customHeight="1" x14ac:dyDescent="0.35">
      <c r="T8404" s="246">
        <f t="shared" si="169"/>
        <v>0</v>
      </c>
    </row>
    <row r="8405" spans="20:20" ht="18.75" customHeight="1" x14ac:dyDescent="0.35">
      <c r="T8405" s="246">
        <f t="shared" si="169"/>
        <v>0</v>
      </c>
    </row>
    <row r="8406" spans="20:20" ht="18.75" customHeight="1" x14ac:dyDescent="0.35">
      <c r="T8406" s="246">
        <f t="shared" si="169"/>
        <v>0</v>
      </c>
    </row>
    <row r="8407" spans="20:20" ht="18.75" customHeight="1" x14ac:dyDescent="0.35">
      <c r="T8407" s="246">
        <f t="shared" si="169"/>
        <v>0</v>
      </c>
    </row>
    <row r="8408" spans="20:20" ht="18.75" customHeight="1" x14ac:dyDescent="0.35">
      <c r="T8408" s="246">
        <f t="shared" si="169"/>
        <v>0</v>
      </c>
    </row>
    <row r="8409" spans="20:20" ht="18.75" customHeight="1" x14ac:dyDescent="0.35">
      <c r="T8409" s="246">
        <f t="shared" si="169"/>
        <v>0</v>
      </c>
    </row>
    <row r="8410" spans="20:20" ht="18.75" customHeight="1" x14ac:dyDescent="0.35">
      <c r="T8410" s="246">
        <f t="shared" si="169"/>
        <v>0</v>
      </c>
    </row>
    <row r="8411" spans="20:20" ht="18.75" customHeight="1" x14ac:dyDescent="0.35">
      <c r="T8411" s="246">
        <f t="shared" si="169"/>
        <v>0</v>
      </c>
    </row>
    <row r="8412" spans="20:20" ht="18.75" customHeight="1" x14ac:dyDescent="0.35">
      <c r="T8412" s="246">
        <f t="shared" si="169"/>
        <v>0</v>
      </c>
    </row>
    <row r="8413" spans="20:20" ht="18.75" customHeight="1" x14ac:dyDescent="0.35">
      <c r="T8413" s="246">
        <f t="shared" si="169"/>
        <v>0</v>
      </c>
    </row>
    <row r="8414" spans="20:20" ht="18.75" customHeight="1" x14ac:dyDescent="0.35">
      <c r="T8414" s="246">
        <f t="shared" si="169"/>
        <v>0</v>
      </c>
    </row>
    <row r="8415" spans="20:20" ht="18.75" customHeight="1" x14ac:dyDescent="0.35">
      <c r="T8415" s="246">
        <f t="shared" si="169"/>
        <v>0</v>
      </c>
    </row>
    <row r="8416" spans="20:20" ht="18.75" customHeight="1" x14ac:dyDescent="0.35">
      <c r="T8416" s="246">
        <f t="shared" si="169"/>
        <v>0</v>
      </c>
    </row>
    <row r="8417" spans="20:20" ht="18.75" customHeight="1" x14ac:dyDescent="0.35">
      <c r="T8417" s="246">
        <f t="shared" si="169"/>
        <v>0</v>
      </c>
    </row>
    <row r="8418" spans="20:20" ht="18.75" customHeight="1" x14ac:dyDescent="0.35">
      <c r="T8418" s="246">
        <f t="shared" si="169"/>
        <v>0</v>
      </c>
    </row>
    <row r="8419" spans="20:20" ht="18.75" customHeight="1" x14ac:dyDescent="0.35">
      <c r="T8419" s="246">
        <f t="shared" si="169"/>
        <v>0</v>
      </c>
    </row>
    <row r="8420" spans="20:20" ht="18.75" customHeight="1" x14ac:dyDescent="0.35">
      <c r="T8420" s="246">
        <f t="shared" si="169"/>
        <v>0</v>
      </c>
    </row>
    <row r="8421" spans="20:20" ht="18.75" customHeight="1" x14ac:dyDescent="0.35">
      <c r="T8421" s="246">
        <f t="shared" si="169"/>
        <v>0</v>
      </c>
    </row>
    <row r="8422" spans="20:20" ht="18.75" customHeight="1" x14ac:dyDescent="0.35">
      <c r="T8422" s="246">
        <f t="shared" si="169"/>
        <v>0</v>
      </c>
    </row>
    <row r="8423" spans="20:20" ht="18.75" customHeight="1" x14ac:dyDescent="0.35">
      <c r="T8423" s="246">
        <f t="shared" si="169"/>
        <v>0</v>
      </c>
    </row>
    <row r="8424" spans="20:20" ht="18.75" customHeight="1" x14ac:dyDescent="0.35">
      <c r="T8424" s="246">
        <f t="shared" si="169"/>
        <v>0</v>
      </c>
    </row>
    <row r="8425" spans="20:20" ht="18.75" customHeight="1" x14ac:dyDescent="0.35">
      <c r="T8425" s="246">
        <f t="shared" si="169"/>
        <v>0</v>
      </c>
    </row>
    <row r="8426" spans="20:20" ht="18.75" customHeight="1" x14ac:dyDescent="0.35">
      <c r="T8426" s="246">
        <f t="shared" si="169"/>
        <v>0</v>
      </c>
    </row>
    <row r="8427" spans="20:20" ht="18.75" customHeight="1" x14ac:dyDescent="0.35">
      <c r="T8427" s="246">
        <f t="shared" si="169"/>
        <v>0</v>
      </c>
    </row>
    <row r="8428" spans="20:20" ht="18.75" customHeight="1" x14ac:dyDescent="0.35">
      <c r="T8428" s="246">
        <f t="shared" si="169"/>
        <v>0</v>
      </c>
    </row>
    <row r="8429" spans="20:20" ht="18.75" customHeight="1" x14ac:dyDescent="0.35">
      <c r="T8429" s="246">
        <f t="shared" si="169"/>
        <v>0</v>
      </c>
    </row>
    <row r="8430" spans="20:20" ht="18.75" customHeight="1" x14ac:dyDescent="0.35">
      <c r="T8430" s="246">
        <f t="shared" si="169"/>
        <v>0</v>
      </c>
    </row>
    <row r="8431" spans="20:20" ht="18.75" customHeight="1" x14ac:dyDescent="0.35">
      <c r="T8431" s="246">
        <f t="shared" si="169"/>
        <v>0</v>
      </c>
    </row>
    <row r="8432" spans="20:20" ht="18.75" customHeight="1" x14ac:dyDescent="0.35">
      <c r="T8432" s="246">
        <f t="shared" si="169"/>
        <v>0</v>
      </c>
    </row>
    <row r="8433" spans="20:20" ht="18.75" customHeight="1" x14ac:dyDescent="0.35">
      <c r="T8433" s="246">
        <f t="shared" si="169"/>
        <v>0</v>
      </c>
    </row>
    <row r="8434" spans="20:20" ht="18.75" customHeight="1" x14ac:dyDescent="0.35">
      <c r="T8434" s="246">
        <f t="shared" si="169"/>
        <v>0</v>
      </c>
    </row>
    <row r="8435" spans="20:20" ht="18.75" customHeight="1" x14ac:dyDescent="0.35">
      <c r="T8435" s="246">
        <f t="shared" si="169"/>
        <v>0</v>
      </c>
    </row>
    <row r="8436" spans="20:20" ht="18.75" customHeight="1" x14ac:dyDescent="0.35">
      <c r="T8436" s="246">
        <f t="shared" si="169"/>
        <v>0</v>
      </c>
    </row>
    <row r="8437" spans="20:20" ht="18.75" customHeight="1" x14ac:dyDescent="0.35">
      <c r="T8437" s="246">
        <f t="shared" si="169"/>
        <v>0</v>
      </c>
    </row>
    <row r="8438" spans="20:20" ht="18.75" customHeight="1" x14ac:dyDescent="0.35">
      <c r="T8438" s="246">
        <f t="shared" si="169"/>
        <v>0</v>
      </c>
    </row>
    <row r="8439" spans="20:20" ht="18.75" customHeight="1" x14ac:dyDescent="0.35">
      <c r="T8439" s="246">
        <f t="shared" si="169"/>
        <v>0</v>
      </c>
    </row>
    <row r="8440" spans="20:20" ht="18.75" customHeight="1" x14ac:dyDescent="0.35">
      <c r="T8440" s="246">
        <f t="shared" si="169"/>
        <v>0</v>
      </c>
    </row>
    <row r="8441" spans="20:20" ht="18.75" customHeight="1" x14ac:dyDescent="0.35">
      <c r="T8441" s="246">
        <f t="shared" si="169"/>
        <v>0</v>
      </c>
    </row>
    <row r="8442" spans="20:20" ht="18.75" customHeight="1" x14ac:dyDescent="0.35">
      <c r="T8442" s="246">
        <f t="shared" si="169"/>
        <v>0</v>
      </c>
    </row>
    <row r="8443" spans="20:20" ht="18.75" customHeight="1" x14ac:dyDescent="0.35">
      <c r="T8443" s="246">
        <f t="shared" si="169"/>
        <v>0</v>
      </c>
    </row>
    <row r="8444" spans="20:20" ht="18.75" customHeight="1" x14ac:dyDescent="0.35">
      <c r="T8444" s="246">
        <f t="shared" ref="T8444:T8507" si="170">R8444*0.01</f>
        <v>0</v>
      </c>
    </row>
    <row r="8445" spans="20:20" ht="18.75" customHeight="1" x14ac:dyDescent="0.35">
      <c r="T8445" s="246">
        <f t="shared" si="170"/>
        <v>0</v>
      </c>
    </row>
    <row r="8446" spans="20:20" ht="18.75" customHeight="1" x14ac:dyDescent="0.35">
      <c r="T8446" s="246">
        <f t="shared" si="170"/>
        <v>0</v>
      </c>
    </row>
    <row r="8447" spans="20:20" ht="18.75" customHeight="1" x14ac:dyDescent="0.35">
      <c r="T8447" s="246">
        <f t="shared" si="170"/>
        <v>0</v>
      </c>
    </row>
    <row r="8448" spans="20:20" ht="18.75" customHeight="1" x14ac:dyDescent="0.35">
      <c r="T8448" s="246">
        <f t="shared" si="170"/>
        <v>0</v>
      </c>
    </row>
    <row r="8449" spans="20:20" ht="18.75" customHeight="1" x14ac:dyDescent="0.35">
      <c r="T8449" s="246">
        <f t="shared" si="170"/>
        <v>0</v>
      </c>
    </row>
    <row r="8450" spans="20:20" ht="18.75" customHeight="1" x14ac:dyDescent="0.35">
      <c r="T8450" s="246">
        <f t="shared" si="170"/>
        <v>0</v>
      </c>
    </row>
    <row r="8451" spans="20:20" ht="18.75" customHeight="1" x14ac:dyDescent="0.35">
      <c r="T8451" s="246">
        <f t="shared" si="170"/>
        <v>0</v>
      </c>
    </row>
    <row r="8452" spans="20:20" ht="18.75" customHeight="1" x14ac:dyDescent="0.35">
      <c r="T8452" s="246">
        <f t="shared" si="170"/>
        <v>0</v>
      </c>
    </row>
    <row r="8453" spans="20:20" ht="18.75" customHeight="1" x14ac:dyDescent="0.35">
      <c r="T8453" s="246">
        <f t="shared" si="170"/>
        <v>0</v>
      </c>
    </row>
    <row r="8454" spans="20:20" ht="18.75" customHeight="1" x14ac:dyDescent="0.35">
      <c r="T8454" s="246">
        <f t="shared" si="170"/>
        <v>0</v>
      </c>
    </row>
    <row r="8455" spans="20:20" ht="18.75" customHeight="1" x14ac:dyDescent="0.35">
      <c r="T8455" s="246">
        <f t="shared" si="170"/>
        <v>0</v>
      </c>
    </row>
    <row r="8456" spans="20:20" ht="18.75" customHeight="1" x14ac:dyDescent="0.35">
      <c r="T8456" s="246">
        <f t="shared" si="170"/>
        <v>0</v>
      </c>
    </row>
    <row r="8457" spans="20:20" ht="18.75" customHeight="1" x14ac:dyDescent="0.35">
      <c r="T8457" s="246">
        <f t="shared" si="170"/>
        <v>0</v>
      </c>
    </row>
    <row r="8458" spans="20:20" ht="18.75" customHeight="1" x14ac:dyDescent="0.35">
      <c r="T8458" s="246">
        <f t="shared" si="170"/>
        <v>0</v>
      </c>
    </row>
    <row r="8459" spans="20:20" ht="18.75" customHeight="1" x14ac:dyDescent="0.35">
      <c r="T8459" s="246">
        <f t="shared" si="170"/>
        <v>0</v>
      </c>
    </row>
    <row r="8460" spans="20:20" ht="18.75" customHeight="1" x14ac:dyDescent="0.35">
      <c r="T8460" s="246">
        <f t="shared" si="170"/>
        <v>0</v>
      </c>
    </row>
    <row r="8461" spans="20:20" ht="18.75" customHeight="1" x14ac:dyDescent="0.35">
      <c r="T8461" s="246">
        <f t="shared" si="170"/>
        <v>0</v>
      </c>
    </row>
    <row r="8462" spans="20:20" ht="18.75" customHeight="1" x14ac:dyDescent="0.35">
      <c r="T8462" s="246">
        <f t="shared" si="170"/>
        <v>0</v>
      </c>
    </row>
    <row r="8463" spans="20:20" ht="18.75" customHeight="1" x14ac:dyDescent="0.35">
      <c r="T8463" s="246">
        <f t="shared" si="170"/>
        <v>0</v>
      </c>
    </row>
    <row r="8464" spans="20:20" ht="18.75" customHeight="1" x14ac:dyDescent="0.35">
      <c r="T8464" s="246">
        <f t="shared" si="170"/>
        <v>0</v>
      </c>
    </row>
    <row r="8465" spans="20:20" ht="18.75" customHeight="1" x14ac:dyDescent="0.35">
      <c r="T8465" s="246">
        <f t="shared" si="170"/>
        <v>0</v>
      </c>
    </row>
    <row r="8466" spans="20:20" ht="18.75" customHeight="1" x14ac:dyDescent="0.35">
      <c r="T8466" s="246">
        <f t="shared" si="170"/>
        <v>0</v>
      </c>
    </row>
    <row r="8467" spans="20:20" ht="18.75" customHeight="1" x14ac:dyDescent="0.35">
      <c r="T8467" s="246">
        <f t="shared" si="170"/>
        <v>0</v>
      </c>
    </row>
    <row r="8468" spans="20:20" ht="18.75" customHeight="1" x14ac:dyDescent="0.35">
      <c r="T8468" s="246">
        <f t="shared" si="170"/>
        <v>0</v>
      </c>
    </row>
    <row r="8469" spans="20:20" ht="18.75" customHeight="1" x14ac:dyDescent="0.35">
      <c r="T8469" s="246">
        <f t="shared" si="170"/>
        <v>0</v>
      </c>
    </row>
    <row r="8470" spans="20:20" ht="18.75" customHeight="1" x14ac:dyDescent="0.35">
      <c r="T8470" s="246">
        <f t="shared" si="170"/>
        <v>0</v>
      </c>
    </row>
    <row r="8471" spans="20:20" ht="18.75" customHeight="1" x14ac:dyDescent="0.35">
      <c r="T8471" s="246">
        <f t="shared" si="170"/>
        <v>0</v>
      </c>
    </row>
    <row r="8472" spans="20:20" ht="18.75" customHeight="1" x14ac:dyDescent="0.35">
      <c r="T8472" s="246">
        <f t="shared" si="170"/>
        <v>0</v>
      </c>
    </row>
    <row r="8473" spans="20:20" ht="18.75" customHeight="1" x14ac:dyDescent="0.35">
      <c r="T8473" s="246">
        <f t="shared" si="170"/>
        <v>0</v>
      </c>
    </row>
    <row r="8474" spans="20:20" ht="18.75" customHeight="1" x14ac:dyDescent="0.35">
      <c r="T8474" s="246">
        <f t="shared" si="170"/>
        <v>0</v>
      </c>
    </row>
    <row r="8475" spans="20:20" ht="18.75" customHeight="1" x14ac:dyDescent="0.35">
      <c r="T8475" s="246">
        <f t="shared" si="170"/>
        <v>0</v>
      </c>
    </row>
    <row r="8476" spans="20:20" ht="18.75" customHeight="1" x14ac:dyDescent="0.35">
      <c r="T8476" s="246">
        <f t="shared" si="170"/>
        <v>0</v>
      </c>
    </row>
    <row r="8477" spans="20:20" ht="18.75" customHeight="1" x14ac:dyDescent="0.35">
      <c r="T8477" s="246">
        <f t="shared" si="170"/>
        <v>0</v>
      </c>
    </row>
    <row r="8478" spans="20:20" ht="18.75" customHeight="1" x14ac:dyDescent="0.35">
      <c r="T8478" s="246">
        <f t="shared" si="170"/>
        <v>0</v>
      </c>
    </row>
    <row r="8479" spans="20:20" ht="18.75" customHeight="1" x14ac:dyDescent="0.35">
      <c r="T8479" s="246">
        <f t="shared" si="170"/>
        <v>0</v>
      </c>
    </row>
    <row r="8480" spans="20:20" ht="18.75" customHeight="1" x14ac:dyDescent="0.35">
      <c r="T8480" s="246">
        <f t="shared" si="170"/>
        <v>0</v>
      </c>
    </row>
    <row r="8481" spans="20:20" ht="18.75" customHeight="1" x14ac:dyDescent="0.35">
      <c r="T8481" s="246">
        <f t="shared" si="170"/>
        <v>0</v>
      </c>
    </row>
    <row r="8482" spans="20:20" ht="18.75" customHeight="1" x14ac:dyDescent="0.35">
      <c r="T8482" s="246">
        <f t="shared" si="170"/>
        <v>0</v>
      </c>
    </row>
    <row r="8483" spans="20:20" ht="18.75" customHeight="1" x14ac:dyDescent="0.35">
      <c r="T8483" s="246">
        <f t="shared" si="170"/>
        <v>0</v>
      </c>
    </row>
    <row r="8484" spans="20:20" ht="18.75" customHeight="1" x14ac:dyDescent="0.35">
      <c r="T8484" s="246">
        <f t="shared" si="170"/>
        <v>0</v>
      </c>
    </row>
    <row r="8485" spans="20:20" ht="18.75" customHeight="1" x14ac:dyDescent="0.35">
      <c r="T8485" s="246">
        <f t="shared" si="170"/>
        <v>0</v>
      </c>
    </row>
    <row r="8486" spans="20:20" ht="18.75" customHeight="1" x14ac:dyDescent="0.35">
      <c r="T8486" s="246">
        <f t="shared" si="170"/>
        <v>0</v>
      </c>
    </row>
    <row r="8487" spans="20:20" ht="18.75" customHeight="1" x14ac:dyDescent="0.35">
      <c r="T8487" s="246">
        <f t="shared" si="170"/>
        <v>0</v>
      </c>
    </row>
    <row r="8488" spans="20:20" ht="18.75" customHeight="1" x14ac:dyDescent="0.35">
      <c r="T8488" s="246">
        <f t="shared" si="170"/>
        <v>0</v>
      </c>
    </row>
    <row r="8489" spans="20:20" ht="18.75" customHeight="1" x14ac:dyDescent="0.35">
      <c r="T8489" s="246">
        <f t="shared" si="170"/>
        <v>0</v>
      </c>
    </row>
    <row r="8490" spans="20:20" ht="18.75" customHeight="1" x14ac:dyDescent="0.35">
      <c r="T8490" s="246">
        <f t="shared" si="170"/>
        <v>0</v>
      </c>
    </row>
    <row r="8491" spans="20:20" ht="18.75" customHeight="1" x14ac:dyDescent="0.35">
      <c r="T8491" s="246">
        <f t="shared" si="170"/>
        <v>0</v>
      </c>
    </row>
    <row r="8492" spans="20:20" ht="18.75" customHeight="1" x14ac:dyDescent="0.35">
      <c r="T8492" s="246">
        <f t="shared" si="170"/>
        <v>0</v>
      </c>
    </row>
    <row r="8493" spans="20:20" ht="18.75" customHeight="1" x14ac:dyDescent="0.35">
      <c r="T8493" s="246">
        <f t="shared" si="170"/>
        <v>0</v>
      </c>
    </row>
    <row r="8494" spans="20:20" ht="18.75" customHeight="1" x14ac:dyDescent="0.35">
      <c r="T8494" s="246">
        <f t="shared" si="170"/>
        <v>0</v>
      </c>
    </row>
    <row r="8495" spans="20:20" ht="18.75" customHeight="1" x14ac:dyDescent="0.35">
      <c r="T8495" s="246">
        <f t="shared" si="170"/>
        <v>0</v>
      </c>
    </row>
    <row r="8496" spans="20:20" ht="18.75" customHeight="1" x14ac:dyDescent="0.35">
      <c r="T8496" s="246">
        <f t="shared" si="170"/>
        <v>0</v>
      </c>
    </row>
    <row r="8497" spans="20:20" ht="18.75" customHeight="1" x14ac:dyDescent="0.35">
      <c r="T8497" s="246">
        <f t="shared" si="170"/>
        <v>0</v>
      </c>
    </row>
    <row r="8498" spans="20:20" ht="18.75" customHeight="1" x14ac:dyDescent="0.35">
      <c r="T8498" s="246">
        <f t="shared" si="170"/>
        <v>0</v>
      </c>
    </row>
    <row r="8499" spans="20:20" ht="18.75" customHeight="1" x14ac:dyDescent="0.35">
      <c r="T8499" s="246">
        <f t="shared" si="170"/>
        <v>0</v>
      </c>
    </row>
    <row r="8500" spans="20:20" ht="18.75" customHeight="1" x14ac:dyDescent="0.35">
      <c r="T8500" s="246">
        <f t="shared" si="170"/>
        <v>0</v>
      </c>
    </row>
    <row r="8501" spans="20:20" ht="18.75" customHeight="1" x14ac:dyDescent="0.35">
      <c r="T8501" s="246">
        <f t="shared" si="170"/>
        <v>0</v>
      </c>
    </row>
    <row r="8502" spans="20:20" ht="18.75" customHeight="1" x14ac:dyDescent="0.35">
      <c r="T8502" s="246">
        <f t="shared" si="170"/>
        <v>0</v>
      </c>
    </row>
    <row r="8503" spans="20:20" ht="18.75" customHeight="1" x14ac:dyDescent="0.35">
      <c r="T8503" s="246">
        <f t="shared" si="170"/>
        <v>0</v>
      </c>
    </row>
    <row r="8504" spans="20:20" ht="18.75" customHeight="1" x14ac:dyDescent="0.35">
      <c r="T8504" s="246">
        <f t="shared" si="170"/>
        <v>0</v>
      </c>
    </row>
    <row r="8505" spans="20:20" ht="18.75" customHeight="1" x14ac:dyDescent="0.35">
      <c r="T8505" s="246">
        <f t="shared" si="170"/>
        <v>0</v>
      </c>
    </row>
    <row r="8506" spans="20:20" ht="18.75" customHeight="1" x14ac:dyDescent="0.35">
      <c r="T8506" s="246">
        <f t="shared" si="170"/>
        <v>0</v>
      </c>
    </row>
    <row r="8507" spans="20:20" ht="18.75" customHeight="1" x14ac:dyDescent="0.35">
      <c r="T8507" s="246">
        <f t="shared" si="170"/>
        <v>0</v>
      </c>
    </row>
    <row r="8508" spans="20:20" ht="18.75" customHeight="1" x14ac:dyDescent="0.35">
      <c r="T8508" s="246">
        <f t="shared" ref="T8508:T8571" si="171">R8508*0.01</f>
        <v>0</v>
      </c>
    </row>
    <row r="8509" spans="20:20" ht="18.75" customHeight="1" x14ac:dyDescent="0.35">
      <c r="T8509" s="246">
        <f t="shared" si="171"/>
        <v>0</v>
      </c>
    </row>
    <row r="8510" spans="20:20" ht="18.75" customHeight="1" x14ac:dyDescent="0.35">
      <c r="T8510" s="246">
        <f t="shared" si="171"/>
        <v>0</v>
      </c>
    </row>
    <row r="8511" spans="20:20" ht="18.75" customHeight="1" x14ac:dyDescent="0.35">
      <c r="T8511" s="246">
        <f t="shared" si="171"/>
        <v>0</v>
      </c>
    </row>
    <row r="8512" spans="20:20" ht="18.75" customHeight="1" x14ac:dyDescent="0.35">
      <c r="T8512" s="246">
        <f t="shared" si="171"/>
        <v>0</v>
      </c>
    </row>
    <row r="8513" spans="20:20" ht="18.75" customHeight="1" x14ac:dyDescent="0.35">
      <c r="T8513" s="246">
        <f t="shared" si="171"/>
        <v>0</v>
      </c>
    </row>
    <row r="8514" spans="20:20" ht="18.75" customHeight="1" x14ac:dyDescent="0.35">
      <c r="T8514" s="246">
        <f t="shared" si="171"/>
        <v>0</v>
      </c>
    </row>
    <row r="8515" spans="20:20" ht="18.75" customHeight="1" x14ac:dyDescent="0.35">
      <c r="T8515" s="246">
        <f t="shared" si="171"/>
        <v>0</v>
      </c>
    </row>
    <row r="8516" spans="20:20" ht="18.75" customHeight="1" x14ac:dyDescent="0.35">
      <c r="T8516" s="246">
        <f t="shared" si="171"/>
        <v>0</v>
      </c>
    </row>
    <row r="8517" spans="20:20" ht="18.75" customHeight="1" x14ac:dyDescent="0.35">
      <c r="T8517" s="246">
        <f t="shared" si="171"/>
        <v>0</v>
      </c>
    </row>
    <row r="8518" spans="20:20" ht="18.75" customHeight="1" x14ac:dyDescent="0.35">
      <c r="T8518" s="246">
        <f t="shared" si="171"/>
        <v>0</v>
      </c>
    </row>
    <row r="8519" spans="20:20" ht="18.75" customHeight="1" x14ac:dyDescent="0.35">
      <c r="T8519" s="246">
        <f t="shared" si="171"/>
        <v>0</v>
      </c>
    </row>
    <row r="8520" spans="20:20" ht="18.75" customHeight="1" x14ac:dyDescent="0.35">
      <c r="T8520" s="246">
        <f t="shared" si="171"/>
        <v>0</v>
      </c>
    </row>
    <row r="8521" spans="20:20" ht="18.75" customHeight="1" x14ac:dyDescent="0.35">
      <c r="T8521" s="246">
        <f t="shared" si="171"/>
        <v>0</v>
      </c>
    </row>
    <row r="8522" spans="20:20" ht="18.75" customHeight="1" x14ac:dyDescent="0.35">
      <c r="T8522" s="246">
        <f t="shared" si="171"/>
        <v>0</v>
      </c>
    </row>
    <row r="8523" spans="20:20" ht="18.75" customHeight="1" x14ac:dyDescent="0.35">
      <c r="T8523" s="246">
        <f t="shared" si="171"/>
        <v>0</v>
      </c>
    </row>
    <row r="8524" spans="20:20" ht="18.75" customHeight="1" x14ac:dyDescent="0.35">
      <c r="T8524" s="246">
        <f t="shared" si="171"/>
        <v>0</v>
      </c>
    </row>
    <row r="8525" spans="20:20" ht="18.75" customHeight="1" x14ac:dyDescent="0.35">
      <c r="T8525" s="246">
        <f t="shared" si="171"/>
        <v>0</v>
      </c>
    </row>
    <row r="8526" spans="20:20" ht="18.75" customHeight="1" x14ac:dyDescent="0.35">
      <c r="T8526" s="246">
        <f t="shared" si="171"/>
        <v>0</v>
      </c>
    </row>
    <row r="8527" spans="20:20" ht="18.75" customHeight="1" x14ac:dyDescent="0.35">
      <c r="T8527" s="246">
        <f t="shared" si="171"/>
        <v>0</v>
      </c>
    </row>
    <row r="8528" spans="20:20" ht="18.75" customHeight="1" x14ac:dyDescent="0.35">
      <c r="T8528" s="246">
        <f t="shared" si="171"/>
        <v>0</v>
      </c>
    </row>
    <row r="8529" spans="20:20" ht="18.75" customHeight="1" x14ac:dyDescent="0.35">
      <c r="T8529" s="246">
        <f t="shared" si="171"/>
        <v>0</v>
      </c>
    </row>
    <row r="8530" spans="20:20" ht="18.75" customHeight="1" x14ac:dyDescent="0.35">
      <c r="T8530" s="246">
        <f t="shared" si="171"/>
        <v>0</v>
      </c>
    </row>
    <row r="8531" spans="20:20" ht="18.75" customHeight="1" x14ac:dyDescent="0.35">
      <c r="T8531" s="246">
        <f t="shared" si="171"/>
        <v>0</v>
      </c>
    </row>
    <row r="8532" spans="20:20" ht="18.75" customHeight="1" x14ac:dyDescent="0.35">
      <c r="T8532" s="246">
        <f t="shared" si="171"/>
        <v>0</v>
      </c>
    </row>
    <row r="8533" spans="20:20" ht="18.75" customHeight="1" x14ac:dyDescent="0.35">
      <c r="T8533" s="246">
        <f t="shared" si="171"/>
        <v>0</v>
      </c>
    </row>
    <row r="8534" spans="20:20" ht="18.75" customHeight="1" x14ac:dyDescent="0.35">
      <c r="T8534" s="246">
        <f t="shared" si="171"/>
        <v>0</v>
      </c>
    </row>
    <row r="8535" spans="20:20" ht="18.75" customHeight="1" x14ac:dyDescent="0.35">
      <c r="T8535" s="246">
        <f t="shared" si="171"/>
        <v>0</v>
      </c>
    </row>
    <row r="8536" spans="20:20" ht="18.75" customHeight="1" x14ac:dyDescent="0.35">
      <c r="T8536" s="246">
        <f t="shared" si="171"/>
        <v>0</v>
      </c>
    </row>
    <row r="8537" spans="20:20" ht="18.75" customHeight="1" x14ac:dyDescent="0.35">
      <c r="T8537" s="246">
        <f t="shared" si="171"/>
        <v>0</v>
      </c>
    </row>
    <row r="8538" spans="20:20" ht="18.75" customHeight="1" x14ac:dyDescent="0.35">
      <c r="T8538" s="246">
        <f t="shared" si="171"/>
        <v>0</v>
      </c>
    </row>
    <row r="8539" spans="20:20" ht="18.75" customHeight="1" x14ac:dyDescent="0.35">
      <c r="T8539" s="246">
        <f t="shared" si="171"/>
        <v>0</v>
      </c>
    </row>
    <row r="8540" spans="20:20" ht="18.75" customHeight="1" x14ac:dyDescent="0.35">
      <c r="T8540" s="246">
        <f t="shared" si="171"/>
        <v>0</v>
      </c>
    </row>
    <row r="8541" spans="20:20" ht="18.75" customHeight="1" x14ac:dyDescent="0.35">
      <c r="T8541" s="246">
        <f t="shared" si="171"/>
        <v>0</v>
      </c>
    </row>
    <row r="8542" spans="20:20" ht="18.75" customHeight="1" x14ac:dyDescent="0.35">
      <c r="T8542" s="246">
        <f t="shared" si="171"/>
        <v>0</v>
      </c>
    </row>
    <row r="8543" spans="20:20" ht="18.75" customHeight="1" x14ac:dyDescent="0.35">
      <c r="T8543" s="246">
        <f t="shared" si="171"/>
        <v>0</v>
      </c>
    </row>
    <row r="8544" spans="20:20" ht="18.75" customHeight="1" x14ac:dyDescent="0.35">
      <c r="T8544" s="246">
        <f t="shared" si="171"/>
        <v>0</v>
      </c>
    </row>
    <row r="8545" spans="20:20" ht="18.75" customHeight="1" x14ac:dyDescent="0.35">
      <c r="T8545" s="246">
        <f t="shared" si="171"/>
        <v>0</v>
      </c>
    </row>
    <row r="8546" spans="20:20" ht="18.75" customHeight="1" x14ac:dyDescent="0.35">
      <c r="T8546" s="246">
        <f t="shared" si="171"/>
        <v>0</v>
      </c>
    </row>
    <row r="8547" spans="20:20" ht="18.75" customHeight="1" x14ac:dyDescent="0.35">
      <c r="T8547" s="246">
        <f t="shared" si="171"/>
        <v>0</v>
      </c>
    </row>
    <row r="8548" spans="20:20" ht="18.75" customHeight="1" x14ac:dyDescent="0.35">
      <c r="T8548" s="246">
        <f t="shared" si="171"/>
        <v>0</v>
      </c>
    </row>
    <row r="8549" spans="20:20" ht="18.75" customHeight="1" x14ac:dyDescent="0.35">
      <c r="T8549" s="246">
        <f t="shared" si="171"/>
        <v>0</v>
      </c>
    </row>
    <row r="8550" spans="20:20" ht="18.75" customHeight="1" x14ac:dyDescent="0.35">
      <c r="T8550" s="246">
        <f t="shared" si="171"/>
        <v>0</v>
      </c>
    </row>
    <row r="8551" spans="20:20" ht="18.75" customHeight="1" x14ac:dyDescent="0.35">
      <c r="T8551" s="246">
        <f t="shared" si="171"/>
        <v>0</v>
      </c>
    </row>
    <row r="8552" spans="20:20" ht="18.75" customHeight="1" x14ac:dyDescent="0.35">
      <c r="T8552" s="246">
        <f t="shared" si="171"/>
        <v>0</v>
      </c>
    </row>
    <row r="8553" spans="20:20" ht="18.75" customHeight="1" x14ac:dyDescent="0.35">
      <c r="T8553" s="246">
        <f t="shared" si="171"/>
        <v>0</v>
      </c>
    </row>
    <row r="8554" spans="20:20" ht="18.75" customHeight="1" x14ac:dyDescent="0.35">
      <c r="T8554" s="246">
        <f t="shared" si="171"/>
        <v>0</v>
      </c>
    </row>
    <row r="8555" spans="20:20" ht="18.75" customHeight="1" x14ac:dyDescent="0.35">
      <c r="T8555" s="246">
        <f t="shared" si="171"/>
        <v>0</v>
      </c>
    </row>
    <row r="8556" spans="20:20" ht="18.75" customHeight="1" x14ac:dyDescent="0.35">
      <c r="T8556" s="246">
        <f t="shared" si="171"/>
        <v>0</v>
      </c>
    </row>
    <row r="8557" spans="20:20" ht="18.75" customHeight="1" x14ac:dyDescent="0.35">
      <c r="T8557" s="246">
        <f t="shared" si="171"/>
        <v>0</v>
      </c>
    </row>
    <row r="8558" spans="20:20" ht="18.75" customHeight="1" x14ac:dyDescent="0.35">
      <c r="T8558" s="246">
        <f t="shared" si="171"/>
        <v>0</v>
      </c>
    </row>
    <row r="8559" spans="20:20" ht="18.75" customHeight="1" x14ac:dyDescent="0.35">
      <c r="T8559" s="246">
        <f t="shared" si="171"/>
        <v>0</v>
      </c>
    </row>
    <row r="8560" spans="20:20" ht="18.75" customHeight="1" x14ac:dyDescent="0.35">
      <c r="T8560" s="246">
        <f t="shared" si="171"/>
        <v>0</v>
      </c>
    </row>
    <row r="8561" spans="20:20" ht="18.75" customHeight="1" x14ac:dyDescent="0.35">
      <c r="T8561" s="246">
        <f t="shared" si="171"/>
        <v>0</v>
      </c>
    </row>
    <row r="8562" spans="20:20" ht="18.75" customHeight="1" x14ac:dyDescent="0.35">
      <c r="T8562" s="246">
        <f t="shared" si="171"/>
        <v>0</v>
      </c>
    </row>
    <row r="8563" spans="20:20" ht="18.75" customHeight="1" x14ac:dyDescent="0.35">
      <c r="T8563" s="246">
        <f t="shared" si="171"/>
        <v>0</v>
      </c>
    </row>
    <row r="8564" spans="20:20" ht="18.75" customHeight="1" x14ac:dyDescent="0.35">
      <c r="T8564" s="246">
        <f t="shared" si="171"/>
        <v>0</v>
      </c>
    </row>
    <row r="8565" spans="20:20" ht="18.75" customHeight="1" x14ac:dyDescent="0.35">
      <c r="T8565" s="246">
        <f t="shared" si="171"/>
        <v>0</v>
      </c>
    </row>
    <row r="8566" spans="20:20" ht="18.75" customHeight="1" x14ac:dyDescent="0.35">
      <c r="T8566" s="246">
        <f t="shared" si="171"/>
        <v>0</v>
      </c>
    </row>
    <row r="8567" spans="20:20" ht="18.75" customHeight="1" x14ac:dyDescent="0.35">
      <c r="T8567" s="246">
        <f t="shared" si="171"/>
        <v>0</v>
      </c>
    </row>
    <row r="8568" spans="20:20" ht="18.75" customHeight="1" x14ac:dyDescent="0.35">
      <c r="T8568" s="246">
        <f t="shared" si="171"/>
        <v>0</v>
      </c>
    </row>
    <row r="8569" spans="20:20" ht="18.75" customHeight="1" x14ac:dyDescent="0.35">
      <c r="T8569" s="246">
        <f t="shared" si="171"/>
        <v>0</v>
      </c>
    </row>
    <row r="8570" spans="20:20" ht="18.75" customHeight="1" x14ac:dyDescent="0.35">
      <c r="T8570" s="246">
        <f t="shared" si="171"/>
        <v>0</v>
      </c>
    </row>
    <row r="8571" spans="20:20" ht="18.75" customHeight="1" x14ac:dyDescent="0.35">
      <c r="T8571" s="246">
        <f t="shared" si="171"/>
        <v>0</v>
      </c>
    </row>
    <row r="8572" spans="20:20" ht="18.75" customHeight="1" x14ac:dyDescent="0.35">
      <c r="T8572" s="246">
        <f t="shared" ref="T8572:T8635" si="172">R8572*0.01</f>
        <v>0</v>
      </c>
    </row>
    <row r="8573" spans="20:20" ht="18.75" customHeight="1" x14ac:dyDescent="0.35">
      <c r="T8573" s="246">
        <f t="shared" si="172"/>
        <v>0</v>
      </c>
    </row>
    <row r="8574" spans="20:20" ht="18.75" customHeight="1" x14ac:dyDescent="0.35">
      <c r="T8574" s="246">
        <f t="shared" si="172"/>
        <v>0</v>
      </c>
    </row>
    <row r="8575" spans="20:20" ht="18.75" customHeight="1" x14ac:dyDescent="0.35">
      <c r="T8575" s="246">
        <f t="shared" si="172"/>
        <v>0</v>
      </c>
    </row>
    <row r="8576" spans="20:20" ht="18.75" customHeight="1" x14ac:dyDescent="0.35">
      <c r="T8576" s="246">
        <f t="shared" si="172"/>
        <v>0</v>
      </c>
    </row>
    <row r="8577" spans="20:20" ht="18.75" customHeight="1" x14ac:dyDescent="0.35">
      <c r="T8577" s="246">
        <f t="shared" si="172"/>
        <v>0</v>
      </c>
    </row>
    <row r="8578" spans="20:20" ht="18.75" customHeight="1" x14ac:dyDescent="0.35">
      <c r="T8578" s="246">
        <f t="shared" si="172"/>
        <v>0</v>
      </c>
    </row>
    <row r="8579" spans="20:20" ht="18.75" customHeight="1" x14ac:dyDescent="0.35">
      <c r="T8579" s="246">
        <f t="shared" si="172"/>
        <v>0</v>
      </c>
    </row>
    <row r="8580" spans="20:20" ht="18.75" customHeight="1" x14ac:dyDescent="0.35">
      <c r="T8580" s="246">
        <f t="shared" si="172"/>
        <v>0</v>
      </c>
    </row>
    <row r="8581" spans="20:20" ht="18.75" customHeight="1" x14ac:dyDescent="0.35">
      <c r="T8581" s="246">
        <f t="shared" si="172"/>
        <v>0</v>
      </c>
    </row>
    <row r="8582" spans="20:20" ht="18.75" customHeight="1" x14ac:dyDescent="0.35">
      <c r="T8582" s="246">
        <f t="shared" si="172"/>
        <v>0</v>
      </c>
    </row>
    <row r="8583" spans="20:20" ht="18.75" customHeight="1" x14ac:dyDescent="0.35">
      <c r="T8583" s="246">
        <f t="shared" si="172"/>
        <v>0</v>
      </c>
    </row>
    <row r="8584" spans="20:20" ht="18.75" customHeight="1" x14ac:dyDescent="0.35">
      <c r="T8584" s="246">
        <f t="shared" si="172"/>
        <v>0</v>
      </c>
    </row>
    <row r="8585" spans="20:20" ht="18.75" customHeight="1" x14ac:dyDescent="0.35">
      <c r="T8585" s="246">
        <f t="shared" si="172"/>
        <v>0</v>
      </c>
    </row>
    <row r="8586" spans="20:20" ht="18.75" customHeight="1" x14ac:dyDescent="0.35">
      <c r="T8586" s="246">
        <f t="shared" si="172"/>
        <v>0</v>
      </c>
    </row>
    <row r="8587" spans="20:20" ht="18.75" customHeight="1" x14ac:dyDescent="0.35">
      <c r="T8587" s="246">
        <f t="shared" si="172"/>
        <v>0</v>
      </c>
    </row>
    <row r="8588" spans="20:20" ht="18.75" customHeight="1" x14ac:dyDescent="0.35">
      <c r="T8588" s="246">
        <f t="shared" si="172"/>
        <v>0</v>
      </c>
    </row>
    <row r="8589" spans="20:20" ht="18.75" customHeight="1" x14ac:dyDescent="0.35">
      <c r="T8589" s="246">
        <f t="shared" si="172"/>
        <v>0</v>
      </c>
    </row>
    <row r="8590" spans="20:20" ht="18.75" customHeight="1" x14ac:dyDescent="0.35">
      <c r="T8590" s="246">
        <f t="shared" si="172"/>
        <v>0</v>
      </c>
    </row>
    <row r="8591" spans="20:20" ht="18.75" customHeight="1" x14ac:dyDescent="0.35">
      <c r="T8591" s="246">
        <f t="shared" si="172"/>
        <v>0</v>
      </c>
    </row>
    <row r="8592" spans="20:20" ht="18.75" customHeight="1" x14ac:dyDescent="0.35">
      <c r="T8592" s="246">
        <f t="shared" si="172"/>
        <v>0</v>
      </c>
    </row>
    <row r="8593" spans="20:20" ht="18.75" customHeight="1" x14ac:dyDescent="0.35">
      <c r="T8593" s="246">
        <f t="shared" si="172"/>
        <v>0</v>
      </c>
    </row>
    <row r="8594" spans="20:20" ht="18.75" customHeight="1" x14ac:dyDescent="0.35">
      <c r="T8594" s="246">
        <f t="shared" si="172"/>
        <v>0</v>
      </c>
    </row>
    <row r="8595" spans="20:20" ht="18.75" customHeight="1" x14ac:dyDescent="0.35">
      <c r="T8595" s="246">
        <f t="shared" si="172"/>
        <v>0</v>
      </c>
    </row>
    <row r="8596" spans="20:20" ht="18.75" customHeight="1" x14ac:dyDescent="0.35">
      <c r="T8596" s="246">
        <f t="shared" si="172"/>
        <v>0</v>
      </c>
    </row>
    <row r="8597" spans="20:20" ht="18.75" customHeight="1" x14ac:dyDescent="0.35">
      <c r="T8597" s="246">
        <f t="shared" si="172"/>
        <v>0</v>
      </c>
    </row>
    <row r="8598" spans="20:20" ht="18.75" customHeight="1" x14ac:dyDescent="0.35">
      <c r="T8598" s="246">
        <f t="shared" si="172"/>
        <v>0</v>
      </c>
    </row>
    <row r="8599" spans="20:20" ht="18.75" customHeight="1" x14ac:dyDescent="0.35">
      <c r="T8599" s="246">
        <f t="shared" si="172"/>
        <v>0</v>
      </c>
    </row>
    <row r="8600" spans="20:20" ht="18.75" customHeight="1" x14ac:dyDescent="0.35">
      <c r="T8600" s="246">
        <f t="shared" si="172"/>
        <v>0</v>
      </c>
    </row>
    <row r="8601" spans="20:20" ht="18.75" customHeight="1" x14ac:dyDescent="0.35">
      <c r="T8601" s="246">
        <f t="shared" si="172"/>
        <v>0</v>
      </c>
    </row>
    <row r="8602" spans="20:20" ht="18.75" customHeight="1" x14ac:dyDescent="0.35">
      <c r="T8602" s="246">
        <f t="shared" si="172"/>
        <v>0</v>
      </c>
    </row>
    <row r="8603" spans="20:20" ht="18.75" customHeight="1" x14ac:dyDescent="0.35">
      <c r="T8603" s="246">
        <f t="shared" si="172"/>
        <v>0</v>
      </c>
    </row>
    <row r="8604" spans="20:20" ht="18.75" customHeight="1" x14ac:dyDescent="0.35">
      <c r="T8604" s="246">
        <f t="shared" si="172"/>
        <v>0</v>
      </c>
    </row>
    <row r="8605" spans="20:20" ht="18.75" customHeight="1" x14ac:dyDescent="0.35">
      <c r="T8605" s="246">
        <f t="shared" si="172"/>
        <v>0</v>
      </c>
    </row>
    <row r="8606" spans="20:20" ht="18.75" customHeight="1" x14ac:dyDescent="0.35">
      <c r="T8606" s="246">
        <f t="shared" si="172"/>
        <v>0</v>
      </c>
    </row>
    <row r="8607" spans="20:20" ht="18.75" customHeight="1" x14ac:dyDescent="0.35">
      <c r="T8607" s="246">
        <f t="shared" si="172"/>
        <v>0</v>
      </c>
    </row>
    <row r="8608" spans="20:20" ht="18.75" customHeight="1" x14ac:dyDescent="0.35">
      <c r="T8608" s="246">
        <f t="shared" si="172"/>
        <v>0</v>
      </c>
    </row>
    <row r="8609" spans="20:20" ht="18.75" customHeight="1" x14ac:dyDescent="0.35">
      <c r="T8609" s="246">
        <f t="shared" si="172"/>
        <v>0</v>
      </c>
    </row>
    <row r="8610" spans="20:20" ht="18.75" customHeight="1" x14ac:dyDescent="0.35">
      <c r="T8610" s="246">
        <f t="shared" si="172"/>
        <v>0</v>
      </c>
    </row>
    <row r="8611" spans="20:20" ht="18.75" customHeight="1" x14ac:dyDescent="0.35">
      <c r="T8611" s="246">
        <f t="shared" si="172"/>
        <v>0</v>
      </c>
    </row>
    <row r="8612" spans="20:20" ht="18.75" customHeight="1" x14ac:dyDescent="0.35">
      <c r="T8612" s="246">
        <f t="shared" si="172"/>
        <v>0</v>
      </c>
    </row>
    <row r="8613" spans="20:20" ht="18.75" customHeight="1" x14ac:dyDescent="0.35">
      <c r="T8613" s="246">
        <f t="shared" si="172"/>
        <v>0</v>
      </c>
    </row>
    <row r="8614" spans="20:20" ht="18.75" customHeight="1" x14ac:dyDescent="0.35">
      <c r="T8614" s="246">
        <f t="shared" si="172"/>
        <v>0</v>
      </c>
    </row>
    <row r="8615" spans="20:20" ht="18.75" customHeight="1" x14ac:dyDescent="0.35">
      <c r="T8615" s="246">
        <f t="shared" si="172"/>
        <v>0</v>
      </c>
    </row>
    <row r="8616" spans="20:20" ht="18.75" customHeight="1" x14ac:dyDescent="0.35">
      <c r="T8616" s="246">
        <f t="shared" si="172"/>
        <v>0</v>
      </c>
    </row>
    <row r="8617" spans="20:20" ht="18.75" customHeight="1" x14ac:dyDescent="0.35">
      <c r="T8617" s="246">
        <f t="shared" si="172"/>
        <v>0</v>
      </c>
    </row>
    <row r="8618" spans="20:20" ht="18.75" customHeight="1" x14ac:dyDescent="0.35">
      <c r="T8618" s="246">
        <f t="shared" si="172"/>
        <v>0</v>
      </c>
    </row>
    <row r="8619" spans="20:20" ht="18.75" customHeight="1" x14ac:dyDescent="0.35">
      <c r="T8619" s="246">
        <f t="shared" si="172"/>
        <v>0</v>
      </c>
    </row>
    <row r="8620" spans="20:20" ht="18.75" customHeight="1" x14ac:dyDescent="0.35">
      <c r="T8620" s="246">
        <f t="shared" si="172"/>
        <v>0</v>
      </c>
    </row>
    <row r="8621" spans="20:20" ht="18.75" customHeight="1" x14ac:dyDescent="0.35">
      <c r="T8621" s="246">
        <f t="shared" si="172"/>
        <v>0</v>
      </c>
    </row>
    <row r="8622" spans="20:20" ht="18.75" customHeight="1" x14ac:dyDescent="0.35">
      <c r="T8622" s="246">
        <f t="shared" si="172"/>
        <v>0</v>
      </c>
    </row>
    <row r="8623" spans="20:20" ht="18.75" customHeight="1" x14ac:dyDescent="0.35">
      <c r="T8623" s="246">
        <f t="shared" si="172"/>
        <v>0</v>
      </c>
    </row>
    <row r="8624" spans="20:20" ht="18.75" customHeight="1" x14ac:dyDescent="0.35">
      <c r="T8624" s="246">
        <f t="shared" si="172"/>
        <v>0</v>
      </c>
    </row>
    <row r="8625" spans="20:20" ht="18.75" customHeight="1" x14ac:dyDescent="0.35">
      <c r="T8625" s="246">
        <f t="shared" si="172"/>
        <v>0</v>
      </c>
    </row>
    <row r="8626" spans="20:20" ht="18.75" customHeight="1" x14ac:dyDescent="0.35">
      <c r="T8626" s="246">
        <f t="shared" si="172"/>
        <v>0</v>
      </c>
    </row>
    <row r="8627" spans="20:20" ht="18.75" customHeight="1" x14ac:dyDescent="0.35">
      <c r="T8627" s="246">
        <f t="shared" si="172"/>
        <v>0</v>
      </c>
    </row>
    <row r="8628" spans="20:20" ht="18.75" customHeight="1" x14ac:dyDescent="0.35">
      <c r="T8628" s="246">
        <f t="shared" si="172"/>
        <v>0</v>
      </c>
    </row>
    <row r="8629" spans="20:20" ht="18.75" customHeight="1" x14ac:dyDescent="0.35">
      <c r="T8629" s="246">
        <f t="shared" si="172"/>
        <v>0</v>
      </c>
    </row>
    <row r="8630" spans="20:20" ht="18.75" customHeight="1" x14ac:dyDescent="0.35">
      <c r="T8630" s="246">
        <f t="shared" si="172"/>
        <v>0</v>
      </c>
    </row>
    <row r="8631" spans="20:20" ht="18.75" customHeight="1" x14ac:dyDescent="0.35">
      <c r="T8631" s="246">
        <f t="shared" si="172"/>
        <v>0</v>
      </c>
    </row>
    <row r="8632" spans="20:20" ht="18.75" customHeight="1" x14ac:dyDescent="0.35">
      <c r="T8632" s="246">
        <f t="shared" si="172"/>
        <v>0</v>
      </c>
    </row>
    <row r="8633" spans="20:20" ht="18.75" customHeight="1" x14ac:dyDescent="0.35">
      <c r="T8633" s="246">
        <f t="shared" si="172"/>
        <v>0</v>
      </c>
    </row>
    <row r="8634" spans="20:20" ht="18.75" customHeight="1" x14ac:dyDescent="0.35">
      <c r="T8634" s="246">
        <f t="shared" si="172"/>
        <v>0</v>
      </c>
    </row>
    <row r="8635" spans="20:20" ht="18.75" customHeight="1" x14ac:dyDescent="0.35">
      <c r="T8635" s="246">
        <f t="shared" si="172"/>
        <v>0</v>
      </c>
    </row>
    <row r="8636" spans="20:20" ht="18.75" customHeight="1" x14ac:dyDescent="0.35">
      <c r="T8636" s="246">
        <f t="shared" ref="T8636:T8699" si="173">R8636*0.01</f>
        <v>0</v>
      </c>
    </row>
    <row r="8637" spans="20:20" ht="18.75" customHeight="1" x14ac:dyDescent="0.35">
      <c r="T8637" s="246">
        <f t="shared" si="173"/>
        <v>0</v>
      </c>
    </row>
    <row r="8638" spans="20:20" ht="18.75" customHeight="1" x14ac:dyDescent="0.35">
      <c r="T8638" s="246">
        <f t="shared" si="173"/>
        <v>0</v>
      </c>
    </row>
    <row r="8639" spans="20:20" ht="18.75" customHeight="1" x14ac:dyDescent="0.35">
      <c r="T8639" s="246">
        <f t="shared" si="173"/>
        <v>0</v>
      </c>
    </row>
    <row r="8640" spans="20:20" ht="18.75" customHeight="1" x14ac:dyDescent="0.35">
      <c r="T8640" s="246">
        <f t="shared" si="173"/>
        <v>0</v>
      </c>
    </row>
    <row r="8641" spans="20:20" ht="18.75" customHeight="1" x14ac:dyDescent="0.35">
      <c r="T8641" s="246">
        <f t="shared" si="173"/>
        <v>0</v>
      </c>
    </row>
    <row r="8642" spans="20:20" ht="18.75" customHeight="1" x14ac:dyDescent="0.35">
      <c r="T8642" s="246">
        <f t="shared" si="173"/>
        <v>0</v>
      </c>
    </row>
    <row r="8643" spans="20:20" ht="18.75" customHeight="1" x14ac:dyDescent="0.35">
      <c r="T8643" s="246">
        <f t="shared" si="173"/>
        <v>0</v>
      </c>
    </row>
    <row r="8644" spans="20:20" ht="18.75" customHeight="1" x14ac:dyDescent="0.35">
      <c r="T8644" s="246">
        <f t="shared" si="173"/>
        <v>0</v>
      </c>
    </row>
    <row r="8645" spans="20:20" ht="18.75" customHeight="1" x14ac:dyDescent="0.35">
      <c r="T8645" s="246">
        <f t="shared" si="173"/>
        <v>0</v>
      </c>
    </row>
    <row r="8646" spans="20:20" ht="18.75" customHeight="1" x14ac:dyDescent="0.35">
      <c r="T8646" s="246">
        <f t="shared" si="173"/>
        <v>0</v>
      </c>
    </row>
    <row r="8647" spans="20:20" ht="18.75" customHeight="1" x14ac:dyDescent="0.35">
      <c r="T8647" s="246">
        <f t="shared" si="173"/>
        <v>0</v>
      </c>
    </row>
    <row r="8648" spans="20:20" ht="18.75" customHeight="1" x14ac:dyDescent="0.35">
      <c r="T8648" s="246">
        <f t="shared" si="173"/>
        <v>0</v>
      </c>
    </row>
    <row r="8649" spans="20:20" ht="18.75" customHeight="1" x14ac:dyDescent="0.35">
      <c r="T8649" s="246">
        <f t="shared" si="173"/>
        <v>0</v>
      </c>
    </row>
    <row r="8650" spans="20:20" ht="18.75" customHeight="1" x14ac:dyDescent="0.35">
      <c r="T8650" s="246">
        <f t="shared" si="173"/>
        <v>0</v>
      </c>
    </row>
    <row r="8651" spans="20:20" ht="18.75" customHeight="1" x14ac:dyDescent="0.35">
      <c r="T8651" s="246">
        <f t="shared" si="173"/>
        <v>0</v>
      </c>
    </row>
    <row r="8652" spans="20:20" ht="18.75" customHeight="1" x14ac:dyDescent="0.35">
      <c r="T8652" s="246">
        <f t="shared" si="173"/>
        <v>0</v>
      </c>
    </row>
    <row r="8653" spans="20:20" ht="18.75" customHeight="1" x14ac:dyDescent="0.35">
      <c r="T8653" s="246">
        <f t="shared" si="173"/>
        <v>0</v>
      </c>
    </row>
    <row r="8654" spans="20:20" ht="18.75" customHeight="1" x14ac:dyDescent="0.35">
      <c r="T8654" s="246">
        <f t="shared" si="173"/>
        <v>0</v>
      </c>
    </row>
    <row r="8655" spans="20:20" ht="18.75" customHeight="1" x14ac:dyDescent="0.35">
      <c r="T8655" s="246">
        <f t="shared" si="173"/>
        <v>0</v>
      </c>
    </row>
    <row r="8656" spans="20:20" ht="18.75" customHeight="1" x14ac:dyDescent="0.35">
      <c r="T8656" s="246">
        <f t="shared" si="173"/>
        <v>0</v>
      </c>
    </row>
    <row r="8657" spans="20:20" ht="18.75" customHeight="1" x14ac:dyDescent="0.35">
      <c r="T8657" s="246">
        <f t="shared" si="173"/>
        <v>0</v>
      </c>
    </row>
    <row r="8658" spans="20:20" ht="18.75" customHeight="1" x14ac:dyDescent="0.35">
      <c r="T8658" s="246">
        <f t="shared" si="173"/>
        <v>0</v>
      </c>
    </row>
    <row r="8659" spans="20:20" ht="18.75" customHeight="1" x14ac:dyDescent="0.35">
      <c r="T8659" s="246">
        <f t="shared" si="173"/>
        <v>0</v>
      </c>
    </row>
    <row r="8660" spans="20:20" ht="18.75" customHeight="1" x14ac:dyDescent="0.35">
      <c r="T8660" s="246">
        <f t="shared" si="173"/>
        <v>0</v>
      </c>
    </row>
    <row r="8661" spans="20:20" ht="18.75" customHeight="1" x14ac:dyDescent="0.35">
      <c r="T8661" s="246">
        <f t="shared" si="173"/>
        <v>0</v>
      </c>
    </row>
    <row r="8662" spans="20:20" ht="18.75" customHeight="1" x14ac:dyDescent="0.35">
      <c r="T8662" s="246">
        <f t="shared" si="173"/>
        <v>0</v>
      </c>
    </row>
    <row r="8663" spans="20:20" ht="18.75" customHeight="1" x14ac:dyDescent="0.35">
      <c r="T8663" s="246">
        <f t="shared" si="173"/>
        <v>0</v>
      </c>
    </row>
    <row r="8664" spans="20:20" ht="18.75" customHeight="1" x14ac:dyDescent="0.35">
      <c r="T8664" s="246">
        <f t="shared" si="173"/>
        <v>0</v>
      </c>
    </row>
    <row r="8665" spans="20:20" ht="18.75" customHeight="1" x14ac:dyDescent="0.35">
      <c r="T8665" s="246">
        <f t="shared" si="173"/>
        <v>0</v>
      </c>
    </row>
    <row r="8666" spans="20:20" ht="18.75" customHeight="1" x14ac:dyDescent="0.35">
      <c r="T8666" s="246">
        <f t="shared" si="173"/>
        <v>0</v>
      </c>
    </row>
    <row r="8667" spans="20:20" ht="18.75" customHeight="1" x14ac:dyDescent="0.35">
      <c r="T8667" s="246">
        <f t="shared" si="173"/>
        <v>0</v>
      </c>
    </row>
    <row r="8668" spans="20:20" ht="18.75" customHeight="1" x14ac:dyDescent="0.35">
      <c r="T8668" s="246">
        <f t="shared" si="173"/>
        <v>0</v>
      </c>
    </row>
    <row r="8669" spans="20:20" ht="18.75" customHeight="1" x14ac:dyDescent="0.35">
      <c r="T8669" s="246">
        <f t="shared" si="173"/>
        <v>0</v>
      </c>
    </row>
    <row r="8670" spans="20:20" ht="18.75" customHeight="1" x14ac:dyDescent="0.35">
      <c r="T8670" s="246">
        <f t="shared" si="173"/>
        <v>0</v>
      </c>
    </row>
    <row r="8671" spans="20:20" ht="18.75" customHeight="1" x14ac:dyDescent="0.35">
      <c r="T8671" s="246">
        <f t="shared" si="173"/>
        <v>0</v>
      </c>
    </row>
    <row r="8672" spans="20:20" ht="18.75" customHeight="1" x14ac:dyDescent="0.35">
      <c r="T8672" s="246">
        <f t="shared" si="173"/>
        <v>0</v>
      </c>
    </row>
    <row r="8673" spans="20:20" ht="18.75" customHeight="1" x14ac:dyDescent="0.35">
      <c r="T8673" s="246">
        <f t="shared" si="173"/>
        <v>0</v>
      </c>
    </row>
    <row r="8674" spans="20:20" ht="18.75" customHeight="1" x14ac:dyDescent="0.35">
      <c r="T8674" s="246">
        <f t="shared" si="173"/>
        <v>0</v>
      </c>
    </row>
    <row r="8675" spans="20:20" ht="18.75" customHeight="1" x14ac:dyDescent="0.35">
      <c r="T8675" s="246">
        <f t="shared" si="173"/>
        <v>0</v>
      </c>
    </row>
    <row r="8676" spans="20:20" ht="18.75" customHeight="1" x14ac:dyDescent="0.35">
      <c r="T8676" s="246">
        <f t="shared" si="173"/>
        <v>0</v>
      </c>
    </row>
    <row r="8677" spans="20:20" ht="18.75" customHeight="1" x14ac:dyDescent="0.35">
      <c r="T8677" s="246">
        <f t="shared" si="173"/>
        <v>0</v>
      </c>
    </row>
    <row r="8678" spans="20:20" ht="18.75" customHeight="1" x14ac:dyDescent="0.35">
      <c r="T8678" s="246">
        <f t="shared" si="173"/>
        <v>0</v>
      </c>
    </row>
    <row r="8679" spans="20:20" ht="18.75" customHeight="1" x14ac:dyDescent="0.35">
      <c r="T8679" s="246">
        <f t="shared" si="173"/>
        <v>0</v>
      </c>
    </row>
    <row r="8680" spans="20:20" ht="18.75" customHeight="1" x14ac:dyDescent="0.35">
      <c r="T8680" s="246">
        <f t="shared" si="173"/>
        <v>0</v>
      </c>
    </row>
    <row r="8681" spans="20:20" ht="18.75" customHeight="1" x14ac:dyDescent="0.35">
      <c r="T8681" s="246">
        <f t="shared" si="173"/>
        <v>0</v>
      </c>
    </row>
    <row r="8682" spans="20:20" ht="18.75" customHeight="1" x14ac:dyDescent="0.35">
      <c r="T8682" s="246">
        <f t="shared" si="173"/>
        <v>0</v>
      </c>
    </row>
    <row r="8683" spans="20:20" ht="18.75" customHeight="1" x14ac:dyDescent="0.35">
      <c r="T8683" s="246">
        <f t="shared" si="173"/>
        <v>0</v>
      </c>
    </row>
    <row r="8684" spans="20:20" ht="18.75" customHeight="1" x14ac:dyDescent="0.35">
      <c r="T8684" s="246">
        <f t="shared" si="173"/>
        <v>0</v>
      </c>
    </row>
    <row r="8685" spans="20:20" ht="18.75" customHeight="1" x14ac:dyDescent="0.35">
      <c r="T8685" s="246">
        <f t="shared" si="173"/>
        <v>0</v>
      </c>
    </row>
    <row r="8686" spans="20:20" ht="18.75" customHeight="1" x14ac:dyDescent="0.35">
      <c r="T8686" s="246">
        <f t="shared" si="173"/>
        <v>0</v>
      </c>
    </row>
    <row r="8687" spans="20:20" ht="18.75" customHeight="1" x14ac:dyDescent="0.35">
      <c r="T8687" s="246">
        <f t="shared" si="173"/>
        <v>0</v>
      </c>
    </row>
    <row r="8688" spans="20:20" ht="18.75" customHeight="1" x14ac:dyDescent="0.35">
      <c r="T8688" s="246">
        <f t="shared" si="173"/>
        <v>0</v>
      </c>
    </row>
    <row r="8689" spans="20:20" ht="18.75" customHeight="1" x14ac:dyDescent="0.35">
      <c r="T8689" s="246">
        <f t="shared" si="173"/>
        <v>0</v>
      </c>
    </row>
    <row r="8690" spans="20:20" ht="18.75" customHeight="1" x14ac:dyDescent="0.35">
      <c r="T8690" s="246">
        <f t="shared" si="173"/>
        <v>0</v>
      </c>
    </row>
    <row r="8691" spans="20:20" ht="18.75" customHeight="1" x14ac:dyDescent="0.35">
      <c r="T8691" s="246">
        <f t="shared" si="173"/>
        <v>0</v>
      </c>
    </row>
    <row r="8692" spans="20:20" ht="18.75" customHeight="1" x14ac:dyDescent="0.35">
      <c r="T8692" s="246">
        <f t="shared" si="173"/>
        <v>0</v>
      </c>
    </row>
    <row r="8693" spans="20:20" ht="18.75" customHeight="1" x14ac:dyDescent="0.35">
      <c r="T8693" s="246">
        <f t="shared" si="173"/>
        <v>0</v>
      </c>
    </row>
    <row r="8694" spans="20:20" ht="18.75" customHeight="1" x14ac:dyDescent="0.35">
      <c r="T8694" s="246">
        <f t="shared" si="173"/>
        <v>0</v>
      </c>
    </row>
    <row r="8695" spans="20:20" ht="18.75" customHeight="1" x14ac:dyDescent="0.35">
      <c r="T8695" s="246">
        <f t="shared" si="173"/>
        <v>0</v>
      </c>
    </row>
    <row r="8696" spans="20:20" ht="18.75" customHeight="1" x14ac:dyDescent="0.35">
      <c r="T8696" s="246">
        <f t="shared" si="173"/>
        <v>0</v>
      </c>
    </row>
    <row r="8697" spans="20:20" ht="18.75" customHeight="1" x14ac:dyDescent="0.35">
      <c r="T8697" s="246">
        <f t="shared" si="173"/>
        <v>0</v>
      </c>
    </row>
    <row r="8698" spans="20:20" ht="18.75" customHeight="1" x14ac:dyDescent="0.35">
      <c r="T8698" s="246">
        <f t="shared" si="173"/>
        <v>0</v>
      </c>
    </row>
    <row r="8699" spans="20:20" ht="18.75" customHeight="1" x14ac:dyDescent="0.35">
      <c r="T8699" s="246">
        <f t="shared" si="173"/>
        <v>0</v>
      </c>
    </row>
    <row r="8700" spans="20:20" ht="18.75" customHeight="1" x14ac:dyDescent="0.35">
      <c r="T8700" s="246">
        <f t="shared" ref="T8700:T8763" si="174">R8700*0.01</f>
        <v>0</v>
      </c>
    </row>
    <row r="8701" spans="20:20" ht="18.75" customHeight="1" x14ac:dyDescent="0.35">
      <c r="T8701" s="246">
        <f t="shared" si="174"/>
        <v>0</v>
      </c>
    </row>
    <row r="8702" spans="20:20" ht="18.75" customHeight="1" x14ac:dyDescent="0.35">
      <c r="T8702" s="246">
        <f t="shared" si="174"/>
        <v>0</v>
      </c>
    </row>
    <row r="8703" spans="20:20" ht="18.75" customHeight="1" x14ac:dyDescent="0.35">
      <c r="T8703" s="246">
        <f t="shared" si="174"/>
        <v>0</v>
      </c>
    </row>
    <row r="8704" spans="20:20" ht="18.75" customHeight="1" x14ac:dyDescent="0.35">
      <c r="T8704" s="246">
        <f t="shared" si="174"/>
        <v>0</v>
      </c>
    </row>
    <row r="8705" spans="20:20" ht="18.75" customHeight="1" x14ac:dyDescent="0.35">
      <c r="T8705" s="246">
        <f t="shared" si="174"/>
        <v>0</v>
      </c>
    </row>
    <row r="8706" spans="20:20" ht="18.75" customHeight="1" x14ac:dyDescent="0.35">
      <c r="T8706" s="246">
        <f t="shared" si="174"/>
        <v>0</v>
      </c>
    </row>
    <row r="8707" spans="20:20" ht="18.75" customHeight="1" x14ac:dyDescent="0.35">
      <c r="T8707" s="246">
        <f t="shared" si="174"/>
        <v>0</v>
      </c>
    </row>
    <row r="8708" spans="20:20" ht="18.75" customHeight="1" x14ac:dyDescent="0.35">
      <c r="T8708" s="246">
        <f t="shared" si="174"/>
        <v>0</v>
      </c>
    </row>
    <row r="8709" spans="20:20" ht="18.75" customHeight="1" x14ac:dyDescent="0.35">
      <c r="T8709" s="246">
        <f t="shared" si="174"/>
        <v>0</v>
      </c>
    </row>
    <row r="8710" spans="20:20" ht="18.75" customHeight="1" x14ac:dyDescent="0.35">
      <c r="T8710" s="246">
        <f t="shared" si="174"/>
        <v>0</v>
      </c>
    </row>
    <row r="8711" spans="20:20" ht="18.75" customHeight="1" x14ac:dyDescent="0.35">
      <c r="T8711" s="246">
        <f t="shared" si="174"/>
        <v>0</v>
      </c>
    </row>
    <row r="8712" spans="20:20" ht="18.75" customHeight="1" x14ac:dyDescent="0.35">
      <c r="T8712" s="246">
        <f t="shared" si="174"/>
        <v>0</v>
      </c>
    </row>
    <row r="8713" spans="20:20" ht="18.75" customHeight="1" x14ac:dyDescent="0.35">
      <c r="T8713" s="246">
        <f t="shared" si="174"/>
        <v>0</v>
      </c>
    </row>
    <row r="8714" spans="20:20" ht="18.75" customHeight="1" x14ac:dyDescent="0.35">
      <c r="T8714" s="246">
        <f t="shared" si="174"/>
        <v>0</v>
      </c>
    </row>
    <row r="8715" spans="20:20" ht="18.75" customHeight="1" x14ac:dyDescent="0.35">
      <c r="T8715" s="246">
        <f t="shared" si="174"/>
        <v>0</v>
      </c>
    </row>
    <row r="8716" spans="20:20" ht="18.75" customHeight="1" x14ac:dyDescent="0.35">
      <c r="T8716" s="246">
        <f t="shared" si="174"/>
        <v>0</v>
      </c>
    </row>
    <row r="8717" spans="20:20" ht="18.75" customHeight="1" x14ac:dyDescent="0.35">
      <c r="T8717" s="246">
        <f t="shared" si="174"/>
        <v>0</v>
      </c>
    </row>
    <row r="8718" spans="20:20" ht="18.75" customHeight="1" x14ac:dyDescent="0.35">
      <c r="T8718" s="246">
        <f t="shared" si="174"/>
        <v>0</v>
      </c>
    </row>
    <row r="8719" spans="20:20" ht="18.75" customHeight="1" x14ac:dyDescent="0.35">
      <c r="T8719" s="246">
        <f t="shared" si="174"/>
        <v>0</v>
      </c>
    </row>
    <row r="8720" spans="20:20" ht="18.75" customHeight="1" x14ac:dyDescent="0.35">
      <c r="T8720" s="246">
        <f t="shared" si="174"/>
        <v>0</v>
      </c>
    </row>
    <row r="8721" spans="20:20" ht="18.75" customHeight="1" x14ac:dyDescent="0.35">
      <c r="T8721" s="246">
        <f t="shared" si="174"/>
        <v>0</v>
      </c>
    </row>
    <row r="8722" spans="20:20" ht="18.75" customHeight="1" x14ac:dyDescent="0.35">
      <c r="T8722" s="246">
        <f t="shared" si="174"/>
        <v>0</v>
      </c>
    </row>
    <row r="8723" spans="20:20" ht="18.75" customHeight="1" x14ac:dyDescent="0.35">
      <c r="T8723" s="246">
        <f t="shared" si="174"/>
        <v>0</v>
      </c>
    </row>
    <row r="8724" spans="20:20" ht="18.75" customHeight="1" x14ac:dyDescent="0.35">
      <c r="T8724" s="246">
        <f t="shared" si="174"/>
        <v>0</v>
      </c>
    </row>
    <row r="8725" spans="20:20" ht="18.75" customHeight="1" x14ac:dyDescent="0.35">
      <c r="T8725" s="246">
        <f t="shared" si="174"/>
        <v>0</v>
      </c>
    </row>
    <row r="8726" spans="20:20" ht="18.75" customHeight="1" x14ac:dyDescent="0.35">
      <c r="T8726" s="246">
        <f t="shared" si="174"/>
        <v>0</v>
      </c>
    </row>
    <row r="8727" spans="20:20" ht="18.75" customHeight="1" x14ac:dyDescent="0.35">
      <c r="T8727" s="246">
        <f t="shared" si="174"/>
        <v>0</v>
      </c>
    </row>
    <row r="8728" spans="20:20" ht="18.75" customHeight="1" x14ac:dyDescent="0.35">
      <c r="T8728" s="246">
        <f t="shared" si="174"/>
        <v>0</v>
      </c>
    </row>
    <row r="8729" spans="20:20" ht="18.75" customHeight="1" x14ac:dyDescent="0.35">
      <c r="T8729" s="246">
        <f t="shared" si="174"/>
        <v>0</v>
      </c>
    </row>
    <row r="8730" spans="20:20" ht="18.75" customHeight="1" x14ac:dyDescent="0.35">
      <c r="T8730" s="246">
        <f t="shared" si="174"/>
        <v>0</v>
      </c>
    </row>
    <row r="8731" spans="20:20" ht="18.75" customHeight="1" x14ac:dyDescent="0.35">
      <c r="T8731" s="246">
        <f t="shared" si="174"/>
        <v>0</v>
      </c>
    </row>
    <row r="8732" spans="20:20" ht="18.75" customHeight="1" x14ac:dyDescent="0.35">
      <c r="T8732" s="246">
        <f t="shared" si="174"/>
        <v>0</v>
      </c>
    </row>
    <row r="8733" spans="20:20" ht="18.75" customHeight="1" x14ac:dyDescent="0.35">
      <c r="T8733" s="246">
        <f t="shared" si="174"/>
        <v>0</v>
      </c>
    </row>
    <row r="8734" spans="20:20" ht="18.75" customHeight="1" x14ac:dyDescent="0.35">
      <c r="T8734" s="246">
        <f t="shared" si="174"/>
        <v>0</v>
      </c>
    </row>
    <row r="8735" spans="20:20" ht="18.75" customHeight="1" x14ac:dyDescent="0.35">
      <c r="T8735" s="246">
        <f t="shared" si="174"/>
        <v>0</v>
      </c>
    </row>
    <row r="8736" spans="20:20" ht="18.75" customHeight="1" x14ac:dyDescent="0.35">
      <c r="T8736" s="246">
        <f t="shared" si="174"/>
        <v>0</v>
      </c>
    </row>
    <row r="8737" spans="20:20" ht="18.75" customHeight="1" x14ac:dyDescent="0.35">
      <c r="T8737" s="246">
        <f t="shared" si="174"/>
        <v>0</v>
      </c>
    </row>
    <row r="8738" spans="20:20" ht="18.75" customHeight="1" x14ac:dyDescent="0.35">
      <c r="T8738" s="246">
        <f t="shared" si="174"/>
        <v>0</v>
      </c>
    </row>
    <row r="8739" spans="20:20" ht="18.75" customHeight="1" x14ac:dyDescent="0.35">
      <c r="T8739" s="246">
        <f t="shared" si="174"/>
        <v>0</v>
      </c>
    </row>
    <row r="8740" spans="20:20" ht="18.75" customHeight="1" x14ac:dyDescent="0.35">
      <c r="T8740" s="246">
        <f t="shared" si="174"/>
        <v>0</v>
      </c>
    </row>
    <row r="8741" spans="20:20" ht="18.75" customHeight="1" x14ac:dyDescent="0.35">
      <c r="T8741" s="246">
        <f t="shared" si="174"/>
        <v>0</v>
      </c>
    </row>
    <row r="8742" spans="20:20" ht="18.75" customHeight="1" x14ac:dyDescent="0.35">
      <c r="T8742" s="246">
        <f t="shared" si="174"/>
        <v>0</v>
      </c>
    </row>
    <row r="8743" spans="20:20" ht="18.75" customHeight="1" x14ac:dyDescent="0.35">
      <c r="T8743" s="246">
        <f t="shared" si="174"/>
        <v>0</v>
      </c>
    </row>
    <row r="8744" spans="20:20" ht="18.75" customHeight="1" x14ac:dyDescent="0.35">
      <c r="T8744" s="246">
        <f t="shared" si="174"/>
        <v>0</v>
      </c>
    </row>
    <row r="8745" spans="20:20" ht="18.75" customHeight="1" x14ac:dyDescent="0.35">
      <c r="T8745" s="246">
        <f t="shared" si="174"/>
        <v>0</v>
      </c>
    </row>
    <row r="8746" spans="20:20" ht="18.75" customHeight="1" x14ac:dyDescent="0.35">
      <c r="T8746" s="246">
        <f t="shared" si="174"/>
        <v>0</v>
      </c>
    </row>
    <row r="8747" spans="20:20" ht="18.75" customHeight="1" x14ac:dyDescent="0.35">
      <c r="T8747" s="246">
        <f t="shared" si="174"/>
        <v>0</v>
      </c>
    </row>
    <row r="8748" spans="20:20" ht="18.75" customHeight="1" x14ac:dyDescent="0.35">
      <c r="T8748" s="246">
        <f t="shared" si="174"/>
        <v>0</v>
      </c>
    </row>
    <row r="8749" spans="20:20" ht="18.75" customHeight="1" x14ac:dyDescent="0.35">
      <c r="T8749" s="246">
        <f t="shared" si="174"/>
        <v>0</v>
      </c>
    </row>
    <row r="8750" spans="20:20" ht="18.75" customHeight="1" x14ac:dyDescent="0.35">
      <c r="T8750" s="246">
        <f t="shared" si="174"/>
        <v>0</v>
      </c>
    </row>
    <row r="8751" spans="20:20" ht="18.75" customHeight="1" x14ac:dyDescent="0.35">
      <c r="T8751" s="246">
        <f t="shared" si="174"/>
        <v>0</v>
      </c>
    </row>
    <row r="8752" spans="20:20" ht="18.75" customHeight="1" x14ac:dyDescent="0.35">
      <c r="T8752" s="246">
        <f t="shared" si="174"/>
        <v>0</v>
      </c>
    </row>
    <row r="8753" spans="20:20" ht="18.75" customHeight="1" x14ac:dyDescent="0.35">
      <c r="T8753" s="246">
        <f t="shared" si="174"/>
        <v>0</v>
      </c>
    </row>
    <row r="8754" spans="20:20" ht="18.75" customHeight="1" x14ac:dyDescent="0.35">
      <c r="T8754" s="246">
        <f t="shared" si="174"/>
        <v>0</v>
      </c>
    </row>
    <row r="8755" spans="20:20" ht="18.75" customHeight="1" x14ac:dyDescent="0.35">
      <c r="T8755" s="246">
        <f t="shared" si="174"/>
        <v>0</v>
      </c>
    </row>
    <row r="8756" spans="20:20" ht="18.75" customHeight="1" x14ac:dyDescent="0.35">
      <c r="T8756" s="246">
        <f t="shared" si="174"/>
        <v>0</v>
      </c>
    </row>
    <row r="8757" spans="20:20" ht="18.75" customHeight="1" x14ac:dyDescent="0.35">
      <c r="T8757" s="246">
        <f t="shared" si="174"/>
        <v>0</v>
      </c>
    </row>
    <row r="8758" spans="20:20" ht="18.75" customHeight="1" x14ac:dyDescent="0.35">
      <c r="T8758" s="246">
        <f t="shared" si="174"/>
        <v>0</v>
      </c>
    </row>
    <row r="8759" spans="20:20" ht="18.75" customHeight="1" x14ac:dyDescent="0.35">
      <c r="T8759" s="246">
        <f t="shared" si="174"/>
        <v>0</v>
      </c>
    </row>
    <row r="8760" spans="20:20" ht="18.75" customHeight="1" x14ac:dyDescent="0.35">
      <c r="T8760" s="246">
        <f t="shared" si="174"/>
        <v>0</v>
      </c>
    </row>
    <row r="8761" spans="20:20" ht="18.75" customHeight="1" x14ac:dyDescent="0.35">
      <c r="T8761" s="246">
        <f t="shared" si="174"/>
        <v>0</v>
      </c>
    </row>
    <row r="8762" spans="20:20" ht="18.75" customHeight="1" x14ac:dyDescent="0.35">
      <c r="T8762" s="246">
        <f t="shared" si="174"/>
        <v>0</v>
      </c>
    </row>
    <row r="8763" spans="20:20" ht="18.75" customHeight="1" x14ac:dyDescent="0.35">
      <c r="T8763" s="246">
        <f t="shared" si="174"/>
        <v>0</v>
      </c>
    </row>
    <row r="8764" spans="20:20" ht="18.75" customHeight="1" x14ac:dyDescent="0.35">
      <c r="T8764" s="246">
        <f t="shared" ref="T8764:T8827" si="175">R8764*0.01</f>
        <v>0</v>
      </c>
    </row>
    <row r="8765" spans="20:20" ht="18.75" customHeight="1" x14ac:dyDescent="0.35">
      <c r="T8765" s="246">
        <f t="shared" si="175"/>
        <v>0</v>
      </c>
    </row>
    <row r="8766" spans="20:20" ht="18.75" customHeight="1" x14ac:dyDescent="0.35">
      <c r="T8766" s="246">
        <f t="shared" si="175"/>
        <v>0</v>
      </c>
    </row>
    <row r="8767" spans="20:20" ht="18.75" customHeight="1" x14ac:dyDescent="0.35">
      <c r="T8767" s="246">
        <f t="shared" si="175"/>
        <v>0</v>
      </c>
    </row>
    <row r="8768" spans="20:20" ht="18.75" customHeight="1" x14ac:dyDescent="0.35">
      <c r="T8768" s="246">
        <f t="shared" si="175"/>
        <v>0</v>
      </c>
    </row>
    <row r="8769" spans="20:20" ht="18.75" customHeight="1" x14ac:dyDescent="0.35">
      <c r="T8769" s="246">
        <f t="shared" si="175"/>
        <v>0</v>
      </c>
    </row>
    <row r="8770" spans="20:20" ht="18.75" customHeight="1" x14ac:dyDescent="0.35">
      <c r="T8770" s="246">
        <f t="shared" si="175"/>
        <v>0</v>
      </c>
    </row>
    <row r="8771" spans="20:20" ht="18.75" customHeight="1" x14ac:dyDescent="0.35">
      <c r="T8771" s="246">
        <f t="shared" si="175"/>
        <v>0</v>
      </c>
    </row>
    <row r="8772" spans="20:20" ht="18.75" customHeight="1" x14ac:dyDescent="0.35">
      <c r="T8772" s="246">
        <f t="shared" si="175"/>
        <v>0</v>
      </c>
    </row>
    <row r="8773" spans="20:20" ht="18.75" customHeight="1" x14ac:dyDescent="0.35">
      <c r="T8773" s="246">
        <f t="shared" si="175"/>
        <v>0</v>
      </c>
    </row>
    <row r="8774" spans="20:20" ht="18.75" customHeight="1" x14ac:dyDescent="0.35">
      <c r="T8774" s="246">
        <f t="shared" si="175"/>
        <v>0</v>
      </c>
    </row>
    <row r="8775" spans="20:20" ht="18.75" customHeight="1" x14ac:dyDescent="0.35">
      <c r="T8775" s="246">
        <f t="shared" si="175"/>
        <v>0</v>
      </c>
    </row>
    <row r="8776" spans="20:20" ht="18.75" customHeight="1" x14ac:dyDescent="0.35">
      <c r="T8776" s="246">
        <f t="shared" si="175"/>
        <v>0</v>
      </c>
    </row>
    <row r="8777" spans="20:20" ht="18.75" customHeight="1" x14ac:dyDescent="0.35">
      <c r="T8777" s="246">
        <f t="shared" si="175"/>
        <v>0</v>
      </c>
    </row>
    <row r="8778" spans="20:20" ht="18.75" customHeight="1" x14ac:dyDescent="0.35">
      <c r="T8778" s="246">
        <f t="shared" si="175"/>
        <v>0</v>
      </c>
    </row>
    <row r="8779" spans="20:20" ht="18.75" customHeight="1" x14ac:dyDescent="0.35">
      <c r="T8779" s="246">
        <f t="shared" si="175"/>
        <v>0</v>
      </c>
    </row>
    <row r="8780" spans="20:20" ht="18.75" customHeight="1" x14ac:dyDescent="0.35">
      <c r="T8780" s="246">
        <f t="shared" si="175"/>
        <v>0</v>
      </c>
    </row>
    <row r="8781" spans="20:20" ht="18.75" customHeight="1" x14ac:dyDescent="0.35">
      <c r="T8781" s="246">
        <f t="shared" si="175"/>
        <v>0</v>
      </c>
    </row>
    <row r="8782" spans="20:20" ht="18.75" customHeight="1" x14ac:dyDescent="0.35">
      <c r="T8782" s="246">
        <f t="shared" si="175"/>
        <v>0</v>
      </c>
    </row>
    <row r="8783" spans="20:20" ht="18.75" customHeight="1" x14ac:dyDescent="0.35">
      <c r="T8783" s="246">
        <f t="shared" si="175"/>
        <v>0</v>
      </c>
    </row>
    <row r="8784" spans="20:20" ht="18.75" customHeight="1" x14ac:dyDescent="0.35">
      <c r="T8784" s="246">
        <f t="shared" si="175"/>
        <v>0</v>
      </c>
    </row>
    <row r="8785" spans="20:20" ht="18.75" customHeight="1" x14ac:dyDescent="0.35">
      <c r="T8785" s="246">
        <f t="shared" si="175"/>
        <v>0</v>
      </c>
    </row>
    <row r="8786" spans="20:20" ht="18.75" customHeight="1" x14ac:dyDescent="0.35">
      <c r="T8786" s="246">
        <f t="shared" si="175"/>
        <v>0</v>
      </c>
    </row>
    <row r="8787" spans="20:20" ht="18.75" customHeight="1" x14ac:dyDescent="0.35">
      <c r="T8787" s="246">
        <f t="shared" si="175"/>
        <v>0</v>
      </c>
    </row>
    <row r="8788" spans="20:20" ht="18.75" customHeight="1" x14ac:dyDescent="0.35">
      <c r="T8788" s="246">
        <f t="shared" si="175"/>
        <v>0</v>
      </c>
    </row>
    <row r="8789" spans="20:20" ht="18.75" customHeight="1" x14ac:dyDescent="0.35">
      <c r="T8789" s="246">
        <f t="shared" si="175"/>
        <v>0</v>
      </c>
    </row>
    <row r="8790" spans="20:20" ht="18.75" customHeight="1" x14ac:dyDescent="0.35">
      <c r="T8790" s="246">
        <f t="shared" si="175"/>
        <v>0</v>
      </c>
    </row>
    <row r="8791" spans="20:20" ht="18.75" customHeight="1" x14ac:dyDescent="0.35">
      <c r="T8791" s="246">
        <f t="shared" si="175"/>
        <v>0</v>
      </c>
    </row>
    <row r="8792" spans="20:20" ht="18.75" customHeight="1" x14ac:dyDescent="0.35">
      <c r="T8792" s="246">
        <f t="shared" si="175"/>
        <v>0</v>
      </c>
    </row>
    <row r="8793" spans="20:20" ht="18.75" customHeight="1" x14ac:dyDescent="0.35">
      <c r="T8793" s="246">
        <f t="shared" si="175"/>
        <v>0</v>
      </c>
    </row>
    <row r="8794" spans="20:20" ht="18.75" customHeight="1" x14ac:dyDescent="0.35">
      <c r="T8794" s="246">
        <f t="shared" si="175"/>
        <v>0</v>
      </c>
    </row>
    <row r="8795" spans="20:20" ht="18.75" customHeight="1" x14ac:dyDescent="0.35">
      <c r="T8795" s="246">
        <f t="shared" si="175"/>
        <v>0</v>
      </c>
    </row>
    <row r="8796" spans="20:20" ht="18.75" customHeight="1" x14ac:dyDescent="0.35">
      <c r="T8796" s="246">
        <f t="shared" si="175"/>
        <v>0</v>
      </c>
    </row>
    <row r="8797" spans="20:20" ht="18.75" customHeight="1" x14ac:dyDescent="0.35">
      <c r="T8797" s="246">
        <f t="shared" si="175"/>
        <v>0</v>
      </c>
    </row>
    <row r="8798" spans="20:20" ht="18.75" customHeight="1" x14ac:dyDescent="0.35">
      <c r="T8798" s="246">
        <f t="shared" si="175"/>
        <v>0</v>
      </c>
    </row>
    <row r="8799" spans="20:20" ht="18.75" customHeight="1" x14ac:dyDescent="0.35">
      <c r="T8799" s="246">
        <f t="shared" si="175"/>
        <v>0</v>
      </c>
    </row>
    <row r="8800" spans="20:20" ht="18.75" customHeight="1" x14ac:dyDescent="0.35">
      <c r="T8800" s="246">
        <f t="shared" si="175"/>
        <v>0</v>
      </c>
    </row>
    <row r="8801" spans="20:20" ht="18.75" customHeight="1" x14ac:dyDescent="0.35">
      <c r="T8801" s="246">
        <f t="shared" si="175"/>
        <v>0</v>
      </c>
    </row>
    <row r="8802" spans="20:20" ht="18.75" customHeight="1" x14ac:dyDescent="0.35">
      <c r="T8802" s="246">
        <f t="shared" si="175"/>
        <v>0</v>
      </c>
    </row>
    <row r="8803" spans="20:20" ht="18.75" customHeight="1" x14ac:dyDescent="0.35">
      <c r="T8803" s="246">
        <f t="shared" si="175"/>
        <v>0</v>
      </c>
    </row>
    <row r="8804" spans="20:20" ht="18.75" customHeight="1" x14ac:dyDescent="0.35">
      <c r="T8804" s="246">
        <f t="shared" si="175"/>
        <v>0</v>
      </c>
    </row>
    <row r="8805" spans="20:20" ht="18.75" customHeight="1" x14ac:dyDescent="0.35">
      <c r="T8805" s="246">
        <f t="shared" si="175"/>
        <v>0</v>
      </c>
    </row>
    <row r="8806" spans="20:20" ht="18.75" customHeight="1" x14ac:dyDescent="0.35">
      <c r="T8806" s="246">
        <f t="shared" si="175"/>
        <v>0</v>
      </c>
    </row>
    <row r="8807" spans="20:20" ht="18.75" customHeight="1" x14ac:dyDescent="0.35">
      <c r="T8807" s="246">
        <f t="shared" si="175"/>
        <v>0</v>
      </c>
    </row>
    <row r="8808" spans="20:20" ht="18.75" customHeight="1" x14ac:dyDescent="0.35">
      <c r="T8808" s="246">
        <f t="shared" si="175"/>
        <v>0</v>
      </c>
    </row>
    <row r="8809" spans="20:20" ht="18.75" customHeight="1" x14ac:dyDescent="0.35">
      <c r="T8809" s="246">
        <f t="shared" si="175"/>
        <v>0</v>
      </c>
    </row>
    <row r="8810" spans="20:20" ht="18.75" customHeight="1" x14ac:dyDescent="0.35">
      <c r="T8810" s="246">
        <f t="shared" si="175"/>
        <v>0</v>
      </c>
    </row>
    <row r="8811" spans="20:20" ht="18.75" customHeight="1" x14ac:dyDescent="0.35">
      <c r="T8811" s="246">
        <f t="shared" si="175"/>
        <v>0</v>
      </c>
    </row>
    <row r="8812" spans="20:20" ht="18.75" customHeight="1" x14ac:dyDescent="0.35">
      <c r="T8812" s="246">
        <f t="shared" si="175"/>
        <v>0</v>
      </c>
    </row>
    <row r="8813" spans="20:20" ht="18.75" customHeight="1" x14ac:dyDescent="0.35">
      <c r="T8813" s="246">
        <f t="shared" si="175"/>
        <v>0</v>
      </c>
    </row>
    <row r="8814" spans="20:20" ht="18.75" customHeight="1" x14ac:dyDescent="0.35">
      <c r="T8814" s="246">
        <f t="shared" si="175"/>
        <v>0</v>
      </c>
    </row>
    <row r="8815" spans="20:20" ht="18.75" customHeight="1" x14ac:dyDescent="0.35">
      <c r="T8815" s="246">
        <f t="shared" si="175"/>
        <v>0</v>
      </c>
    </row>
    <row r="8816" spans="20:20" ht="18.75" customHeight="1" x14ac:dyDescent="0.35">
      <c r="T8816" s="246">
        <f t="shared" si="175"/>
        <v>0</v>
      </c>
    </row>
    <row r="8817" spans="20:20" ht="18.75" customHeight="1" x14ac:dyDescent="0.35">
      <c r="T8817" s="246">
        <f t="shared" si="175"/>
        <v>0</v>
      </c>
    </row>
    <row r="8818" spans="20:20" ht="18.75" customHeight="1" x14ac:dyDescent="0.35">
      <c r="T8818" s="246">
        <f t="shared" si="175"/>
        <v>0</v>
      </c>
    </row>
    <row r="8819" spans="20:20" ht="18.75" customHeight="1" x14ac:dyDescent="0.35">
      <c r="T8819" s="246">
        <f t="shared" si="175"/>
        <v>0</v>
      </c>
    </row>
    <row r="8820" spans="20:20" ht="18.75" customHeight="1" x14ac:dyDescent="0.35">
      <c r="T8820" s="246">
        <f t="shared" si="175"/>
        <v>0</v>
      </c>
    </row>
    <row r="8821" spans="20:20" ht="18.75" customHeight="1" x14ac:dyDescent="0.35">
      <c r="T8821" s="246">
        <f t="shared" si="175"/>
        <v>0</v>
      </c>
    </row>
    <row r="8822" spans="20:20" ht="18.75" customHeight="1" x14ac:dyDescent="0.35">
      <c r="T8822" s="246">
        <f t="shared" si="175"/>
        <v>0</v>
      </c>
    </row>
    <row r="8823" spans="20:20" ht="18.75" customHeight="1" x14ac:dyDescent="0.35">
      <c r="T8823" s="246">
        <f t="shared" si="175"/>
        <v>0</v>
      </c>
    </row>
    <row r="8824" spans="20:20" ht="18.75" customHeight="1" x14ac:dyDescent="0.35">
      <c r="T8824" s="246">
        <f t="shared" si="175"/>
        <v>0</v>
      </c>
    </row>
    <row r="8825" spans="20:20" ht="18.75" customHeight="1" x14ac:dyDescent="0.35">
      <c r="T8825" s="246">
        <f t="shared" si="175"/>
        <v>0</v>
      </c>
    </row>
    <row r="8826" spans="20:20" ht="18.75" customHeight="1" x14ac:dyDescent="0.35">
      <c r="T8826" s="246">
        <f t="shared" si="175"/>
        <v>0</v>
      </c>
    </row>
    <row r="8827" spans="20:20" ht="18.75" customHeight="1" x14ac:dyDescent="0.35">
      <c r="T8827" s="246">
        <f t="shared" si="175"/>
        <v>0</v>
      </c>
    </row>
    <row r="8828" spans="20:20" ht="18.75" customHeight="1" x14ac:dyDescent="0.35">
      <c r="T8828" s="246">
        <f t="shared" ref="T8828:T8891" si="176">R8828*0.01</f>
        <v>0</v>
      </c>
    </row>
    <row r="8829" spans="20:20" ht="18.75" customHeight="1" x14ac:dyDescent="0.35">
      <c r="T8829" s="246">
        <f t="shared" si="176"/>
        <v>0</v>
      </c>
    </row>
    <row r="8830" spans="20:20" ht="18.75" customHeight="1" x14ac:dyDescent="0.35">
      <c r="T8830" s="246">
        <f t="shared" si="176"/>
        <v>0</v>
      </c>
    </row>
    <row r="8831" spans="20:20" ht="18.75" customHeight="1" x14ac:dyDescent="0.35">
      <c r="T8831" s="246">
        <f t="shared" si="176"/>
        <v>0</v>
      </c>
    </row>
    <row r="8832" spans="20:20" ht="18.75" customHeight="1" x14ac:dyDescent="0.35">
      <c r="T8832" s="246">
        <f t="shared" si="176"/>
        <v>0</v>
      </c>
    </row>
    <row r="8833" spans="20:20" ht="18.75" customHeight="1" x14ac:dyDescent="0.35">
      <c r="T8833" s="246">
        <f t="shared" si="176"/>
        <v>0</v>
      </c>
    </row>
    <row r="8834" spans="20:20" ht="18.75" customHeight="1" x14ac:dyDescent="0.35">
      <c r="T8834" s="246">
        <f t="shared" si="176"/>
        <v>0</v>
      </c>
    </row>
    <row r="8835" spans="20:20" ht="18.75" customHeight="1" x14ac:dyDescent="0.35">
      <c r="T8835" s="246">
        <f t="shared" si="176"/>
        <v>0</v>
      </c>
    </row>
    <row r="8836" spans="20:20" ht="18.75" customHeight="1" x14ac:dyDescent="0.35">
      <c r="T8836" s="246">
        <f t="shared" si="176"/>
        <v>0</v>
      </c>
    </row>
    <row r="8837" spans="20:20" ht="18.75" customHeight="1" x14ac:dyDescent="0.35">
      <c r="T8837" s="246">
        <f t="shared" si="176"/>
        <v>0</v>
      </c>
    </row>
    <row r="8838" spans="20:20" ht="18.75" customHeight="1" x14ac:dyDescent="0.35">
      <c r="T8838" s="246">
        <f t="shared" si="176"/>
        <v>0</v>
      </c>
    </row>
    <row r="8839" spans="20:20" ht="18.75" customHeight="1" x14ac:dyDescent="0.35">
      <c r="T8839" s="246">
        <f t="shared" si="176"/>
        <v>0</v>
      </c>
    </row>
    <row r="8840" spans="20:20" ht="18.75" customHeight="1" x14ac:dyDescent="0.35">
      <c r="T8840" s="246">
        <f t="shared" si="176"/>
        <v>0</v>
      </c>
    </row>
    <row r="8841" spans="20:20" ht="18.75" customHeight="1" x14ac:dyDescent="0.35">
      <c r="T8841" s="246">
        <f t="shared" si="176"/>
        <v>0</v>
      </c>
    </row>
    <row r="8842" spans="20:20" ht="18.75" customHeight="1" x14ac:dyDescent="0.35">
      <c r="T8842" s="246">
        <f t="shared" si="176"/>
        <v>0</v>
      </c>
    </row>
    <row r="8843" spans="20:20" ht="18.75" customHeight="1" x14ac:dyDescent="0.35">
      <c r="T8843" s="246">
        <f t="shared" si="176"/>
        <v>0</v>
      </c>
    </row>
    <row r="8844" spans="20:20" ht="18.75" customHeight="1" x14ac:dyDescent="0.35">
      <c r="T8844" s="246">
        <f t="shared" si="176"/>
        <v>0</v>
      </c>
    </row>
    <row r="8845" spans="20:20" ht="18.75" customHeight="1" x14ac:dyDescent="0.35">
      <c r="T8845" s="246">
        <f t="shared" si="176"/>
        <v>0</v>
      </c>
    </row>
    <row r="8846" spans="20:20" ht="18.75" customHeight="1" x14ac:dyDescent="0.35">
      <c r="T8846" s="246">
        <f t="shared" si="176"/>
        <v>0</v>
      </c>
    </row>
    <row r="8847" spans="20:20" ht="18.75" customHeight="1" x14ac:dyDescent="0.35">
      <c r="T8847" s="246">
        <f t="shared" si="176"/>
        <v>0</v>
      </c>
    </row>
    <row r="8848" spans="20:20" ht="18.75" customHeight="1" x14ac:dyDescent="0.35">
      <c r="T8848" s="246">
        <f t="shared" si="176"/>
        <v>0</v>
      </c>
    </row>
    <row r="8849" spans="20:20" ht="18.75" customHeight="1" x14ac:dyDescent="0.35">
      <c r="T8849" s="246">
        <f t="shared" si="176"/>
        <v>0</v>
      </c>
    </row>
    <row r="8850" spans="20:20" ht="18.75" customHeight="1" x14ac:dyDescent="0.35">
      <c r="T8850" s="246">
        <f t="shared" si="176"/>
        <v>0</v>
      </c>
    </row>
    <row r="8851" spans="20:20" ht="18.75" customHeight="1" x14ac:dyDescent="0.35">
      <c r="T8851" s="246">
        <f t="shared" si="176"/>
        <v>0</v>
      </c>
    </row>
    <row r="8852" spans="20:20" ht="18.75" customHeight="1" x14ac:dyDescent="0.35">
      <c r="T8852" s="246">
        <f t="shared" si="176"/>
        <v>0</v>
      </c>
    </row>
    <row r="8853" spans="20:20" ht="18.75" customHeight="1" x14ac:dyDescent="0.35">
      <c r="T8853" s="246">
        <f t="shared" si="176"/>
        <v>0</v>
      </c>
    </row>
    <row r="8854" spans="20:20" ht="18.75" customHeight="1" x14ac:dyDescent="0.35">
      <c r="T8854" s="246">
        <f t="shared" si="176"/>
        <v>0</v>
      </c>
    </row>
    <row r="8855" spans="20:20" ht="18.75" customHeight="1" x14ac:dyDescent="0.35">
      <c r="T8855" s="246">
        <f t="shared" si="176"/>
        <v>0</v>
      </c>
    </row>
    <row r="8856" spans="20:20" ht="18.75" customHeight="1" x14ac:dyDescent="0.35">
      <c r="T8856" s="246">
        <f t="shared" si="176"/>
        <v>0</v>
      </c>
    </row>
    <row r="8857" spans="20:20" ht="18.75" customHeight="1" x14ac:dyDescent="0.35">
      <c r="T8857" s="246">
        <f t="shared" si="176"/>
        <v>0</v>
      </c>
    </row>
    <row r="8858" spans="20:20" ht="18.75" customHeight="1" x14ac:dyDescent="0.35">
      <c r="T8858" s="246">
        <f t="shared" si="176"/>
        <v>0</v>
      </c>
    </row>
    <row r="8859" spans="20:20" ht="18.75" customHeight="1" x14ac:dyDescent="0.35">
      <c r="T8859" s="246">
        <f t="shared" si="176"/>
        <v>0</v>
      </c>
    </row>
    <row r="8860" spans="20:20" ht="18.75" customHeight="1" x14ac:dyDescent="0.35">
      <c r="T8860" s="246">
        <f t="shared" si="176"/>
        <v>0</v>
      </c>
    </row>
    <row r="8861" spans="20:20" ht="18.75" customHeight="1" x14ac:dyDescent="0.35">
      <c r="T8861" s="246">
        <f t="shared" si="176"/>
        <v>0</v>
      </c>
    </row>
    <row r="8862" spans="20:20" ht="18.75" customHeight="1" x14ac:dyDescent="0.35">
      <c r="T8862" s="246">
        <f t="shared" si="176"/>
        <v>0</v>
      </c>
    </row>
    <row r="8863" spans="20:20" ht="18.75" customHeight="1" x14ac:dyDescent="0.35">
      <c r="T8863" s="246">
        <f t="shared" si="176"/>
        <v>0</v>
      </c>
    </row>
    <row r="8864" spans="20:20" ht="18.75" customHeight="1" x14ac:dyDescent="0.35">
      <c r="T8864" s="246">
        <f t="shared" si="176"/>
        <v>0</v>
      </c>
    </row>
    <row r="8865" spans="20:20" ht="18.75" customHeight="1" x14ac:dyDescent="0.35">
      <c r="T8865" s="246">
        <f t="shared" si="176"/>
        <v>0</v>
      </c>
    </row>
    <row r="8866" spans="20:20" ht="18.75" customHeight="1" x14ac:dyDescent="0.35">
      <c r="T8866" s="246">
        <f t="shared" si="176"/>
        <v>0</v>
      </c>
    </row>
    <row r="8867" spans="20:20" ht="18.75" customHeight="1" x14ac:dyDescent="0.35">
      <c r="T8867" s="246">
        <f t="shared" si="176"/>
        <v>0</v>
      </c>
    </row>
    <row r="8868" spans="20:20" ht="18.75" customHeight="1" x14ac:dyDescent="0.35">
      <c r="T8868" s="246">
        <f t="shared" si="176"/>
        <v>0</v>
      </c>
    </row>
    <row r="8869" spans="20:20" ht="18.75" customHeight="1" x14ac:dyDescent="0.35">
      <c r="T8869" s="246">
        <f t="shared" si="176"/>
        <v>0</v>
      </c>
    </row>
    <row r="8870" spans="20:20" ht="18.75" customHeight="1" x14ac:dyDescent="0.35">
      <c r="T8870" s="246">
        <f t="shared" si="176"/>
        <v>0</v>
      </c>
    </row>
    <row r="8871" spans="20:20" ht="18.75" customHeight="1" x14ac:dyDescent="0.35">
      <c r="T8871" s="246">
        <f t="shared" si="176"/>
        <v>0</v>
      </c>
    </row>
    <row r="8872" spans="20:20" ht="18.75" customHeight="1" x14ac:dyDescent="0.35">
      <c r="T8872" s="246">
        <f t="shared" si="176"/>
        <v>0</v>
      </c>
    </row>
    <row r="8873" spans="20:20" ht="18.75" customHeight="1" x14ac:dyDescent="0.35">
      <c r="T8873" s="246">
        <f t="shared" si="176"/>
        <v>0</v>
      </c>
    </row>
    <row r="8874" spans="20:20" ht="18.75" customHeight="1" x14ac:dyDescent="0.35">
      <c r="T8874" s="246">
        <f t="shared" si="176"/>
        <v>0</v>
      </c>
    </row>
    <row r="8875" spans="20:20" ht="18.75" customHeight="1" x14ac:dyDescent="0.35">
      <c r="T8875" s="246">
        <f t="shared" si="176"/>
        <v>0</v>
      </c>
    </row>
    <row r="8876" spans="20:20" ht="18.75" customHeight="1" x14ac:dyDescent="0.35">
      <c r="T8876" s="246">
        <f t="shared" si="176"/>
        <v>0</v>
      </c>
    </row>
    <row r="8877" spans="20:20" ht="18.75" customHeight="1" x14ac:dyDescent="0.35">
      <c r="T8877" s="246">
        <f t="shared" si="176"/>
        <v>0</v>
      </c>
    </row>
    <row r="8878" spans="20:20" ht="18.75" customHeight="1" x14ac:dyDescent="0.35">
      <c r="T8878" s="246">
        <f t="shared" si="176"/>
        <v>0</v>
      </c>
    </row>
    <row r="8879" spans="20:20" ht="18.75" customHeight="1" x14ac:dyDescent="0.35">
      <c r="T8879" s="246">
        <f t="shared" si="176"/>
        <v>0</v>
      </c>
    </row>
    <row r="8880" spans="20:20" ht="18.75" customHeight="1" x14ac:dyDescent="0.35">
      <c r="T8880" s="246">
        <f t="shared" si="176"/>
        <v>0</v>
      </c>
    </row>
    <row r="8881" spans="20:20" ht="18.75" customHeight="1" x14ac:dyDescent="0.35">
      <c r="T8881" s="246">
        <f t="shared" si="176"/>
        <v>0</v>
      </c>
    </row>
    <row r="8882" spans="20:20" ht="18.75" customHeight="1" x14ac:dyDescent="0.35">
      <c r="T8882" s="246">
        <f t="shared" si="176"/>
        <v>0</v>
      </c>
    </row>
    <row r="8883" spans="20:20" ht="18.75" customHeight="1" x14ac:dyDescent="0.35">
      <c r="T8883" s="246">
        <f t="shared" si="176"/>
        <v>0</v>
      </c>
    </row>
    <row r="8884" spans="20:20" ht="18.75" customHeight="1" x14ac:dyDescent="0.35">
      <c r="T8884" s="246">
        <f t="shared" si="176"/>
        <v>0</v>
      </c>
    </row>
    <row r="8885" spans="20:20" ht="18.75" customHeight="1" x14ac:dyDescent="0.35">
      <c r="T8885" s="246">
        <f t="shared" si="176"/>
        <v>0</v>
      </c>
    </row>
    <row r="8886" spans="20:20" ht="18.75" customHeight="1" x14ac:dyDescent="0.35">
      <c r="T8886" s="246">
        <f t="shared" si="176"/>
        <v>0</v>
      </c>
    </row>
    <row r="8887" spans="20:20" ht="18.75" customHeight="1" x14ac:dyDescent="0.35">
      <c r="T8887" s="246">
        <f t="shared" si="176"/>
        <v>0</v>
      </c>
    </row>
    <row r="8888" spans="20:20" ht="18.75" customHeight="1" x14ac:dyDescent="0.35">
      <c r="T8888" s="246">
        <f t="shared" si="176"/>
        <v>0</v>
      </c>
    </row>
    <row r="8889" spans="20:20" ht="18.75" customHeight="1" x14ac:dyDescent="0.35">
      <c r="T8889" s="246">
        <f t="shared" si="176"/>
        <v>0</v>
      </c>
    </row>
    <row r="8890" spans="20:20" ht="18.75" customHeight="1" x14ac:dyDescent="0.35">
      <c r="T8890" s="246">
        <f t="shared" si="176"/>
        <v>0</v>
      </c>
    </row>
    <row r="8891" spans="20:20" ht="18.75" customHeight="1" x14ac:dyDescent="0.35">
      <c r="T8891" s="246">
        <f t="shared" si="176"/>
        <v>0</v>
      </c>
    </row>
    <row r="8892" spans="20:20" ht="18.75" customHeight="1" x14ac:dyDescent="0.35">
      <c r="T8892" s="246">
        <f t="shared" ref="T8892:T8955" si="177">R8892*0.01</f>
        <v>0</v>
      </c>
    </row>
    <row r="8893" spans="20:20" ht="18.75" customHeight="1" x14ac:dyDescent="0.35">
      <c r="T8893" s="246">
        <f t="shared" si="177"/>
        <v>0</v>
      </c>
    </row>
    <row r="8894" spans="20:20" ht="18.75" customHeight="1" x14ac:dyDescent="0.35">
      <c r="T8894" s="246">
        <f t="shared" si="177"/>
        <v>0</v>
      </c>
    </row>
    <row r="8895" spans="20:20" ht="18.75" customHeight="1" x14ac:dyDescent="0.35">
      <c r="T8895" s="246">
        <f t="shared" si="177"/>
        <v>0</v>
      </c>
    </row>
    <row r="8896" spans="20:20" ht="18.75" customHeight="1" x14ac:dyDescent="0.35">
      <c r="T8896" s="246">
        <f t="shared" si="177"/>
        <v>0</v>
      </c>
    </row>
    <row r="8897" spans="20:20" ht="18.75" customHeight="1" x14ac:dyDescent="0.35">
      <c r="T8897" s="246">
        <f t="shared" si="177"/>
        <v>0</v>
      </c>
    </row>
    <row r="8898" spans="20:20" ht="18.75" customHeight="1" x14ac:dyDescent="0.35">
      <c r="T8898" s="246">
        <f t="shared" si="177"/>
        <v>0</v>
      </c>
    </row>
    <row r="8899" spans="20:20" ht="18.75" customHeight="1" x14ac:dyDescent="0.35">
      <c r="T8899" s="246">
        <f t="shared" si="177"/>
        <v>0</v>
      </c>
    </row>
    <row r="8900" spans="20:20" ht="18.75" customHeight="1" x14ac:dyDescent="0.35">
      <c r="T8900" s="246">
        <f t="shared" si="177"/>
        <v>0</v>
      </c>
    </row>
    <row r="8901" spans="20:20" ht="18.75" customHeight="1" x14ac:dyDescent="0.35">
      <c r="T8901" s="246">
        <f t="shared" si="177"/>
        <v>0</v>
      </c>
    </row>
    <row r="8902" spans="20:20" ht="18.75" customHeight="1" x14ac:dyDescent="0.35">
      <c r="T8902" s="246">
        <f t="shared" si="177"/>
        <v>0</v>
      </c>
    </row>
    <row r="8903" spans="20:20" ht="18.75" customHeight="1" x14ac:dyDescent="0.35">
      <c r="T8903" s="246">
        <f t="shared" si="177"/>
        <v>0</v>
      </c>
    </row>
    <row r="8904" spans="20:20" ht="18.75" customHeight="1" x14ac:dyDescent="0.35">
      <c r="T8904" s="246">
        <f t="shared" si="177"/>
        <v>0</v>
      </c>
    </row>
    <row r="8905" spans="20:20" ht="18.75" customHeight="1" x14ac:dyDescent="0.35">
      <c r="T8905" s="246">
        <f t="shared" si="177"/>
        <v>0</v>
      </c>
    </row>
    <row r="8906" spans="20:20" ht="18.75" customHeight="1" x14ac:dyDescent="0.35">
      <c r="T8906" s="246">
        <f t="shared" si="177"/>
        <v>0</v>
      </c>
    </row>
    <row r="8907" spans="20:20" ht="18.75" customHeight="1" x14ac:dyDescent="0.35">
      <c r="T8907" s="246">
        <f t="shared" si="177"/>
        <v>0</v>
      </c>
    </row>
    <row r="8908" spans="20:20" ht="18.75" customHeight="1" x14ac:dyDescent="0.35">
      <c r="T8908" s="246">
        <f t="shared" si="177"/>
        <v>0</v>
      </c>
    </row>
    <row r="8909" spans="20:20" ht="18.75" customHeight="1" x14ac:dyDescent="0.35">
      <c r="T8909" s="246">
        <f t="shared" si="177"/>
        <v>0</v>
      </c>
    </row>
    <row r="8910" spans="20:20" ht="18.75" customHeight="1" x14ac:dyDescent="0.35">
      <c r="T8910" s="246">
        <f t="shared" si="177"/>
        <v>0</v>
      </c>
    </row>
    <row r="8911" spans="20:20" ht="18.75" customHeight="1" x14ac:dyDescent="0.35">
      <c r="T8911" s="246">
        <f t="shared" si="177"/>
        <v>0</v>
      </c>
    </row>
    <row r="8912" spans="20:20" ht="18.75" customHeight="1" x14ac:dyDescent="0.35">
      <c r="T8912" s="246">
        <f t="shared" si="177"/>
        <v>0</v>
      </c>
    </row>
    <row r="8913" spans="20:20" ht="18.75" customHeight="1" x14ac:dyDescent="0.35">
      <c r="T8913" s="246">
        <f t="shared" si="177"/>
        <v>0</v>
      </c>
    </row>
    <row r="8914" spans="20:20" ht="18.75" customHeight="1" x14ac:dyDescent="0.35">
      <c r="T8914" s="246">
        <f t="shared" si="177"/>
        <v>0</v>
      </c>
    </row>
    <row r="8915" spans="20:20" ht="18.75" customHeight="1" x14ac:dyDescent="0.35">
      <c r="T8915" s="246">
        <f t="shared" si="177"/>
        <v>0</v>
      </c>
    </row>
    <row r="8916" spans="20:20" ht="18.75" customHeight="1" x14ac:dyDescent="0.35">
      <c r="T8916" s="246">
        <f t="shared" si="177"/>
        <v>0</v>
      </c>
    </row>
    <row r="8917" spans="20:20" ht="18.75" customHeight="1" x14ac:dyDescent="0.35">
      <c r="T8917" s="246">
        <f t="shared" si="177"/>
        <v>0</v>
      </c>
    </row>
    <row r="8918" spans="20:20" ht="18.75" customHeight="1" x14ac:dyDescent="0.35">
      <c r="T8918" s="246">
        <f t="shared" si="177"/>
        <v>0</v>
      </c>
    </row>
    <row r="8919" spans="20:20" ht="18.75" customHeight="1" x14ac:dyDescent="0.35">
      <c r="T8919" s="246">
        <f t="shared" si="177"/>
        <v>0</v>
      </c>
    </row>
    <row r="8920" spans="20:20" ht="18.75" customHeight="1" x14ac:dyDescent="0.35">
      <c r="T8920" s="246">
        <f t="shared" si="177"/>
        <v>0</v>
      </c>
    </row>
    <row r="8921" spans="20:20" ht="18.75" customHeight="1" x14ac:dyDescent="0.35">
      <c r="T8921" s="246">
        <f t="shared" si="177"/>
        <v>0</v>
      </c>
    </row>
    <row r="8922" spans="20:20" ht="18.75" customHeight="1" x14ac:dyDescent="0.35">
      <c r="T8922" s="246">
        <f t="shared" si="177"/>
        <v>0</v>
      </c>
    </row>
    <row r="8923" spans="20:20" ht="18.75" customHeight="1" x14ac:dyDescent="0.35">
      <c r="T8923" s="246">
        <f t="shared" si="177"/>
        <v>0</v>
      </c>
    </row>
    <row r="8924" spans="20:20" ht="18.75" customHeight="1" x14ac:dyDescent="0.35">
      <c r="T8924" s="246">
        <f t="shared" si="177"/>
        <v>0</v>
      </c>
    </row>
    <row r="8925" spans="20:20" ht="18.75" customHeight="1" x14ac:dyDescent="0.35">
      <c r="T8925" s="246">
        <f t="shared" si="177"/>
        <v>0</v>
      </c>
    </row>
    <row r="8926" spans="20:20" ht="18.75" customHeight="1" x14ac:dyDescent="0.35">
      <c r="T8926" s="246">
        <f t="shared" si="177"/>
        <v>0</v>
      </c>
    </row>
    <row r="8927" spans="20:20" ht="18.75" customHeight="1" x14ac:dyDescent="0.35">
      <c r="T8927" s="246">
        <f t="shared" si="177"/>
        <v>0</v>
      </c>
    </row>
    <row r="8928" spans="20:20" ht="18.75" customHeight="1" x14ac:dyDescent="0.35">
      <c r="T8928" s="246">
        <f t="shared" si="177"/>
        <v>0</v>
      </c>
    </row>
    <row r="8929" spans="20:20" ht="18.75" customHeight="1" x14ac:dyDescent="0.35">
      <c r="T8929" s="246">
        <f t="shared" si="177"/>
        <v>0</v>
      </c>
    </row>
    <row r="8930" spans="20:20" ht="18.75" customHeight="1" x14ac:dyDescent="0.35">
      <c r="T8930" s="246">
        <f t="shared" si="177"/>
        <v>0</v>
      </c>
    </row>
    <row r="8931" spans="20:20" ht="18.75" customHeight="1" x14ac:dyDescent="0.35">
      <c r="T8931" s="246">
        <f t="shared" si="177"/>
        <v>0</v>
      </c>
    </row>
    <row r="8932" spans="20:20" ht="18.75" customHeight="1" x14ac:dyDescent="0.35">
      <c r="T8932" s="246">
        <f t="shared" si="177"/>
        <v>0</v>
      </c>
    </row>
    <row r="8933" spans="20:20" ht="18.75" customHeight="1" x14ac:dyDescent="0.35">
      <c r="T8933" s="246">
        <f t="shared" si="177"/>
        <v>0</v>
      </c>
    </row>
    <row r="8934" spans="20:20" ht="18.75" customHeight="1" x14ac:dyDescent="0.35">
      <c r="T8934" s="246">
        <f t="shared" si="177"/>
        <v>0</v>
      </c>
    </row>
    <row r="8935" spans="20:20" ht="18.75" customHeight="1" x14ac:dyDescent="0.35">
      <c r="T8935" s="246">
        <f t="shared" si="177"/>
        <v>0</v>
      </c>
    </row>
    <row r="8936" spans="20:20" ht="18.75" customHeight="1" x14ac:dyDescent="0.35">
      <c r="T8936" s="246">
        <f t="shared" si="177"/>
        <v>0</v>
      </c>
    </row>
    <row r="8937" spans="20:20" ht="18.75" customHeight="1" x14ac:dyDescent="0.35">
      <c r="T8937" s="246">
        <f t="shared" si="177"/>
        <v>0</v>
      </c>
    </row>
    <row r="8938" spans="20:20" ht="18.75" customHeight="1" x14ac:dyDescent="0.35">
      <c r="T8938" s="246">
        <f t="shared" si="177"/>
        <v>0</v>
      </c>
    </row>
    <row r="8939" spans="20:20" ht="18.75" customHeight="1" x14ac:dyDescent="0.35">
      <c r="T8939" s="246">
        <f t="shared" si="177"/>
        <v>0</v>
      </c>
    </row>
    <row r="8940" spans="20:20" ht="18.75" customHeight="1" x14ac:dyDescent="0.35">
      <c r="T8940" s="246">
        <f t="shared" si="177"/>
        <v>0</v>
      </c>
    </row>
    <row r="8941" spans="20:20" ht="18.75" customHeight="1" x14ac:dyDescent="0.35">
      <c r="T8941" s="246">
        <f t="shared" si="177"/>
        <v>0</v>
      </c>
    </row>
    <row r="8942" spans="20:20" ht="18.75" customHeight="1" x14ac:dyDescent="0.35">
      <c r="T8942" s="246">
        <f t="shared" si="177"/>
        <v>0</v>
      </c>
    </row>
    <row r="8943" spans="20:20" ht="18.75" customHeight="1" x14ac:dyDescent="0.35">
      <c r="T8943" s="246">
        <f t="shared" si="177"/>
        <v>0</v>
      </c>
    </row>
    <row r="8944" spans="20:20" ht="18.75" customHeight="1" x14ac:dyDescent="0.35">
      <c r="T8944" s="246">
        <f t="shared" si="177"/>
        <v>0</v>
      </c>
    </row>
    <row r="8945" spans="20:20" ht="18.75" customHeight="1" x14ac:dyDescent="0.35">
      <c r="T8945" s="246">
        <f t="shared" si="177"/>
        <v>0</v>
      </c>
    </row>
    <row r="8946" spans="20:20" ht="18.75" customHeight="1" x14ac:dyDescent="0.35">
      <c r="T8946" s="246">
        <f t="shared" si="177"/>
        <v>0</v>
      </c>
    </row>
    <row r="8947" spans="20:20" ht="18.75" customHeight="1" x14ac:dyDescent="0.35">
      <c r="T8947" s="246">
        <f t="shared" si="177"/>
        <v>0</v>
      </c>
    </row>
    <row r="8948" spans="20:20" ht="18.75" customHeight="1" x14ac:dyDescent="0.35">
      <c r="T8948" s="246">
        <f t="shared" si="177"/>
        <v>0</v>
      </c>
    </row>
    <row r="8949" spans="20:20" ht="18.75" customHeight="1" x14ac:dyDescent="0.35">
      <c r="T8949" s="246">
        <f t="shared" si="177"/>
        <v>0</v>
      </c>
    </row>
    <row r="8950" spans="20:20" ht="18.75" customHeight="1" x14ac:dyDescent="0.35">
      <c r="T8950" s="246">
        <f t="shared" si="177"/>
        <v>0</v>
      </c>
    </row>
    <row r="8951" spans="20:20" ht="18.75" customHeight="1" x14ac:dyDescent="0.35">
      <c r="T8951" s="246">
        <f t="shared" si="177"/>
        <v>0</v>
      </c>
    </row>
    <row r="8952" spans="20:20" ht="18.75" customHeight="1" x14ac:dyDescent="0.35">
      <c r="T8952" s="246">
        <f t="shared" si="177"/>
        <v>0</v>
      </c>
    </row>
    <row r="8953" spans="20:20" ht="18.75" customHeight="1" x14ac:dyDescent="0.35">
      <c r="T8953" s="246">
        <f t="shared" si="177"/>
        <v>0</v>
      </c>
    </row>
    <row r="8954" spans="20:20" ht="18.75" customHeight="1" x14ac:dyDescent="0.35">
      <c r="T8954" s="246">
        <f t="shared" si="177"/>
        <v>0</v>
      </c>
    </row>
    <row r="8955" spans="20:20" ht="18.75" customHeight="1" x14ac:dyDescent="0.35">
      <c r="T8955" s="246">
        <f t="shared" si="177"/>
        <v>0</v>
      </c>
    </row>
    <row r="8956" spans="20:20" ht="18.75" customHeight="1" x14ac:dyDescent="0.35">
      <c r="T8956" s="246">
        <f t="shared" ref="T8956:T9019" si="178">R8956*0.01</f>
        <v>0</v>
      </c>
    </row>
    <row r="8957" spans="20:20" ht="18.75" customHeight="1" x14ac:dyDescent="0.35">
      <c r="T8957" s="246">
        <f t="shared" si="178"/>
        <v>0</v>
      </c>
    </row>
    <row r="8958" spans="20:20" ht="18.75" customHeight="1" x14ac:dyDescent="0.35">
      <c r="T8958" s="246">
        <f t="shared" si="178"/>
        <v>0</v>
      </c>
    </row>
    <row r="8959" spans="20:20" ht="18.75" customHeight="1" x14ac:dyDescent="0.35">
      <c r="T8959" s="246">
        <f t="shared" si="178"/>
        <v>0</v>
      </c>
    </row>
    <row r="8960" spans="20:20" ht="18.75" customHeight="1" x14ac:dyDescent="0.35">
      <c r="T8960" s="246">
        <f t="shared" si="178"/>
        <v>0</v>
      </c>
    </row>
    <row r="8961" spans="20:20" ht="18.75" customHeight="1" x14ac:dyDescent="0.35">
      <c r="T8961" s="246">
        <f t="shared" si="178"/>
        <v>0</v>
      </c>
    </row>
    <row r="8962" spans="20:20" ht="18.75" customHeight="1" x14ac:dyDescent="0.35">
      <c r="T8962" s="246">
        <f t="shared" si="178"/>
        <v>0</v>
      </c>
    </row>
    <row r="8963" spans="20:20" ht="18.75" customHeight="1" x14ac:dyDescent="0.35">
      <c r="T8963" s="246">
        <f t="shared" si="178"/>
        <v>0</v>
      </c>
    </row>
    <row r="8964" spans="20:20" ht="18.75" customHeight="1" x14ac:dyDescent="0.35">
      <c r="T8964" s="246">
        <f t="shared" si="178"/>
        <v>0</v>
      </c>
    </row>
    <row r="8965" spans="20:20" ht="18.75" customHeight="1" x14ac:dyDescent="0.35">
      <c r="T8965" s="246">
        <f t="shared" si="178"/>
        <v>0</v>
      </c>
    </row>
    <row r="8966" spans="20:20" ht="18.75" customHeight="1" x14ac:dyDescent="0.35">
      <c r="T8966" s="246">
        <f t="shared" si="178"/>
        <v>0</v>
      </c>
    </row>
    <row r="8967" spans="20:20" ht="18.75" customHeight="1" x14ac:dyDescent="0.35">
      <c r="T8967" s="246">
        <f t="shared" si="178"/>
        <v>0</v>
      </c>
    </row>
    <row r="8968" spans="20:20" ht="18.75" customHeight="1" x14ac:dyDescent="0.35">
      <c r="T8968" s="246">
        <f t="shared" si="178"/>
        <v>0</v>
      </c>
    </row>
    <row r="8969" spans="20:20" ht="18.75" customHeight="1" x14ac:dyDescent="0.35">
      <c r="T8969" s="246">
        <f t="shared" si="178"/>
        <v>0</v>
      </c>
    </row>
    <row r="8970" spans="20:20" ht="18.75" customHeight="1" x14ac:dyDescent="0.35">
      <c r="T8970" s="246">
        <f t="shared" si="178"/>
        <v>0</v>
      </c>
    </row>
    <row r="8971" spans="20:20" ht="18.75" customHeight="1" x14ac:dyDescent="0.35">
      <c r="T8971" s="246">
        <f t="shared" si="178"/>
        <v>0</v>
      </c>
    </row>
    <row r="8972" spans="20:20" ht="18.75" customHeight="1" x14ac:dyDescent="0.35">
      <c r="T8972" s="246">
        <f t="shared" si="178"/>
        <v>0</v>
      </c>
    </row>
    <row r="8973" spans="20:20" ht="18.75" customHeight="1" x14ac:dyDescent="0.35">
      <c r="T8973" s="246">
        <f t="shared" si="178"/>
        <v>0</v>
      </c>
    </row>
    <row r="8974" spans="20:20" ht="18.75" customHeight="1" x14ac:dyDescent="0.35">
      <c r="T8974" s="246">
        <f t="shared" si="178"/>
        <v>0</v>
      </c>
    </row>
    <row r="8975" spans="20:20" ht="18.75" customHeight="1" x14ac:dyDescent="0.35">
      <c r="T8975" s="246">
        <f t="shared" si="178"/>
        <v>0</v>
      </c>
    </row>
    <row r="8976" spans="20:20" ht="18.75" customHeight="1" x14ac:dyDescent="0.35">
      <c r="T8976" s="246">
        <f t="shared" si="178"/>
        <v>0</v>
      </c>
    </row>
    <row r="8977" spans="20:20" ht="18.75" customHeight="1" x14ac:dyDescent="0.35">
      <c r="T8977" s="246">
        <f t="shared" si="178"/>
        <v>0</v>
      </c>
    </row>
    <row r="8978" spans="20:20" ht="18.75" customHeight="1" x14ac:dyDescent="0.35">
      <c r="T8978" s="246">
        <f t="shared" si="178"/>
        <v>0</v>
      </c>
    </row>
    <row r="8979" spans="20:20" ht="18.75" customHeight="1" x14ac:dyDescent="0.35">
      <c r="T8979" s="246">
        <f t="shared" si="178"/>
        <v>0</v>
      </c>
    </row>
    <row r="8980" spans="20:20" ht="18.75" customHeight="1" x14ac:dyDescent="0.35">
      <c r="T8980" s="246">
        <f t="shared" si="178"/>
        <v>0</v>
      </c>
    </row>
    <row r="8981" spans="20:20" ht="18.75" customHeight="1" x14ac:dyDescent="0.35">
      <c r="T8981" s="246">
        <f t="shared" si="178"/>
        <v>0</v>
      </c>
    </row>
    <row r="8982" spans="20:20" ht="18.75" customHeight="1" x14ac:dyDescent="0.35">
      <c r="T8982" s="246">
        <f t="shared" si="178"/>
        <v>0</v>
      </c>
    </row>
    <row r="8983" spans="20:20" ht="18.75" customHeight="1" x14ac:dyDescent="0.35">
      <c r="T8983" s="246">
        <f t="shared" si="178"/>
        <v>0</v>
      </c>
    </row>
    <row r="8984" spans="20:20" ht="18.75" customHeight="1" x14ac:dyDescent="0.35">
      <c r="T8984" s="246">
        <f t="shared" si="178"/>
        <v>0</v>
      </c>
    </row>
    <row r="8985" spans="20:20" ht="18.75" customHeight="1" x14ac:dyDescent="0.35">
      <c r="T8985" s="246">
        <f t="shared" si="178"/>
        <v>0</v>
      </c>
    </row>
    <row r="8986" spans="20:20" ht="18.75" customHeight="1" x14ac:dyDescent="0.35">
      <c r="T8986" s="246">
        <f t="shared" si="178"/>
        <v>0</v>
      </c>
    </row>
    <row r="8987" spans="20:20" ht="18.75" customHeight="1" x14ac:dyDescent="0.35">
      <c r="T8987" s="246">
        <f t="shared" si="178"/>
        <v>0</v>
      </c>
    </row>
    <row r="8988" spans="20:20" ht="18.75" customHeight="1" x14ac:dyDescent="0.35">
      <c r="T8988" s="246">
        <f t="shared" si="178"/>
        <v>0</v>
      </c>
    </row>
    <row r="8989" spans="20:20" ht="18.75" customHeight="1" x14ac:dyDescent="0.35">
      <c r="T8989" s="246">
        <f t="shared" si="178"/>
        <v>0</v>
      </c>
    </row>
    <row r="8990" spans="20:20" ht="18.75" customHeight="1" x14ac:dyDescent="0.35">
      <c r="T8990" s="246">
        <f t="shared" si="178"/>
        <v>0</v>
      </c>
    </row>
    <row r="8991" spans="20:20" ht="18.75" customHeight="1" x14ac:dyDescent="0.35">
      <c r="T8991" s="246">
        <f t="shared" si="178"/>
        <v>0</v>
      </c>
    </row>
    <row r="8992" spans="20:20" ht="18.75" customHeight="1" x14ac:dyDescent="0.35">
      <c r="T8992" s="246">
        <f t="shared" si="178"/>
        <v>0</v>
      </c>
    </row>
    <row r="8993" spans="20:20" ht="18.75" customHeight="1" x14ac:dyDescent="0.35">
      <c r="T8993" s="246">
        <f t="shared" si="178"/>
        <v>0</v>
      </c>
    </row>
    <row r="8994" spans="20:20" ht="18.75" customHeight="1" x14ac:dyDescent="0.35">
      <c r="T8994" s="246">
        <f t="shared" si="178"/>
        <v>0</v>
      </c>
    </row>
    <row r="8995" spans="20:20" ht="18.75" customHeight="1" x14ac:dyDescent="0.35">
      <c r="T8995" s="246">
        <f t="shared" si="178"/>
        <v>0</v>
      </c>
    </row>
    <row r="8996" spans="20:20" ht="18.75" customHeight="1" x14ac:dyDescent="0.35">
      <c r="T8996" s="246">
        <f t="shared" si="178"/>
        <v>0</v>
      </c>
    </row>
    <row r="8997" spans="20:20" ht="18.75" customHeight="1" x14ac:dyDescent="0.35">
      <c r="T8997" s="246">
        <f t="shared" si="178"/>
        <v>0</v>
      </c>
    </row>
    <row r="8998" spans="20:20" ht="18.75" customHeight="1" x14ac:dyDescent="0.35">
      <c r="T8998" s="246">
        <f t="shared" si="178"/>
        <v>0</v>
      </c>
    </row>
    <row r="8999" spans="20:20" ht="18.75" customHeight="1" x14ac:dyDescent="0.35">
      <c r="T8999" s="246">
        <f t="shared" si="178"/>
        <v>0</v>
      </c>
    </row>
    <row r="9000" spans="20:20" ht="18.75" customHeight="1" x14ac:dyDescent="0.35">
      <c r="T9000" s="246">
        <f t="shared" si="178"/>
        <v>0</v>
      </c>
    </row>
    <row r="9001" spans="20:20" ht="18.75" customHeight="1" x14ac:dyDescent="0.35">
      <c r="T9001" s="246">
        <f t="shared" si="178"/>
        <v>0</v>
      </c>
    </row>
    <row r="9002" spans="20:20" ht="18.75" customHeight="1" x14ac:dyDescent="0.35">
      <c r="T9002" s="246">
        <f t="shared" si="178"/>
        <v>0</v>
      </c>
    </row>
    <row r="9003" spans="20:20" ht="18.75" customHeight="1" x14ac:dyDescent="0.35">
      <c r="T9003" s="246">
        <f t="shared" si="178"/>
        <v>0</v>
      </c>
    </row>
    <row r="9004" spans="20:20" ht="18.75" customHeight="1" x14ac:dyDescent="0.35">
      <c r="T9004" s="246">
        <f t="shared" si="178"/>
        <v>0</v>
      </c>
    </row>
    <row r="9005" spans="20:20" ht="18.75" customHeight="1" x14ac:dyDescent="0.35">
      <c r="T9005" s="246">
        <f t="shared" si="178"/>
        <v>0</v>
      </c>
    </row>
    <row r="9006" spans="20:20" ht="18.75" customHeight="1" x14ac:dyDescent="0.35">
      <c r="T9006" s="246">
        <f t="shared" si="178"/>
        <v>0</v>
      </c>
    </row>
    <row r="9007" spans="20:20" ht="18.75" customHeight="1" x14ac:dyDescent="0.35">
      <c r="T9007" s="246">
        <f t="shared" si="178"/>
        <v>0</v>
      </c>
    </row>
    <row r="9008" spans="20:20" ht="18.75" customHeight="1" x14ac:dyDescent="0.35">
      <c r="T9008" s="246">
        <f t="shared" si="178"/>
        <v>0</v>
      </c>
    </row>
    <row r="9009" spans="20:20" ht="18.75" customHeight="1" x14ac:dyDescent="0.35">
      <c r="T9009" s="246">
        <f t="shared" si="178"/>
        <v>0</v>
      </c>
    </row>
    <row r="9010" spans="20:20" ht="18.75" customHeight="1" x14ac:dyDescent="0.35">
      <c r="T9010" s="246">
        <f t="shared" si="178"/>
        <v>0</v>
      </c>
    </row>
    <row r="9011" spans="20:20" ht="18.75" customHeight="1" x14ac:dyDescent="0.35">
      <c r="T9011" s="246">
        <f t="shared" si="178"/>
        <v>0</v>
      </c>
    </row>
    <row r="9012" spans="20:20" ht="18.75" customHeight="1" x14ac:dyDescent="0.35">
      <c r="T9012" s="246">
        <f t="shared" si="178"/>
        <v>0</v>
      </c>
    </row>
    <row r="9013" spans="20:20" ht="18.75" customHeight="1" x14ac:dyDescent="0.35">
      <c r="T9013" s="246">
        <f t="shared" si="178"/>
        <v>0</v>
      </c>
    </row>
    <row r="9014" spans="20:20" ht="18.75" customHeight="1" x14ac:dyDescent="0.35">
      <c r="T9014" s="246">
        <f t="shared" si="178"/>
        <v>0</v>
      </c>
    </row>
    <row r="9015" spans="20:20" ht="18.75" customHeight="1" x14ac:dyDescent="0.35">
      <c r="T9015" s="246">
        <f t="shared" si="178"/>
        <v>0</v>
      </c>
    </row>
    <row r="9016" spans="20:20" ht="18.75" customHeight="1" x14ac:dyDescent="0.35">
      <c r="T9016" s="246">
        <f t="shared" si="178"/>
        <v>0</v>
      </c>
    </row>
    <row r="9017" spans="20:20" ht="18.75" customHeight="1" x14ac:dyDescent="0.35">
      <c r="T9017" s="246">
        <f t="shared" si="178"/>
        <v>0</v>
      </c>
    </row>
    <row r="9018" spans="20:20" ht="18.75" customHeight="1" x14ac:dyDescent="0.35">
      <c r="T9018" s="246">
        <f t="shared" si="178"/>
        <v>0</v>
      </c>
    </row>
    <row r="9019" spans="20:20" ht="18.75" customHeight="1" x14ac:dyDescent="0.35">
      <c r="T9019" s="246">
        <f t="shared" si="178"/>
        <v>0</v>
      </c>
    </row>
    <row r="9020" spans="20:20" ht="18.75" customHeight="1" x14ac:dyDescent="0.35">
      <c r="T9020" s="246">
        <f t="shared" ref="T9020:T9083" si="179">R9020*0.01</f>
        <v>0</v>
      </c>
    </row>
    <row r="9021" spans="20:20" ht="18.75" customHeight="1" x14ac:dyDescent="0.35">
      <c r="T9021" s="246">
        <f t="shared" si="179"/>
        <v>0</v>
      </c>
    </row>
    <row r="9022" spans="20:20" ht="18.75" customHeight="1" x14ac:dyDescent="0.35">
      <c r="T9022" s="246">
        <f t="shared" si="179"/>
        <v>0</v>
      </c>
    </row>
    <row r="9023" spans="20:20" ht="18.75" customHeight="1" x14ac:dyDescent="0.35">
      <c r="T9023" s="246">
        <f t="shared" si="179"/>
        <v>0</v>
      </c>
    </row>
    <row r="9024" spans="20:20" ht="18.75" customHeight="1" x14ac:dyDescent="0.35">
      <c r="T9024" s="246">
        <f t="shared" si="179"/>
        <v>0</v>
      </c>
    </row>
    <row r="9025" spans="20:20" ht="18.75" customHeight="1" x14ac:dyDescent="0.35">
      <c r="T9025" s="246">
        <f t="shared" si="179"/>
        <v>0</v>
      </c>
    </row>
    <row r="9026" spans="20:20" ht="18.75" customHeight="1" x14ac:dyDescent="0.35">
      <c r="T9026" s="246">
        <f t="shared" si="179"/>
        <v>0</v>
      </c>
    </row>
    <row r="9027" spans="20:20" ht="18.75" customHeight="1" x14ac:dyDescent="0.35">
      <c r="T9027" s="246">
        <f t="shared" si="179"/>
        <v>0</v>
      </c>
    </row>
    <row r="9028" spans="20:20" ht="18.75" customHeight="1" x14ac:dyDescent="0.35">
      <c r="T9028" s="246">
        <f t="shared" si="179"/>
        <v>0</v>
      </c>
    </row>
    <row r="9029" spans="20:20" ht="18.75" customHeight="1" x14ac:dyDescent="0.35">
      <c r="T9029" s="246">
        <f t="shared" si="179"/>
        <v>0</v>
      </c>
    </row>
    <row r="9030" spans="20:20" ht="18.75" customHeight="1" x14ac:dyDescent="0.35">
      <c r="T9030" s="246">
        <f t="shared" si="179"/>
        <v>0</v>
      </c>
    </row>
    <row r="9031" spans="20:20" ht="18.75" customHeight="1" x14ac:dyDescent="0.35">
      <c r="T9031" s="246">
        <f t="shared" si="179"/>
        <v>0</v>
      </c>
    </row>
    <row r="9032" spans="20:20" ht="18.75" customHeight="1" x14ac:dyDescent="0.35">
      <c r="T9032" s="246">
        <f t="shared" si="179"/>
        <v>0</v>
      </c>
    </row>
    <row r="9033" spans="20:20" ht="18.75" customHeight="1" x14ac:dyDescent="0.35">
      <c r="T9033" s="246">
        <f t="shared" si="179"/>
        <v>0</v>
      </c>
    </row>
    <row r="9034" spans="20:20" ht="18.75" customHeight="1" x14ac:dyDescent="0.35">
      <c r="T9034" s="246">
        <f t="shared" si="179"/>
        <v>0</v>
      </c>
    </row>
    <row r="9035" spans="20:20" ht="18.75" customHeight="1" x14ac:dyDescent="0.35">
      <c r="T9035" s="246">
        <f t="shared" si="179"/>
        <v>0</v>
      </c>
    </row>
    <row r="9036" spans="20:20" ht="18.75" customHeight="1" x14ac:dyDescent="0.35">
      <c r="T9036" s="246">
        <f t="shared" si="179"/>
        <v>0</v>
      </c>
    </row>
    <row r="9037" spans="20:20" ht="18.75" customHeight="1" x14ac:dyDescent="0.35">
      <c r="T9037" s="246">
        <f t="shared" si="179"/>
        <v>0</v>
      </c>
    </row>
    <row r="9038" spans="20:20" ht="18.75" customHeight="1" x14ac:dyDescent="0.35">
      <c r="T9038" s="246">
        <f t="shared" si="179"/>
        <v>0</v>
      </c>
    </row>
    <row r="9039" spans="20:20" ht="18.75" customHeight="1" x14ac:dyDescent="0.35">
      <c r="T9039" s="246">
        <f t="shared" si="179"/>
        <v>0</v>
      </c>
    </row>
    <row r="9040" spans="20:20" ht="18.75" customHeight="1" x14ac:dyDescent="0.35">
      <c r="T9040" s="246">
        <f t="shared" si="179"/>
        <v>0</v>
      </c>
    </row>
    <row r="9041" spans="20:20" ht="18.75" customHeight="1" x14ac:dyDescent="0.35">
      <c r="T9041" s="246">
        <f t="shared" si="179"/>
        <v>0</v>
      </c>
    </row>
    <row r="9042" spans="20:20" ht="18.75" customHeight="1" x14ac:dyDescent="0.35">
      <c r="T9042" s="246">
        <f t="shared" si="179"/>
        <v>0</v>
      </c>
    </row>
    <row r="9043" spans="20:20" ht="18.75" customHeight="1" x14ac:dyDescent="0.35">
      <c r="T9043" s="246">
        <f t="shared" si="179"/>
        <v>0</v>
      </c>
    </row>
    <row r="9044" spans="20:20" ht="18.75" customHeight="1" x14ac:dyDescent="0.35">
      <c r="T9044" s="246">
        <f t="shared" si="179"/>
        <v>0</v>
      </c>
    </row>
    <row r="9045" spans="20:20" ht="18.75" customHeight="1" x14ac:dyDescent="0.35">
      <c r="T9045" s="246">
        <f t="shared" si="179"/>
        <v>0</v>
      </c>
    </row>
    <row r="9046" spans="20:20" ht="18.75" customHeight="1" x14ac:dyDescent="0.35">
      <c r="T9046" s="246">
        <f t="shared" si="179"/>
        <v>0</v>
      </c>
    </row>
    <row r="9047" spans="20:20" ht="18.75" customHeight="1" x14ac:dyDescent="0.35">
      <c r="T9047" s="246">
        <f t="shared" si="179"/>
        <v>0</v>
      </c>
    </row>
    <row r="9048" spans="20:20" ht="18.75" customHeight="1" x14ac:dyDescent="0.35">
      <c r="T9048" s="246">
        <f t="shared" si="179"/>
        <v>0</v>
      </c>
    </row>
    <row r="9049" spans="20:20" ht="18.75" customHeight="1" x14ac:dyDescent="0.35">
      <c r="T9049" s="246">
        <f t="shared" si="179"/>
        <v>0</v>
      </c>
    </row>
    <row r="9050" spans="20:20" ht="18.75" customHeight="1" x14ac:dyDescent="0.35">
      <c r="T9050" s="246">
        <f t="shared" si="179"/>
        <v>0</v>
      </c>
    </row>
    <row r="9051" spans="20:20" ht="18.75" customHeight="1" x14ac:dyDescent="0.35">
      <c r="T9051" s="246">
        <f t="shared" si="179"/>
        <v>0</v>
      </c>
    </row>
    <row r="9052" spans="20:20" ht="18.75" customHeight="1" x14ac:dyDescent="0.35">
      <c r="T9052" s="246">
        <f t="shared" si="179"/>
        <v>0</v>
      </c>
    </row>
    <row r="9053" spans="20:20" ht="18.75" customHeight="1" x14ac:dyDescent="0.35">
      <c r="T9053" s="246">
        <f t="shared" si="179"/>
        <v>0</v>
      </c>
    </row>
    <row r="9054" spans="20:20" ht="18.75" customHeight="1" x14ac:dyDescent="0.35">
      <c r="T9054" s="246">
        <f t="shared" si="179"/>
        <v>0</v>
      </c>
    </row>
    <row r="9055" spans="20:20" ht="18.75" customHeight="1" x14ac:dyDescent="0.35">
      <c r="T9055" s="246">
        <f t="shared" si="179"/>
        <v>0</v>
      </c>
    </row>
    <row r="9056" spans="20:20" ht="18.75" customHeight="1" x14ac:dyDescent="0.35">
      <c r="T9056" s="246">
        <f t="shared" si="179"/>
        <v>0</v>
      </c>
    </row>
    <row r="9057" spans="20:20" ht="18.75" customHeight="1" x14ac:dyDescent="0.35">
      <c r="T9057" s="246">
        <f t="shared" si="179"/>
        <v>0</v>
      </c>
    </row>
    <row r="9058" spans="20:20" ht="18.75" customHeight="1" x14ac:dyDescent="0.35">
      <c r="T9058" s="246">
        <f t="shared" si="179"/>
        <v>0</v>
      </c>
    </row>
    <row r="9059" spans="20:20" ht="18.75" customHeight="1" x14ac:dyDescent="0.35">
      <c r="T9059" s="246">
        <f t="shared" si="179"/>
        <v>0</v>
      </c>
    </row>
    <row r="9060" spans="20:20" ht="18.75" customHeight="1" x14ac:dyDescent="0.35">
      <c r="T9060" s="246">
        <f t="shared" si="179"/>
        <v>0</v>
      </c>
    </row>
    <row r="9061" spans="20:20" ht="18.75" customHeight="1" x14ac:dyDescent="0.35">
      <c r="T9061" s="246">
        <f t="shared" si="179"/>
        <v>0</v>
      </c>
    </row>
    <row r="9062" spans="20:20" ht="18.75" customHeight="1" x14ac:dyDescent="0.35">
      <c r="T9062" s="246">
        <f t="shared" si="179"/>
        <v>0</v>
      </c>
    </row>
    <row r="9063" spans="20:20" ht="18.75" customHeight="1" x14ac:dyDescent="0.35">
      <c r="T9063" s="246">
        <f t="shared" si="179"/>
        <v>0</v>
      </c>
    </row>
    <row r="9064" spans="20:20" ht="18.75" customHeight="1" x14ac:dyDescent="0.35">
      <c r="T9064" s="246">
        <f t="shared" si="179"/>
        <v>0</v>
      </c>
    </row>
    <row r="9065" spans="20:20" ht="18.75" customHeight="1" x14ac:dyDescent="0.35">
      <c r="T9065" s="246">
        <f t="shared" si="179"/>
        <v>0</v>
      </c>
    </row>
    <row r="9066" spans="20:20" ht="18.75" customHeight="1" x14ac:dyDescent="0.35">
      <c r="T9066" s="246">
        <f t="shared" si="179"/>
        <v>0</v>
      </c>
    </row>
    <row r="9067" spans="20:20" ht="18.75" customHeight="1" x14ac:dyDescent="0.35">
      <c r="T9067" s="246">
        <f t="shared" si="179"/>
        <v>0</v>
      </c>
    </row>
    <row r="9068" spans="20:20" ht="18.75" customHeight="1" x14ac:dyDescent="0.35">
      <c r="T9068" s="246">
        <f t="shared" si="179"/>
        <v>0</v>
      </c>
    </row>
    <row r="9069" spans="20:20" ht="18.75" customHeight="1" x14ac:dyDescent="0.35">
      <c r="T9069" s="246">
        <f t="shared" si="179"/>
        <v>0</v>
      </c>
    </row>
    <row r="9070" spans="20:20" ht="18.75" customHeight="1" x14ac:dyDescent="0.35">
      <c r="T9070" s="246">
        <f t="shared" si="179"/>
        <v>0</v>
      </c>
    </row>
    <row r="9071" spans="20:20" ht="18.75" customHeight="1" x14ac:dyDescent="0.35">
      <c r="T9071" s="246">
        <f t="shared" si="179"/>
        <v>0</v>
      </c>
    </row>
    <row r="9072" spans="20:20" ht="18.75" customHeight="1" x14ac:dyDescent="0.35">
      <c r="T9072" s="246">
        <f t="shared" si="179"/>
        <v>0</v>
      </c>
    </row>
    <row r="9073" spans="20:20" ht="18.75" customHeight="1" x14ac:dyDescent="0.35">
      <c r="T9073" s="246">
        <f t="shared" si="179"/>
        <v>0</v>
      </c>
    </row>
    <row r="9074" spans="20:20" ht="18.75" customHeight="1" x14ac:dyDescent="0.35">
      <c r="T9074" s="246">
        <f t="shared" si="179"/>
        <v>0</v>
      </c>
    </row>
    <row r="9075" spans="20:20" ht="18.75" customHeight="1" x14ac:dyDescent="0.35">
      <c r="T9075" s="246">
        <f t="shared" si="179"/>
        <v>0</v>
      </c>
    </row>
    <row r="9076" spans="20:20" ht="18.75" customHeight="1" x14ac:dyDescent="0.35">
      <c r="T9076" s="246">
        <f t="shared" si="179"/>
        <v>0</v>
      </c>
    </row>
    <row r="9077" spans="20:20" ht="18.75" customHeight="1" x14ac:dyDescent="0.35">
      <c r="T9077" s="246">
        <f t="shared" si="179"/>
        <v>0</v>
      </c>
    </row>
    <row r="9078" spans="20:20" ht="18.75" customHeight="1" x14ac:dyDescent="0.35">
      <c r="T9078" s="246">
        <f t="shared" si="179"/>
        <v>0</v>
      </c>
    </row>
    <row r="9079" spans="20:20" ht="18.75" customHeight="1" x14ac:dyDescent="0.35">
      <c r="T9079" s="246">
        <f t="shared" si="179"/>
        <v>0</v>
      </c>
    </row>
    <row r="9080" spans="20:20" ht="18.75" customHeight="1" x14ac:dyDescent="0.35">
      <c r="T9080" s="246">
        <f t="shared" si="179"/>
        <v>0</v>
      </c>
    </row>
    <row r="9081" spans="20:20" ht="18.75" customHeight="1" x14ac:dyDescent="0.35">
      <c r="T9081" s="246">
        <f t="shared" si="179"/>
        <v>0</v>
      </c>
    </row>
    <row r="9082" spans="20:20" ht="18.75" customHeight="1" x14ac:dyDescent="0.35">
      <c r="T9082" s="246">
        <f t="shared" si="179"/>
        <v>0</v>
      </c>
    </row>
    <row r="9083" spans="20:20" ht="18.75" customHeight="1" x14ac:dyDescent="0.35">
      <c r="T9083" s="246">
        <f t="shared" si="179"/>
        <v>0</v>
      </c>
    </row>
    <row r="9084" spans="20:20" ht="18.75" customHeight="1" x14ac:dyDescent="0.35">
      <c r="T9084" s="246">
        <f t="shared" ref="T9084:T9147" si="180">R9084*0.01</f>
        <v>0</v>
      </c>
    </row>
    <row r="9085" spans="20:20" ht="18.75" customHeight="1" x14ac:dyDescent="0.35">
      <c r="T9085" s="246">
        <f t="shared" si="180"/>
        <v>0</v>
      </c>
    </row>
    <row r="9086" spans="20:20" ht="18.75" customHeight="1" x14ac:dyDescent="0.35">
      <c r="T9086" s="246">
        <f t="shared" si="180"/>
        <v>0</v>
      </c>
    </row>
    <row r="9087" spans="20:20" ht="18.75" customHeight="1" x14ac:dyDescent="0.35">
      <c r="T9087" s="246">
        <f t="shared" si="180"/>
        <v>0</v>
      </c>
    </row>
    <row r="9088" spans="20:20" ht="18.75" customHeight="1" x14ac:dyDescent="0.35">
      <c r="T9088" s="246">
        <f t="shared" si="180"/>
        <v>0</v>
      </c>
    </row>
    <row r="9089" spans="20:20" ht="18.75" customHeight="1" x14ac:dyDescent="0.35">
      <c r="T9089" s="246">
        <f t="shared" si="180"/>
        <v>0</v>
      </c>
    </row>
    <row r="9090" spans="20:20" ht="18.75" customHeight="1" x14ac:dyDescent="0.35">
      <c r="T9090" s="246">
        <f t="shared" si="180"/>
        <v>0</v>
      </c>
    </row>
    <row r="9091" spans="20:20" ht="18.75" customHeight="1" x14ac:dyDescent="0.35">
      <c r="T9091" s="246">
        <f t="shared" si="180"/>
        <v>0</v>
      </c>
    </row>
    <row r="9092" spans="20:20" ht="18.75" customHeight="1" x14ac:dyDescent="0.35">
      <c r="T9092" s="246">
        <f t="shared" si="180"/>
        <v>0</v>
      </c>
    </row>
    <row r="9093" spans="20:20" ht="18.75" customHeight="1" x14ac:dyDescent="0.35">
      <c r="T9093" s="246">
        <f t="shared" si="180"/>
        <v>0</v>
      </c>
    </row>
    <row r="9094" spans="20:20" ht="18.75" customHeight="1" x14ac:dyDescent="0.35">
      <c r="T9094" s="246">
        <f t="shared" si="180"/>
        <v>0</v>
      </c>
    </row>
    <row r="9095" spans="20:20" ht="18.75" customHeight="1" x14ac:dyDescent="0.35">
      <c r="T9095" s="246">
        <f t="shared" si="180"/>
        <v>0</v>
      </c>
    </row>
    <row r="9096" spans="20:20" ht="18.75" customHeight="1" x14ac:dyDescent="0.35">
      <c r="T9096" s="246">
        <f t="shared" si="180"/>
        <v>0</v>
      </c>
    </row>
    <row r="9097" spans="20:20" ht="18.75" customHeight="1" x14ac:dyDescent="0.35">
      <c r="T9097" s="246">
        <f t="shared" si="180"/>
        <v>0</v>
      </c>
    </row>
    <row r="9098" spans="20:20" ht="18.75" customHeight="1" x14ac:dyDescent="0.35">
      <c r="T9098" s="246">
        <f t="shared" si="180"/>
        <v>0</v>
      </c>
    </row>
    <row r="9099" spans="20:20" ht="18.75" customHeight="1" x14ac:dyDescent="0.35">
      <c r="T9099" s="246">
        <f t="shared" si="180"/>
        <v>0</v>
      </c>
    </row>
    <row r="9100" spans="20:20" ht="18.75" customHeight="1" x14ac:dyDescent="0.35">
      <c r="T9100" s="246">
        <f t="shared" si="180"/>
        <v>0</v>
      </c>
    </row>
    <row r="9101" spans="20:20" ht="18.75" customHeight="1" x14ac:dyDescent="0.35">
      <c r="T9101" s="246">
        <f t="shared" si="180"/>
        <v>0</v>
      </c>
    </row>
    <row r="9102" spans="20:20" ht="18.75" customHeight="1" x14ac:dyDescent="0.35">
      <c r="T9102" s="246">
        <f t="shared" si="180"/>
        <v>0</v>
      </c>
    </row>
    <row r="9103" spans="20:20" ht="18.75" customHeight="1" x14ac:dyDescent="0.35">
      <c r="T9103" s="246">
        <f t="shared" si="180"/>
        <v>0</v>
      </c>
    </row>
    <row r="9104" spans="20:20" ht="18.75" customHeight="1" x14ac:dyDescent="0.35">
      <c r="T9104" s="246">
        <f t="shared" si="180"/>
        <v>0</v>
      </c>
    </row>
    <row r="9105" spans="20:20" ht="18.75" customHeight="1" x14ac:dyDescent="0.35">
      <c r="T9105" s="246">
        <f t="shared" si="180"/>
        <v>0</v>
      </c>
    </row>
    <row r="9106" spans="20:20" ht="18.75" customHeight="1" x14ac:dyDescent="0.35">
      <c r="T9106" s="246">
        <f t="shared" si="180"/>
        <v>0</v>
      </c>
    </row>
    <row r="9107" spans="20:20" ht="18.75" customHeight="1" x14ac:dyDescent="0.35">
      <c r="T9107" s="246">
        <f t="shared" si="180"/>
        <v>0</v>
      </c>
    </row>
    <row r="9108" spans="20:20" ht="18.75" customHeight="1" x14ac:dyDescent="0.35">
      <c r="T9108" s="246">
        <f t="shared" si="180"/>
        <v>0</v>
      </c>
    </row>
    <row r="9109" spans="20:20" ht="18.75" customHeight="1" x14ac:dyDescent="0.35">
      <c r="T9109" s="246">
        <f t="shared" si="180"/>
        <v>0</v>
      </c>
    </row>
    <row r="9110" spans="20:20" ht="18.75" customHeight="1" x14ac:dyDescent="0.35">
      <c r="T9110" s="246">
        <f t="shared" si="180"/>
        <v>0</v>
      </c>
    </row>
    <row r="9111" spans="20:20" ht="18.75" customHeight="1" x14ac:dyDescent="0.35">
      <c r="T9111" s="246">
        <f t="shared" si="180"/>
        <v>0</v>
      </c>
    </row>
    <row r="9112" spans="20:20" ht="18.75" customHeight="1" x14ac:dyDescent="0.35">
      <c r="T9112" s="246">
        <f t="shared" si="180"/>
        <v>0</v>
      </c>
    </row>
    <row r="9113" spans="20:20" ht="18.75" customHeight="1" x14ac:dyDescent="0.35">
      <c r="T9113" s="246">
        <f t="shared" si="180"/>
        <v>0</v>
      </c>
    </row>
    <row r="9114" spans="20:20" ht="18.75" customHeight="1" x14ac:dyDescent="0.35">
      <c r="T9114" s="246">
        <f t="shared" si="180"/>
        <v>0</v>
      </c>
    </row>
    <row r="9115" spans="20:20" ht="18.75" customHeight="1" x14ac:dyDescent="0.35">
      <c r="T9115" s="246">
        <f t="shared" si="180"/>
        <v>0</v>
      </c>
    </row>
    <row r="9116" spans="20:20" ht="18.75" customHeight="1" x14ac:dyDescent="0.35">
      <c r="T9116" s="246">
        <f t="shared" si="180"/>
        <v>0</v>
      </c>
    </row>
    <row r="9117" spans="20:20" ht="18.75" customHeight="1" x14ac:dyDescent="0.35">
      <c r="T9117" s="246">
        <f t="shared" si="180"/>
        <v>0</v>
      </c>
    </row>
    <row r="9118" spans="20:20" ht="18.75" customHeight="1" x14ac:dyDescent="0.35">
      <c r="T9118" s="246">
        <f t="shared" si="180"/>
        <v>0</v>
      </c>
    </row>
    <row r="9119" spans="20:20" ht="18.75" customHeight="1" x14ac:dyDescent="0.35">
      <c r="T9119" s="246">
        <f t="shared" si="180"/>
        <v>0</v>
      </c>
    </row>
    <row r="9120" spans="20:20" ht="18.75" customHeight="1" x14ac:dyDescent="0.35">
      <c r="T9120" s="246">
        <f t="shared" si="180"/>
        <v>0</v>
      </c>
    </row>
    <row r="9121" spans="20:20" ht="18.75" customHeight="1" x14ac:dyDescent="0.35">
      <c r="T9121" s="246">
        <f t="shared" si="180"/>
        <v>0</v>
      </c>
    </row>
    <row r="9122" spans="20:20" ht="18.75" customHeight="1" x14ac:dyDescent="0.35">
      <c r="T9122" s="246">
        <f t="shared" si="180"/>
        <v>0</v>
      </c>
    </row>
    <row r="9123" spans="20:20" ht="18.75" customHeight="1" x14ac:dyDescent="0.35">
      <c r="T9123" s="246">
        <f t="shared" si="180"/>
        <v>0</v>
      </c>
    </row>
    <row r="9124" spans="20:20" ht="18.75" customHeight="1" x14ac:dyDescent="0.35">
      <c r="T9124" s="246">
        <f t="shared" si="180"/>
        <v>0</v>
      </c>
    </row>
    <row r="9125" spans="20:20" ht="18.75" customHeight="1" x14ac:dyDescent="0.35">
      <c r="T9125" s="246">
        <f t="shared" si="180"/>
        <v>0</v>
      </c>
    </row>
    <row r="9126" spans="20:20" ht="18.75" customHeight="1" x14ac:dyDescent="0.35">
      <c r="T9126" s="246">
        <f t="shared" si="180"/>
        <v>0</v>
      </c>
    </row>
    <row r="9127" spans="20:20" ht="18.75" customHeight="1" x14ac:dyDescent="0.35">
      <c r="T9127" s="246">
        <f t="shared" si="180"/>
        <v>0</v>
      </c>
    </row>
    <row r="9128" spans="20:20" ht="18.75" customHeight="1" x14ac:dyDescent="0.35">
      <c r="T9128" s="246">
        <f t="shared" si="180"/>
        <v>0</v>
      </c>
    </row>
    <row r="9129" spans="20:20" ht="18.75" customHeight="1" x14ac:dyDescent="0.35">
      <c r="T9129" s="246">
        <f t="shared" si="180"/>
        <v>0</v>
      </c>
    </row>
    <row r="9130" spans="20:20" ht="18.75" customHeight="1" x14ac:dyDescent="0.35">
      <c r="T9130" s="246">
        <f t="shared" si="180"/>
        <v>0</v>
      </c>
    </row>
    <row r="9131" spans="20:20" ht="18.75" customHeight="1" x14ac:dyDescent="0.35">
      <c r="T9131" s="246">
        <f t="shared" si="180"/>
        <v>0</v>
      </c>
    </row>
    <row r="9132" spans="20:20" ht="18.75" customHeight="1" x14ac:dyDescent="0.35">
      <c r="T9132" s="246">
        <f t="shared" si="180"/>
        <v>0</v>
      </c>
    </row>
    <row r="9133" spans="20:20" ht="18.75" customHeight="1" x14ac:dyDescent="0.35">
      <c r="T9133" s="246">
        <f t="shared" si="180"/>
        <v>0</v>
      </c>
    </row>
    <row r="9134" spans="20:20" ht="18.75" customHeight="1" x14ac:dyDescent="0.35">
      <c r="T9134" s="246">
        <f t="shared" si="180"/>
        <v>0</v>
      </c>
    </row>
    <row r="9135" spans="20:20" ht="18.75" customHeight="1" x14ac:dyDescent="0.35">
      <c r="T9135" s="246">
        <f t="shared" si="180"/>
        <v>0</v>
      </c>
    </row>
    <row r="9136" spans="20:20" ht="18.75" customHeight="1" x14ac:dyDescent="0.35">
      <c r="T9136" s="246">
        <f t="shared" si="180"/>
        <v>0</v>
      </c>
    </row>
    <row r="9137" spans="20:20" ht="18.75" customHeight="1" x14ac:dyDescent="0.35">
      <c r="T9137" s="246">
        <f t="shared" si="180"/>
        <v>0</v>
      </c>
    </row>
    <row r="9138" spans="20:20" ht="18.75" customHeight="1" x14ac:dyDescent="0.35">
      <c r="T9138" s="246">
        <f t="shared" si="180"/>
        <v>0</v>
      </c>
    </row>
    <row r="9139" spans="20:20" ht="18.75" customHeight="1" x14ac:dyDescent="0.35">
      <c r="T9139" s="246">
        <f t="shared" si="180"/>
        <v>0</v>
      </c>
    </row>
    <row r="9140" spans="20:20" ht="18.75" customHeight="1" x14ac:dyDescent="0.35">
      <c r="T9140" s="246">
        <f t="shared" si="180"/>
        <v>0</v>
      </c>
    </row>
    <row r="9141" spans="20:20" ht="18.75" customHeight="1" x14ac:dyDescent="0.35">
      <c r="T9141" s="246">
        <f t="shared" si="180"/>
        <v>0</v>
      </c>
    </row>
    <row r="9142" spans="20:20" ht="18.75" customHeight="1" x14ac:dyDescent="0.35">
      <c r="T9142" s="246">
        <f t="shared" si="180"/>
        <v>0</v>
      </c>
    </row>
    <row r="9143" spans="20:20" ht="18.75" customHeight="1" x14ac:dyDescent="0.35">
      <c r="T9143" s="246">
        <f t="shared" si="180"/>
        <v>0</v>
      </c>
    </row>
    <row r="9144" spans="20:20" ht="18.75" customHeight="1" x14ac:dyDescent="0.35">
      <c r="T9144" s="246">
        <f t="shared" si="180"/>
        <v>0</v>
      </c>
    </row>
    <row r="9145" spans="20:20" ht="18.75" customHeight="1" x14ac:dyDescent="0.35">
      <c r="T9145" s="246">
        <f t="shared" si="180"/>
        <v>0</v>
      </c>
    </row>
    <row r="9146" spans="20:20" ht="18.75" customHeight="1" x14ac:dyDescent="0.35">
      <c r="T9146" s="246">
        <f t="shared" si="180"/>
        <v>0</v>
      </c>
    </row>
    <row r="9147" spans="20:20" ht="18.75" customHeight="1" x14ac:dyDescent="0.35">
      <c r="T9147" s="246">
        <f t="shared" si="180"/>
        <v>0</v>
      </c>
    </row>
    <row r="9148" spans="20:20" ht="18.75" customHeight="1" x14ac:dyDescent="0.35">
      <c r="T9148" s="246">
        <f t="shared" ref="T9148:T9211" si="181">R9148*0.01</f>
        <v>0</v>
      </c>
    </row>
    <row r="9149" spans="20:20" ht="18.75" customHeight="1" x14ac:dyDescent="0.35">
      <c r="T9149" s="246">
        <f t="shared" si="181"/>
        <v>0</v>
      </c>
    </row>
    <row r="9150" spans="20:20" ht="18.75" customHeight="1" x14ac:dyDescent="0.35">
      <c r="T9150" s="246">
        <f t="shared" si="181"/>
        <v>0</v>
      </c>
    </row>
    <row r="9151" spans="20:20" ht="18.75" customHeight="1" x14ac:dyDescent="0.35">
      <c r="T9151" s="246">
        <f t="shared" si="181"/>
        <v>0</v>
      </c>
    </row>
    <row r="9152" spans="20:20" ht="18.75" customHeight="1" x14ac:dyDescent="0.35">
      <c r="T9152" s="246">
        <f t="shared" si="181"/>
        <v>0</v>
      </c>
    </row>
    <row r="9153" spans="20:20" ht="18.75" customHeight="1" x14ac:dyDescent="0.35">
      <c r="T9153" s="246">
        <f t="shared" si="181"/>
        <v>0</v>
      </c>
    </row>
    <row r="9154" spans="20:20" ht="18.75" customHeight="1" x14ac:dyDescent="0.35">
      <c r="T9154" s="246">
        <f t="shared" si="181"/>
        <v>0</v>
      </c>
    </row>
    <row r="9155" spans="20:20" ht="18.75" customHeight="1" x14ac:dyDescent="0.35">
      <c r="T9155" s="246">
        <f t="shared" si="181"/>
        <v>0</v>
      </c>
    </row>
    <row r="9156" spans="20:20" ht="18.75" customHeight="1" x14ac:dyDescent="0.35">
      <c r="T9156" s="246">
        <f t="shared" si="181"/>
        <v>0</v>
      </c>
    </row>
    <row r="9157" spans="20:20" ht="18.75" customHeight="1" x14ac:dyDescent="0.35">
      <c r="T9157" s="246">
        <f t="shared" si="181"/>
        <v>0</v>
      </c>
    </row>
    <row r="9158" spans="20:20" ht="18.75" customHeight="1" x14ac:dyDescent="0.35">
      <c r="T9158" s="246">
        <f t="shared" si="181"/>
        <v>0</v>
      </c>
    </row>
    <row r="9159" spans="20:20" ht="18.75" customHeight="1" x14ac:dyDescent="0.35">
      <c r="T9159" s="246">
        <f t="shared" si="181"/>
        <v>0</v>
      </c>
    </row>
    <row r="9160" spans="20:20" ht="18.75" customHeight="1" x14ac:dyDescent="0.35">
      <c r="T9160" s="246">
        <f t="shared" si="181"/>
        <v>0</v>
      </c>
    </row>
    <row r="9161" spans="20:20" ht="18.75" customHeight="1" x14ac:dyDescent="0.35">
      <c r="T9161" s="246">
        <f t="shared" si="181"/>
        <v>0</v>
      </c>
    </row>
    <row r="9162" spans="20:20" ht="18.75" customHeight="1" x14ac:dyDescent="0.35">
      <c r="T9162" s="246">
        <f t="shared" si="181"/>
        <v>0</v>
      </c>
    </row>
    <row r="9163" spans="20:20" ht="18.75" customHeight="1" x14ac:dyDescent="0.35">
      <c r="T9163" s="246">
        <f t="shared" si="181"/>
        <v>0</v>
      </c>
    </row>
    <row r="9164" spans="20:20" ht="18.75" customHeight="1" x14ac:dyDescent="0.35">
      <c r="T9164" s="246">
        <f t="shared" si="181"/>
        <v>0</v>
      </c>
    </row>
    <row r="9165" spans="20:20" ht="18.75" customHeight="1" x14ac:dyDescent="0.35">
      <c r="T9165" s="246">
        <f t="shared" si="181"/>
        <v>0</v>
      </c>
    </row>
    <row r="9166" spans="20:20" ht="18.75" customHeight="1" x14ac:dyDescent="0.35">
      <c r="T9166" s="246">
        <f t="shared" si="181"/>
        <v>0</v>
      </c>
    </row>
    <row r="9167" spans="20:20" ht="18.75" customHeight="1" x14ac:dyDescent="0.35">
      <c r="T9167" s="246">
        <f t="shared" si="181"/>
        <v>0</v>
      </c>
    </row>
    <row r="9168" spans="20:20" ht="18.75" customHeight="1" x14ac:dyDescent="0.35">
      <c r="T9168" s="246">
        <f t="shared" si="181"/>
        <v>0</v>
      </c>
    </row>
    <row r="9169" spans="20:20" ht="18.75" customHeight="1" x14ac:dyDescent="0.35">
      <c r="T9169" s="246">
        <f t="shared" si="181"/>
        <v>0</v>
      </c>
    </row>
    <row r="9170" spans="20:20" ht="18.75" customHeight="1" x14ac:dyDescent="0.35">
      <c r="T9170" s="246">
        <f t="shared" si="181"/>
        <v>0</v>
      </c>
    </row>
    <row r="9171" spans="20:20" ht="18.75" customHeight="1" x14ac:dyDescent="0.35">
      <c r="T9171" s="246">
        <f t="shared" si="181"/>
        <v>0</v>
      </c>
    </row>
    <row r="9172" spans="20:20" ht="18.75" customHeight="1" x14ac:dyDescent="0.35">
      <c r="T9172" s="246">
        <f t="shared" si="181"/>
        <v>0</v>
      </c>
    </row>
    <row r="9173" spans="20:20" ht="18.75" customHeight="1" x14ac:dyDescent="0.35">
      <c r="T9173" s="246">
        <f t="shared" si="181"/>
        <v>0</v>
      </c>
    </row>
    <row r="9174" spans="20:20" ht="18.75" customHeight="1" x14ac:dyDescent="0.35">
      <c r="T9174" s="246">
        <f t="shared" si="181"/>
        <v>0</v>
      </c>
    </row>
    <row r="9175" spans="20:20" ht="18.75" customHeight="1" x14ac:dyDescent="0.35">
      <c r="T9175" s="246">
        <f t="shared" si="181"/>
        <v>0</v>
      </c>
    </row>
    <row r="9176" spans="20:20" ht="18.75" customHeight="1" x14ac:dyDescent="0.35">
      <c r="T9176" s="246">
        <f t="shared" si="181"/>
        <v>0</v>
      </c>
    </row>
    <row r="9177" spans="20:20" ht="18.75" customHeight="1" x14ac:dyDescent="0.35">
      <c r="T9177" s="246">
        <f t="shared" si="181"/>
        <v>0</v>
      </c>
    </row>
    <row r="9178" spans="20:20" ht="18.75" customHeight="1" x14ac:dyDescent="0.35">
      <c r="T9178" s="246">
        <f t="shared" si="181"/>
        <v>0</v>
      </c>
    </row>
    <row r="9179" spans="20:20" ht="18.75" customHeight="1" x14ac:dyDescent="0.35">
      <c r="T9179" s="246">
        <f t="shared" si="181"/>
        <v>0</v>
      </c>
    </row>
    <row r="9180" spans="20:20" ht="18.75" customHeight="1" x14ac:dyDescent="0.35">
      <c r="T9180" s="246">
        <f t="shared" si="181"/>
        <v>0</v>
      </c>
    </row>
    <row r="9181" spans="20:20" ht="18.75" customHeight="1" x14ac:dyDescent="0.35">
      <c r="T9181" s="246">
        <f t="shared" si="181"/>
        <v>0</v>
      </c>
    </row>
    <row r="9182" spans="20:20" ht="18.75" customHeight="1" x14ac:dyDescent="0.35">
      <c r="T9182" s="246">
        <f t="shared" si="181"/>
        <v>0</v>
      </c>
    </row>
    <row r="9183" spans="20:20" ht="18.75" customHeight="1" x14ac:dyDescent="0.35">
      <c r="T9183" s="246">
        <f t="shared" si="181"/>
        <v>0</v>
      </c>
    </row>
    <row r="9184" spans="20:20" ht="18.75" customHeight="1" x14ac:dyDescent="0.35">
      <c r="T9184" s="246">
        <f t="shared" si="181"/>
        <v>0</v>
      </c>
    </row>
    <row r="9185" spans="20:20" ht="18.75" customHeight="1" x14ac:dyDescent="0.35">
      <c r="T9185" s="246">
        <f t="shared" si="181"/>
        <v>0</v>
      </c>
    </row>
    <row r="9186" spans="20:20" ht="18.75" customHeight="1" x14ac:dyDescent="0.35">
      <c r="T9186" s="246">
        <f t="shared" si="181"/>
        <v>0</v>
      </c>
    </row>
    <row r="9187" spans="20:20" ht="18.75" customHeight="1" x14ac:dyDescent="0.35">
      <c r="T9187" s="246">
        <f t="shared" si="181"/>
        <v>0</v>
      </c>
    </row>
    <row r="9188" spans="20:20" ht="18.75" customHeight="1" x14ac:dyDescent="0.35">
      <c r="T9188" s="246">
        <f t="shared" si="181"/>
        <v>0</v>
      </c>
    </row>
    <row r="9189" spans="20:20" ht="18.75" customHeight="1" x14ac:dyDescent="0.35">
      <c r="T9189" s="246">
        <f t="shared" si="181"/>
        <v>0</v>
      </c>
    </row>
    <row r="9190" spans="20:20" ht="18.75" customHeight="1" x14ac:dyDescent="0.35">
      <c r="T9190" s="246">
        <f t="shared" si="181"/>
        <v>0</v>
      </c>
    </row>
    <row r="9191" spans="20:20" ht="18.75" customHeight="1" x14ac:dyDescent="0.35">
      <c r="T9191" s="246">
        <f t="shared" si="181"/>
        <v>0</v>
      </c>
    </row>
    <row r="9192" spans="20:20" ht="18.75" customHeight="1" x14ac:dyDescent="0.35">
      <c r="T9192" s="246">
        <f t="shared" si="181"/>
        <v>0</v>
      </c>
    </row>
    <row r="9193" spans="20:20" ht="18.75" customHeight="1" x14ac:dyDescent="0.35">
      <c r="T9193" s="246">
        <f t="shared" si="181"/>
        <v>0</v>
      </c>
    </row>
    <row r="9194" spans="20:20" ht="18.75" customHeight="1" x14ac:dyDescent="0.35">
      <c r="T9194" s="246">
        <f t="shared" si="181"/>
        <v>0</v>
      </c>
    </row>
    <row r="9195" spans="20:20" ht="18.75" customHeight="1" x14ac:dyDescent="0.35">
      <c r="T9195" s="246">
        <f t="shared" si="181"/>
        <v>0</v>
      </c>
    </row>
    <row r="9196" spans="20:20" ht="18.75" customHeight="1" x14ac:dyDescent="0.35">
      <c r="T9196" s="246">
        <f t="shared" si="181"/>
        <v>0</v>
      </c>
    </row>
    <row r="9197" spans="20:20" ht="18.75" customHeight="1" x14ac:dyDescent="0.35">
      <c r="T9197" s="246">
        <f t="shared" si="181"/>
        <v>0</v>
      </c>
    </row>
    <row r="9198" spans="20:20" ht="18.75" customHeight="1" x14ac:dyDescent="0.35">
      <c r="T9198" s="246">
        <f t="shared" si="181"/>
        <v>0</v>
      </c>
    </row>
    <row r="9199" spans="20:20" ht="18.75" customHeight="1" x14ac:dyDescent="0.35">
      <c r="T9199" s="246">
        <f t="shared" si="181"/>
        <v>0</v>
      </c>
    </row>
    <row r="9200" spans="20:20" ht="18.75" customHeight="1" x14ac:dyDescent="0.35">
      <c r="T9200" s="246">
        <f t="shared" si="181"/>
        <v>0</v>
      </c>
    </row>
    <row r="9201" spans="20:20" ht="18.75" customHeight="1" x14ac:dyDescent="0.35">
      <c r="T9201" s="246">
        <f t="shared" si="181"/>
        <v>0</v>
      </c>
    </row>
    <row r="9202" spans="20:20" ht="18.75" customHeight="1" x14ac:dyDescent="0.35">
      <c r="T9202" s="246">
        <f t="shared" si="181"/>
        <v>0</v>
      </c>
    </row>
    <row r="9203" spans="20:20" ht="18.75" customHeight="1" x14ac:dyDescent="0.35">
      <c r="T9203" s="246">
        <f t="shared" si="181"/>
        <v>0</v>
      </c>
    </row>
    <row r="9204" spans="20:20" ht="18.75" customHeight="1" x14ac:dyDescent="0.35">
      <c r="T9204" s="246">
        <f t="shared" si="181"/>
        <v>0</v>
      </c>
    </row>
    <row r="9205" spans="20:20" ht="18.75" customHeight="1" x14ac:dyDescent="0.35">
      <c r="T9205" s="246">
        <f t="shared" si="181"/>
        <v>0</v>
      </c>
    </row>
    <row r="9206" spans="20:20" ht="18.75" customHeight="1" x14ac:dyDescent="0.35">
      <c r="T9206" s="246">
        <f t="shared" si="181"/>
        <v>0</v>
      </c>
    </row>
    <row r="9207" spans="20:20" ht="18.75" customHeight="1" x14ac:dyDescent="0.35">
      <c r="T9207" s="246">
        <f t="shared" si="181"/>
        <v>0</v>
      </c>
    </row>
    <row r="9208" spans="20:20" ht="18.75" customHeight="1" x14ac:dyDescent="0.35">
      <c r="T9208" s="246">
        <f t="shared" si="181"/>
        <v>0</v>
      </c>
    </row>
    <row r="9209" spans="20:20" ht="18.75" customHeight="1" x14ac:dyDescent="0.35">
      <c r="T9209" s="246">
        <f t="shared" si="181"/>
        <v>0</v>
      </c>
    </row>
    <row r="9210" spans="20:20" ht="18.75" customHeight="1" x14ac:dyDescent="0.35">
      <c r="T9210" s="246">
        <f t="shared" si="181"/>
        <v>0</v>
      </c>
    </row>
    <row r="9211" spans="20:20" ht="18.75" customHeight="1" x14ac:dyDescent="0.35">
      <c r="T9211" s="246">
        <f t="shared" si="181"/>
        <v>0</v>
      </c>
    </row>
    <row r="9212" spans="20:20" ht="18.75" customHeight="1" x14ac:dyDescent="0.35">
      <c r="T9212" s="246">
        <f t="shared" ref="T9212:T9275" si="182">R9212*0.01</f>
        <v>0</v>
      </c>
    </row>
    <row r="9213" spans="20:20" ht="18.75" customHeight="1" x14ac:dyDescent="0.35">
      <c r="T9213" s="246">
        <f t="shared" si="182"/>
        <v>0</v>
      </c>
    </row>
    <row r="9214" spans="20:20" ht="18.75" customHeight="1" x14ac:dyDescent="0.35">
      <c r="T9214" s="246">
        <f t="shared" si="182"/>
        <v>0</v>
      </c>
    </row>
    <row r="9215" spans="20:20" ht="18.75" customHeight="1" x14ac:dyDescent="0.35">
      <c r="T9215" s="246">
        <f t="shared" si="182"/>
        <v>0</v>
      </c>
    </row>
    <row r="9216" spans="20:20" ht="18.75" customHeight="1" x14ac:dyDescent="0.35">
      <c r="T9216" s="246">
        <f t="shared" si="182"/>
        <v>0</v>
      </c>
    </row>
    <row r="9217" spans="20:20" ht="18.75" customHeight="1" x14ac:dyDescent="0.35">
      <c r="T9217" s="246">
        <f t="shared" si="182"/>
        <v>0</v>
      </c>
    </row>
    <row r="9218" spans="20:20" ht="18.75" customHeight="1" x14ac:dyDescent="0.35">
      <c r="T9218" s="246">
        <f t="shared" si="182"/>
        <v>0</v>
      </c>
    </row>
    <row r="9219" spans="20:20" ht="18.75" customHeight="1" x14ac:dyDescent="0.35">
      <c r="T9219" s="246">
        <f t="shared" si="182"/>
        <v>0</v>
      </c>
    </row>
    <row r="9220" spans="20:20" ht="18.75" customHeight="1" x14ac:dyDescent="0.35">
      <c r="T9220" s="246">
        <f t="shared" si="182"/>
        <v>0</v>
      </c>
    </row>
    <row r="9221" spans="20:20" ht="18.75" customHeight="1" x14ac:dyDescent="0.35">
      <c r="T9221" s="246">
        <f t="shared" si="182"/>
        <v>0</v>
      </c>
    </row>
    <row r="9222" spans="20:20" ht="18.75" customHeight="1" x14ac:dyDescent="0.35">
      <c r="T9222" s="246">
        <f t="shared" si="182"/>
        <v>0</v>
      </c>
    </row>
    <row r="9223" spans="20:20" ht="18.75" customHeight="1" x14ac:dyDescent="0.35">
      <c r="T9223" s="246">
        <f t="shared" si="182"/>
        <v>0</v>
      </c>
    </row>
    <row r="9224" spans="20:20" ht="18.75" customHeight="1" x14ac:dyDescent="0.35">
      <c r="T9224" s="246">
        <f t="shared" si="182"/>
        <v>0</v>
      </c>
    </row>
    <row r="9225" spans="20:20" ht="18.75" customHeight="1" x14ac:dyDescent="0.35">
      <c r="T9225" s="246">
        <f t="shared" si="182"/>
        <v>0</v>
      </c>
    </row>
    <row r="9226" spans="20:20" ht="18.75" customHeight="1" x14ac:dyDescent="0.35">
      <c r="T9226" s="246">
        <f t="shared" si="182"/>
        <v>0</v>
      </c>
    </row>
    <row r="9227" spans="20:20" ht="18.75" customHeight="1" x14ac:dyDescent="0.35">
      <c r="T9227" s="246">
        <f t="shared" si="182"/>
        <v>0</v>
      </c>
    </row>
    <row r="9228" spans="20:20" ht="18.75" customHeight="1" x14ac:dyDescent="0.35">
      <c r="T9228" s="246">
        <f t="shared" si="182"/>
        <v>0</v>
      </c>
    </row>
    <row r="9229" spans="20:20" ht="18.75" customHeight="1" x14ac:dyDescent="0.35">
      <c r="T9229" s="246">
        <f t="shared" si="182"/>
        <v>0</v>
      </c>
    </row>
    <row r="9230" spans="20:20" ht="18.75" customHeight="1" x14ac:dyDescent="0.35">
      <c r="T9230" s="246">
        <f t="shared" si="182"/>
        <v>0</v>
      </c>
    </row>
    <row r="9231" spans="20:20" ht="18.75" customHeight="1" x14ac:dyDescent="0.35">
      <c r="T9231" s="246">
        <f t="shared" si="182"/>
        <v>0</v>
      </c>
    </row>
    <row r="9232" spans="20:20" ht="18.75" customHeight="1" x14ac:dyDescent="0.35">
      <c r="T9232" s="246">
        <f t="shared" si="182"/>
        <v>0</v>
      </c>
    </row>
    <row r="9233" spans="20:20" ht="18.75" customHeight="1" x14ac:dyDescent="0.35">
      <c r="T9233" s="246">
        <f t="shared" si="182"/>
        <v>0</v>
      </c>
    </row>
    <row r="9234" spans="20:20" ht="18.75" customHeight="1" x14ac:dyDescent="0.35">
      <c r="T9234" s="246">
        <f t="shared" si="182"/>
        <v>0</v>
      </c>
    </row>
    <row r="9235" spans="20:20" ht="18.75" customHeight="1" x14ac:dyDescent="0.35">
      <c r="T9235" s="246">
        <f t="shared" si="182"/>
        <v>0</v>
      </c>
    </row>
    <row r="9236" spans="20:20" ht="18.75" customHeight="1" x14ac:dyDescent="0.35">
      <c r="T9236" s="246">
        <f t="shared" si="182"/>
        <v>0</v>
      </c>
    </row>
    <row r="9237" spans="20:20" ht="18.75" customHeight="1" x14ac:dyDescent="0.35">
      <c r="T9237" s="246">
        <f t="shared" si="182"/>
        <v>0</v>
      </c>
    </row>
    <row r="9238" spans="20:20" ht="18.75" customHeight="1" x14ac:dyDescent="0.35">
      <c r="T9238" s="246">
        <f t="shared" si="182"/>
        <v>0</v>
      </c>
    </row>
    <row r="9239" spans="20:20" ht="18.75" customHeight="1" x14ac:dyDescent="0.35">
      <c r="T9239" s="246">
        <f t="shared" si="182"/>
        <v>0</v>
      </c>
    </row>
    <row r="9240" spans="20:20" ht="18.75" customHeight="1" x14ac:dyDescent="0.35">
      <c r="T9240" s="246">
        <f t="shared" si="182"/>
        <v>0</v>
      </c>
    </row>
    <row r="9241" spans="20:20" ht="18.75" customHeight="1" x14ac:dyDescent="0.35">
      <c r="T9241" s="246">
        <f t="shared" si="182"/>
        <v>0</v>
      </c>
    </row>
    <row r="9242" spans="20:20" ht="18.75" customHeight="1" x14ac:dyDescent="0.35">
      <c r="T9242" s="246">
        <f t="shared" si="182"/>
        <v>0</v>
      </c>
    </row>
    <row r="9243" spans="20:20" ht="18.75" customHeight="1" x14ac:dyDescent="0.35">
      <c r="T9243" s="246">
        <f t="shared" si="182"/>
        <v>0</v>
      </c>
    </row>
    <row r="9244" spans="20:20" ht="18.75" customHeight="1" x14ac:dyDescent="0.35">
      <c r="T9244" s="246">
        <f t="shared" si="182"/>
        <v>0</v>
      </c>
    </row>
    <row r="9245" spans="20:20" ht="18.75" customHeight="1" x14ac:dyDescent="0.35">
      <c r="T9245" s="246">
        <f t="shared" si="182"/>
        <v>0</v>
      </c>
    </row>
    <row r="9246" spans="20:20" ht="18.75" customHeight="1" x14ac:dyDescent="0.35">
      <c r="T9246" s="246">
        <f t="shared" si="182"/>
        <v>0</v>
      </c>
    </row>
    <row r="9247" spans="20:20" ht="18.75" customHeight="1" x14ac:dyDescent="0.35">
      <c r="T9247" s="246">
        <f t="shared" si="182"/>
        <v>0</v>
      </c>
    </row>
    <row r="9248" spans="20:20" ht="18.75" customHeight="1" x14ac:dyDescent="0.35">
      <c r="T9248" s="246">
        <f t="shared" si="182"/>
        <v>0</v>
      </c>
    </row>
    <row r="9249" spans="20:20" ht="18.75" customHeight="1" x14ac:dyDescent="0.35">
      <c r="T9249" s="246">
        <f t="shared" si="182"/>
        <v>0</v>
      </c>
    </row>
    <row r="9250" spans="20:20" ht="18.75" customHeight="1" x14ac:dyDescent="0.35">
      <c r="T9250" s="246">
        <f t="shared" si="182"/>
        <v>0</v>
      </c>
    </row>
    <row r="9251" spans="20:20" ht="18.75" customHeight="1" x14ac:dyDescent="0.35">
      <c r="T9251" s="246">
        <f t="shared" si="182"/>
        <v>0</v>
      </c>
    </row>
    <row r="9252" spans="20:20" ht="18.75" customHeight="1" x14ac:dyDescent="0.35">
      <c r="T9252" s="246">
        <f t="shared" si="182"/>
        <v>0</v>
      </c>
    </row>
    <row r="9253" spans="20:20" ht="18.75" customHeight="1" x14ac:dyDescent="0.35">
      <c r="T9253" s="246">
        <f t="shared" si="182"/>
        <v>0</v>
      </c>
    </row>
    <row r="9254" spans="20:20" ht="18.75" customHeight="1" x14ac:dyDescent="0.35">
      <c r="T9254" s="246">
        <f t="shared" si="182"/>
        <v>0</v>
      </c>
    </row>
    <row r="9255" spans="20:20" ht="18.75" customHeight="1" x14ac:dyDescent="0.35">
      <c r="T9255" s="246">
        <f t="shared" si="182"/>
        <v>0</v>
      </c>
    </row>
    <row r="9256" spans="20:20" ht="18.75" customHeight="1" x14ac:dyDescent="0.35">
      <c r="T9256" s="246">
        <f t="shared" si="182"/>
        <v>0</v>
      </c>
    </row>
    <row r="9257" spans="20:20" ht="18.75" customHeight="1" x14ac:dyDescent="0.35">
      <c r="T9257" s="246">
        <f t="shared" si="182"/>
        <v>0</v>
      </c>
    </row>
    <row r="9258" spans="20:20" ht="18.75" customHeight="1" x14ac:dyDescent="0.35">
      <c r="T9258" s="246">
        <f t="shared" si="182"/>
        <v>0</v>
      </c>
    </row>
    <row r="9259" spans="20:20" ht="18.75" customHeight="1" x14ac:dyDescent="0.35">
      <c r="T9259" s="246">
        <f t="shared" si="182"/>
        <v>0</v>
      </c>
    </row>
    <row r="9260" spans="20:20" ht="18.75" customHeight="1" x14ac:dyDescent="0.35">
      <c r="T9260" s="246">
        <f t="shared" si="182"/>
        <v>0</v>
      </c>
    </row>
    <row r="9261" spans="20:20" ht="18.75" customHeight="1" x14ac:dyDescent="0.35">
      <c r="T9261" s="246">
        <f t="shared" si="182"/>
        <v>0</v>
      </c>
    </row>
    <row r="9262" spans="20:20" ht="18.75" customHeight="1" x14ac:dyDescent="0.35">
      <c r="T9262" s="246">
        <f t="shared" si="182"/>
        <v>0</v>
      </c>
    </row>
    <row r="9263" spans="20:20" ht="18.75" customHeight="1" x14ac:dyDescent="0.35">
      <c r="T9263" s="246">
        <f t="shared" si="182"/>
        <v>0</v>
      </c>
    </row>
    <row r="9264" spans="20:20" ht="18.75" customHeight="1" x14ac:dyDescent="0.35">
      <c r="T9264" s="246">
        <f t="shared" si="182"/>
        <v>0</v>
      </c>
    </row>
    <row r="9265" spans="20:20" ht="18.75" customHeight="1" x14ac:dyDescent="0.35">
      <c r="T9265" s="246">
        <f t="shared" si="182"/>
        <v>0</v>
      </c>
    </row>
    <row r="9266" spans="20:20" ht="18.75" customHeight="1" x14ac:dyDescent="0.35">
      <c r="T9266" s="246">
        <f t="shared" si="182"/>
        <v>0</v>
      </c>
    </row>
    <row r="9267" spans="20:20" ht="18.75" customHeight="1" x14ac:dyDescent="0.35">
      <c r="T9267" s="246">
        <f t="shared" si="182"/>
        <v>0</v>
      </c>
    </row>
    <row r="9268" spans="20:20" ht="18.75" customHeight="1" x14ac:dyDescent="0.35">
      <c r="T9268" s="246">
        <f t="shared" si="182"/>
        <v>0</v>
      </c>
    </row>
    <row r="9269" spans="20:20" ht="18.75" customHeight="1" x14ac:dyDescent="0.35">
      <c r="T9269" s="246">
        <f t="shared" si="182"/>
        <v>0</v>
      </c>
    </row>
    <row r="9270" spans="20:20" ht="18.75" customHeight="1" x14ac:dyDescent="0.35">
      <c r="T9270" s="246">
        <f t="shared" si="182"/>
        <v>0</v>
      </c>
    </row>
    <row r="9271" spans="20:20" ht="18.75" customHeight="1" x14ac:dyDescent="0.35">
      <c r="T9271" s="246">
        <f t="shared" si="182"/>
        <v>0</v>
      </c>
    </row>
    <row r="9272" spans="20:20" ht="18.75" customHeight="1" x14ac:dyDescent="0.35">
      <c r="T9272" s="246">
        <f t="shared" si="182"/>
        <v>0</v>
      </c>
    </row>
    <row r="9273" spans="20:20" ht="18.75" customHeight="1" x14ac:dyDescent="0.35">
      <c r="T9273" s="246">
        <f t="shared" si="182"/>
        <v>0</v>
      </c>
    </row>
    <row r="9274" spans="20:20" ht="18.75" customHeight="1" x14ac:dyDescent="0.35">
      <c r="T9274" s="246">
        <f t="shared" si="182"/>
        <v>0</v>
      </c>
    </row>
    <row r="9275" spans="20:20" ht="18.75" customHeight="1" x14ac:dyDescent="0.35">
      <c r="T9275" s="246">
        <f t="shared" si="182"/>
        <v>0</v>
      </c>
    </row>
    <row r="9276" spans="20:20" ht="18.75" customHeight="1" x14ac:dyDescent="0.35">
      <c r="T9276" s="246">
        <f t="shared" ref="T9276:T9339" si="183">R9276*0.01</f>
        <v>0</v>
      </c>
    </row>
    <row r="9277" spans="20:20" ht="18.75" customHeight="1" x14ac:dyDescent="0.35">
      <c r="T9277" s="246">
        <f t="shared" si="183"/>
        <v>0</v>
      </c>
    </row>
    <row r="9278" spans="20:20" ht="18.75" customHeight="1" x14ac:dyDescent="0.35">
      <c r="T9278" s="246">
        <f t="shared" si="183"/>
        <v>0</v>
      </c>
    </row>
    <row r="9279" spans="20:20" ht="18.75" customHeight="1" x14ac:dyDescent="0.35">
      <c r="T9279" s="246">
        <f t="shared" si="183"/>
        <v>0</v>
      </c>
    </row>
    <row r="9280" spans="20:20" ht="18.75" customHeight="1" x14ac:dyDescent="0.35">
      <c r="T9280" s="246">
        <f t="shared" si="183"/>
        <v>0</v>
      </c>
    </row>
    <row r="9281" spans="20:20" ht="18.75" customHeight="1" x14ac:dyDescent="0.35">
      <c r="T9281" s="246">
        <f t="shared" si="183"/>
        <v>0</v>
      </c>
    </row>
    <row r="9282" spans="20:20" ht="18.75" customHeight="1" x14ac:dyDescent="0.35">
      <c r="T9282" s="246">
        <f t="shared" si="183"/>
        <v>0</v>
      </c>
    </row>
    <row r="9283" spans="20:20" ht="18.75" customHeight="1" x14ac:dyDescent="0.35">
      <c r="T9283" s="246">
        <f t="shared" si="183"/>
        <v>0</v>
      </c>
    </row>
    <row r="9284" spans="20:20" ht="18.75" customHeight="1" x14ac:dyDescent="0.35">
      <c r="T9284" s="246">
        <f t="shared" si="183"/>
        <v>0</v>
      </c>
    </row>
    <row r="9285" spans="20:20" ht="18.75" customHeight="1" x14ac:dyDescent="0.35">
      <c r="T9285" s="246">
        <f t="shared" si="183"/>
        <v>0</v>
      </c>
    </row>
    <row r="9286" spans="20:20" ht="18.75" customHeight="1" x14ac:dyDescent="0.35">
      <c r="T9286" s="246">
        <f t="shared" si="183"/>
        <v>0</v>
      </c>
    </row>
    <row r="9287" spans="20:20" ht="18.75" customHeight="1" x14ac:dyDescent="0.35">
      <c r="T9287" s="246">
        <f t="shared" si="183"/>
        <v>0</v>
      </c>
    </row>
    <row r="9288" spans="20:20" ht="18.75" customHeight="1" x14ac:dyDescent="0.35">
      <c r="T9288" s="246">
        <f t="shared" si="183"/>
        <v>0</v>
      </c>
    </row>
    <row r="9289" spans="20:20" ht="18.75" customHeight="1" x14ac:dyDescent="0.35">
      <c r="T9289" s="246">
        <f t="shared" si="183"/>
        <v>0</v>
      </c>
    </row>
    <row r="9290" spans="20:20" ht="18.75" customHeight="1" x14ac:dyDescent="0.35">
      <c r="T9290" s="246">
        <f t="shared" si="183"/>
        <v>0</v>
      </c>
    </row>
    <row r="9291" spans="20:20" ht="18.75" customHeight="1" x14ac:dyDescent="0.35">
      <c r="T9291" s="246">
        <f t="shared" si="183"/>
        <v>0</v>
      </c>
    </row>
    <row r="9292" spans="20:20" ht="18.75" customHeight="1" x14ac:dyDescent="0.35">
      <c r="T9292" s="246">
        <f t="shared" si="183"/>
        <v>0</v>
      </c>
    </row>
    <row r="9293" spans="20:20" ht="18.75" customHeight="1" x14ac:dyDescent="0.35">
      <c r="T9293" s="246">
        <f t="shared" si="183"/>
        <v>0</v>
      </c>
    </row>
    <row r="9294" spans="20:20" ht="18.75" customHeight="1" x14ac:dyDescent="0.35">
      <c r="T9294" s="246">
        <f t="shared" si="183"/>
        <v>0</v>
      </c>
    </row>
    <row r="9295" spans="20:20" ht="18.75" customHeight="1" x14ac:dyDescent="0.35">
      <c r="T9295" s="246">
        <f t="shared" si="183"/>
        <v>0</v>
      </c>
    </row>
    <row r="9296" spans="20:20" ht="18.75" customHeight="1" x14ac:dyDescent="0.35">
      <c r="T9296" s="246">
        <f t="shared" si="183"/>
        <v>0</v>
      </c>
    </row>
    <row r="9297" spans="20:20" ht="18.75" customHeight="1" x14ac:dyDescent="0.35">
      <c r="T9297" s="246">
        <f t="shared" si="183"/>
        <v>0</v>
      </c>
    </row>
    <row r="9298" spans="20:20" ht="18.75" customHeight="1" x14ac:dyDescent="0.35">
      <c r="T9298" s="246">
        <f t="shared" si="183"/>
        <v>0</v>
      </c>
    </row>
    <row r="9299" spans="20:20" ht="18.75" customHeight="1" x14ac:dyDescent="0.35">
      <c r="T9299" s="246">
        <f t="shared" si="183"/>
        <v>0</v>
      </c>
    </row>
    <row r="9300" spans="20:20" ht="18.75" customHeight="1" x14ac:dyDescent="0.35">
      <c r="T9300" s="246">
        <f t="shared" si="183"/>
        <v>0</v>
      </c>
    </row>
    <row r="9301" spans="20:20" ht="18.75" customHeight="1" x14ac:dyDescent="0.35">
      <c r="T9301" s="246">
        <f t="shared" si="183"/>
        <v>0</v>
      </c>
    </row>
    <row r="9302" spans="20:20" ht="18.75" customHeight="1" x14ac:dyDescent="0.35">
      <c r="T9302" s="246">
        <f t="shared" si="183"/>
        <v>0</v>
      </c>
    </row>
    <row r="9303" spans="20:20" ht="18.75" customHeight="1" x14ac:dyDescent="0.35">
      <c r="T9303" s="246">
        <f t="shared" si="183"/>
        <v>0</v>
      </c>
    </row>
    <row r="9304" spans="20:20" ht="18.75" customHeight="1" x14ac:dyDescent="0.35">
      <c r="T9304" s="246">
        <f t="shared" si="183"/>
        <v>0</v>
      </c>
    </row>
    <row r="9305" spans="20:20" ht="18.75" customHeight="1" x14ac:dyDescent="0.35">
      <c r="T9305" s="246">
        <f t="shared" si="183"/>
        <v>0</v>
      </c>
    </row>
    <row r="9306" spans="20:20" ht="18.75" customHeight="1" x14ac:dyDescent="0.35">
      <c r="T9306" s="246">
        <f t="shared" si="183"/>
        <v>0</v>
      </c>
    </row>
    <row r="9307" spans="20:20" ht="18.75" customHeight="1" x14ac:dyDescent="0.35">
      <c r="T9307" s="246">
        <f t="shared" si="183"/>
        <v>0</v>
      </c>
    </row>
    <row r="9308" spans="20:20" ht="18.75" customHeight="1" x14ac:dyDescent="0.35">
      <c r="T9308" s="246">
        <f t="shared" si="183"/>
        <v>0</v>
      </c>
    </row>
    <row r="9309" spans="20:20" ht="18.75" customHeight="1" x14ac:dyDescent="0.35">
      <c r="T9309" s="246">
        <f t="shared" si="183"/>
        <v>0</v>
      </c>
    </row>
    <row r="9310" spans="20:20" ht="18.75" customHeight="1" x14ac:dyDescent="0.35">
      <c r="T9310" s="246">
        <f t="shared" si="183"/>
        <v>0</v>
      </c>
    </row>
    <row r="9311" spans="20:20" ht="18.75" customHeight="1" x14ac:dyDescent="0.35">
      <c r="T9311" s="246">
        <f t="shared" si="183"/>
        <v>0</v>
      </c>
    </row>
    <row r="9312" spans="20:20" ht="18.75" customHeight="1" x14ac:dyDescent="0.35">
      <c r="T9312" s="246">
        <f t="shared" si="183"/>
        <v>0</v>
      </c>
    </row>
    <row r="9313" spans="20:20" ht="18.75" customHeight="1" x14ac:dyDescent="0.35">
      <c r="T9313" s="246">
        <f t="shared" si="183"/>
        <v>0</v>
      </c>
    </row>
    <row r="9314" spans="20:20" ht="18.75" customHeight="1" x14ac:dyDescent="0.35">
      <c r="T9314" s="246">
        <f t="shared" si="183"/>
        <v>0</v>
      </c>
    </row>
    <row r="9315" spans="20:20" ht="18.75" customHeight="1" x14ac:dyDescent="0.35">
      <c r="T9315" s="246">
        <f t="shared" si="183"/>
        <v>0</v>
      </c>
    </row>
    <row r="9316" spans="20:20" ht="18.75" customHeight="1" x14ac:dyDescent="0.35">
      <c r="T9316" s="246">
        <f t="shared" si="183"/>
        <v>0</v>
      </c>
    </row>
    <row r="9317" spans="20:20" ht="18.75" customHeight="1" x14ac:dyDescent="0.35">
      <c r="T9317" s="246">
        <f t="shared" si="183"/>
        <v>0</v>
      </c>
    </row>
    <row r="9318" spans="20:20" ht="18.75" customHeight="1" x14ac:dyDescent="0.35">
      <c r="T9318" s="246">
        <f t="shared" si="183"/>
        <v>0</v>
      </c>
    </row>
    <row r="9319" spans="20:20" ht="18.75" customHeight="1" x14ac:dyDescent="0.35">
      <c r="T9319" s="246">
        <f t="shared" si="183"/>
        <v>0</v>
      </c>
    </row>
    <row r="9320" spans="20:20" ht="18.75" customHeight="1" x14ac:dyDescent="0.35">
      <c r="T9320" s="246">
        <f t="shared" si="183"/>
        <v>0</v>
      </c>
    </row>
    <row r="9321" spans="20:20" ht="18.75" customHeight="1" x14ac:dyDescent="0.35">
      <c r="T9321" s="246">
        <f t="shared" si="183"/>
        <v>0</v>
      </c>
    </row>
    <row r="9322" spans="20:20" ht="18.75" customHeight="1" x14ac:dyDescent="0.35">
      <c r="T9322" s="246">
        <f t="shared" si="183"/>
        <v>0</v>
      </c>
    </row>
    <row r="9323" spans="20:20" ht="18.75" customHeight="1" x14ac:dyDescent="0.35">
      <c r="T9323" s="246">
        <f t="shared" si="183"/>
        <v>0</v>
      </c>
    </row>
    <row r="9324" spans="20:20" ht="18.75" customHeight="1" x14ac:dyDescent="0.35">
      <c r="T9324" s="246">
        <f t="shared" si="183"/>
        <v>0</v>
      </c>
    </row>
    <row r="9325" spans="20:20" ht="18.75" customHeight="1" x14ac:dyDescent="0.35">
      <c r="T9325" s="246">
        <f t="shared" si="183"/>
        <v>0</v>
      </c>
    </row>
    <row r="9326" spans="20:20" ht="18.75" customHeight="1" x14ac:dyDescent="0.35">
      <c r="T9326" s="246">
        <f t="shared" si="183"/>
        <v>0</v>
      </c>
    </row>
    <row r="9327" spans="20:20" ht="18.75" customHeight="1" x14ac:dyDescent="0.35">
      <c r="T9327" s="246">
        <f t="shared" si="183"/>
        <v>0</v>
      </c>
    </row>
    <row r="9328" spans="20:20" ht="18.75" customHeight="1" x14ac:dyDescent="0.35">
      <c r="T9328" s="246">
        <f t="shared" si="183"/>
        <v>0</v>
      </c>
    </row>
    <row r="9329" spans="20:20" ht="18.75" customHeight="1" x14ac:dyDescent="0.35">
      <c r="T9329" s="246">
        <f t="shared" si="183"/>
        <v>0</v>
      </c>
    </row>
    <row r="9330" spans="20:20" ht="18.75" customHeight="1" x14ac:dyDescent="0.35">
      <c r="T9330" s="246">
        <f t="shared" si="183"/>
        <v>0</v>
      </c>
    </row>
    <row r="9331" spans="20:20" ht="18.75" customHeight="1" x14ac:dyDescent="0.35">
      <c r="T9331" s="246">
        <f t="shared" si="183"/>
        <v>0</v>
      </c>
    </row>
    <row r="9332" spans="20:20" ht="18.75" customHeight="1" x14ac:dyDescent="0.35">
      <c r="T9332" s="246">
        <f t="shared" si="183"/>
        <v>0</v>
      </c>
    </row>
    <row r="9333" spans="20:20" ht="18.75" customHeight="1" x14ac:dyDescent="0.35">
      <c r="T9333" s="246">
        <f t="shared" si="183"/>
        <v>0</v>
      </c>
    </row>
    <row r="9334" spans="20:20" ht="18.75" customHeight="1" x14ac:dyDescent="0.35">
      <c r="T9334" s="246">
        <f t="shared" si="183"/>
        <v>0</v>
      </c>
    </row>
    <row r="9335" spans="20:20" ht="18.75" customHeight="1" x14ac:dyDescent="0.35">
      <c r="T9335" s="246">
        <f t="shared" si="183"/>
        <v>0</v>
      </c>
    </row>
    <row r="9336" spans="20:20" ht="18.75" customHeight="1" x14ac:dyDescent="0.35">
      <c r="T9336" s="246">
        <f t="shared" si="183"/>
        <v>0</v>
      </c>
    </row>
    <row r="9337" spans="20:20" ht="18.75" customHeight="1" x14ac:dyDescent="0.35">
      <c r="T9337" s="246">
        <f t="shared" si="183"/>
        <v>0</v>
      </c>
    </row>
    <row r="9338" spans="20:20" ht="18.75" customHeight="1" x14ac:dyDescent="0.35">
      <c r="T9338" s="246">
        <f t="shared" si="183"/>
        <v>0</v>
      </c>
    </row>
    <row r="9339" spans="20:20" ht="18.75" customHeight="1" x14ac:dyDescent="0.35">
      <c r="T9339" s="246">
        <f t="shared" si="183"/>
        <v>0</v>
      </c>
    </row>
    <row r="9340" spans="20:20" ht="18.75" customHeight="1" x14ac:dyDescent="0.35">
      <c r="T9340" s="246">
        <f t="shared" ref="T9340:T9403" si="184">R9340*0.01</f>
        <v>0</v>
      </c>
    </row>
    <row r="9341" spans="20:20" ht="18.75" customHeight="1" x14ac:dyDescent="0.35">
      <c r="T9341" s="246">
        <f t="shared" si="184"/>
        <v>0</v>
      </c>
    </row>
    <row r="9342" spans="20:20" ht="18.75" customHeight="1" x14ac:dyDescent="0.35">
      <c r="T9342" s="246">
        <f t="shared" si="184"/>
        <v>0</v>
      </c>
    </row>
    <row r="9343" spans="20:20" ht="18.75" customHeight="1" x14ac:dyDescent="0.35">
      <c r="T9343" s="246">
        <f t="shared" si="184"/>
        <v>0</v>
      </c>
    </row>
    <row r="9344" spans="20:20" ht="18.75" customHeight="1" x14ac:dyDescent="0.35">
      <c r="T9344" s="246">
        <f t="shared" si="184"/>
        <v>0</v>
      </c>
    </row>
    <row r="9345" spans="20:20" ht="18.75" customHeight="1" x14ac:dyDescent="0.35">
      <c r="T9345" s="246">
        <f t="shared" si="184"/>
        <v>0</v>
      </c>
    </row>
    <row r="9346" spans="20:20" ht="18.75" customHeight="1" x14ac:dyDescent="0.35">
      <c r="T9346" s="246">
        <f t="shared" si="184"/>
        <v>0</v>
      </c>
    </row>
    <row r="9347" spans="20:20" ht="18.75" customHeight="1" x14ac:dyDescent="0.35">
      <c r="T9347" s="246">
        <f t="shared" si="184"/>
        <v>0</v>
      </c>
    </row>
    <row r="9348" spans="20:20" ht="18.75" customHeight="1" x14ac:dyDescent="0.35">
      <c r="T9348" s="246">
        <f t="shared" si="184"/>
        <v>0</v>
      </c>
    </row>
    <row r="9349" spans="20:20" ht="18.75" customHeight="1" x14ac:dyDescent="0.35">
      <c r="T9349" s="246">
        <f t="shared" si="184"/>
        <v>0</v>
      </c>
    </row>
    <row r="9350" spans="20:20" ht="18.75" customHeight="1" x14ac:dyDescent="0.35">
      <c r="T9350" s="246">
        <f t="shared" si="184"/>
        <v>0</v>
      </c>
    </row>
    <row r="9351" spans="20:20" ht="18.75" customHeight="1" x14ac:dyDescent="0.35">
      <c r="T9351" s="246">
        <f t="shared" si="184"/>
        <v>0</v>
      </c>
    </row>
    <row r="9352" spans="20:20" ht="18.75" customHeight="1" x14ac:dyDescent="0.35">
      <c r="T9352" s="246">
        <f t="shared" si="184"/>
        <v>0</v>
      </c>
    </row>
    <row r="9353" spans="20:20" ht="18.75" customHeight="1" x14ac:dyDescent="0.35">
      <c r="T9353" s="246">
        <f t="shared" si="184"/>
        <v>0</v>
      </c>
    </row>
    <row r="9354" spans="20:20" ht="18.75" customHeight="1" x14ac:dyDescent="0.35">
      <c r="T9354" s="246">
        <f t="shared" si="184"/>
        <v>0</v>
      </c>
    </row>
    <row r="9355" spans="20:20" ht="18.75" customHeight="1" x14ac:dyDescent="0.35">
      <c r="T9355" s="246">
        <f t="shared" si="184"/>
        <v>0</v>
      </c>
    </row>
    <row r="9356" spans="20:20" ht="18.75" customHeight="1" x14ac:dyDescent="0.35">
      <c r="T9356" s="246">
        <f t="shared" si="184"/>
        <v>0</v>
      </c>
    </row>
    <row r="9357" spans="20:20" ht="18.75" customHeight="1" x14ac:dyDescent="0.35">
      <c r="T9357" s="246">
        <f t="shared" si="184"/>
        <v>0</v>
      </c>
    </row>
    <row r="9358" spans="20:20" ht="18.75" customHeight="1" x14ac:dyDescent="0.35">
      <c r="T9358" s="246">
        <f t="shared" si="184"/>
        <v>0</v>
      </c>
    </row>
    <row r="9359" spans="20:20" ht="18.75" customHeight="1" x14ac:dyDescent="0.35">
      <c r="T9359" s="246">
        <f t="shared" si="184"/>
        <v>0</v>
      </c>
    </row>
    <row r="9360" spans="20:20" ht="18.75" customHeight="1" x14ac:dyDescent="0.35">
      <c r="T9360" s="246">
        <f t="shared" si="184"/>
        <v>0</v>
      </c>
    </row>
    <row r="9361" spans="20:20" ht="18.75" customHeight="1" x14ac:dyDescent="0.35">
      <c r="T9361" s="246">
        <f t="shared" si="184"/>
        <v>0</v>
      </c>
    </row>
    <row r="9362" spans="20:20" ht="18.75" customHeight="1" x14ac:dyDescent="0.35">
      <c r="T9362" s="246">
        <f t="shared" si="184"/>
        <v>0</v>
      </c>
    </row>
    <row r="9363" spans="20:20" ht="18.75" customHeight="1" x14ac:dyDescent="0.35">
      <c r="T9363" s="246">
        <f t="shared" si="184"/>
        <v>0</v>
      </c>
    </row>
    <row r="9364" spans="20:20" ht="18.75" customHeight="1" x14ac:dyDescent="0.35">
      <c r="T9364" s="246">
        <f t="shared" si="184"/>
        <v>0</v>
      </c>
    </row>
    <row r="9365" spans="20:20" ht="18.75" customHeight="1" x14ac:dyDescent="0.35">
      <c r="T9365" s="246">
        <f t="shared" si="184"/>
        <v>0</v>
      </c>
    </row>
    <row r="9366" spans="20:20" ht="18.75" customHeight="1" x14ac:dyDescent="0.35">
      <c r="T9366" s="246">
        <f t="shared" si="184"/>
        <v>0</v>
      </c>
    </row>
    <row r="9367" spans="20:20" ht="18.75" customHeight="1" x14ac:dyDescent="0.35">
      <c r="T9367" s="246">
        <f t="shared" si="184"/>
        <v>0</v>
      </c>
    </row>
    <row r="9368" spans="20:20" ht="18.75" customHeight="1" x14ac:dyDescent="0.35">
      <c r="T9368" s="246">
        <f t="shared" si="184"/>
        <v>0</v>
      </c>
    </row>
    <row r="9369" spans="20:20" ht="18.75" customHeight="1" x14ac:dyDescent="0.35">
      <c r="T9369" s="246">
        <f t="shared" si="184"/>
        <v>0</v>
      </c>
    </row>
    <row r="9370" spans="20:20" ht="18.75" customHeight="1" x14ac:dyDescent="0.35">
      <c r="T9370" s="246">
        <f t="shared" si="184"/>
        <v>0</v>
      </c>
    </row>
    <row r="9371" spans="20:20" ht="18.75" customHeight="1" x14ac:dyDescent="0.35">
      <c r="T9371" s="246">
        <f t="shared" si="184"/>
        <v>0</v>
      </c>
    </row>
    <row r="9372" spans="20:20" ht="18.75" customHeight="1" x14ac:dyDescent="0.35">
      <c r="T9372" s="246">
        <f t="shared" si="184"/>
        <v>0</v>
      </c>
    </row>
    <row r="9373" spans="20:20" ht="18.75" customHeight="1" x14ac:dyDescent="0.35">
      <c r="T9373" s="246">
        <f t="shared" si="184"/>
        <v>0</v>
      </c>
    </row>
    <row r="9374" spans="20:20" ht="18.75" customHeight="1" x14ac:dyDescent="0.35">
      <c r="T9374" s="246">
        <f t="shared" si="184"/>
        <v>0</v>
      </c>
    </row>
    <row r="9375" spans="20:20" ht="18.75" customHeight="1" x14ac:dyDescent="0.35">
      <c r="T9375" s="246">
        <f t="shared" si="184"/>
        <v>0</v>
      </c>
    </row>
    <row r="9376" spans="20:20" ht="18.75" customHeight="1" x14ac:dyDescent="0.35">
      <c r="T9376" s="246">
        <f t="shared" si="184"/>
        <v>0</v>
      </c>
    </row>
    <row r="9377" spans="20:20" ht="18.75" customHeight="1" x14ac:dyDescent="0.35">
      <c r="T9377" s="246">
        <f t="shared" si="184"/>
        <v>0</v>
      </c>
    </row>
    <row r="9378" spans="20:20" ht="18.75" customHeight="1" x14ac:dyDescent="0.35">
      <c r="T9378" s="246">
        <f t="shared" si="184"/>
        <v>0</v>
      </c>
    </row>
    <row r="9379" spans="20:20" ht="18.75" customHeight="1" x14ac:dyDescent="0.35">
      <c r="T9379" s="246">
        <f t="shared" si="184"/>
        <v>0</v>
      </c>
    </row>
    <row r="9380" spans="20:20" ht="18.75" customHeight="1" x14ac:dyDescent="0.35">
      <c r="T9380" s="246">
        <f t="shared" si="184"/>
        <v>0</v>
      </c>
    </row>
    <row r="9381" spans="20:20" ht="18.75" customHeight="1" x14ac:dyDescent="0.35">
      <c r="T9381" s="246">
        <f t="shared" si="184"/>
        <v>0</v>
      </c>
    </row>
    <row r="9382" spans="20:20" ht="18.75" customHeight="1" x14ac:dyDescent="0.35">
      <c r="T9382" s="246">
        <f t="shared" si="184"/>
        <v>0</v>
      </c>
    </row>
    <row r="9383" spans="20:20" ht="18.75" customHeight="1" x14ac:dyDescent="0.35">
      <c r="T9383" s="246">
        <f t="shared" si="184"/>
        <v>0</v>
      </c>
    </row>
    <row r="9384" spans="20:20" ht="18.75" customHeight="1" x14ac:dyDescent="0.35">
      <c r="T9384" s="246">
        <f t="shared" si="184"/>
        <v>0</v>
      </c>
    </row>
    <row r="9385" spans="20:20" ht="18.75" customHeight="1" x14ac:dyDescent="0.35">
      <c r="T9385" s="246">
        <f t="shared" si="184"/>
        <v>0</v>
      </c>
    </row>
    <row r="9386" spans="20:20" ht="18.75" customHeight="1" x14ac:dyDescent="0.35">
      <c r="T9386" s="246">
        <f t="shared" si="184"/>
        <v>0</v>
      </c>
    </row>
    <row r="9387" spans="20:20" ht="18.75" customHeight="1" x14ac:dyDescent="0.35">
      <c r="T9387" s="246">
        <f t="shared" si="184"/>
        <v>0</v>
      </c>
    </row>
    <row r="9388" spans="20:20" ht="18.75" customHeight="1" x14ac:dyDescent="0.35">
      <c r="T9388" s="246">
        <f t="shared" si="184"/>
        <v>0</v>
      </c>
    </row>
    <row r="9389" spans="20:20" ht="18.75" customHeight="1" x14ac:dyDescent="0.35">
      <c r="T9389" s="246">
        <f t="shared" si="184"/>
        <v>0</v>
      </c>
    </row>
    <row r="9390" spans="20:20" ht="18.75" customHeight="1" x14ac:dyDescent="0.35">
      <c r="T9390" s="246">
        <f t="shared" si="184"/>
        <v>0</v>
      </c>
    </row>
    <row r="9391" spans="20:20" ht="18.75" customHeight="1" x14ac:dyDescent="0.35">
      <c r="T9391" s="246">
        <f t="shared" si="184"/>
        <v>0</v>
      </c>
    </row>
    <row r="9392" spans="20:20" ht="18.75" customHeight="1" x14ac:dyDescent="0.35">
      <c r="T9392" s="246">
        <f t="shared" si="184"/>
        <v>0</v>
      </c>
    </row>
    <row r="9393" spans="20:20" ht="18.75" customHeight="1" x14ac:dyDescent="0.35">
      <c r="T9393" s="246">
        <f t="shared" si="184"/>
        <v>0</v>
      </c>
    </row>
    <row r="9394" spans="20:20" ht="18.75" customHeight="1" x14ac:dyDescent="0.35">
      <c r="T9394" s="246">
        <f t="shared" si="184"/>
        <v>0</v>
      </c>
    </row>
    <row r="9395" spans="20:20" ht="18.75" customHeight="1" x14ac:dyDescent="0.35">
      <c r="T9395" s="246">
        <f t="shared" si="184"/>
        <v>0</v>
      </c>
    </row>
    <row r="9396" spans="20:20" ht="18.75" customHeight="1" x14ac:dyDescent="0.35">
      <c r="T9396" s="246">
        <f t="shared" si="184"/>
        <v>0</v>
      </c>
    </row>
    <row r="9397" spans="20:20" ht="18.75" customHeight="1" x14ac:dyDescent="0.35">
      <c r="T9397" s="246">
        <f t="shared" si="184"/>
        <v>0</v>
      </c>
    </row>
    <row r="9398" spans="20:20" ht="18.75" customHeight="1" x14ac:dyDescent="0.35">
      <c r="T9398" s="246">
        <f t="shared" si="184"/>
        <v>0</v>
      </c>
    </row>
    <row r="9399" spans="20:20" ht="18.75" customHeight="1" x14ac:dyDescent="0.35">
      <c r="T9399" s="246">
        <f t="shared" si="184"/>
        <v>0</v>
      </c>
    </row>
    <row r="9400" spans="20:20" ht="18.75" customHeight="1" x14ac:dyDescent="0.35">
      <c r="T9400" s="246">
        <f t="shared" si="184"/>
        <v>0</v>
      </c>
    </row>
    <row r="9401" spans="20:20" ht="18.75" customHeight="1" x14ac:dyDescent="0.35">
      <c r="T9401" s="246">
        <f t="shared" si="184"/>
        <v>0</v>
      </c>
    </row>
    <row r="9402" spans="20:20" ht="18.75" customHeight="1" x14ac:dyDescent="0.35">
      <c r="T9402" s="246">
        <f t="shared" si="184"/>
        <v>0</v>
      </c>
    </row>
    <row r="9403" spans="20:20" ht="18.75" customHeight="1" x14ac:dyDescent="0.35">
      <c r="T9403" s="246">
        <f t="shared" si="184"/>
        <v>0</v>
      </c>
    </row>
    <row r="9404" spans="20:20" ht="18.75" customHeight="1" x14ac:dyDescent="0.35">
      <c r="T9404" s="246">
        <f t="shared" ref="T9404:T9467" si="185">R9404*0.01</f>
        <v>0</v>
      </c>
    </row>
    <row r="9405" spans="20:20" ht="18.75" customHeight="1" x14ac:dyDescent="0.35">
      <c r="T9405" s="246">
        <f t="shared" si="185"/>
        <v>0</v>
      </c>
    </row>
    <row r="9406" spans="20:20" ht="18.75" customHeight="1" x14ac:dyDescent="0.35">
      <c r="T9406" s="246">
        <f t="shared" si="185"/>
        <v>0</v>
      </c>
    </row>
    <row r="9407" spans="20:20" ht="18.75" customHeight="1" x14ac:dyDescent="0.35">
      <c r="T9407" s="246">
        <f t="shared" si="185"/>
        <v>0</v>
      </c>
    </row>
    <row r="9408" spans="20:20" ht="18.75" customHeight="1" x14ac:dyDescent="0.35">
      <c r="T9408" s="246">
        <f t="shared" si="185"/>
        <v>0</v>
      </c>
    </row>
    <row r="9409" spans="20:20" ht="18.75" customHeight="1" x14ac:dyDescent="0.35">
      <c r="T9409" s="246">
        <f t="shared" si="185"/>
        <v>0</v>
      </c>
    </row>
    <row r="9410" spans="20:20" ht="18.75" customHeight="1" x14ac:dyDescent="0.35">
      <c r="T9410" s="246">
        <f t="shared" si="185"/>
        <v>0</v>
      </c>
    </row>
    <row r="9411" spans="20:20" ht="18.75" customHeight="1" x14ac:dyDescent="0.35">
      <c r="T9411" s="246">
        <f t="shared" si="185"/>
        <v>0</v>
      </c>
    </row>
    <row r="9412" spans="20:20" ht="18.75" customHeight="1" x14ac:dyDescent="0.35">
      <c r="T9412" s="246">
        <f t="shared" si="185"/>
        <v>0</v>
      </c>
    </row>
    <row r="9413" spans="20:20" ht="18.75" customHeight="1" x14ac:dyDescent="0.35">
      <c r="T9413" s="246">
        <f t="shared" si="185"/>
        <v>0</v>
      </c>
    </row>
    <row r="9414" spans="20:20" ht="18.75" customHeight="1" x14ac:dyDescent="0.35">
      <c r="T9414" s="246">
        <f t="shared" si="185"/>
        <v>0</v>
      </c>
    </row>
    <row r="9415" spans="20:20" ht="18.75" customHeight="1" x14ac:dyDescent="0.35">
      <c r="T9415" s="246">
        <f t="shared" si="185"/>
        <v>0</v>
      </c>
    </row>
    <row r="9416" spans="20:20" ht="18.75" customHeight="1" x14ac:dyDescent="0.35">
      <c r="T9416" s="246">
        <f t="shared" si="185"/>
        <v>0</v>
      </c>
    </row>
    <row r="9417" spans="20:20" ht="18.75" customHeight="1" x14ac:dyDescent="0.35">
      <c r="T9417" s="246">
        <f t="shared" si="185"/>
        <v>0</v>
      </c>
    </row>
    <row r="9418" spans="20:20" ht="18.75" customHeight="1" x14ac:dyDescent="0.35">
      <c r="T9418" s="246">
        <f t="shared" si="185"/>
        <v>0</v>
      </c>
    </row>
    <row r="9419" spans="20:20" ht="18.75" customHeight="1" x14ac:dyDescent="0.35">
      <c r="T9419" s="246">
        <f t="shared" si="185"/>
        <v>0</v>
      </c>
    </row>
    <row r="9420" spans="20:20" ht="18.75" customHeight="1" x14ac:dyDescent="0.35">
      <c r="T9420" s="246">
        <f t="shared" si="185"/>
        <v>0</v>
      </c>
    </row>
    <row r="9421" spans="20:20" ht="18.75" customHeight="1" x14ac:dyDescent="0.35">
      <c r="T9421" s="246">
        <f t="shared" si="185"/>
        <v>0</v>
      </c>
    </row>
    <row r="9422" spans="20:20" ht="18.75" customHeight="1" x14ac:dyDescent="0.35">
      <c r="T9422" s="246">
        <f t="shared" si="185"/>
        <v>0</v>
      </c>
    </row>
    <row r="9423" spans="20:20" ht="18.75" customHeight="1" x14ac:dyDescent="0.35">
      <c r="T9423" s="246">
        <f t="shared" si="185"/>
        <v>0</v>
      </c>
    </row>
    <row r="9424" spans="20:20" ht="18.75" customHeight="1" x14ac:dyDescent="0.35">
      <c r="T9424" s="246">
        <f t="shared" si="185"/>
        <v>0</v>
      </c>
    </row>
    <row r="9425" spans="20:20" ht="18.75" customHeight="1" x14ac:dyDescent="0.35">
      <c r="T9425" s="246">
        <f t="shared" si="185"/>
        <v>0</v>
      </c>
    </row>
    <row r="9426" spans="20:20" ht="18.75" customHeight="1" x14ac:dyDescent="0.35">
      <c r="T9426" s="246">
        <f t="shared" si="185"/>
        <v>0</v>
      </c>
    </row>
    <row r="9427" spans="20:20" ht="18.75" customHeight="1" x14ac:dyDescent="0.35">
      <c r="T9427" s="246">
        <f t="shared" si="185"/>
        <v>0</v>
      </c>
    </row>
    <row r="9428" spans="20:20" ht="18.75" customHeight="1" x14ac:dyDescent="0.35">
      <c r="T9428" s="246">
        <f t="shared" si="185"/>
        <v>0</v>
      </c>
    </row>
    <row r="9429" spans="20:20" ht="18.75" customHeight="1" x14ac:dyDescent="0.35">
      <c r="T9429" s="246">
        <f t="shared" si="185"/>
        <v>0</v>
      </c>
    </row>
    <row r="9430" spans="20:20" ht="18.75" customHeight="1" x14ac:dyDescent="0.35">
      <c r="T9430" s="246">
        <f t="shared" si="185"/>
        <v>0</v>
      </c>
    </row>
    <row r="9431" spans="20:20" ht="18.75" customHeight="1" x14ac:dyDescent="0.35">
      <c r="T9431" s="246">
        <f t="shared" si="185"/>
        <v>0</v>
      </c>
    </row>
    <row r="9432" spans="20:20" ht="18.75" customHeight="1" x14ac:dyDescent="0.35">
      <c r="T9432" s="246">
        <f t="shared" si="185"/>
        <v>0</v>
      </c>
    </row>
    <row r="9433" spans="20:20" ht="18.75" customHeight="1" x14ac:dyDescent="0.35">
      <c r="T9433" s="246">
        <f t="shared" si="185"/>
        <v>0</v>
      </c>
    </row>
    <row r="9434" spans="20:20" ht="18.75" customHeight="1" x14ac:dyDescent="0.35">
      <c r="T9434" s="246">
        <f t="shared" si="185"/>
        <v>0</v>
      </c>
    </row>
    <row r="9435" spans="20:20" ht="18.75" customHeight="1" x14ac:dyDescent="0.35">
      <c r="T9435" s="246">
        <f t="shared" si="185"/>
        <v>0</v>
      </c>
    </row>
    <row r="9436" spans="20:20" ht="18.75" customHeight="1" x14ac:dyDescent="0.35">
      <c r="T9436" s="246">
        <f t="shared" si="185"/>
        <v>0</v>
      </c>
    </row>
    <row r="9437" spans="20:20" ht="18.75" customHeight="1" x14ac:dyDescent="0.35">
      <c r="T9437" s="246">
        <f t="shared" si="185"/>
        <v>0</v>
      </c>
    </row>
    <row r="9438" spans="20:20" ht="18.75" customHeight="1" x14ac:dyDescent="0.35">
      <c r="T9438" s="246">
        <f t="shared" si="185"/>
        <v>0</v>
      </c>
    </row>
    <row r="9439" spans="20:20" ht="18.75" customHeight="1" x14ac:dyDescent="0.35">
      <c r="T9439" s="246">
        <f t="shared" si="185"/>
        <v>0</v>
      </c>
    </row>
    <row r="9440" spans="20:20" ht="18.75" customHeight="1" x14ac:dyDescent="0.35">
      <c r="T9440" s="246">
        <f t="shared" si="185"/>
        <v>0</v>
      </c>
    </row>
    <row r="9441" spans="20:20" ht="18.75" customHeight="1" x14ac:dyDescent="0.35">
      <c r="T9441" s="246">
        <f t="shared" si="185"/>
        <v>0</v>
      </c>
    </row>
    <row r="9442" spans="20:20" ht="18.75" customHeight="1" x14ac:dyDescent="0.35">
      <c r="T9442" s="246">
        <f t="shared" si="185"/>
        <v>0</v>
      </c>
    </row>
    <row r="9443" spans="20:20" ht="18.75" customHeight="1" x14ac:dyDescent="0.35">
      <c r="T9443" s="246">
        <f t="shared" si="185"/>
        <v>0</v>
      </c>
    </row>
    <row r="9444" spans="20:20" ht="18.75" customHeight="1" x14ac:dyDescent="0.35">
      <c r="T9444" s="246">
        <f t="shared" si="185"/>
        <v>0</v>
      </c>
    </row>
    <row r="9445" spans="20:20" ht="18.75" customHeight="1" x14ac:dyDescent="0.35">
      <c r="T9445" s="246">
        <f t="shared" si="185"/>
        <v>0</v>
      </c>
    </row>
    <row r="9446" spans="20:20" ht="18.75" customHeight="1" x14ac:dyDescent="0.35">
      <c r="T9446" s="246">
        <f t="shared" si="185"/>
        <v>0</v>
      </c>
    </row>
    <row r="9447" spans="20:20" ht="18.75" customHeight="1" x14ac:dyDescent="0.35">
      <c r="T9447" s="246">
        <f t="shared" si="185"/>
        <v>0</v>
      </c>
    </row>
    <row r="9448" spans="20:20" ht="18.75" customHeight="1" x14ac:dyDescent="0.35">
      <c r="T9448" s="246">
        <f t="shared" si="185"/>
        <v>0</v>
      </c>
    </row>
    <row r="9449" spans="20:20" ht="18.75" customHeight="1" x14ac:dyDescent="0.35">
      <c r="T9449" s="246">
        <f t="shared" si="185"/>
        <v>0</v>
      </c>
    </row>
    <row r="9450" spans="20:20" ht="18.75" customHeight="1" x14ac:dyDescent="0.35">
      <c r="T9450" s="246">
        <f t="shared" si="185"/>
        <v>0</v>
      </c>
    </row>
    <row r="9451" spans="20:20" ht="18.75" customHeight="1" x14ac:dyDescent="0.35">
      <c r="T9451" s="246">
        <f t="shared" si="185"/>
        <v>0</v>
      </c>
    </row>
    <row r="9452" spans="20:20" ht="18.75" customHeight="1" x14ac:dyDescent="0.35">
      <c r="T9452" s="246">
        <f t="shared" si="185"/>
        <v>0</v>
      </c>
    </row>
    <row r="9453" spans="20:20" ht="18.75" customHeight="1" x14ac:dyDescent="0.35">
      <c r="T9453" s="246">
        <f t="shared" si="185"/>
        <v>0</v>
      </c>
    </row>
    <row r="9454" spans="20:20" ht="18.75" customHeight="1" x14ac:dyDescent="0.35">
      <c r="T9454" s="246">
        <f t="shared" si="185"/>
        <v>0</v>
      </c>
    </row>
    <row r="9455" spans="20:20" ht="18.75" customHeight="1" x14ac:dyDescent="0.35">
      <c r="T9455" s="246">
        <f t="shared" si="185"/>
        <v>0</v>
      </c>
    </row>
    <row r="9456" spans="20:20" ht="18.75" customHeight="1" x14ac:dyDescent="0.35">
      <c r="T9456" s="246">
        <f t="shared" si="185"/>
        <v>0</v>
      </c>
    </row>
    <row r="9457" spans="20:20" ht="18.75" customHeight="1" x14ac:dyDescent="0.35">
      <c r="T9457" s="246">
        <f t="shared" si="185"/>
        <v>0</v>
      </c>
    </row>
    <row r="9458" spans="20:20" ht="18.75" customHeight="1" x14ac:dyDescent="0.35">
      <c r="T9458" s="246">
        <f t="shared" si="185"/>
        <v>0</v>
      </c>
    </row>
    <row r="9459" spans="20:20" ht="18.75" customHeight="1" x14ac:dyDescent="0.35">
      <c r="T9459" s="246">
        <f t="shared" si="185"/>
        <v>0</v>
      </c>
    </row>
    <row r="9460" spans="20:20" ht="18.75" customHeight="1" x14ac:dyDescent="0.35">
      <c r="T9460" s="246">
        <f t="shared" si="185"/>
        <v>0</v>
      </c>
    </row>
    <row r="9461" spans="20:20" ht="18.75" customHeight="1" x14ac:dyDescent="0.35">
      <c r="T9461" s="246">
        <f t="shared" si="185"/>
        <v>0</v>
      </c>
    </row>
    <row r="9462" spans="20:20" ht="18.75" customHeight="1" x14ac:dyDescent="0.35">
      <c r="T9462" s="246">
        <f t="shared" si="185"/>
        <v>0</v>
      </c>
    </row>
    <row r="9463" spans="20:20" ht="18.75" customHeight="1" x14ac:dyDescent="0.35">
      <c r="T9463" s="246">
        <f t="shared" si="185"/>
        <v>0</v>
      </c>
    </row>
    <row r="9464" spans="20:20" ht="18.75" customHeight="1" x14ac:dyDescent="0.35">
      <c r="T9464" s="246">
        <f t="shared" si="185"/>
        <v>0</v>
      </c>
    </row>
    <row r="9465" spans="20:20" ht="18.75" customHeight="1" x14ac:dyDescent="0.35">
      <c r="T9465" s="246">
        <f t="shared" si="185"/>
        <v>0</v>
      </c>
    </row>
    <row r="9466" spans="20:20" ht="18.75" customHeight="1" x14ac:dyDescent="0.35">
      <c r="T9466" s="246">
        <f t="shared" si="185"/>
        <v>0</v>
      </c>
    </row>
    <row r="9467" spans="20:20" ht="18.75" customHeight="1" x14ac:dyDescent="0.35">
      <c r="T9467" s="246">
        <f t="shared" si="185"/>
        <v>0</v>
      </c>
    </row>
    <row r="9468" spans="20:20" ht="18.75" customHeight="1" x14ac:dyDescent="0.35">
      <c r="T9468" s="246">
        <f t="shared" ref="T9468:T9531" si="186">R9468*0.01</f>
        <v>0</v>
      </c>
    </row>
    <row r="9469" spans="20:20" ht="18.75" customHeight="1" x14ac:dyDescent="0.35">
      <c r="T9469" s="246">
        <f t="shared" si="186"/>
        <v>0</v>
      </c>
    </row>
    <row r="9470" spans="20:20" ht="18.75" customHeight="1" x14ac:dyDescent="0.35">
      <c r="T9470" s="246">
        <f t="shared" si="186"/>
        <v>0</v>
      </c>
    </row>
    <row r="9471" spans="20:20" ht="18.75" customHeight="1" x14ac:dyDescent="0.35">
      <c r="T9471" s="246">
        <f t="shared" si="186"/>
        <v>0</v>
      </c>
    </row>
    <row r="9472" spans="20:20" ht="18.75" customHeight="1" x14ac:dyDescent="0.35">
      <c r="T9472" s="246">
        <f t="shared" si="186"/>
        <v>0</v>
      </c>
    </row>
    <row r="9473" spans="20:20" ht="18.75" customHeight="1" x14ac:dyDescent="0.35">
      <c r="T9473" s="246">
        <f t="shared" si="186"/>
        <v>0</v>
      </c>
    </row>
    <row r="9474" spans="20:20" ht="18.75" customHeight="1" x14ac:dyDescent="0.35">
      <c r="T9474" s="246">
        <f t="shared" si="186"/>
        <v>0</v>
      </c>
    </row>
    <row r="9475" spans="20:20" ht="18.75" customHeight="1" x14ac:dyDescent="0.35">
      <c r="T9475" s="246">
        <f t="shared" si="186"/>
        <v>0</v>
      </c>
    </row>
    <row r="9476" spans="20:20" ht="18.75" customHeight="1" x14ac:dyDescent="0.35">
      <c r="T9476" s="246">
        <f t="shared" si="186"/>
        <v>0</v>
      </c>
    </row>
    <row r="9477" spans="20:20" ht="18.75" customHeight="1" x14ac:dyDescent="0.35">
      <c r="T9477" s="246">
        <f t="shared" si="186"/>
        <v>0</v>
      </c>
    </row>
    <row r="9478" spans="20:20" ht="18.75" customHeight="1" x14ac:dyDescent="0.35">
      <c r="T9478" s="246">
        <f t="shared" si="186"/>
        <v>0</v>
      </c>
    </row>
    <row r="9479" spans="20:20" ht="18.75" customHeight="1" x14ac:dyDescent="0.35">
      <c r="T9479" s="246">
        <f t="shared" si="186"/>
        <v>0</v>
      </c>
    </row>
    <row r="9480" spans="20:20" ht="18.75" customHeight="1" x14ac:dyDescent="0.35">
      <c r="T9480" s="246">
        <f t="shared" si="186"/>
        <v>0</v>
      </c>
    </row>
    <row r="9481" spans="20:20" ht="18.75" customHeight="1" x14ac:dyDescent="0.35">
      <c r="T9481" s="246">
        <f t="shared" si="186"/>
        <v>0</v>
      </c>
    </row>
    <row r="9482" spans="20:20" ht="18.75" customHeight="1" x14ac:dyDescent="0.35">
      <c r="T9482" s="246">
        <f t="shared" si="186"/>
        <v>0</v>
      </c>
    </row>
    <row r="9483" spans="20:20" ht="18.75" customHeight="1" x14ac:dyDescent="0.35">
      <c r="T9483" s="246">
        <f t="shared" si="186"/>
        <v>0</v>
      </c>
    </row>
    <row r="9484" spans="20:20" ht="18.75" customHeight="1" x14ac:dyDescent="0.35">
      <c r="T9484" s="246">
        <f t="shared" si="186"/>
        <v>0</v>
      </c>
    </row>
    <row r="9485" spans="20:20" ht="18.75" customHeight="1" x14ac:dyDescent="0.35">
      <c r="T9485" s="246">
        <f t="shared" si="186"/>
        <v>0</v>
      </c>
    </row>
    <row r="9486" spans="20:20" ht="18.75" customHeight="1" x14ac:dyDescent="0.35">
      <c r="T9486" s="246">
        <f t="shared" si="186"/>
        <v>0</v>
      </c>
    </row>
    <row r="9487" spans="20:20" ht="18.75" customHeight="1" x14ac:dyDescent="0.35">
      <c r="T9487" s="246">
        <f t="shared" si="186"/>
        <v>0</v>
      </c>
    </row>
    <row r="9488" spans="20:20" ht="18.75" customHeight="1" x14ac:dyDescent="0.35">
      <c r="T9488" s="246">
        <f t="shared" si="186"/>
        <v>0</v>
      </c>
    </row>
    <row r="9489" spans="20:20" ht="18.75" customHeight="1" x14ac:dyDescent="0.35">
      <c r="T9489" s="246">
        <f t="shared" si="186"/>
        <v>0</v>
      </c>
    </row>
    <row r="9490" spans="20:20" ht="18.75" customHeight="1" x14ac:dyDescent="0.35">
      <c r="T9490" s="246">
        <f t="shared" si="186"/>
        <v>0</v>
      </c>
    </row>
    <row r="9491" spans="20:20" ht="18.75" customHeight="1" x14ac:dyDescent="0.35">
      <c r="T9491" s="246">
        <f t="shared" si="186"/>
        <v>0</v>
      </c>
    </row>
    <row r="9492" spans="20:20" ht="18.75" customHeight="1" x14ac:dyDescent="0.35">
      <c r="T9492" s="246">
        <f t="shared" si="186"/>
        <v>0</v>
      </c>
    </row>
    <row r="9493" spans="20:20" ht="18.75" customHeight="1" x14ac:dyDescent="0.35">
      <c r="T9493" s="246">
        <f t="shared" si="186"/>
        <v>0</v>
      </c>
    </row>
    <row r="9494" spans="20:20" ht="18.75" customHeight="1" x14ac:dyDescent="0.35">
      <c r="T9494" s="246">
        <f t="shared" si="186"/>
        <v>0</v>
      </c>
    </row>
    <row r="9495" spans="20:20" ht="18.75" customHeight="1" x14ac:dyDescent="0.35">
      <c r="T9495" s="246">
        <f t="shared" si="186"/>
        <v>0</v>
      </c>
    </row>
    <row r="9496" spans="20:20" ht="18.75" customHeight="1" x14ac:dyDescent="0.35">
      <c r="T9496" s="246">
        <f t="shared" si="186"/>
        <v>0</v>
      </c>
    </row>
    <row r="9497" spans="20:20" ht="18.75" customHeight="1" x14ac:dyDescent="0.35">
      <c r="T9497" s="246">
        <f t="shared" si="186"/>
        <v>0</v>
      </c>
    </row>
    <row r="9498" spans="20:20" ht="18.75" customHeight="1" x14ac:dyDescent="0.35">
      <c r="T9498" s="246">
        <f t="shared" si="186"/>
        <v>0</v>
      </c>
    </row>
    <row r="9499" spans="20:20" ht="18.75" customHeight="1" x14ac:dyDescent="0.35">
      <c r="T9499" s="246">
        <f t="shared" si="186"/>
        <v>0</v>
      </c>
    </row>
    <row r="9500" spans="20:20" ht="18.75" customHeight="1" x14ac:dyDescent="0.35">
      <c r="T9500" s="246">
        <f t="shared" si="186"/>
        <v>0</v>
      </c>
    </row>
    <row r="9501" spans="20:20" ht="18.75" customHeight="1" x14ac:dyDescent="0.35">
      <c r="T9501" s="246">
        <f t="shared" si="186"/>
        <v>0</v>
      </c>
    </row>
    <row r="9502" spans="20:20" ht="18.75" customHeight="1" x14ac:dyDescent="0.35">
      <c r="T9502" s="246">
        <f t="shared" si="186"/>
        <v>0</v>
      </c>
    </row>
    <row r="9503" spans="20:20" ht="18.75" customHeight="1" x14ac:dyDescent="0.35">
      <c r="T9503" s="246">
        <f t="shared" si="186"/>
        <v>0</v>
      </c>
    </row>
    <row r="9504" spans="20:20" ht="18.75" customHeight="1" x14ac:dyDescent="0.35">
      <c r="T9504" s="246">
        <f t="shared" si="186"/>
        <v>0</v>
      </c>
    </row>
    <row r="9505" spans="20:20" ht="18.75" customHeight="1" x14ac:dyDescent="0.35">
      <c r="T9505" s="246">
        <f t="shared" si="186"/>
        <v>0</v>
      </c>
    </row>
    <row r="9506" spans="20:20" ht="18.75" customHeight="1" x14ac:dyDescent="0.35">
      <c r="T9506" s="246">
        <f t="shared" si="186"/>
        <v>0</v>
      </c>
    </row>
    <row r="9507" spans="20:20" ht="18.75" customHeight="1" x14ac:dyDescent="0.35">
      <c r="T9507" s="246">
        <f t="shared" si="186"/>
        <v>0</v>
      </c>
    </row>
    <row r="9508" spans="20:20" ht="18.75" customHeight="1" x14ac:dyDescent="0.35">
      <c r="T9508" s="246">
        <f t="shared" si="186"/>
        <v>0</v>
      </c>
    </row>
    <row r="9509" spans="20:20" ht="18.75" customHeight="1" x14ac:dyDescent="0.35">
      <c r="T9509" s="246">
        <f t="shared" si="186"/>
        <v>0</v>
      </c>
    </row>
    <row r="9510" spans="20:20" ht="18.75" customHeight="1" x14ac:dyDescent="0.35">
      <c r="T9510" s="246">
        <f t="shared" si="186"/>
        <v>0</v>
      </c>
    </row>
    <row r="9511" spans="20:20" ht="18.75" customHeight="1" x14ac:dyDescent="0.35">
      <c r="T9511" s="246">
        <f t="shared" si="186"/>
        <v>0</v>
      </c>
    </row>
    <row r="9512" spans="20:20" ht="18.75" customHeight="1" x14ac:dyDescent="0.35">
      <c r="T9512" s="246">
        <f t="shared" si="186"/>
        <v>0</v>
      </c>
    </row>
    <row r="9513" spans="20:20" ht="18.75" customHeight="1" x14ac:dyDescent="0.35">
      <c r="T9513" s="246">
        <f t="shared" si="186"/>
        <v>0</v>
      </c>
    </row>
    <row r="9514" spans="20:20" ht="18.75" customHeight="1" x14ac:dyDescent="0.35">
      <c r="T9514" s="246">
        <f t="shared" si="186"/>
        <v>0</v>
      </c>
    </row>
    <row r="9515" spans="20:20" ht="18.75" customHeight="1" x14ac:dyDescent="0.35">
      <c r="T9515" s="246">
        <f t="shared" si="186"/>
        <v>0</v>
      </c>
    </row>
    <row r="9516" spans="20:20" ht="18.75" customHeight="1" x14ac:dyDescent="0.35">
      <c r="T9516" s="246">
        <f t="shared" si="186"/>
        <v>0</v>
      </c>
    </row>
    <row r="9517" spans="20:20" ht="18.75" customHeight="1" x14ac:dyDescent="0.35">
      <c r="T9517" s="246">
        <f t="shared" si="186"/>
        <v>0</v>
      </c>
    </row>
    <row r="9518" spans="20:20" ht="18.75" customHeight="1" x14ac:dyDescent="0.35">
      <c r="T9518" s="246">
        <f t="shared" si="186"/>
        <v>0</v>
      </c>
    </row>
    <row r="9519" spans="20:20" ht="18.75" customHeight="1" x14ac:dyDescent="0.35">
      <c r="T9519" s="246">
        <f t="shared" si="186"/>
        <v>0</v>
      </c>
    </row>
    <row r="9520" spans="20:20" ht="18.75" customHeight="1" x14ac:dyDescent="0.35">
      <c r="T9520" s="246">
        <f t="shared" si="186"/>
        <v>0</v>
      </c>
    </row>
    <row r="9521" spans="20:20" ht="18.75" customHeight="1" x14ac:dyDescent="0.35">
      <c r="T9521" s="246">
        <f t="shared" si="186"/>
        <v>0</v>
      </c>
    </row>
    <row r="9522" spans="20:20" ht="18.75" customHeight="1" x14ac:dyDescent="0.35">
      <c r="T9522" s="246">
        <f t="shared" si="186"/>
        <v>0</v>
      </c>
    </row>
    <row r="9523" spans="20:20" ht="18.75" customHeight="1" x14ac:dyDescent="0.35">
      <c r="T9523" s="246">
        <f t="shared" si="186"/>
        <v>0</v>
      </c>
    </row>
    <row r="9524" spans="20:20" ht="18.75" customHeight="1" x14ac:dyDescent="0.35">
      <c r="T9524" s="246">
        <f t="shared" si="186"/>
        <v>0</v>
      </c>
    </row>
    <row r="9525" spans="20:20" ht="18.75" customHeight="1" x14ac:dyDescent="0.35">
      <c r="T9525" s="246">
        <f t="shared" si="186"/>
        <v>0</v>
      </c>
    </row>
    <row r="9526" spans="20:20" ht="18.75" customHeight="1" x14ac:dyDescent="0.35">
      <c r="T9526" s="246">
        <f t="shared" si="186"/>
        <v>0</v>
      </c>
    </row>
    <row r="9527" spans="20:20" ht="18.75" customHeight="1" x14ac:dyDescent="0.35">
      <c r="T9527" s="246">
        <f t="shared" si="186"/>
        <v>0</v>
      </c>
    </row>
    <row r="9528" spans="20:20" ht="18.75" customHeight="1" x14ac:dyDescent="0.35">
      <c r="T9528" s="246">
        <f t="shared" si="186"/>
        <v>0</v>
      </c>
    </row>
    <row r="9529" spans="20:20" ht="18.75" customHeight="1" x14ac:dyDescent="0.35">
      <c r="T9529" s="246">
        <f t="shared" si="186"/>
        <v>0</v>
      </c>
    </row>
    <row r="9530" spans="20:20" ht="18.75" customHeight="1" x14ac:dyDescent="0.35">
      <c r="T9530" s="246">
        <f t="shared" si="186"/>
        <v>0</v>
      </c>
    </row>
    <row r="9531" spans="20:20" ht="18.75" customHeight="1" x14ac:dyDescent="0.35">
      <c r="T9531" s="246">
        <f t="shared" si="186"/>
        <v>0</v>
      </c>
    </row>
    <row r="9532" spans="20:20" ht="18.75" customHeight="1" x14ac:dyDescent="0.35">
      <c r="T9532" s="246">
        <f t="shared" ref="T9532:T9595" si="187">R9532*0.01</f>
        <v>0</v>
      </c>
    </row>
    <row r="9533" spans="20:20" ht="18.75" customHeight="1" x14ac:dyDescent="0.35">
      <c r="T9533" s="246">
        <f t="shared" si="187"/>
        <v>0</v>
      </c>
    </row>
    <row r="9534" spans="20:20" ht="18.75" customHeight="1" x14ac:dyDescent="0.35">
      <c r="T9534" s="246">
        <f t="shared" si="187"/>
        <v>0</v>
      </c>
    </row>
    <row r="9535" spans="20:20" ht="18.75" customHeight="1" x14ac:dyDescent="0.35">
      <c r="T9535" s="246">
        <f t="shared" si="187"/>
        <v>0</v>
      </c>
    </row>
    <row r="9536" spans="20:20" ht="18.75" customHeight="1" x14ac:dyDescent="0.35">
      <c r="T9536" s="246">
        <f t="shared" si="187"/>
        <v>0</v>
      </c>
    </row>
    <row r="9537" spans="20:20" ht="18.75" customHeight="1" x14ac:dyDescent="0.35">
      <c r="T9537" s="246">
        <f t="shared" si="187"/>
        <v>0</v>
      </c>
    </row>
    <row r="9538" spans="20:20" ht="18.75" customHeight="1" x14ac:dyDescent="0.35">
      <c r="T9538" s="246">
        <f t="shared" si="187"/>
        <v>0</v>
      </c>
    </row>
    <row r="9539" spans="20:20" ht="18.75" customHeight="1" x14ac:dyDescent="0.35">
      <c r="T9539" s="246">
        <f t="shared" si="187"/>
        <v>0</v>
      </c>
    </row>
    <row r="9540" spans="20:20" ht="18.75" customHeight="1" x14ac:dyDescent="0.35">
      <c r="T9540" s="246">
        <f t="shared" si="187"/>
        <v>0</v>
      </c>
    </row>
    <row r="9541" spans="20:20" ht="18.75" customHeight="1" x14ac:dyDescent="0.35">
      <c r="T9541" s="246">
        <f t="shared" si="187"/>
        <v>0</v>
      </c>
    </row>
    <row r="9542" spans="20:20" ht="18.75" customHeight="1" x14ac:dyDescent="0.35">
      <c r="T9542" s="246">
        <f t="shared" si="187"/>
        <v>0</v>
      </c>
    </row>
    <row r="9543" spans="20:20" ht="18.75" customHeight="1" x14ac:dyDescent="0.35">
      <c r="T9543" s="246">
        <f t="shared" si="187"/>
        <v>0</v>
      </c>
    </row>
    <row r="9544" spans="20:20" ht="18.75" customHeight="1" x14ac:dyDescent="0.35">
      <c r="T9544" s="246">
        <f t="shared" si="187"/>
        <v>0</v>
      </c>
    </row>
    <row r="9545" spans="20:20" ht="18.75" customHeight="1" x14ac:dyDescent="0.35">
      <c r="T9545" s="246">
        <f t="shared" si="187"/>
        <v>0</v>
      </c>
    </row>
    <row r="9546" spans="20:20" ht="18.75" customHeight="1" x14ac:dyDescent="0.35">
      <c r="T9546" s="246">
        <f t="shared" si="187"/>
        <v>0</v>
      </c>
    </row>
    <row r="9547" spans="20:20" ht="18.75" customHeight="1" x14ac:dyDescent="0.35">
      <c r="T9547" s="246">
        <f t="shared" si="187"/>
        <v>0</v>
      </c>
    </row>
    <row r="9548" spans="20:20" ht="18.75" customHeight="1" x14ac:dyDescent="0.35">
      <c r="T9548" s="246">
        <f t="shared" si="187"/>
        <v>0</v>
      </c>
    </row>
    <row r="9549" spans="20:20" ht="18.75" customHeight="1" x14ac:dyDescent="0.35">
      <c r="T9549" s="246">
        <f t="shared" si="187"/>
        <v>0</v>
      </c>
    </row>
    <row r="9550" spans="20:20" ht="18.75" customHeight="1" x14ac:dyDescent="0.35">
      <c r="T9550" s="246">
        <f t="shared" si="187"/>
        <v>0</v>
      </c>
    </row>
    <row r="9551" spans="20:20" ht="18.75" customHeight="1" x14ac:dyDescent="0.35">
      <c r="T9551" s="246">
        <f t="shared" si="187"/>
        <v>0</v>
      </c>
    </row>
    <row r="9552" spans="20:20" ht="18.75" customHeight="1" x14ac:dyDescent="0.35">
      <c r="T9552" s="246">
        <f t="shared" si="187"/>
        <v>0</v>
      </c>
    </row>
    <row r="9553" spans="20:20" ht="18.75" customHeight="1" x14ac:dyDescent="0.35">
      <c r="T9553" s="246">
        <f t="shared" si="187"/>
        <v>0</v>
      </c>
    </row>
    <row r="9554" spans="20:20" ht="18.75" customHeight="1" x14ac:dyDescent="0.35">
      <c r="T9554" s="246">
        <f t="shared" si="187"/>
        <v>0</v>
      </c>
    </row>
    <row r="9555" spans="20:20" ht="18.75" customHeight="1" x14ac:dyDescent="0.35">
      <c r="T9555" s="246">
        <f t="shared" si="187"/>
        <v>0</v>
      </c>
    </row>
    <row r="9556" spans="20:20" ht="18.75" customHeight="1" x14ac:dyDescent="0.35">
      <c r="T9556" s="246">
        <f t="shared" si="187"/>
        <v>0</v>
      </c>
    </row>
    <row r="9557" spans="20:20" ht="18.75" customHeight="1" x14ac:dyDescent="0.35">
      <c r="T9557" s="246">
        <f t="shared" si="187"/>
        <v>0</v>
      </c>
    </row>
    <row r="9558" spans="20:20" ht="18.75" customHeight="1" x14ac:dyDescent="0.35">
      <c r="T9558" s="246">
        <f t="shared" si="187"/>
        <v>0</v>
      </c>
    </row>
    <row r="9559" spans="20:20" ht="18.75" customHeight="1" x14ac:dyDescent="0.35">
      <c r="T9559" s="246">
        <f t="shared" si="187"/>
        <v>0</v>
      </c>
    </row>
    <row r="9560" spans="20:20" ht="18.75" customHeight="1" x14ac:dyDescent="0.35">
      <c r="T9560" s="246">
        <f t="shared" si="187"/>
        <v>0</v>
      </c>
    </row>
    <row r="9561" spans="20:20" ht="18.75" customHeight="1" x14ac:dyDescent="0.35">
      <c r="T9561" s="246">
        <f t="shared" si="187"/>
        <v>0</v>
      </c>
    </row>
    <row r="9562" spans="20:20" ht="18.75" customHeight="1" x14ac:dyDescent="0.35">
      <c r="T9562" s="246">
        <f t="shared" si="187"/>
        <v>0</v>
      </c>
    </row>
    <row r="9563" spans="20:20" ht="18.75" customHeight="1" x14ac:dyDescent="0.35">
      <c r="T9563" s="246">
        <f t="shared" si="187"/>
        <v>0</v>
      </c>
    </row>
    <row r="9564" spans="20:20" ht="18.75" customHeight="1" x14ac:dyDescent="0.35">
      <c r="T9564" s="246">
        <f t="shared" si="187"/>
        <v>0</v>
      </c>
    </row>
    <row r="9565" spans="20:20" ht="18.75" customHeight="1" x14ac:dyDescent="0.35">
      <c r="T9565" s="246">
        <f t="shared" si="187"/>
        <v>0</v>
      </c>
    </row>
    <row r="9566" spans="20:20" ht="18.75" customHeight="1" x14ac:dyDescent="0.35">
      <c r="T9566" s="246">
        <f t="shared" si="187"/>
        <v>0</v>
      </c>
    </row>
    <row r="9567" spans="20:20" ht="18.75" customHeight="1" x14ac:dyDescent="0.35">
      <c r="T9567" s="246">
        <f t="shared" si="187"/>
        <v>0</v>
      </c>
    </row>
    <row r="9568" spans="20:20" ht="18.75" customHeight="1" x14ac:dyDescent="0.35">
      <c r="T9568" s="246">
        <f t="shared" si="187"/>
        <v>0</v>
      </c>
    </row>
    <row r="9569" spans="20:20" ht="18.75" customHeight="1" x14ac:dyDescent="0.35">
      <c r="T9569" s="246">
        <f t="shared" si="187"/>
        <v>0</v>
      </c>
    </row>
    <row r="9570" spans="20:20" ht="18.75" customHeight="1" x14ac:dyDescent="0.35">
      <c r="T9570" s="246">
        <f t="shared" si="187"/>
        <v>0</v>
      </c>
    </row>
    <row r="9571" spans="20:20" ht="18.75" customHeight="1" x14ac:dyDescent="0.35">
      <c r="T9571" s="246">
        <f t="shared" si="187"/>
        <v>0</v>
      </c>
    </row>
    <row r="9572" spans="20:20" ht="18.75" customHeight="1" x14ac:dyDescent="0.35">
      <c r="T9572" s="246">
        <f t="shared" si="187"/>
        <v>0</v>
      </c>
    </row>
    <row r="9573" spans="20:20" ht="18.75" customHeight="1" x14ac:dyDescent="0.35">
      <c r="T9573" s="246">
        <f t="shared" si="187"/>
        <v>0</v>
      </c>
    </row>
    <row r="9574" spans="20:20" ht="18.75" customHeight="1" x14ac:dyDescent="0.35">
      <c r="T9574" s="246">
        <f t="shared" si="187"/>
        <v>0</v>
      </c>
    </row>
    <row r="9575" spans="20:20" ht="18.75" customHeight="1" x14ac:dyDescent="0.35">
      <c r="T9575" s="246">
        <f t="shared" si="187"/>
        <v>0</v>
      </c>
    </row>
    <row r="9576" spans="20:20" ht="18.75" customHeight="1" x14ac:dyDescent="0.35">
      <c r="T9576" s="246">
        <f t="shared" si="187"/>
        <v>0</v>
      </c>
    </row>
    <row r="9577" spans="20:20" ht="18.75" customHeight="1" x14ac:dyDescent="0.35">
      <c r="T9577" s="246">
        <f t="shared" si="187"/>
        <v>0</v>
      </c>
    </row>
    <row r="9578" spans="20:20" ht="18.75" customHeight="1" x14ac:dyDescent="0.35">
      <c r="T9578" s="246">
        <f t="shared" si="187"/>
        <v>0</v>
      </c>
    </row>
    <row r="9579" spans="20:20" ht="18.75" customHeight="1" x14ac:dyDescent="0.35">
      <c r="T9579" s="246">
        <f t="shared" si="187"/>
        <v>0</v>
      </c>
    </row>
    <row r="9580" spans="20:20" ht="18.75" customHeight="1" x14ac:dyDescent="0.35">
      <c r="T9580" s="246">
        <f t="shared" si="187"/>
        <v>0</v>
      </c>
    </row>
    <row r="9581" spans="20:20" ht="18.75" customHeight="1" x14ac:dyDescent="0.35">
      <c r="T9581" s="246">
        <f t="shared" si="187"/>
        <v>0</v>
      </c>
    </row>
    <row r="9582" spans="20:20" ht="18.75" customHeight="1" x14ac:dyDescent="0.35">
      <c r="T9582" s="246">
        <f t="shared" si="187"/>
        <v>0</v>
      </c>
    </row>
    <row r="9583" spans="20:20" ht="18.75" customHeight="1" x14ac:dyDescent="0.35">
      <c r="T9583" s="246">
        <f t="shared" si="187"/>
        <v>0</v>
      </c>
    </row>
    <row r="9584" spans="20:20" ht="18.75" customHeight="1" x14ac:dyDescent="0.35">
      <c r="T9584" s="246">
        <f t="shared" si="187"/>
        <v>0</v>
      </c>
    </row>
    <row r="9585" spans="20:20" ht="18.75" customHeight="1" x14ac:dyDescent="0.35">
      <c r="T9585" s="246">
        <f t="shared" si="187"/>
        <v>0</v>
      </c>
    </row>
    <row r="9586" spans="20:20" ht="18.75" customHeight="1" x14ac:dyDescent="0.35">
      <c r="T9586" s="246">
        <f t="shared" si="187"/>
        <v>0</v>
      </c>
    </row>
    <row r="9587" spans="20:20" ht="18.75" customHeight="1" x14ac:dyDescent="0.35">
      <c r="T9587" s="246">
        <f t="shared" si="187"/>
        <v>0</v>
      </c>
    </row>
    <row r="9588" spans="20:20" ht="18.75" customHeight="1" x14ac:dyDescent="0.35">
      <c r="T9588" s="246">
        <f t="shared" si="187"/>
        <v>0</v>
      </c>
    </row>
    <row r="9589" spans="20:20" ht="18.75" customHeight="1" x14ac:dyDescent="0.35">
      <c r="T9589" s="246">
        <f t="shared" si="187"/>
        <v>0</v>
      </c>
    </row>
    <row r="9590" spans="20:20" ht="18.75" customHeight="1" x14ac:dyDescent="0.35">
      <c r="T9590" s="246">
        <f t="shared" si="187"/>
        <v>0</v>
      </c>
    </row>
    <row r="9591" spans="20:20" ht="18.75" customHeight="1" x14ac:dyDescent="0.35">
      <c r="T9591" s="246">
        <f t="shared" si="187"/>
        <v>0</v>
      </c>
    </row>
    <row r="9592" spans="20:20" ht="18.75" customHeight="1" x14ac:dyDescent="0.35">
      <c r="T9592" s="246">
        <f t="shared" si="187"/>
        <v>0</v>
      </c>
    </row>
    <row r="9593" spans="20:20" ht="18.75" customHeight="1" x14ac:dyDescent="0.35">
      <c r="T9593" s="246">
        <f t="shared" si="187"/>
        <v>0</v>
      </c>
    </row>
    <row r="9594" spans="20:20" ht="18.75" customHeight="1" x14ac:dyDescent="0.35">
      <c r="T9594" s="246">
        <f t="shared" si="187"/>
        <v>0</v>
      </c>
    </row>
    <row r="9595" spans="20:20" ht="18.75" customHeight="1" x14ac:dyDescent="0.35">
      <c r="T9595" s="246">
        <f t="shared" si="187"/>
        <v>0</v>
      </c>
    </row>
    <row r="9596" spans="20:20" ht="18.75" customHeight="1" x14ac:dyDescent="0.35">
      <c r="T9596" s="246">
        <f t="shared" ref="T9596:T9659" si="188">R9596*0.01</f>
        <v>0</v>
      </c>
    </row>
    <row r="9597" spans="20:20" ht="18.75" customHeight="1" x14ac:dyDescent="0.35">
      <c r="T9597" s="246">
        <f t="shared" si="188"/>
        <v>0</v>
      </c>
    </row>
    <row r="9598" spans="20:20" ht="18.75" customHeight="1" x14ac:dyDescent="0.35">
      <c r="T9598" s="246">
        <f t="shared" si="188"/>
        <v>0</v>
      </c>
    </row>
    <row r="9599" spans="20:20" ht="18.75" customHeight="1" x14ac:dyDescent="0.35">
      <c r="T9599" s="246">
        <f t="shared" si="188"/>
        <v>0</v>
      </c>
    </row>
    <row r="9600" spans="20:20" ht="18.75" customHeight="1" x14ac:dyDescent="0.35">
      <c r="T9600" s="246">
        <f t="shared" si="188"/>
        <v>0</v>
      </c>
    </row>
    <row r="9601" spans="20:20" ht="18.75" customHeight="1" x14ac:dyDescent="0.35">
      <c r="T9601" s="246">
        <f t="shared" si="188"/>
        <v>0</v>
      </c>
    </row>
    <row r="9602" spans="20:20" ht="18.75" customHeight="1" x14ac:dyDescent="0.35">
      <c r="T9602" s="246">
        <f t="shared" si="188"/>
        <v>0</v>
      </c>
    </row>
    <row r="9603" spans="20:20" ht="18.75" customHeight="1" x14ac:dyDescent="0.35">
      <c r="T9603" s="246">
        <f t="shared" si="188"/>
        <v>0</v>
      </c>
    </row>
    <row r="9604" spans="20:20" ht="18.75" customHeight="1" x14ac:dyDescent="0.35">
      <c r="T9604" s="246">
        <f t="shared" si="188"/>
        <v>0</v>
      </c>
    </row>
    <row r="9605" spans="20:20" ht="18.75" customHeight="1" x14ac:dyDescent="0.35">
      <c r="T9605" s="246">
        <f t="shared" si="188"/>
        <v>0</v>
      </c>
    </row>
    <row r="9606" spans="20:20" ht="18.75" customHeight="1" x14ac:dyDescent="0.35">
      <c r="T9606" s="246">
        <f t="shared" si="188"/>
        <v>0</v>
      </c>
    </row>
    <row r="9607" spans="20:20" ht="18.75" customHeight="1" x14ac:dyDescent="0.35">
      <c r="T9607" s="246">
        <f t="shared" si="188"/>
        <v>0</v>
      </c>
    </row>
    <row r="9608" spans="20:20" ht="18.75" customHeight="1" x14ac:dyDescent="0.35">
      <c r="T9608" s="246">
        <f t="shared" si="188"/>
        <v>0</v>
      </c>
    </row>
    <row r="9609" spans="20:20" ht="18.75" customHeight="1" x14ac:dyDescent="0.35">
      <c r="T9609" s="246">
        <f t="shared" si="188"/>
        <v>0</v>
      </c>
    </row>
    <row r="9610" spans="20:20" ht="18.75" customHeight="1" x14ac:dyDescent="0.35">
      <c r="T9610" s="246">
        <f t="shared" si="188"/>
        <v>0</v>
      </c>
    </row>
    <row r="9611" spans="20:20" ht="18.75" customHeight="1" x14ac:dyDescent="0.35">
      <c r="T9611" s="246">
        <f t="shared" si="188"/>
        <v>0</v>
      </c>
    </row>
    <row r="9612" spans="20:20" ht="18.75" customHeight="1" x14ac:dyDescent="0.35">
      <c r="T9612" s="246">
        <f t="shared" si="188"/>
        <v>0</v>
      </c>
    </row>
    <row r="9613" spans="20:20" ht="18.75" customHeight="1" x14ac:dyDescent="0.35">
      <c r="T9613" s="246">
        <f t="shared" si="188"/>
        <v>0</v>
      </c>
    </row>
    <row r="9614" spans="20:20" ht="18.75" customHeight="1" x14ac:dyDescent="0.35">
      <c r="T9614" s="246">
        <f t="shared" si="188"/>
        <v>0</v>
      </c>
    </row>
    <row r="9615" spans="20:20" ht="18.75" customHeight="1" x14ac:dyDescent="0.35">
      <c r="T9615" s="246">
        <f t="shared" si="188"/>
        <v>0</v>
      </c>
    </row>
    <row r="9616" spans="20:20" ht="18.75" customHeight="1" x14ac:dyDescent="0.35">
      <c r="T9616" s="246">
        <f t="shared" si="188"/>
        <v>0</v>
      </c>
    </row>
    <row r="9617" spans="20:20" ht="18.75" customHeight="1" x14ac:dyDescent="0.35">
      <c r="T9617" s="246">
        <f t="shared" si="188"/>
        <v>0</v>
      </c>
    </row>
    <row r="9618" spans="20:20" ht="18.75" customHeight="1" x14ac:dyDescent="0.35">
      <c r="T9618" s="246">
        <f t="shared" si="188"/>
        <v>0</v>
      </c>
    </row>
    <row r="9619" spans="20:20" ht="18.75" customHeight="1" x14ac:dyDescent="0.35">
      <c r="T9619" s="246">
        <f t="shared" si="188"/>
        <v>0</v>
      </c>
    </row>
    <row r="9620" spans="20:20" ht="18.75" customHeight="1" x14ac:dyDescent="0.35">
      <c r="T9620" s="246">
        <f t="shared" si="188"/>
        <v>0</v>
      </c>
    </row>
    <row r="9621" spans="20:20" ht="18.75" customHeight="1" x14ac:dyDescent="0.35">
      <c r="T9621" s="246">
        <f t="shared" si="188"/>
        <v>0</v>
      </c>
    </row>
    <row r="9622" spans="20:20" ht="18.75" customHeight="1" x14ac:dyDescent="0.35">
      <c r="T9622" s="246">
        <f t="shared" si="188"/>
        <v>0</v>
      </c>
    </row>
    <row r="9623" spans="20:20" ht="18.75" customHeight="1" x14ac:dyDescent="0.35">
      <c r="T9623" s="246">
        <f t="shared" si="188"/>
        <v>0</v>
      </c>
    </row>
    <row r="9624" spans="20:20" ht="18.75" customHeight="1" x14ac:dyDescent="0.35">
      <c r="T9624" s="246">
        <f t="shared" si="188"/>
        <v>0</v>
      </c>
    </row>
    <row r="9625" spans="20:20" ht="18.75" customHeight="1" x14ac:dyDescent="0.35">
      <c r="T9625" s="246">
        <f t="shared" si="188"/>
        <v>0</v>
      </c>
    </row>
    <row r="9626" spans="20:20" ht="18.75" customHeight="1" x14ac:dyDescent="0.35">
      <c r="T9626" s="246">
        <f t="shared" si="188"/>
        <v>0</v>
      </c>
    </row>
    <row r="9627" spans="20:20" ht="18.75" customHeight="1" x14ac:dyDescent="0.35">
      <c r="T9627" s="246">
        <f t="shared" si="188"/>
        <v>0</v>
      </c>
    </row>
    <row r="9628" spans="20:20" ht="18.75" customHeight="1" x14ac:dyDescent="0.35">
      <c r="T9628" s="246">
        <f t="shared" si="188"/>
        <v>0</v>
      </c>
    </row>
    <row r="9629" spans="20:20" ht="18.75" customHeight="1" x14ac:dyDescent="0.35">
      <c r="T9629" s="246">
        <f t="shared" si="188"/>
        <v>0</v>
      </c>
    </row>
    <row r="9630" spans="20:20" ht="18.75" customHeight="1" x14ac:dyDescent="0.35">
      <c r="T9630" s="246">
        <f t="shared" si="188"/>
        <v>0</v>
      </c>
    </row>
    <row r="9631" spans="20:20" ht="18.75" customHeight="1" x14ac:dyDescent="0.35">
      <c r="T9631" s="246">
        <f t="shared" si="188"/>
        <v>0</v>
      </c>
    </row>
    <row r="9632" spans="20:20" ht="18.75" customHeight="1" x14ac:dyDescent="0.35">
      <c r="T9632" s="246">
        <f t="shared" si="188"/>
        <v>0</v>
      </c>
    </row>
    <row r="9633" spans="20:20" ht="18.75" customHeight="1" x14ac:dyDescent="0.35">
      <c r="T9633" s="246">
        <f t="shared" si="188"/>
        <v>0</v>
      </c>
    </row>
    <row r="9634" spans="20:20" ht="18.75" customHeight="1" x14ac:dyDescent="0.35">
      <c r="T9634" s="246">
        <f t="shared" si="188"/>
        <v>0</v>
      </c>
    </row>
    <row r="9635" spans="20:20" ht="18.75" customHeight="1" x14ac:dyDescent="0.35">
      <c r="T9635" s="246">
        <f t="shared" si="188"/>
        <v>0</v>
      </c>
    </row>
    <row r="9636" spans="20:20" ht="18.75" customHeight="1" x14ac:dyDescent="0.35">
      <c r="T9636" s="246">
        <f t="shared" si="188"/>
        <v>0</v>
      </c>
    </row>
    <row r="9637" spans="20:20" ht="18.75" customHeight="1" x14ac:dyDescent="0.35">
      <c r="T9637" s="246">
        <f t="shared" si="188"/>
        <v>0</v>
      </c>
    </row>
    <row r="9638" spans="20:20" ht="18.75" customHeight="1" x14ac:dyDescent="0.35">
      <c r="T9638" s="246">
        <f t="shared" si="188"/>
        <v>0</v>
      </c>
    </row>
    <row r="9639" spans="20:20" ht="18.75" customHeight="1" x14ac:dyDescent="0.35">
      <c r="T9639" s="246">
        <f t="shared" si="188"/>
        <v>0</v>
      </c>
    </row>
    <row r="9640" spans="20:20" ht="18.75" customHeight="1" x14ac:dyDescent="0.35">
      <c r="T9640" s="246">
        <f t="shared" si="188"/>
        <v>0</v>
      </c>
    </row>
    <row r="9641" spans="20:20" ht="18.75" customHeight="1" x14ac:dyDescent="0.35">
      <c r="T9641" s="246">
        <f t="shared" si="188"/>
        <v>0</v>
      </c>
    </row>
    <row r="9642" spans="20:20" ht="18.75" customHeight="1" x14ac:dyDescent="0.35">
      <c r="T9642" s="246">
        <f t="shared" si="188"/>
        <v>0</v>
      </c>
    </row>
    <row r="9643" spans="20:20" ht="18.75" customHeight="1" x14ac:dyDescent="0.35">
      <c r="T9643" s="246">
        <f t="shared" si="188"/>
        <v>0</v>
      </c>
    </row>
    <row r="9644" spans="20:20" ht="18.75" customHeight="1" x14ac:dyDescent="0.35">
      <c r="T9644" s="246">
        <f t="shared" si="188"/>
        <v>0</v>
      </c>
    </row>
    <row r="9645" spans="20:20" ht="18.75" customHeight="1" x14ac:dyDescent="0.35">
      <c r="T9645" s="246">
        <f t="shared" si="188"/>
        <v>0</v>
      </c>
    </row>
    <row r="9646" spans="20:20" ht="18.75" customHeight="1" x14ac:dyDescent="0.35">
      <c r="T9646" s="246">
        <f t="shared" si="188"/>
        <v>0</v>
      </c>
    </row>
    <row r="9647" spans="20:20" ht="18.75" customHeight="1" x14ac:dyDescent="0.35">
      <c r="T9647" s="246">
        <f t="shared" si="188"/>
        <v>0</v>
      </c>
    </row>
    <row r="9648" spans="20:20" ht="18.75" customHeight="1" x14ac:dyDescent="0.35">
      <c r="T9648" s="246">
        <f t="shared" si="188"/>
        <v>0</v>
      </c>
    </row>
    <row r="9649" spans="20:20" ht="18.75" customHeight="1" x14ac:dyDescent="0.35">
      <c r="T9649" s="246">
        <f t="shared" si="188"/>
        <v>0</v>
      </c>
    </row>
    <row r="9650" spans="20:20" ht="18.75" customHeight="1" x14ac:dyDescent="0.35">
      <c r="T9650" s="246">
        <f t="shared" si="188"/>
        <v>0</v>
      </c>
    </row>
    <row r="9651" spans="20:20" ht="18.75" customHeight="1" x14ac:dyDescent="0.35">
      <c r="T9651" s="246">
        <f t="shared" si="188"/>
        <v>0</v>
      </c>
    </row>
    <row r="9652" spans="20:20" ht="18.75" customHeight="1" x14ac:dyDescent="0.35">
      <c r="T9652" s="246">
        <f t="shared" si="188"/>
        <v>0</v>
      </c>
    </row>
    <row r="9653" spans="20:20" ht="18.75" customHeight="1" x14ac:dyDescent="0.35">
      <c r="T9653" s="246">
        <f t="shared" si="188"/>
        <v>0</v>
      </c>
    </row>
    <row r="9654" spans="20:20" ht="18.75" customHeight="1" x14ac:dyDescent="0.35">
      <c r="T9654" s="246">
        <f t="shared" si="188"/>
        <v>0</v>
      </c>
    </row>
    <row r="9655" spans="20:20" ht="18.75" customHeight="1" x14ac:dyDescent="0.35">
      <c r="T9655" s="246">
        <f t="shared" si="188"/>
        <v>0</v>
      </c>
    </row>
    <row r="9656" spans="20:20" ht="18.75" customHeight="1" x14ac:dyDescent="0.35">
      <c r="T9656" s="246">
        <f t="shared" si="188"/>
        <v>0</v>
      </c>
    </row>
    <row r="9657" spans="20:20" ht="18.75" customHeight="1" x14ac:dyDescent="0.35">
      <c r="T9657" s="246">
        <f t="shared" si="188"/>
        <v>0</v>
      </c>
    </row>
    <row r="9658" spans="20:20" ht="18.75" customHeight="1" x14ac:dyDescent="0.35">
      <c r="T9658" s="246">
        <f t="shared" si="188"/>
        <v>0</v>
      </c>
    </row>
    <row r="9659" spans="20:20" ht="18.75" customHeight="1" x14ac:dyDescent="0.35">
      <c r="T9659" s="246">
        <f t="shared" si="188"/>
        <v>0</v>
      </c>
    </row>
    <row r="9660" spans="20:20" ht="18.75" customHeight="1" x14ac:dyDescent="0.35">
      <c r="T9660" s="246">
        <f t="shared" ref="T9660:T9723" si="189">R9660*0.01</f>
        <v>0</v>
      </c>
    </row>
    <row r="9661" spans="20:20" ht="18.75" customHeight="1" x14ac:dyDescent="0.35">
      <c r="T9661" s="246">
        <f t="shared" si="189"/>
        <v>0</v>
      </c>
    </row>
    <row r="9662" spans="20:20" ht="18.75" customHeight="1" x14ac:dyDescent="0.35">
      <c r="T9662" s="246">
        <f t="shared" si="189"/>
        <v>0</v>
      </c>
    </row>
    <row r="9663" spans="20:20" ht="18.75" customHeight="1" x14ac:dyDescent="0.35">
      <c r="T9663" s="246">
        <f t="shared" si="189"/>
        <v>0</v>
      </c>
    </row>
    <row r="9664" spans="20:20" ht="18.75" customHeight="1" x14ac:dyDescent="0.35">
      <c r="T9664" s="246">
        <f t="shared" si="189"/>
        <v>0</v>
      </c>
    </row>
    <row r="9665" spans="20:20" ht="18.75" customHeight="1" x14ac:dyDescent="0.35">
      <c r="T9665" s="246">
        <f t="shared" si="189"/>
        <v>0</v>
      </c>
    </row>
    <row r="9666" spans="20:20" ht="18.75" customHeight="1" x14ac:dyDescent="0.35">
      <c r="T9666" s="246">
        <f t="shared" si="189"/>
        <v>0</v>
      </c>
    </row>
    <row r="9667" spans="20:20" ht="18.75" customHeight="1" x14ac:dyDescent="0.35">
      <c r="T9667" s="246">
        <f t="shared" si="189"/>
        <v>0</v>
      </c>
    </row>
    <row r="9668" spans="20:20" ht="18.75" customHeight="1" x14ac:dyDescent="0.35">
      <c r="T9668" s="246">
        <f t="shared" si="189"/>
        <v>0</v>
      </c>
    </row>
    <row r="9669" spans="20:20" ht="18.75" customHeight="1" x14ac:dyDescent="0.35">
      <c r="T9669" s="246">
        <f t="shared" si="189"/>
        <v>0</v>
      </c>
    </row>
    <row r="9670" spans="20:20" ht="18.75" customHeight="1" x14ac:dyDescent="0.35">
      <c r="T9670" s="246">
        <f t="shared" si="189"/>
        <v>0</v>
      </c>
    </row>
    <row r="9671" spans="20:20" ht="18.75" customHeight="1" x14ac:dyDescent="0.35">
      <c r="T9671" s="246">
        <f t="shared" si="189"/>
        <v>0</v>
      </c>
    </row>
    <row r="9672" spans="20:20" ht="18.75" customHeight="1" x14ac:dyDescent="0.35">
      <c r="T9672" s="246">
        <f t="shared" si="189"/>
        <v>0</v>
      </c>
    </row>
    <row r="9673" spans="20:20" ht="18.75" customHeight="1" x14ac:dyDescent="0.35">
      <c r="T9673" s="246">
        <f t="shared" si="189"/>
        <v>0</v>
      </c>
    </row>
    <row r="9674" spans="20:20" ht="18.75" customHeight="1" x14ac:dyDescent="0.35">
      <c r="T9674" s="246">
        <f t="shared" si="189"/>
        <v>0</v>
      </c>
    </row>
    <row r="9675" spans="20:20" ht="18.75" customHeight="1" x14ac:dyDescent="0.35">
      <c r="T9675" s="246">
        <f t="shared" si="189"/>
        <v>0</v>
      </c>
    </row>
    <row r="9676" spans="20:20" ht="18.75" customHeight="1" x14ac:dyDescent="0.35">
      <c r="T9676" s="246">
        <f t="shared" si="189"/>
        <v>0</v>
      </c>
    </row>
    <row r="9677" spans="20:20" ht="18.75" customHeight="1" x14ac:dyDescent="0.35">
      <c r="T9677" s="246">
        <f t="shared" si="189"/>
        <v>0</v>
      </c>
    </row>
    <row r="9678" spans="20:20" ht="18.75" customHeight="1" x14ac:dyDescent="0.35">
      <c r="T9678" s="246">
        <f t="shared" si="189"/>
        <v>0</v>
      </c>
    </row>
    <row r="9679" spans="20:20" ht="18.75" customHeight="1" x14ac:dyDescent="0.35">
      <c r="T9679" s="246">
        <f t="shared" si="189"/>
        <v>0</v>
      </c>
    </row>
    <row r="9680" spans="20:20" ht="18.75" customHeight="1" x14ac:dyDescent="0.35">
      <c r="T9680" s="246">
        <f t="shared" si="189"/>
        <v>0</v>
      </c>
    </row>
    <row r="9681" spans="20:20" ht="18.75" customHeight="1" x14ac:dyDescent="0.35">
      <c r="T9681" s="246">
        <f t="shared" si="189"/>
        <v>0</v>
      </c>
    </row>
    <row r="9682" spans="20:20" ht="18.75" customHeight="1" x14ac:dyDescent="0.35">
      <c r="T9682" s="246">
        <f t="shared" si="189"/>
        <v>0</v>
      </c>
    </row>
    <row r="9683" spans="20:20" ht="18.75" customHeight="1" x14ac:dyDescent="0.35">
      <c r="T9683" s="246">
        <f t="shared" si="189"/>
        <v>0</v>
      </c>
    </row>
    <row r="9684" spans="20:20" ht="18.75" customHeight="1" x14ac:dyDescent="0.35">
      <c r="T9684" s="246">
        <f t="shared" si="189"/>
        <v>0</v>
      </c>
    </row>
    <row r="9685" spans="20:20" ht="18.75" customHeight="1" x14ac:dyDescent="0.35">
      <c r="T9685" s="246">
        <f t="shared" si="189"/>
        <v>0</v>
      </c>
    </row>
    <row r="9686" spans="20:20" ht="18.75" customHeight="1" x14ac:dyDescent="0.35">
      <c r="T9686" s="246">
        <f t="shared" si="189"/>
        <v>0</v>
      </c>
    </row>
    <row r="9687" spans="20:20" ht="18.75" customHeight="1" x14ac:dyDescent="0.35">
      <c r="T9687" s="246">
        <f t="shared" si="189"/>
        <v>0</v>
      </c>
    </row>
    <row r="9688" spans="20:20" ht="18.75" customHeight="1" x14ac:dyDescent="0.35">
      <c r="T9688" s="246">
        <f t="shared" si="189"/>
        <v>0</v>
      </c>
    </row>
    <row r="9689" spans="20:20" ht="18.75" customHeight="1" x14ac:dyDescent="0.35">
      <c r="T9689" s="246">
        <f t="shared" si="189"/>
        <v>0</v>
      </c>
    </row>
    <row r="9690" spans="20:20" ht="18.75" customHeight="1" x14ac:dyDescent="0.35">
      <c r="T9690" s="246">
        <f t="shared" si="189"/>
        <v>0</v>
      </c>
    </row>
    <row r="9691" spans="20:20" ht="18.75" customHeight="1" x14ac:dyDescent="0.35">
      <c r="T9691" s="246">
        <f t="shared" si="189"/>
        <v>0</v>
      </c>
    </row>
    <row r="9692" spans="20:20" ht="18.75" customHeight="1" x14ac:dyDescent="0.35">
      <c r="T9692" s="246">
        <f t="shared" si="189"/>
        <v>0</v>
      </c>
    </row>
    <row r="9693" spans="20:20" ht="18.75" customHeight="1" x14ac:dyDescent="0.35">
      <c r="T9693" s="246">
        <f t="shared" si="189"/>
        <v>0</v>
      </c>
    </row>
    <row r="9694" spans="20:20" ht="18.75" customHeight="1" x14ac:dyDescent="0.35">
      <c r="T9694" s="246">
        <f t="shared" si="189"/>
        <v>0</v>
      </c>
    </row>
    <row r="9695" spans="20:20" ht="18.75" customHeight="1" x14ac:dyDescent="0.35">
      <c r="T9695" s="246">
        <f t="shared" si="189"/>
        <v>0</v>
      </c>
    </row>
    <row r="9696" spans="20:20" ht="18.75" customHeight="1" x14ac:dyDescent="0.35">
      <c r="T9696" s="246">
        <f t="shared" si="189"/>
        <v>0</v>
      </c>
    </row>
    <row r="9697" spans="20:20" ht="18.75" customHeight="1" x14ac:dyDescent="0.35">
      <c r="T9697" s="246">
        <f t="shared" si="189"/>
        <v>0</v>
      </c>
    </row>
    <row r="9698" spans="20:20" ht="18.75" customHeight="1" x14ac:dyDescent="0.35">
      <c r="T9698" s="246">
        <f t="shared" si="189"/>
        <v>0</v>
      </c>
    </row>
    <row r="9699" spans="20:20" ht="18.75" customHeight="1" x14ac:dyDescent="0.35">
      <c r="T9699" s="246">
        <f t="shared" si="189"/>
        <v>0</v>
      </c>
    </row>
    <row r="9700" spans="20:20" ht="18.75" customHeight="1" x14ac:dyDescent="0.35">
      <c r="T9700" s="246">
        <f t="shared" si="189"/>
        <v>0</v>
      </c>
    </row>
    <row r="9701" spans="20:20" ht="18.75" customHeight="1" x14ac:dyDescent="0.35">
      <c r="T9701" s="246">
        <f t="shared" si="189"/>
        <v>0</v>
      </c>
    </row>
    <row r="9702" spans="20:20" ht="18.75" customHeight="1" x14ac:dyDescent="0.35">
      <c r="T9702" s="246">
        <f t="shared" si="189"/>
        <v>0</v>
      </c>
    </row>
    <row r="9703" spans="20:20" ht="18.75" customHeight="1" x14ac:dyDescent="0.35">
      <c r="T9703" s="246">
        <f t="shared" si="189"/>
        <v>0</v>
      </c>
    </row>
    <row r="9704" spans="20:20" ht="18.75" customHeight="1" x14ac:dyDescent="0.35">
      <c r="T9704" s="246">
        <f t="shared" si="189"/>
        <v>0</v>
      </c>
    </row>
    <row r="9705" spans="20:20" ht="18.75" customHeight="1" x14ac:dyDescent="0.35">
      <c r="T9705" s="246">
        <f t="shared" si="189"/>
        <v>0</v>
      </c>
    </row>
    <row r="9706" spans="20:20" ht="18.75" customHeight="1" x14ac:dyDescent="0.35">
      <c r="T9706" s="246">
        <f t="shared" si="189"/>
        <v>0</v>
      </c>
    </row>
    <row r="9707" spans="20:20" ht="18.75" customHeight="1" x14ac:dyDescent="0.35">
      <c r="T9707" s="246">
        <f t="shared" si="189"/>
        <v>0</v>
      </c>
    </row>
    <row r="9708" spans="20:20" ht="18.75" customHeight="1" x14ac:dyDescent="0.35">
      <c r="T9708" s="246">
        <f t="shared" si="189"/>
        <v>0</v>
      </c>
    </row>
    <row r="9709" spans="20:20" ht="18.75" customHeight="1" x14ac:dyDescent="0.35">
      <c r="T9709" s="246">
        <f t="shared" si="189"/>
        <v>0</v>
      </c>
    </row>
    <row r="9710" spans="20:20" ht="18.75" customHeight="1" x14ac:dyDescent="0.35">
      <c r="T9710" s="246">
        <f t="shared" si="189"/>
        <v>0</v>
      </c>
    </row>
    <row r="9711" spans="20:20" ht="18.75" customHeight="1" x14ac:dyDescent="0.35">
      <c r="T9711" s="246">
        <f t="shared" si="189"/>
        <v>0</v>
      </c>
    </row>
    <row r="9712" spans="20:20" ht="18.75" customHeight="1" x14ac:dyDescent="0.35">
      <c r="T9712" s="246">
        <f t="shared" si="189"/>
        <v>0</v>
      </c>
    </row>
    <row r="9713" spans="20:20" ht="18.75" customHeight="1" x14ac:dyDescent="0.35">
      <c r="T9713" s="246">
        <f t="shared" si="189"/>
        <v>0</v>
      </c>
    </row>
    <row r="9714" spans="20:20" ht="18.75" customHeight="1" x14ac:dyDescent="0.35">
      <c r="T9714" s="246">
        <f t="shared" si="189"/>
        <v>0</v>
      </c>
    </row>
    <row r="9715" spans="20:20" ht="18.75" customHeight="1" x14ac:dyDescent="0.35">
      <c r="T9715" s="246">
        <f t="shared" si="189"/>
        <v>0</v>
      </c>
    </row>
    <row r="9716" spans="20:20" ht="18.75" customHeight="1" x14ac:dyDescent="0.35">
      <c r="T9716" s="246">
        <f t="shared" si="189"/>
        <v>0</v>
      </c>
    </row>
    <row r="9717" spans="20:20" ht="18.75" customHeight="1" x14ac:dyDescent="0.35">
      <c r="T9717" s="246">
        <f t="shared" si="189"/>
        <v>0</v>
      </c>
    </row>
    <row r="9718" spans="20:20" ht="18.75" customHeight="1" x14ac:dyDescent="0.35">
      <c r="T9718" s="246">
        <f t="shared" si="189"/>
        <v>0</v>
      </c>
    </row>
    <row r="9719" spans="20:20" ht="18.75" customHeight="1" x14ac:dyDescent="0.35">
      <c r="T9719" s="246">
        <f t="shared" si="189"/>
        <v>0</v>
      </c>
    </row>
    <row r="9720" spans="20:20" ht="18.75" customHeight="1" x14ac:dyDescent="0.35">
      <c r="T9720" s="246">
        <f t="shared" si="189"/>
        <v>0</v>
      </c>
    </row>
    <row r="9721" spans="20:20" ht="18.75" customHeight="1" x14ac:dyDescent="0.35">
      <c r="T9721" s="246">
        <f t="shared" si="189"/>
        <v>0</v>
      </c>
    </row>
    <row r="9722" spans="20:20" ht="18.75" customHeight="1" x14ac:dyDescent="0.35">
      <c r="T9722" s="246">
        <f t="shared" si="189"/>
        <v>0</v>
      </c>
    </row>
    <row r="9723" spans="20:20" ht="18.75" customHeight="1" x14ac:dyDescent="0.35">
      <c r="T9723" s="246">
        <f t="shared" si="189"/>
        <v>0</v>
      </c>
    </row>
    <row r="9724" spans="20:20" ht="18.75" customHeight="1" x14ac:dyDescent="0.35">
      <c r="T9724" s="246">
        <f t="shared" ref="T9724:T9787" si="190">R9724*0.01</f>
        <v>0</v>
      </c>
    </row>
    <row r="9725" spans="20:20" ht="18.75" customHeight="1" x14ac:dyDescent="0.35">
      <c r="T9725" s="246">
        <f t="shared" si="190"/>
        <v>0</v>
      </c>
    </row>
    <row r="9726" spans="20:20" ht="18.75" customHeight="1" x14ac:dyDescent="0.35">
      <c r="T9726" s="246">
        <f t="shared" si="190"/>
        <v>0</v>
      </c>
    </row>
    <row r="9727" spans="20:20" ht="18.75" customHeight="1" x14ac:dyDescent="0.35">
      <c r="T9727" s="246">
        <f t="shared" si="190"/>
        <v>0</v>
      </c>
    </row>
    <row r="9728" spans="20:20" ht="18.75" customHeight="1" x14ac:dyDescent="0.35">
      <c r="T9728" s="246">
        <f t="shared" si="190"/>
        <v>0</v>
      </c>
    </row>
    <row r="9729" spans="20:20" ht="18.75" customHeight="1" x14ac:dyDescent="0.35">
      <c r="T9729" s="246">
        <f t="shared" si="190"/>
        <v>0</v>
      </c>
    </row>
    <row r="9730" spans="20:20" ht="18.75" customHeight="1" x14ac:dyDescent="0.35">
      <c r="T9730" s="246">
        <f t="shared" si="190"/>
        <v>0</v>
      </c>
    </row>
    <row r="9731" spans="20:20" ht="18.75" customHeight="1" x14ac:dyDescent="0.35">
      <c r="T9731" s="246">
        <f t="shared" si="190"/>
        <v>0</v>
      </c>
    </row>
    <row r="9732" spans="20:20" ht="18.75" customHeight="1" x14ac:dyDescent="0.35">
      <c r="T9732" s="246">
        <f t="shared" si="190"/>
        <v>0</v>
      </c>
    </row>
    <row r="9733" spans="20:20" ht="18.75" customHeight="1" x14ac:dyDescent="0.35">
      <c r="T9733" s="246">
        <f t="shared" si="190"/>
        <v>0</v>
      </c>
    </row>
    <row r="9734" spans="20:20" ht="18.75" customHeight="1" x14ac:dyDescent="0.35">
      <c r="T9734" s="246">
        <f t="shared" si="190"/>
        <v>0</v>
      </c>
    </row>
    <row r="9735" spans="20:20" ht="18.75" customHeight="1" x14ac:dyDescent="0.35">
      <c r="T9735" s="246">
        <f t="shared" si="190"/>
        <v>0</v>
      </c>
    </row>
    <row r="9736" spans="20:20" ht="18.75" customHeight="1" x14ac:dyDescent="0.35">
      <c r="T9736" s="246">
        <f t="shared" si="190"/>
        <v>0</v>
      </c>
    </row>
    <row r="9737" spans="20:20" ht="18.75" customHeight="1" x14ac:dyDescent="0.35">
      <c r="T9737" s="246">
        <f t="shared" si="190"/>
        <v>0</v>
      </c>
    </row>
    <row r="9738" spans="20:20" ht="18.75" customHeight="1" x14ac:dyDescent="0.35">
      <c r="T9738" s="246">
        <f t="shared" si="190"/>
        <v>0</v>
      </c>
    </row>
    <row r="9739" spans="20:20" ht="18.75" customHeight="1" x14ac:dyDescent="0.35">
      <c r="T9739" s="246">
        <f t="shared" si="190"/>
        <v>0</v>
      </c>
    </row>
    <row r="9740" spans="20:20" ht="18.75" customHeight="1" x14ac:dyDescent="0.35">
      <c r="T9740" s="246">
        <f t="shared" si="190"/>
        <v>0</v>
      </c>
    </row>
    <row r="9741" spans="20:20" ht="18.75" customHeight="1" x14ac:dyDescent="0.35">
      <c r="T9741" s="246">
        <f t="shared" si="190"/>
        <v>0</v>
      </c>
    </row>
    <row r="9742" spans="20:20" ht="18.75" customHeight="1" x14ac:dyDescent="0.35">
      <c r="T9742" s="246">
        <f t="shared" si="190"/>
        <v>0</v>
      </c>
    </row>
    <row r="9743" spans="20:20" ht="18.75" customHeight="1" x14ac:dyDescent="0.35">
      <c r="T9743" s="246">
        <f t="shared" si="190"/>
        <v>0</v>
      </c>
    </row>
    <row r="9744" spans="20:20" ht="18.75" customHeight="1" x14ac:dyDescent="0.35">
      <c r="T9744" s="246">
        <f t="shared" si="190"/>
        <v>0</v>
      </c>
    </row>
    <row r="9745" spans="20:20" ht="18.75" customHeight="1" x14ac:dyDescent="0.35">
      <c r="T9745" s="246">
        <f t="shared" si="190"/>
        <v>0</v>
      </c>
    </row>
    <row r="9746" spans="20:20" ht="18.75" customHeight="1" x14ac:dyDescent="0.35">
      <c r="T9746" s="246">
        <f t="shared" si="190"/>
        <v>0</v>
      </c>
    </row>
    <row r="9747" spans="20:20" ht="18.75" customHeight="1" x14ac:dyDescent="0.35">
      <c r="T9747" s="246">
        <f t="shared" si="190"/>
        <v>0</v>
      </c>
    </row>
    <row r="9748" spans="20:20" ht="18.75" customHeight="1" x14ac:dyDescent="0.35">
      <c r="T9748" s="246">
        <f t="shared" si="190"/>
        <v>0</v>
      </c>
    </row>
    <row r="9749" spans="20:20" ht="18.75" customHeight="1" x14ac:dyDescent="0.35">
      <c r="T9749" s="246">
        <f t="shared" si="190"/>
        <v>0</v>
      </c>
    </row>
    <row r="9750" spans="20:20" ht="18.75" customHeight="1" x14ac:dyDescent="0.35">
      <c r="T9750" s="246">
        <f t="shared" si="190"/>
        <v>0</v>
      </c>
    </row>
    <row r="9751" spans="20:20" ht="18.75" customHeight="1" x14ac:dyDescent="0.35">
      <c r="T9751" s="246">
        <f t="shared" si="190"/>
        <v>0</v>
      </c>
    </row>
    <row r="9752" spans="20:20" ht="18.75" customHeight="1" x14ac:dyDescent="0.35">
      <c r="T9752" s="246">
        <f t="shared" si="190"/>
        <v>0</v>
      </c>
    </row>
    <row r="9753" spans="20:20" ht="18.75" customHeight="1" x14ac:dyDescent="0.35">
      <c r="T9753" s="246">
        <f t="shared" si="190"/>
        <v>0</v>
      </c>
    </row>
    <row r="9754" spans="20:20" ht="18.75" customHeight="1" x14ac:dyDescent="0.35">
      <c r="T9754" s="246">
        <f t="shared" si="190"/>
        <v>0</v>
      </c>
    </row>
    <row r="9755" spans="20:20" ht="18.75" customHeight="1" x14ac:dyDescent="0.35">
      <c r="T9755" s="246">
        <f t="shared" si="190"/>
        <v>0</v>
      </c>
    </row>
    <row r="9756" spans="20:20" ht="18.75" customHeight="1" x14ac:dyDescent="0.35">
      <c r="T9756" s="246">
        <f t="shared" si="190"/>
        <v>0</v>
      </c>
    </row>
    <row r="9757" spans="20:20" ht="18.75" customHeight="1" x14ac:dyDescent="0.35">
      <c r="T9757" s="246">
        <f t="shared" si="190"/>
        <v>0</v>
      </c>
    </row>
    <row r="9758" spans="20:20" ht="18.75" customHeight="1" x14ac:dyDescent="0.35">
      <c r="T9758" s="246">
        <f t="shared" si="190"/>
        <v>0</v>
      </c>
    </row>
    <row r="9759" spans="20:20" ht="18.75" customHeight="1" x14ac:dyDescent="0.35">
      <c r="T9759" s="246">
        <f t="shared" si="190"/>
        <v>0</v>
      </c>
    </row>
    <row r="9760" spans="20:20" ht="18.75" customHeight="1" x14ac:dyDescent="0.35">
      <c r="T9760" s="246">
        <f t="shared" si="190"/>
        <v>0</v>
      </c>
    </row>
    <row r="9761" spans="20:20" ht="18.75" customHeight="1" x14ac:dyDescent="0.35">
      <c r="T9761" s="246">
        <f t="shared" si="190"/>
        <v>0</v>
      </c>
    </row>
    <row r="9762" spans="20:20" ht="18.75" customHeight="1" x14ac:dyDescent="0.35">
      <c r="T9762" s="246">
        <f t="shared" si="190"/>
        <v>0</v>
      </c>
    </row>
    <row r="9763" spans="20:20" ht="18.75" customHeight="1" x14ac:dyDescent="0.35">
      <c r="T9763" s="246">
        <f t="shared" si="190"/>
        <v>0</v>
      </c>
    </row>
    <row r="9764" spans="20:20" ht="18.75" customHeight="1" x14ac:dyDescent="0.35">
      <c r="T9764" s="246">
        <f t="shared" si="190"/>
        <v>0</v>
      </c>
    </row>
    <row r="9765" spans="20:20" ht="18.75" customHeight="1" x14ac:dyDescent="0.35">
      <c r="T9765" s="246">
        <f t="shared" si="190"/>
        <v>0</v>
      </c>
    </row>
    <row r="9766" spans="20:20" ht="18.75" customHeight="1" x14ac:dyDescent="0.35">
      <c r="T9766" s="246">
        <f t="shared" si="190"/>
        <v>0</v>
      </c>
    </row>
    <row r="9767" spans="20:20" ht="18.75" customHeight="1" x14ac:dyDescent="0.35">
      <c r="T9767" s="246">
        <f t="shared" si="190"/>
        <v>0</v>
      </c>
    </row>
    <row r="9768" spans="20:20" ht="18.75" customHeight="1" x14ac:dyDescent="0.35">
      <c r="T9768" s="246">
        <f t="shared" si="190"/>
        <v>0</v>
      </c>
    </row>
    <row r="9769" spans="20:20" ht="18.75" customHeight="1" x14ac:dyDescent="0.35">
      <c r="T9769" s="246">
        <f t="shared" si="190"/>
        <v>0</v>
      </c>
    </row>
    <row r="9770" spans="20:20" ht="18.75" customHeight="1" x14ac:dyDescent="0.35">
      <c r="T9770" s="246">
        <f t="shared" si="190"/>
        <v>0</v>
      </c>
    </row>
    <row r="9771" spans="20:20" ht="18.75" customHeight="1" x14ac:dyDescent="0.35">
      <c r="T9771" s="246">
        <f t="shared" si="190"/>
        <v>0</v>
      </c>
    </row>
    <row r="9772" spans="20:20" ht="18.75" customHeight="1" x14ac:dyDescent="0.35">
      <c r="T9772" s="246">
        <f t="shared" si="190"/>
        <v>0</v>
      </c>
    </row>
    <row r="9773" spans="20:20" ht="18.75" customHeight="1" x14ac:dyDescent="0.35">
      <c r="T9773" s="246">
        <f t="shared" si="190"/>
        <v>0</v>
      </c>
    </row>
    <row r="9774" spans="20:20" ht="18.75" customHeight="1" x14ac:dyDescent="0.35">
      <c r="T9774" s="246">
        <f t="shared" si="190"/>
        <v>0</v>
      </c>
    </row>
    <row r="9775" spans="20:20" ht="18.75" customHeight="1" x14ac:dyDescent="0.35">
      <c r="T9775" s="246">
        <f t="shared" si="190"/>
        <v>0</v>
      </c>
    </row>
    <row r="9776" spans="20:20" ht="18.75" customHeight="1" x14ac:dyDescent="0.35">
      <c r="T9776" s="246">
        <f t="shared" si="190"/>
        <v>0</v>
      </c>
    </row>
    <row r="9777" spans="20:20" ht="18.75" customHeight="1" x14ac:dyDescent="0.35">
      <c r="T9777" s="246">
        <f t="shared" si="190"/>
        <v>0</v>
      </c>
    </row>
    <row r="9778" spans="20:20" ht="18.75" customHeight="1" x14ac:dyDescent="0.35">
      <c r="T9778" s="246">
        <f t="shared" si="190"/>
        <v>0</v>
      </c>
    </row>
    <row r="9779" spans="20:20" ht="18.75" customHeight="1" x14ac:dyDescent="0.35">
      <c r="T9779" s="246">
        <f t="shared" si="190"/>
        <v>0</v>
      </c>
    </row>
    <row r="9780" spans="20:20" ht="18.75" customHeight="1" x14ac:dyDescent="0.35">
      <c r="T9780" s="246">
        <f t="shared" si="190"/>
        <v>0</v>
      </c>
    </row>
    <row r="9781" spans="20:20" ht="18.75" customHeight="1" x14ac:dyDescent="0.35">
      <c r="T9781" s="246">
        <f t="shared" si="190"/>
        <v>0</v>
      </c>
    </row>
    <row r="9782" spans="20:20" ht="18.75" customHeight="1" x14ac:dyDescent="0.35">
      <c r="T9782" s="246">
        <f t="shared" si="190"/>
        <v>0</v>
      </c>
    </row>
    <row r="9783" spans="20:20" ht="18.75" customHeight="1" x14ac:dyDescent="0.35">
      <c r="T9783" s="246">
        <f t="shared" si="190"/>
        <v>0</v>
      </c>
    </row>
    <row r="9784" spans="20:20" ht="18.75" customHeight="1" x14ac:dyDescent="0.35">
      <c r="T9784" s="246">
        <f t="shared" si="190"/>
        <v>0</v>
      </c>
    </row>
    <row r="9785" spans="20:20" ht="18.75" customHeight="1" x14ac:dyDescent="0.35">
      <c r="T9785" s="246">
        <f t="shared" si="190"/>
        <v>0</v>
      </c>
    </row>
    <row r="9786" spans="20:20" ht="18.75" customHeight="1" x14ac:dyDescent="0.35">
      <c r="T9786" s="246">
        <f t="shared" si="190"/>
        <v>0</v>
      </c>
    </row>
    <row r="9787" spans="20:20" ht="18.75" customHeight="1" x14ac:dyDescent="0.35">
      <c r="T9787" s="246">
        <f t="shared" si="190"/>
        <v>0</v>
      </c>
    </row>
    <row r="9788" spans="20:20" ht="18.75" customHeight="1" x14ac:dyDescent="0.35">
      <c r="T9788" s="246">
        <f t="shared" ref="T9788:T9851" si="191">R9788*0.01</f>
        <v>0</v>
      </c>
    </row>
    <row r="9789" spans="20:20" ht="18.75" customHeight="1" x14ac:dyDescent="0.35">
      <c r="T9789" s="246">
        <f t="shared" si="191"/>
        <v>0</v>
      </c>
    </row>
    <row r="9790" spans="20:20" ht="18.75" customHeight="1" x14ac:dyDescent="0.35">
      <c r="T9790" s="246">
        <f t="shared" si="191"/>
        <v>0</v>
      </c>
    </row>
    <row r="9791" spans="20:20" ht="18.75" customHeight="1" x14ac:dyDescent="0.35">
      <c r="T9791" s="246">
        <f t="shared" si="191"/>
        <v>0</v>
      </c>
    </row>
    <row r="9792" spans="20:20" ht="18.75" customHeight="1" x14ac:dyDescent="0.35">
      <c r="T9792" s="246">
        <f t="shared" si="191"/>
        <v>0</v>
      </c>
    </row>
    <row r="9793" spans="20:20" ht="18.75" customHeight="1" x14ac:dyDescent="0.35">
      <c r="T9793" s="246">
        <f t="shared" si="191"/>
        <v>0</v>
      </c>
    </row>
    <row r="9794" spans="20:20" ht="18.75" customHeight="1" x14ac:dyDescent="0.35">
      <c r="T9794" s="246">
        <f t="shared" si="191"/>
        <v>0</v>
      </c>
    </row>
    <row r="9795" spans="20:20" ht="18.75" customHeight="1" x14ac:dyDescent="0.35">
      <c r="T9795" s="246">
        <f t="shared" si="191"/>
        <v>0</v>
      </c>
    </row>
    <row r="9796" spans="20:20" ht="18.75" customHeight="1" x14ac:dyDescent="0.35">
      <c r="T9796" s="246">
        <f t="shared" si="191"/>
        <v>0</v>
      </c>
    </row>
    <row r="9797" spans="20:20" ht="18.75" customHeight="1" x14ac:dyDescent="0.35">
      <c r="T9797" s="246">
        <f t="shared" si="191"/>
        <v>0</v>
      </c>
    </row>
    <row r="9798" spans="20:20" ht="18.75" customHeight="1" x14ac:dyDescent="0.35">
      <c r="T9798" s="246">
        <f t="shared" si="191"/>
        <v>0</v>
      </c>
    </row>
    <row r="9799" spans="20:20" ht="18.75" customHeight="1" x14ac:dyDescent="0.35">
      <c r="T9799" s="246">
        <f t="shared" si="191"/>
        <v>0</v>
      </c>
    </row>
    <row r="9800" spans="20:20" ht="18.75" customHeight="1" x14ac:dyDescent="0.35">
      <c r="T9800" s="246">
        <f t="shared" si="191"/>
        <v>0</v>
      </c>
    </row>
    <row r="9801" spans="20:20" ht="18.75" customHeight="1" x14ac:dyDescent="0.35">
      <c r="T9801" s="246">
        <f t="shared" si="191"/>
        <v>0</v>
      </c>
    </row>
    <row r="9802" spans="20:20" ht="18.75" customHeight="1" x14ac:dyDescent="0.35">
      <c r="T9802" s="246">
        <f t="shared" si="191"/>
        <v>0</v>
      </c>
    </row>
    <row r="9803" spans="20:20" ht="18.75" customHeight="1" x14ac:dyDescent="0.35">
      <c r="T9803" s="246">
        <f t="shared" si="191"/>
        <v>0</v>
      </c>
    </row>
    <row r="9804" spans="20:20" ht="18.75" customHeight="1" x14ac:dyDescent="0.35">
      <c r="T9804" s="246">
        <f t="shared" si="191"/>
        <v>0</v>
      </c>
    </row>
    <row r="9805" spans="20:20" ht="18.75" customHeight="1" x14ac:dyDescent="0.35">
      <c r="T9805" s="246">
        <f t="shared" si="191"/>
        <v>0</v>
      </c>
    </row>
    <row r="9806" spans="20:20" ht="18.75" customHeight="1" x14ac:dyDescent="0.35">
      <c r="T9806" s="246">
        <f t="shared" si="191"/>
        <v>0</v>
      </c>
    </row>
    <row r="9807" spans="20:20" ht="18.75" customHeight="1" x14ac:dyDescent="0.35">
      <c r="T9807" s="246">
        <f t="shared" si="191"/>
        <v>0</v>
      </c>
    </row>
    <row r="9808" spans="20:20" ht="18.75" customHeight="1" x14ac:dyDescent="0.35">
      <c r="T9808" s="246">
        <f t="shared" si="191"/>
        <v>0</v>
      </c>
    </row>
    <row r="9809" spans="20:20" ht="18.75" customHeight="1" x14ac:dyDescent="0.35">
      <c r="T9809" s="246">
        <f t="shared" si="191"/>
        <v>0</v>
      </c>
    </row>
    <row r="9810" spans="20:20" ht="18.75" customHeight="1" x14ac:dyDescent="0.35">
      <c r="T9810" s="246">
        <f t="shared" si="191"/>
        <v>0</v>
      </c>
    </row>
    <row r="9811" spans="20:20" ht="18.75" customHeight="1" x14ac:dyDescent="0.35">
      <c r="T9811" s="246">
        <f t="shared" si="191"/>
        <v>0</v>
      </c>
    </row>
    <row r="9812" spans="20:20" ht="18.75" customHeight="1" x14ac:dyDescent="0.35">
      <c r="T9812" s="246">
        <f t="shared" si="191"/>
        <v>0</v>
      </c>
    </row>
    <row r="9813" spans="20:20" ht="18.75" customHeight="1" x14ac:dyDescent="0.35">
      <c r="T9813" s="246">
        <f t="shared" si="191"/>
        <v>0</v>
      </c>
    </row>
    <row r="9814" spans="20:20" ht="18.75" customHeight="1" x14ac:dyDescent="0.35">
      <c r="T9814" s="246">
        <f t="shared" si="191"/>
        <v>0</v>
      </c>
    </row>
    <row r="9815" spans="20:20" ht="18.75" customHeight="1" x14ac:dyDescent="0.35">
      <c r="T9815" s="246">
        <f t="shared" si="191"/>
        <v>0</v>
      </c>
    </row>
    <row r="9816" spans="20:20" ht="18.75" customHeight="1" x14ac:dyDescent="0.35">
      <c r="T9816" s="246">
        <f t="shared" si="191"/>
        <v>0</v>
      </c>
    </row>
    <row r="9817" spans="20:20" ht="18.75" customHeight="1" x14ac:dyDescent="0.35">
      <c r="T9817" s="246">
        <f t="shared" si="191"/>
        <v>0</v>
      </c>
    </row>
    <row r="9818" spans="20:20" ht="18.75" customHeight="1" x14ac:dyDescent="0.35">
      <c r="T9818" s="246">
        <f t="shared" si="191"/>
        <v>0</v>
      </c>
    </row>
    <row r="9819" spans="20:20" ht="18.75" customHeight="1" x14ac:dyDescent="0.35">
      <c r="T9819" s="246">
        <f t="shared" si="191"/>
        <v>0</v>
      </c>
    </row>
    <row r="9820" spans="20:20" ht="18.75" customHeight="1" x14ac:dyDescent="0.35">
      <c r="T9820" s="246">
        <f t="shared" si="191"/>
        <v>0</v>
      </c>
    </row>
    <row r="9821" spans="20:20" ht="18.75" customHeight="1" x14ac:dyDescent="0.35">
      <c r="T9821" s="246">
        <f t="shared" si="191"/>
        <v>0</v>
      </c>
    </row>
    <row r="9822" spans="20:20" ht="18.75" customHeight="1" x14ac:dyDescent="0.35">
      <c r="T9822" s="246">
        <f t="shared" si="191"/>
        <v>0</v>
      </c>
    </row>
    <row r="9823" spans="20:20" ht="18.75" customHeight="1" x14ac:dyDescent="0.35">
      <c r="T9823" s="246">
        <f t="shared" si="191"/>
        <v>0</v>
      </c>
    </row>
    <row r="9824" spans="20:20" ht="18.75" customHeight="1" x14ac:dyDescent="0.35">
      <c r="T9824" s="246">
        <f t="shared" si="191"/>
        <v>0</v>
      </c>
    </row>
    <row r="9825" spans="20:20" ht="18.75" customHeight="1" x14ac:dyDescent="0.35">
      <c r="T9825" s="246">
        <f t="shared" si="191"/>
        <v>0</v>
      </c>
    </row>
    <row r="9826" spans="20:20" ht="18.75" customHeight="1" x14ac:dyDescent="0.35">
      <c r="T9826" s="246">
        <f t="shared" si="191"/>
        <v>0</v>
      </c>
    </row>
    <row r="9827" spans="20:20" ht="18.75" customHeight="1" x14ac:dyDescent="0.35">
      <c r="T9827" s="246">
        <f t="shared" si="191"/>
        <v>0</v>
      </c>
    </row>
    <row r="9828" spans="20:20" ht="18.75" customHeight="1" x14ac:dyDescent="0.35">
      <c r="T9828" s="246">
        <f t="shared" si="191"/>
        <v>0</v>
      </c>
    </row>
    <row r="9829" spans="20:20" ht="18.75" customHeight="1" x14ac:dyDescent="0.35">
      <c r="T9829" s="246">
        <f t="shared" si="191"/>
        <v>0</v>
      </c>
    </row>
    <row r="9830" spans="20:20" ht="18.75" customHeight="1" x14ac:dyDescent="0.35">
      <c r="T9830" s="246">
        <f t="shared" si="191"/>
        <v>0</v>
      </c>
    </row>
    <row r="9831" spans="20:20" ht="18.75" customHeight="1" x14ac:dyDescent="0.35">
      <c r="T9831" s="246">
        <f t="shared" si="191"/>
        <v>0</v>
      </c>
    </row>
    <row r="9832" spans="20:20" ht="18.75" customHeight="1" x14ac:dyDescent="0.35">
      <c r="T9832" s="246">
        <f t="shared" si="191"/>
        <v>0</v>
      </c>
    </row>
    <row r="9833" spans="20:20" ht="18.75" customHeight="1" x14ac:dyDescent="0.35">
      <c r="T9833" s="246">
        <f t="shared" si="191"/>
        <v>0</v>
      </c>
    </row>
    <row r="9834" spans="20:20" ht="18.75" customHeight="1" x14ac:dyDescent="0.35">
      <c r="T9834" s="246">
        <f t="shared" si="191"/>
        <v>0</v>
      </c>
    </row>
    <row r="9835" spans="20:20" ht="18.75" customHeight="1" x14ac:dyDescent="0.35">
      <c r="T9835" s="246">
        <f t="shared" si="191"/>
        <v>0</v>
      </c>
    </row>
    <row r="9836" spans="20:20" ht="18.75" customHeight="1" x14ac:dyDescent="0.35">
      <c r="T9836" s="246">
        <f t="shared" si="191"/>
        <v>0</v>
      </c>
    </row>
    <row r="9837" spans="20:20" ht="18.75" customHeight="1" x14ac:dyDescent="0.35">
      <c r="T9837" s="246">
        <f t="shared" si="191"/>
        <v>0</v>
      </c>
    </row>
    <row r="9838" spans="20:20" ht="18.75" customHeight="1" x14ac:dyDescent="0.35">
      <c r="T9838" s="246">
        <f t="shared" si="191"/>
        <v>0</v>
      </c>
    </row>
    <row r="9839" spans="20:20" ht="18.75" customHeight="1" x14ac:dyDescent="0.35">
      <c r="T9839" s="246">
        <f t="shared" si="191"/>
        <v>0</v>
      </c>
    </row>
    <row r="9840" spans="20:20" ht="18.75" customHeight="1" x14ac:dyDescent="0.35">
      <c r="T9840" s="246">
        <f t="shared" si="191"/>
        <v>0</v>
      </c>
    </row>
    <row r="9841" spans="20:20" ht="18.75" customHeight="1" x14ac:dyDescent="0.35">
      <c r="T9841" s="246">
        <f t="shared" si="191"/>
        <v>0</v>
      </c>
    </row>
    <row r="9842" spans="20:20" ht="18.75" customHeight="1" x14ac:dyDescent="0.35">
      <c r="T9842" s="246">
        <f t="shared" si="191"/>
        <v>0</v>
      </c>
    </row>
    <row r="9843" spans="20:20" ht="18.75" customHeight="1" x14ac:dyDescent="0.35">
      <c r="T9843" s="246">
        <f t="shared" si="191"/>
        <v>0</v>
      </c>
    </row>
    <row r="9844" spans="20:20" ht="18.75" customHeight="1" x14ac:dyDescent="0.35">
      <c r="T9844" s="246">
        <f t="shared" si="191"/>
        <v>0</v>
      </c>
    </row>
    <row r="9845" spans="20:20" ht="18.75" customHeight="1" x14ac:dyDescent="0.35">
      <c r="T9845" s="246">
        <f t="shared" si="191"/>
        <v>0</v>
      </c>
    </row>
    <row r="9846" spans="20:20" ht="18.75" customHeight="1" x14ac:dyDescent="0.35">
      <c r="T9846" s="246">
        <f t="shared" si="191"/>
        <v>0</v>
      </c>
    </row>
    <row r="9847" spans="20:20" ht="18.75" customHeight="1" x14ac:dyDescent="0.35">
      <c r="T9847" s="246">
        <f t="shared" si="191"/>
        <v>0</v>
      </c>
    </row>
    <row r="9848" spans="20:20" ht="18.75" customHeight="1" x14ac:dyDescent="0.35">
      <c r="T9848" s="246">
        <f t="shared" si="191"/>
        <v>0</v>
      </c>
    </row>
    <row r="9849" spans="20:20" ht="18.75" customHeight="1" x14ac:dyDescent="0.35">
      <c r="T9849" s="246">
        <f t="shared" si="191"/>
        <v>0</v>
      </c>
    </row>
    <row r="9850" spans="20:20" ht="18.75" customHeight="1" x14ac:dyDescent="0.35">
      <c r="T9850" s="246">
        <f t="shared" si="191"/>
        <v>0</v>
      </c>
    </row>
    <row r="9851" spans="20:20" ht="18.75" customHeight="1" x14ac:dyDescent="0.35">
      <c r="T9851" s="246">
        <f t="shared" si="191"/>
        <v>0</v>
      </c>
    </row>
    <row r="9852" spans="20:20" ht="18.75" customHeight="1" x14ac:dyDescent="0.35">
      <c r="T9852" s="246">
        <f t="shared" ref="T9852:T9915" si="192">R9852*0.01</f>
        <v>0</v>
      </c>
    </row>
    <row r="9853" spans="20:20" ht="18.75" customHeight="1" x14ac:dyDescent="0.35">
      <c r="T9853" s="246">
        <f t="shared" si="192"/>
        <v>0</v>
      </c>
    </row>
    <row r="9854" spans="20:20" ht="18.75" customHeight="1" x14ac:dyDescent="0.35">
      <c r="T9854" s="246">
        <f t="shared" si="192"/>
        <v>0</v>
      </c>
    </row>
    <row r="9855" spans="20:20" ht="18.75" customHeight="1" x14ac:dyDescent="0.35">
      <c r="T9855" s="246">
        <f t="shared" si="192"/>
        <v>0</v>
      </c>
    </row>
    <row r="9856" spans="20:20" ht="18.75" customHeight="1" x14ac:dyDescent="0.35">
      <c r="T9856" s="246">
        <f t="shared" si="192"/>
        <v>0</v>
      </c>
    </row>
    <row r="9857" spans="20:20" ht="18.75" customHeight="1" x14ac:dyDescent="0.35">
      <c r="T9857" s="246">
        <f t="shared" si="192"/>
        <v>0</v>
      </c>
    </row>
    <row r="9858" spans="20:20" ht="18.75" customHeight="1" x14ac:dyDescent="0.35">
      <c r="T9858" s="246">
        <f t="shared" si="192"/>
        <v>0</v>
      </c>
    </row>
    <row r="9859" spans="20:20" ht="18.75" customHeight="1" x14ac:dyDescent="0.35">
      <c r="T9859" s="246">
        <f t="shared" si="192"/>
        <v>0</v>
      </c>
    </row>
    <row r="9860" spans="20:20" ht="18.75" customHeight="1" x14ac:dyDescent="0.35">
      <c r="T9860" s="246">
        <f t="shared" si="192"/>
        <v>0</v>
      </c>
    </row>
    <row r="9861" spans="20:20" ht="18.75" customHeight="1" x14ac:dyDescent="0.35">
      <c r="T9861" s="246">
        <f t="shared" si="192"/>
        <v>0</v>
      </c>
    </row>
    <row r="9862" spans="20:20" ht="18.75" customHeight="1" x14ac:dyDescent="0.35">
      <c r="T9862" s="246">
        <f t="shared" si="192"/>
        <v>0</v>
      </c>
    </row>
    <row r="9863" spans="20:20" ht="18.75" customHeight="1" x14ac:dyDescent="0.35">
      <c r="T9863" s="246">
        <f t="shared" si="192"/>
        <v>0</v>
      </c>
    </row>
    <row r="9864" spans="20:20" ht="18.75" customHeight="1" x14ac:dyDescent="0.35">
      <c r="T9864" s="246">
        <f t="shared" si="192"/>
        <v>0</v>
      </c>
    </row>
    <row r="9865" spans="20:20" ht="18.75" customHeight="1" x14ac:dyDescent="0.35">
      <c r="T9865" s="246">
        <f t="shared" si="192"/>
        <v>0</v>
      </c>
    </row>
    <row r="9866" spans="20:20" ht="18.75" customHeight="1" x14ac:dyDescent="0.35">
      <c r="T9866" s="246">
        <f t="shared" si="192"/>
        <v>0</v>
      </c>
    </row>
    <row r="9867" spans="20:20" ht="18.75" customHeight="1" x14ac:dyDescent="0.35">
      <c r="T9867" s="246">
        <f t="shared" si="192"/>
        <v>0</v>
      </c>
    </row>
    <row r="9868" spans="20:20" ht="18.75" customHeight="1" x14ac:dyDescent="0.35">
      <c r="T9868" s="246">
        <f t="shared" si="192"/>
        <v>0</v>
      </c>
    </row>
    <row r="9869" spans="20:20" ht="18.75" customHeight="1" x14ac:dyDescent="0.35">
      <c r="T9869" s="246">
        <f t="shared" si="192"/>
        <v>0</v>
      </c>
    </row>
    <row r="9870" spans="20:20" ht="18.75" customHeight="1" x14ac:dyDescent="0.35">
      <c r="T9870" s="246">
        <f t="shared" si="192"/>
        <v>0</v>
      </c>
    </row>
    <row r="9871" spans="20:20" ht="18.75" customHeight="1" x14ac:dyDescent="0.35">
      <c r="T9871" s="246">
        <f t="shared" si="192"/>
        <v>0</v>
      </c>
    </row>
    <row r="9872" spans="20:20" ht="18.75" customHeight="1" x14ac:dyDescent="0.35">
      <c r="T9872" s="246">
        <f t="shared" si="192"/>
        <v>0</v>
      </c>
    </row>
    <row r="9873" spans="20:20" ht="18.75" customHeight="1" x14ac:dyDescent="0.35">
      <c r="T9873" s="246">
        <f t="shared" si="192"/>
        <v>0</v>
      </c>
    </row>
    <row r="9874" spans="20:20" ht="18.75" customHeight="1" x14ac:dyDescent="0.35">
      <c r="T9874" s="246">
        <f t="shared" si="192"/>
        <v>0</v>
      </c>
    </row>
    <row r="9875" spans="20:20" ht="18.75" customHeight="1" x14ac:dyDescent="0.35">
      <c r="T9875" s="246">
        <f t="shared" si="192"/>
        <v>0</v>
      </c>
    </row>
    <row r="9876" spans="20:20" ht="18.75" customHeight="1" x14ac:dyDescent="0.35">
      <c r="T9876" s="246">
        <f t="shared" si="192"/>
        <v>0</v>
      </c>
    </row>
    <row r="9877" spans="20:20" ht="18.75" customHeight="1" x14ac:dyDescent="0.35">
      <c r="T9877" s="246">
        <f t="shared" si="192"/>
        <v>0</v>
      </c>
    </row>
    <row r="9878" spans="20:20" ht="18.75" customHeight="1" x14ac:dyDescent="0.35">
      <c r="T9878" s="246">
        <f t="shared" si="192"/>
        <v>0</v>
      </c>
    </row>
    <row r="9879" spans="20:20" ht="18.75" customHeight="1" x14ac:dyDescent="0.35">
      <c r="T9879" s="246">
        <f t="shared" si="192"/>
        <v>0</v>
      </c>
    </row>
    <row r="9880" spans="20:20" ht="18.75" customHeight="1" x14ac:dyDescent="0.35">
      <c r="T9880" s="246">
        <f t="shared" si="192"/>
        <v>0</v>
      </c>
    </row>
    <row r="9881" spans="20:20" ht="18.75" customHeight="1" x14ac:dyDescent="0.35">
      <c r="T9881" s="246">
        <f t="shared" si="192"/>
        <v>0</v>
      </c>
    </row>
    <row r="9882" spans="20:20" ht="18.75" customHeight="1" x14ac:dyDescent="0.35">
      <c r="T9882" s="246">
        <f t="shared" si="192"/>
        <v>0</v>
      </c>
    </row>
    <row r="9883" spans="20:20" ht="18.75" customHeight="1" x14ac:dyDescent="0.35">
      <c r="T9883" s="246">
        <f t="shared" si="192"/>
        <v>0</v>
      </c>
    </row>
    <row r="9884" spans="20:20" ht="18.75" customHeight="1" x14ac:dyDescent="0.35">
      <c r="T9884" s="246">
        <f t="shared" si="192"/>
        <v>0</v>
      </c>
    </row>
    <row r="9885" spans="20:20" ht="18.75" customHeight="1" x14ac:dyDescent="0.35">
      <c r="T9885" s="246">
        <f t="shared" si="192"/>
        <v>0</v>
      </c>
    </row>
    <row r="9886" spans="20:20" ht="18.75" customHeight="1" x14ac:dyDescent="0.35">
      <c r="T9886" s="246">
        <f t="shared" si="192"/>
        <v>0</v>
      </c>
    </row>
    <row r="9887" spans="20:20" ht="18.75" customHeight="1" x14ac:dyDescent="0.35">
      <c r="T9887" s="246">
        <f t="shared" si="192"/>
        <v>0</v>
      </c>
    </row>
    <row r="9888" spans="20:20" ht="18.75" customHeight="1" x14ac:dyDescent="0.35">
      <c r="T9888" s="246">
        <f t="shared" si="192"/>
        <v>0</v>
      </c>
    </row>
    <row r="9889" spans="20:20" ht="18.75" customHeight="1" x14ac:dyDescent="0.35">
      <c r="T9889" s="246">
        <f t="shared" si="192"/>
        <v>0</v>
      </c>
    </row>
    <row r="9890" spans="20:20" ht="18.75" customHeight="1" x14ac:dyDescent="0.35">
      <c r="T9890" s="246">
        <f t="shared" si="192"/>
        <v>0</v>
      </c>
    </row>
    <row r="9891" spans="20:20" ht="18.75" customHeight="1" x14ac:dyDescent="0.35">
      <c r="T9891" s="246">
        <f t="shared" si="192"/>
        <v>0</v>
      </c>
    </row>
    <row r="9892" spans="20:20" ht="18.75" customHeight="1" x14ac:dyDescent="0.35">
      <c r="T9892" s="246">
        <f t="shared" si="192"/>
        <v>0</v>
      </c>
    </row>
    <row r="9893" spans="20:20" ht="18.75" customHeight="1" x14ac:dyDescent="0.35">
      <c r="T9893" s="246">
        <f t="shared" si="192"/>
        <v>0</v>
      </c>
    </row>
    <row r="9894" spans="20:20" ht="18.75" customHeight="1" x14ac:dyDescent="0.35">
      <c r="T9894" s="246">
        <f t="shared" si="192"/>
        <v>0</v>
      </c>
    </row>
    <row r="9895" spans="20:20" ht="18.75" customHeight="1" x14ac:dyDescent="0.35">
      <c r="T9895" s="246">
        <f t="shared" si="192"/>
        <v>0</v>
      </c>
    </row>
    <row r="9896" spans="20:20" ht="18.75" customHeight="1" x14ac:dyDescent="0.35">
      <c r="T9896" s="246">
        <f t="shared" si="192"/>
        <v>0</v>
      </c>
    </row>
    <row r="9897" spans="20:20" ht="18.75" customHeight="1" x14ac:dyDescent="0.35">
      <c r="T9897" s="246">
        <f t="shared" si="192"/>
        <v>0</v>
      </c>
    </row>
    <row r="9898" spans="20:20" ht="18.75" customHeight="1" x14ac:dyDescent="0.35">
      <c r="T9898" s="246">
        <f t="shared" si="192"/>
        <v>0</v>
      </c>
    </row>
    <row r="9899" spans="20:20" ht="18.75" customHeight="1" x14ac:dyDescent="0.35">
      <c r="T9899" s="246">
        <f t="shared" si="192"/>
        <v>0</v>
      </c>
    </row>
    <row r="9900" spans="20:20" ht="18.75" customHeight="1" x14ac:dyDescent="0.35">
      <c r="T9900" s="246">
        <f t="shared" si="192"/>
        <v>0</v>
      </c>
    </row>
    <row r="9901" spans="20:20" ht="18.75" customHeight="1" x14ac:dyDescent="0.35">
      <c r="T9901" s="246">
        <f t="shared" si="192"/>
        <v>0</v>
      </c>
    </row>
    <row r="9902" spans="20:20" ht="18.75" customHeight="1" x14ac:dyDescent="0.35">
      <c r="T9902" s="246">
        <f t="shared" si="192"/>
        <v>0</v>
      </c>
    </row>
    <row r="9903" spans="20:20" ht="18.75" customHeight="1" x14ac:dyDescent="0.35">
      <c r="T9903" s="246">
        <f t="shared" si="192"/>
        <v>0</v>
      </c>
    </row>
    <row r="9904" spans="20:20" ht="18.75" customHeight="1" x14ac:dyDescent="0.35">
      <c r="T9904" s="246">
        <f t="shared" si="192"/>
        <v>0</v>
      </c>
    </row>
    <row r="9905" spans="20:20" ht="18.75" customHeight="1" x14ac:dyDescent="0.35">
      <c r="T9905" s="246">
        <f t="shared" si="192"/>
        <v>0</v>
      </c>
    </row>
    <row r="9906" spans="20:20" ht="18.75" customHeight="1" x14ac:dyDescent="0.35">
      <c r="T9906" s="246">
        <f t="shared" si="192"/>
        <v>0</v>
      </c>
    </row>
    <row r="9907" spans="20:20" ht="18.75" customHeight="1" x14ac:dyDescent="0.35">
      <c r="T9907" s="246">
        <f t="shared" si="192"/>
        <v>0</v>
      </c>
    </row>
    <row r="9908" spans="20:20" ht="18.75" customHeight="1" x14ac:dyDescent="0.35">
      <c r="T9908" s="246">
        <f t="shared" si="192"/>
        <v>0</v>
      </c>
    </row>
    <row r="9909" spans="20:20" ht="18.75" customHeight="1" x14ac:dyDescent="0.35">
      <c r="T9909" s="246">
        <f t="shared" si="192"/>
        <v>0</v>
      </c>
    </row>
    <row r="9910" spans="20:20" ht="18.75" customHeight="1" x14ac:dyDescent="0.35">
      <c r="T9910" s="246">
        <f t="shared" si="192"/>
        <v>0</v>
      </c>
    </row>
    <row r="9911" spans="20:20" ht="18.75" customHeight="1" x14ac:dyDescent="0.35">
      <c r="T9911" s="246">
        <f t="shared" si="192"/>
        <v>0</v>
      </c>
    </row>
    <row r="9912" spans="20:20" ht="18.75" customHeight="1" x14ac:dyDescent="0.35">
      <c r="T9912" s="246">
        <f t="shared" si="192"/>
        <v>0</v>
      </c>
    </row>
    <row r="9913" spans="20:20" ht="18.75" customHeight="1" x14ac:dyDescent="0.35">
      <c r="T9913" s="246">
        <f t="shared" si="192"/>
        <v>0</v>
      </c>
    </row>
    <row r="9914" spans="20:20" ht="18.75" customHeight="1" x14ac:dyDescent="0.35">
      <c r="T9914" s="246">
        <f t="shared" si="192"/>
        <v>0</v>
      </c>
    </row>
    <row r="9915" spans="20:20" ht="18.75" customHeight="1" x14ac:dyDescent="0.35">
      <c r="T9915" s="246">
        <f t="shared" si="192"/>
        <v>0</v>
      </c>
    </row>
    <row r="9916" spans="20:20" ht="18.75" customHeight="1" x14ac:dyDescent="0.35">
      <c r="T9916" s="246">
        <f t="shared" ref="T9916:T9979" si="193">R9916*0.01</f>
        <v>0</v>
      </c>
    </row>
    <row r="9917" spans="20:20" ht="18.75" customHeight="1" x14ac:dyDescent="0.35">
      <c r="T9917" s="246">
        <f t="shared" si="193"/>
        <v>0</v>
      </c>
    </row>
    <row r="9918" spans="20:20" ht="18.75" customHeight="1" x14ac:dyDescent="0.35">
      <c r="T9918" s="246">
        <f t="shared" si="193"/>
        <v>0</v>
      </c>
    </row>
    <row r="9919" spans="20:20" ht="18.75" customHeight="1" x14ac:dyDescent="0.35">
      <c r="T9919" s="246">
        <f t="shared" si="193"/>
        <v>0</v>
      </c>
    </row>
    <row r="9920" spans="20:20" ht="18.75" customHeight="1" x14ac:dyDescent="0.35">
      <c r="T9920" s="246">
        <f t="shared" si="193"/>
        <v>0</v>
      </c>
    </row>
    <row r="9921" spans="20:20" ht="18.75" customHeight="1" x14ac:dyDescent="0.35">
      <c r="T9921" s="246">
        <f t="shared" si="193"/>
        <v>0</v>
      </c>
    </row>
    <row r="9922" spans="20:20" ht="18.75" customHeight="1" x14ac:dyDescent="0.35">
      <c r="T9922" s="246">
        <f t="shared" si="193"/>
        <v>0</v>
      </c>
    </row>
    <row r="9923" spans="20:20" ht="18.75" customHeight="1" x14ac:dyDescent="0.35">
      <c r="T9923" s="246">
        <f t="shared" si="193"/>
        <v>0</v>
      </c>
    </row>
    <row r="9924" spans="20:20" ht="18.75" customHeight="1" x14ac:dyDescent="0.35">
      <c r="T9924" s="246">
        <f t="shared" si="193"/>
        <v>0</v>
      </c>
    </row>
    <row r="9925" spans="20:20" ht="18.75" customHeight="1" x14ac:dyDescent="0.35">
      <c r="T9925" s="246">
        <f t="shared" si="193"/>
        <v>0</v>
      </c>
    </row>
    <row r="9926" spans="20:20" ht="18.75" customHeight="1" x14ac:dyDescent="0.35">
      <c r="T9926" s="246">
        <f t="shared" si="193"/>
        <v>0</v>
      </c>
    </row>
    <row r="9927" spans="20:20" ht="18.75" customHeight="1" x14ac:dyDescent="0.35">
      <c r="T9927" s="246">
        <f t="shared" si="193"/>
        <v>0</v>
      </c>
    </row>
    <row r="9928" spans="20:20" ht="18.75" customHeight="1" x14ac:dyDescent="0.35">
      <c r="T9928" s="246">
        <f t="shared" si="193"/>
        <v>0</v>
      </c>
    </row>
    <row r="9929" spans="20:20" ht="18.75" customHeight="1" x14ac:dyDescent="0.35">
      <c r="T9929" s="246">
        <f t="shared" si="193"/>
        <v>0</v>
      </c>
    </row>
    <row r="9930" spans="20:20" ht="18.75" customHeight="1" x14ac:dyDescent="0.35">
      <c r="T9930" s="246">
        <f t="shared" si="193"/>
        <v>0</v>
      </c>
    </row>
    <row r="9931" spans="20:20" ht="18.75" customHeight="1" x14ac:dyDescent="0.35">
      <c r="T9931" s="246">
        <f t="shared" si="193"/>
        <v>0</v>
      </c>
    </row>
    <row r="9932" spans="20:20" ht="18.75" customHeight="1" x14ac:dyDescent="0.35">
      <c r="T9932" s="246">
        <f t="shared" si="193"/>
        <v>0</v>
      </c>
    </row>
    <row r="9933" spans="20:20" ht="18.75" customHeight="1" x14ac:dyDescent="0.35">
      <c r="T9933" s="246">
        <f t="shared" si="193"/>
        <v>0</v>
      </c>
    </row>
    <row r="9934" spans="20:20" ht="18.75" customHeight="1" x14ac:dyDescent="0.35">
      <c r="T9934" s="246">
        <f t="shared" si="193"/>
        <v>0</v>
      </c>
    </row>
    <row r="9935" spans="20:20" ht="18.75" customHeight="1" x14ac:dyDescent="0.35">
      <c r="T9935" s="246">
        <f t="shared" si="193"/>
        <v>0</v>
      </c>
    </row>
    <row r="9936" spans="20:20" ht="18.75" customHeight="1" x14ac:dyDescent="0.35">
      <c r="T9936" s="246">
        <f t="shared" si="193"/>
        <v>0</v>
      </c>
    </row>
    <row r="9937" spans="20:20" ht="18.75" customHeight="1" x14ac:dyDescent="0.35">
      <c r="T9937" s="246">
        <f t="shared" si="193"/>
        <v>0</v>
      </c>
    </row>
    <row r="9938" spans="20:20" ht="18.75" customHeight="1" x14ac:dyDescent="0.35">
      <c r="T9938" s="246">
        <f t="shared" si="193"/>
        <v>0</v>
      </c>
    </row>
    <row r="9939" spans="20:20" ht="18.75" customHeight="1" x14ac:dyDescent="0.35">
      <c r="T9939" s="246">
        <f t="shared" si="193"/>
        <v>0</v>
      </c>
    </row>
    <row r="9940" spans="20:20" ht="18.75" customHeight="1" x14ac:dyDescent="0.35">
      <c r="T9940" s="246">
        <f t="shared" si="193"/>
        <v>0</v>
      </c>
    </row>
    <row r="9941" spans="20:20" ht="18.75" customHeight="1" x14ac:dyDescent="0.35">
      <c r="T9941" s="246">
        <f t="shared" si="193"/>
        <v>0</v>
      </c>
    </row>
    <row r="9942" spans="20:20" ht="18.75" customHeight="1" x14ac:dyDescent="0.35">
      <c r="T9942" s="246">
        <f t="shared" si="193"/>
        <v>0</v>
      </c>
    </row>
    <row r="9943" spans="20:20" ht="18.75" customHeight="1" x14ac:dyDescent="0.35">
      <c r="T9943" s="246">
        <f t="shared" si="193"/>
        <v>0</v>
      </c>
    </row>
    <row r="9944" spans="20:20" ht="18.75" customHeight="1" x14ac:dyDescent="0.35">
      <c r="T9944" s="246">
        <f t="shared" si="193"/>
        <v>0</v>
      </c>
    </row>
    <row r="9945" spans="20:20" ht="18.75" customHeight="1" x14ac:dyDescent="0.35">
      <c r="T9945" s="246">
        <f t="shared" si="193"/>
        <v>0</v>
      </c>
    </row>
    <row r="9946" spans="20:20" ht="18.75" customHeight="1" x14ac:dyDescent="0.35">
      <c r="T9946" s="246">
        <f t="shared" si="193"/>
        <v>0</v>
      </c>
    </row>
    <row r="9947" spans="20:20" ht="18.75" customHeight="1" x14ac:dyDescent="0.35">
      <c r="T9947" s="246">
        <f t="shared" si="193"/>
        <v>0</v>
      </c>
    </row>
    <row r="9948" spans="20:20" ht="18.75" customHeight="1" x14ac:dyDescent="0.35">
      <c r="T9948" s="246">
        <f t="shared" si="193"/>
        <v>0</v>
      </c>
    </row>
    <row r="9949" spans="20:20" ht="18.75" customHeight="1" x14ac:dyDescent="0.35">
      <c r="T9949" s="246">
        <f t="shared" si="193"/>
        <v>0</v>
      </c>
    </row>
    <row r="9950" spans="20:20" ht="18.75" customHeight="1" x14ac:dyDescent="0.35">
      <c r="T9950" s="246">
        <f t="shared" si="193"/>
        <v>0</v>
      </c>
    </row>
    <row r="9951" spans="20:20" ht="18.75" customHeight="1" x14ac:dyDescent="0.35">
      <c r="T9951" s="246">
        <f t="shared" si="193"/>
        <v>0</v>
      </c>
    </row>
    <row r="9952" spans="20:20" ht="18.75" customHeight="1" x14ac:dyDescent="0.35">
      <c r="T9952" s="246">
        <f t="shared" si="193"/>
        <v>0</v>
      </c>
    </row>
    <row r="9953" spans="20:20" ht="18.75" customHeight="1" x14ac:dyDescent="0.35">
      <c r="T9953" s="246">
        <f t="shared" si="193"/>
        <v>0</v>
      </c>
    </row>
    <row r="9954" spans="20:20" ht="18.75" customHeight="1" x14ac:dyDescent="0.35">
      <c r="T9954" s="246">
        <f t="shared" si="193"/>
        <v>0</v>
      </c>
    </row>
    <row r="9955" spans="20:20" ht="18.75" customHeight="1" x14ac:dyDescent="0.35">
      <c r="T9955" s="246">
        <f t="shared" si="193"/>
        <v>0</v>
      </c>
    </row>
    <row r="9956" spans="20:20" ht="18.75" customHeight="1" x14ac:dyDescent="0.35">
      <c r="T9956" s="246">
        <f t="shared" si="193"/>
        <v>0</v>
      </c>
    </row>
    <row r="9957" spans="20:20" ht="18.75" customHeight="1" x14ac:dyDescent="0.35">
      <c r="T9957" s="246">
        <f t="shared" si="193"/>
        <v>0</v>
      </c>
    </row>
    <row r="9958" spans="20:20" ht="18.75" customHeight="1" x14ac:dyDescent="0.35">
      <c r="T9958" s="246">
        <f t="shared" si="193"/>
        <v>0</v>
      </c>
    </row>
    <row r="9959" spans="20:20" ht="18.75" customHeight="1" x14ac:dyDescent="0.35">
      <c r="T9959" s="246">
        <f t="shared" si="193"/>
        <v>0</v>
      </c>
    </row>
    <row r="9960" spans="20:20" ht="18.75" customHeight="1" x14ac:dyDescent="0.35">
      <c r="T9960" s="246">
        <f t="shared" si="193"/>
        <v>0</v>
      </c>
    </row>
    <row r="9961" spans="20:20" ht="18.75" customHeight="1" x14ac:dyDescent="0.35">
      <c r="T9961" s="246">
        <f t="shared" si="193"/>
        <v>0</v>
      </c>
    </row>
    <row r="9962" spans="20:20" ht="18.75" customHeight="1" x14ac:dyDescent="0.35">
      <c r="T9962" s="246">
        <f t="shared" si="193"/>
        <v>0</v>
      </c>
    </row>
    <row r="9963" spans="20:20" ht="18.75" customHeight="1" x14ac:dyDescent="0.35">
      <c r="T9963" s="246">
        <f t="shared" si="193"/>
        <v>0</v>
      </c>
    </row>
    <row r="9964" spans="20:20" ht="18.75" customHeight="1" x14ac:dyDescent="0.35">
      <c r="T9964" s="246">
        <f t="shared" si="193"/>
        <v>0</v>
      </c>
    </row>
    <row r="9965" spans="20:20" ht="18.75" customHeight="1" x14ac:dyDescent="0.35">
      <c r="T9965" s="246">
        <f t="shared" si="193"/>
        <v>0</v>
      </c>
    </row>
    <row r="9966" spans="20:20" ht="18.75" customHeight="1" x14ac:dyDescent="0.35">
      <c r="T9966" s="246">
        <f t="shared" si="193"/>
        <v>0</v>
      </c>
    </row>
    <row r="9967" spans="20:20" ht="18.75" customHeight="1" x14ac:dyDescent="0.35">
      <c r="T9967" s="246">
        <f t="shared" si="193"/>
        <v>0</v>
      </c>
    </row>
    <row r="9968" spans="20:20" ht="18.75" customHeight="1" x14ac:dyDescent="0.35">
      <c r="T9968" s="246">
        <f t="shared" si="193"/>
        <v>0</v>
      </c>
    </row>
    <row r="9969" spans="20:20" ht="18.75" customHeight="1" x14ac:dyDescent="0.35">
      <c r="T9969" s="246">
        <f t="shared" si="193"/>
        <v>0</v>
      </c>
    </row>
    <row r="9970" spans="20:20" ht="18.75" customHeight="1" x14ac:dyDescent="0.35">
      <c r="T9970" s="246">
        <f t="shared" si="193"/>
        <v>0</v>
      </c>
    </row>
    <row r="9971" spans="20:20" ht="18.75" customHeight="1" x14ac:dyDescent="0.35">
      <c r="T9971" s="246">
        <f t="shared" si="193"/>
        <v>0</v>
      </c>
    </row>
    <row r="9972" spans="20:20" ht="18.75" customHeight="1" x14ac:dyDescent="0.35">
      <c r="T9972" s="246">
        <f t="shared" si="193"/>
        <v>0</v>
      </c>
    </row>
    <row r="9973" spans="20:20" ht="18.75" customHeight="1" x14ac:dyDescent="0.35">
      <c r="T9973" s="246">
        <f t="shared" si="193"/>
        <v>0</v>
      </c>
    </row>
    <row r="9974" spans="20:20" ht="18.75" customHeight="1" x14ac:dyDescent="0.35">
      <c r="T9974" s="246">
        <f t="shared" si="193"/>
        <v>0</v>
      </c>
    </row>
    <row r="9975" spans="20:20" ht="18.75" customHeight="1" x14ac:dyDescent="0.35">
      <c r="T9975" s="246">
        <f t="shared" si="193"/>
        <v>0</v>
      </c>
    </row>
    <row r="9976" spans="20:20" ht="18.75" customHeight="1" x14ac:dyDescent="0.35">
      <c r="T9976" s="246">
        <f t="shared" si="193"/>
        <v>0</v>
      </c>
    </row>
    <row r="9977" spans="20:20" ht="18.75" customHeight="1" x14ac:dyDescent="0.35">
      <c r="T9977" s="246">
        <f t="shared" si="193"/>
        <v>0</v>
      </c>
    </row>
    <row r="9978" spans="20:20" ht="18.75" customHeight="1" x14ac:dyDescent="0.35">
      <c r="T9978" s="246">
        <f t="shared" si="193"/>
        <v>0</v>
      </c>
    </row>
    <row r="9979" spans="20:20" ht="18.75" customHeight="1" x14ac:dyDescent="0.35">
      <c r="T9979" s="246">
        <f t="shared" si="193"/>
        <v>0</v>
      </c>
    </row>
    <row r="9980" spans="20:20" ht="18.75" customHeight="1" x14ac:dyDescent="0.35">
      <c r="T9980" s="246">
        <f t="shared" ref="T9980:T10043" si="194">R9980*0.01</f>
        <v>0</v>
      </c>
    </row>
    <row r="9981" spans="20:20" ht="18.75" customHeight="1" x14ac:dyDescent="0.35">
      <c r="T9981" s="246">
        <f t="shared" si="194"/>
        <v>0</v>
      </c>
    </row>
    <row r="9982" spans="20:20" ht="18.75" customHeight="1" x14ac:dyDescent="0.35">
      <c r="T9982" s="246">
        <f t="shared" si="194"/>
        <v>0</v>
      </c>
    </row>
    <row r="9983" spans="20:20" ht="18.75" customHeight="1" x14ac:dyDescent="0.35">
      <c r="T9983" s="246">
        <f t="shared" si="194"/>
        <v>0</v>
      </c>
    </row>
    <row r="9984" spans="20:20" ht="18.75" customHeight="1" x14ac:dyDescent="0.35">
      <c r="T9984" s="246">
        <f t="shared" si="194"/>
        <v>0</v>
      </c>
    </row>
    <row r="9985" spans="20:20" ht="18.75" customHeight="1" x14ac:dyDescent="0.35">
      <c r="T9985" s="246">
        <f t="shared" si="194"/>
        <v>0</v>
      </c>
    </row>
    <row r="9986" spans="20:20" ht="18.75" customHeight="1" x14ac:dyDescent="0.35">
      <c r="T9986" s="246">
        <f t="shared" si="194"/>
        <v>0</v>
      </c>
    </row>
    <row r="9987" spans="20:20" ht="18.75" customHeight="1" x14ac:dyDescent="0.35">
      <c r="T9987" s="246">
        <f t="shared" si="194"/>
        <v>0</v>
      </c>
    </row>
    <row r="9988" spans="20:20" ht="18.75" customHeight="1" x14ac:dyDescent="0.35">
      <c r="T9988" s="246">
        <f t="shared" si="194"/>
        <v>0</v>
      </c>
    </row>
    <row r="9989" spans="20:20" ht="18.75" customHeight="1" x14ac:dyDescent="0.35">
      <c r="T9989" s="246">
        <f t="shared" si="194"/>
        <v>0</v>
      </c>
    </row>
    <row r="9990" spans="20:20" ht="18.75" customHeight="1" x14ac:dyDescent="0.35">
      <c r="T9990" s="246">
        <f t="shared" si="194"/>
        <v>0</v>
      </c>
    </row>
    <row r="9991" spans="20:20" ht="18.75" customHeight="1" x14ac:dyDescent="0.35">
      <c r="T9991" s="246">
        <f t="shared" si="194"/>
        <v>0</v>
      </c>
    </row>
    <row r="9992" spans="20:20" ht="18.75" customHeight="1" x14ac:dyDescent="0.35">
      <c r="T9992" s="246">
        <f t="shared" si="194"/>
        <v>0</v>
      </c>
    </row>
    <row r="9993" spans="20:20" ht="18.75" customHeight="1" x14ac:dyDescent="0.35">
      <c r="T9993" s="246">
        <f t="shared" si="194"/>
        <v>0</v>
      </c>
    </row>
    <row r="9994" spans="20:20" ht="18.75" customHeight="1" x14ac:dyDescent="0.35">
      <c r="T9994" s="246">
        <f t="shared" si="194"/>
        <v>0</v>
      </c>
    </row>
    <row r="9995" spans="20:20" ht="18.75" customHeight="1" x14ac:dyDescent="0.35">
      <c r="T9995" s="246">
        <f t="shared" si="194"/>
        <v>0</v>
      </c>
    </row>
    <row r="9996" spans="20:20" ht="18.75" customHeight="1" x14ac:dyDescent="0.35">
      <c r="T9996" s="246">
        <f t="shared" si="194"/>
        <v>0</v>
      </c>
    </row>
    <row r="9997" spans="20:20" ht="18.75" customHeight="1" x14ac:dyDescent="0.35">
      <c r="T9997" s="246">
        <f t="shared" si="194"/>
        <v>0</v>
      </c>
    </row>
    <row r="9998" spans="20:20" ht="18.75" customHeight="1" x14ac:dyDescent="0.35">
      <c r="T9998" s="246">
        <f t="shared" si="194"/>
        <v>0</v>
      </c>
    </row>
    <row r="9999" spans="20:20" ht="18.75" customHeight="1" x14ac:dyDescent="0.35">
      <c r="T9999" s="246">
        <f t="shared" si="194"/>
        <v>0</v>
      </c>
    </row>
    <row r="10000" spans="20:20" ht="18.75" customHeight="1" x14ac:dyDescent="0.35">
      <c r="T10000" s="246">
        <f t="shared" si="194"/>
        <v>0</v>
      </c>
    </row>
    <row r="10001" spans="20:20" ht="18.75" customHeight="1" x14ac:dyDescent="0.35">
      <c r="T10001" s="246">
        <f t="shared" si="194"/>
        <v>0</v>
      </c>
    </row>
    <row r="10002" spans="20:20" ht="18.75" customHeight="1" x14ac:dyDescent="0.35">
      <c r="T10002" s="246">
        <f t="shared" si="194"/>
        <v>0</v>
      </c>
    </row>
    <row r="10003" spans="20:20" ht="18.75" customHeight="1" x14ac:dyDescent="0.35">
      <c r="T10003" s="246">
        <f t="shared" si="194"/>
        <v>0</v>
      </c>
    </row>
    <row r="10004" spans="20:20" ht="18.75" customHeight="1" x14ac:dyDescent="0.35">
      <c r="T10004" s="246">
        <f t="shared" si="194"/>
        <v>0</v>
      </c>
    </row>
    <row r="10005" spans="20:20" ht="18.75" customHeight="1" x14ac:dyDescent="0.35">
      <c r="T10005" s="246">
        <f t="shared" si="194"/>
        <v>0</v>
      </c>
    </row>
    <row r="10006" spans="20:20" ht="18.75" customHeight="1" x14ac:dyDescent="0.35">
      <c r="T10006" s="246">
        <f t="shared" si="194"/>
        <v>0</v>
      </c>
    </row>
    <row r="10007" spans="20:20" ht="18.75" customHeight="1" x14ac:dyDescent="0.35">
      <c r="T10007" s="246">
        <f t="shared" si="194"/>
        <v>0</v>
      </c>
    </row>
    <row r="10008" spans="20:20" ht="18.75" customHeight="1" x14ac:dyDescent="0.35">
      <c r="T10008" s="246">
        <f t="shared" si="194"/>
        <v>0</v>
      </c>
    </row>
    <row r="10009" spans="20:20" ht="18.75" customHeight="1" x14ac:dyDescent="0.35">
      <c r="T10009" s="246">
        <f t="shared" si="194"/>
        <v>0</v>
      </c>
    </row>
    <row r="10010" spans="20:20" ht="18.75" customHeight="1" x14ac:dyDescent="0.35">
      <c r="T10010" s="246">
        <f t="shared" si="194"/>
        <v>0</v>
      </c>
    </row>
    <row r="10011" spans="20:20" ht="18.75" customHeight="1" x14ac:dyDescent="0.35">
      <c r="T10011" s="246">
        <f t="shared" si="194"/>
        <v>0</v>
      </c>
    </row>
    <row r="10012" spans="20:20" ht="18.75" customHeight="1" x14ac:dyDescent="0.35">
      <c r="T10012" s="246">
        <f t="shared" si="194"/>
        <v>0</v>
      </c>
    </row>
    <row r="10013" spans="20:20" ht="18.75" customHeight="1" x14ac:dyDescent="0.35">
      <c r="T10013" s="246">
        <f t="shared" si="194"/>
        <v>0</v>
      </c>
    </row>
    <row r="10014" spans="20:20" ht="18.75" customHeight="1" x14ac:dyDescent="0.35">
      <c r="T10014" s="246">
        <f t="shared" si="194"/>
        <v>0</v>
      </c>
    </row>
    <row r="10015" spans="20:20" ht="18.75" customHeight="1" x14ac:dyDescent="0.35">
      <c r="T10015" s="246">
        <f t="shared" si="194"/>
        <v>0</v>
      </c>
    </row>
    <row r="10016" spans="20:20" ht="18.75" customHeight="1" x14ac:dyDescent="0.35">
      <c r="T10016" s="246">
        <f t="shared" si="194"/>
        <v>0</v>
      </c>
    </row>
    <row r="10017" spans="20:20" ht="18.75" customHeight="1" x14ac:dyDescent="0.35">
      <c r="T10017" s="246">
        <f t="shared" si="194"/>
        <v>0</v>
      </c>
    </row>
    <row r="10018" spans="20:20" ht="18.75" customHeight="1" x14ac:dyDescent="0.35">
      <c r="T10018" s="246">
        <f t="shared" si="194"/>
        <v>0</v>
      </c>
    </row>
    <row r="10019" spans="20:20" ht="18.75" customHeight="1" x14ac:dyDescent="0.35">
      <c r="T10019" s="246">
        <f t="shared" si="194"/>
        <v>0</v>
      </c>
    </row>
    <row r="10020" spans="20:20" ht="18.75" customHeight="1" x14ac:dyDescent="0.35">
      <c r="T10020" s="246">
        <f t="shared" si="194"/>
        <v>0</v>
      </c>
    </row>
    <row r="10021" spans="20:20" ht="18.75" customHeight="1" x14ac:dyDescent="0.35">
      <c r="T10021" s="246">
        <f t="shared" si="194"/>
        <v>0</v>
      </c>
    </row>
    <row r="10022" spans="20:20" ht="18.75" customHeight="1" x14ac:dyDescent="0.35">
      <c r="T10022" s="246">
        <f t="shared" si="194"/>
        <v>0</v>
      </c>
    </row>
    <row r="10023" spans="20:20" ht="18.75" customHeight="1" x14ac:dyDescent="0.35">
      <c r="T10023" s="246">
        <f t="shared" si="194"/>
        <v>0</v>
      </c>
    </row>
    <row r="10024" spans="20:20" ht="18.75" customHeight="1" x14ac:dyDescent="0.35">
      <c r="T10024" s="246">
        <f t="shared" si="194"/>
        <v>0</v>
      </c>
    </row>
    <row r="10025" spans="20:20" ht="18.75" customHeight="1" x14ac:dyDescent="0.35">
      <c r="T10025" s="246">
        <f t="shared" si="194"/>
        <v>0</v>
      </c>
    </row>
    <row r="10026" spans="20:20" ht="18.75" customHeight="1" x14ac:dyDescent="0.35">
      <c r="T10026" s="246">
        <f t="shared" si="194"/>
        <v>0</v>
      </c>
    </row>
    <row r="10027" spans="20:20" ht="18.75" customHeight="1" x14ac:dyDescent="0.35">
      <c r="T10027" s="246">
        <f t="shared" si="194"/>
        <v>0</v>
      </c>
    </row>
    <row r="10028" spans="20:20" ht="18.75" customHeight="1" x14ac:dyDescent="0.35">
      <c r="T10028" s="246">
        <f t="shared" si="194"/>
        <v>0</v>
      </c>
    </row>
    <row r="10029" spans="20:20" ht="18.75" customHeight="1" x14ac:dyDescent="0.35">
      <c r="T10029" s="246">
        <f t="shared" si="194"/>
        <v>0</v>
      </c>
    </row>
    <row r="10030" spans="20:20" ht="18.75" customHeight="1" x14ac:dyDescent="0.35">
      <c r="T10030" s="246">
        <f t="shared" si="194"/>
        <v>0</v>
      </c>
    </row>
    <row r="10031" spans="20:20" ht="18.75" customHeight="1" x14ac:dyDescent="0.35">
      <c r="T10031" s="246">
        <f t="shared" si="194"/>
        <v>0</v>
      </c>
    </row>
    <row r="10032" spans="20:20" ht="18.75" customHeight="1" x14ac:dyDescent="0.35">
      <c r="T10032" s="246">
        <f t="shared" si="194"/>
        <v>0</v>
      </c>
    </row>
    <row r="10033" spans="20:20" ht="18.75" customHeight="1" x14ac:dyDescent="0.35">
      <c r="T10033" s="246">
        <f t="shared" si="194"/>
        <v>0</v>
      </c>
    </row>
    <row r="10034" spans="20:20" ht="18.75" customHeight="1" x14ac:dyDescent="0.35">
      <c r="T10034" s="246">
        <f t="shared" si="194"/>
        <v>0</v>
      </c>
    </row>
    <row r="10035" spans="20:20" ht="18.75" customHeight="1" x14ac:dyDescent="0.35">
      <c r="T10035" s="246">
        <f t="shared" si="194"/>
        <v>0</v>
      </c>
    </row>
    <row r="10036" spans="20:20" ht="18.75" customHeight="1" x14ac:dyDescent="0.35">
      <c r="T10036" s="246">
        <f t="shared" si="194"/>
        <v>0</v>
      </c>
    </row>
    <row r="10037" spans="20:20" ht="18.75" customHeight="1" x14ac:dyDescent="0.35">
      <c r="T10037" s="246">
        <f t="shared" si="194"/>
        <v>0</v>
      </c>
    </row>
    <row r="10038" spans="20:20" ht="18.75" customHeight="1" x14ac:dyDescent="0.35">
      <c r="T10038" s="246">
        <f t="shared" si="194"/>
        <v>0</v>
      </c>
    </row>
    <row r="10039" spans="20:20" ht="18.75" customHeight="1" x14ac:dyDescent="0.35">
      <c r="T10039" s="246">
        <f t="shared" si="194"/>
        <v>0</v>
      </c>
    </row>
    <row r="10040" spans="20:20" ht="18.75" customHeight="1" x14ac:dyDescent="0.35">
      <c r="T10040" s="246">
        <f t="shared" si="194"/>
        <v>0</v>
      </c>
    </row>
    <row r="10041" spans="20:20" ht="18.75" customHeight="1" x14ac:dyDescent="0.35">
      <c r="T10041" s="246">
        <f t="shared" si="194"/>
        <v>0</v>
      </c>
    </row>
    <row r="10042" spans="20:20" ht="18.75" customHeight="1" x14ac:dyDescent="0.35">
      <c r="T10042" s="246">
        <f t="shared" si="194"/>
        <v>0</v>
      </c>
    </row>
    <row r="10043" spans="20:20" ht="18.75" customHeight="1" x14ac:dyDescent="0.35">
      <c r="T10043" s="246">
        <f t="shared" si="194"/>
        <v>0</v>
      </c>
    </row>
    <row r="10044" spans="20:20" ht="18.75" customHeight="1" x14ac:dyDescent="0.35">
      <c r="T10044" s="246">
        <f t="shared" ref="T10044:T10107" si="195">R10044*0.01</f>
        <v>0</v>
      </c>
    </row>
    <row r="10045" spans="20:20" ht="18.75" customHeight="1" x14ac:dyDescent="0.35">
      <c r="T10045" s="246">
        <f t="shared" si="195"/>
        <v>0</v>
      </c>
    </row>
    <row r="10046" spans="20:20" ht="18.75" customHeight="1" x14ac:dyDescent="0.35">
      <c r="T10046" s="246">
        <f t="shared" si="195"/>
        <v>0</v>
      </c>
    </row>
    <row r="10047" spans="20:20" ht="18.75" customHeight="1" x14ac:dyDescent="0.35">
      <c r="T10047" s="246">
        <f t="shared" si="195"/>
        <v>0</v>
      </c>
    </row>
    <row r="10048" spans="20:20" ht="18.75" customHeight="1" x14ac:dyDescent="0.35">
      <c r="T10048" s="246">
        <f t="shared" si="195"/>
        <v>0</v>
      </c>
    </row>
    <row r="10049" spans="20:20" ht="18.75" customHeight="1" x14ac:dyDescent="0.35">
      <c r="T10049" s="246">
        <f t="shared" si="195"/>
        <v>0</v>
      </c>
    </row>
    <row r="10050" spans="20:20" ht="18.75" customHeight="1" x14ac:dyDescent="0.35">
      <c r="T10050" s="246">
        <f t="shared" si="195"/>
        <v>0</v>
      </c>
    </row>
    <row r="10051" spans="20:20" ht="18.75" customHeight="1" x14ac:dyDescent="0.35">
      <c r="T10051" s="246">
        <f t="shared" si="195"/>
        <v>0</v>
      </c>
    </row>
    <row r="10052" spans="20:20" ht="18.75" customHeight="1" x14ac:dyDescent="0.35">
      <c r="T10052" s="246">
        <f t="shared" si="195"/>
        <v>0</v>
      </c>
    </row>
    <row r="10053" spans="20:20" ht="18.75" customHeight="1" x14ac:dyDescent="0.35">
      <c r="T10053" s="246">
        <f t="shared" si="195"/>
        <v>0</v>
      </c>
    </row>
    <row r="10054" spans="20:20" ht="18.75" customHeight="1" x14ac:dyDescent="0.35">
      <c r="T10054" s="246">
        <f t="shared" si="195"/>
        <v>0</v>
      </c>
    </row>
    <row r="10055" spans="20:20" ht="18.75" customHeight="1" x14ac:dyDescent="0.35">
      <c r="T10055" s="246">
        <f t="shared" si="195"/>
        <v>0</v>
      </c>
    </row>
    <row r="10056" spans="20:20" ht="18.75" customHeight="1" x14ac:dyDescent="0.35">
      <c r="T10056" s="246">
        <f t="shared" si="195"/>
        <v>0</v>
      </c>
    </row>
    <row r="10057" spans="20:20" ht="18.75" customHeight="1" x14ac:dyDescent="0.35">
      <c r="T10057" s="246">
        <f t="shared" si="195"/>
        <v>0</v>
      </c>
    </row>
    <row r="10058" spans="20:20" ht="18.75" customHeight="1" x14ac:dyDescent="0.35">
      <c r="T10058" s="246">
        <f t="shared" si="195"/>
        <v>0</v>
      </c>
    </row>
    <row r="10059" spans="20:20" ht="18.75" customHeight="1" x14ac:dyDescent="0.35">
      <c r="T10059" s="246">
        <f t="shared" si="195"/>
        <v>0</v>
      </c>
    </row>
    <row r="10060" spans="20:20" ht="18.75" customHeight="1" x14ac:dyDescent="0.35">
      <c r="T10060" s="246">
        <f t="shared" si="195"/>
        <v>0</v>
      </c>
    </row>
    <row r="10061" spans="20:20" ht="18.75" customHeight="1" x14ac:dyDescent="0.35">
      <c r="T10061" s="246">
        <f t="shared" si="195"/>
        <v>0</v>
      </c>
    </row>
    <row r="10062" spans="20:20" ht="18.75" customHeight="1" x14ac:dyDescent="0.35">
      <c r="T10062" s="246">
        <f t="shared" si="195"/>
        <v>0</v>
      </c>
    </row>
    <row r="10063" spans="20:20" ht="18.75" customHeight="1" x14ac:dyDescent="0.35">
      <c r="T10063" s="246">
        <f t="shared" si="195"/>
        <v>0</v>
      </c>
    </row>
    <row r="10064" spans="20:20" ht="18.75" customHeight="1" x14ac:dyDescent="0.35">
      <c r="T10064" s="246">
        <f t="shared" si="195"/>
        <v>0</v>
      </c>
    </row>
    <row r="10065" spans="20:20" ht="18.75" customHeight="1" x14ac:dyDescent="0.35">
      <c r="T10065" s="246">
        <f t="shared" si="195"/>
        <v>0</v>
      </c>
    </row>
    <row r="10066" spans="20:20" ht="18.75" customHeight="1" x14ac:dyDescent="0.35">
      <c r="T10066" s="246">
        <f t="shared" si="195"/>
        <v>0</v>
      </c>
    </row>
    <row r="10067" spans="20:20" ht="18.75" customHeight="1" x14ac:dyDescent="0.35">
      <c r="T10067" s="246">
        <f t="shared" si="195"/>
        <v>0</v>
      </c>
    </row>
    <row r="10068" spans="20:20" ht="18.75" customHeight="1" x14ac:dyDescent="0.35">
      <c r="T10068" s="246">
        <f t="shared" si="195"/>
        <v>0</v>
      </c>
    </row>
    <row r="10069" spans="20:20" ht="18.75" customHeight="1" x14ac:dyDescent="0.35">
      <c r="T10069" s="246">
        <f t="shared" si="195"/>
        <v>0</v>
      </c>
    </row>
    <row r="10070" spans="20:20" ht="18.75" customHeight="1" x14ac:dyDescent="0.35">
      <c r="T10070" s="246">
        <f t="shared" si="195"/>
        <v>0</v>
      </c>
    </row>
    <row r="10071" spans="20:20" ht="18.75" customHeight="1" x14ac:dyDescent="0.35">
      <c r="T10071" s="246">
        <f t="shared" si="195"/>
        <v>0</v>
      </c>
    </row>
    <row r="10072" spans="20:20" ht="18.75" customHeight="1" x14ac:dyDescent="0.35">
      <c r="T10072" s="246">
        <f t="shared" si="195"/>
        <v>0</v>
      </c>
    </row>
    <row r="10073" spans="20:20" ht="18.75" customHeight="1" x14ac:dyDescent="0.35">
      <c r="T10073" s="246">
        <f t="shared" si="195"/>
        <v>0</v>
      </c>
    </row>
    <row r="10074" spans="20:20" ht="18.75" customHeight="1" x14ac:dyDescent="0.35">
      <c r="T10074" s="246">
        <f t="shared" si="195"/>
        <v>0</v>
      </c>
    </row>
    <row r="10075" spans="20:20" ht="18.75" customHeight="1" x14ac:dyDescent="0.35">
      <c r="T10075" s="246">
        <f t="shared" si="195"/>
        <v>0</v>
      </c>
    </row>
    <row r="10076" spans="20:20" ht="18.75" customHeight="1" x14ac:dyDescent="0.35">
      <c r="T10076" s="246">
        <f t="shared" si="195"/>
        <v>0</v>
      </c>
    </row>
    <row r="10077" spans="20:20" ht="18.75" customHeight="1" x14ac:dyDescent="0.35">
      <c r="T10077" s="246">
        <f t="shared" si="195"/>
        <v>0</v>
      </c>
    </row>
    <row r="10078" spans="20:20" ht="18.75" customHeight="1" x14ac:dyDescent="0.35">
      <c r="T10078" s="246">
        <f t="shared" si="195"/>
        <v>0</v>
      </c>
    </row>
    <row r="10079" spans="20:20" ht="18.75" customHeight="1" x14ac:dyDescent="0.35">
      <c r="T10079" s="246">
        <f t="shared" si="195"/>
        <v>0</v>
      </c>
    </row>
    <row r="10080" spans="20:20" ht="18.75" customHeight="1" x14ac:dyDescent="0.35">
      <c r="T10080" s="246">
        <f t="shared" si="195"/>
        <v>0</v>
      </c>
    </row>
    <row r="10081" spans="20:20" ht="18.75" customHeight="1" x14ac:dyDescent="0.35">
      <c r="T10081" s="246">
        <f t="shared" si="195"/>
        <v>0</v>
      </c>
    </row>
    <row r="10082" spans="20:20" ht="18.75" customHeight="1" x14ac:dyDescent="0.35">
      <c r="T10082" s="246">
        <f t="shared" si="195"/>
        <v>0</v>
      </c>
    </row>
    <row r="10083" spans="20:20" ht="18.75" customHeight="1" x14ac:dyDescent="0.35">
      <c r="T10083" s="246">
        <f t="shared" si="195"/>
        <v>0</v>
      </c>
    </row>
    <row r="10084" spans="20:20" ht="18.75" customHeight="1" x14ac:dyDescent="0.35">
      <c r="T10084" s="246">
        <f t="shared" si="195"/>
        <v>0</v>
      </c>
    </row>
    <row r="10085" spans="20:20" ht="18.75" customHeight="1" x14ac:dyDescent="0.35">
      <c r="T10085" s="246">
        <f t="shared" si="195"/>
        <v>0</v>
      </c>
    </row>
    <row r="10086" spans="20:20" ht="18.75" customHeight="1" x14ac:dyDescent="0.35">
      <c r="T10086" s="246">
        <f t="shared" si="195"/>
        <v>0</v>
      </c>
    </row>
    <row r="10087" spans="20:20" ht="18.75" customHeight="1" x14ac:dyDescent="0.35">
      <c r="T10087" s="246">
        <f t="shared" si="195"/>
        <v>0</v>
      </c>
    </row>
    <row r="10088" spans="20:20" ht="18.75" customHeight="1" x14ac:dyDescent="0.35">
      <c r="T10088" s="246">
        <f t="shared" si="195"/>
        <v>0</v>
      </c>
    </row>
    <row r="10089" spans="20:20" ht="18.75" customHeight="1" x14ac:dyDescent="0.35">
      <c r="T10089" s="246">
        <f t="shared" si="195"/>
        <v>0</v>
      </c>
    </row>
    <row r="10090" spans="20:20" ht="18.75" customHeight="1" x14ac:dyDescent="0.35">
      <c r="T10090" s="246">
        <f t="shared" si="195"/>
        <v>0</v>
      </c>
    </row>
    <row r="10091" spans="20:20" ht="18.75" customHeight="1" x14ac:dyDescent="0.35">
      <c r="T10091" s="246">
        <f t="shared" si="195"/>
        <v>0</v>
      </c>
    </row>
    <row r="10092" spans="20:20" ht="18.75" customHeight="1" x14ac:dyDescent="0.35">
      <c r="T10092" s="246">
        <f t="shared" si="195"/>
        <v>0</v>
      </c>
    </row>
    <row r="10093" spans="20:20" ht="18.75" customHeight="1" x14ac:dyDescent="0.35">
      <c r="T10093" s="246">
        <f t="shared" si="195"/>
        <v>0</v>
      </c>
    </row>
    <row r="10094" spans="20:20" ht="18.75" customHeight="1" x14ac:dyDescent="0.35">
      <c r="T10094" s="246">
        <f t="shared" si="195"/>
        <v>0</v>
      </c>
    </row>
    <row r="10095" spans="20:20" ht="18.75" customHeight="1" x14ac:dyDescent="0.35">
      <c r="T10095" s="246">
        <f t="shared" si="195"/>
        <v>0</v>
      </c>
    </row>
    <row r="10096" spans="20:20" ht="18.75" customHeight="1" x14ac:dyDescent="0.35">
      <c r="T10096" s="246">
        <f t="shared" si="195"/>
        <v>0</v>
      </c>
    </row>
    <row r="10097" spans="20:20" ht="18.75" customHeight="1" x14ac:dyDescent="0.35">
      <c r="T10097" s="246">
        <f t="shared" si="195"/>
        <v>0</v>
      </c>
    </row>
    <row r="10098" spans="20:20" ht="18.75" customHeight="1" x14ac:dyDescent="0.35">
      <c r="T10098" s="246">
        <f t="shared" si="195"/>
        <v>0</v>
      </c>
    </row>
    <row r="10099" spans="20:20" ht="18.75" customHeight="1" x14ac:dyDescent="0.35">
      <c r="T10099" s="246">
        <f t="shared" si="195"/>
        <v>0</v>
      </c>
    </row>
    <row r="10100" spans="20:20" ht="18.75" customHeight="1" x14ac:dyDescent="0.35">
      <c r="T10100" s="246">
        <f t="shared" si="195"/>
        <v>0</v>
      </c>
    </row>
    <row r="10101" spans="20:20" ht="18.75" customHeight="1" x14ac:dyDescent="0.35">
      <c r="T10101" s="246">
        <f t="shared" si="195"/>
        <v>0</v>
      </c>
    </row>
    <row r="10102" spans="20:20" ht="18.75" customHeight="1" x14ac:dyDescent="0.35">
      <c r="T10102" s="246">
        <f t="shared" si="195"/>
        <v>0</v>
      </c>
    </row>
    <row r="10103" spans="20:20" ht="18.75" customHeight="1" x14ac:dyDescent="0.35">
      <c r="T10103" s="246">
        <f t="shared" si="195"/>
        <v>0</v>
      </c>
    </row>
    <row r="10104" spans="20:20" ht="18.75" customHeight="1" x14ac:dyDescent="0.35">
      <c r="T10104" s="246">
        <f t="shared" si="195"/>
        <v>0</v>
      </c>
    </row>
    <row r="10105" spans="20:20" ht="18.75" customHeight="1" x14ac:dyDescent="0.35">
      <c r="T10105" s="246">
        <f t="shared" si="195"/>
        <v>0</v>
      </c>
    </row>
    <row r="10106" spans="20:20" ht="18.75" customHeight="1" x14ac:dyDescent="0.35">
      <c r="T10106" s="246">
        <f t="shared" si="195"/>
        <v>0</v>
      </c>
    </row>
    <row r="10107" spans="20:20" ht="18.75" customHeight="1" x14ac:dyDescent="0.35">
      <c r="T10107" s="246">
        <f t="shared" si="195"/>
        <v>0</v>
      </c>
    </row>
    <row r="10108" spans="20:20" ht="18.75" customHeight="1" x14ac:dyDescent="0.35">
      <c r="T10108" s="246">
        <f t="shared" ref="T10108:T10171" si="196">R10108*0.01</f>
        <v>0</v>
      </c>
    </row>
    <row r="10109" spans="20:20" ht="18.75" customHeight="1" x14ac:dyDescent="0.35">
      <c r="T10109" s="246">
        <f t="shared" si="196"/>
        <v>0</v>
      </c>
    </row>
    <row r="10110" spans="20:20" ht="18.75" customHeight="1" x14ac:dyDescent="0.35">
      <c r="T10110" s="246">
        <f t="shared" si="196"/>
        <v>0</v>
      </c>
    </row>
    <row r="10111" spans="20:20" ht="18.75" customHeight="1" x14ac:dyDescent="0.35">
      <c r="T10111" s="246">
        <f t="shared" si="196"/>
        <v>0</v>
      </c>
    </row>
    <row r="10112" spans="20:20" ht="18.75" customHeight="1" x14ac:dyDescent="0.35">
      <c r="T10112" s="246">
        <f t="shared" si="196"/>
        <v>0</v>
      </c>
    </row>
    <row r="10113" spans="20:20" ht="18.75" customHeight="1" x14ac:dyDescent="0.35">
      <c r="T10113" s="246">
        <f t="shared" si="196"/>
        <v>0</v>
      </c>
    </row>
    <row r="10114" spans="20:20" ht="18.75" customHeight="1" x14ac:dyDescent="0.35">
      <c r="T10114" s="246">
        <f t="shared" si="196"/>
        <v>0</v>
      </c>
    </row>
    <row r="10115" spans="20:20" ht="18.75" customHeight="1" x14ac:dyDescent="0.35">
      <c r="T10115" s="246">
        <f t="shared" si="196"/>
        <v>0</v>
      </c>
    </row>
    <row r="10116" spans="20:20" ht="18.75" customHeight="1" x14ac:dyDescent="0.35">
      <c r="T10116" s="246">
        <f t="shared" si="196"/>
        <v>0</v>
      </c>
    </row>
    <row r="10117" spans="20:20" ht="18.75" customHeight="1" x14ac:dyDescent="0.35">
      <c r="T10117" s="246">
        <f t="shared" si="196"/>
        <v>0</v>
      </c>
    </row>
    <row r="10118" spans="20:20" ht="18.75" customHeight="1" x14ac:dyDescent="0.35">
      <c r="T10118" s="246">
        <f t="shared" si="196"/>
        <v>0</v>
      </c>
    </row>
    <row r="10119" spans="20:20" ht="18.75" customHeight="1" x14ac:dyDescent="0.35">
      <c r="T10119" s="246">
        <f t="shared" si="196"/>
        <v>0</v>
      </c>
    </row>
    <row r="10120" spans="20:20" ht="18.75" customHeight="1" x14ac:dyDescent="0.35">
      <c r="T10120" s="246">
        <f t="shared" si="196"/>
        <v>0</v>
      </c>
    </row>
    <row r="10121" spans="20:20" ht="18.75" customHeight="1" x14ac:dyDescent="0.35">
      <c r="T10121" s="246">
        <f t="shared" si="196"/>
        <v>0</v>
      </c>
    </row>
    <row r="10122" spans="20:20" ht="18.75" customHeight="1" x14ac:dyDescent="0.35">
      <c r="T10122" s="246">
        <f t="shared" si="196"/>
        <v>0</v>
      </c>
    </row>
    <row r="10123" spans="20:20" ht="18.75" customHeight="1" x14ac:dyDescent="0.35">
      <c r="T10123" s="246">
        <f t="shared" si="196"/>
        <v>0</v>
      </c>
    </row>
    <row r="10124" spans="20:20" ht="18.75" customHeight="1" x14ac:dyDescent="0.35">
      <c r="T10124" s="246">
        <f t="shared" si="196"/>
        <v>0</v>
      </c>
    </row>
    <row r="10125" spans="20:20" ht="18.75" customHeight="1" x14ac:dyDescent="0.35">
      <c r="T10125" s="246">
        <f t="shared" si="196"/>
        <v>0</v>
      </c>
    </row>
    <row r="10126" spans="20:20" ht="18.75" customHeight="1" x14ac:dyDescent="0.35">
      <c r="T10126" s="246">
        <f t="shared" si="196"/>
        <v>0</v>
      </c>
    </row>
    <row r="10127" spans="20:20" ht="18.75" customHeight="1" x14ac:dyDescent="0.35">
      <c r="T10127" s="246">
        <f t="shared" si="196"/>
        <v>0</v>
      </c>
    </row>
    <row r="10128" spans="20:20" ht="18.75" customHeight="1" x14ac:dyDescent="0.35">
      <c r="T10128" s="246">
        <f t="shared" si="196"/>
        <v>0</v>
      </c>
    </row>
    <row r="10129" spans="20:20" ht="18.75" customHeight="1" x14ac:dyDescent="0.35">
      <c r="T10129" s="246">
        <f t="shared" si="196"/>
        <v>0</v>
      </c>
    </row>
    <row r="10130" spans="20:20" ht="18.75" customHeight="1" x14ac:dyDescent="0.35">
      <c r="T10130" s="246">
        <f t="shared" si="196"/>
        <v>0</v>
      </c>
    </row>
    <row r="10131" spans="20:20" ht="18.75" customHeight="1" x14ac:dyDescent="0.35">
      <c r="T10131" s="246">
        <f t="shared" si="196"/>
        <v>0</v>
      </c>
    </row>
    <row r="10132" spans="20:20" ht="18.75" customHeight="1" x14ac:dyDescent="0.35">
      <c r="T10132" s="246">
        <f t="shared" si="196"/>
        <v>0</v>
      </c>
    </row>
    <row r="10133" spans="20:20" ht="18.75" customHeight="1" x14ac:dyDescent="0.35">
      <c r="T10133" s="246">
        <f t="shared" si="196"/>
        <v>0</v>
      </c>
    </row>
    <row r="10134" spans="20:20" ht="18.75" customHeight="1" x14ac:dyDescent="0.35">
      <c r="T10134" s="246">
        <f t="shared" si="196"/>
        <v>0</v>
      </c>
    </row>
    <row r="10135" spans="20:20" ht="18.75" customHeight="1" x14ac:dyDescent="0.35">
      <c r="T10135" s="246">
        <f t="shared" si="196"/>
        <v>0</v>
      </c>
    </row>
    <row r="10136" spans="20:20" ht="18.75" customHeight="1" x14ac:dyDescent="0.35">
      <c r="T10136" s="246">
        <f t="shared" si="196"/>
        <v>0</v>
      </c>
    </row>
    <row r="10137" spans="20:20" ht="18.75" customHeight="1" x14ac:dyDescent="0.35">
      <c r="T10137" s="246">
        <f t="shared" si="196"/>
        <v>0</v>
      </c>
    </row>
    <row r="10138" spans="20:20" ht="18.75" customHeight="1" x14ac:dyDescent="0.35">
      <c r="T10138" s="246">
        <f t="shared" si="196"/>
        <v>0</v>
      </c>
    </row>
    <row r="10139" spans="20:20" ht="18.75" customHeight="1" x14ac:dyDescent="0.35">
      <c r="T10139" s="246">
        <f t="shared" si="196"/>
        <v>0</v>
      </c>
    </row>
    <row r="10140" spans="20:20" ht="18.75" customHeight="1" x14ac:dyDescent="0.35">
      <c r="T10140" s="246">
        <f t="shared" si="196"/>
        <v>0</v>
      </c>
    </row>
    <row r="10141" spans="20:20" ht="18.75" customHeight="1" x14ac:dyDescent="0.35">
      <c r="T10141" s="246">
        <f t="shared" si="196"/>
        <v>0</v>
      </c>
    </row>
    <row r="10142" spans="20:20" ht="18.75" customHeight="1" x14ac:dyDescent="0.35">
      <c r="T10142" s="246">
        <f t="shared" si="196"/>
        <v>0</v>
      </c>
    </row>
    <row r="10143" spans="20:20" ht="18.75" customHeight="1" x14ac:dyDescent="0.35">
      <c r="T10143" s="246">
        <f t="shared" si="196"/>
        <v>0</v>
      </c>
    </row>
    <row r="10144" spans="20:20" ht="18.75" customHeight="1" x14ac:dyDescent="0.35">
      <c r="T10144" s="246">
        <f t="shared" si="196"/>
        <v>0</v>
      </c>
    </row>
    <row r="10145" spans="20:20" ht="18.75" customHeight="1" x14ac:dyDescent="0.35">
      <c r="T10145" s="246">
        <f t="shared" si="196"/>
        <v>0</v>
      </c>
    </row>
    <row r="10146" spans="20:20" ht="18.75" customHeight="1" x14ac:dyDescent="0.35">
      <c r="T10146" s="246">
        <f t="shared" si="196"/>
        <v>0</v>
      </c>
    </row>
    <row r="10147" spans="20:20" ht="18.75" customHeight="1" x14ac:dyDescent="0.35">
      <c r="T10147" s="246">
        <f t="shared" si="196"/>
        <v>0</v>
      </c>
    </row>
    <row r="10148" spans="20:20" ht="18.75" customHeight="1" x14ac:dyDescent="0.35">
      <c r="T10148" s="246">
        <f t="shared" si="196"/>
        <v>0</v>
      </c>
    </row>
    <row r="10149" spans="20:20" ht="18.75" customHeight="1" x14ac:dyDescent="0.35">
      <c r="T10149" s="246">
        <f t="shared" si="196"/>
        <v>0</v>
      </c>
    </row>
    <row r="10150" spans="20:20" ht="18.75" customHeight="1" x14ac:dyDescent="0.35">
      <c r="T10150" s="246">
        <f t="shared" si="196"/>
        <v>0</v>
      </c>
    </row>
    <row r="10151" spans="20:20" ht="18.75" customHeight="1" x14ac:dyDescent="0.35">
      <c r="T10151" s="246">
        <f t="shared" si="196"/>
        <v>0</v>
      </c>
    </row>
    <row r="10152" spans="20:20" ht="18.75" customHeight="1" x14ac:dyDescent="0.35">
      <c r="T10152" s="246">
        <f t="shared" si="196"/>
        <v>0</v>
      </c>
    </row>
    <row r="10153" spans="20:20" ht="18.75" customHeight="1" x14ac:dyDescent="0.35">
      <c r="T10153" s="246">
        <f t="shared" si="196"/>
        <v>0</v>
      </c>
    </row>
    <row r="10154" spans="20:20" ht="18.75" customHeight="1" x14ac:dyDescent="0.35">
      <c r="T10154" s="246">
        <f t="shared" si="196"/>
        <v>0</v>
      </c>
    </row>
    <row r="10155" spans="20:20" ht="18.75" customHeight="1" x14ac:dyDescent="0.35">
      <c r="T10155" s="246">
        <f t="shared" si="196"/>
        <v>0</v>
      </c>
    </row>
    <row r="10156" spans="20:20" ht="18.75" customHeight="1" x14ac:dyDescent="0.35">
      <c r="T10156" s="246">
        <f t="shared" si="196"/>
        <v>0</v>
      </c>
    </row>
    <row r="10157" spans="20:20" ht="18.75" customHeight="1" x14ac:dyDescent="0.35">
      <c r="T10157" s="246">
        <f t="shared" si="196"/>
        <v>0</v>
      </c>
    </row>
    <row r="10158" spans="20:20" ht="18.75" customHeight="1" x14ac:dyDescent="0.35">
      <c r="T10158" s="246">
        <f t="shared" si="196"/>
        <v>0</v>
      </c>
    </row>
    <row r="10159" spans="20:20" ht="18.75" customHeight="1" x14ac:dyDescent="0.35">
      <c r="T10159" s="246">
        <f t="shared" si="196"/>
        <v>0</v>
      </c>
    </row>
    <row r="10160" spans="20:20" ht="18.75" customHeight="1" x14ac:dyDescent="0.35">
      <c r="T10160" s="246">
        <f t="shared" si="196"/>
        <v>0</v>
      </c>
    </row>
    <row r="10161" spans="20:20" ht="18.75" customHeight="1" x14ac:dyDescent="0.35">
      <c r="T10161" s="246">
        <f t="shared" si="196"/>
        <v>0</v>
      </c>
    </row>
    <row r="10162" spans="20:20" ht="18.75" customHeight="1" x14ac:dyDescent="0.35">
      <c r="T10162" s="246">
        <f t="shared" si="196"/>
        <v>0</v>
      </c>
    </row>
    <row r="10163" spans="20:20" ht="18.75" customHeight="1" x14ac:dyDescent="0.35">
      <c r="T10163" s="246">
        <f t="shared" si="196"/>
        <v>0</v>
      </c>
    </row>
    <row r="10164" spans="20:20" ht="18.75" customHeight="1" x14ac:dyDescent="0.35">
      <c r="T10164" s="246">
        <f t="shared" si="196"/>
        <v>0</v>
      </c>
    </row>
    <row r="10165" spans="20:20" ht="18.75" customHeight="1" x14ac:dyDescent="0.35">
      <c r="T10165" s="246">
        <f t="shared" si="196"/>
        <v>0</v>
      </c>
    </row>
    <row r="10166" spans="20:20" ht="18.75" customHeight="1" x14ac:dyDescent="0.35">
      <c r="T10166" s="246">
        <f t="shared" si="196"/>
        <v>0</v>
      </c>
    </row>
    <row r="10167" spans="20:20" ht="18.75" customHeight="1" x14ac:dyDescent="0.35">
      <c r="T10167" s="246">
        <f t="shared" si="196"/>
        <v>0</v>
      </c>
    </row>
    <row r="10168" spans="20:20" ht="18.75" customHeight="1" x14ac:dyDescent="0.35">
      <c r="T10168" s="246">
        <f t="shared" si="196"/>
        <v>0</v>
      </c>
    </row>
    <row r="10169" spans="20:20" ht="18.75" customHeight="1" x14ac:dyDescent="0.35">
      <c r="T10169" s="246">
        <f t="shared" si="196"/>
        <v>0</v>
      </c>
    </row>
    <row r="10170" spans="20:20" ht="18.75" customHeight="1" x14ac:dyDescent="0.35">
      <c r="T10170" s="246">
        <f t="shared" si="196"/>
        <v>0</v>
      </c>
    </row>
    <row r="10171" spans="20:20" ht="18.75" customHeight="1" x14ac:dyDescent="0.35">
      <c r="T10171" s="246">
        <f t="shared" si="196"/>
        <v>0</v>
      </c>
    </row>
    <row r="10172" spans="20:20" ht="18.75" customHeight="1" x14ac:dyDescent="0.35">
      <c r="T10172" s="246">
        <f t="shared" ref="T10172:T10235" si="197">R10172*0.01</f>
        <v>0</v>
      </c>
    </row>
    <row r="10173" spans="20:20" ht="18.75" customHeight="1" x14ac:dyDescent="0.35">
      <c r="T10173" s="246">
        <f t="shared" si="197"/>
        <v>0</v>
      </c>
    </row>
    <row r="10174" spans="20:20" ht="18.75" customHeight="1" x14ac:dyDescent="0.35">
      <c r="T10174" s="246">
        <f t="shared" si="197"/>
        <v>0</v>
      </c>
    </row>
    <row r="10175" spans="20:20" ht="18.75" customHeight="1" x14ac:dyDescent="0.35">
      <c r="T10175" s="246">
        <f t="shared" si="197"/>
        <v>0</v>
      </c>
    </row>
    <row r="10176" spans="20:20" ht="18.75" customHeight="1" x14ac:dyDescent="0.35">
      <c r="T10176" s="246">
        <f t="shared" si="197"/>
        <v>0</v>
      </c>
    </row>
    <row r="10177" spans="20:20" ht="18.75" customHeight="1" x14ac:dyDescent="0.35">
      <c r="T10177" s="246">
        <f t="shared" si="197"/>
        <v>0</v>
      </c>
    </row>
    <row r="10178" spans="20:20" ht="18.75" customHeight="1" x14ac:dyDescent="0.35">
      <c r="T10178" s="246">
        <f t="shared" si="197"/>
        <v>0</v>
      </c>
    </row>
    <row r="10179" spans="20:20" ht="18.75" customHeight="1" x14ac:dyDescent="0.35">
      <c r="T10179" s="246">
        <f t="shared" si="197"/>
        <v>0</v>
      </c>
    </row>
    <row r="10180" spans="20:20" ht="18.75" customHeight="1" x14ac:dyDescent="0.35">
      <c r="T10180" s="246">
        <f t="shared" si="197"/>
        <v>0</v>
      </c>
    </row>
    <row r="10181" spans="20:20" ht="18.75" customHeight="1" x14ac:dyDescent="0.35">
      <c r="T10181" s="246">
        <f t="shared" si="197"/>
        <v>0</v>
      </c>
    </row>
    <row r="10182" spans="20:20" ht="18.75" customHeight="1" x14ac:dyDescent="0.35">
      <c r="T10182" s="246">
        <f t="shared" si="197"/>
        <v>0</v>
      </c>
    </row>
    <row r="10183" spans="20:20" ht="18.75" customHeight="1" x14ac:dyDescent="0.35">
      <c r="T10183" s="246">
        <f t="shared" si="197"/>
        <v>0</v>
      </c>
    </row>
    <row r="10184" spans="20:20" ht="18.75" customHeight="1" x14ac:dyDescent="0.35">
      <c r="T10184" s="246">
        <f t="shared" si="197"/>
        <v>0</v>
      </c>
    </row>
    <row r="10185" spans="20:20" ht="18.75" customHeight="1" x14ac:dyDescent="0.35">
      <c r="T10185" s="246">
        <f t="shared" si="197"/>
        <v>0</v>
      </c>
    </row>
    <row r="10186" spans="20:20" ht="18.75" customHeight="1" x14ac:dyDescent="0.35">
      <c r="T10186" s="246">
        <f t="shared" si="197"/>
        <v>0</v>
      </c>
    </row>
    <row r="10187" spans="20:20" ht="18.75" customHeight="1" x14ac:dyDescent="0.35">
      <c r="T10187" s="246">
        <f t="shared" si="197"/>
        <v>0</v>
      </c>
    </row>
    <row r="10188" spans="20:20" ht="18.75" customHeight="1" x14ac:dyDescent="0.35">
      <c r="T10188" s="246">
        <f t="shared" si="197"/>
        <v>0</v>
      </c>
    </row>
    <row r="10189" spans="20:20" ht="18.75" customHeight="1" x14ac:dyDescent="0.35">
      <c r="T10189" s="246">
        <f t="shared" si="197"/>
        <v>0</v>
      </c>
    </row>
    <row r="10190" spans="20:20" ht="18.75" customHeight="1" x14ac:dyDescent="0.35">
      <c r="T10190" s="246">
        <f t="shared" si="197"/>
        <v>0</v>
      </c>
    </row>
    <row r="10191" spans="20:20" ht="18.75" customHeight="1" x14ac:dyDescent="0.35">
      <c r="T10191" s="246">
        <f t="shared" si="197"/>
        <v>0</v>
      </c>
    </row>
    <row r="10192" spans="20:20" ht="18.75" customHeight="1" x14ac:dyDescent="0.35">
      <c r="T10192" s="246">
        <f t="shared" si="197"/>
        <v>0</v>
      </c>
    </row>
    <row r="10193" spans="20:20" ht="18.75" customHeight="1" x14ac:dyDescent="0.35">
      <c r="T10193" s="246">
        <f t="shared" si="197"/>
        <v>0</v>
      </c>
    </row>
    <row r="10194" spans="20:20" ht="18.75" customHeight="1" x14ac:dyDescent="0.35">
      <c r="T10194" s="246">
        <f t="shared" si="197"/>
        <v>0</v>
      </c>
    </row>
    <row r="10195" spans="20:20" ht="18.75" customHeight="1" x14ac:dyDescent="0.35">
      <c r="T10195" s="246">
        <f t="shared" si="197"/>
        <v>0</v>
      </c>
    </row>
    <row r="10196" spans="20:20" ht="18.75" customHeight="1" x14ac:dyDescent="0.35">
      <c r="T10196" s="246">
        <f t="shared" si="197"/>
        <v>0</v>
      </c>
    </row>
    <row r="10197" spans="20:20" ht="18.75" customHeight="1" x14ac:dyDescent="0.35">
      <c r="T10197" s="246">
        <f t="shared" si="197"/>
        <v>0</v>
      </c>
    </row>
    <row r="10198" spans="20:20" ht="18.75" customHeight="1" x14ac:dyDescent="0.35">
      <c r="T10198" s="246">
        <f t="shared" si="197"/>
        <v>0</v>
      </c>
    </row>
    <row r="10199" spans="20:20" ht="18.75" customHeight="1" x14ac:dyDescent="0.35">
      <c r="T10199" s="246">
        <f t="shared" si="197"/>
        <v>0</v>
      </c>
    </row>
    <row r="10200" spans="20:20" ht="18.75" customHeight="1" x14ac:dyDescent="0.35">
      <c r="T10200" s="246">
        <f t="shared" si="197"/>
        <v>0</v>
      </c>
    </row>
    <row r="10201" spans="20:20" ht="18.75" customHeight="1" x14ac:dyDescent="0.35">
      <c r="T10201" s="246">
        <f t="shared" si="197"/>
        <v>0</v>
      </c>
    </row>
    <row r="10202" spans="20:20" ht="18.75" customHeight="1" x14ac:dyDescent="0.35">
      <c r="T10202" s="246">
        <f t="shared" si="197"/>
        <v>0</v>
      </c>
    </row>
    <row r="10203" spans="20:20" ht="18.75" customHeight="1" x14ac:dyDescent="0.35">
      <c r="T10203" s="246">
        <f t="shared" si="197"/>
        <v>0</v>
      </c>
    </row>
    <row r="10204" spans="20:20" ht="18.75" customHeight="1" x14ac:dyDescent="0.35">
      <c r="T10204" s="246">
        <f t="shared" si="197"/>
        <v>0</v>
      </c>
    </row>
    <row r="10205" spans="20:20" ht="18.75" customHeight="1" x14ac:dyDescent="0.35">
      <c r="T10205" s="246">
        <f t="shared" si="197"/>
        <v>0</v>
      </c>
    </row>
    <row r="10206" spans="20:20" ht="18.75" customHeight="1" x14ac:dyDescent="0.35">
      <c r="T10206" s="246">
        <f t="shared" si="197"/>
        <v>0</v>
      </c>
    </row>
    <row r="10207" spans="20:20" ht="18.75" customHeight="1" x14ac:dyDescent="0.35">
      <c r="T10207" s="246">
        <f t="shared" si="197"/>
        <v>0</v>
      </c>
    </row>
    <row r="10208" spans="20:20" ht="18.75" customHeight="1" x14ac:dyDescent="0.35">
      <c r="T10208" s="246">
        <f t="shared" si="197"/>
        <v>0</v>
      </c>
    </row>
    <row r="10209" spans="20:20" ht="18.75" customHeight="1" x14ac:dyDescent="0.35">
      <c r="T10209" s="246">
        <f t="shared" si="197"/>
        <v>0</v>
      </c>
    </row>
    <row r="10210" spans="20:20" ht="18.75" customHeight="1" x14ac:dyDescent="0.35">
      <c r="T10210" s="246">
        <f t="shared" si="197"/>
        <v>0</v>
      </c>
    </row>
    <row r="10211" spans="20:20" ht="18.75" customHeight="1" x14ac:dyDescent="0.35">
      <c r="T10211" s="246">
        <f t="shared" si="197"/>
        <v>0</v>
      </c>
    </row>
    <row r="10212" spans="20:20" ht="18.75" customHeight="1" x14ac:dyDescent="0.35">
      <c r="T10212" s="246">
        <f t="shared" si="197"/>
        <v>0</v>
      </c>
    </row>
    <row r="10213" spans="20:20" ht="18.75" customHeight="1" x14ac:dyDescent="0.35">
      <c r="T10213" s="246">
        <f t="shared" si="197"/>
        <v>0</v>
      </c>
    </row>
    <row r="10214" spans="20:20" ht="18.75" customHeight="1" x14ac:dyDescent="0.35">
      <c r="T10214" s="246">
        <f t="shared" si="197"/>
        <v>0</v>
      </c>
    </row>
    <row r="10215" spans="20:20" ht="18.75" customHeight="1" x14ac:dyDescent="0.35">
      <c r="T10215" s="246">
        <f t="shared" si="197"/>
        <v>0</v>
      </c>
    </row>
    <row r="10216" spans="20:20" ht="18.75" customHeight="1" x14ac:dyDescent="0.35">
      <c r="T10216" s="246">
        <f t="shared" si="197"/>
        <v>0</v>
      </c>
    </row>
    <row r="10217" spans="20:20" ht="18.75" customHeight="1" x14ac:dyDescent="0.35">
      <c r="T10217" s="246">
        <f t="shared" si="197"/>
        <v>0</v>
      </c>
    </row>
    <row r="10218" spans="20:20" ht="18.75" customHeight="1" x14ac:dyDescent="0.35">
      <c r="T10218" s="246">
        <f t="shared" si="197"/>
        <v>0</v>
      </c>
    </row>
    <row r="10219" spans="20:20" ht="18.75" customHeight="1" x14ac:dyDescent="0.35">
      <c r="T10219" s="246">
        <f t="shared" si="197"/>
        <v>0</v>
      </c>
    </row>
    <row r="10220" spans="20:20" ht="18.75" customHeight="1" x14ac:dyDescent="0.35">
      <c r="T10220" s="246">
        <f t="shared" si="197"/>
        <v>0</v>
      </c>
    </row>
    <row r="10221" spans="20:20" ht="18.75" customHeight="1" x14ac:dyDescent="0.35">
      <c r="T10221" s="246">
        <f t="shared" si="197"/>
        <v>0</v>
      </c>
    </row>
    <row r="10222" spans="20:20" ht="18.75" customHeight="1" x14ac:dyDescent="0.35">
      <c r="T10222" s="246">
        <f t="shared" si="197"/>
        <v>0</v>
      </c>
    </row>
    <row r="10223" spans="20:20" ht="18.75" customHeight="1" x14ac:dyDescent="0.35">
      <c r="T10223" s="246">
        <f t="shared" si="197"/>
        <v>0</v>
      </c>
    </row>
    <row r="10224" spans="20:20" ht="18.75" customHeight="1" x14ac:dyDescent="0.35">
      <c r="T10224" s="246">
        <f t="shared" si="197"/>
        <v>0</v>
      </c>
    </row>
    <row r="10225" spans="20:20" ht="18.75" customHeight="1" x14ac:dyDescent="0.35">
      <c r="T10225" s="246">
        <f t="shared" si="197"/>
        <v>0</v>
      </c>
    </row>
    <row r="10226" spans="20:20" ht="18.75" customHeight="1" x14ac:dyDescent="0.35">
      <c r="T10226" s="246">
        <f t="shared" si="197"/>
        <v>0</v>
      </c>
    </row>
    <row r="10227" spans="20:20" ht="18.75" customHeight="1" x14ac:dyDescent="0.35">
      <c r="T10227" s="246">
        <f t="shared" si="197"/>
        <v>0</v>
      </c>
    </row>
    <row r="10228" spans="20:20" ht="18.75" customHeight="1" x14ac:dyDescent="0.35">
      <c r="T10228" s="246">
        <f t="shared" si="197"/>
        <v>0</v>
      </c>
    </row>
    <row r="10229" spans="20:20" ht="18.75" customHeight="1" x14ac:dyDescent="0.35">
      <c r="T10229" s="246">
        <f t="shared" si="197"/>
        <v>0</v>
      </c>
    </row>
    <row r="10230" spans="20:20" ht="18.75" customHeight="1" x14ac:dyDescent="0.35">
      <c r="T10230" s="246">
        <f t="shared" si="197"/>
        <v>0</v>
      </c>
    </row>
    <row r="10231" spans="20:20" ht="18.75" customHeight="1" x14ac:dyDescent="0.35">
      <c r="T10231" s="246">
        <f t="shared" si="197"/>
        <v>0</v>
      </c>
    </row>
    <row r="10232" spans="20:20" ht="18.75" customHeight="1" x14ac:dyDescent="0.35">
      <c r="T10232" s="246">
        <f t="shared" si="197"/>
        <v>0</v>
      </c>
    </row>
    <row r="10233" spans="20:20" ht="18.75" customHeight="1" x14ac:dyDescent="0.35">
      <c r="T10233" s="246">
        <f t="shared" si="197"/>
        <v>0</v>
      </c>
    </row>
    <row r="10234" spans="20:20" ht="18.75" customHeight="1" x14ac:dyDescent="0.35">
      <c r="T10234" s="246">
        <f t="shared" si="197"/>
        <v>0</v>
      </c>
    </row>
    <row r="10235" spans="20:20" ht="18.75" customHeight="1" x14ac:dyDescent="0.35">
      <c r="T10235" s="246">
        <f t="shared" si="197"/>
        <v>0</v>
      </c>
    </row>
    <row r="10236" spans="20:20" ht="18.75" customHeight="1" x14ac:dyDescent="0.35">
      <c r="T10236" s="246">
        <f t="shared" ref="T10236:T10299" si="198">R10236*0.01</f>
        <v>0</v>
      </c>
    </row>
    <row r="10237" spans="20:20" ht="18.75" customHeight="1" x14ac:dyDescent="0.35">
      <c r="T10237" s="246">
        <f t="shared" si="198"/>
        <v>0</v>
      </c>
    </row>
    <row r="10238" spans="20:20" ht="18.75" customHeight="1" x14ac:dyDescent="0.35">
      <c r="T10238" s="246">
        <f t="shared" si="198"/>
        <v>0</v>
      </c>
    </row>
    <row r="10239" spans="20:20" ht="18.75" customHeight="1" x14ac:dyDescent="0.35">
      <c r="T10239" s="246">
        <f t="shared" si="198"/>
        <v>0</v>
      </c>
    </row>
    <row r="10240" spans="20:20" ht="18.75" customHeight="1" x14ac:dyDescent="0.35">
      <c r="T10240" s="246">
        <f t="shared" si="198"/>
        <v>0</v>
      </c>
    </row>
    <row r="10241" spans="20:20" ht="18.75" customHeight="1" x14ac:dyDescent="0.35">
      <c r="T10241" s="246">
        <f t="shared" si="198"/>
        <v>0</v>
      </c>
    </row>
    <row r="10242" spans="20:20" ht="18.75" customHeight="1" x14ac:dyDescent="0.35">
      <c r="T10242" s="246">
        <f t="shared" si="198"/>
        <v>0</v>
      </c>
    </row>
    <row r="10243" spans="20:20" ht="18.75" customHeight="1" x14ac:dyDescent="0.35">
      <c r="T10243" s="246">
        <f t="shared" si="198"/>
        <v>0</v>
      </c>
    </row>
    <row r="10244" spans="20:20" ht="18.75" customHeight="1" x14ac:dyDescent="0.35">
      <c r="T10244" s="246">
        <f t="shared" si="198"/>
        <v>0</v>
      </c>
    </row>
    <row r="10245" spans="20:20" ht="18.75" customHeight="1" x14ac:dyDescent="0.35">
      <c r="T10245" s="246">
        <f t="shared" si="198"/>
        <v>0</v>
      </c>
    </row>
    <row r="10246" spans="20:20" ht="18.75" customHeight="1" x14ac:dyDescent="0.35">
      <c r="T10246" s="246">
        <f t="shared" si="198"/>
        <v>0</v>
      </c>
    </row>
    <row r="10247" spans="20:20" ht="18.75" customHeight="1" x14ac:dyDescent="0.35">
      <c r="T10247" s="246">
        <f t="shared" si="198"/>
        <v>0</v>
      </c>
    </row>
    <row r="10248" spans="20:20" ht="18.75" customHeight="1" x14ac:dyDescent="0.35">
      <c r="T10248" s="246">
        <f t="shared" si="198"/>
        <v>0</v>
      </c>
    </row>
    <row r="10249" spans="20:20" ht="18.75" customHeight="1" x14ac:dyDescent="0.35">
      <c r="T10249" s="246">
        <f t="shared" si="198"/>
        <v>0</v>
      </c>
    </row>
    <row r="10250" spans="20:20" ht="18.75" customHeight="1" x14ac:dyDescent="0.35">
      <c r="T10250" s="246">
        <f t="shared" si="198"/>
        <v>0</v>
      </c>
    </row>
    <row r="10251" spans="20:20" ht="18.75" customHeight="1" x14ac:dyDescent="0.35">
      <c r="T10251" s="246">
        <f t="shared" si="198"/>
        <v>0</v>
      </c>
    </row>
    <row r="10252" spans="20:20" ht="18.75" customHeight="1" x14ac:dyDescent="0.35">
      <c r="T10252" s="246">
        <f t="shared" si="198"/>
        <v>0</v>
      </c>
    </row>
    <row r="10253" spans="20:20" ht="18.75" customHeight="1" x14ac:dyDescent="0.35">
      <c r="T10253" s="246">
        <f t="shared" si="198"/>
        <v>0</v>
      </c>
    </row>
    <row r="10254" spans="20:20" ht="18.75" customHeight="1" x14ac:dyDescent="0.35">
      <c r="T10254" s="246">
        <f t="shared" si="198"/>
        <v>0</v>
      </c>
    </row>
    <row r="10255" spans="20:20" ht="18.75" customHeight="1" x14ac:dyDescent="0.35">
      <c r="T10255" s="246">
        <f t="shared" si="198"/>
        <v>0</v>
      </c>
    </row>
    <row r="10256" spans="20:20" ht="18.75" customHeight="1" x14ac:dyDescent="0.35">
      <c r="T10256" s="246">
        <f t="shared" si="198"/>
        <v>0</v>
      </c>
    </row>
    <row r="10257" spans="20:20" ht="18.75" customHeight="1" x14ac:dyDescent="0.35">
      <c r="T10257" s="246">
        <f t="shared" si="198"/>
        <v>0</v>
      </c>
    </row>
    <row r="10258" spans="20:20" ht="18.75" customHeight="1" x14ac:dyDescent="0.35">
      <c r="T10258" s="246">
        <f t="shared" si="198"/>
        <v>0</v>
      </c>
    </row>
    <row r="10259" spans="20:20" ht="18.75" customHeight="1" x14ac:dyDescent="0.35">
      <c r="T10259" s="246">
        <f t="shared" si="198"/>
        <v>0</v>
      </c>
    </row>
    <row r="10260" spans="20:20" ht="18.75" customHeight="1" x14ac:dyDescent="0.35">
      <c r="T10260" s="246">
        <f t="shared" si="198"/>
        <v>0</v>
      </c>
    </row>
    <row r="10261" spans="20:20" ht="18.75" customHeight="1" x14ac:dyDescent="0.35">
      <c r="T10261" s="246">
        <f t="shared" si="198"/>
        <v>0</v>
      </c>
    </row>
    <row r="10262" spans="20:20" ht="18.75" customHeight="1" x14ac:dyDescent="0.35">
      <c r="T10262" s="246">
        <f t="shared" si="198"/>
        <v>0</v>
      </c>
    </row>
    <row r="10263" spans="20:20" ht="18.75" customHeight="1" x14ac:dyDescent="0.35">
      <c r="T10263" s="246">
        <f t="shared" si="198"/>
        <v>0</v>
      </c>
    </row>
    <row r="10264" spans="20:20" ht="18.75" customHeight="1" x14ac:dyDescent="0.35">
      <c r="T10264" s="246">
        <f t="shared" si="198"/>
        <v>0</v>
      </c>
    </row>
    <row r="10265" spans="20:20" ht="18.75" customHeight="1" x14ac:dyDescent="0.35">
      <c r="T10265" s="246">
        <f t="shared" si="198"/>
        <v>0</v>
      </c>
    </row>
    <row r="10266" spans="20:20" ht="18.75" customHeight="1" x14ac:dyDescent="0.35">
      <c r="T10266" s="246">
        <f t="shared" si="198"/>
        <v>0</v>
      </c>
    </row>
    <row r="10267" spans="20:20" ht="18.75" customHeight="1" x14ac:dyDescent="0.35">
      <c r="T10267" s="246">
        <f t="shared" si="198"/>
        <v>0</v>
      </c>
    </row>
    <row r="10268" spans="20:20" ht="18.75" customHeight="1" x14ac:dyDescent="0.35">
      <c r="T10268" s="246">
        <f t="shared" si="198"/>
        <v>0</v>
      </c>
    </row>
    <row r="10269" spans="20:20" ht="18.75" customHeight="1" x14ac:dyDescent="0.35">
      <c r="T10269" s="246">
        <f t="shared" si="198"/>
        <v>0</v>
      </c>
    </row>
    <row r="10270" spans="20:20" ht="18.75" customHeight="1" x14ac:dyDescent="0.35">
      <c r="T10270" s="246">
        <f t="shared" si="198"/>
        <v>0</v>
      </c>
    </row>
    <row r="10271" spans="20:20" ht="18.75" customHeight="1" x14ac:dyDescent="0.35">
      <c r="T10271" s="246">
        <f t="shared" si="198"/>
        <v>0</v>
      </c>
    </row>
    <row r="10272" spans="20:20" ht="18.75" customHeight="1" x14ac:dyDescent="0.35">
      <c r="T10272" s="246">
        <f t="shared" si="198"/>
        <v>0</v>
      </c>
    </row>
    <row r="10273" spans="20:20" ht="18.75" customHeight="1" x14ac:dyDescent="0.35">
      <c r="T10273" s="246">
        <f t="shared" si="198"/>
        <v>0</v>
      </c>
    </row>
    <row r="10274" spans="20:20" ht="18.75" customHeight="1" x14ac:dyDescent="0.35">
      <c r="T10274" s="246">
        <f t="shared" si="198"/>
        <v>0</v>
      </c>
    </row>
    <row r="10275" spans="20:20" ht="18.75" customHeight="1" x14ac:dyDescent="0.35">
      <c r="T10275" s="246">
        <f t="shared" si="198"/>
        <v>0</v>
      </c>
    </row>
    <row r="10276" spans="20:20" ht="18.75" customHeight="1" x14ac:dyDescent="0.35">
      <c r="T10276" s="246">
        <f t="shared" si="198"/>
        <v>0</v>
      </c>
    </row>
    <row r="10277" spans="20:20" ht="18.75" customHeight="1" x14ac:dyDescent="0.35">
      <c r="T10277" s="246">
        <f t="shared" si="198"/>
        <v>0</v>
      </c>
    </row>
    <row r="10278" spans="20:20" ht="18.75" customHeight="1" x14ac:dyDescent="0.35">
      <c r="T10278" s="246">
        <f t="shared" si="198"/>
        <v>0</v>
      </c>
    </row>
    <row r="10279" spans="20:20" ht="18.75" customHeight="1" x14ac:dyDescent="0.35">
      <c r="T10279" s="246">
        <f t="shared" si="198"/>
        <v>0</v>
      </c>
    </row>
    <row r="10280" spans="20:20" ht="18.75" customHeight="1" x14ac:dyDescent="0.35">
      <c r="T10280" s="246">
        <f t="shared" si="198"/>
        <v>0</v>
      </c>
    </row>
    <row r="10281" spans="20:20" ht="18.75" customHeight="1" x14ac:dyDescent="0.35">
      <c r="T10281" s="246">
        <f t="shared" si="198"/>
        <v>0</v>
      </c>
    </row>
    <row r="10282" spans="20:20" ht="18.75" customHeight="1" x14ac:dyDescent="0.35">
      <c r="T10282" s="246">
        <f t="shared" si="198"/>
        <v>0</v>
      </c>
    </row>
    <row r="10283" spans="20:20" ht="18.75" customHeight="1" x14ac:dyDescent="0.35">
      <c r="T10283" s="246">
        <f t="shared" si="198"/>
        <v>0</v>
      </c>
    </row>
    <row r="10284" spans="20:20" ht="18.75" customHeight="1" x14ac:dyDescent="0.35">
      <c r="T10284" s="246">
        <f t="shared" si="198"/>
        <v>0</v>
      </c>
    </row>
    <row r="10285" spans="20:20" ht="18.75" customHeight="1" x14ac:dyDescent="0.35">
      <c r="T10285" s="246">
        <f t="shared" si="198"/>
        <v>0</v>
      </c>
    </row>
    <row r="10286" spans="20:20" ht="18.75" customHeight="1" x14ac:dyDescent="0.35">
      <c r="T10286" s="246">
        <f t="shared" si="198"/>
        <v>0</v>
      </c>
    </row>
    <row r="10287" spans="20:20" ht="18.75" customHeight="1" x14ac:dyDescent="0.35">
      <c r="T10287" s="246">
        <f t="shared" si="198"/>
        <v>0</v>
      </c>
    </row>
    <row r="10288" spans="20:20" ht="18.75" customHeight="1" x14ac:dyDescent="0.35">
      <c r="T10288" s="246">
        <f t="shared" si="198"/>
        <v>0</v>
      </c>
    </row>
    <row r="10289" spans="20:20" ht="18.75" customHeight="1" x14ac:dyDescent="0.35">
      <c r="T10289" s="246">
        <f t="shared" si="198"/>
        <v>0</v>
      </c>
    </row>
    <row r="10290" spans="20:20" ht="18.75" customHeight="1" x14ac:dyDescent="0.35">
      <c r="T10290" s="246">
        <f t="shared" si="198"/>
        <v>0</v>
      </c>
    </row>
    <row r="10291" spans="20:20" ht="18.75" customHeight="1" x14ac:dyDescent="0.35">
      <c r="T10291" s="246">
        <f t="shared" si="198"/>
        <v>0</v>
      </c>
    </row>
    <row r="10292" spans="20:20" ht="18.75" customHeight="1" x14ac:dyDescent="0.35">
      <c r="T10292" s="246">
        <f t="shared" si="198"/>
        <v>0</v>
      </c>
    </row>
    <row r="10293" spans="20:20" ht="18.75" customHeight="1" x14ac:dyDescent="0.35">
      <c r="T10293" s="246">
        <f t="shared" si="198"/>
        <v>0</v>
      </c>
    </row>
    <row r="10294" spans="20:20" ht="18.75" customHeight="1" x14ac:dyDescent="0.35">
      <c r="T10294" s="246">
        <f t="shared" si="198"/>
        <v>0</v>
      </c>
    </row>
    <row r="10295" spans="20:20" ht="18.75" customHeight="1" x14ac:dyDescent="0.35">
      <c r="T10295" s="246">
        <f t="shared" si="198"/>
        <v>0</v>
      </c>
    </row>
    <row r="10296" spans="20:20" ht="18.75" customHeight="1" x14ac:dyDescent="0.35">
      <c r="T10296" s="246">
        <f t="shared" si="198"/>
        <v>0</v>
      </c>
    </row>
    <row r="10297" spans="20:20" ht="18.75" customHeight="1" x14ac:dyDescent="0.35">
      <c r="T10297" s="246">
        <f t="shared" si="198"/>
        <v>0</v>
      </c>
    </row>
    <row r="10298" spans="20:20" ht="18.75" customHeight="1" x14ac:dyDescent="0.35">
      <c r="T10298" s="246">
        <f t="shared" si="198"/>
        <v>0</v>
      </c>
    </row>
    <row r="10299" spans="20:20" ht="18.75" customHeight="1" x14ac:dyDescent="0.35">
      <c r="T10299" s="246">
        <f t="shared" si="198"/>
        <v>0</v>
      </c>
    </row>
    <row r="10300" spans="20:20" ht="18.75" customHeight="1" x14ac:dyDescent="0.35">
      <c r="T10300" s="246">
        <f t="shared" ref="T10300:T10363" si="199">R10300*0.01</f>
        <v>0</v>
      </c>
    </row>
    <row r="10301" spans="20:20" ht="18.75" customHeight="1" x14ac:dyDescent="0.35">
      <c r="T10301" s="246">
        <f t="shared" si="199"/>
        <v>0</v>
      </c>
    </row>
    <row r="10302" spans="20:20" ht="18.75" customHeight="1" x14ac:dyDescent="0.35">
      <c r="T10302" s="246">
        <f t="shared" si="199"/>
        <v>0</v>
      </c>
    </row>
    <row r="10303" spans="20:20" ht="18.75" customHeight="1" x14ac:dyDescent="0.35">
      <c r="T10303" s="246">
        <f t="shared" si="199"/>
        <v>0</v>
      </c>
    </row>
    <row r="10304" spans="20:20" ht="18.75" customHeight="1" x14ac:dyDescent="0.35">
      <c r="T10304" s="246">
        <f t="shared" si="199"/>
        <v>0</v>
      </c>
    </row>
    <row r="10305" spans="20:20" ht="18.75" customHeight="1" x14ac:dyDescent="0.35">
      <c r="T10305" s="246">
        <f t="shared" si="199"/>
        <v>0</v>
      </c>
    </row>
    <row r="10306" spans="20:20" ht="18.75" customHeight="1" x14ac:dyDescent="0.35">
      <c r="T10306" s="246">
        <f t="shared" si="199"/>
        <v>0</v>
      </c>
    </row>
    <row r="10307" spans="20:20" ht="18.75" customHeight="1" x14ac:dyDescent="0.35">
      <c r="T10307" s="246">
        <f t="shared" si="199"/>
        <v>0</v>
      </c>
    </row>
    <row r="10308" spans="20:20" ht="18.75" customHeight="1" x14ac:dyDescent="0.35">
      <c r="T10308" s="246">
        <f t="shared" si="199"/>
        <v>0</v>
      </c>
    </row>
    <row r="10309" spans="20:20" ht="18.75" customHeight="1" x14ac:dyDescent="0.35">
      <c r="T10309" s="246">
        <f t="shared" si="199"/>
        <v>0</v>
      </c>
    </row>
    <row r="10310" spans="20:20" ht="18.75" customHeight="1" x14ac:dyDescent="0.35">
      <c r="T10310" s="246">
        <f t="shared" si="199"/>
        <v>0</v>
      </c>
    </row>
    <row r="10311" spans="20:20" ht="18.75" customHeight="1" x14ac:dyDescent="0.35">
      <c r="T10311" s="246">
        <f t="shared" si="199"/>
        <v>0</v>
      </c>
    </row>
    <row r="10312" spans="20:20" ht="18.75" customHeight="1" x14ac:dyDescent="0.35">
      <c r="T10312" s="246">
        <f t="shared" si="199"/>
        <v>0</v>
      </c>
    </row>
    <row r="10313" spans="20:20" ht="18.75" customHeight="1" x14ac:dyDescent="0.35">
      <c r="T10313" s="246">
        <f t="shared" si="199"/>
        <v>0</v>
      </c>
    </row>
    <row r="10314" spans="20:20" ht="18.75" customHeight="1" x14ac:dyDescent="0.35">
      <c r="T10314" s="246">
        <f t="shared" si="199"/>
        <v>0</v>
      </c>
    </row>
    <row r="10315" spans="20:20" ht="18.75" customHeight="1" x14ac:dyDescent="0.35">
      <c r="T10315" s="246">
        <f t="shared" si="199"/>
        <v>0</v>
      </c>
    </row>
    <row r="10316" spans="20:20" ht="18.75" customHeight="1" x14ac:dyDescent="0.35">
      <c r="T10316" s="246">
        <f t="shared" si="199"/>
        <v>0</v>
      </c>
    </row>
    <row r="10317" spans="20:20" ht="18.75" customHeight="1" x14ac:dyDescent="0.35">
      <c r="T10317" s="246">
        <f t="shared" si="199"/>
        <v>0</v>
      </c>
    </row>
    <row r="10318" spans="20:20" ht="18.75" customHeight="1" x14ac:dyDescent="0.35">
      <c r="T10318" s="246">
        <f t="shared" si="199"/>
        <v>0</v>
      </c>
    </row>
    <row r="10319" spans="20:20" ht="18.75" customHeight="1" x14ac:dyDescent="0.35">
      <c r="T10319" s="246">
        <f t="shared" si="199"/>
        <v>0</v>
      </c>
    </row>
    <row r="10320" spans="20:20" ht="18.75" customHeight="1" x14ac:dyDescent="0.35">
      <c r="T10320" s="246">
        <f t="shared" si="199"/>
        <v>0</v>
      </c>
    </row>
    <row r="10321" spans="20:20" ht="18.75" customHeight="1" x14ac:dyDescent="0.35">
      <c r="T10321" s="246">
        <f t="shared" si="199"/>
        <v>0</v>
      </c>
    </row>
    <row r="10322" spans="20:20" ht="18.75" customHeight="1" x14ac:dyDescent="0.35">
      <c r="T10322" s="246">
        <f t="shared" si="199"/>
        <v>0</v>
      </c>
    </row>
    <row r="10323" spans="20:20" ht="18.75" customHeight="1" x14ac:dyDescent="0.35">
      <c r="T10323" s="246">
        <f t="shared" si="199"/>
        <v>0</v>
      </c>
    </row>
    <row r="10324" spans="20:20" ht="18.75" customHeight="1" x14ac:dyDescent="0.35">
      <c r="T10324" s="246">
        <f t="shared" si="199"/>
        <v>0</v>
      </c>
    </row>
    <row r="10325" spans="20:20" ht="18.75" customHeight="1" x14ac:dyDescent="0.35">
      <c r="T10325" s="246">
        <f t="shared" si="199"/>
        <v>0</v>
      </c>
    </row>
    <row r="10326" spans="20:20" ht="18.75" customHeight="1" x14ac:dyDescent="0.35">
      <c r="T10326" s="246">
        <f t="shared" si="199"/>
        <v>0</v>
      </c>
    </row>
    <row r="10327" spans="20:20" ht="18.75" customHeight="1" x14ac:dyDescent="0.35">
      <c r="T10327" s="246">
        <f t="shared" si="199"/>
        <v>0</v>
      </c>
    </row>
    <row r="10328" spans="20:20" ht="18.75" customHeight="1" x14ac:dyDescent="0.35">
      <c r="T10328" s="246">
        <f t="shared" si="199"/>
        <v>0</v>
      </c>
    </row>
    <row r="10329" spans="20:20" ht="18.75" customHeight="1" x14ac:dyDescent="0.35">
      <c r="T10329" s="246">
        <f t="shared" si="199"/>
        <v>0</v>
      </c>
    </row>
    <row r="10330" spans="20:20" ht="18.75" customHeight="1" x14ac:dyDescent="0.35">
      <c r="T10330" s="246">
        <f t="shared" si="199"/>
        <v>0</v>
      </c>
    </row>
    <row r="10331" spans="20:20" ht="18.75" customHeight="1" x14ac:dyDescent="0.35">
      <c r="T10331" s="246">
        <f t="shared" si="199"/>
        <v>0</v>
      </c>
    </row>
    <row r="10332" spans="20:20" ht="18.75" customHeight="1" x14ac:dyDescent="0.35">
      <c r="T10332" s="246">
        <f t="shared" si="199"/>
        <v>0</v>
      </c>
    </row>
    <row r="10333" spans="20:20" ht="18.75" customHeight="1" x14ac:dyDescent="0.35">
      <c r="T10333" s="246">
        <f t="shared" si="199"/>
        <v>0</v>
      </c>
    </row>
    <row r="10334" spans="20:20" ht="18.75" customHeight="1" x14ac:dyDescent="0.35">
      <c r="T10334" s="246">
        <f t="shared" si="199"/>
        <v>0</v>
      </c>
    </row>
    <row r="10335" spans="20:20" ht="18.75" customHeight="1" x14ac:dyDescent="0.35">
      <c r="T10335" s="246">
        <f t="shared" si="199"/>
        <v>0</v>
      </c>
    </row>
    <row r="10336" spans="20:20" ht="18.75" customHeight="1" x14ac:dyDescent="0.35">
      <c r="T10336" s="246">
        <f t="shared" si="199"/>
        <v>0</v>
      </c>
    </row>
    <row r="10337" spans="20:20" ht="18.75" customHeight="1" x14ac:dyDescent="0.35">
      <c r="T10337" s="246">
        <f t="shared" si="199"/>
        <v>0</v>
      </c>
    </row>
    <row r="10338" spans="20:20" ht="18.75" customHeight="1" x14ac:dyDescent="0.35">
      <c r="T10338" s="246">
        <f t="shared" si="199"/>
        <v>0</v>
      </c>
    </row>
    <row r="10339" spans="20:20" ht="18.75" customHeight="1" x14ac:dyDescent="0.35">
      <c r="T10339" s="246">
        <f t="shared" si="199"/>
        <v>0</v>
      </c>
    </row>
    <row r="10340" spans="20:20" ht="18.75" customHeight="1" x14ac:dyDescent="0.35">
      <c r="T10340" s="246">
        <f t="shared" si="199"/>
        <v>0</v>
      </c>
    </row>
    <row r="10341" spans="20:20" ht="18.75" customHeight="1" x14ac:dyDescent="0.35">
      <c r="T10341" s="246">
        <f t="shared" si="199"/>
        <v>0</v>
      </c>
    </row>
    <row r="10342" spans="20:20" ht="18.75" customHeight="1" x14ac:dyDescent="0.35">
      <c r="T10342" s="246">
        <f t="shared" si="199"/>
        <v>0</v>
      </c>
    </row>
    <row r="10343" spans="20:20" ht="18.75" customHeight="1" x14ac:dyDescent="0.35">
      <c r="T10343" s="246">
        <f t="shared" si="199"/>
        <v>0</v>
      </c>
    </row>
    <row r="10344" spans="20:20" ht="18.75" customHeight="1" x14ac:dyDescent="0.35">
      <c r="T10344" s="246">
        <f t="shared" si="199"/>
        <v>0</v>
      </c>
    </row>
    <row r="10345" spans="20:20" ht="18.75" customHeight="1" x14ac:dyDescent="0.35">
      <c r="T10345" s="246">
        <f t="shared" si="199"/>
        <v>0</v>
      </c>
    </row>
    <row r="10346" spans="20:20" ht="18.75" customHeight="1" x14ac:dyDescent="0.35">
      <c r="T10346" s="246">
        <f t="shared" si="199"/>
        <v>0</v>
      </c>
    </row>
    <row r="10347" spans="20:20" ht="18.75" customHeight="1" x14ac:dyDescent="0.35">
      <c r="T10347" s="246">
        <f t="shared" si="199"/>
        <v>0</v>
      </c>
    </row>
    <row r="10348" spans="20:20" ht="18.75" customHeight="1" x14ac:dyDescent="0.35">
      <c r="T10348" s="246">
        <f t="shared" si="199"/>
        <v>0</v>
      </c>
    </row>
    <row r="10349" spans="20:20" ht="18.75" customHeight="1" x14ac:dyDescent="0.35">
      <c r="T10349" s="246">
        <f t="shared" si="199"/>
        <v>0</v>
      </c>
    </row>
    <row r="10350" spans="20:20" ht="18.75" customHeight="1" x14ac:dyDescent="0.35">
      <c r="T10350" s="246">
        <f t="shared" si="199"/>
        <v>0</v>
      </c>
    </row>
    <row r="10351" spans="20:20" ht="18.75" customHeight="1" x14ac:dyDescent="0.35">
      <c r="T10351" s="246">
        <f t="shared" si="199"/>
        <v>0</v>
      </c>
    </row>
    <row r="10352" spans="20:20" ht="18.75" customHeight="1" x14ac:dyDescent="0.35">
      <c r="T10352" s="246">
        <f t="shared" si="199"/>
        <v>0</v>
      </c>
    </row>
    <row r="10353" spans="20:20" ht="18.75" customHeight="1" x14ac:dyDescent="0.35">
      <c r="T10353" s="246">
        <f t="shared" si="199"/>
        <v>0</v>
      </c>
    </row>
    <row r="10354" spans="20:20" ht="18.75" customHeight="1" x14ac:dyDescent="0.35">
      <c r="T10354" s="246">
        <f t="shared" si="199"/>
        <v>0</v>
      </c>
    </row>
    <row r="10355" spans="20:20" ht="18.75" customHeight="1" x14ac:dyDescent="0.35">
      <c r="T10355" s="246">
        <f t="shared" si="199"/>
        <v>0</v>
      </c>
    </row>
    <row r="10356" spans="20:20" ht="18.75" customHeight="1" x14ac:dyDescent="0.35">
      <c r="T10356" s="246">
        <f t="shared" si="199"/>
        <v>0</v>
      </c>
    </row>
    <row r="10357" spans="20:20" ht="18.75" customHeight="1" x14ac:dyDescent="0.35">
      <c r="T10357" s="246">
        <f t="shared" si="199"/>
        <v>0</v>
      </c>
    </row>
    <row r="10358" spans="20:20" ht="18.75" customHeight="1" x14ac:dyDescent="0.35">
      <c r="T10358" s="246">
        <f t="shared" si="199"/>
        <v>0</v>
      </c>
    </row>
    <row r="10359" spans="20:20" ht="18.75" customHeight="1" x14ac:dyDescent="0.35">
      <c r="T10359" s="246">
        <f t="shared" si="199"/>
        <v>0</v>
      </c>
    </row>
    <row r="10360" spans="20:20" ht="18.75" customHeight="1" x14ac:dyDescent="0.35">
      <c r="T10360" s="246">
        <f t="shared" si="199"/>
        <v>0</v>
      </c>
    </row>
    <row r="10361" spans="20:20" ht="18.75" customHeight="1" x14ac:dyDescent="0.35">
      <c r="T10361" s="246">
        <f t="shared" si="199"/>
        <v>0</v>
      </c>
    </row>
    <row r="10362" spans="20:20" ht="18.75" customHeight="1" x14ac:dyDescent="0.35">
      <c r="T10362" s="246">
        <f t="shared" si="199"/>
        <v>0</v>
      </c>
    </row>
    <row r="10363" spans="20:20" ht="18.75" customHeight="1" x14ac:dyDescent="0.35">
      <c r="T10363" s="246">
        <f t="shared" si="199"/>
        <v>0</v>
      </c>
    </row>
    <row r="10364" spans="20:20" ht="18.75" customHeight="1" x14ac:dyDescent="0.35">
      <c r="T10364" s="246">
        <f t="shared" ref="T10364:T10427" si="200">R10364*0.01</f>
        <v>0</v>
      </c>
    </row>
    <row r="10365" spans="20:20" ht="18.75" customHeight="1" x14ac:dyDescent="0.35">
      <c r="T10365" s="246">
        <f t="shared" si="200"/>
        <v>0</v>
      </c>
    </row>
    <row r="10366" spans="20:20" ht="18.75" customHeight="1" x14ac:dyDescent="0.35">
      <c r="T10366" s="246">
        <f t="shared" si="200"/>
        <v>0</v>
      </c>
    </row>
    <row r="10367" spans="20:20" ht="18.75" customHeight="1" x14ac:dyDescent="0.35">
      <c r="T10367" s="246">
        <f t="shared" si="200"/>
        <v>0</v>
      </c>
    </row>
    <row r="10368" spans="20:20" ht="18.75" customHeight="1" x14ac:dyDescent="0.35">
      <c r="T10368" s="246">
        <f t="shared" si="200"/>
        <v>0</v>
      </c>
    </row>
    <row r="10369" spans="20:20" ht="18.75" customHeight="1" x14ac:dyDescent="0.35">
      <c r="T10369" s="246">
        <f t="shared" si="200"/>
        <v>0</v>
      </c>
    </row>
    <row r="10370" spans="20:20" ht="18.75" customHeight="1" x14ac:dyDescent="0.35">
      <c r="T10370" s="246">
        <f t="shared" si="200"/>
        <v>0</v>
      </c>
    </row>
    <row r="10371" spans="20:20" ht="18.75" customHeight="1" x14ac:dyDescent="0.35">
      <c r="T10371" s="246">
        <f t="shared" si="200"/>
        <v>0</v>
      </c>
    </row>
    <row r="10372" spans="20:20" ht="18.75" customHeight="1" x14ac:dyDescent="0.35">
      <c r="T10372" s="246">
        <f t="shared" si="200"/>
        <v>0</v>
      </c>
    </row>
    <row r="10373" spans="20:20" ht="18.75" customHeight="1" x14ac:dyDescent="0.35">
      <c r="T10373" s="246">
        <f t="shared" si="200"/>
        <v>0</v>
      </c>
    </row>
    <row r="10374" spans="20:20" ht="18.75" customHeight="1" x14ac:dyDescent="0.35">
      <c r="T10374" s="246">
        <f t="shared" si="200"/>
        <v>0</v>
      </c>
    </row>
    <row r="10375" spans="20:20" ht="18.75" customHeight="1" x14ac:dyDescent="0.35">
      <c r="T10375" s="246">
        <f t="shared" si="200"/>
        <v>0</v>
      </c>
    </row>
    <row r="10376" spans="20:20" ht="18.75" customHeight="1" x14ac:dyDescent="0.35">
      <c r="T10376" s="246">
        <f t="shared" si="200"/>
        <v>0</v>
      </c>
    </row>
    <row r="10377" spans="20:20" ht="18.75" customHeight="1" x14ac:dyDescent="0.35">
      <c r="T10377" s="246">
        <f t="shared" si="200"/>
        <v>0</v>
      </c>
    </row>
    <row r="10378" spans="20:20" ht="18.75" customHeight="1" x14ac:dyDescent="0.35">
      <c r="T10378" s="246">
        <f t="shared" si="200"/>
        <v>0</v>
      </c>
    </row>
    <row r="10379" spans="20:20" ht="18.75" customHeight="1" x14ac:dyDescent="0.35">
      <c r="T10379" s="246">
        <f t="shared" si="200"/>
        <v>0</v>
      </c>
    </row>
    <row r="10380" spans="20:20" ht="18.75" customHeight="1" x14ac:dyDescent="0.35">
      <c r="T10380" s="246">
        <f t="shared" si="200"/>
        <v>0</v>
      </c>
    </row>
    <row r="10381" spans="20:20" ht="18.75" customHeight="1" x14ac:dyDescent="0.35">
      <c r="T10381" s="246">
        <f t="shared" si="200"/>
        <v>0</v>
      </c>
    </row>
    <row r="10382" spans="20:20" ht="18.75" customHeight="1" x14ac:dyDescent="0.35">
      <c r="T10382" s="246">
        <f t="shared" si="200"/>
        <v>0</v>
      </c>
    </row>
    <row r="10383" spans="20:20" ht="18.75" customHeight="1" x14ac:dyDescent="0.35">
      <c r="T10383" s="246">
        <f t="shared" si="200"/>
        <v>0</v>
      </c>
    </row>
    <row r="10384" spans="20:20" ht="18.75" customHeight="1" x14ac:dyDescent="0.35">
      <c r="T10384" s="246">
        <f t="shared" si="200"/>
        <v>0</v>
      </c>
    </row>
    <row r="10385" spans="20:20" ht="18.75" customHeight="1" x14ac:dyDescent="0.35">
      <c r="T10385" s="246">
        <f t="shared" si="200"/>
        <v>0</v>
      </c>
    </row>
    <row r="10386" spans="20:20" ht="18.75" customHeight="1" x14ac:dyDescent="0.35">
      <c r="T10386" s="246">
        <f t="shared" si="200"/>
        <v>0</v>
      </c>
    </row>
    <row r="10387" spans="20:20" ht="18.75" customHeight="1" x14ac:dyDescent="0.35">
      <c r="T10387" s="246">
        <f t="shared" si="200"/>
        <v>0</v>
      </c>
    </row>
    <row r="10388" spans="20:20" ht="18.75" customHeight="1" x14ac:dyDescent="0.35">
      <c r="T10388" s="246">
        <f t="shared" si="200"/>
        <v>0</v>
      </c>
    </row>
    <row r="10389" spans="20:20" ht="18.75" customHeight="1" x14ac:dyDescent="0.35">
      <c r="T10389" s="246">
        <f t="shared" si="200"/>
        <v>0</v>
      </c>
    </row>
    <row r="10390" spans="20:20" ht="18.75" customHeight="1" x14ac:dyDescent="0.35">
      <c r="T10390" s="246">
        <f t="shared" si="200"/>
        <v>0</v>
      </c>
    </row>
    <row r="10391" spans="20:20" ht="18.75" customHeight="1" x14ac:dyDescent="0.35">
      <c r="T10391" s="246">
        <f t="shared" si="200"/>
        <v>0</v>
      </c>
    </row>
    <row r="10392" spans="20:20" ht="18.75" customHeight="1" x14ac:dyDescent="0.35">
      <c r="T10392" s="246">
        <f t="shared" si="200"/>
        <v>0</v>
      </c>
    </row>
    <row r="10393" spans="20:20" ht="18.75" customHeight="1" x14ac:dyDescent="0.35">
      <c r="T10393" s="246">
        <f t="shared" si="200"/>
        <v>0</v>
      </c>
    </row>
    <row r="10394" spans="20:20" ht="18.75" customHeight="1" x14ac:dyDescent="0.35">
      <c r="T10394" s="246">
        <f t="shared" si="200"/>
        <v>0</v>
      </c>
    </row>
    <row r="10395" spans="20:20" ht="18.75" customHeight="1" x14ac:dyDescent="0.35">
      <c r="T10395" s="246">
        <f t="shared" si="200"/>
        <v>0</v>
      </c>
    </row>
    <row r="10396" spans="20:20" ht="18.75" customHeight="1" x14ac:dyDescent="0.35">
      <c r="T10396" s="246">
        <f t="shared" si="200"/>
        <v>0</v>
      </c>
    </row>
    <row r="10397" spans="20:20" ht="18.75" customHeight="1" x14ac:dyDescent="0.35">
      <c r="T10397" s="246">
        <f t="shared" si="200"/>
        <v>0</v>
      </c>
    </row>
    <row r="10398" spans="20:20" ht="18.75" customHeight="1" x14ac:dyDescent="0.35">
      <c r="T10398" s="246">
        <f t="shared" si="200"/>
        <v>0</v>
      </c>
    </row>
    <row r="10399" spans="20:20" ht="18.75" customHeight="1" x14ac:dyDescent="0.35">
      <c r="T10399" s="246">
        <f t="shared" si="200"/>
        <v>0</v>
      </c>
    </row>
    <row r="10400" spans="20:20" ht="18.75" customHeight="1" x14ac:dyDescent="0.35">
      <c r="T10400" s="246">
        <f t="shared" si="200"/>
        <v>0</v>
      </c>
    </row>
    <row r="10401" spans="20:20" ht="18.75" customHeight="1" x14ac:dyDescent="0.35">
      <c r="T10401" s="246">
        <f t="shared" si="200"/>
        <v>0</v>
      </c>
    </row>
    <row r="10402" spans="20:20" ht="18.75" customHeight="1" x14ac:dyDescent="0.35">
      <c r="T10402" s="246">
        <f t="shared" si="200"/>
        <v>0</v>
      </c>
    </row>
    <row r="10403" spans="20:20" ht="18.75" customHeight="1" x14ac:dyDescent="0.35">
      <c r="T10403" s="246">
        <f t="shared" si="200"/>
        <v>0</v>
      </c>
    </row>
    <row r="10404" spans="20:20" ht="18.75" customHeight="1" x14ac:dyDescent="0.35">
      <c r="T10404" s="246">
        <f t="shared" si="200"/>
        <v>0</v>
      </c>
    </row>
    <row r="10405" spans="20:20" ht="18.75" customHeight="1" x14ac:dyDescent="0.35">
      <c r="T10405" s="246">
        <f t="shared" si="200"/>
        <v>0</v>
      </c>
    </row>
    <row r="10406" spans="20:20" ht="18.75" customHeight="1" x14ac:dyDescent="0.35">
      <c r="T10406" s="246">
        <f t="shared" si="200"/>
        <v>0</v>
      </c>
    </row>
    <row r="10407" spans="20:20" ht="18.75" customHeight="1" x14ac:dyDescent="0.35">
      <c r="T10407" s="246">
        <f t="shared" si="200"/>
        <v>0</v>
      </c>
    </row>
    <row r="10408" spans="20:20" ht="18.75" customHeight="1" x14ac:dyDescent="0.35">
      <c r="T10408" s="246">
        <f t="shared" si="200"/>
        <v>0</v>
      </c>
    </row>
    <row r="10409" spans="20:20" ht="18.75" customHeight="1" x14ac:dyDescent="0.35">
      <c r="T10409" s="246">
        <f t="shared" si="200"/>
        <v>0</v>
      </c>
    </row>
    <row r="10410" spans="20:20" ht="18.75" customHeight="1" x14ac:dyDescent="0.35">
      <c r="T10410" s="246">
        <f t="shared" si="200"/>
        <v>0</v>
      </c>
    </row>
    <row r="10411" spans="20:20" ht="18.75" customHeight="1" x14ac:dyDescent="0.35">
      <c r="T10411" s="246">
        <f t="shared" si="200"/>
        <v>0</v>
      </c>
    </row>
    <row r="10412" spans="20:20" ht="18.75" customHeight="1" x14ac:dyDescent="0.35">
      <c r="T10412" s="246">
        <f t="shared" si="200"/>
        <v>0</v>
      </c>
    </row>
    <row r="10413" spans="20:20" ht="18.75" customHeight="1" x14ac:dyDescent="0.35">
      <c r="T10413" s="246">
        <f t="shared" si="200"/>
        <v>0</v>
      </c>
    </row>
    <row r="10414" spans="20:20" ht="18.75" customHeight="1" x14ac:dyDescent="0.35">
      <c r="T10414" s="246">
        <f t="shared" si="200"/>
        <v>0</v>
      </c>
    </row>
    <row r="10415" spans="20:20" ht="18.75" customHeight="1" x14ac:dyDescent="0.35">
      <c r="T10415" s="246">
        <f t="shared" si="200"/>
        <v>0</v>
      </c>
    </row>
    <row r="10416" spans="20:20" ht="18.75" customHeight="1" x14ac:dyDescent="0.35">
      <c r="T10416" s="246">
        <f t="shared" si="200"/>
        <v>0</v>
      </c>
    </row>
    <row r="10417" spans="20:20" ht="18.75" customHeight="1" x14ac:dyDescent="0.35">
      <c r="T10417" s="246">
        <f t="shared" si="200"/>
        <v>0</v>
      </c>
    </row>
    <row r="10418" spans="20:20" ht="18.75" customHeight="1" x14ac:dyDescent="0.35">
      <c r="T10418" s="246">
        <f t="shared" si="200"/>
        <v>0</v>
      </c>
    </row>
    <row r="10419" spans="20:20" ht="18.75" customHeight="1" x14ac:dyDescent="0.35">
      <c r="T10419" s="246">
        <f t="shared" si="200"/>
        <v>0</v>
      </c>
    </row>
    <row r="10420" spans="20:20" ht="18.75" customHeight="1" x14ac:dyDescent="0.35">
      <c r="T10420" s="246">
        <f t="shared" si="200"/>
        <v>0</v>
      </c>
    </row>
    <row r="10421" spans="20:20" ht="18.75" customHeight="1" x14ac:dyDescent="0.35">
      <c r="T10421" s="246">
        <f t="shared" si="200"/>
        <v>0</v>
      </c>
    </row>
    <row r="10422" spans="20:20" ht="18.75" customHeight="1" x14ac:dyDescent="0.35">
      <c r="T10422" s="246">
        <f t="shared" si="200"/>
        <v>0</v>
      </c>
    </row>
    <row r="10423" spans="20:20" ht="18.75" customHeight="1" x14ac:dyDescent="0.35">
      <c r="T10423" s="246">
        <f t="shared" si="200"/>
        <v>0</v>
      </c>
    </row>
    <row r="10424" spans="20:20" ht="18.75" customHeight="1" x14ac:dyDescent="0.35">
      <c r="T10424" s="246">
        <f t="shared" si="200"/>
        <v>0</v>
      </c>
    </row>
    <row r="10425" spans="20:20" ht="18.75" customHeight="1" x14ac:dyDescent="0.35">
      <c r="T10425" s="246">
        <f t="shared" si="200"/>
        <v>0</v>
      </c>
    </row>
    <row r="10426" spans="20:20" ht="18.75" customHeight="1" x14ac:dyDescent="0.35">
      <c r="T10426" s="246">
        <f t="shared" si="200"/>
        <v>0</v>
      </c>
    </row>
    <row r="10427" spans="20:20" ht="18.75" customHeight="1" x14ac:dyDescent="0.35">
      <c r="T10427" s="246">
        <f t="shared" si="200"/>
        <v>0</v>
      </c>
    </row>
    <row r="10428" spans="20:20" ht="18.75" customHeight="1" x14ac:dyDescent="0.35">
      <c r="T10428" s="246">
        <f t="shared" ref="T10428:T10491" si="201">R10428*0.01</f>
        <v>0</v>
      </c>
    </row>
    <row r="10429" spans="20:20" ht="18.75" customHeight="1" x14ac:dyDescent="0.35">
      <c r="T10429" s="246">
        <f t="shared" si="201"/>
        <v>0</v>
      </c>
    </row>
    <row r="10430" spans="20:20" ht="18.75" customHeight="1" x14ac:dyDescent="0.35">
      <c r="T10430" s="246">
        <f t="shared" si="201"/>
        <v>0</v>
      </c>
    </row>
    <row r="10431" spans="20:20" ht="18.75" customHeight="1" x14ac:dyDescent="0.35">
      <c r="T10431" s="246">
        <f t="shared" si="201"/>
        <v>0</v>
      </c>
    </row>
    <row r="10432" spans="20:20" ht="18.75" customHeight="1" x14ac:dyDescent="0.35">
      <c r="T10432" s="246">
        <f t="shared" si="201"/>
        <v>0</v>
      </c>
    </row>
    <row r="10433" spans="20:20" ht="18.75" customHeight="1" x14ac:dyDescent="0.35">
      <c r="T10433" s="246">
        <f t="shared" si="201"/>
        <v>0</v>
      </c>
    </row>
    <row r="10434" spans="20:20" ht="18.75" customHeight="1" x14ac:dyDescent="0.35">
      <c r="T10434" s="246">
        <f t="shared" si="201"/>
        <v>0</v>
      </c>
    </row>
    <row r="10435" spans="20:20" ht="18.75" customHeight="1" x14ac:dyDescent="0.35">
      <c r="T10435" s="246">
        <f t="shared" si="201"/>
        <v>0</v>
      </c>
    </row>
    <row r="10436" spans="20:20" ht="18.75" customHeight="1" x14ac:dyDescent="0.35">
      <c r="T10436" s="246">
        <f t="shared" si="201"/>
        <v>0</v>
      </c>
    </row>
    <row r="10437" spans="20:20" ht="18.75" customHeight="1" x14ac:dyDescent="0.35">
      <c r="T10437" s="246">
        <f t="shared" si="201"/>
        <v>0</v>
      </c>
    </row>
    <row r="10438" spans="20:20" ht="18.75" customHeight="1" x14ac:dyDescent="0.35">
      <c r="T10438" s="246">
        <f t="shared" si="201"/>
        <v>0</v>
      </c>
    </row>
    <row r="10439" spans="20:20" ht="18.75" customHeight="1" x14ac:dyDescent="0.35">
      <c r="T10439" s="246">
        <f t="shared" si="201"/>
        <v>0</v>
      </c>
    </row>
    <row r="10440" spans="20:20" ht="18.75" customHeight="1" x14ac:dyDescent="0.35">
      <c r="T10440" s="246">
        <f t="shared" si="201"/>
        <v>0</v>
      </c>
    </row>
    <row r="10441" spans="20:20" ht="18.75" customHeight="1" x14ac:dyDescent="0.35">
      <c r="T10441" s="246">
        <f t="shared" si="201"/>
        <v>0</v>
      </c>
    </row>
    <row r="10442" spans="20:20" ht="18.75" customHeight="1" x14ac:dyDescent="0.35">
      <c r="T10442" s="246">
        <f t="shared" si="201"/>
        <v>0</v>
      </c>
    </row>
    <row r="10443" spans="20:20" ht="18.75" customHeight="1" x14ac:dyDescent="0.35">
      <c r="T10443" s="246">
        <f t="shared" si="201"/>
        <v>0</v>
      </c>
    </row>
    <row r="10444" spans="20:20" ht="18.75" customHeight="1" x14ac:dyDescent="0.35">
      <c r="T10444" s="246">
        <f t="shared" si="201"/>
        <v>0</v>
      </c>
    </row>
    <row r="10445" spans="20:20" ht="18.75" customHeight="1" x14ac:dyDescent="0.35">
      <c r="T10445" s="246">
        <f t="shared" si="201"/>
        <v>0</v>
      </c>
    </row>
    <row r="10446" spans="20:20" ht="18.75" customHeight="1" x14ac:dyDescent="0.35">
      <c r="T10446" s="246">
        <f t="shared" si="201"/>
        <v>0</v>
      </c>
    </row>
    <row r="10447" spans="20:20" ht="18.75" customHeight="1" x14ac:dyDescent="0.35">
      <c r="T10447" s="246">
        <f t="shared" si="201"/>
        <v>0</v>
      </c>
    </row>
    <row r="10448" spans="20:20" ht="18.75" customHeight="1" x14ac:dyDescent="0.35">
      <c r="T10448" s="246">
        <f t="shared" si="201"/>
        <v>0</v>
      </c>
    </row>
    <row r="10449" spans="20:20" ht="18.75" customHeight="1" x14ac:dyDescent="0.35">
      <c r="T10449" s="246">
        <f t="shared" si="201"/>
        <v>0</v>
      </c>
    </row>
    <row r="10450" spans="20:20" ht="18.75" customHeight="1" x14ac:dyDescent="0.35">
      <c r="T10450" s="246">
        <f t="shared" si="201"/>
        <v>0</v>
      </c>
    </row>
    <row r="10451" spans="20:20" ht="18.75" customHeight="1" x14ac:dyDescent="0.35">
      <c r="T10451" s="246">
        <f t="shared" si="201"/>
        <v>0</v>
      </c>
    </row>
    <row r="10452" spans="20:20" ht="18.75" customHeight="1" x14ac:dyDescent="0.35">
      <c r="T10452" s="246">
        <f t="shared" si="201"/>
        <v>0</v>
      </c>
    </row>
    <row r="10453" spans="20:20" ht="18.75" customHeight="1" x14ac:dyDescent="0.35">
      <c r="T10453" s="246">
        <f t="shared" si="201"/>
        <v>0</v>
      </c>
    </row>
    <row r="10454" spans="20:20" ht="18.75" customHeight="1" x14ac:dyDescent="0.35">
      <c r="T10454" s="246">
        <f t="shared" si="201"/>
        <v>0</v>
      </c>
    </row>
    <row r="10455" spans="20:20" ht="18.75" customHeight="1" x14ac:dyDescent="0.35">
      <c r="T10455" s="246">
        <f t="shared" si="201"/>
        <v>0</v>
      </c>
    </row>
    <row r="10456" spans="20:20" ht="18.75" customHeight="1" x14ac:dyDescent="0.35">
      <c r="T10456" s="246">
        <f t="shared" si="201"/>
        <v>0</v>
      </c>
    </row>
    <row r="10457" spans="20:20" ht="18.75" customHeight="1" x14ac:dyDescent="0.35">
      <c r="T10457" s="246">
        <f t="shared" si="201"/>
        <v>0</v>
      </c>
    </row>
    <row r="10458" spans="20:20" ht="18.75" customHeight="1" x14ac:dyDescent="0.35">
      <c r="T10458" s="246">
        <f t="shared" si="201"/>
        <v>0</v>
      </c>
    </row>
    <row r="10459" spans="20:20" ht="18.75" customHeight="1" x14ac:dyDescent="0.35">
      <c r="T10459" s="246">
        <f t="shared" si="201"/>
        <v>0</v>
      </c>
    </row>
    <row r="10460" spans="20:20" ht="18.75" customHeight="1" x14ac:dyDescent="0.35">
      <c r="T10460" s="246">
        <f t="shared" si="201"/>
        <v>0</v>
      </c>
    </row>
    <row r="10461" spans="20:20" ht="18.75" customHeight="1" x14ac:dyDescent="0.35">
      <c r="T10461" s="246">
        <f t="shared" si="201"/>
        <v>0</v>
      </c>
    </row>
    <row r="10462" spans="20:20" ht="18.75" customHeight="1" x14ac:dyDescent="0.35">
      <c r="T10462" s="246">
        <f t="shared" si="201"/>
        <v>0</v>
      </c>
    </row>
    <row r="10463" spans="20:20" ht="18.75" customHeight="1" x14ac:dyDescent="0.35">
      <c r="T10463" s="246">
        <f t="shared" si="201"/>
        <v>0</v>
      </c>
    </row>
    <row r="10464" spans="20:20" ht="18.75" customHeight="1" x14ac:dyDescent="0.35">
      <c r="T10464" s="246">
        <f t="shared" si="201"/>
        <v>0</v>
      </c>
    </row>
    <row r="10465" spans="20:20" ht="18.75" customHeight="1" x14ac:dyDescent="0.35">
      <c r="T10465" s="246">
        <f t="shared" si="201"/>
        <v>0</v>
      </c>
    </row>
    <row r="10466" spans="20:20" ht="18.75" customHeight="1" x14ac:dyDescent="0.35">
      <c r="T10466" s="246">
        <f t="shared" si="201"/>
        <v>0</v>
      </c>
    </row>
    <row r="10467" spans="20:20" ht="18.75" customHeight="1" x14ac:dyDescent="0.35">
      <c r="T10467" s="246">
        <f t="shared" si="201"/>
        <v>0</v>
      </c>
    </row>
    <row r="10468" spans="20:20" ht="18.75" customHeight="1" x14ac:dyDescent="0.35">
      <c r="T10468" s="246">
        <f t="shared" si="201"/>
        <v>0</v>
      </c>
    </row>
    <row r="10469" spans="20:20" ht="18.75" customHeight="1" x14ac:dyDescent="0.35">
      <c r="T10469" s="246">
        <f t="shared" si="201"/>
        <v>0</v>
      </c>
    </row>
    <row r="10470" spans="20:20" ht="18.75" customHeight="1" x14ac:dyDescent="0.35">
      <c r="T10470" s="246">
        <f t="shared" si="201"/>
        <v>0</v>
      </c>
    </row>
    <row r="10471" spans="20:20" ht="18.75" customHeight="1" x14ac:dyDescent="0.35">
      <c r="T10471" s="246">
        <f t="shared" si="201"/>
        <v>0</v>
      </c>
    </row>
    <row r="10472" spans="20:20" ht="18.75" customHeight="1" x14ac:dyDescent="0.35">
      <c r="T10472" s="246">
        <f t="shared" si="201"/>
        <v>0</v>
      </c>
    </row>
    <row r="10473" spans="20:20" ht="18.75" customHeight="1" x14ac:dyDescent="0.35">
      <c r="T10473" s="246">
        <f t="shared" si="201"/>
        <v>0</v>
      </c>
    </row>
    <row r="10474" spans="20:20" ht="18.75" customHeight="1" x14ac:dyDescent="0.35">
      <c r="T10474" s="246">
        <f t="shared" si="201"/>
        <v>0</v>
      </c>
    </row>
    <row r="10475" spans="20:20" ht="18.75" customHeight="1" x14ac:dyDescent="0.35">
      <c r="T10475" s="246">
        <f t="shared" si="201"/>
        <v>0</v>
      </c>
    </row>
    <row r="10476" spans="20:20" ht="18.75" customHeight="1" x14ac:dyDescent="0.35">
      <c r="T10476" s="246">
        <f t="shared" si="201"/>
        <v>0</v>
      </c>
    </row>
    <row r="10477" spans="20:20" ht="18.75" customHeight="1" x14ac:dyDescent="0.35">
      <c r="T10477" s="246">
        <f t="shared" si="201"/>
        <v>0</v>
      </c>
    </row>
    <row r="10478" spans="20:20" ht="18.75" customHeight="1" x14ac:dyDescent="0.35">
      <c r="T10478" s="246">
        <f t="shared" si="201"/>
        <v>0</v>
      </c>
    </row>
    <row r="10479" spans="20:20" ht="18.75" customHeight="1" x14ac:dyDescent="0.35">
      <c r="T10479" s="246">
        <f t="shared" si="201"/>
        <v>0</v>
      </c>
    </row>
    <row r="10480" spans="20:20" ht="18.75" customHeight="1" x14ac:dyDescent="0.35">
      <c r="T10480" s="246">
        <f t="shared" si="201"/>
        <v>0</v>
      </c>
    </row>
    <row r="10481" spans="20:20" ht="18.75" customHeight="1" x14ac:dyDescent="0.35">
      <c r="T10481" s="246">
        <f t="shared" si="201"/>
        <v>0</v>
      </c>
    </row>
    <row r="10482" spans="20:20" ht="18.75" customHeight="1" x14ac:dyDescent="0.35">
      <c r="T10482" s="246">
        <f t="shared" si="201"/>
        <v>0</v>
      </c>
    </row>
    <row r="10483" spans="20:20" ht="18.75" customHeight="1" x14ac:dyDescent="0.35">
      <c r="T10483" s="246">
        <f t="shared" si="201"/>
        <v>0</v>
      </c>
    </row>
    <row r="10484" spans="20:20" ht="18.75" customHeight="1" x14ac:dyDescent="0.35">
      <c r="T10484" s="246">
        <f t="shared" si="201"/>
        <v>0</v>
      </c>
    </row>
    <row r="10485" spans="20:20" ht="18.75" customHeight="1" x14ac:dyDescent="0.35">
      <c r="T10485" s="246">
        <f t="shared" si="201"/>
        <v>0</v>
      </c>
    </row>
    <row r="10486" spans="20:20" ht="18.75" customHeight="1" x14ac:dyDescent="0.35">
      <c r="T10486" s="246">
        <f t="shared" si="201"/>
        <v>0</v>
      </c>
    </row>
    <row r="10487" spans="20:20" ht="18.75" customHeight="1" x14ac:dyDescent="0.35">
      <c r="T10487" s="246">
        <f t="shared" si="201"/>
        <v>0</v>
      </c>
    </row>
    <row r="10488" spans="20:20" ht="18.75" customHeight="1" x14ac:dyDescent="0.35">
      <c r="T10488" s="246">
        <f t="shared" si="201"/>
        <v>0</v>
      </c>
    </row>
    <row r="10489" spans="20:20" ht="18.75" customHeight="1" x14ac:dyDescent="0.35">
      <c r="T10489" s="246">
        <f t="shared" si="201"/>
        <v>0</v>
      </c>
    </row>
    <row r="10490" spans="20:20" ht="18.75" customHeight="1" x14ac:dyDescent="0.35">
      <c r="T10490" s="246">
        <f t="shared" si="201"/>
        <v>0</v>
      </c>
    </row>
    <row r="10491" spans="20:20" ht="18.75" customHeight="1" x14ac:dyDescent="0.35">
      <c r="T10491" s="246">
        <f t="shared" si="201"/>
        <v>0</v>
      </c>
    </row>
    <row r="10492" spans="20:20" ht="18.75" customHeight="1" x14ac:dyDescent="0.35">
      <c r="T10492" s="246">
        <f t="shared" ref="T10492:T10555" si="202">R10492*0.01</f>
        <v>0</v>
      </c>
    </row>
    <row r="10493" spans="20:20" ht="18.75" customHeight="1" x14ac:dyDescent="0.35">
      <c r="T10493" s="246">
        <f t="shared" si="202"/>
        <v>0</v>
      </c>
    </row>
    <row r="10494" spans="20:20" ht="18.75" customHeight="1" x14ac:dyDescent="0.35">
      <c r="T10494" s="246">
        <f t="shared" si="202"/>
        <v>0</v>
      </c>
    </row>
    <row r="10495" spans="20:20" ht="18.75" customHeight="1" x14ac:dyDescent="0.35">
      <c r="T10495" s="246">
        <f t="shared" si="202"/>
        <v>0</v>
      </c>
    </row>
    <row r="10496" spans="20:20" ht="18.75" customHeight="1" x14ac:dyDescent="0.35">
      <c r="T10496" s="246">
        <f t="shared" si="202"/>
        <v>0</v>
      </c>
    </row>
    <row r="10497" spans="20:20" ht="18.75" customHeight="1" x14ac:dyDescent="0.35">
      <c r="T10497" s="246">
        <f t="shared" si="202"/>
        <v>0</v>
      </c>
    </row>
    <row r="10498" spans="20:20" ht="18.75" customHeight="1" x14ac:dyDescent="0.35">
      <c r="T10498" s="246">
        <f t="shared" si="202"/>
        <v>0</v>
      </c>
    </row>
    <row r="10499" spans="20:20" ht="18.75" customHeight="1" x14ac:dyDescent="0.35">
      <c r="T10499" s="246">
        <f t="shared" si="202"/>
        <v>0</v>
      </c>
    </row>
    <row r="10500" spans="20:20" ht="18.75" customHeight="1" x14ac:dyDescent="0.35">
      <c r="T10500" s="246">
        <f t="shared" si="202"/>
        <v>0</v>
      </c>
    </row>
    <row r="10501" spans="20:20" ht="18.75" customHeight="1" x14ac:dyDescent="0.35">
      <c r="T10501" s="246">
        <f t="shared" si="202"/>
        <v>0</v>
      </c>
    </row>
    <row r="10502" spans="20:20" ht="18.75" customHeight="1" x14ac:dyDescent="0.35">
      <c r="T10502" s="246">
        <f t="shared" si="202"/>
        <v>0</v>
      </c>
    </row>
    <row r="10503" spans="20:20" ht="18.75" customHeight="1" x14ac:dyDescent="0.35">
      <c r="T10503" s="246">
        <f t="shared" si="202"/>
        <v>0</v>
      </c>
    </row>
    <row r="10504" spans="20:20" ht="18.75" customHeight="1" x14ac:dyDescent="0.35">
      <c r="T10504" s="246">
        <f t="shared" si="202"/>
        <v>0</v>
      </c>
    </row>
    <row r="10505" spans="20:20" ht="18.75" customHeight="1" x14ac:dyDescent="0.35">
      <c r="T10505" s="246">
        <f t="shared" si="202"/>
        <v>0</v>
      </c>
    </row>
    <row r="10506" spans="20:20" ht="18.75" customHeight="1" x14ac:dyDescent="0.35">
      <c r="T10506" s="246">
        <f t="shared" si="202"/>
        <v>0</v>
      </c>
    </row>
    <row r="10507" spans="20:20" ht="18.75" customHeight="1" x14ac:dyDescent="0.35">
      <c r="T10507" s="246">
        <f t="shared" si="202"/>
        <v>0</v>
      </c>
    </row>
    <row r="10508" spans="20:20" ht="18.75" customHeight="1" x14ac:dyDescent="0.35">
      <c r="T10508" s="246">
        <f t="shared" si="202"/>
        <v>0</v>
      </c>
    </row>
    <row r="10509" spans="20:20" ht="18.75" customHeight="1" x14ac:dyDescent="0.35">
      <c r="T10509" s="246">
        <f t="shared" si="202"/>
        <v>0</v>
      </c>
    </row>
    <row r="10510" spans="20:20" ht="18.75" customHeight="1" x14ac:dyDescent="0.35">
      <c r="T10510" s="246">
        <f t="shared" si="202"/>
        <v>0</v>
      </c>
    </row>
    <row r="10511" spans="20:20" ht="18.75" customHeight="1" x14ac:dyDescent="0.35">
      <c r="T10511" s="246">
        <f t="shared" si="202"/>
        <v>0</v>
      </c>
    </row>
    <row r="10512" spans="20:20" ht="18.75" customHeight="1" x14ac:dyDescent="0.35">
      <c r="T10512" s="246">
        <f t="shared" si="202"/>
        <v>0</v>
      </c>
    </row>
    <row r="10513" spans="20:20" ht="18.75" customHeight="1" x14ac:dyDescent="0.35">
      <c r="T10513" s="246">
        <f t="shared" si="202"/>
        <v>0</v>
      </c>
    </row>
    <row r="10514" spans="20:20" ht="18.75" customHeight="1" x14ac:dyDescent="0.35">
      <c r="T10514" s="246">
        <f t="shared" si="202"/>
        <v>0</v>
      </c>
    </row>
    <row r="10515" spans="20:20" ht="18.75" customHeight="1" x14ac:dyDescent="0.35">
      <c r="T10515" s="246">
        <f t="shared" si="202"/>
        <v>0</v>
      </c>
    </row>
    <row r="10516" spans="20:20" ht="18.75" customHeight="1" x14ac:dyDescent="0.35">
      <c r="T10516" s="246">
        <f t="shared" si="202"/>
        <v>0</v>
      </c>
    </row>
    <row r="10517" spans="20:20" ht="18.75" customHeight="1" x14ac:dyDescent="0.35">
      <c r="T10517" s="246">
        <f t="shared" si="202"/>
        <v>0</v>
      </c>
    </row>
    <row r="10518" spans="20:20" ht="18.75" customHeight="1" x14ac:dyDescent="0.35">
      <c r="T10518" s="246">
        <f t="shared" si="202"/>
        <v>0</v>
      </c>
    </row>
    <row r="10519" spans="20:20" ht="18.75" customHeight="1" x14ac:dyDescent="0.35">
      <c r="T10519" s="246">
        <f t="shared" si="202"/>
        <v>0</v>
      </c>
    </row>
    <row r="10520" spans="20:20" ht="18.75" customHeight="1" x14ac:dyDescent="0.35">
      <c r="T10520" s="246">
        <f t="shared" si="202"/>
        <v>0</v>
      </c>
    </row>
    <row r="10521" spans="20:20" ht="18.75" customHeight="1" x14ac:dyDescent="0.35">
      <c r="T10521" s="246">
        <f t="shared" si="202"/>
        <v>0</v>
      </c>
    </row>
    <row r="10522" spans="20:20" ht="18.75" customHeight="1" x14ac:dyDescent="0.35">
      <c r="T10522" s="246">
        <f t="shared" si="202"/>
        <v>0</v>
      </c>
    </row>
    <row r="10523" spans="20:20" ht="18.75" customHeight="1" x14ac:dyDescent="0.35">
      <c r="T10523" s="246">
        <f t="shared" si="202"/>
        <v>0</v>
      </c>
    </row>
    <row r="10524" spans="20:20" ht="18.75" customHeight="1" x14ac:dyDescent="0.35">
      <c r="T10524" s="246">
        <f t="shared" si="202"/>
        <v>0</v>
      </c>
    </row>
    <row r="10525" spans="20:20" ht="18.75" customHeight="1" x14ac:dyDescent="0.35">
      <c r="T10525" s="246">
        <f t="shared" si="202"/>
        <v>0</v>
      </c>
    </row>
    <row r="10526" spans="20:20" ht="18.75" customHeight="1" x14ac:dyDescent="0.35">
      <c r="T10526" s="246">
        <f t="shared" si="202"/>
        <v>0</v>
      </c>
    </row>
    <row r="10527" spans="20:20" ht="18.75" customHeight="1" x14ac:dyDescent="0.35">
      <c r="T10527" s="246">
        <f t="shared" si="202"/>
        <v>0</v>
      </c>
    </row>
    <row r="10528" spans="20:20" ht="18.75" customHeight="1" x14ac:dyDescent="0.35">
      <c r="T10528" s="246">
        <f t="shared" si="202"/>
        <v>0</v>
      </c>
    </row>
    <row r="10529" spans="20:20" ht="18.75" customHeight="1" x14ac:dyDescent="0.35">
      <c r="T10529" s="246">
        <f t="shared" si="202"/>
        <v>0</v>
      </c>
    </row>
    <row r="10530" spans="20:20" ht="18.75" customHeight="1" x14ac:dyDescent="0.35">
      <c r="T10530" s="246">
        <f t="shared" si="202"/>
        <v>0</v>
      </c>
    </row>
    <row r="10531" spans="20:20" ht="18.75" customHeight="1" x14ac:dyDescent="0.35">
      <c r="T10531" s="246">
        <f t="shared" si="202"/>
        <v>0</v>
      </c>
    </row>
    <row r="10532" spans="20:20" ht="18.75" customHeight="1" x14ac:dyDescent="0.35">
      <c r="T10532" s="246">
        <f t="shared" si="202"/>
        <v>0</v>
      </c>
    </row>
    <row r="10533" spans="20:20" ht="18.75" customHeight="1" x14ac:dyDescent="0.35">
      <c r="T10533" s="246">
        <f t="shared" si="202"/>
        <v>0</v>
      </c>
    </row>
    <row r="10534" spans="20:20" ht="18.75" customHeight="1" x14ac:dyDescent="0.35">
      <c r="T10534" s="246">
        <f t="shared" si="202"/>
        <v>0</v>
      </c>
    </row>
    <row r="10535" spans="20:20" ht="18.75" customHeight="1" x14ac:dyDescent="0.35">
      <c r="T10535" s="246">
        <f t="shared" si="202"/>
        <v>0</v>
      </c>
    </row>
    <row r="10536" spans="20:20" ht="18.75" customHeight="1" x14ac:dyDescent="0.35">
      <c r="T10536" s="246">
        <f t="shared" si="202"/>
        <v>0</v>
      </c>
    </row>
    <row r="10537" spans="20:20" ht="18.75" customHeight="1" x14ac:dyDescent="0.35">
      <c r="T10537" s="246">
        <f t="shared" si="202"/>
        <v>0</v>
      </c>
    </row>
    <row r="10538" spans="20:20" ht="18.75" customHeight="1" x14ac:dyDescent="0.35">
      <c r="T10538" s="246">
        <f t="shared" si="202"/>
        <v>0</v>
      </c>
    </row>
    <row r="10539" spans="20:20" ht="18.75" customHeight="1" x14ac:dyDescent="0.35">
      <c r="T10539" s="246">
        <f t="shared" si="202"/>
        <v>0</v>
      </c>
    </row>
    <row r="10540" spans="20:20" ht="18.75" customHeight="1" x14ac:dyDescent="0.35">
      <c r="T10540" s="246">
        <f t="shared" si="202"/>
        <v>0</v>
      </c>
    </row>
    <row r="10541" spans="20:20" ht="18.75" customHeight="1" x14ac:dyDescent="0.35">
      <c r="T10541" s="246">
        <f t="shared" si="202"/>
        <v>0</v>
      </c>
    </row>
    <row r="10542" spans="20:20" ht="18.75" customHeight="1" x14ac:dyDescent="0.35">
      <c r="T10542" s="246">
        <f t="shared" si="202"/>
        <v>0</v>
      </c>
    </row>
    <row r="10543" spans="20:20" ht="18.75" customHeight="1" x14ac:dyDescent="0.35">
      <c r="T10543" s="246">
        <f t="shared" si="202"/>
        <v>0</v>
      </c>
    </row>
    <row r="10544" spans="20:20" ht="18.75" customHeight="1" x14ac:dyDescent="0.35">
      <c r="T10544" s="246">
        <f t="shared" si="202"/>
        <v>0</v>
      </c>
    </row>
    <row r="10545" spans="20:20" ht="18.75" customHeight="1" x14ac:dyDescent="0.35">
      <c r="T10545" s="246">
        <f t="shared" si="202"/>
        <v>0</v>
      </c>
    </row>
    <row r="10546" spans="20:20" ht="18.75" customHeight="1" x14ac:dyDescent="0.35">
      <c r="T10546" s="246">
        <f t="shared" si="202"/>
        <v>0</v>
      </c>
    </row>
    <row r="10547" spans="20:20" ht="18.75" customHeight="1" x14ac:dyDescent="0.35">
      <c r="T10547" s="246">
        <f t="shared" si="202"/>
        <v>0</v>
      </c>
    </row>
    <row r="10548" spans="20:20" ht="18.75" customHeight="1" x14ac:dyDescent="0.35">
      <c r="T10548" s="246">
        <f t="shared" si="202"/>
        <v>0</v>
      </c>
    </row>
    <row r="10549" spans="20:20" ht="18.75" customHeight="1" x14ac:dyDescent="0.35">
      <c r="T10549" s="246">
        <f t="shared" si="202"/>
        <v>0</v>
      </c>
    </row>
    <row r="10550" spans="20:20" ht="18.75" customHeight="1" x14ac:dyDescent="0.35">
      <c r="T10550" s="246">
        <f t="shared" si="202"/>
        <v>0</v>
      </c>
    </row>
    <row r="10551" spans="20:20" ht="18.75" customHeight="1" x14ac:dyDescent="0.35">
      <c r="T10551" s="246">
        <f t="shared" si="202"/>
        <v>0</v>
      </c>
    </row>
    <row r="10552" spans="20:20" ht="18.75" customHeight="1" x14ac:dyDescent="0.35">
      <c r="T10552" s="246">
        <f t="shared" si="202"/>
        <v>0</v>
      </c>
    </row>
    <row r="10553" spans="20:20" ht="18.75" customHeight="1" x14ac:dyDescent="0.35">
      <c r="T10553" s="246">
        <f t="shared" si="202"/>
        <v>0</v>
      </c>
    </row>
    <row r="10554" spans="20:20" ht="18.75" customHeight="1" x14ac:dyDescent="0.35">
      <c r="T10554" s="246">
        <f t="shared" si="202"/>
        <v>0</v>
      </c>
    </row>
    <row r="10555" spans="20:20" ht="18.75" customHeight="1" x14ac:dyDescent="0.35">
      <c r="T10555" s="246">
        <f t="shared" si="202"/>
        <v>0</v>
      </c>
    </row>
    <row r="10556" spans="20:20" ht="18.75" customHeight="1" x14ac:dyDescent="0.35">
      <c r="T10556" s="246">
        <f t="shared" ref="T10556:T10619" si="203">R10556*0.01</f>
        <v>0</v>
      </c>
    </row>
    <row r="10557" spans="20:20" ht="18.75" customHeight="1" x14ac:dyDescent="0.35">
      <c r="T10557" s="246">
        <f t="shared" si="203"/>
        <v>0</v>
      </c>
    </row>
    <row r="10558" spans="20:20" ht="18.75" customHeight="1" x14ac:dyDescent="0.35">
      <c r="T10558" s="246">
        <f t="shared" si="203"/>
        <v>0</v>
      </c>
    </row>
    <row r="10559" spans="20:20" ht="18.75" customHeight="1" x14ac:dyDescent="0.35">
      <c r="T10559" s="246">
        <f t="shared" si="203"/>
        <v>0</v>
      </c>
    </row>
    <row r="10560" spans="20:20" ht="18.75" customHeight="1" x14ac:dyDescent="0.35">
      <c r="T10560" s="246">
        <f t="shared" si="203"/>
        <v>0</v>
      </c>
    </row>
    <row r="10561" spans="20:20" ht="18.75" customHeight="1" x14ac:dyDescent="0.35">
      <c r="T10561" s="246">
        <f t="shared" si="203"/>
        <v>0</v>
      </c>
    </row>
    <row r="10562" spans="20:20" ht="18.75" customHeight="1" x14ac:dyDescent="0.35">
      <c r="T10562" s="246">
        <f t="shared" si="203"/>
        <v>0</v>
      </c>
    </row>
    <row r="10563" spans="20:20" ht="18.75" customHeight="1" x14ac:dyDescent="0.35">
      <c r="T10563" s="246">
        <f t="shared" si="203"/>
        <v>0</v>
      </c>
    </row>
    <row r="10564" spans="20:20" ht="18.75" customHeight="1" x14ac:dyDescent="0.35">
      <c r="T10564" s="246">
        <f t="shared" si="203"/>
        <v>0</v>
      </c>
    </row>
    <row r="10565" spans="20:20" ht="18.75" customHeight="1" x14ac:dyDescent="0.35">
      <c r="T10565" s="246">
        <f t="shared" si="203"/>
        <v>0</v>
      </c>
    </row>
    <row r="10566" spans="20:20" ht="18.75" customHeight="1" x14ac:dyDescent="0.35">
      <c r="T10566" s="246">
        <f t="shared" si="203"/>
        <v>0</v>
      </c>
    </row>
    <row r="10567" spans="20:20" ht="18.75" customHeight="1" x14ac:dyDescent="0.35">
      <c r="T10567" s="246">
        <f t="shared" si="203"/>
        <v>0</v>
      </c>
    </row>
    <row r="10568" spans="20:20" ht="18.75" customHeight="1" x14ac:dyDescent="0.35">
      <c r="T10568" s="246">
        <f t="shared" si="203"/>
        <v>0</v>
      </c>
    </row>
    <row r="10569" spans="20:20" ht="18.75" customHeight="1" x14ac:dyDescent="0.35">
      <c r="T10569" s="246">
        <f t="shared" si="203"/>
        <v>0</v>
      </c>
    </row>
    <row r="10570" spans="20:20" ht="18.75" customHeight="1" x14ac:dyDescent="0.35">
      <c r="T10570" s="246">
        <f t="shared" si="203"/>
        <v>0</v>
      </c>
    </row>
    <row r="10571" spans="20:20" ht="18.75" customHeight="1" x14ac:dyDescent="0.35">
      <c r="T10571" s="246">
        <f t="shared" si="203"/>
        <v>0</v>
      </c>
    </row>
    <row r="10572" spans="20:20" ht="18.75" customHeight="1" x14ac:dyDescent="0.35">
      <c r="T10572" s="246">
        <f t="shared" si="203"/>
        <v>0</v>
      </c>
    </row>
    <row r="10573" spans="20:20" ht="18.75" customHeight="1" x14ac:dyDescent="0.35">
      <c r="T10573" s="246">
        <f t="shared" si="203"/>
        <v>0</v>
      </c>
    </row>
    <row r="10574" spans="20:20" ht="18.75" customHeight="1" x14ac:dyDescent="0.35">
      <c r="T10574" s="246">
        <f t="shared" si="203"/>
        <v>0</v>
      </c>
    </row>
    <row r="10575" spans="20:20" ht="18.75" customHeight="1" x14ac:dyDescent="0.35">
      <c r="T10575" s="246">
        <f t="shared" si="203"/>
        <v>0</v>
      </c>
    </row>
    <row r="10576" spans="20:20" ht="18.75" customHeight="1" x14ac:dyDescent="0.35">
      <c r="T10576" s="246">
        <f t="shared" si="203"/>
        <v>0</v>
      </c>
    </row>
    <row r="10577" spans="20:20" ht="18.75" customHeight="1" x14ac:dyDescent="0.35">
      <c r="T10577" s="246">
        <f t="shared" si="203"/>
        <v>0</v>
      </c>
    </row>
    <row r="10578" spans="20:20" ht="18.75" customHeight="1" x14ac:dyDescent="0.35">
      <c r="T10578" s="246">
        <f t="shared" si="203"/>
        <v>0</v>
      </c>
    </row>
    <row r="10579" spans="20:20" ht="18.75" customHeight="1" x14ac:dyDescent="0.35">
      <c r="T10579" s="246">
        <f t="shared" si="203"/>
        <v>0</v>
      </c>
    </row>
    <row r="10580" spans="20:20" ht="18.75" customHeight="1" x14ac:dyDescent="0.35">
      <c r="T10580" s="246">
        <f t="shared" si="203"/>
        <v>0</v>
      </c>
    </row>
    <row r="10581" spans="20:20" ht="18.75" customHeight="1" x14ac:dyDescent="0.35">
      <c r="T10581" s="246">
        <f t="shared" si="203"/>
        <v>0</v>
      </c>
    </row>
    <row r="10582" spans="20:20" ht="18.75" customHeight="1" x14ac:dyDescent="0.35">
      <c r="T10582" s="246">
        <f t="shared" si="203"/>
        <v>0</v>
      </c>
    </row>
    <row r="10583" spans="20:20" ht="18.75" customHeight="1" x14ac:dyDescent="0.35">
      <c r="T10583" s="246">
        <f t="shared" si="203"/>
        <v>0</v>
      </c>
    </row>
    <row r="10584" spans="20:20" ht="18.75" customHeight="1" x14ac:dyDescent="0.35">
      <c r="T10584" s="246">
        <f t="shared" si="203"/>
        <v>0</v>
      </c>
    </row>
    <row r="10585" spans="20:20" ht="18.75" customHeight="1" x14ac:dyDescent="0.35">
      <c r="T10585" s="246">
        <f t="shared" si="203"/>
        <v>0</v>
      </c>
    </row>
    <row r="10586" spans="20:20" ht="18.75" customHeight="1" x14ac:dyDescent="0.35">
      <c r="T10586" s="246">
        <f t="shared" si="203"/>
        <v>0</v>
      </c>
    </row>
    <row r="10587" spans="20:20" ht="18.75" customHeight="1" x14ac:dyDescent="0.35">
      <c r="T10587" s="246">
        <f t="shared" si="203"/>
        <v>0</v>
      </c>
    </row>
    <row r="10588" spans="20:20" ht="18.75" customHeight="1" x14ac:dyDescent="0.35">
      <c r="T10588" s="246">
        <f t="shared" si="203"/>
        <v>0</v>
      </c>
    </row>
    <row r="10589" spans="20:20" ht="18.75" customHeight="1" x14ac:dyDescent="0.35">
      <c r="T10589" s="246">
        <f t="shared" si="203"/>
        <v>0</v>
      </c>
    </row>
    <row r="10590" spans="20:20" ht="18.75" customHeight="1" x14ac:dyDescent="0.35">
      <c r="T10590" s="246">
        <f t="shared" si="203"/>
        <v>0</v>
      </c>
    </row>
    <row r="10591" spans="20:20" ht="18.75" customHeight="1" x14ac:dyDescent="0.35">
      <c r="T10591" s="246">
        <f t="shared" si="203"/>
        <v>0</v>
      </c>
    </row>
    <row r="10592" spans="20:20" ht="18.75" customHeight="1" x14ac:dyDescent="0.35">
      <c r="T10592" s="246">
        <f t="shared" si="203"/>
        <v>0</v>
      </c>
    </row>
    <row r="10593" spans="20:20" ht="18.75" customHeight="1" x14ac:dyDescent="0.35">
      <c r="T10593" s="246">
        <f t="shared" si="203"/>
        <v>0</v>
      </c>
    </row>
    <row r="10594" spans="20:20" ht="18.75" customHeight="1" x14ac:dyDescent="0.35">
      <c r="T10594" s="246">
        <f t="shared" si="203"/>
        <v>0</v>
      </c>
    </row>
    <row r="10595" spans="20:20" ht="18.75" customHeight="1" x14ac:dyDescent="0.35">
      <c r="T10595" s="246">
        <f t="shared" si="203"/>
        <v>0</v>
      </c>
    </row>
    <row r="10596" spans="20:20" ht="18.75" customHeight="1" x14ac:dyDescent="0.35">
      <c r="T10596" s="246">
        <f t="shared" si="203"/>
        <v>0</v>
      </c>
    </row>
    <row r="10597" spans="20:20" ht="18.75" customHeight="1" x14ac:dyDescent="0.35">
      <c r="T10597" s="246">
        <f t="shared" si="203"/>
        <v>0</v>
      </c>
    </row>
    <row r="10598" spans="20:20" ht="18.75" customHeight="1" x14ac:dyDescent="0.35">
      <c r="T10598" s="246">
        <f t="shared" si="203"/>
        <v>0</v>
      </c>
    </row>
    <row r="10599" spans="20:20" ht="18.75" customHeight="1" x14ac:dyDescent="0.35">
      <c r="T10599" s="246">
        <f t="shared" si="203"/>
        <v>0</v>
      </c>
    </row>
    <row r="10600" spans="20:20" ht="18.75" customHeight="1" x14ac:dyDescent="0.35">
      <c r="T10600" s="246">
        <f t="shared" si="203"/>
        <v>0</v>
      </c>
    </row>
    <row r="10601" spans="20:20" ht="18.75" customHeight="1" x14ac:dyDescent="0.35">
      <c r="T10601" s="246">
        <f t="shared" si="203"/>
        <v>0</v>
      </c>
    </row>
    <row r="10602" spans="20:20" ht="18.75" customHeight="1" x14ac:dyDescent="0.35">
      <c r="T10602" s="246">
        <f t="shared" si="203"/>
        <v>0</v>
      </c>
    </row>
    <row r="10603" spans="20:20" ht="18.75" customHeight="1" x14ac:dyDescent="0.35">
      <c r="T10603" s="246">
        <f t="shared" si="203"/>
        <v>0</v>
      </c>
    </row>
    <row r="10604" spans="20:20" ht="18.75" customHeight="1" x14ac:dyDescent="0.35">
      <c r="T10604" s="246">
        <f t="shared" si="203"/>
        <v>0</v>
      </c>
    </row>
    <row r="10605" spans="20:20" ht="18.75" customHeight="1" x14ac:dyDescent="0.35">
      <c r="T10605" s="246">
        <f t="shared" si="203"/>
        <v>0</v>
      </c>
    </row>
    <row r="10606" spans="20:20" ht="18.75" customHeight="1" x14ac:dyDescent="0.35">
      <c r="T10606" s="246">
        <f t="shared" si="203"/>
        <v>0</v>
      </c>
    </row>
    <row r="10607" spans="20:20" ht="18.75" customHeight="1" x14ac:dyDescent="0.35">
      <c r="T10607" s="246">
        <f t="shared" si="203"/>
        <v>0</v>
      </c>
    </row>
    <row r="10608" spans="20:20" ht="18.75" customHeight="1" x14ac:dyDescent="0.35">
      <c r="T10608" s="246">
        <f t="shared" si="203"/>
        <v>0</v>
      </c>
    </row>
    <row r="10609" spans="20:20" ht="18.75" customHeight="1" x14ac:dyDescent="0.35">
      <c r="T10609" s="246">
        <f t="shared" si="203"/>
        <v>0</v>
      </c>
    </row>
    <row r="10610" spans="20:20" ht="18.75" customHeight="1" x14ac:dyDescent="0.35">
      <c r="T10610" s="246">
        <f t="shared" si="203"/>
        <v>0</v>
      </c>
    </row>
    <row r="10611" spans="20:20" ht="18.75" customHeight="1" x14ac:dyDescent="0.35">
      <c r="T10611" s="246">
        <f t="shared" si="203"/>
        <v>0</v>
      </c>
    </row>
    <row r="10612" spans="20:20" ht="18.75" customHeight="1" x14ac:dyDescent="0.35">
      <c r="T10612" s="246">
        <f t="shared" si="203"/>
        <v>0</v>
      </c>
    </row>
    <row r="10613" spans="20:20" ht="18.75" customHeight="1" x14ac:dyDescent="0.35">
      <c r="T10613" s="246">
        <f t="shared" si="203"/>
        <v>0</v>
      </c>
    </row>
    <row r="10614" spans="20:20" ht="18.75" customHeight="1" x14ac:dyDescent="0.35">
      <c r="T10614" s="246">
        <f t="shared" si="203"/>
        <v>0</v>
      </c>
    </row>
    <row r="10615" spans="20:20" ht="18.75" customHeight="1" x14ac:dyDescent="0.35">
      <c r="T10615" s="246">
        <f t="shared" si="203"/>
        <v>0</v>
      </c>
    </row>
    <row r="10616" spans="20:20" ht="18.75" customHeight="1" x14ac:dyDescent="0.35">
      <c r="T10616" s="246">
        <f t="shared" si="203"/>
        <v>0</v>
      </c>
    </row>
    <row r="10617" spans="20:20" ht="18.75" customHeight="1" x14ac:dyDescent="0.35">
      <c r="T10617" s="246">
        <f t="shared" si="203"/>
        <v>0</v>
      </c>
    </row>
    <row r="10618" spans="20:20" ht="18.75" customHeight="1" x14ac:dyDescent="0.35">
      <c r="T10618" s="246">
        <f t="shared" si="203"/>
        <v>0</v>
      </c>
    </row>
    <row r="10619" spans="20:20" ht="18.75" customHeight="1" x14ac:dyDescent="0.35">
      <c r="T10619" s="246">
        <f t="shared" si="203"/>
        <v>0</v>
      </c>
    </row>
    <row r="10620" spans="20:20" ht="18.75" customHeight="1" x14ac:dyDescent="0.35">
      <c r="T10620" s="246">
        <f t="shared" ref="T10620:T10683" si="204">R10620*0.01</f>
        <v>0</v>
      </c>
    </row>
    <row r="10621" spans="20:20" ht="18.75" customHeight="1" x14ac:dyDescent="0.35">
      <c r="T10621" s="246">
        <f t="shared" si="204"/>
        <v>0</v>
      </c>
    </row>
    <row r="10622" spans="20:20" ht="18.75" customHeight="1" x14ac:dyDescent="0.35">
      <c r="T10622" s="246">
        <f t="shared" si="204"/>
        <v>0</v>
      </c>
    </row>
    <row r="10623" spans="20:20" ht="18.75" customHeight="1" x14ac:dyDescent="0.35">
      <c r="T10623" s="246">
        <f t="shared" si="204"/>
        <v>0</v>
      </c>
    </row>
    <row r="10624" spans="20:20" ht="18.75" customHeight="1" x14ac:dyDescent="0.35">
      <c r="T10624" s="246">
        <f t="shared" si="204"/>
        <v>0</v>
      </c>
    </row>
    <row r="10625" spans="20:20" ht="18.75" customHeight="1" x14ac:dyDescent="0.35">
      <c r="T10625" s="246">
        <f t="shared" si="204"/>
        <v>0</v>
      </c>
    </row>
    <row r="10626" spans="20:20" ht="18.75" customHeight="1" x14ac:dyDescent="0.35">
      <c r="T10626" s="246">
        <f t="shared" si="204"/>
        <v>0</v>
      </c>
    </row>
    <row r="10627" spans="20:20" ht="18.75" customHeight="1" x14ac:dyDescent="0.35">
      <c r="T10627" s="246">
        <f t="shared" si="204"/>
        <v>0</v>
      </c>
    </row>
    <row r="10628" spans="20:20" ht="18.75" customHeight="1" x14ac:dyDescent="0.35">
      <c r="T10628" s="246">
        <f t="shared" si="204"/>
        <v>0</v>
      </c>
    </row>
    <row r="10629" spans="20:20" ht="18.75" customHeight="1" x14ac:dyDescent="0.35">
      <c r="T10629" s="246">
        <f t="shared" si="204"/>
        <v>0</v>
      </c>
    </row>
    <row r="10630" spans="20:20" ht="18.75" customHeight="1" x14ac:dyDescent="0.35">
      <c r="T10630" s="246">
        <f t="shared" si="204"/>
        <v>0</v>
      </c>
    </row>
    <row r="10631" spans="20:20" ht="18.75" customHeight="1" x14ac:dyDescent="0.35">
      <c r="T10631" s="246">
        <f t="shared" si="204"/>
        <v>0</v>
      </c>
    </row>
    <row r="10632" spans="20:20" ht="18.75" customHeight="1" x14ac:dyDescent="0.35">
      <c r="T10632" s="246">
        <f t="shared" si="204"/>
        <v>0</v>
      </c>
    </row>
    <row r="10633" spans="20:20" ht="18.75" customHeight="1" x14ac:dyDescent="0.35">
      <c r="T10633" s="246">
        <f t="shared" si="204"/>
        <v>0</v>
      </c>
    </row>
    <row r="10634" spans="20:20" ht="18.75" customHeight="1" x14ac:dyDescent="0.35">
      <c r="T10634" s="246">
        <f t="shared" si="204"/>
        <v>0</v>
      </c>
    </row>
    <row r="10635" spans="20:20" ht="18.75" customHeight="1" x14ac:dyDescent="0.35">
      <c r="T10635" s="246">
        <f t="shared" si="204"/>
        <v>0</v>
      </c>
    </row>
    <row r="10636" spans="20:20" ht="18.75" customHeight="1" x14ac:dyDescent="0.35">
      <c r="T10636" s="246">
        <f t="shared" si="204"/>
        <v>0</v>
      </c>
    </row>
    <row r="10637" spans="20:20" ht="18.75" customHeight="1" x14ac:dyDescent="0.35">
      <c r="T10637" s="246">
        <f t="shared" si="204"/>
        <v>0</v>
      </c>
    </row>
    <row r="10638" spans="20:20" ht="18.75" customHeight="1" x14ac:dyDescent="0.35">
      <c r="T10638" s="246">
        <f t="shared" si="204"/>
        <v>0</v>
      </c>
    </row>
    <row r="10639" spans="20:20" ht="18.75" customHeight="1" x14ac:dyDescent="0.35">
      <c r="T10639" s="246">
        <f t="shared" si="204"/>
        <v>0</v>
      </c>
    </row>
    <row r="10640" spans="20:20" ht="18.75" customHeight="1" x14ac:dyDescent="0.35">
      <c r="T10640" s="246">
        <f t="shared" si="204"/>
        <v>0</v>
      </c>
    </row>
    <row r="10641" spans="20:20" ht="18.75" customHeight="1" x14ac:dyDescent="0.35">
      <c r="T10641" s="246">
        <f t="shared" si="204"/>
        <v>0</v>
      </c>
    </row>
    <row r="10642" spans="20:20" ht="18.75" customHeight="1" x14ac:dyDescent="0.35">
      <c r="T10642" s="246">
        <f t="shared" si="204"/>
        <v>0</v>
      </c>
    </row>
    <row r="10643" spans="20:20" ht="18.75" customHeight="1" x14ac:dyDescent="0.35">
      <c r="T10643" s="246">
        <f t="shared" si="204"/>
        <v>0</v>
      </c>
    </row>
    <row r="10644" spans="20:20" ht="18.75" customHeight="1" x14ac:dyDescent="0.35">
      <c r="T10644" s="246">
        <f t="shared" si="204"/>
        <v>0</v>
      </c>
    </row>
    <row r="10645" spans="20:20" ht="18.75" customHeight="1" x14ac:dyDescent="0.35">
      <c r="T10645" s="246">
        <f t="shared" si="204"/>
        <v>0</v>
      </c>
    </row>
    <row r="10646" spans="20:20" ht="18.75" customHeight="1" x14ac:dyDescent="0.35">
      <c r="T10646" s="246">
        <f t="shared" si="204"/>
        <v>0</v>
      </c>
    </row>
    <row r="10647" spans="20:20" ht="18.75" customHeight="1" x14ac:dyDescent="0.35">
      <c r="T10647" s="246">
        <f t="shared" si="204"/>
        <v>0</v>
      </c>
    </row>
    <row r="10648" spans="20:20" ht="18.75" customHeight="1" x14ac:dyDescent="0.35">
      <c r="T10648" s="246">
        <f t="shared" si="204"/>
        <v>0</v>
      </c>
    </row>
    <row r="10649" spans="20:20" ht="18.75" customHeight="1" x14ac:dyDescent="0.35">
      <c r="T10649" s="246">
        <f t="shared" si="204"/>
        <v>0</v>
      </c>
    </row>
    <row r="10650" spans="20:20" ht="18.75" customHeight="1" x14ac:dyDescent="0.35">
      <c r="T10650" s="246">
        <f t="shared" si="204"/>
        <v>0</v>
      </c>
    </row>
    <row r="10651" spans="20:20" ht="18.75" customHeight="1" x14ac:dyDescent="0.35">
      <c r="T10651" s="246">
        <f t="shared" si="204"/>
        <v>0</v>
      </c>
    </row>
    <row r="10652" spans="20:20" ht="18.75" customHeight="1" x14ac:dyDescent="0.35">
      <c r="T10652" s="246">
        <f t="shared" si="204"/>
        <v>0</v>
      </c>
    </row>
    <row r="10653" spans="20:20" ht="18.75" customHeight="1" x14ac:dyDescent="0.35">
      <c r="T10653" s="246">
        <f t="shared" si="204"/>
        <v>0</v>
      </c>
    </row>
    <row r="10654" spans="20:20" ht="18.75" customHeight="1" x14ac:dyDescent="0.35">
      <c r="T10654" s="246">
        <f t="shared" si="204"/>
        <v>0</v>
      </c>
    </row>
    <row r="10655" spans="20:20" ht="18.75" customHeight="1" x14ac:dyDescent="0.35">
      <c r="T10655" s="246">
        <f t="shared" si="204"/>
        <v>0</v>
      </c>
    </row>
    <row r="10656" spans="20:20" ht="18.75" customHeight="1" x14ac:dyDescent="0.35">
      <c r="T10656" s="246">
        <f t="shared" si="204"/>
        <v>0</v>
      </c>
    </row>
    <row r="10657" spans="20:20" ht="18.75" customHeight="1" x14ac:dyDescent="0.35">
      <c r="T10657" s="246">
        <f t="shared" si="204"/>
        <v>0</v>
      </c>
    </row>
    <row r="10658" spans="20:20" ht="18.75" customHeight="1" x14ac:dyDescent="0.35">
      <c r="T10658" s="246">
        <f t="shared" si="204"/>
        <v>0</v>
      </c>
    </row>
    <row r="10659" spans="20:20" ht="18.75" customHeight="1" x14ac:dyDescent="0.35">
      <c r="T10659" s="246">
        <f t="shared" si="204"/>
        <v>0</v>
      </c>
    </row>
    <row r="10660" spans="20:20" ht="18.75" customHeight="1" x14ac:dyDescent="0.35">
      <c r="T10660" s="246">
        <f t="shared" si="204"/>
        <v>0</v>
      </c>
    </row>
    <row r="10661" spans="20:20" ht="18.75" customHeight="1" x14ac:dyDescent="0.35">
      <c r="T10661" s="246">
        <f t="shared" si="204"/>
        <v>0</v>
      </c>
    </row>
    <row r="10662" spans="20:20" ht="18.75" customHeight="1" x14ac:dyDescent="0.35">
      <c r="T10662" s="246">
        <f t="shared" si="204"/>
        <v>0</v>
      </c>
    </row>
    <row r="10663" spans="20:20" ht="18.75" customHeight="1" x14ac:dyDescent="0.35">
      <c r="T10663" s="246">
        <f t="shared" si="204"/>
        <v>0</v>
      </c>
    </row>
    <row r="10664" spans="20:20" ht="18.75" customHeight="1" x14ac:dyDescent="0.35">
      <c r="T10664" s="246">
        <f t="shared" si="204"/>
        <v>0</v>
      </c>
    </row>
    <row r="10665" spans="20:20" ht="18.75" customHeight="1" x14ac:dyDescent="0.35">
      <c r="T10665" s="246">
        <f t="shared" si="204"/>
        <v>0</v>
      </c>
    </row>
    <row r="10666" spans="20:20" ht="18.75" customHeight="1" x14ac:dyDescent="0.35">
      <c r="T10666" s="246">
        <f t="shared" si="204"/>
        <v>0</v>
      </c>
    </row>
    <row r="10667" spans="20:20" ht="18.75" customHeight="1" x14ac:dyDescent="0.35">
      <c r="T10667" s="246">
        <f t="shared" si="204"/>
        <v>0</v>
      </c>
    </row>
    <row r="10668" spans="20:20" ht="18.75" customHeight="1" x14ac:dyDescent="0.35">
      <c r="T10668" s="246">
        <f t="shared" si="204"/>
        <v>0</v>
      </c>
    </row>
    <row r="10669" spans="20:20" ht="18.75" customHeight="1" x14ac:dyDescent="0.35">
      <c r="T10669" s="246">
        <f t="shared" si="204"/>
        <v>0</v>
      </c>
    </row>
    <row r="10670" spans="20:20" ht="18.75" customHeight="1" x14ac:dyDescent="0.35">
      <c r="T10670" s="246">
        <f t="shared" si="204"/>
        <v>0</v>
      </c>
    </row>
    <row r="10671" spans="20:20" ht="18.75" customHeight="1" x14ac:dyDescent="0.35">
      <c r="T10671" s="246">
        <f t="shared" si="204"/>
        <v>0</v>
      </c>
    </row>
    <row r="10672" spans="20:20" ht="18.75" customHeight="1" x14ac:dyDescent="0.35">
      <c r="T10672" s="246">
        <f t="shared" si="204"/>
        <v>0</v>
      </c>
    </row>
    <row r="10673" spans="20:20" ht="18.75" customHeight="1" x14ac:dyDescent="0.35">
      <c r="T10673" s="246">
        <f t="shared" si="204"/>
        <v>0</v>
      </c>
    </row>
    <row r="10674" spans="20:20" ht="18.75" customHeight="1" x14ac:dyDescent="0.35">
      <c r="T10674" s="246">
        <f t="shared" si="204"/>
        <v>0</v>
      </c>
    </row>
    <row r="10675" spans="20:20" ht="18.75" customHeight="1" x14ac:dyDescent="0.35">
      <c r="T10675" s="246">
        <f t="shared" si="204"/>
        <v>0</v>
      </c>
    </row>
    <row r="10676" spans="20:20" ht="18.75" customHeight="1" x14ac:dyDescent="0.35">
      <c r="T10676" s="246">
        <f t="shared" si="204"/>
        <v>0</v>
      </c>
    </row>
    <row r="10677" spans="20:20" ht="18.75" customHeight="1" x14ac:dyDescent="0.35">
      <c r="T10677" s="246">
        <f t="shared" si="204"/>
        <v>0</v>
      </c>
    </row>
    <row r="10678" spans="20:20" ht="18.75" customHeight="1" x14ac:dyDescent="0.35">
      <c r="T10678" s="246">
        <f t="shared" si="204"/>
        <v>0</v>
      </c>
    </row>
    <row r="10679" spans="20:20" ht="18.75" customHeight="1" x14ac:dyDescent="0.35">
      <c r="T10679" s="246">
        <f t="shared" si="204"/>
        <v>0</v>
      </c>
    </row>
    <row r="10680" spans="20:20" ht="18.75" customHeight="1" x14ac:dyDescent="0.35">
      <c r="T10680" s="246">
        <f t="shared" si="204"/>
        <v>0</v>
      </c>
    </row>
    <row r="10681" spans="20:20" ht="18.75" customHeight="1" x14ac:dyDescent="0.35">
      <c r="T10681" s="246">
        <f t="shared" si="204"/>
        <v>0</v>
      </c>
    </row>
    <row r="10682" spans="20:20" ht="18.75" customHeight="1" x14ac:dyDescent="0.35">
      <c r="T10682" s="246">
        <f t="shared" si="204"/>
        <v>0</v>
      </c>
    </row>
    <row r="10683" spans="20:20" ht="18.75" customHeight="1" x14ac:dyDescent="0.35">
      <c r="T10683" s="246">
        <f t="shared" si="204"/>
        <v>0</v>
      </c>
    </row>
    <row r="10684" spans="20:20" ht="18.75" customHeight="1" x14ac:dyDescent="0.35">
      <c r="T10684" s="246">
        <f t="shared" ref="T10684:T10747" si="205">R10684*0.01</f>
        <v>0</v>
      </c>
    </row>
    <row r="10685" spans="20:20" ht="18.75" customHeight="1" x14ac:dyDescent="0.35">
      <c r="T10685" s="246">
        <f t="shared" si="205"/>
        <v>0</v>
      </c>
    </row>
    <row r="10686" spans="20:20" ht="18.75" customHeight="1" x14ac:dyDescent="0.35">
      <c r="T10686" s="246">
        <f t="shared" si="205"/>
        <v>0</v>
      </c>
    </row>
    <row r="10687" spans="20:20" ht="18.75" customHeight="1" x14ac:dyDescent="0.35">
      <c r="T10687" s="246">
        <f t="shared" si="205"/>
        <v>0</v>
      </c>
    </row>
    <row r="10688" spans="20:20" ht="18.75" customHeight="1" x14ac:dyDescent="0.35">
      <c r="T10688" s="246">
        <f t="shared" si="205"/>
        <v>0</v>
      </c>
    </row>
    <row r="10689" spans="20:20" ht="18.75" customHeight="1" x14ac:dyDescent="0.35">
      <c r="T10689" s="246">
        <f t="shared" si="205"/>
        <v>0</v>
      </c>
    </row>
    <row r="10690" spans="20:20" ht="18.75" customHeight="1" x14ac:dyDescent="0.35">
      <c r="T10690" s="246">
        <f t="shared" si="205"/>
        <v>0</v>
      </c>
    </row>
    <row r="10691" spans="20:20" ht="18.75" customHeight="1" x14ac:dyDescent="0.35">
      <c r="T10691" s="246">
        <f t="shared" si="205"/>
        <v>0</v>
      </c>
    </row>
    <row r="10692" spans="20:20" ht="18.75" customHeight="1" x14ac:dyDescent="0.35">
      <c r="T10692" s="246">
        <f t="shared" si="205"/>
        <v>0</v>
      </c>
    </row>
    <row r="10693" spans="20:20" ht="18.75" customHeight="1" x14ac:dyDescent="0.35">
      <c r="T10693" s="246">
        <f t="shared" si="205"/>
        <v>0</v>
      </c>
    </row>
    <row r="10694" spans="20:20" ht="18.75" customHeight="1" x14ac:dyDescent="0.35">
      <c r="T10694" s="246">
        <f t="shared" si="205"/>
        <v>0</v>
      </c>
    </row>
    <row r="10695" spans="20:20" ht="18.75" customHeight="1" x14ac:dyDescent="0.35">
      <c r="T10695" s="246">
        <f t="shared" si="205"/>
        <v>0</v>
      </c>
    </row>
    <row r="10696" spans="20:20" ht="18.75" customHeight="1" x14ac:dyDescent="0.35">
      <c r="T10696" s="246">
        <f t="shared" si="205"/>
        <v>0</v>
      </c>
    </row>
    <row r="10697" spans="20:20" ht="18.75" customHeight="1" x14ac:dyDescent="0.35">
      <c r="T10697" s="246">
        <f t="shared" si="205"/>
        <v>0</v>
      </c>
    </row>
    <row r="10698" spans="20:20" ht="18.75" customHeight="1" x14ac:dyDescent="0.35">
      <c r="T10698" s="246">
        <f t="shared" si="205"/>
        <v>0</v>
      </c>
    </row>
    <row r="10699" spans="20:20" ht="18.75" customHeight="1" x14ac:dyDescent="0.35">
      <c r="T10699" s="246">
        <f t="shared" si="205"/>
        <v>0</v>
      </c>
    </row>
    <row r="10700" spans="20:20" ht="18.75" customHeight="1" x14ac:dyDescent="0.35">
      <c r="T10700" s="246">
        <f t="shared" si="205"/>
        <v>0</v>
      </c>
    </row>
    <row r="10701" spans="20:20" ht="18.75" customHeight="1" x14ac:dyDescent="0.35">
      <c r="T10701" s="246">
        <f t="shared" si="205"/>
        <v>0</v>
      </c>
    </row>
    <row r="10702" spans="20:20" ht="18.75" customHeight="1" x14ac:dyDescent="0.35">
      <c r="T10702" s="246">
        <f t="shared" si="205"/>
        <v>0</v>
      </c>
    </row>
    <row r="10703" spans="20:20" ht="18.75" customHeight="1" x14ac:dyDescent="0.35">
      <c r="T10703" s="246">
        <f t="shared" si="205"/>
        <v>0</v>
      </c>
    </row>
    <row r="10704" spans="20:20" ht="18.75" customHeight="1" x14ac:dyDescent="0.35">
      <c r="T10704" s="246">
        <f t="shared" si="205"/>
        <v>0</v>
      </c>
    </row>
    <row r="10705" spans="20:20" ht="18.75" customHeight="1" x14ac:dyDescent="0.35">
      <c r="T10705" s="246">
        <f t="shared" si="205"/>
        <v>0</v>
      </c>
    </row>
    <row r="10706" spans="20:20" ht="18.75" customHeight="1" x14ac:dyDescent="0.35">
      <c r="T10706" s="246">
        <f t="shared" si="205"/>
        <v>0</v>
      </c>
    </row>
    <row r="10707" spans="20:20" ht="18.75" customHeight="1" x14ac:dyDescent="0.35">
      <c r="T10707" s="246">
        <f t="shared" si="205"/>
        <v>0</v>
      </c>
    </row>
    <row r="10708" spans="20:20" ht="18.75" customHeight="1" x14ac:dyDescent="0.35">
      <c r="T10708" s="246">
        <f t="shared" si="205"/>
        <v>0</v>
      </c>
    </row>
    <row r="10709" spans="20:20" ht="18.75" customHeight="1" x14ac:dyDescent="0.35">
      <c r="T10709" s="246">
        <f t="shared" si="205"/>
        <v>0</v>
      </c>
    </row>
    <row r="10710" spans="20:20" ht="18.75" customHeight="1" x14ac:dyDescent="0.35">
      <c r="T10710" s="246">
        <f t="shared" si="205"/>
        <v>0</v>
      </c>
    </row>
    <row r="10711" spans="20:20" ht="18.75" customHeight="1" x14ac:dyDescent="0.35">
      <c r="T10711" s="246">
        <f t="shared" si="205"/>
        <v>0</v>
      </c>
    </row>
    <row r="10712" spans="20:20" ht="18.75" customHeight="1" x14ac:dyDescent="0.35">
      <c r="T10712" s="246">
        <f t="shared" si="205"/>
        <v>0</v>
      </c>
    </row>
    <row r="10713" spans="20:20" ht="18.75" customHeight="1" x14ac:dyDescent="0.35">
      <c r="T10713" s="246">
        <f t="shared" si="205"/>
        <v>0</v>
      </c>
    </row>
    <row r="10714" spans="20:20" ht="18.75" customHeight="1" x14ac:dyDescent="0.35">
      <c r="T10714" s="246">
        <f t="shared" si="205"/>
        <v>0</v>
      </c>
    </row>
    <row r="10715" spans="20:20" ht="18.75" customHeight="1" x14ac:dyDescent="0.35">
      <c r="T10715" s="246">
        <f t="shared" si="205"/>
        <v>0</v>
      </c>
    </row>
    <row r="10716" spans="20:20" ht="18.75" customHeight="1" x14ac:dyDescent="0.35">
      <c r="T10716" s="246">
        <f t="shared" si="205"/>
        <v>0</v>
      </c>
    </row>
    <row r="10717" spans="20:20" ht="18.75" customHeight="1" x14ac:dyDescent="0.35">
      <c r="T10717" s="246">
        <f t="shared" si="205"/>
        <v>0</v>
      </c>
    </row>
    <row r="10718" spans="20:20" ht="18.75" customHeight="1" x14ac:dyDescent="0.35">
      <c r="T10718" s="246">
        <f t="shared" si="205"/>
        <v>0</v>
      </c>
    </row>
    <row r="10719" spans="20:20" ht="18.75" customHeight="1" x14ac:dyDescent="0.35">
      <c r="T10719" s="246">
        <f t="shared" si="205"/>
        <v>0</v>
      </c>
    </row>
    <row r="10720" spans="20:20" ht="18.75" customHeight="1" x14ac:dyDescent="0.35">
      <c r="T10720" s="246">
        <f t="shared" si="205"/>
        <v>0</v>
      </c>
    </row>
    <row r="10721" spans="20:20" ht="18.75" customHeight="1" x14ac:dyDescent="0.35">
      <c r="T10721" s="246">
        <f t="shared" si="205"/>
        <v>0</v>
      </c>
    </row>
    <row r="10722" spans="20:20" ht="18.75" customHeight="1" x14ac:dyDescent="0.35">
      <c r="T10722" s="246">
        <f t="shared" si="205"/>
        <v>0</v>
      </c>
    </row>
    <row r="10723" spans="20:20" ht="18.75" customHeight="1" x14ac:dyDescent="0.35">
      <c r="T10723" s="246">
        <f t="shared" si="205"/>
        <v>0</v>
      </c>
    </row>
    <row r="10724" spans="20:20" ht="18.75" customHeight="1" x14ac:dyDescent="0.35">
      <c r="T10724" s="246">
        <f t="shared" si="205"/>
        <v>0</v>
      </c>
    </row>
    <row r="10725" spans="20:20" ht="18.75" customHeight="1" x14ac:dyDescent="0.35">
      <c r="T10725" s="246">
        <f t="shared" si="205"/>
        <v>0</v>
      </c>
    </row>
    <row r="10726" spans="20:20" ht="18.75" customHeight="1" x14ac:dyDescent="0.35">
      <c r="T10726" s="246">
        <f t="shared" si="205"/>
        <v>0</v>
      </c>
    </row>
    <row r="10727" spans="20:20" ht="18.75" customHeight="1" x14ac:dyDescent="0.35">
      <c r="T10727" s="246">
        <f t="shared" si="205"/>
        <v>0</v>
      </c>
    </row>
    <row r="10728" spans="20:20" ht="18.75" customHeight="1" x14ac:dyDescent="0.35">
      <c r="T10728" s="246">
        <f t="shared" si="205"/>
        <v>0</v>
      </c>
    </row>
    <row r="10729" spans="20:20" ht="18.75" customHeight="1" x14ac:dyDescent="0.35">
      <c r="T10729" s="246">
        <f t="shared" si="205"/>
        <v>0</v>
      </c>
    </row>
    <row r="10730" spans="20:20" ht="18.75" customHeight="1" x14ac:dyDescent="0.35">
      <c r="T10730" s="246">
        <f t="shared" si="205"/>
        <v>0</v>
      </c>
    </row>
    <row r="10731" spans="20:20" ht="18.75" customHeight="1" x14ac:dyDescent="0.35">
      <c r="T10731" s="246">
        <f t="shared" si="205"/>
        <v>0</v>
      </c>
    </row>
    <row r="10732" spans="20:20" ht="18.75" customHeight="1" x14ac:dyDescent="0.35">
      <c r="T10732" s="246">
        <f t="shared" si="205"/>
        <v>0</v>
      </c>
    </row>
    <row r="10733" spans="20:20" ht="18.75" customHeight="1" x14ac:dyDescent="0.35">
      <c r="T10733" s="246">
        <f t="shared" si="205"/>
        <v>0</v>
      </c>
    </row>
    <row r="10734" spans="20:20" ht="18.75" customHeight="1" x14ac:dyDescent="0.35">
      <c r="T10734" s="246">
        <f t="shared" si="205"/>
        <v>0</v>
      </c>
    </row>
    <row r="10735" spans="20:20" ht="18.75" customHeight="1" x14ac:dyDescent="0.35">
      <c r="T10735" s="246">
        <f t="shared" si="205"/>
        <v>0</v>
      </c>
    </row>
    <row r="10736" spans="20:20" ht="18.75" customHeight="1" x14ac:dyDescent="0.35">
      <c r="T10736" s="246">
        <f t="shared" si="205"/>
        <v>0</v>
      </c>
    </row>
    <row r="10737" spans="20:20" ht="18.75" customHeight="1" x14ac:dyDescent="0.35">
      <c r="T10737" s="246">
        <f t="shared" si="205"/>
        <v>0</v>
      </c>
    </row>
    <row r="10738" spans="20:20" ht="18.75" customHeight="1" x14ac:dyDescent="0.35">
      <c r="T10738" s="246">
        <f t="shared" si="205"/>
        <v>0</v>
      </c>
    </row>
    <row r="10739" spans="20:20" ht="18.75" customHeight="1" x14ac:dyDescent="0.35">
      <c r="T10739" s="246">
        <f t="shared" si="205"/>
        <v>0</v>
      </c>
    </row>
    <row r="10740" spans="20:20" ht="18.75" customHeight="1" x14ac:dyDescent="0.35">
      <c r="T10740" s="246">
        <f t="shared" si="205"/>
        <v>0</v>
      </c>
    </row>
    <row r="10741" spans="20:20" ht="18.75" customHeight="1" x14ac:dyDescent="0.35">
      <c r="T10741" s="246">
        <f t="shared" si="205"/>
        <v>0</v>
      </c>
    </row>
    <row r="10742" spans="20:20" ht="18.75" customHeight="1" x14ac:dyDescent="0.35">
      <c r="T10742" s="246">
        <f t="shared" si="205"/>
        <v>0</v>
      </c>
    </row>
    <row r="10743" spans="20:20" ht="18.75" customHeight="1" x14ac:dyDescent="0.35">
      <c r="T10743" s="246">
        <f t="shared" si="205"/>
        <v>0</v>
      </c>
    </row>
    <row r="10744" spans="20:20" ht="18.75" customHeight="1" x14ac:dyDescent="0.35">
      <c r="T10744" s="246">
        <f t="shared" si="205"/>
        <v>0</v>
      </c>
    </row>
    <row r="10745" spans="20:20" ht="18.75" customHeight="1" x14ac:dyDescent="0.35">
      <c r="T10745" s="246">
        <f t="shared" si="205"/>
        <v>0</v>
      </c>
    </row>
    <row r="10746" spans="20:20" ht="18.75" customHeight="1" x14ac:dyDescent="0.35">
      <c r="T10746" s="246">
        <f t="shared" si="205"/>
        <v>0</v>
      </c>
    </row>
    <row r="10747" spans="20:20" ht="18.75" customHeight="1" x14ac:dyDescent="0.35">
      <c r="T10747" s="246">
        <f t="shared" si="205"/>
        <v>0</v>
      </c>
    </row>
    <row r="10748" spans="20:20" ht="18.75" customHeight="1" x14ac:dyDescent="0.35">
      <c r="T10748" s="246">
        <f t="shared" ref="T10748:T10811" si="206">R10748*0.01</f>
        <v>0</v>
      </c>
    </row>
    <row r="10749" spans="20:20" ht="18.75" customHeight="1" x14ac:dyDescent="0.35">
      <c r="T10749" s="246">
        <f t="shared" si="206"/>
        <v>0</v>
      </c>
    </row>
    <row r="10750" spans="20:20" ht="18.75" customHeight="1" x14ac:dyDescent="0.35">
      <c r="T10750" s="246">
        <f t="shared" si="206"/>
        <v>0</v>
      </c>
    </row>
    <row r="10751" spans="20:20" ht="18.75" customHeight="1" x14ac:dyDescent="0.35">
      <c r="T10751" s="246">
        <f t="shared" si="206"/>
        <v>0</v>
      </c>
    </row>
    <row r="10752" spans="20:20" ht="18.75" customHeight="1" x14ac:dyDescent="0.35">
      <c r="T10752" s="246">
        <f t="shared" si="206"/>
        <v>0</v>
      </c>
    </row>
    <row r="10753" spans="20:20" ht="18.75" customHeight="1" x14ac:dyDescent="0.35">
      <c r="T10753" s="246">
        <f t="shared" si="206"/>
        <v>0</v>
      </c>
    </row>
    <row r="10754" spans="20:20" ht="18.75" customHeight="1" x14ac:dyDescent="0.35">
      <c r="T10754" s="246">
        <f t="shared" si="206"/>
        <v>0</v>
      </c>
    </row>
    <row r="10755" spans="20:20" ht="18.75" customHeight="1" x14ac:dyDescent="0.35">
      <c r="T10755" s="246">
        <f t="shared" si="206"/>
        <v>0</v>
      </c>
    </row>
    <row r="10756" spans="20:20" ht="18.75" customHeight="1" x14ac:dyDescent="0.35">
      <c r="T10756" s="246">
        <f t="shared" si="206"/>
        <v>0</v>
      </c>
    </row>
    <row r="10757" spans="20:20" ht="18.75" customHeight="1" x14ac:dyDescent="0.35">
      <c r="T10757" s="246">
        <f t="shared" si="206"/>
        <v>0</v>
      </c>
    </row>
    <row r="10758" spans="20:20" ht="18.75" customHeight="1" x14ac:dyDescent="0.35">
      <c r="T10758" s="246">
        <f t="shared" si="206"/>
        <v>0</v>
      </c>
    </row>
    <row r="10759" spans="20:20" ht="18.75" customHeight="1" x14ac:dyDescent="0.35">
      <c r="T10759" s="246">
        <f t="shared" si="206"/>
        <v>0</v>
      </c>
    </row>
    <row r="10760" spans="20:20" ht="18.75" customHeight="1" x14ac:dyDescent="0.35">
      <c r="T10760" s="246">
        <f t="shared" si="206"/>
        <v>0</v>
      </c>
    </row>
    <row r="10761" spans="20:20" ht="18.75" customHeight="1" x14ac:dyDescent="0.35">
      <c r="T10761" s="246">
        <f t="shared" si="206"/>
        <v>0</v>
      </c>
    </row>
    <row r="10762" spans="20:20" ht="18.75" customHeight="1" x14ac:dyDescent="0.35">
      <c r="T10762" s="246">
        <f t="shared" si="206"/>
        <v>0</v>
      </c>
    </row>
    <row r="10763" spans="20:20" ht="18.75" customHeight="1" x14ac:dyDescent="0.35">
      <c r="T10763" s="246">
        <f t="shared" si="206"/>
        <v>0</v>
      </c>
    </row>
    <row r="10764" spans="20:20" ht="18.75" customHeight="1" x14ac:dyDescent="0.35">
      <c r="T10764" s="246">
        <f t="shared" si="206"/>
        <v>0</v>
      </c>
    </row>
    <row r="10765" spans="20:20" ht="18.75" customHeight="1" x14ac:dyDescent="0.35">
      <c r="T10765" s="246">
        <f t="shared" si="206"/>
        <v>0</v>
      </c>
    </row>
    <row r="10766" spans="20:20" ht="18.75" customHeight="1" x14ac:dyDescent="0.35">
      <c r="T10766" s="246">
        <f t="shared" si="206"/>
        <v>0</v>
      </c>
    </row>
    <row r="10767" spans="20:20" ht="18.75" customHeight="1" x14ac:dyDescent="0.35">
      <c r="T10767" s="246">
        <f t="shared" si="206"/>
        <v>0</v>
      </c>
    </row>
    <row r="10768" spans="20:20" ht="18.75" customHeight="1" x14ac:dyDescent="0.35">
      <c r="T10768" s="246">
        <f t="shared" si="206"/>
        <v>0</v>
      </c>
    </row>
    <row r="10769" spans="20:20" ht="18.75" customHeight="1" x14ac:dyDescent="0.35">
      <c r="T10769" s="246">
        <f t="shared" si="206"/>
        <v>0</v>
      </c>
    </row>
    <row r="10770" spans="20:20" ht="18.75" customHeight="1" x14ac:dyDescent="0.35">
      <c r="T10770" s="246">
        <f t="shared" si="206"/>
        <v>0</v>
      </c>
    </row>
    <row r="10771" spans="20:20" ht="18.75" customHeight="1" x14ac:dyDescent="0.35">
      <c r="T10771" s="246">
        <f t="shared" si="206"/>
        <v>0</v>
      </c>
    </row>
    <row r="10772" spans="20:20" ht="18.75" customHeight="1" x14ac:dyDescent="0.35">
      <c r="T10772" s="246">
        <f t="shared" si="206"/>
        <v>0</v>
      </c>
    </row>
    <row r="10773" spans="20:20" ht="18.75" customHeight="1" x14ac:dyDescent="0.35">
      <c r="T10773" s="246">
        <f t="shared" si="206"/>
        <v>0</v>
      </c>
    </row>
    <row r="10774" spans="20:20" ht="18.75" customHeight="1" x14ac:dyDescent="0.35">
      <c r="T10774" s="246">
        <f t="shared" si="206"/>
        <v>0</v>
      </c>
    </row>
    <row r="10775" spans="20:20" ht="18.75" customHeight="1" x14ac:dyDescent="0.35">
      <c r="T10775" s="246">
        <f t="shared" si="206"/>
        <v>0</v>
      </c>
    </row>
    <row r="10776" spans="20:20" ht="18.75" customHeight="1" x14ac:dyDescent="0.35">
      <c r="T10776" s="246">
        <f t="shared" si="206"/>
        <v>0</v>
      </c>
    </row>
    <row r="10777" spans="20:20" ht="18.75" customHeight="1" x14ac:dyDescent="0.35">
      <c r="T10777" s="246">
        <f t="shared" si="206"/>
        <v>0</v>
      </c>
    </row>
    <row r="10778" spans="20:20" ht="18.75" customHeight="1" x14ac:dyDescent="0.35">
      <c r="T10778" s="246">
        <f t="shared" si="206"/>
        <v>0</v>
      </c>
    </row>
    <row r="10779" spans="20:20" ht="18.75" customHeight="1" x14ac:dyDescent="0.35">
      <c r="T10779" s="246">
        <f t="shared" si="206"/>
        <v>0</v>
      </c>
    </row>
    <row r="10780" spans="20:20" ht="18.75" customHeight="1" x14ac:dyDescent="0.35">
      <c r="T10780" s="246">
        <f t="shared" si="206"/>
        <v>0</v>
      </c>
    </row>
    <row r="10781" spans="20:20" ht="18.75" customHeight="1" x14ac:dyDescent="0.35">
      <c r="T10781" s="246">
        <f t="shared" si="206"/>
        <v>0</v>
      </c>
    </row>
    <row r="10782" spans="20:20" ht="18.75" customHeight="1" x14ac:dyDescent="0.35">
      <c r="T10782" s="246">
        <f t="shared" si="206"/>
        <v>0</v>
      </c>
    </row>
    <row r="10783" spans="20:20" ht="18.75" customHeight="1" x14ac:dyDescent="0.35">
      <c r="T10783" s="246">
        <f t="shared" si="206"/>
        <v>0</v>
      </c>
    </row>
    <row r="10784" spans="20:20" ht="18.75" customHeight="1" x14ac:dyDescent="0.35">
      <c r="T10784" s="246">
        <f t="shared" si="206"/>
        <v>0</v>
      </c>
    </row>
    <row r="10785" spans="20:20" ht="18.75" customHeight="1" x14ac:dyDescent="0.35">
      <c r="T10785" s="246">
        <f t="shared" si="206"/>
        <v>0</v>
      </c>
    </row>
    <row r="10786" spans="20:20" ht="18.75" customHeight="1" x14ac:dyDescent="0.35">
      <c r="T10786" s="246">
        <f t="shared" si="206"/>
        <v>0</v>
      </c>
    </row>
    <row r="10787" spans="20:20" ht="18.75" customHeight="1" x14ac:dyDescent="0.35">
      <c r="T10787" s="246">
        <f t="shared" si="206"/>
        <v>0</v>
      </c>
    </row>
    <row r="10788" spans="20:20" ht="18.75" customHeight="1" x14ac:dyDescent="0.35">
      <c r="T10788" s="246">
        <f t="shared" si="206"/>
        <v>0</v>
      </c>
    </row>
    <row r="10789" spans="20:20" ht="18.75" customHeight="1" x14ac:dyDescent="0.35">
      <c r="T10789" s="246">
        <f t="shared" si="206"/>
        <v>0</v>
      </c>
    </row>
    <row r="10790" spans="20:20" ht="18.75" customHeight="1" x14ac:dyDescent="0.35">
      <c r="T10790" s="246">
        <f t="shared" si="206"/>
        <v>0</v>
      </c>
    </row>
    <row r="10791" spans="20:20" ht="18.75" customHeight="1" x14ac:dyDescent="0.35">
      <c r="T10791" s="246">
        <f t="shared" si="206"/>
        <v>0</v>
      </c>
    </row>
    <row r="10792" spans="20:20" ht="18.75" customHeight="1" x14ac:dyDescent="0.35">
      <c r="T10792" s="246">
        <f t="shared" si="206"/>
        <v>0</v>
      </c>
    </row>
    <row r="10793" spans="20:20" ht="18.75" customHeight="1" x14ac:dyDescent="0.35">
      <c r="T10793" s="246">
        <f t="shared" si="206"/>
        <v>0</v>
      </c>
    </row>
    <row r="10794" spans="20:20" ht="18.75" customHeight="1" x14ac:dyDescent="0.35">
      <c r="T10794" s="246">
        <f t="shared" si="206"/>
        <v>0</v>
      </c>
    </row>
    <row r="10795" spans="20:20" ht="18.75" customHeight="1" x14ac:dyDescent="0.35">
      <c r="T10795" s="246">
        <f t="shared" si="206"/>
        <v>0</v>
      </c>
    </row>
    <row r="10796" spans="20:20" ht="18.75" customHeight="1" x14ac:dyDescent="0.35">
      <c r="T10796" s="246">
        <f t="shared" si="206"/>
        <v>0</v>
      </c>
    </row>
    <row r="10797" spans="20:20" ht="18.75" customHeight="1" x14ac:dyDescent="0.35">
      <c r="T10797" s="246">
        <f t="shared" si="206"/>
        <v>0</v>
      </c>
    </row>
    <row r="10798" spans="20:20" ht="18.75" customHeight="1" x14ac:dyDescent="0.35">
      <c r="T10798" s="246">
        <f t="shared" si="206"/>
        <v>0</v>
      </c>
    </row>
    <row r="10799" spans="20:20" ht="18.75" customHeight="1" x14ac:dyDescent="0.35">
      <c r="T10799" s="246">
        <f t="shared" si="206"/>
        <v>0</v>
      </c>
    </row>
    <row r="10800" spans="20:20" ht="18.75" customHeight="1" x14ac:dyDescent="0.35">
      <c r="T10800" s="246">
        <f t="shared" si="206"/>
        <v>0</v>
      </c>
    </row>
    <row r="10801" spans="20:20" ht="18.75" customHeight="1" x14ac:dyDescent="0.35">
      <c r="T10801" s="246">
        <f t="shared" si="206"/>
        <v>0</v>
      </c>
    </row>
    <row r="10802" spans="20:20" ht="18.75" customHeight="1" x14ac:dyDescent="0.35">
      <c r="T10802" s="246">
        <f t="shared" si="206"/>
        <v>0</v>
      </c>
    </row>
    <row r="10803" spans="20:20" ht="18.75" customHeight="1" x14ac:dyDescent="0.35">
      <c r="T10803" s="246">
        <f t="shared" si="206"/>
        <v>0</v>
      </c>
    </row>
    <row r="10804" spans="20:20" ht="18.75" customHeight="1" x14ac:dyDescent="0.35">
      <c r="T10804" s="246">
        <f t="shared" si="206"/>
        <v>0</v>
      </c>
    </row>
    <row r="10805" spans="20:20" ht="18.75" customHeight="1" x14ac:dyDescent="0.35">
      <c r="T10805" s="246">
        <f t="shared" si="206"/>
        <v>0</v>
      </c>
    </row>
    <row r="10806" spans="20:20" ht="18.75" customHeight="1" x14ac:dyDescent="0.35">
      <c r="T10806" s="246">
        <f t="shared" si="206"/>
        <v>0</v>
      </c>
    </row>
    <row r="10807" spans="20:20" ht="18.75" customHeight="1" x14ac:dyDescent="0.35">
      <c r="T10807" s="246">
        <f t="shared" si="206"/>
        <v>0</v>
      </c>
    </row>
    <row r="10808" spans="20:20" ht="18.75" customHeight="1" x14ac:dyDescent="0.35">
      <c r="T10808" s="246">
        <f t="shared" si="206"/>
        <v>0</v>
      </c>
    </row>
    <row r="10809" spans="20:20" ht="18.75" customHeight="1" x14ac:dyDescent="0.35">
      <c r="T10809" s="246">
        <f t="shared" si="206"/>
        <v>0</v>
      </c>
    </row>
    <row r="10810" spans="20:20" ht="18.75" customHeight="1" x14ac:dyDescent="0.35">
      <c r="T10810" s="246">
        <f t="shared" si="206"/>
        <v>0</v>
      </c>
    </row>
    <row r="10811" spans="20:20" ht="18.75" customHeight="1" x14ac:dyDescent="0.35">
      <c r="T10811" s="246">
        <f t="shared" si="206"/>
        <v>0</v>
      </c>
    </row>
    <row r="10812" spans="20:20" ht="18.75" customHeight="1" x14ac:dyDescent="0.35">
      <c r="T10812" s="246">
        <f t="shared" ref="T10812:T10875" si="207">R10812*0.01</f>
        <v>0</v>
      </c>
    </row>
    <row r="10813" spans="20:20" ht="18.75" customHeight="1" x14ac:dyDescent="0.35">
      <c r="T10813" s="246">
        <f t="shared" si="207"/>
        <v>0</v>
      </c>
    </row>
    <row r="10814" spans="20:20" ht="18.75" customHeight="1" x14ac:dyDescent="0.35">
      <c r="T10814" s="246">
        <f t="shared" si="207"/>
        <v>0</v>
      </c>
    </row>
    <row r="10815" spans="20:20" ht="18.75" customHeight="1" x14ac:dyDescent="0.35">
      <c r="T10815" s="246">
        <f t="shared" si="207"/>
        <v>0</v>
      </c>
    </row>
    <row r="10816" spans="20:20" ht="18.75" customHeight="1" x14ac:dyDescent="0.35">
      <c r="T10816" s="246">
        <f t="shared" si="207"/>
        <v>0</v>
      </c>
    </row>
    <row r="10817" spans="20:20" ht="18.75" customHeight="1" x14ac:dyDescent="0.35">
      <c r="T10817" s="246">
        <f t="shared" si="207"/>
        <v>0</v>
      </c>
    </row>
    <row r="10818" spans="20:20" ht="18.75" customHeight="1" x14ac:dyDescent="0.35">
      <c r="T10818" s="246">
        <f t="shared" si="207"/>
        <v>0</v>
      </c>
    </row>
    <row r="10819" spans="20:20" ht="18.75" customHeight="1" x14ac:dyDescent="0.35">
      <c r="T10819" s="246">
        <f t="shared" si="207"/>
        <v>0</v>
      </c>
    </row>
    <row r="10820" spans="20:20" ht="18.75" customHeight="1" x14ac:dyDescent="0.35">
      <c r="T10820" s="246">
        <f t="shared" si="207"/>
        <v>0</v>
      </c>
    </row>
    <row r="10821" spans="20:20" ht="18.75" customHeight="1" x14ac:dyDescent="0.35">
      <c r="T10821" s="246">
        <f t="shared" si="207"/>
        <v>0</v>
      </c>
    </row>
    <row r="10822" spans="20:20" ht="18.75" customHeight="1" x14ac:dyDescent="0.35">
      <c r="T10822" s="246">
        <f t="shared" si="207"/>
        <v>0</v>
      </c>
    </row>
    <row r="10823" spans="20:20" ht="18.75" customHeight="1" x14ac:dyDescent="0.35">
      <c r="T10823" s="246">
        <f t="shared" si="207"/>
        <v>0</v>
      </c>
    </row>
    <row r="10824" spans="20:20" ht="18.75" customHeight="1" x14ac:dyDescent="0.35">
      <c r="T10824" s="246">
        <f t="shared" si="207"/>
        <v>0</v>
      </c>
    </row>
    <row r="10825" spans="20:20" ht="18.75" customHeight="1" x14ac:dyDescent="0.35">
      <c r="T10825" s="246">
        <f t="shared" si="207"/>
        <v>0</v>
      </c>
    </row>
    <row r="10826" spans="20:20" ht="18.75" customHeight="1" x14ac:dyDescent="0.35">
      <c r="T10826" s="246">
        <f t="shared" si="207"/>
        <v>0</v>
      </c>
    </row>
    <row r="10827" spans="20:20" ht="18.75" customHeight="1" x14ac:dyDescent="0.35">
      <c r="T10827" s="246">
        <f t="shared" si="207"/>
        <v>0</v>
      </c>
    </row>
    <row r="10828" spans="20:20" ht="18.75" customHeight="1" x14ac:dyDescent="0.35">
      <c r="T10828" s="246">
        <f t="shared" si="207"/>
        <v>0</v>
      </c>
    </row>
    <row r="10829" spans="20:20" ht="18.75" customHeight="1" x14ac:dyDescent="0.35">
      <c r="T10829" s="246">
        <f t="shared" si="207"/>
        <v>0</v>
      </c>
    </row>
    <row r="10830" spans="20:20" ht="18.75" customHeight="1" x14ac:dyDescent="0.35">
      <c r="T10830" s="246">
        <f t="shared" si="207"/>
        <v>0</v>
      </c>
    </row>
    <row r="10831" spans="20:20" ht="18.75" customHeight="1" x14ac:dyDescent="0.35">
      <c r="T10831" s="246">
        <f t="shared" si="207"/>
        <v>0</v>
      </c>
    </row>
    <row r="10832" spans="20:20" ht="18.75" customHeight="1" x14ac:dyDescent="0.35">
      <c r="T10832" s="246">
        <f t="shared" si="207"/>
        <v>0</v>
      </c>
    </row>
    <row r="10833" spans="20:20" ht="18.75" customHeight="1" x14ac:dyDescent="0.35">
      <c r="T10833" s="246">
        <f t="shared" si="207"/>
        <v>0</v>
      </c>
    </row>
    <row r="10834" spans="20:20" ht="18.75" customHeight="1" x14ac:dyDescent="0.35">
      <c r="T10834" s="246">
        <f t="shared" si="207"/>
        <v>0</v>
      </c>
    </row>
    <row r="10835" spans="20:20" ht="18.75" customHeight="1" x14ac:dyDescent="0.35">
      <c r="T10835" s="246">
        <f t="shared" si="207"/>
        <v>0</v>
      </c>
    </row>
    <row r="10836" spans="20:20" ht="18.75" customHeight="1" x14ac:dyDescent="0.35">
      <c r="T10836" s="246">
        <f t="shared" si="207"/>
        <v>0</v>
      </c>
    </row>
    <row r="10837" spans="20:20" ht="18.75" customHeight="1" x14ac:dyDescent="0.35">
      <c r="T10837" s="246">
        <f t="shared" si="207"/>
        <v>0</v>
      </c>
    </row>
    <row r="10838" spans="20:20" ht="18.75" customHeight="1" x14ac:dyDescent="0.35">
      <c r="T10838" s="246">
        <f t="shared" si="207"/>
        <v>0</v>
      </c>
    </row>
    <row r="10839" spans="20:20" ht="18.75" customHeight="1" x14ac:dyDescent="0.35">
      <c r="T10839" s="246">
        <f t="shared" si="207"/>
        <v>0</v>
      </c>
    </row>
    <row r="10840" spans="20:20" ht="18.75" customHeight="1" x14ac:dyDescent="0.35">
      <c r="T10840" s="246">
        <f t="shared" si="207"/>
        <v>0</v>
      </c>
    </row>
    <row r="10841" spans="20:20" ht="18.75" customHeight="1" x14ac:dyDescent="0.35">
      <c r="T10841" s="246">
        <f t="shared" si="207"/>
        <v>0</v>
      </c>
    </row>
    <row r="10842" spans="20:20" ht="18.75" customHeight="1" x14ac:dyDescent="0.35">
      <c r="T10842" s="246">
        <f t="shared" si="207"/>
        <v>0</v>
      </c>
    </row>
    <row r="10843" spans="20:20" ht="18.75" customHeight="1" x14ac:dyDescent="0.35">
      <c r="T10843" s="246">
        <f t="shared" si="207"/>
        <v>0</v>
      </c>
    </row>
    <row r="10844" spans="20:20" ht="18.75" customHeight="1" x14ac:dyDescent="0.35">
      <c r="T10844" s="246">
        <f t="shared" si="207"/>
        <v>0</v>
      </c>
    </row>
    <row r="10845" spans="20:20" ht="18.75" customHeight="1" x14ac:dyDescent="0.35">
      <c r="T10845" s="246">
        <f t="shared" si="207"/>
        <v>0</v>
      </c>
    </row>
    <row r="10846" spans="20:20" ht="18.75" customHeight="1" x14ac:dyDescent="0.35">
      <c r="T10846" s="246">
        <f t="shared" si="207"/>
        <v>0</v>
      </c>
    </row>
    <row r="10847" spans="20:20" ht="18.75" customHeight="1" x14ac:dyDescent="0.35">
      <c r="T10847" s="246">
        <f t="shared" si="207"/>
        <v>0</v>
      </c>
    </row>
    <row r="10848" spans="20:20" ht="18.75" customHeight="1" x14ac:dyDescent="0.35">
      <c r="T10848" s="246">
        <f t="shared" si="207"/>
        <v>0</v>
      </c>
    </row>
    <row r="10849" spans="20:20" ht="18.75" customHeight="1" x14ac:dyDescent="0.35">
      <c r="T10849" s="246">
        <f t="shared" si="207"/>
        <v>0</v>
      </c>
    </row>
    <row r="10850" spans="20:20" ht="18.75" customHeight="1" x14ac:dyDescent="0.35">
      <c r="T10850" s="246">
        <f t="shared" si="207"/>
        <v>0</v>
      </c>
    </row>
    <row r="10851" spans="20:20" ht="18.75" customHeight="1" x14ac:dyDescent="0.35">
      <c r="T10851" s="246">
        <f t="shared" si="207"/>
        <v>0</v>
      </c>
    </row>
    <row r="10852" spans="20:20" ht="18.75" customHeight="1" x14ac:dyDescent="0.35">
      <c r="T10852" s="246">
        <f t="shared" si="207"/>
        <v>0</v>
      </c>
    </row>
    <row r="10853" spans="20:20" ht="18.75" customHeight="1" x14ac:dyDescent="0.35">
      <c r="T10853" s="246">
        <f t="shared" si="207"/>
        <v>0</v>
      </c>
    </row>
    <row r="10854" spans="20:20" ht="18.75" customHeight="1" x14ac:dyDescent="0.35">
      <c r="T10854" s="246">
        <f t="shared" si="207"/>
        <v>0</v>
      </c>
    </row>
    <row r="10855" spans="20:20" ht="18.75" customHeight="1" x14ac:dyDescent="0.35">
      <c r="T10855" s="246">
        <f t="shared" si="207"/>
        <v>0</v>
      </c>
    </row>
    <row r="10856" spans="20:20" ht="18.75" customHeight="1" x14ac:dyDescent="0.35">
      <c r="T10856" s="246">
        <f t="shared" si="207"/>
        <v>0</v>
      </c>
    </row>
    <row r="10857" spans="20:20" ht="18.75" customHeight="1" x14ac:dyDescent="0.35">
      <c r="T10857" s="246">
        <f t="shared" si="207"/>
        <v>0</v>
      </c>
    </row>
    <row r="10858" spans="20:20" ht="18.75" customHeight="1" x14ac:dyDescent="0.35">
      <c r="T10858" s="246">
        <f t="shared" si="207"/>
        <v>0</v>
      </c>
    </row>
    <row r="10859" spans="20:20" ht="18.75" customHeight="1" x14ac:dyDescent="0.35">
      <c r="T10859" s="246">
        <f t="shared" si="207"/>
        <v>0</v>
      </c>
    </row>
    <row r="10860" spans="20:20" ht="18.75" customHeight="1" x14ac:dyDescent="0.35">
      <c r="T10860" s="246">
        <f t="shared" si="207"/>
        <v>0</v>
      </c>
    </row>
    <row r="10861" spans="20:20" ht="18.75" customHeight="1" x14ac:dyDescent="0.35">
      <c r="T10861" s="246">
        <f t="shared" si="207"/>
        <v>0</v>
      </c>
    </row>
    <row r="10862" spans="20:20" ht="18.75" customHeight="1" x14ac:dyDescent="0.35">
      <c r="T10862" s="246">
        <f t="shared" si="207"/>
        <v>0</v>
      </c>
    </row>
    <row r="10863" spans="20:20" ht="18.75" customHeight="1" x14ac:dyDescent="0.35">
      <c r="T10863" s="246">
        <f t="shared" si="207"/>
        <v>0</v>
      </c>
    </row>
    <row r="10864" spans="20:20" ht="18.75" customHeight="1" x14ac:dyDescent="0.35">
      <c r="T10864" s="246">
        <f t="shared" si="207"/>
        <v>0</v>
      </c>
    </row>
    <row r="10865" spans="20:20" ht="18.75" customHeight="1" x14ac:dyDescent="0.35">
      <c r="T10865" s="246">
        <f t="shared" si="207"/>
        <v>0</v>
      </c>
    </row>
    <row r="10866" spans="20:20" ht="18.75" customHeight="1" x14ac:dyDescent="0.35">
      <c r="T10866" s="246">
        <f t="shared" si="207"/>
        <v>0</v>
      </c>
    </row>
    <row r="10867" spans="20:20" ht="18.75" customHeight="1" x14ac:dyDescent="0.35">
      <c r="T10867" s="246">
        <f t="shared" si="207"/>
        <v>0</v>
      </c>
    </row>
    <row r="10868" spans="20:20" ht="18.75" customHeight="1" x14ac:dyDescent="0.35">
      <c r="T10868" s="246">
        <f t="shared" si="207"/>
        <v>0</v>
      </c>
    </row>
    <row r="10869" spans="20:20" ht="18.75" customHeight="1" x14ac:dyDescent="0.35">
      <c r="T10869" s="246">
        <f t="shared" si="207"/>
        <v>0</v>
      </c>
    </row>
    <row r="10870" spans="20:20" ht="18.75" customHeight="1" x14ac:dyDescent="0.35">
      <c r="T10870" s="246">
        <f t="shared" si="207"/>
        <v>0</v>
      </c>
    </row>
    <row r="10871" spans="20:20" ht="18.75" customHeight="1" x14ac:dyDescent="0.35">
      <c r="T10871" s="246">
        <f t="shared" si="207"/>
        <v>0</v>
      </c>
    </row>
    <row r="10872" spans="20:20" ht="18.75" customHeight="1" x14ac:dyDescent="0.35">
      <c r="T10872" s="246">
        <f t="shared" si="207"/>
        <v>0</v>
      </c>
    </row>
    <row r="10873" spans="20:20" ht="18.75" customHeight="1" x14ac:dyDescent="0.35">
      <c r="T10873" s="246">
        <f t="shared" si="207"/>
        <v>0</v>
      </c>
    </row>
    <row r="10874" spans="20:20" ht="18.75" customHeight="1" x14ac:dyDescent="0.35">
      <c r="T10874" s="246">
        <f t="shared" si="207"/>
        <v>0</v>
      </c>
    </row>
    <row r="10875" spans="20:20" ht="18.75" customHeight="1" x14ac:dyDescent="0.35">
      <c r="T10875" s="246">
        <f t="shared" si="207"/>
        <v>0</v>
      </c>
    </row>
    <row r="10876" spans="20:20" ht="18.75" customHeight="1" x14ac:dyDescent="0.35">
      <c r="T10876" s="246">
        <f t="shared" ref="T10876:T10939" si="208">R10876*0.01</f>
        <v>0</v>
      </c>
    </row>
    <row r="10877" spans="20:20" ht="18.75" customHeight="1" x14ac:dyDescent="0.35">
      <c r="T10877" s="246">
        <f t="shared" si="208"/>
        <v>0</v>
      </c>
    </row>
    <row r="10878" spans="20:20" ht="18.75" customHeight="1" x14ac:dyDescent="0.35">
      <c r="T10878" s="246">
        <f t="shared" si="208"/>
        <v>0</v>
      </c>
    </row>
    <row r="10879" spans="20:20" ht="18.75" customHeight="1" x14ac:dyDescent="0.35">
      <c r="T10879" s="246">
        <f t="shared" si="208"/>
        <v>0</v>
      </c>
    </row>
    <row r="10880" spans="20:20" ht="18.75" customHeight="1" x14ac:dyDescent="0.35">
      <c r="T10880" s="246">
        <f t="shared" si="208"/>
        <v>0</v>
      </c>
    </row>
    <row r="10881" spans="20:20" ht="18.75" customHeight="1" x14ac:dyDescent="0.35">
      <c r="T10881" s="246">
        <f t="shared" si="208"/>
        <v>0</v>
      </c>
    </row>
    <row r="10882" spans="20:20" ht="18.75" customHeight="1" x14ac:dyDescent="0.35">
      <c r="T10882" s="246">
        <f t="shared" si="208"/>
        <v>0</v>
      </c>
    </row>
    <row r="10883" spans="20:20" ht="18.75" customHeight="1" x14ac:dyDescent="0.35">
      <c r="T10883" s="246">
        <f t="shared" si="208"/>
        <v>0</v>
      </c>
    </row>
    <row r="10884" spans="20:20" ht="18.75" customHeight="1" x14ac:dyDescent="0.35">
      <c r="T10884" s="246">
        <f t="shared" si="208"/>
        <v>0</v>
      </c>
    </row>
    <row r="10885" spans="20:20" ht="18.75" customHeight="1" x14ac:dyDescent="0.35">
      <c r="T10885" s="246">
        <f t="shared" si="208"/>
        <v>0</v>
      </c>
    </row>
    <row r="10886" spans="20:20" ht="18.75" customHeight="1" x14ac:dyDescent="0.35">
      <c r="T10886" s="246">
        <f t="shared" si="208"/>
        <v>0</v>
      </c>
    </row>
    <row r="10887" spans="20:20" ht="18.75" customHeight="1" x14ac:dyDescent="0.35">
      <c r="T10887" s="246">
        <f t="shared" si="208"/>
        <v>0</v>
      </c>
    </row>
    <row r="10888" spans="20:20" ht="18.75" customHeight="1" x14ac:dyDescent="0.35">
      <c r="T10888" s="246">
        <f t="shared" si="208"/>
        <v>0</v>
      </c>
    </row>
    <row r="10889" spans="20:20" ht="18.75" customHeight="1" x14ac:dyDescent="0.35">
      <c r="T10889" s="246">
        <f t="shared" si="208"/>
        <v>0</v>
      </c>
    </row>
    <row r="10890" spans="20:20" ht="18.75" customHeight="1" x14ac:dyDescent="0.35">
      <c r="T10890" s="246">
        <f t="shared" si="208"/>
        <v>0</v>
      </c>
    </row>
    <row r="10891" spans="20:20" ht="18.75" customHeight="1" x14ac:dyDescent="0.35">
      <c r="T10891" s="246">
        <f t="shared" si="208"/>
        <v>0</v>
      </c>
    </row>
    <row r="10892" spans="20:20" ht="18.75" customHeight="1" x14ac:dyDescent="0.35">
      <c r="T10892" s="246">
        <f t="shared" si="208"/>
        <v>0</v>
      </c>
    </row>
    <row r="10893" spans="20:20" ht="18.75" customHeight="1" x14ac:dyDescent="0.35">
      <c r="T10893" s="246">
        <f t="shared" si="208"/>
        <v>0</v>
      </c>
    </row>
    <row r="10894" spans="20:20" ht="18.75" customHeight="1" x14ac:dyDescent="0.35">
      <c r="T10894" s="246">
        <f t="shared" si="208"/>
        <v>0</v>
      </c>
    </row>
    <row r="10895" spans="20:20" ht="18.75" customHeight="1" x14ac:dyDescent="0.35">
      <c r="T10895" s="246">
        <f t="shared" si="208"/>
        <v>0</v>
      </c>
    </row>
    <row r="10896" spans="20:20" ht="18.75" customHeight="1" x14ac:dyDescent="0.35">
      <c r="T10896" s="246">
        <f t="shared" si="208"/>
        <v>0</v>
      </c>
    </row>
    <row r="10897" spans="20:20" ht="18.75" customHeight="1" x14ac:dyDescent="0.35">
      <c r="T10897" s="246">
        <f t="shared" si="208"/>
        <v>0</v>
      </c>
    </row>
    <row r="10898" spans="20:20" ht="18.75" customHeight="1" x14ac:dyDescent="0.35">
      <c r="T10898" s="246">
        <f t="shared" si="208"/>
        <v>0</v>
      </c>
    </row>
    <row r="10899" spans="20:20" ht="18.75" customHeight="1" x14ac:dyDescent="0.35">
      <c r="T10899" s="246">
        <f t="shared" si="208"/>
        <v>0</v>
      </c>
    </row>
    <row r="10900" spans="20:20" ht="18.75" customHeight="1" x14ac:dyDescent="0.35">
      <c r="T10900" s="246">
        <f t="shared" si="208"/>
        <v>0</v>
      </c>
    </row>
    <row r="10901" spans="20:20" ht="18.75" customHeight="1" x14ac:dyDescent="0.35">
      <c r="T10901" s="246">
        <f t="shared" si="208"/>
        <v>0</v>
      </c>
    </row>
    <row r="10902" spans="20:20" ht="18.75" customHeight="1" x14ac:dyDescent="0.35">
      <c r="T10902" s="246">
        <f t="shared" si="208"/>
        <v>0</v>
      </c>
    </row>
    <row r="10903" spans="20:20" ht="18.75" customHeight="1" x14ac:dyDescent="0.35">
      <c r="T10903" s="246">
        <f t="shared" si="208"/>
        <v>0</v>
      </c>
    </row>
    <row r="10904" spans="20:20" ht="18.75" customHeight="1" x14ac:dyDescent="0.35">
      <c r="T10904" s="246">
        <f t="shared" si="208"/>
        <v>0</v>
      </c>
    </row>
    <row r="10905" spans="20:20" ht="18.75" customHeight="1" x14ac:dyDescent="0.35">
      <c r="T10905" s="246">
        <f t="shared" si="208"/>
        <v>0</v>
      </c>
    </row>
    <row r="10906" spans="20:20" ht="18.75" customHeight="1" x14ac:dyDescent="0.35">
      <c r="T10906" s="246">
        <f t="shared" si="208"/>
        <v>0</v>
      </c>
    </row>
    <row r="10907" spans="20:20" ht="18.75" customHeight="1" x14ac:dyDescent="0.35">
      <c r="T10907" s="246">
        <f t="shared" si="208"/>
        <v>0</v>
      </c>
    </row>
    <row r="10908" spans="20:20" ht="18.75" customHeight="1" x14ac:dyDescent="0.35">
      <c r="T10908" s="246">
        <f t="shared" si="208"/>
        <v>0</v>
      </c>
    </row>
    <row r="10909" spans="20:20" ht="18.75" customHeight="1" x14ac:dyDescent="0.35">
      <c r="T10909" s="246">
        <f t="shared" si="208"/>
        <v>0</v>
      </c>
    </row>
    <row r="10910" spans="20:20" ht="18.75" customHeight="1" x14ac:dyDescent="0.35">
      <c r="T10910" s="246">
        <f t="shared" si="208"/>
        <v>0</v>
      </c>
    </row>
    <row r="10911" spans="20:20" ht="18.75" customHeight="1" x14ac:dyDescent="0.35">
      <c r="T10911" s="246">
        <f t="shared" si="208"/>
        <v>0</v>
      </c>
    </row>
    <row r="10912" spans="20:20" ht="18.75" customHeight="1" x14ac:dyDescent="0.35">
      <c r="T10912" s="246">
        <f t="shared" si="208"/>
        <v>0</v>
      </c>
    </row>
    <row r="10913" spans="20:20" ht="18.75" customHeight="1" x14ac:dyDescent="0.35">
      <c r="T10913" s="246">
        <f t="shared" si="208"/>
        <v>0</v>
      </c>
    </row>
    <row r="10914" spans="20:20" ht="18.75" customHeight="1" x14ac:dyDescent="0.35">
      <c r="T10914" s="246">
        <f t="shared" si="208"/>
        <v>0</v>
      </c>
    </row>
    <row r="10915" spans="20:20" ht="18.75" customHeight="1" x14ac:dyDescent="0.35">
      <c r="T10915" s="246">
        <f t="shared" si="208"/>
        <v>0</v>
      </c>
    </row>
    <row r="10916" spans="20:20" ht="18.75" customHeight="1" x14ac:dyDescent="0.35">
      <c r="T10916" s="246">
        <f t="shared" si="208"/>
        <v>0</v>
      </c>
    </row>
    <row r="10917" spans="20:20" ht="18.75" customHeight="1" x14ac:dyDescent="0.35">
      <c r="T10917" s="246">
        <f t="shared" si="208"/>
        <v>0</v>
      </c>
    </row>
    <row r="10918" spans="20:20" ht="18.75" customHeight="1" x14ac:dyDescent="0.35">
      <c r="T10918" s="246">
        <f t="shared" si="208"/>
        <v>0</v>
      </c>
    </row>
    <row r="10919" spans="20:20" ht="18.75" customHeight="1" x14ac:dyDescent="0.35">
      <c r="T10919" s="246">
        <f t="shared" si="208"/>
        <v>0</v>
      </c>
    </row>
    <row r="10920" spans="20:20" ht="18.75" customHeight="1" x14ac:dyDescent="0.35">
      <c r="T10920" s="246">
        <f t="shared" si="208"/>
        <v>0</v>
      </c>
    </row>
    <row r="10921" spans="20:20" ht="18.75" customHeight="1" x14ac:dyDescent="0.35">
      <c r="T10921" s="246">
        <f t="shared" si="208"/>
        <v>0</v>
      </c>
    </row>
    <row r="10922" spans="20:20" ht="18.75" customHeight="1" x14ac:dyDescent="0.35">
      <c r="T10922" s="246">
        <f t="shared" si="208"/>
        <v>0</v>
      </c>
    </row>
    <row r="10923" spans="20:20" ht="18.75" customHeight="1" x14ac:dyDescent="0.35">
      <c r="T10923" s="246">
        <f t="shared" si="208"/>
        <v>0</v>
      </c>
    </row>
    <row r="10924" spans="20:20" ht="18.75" customHeight="1" x14ac:dyDescent="0.35">
      <c r="T10924" s="246">
        <f t="shared" si="208"/>
        <v>0</v>
      </c>
    </row>
    <row r="10925" spans="20:20" ht="18.75" customHeight="1" x14ac:dyDescent="0.35">
      <c r="T10925" s="246">
        <f t="shared" si="208"/>
        <v>0</v>
      </c>
    </row>
    <row r="10926" spans="20:20" ht="18.75" customHeight="1" x14ac:dyDescent="0.35">
      <c r="T10926" s="246">
        <f t="shared" si="208"/>
        <v>0</v>
      </c>
    </row>
    <row r="10927" spans="20:20" ht="18.75" customHeight="1" x14ac:dyDescent="0.35">
      <c r="T10927" s="246">
        <f t="shared" si="208"/>
        <v>0</v>
      </c>
    </row>
    <row r="10928" spans="20:20" ht="18.75" customHeight="1" x14ac:dyDescent="0.35">
      <c r="T10928" s="246">
        <f t="shared" si="208"/>
        <v>0</v>
      </c>
    </row>
    <row r="10929" spans="20:20" ht="18.75" customHeight="1" x14ac:dyDescent="0.35">
      <c r="T10929" s="246">
        <f t="shared" si="208"/>
        <v>0</v>
      </c>
    </row>
    <row r="10930" spans="20:20" ht="18.75" customHeight="1" x14ac:dyDescent="0.35">
      <c r="T10930" s="246">
        <f t="shared" si="208"/>
        <v>0</v>
      </c>
    </row>
    <row r="10931" spans="20:20" ht="18.75" customHeight="1" x14ac:dyDescent="0.35">
      <c r="T10931" s="246">
        <f t="shared" si="208"/>
        <v>0</v>
      </c>
    </row>
    <row r="10932" spans="20:20" ht="18.75" customHeight="1" x14ac:dyDescent="0.35">
      <c r="T10932" s="246">
        <f t="shared" si="208"/>
        <v>0</v>
      </c>
    </row>
    <row r="10933" spans="20:20" ht="18.75" customHeight="1" x14ac:dyDescent="0.35">
      <c r="T10933" s="246">
        <f t="shared" si="208"/>
        <v>0</v>
      </c>
    </row>
    <row r="10934" spans="20:20" ht="18.75" customHeight="1" x14ac:dyDescent="0.35">
      <c r="T10934" s="246">
        <f t="shared" si="208"/>
        <v>0</v>
      </c>
    </row>
    <row r="10935" spans="20:20" ht="18.75" customHeight="1" x14ac:dyDescent="0.35">
      <c r="T10935" s="246">
        <f t="shared" si="208"/>
        <v>0</v>
      </c>
    </row>
    <row r="10936" spans="20:20" ht="18.75" customHeight="1" x14ac:dyDescent="0.35">
      <c r="T10936" s="246">
        <f t="shared" si="208"/>
        <v>0</v>
      </c>
    </row>
    <row r="10937" spans="20:20" ht="18.75" customHeight="1" x14ac:dyDescent="0.35">
      <c r="T10937" s="246">
        <f t="shared" si="208"/>
        <v>0</v>
      </c>
    </row>
    <row r="10938" spans="20:20" ht="18.75" customHeight="1" x14ac:dyDescent="0.35">
      <c r="T10938" s="246">
        <f t="shared" si="208"/>
        <v>0</v>
      </c>
    </row>
    <row r="10939" spans="20:20" ht="18.75" customHeight="1" x14ac:dyDescent="0.35">
      <c r="T10939" s="246">
        <f t="shared" si="208"/>
        <v>0</v>
      </c>
    </row>
    <row r="10940" spans="20:20" ht="18.75" customHeight="1" x14ac:dyDescent="0.35">
      <c r="T10940" s="246">
        <f t="shared" ref="T10940:T11003" si="209">R10940*0.01</f>
        <v>0</v>
      </c>
    </row>
    <row r="10941" spans="20:20" ht="18.75" customHeight="1" x14ac:dyDescent="0.35">
      <c r="T10941" s="246">
        <f t="shared" si="209"/>
        <v>0</v>
      </c>
    </row>
    <row r="10942" spans="20:20" ht="18.75" customHeight="1" x14ac:dyDescent="0.35">
      <c r="T10942" s="246">
        <f t="shared" si="209"/>
        <v>0</v>
      </c>
    </row>
    <row r="10943" spans="20:20" ht="18.75" customHeight="1" x14ac:dyDescent="0.35">
      <c r="T10943" s="246">
        <f t="shared" si="209"/>
        <v>0</v>
      </c>
    </row>
    <row r="10944" spans="20:20" ht="18.75" customHeight="1" x14ac:dyDescent="0.35">
      <c r="T10944" s="246">
        <f t="shared" si="209"/>
        <v>0</v>
      </c>
    </row>
    <row r="10945" spans="20:20" ht="18.75" customHeight="1" x14ac:dyDescent="0.35">
      <c r="T10945" s="246">
        <f t="shared" si="209"/>
        <v>0</v>
      </c>
    </row>
    <row r="10946" spans="20:20" ht="18.75" customHeight="1" x14ac:dyDescent="0.35">
      <c r="T10946" s="246">
        <f t="shared" si="209"/>
        <v>0</v>
      </c>
    </row>
    <row r="10947" spans="20:20" ht="18.75" customHeight="1" x14ac:dyDescent="0.35">
      <c r="T10947" s="246">
        <f t="shared" si="209"/>
        <v>0</v>
      </c>
    </row>
    <row r="10948" spans="20:20" ht="18.75" customHeight="1" x14ac:dyDescent="0.35">
      <c r="T10948" s="246">
        <f t="shared" si="209"/>
        <v>0</v>
      </c>
    </row>
    <row r="10949" spans="20:20" ht="18.75" customHeight="1" x14ac:dyDescent="0.35">
      <c r="T10949" s="246">
        <f t="shared" si="209"/>
        <v>0</v>
      </c>
    </row>
    <row r="10950" spans="20:20" ht="18.75" customHeight="1" x14ac:dyDescent="0.35">
      <c r="T10950" s="246">
        <f t="shared" si="209"/>
        <v>0</v>
      </c>
    </row>
    <row r="10951" spans="20:20" ht="18.75" customHeight="1" x14ac:dyDescent="0.35">
      <c r="T10951" s="246">
        <f t="shared" si="209"/>
        <v>0</v>
      </c>
    </row>
    <row r="10952" spans="20:20" ht="18.75" customHeight="1" x14ac:dyDescent="0.35">
      <c r="T10952" s="246">
        <f t="shared" si="209"/>
        <v>0</v>
      </c>
    </row>
    <row r="10953" spans="20:20" ht="18.75" customHeight="1" x14ac:dyDescent="0.35">
      <c r="T10953" s="246">
        <f t="shared" si="209"/>
        <v>0</v>
      </c>
    </row>
    <row r="10954" spans="20:20" ht="18.75" customHeight="1" x14ac:dyDescent="0.35">
      <c r="T10954" s="246">
        <f t="shared" si="209"/>
        <v>0</v>
      </c>
    </row>
    <row r="10955" spans="20:20" ht="18.75" customHeight="1" x14ac:dyDescent="0.35">
      <c r="T10955" s="246">
        <f t="shared" si="209"/>
        <v>0</v>
      </c>
    </row>
    <row r="10956" spans="20:20" ht="18.75" customHeight="1" x14ac:dyDescent="0.35">
      <c r="T10956" s="246">
        <f t="shared" si="209"/>
        <v>0</v>
      </c>
    </row>
    <row r="10957" spans="20:20" ht="18.75" customHeight="1" x14ac:dyDescent="0.35">
      <c r="T10957" s="246">
        <f t="shared" si="209"/>
        <v>0</v>
      </c>
    </row>
    <row r="10958" spans="20:20" ht="18.75" customHeight="1" x14ac:dyDescent="0.35">
      <c r="T10958" s="246">
        <f t="shared" si="209"/>
        <v>0</v>
      </c>
    </row>
    <row r="10959" spans="20:20" ht="18.75" customHeight="1" x14ac:dyDescent="0.35">
      <c r="T10959" s="246">
        <f t="shared" si="209"/>
        <v>0</v>
      </c>
    </row>
    <row r="10960" spans="20:20" ht="18.75" customHeight="1" x14ac:dyDescent="0.35">
      <c r="T10960" s="246">
        <f t="shared" si="209"/>
        <v>0</v>
      </c>
    </row>
    <row r="10961" spans="20:20" ht="18.75" customHeight="1" x14ac:dyDescent="0.35">
      <c r="T10961" s="246">
        <f t="shared" si="209"/>
        <v>0</v>
      </c>
    </row>
    <row r="10962" spans="20:20" ht="18.75" customHeight="1" x14ac:dyDescent="0.35">
      <c r="T10962" s="246">
        <f t="shared" si="209"/>
        <v>0</v>
      </c>
    </row>
    <row r="10963" spans="20:20" ht="18.75" customHeight="1" x14ac:dyDescent="0.35">
      <c r="T10963" s="246">
        <f t="shared" si="209"/>
        <v>0</v>
      </c>
    </row>
    <row r="10964" spans="20:20" ht="18.75" customHeight="1" x14ac:dyDescent="0.35">
      <c r="T10964" s="246">
        <f t="shared" si="209"/>
        <v>0</v>
      </c>
    </row>
    <row r="10965" spans="20:20" ht="18.75" customHeight="1" x14ac:dyDescent="0.35">
      <c r="T10965" s="246">
        <f t="shared" si="209"/>
        <v>0</v>
      </c>
    </row>
    <row r="10966" spans="20:20" ht="18.75" customHeight="1" x14ac:dyDescent="0.35">
      <c r="T10966" s="246">
        <f t="shared" si="209"/>
        <v>0</v>
      </c>
    </row>
    <row r="10967" spans="20:20" ht="18.75" customHeight="1" x14ac:dyDescent="0.35">
      <c r="T10967" s="246">
        <f t="shared" si="209"/>
        <v>0</v>
      </c>
    </row>
    <row r="10968" spans="20:20" ht="18.75" customHeight="1" x14ac:dyDescent="0.35">
      <c r="T10968" s="246">
        <f t="shared" si="209"/>
        <v>0</v>
      </c>
    </row>
    <row r="10969" spans="20:20" ht="18.75" customHeight="1" x14ac:dyDescent="0.35">
      <c r="T10969" s="246">
        <f t="shared" si="209"/>
        <v>0</v>
      </c>
    </row>
    <row r="10970" spans="20:20" ht="18.75" customHeight="1" x14ac:dyDescent="0.35">
      <c r="T10970" s="246">
        <f t="shared" si="209"/>
        <v>0</v>
      </c>
    </row>
    <row r="10971" spans="20:20" ht="18.75" customHeight="1" x14ac:dyDescent="0.35">
      <c r="T10971" s="246">
        <f t="shared" si="209"/>
        <v>0</v>
      </c>
    </row>
    <row r="10972" spans="20:20" ht="18.75" customHeight="1" x14ac:dyDescent="0.35">
      <c r="T10972" s="246">
        <f t="shared" si="209"/>
        <v>0</v>
      </c>
    </row>
    <row r="10973" spans="20:20" ht="18.75" customHeight="1" x14ac:dyDescent="0.35">
      <c r="T10973" s="246">
        <f t="shared" si="209"/>
        <v>0</v>
      </c>
    </row>
    <row r="10974" spans="20:20" ht="18.75" customHeight="1" x14ac:dyDescent="0.35">
      <c r="T10974" s="246">
        <f t="shared" si="209"/>
        <v>0</v>
      </c>
    </row>
    <row r="10975" spans="20:20" ht="18.75" customHeight="1" x14ac:dyDescent="0.35">
      <c r="T10975" s="246">
        <f t="shared" si="209"/>
        <v>0</v>
      </c>
    </row>
    <row r="10976" spans="20:20" ht="18.75" customHeight="1" x14ac:dyDescent="0.35">
      <c r="T10976" s="246">
        <f t="shared" si="209"/>
        <v>0</v>
      </c>
    </row>
    <row r="10977" spans="20:20" ht="18.75" customHeight="1" x14ac:dyDescent="0.35">
      <c r="T10977" s="246">
        <f t="shared" si="209"/>
        <v>0</v>
      </c>
    </row>
    <row r="10978" spans="20:20" ht="18.75" customHeight="1" x14ac:dyDescent="0.35">
      <c r="T10978" s="246">
        <f t="shared" si="209"/>
        <v>0</v>
      </c>
    </row>
    <row r="10979" spans="20:20" ht="18.75" customHeight="1" x14ac:dyDescent="0.35">
      <c r="T10979" s="246">
        <f t="shared" si="209"/>
        <v>0</v>
      </c>
    </row>
    <row r="10980" spans="20:20" ht="18.75" customHeight="1" x14ac:dyDescent="0.35">
      <c r="T10980" s="246">
        <f t="shared" si="209"/>
        <v>0</v>
      </c>
    </row>
    <row r="10981" spans="20:20" ht="18.75" customHeight="1" x14ac:dyDescent="0.35">
      <c r="T10981" s="246">
        <f t="shared" si="209"/>
        <v>0</v>
      </c>
    </row>
    <row r="10982" spans="20:20" ht="18.75" customHeight="1" x14ac:dyDescent="0.35">
      <c r="T10982" s="246">
        <f t="shared" si="209"/>
        <v>0</v>
      </c>
    </row>
    <row r="10983" spans="20:20" ht="18.75" customHeight="1" x14ac:dyDescent="0.35">
      <c r="T10983" s="246">
        <f t="shared" si="209"/>
        <v>0</v>
      </c>
    </row>
    <row r="10984" spans="20:20" ht="18.75" customHeight="1" x14ac:dyDescent="0.35">
      <c r="T10984" s="246">
        <f t="shared" si="209"/>
        <v>0</v>
      </c>
    </row>
    <row r="10985" spans="20:20" ht="18.75" customHeight="1" x14ac:dyDescent="0.35">
      <c r="T10985" s="246">
        <f t="shared" si="209"/>
        <v>0</v>
      </c>
    </row>
    <row r="10986" spans="20:20" ht="18.75" customHeight="1" x14ac:dyDescent="0.35">
      <c r="T10986" s="246">
        <f t="shared" si="209"/>
        <v>0</v>
      </c>
    </row>
    <row r="10987" spans="20:20" ht="18.75" customHeight="1" x14ac:dyDescent="0.35">
      <c r="T10987" s="246">
        <f t="shared" si="209"/>
        <v>0</v>
      </c>
    </row>
    <row r="10988" spans="20:20" ht="18.75" customHeight="1" x14ac:dyDescent="0.35">
      <c r="T10988" s="246">
        <f t="shared" si="209"/>
        <v>0</v>
      </c>
    </row>
    <row r="10989" spans="20:20" ht="18.75" customHeight="1" x14ac:dyDescent="0.35">
      <c r="T10989" s="246">
        <f t="shared" si="209"/>
        <v>0</v>
      </c>
    </row>
    <row r="10990" spans="20:20" ht="18.75" customHeight="1" x14ac:dyDescent="0.35">
      <c r="T10990" s="246">
        <f t="shared" si="209"/>
        <v>0</v>
      </c>
    </row>
    <row r="10991" spans="20:20" ht="18.75" customHeight="1" x14ac:dyDescent="0.35">
      <c r="T10991" s="246">
        <f t="shared" si="209"/>
        <v>0</v>
      </c>
    </row>
    <row r="10992" spans="20:20" ht="18.75" customHeight="1" x14ac:dyDescent="0.35">
      <c r="T10992" s="246">
        <f t="shared" si="209"/>
        <v>0</v>
      </c>
    </row>
    <row r="10993" spans="20:20" ht="18.75" customHeight="1" x14ac:dyDescent="0.35">
      <c r="T10993" s="246">
        <f t="shared" si="209"/>
        <v>0</v>
      </c>
    </row>
    <row r="10994" spans="20:20" ht="18.75" customHeight="1" x14ac:dyDescent="0.35">
      <c r="T10994" s="246">
        <f t="shared" si="209"/>
        <v>0</v>
      </c>
    </row>
    <row r="10995" spans="20:20" ht="18.75" customHeight="1" x14ac:dyDescent="0.35">
      <c r="T10995" s="246">
        <f t="shared" si="209"/>
        <v>0</v>
      </c>
    </row>
    <row r="10996" spans="20:20" ht="18.75" customHeight="1" x14ac:dyDescent="0.35">
      <c r="T10996" s="246">
        <f t="shared" si="209"/>
        <v>0</v>
      </c>
    </row>
    <row r="10997" spans="20:20" ht="18.75" customHeight="1" x14ac:dyDescent="0.35">
      <c r="T10997" s="246">
        <f t="shared" si="209"/>
        <v>0</v>
      </c>
    </row>
    <row r="10998" spans="20:20" ht="18.75" customHeight="1" x14ac:dyDescent="0.35">
      <c r="T10998" s="246">
        <f t="shared" si="209"/>
        <v>0</v>
      </c>
    </row>
    <row r="10999" spans="20:20" ht="18.75" customHeight="1" x14ac:dyDescent="0.35">
      <c r="T10999" s="246">
        <f t="shared" si="209"/>
        <v>0</v>
      </c>
    </row>
    <row r="11000" spans="20:20" ht="18.75" customHeight="1" x14ac:dyDescent="0.35">
      <c r="T11000" s="246">
        <f t="shared" si="209"/>
        <v>0</v>
      </c>
    </row>
    <row r="11001" spans="20:20" ht="18.75" customHeight="1" x14ac:dyDescent="0.35">
      <c r="T11001" s="246">
        <f t="shared" si="209"/>
        <v>0</v>
      </c>
    </row>
    <row r="11002" spans="20:20" ht="18.75" customHeight="1" x14ac:dyDescent="0.35">
      <c r="T11002" s="246">
        <f t="shared" si="209"/>
        <v>0</v>
      </c>
    </row>
    <row r="11003" spans="20:20" ht="18.75" customHeight="1" x14ac:dyDescent="0.35">
      <c r="T11003" s="246">
        <f t="shared" si="209"/>
        <v>0</v>
      </c>
    </row>
    <row r="11004" spans="20:20" ht="18.75" customHeight="1" x14ac:dyDescent="0.35">
      <c r="T11004" s="246">
        <f t="shared" ref="T11004:T11067" si="210">R11004*0.01</f>
        <v>0</v>
      </c>
    </row>
    <row r="11005" spans="20:20" ht="18.75" customHeight="1" x14ac:dyDescent="0.35">
      <c r="T11005" s="246">
        <f t="shared" si="210"/>
        <v>0</v>
      </c>
    </row>
    <row r="11006" spans="20:20" ht="18.75" customHeight="1" x14ac:dyDescent="0.35">
      <c r="T11006" s="246">
        <f t="shared" si="210"/>
        <v>0</v>
      </c>
    </row>
    <row r="11007" spans="20:20" ht="18.75" customHeight="1" x14ac:dyDescent="0.35">
      <c r="T11007" s="246">
        <f t="shared" si="210"/>
        <v>0</v>
      </c>
    </row>
    <row r="11008" spans="20:20" ht="18.75" customHeight="1" x14ac:dyDescent="0.35">
      <c r="T11008" s="246">
        <f t="shared" si="210"/>
        <v>0</v>
      </c>
    </row>
    <row r="11009" spans="20:20" ht="18.75" customHeight="1" x14ac:dyDescent="0.35">
      <c r="T11009" s="246">
        <f t="shared" si="210"/>
        <v>0</v>
      </c>
    </row>
    <row r="11010" spans="20:20" ht="18.75" customHeight="1" x14ac:dyDescent="0.35">
      <c r="T11010" s="246">
        <f t="shared" si="210"/>
        <v>0</v>
      </c>
    </row>
    <row r="11011" spans="20:20" ht="18.75" customHeight="1" x14ac:dyDescent="0.35">
      <c r="T11011" s="246">
        <f t="shared" si="210"/>
        <v>0</v>
      </c>
    </row>
    <row r="11012" spans="20:20" ht="18.75" customHeight="1" x14ac:dyDescent="0.35">
      <c r="T11012" s="246">
        <f t="shared" si="210"/>
        <v>0</v>
      </c>
    </row>
    <row r="11013" spans="20:20" ht="18.75" customHeight="1" x14ac:dyDescent="0.35">
      <c r="T11013" s="246">
        <f t="shared" si="210"/>
        <v>0</v>
      </c>
    </row>
    <row r="11014" spans="20:20" ht="18.75" customHeight="1" x14ac:dyDescent="0.35">
      <c r="T11014" s="246">
        <f t="shared" si="210"/>
        <v>0</v>
      </c>
    </row>
    <row r="11015" spans="20:20" ht="18.75" customHeight="1" x14ac:dyDescent="0.35">
      <c r="T11015" s="246">
        <f t="shared" si="210"/>
        <v>0</v>
      </c>
    </row>
    <row r="11016" spans="20:20" ht="18.75" customHeight="1" x14ac:dyDescent="0.35">
      <c r="T11016" s="246">
        <f t="shared" si="210"/>
        <v>0</v>
      </c>
    </row>
    <row r="11017" spans="20:20" ht="18.75" customHeight="1" x14ac:dyDescent="0.35">
      <c r="T11017" s="246">
        <f t="shared" si="210"/>
        <v>0</v>
      </c>
    </row>
    <row r="11018" spans="20:20" ht="18.75" customHeight="1" x14ac:dyDescent="0.35">
      <c r="T11018" s="246">
        <f t="shared" si="210"/>
        <v>0</v>
      </c>
    </row>
    <row r="11019" spans="20:20" ht="18.75" customHeight="1" x14ac:dyDescent="0.35">
      <c r="T11019" s="246">
        <f t="shared" si="210"/>
        <v>0</v>
      </c>
    </row>
    <row r="11020" spans="20:20" ht="18.75" customHeight="1" x14ac:dyDescent="0.35">
      <c r="T11020" s="246">
        <f t="shared" si="210"/>
        <v>0</v>
      </c>
    </row>
    <row r="11021" spans="20:20" ht="18.75" customHeight="1" x14ac:dyDescent="0.35">
      <c r="T11021" s="246">
        <f t="shared" si="210"/>
        <v>0</v>
      </c>
    </row>
    <row r="11022" spans="20:20" ht="18.75" customHeight="1" x14ac:dyDescent="0.35">
      <c r="T11022" s="246">
        <f t="shared" si="210"/>
        <v>0</v>
      </c>
    </row>
    <row r="11023" spans="20:20" ht="18.75" customHeight="1" x14ac:dyDescent="0.35">
      <c r="T11023" s="246">
        <f t="shared" si="210"/>
        <v>0</v>
      </c>
    </row>
    <row r="11024" spans="20:20" ht="18.75" customHeight="1" x14ac:dyDescent="0.35">
      <c r="T11024" s="246">
        <f t="shared" si="210"/>
        <v>0</v>
      </c>
    </row>
    <row r="11025" spans="20:20" ht="18.75" customHeight="1" x14ac:dyDescent="0.35">
      <c r="T11025" s="246">
        <f t="shared" si="210"/>
        <v>0</v>
      </c>
    </row>
    <row r="11026" spans="20:20" ht="18.75" customHeight="1" x14ac:dyDescent="0.35">
      <c r="T11026" s="246">
        <f t="shared" si="210"/>
        <v>0</v>
      </c>
    </row>
    <row r="11027" spans="20:20" ht="18.75" customHeight="1" x14ac:dyDescent="0.35">
      <c r="T11027" s="246">
        <f t="shared" si="210"/>
        <v>0</v>
      </c>
    </row>
    <row r="11028" spans="20:20" ht="18.75" customHeight="1" x14ac:dyDescent="0.35">
      <c r="T11028" s="246">
        <f t="shared" si="210"/>
        <v>0</v>
      </c>
    </row>
    <row r="11029" spans="20:20" ht="18.75" customHeight="1" x14ac:dyDescent="0.35">
      <c r="T11029" s="246">
        <f t="shared" si="210"/>
        <v>0</v>
      </c>
    </row>
    <row r="11030" spans="20:20" ht="18.75" customHeight="1" x14ac:dyDescent="0.35">
      <c r="T11030" s="246">
        <f t="shared" si="210"/>
        <v>0</v>
      </c>
    </row>
    <row r="11031" spans="20:20" ht="18.75" customHeight="1" x14ac:dyDescent="0.35">
      <c r="T11031" s="246">
        <f t="shared" si="210"/>
        <v>0</v>
      </c>
    </row>
    <row r="11032" spans="20:20" ht="18.75" customHeight="1" x14ac:dyDescent="0.35">
      <c r="T11032" s="246">
        <f t="shared" si="210"/>
        <v>0</v>
      </c>
    </row>
    <row r="11033" spans="20:20" ht="18.75" customHeight="1" x14ac:dyDescent="0.35">
      <c r="T11033" s="246">
        <f t="shared" si="210"/>
        <v>0</v>
      </c>
    </row>
    <row r="11034" spans="20:20" ht="18.75" customHeight="1" x14ac:dyDescent="0.35">
      <c r="T11034" s="246">
        <f t="shared" si="210"/>
        <v>0</v>
      </c>
    </row>
    <row r="11035" spans="20:20" ht="18.75" customHeight="1" x14ac:dyDescent="0.35">
      <c r="T11035" s="246">
        <f t="shared" si="210"/>
        <v>0</v>
      </c>
    </row>
    <row r="11036" spans="20:20" ht="18.75" customHeight="1" x14ac:dyDescent="0.35">
      <c r="T11036" s="246">
        <f t="shared" si="210"/>
        <v>0</v>
      </c>
    </row>
    <row r="11037" spans="20:20" ht="18.75" customHeight="1" x14ac:dyDescent="0.35">
      <c r="T11037" s="246">
        <f t="shared" si="210"/>
        <v>0</v>
      </c>
    </row>
    <row r="11038" spans="20:20" ht="18.75" customHeight="1" x14ac:dyDescent="0.35">
      <c r="T11038" s="246">
        <f t="shared" si="210"/>
        <v>0</v>
      </c>
    </row>
    <row r="11039" spans="20:20" ht="18.75" customHeight="1" x14ac:dyDescent="0.35">
      <c r="T11039" s="246">
        <f t="shared" si="210"/>
        <v>0</v>
      </c>
    </row>
    <row r="11040" spans="20:20" ht="18.75" customHeight="1" x14ac:dyDescent="0.35">
      <c r="T11040" s="246">
        <f t="shared" si="210"/>
        <v>0</v>
      </c>
    </row>
    <row r="11041" spans="20:20" ht="18.75" customHeight="1" x14ac:dyDescent="0.35">
      <c r="T11041" s="246">
        <f t="shared" si="210"/>
        <v>0</v>
      </c>
    </row>
    <row r="11042" spans="20:20" ht="18.75" customHeight="1" x14ac:dyDescent="0.35">
      <c r="T11042" s="246">
        <f t="shared" si="210"/>
        <v>0</v>
      </c>
    </row>
    <row r="11043" spans="20:20" ht="18.75" customHeight="1" x14ac:dyDescent="0.35">
      <c r="T11043" s="246">
        <f t="shared" si="210"/>
        <v>0</v>
      </c>
    </row>
    <row r="11044" spans="20:20" ht="18.75" customHeight="1" x14ac:dyDescent="0.35">
      <c r="T11044" s="246">
        <f t="shared" si="210"/>
        <v>0</v>
      </c>
    </row>
    <row r="11045" spans="20:20" ht="18.75" customHeight="1" x14ac:dyDescent="0.35">
      <c r="T11045" s="246">
        <f t="shared" si="210"/>
        <v>0</v>
      </c>
    </row>
    <row r="11046" spans="20:20" ht="18.75" customHeight="1" x14ac:dyDescent="0.35">
      <c r="T11046" s="246">
        <f t="shared" si="210"/>
        <v>0</v>
      </c>
    </row>
    <row r="11047" spans="20:20" ht="18.75" customHeight="1" x14ac:dyDescent="0.35">
      <c r="T11047" s="246">
        <f t="shared" si="210"/>
        <v>0</v>
      </c>
    </row>
    <row r="11048" spans="20:20" ht="18.75" customHeight="1" x14ac:dyDescent="0.35">
      <c r="T11048" s="246">
        <f t="shared" si="210"/>
        <v>0</v>
      </c>
    </row>
    <row r="11049" spans="20:20" ht="18.75" customHeight="1" x14ac:dyDescent="0.35">
      <c r="T11049" s="246">
        <f t="shared" si="210"/>
        <v>0</v>
      </c>
    </row>
    <row r="11050" spans="20:20" ht="18.75" customHeight="1" x14ac:dyDescent="0.35">
      <c r="T11050" s="246">
        <f t="shared" si="210"/>
        <v>0</v>
      </c>
    </row>
    <row r="11051" spans="20:20" ht="18.75" customHeight="1" x14ac:dyDescent="0.35">
      <c r="T11051" s="246">
        <f t="shared" si="210"/>
        <v>0</v>
      </c>
    </row>
    <row r="11052" spans="20:20" ht="18.75" customHeight="1" x14ac:dyDescent="0.35">
      <c r="T11052" s="246">
        <f t="shared" si="210"/>
        <v>0</v>
      </c>
    </row>
    <row r="11053" spans="20:20" ht="18.75" customHeight="1" x14ac:dyDescent="0.35">
      <c r="T11053" s="246">
        <f t="shared" si="210"/>
        <v>0</v>
      </c>
    </row>
    <row r="11054" spans="20:20" ht="18.75" customHeight="1" x14ac:dyDescent="0.35">
      <c r="T11054" s="246">
        <f t="shared" si="210"/>
        <v>0</v>
      </c>
    </row>
    <row r="11055" spans="20:20" ht="18.75" customHeight="1" x14ac:dyDescent="0.35">
      <c r="T11055" s="246">
        <f t="shared" si="210"/>
        <v>0</v>
      </c>
    </row>
    <row r="11056" spans="20:20" ht="18.75" customHeight="1" x14ac:dyDescent="0.35">
      <c r="T11056" s="246">
        <f t="shared" si="210"/>
        <v>0</v>
      </c>
    </row>
    <row r="11057" spans="20:20" ht="18.75" customHeight="1" x14ac:dyDescent="0.35">
      <c r="T11057" s="246">
        <f t="shared" si="210"/>
        <v>0</v>
      </c>
    </row>
    <row r="11058" spans="20:20" ht="18.75" customHeight="1" x14ac:dyDescent="0.35">
      <c r="T11058" s="246">
        <f t="shared" si="210"/>
        <v>0</v>
      </c>
    </row>
    <row r="11059" spans="20:20" ht="18.75" customHeight="1" x14ac:dyDescent="0.35">
      <c r="T11059" s="246">
        <f t="shared" si="210"/>
        <v>0</v>
      </c>
    </row>
    <row r="11060" spans="20:20" ht="18.75" customHeight="1" x14ac:dyDescent="0.35">
      <c r="T11060" s="246">
        <f t="shared" si="210"/>
        <v>0</v>
      </c>
    </row>
    <row r="11061" spans="20:20" ht="18.75" customHeight="1" x14ac:dyDescent="0.35">
      <c r="T11061" s="246">
        <f t="shared" si="210"/>
        <v>0</v>
      </c>
    </row>
    <row r="11062" spans="20:20" ht="18.75" customHeight="1" x14ac:dyDescent="0.35">
      <c r="T11062" s="246">
        <f t="shared" si="210"/>
        <v>0</v>
      </c>
    </row>
    <row r="11063" spans="20:20" ht="18.75" customHeight="1" x14ac:dyDescent="0.35">
      <c r="T11063" s="246">
        <f t="shared" si="210"/>
        <v>0</v>
      </c>
    </row>
    <row r="11064" spans="20:20" ht="18.75" customHeight="1" x14ac:dyDescent="0.35">
      <c r="T11064" s="246">
        <f t="shared" si="210"/>
        <v>0</v>
      </c>
    </row>
    <row r="11065" spans="20:20" ht="18.75" customHeight="1" x14ac:dyDescent="0.35">
      <c r="T11065" s="246">
        <f t="shared" si="210"/>
        <v>0</v>
      </c>
    </row>
    <row r="11066" spans="20:20" ht="18.75" customHeight="1" x14ac:dyDescent="0.35">
      <c r="T11066" s="246">
        <f t="shared" si="210"/>
        <v>0</v>
      </c>
    </row>
    <row r="11067" spans="20:20" ht="18.75" customHeight="1" x14ac:dyDescent="0.35">
      <c r="T11067" s="246">
        <f t="shared" si="210"/>
        <v>0</v>
      </c>
    </row>
    <row r="11068" spans="20:20" ht="18.75" customHeight="1" x14ac:dyDescent="0.35">
      <c r="T11068" s="246">
        <f t="shared" ref="T11068:T11131" si="211">R11068*0.01</f>
        <v>0</v>
      </c>
    </row>
    <row r="11069" spans="20:20" ht="18.75" customHeight="1" x14ac:dyDescent="0.35">
      <c r="T11069" s="246">
        <f t="shared" si="211"/>
        <v>0</v>
      </c>
    </row>
    <row r="11070" spans="20:20" ht="18.75" customHeight="1" x14ac:dyDescent="0.35">
      <c r="T11070" s="246">
        <f t="shared" si="211"/>
        <v>0</v>
      </c>
    </row>
    <row r="11071" spans="20:20" ht="18.75" customHeight="1" x14ac:dyDescent="0.35">
      <c r="T11071" s="246">
        <f t="shared" si="211"/>
        <v>0</v>
      </c>
    </row>
    <row r="11072" spans="20:20" ht="18.75" customHeight="1" x14ac:dyDescent="0.35">
      <c r="T11072" s="246">
        <f t="shared" si="211"/>
        <v>0</v>
      </c>
    </row>
    <row r="11073" spans="20:20" ht="18.75" customHeight="1" x14ac:dyDescent="0.35">
      <c r="T11073" s="246">
        <f t="shared" si="211"/>
        <v>0</v>
      </c>
    </row>
    <row r="11074" spans="20:20" ht="18.75" customHeight="1" x14ac:dyDescent="0.35">
      <c r="T11074" s="246">
        <f t="shared" si="211"/>
        <v>0</v>
      </c>
    </row>
    <row r="11075" spans="20:20" ht="18.75" customHeight="1" x14ac:dyDescent="0.35">
      <c r="T11075" s="246">
        <f t="shared" si="211"/>
        <v>0</v>
      </c>
    </row>
    <row r="11076" spans="20:20" ht="18.75" customHeight="1" x14ac:dyDescent="0.35">
      <c r="T11076" s="246">
        <f t="shared" si="211"/>
        <v>0</v>
      </c>
    </row>
    <row r="11077" spans="20:20" ht="18.75" customHeight="1" x14ac:dyDescent="0.35">
      <c r="T11077" s="246">
        <f t="shared" si="211"/>
        <v>0</v>
      </c>
    </row>
    <row r="11078" spans="20:20" ht="18.75" customHeight="1" x14ac:dyDescent="0.35">
      <c r="T11078" s="246">
        <f t="shared" si="211"/>
        <v>0</v>
      </c>
    </row>
    <row r="11079" spans="20:20" ht="18.75" customHeight="1" x14ac:dyDescent="0.35">
      <c r="T11079" s="246">
        <f t="shared" si="211"/>
        <v>0</v>
      </c>
    </row>
    <row r="11080" spans="20:20" ht="18.75" customHeight="1" x14ac:dyDescent="0.35">
      <c r="T11080" s="246">
        <f t="shared" si="211"/>
        <v>0</v>
      </c>
    </row>
    <row r="11081" spans="20:20" ht="18.75" customHeight="1" x14ac:dyDescent="0.35">
      <c r="T11081" s="246">
        <f t="shared" si="211"/>
        <v>0</v>
      </c>
    </row>
    <row r="11082" spans="20:20" ht="18.75" customHeight="1" x14ac:dyDescent="0.35">
      <c r="T11082" s="246">
        <f t="shared" si="211"/>
        <v>0</v>
      </c>
    </row>
    <row r="11083" spans="20:20" ht="18.75" customHeight="1" x14ac:dyDescent="0.35">
      <c r="T11083" s="246">
        <f t="shared" si="211"/>
        <v>0</v>
      </c>
    </row>
    <row r="11084" spans="20:20" ht="18.75" customHeight="1" x14ac:dyDescent="0.35">
      <c r="T11084" s="246">
        <f t="shared" si="211"/>
        <v>0</v>
      </c>
    </row>
    <row r="11085" spans="20:20" ht="18.75" customHeight="1" x14ac:dyDescent="0.35">
      <c r="T11085" s="246">
        <f t="shared" si="211"/>
        <v>0</v>
      </c>
    </row>
    <row r="11086" spans="20:20" ht="18.75" customHeight="1" x14ac:dyDescent="0.35">
      <c r="T11086" s="246">
        <f t="shared" si="211"/>
        <v>0</v>
      </c>
    </row>
    <row r="11087" spans="20:20" ht="18.75" customHeight="1" x14ac:dyDescent="0.35">
      <c r="T11087" s="246">
        <f t="shared" si="211"/>
        <v>0</v>
      </c>
    </row>
    <row r="11088" spans="20:20" ht="18.75" customHeight="1" x14ac:dyDescent="0.35">
      <c r="T11088" s="246">
        <f t="shared" si="211"/>
        <v>0</v>
      </c>
    </row>
    <row r="11089" spans="20:20" ht="18.75" customHeight="1" x14ac:dyDescent="0.35">
      <c r="T11089" s="246">
        <f t="shared" si="211"/>
        <v>0</v>
      </c>
    </row>
    <row r="11090" spans="20:20" ht="18.75" customHeight="1" x14ac:dyDescent="0.35">
      <c r="T11090" s="246">
        <f t="shared" si="211"/>
        <v>0</v>
      </c>
    </row>
    <row r="11091" spans="20:20" ht="18.75" customHeight="1" x14ac:dyDescent="0.35">
      <c r="T11091" s="246">
        <f t="shared" si="211"/>
        <v>0</v>
      </c>
    </row>
    <row r="11092" spans="20:20" ht="18.75" customHeight="1" x14ac:dyDescent="0.35">
      <c r="T11092" s="246">
        <f t="shared" si="211"/>
        <v>0</v>
      </c>
    </row>
    <row r="11093" spans="20:20" ht="18.75" customHeight="1" x14ac:dyDescent="0.35">
      <c r="T11093" s="246">
        <f t="shared" si="211"/>
        <v>0</v>
      </c>
    </row>
    <row r="11094" spans="20:20" ht="18.75" customHeight="1" x14ac:dyDescent="0.35">
      <c r="T11094" s="246">
        <f t="shared" si="211"/>
        <v>0</v>
      </c>
    </row>
    <row r="11095" spans="20:20" ht="18.75" customHeight="1" x14ac:dyDescent="0.35">
      <c r="T11095" s="246">
        <f t="shared" si="211"/>
        <v>0</v>
      </c>
    </row>
    <row r="11096" spans="20:20" ht="18.75" customHeight="1" x14ac:dyDescent="0.35">
      <c r="T11096" s="246">
        <f t="shared" si="211"/>
        <v>0</v>
      </c>
    </row>
    <row r="11097" spans="20:20" ht="18.75" customHeight="1" x14ac:dyDescent="0.35">
      <c r="T11097" s="246">
        <f t="shared" si="211"/>
        <v>0</v>
      </c>
    </row>
    <row r="11098" spans="20:20" ht="18.75" customHeight="1" x14ac:dyDescent="0.35">
      <c r="T11098" s="246">
        <f t="shared" si="211"/>
        <v>0</v>
      </c>
    </row>
    <row r="11099" spans="20:20" ht="18.75" customHeight="1" x14ac:dyDescent="0.35">
      <c r="T11099" s="246">
        <f t="shared" si="211"/>
        <v>0</v>
      </c>
    </row>
    <row r="11100" spans="20:20" ht="18.75" customHeight="1" x14ac:dyDescent="0.35">
      <c r="T11100" s="246">
        <f t="shared" si="211"/>
        <v>0</v>
      </c>
    </row>
    <row r="11101" spans="20:20" ht="18.75" customHeight="1" x14ac:dyDescent="0.35">
      <c r="T11101" s="246">
        <f t="shared" si="211"/>
        <v>0</v>
      </c>
    </row>
    <row r="11102" spans="20:20" ht="18.75" customHeight="1" x14ac:dyDescent="0.35">
      <c r="T11102" s="246">
        <f t="shared" si="211"/>
        <v>0</v>
      </c>
    </row>
    <row r="11103" spans="20:20" ht="18.75" customHeight="1" x14ac:dyDescent="0.35">
      <c r="T11103" s="246">
        <f t="shared" si="211"/>
        <v>0</v>
      </c>
    </row>
    <row r="11104" spans="20:20" ht="18.75" customHeight="1" x14ac:dyDescent="0.35">
      <c r="T11104" s="246">
        <f t="shared" si="211"/>
        <v>0</v>
      </c>
    </row>
    <row r="11105" spans="20:20" ht="18.75" customHeight="1" x14ac:dyDescent="0.35">
      <c r="T11105" s="246">
        <f t="shared" si="211"/>
        <v>0</v>
      </c>
    </row>
    <row r="11106" spans="20:20" ht="18.75" customHeight="1" x14ac:dyDescent="0.35">
      <c r="T11106" s="246">
        <f t="shared" si="211"/>
        <v>0</v>
      </c>
    </row>
    <row r="11107" spans="20:20" ht="18.75" customHeight="1" x14ac:dyDescent="0.35">
      <c r="T11107" s="246">
        <f t="shared" si="211"/>
        <v>0</v>
      </c>
    </row>
    <row r="11108" spans="20:20" ht="18.75" customHeight="1" x14ac:dyDescent="0.35">
      <c r="T11108" s="246">
        <f t="shared" si="211"/>
        <v>0</v>
      </c>
    </row>
    <row r="11109" spans="20:20" ht="18.75" customHeight="1" x14ac:dyDescent="0.35">
      <c r="T11109" s="246">
        <f t="shared" si="211"/>
        <v>0</v>
      </c>
    </row>
    <row r="11110" spans="20:20" ht="18.75" customHeight="1" x14ac:dyDescent="0.35">
      <c r="T11110" s="246">
        <f t="shared" si="211"/>
        <v>0</v>
      </c>
    </row>
    <row r="11111" spans="20:20" ht="18.75" customHeight="1" x14ac:dyDescent="0.35">
      <c r="T11111" s="246">
        <f t="shared" si="211"/>
        <v>0</v>
      </c>
    </row>
    <row r="11112" spans="20:20" ht="18.75" customHeight="1" x14ac:dyDescent="0.35">
      <c r="T11112" s="246">
        <f t="shared" si="211"/>
        <v>0</v>
      </c>
    </row>
    <row r="11113" spans="20:20" ht="18.75" customHeight="1" x14ac:dyDescent="0.35">
      <c r="T11113" s="246">
        <f t="shared" si="211"/>
        <v>0</v>
      </c>
    </row>
    <row r="11114" spans="20:20" ht="18.75" customHeight="1" x14ac:dyDescent="0.35">
      <c r="T11114" s="246">
        <f t="shared" si="211"/>
        <v>0</v>
      </c>
    </row>
    <row r="11115" spans="20:20" ht="18.75" customHeight="1" x14ac:dyDescent="0.35">
      <c r="T11115" s="246">
        <f t="shared" si="211"/>
        <v>0</v>
      </c>
    </row>
    <row r="11116" spans="20:20" ht="18.75" customHeight="1" x14ac:dyDescent="0.35">
      <c r="T11116" s="246">
        <f t="shared" si="211"/>
        <v>0</v>
      </c>
    </row>
    <row r="11117" spans="20:20" ht="18.75" customHeight="1" x14ac:dyDescent="0.35">
      <c r="T11117" s="246">
        <f t="shared" si="211"/>
        <v>0</v>
      </c>
    </row>
    <row r="11118" spans="20:20" ht="18.75" customHeight="1" x14ac:dyDescent="0.35">
      <c r="T11118" s="246">
        <f t="shared" si="211"/>
        <v>0</v>
      </c>
    </row>
    <row r="11119" spans="20:20" ht="18.75" customHeight="1" x14ac:dyDescent="0.35">
      <c r="T11119" s="246">
        <f t="shared" si="211"/>
        <v>0</v>
      </c>
    </row>
    <row r="11120" spans="20:20" ht="18.75" customHeight="1" x14ac:dyDescent="0.35">
      <c r="T11120" s="246">
        <f t="shared" si="211"/>
        <v>0</v>
      </c>
    </row>
    <row r="11121" spans="20:20" ht="18.75" customHeight="1" x14ac:dyDescent="0.35">
      <c r="T11121" s="246">
        <f t="shared" si="211"/>
        <v>0</v>
      </c>
    </row>
    <row r="11122" spans="20:20" ht="18.75" customHeight="1" x14ac:dyDescent="0.35">
      <c r="T11122" s="246">
        <f t="shared" si="211"/>
        <v>0</v>
      </c>
    </row>
    <row r="11123" spans="20:20" ht="18.75" customHeight="1" x14ac:dyDescent="0.35">
      <c r="T11123" s="246">
        <f t="shared" si="211"/>
        <v>0</v>
      </c>
    </row>
    <row r="11124" spans="20:20" ht="18.75" customHeight="1" x14ac:dyDescent="0.35">
      <c r="T11124" s="246">
        <f t="shared" si="211"/>
        <v>0</v>
      </c>
    </row>
    <row r="11125" spans="20:20" ht="18.75" customHeight="1" x14ac:dyDescent="0.35">
      <c r="T11125" s="246">
        <f t="shared" si="211"/>
        <v>0</v>
      </c>
    </row>
    <row r="11126" spans="20:20" ht="18.75" customHeight="1" x14ac:dyDescent="0.35">
      <c r="T11126" s="246">
        <f t="shared" si="211"/>
        <v>0</v>
      </c>
    </row>
    <row r="11127" spans="20:20" ht="18.75" customHeight="1" x14ac:dyDescent="0.35">
      <c r="T11127" s="246">
        <f t="shared" si="211"/>
        <v>0</v>
      </c>
    </row>
    <row r="11128" spans="20:20" ht="18.75" customHeight="1" x14ac:dyDescent="0.35">
      <c r="T11128" s="246">
        <f t="shared" si="211"/>
        <v>0</v>
      </c>
    </row>
    <row r="11129" spans="20:20" ht="18.75" customHeight="1" x14ac:dyDescent="0.35">
      <c r="T11129" s="246">
        <f t="shared" si="211"/>
        <v>0</v>
      </c>
    </row>
    <row r="11130" spans="20:20" ht="18.75" customHeight="1" x14ac:dyDescent="0.35">
      <c r="T11130" s="246">
        <f t="shared" si="211"/>
        <v>0</v>
      </c>
    </row>
    <row r="11131" spans="20:20" ht="18.75" customHeight="1" x14ac:dyDescent="0.35">
      <c r="T11131" s="246">
        <f t="shared" si="211"/>
        <v>0</v>
      </c>
    </row>
    <row r="11132" spans="20:20" ht="18.75" customHeight="1" x14ac:dyDescent="0.35">
      <c r="T11132" s="246">
        <f t="shared" ref="T11132:T11195" si="212">R11132*0.01</f>
        <v>0</v>
      </c>
    </row>
    <row r="11133" spans="20:20" ht="18.75" customHeight="1" x14ac:dyDescent="0.35">
      <c r="T11133" s="246">
        <f t="shared" si="212"/>
        <v>0</v>
      </c>
    </row>
    <row r="11134" spans="20:20" ht="18.75" customHeight="1" x14ac:dyDescent="0.35">
      <c r="T11134" s="246">
        <f t="shared" si="212"/>
        <v>0</v>
      </c>
    </row>
    <row r="11135" spans="20:20" ht="18.75" customHeight="1" x14ac:dyDescent="0.35">
      <c r="T11135" s="246">
        <f t="shared" si="212"/>
        <v>0</v>
      </c>
    </row>
    <row r="11136" spans="20:20" ht="18.75" customHeight="1" x14ac:dyDescent="0.35">
      <c r="T11136" s="246">
        <f t="shared" si="212"/>
        <v>0</v>
      </c>
    </row>
    <row r="11137" spans="20:20" ht="18.75" customHeight="1" x14ac:dyDescent="0.35">
      <c r="T11137" s="246">
        <f t="shared" si="212"/>
        <v>0</v>
      </c>
    </row>
    <row r="11138" spans="20:20" ht="18.75" customHeight="1" x14ac:dyDescent="0.35">
      <c r="T11138" s="246">
        <f t="shared" si="212"/>
        <v>0</v>
      </c>
    </row>
    <row r="11139" spans="20:20" ht="18.75" customHeight="1" x14ac:dyDescent="0.35">
      <c r="T11139" s="246">
        <f t="shared" si="212"/>
        <v>0</v>
      </c>
    </row>
    <row r="11140" spans="20:20" ht="18.75" customHeight="1" x14ac:dyDescent="0.35">
      <c r="T11140" s="246">
        <f t="shared" si="212"/>
        <v>0</v>
      </c>
    </row>
    <row r="11141" spans="20:20" ht="18.75" customHeight="1" x14ac:dyDescent="0.35">
      <c r="T11141" s="246">
        <f t="shared" si="212"/>
        <v>0</v>
      </c>
    </row>
    <row r="11142" spans="20:20" ht="18.75" customHeight="1" x14ac:dyDescent="0.35">
      <c r="T11142" s="246">
        <f t="shared" si="212"/>
        <v>0</v>
      </c>
    </row>
    <row r="11143" spans="20:20" ht="18.75" customHeight="1" x14ac:dyDescent="0.35">
      <c r="T11143" s="246">
        <f t="shared" si="212"/>
        <v>0</v>
      </c>
    </row>
    <row r="11144" spans="20:20" ht="18.75" customHeight="1" x14ac:dyDescent="0.35">
      <c r="T11144" s="246">
        <f t="shared" si="212"/>
        <v>0</v>
      </c>
    </row>
    <row r="11145" spans="20:20" ht="18.75" customHeight="1" x14ac:dyDescent="0.35">
      <c r="T11145" s="246">
        <f t="shared" si="212"/>
        <v>0</v>
      </c>
    </row>
    <row r="11146" spans="20:20" ht="18.75" customHeight="1" x14ac:dyDescent="0.35">
      <c r="T11146" s="246">
        <f t="shared" si="212"/>
        <v>0</v>
      </c>
    </row>
    <row r="11147" spans="20:20" ht="18.75" customHeight="1" x14ac:dyDescent="0.35">
      <c r="T11147" s="246">
        <f t="shared" si="212"/>
        <v>0</v>
      </c>
    </row>
    <row r="11148" spans="20:20" ht="18.75" customHeight="1" x14ac:dyDescent="0.35">
      <c r="T11148" s="246">
        <f t="shared" si="212"/>
        <v>0</v>
      </c>
    </row>
    <row r="11149" spans="20:20" ht="18.75" customHeight="1" x14ac:dyDescent="0.35">
      <c r="T11149" s="246">
        <f t="shared" si="212"/>
        <v>0</v>
      </c>
    </row>
    <row r="11150" spans="20:20" ht="18.75" customHeight="1" x14ac:dyDescent="0.35">
      <c r="T11150" s="246">
        <f t="shared" si="212"/>
        <v>0</v>
      </c>
    </row>
    <row r="11151" spans="20:20" ht="18.75" customHeight="1" x14ac:dyDescent="0.35">
      <c r="T11151" s="246">
        <f t="shared" si="212"/>
        <v>0</v>
      </c>
    </row>
    <row r="11152" spans="20:20" ht="18.75" customHeight="1" x14ac:dyDescent="0.35">
      <c r="T11152" s="246">
        <f t="shared" si="212"/>
        <v>0</v>
      </c>
    </row>
    <row r="11153" spans="20:20" ht="18.75" customHeight="1" x14ac:dyDescent="0.35">
      <c r="T11153" s="246">
        <f t="shared" si="212"/>
        <v>0</v>
      </c>
    </row>
    <row r="11154" spans="20:20" ht="18.75" customHeight="1" x14ac:dyDescent="0.35">
      <c r="T11154" s="246">
        <f t="shared" si="212"/>
        <v>0</v>
      </c>
    </row>
    <row r="11155" spans="20:20" ht="18.75" customHeight="1" x14ac:dyDescent="0.35">
      <c r="T11155" s="246">
        <f t="shared" si="212"/>
        <v>0</v>
      </c>
    </row>
    <row r="11156" spans="20:20" ht="18.75" customHeight="1" x14ac:dyDescent="0.35">
      <c r="T11156" s="246">
        <f t="shared" si="212"/>
        <v>0</v>
      </c>
    </row>
    <row r="11157" spans="20:20" ht="18.75" customHeight="1" x14ac:dyDescent="0.35">
      <c r="T11157" s="246">
        <f t="shared" si="212"/>
        <v>0</v>
      </c>
    </row>
    <row r="11158" spans="20:20" ht="18.75" customHeight="1" x14ac:dyDescent="0.35">
      <c r="T11158" s="246">
        <f t="shared" si="212"/>
        <v>0</v>
      </c>
    </row>
    <row r="11159" spans="20:20" ht="18.75" customHeight="1" x14ac:dyDescent="0.35">
      <c r="T11159" s="246">
        <f t="shared" si="212"/>
        <v>0</v>
      </c>
    </row>
    <row r="11160" spans="20:20" ht="18.75" customHeight="1" x14ac:dyDescent="0.35">
      <c r="T11160" s="246">
        <f t="shared" si="212"/>
        <v>0</v>
      </c>
    </row>
    <row r="11161" spans="20:20" ht="18.75" customHeight="1" x14ac:dyDescent="0.35">
      <c r="T11161" s="246">
        <f t="shared" si="212"/>
        <v>0</v>
      </c>
    </row>
    <row r="11162" spans="20:20" ht="18.75" customHeight="1" x14ac:dyDescent="0.35">
      <c r="T11162" s="246">
        <f t="shared" si="212"/>
        <v>0</v>
      </c>
    </row>
    <row r="11163" spans="20:20" ht="18.75" customHeight="1" x14ac:dyDescent="0.35">
      <c r="T11163" s="246">
        <f t="shared" si="212"/>
        <v>0</v>
      </c>
    </row>
    <row r="11164" spans="20:20" ht="18.75" customHeight="1" x14ac:dyDescent="0.35">
      <c r="T11164" s="246">
        <f t="shared" si="212"/>
        <v>0</v>
      </c>
    </row>
    <row r="11165" spans="20:20" ht="18.75" customHeight="1" x14ac:dyDescent="0.35">
      <c r="T11165" s="246">
        <f t="shared" si="212"/>
        <v>0</v>
      </c>
    </row>
    <row r="11166" spans="20:20" ht="18.75" customHeight="1" x14ac:dyDescent="0.35">
      <c r="T11166" s="246">
        <f t="shared" si="212"/>
        <v>0</v>
      </c>
    </row>
    <row r="11167" spans="20:20" ht="18.75" customHeight="1" x14ac:dyDescent="0.35">
      <c r="T11167" s="246">
        <f t="shared" si="212"/>
        <v>0</v>
      </c>
    </row>
    <row r="11168" spans="20:20" ht="18.75" customHeight="1" x14ac:dyDescent="0.35">
      <c r="T11168" s="246">
        <f t="shared" si="212"/>
        <v>0</v>
      </c>
    </row>
    <row r="11169" spans="20:20" ht="18.75" customHeight="1" x14ac:dyDescent="0.35">
      <c r="T11169" s="246">
        <f t="shared" si="212"/>
        <v>0</v>
      </c>
    </row>
    <row r="11170" spans="20:20" ht="18.75" customHeight="1" x14ac:dyDescent="0.35">
      <c r="T11170" s="246">
        <f t="shared" si="212"/>
        <v>0</v>
      </c>
    </row>
    <row r="11171" spans="20:20" ht="18.75" customHeight="1" x14ac:dyDescent="0.35">
      <c r="T11171" s="246">
        <f t="shared" si="212"/>
        <v>0</v>
      </c>
    </row>
    <row r="11172" spans="20:20" ht="18.75" customHeight="1" x14ac:dyDescent="0.35">
      <c r="T11172" s="246">
        <f t="shared" si="212"/>
        <v>0</v>
      </c>
    </row>
    <row r="11173" spans="20:20" ht="18.75" customHeight="1" x14ac:dyDescent="0.35">
      <c r="T11173" s="246">
        <f t="shared" si="212"/>
        <v>0</v>
      </c>
    </row>
    <row r="11174" spans="20:20" ht="18.75" customHeight="1" x14ac:dyDescent="0.35">
      <c r="T11174" s="246">
        <f t="shared" si="212"/>
        <v>0</v>
      </c>
    </row>
    <row r="11175" spans="20:20" ht="18.75" customHeight="1" x14ac:dyDescent="0.35">
      <c r="T11175" s="246">
        <f t="shared" si="212"/>
        <v>0</v>
      </c>
    </row>
    <row r="11176" spans="20:20" ht="18.75" customHeight="1" x14ac:dyDescent="0.35">
      <c r="T11176" s="246">
        <f t="shared" si="212"/>
        <v>0</v>
      </c>
    </row>
    <row r="11177" spans="20:20" ht="18.75" customHeight="1" x14ac:dyDescent="0.35">
      <c r="T11177" s="246">
        <f t="shared" si="212"/>
        <v>0</v>
      </c>
    </row>
    <row r="11178" spans="20:20" ht="18.75" customHeight="1" x14ac:dyDescent="0.35">
      <c r="T11178" s="246">
        <f t="shared" si="212"/>
        <v>0</v>
      </c>
    </row>
    <row r="11179" spans="20:20" ht="18.75" customHeight="1" x14ac:dyDescent="0.35">
      <c r="T11179" s="246">
        <f t="shared" si="212"/>
        <v>0</v>
      </c>
    </row>
    <row r="11180" spans="20:20" ht="18.75" customHeight="1" x14ac:dyDescent="0.35">
      <c r="T11180" s="246">
        <f t="shared" si="212"/>
        <v>0</v>
      </c>
    </row>
    <row r="11181" spans="20:20" ht="18.75" customHeight="1" x14ac:dyDescent="0.35">
      <c r="T11181" s="246">
        <f t="shared" si="212"/>
        <v>0</v>
      </c>
    </row>
    <row r="11182" spans="20:20" ht="18.75" customHeight="1" x14ac:dyDescent="0.35">
      <c r="T11182" s="246">
        <f t="shared" si="212"/>
        <v>0</v>
      </c>
    </row>
    <row r="11183" spans="20:20" ht="18.75" customHeight="1" x14ac:dyDescent="0.35">
      <c r="T11183" s="246">
        <f t="shared" si="212"/>
        <v>0</v>
      </c>
    </row>
    <row r="11184" spans="20:20" ht="18.75" customHeight="1" x14ac:dyDescent="0.35">
      <c r="T11184" s="246">
        <f t="shared" si="212"/>
        <v>0</v>
      </c>
    </row>
    <row r="11185" spans="20:20" ht="18.75" customHeight="1" x14ac:dyDescent="0.35">
      <c r="T11185" s="246">
        <f t="shared" si="212"/>
        <v>0</v>
      </c>
    </row>
    <row r="11186" spans="20:20" ht="18.75" customHeight="1" x14ac:dyDescent="0.35">
      <c r="T11186" s="246">
        <f t="shared" si="212"/>
        <v>0</v>
      </c>
    </row>
    <row r="11187" spans="20:20" ht="18.75" customHeight="1" x14ac:dyDescent="0.35">
      <c r="T11187" s="246">
        <f t="shared" si="212"/>
        <v>0</v>
      </c>
    </row>
    <row r="11188" spans="20:20" ht="18.75" customHeight="1" x14ac:dyDescent="0.35">
      <c r="T11188" s="246">
        <f t="shared" si="212"/>
        <v>0</v>
      </c>
    </row>
    <row r="11189" spans="20:20" ht="18.75" customHeight="1" x14ac:dyDescent="0.35">
      <c r="T11189" s="246">
        <f t="shared" si="212"/>
        <v>0</v>
      </c>
    </row>
    <row r="11190" spans="20:20" ht="18.75" customHeight="1" x14ac:dyDescent="0.35">
      <c r="T11190" s="246">
        <f t="shared" si="212"/>
        <v>0</v>
      </c>
    </row>
    <row r="11191" spans="20:20" ht="18.75" customHeight="1" x14ac:dyDescent="0.35">
      <c r="T11191" s="246">
        <f t="shared" si="212"/>
        <v>0</v>
      </c>
    </row>
    <row r="11192" spans="20:20" ht="18.75" customHeight="1" x14ac:dyDescent="0.35">
      <c r="T11192" s="246">
        <f t="shared" si="212"/>
        <v>0</v>
      </c>
    </row>
    <row r="11193" spans="20:20" ht="18.75" customHeight="1" x14ac:dyDescent="0.35">
      <c r="T11193" s="246">
        <f t="shared" si="212"/>
        <v>0</v>
      </c>
    </row>
    <row r="11194" spans="20:20" ht="18.75" customHeight="1" x14ac:dyDescent="0.35">
      <c r="T11194" s="246">
        <f t="shared" si="212"/>
        <v>0</v>
      </c>
    </row>
    <row r="11195" spans="20:20" ht="18.75" customHeight="1" x14ac:dyDescent="0.35">
      <c r="T11195" s="246">
        <f t="shared" si="212"/>
        <v>0</v>
      </c>
    </row>
    <row r="11196" spans="20:20" ht="18.75" customHeight="1" x14ac:dyDescent="0.35">
      <c r="T11196" s="246">
        <f t="shared" ref="T11196:T11259" si="213">R11196*0.01</f>
        <v>0</v>
      </c>
    </row>
    <row r="11197" spans="20:20" ht="18.75" customHeight="1" x14ac:dyDescent="0.35">
      <c r="T11197" s="246">
        <f t="shared" si="213"/>
        <v>0</v>
      </c>
    </row>
    <row r="11198" spans="20:20" ht="18.75" customHeight="1" x14ac:dyDescent="0.35">
      <c r="T11198" s="246">
        <f t="shared" si="213"/>
        <v>0</v>
      </c>
    </row>
    <row r="11199" spans="20:20" ht="18.75" customHeight="1" x14ac:dyDescent="0.35">
      <c r="T11199" s="246">
        <f t="shared" si="213"/>
        <v>0</v>
      </c>
    </row>
    <row r="11200" spans="20:20" ht="18.75" customHeight="1" x14ac:dyDescent="0.35">
      <c r="T11200" s="246">
        <f t="shared" si="213"/>
        <v>0</v>
      </c>
    </row>
    <row r="11201" spans="20:20" ht="18.75" customHeight="1" x14ac:dyDescent="0.35">
      <c r="T11201" s="246">
        <f t="shared" si="213"/>
        <v>0</v>
      </c>
    </row>
    <row r="11202" spans="20:20" ht="18.75" customHeight="1" x14ac:dyDescent="0.35">
      <c r="T11202" s="246">
        <f t="shared" si="213"/>
        <v>0</v>
      </c>
    </row>
    <row r="11203" spans="20:20" ht="18.75" customHeight="1" x14ac:dyDescent="0.35">
      <c r="T11203" s="246">
        <f t="shared" si="213"/>
        <v>0</v>
      </c>
    </row>
    <row r="11204" spans="20:20" ht="18.75" customHeight="1" x14ac:dyDescent="0.35">
      <c r="T11204" s="246">
        <f t="shared" si="213"/>
        <v>0</v>
      </c>
    </row>
    <row r="11205" spans="20:20" ht="18.75" customHeight="1" x14ac:dyDescent="0.35">
      <c r="T11205" s="246">
        <f t="shared" si="213"/>
        <v>0</v>
      </c>
    </row>
    <row r="11206" spans="20:20" ht="18.75" customHeight="1" x14ac:dyDescent="0.35">
      <c r="T11206" s="246">
        <f t="shared" si="213"/>
        <v>0</v>
      </c>
    </row>
    <row r="11207" spans="20:20" ht="18.75" customHeight="1" x14ac:dyDescent="0.35">
      <c r="T11207" s="246">
        <f t="shared" si="213"/>
        <v>0</v>
      </c>
    </row>
    <row r="11208" spans="20:20" ht="18.75" customHeight="1" x14ac:dyDescent="0.35">
      <c r="T11208" s="246">
        <f t="shared" si="213"/>
        <v>0</v>
      </c>
    </row>
    <row r="11209" spans="20:20" ht="18.75" customHeight="1" x14ac:dyDescent="0.35">
      <c r="T11209" s="246">
        <f t="shared" si="213"/>
        <v>0</v>
      </c>
    </row>
    <row r="11210" spans="20:20" ht="18.75" customHeight="1" x14ac:dyDescent="0.35">
      <c r="T11210" s="246">
        <f t="shared" si="213"/>
        <v>0</v>
      </c>
    </row>
    <row r="11211" spans="20:20" ht="18.75" customHeight="1" x14ac:dyDescent="0.35">
      <c r="T11211" s="246">
        <f t="shared" si="213"/>
        <v>0</v>
      </c>
    </row>
    <row r="11212" spans="20:20" ht="18.75" customHeight="1" x14ac:dyDescent="0.35">
      <c r="T11212" s="246">
        <f t="shared" si="213"/>
        <v>0</v>
      </c>
    </row>
    <row r="11213" spans="20:20" ht="18.75" customHeight="1" x14ac:dyDescent="0.35">
      <c r="T11213" s="246">
        <f t="shared" si="213"/>
        <v>0</v>
      </c>
    </row>
    <row r="11214" spans="20:20" ht="18.75" customHeight="1" x14ac:dyDescent="0.35">
      <c r="T11214" s="246">
        <f t="shared" si="213"/>
        <v>0</v>
      </c>
    </row>
    <row r="11215" spans="20:20" ht="18.75" customHeight="1" x14ac:dyDescent="0.35">
      <c r="T11215" s="246">
        <f t="shared" si="213"/>
        <v>0</v>
      </c>
    </row>
    <row r="11216" spans="20:20" ht="18.75" customHeight="1" x14ac:dyDescent="0.35">
      <c r="T11216" s="246">
        <f t="shared" si="213"/>
        <v>0</v>
      </c>
    </row>
    <row r="11217" spans="20:20" ht="18.75" customHeight="1" x14ac:dyDescent="0.35">
      <c r="T11217" s="246">
        <f t="shared" si="213"/>
        <v>0</v>
      </c>
    </row>
    <row r="11218" spans="20:20" ht="18.75" customHeight="1" x14ac:dyDescent="0.35">
      <c r="T11218" s="246">
        <f t="shared" si="213"/>
        <v>0</v>
      </c>
    </row>
    <row r="11219" spans="20:20" ht="18.75" customHeight="1" x14ac:dyDescent="0.35">
      <c r="T11219" s="246">
        <f t="shared" si="213"/>
        <v>0</v>
      </c>
    </row>
    <row r="11220" spans="20:20" ht="18.75" customHeight="1" x14ac:dyDescent="0.35">
      <c r="T11220" s="246">
        <f t="shared" si="213"/>
        <v>0</v>
      </c>
    </row>
    <row r="11221" spans="20:20" ht="18.75" customHeight="1" x14ac:dyDescent="0.35">
      <c r="T11221" s="246">
        <f t="shared" si="213"/>
        <v>0</v>
      </c>
    </row>
    <row r="11222" spans="20:20" ht="18.75" customHeight="1" x14ac:dyDescent="0.35">
      <c r="T11222" s="246">
        <f t="shared" si="213"/>
        <v>0</v>
      </c>
    </row>
    <row r="11223" spans="20:20" ht="18.75" customHeight="1" x14ac:dyDescent="0.35">
      <c r="T11223" s="246">
        <f t="shared" si="213"/>
        <v>0</v>
      </c>
    </row>
    <row r="11224" spans="20:20" ht="18.75" customHeight="1" x14ac:dyDescent="0.35">
      <c r="T11224" s="246">
        <f t="shared" si="213"/>
        <v>0</v>
      </c>
    </row>
    <row r="11225" spans="20:20" ht="18.75" customHeight="1" x14ac:dyDescent="0.35">
      <c r="T11225" s="246">
        <f t="shared" si="213"/>
        <v>0</v>
      </c>
    </row>
    <row r="11226" spans="20:20" ht="18.75" customHeight="1" x14ac:dyDescent="0.35">
      <c r="T11226" s="246">
        <f t="shared" si="213"/>
        <v>0</v>
      </c>
    </row>
    <row r="11227" spans="20:20" ht="18.75" customHeight="1" x14ac:dyDescent="0.35">
      <c r="T11227" s="246">
        <f t="shared" si="213"/>
        <v>0</v>
      </c>
    </row>
    <row r="11228" spans="20:20" ht="18.75" customHeight="1" x14ac:dyDescent="0.35">
      <c r="T11228" s="246">
        <f t="shared" si="213"/>
        <v>0</v>
      </c>
    </row>
    <row r="11229" spans="20:20" ht="18.75" customHeight="1" x14ac:dyDescent="0.35">
      <c r="T11229" s="246">
        <f t="shared" si="213"/>
        <v>0</v>
      </c>
    </row>
    <row r="11230" spans="20:20" ht="18.75" customHeight="1" x14ac:dyDescent="0.35">
      <c r="T11230" s="246">
        <f t="shared" si="213"/>
        <v>0</v>
      </c>
    </row>
    <row r="11231" spans="20:20" ht="18.75" customHeight="1" x14ac:dyDescent="0.35">
      <c r="T11231" s="246">
        <f t="shared" si="213"/>
        <v>0</v>
      </c>
    </row>
    <row r="11232" spans="20:20" ht="18.75" customHeight="1" x14ac:dyDescent="0.35">
      <c r="T11232" s="246">
        <f t="shared" si="213"/>
        <v>0</v>
      </c>
    </row>
    <row r="11233" spans="20:20" ht="18.75" customHeight="1" x14ac:dyDescent="0.35">
      <c r="T11233" s="246">
        <f t="shared" si="213"/>
        <v>0</v>
      </c>
    </row>
    <row r="11234" spans="20:20" ht="18.75" customHeight="1" x14ac:dyDescent="0.35">
      <c r="T11234" s="246">
        <f t="shared" si="213"/>
        <v>0</v>
      </c>
    </row>
    <row r="11235" spans="20:20" ht="18.75" customHeight="1" x14ac:dyDescent="0.35">
      <c r="T11235" s="246">
        <f t="shared" si="213"/>
        <v>0</v>
      </c>
    </row>
    <row r="11236" spans="20:20" ht="18.75" customHeight="1" x14ac:dyDescent="0.35">
      <c r="T11236" s="246">
        <f t="shared" si="213"/>
        <v>0</v>
      </c>
    </row>
    <row r="11237" spans="20:20" ht="18.75" customHeight="1" x14ac:dyDescent="0.35">
      <c r="T11237" s="246">
        <f t="shared" si="213"/>
        <v>0</v>
      </c>
    </row>
    <row r="11238" spans="20:20" ht="18.75" customHeight="1" x14ac:dyDescent="0.35">
      <c r="T11238" s="246">
        <f t="shared" si="213"/>
        <v>0</v>
      </c>
    </row>
    <row r="11239" spans="20:20" ht="18.75" customHeight="1" x14ac:dyDescent="0.35">
      <c r="T11239" s="246">
        <f t="shared" si="213"/>
        <v>0</v>
      </c>
    </row>
    <row r="11240" spans="20:20" ht="18.75" customHeight="1" x14ac:dyDescent="0.35">
      <c r="T11240" s="246">
        <f t="shared" si="213"/>
        <v>0</v>
      </c>
    </row>
    <row r="11241" spans="20:20" ht="18.75" customHeight="1" x14ac:dyDescent="0.35">
      <c r="T11241" s="246">
        <f t="shared" si="213"/>
        <v>0</v>
      </c>
    </row>
    <row r="11242" spans="20:20" ht="18.75" customHeight="1" x14ac:dyDescent="0.35">
      <c r="T11242" s="246">
        <f t="shared" si="213"/>
        <v>0</v>
      </c>
    </row>
    <row r="11243" spans="20:20" ht="18.75" customHeight="1" x14ac:dyDescent="0.35">
      <c r="T11243" s="246">
        <f t="shared" si="213"/>
        <v>0</v>
      </c>
    </row>
    <row r="11244" spans="20:20" ht="18.75" customHeight="1" x14ac:dyDescent="0.35">
      <c r="T11244" s="246">
        <f t="shared" si="213"/>
        <v>0</v>
      </c>
    </row>
    <row r="11245" spans="20:20" ht="18.75" customHeight="1" x14ac:dyDescent="0.35">
      <c r="T11245" s="246">
        <f t="shared" si="213"/>
        <v>0</v>
      </c>
    </row>
    <row r="11246" spans="20:20" ht="18.75" customHeight="1" x14ac:dyDescent="0.35">
      <c r="T11246" s="246">
        <f t="shared" si="213"/>
        <v>0</v>
      </c>
    </row>
    <row r="11247" spans="20:20" ht="18.75" customHeight="1" x14ac:dyDescent="0.35">
      <c r="T11247" s="246">
        <f t="shared" si="213"/>
        <v>0</v>
      </c>
    </row>
    <row r="11248" spans="20:20" ht="18.75" customHeight="1" x14ac:dyDescent="0.35">
      <c r="T11248" s="246">
        <f t="shared" si="213"/>
        <v>0</v>
      </c>
    </row>
    <row r="11249" spans="20:20" ht="18.75" customHeight="1" x14ac:dyDescent="0.35">
      <c r="T11249" s="246">
        <f t="shared" si="213"/>
        <v>0</v>
      </c>
    </row>
    <row r="11250" spans="20:20" ht="18.75" customHeight="1" x14ac:dyDescent="0.35">
      <c r="T11250" s="246">
        <f t="shared" si="213"/>
        <v>0</v>
      </c>
    </row>
    <row r="11251" spans="20:20" ht="18.75" customHeight="1" x14ac:dyDescent="0.35">
      <c r="T11251" s="246">
        <f t="shared" si="213"/>
        <v>0</v>
      </c>
    </row>
    <row r="11252" spans="20:20" ht="18.75" customHeight="1" x14ac:dyDescent="0.35">
      <c r="T11252" s="246">
        <f t="shared" si="213"/>
        <v>0</v>
      </c>
    </row>
    <row r="11253" spans="20:20" ht="18.75" customHeight="1" x14ac:dyDescent="0.35">
      <c r="T11253" s="246">
        <f t="shared" si="213"/>
        <v>0</v>
      </c>
    </row>
    <row r="11254" spans="20:20" ht="18.75" customHeight="1" x14ac:dyDescent="0.35">
      <c r="T11254" s="246">
        <f t="shared" si="213"/>
        <v>0</v>
      </c>
    </row>
    <row r="11255" spans="20:20" ht="18.75" customHeight="1" x14ac:dyDescent="0.35">
      <c r="T11255" s="246">
        <f t="shared" si="213"/>
        <v>0</v>
      </c>
    </row>
    <row r="11256" spans="20:20" ht="18.75" customHeight="1" x14ac:dyDescent="0.35">
      <c r="T11256" s="246">
        <f t="shared" si="213"/>
        <v>0</v>
      </c>
    </row>
    <row r="11257" spans="20:20" ht="18.75" customHeight="1" x14ac:dyDescent="0.35">
      <c r="T11257" s="246">
        <f t="shared" si="213"/>
        <v>0</v>
      </c>
    </row>
    <row r="11258" spans="20:20" ht="18.75" customHeight="1" x14ac:dyDescent="0.35">
      <c r="T11258" s="246">
        <f t="shared" si="213"/>
        <v>0</v>
      </c>
    </row>
    <row r="11259" spans="20:20" ht="18.75" customHeight="1" x14ac:dyDescent="0.35">
      <c r="T11259" s="246">
        <f t="shared" si="213"/>
        <v>0</v>
      </c>
    </row>
    <row r="11260" spans="20:20" ht="18.75" customHeight="1" x14ac:dyDescent="0.35">
      <c r="T11260" s="246">
        <f t="shared" ref="T11260:T11323" si="214">R11260*0.01</f>
        <v>0</v>
      </c>
    </row>
    <row r="11261" spans="20:20" ht="18.75" customHeight="1" x14ac:dyDescent="0.35">
      <c r="T11261" s="246">
        <f t="shared" si="214"/>
        <v>0</v>
      </c>
    </row>
    <row r="11262" spans="20:20" ht="18.75" customHeight="1" x14ac:dyDescent="0.35">
      <c r="T11262" s="246">
        <f t="shared" si="214"/>
        <v>0</v>
      </c>
    </row>
    <row r="11263" spans="20:20" ht="18.75" customHeight="1" x14ac:dyDescent="0.35">
      <c r="T11263" s="246">
        <f t="shared" si="214"/>
        <v>0</v>
      </c>
    </row>
    <row r="11264" spans="20:20" ht="18.75" customHeight="1" x14ac:dyDescent="0.35">
      <c r="T11264" s="246">
        <f t="shared" si="214"/>
        <v>0</v>
      </c>
    </row>
    <row r="11265" spans="20:20" ht="18.75" customHeight="1" x14ac:dyDescent="0.35">
      <c r="T11265" s="246">
        <f t="shared" si="214"/>
        <v>0</v>
      </c>
    </row>
    <row r="11266" spans="20:20" ht="18.75" customHeight="1" x14ac:dyDescent="0.35">
      <c r="T11266" s="246">
        <f t="shared" si="214"/>
        <v>0</v>
      </c>
    </row>
    <row r="11267" spans="20:20" ht="18.75" customHeight="1" x14ac:dyDescent="0.35">
      <c r="T11267" s="246">
        <f t="shared" si="214"/>
        <v>0</v>
      </c>
    </row>
    <row r="11268" spans="20:20" ht="18.75" customHeight="1" x14ac:dyDescent="0.35">
      <c r="T11268" s="246">
        <f t="shared" si="214"/>
        <v>0</v>
      </c>
    </row>
    <row r="11269" spans="20:20" ht="18.75" customHeight="1" x14ac:dyDescent="0.35">
      <c r="T11269" s="246">
        <f t="shared" si="214"/>
        <v>0</v>
      </c>
    </row>
    <row r="11270" spans="20:20" ht="18.75" customHeight="1" x14ac:dyDescent="0.35">
      <c r="T11270" s="246">
        <f t="shared" si="214"/>
        <v>0</v>
      </c>
    </row>
    <row r="11271" spans="20:20" ht="18.75" customHeight="1" x14ac:dyDescent="0.35">
      <c r="T11271" s="246">
        <f t="shared" si="214"/>
        <v>0</v>
      </c>
    </row>
    <row r="11272" spans="20:20" ht="18.75" customHeight="1" x14ac:dyDescent="0.35">
      <c r="T11272" s="246">
        <f t="shared" si="214"/>
        <v>0</v>
      </c>
    </row>
    <row r="11273" spans="20:20" ht="18.75" customHeight="1" x14ac:dyDescent="0.35">
      <c r="T11273" s="246">
        <f t="shared" si="214"/>
        <v>0</v>
      </c>
    </row>
    <row r="11274" spans="20:20" ht="18.75" customHeight="1" x14ac:dyDescent="0.35">
      <c r="T11274" s="246">
        <f t="shared" si="214"/>
        <v>0</v>
      </c>
    </row>
    <row r="11275" spans="20:20" ht="18.75" customHeight="1" x14ac:dyDescent="0.35">
      <c r="T11275" s="246">
        <f t="shared" si="214"/>
        <v>0</v>
      </c>
    </row>
    <row r="11276" spans="20:20" ht="18.75" customHeight="1" x14ac:dyDescent="0.35">
      <c r="T11276" s="246">
        <f t="shared" si="214"/>
        <v>0</v>
      </c>
    </row>
    <row r="11277" spans="20:20" ht="18.75" customHeight="1" x14ac:dyDescent="0.35">
      <c r="T11277" s="246">
        <f t="shared" si="214"/>
        <v>0</v>
      </c>
    </row>
    <row r="11278" spans="20:20" ht="18.75" customHeight="1" x14ac:dyDescent="0.35">
      <c r="T11278" s="246">
        <f t="shared" si="214"/>
        <v>0</v>
      </c>
    </row>
    <row r="11279" spans="20:20" ht="18.75" customHeight="1" x14ac:dyDescent="0.35">
      <c r="T11279" s="246">
        <f t="shared" si="214"/>
        <v>0</v>
      </c>
    </row>
    <row r="11280" spans="20:20" ht="18.75" customHeight="1" x14ac:dyDescent="0.35">
      <c r="T11280" s="246">
        <f t="shared" si="214"/>
        <v>0</v>
      </c>
    </row>
    <row r="11281" spans="20:20" ht="18.75" customHeight="1" x14ac:dyDescent="0.35">
      <c r="T11281" s="246">
        <f t="shared" si="214"/>
        <v>0</v>
      </c>
    </row>
    <row r="11282" spans="20:20" ht="18.75" customHeight="1" x14ac:dyDescent="0.35">
      <c r="T11282" s="246">
        <f t="shared" si="214"/>
        <v>0</v>
      </c>
    </row>
    <row r="11283" spans="20:20" ht="18.75" customHeight="1" x14ac:dyDescent="0.35">
      <c r="T11283" s="246">
        <f t="shared" si="214"/>
        <v>0</v>
      </c>
    </row>
    <row r="11284" spans="20:20" ht="18.75" customHeight="1" x14ac:dyDescent="0.35">
      <c r="T11284" s="246">
        <f t="shared" si="214"/>
        <v>0</v>
      </c>
    </row>
    <row r="11285" spans="20:20" ht="18.75" customHeight="1" x14ac:dyDescent="0.35">
      <c r="T11285" s="246">
        <f t="shared" si="214"/>
        <v>0</v>
      </c>
    </row>
    <row r="11286" spans="20:20" ht="18.75" customHeight="1" x14ac:dyDescent="0.35">
      <c r="T11286" s="246">
        <f t="shared" si="214"/>
        <v>0</v>
      </c>
    </row>
    <row r="11287" spans="20:20" ht="18.75" customHeight="1" x14ac:dyDescent="0.35">
      <c r="T11287" s="246">
        <f t="shared" si="214"/>
        <v>0</v>
      </c>
    </row>
    <row r="11288" spans="20:20" ht="18.75" customHeight="1" x14ac:dyDescent="0.35">
      <c r="T11288" s="246">
        <f t="shared" si="214"/>
        <v>0</v>
      </c>
    </row>
    <row r="11289" spans="20:20" ht="18.75" customHeight="1" x14ac:dyDescent="0.35">
      <c r="T11289" s="246">
        <f t="shared" si="214"/>
        <v>0</v>
      </c>
    </row>
    <row r="11290" spans="20:20" ht="18.75" customHeight="1" x14ac:dyDescent="0.35">
      <c r="T11290" s="246">
        <f t="shared" si="214"/>
        <v>0</v>
      </c>
    </row>
    <row r="11291" spans="20:20" ht="18.75" customHeight="1" x14ac:dyDescent="0.35">
      <c r="T11291" s="246">
        <f t="shared" si="214"/>
        <v>0</v>
      </c>
    </row>
    <row r="11292" spans="20:20" ht="18.75" customHeight="1" x14ac:dyDescent="0.35">
      <c r="T11292" s="246">
        <f t="shared" si="214"/>
        <v>0</v>
      </c>
    </row>
    <row r="11293" spans="20:20" ht="18.75" customHeight="1" x14ac:dyDescent="0.35">
      <c r="T11293" s="246">
        <f t="shared" si="214"/>
        <v>0</v>
      </c>
    </row>
    <row r="11294" spans="20:20" ht="18.75" customHeight="1" x14ac:dyDescent="0.35">
      <c r="T11294" s="246">
        <f t="shared" si="214"/>
        <v>0</v>
      </c>
    </row>
    <row r="11295" spans="20:20" ht="18.75" customHeight="1" x14ac:dyDescent="0.35">
      <c r="T11295" s="246">
        <f t="shared" si="214"/>
        <v>0</v>
      </c>
    </row>
    <row r="11296" spans="20:20" ht="18.75" customHeight="1" x14ac:dyDescent="0.35">
      <c r="T11296" s="246">
        <f t="shared" si="214"/>
        <v>0</v>
      </c>
    </row>
    <row r="11297" spans="20:20" ht="18.75" customHeight="1" x14ac:dyDescent="0.35">
      <c r="T11297" s="246">
        <f t="shared" si="214"/>
        <v>0</v>
      </c>
    </row>
    <row r="11298" spans="20:20" ht="18.75" customHeight="1" x14ac:dyDescent="0.35">
      <c r="T11298" s="246">
        <f t="shared" si="214"/>
        <v>0</v>
      </c>
    </row>
    <row r="11299" spans="20:20" ht="18.75" customHeight="1" x14ac:dyDescent="0.35">
      <c r="T11299" s="246">
        <f t="shared" si="214"/>
        <v>0</v>
      </c>
    </row>
    <row r="11300" spans="20:20" ht="18.75" customHeight="1" x14ac:dyDescent="0.35">
      <c r="T11300" s="246">
        <f t="shared" si="214"/>
        <v>0</v>
      </c>
    </row>
    <row r="11301" spans="20:20" ht="18.75" customHeight="1" x14ac:dyDescent="0.35">
      <c r="T11301" s="246">
        <f t="shared" si="214"/>
        <v>0</v>
      </c>
    </row>
    <row r="11302" spans="20:20" ht="18.75" customHeight="1" x14ac:dyDescent="0.35">
      <c r="T11302" s="246">
        <f t="shared" si="214"/>
        <v>0</v>
      </c>
    </row>
    <row r="11303" spans="20:20" ht="18.75" customHeight="1" x14ac:dyDescent="0.35">
      <c r="T11303" s="246">
        <f t="shared" si="214"/>
        <v>0</v>
      </c>
    </row>
    <row r="11304" spans="20:20" ht="18.75" customHeight="1" x14ac:dyDescent="0.35">
      <c r="T11304" s="246">
        <f t="shared" si="214"/>
        <v>0</v>
      </c>
    </row>
    <row r="11305" spans="20:20" ht="18.75" customHeight="1" x14ac:dyDescent="0.35">
      <c r="T11305" s="246">
        <f t="shared" si="214"/>
        <v>0</v>
      </c>
    </row>
    <row r="11306" spans="20:20" ht="18.75" customHeight="1" x14ac:dyDescent="0.35">
      <c r="T11306" s="246">
        <f t="shared" si="214"/>
        <v>0</v>
      </c>
    </row>
    <row r="11307" spans="20:20" ht="18.75" customHeight="1" x14ac:dyDescent="0.35">
      <c r="T11307" s="246">
        <f t="shared" si="214"/>
        <v>0</v>
      </c>
    </row>
    <row r="11308" spans="20:20" ht="18.75" customHeight="1" x14ac:dyDescent="0.35">
      <c r="T11308" s="246">
        <f t="shared" si="214"/>
        <v>0</v>
      </c>
    </row>
    <row r="11309" spans="20:20" ht="18.75" customHeight="1" x14ac:dyDescent="0.35">
      <c r="T11309" s="246">
        <f t="shared" si="214"/>
        <v>0</v>
      </c>
    </row>
    <row r="11310" spans="20:20" ht="18.75" customHeight="1" x14ac:dyDescent="0.35">
      <c r="T11310" s="246">
        <f t="shared" si="214"/>
        <v>0</v>
      </c>
    </row>
    <row r="11311" spans="20:20" ht="18.75" customHeight="1" x14ac:dyDescent="0.35">
      <c r="T11311" s="246">
        <f t="shared" si="214"/>
        <v>0</v>
      </c>
    </row>
    <row r="11312" spans="20:20" ht="18.75" customHeight="1" x14ac:dyDescent="0.35">
      <c r="T11312" s="246">
        <f t="shared" si="214"/>
        <v>0</v>
      </c>
    </row>
    <row r="11313" spans="20:20" ht="18.75" customHeight="1" x14ac:dyDescent="0.35">
      <c r="T11313" s="246">
        <f t="shared" si="214"/>
        <v>0</v>
      </c>
    </row>
    <row r="11314" spans="20:20" ht="18.75" customHeight="1" x14ac:dyDescent="0.35">
      <c r="T11314" s="246">
        <f t="shared" si="214"/>
        <v>0</v>
      </c>
    </row>
    <row r="11315" spans="20:20" ht="18.75" customHeight="1" x14ac:dyDescent="0.35">
      <c r="T11315" s="246">
        <f t="shared" si="214"/>
        <v>0</v>
      </c>
    </row>
    <row r="11316" spans="20:20" ht="18.75" customHeight="1" x14ac:dyDescent="0.35">
      <c r="T11316" s="246">
        <f t="shared" si="214"/>
        <v>0</v>
      </c>
    </row>
    <row r="11317" spans="20:20" ht="18.75" customHeight="1" x14ac:dyDescent="0.35">
      <c r="T11317" s="246">
        <f t="shared" si="214"/>
        <v>0</v>
      </c>
    </row>
    <row r="11318" spans="20:20" ht="18.75" customHeight="1" x14ac:dyDescent="0.35">
      <c r="T11318" s="246">
        <f t="shared" si="214"/>
        <v>0</v>
      </c>
    </row>
    <row r="11319" spans="20:20" ht="18.75" customHeight="1" x14ac:dyDescent="0.35">
      <c r="T11319" s="246">
        <f t="shared" si="214"/>
        <v>0</v>
      </c>
    </row>
    <row r="11320" spans="20:20" ht="18.75" customHeight="1" x14ac:dyDescent="0.35">
      <c r="T11320" s="246">
        <f t="shared" si="214"/>
        <v>0</v>
      </c>
    </row>
    <row r="11321" spans="20:20" ht="18.75" customHeight="1" x14ac:dyDescent="0.35">
      <c r="T11321" s="246">
        <f t="shared" si="214"/>
        <v>0</v>
      </c>
    </row>
    <row r="11322" spans="20:20" ht="18.75" customHeight="1" x14ac:dyDescent="0.35">
      <c r="T11322" s="246">
        <f t="shared" si="214"/>
        <v>0</v>
      </c>
    </row>
    <row r="11323" spans="20:20" ht="18.75" customHeight="1" x14ac:dyDescent="0.35">
      <c r="T11323" s="246">
        <f t="shared" si="214"/>
        <v>0</v>
      </c>
    </row>
    <row r="11324" spans="20:20" ht="18.75" customHeight="1" x14ac:dyDescent="0.35">
      <c r="T11324" s="246">
        <f t="shared" ref="T11324:T11387" si="215">R11324*0.01</f>
        <v>0</v>
      </c>
    </row>
    <row r="11325" spans="20:20" ht="18.75" customHeight="1" x14ac:dyDescent="0.35">
      <c r="T11325" s="246">
        <f t="shared" si="215"/>
        <v>0</v>
      </c>
    </row>
    <row r="11326" spans="20:20" ht="18.75" customHeight="1" x14ac:dyDescent="0.35">
      <c r="T11326" s="246">
        <f t="shared" si="215"/>
        <v>0</v>
      </c>
    </row>
    <row r="11327" spans="20:20" ht="18.75" customHeight="1" x14ac:dyDescent="0.35">
      <c r="T11327" s="246">
        <f t="shared" si="215"/>
        <v>0</v>
      </c>
    </row>
    <row r="11328" spans="20:20" ht="18.75" customHeight="1" x14ac:dyDescent="0.35">
      <c r="T11328" s="246">
        <f t="shared" si="215"/>
        <v>0</v>
      </c>
    </row>
    <row r="11329" spans="20:20" ht="18.75" customHeight="1" x14ac:dyDescent="0.35">
      <c r="T11329" s="246">
        <f t="shared" si="215"/>
        <v>0</v>
      </c>
    </row>
    <row r="11330" spans="20:20" ht="18.75" customHeight="1" x14ac:dyDescent="0.35">
      <c r="T11330" s="246">
        <f t="shared" si="215"/>
        <v>0</v>
      </c>
    </row>
    <row r="11331" spans="20:20" ht="18.75" customHeight="1" x14ac:dyDescent="0.35">
      <c r="T11331" s="246">
        <f t="shared" si="215"/>
        <v>0</v>
      </c>
    </row>
    <row r="11332" spans="20:20" ht="18.75" customHeight="1" x14ac:dyDescent="0.35">
      <c r="T11332" s="246">
        <f t="shared" si="215"/>
        <v>0</v>
      </c>
    </row>
    <row r="11333" spans="20:20" ht="18.75" customHeight="1" x14ac:dyDescent="0.35">
      <c r="T11333" s="246">
        <f t="shared" si="215"/>
        <v>0</v>
      </c>
    </row>
    <row r="11334" spans="20:20" ht="18.75" customHeight="1" x14ac:dyDescent="0.35">
      <c r="T11334" s="246">
        <f t="shared" si="215"/>
        <v>0</v>
      </c>
    </row>
    <row r="11335" spans="20:20" ht="18.75" customHeight="1" x14ac:dyDescent="0.35">
      <c r="T11335" s="246">
        <f t="shared" si="215"/>
        <v>0</v>
      </c>
    </row>
    <row r="11336" spans="20:20" ht="18.75" customHeight="1" x14ac:dyDescent="0.35">
      <c r="T11336" s="246">
        <f t="shared" si="215"/>
        <v>0</v>
      </c>
    </row>
    <row r="11337" spans="20:20" ht="18.75" customHeight="1" x14ac:dyDescent="0.35">
      <c r="T11337" s="246">
        <f t="shared" si="215"/>
        <v>0</v>
      </c>
    </row>
    <row r="11338" spans="20:20" ht="18.75" customHeight="1" x14ac:dyDescent="0.35">
      <c r="T11338" s="246">
        <f t="shared" si="215"/>
        <v>0</v>
      </c>
    </row>
    <row r="11339" spans="20:20" ht="18.75" customHeight="1" x14ac:dyDescent="0.35">
      <c r="T11339" s="246">
        <f t="shared" si="215"/>
        <v>0</v>
      </c>
    </row>
    <row r="11340" spans="20:20" ht="18.75" customHeight="1" x14ac:dyDescent="0.35">
      <c r="T11340" s="246">
        <f t="shared" si="215"/>
        <v>0</v>
      </c>
    </row>
    <row r="11341" spans="20:20" ht="18.75" customHeight="1" x14ac:dyDescent="0.35">
      <c r="T11341" s="246">
        <f t="shared" si="215"/>
        <v>0</v>
      </c>
    </row>
    <row r="11342" spans="20:20" ht="18.75" customHeight="1" x14ac:dyDescent="0.35">
      <c r="T11342" s="246">
        <f t="shared" si="215"/>
        <v>0</v>
      </c>
    </row>
    <row r="11343" spans="20:20" ht="18.75" customHeight="1" x14ac:dyDescent="0.35">
      <c r="T11343" s="246">
        <f t="shared" si="215"/>
        <v>0</v>
      </c>
    </row>
    <row r="11344" spans="20:20" ht="18.75" customHeight="1" x14ac:dyDescent="0.35">
      <c r="T11344" s="246">
        <f t="shared" si="215"/>
        <v>0</v>
      </c>
    </row>
    <row r="11345" spans="20:20" ht="18.75" customHeight="1" x14ac:dyDescent="0.35">
      <c r="T11345" s="246">
        <f t="shared" si="215"/>
        <v>0</v>
      </c>
    </row>
    <row r="11346" spans="20:20" ht="18.75" customHeight="1" x14ac:dyDescent="0.35">
      <c r="T11346" s="246">
        <f t="shared" si="215"/>
        <v>0</v>
      </c>
    </row>
    <row r="11347" spans="20:20" ht="18.75" customHeight="1" x14ac:dyDescent="0.35">
      <c r="T11347" s="246">
        <f t="shared" si="215"/>
        <v>0</v>
      </c>
    </row>
    <row r="11348" spans="20:20" ht="18.75" customHeight="1" x14ac:dyDescent="0.35">
      <c r="T11348" s="246">
        <f t="shared" si="215"/>
        <v>0</v>
      </c>
    </row>
    <row r="11349" spans="20:20" ht="18.75" customHeight="1" x14ac:dyDescent="0.35">
      <c r="T11349" s="246">
        <f t="shared" si="215"/>
        <v>0</v>
      </c>
    </row>
    <row r="11350" spans="20:20" ht="18.75" customHeight="1" x14ac:dyDescent="0.35">
      <c r="T11350" s="246">
        <f t="shared" si="215"/>
        <v>0</v>
      </c>
    </row>
    <row r="11351" spans="20:20" ht="18.75" customHeight="1" x14ac:dyDescent="0.35">
      <c r="T11351" s="246">
        <f t="shared" si="215"/>
        <v>0</v>
      </c>
    </row>
    <row r="11352" spans="20:20" ht="18.75" customHeight="1" x14ac:dyDescent="0.35">
      <c r="T11352" s="246">
        <f t="shared" si="215"/>
        <v>0</v>
      </c>
    </row>
    <row r="11353" spans="20:20" ht="18.75" customHeight="1" x14ac:dyDescent="0.35">
      <c r="T11353" s="246">
        <f t="shared" si="215"/>
        <v>0</v>
      </c>
    </row>
    <row r="11354" spans="20:20" ht="18.75" customHeight="1" x14ac:dyDescent="0.35">
      <c r="T11354" s="246">
        <f t="shared" si="215"/>
        <v>0</v>
      </c>
    </row>
    <row r="11355" spans="20:20" ht="18.75" customHeight="1" x14ac:dyDescent="0.35">
      <c r="T11355" s="246">
        <f t="shared" si="215"/>
        <v>0</v>
      </c>
    </row>
    <row r="11356" spans="20:20" ht="18.75" customHeight="1" x14ac:dyDescent="0.35">
      <c r="T11356" s="246">
        <f t="shared" si="215"/>
        <v>0</v>
      </c>
    </row>
    <row r="11357" spans="20:20" ht="18.75" customHeight="1" x14ac:dyDescent="0.35">
      <c r="T11357" s="246">
        <f t="shared" si="215"/>
        <v>0</v>
      </c>
    </row>
    <row r="11358" spans="20:20" ht="18.75" customHeight="1" x14ac:dyDescent="0.35">
      <c r="T11358" s="246">
        <f t="shared" si="215"/>
        <v>0</v>
      </c>
    </row>
    <row r="11359" spans="20:20" ht="18.75" customHeight="1" x14ac:dyDescent="0.35">
      <c r="T11359" s="246">
        <f t="shared" si="215"/>
        <v>0</v>
      </c>
    </row>
    <row r="11360" spans="20:20" ht="18.75" customHeight="1" x14ac:dyDescent="0.35">
      <c r="T11360" s="246">
        <f t="shared" si="215"/>
        <v>0</v>
      </c>
    </row>
    <row r="11361" spans="20:20" ht="18.75" customHeight="1" x14ac:dyDescent="0.35">
      <c r="T11361" s="246">
        <f t="shared" si="215"/>
        <v>0</v>
      </c>
    </row>
    <row r="11362" spans="20:20" ht="18.75" customHeight="1" x14ac:dyDescent="0.35">
      <c r="T11362" s="246">
        <f t="shared" si="215"/>
        <v>0</v>
      </c>
    </row>
    <row r="11363" spans="20:20" ht="18.75" customHeight="1" x14ac:dyDescent="0.35">
      <c r="T11363" s="246">
        <f t="shared" si="215"/>
        <v>0</v>
      </c>
    </row>
    <row r="11364" spans="20:20" ht="18.75" customHeight="1" x14ac:dyDescent="0.35">
      <c r="T11364" s="246">
        <f t="shared" si="215"/>
        <v>0</v>
      </c>
    </row>
    <row r="11365" spans="20:20" ht="18.75" customHeight="1" x14ac:dyDescent="0.35">
      <c r="T11365" s="246">
        <f t="shared" si="215"/>
        <v>0</v>
      </c>
    </row>
    <row r="11366" spans="20:20" ht="18.75" customHeight="1" x14ac:dyDescent="0.35">
      <c r="T11366" s="246">
        <f t="shared" si="215"/>
        <v>0</v>
      </c>
    </row>
    <row r="11367" spans="20:20" ht="18.75" customHeight="1" x14ac:dyDescent="0.35">
      <c r="T11367" s="246">
        <f t="shared" si="215"/>
        <v>0</v>
      </c>
    </row>
    <row r="11368" spans="20:20" ht="18.75" customHeight="1" x14ac:dyDescent="0.35">
      <c r="T11368" s="246">
        <f t="shared" si="215"/>
        <v>0</v>
      </c>
    </row>
    <row r="11369" spans="20:20" ht="18.75" customHeight="1" x14ac:dyDescent="0.35">
      <c r="T11369" s="246">
        <f t="shared" si="215"/>
        <v>0</v>
      </c>
    </row>
    <row r="11370" spans="20:20" ht="18.75" customHeight="1" x14ac:dyDescent="0.35">
      <c r="T11370" s="246">
        <f t="shared" si="215"/>
        <v>0</v>
      </c>
    </row>
    <row r="11371" spans="20:20" ht="18.75" customHeight="1" x14ac:dyDescent="0.35">
      <c r="T11371" s="246">
        <f t="shared" si="215"/>
        <v>0</v>
      </c>
    </row>
    <row r="11372" spans="20:20" ht="18.75" customHeight="1" x14ac:dyDescent="0.35">
      <c r="T11372" s="246">
        <f t="shared" si="215"/>
        <v>0</v>
      </c>
    </row>
    <row r="11373" spans="20:20" ht="18.75" customHeight="1" x14ac:dyDescent="0.35">
      <c r="T11373" s="246">
        <f t="shared" si="215"/>
        <v>0</v>
      </c>
    </row>
    <row r="11374" spans="20:20" ht="18.75" customHeight="1" x14ac:dyDescent="0.35">
      <c r="T11374" s="246">
        <f t="shared" si="215"/>
        <v>0</v>
      </c>
    </row>
    <row r="11375" spans="20:20" ht="18.75" customHeight="1" x14ac:dyDescent="0.35">
      <c r="T11375" s="246">
        <f t="shared" si="215"/>
        <v>0</v>
      </c>
    </row>
    <row r="11376" spans="20:20" ht="18.75" customHeight="1" x14ac:dyDescent="0.35">
      <c r="T11376" s="246">
        <f t="shared" si="215"/>
        <v>0</v>
      </c>
    </row>
    <row r="11377" spans="20:20" ht="18.75" customHeight="1" x14ac:dyDescent="0.35">
      <c r="T11377" s="246">
        <f t="shared" si="215"/>
        <v>0</v>
      </c>
    </row>
    <row r="11378" spans="20:20" ht="18.75" customHeight="1" x14ac:dyDescent="0.35">
      <c r="T11378" s="246">
        <f t="shared" si="215"/>
        <v>0</v>
      </c>
    </row>
    <row r="11379" spans="20:20" ht="18.75" customHeight="1" x14ac:dyDescent="0.35">
      <c r="T11379" s="246">
        <f t="shared" si="215"/>
        <v>0</v>
      </c>
    </row>
    <row r="11380" spans="20:20" ht="18.75" customHeight="1" x14ac:dyDescent="0.35">
      <c r="T11380" s="246">
        <f t="shared" si="215"/>
        <v>0</v>
      </c>
    </row>
    <row r="11381" spans="20:20" ht="18.75" customHeight="1" x14ac:dyDescent="0.35">
      <c r="T11381" s="246">
        <f t="shared" si="215"/>
        <v>0</v>
      </c>
    </row>
    <row r="11382" spans="20:20" ht="18.75" customHeight="1" x14ac:dyDescent="0.35">
      <c r="T11382" s="246">
        <f t="shared" si="215"/>
        <v>0</v>
      </c>
    </row>
    <row r="11383" spans="20:20" ht="18.75" customHeight="1" x14ac:dyDescent="0.35">
      <c r="T11383" s="246">
        <f t="shared" si="215"/>
        <v>0</v>
      </c>
    </row>
    <row r="11384" spans="20:20" ht="18.75" customHeight="1" x14ac:dyDescent="0.35">
      <c r="T11384" s="246">
        <f t="shared" si="215"/>
        <v>0</v>
      </c>
    </row>
    <row r="11385" spans="20:20" ht="18.75" customHeight="1" x14ac:dyDescent="0.35">
      <c r="T11385" s="246">
        <f t="shared" si="215"/>
        <v>0</v>
      </c>
    </row>
    <row r="11386" spans="20:20" ht="18.75" customHeight="1" x14ac:dyDescent="0.35">
      <c r="T11386" s="246">
        <f t="shared" si="215"/>
        <v>0</v>
      </c>
    </row>
    <row r="11387" spans="20:20" ht="18.75" customHeight="1" x14ac:dyDescent="0.35">
      <c r="T11387" s="246">
        <f t="shared" si="215"/>
        <v>0</v>
      </c>
    </row>
    <row r="11388" spans="20:20" ht="18.75" customHeight="1" x14ac:dyDescent="0.35">
      <c r="T11388" s="246">
        <f t="shared" ref="T11388:T11451" si="216">R11388*0.01</f>
        <v>0</v>
      </c>
    </row>
    <row r="11389" spans="20:20" ht="18.75" customHeight="1" x14ac:dyDescent="0.35">
      <c r="T11389" s="246">
        <f t="shared" si="216"/>
        <v>0</v>
      </c>
    </row>
    <row r="11390" spans="20:20" ht="18.75" customHeight="1" x14ac:dyDescent="0.35">
      <c r="T11390" s="246">
        <f t="shared" si="216"/>
        <v>0</v>
      </c>
    </row>
    <row r="11391" spans="20:20" ht="18.75" customHeight="1" x14ac:dyDescent="0.35">
      <c r="T11391" s="246">
        <f t="shared" si="216"/>
        <v>0</v>
      </c>
    </row>
    <row r="11392" spans="20:20" ht="18.75" customHeight="1" x14ac:dyDescent="0.35">
      <c r="T11392" s="246">
        <f t="shared" si="216"/>
        <v>0</v>
      </c>
    </row>
    <row r="11393" spans="20:20" ht="18.75" customHeight="1" x14ac:dyDescent="0.35">
      <c r="T11393" s="246">
        <f t="shared" si="216"/>
        <v>0</v>
      </c>
    </row>
    <row r="11394" spans="20:20" ht="18.75" customHeight="1" x14ac:dyDescent="0.35">
      <c r="T11394" s="246">
        <f t="shared" si="216"/>
        <v>0</v>
      </c>
    </row>
    <row r="11395" spans="20:20" ht="18.75" customHeight="1" x14ac:dyDescent="0.35">
      <c r="T11395" s="246">
        <f t="shared" si="216"/>
        <v>0</v>
      </c>
    </row>
    <row r="11396" spans="20:20" ht="18.75" customHeight="1" x14ac:dyDescent="0.35">
      <c r="T11396" s="246">
        <f t="shared" si="216"/>
        <v>0</v>
      </c>
    </row>
    <row r="11397" spans="20:20" ht="18.75" customHeight="1" x14ac:dyDescent="0.35">
      <c r="T11397" s="246">
        <f t="shared" si="216"/>
        <v>0</v>
      </c>
    </row>
    <row r="11398" spans="20:20" ht="18.75" customHeight="1" x14ac:dyDescent="0.35">
      <c r="T11398" s="246">
        <f t="shared" si="216"/>
        <v>0</v>
      </c>
    </row>
    <row r="11399" spans="20:20" ht="18.75" customHeight="1" x14ac:dyDescent="0.35">
      <c r="T11399" s="246">
        <f t="shared" si="216"/>
        <v>0</v>
      </c>
    </row>
    <row r="11400" spans="20:20" ht="18.75" customHeight="1" x14ac:dyDescent="0.35">
      <c r="T11400" s="246">
        <f t="shared" si="216"/>
        <v>0</v>
      </c>
    </row>
    <row r="11401" spans="20:20" ht="18.75" customHeight="1" x14ac:dyDescent="0.35">
      <c r="T11401" s="246">
        <f t="shared" si="216"/>
        <v>0</v>
      </c>
    </row>
    <row r="11402" spans="20:20" ht="18.75" customHeight="1" x14ac:dyDescent="0.35">
      <c r="T11402" s="246">
        <f t="shared" si="216"/>
        <v>0</v>
      </c>
    </row>
    <row r="11403" spans="20:20" ht="18.75" customHeight="1" x14ac:dyDescent="0.35">
      <c r="T11403" s="246">
        <f t="shared" si="216"/>
        <v>0</v>
      </c>
    </row>
    <row r="11404" spans="20:20" ht="18.75" customHeight="1" x14ac:dyDescent="0.35">
      <c r="T11404" s="246">
        <f t="shared" si="216"/>
        <v>0</v>
      </c>
    </row>
    <row r="11405" spans="20:20" ht="18.75" customHeight="1" x14ac:dyDescent="0.35">
      <c r="T11405" s="246">
        <f t="shared" si="216"/>
        <v>0</v>
      </c>
    </row>
    <row r="11406" spans="20:20" ht="18.75" customHeight="1" x14ac:dyDescent="0.35">
      <c r="T11406" s="246">
        <f t="shared" si="216"/>
        <v>0</v>
      </c>
    </row>
    <row r="11407" spans="20:20" ht="18.75" customHeight="1" x14ac:dyDescent="0.35">
      <c r="T11407" s="246">
        <f t="shared" si="216"/>
        <v>0</v>
      </c>
    </row>
    <row r="11408" spans="20:20" ht="18.75" customHeight="1" x14ac:dyDescent="0.35">
      <c r="T11408" s="246">
        <f t="shared" si="216"/>
        <v>0</v>
      </c>
    </row>
    <row r="11409" spans="20:20" ht="18.75" customHeight="1" x14ac:dyDescent="0.35">
      <c r="T11409" s="246">
        <f t="shared" si="216"/>
        <v>0</v>
      </c>
    </row>
    <row r="11410" spans="20:20" ht="18.75" customHeight="1" x14ac:dyDescent="0.35">
      <c r="T11410" s="246">
        <f t="shared" si="216"/>
        <v>0</v>
      </c>
    </row>
    <row r="11411" spans="20:20" ht="18.75" customHeight="1" x14ac:dyDescent="0.35">
      <c r="T11411" s="246">
        <f t="shared" si="216"/>
        <v>0</v>
      </c>
    </row>
    <row r="11412" spans="20:20" ht="18.75" customHeight="1" x14ac:dyDescent="0.35">
      <c r="T11412" s="246">
        <f t="shared" si="216"/>
        <v>0</v>
      </c>
    </row>
    <row r="11413" spans="20:20" ht="18.75" customHeight="1" x14ac:dyDescent="0.35">
      <c r="T11413" s="246">
        <f t="shared" si="216"/>
        <v>0</v>
      </c>
    </row>
    <row r="11414" spans="20:20" ht="18.75" customHeight="1" x14ac:dyDescent="0.35">
      <c r="T11414" s="246">
        <f t="shared" si="216"/>
        <v>0</v>
      </c>
    </row>
    <row r="11415" spans="20:20" ht="18.75" customHeight="1" x14ac:dyDescent="0.35">
      <c r="T11415" s="246">
        <f t="shared" si="216"/>
        <v>0</v>
      </c>
    </row>
    <row r="11416" spans="20:20" ht="18.75" customHeight="1" x14ac:dyDescent="0.35">
      <c r="T11416" s="246">
        <f t="shared" si="216"/>
        <v>0</v>
      </c>
    </row>
    <row r="11417" spans="20:20" ht="18.75" customHeight="1" x14ac:dyDescent="0.35">
      <c r="T11417" s="246">
        <f t="shared" si="216"/>
        <v>0</v>
      </c>
    </row>
    <row r="11418" spans="20:20" ht="18.75" customHeight="1" x14ac:dyDescent="0.35">
      <c r="T11418" s="246">
        <f t="shared" si="216"/>
        <v>0</v>
      </c>
    </row>
    <row r="11419" spans="20:20" ht="18.75" customHeight="1" x14ac:dyDescent="0.35">
      <c r="T11419" s="246">
        <f t="shared" si="216"/>
        <v>0</v>
      </c>
    </row>
    <row r="11420" spans="20:20" ht="18.75" customHeight="1" x14ac:dyDescent="0.35">
      <c r="T11420" s="246">
        <f t="shared" si="216"/>
        <v>0</v>
      </c>
    </row>
    <row r="11421" spans="20:20" ht="18.75" customHeight="1" x14ac:dyDescent="0.35">
      <c r="T11421" s="246">
        <f t="shared" si="216"/>
        <v>0</v>
      </c>
    </row>
    <row r="11422" spans="20:20" ht="18.75" customHeight="1" x14ac:dyDescent="0.35">
      <c r="T11422" s="246">
        <f t="shared" si="216"/>
        <v>0</v>
      </c>
    </row>
    <row r="11423" spans="20:20" ht="18.75" customHeight="1" x14ac:dyDescent="0.35">
      <c r="T11423" s="246">
        <f t="shared" si="216"/>
        <v>0</v>
      </c>
    </row>
    <row r="11424" spans="20:20" ht="18.75" customHeight="1" x14ac:dyDescent="0.35">
      <c r="T11424" s="246">
        <f t="shared" si="216"/>
        <v>0</v>
      </c>
    </row>
    <row r="11425" spans="20:20" ht="18.75" customHeight="1" x14ac:dyDescent="0.35">
      <c r="T11425" s="246">
        <f t="shared" si="216"/>
        <v>0</v>
      </c>
    </row>
    <row r="11426" spans="20:20" ht="18.75" customHeight="1" x14ac:dyDescent="0.35">
      <c r="T11426" s="246">
        <f t="shared" si="216"/>
        <v>0</v>
      </c>
    </row>
    <row r="11427" spans="20:20" ht="18.75" customHeight="1" x14ac:dyDescent="0.35">
      <c r="T11427" s="246">
        <f t="shared" si="216"/>
        <v>0</v>
      </c>
    </row>
    <row r="11428" spans="20:20" ht="18.75" customHeight="1" x14ac:dyDescent="0.35">
      <c r="T11428" s="246">
        <f t="shared" si="216"/>
        <v>0</v>
      </c>
    </row>
    <row r="11429" spans="20:20" ht="18.75" customHeight="1" x14ac:dyDescent="0.35">
      <c r="T11429" s="246">
        <f t="shared" si="216"/>
        <v>0</v>
      </c>
    </row>
    <row r="11430" spans="20:20" ht="18.75" customHeight="1" x14ac:dyDescent="0.35">
      <c r="T11430" s="246">
        <f t="shared" si="216"/>
        <v>0</v>
      </c>
    </row>
    <row r="11431" spans="20:20" ht="18.75" customHeight="1" x14ac:dyDescent="0.35">
      <c r="T11431" s="246">
        <f t="shared" si="216"/>
        <v>0</v>
      </c>
    </row>
    <row r="11432" spans="20:20" ht="18.75" customHeight="1" x14ac:dyDescent="0.35">
      <c r="T11432" s="246">
        <f t="shared" si="216"/>
        <v>0</v>
      </c>
    </row>
    <row r="11433" spans="20:20" ht="18.75" customHeight="1" x14ac:dyDescent="0.35">
      <c r="T11433" s="246">
        <f t="shared" si="216"/>
        <v>0</v>
      </c>
    </row>
    <row r="11434" spans="20:20" ht="18.75" customHeight="1" x14ac:dyDescent="0.35">
      <c r="T11434" s="246">
        <f t="shared" si="216"/>
        <v>0</v>
      </c>
    </row>
    <row r="11435" spans="20:20" ht="18.75" customHeight="1" x14ac:dyDescent="0.35">
      <c r="T11435" s="246">
        <f t="shared" si="216"/>
        <v>0</v>
      </c>
    </row>
    <row r="11436" spans="20:20" ht="18.75" customHeight="1" x14ac:dyDescent="0.35">
      <c r="T11436" s="246">
        <f t="shared" si="216"/>
        <v>0</v>
      </c>
    </row>
    <row r="11437" spans="20:20" ht="18.75" customHeight="1" x14ac:dyDescent="0.35">
      <c r="T11437" s="246">
        <f t="shared" si="216"/>
        <v>0</v>
      </c>
    </row>
    <row r="11438" spans="20:20" ht="18.75" customHeight="1" x14ac:dyDescent="0.35">
      <c r="T11438" s="246">
        <f t="shared" si="216"/>
        <v>0</v>
      </c>
    </row>
    <row r="11439" spans="20:20" ht="18.75" customHeight="1" x14ac:dyDescent="0.35">
      <c r="T11439" s="246">
        <f t="shared" si="216"/>
        <v>0</v>
      </c>
    </row>
    <row r="11440" spans="20:20" ht="18.75" customHeight="1" x14ac:dyDescent="0.35">
      <c r="T11440" s="246">
        <f t="shared" si="216"/>
        <v>0</v>
      </c>
    </row>
    <row r="11441" spans="20:20" ht="18.75" customHeight="1" x14ac:dyDescent="0.35">
      <c r="T11441" s="246">
        <f t="shared" si="216"/>
        <v>0</v>
      </c>
    </row>
    <row r="11442" spans="20:20" ht="18.75" customHeight="1" x14ac:dyDescent="0.35">
      <c r="T11442" s="246">
        <f t="shared" si="216"/>
        <v>0</v>
      </c>
    </row>
    <row r="11443" spans="20:20" ht="18.75" customHeight="1" x14ac:dyDescent="0.35">
      <c r="T11443" s="246">
        <f t="shared" si="216"/>
        <v>0</v>
      </c>
    </row>
    <row r="11444" spans="20:20" ht="18.75" customHeight="1" x14ac:dyDescent="0.35">
      <c r="T11444" s="246">
        <f t="shared" si="216"/>
        <v>0</v>
      </c>
    </row>
    <row r="11445" spans="20:20" ht="18.75" customHeight="1" x14ac:dyDescent="0.35">
      <c r="T11445" s="246">
        <f t="shared" si="216"/>
        <v>0</v>
      </c>
    </row>
    <row r="11446" spans="20:20" ht="18.75" customHeight="1" x14ac:dyDescent="0.35">
      <c r="T11446" s="246">
        <f t="shared" si="216"/>
        <v>0</v>
      </c>
    </row>
    <row r="11447" spans="20:20" ht="18.75" customHeight="1" x14ac:dyDescent="0.35">
      <c r="T11447" s="246">
        <f t="shared" si="216"/>
        <v>0</v>
      </c>
    </row>
    <row r="11448" spans="20:20" ht="18.75" customHeight="1" x14ac:dyDescent="0.35">
      <c r="T11448" s="246">
        <f t="shared" si="216"/>
        <v>0</v>
      </c>
    </row>
    <row r="11449" spans="20:20" ht="18.75" customHeight="1" x14ac:dyDescent="0.35">
      <c r="T11449" s="246">
        <f t="shared" si="216"/>
        <v>0</v>
      </c>
    </row>
    <row r="11450" spans="20:20" ht="18.75" customHeight="1" x14ac:dyDescent="0.35">
      <c r="T11450" s="246">
        <f t="shared" si="216"/>
        <v>0</v>
      </c>
    </row>
    <row r="11451" spans="20:20" ht="18.75" customHeight="1" x14ac:dyDescent="0.35">
      <c r="T11451" s="246">
        <f t="shared" si="216"/>
        <v>0</v>
      </c>
    </row>
    <row r="11452" spans="20:20" ht="18.75" customHeight="1" x14ac:dyDescent="0.35">
      <c r="T11452" s="246">
        <f t="shared" ref="T11452:T11515" si="217">R11452*0.01</f>
        <v>0</v>
      </c>
    </row>
    <row r="11453" spans="20:20" ht="18.75" customHeight="1" x14ac:dyDescent="0.35">
      <c r="T11453" s="246">
        <f t="shared" si="217"/>
        <v>0</v>
      </c>
    </row>
    <row r="11454" spans="20:20" ht="18.75" customHeight="1" x14ac:dyDescent="0.35">
      <c r="T11454" s="246">
        <f t="shared" si="217"/>
        <v>0</v>
      </c>
    </row>
    <row r="11455" spans="20:20" ht="18.75" customHeight="1" x14ac:dyDescent="0.35">
      <c r="T11455" s="246">
        <f t="shared" si="217"/>
        <v>0</v>
      </c>
    </row>
    <row r="11456" spans="20:20" ht="18.75" customHeight="1" x14ac:dyDescent="0.35">
      <c r="T11456" s="246">
        <f t="shared" si="217"/>
        <v>0</v>
      </c>
    </row>
    <row r="11457" spans="20:20" ht="18.75" customHeight="1" x14ac:dyDescent="0.35">
      <c r="T11457" s="246">
        <f t="shared" si="217"/>
        <v>0</v>
      </c>
    </row>
    <row r="11458" spans="20:20" ht="18.75" customHeight="1" x14ac:dyDescent="0.35">
      <c r="T11458" s="246">
        <f t="shared" si="217"/>
        <v>0</v>
      </c>
    </row>
    <row r="11459" spans="20:20" ht="18.75" customHeight="1" x14ac:dyDescent="0.35">
      <c r="T11459" s="246">
        <f t="shared" si="217"/>
        <v>0</v>
      </c>
    </row>
    <row r="11460" spans="20:20" ht="18.75" customHeight="1" x14ac:dyDescent="0.35">
      <c r="T11460" s="246">
        <f t="shared" si="217"/>
        <v>0</v>
      </c>
    </row>
    <row r="11461" spans="20:20" ht="18.75" customHeight="1" x14ac:dyDescent="0.35">
      <c r="T11461" s="246">
        <f t="shared" si="217"/>
        <v>0</v>
      </c>
    </row>
    <row r="11462" spans="20:20" ht="18.75" customHeight="1" x14ac:dyDescent="0.35">
      <c r="T11462" s="246">
        <f t="shared" si="217"/>
        <v>0</v>
      </c>
    </row>
    <row r="11463" spans="20:20" ht="18.75" customHeight="1" x14ac:dyDescent="0.35">
      <c r="T11463" s="246">
        <f t="shared" si="217"/>
        <v>0</v>
      </c>
    </row>
    <row r="11464" spans="20:20" ht="18.75" customHeight="1" x14ac:dyDescent="0.35">
      <c r="T11464" s="246">
        <f t="shared" si="217"/>
        <v>0</v>
      </c>
    </row>
    <row r="11465" spans="20:20" ht="18.75" customHeight="1" x14ac:dyDescent="0.35">
      <c r="T11465" s="246">
        <f t="shared" si="217"/>
        <v>0</v>
      </c>
    </row>
    <row r="11466" spans="20:20" ht="18.75" customHeight="1" x14ac:dyDescent="0.35">
      <c r="T11466" s="246">
        <f t="shared" si="217"/>
        <v>0</v>
      </c>
    </row>
    <row r="11467" spans="20:20" ht="18.75" customHeight="1" x14ac:dyDescent="0.35">
      <c r="T11467" s="246">
        <f t="shared" si="217"/>
        <v>0</v>
      </c>
    </row>
    <row r="11468" spans="20:20" ht="18.75" customHeight="1" x14ac:dyDescent="0.35">
      <c r="T11468" s="246">
        <f t="shared" si="217"/>
        <v>0</v>
      </c>
    </row>
    <row r="11469" spans="20:20" ht="18.75" customHeight="1" x14ac:dyDescent="0.35">
      <c r="T11469" s="246">
        <f t="shared" si="217"/>
        <v>0</v>
      </c>
    </row>
    <row r="11470" spans="20:20" ht="18.75" customHeight="1" x14ac:dyDescent="0.35">
      <c r="T11470" s="246">
        <f t="shared" si="217"/>
        <v>0</v>
      </c>
    </row>
    <row r="11471" spans="20:20" ht="18.75" customHeight="1" x14ac:dyDescent="0.35">
      <c r="T11471" s="246">
        <f t="shared" si="217"/>
        <v>0</v>
      </c>
    </row>
    <row r="11472" spans="20:20" ht="18.75" customHeight="1" x14ac:dyDescent="0.35">
      <c r="T11472" s="246">
        <f t="shared" si="217"/>
        <v>0</v>
      </c>
    </row>
    <row r="11473" spans="20:20" ht="18.75" customHeight="1" x14ac:dyDescent="0.35">
      <c r="T11473" s="246">
        <f t="shared" si="217"/>
        <v>0</v>
      </c>
    </row>
    <row r="11474" spans="20:20" ht="18.75" customHeight="1" x14ac:dyDescent="0.35">
      <c r="T11474" s="246">
        <f t="shared" si="217"/>
        <v>0</v>
      </c>
    </row>
    <row r="11475" spans="20:20" ht="18.75" customHeight="1" x14ac:dyDescent="0.35">
      <c r="T11475" s="246">
        <f t="shared" si="217"/>
        <v>0</v>
      </c>
    </row>
    <row r="11476" spans="20:20" ht="18.75" customHeight="1" x14ac:dyDescent="0.35">
      <c r="T11476" s="246">
        <f t="shared" si="217"/>
        <v>0</v>
      </c>
    </row>
    <row r="11477" spans="20:20" ht="18.75" customHeight="1" x14ac:dyDescent="0.35">
      <c r="T11477" s="246">
        <f t="shared" si="217"/>
        <v>0</v>
      </c>
    </row>
    <row r="11478" spans="20:20" ht="18.75" customHeight="1" x14ac:dyDescent="0.35">
      <c r="T11478" s="246">
        <f t="shared" si="217"/>
        <v>0</v>
      </c>
    </row>
    <row r="11479" spans="20:20" ht="18.75" customHeight="1" x14ac:dyDescent="0.35">
      <c r="T11479" s="246">
        <f t="shared" si="217"/>
        <v>0</v>
      </c>
    </row>
    <row r="11480" spans="20:20" ht="18.75" customHeight="1" x14ac:dyDescent="0.35">
      <c r="T11480" s="246">
        <f t="shared" si="217"/>
        <v>0</v>
      </c>
    </row>
    <row r="11481" spans="20:20" ht="18.75" customHeight="1" x14ac:dyDescent="0.35">
      <c r="T11481" s="246">
        <f t="shared" si="217"/>
        <v>0</v>
      </c>
    </row>
    <row r="11482" spans="20:20" ht="18.75" customHeight="1" x14ac:dyDescent="0.35">
      <c r="T11482" s="246">
        <f t="shared" si="217"/>
        <v>0</v>
      </c>
    </row>
    <row r="11483" spans="20:20" ht="18.75" customHeight="1" x14ac:dyDescent="0.35">
      <c r="T11483" s="246">
        <f t="shared" si="217"/>
        <v>0</v>
      </c>
    </row>
    <row r="11484" spans="20:20" ht="18.75" customHeight="1" x14ac:dyDescent="0.35">
      <c r="T11484" s="246">
        <f t="shared" si="217"/>
        <v>0</v>
      </c>
    </row>
    <row r="11485" spans="20:20" ht="18.75" customHeight="1" x14ac:dyDescent="0.35">
      <c r="T11485" s="246">
        <f t="shared" si="217"/>
        <v>0</v>
      </c>
    </row>
    <row r="11486" spans="20:20" ht="18.75" customHeight="1" x14ac:dyDescent="0.35">
      <c r="T11486" s="246">
        <f t="shared" si="217"/>
        <v>0</v>
      </c>
    </row>
    <row r="11487" spans="20:20" ht="18.75" customHeight="1" x14ac:dyDescent="0.35">
      <c r="T11487" s="246">
        <f t="shared" si="217"/>
        <v>0</v>
      </c>
    </row>
    <row r="11488" spans="20:20" ht="18.75" customHeight="1" x14ac:dyDescent="0.35">
      <c r="T11488" s="246">
        <f t="shared" si="217"/>
        <v>0</v>
      </c>
    </row>
    <row r="11489" spans="20:20" ht="18.75" customHeight="1" x14ac:dyDescent="0.35">
      <c r="T11489" s="246">
        <f t="shared" si="217"/>
        <v>0</v>
      </c>
    </row>
    <row r="11490" spans="20:20" ht="18.75" customHeight="1" x14ac:dyDescent="0.35">
      <c r="T11490" s="246">
        <f t="shared" si="217"/>
        <v>0</v>
      </c>
    </row>
    <row r="11491" spans="20:20" ht="18.75" customHeight="1" x14ac:dyDescent="0.35">
      <c r="T11491" s="246">
        <f t="shared" si="217"/>
        <v>0</v>
      </c>
    </row>
    <row r="11492" spans="20:20" ht="18.75" customHeight="1" x14ac:dyDescent="0.35">
      <c r="T11492" s="246">
        <f t="shared" si="217"/>
        <v>0</v>
      </c>
    </row>
    <row r="11493" spans="20:20" ht="18.75" customHeight="1" x14ac:dyDescent="0.35">
      <c r="T11493" s="246">
        <f t="shared" si="217"/>
        <v>0</v>
      </c>
    </row>
    <row r="11494" spans="20:20" ht="18.75" customHeight="1" x14ac:dyDescent="0.35">
      <c r="T11494" s="246">
        <f t="shared" si="217"/>
        <v>0</v>
      </c>
    </row>
    <row r="11495" spans="20:20" ht="18.75" customHeight="1" x14ac:dyDescent="0.35">
      <c r="T11495" s="246">
        <f t="shared" si="217"/>
        <v>0</v>
      </c>
    </row>
    <row r="11496" spans="20:20" ht="18.75" customHeight="1" x14ac:dyDescent="0.35">
      <c r="T11496" s="246">
        <f t="shared" si="217"/>
        <v>0</v>
      </c>
    </row>
    <row r="11497" spans="20:20" ht="18.75" customHeight="1" x14ac:dyDescent="0.35">
      <c r="T11497" s="246">
        <f t="shared" si="217"/>
        <v>0</v>
      </c>
    </row>
    <row r="11498" spans="20:20" ht="18.75" customHeight="1" x14ac:dyDescent="0.35">
      <c r="T11498" s="246">
        <f t="shared" si="217"/>
        <v>0</v>
      </c>
    </row>
    <row r="11499" spans="20:20" ht="18.75" customHeight="1" x14ac:dyDescent="0.35">
      <c r="T11499" s="246">
        <f t="shared" si="217"/>
        <v>0</v>
      </c>
    </row>
    <row r="11500" spans="20:20" ht="18.75" customHeight="1" x14ac:dyDescent="0.35">
      <c r="T11500" s="246">
        <f t="shared" si="217"/>
        <v>0</v>
      </c>
    </row>
    <row r="11501" spans="20:20" ht="18.75" customHeight="1" x14ac:dyDescent="0.35">
      <c r="T11501" s="246">
        <f t="shared" si="217"/>
        <v>0</v>
      </c>
    </row>
    <row r="11502" spans="20:20" ht="18.75" customHeight="1" x14ac:dyDescent="0.35">
      <c r="T11502" s="246">
        <f t="shared" si="217"/>
        <v>0</v>
      </c>
    </row>
    <row r="11503" spans="20:20" ht="18.75" customHeight="1" x14ac:dyDescent="0.35">
      <c r="T11503" s="246">
        <f t="shared" si="217"/>
        <v>0</v>
      </c>
    </row>
    <row r="11504" spans="20:20" ht="18.75" customHeight="1" x14ac:dyDescent="0.35">
      <c r="T11504" s="246">
        <f t="shared" si="217"/>
        <v>0</v>
      </c>
    </row>
    <row r="11505" spans="20:20" ht="18.75" customHeight="1" x14ac:dyDescent="0.35">
      <c r="T11505" s="246">
        <f t="shared" si="217"/>
        <v>0</v>
      </c>
    </row>
    <row r="11506" spans="20:20" ht="18.75" customHeight="1" x14ac:dyDescent="0.35">
      <c r="T11506" s="246">
        <f t="shared" si="217"/>
        <v>0</v>
      </c>
    </row>
    <row r="11507" spans="20:20" ht="18.75" customHeight="1" x14ac:dyDescent="0.35">
      <c r="T11507" s="246">
        <f t="shared" si="217"/>
        <v>0</v>
      </c>
    </row>
    <row r="11508" spans="20:20" ht="18.75" customHeight="1" x14ac:dyDescent="0.35">
      <c r="T11508" s="246">
        <f t="shared" si="217"/>
        <v>0</v>
      </c>
    </row>
    <row r="11509" spans="20:20" ht="18.75" customHeight="1" x14ac:dyDescent="0.35">
      <c r="T11509" s="246">
        <f t="shared" si="217"/>
        <v>0</v>
      </c>
    </row>
    <row r="11510" spans="20:20" ht="18.75" customHeight="1" x14ac:dyDescent="0.35">
      <c r="T11510" s="246">
        <f t="shared" si="217"/>
        <v>0</v>
      </c>
    </row>
    <row r="11511" spans="20:20" ht="18.75" customHeight="1" x14ac:dyDescent="0.35">
      <c r="T11511" s="246">
        <f t="shared" si="217"/>
        <v>0</v>
      </c>
    </row>
    <row r="11512" spans="20:20" ht="18.75" customHeight="1" x14ac:dyDescent="0.35">
      <c r="T11512" s="246">
        <f t="shared" si="217"/>
        <v>0</v>
      </c>
    </row>
    <row r="11513" spans="20:20" ht="18.75" customHeight="1" x14ac:dyDescent="0.35">
      <c r="T11513" s="246">
        <f t="shared" si="217"/>
        <v>0</v>
      </c>
    </row>
    <row r="11514" spans="20:20" ht="18.75" customHeight="1" x14ac:dyDescent="0.35">
      <c r="T11514" s="246">
        <f t="shared" si="217"/>
        <v>0</v>
      </c>
    </row>
    <row r="11515" spans="20:20" ht="18.75" customHeight="1" x14ac:dyDescent="0.35">
      <c r="T11515" s="246">
        <f t="shared" si="217"/>
        <v>0</v>
      </c>
    </row>
    <row r="11516" spans="20:20" ht="18.75" customHeight="1" x14ac:dyDescent="0.35">
      <c r="T11516" s="246">
        <f t="shared" ref="T11516:T11579" si="218">R11516*0.01</f>
        <v>0</v>
      </c>
    </row>
    <row r="11517" spans="20:20" ht="18.75" customHeight="1" x14ac:dyDescent="0.35">
      <c r="T11517" s="246">
        <f t="shared" si="218"/>
        <v>0</v>
      </c>
    </row>
    <row r="11518" spans="20:20" ht="18.75" customHeight="1" x14ac:dyDescent="0.35">
      <c r="T11518" s="246">
        <f t="shared" si="218"/>
        <v>0</v>
      </c>
    </row>
    <row r="11519" spans="20:20" ht="18.75" customHeight="1" x14ac:dyDescent="0.35">
      <c r="T11519" s="246">
        <f t="shared" si="218"/>
        <v>0</v>
      </c>
    </row>
    <row r="11520" spans="20:20" ht="18.75" customHeight="1" x14ac:dyDescent="0.35">
      <c r="T11520" s="246">
        <f t="shared" si="218"/>
        <v>0</v>
      </c>
    </row>
    <row r="11521" spans="20:20" ht="18.75" customHeight="1" x14ac:dyDescent="0.35">
      <c r="T11521" s="246">
        <f t="shared" si="218"/>
        <v>0</v>
      </c>
    </row>
    <row r="11522" spans="20:20" ht="18.75" customHeight="1" x14ac:dyDescent="0.35">
      <c r="T11522" s="246">
        <f t="shared" si="218"/>
        <v>0</v>
      </c>
    </row>
    <row r="11523" spans="20:20" ht="18.75" customHeight="1" x14ac:dyDescent="0.35">
      <c r="T11523" s="246">
        <f t="shared" si="218"/>
        <v>0</v>
      </c>
    </row>
    <row r="11524" spans="20:20" ht="18.75" customHeight="1" x14ac:dyDescent="0.35">
      <c r="T11524" s="246">
        <f t="shared" si="218"/>
        <v>0</v>
      </c>
    </row>
    <row r="11525" spans="20:20" ht="18.75" customHeight="1" x14ac:dyDescent="0.35">
      <c r="T11525" s="246">
        <f t="shared" si="218"/>
        <v>0</v>
      </c>
    </row>
    <row r="11526" spans="20:20" ht="18.75" customHeight="1" x14ac:dyDescent="0.35">
      <c r="T11526" s="246">
        <f t="shared" si="218"/>
        <v>0</v>
      </c>
    </row>
    <row r="11527" spans="20:20" ht="18.75" customHeight="1" x14ac:dyDescent="0.35">
      <c r="T11527" s="246">
        <f t="shared" si="218"/>
        <v>0</v>
      </c>
    </row>
    <row r="11528" spans="20:20" ht="18.75" customHeight="1" x14ac:dyDescent="0.35">
      <c r="T11528" s="246">
        <f t="shared" si="218"/>
        <v>0</v>
      </c>
    </row>
    <row r="11529" spans="20:20" ht="18.75" customHeight="1" x14ac:dyDescent="0.35">
      <c r="T11529" s="246">
        <f t="shared" si="218"/>
        <v>0</v>
      </c>
    </row>
    <row r="11530" spans="20:20" ht="18.75" customHeight="1" x14ac:dyDescent="0.35">
      <c r="T11530" s="246">
        <f t="shared" si="218"/>
        <v>0</v>
      </c>
    </row>
    <row r="11531" spans="20:20" ht="18.75" customHeight="1" x14ac:dyDescent="0.35">
      <c r="T11531" s="246">
        <f t="shared" si="218"/>
        <v>0</v>
      </c>
    </row>
    <row r="11532" spans="20:20" ht="18.75" customHeight="1" x14ac:dyDescent="0.35">
      <c r="T11532" s="246">
        <f t="shared" si="218"/>
        <v>0</v>
      </c>
    </row>
    <row r="11533" spans="20:20" ht="18.75" customHeight="1" x14ac:dyDescent="0.35">
      <c r="T11533" s="246">
        <f t="shared" si="218"/>
        <v>0</v>
      </c>
    </row>
    <row r="11534" spans="20:20" ht="18.75" customHeight="1" x14ac:dyDescent="0.35">
      <c r="T11534" s="246">
        <f t="shared" si="218"/>
        <v>0</v>
      </c>
    </row>
    <row r="11535" spans="20:20" ht="18.75" customHeight="1" x14ac:dyDescent="0.35">
      <c r="T11535" s="246">
        <f t="shared" si="218"/>
        <v>0</v>
      </c>
    </row>
    <row r="11536" spans="20:20" ht="18.75" customHeight="1" x14ac:dyDescent="0.35">
      <c r="T11536" s="246">
        <f t="shared" si="218"/>
        <v>0</v>
      </c>
    </row>
    <row r="11537" spans="20:20" ht="18.75" customHeight="1" x14ac:dyDescent="0.35">
      <c r="T11537" s="246">
        <f t="shared" si="218"/>
        <v>0</v>
      </c>
    </row>
    <row r="11538" spans="20:20" ht="18.75" customHeight="1" x14ac:dyDescent="0.35">
      <c r="T11538" s="246">
        <f t="shared" si="218"/>
        <v>0</v>
      </c>
    </row>
    <row r="11539" spans="20:20" ht="18.75" customHeight="1" x14ac:dyDescent="0.35">
      <c r="T11539" s="246">
        <f t="shared" si="218"/>
        <v>0</v>
      </c>
    </row>
    <row r="11540" spans="20:20" ht="18.75" customHeight="1" x14ac:dyDescent="0.35">
      <c r="T11540" s="246">
        <f t="shared" si="218"/>
        <v>0</v>
      </c>
    </row>
    <row r="11541" spans="20:20" ht="18.75" customHeight="1" x14ac:dyDescent="0.35">
      <c r="T11541" s="246">
        <f t="shared" si="218"/>
        <v>0</v>
      </c>
    </row>
    <row r="11542" spans="20:20" ht="18.75" customHeight="1" x14ac:dyDescent="0.35">
      <c r="T11542" s="246">
        <f t="shared" si="218"/>
        <v>0</v>
      </c>
    </row>
    <row r="11543" spans="20:20" ht="18.75" customHeight="1" x14ac:dyDescent="0.35">
      <c r="T11543" s="246">
        <f t="shared" si="218"/>
        <v>0</v>
      </c>
    </row>
    <row r="11544" spans="20:20" ht="18.75" customHeight="1" x14ac:dyDescent="0.35">
      <c r="T11544" s="246">
        <f t="shared" si="218"/>
        <v>0</v>
      </c>
    </row>
    <row r="11545" spans="20:20" ht="18.75" customHeight="1" x14ac:dyDescent="0.35">
      <c r="T11545" s="246">
        <f t="shared" si="218"/>
        <v>0</v>
      </c>
    </row>
    <row r="11546" spans="20:20" ht="18.75" customHeight="1" x14ac:dyDescent="0.35">
      <c r="T11546" s="246">
        <f t="shared" si="218"/>
        <v>0</v>
      </c>
    </row>
    <row r="11547" spans="20:20" ht="18.75" customHeight="1" x14ac:dyDescent="0.35">
      <c r="T11547" s="246">
        <f t="shared" si="218"/>
        <v>0</v>
      </c>
    </row>
    <row r="11548" spans="20:20" ht="18.75" customHeight="1" x14ac:dyDescent="0.35">
      <c r="T11548" s="246">
        <f t="shared" si="218"/>
        <v>0</v>
      </c>
    </row>
    <row r="11549" spans="20:20" ht="18.75" customHeight="1" x14ac:dyDescent="0.35">
      <c r="T11549" s="246">
        <f t="shared" si="218"/>
        <v>0</v>
      </c>
    </row>
    <row r="11550" spans="20:20" ht="18.75" customHeight="1" x14ac:dyDescent="0.35">
      <c r="T11550" s="246">
        <f t="shared" si="218"/>
        <v>0</v>
      </c>
    </row>
    <row r="11551" spans="20:20" ht="18.75" customHeight="1" x14ac:dyDescent="0.35">
      <c r="T11551" s="246">
        <f t="shared" si="218"/>
        <v>0</v>
      </c>
    </row>
    <row r="11552" spans="20:20" ht="18.75" customHeight="1" x14ac:dyDescent="0.35">
      <c r="T11552" s="246">
        <f t="shared" si="218"/>
        <v>0</v>
      </c>
    </row>
    <row r="11553" spans="20:20" ht="18.75" customHeight="1" x14ac:dyDescent="0.35">
      <c r="T11553" s="246">
        <f t="shared" si="218"/>
        <v>0</v>
      </c>
    </row>
    <row r="11554" spans="20:20" ht="18.75" customHeight="1" x14ac:dyDescent="0.35">
      <c r="T11554" s="246">
        <f t="shared" si="218"/>
        <v>0</v>
      </c>
    </row>
    <row r="11555" spans="20:20" ht="18.75" customHeight="1" x14ac:dyDescent="0.35">
      <c r="T11555" s="246">
        <f t="shared" si="218"/>
        <v>0</v>
      </c>
    </row>
    <row r="11556" spans="20:20" ht="18.75" customHeight="1" x14ac:dyDescent="0.35">
      <c r="T11556" s="246">
        <f t="shared" si="218"/>
        <v>0</v>
      </c>
    </row>
    <row r="11557" spans="20:20" ht="18.75" customHeight="1" x14ac:dyDescent="0.35">
      <c r="T11557" s="246">
        <f t="shared" si="218"/>
        <v>0</v>
      </c>
    </row>
    <row r="11558" spans="20:20" ht="18.75" customHeight="1" x14ac:dyDescent="0.35">
      <c r="T11558" s="246">
        <f t="shared" si="218"/>
        <v>0</v>
      </c>
    </row>
    <row r="11559" spans="20:20" ht="18.75" customHeight="1" x14ac:dyDescent="0.35">
      <c r="T11559" s="246">
        <f t="shared" si="218"/>
        <v>0</v>
      </c>
    </row>
    <row r="11560" spans="20:20" ht="18.75" customHeight="1" x14ac:dyDescent="0.35">
      <c r="T11560" s="246">
        <f t="shared" si="218"/>
        <v>0</v>
      </c>
    </row>
    <row r="11561" spans="20:20" ht="18.75" customHeight="1" x14ac:dyDescent="0.35">
      <c r="T11561" s="246">
        <f t="shared" si="218"/>
        <v>0</v>
      </c>
    </row>
    <row r="11562" spans="20:20" ht="18.75" customHeight="1" x14ac:dyDescent="0.35">
      <c r="T11562" s="246">
        <f t="shared" si="218"/>
        <v>0</v>
      </c>
    </row>
    <row r="11563" spans="20:20" ht="18.75" customHeight="1" x14ac:dyDescent="0.35">
      <c r="T11563" s="246">
        <f t="shared" si="218"/>
        <v>0</v>
      </c>
    </row>
    <row r="11564" spans="20:20" ht="18.75" customHeight="1" x14ac:dyDescent="0.35">
      <c r="T11564" s="246">
        <f t="shared" si="218"/>
        <v>0</v>
      </c>
    </row>
    <row r="11565" spans="20:20" ht="18.75" customHeight="1" x14ac:dyDescent="0.35">
      <c r="T11565" s="246">
        <f t="shared" si="218"/>
        <v>0</v>
      </c>
    </row>
    <row r="11566" spans="20:20" ht="18.75" customHeight="1" x14ac:dyDescent="0.35">
      <c r="T11566" s="246">
        <f t="shared" si="218"/>
        <v>0</v>
      </c>
    </row>
    <row r="11567" spans="20:20" ht="18.75" customHeight="1" x14ac:dyDescent="0.35">
      <c r="T11567" s="246">
        <f t="shared" si="218"/>
        <v>0</v>
      </c>
    </row>
    <row r="11568" spans="20:20" ht="18.75" customHeight="1" x14ac:dyDescent="0.35">
      <c r="T11568" s="246">
        <f t="shared" si="218"/>
        <v>0</v>
      </c>
    </row>
    <row r="11569" spans="20:20" ht="18.75" customHeight="1" x14ac:dyDescent="0.35">
      <c r="T11569" s="246">
        <f t="shared" si="218"/>
        <v>0</v>
      </c>
    </row>
    <row r="11570" spans="20:20" ht="18.75" customHeight="1" x14ac:dyDescent="0.35">
      <c r="T11570" s="246">
        <f t="shared" si="218"/>
        <v>0</v>
      </c>
    </row>
    <row r="11571" spans="20:20" ht="18.75" customHeight="1" x14ac:dyDescent="0.35">
      <c r="T11571" s="246">
        <f t="shared" si="218"/>
        <v>0</v>
      </c>
    </row>
    <row r="11572" spans="20:20" ht="18.75" customHeight="1" x14ac:dyDescent="0.35">
      <c r="T11572" s="246">
        <f t="shared" si="218"/>
        <v>0</v>
      </c>
    </row>
    <row r="11573" spans="20:20" ht="18.75" customHeight="1" x14ac:dyDescent="0.35">
      <c r="T11573" s="246">
        <f t="shared" si="218"/>
        <v>0</v>
      </c>
    </row>
    <row r="11574" spans="20:20" ht="18.75" customHeight="1" x14ac:dyDescent="0.35">
      <c r="T11574" s="246">
        <f t="shared" si="218"/>
        <v>0</v>
      </c>
    </row>
    <row r="11575" spans="20:20" ht="18.75" customHeight="1" x14ac:dyDescent="0.35">
      <c r="T11575" s="246">
        <f t="shared" si="218"/>
        <v>0</v>
      </c>
    </row>
    <row r="11576" spans="20:20" ht="18.75" customHeight="1" x14ac:dyDescent="0.35">
      <c r="T11576" s="246">
        <f t="shared" si="218"/>
        <v>0</v>
      </c>
    </row>
    <row r="11577" spans="20:20" ht="18.75" customHeight="1" x14ac:dyDescent="0.35">
      <c r="T11577" s="246">
        <f t="shared" si="218"/>
        <v>0</v>
      </c>
    </row>
    <row r="11578" spans="20:20" ht="18.75" customHeight="1" x14ac:dyDescent="0.35">
      <c r="T11578" s="246">
        <f t="shared" si="218"/>
        <v>0</v>
      </c>
    </row>
    <row r="11579" spans="20:20" ht="18.75" customHeight="1" x14ac:dyDescent="0.35">
      <c r="T11579" s="246">
        <f t="shared" si="218"/>
        <v>0</v>
      </c>
    </row>
    <row r="11580" spans="20:20" ht="18.75" customHeight="1" x14ac:dyDescent="0.35">
      <c r="T11580" s="246">
        <f t="shared" ref="T11580:T11643" si="219">R11580*0.01</f>
        <v>0</v>
      </c>
    </row>
    <row r="11581" spans="20:20" ht="18.75" customHeight="1" x14ac:dyDescent="0.35">
      <c r="T11581" s="246">
        <f t="shared" si="219"/>
        <v>0</v>
      </c>
    </row>
    <row r="11582" spans="20:20" ht="18.75" customHeight="1" x14ac:dyDescent="0.35">
      <c r="T11582" s="246">
        <f t="shared" si="219"/>
        <v>0</v>
      </c>
    </row>
    <row r="11583" spans="20:20" ht="18.75" customHeight="1" x14ac:dyDescent="0.35">
      <c r="T11583" s="246">
        <f t="shared" si="219"/>
        <v>0</v>
      </c>
    </row>
    <row r="11584" spans="20:20" ht="18.75" customHeight="1" x14ac:dyDescent="0.35">
      <c r="T11584" s="246">
        <f t="shared" si="219"/>
        <v>0</v>
      </c>
    </row>
    <row r="11585" spans="20:20" ht="18.75" customHeight="1" x14ac:dyDescent="0.35">
      <c r="T11585" s="246">
        <f t="shared" si="219"/>
        <v>0</v>
      </c>
    </row>
    <row r="11586" spans="20:20" ht="18.75" customHeight="1" x14ac:dyDescent="0.35">
      <c r="T11586" s="246">
        <f t="shared" si="219"/>
        <v>0</v>
      </c>
    </row>
    <row r="11587" spans="20:20" ht="18.75" customHeight="1" x14ac:dyDescent="0.35">
      <c r="T11587" s="246">
        <f t="shared" si="219"/>
        <v>0</v>
      </c>
    </row>
    <row r="11588" spans="20:20" ht="18.75" customHeight="1" x14ac:dyDescent="0.35">
      <c r="T11588" s="246">
        <f t="shared" si="219"/>
        <v>0</v>
      </c>
    </row>
    <row r="11589" spans="20:20" ht="18.75" customHeight="1" x14ac:dyDescent="0.35">
      <c r="T11589" s="246">
        <f t="shared" si="219"/>
        <v>0</v>
      </c>
    </row>
    <row r="11590" spans="20:20" ht="18.75" customHeight="1" x14ac:dyDescent="0.35">
      <c r="T11590" s="246">
        <f t="shared" si="219"/>
        <v>0</v>
      </c>
    </row>
    <row r="11591" spans="20:20" ht="18.75" customHeight="1" x14ac:dyDescent="0.35">
      <c r="T11591" s="246">
        <f t="shared" si="219"/>
        <v>0</v>
      </c>
    </row>
    <row r="11592" spans="20:20" ht="18.75" customHeight="1" x14ac:dyDescent="0.35">
      <c r="T11592" s="246">
        <f t="shared" si="219"/>
        <v>0</v>
      </c>
    </row>
    <row r="11593" spans="20:20" ht="18.75" customHeight="1" x14ac:dyDescent="0.35">
      <c r="T11593" s="246">
        <f t="shared" si="219"/>
        <v>0</v>
      </c>
    </row>
    <row r="11594" spans="20:20" ht="18.75" customHeight="1" x14ac:dyDescent="0.35">
      <c r="T11594" s="246">
        <f t="shared" si="219"/>
        <v>0</v>
      </c>
    </row>
    <row r="11595" spans="20:20" ht="18.75" customHeight="1" x14ac:dyDescent="0.35">
      <c r="T11595" s="246">
        <f t="shared" si="219"/>
        <v>0</v>
      </c>
    </row>
    <row r="11596" spans="20:20" ht="18.75" customHeight="1" x14ac:dyDescent="0.35">
      <c r="T11596" s="246">
        <f t="shared" si="219"/>
        <v>0</v>
      </c>
    </row>
    <row r="11597" spans="20:20" ht="18.75" customHeight="1" x14ac:dyDescent="0.35">
      <c r="T11597" s="246">
        <f t="shared" si="219"/>
        <v>0</v>
      </c>
    </row>
    <row r="11598" spans="20:20" ht="18.75" customHeight="1" x14ac:dyDescent="0.35">
      <c r="T11598" s="246">
        <f t="shared" si="219"/>
        <v>0</v>
      </c>
    </row>
    <row r="11599" spans="20:20" ht="18.75" customHeight="1" x14ac:dyDescent="0.35">
      <c r="T11599" s="246">
        <f t="shared" si="219"/>
        <v>0</v>
      </c>
    </row>
    <row r="11600" spans="20:20" ht="18.75" customHeight="1" x14ac:dyDescent="0.35">
      <c r="T11600" s="246">
        <f t="shared" si="219"/>
        <v>0</v>
      </c>
    </row>
    <row r="11601" spans="20:20" ht="18.75" customHeight="1" x14ac:dyDescent="0.35">
      <c r="T11601" s="246">
        <f t="shared" si="219"/>
        <v>0</v>
      </c>
    </row>
    <row r="11602" spans="20:20" ht="18.75" customHeight="1" x14ac:dyDescent="0.35">
      <c r="T11602" s="246">
        <f t="shared" si="219"/>
        <v>0</v>
      </c>
    </row>
    <row r="11603" spans="20:20" ht="18.75" customHeight="1" x14ac:dyDescent="0.35">
      <c r="T11603" s="246">
        <f t="shared" si="219"/>
        <v>0</v>
      </c>
    </row>
    <row r="11604" spans="20:20" ht="18.75" customHeight="1" x14ac:dyDescent="0.35">
      <c r="T11604" s="246">
        <f t="shared" si="219"/>
        <v>0</v>
      </c>
    </row>
    <row r="11605" spans="20:20" ht="18.75" customHeight="1" x14ac:dyDescent="0.35">
      <c r="T11605" s="246">
        <f t="shared" si="219"/>
        <v>0</v>
      </c>
    </row>
    <row r="11606" spans="20:20" ht="18.75" customHeight="1" x14ac:dyDescent="0.35">
      <c r="T11606" s="246">
        <f t="shared" si="219"/>
        <v>0</v>
      </c>
    </row>
    <row r="11607" spans="20:20" ht="18.75" customHeight="1" x14ac:dyDescent="0.35">
      <c r="T11607" s="246">
        <f t="shared" si="219"/>
        <v>0</v>
      </c>
    </row>
    <row r="11608" spans="20:20" ht="18.75" customHeight="1" x14ac:dyDescent="0.35">
      <c r="T11608" s="246">
        <f t="shared" si="219"/>
        <v>0</v>
      </c>
    </row>
    <row r="11609" spans="20:20" ht="18.75" customHeight="1" x14ac:dyDescent="0.35">
      <c r="T11609" s="246">
        <f t="shared" si="219"/>
        <v>0</v>
      </c>
    </row>
    <row r="11610" spans="20:20" ht="18.75" customHeight="1" x14ac:dyDescent="0.35">
      <c r="T11610" s="246">
        <f t="shared" si="219"/>
        <v>0</v>
      </c>
    </row>
    <row r="11611" spans="20:20" ht="18.75" customHeight="1" x14ac:dyDescent="0.35">
      <c r="T11611" s="246">
        <f t="shared" si="219"/>
        <v>0</v>
      </c>
    </row>
    <row r="11612" spans="20:20" ht="18.75" customHeight="1" x14ac:dyDescent="0.35">
      <c r="T11612" s="246">
        <f t="shared" si="219"/>
        <v>0</v>
      </c>
    </row>
    <row r="11613" spans="20:20" ht="18.75" customHeight="1" x14ac:dyDescent="0.35">
      <c r="T11613" s="246">
        <f t="shared" si="219"/>
        <v>0</v>
      </c>
    </row>
    <row r="11614" spans="20:20" ht="18.75" customHeight="1" x14ac:dyDescent="0.35">
      <c r="T11614" s="246">
        <f t="shared" si="219"/>
        <v>0</v>
      </c>
    </row>
    <row r="11615" spans="20:20" ht="18.75" customHeight="1" x14ac:dyDescent="0.35">
      <c r="T11615" s="246">
        <f t="shared" si="219"/>
        <v>0</v>
      </c>
    </row>
    <row r="11616" spans="20:20" ht="18.75" customHeight="1" x14ac:dyDescent="0.35">
      <c r="T11616" s="246">
        <f t="shared" si="219"/>
        <v>0</v>
      </c>
    </row>
    <row r="11617" spans="20:20" ht="18.75" customHeight="1" x14ac:dyDescent="0.35">
      <c r="T11617" s="246">
        <f t="shared" si="219"/>
        <v>0</v>
      </c>
    </row>
    <row r="11618" spans="20:20" ht="18.75" customHeight="1" x14ac:dyDescent="0.35">
      <c r="T11618" s="246">
        <f t="shared" si="219"/>
        <v>0</v>
      </c>
    </row>
    <row r="11619" spans="20:20" ht="18.75" customHeight="1" x14ac:dyDescent="0.35">
      <c r="T11619" s="246">
        <f t="shared" si="219"/>
        <v>0</v>
      </c>
    </row>
    <row r="11620" spans="20:20" ht="18.75" customHeight="1" x14ac:dyDescent="0.35">
      <c r="T11620" s="246">
        <f t="shared" si="219"/>
        <v>0</v>
      </c>
    </row>
    <row r="11621" spans="20:20" ht="18.75" customHeight="1" x14ac:dyDescent="0.35">
      <c r="T11621" s="246">
        <f t="shared" si="219"/>
        <v>0</v>
      </c>
    </row>
    <row r="11622" spans="20:20" ht="18.75" customHeight="1" x14ac:dyDescent="0.35">
      <c r="T11622" s="246">
        <f t="shared" si="219"/>
        <v>0</v>
      </c>
    </row>
    <row r="11623" spans="20:20" ht="18.75" customHeight="1" x14ac:dyDescent="0.35">
      <c r="T11623" s="246">
        <f t="shared" si="219"/>
        <v>0</v>
      </c>
    </row>
    <row r="11624" spans="20:20" ht="18.75" customHeight="1" x14ac:dyDescent="0.35">
      <c r="T11624" s="246">
        <f t="shared" si="219"/>
        <v>0</v>
      </c>
    </row>
    <row r="11625" spans="20:20" ht="18.75" customHeight="1" x14ac:dyDescent="0.35">
      <c r="T11625" s="246">
        <f t="shared" si="219"/>
        <v>0</v>
      </c>
    </row>
    <row r="11626" spans="20:20" ht="18.75" customHeight="1" x14ac:dyDescent="0.35">
      <c r="T11626" s="246">
        <f t="shared" si="219"/>
        <v>0</v>
      </c>
    </row>
    <row r="11627" spans="20:20" ht="18.75" customHeight="1" x14ac:dyDescent="0.35">
      <c r="T11627" s="246">
        <f t="shared" si="219"/>
        <v>0</v>
      </c>
    </row>
    <row r="11628" spans="20:20" ht="18.75" customHeight="1" x14ac:dyDescent="0.35">
      <c r="T11628" s="246">
        <f t="shared" si="219"/>
        <v>0</v>
      </c>
    </row>
    <row r="11629" spans="20:20" ht="18.75" customHeight="1" x14ac:dyDescent="0.35">
      <c r="T11629" s="246">
        <f t="shared" si="219"/>
        <v>0</v>
      </c>
    </row>
    <row r="11630" spans="20:20" ht="18.75" customHeight="1" x14ac:dyDescent="0.35">
      <c r="T11630" s="246">
        <f t="shared" si="219"/>
        <v>0</v>
      </c>
    </row>
    <row r="11631" spans="20:20" ht="18.75" customHeight="1" x14ac:dyDescent="0.35">
      <c r="T11631" s="246">
        <f t="shared" si="219"/>
        <v>0</v>
      </c>
    </row>
    <row r="11632" spans="20:20" ht="18.75" customHeight="1" x14ac:dyDescent="0.35">
      <c r="T11632" s="246">
        <f t="shared" si="219"/>
        <v>0</v>
      </c>
    </row>
    <row r="11633" spans="20:20" ht="18.75" customHeight="1" x14ac:dyDescent="0.35">
      <c r="T11633" s="246">
        <f t="shared" si="219"/>
        <v>0</v>
      </c>
    </row>
    <row r="11634" spans="20:20" ht="18.75" customHeight="1" x14ac:dyDescent="0.35">
      <c r="T11634" s="246">
        <f t="shared" si="219"/>
        <v>0</v>
      </c>
    </row>
    <row r="11635" spans="20:20" ht="18.75" customHeight="1" x14ac:dyDescent="0.35">
      <c r="T11635" s="246">
        <f t="shared" si="219"/>
        <v>0</v>
      </c>
    </row>
    <row r="11636" spans="20:20" ht="18.75" customHeight="1" x14ac:dyDescent="0.35">
      <c r="T11636" s="246">
        <f t="shared" si="219"/>
        <v>0</v>
      </c>
    </row>
    <row r="11637" spans="20:20" ht="18.75" customHeight="1" x14ac:dyDescent="0.35">
      <c r="T11637" s="246">
        <f t="shared" si="219"/>
        <v>0</v>
      </c>
    </row>
    <row r="11638" spans="20:20" ht="18.75" customHeight="1" x14ac:dyDescent="0.35">
      <c r="T11638" s="246">
        <f t="shared" si="219"/>
        <v>0</v>
      </c>
    </row>
    <row r="11639" spans="20:20" ht="18.75" customHeight="1" x14ac:dyDescent="0.35">
      <c r="T11639" s="246">
        <f t="shared" si="219"/>
        <v>0</v>
      </c>
    </row>
    <row r="11640" spans="20:20" ht="18.75" customHeight="1" x14ac:dyDescent="0.35">
      <c r="T11640" s="246">
        <f t="shared" si="219"/>
        <v>0</v>
      </c>
    </row>
    <row r="11641" spans="20:20" ht="18.75" customHeight="1" x14ac:dyDescent="0.35">
      <c r="T11641" s="246">
        <f t="shared" si="219"/>
        <v>0</v>
      </c>
    </row>
    <row r="11642" spans="20:20" ht="18.75" customHeight="1" x14ac:dyDescent="0.35">
      <c r="T11642" s="246">
        <f t="shared" si="219"/>
        <v>0</v>
      </c>
    </row>
    <row r="11643" spans="20:20" ht="18.75" customHeight="1" x14ac:dyDescent="0.35">
      <c r="T11643" s="246">
        <f t="shared" si="219"/>
        <v>0</v>
      </c>
    </row>
    <row r="11644" spans="20:20" ht="18.75" customHeight="1" x14ac:dyDescent="0.35">
      <c r="T11644" s="246">
        <f t="shared" ref="T11644:T11707" si="220">R11644*0.01</f>
        <v>0</v>
      </c>
    </row>
    <row r="11645" spans="20:20" ht="18.75" customHeight="1" x14ac:dyDescent="0.35">
      <c r="T11645" s="246">
        <f t="shared" si="220"/>
        <v>0</v>
      </c>
    </row>
    <row r="11646" spans="20:20" ht="18.75" customHeight="1" x14ac:dyDescent="0.35">
      <c r="T11646" s="246">
        <f t="shared" si="220"/>
        <v>0</v>
      </c>
    </row>
    <row r="11647" spans="20:20" ht="18.75" customHeight="1" x14ac:dyDescent="0.35">
      <c r="T11647" s="246">
        <f t="shared" si="220"/>
        <v>0</v>
      </c>
    </row>
    <row r="11648" spans="20:20" ht="18.75" customHeight="1" x14ac:dyDescent="0.35">
      <c r="T11648" s="246">
        <f t="shared" si="220"/>
        <v>0</v>
      </c>
    </row>
    <row r="11649" spans="20:20" ht="18.75" customHeight="1" x14ac:dyDescent="0.35">
      <c r="T11649" s="246">
        <f t="shared" si="220"/>
        <v>0</v>
      </c>
    </row>
    <row r="11650" spans="20:20" ht="18.75" customHeight="1" x14ac:dyDescent="0.35">
      <c r="T11650" s="246">
        <f t="shared" si="220"/>
        <v>0</v>
      </c>
    </row>
    <row r="11651" spans="20:20" ht="18.75" customHeight="1" x14ac:dyDescent="0.35">
      <c r="T11651" s="246">
        <f t="shared" si="220"/>
        <v>0</v>
      </c>
    </row>
    <row r="11652" spans="20:20" ht="18.75" customHeight="1" x14ac:dyDescent="0.35">
      <c r="T11652" s="246">
        <f t="shared" si="220"/>
        <v>0</v>
      </c>
    </row>
    <row r="11653" spans="20:20" ht="18.75" customHeight="1" x14ac:dyDescent="0.35">
      <c r="T11653" s="246">
        <f t="shared" si="220"/>
        <v>0</v>
      </c>
    </row>
    <row r="11654" spans="20:20" ht="18.75" customHeight="1" x14ac:dyDescent="0.35">
      <c r="T11654" s="246">
        <f t="shared" si="220"/>
        <v>0</v>
      </c>
    </row>
    <row r="11655" spans="20:20" ht="18.75" customHeight="1" x14ac:dyDescent="0.35">
      <c r="T11655" s="246">
        <f t="shared" si="220"/>
        <v>0</v>
      </c>
    </row>
    <row r="11656" spans="20:20" ht="18.75" customHeight="1" x14ac:dyDescent="0.35">
      <c r="T11656" s="246">
        <f t="shared" si="220"/>
        <v>0</v>
      </c>
    </row>
    <row r="11657" spans="20:20" ht="18.75" customHeight="1" x14ac:dyDescent="0.35">
      <c r="T11657" s="246">
        <f t="shared" si="220"/>
        <v>0</v>
      </c>
    </row>
    <row r="11658" spans="20:20" ht="18.75" customHeight="1" x14ac:dyDescent="0.35">
      <c r="T11658" s="246">
        <f t="shared" si="220"/>
        <v>0</v>
      </c>
    </row>
    <row r="11659" spans="20:20" ht="18.75" customHeight="1" x14ac:dyDescent="0.35">
      <c r="T11659" s="246">
        <f t="shared" si="220"/>
        <v>0</v>
      </c>
    </row>
    <row r="11660" spans="20:20" ht="18.75" customHeight="1" x14ac:dyDescent="0.35">
      <c r="T11660" s="246">
        <f t="shared" si="220"/>
        <v>0</v>
      </c>
    </row>
    <row r="11661" spans="20:20" ht="18.75" customHeight="1" x14ac:dyDescent="0.35">
      <c r="T11661" s="246">
        <f t="shared" si="220"/>
        <v>0</v>
      </c>
    </row>
    <row r="11662" spans="20:20" ht="18.75" customHeight="1" x14ac:dyDescent="0.35">
      <c r="T11662" s="246">
        <f t="shared" si="220"/>
        <v>0</v>
      </c>
    </row>
    <row r="11663" spans="20:20" ht="18.75" customHeight="1" x14ac:dyDescent="0.35">
      <c r="T11663" s="246">
        <f t="shared" si="220"/>
        <v>0</v>
      </c>
    </row>
    <row r="11664" spans="20:20" ht="18.75" customHeight="1" x14ac:dyDescent="0.35">
      <c r="T11664" s="246">
        <f t="shared" si="220"/>
        <v>0</v>
      </c>
    </row>
    <row r="11665" spans="20:20" ht="18.75" customHeight="1" x14ac:dyDescent="0.35">
      <c r="T11665" s="246">
        <f t="shared" si="220"/>
        <v>0</v>
      </c>
    </row>
    <row r="11666" spans="20:20" ht="18.75" customHeight="1" x14ac:dyDescent="0.35">
      <c r="T11666" s="246">
        <f t="shared" si="220"/>
        <v>0</v>
      </c>
    </row>
    <row r="11667" spans="20:20" ht="18.75" customHeight="1" x14ac:dyDescent="0.35">
      <c r="T11667" s="246">
        <f t="shared" si="220"/>
        <v>0</v>
      </c>
    </row>
    <row r="11668" spans="20:20" ht="18.75" customHeight="1" x14ac:dyDescent="0.35">
      <c r="T11668" s="246">
        <f t="shared" si="220"/>
        <v>0</v>
      </c>
    </row>
    <row r="11669" spans="20:20" ht="18.75" customHeight="1" x14ac:dyDescent="0.35">
      <c r="T11669" s="246">
        <f t="shared" si="220"/>
        <v>0</v>
      </c>
    </row>
    <row r="11670" spans="20:20" ht="18.75" customHeight="1" x14ac:dyDescent="0.35">
      <c r="T11670" s="246">
        <f t="shared" si="220"/>
        <v>0</v>
      </c>
    </row>
    <row r="11671" spans="20:20" ht="18.75" customHeight="1" x14ac:dyDescent="0.35">
      <c r="T11671" s="246">
        <f t="shared" si="220"/>
        <v>0</v>
      </c>
    </row>
    <row r="11672" spans="20:20" ht="18.75" customHeight="1" x14ac:dyDescent="0.35">
      <c r="T11672" s="246">
        <f t="shared" si="220"/>
        <v>0</v>
      </c>
    </row>
    <row r="11673" spans="20:20" ht="18.75" customHeight="1" x14ac:dyDescent="0.35">
      <c r="T11673" s="246">
        <f t="shared" si="220"/>
        <v>0</v>
      </c>
    </row>
    <row r="11674" spans="20:20" ht="18.75" customHeight="1" x14ac:dyDescent="0.35">
      <c r="T11674" s="246">
        <f t="shared" si="220"/>
        <v>0</v>
      </c>
    </row>
    <row r="11675" spans="20:20" ht="18.75" customHeight="1" x14ac:dyDescent="0.35">
      <c r="T11675" s="246">
        <f t="shared" si="220"/>
        <v>0</v>
      </c>
    </row>
    <row r="11676" spans="20:20" ht="18.75" customHeight="1" x14ac:dyDescent="0.35">
      <c r="T11676" s="246">
        <f t="shared" si="220"/>
        <v>0</v>
      </c>
    </row>
    <row r="11677" spans="20:20" ht="18.75" customHeight="1" x14ac:dyDescent="0.35">
      <c r="T11677" s="246">
        <f t="shared" si="220"/>
        <v>0</v>
      </c>
    </row>
    <row r="11678" spans="20:20" ht="18.75" customHeight="1" x14ac:dyDescent="0.35">
      <c r="T11678" s="246">
        <f t="shared" si="220"/>
        <v>0</v>
      </c>
    </row>
    <row r="11679" spans="20:20" ht="18.75" customHeight="1" x14ac:dyDescent="0.35">
      <c r="T11679" s="246">
        <f t="shared" si="220"/>
        <v>0</v>
      </c>
    </row>
    <row r="11680" spans="20:20" ht="18.75" customHeight="1" x14ac:dyDescent="0.35">
      <c r="T11680" s="246">
        <f t="shared" si="220"/>
        <v>0</v>
      </c>
    </row>
    <row r="11681" spans="20:20" ht="18.75" customHeight="1" x14ac:dyDescent="0.35">
      <c r="T11681" s="246">
        <f t="shared" si="220"/>
        <v>0</v>
      </c>
    </row>
    <row r="11682" spans="20:20" ht="18.75" customHeight="1" x14ac:dyDescent="0.35">
      <c r="T11682" s="246">
        <f t="shared" si="220"/>
        <v>0</v>
      </c>
    </row>
    <row r="11683" spans="20:20" ht="18.75" customHeight="1" x14ac:dyDescent="0.35">
      <c r="T11683" s="246">
        <f t="shared" si="220"/>
        <v>0</v>
      </c>
    </row>
    <row r="11684" spans="20:20" ht="18.75" customHeight="1" x14ac:dyDescent="0.35">
      <c r="T11684" s="246">
        <f t="shared" si="220"/>
        <v>0</v>
      </c>
    </row>
    <row r="11685" spans="20:20" ht="18.75" customHeight="1" x14ac:dyDescent="0.35">
      <c r="T11685" s="246">
        <f t="shared" si="220"/>
        <v>0</v>
      </c>
    </row>
    <row r="11686" spans="20:20" ht="18.75" customHeight="1" x14ac:dyDescent="0.35">
      <c r="T11686" s="246">
        <f t="shared" si="220"/>
        <v>0</v>
      </c>
    </row>
    <row r="11687" spans="20:20" ht="18.75" customHeight="1" x14ac:dyDescent="0.35">
      <c r="T11687" s="246">
        <f t="shared" si="220"/>
        <v>0</v>
      </c>
    </row>
    <row r="11688" spans="20:20" ht="18.75" customHeight="1" x14ac:dyDescent="0.35">
      <c r="T11688" s="246">
        <f t="shared" si="220"/>
        <v>0</v>
      </c>
    </row>
    <row r="11689" spans="20:20" ht="18.75" customHeight="1" x14ac:dyDescent="0.35">
      <c r="T11689" s="246">
        <f t="shared" si="220"/>
        <v>0</v>
      </c>
    </row>
    <row r="11690" spans="20:20" ht="18.75" customHeight="1" x14ac:dyDescent="0.35">
      <c r="T11690" s="246">
        <f t="shared" si="220"/>
        <v>0</v>
      </c>
    </row>
    <row r="11691" spans="20:20" ht="18.75" customHeight="1" x14ac:dyDescent="0.35">
      <c r="T11691" s="246">
        <f t="shared" si="220"/>
        <v>0</v>
      </c>
    </row>
    <row r="11692" spans="20:20" ht="18.75" customHeight="1" x14ac:dyDescent="0.35">
      <c r="T11692" s="246">
        <f t="shared" si="220"/>
        <v>0</v>
      </c>
    </row>
    <row r="11693" spans="20:20" ht="18.75" customHeight="1" x14ac:dyDescent="0.35">
      <c r="T11693" s="246">
        <f t="shared" si="220"/>
        <v>0</v>
      </c>
    </row>
    <row r="11694" spans="20:20" ht="18.75" customHeight="1" x14ac:dyDescent="0.35">
      <c r="T11694" s="246">
        <f t="shared" si="220"/>
        <v>0</v>
      </c>
    </row>
    <row r="11695" spans="20:20" ht="18.75" customHeight="1" x14ac:dyDescent="0.35">
      <c r="T11695" s="246">
        <f t="shared" si="220"/>
        <v>0</v>
      </c>
    </row>
    <row r="11696" spans="20:20" ht="18.75" customHeight="1" x14ac:dyDescent="0.35">
      <c r="T11696" s="246">
        <f t="shared" si="220"/>
        <v>0</v>
      </c>
    </row>
    <row r="11697" spans="20:20" ht="18.75" customHeight="1" x14ac:dyDescent="0.35">
      <c r="T11697" s="246">
        <f t="shared" si="220"/>
        <v>0</v>
      </c>
    </row>
    <row r="11698" spans="20:20" ht="18.75" customHeight="1" x14ac:dyDescent="0.35">
      <c r="T11698" s="246">
        <f t="shared" si="220"/>
        <v>0</v>
      </c>
    </row>
    <row r="11699" spans="20:20" ht="18.75" customHeight="1" x14ac:dyDescent="0.35">
      <c r="T11699" s="246">
        <f t="shared" si="220"/>
        <v>0</v>
      </c>
    </row>
    <row r="11700" spans="20:20" ht="18.75" customHeight="1" x14ac:dyDescent="0.35">
      <c r="T11700" s="246">
        <f t="shared" si="220"/>
        <v>0</v>
      </c>
    </row>
    <row r="11701" spans="20:20" ht="18.75" customHeight="1" x14ac:dyDescent="0.35">
      <c r="T11701" s="246">
        <f t="shared" si="220"/>
        <v>0</v>
      </c>
    </row>
    <row r="11702" spans="20:20" ht="18.75" customHeight="1" x14ac:dyDescent="0.35">
      <c r="T11702" s="246">
        <f t="shared" si="220"/>
        <v>0</v>
      </c>
    </row>
    <row r="11703" spans="20:20" ht="18.75" customHeight="1" x14ac:dyDescent="0.35">
      <c r="T11703" s="246">
        <f t="shared" si="220"/>
        <v>0</v>
      </c>
    </row>
    <row r="11704" spans="20:20" ht="18.75" customHeight="1" x14ac:dyDescent="0.35">
      <c r="T11704" s="246">
        <f t="shared" si="220"/>
        <v>0</v>
      </c>
    </row>
    <row r="11705" spans="20:20" ht="18.75" customHeight="1" x14ac:dyDescent="0.35">
      <c r="T11705" s="246">
        <f t="shared" si="220"/>
        <v>0</v>
      </c>
    </row>
    <row r="11706" spans="20:20" ht="18.75" customHeight="1" x14ac:dyDescent="0.35">
      <c r="T11706" s="246">
        <f t="shared" si="220"/>
        <v>0</v>
      </c>
    </row>
    <row r="11707" spans="20:20" ht="18.75" customHeight="1" x14ac:dyDescent="0.35">
      <c r="T11707" s="246">
        <f t="shared" si="220"/>
        <v>0</v>
      </c>
    </row>
    <row r="11708" spans="20:20" ht="18.75" customHeight="1" x14ac:dyDescent="0.35">
      <c r="T11708" s="246">
        <f t="shared" ref="T11708:T11771" si="221">R11708*0.01</f>
        <v>0</v>
      </c>
    </row>
    <row r="11709" spans="20:20" ht="18.75" customHeight="1" x14ac:dyDescent="0.35">
      <c r="T11709" s="246">
        <f t="shared" si="221"/>
        <v>0</v>
      </c>
    </row>
    <row r="11710" spans="20:20" ht="18.75" customHeight="1" x14ac:dyDescent="0.35">
      <c r="T11710" s="246">
        <f t="shared" si="221"/>
        <v>0</v>
      </c>
    </row>
    <row r="11711" spans="20:20" ht="18.75" customHeight="1" x14ac:dyDescent="0.35">
      <c r="T11711" s="246">
        <f t="shared" si="221"/>
        <v>0</v>
      </c>
    </row>
    <row r="11712" spans="20:20" ht="18.75" customHeight="1" x14ac:dyDescent="0.35">
      <c r="T11712" s="246">
        <f t="shared" si="221"/>
        <v>0</v>
      </c>
    </row>
    <row r="11713" spans="20:20" ht="18.75" customHeight="1" x14ac:dyDescent="0.35">
      <c r="T11713" s="246">
        <f t="shared" si="221"/>
        <v>0</v>
      </c>
    </row>
    <row r="11714" spans="20:20" ht="18.75" customHeight="1" x14ac:dyDescent="0.35">
      <c r="T11714" s="246">
        <f t="shared" si="221"/>
        <v>0</v>
      </c>
    </row>
    <row r="11715" spans="20:20" ht="18.75" customHeight="1" x14ac:dyDescent="0.35">
      <c r="T11715" s="246">
        <f t="shared" si="221"/>
        <v>0</v>
      </c>
    </row>
    <row r="11716" spans="20:20" ht="18.75" customHeight="1" x14ac:dyDescent="0.35">
      <c r="T11716" s="246">
        <f t="shared" si="221"/>
        <v>0</v>
      </c>
    </row>
    <row r="11717" spans="20:20" ht="18.75" customHeight="1" x14ac:dyDescent="0.35">
      <c r="T11717" s="246">
        <f t="shared" si="221"/>
        <v>0</v>
      </c>
    </row>
    <row r="11718" spans="20:20" ht="18.75" customHeight="1" x14ac:dyDescent="0.35">
      <c r="T11718" s="246">
        <f t="shared" si="221"/>
        <v>0</v>
      </c>
    </row>
    <row r="11719" spans="20:20" ht="18.75" customHeight="1" x14ac:dyDescent="0.35">
      <c r="T11719" s="246">
        <f t="shared" si="221"/>
        <v>0</v>
      </c>
    </row>
    <row r="11720" spans="20:20" ht="18.75" customHeight="1" x14ac:dyDescent="0.35">
      <c r="T11720" s="246">
        <f t="shared" si="221"/>
        <v>0</v>
      </c>
    </row>
    <row r="11721" spans="20:20" ht="18.75" customHeight="1" x14ac:dyDescent="0.35">
      <c r="T11721" s="246">
        <f t="shared" si="221"/>
        <v>0</v>
      </c>
    </row>
    <row r="11722" spans="20:20" ht="18.75" customHeight="1" x14ac:dyDescent="0.35">
      <c r="T11722" s="246">
        <f t="shared" si="221"/>
        <v>0</v>
      </c>
    </row>
    <row r="11723" spans="20:20" ht="18.75" customHeight="1" x14ac:dyDescent="0.35">
      <c r="T11723" s="246">
        <f t="shared" si="221"/>
        <v>0</v>
      </c>
    </row>
    <row r="11724" spans="20:20" ht="18.75" customHeight="1" x14ac:dyDescent="0.35">
      <c r="T11724" s="246">
        <f t="shared" si="221"/>
        <v>0</v>
      </c>
    </row>
    <row r="11725" spans="20:20" ht="18.75" customHeight="1" x14ac:dyDescent="0.35">
      <c r="T11725" s="246">
        <f t="shared" si="221"/>
        <v>0</v>
      </c>
    </row>
    <row r="11726" spans="20:20" ht="18.75" customHeight="1" x14ac:dyDescent="0.35">
      <c r="T11726" s="246">
        <f t="shared" si="221"/>
        <v>0</v>
      </c>
    </row>
    <row r="11727" spans="20:20" ht="18.75" customHeight="1" x14ac:dyDescent="0.35">
      <c r="T11727" s="246">
        <f t="shared" si="221"/>
        <v>0</v>
      </c>
    </row>
    <row r="11728" spans="20:20" ht="18.75" customHeight="1" x14ac:dyDescent="0.35">
      <c r="T11728" s="246">
        <f t="shared" si="221"/>
        <v>0</v>
      </c>
    </row>
    <row r="11729" spans="20:20" ht="18.75" customHeight="1" x14ac:dyDescent="0.35">
      <c r="T11729" s="246">
        <f t="shared" si="221"/>
        <v>0</v>
      </c>
    </row>
    <row r="11730" spans="20:20" ht="18.75" customHeight="1" x14ac:dyDescent="0.35">
      <c r="T11730" s="246">
        <f t="shared" si="221"/>
        <v>0</v>
      </c>
    </row>
    <row r="11731" spans="20:20" ht="18.75" customHeight="1" x14ac:dyDescent="0.35">
      <c r="T11731" s="246">
        <f t="shared" si="221"/>
        <v>0</v>
      </c>
    </row>
    <row r="11732" spans="20:20" ht="18.75" customHeight="1" x14ac:dyDescent="0.35">
      <c r="T11732" s="246">
        <f t="shared" si="221"/>
        <v>0</v>
      </c>
    </row>
    <row r="11733" spans="20:20" ht="18.75" customHeight="1" x14ac:dyDescent="0.35">
      <c r="T11733" s="246">
        <f t="shared" si="221"/>
        <v>0</v>
      </c>
    </row>
    <row r="11734" spans="20:20" ht="18.75" customHeight="1" x14ac:dyDescent="0.35">
      <c r="T11734" s="246">
        <f t="shared" si="221"/>
        <v>0</v>
      </c>
    </row>
    <row r="11735" spans="20:20" ht="18.75" customHeight="1" x14ac:dyDescent="0.35">
      <c r="T11735" s="246">
        <f t="shared" si="221"/>
        <v>0</v>
      </c>
    </row>
    <row r="11736" spans="20:20" ht="18.75" customHeight="1" x14ac:dyDescent="0.35">
      <c r="T11736" s="246">
        <f t="shared" si="221"/>
        <v>0</v>
      </c>
    </row>
    <row r="11737" spans="20:20" ht="18.75" customHeight="1" x14ac:dyDescent="0.35">
      <c r="T11737" s="246">
        <f t="shared" si="221"/>
        <v>0</v>
      </c>
    </row>
    <row r="11738" spans="20:20" ht="18.75" customHeight="1" x14ac:dyDescent="0.35">
      <c r="T11738" s="246">
        <f t="shared" si="221"/>
        <v>0</v>
      </c>
    </row>
    <row r="11739" spans="20:20" ht="18.75" customHeight="1" x14ac:dyDescent="0.35">
      <c r="T11739" s="246">
        <f t="shared" si="221"/>
        <v>0</v>
      </c>
    </row>
    <row r="11740" spans="20:20" ht="18.75" customHeight="1" x14ac:dyDescent="0.35">
      <c r="T11740" s="246">
        <f t="shared" si="221"/>
        <v>0</v>
      </c>
    </row>
    <row r="11741" spans="20:20" ht="18.75" customHeight="1" x14ac:dyDescent="0.35">
      <c r="T11741" s="246">
        <f t="shared" si="221"/>
        <v>0</v>
      </c>
    </row>
    <row r="11742" spans="20:20" ht="18.75" customHeight="1" x14ac:dyDescent="0.35">
      <c r="T11742" s="246">
        <f t="shared" si="221"/>
        <v>0</v>
      </c>
    </row>
    <row r="11743" spans="20:20" ht="18.75" customHeight="1" x14ac:dyDescent="0.35">
      <c r="T11743" s="246">
        <f t="shared" si="221"/>
        <v>0</v>
      </c>
    </row>
    <row r="11744" spans="20:20" ht="18.75" customHeight="1" x14ac:dyDescent="0.35">
      <c r="T11744" s="246">
        <f t="shared" si="221"/>
        <v>0</v>
      </c>
    </row>
    <row r="11745" spans="20:20" ht="18.75" customHeight="1" x14ac:dyDescent="0.35">
      <c r="T11745" s="246">
        <f t="shared" si="221"/>
        <v>0</v>
      </c>
    </row>
    <row r="11746" spans="20:20" ht="18.75" customHeight="1" x14ac:dyDescent="0.35">
      <c r="T11746" s="246">
        <f t="shared" si="221"/>
        <v>0</v>
      </c>
    </row>
    <row r="11747" spans="20:20" ht="18.75" customHeight="1" x14ac:dyDescent="0.35">
      <c r="T11747" s="246">
        <f t="shared" si="221"/>
        <v>0</v>
      </c>
    </row>
    <row r="11748" spans="20:20" ht="18.75" customHeight="1" x14ac:dyDescent="0.35">
      <c r="T11748" s="246">
        <f t="shared" si="221"/>
        <v>0</v>
      </c>
    </row>
    <row r="11749" spans="20:20" ht="18.75" customHeight="1" x14ac:dyDescent="0.35">
      <c r="T11749" s="246">
        <f t="shared" si="221"/>
        <v>0</v>
      </c>
    </row>
    <row r="11750" spans="20:20" ht="18.75" customHeight="1" x14ac:dyDescent="0.35">
      <c r="T11750" s="246">
        <f t="shared" si="221"/>
        <v>0</v>
      </c>
    </row>
    <row r="11751" spans="20:20" ht="18.75" customHeight="1" x14ac:dyDescent="0.35">
      <c r="T11751" s="246">
        <f t="shared" si="221"/>
        <v>0</v>
      </c>
    </row>
    <row r="11752" spans="20:20" ht="18.75" customHeight="1" x14ac:dyDescent="0.35">
      <c r="T11752" s="246">
        <f t="shared" si="221"/>
        <v>0</v>
      </c>
    </row>
    <row r="11753" spans="20:20" ht="18.75" customHeight="1" x14ac:dyDescent="0.35">
      <c r="T11753" s="246">
        <f t="shared" si="221"/>
        <v>0</v>
      </c>
    </row>
    <row r="11754" spans="20:20" ht="18.75" customHeight="1" x14ac:dyDescent="0.35">
      <c r="T11754" s="246">
        <f t="shared" si="221"/>
        <v>0</v>
      </c>
    </row>
    <row r="11755" spans="20:20" ht="18.75" customHeight="1" x14ac:dyDescent="0.35">
      <c r="T11755" s="246">
        <f t="shared" si="221"/>
        <v>0</v>
      </c>
    </row>
    <row r="11756" spans="20:20" ht="18.75" customHeight="1" x14ac:dyDescent="0.35">
      <c r="T11756" s="246">
        <f t="shared" si="221"/>
        <v>0</v>
      </c>
    </row>
    <row r="11757" spans="20:20" ht="18.75" customHeight="1" x14ac:dyDescent="0.35">
      <c r="T11757" s="246">
        <f t="shared" si="221"/>
        <v>0</v>
      </c>
    </row>
    <row r="11758" spans="20:20" ht="18.75" customHeight="1" x14ac:dyDescent="0.35">
      <c r="T11758" s="246">
        <f t="shared" si="221"/>
        <v>0</v>
      </c>
    </row>
    <row r="11759" spans="20:20" ht="18.75" customHeight="1" x14ac:dyDescent="0.35">
      <c r="T11759" s="246">
        <f t="shared" si="221"/>
        <v>0</v>
      </c>
    </row>
    <row r="11760" spans="20:20" ht="18.75" customHeight="1" x14ac:dyDescent="0.35">
      <c r="T11760" s="246">
        <f t="shared" si="221"/>
        <v>0</v>
      </c>
    </row>
    <row r="11761" spans="20:20" ht="18.75" customHeight="1" x14ac:dyDescent="0.35">
      <c r="T11761" s="246">
        <f t="shared" si="221"/>
        <v>0</v>
      </c>
    </row>
    <row r="11762" spans="20:20" ht="18.75" customHeight="1" x14ac:dyDescent="0.35">
      <c r="T11762" s="246">
        <f t="shared" si="221"/>
        <v>0</v>
      </c>
    </row>
    <row r="11763" spans="20:20" ht="18.75" customHeight="1" x14ac:dyDescent="0.35">
      <c r="T11763" s="246">
        <f t="shared" si="221"/>
        <v>0</v>
      </c>
    </row>
    <row r="11764" spans="20:20" ht="18.75" customHeight="1" x14ac:dyDescent="0.35">
      <c r="T11764" s="246">
        <f t="shared" si="221"/>
        <v>0</v>
      </c>
    </row>
    <row r="11765" spans="20:20" ht="18.75" customHeight="1" x14ac:dyDescent="0.35">
      <c r="T11765" s="246">
        <f t="shared" si="221"/>
        <v>0</v>
      </c>
    </row>
    <row r="11766" spans="20:20" ht="18.75" customHeight="1" x14ac:dyDescent="0.35">
      <c r="T11766" s="246">
        <f t="shared" si="221"/>
        <v>0</v>
      </c>
    </row>
    <row r="11767" spans="20:20" ht="18.75" customHeight="1" x14ac:dyDescent="0.35">
      <c r="T11767" s="246">
        <f t="shared" si="221"/>
        <v>0</v>
      </c>
    </row>
    <row r="11768" spans="20:20" ht="18.75" customHeight="1" x14ac:dyDescent="0.35">
      <c r="T11768" s="246">
        <f t="shared" si="221"/>
        <v>0</v>
      </c>
    </row>
    <row r="11769" spans="20:20" ht="18.75" customHeight="1" x14ac:dyDescent="0.35">
      <c r="T11769" s="246">
        <f t="shared" si="221"/>
        <v>0</v>
      </c>
    </row>
    <row r="11770" spans="20:20" ht="18.75" customHeight="1" x14ac:dyDescent="0.35">
      <c r="T11770" s="246">
        <f t="shared" si="221"/>
        <v>0</v>
      </c>
    </row>
    <row r="11771" spans="20:20" ht="18.75" customHeight="1" x14ac:dyDescent="0.35">
      <c r="T11771" s="246">
        <f t="shared" si="221"/>
        <v>0</v>
      </c>
    </row>
    <row r="11772" spans="20:20" ht="18.75" customHeight="1" x14ac:dyDescent="0.35">
      <c r="T11772" s="246">
        <f t="shared" ref="T11772:T11835" si="222">R11772*0.01</f>
        <v>0</v>
      </c>
    </row>
    <row r="11773" spans="20:20" ht="18.75" customHeight="1" x14ac:dyDescent="0.35">
      <c r="T11773" s="246">
        <f t="shared" si="222"/>
        <v>0</v>
      </c>
    </row>
    <row r="11774" spans="20:20" ht="18.75" customHeight="1" x14ac:dyDescent="0.35">
      <c r="T11774" s="246">
        <f t="shared" si="222"/>
        <v>0</v>
      </c>
    </row>
    <row r="11775" spans="20:20" ht="18.75" customHeight="1" x14ac:dyDescent="0.35">
      <c r="T11775" s="246">
        <f t="shared" si="222"/>
        <v>0</v>
      </c>
    </row>
    <row r="11776" spans="20:20" ht="18.75" customHeight="1" x14ac:dyDescent="0.35">
      <c r="T11776" s="246">
        <f t="shared" si="222"/>
        <v>0</v>
      </c>
    </row>
    <row r="11777" spans="20:20" ht="18.75" customHeight="1" x14ac:dyDescent="0.35">
      <c r="T11777" s="246">
        <f t="shared" si="222"/>
        <v>0</v>
      </c>
    </row>
    <row r="11778" spans="20:20" ht="18.75" customHeight="1" x14ac:dyDescent="0.35">
      <c r="T11778" s="246">
        <f t="shared" si="222"/>
        <v>0</v>
      </c>
    </row>
    <row r="11779" spans="20:20" ht="18.75" customHeight="1" x14ac:dyDescent="0.35">
      <c r="T11779" s="246">
        <f t="shared" si="222"/>
        <v>0</v>
      </c>
    </row>
    <row r="11780" spans="20:20" ht="18.75" customHeight="1" x14ac:dyDescent="0.35">
      <c r="T11780" s="246">
        <f t="shared" si="222"/>
        <v>0</v>
      </c>
    </row>
    <row r="11781" spans="20:20" ht="18.75" customHeight="1" x14ac:dyDescent="0.35">
      <c r="T11781" s="246">
        <f t="shared" si="222"/>
        <v>0</v>
      </c>
    </row>
    <row r="11782" spans="20:20" ht="18.75" customHeight="1" x14ac:dyDescent="0.35">
      <c r="T11782" s="246">
        <f t="shared" si="222"/>
        <v>0</v>
      </c>
    </row>
    <row r="11783" spans="20:20" ht="18.75" customHeight="1" x14ac:dyDescent="0.35">
      <c r="T11783" s="246">
        <f t="shared" si="222"/>
        <v>0</v>
      </c>
    </row>
    <row r="11784" spans="20:20" ht="18.75" customHeight="1" x14ac:dyDescent="0.35">
      <c r="T11784" s="246">
        <f t="shared" si="222"/>
        <v>0</v>
      </c>
    </row>
    <row r="11785" spans="20:20" ht="18.75" customHeight="1" x14ac:dyDescent="0.35">
      <c r="T11785" s="246">
        <f t="shared" si="222"/>
        <v>0</v>
      </c>
    </row>
    <row r="11786" spans="20:20" ht="18.75" customHeight="1" x14ac:dyDescent="0.35">
      <c r="T11786" s="246">
        <f t="shared" si="222"/>
        <v>0</v>
      </c>
    </row>
    <row r="11787" spans="20:20" ht="18.75" customHeight="1" x14ac:dyDescent="0.35">
      <c r="T11787" s="246">
        <f t="shared" si="222"/>
        <v>0</v>
      </c>
    </row>
    <row r="11788" spans="20:20" ht="18.75" customHeight="1" x14ac:dyDescent="0.35">
      <c r="T11788" s="246">
        <f t="shared" si="222"/>
        <v>0</v>
      </c>
    </row>
    <row r="11789" spans="20:20" ht="18.75" customHeight="1" x14ac:dyDescent="0.35">
      <c r="T11789" s="246">
        <f t="shared" si="222"/>
        <v>0</v>
      </c>
    </row>
    <row r="11790" spans="20:20" ht="18.75" customHeight="1" x14ac:dyDescent="0.35">
      <c r="T11790" s="246">
        <f t="shared" si="222"/>
        <v>0</v>
      </c>
    </row>
    <row r="11791" spans="20:20" ht="18.75" customHeight="1" x14ac:dyDescent="0.35">
      <c r="T11791" s="246">
        <f t="shared" si="222"/>
        <v>0</v>
      </c>
    </row>
    <row r="11792" spans="20:20" ht="18.75" customHeight="1" x14ac:dyDescent="0.35">
      <c r="T11792" s="246">
        <f t="shared" si="222"/>
        <v>0</v>
      </c>
    </row>
    <row r="11793" spans="20:20" ht="18.75" customHeight="1" x14ac:dyDescent="0.35">
      <c r="T11793" s="246">
        <f t="shared" si="222"/>
        <v>0</v>
      </c>
    </row>
    <row r="11794" spans="20:20" ht="18.75" customHeight="1" x14ac:dyDescent="0.35">
      <c r="T11794" s="246">
        <f t="shared" si="222"/>
        <v>0</v>
      </c>
    </row>
    <row r="11795" spans="20:20" ht="18.75" customHeight="1" x14ac:dyDescent="0.35">
      <c r="T11795" s="246">
        <f t="shared" si="222"/>
        <v>0</v>
      </c>
    </row>
    <row r="11796" spans="20:20" ht="18.75" customHeight="1" x14ac:dyDescent="0.35">
      <c r="T11796" s="246">
        <f t="shared" si="222"/>
        <v>0</v>
      </c>
    </row>
    <row r="11797" spans="20:20" ht="18.75" customHeight="1" x14ac:dyDescent="0.35">
      <c r="T11797" s="246">
        <f t="shared" si="222"/>
        <v>0</v>
      </c>
    </row>
    <row r="11798" spans="20:20" ht="18.75" customHeight="1" x14ac:dyDescent="0.35">
      <c r="T11798" s="246">
        <f t="shared" si="222"/>
        <v>0</v>
      </c>
    </row>
    <row r="11799" spans="20:20" ht="18.75" customHeight="1" x14ac:dyDescent="0.35">
      <c r="T11799" s="246">
        <f t="shared" si="222"/>
        <v>0</v>
      </c>
    </row>
    <row r="11800" spans="20:20" ht="18.75" customHeight="1" x14ac:dyDescent="0.35">
      <c r="T11800" s="246">
        <f t="shared" si="222"/>
        <v>0</v>
      </c>
    </row>
    <row r="11801" spans="20:20" ht="18.75" customHeight="1" x14ac:dyDescent="0.35">
      <c r="T11801" s="246">
        <f t="shared" si="222"/>
        <v>0</v>
      </c>
    </row>
    <row r="11802" spans="20:20" ht="18.75" customHeight="1" x14ac:dyDescent="0.35">
      <c r="T11802" s="246">
        <f t="shared" si="222"/>
        <v>0</v>
      </c>
    </row>
    <row r="11803" spans="20:20" ht="18.75" customHeight="1" x14ac:dyDescent="0.35">
      <c r="T11803" s="246">
        <f t="shared" si="222"/>
        <v>0</v>
      </c>
    </row>
    <row r="11804" spans="20:20" ht="18.75" customHeight="1" x14ac:dyDescent="0.35">
      <c r="T11804" s="246">
        <f t="shared" si="222"/>
        <v>0</v>
      </c>
    </row>
    <row r="11805" spans="20:20" ht="18.75" customHeight="1" x14ac:dyDescent="0.35">
      <c r="T11805" s="246">
        <f t="shared" si="222"/>
        <v>0</v>
      </c>
    </row>
    <row r="11806" spans="20:20" ht="18.75" customHeight="1" x14ac:dyDescent="0.35">
      <c r="T11806" s="246">
        <f t="shared" si="222"/>
        <v>0</v>
      </c>
    </row>
    <row r="11807" spans="20:20" ht="18.75" customHeight="1" x14ac:dyDescent="0.35">
      <c r="T11807" s="246">
        <f t="shared" si="222"/>
        <v>0</v>
      </c>
    </row>
    <row r="11808" spans="20:20" ht="18.75" customHeight="1" x14ac:dyDescent="0.35">
      <c r="T11808" s="246">
        <f t="shared" si="222"/>
        <v>0</v>
      </c>
    </row>
    <row r="11809" spans="20:20" ht="18.75" customHeight="1" x14ac:dyDescent="0.35">
      <c r="T11809" s="246">
        <f t="shared" si="222"/>
        <v>0</v>
      </c>
    </row>
    <row r="11810" spans="20:20" ht="18.75" customHeight="1" x14ac:dyDescent="0.35">
      <c r="T11810" s="246">
        <f t="shared" si="222"/>
        <v>0</v>
      </c>
    </row>
    <row r="11811" spans="20:20" ht="18.75" customHeight="1" x14ac:dyDescent="0.35">
      <c r="T11811" s="246">
        <f t="shared" si="222"/>
        <v>0</v>
      </c>
    </row>
    <row r="11812" spans="20:20" ht="18.75" customHeight="1" x14ac:dyDescent="0.35">
      <c r="T11812" s="246">
        <f t="shared" si="222"/>
        <v>0</v>
      </c>
    </row>
    <row r="11813" spans="20:20" ht="18.75" customHeight="1" x14ac:dyDescent="0.35">
      <c r="T11813" s="246">
        <f t="shared" si="222"/>
        <v>0</v>
      </c>
    </row>
    <row r="11814" spans="20:20" ht="18.75" customHeight="1" x14ac:dyDescent="0.35">
      <c r="T11814" s="246">
        <f t="shared" si="222"/>
        <v>0</v>
      </c>
    </row>
    <row r="11815" spans="20:20" ht="18.75" customHeight="1" x14ac:dyDescent="0.35">
      <c r="T11815" s="246">
        <f t="shared" si="222"/>
        <v>0</v>
      </c>
    </row>
    <row r="11816" spans="20:20" ht="18.75" customHeight="1" x14ac:dyDescent="0.35">
      <c r="T11816" s="246">
        <f t="shared" si="222"/>
        <v>0</v>
      </c>
    </row>
    <row r="11817" spans="20:20" ht="18.75" customHeight="1" x14ac:dyDescent="0.35">
      <c r="T11817" s="246">
        <f t="shared" si="222"/>
        <v>0</v>
      </c>
    </row>
    <row r="11818" spans="20:20" ht="18.75" customHeight="1" x14ac:dyDescent="0.35">
      <c r="T11818" s="246">
        <f t="shared" si="222"/>
        <v>0</v>
      </c>
    </row>
    <row r="11819" spans="20:20" ht="18.75" customHeight="1" x14ac:dyDescent="0.35">
      <c r="T11819" s="246">
        <f t="shared" si="222"/>
        <v>0</v>
      </c>
    </row>
    <row r="11820" spans="20:20" ht="18.75" customHeight="1" x14ac:dyDescent="0.35">
      <c r="T11820" s="246">
        <f t="shared" si="222"/>
        <v>0</v>
      </c>
    </row>
    <row r="11821" spans="20:20" ht="18.75" customHeight="1" x14ac:dyDescent="0.35">
      <c r="T11821" s="246">
        <f t="shared" si="222"/>
        <v>0</v>
      </c>
    </row>
    <row r="11822" spans="20:20" ht="18.75" customHeight="1" x14ac:dyDescent="0.35">
      <c r="T11822" s="246">
        <f t="shared" si="222"/>
        <v>0</v>
      </c>
    </row>
    <row r="11823" spans="20:20" ht="18.75" customHeight="1" x14ac:dyDescent="0.35">
      <c r="T11823" s="246">
        <f t="shared" si="222"/>
        <v>0</v>
      </c>
    </row>
    <row r="11824" spans="20:20" ht="18.75" customHeight="1" x14ac:dyDescent="0.35">
      <c r="T11824" s="246">
        <f t="shared" si="222"/>
        <v>0</v>
      </c>
    </row>
    <row r="11825" spans="20:20" ht="18.75" customHeight="1" x14ac:dyDescent="0.35">
      <c r="T11825" s="246">
        <f t="shared" si="222"/>
        <v>0</v>
      </c>
    </row>
    <row r="11826" spans="20:20" ht="18.75" customHeight="1" x14ac:dyDescent="0.35">
      <c r="T11826" s="246">
        <f t="shared" si="222"/>
        <v>0</v>
      </c>
    </row>
    <row r="11827" spans="20:20" ht="18.75" customHeight="1" x14ac:dyDescent="0.35">
      <c r="T11827" s="246">
        <f t="shared" si="222"/>
        <v>0</v>
      </c>
    </row>
    <row r="11828" spans="20:20" ht="18.75" customHeight="1" x14ac:dyDescent="0.35">
      <c r="T11828" s="246">
        <f t="shared" si="222"/>
        <v>0</v>
      </c>
    </row>
    <row r="11829" spans="20:20" ht="18.75" customHeight="1" x14ac:dyDescent="0.35">
      <c r="T11829" s="246">
        <f t="shared" si="222"/>
        <v>0</v>
      </c>
    </row>
    <row r="11830" spans="20:20" ht="18.75" customHeight="1" x14ac:dyDescent="0.35">
      <c r="T11830" s="246">
        <f t="shared" si="222"/>
        <v>0</v>
      </c>
    </row>
    <row r="11831" spans="20:20" ht="18.75" customHeight="1" x14ac:dyDescent="0.35">
      <c r="T11831" s="246">
        <f t="shared" si="222"/>
        <v>0</v>
      </c>
    </row>
    <row r="11832" spans="20:20" ht="18.75" customHeight="1" x14ac:dyDescent="0.35">
      <c r="T11832" s="246">
        <f t="shared" si="222"/>
        <v>0</v>
      </c>
    </row>
    <row r="11833" spans="20:20" ht="18.75" customHeight="1" x14ac:dyDescent="0.35">
      <c r="T11833" s="246">
        <f t="shared" si="222"/>
        <v>0</v>
      </c>
    </row>
    <row r="11834" spans="20:20" ht="18.75" customHeight="1" x14ac:dyDescent="0.35">
      <c r="T11834" s="246">
        <f t="shared" si="222"/>
        <v>0</v>
      </c>
    </row>
    <row r="11835" spans="20:20" ht="18.75" customHeight="1" x14ac:dyDescent="0.35">
      <c r="T11835" s="246">
        <f t="shared" si="222"/>
        <v>0</v>
      </c>
    </row>
    <row r="11836" spans="20:20" ht="18.75" customHeight="1" x14ac:dyDescent="0.35">
      <c r="T11836" s="246">
        <f t="shared" ref="T11836:T11899" si="223">R11836*0.01</f>
        <v>0</v>
      </c>
    </row>
    <row r="11837" spans="20:20" ht="18.75" customHeight="1" x14ac:dyDescent="0.35">
      <c r="T11837" s="246">
        <f t="shared" si="223"/>
        <v>0</v>
      </c>
    </row>
    <row r="11838" spans="20:20" ht="18.75" customHeight="1" x14ac:dyDescent="0.35">
      <c r="T11838" s="246">
        <f t="shared" si="223"/>
        <v>0</v>
      </c>
    </row>
    <row r="11839" spans="20:20" ht="18.75" customHeight="1" x14ac:dyDescent="0.35">
      <c r="T11839" s="246">
        <f t="shared" si="223"/>
        <v>0</v>
      </c>
    </row>
    <row r="11840" spans="20:20" ht="18.75" customHeight="1" x14ac:dyDescent="0.35">
      <c r="T11840" s="246">
        <f t="shared" si="223"/>
        <v>0</v>
      </c>
    </row>
    <row r="11841" spans="20:20" ht="18.75" customHeight="1" x14ac:dyDescent="0.35">
      <c r="T11841" s="246">
        <f t="shared" si="223"/>
        <v>0</v>
      </c>
    </row>
    <row r="11842" spans="20:20" ht="18.75" customHeight="1" x14ac:dyDescent="0.35">
      <c r="T11842" s="246">
        <f t="shared" si="223"/>
        <v>0</v>
      </c>
    </row>
    <row r="11843" spans="20:20" ht="18.75" customHeight="1" x14ac:dyDescent="0.35">
      <c r="T11843" s="246">
        <f t="shared" si="223"/>
        <v>0</v>
      </c>
    </row>
    <row r="11844" spans="20:20" ht="18.75" customHeight="1" x14ac:dyDescent="0.35">
      <c r="T11844" s="246">
        <f t="shared" si="223"/>
        <v>0</v>
      </c>
    </row>
    <row r="11845" spans="20:20" ht="18.75" customHeight="1" x14ac:dyDescent="0.35">
      <c r="T11845" s="246">
        <f t="shared" si="223"/>
        <v>0</v>
      </c>
    </row>
    <row r="11846" spans="20:20" ht="18.75" customHeight="1" x14ac:dyDescent="0.35">
      <c r="T11846" s="246">
        <f t="shared" si="223"/>
        <v>0</v>
      </c>
    </row>
    <row r="11847" spans="20:20" ht="18.75" customHeight="1" x14ac:dyDescent="0.35">
      <c r="T11847" s="246">
        <f t="shared" si="223"/>
        <v>0</v>
      </c>
    </row>
    <row r="11848" spans="20:20" ht="18.75" customHeight="1" x14ac:dyDescent="0.35">
      <c r="T11848" s="246">
        <f t="shared" si="223"/>
        <v>0</v>
      </c>
    </row>
    <row r="11849" spans="20:20" ht="18.75" customHeight="1" x14ac:dyDescent="0.35">
      <c r="T11849" s="246">
        <f t="shared" si="223"/>
        <v>0</v>
      </c>
    </row>
    <row r="11850" spans="20:20" ht="18.75" customHeight="1" x14ac:dyDescent="0.35">
      <c r="T11850" s="246">
        <f t="shared" si="223"/>
        <v>0</v>
      </c>
    </row>
    <row r="11851" spans="20:20" ht="18.75" customHeight="1" x14ac:dyDescent="0.35">
      <c r="T11851" s="246">
        <f t="shared" si="223"/>
        <v>0</v>
      </c>
    </row>
    <row r="11852" spans="20:20" ht="18.75" customHeight="1" x14ac:dyDescent="0.35">
      <c r="T11852" s="246">
        <f t="shared" si="223"/>
        <v>0</v>
      </c>
    </row>
    <row r="11853" spans="20:20" ht="18.75" customHeight="1" x14ac:dyDescent="0.35">
      <c r="T11853" s="246">
        <f t="shared" si="223"/>
        <v>0</v>
      </c>
    </row>
    <row r="11854" spans="20:20" ht="18.75" customHeight="1" x14ac:dyDescent="0.35">
      <c r="T11854" s="246">
        <f t="shared" si="223"/>
        <v>0</v>
      </c>
    </row>
    <row r="11855" spans="20:20" ht="18.75" customHeight="1" x14ac:dyDescent="0.35">
      <c r="T11855" s="246">
        <f t="shared" si="223"/>
        <v>0</v>
      </c>
    </row>
    <row r="11856" spans="20:20" ht="18.75" customHeight="1" x14ac:dyDescent="0.35">
      <c r="T11856" s="246">
        <f t="shared" si="223"/>
        <v>0</v>
      </c>
    </row>
    <row r="11857" spans="20:20" ht="18.75" customHeight="1" x14ac:dyDescent="0.35">
      <c r="T11857" s="246">
        <f t="shared" si="223"/>
        <v>0</v>
      </c>
    </row>
    <row r="11858" spans="20:20" ht="18.75" customHeight="1" x14ac:dyDescent="0.35">
      <c r="T11858" s="246">
        <f t="shared" si="223"/>
        <v>0</v>
      </c>
    </row>
    <row r="11859" spans="20:20" ht="18.75" customHeight="1" x14ac:dyDescent="0.35">
      <c r="T11859" s="246">
        <f t="shared" si="223"/>
        <v>0</v>
      </c>
    </row>
    <row r="11860" spans="20:20" ht="18.75" customHeight="1" x14ac:dyDescent="0.35">
      <c r="T11860" s="246">
        <f t="shared" si="223"/>
        <v>0</v>
      </c>
    </row>
    <row r="11861" spans="20:20" ht="18.75" customHeight="1" x14ac:dyDescent="0.35">
      <c r="T11861" s="246">
        <f t="shared" si="223"/>
        <v>0</v>
      </c>
    </row>
    <row r="11862" spans="20:20" ht="18.75" customHeight="1" x14ac:dyDescent="0.35">
      <c r="T11862" s="246">
        <f t="shared" si="223"/>
        <v>0</v>
      </c>
    </row>
    <row r="11863" spans="20:20" ht="18.75" customHeight="1" x14ac:dyDescent="0.35">
      <c r="T11863" s="246">
        <f t="shared" si="223"/>
        <v>0</v>
      </c>
    </row>
    <row r="11864" spans="20:20" ht="18.75" customHeight="1" x14ac:dyDescent="0.35">
      <c r="T11864" s="246">
        <f t="shared" si="223"/>
        <v>0</v>
      </c>
    </row>
    <row r="11865" spans="20:20" ht="18.75" customHeight="1" x14ac:dyDescent="0.35">
      <c r="T11865" s="246">
        <f t="shared" si="223"/>
        <v>0</v>
      </c>
    </row>
    <row r="11866" spans="20:20" ht="18.75" customHeight="1" x14ac:dyDescent="0.35">
      <c r="T11866" s="246">
        <f t="shared" si="223"/>
        <v>0</v>
      </c>
    </row>
    <row r="11867" spans="20:20" ht="18.75" customHeight="1" x14ac:dyDescent="0.35">
      <c r="T11867" s="246">
        <f t="shared" si="223"/>
        <v>0</v>
      </c>
    </row>
    <row r="11868" spans="20:20" ht="18.75" customHeight="1" x14ac:dyDescent="0.35">
      <c r="T11868" s="246">
        <f t="shared" si="223"/>
        <v>0</v>
      </c>
    </row>
    <row r="11869" spans="20:20" ht="18.75" customHeight="1" x14ac:dyDescent="0.35">
      <c r="T11869" s="246">
        <f t="shared" si="223"/>
        <v>0</v>
      </c>
    </row>
    <row r="11870" spans="20:20" ht="18.75" customHeight="1" x14ac:dyDescent="0.35">
      <c r="T11870" s="246">
        <f t="shared" si="223"/>
        <v>0</v>
      </c>
    </row>
    <row r="11871" spans="20:20" ht="18.75" customHeight="1" x14ac:dyDescent="0.35">
      <c r="T11871" s="246">
        <f t="shared" si="223"/>
        <v>0</v>
      </c>
    </row>
    <row r="11872" spans="20:20" ht="18.75" customHeight="1" x14ac:dyDescent="0.35">
      <c r="T11872" s="246">
        <f t="shared" si="223"/>
        <v>0</v>
      </c>
    </row>
    <row r="11873" spans="20:20" ht="18.75" customHeight="1" x14ac:dyDescent="0.35">
      <c r="T11873" s="246">
        <f t="shared" si="223"/>
        <v>0</v>
      </c>
    </row>
    <row r="11874" spans="20:20" ht="18.75" customHeight="1" x14ac:dyDescent="0.35">
      <c r="T11874" s="246">
        <f t="shared" si="223"/>
        <v>0</v>
      </c>
    </row>
    <row r="11875" spans="20:20" ht="18.75" customHeight="1" x14ac:dyDescent="0.35">
      <c r="T11875" s="246">
        <f t="shared" si="223"/>
        <v>0</v>
      </c>
    </row>
    <row r="11876" spans="20:20" ht="18.75" customHeight="1" x14ac:dyDescent="0.35">
      <c r="T11876" s="246">
        <f t="shared" si="223"/>
        <v>0</v>
      </c>
    </row>
    <row r="11877" spans="20:20" ht="18.75" customHeight="1" x14ac:dyDescent="0.35">
      <c r="T11877" s="246">
        <f t="shared" si="223"/>
        <v>0</v>
      </c>
    </row>
    <row r="11878" spans="20:20" ht="18.75" customHeight="1" x14ac:dyDescent="0.35">
      <c r="T11878" s="246">
        <f t="shared" si="223"/>
        <v>0</v>
      </c>
    </row>
    <row r="11879" spans="20:20" ht="18.75" customHeight="1" x14ac:dyDescent="0.35">
      <c r="T11879" s="246">
        <f t="shared" si="223"/>
        <v>0</v>
      </c>
    </row>
    <row r="11880" spans="20:20" ht="18.75" customHeight="1" x14ac:dyDescent="0.35">
      <c r="T11880" s="246">
        <f t="shared" si="223"/>
        <v>0</v>
      </c>
    </row>
    <row r="11881" spans="20:20" ht="18.75" customHeight="1" x14ac:dyDescent="0.35">
      <c r="T11881" s="246">
        <f t="shared" si="223"/>
        <v>0</v>
      </c>
    </row>
    <row r="11882" spans="20:20" ht="18.75" customHeight="1" x14ac:dyDescent="0.35">
      <c r="T11882" s="246">
        <f t="shared" si="223"/>
        <v>0</v>
      </c>
    </row>
    <row r="11883" spans="20:20" ht="18.75" customHeight="1" x14ac:dyDescent="0.35">
      <c r="T11883" s="246">
        <f t="shared" si="223"/>
        <v>0</v>
      </c>
    </row>
    <row r="11884" spans="20:20" ht="18.75" customHeight="1" x14ac:dyDescent="0.35">
      <c r="T11884" s="246">
        <f t="shared" si="223"/>
        <v>0</v>
      </c>
    </row>
    <row r="11885" spans="20:20" ht="18.75" customHeight="1" x14ac:dyDescent="0.35">
      <c r="T11885" s="246">
        <f t="shared" si="223"/>
        <v>0</v>
      </c>
    </row>
    <row r="11886" spans="20:20" ht="18.75" customHeight="1" x14ac:dyDescent="0.35">
      <c r="T11886" s="246">
        <f t="shared" si="223"/>
        <v>0</v>
      </c>
    </row>
    <row r="11887" spans="20:20" ht="18.75" customHeight="1" x14ac:dyDescent="0.35">
      <c r="T11887" s="246">
        <f t="shared" si="223"/>
        <v>0</v>
      </c>
    </row>
    <row r="11888" spans="20:20" ht="18.75" customHeight="1" x14ac:dyDescent="0.35">
      <c r="T11888" s="246">
        <f t="shared" si="223"/>
        <v>0</v>
      </c>
    </row>
    <row r="11889" spans="20:20" ht="18.75" customHeight="1" x14ac:dyDescent="0.35">
      <c r="T11889" s="246">
        <f t="shared" si="223"/>
        <v>0</v>
      </c>
    </row>
    <row r="11890" spans="20:20" ht="18.75" customHeight="1" x14ac:dyDescent="0.35">
      <c r="T11890" s="246">
        <f t="shared" si="223"/>
        <v>0</v>
      </c>
    </row>
    <row r="11891" spans="20:20" ht="18.75" customHeight="1" x14ac:dyDescent="0.35">
      <c r="T11891" s="246">
        <f t="shared" si="223"/>
        <v>0</v>
      </c>
    </row>
    <row r="11892" spans="20:20" ht="18.75" customHeight="1" x14ac:dyDescent="0.35">
      <c r="T11892" s="246">
        <f t="shared" si="223"/>
        <v>0</v>
      </c>
    </row>
    <row r="11893" spans="20:20" ht="18.75" customHeight="1" x14ac:dyDescent="0.35">
      <c r="T11893" s="246">
        <f t="shared" si="223"/>
        <v>0</v>
      </c>
    </row>
    <row r="11894" spans="20:20" ht="18.75" customHeight="1" x14ac:dyDescent="0.35">
      <c r="T11894" s="246">
        <f t="shared" si="223"/>
        <v>0</v>
      </c>
    </row>
    <row r="11895" spans="20:20" ht="18.75" customHeight="1" x14ac:dyDescent="0.35">
      <c r="T11895" s="246">
        <f t="shared" si="223"/>
        <v>0</v>
      </c>
    </row>
    <row r="11896" spans="20:20" ht="18.75" customHeight="1" x14ac:dyDescent="0.35">
      <c r="T11896" s="246">
        <f t="shared" si="223"/>
        <v>0</v>
      </c>
    </row>
    <row r="11897" spans="20:20" ht="18.75" customHeight="1" x14ac:dyDescent="0.35">
      <c r="T11897" s="246">
        <f t="shared" si="223"/>
        <v>0</v>
      </c>
    </row>
    <row r="11898" spans="20:20" ht="18.75" customHeight="1" x14ac:dyDescent="0.35">
      <c r="T11898" s="246">
        <f t="shared" si="223"/>
        <v>0</v>
      </c>
    </row>
    <row r="11899" spans="20:20" ht="18.75" customHeight="1" x14ac:dyDescent="0.35">
      <c r="T11899" s="246">
        <f t="shared" si="223"/>
        <v>0</v>
      </c>
    </row>
    <row r="11900" spans="20:20" ht="18.75" customHeight="1" x14ac:dyDescent="0.35">
      <c r="T11900" s="246">
        <f t="shared" ref="T11900:T11963" si="224">R11900*0.01</f>
        <v>0</v>
      </c>
    </row>
    <row r="11901" spans="20:20" ht="18.75" customHeight="1" x14ac:dyDescent="0.35">
      <c r="T11901" s="246">
        <f t="shared" si="224"/>
        <v>0</v>
      </c>
    </row>
    <row r="11902" spans="20:20" ht="18.75" customHeight="1" x14ac:dyDescent="0.35">
      <c r="T11902" s="246">
        <f t="shared" si="224"/>
        <v>0</v>
      </c>
    </row>
    <row r="11903" spans="20:20" ht="18.75" customHeight="1" x14ac:dyDescent="0.35">
      <c r="T11903" s="246">
        <f t="shared" si="224"/>
        <v>0</v>
      </c>
    </row>
    <row r="11904" spans="20:20" ht="18.75" customHeight="1" x14ac:dyDescent="0.35">
      <c r="T11904" s="246">
        <f t="shared" si="224"/>
        <v>0</v>
      </c>
    </row>
    <row r="11905" spans="20:20" ht="18.75" customHeight="1" x14ac:dyDescent="0.35">
      <c r="T11905" s="246">
        <f t="shared" si="224"/>
        <v>0</v>
      </c>
    </row>
    <row r="11906" spans="20:20" ht="18.75" customHeight="1" x14ac:dyDescent="0.35">
      <c r="T11906" s="246">
        <f t="shared" si="224"/>
        <v>0</v>
      </c>
    </row>
    <row r="11907" spans="20:20" ht="18.75" customHeight="1" x14ac:dyDescent="0.35">
      <c r="T11907" s="246">
        <f t="shared" si="224"/>
        <v>0</v>
      </c>
    </row>
    <row r="11908" spans="20:20" ht="18.75" customHeight="1" x14ac:dyDescent="0.35">
      <c r="T11908" s="246">
        <f t="shared" si="224"/>
        <v>0</v>
      </c>
    </row>
    <row r="11909" spans="20:20" ht="18.75" customHeight="1" x14ac:dyDescent="0.35">
      <c r="T11909" s="246">
        <f t="shared" si="224"/>
        <v>0</v>
      </c>
    </row>
    <row r="11910" spans="20:20" ht="18.75" customHeight="1" x14ac:dyDescent="0.35">
      <c r="T11910" s="246">
        <f t="shared" si="224"/>
        <v>0</v>
      </c>
    </row>
    <row r="11911" spans="20:20" ht="18.75" customHeight="1" x14ac:dyDescent="0.35">
      <c r="T11911" s="246">
        <f t="shared" si="224"/>
        <v>0</v>
      </c>
    </row>
    <row r="11912" spans="20:20" ht="18.75" customHeight="1" x14ac:dyDescent="0.35">
      <c r="T11912" s="246">
        <f t="shared" si="224"/>
        <v>0</v>
      </c>
    </row>
    <row r="11913" spans="20:20" ht="18.75" customHeight="1" x14ac:dyDescent="0.35">
      <c r="T11913" s="246">
        <f t="shared" si="224"/>
        <v>0</v>
      </c>
    </row>
    <row r="11914" spans="20:20" ht="18.75" customHeight="1" x14ac:dyDescent="0.35">
      <c r="T11914" s="246">
        <f t="shared" si="224"/>
        <v>0</v>
      </c>
    </row>
    <row r="11915" spans="20:20" ht="18.75" customHeight="1" x14ac:dyDescent="0.35">
      <c r="T11915" s="246">
        <f t="shared" si="224"/>
        <v>0</v>
      </c>
    </row>
    <row r="11916" spans="20:20" ht="18.75" customHeight="1" x14ac:dyDescent="0.35">
      <c r="T11916" s="246">
        <f t="shared" si="224"/>
        <v>0</v>
      </c>
    </row>
    <row r="11917" spans="20:20" ht="18.75" customHeight="1" x14ac:dyDescent="0.35">
      <c r="T11917" s="246">
        <f t="shared" si="224"/>
        <v>0</v>
      </c>
    </row>
    <row r="11918" spans="20:20" ht="18.75" customHeight="1" x14ac:dyDescent="0.35">
      <c r="T11918" s="246">
        <f t="shared" si="224"/>
        <v>0</v>
      </c>
    </row>
    <row r="11919" spans="20:20" ht="18.75" customHeight="1" x14ac:dyDescent="0.35">
      <c r="T11919" s="246">
        <f t="shared" si="224"/>
        <v>0</v>
      </c>
    </row>
    <row r="11920" spans="20:20" ht="18.75" customHeight="1" x14ac:dyDescent="0.35">
      <c r="T11920" s="246">
        <f t="shared" si="224"/>
        <v>0</v>
      </c>
    </row>
    <row r="11921" spans="20:20" ht="18.75" customHeight="1" x14ac:dyDescent="0.35">
      <c r="T11921" s="246">
        <f t="shared" si="224"/>
        <v>0</v>
      </c>
    </row>
    <row r="11922" spans="20:20" ht="18.75" customHeight="1" x14ac:dyDescent="0.35">
      <c r="T11922" s="246">
        <f t="shared" si="224"/>
        <v>0</v>
      </c>
    </row>
    <row r="11923" spans="20:20" ht="18.75" customHeight="1" x14ac:dyDescent="0.35">
      <c r="T11923" s="246">
        <f t="shared" si="224"/>
        <v>0</v>
      </c>
    </row>
    <row r="11924" spans="20:20" ht="18.75" customHeight="1" x14ac:dyDescent="0.35">
      <c r="T11924" s="246">
        <f t="shared" si="224"/>
        <v>0</v>
      </c>
    </row>
    <row r="11925" spans="20:20" ht="18.75" customHeight="1" x14ac:dyDescent="0.35">
      <c r="T11925" s="246">
        <f t="shared" si="224"/>
        <v>0</v>
      </c>
    </row>
    <row r="11926" spans="20:20" ht="18.75" customHeight="1" x14ac:dyDescent="0.35">
      <c r="T11926" s="246">
        <f t="shared" si="224"/>
        <v>0</v>
      </c>
    </row>
    <row r="11927" spans="20:20" ht="18.75" customHeight="1" x14ac:dyDescent="0.35">
      <c r="T11927" s="246">
        <f t="shared" si="224"/>
        <v>0</v>
      </c>
    </row>
    <row r="11928" spans="20:20" ht="18.75" customHeight="1" x14ac:dyDescent="0.35">
      <c r="T11928" s="246">
        <f t="shared" si="224"/>
        <v>0</v>
      </c>
    </row>
    <row r="11929" spans="20:20" ht="18.75" customHeight="1" x14ac:dyDescent="0.35">
      <c r="T11929" s="246">
        <f t="shared" si="224"/>
        <v>0</v>
      </c>
    </row>
    <row r="11930" spans="20:20" ht="18.75" customHeight="1" x14ac:dyDescent="0.35">
      <c r="T11930" s="246">
        <f t="shared" si="224"/>
        <v>0</v>
      </c>
    </row>
    <row r="11931" spans="20:20" ht="18.75" customHeight="1" x14ac:dyDescent="0.35">
      <c r="T11931" s="246">
        <f t="shared" si="224"/>
        <v>0</v>
      </c>
    </row>
    <row r="11932" spans="20:20" ht="18.75" customHeight="1" x14ac:dyDescent="0.35">
      <c r="T11932" s="246">
        <f t="shared" si="224"/>
        <v>0</v>
      </c>
    </row>
    <row r="11933" spans="20:20" ht="18.75" customHeight="1" x14ac:dyDescent="0.35">
      <c r="T11933" s="246">
        <f t="shared" si="224"/>
        <v>0</v>
      </c>
    </row>
    <row r="11934" spans="20:20" ht="18.75" customHeight="1" x14ac:dyDescent="0.35">
      <c r="T11934" s="246">
        <f t="shared" si="224"/>
        <v>0</v>
      </c>
    </row>
    <row r="11935" spans="20:20" ht="18.75" customHeight="1" x14ac:dyDescent="0.35">
      <c r="T11935" s="246">
        <f t="shared" si="224"/>
        <v>0</v>
      </c>
    </row>
    <row r="11936" spans="20:20" ht="18.75" customHeight="1" x14ac:dyDescent="0.35">
      <c r="T11936" s="246">
        <f t="shared" si="224"/>
        <v>0</v>
      </c>
    </row>
    <row r="11937" spans="20:20" ht="18.75" customHeight="1" x14ac:dyDescent="0.35">
      <c r="T11937" s="246">
        <f t="shared" si="224"/>
        <v>0</v>
      </c>
    </row>
    <row r="11938" spans="20:20" ht="18.75" customHeight="1" x14ac:dyDescent="0.35">
      <c r="T11938" s="246">
        <f t="shared" si="224"/>
        <v>0</v>
      </c>
    </row>
    <row r="11939" spans="20:20" ht="18.75" customHeight="1" x14ac:dyDescent="0.35">
      <c r="T11939" s="246">
        <f t="shared" si="224"/>
        <v>0</v>
      </c>
    </row>
    <row r="11940" spans="20:20" ht="18.75" customHeight="1" x14ac:dyDescent="0.35">
      <c r="T11940" s="246">
        <f t="shared" si="224"/>
        <v>0</v>
      </c>
    </row>
    <row r="11941" spans="20:20" ht="18.75" customHeight="1" x14ac:dyDescent="0.35">
      <c r="T11941" s="246">
        <f t="shared" si="224"/>
        <v>0</v>
      </c>
    </row>
    <row r="11942" spans="20:20" ht="18.75" customHeight="1" x14ac:dyDescent="0.35">
      <c r="T11942" s="246">
        <f t="shared" si="224"/>
        <v>0</v>
      </c>
    </row>
    <row r="11943" spans="20:20" ht="18.75" customHeight="1" x14ac:dyDescent="0.35">
      <c r="T11943" s="246">
        <f t="shared" si="224"/>
        <v>0</v>
      </c>
    </row>
    <row r="11944" spans="20:20" ht="18.75" customHeight="1" x14ac:dyDescent="0.35">
      <c r="T11944" s="246">
        <f t="shared" si="224"/>
        <v>0</v>
      </c>
    </row>
    <row r="11945" spans="20:20" ht="18.75" customHeight="1" x14ac:dyDescent="0.35">
      <c r="T11945" s="246">
        <f t="shared" si="224"/>
        <v>0</v>
      </c>
    </row>
    <row r="11946" spans="20:20" ht="18.75" customHeight="1" x14ac:dyDescent="0.35">
      <c r="T11946" s="246">
        <f t="shared" si="224"/>
        <v>0</v>
      </c>
    </row>
    <row r="11947" spans="20:20" ht="18.75" customHeight="1" x14ac:dyDescent="0.35">
      <c r="T11947" s="246">
        <f t="shared" si="224"/>
        <v>0</v>
      </c>
    </row>
    <row r="11948" spans="20:20" ht="18.75" customHeight="1" x14ac:dyDescent="0.35">
      <c r="T11948" s="246">
        <f t="shared" si="224"/>
        <v>0</v>
      </c>
    </row>
    <row r="11949" spans="20:20" ht="18.75" customHeight="1" x14ac:dyDescent="0.35">
      <c r="T11949" s="246">
        <f t="shared" si="224"/>
        <v>0</v>
      </c>
    </row>
    <row r="11950" spans="20:20" ht="18.75" customHeight="1" x14ac:dyDescent="0.35">
      <c r="T11950" s="246">
        <f t="shared" si="224"/>
        <v>0</v>
      </c>
    </row>
    <row r="11951" spans="20:20" ht="18.75" customHeight="1" x14ac:dyDescent="0.35">
      <c r="T11951" s="246">
        <f t="shared" si="224"/>
        <v>0</v>
      </c>
    </row>
    <row r="11952" spans="20:20" ht="18.75" customHeight="1" x14ac:dyDescent="0.35">
      <c r="T11952" s="246">
        <f t="shared" si="224"/>
        <v>0</v>
      </c>
    </row>
    <row r="11953" spans="20:20" ht="18.75" customHeight="1" x14ac:dyDescent="0.35">
      <c r="T11953" s="246">
        <f t="shared" si="224"/>
        <v>0</v>
      </c>
    </row>
    <row r="11954" spans="20:20" ht="18.75" customHeight="1" x14ac:dyDescent="0.35">
      <c r="T11954" s="246">
        <f t="shared" si="224"/>
        <v>0</v>
      </c>
    </row>
    <row r="11955" spans="20:20" ht="18.75" customHeight="1" x14ac:dyDescent="0.35">
      <c r="T11955" s="246">
        <f t="shared" si="224"/>
        <v>0</v>
      </c>
    </row>
    <row r="11956" spans="20:20" ht="18.75" customHeight="1" x14ac:dyDescent="0.35">
      <c r="T11956" s="246">
        <f t="shared" si="224"/>
        <v>0</v>
      </c>
    </row>
    <row r="11957" spans="20:20" ht="18.75" customHeight="1" x14ac:dyDescent="0.35">
      <c r="T11957" s="246">
        <f t="shared" si="224"/>
        <v>0</v>
      </c>
    </row>
    <row r="11958" spans="20:20" ht="18.75" customHeight="1" x14ac:dyDescent="0.35">
      <c r="T11958" s="246">
        <f t="shared" si="224"/>
        <v>0</v>
      </c>
    </row>
    <row r="11959" spans="20:20" ht="18.75" customHeight="1" x14ac:dyDescent="0.35">
      <c r="T11959" s="246">
        <f t="shared" si="224"/>
        <v>0</v>
      </c>
    </row>
    <row r="11960" spans="20:20" ht="18.75" customHeight="1" x14ac:dyDescent="0.35">
      <c r="T11960" s="246">
        <f t="shared" si="224"/>
        <v>0</v>
      </c>
    </row>
    <row r="11961" spans="20:20" ht="18.75" customHeight="1" x14ac:dyDescent="0.35">
      <c r="T11961" s="246">
        <f t="shared" si="224"/>
        <v>0</v>
      </c>
    </row>
    <row r="11962" spans="20:20" ht="18.75" customHeight="1" x14ac:dyDescent="0.35">
      <c r="T11962" s="246">
        <f t="shared" si="224"/>
        <v>0</v>
      </c>
    </row>
    <row r="11963" spans="20:20" ht="18.75" customHeight="1" x14ac:dyDescent="0.35">
      <c r="T11963" s="246">
        <f t="shared" si="224"/>
        <v>0</v>
      </c>
    </row>
    <row r="11964" spans="20:20" ht="18.75" customHeight="1" x14ac:dyDescent="0.35">
      <c r="T11964" s="246">
        <f t="shared" ref="T11964:T12027" si="225">R11964*0.01</f>
        <v>0</v>
      </c>
    </row>
    <row r="11965" spans="20:20" ht="18.75" customHeight="1" x14ac:dyDescent="0.35">
      <c r="T11965" s="246">
        <f t="shared" si="225"/>
        <v>0</v>
      </c>
    </row>
    <row r="11966" spans="20:20" ht="18.75" customHeight="1" x14ac:dyDescent="0.35">
      <c r="T11966" s="246">
        <f t="shared" si="225"/>
        <v>0</v>
      </c>
    </row>
    <row r="11967" spans="20:20" ht="18.75" customHeight="1" x14ac:dyDescent="0.35">
      <c r="T11967" s="246">
        <f t="shared" si="225"/>
        <v>0</v>
      </c>
    </row>
    <row r="11968" spans="20:20" ht="18.75" customHeight="1" x14ac:dyDescent="0.35">
      <c r="T11968" s="246">
        <f t="shared" si="225"/>
        <v>0</v>
      </c>
    </row>
    <row r="11969" spans="20:20" ht="18.75" customHeight="1" x14ac:dyDescent="0.35">
      <c r="T11969" s="246">
        <f t="shared" si="225"/>
        <v>0</v>
      </c>
    </row>
    <row r="11970" spans="20:20" ht="18.75" customHeight="1" x14ac:dyDescent="0.35">
      <c r="T11970" s="246">
        <f t="shared" si="225"/>
        <v>0</v>
      </c>
    </row>
    <row r="11971" spans="20:20" ht="18.75" customHeight="1" x14ac:dyDescent="0.35">
      <c r="T11971" s="246">
        <f t="shared" si="225"/>
        <v>0</v>
      </c>
    </row>
    <row r="11972" spans="20:20" ht="18.75" customHeight="1" x14ac:dyDescent="0.35">
      <c r="T11972" s="246">
        <f t="shared" si="225"/>
        <v>0</v>
      </c>
    </row>
    <row r="11973" spans="20:20" ht="18.75" customHeight="1" x14ac:dyDescent="0.35">
      <c r="T11973" s="246">
        <f t="shared" si="225"/>
        <v>0</v>
      </c>
    </row>
    <row r="11974" spans="20:20" ht="18.75" customHeight="1" x14ac:dyDescent="0.35">
      <c r="T11974" s="246">
        <f t="shared" si="225"/>
        <v>0</v>
      </c>
    </row>
    <row r="11975" spans="20:20" ht="18.75" customHeight="1" x14ac:dyDescent="0.35">
      <c r="T11975" s="246">
        <f t="shared" si="225"/>
        <v>0</v>
      </c>
    </row>
    <row r="11976" spans="20:20" ht="18.75" customHeight="1" x14ac:dyDescent="0.35">
      <c r="T11976" s="246">
        <f t="shared" si="225"/>
        <v>0</v>
      </c>
    </row>
    <row r="11977" spans="20:20" ht="18.75" customHeight="1" x14ac:dyDescent="0.35">
      <c r="T11977" s="246">
        <f t="shared" si="225"/>
        <v>0</v>
      </c>
    </row>
    <row r="11978" spans="20:20" ht="18.75" customHeight="1" x14ac:dyDescent="0.35">
      <c r="T11978" s="246">
        <f t="shared" si="225"/>
        <v>0</v>
      </c>
    </row>
    <row r="11979" spans="20:20" ht="18.75" customHeight="1" x14ac:dyDescent="0.35">
      <c r="T11979" s="246">
        <f t="shared" si="225"/>
        <v>0</v>
      </c>
    </row>
    <row r="11980" spans="20:20" ht="18.75" customHeight="1" x14ac:dyDescent="0.35">
      <c r="T11980" s="246">
        <f t="shared" si="225"/>
        <v>0</v>
      </c>
    </row>
    <row r="11981" spans="20:20" ht="18.75" customHeight="1" x14ac:dyDescent="0.35">
      <c r="T11981" s="246">
        <f t="shared" si="225"/>
        <v>0</v>
      </c>
    </row>
    <row r="11982" spans="20:20" ht="18.75" customHeight="1" x14ac:dyDescent="0.35">
      <c r="T11982" s="246">
        <f t="shared" si="225"/>
        <v>0</v>
      </c>
    </row>
    <row r="11983" spans="20:20" ht="18.75" customHeight="1" x14ac:dyDescent="0.35">
      <c r="T11983" s="246">
        <f t="shared" si="225"/>
        <v>0</v>
      </c>
    </row>
    <row r="11984" spans="20:20" ht="18.75" customHeight="1" x14ac:dyDescent="0.35">
      <c r="T11984" s="246">
        <f t="shared" si="225"/>
        <v>0</v>
      </c>
    </row>
    <row r="11985" spans="20:20" ht="18.75" customHeight="1" x14ac:dyDescent="0.35">
      <c r="T11985" s="246">
        <f t="shared" si="225"/>
        <v>0</v>
      </c>
    </row>
    <row r="11986" spans="20:20" ht="18.75" customHeight="1" x14ac:dyDescent="0.35">
      <c r="T11986" s="246">
        <f t="shared" si="225"/>
        <v>0</v>
      </c>
    </row>
    <row r="11987" spans="20:20" ht="18.75" customHeight="1" x14ac:dyDescent="0.35">
      <c r="T11987" s="246">
        <f t="shared" si="225"/>
        <v>0</v>
      </c>
    </row>
    <row r="11988" spans="20:20" ht="18.75" customHeight="1" x14ac:dyDescent="0.35">
      <c r="T11988" s="246">
        <f t="shared" si="225"/>
        <v>0</v>
      </c>
    </row>
    <row r="11989" spans="20:20" ht="18.75" customHeight="1" x14ac:dyDescent="0.35">
      <c r="T11989" s="246">
        <f t="shared" si="225"/>
        <v>0</v>
      </c>
    </row>
    <row r="11990" spans="20:20" ht="18.75" customHeight="1" x14ac:dyDescent="0.35">
      <c r="T11990" s="246">
        <f t="shared" si="225"/>
        <v>0</v>
      </c>
    </row>
    <row r="11991" spans="20:20" ht="18.75" customHeight="1" x14ac:dyDescent="0.35">
      <c r="T11991" s="246">
        <f t="shared" si="225"/>
        <v>0</v>
      </c>
    </row>
    <row r="11992" spans="20:20" ht="18.75" customHeight="1" x14ac:dyDescent="0.35">
      <c r="T11992" s="246">
        <f t="shared" si="225"/>
        <v>0</v>
      </c>
    </row>
    <row r="11993" spans="20:20" ht="18.75" customHeight="1" x14ac:dyDescent="0.35">
      <c r="T11993" s="246">
        <f t="shared" si="225"/>
        <v>0</v>
      </c>
    </row>
    <row r="11994" spans="20:20" ht="18.75" customHeight="1" x14ac:dyDescent="0.35">
      <c r="T11994" s="246">
        <f t="shared" si="225"/>
        <v>0</v>
      </c>
    </row>
    <row r="11995" spans="20:20" ht="18.75" customHeight="1" x14ac:dyDescent="0.35">
      <c r="T11995" s="246">
        <f t="shared" si="225"/>
        <v>0</v>
      </c>
    </row>
    <row r="11996" spans="20:20" ht="18.75" customHeight="1" x14ac:dyDescent="0.35">
      <c r="T11996" s="246">
        <f t="shared" si="225"/>
        <v>0</v>
      </c>
    </row>
    <row r="11997" spans="20:20" ht="18.75" customHeight="1" x14ac:dyDescent="0.35">
      <c r="T11997" s="246">
        <f t="shared" si="225"/>
        <v>0</v>
      </c>
    </row>
    <row r="11998" spans="20:20" ht="18.75" customHeight="1" x14ac:dyDescent="0.35">
      <c r="T11998" s="246">
        <f t="shared" si="225"/>
        <v>0</v>
      </c>
    </row>
    <row r="11999" spans="20:20" ht="18.75" customHeight="1" x14ac:dyDescent="0.35">
      <c r="T11999" s="246">
        <f t="shared" si="225"/>
        <v>0</v>
      </c>
    </row>
    <row r="12000" spans="20:20" ht="18.75" customHeight="1" x14ac:dyDescent="0.35">
      <c r="T12000" s="246">
        <f t="shared" si="225"/>
        <v>0</v>
      </c>
    </row>
    <row r="12001" spans="20:20" ht="18.75" customHeight="1" x14ac:dyDescent="0.35">
      <c r="T12001" s="246">
        <f t="shared" si="225"/>
        <v>0</v>
      </c>
    </row>
    <row r="12002" spans="20:20" ht="18.75" customHeight="1" x14ac:dyDescent="0.35">
      <c r="T12002" s="246">
        <f t="shared" si="225"/>
        <v>0</v>
      </c>
    </row>
    <row r="12003" spans="20:20" ht="18.75" customHeight="1" x14ac:dyDescent="0.35">
      <c r="T12003" s="246">
        <f t="shared" si="225"/>
        <v>0</v>
      </c>
    </row>
    <row r="12004" spans="20:20" ht="18.75" customHeight="1" x14ac:dyDescent="0.35">
      <c r="T12004" s="246">
        <f t="shared" si="225"/>
        <v>0</v>
      </c>
    </row>
    <row r="12005" spans="20:20" ht="18.75" customHeight="1" x14ac:dyDescent="0.35">
      <c r="T12005" s="246">
        <f t="shared" si="225"/>
        <v>0</v>
      </c>
    </row>
    <row r="12006" spans="20:20" ht="18.75" customHeight="1" x14ac:dyDescent="0.35">
      <c r="T12006" s="246">
        <f t="shared" si="225"/>
        <v>0</v>
      </c>
    </row>
    <row r="12007" spans="20:20" ht="18.75" customHeight="1" x14ac:dyDescent="0.35">
      <c r="T12007" s="246">
        <f t="shared" si="225"/>
        <v>0</v>
      </c>
    </row>
    <row r="12008" spans="20:20" ht="18.75" customHeight="1" x14ac:dyDescent="0.35">
      <c r="T12008" s="246">
        <f t="shared" si="225"/>
        <v>0</v>
      </c>
    </row>
    <row r="12009" spans="20:20" ht="18.75" customHeight="1" x14ac:dyDescent="0.35">
      <c r="T12009" s="246">
        <f t="shared" si="225"/>
        <v>0</v>
      </c>
    </row>
    <row r="12010" spans="20:20" ht="18.75" customHeight="1" x14ac:dyDescent="0.35">
      <c r="T12010" s="246">
        <f t="shared" si="225"/>
        <v>0</v>
      </c>
    </row>
    <row r="12011" spans="20:20" ht="18.75" customHeight="1" x14ac:dyDescent="0.35">
      <c r="T12011" s="246">
        <f t="shared" si="225"/>
        <v>0</v>
      </c>
    </row>
    <row r="12012" spans="20:20" ht="18.75" customHeight="1" x14ac:dyDescent="0.35">
      <c r="T12012" s="246">
        <f t="shared" si="225"/>
        <v>0</v>
      </c>
    </row>
    <row r="12013" spans="20:20" ht="18.75" customHeight="1" x14ac:dyDescent="0.35">
      <c r="T12013" s="246">
        <f t="shared" si="225"/>
        <v>0</v>
      </c>
    </row>
    <row r="12014" spans="20:20" ht="18.75" customHeight="1" x14ac:dyDescent="0.35">
      <c r="T12014" s="246">
        <f t="shared" si="225"/>
        <v>0</v>
      </c>
    </row>
    <row r="12015" spans="20:20" ht="18.75" customHeight="1" x14ac:dyDescent="0.35">
      <c r="T12015" s="246">
        <f t="shared" si="225"/>
        <v>0</v>
      </c>
    </row>
    <row r="12016" spans="20:20" ht="18.75" customHeight="1" x14ac:dyDescent="0.35">
      <c r="T12016" s="246">
        <f t="shared" si="225"/>
        <v>0</v>
      </c>
    </row>
    <row r="12017" spans="20:20" ht="18.75" customHeight="1" x14ac:dyDescent="0.35">
      <c r="T12017" s="246">
        <f t="shared" si="225"/>
        <v>0</v>
      </c>
    </row>
    <row r="12018" spans="20:20" ht="18.75" customHeight="1" x14ac:dyDescent="0.35">
      <c r="T12018" s="246">
        <f t="shared" si="225"/>
        <v>0</v>
      </c>
    </row>
    <row r="12019" spans="20:20" ht="18.75" customHeight="1" x14ac:dyDescent="0.35">
      <c r="T12019" s="246">
        <f t="shared" si="225"/>
        <v>0</v>
      </c>
    </row>
    <row r="12020" spans="20:20" ht="18.75" customHeight="1" x14ac:dyDescent="0.35">
      <c r="T12020" s="246">
        <f t="shared" si="225"/>
        <v>0</v>
      </c>
    </row>
    <row r="12021" spans="20:20" ht="18.75" customHeight="1" x14ac:dyDescent="0.35">
      <c r="T12021" s="246">
        <f t="shared" si="225"/>
        <v>0</v>
      </c>
    </row>
    <row r="12022" spans="20:20" ht="18.75" customHeight="1" x14ac:dyDescent="0.35">
      <c r="T12022" s="246">
        <f t="shared" si="225"/>
        <v>0</v>
      </c>
    </row>
    <row r="12023" spans="20:20" ht="18.75" customHeight="1" x14ac:dyDescent="0.35">
      <c r="T12023" s="246">
        <f t="shared" si="225"/>
        <v>0</v>
      </c>
    </row>
    <row r="12024" spans="20:20" ht="18.75" customHeight="1" x14ac:dyDescent="0.35">
      <c r="T12024" s="246">
        <f t="shared" si="225"/>
        <v>0</v>
      </c>
    </row>
    <row r="12025" spans="20:20" ht="18.75" customHeight="1" x14ac:dyDescent="0.35">
      <c r="T12025" s="246">
        <f t="shared" si="225"/>
        <v>0</v>
      </c>
    </row>
    <row r="12026" spans="20:20" ht="18.75" customHeight="1" x14ac:dyDescent="0.35">
      <c r="T12026" s="246">
        <f t="shared" si="225"/>
        <v>0</v>
      </c>
    </row>
    <row r="12027" spans="20:20" ht="18.75" customHeight="1" x14ac:dyDescent="0.35">
      <c r="T12027" s="246">
        <f t="shared" si="225"/>
        <v>0</v>
      </c>
    </row>
    <row r="12028" spans="20:20" ht="18.75" customHeight="1" x14ac:dyDescent="0.35">
      <c r="T12028" s="246">
        <f t="shared" ref="T12028:T12091" si="226">R12028*0.01</f>
        <v>0</v>
      </c>
    </row>
    <row r="12029" spans="20:20" ht="18.75" customHeight="1" x14ac:dyDescent="0.35">
      <c r="T12029" s="246">
        <f t="shared" si="226"/>
        <v>0</v>
      </c>
    </row>
    <row r="12030" spans="20:20" ht="18.75" customHeight="1" x14ac:dyDescent="0.35">
      <c r="T12030" s="246">
        <f t="shared" si="226"/>
        <v>0</v>
      </c>
    </row>
    <row r="12031" spans="20:20" ht="18.75" customHeight="1" x14ac:dyDescent="0.35">
      <c r="T12031" s="246">
        <f t="shared" si="226"/>
        <v>0</v>
      </c>
    </row>
    <row r="12032" spans="20:20" ht="18.75" customHeight="1" x14ac:dyDescent="0.35">
      <c r="T12032" s="246">
        <f t="shared" si="226"/>
        <v>0</v>
      </c>
    </row>
    <row r="12033" spans="20:20" ht="18.75" customHeight="1" x14ac:dyDescent="0.35">
      <c r="T12033" s="246">
        <f t="shared" si="226"/>
        <v>0</v>
      </c>
    </row>
    <row r="12034" spans="20:20" ht="18.75" customHeight="1" x14ac:dyDescent="0.35">
      <c r="T12034" s="246">
        <f t="shared" si="226"/>
        <v>0</v>
      </c>
    </row>
    <row r="12035" spans="20:20" ht="18.75" customHeight="1" x14ac:dyDescent="0.35">
      <c r="T12035" s="246">
        <f t="shared" si="226"/>
        <v>0</v>
      </c>
    </row>
    <row r="12036" spans="20:20" ht="18.75" customHeight="1" x14ac:dyDescent="0.35">
      <c r="T12036" s="246">
        <f t="shared" si="226"/>
        <v>0</v>
      </c>
    </row>
    <row r="12037" spans="20:20" ht="18.75" customHeight="1" x14ac:dyDescent="0.35">
      <c r="T12037" s="246">
        <f t="shared" si="226"/>
        <v>0</v>
      </c>
    </row>
    <row r="12038" spans="20:20" ht="18.75" customHeight="1" x14ac:dyDescent="0.35">
      <c r="T12038" s="246">
        <f t="shared" si="226"/>
        <v>0</v>
      </c>
    </row>
    <row r="12039" spans="20:20" ht="18.75" customHeight="1" x14ac:dyDescent="0.35">
      <c r="T12039" s="246">
        <f t="shared" si="226"/>
        <v>0</v>
      </c>
    </row>
    <row r="12040" spans="20:20" ht="18.75" customHeight="1" x14ac:dyDescent="0.35">
      <c r="T12040" s="246">
        <f t="shared" si="226"/>
        <v>0</v>
      </c>
    </row>
    <row r="12041" spans="20:20" ht="18.75" customHeight="1" x14ac:dyDescent="0.35">
      <c r="T12041" s="246">
        <f t="shared" si="226"/>
        <v>0</v>
      </c>
    </row>
    <row r="12042" spans="20:20" ht="18.75" customHeight="1" x14ac:dyDescent="0.35">
      <c r="T12042" s="246">
        <f t="shared" si="226"/>
        <v>0</v>
      </c>
    </row>
    <row r="12043" spans="20:20" ht="18.75" customHeight="1" x14ac:dyDescent="0.35">
      <c r="T12043" s="246">
        <f t="shared" si="226"/>
        <v>0</v>
      </c>
    </row>
    <row r="12044" spans="20:20" ht="18.75" customHeight="1" x14ac:dyDescent="0.35">
      <c r="T12044" s="246">
        <f t="shared" si="226"/>
        <v>0</v>
      </c>
    </row>
    <row r="12045" spans="20:20" ht="18.75" customHeight="1" x14ac:dyDescent="0.35">
      <c r="T12045" s="246">
        <f t="shared" si="226"/>
        <v>0</v>
      </c>
    </row>
    <row r="12046" spans="20:20" ht="18.75" customHeight="1" x14ac:dyDescent="0.35">
      <c r="T12046" s="246">
        <f t="shared" si="226"/>
        <v>0</v>
      </c>
    </row>
    <row r="12047" spans="20:20" ht="18.75" customHeight="1" x14ac:dyDescent="0.35">
      <c r="T12047" s="246">
        <f t="shared" si="226"/>
        <v>0</v>
      </c>
    </row>
    <row r="12048" spans="20:20" ht="18.75" customHeight="1" x14ac:dyDescent="0.35">
      <c r="T12048" s="246">
        <f t="shared" si="226"/>
        <v>0</v>
      </c>
    </row>
    <row r="12049" spans="20:20" ht="18.75" customHeight="1" x14ac:dyDescent="0.35">
      <c r="T12049" s="246">
        <f t="shared" si="226"/>
        <v>0</v>
      </c>
    </row>
    <row r="12050" spans="20:20" ht="18.75" customHeight="1" x14ac:dyDescent="0.35">
      <c r="T12050" s="246">
        <f t="shared" si="226"/>
        <v>0</v>
      </c>
    </row>
    <row r="12051" spans="20:20" ht="18.75" customHeight="1" x14ac:dyDescent="0.35">
      <c r="T12051" s="246">
        <f t="shared" si="226"/>
        <v>0</v>
      </c>
    </row>
    <row r="12052" spans="20:20" ht="18.75" customHeight="1" x14ac:dyDescent="0.35">
      <c r="T12052" s="246">
        <f t="shared" si="226"/>
        <v>0</v>
      </c>
    </row>
    <row r="12053" spans="20:20" ht="18.75" customHeight="1" x14ac:dyDescent="0.35">
      <c r="T12053" s="246">
        <f t="shared" si="226"/>
        <v>0</v>
      </c>
    </row>
    <row r="12054" spans="20:20" ht="18.75" customHeight="1" x14ac:dyDescent="0.35">
      <c r="T12054" s="246">
        <f t="shared" si="226"/>
        <v>0</v>
      </c>
    </row>
    <row r="12055" spans="20:20" ht="18.75" customHeight="1" x14ac:dyDescent="0.35">
      <c r="T12055" s="246">
        <f t="shared" si="226"/>
        <v>0</v>
      </c>
    </row>
    <row r="12056" spans="20:20" ht="18.75" customHeight="1" x14ac:dyDescent="0.35">
      <c r="T12056" s="246">
        <f t="shared" si="226"/>
        <v>0</v>
      </c>
    </row>
    <row r="12057" spans="20:20" ht="18.75" customHeight="1" x14ac:dyDescent="0.35">
      <c r="T12057" s="246">
        <f t="shared" si="226"/>
        <v>0</v>
      </c>
    </row>
    <row r="12058" spans="20:20" ht="18.75" customHeight="1" x14ac:dyDescent="0.35">
      <c r="T12058" s="246">
        <f t="shared" si="226"/>
        <v>0</v>
      </c>
    </row>
    <row r="12059" spans="20:20" ht="18.75" customHeight="1" x14ac:dyDescent="0.35">
      <c r="T12059" s="246">
        <f t="shared" si="226"/>
        <v>0</v>
      </c>
    </row>
    <row r="12060" spans="20:20" ht="18.75" customHeight="1" x14ac:dyDescent="0.35">
      <c r="T12060" s="246">
        <f t="shared" si="226"/>
        <v>0</v>
      </c>
    </row>
    <row r="12061" spans="20:20" ht="18.75" customHeight="1" x14ac:dyDescent="0.35">
      <c r="T12061" s="246">
        <f t="shared" si="226"/>
        <v>0</v>
      </c>
    </row>
    <row r="12062" spans="20:20" ht="18.75" customHeight="1" x14ac:dyDescent="0.35">
      <c r="T12062" s="246">
        <f t="shared" si="226"/>
        <v>0</v>
      </c>
    </row>
    <row r="12063" spans="20:20" ht="18.75" customHeight="1" x14ac:dyDescent="0.35">
      <c r="T12063" s="246">
        <f t="shared" si="226"/>
        <v>0</v>
      </c>
    </row>
    <row r="12064" spans="20:20" ht="18.75" customHeight="1" x14ac:dyDescent="0.35">
      <c r="T12064" s="246">
        <f t="shared" si="226"/>
        <v>0</v>
      </c>
    </row>
    <row r="12065" spans="20:20" ht="18.75" customHeight="1" x14ac:dyDescent="0.35">
      <c r="T12065" s="246">
        <f t="shared" si="226"/>
        <v>0</v>
      </c>
    </row>
    <row r="12066" spans="20:20" ht="18.75" customHeight="1" x14ac:dyDescent="0.35">
      <c r="T12066" s="246">
        <f t="shared" si="226"/>
        <v>0</v>
      </c>
    </row>
    <row r="12067" spans="20:20" ht="18.75" customHeight="1" x14ac:dyDescent="0.35">
      <c r="T12067" s="246">
        <f t="shared" si="226"/>
        <v>0</v>
      </c>
    </row>
    <row r="12068" spans="20:20" ht="18.75" customHeight="1" x14ac:dyDescent="0.35">
      <c r="T12068" s="246">
        <f t="shared" si="226"/>
        <v>0</v>
      </c>
    </row>
    <row r="12069" spans="20:20" ht="18.75" customHeight="1" x14ac:dyDescent="0.35">
      <c r="T12069" s="246">
        <f t="shared" si="226"/>
        <v>0</v>
      </c>
    </row>
    <row r="12070" spans="20:20" ht="18.75" customHeight="1" x14ac:dyDescent="0.35">
      <c r="T12070" s="246">
        <f t="shared" si="226"/>
        <v>0</v>
      </c>
    </row>
    <row r="12071" spans="20:20" ht="18.75" customHeight="1" x14ac:dyDescent="0.35">
      <c r="T12071" s="246">
        <f t="shared" si="226"/>
        <v>0</v>
      </c>
    </row>
    <row r="12072" spans="20:20" ht="18.75" customHeight="1" x14ac:dyDescent="0.35">
      <c r="T12072" s="246">
        <f t="shared" si="226"/>
        <v>0</v>
      </c>
    </row>
    <row r="12073" spans="20:20" ht="18.75" customHeight="1" x14ac:dyDescent="0.35">
      <c r="T12073" s="246">
        <f t="shared" si="226"/>
        <v>0</v>
      </c>
    </row>
    <row r="12074" spans="20:20" ht="18.75" customHeight="1" x14ac:dyDescent="0.35">
      <c r="T12074" s="246">
        <f t="shared" si="226"/>
        <v>0</v>
      </c>
    </row>
    <row r="12075" spans="20:20" ht="18.75" customHeight="1" x14ac:dyDescent="0.35">
      <c r="T12075" s="246">
        <f t="shared" si="226"/>
        <v>0</v>
      </c>
    </row>
    <row r="12076" spans="20:20" ht="18.75" customHeight="1" x14ac:dyDescent="0.35">
      <c r="T12076" s="246">
        <f t="shared" si="226"/>
        <v>0</v>
      </c>
    </row>
    <row r="12077" spans="20:20" ht="18.75" customHeight="1" x14ac:dyDescent="0.35">
      <c r="T12077" s="246">
        <f t="shared" si="226"/>
        <v>0</v>
      </c>
    </row>
    <row r="12078" spans="20:20" ht="18.75" customHeight="1" x14ac:dyDescent="0.35">
      <c r="T12078" s="246">
        <f t="shared" si="226"/>
        <v>0</v>
      </c>
    </row>
    <row r="12079" spans="20:20" ht="18.75" customHeight="1" x14ac:dyDescent="0.35">
      <c r="T12079" s="246">
        <f t="shared" si="226"/>
        <v>0</v>
      </c>
    </row>
    <row r="12080" spans="20:20" ht="18.75" customHeight="1" x14ac:dyDescent="0.35">
      <c r="T12080" s="246">
        <f t="shared" si="226"/>
        <v>0</v>
      </c>
    </row>
    <row r="12081" spans="20:20" ht="18.75" customHeight="1" x14ac:dyDescent="0.35">
      <c r="T12081" s="246">
        <f t="shared" si="226"/>
        <v>0</v>
      </c>
    </row>
    <row r="12082" spans="20:20" ht="18.75" customHeight="1" x14ac:dyDescent="0.35">
      <c r="T12082" s="246">
        <f t="shared" si="226"/>
        <v>0</v>
      </c>
    </row>
    <row r="12083" spans="20:20" ht="18.75" customHeight="1" x14ac:dyDescent="0.35">
      <c r="T12083" s="246">
        <f t="shared" si="226"/>
        <v>0</v>
      </c>
    </row>
    <row r="12084" spans="20:20" ht="18.75" customHeight="1" x14ac:dyDescent="0.35">
      <c r="T12084" s="246">
        <f t="shared" si="226"/>
        <v>0</v>
      </c>
    </row>
    <row r="12085" spans="20:20" ht="18.75" customHeight="1" x14ac:dyDescent="0.35">
      <c r="T12085" s="246">
        <f t="shared" si="226"/>
        <v>0</v>
      </c>
    </row>
    <row r="12086" spans="20:20" ht="18.75" customHeight="1" x14ac:dyDescent="0.35">
      <c r="T12086" s="246">
        <f t="shared" si="226"/>
        <v>0</v>
      </c>
    </row>
    <row r="12087" spans="20:20" ht="18.75" customHeight="1" x14ac:dyDescent="0.35">
      <c r="T12087" s="246">
        <f t="shared" si="226"/>
        <v>0</v>
      </c>
    </row>
    <row r="12088" spans="20:20" ht="18.75" customHeight="1" x14ac:dyDescent="0.35">
      <c r="T12088" s="246">
        <f t="shared" si="226"/>
        <v>0</v>
      </c>
    </row>
    <row r="12089" spans="20:20" ht="18.75" customHeight="1" x14ac:dyDescent="0.35">
      <c r="T12089" s="246">
        <f t="shared" si="226"/>
        <v>0</v>
      </c>
    </row>
    <row r="12090" spans="20:20" ht="18.75" customHeight="1" x14ac:dyDescent="0.35">
      <c r="T12090" s="246">
        <f t="shared" si="226"/>
        <v>0</v>
      </c>
    </row>
    <row r="12091" spans="20:20" ht="18.75" customHeight="1" x14ac:dyDescent="0.35">
      <c r="T12091" s="246">
        <f t="shared" si="226"/>
        <v>0</v>
      </c>
    </row>
    <row r="12092" spans="20:20" ht="18.75" customHeight="1" x14ac:dyDescent="0.35">
      <c r="T12092" s="246">
        <f t="shared" ref="T12092:T12155" si="227">R12092*0.01</f>
        <v>0</v>
      </c>
    </row>
    <row r="12093" spans="20:20" ht="18.75" customHeight="1" x14ac:dyDescent="0.35">
      <c r="T12093" s="246">
        <f t="shared" si="227"/>
        <v>0</v>
      </c>
    </row>
    <row r="12094" spans="20:20" ht="18.75" customHeight="1" x14ac:dyDescent="0.35">
      <c r="T12094" s="246">
        <f t="shared" si="227"/>
        <v>0</v>
      </c>
    </row>
    <row r="12095" spans="20:20" ht="18.75" customHeight="1" x14ac:dyDescent="0.35">
      <c r="T12095" s="246">
        <f t="shared" si="227"/>
        <v>0</v>
      </c>
    </row>
    <row r="12096" spans="20:20" ht="18.75" customHeight="1" x14ac:dyDescent="0.35">
      <c r="T12096" s="246">
        <f t="shared" si="227"/>
        <v>0</v>
      </c>
    </row>
    <row r="12097" spans="20:20" ht="18.75" customHeight="1" x14ac:dyDescent="0.35">
      <c r="T12097" s="246">
        <f t="shared" si="227"/>
        <v>0</v>
      </c>
    </row>
    <row r="12098" spans="20:20" ht="18.75" customHeight="1" x14ac:dyDescent="0.35">
      <c r="T12098" s="246">
        <f t="shared" si="227"/>
        <v>0</v>
      </c>
    </row>
    <row r="12099" spans="20:20" ht="18.75" customHeight="1" x14ac:dyDescent="0.35">
      <c r="T12099" s="246">
        <f t="shared" si="227"/>
        <v>0</v>
      </c>
    </row>
    <row r="12100" spans="20:20" ht="18.75" customHeight="1" x14ac:dyDescent="0.35">
      <c r="T12100" s="246">
        <f t="shared" si="227"/>
        <v>0</v>
      </c>
    </row>
    <row r="12101" spans="20:20" ht="18.75" customHeight="1" x14ac:dyDescent="0.35">
      <c r="T12101" s="246">
        <f t="shared" si="227"/>
        <v>0</v>
      </c>
    </row>
    <row r="12102" spans="20:20" ht="18.75" customHeight="1" x14ac:dyDescent="0.35">
      <c r="T12102" s="246">
        <f t="shared" si="227"/>
        <v>0</v>
      </c>
    </row>
    <row r="12103" spans="20:20" ht="18.75" customHeight="1" x14ac:dyDescent="0.35">
      <c r="T12103" s="246">
        <f t="shared" si="227"/>
        <v>0</v>
      </c>
    </row>
    <row r="12104" spans="20:20" ht="18.75" customHeight="1" x14ac:dyDescent="0.35">
      <c r="T12104" s="246">
        <f t="shared" si="227"/>
        <v>0</v>
      </c>
    </row>
    <row r="12105" spans="20:20" ht="18.75" customHeight="1" x14ac:dyDescent="0.35">
      <c r="T12105" s="246">
        <f t="shared" si="227"/>
        <v>0</v>
      </c>
    </row>
    <row r="12106" spans="20:20" ht="18.75" customHeight="1" x14ac:dyDescent="0.35">
      <c r="T12106" s="246">
        <f t="shared" si="227"/>
        <v>0</v>
      </c>
    </row>
    <row r="12107" spans="20:20" ht="18.75" customHeight="1" x14ac:dyDescent="0.35">
      <c r="T12107" s="246">
        <f t="shared" si="227"/>
        <v>0</v>
      </c>
    </row>
    <row r="12108" spans="20:20" ht="18.75" customHeight="1" x14ac:dyDescent="0.35">
      <c r="T12108" s="246">
        <f t="shared" si="227"/>
        <v>0</v>
      </c>
    </row>
    <row r="12109" spans="20:20" ht="18.75" customHeight="1" x14ac:dyDescent="0.35">
      <c r="T12109" s="246">
        <f t="shared" si="227"/>
        <v>0</v>
      </c>
    </row>
    <row r="12110" spans="20:20" ht="18.75" customHeight="1" x14ac:dyDescent="0.35">
      <c r="T12110" s="246">
        <f t="shared" si="227"/>
        <v>0</v>
      </c>
    </row>
    <row r="12111" spans="20:20" ht="18.75" customHeight="1" x14ac:dyDescent="0.35">
      <c r="T12111" s="246">
        <f t="shared" si="227"/>
        <v>0</v>
      </c>
    </row>
    <row r="12112" spans="20:20" ht="18.75" customHeight="1" x14ac:dyDescent="0.35">
      <c r="T12112" s="246">
        <f t="shared" si="227"/>
        <v>0</v>
      </c>
    </row>
    <row r="12113" spans="20:20" ht="18.75" customHeight="1" x14ac:dyDescent="0.35">
      <c r="T12113" s="246">
        <f t="shared" si="227"/>
        <v>0</v>
      </c>
    </row>
    <row r="12114" spans="20:20" ht="18.75" customHeight="1" x14ac:dyDescent="0.35">
      <c r="T12114" s="246">
        <f t="shared" si="227"/>
        <v>0</v>
      </c>
    </row>
    <row r="12115" spans="20:20" ht="18.75" customHeight="1" x14ac:dyDescent="0.35">
      <c r="T12115" s="246">
        <f t="shared" si="227"/>
        <v>0</v>
      </c>
    </row>
    <row r="12116" spans="20:20" ht="18.75" customHeight="1" x14ac:dyDescent="0.35">
      <c r="T12116" s="246">
        <f t="shared" si="227"/>
        <v>0</v>
      </c>
    </row>
    <row r="12117" spans="20:20" ht="18.75" customHeight="1" x14ac:dyDescent="0.35">
      <c r="T12117" s="246">
        <f t="shared" si="227"/>
        <v>0</v>
      </c>
    </row>
    <row r="12118" spans="20:20" ht="18.75" customHeight="1" x14ac:dyDescent="0.35">
      <c r="T12118" s="246">
        <f t="shared" si="227"/>
        <v>0</v>
      </c>
    </row>
    <row r="12119" spans="20:20" ht="18.75" customHeight="1" x14ac:dyDescent="0.35">
      <c r="T12119" s="246">
        <f t="shared" si="227"/>
        <v>0</v>
      </c>
    </row>
    <row r="12120" spans="20:20" ht="18.75" customHeight="1" x14ac:dyDescent="0.35">
      <c r="T12120" s="246">
        <f t="shared" si="227"/>
        <v>0</v>
      </c>
    </row>
    <row r="12121" spans="20:20" ht="18.75" customHeight="1" x14ac:dyDescent="0.35">
      <c r="T12121" s="246">
        <f t="shared" si="227"/>
        <v>0</v>
      </c>
    </row>
    <row r="12122" spans="20:20" ht="18.75" customHeight="1" x14ac:dyDescent="0.35">
      <c r="T12122" s="246">
        <f t="shared" si="227"/>
        <v>0</v>
      </c>
    </row>
    <row r="12123" spans="20:20" ht="18.75" customHeight="1" x14ac:dyDescent="0.35">
      <c r="T12123" s="246">
        <f t="shared" si="227"/>
        <v>0</v>
      </c>
    </row>
    <row r="12124" spans="20:20" ht="18.75" customHeight="1" x14ac:dyDescent="0.35">
      <c r="T12124" s="246">
        <f t="shared" si="227"/>
        <v>0</v>
      </c>
    </row>
    <row r="12125" spans="20:20" ht="18.75" customHeight="1" x14ac:dyDescent="0.35">
      <c r="T12125" s="246">
        <f t="shared" si="227"/>
        <v>0</v>
      </c>
    </row>
    <row r="12126" spans="20:20" ht="18.75" customHeight="1" x14ac:dyDescent="0.35">
      <c r="T12126" s="246">
        <f t="shared" si="227"/>
        <v>0</v>
      </c>
    </row>
    <row r="12127" spans="20:20" ht="18.75" customHeight="1" x14ac:dyDescent="0.35">
      <c r="T12127" s="246">
        <f t="shared" si="227"/>
        <v>0</v>
      </c>
    </row>
    <row r="12128" spans="20:20" ht="18.75" customHeight="1" x14ac:dyDescent="0.35">
      <c r="T12128" s="246">
        <f t="shared" si="227"/>
        <v>0</v>
      </c>
    </row>
    <row r="12129" spans="20:20" ht="18.75" customHeight="1" x14ac:dyDescent="0.35">
      <c r="T12129" s="246">
        <f t="shared" si="227"/>
        <v>0</v>
      </c>
    </row>
    <row r="12130" spans="20:20" ht="18.75" customHeight="1" x14ac:dyDescent="0.35">
      <c r="T12130" s="246">
        <f t="shared" si="227"/>
        <v>0</v>
      </c>
    </row>
    <row r="12131" spans="20:20" ht="18.75" customHeight="1" x14ac:dyDescent="0.35">
      <c r="T12131" s="246">
        <f t="shared" si="227"/>
        <v>0</v>
      </c>
    </row>
    <row r="12132" spans="20:20" ht="18.75" customHeight="1" x14ac:dyDescent="0.35">
      <c r="T12132" s="246">
        <f t="shared" si="227"/>
        <v>0</v>
      </c>
    </row>
    <row r="12133" spans="20:20" ht="18.75" customHeight="1" x14ac:dyDescent="0.35">
      <c r="T12133" s="246">
        <f t="shared" si="227"/>
        <v>0</v>
      </c>
    </row>
    <row r="12134" spans="20:20" ht="18.75" customHeight="1" x14ac:dyDescent="0.35">
      <c r="T12134" s="246">
        <f t="shared" si="227"/>
        <v>0</v>
      </c>
    </row>
    <row r="12135" spans="20:20" ht="18.75" customHeight="1" x14ac:dyDescent="0.35">
      <c r="T12135" s="246">
        <f t="shared" si="227"/>
        <v>0</v>
      </c>
    </row>
    <row r="12136" spans="20:20" ht="18.75" customHeight="1" x14ac:dyDescent="0.35">
      <c r="T12136" s="246">
        <f t="shared" si="227"/>
        <v>0</v>
      </c>
    </row>
    <row r="12137" spans="20:20" ht="18.75" customHeight="1" x14ac:dyDescent="0.35">
      <c r="T12137" s="246">
        <f t="shared" si="227"/>
        <v>0</v>
      </c>
    </row>
    <row r="12138" spans="20:20" ht="18.75" customHeight="1" x14ac:dyDescent="0.35">
      <c r="T12138" s="246">
        <f t="shared" si="227"/>
        <v>0</v>
      </c>
    </row>
    <row r="12139" spans="20:20" ht="18.75" customHeight="1" x14ac:dyDescent="0.35">
      <c r="T12139" s="246">
        <f t="shared" si="227"/>
        <v>0</v>
      </c>
    </row>
    <row r="12140" spans="20:20" ht="18.75" customHeight="1" x14ac:dyDescent="0.35">
      <c r="T12140" s="246">
        <f t="shared" si="227"/>
        <v>0</v>
      </c>
    </row>
    <row r="12141" spans="20:20" ht="18.75" customHeight="1" x14ac:dyDescent="0.35">
      <c r="T12141" s="246">
        <f t="shared" si="227"/>
        <v>0</v>
      </c>
    </row>
    <row r="12142" spans="20:20" ht="18.75" customHeight="1" x14ac:dyDescent="0.35">
      <c r="T12142" s="246">
        <f t="shared" si="227"/>
        <v>0</v>
      </c>
    </row>
    <row r="12143" spans="20:20" ht="18.75" customHeight="1" x14ac:dyDescent="0.35">
      <c r="T12143" s="246">
        <f t="shared" si="227"/>
        <v>0</v>
      </c>
    </row>
    <row r="12144" spans="20:20" ht="18.75" customHeight="1" x14ac:dyDescent="0.35">
      <c r="T12144" s="246">
        <f t="shared" si="227"/>
        <v>0</v>
      </c>
    </row>
    <row r="12145" spans="20:20" ht="18.75" customHeight="1" x14ac:dyDescent="0.35">
      <c r="T12145" s="246">
        <f t="shared" si="227"/>
        <v>0</v>
      </c>
    </row>
    <row r="12146" spans="20:20" ht="18.75" customHeight="1" x14ac:dyDescent="0.35">
      <c r="T12146" s="246">
        <f t="shared" si="227"/>
        <v>0</v>
      </c>
    </row>
    <row r="12147" spans="20:20" ht="18.75" customHeight="1" x14ac:dyDescent="0.35">
      <c r="T12147" s="246">
        <f t="shared" si="227"/>
        <v>0</v>
      </c>
    </row>
    <row r="12148" spans="20:20" ht="18.75" customHeight="1" x14ac:dyDescent="0.35">
      <c r="T12148" s="246">
        <f t="shared" si="227"/>
        <v>0</v>
      </c>
    </row>
    <row r="12149" spans="20:20" ht="18.75" customHeight="1" x14ac:dyDescent="0.35">
      <c r="T12149" s="246">
        <f t="shared" si="227"/>
        <v>0</v>
      </c>
    </row>
    <row r="12150" spans="20:20" ht="18.75" customHeight="1" x14ac:dyDescent="0.35">
      <c r="T12150" s="246">
        <f t="shared" si="227"/>
        <v>0</v>
      </c>
    </row>
    <row r="12151" spans="20:20" ht="18.75" customHeight="1" x14ac:dyDescent="0.35">
      <c r="T12151" s="246">
        <f t="shared" si="227"/>
        <v>0</v>
      </c>
    </row>
    <row r="12152" spans="20:20" ht="18.75" customHeight="1" x14ac:dyDescent="0.35">
      <c r="T12152" s="246">
        <f t="shared" si="227"/>
        <v>0</v>
      </c>
    </row>
    <row r="12153" spans="20:20" ht="18.75" customHeight="1" x14ac:dyDescent="0.35">
      <c r="T12153" s="246">
        <f t="shared" si="227"/>
        <v>0</v>
      </c>
    </row>
    <row r="12154" spans="20:20" ht="18.75" customHeight="1" x14ac:dyDescent="0.35">
      <c r="T12154" s="246">
        <f t="shared" si="227"/>
        <v>0</v>
      </c>
    </row>
    <row r="12155" spans="20:20" ht="18.75" customHeight="1" x14ac:dyDescent="0.35">
      <c r="T12155" s="246">
        <f t="shared" si="227"/>
        <v>0</v>
      </c>
    </row>
    <row r="12156" spans="20:20" ht="18.75" customHeight="1" x14ac:dyDescent="0.35">
      <c r="T12156" s="246">
        <f t="shared" ref="T12156:T12219" si="228">R12156*0.01</f>
        <v>0</v>
      </c>
    </row>
    <row r="12157" spans="20:20" ht="18.75" customHeight="1" x14ac:dyDescent="0.35">
      <c r="T12157" s="246">
        <f t="shared" si="228"/>
        <v>0</v>
      </c>
    </row>
    <row r="12158" spans="20:20" ht="18.75" customHeight="1" x14ac:dyDescent="0.35">
      <c r="T12158" s="246">
        <f t="shared" si="228"/>
        <v>0</v>
      </c>
    </row>
    <row r="12159" spans="20:20" ht="18.75" customHeight="1" x14ac:dyDescent="0.35">
      <c r="T12159" s="246">
        <f t="shared" si="228"/>
        <v>0</v>
      </c>
    </row>
    <row r="12160" spans="20:20" ht="18.75" customHeight="1" x14ac:dyDescent="0.35">
      <c r="T12160" s="246">
        <f t="shared" si="228"/>
        <v>0</v>
      </c>
    </row>
    <row r="12161" spans="20:20" ht="18.75" customHeight="1" x14ac:dyDescent="0.35">
      <c r="T12161" s="246">
        <f t="shared" si="228"/>
        <v>0</v>
      </c>
    </row>
    <row r="12162" spans="20:20" ht="18.75" customHeight="1" x14ac:dyDescent="0.35">
      <c r="T12162" s="246">
        <f t="shared" si="228"/>
        <v>0</v>
      </c>
    </row>
    <row r="12163" spans="20:20" ht="18.75" customHeight="1" x14ac:dyDescent="0.35">
      <c r="T12163" s="246">
        <f t="shared" si="228"/>
        <v>0</v>
      </c>
    </row>
    <row r="12164" spans="20:20" ht="18.75" customHeight="1" x14ac:dyDescent="0.35">
      <c r="T12164" s="246">
        <f t="shared" si="228"/>
        <v>0</v>
      </c>
    </row>
    <row r="12165" spans="20:20" ht="18.75" customHeight="1" x14ac:dyDescent="0.35">
      <c r="T12165" s="246">
        <f t="shared" si="228"/>
        <v>0</v>
      </c>
    </row>
    <row r="12166" spans="20:20" ht="18.75" customHeight="1" x14ac:dyDescent="0.35">
      <c r="T12166" s="246">
        <f t="shared" si="228"/>
        <v>0</v>
      </c>
    </row>
    <row r="12167" spans="20:20" ht="18.75" customHeight="1" x14ac:dyDescent="0.35">
      <c r="T12167" s="246">
        <f t="shared" si="228"/>
        <v>0</v>
      </c>
    </row>
    <row r="12168" spans="20:20" ht="18.75" customHeight="1" x14ac:dyDescent="0.35">
      <c r="T12168" s="246">
        <f t="shared" si="228"/>
        <v>0</v>
      </c>
    </row>
    <row r="12169" spans="20:20" ht="18.75" customHeight="1" x14ac:dyDescent="0.35">
      <c r="T12169" s="246">
        <f t="shared" si="228"/>
        <v>0</v>
      </c>
    </row>
    <row r="12170" spans="20:20" ht="18.75" customHeight="1" x14ac:dyDescent="0.35">
      <c r="T12170" s="246">
        <f t="shared" si="228"/>
        <v>0</v>
      </c>
    </row>
    <row r="12171" spans="20:20" ht="18.75" customHeight="1" x14ac:dyDescent="0.35">
      <c r="T12171" s="246">
        <f t="shared" si="228"/>
        <v>0</v>
      </c>
    </row>
    <row r="12172" spans="20:20" ht="18.75" customHeight="1" x14ac:dyDescent="0.35">
      <c r="T12172" s="246">
        <f t="shared" si="228"/>
        <v>0</v>
      </c>
    </row>
    <row r="12173" spans="20:20" ht="18.75" customHeight="1" x14ac:dyDescent="0.35">
      <c r="T12173" s="246">
        <f t="shared" si="228"/>
        <v>0</v>
      </c>
    </row>
    <row r="12174" spans="20:20" ht="18.75" customHeight="1" x14ac:dyDescent="0.35">
      <c r="T12174" s="246">
        <f t="shared" si="228"/>
        <v>0</v>
      </c>
    </row>
    <row r="12175" spans="20:20" ht="18.75" customHeight="1" x14ac:dyDescent="0.35">
      <c r="T12175" s="246">
        <f t="shared" si="228"/>
        <v>0</v>
      </c>
    </row>
    <row r="12176" spans="20:20" ht="18.75" customHeight="1" x14ac:dyDescent="0.35">
      <c r="T12176" s="246">
        <f t="shared" si="228"/>
        <v>0</v>
      </c>
    </row>
    <row r="12177" spans="20:20" ht="18.75" customHeight="1" x14ac:dyDescent="0.35">
      <c r="T12177" s="246">
        <f t="shared" si="228"/>
        <v>0</v>
      </c>
    </row>
    <row r="12178" spans="20:20" ht="18.75" customHeight="1" x14ac:dyDescent="0.35">
      <c r="T12178" s="246">
        <f t="shared" si="228"/>
        <v>0</v>
      </c>
    </row>
    <row r="12179" spans="20:20" ht="18.75" customHeight="1" x14ac:dyDescent="0.35">
      <c r="T12179" s="246">
        <f t="shared" si="228"/>
        <v>0</v>
      </c>
    </row>
    <row r="12180" spans="20:20" ht="18.75" customHeight="1" x14ac:dyDescent="0.35">
      <c r="T12180" s="246">
        <f t="shared" si="228"/>
        <v>0</v>
      </c>
    </row>
    <row r="12181" spans="20:20" ht="18.75" customHeight="1" x14ac:dyDescent="0.35">
      <c r="T12181" s="246">
        <f t="shared" si="228"/>
        <v>0</v>
      </c>
    </row>
    <row r="12182" spans="20:20" ht="18.75" customHeight="1" x14ac:dyDescent="0.35">
      <c r="T12182" s="246">
        <f t="shared" si="228"/>
        <v>0</v>
      </c>
    </row>
    <row r="12183" spans="20:20" ht="18.75" customHeight="1" x14ac:dyDescent="0.35">
      <c r="T12183" s="246">
        <f t="shared" si="228"/>
        <v>0</v>
      </c>
    </row>
    <row r="12184" spans="20:20" ht="18.75" customHeight="1" x14ac:dyDescent="0.35">
      <c r="T12184" s="246">
        <f t="shared" si="228"/>
        <v>0</v>
      </c>
    </row>
    <row r="12185" spans="20:20" ht="18.75" customHeight="1" x14ac:dyDescent="0.35">
      <c r="T12185" s="246">
        <f t="shared" si="228"/>
        <v>0</v>
      </c>
    </row>
    <row r="12186" spans="20:20" ht="18.75" customHeight="1" x14ac:dyDescent="0.35">
      <c r="T12186" s="246">
        <f t="shared" si="228"/>
        <v>0</v>
      </c>
    </row>
    <row r="12187" spans="20:20" ht="18.75" customHeight="1" x14ac:dyDescent="0.35">
      <c r="T12187" s="246">
        <f t="shared" si="228"/>
        <v>0</v>
      </c>
    </row>
    <row r="12188" spans="20:20" ht="18.75" customHeight="1" x14ac:dyDescent="0.35">
      <c r="T12188" s="246">
        <f t="shared" si="228"/>
        <v>0</v>
      </c>
    </row>
    <row r="12189" spans="20:20" ht="18.75" customHeight="1" x14ac:dyDescent="0.35">
      <c r="T12189" s="246">
        <f t="shared" si="228"/>
        <v>0</v>
      </c>
    </row>
    <row r="12190" spans="20:20" ht="18.75" customHeight="1" x14ac:dyDescent="0.35">
      <c r="T12190" s="246">
        <f t="shared" si="228"/>
        <v>0</v>
      </c>
    </row>
    <row r="12191" spans="20:20" ht="18.75" customHeight="1" x14ac:dyDescent="0.35">
      <c r="T12191" s="246">
        <f t="shared" si="228"/>
        <v>0</v>
      </c>
    </row>
    <row r="12192" spans="20:20" ht="18.75" customHeight="1" x14ac:dyDescent="0.35">
      <c r="T12192" s="246">
        <f t="shared" si="228"/>
        <v>0</v>
      </c>
    </row>
    <row r="12193" spans="20:20" ht="18.75" customHeight="1" x14ac:dyDescent="0.35">
      <c r="T12193" s="246">
        <f t="shared" si="228"/>
        <v>0</v>
      </c>
    </row>
    <row r="12194" spans="20:20" ht="18.75" customHeight="1" x14ac:dyDescent="0.35">
      <c r="T12194" s="246">
        <f t="shared" si="228"/>
        <v>0</v>
      </c>
    </row>
    <row r="12195" spans="20:20" ht="18.75" customHeight="1" x14ac:dyDescent="0.35">
      <c r="T12195" s="246">
        <f t="shared" si="228"/>
        <v>0</v>
      </c>
    </row>
    <row r="12196" spans="20:20" ht="18.75" customHeight="1" x14ac:dyDescent="0.35">
      <c r="T12196" s="246">
        <f t="shared" si="228"/>
        <v>0</v>
      </c>
    </row>
    <row r="12197" spans="20:20" ht="18.75" customHeight="1" x14ac:dyDescent="0.35">
      <c r="T12197" s="246">
        <f t="shared" si="228"/>
        <v>0</v>
      </c>
    </row>
    <row r="12198" spans="20:20" ht="18.75" customHeight="1" x14ac:dyDescent="0.35">
      <c r="T12198" s="246">
        <f t="shared" si="228"/>
        <v>0</v>
      </c>
    </row>
    <row r="12199" spans="20:20" ht="18.75" customHeight="1" x14ac:dyDescent="0.35">
      <c r="T12199" s="246">
        <f t="shared" si="228"/>
        <v>0</v>
      </c>
    </row>
    <row r="12200" spans="20:20" ht="18.75" customHeight="1" x14ac:dyDescent="0.35">
      <c r="T12200" s="246">
        <f t="shared" si="228"/>
        <v>0</v>
      </c>
    </row>
    <row r="12201" spans="20:20" ht="18.75" customHeight="1" x14ac:dyDescent="0.35">
      <c r="T12201" s="246">
        <f t="shared" si="228"/>
        <v>0</v>
      </c>
    </row>
    <row r="12202" spans="20:20" ht="18.75" customHeight="1" x14ac:dyDescent="0.35">
      <c r="T12202" s="246">
        <f t="shared" si="228"/>
        <v>0</v>
      </c>
    </row>
    <row r="12203" spans="20:20" ht="18.75" customHeight="1" x14ac:dyDescent="0.35">
      <c r="T12203" s="246">
        <f t="shared" si="228"/>
        <v>0</v>
      </c>
    </row>
    <row r="12204" spans="20:20" ht="18.75" customHeight="1" x14ac:dyDescent="0.35">
      <c r="T12204" s="246">
        <f t="shared" si="228"/>
        <v>0</v>
      </c>
    </row>
    <row r="12205" spans="20:20" ht="18.75" customHeight="1" x14ac:dyDescent="0.35">
      <c r="T12205" s="246">
        <f t="shared" si="228"/>
        <v>0</v>
      </c>
    </row>
    <row r="12206" spans="20:20" ht="18.75" customHeight="1" x14ac:dyDescent="0.35">
      <c r="T12206" s="246">
        <f t="shared" si="228"/>
        <v>0</v>
      </c>
    </row>
    <row r="12207" spans="20:20" ht="18.75" customHeight="1" x14ac:dyDescent="0.35">
      <c r="T12207" s="246">
        <f t="shared" si="228"/>
        <v>0</v>
      </c>
    </row>
    <row r="12208" spans="20:20" ht="18.75" customHeight="1" x14ac:dyDescent="0.35">
      <c r="T12208" s="246">
        <f t="shared" si="228"/>
        <v>0</v>
      </c>
    </row>
    <row r="12209" spans="20:20" ht="18.75" customHeight="1" x14ac:dyDescent="0.35">
      <c r="T12209" s="246">
        <f t="shared" si="228"/>
        <v>0</v>
      </c>
    </row>
    <row r="12210" spans="20:20" ht="18.75" customHeight="1" x14ac:dyDescent="0.35">
      <c r="T12210" s="246">
        <f t="shared" si="228"/>
        <v>0</v>
      </c>
    </row>
    <row r="12211" spans="20:20" ht="18.75" customHeight="1" x14ac:dyDescent="0.35">
      <c r="T12211" s="246">
        <f t="shared" si="228"/>
        <v>0</v>
      </c>
    </row>
    <row r="12212" spans="20:20" ht="18.75" customHeight="1" x14ac:dyDescent="0.35">
      <c r="T12212" s="246">
        <f t="shared" si="228"/>
        <v>0</v>
      </c>
    </row>
    <row r="12213" spans="20:20" ht="18.75" customHeight="1" x14ac:dyDescent="0.35">
      <c r="T12213" s="246">
        <f t="shared" si="228"/>
        <v>0</v>
      </c>
    </row>
    <row r="12214" spans="20:20" ht="18.75" customHeight="1" x14ac:dyDescent="0.35">
      <c r="T12214" s="246">
        <f t="shared" si="228"/>
        <v>0</v>
      </c>
    </row>
    <row r="12215" spans="20:20" ht="18.75" customHeight="1" x14ac:dyDescent="0.35">
      <c r="T12215" s="246">
        <f t="shared" si="228"/>
        <v>0</v>
      </c>
    </row>
    <row r="12216" spans="20:20" ht="18.75" customHeight="1" x14ac:dyDescent="0.35">
      <c r="T12216" s="246">
        <f t="shared" si="228"/>
        <v>0</v>
      </c>
    </row>
    <row r="12217" spans="20:20" ht="18.75" customHeight="1" x14ac:dyDescent="0.35">
      <c r="T12217" s="246">
        <f t="shared" si="228"/>
        <v>0</v>
      </c>
    </row>
    <row r="12218" spans="20:20" ht="18.75" customHeight="1" x14ac:dyDescent="0.35">
      <c r="T12218" s="246">
        <f t="shared" si="228"/>
        <v>0</v>
      </c>
    </row>
    <row r="12219" spans="20:20" ht="18.75" customHeight="1" x14ac:dyDescent="0.35">
      <c r="T12219" s="246">
        <f t="shared" si="228"/>
        <v>0</v>
      </c>
    </row>
    <row r="12220" spans="20:20" ht="18.75" customHeight="1" x14ac:dyDescent="0.35">
      <c r="T12220" s="246">
        <f t="shared" ref="T12220:T12283" si="229">R12220*0.01</f>
        <v>0</v>
      </c>
    </row>
    <row r="12221" spans="20:20" ht="18.75" customHeight="1" x14ac:dyDescent="0.35">
      <c r="T12221" s="246">
        <f t="shared" si="229"/>
        <v>0</v>
      </c>
    </row>
    <row r="12222" spans="20:20" ht="18.75" customHeight="1" x14ac:dyDescent="0.35">
      <c r="T12222" s="246">
        <f t="shared" si="229"/>
        <v>0</v>
      </c>
    </row>
    <row r="12223" spans="20:20" ht="18.75" customHeight="1" x14ac:dyDescent="0.35">
      <c r="T12223" s="246">
        <f t="shared" si="229"/>
        <v>0</v>
      </c>
    </row>
    <row r="12224" spans="20:20" ht="18.75" customHeight="1" x14ac:dyDescent="0.35">
      <c r="T12224" s="246">
        <f t="shared" si="229"/>
        <v>0</v>
      </c>
    </row>
    <row r="12225" spans="20:20" ht="18.75" customHeight="1" x14ac:dyDescent="0.35">
      <c r="T12225" s="246">
        <f t="shared" si="229"/>
        <v>0</v>
      </c>
    </row>
    <row r="12226" spans="20:20" ht="18.75" customHeight="1" x14ac:dyDescent="0.35">
      <c r="T12226" s="246">
        <f t="shared" si="229"/>
        <v>0</v>
      </c>
    </row>
    <row r="12227" spans="20:20" ht="18.75" customHeight="1" x14ac:dyDescent="0.35">
      <c r="T12227" s="246">
        <f t="shared" si="229"/>
        <v>0</v>
      </c>
    </row>
    <row r="12228" spans="20:20" ht="18.75" customHeight="1" x14ac:dyDescent="0.35">
      <c r="T12228" s="246">
        <f t="shared" si="229"/>
        <v>0</v>
      </c>
    </row>
    <row r="12229" spans="20:20" ht="18.75" customHeight="1" x14ac:dyDescent="0.35">
      <c r="T12229" s="246">
        <f t="shared" si="229"/>
        <v>0</v>
      </c>
    </row>
    <row r="12230" spans="20:20" ht="18.75" customHeight="1" x14ac:dyDescent="0.35">
      <c r="T12230" s="246">
        <f t="shared" si="229"/>
        <v>0</v>
      </c>
    </row>
    <row r="12231" spans="20:20" ht="18.75" customHeight="1" x14ac:dyDescent="0.35">
      <c r="T12231" s="246">
        <f t="shared" si="229"/>
        <v>0</v>
      </c>
    </row>
    <row r="12232" spans="20:20" ht="18.75" customHeight="1" x14ac:dyDescent="0.35">
      <c r="T12232" s="246">
        <f t="shared" si="229"/>
        <v>0</v>
      </c>
    </row>
    <row r="12233" spans="20:20" ht="18.75" customHeight="1" x14ac:dyDescent="0.35">
      <c r="T12233" s="246">
        <f t="shared" si="229"/>
        <v>0</v>
      </c>
    </row>
    <row r="12234" spans="20:20" ht="18.75" customHeight="1" x14ac:dyDescent="0.35">
      <c r="T12234" s="246">
        <f t="shared" si="229"/>
        <v>0</v>
      </c>
    </row>
    <row r="12235" spans="20:20" ht="18.75" customHeight="1" x14ac:dyDescent="0.35">
      <c r="T12235" s="246">
        <f t="shared" si="229"/>
        <v>0</v>
      </c>
    </row>
    <row r="12236" spans="20:20" ht="18.75" customHeight="1" x14ac:dyDescent="0.35">
      <c r="T12236" s="246">
        <f t="shared" si="229"/>
        <v>0</v>
      </c>
    </row>
    <row r="12237" spans="20:20" ht="18.75" customHeight="1" x14ac:dyDescent="0.35">
      <c r="T12237" s="246">
        <f t="shared" si="229"/>
        <v>0</v>
      </c>
    </row>
    <row r="12238" spans="20:20" ht="18.75" customHeight="1" x14ac:dyDescent="0.35">
      <c r="T12238" s="246">
        <f t="shared" si="229"/>
        <v>0</v>
      </c>
    </row>
    <row r="12239" spans="20:20" ht="18.75" customHeight="1" x14ac:dyDescent="0.35">
      <c r="T12239" s="246">
        <f t="shared" si="229"/>
        <v>0</v>
      </c>
    </row>
    <row r="12240" spans="20:20" ht="18.75" customHeight="1" x14ac:dyDescent="0.35">
      <c r="T12240" s="246">
        <f t="shared" si="229"/>
        <v>0</v>
      </c>
    </row>
    <row r="12241" spans="20:20" ht="18.75" customHeight="1" x14ac:dyDescent="0.35">
      <c r="T12241" s="246">
        <f t="shared" si="229"/>
        <v>0</v>
      </c>
    </row>
    <row r="12242" spans="20:20" ht="18.75" customHeight="1" x14ac:dyDescent="0.35">
      <c r="T12242" s="246">
        <f t="shared" si="229"/>
        <v>0</v>
      </c>
    </row>
    <row r="12243" spans="20:20" ht="18.75" customHeight="1" x14ac:dyDescent="0.35">
      <c r="T12243" s="246">
        <f t="shared" si="229"/>
        <v>0</v>
      </c>
    </row>
    <row r="12244" spans="20:20" ht="18.75" customHeight="1" x14ac:dyDescent="0.35">
      <c r="T12244" s="246">
        <f t="shared" si="229"/>
        <v>0</v>
      </c>
    </row>
    <row r="12245" spans="20:20" ht="18.75" customHeight="1" x14ac:dyDescent="0.35">
      <c r="T12245" s="246">
        <f t="shared" si="229"/>
        <v>0</v>
      </c>
    </row>
    <row r="12246" spans="20:20" ht="18.75" customHeight="1" x14ac:dyDescent="0.35">
      <c r="T12246" s="246">
        <f t="shared" si="229"/>
        <v>0</v>
      </c>
    </row>
    <row r="12247" spans="20:20" ht="18.75" customHeight="1" x14ac:dyDescent="0.35">
      <c r="T12247" s="246">
        <f t="shared" si="229"/>
        <v>0</v>
      </c>
    </row>
    <row r="12248" spans="20:20" ht="18.75" customHeight="1" x14ac:dyDescent="0.35">
      <c r="T12248" s="246">
        <f t="shared" si="229"/>
        <v>0</v>
      </c>
    </row>
    <row r="12249" spans="20:20" ht="18.75" customHeight="1" x14ac:dyDescent="0.35">
      <c r="T12249" s="246">
        <f t="shared" si="229"/>
        <v>0</v>
      </c>
    </row>
    <row r="12250" spans="20:20" ht="18.75" customHeight="1" x14ac:dyDescent="0.35">
      <c r="T12250" s="246">
        <f t="shared" si="229"/>
        <v>0</v>
      </c>
    </row>
    <row r="12251" spans="20:20" ht="18.75" customHeight="1" x14ac:dyDescent="0.35">
      <c r="T12251" s="246">
        <f t="shared" si="229"/>
        <v>0</v>
      </c>
    </row>
    <row r="12252" spans="20:20" ht="18.75" customHeight="1" x14ac:dyDescent="0.35">
      <c r="T12252" s="246">
        <f t="shared" si="229"/>
        <v>0</v>
      </c>
    </row>
    <row r="12253" spans="20:20" ht="18.75" customHeight="1" x14ac:dyDescent="0.35">
      <c r="T12253" s="246">
        <f t="shared" si="229"/>
        <v>0</v>
      </c>
    </row>
    <row r="12254" spans="20:20" ht="18.75" customHeight="1" x14ac:dyDescent="0.35">
      <c r="T12254" s="246">
        <f t="shared" si="229"/>
        <v>0</v>
      </c>
    </row>
    <row r="12255" spans="20:20" ht="18.75" customHeight="1" x14ac:dyDescent="0.35">
      <c r="T12255" s="246">
        <f t="shared" si="229"/>
        <v>0</v>
      </c>
    </row>
    <row r="12256" spans="20:20" ht="18.75" customHeight="1" x14ac:dyDescent="0.35">
      <c r="T12256" s="246">
        <f t="shared" si="229"/>
        <v>0</v>
      </c>
    </row>
    <row r="12257" spans="20:20" ht="18.75" customHeight="1" x14ac:dyDescent="0.35">
      <c r="T12257" s="246">
        <f t="shared" si="229"/>
        <v>0</v>
      </c>
    </row>
    <row r="12258" spans="20:20" ht="18.75" customHeight="1" x14ac:dyDescent="0.35">
      <c r="T12258" s="246">
        <f t="shared" si="229"/>
        <v>0</v>
      </c>
    </row>
    <row r="12259" spans="20:20" ht="18.75" customHeight="1" x14ac:dyDescent="0.35">
      <c r="T12259" s="246">
        <f t="shared" si="229"/>
        <v>0</v>
      </c>
    </row>
    <row r="12260" spans="20:20" ht="18.75" customHeight="1" x14ac:dyDescent="0.35">
      <c r="T12260" s="246">
        <f t="shared" si="229"/>
        <v>0</v>
      </c>
    </row>
    <row r="12261" spans="20:20" ht="18.75" customHeight="1" x14ac:dyDescent="0.35">
      <c r="T12261" s="246">
        <f t="shared" si="229"/>
        <v>0</v>
      </c>
    </row>
    <row r="12262" spans="20:20" ht="18.75" customHeight="1" x14ac:dyDescent="0.35">
      <c r="T12262" s="246">
        <f t="shared" si="229"/>
        <v>0</v>
      </c>
    </row>
    <row r="12263" spans="20:20" ht="18.75" customHeight="1" x14ac:dyDescent="0.35">
      <c r="T12263" s="246">
        <f t="shared" si="229"/>
        <v>0</v>
      </c>
    </row>
    <row r="12264" spans="20:20" ht="18.75" customHeight="1" x14ac:dyDescent="0.35">
      <c r="T12264" s="246">
        <f t="shared" si="229"/>
        <v>0</v>
      </c>
    </row>
    <row r="12265" spans="20:20" ht="18.75" customHeight="1" x14ac:dyDescent="0.35">
      <c r="T12265" s="246">
        <f t="shared" si="229"/>
        <v>0</v>
      </c>
    </row>
    <row r="12266" spans="20:20" ht="18.75" customHeight="1" x14ac:dyDescent="0.35">
      <c r="T12266" s="246">
        <f t="shared" si="229"/>
        <v>0</v>
      </c>
    </row>
    <row r="12267" spans="20:20" ht="18.75" customHeight="1" x14ac:dyDescent="0.35">
      <c r="T12267" s="246">
        <f t="shared" si="229"/>
        <v>0</v>
      </c>
    </row>
    <row r="12268" spans="20:20" ht="18.75" customHeight="1" x14ac:dyDescent="0.35">
      <c r="T12268" s="246">
        <f t="shared" si="229"/>
        <v>0</v>
      </c>
    </row>
    <row r="12269" spans="20:20" ht="18.75" customHeight="1" x14ac:dyDescent="0.35">
      <c r="T12269" s="246">
        <f t="shared" si="229"/>
        <v>0</v>
      </c>
    </row>
    <row r="12270" spans="20:20" ht="18.75" customHeight="1" x14ac:dyDescent="0.35">
      <c r="T12270" s="246">
        <f t="shared" si="229"/>
        <v>0</v>
      </c>
    </row>
    <row r="12271" spans="20:20" ht="18.75" customHeight="1" x14ac:dyDescent="0.35">
      <c r="T12271" s="246">
        <f t="shared" si="229"/>
        <v>0</v>
      </c>
    </row>
    <row r="12272" spans="20:20" ht="18.75" customHeight="1" x14ac:dyDescent="0.35">
      <c r="T12272" s="246">
        <f t="shared" si="229"/>
        <v>0</v>
      </c>
    </row>
    <row r="12273" spans="20:20" ht="18.75" customHeight="1" x14ac:dyDescent="0.35">
      <c r="T12273" s="246">
        <f t="shared" si="229"/>
        <v>0</v>
      </c>
    </row>
    <row r="12274" spans="20:20" ht="18.75" customHeight="1" x14ac:dyDescent="0.35">
      <c r="T12274" s="246">
        <f t="shared" si="229"/>
        <v>0</v>
      </c>
    </row>
    <row r="12275" spans="20:20" ht="18.75" customHeight="1" x14ac:dyDescent="0.35">
      <c r="T12275" s="246">
        <f t="shared" si="229"/>
        <v>0</v>
      </c>
    </row>
    <row r="12276" spans="20:20" ht="18.75" customHeight="1" x14ac:dyDescent="0.35">
      <c r="T12276" s="246">
        <f t="shared" si="229"/>
        <v>0</v>
      </c>
    </row>
    <row r="12277" spans="20:20" ht="18.75" customHeight="1" x14ac:dyDescent="0.35">
      <c r="T12277" s="246">
        <f t="shared" si="229"/>
        <v>0</v>
      </c>
    </row>
    <row r="12278" spans="20:20" ht="18.75" customHeight="1" x14ac:dyDescent="0.35">
      <c r="T12278" s="246">
        <f t="shared" si="229"/>
        <v>0</v>
      </c>
    </row>
    <row r="12279" spans="20:20" ht="18.75" customHeight="1" x14ac:dyDescent="0.35">
      <c r="T12279" s="246">
        <f t="shared" si="229"/>
        <v>0</v>
      </c>
    </row>
    <row r="12280" spans="20:20" ht="18.75" customHeight="1" x14ac:dyDescent="0.35">
      <c r="T12280" s="246">
        <f t="shared" si="229"/>
        <v>0</v>
      </c>
    </row>
    <row r="12281" spans="20:20" ht="18.75" customHeight="1" x14ac:dyDescent="0.35">
      <c r="T12281" s="246">
        <f t="shared" si="229"/>
        <v>0</v>
      </c>
    </row>
    <row r="12282" spans="20:20" ht="18.75" customHeight="1" x14ac:dyDescent="0.35">
      <c r="T12282" s="246">
        <f t="shared" si="229"/>
        <v>0</v>
      </c>
    </row>
    <row r="12283" spans="20:20" ht="18.75" customHeight="1" x14ac:dyDescent="0.35">
      <c r="T12283" s="246">
        <f t="shared" si="229"/>
        <v>0</v>
      </c>
    </row>
    <row r="12284" spans="20:20" ht="18.75" customHeight="1" x14ac:dyDescent="0.35">
      <c r="T12284" s="246">
        <f t="shared" ref="T12284:T12347" si="230">R12284*0.01</f>
        <v>0</v>
      </c>
    </row>
    <row r="12285" spans="20:20" ht="18.75" customHeight="1" x14ac:dyDescent="0.35">
      <c r="T12285" s="246">
        <f t="shared" si="230"/>
        <v>0</v>
      </c>
    </row>
    <row r="12286" spans="20:20" ht="18.75" customHeight="1" x14ac:dyDescent="0.35">
      <c r="T12286" s="246">
        <f t="shared" si="230"/>
        <v>0</v>
      </c>
    </row>
    <row r="12287" spans="20:20" ht="18.75" customHeight="1" x14ac:dyDescent="0.35">
      <c r="T12287" s="246">
        <f t="shared" si="230"/>
        <v>0</v>
      </c>
    </row>
    <row r="12288" spans="20:20" ht="18.75" customHeight="1" x14ac:dyDescent="0.35">
      <c r="T12288" s="246">
        <f t="shared" si="230"/>
        <v>0</v>
      </c>
    </row>
    <row r="12289" spans="20:20" ht="18.75" customHeight="1" x14ac:dyDescent="0.35">
      <c r="T12289" s="246">
        <f t="shared" si="230"/>
        <v>0</v>
      </c>
    </row>
    <row r="12290" spans="20:20" ht="18.75" customHeight="1" x14ac:dyDescent="0.35">
      <c r="T12290" s="246">
        <f t="shared" si="230"/>
        <v>0</v>
      </c>
    </row>
    <row r="12291" spans="20:20" ht="18.75" customHeight="1" x14ac:dyDescent="0.35">
      <c r="T12291" s="246">
        <f t="shared" si="230"/>
        <v>0</v>
      </c>
    </row>
    <row r="12292" spans="20:20" ht="18.75" customHeight="1" x14ac:dyDescent="0.35">
      <c r="T12292" s="246">
        <f t="shared" si="230"/>
        <v>0</v>
      </c>
    </row>
    <row r="12293" spans="20:20" ht="18.75" customHeight="1" x14ac:dyDescent="0.35">
      <c r="T12293" s="246">
        <f t="shared" si="230"/>
        <v>0</v>
      </c>
    </row>
    <row r="12294" spans="20:20" ht="18.75" customHeight="1" x14ac:dyDescent="0.35">
      <c r="T12294" s="246">
        <f t="shared" si="230"/>
        <v>0</v>
      </c>
    </row>
    <row r="12295" spans="20:20" ht="18.75" customHeight="1" x14ac:dyDescent="0.35">
      <c r="T12295" s="246">
        <f t="shared" si="230"/>
        <v>0</v>
      </c>
    </row>
    <row r="12296" spans="20:20" ht="18.75" customHeight="1" x14ac:dyDescent="0.35">
      <c r="T12296" s="246">
        <f t="shared" si="230"/>
        <v>0</v>
      </c>
    </row>
    <row r="12297" spans="20:20" ht="18.75" customHeight="1" x14ac:dyDescent="0.35">
      <c r="T12297" s="246">
        <f t="shared" si="230"/>
        <v>0</v>
      </c>
    </row>
    <row r="12298" spans="20:20" ht="18.75" customHeight="1" x14ac:dyDescent="0.35">
      <c r="T12298" s="246">
        <f t="shared" si="230"/>
        <v>0</v>
      </c>
    </row>
    <row r="12299" spans="20:20" ht="18.75" customHeight="1" x14ac:dyDescent="0.35">
      <c r="T12299" s="246">
        <f t="shared" si="230"/>
        <v>0</v>
      </c>
    </row>
    <row r="12300" spans="20:20" ht="18.75" customHeight="1" x14ac:dyDescent="0.35">
      <c r="T12300" s="246">
        <f t="shared" si="230"/>
        <v>0</v>
      </c>
    </row>
    <row r="12301" spans="20:20" ht="18.75" customHeight="1" x14ac:dyDescent="0.35">
      <c r="T12301" s="246">
        <f t="shared" si="230"/>
        <v>0</v>
      </c>
    </row>
    <row r="12302" spans="20:20" ht="18.75" customHeight="1" x14ac:dyDescent="0.35">
      <c r="T12302" s="246">
        <f t="shared" si="230"/>
        <v>0</v>
      </c>
    </row>
    <row r="12303" spans="20:20" ht="18.75" customHeight="1" x14ac:dyDescent="0.35">
      <c r="T12303" s="246">
        <f t="shared" si="230"/>
        <v>0</v>
      </c>
    </row>
    <row r="12304" spans="20:20" ht="18.75" customHeight="1" x14ac:dyDescent="0.35">
      <c r="T12304" s="246">
        <f t="shared" si="230"/>
        <v>0</v>
      </c>
    </row>
    <row r="12305" spans="20:20" ht="18.75" customHeight="1" x14ac:dyDescent="0.35">
      <c r="T12305" s="246">
        <f t="shared" si="230"/>
        <v>0</v>
      </c>
    </row>
    <row r="12306" spans="20:20" ht="18.75" customHeight="1" x14ac:dyDescent="0.35">
      <c r="T12306" s="246">
        <f t="shared" si="230"/>
        <v>0</v>
      </c>
    </row>
    <row r="12307" spans="20:20" ht="18.75" customHeight="1" x14ac:dyDescent="0.35">
      <c r="T12307" s="246">
        <f t="shared" si="230"/>
        <v>0</v>
      </c>
    </row>
    <row r="12308" spans="20:20" ht="18.75" customHeight="1" x14ac:dyDescent="0.35">
      <c r="T12308" s="246">
        <f t="shared" si="230"/>
        <v>0</v>
      </c>
    </row>
    <row r="12309" spans="20:20" ht="18.75" customHeight="1" x14ac:dyDescent="0.35">
      <c r="T12309" s="246">
        <f t="shared" si="230"/>
        <v>0</v>
      </c>
    </row>
    <row r="12310" spans="20:20" ht="18.75" customHeight="1" x14ac:dyDescent="0.35">
      <c r="T12310" s="246">
        <f t="shared" si="230"/>
        <v>0</v>
      </c>
    </row>
    <row r="12311" spans="20:20" ht="18.75" customHeight="1" x14ac:dyDescent="0.35">
      <c r="T12311" s="246">
        <f t="shared" si="230"/>
        <v>0</v>
      </c>
    </row>
    <row r="12312" spans="20:20" ht="18.75" customHeight="1" x14ac:dyDescent="0.35">
      <c r="T12312" s="246">
        <f t="shared" si="230"/>
        <v>0</v>
      </c>
    </row>
    <row r="12313" spans="20:20" ht="18.75" customHeight="1" x14ac:dyDescent="0.35">
      <c r="T12313" s="246">
        <f t="shared" si="230"/>
        <v>0</v>
      </c>
    </row>
    <row r="12314" spans="20:20" ht="18.75" customHeight="1" x14ac:dyDescent="0.35">
      <c r="T12314" s="246">
        <f t="shared" si="230"/>
        <v>0</v>
      </c>
    </row>
    <row r="12315" spans="20:20" ht="18.75" customHeight="1" x14ac:dyDescent="0.35">
      <c r="T12315" s="246">
        <f t="shared" si="230"/>
        <v>0</v>
      </c>
    </row>
    <row r="12316" spans="20:20" ht="18.75" customHeight="1" x14ac:dyDescent="0.35">
      <c r="T12316" s="246">
        <f t="shared" si="230"/>
        <v>0</v>
      </c>
    </row>
    <row r="12317" spans="20:20" ht="18.75" customHeight="1" x14ac:dyDescent="0.35">
      <c r="T12317" s="246">
        <f t="shared" si="230"/>
        <v>0</v>
      </c>
    </row>
    <row r="12318" spans="20:20" ht="18.75" customHeight="1" x14ac:dyDescent="0.35">
      <c r="T12318" s="246">
        <f t="shared" si="230"/>
        <v>0</v>
      </c>
    </row>
    <row r="12319" spans="20:20" ht="18.75" customHeight="1" x14ac:dyDescent="0.35">
      <c r="T12319" s="246">
        <f t="shared" si="230"/>
        <v>0</v>
      </c>
    </row>
    <row r="12320" spans="20:20" ht="18.75" customHeight="1" x14ac:dyDescent="0.35">
      <c r="T12320" s="246">
        <f t="shared" si="230"/>
        <v>0</v>
      </c>
    </row>
    <row r="12321" spans="20:20" ht="18.75" customHeight="1" x14ac:dyDescent="0.35">
      <c r="T12321" s="246">
        <f t="shared" si="230"/>
        <v>0</v>
      </c>
    </row>
    <row r="12322" spans="20:20" ht="18.75" customHeight="1" x14ac:dyDescent="0.35">
      <c r="T12322" s="246">
        <f t="shared" si="230"/>
        <v>0</v>
      </c>
    </row>
    <row r="12323" spans="20:20" ht="18.75" customHeight="1" x14ac:dyDescent="0.35">
      <c r="T12323" s="246">
        <f t="shared" si="230"/>
        <v>0</v>
      </c>
    </row>
    <row r="12324" spans="20:20" ht="18.75" customHeight="1" x14ac:dyDescent="0.35">
      <c r="T12324" s="246">
        <f t="shared" si="230"/>
        <v>0</v>
      </c>
    </row>
    <row r="12325" spans="20:20" ht="18.75" customHeight="1" x14ac:dyDescent="0.35">
      <c r="T12325" s="246">
        <f t="shared" si="230"/>
        <v>0</v>
      </c>
    </row>
    <row r="12326" spans="20:20" ht="18.75" customHeight="1" x14ac:dyDescent="0.35">
      <c r="T12326" s="246">
        <f t="shared" si="230"/>
        <v>0</v>
      </c>
    </row>
    <row r="12327" spans="20:20" ht="18.75" customHeight="1" x14ac:dyDescent="0.35">
      <c r="T12327" s="246">
        <f t="shared" si="230"/>
        <v>0</v>
      </c>
    </row>
    <row r="12328" spans="20:20" ht="18.75" customHeight="1" x14ac:dyDescent="0.35">
      <c r="T12328" s="246">
        <f t="shared" si="230"/>
        <v>0</v>
      </c>
    </row>
    <row r="12329" spans="20:20" ht="18.75" customHeight="1" x14ac:dyDescent="0.35">
      <c r="T12329" s="246">
        <f t="shared" si="230"/>
        <v>0</v>
      </c>
    </row>
    <row r="12330" spans="20:20" ht="18.75" customHeight="1" x14ac:dyDescent="0.35">
      <c r="T12330" s="246">
        <f t="shared" si="230"/>
        <v>0</v>
      </c>
    </row>
    <row r="12331" spans="20:20" ht="18.75" customHeight="1" x14ac:dyDescent="0.35">
      <c r="T12331" s="246">
        <f t="shared" si="230"/>
        <v>0</v>
      </c>
    </row>
    <row r="12332" spans="20:20" ht="18.75" customHeight="1" x14ac:dyDescent="0.35">
      <c r="T12332" s="246">
        <f t="shared" si="230"/>
        <v>0</v>
      </c>
    </row>
    <row r="12333" spans="20:20" ht="18.75" customHeight="1" x14ac:dyDescent="0.35">
      <c r="T12333" s="246">
        <f t="shared" si="230"/>
        <v>0</v>
      </c>
    </row>
    <row r="12334" spans="20:20" ht="18.75" customHeight="1" x14ac:dyDescent="0.35">
      <c r="T12334" s="246">
        <f t="shared" si="230"/>
        <v>0</v>
      </c>
    </row>
    <row r="12335" spans="20:20" ht="18.75" customHeight="1" x14ac:dyDescent="0.35">
      <c r="T12335" s="246">
        <f t="shared" si="230"/>
        <v>0</v>
      </c>
    </row>
    <row r="12336" spans="20:20" ht="18.75" customHeight="1" x14ac:dyDescent="0.35">
      <c r="T12336" s="246">
        <f t="shared" si="230"/>
        <v>0</v>
      </c>
    </row>
    <row r="12337" spans="20:20" ht="18.75" customHeight="1" x14ac:dyDescent="0.35">
      <c r="T12337" s="246">
        <f t="shared" si="230"/>
        <v>0</v>
      </c>
    </row>
    <row r="12338" spans="20:20" ht="18.75" customHeight="1" x14ac:dyDescent="0.35">
      <c r="T12338" s="246">
        <f t="shared" si="230"/>
        <v>0</v>
      </c>
    </row>
    <row r="12339" spans="20:20" ht="18.75" customHeight="1" x14ac:dyDescent="0.35">
      <c r="T12339" s="246">
        <f t="shared" si="230"/>
        <v>0</v>
      </c>
    </row>
    <row r="12340" spans="20:20" ht="18.75" customHeight="1" x14ac:dyDescent="0.35">
      <c r="T12340" s="246">
        <f t="shared" si="230"/>
        <v>0</v>
      </c>
    </row>
    <row r="12341" spans="20:20" ht="18.75" customHeight="1" x14ac:dyDescent="0.35">
      <c r="T12341" s="246">
        <f t="shared" si="230"/>
        <v>0</v>
      </c>
    </row>
    <row r="12342" spans="20:20" ht="18.75" customHeight="1" x14ac:dyDescent="0.35">
      <c r="T12342" s="246">
        <f t="shared" si="230"/>
        <v>0</v>
      </c>
    </row>
    <row r="12343" spans="20:20" ht="18.75" customHeight="1" x14ac:dyDescent="0.35">
      <c r="T12343" s="246">
        <f t="shared" si="230"/>
        <v>0</v>
      </c>
    </row>
    <row r="12344" spans="20:20" ht="18.75" customHeight="1" x14ac:dyDescent="0.35">
      <c r="T12344" s="246">
        <f t="shared" si="230"/>
        <v>0</v>
      </c>
    </row>
    <row r="12345" spans="20:20" ht="18.75" customHeight="1" x14ac:dyDescent="0.35">
      <c r="T12345" s="246">
        <f t="shared" si="230"/>
        <v>0</v>
      </c>
    </row>
    <row r="12346" spans="20:20" ht="18.75" customHeight="1" x14ac:dyDescent="0.35">
      <c r="T12346" s="246">
        <f t="shared" si="230"/>
        <v>0</v>
      </c>
    </row>
    <row r="12347" spans="20:20" ht="18.75" customHeight="1" x14ac:dyDescent="0.35">
      <c r="T12347" s="246">
        <f t="shared" si="230"/>
        <v>0</v>
      </c>
    </row>
    <row r="12348" spans="20:20" ht="18.75" customHeight="1" x14ac:dyDescent="0.35">
      <c r="T12348" s="246">
        <f t="shared" ref="T12348:T12411" si="231">R12348*0.01</f>
        <v>0</v>
      </c>
    </row>
    <row r="12349" spans="20:20" ht="18.75" customHeight="1" x14ac:dyDescent="0.35">
      <c r="T12349" s="246">
        <f t="shared" si="231"/>
        <v>0</v>
      </c>
    </row>
    <row r="12350" spans="20:20" ht="18.75" customHeight="1" x14ac:dyDescent="0.35">
      <c r="T12350" s="246">
        <f t="shared" si="231"/>
        <v>0</v>
      </c>
    </row>
    <row r="12351" spans="20:20" ht="18.75" customHeight="1" x14ac:dyDescent="0.35">
      <c r="T12351" s="246">
        <f t="shared" si="231"/>
        <v>0</v>
      </c>
    </row>
    <row r="12352" spans="20:20" ht="18.75" customHeight="1" x14ac:dyDescent="0.35">
      <c r="T12352" s="246">
        <f t="shared" si="231"/>
        <v>0</v>
      </c>
    </row>
    <row r="12353" spans="20:20" ht="18.75" customHeight="1" x14ac:dyDescent="0.35">
      <c r="T12353" s="246">
        <f t="shared" si="231"/>
        <v>0</v>
      </c>
    </row>
    <row r="12354" spans="20:20" ht="18.75" customHeight="1" x14ac:dyDescent="0.35">
      <c r="T12354" s="246">
        <f t="shared" si="231"/>
        <v>0</v>
      </c>
    </row>
    <row r="12355" spans="20:20" ht="18.75" customHeight="1" x14ac:dyDescent="0.35">
      <c r="T12355" s="246">
        <f t="shared" si="231"/>
        <v>0</v>
      </c>
    </row>
    <row r="12356" spans="20:20" ht="18.75" customHeight="1" x14ac:dyDescent="0.35">
      <c r="T12356" s="246">
        <f t="shared" si="231"/>
        <v>0</v>
      </c>
    </row>
    <row r="12357" spans="20:20" ht="18.75" customHeight="1" x14ac:dyDescent="0.35">
      <c r="T12357" s="246">
        <f t="shared" si="231"/>
        <v>0</v>
      </c>
    </row>
    <row r="12358" spans="20:20" ht="18.75" customHeight="1" x14ac:dyDescent="0.35">
      <c r="T12358" s="246">
        <f t="shared" si="231"/>
        <v>0</v>
      </c>
    </row>
    <row r="12359" spans="20:20" ht="18.75" customHeight="1" x14ac:dyDescent="0.35">
      <c r="T12359" s="246">
        <f t="shared" si="231"/>
        <v>0</v>
      </c>
    </row>
    <row r="12360" spans="20:20" ht="18.75" customHeight="1" x14ac:dyDescent="0.35">
      <c r="T12360" s="246">
        <f t="shared" si="231"/>
        <v>0</v>
      </c>
    </row>
    <row r="12361" spans="20:20" ht="18.75" customHeight="1" x14ac:dyDescent="0.35">
      <c r="T12361" s="246">
        <f t="shared" si="231"/>
        <v>0</v>
      </c>
    </row>
    <row r="12362" spans="20:20" ht="18.75" customHeight="1" x14ac:dyDescent="0.35">
      <c r="T12362" s="246">
        <f t="shared" si="231"/>
        <v>0</v>
      </c>
    </row>
    <row r="12363" spans="20:20" ht="18.75" customHeight="1" x14ac:dyDescent="0.35">
      <c r="T12363" s="246">
        <f t="shared" si="231"/>
        <v>0</v>
      </c>
    </row>
    <row r="12364" spans="20:20" ht="18.75" customHeight="1" x14ac:dyDescent="0.35">
      <c r="T12364" s="246">
        <f t="shared" si="231"/>
        <v>0</v>
      </c>
    </row>
    <row r="12365" spans="20:20" ht="18.75" customHeight="1" x14ac:dyDescent="0.35">
      <c r="T12365" s="246">
        <f t="shared" si="231"/>
        <v>0</v>
      </c>
    </row>
    <row r="12366" spans="20:20" ht="18.75" customHeight="1" x14ac:dyDescent="0.35">
      <c r="T12366" s="246">
        <f t="shared" si="231"/>
        <v>0</v>
      </c>
    </row>
    <row r="12367" spans="20:20" ht="18.75" customHeight="1" x14ac:dyDescent="0.35">
      <c r="T12367" s="246">
        <f t="shared" si="231"/>
        <v>0</v>
      </c>
    </row>
    <row r="12368" spans="20:20" ht="18.75" customHeight="1" x14ac:dyDescent="0.35">
      <c r="T12368" s="246">
        <f t="shared" si="231"/>
        <v>0</v>
      </c>
    </row>
    <row r="12369" spans="20:20" ht="18.75" customHeight="1" x14ac:dyDescent="0.35">
      <c r="T12369" s="246">
        <f t="shared" si="231"/>
        <v>0</v>
      </c>
    </row>
    <row r="12370" spans="20:20" ht="18.75" customHeight="1" x14ac:dyDescent="0.35">
      <c r="T12370" s="246">
        <f t="shared" si="231"/>
        <v>0</v>
      </c>
    </row>
    <row r="12371" spans="20:20" ht="18.75" customHeight="1" x14ac:dyDescent="0.35">
      <c r="T12371" s="246">
        <f t="shared" si="231"/>
        <v>0</v>
      </c>
    </row>
    <row r="12372" spans="20:20" ht="18.75" customHeight="1" x14ac:dyDescent="0.35">
      <c r="T12372" s="246">
        <f t="shared" si="231"/>
        <v>0</v>
      </c>
    </row>
    <row r="12373" spans="20:20" ht="18.75" customHeight="1" x14ac:dyDescent="0.35">
      <c r="T12373" s="246">
        <f t="shared" si="231"/>
        <v>0</v>
      </c>
    </row>
    <row r="12374" spans="20:20" ht="18.75" customHeight="1" x14ac:dyDescent="0.35">
      <c r="T12374" s="246">
        <f t="shared" si="231"/>
        <v>0</v>
      </c>
    </row>
    <row r="12375" spans="20:20" ht="18.75" customHeight="1" x14ac:dyDescent="0.35">
      <c r="T12375" s="246">
        <f t="shared" si="231"/>
        <v>0</v>
      </c>
    </row>
    <row r="12376" spans="20:20" ht="18.75" customHeight="1" x14ac:dyDescent="0.35">
      <c r="T12376" s="246">
        <f t="shared" si="231"/>
        <v>0</v>
      </c>
    </row>
    <row r="12377" spans="20:20" ht="18.75" customHeight="1" x14ac:dyDescent="0.35">
      <c r="T12377" s="246">
        <f t="shared" si="231"/>
        <v>0</v>
      </c>
    </row>
    <row r="12378" spans="20:20" ht="18.75" customHeight="1" x14ac:dyDescent="0.35">
      <c r="T12378" s="246">
        <f t="shared" si="231"/>
        <v>0</v>
      </c>
    </row>
    <row r="12379" spans="20:20" ht="18.75" customHeight="1" x14ac:dyDescent="0.35">
      <c r="T12379" s="246">
        <f t="shared" si="231"/>
        <v>0</v>
      </c>
    </row>
    <row r="12380" spans="20:20" ht="18.75" customHeight="1" x14ac:dyDescent="0.35">
      <c r="T12380" s="246">
        <f t="shared" si="231"/>
        <v>0</v>
      </c>
    </row>
    <row r="12381" spans="20:20" ht="18.75" customHeight="1" x14ac:dyDescent="0.35">
      <c r="T12381" s="246">
        <f t="shared" si="231"/>
        <v>0</v>
      </c>
    </row>
    <row r="12382" spans="20:20" ht="18.75" customHeight="1" x14ac:dyDescent="0.35">
      <c r="T12382" s="246">
        <f t="shared" si="231"/>
        <v>0</v>
      </c>
    </row>
    <row r="12383" spans="20:20" ht="18.75" customHeight="1" x14ac:dyDescent="0.35">
      <c r="T12383" s="246">
        <f t="shared" si="231"/>
        <v>0</v>
      </c>
    </row>
    <row r="12384" spans="20:20" ht="18.75" customHeight="1" x14ac:dyDescent="0.35">
      <c r="T12384" s="246">
        <f t="shared" si="231"/>
        <v>0</v>
      </c>
    </row>
    <row r="12385" spans="20:20" ht="18.75" customHeight="1" x14ac:dyDescent="0.35">
      <c r="T12385" s="246">
        <f t="shared" si="231"/>
        <v>0</v>
      </c>
    </row>
    <row r="12386" spans="20:20" ht="18.75" customHeight="1" x14ac:dyDescent="0.35">
      <c r="T12386" s="246">
        <f t="shared" si="231"/>
        <v>0</v>
      </c>
    </row>
    <row r="12387" spans="20:20" ht="18.75" customHeight="1" x14ac:dyDescent="0.35">
      <c r="T12387" s="246">
        <f t="shared" si="231"/>
        <v>0</v>
      </c>
    </row>
    <row r="12388" spans="20:20" ht="18.75" customHeight="1" x14ac:dyDescent="0.35">
      <c r="T12388" s="246">
        <f t="shared" si="231"/>
        <v>0</v>
      </c>
    </row>
    <row r="12389" spans="20:20" ht="18.75" customHeight="1" x14ac:dyDescent="0.35">
      <c r="T12389" s="246">
        <f t="shared" si="231"/>
        <v>0</v>
      </c>
    </row>
    <row r="12390" spans="20:20" ht="18.75" customHeight="1" x14ac:dyDescent="0.35">
      <c r="T12390" s="246">
        <f t="shared" si="231"/>
        <v>0</v>
      </c>
    </row>
    <row r="12391" spans="20:20" ht="18.75" customHeight="1" x14ac:dyDescent="0.35">
      <c r="T12391" s="246">
        <f t="shared" si="231"/>
        <v>0</v>
      </c>
    </row>
    <row r="12392" spans="20:20" ht="18.75" customHeight="1" x14ac:dyDescent="0.35">
      <c r="T12392" s="246">
        <f t="shared" si="231"/>
        <v>0</v>
      </c>
    </row>
    <row r="12393" spans="20:20" ht="18.75" customHeight="1" x14ac:dyDescent="0.35">
      <c r="T12393" s="246">
        <f t="shared" si="231"/>
        <v>0</v>
      </c>
    </row>
    <row r="12394" spans="20:20" ht="18.75" customHeight="1" x14ac:dyDescent="0.35">
      <c r="T12394" s="246">
        <f t="shared" si="231"/>
        <v>0</v>
      </c>
    </row>
    <row r="12395" spans="20:20" ht="18.75" customHeight="1" x14ac:dyDescent="0.35">
      <c r="T12395" s="246">
        <f t="shared" si="231"/>
        <v>0</v>
      </c>
    </row>
    <row r="12396" spans="20:20" ht="18.75" customHeight="1" x14ac:dyDescent="0.35">
      <c r="T12396" s="246">
        <f t="shared" si="231"/>
        <v>0</v>
      </c>
    </row>
    <row r="12397" spans="20:20" ht="18.75" customHeight="1" x14ac:dyDescent="0.35">
      <c r="T12397" s="246">
        <f t="shared" si="231"/>
        <v>0</v>
      </c>
    </row>
    <row r="12398" spans="20:20" ht="18.75" customHeight="1" x14ac:dyDescent="0.35">
      <c r="T12398" s="246">
        <f t="shared" si="231"/>
        <v>0</v>
      </c>
    </row>
    <row r="12399" spans="20:20" ht="18.75" customHeight="1" x14ac:dyDescent="0.35">
      <c r="T12399" s="246">
        <f t="shared" si="231"/>
        <v>0</v>
      </c>
    </row>
    <row r="12400" spans="20:20" ht="18.75" customHeight="1" x14ac:dyDescent="0.35">
      <c r="T12400" s="246">
        <f t="shared" si="231"/>
        <v>0</v>
      </c>
    </row>
    <row r="12401" spans="20:20" ht="18.75" customHeight="1" x14ac:dyDescent="0.35">
      <c r="T12401" s="246">
        <f t="shared" si="231"/>
        <v>0</v>
      </c>
    </row>
    <row r="12402" spans="20:20" ht="18.75" customHeight="1" x14ac:dyDescent="0.35">
      <c r="T12402" s="246">
        <f t="shared" si="231"/>
        <v>0</v>
      </c>
    </row>
    <row r="12403" spans="20:20" ht="18.75" customHeight="1" x14ac:dyDescent="0.35">
      <c r="T12403" s="246">
        <f t="shared" si="231"/>
        <v>0</v>
      </c>
    </row>
    <row r="12404" spans="20:20" ht="18.75" customHeight="1" x14ac:dyDescent="0.35">
      <c r="T12404" s="246">
        <f t="shared" si="231"/>
        <v>0</v>
      </c>
    </row>
    <row r="12405" spans="20:20" ht="18.75" customHeight="1" x14ac:dyDescent="0.35">
      <c r="T12405" s="246">
        <f t="shared" si="231"/>
        <v>0</v>
      </c>
    </row>
    <row r="12406" spans="20:20" ht="18.75" customHeight="1" x14ac:dyDescent="0.35">
      <c r="T12406" s="246">
        <f t="shared" si="231"/>
        <v>0</v>
      </c>
    </row>
    <row r="12407" spans="20:20" ht="18.75" customHeight="1" x14ac:dyDescent="0.35">
      <c r="T12407" s="246">
        <f t="shared" si="231"/>
        <v>0</v>
      </c>
    </row>
    <row r="12408" spans="20:20" ht="18.75" customHeight="1" x14ac:dyDescent="0.35">
      <c r="T12408" s="246">
        <f t="shared" si="231"/>
        <v>0</v>
      </c>
    </row>
    <row r="12409" spans="20:20" ht="18.75" customHeight="1" x14ac:dyDescent="0.35">
      <c r="T12409" s="246">
        <f t="shared" si="231"/>
        <v>0</v>
      </c>
    </row>
    <row r="12410" spans="20:20" ht="18.75" customHeight="1" x14ac:dyDescent="0.35">
      <c r="T12410" s="246">
        <f t="shared" si="231"/>
        <v>0</v>
      </c>
    </row>
    <row r="12411" spans="20:20" ht="18.75" customHeight="1" x14ac:dyDescent="0.35">
      <c r="T12411" s="246">
        <f t="shared" si="231"/>
        <v>0</v>
      </c>
    </row>
    <row r="12412" spans="20:20" ht="18.75" customHeight="1" x14ac:dyDescent="0.35">
      <c r="T12412" s="246">
        <f t="shared" ref="T12412:T12475" si="232">R12412*0.01</f>
        <v>0</v>
      </c>
    </row>
    <row r="12413" spans="20:20" ht="18.75" customHeight="1" x14ac:dyDescent="0.35">
      <c r="T12413" s="246">
        <f t="shared" si="232"/>
        <v>0</v>
      </c>
    </row>
    <row r="12414" spans="20:20" ht="18.75" customHeight="1" x14ac:dyDescent="0.35">
      <c r="T12414" s="246">
        <f t="shared" si="232"/>
        <v>0</v>
      </c>
    </row>
    <row r="12415" spans="20:20" ht="18.75" customHeight="1" x14ac:dyDescent="0.35">
      <c r="T12415" s="246">
        <f t="shared" si="232"/>
        <v>0</v>
      </c>
    </row>
    <row r="12416" spans="20:20" ht="18.75" customHeight="1" x14ac:dyDescent="0.35">
      <c r="T12416" s="246">
        <f t="shared" si="232"/>
        <v>0</v>
      </c>
    </row>
    <row r="12417" spans="20:20" ht="18.75" customHeight="1" x14ac:dyDescent="0.35">
      <c r="T12417" s="246">
        <f t="shared" si="232"/>
        <v>0</v>
      </c>
    </row>
    <row r="12418" spans="20:20" ht="18.75" customHeight="1" x14ac:dyDescent="0.35">
      <c r="T12418" s="246">
        <f t="shared" si="232"/>
        <v>0</v>
      </c>
    </row>
    <row r="12419" spans="20:20" ht="18.75" customHeight="1" x14ac:dyDescent="0.35">
      <c r="T12419" s="246">
        <f t="shared" si="232"/>
        <v>0</v>
      </c>
    </row>
    <row r="12420" spans="20:20" ht="18.75" customHeight="1" x14ac:dyDescent="0.35">
      <c r="T12420" s="246">
        <f t="shared" si="232"/>
        <v>0</v>
      </c>
    </row>
    <row r="12421" spans="20:20" ht="18.75" customHeight="1" x14ac:dyDescent="0.35">
      <c r="T12421" s="246">
        <f t="shared" si="232"/>
        <v>0</v>
      </c>
    </row>
    <row r="12422" spans="20:20" ht="18.75" customHeight="1" x14ac:dyDescent="0.35">
      <c r="T12422" s="246">
        <f t="shared" si="232"/>
        <v>0</v>
      </c>
    </row>
    <row r="12423" spans="20:20" ht="18.75" customHeight="1" x14ac:dyDescent="0.35">
      <c r="T12423" s="246">
        <f t="shared" si="232"/>
        <v>0</v>
      </c>
    </row>
    <row r="12424" spans="20:20" ht="18.75" customHeight="1" x14ac:dyDescent="0.35">
      <c r="T12424" s="246">
        <f t="shared" si="232"/>
        <v>0</v>
      </c>
    </row>
    <row r="12425" spans="20:20" ht="18.75" customHeight="1" x14ac:dyDescent="0.35">
      <c r="T12425" s="246">
        <f t="shared" si="232"/>
        <v>0</v>
      </c>
    </row>
    <row r="12426" spans="20:20" ht="18.75" customHeight="1" x14ac:dyDescent="0.35">
      <c r="T12426" s="246">
        <f t="shared" si="232"/>
        <v>0</v>
      </c>
    </row>
    <row r="12427" spans="20:20" ht="18.75" customHeight="1" x14ac:dyDescent="0.35">
      <c r="T12427" s="246">
        <f t="shared" si="232"/>
        <v>0</v>
      </c>
    </row>
    <row r="12428" spans="20:20" ht="18.75" customHeight="1" x14ac:dyDescent="0.35">
      <c r="T12428" s="246">
        <f t="shared" si="232"/>
        <v>0</v>
      </c>
    </row>
    <row r="12429" spans="20:20" ht="18.75" customHeight="1" x14ac:dyDescent="0.35">
      <c r="T12429" s="246">
        <f t="shared" si="232"/>
        <v>0</v>
      </c>
    </row>
    <row r="12430" spans="20:20" ht="18.75" customHeight="1" x14ac:dyDescent="0.35">
      <c r="T12430" s="246">
        <f t="shared" si="232"/>
        <v>0</v>
      </c>
    </row>
    <row r="12431" spans="20:20" ht="18.75" customHeight="1" x14ac:dyDescent="0.35">
      <c r="T12431" s="246">
        <f t="shared" si="232"/>
        <v>0</v>
      </c>
    </row>
    <row r="12432" spans="20:20" ht="18.75" customHeight="1" x14ac:dyDescent="0.35">
      <c r="T12432" s="246">
        <f t="shared" si="232"/>
        <v>0</v>
      </c>
    </row>
    <row r="12433" spans="20:20" ht="18.75" customHeight="1" x14ac:dyDescent="0.35">
      <c r="T12433" s="246">
        <f t="shared" si="232"/>
        <v>0</v>
      </c>
    </row>
    <row r="12434" spans="20:20" ht="18.75" customHeight="1" x14ac:dyDescent="0.35">
      <c r="T12434" s="246">
        <f t="shared" si="232"/>
        <v>0</v>
      </c>
    </row>
    <row r="12435" spans="20:20" ht="18.75" customHeight="1" x14ac:dyDescent="0.35">
      <c r="T12435" s="246">
        <f t="shared" si="232"/>
        <v>0</v>
      </c>
    </row>
    <row r="12436" spans="20:20" ht="18.75" customHeight="1" x14ac:dyDescent="0.35">
      <c r="T12436" s="246">
        <f t="shared" si="232"/>
        <v>0</v>
      </c>
    </row>
    <row r="12437" spans="20:20" ht="18.75" customHeight="1" x14ac:dyDescent="0.35">
      <c r="T12437" s="246">
        <f t="shared" si="232"/>
        <v>0</v>
      </c>
    </row>
    <row r="12438" spans="20:20" ht="18.75" customHeight="1" x14ac:dyDescent="0.35">
      <c r="T12438" s="246">
        <f t="shared" si="232"/>
        <v>0</v>
      </c>
    </row>
    <row r="12439" spans="20:20" ht="18.75" customHeight="1" x14ac:dyDescent="0.35">
      <c r="T12439" s="246">
        <f t="shared" si="232"/>
        <v>0</v>
      </c>
    </row>
    <row r="12440" spans="20:20" ht="18.75" customHeight="1" x14ac:dyDescent="0.35">
      <c r="T12440" s="246">
        <f t="shared" si="232"/>
        <v>0</v>
      </c>
    </row>
    <row r="12441" spans="20:20" ht="18.75" customHeight="1" x14ac:dyDescent="0.35">
      <c r="T12441" s="246">
        <f t="shared" si="232"/>
        <v>0</v>
      </c>
    </row>
    <row r="12442" spans="20:20" ht="18.75" customHeight="1" x14ac:dyDescent="0.35">
      <c r="T12442" s="246">
        <f t="shared" si="232"/>
        <v>0</v>
      </c>
    </row>
    <row r="12443" spans="20:20" ht="18.75" customHeight="1" x14ac:dyDescent="0.35">
      <c r="T12443" s="246">
        <f t="shared" si="232"/>
        <v>0</v>
      </c>
    </row>
    <row r="12444" spans="20:20" ht="18.75" customHeight="1" x14ac:dyDescent="0.35">
      <c r="T12444" s="246">
        <f t="shared" si="232"/>
        <v>0</v>
      </c>
    </row>
    <row r="12445" spans="20:20" ht="18.75" customHeight="1" x14ac:dyDescent="0.35">
      <c r="T12445" s="246">
        <f t="shared" si="232"/>
        <v>0</v>
      </c>
    </row>
    <row r="12446" spans="20:20" ht="18.75" customHeight="1" x14ac:dyDescent="0.35">
      <c r="T12446" s="246">
        <f t="shared" si="232"/>
        <v>0</v>
      </c>
    </row>
    <row r="12447" spans="20:20" ht="18.75" customHeight="1" x14ac:dyDescent="0.35">
      <c r="T12447" s="246">
        <f t="shared" si="232"/>
        <v>0</v>
      </c>
    </row>
    <row r="12448" spans="20:20" ht="18.75" customHeight="1" x14ac:dyDescent="0.35">
      <c r="T12448" s="246">
        <f t="shared" si="232"/>
        <v>0</v>
      </c>
    </row>
    <row r="12449" spans="20:20" ht="18.75" customHeight="1" x14ac:dyDescent="0.35">
      <c r="T12449" s="246">
        <f t="shared" si="232"/>
        <v>0</v>
      </c>
    </row>
    <row r="12450" spans="20:20" ht="18.75" customHeight="1" x14ac:dyDescent="0.35">
      <c r="T12450" s="246">
        <f t="shared" si="232"/>
        <v>0</v>
      </c>
    </row>
    <row r="12451" spans="20:20" ht="18.75" customHeight="1" x14ac:dyDescent="0.35">
      <c r="T12451" s="246">
        <f t="shared" si="232"/>
        <v>0</v>
      </c>
    </row>
    <row r="12452" spans="20:20" ht="18.75" customHeight="1" x14ac:dyDescent="0.35">
      <c r="T12452" s="246">
        <f t="shared" si="232"/>
        <v>0</v>
      </c>
    </row>
    <row r="12453" spans="20:20" ht="18.75" customHeight="1" x14ac:dyDescent="0.35">
      <c r="T12453" s="246">
        <f t="shared" si="232"/>
        <v>0</v>
      </c>
    </row>
    <row r="12454" spans="20:20" ht="18.75" customHeight="1" x14ac:dyDescent="0.35">
      <c r="T12454" s="246">
        <f t="shared" si="232"/>
        <v>0</v>
      </c>
    </row>
    <row r="12455" spans="20:20" ht="18.75" customHeight="1" x14ac:dyDescent="0.35">
      <c r="T12455" s="246">
        <f t="shared" si="232"/>
        <v>0</v>
      </c>
    </row>
    <row r="12456" spans="20:20" ht="18.75" customHeight="1" x14ac:dyDescent="0.35">
      <c r="T12456" s="246">
        <f t="shared" si="232"/>
        <v>0</v>
      </c>
    </row>
    <row r="12457" spans="20:20" ht="18.75" customHeight="1" x14ac:dyDescent="0.35">
      <c r="T12457" s="246">
        <f t="shared" si="232"/>
        <v>0</v>
      </c>
    </row>
    <row r="12458" spans="20:20" ht="18.75" customHeight="1" x14ac:dyDescent="0.35">
      <c r="T12458" s="246">
        <f t="shared" si="232"/>
        <v>0</v>
      </c>
    </row>
    <row r="12459" spans="20:20" ht="18.75" customHeight="1" x14ac:dyDescent="0.35">
      <c r="T12459" s="246">
        <f t="shared" si="232"/>
        <v>0</v>
      </c>
    </row>
    <row r="12460" spans="20:20" ht="18.75" customHeight="1" x14ac:dyDescent="0.35">
      <c r="T12460" s="246">
        <f t="shared" si="232"/>
        <v>0</v>
      </c>
    </row>
    <row r="12461" spans="20:20" ht="18.75" customHeight="1" x14ac:dyDescent="0.35">
      <c r="T12461" s="246">
        <f t="shared" si="232"/>
        <v>0</v>
      </c>
    </row>
    <row r="12462" spans="20:20" ht="18.75" customHeight="1" x14ac:dyDescent="0.35">
      <c r="T12462" s="246">
        <f t="shared" si="232"/>
        <v>0</v>
      </c>
    </row>
    <row r="12463" spans="20:20" ht="18.75" customHeight="1" x14ac:dyDescent="0.35">
      <c r="T12463" s="246">
        <f t="shared" si="232"/>
        <v>0</v>
      </c>
    </row>
    <row r="12464" spans="20:20" ht="18.75" customHeight="1" x14ac:dyDescent="0.35">
      <c r="T12464" s="246">
        <f t="shared" si="232"/>
        <v>0</v>
      </c>
    </row>
    <row r="12465" spans="20:20" ht="18.75" customHeight="1" x14ac:dyDescent="0.35">
      <c r="T12465" s="246">
        <f t="shared" si="232"/>
        <v>0</v>
      </c>
    </row>
    <row r="12466" spans="20:20" ht="18.75" customHeight="1" x14ac:dyDescent="0.35">
      <c r="T12466" s="246">
        <f t="shared" si="232"/>
        <v>0</v>
      </c>
    </row>
    <row r="12467" spans="20:20" ht="18.75" customHeight="1" x14ac:dyDescent="0.35">
      <c r="T12467" s="246">
        <f t="shared" si="232"/>
        <v>0</v>
      </c>
    </row>
    <row r="12468" spans="20:20" ht="18.75" customHeight="1" x14ac:dyDescent="0.35">
      <c r="T12468" s="246">
        <f t="shared" si="232"/>
        <v>0</v>
      </c>
    </row>
    <row r="12469" spans="20:20" ht="18.75" customHeight="1" x14ac:dyDescent="0.35">
      <c r="T12469" s="246">
        <f t="shared" si="232"/>
        <v>0</v>
      </c>
    </row>
    <row r="12470" spans="20:20" ht="18.75" customHeight="1" x14ac:dyDescent="0.35">
      <c r="T12470" s="246">
        <f t="shared" si="232"/>
        <v>0</v>
      </c>
    </row>
    <row r="12471" spans="20:20" ht="18.75" customHeight="1" x14ac:dyDescent="0.35">
      <c r="T12471" s="246">
        <f t="shared" si="232"/>
        <v>0</v>
      </c>
    </row>
    <row r="12472" spans="20:20" ht="18.75" customHeight="1" x14ac:dyDescent="0.35">
      <c r="T12472" s="246">
        <f t="shared" si="232"/>
        <v>0</v>
      </c>
    </row>
    <row r="12473" spans="20:20" ht="18.75" customHeight="1" x14ac:dyDescent="0.35">
      <c r="T12473" s="246">
        <f t="shared" si="232"/>
        <v>0</v>
      </c>
    </row>
    <row r="12474" spans="20:20" ht="18.75" customHeight="1" x14ac:dyDescent="0.35">
      <c r="T12474" s="246">
        <f t="shared" si="232"/>
        <v>0</v>
      </c>
    </row>
    <row r="12475" spans="20:20" ht="18.75" customHeight="1" x14ac:dyDescent="0.35">
      <c r="T12475" s="246">
        <f t="shared" si="232"/>
        <v>0</v>
      </c>
    </row>
    <row r="12476" spans="20:20" ht="18.75" customHeight="1" x14ac:dyDescent="0.35">
      <c r="T12476" s="246">
        <f t="shared" ref="T12476:T12539" si="233">R12476*0.01</f>
        <v>0</v>
      </c>
    </row>
    <row r="12477" spans="20:20" ht="18.75" customHeight="1" x14ac:dyDescent="0.35">
      <c r="T12477" s="246">
        <f t="shared" si="233"/>
        <v>0</v>
      </c>
    </row>
    <row r="12478" spans="20:20" ht="18.75" customHeight="1" x14ac:dyDescent="0.35">
      <c r="T12478" s="246">
        <f t="shared" si="233"/>
        <v>0</v>
      </c>
    </row>
    <row r="12479" spans="20:20" ht="18.75" customHeight="1" x14ac:dyDescent="0.35">
      <c r="T12479" s="246">
        <f t="shared" si="233"/>
        <v>0</v>
      </c>
    </row>
    <row r="12480" spans="20:20" ht="18.75" customHeight="1" x14ac:dyDescent="0.35">
      <c r="T12480" s="246">
        <f t="shared" si="233"/>
        <v>0</v>
      </c>
    </row>
    <row r="12481" spans="20:20" ht="18.75" customHeight="1" x14ac:dyDescent="0.35">
      <c r="T12481" s="246">
        <f t="shared" si="233"/>
        <v>0</v>
      </c>
    </row>
    <row r="12482" spans="20:20" ht="18.75" customHeight="1" x14ac:dyDescent="0.35">
      <c r="T12482" s="246">
        <f t="shared" si="233"/>
        <v>0</v>
      </c>
    </row>
    <row r="12483" spans="20:20" ht="18.75" customHeight="1" x14ac:dyDescent="0.35">
      <c r="T12483" s="246">
        <f t="shared" si="233"/>
        <v>0</v>
      </c>
    </row>
    <row r="12484" spans="20:20" ht="18.75" customHeight="1" x14ac:dyDescent="0.35">
      <c r="T12484" s="246">
        <f t="shared" si="233"/>
        <v>0</v>
      </c>
    </row>
    <row r="12485" spans="20:20" ht="18.75" customHeight="1" x14ac:dyDescent="0.35">
      <c r="T12485" s="246">
        <f t="shared" si="233"/>
        <v>0</v>
      </c>
    </row>
    <row r="12486" spans="20:20" ht="18.75" customHeight="1" x14ac:dyDescent="0.35">
      <c r="T12486" s="246">
        <f t="shared" si="233"/>
        <v>0</v>
      </c>
    </row>
    <row r="12487" spans="20:20" ht="18.75" customHeight="1" x14ac:dyDescent="0.35">
      <c r="T12487" s="246">
        <f t="shared" si="233"/>
        <v>0</v>
      </c>
    </row>
    <row r="12488" spans="20:20" ht="18.75" customHeight="1" x14ac:dyDescent="0.35">
      <c r="T12488" s="246">
        <f t="shared" si="233"/>
        <v>0</v>
      </c>
    </row>
    <row r="12489" spans="20:20" ht="18.75" customHeight="1" x14ac:dyDescent="0.35">
      <c r="T12489" s="246">
        <f t="shared" si="233"/>
        <v>0</v>
      </c>
    </row>
    <row r="12490" spans="20:20" ht="18.75" customHeight="1" x14ac:dyDescent="0.35">
      <c r="T12490" s="246">
        <f t="shared" si="233"/>
        <v>0</v>
      </c>
    </row>
    <row r="12491" spans="20:20" ht="18.75" customHeight="1" x14ac:dyDescent="0.35">
      <c r="T12491" s="246">
        <f t="shared" si="233"/>
        <v>0</v>
      </c>
    </row>
    <row r="12492" spans="20:20" ht="18.75" customHeight="1" x14ac:dyDescent="0.35">
      <c r="T12492" s="246">
        <f t="shared" si="233"/>
        <v>0</v>
      </c>
    </row>
    <row r="12493" spans="20:20" ht="18.75" customHeight="1" x14ac:dyDescent="0.35">
      <c r="T12493" s="246">
        <f t="shared" si="233"/>
        <v>0</v>
      </c>
    </row>
    <row r="12494" spans="20:20" ht="18.75" customHeight="1" x14ac:dyDescent="0.35">
      <c r="T12494" s="246">
        <f t="shared" si="233"/>
        <v>0</v>
      </c>
    </row>
    <row r="12495" spans="20:20" ht="18.75" customHeight="1" x14ac:dyDescent="0.35">
      <c r="T12495" s="246">
        <f t="shared" si="233"/>
        <v>0</v>
      </c>
    </row>
    <row r="12496" spans="20:20" ht="18.75" customHeight="1" x14ac:dyDescent="0.35">
      <c r="T12496" s="246">
        <f t="shared" si="233"/>
        <v>0</v>
      </c>
    </row>
    <row r="12497" spans="20:20" ht="18.75" customHeight="1" x14ac:dyDescent="0.35">
      <c r="T12497" s="246">
        <f t="shared" si="233"/>
        <v>0</v>
      </c>
    </row>
    <row r="12498" spans="20:20" ht="18.75" customHeight="1" x14ac:dyDescent="0.35">
      <c r="T12498" s="246">
        <f t="shared" si="233"/>
        <v>0</v>
      </c>
    </row>
    <row r="12499" spans="20:20" ht="18.75" customHeight="1" x14ac:dyDescent="0.35">
      <c r="T12499" s="246">
        <f t="shared" si="233"/>
        <v>0</v>
      </c>
    </row>
    <row r="12500" spans="20:20" ht="18.75" customHeight="1" x14ac:dyDescent="0.35">
      <c r="T12500" s="246">
        <f t="shared" si="233"/>
        <v>0</v>
      </c>
    </row>
    <row r="12501" spans="20:20" ht="18.75" customHeight="1" x14ac:dyDescent="0.35">
      <c r="T12501" s="246">
        <f t="shared" si="233"/>
        <v>0</v>
      </c>
    </row>
    <row r="12502" spans="20:20" ht="18.75" customHeight="1" x14ac:dyDescent="0.35">
      <c r="T12502" s="246">
        <f t="shared" si="233"/>
        <v>0</v>
      </c>
    </row>
    <row r="12503" spans="20:20" ht="18.75" customHeight="1" x14ac:dyDescent="0.35">
      <c r="T12503" s="246">
        <f t="shared" si="233"/>
        <v>0</v>
      </c>
    </row>
    <row r="12504" spans="20:20" ht="18.75" customHeight="1" x14ac:dyDescent="0.35">
      <c r="T12504" s="246">
        <f t="shared" si="233"/>
        <v>0</v>
      </c>
    </row>
    <row r="12505" spans="20:20" ht="18.75" customHeight="1" x14ac:dyDescent="0.35">
      <c r="T12505" s="246">
        <f t="shared" si="233"/>
        <v>0</v>
      </c>
    </row>
    <row r="12506" spans="20:20" ht="18.75" customHeight="1" x14ac:dyDescent="0.35">
      <c r="T12506" s="246">
        <f t="shared" si="233"/>
        <v>0</v>
      </c>
    </row>
    <row r="12507" spans="20:20" ht="18.75" customHeight="1" x14ac:dyDescent="0.35">
      <c r="T12507" s="246">
        <f t="shared" si="233"/>
        <v>0</v>
      </c>
    </row>
    <row r="12508" spans="20:20" ht="18.75" customHeight="1" x14ac:dyDescent="0.35">
      <c r="T12508" s="246">
        <f t="shared" si="233"/>
        <v>0</v>
      </c>
    </row>
    <row r="12509" spans="20:20" ht="18.75" customHeight="1" x14ac:dyDescent="0.35">
      <c r="T12509" s="246">
        <f t="shared" si="233"/>
        <v>0</v>
      </c>
    </row>
    <row r="12510" spans="20:20" ht="18.75" customHeight="1" x14ac:dyDescent="0.35">
      <c r="T12510" s="246">
        <f t="shared" si="233"/>
        <v>0</v>
      </c>
    </row>
    <row r="12511" spans="20:20" ht="18.75" customHeight="1" x14ac:dyDescent="0.35">
      <c r="T12511" s="246">
        <f t="shared" si="233"/>
        <v>0</v>
      </c>
    </row>
    <row r="12512" spans="20:20" ht="18.75" customHeight="1" x14ac:dyDescent="0.35">
      <c r="T12512" s="246">
        <f t="shared" si="233"/>
        <v>0</v>
      </c>
    </row>
    <row r="12513" spans="20:20" ht="18.75" customHeight="1" x14ac:dyDescent="0.35">
      <c r="T12513" s="246">
        <f t="shared" si="233"/>
        <v>0</v>
      </c>
    </row>
    <row r="12514" spans="20:20" ht="18.75" customHeight="1" x14ac:dyDescent="0.35">
      <c r="T12514" s="246">
        <f t="shared" si="233"/>
        <v>0</v>
      </c>
    </row>
    <row r="12515" spans="20:20" ht="18.75" customHeight="1" x14ac:dyDescent="0.35">
      <c r="T12515" s="246">
        <f t="shared" si="233"/>
        <v>0</v>
      </c>
    </row>
    <row r="12516" spans="20:20" ht="18.75" customHeight="1" x14ac:dyDescent="0.35">
      <c r="T12516" s="246">
        <f t="shared" si="233"/>
        <v>0</v>
      </c>
    </row>
    <row r="12517" spans="20:20" ht="18.75" customHeight="1" x14ac:dyDescent="0.35">
      <c r="T12517" s="246">
        <f t="shared" si="233"/>
        <v>0</v>
      </c>
    </row>
    <row r="12518" spans="20:20" ht="18.75" customHeight="1" x14ac:dyDescent="0.35">
      <c r="T12518" s="246">
        <f t="shared" si="233"/>
        <v>0</v>
      </c>
    </row>
    <row r="12519" spans="20:20" ht="18.75" customHeight="1" x14ac:dyDescent="0.35">
      <c r="T12519" s="246">
        <f t="shared" si="233"/>
        <v>0</v>
      </c>
    </row>
    <row r="12520" spans="20:20" ht="18.75" customHeight="1" x14ac:dyDescent="0.35">
      <c r="T12520" s="246">
        <f t="shared" si="233"/>
        <v>0</v>
      </c>
    </row>
    <row r="12521" spans="20:20" ht="18.75" customHeight="1" x14ac:dyDescent="0.35">
      <c r="T12521" s="246">
        <f t="shared" si="233"/>
        <v>0</v>
      </c>
    </row>
    <row r="12522" spans="20:20" ht="18.75" customHeight="1" x14ac:dyDescent="0.35">
      <c r="T12522" s="246">
        <f t="shared" si="233"/>
        <v>0</v>
      </c>
    </row>
    <row r="12523" spans="20:20" ht="18.75" customHeight="1" x14ac:dyDescent="0.35">
      <c r="T12523" s="246">
        <f t="shared" si="233"/>
        <v>0</v>
      </c>
    </row>
    <row r="12524" spans="20:20" ht="18.75" customHeight="1" x14ac:dyDescent="0.35">
      <c r="T12524" s="246">
        <f t="shared" si="233"/>
        <v>0</v>
      </c>
    </row>
    <row r="12525" spans="20:20" ht="18.75" customHeight="1" x14ac:dyDescent="0.35">
      <c r="T12525" s="246">
        <f t="shared" si="233"/>
        <v>0</v>
      </c>
    </row>
    <row r="12526" spans="20:20" ht="18.75" customHeight="1" x14ac:dyDescent="0.35">
      <c r="T12526" s="246">
        <f t="shared" si="233"/>
        <v>0</v>
      </c>
    </row>
    <row r="12527" spans="20:20" ht="18.75" customHeight="1" x14ac:dyDescent="0.35">
      <c r="T12527" s="246">
        <f t="shared" si="233"/>
        <v>0</v>
      </c>
    </row>
    <row r="12528" spans="20:20" ht="18.75" customHeight="1" x14ac:dyDescent="0.35">
      <c r="T12528" s="246">
        <f t="shared" si="233"/>
        <v>0</v>
      </c>
    </row>
    <row r="12529" spans="20:20" ht="18.75" customHeight="1" x14ac:dyDescent="0.35">
      <c r="T12529" s="246">
        <f t="shared" si="233"/>
        <v>0</v>
      </c>
    </row>
    <row r="12530" spans="20:20" ht="18.75" customHeight="1" x14ac:dyDescent="0.35">
      <c r="T12530" s="246">
        <f t="shared" si="233"/>
        <v>0</v>
      </c>
    </row>
    <row r="12531" spans="20:20" ht="18.75" customHeight="1" x14ac:dyDescent="0.35">
      <c r="T12531" s="246">
        <f t="shared" si="233"/>
        <v>0</v>
      </c>
    </row>
    <row r="12532" spans="20:20" ht="18.75" customHeight="1" x14ac:dyDescent="0.35">
      <c r="T12532" s="246">
        <f t="shared" si="233"/>
        <v>0</v>
      </c>
    </row>
    <row r="12533" spans="20:20" ht="18.75" customHeight="1" x14ac:dyDescent="0.35">
      <c r="T12533" s="246">
        <f t="shared" si="233"/>
        <v>0</v>
      </c>
    </row>
    <row r="12534" spans="20:20" ht="18.75" customHeight="1" x14ac:dyDescent="0.35">
      <c r="T12534" s="246">
        <f t="shared" si="233"/>
        <v>0</v>
      </c>
    </row>
    <row r="12535" spans="20:20" ht="18.75" customHeight="1" x14ac:dyDescent="0.35">
      <c r="T12535" s="246">
        <f t="shared" si="233"/>
        <v>0</v>
      </c>
    </row>
    <row r="12536" spans="20:20" ht="18.75" customHeight="1" x14ac:dyDescent="0.35">
      <c r="T12536" s="246">
        <f t="shared" si="233"/>
        <v>0</v>
      </c>
    </row>
    <row r="12537" spans="20:20" ht="18.75" customHeight="1" x14ac:dyDescent="0.35">
      <c r="T12537" s="246">
        <f t="shared" si="233"/>
        <v>0</v>
      </c>
    </row>
    <row r="12538" spans="20:20" ht="18.75" customHeight="1" x14ac:dyDescent="0.35">
      <c r="T12538" s="246">
        <f t="shared" si="233"/>
        <v>0</v>
      </c>
    </row>
    <row r="12539" spans="20:20" ht="18.75" customHeight="1" x14ac:dyDescent="0.35">
      <c r="T12539" s="246">
        <f t="shared" si="233"/>
        <v>0</v>
      </c>
    </row>
    <row r="12540" spans="20:20" ht="18.75" customHeight="1" x14ac:dyDescent="0.35">
      <c r="T12540" s="246">
        <f t="shared" ref="T12540:T12603" si="234">R12540*0.01</f>
        <v>0</v>
      </c>
    </row>
    <row r="12541" spans="20:20" ht="18.75" customHeight="1" x14ac:dyDescent="0.35">
      <c r="T12541" s="246">
        <f t="shared" si="234"/>
        <v>0</v>
      </c>
    </row>
    <row r="12542" spans="20:20" ht="18.75" customHeight="1" x14ac:dyDescent="0.35">
      <c r="T12542" s="246">
        <f t="shared" si="234"/>
        <v>0</v>
      </c>
    </row>
    <row r="12543" spans="20:20" ht="18.75" customHeight="1" x14ac:dyDescent="0.35">
      <c r="T12543" s="246">
        <f t="shared" si="234"/>
        <v>0</v>
      </c>
    </row>
    <row r="12544" spans="20:20" ht="18.75" customHeight="1" x14ac:dyDescent="0.35">
      <c r="T12544" s="246">
        <f t="shared" si="234"/>
        <v>0</v>
      </c>
    </row>
    <row r="12545" spans="20:20" ht="18.75" customHeight="1" x14ac:dyDescent="0.35">
      <c r="T12545" s="246">
        <f t="shared" si="234"/>
        <v>0</v>
      </c>
    </row>
    <row r="12546" spans="20:20" ht="18.75" customHeight="1" x14ac:dyDescent="0.35">
      <c r="T12546" s="246">
        <f t="shared" si="234"/>
        <v>0</v>
      </c>
    </row>
    <row r="12547" spans="20:20" ht="18.75" customHeight="1" x14ac:dyDescent="0.35">
      <c r="T12547" s="246">
        <f t="shared" si="234"/>
        <v>0</v>
      </c>
    </row>
    <row r="12548" spans="20:20" ht="18.75" customHeight="1" x14ac:dyDescent="0.35">
      <c r="T12548" s="246">
        <f t="shared" si="234"/>
        <v>0</v>
      </c>
    </row>
    <row r="12549" spans="20:20" ht="18.75" customHeight="1" x14ac:dyDescent="0.35">
      <c r="T12549" s="246">
        <f t="shared" si="234"/>
        <v>0</v>
      </c>
    </row>
    <row r="12550" spans="20:20" ht="18.75" customHeight="1" x14ac:dyDescent="0.35">
      <c r="T12550" s="246">
        <f t="shared" si="234"/>
        <v>0</v>
      </c>
    </row>
    <row r="12551" spans="20:20" ht="18.75" customHeight="1" x14ac:dyDescent="0.35">
      <c r="T12551" s="246">
        <f t="shared" si="234"/>
        <v>0</v>
      </c>
    </row>
    <row r="12552" spans="20:20" ht="18.75" customHeight="1" x14ac:dyDescent="0.35">
      <c r="T12552" s="246">
        <f t="shared" si="234"/>
        <v>0</v>
      </c>
    </row>
    <row r="12553" spans="20:20" ht="18.75" customHeight="1" x14ac:dyDescent="0.35">
      <c r="T12553" s="246">
        <f t="shared" si="234"/>
        <v>0</v>
      </c>
    </row>
    <row r="12554" spans="20:20" ht="18.75" customHeight="1" x14ac:dyDescent="0.35">
      <c r="T12554" s="246">
        <f t="shared" si="234"/>
        <v>0</v>
      </c>
    </row>
    <row r="12555" spans="20:20" ht="18.75" customHeight="1" x14ac:dyDescent="0.35">
      <c r="T12555" s="246">
        <f t="shared" si="234"/>
        <v>0</v>
      </c>
    </row>
    <row r="12556" spans="20:20" ht="18.75" customHeight="1" x14ac:dyDescent="0.35">
      <c r="T12556" s="246">
        <f t="shared" si="234"/>
        <v>0</v>
      </c>
    </row>
    <row r="12557" spans="20:20" ht="18.75" customHeight="1" x14ac:dyDescent="0.35">
      <c r="T12557" s="246">
        <f t="shared" si="234"/>
        <v>0</v>
      </c>
    </row>
    <row r="12558" spans="20:20" ht="18.75" customHeight="1" x14ac:dyDescent="0.35">
      <c r="T12558" s="246">
        <f t="shared" si="234"/>
        <v>0</v>
      </c>
    </row>
    <row r="12559" spans="20:20" ht="18.75" customHeight="1" x14ac:dyDescent="0.35">
      <c r="T12559" s="246">
        <f t="shared" si="234"/>
        <v>0</v>
      </c>
    </row>
    <row r="12560" spans="20:20" ht="18.75" customHeight="1" x14ac:dyDescent="0.35">
      <c r="T12560" s="246">
        <f t="shared" si="234"/>
        <v>0</v>
      </c>
    </row>
    <row r="12561" spans="20:20" ht="18.75" customHeight="1" x14ac:dyDescent="0.35">
      <c r="T12561" s="246">
        <f t="shared" si="234"/>
        <v>0</v>
      </c>
    </row>
    <row r="12562" spans="20:20" ht="18.75" customHeight="1" x14ac:dyDescent="0.35">
      <c r="T12562" s="246">
        <f t="shared" si="234"/>
        <v>0</v>
      </c>
    </row>
    <row r="12563" spans="20:20" ht="18.75" customHeight="1" x14ac:dyDescent="0.35">
      <c r="T12563" s="246">
        <f t="shared" si="234"/>
        <v>0</v>
      </c>
    </row>
    <row r="12564" spans="20:20" ht="18.75" customHeight="1" x14ac:dyDescent="0.35">
      <c r="T12564" s="246">
        <f t="shared" si="234"/>
        <v>0</v>
      </c>
    </row>
    <row r="12565" spans="20:20" ht="18.75" customHeight="1" x14ac:dyDescent="0.35">
      <c r="T12565" s="246">
        <f t="shared" si="234"/>
        <v>0</v>
      </c>
    </row>
    <row r="12566" spans="20:20" ht="18.75" customHeight="1" x14ac:dyDescent="0.35">
      <c r="T12566" s="246">
        <f t="shared" si="234"/>
        <v>0</v>
      </c>
    </row>
    <row r="12567" spans="20:20" ht="18.75" customHeight="1" x14ac:dyDescent="0.35">
      <c r="T12567" s="246">
        <f t="shared" si="234"/>
        <v>0</v>
      </c>
    </row>
    <row r="12568" spans="20:20" ht="18.75" customHeight="1" x14ac:dyDescent="0.35">
      <c r="T12568" s="246">
        <f t="shared" si="234"/>
        <v>0</v>
      </c>
    </row>
    <row r="12569" spans="20:20" ht="18.75" customHeight="1" x14ac:dyDescent="0.35">
      <c r="T12569" s="246">
        <f t="shared" si="234"/>
        <v>0</v>
      </c>
    </row>
    <row r="12570" spans="20:20" ht="18.75" customHeight="1" x14ac:dyDescent="0.35">
      <c r="T12570" s="246">
        <f t="shared" si="234"/>
        <v>0</v>
      </c>
    </row>
    <row r="12571" spans="20:20" ht="18.75" customHeight="1" x14ac:dyDescent="0.35">
      <c r="T12571" s="246">
        <f t="shared" si="234"/>
        <v>0</v>
      </c>
    </row>
    <row r="12572" spans="20:20" ht="18.75" customHeight="1" x14ac:dyDescent="0.35">
      <c r="T12572" s="246">
        <f t="shared" si="234"/>
        <v>0</v>
      </c>
    </row>
    <row r="12573" spans="20:20" ht="18.75" customHeight="1" x14ac:dyDescent="0.35">
      <c r="T12573" s="246">
        <f t="shared" si="234"/>
        <v>0</v>
      </c>
    </row>
    <row r="12574" spans="20:20" ht="18.75" customHeight="1" x14ac:dyDescent="0.35">
      <c r="T12574" s="246">
        <f t="shared" si="234"/>
        <v>0</v>
      </c>
    </row>
    <row r="12575" spans="20:20" ht="18.75" customHeight="1" x14ac:dyDescent="0.35">
      <c r="T12575" s="246">
        <f t="shared" si="234"/>
        <v>0</v>
      </c>
    </row>
    <row r="12576" spans="20:20" ht="18.75" customHeight="1" x14ac:dyDescent="0.35">
      <c r="T12576" s="246">
        <f t="shared" si="234"/>
        <v>0</v>
      </c>
    </row>
    <row r="12577" spans="20:20" ht="18.75" customHeight="1" x14ac:dyDescent="0.35">
      <c r="T12577" s="246">
        <f t="shared" si="234"/>
        <v>0</v>
      </c>
    </row>
    <row r="12578" spans="20:20" ht="18.75" customHeight="1" x14ac:dyDescent="0.35">
      <c r="T12578" s="246">
        <f t="shared" si="234"/>
        <v>0</v>
      </c>
    </row>
    <row r="12579" spans="20:20" ht="18.75" customHeight="1" x14ac:dyDescent="0.35">
      <c r="T12579" s="246">
        <f t="shared" si="234"/>
        <v>0</v>
      </c>
    </row>
    <row r="12580" spans="20:20" ht="18.75" customHeight="1" x14ac:dyDescent="0.35">
      <c r="T12580" s="246">
        <f t="shared" si="234"/>
        <v>0</v>
      </c>
    </row>
    <row r="12581" spans="20:20" ht="18.75" customHeight="1" x14ac:dyDescent="0.35">
      <c r="T12581" s="246">
        <f t="shared" si="234"/>
        <v>0</v>
      </c>
    </row>
    <row r="12582" spans="20:20" ht="18.75" customHeight="1" x14ac:dyDescent="0.35">
      <c r="T12582" s="246">
        <f t="shared" si="234"/>
        <v>0</v>
      </c>
    </row>
    <row r="12583" spans="20:20" ht="18.75" customHeight="1" x14ac:dyDescent="0.35">
      <c r="T12583" s="246">
        <f t="shared" si="234"/>
        <v>0</v>
      </c>
    </row>
    <row r="12584" spans="20:20" ht="18.75" customHeight="1" x14ac:dyDescent="0.35">
      <c r="T12584" s="246">
        <f t="shared" si="234"/>
        <v>0</v>
      </c>
    </row>
    <row r="12585" spans="20:20" ht="18.75" customHeight="1" x14ac:dyDescent="0.35">
      <c r="T12585" s="246">
        <f t="shared" si="234"/>
        <v>0</v>
      </c>
    </row>
    <row r="12586" spans="20:20" ht="18.75" customHeight="1" x14ac:dyDescent="0.35">
      <c r="T12586" s="246">
        <f t="shared" si="234"/>
        <v>0</v>
      </c>
    </row>
    <row r="12587" spans="20:20" ht="18.75" customHeight="1" x14ac:dyDescent="0.35">
      <c r="T12587" s="246">
        <f t="shared" si="234"/>
        <v>0</v>
      </c>
    </row>
    <row r="12588" spans="20:20" ht="18.75" customHeight="1" x14ac:dyDescent="0.35">
      <c r="T12588" s="246">
        <f t="shared" si="234"/>
        <v>0</v>
      </c>
    </row>
    <row r="12589" spans="20:20" ht="18.75" customHeight="1" x14ac:dyDescent="0.35">
      <c r="T12589" s="246">
        <f t="shared" si="234"/>
        <v>0</v>
      </c>
    </row>
    <row r="12590" spans="20:20" ht="18.75" customHeight="1" x14ac:dyDescent="0.35">
      <c r="T12590" s="246">
        <f t="shared" si="234"/>
        <v>0</v>
      </c>
    </row>
    <row r="12591" spans="20:20" ht="18.75" customHeight="1" x14ac:dyDescent="0.35">
      <c r="T12591" s="246">
        <f t="shared" si="234"/>
        <v>0</v>
      </c>
    </row>
    <row r="12592" spans="20:20" ht="18.75" customHeight="1" x14ac:dyDescent="0.35">
      <c r="T12592" s="246">
        <f t="shared" si="234"/>
        <v>0</v>
      </c>
    </row>
    <row r="12593" spans="20:20" ht="18.75" customHeight="1" x14ac:dyDescent="0.35">
      <c r="T12593" s="246">
        <f t="shared" si="234"/>
        <v>0</v>
      </c>
    </row>
    <row r="12594" spans="20:20" ht="18.75" customHeight="1" x14ac:dyDescent="0.35">
      <c r="T12594" s="246">
        <f t="shared" si="234"/>
        <v>0</v>
      </c>
    </row>
    <row r="12595" spans="20:20" ht="18.75" customHeight="1" x14ac:dyDescent="0.35">
      <c r="T12595" s="246">
        <f t="shared" si="234"/>
        <v>0</v>
      </c>
    </row>
    <row r="12596" spans="20:20" ht="18.75" customHeight="1" x14ac:dyDescent="0.35">
      <c r="T12596" s="246">
        <f t="shared" si="234"/>
        <v>0</v>
      </c>
    </row>
    <row r="12597" spans="20:20" ht="18.75" customHeight="1" x14ac:dyDescent="0.35">
      <c r="T12597" s="246">
        <f t="shared" si="234"/>
        <v>0</v>
      </c>
    </row>
    <row r="12598" spans="20:20" ht="18.75" customHeight="1" x14ac:dyDescent="0.35">
      <c r="T12598" s="246">
        <f t="shared" si="234"/>
        <v>0</v>
      </c>
    </row>
    <row r="12599" spans="20:20" ht="18.75" customHeight="1" x14ac:dyDescent="0.35">
      <c r="T12599" s="246">
        <f t="shared" si="234"/>
        <v>0</v>
      </c>
    </row>
    <row r="12600" spans="20:20" ht="18.75" customHeight="1" x14ac:dyDescent="0.35">
      <c r="T12600" s="246">
        <f t="shared" si="234"/>
        <v>0</v>
      </c>
    </row>
    <row r="12601" spans="20:20" ht="18.75" customHeight="1" x14ac:dyDescent="0.35">
      <c r="T12601" s="246">
        <f t="shared" si="234"/>
        <v>0</v>
      </c>
    </row>
    <row r="12602" spans="20:20" ht="18.75" customHeight="1" x14ac:dyDescent="0.35">
      <c r="T12602" s="246">
        <f t="shared" si="234"/>
        <v>0</v>
      </c>
    </row>
    <row r="12603" spans="20:20" ht="18.75" customHeight="1" x14ac:dyDescent="0.35">
      <c r="T12603" s="246">
        <f t="shared" si="234"/>
        <v>0</v>
      </c>
    </row>
    <row r="12604" spans="20:20" ht="18.75" customHeight="1" x14ac:dyDescent="0.35">
      <c r="T12604" s="246">
        <f t="shared" ref="T12604:T12667" si="235">R12604*0.01</f>
        <v>0</v>
      </c>
    </row>
    <row r="12605" spans="20:20" ht="18.75" customHeight="1" x14ac:dyDescent="0.35">
      <c r="T12605" s="246">
        <f t="shared" si="235"/>
        <v>0</v>
      </c>
    </row>
    <row r="12606" spans="20:20" ht="18.75" customHeight="1" x14ac:dyDescent="0.35">
      <c r="T12606" s="246">
        <f t="shared" si="235"/>
        <v>0</v>
      </c>
    </row>
    <row r="12607" spans="20:20" ht="18.75" customHeight="1" x14ac:dyDescent="0.35">
      <c r="T12607" s="246">
        <f t="shared" si="235"/>
        <v>0</v>
      </c>
    </row>
    <row r="12608" spans="20:20" ht="18.75" customHeight="1" x14ac:dyDescent="0.35">
      <c r="T12608" s="246">
        <f t="shared" si="235"/>
        <v>0</v>
      </c>
    </row>
    <row r="12609" spans="20:20" ht="18.75" customHeight="1" x14ac:dyDescent="0.35">
      <c r="T12609" s="246">
        <f t="shared" si="235"/>
        <v>0</v>
      </c>
    </row>
    <row r="12610" spans="20:20" ht="18.75" customHeight="1" x14ac:dyDescent="0.35">
      <c r="T12610" s="246">
        <f t="shared" si="235"/>
        <v>0</v>
      </c>
    </row>
    <row r="12611" spans="20:20" ht="18.75" customHeight="1" x14ac:dyDescent="0.35">
      <c r="T12611" s="246">
        <f t="shared" si="235"/>
        <v>0</v>
      </c>
    </row>
    <row r="12612" spans="20:20" ht="18.75" customHeight="1" x14ac:dyDescent="0.35">
      <c r="T12612" s="246">
        <f t="shared" si="235"/>
        <v>0</v>
      </c>
    </row>
    <row r="12613" spans="20:20" ht="18.75" customHeight="1" x14ac:dyDescent="0.35">
      <c r="T12613" s="246">
        <f t="shared" si="235"/>
        <v>0</v>
      </c>
    </row>
    <row r="12614" spans="20:20" ht="18.75" customHeight="1" x14ac:dyDescent="0.35">
      <c r="T12614" s="246">
        <f t="shared" si="235"/>
        <v>0</v>
      </c>
    </row>
    <row r="12615" spans="20:20" ht="18.75" customHeight="1" x14ac:dyDescent="0.35">
      <c r="T12615" s="246">
        <f t="shared" si="235"/>
        <v>0</v>
      </c>
    </row>
    <row r="12616" spans="20:20" ht="18.75" customHeight="1" x14ac:dyDescent="0.35">
      <c r="T12616" s="246">
        <f t="shared" si="235"/>
        <v>0</v>
      </c>
    </row>
    <row r="12617" spans="20:20" ht="18.75" customHeight="1" x14ac:dyDescent="0.35">
      <c r="T12617" s="246">
        <f t="shared" si="235"/>
        <v>0</v>
      </c>
    </row>
    <row r="12618" spans="20:20" ht="18.75" customHeight="1" x14ac:dyDescent="0.35">
      <c r="T12618" s="246">
        <f t="shared" si="235"/>
        <v>0</v>
      </c>
    </row>
    <row r="12619" spans="20:20" ht="18.75" customHeight="1" x14ac:dyDescent="0.35">
      <c r="T12619" s="246">
        <f t="shared" si="235"/>
        <v>0</v>
      </c>
    </row>
    <row r="12620" spans="20:20" ht="18.75" customHeight="1" x14ac:dyDescent="0.35">
      <c r="T12620" s="246">
        <f t="shared" si="235"/>
        <v>0</v>
      </c>
    </row>
    <row r="12621" spans="20:20" ht="18.75" customHeight="1" x14ac:dyDescent="0.35">
      <c r="T12621" s="246">
        <f t="shared" si="235"/>
        <v>0</v>
      </c>
    </row>
    <row r="12622" spans="20:20" ht="18.75" customHeight="1" x14ac:dyDescent="0.35">
      <c r="T12622" s="246">
        <f t="shared" si="235"/>
        <v>0</v>
      </c>
    </row>
    <row r="12623" spans="20:20" ht="18.75" customHeight="1" x14ac:dyDescent="0.35">
      <c r="T12623" s="246">
        <f t="shared" si="235"/>
        <v>0</v>
      </c>
    </row>
    <row r="12624" spans="20:20" ht="18.75" customHeight="1" x14ac:dyDescent="0.35">
      <c r="T12624" s="246">
        <f t="shared" si="235"/>
        <v>0</v>
      </c>
    </row>
    <row r="12625" spans="20:20" ht="18.75" customHeight="1" x14ac:dyDescent="0.35">
      <c r="T12625" s="246">
        <f t="shared" si="235"/>
        <v>0</v>
      </c>
    </row>
    <row r="12626" spans="20:20" ht="18.75" customHeight="1" x14ac:dyDescent="0.35">
      <c r="T12626" s="246">
        <f t="shared" si="235"/>
        <v>0</v>
      </c>
    </row>
    <row r="12627" spans="20:20" ht="18.75" customHeight="1" x14ac:dyDescent="0.35">
      <c r="T12627" s="246">
        <f t="shared" si="235"/>
        <v>0</v>
      </c>
    </row>
    <row r="12628" spans="20:20" ht="18.75" customHeight="1" x14ac:dyDescent="0.35">
      <c r="T12628" s="246">
        <f t="shared" si="235"/>
        <v>0</v>
      </c>
    </row>
    <row r="12629" spans="20:20" ht="18.75" customHeight="1" x14ac:dyDescent="0.35">
      <c r="T12629" s="246">
        <f t="shared" si="235"/>
        <v>0</v>
      </c>
    </row>
    <row r="12630" spans="20:20" ht="18.75" customHeight="1" x14ac:dyDescent="0.35">
      <c r="T12630" s="246">
        <f t="shared" si="235"/>
        <v>0</v>
      </c>
    </row>
    <row r="12631" spans="20:20" ht="18.75" customHeight="1" x14ac:dyDescent="0.35">
      <c r="T12631" s="246">
        <f t="shared" si="235"/>
        <v>0</v>
      </c>
    </row>
    <row r="12632" spans="20:20" ht="18.75" customHeight="1" x14ac:dyDescent="0.35">
      <c r="T12632" s="246">
        <f t="shared" si="235"/>
        <v>0</v>
      </c>
    </row>
    <row r="12633" spans="20:20" ht="18.75" customHeight="1" x14ac:dyDescent="0.35">
      <c r="T12633" s="246">
        <f t="shared" si="235"/>
        <v>0</v>
      </c>
    </row>
    <row r="12634" spans="20:20" ht="18.75" customHeight="1" x14ac:dyDescent="0.35">
      <c r="T12634" s="246">
        <f t="shared" si="235"/>
        <v>0</v>
      </c>
    </row>
    <row r="12635" spans="20:20" ht="18.75" customHeight="1" x14ac:dyDescent="0.35">
      <c r="T12635" s="246">
        <f t="shared" si="235"/>
        <v>0</v>
      </c>
    </row>
    <row r="12636" spans="20:20" ht="18.75" customHeight="1" x14ac:dyDescent="0.35">
      <c r="T12636" s="246">
        <f t="shared" si="235"/>
        <v>0</v>
      </c>
    </row>
    <row r="12637" spans="20:20" ht="18.75" customHeight="1" x14ac:dyDescent="0.35">
      <c r="T12637" s="246">
        <f t="shared" si="235"/>
        <v>0</v>
      </c>
    </row>
    <row r="12638" spans="20:20" ht="18.75" customHeight="1" x14ac:dyDescent="0.35">
      <c r="T12638" s="246">
        <f t="shared" si="235"/>
        <v>0</v>
      </c>
    </row>
    <row r="12639" spans="20:20" ht="18.75" customHeight="1" x14ac:dyDescent="0.35">
      <c r="T12639" s="246">
        <f t="shared" si="235"/>
        <v>0</v>
      </c>
    </row>
    <row r="12640" spans="20:20" ht="18.75" customHeight="1" x14ac:dyDescent="0.35">
      <c r="T12640" s="246">
        <f t="shared" si="235"/>
        <v>0</v>
      </c>
    </row>
    <row r="12641" spans="20:20" ht="18.75" customHeight="1" x14ac:dyDescent="0.35">
      <c r="T12641" s="246">
        <f t="shared" si="235"/>
        <v>0</v>
      </c>
    </row>
    <row r="12642" spans="20:20" ht="18.75" customHeight="1" x14ac:dyDescent="0.35">
      <c r="T12642" s="246">
        <f t="shared" si="235"/>
        <v>0</v>
      </c>
    </row>
    <row r="12643" spans="20:20" ht="18.75" customHeight="1" x14ac:dyDescent="0.35">
      <c r="T12643" s="246">
        <f t="shared" si="235"/>
        <v>0</v>
      </c>
    </row>
    <row r="12644" spans="20:20" ht="18.75" customHeight="1" x14ac:dyDescent="0.35">
      <c r="T12644" s="246">
        <f t="shared" si="235"/>
        <v>0</v>
      </c>
    </row>
    <row r="12645" spans="20:20" ht="18.75" customHeight="1" x14ac:dyDescent="0.35">
      <c r="T12645" s="246">
        <f t="shared" si="235"/>
        <v>0</v>
      </c>
    </row>
    <row r="12646" spans="20:20" ht="18.75" customHeight="1" x14ac:dyDescent="0.35">
      <c r="T12646" s="246">
        <f t="shared" si="235"/>
        <v>0</v>
      </c>
    </row>
    <row r="12647" spans="20:20" ht="18.75" customHeight="1" x14ac:dyDescent="0.35">
      <c r="T12647" s="246">
        <f t="shared" si="235"/>
        <v>0</v>
      </c>
    </row>
    <row r="12648" spans="20:20" ht="18.75" customHeight="1" x14ac:dyDescent="0.35">
      <c r="T12648" s="246">
        <f t="shared" si="235"/>
        <v>0</v>
      </c>
    </row>
    <row r="12649" spans="20:20" ht="18.75" customHeight="1" x14ac:dyDescent="0.35">
      <c r="T12649" s="246">
        <f t="shared" si="235"/>
        <v>0</v>
      </c>
    </row>
    <row r="12650" spans="20:20" ht="18.75" customHeight="1" x14ac:dyDescent="0.35">
      <c r="T12650" s="246">
        <f t="shared" si="235"/>
        <v>0</v>
      </c>
    </row>
    <row r="12651" spans="20:20" ht="18.75" customHeight="1" x14ac:dyDescent="0.35">
      <c r="T12651" s="246">
        <f t="shared" si="235"/>
        <v>0</v>
      </c>
    </row>
    <row r="12652" spans="20:20" ht="18.75" customHeight="1" x14ac:dyDescent="0.35">
      <c r="T12652" s="246">
        <f t="shared" si="235"/>
        <v>0</v>
      </c>
    </row>
    <row r="12653" spans="20:20" ht="18.75" customHeight="1" x14ac:dyDescent="0.35">
      <c r="T12653" s="246">
        <f t="shared" si="235"/>
        <v>0</v>
      </c>
    </row>
    <row r="12654" spans="20:20" ht="18.75" customHeight="1" x14ac:dyDescent="0.35">
      <c r="T12654" s="246">
        <f t="shared" si="235"/>
        <v>0</v>
      </c>
    </row>
    <row r="12655" spans="20:20" ht="18.75" customHeight="1" x14ac:dyDescent="0.35">
      <c r="T12655" s="246">
        <f t="shared" si="235"/>
        <v>0</v>
      </c>
    </row>
    <row r="12656" spans="20:20" ht="18.75" customHeight="1" x14ac:dyDescent="0.35">
      <c r="T12656" s="246">
        <f t="shared" si="235"/>
        <v>0</v>
      </c>
    </row>
    <row r="12657" spans="20:20" ht="18.75" customHeight="1" x14ac:dyDescent="0.35">
      <c r="T12657" s="246">
        <f t="shared" si="235"/>
        <v>0</v>
      </c>
    </row>
    <row r="12658" spans="20:20" ht="18.75" customHeight="1" x14ac:dyDescent="0.35">
      <c r="T12658" s="246">
        <f t="shared" si="235"/>
        <v>0</v>
      </c>
    </row>
    <row r="12659" spans="20:20" ht="18.75" customHeight="1" x14ac:dyDescent="0.35">
      <c r="T12659" s="246">
        <f t="shared" si="235"/>
        <v>0</v>
      </c>
    </row>
    <row r="12660" spans="20:20" ht="18.75" customHeight="1" x14ac:dyDescent="0.35">
      <c r="T12660" s="246">
        <f t="shared" si="235"/>
        <v>0</v>
      </c>
    </row>
    <row r="12661" spans="20:20" ht="18.75" customHeight="1" x14ac:dyDescent="0.35">
      <c r="T12661" s="246">
        <f t="shared" si="235"/>
        <v>0</v>
      </c>
    </row>
    <row r="12662" spans="20:20" ht="18.75" customHeight="1" x14ac:dyDescent="0.35">
      <c r="T12662" s="246">
        <f t="shared" si="235"/>
        <v>0</v>
      </c>
    </row>
    <row r="12663" spans="20:20" ht="18.75" customHeight="1" x14ac:dyDescent="0.35">
      <c r="T12663" s="246">
        <f t="shared" si="235"/>
        <v>0</v>
      </c>
    </row>
    <row r="12664" spans="20:20" ht="18.75" customHeight="1" x14ac:dyDescent="0.35">
      <c r="T12664" s="246">
        <f t="shared" si="235"/>
        <v>0</v>
      </c>
    </row>
    <row r="12665" spans="20:20" ht="18.75" customHeight="1" x14ac:dyDescent="0.35">
      <c r="T12665" s="246">
        <f t="shared" si="235"/>
        <v>0</v>
      </c>
    </row>
    <row r="12666" spans="20:20" ht="18.75" customHeight="1" x14ac:dyDescent="0.35">
      <c r="T12666" s="246">
        <f t="shared" si="235"/>
        <v>0</v>
      </c>
    </row>
    <row r="12667" spans="20:20" ht="18.75" customHeight="1" x14ac:dyDescent="0.35">
      <c r="T12667" s="246">
        <f t="shared" si="235"/>
        <v>0</v>
      </c>
    </row>
    <row r="12668" spans="20:20" ht="18.75" customHeight="1" x14ac:dyDescent="0.35">
      <c r="T12668" s="246">
        <f t="shared" ref="T12668:T12731" si="236">R12668*0.01</f>
        <v>0</v>
      </c>
    </row>
    <row r="12669" spans="20:20" ht="18.75" customHeight="1" x14ac:dyDescent="0.35">
      <c r="T12669" s="246">
        <f t="shared" si="236"/>
        <v>0</v>
      </c>
    </row>
    <row r="12670" spans="20:20" ht="18.75" customHeight="1" x14ac:dyDescent="0.35">
      <c r="T12670" s="246">
        <f t="shared" si="236"/>
        <v>0</v>
      </c>
    </row>
    <row r="12671" spans="20:20" ht="18.75" customHeight="1" x14ac:dyDescent="0.35">
      <c r="T12671" s="246">
        <f t="shared" si="236"/>
        <v>0</v>
      </c>
    </row>
    <row r="12672" spans="20:20" ht="18.75" customHeight="1" x14ac:dyDescent="0.35">
      <c r="T12672" s="246">
        <f t="shared" si="236"/>
        <v>0</v>
      </c>
    </row>
    <row r="12673" spans="20:20" ht="18.75" customHeight="1" x14ac:dyDescent="0.35">
      <c r="T12673" s="246">
        <f t="shared" si="236"/>
        <v>0</v>
      </c>
    </row>
    <row r="12674" spans="20:20" ht="18.75" customHeight="1" x14ac:dyDescent="0.35">
      <c r="T12674" s="246">
        <f t="shared" si="236"/>
        <v>0</v>
      </c>
    </row>
    <row r="12675" spans="20:20" ht="18.75" customHeight="1" x14ac:dyDescent="0.35">
      <c r="T12675" s="246">
        <f t="shared" si="236"/>
        <v>0</v>
      </c>
    </row>
    <row r="12676" spans="20:20" ht="18.75" customHeight="1" x14ac:dyDescent="0.35">
      <c r="T12676" s="246">
        <f t="shared" si="236"/>
        <v>0</v>
      </c>
    </row>
    <row r="12677" spans="20:20" ht="18.75" customHeight="1" x14ac:dyDescent="0.35">
      <c r="T12677" s="246">
        <f t="shared" si="236"/>
        <v>0</v>
      </c>
    </row>
    <row r="12678" spans="20:20" ht="18.75" customHeight="1" x14ac:dyDescent="0.35">
      <c r="T12678" s="246">
        <f t="shared" si="236"/>
        <v>0</v>
      </c>
    </row>
    <row r="12679" spans="20:20" ht="18.75" customHeight="1" x14ac:dyDescent="0.35">
      <c r="T12679" s="246">
        <f t="shared" si="236"/>
        <v>0</v>
      </c>
    </row>
    <row r="12680" spans="20:20" ht="18.75" customHeight="1" x14ac:dyDescent="0.35">
      <c r="T12680" s="246">
        <f t="shared" si="236"/>
        <v>0</v>
      </c>
    </row>
    <row r="12681" spans="20:20" ht="18.75" customHeight="1" x14ac:dyDescent="0.35">
      <c r="T12681" s="246">
        <f t="shared" si="236"/>
        <v>0</v>
      </c>
    </row>
    <row r="12682" spans="20:20" ht="18.75" customHeight="1" x14ac:dyDescent="0.35">
      <c r="T12682" s="246">
        <f t="shared" si="236"/>
        <v>0</v>
      </c>
    </row>
    <row r="12683" spans="20:20" ht="18.75" customHeight="1" x14ac:dyDescent="0.35">
      <c r="T12683" s="246">
        <f t="shared" si="236"/>
        <v>0</v>
      </c>
    </row>
    <row r="12684" spans="20:20" ht="18.75" customHeight="1" x14ac:dyDescent="0.35">
      <c r="T12684" s="246">
        <f t="shared" si="236"/>
        <v>0</v>
      </c>
    </row>
    <row r="12685" spans="20:20" ht="18.75" customHeight="1" x14ac:dyDescent="0.35">
      <c r="T12685" s="246">
        <f t="shared" si="236"/>
        <v>0</v>
      </c>
    </row>
    <row r="12686" spans="20:20" ht="18.75" customHeight="1" x14ac:dyDescent="0.35">
      <c r="T12686" s="246">
        <f t="shared" si="236"/>
        <v>0</v>
      </c>
    </row>
    <row r="12687" spans="20:20" ht="18.75" customHeight="1" x14ac:dyDescent="0.35">
      <c r="T12687" s="246">
        <f t="shared" si="236"/>
        <v>0</v>
      </c>
    </row>
    <row r="12688" spans="20:20" ht="18.75" customHeight="1" x14ac:dyDescent="0.35">
      <c r="T12688" s="246">
        <f t="shared" si="236"/>
        <v>0</v>
      </c>
    </row>
    <row r="12689" spans="20:20" ht="18.75" customHeight="1" x14ac:dyDescent="0.35">
      <c r="T12689" s="246">
        <f t="shared" si="236"/>
        <v>0</v>
      </c>
    </row>
    <row r="12690" spans="20:20" ht="18.75" customHeight="1" x14ac:dyDescent="0.35">
      <c r="T12690" s="246">
        <f t="shared" si="236"/>
        <v>0</v>
      </c>
    </row>
    <row r="12691" spans="20:20" ht="18.75" customHeight="1" x14ac:dyDescent="0.35">
      <c r="T12691" s="246">
        <f t="shared" si="236"/>
        <v>0</v>
      </c>
    </row>
    <row r="12692" spans="20:20" ht="18.75" customHeight="1" x14ac:dyDescent="0.35">
      <c r="T12692" s="246">
        <f t="shared" si="236"/>
        <v>0</v>
      </c>
    </row>
    <row r="12693" spans="20:20" ht="18.75" customHeight="1" x14ac:dyDescent="0.35">
      <c r="T12693" s="246">
        <f t="shared" si="236"/>
        <v>0</v>
      </c>
    </row>
    <row r="12694" spans="20:20" ht="18.75" customHeight="1" x14ac:dyDescent="0.35">
      <c r="T12694" s="246">
        <f t="shared" si="236"/>
        <v>0</v>
      </c>
    </row>
    <row r="12695" spans="20:20" ht="18.75" customHeight="1" x14ac:dyDescent="0.35">
      <c r="T12695" s="246">
        <f t="shared" si="236"/>
        <v>0</v>
      </c>
    </row>
    <row r="12696" spans="20:20" ht="18.75" customHeight="1" x14ac:dyDescent="0.35">
      <c r="T12696" s="246">
        <f t="shared" si="236"/>
        <v>0</v>
      </c>
    </row>
    <row r="12697" spans="20:20" ht="18.75" customHeight="1" x14ac:dyDescent="0.35">
      <c r="T12697" s="246">
        <f t="shared" si="236"/>
        <v>0</v>
      </c>
    </row>
    <row r="12698" spans="20:20" ht="18.75" customHeight="1" x14ac:dyDescent="0.35">
      <c r="T12698" s="246">
        <f t="shared" si="236"/>
        <v>0</v>
      </c>
    </row>
    <row r="12699" spans="20:20" ht="18.75" customHeight="1" x14ac:dyDescent="0.35">
      <c r="T12699" s="246">
        <f t="shared" si="236"/>
        <v>0</v>
      </c>
    </row>
    <row r="12700" spans="20:20" ht="18.75" customHeight="1" x14ac:dyDescent="0.35">
      <c r="T12700" s="246">
        <f t="shared" si="236"/>
        <v>0</v>
      </c>
    </row>
    <row r="12701" spans="20:20" ht="18.75" customHeight="1" x14ac:dyDescent="0.35">
      <c r="T12701" s="246">
        <f t="shared" si="236"/>
        <v>0</v>
      </c>
    </row>
    <row r="12702" spans="20:20" ht="18.75" customHeight="1" x14ac:dyDescent="0.35">
      <c r="T12702" s="246">
        <f t="shared" si="236"/>
        <v>0</v>
      </c>
    </row>
    <row r="12703" spans="20:20" ht="18.75" customHeight="1" x14ac:dyDescent="0.35">
      <c r="T12703" s="246">
        <f t="shared" si="236"/>
        <v>0</v>
      </c>
    </row>
    <row r="12704" spans="20:20" ht="18.75" customHeight="1" x14ac:dyDescent="0.35">
      <c r="T12704" s="246">
        <f t="shared" si="236"/>
        <v>0</v>
      </c>
    </row>
    <row r="12705" spans="20:20" ht="18.75" customHeight="1" x14ac:dyDescent="0.35">
      <c r="T12705" s="246">
        <f t="shared" si="236"/>
        <v>0</v>
      </c>
    </row>
    <row r="12706" spans="20:20" ht="18.75" customHeight="1" x14ac:dyDescent="0.35">
      <c r="T12706" s="246">
        <f t="shared" si="236"/>
        <v>0</v>
      </c>
    </row>
    <row r="12707" spans="20:20" ht="18.75" customHeight="1" x14ac:dyDescent="0.35">
      <c r="T12707" s="246">
        <f t="shared" si="236"/>
        <v>0</v>
      </c>
    </row>
    <row r="12708" spans="20:20" ht="18.75" customHeight="1" x14ac:dyDescent="0.35">
      <c r="T12708" s="246">
        <f t="shared" si="236"/>
        <v>0</v>
      </c>
    </row>
    <row r="12709" spans="20:20" ht="18.75" customHeight="1" x14ac:dyDescent="0.35">
      <c r="T12709" s="246">
        <f t="shared" si="236"/>
        <v>0</v>
      </c>
    </row>
    <row r="12710" spans="20:20" ht="18.75" customHeight="1" x14ac:dyDescent="0.35">
      <c r="T12710" s="246">
        <f t="shared" si="236"/>
        <v>0</v>
      </c>
    </row>
    <row r="12711" spans="20:20" ht="18.75" customHeight="1" x14ac:dyDescent="0.35">
      <c r="T12711" s="246">
        <f t="shared" si="236"/>
        <v>0</v>
      </c>
    </row>
    <row r="12712" spans="20:20" ht="18.75" customHeight="1" x14ac:dyDescent="0.35">
      <c r="T12712" s="246">
        <f t="shared" si="236"/>
        <v>0</v>
      </c>
    </row>
    <row r="12713" spans="20:20" ht="18.75" customHeight="1" x14ac:dyDescent="0.35">
      <c r="T12713" s="246">
        <f t="shared" si="236"/>
        <v>0</v>
      </c>
    </row>
    <row r="12714" spans="20:20" ht="18.75" customHeight="1" x14ac:dyDescent="0.35">
      <c r="T12714" s="246">
        <f t="shared" si="236"/>
        <v>0</v>
      </c>
    </row>
    <row r="12715" spans="20:20" ht="18.75" customHeight="1" x14ac:dyDescent="0.35">
      <c r="T12715" s="246">
        <f t="shared" si="236"/>
        <v>0</v>
      </c>
    </row>
    <row r="12716" spans="20:20" ht="18.75" customHeight="1" x14ac:dyDescent="0.35">
      <c r="T12716" s="246">
        <f t="shared" si="236"/>
        <v>0</v>
      </c>
    </row>
    <row r="12717" spans="20:20" ht="18.75" customHeight="1" x14ac:dyDescent="0.35">
      <c r="T12717" s="246">
        <f t="shared" si="236"/>
        <v>0</v>
      </c>
    </row>
    <row r="12718" spans="20:20" ht="18.75" customHeight="1" x14ac:dyDescent="0.35">
      <c r="T12718" s="246">
        <f t="shared" si="236"/>
        <v>0</v>
      </c>
    </row>
    <row r="12719" spans="20:20" ht="18.75" customHeight="1" x14ac:dyDescent="0.35">
      <c r="T12719" s="246">
        <f t="shared" si="236"/>
        <v>0</v>
      </c>
    </row>
    <row r="12720" spans="20:20" ht="18.75" customHeight="1" x14ac:dyDescent="0.35">
      <c r="T12720" s="246">
        <f t="shared" si="236"/>
        <v>0</v>
      </c>
    </row>
    <row r="12721" spans="20:20" ht="18.75" customHeight="1" x14ac:dyDescent="0.35">
      <c r="T12721" s="246">
        <f t="shared" si="236"/>
        <v>0</v>
      </c>
    </row>
    <row r="12722" spans="20:20" ht="18.75" customHeight="1" x14ac:dyDescent="0.35">
      <c r="T12722" s="246">
        <f t="shared" si="236"/>
        <v>0</v>
      </c>
    </row>
    <row r="12723" spans="20:20" ht="18.75" customHeight="1" x14ac:dyDescent="0.35">
      <c r="T12723" s="246">
        <f t="shared" si="236"/>
        <v>0</v>
      </c>
    </row>
    <row r="12724" spans="20:20" ht="18.75" customHeight="1" x14ac:dyDescent="0.35">
      <c r="T12724" s="246">
        <f t="shared" si="236"/>
        <v>0</v>
      </c>
    </row>
    <row r="12725" spans="20:20" ht="18.75" customHeight="1" x14ac:dyDescent="0.35">
      <c r="T12725" s="246">
        <f t="shared" si="236"/>
        <v>0</v>
      </c>
    </row>
    <row r="12726" spans="20:20" ht="18.75" customHeight="1" x14ac:dyDescent="0.35">
      <c r="T12726" s="246">
        <f t="shared" si="236"/>
        <v>0</v>
      </c>
    </row>
    <row r="12727" spans="20:20" ht="18.75" customHeight="1" x14ac:dyDescent="0.35">
      <c r="T12727" s="246">
        <f t="shared" si="236"/>
        <v>0</v>
      </c>
    </row>
    <row r="12728" spans="20:20" ht="18.75" customHeight="1" x14ac:dyDescent="0.35">
      <c r="T12728" s="246">
        <f t="shared" si="236"/>
        <v>0</v>
      </c>
    </row>
    <row r="12729" spans="20:20" ht="18.75" customHeight="1" x14ac:dyDescent="0.35">
      <c r="T12729" s="246">
        <f t="shared" si="236"/>
        <v>0</v>
      </c>
    </row>
    <row r="12730" spans="20:20" ht="18.75" customHeight="1" x14ac:dyDescent="0.35">
      <c r="T12730" s="246">
        <f t="shared" si="236"/>
        <v>0</v>
      </c>
    </row>
    <row r="12731" spans="20:20" ht="18.75" customHeight="1" x14ac:dyDescent="0.35">
      <c r="T12731" s="246">
        <f t="shared" si="236"/>
        <v>0</v>
      </c>
    </row>
    <row r="12732" spans="20:20" ht="18.75" customHeight="1" x14ac:dyDescent="0.35">
      <c r="T12732" s="246">
        <f t="shared" ref="T12732:T12795" si="237">R12732*0.01</f>
        <v>0</v>
      </c>
    </row>
    <row r="12733" spans="20:20" ht="18.75" customHeight="1" x14ac:dyDescent="0.35">
      <c r="T12733" s="246">
        <f t="shared" si="237"/>
        <v>0</v>
      </c>
    </row>
    <row r="12734" spans="20:20" ht="18.75" customHeight="1" x14ac:dyDescent="0.35">
      <c r="T12734" s="246">
        <f t="shared" si="237"/>
        <v>0</v>
      </c>
    </row>
    <row r="12735" spans="20:20" ht="18.75" customHeight="1" x14ac:dyDescent="0.35">
      <c r="T12735" s="246">
        <f t="shared" si="237"/>
        <v>0</v>
      </c>
    </row>
    <row r="12736" spans="20:20" ht="18.75" customHeight="1" x14ac:dyDescent="0.35">
      <c r="T12736" s="246">
        <f t="shared" si="237"/>
        <v>0</v>
      </c>
    </row>
    <row r="12737" spans="20:20" ht="18.75" customHeight="1" x14ac:dyDescent="0.35">
      <c r="T12737" s="246">
        <f t="shared" si="237"/>
        <v>0</v>
      </c>
    </row>
    <row r="12738" spans="20:20" ht="18.75" customHeight="1" x14ac:dyDescent="0.35">
      <c r="T12738" s="246">
        <f t="shared" si="237"/>
        <v>0</v>
      </c>
    </row>
    <row r="12739" spans="20:20" ht="18.75" customHeight="1" x14ac:dyDescent="0.35">
      <c r="T12739" s="246">
        <f t="shared" si="237"/>
        <v>0</v>
      </c>
    </row>
    <row r="12740" spans="20:20" ht="18.75" customHeight="1" x14ac:dyDescent="0.35">
      <c r="T12740" s="246">
        <f t="shared" si="237"/>
        <v>0</v>
      </c>
    </row>
    <row r="12741" spans="20:20" ht="18.75" customHeight="1" x14ac:dyDescent="0.35">
      <c r="T12741" s="246">
        <f t="shared" si="237"/>
        <v>0</v>
      </c>
    </row>
    <row r="12742" spans="20:20" ht="18.75" customHeight="1" x14ac:dyDescent="0.35">
      <c r="T12742" s="246">
        <f t="shared" si="237"/>
        <v>0</v>
      </c>
    </row>
    <row r="12743" spans="20:20" ht="18.75" customHeight="1" x14ac:dyDescent="0.35">
      <c r="T12743" s="246">
        <f t="shared" si="237"/>
        <v>0</v>
      </c>
    </row>
    <row r="12744" spans="20:20" ht="18.75" customHeight="1" x14ac:dyDescent="0.35">
      <c r="T12744" s="246">
        <f t="shared" si="237"/>
        <v>0</v>
      </c>
    </row>
    <row r="12745" spans="20:20" ht="18.75" customHeight="1" x14ac:dyDescent="0.35">
      <c r="T12745" s="246">
        <f t="shared" si="237"/>
        <v>0</v>
      </c>
    </row>
    <row r="12746" spans="20:20" ht="18.75" customHeight="1" x14ac:dyDescent="0.35">
      <c r="T12746" s="246">
        <f t="shared" si="237"/>
        <v>0</v>
      </c>
    </row>
    <row r="12747" spans="20:20" ht="18.75" customHeight="1" x14ac:dyDescent="0.35">
      <c r="T12747" s="246">
        <f t="shared" si="237"/>
        <v>0</v>
      </c>
    </row>
    <row r="12748" spans="20:20" ht="18.75" customHeight="1" x14ac:dyDescent="0.35">
      <c r="T12748" s="246">
        <f t="shared" si="237"/>
        <v>0</v>
      </c>
    </row>
    <row r="12749" spans="20:20" ht="18.75" customHeight="1" x14ac:dyDescent="0.35">
      <c r="T12749" s="246">
        <f t="shared" si="237"/>
        <v>0</v>
      </c>
    </row>
    <row r="12750" spans="20:20" ht="18.75" customHeight="1" x14ac:dyDescent="0.35">
      <c r="T12750" s="246">
        <f t="shared" si="237"/>
        <v>0</v>
      </c>
    </row>
    <row r="12751" spans="20:20" ht="18.75" customHeight="1" x14ac:dyDescent="0.35">
      <c r="T12751" s="246">
        <f t="shared" si="237"/>
        <v>0</v>
      </c>
    </row>
    <row r="12752" spans="20:20" ht="18.75" customHeight="1" x14ac:dyDescent="0.35">
      <c r="T12752" s="246">
        <f t="shared" si="237"/>
        <v>0</v>
      </c>
    </row>
    <row r="12753" spans="20:20" ht="18.75" customHeight="1" x14ac:dyDescent="0.35">
      <c r="T12753" s="246">
        <f t="shared" si="237"/>
        <v>0</v>
      </c>
    </row>
    <row r="12754" spans="20:20" ht="18.75" customHeight="1" x14ac:dyDescent="0.35">
      <c r="T12754" s="246">
        <f t="shared" si="237"/>
        <v>0</v>
      </c>
    </row>
    <row r="12755" spans="20:20" ht="18.75" customHeight="1" x14ac:dyDescent="0.35">
      <c r="T12755" s="246">
        <f t="shared" si="237"/>
        <v>0</v>
      </c>
    </row>
    <row r="12756" spans="20:20" ht="18.75" customHeight="1" x14ac:dyDescent="0.35">
      <c r="T12756" s="246">
        <f t="shared" si="237"/>
        <v>0</v>
      </c>
    </row>
    <row r="12757" spans="20:20" ht="18.75" customHeight="1" x14ac:dyDescent="0.35">
      <c r="T12757" s="246">
        <f t="shared" si="237"/>
        <v>0</v>
      </c>
    </row>
    <row r="12758" spans="20:20" ht="18.75" customHeight="1" x14ac:dyDescent="0.35">
      <c r="T12758" s="246">
        <f t="shared" si="237"/>
        <v>0</v>
      </c>
    </row>
    <row r="12759" spans="20:20" ht="18.75" customHeight="1" x14ac:dyDescent="0.35">
      <c r="T12759" s="246">
        <f t="shared" si="237"/>
        <v>0</v>
      </c>
    </row>
    <row r="12760" spans="20:20" ht="18.75" customHeight="1" x14ac:dyDescent="0.35">
      <c r="T12760" s="246">
        <f t="shared" si="237"/>
        <v>0</v>
      </c>
    </row>
    <row r="12761" spans="20:20" ht="18.75" customHeight="1" x14ac:dyDescent="0.35">
      <c r="T12761" s="246">
        <f t="shared" si="237"/>
        <v>0</v>
      </c>
    </row>
    <row r="12762" spans="20:20" ht="18.75" customHeight="1" x14ac:dyDescent="0.35">
      <c r="T12762" s="246">
        <f t="shared" si="237"/>
        <v>0</v>
      </c>
    </row>
    <row r="12763" spans="20:20" ht="18.75" customHeight="1" x14ac:dyDescent="0.35">
      <c r="T12763" s="246">
        <f t="shared" si="237"/>
        <v>0</v>
      </c>
    </row>
    <row r="12764" spans="20:20" ht="18.75" customHeight="1" x14ac:dyDescent="0.35">
      <c r="T12764" s="246">
        <f t="shared" si="237"/>
        <v>0</v>
      </c>
    </row>
    <row r="12765" spans="20:20" ht="18.75" customHeight="1" x14ac:dyDescent="0.35">
      <c r="T12765" s="246">
        <f t="shared" si="237"/>
        <v>0</v>
      </c>
    </row>
    <row r="12766" spans="20:20" ht="18.75" customHeight="1" x14ac:dyDescent="0.35">
      <c r="T12766" s="246">
        <f t="shared" si="237"/>
        <v>0</v>
      </c>
    </row>
    <row r="12767" spans="20:20" ht="18.75" customHeight="1" x14ac:dyDescent="0.35">
      <c r="T12767" s="246">
        <f t="shared" si="237"/>
        <v>0</v>
      </c>
    </row>
    <row r="12768" spans="20:20" ht="18.75" customHeight="1" x14ac:dyDescent="0.35">
      <c r="T12768" s="246">
        <f t="shared" si="237"/>
        <v>0</v>
      </c>
    </row>
    <row r="12769" spans="20:20" ht="18.75" customHeight="1" x14ac:dyDescent="0.35">
      <c r="T12769" s="246">
        <f t="shared" si="237"/>
        <v>0</v>
      </c>
    </row>
    <row r="12770" spans="20:20" ht="18.75" customHeight="1" x14ac:dyDescent="0.35">
      <c r="T12770" s="246">
        <f t="shared" si="237"/>
        <v>0</v>
      </c>
    </row>
    <row r="12771" spans="20:20" ht="18.75" customHeight="1" x14ac:dyDescent="0.35">
      <c r="T12771" s="246">
        <f t="shared" si="237"/>
        <v>0</v>
      </c>
    </row>
    <row r="12772" spans="20:20" ht="18.75" customHeight="1" x14ac:dyDescent="0.35">
      <c r="T12772" s="246">
        <f t="shared" si="237"/>
        <v>0</v>
      </c>
    </row>
    <row r="12773" spans="20:20" ht="18.75" customHeight="1" x14ac:dyDescent="0.35">
      <c r="T12773" s="246">
        <f t="shared" si="237"/>
        <v>0</v>
      </c>
    </row>
    <row r="12774" spans="20:20" ht="18.75" customHeight="1" x14ac:dyDescent="0.35">
      <c r="T12774" s="246">
        <f t="shared" si="237"/>
        <v>0</v>
      </c>
    </row>
    <row r="12775" spans="20:20" ht="18.75" customHeight="1" x14ac:dyDescent="0.35">
      <c r="T12775" s="246">
        <f t="shared" si="237"/>
        <v>0</v>
      </c>
    </row>
    <row r="12776" spans="20:20" ht="18.75" customHeight="1" x14ac:dyDescent="0.35">
      <c r="T12776" s="246">
        <f t="shared" si="237"/>
        <v>0</v>
      </c>
    </row>
    <row r="12777" spans="20:20" ht="18.75" customHeight="1" x14ac:dyDescent="0.35">
      <c r="T12777" s="246">
        <f t="shared" si="237"/>
        <v>0</v>
      </c>
    </row>
    <row r="12778" spans="20:20" ht="18.75" customHeight="1" x14ac:dyDescent="0.35">
      <c r="T12778" s="246">
        <f t="shared" si="237"/>
        <v>0</v>
      </c>
    </row>
    <row r="12779" spans="20:20" ht="18.75" customHeight="1" x14ac:dyDescent="0.35">
      <c r="T12779" s="246">
        <f t="shared" si="237"/>
        <v>0</v>
      </c>
    </row>
    <row r="12780" spans="20:20" ht="18.75" customHeight="1" x14ac:dyDescent="0.35">
      <c r="T12780" s="246">
        <f t="shared" si="237"/>
        <v>0</v>
      </c>
    </row>
    <row r="12781" spans="20:20" ht="18.75" customHeight="1" x14ac:dyDescent="0.35">
      <c r="T12781" s="246">
        <f t="shared" si="237"/>
        <v>0</v>
      </c>
    </row>
    <row r="12782" spans="20:20" ht="18.75" customHeight="1" x14ac:dyDescent="0.35">
      <c r="T12782" s="246">
        <f t="shared" si="237"/>
        <v>0</v>
      </c>
    </row>
    <row r="12783" spans="20:20" ht="18.75" customHeight="1" x14ac:dyDescent="0.35">
      <c r="T12783" s="246">
        <f t="shared" si="237"/>
        <v>0</v>
      </c>
    </row>
    <row r="12784" spans="20:20" ht="18.75" customHeight="1" x14ac:dyDescent="0.35">
      <c r="T12784" s="246">
        <f t="shared" si="237"/>
        <v>0</v>
      </c>
    </row>
    <row r="12785" spans="20:20" ht="18.75" customHeight="1" x14ac:dyDescent="0.35">
      <c r="T12785" s="246">
        <f t="shared" si="237"/>
        <v>0</v>
      </c>
    </row>
    <row r="12786" spans="20:20" ht="18.75" customHeight="1" x14ac:dyDescent="0.35">
      <c r="T12786" s="246">
        <f t="shared" si="237"/>
        <v>0</v>
      </c>
    </row>
    <row r="12787" spans="20:20" ht="18.75" customHeight="1" x14ac:dyDescent="0.35">
      <c r="T12787" s="246">
        <f t="shared" si="237"/>
        <v>0</v>
      </c>
    </row>
    <row r="12788" spans="20:20" ht="18.75" customHeight="1" x14ac:dyDescent="0.35">
      <c r="T12788" s="246">
        <f t="shared" si="237"/>
        <v>0</v>
      </c>
    </row>
    <row r="12789" spans="20:20" ht="18.75" customHeight="1" x14ac:dyDescent="0.35">
      <c r="T12789" s="246">
        <f t="shared" si="237"/>
        <v>0</v>
      </c>
    </row>
    <row r="12790" spans="20:20" ht="18.75" customHeight="1" x14ac:dyDescent="0.35">
      <c r="T12790" s="246">
        <f t="shared" si="237"/>
        <v>0</v>
      </c>
    </row>
    <row r="12791" spans="20:20" ht="18.75" customHeight="1" x14ac:dyDescent="0.35">
      <c r="T12791" s="246">
        <f t="shared" si="237"/>
        <v>0</v>
      </c>
    </row>
    <row r="12792" spans="20:20" ht="18.75" customHeight="1" x14ac:dyDescent="0.35">
      <c r="T12792" s="246">
        <f t="shared" si="237"/>
        <v>0</v>
      </c>
    </row>
    <row r="12793" spans="20:20" ht="18.75" customHeight="1" x14ac:dyDescent="0.35">
      <c r="T12793" s="246">
        <f t="shared" si="237"/>
        <v>0</v>
      </c>
    </row>
    <row r="12794" spans="20:20" ht="18.75" customHeight="1" x14ac:dyDescent="0.35">
      <c r="T12794" s="246">
        <f t="shared" si="237"/>
        <v>0</v>
      </c>
    </row>
    <row r="12795" spans="20:20" ht="18.75" customHeight="1" x14ac:dyDescent="0.35">
      <c r="T12795" s="246">
        <f t="shared" si="237"/>
        <v>0</v>
      </c>
    </row>
    <row r="12796" spans="20:20" ht="18.75" customHeight="1" x14ac:dyDescent="0.35">
      <c r="T12796" s="246">
        <f t="shared" ref="T12796:T12859" si="238">R12796*0.01</f>
        <v>0</v>
      </c>
    </row>
    <row r="12797" spans="20:20" ht="18.75" customHeight="1" x14ac:dyDescent="0.35">
      <c r="T12797" s="246">
        <f t="shared" si="238"/>
        <v>0</v>
      </c>
    </row>
    <row r="12798" spans="20:20" ht="18.75" customHeight="1" x14ac:dyDescent="0.35">
      <c r="T12798" s="246">
        <f t="shared" si="238"/>
        <v>0</v>
      </c>
    </row>
    <row r="12799" spans="20:20" ht="18.75" customHeight="1" x14ac:dyDescent="0.35">
      <c r="T12799" s="246">
        <f t="shared" si="238"/>
        <v>0</v>
      </c>
    </row>
    <row r="12800" spans="20:20" ht="18.75" customHeight="1" x14ac:dyDescent="0.35">
      <c r="T12800" s="246">
        <f t="shared" si="238"/>
        <v>0</v>
      </c>
    </row>
    <row r="12801" spans="20:20" ht="18.75" customHeight="1" x14ac:dyDescent="0.35">
      <c r="T12801" s="246">
        <f t="shared" si="238"/>
        <v>0</v>
      </c>
    </row>
    <row r="12802" spans="20:20" ht="18.75" customHeight="1" x14ac:dyDescent="0.35">
      <c r="T12802" s="246">
        <f t="shared" si="238"/>
        <v>0</v>
      </c>
    </row>
    <row r="12803" spans="20:20" ht="18.75" customHeight="1" x14ac:dyDescent="0.35">
      <c r="T12803" s="246">
        <f t="shared" si="238"/>
        <v>0</v>
      </c>
    </row>
    <row r="12804" spans="20:20" ht="18.75" customHeight="1" x14ac:dyDescent="0.35">
      <c r="T12804" s="246">
        <f t="shared" si="238"/>
        <v>0</v>
      </c>
    </row>
    <row r="12805" spans="20:20" ht="18.75" customHeight="1" x14ac:dyDescent="0.35">
      <c r="T12805" s="246">
        <f t="shared" si="238"/>
        <v>0</v>
      </c>
    </row>
    <row r="12806" spans="20:20" ht="18.75" customHeight="1" x14ac:dyDescent="0.35">
      <c r="T12806" s="246">
        <f t="shared" si="238"/>
        <v>0</v>
      </c>
    </row>
    <row r="12807" spans="20:20" ht="18.75" customHeight="1" x14ac:dyDescent="0.35">
      <c r="T12807" s="246">
        <f t="shared" si="238"/>
        <v>0</v>
      </c>
    </row>
    <row r="12808" spans="20:20" ht="18.75" customHeight="1" x14ac:dyDescent="0.35">
      <c r="T12808" s="246">
        <f t="shared" si="238"/>
        <v>0</v>
      </c>
    </row>
    <row r="12809" spans="20:20" ht="18.75" customHeight="1" x14ac:dyDescent="0.35">
      <c r="T12809" s="246">
        <f t="shared" si="238"/>
        <v>0</v>
      </c>
    </row>
    <row r="12810" spans="20:20" ht="18.75" customHeight="1" x14ac:dyDescent="0.35">
      <c r="T12810" s="246">
        <f t="shared" si="238"/>
        <v>0</v>
      </c>
    </row>
    <row r="12811" spans="20:20" ht="18.75" customHeight="1" x14ac:dyDescent="0.35">
      <c r="T12811" s="246">
        <f t="shared" si="238"/>
        <v>0</v>
      </c>
    </row>
    <row r="12812" spans="20:20" ht="18.75" customHeight="1" x14ac:dyDescent="0.35">
      <c r="T12812" s="246">
        <f t="shared" si="238"/>
        <v>0</v>
      </c>
    </row>
    <row r="12813" spans="20:20" ht="18.75" customHeight="1" x14ac:dyDescent="0.35">
      <c r="T12813" s="246">
        <f t="shared" si="238"/>
        <v>0</v>
      </c>
    </row>
    <row r="12814" spans="20:20" ht="18.75" customHeight="1" x14ac:dyDescent="0.35">
      <c r="T12814" s="246">
        <f t="shared" si="238"/>
        <v>0</v>
      </c>
    </row>
    <row r="12815" spans="20:20" ht="18.75" customHeight="1" x14ac:dyDescent="0.35">
      <c r="T12815" s="246">
        <f t="shared" si="238"/>
        <v>0</v>
      </c>
    </row>
    <row r="12816" spans="20:20" ht="18.75" customHeight="1" x14ac:dyDescent="0.35">
      <c r="T12816" s="246">
        <f t="shared" si="238"/>
        <v>0</v>
      </c>
    </row>
    <row r="12817" spans="20:20" ht="18.75" customHeight="1" x14ac:dyDescent="0.35">
      <c r="T12817" s="246">
        <f t="shared" si="238"/>
        <v>0</v>
      </c>
    </row>
    <row r="12818" spans="20:20" ht="18.75" customHeight="1" x14ac:dyDescent="0.35">
      <c r="T12818" s="246">
        <f t="shared" si="238"/>
        <v>0</v>
      </c>
    </row>
    <row r="12819" spans="20:20" ht="18.75" customHeight="1" x14ac:dyDescent="0.35">
      <c r="T12819" s="246">
        <f t="shared" si="238"/>
        <v>0</v>
      </c>
    </row>
    <row r="12820" spans="20:20" ht="18.75" customHeight="1" x14ac:dyDescent="0.35">
      <c r="T12820" s="246">
        <f t="shared" si="238"/>
        <v>0</v>
      </c>
    </row>
    <row r="12821" spans="20:20" ht="18.75" customHeight="1" x14ac:dyDescent="0.35">
      <c r="T12821" s="246">
        <f t="shared" si="238"/>
        <v>0</v>
      </c>
    </row>
    <row r="12822" spans="20:20" ht="18.75" customHeight="1" x14ac:dyDescent="0.35">
      <c r="T12822" s="246">
        <f t="shared" si="238"/>
        <v>0</v>
      </c>
    </row>
    <row r="12823" spans="20:20" ht="18.75" customHeight="1" x14ac:dyDescent="0.35">
      <c r="T12823" s="246">
        <f t="shared" si="238"/>
        <v>0</v>
      </c>
    </row>
    <row r="12824" spans="20:20" ht="18.75" customHeight="1" x14ac:dyDescent="0.35">
      <c r="T12824" s="246">
        <f t="shared" si="238"/>
        <v>0</v>
      </c>
    </row>
    <row r="12825" spans="20:20" ht="18.75" customHeight="1" x14ac:dyDescent="0.35">
      <c r="T12825" s="246">
        <f t="shared" si="238"/>
        <v>0</v>
      </c>
    </row>
    <row r="12826" spans="20:20" ht="18.75" customHeight="1" x14ac:dyDescent="0.35">
      <c r="T12826" s="246">
        <f t="shared" si="238"/>
        <v>0</v>
      </c>
    </row>
    <row r="12827" spans="20:20" ht="18.75" customHeight="1" x14ac:dyDescent="0.35">
      <c r="T12827" s="246">
        <f t="shared" si="238"/>
        <v>0</v>
      </c>
    </row>
    <row r="12828" spans="20:20" ht="18.75" customHeight="1" x14ac:dyDescent="0.35">
      <c r="T12828" s="246">
        <f t="shared" si="238"/>
        <v>0</v>
      </c>
    </row>
    <row r="12829" spans="20:20" ht="18.75" customHeight="1" x14ac:dyDescent="0.35">
      <c r="T12829" s="246">
        <f t="shared" si="238"/>
        <v>0</v>
      </c>
    </row>
    <row r="12830" spans="20:20" ht="18.75" customHeight="1" x14ac:dyDescent="0.35">
      <c r="T12830" s="246">
        <f t="shared" si="238"/>
        <v>0</v>
      </c>
    </row>
    <row r="12831" spans="20:20" ht="18.75" customHeight="1" x14ac:dyDescent="0.35">
      <c r="T12831" s="246">
        <f t="shared" si="238"/>
        <v>0</v>
      </c>
    </row>
    <row r="12832" spans="20:20" ht="18.75" customHeight="1" x14ac:dyDescent="0.35">
      <c r="T12832" s="246">
        <f t="shared" si="238"/>
        <v>0</v>
      </c>
    </row>
    <row r="12833" spans="20:20" ht="18.75" customHeight="1" x14ac:dyDescent="0.35">
      <c r="T12833" s="246">
        <f t="shared" si="238"/>
        <v>0</v>
      </c>
    </row>
    <row r="12834" spans="20:20" ht="18.75" customHeight="1" x14ac:dyDescent="0.35">
      <c r="T12834" s="246">
        <f t="shared" si="238"/>
        <v>0</v>
      </c>
    </row>
    <row r="12835" spans="20:20" ht="18.75" customHeight="1" x14ac:dyDescent="0.35">
      <c r="T12835" s="246">
        <f t="shared" si="238"/>
        <v>0</v>
      </c>
    </row>
    <row r="12836" spans="20:20" ht="18.75" customHeight="1" x14ac:dyDescent="0.35">
      <c r="T12836" s="246">
        <f t="shared" si="238"/>
        <v>0</v>
      </c>
    </row>
    <row r="12837" spans="20:20" ht="18.75" customHeight="1" x14ac:dyDescent="0.35">
      <c r="T12837" s="246">
        <f t="shared" si="238"/>
        <v>0</v>
      </c>
    </row>
    <row r="12838" spans="20:20" ht="18.75" customHeight="1" x14ac:dyDescent="0.35">
      <c r="T12838" s="246">
        <f t="shared" si="238"/>
        <v>0</v>
      </c>
    </row>
    <row r="12839" spans="20:20" ht="18.75" customHeight="1" x14ac:dyDescent="0.35">
      <c r="T12839" s="246">
        <f t="shared" si="238"/>
        <v>0</v>
      </c>
    </row>
    <row r="12840" spans="20:20" ht="18.75" customHeight="1" x14ac:dyDescent="0.35">
      <c r="T12840" s="246">
        <f t="shared" si="238"/>
        <v>0</v>
      </c>
    </row>
    <row r="12841" spans="20:20" ht="18.75" customHeight="1" x14ac:dyDescent="0.35">
      <c r="T12841" s="246">
        <f t="shared" si="238"/>
        <v>0</v>
      </c>
    </row>
    <row r="12842" spans="20:20" ht="18.75" customHeight="1" x14ac:dyDescent="0.35">
      <c r="T12842" s="246">
        <f t="shared" si="238"/>
        <v>0</v>
      </c>
    </row>
    <row r="12843" spans="20:20" ht="18.75" customHeight="1" x14ac:dyDescent="0.35">
      <c r="T12843" s="246">
        <f t="shared" si="238"/>
        <v>0</v>
      </c>
    </row>
    <row r="12844" spans="20:20" ht="18.75" customHeight="1" x14ac:dyDescent="0.35">
      <c r="T12844" s="246">
        <f t="shared" si="238"/>
        <v>0</v>
      </c>
    </row>
    <row r="12845" spans="20:20" ht="18.75" customHeight="1" x14ac:dyDescent="0.35">
      <c r="T12845" s="246">
        <f t="shared" si="238"/>
        <v>0</v>
      </c>
    </row>
    <row r="12846" spans="20:20" ht="18.75" customHeight="1" x14ac:dyDescent="0.35">
      <c r="T12846" s="246">
        <f t="shared" si="238"/>
        <v>0</v>
      </c>
    </row>
    <row r="12847" spans="20:20" ht="18.75" customHeight="1" x14ac:dyDescent="0.35">
      <c r="T12847" s="246">
        <f t="shared" si="238"/>
        <v>0</v>
      </c>
    </row>
    <row r="12848" spans="20:20" ht="18.75" customHeight="1" x14ac:dyDescent="0.35">
      <c r="T12848" s="246">
        <f t="shared" si="238"/>
        <v>0</v>
      </c>
    </row>
    <row r="12849" spans="20:20" ht="18.75" customHeight="1" x14ac:dyDescent="0.35">
      <c r="T12849" s="246">
        <f t="shared" si="238"/>
        <v>0</v>
      </c>
    </row>
    <row r="12850" spans="20:20" ht="18.75" customHeight="1" x14ac:dyDescent="0.35">
      <c r="T12850" s="246">
        <f t="shared" si="238"/>
        <v>0</v>
      </c>
    </row>
    <row r="12851" spans="20:20" ht="18.75" customHeight="1" x14ac:dyDescent="0.35">
      <c r="T12851" s="246">
        <f t="shared" si="238"/>
        <v>0</v>
      </c>
    </row>
    <row r="12852" spans="20:20" ht="18.75" customHeight="1" x14ac:dyDescent="0.35">
      <c r="T12852" s="246">
        <f t="shared" si="238"/>
        <v>0</v>
      </c>
    </row>
    <row r="12853" spans="20:20" ht="18.75" customHeight="1" x14ac:dyDescent="0.35">
      <c r="T12853" s="246">
        <f t="shared" si="238"/>
        <v>0</v>
      </c>
    </row>
    <row r="12854" spans="20:20" ht="18.75" customHeight="1" x14ac:dyDescent="0.35">
      <c r="T12854" s="246">
        <f t="shared" si="238"/>
        <v>0</v>
      </c>
    </row>
    <row r="12855" spans="20:20" ht="18.75" customHeight="1" x14ac:dyDescent="0.35">
      <c r="T12855" s="246">
        <f t="shared" si="238"/>
        <v>0</v>
      </c>
    </row>
    <row r="12856" spans="20:20" ht="18.75" customHeight="1" x14ac:dyDescent="0.35">
      <c r="T12856" s="246">
        <f t="shared" si="238"/>
        <v>0</v>
      </c>
    </row>
    <row r="12857" spans="20:20" ht="18.75" customHeight="1" x14ac:dyDescent="0.35">
      <c r="T12857" s="246">
        <f t="shared" si="238"/>
        <v>0</v>
      </c>
    </row>
    <row r="12858" spans="20:20" ht="18.75" customHeight="1" x14ac:dyDescent="0.35">
      <c r="T12858" s="246">
        <f t="shared" si="238"/>
        <v>0</v>
      </c>
    </row>
    <row r="12859" spans="20:20" ht="18.75" customHeight="1" x14ac:dyDescent="0.35">
      <c r="T12859" s="246">
        <f t="shared" si="238"/>
        <v>0</v>
      </c>
    </row>
    <row r="12860" spans="20:20" ht="18.75" customHeight="1" x14ac:dyDescent="0.35">
      <c r="T12860" s="246">
        <f t="shared" ref="T12860:T12923" si="239">R12860*0.01</f>
        <v>0</v>
      </c>
    </row>
    <row r="12861" spans="20:20" ht="18.75" customHeight="1" x14ac:dyDescent="0.35">
      <c r="T12861" s="246">
        <f t="shared" si="239"/>
        <v>0</v>
      </c>
    </row>
    <row r="12862" spans="20:20" ht="18.75" customHeight="1" x14ac:dyDescent="0.35">
      <c r="T12862" s="246">
        <f t="shared" si="239"/>
        <v>0</v>
      </c>
    </row>
    <row r="12863" spans="20:20" ht="18.75" customHeight="1" x14ac:dyDescent="0.35">
      <c r="T12863" s="246">
        <f t="shared" si="239"/>
        <v>0</v>
      </c>
    </row>
    <row r="12864" spans="20:20" ht="18.75" customHeight="1" x14ac:dyDescent="0.35">
      <c r="T12864" s="246">
        <f t="shared" si="239"/>
        <v>0</v>
      </c>
    </row>
    <row r="12865" spans="20:20" ht="18.75" customHeight="1" x14ac:dyDescent="0.35">
      <c r="T12865" s="246">
        <f t="shared" si="239"/>
        <v>0</v>
      </c>
    </row>
    <row r="12866" spans="20:20" ht="18.75" customHeight="1" x14ac:dyDescent="0.35">
      <c r="T12866" s="246">
        <f t="shared" si="239"/>
        <v>0</v>
      </c>
    </row>
    <row r="12867" spans="20:20" ht="18.75" customHeight="1" x14ac:dyDescent="0.35">
      <c r="T12867" s="246">
        <f t="shared" si="239"/>
        <v>0</v>
      </c>
    </row>
    <row r="12868" spans="20:20" ht="18.75" customHeight="1" x14ac:dyDescent="0.35">
      <c r="T12868" s="246">
        <f t="shared" si="239"/>
        <v>0</v>
      </c>
    </row>
    <row r="12869" spans="20:20" ht="18.75" customHeight="1" x14ac:dyDescent="0.35">
      <c r="T12869" s="246">
        <f t="shared" si="239"/>
        <v>0</v>
      </c>
    </row>
    <row r="12870" spans="20:20" ht="18.75" customHeight="1" x14ac:dyDescent="0.35">
      <c r="T12870" s="246">
        <f t="shared" si="239"/>
        <v>0</v>
      </c>
    </row>
    <row r="12871" spans="20:20" ht="18.75" customHeight="1" x14ac:dyDescent="0.35">
      <c r="T12871" s="246">
        <f t="shared" si="239"/>
        <v>0</v>
      </c>
    </row>
    <row r="12872" spans="20:20" ht="18.75" customHeight="1" x14ac:dyDescent="0.35">
      <c r="T12872" s="246">
        <f t="shared" si="239"/>
        <v>0</v>
      </c>
    </row>
    <row r="12873" spans="20:20" ht="18.75" customHeight="1" x14ac:dyDescent="0.35">
      <c r="T12873" s="246">
        <f t="shared" si="239"/>
        <v>0</v>
      </c>
    </row>
    <row r="12874" spans="20:20" ht="18.75" customHeight="1" x14ac:dyDescent="0.35">
      <c r="T12874" s="246">
        <f t="shared" si="239"/>
        <v>0</v>
      </c>
    </row>
    <row r="12875" spans="20:20" ht="18.75" customHeight="1" x14ac:dyDescent="0.35">
      <c r="T12875" s="246">
        <f t="shared" si="239"/>
        <v>0</v>
      </c>
    </row>
    <row r="12876" spans="20:20" ht="18.75" customHeight="1" x14ac:dyDescent="0.35">
      <c r="T12876" s="246">
        <f t="shared" si="239"/>
        <v>0</v>
      </c>
    </row>
    <row r="12877" spans="20:20" ht="18.75" customHeight="1" x14ac:dyDescent="0.35">
      <c r="T12877" s="246">
        <f t="shared" si="239"/>
        <v>0</v>
      </c>
    </row>
    <row r="12878" spans="20:20" ht="18.75" customHeight="1" x14ac:dyDescent="0.35">
      <c r="T12878" s="246">
        <f t="shared" si="239"/>
        <v>0</v>
      </c>
    </row>
    <row r="12879" spans="20:20" ht="18.75" customHeight="1" x14ac:dyDescent="0.35">
      <c r="T12879" s="246">
        <f t="shared" si="239"/>
        <v>0</v>
      </c>
    </row>
    <row r="12880" spans="20:20" ht="18.75" customHeight="1" x14ac:dyDescent="0.35">
      <c r="T12880" s="246">
        <f t="shared" si="239"/>
        <v>0</v>
      </c>
    </row>
    <row r="12881" spans="20:20" ht="18.75" customHeight="1" x14ac:dyDescent="0.35">
      <c r="T12881" s="246">
        <f t="shared" si="239"/>
        <v>0</v>
      </c>
    </row>
    <row r="12882" spans="20:20" ht="18.75" customHeight="1" x14ac:dyDescent="0.35">
      <c r="T12882" s="246">
        <f t="shared" si="239"/>
        <v>0</v>
      </c>
    </row>
    <row r="12883" spans="20:20" ht="18.75" customHeight="1" x14ac:dyDescent="0.35">
      <c r="T12883" s="246">
        <f t="shared" si="239"/>
        <v>0</v>
      </c>
    </row>
    <row r="12884" spans="20:20" ht="18.75" customHeight="1" x14ac:dyDescent="0.35">
      <c r="T12884" s="246">
        <f t="shared" si="239"/>
        <v>0</v>
      </c>
    </row>
    <row r="12885" spans="20:20" ht="18.75" customHeight="1" x14ac:dyDescent="0.35">
      <c r="T12885" s="246">
        <f t="shared" si="239"/>
        <v>0</v>
      </c>
    </row>
    <row r="12886" spans="20:20" ht="18.75" customHeight="1" x14ac:dyDescent="0.35">
      <c r="T12886" s="246">
        <f t="shared" si="239"/>
        <v>0</v>
      </c>
    </row>
    <row r="12887" spans="20:20" ht="18.75" customHeight="1" x14ac:dyDescent="0.35">
      <c r="T12887" s="246">
        <f t="shared" si="239"/>
        <v>0</v>
      </c>
    </row>
    <row r="12888" spans="20:20" ht="18.75" customHeight="1" x14ac:dyDescent="0.35">
      <c r="T12888" s="246">
        <f t="shared" si="239"/>
        <v>0</v>
      </c>
    </row>
    <row r="12889" spans="20:20" ht="18.75" customHeight="1" x14ac:dyDescent="0.35">
      <c r="T12889" s="246">
        <f t="shared" si="239"/>
        <v>0</v>
      </c>
    </row>
    <row r="12890" spans="20:20" ht="18.75" customHeight="1" x14ac:dyDescent="0.35">
      <c r="T12890" s="246">
        <f t="shared" si="239"/>
        <v>0</v>
      </c>
    </row>
    <row r="12891" spans="20:20" ht="18.75" customHeight="1" x14ac:dyDescent="0.35">
      <c r="T12891" s="246">
        <f t="shared" si="239"/>
        <v>0</v>
      </c>
    </row>
    <row r="12892" spans="20:20" ht="18.75" customHeight="1" x14ac:dyDescent="0.35">
      <c r="T12892" s="246">
        <f t="shared" si="239"/>
        <v>0</v>
      </c>
    </row>
    <row r="12893" spans="20:20" ht="18.75" customHeight="1" x14ac:dyDescent="0.35">
      <c r="T12893" s="246">
        <f t="shared" si="239"/>
        <v>0</v>
      </c>
    </row>
    <row r="12894" spans="20:20" ht="18.75" customHeight="1" x14ac:dyDescent="0.35">
      <c r="T12894" s="246">
        <f t="shared" si="239"/>
        <v>0</v>
      </c>
    </row>
    <row r="12895" spans="20:20" ht="18.75" customHeight="1" x14ac:dyDescent="0.35">
      <c r="T12895" s="246">
        <f t="shared" si="239"/>
        <v>0</v>
      </c>
    </row>
    <row r="12896" spans="20:20" ht="18.75" customHeight="1" x14ac:dyDescent="0.35">
      <c r="T12896" s="246">
        <f t="shared" si="239"/>
        <v>0</v>
      </c>
    </row>
    <row r="12897" spans="20:20" ht="18.75" customHeight="1" x14ac:dyDescent="0.35">
      <c r="T12897" s="246">
        <f t="shared" si="239"/>
        <v>0</v>
      </c>
    </row>
    <row r="12898" spans="20:20" ht="18.75" customHeight="1" x14ac:dyDescent="0.35">
      <c r="T12898" s="246">
        <f t="shared" si="239"/>
        <v>0</v>
      </c>
    </row>
    <row r="12899" spans="20:20" ht="18.75" customHeight="1" x14ac:dyDescent="0.35">
      <c r="T12899" s="246">
        <f t="shared" si="239"/>
        <v>0</v>
      </c>
    </row>
    <row r="12900" spans="20:20" ht="18.75" customHeight="1" x14ac:dyDescent="0.35">
      <c r="T12900" s="246">
        <f t="shared" si="239"/>
        <v>0</v>
      </c>
    </row>
    <row r="12901" spans="20:20" ht="18.75" customHeight="1" x14ac:dyDescent="0.35">
      <c r="T12901" s="246">
        <f t="shared" si="239"/>
        <v>0</v>
      </c>
    </row>
    <row r="12902" spans="20:20" ht="18.75" customHeight="1" x14ac:dyDescent="0.35">
      <c r="T12902" s="246">
        <f t="shared" si="239"/>
        <v>0</v>
      </c>
    </row>
    <row r="12903" spans="20:20" ht="18.75" customHeight="1" x14ac:dyDescent="0.35">
      <c r="T12903" s="246">
        <f t="shared" si="239"/>
        <v>0</v>
      </c>
    </row>
    <row r="12904" spans="20:20" ht="18.75" customHeight="1" x14ac:dyDescent="0.35">
      <c r="T12904" s="246">
        <f t="shared" si="239"/>
        <v>0</v>
      </c>
    </row>
    <row r="12905" spans="20:20" ht="18.75" customHeight="1" x14ac:dyDescent="0.35">
      <c r="T12905" s="246">
        <f t="shared" si="239"/>
        <v>0</v>
      </c>
    </row>
    <row r="12906" spans="20:20" ht="18.75" customHeight="1" x14ac:dyDescent="0.35">
      <c r="T12906" s="246">
        <f t="shared" si="239"/>
        <v>0</v>
      </c>
    </row>
    <row r="12907" spans="20:20" ht="18.75" customHeight="1" x14ac:dyDescent="0.35">
      <c r="T12907" s="246">
        <f t="shared" si="239"/>
        <v>0</v>
      </c>
    </row>
    <row r="12908" spans="20:20" ht="18.75" customHeight="1" x14ac:dyDescent="0.35">
      <c r="T12908" s="246">
        <f t="shared" si="239"/>
        <v>0</v>
      </c>
    </row>
    <row r="12909" spans="20:20" ht="18.75" customHeight="1" x14ac:dyDescent="0.35">
      <c r="T12909" s="246">
        <f t="shared" si="239"/>
        <v>0</v>
      </c>
    </row>
    <row r="12910" spans="20:20" ht="18.75" customHeight="1" x14ac:dyDescent="0.35">
      <c r="T12910" s="246">
        <f t="shared" si="239"/>
        <v>0</v>
      </c>
    </row>
    <row r="12911" spans="20:20" ht="18.75" customHeight="1" x14ac:dyDescent="0.35">
      <c r="T12911" s="246">
        <f t="shared" si="239"/>
        <v>0</v>
      </c>
    </row>
    <row r="12912" spans="20:20" ht="18.75" customHeight="1" x14ac:dyDescent="0.35">
      <c r="T12912" s="246">
        <f t="shared" si="239"/>
        <v>0</v>
      </c>
    </row>
    <row r="12913" spans="20:20" ht="18.75" customHeight="1" x14ac:dyDescent="0.35">
      <c r="T12913" s="246">
        <f t="shared" si="239"/>
        <v>0</v>
      </c>
    </row>
    <row r="12914" spans="20:20" ht="18.75" customHeight="1" x14ac:dyDescent="0.35">
      <c r="T12914" s="246">
        <f t="shared" si="239"/>
        <v>0</v>
      </c>
    </row>
    <row r="12915" spans="20:20" ht="18.75" customHeight="1" x14ac:dyDescent="0.35">
      <c r="T12915" s="246">
        <f t="shared" si="239"/>
        <v>0</v>
      </c>
    </row>
    <row r="12916" spans="20:20" ht="18.75" customHeight="1" x14ac:dyDescent="0.35">
      <c r="T12916" s="246">
        <f t="shared" si="239"/>
        <v>0</v>
      </c>
    </row>
    <row r="12917" spans="20:20" ht="18.75" customHeight="1" x14ac:dyDescent="0.35">
      <c r="T12917" s="246">
        <f t="shared" si="239"/>
        <v>0</v>
      </c>
    </row>
    <row r="12918" spans="20:20" ht="18.75" customHeight="1" x14ac:dyDescent="0.35">
      <c r="T12918" s="246">
        <f t="shared" si="239"/>
        <v>0</v>
      </c>
    </row>
    <row r="12919" spans="20:20" ht="18.75" customHeight="1" x14ac:dyDescent="0.35">
      <c r="T12919" s="246">
        <f t="shared" si="239"/>
        <v>0</v>
      </c>
    </row>
    <row r="12920" spans="20:20" ht="18.75" customHeight="1" x14ac:dyDescent="0.35">
      <c r="T12920" s="246">
        <f t="shared" si="239"/>
        <v>0</v>
      </c>
    </row>
    <row r="12921" spans="20:20" ht="18.75" customHeight="1" x14ac:dyDescent="0.35">
      <c r="T12921" s="246">
        <f t="shared" si="239"/>
        <v>0</v>
      </c>
    </row>
    <row r="12922" spans="20:20" ht="18.75" customHeight="1" x14ac:dyDescent="0.35">
      <c r="T12922" s="246">
        <f t="shared" si="239"/>
        <v>0</v>
      </c>
    </row>
    <row r="12923" spans="20:20" ht="18.75" customHeight="1" x14ac:dyDescent="0.35">
      <c r="T12923" s="246">
        <f t="shared" si="239"/>
        <v>0</v>
      </c>
    </row>
    <row r="12924" spans="20:20" ht="18.75" customHeight="1" x14ac:dyDescent="0.35">
      <c r="T12924" s="246">
        <f t="shared" ref="T12924:T12987" si="240">R12924*0.01</f>
        <v>0</v>
      </c>
    </row>
    <row r="12925" spans="20:20" ht="18.75" customHeight="1" x14ac:dyDescent="0.35">
      <c r="T12925" s="246">
        <f t="shared" si="240"/>
        <v>0</v>
      </c>
    </row>
    <row r="12926" spans="20:20" ht="18.75" customHeight="1" x14ac:dyDescent="0.35">
      <c r="T12926" s="246">
        <f t="shared" si="240"/>
        <v>0</v>
      </c>
    </row>
    <row r="12927" spans="20:20" ht="18.75" customHeight="1" x14ac:dyDescent="0.35">
      <c r="T12927" s="246">
        <f t="shared" si="240"/>
        <v>0</v>
      </c>
    </row>
    <row r="12928" spans="20:20" ht="18.75" customHeight="1" x14ac:dyDescent="0.35">
      <c r="T12928" s="246">
        <f t="shared" si="240"/>
        <v>0</v>
      </c>
    </row>
    <row r="12929" spans="20:20" ht="18.75" customHeight="1" x14ac:dyDescent="0.35">
      <c r="T12929" s="246">
        <f t="shared" si="240"/>
        <v>0</v>
      </c>
    </row>
    <row r="12930" spans="20:20" ht="18.75" customHeight="1" x14ac:dyDescent="0.35">
      <c r="T12930" s="246">
        <f t="shared" si="240"/>
        <v>0</v>
      </c>
    </row>
    <row r="12931" spans="20:20" ht="18.75" customHeight="1" x14ac:dyDescent="0.35">
      <c r="T12931" s="246">
        <f t="shared" si="240"/>
        <v>0</v>
      </c>
    </row>
    <row r="12932" spans="20:20" ht="18.75" customHeight="1" x14ac:dyDescent="0.35">
      <c r="T12932" s="246">
        <f t="shared" si="240"/>
        <v>0</v>
      </c>
    </row>
    <row r="12933" spans="20:20" ht="18.75" customHeight="1" x14ac:dyDescent="0.35">
      <c r="T12933" s="246">
        <f t="shared" si="240"/>
        <v>0</v>
      </c>
    </row>
    <row r="12934" spans="20:20" ht="18.75" customHeight="1" x14ac:dyDescent="0.35">
      <c r="T12934" s="246">
        <f t="shared" si="240"/>
        <v>0</v>
      </c>
    </row>
    <row r="12935" spans="20:20" ht="18.75" customHeight="1" x14ac:dyDescent="0.35">
      <c r="T12935" s="246">
        <f t="shared" si="240"/>
        <v>0</v>
      </c>
    </row>
    <row r="12936" spans="20:20" ht="18.75" customHeight="1" x14ac:dyDescent="0.35">
      <c r="T12936" s="246">
        <f t="shared" si="240"/>
        <v>0</v>
      </c>
    </row>
    <row r="12937" spans="20:20" ht="18.75" customHeight="1" x14ac:dyDescent="0.35">
      <c r="T12937" s="246">
        <f t="shared" si="240"/>
        <v>0</v>
      </c>
    </row>
    <row r="12938" spans="20:20" ht="18.75" customHeight="1" x14ac:dyDescent="0.35">
      <c r="T12938" s="246">
        <f t="shared" si="240"/>
        <v>0</v>
      </c>
    </row>
    <row r="12939" spans="20:20" ht="18.75" customHeight="1" x14ac:dyDescent="0.35">
      <c r="T12939" s="246">
        <f t="shared" si="240"/>
        <v>0</v>
      </c>
    </row>
    <row r="12940" spans="20:20" ht="18.75" customHeight="1" x14ac:dyDescent="0.35">
      <c r="T12940" s="246">
        <f t="shared" si="240"/>
        <v>0</v>
      </c>
    </row>
    <row r="12941" spans="20:20" ht="18.75" customHeight="1" x14ac:dyDescent="0.35">
      <c r="T12941" s="246">
        <f t="shared" si="240"/>
        <v>0</v>
      </c>
    </row>
    <row r="12942" spans="20:20" ht="18.75" customHeight="1" x14ac:dyDescent="0.35">
      <c r="T12942" s="246">
        <f t="shared" si="240"/>
        <v>0</v>
      </c>
    </row>
    <row r="12943" spans="20:20" ht="18.75" customHeight="1" x14ac:dyDescent="0.35">
      <c r="T12943" s="246">
        <f t="shared" si="240"/>
        <v>0</v>
      </c>
    </row>
    <row r="12944" spans="20:20" ht="18.75" customHeight="1" x14ac:dyDescent="0.35">
      <c r="T12944" s="246">
        <f t="shared" si="240"/>
        <v>0</v>
      </c>
    </row>
    <row r="12945" spans="20:20" ht="18.75" customHeight="1" x14ac:dyDescent="0.35">
      <c r="T12945" s="246">
        <f t="shared" si="240"/>
        <v>0</v>
      </c>
    </row>
    <row r="12946" spans="20:20" ht="18.75" customHeight="1" x14ac:dyDescent="0.35">
      <c r="T12946" s="246">
        <f t="shared" si="240"/>
        <v>0</v>
      </c>
    </row>
    <row r="12947" spans="20:20" ht="18.75" customHeight="1" x14ac:dyDescent="0.35">
      <c r="T12947" s="246">
        <f t="shared" si="240"/>
        <v>0</v>
      </c>
    </row>
    <row r="12948" spans="20:20" ht="18.75" customHeight="1" x14ac:dyDescent="0.35">
      <c r="T12948" s="246">
        <f t="shared" si="240"/>
        <v>0</v>
      </c>
    </row>
    <row r="12949" spans="20:20" ht="18.75" customHeight="1" x14ac:dyDescent="0.35">
      <c r="T12949" s="246">
        <f t="shared" si="240"/>
        <v>0</v>
      </c>
    </row>
    <row r="12950" spans="20:20" ht="18.75" customHeight="1" x14ac:dyDescent="0.35">
      <c r="T12950" s="246">
        <f t="shared" si="240"/>
        <v>0</v>
      </c>
    </row>
    <row r="12951" spans="20:20" ht="18.75" customHeight="1" x14ac:dyDescent="0.35">
      <c r="T12951" s="246">
        <f t="shared" si="240"/>
        <v>0</v>
      </c>
    </row>
    <row r="12952" spans="20:20" ht="18.75" customHeight="1" x14ac:dyDescent="0.35">
      <c r="T12952" s="246">
        <f t="shared" si="240"/>
        <v>0</v>
      </c>
    </row>
    <row r="12953" spans="20:20" ht="18.75" customHeight="1" x14ac:dyDescent="0.35">
      <c r="T12953" s="246">
        <f t="shared" si="240"/>
        <v>0</v>
      </c>
    </row>
    <row r="12954" spans="20:20" ht="18.75" customHeight="1" x14ac:dyDescent="0.35">
      <c r="T12954" s="246">
        <f t="shared" si="240"/>
        <v>0</v>
      </c>
    </row>
    <row r="12955" spans="20:20" ht="18.75" customHeight="1" x14ac:dyDescent="0.35">
      <c r="T12955" s="246">
        <f t="shared" si="240"/>
        <v>0</v>
      </c>
    </row>
    <row r="12956" spans="20:20" ht="18.75" customHeight="1" x14ac:dyDescent="0.35">
      <c r="T12956" s="246">
        <f t="shared" si="240"/>
        <v>0</v>
      </c>
    </row>
    <row r="12957" spans="20:20" ht="18.75" customHeight="1" x14ac:dyDescent="0.35">
      <c r="T12957" s="246">
        <f t="shared" si="240"/>
        <v>0</v>
      </c>
    </row>
    <row r="12958" spans="20:20" ht="18.75" customHeight="1" x14ac:dyDescent="0.35">
      <c r="T12958" s="246">
        <f t="shared" si="240"/>
        <v>0</v>
      </c>
    </row>
    <row r="12959" spans="20:20" ht="18.75" customHeight="1" x14ac:dyDescent="0.35">
      <c r="T12959" s="246">
        <f t="shared" si="240"/>
        <v>0</v>
      </c>
    </row>
    <row r="12960" spans="20:20" ht="18.75" customHeight="1" x14ac:dyDescent="0.35">
      <c r="T12960" s="246">
        <f t="shared" si="240"/>
        <v>0</v>
      </c>
    </row>
    <row r="12961" spans="20:20" ht="18.75" customHeight="1" x14ac:dyDescent="0.35">
      <c r="T12961" s="246">
        <f t="shared" si="240"/>
        <v>0</v>
      </c>
    </row>
    <row r="12962" spans="20:20" ht="18.75" customHeight="1" x14ac:dyDescent="0.35">
      <c r="T12962" s="246">
        <f t="shared" si="240"/>
        <v>0</v>
      </c>
    </row>
    <row r="12963" spans="20:20" ht="18.75" customHeight="1" x14ac:dyDescent="0.35">
      <c r="T12963" s="246">
        <f t="shared" si="240"/>
        <v>0</v>
      </c>
    </row>
    <row r="12964" spans="20:20" ht="18.75" customHeight="1" x14ac:dyDescent="0.35">
      <c r="T12964" s="246">
        <f t="shared" si="240"/>
        <v>0</v>
      </c>
    </row>
    <row r="12965" spans="20:20" ht="18.75" customHeight="1" x14ac:dyDescent="0.35">
      <c r="T12965" s="246">
        <f t="shared" si="240"/>
        <v>0</v>
      </c>
    </row>
    <row r="12966" spans="20:20" ht="18.75" customHeight="1" x14ac:dyDescent="0.35">
      <c r="T12966" s="246">
        <f t="shared" si="240"/>
        <v>0</v>
      </c>
    </row>
    <row r="12967" spans="20:20" ht="18.75" customHeight="1" x14ac:dyDescent="0.35">
      <c r="T12967" s="246">
        <f t="shared" si="240"/>
        <v>0</v>
      </c>
    </row>
    <row r="12968" spans="20:20" ht="18.75" customHeight="1" x14ac:dyDescent="0.35">
      <c r="T12968" s="246">
        <f t="shared" si="240"/>
        <v>0</v>
      </c>
    </row>
    <row r="12969" spans="20:20" ht="18.75" customHeight="1" x14ac:dyDescent="0.35">
      <c r="T12969" s="246">
        <f t="shared" si="240"/>
        <v>0</v>
      </c>
    </row>
    <row r="12970" spans="20:20" ht="18.75" customHeight="1" x14ac:dyDescent="0.35">
      <c r="T12970" s="246">
        <f t="shared" si="240"/>
        <v>0</v>
      </c>
    </row>
    <row r="12971" spans="20:20" ht="18.75" customHeight="1" x14ac:dyDescent="0.35">
      <c r="T12971" s="246">
        <f t="shared" si="240"/>
        <v>0</v>
      </c>
    </row>
    <row r="12972" spans="20:20" ht="18.75" customHeight="1" x14ac:dyDescent="0.35">
      <c r="T12972" s="246">
        <f t="shared" si="240"/>
        <v>0</v>
      </c>
    </row>
    <row r="12973" spans="20:20" ht="18.75" customHeight="1" x14ac:dyDescent="0.35">
      <c r="T12973" s="246">
        <f t="shared" si="240"/>
        <v>0</v>
      </c>
    </row>
    <row r="12974" spans="20:20" ht="18.75" customHeight="1" x14ac:dyDescent="0.35">
      <c r="T12974" s="246">
        <f t="shared" si="240"/>
        <v>0</v>
      </c>
    </row>
    <row r="12975" spans="20:20" ht="18.75" customHeight="1" x14ac:dyDescent="0.35">
      <c r="T12975" s="246">
        <f t="shared" si="240"/>
        <v>0</v>
      </c>
    </row>
    <row r="12976" spans="20:20" ht="18.75" customHeight="1" x14ac:dyDescent="0.35">
      <c r="T12976" s="246">
        <f t="shared" si="240"/>
        <v>0</v>
      </c>
    </row>
    <row r="12977" spans="20:20" ht="18.75" customHeight="1" x14ac:dyDescent="0.35">
      <c r="T12977" s="246">
        <f t="shared" si="240"/>
        <v>0</v>
      </c>
    </row>
    <row r="12978" spans="20:20" ht="18.75" customHeight="1" x14ac:dyDescent="0.35">
      <c r="T12978" s="246">
        <f t="shared" si="240"/>
        <v>0</v>
      </c>
    </row>
    <row r="12979" spans="20:20" ht="18.75" customHeight="1" x14ac:dyDescent="0.35">
      <c r="T12979" s="246">
        <f t="shared" si="240"/>
        <v>0</v>
      </c>
    </row>
    <row r="12980" spans="20:20" ht="18.75" customHeight="1" x14ac:dyDescent="0.35">
      <c r="T12980" s="246">
        <f t="shared" si="240"/>
        <v>0</v>
      </c>
    </row>
    <row r="12981" spans="20:20" ht="18.75" customHeight="1" x14ac:dyDescent="0.35">
      <c r="T12981" s="246">
        <f t="shared" si="240"/>
        <v>0</v>
      </c>
    </row>
    <row r="12982" spans="20:20" ht="18.75" customHeight="1" x14ac:dyDescent="0.35">
      <c r="T12982" s="246">
        <f t="shared" si="240"/>
        <v>0</v>
      </c>
    </row>
    <row r="12983" spans="20:20" ht="18.75" customHeight="1" x14ac:dyDescent="0.35">
      <c r="T12983" s="246">
        <f t="shared" si="240"/>
        <v>0</v>
      </c>
    </row>
    <row r="12984" spans="20:20" ht="18.75" customHeight="1" x14ac:dyDescent="0.35">
      <c r="T12984" s="246">
        <f t="shared" si="240"/>
        <v>0</v>
      </c>
    </row>
    <row r="12985" spans="20:20" ht="18.75" customHeight="1" x14ac:dyDescent="0.35">
      <c r="T12985" s="246">
        <f t="shared" si="240"/>
        <v>0</v>
      </c>
    </row>
    <row r="12986" spans="20:20" ht="18.75" customHeight="1" x14ac:dyDescent="0.35">
      <c r="T12986" s="246">
        <f t="shared" si="240"/>
        <v>0</v>
      </c>
    </row>
    <row r="12987" spans="20:20" ht="18.75" customHeight="1" x14ac:dyDescent="0.35">
      <c r="T12987" s="246">
        <f t="shared" si="240"/>
        <v>0</v>
      </c>
    </row>
    <row r="12988" spans="20:20" ht="18.75" customHeight="1" x14ac:dyDescent="0.35">
      <c r="T12988" s="246">
        <f t="shared" ref="T12988:T13051" si="241">R12988*0.01</f>
        <v>0</v>
      </c>
    </row>
    <row r="12989" spans="20:20" ht="18.75" customHeight="1" x14ac:dyDescent="0.35">
      <c r="T12989" s="246">
        <f t="shared" si="241"/>
        <v>0</v>
      </c>
    </row>
    <row r="12990" spans="20:20" ht="18.75" customHeight="1" x14ac:dyDescent="0.35">
      <c r="T12990" s="246">
        <f t="shared" si="241"/>
        <v>0</v>
      </c>
    </row>
    <row r="12991" spans="20:20" ht="18.75" customHeight="1" x14ac:dyDescent="0.35">
      <c r="T12991" s="246">
        <f t="shared" si="241"/>
        <v>0</v>
      </c>
    </row>
    <row r="12992" spans="20:20" ht="18.75" customHeight="1" x14ac:dyDescent="0.35">
      <c r="T12992" s="246">
        <f t="shared" si="241"/>
        <v>0</v>
      </c>
    </row>
    <row r="12993" spans="20:20" ht="18.75" customHeight="1" x14ac:dyDescent="0.35">
      <c r="T12993" s="246">
        <f t="shared" si="241"/>
        <v>0</v>
      </c>
    </row>
    <row r="12994" spans="20:20" ht="18.75" customHeight="1" x14ac:dyDescent="0.35">
      <c r="T12994" s="246">
        <f t="shared" si="241"/>
        <v>0</v>
      </c>
    </row>
    <row r="12995" spans="20:20" ht="18.75" customHeight="1" x14ac:dyDescent="0.35">
      <c r="T12995" s="246">
        <f t="shared" si="241"/>
        <v>0</v>
      </c>
    </row>
    <row r="12996" spans="20:20" ht="18.75" customHeight="1" x14ac:dyDescent="0.35">
      <c r="T12996" s="246">
        <f t="shared" si="241"/>
        <v>0</v>
      </c>
    </row>
    <row r="12997" spans="20:20" ht="18.75" customHeight="1" x14ac:dyDescent="0.35">
      <c r="T12997" s="246">
        <f t="shared" si="241"/>
        <v>0</v>
      </c>
    </row>
    <row r="12998" spans="20:20" ht="18.75" customHeight="1" x14ac:dyDescent="0.35">
      <c r="T12998" s="246">
        <f t="shared" si="241"/>
        <v>0</v>
      </c>
    </row>
    <row r="12999" spans="20:20" ht="18.75" customHeight="1" x14ac:dyDescent="0.35">
      <c r="T12999" s="246">
        <f t="shared" si="241"/>
        <v>0</v>
      </c>
    </row>
    <row r="13000" spans="20:20" ht="18.75" customHeight="1" x14ac:dyDescent="0.35">
      <c r="T13000" s="246">
        <f t="shared" si="241"/>
        <v>0</v>
      </c>
    </row>
    <row r="13001" spans="20:20" ht="18.75" customHeight="1" x14ac:dyDescent="0.35">
      <c r="T13001" s="246">
        <f t="shared" si="241"/>
        <v>0</v>
      </c>
    </row>
    <row r="13002" spans="20:20" ht="18.75" customHeight="1" x14ac:dyDescent="0.35">
      <c r="T13002" s="246">
        <f t="shared" si="241"/>
        <v>0</v>
      </c>
    </row>
    <row r="13003" spans="20:20" ht="18.75" customHeight="1" x14ac:dyDescent="0.35">
      <c r="T13003" s="246">
        <f t="shared" si="241"/>
        <v>0</v>
      </c>
    </row>
    <row r="13004" spans="20:20" ht="18.75" customHeight="1" x14ac:dyDescent="0.35">
      <c r="T13004" s="246">
        <f t="shared" si="241"/>
        <v>0</v>
      </c>
    </row>
    <row r="13005" spans="20:20" ht="18.75" customHeight="1" x14ac:dyDescent="0.35">
      <c r="T13005" s="246">
        <f t="shared" si="241"/>
        <v>0</v>
      </c>
    </row>
    <row r="13006" spans="20:20" ht="18.75" customHeight="1" x14ac:dyDescent="0.35">
      <c r="T13006" s="246">
        <f t="shared" si="241"/>
        <v>0</v>
      </c>
    </row>
    <row r="13007" spans="20:20" ht="18.75" customHeight="1" x14ac:dyDescent="0.35">
      <c r="T13007" s="246">
        <f t="shared" si="241"/>
        <v>0</v>
      </c>
    </row>
    <row r="13008" spans="20:20" ht="18.75" customHeight="1" x14ac:dyDescent="0.35">
      <c r="T13008" s="246">
        <f t="shared" si="241"/>
        <v>0</v>
      </c>
    </row>
    <row r="13009" spans="20:20" ht="18.75" customHeight="1" x14ac:dyDescent="0.35">
      <c r="T13009" s="246">
        <f t="shared" si="241"/>
        <v>0</v>
      </c>
    </row>
    <row r="13010" spans="20:20" ht="18.75" customHeight="1" x14ac:dyDescent="0.35">
      <c r="T13010" s="246">
        <f t="shared" si="241"/>
        <v>0</v>
      </c>
    </row>
    <row r="13011" spans="20:20" ht="18.75" customHeight="1" x14ac:dyDescent="0.35">
      <c r="T13011" s="246">
        <f t="shared" si="241"/>
        <v>0</v>
      </c>
    </row>
    <row r="13012" spans="20:20" ht="18.75" customHeight="1" x14ac:dyDescent="0.35">
      <c r="T13012" s="246">
        <f t="shared" si="241"/>
        <v>0</v>
      </c>
    </row>
    <row r="13013" spans="20:20" ht="18.75" customHeight="1" x14ac:dyDescent="0.35">
      <c r="T13013" s="246">
        <f t="shared" si="241"/>
        <v>0</v>
      </c>
    </row>
    <row r="13014" spans="20:20" ht="18.75" customHeight="1" x14ac:dyDescent="0.35">
      <c r="T13014" s="246">
        <f t="shared" si="241"/>
        <v>0</v>
      </c>
    </row>
    <row r="13015" spans="20:20" ht="18.75" customHeight="1" x14ac:dyDescent="0.35">
      <c r="T13015" s="246">
        <f t="shared" si="241"/>
        <v>0</v>
      </c>
    </row>
    <row r="13016" spans="20:20" ht="18.75" customHeight="1" x14ac:dyDescent="0.35">
      <c r="T13016" s="246">
        <f t="shared" si="241"/>
        <v>0</v>
      </c>
    </row>
    <row r="13017" spans="20:20" ht="18.75" customHeight="1" x14ac:dyDescent="0.35">
      <c r="T13017" s="246">
        <f t="shared" si="241"/>
        <v>0</v>
      </c>
    </row>
    <row r="13018" spans="20:20" ht="18.75" customHeight="1" x14ac:dyDescent="0.35">
      <c r="T13018" s="246">
        <f t="shared" si="241"/>
        <v>0</v>
      </c>
    </row>
    <row r="13019" spans="20:20" ht="18.75" customHeight="1" x14ac:dyDescent="0.35">
      <c r="T13019" s="246">
        <f t="shared" si="241"/>
        <v>0</v>
      </c>
    </row>
    <row r="13020" spans="20:20" ht="18.75" customHeight="1" x14ac:dyDescent="0.35">
      <c r="T13020" s="246">
        <f t="shared" si="241"/>
        <v>0</v>
      </c>
    </row>
    <row r="13021" spans="20:20" ht="18.75" customHeight="1" x14ac:dyDescent="0.35">
      <c r="T13021" s="246">
        <f t="shared" si="241"/>
        <v>0</v>
      </c>
    </row>
    <row r="13022" spans="20:20" ht="18.75" customHeight="1" x14ac:dyDescent="0.35">
      <c r="T13022" s="246">
        <f t="shared" si="241"/>
        <v>0</v>
      </c>
    </row>
    <row r="13023" spans="20:20" ht="18.75" customHeight="1" x14ac:dyDescent="0.35">
      <c r="T13023" s="246">
        <f t="shared" si="241"/>
        <v>0</v>
      </c>
    </row>
    <row r="13024" spans="20:20" ht="18.75" customHeight="1" x14ac:dyDescent="0.35">
      <c r="T13024" s="246">
        <f t="shared" si="241"/>
        <v>0</v>
      </c>
    </row>
    <row r="13025" spans="20:20" ht="18.75" customHeight="1" x14ac:dyDescent="0.35">
      <c r="T13025" s="246">
        <f t="shared" si="241"/>
        <v>0</v>
      </c>
    </row>
    <row r="13026" spans="20:20" ht="18.75" customHeight="1" x14ac:dyDescent="0.35">
      <c r="T13026" s="246">
        <f t="shared" si="241"/>
        <v>0</v>
      </c>
    </row>
    <row r="13027" spans="20:20" ht="18.75" customHeight="1" x14ac:dyDescent="0.35">
      <c r="T13027" s="246">
        <f t="shared" si="241"/>
        <v>0</v>
      </c>
    </row>
    <row r="13028" spans="20:20" ht="18.75" customHeight="1" x14ac:dyDescent="0.35">
      <c r="T13028" s="246">
        <f t="shared" si="241"/>
        <v>0</v>
      </c>
    </row>
    <row r="13029" spans="20:20" ht="18.75" customHeight="1" x14ac:dyDescent="0.35">
      <c r="T13029" s="246">
        <f t="shared" si="241"/>
        <v>0</v>
      </c>
    </row>
    <row r="13030" spans="20:20" ht="18.75" customHeight="1" x14ac:dyDescent="0.35">
      <c r="T13030" s="246">
        <f t="shared" si="241"/>
        <v>0</v>
      </c>
    </row>
    <row r="13031" spans="20:20" ht="18.75" customHeight="1" x14ac:dyDescent="0.35">
      <c r="T13031" s="246">
        <f t="shared" si="241"/>
        <v>0</v>
      </c>
    </row>
    <row r="13032" spans="20:20" ht="18.75" customHeight="1" x14ac:dyDescent="0.35">
      <c r="T13032" s="246">
        <f t="shared" si="241"/>
        <v>0</v>
      </c>
    </row>
    <row r="13033" spans="20:20" ht="18.75" customHeight="1" x14ac:dyDescent="0.35">
      <c r="T13033" s="246">
        <f t="shared" si="241"/>
        <v>0</v>
      </c>
    </row>
    <row r="13034" spans="20:20" ht="18.75" customHeight="1" x14ac:dyDescent="0.35">
      <c r="T13034" s="246">
        <f t="shared" si="241"/>
        <v>0</v>
      </c>
    </row>
    <row r="13035" spans="20:20" ht="18.75" customHeight="1" x14ac:dyDescent="0.35">
      <c r="T13035" s="246">
        <f t="shared" si="241"/>
        <v>0</v>
      </c>
    </row>
    <row r="13036" spans="20:20" ht="18.75" customHeight="1" x14ac:dyDescent="0.35">
      <c r="T13036" s="246">
        <f t="shared" si="241"/>
        <v>0</v>
      </c>
    </row>
    <row r="13037" spans="20:20" ht="18.75" customHeight="1" x14ac:dyDescent="0.35">
      <c r="T13037" s="246">
        <f t="shared" si="241"/>
        <v>0</v>
      </c>
    </row>
    <row r="13038" spans="20:20" ht="18.75" customHeight="1" x14ac:dyDescent="0.35">
      <c r="T13038" s="246">
        <f t="shared" si="241"/>
        <v>0</v>
      </c>
    </row>
    <row r="13039" spans="20:20" ht="18.75" customHeight="1" x14ac:dyDescent="0.35">
      <c r="T13039" s="246">
        <f t="shared" si="241"/>
        <v>0</v>
      </c>
    </row>
    <row r="13040" spans="20:20" ht="18.75" customHeight="1" x14ac:dyDescent="0.35">
      <c r="T13040" s="246">
        <f t="shared" si="241"/>
        <v>0</v>
      </c>
    </row>
    <row r="13041" spans="20:20" ht="18.75" customHeight="1" x14ac:dyDescent="0.35">
      <c r="T13041" s="246">
        <f t="shared" si="241"/>
        <v>0</v>
      </c>
    </row>
    <row r="13042" spans="20:20" ht="18.75" customHeight="1" x14ac:dyDescent="0.35">
      <c r="T13042" s="246">
        <f t="shared" si="241"/>
        <v>0</v>
      </c>
    </row>
    <row r="13043" spans="20:20" ht="18.75" customHeight="1" x14ac:dyDescent="0.35">
      <c r="T13043" s="246">
        <f t="shared" si="241"/>
        <v>0</v>
      </c>
    </row>
    <row r="13044" spans="20:20" ht="18.75" customHeight="1" x14ac:dyDescent="0.35">
      <c r="T13044" s="246">
        <f t="shared" si="241"/>
        <v>0</v>
      </c>
    </row>
    <row r="13045" spans="20:20" ht="18.75" customHeight="1" x14ac:dyDescent="0.35">
      <c r="T13045" s="246">
        <f t="shared" si="241"/>
        <v>0</v>
      </c>
    </row>
    <row r="13046" spans="20:20" ht="18.75" customHeight="1" x14ac:dyDescent="0.35">
      <c r="T13046" s="246">
        <f t="shared" si="241"/>
        <v>0</v>
      </c>
    </row>
    <row r="13047" spans="20:20" ht="18.75" customHeight="1" x14ac:dyDescent="0.35">
      <c r="T13047" s="246">
        <f t="shared" si="241"/>
        <v>0</v>
      </c>
    </row>
    <row r="13048" spans="20:20" ht="18.75" customHeight="1" x14ac:dyDescent="0.35">
      <c r="T13048" s="246">
        <f t="shared" si="241"/>
        <v>0</v>
      </c>
    </row>
    <row r="13049" spans="20:20" ht="18.75" customHeight="1" x14ac:dyDescent="0.35">
      <c r="T13049" s="246">
        <f t="shared" si="241"/>
        <v>0</v>
      </c>
    </row>
    <row r="13050" spans="20:20" ht="18.75" customHeight="1" x14ac:dyDescent="0.35">
      <c r="T13050" s="246">
        <f t="shared" si="241"/>
        <v>0</v>
      </c>
    </row>
    <row r="13051" spans="20:20" ht="18.75" customHeight="1" x14ac:dyDescent="0.35">
      <c r="T13051" s="246">
        <f t="shared" si="241"/>
        <v>0</v>
      </c>
    </row>
    <row r="13052" spans="20:20" ht="18.75" customHeight="1" x14ac:dyDescent="0.35">
      <c r="T13052" s="246">
        <f t="shared" ref="T13052:T13115" si="242">R13052*0.01</f>
        <v>0</v>
      </c>
    </row>
    <row r="13053" spans="20:20" ht="18.75" customHeight="1" x14ac:dyDescent="0.35">
      <c r="T13053" s="246">
        <f t="shared" si="242"/>
        <v>0</v>
      </c>
    </row>
    <row r="13054" spans="20:20" ht="18.75" customHeight="1" x14ac:dyDescent="0.35">
      <c r="T13054" s="246">
        <f t="shared" si="242"/>
        <v>0</v>
      </c>
    </row>
    <row r="13055" spans="20:20" ht="18.75" customHeight="1" x14ac:dyDescent="0.35">
      <c r="T13055" s="246">
        <f t="shared" si="242"/>
        <v>0</v>
      </c>
    </row>
    <row r="13056" spans="20:20" ht="18.75" customHeight="1" x14ac:dyDescent="0.35">
      <c r="T13056" s="246">
        <f t="shared" si="242"/>
        <v>0</v>
      </c>
    </row>
    <row r="13057" spans="20:20" ht="18.75" customHeight="1" x14ac:dyDescent="0.35">
      <c r="T13057" s="246">
        <f t="shared" si="242"/>
        <v>0</v>
      </c>
    </row>
    <row r="13058" spans="20:20" ht="18.75" customHeight="1" x14ac:dyDescent="0.35">
      <c r="T13058" s="246">
        <f t="shared" si="242"/>
        <v>0</v>
      </c>
    </row>
    <row r="13059" spans="20:20" ht="18.75" customHeight="1" x14ac:dyDescent="0.35">
      <c r="T13059" s="246">
        <f t="shared" si="242"/>
        <v>0</v>
      </c>
    </row>
    <row r="13060" spans="20:20" ht="18.75" customHeight="1" x14ac:dyDescent="0.35">
      <c r="T13060" s="246">
        <f t="shared" si="242"/>
        <v>0</v>
      </c>
    </row>
    <row r="13061" spans="20:20" ht="18.75" customHeight="1" x14ac:dyDescent="0.35">
      <c r="T13061" s="246">
        <f t="shared" si="242"/>
        <v>0</v>
      </c>
    </row>
    <row r="13062" spans="20:20" ht="18.75" customHeight="1" x14ac:dyDescent="0.35">
      <c r="T13062" s="246">
        <f t="shared" si="242"/>
        <v>0</v>
      </c>
    </row>
    <row r="13063" spans="20:20" ht="18.75" customHeight="1" x14ac:dyDescent="0.35">
      <c r="T13063" s="246">
        <f t="shared" si="242"/>
        <v>0</v>
      </c>
    </row>
    <row r="13064" spans="20:20" ht="18.75" customHeight="1" x14ac:dyDescent="0.35">
      <c r="T13064" s="246">
        <f t="shared" si="242"/>
        <v>0</v>
      </c>
    </row>
    <row r="13065" spans="20:20" ht="18.75" customHeight="1" x14ac:dyDescent="0.35">
      <c r="T13065" s="246">
        <f t="shared" si="242"/>
        <v>0</v>
      </c>
    </row>
    <row r="13066" spans="20:20" ht="18.75" customHeight="1" x14ac:dyDescent="0.35">
      <c r="T13066" s="246">
        <f t="shared" si="242"/>
        <v>0</v>
      </c>
    </row>
    <row r="13067" spans="20:20" ht="18.75" customHeight="1" x14ac:dyDescent="0.35">
      <c r="T13067" s="246">
        <f t="shared" si="242"/>
        <v>0</v>
      </c>
    </row>
    <row r="13068" spans="20:20" ht="18.75" customHeight="1" x14ac:dyDescent="0.35">
      <c r="T13068" s="246">
        <f t="shared" si="242"/>
        <v>0</v>
      </c>
    </row>
    <row r="13069" spans="20:20" ht="18.75" customHeight="1" x14ac:dyDescent="0.35">
      <c r="T13069" s="246">
        <f t="shared" si="242"/>
        <v>0</v>
      </c>
    </row>
    <row r="13070" spans="20:20" ht="18.75" customHeight="1" x14ac:dyDescent="0.35">
      <c r="T13070" s="246">
        <f t="shared" si="242"/>
        <v>0</v>
      </c>
    </row>
    <row r="13071" spans="20:20" ht="18.75" customHeight="1" x14ac:dyDescent="0.35">
      <c r="T13071" s="246">
        <f t="shared" si="242"/>
        <v>0</v>
      </c>
    </row>
    <row r="13072" spans="20:20" ht="18.75" customHeight="1" x14ac:dyDescent="0.35">
      <c r="T13072" s="246">
        <f t="shared" si="242"/>
        <v>0</v>
      </c>
    </row>
    <row r="13073" spans="20:20" ht="18.75" customHeight="1" x14ac:dyDescent="0.35">
      <c r="T13073" s="246">
        <f t="shared" si="242"/>
        <v>0</v>
      </c>
    </row>
    <row r="13074" spans="20:20" ht="18.75" customHeight="1" x14ac:dyDescent="0.35">
      <c r="T13074" s="246">
        <f t="shared" si="242"/>
        <v>0</v>
      </c>
    </row>
    <row r="13075" spans="20:20" ht="18.75" customHeight="1" x14ac:dyDescent="0.35">
      <c r="T13075" s="246">
        <f t="shared" si="242"/>
        <v>0</v>
      </c>
    </row>
    <row r="13076" spans="20:20" ht="18.75" customHeight="1" x14ac:dyDescent="0.35">
      <c r="T13076" s="246">
        <f t="shared" si="242"/>
        <v>0</v>
      </c>
    </row>
    <row r="13077" spans="20:20" ht="18.75" customHeight="1" x14ac:dyDescent="0.35">
      <c r="T13077" s="246">
        <f t="shared" si="242"/>
        <v>0</v>
      </c>
    </row>
    <row r="13078" spans="20:20" ht="18.75" customHeight="1" x14ac:dyDescent="0.35">
      <c r="T13078" s="246">
        <f t="shared" si="242"/>
        <v>0</v>
      </c>
    </row>
    <row r="13079" spans="20:20" ht="18.75" customHeight="1" x14ac:dyDescent="0.35">
      <c r="T13079" s="246">
        <f t="shared" si="242"/>
        <v>0</v>
      </c>
    </row>
    <row r="13080" spans="20:20" ht="18.75" customHeight="1" x14ac:dyDescent="0.35">
      <c r="T13080" s="246">
        <f t="shared" si="242"/>
        <v>0</v>
      </c>
    </row>
    <row r="13081" spans="20:20" ht="18.75" customHeight="1" x14ac:dyDescent="0.35">
      <c r="T13081" s="246">
        <f t="shared" si="242"/>
        <v>0</v>
      </c>
    </row>
    <row r="13082" spans="20:20" ht="18.75" customHeight="1" x14ac:dyDescent="0.35">
      <c r="T13082" s="246">
        <f t="shared" si="242"/>
        <v>0</v>
      </c>
    </row>
    <row r="13083" spans="20:20" ht="18.75" customHeight="1" x14ac:dyDescent="0.35">
      <c r="T13083" s="246">
        <f t="shared" si="242"/>
        <v>0</v>
      </c>
    </row>
    <row r="13084" spans="20:20" ht="18.75" customHeight="1" x14ac:dyDescent="0.35">
      <c r="T13084" s="246">
        <f t="shared" si="242"/>
        <v>0</v>
      </c>
    </row>
    <row r="13085" spans="20:20" ht="18.75" customHeight="1" x14ac:dyDescent="0.35">
      <c r="T13085" s="246">
        <f t="shared" si="242"/>
        <v>0</v>
      </c>
    </row>
    <row r="13086" spans="20:20" ht="18.75" customHeight="1" x14ac:dyDescent="0.35">
      <c r="T13086" s="246">
        <f t="shared" si="242"/>
        <v>0</v>
      </c>
    </row>
    <row r="13087" spans="20:20" ht="18.75" customHeight="1" x14ac:dyDescent="0.35">
      <c r="T13087" s="246">
        <f t="shared" si="242"/>
        <v>0</v>
      </c>
    </row>
    <row r="13088" spans="20:20" ht="18.75" customHeight="1" x14ac:dyDescent="0.35">
      <c r="T13088" s="246">
        <f t="shared" si="242"/>
        <v>0</v>
      </c>
    </row>
    <row r="13089" spans="20:20" ht="18.75" customHeight="1" x14ac:dyDescent="0.35">
      <c r="T13089" s="246">
        <f t="shared" si="242"/>
        <v>0</v>
      </c>
    </row>
    <row r="13090" spans="20:20" ht="18.75" customHeight="1" x14ac:dyDescent="0.35">
      <c r="T13090" s="246">
        <f t="shared" si="242"/>
        <v>0</v>
      </c>
    </row>
    <row r="13091" spans="20:20" ht="18.75" customHeight="1" x14ac:dyDescent="0.35">
      <c r="T13091" s="246">
        <f t="shared" si="242"/>
        <v>0</v>
      </c>
    </row>
    <row r="13092" spans="20:20" ht="18.75" customHeight="1" x14ac:dyDescent="0.35">
      <c r="T13092" s="246">
        <f t="shared" si="242"/>
        <v>0</v>
      </c>
    </row>
    <row r="13093" spans="20:20" ht="18.75" customHeight="1" x14ac:dyDescent="0.35">
      <c r="T13093" s="246">
        <f t="shared" si="242"/>
        <v>0</v>
      </c>
    </row>
    <row r="13094" spans="20:20" ht="18.75" customHeight="1" x14ac:dyDescent="0.35">
      <c r="T13094" s="246">
        <f t="shared" si="242"/>
        <v>0</v>
      </c>
    </row>
    <row r="13095" spans="20:20" ht="18.75" customHeight="1" x14ac:dyDescent="0.35">
      <c r="T13095" s="246">
        <f t="shared" si="242"/>
        <v>0</v>
      </c>
    </row>
    <row r="13096" spans="20:20" ht="18.75" customHeight="1" x14ac:dyDescent="0.35">
      <c r="T13096" s="246">
        <f t="shared" si="242"/>
        <v>0</v>
      </c>
    </row>
    <row r="13097" spans="20:20" ht="18.75" customHeight="1" x14ac:dyDescent="0.35">
      <c r="T13097" s="246">
        <f t="shared" si="242"/>
        <v>0</v>
      </c>
    </row>
    <row r="13098" spans="20:20" ht="18.75" customHeight="1" x14ac:dyDescent="0.35">
      <c r="T13098" s="246">
        <f t="shared" si="242"/>
        <v>0</v>
      </c>
    </row>
    <row r="13099" spans="20:20" ht="18.75" customHeight="1" x14ac:dyDescent="0.35">
      <c r="T13099" s="246">
        <f t="shared" si="242"/>
        <v>0</v>
      </c>
    </row>
    <row r="13100" spans="20:20" ht="18.75" customHeight="1" x14ac:dyDescent="0.35">
      <c r="T13100" s="246">
        <f t="shared" si="242"/>
        <v>0</v>
      </c>
    </row>
    <row r="13101" spans="20:20" ht="18.75" customHeight="1" x14ac:dyDescent="0.35">
      <c r="T13101" s="246">
        <f t="shared" si="242"/>
        <v>0</v>
      </c>
    </row>
    <row r="13102" spans="20:20" ht="18.75" customHeight="1" x14ac:dyDescent="0.35">
      <c r="T13102" s="246">
        <f t="shared" si="242"/>
        <v>0</v>
      </c>
    </row>
    <row r="13103" spans="20:20" ht="18.75" customHeight="1" x14ac:dyDescent="0.35">
      <c r="T13103" s="246">
        <f t="shared" si="242"/>
        <v>0</v>
      </c>
    </row>
    <row r="13104" spans="20:20" ht="18.75" customHeight="1" x14ac:dyDescent="0.35">
      <c r="T13104" s="246">
        <f t="shared" si="242"/>
        <v>0</v>
      </c>
    </row>
    <row r="13105" spans="20:20" ht="18.75" customHeight="1" x14ac:dyDescent="0.35">
      <c r="T13105" s="246">
        <f t="shared" si="242"/>
        <v>0</v>
      </c>
    </row>
    <row r="13106" spans="20:20" ht="18.75" customHeight="1" x14ac:dyDescent="0.35">
      <c r="T13106" s="246">
        <f t="shared" si="242"/>
        <v>0</v>
      </c>
    </row>
    <row r="13107" spans="20:20" ht="18.75" customHeight="1" x14ac:dyDescent="0.35">
      <c r="T13107" s="246">
        <f t="shared" si="242"/>
        <v>0</v>
      </c>
    </row>
    <row r="13108" spans="20:20" ht="18.75" customHeight="1" x14ac:dyDescent="0.35">
      <c r="T13108" s="246">
        <f t="shared" si="242"/>
        <v>0</v>
      </c>
    </row>
    <row r="13109" spans="20:20" ht="18.75" customHeight="1" x14ac:dyDescent="0.35">
      <c r="T13109" s="246">
        <f t="shared" si="242"/>
        <v>0</v>
      </c>
    </row>
    <row r="13110" spans="20:20" ht="18.75" customHeight="1" x14ac:dyDescent="0.35">
      <c r="T13110" s="246">
        <f t="shared" si="242"/>
        <v>0</v>
      </c>
    </row>
    <row r="13111" spans="20:20" ht="18.75" customHeight="1" x14ac:dyDescent="0.35">
      <c r="T13111" s="246">
        <f t="shared" si="242"/>
        <v>0</v>
      </c>
    </row>
    <row r="13112" spans="20:20" ht="18.75" customHeight="1" x14ac:dyDescent="0.35">
      <c r="T13112" s="246">
        <f t="shared" si="242"/>
        <v>0</v>
      </c>
    </row>
    <row r="13113" spans="20:20" ht="18.75" customHeight="1" x14ac:dyDescent="0.35">
      <c r="T13113" s="246">
        <f t="shared" si="242"/>
        <v>0</v>
      </c>
    </row>
    <row r="13114" spans="20:20" ht="18.75" customHeight="1" x14ac:dyDescent="0.35">
      <c r="T13114" s="246">
        <f t="shared" si="242"/>
        <v>0</v>
      </c>
    </row>
    <row r="13115" spans="20:20" ht="18.75" customHeight="1" x14ac:dyDescent="0.35">
      <c r="T13115" s="246">
        <f t="shared" si="242"/>
        <v>0</v>
      </c>
    </row>
    <row r="13116" spans="20:20" ht="18.75" customHeight="1" x14ac:dyDescent="0.35">
      <c r="T13116" s="246">
        <f t="shared" ref="T13116:T13179" si="243">R13116*0.01</f>
        <v>0</v>
      </c>
    </row>
    <row r="13117" spans="20:20" ht="18.75" customHeight="1" x14ac:dyDescent="0.35">
      <c r="T13117" s="246">
        <f t="shared" si="243"/>
        <v>0</v>
      </c>
    </row>
    <row r="13118" spans="20:20" ht="18.75" customHeight="1" x14ac:dyDescent="0.35">
      <c r="T13118" s="246">
        <f t="shared" si="243"/>
        <v>0</v>
      </c>
    </row>
    <row r="13119" spans="20:20" ht="18.75" customHeight="1" x14ac:dyDescent="0.35">
      <c r="T13119" s="246">
        <f t="shared" si="243"/>
        <v>0</v>
      </c>
    </row>
    <row r="13120" spans="20:20" ht="18.75" customHeight="1" x14ac:dyDescent="0.35">
      <c r="T13120" s="246">
        <f t="shared" si="243"/>
        <v>0</v>
      </c>
    </row>
    <row r="13121" spans="20:20" ht="18.75" customHeight="1" x14ac:dyDescent="0.35">
      <c r="T13121" s="246">
        <f t="shared" si="243"/>
        <v>0</v>
      </c>
    </row>
    <row r="13122" spans="20:20" ht="18.75" customHeight="1" x14ac:dyDescent="0.35">
      <c r="T13122" s="246">
        <f t="shared" si="243"/>
        <v>0</v>
      </c>
    </row>
    <row r="13123" spans="20:20" ht="18.75" customHeight="1" x14ac:dyDescent="0.35">
      <c r="T13123" s="246">
        <f t="shared" si="243"/>
        <v>0</v>
      </c>
    </row>
    <row r="13124" spans="20:20" ht="18.75" customHeight="1" x14ac:dyDescent="0.35">
      <c r="T13124" s="246">
        <f t="shared" si="243"/>
        <v>0</v>
      </c>
    </row>
    <row r="13125" spans="20:20" ht="18.75" customHeight="1" x14ac:dyDescent="0.35">
      <c r="T13125" s="246">
        <f t="shared" si="243"/>
        <v>0</v>
      </c>
    </row>
    <row r="13126" spans="20:20" ht="18.75" customHeight="1" x14ac:dyDescent="0.35">
      <c r="T13126" s="246">
        <f t="shared" si="243"/>
        <v>0</v>
      </c>
    </row>
    <row r="13127" spans="20:20" ht="18.75" customHeight="1" x14ac:dyDescent="0.35">
      <c r="T13127" s="246">
        <f t="shared" si="243"/>
        <v>0</v>
      </c>
    </row>
    <row r="13128" spans="20:20" ht="18.75" customHeight="1" x14ac:dyDescent="0.35">
      <c r="T13128" s="246">
        <f t="shared" si="243"/>
        <v>0</v>
      </c>
    </row>
    <row r="13129" spans="20:20" ht="18.75" customHeight="1" x14ac:dyDescent="0.35">
      <c r="T13129" s="246">
        <f t="shared" si="243"/>
        <v>0</v>
      </c>
    </row>
    <row r="13130" spans="20:20" ht="18.75" customHeight="1" x14ac:dyDescent="0.35">
      <c r="T13130" s="246">
        <f t="shared" si="243"/>
        <v>0</v>
      </c>
    </row>
    <row r="13131" spans="20:20" ht="18.75" customHeight="1" x14ac:dyDescent="0.35">
      <c r="T13131" s="246">
        <f t="shared" si="243"/>
        <v>0</v>
      </c>
    </row>
    <row r="13132" spans="20:20" ht="18.75" customHeight="1" x14ac:dyDescent="0.35">
      <c r="T13132" s="246">
        <f t="shared" si="243"/>
        <v>0</v>
      </c>
    </row>
    <row r="13133" spans="20:20" ht="18.75" customHeight="1" x14ac:dyDescent="0.35">
      <c r="T13133" s="246">
        <f t="shared" si="243"/>
        <v>0</v>
      </c>
    </row>
    <row r="13134" spans="20:20" ht="18.75" customHeight="1" x14ac:dyDescent="0.35">
      <c r="T13134" s="246">
        <f t="shared" si="243"/>
        <v>0</v>
      </c>
    </row>
    <row r="13135" spans="20:20" ht="18.75" customHeight="1" x14ac:dyDescent="0.35">
      <c r="T13135" s="246">
        <f t="shared" si="243"/>
        <v>0</v>
      </c>
    </row>
    <row r="13136" spans="20:20" ht="18.75" customHeight="1" x14ac:dyDescent="0.35">
      <c r="T13136" s="246">
        <f t="shared" si="243"/>
        <v>0</v>
      </c>
    </row>
    <row r="13137" spans="20:20" ht="18.75" customHeight="1" x14ac:dyDescent="0.35">
      <c r="T13137" s="246">
        <f t="shared" si="243"/>
        <v>0</v>
      </c>
    </row>
    <row r="13138" spans="20:20" ht="18.75" customHeight="1" x14ac:dyDescent="0.35">
      <c r="T13138" s="246">
        <f t="shared" si="243"/>
        <v>0</v>
      </c>
    </row>
    <row r="13139" spans="20:20" ht="18.75" customHeight="1" x14ac:dyDescent="0.35">
      <c r="T13139" s="246">
        <f t="shared" si="243"/>
        <v>0</v>
      </c>
    </row>
    <row r="13140" spans="20:20" ht="18.75" customHeight="1" x14ac:dyDescent="0.35">
      <c r="T13140" s="246">
        <f t="shared" si="243"/>
        <v>0</v>
      </c>
    </row>
    <row r="13141" spans="20:20" ht="18.75" customHeight="1" x14ac:dyDescent="0.35">
      <c r="T13141" s="246">
        <f t="shared" si="243"/>
        <v>0</v>
      </c>
    </row>
    <row r="13142" spans="20:20" ht="18.75" customHeight="1" x14ac:dyDescent="0.35">
      <c r="T13142" s="246">
        <f t="shared" si="243"/>
        <v>0</v>
      </c>
    </row>
    <row r="13143" spans="20:20" ht="18.75" customHeight="1" x14ac:dyDescent="0.35">
      <c r="T13143" s="246">
        <f t="shared" si="243"/>
        <v>0</v>
      </c>
    </row>
    <row r="13144" spans="20:20" ht="18.75" customHeight="1" x14ac:dyDescent="0.35">
      <c r="T13144" s="246">
        <f t="shared" si="243"/>
        <v>0</v>
      </c>
    </row>
    <row r="13145" spans="20:20" ht="18.75" customHeight="1" x14ac:dyDescent="0.35">
      <c r="T13145" s="246">
        <f t="shared" si="243"/>
        <v>0</v>
      </c>
    </row>
    <row r="13146" spans="20:20" ht="18.75" customHeight="1" x14ac:dyDescent="0.35">
      <c r="T13146" s="246">
        <f t="shared" si="243"/>
        <v>0</v>
      </c>
    </row>
    <row r="13147" spans="20:20" ht="18.75" customHeight="1" x14ac:dyDescent="0.35">
      <c r="T13147" s="246">
        <f t="shared" si="243"/>
        <v>0</v>
      </c>
    </row>
    <row r="13148" spans="20:20" ht="18.75" customHeight="1" x14ac:dyDescent="0.35">
      <c r="T13148" s="246">
        <f t="shared" si="243"/>
        <v>0</v>
      </c>
    </row>
    <row r="13149" spans="20:20" ht="18.75" customHeight="1" x14ac:dyDescent="0.35">
      <c r="T13149" s="246">
        <f t="shared" si="243"/>
        <v>0</v>
      </c>
    </row>
    <row r="13150" spans="20:20" ht="18.75" customHeight="1" x14ac:dyDescent="0.35">
      <c r="T13150" s="246">
        <f t="shared" si="243"/>
        <v>0</v>
      </c>
    </row>
    <row r="13151" spans="20:20" ht="18.75" customHeight="1" x14ac:dyDescent="0.35">
      <c r="T13151" s="246">
        <f t="shared" si="243"/>
        <v>0</v>
      </c>
    </row>
    <row r="13152" spans="20:20" ht="18.75" customHeight="1" x14ac:dyDescent="0.35">
      <c r="T13152" s="246">
        <f t="shared" si="243"/>
        <v>0</v>
      </c>
    </row>
    <row r="13153" spans="20:20" ht="18.75" customHeight="1" x14ac:dyDescent="0.35">
      <c r="T13153" s="246">
        <f t="shared" si="243"/>
        <v>0</v>
      </c>
    </row>
    <row r="13154" spans="20:20" ht="18.75" customHeight="1" x14ac:dyDescent="0.35">
      <c r="T13154" s="246">
        <f t="shared" si="243"/>
        <v>0</v>
      </c>
    </row>
    <row r="13155" spans="20:20" ht="18.75" customHeight="1" x14ac:dyDescent="0.35">
      <c r="T13155" s="246">
        <f t="shared" si="243"/>
        <v>0</v>
      </c>
    </row>
    <row r="13156" spans="20:20" ht="18.75" customHeight="1" x14ac:dyDescent="0.35">
      <c r="T13156" s="246">
        <f t="shared" si="243"/>
        <v>0</v>
      </c>
    </row>
    <row r="13157" spans="20:20" ht="18.75" customHeight="1" x14ac:dyDescent="0.35">
      <c r="T13157" s="246">
        <f t="shared" si="243"/>
        <v>0</v>
      </c>
    </row>
    <row r="13158" spans="20:20" ht="18.75" customHeight="1" x14ac:dyDescent="0.35">
      <c r="T13158" s="246">
        <f t="shared" si="243"/>
        <v>0</v>
      </c>
    </row>
    <row r="13159" spans="20:20" ht="18.75" customHeight="1" x14ac:dyDescent="0.35">
      <c r="T13159" s="246">
        <f t="shared" si="243"/>
        <v>0</v>
      </c>
    </row>
    <row r="13160" spans="20:20" ht="18.75" customHeight="1" x14ac:dyDescent="0.35">
      <c r="T13160" s="246">
        <f t="shared" si="243"/>
        <v>0</v>
      </c>
    </row>
    <row r="13161" spans="20:20" ht="18.75" customHeight="1" x14ac:dyDescent="0.35">
      <c r="T13161" s="246">
        <f t="shared" si="243"/>
        <v>0</v>
      </c>
    </row>
    <row r="13162" spans="20:20" ht="18.75" customHeight="1" x14ac:dyDescent="0.35">
      <c r="T13162" s="246">
        <f t="shared" si="243"/>
        <v>0</v>
      </c>
    </row>
    <row r="13163" spans="20:20" ht="18.75" customHeight="1" x14ac:dyDescent="0.35">
      <c r="T13163" s="246">
        <f t="shared" si="243"/>
        <v>0</v>
      </c>
    </row>
    <row r="13164" spans="20:20" ht="18.75" customHeight="1" x14ac:dyDescent="0.35">
      <c r="T13164" s="246">
        <f t="shared" si="243"/>
        <v>0</v>
      </c>
    </row>
    <row r="13165" spans="20:20" ht="18.75" customHeight="1" x14ac:dyDescent="0.35">
      <c r="T13165" s="246">
        <f t="shared" si="243"/>
        <v>0</v>
      </c>
    </row>
    <row r="13166" spans="20:20" ht="18.75" customHeight="1" x14ac:dyDescent="0.35">
      <c r="T13166" s="246">
        <f t="shared" si="243"/>
        <v>0</v>
      </c>
    </row>
    <row r="13167" spans="20:20" ht="18.75" customHeight="1" x14ac:dyDescent="0.35">
      <c r="T13167" s="246">
        <f t="shared" si="243"/>
        <v>0</v>
      </c>
    </row>
    <row r="13168" spans="20:20" ht="18.75" customHeight="1" x14ac:dyDescent="0.35">
      <c r="T13168" s="246">
        <f t="shared" si="243"/>
        <v>0</v>
      </c>
    </row>
    <row r="13169" spans="20:20" ht="18.75" customHeight="1" x14ac:dyDescent="0.35">
      <c r="T13169" s="246">
        <f t="shared" si="243"/>
        <v>0</v>
      </c>
    </row>
    <row r="13170" spans="20:20" ht="18.75" customHeight="1" x14ac:dyDescent="0.35">
      <c r="T13170" s="246">
        <f t="shared" si="243"/>
        <v>0</v>
      </c>
    </row>
    <row r="13171" spans="20:20" ht="18.75" customHeight="1" x14ac:dyDescent="0.35">
      <c r="T13171" s="246">
        <f t="shared" si="243"/>
        <v>0</v>
      </c>
    </row>
    <row r="13172" spans="20:20" ht="18.75" customHeight="1" x14ac:dyDescent="0.35">
      <c r="T13172" s="246">
        <f t="shared" si="243"/>
        <v>0</v>
      </c>
    </row>
    <row r="13173" spans="20:20" ht="18.75" customHeight="1" x14ac:dyDescent="0.35">
      <c r="T13173" s="246">
        <f t="shared" si="243"/>
        <v>0</v>
      </c>
    </row>
    <row r="13174" spans="20:20" ht="18.75" customHeight="1" x14ac:dyDescent="0.35">
      <c r="T13174" s="246">
        <f t="shared" si="243"/>
        <v>0</v>
      </c>
    </row>
    <row r="13175" spans="20:20" ht="18.75" customHeight="1" x14ac:dyDescent="0.35">
      <c r="T13175" s="246">
        <f t="shared" si="243"/>
        <v>0</v>
      </c>
    </row>
    <row r="13176" spans="20:20" ht="18.75" customHeight="1" x14ac:dyDescent="0.35">
      <c r="T13176" s="246">
        <f t="shared" si="243"/>
        <v>0</v>
      </c>
    </row>
    <row r="13177" spans="20:20" ht="18.75" customHeight="1" x14ac:dyDescent="0.35">
      <c r="T13177" s="246">
        <f t="shared" si="243"/>
        <v>0</v>
      </c>
    </row>
    <row r="13178" spans="20:20" ht="18.75" customHeight="1" x14ac:dyDescent="0.35">
      <c r="T13178" s="246">
        <f t="shared" si="243"/>
        <v>0</v>
      </c>
    </row>
    <row r="13179" spans="20:20" ht="18.75" customHeight="1" x14ac:dyDescent="0.35">
      <c r="T13179" s="246">
        <f t="shared" si="243"/>
        <v>0</v>
      </c>
    </row>
    <row r="13180" spans="20:20" ht="18.75" customHeight="1" x14ac:dyDescent="0.35">
      <c r="T13180" s="246">
        <f t="shared" ref="T13180:T13243" si="244">R13180*0.01</f>
        <v>0</v>
      </c>
    </row>
    <row r="13181" spans="20:20" ht="18.75" customHeight="1" x14ac:dyDescent="0.35">
      <c r="T13181" s="246">
        <f t="shared" si="244"/>
        <v>0</v>
      </c>
    </row>
    <row r="13182" spans="20:20" ht="18.75" customHeight="1" x14ac:dyDescent="0.35">
      <c r="T13182" s="246">
        <f t="shared" si="244"/>
        <v>0</v>
      </c>
    </row>
    <row r="13183" spans="20:20" ht="18.75" customHeight="1" x14ac:dyDescent="0.35">
      <c r="T13183" s="246">
        <f t="shared" si="244"/>
        <v>0</v>
      </c>
    </row>
    <row r="13184" spans="20:20" ht="18.75" customHeight="1" x14ac:dyDescent="0.35">
      <c r="T13184" s="246">
        <f t="shared" si="244"/>
        <v>0</v>
      </c>
    </row>
    <row r="13185" spans="20:20" ht="18.75" customHeight="1" x14ac:dyDescent="0.35">
      <c r="T13185" s="246">
        <f t="shared" si="244"/>
        <v>0</v>
      </c>
    </row>
    <row r="13186" spans="20:20" ht="18.75" customHeight="1" x14ac:dyDescent="0.35">
      <c r="T13186" s="246">
        <f t="shared" si="244"/>
        <v>0</v>
      </c>
    </row>
    <row r="13187" spans="20:20" ht="18.75" customHeight="1" x14ac:dyDescent="0.35">
      <c r="T13187" s="246">
        <f t="shared" si="244"/>
        <v>0</v>
      </c>
    </row>
    <row r="13188" spans="20:20" ht="18.75" customHeight="1" x14ac:dyDescent="0.35">
      <c r="T13188" s="246">
        <f t="shared" si="244"/>
        <v>0</v>
      </c>
    </row>
    <row r="13189" spans="20:20" ht="18.75" customHeight="1" x14ac:dyDescent="0.35">
      <c r="T13189" s="246">
        <f t="shared" si="244"/>
        <v>0</v>
      </c>
    </row>
    <row r="13190" spans="20:20" ht="18.75" customHeight="1" x14ac:dyDescent="0.35">
      <c r="T13190" s="246">
        <f t="shared" si="244"/>
        <v>0</v>
      </c>
    </row>
    <row r="13191" spans="20:20" ht="18.75" customHeight="1" x14ac:dyDescent="0.35">
      <c r="T13191" s="246">
        <f t="shared" si="244"/>
        <v>0</v>
      </c>
    </row>
    <row r="13192" spans="20:20" ht="18.75" customHeight="1" x14ac:dyDescent="0.35">
      <c r="T13192" s="246">
        <f t="shared" si="244"/>
        <v>0</v>
      </c>
    </row>
    <row r="13193" spans="20:20" ht="18.75" customHeight="1" x14ac:dyDescent="0.35">
      <c r="T13193" s="246">
        <f t="shared" si="244"/>
        <v>0</v>
      </c>
    </row>
    <row r="13194" spans="20:20" ht="18.75" customHeight="1" x14ac:dyDescent="0.35">
      <c r="T13194" s="246">
        <f t="shared" si="244"/>
        <v>0</v>
      </c>
    </row>
    <row r="13195" spans="20:20" ht="18.75" customHeight="1" x14ac:dyDescent="0.35">
      <c r="T13195" s="246">
        <f t="shared" si="244"/>
        <v>0</v>
      </c>
    </row>
    <row r="13196" spans="20:20" ht="18.75" customHeight="1" x14ac:dyDescent="0.35">
      <c r="T13196" s="246">
        <f t="shared" si="244"/>
        <v>0</v>
      </c>
    </row>
    <row r="13197" spans="20:20" ht="18.75" customHeight="1" x14ac:dyDescent="0.35">
      <c r="T13197" s="246">
        <f t="shared" si="244"/>
        <v>0</v>
      </c>
    </row>
    <row r="13198" spans="20:20" ht="18.75" customHeight="1" x14ac:dyDescent="0.35">
      <c r="T13198" s="246">
        <f t="shared" si="244"/>
        <v>0</v>
      </c>
    </row>
    <row r="13199" spans="20:20" ht="18.75" customHeight="1" x14ac:dyDescent="0.35">
      <c r="T13199" s="246">
        <f t="shared" si="244"/>
        <v>0</v>
      </c>
    </row>
    <row r="13200" spans="20:20" ht="18.75" customHeight="1" x14ac:dyDescent="0.35">
      <c r="T13200" s="246">
        <f t="shared" si="244"/>
        <v>0</v>
      </c>
    </row>
    <row r="13201" spans="20:20" ht="18.75" customHeight="1" x14ac:dyDescent="0.35">
      <c r="T13201" s="246">
        <f t="shared" si="244"/>
        <v>0</v>
      </c>
    </row>
    <row r="13202" spans="20:20" ht="18.75" customHeight="1" x14ac:dyDescent="0.35">
      <c r="T13202" s="246">
        <f t="shared" si="244"/>
        <v>0</v>
      </c>
    </row>
    <row r="13203" spans="20:20" ht="18.75" customHeight="1" x14ac:dyDescent="0.35">
      <c r="T13203" s="246">
        <f t="shared" si="244"/>
        <v>0</v>
      </c>
    </row>
    <row r="13204" spans="20:20" ht="18.75" customHeight="1" x14ac:dyDescent="0.35">
      <c r="T13204" s="246">
        <f t="shared" si="244"/>
        <v>0</v>
      </c>
    </row>
    <row r="13205" spans="20:20" ht="18.75" customHeight="1" x14ac:dyDescent="0.35">
      <c r="T13205" s="246">
        <f t="shared" si="244"/>
        <v>0</v>
      </c>
    </row>
    <row r="13206" spans="20:20" ht="18.75" customHeight="1" x14ac:dyDescent="0.35">
      <c r="T13206" s="246">
        <f t="shared" si="244"/>
        <v>0</v>
      </c>
    </row>
    <row r="13207" spans="20:20" ht="18.75" customHeight="1" x14ac:dyDescent="0.35">
      <c r="T13207" s="246">
        <f t="shared" si="244"/>
        <v>0</v>
      </c>
    </row>
    <row r="13208" spans="20:20" ht="18.75" customHeight="1" x14ac:dyDescent="0.35">
      <c r="T13208" s="246">
        <f t="shared" si="244"/>
        <v>0</v>
      </c>
    </row>
    <row r="13209" spans="20:20" ht="18.75" customHeight="1" x14ac:dyDescent="0.35">
      <c r="T13209" s="246">
        <f t="shared" si="244"/>
        <v>0</v>
      </c>
    </row>
    <row r="13210" spans="20:20" ht="18.75" customHeight="1" x14ac:dyDescent="0.35">
      <c r="T13210" s="246">
        <f t="shared" si="244"/>
        <v>0</v>
      </c>
    </row>
    <row r="13211" spans="20:20" ht="18.75" customHeight="1" x14ac:dyDescent="0.35">
      <c r="T13211" s="246">
        <f t="shared" si="244"/>
        <v>0</v>
      </c>
    </row>
    <row r="13212" spans="20:20" ht="18.75" customHeight="1" x14ac:dyDescent="0.35">
      <c r="T13212" s="246">
        <f t="shared" si="244"/>
        <v>0</v>
      </c>
    </row>
    <row r="13213" spans="20:20" ht="18.75" customHeight="1" x14ac:dyDescent="0.35">
      <c r="T13213" s="246">
        <f t="shared" si="244"/>
        <v>0</v>
      </c>
    </row>
    <row r="13214" spans="20:20" ht="18.75" customHeight="1" x14ac:dyDescent="0.35">
      <c r="T13214" s="246">
        <f t="shared" si="244"/>
        <v>0</v>
      </c>
    </row>
    <row r="13215" spans="20:20" ht="18.75" customHeight="1" x14ac:dyDescent="0.35">
      <c r="T13215" s="246">
        <f t="shared" si="244"/>
        <v>0</v>
      </c>
    </row>
    <row r="13216" spans="20:20" ht="18.75" customHeight="1" x14ac:dyDescent="0.35">
      <c r="T13216" s="246">
        <f t="shared" si="244"/>
        <v>0</v>
      </c>
    </row>
    <row r="13217" spans="20:20" ht="18.75" customHeight="1" x14ac:dyDescent="0.35">
      <c r="T13217" s="246">
        <f t="shared" si="244"/>
        <v>0</v>
      </c>
    </row>
    <row r="13218" spans="20:20" ht="18.75" customHeight="1" x14ac:dyDescent="0.35">
      <c r="T13218" s="246">
        <f t="shared" si="244"/>
        <v>0</v>
      </c>
    </row>
    <row r="13219" spans="20:20" ht="18.75" customHeight="1" x14ac:dyDescent="0.35">
      <c r="T13219" s="246">
        <f t="shared" si="244"/>
        <v>0</v>
      </c>
    </row>
    <row r="13220" spans="20:20" ht="18.75" customHeight="1" x14ac:dyDescent="0.35">
      <c r="T13220" s="246">
        <f t="shared" si="244"/>
        <v>0</v>
      </c>
    </row>
    <row r="13221" spans="20:20" ht="18.75" customHeight="1" x14ac:dyDescent="0.35">
      <c r="T13221" s="246">
        <f t="shared" si="244"/>
        <v>0</v>
      </c>
    </row>
    <row r="13222" spans="20:20" ht="18.75" customHeight="1" x14ac:dyDescent="0.35">
      <c r="T13222" s="246">
        <f t="shared" si="244"/>
        <v>0</v>
      </c>
    </row>
    <row r="13223" spans="20:20" ht="18.75" customHeight="1" x14ac:dyDescent="0.35">
      <c r="T13223" s="246">
        <f t="shared" si="244"/>
        <v>0</v>
      </c>
    </row>
    <row r="13224" spans="20:20" ht="18.75" customHeight="1" x14ac:dyDescent="0.35">
      <c r="T13224" s="246">
        <f t="shared" si="244"/>
        <v>0</v>
      </c>
    </row>
    <row r="13225" spans="20:20" ht="18.75" customHeight="1" x14ac:dyDescent="0.35">
      <c r="T13225" s="246">
        <f t="shared" si="244"/>
        <v>0</v>
      </c>
    </row>
    <row r="13226" spans="20:20" ht="18.75" customHeight="1" x14ac:dyDescent="0.35">
      <c r="T13226" s="246">
        <f t="shared" si="244"/>
        <v>0</v>
      </c>
    </row>
    <row r="13227" spans="20:20" ht="18.75" customHeight="1" x14ac:dyDescent="0.35">
      <c r="T13227" s="246">
        <f t="shared" si="244"/>
        <v>0</v>
      </c>
    </row>
    <row r="13228" spans="20:20" ht="18.75" customHeight="1" x14ac:dyDescent="0.35">
      <c r="T13228" s="246">
        <f t="shared" si="244"/>
        <v>0</v>
      </c>
    </row>
    <row r="13229" spans="20:20" ht="18.75" customHeight="1" x14ac:dyDescent="0.35">
      <c r="T13229" s="246">
        <f t="shared" si="244"/>
        <v>0</v>
      </c>
    </row>
    <row r="13230" spans="20:20" ht="18.75" customHeight="1" x14ac:dyDescent="0.35">
      <c r="T13230" s="246">
        <f t="shared" si="244"/>
        <v>0</v>
      </c>
    </row>
    <row r="13231" spans="20:20" ht="18.75" customHeight="1" x14ac:dyDescent="0.35">
      <c r="T13231" s="246">
        <f t="shared" si="244"/>
        <v>0</v>
      </c>
    </row>
    <row r="13232" spans="20:20" ht="18.75" customHeight="1" x14ac:dyDescent="0.35">
      <c r="T13232" s="246">
        <f t="shared" si="244"/>
        <v>0</v>
      </c>
    </row>
    <row r="13233" spans="20:20" ht="18.75" customHeight="1" x14ac:dyDescent="0.35">
      <c r="T13233" s="246">
        <f t="shared" si="244"/>
        <v>0</v>
      </c>
    </row>
    <row r="13234" spans="20:20" ht="18.75" customHeight="1" x14ac:dyDescent="0.35">
      <c r="T13234" s="246">
        <f t="shared" si="244"/>
        <v>0</v>
      </c>
    </row>
    <row r="13235" spans="20:20" ht="18.75" customHeight="1" x14ac:dyDescent="0.35">
      <c r="T13235" s="246">
        <f t="shared" si="244"/>
        <v>0</v>
      </c>
    </row>
    <row r="13236" spans="20:20" ht="18.75" customHeight="1" x14ac:dyDescent="0.35">
      <c r="T13236" s="246">
        <f t="shared" si="244"/>
        <v>0</v>
      </c>
    </row>
    <row r="13237" spans="20:20" ht="18.75" customHeight="1" x14ac:dyDescent="0.35">
      <c r="T13237" s="246">
        <f t="shared" si="244"/>
        <v>0</v>
      </c>
    </row>
    <row r="13238" spans="20:20" ht="18.75" customHeight="1" x14ac:dyDescent="0.35">
      <c r="T13238" s="246">
        <f t="shared" si="244"/>
        <v>0</v>
      </c>
    </row>
    <row r="13239" spans="20:20" ht="18.75" customHeight="1" x14ac:dyDescent="0.35">
      <c r="T13239" s="246">
        <f t="shared" si="244"/>
        <v>0</v>
      </c>
    </row>
    <row r="13240" spans="20:20" ht="18.75" customHeight="1" x14ac:dyDescent="0.35">
      <c r="T13240" s="246">
        <f t="shared" si="244"/>
        <v>0</v>
      </c>
    </row>
    <row r="13241" spans="20:20" ht="18.75" customHeight="1" x14ac:dyDescent="0.35">
      <c r="T13241" s="246">
        <f t="shared" si="244"/>
        <v>0</v>
      </c>
    </row>
    <row r="13242" spans="20:20" ht="18.75" customHeight="1" x14ac:dyDescent="0.35">
      <c r="T13242" s="246">
        <f t="shared" si="244"/>
        <v>0</v>
      </c>
    </row>
    <row r="13243" spans="20:20" ht="18.75" customHeight="1" x14ac:dyDescent="0.35">
      <c r="T13243" s="246">
        <f t="shared" si="244"/>
        <v>0</v>
      </c>
    </row>
    <row r="13244" spans="20:20" ht="18.75" customHeight="1" x14ac:dyDescent="0.35">
      <c r="T13244" s="246">
        <f t="shared" ref="T13244:T13307" si="245">R13244*0.01</f>
        <v>0</v>
      </c>
    </row>
    <row r="13245" spans="20:20" ht="18.75" customHeight="1" x14ac:dyDescent="0.35">
      <c r="T13245" s="246">
        <f t="shared" si="245"/>
        <v>0</v>
      </c>
    </row>
    <row r="13246" spans="20:20" ht="18.75" customHeight="1" x14ac:dyDescent="0.35">
      <c r="T13246" s="246">
        <f t="shared" si="245"/>
        <v>0</v>
      </c>
    </row>
    <row r="13247" spans="20:20" ht="18.75" customHeight="1" x14ac:dyDescent="0.35">
      <c r="T13247" s="246">
        <f t="shared" si="245"/>
        <v>0</v>
      </c>
    </row>
    <row r="13248" spans="20:20" ht="18.75" customHeight="1" x14ac:dyDescent="0.35">
      <c r="T13248" s="246">
        <f t="shared" si="245"/>
        <v>0</v>
      </c>
    </row>
    <row r="13249" spans="20:20" ht="18.75" customHeight="1" x14ac:dyDescent="0.35">
      <c r="T13249" s="246">
        <f t="shared" si="245"/>
        <v>0</v>
      </c>
    </row>
    <row r="13250" spans="20:20" ht="18.75" customHeight="1" x14ac:dyDescent="0.35">
      <c r="T13250" s="246">
        <f t="shared" si="245"/>
        <v>0</v>
      </c>
    </row>
    <row r="13251" spans="20:20" ht="18.75" customHeight="1" x14ac:dyDescent="0.35">
      <c r="T13251" s="246">
        <f t="shared" si="245"/>
        <v>0</v>
      </c>
    </row>
    <row r="13252" spans="20:20" ht="18.75" customHeight="1" x14ac:dyDescent="0.35">
      <c r="T13252" s="246">
        <f t="shared" si="245"/>
        <v>0</v>
      </c>
    </row>
    <row r="13253" spans="20:20" ht="18.75" customHeight="1" x14ac:dyDescent="0.35">
      <c r="T13253" s="246">
        <f t="shared" si="245"/>
        <v>0</v>
      </c>
    </row>
    <row r="13254" spans="20:20" ht="18.75" customHeight="1" x14ac:dyDescent="0.35">
      <c r="T13254" s="246">
        <f t="shared" si="245"/>
        <v>0</v>
      </c>
    </row>
    <row r="13255" spans="20:20" ht="18.75" customHeight="1" x14ac:dyDescent="0.35">
      <c r="T13255" s="246">
        <f t="shared" si="245"/>
        <v>0</v>
      </c>
    </row>
    <row r="13256" spans="20:20" ht="18.75" customHeight="1" x14ac:dyDescent="0.35">
      <c r="T13256" s="246">
        <f t="shared" si="245"/>
        <v>0</v>
      </c>
    </row>
    <row r="13257" spans="20:20" ht="18.75" customHeight="1" x14ac:dyDescent="0.35">
      <c r="T13257" s="246">
        <f t="shared" si="245"/>
        <v>0</v>
      </c>
    </row>
    <row r="13258" spans="20:20" ht="18.75" customHeight="1" x14ac:dyDescent="0.35">
      <c r="T13258" s="246">
        <f t="shared" si="245"/>
        <v>0</v>
      </c>
    </row>
    <row r="13259" spans="20:20" ht="18.75" customHeight="1" x14ac:dyDescent="0.35">
      <c r="T13259" s="246">
        <f t="shared" si="245"/>
        <v>0</v>
      </c>
    </row>
    <row r="13260" spans="20:20" ht="18.75" customHeight="1" x14ac:dyDescent="0.35">
      <c r="T13260" s="246">
        <f t="shared" si="245"/>
        <v>0</v>
      </c>
    </row>
    <row r="13261" spans="20:20" ht="18.75" customHeight="1" x14ac:dyDescent="0.35">
      <c r="T13261" s="246">
        <f t="shared" si="245"/>
        <v>0</v>
      </c>
    </row>
    <row r="13262" spans="20:20" ht="18.75" customHeight="1" x14ac:dyDescent="0.35">
      <c r="T13262" s="246">
        <f t="shared" si="245"/>
        <v>0</v>
      </c>
    </row>
    <row r="13263" spans="20:20" ht="18.75" customHeight="1" x14ac:dyDescent="0.35">
      <c r="T13263" s="246">
        <f t="shared" si="245"/>
        <v>0</v>
      </c>
    </row>
    <row r="13264" spans="20:20" ht="18.75" customHeight="1" x14ac:dyDescent="0.35">
      <c r="T13264" s="246">
        <f t="shared" si="245"/>
        <v>0</v>
      </c>
    </row>
    <row r="13265" spans="20:20" ht="18.75" customHeight="1" x14ac:dyDescent="0.35">
      <c r="T13265" s="246">
        <f t="shared" si="245"/>
        <v>0</v>
      </c>
    </row>
    <row r="13266" spans="20:20" ht="18.75" customHeight="1" x14ac:dyDescent="0.35">
      <c r="T13266" s="246">
        <f t="shared" si="245"/>
        <v>0</v>
      </c>
    </row>
    <row r="13267" spans="20:20" ht="18.75" customHeight="1" x14ac:dyDescent="0.35">
      <c r="T13267" s="246">
        <f t="shared" si="245"/>
        <v>0</v>
      </c>
    </row>
    <row r="13268" spans="20:20" ht="18.75" customHeight="1" x14ac:dyDescent="0.35">
      <c r="T13268" s="246">
        <f t="shared" si="245"/>
        <v>0</v>
      </c>
    </row>
    <row r="13269" spans="20:20" ht="18.75" customHeight="1" x14ac:dyDescent="0.35">
      <c r="T13269" s="246">
        <f t="shared" si="245"/>
        <v>0</v>
      </c>
    </row>
    <row r="13270" spans="20:20" ht="18.75" customHeight="1" x14ac:dyDescent="0.35">
      <c r="T13270" s="246">
        <f t="shared" si="245"/>
        <v>0</v>
      </c>
    </row>
    <row r="13271" spans="20:20" ht="18.75" customHeight="1" x14ac:dyDescent="0.35">
      <c r="T13271" s="246">
        <f t="shared" si="245"/>
        <v>0</v>
      </c>
    </row>
    <row r="13272" spans="20:20" ht="18.75" customHeight="1" x14ac:dyDescent="0.35">
      <c r="T13272" s="246">
        <f t="shared" si="245"/>
        <v>0</v>
      </c>
    </row>
    <row r="13273" spans="20:20" ht="18.75" customHeight="1" x14ac:dyDescent="0.35">
      <c r="T13273" s="246">
        <f t="shared" si="245"/>
        <v>0</v>
      </c>
    </row>
    <row r="13274" spans="20:20" ht="18.75" customHeight="1" x14ac:dyDescent="0.35">
      <c r="T13274" s="246">
        <f t="shared" si="245"/>
        <v>0</v>
      </c>
    </row>
    <row r="13275" spans="20:20" ht="18.75" customHeight="1" x14ac:dyDescent="0.35">
      <c r="T13275" s="246">
        <f t="shared" si="245"/>
        <v>0</v>
      </c>
    </row>
    <row r="13276" spans="20:20" ht="18.75" customHeight="1" x14ac:dyDescent="0.35">
      <c r="T13276" s="246">
        <f t="shared" si="245"/>
        <v>0</v>
      </c>
    </row>
    <row r="13277" spans="20:20" ht="18.75" customHeight="1" x14ac:dyDescent="0.35">
      <c r="T13277" s="246">
        <f t="shared" si="245"/>
        <v>0</v>
      </c>
    </row>
    <row r="13278" spans="20:20" ht="18.75" customHeight="1" x14ac:dyDescent="0.35">
      <c r="T13278" s="246">
        <f t="shared" si="245"/>
        <v>0</v>
      </c>
    </row>
    <row r="13279" spans="20:20" ht="18.75" customHeight="1" x14ac:dyDescent="0.35">
      <c r="T13279" s="246">
        <f t="shared" si="245"/>
        <v>0</v>
      </c>
    </row>
    <row r="13280" spans="20:20" ht="18.75" customHeight="1" x14ac:dyDescent="0.35">
      <c r="T13280" s="246">
        <f t="shared" si="245"/>
        <v>0</v>
      </c>
    </row>
    <row r="13281" spans="20:20" ht="18.75" customHeight="1" x14ac:dyDescent="0.35">
      <c r="T13281" s="246">
        <f t="shared" si="245"/>
        <v>0</v>
      </c>
    </row>
    <row r="13282" spans="20:20" ht="18.75" customHeight="1" x14ac:dyDescent="0.35">
      <c r="T13282" s="246">
        <f t="shared" si="245"/>
        <v>0</v>
      </c>
    </row>
    <row r="13283" spans="20:20" ht="18.75" customHeight="1" x14ac:dyDescent="0.35">
      <c r="T13283" s="246">
        <f t="shared" si="245"/>
        <v>0</v>
      </c>
    </row>
    <row r="13284" spans="20:20" ht="18.75" customHeight="1" x14ac:dyDescent="0.35">
      <c r="T13284" s="246">
        <f t="shared" si="245"/>
        <v>0</v>
      </c>
    </row>
    <row r="13285" spans="20:20" ht="18.75" customHeight="1" x14ac:dyDescent="0.35">
      <c r="T13285" s="246">
        <f t="shared" si="245"/>
        <v>0</v>
      </c>
    </row>
    <row r="13286" spans="20:20" ht="18.75" customHeight="1" x14ac:dyDescent="0.35">
      <c r="T13286" s="246">
        <f t="shared" si="245"/>
        <v>0</v>
      </c>
    </row>
    <row r="13287" spans="20:20" ht="18.75" customHeight="1" x14ac:dyDescent="0.35">
      <c r="T13287" s="246">
        <f t="shared" si="245"/>
        <v>0</v>
      </c>
    </row>
    <row r="13288" spans="20:20" ht="18.75" customHeight="1" x14ac:dyDescent="0.35">
      <c r="T13288" s="246">
        <f t="shared" si="245"/>
        <v>0</v>
      </c>
    </row>
    <row r="13289" spans="20:20" ht="18.75" customHeight="1" x14ac:dyDescent="0.35">
      <c r="T13289" s="246">
        <f t="shared" si="245"/>
        <v>0</v>
      </c>
    </row>
    <row r="13290" spans="20:20" ht="18.75" customHeight="1" x14ac:dyDescent="0.35">
      <c r="T13290" s="246">
        <f t="shared" si="245"/>
        <v>0</v>
      </c>
    </row>
    <row r="13291" spans="20:20" ht="18.75" customHeight="1" x14ac:dyDescent="0.35">
      <c r="T13291" s="246">
        <f t="shared" si="245"/>
        <v>0</v>
      </c>
    </row>
    <row r="13292" spans="20:20" ht="18.75" customHeight="1" x14ac:dyDescent="0.35">
      <c r="T13292" s="246">
        <f t="shared" si="245"/>
        <v>0</v>
      </c>
    </row>
    <row r="13293" spans="20:20" ht="18.75" customHeight="1" x14ac:dyDescent="0.35">
      <c r="T13293" s="246">
        <f t="shared" si="245"/>
        <v>0</v>
      </c>
    </row>
    <row r="13294" spans="20:20" ht="18.75" customHeight="1" x14ac:dyDescent="0.35">
      <c r="T13294" s="246">
        <f t="shared" si="245"/>
        <v>0</v>
      </c>
    </row>
    <row r="13295" spans="20:20" ht="18.75" customHeight="1" x14ac:dyDescent="0.35">
      <c r="T13295" s="246">
        <f t="shared" si="245"/>
        <v>0</v>
      </c>
    </row>
    <row r="13296" spans="20:20" ht="18.75" customHeight="1" x14ac:dyDescent="0.35">
      <c r="T13296" s="246">
        <f t="shared" si="245"/>
        <v>0</v>
      </c>
    </row>
    <row r="13297" spans="20:20" ht="18.75" customHeight="1" x14ac:dyDescent="0.35">
      <c r="T13297" s="246">
        <f t="shared" si="245"/>
        <v>0</v>
      </c>
    </row>
    <row r="13298" spans="20:20" ht="18.75" customHeight="1" x14ac:dyDescent="0.35">
      <c r="T13298" s="246">
        <f t="shared" si="245"/>
        <v>0</v>
      </c>
    </row>
    <row r="13299" spans="20:20" ht="18.75" customHeight="1" x14ac:dyDescent="0.35">
      <c r="T13299" s="246">
        <f t="shared" si="245"/>
        <v>0</v>
      </c>
    </row>
    <row r="13300" spans="20:20" ht="18.75" customHeight="1" x14ac:dyDescent="0.35">
      <c r="T13300" s="246">
        <f t="shared" si="245"/>
        <v>0</v>
      </c>
    </row>
    <row r="13301" spans="20:20" ht="18.75" customHeight="1" x14ac:dyDescent="0.35">
      <c r="T13301" s="246">
        <f t="shared" si="245"/>
        <v>0</v>
      </c>
    </row>
    <row r="13302" spans="20:20" ht="18.75" customHeight="1" x14ac:dyDescent="0.35">
      <c r="T13302" s="246">
        <f t="shared" si="245"/>
        <v>0</v>
      </c>
    </row>
    <row r="13303" spans="20:20" ht="18.75" customHeight="1" x14ac:dyDescent="0.35">
      <c r="T13303" s="246">
        <f t="shared" si="245"/>
        <v>0</v>
      </c>
    </row>
    <row r="13304" spans="20:20" ht="18.75" customHeight="1" x14ac:dyDescent="0.35">
      <c r="T13304" s="246">
        <f t="shared" si="245"/>
        <v>0</v>
      </c>
    </row>
    <row r="13305" spans="20:20" ht="18.75" customHeight="1" x14ac:dyDescent="0.35">
      <c r="T13305" s="246">
        <f t="shared" si="245"/>
        <v>0</v>
      </c>
    </row>
    <row r="13306" spans="20:20" ht="18.75" customHeight="1" x14ac:dyDescent="0.35">
      <c r="T13306" s="246">
        <f t="shared" si="245"/>
        <v>0</v>
      </c>
    </row>
    <row r="13307" spans="20:20" ht="18.75" customHeight="1" x14ac:dyDescent="0.35">
      <c r="T13307" s="246">
        <f t="shared" si="245"/>
        <v>0</v>
      </c>
    </row>
    <row r="13308" spans="20:20" ht="18.75" customHeight="1" x14ac:dyDescent="0.35">
      <c r="T13308" s="246">
        <f t="shared" ref="T13308:T13371" si="246">R13308*0.01</f>
        <v>0</v>
      </c>
    </row>
    <row r="13309" spans="20:20" ht="18.75" customHeight="1" x14ac:dyDescent="0.35">
      <c r="T13309" s="246">
        <f t="shared" si="246"/>
        <v>0</v>
      </c>
    </row>
    <row r="13310" spans="20:20" ht="18.75" customHeight="1" x14ac:dyDescent="0.35">
      <c r="T13310" s="246">
        <f t="shared" si="246"/>
        <v>0</v>
      </c>
    </row>
    <row r="13311" spans="20:20" ht="18.75" customHeight="1" x14ac:dyDescent="0.35">
      <c r="T13311" s="246">
        <f t="shared" si="246"/>
        <v>0</v>
      </c>
    </row>
    <row r="13312" spans="20:20" ht="18.75" customHeight="1" x14ac:dyDescent="0.35">
      <c r="T13312" s="246">
        <f t="shared" si="246"/>
        <v>0</v>
      </c>
    </row>
    <row r="13313" spans="20:20" ht="18.75" customHeight="1" x14ac:dyDescent="0.35">
      <c r="T13313" s="246">
        <f t="shared" si="246"/>
        <v>0</v>
      </c>
    </row>
    <row r="13314" spans="20:20" ht="18.75" customHeight="1" x14ac:dyDescent="0.35">
      <c r="T13314" s="246">
        <f t="shared" si="246"/>
        <v>0</v>
      </c>
    </row>
    <row r="13315" spans="20:20" ht="18.75" customHeight="1" x14ac:dyDescent="0.35">
      <c r="T13315" s="246">
        <f t="shared" si="246"/>
        <v>0</v>
      </c>
    </row>
    <row r="13316" spans="20:20" ht="18.75" customHeight="1" x14ac:dyDescent="0.35">
      <c r="T13316" s="246">
        <f t="shared" si="246"/>
        <v>0</v>
      </c>
    </row>
    <row r="13317" spans="20:20" ht="18.75" customHeight="1" x14ac:dyDescent="0.35">
      <c r="T13317" s="246">
        <f t="shared" si="246"/>
        <v>0</v>
      </c>
    </row>
    <row r="13318" spans="20:20" ht="18.75" customHeight="1" x14ac:dyDescent="0.35">
      <c r="T13318" s="246">
        <f t="shared" si="246"/>
        <v>0</v>
      </c>
    </row>
    <row r="13319" spans="20:20" ht="18.75" customHeight="1" x14ac:dyDescent="0.35">
      <c r="T13319" s="246">
        <f t="shared" si="246"/>
        <v>0</v>
      </c>
    </row>
    <row r="13320" spans="20:20" ht="18.75" customHeight="1" x14ac:dyDescent="0.35">
      <c r="T13320" s="246">
        <f t="shared" si="246"/>
        <v>0</v>
      </c>
    </row>
    <row r="13321" spans="20:20" ht="18.75" customHeight="1" x14ac:dyDescent="0.35">
      <c r="T13321" s="246">
        <f t="shared" si="246"/>
        <v>0</v>
      </c>
    </row>
    <row r="13322" spans="20:20" ht="18.75" customHeight="1" x14ac:dyDescent="0.35">
      <c r="T13322" s="246">
        <f t="shared" si="246"/>
        <v>0</v>
      </c>
    </row>
    <row r="13323" spans="20:20" ht="18.75" customHeight="1" x14ac:dyDescent="0.35">
      <c r="T13323" s="246">
        <f t="shared" si="246"/>
        <v>0</v>
      </c>
    </row>
    <row r="13324" spans="20:20" ht="18.75" customHeight="1" x14ac:dyDescent="0.35">
      <c r="T13324" s="246">
        <f t="shared" si="246"/>
        <v>0</v>
      </c>
    </row>
    <row r="13325" spans="20:20" ht="18.75" customHeight="1" x14ac:dyDescent="0.35">
      <c r="T13325" s="246">
        <f t="shared" si="246"/>
        <v>0</v>
      </c>
    </row>
    <row r="13326" spans="20:20" ht="18.75" customHeight="1" x14ac:dyDescent="0.35">
      <c r="T13326" s="246">
        <f t="shared" si="246"/>
        <v>0</v>
      </c>
    </row>
    <row r="13327" spans="20:20" ht="18.75" customHeight="1" x14ac:dyDescent="0.35">
      <c r="T13327" s="246">
        <f t="shared" si="246"/>
        <v>0</v>
      </c>
    </row>
    <row r="13328" spans="20:20" ht="18.75" customHeight="1" x14ac:dyDescent="0.35">
      <c r="T13328" s="246">
        <f t="shared" si="246"/>
        <v>0</v>
      </c>
    </row>
    <row r="13329" spans="20:20" ht="18.75" customHeight="1" x14ac:dyDescent="0.35">
      <c r="T13329" s="246">
        <f t="shared" si="246"/>
        <v>0</v>
      </c>
    </row>
    <row r="13330" spans="20:20" ht="18.75" customHeight="1" x14ac:dyDescent="0.35">
      <c r="T13330" s="246">
        <f t="shared" si="246"/>
        <v>0</v>
      </c>
    </row>
    <row r="13331" spans="20:20" ht="18.75" customHeight="1" x14ac:dyDescent="0.35">
      <c r="T13331" s="246">
        <f t="shared" si="246"/>
        <v>0</v>
      </c>
    </row>
    <row r="13332" spans="20:20" ht="18.75" customHeight="1" x14ac:dyDescent="0.35">
      <c r="T13332" s="246">
        <f t="shared" si="246"/>
        <v>0</v>
      </c>
    </row>
    <row r="13333" spans="20:20" ht="18.75" customHeight="1" x14ac:dyDescent="0.35">
      <c r="T13333" s="246">
        <f t="shared" si="246"/>
        <v>0</v>
      </c>
    </row>
    <row r="13334" spans="20:20" ht="18.75" customHeight="1" x14ac:dyDescent="0.35">
      <c r="T13334" s="246">
        <f t="shared" si="246"/>
        <v>0</v>
      </c>
    </row>
    <row r="13335" spans="20:20" ht="18.75" customHeight="1" x14ac:dyDescent="0.35">
      <c r="T13335" s="246">
        <f t="shared" si="246"/>
        <v>0</v>
      </c>
    </row>
    <row r="13336" spans="20:20" ht="18.75" customHeight="1" x14ac:dyDescent="0.35">
      <c r="T13336" s="246">
        <f t="shared" si="246"/>
        <v>0</v>
      </c>
    </row>
    <row r="13337" spans="20:20" ht="18.75" customHeight="1" x14ac:dyDescent="0.35">
      <c r="T13337" s="246">
        <f t="shared" si="246"/>
        <v>0</v>
      </c>
    </row>
    <row r="13338" spans="20:20" ht="18.75" customHeight="1" x14ac:dyDescent="0.35">
      <c r="T13338" s="246">
        <f t="shared" si="246"/>
        <v>0</v>
      </c>
    </row>
    <row r="13339" spans="20:20" ht="18.75" customHeight="1" x14ac:dyDescent="0.35">
      <c r="T13339" s="246">
        <f t="shared" si="246"/>
        <v>0</v>
      </c>
    </row>
    <row r="13340" spans="20:20" ht="18.75" customHeight="1" x14ac:dyDescent="0.35">
      <c r="T13340" s="246">
        <f t="shared" si="246"/>
        <v>0</v>
      </c>
    </row>
    <row r="13341" spans="20:20" ht="18.75" customHeight="1" x14ac:dyDescent="0.35">
      <c r="T13341" s="246">
        <f t="shared" si="246"/>
        <v>0</v>
      </c>
    </row>
    <row r="13342" spans="20:20" ht="18.75" customHeight="1" x14ac:dyDescent="0.35">
      <c r="T13342" s="246">
        <f t="shared" si="246"/>
        <v>0</v>
      </c>
    </row>
    <row r="13343" spans="20:20" ht="18.75" customHeight="1" x14ac:dyDescent="0.35">
      <c r="T13343" s="246">
        <f t="shared" si="246"/>
        <v>0</v>
      </c>
    </row>
    <row r="13344" spans="20:20" ht="18.75" customHeight="1" x14ac:dyDescent="0.35">
      <c r="T13344" s="246">
        <f t="shared" si="246"/>
        <v>0</v>
      </c>
    </row>
    <row r="13345" spans="20:20" ht="18.75" customHeight="1" x14ac:dyDescent="0.35">
      <c r="T13345" s="246">
        <f t="shared" si="246"/>
        <v>0</v>
      </c>
    </row>
    <row r="13346" spans="20:20" ht="18.75" customHeight="1" x14ac:dyDescent="0.35">
      <c r="T13346" s="246">
        <f t="shared" si="246"/>
        <v>0</v>
      </c>
    </row>
    <row r="13347" spans="20:20" ht="18.75" customHeight="1" x14ac:dyDescent="0.35">
      <c r="T13347" s="246">
        <f t="shared" si="246"/>
        <v>0</v>
      </c>
    </row>
    <row r="13348" spans="20:20" ht="18.75" customHeight="1" x14ac:dyDescent="0.35">
      <c r="T13348" s="246">
        <f t="shared" si="246"/>
        <v>0</v>
      </c>
    </row>
    <row r="13349" spans="20:20" ht="18.75" customHeight="1" x14ac:dyDescent="0.35">
      <c r="T13349" s="246">
        <f t="shared" si="246"/>
        <v>0</v>
      </c>
    </row>
    <row r="13350" spans="20:20" ht="18.75" customHeight="1" x14ac:dyDescent="0.35">
      <c r="T13350" s="246">
        <f t="shared" si="246"/>
        <v>0</v>
      </c>
    </row>
    <row r="13351" spans="20:20" ht="18.75" customHeight="1" x14ac:dyDescent="0.35">
      <c r="T13351" s="246">
        <f t="shared" si="246"/>
        <v>0</v>
      </c>
    </row>
    <row r="13352" spans="20:20" ht="18.75" customHeight="1" x14ac:dyDescent="0.35">
      <c r="T13352" s="246">
        <f t="shared" si="246"/>
        <v>0</v>
      </c>
    </row>
    <row r="13353" spans="20:20" ht="18.75" customHeight="1" x14ac:dyDescent="0.35">
      <c r="T13353" s="246">
        <f t="shared" si="246"/>
        <v>0</v>
      </c>
    </row>
    <row r="13354" spans="20:20" ht="18.75" customHeight="1" x14ac:dyDescent="0.35">
      <c r="T13354" s="246">
        <f t="shared" si="246"/>
        <v>0</v>
      </c>
    </row>
    <row r="13355" spans="20:20" ht="18.75" customHeight="1" x14ac:dyDescent="0.35">
      <c r="T13355" s="246">
        <f t="shared" si="246"/>
        <v>0</v>
      </c>
    </row>
    <row r="13356" spans="20:20" ht="18.75" customHeight="1" x14ac:dyDescent="0.35">
      <c r="T13356" s="246">
        <f t="shared" si="246"/>
        <v>0</v>
      </c>
    </row>
    <row r="13357" spans="20:20" ht="18.75" customHeight="1" x14ac:dyDescent="0.35">
      <c r="T13357" s="246">
        <f t="shared" si="246"/>
        <v>0</v>
      </c>
    </row>
    <row r="13358" spans="20:20" ht="18.75" customHeight="1" x14ac:dyDescent="0.35">
      <c r="T13358" s="246">
        <f t="shared" si="246"/>
        <v>0</v>
      </c>
    </row>
    <row r="13359" spans="20:20" ht="18.75" customHeight="1" x14ac:dyDescent="0.35">
      <c r="T13359" s="246">
        <f t="shared" si="246"/>
        <v>0</v>
      </c>
    </row>
    <row r="13360" spans="20:20" ht="18.75" customHeight="1" x14ac:dyDescent="0.35">
      <c r="T13360" s="246">
        <f t="shared" si="246"/>
        <v>0</v>
      </c>
    </row>
    <row r="13361" spans="20:20" ht="18.75" customHeight="1" x14ac:dyDescent="0.35">
      <c r="T13361" s="246">
        <f t="shared" si="246"/>
        <v>0</v>
      </c>
    </row>
    <row r="13362" spans="20:20" ht="18.75" customHeight="1" x14ac:dyDescent="0.35">
      <c r="T13362" s="246">
        <f t="shared" si="246"/>
        <v>0</v>
      </c>
    </row>
    <row r="13363" spans="20:20" ht="18.75" customHeight="1" x14ac:dyDescent="0.35">
      <c r="T13363" s="246">
        <f t="shared" si="246"/>
        <v>0</v>
      </c>
    </row>
    <row r="13364" spans="20:20" ht="18.75" customHeight="1" x14ac:dyDescent="0.35">
      <c r="T13364" s="246">
        <f t="shared" si="246"/>
        <v>0</v>
      </c>
    </row>
    <row r="13365" spans="20:20" ht="18.75" customHeight="1" x14ac:dyDescent="0.35">
      <c r="T13365" s="246">
        <f t="shared" si="246"/>
        <v>0</v>
      </c>
    </row>
    <row r="13366" spans="20:20" ht="18.75" customHeight="1" x14ac:dyDescent="0.35">
      <c r="T13366" s="246">
        <f t="shared" si="246"/>
        <v>0</v>
      </c>
    </row>
    <row r="13367" spans="20:20" ht="18.75" customHeight="1" x14ac:dyDescent="0.35">
      <c r="T13367" s="246">
        <f t="shared" si="246"/>
        <v>0</v>
      </c>
    </row>
    <row r="13368" spans="20:20" ht="18.75" customHeight="1" x14ac:dyDescent="0.35">
      <c r="T13368" s="246">
        <f t="shared" si="246"/>
        <v>0</v>
      </c>
    </row>
    <row r="13369" spans="20:20" ht="18.75" customHeight="1" x14ac:dyDescent="0.35">
      <c r="T13369" s="246">
        <f t="shared" si="246"/>
        <v>0</v>
      </c>
    </row>
    <row r="13370" spans="20:20" ht="18.75" customHeight="1" x14ac:dyDescent="0.35">
      <c r="T13370" s="246">
        <f t="shared" si="246"/>
        <v>0</v>
      </c>
    </row>
    <row r="13371" spans="20:20" ht="18.75" customHeight="1" x14ac:dyDescent="0.35">
      <c r="T13371" s="246">
        <f t="shared" si="246"/>
        <v>0</v>
      </c>
    </row>
    <row r="13372" spans="20:20" ht="18.75" customHeight="1" x14ac:dyDescent="0.35">
      <c r="T13372" s="246">
        <f t="shared" ref="T13372:T13435" si="247">R13372*0.01</f>
        <v>0</v>
      </c>
    </row>
    <row r="13373" spans="20:20" ht="18.75" customHeight="1" x14ac:dyDescent="0.35">
      <c r="T13373" s="246">
        <f t="shared" si="247"/>
        <v>0</v>
      </c>
    </row>
    <row r="13374" spans="20:20" ht="18.75" customHeight="1" x14ac:dyDescent="0.35">
      <c r="T13374" s="246">
        <f t="shared" si="247"/>
        <v>0</v>
      </c>
    </row>
    <row r="13375" spans="20:20" ht="18.75" customHeight="1" x14ac:dyDescent="0.35">
      <c r="T13375" s="246">
        <f t="shared" si="247"/>
        <v>0</v>
      </c>
    </row>
    <row r="13376" spans="20:20" ht="18.75" customHeight="1" x14ac:dyDescent="0.35">
      <c r="T13376" s="246">
        <f t="shared" si="247"/>
        <v>0</v>
      </c>
    </row>
    <row r="13377" spans="20:20" ht="18.75" customHeight="1" x14ac:dyDescent="0.35">
      <c r="T13377" s="246">
        <f t="shared" si="247"/>
        <v>0</v>
      </c>
    </row>
    <row r="13378" spans="20:20" ht="18.75" customHeight="1" x14ac:dyDescent="0.35">
      <c r="T13378" s="246">
        <f t="shared" si="247"/>
        <v>0</v>
      </c>
    </row>
    <row r="13379" spans="20:20" ht="18.75" customHeight="1" x14ac:dyDescent="0.35">
      <c r="T13379" s="246">
        <f t="shared" si="247"/>
        <v>0</v>
      </c>
    </row>
    <row r="13380" spans="20:20" ht="18.75" customHeight="1" x14ac:dyDescent="0.35">
      <c r="T13380" s="246">
        <f t="shared" si="247"/>
        <v>0</v>
      </c>
    </row>
    <row r="13381" spans="20:20" ht="18.75" customHeight="1" x14ac:dyDescent="0.35">
      <c r="T13381" s="246">
        <f t="shared" si="247"/>
        <v>0</v>
      </c>
    </row>
    <row r="13382" spans="20:20" ht="18.75" customHeight="1" x14ac:dyDescent="0.35">
      <c r="T13382" s="246">
        <f t="shared" si="247"/>
        <v>0</v>
      </c>
    </row>
    <row r="13383" spans="20:20" ht="18.75" customHeight="1" x14ac:dyDescent="0.35">
      <c r="T13383" s="246">
        <f t="shared" si="247"/>
        <v>0</v>
      </c>
    </row>
    <row r="13384" spans="20:20" ht="18.75" customHeight="1" x14ac:dyDescent="0.35">
      <c r="T13384" s="246">
        <f t="shared" si="247"/>
        <v>0</v>
      </c>
    </row>
    <row r="13385" spans="20:20" ht="18.75" customHeight="1" x14ac:dyDescent="0.35">
      <c r="T13385" s="246">
        <f t="shared" si="247"/>
        <v>0</v>
      </c>
    </row>
    <row r="13386" spans="20:20" ht="18.75" customHeight="1" x14ac:dyDescent="0.35">
      <c r="T13386" s="246">
        <f t="shared" si="247"/>
        <v>0</v>
      </c>
    </row>
    <row r="13387" spans="20:20" ht="18.75" customHeight="1" x14ac:dyDescent="0.35">
      <c r="T13387" s="246">
        <f t="shared" si="247"/>
        <v>0</v>
      </c>
    </row>
    <row r="13388" spans="20:20" ht="18.75" customHeight="1" x14ac:dyDescent="0.35">
      <c r="T13388" s="246">
        <f t="shared" si="247"/>
        <v>0</v>
      </c>
    </row>
    <row r="13389" spans="20:20" ht="18.75" customHeight="1" x14ac:dyDescent="0.35">
      <c r="T13389" s="246">
        <f t="shared" si="247"/>
        <v>0</v>
      </c>
    </row>
    <row r="13390" spans="20:20" ht="18.75" customHeight="1" x14ac:dyDescent="0.35">
      <c r="T13390" s="246">
        <f t="shared" si="247"/>
        <v>0</v>
      </c>
    </row>
    <row r="13391" spans="20:20" ht="18.75" customHeight="1" x14ac:dyDescent="0.35">
      <c r="T13391" s="246">
        <f t="shared" si="247"/>
        <v>0</v>
      </c>
    </row>
    <row r="13392" spans="20:20" ht="18.75" customHeight="1" x14ac:dyDescent="0.35">
      <c r="T13392" s="246">
        <f t="shared" si="247"/>
        <v>0</v>
      </c>
    </row>
    <row r="13393" spans="20:20" ht="18.75" customHeight="1" x14ac:dyDescent="0.35">
      <c r="T13393" s="246">
        <f t="shared" si="247"/>
        <v>0</v>
      </c>
    </row>
    <row r="13394" spans="20:20" ht="18.75" customHeight="1" x14ac:dyDescent="0.35">
      <c r="T13394" s="246">
        <f t="shared" si="247"/>
        <v>0</v>
      </c>
    </row>
    <row r="13395" spans="20:20" ht="18.75" customHeight="1" x14ac:dyDescent="0.35">
      <c r="T13395" s="246">
        <f t="shared" si="247"/>
        <v>0</v>
      </c>
    </row>
    <row r="13396" spans="20:20" ht="18.75" customHeight="1" x14ac:dyDescent="0.35">
      <c r="T13396" s="246">
        <f t="shared" si="247"/>
        <v>0</v>
      </c>
    </row>
    <row r="13397" spans="20:20" ht="18.75" customHeight="1" x14ac:dyDescent="0.35">
      <c r="T13397" s="246">
        <f t="shared" si="247"/>
        <v>0</v>
      </c>
    </row>
    <row r="13398" spans="20:20" ht="18.75" customHeight="1" x14ac:dyDescent="0.35">
      <c r="T13398" s="246">
        <f t="shared" si="247"/>
        <v>0</v>
      </c>
    </row>
    <row r="13399" spans="20:20" ht="18.75" customHeight="1" x14ac:dyDescent="0.35">
      <c r="T13399" s="246">
        <f t="shared" si="247"/>
        <v>0</v>
      </c>
    </row>
    <row r="13400" spans="20:20" ht="18.75" customHeight="1" x14ac:dyDescent="0.35">
      <c r="T13400" s="246">
        <f t="shared" si="247"/>
        <v>0</v>
      </c>
    </row>
    <row r="13401" spans="20:20" ht="18.75" customHeight="1" x14ac:dyDescent="0.35">
      <c r="T13401" s="246">
        <f t="shared" si="247"/>
        <v>0</v>
      </c>
    </row>
    <row r="13402" spans="20:20" ht="18.75" customHeight="1" x14ac:dyDescent="0.35">
      <c r="T13402" s="246">
        <f t="shared" si="247"/>
        <v>0</v>
      </c>
    </row>
    <row r="13403" spans="20:20" ht="18.75" customHeight="1" x14ac:dyDescent="0.35">
      <c r="T13403" s="246">
        <f t="shared" si="247"/>
        <v>0</v>
      </c>
    </row>
    <row r="13404" spans="20:20" ht="18.75" customHeight="1" x14ac:dyDescent="0.35">
      <c r="T13404" s="246">
        <f t="shared" si="247"/>
        <v>0</v>
      </c>
    </row>
    <row r="13405" spans="20:20" ht="18.75" customHeight="1" x14ac:dyDescent="0.35">
      <c r="T13405" s="246">
        <f t="shared" si="247"/>
        <v>0</v>
      </c>
    </row>
    <row r="13406" spans="20:20" ht="18.75" customHeight="1" x14ac:dyDescent="0.35">
      <c r="T13406" s="246">
        <f t="shared" si="247"/>
        <v>0</v>
      </c>
    </row>
    <row r="13407" spans="20:20" ht="18.75" customHeight="1" x14ac:dyDescent="0.35">
      <c r="T13407" s="246">
        <f t="shared" si="247"/>
        <v>0</v>
      </c>
    </row>
    <row r="13408" spans="20:20" ht="18.75" customHeight="1" x14ac:dyDescent="0.35">
      <c r="T13408" s="246">
        <f t="shared" si="247"/>
        <v>0</v>
      </c>
    </row>
    <row r="13409" spans="20:20" ht="18.75" customHeight="1" x14ac:dyDescent="0.35">
      <c r="T13409" s="246">
        <f t="shared" si="247"/>
        <v>0</v>
      </c>
    </row>
    <row r="13410" spans="20:20" ht="18.75" customHeight="1" x14ac:dyDescent="0.35">
      <c r="T13410" s="246">
        <f t="shared" si="247"/>
        <v>0</v>
      </c>
    </row>
    <row r="13411" spans="20:20" ht="18.75" customHeight="1" x14ac:dyDescent="0.35">
      <c r="T13411" s="246">
        <f t="shared" si="247"/>
        <v>0</v>
      </c>
    </row>
    <row r="13412" spans="20:20" ht="18.75" customHeight="1" x14ac:dyDescent="0.35">
      <c r="T13412" s="246">
        <f t="shared" si="247"/>
        <v>0</v>
      </c>
    </row>
    <row r="13413" spans="20:20" ht="18.75" customHeight="1" x14ac:dyDescent="0.35">
      <c r="T13413" s="246">
        <f t="shared" si="247"/>
        <v>0</v>
      </c>
    </row>
    <row r="13414" spans="20:20" ht="18.75" customHeight="1" x14ac:dyDescent="0.35">
      <c r="T13414" s="246">
        <f t="shared" si="247"/>
        <v>0</v>
      </c>
    </row>
    <row r="13415" spans="20:20" ht="18.75" customHeight="1" x14ac:dyDescent="0.35">
      <c r="T13415" s="246">
        <f t="shared" si="247"/>
        <v>0</v>
      </c>
    </row>
    <row r="13416" spans="20:20" ht="18.75" customHeight="1" x14ac:dyDescent="0.35">
      <c r="T13416" s="246">
        <f t="shared" si="247"/>
        <v>0</v>
      </c>
    </row>
    <row r="13417" spans="20:20" ht="18.75" customHeight="1" x14ac:dyDescent="0.35">
      <c r="T13417" s="246">
        <f t="shared" si="247"/>
        <v>0</v>
      </c>
    </row>
    <row r="13418" spans="20:20" ht="18.75" customHeight="1" x14ac:dyDescent="0.35">
      <c r="T13418" s="246">
        <f t="shared" si="247"/>
        <v>0</v>
      </c>
    </row>
    <row r="13419" spans="20:20" ht="18.75" customHeight="1" x14ac:dyDescent="0.35">
      <c r="T13419" s="246">
        <f t="shared" si="247"/>
        <v>0</v>
      </c>
    </row>
    <row r="13420" spans="20:20" ht="18.75" customHeight="1" x14ac:dyDescent="0.35">
      <c r="T13420" s="246">
        <f t="shared" si="247"/>
        <v>0</v>
      </c>
    </row>
    <row r="13421" spans="20:20" ht="18.75" customHeight="1" x14ac:dyDescent="0.35">
      <c r="T13421" s="246">
        <f t="shared" si="247"/>
        <v>0</v>
      </c>
    </row>
    <row r="13422" spans="20:20" ht="18.75" customHeight="1" x14ac:dyDescent="0.35">
      <c r="T13422" s="246">
        <f t="shared" si="247"/>
        <v>0</v>
      </c>
    </row>
    <row r="13423" spans="20:20" ht="18.75" customHeight="1" x14ac:dyDescent="0.35">
      <c r="T13423" s="246">
        <f t="shared" si="247"/>
        <v>0</v>
      </c>
    </row>
    <row r="13424" spans="20:20" ht="18.75" customHeight="1" x14ac:dyDescent="0.35">
      <c r="T13424" s="246">
        <f t="shared" si="247"/>
        <v>0</v>
      </c>
    </row>
    <row r="13425" spans="20:20" ht="18.75" customHeight="1" x14ac:dyDescent="0.35">
      <c r="T13425" s="246">
        <f t="shared" si="247"/>
        <v>0</v>
      </c>
    </row>
    <row r="13426" spans="20:20" ht="18.75" customHeight="1" x14ac:dyDescent="0.35">
      <c r="T13426" s="246">
        <f t="shared" si="247"/>
        <v>0</v>
      </c>
    </row>
    <row r="13427" spans="20:20" ht="18.75" customHeight="1" x14ac:dyDescent="0.35">
      <c r="T13427" s="246">
        <f t="shared" si="247"/>
        <v>0</v>
      </c>
    </row>
    <row r="13428" spans="20:20" ht="18.75" customHeight="1" x14ac:dyDescent="0.35">
      <c r="T13428" s="246">
        <f t="shared" si="247"/>
        <v>0</v>
      </c>
    </row>
    <row r="13429" spans="20:20" ht="18.75" customHeight="1" x14ac:dyDescent="0.35">
      <c r="T13429" s="246">
        <f t="shared" si="247"/>
        <v>0</v>
      </c>
    </row>
    <row r="13430" spans="20:20" ht="18.75" customHeight="1" x14ac:dyDescent="0.35">
      <c r="T13430" s="246">
        <f t="shared" si="247"/>
        <v>0</v>
      </c>
    </row>
    <row r="13431" spans="20:20" ht="18.75" customHeight="1" x14ac:dyDescent="0.35">
      <c r="T13431" s="246">
        <f t="shared" si="247"/>
        <v>0</v>
      </c>
    </row>
    <row r="13432" spans="20:20" ht="18.75" customHeight="1" x14ac:dyDescent="0.35">
      <c r="T13432" s="246">
        <f t="shared" si="247"/>
        <v>0</v>
      </c>
    </row>
    <row r="13433" spans="20:20" ht="18.75" customHeight="1" x14ac:dyDescent="0.35">
      <c r="T13433" s="246">
        <f t="shared" si="247"/>
        <v>0</v>
      </c>
    </row>
    <row r="13434" spans="20:20" ht="18.75" customHeight="1" x14ac:dyDescent="0.35">
      <c r="T13434" s="246">
        <f t="shared" si="247"/>
        <v>0</v>
      </c>
    </row>
    <row r="13435" spans="20:20" ht="18.75" customHeight="1" x14ac:dyDescent="0.35">
      <c r="T13435" s="246">
        <f t="shared" si="247"/>
        <v>0</v>
      </c>
    </row>
    <row r="13436" spans="20:20" ht="18.75" customHeight="1" x14ac:dyDescent="0.35">
      <c r="T13436" s="246">
        <f t="shared" ref="T13436:T13499" si="248">R13436*0.01</f>
        <v>0</v>
      </c>
    </row>
    <row r="13437" spans="20:20" ht="18.75" customHeight="1" x14ac:dyDescent="0.35">
      <c r="T13437" s="246">
        <f t="shared" si="248"/>
        <v>0</v>
      </c>
    </row>
    <row r="13438" spans="20:20" ht="18.75" customHeight="1" x14ac:dyDescent="0.35">
      <c r="T13438" s="246">
        <f t="shared" si="248"/>
        <v>0</v>
      </c>
    </row>
    <row r="13439" spans="20:20" ht="18.75" customHeight="1" x14ac:dyDescent="0.35">
      <c r="T13439" s="246">
        <f t="shared" si="248"/>
        <v>0</v>
      </c>
    </row>
    <row r="13440" spans="20:20" ht="18.75" customHeight="1" x14ac:dyDescent="0.35">
      <c r="T13440" s="246">
        <f t="shared" si="248"/>
        <v>0</v>
      </c>
    </row>
    <row r="13441" spans="20:20" ht="18.75" customHeight="1" x14ac:dyDescent="0.35">
      <c r="T13441" s="246">
        <f t="shared" si="248"/>
        <v>0</v>
      </c>
    </row>
    <row r="13442" spans="20:20" ht="18.75" customHeight="1" x14ac:dyDescent="0.35">
      <c r="T13442" s="246">
        <f t="shared" si="248"/>
        <v>0</v>
      </c>
    </row>
    <row r="13443" spans="20:20" ht="18.75" customHeight="1" x14ac:dyDescent="0.35">
      <c r="T13443" s="246">
        <f t="shared" si="248"/>
        <v>0</v>
      </c>
    </row>
    <row r="13444" spans="20:20" ht="18.75" customHeight="1" x14ac:dyDescent="0.35">
      <c r="T13444" s="246">
        <f t="shared" si="248"/>
        <v>0</v>
      </c>
    </row>
    <row r="13445" spans="20:20" ht="18.75" customHeight="1" x14ac:dyDescent="0.35">
      <c r="T13445" s="246">
        <f t="shared" si="248"/>
        <v>0</v>
      </c>
    </row>
    <row r="13446" spans="20:20" ht="18.75" customHeight="1" x14ac:dyDescent="0.35">
      <c r="T13446" s="246">
        <f t="shared" si="248"/>
        <v>0</v>
      </c>
    </row>
    <row r="13447" spans="20:20" ht="18.75" customHeight="1" x14ac:dyDescent="0.35">
      <c r="T13447" s="246">
        <f t="shared" si="248"/>
        <v>0</v>
      </c>
    </row>
    <row r="13448" spans="20:20" ht="18.75" customHeight="1" x14ac:dyDescent="0.35">
      <c r="T13448" s="246">
        <f t="shared" si="248"/>
        <v>0</v>
      </c>
    </row>
    <row r="13449" spans="20:20" ht="18.75" customHeight="1" x14ac:dyDescent="0.35">
      <c r="T13449" s="246">
        <f t="shared" si="248"/>
        <v>0</v>
      </c>
    </row>
    <row r="13450" spans="20:20" ht="18.75" customHeight="1" x14ac:dyDescent="0.35">
      <c r="T13450" s="246">
        <f t="shared" si="248"/>
        <v>0</v>
      </c>
    </row>
    <row r="13451" spans="20:20" ht="18.75" customHeight="1" x14ac:dyDescent="0.35">
      <c r="T13451" s="246">
        <f t="shared" si="248"/>
        <v>0</v>
      </c>
    </row>
    <row r="13452" spans="20:20" ht="18.75" customHeight="1" x14ac:dyDescent="0.35">
      <c r="T13452" s="246">
        <f t="shared" si="248"/>
        <v>0</v>
      </c>
    </row>
    <row r="13453" spans="20:20" ht="18.75" customHeight="1" x14ac:dyDescent="0.35">
      <c r="T13453" s="246">
        <f t="shared" si="248"/>
        <v>0</v>
      </c>
    </row>
    <row r="13454" spans="20:20" ht="18.75" customHeight="1" x14ac:dyDescent="0.35">
      <c r="T13454" s="246">
        <f t="shared" si="248"/>
        <v>0</v>
      </c>
    </row>
    <row r="13455" spans="20:20" ht="18.75" customHeight="1" x14ac:dyDescent="0.35">
      <c r="T13455" s="246">
        <f t="shared" si="248"/>
        <v>0</v>
      </c>
    </row>
    <row r="13456" spans="20:20" ht="18.75" customHeight="1" x14ac:dyDescent="0.35">
      <c r="T13456" s="246">
        <f t="shared" si="248"/>
        <v>0</v>
      </c>
    </row>
    <row r="13457" spans="20:20" ht="18.75" customHeight="1" x14ac:dyDescent="0.35">
      <c r="T13457" s="246">
        <f t="shared" si="248"/>
        <v>0</v>
      </c>
    </row>
    <row r="13458" spans="20:20" ht="18.75" customHeight="1" x14ac:dyDescent="0.35">
      <c r="T13458" s="246">
        <f t="shared" si="248"/>
        <v>0</v>
      </c>
    </row>
    <row r="13459" spans="20:20" ht="18.75" customHeight="1" x14ac:dyDescent="0.35">
      <c r="T13459" s="246">
        <f t="shared" si="248"/>
        <v>0</v>
      </c>
    </row>
    <row r="13460" spans="20:20" ht="18.75" customHeight="1" x14ac:dyDescent="0.35">
      <c r="T13460" s="246">
        <f t="shared" si="248"/>
        <v>0</v>
      </c>
    </row>
    <row r="13461" spans="20:20" ht="18.75" customHeight="1" x14ac:dyDescent="0.35">
      <c r="T13461" s="246">
        <f t="shared" si="248"/>
        <v>0</v>
      </c>
    </row>
    <row r="13462" spans="20:20" ht="18.75" customHeight="1" x14ac:dyDescent="0.35">
      <c r="T13462" s="246">
        <f t="shared" si="248"/>
        <v>0</v>
      </c>
    </row>
    <row r="13463" spans="20:20" ht="18.75" customHeight="1" x14ac:dyDescent="0.35">
      <c r="T13463" s="246">
        <f t="shared" si="248"/>
        <v>0</v>
      </c>
    </row>
    <row r="13464" spans="20:20" ht="18.75" customHeight="1" x14ac:dyDescent="0.35">
      <c r="T13464" s="246">
        <f t="shared" si="248"/>
        <v>0</v>
      </c>
    </row>
    <row r="13465" spans="20:20" ht="18.75" customHeight="1" x14ac:dyDescent="0.35">
      <c r="T13465" s="246">
        <f t="shared" si="248"/>
        <v>0</v>
      </c>
    </row>
    <row r="13466" spans="20:20" ht="18.75" customHeight="1" x14ac:dyDescent="0.35">
      <c r="T13466" s="246">
        <f t="shared" si="248"/>
        <v>0</v>
      </c>
    </row>
    <row r="13467" spans="20:20" ht="18.75" customHeight="1" x14ac:dyDescent="0.35">
      <c r="T13467" s="246">
        <f t="shared" si="248"/>
        <v>0</v>
      </c>
    </row>
    <row r="13468" spans="20:20" ht="18.75" customHeight="1" x14ac:dyDescent="0.35">
      <c r="T13468" s="246">
        <f t="shared" si="248"/>
        <v>0</v>
      </c>
    </row>
    <row r="13469" spans="20:20" ht="18.75" customHeight="1" x14ac:dyDescent="0.35">
      <c r="T13469" s="246">
        <f t="shared" si="248"/>
        <v>0</v>
      </c>
    </row>
    <row r="13470" spans="20:20" ht="18.75" customHeight="1" x14ac:dyDescent="0.35">
      <c r="T13470" s="246">
        <f t="shared" si="248"/>
        <v>0</v>
      </c>
    </row>
    <row r="13471" spans="20:20" ht="18.75" customHeight="1" x14ac:dyDescent="0.35">
      <c r="T13471" s="246">
        <f t="shared" si="248"/>
        <v>0</v>
      </c>
    </row>
    <row r="13472" spans="20:20" ht="18.75" customHeight="1" x14ac:dyDescent="0.35">
      <c r="T13472" s="246">
        <f t="shared" si="248"/>
        <v>0</v>
      </c>
    </row>
    <row r="13473" spans="20:20" ht="18.75" customHeight="1" x14ac:dyDescent="0.35">
      <c r="T13473" s="246">
        <f t="shared" si="248"/>
        <v>0</v>
      </c>
    </row>
    <row r="13474" spans="20:20" ht="18.75" customHeight="1" x14ac:dyDescent="0.35">
      <c r="T13474" s="246">
        <f t="shared" si="248"/>
        <v>0</v>
      </c>
    </row>
    <row r="13475" spans="20:20" ht="18.75" customHeight="1" x14ac:dyDescent="0.35">
      <c r="T13475" s="246">
        <f t="shared" si="248"/>
        <v>0</v>
      </c>
    </row>
    <row r="13476" spans="20:20" ht="18.75" customHeight="1" x14ac:dyDescent="0.35">
      <c r="T13476" s="246">
        <f t="shared" si="248"/>
        <v>0</v>
      </c>
    </row>
    <row r="13477" spans="20:20" ht="18.75" customHeight="1" x14ac:dyDescent="0.35">
      <c r="T13477" s="246">
        <f t="shared" si="248"/>
        <v>0</v>
      </c>
    </row>
    <row r="13478" spans="20:20" ht="18.75" customHeight="1" x14ac:dyDescent="0.35">
      <c r="T13478" s="246">
        <f t="shared" si="248"/>
        <v>0</v>
      </c>
    </row>
    <row r="13479" spans="20:20" ht="18.75" customHeight="1" x14ac:dyDescent="0.35">
      <c r="T13479" s="246">
        <f t="shared" si="248"/>
        <v>0</v>
      </c>
    </row>
    <row r="13480" spans="20:20" ht="18.75" customHeight="1" x14ac:dyDescent="0.35">
      <c r="T13480" s="246">
        <f t="shared" si="248"/>
        <v>0</v>
      </c>
    </row>
    <row r="13481" spans="20:20" ht="18.75" customHeight="1" x14ac:dyDescent="0.35">
      <c r="T13481" s="246">
        <f t="shared" si="248"/>
        <v>0</v>
      </c>
    </row>
    <row r="13482" spans="20:20" ht="18.75" customHeight="1" x14ac:dyDescent="0.35">
      <c r="T13482" s="246">
        <f t="shared" si="248"/>
        <v>0</v>
      </c>
    </row>
    <row r="13483" spans="20:20" ht="18.75" customHeight="1" x14ac:dyDescent="0.35">
      <c r="T13483" s="246">
        <f t="shared" si="248"/>
        <v>0</v>
      </c>
    </row>
    <row r="13484" spans="20:20" ht="18.75" customHeight="1" x14ac:dyDescent="0.35">
      <c r="T13484" s="246">
        <f t="shared" si="248"/>
        <v>0</v>
      </c>
    </row>
    <row r="13485" spans="20:20" ht="18.75" customHeight="1" x14ac:dyDescent="0.35">
      <c r="T13485" s="246">
        <f t="shared" si="248"/>
        <v>0</v>
      </c>
    </row>
    <row r="13486" spans="20:20" ht="18.75" customHeight="1" x14ac:dyDescent="0.35">
      <c r="T13486" s="246">
        <f t="shared" si="248"/>
        <v>0</v>
      </c>
    </row>
    <row r="13487" spans="20:20" ht="18.75" customHeight="1" x14ac:dyDescent="0.35">
      <c r="T13487" s="246">
        <f t="shared" si="248"/>
        <v>0</v>
      </c>
    </row>
    <row r="13488" spans="20:20" ht="18.75" customHeight="1" x14ac:dyDescent="0.35">
      <c r="T13488" s="246">
        <f t="shared" si="248"/>
        <v>0</v>
      </c>
    </row>
    <row r="13489" spans="20:20" ht="18.75" customHeight="1" x14ac:dyDescent="0.35">
      <c r="T13489" s="246">
        <f t="shared" si="248"/>
        <v>0</v>
      </c>
    </row>
    <row r="13490" spans="20:20" ht="18.75" customHeight="1" x14ac:dyDescent="0.35">
      <c r="T13490" s="246">
        <f t="shared" si="248"/>
        <v>0</v>
      </c>
    </row>
    <row r="13491" spans="20:20" ht="18.75" customHeight="1" x14ac:dyDescent="0.35">
      <c r="T13491" s="246">
        <f t="shared" si="248"/>
        <v>0</v>
      </c>
    </row>
    <row r="13492" spans="20:20" ht="18.75" customHeight="1" x14ac:dyDescent="0.35">
      <c r="T13492" s="246">
        <f t="shared" si="248"/>
        <v>0</v>
      </c>
    </row>
    <row r="13493" spans="20:20" ht="18.75" customHeight="1" x14ac:dyDescent="0.35">
      <c r="T13493" s="246">
        <f t="shared" si="248"/>
        <v>0</v>
      </c>
    </row>
    <row r="13494" spans="20:20" ht="18.75" customHeight="1" x14ac:dyDescent="0.35">
      <c r="T13494" s="246">
        <f t="shared" si="248"/>
        <v>0</v>
      </c>
    </row>
    <row r="13495" spans="20:20" ht="18.75" customHeight="1" x14ac:dyDescent="0.35">
      <c r="T13495" s="246">
        <f t="shared" si="248"/>
        <v>0</v>
      </c>
    </row>
    <row r="13496" spans="20:20" ht="18.75" customHeight="1" x14ac:dyDescent="0.35">
      <c r="T13496" s="246">
        <f t="shared" si="248"/>
        <v>0</v>
      </c>
    </row>
    <row r="13497" spans="20:20" ht="18.75" customHeight="1" x14ac:dyDescent="0.35">
      <c r="T13497" s="246">
        <f t="shared" si="248"/>
        <v>0</v>
      </c>
    </row>
    <row r="13498" spans="20:20" ht="18.75" customHeight="1" x14ac:dyDescent="0.35">
      <c r="T13498" s="246">
        <f t="shared" si="248"/>
        <v>0</v>
      </c>
    </row>
    <row r="13499" spans="20:20" ht="18.75" customHeight="1" x14ac:dyDescent="0.35">
      <c r="T13499" s="246">
        <f t="shared" si="248"/>
        <v>0</v>
      </c>
    </row>
    <row r="13500" spans="20:20" ht="18.75" customHeight="1" x14ac:dyDescent="0.35">
      <c r="T13500" s="246">
        <f t="shared" ref="T13500:T13563" si="249">R13500*0.01</f>
        <v>0</v>
      </c>
    </row>
    <row r="13501" spans="20:20" ht="18.75" customHeight="1" x14ac:dyDescent="0.35">
      <c r="T13501" s="246">
        <f t="shared" si="249"/>
        <v>0</v>
      </c>
    </row>
    <row r="13502" spans="20:20" ht="18.75" customHeight="1" x14ac:dyDescent="0.35">
      <c r="T13502" s="246">
        <f t="shared" si="249"/>
        <v>0</v>
      </c>
    </row>
    <row r="13503" spans="20:20" ht="18.75" customHeight="1" x14ac:dyDescent="0.35">
      <c r="T13503" s="246">
        <f t="shared" si="249"/>
        <v>0</v>
      </c>
    </row>
    <row r="13504" spans="20:20" ht="18.75" customHeight="1" x14ac:dyDescent="0.35">
      <c r="T13504" s="246">
        <f t="shared" si="249"/>
        <v>0</v>
      </c>
    </row>
    <row r="13505" spans="20:20" ht="18.75" customHeight="1" x14ac:dyDescent="0.35">
      <c r="T13505" s="246">
        <f t="shared" si="249"/>
        <v>0</v>
      </c>
    </row>
    <row r="13506" spans="20:20" ht="18.75" customHeight="1" x14ac:dyDescent="0.35">
      <c r="T13506" s="246">
        <f t="shared" si="249"/>
        <v>0</v>
      </c>
    </row>
    <row r="13507" spans="20:20" ht="18.75" customHeight="1" x14ac:dyDescent="0.35">
      <c r="T13507" s="246">
        <f t="shared" si="249"/>
        <v>0</v>
      </c>
    </row>
    <row r="13508" spans="20:20" ht="18.75" customHeight="1" x14ac:dyDescent="0.35">
      <c r="T13508" s="246">
        <f t="shared" si="249"/>
        <v>0</v>
      </c>
    </row>
    <row r="13509" spans="20:20" ht="18.75" customHeight="1" x14ac:dyDescent="0.35">
      <c r="T13509" s="246">
        <f t="shared" si="249"/>
        <v>0</v>
      </c>
    </row>
    <row r="13510" spans="20:20" ht="18.75" customHeight="1" x14ac:dyDescent="0.35">
      <c r="T13510" s="246">
        <f t="shared" si="249"/>
        <v>0</v>
      </c>
    </row>
    <row r="13511" spans="20:20" ht="18.75" customHeight="1" x14ac:dyDescent="0.35">
      <c r="T13511" s="246">
        <f t="shared" si="249"/>
        <v>0</v>
      </c>
    </row>
    <row r="13512" spans="20:20" ht="18.75" customHeight="1" x14ac:dyDescent="0.35">
      <c r="T13512" s="246">
        <f t="shared" si="249"/>
        <v>0</v>
      </c>
    </row>
    <row r="13513" spans="20:20" ht="18.75" customHeight="1" x14ac:dyDescent="0.35">
      <c r="T13513" s="246">
        <f t="shared" si="249"/>
        <v>0</v>
      </c>
    </row>
    <row r="13514" spans="20:20" ht="18.75" customHeight="1" x14ac:dyDescent="0.35">
      <c r="T13514" s="246">
        <f t="shared" si="249"/>
        <v>0</v>
      </c>
    </row>
    <row r="13515" spans="20:20" ht="18.75" customHeight="1" x14ac:dyDescent="0.35">
      <c r="T13515" s="246">
        <f t="shared" si="249"/>
        <v>0</v>
      </c>
    </row>
    <row r="13516" spans="20:20" ht="18.75" customHeight="1" x14ac:dyDescent="0.35">
      <c r="T13516" s="246">
        <f t="shared" si="249"/>
        <v>0</v>
      </c>
    </row>
    <row r="13517" spans="20:20" ht="18.75" customHeight="1" x14ac:dyDescent="0.35">
      <c r="T13517" s="246">
        <f t="shared" si="249"/>
        <v>0</v>
      </c>
    </row>
    <row r="13518" spans="20:20" ht="18.75" customHeight="1" x14ac:dyDescent="0.35">
      <c r="T13518" s="246">
        <f t="shared" si="249"/>
        <v>0</v>
      </c>
    </row>
    <row r="13519" spans="20:20" ht="18.75" customHeight="1" x14ac:dyDescent="0.35">
      <c r="T13519" s="246">
        <f t="shared" si="249"/>
        <v>0</v>
      </c>
    </row>
    <row r="13520" spans="20:20" ht="18.75" customHeight="1" x14ac:dyDescent="0.35">
      <c r="T13520" s="246">
        <f t="shared" si="249"/>
        <v>0</v>
      </c>
    </row>
    <row r="13521" spans="20:20" ht="18.75" customHeight="1" x14ac:dyDescent="0.35">
      <c r="T13521" s="246">
        <f t="shared" si="249"/>
        <v>0</v>
      </c>
    </row>
    <row r="13522" spans="20:20" ht="18.75" customHeight="1" x14ac:dyDescent="0.35">
      <c r="T13522" s="246">
        <f t="shared" si="249"/>
        <v>0</v>
      </c>
    </row>
    <row r="13523" spans="20:20" ht="18.75" customHeight="1" x14ac:dyDescent="0.35">
      <c r="T13523" s="246">
        <f t="shared" si="249"/>
        <v>0</v>
      </c>
    </row>
    <row r="13524" spans="20:20" ht="18.75" customHeight="1" x14ac:dyDescent="0.35">
      <c r="T13524" s="246">
        <f t="shared" si="249"/>
        <v>0</v>
      </c>
    </row>
    <row r="13525" spans="20:20" ht="18.75" customHeight="1" x14ac:dyDescent="0.35">
      <c r="T13525" s="246">
        <f t="shared" si="249"/>
        <v>0</v>
      </c>
    </row>
    <row r="13526" spans="20:20" ht="18.75" customHeight="1" x14ac:dyDescent="0.35">
      <c r="T13526" s="246">
        <f t="shared" si="249"/>
        <v>0</v>
      </c>
    </row>
    <row r="13527" spans="20:20" ht="18.75" customHeight="1" x14ac:dyDescent="0.35">
      <c r="T13527" s="246">
        <f t="shared" si="249"/>
        <v>0</v>
      </c>
    </row>
    <row r="13528" spans="20:20" ht="18.75" customHeight="1" x14ac:dyDescent="0.35">
      <c r="T13528" s="246">
        <f t="shared" si="249"/>
        <v>0</v>
      </c>
    </row>
    <row r="13529" spans="20:20" ht="18.75" customHeight="1" x14ac:dyDescent="0.35">
      <c r="T13529" s="246">
        <f t="shared" si="249"/>
        <v>0</v>
      </c>
    </row>
    <row r="13530" spans="20:20" ht="18.75" customHeight="1" x14ac:dyDescent="0.35">
      <c r="T13530" s="246">
        <f t="shared" si="249"/>
        <v>0</v>
      </c>
    </row>
    <row r="13531" spans="20:20" ht="18.75" customHeight="1" x14ac:dyDescent="0.35">
      <c r="T13531" s="246">
        <f t="shared" si="249"/>
        <v>0</v>
      </c>
    </row>
    <row r="13532" spans="20:20" ht="18.75" customHeight="1" x14ac:dyDescent="0.35">
      <c r="T13532" s="246">
        <f t="shared" si="249"/>
        <v>0</v>
      </c>
    </row>
    <row r="13533" spans="20:20" ht="18.75" customHeight="1" x14ac:dyDescent="0.35">
      <c r="T13533" s="246">
        <f t="shared" si="249"/>
        <v>0</v>
      </c>
    </row>
    <row r="13534" spans="20:20" ht="18.75" customHeight="1" x14ac:dyDescent="0.35">
      <c r="T13534" s="246">
        <f t="shared" si="249"/>
        <v>0</v>
      </c>
    </row>
    <row r="13535" spans="20:20" ht="18.75" customHeight="1" x14ac:dyDescent="0.35">
      <c r="T13535" s="246">
        <f t="shared" si="249"/>
        <v>0</v>
      </c>
    </row>
    <row r="13536" spans="20:20" ht="18.75" customHeight="1" x14ac:dyDescent="0.35">
      <c r="T13536" s="246">
        <f t="shared" si="249"/>
        <v>0</v>
      </c>
    </row>
    <row r="13537" spans="20:20" ht="18.75" customHeight="1" x14ac:dyDescent="0.35">
      <c r="T13537" s="246">
        <f t="shared" si="249"/>
        <v>0</v>
      </c>
    </row>
    <row r="13538" spans="20:20" ht="18.75" customHeight="1" x14ac:dyDescent="0.35">
      <c r="T13538" s="246">
        <f t="shared" si="249"/>
        <v>0</v>
      </c>
    </row>
    <row r="13539" spans="20:20" ht="18.75" customHeight="1" x14ac:dyDescent="0.35">
      <c r="T13539" s="246">
        <f t="shared" si="249"/>
        <v>0</v>
      </c>
    </row>
    <row r="13540" spans="20:20" ht="18.75" customHeight="1" x14ac:dyDescent="0.35">
      <c r="T13540" s="246">
        <f t="shared" si="249"/>
        <v>0</v>
      </c>
    </row>
    <row r="13541" spans="20:20" ht="18.75" customHeight="1" x14ac:dyDescent="0.35">
      <c r="T13541" s="246">
        <f t="shared" si="249"/>
        <v>0</v>
      </c>
    </row>
    <row r="13542" spans="20:20" ht="18.75" customHeight="1" x14ac:dyDescent="0.35">
      <c r="T13542" s="246">
        <f t="shared" si="249"/>
        <v>0</v>
      </c>
    </row>
    <row r="13543" spans="20:20" ht="18.75" customHeight="1" x14ac:dyDescent="0.35">
      <c r="T13543" s="246">
        <f t="shared" si="249"/>
        <v>0</v>
      </c>
    </row>
    <row r="13544" spans="20:20" ht="18.75" customHeight="1" x14ac:dyDescent="0.35">
      <c r="T13544" s="246">
        <f t="shared" si="249"/>
        <v>0</v>
      </c>
    </row>
    <row r="13545" spans="20:20" ht="18.75" customHeight="1" x14ac:dyDescent="0.35">
      <c r="T13545" s="246">
        <f t="shared" si="249"/>
        <v>0</v>
      </c>
    </row>
    <row r="13546" spans="20:20" ht="18.75" customHeight="1" x14ac:dyDescent="0.35">
      <c r="T13546" s="246">
        <f t="shared" si="249"/>
        <v>0</v>
      </c>
    </row>
    <row r="13547" spans="20:20" ht="18.75" customHeight="1" x14ac:dyDescent="0.35">
      <c r="T13547" s="246">
        <f t="shared" si="249"/>
        <v>0</v>
      </c>
    </row>
    <row r="13548" spans="20:20" ht="18.75" customHeight="1" x14ac:dyDescent="0.35">
      <c r="T13548" s="246">
        <f t="shared" si="249"/>
        <v>0</v>
      </c>
    </row>
    <row r="13549" spans="20:20" ht="18.75" customHeight="1" x14ac:dyDescent="0.35">
      <c r="T13549" s="246">
        <f t="shared" si="249"/>
        <v>0</v>
      </c>
    </row>
    <row r="13550" spans="20:20" ht="18.75" customHeight="1" x14ac:dyDescent="0.35">
      <c r="T13550" s="246">
        <f t="shared" si="249"/>
        <v>0</v>
      </c>
    </row>
    <row r="13551" spans="20:20" ht="18.75" customHeight="1" x14ac:dyDescent="0.35">
      <c r="T13551" s="246">
        <f t="shared" si="249"/>
        <v>0</v>
      </c>
    </row>
    <row r="13552" spans="20:20" ht="18.75" customHeight="1" x14ac:dyDescent="0.35">
      <c r="T13552" s="246">
        <f t="shared" si="249"/>
        <v>0</v>
      </c>
    </row>
    <row r="13553" spans="20:20" ht="18.75" customHeight="1" x14ac:dyDescent="0.35">
      <c r="T13553" s="246">
        <f t="shared" si="249"/>
        <v>0</v>
      </c>
    </row>
    <row r="13554" spans="20:20" ht="18.75" customHeight="1" x14ac:dyDescent="0.35">
      <c r="T13554" s="246">
        <f t="shared" si="249"/>
        <v>0</v>
      </c>
    </row>
    <row r="13555" spans="20:20" ht="18.75" customHeight="1" x14ac:dyDescent="0.35">
      <c r="T13555" s="246">
        <f t="shared" si="249"/>
        <v>0</v>
      </c>
    </row>
    <row r="13556" spans="20:20" ht="18.75" customHeight="1" x14ac:dyDescent="0.35">
      <c r="T13556" s="246">
        <f t="shared" si="249"/>
        <v>0</v>
      </c>
    </row>
    <row r="13557" spans="20:20" ht="18.75" customHeight="1" x14ac:dyDescent="0.35">
      <c r="T13557" s="246">
        <f t="shared" si="249"/>
        <v>0</v>
      </c>
    </row>
    <row r="13558" spans="20:20" ht="18.75" customHeight="1" x14ac:dyDescent="0.35">
      <c r="T13558" s="246">
        <f t="shared" si="249"/>
        <v>0</v>
      </c>
    </row>
    <row r="13559" spans="20:20" ht="18.75" customHeight="1" x14ac:dyDescent="0.35">
      <c r="T13559" s="246">
        <f t="shared" si="249"/>
        <v>0</v>
      </c>
    </row>
    <row r="13560" spans="20:20" ht="18.75" customHeight="1" x14ac:dyDescent="0.35">
      <c r="T13560" s="246">
        <f t="shared" si="249"/>
        <v>0</v>
      </c>
    </row>
    <row r="13561" spans="20:20" ht="18.75" customHeight="1" x14ac:dyDescent="0.35">
      <c r="T13561" s="246">
        <f t="shared" si="249"/>
        <v>0</v>
      </c>
    </row>
    <row r="13562" spans="20:20" ht="18.75" customHeight="1" x14ac:dyDescent="0.35">
      <c r="T13562" s="246">
        <f t="shared" si="249"/>
        <v>0</v>
      </c>
    </row>
    <row r="13563" spans="20:20" ht="18.75" customHeight="1" x14ac:dyDescent="0.35">
      <c r="T13563" s="246">
        <f t="shared" si="249"/>
        <v>0</v>
      </c>
    </row>
    <row r="13564" spans="20:20" ht="18.75" customHeight="1" x14ac:dyDescent="0.35">
      <c r="T13564" s="246">
        <f t="shared" ref="T13564:T13627" si="250">R13564*0.01</f>
        <v>0</v>
      </c>
    </row>
    <row r="13565" spans="20:20" ht="18.75" customHeight="1" x14ac:dyDescent="0.35">
      <c r="T13565" s="246">
        <f t="shared" si="250"/>
        <v>0</v>
      </c>
    </row>
    <row r="13566" spans="20:20" ht="18.75" customHeight="1" x14ac:dyDescent="0.35">
      <c r="T13566" s="246">
        <f t="shared" si="250"/>
        <v>0</v>
      </c>
    </row>
    <row r="13567" spans="20:20" ht="18.75" customHeight="1" x14ac:dyDescent="0.35">
      <c r="T13567" s="246">
        <f t="shared" si="250"/>
        <v>0</v>
      </c>
    </row>
    <row r="13568" spans="20:20" ht="18.75" customHeight="1" x14ac:dyDescent="0.35">
      <c r="T13568" s="246">
        <f t="shared" si="250"/>
        <v>0</v>
      </c>
    </row>
    <row r="13569" spans="20:20" ht="18.75" customHeight="1" x14ac:dyDescent="0.35">
      <c r="T13569" s="246">
        <f t="shared" si="250"/>
        <v>0</v>
      </c>
    </row>
    <row r="13570" spans="20:20" ht="18.75" customHeight="1" x14ac:dyDescent="0.35">
      <c r="T13570" s="246">
        <f t="shared" si="250"/>
        <v>0</v>
      </c>
    </row>
    <row r="13571" spans="20:20" ht="18.75" customHeight="1" x14ac:dyDescent="0.35">
      <c r="T13571" s="246">
        <f t="shared" si="250"/>
        <v>0</v>
      </c>
    </row>
    <row r="13572" spans="20:20" ht="18.75" customHeight="1" x14ac:dyDescent="0.35">
      <c r="T13572" s="246">
        <f t="shared" si="250"/>
        <v>0</v>
      </c>
    </row>
    <row r="13573" spans="20:20" ht="18.75" customHeight="1" x14ac:dyDescent="0.35">
      <c r="T13573" s="246">
        <f t="shared" si="250"/>
        <v>0</v>
      </c>
    </row>
    <row r="13574" spans="20:20" ht="18.75" customHeight="1" x14ac:dyDescent="0.35">
      <c r="T13574" s="246">
        <f t="shared" si="250"/>
        <v>0</v>
      </c>
    </row>
    <row r="13575" spans="20:20" ht="18.75" customHeight="1" x14ac:dyDescent="0.35">
      <c r="T13575" s="246">
        <f t="shared" si="250"/>
        <v>0</v>
      </c>
    </row>
    <row r="13576" spans="20:20" ht="18.75" customHeight="1" x14ac:dyDescent="0.35">
      <c r="T13576" s="246">
        <f t="shared" si="250"/>
        <v>0</v>
      </c>
    </row>
    <row r="13577" spans="20:20" ht="18.75" customHeight="1" x14ac:dyDescent="0.35">
      <c r="T13577" s="246">
        <f t="shared" si="250"/>
        <v>0</v>
      </c>
    </row>
    <row r="13578" spans="20:20" ht="18.75" customHeight="1" x14ac:dyDescent="0.35">
      <c r="T13578" s="246">
        <f t="shared" si="250"/>
        <v>0</v>
      </c>
    </row>
    <row r="13579" spans="20:20" ht="18.75" customHeight="1" x14ac:dyDescent="0.35">
      <c r="T13579" s="246">
        <f t="shared" si="250"/>
        <v>0</v>
      </c>
    </row>
    <row r="13580" spans="20:20" ht="18.75" customHeight="1" x14ac:dyDescent="0.35">
      <c r="T13580" s="246">
        <f t="shared" si="250"/>
        <v>0</v>
      </c>
    </row>
    <row r="13581" spans="20:20" ht="18.75" customHeight="1" x14ac:dyDescent="0.35">
      <c r="T13581" s="246">
        <f t="shared" si="250"/>
        <v>0</v>
      </c>
    </row>
    <row r="13582" spans="20:20" ht="18.75" customHeight="1" x14ac:dyDescent="0.35">
      <c r="T13582" s="246">
        <f t="shared" si="250"/>
        <v>0</v>
      </c>
    </row>
    <row r="13583" spans="20:20" ht="18.75" customHeight="1" x14ac:dyDescent="0.35">
      <c r="T13583" s="246">
        <f t="shared" si="250"/>
        <v>0</v>
      </c>
    </row>
    <row r="13584" spans="20:20" ht="18.75" customHeight="1" x14ac:dyDescent="0.35">
      <c r="T13584" s="246">
        <f t="shared" si="250"/>
        <v>0</v>
      </c>
    </row>
    <row r="13585" spans="20:20" ht="18.75" customHeight="1" x14ac:dyDescent="0.35">
      <c r="T13585" s="246">
        <f t="shared" si="250"/>
        <v>0</v>
      </c>
    </row>
    <row r="13586" spans="20:20" ht="18.75" customHeight="1" x14ac:dyDescent="0.35">
      <c r="T13586" s="246">
        <f t="shared" si="250"/>
        <v>0</v>
      </c>
    </row>
    <row r="13587" spans="20:20" ht="18.75" customHeight="1" x14ac:dyDescent="0.35">
      <c r="T13587" s="246">
        <f t="shared" si="250"/>
        <v>0</v>
      </c>
    </row>
    <row r="13588" spans="20:20" ht="18.75" customHeight="1" x14ac:dyDescent="0.35">
      <c r="T13588" s="246">
        <f t="shared" si="250"/>
        <v>0</v>
      </c>
    </row>
    <row r="13589" spans="20:20" ht="18.75" customHeight="1" x14ac:dyDescent="0.35">
      <c r="T13589" s="246">
        <f t="shared" si="250"/>
        <v>0</v>
      </c>
    </row>
    <row r="13590" spans="20:20" ht="18.75" customHeight="1" x14ac:dyDescent="0.35">
      <c r="T13590" s="246">
        <f t="shared" si="250"/>
        <v>0</v>
      </c>
    </row>
    <row r="13591" spans="20:20" ht="18.75" customHeight="1" x14ac:dyDescent="0.35">
      <c r="T13591" s="246">
        <f t="shared" si="250"/>
        <v>0</v>
      </c>
    </row>
    <row r="13592" spans="20:20" ht="18.75" customHeight="1" x14ac:dyDescent="0.35">
      <c r="T13592" s="246">
        <f t="shared" si="250"/>
        <v>0</v>
      </c>
    </row>
    <row r="13593" spans="20:20" ht="18.75" customHeight="1" x14ac:dyDescent="0.35">
      <c r="T13593" s="246">
        <f t="shared" si="250"/>
        <v>0</v>
      </c>
    </row>
    <row r="13594" spans="20:20" ht="18.75" customHeight="1" x14ac:dyDescent="0.35">
      <c r="T13594" s="246">
        <f t="shared" si="250"/>
        <v>0</v>
      </c>
    </row>
    <row r="13595" spans="20:20" ht="18.75" customHeight="1" x14ac:dyDescent="0.35">
      <c r="T13595" s="246">
        <f t="shared" si="250"/>
        <v>0</v>
      </c>
    </row>
    <row r="13596" spans="20:20" ht="18.75" customHeight="1" x14ac:dyDescent="0.35">
      <c r="T13596" s="246">
        <f t="shared" si="250"/>
        <v>0</v>
      </c>
    </row>
    <row r="13597" spans="20:20" ht="18.75" customHeight="1" x14ac:dyDescent="0.35">
      <c r="T13597" s="246">
        <f t="shared" si="250"/>
        <v>0</v>
      </c>
    </row>
    <row r="13598" spans="20:20" ht="18.75" customHeight="1" x14ac:dyDescent="0.35">
      <c r="T13598" s="246">
        <f t="shared" si="250"/>
        <v>0</v>
      </c>
    </row>
    <row r="13599" spans="20:20" ht="18.75" customHeight="1" x14ac:dyDescent="0.35">
      <c r="T13599" s="246">
        <f t="shared" si="250"/>
        <v>0</v>
      </c>
    </row>
    <row r="13600" spans="20:20" ht="18.75" customHeight="1" x14ac:dyDescent="0.35">
      <c r="T13600" s="246">
        <f t="shared" si="250"/>
        <v>0</v>
      </c>
    </row>
    <row r="13601" spans="20:20" ht="18.75" customHeight="1" x14ac:dyDescent="0.35">
      <c r="T13601" s="246">
        <f t="shared" si="250"/>
        <v>0</v>
      </c>
    </row>
    <row r="13602" spans="20:20" ht="18.75" customHeight="1" x14ac:dyDescent="0.35">
      <c r="T13602" s="246">
        <f t="shared" si="250"/>
        <v>0</v>
      </c>
    </row>
    <row r="13603" spans="20:20" ht="18.75" customHeight="1" x14ac:dyDescent="0.35">
      <c r="T13603" s="246">
        <f t="shared" si="250"/>
        <v>0</v>
      </c>
    </row>
    <row r="13604" spans="20:20" ht="18.75" customHeight="1" x14ac:dyDescent="0.35">
      <c r="T13604" s="246">
        <f t="shared" si="250"/>
        <v>0</v>
      </c>
    </row>
    <row r="13605" spans="20:20" ht="18.75" customHeight="1" x14ac:dyDescent="0.35">
      <c r="T13605" s="246">
        <f t="shared" si="250"/>
        <v>0</v>
      </c>
    </row>
    <row r="13606" spans="20:20" ht="18.75" customHeight="1" x14ac:dyDescent="0.35">
      <c r="T13606" s="246">
        <f t="shared" si="250"/>
        <v>0</v>
      </c>
    </row>
    <row r="13607" spans="20:20" ht="18.75" customHeight="1" x14ac:dyDescent="0.35">
      <c r="T13607" s="246">
        <f t="shared" si="250"/>
        <v>0</v>
      </c>
    </row>
    <row r="13608" spans="20:20" ht="18.75" customHeight="1" x14ac:dyDescent="0.35">
      <c r="T13608" s="246">
        <f t="shared" si="250"/>
        <v>0</v>
      </c>
    </row>
    <row r="13609" spans="20:20" ht="18.75" customHeight="1" x14ac:dyDescent="0.35">
      <c r="T13609" s="246">
        <f t="shared" si="250"/>
        <v>0</v>
      </c>
    </row>
    <row r="13610" spans="20:20" ht="18.75" customHeight="1" x14ac:dyDescent="0.35">
      <c r="T13610" s="246">
        <f t="shared" si="250"/>
        <v>0</v>
      </c>
    </row>
    <row r="13611" spans="20:20" ht="18.75" customHeight="1" x14ac:dyDescent="0.35">
      <c r="T13611" s="246">
        <f t="shared" si="250"/>
        <v>0</v>
      </c>
    </row>
    <row r="13612" spans="20:20" ht="18.75" customHeight="1" x14ac:dyDescent="0.35">
      <c r="T13612" s="246">
        <f t="shared" si="250"/>
        <v>0</v>
      </c>
    </row>
    <row r="13613" spans="20:20" ht="18.75" customHeight="1" x14ac:dyDescent="0.35">
      <c r="T13613" s="246">
        <f t="shared" si="250"/>
        <v>0</v>
      </c>
    </row>
    <row r="13614" spans="20:20" ht="18.75" customHeight="1" x14ac:dyDescent="0.35">
      <c r="T13614" s="246">
        <f t="shared" si="250"/>
        <v>0</v>
      </c>
    </row>
    <row r="13615" spans="20:20" ht="18.75" customHeight="1" x14ac:dyDescent="0.35">
      <c r="T13615" s="246">
        <f t="shared" si="250"/>
        <v>0</v>
      </c>
    </row>
    <row r="13616" spans="20:20" ht="18.75" customHeight="1" x14ac:dyDescent="0.35">
      <c r="T13616" s="246">
        <f t="shared" si="250"/>
        <v>0</v>
      </c>
    </row>
    <row r="13617" spans="20:20" ht="18.75" customHeight="1" x14ac:dyDescent="0.35">
      <c r="T13617" s="246">
        <f t="shared" si="250"/>
        <v>0</v>
      </c>
    </row>
    <row r="13618" spans="20:20" ht="18.75" customHeight="1" x14ac:dyDescent="0.35">
      <c r="T13618" s="246">
        <f t="shared" si="250"/>
        <v>0</v>
      </c>
    </row>
    <row r="13619" spans="20:20" ht="18.75" customHeight="1" x14ac:dyDescent="0.35">
      <c r="T13619" s="246">
        <f t="shared" si="250"/>
        <v>0</v>
      </c>
    </row>
    <row r="13620" spans="20:20" ht="18.75" customHeight="1" x14ac:dyDescent="0.35">
      <c r="T13620" s="246">
        <f t="shared" si="250"/>
        <v>0</v>
      </c>
    </row>
    <row r="13621" spans="20:20" ht="18.75" customHeight="1" x14ac:dyDescent="0.35">
      <c r="T13621" s="246">
        <f t="shared" si="250"/>
        <v>0</v>
      </c>
    </row>
    <row r="13622" spans="20:20" ht="18.75" customHeight="1" x14ac:dyDescent="0.35">
      <c r="T13622" s="246">
        <f t="shared" si="250"/>
        <v>0</v>
      </c>
    </row>
    <row r="13623" spans="20:20" ht="18.75" customHeight="1" x14ac:dyDescent="0.35">
      <c r="T13623" s="246">
        <f t="shared" si="250"/>
        <v>0</v>
      </c>
    </row>
    <row r="13624" spans="20:20" ht="18.75" customHeight="1" x14ac:dyDescent="0.35">
      <c r="T13624" s="246">
        <f t="shared" si="250"/>
        <v>0</v>
      </c>
    </row>
    <row r="13625" spans="20:20" ht="18.75" customHeight="1" x14ac:dyDescent="0.35">
      <c r="T13625" s="246">
        <f t="shared" si="250"/>
        <v>0</v>
      </c>
    </row>
    <row r="13626" spans="20:20" ht="18.75" customHeight="1" x14ac:dyDescent="0.35">
      <c r="T13626" s="246">
        <f t="shared" si="250"/>
        <v>0</v>
      </c>
    </row>
    <row r="13627" spans="20:20" ht="18.75" customHeight="1" x14ac:dyDescent="0.35">
      <c r="T13627" s="246">
        <f t="shared" si="250"/>
        <v>0</v>
      </c>
    </row>
    <row r="13628" spans="20:20" ht="18.75" customHeight="1" x14ac:dyDescent="0.35">
      <c r="T13628" s="246">
        <f t="shared" ref="T13628:T13691" si="251">R13628*0.01</f>
        <v>0</v>
      </c>
    </row>
    <row r="13629" spans="20:20" ht="18.75" customHeight="1" x14ac:dyDescent="0.35">
      <c r="T13629" s="246">
        <f t="shared" si="251"/>
        <v>0</v>
      </c>
    </row>
    <row r="13630" spans="20:20" ht="18.75" customHeight="1" x14ac:dyDescent="0.35">
      <c r="T13630" s="246">
        <f t="shared" si="251"/>
        <v>0</v>
      </c>
    </row>
    <row r="13631" spans="20:20" ht="18.75" customHeight="1" x14ac:dyDescent="0.35">
      <c r="T13631" s="246">
        <f t="shared" si="251"/>
        <v>0</v>
      </c>
    </row>
    <row r="13632" spans="20:20" ht="18.75" customHeight="1" x14ac:dyDescent="0.35">
      <c r="T13632" s="246">
        <f t="shared" si="251"/>
        <v>0</v>
      </c>
    </row>
    <row r="13633" spans="20:20" ht="18.75" customHeight="1" x14ac:dyDescent="0.35">
      <c r="T13633" s="246">
        <f t="shared" si="251"/>
        <v>0</v>
      </c>
    </row>
    <row r="13634" spans="20:20" ht="18.75" customHeight="1" x14ac:dyDescent="0.35">
      <c r="T13634" s="246">
        <f t="shared" si="251"/>
        <v>0</v>
      </c>
    </row>
    <row r="13635" spans="20:20" ht="18.75" customHeight="1" x14ac:dyDescent="0.35">
      <c r="T13635" s="246">
        <f t="shared" si="251"/>
        <v>0</v>
      </c>
    </row>
    <row r="13636" spans="20:20" ht="18.75" customHeight="1" x14ac:dyDescent="0.35">
      <c r="T13636" s="246">
        <f t="shared" si="251"/>
        <v>0</v>
      </c>
    </row>
    <row r="13637" spans="20:20" ht="18.75" customHeight="1" x14ac:dyDescent="0.35">
      <c r="T13637" s="246">
        <f t="shared" si="251"/>
        <v>0</v>
      </c>
    </row>
    <row r="13638" spans="20:20" ht="18.75" customHeight="1" x14ac:dyDescent="0.35">
      <c r="T13638" s="246">
        <f t="shared" si="251"/>
        <v>0</v>
      </c>
    </row>
    <row r="13639" spans="20:20" ht="18.75" customHeight="1" x14ac:dyDescent="0.35">
      <c r="T13639" s="246">
        <f t="shared" si="251"/>
        <v>0</v>
      </c>
    </row>
    <row r="13640" spans="20:20" ht="18.75" customHeight="1" x14ac:dyDescent="0.35">
      <c r="T13640" s="246">
        <f t="shared" si="251"/>
        <v>0</v>
      </c>
    </row>
    <row r="13641" spans="20:20" ht="18.75" customHeight="1" x14ac:dyDescent="0.35">
      <c r="T13641" s="246">
        <f t="shared" si="251"/>
        <v>0</v>
      </c>
    </row>
    <row r="13642" spans="20:20" ht="18.75" customHeight="1" x14ac:dyDescent="0.35">
      <c r="T13642" s="246">
        <f t="shared" si="251"/>
        <v>0</v>
      </c>
    </row>
    <row r="13643" spans="20:20" ht="18.75" customHeight="1" x14ac:dyDescent="0.35">
      <c r="T13643" s="246">
        <f t="shared" si="251"/>
        <v>0</v>
      </c>
    </row>
    <row r="13644" spans="20:20" ht="18.75" customHeight="1" x14ac:dyDescent="0.35">
      <c r="T13644" s="246">
        <f t="shared" si="251"/>
        <v>0</v>
      </c>
    </row>
    <row r="13645" spans="20:20" ht="18.75" customHeight="1" x14ac:dyDescent="0.35">
      <c r="T13645" s="246">
        <f t="shared" si="251"/>
        <v>0</v>
      </c>
    </row>
    <row r="13646" spans="20:20" ht="18.75" customHeight="1" x14ac:dyDescent="0.35">
      <c r="T13646" s="246">
        <f t="shared" si="251"/>
        <v>0</v>
      </c>
    </row>
    <row r="13647" spans="20:20" ht="18.75" customHeight="1" x14ac:dyDescent="0.35">
      <c r="T13647" s="246">
        <f t="shared" si="251"/>
        <v>0</v>
      </c>
    </row>
    <row r="13648" spans="20:20" ht="18.75" customHeight="1" x14ac:dyDescent="0.35">
      <c r="T13648" s="246">
        <f t="shared" si="251"/>
        <v>0</v>
      </c>
    </row>
    <row r="13649" spans="20:20" ht="18.75" customHeight="1" x14ac:dyDescent="0.35">
      <c r="T13649" s="246">
        <f t="shared" si="251"/>
        <v>0</v>
      </c>
    </row>
    <row r="13650" spans="20:20" ht="18.75" customHeight="1" x14ac:dyDescent="0.35">
      <c r="T13650" s="246">
        <f t="shared" si="251"/>
        <v>0</v>
      </c>
    </row>
    <row r="13651" spans="20:20" ht="18.75" customHeight="1" x14ac:dyDescent="0.35">
      <c r="T13651" s="246">
        <f t="shared" si="251"/>
        <v>0</v>
      </c>
    </row>
    <row r="13652" spans="20:20" ht="18.75" customHeight="1" x14ac:dyDescent="0.35">
      <c r="T13652" s="246">
        <f t="shared" si="251"/>
        <v>0</v>
      </c>
    </row>
    <row r="13653" spans="20:20" ht="18.75" customHeight="1" x14ac:dyDescent="0.35">
      <c r="T13653" s="246">
        <f t="shared" si="251"/>
        <v>0</v>
      </c>
    </row>
    <row r="13654" spans="20:20" ht="18.75" customHeight="1" x14ac:dyDescent="0.35">
      <c r="T13654" s="246">
        <f t="shared" si="251"/>
        <v>0</v>
      </c>
    </row>
    <row r="13655" spans="20:20" ht="18.75" customHeight="1" x14ac:dyDescent="0.35">
      <c r="T13655" s="246">
        <f t="shared" si="251"/>
        <v>0</v>
      </c>
    </row>
    <row r="13656" spans="20:20" ht="18.75" customHeight="1" x14ac:dyDescent="0.35">
      <c r="T13656" s="246">
        <f t="shared" si="251"/>
        <v>0</v>
      </c>
    </row>
    <row r="13657" spans="20:20" ht="18.75" customHeight="1" x14ac:dyDescent="0.35">
      <c r="T13657" s="246">
        <f t="shared" si="251"/>
        <v>0</v>
      </c>
    </row>
    <row r="13658" spans="20:20" ht="18.75" customHeight="1" x14ac:dyDescent="0.35">
      <c r="T13658" s="246">
        <f t="shared" si="251"/>
        <v>0</v>
      </c>
    </row>
    <row r="13659" spans="20:20" ht="18.75" customHeight="1" x14ac:dyDescent="0.35">
      <c r="T13659" s="246">
        <f t="shared" si="251"/>
        <v>0</v>
      </c>
    </row>
    <row r="13660" spans="20:20" ht="18.75" customHeight="1" x14ac:dyDescent="0.35">
      <c r="T13660" s="246">
        <f t="shared" si="251"/>
        <v>0</v>
      </c>
    </row>
    <row r="13661" spans="20:20" ht="18.75" customHeight="1" x14ac:dyDescent="0.35">
      <c r="T13661" s="246">
        <f t="shared" si="251"/>
        <v>0</v>
      </c>
    </row>
    <row r="13662" spans="20:20" ht="18.75" customHeight="1" x14ac:dyDescent="0.35">
      <c r="T13662" s="246">
        <f t="shared" si="251"/>
        <v>0</v>
      </c>
    </row>
    <row r="13663" spans="20:20" ht="18.75" customHeight="1" x14ac:dyDescent="0.35">
      <c r="T13663" s="246">
        <f t="shared" si="251"/>
        <v>0</v>
      </c>
    </row>
    <row r="13664" spans="20:20" ht="18.75" customHeight="1" x14ac:dyDescent="0.35">
      <c r="T13664" s="246">
        <f t="shared" si="251"/>
        <v>0</v>
      </c>
    </row>
    <row r="13665" spans="20:20" ht="18.75" customHeight="1" x14ac:dyDescent="0.35">
      <c r="T13665" s="246">
        <f t="shared" si="251"/>
        <v>0</v>
      </c>
    </row>
    <row r="13666" spans="20:20" ht="18.75" customHeight="1" x14ac:dyDescent="0.35">
      <c r="T13666" s="246">
        <f t="shared" si="251"/>
        <v>0</v>
      </c>
    </row>
    <row r="13667" spans="20:20" ht="18.75" customHeight="1" x14ac:dyDescent="0.35">
      <c r="T13667" s="246">
        <f t="shared" si="251"/>
        <v>0</v>
      </c>
    </row>
    <row r="13668" spans="20:20" ht="18.75" customHeight="1" x14ac:dyDescent="0.35">
      <c r="T13668" s="246">
        <f t="shared" si="251"/>
        <v>0</v>
      </c>
    </row>
    <row r="13669" spans="20:20" ht="18.75" customHeight="1" x14ac:dyDescent="0.35">
      <c r="T13669" s="246">
        <f t="shared" si="251"/>
        <v>0</v>
      </c>
    </row>
    <row r="13670" spans="20:20" ht="18.75" customHeight="1" x14ac:dyDescent="0.35">
      <c r="T13670" s="246">
        <f t="shared" si="251"/>
        <v>0</v>
      </c>
    </row>
    <row r="13671" spans="20:20" ht="18.75" customHeight="1" x14ac:dyDescent="0.35">
      <c r="T13671" s="246">
        <f t="shared" si="251"/>
        <v>0</v>
      </c>
    </row>
    <row r="13672" spans="20:20" ht="18.75" customHeight="1" x14ac:dyDescent="0.35">
      <c r="T13672" s="246">
        <f t="shared" si="251"/>
        <v>0</v>
      </c>
    </row>
    <row r="13673" spans="20:20" ht="18.75" customHeight="1" x14ac:dyDescent="0.35">
      <c r="T13673" s="246">
        <f t="shared" si="251"/>
        <v>0</v>
      </c>
    </row>
    <row r="13674" spans="20:20" ht="18.75" customHeight="1" x14ac:dyDescent="0.35">
      <c r="T13674" s="246">
        <f t="shared" si="251"/>
        <v>0</v>
      </c>
    </row>
    <row r="13675" spans="20:20" ht="18.75" customHeight="1" x14ac:dyDescent="0.35">
      <c r="T13675" s="246">
        <f t="shared" si="251"/>
        <v>0</v>
      </c>
    </row>
    <row r="13676" spans="20:20" ht="18.75" customHeight="1" x14ac:dyDescent="0.35">
      <c r="T13676" s="246">
        <f t="shared" si="251"/>
        <v>0</v>
      </c>
    </row>
    <row r="13677" spans="20:20" ht="18.75" customHeight="1" x14ac:dyDescent="0.35">
      <c r="T13677" s="246">
        <f t="shared" si="251"/>
        <v>0</v>
      </c>
    </row>
    <row r="13678" spans="20:20" ht="18.75" customHeight="1" x14ac:dyDescent="0.35">
      <c r="T13678" s="246">
        <f t="shared" si="251"/>
        <v>0</v>
      </c>
    </row>
    <row r="13679" spans="20:20" ht="18.75" customHeight="1" x14ac:dyDescent="0.35">
      <c r="T13679" s="246">
        <f t="shared" si="251"/>
        <v>0</v>
      </c>
    </row>
    <row r="13680" spans="20:20" ht="18.75" customHeight="1" x14ac:dyDescent="0.35">
      <c r="T13680" s="246">
        <f t="shared" si="251"/>
        <v>0</v>
      </c>
    </row>
    <row r="13681" spans="20:20" ht="18.75" customHeight="1" x14ac:dyDescent="0.35">
      <c r="T13681" s="246">
        <f t="shared" si="251"/>
        <v>0</v>
      </c>
    </row>
    <row r="13682" spans="20:20" ht="18.75" customHeight="1" x14ac:dyDescent="0.35">
      <c r="T13682" s="246">
        <f t="shared" si="251"/>
        <v>0</v>
      </c>
    </row>
    <row r="13683" spans="20:20" ht="18.75" customHeight="1" x14ac:dyDescent="0.35">
      <c r="T13683" s="246">
        <f t="shared" si="251"/>
        <v>0</v>
      </c>
    </row>
    <row r="13684" spans="20:20" ht="18.75" customHeight="1" x14ac:dyDescent="0.35">
      <c r="T13684" s="246">
        <f t="shared" si="251"/>
        <v>0</v>
      </c>
    </row>
    <row r="13685" spans="20:20" ht="18.75" customHeight="1" x14ac:dyDescent="0.35">
      <c r="T13685" s="246">
        <f t="shared" si="251"/>
        <v>0</v>
      </c>
    </row>
    <row r="13686" spans="20:20" ht="18.75" customHeight="1" x14ac:dyDescent="0.35">
      <c r="T13686" s="246">
        <f t="shared" si="251"/>
        <v>0</v>
      </c>
    </row>
    <row r="13687" spans="20:20" ht="18.75" customHeight="1" x14ac:dyDescent="0.35">
      <c r="T13687" s="246">
        <f t="shared" si="251"/>
        <v>0</v>
      </c>
    </row>
    <row r="13688" spans="20:20" ht="18.75" customHeight="1" x14ac:dyDescent="0.35">
      <c r="T13688" s="246">
        <f t="shared" si="251"/>
        <v>0</v>
      </c>
    </row>
    <row r="13689" spans="20:20" ht="18.75" customHeight="1" x14ac:dyDescent="0.35">
      <c r="T13689" s="246">
        <f t="shared" si="251"/>
        <v>0</v>
      </c>
    </row>
    <row r="13690" spans="20:20" ht="18.75" customHeight="1" x14ac:dyDescent="0.35">
      <c r="T13690" s="246">
        <f t="shared" si="251"/>
        <v>0</v>
      </c>
    </row>
    <row r="13691" spans="20:20" ht="18.75" customHeight="1" x14ac:dyDescent="0.35">
      <c r="T13691" s="246">
        <f t="shared" si="251"/>
        <v>0</v>
      </c>
    </row>
    <row r="13692" spans="20:20" ht="18.75" customHeight="1" x14ac:dyDescent="0.35">
      <c r="T13692" s="246">
        <f t="shared" ref="T13692:T13755" si="252">R13692*0.01</f>
        <v>0</v>
      </c>
    </row>
    <row r="13693" spans="20:20" ht="18.75" customHeight="1" x14ac:dyDescent="0.35">
      <c r="T13693" s="246">
        <f t="shared" si="252"/>
        <v>0</v>
      </c>
    </row>
    <row r="13694" spans="20:20" ht="18.75" customHeight="1" x14ac:dyDescent="0.35">
      <c r="T13694" s="246">
        <f t="shared" si="252"/>
        <v>0</v>
      </c>
    </row>
    <row r="13695" spans="20:20" ht="18.75" customHeight="1" x14ac:dyDescent="0.35">
      <c r="T13695" s="246">
        <f t="shared" si="252"/>
        <v>0</v>
      </c>
    </row>
    <row r="13696" spans="20:20" ht="18.75" customHeight="1" x14ac:dyDescent="0.35">
      <c r="T13696" s="246">
        <f t="shared" si="252"/>
        <v>0</v>
      </c>
    </row>
    <row r="13697" spans="20:20" ht="18.75" customHeight="1" x14ac:dyDescent="0.35">
      <c r="T13697" s="246">
        <f t="shared" si="252"/>
        <v>0</v>
      </c>
    </row>
    <row r="13698" spans="20:20" ht="18.75" customHeight="1" x14ac:dyDescent="0.35">
      <c r="T13698" s="246">
        <f t="shared" si="252"/>
        <v>0</v>
      </c>
    </row>
    <row r="13699" spans="20:20" ht="18.75" customHeight="1" x14ac:dyDescent="0.35">
      <c r="T13699" s="246">
        <f t="shared" si="252"/>
        <v>0</v>
      </c>
    </row>
    <row r="13700" spans="20:20" ht="18.75" customHeight="1" x14ac:dyDescent="0.35">
      <c r="T13700" s="246">
        <f t="shared" si="252"/>
        <v>0</v>
      </c>
    </row>
    <row r="13701" spans="20:20" ht="18.75" customHeight="1" x14ac:dyDescent="0.35">
      <c r="T13701" s="246">
        <f t="shared" si="252"/>
        <v>0</v>
      </c>
    </row>
    <row r="13702" spans="20:20" ht="18.75" customHeight="1" x14ac:dyDescent="0.35">
      <c r="T13702" s="246">
        <f t="shared" si="252"/>
        <v>0</v>
      </c>
    </row>
    <row r="13703" spans="20:20" ht="18.75" customHeight="1" x14ac:dyDescent="0.35">
      <c r="T13703" s="246">
        <f t="shared" si="252"/>
        <v>0</v>
      </c>
    </row>
    <row r="13704" spans="20:20" ht="18.75" customHeight="1" x14ac:dyDescent="0.35">
      <c r="T13704" s="246">
        <f t="shared" si="252"/>
        <v>0</v>
      </c>
    </row>
    <row r="13705" spans="20:20" ht="18.75" customHeight="1" x14ac:dyDescent="0.35">
      <c r="T13705" s="246">
        <f t="shared" si="252"/>
        <v>0</v>
      </c>
    </row>
    <row r="13706" spans="20:20" ht="18.75" customHeight="1" x14ac:dyDescent="0.35">
      <c r="T13706" s="246">
        <f t="shared" si="252"/>
        <v>0</v>
      </c>
    </row>
    <row r="13707" spans="20:20" ht="18.75" customHeight="1" x14ac:dyDescent="0.35">
      <c r="T13707" s="246">
        <f t="shared" si="252"/>
        <v>0</v>
      </c>
    </row>
    <row r="13708" spans="20:20" ht="18.75" customHeight="1" x14ac:dyDescent="0.35">
      <c r="T13708" s="246">
        <f t="shared" si="252"/>
        <v>0</v>
      </c>
    </row>
    <row r="13709" spans="20:20" ht="18.75" customHeight="1" x14ac:dyDescent="0.35">
      <c r="T13709" s="246">
        <f t="shared" si="252"/>
        <v>0</v>
      </c>
    </row>
    <row r="13710" spans="20:20" ht="18.75" customHeight="1" x14ac:dyDescent="0.35">
      <c r="T13710" s="246">
        <f t="shared" si="252"/>
        <v>0</v>
      </c>
    </row>
    <row r="13711" spans="20:20" ht="18.75" customHeight="1" x14ac:dyDescent="0.35">
      <c r="T13711" s="246">
        <f t="shared" si="252"/>
        <v>0</v>
      </c>
    </row>
    <row r="13712" spans="20:20" ht="18.75" customHeight="1" x14ac:dyDescent="0.35">
      <c r="T13712" s="246">
        <f t="shared" si="252"/>
        <v>0</v>
      </c>
    </row>
    <row r="13713" spans="20:20" ht="18.75" customHeight="1" x14ac:dyDescent="0.35">
      <c r="T13713" s="246">
        <f t="shared" si="252"/>
        <v>0</v>
      </c>
    </row>
    <row r="13714" spans="20:20" ht="18.75" customHeight="1" x14ac:dyDescent="0.35">
      <c r="T13714" s="246">
        <f t="shared" si="252"/>
        <v>0</v>
      </c>
    </row>
    <row r="13715" spans="20:20" ht="18.75" customHeight="1" x14ac:dyDescent="0.35">
      <c r="T13715" s="246">
        <f t="shared" si="252"/>
        <v>0</v>
      </c>
    </row>
    <row r="13716" spans="20:20" ht="18.75" customHeight="1" x14ac:dyDescent="0.35">
      <c r="T13716" s="246">
        <f t="shared" si="252"/>
        <v>0</v>
      </c>
    </row>
    <row r="13717" spans="20:20" ht="18.75" customHeight="1" x14ac:dyDescent="0.35">
      <c r="T13717" s="246">
        <f t="shared" si="252"/>
        <v>0</v>
      </c>
    </row>
    <row r="13718" spans="20:20" ht="18.75" customHeight="1" x14ac:dyDescent="0.35">
      <c r="T13718" s="246">
        <f t="shared" si="252"/>
        <v>0</v>
      </c>
    </row>
    <row r="13719" spans="20:20" ht="18.75" customHeight="1" x14ac:dyDescent="0.35">
      <c r="T13719" s="246">
        <f t="shared" si="252"/>
        <v>0</v>
      </c>
    </row>
    <row r="13720" spans="20:20" ht="18.75" customHeight="1" x14ac:dyDescent="0.35">
      <c r="T13720" s="246">
        <f t="shared" si="252"/>
        <v>0</v>
      </c>
    </row>
    <row r="13721" spans="20:20" ht="18.75" customHeight="1" x14ac:dyDescent="0.35">
      <c r="T13721" s="246">
        <f t="shared" si="252"/>
        <v>0</v>
      </c>
    </row>
    <row r="13722" spans="20:20" ht="18.75" customHeight="1" x14ac:dyDescent="0.35">
      <c r="T13722" s="246">
        <f t="shared" si="252"/>
        <v>0</v>
      </c>
    </row>
    <row r="13723" spans="20:20" ht="18.75" customHeight="1" x14ac:dyDescent="0.35">
      <c r="T13723" s="246">
        <f t="shared" si="252"/>
        <v>0</v>
      </c>
    </row>
    <row r="13724" spans="20:20" ht="18.75" customHeight="1" x14ac:dyDescent="0.35">
      <c r="T13724" s="246">
        <f t="shared" si="252"/>
        <v>0</v>
      </c>
    </row>
    <row r="13725" spans="20:20" ht="18.75" customHeight="1" x14ac:dyDescent="0.35">
      <c r="T13725" s="246">
        <f t="shared" si="252"/>
        <v>0</v>
      </c>
    </row>
    <row r="13726" spans="20:20" ht="18.75" customHeight="1" x14ac:dyDescent="0.35">
      <c r="T13726" s="246">
        <f t="shared" si="252"/>
        <v>0</v>
      </c>
    </row>
    <row r="13727" spans="20:20" ht="18.75" customHeight="1" x14ac:dyDescent="0.35">
      <c r="T13727" s="246">
        <f t="shared" si="252"/>
        <v>0</v>
      </c>
    </row>
    <row r="13728" spans="20:20" ht="18.75" customHeight="1" x14ac:dyDescent="0.35">
      <c r="T13728" s="246">
        <f t="shared" si="252"/>
        <v>0</v>
      </c>
    </row>
    <row r="13729" spans="20:20" ht="18.75" customHeight="1" x14ac:dyDescent="0.35">
      <c r="T13729" s="246">
        <f t="shared" si="252"/>
        <v>0</v>
      </c>
    </row>
    <row r="13730" spans="20:20" ht="18.75" customHeight="1" x14ac:dyDescent="0.35">
      <c r="T13730" s="246">
        <f t="shared" si="252"/>
        <v>0</v>
      </c>
    </row>
    <row r="13731" spans="20:20" ht="18.75" customHeight="1" x14ac:dyDescent="0.35">
      <c r="T13731" s="246">
        <f t="shared" si="252"/>
        <v>0</v>
      </c>
    </row>
    <row r="13732" spans="20:20" ht="18.75" customHeight="1" x14ac:dyDescent="0.35">
      <c r="T13732" s="246">
        <f t="shared" si="252"/>
        <v>0</v>
      </c>
    </row>
    <row r="13733" spans="20:20" ht="18.75" customHeight="1" x14ac:dyDescent="0.35">
      <c r="T13733" s="246">
        <f t="shared" si="252"/>
        <v>0</v>
      </c>
    </row>
    <row r="13734" spans="20:20" ht="18.75" customHeight="1" x14ac:dyDescent="0.35">
      <c r="T13734" s="246">
        <f t="shared" si="252"/>
        <v>0</v>
      </c>
    </row>
    <row r="13735" spans="20:20" ht="18.75" customHeight="1" x14ac:dyDescent="0.35">
      <c r="T13735" s="246">
        <f t="shared" si="252"/>
        <v>0</v>
      </c>
    </row>
    <row r="13736" spans="20:20" ht="18.75" customHeight="1" x14ac:dyDescent="0.35">
      <c r="T13736" s="246">
        <f t="shared" si="252"/>
        <v>0</v>
      </c>
    </row>
    <row r="13737" spans="20:20" ht="18.75" customHeight="1" x14ac:dyDescent="0.35">
      <c r="T13737" s="246">
        <f t="shared" si="252"/>
        <v>0</v>
      </c>
    </row>
    <row r="13738" spans="20:20" ht="18.75" customHeight="1" x14ac:dyDescent="0.35">
      <c r="T13738" s="246">
        <f t="shared" si="252"/>
        <v>0</v>
      </c>
    </row>
    <row r="13739" spans="20:20" ht="18.75" customHeight="1" x14ac:dyDescent="0.35">
      <c r="T13739" s="246">
        <f t="shared" si="252"/>
        <v>0</v>
      </c>
    </row>
    <row r="13740" spans="20:20" ht="18.75" customHeight="1" x14ac:dyDescent="0.35">
      <c r="T13740" s="246">
        <f t="shared" si="252"/>
        <v>0</v>
      </c>
    </row>
    <row r="13741" spans="20:20" ht="18.75" customHeight="1" x14ac:dyDescent="0.35">
      <c r="T13741" s="246">
        <f t="shared" si="252"/>
        <v>0</v>
      </c>
    </row>
    <row r="13742" spans="20:20" ht="18.75" customHeight="1" x14ac:dyDescent="0.35">
      <c r="T13742" s="246">
        <f t="shared" si="252"/>
        <v>0</v>
      </c>
    </row>
    <row r="13743" spans="20:20" ht="18.75" customHeight="1" x14ac:dyDescent="0.35">
      <c r="T13743" s="246">
        <f t="shared" si="252"/>
        <v>0</v>
      </c>
    </row>
    <row r="13744" spans="20:20" ht="18.75" customHeight="1" x14ac:dyDescent="0.35">
      <c r="T13744" s="246">
        <f t="shared" si="252"/>
        <v>0</v>
      </c>
    </row>
    <row r="13745" spans="20:20" ht="18.75" customHeight="1" x14ac:dyDescent="0.35">
      <c r="T13745" s="246">
        <f t="shared" si="252"/>
        <v>0</v>
      </c>
    </row>
    <row r="13746" spans="20:20" ht="18.75" customHeight="1" x14ac:dyDescent="0.35">
      <c r="T13746" s="246">
        <f t="shared" si="252"/>
        <v>0</v>
      </c>
    </row>
    <row r="13747" spans="20:20" ht="18.75" customHeight="1" x14ac:dyDescent="0.35">
      <c r="T13747" s="246">
        <f t="shared" si="252"/>
        <v>0</v>
      </c>
    </row>
    <row r="13748" spans="20:20" ht="18.75" customHeight="1" x14ac:dyDescent="0.35">
      <c r="T13748" s="246">
        <f t="shared" si="252"/>
        <v>0</v>
      </c>
    </row>
    <row r="13749" spans="20:20" ht="18.75" customHeight="1" x14ac:dyDescent="0.35">
      <c r="T13749" s="246">
        <f t="shared" si="252"/>
        <v>0</v>
      </c>
    </row>
    <row r="13750" spans="20:20" ht="18.75" customHeight="1" x14ac:dyDescent="0.35">
      <c r="T13750" s="246">
        <f t="shared" si="252"/>
        <v>0</v>
      </c>
    </row>
    <row r="13751" spans="20:20" ht="18.75" customHeight="1" x14ac:dyDescent="0.35">
      <c r="T13751" s="246">
        <f t="shared" si="252"/>
        <v>0</v>
      </c>
    </row>
    <row r="13752" spans="20:20" ht="18.75" customHeight="1" x14ac:dyDescent="0.35">
      <c r="T13752" s="246">
        <f t="shared" si="252"/>
        <v>0</v>
      </c>
    </row>
    <row r="13753" spans="20:20" ht="18.75" customHeight="1" x14ac:dyDescent="0.35">
      <c r="T13753" s="246">
        <f t="shared" si="252"/>
        <v>0</v>
      </c>
    </row>
    <row r="13754" spans="20:20" ht="18.75" customHeight="1" x14ac:dyDescent="0.35">
      <c r="T13754" s="246">
        <f t="shared" si="252"/>
        <v>0</v>
      </c>
    </row>
    <row r="13755" spans="20:20" ht="18.75" customHeight="1" x14ac:dyDescent="0.35">
      <c r="T13755" s="246">
        <f t="shared" si="252"/>
        <v>0</v>
      </c>
    </row>
    <row r="13756" spans="20:20" ht="18.75" customHeight="1" x14ac:dyDescent="0.35">
      <c r="T13756" s="246">
        <f t="shared" ref="T13756:T13819" si="253">R13756*0.01</f>
        <v>0</v>
      </c>
    </row>
    <row r="13757" spans="20:20" ht="18.75" customHeight="1" x14ac:dyDescent="0.35">
      <c r="T13757" s="246">
        <f t="shared" si="253"/>
        <v>0</v>
      </c>
    </row>
    <row r="13758" spans="20:20" ht="18.75" customHeight="1" x14ac:dyDescent="0.35">
      <c r="T13758" s="246">
        <f t="shared" si="253"/>
        <v>0</v>
      </c>
    </row>
    <row r="13759" spans="20:20" ht="18.75" customHeight="1" x14ac:dyDescent="0.35">
      <c r="T13759" s="246">
        <f t="shared" si="253"/>
        <v>0</v>
      </c>
    </row>
    <row r="13760" spans="20:20" ht="18.75" customHeight="1" x14ac:dyDescent="0.35">
      <c r="T13760" s="246">
        <f t="shared" si="253"/>
        <v>0</v>
      </c>
    </row>
    <row r="13761" spans="20:20" ht="18.75" customHeight="1" x14ac:dyDescent="0.35">
      <c r="T13761" s="246">
        <f t="shared" si="253"/>
        <v>0</v>
      </c>
    </row>
    <row r="13762" spans="20:20" ht="18.75" customHeight="1" x14ac:dyDescent="0.35">
      <c r="T13762" s="246">
        <f t="shared" si="253"/>
        <v>0</v>
      </c>
    </row>
    <row r="13763" spans="20:20" ht="18.75" customHeight="1" x14ac:dyDescent="0.35">
      <c r="T13763" s="246">
        <f t="shared" si="253"/>
        <v>0</v>
      </c>
    </row>
    <row r="13764" spans="20:20" ht="18.75" customHeight="1" x14ac:dyDescent="0.35">
      <c r="T13764" s="246">
        <f t="shared" si="253"/>
        <v>0</v>
      </c>
    </row>
    <row r="13765" spans="20:20" ht="18.75" customHeight="1" x14ac:dyDescent="0.35">
      <c r="T13765" s="246">
        <f t="shared" si="253"/>
        <v>0</v>
      </c>
    </row>
    <row r="13766" spans="20:20" ht="18.75" customHeight="1" x14ac:dyDescent="0.35">
      <c r="T13766" s="246">
        <f t="shared" si="253"/>
        <v>0</v>
      </c>
    </row>
    <row r="13767" spans="20:20" ht="18.75" customHeight="1" x14ac:dyDescent="0.35">
      <c r="T13767" s="246">
        <f t="shared" si="253"/>
        <v>0</v>
      </c>
    </row>
    <row r="13768" spans="20:20" ht="18.75" customHeight="1" x14ac:dyDescent="0.35">
      <c r="T13768" s="246">
        <f t="shared" si="253"/>
        <v>0</v>
      </c>
    </row>
    <row r="13769" spans="20:20" ht="18.75" customHeight="1" x14ac:dyDescent="0.35">
      <c r="T13769" s="246">
        <f t="shared" si="253"/>
        <v>0</v>
      </c>
    </row>
    <row r="13770" spans="20:20" ht="18.75" customHeight="1" x14ac:dyDescent="0.35">
      <c r="T13770" s="246">
        <f t="shared" si="253"/>
        <v>0</v>
      </c>
    </row>
    <row r="13771" spans="20:20" ht="18.75" customHeight="1" x14ac:dyDescent="0.35">
      <c r="T13771" s="246">
        <f t="shared" si="253"/>
        <v>0</v>
      </c>
    </row>
    <row r="13772" spans="20:20" ht="18.75" customHeight="1" x14ac:dyDescent="0.35">
      <c r="T13772" s="246">
        <f t="shared" si="253"/>
        <v>0</v>
      </c>
    </row>
    <row r="13773" spans="20:20" ht="18.75" customHeight="1" x14ac:dyDescent="0.35">
      <c r="T13773" s="246">
        <f t="shared" si="253"/>
        <v>0</v>
      </c>
    </row>
    <row r="13774" spans="20:20" ht="18.75" customHeight="1" x14ac:dyDescent="0.35">
      <c r="T13774" s="246">
        <f t="shared" si="253"/>
        <v>0</v>
      </c>
    </row>
    <row r="13775" spans="20:20" ht="18.75" customHeight="1" x14ac:dyDescent="0.35">
      <c r="T13775" s="246">
        <f t="shared" si="253"/>
        <v>0</v>
      </c>
    </row>
    <row r="13776" spans="20:20" ht="18.75" customHeight="1" x14ac:dyDescent="0.35">
      <c r="T13776" s="246">
        <f t="shared" si="253"/>
        <v>0</v>
      </c>
    </row>
    <row r="13777" spans="20:20" ht="18.75" customHeight="1" x14ac:dyDescent="0.35">
      <c r="T13777" s="246">
        <f t="shared" si="253"/>
        <v>0</v>
      </c>
    </row>
    <row r="13778" spans="20:20" ht="18.75" customHeight="1" x14ac:dyDescent="0.35">
      <c r="T13778" s="246">
        <f t="shared" si="253"/>
        <v>0</v>
      </c>
    </row>
    <row r="13779" spans="20:20" ht="18.75" customHeight="1" x14ac:dyDescent="0.35">
      <c r="T13779" s="246">
        <f t="shared" si="253"/>
        <v>0</v>
      </c>
    </row>
    <row r="13780" spans="20:20" ht="18.75" customHeight="1" x14ac:dyDescent="0.35">
      <c r="T13780" s="246">
        <f t="shared" si="253"/>
        <v>0</v>
      </c>
    </row>
    <row r="13781" spans="20:20" ht="18.75" customHeight="1" x14ac:dyDescent="0.35">
      <c r="T13781" s="246">
        <f t="shared" si="253"/>
        <v>0</v>
      </c>
    </row>
    <row r="13782" spans="20:20" ht="18.75" customHeight="1" x14ac:dyDescent="0.35">
      <c r="T13782" s="246">
        <f t="shared" si="253"/>
        <v>0</v>
      </c>
    </row>
    <row r="13783" spans="20:20" ht="18.75" customHeight="1" x14ac:dyDescent="0.35">
      <c r="T13783" s="246">
        <f t="shared" si="253"/>
        <v>0</v>
      </c>
    </row>
    <row r="13784" spans="20:20" ht="18.75" customHeight="1" x14ac:dyDescent="0.35">
      <c r="T13784" s="246">
        <f t="shared" si="253"/>
        <v>0</v>
      </c>
    </row>
    <row r="13785" spans="20:20" ht="18.75" customHeight="1" x14ac:dyDescent="0.35">
      <c r="T13785" s="246">
        <f t="shared" si="253"/>
        <v>0</v>
      </c>
    </row>
    <row r="13786" spans="20:20" ht="18.75" customHeight="1" x14ac:dyDescent="0.35">
      <c r="T13786" s="246">
        <f t="shared" si="253"/>
        <v>0</v>
      </c>
    </row>
    <row r="13787" spans="20:20" ht="18.75" customHeight="1" x14ac:dyDescent="0.35">
      <c r="T13787" s="246">
        <f t="shared" si="253"/>
        <v>0</v>
      </c>
    </row>
    <row r="13788" spans="20:20" ht="18.75" customHeight="1" x14ac:dyDescent="0.35">
      <c r="T13788" s="246">
        <f t="shared" si="253"/>
        <v>0</v>
      </c>
    </row>
    <row r="13789" spans="20:20" ht="18.75" customHeight="1" x14ac:dyDescent="0.35">
      <c r="T13789" s="246">
        <f t="shared" si="253"/>
        <v>0</v>
      </c>
    </row>
    <row r="13790" spans="20:20" ht="18.75" customHeight="1" x14ac:dyDescent="0.35">
      <c r="T13790" s="246">
        <f t="shared" si="253"/>
        <v>0</v>
      </c>
    </row>
    <row r="13791" spans="20:20" ht="18.75" customHeight="1" x14ac:dyDescent="0.35">
      <c r="T13791" s="246">
        <f t="shared" si="253"/>
        <v>0</v>
      </c>
    </row>
    <row r="13792" spans="20:20" ht="18.75" customHeight="1" x14ac:dyDescent="0.35">
      <c r="T13792" s="246">
        <f t="shared" si="253"/>
        <v>0</v>
      </c>
    </row>
    <row r="13793" spans="20:20" ht="18.75" customHeight="1" x14ac:dyDescent="0.35">
      <c r="T13793" s="246">
        <f t="shared" si="253"/>
        <v>0</v>
      </c>
    </row>
    <row r="13794" spans="20:20" ht="18.75" customHeight="1" x14ac:dyDescent="0.35">
      <c r="T13794" s="246">
        <f t="shared" si="253"/>
        <v>0</v>
      </c>
    </row>
    <row r="13795" spans="20:20" ht="18.75" customHeight="1" x14ac:dyDescent="0.35">
      <c r="T13795" s="246">
        <f t="shared" si="253"/>
        <v>0</v>
      </c>
    </row>
    <row r="13796" spans="20:20" ht="18.75" customHeight="1" x14ac:dyDescent="0.35">
      <c r="T13796" s="246">
        <f t="shared" si="253"/>
        <v>0</v>
      </c>
    </row>
    <row r="13797" spans="20:20" ht="18.75" customHeight="1" x14ac:dyDescent="0.35">
      <c r="T13797" s="246">
        <f t="shared" si="253"/>
        <v>0</v>
      </c>
    </row>
    <row r="13798" spans="20:20" ht="18.75" customHeight="1" x14ac:dyDescent="0.35">
      <c r="T13798" s="246">
        <f t="shared" si="253"/>
        <v>0</v>
      </c>
    </row>
    <row r="13799" spans="20:20" ht="18.75" customHeight="1" x14ac:dyDescent="0.35">
      <c r="T13799" s="246">
        <f t="shared" si="253"/>
        <v>0</v>
      </c>
    </row>
    <row r="13800" spans="20:20" ht="18.75" customHeight="1" x14ac:dyDescent="0.35">
      <c r="T13800" s="246">
        <f t="shared" si="253"/>
        <v>0</v>
      </c>
    </row>
    <row r="13801" spans="20:20" ht="18.75" customHeight="1" x14ac:dyDescent="0.35">
      <c r="T13801" s="246">
        <f t="shared" si="253"/>
        <v>0</v>
      </c>
    </row>
    <row r="13802" spans="20:20" ht="18.75" customHeight="1" x14ac:dyDescent="0.35">
      <c r="T13802" s="246">
        <f t="shared" si="253"/>
        <v>0</v>
      </c>
    </row>
    <row r="13803" spans="20:20" ht="18.75" customHeight="1" x14ac:dyDescent="0.35">
      <c r="T13803" s="246">
        <f t="shared" si="253"/>
        <v>0</v>
      </c>
    </row>
    <row r="13804" spans="20:20" ht="18.75" customHeight="1" x14ac:dyDescent="0.35">
      <c r="T13804" s="246">
        <f t="shared" si="253"/>
        <v>0</v>
      </c>
    </row>
    <row r="13805" spans="20:20" ht="18.75" customHeight="1" x14ac:dyDescent="0.35">
      <c r="T13805" s="246">
        <f t="shared" si="253"/>
        <v>0</v>
      </c>
    </row>
    <row r="13806" spans="20:20" ht="18.75" customHeight="1" x14ac:dyDescent="0.35">
      <c r="T13806" s="246">
        <f t="shared" si="253"/>
        <v>0</v>
      </c>
    </row>
    <row r="13807" spans="20:20" ht="18.75" customHeight="1" x14ac:dyDescent="0.35">
      <c r="T13807" s="246">
        <f t="shared" si="253"/>
        <v>0</v>
      </c>
    </row>
    <row r="13808" spans="20:20" ht="18.75" customHeight="1" x14ac:dyDescent="0.35">
      <c r="T13808" s="246">
        <f t="shared" si="253"/>
        <v>0</v>
      </c>
    </row>
    <row r="13809" spans="20:20" ht="18.75" customHeight="1" x14ac:dyDescent="0.35">
      <c r="T13809" s="246">
        <f t="shared" si="253"/>
        <v>0</v>
      </c>
    </row>
    <row r="13810" spans="20:20" ht="18.75" customHeight="1" x14ac:dyDescent="0.35">
      <c r="T13810" s="246">
        <f t="shared" si="253"/>
        <v>0</v>
      </c>
    </row>
    <row r="13811" spans="20:20" ht="18.75" customHeight="1" x14ac:dyDescent="0.35">
      <c r="T13811" s="246">
        <f t="shared" si="253"/>
        <v>0</v>
      </c>
    </row>
    <row r="13812" spans="20:20" ht="18.75" customHeight="1" x14ac:dyDescent="0.35">
      <c r="T13812" s="246">
        <f t="shared" si="253"/>
        <v>0</v>
      </c>
    </row>
    <row r="13813" spans="20:20" ht="18.75" customHeight="1" x14ac:dyDescent="0.35">
      <c r="T13813" s="246">
        <f t="shared" si="253"/>
        <v>0</v>
      </c>
    </row>
    <row r="13814" spans="20:20" ht="18.75" customHeight="1" x14ac:dyDescent="0.35">
      <c r="T13814" s="246">
        <f t="shared" si="253"/>
        <v>0</v>
      </c>
    </row>
    <row r="13815" spans="20:20" ht="18.75" customHeight="1" x14ac:dyDescent="0.35">
      <c r="T13815" s="246">
        <f t="shared" si="253"/>
        <v>0</v>
      </c>
    </row>
    <row r="13816" spans="20:20" ht="18.75" customHeight="1" x14ac:dyDescent="0.35">
      <c r="T13816" s="246">
        <f t="shared" si="253"/>
        <v>0</v>
      </c>
    </row>
    <row r="13817" spans="20:20" ht="18.75" customHeight="1" x14ac:dyDescent="0.35">
      <c r="T13817" s="246">
        <f t="shared" si="253"/>
        <v>0</v>
      </c>
    </row>
    <row r="13818" spans="20:20" ht="18.75" customHeight="1" x14ac:dyDescent="0.35">
      <c r="T13818" s="246">
        <f t="shared" si="253"/>
        <v>0</v>
      </c>
    </row>
    <row r="13819" spans="20:20" ht="18.75" customHeight="1" x14ac:dyDescent="0.35">
      <c r="T13819" s="246">
        <f t="shared" si="253"/>
        <v>0</v>
      </c>
    </row>
    <row r="13820" spans="20:20" ht="18.75" customHeight="1" x14ac:dyDescent="0.35">
      <c r="T13820" s="246">
        <f t="shared" ref="T13820:T13883" si="254">R13820*0.01</f>
        <v>0</v>
      </c>
    </row>
    <row r="13821" spans="20:20" ht="18.75" customHeight="1" x14ac:dyDescent="0.35">
      <c r="T13821" s="246">
        <f t="shared" si="254"/>
        <v>0</v>
      </c>
    </row>
    <row r="13822" spans="20:20" ht="18.75" customHeight="1" x14ac:dyDescent="0.35">
      <c r="T13822" s="246">
        <f t="shared" si="254"/>
        <v>0</v>
      </c>
    </row>
    <row r="13823" spans="20:20" ht="18.75" customHeight="1" x14ac:dyDescent="0.35">
      <c r="T13823" s="246">
        <f t="shared" si="254"/>
        <v>0</v>
      </c>
    </row>
    <row r="13824" spans="20:20" ht="18.75" customHeight="1" x14ac:dyDescent="0.35">
      <c r="T13824" s="246">
        <f t="shared" si="254"/>
        <v>0</v>
      </c>
    </row>
    <row r="13825" spans="20:20" ht="18.75" customHeight="1" x14ac:dyDescent="0.35">
      <c r="T13825" s="246">
        <f t="shared" si="254"/>
        <v>0</v>
      </c>
    </row>
    <row r="13826" spans="20:20" ht="18.75" customHeight="1" x14ac:dyDescent="0.35">
      <c r="T13826" s="246">
        <f t="shared" si="254"/>
        <v>0</v>
      </c>
    </row>
    <row r="13827" spans="20:20" ht="18.75" customHeight="1" x14ac:dyDescent="0.35">
      <c r="T13827" s="246">
        <f t="shared" si="254"/>
        <v>0</v>
      </c>
    </row>
    <row r="13828" spans="20:20" ht="18.75" customHeight="1" x14ac:dyDescent="0.35">
      <c r="T13828" s="246">
        <f t="shared" si="254"/>
        <v>0</v>
      </c>
    </row>
    <row r="13829" spans="20:20" ht="18.75" customHeight="1" x14ac:dyDescent="0.35">
      <c r="T13829" s="246">
        <f t="shared" si="254"/>
        <v>0</v>
      </c>
    </row>
    <row r="13830" spans="20:20" ht="18.75" customHeight="1" x14ac:dyDescent="0.35">
      <c r="T13830" s="246">
        <f t="shared" si="254"/>
        <v>0</v>
      </c>
    </row>
    <row r="13831" spans="20:20" ht="18.75" customHeight="1" x14ac:dyDescent="0.35">
      <c r="T13831" s="246">
        <f t="shared" si="254"/>
        <v>0</v>
      </c>
    </row>
    <row r="13832" spans="20:20" ht="18.75" customHeight="1" x14ac:dyDescent="0.35">
      <c r="T13832" s="246">
        <f t="shared" si="254"/>
        <v>0</v>
      </c>
    </row>
    <row r="13833" spans="20:20" ht="18.75" customHeight="1" x14ac:dyDescent="0.35">
      <c r="T13833" s="246">
        <f t="shared" si="254"/>
        <v>0</v>
      </c>
    </row>
    <row r="13834" spans="20:20" ht="18.75" customHeight="1" x14ac:dyDescent="0.35">
      <c r="T13834" s="246">
        <f t="shared" si="254"/>
        <v>0</v>
      </c>
    </row>
    <row r="13835" spans="20:20" ht="18.75" customHeight="1" x14ac:dyDescent="0.35">
      <c r="T13835" s="246">
        <f t="shared" si="254"/>
        <v>0</v>
      </c>
    </row>
    <row r="13836" spans="20:20" ht="18.75" customHeight="1" x14ac:dyDescent="0.35">
      <c r="T13836" s="246">
        <f t="shared" si="254"/>
        <v>0</v>
      </c>
    </row>
    <row r="13837" spans="20:20" ht="18.75" customHeight="1" x14ac:dyDescent="0.35">
      <c r="T13837" s="246">
        <f t="shared" si="254"/>
        <v>0</v>
      </c>
    </row>
    <row r="13838" spans="20:20" ht="18.75" customHeight="1" x14ac:dyDescent="0.35">
      <c r="T13838" s="246">
        <f t="shared" si="254"/>
        <v>0</v>
      </c>
    </row>
    <row r="13839" spans="20:20" ht="18.75" customHeight="1" x14ac:dyDescent="0.35">
      <c r="T13839" s="246">
        <f t="shared" si="254"/>
        <v>0</v>
      </c>
    </row>
    <row r="13840" spans="20:20" ht="18.75" customHeight="1" x14ac:dyDescent="0.35">
      <c r="T13840" s="246">
        <f t="shared" si="254"/>
        <v>0</v>
      </c>
    </row>
    <row r="13841" spans="20:20" ht="18.75" customHeight="1" x14ac:dyDescent="0.35">
      <c r="T13841" s="246">
        <f t="shared" si="254"/>
        <v>0</v>
      </c>
    </row>
    <row r="13842" spans="20:20" ht="18.75" customHeight="1" x14ac:dyDescent="0.35">
      <c r="T13842" s="246">
        <f t="shared" si="254"/>
        <v>0</v>
      </c>
    </row>
    <row r="13843" spans="20:20" ht="18.75" customHeight="1" x14ac:dyDescent="0.35">
      <c r="T13843" s="246">
        <f t="shared" si="254"/>
        <v>0</v>
      </c>
    </row>
    <row r="13844" spans="20:20" ht="18.75" customHeight="1" x14ac:dyDescent="0.35">
      <c r="T13844" s="246">
        <f t="shared" si="254"/>
        <v>0</v>
      </c>
    </row>
    <row r="13845" spans="20:20" ht="18.75" customHeight="1" x14ac:dyDescent="0.35">
      <c r="T13845" s="246">
        <f t="shared" si="254"/>
        <v>0</v>
      </c>
    </row>
    <row r="13846" spans="20:20" ht="18.75" customHeight="1" x14ac:dyDescent="0.35">
      <c r="T13846" s="246">
        <f t="shared" si="254"/>
        <v>0</v>
      </c>
    </row>
    <row r="13847" spans="20:20" ht="18.75" customHeight="1" x14ac:dyDescent="0.35">
      <c r="T13847" s="246">
        <f t="shared" si="254"/>
        <v>0</v>
      </c>
    </row>
    <row r="13848" spans="20:20" ht="18.75" customHeight="1" x14ac:dyDescent="0.35">
      <c r="T13848" s="246">
        <f t="shared" si="254"/>
        <v>0</v>
      </c>
    </row>
    <row r="13849" spans="20:20" ht="18.75" customHeight="1" x14ac:dyDescent="0.35">
      <c r="T13849" s="246">
        <f t="shared" si="254"/>
        <v>0</v>
      </c>
    </row>
    <row r="13850" spans="20:20" ht="18.75" customHeight="1" x14ac:dyDescent="0.35">
      <c r="T13850" s="246">
        <f t="shared" si="254"/>
        <v>0</v>
      </c>
    </row>
    <row r="13851" spans="20:20" ht="18.75" customHeight="1" x14ac:dyDescent="0.35">
      <c r="T13851" s="246">
        <f t="shared" si="254"/>
        <v>0</v>
      </c>
    </row>
    <row r="13852" spans="20:20" ht="18.75" customHeight="1" x14ac:dyDescent="0.35">
      <c r="T13852" s="246">
        <f t="shared" si="254"/>
        <v>0</v>
      </c>
    </row>
    <row r="13853" spans="20:20" ht="18.75" customHeight="1" x14ac:dyDescent="0.35">
      <c r="T13853" s="246">
        <f t="shared" si="254"/>
        <v>0</v>
      </c>
    </row>
    <row r="13854" spans="20:20" ht="18.75" customHeight="1" x14ac:dyDescent="0.35">
      <c r="T13854" s="246">
        <f t="shared" si="254"/>
        <v>0</v>
      </c>
    </row>
    <row r="13855" spans="20:20" ht="18.75" customHeight="1" x14ac:dyDescent="0.35">
      <c r="T13855" s="246">
        <f t="shared" si="254"/>
        <v>0</v>
      </c>
    </row>
    <row r="13856" spans="20:20" ht="18.75" customHeight="1" x14ac:dyDescent="0.35">
      <c r="T13856" s="246">
        <f t="shared" si="254"/>
        <v>0</v>
      </c>
    </row>
    <row r="13857" spans="20:20" ht="18.75" customHeight="1" x14ac:dyDescent="0.35">
      <c r="T13857" s="246">
        <f t="shared" si="254"/>
        <v>0</v>
      </c>
    </row>
    <row r="13858" spans="20:20" ht="18.75" customHeight="1" x14ac:dyDescent="0.35">
      <c r="T13858" s="246">
        <f t="shared" si="254"/>
        <v>0</v>
      </c>
    </row>
    <row r="13859" spans="20:20" ht="18.75" customHeight="1" x14ac:dyDescent="0.35">
      <c r="T13859" s="246">
        <f t="shared" si="254"/>
        <v>0</v>
      </c>
    </row>
    <row r="13860" spans="20:20" ht="18.75" customHeight="1" x14ac:dyDescent="0.35">
      <c r="T13860" s="246">
        <f t="shared" si="254"/>
        <v>0</v>
      </c>
    </row>
    <row r="13861" spans="20:20" ht="18.75" customHeight="1" x14ac:dyDescent="0.35">
      <c r="T13861" s="246">
        <f t="shared" si="254"/>
        <v>0</v>
      </c>
    </row>
    <row r="13862" spans="20:20" ht="18.75" customHeight="1" x14ac:dyDescent="0.35">
      <c r="T13862" s="246">
        <f t="shared" si="254"/>
        <v>0</v>
      </c>
    </row>
    <row r="13863" spans="20:20" ht="18.75" customHeight="1" x14ac:dyDescent="0.35">
      <c r="T13863" s="246">
        <f t="shared" si="254"/>
        <v>0</v>
      </c>
    </row>
    <row r="13864" spans="20:20" ht="18.75" customHeight="1" x14ac:dyDescent="0.35">
      <c r="T13864" s="246">
        <f t="shared" si="254"/>
        <v>0</v>
      </c>
    </row>
    <row r="13865" spans="20:20" ht="18.75" customHeight="1" x14ac:dyDescent="0.35">
      <c r="T13865" s="246">
        <f t="shared" si="254"/>
        <v>0</v>
      </c>
    </row>
    <row r="13866" spans="20:20" ht="18.75" customHeight="1" x14ac:dyDescent="0.35">
      <c r="T13866" s="246">
        <f t="shared" si="254"/>
        <v>0</v>
      </c>
    </row>
    <row r="13867" spans="20:20" ht="18.75" customHeight="1" x14ac:dyDescent="0.35">
      <c r="T13867" s="246">
        <f t="shared" si="254"/>
        <v>0</v>
      </c>
    </row>
    <row r="13868" spans="20:20" ht="18.75" customHeight="1" x14ac:dyDescent="0.35">
      <c r="T13868" s="246">
        <f t="shared" si="254"/>
        <v>0</v>
      </c>
    </row>
    <row r="13869" spans="20:20" ht="18.75" customHeight="1" x14ac:dyDescent="0.35">
      <c r="T13869" s="246">
        <f t="shared" si="254"/>
        <v>0</v>
      </c>
    </row>
    <row r="13870" spans="20:20" ht="18.75" customHeight="1" x14ac:dyDescent="0.35">
      <c r="T13870" s="246">
        <f t="shared" si="254"/>
        <v>0</v>
      </c>
    </row>
    <row r="13871" spans="20:20" ht="18.75" customHeight="1" x14ac:dyDescent="0.35">
      <c r="T13871" s="246">
        <f t="shared" si="254"/>
        <v>0</v>
      </c>
    </row>
    <row r="13872" spans="20:20" ht="18.75" customHeight="1" x14ac:dyDescent="0.35">
      <c r="T13872" s="246">
        <f t="shared" si="254"/>
        <v>0</v>
      </c>
    </row>
    <row r="13873" spans="20:20" ht="18.75" customHeight="1" x14ac:dyDescent="0.35">
      <c r="T13873" s="246">
        <f t="shared" si="254"/>
        <v>0</v>
      </c>
    </row>
    <row r="13874" spans="20:20" ht="18.75" customHeight="1" x14ac:dyDescent="0.35">
      <c r="T13874" s="246">
        <f t="shared" si="254"/>
        <v>0</v>
      </c>
    </row>
    <row r="13875" spans="20:20" ht="18.75" customHeight="1" x14ac:dyDescent="0.35">
      <c r="T13875" s="246">
        <f t="shared" si="254"/>
        <v>0</v>
      </c>
    </row>
    <row r="13876" spans="20:20" ht="18.75" customHeight="1" x14ac:dyDescent="0.35">
      <c r="T13876" s="246">
        <f t="shared" si="254"/>
        <v>0</v>
      </c>
    </row>
    <row r="13877" spans="20:20" ht="18.75" customHeight="1" x14ac:dyDescent="0.35">
      <c r="T13877" s="246">
        <f t="shared" si="254"/>
        <v>0</v>
      </c>
    </row>
    <row r="13878" spans="20:20" ht="18.75" customHeight="1" x14ac:dyDescent="0.35">
      <c r="T13878" s="246">
        <f t="shared" si="254"/>
        <v>0</v>
      </c>
    </row>
    <row r="13879" spans="20:20" ht="18.75" customHeight="1" x14ac:dyDescent="0.35">
      <c r="T13879" s="246">
        <f t="shared" si="254"/>
        <v>0</v>
      </c>
    </row>
    <row r="13880" spans="20:20" ht="18.75" customHeight="1" x14ac:dyDescent="0.35">
      <c r="T13880" s="246">
        <f t="shared" si="254"/>
        <v>0</v>
      </c>
    </row>
    <row r="13881" spans="20:20" ht="18.75" customHeight="1" x14ac:dyDescent="0.35">
      <c r="T13881" s="246">
        <f t="shared" si="254"/>
        <v>0</v>
      </c>
    </row>
    <row r="13882" spans="20:20" ht="18.75" customHeight="1" x14ac:dyDescent="0.35">
      <c r="T13882" s="246">
        <f t="shared" si="254"/>
        <v>0</v>
      </c>
    </row>
    <row r="13883" spans="20:20" ht="18.75" customHeight="1" x14ac:dyDescent="0.35">
      <c r="T13883" s="246">
        <f t="shared" si="254"/>
        <v>0</v>
      </c>
    </row>
    <row r="13884" spans="20:20" ht="18.75" customHeight="1" x14ac:dyDescent="0.35">
      <c r="T13884" s="246">
        <f t="shared" ref="T13884:T13947" si="255">R13884*0.01</f>
        <v>0</v>
      </c>
    </row>
    <row r="13885" spans="20:20" ht="18.75" customHeight="1" x14ac:dyDescent="0.35">
      <c r="T13885" s="246">
        <f t="shared" si="255"/>
        <v>0</v>
      </c>
    </row>
    <row r="13886" spans="20:20" ht="18.75" customHeight="1" x14ac:dyDescent="0.35">
      <c r="T13886" s="246">
        <f t="shared" si="255"/>
        <v>0</v>
      </c>
    </row>
    <row r="13887" spans="20:20" ht="18.75" customHeight="1" x14ac:dyDescent="0.35">
      <c r="T13887" s="246">
        <f t="shared" si="255"/>
        <v>0</v>
      </c>
    </row>
    <row r="13888" spans="20:20" ht="18.75" customHeight="1" x14ac:dyDescent="0.35">
      <c r="T13888" s="246">
        <f t="shared" si="255"/>
        <v>0</v>
      </c>
    </row>
    <row r="13889" spans="20:20" ht="18.75" customHeight="1" x14ac:dyDescent="0.35">
      <c r="T13889" s="246">
        <f t="shared" si="255"/>
        <v>0</v>
      </c>
    </row>
    <row r="13890" spans="20:20" ht="18.75" customHeight="1" x14ac:dyDescent="0.35">
      <c r="T13890" s="246">
        <f t="shared" si="255"/>
        <v>0</v>
      </c>
    </row>
    <row r="13891" spans="20:20" ht="18.75" customHeight="1" x14ac:dyDescent="0.35">
      <c r="T13891" s="246">
        <f t="shared" si="255"/>
        <v>0</v>
      </c>
    </row>
    <row r="13892" spans="20:20" ht="18.75" customHeight="1" x14ac:dyDescent="0.35">
      <c r="T13892" s="246">
        <f t="shared" si="255"/>
        <v>0</v>
      </c>
    </row>
    <row r="13893" spans="20:20" ht="18.75" customHeight="1" x14ac:dyDescent="0.35">
      <c r="T13893" s="246">
        <f t="shared" si="255"/>
        <v>0</v>
      </c>
    </row>
    <row r="13894" spans="20:20" ht="18.75" customHeight="1" x14ac:dyDescent="0.35">
      <c r="T13894" s="246">
        <f t="shared" si="255"/>
        <v>0</v>
      </c>
    </row>
    <row r="13895" spans="20:20" ht="18.75" customHeight="1" x14ac:dyDescent="0.35">
      <c r="T13895" s="246">
        <f t="shared" si="255"/>
        <v>0</v>
      </c>
    </row>
    <row r="13896" spans="20:20" ht="18.75" customHeight="1" x14ac:dyDescent="0.35">
      <c r="T13896" s="246">
        <f t="shared" si="255"/>
        <v>0</v>
      </c>
    </row>
    <row r="13897" spans="20:20" ht="18.75" customHeight="1" x14ac:dyDescent="0.35">
      <c r="T13897" s="246">
        <f t="shared" si="255"/>
        <v>0</v>
      </c>
    </row>
    <row r="13898" spans="20:20" ht="18.75" customHeight="1" x14ac:dyDescent="0.35">
      <c r="T13898" s="246">
        <f t="shared" si="255"/>
        <v>0</v>
      </c>
    </row>
    <row r="13899" spans="20:20" ht="18.75" customHeight="1" x14ac:dyDescent="0.35">
      <c r="T13899" s="246">
        <f t="shared" si="255"/>
        <v>0</v>
      </c>
    </row>
    <row r="13900" spans="20:20" ht="18.75" customHeight="1" x14ac:dyDescent="0.35">
      <c r="T13900" s="246">
        <f t="shared" si="255"/>
        <v>0</v>
      </c>
    </row>
    <row r="13901" spans="20:20" ht="18.75" customHeight="1" x14ac:dyDescent="0.35">
      <c r="T13901" s="246">
        <f t="shared" si="255"/>
        <v>0</v>
      </c>
    </row>
    <row r="13902" spans="20:20" ht="18.75" customHeight="1" x14ac:dyDescent="0.35">
      <c r="T13902" s="246">
        <f t="shared" si="255"/>
        <v>0</v>
      </c>
    </row>
    <row r="13903" spans="20:20" ht="18.75" customHeight="1" x14ac:dyDescent="0.35">
      <c r="T13903" s="246">
        <f t="shared" si="255"/>
        <v>0</v>
      </c>
    </row>
    <row r="13904" spans="20:20" ht="18.75" customHeight="1" x14ac:dyDescent="0.35">
      <c r="T13904" s="246">
        <f t="shared" si="255"/>
        <v>0</v>
      </c>
    </row>
    <row r="13905" spans="20:20" ht="18.75" customHeight="1" x14ac:dyDescent="0.35">
      <c r="T13905" s="246">
        <f t="shared" si="255"/>
        <v>0</v>
      </c>
    </row>
    <row r="13906" spans="20:20" ht="18.75" customHeight="1" x14ac:dyDescent="0.35">
      <c r="T13906" s="246">
        <f t="shared" si="255"/>
        <v>0</v>
      </c>
    </row>
    <row r="13907" spans="20:20" ht="18.75" customHeight="1" x14ac:dyDescent="0.35">
      <c r="T13907" s="246">
        <f t="shared" si="255"/>
        <v>0</v>
      </c>
    </row>
    <row r="13908" spans="20:20" ht="18.75" customHeight="1" x14ac:dyDescent="0.35">
      <c r="T13908" s="246">
        <f t="shared" si="255"/>
        <v>0</v>
      </c>
    </row>
    <row r="13909" spans="20:20" ht="18.75" customHeight="1" x14ac:dyDescent="0.35">
      <c r="T13909" s="246">
        <f t="shared" si="255"/>
        <v>0</v>
      </c>
    </row>
    <row r="13910" spans="20:20" ht="18.75" customHeight="1" x14ac:dyDescent="0.35">
      <c r="T13910" s="246">
        <f t="shared" si="255"/>
        <v>0</v>
      </c>
    </row>
    <row r="13911" spans="20:20" ht="18.75" customHeight="1" x14ac:dyDescent="0.35">
      <c r="T13911" s="246">
        <f t="shared" si="255"/>
        <v>0</v>
      </c>
    </row>
    <row r="13912" spans="20:20" ht="18.75" customHeight="1" x14ac:dyDescent="0.35">
      <c r="T13912" s="246">
        <f t="shared" si="255"/>
        <v>0</v>
      </c>
    </row>
    <row r="13913" spans="20:20" ht="18.75" customHeight="1" x14ac:dyDescent="0.35">
      <c r="T13913" s="246">
        <f t="shared" si="255"/>
        <v>0</v>
      </c>
    </row>
    <row r="13914" spans="20:20" ht="18.75" customHeight="1" x14ac:dyDescent="0.35">
      <c r="T13914" s="246">
        <f t="shared" si="255"/>
        <v>0</v>
      </c>
    </row>
    <row r="13915" spans="20:20" ht="18.75" customHeight="1" x14ac:dyDescent="0.35">
      <c r="T13915" s="246">
        <f t="shared" si="255"/>
        <v>0</v>
      </c>
    </row>
    <row r="13916" spans="20:20" ht="18.75" customHeight="1" x14ac:dyDescent="0.35">
      <c r="T13916" s="246">
        <f t="shared" si="255"/>
        <v>0</v>
      </c>
    </row>
    <row r="13917" spans="20:20" ht="18.75" customHeight="1" x14ac:dyDescent="0.35">
      <c r="T13917" s="246">
        <f t="shared" si="255"/>
        <v>0</v>
      </c>
    </row>
    <row r="13918" spans="20:20" ht="18.75" customHeight="1" x14ac:dyDescent="0.35">
      <c r="T13918" s="246">
        <f t="shared" si="255"/>
        <v>0</v>
      </c>
    </row>
    <row r="13919" spans="20:20" ht="18.75" customHeight="1" x14ac:dyDescent="0.35">
      <c r="T13919" s="246">
        <f t="shared" si="255"/>
        <v>0</v>
      </c>
    </row>
    <row r="13920" spans="20:20" ht="18.75" customHeight="1" x14ac:dyDescent="0.35">
      <c r="T13920" s="246">
        <f t="shared" si="255"/>
        <v>0</v>
      </c>
    </row>
    <row r="13921" spans="20:20" ht="18.75" customHeight="1" x14ac:dyDescent="0.35">
      <c r="T13921" s="246">
        <f t="shared" si="255"/>
        <v>0</v>
      </c>
    </row>
    <row r="13922" spans="20:20" ht="18.75" customHeight="1" x14ac:dyDescent="0.35">
      <c r="T13922" s="246">
        <f t="shared" si="255"/>
        <v>0</v>
      </c>
    </row>
    <row r="13923" spans="20:20" ht="18.75" customHeight="1" x14ac:dyDescent="0.35">
      <c r="T13923" s="246">
        <f t="shared" si="255"/>
        <v>0</v>
      </c>
    </row>
    <row r="13924" spans="20:20" ht="18.75" customHeight="1" x14ac:dyDescent="0.35">
      <c r="T13924" s="246">
        <f t="shared" si="255"/>
        <v>0</v>
      </c>
    </row>
    <row r="13925" spans="20:20" ht="18.75" customHeight="1" x14ac:dyDescent="0.35">
      <c r="T13925" s="246">
        <f t="shared" si="255"/>
        <v>0</v>
      </c>
    </row>
    <row r="13926" spans="20:20" ht="18.75" customHeight="1" x14ac:dyDescent="0.35">
      <c r="T13926" s="246">
        <f t="shared" si="255"/>
        <v>0</v>
      </c>
    </row>
    <row r="13927" spans="20:20" ht="18.75" customHeight="1" x14ac:dyDescent="0.35">
      <c r="T13927" s="246">
        <f t="shared" si="255"/>
        <v>0</v>
      </c>
    </row>
    <row r="13928" spans="20:20" ht="18.75" customHeight="1" x14ac:dyDescent="0.35">
      <c r="T13928" s="246">
        <f t="shared" si="255"/>
        <v>0</v>
      </c>
    </row>
    <row r="13929" spans="20:20" ht="18.75" customHeight="1" x14ac:dyDescent="0.35">
      <c r="T13929" s="246">
        <f t="shared" si="255"/>
        <v>0</v>
      </c>
    </row>
    <row r="13930" spans="20:20" ht="18.75" customHeight="1" x14ac:dyDescent="0.35">
      <c r="T13930" s="246">
        <f t="shared" si="255"/>
        <v>0</v>
      </c>
    </row>
    <row r="13931" spans="20:20" ht="18.75" customHeight="1" x14ac:dyDescent="0.35">
      <c r="T13931" s="246">
        <f t="shared" si="255"/>
        <v>0</v>
      </c>
    </row>
    <row r="13932" spans="20:20" ht="18.75" customHeight="1" x14ac:dyDescent="0.35">
      <c r="T13932" s="246">
        <f t="shared" si="255"/>
        <v>0</v>
      </c>
    </row>
    <row r="13933" spans="20:20" ht="18.75" customHeight="1" x14ac:dyDescent="0.35">
      <c r="T13933" s="246">
        <f t="shared" si="255"/>
        <v>0</v>
      </c>
    </row>
    <row r="13934" spans="20:20" ht="18.75" customHeight="1" x14ac:dyDescent="0.35">
      <c r="T13934" s="246">
        <f t="shared" si="255"/>
        <v>0</v>
      </c>
    </row>
    <row r="13935" spans="20:20" ht="18.75" customHeight="1" x14ac:dyDescent="0.35">
      <c r="T13935" s="246">
        <f t="shared" si="255"/>
        <v>0</v>
      </c>
    </row>
    <row r="13936" spans="20:20" ht="18.75" customHeight="1" x14ac:dyDescent="0.35">
      <c r="T13936" s="246">
        <f t="shared" si="255"/>
        <v>0</v>
      </c>
    </row>
    <row r="13937" spans="20:20" ht="18.75" customHeight="1" x14ac:dyDescent="0.35">
      <c r="T13937" s="246">
        <f t="shared" si="255"/>
        <v>0</v>
      </c>
    </row>
    <row r="13938" spans="20:20" ht="18.75" customHeight="1" x14ac:dyDescent="0.35">
      <c r="T13938" s="246">
        <f t="shared" si="255"/>
        <v>0</v>
      </c>
    </row>
    <row r="13939" spans="20:20" ht="18.75" customHeight="1" x14ac:dyDescent="0.35">
      <c r="T13939" s="246">
        <f t="shared" si="255"/>
        <v>0</v>
      </c>
    </row>
    <row r="13940" spans="20:20" ht="18.75" customHeight="1" x14ac:dyDescent="0.35">
      <c r="T13940" s="246">
        <f t="shared" si="255"/>
        <v>0</v>
      </c>
    </row>
    <row r="13941" spans="20:20" ht="18.75" customHeight="1" x14ac:dyDescent="0.35">
      <c r="T13941" s="246">
        <f t="shared" si="255"/>
        <v>0</v>
      </c>
    </row>
    <row r="13942" spans="20:20" ht="18.75" customHeight="1" x14ac:dyDescent="0.35">
      <c r="T13942" s="246">
        <f t="shared" si="255"/>
        <v>0</v>
      </c>
    </row>
    <row r="13943" spans="20:20" ht="18.75" customHeight="1" x14ac:dyDescent="0.35">
      <c r="T13943" s="246">
        <f t="shared" si="255"/>
        <v>0</v>
      </c>
    </row>
    <row r="13944" spans="20:20" ht="18.75" customHeight="1" x14ac:dyDescent="0.35">
      <c r="T13944" s="246">
        <f t="shared" si="255"/>
        <v>0</v>
      </c>
    </row>
    <row r="13945" spans="20:20" ht="18.75" customHeight="1" x14ac:dyDescent="0.35">
      <c r="T13945" s="246">
        <f t="shared" si="255"/>
        <v>0</v>
      </c>
    </row>
    <row r="13946" spans="20:20" ht="18.75" customHeight="1" x14ac:dyDescent="0.35">
      <c r="T13946" s="246">
        <f t="shared" si="255"/>
        <v>0</v>
      </c>
    </row>
    <row r="13947" spans="20:20" ht="18.75" customHeight="1" x14ac:dyDescent="0.35">
      <c r="T13947" s="246">
        <f t="shared" si="255"/>
        <v>0</v>
      </c>
    </row>
    <row r="13948" spans="20:20" ht="18.75" customHeight="1" x14ac:dyDescent="0.35">
      <c r="T13948" s="246">
        <f t="shared" ref="T13948:T14011" si="256">R13948*0.01</f>
        <v>0</v>
      </c>
    </row>
    <row r="13949" spans="20:20" ht="18.75" customHeight="1" x14ac:dyDescent="0.35">
      <c r="T13949" s="246">
        <f t="shared" si="256"/>
        <v>0</v>
      </c>
    </row>
    <row r="13950" spans="20:20" ht="18.75" customHeight="1" x14ac:dyDescent="0.35">
      <c r="T13950" s="246">
        <f t="shared" si="256"/>
        <v>0</v>
      </c>
    </row>
    <row r="13951" spans="20:20" ht="18.75" customHeight="1" x14ac:dyDescent="0.35">
      <c r="T13951" s="246">
        <f t="shared" si="256"/>
        <v>0</v>
      </c>
    </row>
    <row r="13952" spans="20:20" ht="18.75" customHeight="1" x14ac:dyDescent="0.35">
      <c r="T13952" s="246">
        <f t="shared" si="256"/>
        <v>0</v>
      </c>
    </row>
    <row r="13953" spans="20:20" ht="18.75" customHeight="1" x14ac:dyDescent="0.35">
      <c r="T13953" s="246">
        <f t="shared" si="256"/>
        <v>0</v>
      </c>
    </row>
    <row r="13954" spans="20:20" ht="18.75" customHeight="1" x14ac:dyDescent="0.35">
      <c r="T13954" s="246">
        <f t="shared" si="256"/>
        <v>0</v>
      </c>
    </row>
    <row r="13955" spans="20:20" ht="18.75" customHeight="1" x14ac:dyDescent="0.35">
      <c r="T13955" s="246">
        <f t="shared" si="256"/>
        <v>0</v>
      </c>
    </row>
    <row r="13956" spans="20:20" ht="18.75" customHeight="1" x14ac:dyDescent="0.35">
      <c r="T13956" s="246">
        <f t="shared" si="256"/>
        <v>0</v>
      </c>
    </row>
    <row r="13957" spans="20:20" ht="18.75" customHeight="1" x14ac:dyDescent="0.35">
      <c r="T13957" s="246">
        <f t="shared" si="256"/>
        <v>0</v>
      </c>
    </row>
    <row r="13958" spans="20:20" ht="18.75" customHeight="1" x14ac:dyDescent="0.35">
      <c r="T13958" s="246">
        <f t="shared" si="256"/>
        <v>0</v>
      </c>
    </row>
    <row r="13959" spans="20:20" ht="18.75" customHeight="1" x14ac:dyDescent="0.35">
      <c r="T13959" s="246">
        <f t="shared" si="256"/>
        <v>0</v>
      </c>
    </row>
    <row r="13960" spans="20:20" ht="18.75" customHeight="1" x14ac:dyDescent="0.35">
      <c r="T13960" s="246">
        <f t="shared" si="256"/>
        <v>0</v>
      </c>
    </row>
    <row r="13961" spans="20:20" ht="18.75" customHeight="1" x14ac:dyDescent="0.35">
      <c r="T13961" s="246">
        <f t="shared" si="256"/>
        <v>0</v>
      </c>
    </row>
    <row r="13962" spans="20:20" ht="18.75" customHeight="1" x14ac:dyDescent="0.35">
      <c r="T13962" s="246">
        <f t="shared" si="256"/>
        <v>0</v>
      </c>
    </row>
    <row r="13963" spans="20:20" ht="18.75" customHeight="1" x14ac:dyDescent="0.35">
      <c r="T13963" s="246">
        <f t="shared" si="256"/>
        <v>0</v>
      </c>
    </row>
    <row r="13964" spans="20:20" ht="18.75" customHeight="1" x14ac:dyDescent="0.35">
      <c r="T13964" s="246">
        <f t="shared" si="256"/>
        <v>0</v>
      </c>
    </row>
    <row r="13965" spans="20:20" ht="18.75" customHeight="1" x14ac:dyDescent="0.35">
      <c r="T13965" s="246">
        <f t="shared" si="256"/>
        <v>0</v>
      </c>
    </row>
    <row r="13966" spans="20:20" ht="18.75" customHeight="1" x14ac:dyDescent="0.35">
      <c r="T13966" s="246">
        <f t="shared" si="256"/>
        <v>0</v>
      </c>
    </row>
    <row r="13967" spans="20:20" ht="18.75" customHeight="1" x14ac:dyDescent="0.35">
      <c r="T13967" s="246">
        <f t="shared" si="256"/>
        <v>0</v>
      </c>
    </row>
    <row r="13968" spans="20:20" ht="18.75" customHeight="1" x14ac:dyDescent="0.35">
      <c r="T13968" s="246">
        <f t="shared" si="256"/>
        <v>0</v>
      </c>
    </row>
    <row r="13969" spans="20:20" ht="18.75" customHeight="1" x14ac:dyDescent="0.35">
      <c r="T13969" s="246">
        <f t="shared" si="256"/>
        <v>0</v>
      </c>
    </row>
    <row r="13970" spans="20:20" ht="18.75" customHeight="1" x14ac:dyDescent="0.35">
      <c r="T13970" s="246">
        <f t="shared" si="256"/>
        <v>0</v>
      </c>
    </row>
    <row r="13971" spans="20:20" ht="18.75" customHeight="1" x14ac:dyDescent="0.35">
      <c r="T13971" s="246">
        <f t="shared" si="256"/>
        <v>0</v>
      </c>
    </row>
    <row r="13972" spans="20:20" ht="18.75" customHeight="1" x14ac:dyDescent="0.35">
      <c r="T13972" s="246">
        <f t="shared" si="256"/>
        <v>0</v>
      </c>
    </row>
    <row r="13973" spans="20:20" ht="18.75" customHeight="1" x14ac:dyDescent="0.35">
      <c r="T13973" s="246">
        <f t="shared" si="256"/>
        <v>0</v>
      </c>
    </row>
    <row r="13974" spans="20:20" ht="18.75" customHeight="1" x14ac:dyDescent="0.35">
      <c r="T13974" s="246">
        <f t="shared" si="256"/>
        <v>0</v>
      </c>
    </row>
    <row r="13975" spans="20:20" ht="18.75" customHeight="1" x14ac:dyDescent="0.35">
      <c r="T13975" s="246">
        <f t="shared" si="256"/>
        <v>0</v>
      </c>
    </row>
    <row r="13976" spans="20:20" ht="18.75" customHeight="1" x14ac:dyDescent="0.35">
      <c r="T13976" s="246">
        <f t="shared" si="256"/>
        <v>0</v>
      </c>
    </row>
    <row r="13977" spans="20:20" ht="18.75" customHeight="1" x14ac:dyDescent="0.35">
      <c r="T13977" s="246">
        <f t="shared" si="256"/>
        <v>0</v>
      </c>
    </row>
    <row r="13978" spans="20:20" ht="18.75" customHeight="1" x14ac:dyDescent="0.35">
      <c r="T13978" s="246">
        <f t="shared" si="256"/>
        <v>0</v>
      </c>
    </row>
    <row r="13979" spans="20:20" ht="18.75" customHeight="1" x14ac:dyDescent="0.35">
      <c r="T13979" s="246">
        <f t="shared" si="256"/>
        <v>0</v>
      </c>
    </row>
    <row r="13980" spans="20:20" ht="18.75" customHeight="1" x14ac:dyDescent="0.35">
      <c r="T13980" s="246">
        <f t="shared" si="256"/>
        <v>0</v>
      </c>
    </row>
    <row r="13981" spans="20:20" ht="18.75" customHeight="1" x14ac:dyDescent="0.35">
      <c r="T13981" s="246">
        <f t="shared" si="256"/>
        <v>0</v>
      </c>
    </row>
    <row r="13982" spans="20:20" ht="18.75" customHeight="1" x14ac:dyDescent="0.35">
      <c r="T13982" s="246">
        <f t="shared" si="256"/>
        <v>0</v>
      </c>
    </row>
    <row r="13983" spans="20:20" ht="18.75" customHeight="1" x14ac:dyDescent="0.35">
      <c r="T13983" s="246">
        <f t="shared" si="256"/>
        <v>0</v>
      </c>
    </row>
    <row r="13984" spans="20:20" ht="18.75" customHeight="1" x14ac:dyDescent="0.35">
      <c r="T13984" s="246">
        <f t="shared" si="256"/>
        <v>0</v>
      </c>
    </row>
    <row r="13985" spans="20:20" ht="18.75" customHeight="1" x14ac:dyDescent="0.35">
      <c r="T13985" s="246">
        <f t="shared" si="256"/>
        <v>0</v>
      </c>
    </row>
    <row r="13986" spans="20:20" ht="18.75" customHeight="1" x14ac:dyDescent="0.35">
      <c r="T13986" s="246">
        <f t="shared" si="256"/>
        <v>0</v>
      </c>
    </row>
    <row r="13987" spans="20:20" ht="18.75" customHeight="1" x14ac:dyDescent="0.35">
      <c r="T13987" s="246">
        <f t="shared" si="256"/>
        <v>0</v>
      </c>
    </row>
    <row r="13988" spans="20:20" ht="18.75" customHeight="1" x14ac:dyDescent="0.35">
      <c r="T13988" s="246">
        <f t="shared" si="256"/>
        <v>0</v>
      </c>
    </row>
    <row r="13989" spans="20:20" ht="18.75" customHeight="1" x14ac:dyDescent="0.35">
      <c r="T13989" s="246">
        <f t="shared" si="256"/>
        <v>0</v>
      </c>
    </row>
    <row r="13990" spans="20:20" ht="18.75" customHeight="1" x14ac:dyDescent="0.35">
      <c r="T13990" s="246">
        <f t="shared" si="256"/>
        <v>0</v>
      </c>
    </row>
    <row r="13991" spans="20:20" ht="18.75" customHeight="1" x14ac:dyDescent="0.35">
      <c r="T13991" s="246">
        <f t="shared" si="256"/>
        <v>0</v>
      </c>
    </row>
    <row r="13992" spans="20:20" ht="18.75" customHeight="1" x14ac:dyDescent="0.35">
      <c r="T13992" s="246">
        <f t="shared" si="256"/>
        <v>0</v>
      </c>
    </row>
    <row r="13993" spans="20:20" ht="18.75" customHeight="1" x14ac:dyDescent="0.35">
      <c r="T13993" s="246">
        <f t="shared" si="256"/>
        <v>0</v>
      </c>
    </row>
    <row r="13994" spans="20:20" ht="18.75" customHeight="1" x14ac:dyDescent="0.35">
      <c r="T13994" s="246">
        <f t="shared" si="256"/>
        <v>0</v>
      </c>
    </row>
    <row r="13995" spans="20:20" ht="18.75" customHeight="1" x14ac:dyDescent="0.35">
      <c r="T13995" s="246">
        <f t="shared" si="256"/>
        <v>0</v>
      </c>
    </row>
    <row r="13996" spans="20:20" ht="18.75" customHeight="1" x14ac:dyDescent="0.35">
      <c r="T13996" s="246">
        <f t="shared" si="256"/>
        <v>0</v>
      </c>
    </row>
    <row r="13997" spans="20:20" ht="18.75" customHeight="1" x14ac:dyDescent="0.35">
      <c r="T13997" s="246">
        <f t="shared" si="256"/>
        <v>0</v>
      </c>
    </row>
    <row r="13998" spans="20:20" ht="18.75" customHeight="1" x14ac:dyDescent="0.35">
      <c r="T13998" s="246">
        <f t="shared" si="256"/>
        <v>0</v>
      </c>
    </row>
    <row r="13999" spans="20:20" ht="18.75" customHeight="1" x14ac:dyDescent="0.35">
      <c r="T13999" s="246">
        <f t="shared" si="256"/>
        <v>0</v>
      </c>
    </row>
    <row r="14000" spans="20:20" ht="18.75" customHeight="1" x14ac:dyDescent="0.35">
      <c r="T14000" s="246">
        <f t="shared" si="256"/>
        <v>0</v>
      </c>
    </row>
    <row r="14001" spans="20:20" ht="18.75" customHeight="1" x14ac:dyDescent="0.35">
      <c r="T14001" s="246">
        <f t="shared" si="256"/>
        <v>0</v>
      </c>
    </row>
    <row r="14002" spans="20:20" ht="18.75" customHeight="1" x14ac:dyDescent="0.35">
      <c r="T14002" s="246">
        <f t="shared" si="256"/>
        <v>0</v>
      </c>
    </row>
    <row r="14003" spans="20:20" ht="18.75" customHeight="1" x14ac:dyDescent="0.35">
      <c r="T14003" s="246">
        <f t="shared" si="256"/>
        <v>0</v>
      </c>
    </row>
    <row r="14004" spans="20:20" ht="18.75" customHeight="1" x14ac:dyDescent="0.35">
      <c r="T14004" s="246">
        <f t="shared" si="256"/>
        <v>0</v>
      </c>
    </row>
    <row r="14005" spans="20:20" ht="18.75" customHeight="1" x14ac:dyDescent="0.35">
      <c r="T14005" s="246">
        <f t="shared" si="256"/>
        <v>0</v>
      </c>
    </row>
    <row r="14006" spans="20:20" ht="18.75" customHeight="1" x14ac:dyDescent="0.35">
      <c r="T14006" s="246">
        <f t="shared" si="256"/>
        <v>0</v>
      </c>
    </row>
    <row r="14007" spans="20:20" ht="18.75" customHeight="1" x14ac:dyDescent="0.35">
      <c r="T14007" s="246">
        <f t="shared" si="256"/>
        <v>0</v>
      </c>
    </row>
    <row r="14008" spans="20:20" ht="18.75" customHeight="1" x14ac:dyDescent="0.35">
      <c r="T14008" s="246">
        <f t="shared" si="256"/>
        <v>0</v>
      </c>
    </row>
    <row r="14009" spans="20:20" ht="18.75" customHeight="1" x14ac:dyDescent="0.35">
      <c r="T14009" s="246">
        <f t="shared" si="256"/>
        <v>0</v>
      </c>
    </row>
    <row r="14010" spans="20:20" ht="18.75" customHeight="1" x14ac:dyDescent="0.35">
      <c r="T14010" s="246">
        <f t="shared" si="256"/>
        <v>0</v>
      </c>
    </row>
    <row r="14011" spans="20:20" ht="18.75" customHeight="1" x14ac:dyDescent="0.35">
      <c r="T14011" s="246">
        <f t="shared" si="256"/>
        <v>0</v>
      </c>
    </row>
    <row r="14012" spans="20:20" ht="18.75" customHeight="1" x14ac:dyDescent="0.35">
      <c r="T14012" s="246">
        <f t="shared" ref="T14012:T14075" si="257">R14012*0.01</f>
        <v>0</v>
      </c>
    </row>
    <row r="14013" spans="20:20" ht="18.75" customHeight="1" x14ac:dyDescent="0.35">
      <c r="T14013" s="246">
        <f t="shared" si="257"/>
        <v>0</v>
      </c>
    </row>
    <row r="14014" spans="20:20" ht="18.75" customHeight="1" x14ac:dyDescent="0.35">
      <c r="T14014" s="246">
        <f t="shared" si="257"/>
        <v>0</v>
      </c>
    </row>
    <row r="14015" spans="20:20" ht="18.75" customHeight="1" x14ac:dyDescent="0.35">
      <c r="T14015" s="246">
        <f t="shared" si="257"/>
        <v>0</v>
      </c>
    </row>
    <row r="14016" spans="20:20" ht="18.75" customHeight="1" x14ac:dyDescent="0.35">
      <c r="T14016" s="246">
        <f t="shared" si="257"/>
        <v>0</v>
      </c>
    </row>
    <row r="14017" spans="20:20" ht="18.75" customHeight="1" x14ac:dyDescent="0.35">
      <c r="T14017" s="246">
        <f t="shared" si="257"/>
        <v>0</v>
      </c>
    </row>
    <row r="14018" spans="20:20" ht="18.75" customHeight="1" x14ac:dyDescent="0.35">
      <c r="T14018" s="246">
        <f t="shared" si="257"/>
        <v>0</v>
      </c>
    </row>
    <row r="14019" spans="20:20" ht="18.75" customHeight="1" x14ac:dyDescent="0.35">
      <c r="T14019" s="246">
        <f t="shared" si="257"/>
        <v>0</v>
      </c>
    </row>
    <row r="14020" spans="20:20" ht="18.75" customHeight="1" x14ac:dyDescent="0.35">
      <c r="T14020" s="246">
        <f t="shared" si="257"/>
        <v>0</v>
      </c>
    </row>
    <row r="14021" spans="20:20" ht="18.75" customHeight="1" x14ac:dyDescent="0.35">
      <c r="T14021" s="246">
        <f t="shared" si="257"/>
        <v>0</v>
      </c>
    </row>
    <row r="14022" spans="20:20" ht="18.75" customHeight="1" x14ac:dyDescent="0.35">
      <c r="T14022" s="246">
        <f t="shared" si="257"/>
        <v>0</v>
      </c>
    </row>
    <row r="14023" spans="20:20" ht="18.75" customHeight="1" x14ac:dyDescent="0.35">
      <c r="T14023" s="246">
        <f t="shared" si="257"/>
        <v>0</v>
      </c>
    </row>
    <row r="14024" spans="20:20" ht="18.75" customHeight="1" x14ac:dyDescent="0.35">
      <c r="T14024" s="246">
        <f t="shared" si="257"/>
        <v>0</v>
      </c>
    </row>
    <row r="14025" spans="20:20" ht="18.75" customHeight="1" x14ac:dyDescent="0.35">
      <c r="T14025" s="246">
        <f t="shared" si="257"/>
        <v>0</v>
      </c>
    </row>
    <row r="14026" spans="20:20" ht="18.75" customHeight="1" x14ac:dyDescent="0.35">
      <c r="T14026" s="246">
        <f t="shared" si="257"/>
        <v>0</v>
      </c>
    </row>
    <row r="14027" spans="20:20" ht="18.75" customHeight="1" x14ac:dyDescent="0.35">
      <c r="T14027" s="246">
        <f t="shared" si="257"/>
        <v>0</v>
      </c>
    </row>
    <row r="14028" spans="20:20" ht="18.75" customHeight="1" x14ac:dyDescent="0.35">
      <c r="T14028" s="246">
        <f t="shared" si="257"/>
        <v>0</v>
      </c>
    </row>
    <row r="14029" spans="20:20" ht="18.75" customHeight="1" x14ac:dyDescent="0.35">
      <c r="T14029" s="246">
        <f t="shared" si="257"/>
        <v>0</v>
      </c>
    </row>
    <row r="14030" spans="20:20" ht="18.75" customHeight="1" x14ac:dyDescent="0.35">
      <c r="T14030" s="246">
        <f t="shared" si="257"/>
        <v>0</v>
      </c>
    </row>
    <row r="14031" spans="20:20" ht="18.75" customHeight="1" x14ac:dyDescent="0.35">
      <c r="T14031" s="246">
        <f t="shared" si="257"/>
        <v>0</v>
      </c>
    </row>
    <row r="14032" spans="20:20" ht="18.75" customHeight="1" x14ac:dyDescent="0.35">
      <c r="T14032" s="246">
        <f t="shared" si="257"/>
        <v>0</v>
      </c>
    </row>
    <row r="14033" spans="20:20" ht="18.75" customHeight="1" x14ac:dyDescent="0.35">
      <c r="T14033" s="246">
        <f t="shared" si="257"/>
        <v>0</v>
      </c>
    </row>
    <row r="14034" spans="20:20" ht="18.75" customHeight="1" x14ac:dyDescent="0.35">
      <c r="T14034" s="246">
        <f t="shared" si="257"/>
        <v>0</v>
      </c>
    </row>
    <row r="14035" spans="20:20" ht="18.75" customHeight="1" x14ac:dyDescent="0.35">
      <c r="T14035" s="246">
        <f t="shared" si="257"/>
        <v>0</v>
      </c>
    </row>
    <row r="14036" spans="20:20" ht="18.75" customHeight="1" x14ac:dyDescent="0.35">
      <c r="T14036" s="246">
        <f t="shared" si="257"/>
        <v>0</v>
      </c>
    </row>
    <row r="14037" spans="20:20" ht="18.75" customHeight="1" x14ac:dyDescent="0.35">
      <c r="T14037" s="246">
        <f t="shared" si="257"/>
        <v>0</v>
      </c>
    </row>
    <row r="14038" spans="20:20" ht="18.75" customHeight="1" x14ac:dyDescent="0.35">
      <c r="T14038" s="246">
        <f t="shared" si="257"/>
        <v>0</v>
      </c>
    </row>
    <row r="14039" spans="20:20" ht="18.75" customHeight="1" x14ac:dyDescent="0.35">
      <c r="T14039" s="246">
        <f t="shared" si="257"/>
        <v>0</v>
      </c>
    </row>
    <row r="14040" spans="20:20" ht="18.75" customHeight="1" x14ac:dyDescent="0.35">
      <c r="T14040" s="246">
        <f t="shared" si="257"/>
        <v>0</v>
      </c>
    </row>
    <row r="14041" spans="20:20" ht="18.75" customHeight="1" x14ac:dyDescent="0.35">
      <c r="T14041" s="246">
        <f t="shared" si="257"/>
        <v>0</v>
      </c>
    </row>
    <row r="14042" spans="20:20" ht="18.75" customHeight="1" x14ac:dyDescent="0.35">
      <c r="T14042" s="246">
        <f t="shared" si="257"/>
        <v>0</v>
      </c>
    </row>
    <row r="14043" spans="20:20" ht="18.75" customHeight="1" x14ac:dyDescent="0.35">
      <c r="T14043" s="246">
        <f t="shared" si="257"/>
        <v>0</v>
      </c>
    </row>
    <row r="14044" spans="20:20" ht="18.75" customHeight="1" x14ac:dyDescent="0.35">
      <c r="T14044" s="246">
        <f t="shared" si="257"/>
        <v>0</v>
      </c>
    </row>
    <row r="14045" spans="20:20" ht="18.75" customHeight="1" x14ac:dyDescent="0.35">
      <c r="T14045" s="246">
        <f t="shared" si="257"/>
        <v>0</v>
      </c>
    </row>
    <row r="14046" spans="20:20" ht="18.75" customHeight="1" x14ac:dyDescent="0.35">
      <c r="T14046" s="246">
        <f t="shared" si="257"/>
        <v>0</v>
      </c>
    </row>
    <row r="14047" spans="20:20" ht="18.75" customHeight="1" x14ac:dyDescent="0.35">
      <c r="T14047" s="246">
        <f t="shared" si="257"/>
        <v>0</v>
      </c>
    </row>
    <row r="14048" spans="20:20" ht="18.75" customHeight="1" x14ac:dyDescent="0.35">
      <c r="T14048" s="246">
        <f t="shared" si="257"/>
        <v>0</v>
      </c>
    </row>
    <row r="14049" spans="20:20" ht="18.75" customHeight="1" x14ac:dyDescent="0.35">
      <c r="T14049" s="246">
        <f t="shared" si="257"/>
        <v>0</v>
      </c>
    </row>
    <row r="14050" spans="20:20" ht="18.75" customHeight="1" x14ac:dyDescent="0.35">
      <c r="T14050" s="246">
        <f t="shared" si="257"/>
        <v>0</v>
      </c>
    </row>
    <row r="14051" spans="20:20" ht="18.75" customHeight="1" x14ac:dyDescent="0.35">
      <c r="T14051" s="246">
        <f t="shared" si="257"/>
        <v>0</v>
      </c>
    </row>
    <row r="14052" spans="20:20" ht="18.75" customHeight="1" x14ac:dyDescent="0.35">
      <c r="T14052" s="246">
        <f t="shared" si="257"/>
        <v>0</v>
      </c>
    </row>
    <row r="14053" spans="20:20" ht="18.75" customHeight="1" x14ac:dyDescent="0.35">
      <c r="T14053" s="246">
        <f t="shared" si="257"/>
        <v>0</v>
      </c>
    </row>
    <row r="14054" spans="20:20" ht="18.75" customHeight="1" x14ac:dyDescent="0.35">
      <c r="T14054" s="246">
        <f t="shared" si="257"/>
        <v>0</v>
      </c>
    </row>
    <row r="14055" spans="20:20" ht="18.75" customHeight="1" x14ac:dyDescent="0.35">
      <c r="T14055" s="246">
        <f t="shared" si="257"/>
        <v>0</v>
      </c>
    </row>
    <row r="14056" spans="20:20" ht="18.75" customHeight="1" x14ac:dyDescent="0.35">
      <c r="T14056" s="246">
        <f t="shared" si="257"/>
        <v>0</v>
      </c>
    </row>
    <row r="14057" spans="20:20" ht="18.75" customHeight="1" x14ac:dyDescent="0.35">
      <c r="T14057" s="246">
        <f t="shared" si="257"/>
        <v>0</v>
      </c>
    </row>
    <row r="14058" spans="20:20" ht="18.75" customHeight="1" x14ac:dyDescent="0.35">
      <c r="T14058" s="246">
        <f t="shared" si="257"/>
        <v>0</v>
      </c>
    </row>
    <row r="14059" spans="20:20" ht="18.75" customHeight="1" x14ac:dyDescent="0.35">
      <c r="T14059" s="246">
        <f t="shared" si="257"/>
        <v>0</v>
      </c>
    </row>
    <row r="14060" spans="20:20" ht="18.75" customHeight="1" x14ac:dyDescent="0.35">
      <c r="T14060" s="246">
        <f t="shared" si="257"/>
        <v>0</v>
      </c>
    </row>
    <row r="14061" spans="20:20" ht="18.75" customHeight="1" x14ac:dyDescent="0.35">
      <c r="T14061" s="246">
        <f t="shared" si="257"/>
        <v>0</v>
      </c>
    </row>
    <row r="14062" spans="20:20" ht="18.75" customHeight="1" x14ac:dyDescent="0.35">
      <c r="T14062" s="246">
        <f t="shared" si="257"/>
        <v>0</v>
      </c>
    </row>
    <row r="14063" spans="20:20" ht="18.75" customHeight="1" x14ac:dyDescent="0.35">
      <c r="T14063" s="246">
        <f t="shared" si="257"/>
        <v>0</v>
      </c>
    </row>
    <row r="14064" spans="20:20" ht="18.75" customHeight="1" x14ac:dyDescent="0.35">
      <c r="T14064" s="246">
        <f t="shared" si="257"/>
        <v>0</v>
      </c>
    </row>
    <row r="14065" spans="20:20" ht="18.75" customHeight="1" x14ac:dyDescent="0.35">
      <c r="T14065" s="246">
        <f t="shared" si="257"/>
        <v>0</v>
      </c>
    </row>
    <row r="14066" spans="20:20" ht="18.75" customHeight="1" x14ac:dyDescent="0.35">
      <c r="T14066" s="246">
        <f t="shared" si="257"/>
        <v>0</v>
      </c>
    </row>
    <row r="14067" spans="20:20" ht="18.75" customHeight="1" x14ac:dyDescent="0.35">
      <c r="T14067" s="246">
        <f t="shared" si="257"/>
        <v>0</v>
      </c>
    </row>
    <row r="14068" spans="20:20" ht="18.75" customHeight="1" x14ac:dyDescent="0.35">
      <c r="T14068" s="246">
        <f t="shared" si="257"/>
        <v>0</v>
      </c>
    </row>
    <row r="14069" spans="20:20" ht="18.75" customHeight="1" x14ac:dyDescent="0.35">
      <c r="T14069" s="246">
        <f t="shared" si="257"/>
        <v>0</v>
      </c>
    </row>
    <row r="14070" spans="20:20" ht="18.75" customHeight="1" x14ac:dyDescent="0.35">
      <c r="T14070" s="246">
        <f t="shared" si="257"/>
        <v>0</v>
      </c>
    </row>
    <row r="14071" spans="20:20" ht="18.75" customHeight="1" x14ac:dyDescent="0.35">
      <c r="T14071" s="246">
        <f t="shared" si="257"/>
        <v>0</v>
      </c>
    </row>
    <row r="14072" spans="20:20" ht="18.75" customHeight="1" x14ac:dyDescent="0.35">
      <c r="T14072" s="246">
        <f t="shared" si="257"/>
        <v>0</v>
      </c>
    </row>
    <row r="14073" spans="20:20" ht="18.75" customHeight="1" x14ac:dyDescent="0.35">
      <c r="T14073" s="246">
        <f t="shared" si="257"/>
        <v>0</v>
      </c>
    </row>
    <row r="14074" spans="20:20" ht="18.75" customHeight="1" x14ac:dyDescent="0.35">
      <c r="T14074" s="246">
        <f t="shared" si="257"/>
        <v>0</v>
      </c>
    </row>
    <row r="14075" spans="20:20" ht="18.75" customHeight="1" x14ac:dyDescent="0.35">
      <c r="T14075" s="246">
        <f t="shared" si="257"/>
        <v>0</v>
      </c>
    </row>
    <row r="14076" spans="20:20" ht="18.75" customHeight="1" x14ac:dyDescent="0.35">
      <c r="T14076" s="246">
        <f t="shared" ref="T14076:T14139" si="258">R14076*0.01</f>
        <v>0</v>
      </c>
    </row>
    <row r="14077" spans="20:20" ht="18.75" customHeight="1" x14ac:dyDescent="0.35">
      <c r="T14077" s="246">
        <f t="shared" si="258"/>
        <v>0</v>
      </c>
    </row>
    <row r="14078" spans="20:20" ht="18.75" customHeight="1" x14ac:dyDescent="0.35">
      <c r="T14078" s="246">
        <f t="shared" si="258"/>
        <v>0</v>
      </c>
    </row>
    <row r="14079" spans="20:20" ht="18.75" customHeight="1" x14ac:dyDescent="0.35">
      <c r="T14079" s="246">
        <f t="shared" si="258"/>
        <v>0</v>
      </c>
    </row>
    <row r="14080" spans="20:20" ht="18.75" customHeight="1" x14ac:dyDescent="0.35">
      <c r="T14080" s="246">
        <f t="shared" si="258"/>
        <v>0</v>
      </c>
    </row>
    <row r="14081" spans="20:20" ht="18.75" customHeight="1" x14ac:dyDescent="0.35">
      <c r="T14081" s="246">
        <f t="shared" si="258"/>
        <v>0</v>
      </c>
    </row>
    <row r="14082" spans="20:20" ht="18.75" customHeight="1" x14ac:dyDescent="0.35">
      <c r="T14082" s="246">
        <f t="shared" si="258"/>
        <v>0</v>
      </c>
    </row>
    <row r="14083" spans="20:20" ht="18.75" customHeight="1" x14ac:dyDescent="0.35">
      <c r="T14083" s="246">
        <f t="shared" si="258"/>
        <v>0</v>
      </c>
    </row>
    <row r="14084" spans="20:20" ht="18.75" customHeight="1" x14ac:dyDescent="0.35">
      <c r="T14084" s="246">
        <f t="shared" si="258"/>
        <v>0</v>
      </c>
    </row>
    <row r="14085" spans="20:20" ht="18.75" customHeight="1" x14ac:dyDescent="0.35">
      <c r="T14085" s="246">
        <f t="shared" si="258"/>
        <v>0</v>
      </c>
    </row>
    <row r="14086" spans="20:20" ht="18.75" customHeight="1" x14ac:dyDescent="0.35">
      <c r="T14086" s="246">
        <f t="shared" si="258"/>
        <v>0</v>
      </c>
    </row>
    <row r="14087" spans="20:20" ht="18.75" customHeight="1" x14ac:dyDescent="0.35">
      <c r="T14087" s="246">
        <f t="shared" si="258"/>
        <v>0</v>
      </c>
    </row>
    <row r="14088" spans="20:20" ht="18.75" customHeight="1" x14ac:dyDescent="0.35">
      <c r="T14088" s="246">
        <f t="shared" si="258"/>
        <v>0</v>
      </c>
    </row>
    <row r="14089" spans="20:20" ht="18.75" customHeight="1" x14ac:dyDescent="0.35">
      <c r="T14089" s="246">
        <f t="shared" si="258"/>
        <v>0</v>
      </c>
    </row>
    <row r="14090" spans="20:20" ht="18.75" customHeight="1" x14ac:dyDescent="0.35">
      <c r="T14090" s="246">
        <f t="shared" si="258"/>
        <v>0</v>
      </c>
    </row>
    <row r="14091" spans="20:20" ht="18.75" customHeight="1" x14ac:dyDescent="0.35">
      <c r="T14091" s="246">
        <f t="shared" si="258"/>
        <v>0</v>
      </c>
    </row>
    <row r="14092" spans="20:20" ht="18.75" customHeight="1" x14ac:dyDescent="0.35">
      <c r="T14092" s="246">
        <f t="shared" si="258"/>
        <v>0</v>
      </c>
    </row>
    <row r="14093" spans="20:20" ht="18.75" customHeight="1" x14ac:dyDescent="0.35">
      <c r="T14093" s="246">
        <f t="shared" si="258"/>
        <v>0</v>
      </c>
    </row>
    <row r="14094" spans="20:20" ht="18.75" customHeight="1" x14ac:dyDescent="0.35">
      <c r="T14094" s="246">
        <f t="shared" si="258"/>
        <v>0</v>
      </c>
    </row>
    <row r="14095" spans="20:20" ht="18.75" customHeight="1" x14ac:dyDescent="0.35">
      <c r="T14095" s="246">
        <f t="shared" si="258"/>
        <v>0</v>
      </c>
    </row>
    <row r="14096" spans="20:20" ht="18.75" customHeight="1" x14ac:dyDescent="0.35">
      <c r="T14096" s="246">
        <f t="shared" si="258"/>
        <v>0</v>
      </c>
    </row>
    <row r="14097" spans="20:20" ht="18.75" customHeight="1" x14ac:dyDescent="0.35">
      <c r="T14097" s="246">
        <f t="shared" si="258"/>
        <v>0</v>
      </c>
    </row>
    <row r="14098" spans="20:20" ht="18.75" customHeight="1" x14ac:dyDescent="0.35">
      <c r="T14098" s="246">
        <f t="shared" si="258"/>
        <v>0</v>
      </c>
    </row>
    <row r="14099" spans="20:20" ht="18.75" customHeight="1" x14ac:dyDescent="0.35">
      <c r="T14099" s="246">
        <f t="shared" si="258"/>
        <v>0</v>
      </c>
    </row>
    <row r="14100" spans="20:20" ht="18.75" customHeight="1" x14ac:dyDescent="0.35">
      <c r="T14100" s="246">
        <f t="shared" si="258"/>
        <v>0</v>
      </c>
    </row>
    <row r="14101" spans="20:20" ht="18.75" customHeight="1" x14ac:dyDescent="0.35">
      <c r="T14101" s="246">
        <f t="shared" si="258"/>
        <v>0</v>
      </c>
    </row>
    <row r="14102" spans="20:20" ht="18.75" customHeight="1" x14ac:dyDescent="0.35">
      <c r="T14102" s="246">
        <f t="shared" si="258"/>
        <v>0</v>
      </c>
    </row>
    <row r="14103" spans="20:20" ht="18.75" customHeight="1" x14ac:dyDescent="0.35">
      <c r="T14103" s="246">
        <f t="shared" si="258"/>
        <v>0</v>
      </c>
    </row>
    <row r="14104" spans="20:20" ht="18.75" customHeight="1" x14ac:dyDescent="0.35">
      <c r="T14104" s="246">
        <f t="shared" si="258"/>
        <v>0</v>
      </c>
    </row>
    <row r="14105" spans="20:20" ht="18.75" customHeight="1" x14ac:dyDescent="0.35">
      <c r="T14105" s="246">
        <f t="shared" si="258"/>
        <v>0</v>
      </c>
    </row>
    <row r="14106" spans="20:20" ht="18.75" customHeight="1" x14ac:dyDescent="0.35">
      <c r="T14106" s="246">
        <f t="shared" si="258"/>
        <v>0</v>
      </c>
    </row>
    <row r="14107" spans="20:20" ht="18.75" customHeight="1" x14ac:dyDescent="0.35">
      <c r="T14107" s="246">
        <f t="shared" si="258"/>
        <v>0</v>
      </c>
    </row>
    <row r="14108" spans="20:20" ht="18.75" customHeight="1" x14ac:dyDescent="0.35">
      <c r="T14108" s="246">
        <f t="shared" si="258"/>
        <v>0</v>
      </c>
    </row>
    <row r="14109" spans="20:20" ht="18.75" customHeight="1" x14ac:dyDescent="0.35">
      <c r="T14109" s="246">
        <f t="shared" si="258"/>
        <v>0</v>
      </c>
    </row>
    <row r="14110" spans="20:20" ht="18.75" customHeight="1" x14ac:dyDescent="0.35">
      <c r="T14110" s="246">
        <f t="shared" si="258"/>
        <v>0</v>
      </c>
    </row>
    <row r="14111" spans="20:20" ht="18.75" customHeight="1" x14ac:dyDescent="0.35">
      <c r="T14111" s="246">
        <f t="shared" si="258"/>
        <v>0</v>
      </c>
    </row>
    <row r="14112" spans="20:20" ht="18.75" customHeight="1" x14ac:dyDescent="0.35">
      <c r="T14112" s="246">
        <f t="shared" si="258"/>
        <v>0</v>
      </c>
    </row>
    <row r="14113" spans="20:20" ht="18.75" customHeight="1" x14ac:dyDescent="0.35">
      <c r="T14113" s="246">
        <f t="shared" si="258"/>
        <v>0</v>
      </c>
    </row>
    <row r="14114" spans="20:20" ht="18.75" customHeight="1" x14ac:dyDescent="0.35">
      <c r="T14114" s="246">
        <f t="shared" si="258"/>
        <v>0</v>
      </c>
    </row>
    <row r="14115" spans="20:20" ht="18.75" customHeight="1" x14ac:dyDescent="0.35">
      <c r="T14115" s="246">
        <f t="shared" si="258"/>
        <v>0</v>
      </c>
    </row>
    <row r="14116" spans="20:20" ht="18.75" customHeight="1" x14ac:dyDescent="0.35">
      <c r="T14116" s="246">
        <f t="shared" si="258"/>
        <v>0</v>
      </c>
    </row>
    <row r="14117" spans="20:20" ht="18.75" customHeight="1" x14ac:dyDescent="0.35">
      <c r="T14117" s="246">
        <f t="shared" si="258"/>
        <v>0</v>
      </c>
    </row>
    <row r="14118" spans="20:20" ht="18.75" customHeight="1" x14ac:dyDescent="0.35">
      <c r="T14118" s="246">
        <f t="shared" si="258"/>
        <v>0</v>
      </c>
    </row>
    <row r="14119" spans="20:20" ht="18.75" customHeight="1" x14ac:dyDescent="0.35">
      <c r="T14119" s="246">
        <f t="shared" si="258"/>
        <v>0</v>
      </c>
    </row>
    <row r="14120" spans="20:20" ht="18.75" customHeight="1" x14ac:dyDescent="0.35">
      <c r="T14120" s="246">
        <f t="shared" si="258"/>
        <v>0</v>
      </c>
    </row>
    <row r="14121" spans="20:20" ht="18.75" customHeight="1" x14ac:dyDescent="0.35">
      <c r="T14121" s="246">
        <f t="shared" si="258"/>
        <v>0</v>
      </c>
    </row>
    <row r="14122" spans="20:20" ht="18.75" customHeight="1" x14ac:dyDescent="0.35">
      <c r="T14122" s="246">
        <f t="shared" si="258"/>
        <v>0</v>
      </c>
    </row>
    <row r="14123" spans="20:20" ht="18.75" customHeight="1" x14ac:dyDescent="0.35">
      <c r="T14123" s="246">
        <f t="shared" si="258"/>
        <v>0</v>
      </c>
    </row>
    <row r="14124" spans="20:20" ht="18.75" customHeight="1" x14ac:dyDescent="0.35">
      <c r="T14124" s="246">
        <f t="shared" si="258"/>
        <v>0</v>
      </c>
    </row>
    <row r="14125" spans="20:20" ht="18.75" customHeight="1" x14ac:dyDescent="0.35">
      <c r="T14125" s="246">
        <f t="shared" si="258"/>
        <v>0</v>
      </c>
    </row>
    <row r="14126" spans="20:20" ht="18.75" customHeight="1" x14ac:dyDescent="0.35">
      <c r="T14126" s="246">
        <f t="shared" si="258"/>
        <v>0</v>
      </c>
    </row>
    <row r="14127" spans="20:20" ht="18.75" customHeight="1" x14ac:dyDescent="0.35">
      <c r="T14127" s="246">
        <f t="shared" si="258"/>
        <v>0</v>
      </c>
    </row>
    <row r="14128" spans="20:20" ht="18.75" customHeight="1" x14ac:dyDescent="0.35">
      <c r="T14128" s="246">
        <f t="shared" si="258"/>
        <v>0</v>
      </c>
    </row>
    <row r="14129" spans="20:20" ht="18.75" customHeight="1" x14ac:dyDescent="0.35">
      <c r="T14129" s="246">
        <f t="shared" si="258"/>
        <v>0</v>
      </c>
    </row>
    <row r="14130" spans="20:20" ht="18.75" customHeight="1" x14ac:dyDescent="0.35">
      <c r="T14130" s="246">
        <f t="shared" si="258"/>
        <v>0</v>
      </c>
    </row>
    <row r="14131" spans="20:20" ht="18.75" customHeight="1" x14ac:dyDescent="0.35">
      <c r="T14131" s="246">
        <f t="shared" si="258"/>
        <v>0</v>
      </c>
    </row>
    <row r="14132" spans="20:20" ht="18.75" customHeight="1" x14ac:dyDescent="0.35">
      <c r="T14132" s="246">
        <f t="shared" si="258"/>
        <v>0</v>
      </c>
    </row>
    <row r="14133" spans="20:20" ht="18.75" customHeight="1" x14ac:dyDescent="0.35">
      <c r="T14133" s="246">
        <f t="shared" si="258"/>
        <v>0</v>
      </c>
    </row>
    <row r="14134" spans="20:20" ht="18.75" customHeight="1" x14ac:dyDescent="0.35">
      <c r="T14134" s="246">
        <f t="shared" si="258"/>
        <v>0</v>
      </c>
    </row>
    <row r="14135" spans="20:20" ht="18.75" customHeight="1" x14ac:dyDescent="0.35">
      <c r="T14135" s="246">
        <f t="shared" si="258"/>
        <v>0</v>
      </c>
    </row>
    <row r="14136" spans="20:20" ht="18.75" customHeight="1" x14ac:dyDescent="0.35">
      <c r="T14136" s="246">
        <f t="shared" si="258"/>
        <v>0</v>
      </c>
    </row>
    <row r="14137" spans="20:20" ht="18.75" customHeight="1" x14ac:dyDescent="0.35">
      <c r="T14137" s="246">
        <f t="shared" si="258"/>
        <v>0</v>
      </c>
    </row>
    <row r="14138" spans="20:20" ht="18.75" customHeight="1" x14ac:dyDescent="0.35">
      <c r="T14138" s="246">
        <f t="shared" si="258"/>
        <v>0</v>
      </c>
    </row>
    <row r="14139" spans="20:20" ht="18.75" customHeight="1" x14ac:dyDescent="0.35">
      <c r="T14139" s="246">
        <f t="shared" si="258"/>
        <v>0</v>
      </c>
    </row>
    <row r="14140" spans="20:20" ht="18.75" customHeight="1" x14ac:dyDescent="0.35">
      <c r="T14140" s="246">
        <f t="shared" ref="T14140:T14203" si="259">R14140*0.01</f>
        <v>0</v>
      </c>
    </row>
    <row r="14141" spans="20:20" ht="18.75" customHeight="1" x14ac:dyDescent="0.35">
      <c r="T14141" s="246">
        <f t="shared" si="259"/>
        <v>0</v>
      </c>
    </row>
    <row r="14142" spans="20:20" ht="18.75" customHeight="1" x14ac:dyDescent="0.35">
      <c r="T14142" s="246">
        <f t="shared" si="259"/>
        <v>0</v>
      </c>
    </row>
    <row r="14143" spans="20:20" ht="18.75" customHeight="1" x14ac:dyDescent="0.35">
      <c r="T14143" s="246">
        <f t="shared" si="259"/>
        <v>0</v>
      </c>
    </row>
    <row r="14144" spans="20:20" ht="18.75" customHeight="1" x14ac:dyDescent="0.35">
      <c r="T14144" s="246">
        <f t="shared" si="259"/>
        <v>0</v>
      </c>
    </row>
    <row r="14145" spans="20:20" ht="18.75" customHeight="1" x14ac:dyDescent="0.35">
      <c r="T14145" s="246">
        <f t="shared" si="259"/>
        <v>0</v>
      </c>
    </row>
    <row r="14146" spans="20:20" ht="18.75" customHeight="1" x14ac:dyDescent="0.35">
      <c r="T14146" s="246">
        <f t="shared" si="259"/>
        <v>0</v>
      </c>
    </row>
    <row r="14147" spans="20:20" ht="18.75" customHeight="1" x14ac:dyDescent="0.35">
      <c r="T14147" s="246">
        <f t="shared" si="259"/>
        <v>0</v>
      </c>
    </row>
    <row r="14148" spans="20:20" ht="18.75" customHeight="1" x14ac:dyDescent="0.35">
      <c r="T14148" s="246">
        <f t="shared" si="259"/>
        <v>0</v>
      </c>
    </row>
    <row r="14149" spans="20:20" ht="18.75" customHeight="1" x14ac:dyDescent="0.35">
      <c r="T14149" s="246">
        <f t="shared" si="259"/>
        <v>0</v>
      </c>
    </row>
    <row r="14150" spans="20:20" ht="18.75" customHeight="1" x14ac:dyDescent="0.35">
      <c r="T14150" s="246">
        <f t="shared" si="259"/>
        <v>0</v>
      </c>
    </row>
    <row r="14151" spans="20:20" ht="18.75" customHeight="1" x14ac:dyDescent="0.35">
      <c r="T14151" s="246">
        <f t="shared" si="259"/>
        <v>0</v>
      </c>
    </row>
    <row r="14152" spans="20:20" ht="18.75" customHeight="1" x14ac:dyDescent="0.35">
      <c r="T14152" s="246">
        <f t="shared" si="259"/>
        <v>0</v>
      </c>
    </row>
    <row r="14153" spans="20:20" ht="18.75" customHeight="1" x14ac:dyDescent="0.35">
      <c r="T14153" s="246">
        <f t="shared" si="259"/>
        <v>0</v>
      </c>
    </row>
    <row r="14154" spans="20:20" ht="18.75" customHeight="1" x14ac:dyDescent="0.35">
      <c r="T14154" s="246">
        <f t="shared" si="259"/>
        <v>0</v>
      </c>
    </row>
    <row r="14155" spans="20:20" ht="18.75" customHeight="1" x14ac:dyDescent="0.35">
      <c r="T14155" s="246">
        <f t="shared" si="259"/>
        <v>0</v>
      </c>
    </row>
    <row r="14156" spans="20:20" ht="18.75" customHeight="1" x14ac:dyDescent="0.35">
      <c r="T14156" s="246">
        <f t="shared" si="259"/>
        <v>0</v>
      </c>
    </row>
    <row r="14157" spans="20:20" ht="18.75" customHeight="1" x14ac:dyDescent="0.35">
      <c r="T14157" s="246">
        <f t="shared" si="259"/>
        <v>0</v>
      </c>
    </row>
    <row r="14158" spans="20:20" ht="18.75" customHeight="1" x14ac:dyDescent="0.35">
      <c r="T14158" s="246">
        <f t="shared" si="259"/>
        <v>0</v>
      </c>
    </row>
    <row r="14159" spans="20:20" ht="18.75" customHeight="1" x14ac:dyDescent="0.35">
      <c r="T14159" s="246">
        <f t="shared" si="259"/>
        <v>0</v>
      </c>
    </row>
    <row r="14160" spans="20:20" ht="18.75" customHeight="1" x14ac:dyDescent="0.35">
      <c r="T14160" s="246">
        <f t="shared" si="259"/>
        <v>0</v>
      </c>
    </row>
    <row r="14161" spans="20:20" ht="18.75" customHeight="1" x14ac:dyDescent="0.35">
      <c r="T14161" s="246">
        <f t="shared" si="259"/>
        <v>0</v>
      </c>
    </row>
    <row r="14162" spans="20:20" ht="18.75" customHeight="1" x14ac:dyDescent="0.35">
      <c r="T14162" s="246">
        <f t="shared" si="259"/>
        <v>0</v>
      </c>
    </row>
    <row r="14163" spans="20:20" ht="18.75" customHeight="1" x14ac:dyDescent="0.35">
      <c r="T14163" s="246">
        <f t="shared" si="259"/>
        <v>0</v>
      </c>
    </row>
    <row r="14164" spans="20:20" ht="18.75" customHeight="1" x14ac:dyDescent="0.35">
      <c r="T14164" s="246">
        <f t="shared" si="259"/>
        <v>0</v>
      </c>
    </row>
    <row r="14165" spans="20:20" ht="18.75" customHeight="1" x14ac:dyDescent="0.35">
      <c r="T14165" s="246">
        <f t="shared" si="259"/>
        <v>0</v>
      </c>
    </row>
    <row r="14166" spans="20:20" ht="18.75" customHeight="1" x14ac:dyDescent="0.35">
      <c r="T14166" s="246">
        <f t="shared" si="259"/>
        <v>0</v>
      </c>
    </row>
    <row r="14167" spans="20:20" ht="18.75" customHeight="1" x14ac:dyDescent="0.35">
      <c r="T14167" s="246">
        <f t="shared" si="259"/>
        <v>0</v>
      </c>
    </row>
    <row r="14168" spans="20:20" ht="18.75" customHeight="1" x14ac:dyDescent="0.35">
      <c r="T14168" s="246">
        <f t="shared" si="259"/>
        <v>0</v>
      </c>
    </row>
    <row r="14169" spans="20:20" ht="18.75" customHeight="1" x14ac:dyDescent="0.35">
      <c r="T14169" s="246">
        <f t="shared" si="259"/>
        <v>0</v>
      </c>
    </row>
    <row r="14170" spans="20:20" ht="18.75" customHeight="1" x14ac:dyDescent="0.35">
      <c r="T14170" s="246">
        <f t="shared" si="259"/>
        <v>0</v>
      </c>
    </row>
    <row r="14171" spans="20:20" ht="18.75" customHeight="1" x14ac:dyDescent="0.35">
      <c r="T14171" s="246">
        <f t="shared" si="259"/>
        <v>0</v>
      </c>
    </row>
    <row r="14172" spans="20:20" ht="18.75" customHeight="1" x14ac:dyDescent="0.35">
      <c r="T14172" s="246">
        <f t="shared" si="259"/>
        <v>0</v>
      </c>
    </row>
    <row r="14173" spans="20:20" ht="18.75" customHeight="1" x14ac:dyDescent="0.35">
      <c r="T14173" s="246">
        <f t="shared" si="259"/>
        <v>0</v>
      </c>
    </row>
    <row r="14174" spans="20:20" ht="18.75" customHeight="1" x14ac:dyDescent="0.35">
      <c r="T14174" s="246">
        <f t="shared" si="259"/>
        <v>0</v>
      </c>
    </row>
    <row r="14175" spans="20:20" ht="18.75" customHeight="1" x14ac:dyDescent="0.35">
      <c r="T14175" s="246">
        <f t="shared" si="259"/>
        <v>0</v>
      </c>
    </row>
    <row r="14176" spans="20:20" ht="18.75" customHeight="1" x14ac:dyDescent="0.35">
      <c r="T14176" s="246">
        <f t="shared" si="259"/>
        <v>0</v>
      </c>
    </row>
    <row r="14177" spans="20:20" ht="18.75" customHeight="1" x14ac:dyDescent="0.35">
      <c r="T14177" s="246">
        <f t="shared" si="259"/>
        <v>0</v>
      </c>
    </row>
    <row r="14178" spans="20:20" ht="18.75" customHeight="1" x14ac:dyDescent="0.35">
      <c r="T14178" s="246">
        <f t="shared" si="259"/>
        <v>0</v>
      </c>
    </row>
    <row r="14179" spans="20:20" ht="18.75" customHeight="1" x14ac:dyDescent="0.35">
      <c r="T14179" s="246">
        <f t="shared" si="259"/>
        <v>0</v>
      </c>
    </row>
    <row r="14180" spans="20:20" ht="18.75" customHeight="1" x14ac:dyDescent="0.35">
      <c r="T14180" s="246">
        <f t="shared" si="259"/>
        <v>0</v>
      </c>
    </row>
    <row r="14181" spans="20:20" ht="18.75" customHeight="1" x14ac:dyDescent="0.35">
      <c r="T14181" s="246">
        <f t="shared" si="259"/>
        <v>0</v>
      </c>
    </row>
    <row r="14182" spans="20:20" ht="18.75" customHeight="1" x14ac:dyDescent="0.35">
      <c r="T14182" s="246">
        <f t="shared" si="259"/>
        <v>0</v>
      </c>
    </row>
    <row r="14183" spans="20:20" ht="18.75" customHeight="1" x14ac:dyDescent="0.35">
      <c r="T14183" s="246">
        <f t="shared" si="259"/>
        <v>0</v>
      </c>
    </row>
    <row r="14184" spans="20:20" ht="18.75" customHeight="1" x14ac:dyDescent="0.35">
      <c r="T14184" s="246">
        <f t="shared" si="259"/>
        <v>0</v>
      </c>
    </row>
    <row r="14185" spans="20:20" ht="18.75" customHeight="1" x14ac:dyDescent="0.35">
      <c r="T14185" s="246">
        <f t="shared" si="259"/>
        <v>0</v>
      </c>
    </row>
    <row r="14186" spans="20:20" ht="18.75" customHeight="1" x14ac:dyDescent="0.35">
      <c r="T14186" s="246">
        <f t="shared" si="259"/>
        <v>0</v>
      </c>
    </row>
    <row r="14187" spans="20:20" ht="18.75" customHeight="1" x14ac:dyDescent="0.35">
      <c r="T14187" s="246">
        <f t="shared" si="259"/>
        <v>0</v>
      </c>
    </row>
    <row r="14188" spans="20:20" ht="18.75" customHeight="1" x14ac:dyDescent="0.35">
      <c r="T14188" s="246">
        <f t="shared" si="259"/>
        <v>0</v>
      </c>
    </row>
    <row r="14189" spans="20:20" ht="18.75" customHeight="1" x14ac:dyDescent="0.35">
      <c r="T14189" s="246">
        <f t="shared" si="259"/>
        <v>0</v>
      </c>
    </row>
    <row r="14190" spans="20:20" ht="18.75" customHeight="1" x14ac:dyDescent="0.35">
      <c r="T14190" s="246">
        <f t="shared" si="259"/>
        <v>0</v>
      </c>
    </row>
    <row r="14191" spans="20:20" ht="18.75" customHeight="1" x14ac:dyDescent="0.35">
      <c r="T14191" s="246">
        <f t="shared" si="259"/>
        <v>0</v>
      </c>
    </row>
    <row r="14192" spans="20:20" ht="18.75" customHeight="1" x14ac:dyDescent="0.35">
      <c r="T14192" s="246">
        <f t="shared" si="259"/>
        <v>0</v>
      </c>
    </row>
    <row r="14193" spans="20:20" ht="18.75" customHeight="1" x14ac:dyDescent="0.35">
      <c r="T14193" s="246">
        <f t="shared" si="259"/>
        <v>0</v>
      </c>
    </row>
    <row r="14194" spans="20:20" ht="18.75" customHeight="1" x14ac:dyDescent="0.35">
      <c r="T14194" s="246">
        <f t="shared" si="259"/>
        <v>0</v>
      </c>
    </row>
    <row r="14195" spans="20:20" ht="18.75" customHeight="1" x14ac:dyDescent="0.35">
      <c r="T14195" s="246">
        <f t="shared" si="259"/>
        <v>0</v>
      </c>
    </row>
    <row r="14196" spans="20:20" ht="18.75" customHeight="1" x14ac:dyDescent="0.35">
      <c r="T14196" s="246">
        <f t="shared" si="259"/>
        <v>0</v>
      </c>
    </row>
    <row r="14197" spans="20:20" ht="18.75" customHeight="1" x14ac:dyDescent="0.35">
      <c r="T14197" s="246">
        <f t="shared" si="259"/>
        <v>0</v>
      </c>
    </row>
    <row r="14198" spans="20:20" ht="18.75" customHeight="1" x14ac:dyDescent="0.35">
      <c r="T14198" s="246">
        <f t="shared" si="259"/>
        <v>0</v>
      </c>
    </row>
    <row r="14199" spans="20:20" ht="18.75" customHeight="1" x14ac:dyDescent="0.35">
      <c r="T14199" s="246">
        <f t="shared" si="259"/>
        <v>0</v>
      </c>
    </row>
    <row r="14200" spans="20:20" ht="18.75" customHeight="1" x14ac:dyDescent="0.35">
      <c r="T14200" s="246">
        <f t="shared" si="259"/>
        <v>0</v>
      </c>
    </row>
    <row r="14201" spans="20:20" ht="18.75" customHeight="1" x14ac:dyDescent="0.35">
      <c r="T14201" s="246">
        <f t="shared" si="259"/>
        <v>0</v>
      </c>
    </row>
    <row r="14202" spans="20:20" ht="18.75" customHeight="1" x14ac:dyDescent="0.35">
      <c r="T14202" s="246">
        <f t="shared" si="259"/>
        <v>0</v>
      </c>
    </row>
    <row r="14203" spans="20:20" ht="18.75" customHeight="1" x14ac:dyDescent="0.35">
      <c r="T14203" s="246">
        <f t="shared" si="259"/>
        <v>0</v>
      </c>
    </row>
    <row r="14204" spans="20:20" ht="18.75" customHeight="1" x14ac:dyDescent="0.35">
      <c r="T14204" s="246">
        <f t="shared" ref="T14204:T14267" si="260">R14204*0.01</f>
        <v>0</v>
      </c>
    </row>
    <row r="14205" spans="20:20" ht="18.75" customHeight="1" x14ac:dyDescent="0.35">
      <c r="T14205" s="246">
        <f t="shared" si="260"/>
        <v>0</v>
      </c>
    </row>
    <row r="14206" spans="20:20" ht="18.75" customHeight="1" x14ac:dyDescent="0.35">
      <c r="T14206" s="246">
        <f t="shared" si="260"/>
        <v>0</v>
      </c>
    </row>
    <row r="14207" spans="20:20" ht="18.75" customHeight="1" x14ac:dyDescent="0.35">
      <c r="T14207" s="246">
        <f t="shared" si="260"/>
        <v>0</v>
      </c>
    </row>
    <row r="14208" spans="20:20" ht="18.75" customHeight="1" x14ac:dyDescent="0.35">
      <c r="T14208" s="246">
        <f t="shared" si="260"/>
        <v>0</v>
      </c>
    </row>
    <row r="14209" spans="20:20" ht="18.75" customHeight="1" x14ac:dyDescent="0.35">
      <c r="T14209" s="246">
        <f t="shared" si="260"/>
        <v>0</v>
      </c>
    </row>
    <row r="14210" spans="20:20" ht="18.75" customHeight="1" x14ac:dyDescent="0.35">
      <c r="T14210" s="246">
        <f t="shared" si="260"/>
        <v>0</v>
      </c>
    </row>
    <row r="14211" spans="20:20" ht="18.75" customHeight="1" x14ac:dyDescent="0.35">
      <c r="T14211" s="246">
        <f t="shared" si="260"/>
        <v>0</v>
      </c>
    </row>
    <row r="14212" spans="20:20" ht="18.75" customHeight="1" x14ac:dyDescent="0.35">
      <c r="T14212" s="246">
        <f t="shared" si="260"/>
        <v>0</v>
      </c>
    </row>
    <row r="14213" spans="20:20" ht="18.75" customHeight="1" x14ac:dyDescent="0.35">
      <c r="T14213" s="246">
        <f t="shared" si="260"/>
        <v>0</v>
      </c>
    </row>
    <row r="14214" spans="20:20" ht="18.75" customHeight="1" x14ac:dyDescent="0.35">
      <c r="T14214" s="246">
        <f t="shared" si="260"/>
        <v>0</v>
      </c>
    </row>
    <row r="14215" spans="20:20" ht="18.75" customHeight="1" x14ac:dyDescent="0.35">
      <c r="T14215" s="246">
        <f t="shared" si="260"/>
        <v>0</v>
      </c>
    </row>
    <row r="14216" spans="20:20" ht="18.75" customHeight="1" x14ac:dyDescent="0.35">
      <c r="T14216" s="246">
        <f t="shared" si="260"/>
        <v>0</v>
      </c>
    </row>
    <row r="14217" spans="20:20" ht="18.75" customHeight="1" x14ac:dyDescent="0.35">
      <c r="T14217" s="246">
        <f t="shared" si="260"/>
        <v>0</v>
      </c>
    </row>
    <row r="14218" spans="20:20" ht="18.75" customHeight="1" x14ac:dyDescent="0.35">
      <c r="T14218" s="246">
        <f t="shared" si="260"/>
        <v>0</v>
      </c>
    </row>
    <row r="14219" spans="20:20" ht="18.75" customHeight="1" x14ac:dyDescent="0.35">
      <c r="T14219" s="246">
        <f t="shared" si="260"/>
        <v>0</v>
      </c>
    </row>
    <row r="14220" spans="20:20" ht="18.75" customHeight="1" x14ac:dyDescent="0.35">
      <c r="T14220" s="246">
        <f t="shared" si="260"/>
        <v>0</v>
      </c>
    </row>
    <row r="14221" spans="20:20" ht="18.75" customHeight="1" x14ac:dyDescent="0.35">
      <c r="T14221" s="246">
        <f t="shared" si="260"/>
        <v>0</v>
      </c>
    </row>
    <row r="14222" spans="20:20" ht="18.75" customHeight="1" x14ac:dyDescent="0.35">
      <c r="T14222" s="246">
        <f t="shared" si="260"/>
        <v>0</v>
      </c>
    </row>
    <row r="14223" spans="20:20" ht="18.75" customHeight="1" x14ac:dyDescent="0.35">
      <c r="T14223" s="246">
        <f t="shared" si="260"/>
        <v>0</v>
      </c>
    </row>
    <row r="14224" spans="20:20" ht="18.75" customHeight="1" x14ac:dyDescent="0.35">
      <c r="T14224" s="246">
        <f t="shared" si="260"/>
        <v>0</v>
      </c>
    </row>
    <row r="14225" spans="20:20" ht="18.75" customHeight="1" x14ac:dyDescent="0.35">
      <c r="T14225" s="246">
        <f t="shared" si="260"/>
        <v>0</v>
      </c>
    </row>
    <row r="14226" spans="20:20" ht="18.75" customHeight="1" x14ac:dyDescent="0.35">
      <c r="T14226" s="246">
        <f t="shared" si="260"/>
        <v>0</v>
      </c>
    </row>
    <row r="14227" spans="20:20" ht="18.75" customHeight="1" x14ac:dyDescent="0.35">
      <c r="T14227" s="246">
        <f t="shared" si="260"/>
        <v>0</v>
      </c>
    </row>
    <row r="14228" spans="20:20" ht="18.75" customHeight="1" x14ac:dyDescent="0.35">
      <c r="T14228" s="246">
        <f t="shared" si="260"/>
        <v>0</v>
      </c>
    </row>
    <row r="14229" spans="20:20" ht="18.75" customHeight="1" x14ac:dyDescent="0.35">
      <c r="T14229" s="246">
        <f t="shared" si="260"/>
        <v>0</v>
      </c>
    </row>
    <row r="14230" spans="20:20" ht="18.75" customHeight="1" x14ac:dyDescent="0.35">
      <c r="T14230" s="246">
        <f t="shared" si="260"/>
        <v>0</v>
      </c>
    </row>
    <row r="14231" spans="20:20" ht="18.75" customHeight="1" x14ac:dyDescent="0.35">
      <c r="T14231" s="246">
        <f t="shared" si="260"/>
        <v>0</v>
      </c>
    </row>
    <row r="14232" spans="20:20" ht="18.75" customHeight="1" x14ac:dyDescent="0.35">
      <c r="T14232" s="246">
        <f t="shared" si="260"/>
        <v>0</v>
      </c>
    </row>
    <row r="14233" spans="20:20" ht="18.75" customHeight="1" x14ac:dyDescent="0.35">
      <c r="T14233" s="246">
        <f t="shared" si="260"/>
        <v>0</v>
      </c>
    </row>
    <row r="14234" spans="20:20" ht="18.75" customHeight="1" x14ac:dyDescent="0.35">
      <c r="T14234" s="246">
        <f t="shared" si="260"/>
        <v>0</v>
      </c>
    </row>
    <row r="14235" spans="20:20" ht="18.75" customHeight="1" x14ac:dyDescent="0.35">
      <c r="T14235" s="246">
        <f t="shared" si="260"/>
        <v>0</v>
      </c>
    </row>
    <row r="14236" spans="20:20" ht="18.75" customHeight="1" x14ac:dyDescent="0.35">
      <c r="T14236" s="246">
        <f t="shared" si="260"/>
        <v>0</v>
      </c>
    </row>
    <row r="14237" spans="20:20" ht="18.75" customHeight="1" x14ac:dyDescent="0.35">
      <c r="T14237" s="246">
        <f t="shared" si="260"/>
        <v>0</v>
      </c>
    </row>
    <row r="14238" spans="20:20" ht="18.75" customHeight="1" x14ac:dyDescent="0.35">
      <c r="T14238" s="246">
        <f t="shared" si="260"/>
        <v>0</v>
      </c>
    </row>
    <row r="14239" spans="20:20" ht="18.75" customHeight="1" x14ac:dyDescent="0.35">
      <c r="T14239" s="246">
        <f t="shared" si="260"/>
        <v>0</v>
      </c>
    </row>
    <row r="14240" spans="20:20" ht="18.75" customHeight="1" x14ac:dyDescent="0.35">
      <c r="T14240" s="246">
        <f t="shared" si="260"/>
        <v>0</v>
      </c>
    </row>
    <row r="14241" spans="20:20" ht="18.75" customHeight="1" x14ac:dyDescent="0.35">
      <c r="T14241" s="246">
        <f t="shared" si="260"/>
        <v>0</v>
      </c>
    </row>
    <row r="14242" spans="20:20" ht="18.75" customHeight="1" x14ac:dyDescent="0.35">
      <c r="T14242" s="246">
        <f t="shared" si="260"/>
        <v>0</v>
      </c>
    </row>
    <row r="14243" spans="20:20" ht="18.75" customHeight="1" x14ac:dyDescent="0.35">
      <c r="T14243" s="246">
        <f t="shared" si="260"/>
        <v>0</v>
      </c>
    </row>
    <row r="14244" spans="20:20" ht="18.75" customHeight="1" x14ac:dyDescent="0.35">
      <c r="T14244" s="246">
        <f t="shared" si="260"/>
        <v>0</v>
      </c>
    </row>
    <row r="14245" spans="20:20" ht="18.75" customHeight="1" x14ac:dyDescent="0.35">
      <c r="T14245" s="246">
        <f t="shared" si="260"/>
        <v>0</v>
      </c>
    </row>
    <row r="14246" spans="20:20" ht="18.75" customHeight="1" x14ac:dyDescent="0.35">
      <c r="T14246" s="246">
        <f t="shared" si="260"/>
        <v>0</v>
      </c>
    </row>
    <row r="14247" spans="20:20" ht="18.75" customHeight="1" x14ac:dyDescent="0.35">
      <c r="T14247" s="246">
        <f t="shared" si="260"/>
        <v>0</v>
      </c>
    </row>
    <row r="14248" spans="20:20" ht="18.75" customHeight="1" x14ac:dyDescent="0.35">
      <c r="T14248" s="246">
        <f t="shared" si="260"/>
        <v>0</v>
      </c>
    </row>
    <row r="14249" spans="20:20" ht="18.75" customHeight="1" x14ac:dyDescent="0.35">
      <c r="T14249" s="246">
        <f t="shared" si="260"/>
        <v>0</v>
      </c>
    </row>
    <row r="14250" spans="20:20" ht="18.75" customHeight="1" x14ac:dyDescent="0.35">
      <c r="T14250" s="246">
        <f t="shared" si="260"/>
        <v>0</v>
      </c>
    </row>
    <row r="14251" spans="20:20" ht="18.75" customHeight="1" x14ac:dyDescent="0.35">
      <c r="T14251" s="246">
        <f t="shared" si="260"/>
        <v>0</v>
      </c>
    </row>
    <row r="14252" spans="20:20" ht="18.75" customHeight="1" x14ac:dyDescent="0.35">
      <c r="T14252" s="246">
        <f t="shared" si="260"/>
        <v>0</v>
      </c>
    </row>
    <row r="14253" spans="20:20" ht="18.75" customHeight="1" x14ac:dyDescent="0.35">
      <c r="T14253" s="246">
        <f t="shared" si="260"/>
        <v>0</v>
      </c>
    </row>
    <row r="14254" spans="20:20" ht="18.75" customHeight="1" x14ac:dyDescent="0.35">
      <c r="T14254" s="246">
        <f t="shared" si="260"/>
        <v>0</v>
      </c>
    </row>
    <row r="14255" spans="20:20" ht="18.75" customHeight="1" x14ac:dyDescent="0.35">
      <c r="T14255" s="246">
        <f t="shared" si="260"/>
        <v>0</v>
      </c>
    </row>
    <row r="14256" spans="20:20" ht="18.75" customHeight="1" x14ac:dyDescent="0.35">
      <c r="T14256" s="246">
        <f t="shared" si="260"/>
        <v>0</v>
      </c>
    </row>
    <row r="14257" spans="20:20" ht="18.75" customHeight="1" x14ac:dyDescent="0.35">
      <c r="T14257" s="246">
        <f t="shared" si="260"/>
        <v>0</v>
      </c>
    </row>
    <row r="14258" spans="20:20" ht="18.75" customHeight="1" x14ac:dyDescent="0.35">
      <c r="T14258" s="246">
        <f t="shared" si="260"/>
        <v>0</v>
      </c>
    </row>
    <row r="14259" spans="20:20" ht="18.75" customHeight="1" x14ac:dyDescent="0.35">
      <c r="T14259" s="246">
        <f t="shared" si="260"/>
        <v>0</v>
      </c>
    </row>
    <row r="14260" spans="20:20" ht="18.75" customHeight="1" x14ac:dyDescent="0.35">
      <c r="T14260" s="246">
        <f t="shared" si="260"/>
        <v>0</v>
      </c>
    </row>
    <row r="14261" spans="20:20" ht="18.75" customHeight="1" x14ac:dyDescent="0.35">
      <c r="T14261" s="246">
        <f t="shared" si="260"/>
        <v>0</v>
      </c>
    </row>
    <row r="14262" spans="20:20" ht="18.75" customHeight="1" x14ac:dyDescent="0.35">
      <c r="T14262" s="246">
        <f t="shared" si="260"/>
        <v>0</v>
      </c>
    </row>
    <row r="14263" spans="20:20" ht="18.75" customHeight="1" x14ac:dyDescent="0.35">
      <c r="T14263" s="246">
        <f t="shared" si="260"/>
        <v>0</v>
      </c>
    </row>
    <row r="14264" spans="20:20" ht="18.75" customHeight="1" x14ac:dyDescent="0.35">
      <c r="T14264" s="246">
        <f t="shared" si="260"/>
        <v>0</v>
      </c>
    </row>
    <row r="14265" spans="20:20" ht="18.75" customHeight="1" x14ac:dyDescent="0.35">
      <c r="T14265" s="246">
        <f t="shared" si="260"/>
        <v>0</v>
      </c>
    </row>
    <row r="14266" spans="20:20" ht="18.75" customHeight="1" x14ac:dyDescent="0.35">
      <c r="T14266" s="246">
        <f t="shared" si="260"/>
        <v>0</v>
      </c>
    </row>
    <row r="14267" spans="20:20" ht="18.75" customHeight="1" x14ac:dyDescent="0.35">
      <c r="T14267" s="246">
        <f t="shared" si="260"/>
        <v>0</v>
      </c>
    </row>
    <row r="14268" spans="20:20" ht="18.75" customHeight="1" x14ac:dyDescent="0.35">
      <c r="T14268" s="246">
        <f t="shared" ref="T14268:T14331" si="261">R14268*0.01</f>
        <v>0</v>
      </c>
    </row>
    <row r="14269" spans="20:20" ht="18.75" customHeight="1" x14ac:dyDescent="0.35">
      <c r="T14269" s="246">
        <f t="shared" si="261"/>
        <v>0</v>
      </c>
    </row>
    <row r="14270" spans="20:20" ht="18.75" customHeight="1" x14ac:dyDescent="0.35">
      <c r="T14270" s="246">
        <f t="shared" si="261"/>
        <v>0</v>
      </c>
    </row>
    <row r="14271" spans="20:20" ht="18.75" customHeight="1" x14ac:dyDescent="0.35">
      <c r="T14271" s="246">
        <f t="shared" si="261"/>
        <v>0</v>
      </c>
    </row>
    <row r="14272" spans="20:20" ht="18.75" customHeight="1" x14ac:dyDescent="0.35">
      <c r="T14272" s="246">
        <f t="shared" si="261"/>
        <v>0</v>
      </c>
    </row>
    <row r="14273" spans="20:20" ht="18.75" customHeight="1" x14ac:dyDescent="0.35">
      <c r="T14273" s="246">
        <f t="shared" si="261"/>
        <v>0</v>
      </c>
    </row>
    <row r="14274" spans="20:20" ht="18.75" customHeight="1" x14ac:dyDescent="0.35">
      <c r="T14274" s="246">
        <f t="shared" si="261"/>
        <v>0</v>
      </c>
    </row>
    <row r="14275" spans="20:20" ht="18.75" customHeight="1" x14ac:dyDescent="0.35">
      <c r="T14275" s="246">
        <f t="shared" si="261"/>
        <v>0</v>
      </c>
    </row>
    <row r="14276" spans="20:20" ht="18.75" customHeight="1" x14ac:dyDescent="0.35">
      <c r="T14276" s="246">
        <f t="shared" si="261"/>
        <v>0</v>
      </c>
    </row>
    <row r="14277" spans="20:20" ht="18.75" customHeight="1" x14ac:dyDescent="0.35">
      <c r="T14277" s="246">
        <f t="shared" si="261"/>
        <v>0</v>
      </c>
    </row>
    <row r="14278" spans="20:20" ht="18.75" customHeight="1" x14ac:dyDescent="0.35">
      <c r="T14278" s="246">
        <f t="shared" si="261"/>
        <v>0</v>
      </c>
    </row>
    <row r="14279" spans="20:20" ht="18.75" customHeight="1" x14ac:dyDescent="0.35">
      <c r="T14279" s="246">
        <f t="shared" si="261"/>
        <v>0</v>
      </c>
    </row>
    <row r="14280" spans="20:20" ht="18.75" customHeight="1" x14ac:dyDescent="0.35">
      <c r="T14280" s="246">
        <f t="shared" si="261"/>
        <v>0</v>
      </c>
    </row>
    <row r="14281" spans="20:20" ht="18.75" customHeight="1" x14ac:dyDescent="0.35">
      <c r="T14281" s="246">
        <f t="shared" si="261"/>
        <v>0</v>
      </c>
    </row>
    <row r="14282" spans="20:20" ht="18.75" customHeight="1" x14ac:dyDescent="0.35">
      <c r="T14282" s="246">
        <f t="shared" si="261"/>
        <v>0</v>
      </c>
    </row>
    <row r="14283" spans="20:20" ht="18.75" customHeight="1" x14ac:dyDescent="0.35">
      <c r="T14283" s="246">
        <f t="shared" si="261"/>
        <v>0</v>
      </c>
    </row>
    <row r="14284" spans="20:20" ht="18.75" customHeight="1" x14ac:dyDescent="0.35">
      <c r="T14284" s="246">
        <f t="shared" si="261"/>
        <v>0</v>
      </c>
    </row>
    <row r="14285" spans="20:20" ht="18.75" customHeight="1" x14ac:dyDescent="0.35">
      <c r="T14285" s="246">
        <f t="shared" si="261"/>
        <v>0</v>
      </c>
    </row>
    <row r="14286" spans="20:20" ht="18.75" customHeight="1" x14ac:dyDescent="0.35">
      <c r="T14286" s="246">
        <f t="shared" si="261"/>
        <v>0</v>
      </c>
    </row>
    <row r="14287" spans="20:20" ht="18.75" customHeight="1" x14ac:dyDescent="0.35">
      <c r="T14287" s="246">
        <f t="shared" si="261"/>
        <v>0</v>
      </c>
    </row>
    <row r="14288" spans="20:20" ht="18.75" customHeight="1" x14ac:dyDescent="0.35">
      <c r="T14288" s="246">
        <f t="shared" si="261"/>
        <v>0</v>
      </c>
    </row>
    <row r="14289" spans="20:20" ht="18.75" customHeight="1" x14ac:dyDescent="0.35">
      <c r="T14289" s="246">
        <f t="shared" si="261"/>
        <v>0</v>
      </c>
    </row>
    <row r="14290" spans="20:20" ht="18.75" customHeight="1" x14ac:dyDescent="0.35">
      <c r="T14290" s="246">
        <f t="shared" si="261"/>
        <v>0</v>
      </c>
    </row>
    <row r="14291" spans="20:20" ht="18.75" customHeight="1" x14ac:dyDescent="0.35">
      <c r="T14291" s="246">
        <f t="shared" si="261"/>
        <v>0</v>
      </c>
    </row>
    <row r="14292" spans="20:20" ht="18.75" customHeight="1" x14ac:dyDescent="0.35">
      <c r="T14292" s="246">
        <f t="shared" si="261"/>
        <v>0</v>
      </c>
    </row>
    <row r="14293" spans="20:20" ht="18.75" customHeight="1" x14ac:dyDescent="0.35">
      <c r="T14293" s="246">
        <f t="shared" si="261"/>
        <v>0</v>
      </c>
    </row>
    <row r="14294" spans="20:20" ht="18.75" customHeight="1" x14ac:dyDescent="0.35">
      <c r="T14294" s="246">
        <f t="shared" si="261"/>
        <v>0</v>
      </c>
    </row>
    <row r="14295" spans="20:20" ht="18.75" customHeight="1" x14ac:dyDescent="0.35">
      <c r="T14295" s="246">
        <f t="shared" si="261"/>
        <v>0</v>
      </c>
    </row>
    <row r="14296" spans="20:20" ht="18.75" customHeight="1" x14ac:dyDescent="0.35">
      <c r="T14296" s="246">
        <f t="shared" si="261"/>
        <v>0</v>
      </c>
    </row>
    <row r="14297" spans="20:20" ht="18.75" customHeight="1" x14ac:dyDescent="0.35">
      <c r="T14297" s="246">
        <f t="shared" si="261"/>
        <v>0</v>
      </c>
    </row>
    <row r="14298" spans="20:20" ht="18.75" customHeight="1" x14ac:dyDescent="0.35">
      <c r="T14298" s="246">
        <f t="shared" si="261"/>
        <v>0</v>
      </c>
    </row>
    <row r="14299" spans="20:20" ht="18.75" customHeight="1" x14ac:dyDescent="0.35">
      <c r="T14299" s="246">
        <f t="shared" si="261"/>
        <v>0</v>
      </c>
    </row>
    <row r="14300" spans="20:20" ht="18.75" customHeight="1" x14ac:dyDescent="0.35">
      <c r="T14300" s="246">
        <f t="shared" si="261"/>
        <v>0</v>
      </c>
    </row>
    <row r="14301" spans="20:20" ht="18.75" customHeight="1" x14ac:dyDescent="0.35">
      <c r="T14301" s="246">
        <f t="shared" si="261"/>
        <v>0</v>
      </c>
    </row>
    <row r="14302" spans="20:20" ht="18.75" customHeight="1" x14ac:dyDescent="0.35">
      <c r="T14302" s="246">
        <f t="shared" si="261"/>
        <v>0</v>
      </c>
    </row>
    <row r="14303" spans="20:20" ht="18.75" customHeight="1" x14ac:dyDescent="0.35">
      <c r="T14303" s="246">
        <f t="shared" si="261"/>
        <v>0</v>
      </c>
    </row>
    <row r="14304" spans="20:20" ht="18.75" customHeight="1" x14ac:dyDescent="0.35">
      <c r="T14304" s="246">
        <f t="shared" si="261"/>
        <v>0</v>
      </c>
    </row>
    <row r="14305" spans="20:20" ht="18.75" customHeight="1" x14ac:dyDescent="0.35">
      <c r="T14305" s="246">
        <f t="shared" si="261"/>
        <v>0</v>
      </c>
    </row>
    <row r="14306" spans="20:20" ht="18.75" customHeight="1" x14ac:dyDescent="0.35">
      <c r="T14306" s="246">
        <f t="shared" si="261"/>
        <v>0</v>
      </c>
    </row>
    <row r="14307" spans="20:20" ht="18.75" customHeight="1" x14ac:dyDescent="0.35">
      <c r="T14307" s="246">
        <f t="shared" si="261"/>
        <v>0</v>
      </c>
    </row>
    <row r="14308" spans="20:20" ht="18.75" customHeight="1" x14ac:dyDescent="0.35">
      <c r="T14308" s="246">
        <f t="shared" si="261"/>
        <v>0</v>
      </c>
    </row>
    <row r="14309" spans="20:20" ht="18.75" customHeight="1" x14ac:dyDescent="0.35">
      <c r="T14309" s="246">
        <f t="shared" si="261"/>
        <v>0</v>
      </c>
    </row>
    <row r="14310" spans="20:20" ht="18.75" customHeight="1" x14ac:dyDescent="0.35">
      <c r="T14310" s="246">
        <f t="shared" si="261"/>
        <v>0</v>
      </c>
    </row>
    <row r="14311" spans="20:20" ht="18.75" customHeight="1" x14ac:dyDescent="0.35">
      <c r="T14311" s="246">
        <f t="shared" si="261"/>
        <v>0</v>
      </c>
    </row>
    <row r="14312" spans="20:20" ht="18.75" customHeight="1" x14ac:dyDescent="0.35">
      <c r="T14312" s="246">
        <f t="shared" si="261"/>
        <v>0</v>
      </c>
    </row>
    <row r="14313" spans="20:20" ht="18.75" customHeight="1" x14ac:dyDescent="0.35">
      <c r="T14313" s="246">
        <f t="shared" si="261"/>
        <v>0</v>
      </c>
    </row>
    <row r="14314" spans="20:20" ht="18.75" customHeight="1" x14ac:dyDescent="0.35">
      <c r="T14314" s="246">
        <f t="shared" si="261"/>
        <v>0</v>
      </c>
    </row>
    <row r="14315" spans="20:20" ht="18.75" customHeight="1" x14ac:dyDescent="0.35">
      <c r="T14315" s="246">
        <f t="shared" si="261"/>
        <v>0</v>
      </c>
    </row>
    <row r="14316" spans="20:20" ht="18.75" customHeight="1" x14ac:dyDescent="0.35">
      <c r="T14316" s="246">
        <f t="shared" si="261"/>
        <v>0</v>
      </c>
    </row>
    <row r="14317" spans="20:20" ht="18.75" customHeight="1" x14ac:dyDescent="0.35">
      <c r="T14317" s="246">
        <f t="shared" si="261"/>
        <v>0</v>
      </c>
    </row>
    <row r="14318" spans="20:20" ht="18.75" customHeight="1" x14ac:dyDescent="0.35">
      <c r="T14318" s="246">
        <f t="shared" si="261"/>
        <v>0</v>
      </c>
    </row>
    <row r="14319" spans="20:20" ht="18.75" customHeight="1" x14ac:dyDescent="0.35">
      <c r="T14319" s="246">
        <f t="shared" si="261"/>
        <v>0</v>
      </c>
    </row>
    <row r="14320" spans="20:20" ht="18.75" customHeight="1" x14ac:dyDescent="0.35">
      <c r="T14320" s="246">
        <f t="shared" si="261"/>
        <v>0</v>
      </c>
    </row>
    <row r="14321" spans="20:20" ht="18.75" customHeight="1" x14ac:dyDescent="0.35">
      <c r="T14321" s="246">
        <f t="shared" si="261"/>
        <v>0</v>
      </c>
    </row>
    <row r="14322" spans="20:20" ht="18.75" customHeight="1" x14ac:dyDescent="0.35">
      <c r="T14322" s="246">
        <f t="shared" si="261"/>
        <v>0</v>
      </c>
    </row>
    <row r="14323" spans="20:20" ht="18.75" customHeight="1" x14ac:dyDescent="0.35">
      <c r="T14323" s="246">
        <f t="shared" si="261"/>
        <v>0</v>
      </c>
    </row>
    <row r="14324" spans="20:20" ht="18.75" customHeight="1" x14ac:dyDescent="0.35">
      <c r="T14324" s="246">
        <f t="shared" si="261"/>
        <v>0</v>
      </c>
    </row>
    <row r="14325" spans="20:20" ht="18.75" customHeight="1" x14ac:dyDescent="0.35">
      <c r="T14325" s="246">
        <f t="shared" si="261"/>
        <v>0</v>
      </c>
    </row>
    <row r="14326" spans="20:20" ht="18.75" customHeight="1" x14ac:dyDescent="0.35">
      <c r="T14326" s="246">
        <f t="shared" si="261"/>
        <v>0</v>
      </c>
    </row>
    <row r="14327" spans="20:20" ht="18.75" customHeight="1" x14ac:dyDescent="0.35">
      <c r="T14327" s="246">
        <f t="shared" si="261"/>
        <v>0</v>
      </c>
    </row>
    <row r="14328" spans="20:20" ht="18.75" customHeight="1" x14ac:dyDescent="0.35">
      <c r="T14328" s="246">
        <f t="shared" si="261"/>
        <v>0</v>
      </c>
    </row>
    <row r="14329" spans="20:20" ht="18.75" customHeight="1" x14ac:dyDescent="0.35">
      <c r="T14329" s="246">
        <f t="shared" si="261"/>
        <v>0</v>
      </c>
    </row>
    <row r="14330" spans="20:20" ht="18.75" customHeight="1" x14ac:dyDescent="0.35">
      <c r="T14330" s="246">
        <f t="shared" si="261"/>
        <v>0</v>
      </c>
    </row>
    <row r="14331" spans="20:20" ht="18.75" customHeight="1" x14ac:dyDescent="0.35">
      <c r="T14331" s="246">
        <f t="shared" si="261"/>
        <v>0</v>
      </c>
    </row>
    <row r="14332" spans="20:20" ht="18.75" customHeight="1" x14ac:dyDescent="0.35">
      <c r="T14332" s="246">
        <f t="shared" ref="T14332:T14395" si="262">R14332*0.01</f>
        <v>0</v>
      </c>
    </row>
    <row r="14333" spans="20:20" ht="18.75" customHeight="1" x14ac:dyDescent="0.35">
      <c r="T14333" s="246">
        <f t="shared" si="262"/>
        <v>0</v>
      </c>
    </row>
    <row r="14334" spans="20:20" ht="18.75" customHeight="1" x14ac:dyDescent="0.35">
      <c r="T14334" s="246">
        <f t="shared" si="262"/>
        <v>0</v>
      </c>
    </row>
    <row r="14335" spans="20:20" ht="18.75" customHeight="1" x14ac:dyDescent="0.35">
      <c r="T14335" s="246">
        <f t="shared" si="262"/>
        <v>0</v>
      </c>
    </row>
    <row r="14336" spans="20:20" ht="18.75" customHeight="1" x14ac:dyDescent="0.35">
      <c r="T14336" s="246">
        <f t="shared" si="262"/>
        <v>0</v>
      </c>
    </row>
    <row r="14337" spans="20:20" ht="18.75" customHeight="1" x14ac:dyDescent="0.35">
      <c r="T14337" s="246">
        <f t="shared" si="262"/>
        <v>0</v>
      </c>
    </row>
    <row r="14338" spans="20:20" ht="18.75" customHeight="1" x14ac:dyDescent="0.35">
      <c r="T14338" s="246">
        <f t="shared" si="262"/>
        <v>0</v>
      </c>
    </row>
    <row r="14339" spans="20:20" ht="18.75" customHeight="1" x14ac:dyDescent="0.35">
      <c r="T14339" s="246">
        <f t="shared" si="262"/>
        <v>0</v>
      </c>
    </row>
    <row r="14340" spans="20:20" ht="18.75" customHeight="1" x14ac:dyDescent="0.35">
      <c r="T14340" s="246">
        <f t="shared" si="262"/>
        <v>0</v>
      </c>
    </row>
    <row r="14341" spans="20:20" ht="18.75" customHeight="1" x14ac:dyDescent="0.35">
      <c r="T14341" s="246">
        <f t="shared" si="262"/>
        <v>0</v>
      </c>
    </row>
    <row r="14342" spans="20:20" ht="18.75" customHeight="1" x14ac:dyDescent="0.35">
      <c r="T14342" s="246">
        <f t="shared" si="262"/>
        <v>0</v>
      </c>
    </row>
    <row r="14343" spans="20:20" ht="18.75" customHeight="1" x14ac:dyDescent="0.35">
      <c r="T14343" s="246">
        <f t="shared" si="262"/>
        <v>0</v>
      </c>
    </row>
    <row r="14344" spans="20:20" ht="18.75" customHeight="1" x14ac:dyDescent="0.35">
      <c r="T14344" s="246">
        <f t="shared" si="262"/>
        <v>0</v>
      </c>
    </row>
    <row r="14345" spans="20:20" ht="18.75" customHeight="1" x14ac:dyDescent="0.35">
      <c r="T14345" s="246">
        <f t="shared" si="262"/>
        <v>0</v>
      </c>
    </row>
    <row r="14346" spans="20:20" ht="18.75" customHeight="1" x14ac:dyDescent="0.35">
      <c r="T14346" s="246">
        <f t="shared" si="262"/>
        <v>0</v>
      </c>
    </row>
    <row r="14347" spans="20:20" ht="18.75" customHeight="1" x14ac:dyDescent="0.35">
      <c r="T14347" s="246">
        <f t="shared" si="262"/>
        <v>0</v>
      </c>
    </row>
    <row r="14348" spans="20:20" ht="18.75" customHeight="1" x14ac:dyDescent="0.35">
      <c r="T14348" s="246">
        <f t="shared" si="262"/>
        <v>0</v>
      </c>
    </row>
    <row r="14349" spans="20:20" ht="18.75" customHeight="1" x14ac:dyDescent="0.35">
      <c r="T14349" s="246">
        <f t="shared" si="262"/>
        <v>0</v>
      </c>
    </row>
    <row r="14350" spans="20:20" ht="18.75" customHeight="1" x14ac:dyDescent="0.35">
      <c r="T14350" s="246">
        <f t="shared" si="262"/>
        <v>0</v>
      </c>
    </row>
    <row r="14351" spans="20:20" ht="18.75" customHeight="1" x14ac:dyDescent="0.35">
      <c r="T14351" s="246">
        <f t="shared" si="262"/>
        <v>0</v>
      </c>
    </row>
    <row r="14352" spans="20:20" ht="18.75" customHeight="1" x14ac:dyDescent="0.35">
      <c r="T14352" s="246">
        <f t="shared" si="262"/>
        <v>0</v>
      </c>
    </row>
    <row r="14353" spans="20:20" ht="18.75" customHeight="1" x14ac:dyDescent="0.35">
      <c r="T14353" s="246">
        <f t="shared" si="262"/>
        <v>0</v>
      </c>
    </row>
    <row r="14354" spans="20:20" ht="18.75" customHeight="1" x14ac:dyDescent="0.35">
      <c r="T14354" s="246">
        <f t="shared" si="262"/>
        <v>0</v>
      </c>
    </row>
    <row r="14355" spans="20:20" ht="18.75" customHeight="1" x14ac:dyDescent="0.35">
      <c r="T14355" s="246">
        <f t="shared" si="262"/>
        <v>0</v>
      </c>
    </row>
    <row r="14356" spans="20:20" ht="18.75" customHeight="1" x14ac:dyDescent="0.35">
      <c r="T14356" s="246">
        <f t="shared" si="262"/>
        <v>0</v>
      </c>
    </row>
    <row r="14357" spans="20:20" ht="18.75" customHeight="1" x14ac:dyDescent="0.35">
      <c r="T14357" s="246">
        <f t="shared" si="262"/>
        <v>0</v>
      </c>
    </row>
    <row r="14358" spans="20:20" ht="18.75" customHeight="1" x14ac:dyDescent="0.35">
      <c r="T14358" s="246">
        <f t="shared" si="262"/>
        <v>0</v>
      </c>
    </row>
    <row r="14359" spans="20:20" ht="18.75" customHeight="1" x14ac:dyDescent="0.35">
      <c r="T14359" s="246">
        <f t="shared" si="262"/>
        <v>0</v>
      </c>
    </row>
    <row r="14360" spans="20:20" ht="18.75" customHeight="1" x14ac:dyDescent="0.35">
      <c r="T14360" s="246">
        <f t="shared" si="262"/>
        <v>0</v>
      </c>
    </row>
    <row r="14361" spans="20:20" ht="18.75" customHeight="1" x14ac:dyDescent="0.35">
      <c r="T14361" s="246">
        <f t="shared" si="262"/>
        <v>0</v>
      </c>
    </row>
    <row r="14362" spans="20:20" ht="18.75" customHeight="1" x14ac:dyDescent="0.35">
      <c r="T14362" s="246">
        <f t="shared" si="262"/>
        <v>0</v>
      </c>
    </row>
    <row r="14363" spans="20:20" ht="18.75" customHeight="1" x14ac:dyDescent="0.35">
      <c r="T14363" s="246">
        <f t="shared" si="262"/>
        <v>0</v>
      </c>
    </row>
    <row r="14364" spans="20:20" ht="18.75" customHeight="1" x14ac:dyDescent="0.35">
      <c r="T14364" s="246">
        <f t="shared" si="262"/>
        <v>0</v>
      </c>
    </row>
    <row r="14365" spans="20:20" ht="18.75" customHeight="1" x14ac:dyDescent="0.35">
      <c r="T14365" s="246">
        <f t="shared" si="262"/>
        <v>0</v>
      </c>
    </row>
    <row r="14366" spans="20:20" ht="18.75" customHeight="1" x14ac:dyDescent="0.35">
      <c r="T14366" s="246">
        <f t="shared" si="262"/>
        <v>0</v>
      </c>
    </row>
    <row r="14367" spans="20:20" ht="18.75" customHeight="1" x14ac:dyDescent="0.35">
      <c r="T14367" s="246">
        <f t="shared" si="262"/>
        <v>0</v>
      </c>
    </row>
    <row r="14368" spans="20:20" ht="18.75" customHeight="1" x14ac:dyDescent="0.35">
      <c r="T14368" s="246">
        <f t="shared" si="262"/>
        <v>0</v>
      </c>
    </row>
    <row r="14369" spans="20:20" ht="18.75" customHeight="1" x14ac:dyDescent="0.35">
      <c r="T14369" s="246">
        <f t="shared" si="262"/>
        <v>0</v>
      </c>
    </row>
    <row r="14370" spans="20:20" ht="18.75" customHeight="1" x14ac:dyDescent="0.35">
      <c r="T14370" s="246">
        <f t="shared" si="262"/>
        <v>0</v>
      </c>
    </row>
    <row r="14371" spans="20:20" ht="18.75" customHeight="1" x14ac:dyDescent="0.35">
      <c r="T14371" s="246">
        <f t="shared" si="262"/>
        <v>0</v>
      </c>
    </row>
    <row r="14372" spans="20:20" ht="18.75" customHeight="1" x14ac:dyDescent="0.35">
      <c r="T14372" s="246">
        <f t="shared" si="262"/>
        <v>0</v>
      </c>
    </row>
    <row r="14373" spans="20:20" ht="18.75" customHeight="1" x14ac:dyDescent="0.35">
      <c r="T14373" s="246">
        <f t="shared" si="262"/>
        <v>0</v>
      </c>
    </row>
    <row r="14374" spans="20:20" ht="18.75" customHeight="1" x14ac:dyDescent="0.35">
      <c r="T14374" s="246">
        <f t="shared" si="262"/>
        <v>0</v>
      </c>
    </row>
    <row r="14375" spans="20:20" ht="18.75" customHeight="1" x14ac:dyDescent="0.35">
      <c r="T14375" s="246">
        <f t="shared" si="262"/>
        <v>0</v>
      </c>
    </row>
    <row r="14376" spans="20:20" ht="18.75" customHeight="1" x14ac:dyDescent="0.35">
      <c r="T14376" s="246">
        <f t="shared" si="262"/>
        <v>0</v>
      </c>
    </row>
    <row r="14377" spans="20:20" ht="18.75" customHeight="1" x14ac:dyDescent="0.35">
      <c r="T14377" s="246">
        <f t="shared" si="262"/>
        <v>0</v>
      </c>
    </row>
    <row r="14378" spans="20:20" ht="18.75" customHeight="1" x14ac:dyDescent="0.35">
      <c r="T14378" s="246">
        <f t="shared" si="262"/>
        <v>0</v>
      </c>
    </row>
    <row r="14379" spans="20:20" ht="18.75" customHeight="1" x14ac:dyDescent="0.35">
      <c r="T14379" s="246">
        <f t="shared" si="262"/>
        <v>0</v>
      </c>
    </row>
    <row r="14380" spans="20:20" ht="18.75" customHeight="1" x14ac:dyDescent="0.35">
      <c r="T14380" s="246">
        <f t="shared" si="262"/>
        <v>0</v>
      </c>
    </row>
    <row r="14381" spans="20:20" ht="18.75" customHeight="1" x14ac:dyDescent="0.35">
      <c r="T14381" s="246">
        <f t="shared" si="262"/>
        <v>0</v>
      </c>
    </row>
    <row r="14382" spans="20:20" ht="18.75" customHeight="1" x14ac:dyDescent="0.35">
      <c r="T14382" s="246">
        <f t="shared" si="262"/>
        <v>0</v>
      </c>
    </row>
    <row r="14383" spans="20:20" ht="18.75" customHeight="1" x14ac:dyDescent="0.35">
      <c r="T14383" s="246">
        <f t="shared" si="262"/>
        <v>0</v>
      </c>
    </row>
    <row r="14384" spans="20:20" ht="18.75" customHeight="1" x14ac:dyDescent="0.35">
      <c r="T14384" s="246">
        <f t="shared" si="262"/>
        <v>0</v>
      </c>
    </row>
    <row r="14385" spans="20:20" ht="18.75" customHeight="1" x14ac:dyDescent="0.35">
      <c r="T14385" s="246">
        <f t="shared" si="262"/>
        <v>0</v>
      </c>
    </row>
    <row r="14386" spans="20:20" ht="18.75" customHeight="1" x14ac:dyDescent="0.35">
      <c r="T14386" s="246">
        <f t="shared" si="262"/>
        <v>0</v>
      </c>
    </row>
    <row r="14387" spans="20:20" ht="18.75" customHeight="1" x14ac:dyDescent="0.35">
      <c r="T14387" s="246">
        <f t="shared" si="262"/>
        <v>0</v>
      </c>
    </row>
    <row r="14388" spans="20:20" ht="18.75" customHeight="1" x14ac:dyDescent="0.35">
      <c r="T14388" s="246">
        <f t="shared" si="262"/>
        <v>0</v>
      </c>
    </row>
    <row r="14389" spans="20:20" ht="18.75" customHeight="1" x14ac:dyDescent="0.35">
      <c r="T14389" s="246">
        <f t="shared" si="262"/>
        <v>0</v>
      </c>
    </row>
    <row r="14390" spans="20:20" ht="18.75" customHeight="1" x14ac:dyDescent="0.35">
      <c r="T14390" s="246">
        <f t="shared" si="262"/>
        <v>0</v>
      </c>
    </row>
    <row r="14391" spans="20:20" ht="18.75" customHeight="1" x14ac:dyDescent="0.35">
      <c r="T14391" s="246">
        <f t="shared" si="262"/>
        <v>0</v>
      </c>
    </row>
    <row r="14392" spans="20:20" ht="18.75" customHeight="1" x14ac:dyDescent="0.35">
      <c r="T14392" s="246">
        <f t="shared" si="262"/>
        <v>0</v>
      </c>
    </row>
    <row r="14393" spans="20:20" ht="18.75" customHeight="1" x14ac:dyDescent="0.35">
      <c r="T14393" s="246">
        <f t="shared" si="262"/>
        <v>0</v>
      </c>
    </row>
    <row r="14394" spans="20:20" ht="18.75" customHeight="1" x14ac:dyDescent="0.35">
      <c r="T14394" s="246">
        <f t="shared" si="262"/>
        <v>0</v>
      </c>
    </row>
    <row r="14395" spans="20:20" ht="18.75" customHeight="1" x14ac:dyDescent="0.35">
      <c r="T14395" s="246">
        <f t="shared" si="262"/>
        <v>0</v>
      </c>
    </row>
    <row r="14396" spans="20:20" ht="18.75" customHeight="1" x14ac:dyDescent="0.35">
      <c r="T14396" s="246">
        <f t="shared" ref="T14396:T14459" si="263">R14396*0.01</f>
        <v>0</v>
      </c>
    </row>
    <row r="14397" spans="20:20" ht="18.75" customHeight="1" x14ac:dyDescent="0.35">
      <c r="T14397" s="246">
        <f t="shared" si="263"/>
        <v>0</v>
      </c>
    </row>
    <row r="14398" spans="20:20" ht="18.75" customHeight="1" x14ac:dyDescent="0.35">
      <c r="T14398" s="246">
        <f t="shared" si="263"/>
        <v>0</v>
      </c>
    </row>
    <row r="14399" spans="20:20" ht="18.75" customHeight="1" x14ac:dyDescent="0.35">
      <c r="T14399" s="246">
        <f t="shared" si="263"/>
        <v>0</v>
      </c>
    </row>
    <row r="14400" spans="20:20" ht="18.75" customHeight="1" x14ac:dyDescent="0.35">
      <c r="T14400" s="246">
        <f t="shared" si="263"/>
        <v>0</v>
      </c>
    </row>
    <row r="14401" spans="20:20" ht="18.75" customHeight="1" x14ac:dyDescent="0.35">
      <c r="T14401" s="246">
        <f t="shared" si="263"/>
        <v>0</v>
      </c>
    </row>
    <row r="14402" spans="20:20" ht="18.75" customHeight="1" x14ac:dyDescent="0.35">
      <c r="T14402" s="246">
        <f t="shared" si="263"/>
        <v>0</v>
      </c>
    </row>
    <row r="14403" spans="20:20" ht="18.75" customHeight="1" x14ac:dyDescent="0.35">
      <c r="T14403" s="246">
        <f t="shared" si="263"/>
        <v>0</v>
      </c>
    </row>
    <row r="14404" spans="20:20" ht="18.75" customHeight="1" x14ac:dyDescent="0.35">
      <c r="T14404" s="246">
        <f t="shared" si="263"/>
        <v>0</v>
      </c>
    </row>
    <row r="14405" spans="20:20" ht="18.75" customHeight="1" x14ac:dyDescent="0.35">
      <c r="T14405" s="246">
        <f t="shared" si="263"/>
        <v>0</v>
      </c>
    </row>
    <row r="14406" spans="20:20" ht="18.75" customHeight="1" x14ac:dyDescent="0.35">
      <c r="T14406" s="246">
        <f t="shared" si="263"/>
        <v>0</v>
      </c>
    </row>
    <row r="14407" spans="20:20" ht="18.75" customHeight="1" x14ac:dyDescent="0.35">
      <c r="T14407" s="246">
        <f t="shared" si="263"/>
        <v>0</v>
      </c>
    </row>
    <row r="14408" spans="20:20" ht="18.75" customHeight="1" x14ac:dyDescent="0.35">
      <c r="T14408" s="246">
        <f t="shared" si="263"/>
        <v>0</v>
      </c>
    </row>
    <row r="14409" spans="20:20" ht="18.75" customHeight="1" x14ac:dyDescent="0.35">
      <c r="T14409" s="246">
        <f t="shared" si="263"/>
        <v>0</v>
      </c>
    </row>
    <row r="14410" spans="20:20" ht="18.75" customHeight="1" x14ac:dyDescent="0.35">
      <c r="T14410" s="246">
        <f t="shared" si="263"/>
        <v>0</v>
      </c>
    </row>
    <row r="14411" spans="20:20" ht="18.75" customHeight="1" x14ac:dyDescent="0.35">
      <c r="T14411" s="246">
        <f t="shared" si="263"/>
        <v>0</v>
      </c>
    </row>
    <row r="14412" spans="20:20" ht="18.75" customHeight="1" x14ac:dyDescent="0.35">
      <c r="T14412" s="246">
        <f t="shared" si="263"/>
        <v>0</v>
      </c>
    </row>
    <row r="14413" spans="20:20" ht="18.75" customHeight="1" x14ac:dyDescent="0.35">
      <c r="T14413" s="246">
        <f t="shared" si="263"/>
        <v>0</v>
      </c>
    </row>
    <row r="14414" spans="20:20" ht="18.75" customHeight="1" x14ac:dyDescent="0.35">
      <c r="T14414" s="246">
        <f t="shared" si="263"/>
        <v>0</v>
      </c>
    </row>
    <row r="14415" spans="20:20" ht="18.75" customHeight="1" x14ac:dyDescent="0.35">
      <c r="T14415" s="246">
        <f t="shared" si="263"/>
        <v>0</v>
      </c>
    </row>
    <row r="14416" spans="20:20" ht="18.75" customHeight="1" x14ac:dyDescent="0.35">
      <c r="T14416" s="246">
        <f t="shared" si="263"/>
        <v>0</v>
      </c>
    </row>
    <row r="14417" spans="20:20" ht="18.75" customHeight="1" x14ac:dyDescent="0.35">
      <c r="T14417" s="246">
        <f t="shared" si="263"/>
        <v>0</v>
      </c>
    </row>
    <row r="14418" spans="20:20" ht="18.75" customHeight="1" x14ac:dyDescent="0.35">
      <c r="T14418" s="246">
        <f t="shared" si="263"/>
        <v>0</v>
      </c>
    </row>
    <row r="14419" spans="20:20" ht="18.75" customHeight="1" x14ac:dyDescent="0.35">
      <c r="T14419" s="246">
        <f t="shared" si="263"/>
        <v>0</v>
      </c>
    </row>
    <row r="14420" spans="20:20" ht="18.75" customHeight="1" x14ac:dyDescent="0.35">
      <c r="T14420" s="246">
        <f t="shared" si="263"/>
        <v>0</v>
      </c>
    </row>
    <row r="14421" spans="20:20" ht="18.75" customHeight="1" x14ac:dyDescent="0.35">
      <c r="T14421" s="246">
        <f t="shared" si="263"/>
        <v>0</v>
      </c>
    </row>
    <row r="14422" spans="20:20" ht="18.75" customHeight="1" x14ac:dyDescent="0.35">
      <c r="T14422" s="246">
        <f t="shared" si="263"/>
        <v>0</v>
      </c>
    </row>
    <row r="14423" spans="20:20" ht="18.75" customHeight="1" x14ac:dyDescent="0.35">
      <c r="T14423" s="246">
        <f t="shared" si="263"/>
        <v>0</v>
      </c>
    </row>
    <row r="14424" spans="20:20" ht="18.75" customHeight="1" x14ac:dyDescent="0.35">
      <c r="T14424" s="246">
        <f t="shared" si="263"/>
        <v>0</v>
      </c>
    </row>
    <row r="14425" spans="20:20" ht="18.75" customHeight="1" x14ac:dyDescent="0.35">
      <c r="T14425" s="246">
        <f t="shared" si="263"/>
        <v>0</v>
      </c>
    </row>
    <row r="14426" spans="20:20" ht="18.75" customHeight="1" x14ac:dyDescent="0.35">
      <c r="T14426" s="246">
        <f t="shared" si="263"/>
        <v>0</v>
      </c>
    </row>
    <row r="14427" spans="20:20" ht="18.75" customHeight="1" x14ac:dyDescent="0.35">
      <c r="T14427" s="246">
        <f t="shared" si="263"/>
        <v>0</v>
      </c>
    </row>
    <row r="14428" spans="20:20" ht="18.75" customHeight="1" x14ac:dyDescent="0.35">
      <c r="T14428" s="246">
        <f t="shared" si="263"/>
        <v>0</v>
      </c>
    </row>
    <row r="14429" spans="20:20" ht="18.75" customHeight="1" x14ac:dyDescent="0.35">
      <c r="T14429" s="246">
        <f t="shared" si="263"/>
        <v>0</v>
      </c>
    </row>
    <row r="14430" spans="20:20" ht="18.75" customHeight="1" x14ac:dyDescent="0.35">
      <c r="T14430" s="246">
        <f t="shared" si="263"/>
        <v>0</v>
      </c>
    </row>
    <row r="14431" spans="20:20" ht="18.75" customHeight="1" x14ac:dyDescent="0.35">
      <c r="T14431" s="246">
        <f t="shared" si="263"/>
        <v>0</v>
      </c>
    </row>
    <row r="14432" spans="20:20" ht="18.75" customHeight="1" x14ac:dyDescent="0.35">
      <c r="T14432" s="246">
        <f t="shared" si="263"/>
        <v>0</v>
      </c>
    </row>
    <row r="14433" spans="20:20" ht="18.75" customHeight="1" x14ac:dyDescent="0.35">
      <c r="T14433" s="246">
        <f t="shared" si="263"/>
        <v>0</v>
      </c>
    </row>
    <row r="14434" spans="20:20" ht="18.75" customHeight="1" x14ac:dyDescent="0.35">
      <c r="T14434" s="246">
        <f t="shared" si="263"/>
        <v>0</v>
      </c>
    </row>
    <row r="14435" spans="20:20" ht="18.75" customHeight="1" x14ac:dyDescent="0.35">
      <c r="T14435" s="246">
        <f t="shared" si="263"/>
        <v>0</v>
      </c>
    </row>
    <row r="14436" spans="20:20" ht="18.75" customHeight="1" x14ac:dyDescent="0.35">
      <c r="T14436" s="246">
        <f t="shared" si="263"/>
        <v>0</v>
      </c>
    </row>
    <row r="14437" spans="20:20" ht="18.75" customHeight="1" x14ac:dyDescent="0.35">
      <c r="T14437" s="246">
        <f t="shared" si="263"/>
        <v>0</v>
      </c>
    </row>
    <row r="14438" spans="20:20" ht="18.75" customHeight="1" x14ac:dyDescent="0.35">
      <c r="T14438" s="246">
        <f t="shared" si="263"/>
        <v>0</v>
      </c>
    </row>
    <row r="14439" spans="20:20" ht="18.75" customHeight="1" x14ac:dyDescent="0.35">
      <c r="T14439" s="246">
        <f t="shared" si="263"/>
        <v>0</v>
      </c>
    </row>
    <row r="14440" spans="20:20" ht="18.75" customHeight="1" x14ac:dyDescent="0.35">
      <c r="T14440" s="246">
        <f t="shared" si="263"/>
        <v>0</v>
      </c>
    </row>
    <row r="14441" spans="20:20" ht="18.75" customHeight="1" x14ac:dyDescent="0.35">
      <c r="T14441" s="246">
        <f t="shared" si="263"/>
        <v>0</v>
      </c>
    </row>
    <row r="14442" spans="20:20" ht="18.75" customHeight="1" x14ac:dyDescent="0.35">
      <c r="T14442" s="246">
        <f t="shared" si="263"/>
        <v>0</v>
      </c>
    </row>
    <row r="14443" spans="20:20" ht="18.75" customHeight="1" x14ac:dyDescent="0.35">
      <c r="T14443" s="246">
        <f t="shared" si="263"/>
        <v>0</v>
      </c>
    </row>
    <row r="14444" spans="20:20" ht="18.75" customHeight="1" x14ac:dyDescent="0.35">
      <c r="T14444" s="246">
        <f t="shared" si="263"/>
        <v>0</v>
      </c>
    </row>
    <row r="14445" spans="20:20" ht="18.75" customHeight="1" x14ac:dyDescent="0.35">
      <c r="T14445" s="246">
        <f t="shared" si="263"/>
        <v>0</v>
      </c>
    </row>
    <row r="14446" spans="20:20" ht="18.75" customHeight="1" x14ac:dyDescent="0.35">
      <c r="T14446" s="246">
        <f t="shared" si="263"/>
        <v>0</v>
      </c>
    </row>
    <row r="14447" spans="20:20" ht="18.75" customHeight="1" x14ac:dyDescent="0.35">
      <c r="T14447" s="246">
        <f t="shared" si="263"/>
        <v>0</v>
      </c>
    </row>
    <row r="14448" spans="20:20" ht="18.75" customHeight="1" x14ac:dyDescent="0.35">
      <c r="T14448" s="246">
        <f t="shared" si="263"/>
        <v>0</v>
      </c>
    </row>
    <row r="14449" spans="20:20" ht="18.75" customHeight="1" x14ac:dyDescent="0.35">
      <c r="T14449" s="246">
        <f t="shared" si="263"/>
        <v>0</v>
      </c>
    </row>
    <row r="14450" spans="20:20" ht="18.75" customHeight="1" x14ac:dyDescent="0.35">
      <c r="T14450" s="246">
        <f t="shared" si="263"/>
        <v>0</v>
      </c>
    </row>
    <row r="14451" spans="20:20" ht="18.75" customHeight="1" x14ac:dyDescent="0.35">
      <c r="T14451" s="246">
        <f t="shared" si="263"/>
        <v>0</v>
      </c>
    </row>
    <row r="14452" spans="20:20" ht="18.75" customHeight="1" x14ac:dyDescent="0.35">
      <c r="T14452" s="246">
        <f t="shared" si="263"/>
        <v>0</v>
      </c>
    </row>
    <row r="14453" spans="20:20" ht="18.75" customHeight="1" x14ac:dyDescent="0.35">
      <c r="T14453" s="246">
        <f t="shared" si="263"/>
        <v>0</v>
      </c>
    </row>
    <row r="14454" spans="20:20" ht="18.75" customHeight="1" x14ac:dyDescent="0.35">
      <c r="T14454" s="246">
        <f t="shared" si="263"/>
        <v>0</v>
      </c>
    </row>
    <row r="14455" spans="20:20" ht="18.75" customHeight="1" x14ac:dyDescent="0.35">
      <c r="T14455" s="246">
        <f t="shared" si="263"/>
        <v>0</v>
      </c>
    </row>
    <row r="14456" spans="20:20" ht="18.75" customHeight="1" x14ac:dyDescent="0.35">
      <c r="T14456" s="246">
        <f t="shared" si="263"/>
        <v>0</v>
      </c>
    </row>
    <row r="14457" spans="20:20" ht="18.75" customHeight="1" x14ac:dyDescent="0.35">
      <c r="T14457" s="246">
        <f t="shared" si="263"/>
        <v>0</v>
      </c>
    </row>
    <row r="14458" spans="20:20" ht="18.75" customHeight="1" x14ac:dyDescent="0.35">
      <c r="T14458" s="246">
        <f t="shared" si="263"/>
        <v>0</v>
      </c>
    </row>
    <row r="14459" spans="20:20" ht="18.75" customHeight="1" x14ac:dyDescent="0.35">
      <c r="T14459" s="246">
        <f t="shared" si="263"/>
        <v>0</v>
      </c>
    </row>
    <row r="14460" spans="20:20" ht="18.75" customHeight="1" x14ac:dyDescent="0.35">
      <c r="T14460" s="246">
        <f t="shared" ref="T14460:T14523" si="264">R14460*0.01</f>
        <v>0</v>
      </c>
    </row>
    <row r="14461" spans="20:20" ht="18.75" customHeight="1" x14ac:dyDescent="0.35">
      <c r="T14461" s="246">
        <f t="shared" si="264"/>
        <v>0</v>
      </c>
    </row>
    <row r="14462" spans="20:20" ht="18.75" customHeight="1" x14ac:dyDescent="0.35">
      <c r="T14462" s="246">
        <f t="shared" si="264"/>
        <v>0</v>
      </c>
    </row>
    <row r="14463" spans="20:20" ht="18.75" customHeight="1" x14ac:dyDescent="0.35">
      <c r="T14463" s="246">
        <f t="shared" si="264"/>
        <v>0</v>
      </c>
    </row>
    <row r="14464" spans="20:20" ht="18.75" customHeight="1" x14ac:dyDescent="0.35">
      <c r="T14464" s="246">
        <f t="shared" si="264"/>
        <v>0</v>
      </c>
    </row>
    <row r="14465" spans="20:20" ht="18.75" customHeight="1" x14ac:dyDescent="0.35">
      <c r="T14465" s="246">
        <f t="shared" si="264"/>
        <v>0</v>
      </c>
    </row>
    <row r="14466" spans="20:20" ht="18.75" customHeight="1" x14ac:dyDescent="0.35">
      <c r="T14466" s="246">
        <f t="shared" si="264"/>
        <v>0</v>
      </c>
    </row>
    <row r="14467" spans="20:20" ht="18.75" customHeight="1" x14ac:dyDescent="0.35">
      <c r="T14467" s="246">
        <f t="shared" si="264"/>
        <v>0</v>
      </c>
    </row>
    <row r="14468" spans="20:20" ht="18.75" customHeight="1" x14ac:dyDescent="0.35">
      <c r="T14468" s="246">
        <f t="shared" si="264"/>
        <v>0</v>
      </c>
    </row>
    <row r="14469" spans="20:20" ht="18.75" customHeight="1" x14ac:dyDescent="0.35">
      <c r="T14469" s="246">
        <f t="shared" si="264"/>
        <v>0</v>
      </c>
    </row>
    <row r="14470" spans="20:20" ht="18.75" customHeight="1" x14ac:dyDescent="0.35">
      <c r="T14470" s="246">
        <f t="shared" si="264"/>
        <v>0</v>
      </c>
    </row>
    <row r="14471" spans="20:20" ht="18.75" customHeight="1" x14ac:dyDescent="0.35">
      <c r="T14471" s="246">
        <f t="shared" si="264"/>
        <v>0</v>
      </c>
    </row>
    <row r="14472" spans="20:20" ht="18.75" customHeight="1" x14ac:dyDescent="0.35">
      <c r="T14472" s="246">
        <f t="shared" si="264"/>
        <v>0</v>
      </c>
    </row>
    <row r="14473" spans="20:20" ht="18.75" customHeight="1" x14ac:dyDescent="0.35">
      <c r="T14473" s="246">
        <f t="shared" si="264"/>
        <v>0</v>
      </c>
    </row>
    <row r="14474" spans="20:20" ht="18.75" customHeight="1" x14ac:dyDescent="0.35">
      <c r="T14474" s="246">
        <f t="shared" si="264"/>
        <v>0</v>
      </c>
    </row>
    <row r="14475" spans="20:20" ht="18.75" customHeight="1" x14ac:dyDescent="0.35">
      <c r="T14475" s="246">
        <f t="shared" si="264"/>
        <v>0</v>
      </c>
    </row>
    <row r="14476" spans="20:20" ht="18.75" customHeight="1" x14ac:dyDescent="0.35">
      <c r="T14476" s="246">
        <f t="shared" si="264"/>
        <v>0</v>
      </c>
    </row>
    <row r="14477" spans="20:20" ht="18.75" customHeight="1" x14ac:dyDescent="0.35">
      <c r="T14477" s="246">
        <f t="shared" si="264"/>
        <v>0</v>
      </c>
    </row>
    <row r="14478" spans="20:20" ht="18.75" customHeight="1" x14ac:dyDescent="0.35">
      <c r="T14478" s="246">
        <f t="shared" si="264"/>
        <v>0</v>
      </c>
    </row>
    <row r="14479" spans="20:20" ht="18.75" customHeight="1" x14ac:dyDescent="0.35">
      <c r="T14479" s="246">
        <f t="shared" si="264"/>
        <v>0</v>
      </c>
    </row>
    <row r="14480" spans="20:20" ht="18.75" customHeight="1" x14ac:dyDescent="0.35">
      <c r="T14480" s="246">
        <f t="shared" si="264"/>
        <v>0</v>
      </c>
    </row>
    <row r="14481" spans="20:20" ht="18.75" customHeight="1" x14ac:dyDescent="0.35">
      <c r="T14481" s="246">
        <f t="shared" si="264"/>
        <v>0</v>
      </c>
    </row>
    <row r="14482" spans="20:20" ht="18.75" customHeight="1" x14ac:dyDescent="0.35">
      <c r="T14482" s="246">
        <f t="shared" si="264"/>
        <v>0</v>
      </c>
    </row>
    <row r="14483" spans="20:20" ht="18.75" customHeight="1" x14ac:dyDescent="0.35">
      <c r="T14483" s="246">
        <f t="shared" si="264"/>
        <v>0</v>
      </c>
    </row>
    <row r="14484" spans="20:20" ht="18.75" customHeight="1" x14ac:dyDescent="0.35">
      <c r="T14484" s="246">
        <f t="shared" si="264"/>
        <v>0</v>
      </c>
    </row>
    <row r="14485" spans="20:20" ht="18.75" customHeight="1" x14ac:dyDescent="0.35">
      <c r="T14485" s="246">
        <f t="shared" si="264"/>
        <v>0</v>
      </c>
    </row>
    <row r="14486" spans="20:20" ht="18.75" customHeight="1" x14ac:dyDescent="0.35">
      <c r="T14486" s="246">
        <f t="shared" si="264"/>
        <v>0</v>
      </c>
    </row>
    <row r="14487" spans="20:20" ht="18.75" customHeight="1" x14ac:dyDescent="0.35">
      <c r="T14487" s="246">
        <f t="shared" si="264"/>
        <v>0</v>
      </c>
    </row>
    <row r="14488" spans="20:20" ht="18.75" customHeight="1" x14ac:dyDescent="0.35">
      <c r="T14488" s="246">
        <f t="shared" si="264"/>
        <v>0</v>
      </c>
    </row>
    <row r="14489" spans="20:20" ht="18.75" customHeight="1" x14ac:dyDescent="0.35">
      <c r="T14489" s="246">
        <f t="shared" si="264"/>
        <v>0</v>
      </c>
    </row>
    <row r="14490" spans="20:20" ht="18.75" customHeight="1" x14ac:dyDescent="0.35">
      <c r="T14490" s="246">
        <f t="shared" si="264"/>
        <v>0</v>
      </c>
    </row>
    <row r="14491" spans="20:20" ht="18.75" customHeight="1" x14ac:dyDescent="0.35">
      <c r="T14491" s="246">
        <f t="shared" si="264"/>
        <v>0</v>
      </c>
    </row>
    <row r="14492" spans="20:20" ht="18.75" customHeight="1" x14ac:dyDescent="0.35">
      <c r="T14492" s="246">
        <f t="shared" si="264"/>
        <v>0</v>
      </c>
    </row>
    <row r="14493" spans="20:20" ht="18.75" customHeight="1" x14ac:dyDescent="0.35">
      <c r="T14493" s="246">
        <f t="shared" si="264"/>
        <v>0</v>
      </c>
    </row>
    <row r="14494" spans="20:20" ht="18.75" customHeight="1" x14ac:dyDescent="0.35">
      <c r="T14494" s="246">
        <f t="shared" si="264"/>
        <v>0</v>
      </c>
    </row>
    <row r="14495" spans="20:20" ht="18.75" customHeight="1" x14ac:dyDescent="0.35">
      <c r="T14495" s="246">
        <f t="shared" si="264"/>
        <v>0</v>
      </c>
    </row>
    <row r="14496" spans="20:20" ht="18.75" customHeight="1" x14ac:dyDescent="0.35">
      <c r="T14496" s="246">
        <f t="shared" si="264"/>
        <v>0</v>
      </c>
    </row>
    <row r="14497" spans="20:20" ht="18.75" customHeight="1" x14ac:dyDescent="0.35">
      <c r="T14497" s="246">
        <f t="shared" si="264"/>
        <v>0</v>
      </c>
    </row>
    <row r="14498" spans="20:20" ht="18.75" customHeight="1" x14ac:dyDescent="0.35">
      <c r="T14498" s="246">
        <f t="shared" si="264"/>
        <v>0</v>
      </c>
    </row>
    <row r="14499" spans="20:20" ht="18.75" customHeight="1" x14ac:dyDescent="0.35">
      <c r="T14499" s="246">
        <f t="shared" si="264"/>
        <v>0</v>
      </c>
    </row>
    <row r="14500" spans="20:20" ht="18.75" customHeight="1" x14ac:dyDescent="0.35">
      <c r="T14500" s="246">
        <f t="shared" si="264"/>
        <v>0</v>
      </c>
    </row>
    <row r="14501" spans="20:20" ht="18.75" customHeight="1" x14ac:dyDescent="0.35">
      <c r="T14501" s="246">
        <f t="shared" si="264"/>
        <v>0</v>
      </c>
    </row>
    <row r="14502" spans="20:20" ht="18.75" customHeight="1" x14ac:dyDescent="0.35">
      <c r="T14502" s="246">
        <f t="shared" si="264"/>
        <v>0</v>
      </c>
    </row>
    <row r="14503" spans="20:20" ht="18.75" customHeight="1" x14ac:dyDescent="0.35">
      <c r="T14503" s="246">
        <f t="shared" si="264"/>
        <v>0</v>
      </c>
    </row>
    <row r="14504" spans="20:20" ht="18.75" customHeight="1" x14ac:dyDescent="0.35">
      <c r="T14504" s="246">
        <f t="shared" si="264"/>
        <v>0</v>
      </c>
    </row>
    <row r="14505" spans="20:20" ht="18.75" customHeight="1" x14ac:dyDescent="0.35">
      <c r="T14505" s="246">
        <f t="shared" si="264"/>
        <v>0</v>
      </c>
    </row>
    <row r="14506" spans="20:20" ht="18.75" customHeight="1" x14ac:dyDescent="0.35">
      <c r="T14506" s="246">
        <f t="shared" si="264"/>
        <v>0</v>
      </c>
    </row>
    <row r="14507" spans="20:20" ht="18.75" customHeight="1" x14ac:dyDescent="0.35">
      <c r="T14507" s="246">
        <f t="shared" si="264"/>
        <v>0</v>
      </c>
    </row>
    <row r="14508" spans="20:20" ht="18.75" customHeight="1" x14ac:dyDescent="0.35">
      <c r="T14508" s="246">
        <f t="shared" si="264"/>
        <v>0</v>
      </c>
    </row>
    <row r="14509" spans="20:20" ht="18.75" customHeight="1" x14ac:dyDescent="0.35">
      <c r="T14509" s="246">
        <f t="shared" si="264"/>
        <v>0</v>
      </c>
    </row>
    <row r="14510" spans="20:20" ht="18.75" customHeight="1" x14ac:dyDescent="0.35">
      <c r="T14510" s="246">
        <f t="shared" si="264"/>
        <v>0</v>
      </c>
    </row>
    <row r="14511" spans="20:20" ht="18.75" customHeight="1" x14ac:dyDescent="0.35">
      <c r="T14511" s="246">
        <f t="shared" si="264"/>
        <v>0</v>
      </c>
    </row>
    <row r="14512" spans="20:20" ht="18.75" customHeight="1" x14ac:dyDescent="0.35">
      <c r="T14512" s="246">
        <f t="shared" si="264"/>
        <v>0</v>
      </c>
    </row>
    <row r="14513" spans="20:20" ht="18.75" customHeight="1" x14ac:dyDescent="0.35">
      <c r="T14513" s="246">
        <f t="shared" si="264"/>
        <v>0</v>
      </c>
    </row>
    <row r="14514" spans="20:20" ht="18.75" customHeight="1" x14ac:dyDescent="0.35">
      <c r="T14514" s="246">
        <f t="shared" si="264"/>
        <v>0</v>
      </c>
    </row>
    <row r="14515" spans="20:20" ht="18.75" customHeight="1" x14ac:dyDescent="0.35">
      <c r="T14515" s="246">
        <f t="shared" si="264"/>
        <v>0</v>
      </c>
    </row>
    <row r="14516" spans="20:20" ht="18.75" customHeight="1" x14ac:dyDescent="0.35">
      <c r="T14516" s="246">
        <f t="shared" si="264"/>
        <v>0</v>
      </c>
    </row>
    <row r="14517" spans="20:20" ht="18.75" customHeight="1" x14ac:dyDescent="0.35">
      <c r="T14517" s="246">
        <f t="shared" si="264"/>
        <v>0</v>
      </c>
    </row>
    <row r="14518" spans="20:20" ht="18.75" customHeight="1" x14ac:dyDescent="0.35">
      <c r="T14518" s="246">
        <f t="shared" si="264"/>
        <v>0</v>
      </c>
    </row>
    <row r="14519" spans="20:20" ht="18.75" customHeight="1" x14ac:dyDescent="0.35">
      <c r="T14519" s="246">
        <f t="shared" si="264"/>
        <v>0</v>
      </c>
    </row>
    <row r="14520" spans="20:20" ht="18.75" customHeight="1" x14ac:dyDescent="0.35">
      <c r="T14520" s="246">
        <f t="shared" si="264"/>
        <v>0</v>
      </c>
    </row>
    <row r="14521" spans="20:20" ht="18.75" customHeight="1" x14ac:dyDescent="0.35">
      <c r="T14521" s="246">
        <f t="shared" si="264"/>
        <v>0</v>
      </c>
    </row>
    <row r="14522" spans="20:20" ht="18.75" customHeight="1" x14ac:dyDescent="0.35">
      <c r="T14522" s="246">
        <f t="shared" si="264"/>
        <v>0</v>
      </c>
    </row>
    <row r="14523" spans="20:20" ht="18.75" customHeight="1" x14ac:dyDescent="0.35">
      <c r="T14523" s="246">
        <f t="shared" si="264"/>
        <v>0</v>
      </c>
    </row>
    <row r="14524" spans="20:20" ht="18.75" customHeight="1" x14ac:dyDescent="0.35">
      <c r="T14524" s="246">
        <f t="shared" ref="T14524:T14587" si="265">R14524*0.01</f>
        <v>0</v>
      </c>
    </row>
    <row r="14525" spans="20:20" ht="18.75" customHeight="1" x14ac:dyDescent="0.35">
      <c r="T14525" s="246">
        <f t="shared" si="265"/>
        <v>0</v>
      </c>
    </row>
    <row r="14526" spans="20:20" ht="18.75" customHeight="1" x14ac:dyDescent="0.35">
      <c r="T14526" s="246">
        <f t="shared" si="265"/>
        <v>0</v>
      </c>
    </row>
    <row r="14527" spans="20:20" ht="18.75" customHeight="1" x14ac:dyDescent="0.35">
      <c r="T14527" s="246">
        <f t="shared" si="265"/>
        <v>0</v>
      </c>
    </row>
    <row r="14528" spans="20:20" ht="18.75" customHeight="1" x14ac:dyDescent="0.35">
      <c r="T14528" s="246">
        <f t="shared" si="265"/>
        <v>0</v>
      </c>
    </row>
    <row r="14529" spans="20:20" ht="18.75" customHeight="1" x14ac:dyDescent="0.35">
      <c r="T14529" s="246">
        <f t="shared" si="265"/>
        <v>0</v>
      </c>
    </row>
    <row r="14530" spans="20:20" ht="18.75" customHeight="1" x14ac:dyDescent="0.35">
      <c r="T14530" s="246">
        <f t="shared" si="265"/>
        <v>0</v>
      </c>
    </row>
    <row r="14531" spans="20:20" ht="18.75" customHeight="1" x14ac:dyDescent="0.35">
      <c r="T14531" s="246">
        <f t="shared" si="265"/>
        <v>0</v>
      </c>
    </row>
    <row r="14532" spans="20:20" ht="18.75" customHeight="1" x14ac:dyDescent="0.35">
      <c r="T14532" s="246">
        <f t="shared" si="265"/>
        <v>0</v>
      </c>
    </row>
    <row r="14533" spans="20:20" ht="18.75" customHeight="1" x14ac:dyDescent="0.35">
      <c r="T14533" s="246">
        <f t="shared" si="265"/>
        <v>0</v>
      </c>
    </row>
    <row r="14534" spans="20:20" ht="18.75" customHeight="1" x14ac:dyDescent="0.35">
      <c r="T14534" s="246">
        <f t="shared" si="265"/>
        <v>0</v>
      </c>
    </row>
    <row r="14535" spans="20:20" ht="18.75" customHeight="1" x14ac:dyDescent="0.35">
      <c r="T14535" s="246">
        <f t="shared" si="265"/>
        <v>0</v>
      </c>
    </row>
    <row r="14536" spans="20:20" ht="18.75" customHeight="1" x14ac:dyDescent="0.35">
      <c r="T14536" s="246">
        <f t="shared" si="265"/>
        <v>0</v>
      </c>
    </row>
    <row r="14537" spans="20:20" ht="18.75" customHeight="1" x14ac:dyDescent="0.35">
      <c r="T14537" s="246">
        <f t="shared" si="265"/>
        <v>0</v>
      </c>
    </row>
    <row r="14538" spans="20:20" ht="18.75" customHeight="1" x14ac:dyDescent="0.35">
      <c r="T14538" s="246">
        <f t="shared" si="265"/>
        <v>0</v>
      </c>
    </row>
    <row r="14539" spans="20:20" ht="18.75" customHeight="1" x14ac:dyDescent="0.35">
      <c r="T14539" s="246">
        <f t="shared" si="265"/>
        <v>0</v>
      </c>
    </row>
    <row r="14540" spans="20:20" ht="18.75" customHeight="1" x14ac:dyDescent="0.35">
      <c r="T14540" s="246">
        <f t="shared" si="265"/>
        <v>0</v>
      </c>
    </row>
    <row r="14541" spans="20:20" ht="18.75" customHeight="1" x14ac:dyDescent="0.35">
      <c r="T14541" s="246">
        <f t="shared" si="265"/>
        <v>0</v>
      </c>
    </row>
    <row r="14542" spans="20:20" ht="18.75" customHeight="1" x14ac:dyDescent="0.35">
      <c r="T14542" s="246">
        <f t="shared" si="265"/>
        <v>0</v>
      </c>
    </row>
    <row r="14543" spans="20:20" ht="18.75" customHeight="1" x14ac:dyDescent="0.35">
      <c r="T14543" s="246">
        <f t="shared" si="265"/>
        <v>0</v>
      </c>
    </row>
    <row r="14544" spans="20:20" ht="18.75" customHeight="1" x14ac:dyDescent="0.35">
      <c r="T14544" s="246">
        <f t="shared" si="265"/>
        <v>0</v>
      </c>
    </row>
    <row r="14545" spans="20:20" ht="18.75" customHeight="1" x14ac:dyDescent="0.35">
      <c r="T14545" s="246">
        <f t="shared" si="265"/>
        <v>0</v>
      </c>
    </row>
    <row r="14546" spans="20:20" ht="18.75" customHeight="1" x14ac:dyDescent="0.35">
      <c r="T14546" s="246">
        <f t="shared" si="265"/>
        <v>0</v>
      </c>
    </row>
    <row r="14547" spans="20:20" ht="18.75" customHeight="1" x14ac:dyDescent="0.35">
      <c r="T14547" s="246">
        <f t="shared" si="265"/>
        <v>0</v>
      </c>
    </row>
    <row r="14548" spans="20:20" ht="18.75" customHeight="1" x14ac:dyDescent="0.35">
      <c r="T14548" s="246">
        <f t="shared" si="265"/>
        <v>0</v>
      </c>
    </row>
    <row r="14549" spans="20:20" ht="18.75" customHeight="1" x14ac:dyDescent="0.35">
      <c r="T14549" s="246">
        <f t="shared" si="265"/>
        <v>0</v>
      </c>
    </row>
    <row r="14550" spans="20:20" ht="18.75" customHeight="1" x14ac:dyDescent="0.35">
      <c r="T14550" s="246">
        <f t="shared" si="265"/>
        <v>0</v>
      </c>
    </row>
    <row r="14551" spans="20:20" ht="18.75" customHeight="1" x14ac:dyDescent="0.35">
      <c r="T14551" s="246">
        <f t="shared" si="265"/>
        <v>0</v>
      </c>
    </row>
    <row r="14552" spans="20:20" ht="18.75" customHeight="1" x14ac:dyDescent="0.35">
      <c r="T14552" s="246">
        <f t="shared" si="265"/>
        <v>0</v>
      </c>
    </row>
    <row r="14553" spans="20:20" ht="18.75" customHeight="1" x14ac:dyDescent="0.35">
      <c r="T14553" s="246">
        <f t="shared" si="265"/>
        <v>0</v>
      </c>
    </row>
    <row r="14554" spans="20:20" ht="18.75" customHeight="1" x14ac:dyDescent="0.35">
      <c r="T14554" s="246">
        <f t="shared" si="265"/>
        <v>0</v>
      </c>
    </row>
    <row r="14555" spans="20:20" ht="18.75" customHeight="1" x14ac:dyDescent="0.35">
      <c r="T14555" s="246">
        <f t="shared" si="265"/>
        <v>0</v>
      </c>
    </row>
    <row r="14556" spans="20:20" ht="18.75" customHeight="1" x14ac:dyDescent="0.35">
      <c r="T14556" s="246">
        <f t="shared" si="265"/>
        <v>0</v>
      </c>
    </row>
    <row r="14557" spans="20:20" ht="18.75" customHeight="1" x14ac:dyDescent="0.35">
      <c r="T14557" s="246">
        <f t="shared" si="265"/>
        <v>0</v>
      </c>
    </row>
    <row r="14558" spans="20:20" ht="18.75" customHeight="1" x14ac:dyDescent="0.35">
      <c r="T14558" s="246">
        <f t="shared" si="265"/>
        <v>0</v>
      </c>
    </row>
    <row r="14559" spans="20:20" ht="18.75" customHeight="1" x14ac:dyDescent="0.35">
      <c r="T14559" s="246">
        <f t="shared" si="265"/>
        <v>0</v>
      </c>
    </row>
    <row r="14560" spans="20:20" ht="18.75" customHeight="1" x14ac:dyDescent="0.35">
      <c r="T14560" s="246">
        <f t="shared" si="265"/>
        <v>0</v>
      </c>
    </row>
    <row r="14561" spans="20:20" ht="18.75" customHeight="1" x14ac:dyDescent="0.35">
      <c r="T14561" s="246">
        <f t="shared" si="265"/>
        <v>0</v>
      </c>
    </row>
    <row r="14562" spans="20:20" ht="18.75" customHeight="1" x14ac:dyDescent="0.35">
      <c r="T14562" s="246">
        <f t="shared" si="265"/>
        <v>0</v>
      </c>
    </row>
    <row r="14563" spans="20:20" ht="18.75" customHeight="1" x14ac:dyDescent="0.35">
      <c r="T14563" s="246">
        <f t="shared" si="265"/>
        <v>0</v>
      </c>
    </row>
    <row r="14564" spans="20:20" ht="18.75" customHeight="1" x14ac:dyDescent="0.35">
      <c r="T14564" s="246">
        <f t="shared" si="265"/>
        <v>0</v>
      </c>
    </row>
    <row r="14565" spans="20:20" ht="18.75" customHeight="1" x14ac:dyDescent="0.35">
      <c r="T14565" s="246">
        <f t="shared" si="265"/>
        <v>0</v>
      </c>
    </row>
    <row r="14566" spans="20:20" ht="18.75" customHeight="1" x14ac:dyDescent="0.35">
      <c r="T14566" s="246">
        <f t="shared" si="265"/>
        <v>0</v>
      </c>
    </row>
    <row r="14567" spans="20:20" ht="18.75" customHeight="1" x14ac:dyDescent="0.35">
      <c r="T14567" s="246">
        <f t="shared" si="265"/>
        <v>0</v>
      </c>
    </row>
    <row r="14568" spans="20:20" ht="18.75" customHeight="1" x14ac:dyDescent="0.35">
      <c r="T14568" s="246">
        <f t="shared" si="265"/>
        <v>0</v>
      </c>
    </row>
    <row r="14569" spans="20:20" ht="18.75" customHeight="1" x14ac:dyDescent="0.35">
      <c r="T14569" s="246">
        <f t="shared" si="265"/>
        <v>0</v>
      </c>
    </row>
    <row r="14570" spans="20:20" ht="18.75" customHeight="1" x14ac:dyDescent="0.35">
      <c r="T14570" s="246">
        <f t="shared" si="265"/>
        <v>0</v>
      </c>
    </row>
    <row r="14571" spans="20:20" ht="18.75" customHeight="1" x14ac:dyDescent="0.35">
      <c r="T14571" s="246">
        <f t="shared" si="265"/>
        <v>0</v>
      </c>
    </row>
    <row r="14572" spans="20:20" ht="18.75" customHeight="1" x14ac:dyDescent="0.35">
      <c r="T14572" s="246">
        <f t="shared" si="265"/>
        <v>0</v>
      </c>
    </row>
    <row r="14573" spans="20:20" ht="18.75" customHeight="1" x14ac:dyDescent="0.35">
      <c r="T14573" s="246">
        <f t="shared" si="265"/>
        <v>0</v>
      </c>
    </row>
    <row r="14574" spans="20:20" ht="18.75" customHeight="1" x14ac:dyDescent="0.35">
      <c r="T14574" s="246">
        <f t="shared" si="265"/>
        <v>0</v>
      </c>
    </row>
    <row r="14575" spans="20:20" ht="18.75" customHeight="1" x14ac:dyDescent="0.35">
      <c r="T14575" s="246">
        <f t="shared" si="265"/>
        <v>0</v>
      </c>
    </row>
    <row r="14576" spans="20:20" ht="18.75" customHeight="1" x14ac:dyDescent="0.35">
      <c r="T14576" s="246">
        <f t="shared" si="265"/>
        <v>0</v>
      </c>
    </row>
    <row r="14577" spans="20:20" ht="18.75" customHeight="1" x14ac:dyDescent="0.35">
      <c r="T14577" s="246">
        <f t="shared" si="265"/>
        <v>0</v>
      </c>
    </row>
    <row r="14578" spans="20:20" ht="18.75" customHeight="1" x14ac:dyDescent="0.35">
      <c r="T14578" s="246">
        <f t="shared" si="265"/>
        <v>0</v>
      </c>
    </row>
    <row r="14579" spans="20:20" ht="18.75" customHeight="1" x14ac:dyDescent="0.35">
      <c r="T14579" s="246">
        <f t="shared" si="265"/>
        <v>0</v>
      </c>
    </row>
    <row r="14580" spans="20:20" ht="18.75" customHeight="1" x14ac:dyDescent="0.35">
      <c r="T14580" s="246">
        <f t="shared" si="265"/>
        <v>0</v>
      </c>
    </row>
    <row r="14581" spans="20:20" ht="18.75" customHeight="1" x14ac:dyDescent="0.35">
      <c r="T14581" s="246">
        <f t="shared" si="265"/>
        <v>0</v>
      </c>
    </row>
    <row r="14582" spans="20:20" ht="18.75" customHeight="1" x14ac:dyDescent="0.35">
      <c r="T14582" s="246">
        <f t="shared" si="265"/>
        <v>0</v>
      </c>
    </row>
    <row r="14583" spans="20:20" ht="18.75" customHeight="1" x14ac:dyDescent="0.35">
      <c r="T14583" s="246">
        <f t="shared" si="265"/>
        <v>0</v>
      </c>
    </row>
    <row r="14584" spans="20:20" ht="18.75" customHeight="1" x14ac:dyDescent="0.35">
      <c r="T14584" s="246">
        <f t="shared" si="265"/>
        <v>0</v>
      </c>
    </row>
    <row r="14585" spans="20:20" ht="18.75" customHeight="1" x14ac:dyDescent="0.35">
      <c r="T14585" s="246">
        <f t="shared" si="265"/>
        <v>0</v>
      </c>
    </row>
    <row r="14586" spans="20:20" ht="18.75" customHeight="1" x14ac:dyDescent="0.35">
      <c r="T14586" s="246">
        <f t="shared" si="265"/>
        <v>0</v>
      </c>
    </row>
    <row r="14587" spans="20:20" ht="18.75" customHeight="1" x14ac:dyDescent="0.35">
      <c r="T14587" s="246">
        <f t="shared" si="265"/>
        <v>0</v>
      </c>
    </row>
    <row r="14588" spans="20:20" ht="18.75" customHeight="1" x14ac:dyDescent="0.35">
      <c r="T14588" s="246">
        <f t="shared" ref="T14588:T14651" si="266">R14588*0.01</f>
        <v>0</v>
      </c>
    </row>
    <row r="14589" spans="20:20" ht="18.75" customHeight="1" x14ac:dyDescent="0.35">
      <c r="T14589" s="246">
        <f t="shared" si="266"/>
        <v>0</v>
      </c>
    </row>
    <row r="14590" spans="20:20" ht="18.75" customHeight="1" x14ac:dyDescent="0.35">
      <c r="T14590" s="246">
        <f t="shared" si="266"/>
        <v>0</v>
      </c>
    </row>
    <row r="14591" spans="20:20" ht="18.75" customHeight="1" x14ac:dyDescent="0.35">
      <c r="T14591" s="246">
        <f t="shared" si="266"/>
        <v>0</v>
      </c>
    </row>
    <row r="14592" spans="20:20" ht="18.75" customHeight="1" x14ac:dyDescent="0.35">
      <c r="T14592" s="246">
        <f t="shared" si="266"/>
        <v>0</v>
      </c>
    </row>
    <row r="14593" spans="20:20" ht="18.75" customHeight="1" x14ac:dyDescent="0.35">
      <c r="T14593" s="246">
        <f t="shared" si="266"/>
        <v>0</v>
      </c>
    </row>
    <row r="14594" spans="20:20" ht="18.75" customHeight="1" x14ac:dyDescent="0.35">
      <c r="T14594" s="246">
        <f t="shared" si="266"/>
        <v>0</v>
      </c>
    </row>
    <row r="14595" spans="20:20" ht="18.75" customHeight="1" x14ac:dyDescent="0.35">
      <c r="T14595" s="246">
        <f t="shared" si="266"/>
        <v>0</v>
      </c>
    </row>
    <row r="14596" spans="20:20" ht="18.75" customHeight="1" x14ac:dyDescent="0.35">
      <c r="T14596" s="246">
        <f t="shared" si="266"/>
        <v>0</v>
      </c>
    </row>
    <row r="14597" spans="20:20" ht="18.75" customHeight="1" x14ac:dyDescent="0.35">
      <c r="T14597" s="246">
        <f t="shared" si="266"/>
        <v>0</v>
      </c>
    </row>
    <row r="14598" spans="20:20" ht="18.75" customHeight="1" x14ac:dyDescent="0.35">
      <c r="T14598" s="246">
        <f t="shared" si="266"/>
        <v>0</v>
      </c>
    </row>
    <row r="14599" spans="20:20" ht="18.75" customHeight="1" x14ac:dyDescent="0.35">
      <c r="T14599" s="246">
        <f t="shared" si="266"/>
        <v>0</v>
      </c>
    </row>
    <row r="14600" spans="20:20" ht="18.75" customHeight="1" x14ac:dyDescent="0.35">
      <c r="T14600" s="246">
        <f t="shared" si="266"/>
        <v>0</v>
      </c>
    </row>
    <row r="14601" spans="20:20" ht="18.75" customHeight="1" x14ac:dyDescent="0.35">
      <c r="T14601" s="246">
        <f t="shared" si="266"/>
        <v>0</v>
      </c>
    </row>
    <row r="14602" spans="20:20" ht="18.75" customHeight="1" x14ac:dyDescent="0.35">
      <c r="T14602" s="246">
        <f t="shared" si="266"/>
        <v>0</v>
      </c>
    </row>
    <row r="14603" spans="20:20" ht="18.75" customHeight="1" x14ac:dyDescent="0.35">
      <c r="T14603" s="246">
        <f t="shared" si="266"/>
        <v>0</v>
      </c>
    </row>
    <row r="14604" spans="20:20" ht="18.75" customHeight="1" x14ac:dyDescent="0.35">
      <c r="T14604" s="246">
        <f t="shared" si="266"/>
        <v>0</v>
      </c>
    </row>
    <row r="14605" spans="20:20" ht="18.75" customHeight="1" x14ac:dyDescent="0.35">
      <c r="T14605" s="246">
        <f t="shared" si="266"/>
        <v>0</v>
      </c>
    </row>
    <row r="14606" spans="20:20" ht="18.75" customHeight="1" x14ac:dyDescent="0.35">
      <c r="T14606" s="246">
        <f t="shared" si="266"/>
        <v>0</v>
      </c>
    </row>
    <row r="14607" spans="20:20" ht="18.75" customHeight="1" x14ac:dyDescent="0.35">
      <c r="T14607" s="246">
        <f t="shared" si="266"/>
        <v>0</v>
      </c>
    </row>
    <row r="14608" spans="20:20" ht="18.75" customHeight="1" x14ac:dyDescent="0.35">
      <c r="T14608" s="246">
        <f t="shared" si="266"/>
        <v>0</v>
      </c>
    </row>
    <row r="14609" spans="20:20" ht="18.75" customHeight="1" x14ac:dyDescent="0.35">
      <c r="T14609" s="246">
        <f t="shared" si="266"/>
        <v>0</v>
      </c>
    </row>
    <row r="14610" spans="20:20" ht="18.75" customHeight="1" x14ac:dyDescent="0.35">
      <c r="T14610" s="246">
        <f t="shared" si="266"/>
        <v>0</v>
      </c>
    </row>
    <row r="14611" spans="20:20" ht="18.75" customHeight="1" x14ac:dyDescent="0.35">
      <c r="T14611" s="246">
        <f t="shared" si="266"/>
        <v>0</v>
      </c>
    </row>
    <row r="14612" spans="20:20" ht="18.75" customHeight="1" x14ac:dyDescent="0.35">
      <c r="T14612" s="246">
        <f t="shared" si="266"/>
        <v>0</v>
      </c>
    </row>
    <row r="14613" spans="20:20" ht="18.75" customHeight="1" x14ac:dyDescent="0.35">
      <c r="T14613" s="246">
        <f t="shared" si="266"/>
        <v>0</v>
      </c>
    </row>
    <row r="14614" spans="20:20" ht="18.75" customHeight="1" x14ac:dyDescent="0.35">
      <c r="T14614" s="246">
        <f t="shared" si="266"/>
        <v>0</v>
      </c>
    </row>
    <row r="14615" spans="20:20" ht="18.75" customHeight="1" x14ac:dyDescent="0.35">
      <c r="T14615" s="246">
        <f t="shared" si="266"/>
        <v>0</v>
      </c>
    </row>
    <row r="14616" spans="20:20" ht="18.75" customHeight="1" x14ac:dyDescent="0.35">
      <c r="T14616" s="246">
        <f t="shared" si="266"/>
        <v>0</v>
      </c>
    </row>
    <row r="14617" spans="20:20" ht="18.75" customHeight="1" x14ac:dyDescent="0.35">
      <c r="T14617" s="246">
        <f t="shared" si="266"/>
        <v>0</v>
      </c>
    </row>
    <row r="14618" spans="20:20" ht="18.75" customHeight="1" x14ac:dyDescent="0.35">
      <c r="T14618" s="246">
        <f t="shared" si="266"/>
        <v>0</v>
      </c>
    </row>
    <row r="14619" spans="20:20" ht="18.75" customHeight="1" x14ac:dyDescent="0.35">
      <c r="T14619" s="246">
        <f t="shared" si="266"/>
        <v>0</v>
      </c>
    </row>
    <row r="14620" spans="20:20" ht="18.75" customHeight="1" x14ac:dyDescent="0.35">
      <c r="T14620" s="246">
        <f t="shared" si="266"/>
        <v>0</v>
      </c>
    </row>
    <row r="14621" spans="20:20" ht="18.75" customHeight="1" x14ac:dyDescent="0.35">
      <c r="T14621" s="246">
        <f t="shared" si="266"/>
        <v>0</v>
      </c>
    </row>
    <row r="14622" spans="20:20" ht="18.75" customHeight="1" x14ac:dyDescent="0.35">
      <c r="T14622" s="246">
        <f t="shared" si="266"/>
        <v>0</v>
      </c>
    </row>
    <row r="14623" spans="20:20" ht="18.75" customHeight="1" x14ac:dyDescent="0.35">
      <c r="T14623" s="246">
        <f t="shared" si="266"/>
        <v>0</v>
      </c>
    </row>
    <row r="14624" spans="20:20" ht="18.75" customHeight="1" x14ac:dyDescent="0.35">
      <c r="T14624" s="246">
        <f t="shared" si="266"/>
        <v>0</v>
      </c>
    </row>
    <row r="14625" spans="20:20" ht="18.75" customHeight="1" x14ac:dyDescent="0.35">
      <c r="T14625" s="246">
        <f t="shared" si="266"/>
        <v>0</v>
      </c>
    </row>
    <row r="14626" spans="20:20" ht="18.75" customHeight="1" x14ac:dyDescent="0.35">
      <c r="T14626" s="246">
        <f t="shared" si="266"/>
        <v>0</v>
      </c>
    </row>
    <row r="14627" spans="20:20" ht="18.75" customHeight="1" x14ac:dyDescent="0.35">
      <c r="T14627" s="246">
        <f t="shared" si="266"/>
        <v>0</v>
      </c>
    </row>
    <row r="14628" spans="20:20" ht="18.75" customHeight="1" x14ac:dyDescent="0.35">
      <c r="T14628" s="246">
        <f t="shared" si="266"/>
        <v>0</v>
      </c>
    </row>
    <row r="14629" spans="20:20" ht="18.75" customHeight="1" x14ac:dyDescent="0.35">
      <c r="T14629" s="246">
        <f t="shared" si="266"/>
        <v>0</v>
      </c>
    </row>
    <row r="14630" spans="20:20" ht="18.75" customHeight="1" x14ac:dyDescent="0.35">
      <c r="T14630" s="246">
        <f t="shared" si="266"/>
        <v>0</v>
      </c>
    </row>
    <row r="14631" spans="20:20" ht="18.75" customHeight="1" x14ac:dyDescent="0.35">
      <c r="T14631" s="246">
        <f t="shared" si="266"/>
        <v>0</v>
      </c>
    </row>
    <row r="14632" spans="20:20" ht="18.75" customHeight="1" x14ac:dyDescent="0.35">
      <c r="T14632" s="246">
        <f t="shared" si="266"/>
        <v>0</v>
      </c>
    </row>
    <row r="14633" spans="20:20" ht="18.75" customHeight="1" x14ac:dyDescent="0.35">
      <c r="T14633" s="246">
        <f t="shared" si="266"/>
        <v>0</v>
      </c>
    </row>
    <row r="14634" spans="20:20" ht="18.75" customHeight="1" x14ac:dyDescent="0.35">
      <c r="T14634" s="246">
        <f t="shared" si="266"/>
        <v>0</v>
      </c>
    </row>
    <row r="14635" spans="20:20" ht="18.75" customHeight="1" x14ac:dyDescent="0.35">
      <c r="T14635" s="246">
        <f t="shared" si="266"/>
        <v>0</v>
      </c>
    </row>
    <row r="14636" spans="20:20" ht="18.75" customHeight="1" x14ac:dyDescent="0.35">
      <c r="T14636" s="246">
        <f t="shared" si="266"/>
        <v>0</v>
      </c>
    </row>
    <row r="14637" spans="20:20" ht="18.75" customHeight="1" x14ac:dyDescent="0.35">
      <c r="T14637" s="246">
        <f t="shared" si="266"/>
        <v>0</v>
      </c>
    </row>
    <row r="14638" spans="20:20" ht="18.75" customHeight="1" x14ac:dyDescent="0.35">
      <c r="T14638" s="246">
        <f t="shared" si="266"/>
        <v>0</v>
      </c>
    </row>
    <row r="14639" spans="20:20" ht="18.75" customHeight="1" x14ac:dyDescent="0.35">
      <c r="T14639" s="246">
        <f t="shared" si="266"/>
        <v>0</v>
      </c>
    </row>
    <row r="14640" spans="20:20" ht="18.75" customHeight="1" x14ac:dyDescent="0.35">
      <c r="T14640" s="246">
        <f t="shared" si="266"/>
        <v>0</v>
      </c>
    </row>
    <row r="14641" spans="20:20" ht="18.75" customHeight="1" x14ac:dyDescent="0.35">
      <c r="T14641" s="246">
        <f t="shared" si="266"/>
        <v>0</v>
      </c>
    </row>
    <row r="14642" spans="20:20" ht="18.75" customHeight="1" x14ac:dyDescent="0.35">
      <c r="T14642" s="246">
        <f t="shared" si="266"/>
        <v>0</v>
      </c>
    </row>
    <row r="14643" spans="20:20" ht="18.75" customHeight="1" x14ac:dyDescent="0.35">
      <c r="T14643" s="246">
        <f t="shared" si="266"/>
        <v>0</v>
      </c>
    </row>
    <row r="14644" spans="20:20" ht="18.75" customHeight="1" x14ac:dyDescent="0.35">
      <c r="T14644" s="246">
        <f t="shared" si="266"/>
        <v>0</v>
      </c>
    </row>
    <row r="14645" spans="20:20" ht="18.75" customHeight="1" x14ac:dyDescent="0.35">
      <c r="T14645" s="246">
        <f t="shared" si="266"/>
        <v>0</v>
      </c>
    </row>
    <row r="14646" spans="20:20" ht="18.75" customHeight="1" x14ac:dyDescent="0.35">
      <c r="T14646" s="246">
        <f t="shared" si="266"/>
        <v>0</v>
      </c>
    </row>
    <row r="14647" spans="20:20" ht="18.75" customHeight="1" x14ac:dyDescent="0.35">
      <c r="T14647" s="246">
        <f t="shared" si="266"/>
        <v>0</v>
      </c>
    </row>
    <row r="14648" spans="20:20" ht="18.75" customHeight="1" x14ac:dyDescent="0.35">
      <c r="T14648" s="246">
        <f t="shared" si="266"/>
        <v>0</v>
      </c>
    </row>
    <row r="14649" spans="20:20" ht="18.75" customHeight="1" x14ac:dyDescent="0.35">
      <c r="T14649" s="246">
        <f t="shared" si="266"/>
        <v>0</v>
      </c>
    </row>
    <row r="14650" spans="20:20" ht="18.75" customHeight="1" x14ac:dyDescent="0.35">
      <c r="T14650" s="246">
        <f t="shared" si="266"/>
        <v>0</v>
      </c>
    </row>
    <row r="14651" spans="20:20" ht="18.75" customHeight="1" x14ac:dyDescent="0.35">
      <c r="T14651" s="246">
        <f t="shared" si="266"/>
        <v>0</v>
      </c>
    </row>
    <row r="14652" spans="20:20" ht="18.75" customHeight="1" x14ac:dyDescent="0.35">
      <c r="T14652" s="246">
        <f t="shared" ref="T14652:T14715" si="267">R14652*0.01</f>
        <v>0</v>
      </c>
    </row>
    <row r="14653" spans="20:20" ht="18.75" customHeight="1" x14ac:dyDescent="0.35">
      <c r="T14653" s="246">
        <f t="shared" si="267"/>
        <v>0</v>
      </c>
    </row>
    <row r="14654" spans="20:20" ht="18.75" customHeight="1" x14ac:dyDescent="0.35">
      <c r="T14654" s="246">
        <f t="shared" si="267"/>
        <v>0</v>
      </c>
    </row>
    <row r="14655" spans="20:20" ht="18.75" customHeight="1" x14ac:dyDescent="0.35">
      <c r="T14655" s="246">
        <f t="shared" si="267"/>
        <v>0</v>
      </c>
    </row>
    <row r="14656" spans="20:20" ht="18.75" customHeight="1" x14ac:dyDescent="0.35">
      <c r="T14656" s="246">
        <f t="shared" si="267"/>
        <v>0</v>
      </c>
    </row>
    <row r="14657" spans="20:20" ht="18.75" customHeight="1" x14ac:dyDescent="0.35">
      <c r="T14657" s="246">
        <f t="shared" si="267"/>
        <v>0</v>
      </c>
    </row>
    <row r="14658" spans="20:20" ht="18.75" customHeight="1" x14ac:dyDescent="0.35">
      <c r="T14658" s="246">
        <f t="shared" si="267"/>
        <v>0</v>
      </c>
    </row>
    <row r="14659" spans="20:20" ht="18.75" customHeight="1" x14ac:dyDescent="0.35">
      <c r="T14659" s="246">
        <f t="shared" si="267"/>
        <v>0</v>
      </c>
    </row>
    <row r="14660" spans="20:20" ht="18.75" customHeight="1" x14ac:dyDescent="0.35">
      <c r="T14660" s="246">
        <f t="shared" si="267"/>
        <v>0</v>
      </c>
    </row>
    <row r="14661" spans="20:20" ht="18.75" customHeight="1" x14ac:dyDescent="0.35">
      <c r="T14661" s="246">
        <f t="shared" si="267"/>
        <v>0</v>
      </c>
    </row>
    <row r="14662" spans="20:20" ht="18.75" customHeight="1" x14ac:dyDescent="0.35">
      <c r="T14662" s="246">
        <f t="shared" si="267"/>
        <v>0</v>
      </c>
    </row>
    <row r="14663" spans="20:20" ht="18.75" customHeight="1" x14ac:dyDescent="0.35">
      <c r="T14663" s="246">
        <f t="shared" si="267"/>
        <v>0</v>
      </c>
    </row>
    <row r="14664" spans="20:20" ht="18.75" customHeight="1" x14ac:dyDescent="0.35">
      <c r="T14664" s="246">
        <f t="shared" si="267"/>
        <v>0</v>
      </c>
    </row>
    <row r="14665" spans="20:20" ht="18.75" customHeight="1" x14ac:dyDescent="0.35">
      <c r="T14665" s="246">
        <f t="shared" si="267"/>
        <v>0</v>
      </c>
    </row>
    <row r="14666" spans="20:20" ht="18.75" customHeight="1" x14ac:dyDescent="0.35">
      <c r="T14666" s="246">
        <f t="shared" si="267"/>
        <v>0</v>
      </c>
    </row>
    <row r="14667" spans="20:20" ht="18.75" customHeight="1" x14ac:dyDescent="0.35">
      <c r="T14667" s="246">
        <f t="shared" si="267"/>
        <v>0</v>
      </c>
    </row>
    <row r="14668" spans="20:20" ht="18.75" customHeight="1" x14ac:dyDescent="0.35">
      <c r="T14668" s="246">
        <f t="shared" si="267"/>
        <v>0</v>
      </c>
    </row>
    <row r="14669" spans="20:20" ht="18.75" customHeight="1" x14ac:dyDescent="0.35">
      <c r="T14669" s="246">
        <f t="shared" si="267"/>
        <v>0</v>
      </c>
    </row>
    <row r="14670" spans="20:20" ht="18.75" customHeight="1" x14ac:dyDescent="0.35">
      <c r="T14670" s="246">
        <f t="shared" si="267"/>
        <v>0</v>
      </c>
    </row>
    <row r="14671" spans="20:20" ht="18.75" customHeight="1" x14ac:dyDescent="0.35">
      <c r="T14671" s="246">
        <f t="shared" si="267"/>
        <v>0</v>
      </c>
    </row>
    <row r="14672" spans="20:20" ht="18.75" customHeight="1" x14ac:dyDescent="0.35">
      <c r="T14672" s="246">
        <f t="shared" si="267"/>
        <v>0</v>
      </c>
    </row>
    <row r="14673" spans="20:20" ht="18.75" customHeight="1" x14ac:dyDescent="0.35">
      <c r="T14673" s="246">
        <f t="shared" si="267"/>
        <v>0</v>
      </c>
    </row>
    <row r="14674" spans="20:20" ht="18.75" customHeight="1" x14ac:dyDescent="0.35">
      <c r="T14674" s="246">
        <f t="shared" si="267"/>
        <v>0</v>
      </c>
    </row>
    <row r="14675" spans="20:20" ht="18.75" customHeight="1" x14ac:dyDescent="0.35">
      <c r="T14675" s="246">
        <f t="shared" si="267"/>
        <v>0</v>
      </c>
    </row>
    <row r="14676" spans="20:20" ht="18.75" customHeight="1" x14ac:dyDescent="0.35">
      <c r="T14676" s="246">
        <f t="shared" si="267"/>
        <v>0</v>
      </c>
    </row>
    <row r="14677" spans="20:20" ht="18.75" customHeight="1" x14ac:dyDescent="0.35">
      <c r="T14677" s="246">
        <f t="shared" si="267"/>
        <v>0</v>
      </c>
    </row>
    <row r="14678" spans="20:20" ht="18.75" customHeight="1" x14ac:dyDescent="0.35">
      <c r="T14678" s="246">
        <f t="shared" si="267"/>
        <v>0</v>
      </c>
    </row>
    <row r="14679" spans="20:20" ht="18.75" customHeight="1" x14ac:dyDescent="0.35">
      <c r="T14679" s="246">
        <f t="shared" si="267"/>
        <v>0</v>
      </c>
    </row>
    <row r="14680" spans="20:20" ht="18.75" customHeight="1" x14ac:dyDescent="0.35">
      <c r="T14680" s="246">
        <f t="shared" si="267"/>
        <v>0</v>
      </c>
    </row>
    <row r="14681" spans="20:20" ht="18.75" customHeight="1" x14ac:dyDescent="0.35">
      <c r="T14681" s="246">
        <f t="shared" si="267"/>
        <v>0</v>
      </c>
    </row>
    <row r="14682" spans="20:20" ht="18.75" customHeight="1" x14ac:dyDescent="0.35">
      <c r="T14682" s="246">
        <f t="shared" si="267"/>
        <v>0</v>
      </c>
    </row>
    <row r="14683" spans="20:20" ht="18.75" customHeight="1" x14ac:dyDescent="0.35">
      <c r="T14683" s="246">
        <f t="shared" si="267"/>
        <v>0</v>
      </c>
    </row>
    <row r="14684" spans="20:20" ht="18.75" customHeight="1" x14ac:dyDescent="0.35">
      <c r="T14684" s="246">
        <f t="shared" si="267"/>
        <v>0</v>
      </c>
    </row>
    <row r="14685" spans="20:20" ht="18.75" customHeight="1" x14ac:dyDescent="0.35">
      <c r="T14685" s="246">
        <f t="shared" si="267"/>
        <v>0</v>
      </c>
    </row>
    <row r="14686" spans="20:20" ht="18.75" customHeight="1" x14ac:dyDescent="0.35">
      <c r="T14686" s="246">
        <f t="shared" si="267"/>
        <v>0</v>
      </c>
    </row>
    <row r="14687" spans="20:20" ht="18.75" customHeight="1" x14ac:dyDescent="0.35">
      <c r="T14687" s="246">
        <f t="shared" si="267"/>
        <v>0</v>
      </c>
    </row>
    <row r="14688" spans="20:20" ht="18.75" customHeight="1" x14ac:dyDescent="0.35">
      <c r="T14688" s="246">
        <f t="shared" si="267"/>
        <v>0</v>
      </c>
    </row>
    <row r="14689" spans="20:20" ht="18.75" customHeight="1" x14ac:dyDescent="0.35">
      <c r="T14689" s="246">
        <f t="shared" si="267"/>
        <v>0</v>
      </c>
    </row>
    <row r="14690" spans="20:20" ht="18.75" customHeight="1" x14ac:dyDescent="0.35">
      <c r="T14690" s="246">
        <f t="shared" si="267"/>
        <v>0</v>
      </c>
    </row>
    <row r="14691" spans="20:20" ht="18.75" customHeight="1" x14ac:dyDescent="0.35">
      <c r="T14691" s="246">
        <f t="shared" si="267"/>
        <v>0</v>
      </c>
    </row>
    <row r="14692" spans="20:20" ht="18.75" customHeight="1" x14ac:dyDescent="0.35">
      <c r="T14692" s="246">
        <f t="shared" si="267"/>
        <v>0</v>
      </c>
    </row>
    <row r="14693" spans="20:20" ht="18.75" customHeight="1" x14ac:dyDescent="0.35">
      <c r="T14693" s="246">
        <f t="shared" si="267"/>
        <v>0</v>
      </c>
    </row>
    <row r="14694" spans="20:20" ht="18.75" customHeight="1" x14ac:dyDescent="0.35">
      <c r="T14694" s="246">
        <f t="shared" si="267"/>
        <v>0</v>
      </c>
    </row>
    <row r="14695" spans="20:20" ht="18.75" customHeight="1" x14ac:dyDescent="0.35">
      <c r="T14695" s="246">
        <f t="shared" si="267"/>
        <v>0</v>
      </c>
    </row>
    <row r="14696" spans="20:20" ht="18.75" customHeight="1" x14ac:dyDescent="0.35">
      <c r="T14696" s="246">
        <f t="shared" si="267"/>
        <v>0</v>
      </c>
    </row>
    <row r="14697" spans="20:20" ht="18.75" customHeight="1" x14ac:dyDescent="0.35">
      <c r="T14697" s="246">
        <f t="shared" si="267"/>
        <v>0</v>
      </c>
    </row>
    <row r="14698" spans="20:20" ht="18.75" customHeight="1" x14ac:dyDescent="0.35">
      <c r="T14698" s="246">
        <f t="shared" si="267"/>
        <v>0</v>
      </c>
    </row>
    <row r="14699" spans="20:20" ht="18.75" customHeight="1" x14ac:dyDescent="0.35">
      <c r="T14699" s="246">
        <f t="shared" si="267"/>
        <v>0</v>
      </c>
    </row>
    <row r="14700" spans="20:20" ht="18.75" customHeight="1" x14ac:dyDescent="0.35">
      <c r="T14700" s="246">
        <f t="shared" si="267"/>
        <v>0</v>
      </c>
    </row>
    <row r="14701" spans="20:20" ht="18.75" customHeight="1" x14ac:dyDescent="0.35">
      <c r="T14701" s="246">
        <f t="shared" si="267"/>
        <v>0</v>
      </c>
    </row>
    <row r="14702" spans="20:20" ht="18.75" customHeight="1" x14ac:dyDescent="0.35">
      <c r="T14702" s="246">
        <f t="shared" si="267"/>
        <v>0</v>
      </c>
    </row>
    <row r="14703" spans="20:20" ht="18.75" customHeight="1" x14ac:dyDescent="0.35">
      <c r="T14703" s="246">
        <f t="shared" si="267"/>
        <v>0</v>
      </c>
    </row>
    <row r="14704" spans="20:20" ht="18.75" customHeight="1" x14ac:dyDescent="0.35">
      <c r="T14704" s="246">
        <f t="shared" si="267"/>
        <v>0</v>
      </c>
    </row>
    <row r="14705" spans="20:20" ht="18.75" customHeight="1" x14ac:dyDescent="0.35">
      <c r="T14705" s="246">
        <f t="shared" si="267"/>
        <v>0</v>
      </c>
    </row>
    <row r="14706" spans="20:20" ht="18.75" customHeight="1" x14ac:dyDescent="0.35">
      <c r="T14706" s="246">
        <f t="shared" si="267"/>
        <v>0</v>
      </c>
    </row>
    <row r="14707" spans="20:20" ht="18.75" customHeight="1" x14ac:dyDescent="0.35">
      <c r="T14707" s="246">
        <f t="shared" si="267"/>
        <v>0</v>
      </c>
    </row>
    <row r="14708" spans="20:20" ht="18.75" customHeight="1" x14ac:dyDescent="0.35">
      <c r="T14708" s="246">
        <f t="shared" si="267"/>
        <v>0</v>
      </c>
    </row>
    <row r="14709" spans="20:20" ht="18.75" customHeight="1" x14ac:dyDescent="0.35">
      <c r="T14709" s="246">
        <f t="shared" si="267"/>
        <v>0</v>
      </c>
    </row>
    <row r="14710" spans="20:20" ht="18.75" customHeight="1" x14ac:dyDescent="0.35">
      <c r="T14710" s="246">
        <f t="shared" si="267"/>
        <v>0</v>
      </c>
    </row>
    <row r="14711" spans="20:20" ht="18.75" customHeight="1" x14ac:dyDescent="0.35">
      <c r="T14711" s="246">
        <f t="shared" si="267"/>
        <v>0</v>
      </c>
    </row>
    <row r="14712" spans="20:20" ht="18.75" customHeight="1" x14ac:dyDescent="0.35">
      <c r="T14712" s="246">
        <f t="shared" si="267"/>
        <v>0</v>
      </c>
    </row>
    <row r="14713" spans="20:20" ht="18.75" customHeight="1" x14ac:dyDescent="0.35">
      <c r="T14713" s="246">
        <f t="shared" si="267"/>
        <v>0</v>
      </c>
    </row>
    <row r="14714" spans="20:20" ht="18.75" customHeight="1" x14ac:dyDescent="0.35">
      <c r="T14714" s="246">
        <f t="shared" si="267"/>
        <v>0</v>
      </c>
    </row>
    <row r="14715" spans="20:20" ht="18.75" customHeight="1" x14ac:dyDescent="0.35">
      <c r="T14715" s="246">
        <f t="shared" si="267"/>
        <v>0</v>
      </c>
    </row>
    <row r="14716" spans="20:20" ht="18.75" customHeight="1" x14ac:dyDescent="0.35">
      <c r="T14716" s="246">
        <f t="shared" ref="T14716:T14779" si="268">R14716*0.01</f>
        <v>0</v>
      </c>
    </row>
    <row r="14717" spans="20:20" ht="18.75" customHeight="1" x14ac:dyDescent="0.35">
      <c r="T14717" s="246">
        <f t="shared" si="268"/>
        <v>0</v>
      </c>
    </row>
    <row r="14718" spans="20:20" ht="18.75" customHeight="1" x14ac:dyDescent="0.35">
      <c r="T14718" s="246">
        <f t="shared" si="268"/>
        <v>0</v>
      </c>
    </row>
    <row r="14719" spans="20:20" ht="18.75" customHeight="1" x14ac:dyDescent="0.35">
      <c r="T14719" s="246">
        <f t="shared" si="268"/>
        <v>0</v>
      </c>
    </row>
    <row r="14720" spans="20:20" ht="18.75" customHeight="1" x14ac:dyDescent="0.35">
      <c r="T14720" s="246">
        <f t="shared" si="268"/>
        <v>0</v>
      </c>
    </row>
    <row r="14721" spans="20:20" ht="18.75" customHeight="1" x14ac:dyDescent="0.35">
      <c r="T14721" s="246">
        <f t="shared" si="268"/>
        <v>0</v>
      </c>
    </row>
    <row r="14722" spans="20:20" ht="18.75" customHeight="1" x14ac:dyDescent="0.35">
      <c r="T14722" s="246">
        <f t="shared" si="268"/>
        <v>0</v>
      </c>
    </row>
    <row r="14723" spans="20:20" ht="18.75" customHeight="1" x14ac:dyDescent="0.35">
      <c r="T14723" s="246">
        <f t="shared" si="268"/>
        <v>0</v>
      </c>
    </row>
    <row r="14724" spans="20:20" ht="18.75" customHeight="1" x14ac:dyDescent="0.35">
      <c r="T14724" s="246">
        <f t="shared" si="268"/>
        <v>0</v>
      </c>
    </row>
    <row r="14725" spans="20:20" ht="18.75" customHeight="1" x14ac:dyDescent="0.35">
      <c r="T14725" s="246">
        <f t="shared" si="268"/>
        <v>0</v>
      </c>
    </row>
    <row r="14726" spans="20:20" ht="18.75" customHeight="1" x14ac:dyDescent="0.35">
      <c r="T14726" s="246">
        <f t="shared" si="268"/>
        <v>0</v>
      </c>
    </row>
    <row r="14727" spans="20:20" ht="18.75" customHeight="1" x14ac:dyDescent="0.35">
      <c r="T14727" s="246">
        <f t="shared" si="268"/>
        <v>0</v>
      </c>
    </row>
    <row r="14728" spans="20:20" ht="18.75" customHeight="1" x14ac:dyDescent="0.35">
      <c r="T14728" s="246">
        <f t="shared" si="268"/>
        <v>0</v>
      </c>
    </row>
    <row r="14729" spans="20:20" ht="18.75" customHeight="1" x14ac:dyDescent="0.35">
      <c r="T14729" s="246">
        <f t="shared" si="268"/>
        <v>0</v>
      </c>
    </row>
    <row r="14730" spans="20:20" ht="18.75" customHeight="1" x14ac:dyDescent="0.35">
      <c r="T14730" s="246">
        <f t="shared" si="268"/>
        <v>0</v>
      </c>
    </row>
    <row r="14731" spans="20:20" ht="18.75" customHeight="1" x14ac:dyDescent="0.35">
      <c r="T14731" s="246">
        <f t="shared" si="268"/>
        <v>0</v>
      </c>
    </row>
    <row r="14732" spans="20:20" ht="18.75" customHeight="1" x14ac:dyDescent="0.35">
      <c r="T14732" s="246">
        <f t="shared" si="268"/>
        <v>0</v>
      </c>
    </row>
    <row r="14733" spans="20:20" ht="18.75" customHeight="1" x14ac:dyDescent="0.35">
      <c r="T14733" s="246">
        <f t="shared" si="268"/>
        <v>0</v>
      </c>
    </row>
    <row r="14734" spans="20:20" ht="18.75" customHeight="1" x14ac:dyDescent="0.35">
      <c r="T14734" s="246">
        <f t="shared" si="268"/>
        <v>0</v>
      </c>
    </row>
    <row r="14735" spans="20:20" ht="18.75" customHeight="1" x14ac:dyDescent="0.35">
      <c r="T14735" s="246">
        <f t="shared" si="268"/>
        <v>0</v>
      </c>
    </row>
    <row r="14736" spans="20:20" ht="18.75" customHeight="1" x14ac:dyDescent="0.35">
      <c r="T14736" s="246">
        <f t="shared" si="268"/>
        <v>0</v>
      </c>
    </row>
    <row r="14737" spans="20:20" ht="18.75" customHeight="1" x14ac:dyDescent="0.35">
      <c r="T14737" s="246">
        <f t="shared" si="268"/>
        <v>0</v>
      </c>
    </row>
    <row r="14738" spans="20:20" ht="18.75" customHeight="1" x14ac:dyDescent="0.35">
      <c r="T14738" s="246">
        <f t="shared" si="268"/>
        <v>0</v>
      </c>
    </row>
    <row r="14739" spans="20:20" ht="18.75" customHeight="1" x14ac:dyDescent="0.35">
      <c r="T14739" s="246">
        <f t="shared" si="268"/>
        <v>0</v>
      </c>
    </row>
    <row r="14740" spans="20:20" ht="18.75" customHeight="1" x14ac:dyDescent="0.35">
      <c r="T14740" s="246">
        <f t="shared" si="268"/>
        <v>0</v>
      </c>
    </row>
    <row r="14741" spans="20:20" ht="18.75" customHeight="1" x14ac:dyDescent="0.35">
      <c r="T14741" s="246">
        <f t="shared" si="268"/>
        <v>0</v>
      </c>
    </row>
    <row r="14742" spans="20:20" ht="18.75" customHeight="1" x14ac:dyDescent="0.35">
      <c r="T14742" s="246">
        <f t="shared" si="268"/>
        <v>0</v>
      </c>
    </row>
    <row r="14743" spans="20:20" ht="18.75" customHeight="1" x14ac:dyDescent="0.35">
      <c r="T14743" s="246">
        <f t="shared" si="268"/>
        <v>0</v>
      </c>
    </row>
    <row r="14744" spans="20:20" ht="18.75" customHeight="1" x14ac:dyDescent="0.35">
      <c r="T14744" s="246">
        <f t="shared" si="268"/>
        <v>0</v>
      </c>
    </row>
    <row r="14745" spans="20:20" ht="18.75" customHeight="1" x14ac:dyDescent="0.35">
      <c r="T14745" s="246">
        <f t="shared" si="268"/>
        <v>0</v>
      </c>
    </row>
    <row r="14746" spans="20:20" ht="18.75" customHeight="1" x14ac:dyDescent="0.35">
      <c r="T14746" s="246">
        <f t="shared" si="268"/>
        <v>0</v>
      </c>
    </row>
    <row r="14747" spans="20:20" ht="18.75" customHeight="1" x14ac:dyDescent="0.35">
      <c r="T14747" s="246">
        <f t="shared" si="268"/>
        <v>0</v>
      </c>
    </row>
    <row r="14748" spans="20:20" ht="18.75" customHeight="1" x14ac:dyDescent="0.35">
      <c r="T14748" s="246">
        <f t="shared" si="268"/>
        <v>0</v>
      </c>
    </row>
    <row r="14749" spans="20:20" ht="18.75" customHeight="1" x14ac:dyDescent="0.35">
      <c r="T14749" s="246">
        <f t="shared" si="268"/>
        <v>0</v>
      </c>
    </row>
    <row r="14750" spans="20:20" ht="18.75" customHeight="1" x14ac:dyDescent="0.35">
      <c r="T14750" s="246">
        <f t="shared" si="268"/>
        <v>0</v>
      </c>
    </row>
    <row r="14751" spans="20:20" ht="18.75" customHeight="1" x14ac:dyDescent="0.35">
      <c r="T14751" s="246">
        <f t="shared" si="268"/>
        <v>0</v>
      </c>
    </row>
    <row r="14752" spans="20:20" ht="18.75" customHeight="1" x14ac:dyDescent="0.35">
      <c r="T14752" s="246">
        <f t="shared" si="268"/>
        <v>0</v>
      </c>
    </row>
    <row r="14753" spans="20:20" ht="18.75" customHeight="1" x14ac:dyDescent="0.35">
      <c r="T14753" s="246">
        <f t="shared" si="268"/>
        <v>0</v>
      </c>
    </row>
    <row r="14754" spans="20:20" ht="18.75" customHeight="1" x14ac:dyDescent="0.35">
      <c r="T14754" s="246">
        <f t="shared" si="268"/>
        <v>0</v>
      </c>
    </row>
    <row r="14755" spans="20:20" ht="18.75" customHeight="1" x14ac:dyDescent="0.35">
      <c r="T14755" s="246">
        <f t="shared" si="268"/>
        <v>0</v>
      </c>
    </row>
    <row r="14756" spans="20:20" ht="18.75" customHeight="1" x14ac:dyDescent="0.35">
      <c r="T14756" s="246">
        <f t="shared" si="268"/>
        <v>0</v>
      </c>
    </row>
    <row r="14757" spans="20:20" ht="18.75" customHeight="1" x14ac:dyDescent="0.35">
      <c r="T14757" s="246">
        <f t="shared" si="268"/>
        <v>0</v>
      </c>
    </row>
    <row r="14758" spans="20:20" ht="18.75" customHeight="1" x14ac:dyDescent="0.35">
      <c r="T14758" s="246">
        <f t="shared" si="268"/>
        <v>0</v>
      </c>
    </row>
    <row r="14759" spans="20:20" ht="18.75" customHeight="1" x14ac:dyDescent="0.35">
      <c r="T14759" s="246">
        <f t="shared" si="268"/>
        <v>0</v>
      </c>
    </row>
    <row r="14760" spans="20:20" ht="18.75" customHeight="1" x14ac:dyDescent="0.35">
      <c r="T14760" s="246">
        <f t="shared" si="268"/>
        <v>0</v>
      </c>
    </row>
    <row r="14761" spans="20:20" ht="18.75" customHeight="1" x14ac:dyDescent="0.35">
      <c r="T14761" s="246">
        <f t="shared" si="268"/>
        <v>0</v>
      </c>
    </row>
    <row r="14762" spans="20:20" ht="18.75" customHeight="1" x14ac:dyDescent="0.35">
      <c r="T14762" s="246">
        <f t="shared" si="268"/>
        <v>0</v>
      </c>
    </row>
    <row r="14763" spans="20:20" ht="18.75" customHeight="1" x14ac:dyDescent="0.35">
      <c r="T14763" s="246">
        <f t="shared" si="268"/>
        <v>0</v>
      </c>
    </row>
    <row r="14764" spans="20:20" ht="18.75" customHeight="1" x14ac:dyDescent="0.35">
      <c r="T14764" s="246">
        <f t="shared" si="268"/>
        <v>0</v>
      </c>
    </row>
    <row r="14765" spans="20:20" ht="18.75" customHeight="1" x14ac:dyDescent="0.35">
      <c r="T14765" s="246">
        <f t="shared" si="268"/>
        <v>0</v>
      </c>
    </row>
    <row r="14766" spans="20:20" ht="18.75" customHeight="1" x14ac:dyDescent="0.35">
      <c r="T14766" s="246">
        <f t="shared" si="268"/>
        <v>0</v>
      </c>
    </row>
    <row r="14767" spans="20:20" ht="18.75" customHeight="1" x14ac:dyDescent="0.35">
      <c r="T14767" s="246">
        <f t="shared" si="268"/>
        <v>0</v>
      </c>
    </row>
    <row r="14768" spans="20:20" ht="18.75" customHeight="1" x14ac:dyDescent="0.35">
      <c r="T14768" s="246">
        <f t="shared" si="268"/>
        <v>0</v>
      </c>
    </row>
    <row r="14769" spans="20:20" ht="18.75" customHeight="1" x14ac:dyDescent="0.35">
      <c r="T14769" s="246">
        <f t="shared" si="268"/>
        <v>0</v>
      </c>
    </row>
    <row r="14770" spans="20:20" ht="18.75" customHeight="1" x14ac:dyDescent="0.35">
      <c r="T14770" s="246">
        <f t="shared" si="268"/>
        <v>0</v>
      </c>
    </row>
    <row r="14771" spans="20:20" ht="18.75" customHeight="1" x14ac:dyDescent="0.35">
      <c r="T14771" s="246">
        <f t="shared" si="268"/>
        <v>0</v>
      </c>
    </row>
    <row r="14772" spans="20:20" ht="18.75" customHeight="1" x14ac:dyDescent="0.35">
      <c r="T14772" s="246">
        <f t="shared" si="268"/>
        <v>0</v>
      </c>
    </row>
    <row r="14773" spans="20:20" ht="18.75" customHeight="1" x14ac:dyDescent="0.35">
      <c r="T14773" s="246">
        <f t="shared" si="268"/>
        <v>0</v>
      </c>
    </row>
    <row r="14774" spans="20:20" ht="18.75" customHeight="1" x14ac:dyDescent="0.35">
      <c r="T14774" s="246">
        <f t="shared" si="268"/>
        <v>0</v>
      </c>
    </row>
    <row r="14775" spans="20:20" ht="18.75" customHeight="1" x14ac:dyDescent="0.35">
      <c r="T14775" s="246">
        <f t="shared" si="268"/>
        <v>0</v>
      </c>
    </row>
    <row r="14776" spans="20:20" ht="18.75" customHeight="1" x14ac:dyDescent="0.35">
      <c r="T14776" s="246">
        <f t="shared" si="268"/>
        <v>0</v>
      </c>
    </row>
    <row r="14777" spans="20:20" ht="18.75" customHeight="1" x14ac:dyDescent="0.35">
      <c r="T14777" s="246">
        <f t="shared" si="268"/>
        <v>0</v>
      </c>
    </row>
    <row r="14778" spans="20:20" ht="18.75" customHeight="1" x14ac:dyDescent="0.35">
      <c r="T14778" s="246">
        <f t="shared" si="268"/>
        <v>0</v>
      </c>
    </row>
    <row r="14779" spans="20:20" ht="18.75" customHeight="1" x14ac:dyDescent="0.35">
      <c r="T14779" s="246">
        <f t="shared" si="268"/>
        <v>0</v>
      </c>
    </row>
    <row r="14780" spans="20:20" ht="18.75" customHeight="1" x14ac:dyDescent="0.35">
      <c r="T14780" s="246">
        <f t="shared" ref="T14780:T14843" si="269">R14780*0.01</f>
        <v>0</v>
      </c>
    </row>
    <row r="14781" spans="20:20" ht="18.75" customHeight="1" x14ac:dyDescent="0.35">
      <c r="T14781" s="246">
        <f t="shared" si="269"/>
        <v>0</v>
      </c>
    </row>
    <row r="14782" spans="20:20" ht="18.75" customHeight="1" x14ac:dyDescent="0.35">
      <c r="T14782" s="246">
        <f t="shared" si="269"/>
        <v>0</v>
      </c>
    </row>
    <row r="14783" spans="20:20" ht="18.75" customHeight="1" x14ac:dyDescent="0.35">
      <c r="T14783" s="246">
        <f t="shared" si="269"/>
        <v>0</v>
      </c>
    </row>
    <row r="14784" spans="20:20" ht="18.75" customHeight="1" x14ac:dyDescent="0.35">
      <c r="T14784" s="246">
        <f t="shared" si="269"/>
        <v>0</v>
      </c>
    </row>
    <row r="14785" spans="20:20" ht="18.75" customHeight="1" x14ac:dyDescent="0.35">
      <c r="T14785" s="246">
        <f t="shared" si="269"/>
        <v>0</v>
      </c>
    </row>
    <row r="14786" spans="20:20" ht="18.75" customHeight="1" x14ac:dyDescent="0.35">
      <c r="T14786" s="246">
        <f t="shared" si="269"/>
        <v>0</v>
      </c>
    </row>
    <row r="14787" spans="20:20" ht="18.75" customHeight="1" x14ac:dyDescent="0.35">
      <c r="T14787" s="246">
        <f t="shared" si="269"/>
        <v>0</v>
      </c>
    </row>
    <row r="14788" spans="20:20" ht="18.75" customHeight="1" x14ac:dyDescent="0.35">
      <c r="T14788" s="246">
        <f t="shared" si="269"/>
        <v>0</v>
      </c>
    </row>
    <row r="14789" spans="20:20" ht="18.75" customHeight="1" x14ac:dyDescent="0.35">
      <c r="T14789" s="246">
        <f t="shared" si="269"/>
        <v>0</v>
      </c>
    </row>
    <row r="14790" spans="20:20" ht="18.75" customHeight="1" x14ac:dyDescent="0.35">
      <c r="T14790" s="246">
        <f t="shared" si="269"/>
        <v>0</v>
      </c>
    </row>
    <row r="14791" spans="20:20" ht="18.75" customHeight="1" x14ac:dyDescent="0.35">
      <c r="T14791" s="246">
        <f t="shared" si="269"/>
        <v>0</v>
      </c>
    </row>
    <row r="14792" spans="20:20" ht="18.75" customHeight="1" x14ac:dyDescent="0.35">
      <c r="T14792" s="246">
        <f t="shared" si="269"/>
        <v>0</v>
      </c>
    </row>
    <row r="14793" spans="20:20" ht="18.75" customHeight="1" x14ac:dyDescent="0.35">
      <c r="T14793" s="246">
        <f t="shared" si="269"/>
        <v>0</v>
      </c>
    </row>
    <row r="14794" spans="20:20" ht="18.75" customHeight="1" x14ac:dyDescent="0.35">
      <c r="T14794" s="246">
        <f t="shared" si="269"/>
        <v>0</v>
      </c>
    </row>
    <row r="14795" spans="20:20" ht="18.75" customHeight="1" x14ac:dyDescent="0.35">
      <c r="T14795" s="246">
        <f t="shared" si="269"/>
        <v>0</v>
      </c>
    </row>
    <row r="14796" spans="20:20" ht="18.75" customHeight="1" x14ac:dyDescent="0.35">
      <c r="T14796" s="246">
        <f t="shared" si="269"/>
        <v>0</v>
      </c>
    </row>
    <row r="14797" spans="20:20" ht="18.75" customHeight="1" x14ac:dyDescent="0.35">
      <c r="T14797" s="246">
        <f t="shared" si="269"/>
        <v>0</v>
      </c>
    </row>
    <row r="14798" spans="20:20" ht="18.75" customHeight="1" x14ac:dyDescent="0.35">
      <c r="T14798" s="246">
        <f t="shared" si="269"/>
        <v>0</v>
      </c>
    </row>
    <row r="14799" spans="20:20" ht="18.75" customHeight="1" x14ac:dyDescent="0.35">
      <c r="T14799" s="246">
        <f t="shared" si="269"/>
        <v>0</v>
      </c>
    </row>
    <row r="14800" spans="20:20" ht="18.75" customHeight="1" x14ac:dyDescent="0.35">
      <c r="T14800" s="246">
        <f t="shared" si="269"/>
        <v>0</v>
      </c>
    </row>
    <row r="14801" spans="20:20" ht="18.75" customHeight="1" x14ac:dyDescent="0.35">
      <c r="T14801" s="246">
        <f t="shared" si="269"/>
        <v>0</v>
      </c>
    </row>
    <row r="14802" spans="20:20" ht="18.75" customHeight="1" x14ac:dyDescent="0.35">
      <c r="T14802" s="246">
        <f t="shared" si="269"/>
        <v>0</v>
      </c>
    </row>
    <row r="14803" spans="20:20" ht="18.75" customHeight="1" x14ac:dyDescent="0.35">
      <c r="T14803" s="246">
        <f t="shared" si="269"/>
        <v>0</v>
      </c>
    </row>
    <row r="14804" spans="20:20" ht="18.75" customHeight="1" x14ac:dyDescent="0.35">
      <c r="T14804" s="246">
        <f t="shared" si="269"/>
        <v>0</v>
      </c>
    </row>
    <row r="14805" spans="20:20" ht="18.75" customHeight="1" x14ac:dyDescent="0.35">
      <c r="T14805" s="246">
        <f t="shared" si="269"/>
        <v>0</v>
      </c>
    </row>
    <row r="14806" spans="20:20" ht="18.75" customHeight="1" x14ac:dyDescent="0.35">
      <c r="T14806" s="246">
        <f t="shared" si="269"/>
        <v>0</v>
      </c>
    </row>
    <row r="14807" spans="20:20" ht="18.75" customHeight="1" x14ac:dyDescent="0.35">
      <c r="T14807" s="246">
        <f t="shared" si="269"/>
        <v>0</v>
      </c>
    </row>
    <row r="14808" spans="20:20" ht="18.75" customHeight="1" x14ac:dyDescent="0.35">
      <c r="T14808" s="246">
        <f t="shared" si="269"/>
        <v>0</v>
      </c>
    </row>
    <row r="14809" spans="20:20" ht="18.75" customHeight="1" x14ac:dyDescent="0.35">
      <c r="T14809" s="246">
        <f t="shared" si="269"/>
        <v>0</v>
      </c>
    </row>
    <row r="14810" spans="20:20" ht="18.75" customHeight="1" x14ac:dyDescent="0.35">
      <c r="T14810" s="246">
        <f t="shared" si="269"/>
        <v>0</v>
      </c>
    </row>
    <row r="14811" spans="20:20" ht="18.75" customHeight="1" x14ac:dyDescent="0.35">
      <c r="T14811" s="246">
        <f t="shared" si="269"/>
        <v>0</v>
      </c>
    </row>
    <row r="14812" spans="20:20" ht="18.75" customHeight="1" x14ac:dyDescent="0.35">
      <c r="T14812" s="246">
        <f t="shared" si="269"/>
        <v>0</v>
      </c>
    </row>
    <row r="14813" spans="20:20" ht="18.75" customHeight="1" x14ac:dyDescent="0.35">
      <c r="T14813" s="246">
        <f t="shared" si="269"/>
        <v>0</v>
      </c>
    </row>
    <row r="14814" spans="20:20" ht="18.75" customHeight="1" x14ac:dyDescent="0.35">
      <c r="T14814" s="246">
        <f t="shared" si="269"/>
        <v>0</v>
      </c>
    </row>
    <row r="14815" spans="20:20" ht="18.75" customHeight="1" x14ac:dyDescent="0.35">
      <c r="T14815" s="246">
        <f t="shared" si="269"/>
        <v>0</v>
      </c>
    </row>
    <row r="14816" spans="20:20" ht="18.75" customHeight="1" x14ac:dyDescent="0.35">
      <c r="T14816" s="246">
        <f t="shared" si="269"/>
        <v>0</v>
      </c>
    </row>
    <row r="14817" spans="20:20" ht="18.75" customHeight="1" x14ac:dyDescent="0.35">
      <c r="T14817" s="246">
        <f t="shared" si="269"/>
        <v>0</v>
      </c>
    </row>
    <row r="14818" spans="20:20" ht="18.75" customHeight="1" x14ac:dyDescent="0.35">
      <c r="T14818" s="246">
        <f t="shared" si="269"/>
        <v>0</v>
      </c>
    </row>
    <row r="14819" spans="20:20" ht="18.75" customHeight="1" x14ac:dyDescent="0.35">
      <c r="T14819" s="246">
        <f t="shared" si="269"/>
        <v>0</v>
      </c>
    </row>
    <row r="14820" spans="20:20" ht="18.75" customHeight="1" x14ac:dyDescent="0.35">
      <c r="T14820" s="246">
        <f t="shared" si="269"/>
        <v>0</v>
      </c>
    </row>
    <row r="14821" spans="20:20" ht="18.75" customHeight="1" x14ac:dyDescent="0.35">
      <c r="T14821" s="246">
        <f t="shared" si="269"/>
        <v>0</v>
      </c>
    </row>
    <row r="14822" spans="20:20" ht="18.75" customHeight="1" x14ac:dyDescent="0.35">
      <c r="T14822" s="246">
        <f t="shared" si="269"/>
        <v>0</v>
      </c>
    </row>
    <row r="14823" spans="20:20" ht="18.75" customHeight="1" x14ac:dyDescent="0.35">
      <c r="T14823" s="246">
        <f t="shared" si="269"/>
        <v>0</v>
      </c>
    </row>
    <row r="14824" spans="20:20" ht="18.75" customHeight="1" x14ac:dyDescent="0.35">
      <c r="T14824" s="246">
        <f t="shared" si="269"/>
        <v>0</v>
      </c>
    </row>
    <row r="14825" spans="20:20" ht="18.75" customHeight="1" x14ac:dyDescent="0.35">
      <c r="T14825" s="246">
        <f t="shared" si="269"/>
        <v>0</v>
      </c>
    </row>
    <row r="14826" spans="20:20" ht="18.75" customHeight="1" x14ac:dyDescent="0.35">
      <c r="T14826" s="246">
        <f t="shared" si="269"/>
        <v>0</v>
      </c>
    </row>
    <row r="14827" spans="20:20" ht="18.75" customHeight="1" x14ac:dyDescent="0.35">
      <c r="T14827" s="246">
        <f t="shared" si="269"/>
        <v>0</v>
      </c>
    </row>
    <row r="14828" spans="20:20" ht="18.75" customHeight="1" x14ac:dyDescent="0.35">
      <c r="T14828" s="246">
        <f t="shared" si="269"/>
        <v>0</v>
      </c>
    </row>
    <row r="14829" spans="20:20" ht="18.75" customHeight="1" x14ac:dyDescent="0.35">
      <c r="T14829" s="246">
        <f t="shared" si="269"/>
        <v>0</v>
      </c>
    </row>
    <row r="14830" spans="20:20" ht="18.75" customHeight="1" x14ac:dyDescent="0.35">
      <c r="T14830" s="246">
        <f t="shared" si="269"/>
        <v>0</v>
      </c>
    </row>
    <row r="14831" spans="20:20" ht="18.75" customHeight="1" x14ac:dyDescent="0.35">
      <c r="T14831" s="246">
        <f t="shared" si="269"/>
        <v>0</v>
      </c>
    </row>
    <row r="14832" spans="20:20" ht="18.75" customHeight="1" x14ac:dyDescent="0.35">
      <c r="T14832" s="246">
        <f t="shared" si="269"/>
        <v>0</v>
      </c>
    </row>
    <row r="14833" spans="20:20" ht="18.75" customHeight="1" x14ac:dyDescent="0.35">
      <c r="T14833" s="246">
        <f t="shared" si="269"/>
        <v>0</v>
      </c>
    </row>
    <row r="14834" spans="20:20" ht="18.75" customHeight="1" x14ac:dyDescent="0.35">
      <c r="T14834" s="246">
        <f t="shared" si="269"/>
        <v>0</v>
      </c>
    </row>
    <row r="14835" spans="20:20" ht="18.75" customHeight="1" x14ac:dyDescent="0.35">
      <c r="T14835" s="246">
        <f t="shared" si="269"/>
        <v>0</v>
      </c>
    </row>
    <row r="14836" spans="20:20" ht="18.75" customHeight="1" x14ac:dyDescent="0.35">
      <c r="T14836" s="246">
        <f t="shared" si="269"/>
        <v>0</v>
      </c>
    </row>
    <row r="14837" spans="20:20" ht="18.75" customHeight="1" x14ac:dyDescent="0.35">
      <c r="T14837" s="246">
        <f t="shared" si="269"/>
        <v>0</v>
      </c>
    </row>
    <row r="14838" spans="20:20" ht="18.75" customHeight="1" x14ac:dyDescent="0.35">
      <c r="T14838" s="246">
        <f t="shared" si="269"/>
        <v>0</v>
      </c>
    </row>
    <row r="14839" spans="20:20" ht="18.75" customHeight="1" x14ac:dyDescent="0.35">
      <c r="T14839" s="246">
        <f t="shared" si="269"/>
        <v>0</v>
      </c>
    </row>
    <row r="14840" spans="20:20" ht="18.75" customHeight="1" x14ac:dyDescent="0.35">
      <c r="T14840" s="246">
        <f t="shared" si="269"/>
        <v>0</v>
      </c>
    </row>
    <row r="14841" spans="20:20" ht="18.75" customHeight="1" x14ac:dyDescent="0.35">
      <c r="T14841" s="246">
        <f t="shared" si="269"/>
        <v>0</v>
      </c>
    </row>
    <row r="14842" spans="20:20" ht="18.75" customHeight="1" x14ac:dyDescent="0.35">
      <c r="T14842" s="246">
        <f t="shared" si="269"/>
        <v>0</v>
      </c>
    </row>
    <row r="14843" spans="20:20" ht="18.75" customHeight="1" x14ac:dyDescent="0.35">
      <c r="T14843" s="246">
        <f t="shared" si="269"/>
        <v>0</v>
      </c>
    </row>
    <row r="14844" spans="20:20" ht="18.75" customHeight="1" x14ac:dyDescent="0.35">
      <c r="T14844" s="246">
        <f t="shared" ref="T14844:T14907" si="270">R14844*0.01</f>
        <v>0</v>
      </c>
    </row>
    <row r="14845" spans="20:20" ht="18.75" customHeight="1" x14ac:dyDescent="0.35">
      <c r="T14845" s="246">
        <f t="shared" si="270"/>
        <v>0</v>
      </c>
    </row>
    <row r="14846" spans="20:20" ht="18.75" customHeight="1" x14ac:dyDescent="0.35">
      <c r="T14846" s="246">
        <f t="shared" si="270"/>
        <v>0</v>
      </c>
    </row>
    <row r="14847" spans="20:20" ht="18.75" customHeight="1" x14ac:dyDescent="0.35">
      <c r="T14847" s="246">
        <f t="shared" si="270"/>
        <v>0</v>
      </c>
    </row>
    <row r="14848" spans="20:20" ht="18.75" customHeight="1" x14ac:dyDescent="0.35">
      <c r="T14848" s="246">
        <f t="shared" si="270"/>
        <v>0</v>
      </c>
    </row>
    <row r="14849" spans="20:20" ht="18.75" customHeight="1" x14ac:dyDescent="0.35">
      <c r="T14849" s="246">
        <f t="shared" si="270"/>
        <v>0</v>
      </c>
    </row>
    <row r="14850" spans="20:20" ht="18.75" customHeight="1" x14ac:dyDescent="0.35">
      <c r="T14850" s="246">
        <f t="shared" si="270"/>
        <v>0</v>
      </c>
    </row>
    <row r="14851" spans="20:20" ht="18.75" customHeight="1" x14ac:dyDescent="0.35">
      <c r="T14851" s="246">
        <f t="shared" si="270"/>
        <v>0</v>
      </c>
    </row>
    <row r="14852" spans="20:20" ht="18.75" customHeight="1" x14ac:dyDescent="0.35">
      <c r="T14852" s="246">
        <f t="shared" si="270"/>
        <v>0</v>
      </c>
    </row>
    <row r="14853" spans="20:20" ht="18.75" customHeight="1" x14ac:dyDescent="0.35">
      <c r="T14853" s="246">
        <f t="shared" si="270"/>
        <v>0</v>
      </c>
    </row>
    <row r="14854" spans="20:20" ht="18.75" customHeight="1" x14ac:dyDescent="0.35">
      <c r="T14854" s="246">
        <f t="shared" si="270"/>
        <v>0</v>
      </c>
    </row>
    <row r="14855" spans="20:20" ht="18.75" customHeight="1" x14ac:dyDescent="0.35">
      <c r="T14855" s="246">
        <f t="shared" si="270"/>
        <v>0</v>
      </c>
    </row>
    <row r="14856" spans="20:20" ht="18.75" customHeight="1" x14ac:dyDescent="0.35">
      <c r="T14856" s="246">
        <f t="shared" si="270"/>
        <v>0</v>
      </c>
    </row>
    <row r="14857" spans="20:20" ht="18.75" customHeight="1" x14ac:dyDescent="0.35">
      <c r="T14857" s="246">
        <f t="shared" si="270"/>
        <v>0</v>
      </c>
    </row>
    <row r="14858" spans="20:20" ht="18.75" customHeight="1" x14ac:dyDescent="0.35">
      <c r="T14858" s="246">
        <f t="shared" si="270"/>
        <v>0</v>
      </c>
    </row>
    <row r="14859" spans="20:20" ht="18.75" customHeight="1" x14ac:dyDescent="0.35">
      <c r="T14859" s="246">
        <f t="shared" si="270"/>
        <v>0</v>
      </c>
    </row>
    <row r="14860" spans="20:20" ht="18.75" customHeight="1" x14ac:dyDescent="0.35">
      <c r="T14860" s="246">
        <f t="shared" si="270"/>
        <v>0</v>
      </c>
    </row>
    <row r="14861" spans="20:20" ht="18.75" customHeight="1" x14ac:dyDescent="0.35">
      <c r="T14861" s="246">
        <f t="shared" si="270"/>
        <v>0</v>
      </c>
    </row>
    <row r="14862" spans="20:20" ht="18.75" customHeight="1" x14ac:dyDescent="0.35">
      <c r="T14862" s="246">
        <f t="shared" si="270"/>
        <v>0</v>
      </c>
    </row>
    <row r="14863" spans="20:20" ht="18.75" customHeight="1" x14ac:dyDescent="0.35">
      <c r="T14863" s="246">
        <f t="shared" si="270"/>
        <v>0</v>
      </c>
    </row>
    <row r="14864" spans="20:20" ht="18.75" customHeight="1" x14ac:dyDescent="0.35">
      <c r="T14864" s="246">
        <f t="shared" si="270"/>
        <v>0</v>
      </c>
    </row>
    <row r="14865" spans="20:20" ht="18.75" customHeight="1" x14ac:dyDescent="0.35">
      <c r="T14865" s="246">
        <f t="shared" si="270"/>
        <v>0</v>
      </c>
    </row>
    <row r="14866" spans="20:20" ht="18.75" customHeight="1" x14ac:dyDescent="0.35">
      <c r="T14866" s="246">
        <f t="shared" si="270"/>
        <v>0</v>
      </c>
    </row>
    <row r="14867" spans="20:20" ht="18.75" customHeight="1" x14ac:dyDescent="0.35">
      <c r="T14867" s="246">
        <f t="shared" si="270"/>
        <v>0</v>
      </c>
    </row>
    <row r="14868" spans="20:20" ht="18.75" customHeight="1" x14ac:dyDescent="0.35">
      <c r="T14868" s="246">
        <f t="shared" si="270"/>
        <v>0</v>
      </c>
    </row>
    <row r="14869" spans="20:20" ht="18.75" customHeight="1" x14ac:dyDescent="0.35">
      <c r="T14869" s="246">
        <f t="shared" si="270"/>
        <v>0</v>
      </c>
    </row>
    <row r="14870" spans="20:20" ht="18.75" customHeight="1" x14ac:dyDescent="0.35">
      <c r="T14870" s="246">
        <f t="shared" si="270"/>
        <v>0</v>
      </c>
    </row>
    <row r="14871" spans="20:20" ht="18.75" customHeight="1" x14ac:dyDescent="0.35">
      <c r="T14871" s="246">
        <f t="shared" si="270"/>
        <v>0</v>
      </c>
    </row>
    <row r="14872" spans="20:20" ht="18.75" customHeight="1" x14ac:dyDescent="0.35">
      <c r="T14872" s="246">
        <f t="shared" si="270"/>
        <v>0</v>
      </c>
    </row>
    <row r="14873" spans="20:20" ht="18.75" customHeight="1" x14ac:dyDescent="0.35">
      <c r="T14873" s="246">
        <f t="shared" si="270"/>
        <v>0</v>
      </c>
    </row>
    <row r="14874" spans="20:20" ht="18.75" customHeight="1" x14ac:dyDescent="0.35">
      <c r="T14874" s="246">
        <f t="shared" si="270"/>
        <v>0</v>
      </c>
    </row>
    <row r="14875" spans="20:20" ht="18.75" customHeight="1" x14ac:dyDescent="0.35">
      <c r="T14875" s="246">
        <f t="shared" si="270"/>
        <v>0</v>
      </c>
    </row>
    <row r="14876" spans="20:20" ht="18.75" customHeight="1" x14ac:dyDescent="0.35">
      <c r="T14876" s="246">
        <f t="shared" si="270"/>
        <v>0</v>
      </c>
    </row>
    <row r="14877" spans="20:20" ht="18.75" customHeight="1" x14ac:dyDescent="0.35">
      <c r="T14877" s="246">
        <f t="shared" si="270"/>
        <v>0</v>
      </c>
    </row>
    <row r="14878" spans="20:20" ht="18.75" customHeight="1" x14ac:dyDescent="0.35">
      <c r="T14878" s="246">
        <f t="shared" si="270"/>
        <v>0</v>
      </c>
    </row>
    <row r="14879" spans="20:20" ht="18.75" customHeight="1" x14ac:dyDescent="0.35">
      <c r="T14879" s="246">
        <f t="shared" si="270"/>
        <v>0</v>
      </c>
    </row>
    <row r="14880" spans="20:20" ht="18.75" customHeight="1" x14ac:dyDescent="0.35">
      <c r="T14880" s="246">
        <f t="shared" si="270"/>
        <v>0</v>
      </c>
    </row>
    <row r="14881" spans="20:20" ht="18.75" customHeight="1" x14ac:dyDescent="0.35">
      <c r="T14881" s="246">
        <f t="shared" si="270"/>
        <v>0</v>
      </c>
    </row>
    <row r="14882" spans="20:20" ht="18.75" customHeight="1" x14ac:dyDescent="0.35">
      <c r="T14882" s="246">
        <f t="shared" si="270"/>
        <v>0</v>
      </c>
    </row>
    <row r="14883" spans="20:20" ht="18.75" customHeight="1" x14ac:dyDescent="0.35">
      <c r="T14883" s="246">
        <f t="shared" si="270"/>
        <v>0</v>
      </c>
    </row>
    <row r="14884" spans="20:20" ht="18.75" customHeight="1" x14ac:dyDescent="0.35">
      <c r="T14884" s="246">
        <f t="shared" si="270"/>
        <v>0</v>
      </c>
    </row>
    <row r="14885" spans="20:20" ht="18.75" customHeight="1" x14ac:dyDescent="0.35">
      <c r="T14885" s="246">
        <f t="shared" si="270"/>
        <v>0</v>
      </c>
    </row>
    <row r="14886" spans="20:20" ht="18.75" customHeight="1" x14ac:dyDescent="0.35">
      <c r="T14886" s="246">
        <f t="shared" si="270"/>
        <v>0</v>
      </c>
    </row>
    <row r="14887" spans="20:20" ht="18.75" customHeight="1" x14ac:dyDescent="0.35">
      <c r="T14887" s="246">
        <f t="shared" si="270"/>
        <v>0</v>
      </c>
    </row>
    <row r="14888" spans="20:20" ht="18.75" customHeight="1" x14ac:dyDescent="0.35">
      <c r="T14888" s="246">
        <f t="shared" si="270"/>
        <v>0</v>
      </c>
    </row>
    <row r="14889" spans="20:20" ht="18.75" customHeight="1" x14ac:dyDescent="0.35">
      <c r="T14889" s="246">
        <f t="shared" si="270"/>
        <v>0</v>
      </c>
    </row>
    <row r="14890" spans="20:20" ht="18.75" customHeight="1" x14ac:dyDescent="0.35">
      <c r="T14890" s="246">
        <f t="shared" si="270"/>
        <v>0</v>
      </c>
    </row>
    <row r="14891" spans="20:20" ht="18.75" customHeight="1" x14ac:dyDescent="0.35">
      <c r="T14891" s="246">
        <f t="shared" si="270"/>
        <v>0</v>
      </c>
    </row>
    <row r="14892" spans="20:20" ht="18.75" customHeight="1" x14ac:dyDescent="0.35">
      <c r="T14892" s="246">
        <f t="shared" si="270"/>
        <v>0</v>
      </c>
    </row>
    <row r="14893" spans="20:20" ht="18.75" customHeight="1" x14ac:dyDescent="0.35">
      <c r="T14893" s="246">
        <f t="shared" si="270"/>
        <v>0</v>
      </c>
    </row>
    <row r="14894" spans="20:20" ht="18.75" customHeight="1" x14ac:dyDescent="0.35">
      <c r="T14894" s="246">
        <f t="shared" si="270"/>
        <v>0</v>
      </c>
    </row>
    <row r="14895" spans="20:20" ht="18.75" customHeight="1" x14ac:dyDescent="0.35">
      <c r="T14895" s="246">
        <f t="shared" si="270"/>
        <v>0</v>
      </c>
    </row>
    <row r="14896" spans="20:20" ht="18.75" customHeight="1" x14ac:dyDescent="0.35">
      <c r="T14896" s="246">
        <f t="shared" si="270"/>
        <v>0</v>
      </c>
    </row>
    <row r="14897" spans="20:20" ht="18.75" customHeight="1" x14ac:dyDescent="0.35">
      <c r="T14897" s="246">
        <f t="shared" si="270"/>
        <v>0</v>
      </c>
    </row>
    <row r="14898" spans="20:20" ht="18.75" customHeight="1" x14ac:dyDescent="0.35">
      <c r="T14898" s="246">
        <f t="shared" si="270"/>
        <v>0</v>
      </c>
    </row>
    <row r="14899" spans="20:20" ht="18.75" customHeight="1" x14ac:dyDescent="0.35">
      <c r="T14899" s="246">
        <f t="shared" si="270"/>
        <v>0</v>
      </c>
    </row>
    <row r="14900" spans="20:20" ht="18.75" customHeight="1" x14ac:dyDescent="0.35">
      <c r="T14900" s="246">
        <f t="shared" si="270"/>
        <v>0</v>
      </c>
    </row>
    <row r="14901" spans="20:20" ht="18.75" customHeight="1" x14ac:dyDescent="0.35">
      <c r="T14901" s="246">
        <f t="shared" si="270"/>
        <v>0</v>
      </c>
    </row>
    <row r="14902" spans="20:20" ht="18.75" customHeight="1" x14ac:dyDescent="0.35">
      <c r="T14902" s="246">
        <f t="shared" si="270"/>
        <v>0</v>
      </c>
    </row>
    <row r="14903" spans="20:20" ht="18.75" customHeight="1" x14ac:dyDescent="0.35">
      <c r="T14903" s="246">
        <f t="shared" si="270"/>
        <v>0</v>
      </c>
    </row>
    <row r="14904" spans="20:20" ht="18.75" customHeight="1" x14ac:dyDescent="0.35">
      <c r="T14904" s="246">
        <f t="shared" si="270"/>
        <v>0</v>
      </c>
    </row>
    <row r="14905" spans="20:20" ht="18.75" customHeight="1" x14ac:dyDescent="0.35">
      <c r="T14905" s="246">
        <f t="shared" si="270"/>
        <v>0</v>
      </c>
    </row>
    <row r="14906" spans="20:20" ht="18.75" customHeight="1" x14ac:dyDescent="0.35">
      <c r="T14906" s="246">
        <f t="shared" si="270"/>
        <v>0</v>
      </c>
    </row>
    <row r="14907" spans="20:20" ht="18.75" customHeight="1" x14ac:dyDescent="0.35">
      <c r="T14907" s="246">
        <f t="shared" si="270"/>
        <v>0</v>
      </c>
    </row>
    <row r="14908" spans="20:20" ht="18.75" customHeight="1" x14ac:dyDescent="0.35">
      <c r="T14908" s="246">
        <f t="shared" ref="T14908:T14971" si="271">R14908*0.01</f>
        <v>0</v>
      </c>
    </row>
    <row r="14909" spans="20:20" ht="18.75" customHeight="1" x14ac:dyDescent="0.35">
      <c r="T14909" s="246">
        <f t="shared" si="271"/>
        <v>0</v>
      </c>
    </row>
    <row r="14910" spans="20:20" ht="18.75" customHeight="1" x14ac:dyDescent="0.35">
      <c r="T14910" s="246">
        <f t="shared" si="271"/>
        <v>0</v>
      </c>
    </row>
    <row r="14911" spans="20:20" ht="18.75" customHeight="1" x14ac:dyDescent="0.35">
      <c r="T14911" s="246">
        <f t="shared" si="271"/>
        <v>0</v>
      </c>
    </row>
    <row r="14912" spans="20:20" ht="18.75" customHeight="1" x14ac:dyDescent="0.35">
      <c r="T14912" s="246">
        <f t="shared" si="271"/>
        <v>0</v>
      </c>
    </row>
    <row r="14913" spans="20:20" ht="18.75" customHeight="1" x14ac:dyDescent="0.35">
      <c r="T14913" s="246">
        <f t="shared" si="271"/>
        <v>0</v>
      </c>
    </row>
    <row r="14914" spans="20:20" ht="18.75" customHeight="1" x14ac:dyDescent="0.35">
      <c r="T14914" s="246">
        <f t="shared" si="271"/>
        <v>0</v>
      </c>
    </row>
    <row r="14915" spans="20:20" ht="18.75" customHeight="1" x14ac:dyDescent="0.35">
      <c r="T14915" s="246">
        <f t="shared" si="271"/>
        <v>0</v>
      </c>
    </row>
    <row r="14916" spans="20:20" ht="18.75" customHeight="1" x14ac:dyDescent="0.35">
      <c r="T14916" s="246">
        <f t="shared" si="271"/>
        <v>0</v>
      </c>
    </row>
    <row r="14917" spans="20:20" ht="18.75" customHeight="1" x14ac:dyDescent="0.35">
      <c r="T14917" s="246">
        <f t="shared" si="271"/>
        <v>0</v>
      </c>
    </row>
    <row r="14918" spans="20:20" ht="18.75" customHeight="1" x14ac:dyDescent="0.35">
      <c r="T14918" s="246">
        <f t="shared" si="271"/>
        <v>0</v>
      </c>
    </row>
    <row r="14919" spans="20:20" ht="18.75" customHeight="1" x14ac:dyDescent="0.35">
      <c r="T14919" s="246">
        <f t="shared" si="271"/>
        <v>0</v>
      </c>
    </row>
    <row r="14920" spans="20:20" ht="18.75" customHeight="1" x14ac:dyDescent="0.35">
      <c r="T14920" s="246">
        <f t="shared" si="271"/>
        <v>0</v>
      </c>
    </row>
    <row r="14921" spans="20:20" ht="18.75" customHeight="1" x14ac:dyDescent="0.35">
      <c r="T14921" s="246">
        <f t="shared" si="271"/>
        <v>0</v>
      </c>
    </row>
    <row r="14922" spans="20:20" ht="18.75" customHeight="1" x14ac:dyDescent="0.35">
      <c r="T14922" s="246">
        <f t="shared" si="271"/>
        <v>0</v>
      </c>
    </row>
    <row r="14923" spans="20:20" ht="18.75" customHeight="1" x14ac:dyDescent="0.35">
      <c r="T14923" s="246">
        <f t="shared" si="271"/>
        <v>0</v>
      </c>
    </row>
    <row r="14924" spans="20:20" ht="18.75" customHeight="1" x14ac:dyDescent="0.35">
      <c r="T14924" s="246">
        <f t="shared" si="271"/>
        <v>0</v>
      </c>
    </row>
    <row r="14925" spans="20:20" ht="18.75" customHeight="1" x14ac:dyDescent="0.35">
      <c r="T14925" s="246">
        <f t="shared" si="271"/>
        <v>0</v>
      </c>
    </row>
    <row r="14926" spans="20:20" ht="18.75" customHeight="1" x14ac:dyDescent="0.35">
      <c r="T14926" s="246">
        <f t="shared" si="271"/>
        <v>0</v>
      </c>
    </row>
    <row r="14927" spans="20:20" ht="18.75" customHeight="1" x14ac:dyDescent="0.35">
      <c r="T14927" s="246">
        <f t="shared" si="271"/>
        <v>0</v>
      </c>
    </row>
    <row r="14928" spans="20:20" ht="18.75" customHeight="1" x14ac:dyDescent="0.35">
      <c r="T14928" s="246">
        <f t="shared" si="271"/>
        <v>0</v>
      </c>
    </row>
    <row r="14929" spans="20:20" ht="18.75" customHeight="1" x14ac:dyDescent="0.35">
      <c r="T14929" s="246">
        <f t="shared" si="271"/>
        <v>0</v>
      </c>
    </row>
    <row r="14930" spans="20:20" ht="18.75" customHeight="1" x14ac:dyDescent="0.35">
      <c r="T14930" s="246">
        <f t="shared" si="271"/>
        <v>0</v>
      </c>
    </row>
    <row r="14931" spans="20:20" ht="18.75" customHeight="1" x14ac:dyDescent="0.35">
      <c r="T14931" s="246">
        <f t="shared" si="271"/>
        <v>0</v>
      </c>
    </row>
    <row r="14932" spans="20:20" ht="18.75" customHeight="1" x14ac:dyDescent="0.35">
      <c r="T14932" s="246">
        <f t="shared" si="271"/>
        <v>0</v>
      </c>
    </row>
    <row r="14933" spans="20:20" ht="18.75" customHeight="1" x14ac:dyDescent="0.35">
      <c r="T14933" s="246">
        <f t="shared" si="271"/>
        <v>0</v>
      </c>
    </row>
    <row r="14934" spans="20:20" ht="18.75" customHeight="1" x14ac:dyDescent="0.35">
      <c r="T14934" s="246">
        <f t="shared" si="271"/>
        <v>0</v>
      </c>
    </row>
    <row r="14935" spans="20:20" ht="18.75" customHeight="1" x14ac:dyDescent="0.35">
      <c r="T14935" s="246">
        <f t="shared" si="271"/>
        <v>0</v>
      </c>
    </row>
    <row r="14936" spans="20:20" ht="18.75" customHeight="1" x14ac:dyDescent="0.35">
      <c r="T14936" s="246">
        <f t="shared" si="271"/>
        <v>0</v>
      </c>
    </row>
    <row r="14937" spans="20:20" ht="18.75" customHeight="1" x14ac:dyDescent="0.35">
      <c r="T14937" s="246">
        <f t="shared" si="271"/>
        <v>0</v>
      </c>
    </row>
    <row r="14938" spans="20:20" ht="18.75" customHeight="1" x14ac:dyDescent="0.35">
      <c r="T14938" s="246">
        <f t="shared" si="271"/>
        <v>0</v>
      </c>
    </row>
    <row r="14939" spans="20:20" ht="18.75" customHeight="1" x14ac:dyDescent="0.35">
      <c r="T14939" s="246">
        <f t="shared" si="271"/>
        <v>0</v>
      </c>
    </row>
    <row r="14940" spans="20:20" ht="18.75" customHeight="1" x14ac:dyDescent="0.35">
      <c r="T14940" s="246">
        <f t="shared" si="271"/>
        <v>0</v>
      </c>
    </row>
    <row r="14941" spans="20:20" ht="18.75" customHeight="1" x14ac:dyDescent="0.35">
      <c r="T14941" s="246">
        <f t="shared" si="271"/>
        <v>0</v>
      </c>
    </row>
    <row r="14942" spans="20:20" ht="18.75" customHeight="1" x14ac:dyDescent="0.35">
      <c r="T14942" s="246">
        <f t="shared" si="271"/>
        <v>0</v>
      </c>
    </row>
    <row r="14943" spans="20:20" ht="18.75" customHeight="1" x14ac:dyDescent="0.35">
      <c r="T14943" s="246">
        <f t="shared" si="271"/>
        <v>0</v>
      </c>
    </row>
    <row r="14944" spans="20:20" ht="18.75" customHeight="1" x14ac:dyDescent="0.35">
      <c r="T14944" s="246">
        <f t="shared" si="271"/>
        <v>0</v>
      </c>
    </row>
    <row r="14945" spans="20:20" ht="18.75" customHeight="1" x14ac:dyDescent="0.35">
      <c r="T14945" s="246">
        <f t="shared" si="271"/>
        <v>0</v>
      </c>
    </row>
    <row r="14946" spans="20:20" ht="18.75" customHeight="1" x14ac:dyDescent="0.35">
      <c r="T14946" s="246">
        <f t="shared" si="271"/>
        <v>0</v>
      </c>
    </row>
    <row r="14947" spans="20:20" ht="18.75" customHeight="1" x14ac:dyDescent="0.35">
      <c r="T14947" s="246">
        <f t="shared" si="271"/>
        <v>0</v>
      </c>
    </row>
    <row r="14948" spans="20:20" ht="18.75" customHeight="1" x14ac:dyDescent="0.35">
      <c r="T14948" s="246">
        <f t="shared" si="271"/>
        <v>0</v>
      </c>
    </row>
    <row r="14949" spans="20:20" ht="18.75" customHeight="1" x14ac:dyDescent="0.35">
      <c r="T14949" s="246">
        <f t="shared" si="271"/>
        <v>0</v>
      </c>
    </row>
    <row r="14950" spans="20:20" ht="18.75" customHeight="1" x14ac:dyDescent="0.35">
      <c r="T14950" s="246">
        <f t="shared" si="271"/>
        <v>0</v>
      </c>
    </row>
    <row r="14951" spans="20:20" ht="18.75" customHeight="1" x14ac:dyDescent="0.35">
      <c r="T14951" s="246">
        <f t="shared" si="271"/>
        <v>0</v>
      </c>
    </row>
    <row r="14952" spans="20:20" ht="18.75" customHeight="1" x14ac:dyDescent="0.35">
      <c r="T14952" s="246">
        <f t="shared" si="271"/>
        <v>0</v>
      </c>
    </row>
    <row r="14953" spans="20:20" ht="18.75" customHeight="1" x14ac:dyDescent="0.35">
      <c r="T14953" s="246">
        <f t="shared" si="271"/>
        <v>0</v>
      </c>
    </row>
    <row r="14954" spans="20:20" ht="18.75" customHeight="1" x14ac:dyDescent="0.35">
      <c r="T14954" s="246">
        <f t="shared" si="271"/>
        <v>0</v>
      </c>
    </row>
    <row r="14955" spans="20:20" ht="18.75" customHeight="1" x14ac:dyDescent="0.35">
      <c r="T14955" s="246">
        <f t="shared" si="271"/>
        <v>0</v>
      </c>
    </row>
    <row r="14956" spans="20:20" ht="18.75" customHeight="1" x14ac:dyDescent="0.35">
      <c r="T14956" s="246">
        <f t="shared" si="271"/>
        <v>0</v>
      </c>
    </row>
    <row r="14957" spans="20:20" ht="18.75" customHeight="1" x14ac:dyDescent="0.35">
      <c r="T14957" s="246">
        <f t="shared" si="271"/>
        <v>0</v>
      </c>
    </row>
    <row r="14958" spans="20:20" ht="18.75" customHeight="1" x14ac:dyDescent="0.35">
      <c r="T14958" s="246">
        <f t="shared" si="271"/>
        <v>0</v>
      </c>
    </row>
    <row r="14959" spans="20:20" ht="18.75" customHeight="1" x14ac:dyDescent="0.35">
      <c r="T14959" s="246">
        <f t="shared" si="271"/>
        <v>0</v>
      </c>
    </row>
    <row r="14960" spans="20:20" ht="18.75" customHeight="1" x14ac:dyDescent="0.35">
      <c r="T14960" s="246">
        <f t="shared" si="271"/>
        <v>0</v>
      </c>
    </row>
    <row r="14961" spans="20:20" ht="18.75" customHeight="1" x14ac:dyDescent="0.35">
      <c r="T14961" s="246">
        <f t="shared" si="271"/>
        <v>0</v>
      </c>
    </row>
    <row r="14962" spans="20:20" ht="18.75" customHeight="1" x14ac:dyDescent="0.35">
      <c r="T14962" s="246">
        <f t="shared" si="271"/>
        <v>0</v>
      </c>
    </row>
    <row r="14963" spans="20:20" ht="18.75" customHeight="1" x14ac:dyDescent="0.35">
      <c r="T14963" s="246">
        <f t="shared" si="271"/>
        <v>0</v>
      </c>
    </row>
    <row r="14964" spans="20:20" ht="18.75" customHeight="1" x14ac:dyDescent="0.35">
      <c r="T14964" s="246">
        <f t="shared" si="271"/>
        <v>0</v>
      </c>
    </row>
    <row r="14965" spans="20:20" ht="18.75" customHeight="1" x14ac:dyDescent="0.35">
      <c r="T14965" s="246">
        <f t="shared" si="271"/>
        <v>0</v>
      </c>
    </row>
    <row r="14966" spans="20:20" ht="18.75" customHeight="1" x14ac:dyDescent="0.35">
      <c r="T14966" s="246">
        <f t="shared" si="271"/>
        <v>0</v>
      </c>
    </row>
    <row r="14967" spans="20:20" ht="18.75" customHeight="1" x14ac:dyDescent="0.35">
      <c r="T14967" s="246">
        <f t="shared" si="271"/>
        <v>0</v>
      </c>
    </row>
    <row r="14968" spans="20:20" ht="18.75" customHeight="1" x14ac:dyDescent="0.35">
      <c r="T14968" s="246">
        <f t="shared" si="271"/>
        <v>0</v>
      </c>
    </row>
    <row r="14969" spans="20:20" ht="18.75" customHeight="1" x14ac:dyDescent="0.35">
      <c r="T14969" s="246">
        <f t="shared" si="271"/>
        <v>0</v>
      </c>
    </row>
    <row r="14970" spans="20:20" ht="18.75" customHeight="1" x14ac:dyDescent="0.35">
      <c r="T14970" s="246">
        <f t="shared" si="271"/>
        <v>0</v>
      </c>
    </row>
    <row r="14971" spans="20:20" ht="18.75" customHeight="1" x14ac:dyDescent="0.35">
      <c r="T14971" s="246">
        <f t="shared" si="271"/>
        <v>0</v>
      </c>
    </row>
    <row r="14972" spans="20:20" ht="18.75" customHeight="1" x14ac:dyDescent="0.35">
      <c r="T14972" s="246">
        <f t="shared" ref="T14972:T15035" si="272">R14972*0.01</f>
        <v>0</v>
      </c>
    </row>
    <row r="14973" spans="20:20" ht="18.75" customHeight="1" x14ac:dyDescent="0.35">
      <c r="T14973" s="246">
        <f t="shared" si="272"/>
        <v>0</v>
      </c>
    </row>
    <row r="14974" spans="20:20" ht="18.75" customHeight="1" x14ac:dyDescent="0.35">
      <c r="T14974" s="246">
        <f t="shared" si="272"/>
        <v>0</v>
      </c>
    </row>
    <row r="14975" spans="20:20" ht="18.75" customHeight="1" x14ac:dyDescent="0.35">
      <c r="T14975" s="246">
        <f t="shared" si="272"/>
        <v>0</v>
      </c>
    </row>
    <row r="14976" spans="20:20" ht="18.75" customHeight="1" x14ac:dyDescent="0.35">
      <c r="T14976" s="246">
        <f t="shared" si="272"/>
        <v>0</v>
      </c>
    </row>
    <row r="14977" spans="20:20" ht="18.75" customHeight="1" x14ac:dyDescent="0.35">
      <c r="T14977" s="246">
        <f t="shared" si="272"/>
        <v>0</v>
      </c>
    </row>
    <row r="14978" spans="20:20" ht="18.75" customHeight="1" x14ac:dyDescent="0.35">
      <c r="T14978" s="246">
        <f t="shared" si="272"/>
        <v>0</v>
      </c>
    </row>
    <row r="14979" spans="20:20" ht="18.75" customHeight="1" x14ac:dyDescent="0.35">
      <c r="T14979" s="246">
        <f t="shared" si="272"/>
        <v>0</v>
      </c>
    </row>
    <row r="14980" spans="20:20" ht="18.75" customHeight="1" x14ac:dyDescent="0.35">
      <c r="T14980" s="246">
        <f t="shared" si="272"/>
        <v>0</v>
      </c>
    </row>
    <row r="14981" spans="20:20" ht="18.75" customHeight="1" x14ac:dyDescent="0.35">
      <c r="T14981" s="246">
        <f t="shared" si="272"/>
        <v>0</v>
      </c>
    </row>
    <row r="14982" spans="20:20" ht="18.75" customHeight="1" x14ac:dyDescent="0.35">
      <c r="T14982" s="246">
        <f t="shared" si="272"/>
        <v>0</v>
      </c>
    </row>
    <row r="14983" spans="20:20" ht="18.75" customHeight="1" x14ac:dyDescent="0.35">
      <c r="T14983" s="246">
        <f t="shared" si="272"/>
        <v>0</v>
      </c>
    </row>
    <row r="14984" spans="20:20" ht="18.75" customHeight="1" x14ac:dyDescent="0.35">
      <c r="T14984" s="246">
        <f t="shared" si="272"/>
        <v>0</v>
      </c>
    </row>
    <row r="14985" spans="20:20" ht="18.75" customHeight="1" x14ac:dyDescent="0.35">
      <c r="T14985" s="246">
        <f t="shared" si="272"/>
        <v>0</v>
      </c>
    </row>
    <row r="14986" spans="20:20" ht="18.75" customHeight="1" x14ac:dyDescent="0.35">
      <c r="T14986" s="246">
        <f t="shared" si="272"/>
        <v>0</v>
      </c>
    </row>
    <row r="14987" spans="20:20" ht="18.75" customHeight="1" x14ac:dyDescent="0.35">
      <c r="T14987" s="246">
        <f t="shared" si="272"/>
        <v>0</v>
      </c>
    </row>
    <row r="14988" spans="20:20" ht="18.75" customHeight="1" x14ac:dyDescent="0.35">
      <c r="T14988" s="246">
        <f t="shared" si="272"/>
        <v>0</v>
      </c>
    </row>
    <row r="14989" spans="20:20" ht="18.75" customHeight="1" x14ac:dyDescent="0.35">
      <c r="T14989" s="246">
        <f t="shared" si="272"/>
        <v>0</v>
      </c>
    </row>
    <row r="14990" spans="20:20" ht="18.75" customHeight="1" x14ac:dyDescent="0.35">
      <c r="T14990" s="246">
        <f t="shared" si="272"/>
        <v>0</v>
      </c>
    </row>
    <row r="14991" spans="20:20" ht="18.75" customHeight="1" x14ac:dyDescent="0.35">
      <c r="T14991" s="246">
        <f t="shared" si="272"/>
        <v>0</v>
      </c>
    </row>
    <row r="14992" spans="20:20" ht="18.75" customHeight="1" x14ac:dyDescent="0.35">
      <c r="T14992" s="246">
        <f t="shared" si="272"/>
        <v>0</v>
      </c>
    </row>
    <row r="14993" spans="20:20" ht="18.75" customHeight="1" x14ac:dyDescent="0.35">
      <c r="T14993" s="246">
        <f t="shared" si="272"/>
        <v>0</v>
      </c>
    </row>
    <row r="14994" spans="20:20" ht="18.75" customHeight="1" x14ac:dyDescent="0.35">
      <c r="T14994" s="246">
        <f t="shared" si="272"/>
        <v>0</v>
      </c>
    </row>
    <row r="14995" spans="20:20" ht="18.75" customHeight="1" x14ac:dyDescent="0.35">
      <c r="T14995" s="246">
        <f t="shared" si="272"/>
        <v>0</v>
      </c>
    </row>
    <row r="14996" spans="20:20" ht="18.75" customHeight="1" x14ac:dyDescent="0.35">
      <c r="T14996" s="246">
        <f t="shared" si="272"/>
        <v>0</v>
      </c>
    </row>
    <row r="14997" spans="20:20" ht="18.75" customHeight="1" x14ac:dyDescent="0.35">
      <c r="T14997" s="246">
        <f t="shared" si="272"/>
        <v>0</v>
      </c>
    </row>
    <row r="14998" spans="20:20" ht="18.75" customHeight="1" x14ac:dyDescent="0.35">
      <c r="T14998" s="246">
        <f t="shared" si="272"/>
        <v>0</v>
      </c>
    </row>
    <row r="14999" spans="20:20" ht="18.75" customHeight="1" x14ac:dyDescent="0.35">
      <c r="T14999" s="246">
        <f t="shared" si="272"/>
        <v>0</v>
      </c>
    </row>
    <row r="15000" spans="20:20" ht="18.75" customHeight="1" x14ac:dyDescent="0.35">
      <c r="T15000" s="246">
        <f t="shared" si="272"/>
        <v>0</v>
      </c>
    </row>
    <row r="15001" spans="20:20" ht="18.75" customHeight="1" x14ac:dyDescent="0.35">
      <c r="T15001" s="246">
        <f t="shared" si="272"/>
        <v>0</v>
      </c>
    </row>
    <row r="15002" spans="20:20" ht="18.75" customHeight="1" x14ac:dyDescent="0.35">
      <c r="T15002" s="246">
        <f t="shared" si="272"/>
        <v>0</v>
      </c>
    </row>
    <row r="15003" spans="20:20" ht="18.75" customHeight="1" x14ac:dyDescent="0.35">
      <c r="T15003" s="246">
        <f t="shared" si="272"/>
        <v>0</v>
      </c>
    </row>
    <row r="15004" spans="20:20" ht="18.75" customHeight="1" x14ac:dyDescent="0.35">
      <c r="T15004" s="246">
        <f t="shared" si="272"/>
        <v>0</v>
      </c>
    </row>
    <row r="15005" spans="20:20" ht="18.75" customHeight="1" x14ac:dyDescent="0.35">
      <c r="T15005" s="246">
        <f t="shared" si="272"/>
        <v>0</v>
      </c>
    </row>
    <row r="15006" spans="20:20" ht="18.75" customHeight="1" x14ac:dyDescent="0.35">
      <c r="T15006" s="246">
        <f t="shared" si="272"/>
        <v>0</v>
      </c>
    </row>
    <row r="15007" spans="20:20" ht="18.75" customHeight="1" x14ac:dyDescent="0.35">
      <c r="T15007" s="246">
        <f t="shared" si="272"/>
        <v>0</v>
      </c>
    </row>
    <row r="15008" spans="20:20" ht="18.75" customHeight="1" x14ac:dyDescent="0.35">
      <c r="T15008" s="246">
        <f t="shared" si="272"/>
        <v>0</v>
      </c>
    </row>
    <row r="15009" spans="20:20" ht="18.75" customHeight="1" x14ac:dyDescent="0.35">
      <c r="T15009" s="246">
        <f t="shared" si="272"/>
        <v>0</v>
      </c>
    </row>
    <row r="15010" spans="20:20" ht="18.75" customHeight="1" x14ac:dyDescent="0.35">
      <c r="T15010" s="246">
        <f t="shared" si="272"/>
        <v>0</v>
      </c>
    </row>
    <row r="15011" spans="20:20" ht="18.75" customHeight="1" x14ac:dyDescent="0.35">
      <c r="T15011" s="246">
        <f t="shared" si="272"/>
        <v>0</v>
      </c>
    </row>
    <row r="15012" spans="20:20" ht="18.75" customHeight="1" x14ac:dyDescent="0.35">
      <c r="T15012" s="246">
        <f t="shared" si="272"/>
        <v>0</v>
      </c>
    </row>
    <row r="15013" spans="20:20" ht="18.75" customHeight="1" x14ac:dyDescent="0.35">
      <c r="T15013" s="246">
        <f t="shared" si="272"/>
        <v>0</v>
      </c>
    </row>
    <row r="15014" spans="20:20" ht="18.75" customHeight="1" x14ac:dyDescent="0.35">
      <c r="T15014" s="246">
        <f t="shared" si="272"/>
        <v>0</v>
      </c>
    </row>
    <row r="15015" spans="20:20" ht="18.75" customHeight="1" x14ac:dyDescent="0.35">
      <c r="T15015" s="246">
        <f t="shared" si="272"/>
        <v>0</v>
      </c>
    </row>
    <row r="15016" spans="20:20" ht="18.75" customHeight="1" x14ac:dyDescent="0.35">
      <c r="T15016" s="246">
        <f t="shared" si="272"/>
        <v>0</v>
      </c>
    </row>
    <row r="15017" spans="20:20" ht="18.75" customHeight="1" x14ac:dyDescent="0.35">
      <c r="T15017" s="246">
        <f t="shared" si="272"/>
        <v>0</v>
      </c>
    </row>
    <row r="15018" spans="20:20" ht="18.75" customHeight="1" x14ac:dyDescent="0.35">
      <c r="T15018" s="246">
        <f t="shared" si="272"/>
        <v>0</v>
      </c>
    </row>
    <row r="15019" spans="20:20" ht="18.75" customHeight="1" x14ac:dyDescent="0.35">
      <c r="T15019" s="246">
        <f t="shared" si="272"/>
        <v>0</v>
      </c>
    </row>
    <row r="15020" spans="20:20" ht="18.75" customHeight="1" x14ac:dyDescent="0.35">
      <c r="T15020" s="246">
        <f t="shared" si="272"/>
        <v>0</v>
      </c>
    </row>
    <row r="15021" spans="20:20" ht="18.75" customHeight="1" x14ac:dyDescent="0.35">
      <c r="T15021" s="246">
        <f t="shared" si="272"/>
        <v>0</v>
      </c>
    </row>
    <row r="15022" spans="20:20" ht="18.75" customHeight="1" x14ac:dyDescent="0.35">
      <c r="T15022" s="246">
        <f t="shared" si="272"/>
        <v>0</v>
      </c>
    </row>
    <row r="15023" spans="20:20" ht="18.75" customHeight="1" x14ac:dyDescent="0.35">
      <c r="T15023" s="246">
        <f t="shared" si="272"/>
        <v>0</v>
      </c>
    </row>
    <row r="15024" spans="20:20" ht="18.75" customHeight="1" x14ac:dyDescent="0.35">
      <c r="T15024" s="246">
        <f t="shared" si="272"/>
        <v>0</v>
      </c>
    </row>
    <row r="15025" spans="20:20" ht="18.75" customHeight="1" x14ac:dyDescent="0.35">
      <c r="T15025" s="246">
        <f t="shared" si="272"/>
        <v>0</v>
      </c>
    </row>
    <row r="15026" spans="20:20" ht="18.75" customHeight="1" x14ac:dyDescent="0.35">
      <c r="T15026" s="246">
        <f t="shared" si="272"/>
        <v>0</v>
      </c>
    </row>
    <row r="15027" spans="20:20" ht="18.75" customHeight="1" x14ac:dyDescent="0.35">
      <c r="T15027" s="246">
        <f t="shared" si="272"/>
        <v>0</v>
      </c>
    </row>
    <row r="15028" spans="20:20" ht="18.75" customHeight="1" x14ac:dyDescent="0.35">
      <c r="T15028" s="246">
        <f t="shared" si="272"/>
        <v>0</v>
      </c>
    </row>
    <row r="15029" spans="20:20" ht="18.75" customHeight="1" x14ac:dyDescent="0.35">
      <c r="T15029" s="246">
        <f t="shared" si="272"/>
        <v>0</v>
      </c>
    </row>
    <row r="15030" spans="20:20" ht="18.75" customHeight="1" x14ac:dyDescent="0.35">
      <c r="T15030" s="246">
        <f t="shared" si="272"/>
        <v>0</v>
      </c>
    </row>
    <row r="15031" spans="20:20" ht="18.75" customHeight="1" x14ac:dyDescent="0.35">
      <c r="T15031" s="246">
        <f t="shared" si="272"/>
        <v>0</v>
      </c>
    </row>
    <row r="15032" spans="20:20" ht="18.75" customHeight="1" x14ac:dyDescent="0.35">
      <c r="T15032" s="246">
        <f t="shared" si="272"/>
        <v>0</v>
      </c>
    </row>
    <row r="15033" spans="20:20" ht="18.75" customHeight="1" x14ac:dyDescent="0.35">
      <c r="T15033" s="246">
        <f t="shared" si="272"/>
        <v>0</v>
      </c>
    </row>
    <row r="15034" spans="20:20" ht="18.75" customHeight="1" x14ac:dyDescent="0.35">
      <c r="T15034" s="246">
        <f t="shared" si="272"/>
        <v>0</v>
      </c>
    </row>
    <row r="15035" spans="20:20" ht="18.75" customHeight="1" x14ac:dyDescent="0.35">
      <c r="T15035" s="246">
        <f t="shared" si="272"/>
        <v>0</v>
      </c>
    </row>
    <row r="15036" spans="20:20" ht="18.75" customHeight="1" x14ac:dyDescent="0.35">
      <c r="T15036" s="246">
        <f t="shared" ref="T15036:T15099" si="273">R15036*0.01</f>
        <v>0</v>
      </c>
    </row>
    <row r="15037" spans="20:20" ht="18.75" customHeight="1" x14ac:dyDescent="0.35">
      <c r="T15037" s="246">
        <f t="shared" si="273"/>
        <v>0</v>
      </c>
    </row>
    <row r="15038" spans="20:20" ht="18.75" customHeight="1" x14ac:dyDescent="0.35">
      <c r="T15038" s="246">
        <f t="shared" si="273"/>
        <v>0</v>
      </c>
    </row>
    <row r="15039" spans="20:20" ht="18.75" customHeight="1" x14ac:dyDescent="0.35">
      <c r="T15039" s="246">
        <f t="shared" si="273"/>
        <v>0</v>
      </c>
    </row>
    <row r="15040" spans="20:20" ht="18.75" customHeight="1" x14ac:dyDescent="0.35">
      <c r="T15040" s="246">
        <f t="shared" si="273"/>
        <v>0</v>
      </c>
    </row>
    <row r="15041" spans="20:20" ht="18.75" customHeight="1" x14ac:dyDescent="0.35">
      <c r="T15041" s="246">
        <f t="shared" si="273"/>
        <v>0</v>
      </c>
    </row>
    <row r="15042" spans="20:20" ht="18.75" customHeight="1" x14ac:dyDescent="0.35">
      <c r="T15042" s="246">
        <f t="shared" si="273"/>
        <v>0</v>
      </c>
    </row>
    <row r="15043" spans="20:20" ht="18.75" customHeight="1" x14ac:dyDescent="0.35">
      <c r="T15043" s="246">
        <f t="shared" si="273"/>
        <v>0</v>
      </c>
    </row>
    <row r="15044" spans="20:20" ht="18.75" customHeight="1" x14ac:dyDescent="0.35">
      <c r="T15044" s="246">
        <f t="shared" si="273"/>
        <v>0</v>
      </c>
    </row>
    <row r="15045" spans="20:20" ht="18.75" customHeight="1" x14ac:dyDescent="0.35">
      <c r="T15045" s="246">
        <f t="shared" si="273"/>
        <v>0</v>
      </c>
    </row>
    <row r="15046" spans="20:20" ht="18.75" customHeight="1" x14ac:dyDescent="0.35">
      <c r="T15046" s="246">
        <f t="shared" si="273"/>
        <v>0</v>
      </c>
    </row>
    <row r="15047" spans="20:20" ht="18.75" customHeight="1" x14ac:dyDescent="0.35">
      <c r="T15047" s="246">
        <f t="shared" si="273"/>
        <v>0</v>
      </c>
    </row>
    <row r="15048" spans="20:20" ht="18.75" customHeight="1" x14ac:dyDescent="0.35">
      <c r="T15048" s="246">
        <f t="shared" si="273"/>
        <v>0</v>
      </c>
    </row>
    <row r="15049" spans="20:20" ht="18.75" customHeight="1" x14ac:dyDescent="0.35">
      <c r="T15049" s="246">
        <f t="shared" si="273"/>
        <v>0</v>
      </c>
    </row>
    <row r="15050" spans="20:20" ht="18.75" customHeight="1" x14ac:dyDescent="0.35">
      <c r="T15050" s="246">
        <f t="shared" si="273"/>
        <v>0</v>
      </c>
    </row>
    <row r="15051" spans="20:20" ht="18.75" customHeight="1" x14ac:dyDescent="0.35">
      <c r="T15051" s="246">
        <f t="shared" si="273"/>
        <v>0</v>
      </c>
    </row>
    <row r="15052" spans="20:20" ht="18.75" customHeight="1" x14ac:dyDescent="0.35">
      <c r="T15052" s="246">
        <f t="shared" si="273"/>
        <v>0</v>
      </c>
    </row>
    <row r="15053" spans="20:20" ht="18.75" customHeight="1" x14ac:dyDescent="0.35">
      <c r="T15053" s="246">
        <f t="shared" si="273"/>
        <v>0</v>
      </c>
    </row>
    <row r="15054" spans="20:20" ht="18.75" customHeight="1" x14ac:dyDescent="0.35">
      <c r="T15054" s="246">
        <f t="shared" si="273"/>
        <v>0</v>
      </c>
    </row>
    <row r="15055" spans="20:20" ht="18.75" customHeight="1" x14ac:dyDescent="0.35">
      <c r="T15055" s="246">
        <f t="shared" si="273"/>
        <v>0</v>
      </c>
    </row>
    <row r="15056" spans="20:20" ht="18.75" customHeight="1" x14ac:dyDescent="0.35">
      <c r="T15056" s="246">
        <f t="shared" si="273"/>
        <v>0</v>
      </c>
    </row>
    <row r="15057" spans="20:20" ht="18.75" customHeight="1" x14ac:dyDescent="0.35">
      <c r="T15057" s="246">
        <f t="shared" si="273"/>
        <v>0</v>
      </c>
    </row>
    <row r="15058" spans="20:20" ht="18.75" customHeight="1" x14ac:dyDescent="0.35">
      <c r="T15058" s="246">
        <f t="shared" si="273"/>
        <v>0</v>
      </c>
    </row>
    <row r="15059" spans="20:20" ht="18.75" customHeight="1" x14ac:dyDescent="0.35">
      <c r="T15059" s="246">
        <f t="shared" si="273"/>
        <v>0</v>
      </c>
    </row>
    <row r="15060" spans="20:20" ht="18.75" customHeight="1" x14ac:dyDescent="0.35">
      <c r="T15060" s="246">
        <f t="shared" si="273"/>
        <v>0</v>
      </c>
    </row>
    <row r="15061" spans="20:20" ht="18.75" customHeight="1" x14ac:dyDescent="0.35">
      <c r="T15061" s="246">
        <f t="shared" si="273"/>
        <v>0</v>
      </c>
    </row>
    <row r="15062" spans="20:20" ht="18.75" customHeight="1" x14ac:dyDescent="0.35">
      <c r="T15062" s="246">
        <f t="shared" si="273"/>
        <v>0</v>
      </c>
    </row>
    <row r="15063" spans="20:20" ht="18.75" customHeight="1" x14ac:dyDescent="0.35">
      <c r="T15063" s="246">
        <f t="shared" si="273"/>
        <v>0</v>
      </c>
    </row>
    <row r="15064" spans="20:20" ht="18.75" customHeight="1" x14ac:dyDescent="0.35">
      <c r="T15064" s="246">
        <f t="shared" si="273"/>
        <v>0</v>
      </c>
    </row>
    <row r="15065" spans="20:20" ht="18.75" customHeight="1" x14ac:dyDescent="0.35">
      <c r="T15065" s="246">
        <f t="shared" si="273"/>
        <v>0</v>
      </c>
    </row>
    <row r="15066" spans="20:20" ht="18.75" customHeight="1" x14ac:dyDescent="0.35">
      <c r="T15066" s="246">
        <f t="shared" si="273"/>
        <v>0</v>
      </c>
    </row>
    <row r="15067" spans="20:20" ht="18.75" customHeight="1" x14ac:dyDescent="0.35">
      <c r="T15067" s="246">
        <f t="shared" si="273"/>
        <v>0</v>
      </c>
    </row>
    <row r="15068" spans="20:20" ht="18.75" customHeight="1" x14ac:dyDescent="0.35">
      <c r="T15068" s="246">
        <f t="shared" si="273"/>
        <v>0</v>
      </c>
    </row>
    <row r="15069" spans="20:20" ht="18.75" customHeight="1" x14ac:dyDescent="0.35">
      <c r="T15069" s="246">
        <f t="shared" si="273"/>
        <v>0</v>
      </c>
    </row>
    <row r="15070" spans="20:20" ht="18.75" customHeight="1" x14ac:dyDescent="0.35">
      <c r="T15070" s="246">
        <f t="shared" si="273"/>
        <v>0</v>
      </c>
    </row>
    <row r="15071" spans="20:20" ht="18.75" customHeight="1" x14ac:dyDescent="0.35">
      <c r="T15071" s="246">
        <f t="shared" si="273"/>
        <v>0</v>
      </c>
    </row>
    <row r="15072" spans="20:20" ht="18.75" customHeight="1" x14ac:dyDescent="0.35">
      <c r="T15072" s="246">
        <f t="shared" si="273"/>
        <v>0</v>
      </c>
    </row>
    <row r="15073" spans="20:20" ht="18.75" customHeight="1" x14ac:dyDescent="0.35">
      <c r="T15073" s="246">
        <f t="shared" si="273"/>
        <v>0</v>
      </c>
    </row>
    <row r="15074" spans="20:20" ht="18.75" customHeight="1" x14ac:dyDescent="0.35">
      <c r="T15074" s="246">
        <f t="shared" si="273"/>
        <v>0</v>
      </c>
    </row>
    <row r="15075" spans="20:20" ht="18.75" customHeight="1" x14ac:dyDescent="0.35">
      <c r="T15075" s="246">
        <f t="shared" si="273"/>
        <v>0</v>
      </c>
    </row>
    <row r="15076" spans="20:20" ht="18.75" customHeight="1" x14ac:dyDescent="0.35">
      <c r="T15076" s="246">
        <f t="shared" si="273"/>
        <v>0</v>
      </c>
    </row>
    <row r="15077" spans="20:20" ht="18.75" customHeight="1" x14ac:dyDescent="0.35">
      <c r="T15077" s="246">
        <f t="shared" si="273"/>
        <v>0</v>
      </c>
    </row>
    <row r="15078" spans="20:20" ht="18.75" customHeight="1" x14ac:dyDescent="0.35">
      <c r="T15078" s="246">
        <f t="shared" si="273"/>
        <v>0</v>
      </c>
    </row>
    <row r="15079" spans="20:20" ht="18.75" customHeight="1" x14ac:dyDescent="0.35">
      <c r="T15079" s="246">
        <f t="shared" si="273"/>
        <v>0</v>
      </c>
    </row>
    <row r="15080" spans="20:20" ht="18.75" customHeight="1" x14ac:dyDescent="0.35">
      <c r="T15080" s="246">
        <f t="shared" si="273"/>
        <v>0</v>
      </c>
    </row>
    <row r="15081" spans="20:20" ht="18.75" customHeight="1" x14ac:dyDescent="0.35">
      <c r="T15081" s="246">
        <f t="shared" si="273"/>
        <v>0</v>
      </c>
    </row>
    <row r="15082" spans="20:20" ht="18.75" customHeight="1" x14ac:dyDescent="0.35">
      <c r="T15082" s="246">
        <f t="shared" si="273"/>
        <v>0</v>
      </c>
    </row>
    <row r="15083" spans="20:20" ht="18.75" customHeight="1" x14ac:dyDescent="0.35">
      <c r="T15083" s="246">
        <f t="shared" si="273"/>
        <v>0</v>
      </c>
    </row>
    <row r="15084" spans="20:20" ht="18.75" customHeight="1" x14ac:dyDescent="0.35">
      <c r="T15084" s="246">
        <f t="shared" si="273"/>
        <v>0</v>
      </c>
    </row>
    <row r="15085" spans="20:20" ht="18.75" customHeight="1" x14ac:dyDescent="0.35">
      <c r="T15085" s="246">
        <f t="shared" si="273"/>
        <v>0</v>
      </c>
    </row>
    <row r="15086" spans="20:20" ht="18.75" customHeight="1" x14ac:dyDescent="0.35">
      <c r="T15086" s="246">
        <f t="shared" si="273"/>
        <v>0</v>
      </c>
    </row>
    <row r="15087" spans="20:20" ht="18.75" customHeight="1" x14ac:dyDescent="0.35">
      <c r="T15087" s="246">
        <f t="shared" si="273"/>
        <v>0</v>
      </c>
    </row>
    <row r="15088" spans="20:20" ht="18.75" customHeight="1" x14ac:dyDescent="0.35">
      <c r="T15088" s="246">
        <f t="shared" si="273"/>
        <v>0</v>
      </c>
    </row>
    <row r="15089" spans="20:20" ht="18.75" customHeight="1" x14ac:dyDescent="0.35">
      <c r="T15089" s="246">
        <f t="shared" si="273"/>
        <v>0</v>
      </c>
    </row>
    <row r="15090" spans="20:20" ht="18.75" customHeight="1" x14ac:dyDescent="0.35">
      <c r="T15090" s="246">
        <f t="shared" si="273"/>
        <v>0</v>
      </c>
    </row>
    <row r="15091" spans="20:20" ht="18.75" customHeight="1" x14ac:dyDescent="0.35">
      <c r="T15091" s="246">
        <f t="shared" si="273"/>
        <v>0</v>
      </c>
    </row>
    <row r="15092" spans="20:20" ht="18.75" customHeight="1" x14ac:dyDescent="0.35">
      <c r="T15092" s="246">
        <f t="shared" si="273"/>
        <v>0</v>
      </c>
    </row>
    <row r="15093" spans="20:20" ht="18.75" customHeight="1" x14ac:dyDescent="0.35">
      <c r="T15093" s="246">
        <f t="shared" si="273"/>
        <v>0</v>
      </c>
    </row>
    <row r="15094" spans="20:20" ht="18.75" customHeight="1" x14ac:dyDescent="0.35">
      <c r="T15094" s="246">
        <f t="shared" si="273"/>
        <v>0</v>
      </c>
    </row>
    <row r="15095" spans="20:20" ht="18.75" customHeight="1" x14ac:dyDescent="0.35">
      <c r="T15095" s="246">
        <f t="shared" si="273"/>
        <v>0</v>
      </c>
    </row>
    <row r="15096" spans="20:20" ht="18.75" customHeight="1" x14ac:dyDescent="0.35">
      <c r="T15096" s="246">
        <f t="shared" si="273"/>
        <v>0</v>
      </c>
    </row>
    <row r="15097" spans="20:20" ht="18.75" customHeight="1" x14ac:dyDescent="0.35">
      <c r="T15097" s="246">
        <f t="shared" si="273"/>
        <v>0</v>
      </c>
    </row>
    <row r="15098" spans="20:20" ht="18.75" customHeight="1" x14ac:dyDescent="0.35">
      <c r="T15098" s="246">
        <f t="shared" si="273"/>
        <v>0</v>
      </c>
    </row>
    <row r="15099" spans="20:20" ht="18.75" customHeight="1" x14ac:dyDescent="0.35">
      <c r="T15099" s="246">
        <f t="shared" si="273"/>
        <v>0</v>
      </c>
    </row>
    <row r="15100" spans="20:20" ht="18.75" customHeight="1" x14ac:dyDescent="0.35">
      <c r="T15100" s="246">
        <f t="shared" ref="T15100:T15163" si="274">R15100*0.01</f>
        <v>0</v>
      </c>
    </row>
    <row r="15101" spans="20:20" ht="18.75" customHeight="1" x14ac:dyDescent="0.35">
      <c r="T15101" s="246">
        <f t="shared" si="274"/>
        <v>0</v>
      </c>
    </row>
    <row r="15102" spans="20:20" ht="18.75" customHeight="1" x14ac:dyDescent="0.35">
      <c r="T15102" s="246">
        <f t="shared" si="274"/>
        <v>0</v>
      </c>
    </row>
    <row r="15103" spans="20:20" ht="18.75" customHeight="1" x14ac:dyDescent="0.35">
      <c r="T15103" s="246">
        <f t="shared" si="274"/>
        <v>0</v>
      </c>
    </row>
    <row r="15104" spans="20:20" ht="18.75" customHeight="1" x14ac:dyDescent="0.35">
      <c r="T15104" s="246">
        <f t="shared" si="274"/>
        <v>0</v>
      </c>
    </row>
    <row r="15105" spans="20:20" ht="18.75" customHeight="1" x14ac:dyDescent="0.35">
      <c r="T15105" s="246">
        <f t="shared" si="274"/>
        <v>0</v>
      </c>
    </row>
    <row r="15106" spans="20:20" ht="18.75" customHeight="1" x14ac:dyDescent="0.35">
      <c r="T15106" s="246">
        <f t="shared" si="274"/>
        <v>0</v>
      </c>
    </row>
    <row r="15107" spans="20:20" ht="18.75" customHeight="1" x14ac:dyDescent="0.35">
      <c r="T15107" s="246">
        <f t="shared" si="274"/>
        <v>0</v>
      </c>
    </row>
    <row r="15108" spans="20:20" ht="18.75" customHeight="1" x14ac:dyDescent="0.35">
      <c r="T15108" s="246">
        <f t="shared" si="274"/>
        <v>0</v>
      </c>
    </row>
    <row r="15109" spans="20:20" ht="18.75" customHeight="1" x14ac:dyDescent="0.35">
      <c r="T15109" s="246">
        <f t="shared" si="274"/>
        <v>0</v>
      </c>
    </row>
    <row r="15110" spans="20:20" ht="18.75" customHeight="1" x14ac:dyDescent="0.35">
      <c r="T15110" s="246">
        <f t="shared" si="274"/>
        <v>0</v>
      </c>
    </row>
    <row r="15111" spans="20:20" ht="18.75" customHeight="1" x14ac:dyDescent="0.35">
      <c r="T15111" s="246">
        <f t="shared" si="274"/>
        <v>0</v>
      </c>
    </row>
    <row r="15112" spans="20:20" ht="18.75" customHeight="1" x14ac:dyDescent="0.35">
      <c r="T15112" s="246">
        <f t="shared" si="274"/>
        <v>0</v>
      </c>
    </row>
    <row r="15113" spans="20:20" ht="18.75" customHeight="1" x14ac:dyDescent="0.35">
      <c r="T15113" s="246">
        <f t="shared" si="274"/>
        <v>0</v>
      </c>
    </row>
    <row r="15114" spans="20:20" ht="18.75" customHeight="1" x14ac:dyDescent="0.35">
      <c r="T15114" s="246">
        <f t="shared" si="274"/>
        <v>0</v>
      </c>
    </row>
    <row r="15115" spans="20:20" ht="18.75" customHeight="1" x14ac:dyDescent="0.35">
      <c r="T15115" s="246">
        <f t="shared" si="274"/>
        <v>0</v>
      </c>
    </row>
    <row r="15116" spans="20:20" ht="18.75" customHeight="1" x14ac:dyDescent="0.35">
      <c r="T15116" s="246">
        <f t="shared" si="274"/>
        <v>0</v>
      </c>
    </row>
    <row r="15117" spans="20:20" ht="18.75" customHeight="1" x14ac:dyDescent="0.35">
      <c r="T15117" s="246">
        <f t="shared" si="274"/>
        <v>0</v>
      </c>
    </row>
    <row r="15118" spans="20:20" ht="18.75" customHeight="1" x14ac:dyDescent="0.35">
      <c r="T15118" s="246">
        <f t="shared" si="274"/>
        <v>0</v>
      </c>
    </row>
    <row r="15119" spans="20:20" ht="18.75" customHeight="1" x14ac:dyDescent="0.35">
      <c r="T15119" s="246">
        <f t="shared" si="274"/>
        <v>0</v>
      </c>
    </row>
    <row r="15120" spans="20:20" ht="18.75" customHeight="1" x14ac:dyDescent="0.35">
      <c r="T15120" s="246">
        <f t="shared" si="274"/>
        <v>0</v>
      </c>
    </row>
    <row r="15121" spans="20:20" ht="18.75" customHeight="1" x14ac:dyDescent="0.35">
      <c r="T15121" s="246">
        <f t="shared" si="274"/>
        <v>0</v>
      </c>
    </row>
    <row r="15122" spans="20:20" ht="18.75" customHeight="1" x14ac:dyDescent="0.35">
      <c r="T15122" s="246">
        <f t="shared" si="274"/>
        <v>0</v>
      </c>
    </row>
    <row r="15123" spans="20:20" ht="18.75" customHeight="1" x14ac:dyDescent="0.35">
      <c r="T15123" s="246">
        <f t="shared" si="274"/>
        <v>0</v>
      </c>
    </row>
    <row r="15124" spans="20:20" ht="18.75" customHeight="1" x14ac:dyDescent="0.35">
      <c r="T15124" s="246">
        <f t="shared" si="274"/>
        <v>0</v>
      </c>
    </row>
    <row r="15125" spans="20:20" ht="18.75" customHeight="1" x14ac:dyDescent="0.35">
      <c r="T15125" s="246">
        <f t="shared" si="274"/>
        <v>0</v>
      </c>
    </row>
    <row r="15126" spans="20:20" ht="18.75" customHeight="1" x14ac:dyDescent="0.35">
      <c r="T15126" s="246">
        <f t="shared" si="274"/>
        <v>0</v>
      </c>
    </row>
    <row r="15127" spans="20:20" ht="18.75" customHeight="1" x14ac:dyDescent="0.35">
      <c r="T15127" s="246">
        <f t="shared" si="274"/>
        <v>0</v>
      </c>
    </row>
    <row r="15128" spans="20:20" ht="18.75" customHeight="1" x14ac:dyDescent="0.35">
      <c r="T15128" s="246">
        <f t="shared" si="274"/>
        <v>0</v>
      </c>
    </row>
    <row r="15129" spans="20:20" ht="18.75" customHeight="1" x14ac:dyDescent="0.35">
      <c r="T15129" s="246">
        <f t="shared" si="274"/>
        <v>0</v>
      </c>
    </row>
    <row r="15130" spans="20:20" ht="18.75" customHeight="1" x14ac:dyDescent="0.35">
      <c r="T15130" s="246">
        <f t="shared" si="274"/>
        <v>0</v>
      </c>
    </row>
    <row r="15131" spans="20:20" ht="18.75" customHeight="1" x14ac:dyDescent="0.35">
      <c r="T15131" s="246">
        <f t="shared" si="274"/>
        <v>0</v>
      </c>
    </row>
    <row r="15132" spans="20:20" ht="18.75" customHeight="1" x14ac:dyDescent="0.35">
      <c r="T15132" s="246">
        <f t="shared" si="274"/>
        <v>0</v>
      </c>
    </row>
    <row r="15133" spans="20:20" ht="18.75" customHeight="1" x14ac:dyDescent="0.35">
      <c r="T15133" s="246">
        <f t="shared" si="274"/>
        <v>0</v>
      </c>
    </row>
    <row r="15134" spans="20:20" ht="18.75" customHeight="1" x14ac:dyDescent="0.35">
      <c r="T15134" s="246">
        <f t="shared" si="274"/>
        <v>0</v>
      </c>
    </row>
    <row r="15135" spans="20:20" ht="18.75" customHeight="1" x14ac:dyDescent="0.35">
      <c r="T15135" s="246">
        <f t="shared" si="274"/>
        <v>0</v>
      </c>
    </row>
    <row r="15136" spans="20:20" ht="18.75" customHeight="1" x14ac:dyDescent="0.35">
      <c r="T15136" s="246">
        <f t="shared" si="274"/>
        <v>0</v>
      </c>
    </row>
    <row r="15137" spans="20:20" ht="18.75" customHeight="1" x14ac:dyDescent="0.35">
      <c r="T15137" s="246">
        <f t="shared" si="274"/>
        <v>0</v>
      </c>
    </row>
    <row r="15138" spans="20:20" ht="18.75" customHeight="1" x14ac:dyDescent="0.35">
      <c r="T15138" s="246">
        <f t="shared" si="274"/>
        <v>0</v>
      </c>
    </row>
    <row r="15139" spans="20:20" ht="18.75" customHeight="1" x14ac:dyDescent="0.35">
      <c r="T15139" s="246">
        <f t="shared" si="274"/>
        <v>0</v>
      </c>
    </row>
    <row r="15140" spans="20:20" ht="18.75" customHeight="1" x14ac:dyDescent="0.35">
      <c r="T15140" s="246">
        <f t="shared" si="274"/>
        <v>0</v>
      </c>
    </row>
    <row r="15141" spans="20:20" ht="18.75" customHeight="1" x14ac:dyDescent="0.35">
      <c r="T15141" s="246">
        <f t="shared" si="274"/>
        <v>0</v>
      </c>
    </row>
    <row r="15142" spans="20:20" ht="18.75" customHeight="1" x14ac:dyDescent="0.35">
      <c r="T15142" s="246">
        <f t="shared" si="274"/>
        <v>0</v>
      </c>
    </row>
    <row r="15143" spans="20:20" ht="18.75" customHeight="1" x14ac:dyDescent="0.35">
      <c r="T15143" s="246">
        <f t="shared" si="274"/>
        <v>0</v>
      </c>
    </row>
    <row r="15144" spans="20:20" ht="18.75" customHeight="1" x14ac:dyDescent="0.35">
      <c r="T15144" s="246">
        <f t="shared" si="274"/>
        <v>0</v>
      </c>
    </row>
    <row r="15145" spans="20:20" ht="18.75" customHeight="1" x14ac:dyDescent="0.35">
      <c r="T15145" s="246">
        <f t="shared" si="274"/>
        <v>0</v>
      </c>
    </row>
    <row r="15146" spans="20:20" ht="18.75" customHeight="1" x14ac:dyDescent="0.35">
      <c r="T15146" s="246">
        <f t="shared" si="274"/>
        <v>0</v>
      </c>
    </row>
    <row r="15147" spans="20:20" ht="18.75" customHeight="1" x14ac:dyDescent="0.35">
      <c r="T15147" s="246">
        <f t="shared" si="274"/>
        <v>0</v>
      </c>
    </row>
    <row r="15148" spans="20:20" ht="18.75" customHeight="1" x14ac:dyDescent="0.35">
      <c r="T15148" s="246">
        <f t="shared" si="274"/>
        <v>0</v>
      </c>
    </row>
    <row r="15149" spans="20:20" ht="18.75" customHeight="1" x14ac:dyDescent="0.35">
      <c r="T15149" s="246">
        <f t="shared" si="274"/>
        <v>0</v>
      </c>
    </row>
    <row r="15150" spans="20:20" ht="18.75" customHeight="1" x14ac:dyDescent="0.35">
      <c r="T15150" s="246">
        <f t="shared" si="274"/>
        <v>0</v>
      </c>
    </row>
    <row r="15151" spans="20:20" ht="18.75" customHeight="1" x14ac:dyDescent="0.35">
      <c r="T15151" s="246">
        <f t="shared" si="274"/>
        <v>0</v>
      </c>
    </row>
    <row r="15152" spans="20:20" ht="18.75" customHeight="1" x14ac:dyDescent="0.35">
      <c r="T15152" s="246">
        <f t="shared" si="274"/>
        <v>0</v>
      </c>
    </row>
    <row r="15153" spans="20:20" ht="18.75" customHeight="1" x14ac:dyDescent="0.35">
      <c r="T15153" s="246">
        <f t="shared" si="274"/>
        <v>0</v>
      </c>
    </row>
    <row r="15154" spans="20:20" ht="18.75" customHeight="1" x14ac:dyDescent="0.35">
      <c r="T15154" s="246">
        <f t="shared" si="274"/>
        <v>0</v>
      </c>
    </row>
    <row r="15155" spans="20:20" ht="18.75" customHeight="1" x14ac:dyDescent="0.35">
      <c r="T15155" s="246">
        <f t="shared" si="274"/>
        <v>0</v>
      </c>
    </row>
    <row r="15156" spans="20:20" ht="18.75" customHeight="1" x14ac:dyDescent="0.35">
      <c r="T15156" s="246">
        <f t="shared" si="274"/>
        <v>0</v>
      </c>
    </row>
    <row r="15157" spans="20:20" ht="18.75" customHeight="1" x14ac:dyDescent="0.35">
      <c r="T15157" s="246">
        <f t="shared" si="274"/>
        <v>0</v>
      </c>
    </row>
    <row r="15158" spans="20:20" ht="18.75" customHeight="1" x14ac:dyDescent="0.35">
      <c r="T15158" s="246">
        <f t="shared" si="274"/>
        <v>0</v>
      </c>
    </row>
    <row r="15159" spans="20:20" ht="18.75" customHeight="1" x14ac:dyDescent="0.35">
      <c r="T15159" s="246">
        <f t="shared" si="274"/>
        <v>0</v>
      </c>
    </row>
    <row r="15160" spans="20:20" ht="18.75" customHeight="1" x14ac:dyDescent="0.35">
      <c r="T15160" s="246">
        <f t="shared" si="274"/>
        <v>0</v>
      </c>
    </row>
    <row r="15161" spans="20:20" ht="18.75" customHeight="1" x14ac:dyDescent="0.35">
      <c r="T15161" s="246">
        <f t="shared" si="274"/>
        <v>0</v>
      </c>
    </row>
    <row r="15162" spans="20:20" ht="18.75" customHeight="1" x14ac:dyDescent="0.35">
      <c r="T15162" s="246">
        <f t="shared" si="274"/>
        <v>0</v>
      </c>
    </row>
    <row r="15163" spans="20:20" ht="18.75" customHeight="1" x14ac:dyDescent="0.35">
      <c r="T15163" s="246">
        <f t="shared" si="274"/>
        <v>0</v>
      </c>
    </row>
    <row r="15164" spans="20:20" ht="18.75" customHeight="1" x14ac:dyDescent="0.35">
      <c r="T15164" s="246">
        <f t="shared" ref="T15164:T15227" si="275">R15164*0.01</f>
        <v>0</v>
      </c>
    </row>
    <row r="15165" spans="20:20" ht="18.75" customHeight="1" x14ac:dyDescent="0.35">
      <c r="T15165" s="246">
        <f t="shared" si="275"/>
        <v>0</v>
      </c>
    </row>
    <row r="15166" spans="20:20" ht="18.75" customHeight="1" x14ac:dyDescent="0.35">
      <c r="T15166" s="246">
        <f t="shared" si="275"/>
        <v>0</v>
      </c>
    </row>
    <row r="15167" spans="20:20" ht="18.75" customHeight="1" x14ac:dyDescent="0.35">
      <c r="T15167" s="246">
        <f t="shared" si="275"/>
        <v>0</v>
      </c>
    </row>
    <row r="15168" spans="20:20" ht="18.75" customHeight="1" x14ac:dyDescent="0.35">
      <c r="T15168" s="246">
        <f t="shared" si="275"/>
        <v>0</v>
      </c>
    </row>
    <row r="15169" spans="20:20" ht="18.75" customHeight="1" x14ac:dyDescent="0.35">
      <c r="T15169" s="246">
        <f t="shared" si="275"/>
        <v>0</v>
      </c>
    </row>
    <row r="15170" spans="20:20" ht="18.75" customHeight="1" x14ac:dyDescent="0.35">
      <c r="T15170" s="246">
        <f t="shared" si="275"/>
        <v>0</v>
      </c>
    </row>
    <row r="15171" spans="20:20" ht="18.75" customHeight="1" x14ac:dyDescent="0.35">
      <c r="T15171" s="246">
        <f t="shared" si="275"/>
        <v>0</v>
      </c>
    </row>
    <row r="15172" spans="20:20" ht="18.75" customHeight="1" x14ac:dyDescent="0.35">
      <c r="T15172" s="246">
        <f t="shared" si="275"/>
        <v>0</v>
      </c>
    </row>
    <row r="15173" spans="20:20" ht="18.75" customHeight="1" x14ac:dyDescent="0.35">
      <c r="T15173" s="246">
        <f t="shared" si="275"/>
        <v>0</v>
      </c>
    </row>
    <row r="15174" spans="20:20" ht="18.75" customHeight="1" x14ac:dyDescent="0.35">
      <c r="T15174" s="246">
        <f t="shared" si="275"/>
        <v>0</v>
      </c>
    </row>
    <row r="15175" spans="20:20" ht="18.75" customHeight="1" x14ac:dyDescent="0.35">
      <c r="T15175" s="246">
        <f t="shared" si="275"/>
        <v>0</v>
      </c>
    </row>
    <row r="15176" spans="20:20" ht="18.75" customHeight="1" x14ac:dyDescent="0.35">
      <c r="T15176" s="246">
        <f t="shared" si="275"/>
        <v>0</v>
      </c>
    </row>
    <row r="15177" spans="20:20" ht="18.75" customHeight="1" x14ac:dyDescent="0.35">
      <c r="T15177" s="246">
        <f t="shared" si="275"/>
        <v>0</v>
      </c>
    </row>
    <row r="15178" spans="20:20" ht="18.75" customHeight="1" x14ac:dyDescent="0.35">
      <c r="T15178" s="246">
        <f t="shared" si="275"/>
        <v>0</v>
      </c>
    </row>
    <row r="15179" spans="20:20" ht="18.75" customHeight="1" x14ac:dyDescent="0.35">
      <c r="T15179" s="246">
        <f t="shared" si="275"/>
        <v>0</v>
      </c>
    </row>
    <row r="15180" spans="20:20" ht="18.75" customHeight="1" x14ac:dyDescent="0.35">
      <c r="T15180" s="246">
        <f t="shared" si="275"/>
        <v>0</v>
      </c>
    </row>
    <row r="15181" spans="20:20" ht="18.75" customHeight="1" x14ac:dyDescent="0.35">
      <c r="T15181" s="246">
        <f t="shared" si="275"/>
        <v>0</v>
      </c>
    </row>
    <row r="15182" spans="20:20" ht="18.75" customHeight="1" x14ac:dyDescent="0.35">
      <c r="T15182" s="246">
        <f t="shared" si="275"/>
        <v>0</v>
      </c>
    </row>
    <row r="15183" spans="20:20" ht="18.75" customHeight="1" x14ac:dyDescent="0.35">
      <c r="T15183" s="246">
        <f t="shared" si="275"/>
        <v>0</v>
      </c>
    </row>
    <row r="15184" spans="20:20" ht="18.75" customHeight="1" x14ac:dyDescent="0.35">
      <c r="T15184" s="246">
        <f t="shared" si="275"/>
        <v>0</v>
      </c>
    </row>
    <row r="15185" spans="20:20" ht="18.75" customHeight="1" x14ac:dyDescent="0.35">
      <c r="T15185" s="246">
        <f t="shared" si="275"/>
        <v>0</v>
      </c>
    </row>
    <row r="15186" spans="20:20" ht="18.75" customHeight="1" x14ac:dyDescent="0.35">
      <c r="T15186" s="246">
        <f t="shared" si="275"/>
        <v>0</v>
      </c>
    </row>
    <row r="15187" spans="20:20" ht="18.75" customHeight="1" x14ac:dyDescent="0.35">
      <c r="T15187" s="246">
        <f t="shared" si="275"/>
        <v>0</v>
      </c>
    </row>
    <row r="15188" spans="20:20" ht="18.75" customHeight="1" x14ac:dyDescent="0.35">
      <c r="T15188" s="246">
        <f t="shared" si="275"/>
        <v>0</v>
      </c>
    </row>
    <row r="15189" spans="20:20" ht="18.75" customHeight="1" x14ac:dyDescent="0.35">
      <c r="T15189" s="246">
        <f t="shared" si="275"/>
        <v>0</v>
      </c>
    </row>
    <row r="15190" spans="20:20" ht="18.75" customHeight="1" x14ac:dyDescent="0.35">
      <c r="T15190" s="246">
        <f t="shared" si="275"/>
        <v>0</v>
      </c>
    </row>
    <row r="15191" spans="20:20" ht="18.75" customHeight="1" x14ac:dyDescent="0.35">
      <c r="T15191" s="246">
        <f t="shared" si="275"/>
        <v>0</v>
      </c>
    </row>
    <row r="15192" spans="20:20" ht="18.75" customHeight="1" x14ac:dyDescent="0.35">
      <c r="T15192" s="246">
        <f t="shared" si="275"/>
        <v>0</v>
      </c>
    </row>
    <row r="15193" spans="20:20" ht="18.75" customHeight="1" x14ac:dyDescent="0.35">
      <c r="T15193" s="246">
        <f t="shared" si="275"/>
        <v>0</v>
      </c>
    </row>
    <row r="15194" spans="20:20" ht="18.75" customHeight="1" x14ac:dyDescent="0.35">
      <c r="T15194" s="246">
        <f t="shared" si="275"/>
        <v>0</v>
      </c>
    </row>
    <row r="15195" spans="20:20" ht="18.75" customHeight="1" x14ac:dyDescent="0.35">
      <c r="T15195" s="246">
        <f t="shared" si="275"/>
        <v>0</v>
      </c>
    </row>
    <row r="15196" spans="20:20" ht="18.75" customHeight="1" x14ac:dyDescent="0.35">
      <c r="T15196" s="246">
        <f t="shared" si="275"/>
        <v>0</v>
      </c>
    </row>
    <row r="15197" spans="20:20" ht="18.75" customHeight="1" x14ac:dyDescent="0.35">
      <c r="T15197" s="246">
        <f t="shared" si="275"/>
        <v>0</v>
      </c>
    </row>
    <row r="15198" spans="20:20" ht="18.75" customHeight="1" x14ac:dyDescent="0.35">
      <c r="T15198" s="246">
        <f t="shared" si="275"/>
        <v>0</v>
      </c>
    </row>
    <row r="15199" spans="20:20" ht="18.75" customHeight="1" x14ac:dyDescent="0.35">
      <c r="T15199" s="246">
        <f t="shared" si="275"/>
        <v>0</v>
      </c>
    </row>
    <row r="15200" spans="20:20" ht="18.75" customHeight="1" x14ac:dyDescent="0.35">
      <c r="T15200" s="246">
        <f t="shared" si="275"/>
        <v>0</v>
      </c>
    </row>
    <row r="15201" spans="20:20" ht="18.75" customHeight="1" x14ac:dyDescent="0.35">
      <c r="T15201" s="246">
        <f t="shared" si="275"/>
        <v>0</v>
      </c>
    </row>
    <row r="15202" spans="20:20" ht="18.75" customHeight="1" x14ac:dyDescent="0.35">
      <c r="T15202" s="246">
        <f t="shared" si="275"/>
        <v>0</v>
      </c>
    </row>
    <row r="15203" spans="20:20" ht="18.75" customHeight="1" x14ac:dyDescent="0.35">
      <c r="T15203" s="246">
        <f t="shared" si="275"/>
        <v>0</v>
      </c>
    </row>
    <row r="15204" spans="20:20" ht="18.75" customHeight="1" x14ac:dyDescent="0.35">
      <c r="T15204" s="246">
        <f t="shared" si="275"/>
        <v>0</v>
      </c>
    </row>
    <row r="15205" spans="20:20" ht="18.75" customHeight="1" x14ac:dyDescent="0.35">
      <c r="T15205" s="246">
        <f t="shared" si="275"/>
        <v>0</v>
      </c>
    </row>
    <row r="15206" spans="20:20" ht="18.75" customHeight="1" x14ac:dyDescent="0.35">
      <c r="T15206" s="246">
        <f t="shared" si="275"/>
        <v>0</v>
      </c>
    </row>
    <row r="15207" spans="20:20" ht="18.75" customHeight="1" x14ac:dyDescent="0.35">
      <c r="T15207" s="246">
        <f t="shared" si="275"/>
        <v>0</v>
      </c>
    </row>
    <row r="15208" spans="20:20" ht="18.75" customHeight="1" x14ac:dyDescent="0.35">
      <c r="T15208" s="246">
        <f t="shared" si="275"/>
        <v>0</v>
      </c>
    </row>
    <row r="15209" spans="20:20" ht="18.75" customHeight="1" x14ac:dyDescent="0.35">
      <c r="T15209" s="246">
        <f t="shared" si="275"/>
        <v>0</v>
      </c>
    </row>
    <row r="15210" spans="20:20" ht="18.75" customHeight="1" x14ac:dyDescent="0.35">
      <c r="T15210" s="246">
        <f t="shared" si="275"/>
        <v>0</v>
      </c>
    </row>
    <row r="15211" spans="20:20" ht="18.75" customHeight="1" x14ac:dyDescent="0.35">
      <c r="T15211" s="246">
        <f t="shared" si="275"/>
        <v>0</v>
      </c>
    </row>
    <row r="15212" spans="20:20" ht="18.75" customHeight="1" x14ac:dyDescent="0.35">
      <c r="T15212" s="246">
        <f t="shared" si="275"/>
        <v>0</v>
      </c>
    </row>
    <row r="15213" spans="20:20" ht="18.75" customHeight="1" x14ac:dyDescent="0.35">
      <c r="T15213" s="246">
        <f t="shared" si="275"/>
        <v>0</v>
      </c>
    </row>
    <row r="15214" spans="20:20" ht="18.75" customHeight="1" x14ac:dyDescent="0.35">
      <c r="T15214" s="246">
        <f t="shared" si="275"/>
        <v>0</v>
      </c>
    </row>
    <row r="15215" spans="20:20" ht="18.75" customHeight="1" x14ac:dyDescent="0.35">
      <c r="T15215" s="246">
        <f t="shared" si="275"/>
        <v>0</v>
      </c>
    </row>
    <row r="15216" spans="20:20" ht="18.75" customHeight="1" x14ac:dyDescent="0.35">
      <c r="T15216" s="246">
        <f t="shared" si="275"/>
        <v>0</v>
      </c>
    </row>
    <row r="15217" spans="20:20" ht="18.75" customHeight="1" x14ac:dyDescent="0.35">
      <c r="T15217" s="246">
        <f t="shared" si="275"/>
        <v>0</v>
      </c>
    </row>
    <row r="15218" spans="20:20" ht="18.75" customHeight="1" x14ac:dyDescent="0.35">
      <c r="T15218" s="246">
        <f t="shared" si="275"/>
        <v>0</v>
      </c>
    </row>
    <row r="15219" spans="20:20" ht="18.75" customHeight="1" x14ac:dyDescent="0.35">
      <c r="T15219" s="246">
        <f t="shared" si="275"/>
        <v>0</v>
      </c>
    </row>
    <row r="15220" spans="20:20" ht="18.75" customHeight="1" x14ac:dyDescent="0.35">
      <c r="T15220" s="246">
        <f t="shared" si="275"/>
        <v>0</v>
      </c>
    </row>
    <row r="15221" spans="20:20" ht="18.75" customHeight="1" x14ac:dyDescent="0.35">
      <c r="T15221" s="246">
        <f t="shared" si="275"/>
        <v>0</v>
      </c>
    </row>
    <row r="15222" spans="20:20" ht="18.75" customHeight="1" x14ac:dyDescent="0.35">
      <c r="T15222" s="246">
        <f t="shared" si="275"/>
        <v>0</v>
      </c>
    </row>
    <row r="15223" spans="20:20" ht="18.75" customHeight="1" x14ac:dyDescent="0.35">
      <c r="T15223" s="246">
        <f t="shared" si="275"/>
        <v>0</v>
      </c>
    </row>
    <row r="15224" spans="20:20" ht="18.75" customHeight="1" x14ac:dyDescent="0.35">
      <c r="T15224" s="246">
        <f t="shared" si="275"/>
        <v>0</v>
      </c>
    </row>
    <row r="15225" spans="20:20" ht="18.75" customHeight="1" x14ac:dyDescent="0.35">
      <c r="T15225" s="246">
        <f t="shared" si="275"/>
        <v>0</v>
      </c>
    </row>
    <row r="15226" spans="20:20" ht="18.75" customHeight="1" x14ac:dyDescent="0.35">
      <c r="T15226" s="246">
        <f t="shared" si="275"/>
        <v>0</v>
      </c>
    </row>
    <row r="15227" spans="20:20" ht="18.75" customHeight="1" x14ac:dyDescent="0.35">
      <c r="T15227" s="246">
        <f t="shared" si="275"/>
        <v>0</v>
      </c>
    </row>
    <row r="15228" spans="20:20" ht="18.75" customHeight="1" x14ac:dyDescent="0.35">
      <c r="T15228" s="246">
        <f t="shared" ref="T15228:T15291" si="276">R15228*0.01</f>
        <v>0</v>
      </c>
    </row>
    <row r="15229" spans="20:20" ht="18.75" customHeight="1" x14ac:dyDescent="0.35">
      <c r="T15229" s="246">
        <f t="shared" si="276"/>
        <v>0</v>
      </c>
    </row>
    <row r="15230" spans="20:20" ht="18.75" customHeight="1" x14ac:dyDescent="0.35">
      <c r="T15230" s="246">
        <f t="shared" si="276"/>
        <v>0</v>
      </c>
    </row>
    <row r="15231" spans="20:20" ht="18.75" customHeight="1" x14ac:dyDescent="0.35">
      <c r="T15231" s="246">
        <f t="shared" si="276"/>
        <v>0</v>
      </c>
    </row>
    <row r="15232" spans="20:20" ht="18.75" customHeight="1" x14ac:dyDescent="0.35">
      <c r="T15232" s="246">
        <f t="shared" si="276"/>
        <v>0</v>
      </c>
    </row>
    <row r="15233" spans="20:20" ht="18.75" customHeight="1" x14ac:dyDescent="0.35">
      <c r="T15233" s="246">
        <f t="shared" si="276"/>
        <v>0</v>
      </c>
    </row>
    <row r="15234" spans="20:20" ht="18.75" customHeight="1" x14ac:dyDescent="0.35">
      <c r="T15234" s="246">
        <f t="shared" si="276"/>
        <v>0</v>
      </c>
    </row>
    <row r="15235" spans="20:20" ht="18.75" customHeight="1" x14ac:dyDescent="0.35">
      <c r="T15235" s="246">
        <f t="shared" si="276"/>
        <v>0</v>
      </c>
    </row>
    <row r="15236" spans="20:20" ht="18.75" customHeight="1" x14ac:dyDescent="0.35">
      <c r="T15236" s="246">
        <f t="shared" si="276"/>
        <v>0</v>
      </c>
    </row>
    <row r="15237" spans="20:20" ht="18.75" customHeight="1" x14ac:dyDescent="0.35">
      <c r="T15237" s="246">
        <f t="shared" si="276"/>
        <v>0</v>
      </c>
    </row>
    <row r="15238" spans="20:20" ht="18.75" customHeight="1" x14ac:dyDescent="0.35">
      <c r="T15238" s="246">
        <f t="shared" si="276"/>
        <v>0</v>
      </c>
    </row>
    <row r="15239" spans="20:20" ht="18.75" customHeight="1" x14ac:dyDescent="0.35">
      <c r="T15239" s="246">
        <f t="shared" si="276"/>
        <v>0</v>
      </c>
    </row>
    <row r="15240" spans="20:20" ht="18.75" customHeight="1" x14ac:dyDescent="0.35">
      <c r="T15240" s="246">
        <f t="shared" si="276"/>
        <v>0</v>
      </c>
    </row>
    <row r="15241" spans="20:20" ht="18.75" customHeight="1" x14ac:dyDescent="0.35">
      <c r="T15241" s="246">
        <f t="shared" si="276"/>
        <v>0</v>
      </c>
    </row>
    <row r="15242" spans="20:20" ht="18.75" customHeight="1" x14ac:dyDescent="0.35">
      <c r="T15242" s="246">
        <f t="shared" si="276"/>
        <v>0</v>
      </c>
    </row>
    <row r="15243" spans="20:20" ht="18.75" customHeight="1" x14ac:dyDescent="0.35">
      <c r="T15243" s="246">
        <f t="shared" si="276"/>
        <v>0</v>
      </c>
    </row>
    <row r="15244" spans="20:20" ht="18.75" customHeight="1" x14ac:dyDescent="0.35">
      <c r="T15244" s="246">
        <f t="shared" si="276"/>
        <v>0</v>
      </c>
    </row>
    <row r="15245" spans="20:20" ht="18.75" customHeight="1" x14ac:dyDescent="0.35">
      <c r="T15245" s="246">
        <f t="shared" si="276"/>
        <v>0</v>
      </c>
    </row>
    <row r="15246" spans="20:20" ht="18.75" customHeight="1" x14ac:dyDescent="0.35">
      <c r="T15246" s="246">
        <f t="shared" si="276"/>
        <v>0</v>
      </c>
    </row>
    <row r="15247" spans="20:20" ht="18.75" customHeight="1" x14ac:dyDescent="0.35">
      <c r="T15247" s="246">
        <f t="shared" si="276"/>
        <v>0</v>
      </c>
    </row>
    <row r="15248" spans="20:20" ht="18.75" customHeight="1" x14ac:dyDescent="0.35">
      <c r="T15248" s="246">
        <f t="shared" si="276"/>
        <v>0</v>
      </c>
    </row>
    <row r="15249" spans="20:20" ht="18.75" customHeight="1" x14ac:dyDescent="0.35">
      <c r="T15249" s="246">
        <f t="shared" si="276"/>
        <v>0</v>
      </c>
    </row>
    <row r="15250" spans="20:20" ht="18.75" customHeight="1" x14ac:dyDescent="0.35">
      <c r="T15250" s="246">
        <f t="shared" si="276"/>
        <v>0</v>
      </c>
    </row>
    <row r="15251" spans="20:20" ht="18.75" customHeight="1" x14ac:dyDescent="0.35">
      <c r="T15251" s="246">
        <f t="shared" si="276"/>
        <v>0</v>
      </c>
    </row>
    <row r="15252" spans="20:20" ht="18.75" customHeight="1" x14ac:dyDescent="0.35">
      <c r="T15252" s="246">
        <f t="shared" si="276"/>
        <v>0</v>
      </c>
    </row>
    <row r="15253" spans="20:20" ht="18.75" customHeight="1" x14ac:dyDescent="0.35">
      <c r="T15253" s="246">
        <f t="shared" si="276"/>
        <v>0</v>
      </c>
    </row>
    <row r="15254" spans="20:20" ht="18.75" customHeight="1" x14ac:dyDescent="0.35">
      <c r="T15254" s="246">
        <f t="shared" si="276"/>
        <v>0</v>
      </c>
    </row>
    <row r="15255" spans="20:20" ht="18.75" customHeight="1" x14ac:dyDescent="0.35">
      <c r="T15255" s="246">
        <f t="shared" si="276"/>
        <v>0</v>
      </c>
    </row>
    <row r="15256" spans="20:20" ht="18.75" customHeight="1" x14ac:dyDescent="0.35">
      <c r="T15256" s="246">
        <f t="shared" si="276"/>
        <v>0</v>
      </c>
    </row>
    <row r="15257" spans="20:20" ht="18.75" customHeight="1" x14ac:dyDescent="0.35">
      <c r="T15257" s="246">
        <f t="shared" si="276"/>
        <v>0</v>
      </c>
    </row>
    <row r="15258" spans="20:20" ht="18.75" customHeight="1" x14ac:dyDescent="0.35">
      <c r="T15258" s="246">
        <f t="shared" si="276"/>
        <v>0</v>
      </c>
    </row>
    <row r="15259" spans="20:20" ht="18.75" customHeight="1" x14ac:dyDescent="0.35">
      <c r="T15259" s="246">
        <f t="shared" si="276"/>
        <v>0</v>
      </c>
    </row>
    <row r="15260" spans="20:20" ht="18.75" customHeight="1" x14ac:dyDescent="0.35">
      <c r="T15260" s="246">
        <f t="shared" si="276"/>
        <v>0</v>
      </c>
    </row>
    <row r="15261" spans="20:20" ht="18.75" customHeight="1" x14ac:dyDescent="0.35">
      <c r="T15261" s="246">
        <f t="shared" si="276"/>
        <v>0</v>
      </c>
    </row>
    <row r="15262" spans="20:20" ht="18.75" customHeight="1" x14ac:dyDescent="0.35">
      <c r="T15262" s="246">
        <f t="shared" si="276"/>
        <v>0</v>
      </c>
    </row>
    <row r="15263" spans="20:20" ht="18.75" customHeight="1" x14ac:dyDescent="0.35">
      <c r="T15263" s="246">
        <f t="shared" si="276"/>
        <v>0</v>
      </c>
    </row>
    <row r="15264" spans="20:20" ht="18.75" customHeight="1" x14ac:dyDescent="0.35">
      <c r="T15264" s="246">
        <f t="shared" si="276"/>
        <v>0</v>
      </c>
    </row>
    <row r="15265" spans="20:20" ht="18.75" customHeight="1" x14ac:dyDescent="0.35">
      <c r="T15265" s="246">
        <f t="shared" si="276"/>
        <v>0</v>
      </c>
    </row>
    <row r="15266" spans="20:20" ht="18.75" customHeight="1" x14ac:dyDescent="0.35">
      <c r="T15266" s="246">
        <f t="shared" si="276"/>
        <v>0</v>
      </c>
    </row>
    <row r="15267" spans="20:20" ht="18.75" customHeight="1" x14ac:dyDescent="0.35">
      <c r="T15267" s="246">
        <f t="shared" si="276"/>
        <v>0</v>
      </c>
    </row>
    <row r="15268" spans="20:20" ht="18.75" customHeight="1" x14ac:dyDescent="0.35">
      <c r="T15268" s="246">
        <f t="shared" si="276"/>
        <v>0</v>
      </c>
    </row>
    <row r="15269" spans="20:20" ht="18.75" customHeight="1" x14ac:dyDescent="0.35">
      <c r="T15269" s="246">
        <f t="shared" si="276"/>
        <v>0</v>
      </c>
    </row>
    <row r="15270" spans="20:20" ht="18.75" customHeight="1" x14ac:dyDescent="0.35">
      <c r="T15270" s="246">
        <f t="shared" si="276"/>
        <v>0</v>
      </c>
    </row>
    <row r="15271" spans="20:20" ht="18.75" customHeight="1" x14ac:dyDescent="0.35">
      <c r="T15271" s="246">
        <f t="shared" si="276"/>
        <v>0</v>
      </c>
    </row>
    <row r="15272" spans="20:20" ht="18.75" customHeight="1" x14ac:dyDescent="0.35">
      <c r="T15272" s="246">
        <f t="shared" si="276"/>
        <v>0</v>
      </c>
    </row>
    <row r="15273" spans="20:20" ht="18.75" customHeight="1" x14ac:dyDescent="0.35">
      <c r="T15273" s="246">
        <f t="shared" si="276"/>
        <v>0</v>
      </c>
    </row>
    <row r="15274" spans="20:20" ht="18.75" customHeight="1" x14ac:dyDescent="0.35">
      <c r="T15274" s="246">
        <f t="shared" si="276"/>
        <v>0</v>
      </c>
    </row>
    <row r="15275" spans="20:20" ht="18.75" customHeight="1" x14ac:dyDescent="0.35">
      <c r="T15275" s="246">
        <f t="shared" si="276"/>
        <v>0</v>
      </c>
    </row>
    <row r="15276" spans="20:20" ht="18.75" customHeight="1" x14ac:dyDescent="0.35">
      <c r="T15276" s="246">
        <f t="shared" si="276"/>
        <v>0</v>
      </c>
    </row>
    <row r="15277" spans="20:20" ht="18.75" customHeight="1" x14ac:dyDescent="0.35">
      <c r="T15277" s="246">
        <f t="shared" si="276"/>
        <v>0</v>
      </c>
    </row>
    <row r="15278" spans="20:20" ht="18.75" customHeight="1" x14ac:dyDescent="0.35">
      <c r="T15278" s="246">
        <f t="shared" si="276"/>
        <v>0</v>
      </c>
    </row>
    <row r="15279" spans="20:20" ht="18.75" customHeight="1" x14ac:dyDescent="0.35">
      <c r="T15279" s="246">
        <f t="shared" si="276"/>
        <v>0</v>
      </c>
    </row>
    <row r="15280" spans="20:20" ht="18.75" customHeight="1" x14ac:dyDescent="0.35">
      <c r="T15280" s="246">
        <f t="shared" si="276"/>
        <v>0</v>
      </c>
    </row>
    <row r="15281" spans="20:20" ht="18.75" customHeight="1" x14ac:dyDescent="0.35">
      <c r="T15281" s="246">
        <f t="shared" si="276"/>
        <v>0</v>
      </c>
    </row>
    <row r="15282" spans="20:20" ht="18.75" customHeight="1" x14ac:dyDescent="0.35">
      <c r="T15282" s="246">
        <f t="shared" si="276"/>
        <v>0</v>
      </c>
    </row>
    <row r="15283" spans="20:20" ht="18.75" customHeight="1" x14ac:dyDescent="0.35">
      <c r="T15283" s="246">
        <f t="shared" si="276"/>
        <v>0</v>
      </c>
    </row>
    <row r="15284" spans="20:20" ht="18.75" customHeight="1" x14ac:dyDescent="0.35">
      <c r="T15284" s="246">
        <f t="shared" si="276"/>
        <v>0</v>
      </c>
    </row>
    <row r="15285" spans="20:20" ht="18.75" customHeight="1" x14ac:dyDescent="0.35">
      <c r="T15285" s="246">
        <f t="shared" si="276"/>
        <v>0</v>
      </c>
    </row>
    <row r="15286" spans="20:20" ht="18.75" customHeight="1" x14ac:dyDescent="0.35">
      <c r="T15286" s="246">
        <f t="shared" si="276"/>
        <v>0</v>
      </c>
    </row>
    <row r="15287" spans="20:20" ht="18.75" customHeight="1" x14ac:dyDescent="0.35">
      <c r="T15287" s="246">
        <f t="shared" si="276"/>
        <v>0</v>
      </c>
    </row>
    <row r="15288" spans="20:20" ht="18.75" customHeight="1" x14ac:dyDescent="0.35">
      <c r="T15288" s="246">
        <f t="shared" si="276"/>
        <v>0</v>
      </c>
    </row>
    <row r="15289" spans="20:20" ht="18.75" customHeight="1" x14ac:dyDescent="0.35">
      <c r="T15289" s="246">
        <f t="shared" si="276"/>
        <v>0</v>
      </c>
    </row>
    <row r="15290" spans="20:20" ht="18.75" customHeight="1" x14ac:dyDescent="0.35">
      <c r="T15290" s="246">
        <f t="shared" si="276"/>
        <v>0</v>
      </c>
    </row>
    <row r="15291" spans="20:20" ht="18.75" customHeight="1" x14ac:dyDescent="0.35">
      <c r="T15291" s="246">
        <f t="shared" si="276"/>
        <v>0</v>
      </c>
    </row>
    <row r="15292" spans="20:20" ht="18.75" customHeight="1" x14ac:dyDescent="0.35">
      <c r="T15292" s="246">
        <f t="shared" ref="T15292:T15355" si="277">R15292*0.01</f>
        <v>0</v>
      </c>
    </row>
    <row r="15293" spans="20:20" ht="18.75" customHeight="1" x14ac:dyDescent="0.35">
      <c r="T15293" s="246">
        <f t="shared" si="277"/>
        <v>0</v>
      </c>
    </row>
    <row r="15294" spans="20:20" ht="18.75" customHeight="1" x14ac:dyDescent="0.35">
      <c r="T15294" s="246">
        <f t="shared" si="277"/>
        <v>0</v>
      </c>
    </row>
    <row r="15295" spans="20:20" ht="18.75" customHeight="1" x14ac:dyDescent="0.35">
      <c r="T15295" s="246">
        <f t="shared" si="277"/>
        <v>0</v>
      </c>
    </row>
    <row r="15296" spans="20:20" ht="18.75" customHeight="1" x14ac:dyDescent="0.35">
      <c r="T15296" s="246">
        <f t="shared" si="277"/>
        <v>0</v>
      </c>
    </row>
    <row r="15297" spans="20:20" ht="18.75" customHeight="1" x14ac:dyDescent="0.35">
      <c r="T15297" s="246">
        <f t="shared" si="277"/>
        <v>0</v>
      </c>
    </row>
    <row r="15298" spans="20:20" ht="18.75" customHeight="1" x14ac:dyDescent="0.35">
      <c r="T15298" s="246">
        <f t="shared" si="277"/>
        <v>0</v>
      </c>
    </row>
    <row r="15299" spans="20:20" ht="18.75" customHeight="1" x14ac:dyDescent="0.35">
      <c r="T15299" s="246">
        <f t="shared" si="277"/>
        <v>0</v>
      </c>
    </row>
    <row r="15300" spans="20:20" ht="18.75" customHeight="1" x14ac:dyDescent="0.35">
      <c r="T15300" s="246">
        <f t="shared" si="277"/>
        <v>0</v>
      </c>
    </row>
    <row r="15301" spans="20:20" ht="18.75" customHeight="1" x14ac:dyDescent="0.35">
      <c r="T15301" s="246">
        <f t="shared" si="277"/>
        <v>0</v>
      </c>
    </row>
    <row r="15302" spans="20:20" ht="18.75" customHeight="1" x14ac:dyDescent="0.35">
      <c r="T15302" s="246">
        <f t="shared" si="277"/>
        <v>0</v>
      </c>
    </row>
    <row r="15303" spans="20:20" ht="18.75" customHeight="1" x14ac:dyDescent="0.35">
      <c r="T15303" s="246">
        <f t="shared" si="277"/>
        <v>0</v>
      </c>
    </row>
    <row r="15304" spans="20:20" ht="18.75" customHeight="1" x14ac:dyDescent="0.35">
      <c r="T15304" s="246">
        <f t="shared" si="277"/>
        <v>0</v>
      </c>
    </row>
    <row r="15305" spans="20:20" ht="18.75" customHeight="1" x14ac:dyDescent="0.35">
      <c r="T15305" s="246">
        <f t="shared" si="277"/>
        <v>0</v>
      </c>
    </row>
    <row r="15306" spans="20:20" ht="18.75" customHeight="1" x14ac:dyDescent="0.35">
      <c r="T15306" s="246">
        <f t="shared" si="277"/>
        <v>0</v>
      </c>
    </row>
    <row r="15307" spans="20:20" ht="18.75" customHeight="1" x14ac:dyDescent="0.35">
      <c r="T15307" s="246">
        <f t="shared" si="277"/>
        <v>0</v>
      </c>
    </row>
    <row r="15308" spans="20:20" ht="18.75" customHeight="1" x14ac:dyDescent="0.35">
      <c r="T15308" s="246">
        <f t="shared" si="277"/>
        <v>0</v>
      </c>
    </row>
    <row r="15309" spans="20:20" ht="18.75" customHeight="1" x14ac:dyDescent="0.35">
      <c r="T15309" s="246">
        <f t="shared" si="277"/>
        <v>0</v>
      </c>
    </row>
    <row r="15310" spans="20:20" ht="18.75" customHeight="1" x14ac:dyDescent="0.35">
      <c r="T15310" s="246">
        <f t="shared" si="277"/>
        <v>0</v>
      </c>
    </row>
    <row r="15311" spans="20:20" ht="18.75" customHeight="1" x14ac:dyDescent="0.35">
      <c r="T15311" s="246">
        <f t="shared" si="277"/>
        <v>0</v>
      </c>
    </row>
    <row r="15312" spans="20:20" ht="18.75" customHeight="1" x14ac:dyDescent="0.35">
      <c r="T15312" s="246">
        <f t="shared" si="277"/>
        <v>0</v>
      </c>
    </row>
    <row r="15313" spans="20:20" ht="18.75" customHeight="1" x14ac:dyDescent="0.35">
      <c r="T15313" s="246">
        <f t="shared" si="277"/>
        <v>0</v>
      </c>
    </row>
    <row r="15314" spans="20:20" ht="18.75" customHeight="1" x14ac:dyDescent="0.35">
      <c r="T15314" s="246">
        <f t="shared" si="277"/>
        <v>0</v>
      </c>
    </row>
    <row r="15315" spans="20:20" ht="18.75" customHeight="1" x14ac:dyDescent="0.35">
      <c r="T15315" s="246">
        <f t="shared" si="277"/>
        <v>0</v>
      </c>
    </row>
    <row r="15316" spans="20:20" ht="18.75" customHeight="1" x14ac:dyDescent="0.35">
      <c r="T15316" s="246">
        <f t="shared" si="277"/>
        <v>0</v>
      </c>
    </row>
    <row r="15317" spans="20:20" ht="18.75" customHeight="1" x14ac:dyDescent="0.35">
      <c r="T15317" s="246">
        <f t="shared" si="277"/>
        <v>0</v>
      </c>
    </row>
    <row r="15318" spans="20:20" ht="18.75" customHeight="1" x14ac:dyDescent="0.35">
      <c r="T15318" s="246">
        <f t="shared" si="277"/>
        <v>0</v>
      </c>
    </row>
    <row r="15319" spans="20:20" ht="18.75" customHeight="1" x14ac:dyDescent="0.35">
      <c r="T15319" s="246">
        <f t="shared" si="277"/>
        <v>0</v>
      </c>
    </row>
    <row r="15320" spans="20:20" ht="18.75" customHeight="1" x14ac:dyDescent="0.35">
      <c r="T15320" s="246">
        <f t="shared" si="277"/>
        <v>0</v>
      </c>
    </row>
    <row r="15321" spans="20:20" ht="18.75" customHeight="1" x14ac:dyDescent="0.35">
      <c r="T15321" s="246">
        <f t="shared" si="277"/>
        <v>0</v>
      </c>
    </row>
    <row r="15322" spans="20:20" ht="18.75" customHeight="1" x14ac:dyDescent="0.35">
      <c r="T15322" s="246">
        <f t="shared" si="277"/>
        <v>0</v>
      </c>
    </row>
    <row r="15323" spans="20:20" ht="18.75" customHeight="1" x14ac:dyDescent="0.35">
      <c r="T15323" s="246">
        <f t="shared" si="277"/>
        <v>0</v>
      </c>
    </row>
    <row r="15324" spans="20:20" ht="18.75" customHeight="1" x14ac:dyDescent="0.35">
      <c r="T15324" s="246">
        <f t="shared" si="277"/>
        <v>0</v>
      </c>
    </row>
    <row r="15325" spans="20:20" ht="18.75" customHeight="1" x14ac:dyDescent="0.35">
      <c r="T15325" s="246">
        <f t="shared" si="277"/>
        <v>0</v>
      </c>
    </row>
    <row r="15326" spans="20:20" ht="18.75" customHeight="1" x14ac:dyDescent="0.35">
      <c r="T15326" s="246">
        <f t="shared" si="277"/>
        <v>0</v>
      </c>
    </row>
    <row r="15327" spans="20:20" ht="18.75" customHeight="1" x14ac:dyDescent="0.35">
      <c r="T15327" s="246">
        <f t="shared" si="277"/>
        <v>0</v>
      </c>
    </row>
    <row r="15328" spans="20:20" ht="18.75" customHeight="1" x14ac:dyDescent="0.35">
      <c r="T15328" s="246">
        <f t="shared" si="277"/>
        <v>0</v>
      </c>
    </row>
    <row r="15329" spans="20:20" ht="18.75" customHeight="1" x14ac:dyDescent="0.35">
      <c r="T15329" s="246">
        <f t="shared" si="277"/>
        <v>0</v>
      </c>
    </row>
    <row r="15330" spans="20:20" ht="18.75" customHeight="1" x14ac:dyDescent="0.35">
      <c r="T15330" s="246">
        <f t="shared" si="277"/>
        <v>0</v>
      </c>
    </row>
    <row r="15331" spans="20:20" ht="18.75" customHeight="1" x14ac:dyDescent="0.35">
      <c r="T15331" s="246">
        <f t="shared" si="277"/>
        <v>0</v>
      </c>
    </row>
    <row r="15332" spans="20:20" ht="18.75" customHeight="1" x14ac:dyDescent="0.35">
      <c r="T15332" s="246">
        <f t="shared" si="277"/>
        <v>0</v>
      </c>
    </row>
    <row r="15333" spans="20:20" ht="18.75" customHeight="1" x14ac:dyDescent="0.35">
      <c r="T15333" s="246">
        <f t="shared" si="277"/>
        <v>0</v>
      </c>
    </row>
    <row r="15334" spans="20:20" ht="18.75" customHeight="1" x14ac:dyDescent="0.35">
      <c r="T15334" s="246">
        <f t="shared" si="277"/>
        <v>0</v>
      </c>
    </row>
    <row r="15335" spans="20:20" ht="18.75" customHeight="1" x14ac:dyDescent="0.35">
      <c r="T15335" s="246">
        <f t="shared" si="277"/>
        <v>0</v>
      </c>
    </row>
    <row r="15336" spans="20:20" ht="18.75" customHeight="1" x14ac:dyDescent="0.35">
      <c r="T15336" s="246">
        <f t="shared" si="277"/>
        <v>0</v>
      </c>
    </row>
    <row r="15337" spans="20:20" ht="18.75" customHeight="1" x14ac:dyDescent="0.35">
      <c r="T15337" s="246">
        <f t="shared" si="277"/>
        <v>0</v>
      </c>
    </row>
    <row r="15338" spans="20:20" ht="18.75" customHeight="1" x14ac:dyDescent="0.35">
      <c r="T15338" s="246">
        <f t="shared" si="277"/>
        <v>0</v>
      </c>
    </row>
    <row r="15339" spans="20:20" ht="18.75" customHeight="1" x14ac:dyDescent="0.35">
      <c r="T15339" s="246">
        <f t="shared" si="277"/>
        <v>0</v>
      </c>
    </row>
    <row r="15340" spans="20:20" ht="18.75" customHeight="1" x14ac:dyDescent="0.35">
      <c r="T15340" s="246">
        <f t="shared" si="277"/>
        <v>0</v>
      </c>
    </row>
    <row r="15341" spans="20:20" ht="18.75" customHeight="1" x14ac:dyDescent="0.35">
      <c r="T15341" s="246">
        <f t="shared" si="277"/>
        <v>0</v>
      </c>
    </row>
    <row r="15342" spans="20:20" ht="18.75" customHeight="1" x14ac:dyDescent="0.35">
      <c r="T15342" s="246">
        <f t="shared" si="277"/>
        <v>0</v>
      </c>
    </row>
    <row r="15343" spans="20:20" ht="18.75" customHeight="1" x14ac:dyDescent="0.35">
      <c r="T15343" s="246">
        <f t="shared" si="277"/>
        <v>0</v>
      </c>
    </row>
    <row r="15344" spans="20:20" ht="18.75" customHeight="1" x14ac:dyDescent="0.35">
      <c r="T15344" s="246">
        <f t="shared" si="277"/>
        <v>0</v>
      </c>
    </row>
    <row r="15345" spans="20:20" ht="18.75" customHeight="1" x14ac:dyDescent="0.35">
      <c r="T15345" s="246">
        <f t="shared" si="277"/>
        <v>0</v>
      </c>
    </row>
    <row r="15346" spans="20:20" ht="18.75" customHeight="1" x14ac:dyDescent="0.35">
      <c r="T15346" s="246">
        <f t="shared" si="277"/>
        <v>0</v>
      </c>
    </row>
    <row r="15347" spans="20:20" ht="18.75" customHeight="1" x14ac:dyDescent="0.35">
      <c r="T15347" s="246">
        <f t="shared" si="277"/>
        <v>0</v>
      </c>
    </row>
    <row r="15348" spans="20:20" ht="18.75" customHeight="1" x14ac:dyDescent="0.35">
      <c r="T15348" s="246">
        <f t="shared" si="277"/>
        <v>0</v>
      </c>
    </row>
    <row r="15349" spans="20:20" ht="18.75" customHeight="1" x14ac:dyDescent="0.35">
      <c r="T15349" s="246">
        <f t="shared" si="277"/>
        <v>0</v>
      </c>
    </row>
    <row r="15350" spans="20:20" ht="18.75" customHeight="1" x14ac:dyDescent="0.35">
      <c r="T15350" s="246">
        <f t="shared" si="277"/>
        <v>0</v>
      </c>
    </row>
    <row r="15351" spans="20:20" ht="18.75" customHeight="1" x14ac:dyDescent="0.35">
      <c r="T15351" s="246">
        <f t="shared" si="277"/>
        <v>0</v>
      </c>
    </row>
    <row r="15352" spans="20:20" ht="18.75" customHeight="1" x14ac:dyDescent="0.35">
      <c r="T15352" s="246">
        <f t="shared" si="277"/>
        <v>0</v>
      </c>
    </row>
    <row r="15353" spans="20:20" ht="18.75" customHeight="1" x14ac:dyDescent="0.35">
      <c r="T15353" s="246">
        <f t="shared" si="277"/>
        <v>0</v>
      </c>
    </row>
    <row r="15354" spans="20:20" ht="18.75" customHeight="1" x14ac:dyDescent="0.35">
      <c r="T15354" s="246">
        <f t="shared" si="277"/>
        <v>0</v>
      </c>
    </row>
    <row r="15355" spans="20:20" ht="18.75" customHeight="1" x14ac:dyDescent="0.35">
      <c r="T15355" s="246">
        <f t="shared" si="277"/>
        <v>0</v>
      </c>
    </row>
    <row r="15356" spans="20:20" ht="18.75" customHeight="1" x14ac:dyDescent="0.35">
      <c r="T15356" s="246">
        <f t="shared" ref="T15356:T15419" si="278">R15356*0.01</f>
        <v>0</v>
      </c>
    </row>
    <row r="15357" spans="20:20" ht="18.75" customHeight="1" x14ac:dyDescent="0.35">
      <c r="T15357" s="246">
        <f t="shared" si="278"/>
        <v>0</v>
      </c>
    </row>
    <row r="15358" spans="20:20" ht="18.75" customHeight="1" x14ac:dyDescent="0.35">
      <c r="T15358" s="246">
        <f t="shared" si="278"/>
        <v>0</v>
      </c>
    </row>
    <row r="15359" spans="20:20" ht="18.75" customHeight="1" x14ac:dyDescent="0.35">
      <c r="T15359" s="246">
        <f t="shared" si="278"/>
        <v>0</v>
      </c>
    </row>
    <row r="15360" spans="20:20" ht="18.75" customHeight="1" x14ac:dyDescent="0.35">
      <c r="T15360" s="246">
        <f t="shared" si="278"/>
        <v>0</v>
      </c>
    </row>
    <row r="15361" spans="20:20" ht="18.75" customHeight="1" x14ac:dyDescent="0.35">
      <c r="T15361" s="246">
        <f t="shared" si="278"/>
        <v>0</v>
      </c>
    </row>
    <row r="15362" spans="20:20" ht="18.75" customHeight="1" x14ac:dyDescent="0.35">
      <c r="T15362" s="246">
        <f t="shared" si="278"/>
        <v>0</v>
      </c>
    </row>
    <row r="15363" spans="20:20" ht="18.75" customHeight="1" x14ac:dyDescent="0.35">
      <c r="T15363" s="246">
        <f t="shared" si="278"/>
        <v>0</v>
      </c>
    </row>
    <row r="15364" spans="20:20" ht="18.75" customHeight="1" x14ac:dyDescent="0.35">
      <c r="T15364" s="246">
        <f t="shared" si="278"/>
        <v>0</v>
      </c>
    </row>
    <row r="15365" spans="20:20" ht="18.75" customHeight="1" x14ac:dyDescent="0.35">
      <c r="T15365" s="246">
        <f t="shared" si="278"/>
        <v>0</v>
      </c>
    </row>
    <row r="15366" spans="20:20" ht="18.75" customHeight="1" x14ac:dyDescent="0.35">
      <c r="T15366" s="246">
        <f t="shared" si="278"/>
        <v>0</v>
      </c>
    </row>
    <row r="15367" spans="20:20" ht="18.75" customHeight="1" x14ac:dyDescent="0.35">
      <c r="T15367" s="246">
        <f t="shared" si="278"/>
        <v>0</v>
      </c>
    </row>
    <row r="15368" spans="20:20" ht="18.75" customHeight="1" x14ac:dyDescent="0.35">
      <c r="T15368" s="246">
        <f t="shared" si="278"/>
        <v>0</v>
      </c>
    </row>
    <row r="15369" spans="20:20" ht="18.75" customHeight="1" x14ac:dyDescent="0.35">
      <c r="T15369" s="246">
        <f t="shared" si="278"/>
        <v>0</v>
      </c>
    </row>
    <row r="15370" spans="20:20" ht="18.75" customHeight="1" x14ac:dyDescent="0.35">
      <c r="T15370" s="246">
        <f t="shared" si="278"/>
        <v>0</v>
      </c>
    </row>
    <row r="15371" spans="20:20" ht="18.75" customHeight="1" x14ac:dyDescent="0.35">
      <c r="T15371" s="246">
        <f t="shared" si="278"/>
        <v>0</v>
      </c>
    </row>
    <row r="15372" spans="20:20" ht="18.75" customHeight="1" x14ac:dyDescent="0.35">
      <c r="T15372" s="246">
        <f t="shared" si="278"/>
        <v>0</v>
      </c>
    </row>
    <row r="15373" spans="20:20" ht="18.75" customHeight="1" x14ac:dyDescent="0.35">
      <c r="T15373" s="246">
        <f t="shared" si="278"/>
        <v>0</v>
      </c>
    </row>
    <row r="15374" spans="20:20" ht="18.75" customHeight="1" x14ac:dyDescent="0.35">
      <c r="T15374" s="246">
        <f t="shared" si="278"/>
        <v>0</v>
      </c>
    </row>
    <row r="15375" spans="20:20" ht="18.75" customHeight="1" x14ac:dyDescent="0.35">
      <c r="T15375" s="246">
        <f t="shared" si="278"/>
        <v>0</v>
      </c>
    </row>
    <row r="15376" spans="20:20" ht="18.75" customHeight="1" x14ac:dyDescent="0.35">
      <c r="T15376" s="246">
        <f t="shared" si="278"/>
        <v>0</v>
      </c>
    </row>
    <row r="15377" spans="20:20" ht="18.75" customHeight="1" x14ac:dyDescent="0.35">
      <c r="T15377" s="246">
        <f t="shared" si="278"/>
        <v>0</v>
      </c>
    </row>
    <row r="15378" spans="20:20" ht="18.75" customHeight="1" x14ac:dyDescent="0.35">
      <c r="T15378" s="246">
        <f t="shared" si="278"/>
        <v>0</v>
      </c>
    </row>
    <row r="15379" spans="20:20" ht="18.75" customHeight="1" x14ac:dyDescent="0.35">
      <c r="T15379" s="246">
        <f t="shared" si="278"/>
        <v>0</v>
      </c>
    </row>
    <row r="15380" spans="20:20" ht="18.75" customHeight="1" x14ac:dyDescent="0.35">
      <c r="T15380" s="246">
        <f t="shared" si="278"/>
        <v>0</v>
      </c>
    </row>
    <row r="15381" spans="20:20" ht="18.75" customHeight="1" x14ac:dyDescent="0.35">
      <c r="T15381" s="246">
        <f t="shared" si="278"/>
        <v>0</v>
      </c>
    </row>
    <row r="15382" spans="20:20" ht="18.75" customHeight="1" x14ac:dyDescent="0.35">
      <c r="T15382" s="246">
        <f t="shared" si="278"/>
        <v>0</v>
      </c>
    </row>
    <row r="15383" spans="20:20" ht="18.75" customHeight="1" x14ac:dyDescent="0.35">
      <c r="T15383" s="246">
        <f t="shared" si="278"/>
        <v>0</v>
      </c>
    </row>
    <row r="15384" spans="20:20" ht="18.75" customHeight="1" x14ac:dyDescent="0.35">
      <c r="T15384" s="246">
        <f t="shared" si="278"/>
        <v>0</v>
      </c>
    </row>
    <row r="15385" spans="20:20" ht="18.75" customHeight="1" x14ac:dyDescent="0.35">
      <c r="T15385" s="246">
        <f t="shared" si="278"/>
        <v>0</v>
      </c>
    </row>
    <row r="15386" spans="20:20" ht="18.75" customHeight="1" x14ac:dyDescent="0.35">
      <c r="T15386" s="246">
        <f t="shared" si="278"/>
        <v>0</v>
      </c>
    </row>
    <row r="15387" spans="20:20" ht="18.75" customHeight="1" x14ac:dyDescent="0.35">
      <c r="T15387" s="246">
        <f t="shared" si="278"/>
        <v>0</v>
      </c>
    </row>
    <row r="15388" spans="20:20" ht="18.75" customHeight="1" x14ac:dyDescent="0.35">
      <c r="T15388" s="246">
        <f t="shared" si="278"/>
        <v>0</v>
      </c>
    </row>
    <row r="15389" spans="20:20" ht="18.75" customHeight="1" x14ac:dyDescent="0.35">
      <c r="T15389" s="246">
        <f t="shared" si="278"/>
        <v>0</v>
      </c>
    </row>
    <row r="15390" spans="20:20" ht="18.75" customHeight="1" x14ac:dyDescent="0.35">
      <c r="T15390" s="246">
        <f t="shared" si="278"/>
        <v>0</v>
      </c>
    </row>
    <row r="15391" spans="20:20" ht="18.75" customHeight="1" x14ac:dyDescent="0.35">
      <c r="T15391" s="246">
        <f t="shared" si="278"/>
        <v>0</v>
      </c>
    </row>
    <row r="15392" spans="20:20" ht="18.75" customHeight="1" x14ac:dyDescent="0.35">
      <c r="T15392" s="246">
        <f t="shared" si="278"/>
        <v>0</v>
      </c>
    </row>
    <row r="15393" spans="20:20" ht="18.75" customHeight="1" x14ac:dyDescent="0.35">
      <c r="T15393" s="246">
        <f t="shared" si="278"/>
        <v>0</v>
      </c>
    </row>
    <row r="15394" spans="20:20" ht="18.75" customHeight="1" x14ac:dyDescent="0.35">
      <c r="T15394" s="246">
        <f t="shared" si="278"/>
        <v>0</v>
      </c>
    </row>
    <row r="15395" spans="20:20" ht="18.75" customHeight="1" x14ac:dyDescent="0.35">
      <c r="T15395" s="246">
        <f t="shared" si="278"/>
        <v>0</v>
      </c>
    </row>
    <row r="15396" spans="20:20" ht="18.75" customHeight="1" x14ac:dyDescent="0.35">
      <c r="T15396" s="246">
        <f t="shared" si="278"/>
        <v>0</v>
      </c>
    </row>
    <row r="15397" spans="20:20" ht="18.75" customHeight="1" x14ac:dyDescent="0.35">
      <c r="T15397" s="246">
        <f t="shared" si="278"/>
        <v>0</v>
      </c>
    </row>
    <row r="15398" spans="20:20" ht="18.75" customHeight="1" x14ac:dyDescent="0.35">
      <c r="T15398" s="246">
        <f t="shared" si="278"/>
        <v>0</v>
      </c>
    </row>
    <row r="15399" spans="20:20" ht="18.75" customHeight="1" x14ac:dyDescent="0.35">
      <c r="T15399" s="246">
        <f t="shared" si="278"/>
        <v>0</v>
      </c>
    </row>
    <row r="15400" spans="20:20" ht="18.75" customHeight="1" x14ac:dyDescent="0.35">
      <c r="T15400" s="246">
        <f t="shared" si="278"/>
        <v>0</v>
      </c>
    </row>
    <row r="15401" spans="20:20" ht="18.75" customHeight="1" x14ac:dyDescent="0.35">
      <c r="T15401" s="246">
        <f t="shared" si="278"/>
        <v>0</v>
      </c>
    </row>
    <row r="15402" spans="20:20" ht="18.75" customHeight="1" x14ac:dyDescent="0.35">
      <c r="T15402" s="246">
        <f t="shared" si="278"/>
        <v>0</v>
      </c>
    </row>
    <row r="15403" spans="20:20" ht="18.75" customHeight="1" x14ac:dyDescent="0.35">
      <c r="T15403" s="246">
        <f t="shared" si="278"/>
        <v>0</v>
      </c>
    </row>
    <row r="15404" spans="20:20" ht="18.75" customHeight="1" x14ac:dyDescent="0.35">
      <c r="T15404" s="246">
        <f t="shared" si="278"/>
        <v>0</v>
      </c>
    </row>
    <row r="15405" spans="20:20" ht="18.75" customHeight="1" x14ac:dyDescent="0.35">
      <c r="T15405" s="246">
        <f t="shared" si="278"/>
        <v>0</v>
      </c>
    </row>
    <row r="15406" spans="20:20" ht="18.75" customHeight="1" x14ac:dyDescent="0.35">
      <c r="T15406" s="246">
        <f t="shared" si="278"/>
        <v>0</v>
      </c>
    </row>
    <row r="15407" spans="20:20" ht="18.75" customHeight="1" x14ac:dyDescent="0.35">
      <c r="T15407" s="246">
        <f t="shared" si="278"/>
        <v>0</v>
      </c>
    </row>
    <row r="15408" spans="20:20" ht="18.75" customHeight="1" x14ac:dyDescent="0.35">
      <c r="T15408" s="246">
        <f t="shared" si="278"/>
        <v>0</v>
      </c>
    </row>
    <row r="15409" spans="20:20" ht="18.75" customHeight="1" x14ac:dyDescent="0.35">
      <c r="T15409" s="246">
        <f t="shared" si="278"/>
        <v>0</v>
      </c>
    </row>
    <row r="15410" spans="20:20" ht="18.75" customHeight="1" x14ac:dyDescent="0.35">
      <c r="T15410" s="246">
        <f t="shared" si="278"/>
        <v>0</v>
      </c>
    </row>
    <row r="15411" spans="20:20" ht="18.75" customHeight="1" x14ac:dyDescent="0.35">
      <c r="T15411" s="246">
        <f t="shared" si="278"/>
        <v>0</v>
      </c>
    </row>
    <row r="15412" spans="20:20" ht="18.75" customHeight="1" x14ac:dyDescent="0.35">
      <c r="T15412" s="246">
        <f t="shared" si="278"/>
        <v>0</v>
      </c>
    </row>
    <row r="15413" spans="20:20" ht="18.75" customHeight="1" x14ac:dyDescent="0.35">
      <c r="T15413" s="246">
        <f t="shared" si="278"/>
        <v>0</v>
      </c>
    </row>
    <row r="15414" spans="20:20" ht="18.75" customHeight="1" x14ac:dyDescent="0.35">
      <c r="T15414" s="246">
        <f t="shared" si="278"/>
        <v>0</v>
      </c>
    </row>
    <row r="15415" spans="20:20" ht="18.75" customHeight="1" x14ac:dyDescent="0.35">
      <c r="T15415" s="246">
        <f t="shared" si="278"/>
        <v>0</v>
      </c>
    </row>
    <row r="15416" spans="20:20" ht="18.75" customHeight="1" x14ac:dyDescent="0.35">
      <c r="T15416" s="246">
        <f t="shared" si="278"/>
        <v>0</v>
      </c>
    </row>
    <row r="15417" spans="20:20" ht="18.75" customHeight="1" x14ac:dyDescent="0.35">
      <c r="T15417" s="246">
        <f t="shared" si="278"/>
        <v>0</v>
      </c>
    </row>
    <row r="15418" spans="20:20" ht="18.75" customHeight="1" x14ac:dyDescent="0.35">
      <c r="T15418" s="246">
        <f t="shared" si="278"/>
        <v>0</v>
      </c>
    </row>
    <row r="15419" spans="20:20" ht="18.75" customHeight="1" x14ac:dyDescent="0.35">
      <c r="T15419" s="246">
        <f t="shared" si="278"/>
        <v>0</v>
      </c>
    </row>
    <row r="15420" spans="20:20" ht="18.75" customHeight="1" x14ac:dyDescent="0.35">
      <c r="T15420" s="246">
        <f t="shared" ref="T15420:T15483" si="279">R15420*0.01</f>
        <v>0</v>
      </c>
    </row>
    <row r="15421" spans="20:20" ht="18.75" customHeight="1" x14ac:dyDescent="0.35">
      <c r="T15421" s="246">
        <f t="shared" si="279"/>
        <v>0</v>
      </c>
    </row>
    <row r="15422" spans="20:20" ht="18.75" customHeight="1" x14ac:dyDescent="0.35">
      <c r="T15422" s="246">
        <f t="shared" si="279"/>
        <v>0</v>
      </c>
    </row>
    <row r="15423" spans="20:20" ht="18.75" customHeight="1" x14ac:dyDescent="0.35">
      <c r="T15423" s="246">
        <f t="shared" si="279"/>
        <v>0</v>
      </c>
    </row>
    <row r="15424" spans="20:20" ht="18.75" customHeight="1" x14ac:dyDescent="0.35">
      <c r="T15424" s="246">
        <f t="shared" si="279"/>
        <v>0</v>
      </c>
    </row>
    <row r="15425" spans="20:20" ht="18.75" customHeight="1" x14ac:dyDescent="0.35">
      <c r="T15425" s="246">
        <f t="shared" si="279"/>
        <v>0</v>
      </c>
    </row>
    <row r="15426" spans="20:20" ht="18.75" customHeight="1" x14ac:dyDescent="0.35">
      <c r="T15426" s="246">
        <f t="shared" si="279"/>
        <v>0</v>
      </c>
    </row>
    <row r="15427" spans="20:20" ht="18.75" customHeight="1" x14ac:dyDescent="0.35">
      <c r="T15427" s="246">
        <f t="shared" si="279"/>
        <v>0</v>
      </c>
    </row>
    <row r="15428" spans="20:20" ht="18.75" customHeight="1" x14ac:dyDescent="0.35">
      <c r="T15428" s="246">
        <f t="shared" si="279"/>
        <v>0</v>
      </c>
    </row>
    <row r="15429" spans="20:20" ht="18.75" customHeight="1" x14ac:dyDescent="0.35">
      <c r="T15429" s="246">
        <f t="shared" si="279"/>
        <v>0</v>
      </c>
    </row>
    <row r="15430" spans="20:20" ht="18.75" customHeight="1" x14ac:dyDescent="0.35">
      <c r="T15430" s="246">
        <f t="shared" si="279"/>
        <v>0</v>
      </c>
    </row>
    <row r="15431" spans="20:20" ht="18.75" customHeight="1" x14ac:dyDescent="0.35">
      <c r="T15431" s="246">
        <f t="shared" si="279"/>
        <v>0</v>
      </c>
    </row>
    <row r="15432" spans="20:20" ht="18.75" customHeight="1" x14ac:dyDescent="0.35">
      <c r="T15432" s="246">
        <f t="shared" si="279"/>
        <v>0</v>
      </c>
    </row>
    <row r="15433" spans="20:20" ht="18.75" customHeight="1" x14ac:dyDescent="0.35">
      <c r="T15433" s="246">
        <f t="shared" si="279"/>
        <v>0</v>
      </c>
    </row>
    <row r="15434" spans="20:20" ht="18.75" customHeight="1" x14ac:dyDescent="0.35">
      <c r="T15434" s="246">
        <f t="shared" si="279"/>
        <v>0</v>
      </c>
    </row>
    <row r="15435" spans="20:20" ht="18.75" customHeight="1" x14ac:dyDescent="0.35">
      <c r="T15435" s="246">
        <f t="shared" si="279"/>
        <v>0</v>
      </c>
    </row>
    <row r="15436" spans="20:20" ht="18.75" customHeight="1" x14ac:dyDescent="0.35">
      <c r="T15436" s="246">
        <f t="shared" si="279"/>
        <v>0</v>
      </c>
    </row>
    <row r="15437" spans="20:20" ht="18.75" customHeight="1" x14ac:dyDescent="0.35">
      <c r="T15437" s="246">
        <f t="shared" si="279"/>
        <v>0</v>
      </c>
    </row>
    <row r="15438" spans="20:20" ht="18.75" customHeight="1" x14ac:dyDescent="0.35">
      <c r="T15438" s="246">
        <f t="shared" si="279"/>
        <v>0</v>
      </c>
    </row>
    <row r="15439" spans="20:20" ht="18.75" customHeight="1" x14ac:dyDescent="0.35">
      <c r="T15439" s="246">
        <f t="shared" si="279"/>
        <v>0</v>
      </c>
    </row>
    <row r="15440" spans="20:20" ht="18.75" customHeight="1" x14ac:dyDescent="0.35">
      <c r="T15440" s="246">
        <f t="shared" si="279"/>
        <v>0</v>
      </c>
    </row>
    <row r="15441" spans="20:20" ht="18.75" customHeight="1" x14ac:dyDescent="0.35">
      <c r="T15441" s="246">
        <f t="shared" si="279"/>
        <v>0</v>
      </c>
    </row>
    <row r="15442" spans="20:20" ht="18.75" customHeight="1" x14ac:dyDescent="0.35">
      <c r="T15442" s="246">
        <f t="shared" si="279"/>
        <v>0</v>
      </c>
    </row>
    <row r="15443" spans="20:20" ht="18.75" customHeight="1" x14ac:dyDescent="0.35">
      <c r="T15443" s="246">
        <f t="shared" si="279"/>
        <v>0</v>
      </c>
    </row>
    <row r="15444" spans="20:20" ht="18.75" customHeight="1" x14ac:dyDescent="0.35">
      <c r="T15444" s="246">
        <f t="shared" si="279"/>
        <v>0</v>
      </c>
    </row>
    <row r="15445" spans="20:20" ht="18.75" customHeight="1" x14ac:dyDescent="0.35">
      <c r="T15445" s="246">
        <f t="shared" si="279"/>
        <v>0</v>
      </c>
    </row>
    <row r="15446" spans="20:20" ht="18.75" customHeight="1" x14ac:dyDescent="0.35">
      <c r="T15446" s="246">
        <f t="shared" si="279"/>
        <v>0</v>
      </c>
    </row>
    <row r="15447" spans="20:20" ht="18.75" customHeight="1" x14ac:dyDescent="0.35">
      <c r="T15447" s="246">
        <f t="shared" si="279"/>
        <v>0</v>
      </c>
    </row>
    <row r="15448" spans="20:20" ht="18.75" customHeight="1" x14ac:dyDescent="0.35">
      <c r="T15448" s="246">
        <f t="shared" si="279"/>
        <v>0</v>
      </c>
    </row>
    <row r="15449" spans="20:20" ht="18.75" customHeight="1" x14ac:dyDescent="0.35">
      <c r="T15449" s="246">
        <f t="shared" si="279"/>
        <v>0</v>
      </c>
    </row>
    <row r="15450" spans="20:20" ht="18.75" customHeight="1" x14ac:dyDescent="0.35">
      <c r="T15450" s="246">
        <f t="shared" si="279"/>
        <v>0</v>
      </c>
    </row>
    <row r="15451" spans="20:20" ht="18.75" customHeight="1" x14ac:dyDescent="0.35">
      <c r="T15451" s="246">
        <f t="shared" si="279"/>
        <v>0</v>
      </c>
    </row>
    <row r="15452" spans="20:20" ht="18.75" customHeight="1" x14ac:dyDescent="0.35">
      <c r="T15452" s="246">
        <f t="shared" si="279"/>
        <v>0</v>
      </c>
    </row>
    <row r="15453" spans="20:20" ht="18.75" customHeight="1" x14ac:dyDescent="0.35">
      <c r="T15453" s="246">
        <f t="shared" si="279"/>
        <v>0</v>
      </c>
    </row>
    <row r="15454" spans="20:20" ht="18.75" customHeight="1" x14ac:dyDescent="0.35">
      <c r="T15454" s="246">
        <f t="shared" si="279"/>
        <v>0</v>
      </c>
    </row>
    <row r="15455" spans="20:20" ht="18.75" customHeight="1" x14ac:dyDescent="0.35">
      <c r="T15455" s="246">
        <f t="shared" si="279"/>
        <v>0</v>
      </c>
    </row>
    <row r="15456" spans="20:20" ht="18.75" customHeight="1" x14ac:dyDescent="0.35">
      <c r="T15456" s="246">
        <f t="shared" si="279"/>
        <v>0</v>
      </c>
    </row>
    <row r="15457" spans="20:20" ht="18.75" customHeight="1" x14ac:dyDescent="0.35">
      <c r="T15457" s="246">
        <f t="shared" si="279"/>
        <v>0</v>
      </c>
    </row>
    <row r="15458" spans="20:20" ht="18.75" customHeight="1" x14ac:dyDescent="0.35">
      <c r="T15458" s="246">
        <f t="shared" si="279"/>
        <v>0</v>
      </c>
    </row>
    <row r="15459" spans="20:20" ht="18.75" customHeight="1" x14ac:dyDescent="0.35">
      <c r="T15459" s="246">
        <f t="shared" si="279"/>
        <v>0</v>
      </c>
    </row>
    <row r="15460" spans="20:20" ht="18.75" customHeight="1" x14ac:dyDescent="0.35">
      <c r="T15460" s="246">
        <f t="shared" si="279"/>
        <v>0</v>
      </c>
    </row>
    <row r="15461" spans="20:20" ht="18.75" customHeight="1" x14ac:dyDescent="0.35">
      <c r="T15461" s="246">
        <f t="shared" si="279"/>
        <v>0</v>
      </c>
    </row>
    <row r="15462" spans="20:20" ht="18.75" customHeight="1" x14ac:dyDescent="0.35">
      <c r="T15462" s="246">
        <f t="shared" si="279"/>
        <v>0</v>
      </c>
    </row>
    <row r="15463" spans="20:20" ht="18.75" customHeight="1" x14ac:dyDescent="0.35">
      <c r="T15463" s="246">
        <f t="shared" si="279"/>
        <v>0</v>
      </c>
    </row>
    <row r="15464" spans="20:20" ht="18.75" customHeight="1" x14ac:dyDescent="0.35">
      <c r="T15464" s="246">
        <f t="shared" si="279"/>
        <v>0</v>
      </c>
    </row>
    <row r="15465" spans="20:20" ht="18.75" customHeight="1" x14ac:dyDescent="0.35">
      <c r="T15465" s="246">
        <f t="shared" si="279"/>
        <v>0</v>
      </c>
    </row>
    <row r="15466" spans="20:20" ht="18.75" customHeight="1" x14ac:dyDescent="0.35">
      <c r="T15466" s="246">
        <f t="shared" si="279"/>
        <v>0</v>
      </c>
    </row>
    <row r="15467" spans="20:20" ht="18.75" customHeight="1" x14ac:dyDescent="0.35">
      <c r="T15467" s="246">
        <f t="shared" si="279"/>
        <v>0</v>
      </c>
    </row>
    <row r="15468" spans="20:20" ht="18.75" customHeight="1" x14ac:dyDescent="0.35">
      <c r="T15468" s="246">
        <f t="shared" si="279"/>
        <v>0</v>
      </c>
    </row>
    <row r="15469" spans="20:20" ht="18.75" customHeight="1" x14ac:dyDescent="0.35">
      <c r="T15469" s="246">
        <f t="shared" si="279"/>
        <v>0</v>
      </c>
    </row>
    <row r="15470" spans="20:20" ht="18.75" customHeight="1" x14ac:dyDescent="0.35">
      <c r="T15470" s="246">
        <f t="shared" si="279"/>
        <v>0</v>
      </c>
    </row>
    <row r="15471" spans="20:20" ht="18.75" customHeight="1" x14ac:dyDescent="0.35">
      <c r="T15471" s="246">
        <f t="shared" si="279"/>
        <v>0</v>
      </c>
    </row>
    <row r="15472" spans="20:20" ht="18.75" customHeight="1" x14ac:dyDescent="0.35">
      <c r="T15472" s="246">
        <f t="shared" si="279"/>
        <v>0</v>
      </c>
    </row>
    <row r="15473" spans="20:20" ht="18.75" customHeight="1" x14ac:dyDescent="0.35">
      <c r="T15473" s="246">
        <f t="shared" si="279"/>
        <v>0</v>
      </c>
    </row>
    <row r="15474" spans="20:20" ht="18.75" customHeight="1" x14ac:dyDescent="0.35">
      <c r="T15474" s="246">
        <f t="shared" si="279"/>
        <v>0</v>
      </c>
    </row>
    <row r="15475" spans="20:20" ht="18.75" customHeight="1" x14ac:dyDescent="0.35">
      <c r="T15475" s="246">
        <f t="shared" si="279"/>
        <v>0</v>
      </c>
    </row>
    <row r="15476" spans="20:20" ht="18.75" customHeight="1" x14ac:dyDescent="0.35">
      <c r="T15476" s="246">
        <f t="shared" si="279"/>
        <v>0</v>
      </c>
    </row>
    <row r="15477" spans="20:20" ht="18.75" customHeight="1" x14ac:dyDescent="0.35">
      <c r="T15477" s="246">
        <f t="shared" si="279"/>
        <v>0</v>
      </c>
    </row>
    <row r="15478" spans="20:20" ht="18.75" customHeight="1" x14ac:dyDescent="0.35">
      <c r="T15478" s="246">
        <f t="shared" si="279"/>
        <v>0</v>
      </c>
    </row>
    <row r="15479" spans="20:20" ht="18.75" customHeight="1" x14ac:dyDescent="0.35">
      <c r="T15479" s="246">
        <f t="shared" si="279"/>
        <v>0</v>
      </c>
    </row>
    <row r="15480" spans="20:20" ht="18.75" customHeight="1" x14ac:dyDescent="0.35">
      <c r="T15480" s="246">
        <f t="shared" si="279"/>
        <v>0</v>
      </c>
    </row>
    <row r="15481" spans="20:20" ht="18.75" customHeight="1" x14ac:dyDescent="0.35">
      <c r="T15481" s="246">
        <f t="shared" si="279"/>
        <v>0</v>
      </c>
    </row>
    <row r="15482" spans="20:20" ht="18.75" customHeight="1" x14ac:dyDescent="0.35">
      <c r="T15482" s="246">
        <f t="shared" si="279"/>
        <v>0</v>
      </c>
    </row>
    <row r="15483" spans="20:20" ht="18.75" customHeight="1" x14ac:dyDescent="0.35">
      <c r="T15483" s="246">
        <f t="shared" si="279"/>
        <v>0</v>
      </c>
    </row>
    <row r="15484" spans="20:20" ht="18.75" customHeight="1" x14ac:dyDescent="0.35">
      <c r="T15484" s="246">
        <f t="shared" ref="T15484:T15547" si="280">R15484*0.01</f>
        <v>0</v>
      </c>
    </row>
    <row r="15485" spans="20:20" ht="18.75" customHeight="1" x14ac:dyDescent="0.35">
      <c r="T15485" s="246">
        <f t="shared" si="280"/>
        <v>0</v>
      </c>
    </row>
    <row r="15486" spans="20:20" ht="18.75" customHeight="1" x14ac:dyDescent="0.35">
      <c r="T15486" s="246">
        <f t="shared" si="280"/>
        <v>0</v>
      </c>
    </row>
    <row r="15487" spans="20:20" ht="18.75" customHeight="1" x14ac:dyDescent="0.35">
      <c r="T15487" s="246">
        <f t="shared" si="280"/>
        <v>0</v>
      </c>
    </row>
    <row r="15488" spans="20:20" ht="18.75" customHeight="1" x14ac:dyDescent="0.35">
      <c r="T15488" s="246">
        <f t="shared" si="280"/>
        <v>0</v>
      </c>
    </row>
    <row r="15489" spans="20:20" ht="18.75" customHeight="1" x14ac:dyDescent="0.35">
      <c r="T15489" s="246">
        <f t="shared" si="280"/>
        <v>0</v>
      </c>
    </row>
    <row r="15490" spans="20:20" ht="18.75" customHeight="1" x14ac:dyDescent="0.35">
      <c r="T15490" s="246">
        <f t="shared" si="280"/>
        <v>0</v>
      </c>
    </row>
    <row r="15491" spans="20:20" ht="18.75" customHeight="1" x14ac:dyDescent="0.35">
      <c r="T15491" s="246">
        <f t="shared" si="280"/>
        <v>0</v>
      </c>
    </row>
    <row r="15492" spans="20:20" ht="18.75" customHeight="1" x14ac:dyDescent="0.35">
      <c r="T15492" s="246">
        <f t="shared" si="280"/>
        <v>0</v>
      </c>
    </row>
    <row r="15493" spans="20:20" ht="18.75" customHeight="1" x14ac:dyDescent="0.35">
      <c r="T15493" s="246">
        <f t="shared" si="280"/>
        <v>0</v>
      </c>
    </row>
    <row r="15494" spans="20:20" ht="18.75" customHeight="1" x14ac:dyDescent="0.35">
      <c r="T15494" s="246">
        <f t="shared" si="280"/>
        <v>0</v>
      </c>
    </row>
    <row r="15495" spans="20:20" ht="18.75" customHeight="1" x14ac:dyDescent="0.35">
      <c r="T15495" s="246">
        <f t="shared" si="280"/>
        <v>0</v>
      </c>
    </row>
    <row r="15496" spans="20:20" ht="18.75" customHeight="1" x14ac:dyDescent="0.35">
      <c r="T15496" s="246">
        <f t="shared" si="280"/>
        <v>0</v>
      </c>
    </row>
    <row r="15497" spans="20:20" ht="18.75" customHeight="1" x14ac:dyDescent="0.35">
      <c r="T15497" s="246">
        <f t="shared" si="280"/>
        <v>0</v>
      </c>
    </row>
    <row r="15498" spans="20:20" ht="18.75" customHeight="1" x14ac:dyDescent="0.35">
      <c r="T15498" s="246">
        <f t="shared" si="280"/>
        <v>0</v>
      </c>
    </row>
    <row r="15499" spans="20:20" ht="18.75" customHeight="1" x14ac:dyDescent="0.35">
      <c r="T15499" s="246">
        <f t="shared" si="280"/>
        <v>0</v>
      </c>
    </row>
    <row r="15500" spans="20:20" ht="18.75" customHeight="1" x14ac:dyDescent="0.35">
      <c r="T15500" s="246">
        <f t="shared" si="280"/>
        <v>0</v>
      </c>
    </row>
    <row r="15501" spans="20:20" ht="18.75" customHeight="1" x14ac:dyDescent="0.35">
      <c r="T15501" s="246">
        <f t="shared" si="280"/>
        <v>0</v>
      </c>
    </row>
    <row r="15502" spans="20:20" ht="18.75" customHeight="1" x14ac:dyDescent="0.35">
      <c r="T15502" s="246">
        <f t="shared" si="280"/>
        <v>0</v>
      </c>
    </row>
    <row r="15503" spans="20:20" ht="18.75" customHeight="1" x14ac:dyDescent="0.35">
      <c r="T15503" s="246">
        <f t="shared" si="280"/>
        <v>0</v>
      </c>
    </row>
    <row r="15504" spans="20:20" ht="18.75" customHeight="1" x14ac:dyDescent="0.35">
      <c r="T15504" s="246">
        <f t="shared" si="280"/>
        <v>0</v>
      </c>
    </row>
    <row r="15505" spans="20:20" ht="18.75" customHeight="1" x14ac:dyDescent="0.35">
      <c r="T15505" s="246">
        <f t="shared" si="280"/>
        <v>0</v>
      </c>
    </row>
    <row r="15506" spans="20:20" ht="18.75" customHeight="1" x14ac:dyDescent="0.35">
      <c r="T15506" s="246">
        <f t="shared" si="280"/>
        <v>0</v>
      </c>
    </row>
    <row r="15507" spans="20:20" ht="18.75" customHeight="1" x14ac:dyDescent="0.35">
      <c r="T15507" s="246">
        <f t="shared" si="280"/>
        <v>0</v>
      </c>
    </row>
    <row r="15508" spans="20:20" ht="18.75" customHeight="1" x14ac:dyDescent="0.35">
      <c r="T15508" s="246">
        <f t="shared" si="280"/>
        <v>0</v>
      </c>
    </row>
    <row r="15509" spans="20:20" ht="18.75" customHeight="1" x14ac:dyDescent="0.35">
      <c r="T15509" s="246">
        <f t="shared" si="280"/>
        <v>0</v>
      </c>
    </row>
    <row r="15510" spans="20:20" ht="18.75" customHeight="1" x14ac:dyDescent="0.35">
      <c r="T15510" s="246">
        <f t="shared" si="280"/>
        <v>0</v>
      </c>
    </row>
    <row r="15511" spans="20:20" ht="18.75" customHeight="1" x14ac:dyDescent="0.35">
      <c r="T15511" s="246">
        <f t="shared" si="280"/>
        <v>0</v>
      </c>
    </row>
    <row r="15512" spans="20:20" ht="18.75" customHeight="1" x14ac:dyDescent="0.35">
      <c r="T15512" s="246">
        <f t="shared" si="280"/>
        <v>0</v>
      </c>
    </row>
    <row r="15513" spans="20:20" ht="18.75" customHeight="1" x14ac:dyDescent="0.35">
      <c r="T15513" s="246">
        <f t="shared" si="280"/>
        <v>0</v>
      </c>
    </row>
    <row r="15514" spans="20:20" ht="18.75" customHeight="1" x14ac:dyDescent="0.35">
      <c r="T15514" s="246">
        <f t="shared" si="280"/>
        <v>0</v>
      </c>
    </row>
    <row r="15515" spans="20:20" ht="18.75" customHeight="1" x14ac:dyDescent="0.35">
      <c r="T15515" s="246">
        <f t="shared" si="280"/>
        <v>0</v>
      </c>
    </row>
    <row r="15516" spans="20:20" ht="18.75" customHeight="1" x14ac:dyDescent="0.35">
      <c r="T15516" s="246">
        <f t="shared" si="280"/>
        <v>0</v>
      </c>
    </row>
    <row r="15517" spans="20:20" ht="18.75" customHeight="1" x14ac:dyDescent="0.35">
      <c r="T15517" s="246">
        <f t="shared" si="280"/>
        <v>0</v>
      </c>
    </row>
    <row r="15518" spans="20:20" ht="18.75" customHeight="1" x14ac:dyDescent="0.35">
      <c r="T15518" s="246">
        <f t="shared" si="280"/>
        <v>0</v>
      </c>
    </row>
    <row r="15519" spans="20:20" ht="18.75" customHeight="1" x14ac:dyDescent="0.35">
      <c r="T15519" s="246">
        <f t="shared" si="280"/>
        <v>0</v>
      </c>
    </row>
    <row r="15520" spans="20:20" ht="18.75" customHeight="1" x14ac:dyDescent="0.35">
      <c r="T15520" s="246">
        <f t="shared" si="280"/>
        <v>0</v>
      </c>
    </row>
    <row r="15521" spans="20:20" ht="18.75" customHeight="1" x14ac:dyDescent="0.35">
      <c r="T15521" s="246">
        <f t="shared" si="280"/>
        <v>0</v>
      </c>
    </row>
    <row r="15522" spans="20:20" ht="18.75" customHeight="1" x14ac:dyDescent="0.35">
      <c r="T15522" s="246">
        <f t="shared" si="280"/>
        <v>0</v>
      </c>
    </row>
    <row r="15523" spans="20:20" ht="18.75" customHeight="1" x14ac:dyDescent="0.35">
      <c r="T15523" s="246">
        <f t="shared" si="280"/>
        <v>0</v>
      </c>
    </row>
    <row r="15524" spans="20:20" ht="18.75" customHeight="1" x14ac:dyDescent="0.35">
      <c r="T15524" s="246">
        <f t="shared" si="280"/>
        <v>0</v>
      </c>
    </row>
    <row r="15525" spans="20:20" ht="18.75" customHeight="1" x14ac:dyDescent="0.35">
      <c r="T15525" s="246">
        <f t="shared" si="280"/>
        <v>0</v>
      </c>
    </row>
    <row r="15526" spans="20:20" ht="18.75" customHeight="1" x14ac:dyDescent="0.35">
      <c r="T15526" s="246">
        <f t="shared" si="280"/>
        <v>0</v>
      </c>
    </row>
    <row r="15527" spans="20:20" ht="18.75" customHeight="1" x14ac:dyDescent="0.35">
      <c r="T15527" s="246">
        <f t="shared" si="280"/>
        <v>0</v>
      </c>
    </row>
    <row r="15528" spans="20:20" ht="18.75" customHeight="1" x14ac:dyDescent="0.35">
      <c r="T15528" s="246">
        <f t="shared" si="280"/>
        <v>0</v>
      </c>
    </row>
    <row r="15529" spans="20:20" ht="18.75" customHeight="1" x14ac:dyDescent="0.35">
      <c r="T15529" s="246">
        <f t="shared" si="280"/>
        <v>0</v>
      </c>
    </row>
    <row r="15530" spans="20:20" ht="18.75" customHeight="1" x14ac:dyDescent="0.35">
      <c r="T15530" s="246">
        <f t="shared" si="280"/>
        <v>0</v>
      </c>
    </row>
    <row r="15531" spans="20:20" ht="18.75" customHeight="1" x14ac:dyDescent="0.35">
      <c r="T15531" s="246">
        <f t="shared" si="280"/>
        <v>0</v>
      </c>
    </row>
    <row r="15532" spans="20:20" ht="18.75" customHeight="1" x14ac:dyDescent="0.35">
      <c r="T15532" s="246">
        <f t="shared" si="280"/>
        <v>0</v>
      </c>
    </row>
    <row r="15533" spans="20:20" ht="18.75" customHeight="1" x14ac:dyDescent="0.35">
      <c r="T15533" s="246">
        <f t="shared" si="280"/>
        <v>0</v>
      </c>
    </row>
    <row r="15534" spans="20:20" ht="18.75" customHeight="1" x14ac:dyDescent="0.35">
      <c r="T15534" s="246">
        <f t="shared" si="280"/>
        <v>0</v>
      </c>
    </row>
    <row r="15535" spans="20:20" ht="18.75" customHeight="1" x14ac:dyDescent="0.35">
      <c r="T15535" s="246">
        <f t="shared" si="280"/>
        <v>0</v>
      </c>
    </row>
    <row r="15536" spans="20:20" ht="18.75" customHeight="1" x14ac:dyDescent="0.35">
      <c r="T15536" s="246">
        <f t="shared" si="280"/>
        <v>0</v>
      </c>
    </row>
    <row r="15537" spans="20:20" ht="18.75" customHeight="1" x14ac:dyDescent="0.35">
      <c r="T15537" s="246">
        <f t="shared" si="280"/>
        <v>0</v>
      </c>
    </row>
    <row r="15538" spans="20:20" ht="18.75" customHeight="1" x14ac:dyDescent="0.35">
      <c r="T15538" s="246">
        <f t="shared" si="280"/>
        <v>0</v>
      </c>
    </row>
    <row r="15539" spans="20:20" ht="18.75" customHeight="1" x14ac:dyDescent="0.35">
      <c r="T15539" s="246">
        <f t="shared" si="280"/>
        <v>0</v>
      </c>
    </row>
    <row r="15540" spans="20:20" ht="18.75" customHeight="1" x14ac:dyDescent="0.35">
      <c r="T15540" s="246">
        <f t="shared" si="280"/>
        <v>0</v>
      </c>
    </row>
    <row r="15541" spans="20:20" ht="18.75" customHeight="1" x14ac:dyDescent="0.35">
      <c r="T15541" s="246">
        <f t="shared" si="280"/>
        <v>0</v>
      </c>
    </row>
    <row r="15542" spans="20:20" ht="18.75" customHeight="1" x14ac:dyDescent="0.35">
      <c r="T15542" s="246">
        <f t="shared" si="280"/>
        <v>0</v>
      </c>
    </row>
    <row r="15543" spans="20:20" ht="18.75" customHeight="1" x14ac:dyDescent="0.35">
      <c r="T15543" s="246">
        <f t="shared" si="280"/>
        <v>0</v>
      </c>
    </row>
    <row r="15544" spans="20:20" ht="18.75" customHeight="1" x14ac:dyDescent="0.35">
      <c r="T15544" s="246">
        <f t="shared" si="280"/>
        <v>0</v>
      </c>
    </row>
    <row r="15545" spans="20:20" ht="18.75" customHeight="1" x14ac:dyDescent="0.35">
      <c r="T15545" s="246">
        <f t="shared" si="280"/>
        <v>0</v>
      </c>
    </row>
    <row r="15546" spans="20:20" ht="18.75" customHeight="1" x14ac:dyDescent="0.35">
      <c r="T15546" s="246">
        <f t="shared" si="280"/>
        <v>0</v>
      </c>
    </row>
    <row r="15547" spans="20:20" ht="18.75" customHeight="1" x14ac:dyDescent="0.35">
      <c r="T15547" s="246">
        <f t="shared" si="280"/>
        <v>0</v>
      </c>
    </row>
    <row r="15548" spans="20:20" ht="18.75" customHeight="1" x14ac:dyDescent="0.35">
      <c r="T15548" s="246">
        <f t="shared" ref="T15548:T15611" si="281">R15548*0.01</f>
        <v>0</v>
      </c>
    </row>
    <row r="15549" spans="20:20" ht="18.75" customHeight="1" x14ac:dyDescent="0.35">
      <c r="T15549" s="246">
        <f t="shared" si="281"/>
        <v>0</v>
      </c>
    </row>
    <row r="15550" spans="20:20" ht="18.75" customHeight="1" x14ac:dyDescent="0.35">
      <c r="T15550" s="246">
        <f t="shared" si="281"/>
        <v>0</v>
      </c>
    </row>
    <row r="15551" spans="20:20" ht="18.75" customHeight="1" x14ac:dyDescent="0.35">
      <c r="T15551" s="246">
        <f t="shared" si="281"/>
        <v>0</v>
      </c>
    </row>
    <row r="15552" spans="20:20" ht="18.75" customHeight="1" x14ac:dyDescent="0.35">
      <c r="T15552" s="246">
        <f t="shared" si="281"/>
        <v>0</v>
      </c>
    </row>
    <row r="15553" spans="20:20" ht="18.75" customHeight="1" x14ac:dyDescent="0.35">
      <c r="T15553" s="246">
        <f t="shared" si="281"/>
        <v>0</v>
      </c>
    </row>
    <row r="15554" spans="20:20" ht="18.75" customHeight="1" x14ac:dyDescent="0.35">
      <c r="T15554" s="246">
        <f t="shared" si="281"/>
        <v>0</v>
      </c>
    </row>
    <row r="15555" spans="20:20" ht="18.75" customHeight="1" x14ac:dyDescent="0.35">
      <c r="T15555" s="246">
        <f t="shared" si="281"/>
        <v>0</v>
      </c>
    </row>
    <row r="15556" spans="20:20" ht="18.75" customHeight="1" x14ac:dyDescent="0.35">
      <c r="T15556" s="246">
        <f t="shared" si="281"/>
        <v>0</v>
      </c>
    </row>
    <row r="15557" spans="20:20" ht="18.75" customHeight="1" x14ac:dyDescent="0.35">
      <c r="T15557" s="246">
        <f t="shared" si="281"/>
        <v>0</v>
      </c>
    </row>
    <row r="15558" spans="20:20" ht="18.75" customHeight="1" x14ac:dyDescent="0.35">
      <c r="T15558" s="246">
        <f t="shared" si="281"/>
        <v>0</v>
      </c>
    </row>
    <row r="15559" spans="20:20" ht="18.75" customHeight="1" x14ac:dyDescent="0.35">
      <c r="T15559" s="246">
        <f t="shared" si="281"/>
        <v>0</v>
      </c>
    </row>
    <row r="15560" spans="20:20" ht="18.75" customHeight="1" x14ac:dyDescent="0.35">
      <c r="T15560" s="246">
        <f t="shared" si="281"/>
        <v>0</v>
      </c>
    </row>
    <row r="15561" spans="20:20" ht="18.75" customHeight="1" x14ac:dyDescent="0.35">
      <c r="T15561" s="246">
        <f t="shared" si="281"/>
        <v>0</v>
      </c>
    </row>
    <row r="15562" spans="20:20" ht="18.75" customHeight="1" x14ac:dyDescent="0.35">
      <c r="T15562" s="246">
        <f t="shared" si="281"/>
        <v>0</v>
      </c>
    </row>
    <row r="15563" spans="20:20" ht="18.75" customHeight="1" x14ac:dyDescent="0.35">
      <c r="T15563" s="246">
        <f t="shared" si="281"/>
        <v>0</v>
      </c>
    </row>
    <row r="15564" spans="20:20" ht="18.75" customHeight="1" x14ac:dyDescent="0.35">
      <c r="T15564" s="246">
        <f t="shared" si="281"/>
        <v>0</v>
      </c>
    </row>
    <row r="15565" spans="20:20" ht="18.75" customHeight="1" x14ac:dyDescent="0.35">
      <c r="T15565" s="246">
        <f t="shared" si="281"/>
        <v>0</v>
      </c>
    </row>
    <row r="15566" spans="20:20" ht="18.75" customHeight="1" x14ac:dyDescent="0.35">
      <c r="T15566" s="246">
        <f t="shared" si="281"/>
        <v>0</v>
      </c>
    </row>
    <row r="15567" spans="20:20" ht="18.75" customHeight="1" x14ac:dyDescent="0.35">
      <c r="T15567" s="246">
        <f t="shared" si="281"/>
        <v>0</v>
      </c>
    </row>
    <row r="15568" spans="20:20" ht="18.75" customHeight="1" x14ac:dyDescent="0.35">
      <c r="T15568" s="246">
        <f t="shared" si="281"/>
        <v>0</v>
      </c>
    </row>
    <row r="15569" spans="20:20" ht="18.75" customHeight="1" x14ac:dyDescent="0.35">
      <c r="T15569" s="246">
        <f t="shared" si="281"/>
        <v>0</v>
      </c>
    </row>
    <row r="15570" spans="20:20" ht="18.75" customHeight="1" x14ac:dyDescent="0.35">
      <c r="T15570" s="246">
        <f t="shared" si="281"/>
        <v>0</v>
      </c>
    </row>
    <row r="15571" spans="20:20" ht="18.75" customHeight="1" x14ac:dyDescent="0.35">
      <c r="T15571" s="246">
        <f t="shared" si="281"/>
        <v>0</v>
      </c>
    </row>
    <row r="15572" spans="20:20" ht="18.75" customHeight="1" x14ac:dyDescent="0.35">
      <c r="T15572" s="246">
        <f t="shared" si="281"/>
        <v>0</v>
      </c>
    </row>
    <row r="15573" spans="20:20" ht="18.75" customHeight="1" x14ac:dyDescent="0.35">
      <c r="T15573" s="246">
        <f t="shared" si="281"/>
        <v>0</v>
      </c>
    </row>
    <row r="15574" spans="20:20" ht="18.75" customHeight="1" x14ac:dyDescent="0.35">
      <c r="T15574" s="246">
        <f t="shared" si="281"/>
        <v>0</v>
      </c>
    </row>
    <row r="15575" spans="20:20" ht="18.75" customHeight="1" x14ac:dyDescent="0.35">
      <c r="T15575" s="246">
        <f t="shared" si="281"/>
        <v>0</v>
      </c>
    </row>
    <row r="15576" spans="20:20" ht="18.75" customHeight="1" x14ac:dyDescent="0.35">
      <c r="T15576" s="246">
        <f t="shared" si="281"/>
        <v>0</v>
      </c>
    </row>
    <row r="15577" spans="20:20" ht="18.75" customHeight="1" x14ac:dyDescent="0.35">
      <c r="T15577" s="246">
        <f t="shared" si="281"/>
        <v>0</v>
      </c>
    </row>
    <row r="15578" spans="20:20" ht="18.75" customHeight="1" x14ac:dyDescent="0.35">
      <c r="T15578" s="246">
        <f t="shared" si="281"/>
        <v>0</v>
      </c>
    </row>
    <row r="15579" spans="20:20" ht="18.75" customHeight="1" x14ac:dyDescent="0.35">
      <c r="T15579" s="246">
        <f t="shared" si="281"/>
        <v>0</v>
      </c>
    </row>
    <row r="15580" spans="20:20" ht="18.75" customHeight="1" x14ac:dyDescent="0.35">
      <c r="T15580" s="246">
        <f t="shared" si="281"/>
        <v>0</v>
      </c>
    </row>
    <row r="15581" spans="20:20" ht="18.75" customHeight="1" x14ac:dyDescent="0.35">
      <c r="T15581" s="246">
        <f t="shared" si="281"/>
        <v>0</v>
      </c>
    </row>
    <row r="15582" spans="20:20" ht="18.75" customHeight="1" x14ac:dyDescent="0.35">
      <c r="T15582" s="246">
        <f t="shared" si="281"/>
        <v>0</v>
      </c>
    </row>
    <row r="15583" spans="20:20" ht="18.75" customHeight="1" x14ac:dyDescent="0.35">
      <c r="T15583" s="246">
        <f t="shared" si="281"/>
        <v>0</v>
      </c>
    </row>
    <row r="15584" spans="20:20" ht="18.75" customHeight="1" x14ac:dyDescent="0.35">
      <c r="T15584" s="246">
        <f t="shared" si="281"/>
        <v>0</v>
      </c>
    </row>
    <row r="15585" spans="20:20" ht="18.75" customHeight="1" x14ac:dyDescent="0.35">
      <c r="T15585" s="246">
        <f t="shared" si="281"/>
        <v>0</v>
      </c>
    </row>
    <row r="15586" spans="20:20" ht="18.75" customHeight="1" x14ac:dyDescent="0.35">
      <c r="T15586" s="246">
        <f t="shared" si="281"/>
        <v>0</v>
      </c>
    </row>
    <row r="15587" spans="20:20" ht="18.75" customHeight="1" x14ac:dyDescent="0.35">
      <c r="T15587" s="246">
        <f t="shared" si="281"/>
        <v>0</v>
      </c>
    </row>
    <row r="15588" spans="20:20" ht="18.75" customHeight="1" x14ac:dyDescent="0.35">
      <c r="T15588" s="246">
        <f t="shared" si="281"/>
        <v>0</v>
      </c>
    </row>
    <row r="15589" spans="20:20" ht="18.75" customHeight="1" x14ac:dyDescent="0.35">
      <c r="T15589" s="246">
        <f t="shared" si="281"/>
        <v>0</v>
      </c>
    </row>
    <row r="15590" spans="20:20" ht="18.75" customHeight="1" x14ac:dyDescent="0.35">
      <c r="T15590" s="246">
        <f t="shared" si="281"/>
        <v>0</v>
      </c>
    </row>
    <row r="15591" spans="20:20" ht="18.75" customHeight="1" x14ac:dyDescent="0.35">
      <c r="T15591" s="246">
        <f t="shared" si="281"/>
        <v>0</v>
      </c>
    </row>
    <row r="15592" spans="20:20" ht="18.75" customHeight="1" x14ac:dyDescent="0.35">
      <c r="T15592" s="246">
        <f t="shared" si="281"/>
        <v>0</v>
      </c>
    </row>
    <row r="15593" spans="20:20" ht="18.75" customHeight="1" x14ac:dyDescent="0.35">
      <c r="T15593" s="246">
        <f t="shared" si="281"/>
        <v>0</v>
      </c>
    </row>
    <row r="15594" spans="20:20" ht="18.75" customHeight="1" x14ac:dyDescent="0.35">
      <c r="T15594" s="246">
        <f t="shared" si="281"/>
        <v>0</v>
      </c>
    </row>
    <row r="15595" spans="20:20" ht="18.75" customHeight="1" x14ac:dyDescent="0.35">
      <c r="T15595" s="246">
        <f t="shared" si="281"/>
        <v>0</v>
      </c>
    </row>
    <row r="15596" spans="20:20" ht="18.75" customHeight="1" x14ac:dyDescent="0.35">
      <c r="T15596" s="246">
        <f t="shared" si="281"/>
        <v>0</v>
      </c>
    </row>
    <row r="15597" spans="20:20" ht="18.75" customHeight="1" x14ac:dyDescent="0.35">
      <c r="T15597" s="246">
        <f t="shared" si="281"/>
        <v>0</v>
      </c>
    </row>
    <row r="15598" spans="20:20" ht="18.75" customHeight="1" x14ac:dyDescent="0.35">
      <c r="T15598" s="246">
        <f t="shared" si="281"/>
        <v>0</v>
      </c>
    </row>
    <row r="15599" spans="20:20" ht="18.75" customHeight="1" x14ac:dyDescent="0.35">
      <c r="T15599" s="246">
        <f t="shared" si="281"/>
        <v>0</v>
      </c>
    </row>
    <row r="15600" spans="20:20" ht="18.75" customHeight="1" x14ac:dyDescent="0.35">
      <c r="T15600" s="246">
        <f t="shared" si="281"/>
        <v>0</v>
      </c>
    </row>
    <row r="15601" spans="20:20" ht="18.75" customHeight="1" x14ac:dyDescent="0.35">
      <c r="T15601" s="246">
        <f t="shared" si="281"/>
        <v>0</v>
      </c>
    </row>
    <row r="15602" spans="20:20" ht="18.75" customHeight="1" x14ac:dyDescent="0.35">
      <c r="T15602" s="246">
        <f t="shared" si="281"/>
        <v>0</v>
      </c>
    </row>
    <row r="15603" spans="20:20" ht="18.75" customHeight="1" x14ac:dyDescent="0.35">
      <c r="T15603" s="246">
        <f t="shared" si="281"/>
        <v>0</v>
      </c>
    </row>
    <row r="15604" spans="20:20" ht="18.75" customHeight="1" x14ac:dyDescent="0.35">
      <c r="T15604" s="246">
        <f t="shared" si="281"/>
        <v>0</v>
      </c>
    </row>
    <row r="15605" spans="20:20" ht="18.75" customHeight="1" x14ac:dyDescent="0.35">
      <c r="T15605" s="246">
        <f t="shared" si="281"/>
        <v>0</v>
      </c>
    </row>
    <row r="15606" spans="20:20" ht="18.75" customHeight="1" x14ac:dyDescent="0.35">
      <c r="T15606" s="246">
        <f t="shared" si="281"/>
        <v>0</v>
      </c>
    </row>
    <row r="15607" spans="20:20" ht="18.75" customHeight="1" x14ac:dyDescent="0.35">
      <c r="T15607" s="246">
        <f t="shared" si="281"/>
        <v>0</v>
      </c>
    </row>
    <row r="15608" spans="20:20" ht="18.75" customHeight="1" x14ac:dyDescent="0.35">
      <c r="T15608" s="246">
        <f t="shared" si="281"/>
        <v>0</v>
      </c>
    </row>
    <row r="15609" spans="20:20" ht="18.75" customHeight="1" x14ac:dyDescent="0.35">
      <c r="T15609" s="246">
        <f t="shared" si="281"/>
        <v>0</v>
      </c>
    </row>
    <row r="15610" spans="20:20" ht="18.75" customHeight="1" x14ac:dyDescent="0.35">
      <c r="T15610" s="246">
        <f t="shared" si="281"/>
        <v>0</v>
      </c>
    </row>
    <row r="15611" spans="20:20" ht="18.75" customHeight="1" x14ac:dyDescent="0.35">
      <c r="T15611" s="246">
        <f t="shared" si="281"/>
        <v>0</v>
      </c>
    </row>
    <row r="15612" spans="20:20" ht="18.75" customHeight="1" x14ac:dyDescent="0.35">
      <c r="T15612" s="246">
        <f t="shared" ref="T15612:T15675" si="282">R15612*0.01</f>
        <v>0</v>
      </c>
    </row>
    <row r="15613" spans="20:20" ht="18.75" customHeight="1" x14ac:dyDescent="0.35">
      <c r="T15613" s="246">
        <f t="shared" si="282"/>
        <v>0</v>
      </c>
    </row>
    <row r="15614" spans="20:20" ht="18.75" customHeight="1" x14ac:dyDescent="0.35">
      <c r="T15614" s="246">
        <f t="shared" si="282"/>
        <v>0</v>
      </c>
    </row>
    <row r="15615" spans="20:20" ht="18.75" customHeight="1" x14ac:dyDescent="0.35">
      <c r="T15615" s="246">
        <f t="shared" si="282"/>
        <v>0</v>
      </c>
    </row>
    <row r="15616" spans="20:20" ht="18.75" customHeight="1" x14ac:dyDescent="0.35">
      <c r="T15616" s="246">
        <f t="shared" si="282"/>
        <v>0</v>
      </c>
    </row>
    <row r="15617" spans="20:20" ht="18.75" customHeight="1" x14ac:dyDescent="0.35">
      <c r="T15617" s="246">
        <f t="shared" si="282"/>
        <v>0</v>
      </c>
    </row>
    <row r="15618" spans="20:20" ht="18.75" customHeight="1" x14ac:dyDescent="0.35">
      <c r="T15618" s="246">
        <f t="shared" si="282"/>
        <v>0</v>
      </c>
    </row>
    <row r="15619" spans="20:20" ht="18.75" customHeight="1" x14ac:dyDescent="0.35">
      <c r="T15619" s="246">
        <f t="shared" si="282"/>
        <v>0</v>
      </c>
    </row>
    <row r="15620" spans="20:20" ht="18.75" customHeight="1" x14ac:dyDescent="0.35">
      <c r="T15620" s="246">
        <f t="shared" si="282"/>
        <v>0</v>
      </c>
    </row>
    <row r="15621" spans="20:20" ht="18.75" customHeight="1" x14ac:dyDescent="0.35">
      <c r="T15621" s="246">
        <f t="shared" si="282"/>
        <v>0</v>
      </c>
    </row>
    <row r="15622" spans="20:20" ht="18.75" customHeight="1" x14ac:dyDescent="0.35">
      <c r="T15622" s="246">
        <f t="shared" si="282"/>
        <v>0</v>
      </c>
    </row>
    <row r="15623" spans="20:20" ht="18.75" customHeight="1" x14ac:dyDescent="0.35">
      <c r="T15623" s="246">
        <f t="shared" si="282"/>
        <v>0</v>
      </c>
    </row>
    <row r="15624" spans="20:20" ht="18.75" customHeight="1" x14ac:dyDescent="0.35">
      <c r="T15624" s="246">
        <f t="shared" si="282"/>
        <v>0</v>
      </c>
    </row>
    <row r="15625" spans="20:20" ht="18.75" customHeight="1" x14ac:dyDescent="0.35">
      <c r="T15625" s="246">
        <f t="shared" si="282"/>
        <v>0</v>
      </c>
    </row>
    <row r="15626" spans="20:20" ht="18.75" customHeight="1" x14ac:dyDescent="0.35">
      <c r="T15626" s="246">
        <f t="shared" si="282"/>
        <v>0</v>
      </c>
    </row>
    <row r="15627" spans="20:20" ht="18.75" customHeight="1" x14ac:dyDescent="0.35">
      <c r="T15627" s="246">
        <f t="shared" si="282"/>
        <v>0</v>
      </c>
    </row>
    <row r="15628" spans="20:20" ht="18.75" customHeight="1" x14ac:dyDescent="0.35">
      <c r="T15628" s="246">
        <f t="shared" si="282"/>
        <v>0</v>
      </c>
    </row>
    <row r="15629" spans="20:20" ht="18.75" customHeight="1" x14ac:dyDescent="0.35">
      <c r="T15629" s="246">
        <f t="shared" si="282"/>
        <v>0</v>
      </c>
    </row>
    <row r="15630" spans="20:20" ht="18.75" customHeight="1" x14ac:dyDescent="0.35">
      <c r="T15630" s="246">
        <f t="shared" si="282"/>
        <v>0</v>
      </c>
    </row>
    <row r="15631" spans="20:20" ht="18.75" customHeight="1" x14ac:dyDescent="0.35">
      <c r="T15631" s="246">
        <f t="shared" si="282"/>
        <v>0</v>
      </c>
    </row>
    <row r="15632" spans="20:20" ht="18.75" customHeight="1" x14ac:dyDescent="0.35">
      <c r="T15632" s="246">
        <f t="shared" si="282"/>
        <v>0</v>
      </c>
    </row>
    <row r="15633" spans="20:20" ht="18.75" customHeight="1" x14ac:dyDescent="0.35">
      <c r="T15633" s="246">
        <f t="shared" si="282"/>
        <v>0</v>
      </c>
    </row>
    <row r="15634" spans="20:20" ht="18.75" customHeight="1" x14ac:dyDescent="0.35">
      <c r="T15634" s="246">
        <f t="shared" si="282"/>
        <v>0</v>
      </c>
    </row>
    <row r="15635" spans="20:20" ht="18.75" customHeight="1" x14ac:dyDescent="0.35">
      <c r="T15635" s="246">
        <f t="shared" si="282"/>
        <v>0</v>
      </c>
    </row>
    <row r="15636" spans="20:20" ht="18.75" customHeight="1" x14ac:dyDescent="0.35">
      <c r="T15636" s="246">
        <f t="shared" si="282"/>
        <v>0</v>
      </c>
    </row>
    <row r="15637" spans="20:20" ht="18.75" customHeight="1" x14ac:dyDescent="0.35">
      <c r="T15637" s="246">
        <f t="shared" si="282"/>
        <v>0</v>
      </c>
    </row>
    <row r="15638" spans="20:20" ht="18.75" customHeight="1" x14ac:dyDescent="0.35">
      <c r="T15638" s="246">
        <f t="shared" si="282"/>
        <v>0</v>
      </c>
    </row>
    <row r="15639" spans="20:20" ht="18.75" customHeight="1" x14ac:dyDescent="0.35">
      <c r="T15639" s="246">
        <f t="shared" si="282"/>
        <v>0</v>
      </c>
    </row>
    <row r="15640" spans="20:20" ht="18.75" customHeight="1" x14ac:dyDescent="0.35">
      <c r="T15640" s="246">
        <f t="shared" si="282"/>
        <v>0</v>
      </c>
    </row>
    <row r="15641" spans="20:20" ht="18.75" customHeight="1" x14ac:dyDescent="0.35">
      <c r="T15641" s="246">
        <f t="shared" si="282"/>
        <v>0</v>
      </c>
    </row>
    <row r="15642" spans="20:20" ht="18.75" customHeight="1" x14ac:dyDescent="0.35">
      <c r="T15642" s="246">
        <f t="shared" si="282"/>
        <v>0</v>
      </c>
    </row>
    <row r="15643" spans="20:20" ht="18.75" customHeight="1" x14ac:dyDescent="0.35">
      <c r="T15643" s="246">
        <f t="shared" si="282"/>
        <v>0</v>
      </c>
    </row>
    <row r="15644" spans="20:20" ht="18.75" customHeight="1" x14ac:dyDescent="0.35">
      <c r="T15644" s="246">
        <f t="shared" si="282"/>
        <v>0</v>
      </c>
    </row>
    <row r="15645" spans="20:20" ht="18.75" customHeight="1" x14ac:dyDescent="0.35">
      <c r="T15645" s="246">
        <f t="shared" si="282"/>
        <v>0</v>
      </c>
    </row>
    <row r="15646" spans="20:20" ht="18.75" customHeight="1" x14ac:dyDescent="0.35">
      <c r="T15646" s="246">
        <f t="shared" si="282"/>
        <v>0</v>
      </c>
    </row>
    <row r="15647" spans="20:20" ht="18.75" customHeight="1" x14ac:dyDescent="0.35">
      <c r="T15647" s="246">
        <f t="shared" si="282"/>
        <v>0</v>
      </c>
    </row>
    <row r="15648" spans="20:20" ht="18.75" customHeight="1" x14ac:dyDescent="0.35">
      <c r="T15648" s="246">
        <f t="shared" si="282"/>
        <v>0</v>
      </c>
    </row>
    <row r="15649" spans="20:20" ht="18.75" customHeight="1" x14ac:dyDescent="0.35">
      <c r="T15649" s="246">
        <f t="shared" si="282"/>
        <v>0</v>
      </c>
    </row>
    <row r="15650" spans="20:20" ht="18.75" customHeight="1" x14ac:dyDescent="0.35">
      <c r="T15650" s="246">
        <f t="shared" si="282"/>
        <v>0</v>
      </c>
    </row>
    <row r="15651" spans="20:20" ht="18.75" customHeight="1" x14ac:dyDescent="0.35">
      <c r="T15651" s="246">
        <f t="shared" si="282"/>
        <v>0</v>
      </c>
    </row>
    <row r="15652" spans="20:20" ht="18.75" customHeight="1" x14ac:dyDescent="0.35">
      <c r="T15652" s="246">
        <f t="shared" si="282"/>
        <v>0</v>
      </c>
    </row>
    <row r="15653" spans="20:20" ht="18.75" customHeight="1" x14ac:dyDescent="0.35">
      <c r="T15653" s="246">
        <f t="shared" si="282"/>
        <v>0</v>
      </c>
    </row>
    <row r="15654" spans="20:20" ht="18.75" customHeight="1" x14ac:dyDescent="0.35">
      <c r="T15654" s="246">
        <f t="shared" si="282"/>
        <v>0</v>
      </c>
    </row>
    <row r="15655" spans="20:20" ht="18.75" customHeight="1" x14ac:dyDescent="0.35">
      <c r="T15655" s="246">
        <f t="shared" si="282"/>
        <v>0</v>
      </c>
    </row>
    <row r="15656" spans="20:20" ht="18.75" customHeight="1" x14ac:dyDescent="0.35">
      <c r="T15656" s="246">
        <f t="shared" si="282"/>
        <v>0</v>
      </c>
    </row>
    <row r="15657" spans="20:20" ht="18.75" customHeight="1" x14ac:dyDescent="0.35">
      <c r="T15657" s="246">
        <f t="shared" si="282"/>
        <v>0</v>
      </c>
    </row>
    <row r="15658" spans="20:20" ht="18.75" customHeight="1" x14ac:dyDescent="0.35">
      <c r="T15658" s="246">
        <f t="shared" si="282"/>
        <v>0</v>
      </c>
    </row>
    <row r="15659" spans="20:20" ht="18.75" customHeight="1" x14ac:dyDescent="0.35">
      <c r="T15659" s="246">
        <f t="shared" si="282"/>
        <v>0</v>
      </c>
    </row>
    <row r="15660" spans="20:20" ht="18.75" customHeight="1" x14ac:dyDescent="0.35">
      <c r="T15660" s="246">
        <f t="shared" si="282"/>
        <v>0</v>
      </c>
    </row>
    <row r="15661" spans="20:20" ht="18.75" customHeight="1" x14ac:dyDescent="0.35">
      <c r="T15661" s="246">
        <f t="shared" si="282"/>
        <v>0</v>
      </c>
    </row>
    <row r="15662" spans="20:20" ht="18.75" customHeight="1" x14ac:dyDescent="0.35">
      <c r="T15662" s="246">
        <f t="shared" si="282"/>
        <v>0</v>
      </c>
    </row>
    <row r="15663" spans="20:20" ht="18.75" customHeight="1" x14ac:dyDescent="0.35">
      <c r="T15663" s="246">
        <f t="shared" si="282"/>
        <v>0</v>
      </c>
    </row>
    <row r="15664" spans="20:20" ht="18.75" customHeight="1" x14ac:dyDescent="0.35">
      <c r="T15664" s="246">
        <f t="shared" si="282"/>
        <v>0</v>
      </c>
    </row>
    <row r="15665" spans="20:20" ht="18.75" customHeight="1" x14ac:dyDescent="0.35">
      <c r="T15665" s="246">
        <f t="shared" si="282"/>
        <v>0</v>
      </c>
    </row>
    <row r="15666" spans="20:20" ht="18.75" customHeight="1" x14ac:dyDescent="0.35">
      <c r="T15666" s="246">
        <f t="shared" si="282"/>
        <v>0</v>
      </c>
    </row>
    <row r="15667" spans="20:20" ht="18.75" customHeight="1" x14ac:dyDescent="0.35">
      <c r="T15667" s="246">
        <f t="shared" si="282"/>
        <v>0</v>
      </c>
    </row>
    <row r="15668" spans="20:20" ht="18.75" customHeight="1" x14ac:dyDescent="0.35">
      <c r="T15668" s="246">
        <f t="shared" si="282"/>
        <v>0</v>
      </c>
    </row>
    <row r="15669" spans="20:20" ht="18.75" customHeight="1" x14ac:dyDescent="0.35">
      <c r="T15669" s="246">
        <f t="shared" si="282"/>
        <v>0</v>
      </c>
    </row>
    <row r="15670" spans="20:20" ht="18.75" customHeight="1" x14ac:dyDescent="0.35">
      <c r="T15670" s="246">
        <f t="shared" si="282"/>
        <v>0</v>
      </c>
    </row>
    <row r="15671" spans="20:20" ht="18.75" customHeight="1" x14ac:dyDescent="0.35">
      <c r="T15671" s="246">
        <f t="shared" si="282"/>
        <v>0</v>
      </c>
    </row>
    <row r="15672" spans="20:20" ht="18.75" customHeight="1" x14ac:dyDescent="0.35">
      <c r="T15672" s="246">
        <f t="shared" si="282"/>
        <v>0</v>
      </c>
    </row>
    <row r="15673" spans="20:20" ht="18.75" customHeight="1" x14ac:dyDescent="0.35">
      <c r="T15673" s="246">
        <f t="shared" si="282"/>
        <v>0</v>
      </c>
    </row>
    <row r="15674" spans="20:20" ht="18.75" customHeight="1" x14ac:dyDescent="0.35">
      <c r="T15674" s="246">
        <f t="shared" si="282"/>
        <v>0</v>
      </c>
    </row>
    <row r="15675" spans="20:20" ht="18.75" customHeight="1" x14ac:dyDescent="0.35">
      <c r="T15675" s="246">
        <f t="shared" si="282"/>
        <v>0</v>
      </c>
    </row>
    <row r="15676" spans="20:20" ht="18.75" customHeight="1" x14ac:dyDescent="0.35">
      <c r="T15676" s="246">
        <f t="shared" ref="T15676:T15739" si="283">R15676*0.01</f>
        <v>0</v>
      </c>
    </row>
    <row r="15677" spans="20:20" ht="18.75" customHeight="1" x14ac:dyDescent="0.35">
      <c r="T15677" s="246">
        <f t="shared" si="283"/>
        <v>0</v>
      </c>
    </row>
    <row r="15678" spans="20:20" ht="18.75" customHeight="1" x14ac:dyDescent="0.35">
      <c r="T15678" s="246">
        <f t="shared" si="283"/>
        <v>0</v>
      </c>
    </row>
    <row r="15679" spans="20:20" ht="18.75" customHeight="1" x14ac:dyDescent="0.35">
      <c r="T15679" s="246">
        <f t="shared" si="283"/>
        <v>0</v>
      </c>
    </row>
    <row r="15680" spans="20:20" ht="18.75" customHeight="1" x14ac:dyDescent="0.35">
      <c r="T15680" s="246">
        <f t="shared" si="283"/>
        <v>0</v>
      </c>
    </row>
    <row r="15681" spans="20:20" ht="18.75" customHeight="1" x14ac:dyDescent="0.35">
      <c r="T15681" s="246">
        <f t="shared" si="283"/>
        <v>0</v>
      </c>
    </row>
    <row r="15682" spans="20:20" ht="18.75" customHeight="1" x14ac:dyDescent="0.35">
      <c r="T15682" s="246">
        <f t="shared" si="283"/>
        <v>0</v>
      </c>
    </row>
    <row r="15683" spans="20:20" ht="18.75" customHeight="1" x14ac:dyDescent="0.35">
      <c r="T15683" s="246">
        <f t="shared" si="283"/>
        <v>0</v>
      </c>
    </row>
    <row r="15684" spans="20:20" ht="18.75" customHeight="1" x14ac:dyDescent="0.35">
      <c r="T15684" s="246">
        <f t="shared" si="283"/>
        <v>0</v>
      </c>
    </row>
    <row r="15685" spans="20:20" ht="18.75" customHeight="1" x14ac:dyDescent="0.35">
      <c r="T15685" s="246">
        <f t="shared" si="283"/>
        <v>0</v>
      </c>
    </row>
    <row r="15686" spans="20:20" ht="18.75" customHeight="1" x14ac:dyDescent="0.35">
      <c r="T15686" s="246">
        <f t="shared" si="283"/>
        <v>0</v>
      </c>
    </row>
    <row r="15687" spans="20:20" ht="18.75" customHeight="1" x14ac:dyDescent="0.35">
      <c r="T15687" s="246">
        <f t="shared" si="283"/>
        <v>0</v>
      </c>
    </row>
    <row r="15688" spans="20:20" ht="18.75" customHeight="1" x14ac:dyDescent="0.35">
      <c r="T15688" s="246">
        <f t="shared" si="283"/>
        <v>0</v>
      </c>
    </row>
    <row r="15689" spans="20:20" ht="18.75" customHeight="1" x14ac:dyDescent="0.35">
      <c r="T15689" s="246">
        <f t="shared" si="283"/>
        <v>0</v>
      </c>
    </row>
    <row r="15690" spans="20:20" ht="18.75" customHeight="1" x14ac:dyDescent="0.35">
      <c r="T15690" s="246">
        <f t="shared" si="283"/>
        <v>0</v>
      </c>
    </row>
    <row r="15691" spans="20:20" ht="18.75" customHeight="1" x14ac:dyDescent="0.35">
      <c r="T15691" s="246">
        <f t="shared" si="283"/>
        <v>0</v>
      </c>
    </row>
    <row r="15692" spans="20:20" ht="18.75" customHeight="1" x14ac:dyDescent="0.35">
      <c r="T15692" s="246">
        <f t="shared" si="283"/>
        <v>0</v>
      </c>
    </row>
    <row r="15693" spans="20:20" ht="18.75" customHeight="1" x14ac:dyDescent="0.35">
      <c r="T15693" s="246">
        <f t="shared" si="283"/>
        <v>0</v>
      </c>
    </row>
    <row r="15694" spans="20:20" ht="18.75" customHeight="1" x14ac:dyDescent="0.35">
      <c r="T15694" s="246">
        <f t="shared" si="283"/>
        <v>0</v>
      </c>
    </row>
    <row r="15695" spans="20:20" ht="18.75" customHeight="1" x14ac:dyDescent="0.35">
      <c r="T15695" s="246">
        <f t="shared" si="283"/>
        <v>0</v>
      </c>
    </row>
    <row r="15696" spans="20:20" ht="18.75" customHeight="1" x14ac:dyDescent="0.35">
      <c r="T15696" s="246">
        <f t="shared" si="283"/>
        <v>0</v>
      </c>
    </row>
    <row r="15697" spans="20:20" ht="18.75" customHeight="1" x14ac:dyDescent="0.35">
      <c r="T15697" s="246">
        <f t="shared" si="283"/>
        <v>0</v>
      </c>
    </row>
    <row r="15698" spans="20:20" ht="18.75" customHeight="1" x14ac:dyDescent="0.35">
      <c r="T15698" s="246">
        <f t="shared" si="283"/>
        <v>0</v>
      </c>
    </row>
    <row r="15699" spans="20:20" ht="18.75" customHeight="1" x14ac:dyDescent="0.35">
      <c r="T15699" s="246">
        <f t="shared" si="283"/>
        <v>0</v>
      </c>
    </row>
    <row r="15700" spans="20:20" ht="18.75" customHeight="1" x14ac:dyDescent="0.35">
      <c r="T15700" s="246">
        <f t="shared" si="283"/>
        <v>0</v>
      </c>
    </row>
    <row r="15701" spans="20:20" ht="18.75" customHeight="1" x14ac:dyDescent="0.35">
      <c r="T15701" s="246">
        <f t="shared" si="283"/>
        <v>0</v>
      </c>
    </row>
    <row r="15702" spans="20:20" ht="18.75" customHeight="1" x14ac:dyDescent="0.35">
      <c r="T15702" s="246">
        <f t="shared" si="283"/>
        <v>0</v>
      </c>
    </row>
    <row r="15703" spans="20:20" ht="18.75" customHeight="1" x14ac:dyDescent="0.35">
      <c r="T15703" s="246">
        <f t="shared" si="283"/>
        <v>0</v>
      </c>
    </row>
    <row r="15704" spans="20:20" ht="18.75" customHeight="1" x14ac:dyDescent="0.35">
      <c r="T15704" s="246">
        <f t="shared" si="283"/>
        <v>0</v>
      </c>
    </row>
    <row r="15705" spans="20:20" ht="18.75" customHeight="1" x14ac:dyDescent="0.35">
      <c r="T15705" s="246">
        <f t="shared" si="283"/>
        <v>0</v>
      </c>
    </row>
    <row r="15706" spans="20:20" ht="18.75" customHeight="1" x14ac:dyDescent="0.35">
      <c r="T15706" s="246">
        <f t="shared" si="283"/>
        <v>0</v>
      </c>
    </row>
    <row r="15707" spans="20:20" ht="18.75" customHeight="1" x14ac:dyDescent="0.35">
      <c r="T15707" s="246">
        <f t="shared" si="283"/>
        <v>0</v>
      </c>
    </row>
    <row r="15708" spans="20:20" ht="18.75" customHeight="1" x14ac:dyDescent="0.35">
      <c r="T15708" s="246">
        <f t="shared" si="283"/>
        <v>0</v>
      </c>
    </row>
    <row r="15709" spans="20:20" ht="18.75" customHeight="1" x14ac:dyDescent="0.35">
      <c r="T15709" s="246">
        <f t="shared" si="283"/>
        <v>0</v>
      </c>
    </row>
    <row r="15710" spans="20:20" ht="18.75" customHeight="1" x14ac:dyDescent="0.35">
      <c r="T15710" s="246">
        <f t="shared" si="283"/>
        <v>0</v>
      </c>
    </row>
    <row r="15711" spans="20:20" ht="18.75" customHeight="1" x14ac:dyDescent="0.35">
      <c r="T15711" s="246">
        <f t="shared" si="283"/>
        <v>0</v>
      </c>
    </row>
    <row r="15712" spans="20:20" ht="18.75" customHeight="1" x14ac:dyDescent="0.35">
      <c r="T15712" s="246">
        <f t="shared" si="283"/>
        <v>0</v>
      </c>
    </row>
    <row r="15713" spans="20:20" ht="18.75" customHeight="1" x14ac:dyDescent="0.35">
      <c r="T15713" s="246">
        <f t="shared" si="283"/>
        <v>0</v>
      </c>
    </row>
    <row r="15714" spans="20:20" ht="18.75" customHeight="1" x14ac:dyDescent="0.35">
      <c r="T15714" s="246">
        <f t="shared" si="283"/>
        <v>0</v>
      </c>
    </row>
    <row r="15715" spans="20:20" ht="18.75" customHeight="1" x14ac:dyDescent="0.35">
      <c r="T15715" s="246">
        <f t="shared" si="283"/>
        <v>0</v>
      </c>
    </row>
    <row r="15716" spans="20:20" ht="18.75" customHeight="1" x14ac:dyDescent="0.35">
      <c r="T15716" s="246">
        <f t="shared" si="283"/>
        <v>0</v>
      </c>
    </row>
    <row r="15717" spans="20:20" ht="18.75" customHeight="1" x14ac:dyDescent="0.35">
      <c r="T15717" s="246">
        <f t="shared" si="283"/>
        <v>0</v>
      </c>
    </row>
    <row r="15718" spans="20:20" ht="18.75" customHeight="1" x14ac:dyDescent="0.35">
      <c r="T15718" s="246">
        <f t="shared" si="283"/>
        <v>0</v>
      </c>
    </row>
    <row r="15719" spans="20:20" ht="18.75" customHeight="1" x14ac:dyDescent="0.35">
      <c r="T15719" s="246">
        <f t="shared" si="283"/>
        <v>0</v>
      </c>
    </row>
    <row r="15720" spans="20:20" ht="18.75" customHeight="1" x14ac:dyDescent="0.35">
      <c r="T15720" s="246">
        <f t="shared" si="283"/>
        <v>0</v>
      </c>
    </row>
    <row r="15721" spans="20:20" ht="18.75" customHeight="1" x14ac:dyDescent="0.35">
      <c r="T15721" s="246">
        <f t="shared" si="283"/>
        <v>0</v>
      </c>
    </row>
    <row r="15722" spans="20:20" ht="18.75" customHeight="1" x14ac:dyDescent="0.35">
      <c r="T15722" s="246">
        <f t="shared" si="283"/>
        <v>0</v>
      </c>
    </row>
    <row r="15723" spans="20:20" ht="18.75" customHeight="1" x14ac:dyDescent="0.35">
      <c r="T15723" s="246">
        <f t="shared" si="283"/>
        <v>0</v>
      </c>
    </row>
    <row r="15724" spans="20:20" ht="18.75" customHeight="1" x14ac:dyDescent="0.35">
      <c r="T15724" s="246">
        <f t="shared" si="283"/>
        <v>0</v>
      </c>
    </row>
    <row r="15725" spans="20:20" ht="18.75" customHeight="1" x14ac:dyDescent="0.35">
      <c r="T15725" s="246">
        <f t="shared" si="283"/>
        <v>0</v>
      </c>
    </row>
    <row r="15726" spans="20:20" ht="18.75" customHeight="1" x14ac:dyDescent="0.35">
      <c r="T15726" s="246">
        <f t="shared" si="283"/>
        <v>0</v>
      </c>
    </row>
    <row r="15727" spans="20:20" ht="18.75" customHeight="1" x14ac:dyDescent="0.35">
      <c r="T15727" s="246">
        <f t="shared" si="283"/>
        <v>0</v>
      </c>
    </row>
    <row r="15728" spans="20:20" ht="18.75" customHeight="1" x14ac:dyDescent="0.35">
      <c r="T15728" s="246">
        <f t="shared" si="283"/>
        <v>0</v>
      </c>
    </row>
    <row r="15729" spans="20:20" ht="18.75" customHeight="1" x14ac:dyDescent="0.35">
      <c r="T15729" s="246">
        <f t="shared" si="283"/>
        <v>0</v>
      </c>
    </row>
    <row r="15730" spans="20:20" ht="18.75" customHeight="1" x14ac:dyDescent="0.35">
      <c r="T15730" s="246">
        <f t="shared" si="283"/>
        <v>0</v>
      </c>
    </row>
    <row r="15731" spans="20:20" ht="18.75" customHeight="1" x14ac:dyDescent="0.35">
      <c r="T15731" s="246">
        <f t="shared" si="283"/>
        <v>0</v>
      </c>
    </row>
    <row r="15732" spans="20:20" ht="18.75" customHeight="1" x14ac:dyDescent="0.35">
      <c r="T15732" s="246">
        <f t="shared" si="283"/>
        <v>0</v>
      </c>
    </row>
    <row r="15733" spans="20:20" ht="18.75" customHeight="1" x14ac:dyDescent="0.35">
      <c r="T15733" s="246">
        <f t="shared" si="283"/>
        <v>0</v>
      </c>
    </row>
    <row r="15734" spans="20:20" ht="18.75" customHeight="1" x14ac:dyDescent="0.35">
      <c r="T15734" s="246">
        <f t="shared" si="283"/>
        <v>0</v>
      </c>
    </row>
    <row r="15735" spans="20:20" ht="18.75" customHeight="1" x14ac:dyDescent="0.35">
      <c r="T15735" s="246">
        <f t="shared" si="283"/>
        <v>0</v>
      </c>
    </row>
    <row r="15736" spans="20:20" ht="18.75" customHeight="1" x14ac:dyDescent="0.35">
      <c r="T15736" s="246">
        <f t="shared" si="283"/>
        <v>0</v>
      </c>
    </row>
    <row r="15737" spans="20:20" ht="18.75" customHeight="1" x14ac:dyDescent="0.35">
      <c r="T15737" s="246">
        <f t="shared" si="283"/>
        <v>0</v>
      </c>
    </row>
    <row r="15738" spans="20:20" ht="18.75" customHeight="1" x14ac:dyDescent="0.35">
      <c r="T15738" s="246">
        <f t="shared" si="283"/>
        <v>0</v>
      </c>
    </row>
    <row r="15739" spans="20:20" ht="18.75" customHeight="1" x14ac:dyDescent="0.35">
      <c r="T15739" s="246">
        <f t="shared" si="283"/>
        <v>0</v>
      </c>
    </row>
    <row r="15740" spans="20:20" ht="18.75" customHeight="1" x14ac:dyDescent="0.35">
      <c r="T15740" s="246">
        <f t="shared" ref="T15740:T15803" si="284">R15740*0.01</f>
        <v>0</v>
      </c>
    </row>
    <row r="15741" spans="20:20" ht="18.75" customHeight="1" x14ac:dyDescent="0.35">
      <c r="T15741" s="246">
        <f t="shared" si="284"/>
        <v>0</v>
      </c>
    </row>
    <row r="15742" spans="20:20" ht="18.75" customHeight="1" x14ac:dyDescent="0.35">
      <c r="T15742" s="246">
        <f t="shared" si="284"/>
        <v>0</v>
      </c>
    </row>
    <row r="15743" spans="20:20" ht="18.75" customHeight="1" x14ac:dyDescent="0.35">
      <c r="T15743" s="246">
        <f t="shared" si="284"/>
        <v>0</v>
      </c>
    </row>
    <row r="15744" spans="20:20" ht="18.75" customHeight="1" x14ac:dyDescent="0.35">
      <c r="T15744" s="246">
        <f t="shared" si="284"/>
        <v>0</v>
      </c>
    </row>
    <row r="15745" spans="20:20" ht="18.75" customHeight="1" x14ac:dyDescent="0.35">
      <c r="T15745" s="246">
        <f t="shared" si="284"/>
        <v>0</v>
      </c>
    </row>
    <row r="15746" spans="20:20" ht="18.75" customHeight="1" x14ac:dyDescent="0.35">
      <c r="T15746" s="246">
        <f t="shared" si="284"/>
        <v>0</v>
      </c>
    </row>
    <row r="15747" spans="20:20" ht="18.75" customHeight="1" x14ac:dyDescent="0.35">
      <c r="T15747" s="246">
        <f t="shared" si="284"/>
        <v>0</v>
      </c>
    </row>
    <row r="15748" spans="20:20" ht="18.75" customHeight="1" x14ac:dyDescent="0.35">
      <c r="T15748" s="246">
        <f t="shared" si="284"/>
        <v>0</v>
      </c>
    </row>
    <row r="15749" spans="20:20" ht="18.75" customHeight="1" x14ac:dyDescent="0.35">
      <c r="T15749" s="246">
        <f t="shared" si="284"/>
        <v>0</v>
      </c>
    </row>
    <row r="15750" spans="20:20" ht="18.75" customHeight="1" x14ac:dyDescent="0.35">
      <c r="T15750" s="246">
        <f t="shared" si="284"/>
        <v>0</v>
      </c>
    </row>
    <row r="15751" spans="20:20" ht="18.75" customHeight="1" x14ac:dyDescent="0.35">
      <c r="T15751" s="246">
        <f t="shared" si="284"/>
        <v>0</v>
      </c>
    </row>
    <row r="15752" spans="20:20" ht="18.75" customHeight="1" x14ac:dyDescent="0.35">
      <c r="T15752" s="246">
        <f t="shared" si="284"/>
        <v>0</v>
      </c>
    </row>
    <row r="15753" spans="20:20" ht="18.75" customHeight="1" x14ac:dyDescent="0.35">
      <c r="T15753" s="246">
        <f t="shared" si="284"/>
        <v>0</v>
      </c>
    </row>
    <row r="15754" spans="20:20" ht="18.75" customHeight="1" x14ac:dyDescent="0.35">
      <c r="T15754" s="246">
        <f t="shared" si="284"/>
        <v>0</v>
      </c>
    </row>
    <row r="15755" spans="20:20" ht="18.75" customHeight="1" x14ac:dyDescent="0.35">
      <c r="T15755" s="246">
        <f t="shared" si="284"/>
        <v>0</v>
      </c>
    </row>
    <row r="15756" spans="20:20" ht="18.75" customHeight="1" x14ac:dyDescent="0.35">
      <c r="T15756" s="246">
        <f t="shared" si="284"/>
        <v>0</v>
      </c>
    </row>
    <row r="15757" spans="20:20" ht="18.75" customHeight="1" x14ac:dyDescent="0.35">
      <c r="T15757" s="246">
        <f t="shared" si="284"/>
        <v>0</v>
      </c>
    </row>
    <row r="15758" spans="20:20" ht="18.75" customHeight="1" x14ac:dyDescent="0.35">
      <c r="T15758" s="246">
        <f t="shared" si="284"/>
        <v>0</v>
      </c>
    </row>
    <row r="15759" spans="20:20" ht="18.75" customHeight="1" x14ac:dyDescent="0.35">
      <c r="T15759" s="246">
        <f t="shared" si="284"/>
        <v>0</v>
      </c>
    </row>
    <row r="15760" spans="20:20" ht="18.75" customHeight="1" x14ac:dyDescent="0.35">
      <c r="T15760" s="246">
        <f t="shared" si="284"/>
        <v>0</v>
      </c>
    </row>
    <row r="15761" spans="20:20" ht="18.75" customHeight="1" x14ac:dyDescent="0.35">
      <c r="T15761" s="246">
        <f t="shared" si="284"/>
        <v>0</v>
      </c>
    </row>
    <row r="15762" spans="20:20" ht="18.75" customHeight="1" x14ac:dyDescent="0.35">
      <c r="T15762" s="246">
        <f t="shared" si="284"/>
        <v>0</v>
      </c>
    </row>
    <row r="15763" spans="20:20" ht="18.75" customHeight="1" x14ac:dyDescent="0.35">
      <c r="T15763" s="246">
        <f t="shared" si="284"/>
        <v>0</v>
      </c>
    </row>
    <row r="15764" spans="20:20" ht="18.75" customHeight="1" x14ac:dyDescent="0.35">
      <c r="T15764" s="246">
        <f t="shared" si="284"/>
        <v>0</v>
      </c>
    </row>
    <row r="15765" spans="20:20" ht="18.75" customHeight="1" x14ac:dyDescent="0.35">
      <c r="T15765" s="246">
        <f t="shared" si="284"/>
        <v>0</v>
      </c>
    </row>
    <row r="15766" spans="20:20" ht="18.75" customHeight="1" x14ac:dyDescent="0.35">
      <c r="T15766" s="246">
        <f t="shared" si="284"/>
        <v>0</v>
      </c>
    </row>
    <row r="15767" spans="20:20" ht="18.75" customHeight="1" x14ac:dyDescent="0.35">
      <c r="T15767" s="246">
        <f t="shared" si="284"/>
        <v>0</v>
      </c>
    </row>
    <row r="15768" spans="20:20" ht="18.75" customHeight="1" x14ac:dyDescent="0.35">
      <c r="T15768" s="246">
        <f t="shared" si="284"/>
        <v>0</v>
      </c>
    </row>
    <row r="15769" spans="20:20" ht="18.75" customHeight="1" x14ac:dyDescent="0.35">
      <c r="T15769" s="246">
        <f t="shared" si="284"/>
        <v>0</v>
      </c>
    </row>
    <row r="15770" spans="20:20" ht="18.75" customHeight="1" x14ac:dyDescent="0.35">
      <c r="T15770" s="246">
        <f t="shared" si="284"/>
        <v>0</v>
      </c>
    </row>
    <row r="15771" spans="20:20" ht="18.75" customHeight="1" x14ac:dyDescent="0.35">
      <c r="T15771" s="246">
        <f t="shared" si="284"/>
        <v>0</v>
      </c>
    </row>
    <row r="15772" spans="20:20" ht="18.75" customHeight="1" x14ac:dyDescent="0.35">
      <c r="T15772" s="246">
        <f t="shared" si="284"/>
        <v>0</v>
      </c>
    </row>
    <row r="15773" spans="20:20" ht="18.75" customHeight="1" x14ac:dyDescent="0.35">
      <c r="T15773" s="246">
        <f t="shared" si="284"/>
        <v>0</v>
      </c>
    </row>
    <row r="15774" spans="20:20" ht="18.75" customHeight="1" x14ac:dyDescent="0.35">
      <c r="T15774" s="246">
        <f t="shared" si="284"/>
        <v>0</v>
      </c>
    </row>
    <row r="15775" spans="20:20" ht="18.75" customHeight="1" x14ac:dyDescent="0.35">
      <c r="T15775" s="246">
        <f t="shared" si="284"/>
        <v>0</v>
      </c>
    </row>
    <row r="15776" spans="20:20" ht="18.75" customHeight="1" x14ac:dyDescent="0.35">
      <c r="T15776" s="246">
        <f t="shared" si="284"/>
        <v>0</v>
      </c>
    </row>
    <row r="15777" spans="20:20" ht="18.75" customHeight="1" x14ac:dyDescent="0.35">
      <c r="T15777" s="246">
        <f t="shared" si="284"/>
        <v>0</v>
      </c>
    </row>
    <row r="15778" spans="20:20" ht="18.75" customHeight="1" x14ac:dyDescent="0.35">
      <c r="T15778" s="246">
        <f t="shared" si="284"/>
        <v>0</v>
      </c>
    </row>
    <row r="15779" spans="20:20" ht="18.75" customHeight="1" x14ac:dyDescent="0.35">
      <c r="T15779" s="246">
        <f t="shared" si="284"/>
        <v>0</v>
      </c>
    </row>
    <row r="15780" spans="20:20" ht="18.75" customHeight="1" x14ac:dyDescent="0.35">
      <c r="T15780" s="246">
        <f t="shared" si="284"/>
        <v>0</v>
      </c>
    </row>
    <row r="15781" spans="20:20" ht="18.75" customHeight="1" x14ac:dyDescent="0.35">
      <c r="T15781" s="246">
        <f t="shared" si="284"/>
        <v>0</v>
      </c>
    </row>
    <row r="15782" spans="20:20" ht="18.75" customHeight="1" x14ac:dyDescent="0.35">
      <c r="T15782" s="246">
        <f t="shared" si="284"/>
        <v>0</v>
      </c>
    </row>
    <row r="15783" spans="20:20" ht="18.75" customHeight="1" x14ac:dyDescent="0.35">
      <c r="T15783" s="246">
        <f t="shared" si="284"/>
        <v>0</v>
      </c>
    </row>
    <row r="15784" spans="20:20" ht="18.75" customHeight="1" x14ac:dyDescent="0.35">
      <c r="T15784" s="246">
        <f t="shared" si="284"/>
        <v>0</v>
      </c>
    </row>
    <row r="15785" spans="20:20" ht="18.75" customHeight="1" x14ac:dyDescent="0.35">
      <c r="T15785" s="246">
        <f t="shared" si="284"/>
        <v>0</v>
      </c>
    </row>
    <row r="15786" spans="20:20" ht="18.75" customHeight="1" x14ac:dyDescent="0.35">
      <c r="T15786" s="246">
        <f t="shared" si="284"/>
        <v>0</v>
      </c>
    </row>
    <row r="15787" spans="20:20" ht="18.75" customHeight="1" x14ac:dyDescent="0.35">
      <c r="T15787" s="246">
        <f t="shared" si="284"/>
        <v>0</v>
      </c>
    </row>
    <row r="15788" spans="20:20" ht="18.75" customHeight="1" x14ac:dyDescent="0.35">
      <c r="T15788" s="246">
        <f t="shared" si="284"/>
        <v>0</v>
      </c>
    </row>
    <row r="15789" spans="20:20" ht="18.75" customHeight="1" x14ac:dyDescent="0.35">
      <c r="T15789" s="246">
        <f t="shared" si="284"/>
        <v>0</v>
      </c>
    </row>
    <row r="15790" spans="20:20" ht="18.75" customHeight="1" x14ac:dyDescent="0.35">
      <c r="T15790" s="246">
        <f t="shared" si="284"/>
        <v>0</v>
      </c>
    </row>
    <row r="15791" spans="20:20" ht="18.75" customHeight="1" x14ac:dyDescent="0.35">
      <c r="T15791" s="246">
        <f t="shared" si="284"/>
        <v>0</v>
      </c>
    </row>
    <row r="15792" spans="20:20" ht="18.75" customHeight="1" x14ac:dyDescent="0.35">
      <c r="T15792" s="246">
        <f t="shared" si="284"/>
        <v>0</v>
      </c>
    </row>
    <row r="15793" spans="20:20" ht="18.75" customHeight="1" x14ac:dyDescent="0.35">
      <c r="T15793" s="246">
        <f t="shared" si="284"/>
        <v>0</v>
      </c>
    </row>
    <row r="15794" spans="20:20" ht="18.75" customHeight="1" x14ac:dyDescent="0.35">
      <c r="T15794" s="246">
        <f t="shared" si="284"/>
        <v>0</v>
      </c>
    </row>
    <row r="15795" spans="20:20" ht="18.75" customHeight="1" x14ac:dyDescent="0.35">
      <c r="T15795" s="246">
        <f t="shared" si="284"/>
        <v>0</v>
      </c>
    </row>
    <row r="15796" spans="20:20" ht="18.75" customHeight="1" x14ac:dyDescent="0.35">
      <c r="T15796" s="246">
        <f t="shared" si="284"/>
        <v>0</v>
      </c>
    </row>
    <row r="15797" spans="20:20" ht="18.75" customHeight="1" x14ac:dyDescent="0.35">
      <c r="T15797" s="246">
        <f t="shared" si="284"/>
        <v>0</v>
      </c>
    </row>
    <row r="15798" spans="20:20" ht="18.75" customHeight="1" x14ac:dyDescent="0.35">
      <c r="T15798" s="246">
        <f t="shared" si="284"/>
        <v>0</v>
      </c>
    </row>
    <row r="15799" spans="20:20" ht="18.75" customHeight="1" x14ac:dyDescent="0.35">
      <c r="T15799" s="246">
        <f t="shared" si="284"/>
        <v>0</v>
      </c>
    </row>
    <row r="15800" spans="20:20" ht="18.75" customHeight="1" x14ac:dyDescent="0.35">
      <c r="T15800" s="246">
        <f t="shared" si="284"/>
        <v>0</v>
      </c>
    </row>
    <row r="15801" spans="20:20" ht="18.75" customHeight="1" x14ac:dyDescent="0.35">
      <c r="T15801" s="246">
        <f t="shared" si="284"/>
        <v>0</v>
      </c>
    </row>
    <row r="15802" spans="20:20" ht="18.75" customHeight="1" x14ac:dyDescent="0.35">
      <c r="T15802" s="246">
        <f t="shared" si="284"/>
        <v>0</v>
      </c>
    </row>
    <row r="15803" spans="20:20" ht="18.75" customHeight="1" x14ac:dyDescent="0.35">
      <c r="T15803" s="246">
        <f t="shared" si="284"/>
        <v>0</v>
      </c>
    </row>
    <row r="15804" spans="20:20" ht="18.75" customHeight="1" x14ac:dyDescent="0.35">
      <c r="T15804" s="246">
        <f t="shared" ref="T15804:T15867" si="285">R15804*0.01</f>
        <v>0</v>
      </c>
    </row>
    <row r="15805" spans="20:20" ht="18.75" customHeight="1" x14ac:dyDescent="0.35">
      <c r="T15805" s="246">
        <f t="shared" si="285"/>
        <v>0</v>
      </c>
    </row>
    <row r="15806" spans="20:20" ht="18.75" customHeight="1" x14ac:dyDescent="0.35">
      <c r="T15806" s="246">
        <f t="shared" si="285"/>
        <v>0</v>
      </c>
    </row>
    <row r="15807" spans="20:20" ht="18.75" customHeight="1" x14ac:dyDescent="0.35">
      <c r="T15807" s="246">
        <f t="shared" si="285"/>
        <v>0</v>
      </c>
    </row>
    <row r="15808" spans="20:20" ht="18.75" customHeight="1" x14ac:dyDescent="0.35">
      <c r="T15808" s="246">
        <f t="shared" si="285"/>
        <v>0</v>
      </c>
    </row>
    <row r="15809" spans="20:20" ht="18.75" customHeight="1" x14ac:dyDescent="0.35">
      <c r="T15809" s="246">
        <f t="shared" si="285"/>
        <v>0</v>
      </c>
    </row>
    <row r="15810" spans="20:20" ht="18.75" customHeight="1" x14ac:dyDescent="0.35">
      <c r="T15810" s="246">
        <f t="shared" si="285"/>
        <v>0</v>
      </c>
    </row>
    <row r="15811" spans="20:20" ht="18.75" customHeight="1" x14ac:dyDescent="0.35">
      <c r="T15811" s="246">
        <f t="shared" si="285"/>
        <v>0</v>
      </c>
    </row>
    <row r="15812" spans="20:20" ht="18.75" customHeight="1" x14ac:dyDescent="0.35">
      <c r="T15812" s="246">
        <f t="shared" si="285"/>
        <v>0</v>
      </c>
    </row>
    <row r="15813" spans="20:20" ht="18.75" customHeight="1" x14ac:dyDescent="0.35">
      <c r="T15813" s="246">
        <f t="shared" si="285"/>
        <v>0</v>
      </c>
    </row>
    <row r="15814" spans="20:20" ht="18.75" customHeight="1" x14ac:dyDescent="0.35">
      <c r="T15814" s="246">
        <f t="shared" si="285"/>
        <v>0</v>
      </c>
    </row>
    <row r="15815" spans="20:20" ht="18.75" customHeight="1" x14ac:dyDescent="0.35">
      <c r="T15815" s="246">
        <f t="shared" si="285"/>
        <v>0</v>
      </c>
    </row>
    <row r="15816" spans="20:20" ht="18.75" customHeight="1" x14ac:dyDescent="0.35">
      <c r="T15816" s="246">
        <f t="shared" si="285"/>
        <v>0</v>
      </c>
    </row>
    <row r="15817" spans="20:20" ht="18.75" customHeight="1" x14ac:dyDescent="0.35">
      <c r="T15817" s="246">
        <f t="shared" si="285"/>
        <v>0</v>
      </c>
    </row>
    <row r="15818" spans="20:20" ht="18.75" customHeight="1" x14ac:dyDescent="0.35">
      <c r="T15818" s="246">
        <f t="shared" si="285"/>
        <v>0</v>
      </c>
    </row>
    <row r="15819" spans="20:20" ht="18.75" customHeight="1" x14ac:dyDescent="0.35">
      <c r="T15819" s="246">
        <f t="shared" si="285"/>
        <v>0</v>
      </c>
    </row>
    <row r="15820" spans="20:20" ht="18.75" customHeight="1" x14ac:dyDescent="0.35">
      <c r="T15820" s="246">
        <f t="shared" si="285"/>
        <v>0</v>
      </c>
    </row>
    <row r="15821" spans="20:20" ht="18.75" customHeight="1" x14ac:dyDescent="0.35">
      <c r="T15821" s="246">
        <f t="shared" si="285"/>
        <v>0</v>
      </c>
    </row>
    <row r="15822" spans="20:20" ht="18.75" customHeight="1" x14ac:dyDescent="0.35">
      <c r="T15822" s="246">
        <f t="shared" si="285"/>
        <v>0</v>
      </c>
    </row>
    <row r="15823" spans="20:20" ht="18.75" customHeight="1" x14ac:dyDescent="0.35">
      <c r="T15823" s="246">
        <f t="shared" si="285"/>
        <v>0</v>
      </c>
    </row>
    <row r="15824" spans="20:20" ht="18.75" customHeight="1" x14ac:dyDescent="0.35">
      <c r="T15824" s="246">
        <f t="shared" si="285"/>
        <v>0</v>
      </c>
    </row>
    <row r="15825" spans="20:20" ht="18.75" customHeight="1" x14ac:dyDescent="0.35">
      <c r="T15825" s="246">
        <f t="shared" si="285"/>
        <v>0</v>
      </c>
    </row>
    <row r="15826" spans="20:20" ht="18.75" customHeight="1" x14ac:dyDescent="0.35">
      <c r="T15826" s="246">
        <f t="shared" si="285"/>
        <v>0</v>
      </c>
    </row>
    <row r="15827" spans="20:20" ht="18.75" customHeight="1" x14ac:dyDescent="0.35">
      <c r="T15827" s="246">
        <f t="shared" si="285"/>
        <v>0</v>
      </c>
    </row>
    <row r="15828" spans="20:20" ht="18.75" customHeight="1" x14ac:dyDescent="0.35">
      <c r="T15828" s="246">
        <f t="shared" si="285"/>
        <v>0</v>
      </c>
    </row>
    <row r="15829" spans="20:20" ht="18.75" customHeight="1" x14ac:dyDescent="0.35">
      <c r="T15829" s="246">
        <f t="shared" si="285"/>
        <v>0</v>
      </c>
    </row>
    <row r="15830" spans="20:20" ht="18.75" customHeight="1" x14ac:dyDescent="0.35">
      <c r="T15830" s="246">
        <f t="shared" si="285"/>
        <v>0</v>
      </c>
    </row>
    <row r="15831" spans="20:20" ht="18.75" customHeight="1" x14ac:dyDescent="0.35">
      <c r="T15831" s="246">
        <f t="shared" si="285"/>
        <v>0</v>
      </c>
    </row>
    <row r="15832" spans="20:20" ht="18.75" customHeight="1" x14ac:dyDescent="0.35">
      <c r="T15832" s="246">
        <f t="shared" si="285"/>
        <v>0</v>
      </c>
    </row>
    <row r="15833" spans="20:20" ht="18.75" customHeight="1" x14ac:dyDescent="0.35">
      <c r="T15833" s="246">
        <f t="shared" si="285"/>
        <v>0</v>
      </c>
    </row>
    <row r="15834" spans="20:20" ht="18.75" customHeight="1" x14ac:dyDescent="0.35">
      <c r="T15834" s="246">
        <f t="shared" si="285"/>
        <v>0</v>
      </c>
    </row>
    <row r="15835" spans="20:20" ht="18.75" customHeight="1" x14ac:dyDescent="0.35">
      <c r="T15835" s="246">
        <f t="shared" si="285"/>
        <v>0</v>
      </c>
    </row>
    <row r="15836" spans="20:20" ht="18.75" customHeight="1" x14ac:dyDescent="0.35">
      <c r="T15836" s="246">
        <f t="shared" si="285"/>
        <v>0</v>
      </c>
    </row>
    <row r="15837" spans="20:20" ht="18.75" customHeight="1" x14ac:dyDescent="0.35">
      <c r="T15837" s="246">
        <f t="shared" si="285"/>
        <v>0</v>
      </c>
    </row>
    <row r="15838" spans="20:20" ht="18.75" customHeight="1" x14ac:dyDescent="0.35">
      <c r="T15838" s="246">
        <f t="shared" si="285"/>
        <v>0</v>
      </c>
    </row>
    <row r="15839" spans="20:20" ht="18.75" customHeight="1" x14ac:dyDescent="0.35">
      <c r="T15839" s="246">
        <f t="shared" si="285"/>
        <v>0</v>
      </c>
    </row>
    <row r="15840" spans="20:20" ht="18.75" customHeight="1" x14ac:dyDescent="0.35">
      <c r="T15840" s="246">
        <f t="shared" si="285"/>
        <v>0</v>
      </c>
    </row>
    <row r="15841" spans="20:20" ht="18.75" customHeight="1" x14ac:dyDescent="0.35">
      <c r="T15841" s="246">
        <f t="shared" si="285"/>
        <v>0</v>
      </c>
    </row>
    <row r="15842" spans="20:20" ht="18.75" customHeight="1" x14ac:dyDescent="0.35">
      <c r="T15842" s="246">
        <f t="shared" si="285"/>
        <v>0</v>
      </c>
    </row>
    <row r="15843" spans="20:20" ht="18.75" customHeight="1" x14ac:dyDescent="0.35">
      <c r="T15843" s="246">
        <f t="shared" si="285"/>
        <v>0</v>
      </c>
    </row>
    <row r="15844" spans="20:20" ht="18.75" customHeight="1" x14ac:dyDescent="0.35">
      <c r="T15844" s="246">
        <f t="shared" si="285"/>
        <v>0</v>
      </c>
    </row>
    <row r="15845" spans="20:20" ht="18.75" customHeight="1" x14ac:dyDescent="0.35">
      <c r="T15845" s="246">
        <f t="shared" si="285"/>
        <v>0</v>
      </c>
    </row>
    <row r="15846" spans="20:20" ht="18.75" customHeight="1" x14ac:dyDescent="0.35">
      <c r="T15846" s="246">
        <f t="shared" si="285"/>
        <v>0</v>
      </c>
    </row>
    <row r="15847" spans="20:20" ht="18.75" customHeight="1" x14ac:dyDescent="0.35">
      <c r="T15847" s="246">
        <f t="shared" si="285"/>
        <v>0</v>
      </c>
    </row>
    <row r="15848" spans="20:20" ht="18.75" customHeight="1" x14ac:dyDescent="0.35">
      <c r="T15848" s="246">
        <f t="shared" si="285"/>
        <v>0</v>
      </c>
    </row>
    <row r="15849" spans="20:20" ht="18.75" customHeight="1" x14ac:dyDescent="0.35">
      <c r="T15849" s="246">
        <f t="shared" si="285"/>
        <v>0</v>
      </c>
    </row>
    <row r="15850" spans="20:20" ht="18.75" customHeight="1" x14ac:dyDescent="0.35">
      <c r="T15850" s="246">
        <f t="shared" si="285"/>
        <v>0</v>
      </c>
    </row>
    <row r="15851" spans="20:20" ht="18.75" customHeight="1" x14ac:dyDescent="0.35">
      <c r="T15851" s="246">
        <f t="shared" si="285"/>
        <v>0</v>
      </c>
    </row>
    <row r="15852" spans="20:20" ht="18.75" customHeight="1" x14ac:dyDescent="0.35">
      <c r="T15852" s="246">
        <f t="shared" si="285"/>
        <v>0</v>
      </c>
    </row>
    <row r="15853" spans="20:20" ht="18.75" customHeight="1" x14ac:dyDescent="0.35">
      <c r="T15853" s="246">
        <f t="shared" si="285"/>
        <v>0</v>
      </c>
    </row>
    <row r="15854" spans="20:20" ht="18.75" customHeight="1" x14ac:dyDescent="0.35">
      <c r="T15854" s="246">
        <f t="shared" si="285"/>
        <v>0</v>
      </c>
    </row>
    <row r="15855" spans="20:20" ht="18.75" customHeight="1" x14ac:dyDescent="0.35">
      <c r="T15855" s="246">
        <f t="shared" si="285"/>
        <v>0</v>
      </c>
    </row>
    <row r="15856" spans="20:20" ht="18.75" customHeight="1" x14ac:dyDescent="0.35">
      <c r="T15856" s="246">
        <f t="shared" si="285"/>
        <v>0</v>
      </c>
    </row>
    <row r="15857" spans="20:20" ht="18.75" customHeight="1" x14ac:dyDescent="0.35">
      <c r="T15857" s="246">
        <f t="shared" si="285"/>
        <v>0</v>
      </c>
    </row>
    <row r="15858" spans="20:20" ht="18.75" customHeight="1" x14ac:dyDescent="0.35">
      <c r="T15858" s="246">
        <f t="shared" si="285"/>
        <v>0</v>
      </c>
    </row>
    <row r="15859" spans="20:20" ht="18.75" customHeight="1" x14ac:dyDescent="0.35">
      <c r="T15859" s="246">
        <f t="shared" si="285"/>
        <v>0</v>
      </c>
    </row>
    <row r="15860" spans="20:20" ht="18.75" customHeight="1" x14ac:dyDescent="0.35">
      <c r="T15860" s="246">
        <f t="shared" si="285"/>
        <v>0</v>
      </c>
    </row>
    <row r="15861" spans="20:20" ht="18.75" customHeight="1" x14ac:dyDescent="0.35">
      <c r="T15861" s="246">
        <f t="shared" si="285"/>
        <v>0</v>
      </c>
    </row>
    <row r="15862" spans="20:20" ht="18.75" customHeight="1" x14ac:dyDescent="0.35">
      <c r="T15862" s="246">
        <f t="shared" si="285"/>
        <v>0</v>
      </c>
    </row>
    <row r="15863" spans="20:20" ht="18.75" customHeight="1" x14ac:dyDescent="0.35">
      <c r="T15863" s="246">
        <f t="shared" si="285"/>
        <v>0</v>
      </c>
    </row>
    <row r="15864" spans="20:20" ht="18.75" customHeight="1" x14ac:dyDescent="0.35">
      <c r="T15864" s="246">
        <f t="shared" si="285"/>
        <v>0</v>
      </c>
    </row>
    <row r="15865" spans="20:20" ht="18.75" customHeight="1" x14ac:dyDescent="0.35">
      <c r="T15865" s="246">
        <f t="shared" si="285"/>
        <v>0</v>
      </c>
    </row>
    <row r="15866" spans="20:20" ht="18.75" customHeight="1" x14ac:dyDescent="0.35">
      <c r="T15866" s="246">
        <f t="shared" si="285"/>
        <v>0</v>
      </c>
    </row>
    <row r="15867" spans="20:20" ht="18.75" customHeight="1" x14ac:dyDescent="0.35">
      <c r="T15867" s="246">
        <f t="shared" si="285"/>
        <v>0</v>
      </c>
    </row>
    <row r="15868" spans="20:20" ht="18.75" customHeight="1" x14ac:dyDescent="0.35">
      <c r="T15868" s="246">
        <f t="shared" ref="T15868:T15931" si="286">R15868*0.01</f>
        <v>0</v>
      </c>
    </row>
    <row r="15869" spans="20:20" ht="18.75" customHeight="1" x14ac:dyDescent="0.35">
      <c r="T15869" s="246">
        <f t="shared" si="286"/>
        <v>0</v>
      </c>
    </row>
    <row r="15870" spans="20:20" ht="18.75" customHeight="1" x14ac:dyDescent="0.35">
      <c r="T15870" s="246">
        <f t="shared" si="286"/>
        <v>0</v>
      </c>
    </row>
    <row r="15871" spans="20:20" ht="18.75" customHeight="1" x14ac:dyDescent="0.35">
      <c r="T15871" s="246">
        <f t="shared" si="286"/>
        <v>0</v>
      </c>
    </row>
    <row r="15872" spans="20:20" ht="18.75" customHeight="1" x14ac:dyDescent="0.35">
      <c r="T15872" s="246">
        <f t="shared" si="286"/>
        <v>0</v>
      </c>
    </row>
    <row r="15873" spans="20:20" ht="18.75" customHeight="1" x14ac:dyDescent="0.35">
      <c r="T15873" s="246">
        <f t="shared" si="286"/>
        <v>0</v>
      </c>
    </row>
    <row r="15874" spans="20:20" ht="18.75" customHeight="1" x14ac:dyDescent="0.35">
      <c r="T15874" s="246">
        <f t="shared" si="286"/>
        <v>0</v>
      </c>
    </row>
    <row r="15875" spans="20:20" ht="18.75" customHeight="1" x14ac:dyDescent="0.35">
      <c r="T15875" s="246">
        <f t="shared" si="286"/>
        <v>0</v>
      </c>
    </row>
    <row r="15876" spans="20:20" ht="18.75" customHeight="1" x14ac:dyDescent="0.35">
      <c r="T15876" s="246">
        <f t="shared" si="286"/>
        <v>0</v>
      </c>
    </row>
    <row r="15877" spans="20:20" ht="18.75" customHeight="1" x14ac:dyDescent="0.35">
      <c r="T15877" s="246">
        <f t="shared" si="286"/>
        <v>0</v>
      </c>
    </row>
    <row r="15878" spans="20:20" ht="18.75" customHeight="1" x14ac:dyDescent="0.35">
      <c r="T15878" s="246">
        <f t="shared" si="286"/>
        <v>0</v>
      </c>
    </row>
    <row r="15879" spans="20:20" ht="18.75" customHeight="1" x14ac:dyDescent="0.35">
      <c r="T15879" s="246">
        <f t="shared" si="286"/>
        <v>0</v>
      </c>
    </row>
    <row r="15880" spans="20:20" ht="18.75" customHeight="1" x14ac:dyDescent="0.35">
      <c r="T15880" s="246">
        <f t="shared" si="286"/>
        <v>0</v>
      </c>
    </row>
    <row r="15881" spans="20:20" ht="18.75" customHeight="1" x14ac:dyDescent="0.35">
      <c r="T15881" s="246">
        <f t="shared" si="286"/>
        <v>0</v>
      </c>
    </row>
    <row r="15882" spans="20:20" ht="18.75" customHeight="1" x14ac:dyDescent="0.35">
      <c r="T15882" s="246">
        <f t="shared" si="286"/>
        <v>0</v>
      </c>
    </row>
    <row r="15883" spans="20:20" ht="18.75" customHeight="1" x14ac:dyDescent="0.35">
      <c r="T15883" s="246">
        <f t="shared" si="286"/>
        <v>0</v>
      </c>
    </row>
    <row r="15884" spans="20:20" ht="18.75" customHeight="1" x14ac:dyDescent="0.35">
      <c r="T15884" s="246">
        <f t="shared" si="286"/>
        <v>0</v>
      </c>
    </row>
    <row r="15885" spans="20:20" ht="18.75" customHeight="1" x14ac:dyDescent="0.35">
      <c r="T15885" s="246">
        <f t="shared" si="286"/>
        <v>0</v>
      </c>
    </row>
    <row r="15886" spans="20:20" ht="18.75" customHeight="1" x14ac:dyDescent="0.35">
      <c r="T15886" s="246">
        <f t="shared" si="286"/>
        <v>0</v>
      </c>
    </row>
    <row r="15887" spans="20:20" ht="18.75" customHeight="1" x14ac:dyDescent="0.35">
      <c r="T15887" s="246">
        <f t="shared" si="286"/>
        <v>0</v>
      </c>
    </row>
    <row r="15888" spans="20:20" ht="18.75" customHeight="1" x14ac:dyDescent="0.35">
      <c r="T15888" s="246">
        <f t="shared" si="286"/>
        <v>0</v>
      </c>
    </row>
    <row r="15889" spans="20:20" ht="18.75" customHeight="1" x14ac:dyDescent="0.35">
      <c r="T15889" s="246">
        <f t="shared" si="286"/>
        <v>0</v>
      </c>
    </row>
    <row r="15890" spans="20:20" ht="18.75" customHeight="1" x14ac:dyDescent="0.35">
      <c r="T15890" s="246">
        <f t="shared" si="286"/>
        <v>0</v>
      </c>
    </row>
    <row r="15891" spans="20:20" ht="18.75" customHeight="1" x14ac:dyDescent="0.35">
      <c r="T15891" s="246">
        <f t="shared" si="286"/>
        <v>0</v>
      </c>
    </row>
    <row r="15892" spans="20:20" ht="18.75" customHeight="1" x14ac:dyDescent="0.35">
      <c r="T15892" s="246">
        <f t="shared" si="286"/>
        <v>0</v>
      </c>
    </row>
    <row r="15893" spans="20:20" ht="18.75" customHeight="1" x14ac:dyDescent="0.35">
      <c r="T15893" s="246">
        <f t="shared" si="286"/>
        <v>0</v>
      </c>
    </row>
    <row r="15894" spans="20:20" ht="18.75" customHeight="1" x14ac:dyDescent="0.35">
      <c r="T15894" s="246">
        <f t="shared" si="286"/>
        <v>0</v>
      </c>
    </row>
    <row r="15895" spans="20:20" ht="18.75" customHeight="1" x14ac:dyDescent="0.35">
      <c r="T15895" s="246">
        <f t="shared" si="286"/>
        <v>0</v>
      </c>
    </row>
    <row r="15896" spans="20:20" ht="18.75" customHeight="1" x14ac:dyDescent="0.35">
      <c r="T15896" s="246">
        <f t="shared" si="286"/>
        <v>0</v>
      </c>
    </row>
    <row r="15897" spans="20:20" ht="18.75" customHeight="1" x14ac:dyDescent="0.35">
      <c r="T15897" s="246">
        <f t="shared" si="286"/>
        <v>0</v>
      </c>
    </row>
    <row r="15898" spans="20:20" ht="18.75" customHeight="1" x14ac:dyDescent="0.35">
      <c r="T15898" s="246">
        <f t="shared" si="286"/>
        <v>0</v>
      </c>
    </row>
    <row r="15899" spans="20:20" ht="18.75" customHeight="1" x14ac:dyDescent="0.35">
      <c r="T15899" s="246">
        <f t="shared" si="286"/>
        <v>0</v>
      </c>
    </row>
    <row r="15900" spans="20:20" ht="18.75" customHeight="1" x14ac:dyDescent="0.35">
      <c r="T15900" s="246">
        <f t="shared" si="286"/>
        <v>0</v>
      </c>
    </row>
    <row r="15901" spans="20:20" ht="18.75" customHeight="1" x14ac:dyDescent="0.35">
      <c r="T15901" s="246">
        <f t="shared" si="286"/>
        <v>0</v>
      </c>
    </row>
    <row r="15902" spans="20:20" ht="18.75" customHeight="1" x14ac:dyDescent="0.35">
      <c r="T15902" s="246">
        <f t="shared" si="286"/>
        <v>0</v>
      </c>
    </row>
    <row r="15903" spans="20:20" ht="18.75" customHeight="1" x14ac:dyDescent="0.35">
      <c r="T15903" s="246">
        <f t="shared" si="286"/>
        <v>0</v>
      </c>
    </row>
    <row r="15904" spans="20:20" ht="18.75" customHeight="1" x14ac:dyDescent="0.35">
      <c r="T15904" s="246">
        <f t="shared" si="286"/>
        <v>0</v>
      </c>
    </row>
    <row r="15905" spans="20:20" ht="18.75" customHeight="1" x14ac:dyDescent="0.35">
      <c r="T15905" s="246">
        <f t="shared" si="286"/>
        <v>0</v>
      </c>
    </row>
    <row r="15906" spans="20:20" ht="18.75" customHeight="1" x14ac:dyDescent="0.35">
      <c r="T15906" s="246">
        <f t="shared" si="286"/>
        <v>0</v>
      </c>
    </row>
    <row r="15907" spans="20:20" ht="18.75" customHeight="1" x14ac:dyDescent="0.35">
      <c r="T15907" s="246">
        <f t="shared" si="286"/>
        <v>0</v>
      </c>
    </row>
    <row r="15908" spans="20:20" ht="18.75" customHeight="1" x14ac:dyDescent="0.35">
      <c r="T15908" s="246">
        <f t="shared" si="286"/>
        <v>0</v>
      </c>
    </row>
    <row r="15909" spans="20:20" ht="18.75" customHeight="1" x14ac:dyDescent="0.35">
      <c r="T15909" s="246">
        <f t="shared" si="286"/>
        <v>0</v>
      </c>
    </row>
    <row r="15910" spans="20:20" ht="18.75" customHeight="1" x14ac:dyDescent="0.35">
      <c r="T15910" s="246">
        <f t="shared" si="286"/>
        <v>0</v>
      </c>
    </row>
    <row r="15911" spans="20:20" ht="18.75" customHeight="1" x14ac:dyDescent="0.35">
      <c r="T15911" s="246">
        <f t="shared" si="286"/>
        <v>0</v>
      </c>
    </row>
    <row r="15912" spans="20:20" ht="18.75" customHeight="1" x14ac:dyDescent="0.35">
      <c r="T15912" s="246">
        <f t="shared" si="286"/>
        <v>0</v>
      </c>
    </row>
    <row r="15913" spans="20:20" ht="18.75" customHeight="1" x14ac:dyDescent="0.35">
      <c r="T15913" s="246">
        <f t="shared" si="286"/>
        <v>0</v>
      </c>
    </row>
    <row r="15914" spans="20:20" ht="18.75" customHeight="1" x14ac:dyDescent="0.35">
      <c r="T15914" s="246">
        <f t="shared" si="286"/>
        <v>0</v>
      </c>
    </row>
    <row r="15915" spans="20:20" ht="18.75" customHeight="1" x14ac:dyDescent="0.35">
      <c r="T15915" s="246">
        <f t="shared" si="286"/>
        <v>0</v>
      </c>
    </row>
    <row r="15916" spans="20:20" ht="18.75" customHeight="1" x14ac:dyDescent="0.35">
      <c r="T15916" s="246">
        <f t="shared" si="286"/>
        <v>0</v>
      </c>
    </row>
    <row r="15917" spans="20:20" ht="18.75" customHeight="1" x14ac:dyDescent="0.35">
      <c r="T15917" s="246">
        <f t="shared" si="286"/>
        <v>0</v>
      </c>
    </row>
    <row r="15918" spans="20:20" ht="18.75" customHeight="1" x14ac:dyDescent="0.35">
      <c r="T15918" s="246">
        <f t="shared" si="286"/>
        <v>0</v>
      </c>
    </row>
    <row r="15919" spans="20:20" ht="18.75" customHeight="1" x14ac:dyDescent="0.35">
      <c r="T15919" s="246">
        <f t="shared" si="286"/>
        <v>0</v>
      </c>
    </row>
    <row r="15920" spans="20:20" ht="18.75" customHeight="1" x14ac:dyDescent="0.35">
      <c r="T15920" s="246">
        <f t="shared" si="286"/>
        <v>0</v>
      </c>
    </row>
    <row r="15921" spans="20:20" ht="18.75" customHeight="1" x14ac:dyDescent="0.35">
      <c r="T15921" s="246">
        <f t="shared" si="286"/>
        <v>0</v>
      </c>
    </row>
    <row r="15922" spans="20:20" ht="18.75" customHeight="1" x14ac:dyDescent="0.35">
      <c r="T15922" s="246">
        <f t="shared" si="286"/>
        <v>0</v>
      </c>
    </row>
    <row r="15923" spans="20:20" ht="18.75" customHeight="1" x14ac:dyDescent="0.35">
      <c r="T15923" s="246">
        <f t="shared" si="286"/>
        <v>0</v>
      </c>
    </row>
    <row r="15924" spans="20:20" ht="18.75" customHeight="1" x14ac:dyDescent="0.35">
      <c r="T15924" s="246">
        <f t="shared" si="286"/>
        <v>0</v>
      </c>
    </row>
    <row r="15925" spans="20:20" ht="18.75" customHeight="1" x14ac:dyDescent="0.35">
      <c r="T15925" s="246">
        <f t="shared" si="286"/>
        <v>0</v>
      </c>
    </row>
    <row r="15926" spans="20:20" ht="18.75" customHeight="1" x14ac:dyDescent="0.35">
      <c r="T15926" s="246">
        <f t="shared" si="286"/>
        <v>0</v>
      </c>
    </row>
    <row r="15927" spans="20:20" ht="18.75" customHeight="1" x14ac:dyDescent="0.35">
      <c r="T15927" s="246">
        <f t="shared" si="286"/>
        <v>0</v>
      </c>
    </row>
    <row r="15928" spans="20:20" ht="18.75" customHeight="1" x14ac:dyDescent="0.35">
      <c r="T15928" s="246">
        <f t="shared" si="286"/>
        <v>0</v>
      </c>
    </row>
    <row r="15929" spans="20:20" ht="18.75" customHeight="1" x14ac:dyDescent="0.35">
      <c r="T15929" s="246">
        <f t="shared" si="286"/>
        <v>0</v>
      </c>
    </row>
    <row r="15930" spans="20:20" ht="18.75" customHeight="1" x14ac:dyDescent="0.35">
      <c r="T15930" s="246">
        <f t="shared" si="286"/>
        <v>0</v>
      </c>
    </row>
    <row r="15931" spans="20:20" ht="18.75" customHeight="1" x14ac:dyDescent="0.35">
      <c r="T15931" s="246">
        <f t="shared" si="286"/>
        <v>0</v>
      </c>
    </row>
    <row r="15932" spans="20:20" ht="18.75" customHeight="1" x14ac:dyDescent="0.35">
      <c r="T15932" s="246">
        <f t="shared" ref="T15932:T15995" si="287">R15932*0.01</f>
        <v>0</v>
      </c>
    </row>
    <row r="15933" spans="20:20" ht="18.75" customHeight="1" x14ac:dyDescent="0.35">
      <c r="T15933" s="246">
        <f t="shared" si="287"/>
        <v>0</v>
      </c>
    </row>
    <row r="15934" spans="20:20" ht="18.75" customHeight="1" x14ac:dyDescent="0.35">
      <c r="T15934" s="246">
        <f t="shared" si="287"/>
        <v>0</v>
      </c>
    </row>
    <row r="15935" spans="20:20" ht="18.75" customHeight="1" x14ac:dyDescent="0.35">
      <c r="T15935" s="246">
        <f t="shared" si="287"/>
        <v>0</v>
      </c>
    </row>
    <row r="15936" spans="20:20" ht="18.75" customHeight="1" x14ac:dyDescent="0.35">
      <c r="T15936" s="246">
        <f t="shared" si="287"/>
        <v>0</v>
      </c>
    </row>
    <row r="15937" spans="20:20" ht="18.75" customHeight="1" x14ac:dyDescent="0.35">
      <c r="T15937" s="246">
        <f t="shared" si="287"/>
        <v>0</v>
      </c>
    </row>
    <row r="15938" spans="20:20" ht="18.75" customHeight="1" x14ac:dyDescent="0.35">
      <c r="T15938" s="246">
        <f t="shared" si="287"/>
        <v>0</v>
      </c>
    </row>
    <row r="15939" spans="20:20" ht="18.75" customHeight="1" x14ac:dyDescent="0.35">
      <c r="T15939" s="246">
        <f t="shared" si="287"/>
        <v>0</v>
      </c>
    </row>
    <row r="15940" spans="20:20" ht="18.75" customHeight="1" x14ac:dyDescent="0.35">
      <c r="T15940" s="246">
        <f t="shared" si="287"/>
        <v>0</v>
      </c>
    </row>
    <row r="15941" spans="20:20" ht="18.75" customHeight="1" x14ac:dyDescent="0.35">
      <c r="T15941" s="246">
        <f t="shared" si="287"/>
        <v>0</v>
      </c>
    </row>
    <row r="15942" spans="20:20" ht="18.75" customHeight="1" x14ac:dyDescent="0.35">
      <c r="T15942" s="246">
        <f t="shared" si="287"/>
        <v>0</v>
      </c>
    </row>
    <row r="15943" spans="20:20" ht="18.75" customHeight="1" x14ac:dyDescent="0.35">
      <c r="T15943" s="246">
        <f t="shared" si="287"/>
        <v>0</v>
      </c>
    </row>
    <row r="15944" spans="20:20" ht="18.75" customHeight="1" x14ac:dyDescent="0.35">
      <c r="T15944" s="246">
        <f t="shared" si="287"/>
        <v>0</v>
      </c>
    </row>
    <row r="15945" spans="20:20" ht="18.75" customHeight="1" x14ac:dyDescent="0.35">
      <c r="T15945" s="246">
        <f t="shared" si="287"/>
        <v>0</v>
      </c>
    </row>
    <row r="15946" spans="20:20" ht="18.75" customHeight="1" x14ac:dyDescent="0.35">
      <c r="T15946" s="246">
        <f t="shared" si="287"/>
        <v>0</v>
      </c>
    </row>
    <row r="15947" spans="20:20" ht="18.75" customHeight="1" x14ac:dyDescent="0.35">
      <c r="T15947" s="246">
        <f t="shared" si="287"/>
        <v>0</v>
      </c>
    </row>
    <row r="15948" spans="20:20" ht="18.75" customHeight="1" x14ac:dyDescent="0.35">
      <c r="T15948" s="246">
        <f t="shared" si="287"/>
        <v>0</v>
      </c>
    </row>
    <row r="15949" spans="20:20" ht="18.75" customHeight="1" x14ac:dyDescent="0.35">
      <c r="T15949" s="246">
        <f t="shared" si="287"/>
        <v>0</v>
      </c>
    </row>
    <row r="15950" spans="20:20" ht="18.75" customHeight="1" x14ac:dyDescent="0.35">
      <c r="T15950" s="246">
        <f t="shared" si="287"/>
        <v>0</v>
      </c>
    </row>
    <row r="15951" spans="20:20" ht="18.75" customHeight="1" x14ac:dyDescent="0.35">
      <c r="T15951" s="246">
        <f t="shared" si="287"/>
        <v>0</v>
      </c>
    </row>
    <row r="15952" spans="20:20" ht="18.75" customHeight="1" x14ac:dyDescent="0.35">
      <c r="T15952" s="246">
        <f t="shared" si="287"/>
        <v>0</v>
      </c>
    </row>
    <row r="15953" spans="20:20" ht="18.75" customHeight="1" x14ac:dyDescent="0.35">
      <c r="T15953" s="246">
        <f t="shared" si="287"/>
        <v>0</v>
      </c>
    </row>
    <row r="15954" spans="20:20" ht="18.75" customHeight="1" x14ac:dyDescent="0.35">
      <c r="T15954" s="246">
        <f t="shared" si="287"/>
        <v>0</v>
      </c>
    </row>
    <row r="15955" spans="20:20" ht="18.75" customHeight="1" x14ac:dyDescent="0.35">
      <c r="T15955" s="246">
        <f t="shared" si="287"/>
        <v>0</v>
      </c>
    </row>
    <row r="15956" spans="20:20" ht="18.75" customHeight="1" x14ac:dyDescent="0.35">
      <c r="T15956" s="246">
        <f t="shared" si="287"/>
        <v>0</v>
      </c>
    </row>
    <row r="15957" spans="20:20" ht="18.75" customHeight="1" x14ac:dyDescent="0.35">
      <c r="T15957" s="246">
        <f t="shared" si="287"/>
        <v>0</v>
      </c>
    </row>
    <row r="15958" spans="20:20" ht="18.75" customHeight="1" x14ac:dyDescent="0.35">
      <c r="T15958" s="246">
        <f t="shared" si="287"/>
        <v>0</v>
      </c>
    </row>
    <row r="15959" spans="20:20" ht="18.75" customHeight="1" x14ac:dyDescent="0.35">
      <c r="T15959" s="246">
        <f t="shared" si="287"/>
        <v>0</v>
      </c>
    </row>
    <row r="15960" spans="20:20" ht="18.75" customHeight="1" x14ac:dyDescent="0.35">
      <c r="T15960" s="246">
        <f t="shared" si="287"/>
        <v>0</v>
      </c>
    </row>
    <row r="15961" spans="20:20" ht="18.75" customHeight="1" x14ac:dyDescent="0.35">
      <c r="T15961" s="246">
        <f t="shared" si="287"/>
        <v>0</v>
      </c>
    </row>
    <row r="15962" spans="20:20" ht="18.75" customHeight="1" x14ac:dyDescent="0.35">
      <c r="T15962" s="246">
        <f t="shared" si="287"/>
        <v>0</v>
      </c>
    </row>
    <row r="15963" spans="20:20" ht="18.75" customHeight="1" x14ac:dyDescent="0.35">
      <c r="T15963" s="246">
        <f t="shared" si="287"/>
        <v>0</v>
      </c>
    </row>
    <row r="15964" spans="20:20" ht="18.75" customHeight="1" x14ac:dyDescent="0.35">
      <c r="T15964" s="246">
        <f t="shared" si="287"/>
        <v>0</v>
      </c>
    </row>
    <row r="15965" spans="20:20" ht="18.75" customHeight="1" x14ac:dyDescent="0.35">
      <c r="T15965" s="246">
        <f t="shared" si="287"/>
        <v>0</v>
      </c>
    </row>
    <row r="15966" spans="20:20" ht="18.75" customHeight="1" x14ac:dyDescent="0.35">
      <c r="T15966" s="246">
        <f t="shared" si="287"/>
        <v>0</v>
      </c>
    </row>
    <row r="15967" spans="20:20" ht="18.75" customHeight="1" x14ac:dyDescent="0.35">
      <c r="T15967" s="246">
        <f t="shared" si="287"/>
        <v>0</v>
      </c>
    </row>
    <row r="15968" spans="20:20" ht="18.75" customHeight="1" x14ac:dyDescent="0.35">
      <c r="T15968" s="246">
        <f t="shared" si="287"/>
        <v>0</v>
      </c>
    </row>
    <row r="15969" spans="20:20" ht="18.75" customHeight="1" x14ac:dyDescent="0.35">
      <c r="T15969" s="246">
        <f t="shared" si="287"/>
        <v>0</v>
      </c>
    </row>
    <row r="15970" spans="20:20" ht="18.75" customHeight="1" x14ac:dyDescent="0.35">
      <c r="T15970" s="246">
        <f t="shared" si="287"/>
        <v>0</v>
      </c>
    </row>
    <row r="15971" spans="20:20" ht="18.75" customHeight="1" x14ac:dyDescent="0.35">
      <c r="T15971" s="246">
        <f t="shared" si="287"/>
        <v>0</v>
      </c>
    </row>
    <row r="15972" spans="20:20" ht="18.75" customHeight="1" x14ac:dyDescent="0.35">
      <c r="T15972" s="246">
        <f t="shared" si="287"/>
        <v>0</v>
      </c>
    </row>
    <row r="15973" spans="20:20" ht="18.75" customHeight="1" x14ac:dyDescent="0.35">
      <c r="T15973" s="246">
        <f t="shared" si="287"/>
        <v>0</v>
      </c>
    </row>
    <row r="15974" spans="20:20" ht="18.75" customHeight="1" x14ac:dyDescent="0.35">
      <c r="T15974" s="246">
        <f t="shared" si="287"/>
        <v>0</v>
      </c>
    </row>
    <row r="15975" spans="20:20" ht="18.75" customHeight="1" x14ac:dyDescent="0.35">
      <c r="T15975" s="246">
        <f t="shared" si="287"/>
        <v>0</v>
      </c>
    </row>
    <row r="15976" spans="20:20" ht="18.75" customHeight="1" x14ac:dyDescent="0.35">
      <c r="T15976" s="246">
        <f t="shared" si="287"/>
        <v>0</v>
      </c>
    </row>
    <row r="15977" spans="20:20" ht="18.75" customHeight="1" x14ac:dyDescent="0.35">
      <c r="T15977" s="246">
        <f t="shared" si="287"/>
        <v>0</v>
      </c>
    </row>
    <row r="15978" spans="20:20" ht="18.75" customHeight="1" x14ac:dyDescent="0.35">
      <c r="T15978" s="246">
        <f t="shared" si="287"/>
        <v>0</v>
      </c>
    </row>
    <row r="15979" spans="20:20" ht="18.75" customHeight="1" x14ac:dyDescent="0.35">
      <c r="T15979" s="246">
        <f t="shared" si="287"/>
        <v>0</v>
      </c>
    </row>
    <row r="15980" spans="20:20" ht="18.75" customHeight="1" x14ac:dyDescent="0.35">
      <c r="T15980" s="246">
        <f t="shared" si="287"/>
        <v>0</v>
      </c>
    </row>
    <row r="15981" spans="20:20" ht="18.75" customHeight="1" x14ac:dyDescent="0.35">
      <c r="T15981" s="246">
        <f t="shared" si="287"/>
        <v>0</v>
      </c>
    </row>
    <row r="15982" spans="20:20" ht="18.75" customHeight="1" x14ac:dyDescent="0.35">
      <c r="T15982" s="246">
        <f t="shared" si="287"/>
        <v>0</v>
      </c>
    </row>
    <row r="15983" spans="20:20" ht="18.75" customHeight="1" x14ac:dyDescent="0.35">
      <c r="T15983" s="246">
        <f t="shared" si="287"/>
        <v>0</v>
      </c>
    </row>
    <row r="15984" spans="20:20" ht="18.75" customHeight="1" x14ac:dyDescent="0.35">
      <c r="T15984" s="246">
        <f t="shared" si="287"/>
        <v>0</v>
      </c>
    </row>
    <row r="15985" spans="20:20" ht="18.75" customHeight="1" x14ac:dyDescent="0.35">
      <c r="T15985" s="246">
        <f t="shared" si="287"/>
        <v>0</v>
      </c>
    </row>
    <row r="15986" spans="20:20" ht="18.75" customHeight="1" x14ac:dyDescent="0.35">
      <c r="T15986" s="246">
        <f t="shared" si="287"/>
        <v>0</v>
      </c>
    </row>
    <row r="15987" spans="20:20" ht="18.75" customHeight="1" x14ac:dyDescent="0.35">
      <c r="T15987" s="246">
        <f t="shared" si="287"/>
        <v>0</v>
      </c>
    </row>
    <row r="15988" spans="20:20" ht="18.75" customHeight="1" x14ac:dyDescent="0.35">
      <c r="T15988" s="246">
        <f t="shared" si="287"/>
        <v>0</v>
      </c>
    </row>
    <row r="15989" spans="20:20" ht="18.75" customHeight="1" x14ac:dyDescent="0.35">
      <c r="T15989" s="246">
        <f t="shared" si="287"/>
        <v>0</v>
      </c>
    </row>
    <row r="15990" spans="20:20" ht="18.75" customHeight="1" x14ac:dyDescent="0.35">
      <c r="T15990" s="246">
        <f t="shared" si="287"/>
        <v>0</v>
      </c>
    </row>
    <row r="15991" spans="20:20" ht="18.75" customHeight="1" x14ac:dyDescent="0.35">
      <c r="T15991" s="246">
        <f t="shared" si="287"/>
        <v>0</v>
      </c>
    </row>
    <row r="15992" spans="20:20" ht="18.75" customHeight="1" x14ac:dyDescent="0.35">
      <c r="T15992" s="246">
        <f t="shared" si="287"/>
        <v>0</v>
      </c>
    </row>
    <row r="15993" spans="20:20" ht="18.75" customHeight="1" x14ac:dyDescent="0.35">
      <c r="T15993" s="246">
        <f t="shared" si="287"/>
        <v>0</v>
      </c>
    </row>
    <row r="15994" spans="20:20" ht="18.75" customHeight="1" x14ac:dyDescent="0.35">
      <c r="T15994" s="246">
        <f t="shared" si="287"/>
        <v>0</v>
      </c>
    </row>
    <row r="15995" spans="20:20" ht="18.75" customHeight="1" x14ac:dyDescent="0.35">
      <c r="T15995" s="246">
        <f t="shared" si="287"/>
        <v>0</v>
      </c>
    </row>
    <row r="15996" spans="20:20" ht="18.75" customHeight="1" x14ac:dyDescent="0.35">
      <c r="T15996" s="246">
        <f t="shared" ref="T15996:T16059" si="288">R15996*0.01</f>
        <v>0</v>
      </c>
    </row>
    <row r="15997" spans="20:20" ht="18.75" customHeight="1" x14ac:dyDescent="0.35">
      <c r="T15997" s="246">
        <f t="shared" si="288"/>
        <v>0</v>
      </c>
    </row>
    <row r="15998" spans="20:20" ht="18.75" customHeight="1" x14ac:dyDescent="0.35">
      <c r="T15998" s="246">
        <f t="shared" si="288"/>
        <v>0</v>
      </c>
    </row>
    <row r="15999" spans="20:20" ht="18.75" customHeight="1" x14ac:dyDescent="0.35">
      <c r="T15999" s="246">
        <f t="shared" si="288"/>
        <v>0</v>
      </c>
    </row>
    <row r="16000" spans="20:20" ht="18.75" customHeight="1" x14ac:dyDescent="0.35">
      <c r="T16000" s="246">
        <f t="shared" si="288"/>
        <v>0</v>
      </c>
    </row>
    <row r="16001" spans="20:20" ht="18.75" customHeight="1" x14ac:dyDescent="0.35">
      <c r="T16001" s="246">
        <f t="shared" si="288"/>
        <v>0</v>
      </c>
    </row>
    <row r="16002" spans="20:20" ht="18.75" customHeight="1" x14ac:dyDescent="0.35">
      <c r="T16002" s="246">
        <f t="shared" si="288"/>
        <v>0</v>
      </c>
    </row>
    <row r="16003" spans="20:20" ht="18.75" customHeight="1" x14ac:dyDescent="0.35">
      <c r="T16003" s="246">
        <f t="shared" si="288"/>
        <v>0</v>
      </c>
    </row>
    <row r="16004" spans="20:20" ht="18.75" customHeight="1" x14ac:dyDescent="0.35">
      <c r="T16004" s="246">
        <f t="shared" si="288"/>
        <v>0</v>
      </c>
    </row>
    <row r="16005" spans="20:20" ht="18.75" customHeight="1" x14ac:dyDescent="0.35">
      <c r="T16005" s="246">
        <f t="shared" si="288"/>
        <v>0</v>
      </c>
    </row>
    <row r="16006" spans="20:20" ht="18.75" customHeight="1" x14ac:dyDescent="0.35">
      <c r="T16006" s="246">
        <f t="shared" si="288"/>
        <v>0</v>
      </c>
    </row>
    <row r="16007" spans="20:20" ht="18.75" customHeight="1" x14ac:dyDescent="0.35">
      <c r="T16007" s="246">
        <f t="shared" si="288"/>
        <v>0</v>
      </c>
    </row>
    <row r="16008" spans="20:20" ht="18.75" customHeight="1" x14ac:dyDescent="0.35">
      <c r="T16008" s="246">
        <f t="shared" si="288"/>
        <v>0</v>
      </c>
    </row>
    <row r="16009" spans="20:20" ht="18.75" customHeight="1" x14ac:dyDescent="0.35">
      <c r="T16009" s="246">
        <f t="shared" si="288"/>
        <v>0</v>
      </c>
    </row>
    <row r="16010" spans="20:20" ht="18.75" customHeight="1" x14ac:dyDescent="0.35">
      <c r="T16010" s="246">
        <f t="shared" si="288"/>
        <v>0</v>
      </c>
    </row>
    <row r="16011" spans="20:20" ht="18.75" customHeight="1" x14ac:dyDescent="0.35">
      <c r="T16011" s="246">
        <f t="shared" si="288"/>
        <v>0</v>
      </c>
    </row>
    <row r="16012" spans="20:20" ht="18.75" customHeight="1" x14ac:dyDescent="0.35">
      <c r="T16012" s="246">
        <f t="shared" si="288"/>
        <v>0</v>
      </c>
    </row>
    <row r="16013" spans="20:20" ht="18.75" customHeight="1" x14ac:dyDescent="0.35">
      <c r="T16013" s="246">
        <f t="shared" si="288"/>
        <v>0</v>
      </c>
    </row>
    <row r="16014" spans="20:20" ht="18.75" customHeight="1" x14ac:dyDescent="0.35">
      <c r="T16014" s="246">
        <f t="shared" si="288"/>
        <v>0</v>
      </c>
    </row>
    <row r="16015" spans="20:20" ht="18.75" customHeight="1" x14ac:dyDescent="0.35">
      <c r="T16015" s="246">
        <f t="shared" si="288"/>
        <v>0</v>
      </c>
    </row>
    <row r="16016" spans="20:20" ht="18.75" customHeight="1" x14ac:dyDescent="0.35">
      <c r="T16016" s="246">
        <f t="shared" si="288"/>
        <v>0</v>
      </c>
    </row>
    <row r="16017" spans="20:20" ht="18.75" customHeight="1" x14ac:dyDescent="0.35">
      <c r="T16017" s="246">
        <f t="shared" si="288"/>
        <v>0</v>
      </c>
    </row>
    <row r="16018" spans="20:20" ht="18.75" customHeight="1" x14ac:dyDescent="0.35">
      <c r="T16018" s="246">
        <f t="shared" si="288"/>
        <v>0</v>
      </c>
    </row>
    <row r="16019" spans="20:20" ht="18.75" customHeight="1" x14ac:dyDescent="0.35">
      <c r="T16019" s="246">
        <f t="shared" si="288"/>
        <v>0</v>
      </c>
    </row>
    <row r="16020" spans="20:20" ht="18.75" customHeight="1" x14ac:dyDescent="0.35">
      <c r="T16020" s="246">
        <f t="shared" si="288"/>
        <v>0</v>
      </c>
    </row>
    <row r="16021" spans="20:20" ht="18.75" customHeight="1" x14ac:dyDescent="0.35">
      <c r="T16021" s="246">
        <f t="shared" si="288"/>
        <v>0</v>
      </c>
    </row>
    <row r="16022" spans="20:20" ht="18.75" customHeight="1" x14ac:dyDescent="0.35">
      <c r="T16022" s="246">
        <f t="shared" si="288"/>
        <v>0</v>
      </c>
    </row>
    <row r="16023" spans="20:20" ht="18.75" customHeight="1" x14ac:dyDescent="0.35">
      <c r="T16023" s="246">
        <f t="shared" si="288"/>
        <v>0</v>
      </c>
    </row>
    <row r="16024" spans="20:20" ht="18.75" customHeight="1" x14ac:dyDescent="0.35">
      <c r="T16024" s="246">
        <f t="shared" si="288"/>
        <v>0</v>
      </c>
    </row>
    <row r="16025" spans="20:20" ht="18.75" customHeight="1" x14ac:dyDescent="0.35">
      <c r="T16025" s="246">
        <f t="shared" si="288"/>
        <v>0</v>
      </c>
    </row>
    <row r="16026" spans="20:20" ht="18.75" customHeight="1" x14ac:dyDescent="0.35">
      <c r="T16026" s="246">
        <f t="shared" si="288"/>
        <v>0</v>
      </c>
    </row>
    <row r="16027" spans="20:20" ht="18.75" customHeight="1" x14ac:dyDescent="0.35">
      <c r="T16027" s="246">
        <f t="shared" si="288"/>
        <v>0</v>
      </c>
    </row>
    <row r="16028" spans="20:20" ht="18.75" customHeight="1" x14ac:dyDescent="0.35">
      <c r="T16028" s="246">
        <f t="shared" si="288"/>
        <v>0</v>
      </c>
    </row>
    <row r="16029" spans="20:20" ht="18.75" customHeight="1" x14ac:dyDescent="0.35">
      <c r="T16029" s="246">
        <f t="shared" si="288"/>
        <v>0</v>
      </c>
    </row>
    <row r="16030" spans="20:20" ht="18.75" customHeight="1" x14ac:dyDescent="0.35">
      <c r="T16030" s="246">
        <f t="shared" si="288"/>
        <v>0</v>
      </c>
    </row>
    <row r="16031" spans="20:20" ht="18.75" customHeight="1" x14ac:dyDescent="0.35">
      <c r="T16031" s="246">
        <f t="shared" si="288"/>
        <v>0</v>
      </c>
    </row>
    <row r="16032" spans="20:20" ht="18.75" customHeight="1" x14ac:dyDescent="0.35">
      <c r="T16032" s="246">
        <f t="shared" si="288"/>
        <v>0</v>
      </c>
    </row>
    <row r="16033" spans="20:20" ht="18.75" customHeight="1" x14ac:dyDescent="0.35">
      <c r="T16033" s="246">
        <f t="shared" si="288"/>
        <v>0</v>
      </c>
    </row>
    <row r="16034" spans="20:20" ht="18.75" customHeight="1" x14ac:dyDescent="0.35">
      <c r="T16034" s="246">
        <f t="shared" si="288"/>
        <v>0</v>
      </c>
    </row>
    <row r="16035" spans="20:20" ht="18.75" customHeight="1" x14ac:dyDescent="0.35">
      <c r="T16035" s="246">
        <f t="shared" si="288"/>
        <v>0</v>
      </c>
    </row>
    <row r="16036" spans="20:20" ht="18.75" customHeight="1" x14ac:dyDescent="0.35">
      <c r="T16036" s="246">
        <f t="shared" si="288"/>
        <v>0</v>
      </c>
    </row>
    <row r="16037" spans="20:20" ht="18.75" customHeight="1" x14ac:dyDescent="0.35">
      <c r="T16037" s="246">
        <f t="shared" si="288"/>
        <v>0</v>
      </c>
    </row>
    <row r="16038" spans="20:20" ht="18.75" customHeight="1" x14ac:dyDescent="0.35">
      <c r="T16038" s="246">
        <f t="shared" si="288"/>
        <v>0</v>
      </c>
    </row>
    <row r="16039" spans="20:20" ht="18.75" customHeight="1" x14ac:dyDescent="0.35">
      <c r="T16039" s="246">
        <f t="shared" si="288"/>
        <v>0</v>
      </c>
    </row>
    <row r="16040" spans="20:20" ht="18.75" customHeight="1" x14ac:dyDescent="0.35">
      <c r="T16040" s="246">
        <f t="shared" si="288"/>
        <v>0</v>
      </c>
    </row>
    <row r="16041" spans="20:20" ht="18.75" customHeight="1" x14ac:dyDescent="0.35">
      <c r="T16041" s="246">
        <f t="shared" si="288"/>
        <v>0</v>
      </c>
    </row>
    <row r="16042" spans="20:20" ht="18.75" customHeight="1" x14ac:dyDescent="0.35">
      <c r="T16042" s="246">
        <f t="shared" si="288"/>
        <v>0</v>
      </c>
    </row>
    <row r="16043" spans="20:20" ht="18.75" customHeight="1" x14ac:dyDescent="0.35">
      <c r="T16043" s="246">
        <f t="shared" si="288"/>
        <v>0</v>
      </c>
    </row>
    <row r="16044" spans="20:20" ht="18.75" customHeight="1" x14ac:dyDescent="0.35">
      <c r="T16044" s="246">
        <f t="shared" si="288"/>
        <v>0</v>
      </c>
    </row>
    <row r="16045" spans="20:20" ht="18.75" customHeight="1" x14ac:dyDescent="0.35">
      <c r="T16045" s="246">
        <f t="shared" si="288"/>
        <v>0</v>
      </c>
    </row>
    <row r="16046" spans="20:20" ht="18.75" customHeight="1" x14ac:dyDescent="0.35">
      <c r="T16046" s="246">
        <f t="shared" si="288"/>
        <v>0</v>
      </c>
    </row>
    <row r="16047" spans="20:20" ht="18.75" customHeight="1" x14ac:dyDescent="0.35">
      <c r="T16047" s="246">
        <f t="shared" si="288"/>
        <v>0</v>
      </c>
    </row>
    <row r="16048" spans="20:20" ht="18.75" customHeight="1" x14ac:dyDescent="0.35">
      <c r="T16048" s="246">
        <f t="shared" si="288"/>
        <v>0</v>
      </c>
    </row>
    <row r="16049" spans="20:20" ht="18.75" customHeight="1" x14ac:dyDescent="0.35">
      <c r="T16049" s="246">
        <f t="shared" si="288"/>
        <v>0</v>
      </c>
    </row>
    <row r="16050" spans="20:20" ht="18.75" customHeight="1" x14ac:dyDescent="0.35">
      <c r="T16050" s="246">
        <f t="shared" si="288"/>
        <v>0</v>
      </c>
    </row>
    <row r="16051" spans="20:20" ht="18.75" customHeight="1" x14ac:dyDescent="0.35">
      <c r="T16051" s="246">
        <f t="shared" si="288"/>
        <v>0</v>
      </c>
    </row>
    <row r="16052" spans="20:20" ht="18.75" customHeight="1" x14ac:dyDescent="0.35">
      <c r="T16052" s="246">
        <f t="shared" si="288"/>
        <v>0</v>
      </c>
    </row>
    <row r="16053" spans="20:20" ht="18.75" customHeight="1" x14ac:dyDescent="0.35">
      <c r="T16053" s="246">
        <f t="shared" si="288"/>
        <v>0</v>
      </c>
    </row>
    <row r="16054" spans="20:20" ht="18.75" customHeight="1" x14ac:dyDescent="0.35">
      <c r="T16054" s="246">
        <f t="shared" si="288"/>
        <v>0</v>
      </c>
    </row>
    <row r="16055" spans="20:20" ht="18.75" customHeight="1" x14ac:dyDescent="0.35">
      <c r="T16055" s="246">
        <f t="shared" si="288"/>
        <v>0</v>
      </c>
    </row>
    <row r="16056" spans="20:20" ht="18.75" customHeight="1" x14ac:dyDescent="0.35">
      <c r="T16056" s="246">
        <f t="shared" si="288"/>
        <v>0</v>
      </c>
    </row>
    <row r="16057" spans="20:20" ht="18.75" customHeight="1" x14ac:dyDescent="0.35">
      <c r="T16057" s="246">
        <f t="shared" si="288"/>
        <v>0</v>
      </c>
    </row>
    <row r="16058" spans="20:20" ht="18.75" customHeight="1" x14ac:dyDescent="0.35">
      <c r="T16058" s="246">
        <f t="shared" si="288"/>
        <v>0</v>
      </c>
    </row>
    <row r="16059" spans="20:20" ht="18.75" customHeight="1" x14ac:dyDescent="0.35">
      <c r="T16059" s="246">
        <f t="shared" si="288"/>
        <v>0</v>
      </c>
    </row>
    <row r="16060" spans="20:20" ht="18.75" customHeight="1" x14ac:dyDescent="0.35">
      <c r="T16060" s="246">
        <f t="shared" ref="T16060:T16123" si="289">R16060*0.01</f>
        <v>0</v>
      </c>
    </row>
    <row r="16061" spans="20:20" ht="18.75" customHeight="1" x14ac:dyDescent="0.35">
      <c r="T16061" s="246">
        <f t="shared" si="289"/>
        <v>0</v>
      </c>
    </row>
    <row r="16062" spans="20:20" ht="18.75" customHeight="1" x14ac:dyDescent="0.35">
      <c r="T16062" s="246">
        <f t="shared" si="289"/>
        <v>0</v>
      </c>
    </row>
    <row r="16063" spans="20:20" ht="18.75" customHeight="1" x14ac:dyDescent="0.35">
      <c r="T16063" s="246">
        <f t="shared" si="289"/>
        <v>0</v>
      </c>
    </row>
    <row r="16064" spans="20:20" ht="18.75" customHeight="1" x14ac:dyDescent="0.35">
      <c r="T16064" s="246">
        <f t="shared" si="289"/>
        <v>0</v>
      </c>
    </row>
    <row r="16065" spans="20:20" ht="18.75" customHeight="1" x14ac:dyDescent="0.35">
      <c r="T16065" s="246">
        <f t="shared" si="289"/>
        <v>0</v>
      </c>
    </row>
    <row r="16066" spans="20:20" ht="18.75" customHeight="1" x14ac:dyDescent="0.35">
      <c r="T16066" s="246">
        <f t="shared" si="289"/>
        <v>0</v>
      </c>
    </row>
    <row r="16067" spans="20:20" ht="18.75" customHeight="1" x14ac:dyDescent="0.35">
      <c r="T16067" s="246">
        <f t="shared" si="289"/>
        <v>0</v>
      </c>
    </row>
    <row r="16068" spans="20:20" ht="18.75" customHeight="1" x14ac:dyDescent="0.35">
      <c r="T16068" s="246">
        <f t="shared" si="289"/>
        <v>0</v>
      </c>
    </row>
    <row r="16069" spans="20:20" ht="18.75" customHeight="1" x14ac:dyDescent="0.35">
      <c r="T16069" s="246">
        <f t="shared" si="289"/>
        <v>0</v>
      </c>
    </row>
    <row r="16070" spans="20:20" ht="18.75" customHeight="1" x14ac:dyDescent="0.35">
      <c r="T16070" s="246">
        <f t="shared" si="289"/>
        <v>0</v>
      </c>
    </row>
    <row r="16071" spans="20:20" ht="18.75" customHeight="1" x14ac:dyDescent="0.35">
      <c r="T16071" s="246">
        <f t="shared" si="289"/>
        <v>0</v>
      </c>
    </row>
    <row r="16072" spans="20:20" ht="18.75" customHeight="1" x14ac:dyDescent="0.35">
      <c r="T16072" s="246">
        <f t="shared" si="289"/>
        <v>0</v>
      </c>
    </row>
    <row r="16073" spans="20:20" ht="18.75" customHeight="1" x14ac:dyDescent="0.35">
      <c r="T16073" s="246">
        <f t="shared" si="289"/>
        <v>0</v>
      </c>
    </row>
    <row r="16074" spans="20:20" ht="18.75" customHeight="1" x14ac:dyDescent="0.35">
      <c r="T16074" s="246">
        <f t="shared" si="289"/>
        <v>0</v>
      </c>
    </row>
    <row r="16075" spans="20:20" ht="18.75" customHeight="1" x14ac:dyDescent="0.35">
      <c r="T16075" s="246">
        <f t="shared" si="289"/>
        <v>0</v>
      </c>
    </row>
    <row r="16076" spans="20:20" ht="18.75" customHeight="1" x14ac:dyDescent="0.35">
      <c r="T16076" s="246">
        <f t="shared" si="289"/>
        <v>0</v>
      </c>
    </row>
    <row r="16077" spans="20:20" ht="18.75" customHeight="1" x14ac:dyDescent="0.35">
      <c r="T16077" s="246">
        <f t="shared" si="289"/>
        <v>0</v>
      </c>
    </row>
    <row r="16078" spans="20:20" ht="18.75" customHeight="1" x14ac:dyDescent="0.35">
      <c r="T16078" s="246">
        <f t="shared" si="289"/>
        <v>0</v>
      </c>
    </row>
    <row r="16079" spans="20:20" ht="18.75" customHeight="1" x14ac:dyDescent="0.35">
      <c r="T16079" s="246">
        <f t="shared" si="289"/>
        <v>0</v>
      </c>
    </row>
    <row r="16080" spans="20:20" ht="18.75" customHeight="1" x14ac:dyDescent="0.35">
      <c r="T16080" s="246">
        <f t="shared" si="289"/>
        <v>0</v>
      </c>
    </row>
    <row r="16081" spans="20:20" ht="18.75" customHeight="1" x14ac:dyDescent="0.35">
      <c r="T16081" s="246">
        <f t="shared" si="289"/>
        <v>0</v>
      </c>
    </row>
    <row r="16082" spans="20:20" ht="18.75" customHeight="1" x14ac:dyDescent="0.35">
      <c r="T16082" s="246">
        <f t="shared" si="289"/>
        <v>0</v>
      </c>
    </row>
    <row r="16083" spans="20:20" ht="18.75" customHeight="1" x14ac:dyDescent="0.35">
      <c r="T16083" s="246">
        <f t="shared" si="289"/>
        <v>0</v>
      </c>
    </row>
    <row r="16084" spans="20:20" ht="18.75" customHeight="1" x14ac:dyDescent="0.35">
      <c r="T16084" s="246">
        <f t="shared" si="289"/>
        <v>0</v>
      </c>
    </row>
    <row r="16085" spans="20:20" ht="18.75" customHeight="1" x14ac:dyDescent="0.35">
      <c r="T16085" s="246">
        <f t="shared" si="289"/>
        <v>0</v>
      </c>
    </row>
    <row r="16086" spans="20:20" ht="18.75" customHeight="1" x14ac:dyDescent="0.35">
      <c r="T16086" s="246">
        <f t="shared" si="289"/>
        <v>0</v>
      </c>
    </row>
    <row r="16087" spans="20:20" ht="18.75" customHeight="1" x14ac:dyDescent="0.35">
      <c r="T16087" s="246">
        <f t="shared" si="289"/>
        <v>0</v>
      </c>
    </row>
    <row r="16088" spans="20:20" ht="18.75" customHeight="1" x14ac:dyDescent="0.35">
      <c r="T16088" s="246">
        <f t="shared" si="289"/>
        <v>0</v>
      </c>
    </row>
    <row r="16089" spans="20:20" ht="18.75" customHeight="1" x14ac:dyDescent="0.35">
      <c r="T16089" s="246">
        <f t="shared" si="289"/>
        <v>0</v>
      </c>
    </row>
    <row r="16090" spans="20:20" ht="18.75" customHeight="1" x14ac:dyDescent="0.35">
      <c r="T16090" s="246">
        <f t="shared" si="289"/>
        <v>0</v>
      </c>
    </row>
    <row r="16091" spans="20:20" ht="18.75" customHeight="1" x14ac:dyDescent="0.35">
      <c r="T16091" s="246">
        <f t="shared" si="289"/>
        <v>0</v>
      </c>
    </row>
    <row r="16092" spans="20:20" ht="18.75" customHeight="1" x14ac:dyDescent="0.35">
      <c r="T16092" s="246">
        <f t="shared" si="289"/>
        <v>0</v>
      </c>
    </row>
    <row r="16093" spans="20:20" ht="18.75" customHeight="1" x14ac:dyDescent="0.35">
      <c r="T16093" s="246">
        <f t="shared" si="289"/>
        <v>0</v>
      </c>
    </row>
    <row r="16094" spans="20:20" ht="18.75" customHeight="1" x14ac:dyDescent="0.35">
      <c r="T16094" s="246">
        <f t="shared" si="289"/>
        <v>0</v>
      </c>
    </row>
    <row r="16095" spans="20:20" ht="18.75" customHeight="1" x14ac:dyDescent="0.35">
      <c r="T16095" s="246">
        <f t="shared" si="289"/>
        <v>0</v>
      </c>
    </row>
    <row r="16096" spans="20:20" ht="18.75" customHeight="1" x14ac:dyDescent="0.35">
      <c r="T16096" s="246">
        <f t="shared" si="289"/>
        <v>0</v>
      </c>
    </row>
    <row r="16097" spans="20:20" ht="18.75" customHeight="1" x14ac:dyDescent="0.35">
      <c r="T16097" s="246">
        <f t="shared" si="289"/>
        <v>0</v>
      </c>
    </row>
    <row r="16098" spans="20:20" ht="18.75" customHeight="1" x14ac:dyDescent="0.35">
      <c r="T16098" s="246">
        <f t="shared" si="289"/>
        <v>0</v>
      </c>
    </row>
    <row r="16099" spans="20:20" ht="18.75" customHeight="1" x14ac:dyDescent="0.35">
      <c r="T16099" s="246">
        <f t="shared" si="289"/>
        <v>0</v>
      </c>
    </row>
    <row r="16100" spans="20:20" ht="18.75" customHeight="1" x14ac:dyDescent="0.35">
      <c r="T16100" s="246">
        <f t="shared" si="289"/>
        <v>0</v>
      </c>
    </row>
    <row r="16101" spans="20:20" ht="18.75" customHeight="1" x14ac:dyDescent="0.35">
      <c r="T16101" s="246">
        <f t="shared" si="289"/>
        <v>0</v>
      </c>
    </row>
    <row r="16102" spans="20:20" ht="18.75" customHeight="1" x14ac:dyDescent="0.35">
      <c r="T16102" s="246">
        <f t="shared" si="289"/>
        <v>0</v>
      </c>
    </row>
    <row r="16103" spans="20:20" ht="18.75" customHeight="1" x14ac:dyDescent="0.35">
      <c r="T16103" s="246">
        <f t="shared" si="289"/>
        <v>0</v>
      </c>
    </row>
    <row r="16104" spans="20:20" ht="18.75" customHeight="1" x14ac:dyDescent="0.35">
      <c r="T16104" s="246">
        <f t="shared" si="289"/>
        <v>0</v>
      </c>
    </row>
    <row r="16105" spans="20:20" ht="18.75" customHeight="1" x14ac:dyDescent="0.35">
      <c r="T16105" s="246">
        <f t="shared" si="289"/>
        <v>0</v>
      </c>
    </row>
    <row r="16106" spans="20:20" ht="18.75" customHeight="1" x14ac:dyDescent="0.35">
      <c r="T16106" s="246">
        <f t="shared" si="289"/>
        <v>0</v>
      </c>
    </row>
    <row r="16107" spans="20:20" ht="18.75" customHeight="1" x14ac:dyDescent="0.35">
      <c r="T16107" s="246">
        <f t="shared" si="289"/>
        <v>0</v>
      </c>
    </row>
    <row r="16108" spans="20:20" ht="18.75" customHeight="1" x14ac:dyDescent="0.35">
      <c r="T16108" s="246">
        <f t="shared" si="289"/>
        <v>0</v>
      </c>
    </row>
    <row r="16109" spans="20:20" ht="18.75" customHeight="1" x14ac:dyDescent="0.35">
      <c r="T16109" s="246">
        <f t="shared" si="289"/>
        <v>0</v>
      </c>
    </row>
    <row r="16110" spans="20:20" ht="18.75" customHeight="1" x14ac:dyDescent="0.35">
      <c r="T16110" s="246">
        <f t="shared" si="289"/>
        <v>0</v>
      </c>
    </row>
    <row r="16111" spans="20:20" ht="18.75" customHeight="1" x14ac:dyDescent="0.35">
      <c r="T16111" s="246">
        <f t="shared" si="289"/>
        <v>0</v>
      </c>
    </row>
    <row r="16112" spans="20:20" ht="18.75" customHeight="1" x14ac:dyDescent="0.35">
      <c r="T16112" s="246">
        <f t="shared" si="289"/>
        <v>0</v>
      </c>
    </row>
    <row r="16113" spans="20:20" ht="18.75" customHeight="1" x14ac:dyDescent="0.35">
      <c r="T16113" s="246">
        <f t="shared" si="289"/>
        <v>0</v>
      </c>
    </row>
    <row r="16114" spans="20:20" ht="18.75" customHeight="1" x14ac:dyDescent="0.35">
      <c r="T16114" s="246">
        <f t="shared" si="289"/>
        <v>0</v>
      </c>
    </row>
    <row r="16115" spans="20:20" ht="18.75" customHeight="1" x14ac:dyDescent="0.35">
      <c r="T16115" s="246">
        <f t="shared" si="289"/>
        <v>0</v>
      </c>
    </row>
    <row r="16116" spans="20:20" ht="18.75" customHeight="1" x14ac:dyDescent="0.35">
      <c r="T16116" s="246">
        <f t="shared" si="289"/>
        <v>0</v>
      </c>
    </row>
    <row r="16117" spans="20:20" ht="18.75" customHeight="1" x14ac:dyDescent="0.35">
      <c r="T16117" s="246">
        <f t="shared" si="289"/>
        <v>0</v>
      </c>
    </row>
    <row r="16118" spans="20:20" ht="18.75" customHeight="1" x14ac:dyDescent="0.35">
      <c r="T16118" s="246">
        <f t="shared" si="289"/>
        <v>0</v>
      </c>
    </row>
    <row r="16119" spans="20:20" ht="18.75" customHeight="1" x14ac:dyDescent="0.35">
      <c r="T16119" s="246">
        <f t="shared" si="289"/>
        <v>0</v>
      </c>
    </row>
    <row r="16120" spans="20:20" ht="18.75" customHeight="1" x14ac:dyDescent="0.35">
      <c r="T16120" s="246">
        <f t="shared" si="289"/>
        <v>0</v>
      </c>
    </row>
    <row r="16121" spans="20:20" ht="18.75" customHeight="1" x14ac:dyDescent="0.35">
      <c r="T16121" s="246">
        <f t="shared" si="289"/>
        <v>0</v>
      </c>
    </row>
    <row r="16122" spans="20:20" ht="18.75" customHeight="1" x14ac:dyDescent="0.35">
      <c r="T16122" s="246">
        <f t="shared" si="289"/>
        <v>0</v>
      </c>
    </row>
    <row r="16123" spans="20:20" ht="18.75" customHeight="1" x14ac:dyDescent="0.35">
      <c r="T16123" s="246">
        <f t="shared" si="289"/>
        <v>0</v>
      </c>
    </row>
    <row r="16124" spans="20:20" ht="18.75" customHeight="1" x14ac:dyDescent="0.35">
      <c r="T16124" s="246">
        <f t="shared" ref="T16124:T16187" si="290">R16124*0.01</f>
        <v>0</v>
      </c>
    </row>
    <row r="16125" spans="20:20" ht="18.75" customHeight="1" x14ac:dyDescent="0.35">
      <c r="T16125" s="246">
        <f t="shared" si="290"/>
        <v>0</v>
      </c>
    </row>
    <row r="16126" spans="20:20" ht="18.75" customHeight="1" x14ac:dyDescent="0.35">
      <c r="T16126" s="246">
        <f t="shared" si="290"/>
        <v>0</v>
      </c>
    </row>
    <row r="16127" spans="20:20" ht="18.75" customHeight="1" x14ac:dyDescent="0.35">
      <c r="T16127" s="246">
        <f t="shared" si="290"/>
        <v>0</v>
      </c>
    </row>
    <row r="16128" spans="20:20" ht="18.75" customHeight="1" x14ac:dyDescent="0.35">
      <c r="T16128" s="246">
        <f t="shared" si="290"/>
        <v>0</v>
      </c>
    </row>
    <row r="16129" spans="20:20" ht="18.75" customHeight="1" x14ac:dyDescent="0.35">
      <c r="T16129" s="246">
        <f t="shared" si="290"/>
        <v>0</v>
      </c>
    </row>
    <row r="16130" spans="20:20" ht="18.75" customHeight="1" x14ac:dyDescent="0.35">
      <c r="T16130" s="246">
        <f t="shared" si="290"/>
        <v>0</v>
      </c>
    </row>
    <row r="16131" spans="20:20" ht="18.75" customHeight="1" x14ac:dyDescent="0.35">
      <c r="T16131" s="246">
        <f t="shared" si="290"/>
        <v>0</v>
      </c>
    </row>
    <row r="16132" spans="20:20" ht="18.75" customHeight="1" x14ac:dyDescent="0.35">
      <c r="T16132" s="246">
        <f t="shared" si="290"/>
        <v>0</v>
      </c>
    </row>
    <row r="16133" spans="20:20" ht="18.75" customHeight="1" x14ac:dyDescent="0.35">
      <c r="T16133" s="246">
        <f t="shared" si="290"/>
        <v>0</v>
      </c>
    </row>
    <row r="16134" spans="20:20" ht="18.75" customHeight="1" x14ac:dyDescent="0.35">
      <c r="T16134" s="246">
        <f t="shared" si="290"/>
        <v>0</v>
      </c>
    </row>
    <row r="16135" spans="20:20" ht="18.75" customHeight="1" x14ac:dyDescent="0.35">
      <c r="T16135" s="246">
        <f t="shared" si="290"/>
        <v>0</v>
      </c>
    </row>
    <row r="16136" spans="20:20" ht="18.75" customHeight="1" x14ac:dyDescent="0.35">
      <c r="T16136" s="246">
        <f t="shared" si="290"/>
        <v>0</v>
      </c>
    </row>
    <row r="16137" spans="20:20" ht="18.75" customHeight="1" x14ac:dyDescent="0.35">
      <c r="T16137" s="246">
        <f t="shared" si="290"/>
        <v>0</v>
      </c>
    </row>
    <row r="16138" spans="20:20" ht="18.75" customHeight="1" x14ac:dyDescent="0.35">
      <c r="T16138" s="246">
        <f t="shared" si="290"/>
        <v>0</v>
      </c>
    </row>
    <row r="16139" spans="20:20" ht="18.75" customHeight="1" x14ac:dyDescent="0.35">
      <c r="T16139" s="246">
        <f t="shared" si="290"/>
        <v>0</v>
      </c>
    </row>
    <row r="16140" spans="20:20" ht="18.75" customHeight="1" x14ac:dyDescent="0.35">
      <c r="T16140" s="246">
        <f t="shared" si="290"/>
        <v>0</v>
      </c>
    </row>
    <row r="16141" spans="20:20" ht="18.75" customHeight="1" x14ac:dyDescent="0.35">
      <c r="T16141" s="246">
        <f t="shared" si="290"/>
        <v>0</v>
      </c>
    </row>
    <row r="16142" spans="20:20" ht="18.75" customHeight="1" x14ac:dyDescent="0.35">
      <c r="T16142" s="246">
        <f t="shared" si="290"/>
        <v>0</v>
      </c>
    </row>
    <row r="16143" spans="20:20" ht="18.75" customHeight="1" x14ac:dyDescent="0.35">
      <c r="T16143" s="246">
        <f t="shared" si="290"/>
        <v>0</v>
      </c>
    </row>
    <row r="16144" spans="20:20" ht="18.75" customHeight="1" x14ac:dyDescent="0.35">
      <c r="T16144" s="246">
        <f t="shared" si="290"/>
        <v>0</v>
      </c>
    </row>
    <row r="16145" spans="20:20" ht="18.75" customHeight="1" x14ac:dyDescent="0.35">
      <c r="T16145" s="246">
        <f t="shared" si="290"/>
        <v>0</v>
      </c>
    </row>
    <row r="16146" spans="20:20" ht="18.75" customHeight="1" x14ac:dyDescent="0.35">
      <c r="T16146" s="246">
        <f t="shared" si="290"/>
        <v>0</v>
      </c>
    </row>
    <row r="16147" spans="20:20" ht="18.75" customHeight="1" x14ac:dyDescent="0.35">
      <c r="T16147" s="246">
        <f t="shared" si="290"/>
        <v>0</v>
      </c>
    </row>
    <row r="16148" spans="20:20" ht="18.75" customHeight="1" x14ac:dyDescent="0.35">
      <c r="T16148" s="246">
        <f t="shared" si="290"/>
        <v>0</v>
      </c>
    </row>
    <row r="16149" spans="20:20" ht="18.75" customHeight="1" x14ac:dyDescent="0.35">
      <c r="T16149" s="246">
        <f t="shared" si="290"/>
        <v>0</v>
      </c>
    </row>
    <row r="16150" spans="20:20" ht="18.75" customHeight="1" x14ac:dyDescent="0.35">
      <c r="T16150" s="246">
        <f t="shared" si="290"/>
        <v>0</v>
      </c>
    </row>
    <row r="16151" spans="20:20" ht="18.75" customHeight="1" x14ac:dyDescent="0.35">
      <c r="T16151" s="246">
        <f t="shared" si="290"/>
        <v>0</v>
      </c>
    </row>
    <row r="16152" spans="20:20" ht="18.75" customHeight="1" x14ac:dyDescent="0.35">
      <c r="T16152" s="246">
        <f t="shared" si="290"/>
        <v>0</v>
      </c>
    </row>
    <row r="16153" spans="20:20" ht="18.75" customHeight="1" x14ac:dyDescent="0.35">
      <c r="T16153" s="246">
        <f t="shared" si="290"/>
        <v>0</v>
      </c>
    </row>
    <row r="16154" spans="20:20" ht="18.75" customHeight="1" x14ac:dyDescent="0.35">
      <c r="T16154" s="246">
        <f t="shared" si="290"/>
        <v>0</v>
      </c>
    </row>
    <row r="16155" spans="20:20" ht="18.75" customHeight="1" x14ac:dyDescent="0.35">
      <c r="T16155" s="246">
        <f t="shared" si="290"/>
        <v>0</v>
      </c>
    </row>
    <row r="16156" spans="20:20" ht="18.75" customHeight="1" x14ac:dyDescent="0.35">
      <c r="T16156" s="246">
        <f t="shared" si="290"/>
        <v>0</v>
      </c>
    </row>
    <row r="16157" spans="20:20" ht="18.75" customHeight="1" x14ac:dyDescent="0.35">
      <c r="T16157" s="246">
        <f t="shared" si="290"/>
        <v>0</v>
      </c>
    </row>
    <row r="16158" spans="20:20" ht="18.75" customHeight="1" x14ac:dyDescent="0.35">
      <c r="T16158" s="246">
        <f t="shared" si="290"/>
        <v>0</v>
      </c>
    </row>
    <row r="16159" spans="20:20" ht="18.75" customHeight="1" x14ac:dyDescent="0.35">
      <c r="T16159" s="246">
        <f t="shared" si="290"/>
        <v>0</v>
      </c>
    </row>
    <row r="16160" spans="20:20" ht="18.75" customHeight="1" x14ac:dyDescent="0.35">
      <c r="T16160" s="246">
        <f t="shared" si="290"/>
        <v>0</v>
      </c>
    </row>
    <row r="16161" spans="20:20" ht="18.75" customHeight="1" x14ac:dyDescent="0.35">
      <c r="T16161" s="246">
        <f t="shared" si="290"/>
        <v>0</v>
      </c>
    </row>
    <row r="16162" spans="20:20" ht="18.75" customHeight="1" x14ac:dyDescent="0.35">
      <c r="T16162" s="246">
        <f t="shared" si="290"/>
        <v>0</v>
      </c>
    </row>
    <row r="16163" spans="20:20" ht="18.75" customHeight="1" x14ac:dyDescent="0.35">
      <c r="T16163" s="246">
        <f t="shared" si="290"/>
        <v>0</v>
      </c>
    </row>
    <row r="16164" spans="20:20" ht="18.75" customHeight="1" x14ac:dyDescent="0.35">
      <c r="T16164" s="246">
        <f t="shared" si="290"/>
        <v>0</v>
      </c>
    </row>
    <row r="16165" spans="20:20" ht="18.75" customHeight="1" x14ac:dyDescent="0.35">
      <c r="T16165" s="246">
        <f t="shared" si="290"/>
        <v>0</v>
      </c>
    </row>
    <row r="16166" spans="20:20" ht="18.75" customHeight="1" x14ac:dyDescent="0.35">
      <c r="T16166" s="246">
        <f t="shared" si="290"/>
        <v>0</v>
      </c>
    </row>
    <row r="16167" spans="20:20" ht="18.75" customHeight="1" x14ac:dyDescent="0.35">
      <c r="T16167" s="246">
        <f t="shared" si="290"/>
        <v>0</v>
      </c>
    </row>
    <row r="16168" spans="20:20" ht="18.75" customHeight="1" x14ac:dyDescent="0.35">
      <c r="T16168" s="246">
        <f t="shared" si="290"/>
        <v>0</v>
      </c>
    </row>
    <row r="16169" spans="20:20" ht="18.75" customHeight="1" x14ac:dyDescent="0.35">
      <c r="T16169" s="246">
        <f t="shared" si="290"/>
        <v>0</v>
      </c>
    </row>
    <row r="16170" spans="20:20" ht="18.75" customHeight="1" x14ac:dyDescent="0.35">
      <c r="T16170" s="246">
        <f t="shared" si="290"/>
        <v>0</v>
      </c>
    </row>
    <row r="16171" spans="20:20" ht="18.75" customHeight="1" x14ac:dyDescent="0.35">
      <c r="T16171" s="246">
        <f t="shared" si="290"/>
        <v>0</v>
      </c>
    </row>
    <row r="16172" spans="20:20" ht="18.75" customHeight="1" x14ac:dyDescent="0.35">
      <c r="T16172" s="246">
        <f t="shared" si="290"/>
        <v>0</v>
      </c>
    </row>
    <row r="16173" spans="20:20" ht="18.75" customHeight="1" x14ac:dyDescent="0.35">
      <c r="T16173" s="246">
        <f t="shared" si="290"/>
        <v>0</v>
      </c>
    </row>
    <row r="16174" spans="20:20" ht="18.75" customHeight="1" x14ac:dyDescent="0.35">
      <c r="T16174" s="246">
        <f t="shared" si="290"/>
        <v>0</v>
      </c>
    </row>
    <row r="16175" spans="20:20" ht="18.75" customHeight="1" x14ac:dyDescent="0.35">
      <c r="T16175" s="246">
        <f t="shared" si="290"/>
        <v>0</v>
      </c>
    </row>
    <row r="16176" spans="20:20" ht="18.75" customHeight="1" x14ac:dyDescent="0.35">
      <c r="T16176" s="246">
        <f t="shared" si="290"/>
        <v>0</v>
      </c>
    </row>
    <row r="16177" spans="20:20" ht="18.75" customHeight="1" x14ac:dyDescent="0.35">
      <c r="T16177" s="246">
        <f t="shared" si="290"/>
        <v>0</v>
      </c>
    </row>
    <row r="16178" spans="20:20" ht="18.75" customHeight="1" x14ac:dyDescent="0.35">
      <c r="T16178" s="246">
        <f t="shared" si="290"/>
        <v>0</v>
      </c>
    </row>
    <row r="16179" spans="20:20" ht="18.75" customHeight="1" x14ac:dyDescent="0.35">
      <c r="T16179" s="246">
        <f t="shared" si="290"/>
        <v>0</v>
      </c>
    </row>
    <row r="16180" spans="20:20" ht="18.75" customHeight="1" x14ac:dyDescent="0.35">
      <c r="T16180" s="246">
        <f t="shared" si="290"/>
        <v>0</v>
      </c>
    </row>
    <row r="16181" spans="20:20" ht="18.75" customHeight="1" x14ac:dyDescent="0.35">
      <c r="T16181" s="246">
        <f t="shared" si="290"/>
        <v>0</v>
      </c>
    </row>
    <row r="16182" spans="20:20" ht="18.75" customHeight="1" x14ac:dyDescent="0.35">
      <c r="T16182" s="246">
        <f t="shared" si="290"/>
        <v>0</v>
      </c>
    </row>
    <row r="16183" spans="20:20" ht="18.75" customHeight="1" x14ac:dyDescent="0.35">
      <c r="T16183" s="246">
        <f t="shared" si="290"/>
        <v>0</v>
      </c>
    </row>
    <row r="16184" spans="20:20" ht="18.75" customHeight="1" x14ac:dyDescent="0.35">
      <c r="T16184" s="246">
        <f t="shared" si="290"/>
        <v>0</v>
      </c>
    </row>
    <row r="16185" spans="20:20" ht="18.75" customHeight="1" x14ac:dyDescent="0.35">
      <c r="T16185" s="246">
        <f t="shared" si="290"/>
        <v>0</v>
      </c>
    </row>
    <row r="16186" spans="20:20" ht="18.75" customHeight="1" x14ac:dyDescent="0.35">
      <c r="T16186" s="246">
        <f t="shared" si="290"/>
        <v>0</v>
      </c>
    </row>
    <row r="16187" spans="20:20" ht="18.75" customHeight="1" x14ac:dyDescent="0.35">
      <c r="T16187" s="246">
        <f t="shared" si="290"/>
        <v>0</v>
      </c>
    </row>
    <row r="16188" spans="20:20" ht="18.75" customHeight="1" x14ac:dyDescent="0.35">
      <c r="T16188" s="246">
        <f t="shared" ref="T16188:T16251" si="291">R16188*0.01</f>
        <v>0</v>
      </c>
    </row>
    <row r="16189" spans="20:20" ht="18.75" customHeight="1" x14ac:dyDescent="0.35">
      <c r="T16189" s="246">
        <f t="shared" si="291"/>
        <v>0</v>
      </c>
    </row>
    <row r="16190" spans="20:20" ht="18.75" customHeight="1" x14ac:dyDescent="0.35">
      <c r="T16190" s="246">
        <f t="shared" si="291"/>
        <v>0</v>
      </c>
    </row>
    <row r="16191" spans="20:20" ht="18.75" customHeight="1" x14ac:dyDescent="0.35">
      <c r="T16191" s="246">
        <f t="shared" si="291"/>
        <v>0</v>
      </c>
    </row>
    <row r="16192" spans="20:20" ht="18.75" customHeight="1" x14ac:dyDescent="0.35">
      <c r="T16192" s="246">
        <f t="shared" si="291"/>
        <v>0</v>
      </c>
    </row>
    <row r="16193" spans="20:20" ht="18.75" customHeight="1" x14ac:dyDescent="0.35">
      <c r="T16193" s="246">
        <f t="shared" si="291"/>
        <v>0</v>
      </c>
    </row>
    <row r="16194" spans="20:20" ht="18.75" customHeight="1" x14ac:dyDescent="0.35">
      <c r="T16194" s="246">
        <f t="shared" si="291"/>
        <v>0</v>
      </c>
    </row>
    <row r="16195" spans="20:20" ht="18.75" customHeight="1" x14ac:dyDescent="0.35">
      <c r="T16195" s="246">
        <f t="shared" si="291"/>
        <v>0</v>
      </c>
    </row>
    <row r="16196" spans="20:20" ht="18.75" customHeight="1" x14ac:dyDescent="0.35">
      <c r="T16196" s="246">
        <f t="shared" si="291"/>
        <v>0</v>
      </c>
    </row>
    <row r="16197" spans="20:20" ht="18.75" customHeight="1" x14ac:dyDescent="0.35">
      <c r="T16197" s="246">
        <f t="shared" si="291"/>
        <v>0</v>
      </c>
    </row>
    <row r="16198" spans="20:20" ht="18.75" customHeight="1" x14ac:dyDescent="0.35">
      <c r="T16198" s="246">
        <f t="shared" si="291"/>
        <v>0</v>
      </c>
    </row>
    <row r="16199" spans="20:20" ht="18.75" customHeight="1" x14ac:dyDescent="0.35">
      <c r="T16199" s="246">
        <f t="shared" si="291"/>
        <v>0</v>
      </c>
    </row>
    <row r="16200" spans="20:20" ht="18.75" customHeight="1" x14ac:dyDescent="0.35">
      <c r="T16200" s="246">
        <f t="shared" si="291"/>
        <v>0</v>
      </c>
    </row>
    <row r="16201" spans="20:20" ht="18.75" customHeight="1" x14ac:dyDescent="0.35">
      <c r="T16201" s="246">
        <f t="shared" si="291"/>
        <v>0</v>
      </c>
    </row>
    <row r="16202" spans="20:20" ht="18.75" customHeight="1" x14ac:dyDescent="0.35">
      <c r="T16202" s="246">
        <f t="shared" si="291"/>
        <v>0</v>
      </c>
    </row>
    <row r="16203" spans="20:20" ht="18.75" customHeight="1" x14ac:dyDescent="0.35">
      <c r="T16203" s="246">
        <f t="shared" si="291"/>
        <v>0</v>
      </c>
    </row>
    <row r="16204" spans="20:20" ht="18.75" customHeight="1" x14ac:dyDescent="0.35">
      <c r="T16204" s="246">
        <f t="shared" si="291"/>
        <v>0</v>
      </c>
    </row>
    <row r="16205" spans="20:20" ht="18.75" customHeight="1" x14ac:dyDescent="0.35">
      <c r="T16205" s="246">
        <f t="shared" si="291"/>
        <v>0</v>
      </c>
    </row>
    <row r="16206" spans="20:20" ht="18.75" customHeight="1" x14ac:dyDescent="0.35">
      <c r="T16206" s="246">
        <f t="shared" si="291"/>
        <v>0</v>
      </c>
    </row>
    <row r="16207" spans="20:20" ht="18.75" customHeight="1" x14ac:dyDescent="0.35">
      <c r="T16207" s="246">
        <f t="shared" si="291"/>
        <v>0</v>
      </c>
    </row>
    <row r="16208" spans="20:20" ht="18.75" customHeight="1" x14ac:dyDescent="0.35">
      <c r="T16208" s="246">
        <f t="shared" si="291"/>
        <v>0</v>
      </c>
    </row>
    <row r="16209" spans="20:20" ht="18.75" customHeight="1" x14ac:dyDescent="0.35">
      <c r="T16209" s="246">
        <f t="shared" si="291"/>
        <v>0</v>
      </c>
    </row>
    <row r="16210" spans="20:20" ht="18.75" customHeight="1" x14ac:dyDescent="0.35">
      <c r="T16210" s="246">
        <f t="shared" si="291"/>
        <v>0</v>
      </c>
    </row>
    <row r="16211" spans="20:20" ht="18.75" customHeight="1" x14ac:dyDescent="0.35">
      <c r="T16211" s="246">
        <f t="shared" si="291"/>
        <v>0</v>
      </c>
    </row>
    <row r="16212" spans="20:20" ht="18.75" customHeight="1" x14ac:dyDescent="0.35">
      <c r="T16212" s="246">
        <f t="shared" si="291"/>
        <v>0</v>
      </c>
    </row>
    <row r="16213" spans="20:20" ht="18.75" customHeight="1" x14ac:dyDescent="0.35">
      <c r="T16213" s="246">
        <f t="shared" si="291"/>
        <v>0</v>
      </c>
    </row>
    <row r="16214" spans="20:20" ht="18.75" customHeight="1" x14ac:dyDescent="0.35">
      <c r="T16214" s="246">
        <f t="shared" si="291"/>
        <v>0</v>
      </c>
    </row>
    <row r="16215" spans="20:20" ht="18.75" customHeight="1" x14ac:dyDescent="0.35">
      <c r="T16215" s="246">
        <f t="shared" si="291"/>
        <v>0</v>
      </c>
    </row>
    <row r="16216" spans="20:20" ht="18.75" customHeight="1" x14ac:dyDescent="0.35">
      <c r="T16216" s="246">
        <f t="shared" si="291"/>
        <v>0</v>
      </c>
    </row>
    <row r="16217" spans="20:20" ht="18.75" customHeight="1" x14ac:dyDescent="0.35">
      <c r="T16217" s="246">
        <f t="shared" si="291"/>
        <v>0</v>
      </c>
    </row>
    <row r="16218" spans="20:20" ht="18.75" customHeight="1" x14ac:dyDescent="0.35">
      <c r="T16218" s="246">
        <f t="shared" si="291"/>
        <v>0</v>
      </c>
    </row>
    <row r="16219" spans="20:20" ht="18.75" customHeight="1" x14ac:dyDescent="0.35">
      <c r="T16219" s="246">
        <f t="shared" si="291"/>
        <v>0</v>
      </c>
    </row>
    <row r="16220" spans="20:20" ht="18.75" customHeight="1" x14ac:dyDescent="0.35">
      <c r="T16220" s="246">
        <f t="shared" si="291"/>
        <v>0</v>
      </c>
    </row>
    <row r="16221" spans="20:20" ht="18.75" customHeight="1" x14ac:dyDescent="0.35">
      <c r="T16221" s="246">
        <f t="shared" si="291"/>
        <v>0</v>
      </c>
    </row>
    <row r="16222" spans="20:20" ht="18.75" customHeight="1" x14ac:dyDescent="0.35">
      <c r="T16222" s="246">
        <f t="shared" si="291"/>
        <v>0</v>
      </c>
    </row>
    <row r="16223" spans="20:20" ht="18.75" customHeight="1" x14ac:dyDescent="0.35">
      <c r="T16223" s="246">
        <f t="shared" si="291"/>
        <v>0</v>
      </c>
    </row>
    <row r="16224" spans="20:20" ht="18.75" customHeight="1" x14ac:dyDescent="0.35">
      <c r="T16224" s="246">
        <f t="shared" si="291"/>
        <v>0</v>
      </c>
    </row>
    <row r="16225" spans="20:20" ht="18.75" customHeight="1" x14ac:dyDescent="0.35">
      <c r="T16225" s="246">
        <f t="shared" si="291"/>
        <v>0</v>
      </c>
    </row>
    <row r="16226" spans="20:20" ht="18.75" customHeight="1" x14ac:dyDescent="0.35">
      <c r="T16226" s="246">
        <f t="shared" si="291"/>
        <v>0</v>
      </c>
    </row>
    <row r="16227" spans="20:20" ht="18.75" customHeight="1" x14ac:dyDescent="0.35">
      <c r="T16227" s="246">
        <f t="shared" si="291"/>
        <v>0</v>
      </c>
    </row>
    <row r="16228" spans="20:20" ht="18.75" customHeight="1" x14ac:dyDescent="0.35">
      <c r="T16228" s="246">
        <f t="shared" si="291"/>
        <v>0</v>
      </c>
    </row>
    <row r="16229" spans="20:20" ht="18.75" customHeight="1" x14ac:dyDescent="0.35">
      <c r="T16229" s="246">
        <f t="shared" si="291"/>
        <v>0</v>
      </c>
    </row>
    <row r="16230" spans="20:20" ht="18.75" customHeight="1" x14ac:dyDescent="0.35">
      <c r="T16230" s="246">
        <f t="shared" si="291"/>
        <v>0</v>
      </c>
    </row>
    <row r="16231" spans="20:20" ht="18.75" customHeight="1" x14ac:dyDescent="0.35">
      <c r="T16231" s="246">
        <f t="shared" si="291"/>
        <v>0</v>
      </c>
    </row>
    <row r="16232" spans="20:20" ht="18.75" customHeight="1" x14ac:dyDescent="0.35">
      <c r="T16232" s="246">
        <f t="shared" si="291"/>
        <v>0</v>
      </c>
    </row>
    <row r="16233" spans="20:20" ht="18.75" customHeight="1" x14ac:dyDescent="0.35">
      <c r="T16233" s="246">
        <f t="shared" si="291"/>
        <v>0</v>
      </c>
    </row>
    <row r="16234" spans="20:20" ht="18.75" customHeight="1" x14ac:dyDescent="0.35">
      <c r="T16234" s="246">
        <f t="shared" si="291"/>
        <v>0</v>
      </c>
    </row>
    <row r="16235" spans="20:20" ht="18.75" customHeight="1" x14ac:dyDescent="0.35">
      <c r="T16235" s="246">
        <f t="shared" si="291"/>
        <v>0</v>
      </c>
    </row>
    <row r="16236" spans="20:20" ht="18.75" customHeight="1" x14ac:dyDescent="0.35">
      <c r="T16236" s="246">
        <f t="shared" si="291"/>
        <v>0</v>
      </c>
    </row>
    <row r="16237" spans="20:20" ht="18.75" customHeight="1" x14ac:dyDescent="0.35">
      <c r="T16237" s="246">
        <f t="shared" si="291"/>
        <v>0</v>
      </c>
    </row>
    <row r="16238" spans="20:20" ht="18.75" customHeight="1" x14ac:dyDescent="0.35">
      <c r="T16238" s="246">
        <f t="shared" si="291"/>
        <v>0</v>
      </c>
    </row>
    <row r="16239" spans="20:20" ht="18.75" customHeight="1" x14ac:dyDescent="0.35">
      <c r="T16239" s="246">
        <f t="shared" si="291"/>
        <v>0</v>
      </c>
    </row>
    <row r="16240" spans="20:20" ht="18.75" customHeight="1" x14ac:dyDescent="0.35">
      <c r="T16240" s="246">
        <f t="shared" si="291"/>
        <v>0</v>
      </c>
    </row>
    <row r="16241" spans="20:20" ht="18.75" customHeight="1" x14ac:dyDescent="0.35">
      <c r="T16241" s="246">
        <f t="shared" si="291"/>
        <v>0</v>
      </c>
    </row>
    <row r="16242" spans="20:20" ht="18.75" customHeight="1" x14ac:dyDescent="0.35">
      <c r="T16242" s="246">
        <f t="shared" si="291"/>
        <v>0</v>
      </c>
    </row>
    <row r="16243" spans="20:20" ht="18.75" customHeight="1" x14ac:dyDescent="0.35">
      <c r="T16243" s="246">
        <f t="shared" si="291"/>
        <v>0</v>
      </c>
    </row>
    <row r="16244" spans="20:20" ht="18.75" customHeight="1" x14ac:dyDescent="0.35">
      <c r="T16244" s="246">
        <f t="shared" si="291"/>
        <v>0</v>
      </c>
    </row>
    <row r="16245" spans="20:20" ht="18.75" customHeight="1" x14ac:dyDescent="0.35">
      <c r="T16245" s="246">
        <f t="shared" si="291"/>
        <v>0</v>
      </c>
    </row>
    <row r="16246" spans="20:20" ht="18.75" customHeight="1" x14ac:dyDescent="0.35">
      <c r="T16246" s="246">
        <f t="shared" si="291"/>
        <v>0</v>
      </c>
    </row>
    <row r="16247" spans="20:20" ht="18.75" customHeight="1" x14ac:dyDescent="0.35">
      <c r="T16247" s="246">
        <f t="shared" si="291"/>
        <v>0</v>
      </c>
    </row>
    <row r="16248" spans="20:20" ht="18.75" customHeight="1" x14ac:dyDescent="0.35">
      <c r="T16248" s="246">
        <f t="shared" si="291"/>
        <v>0</v>
      </c>
    </row>
    <row r="16249" spans="20:20" ht="18.75" customHeight="1" x14ac:dyDescent="0.35">
      <c r="T16249" s="246">
        <f t="shared" si="291"/>
        <v>0</v>
      </c>
    </row>
    <row r="16250" spans="20:20" ht="18.75" customHeight="1" x14ac:dyDescent="0.35">
      <c r="T16250" s="246">
        <f t="shared" si="291"/>
        <v>0</v>
      </c>
    </row>
    <row r="16251" spans="20:20" ht="18.75" customHeight="1" x14ac:dyDescent="0.35">
      <c r="T16251" s="246">
        <f t="shared" si="291"/>
        <v>0</v>
      </c>
    </row>
    <row r="16252" spans="20:20" ht="18.75" customHeight="1" x14ac:dyDescent="0.35">
      <c r="T16252" s="246">
        <f t="shared" ref="T16252:T16315" si="292">R16252*0.01</f>
        <v>0</v>
      </c>
    </row>
    <row r="16253" spans="20:20" ht="18.75" customHeight="1" x14ac:dyDescent="0.35">
      <c r="T16253" s="246">
        <f t="shared" si="292"/>
        <v>0</v>
      </c>
    </row>
    <row r="16254" spans="20:20" ht="18.75" customHeight="1" x14ac:dyDescent="0.35">
      <c r="T16254" s="246">
        <f t="shared" si="292"/>
        <v>0</v>
      </c>
    </row>
    <row r="16255" spans="20:20" ht="18.75" customHeight="1" x14ac:dyDescent="0.35">
      <c r="T16255" s="246">
        <f t="shared" si="292"/>
        <v>0</v>
      </c>
    </row>
    <row r="16256" spans="20:20" ht="18.75" customHeight="1" x14ac:dyDescent="0.35">
      <c r="T16256" s="246">
        <f t="shared" si="292"/>
        <v>0</v>
      </c>
    </row>
    <row r="16257" spans="20:20" ht="18.75" customHeight="1" x14ac:dyDescent="0.35">
      <c r="T16257" s="246">
        <f t="shared" si="292"/>
        <v>0</v>
      </c>
    </row>
    <row r="16258" spans="20:20" ht="18.75" customHeight="1" x14ac:dyDescent="0.35">
      <c r="T16258" s="246">
        <f t="shared" si="292"/>
        <v>0</v>
      </c>
    </row>
    <row r="16259" spans="20:20" ht="18.75" customHeight="1" x14ac:dyDescent="0.35">
      <c r="T16259" s="246">
        <f t="shared" si="292"/>
        <v>0</v>
      </c>
    </row>
    <row r="16260" spans="20:20" ht="18.75" customHeight="1" x14ac:dyDescent="0.35">
      <c r="T16260" s="246">
        <f t="shared" si="292"/>
        <v>0</v>
      </c>
    </row>
    <row r="16261" spans="20:20" ht="18.75" customHeight="1" x14ac:dyDescent="0.35">
      <c r="T16261" s="246">
        <f t="shared" si="292"/>
        <v>0</v>
      </c>
    </row>
    <row r="16262" spans="20:20" ht="18.75" customHeight="1" x14ac:dyDescent="0.35">
      <c r="T16262" s="246">
        <f t="shared" si="292"/>
        <v>0</v>
      </c>
    </row>
    <row r="16263" spans="20:20" ht="18.75" customHeight="1" x14ac:dyDescent="0.35">
      <c r="T16263" s="246">
        <f t="shared" si="292"/>
        <v>0</v>
      </c>
    </row>
    <row r="16264" spans="20:20" ht="18.75" customHeight="1" x14ac:dyDescent="0.35">
      <c r="T16264" s="246">
        <f t="shared" si="292"/>
        <v>0</v>
      </c>
    </row>
    <row r="16265" spans="20:20" ht="18.75" customHeight="1" x14ac:dyDescent="0.35">
      <c r="T16265" s="246">
        <f t="shared" si="292"/>
        <v>0</v>
      </c>
    </row>
    <row r="16266" spans="20:20" ht="18.75" customHeight="1" x14ac:dyDescent="0.35">
      <c r="T16266" s="246">
        <f t="shared" si="292"/>
        <v>0</v>
      </c>
    </row>
    <row r="16267" spans="20:20" ht="18.75" customHeight="1" x14ac:dyDescent="0.35">
      <c r="T16267" s="246">
        <f t="shared" si="292"/>
        <v>0</v>
      </c>
    </row>
    <row r="16268" spans="20:20" ht="18.75" customHeight="1" x14ac:dyDescent="0.35">
      <c r="T16268" s="246">
        <f t="shared" si="292"/>
        <v>0</v>
      </c>
    </row>
    <row r="16269" spans="20:20" ht="18.75" customHeight="1" x14ac:dyDescent="0.35">
      <c r="T16269" s="246">
        <f t="shared" si="292"/>
        <v>0</v>
      </c>
    </row>
    <row r="16270" spans="20:20" ht="18.75" customHeight="1" x14ac:dyDescent="0.35">
      <c r="T16270" s="246">
        <f t="shared" si="292"/>
        <v>0</v>
      </c>
    </row>
    <row r="16271" spans="20:20" ht="18.75" customHeight="1" x14ac:dyDescent="0.35">
      <c r="T16271" s="246">
        <f t="shared" si="292"/>
        <v>0</v>
      </c>
    </row>
    <row r="16272" spans="20:20" ht="18.75" customHeight="1" x14ac:dyDescent="0.35">
      <c r="T16272" s="246">
        <f t="shared" si="292"/>
        <v>0</v>
      </c>
    </row>
    <row r="16273" spans="20:20" ht="18.75" customHeight="1" x14ac:dyDescent="0.35">
      <c r="T16273" s="246">
        <f t="shared" si="292"/>
        <v>0</v>
      </c>
    </row>
    <row r="16274" spans="20:20" ht="18.75" customHeight="1" x14ac:dyDescent="0.35">
      <c r="T16274" s="246">
        <f t="shared" si="292"/>
        <v>0</v>
      </c>
    </row>
    <row r="16275" spans="20:20" ht="18.75" customHeight="1" x14ac:dyDescent="0.35">
      <c r="T16275" s="246">
        <f t="shared" si="292"/>
        <v>0</v>
      </c>
    </row>
    <row r="16276" spans="20:20" ht="18.75" customHeight="1" x14ac:dyDescent="0.35">
      <c r="T16276" s="246">
        <f t="shared" si="292"/>
        <v>0</v>
      </c>
    </row>
    <row r="16277" spans="20:20" ht="18.75" customHeight="1" x14ac:dyDescent="0.35">
      <c r="T16277" s="246">
        <f t="shared" si="292"/>
        <v>0</v>
      </c>
    </row>
    <row r="16278" spans="20:20" ht="18.75" customHeight="1" x14ac:dyDescent="0.35">
      <c r="T16278" s="246">
        <f t="shared" si="292"/>
        <v>0</v>
      </c>
    </row>
    <row r="16279" spans="20:20" ht="18.75" customHeight="1" x14ac:dyDescent="0.35">
      <c r="T16279" s="246">
        <f t="shared" si="292"/>
        <v>0</v>
      </c>
    </row>
    <row r="16280" spans="20:20" ht="18.75" customHeight="1" x14ac:dyDescent="0.35">
      <c r="T16280" s="246">
        <f t="shared" si="292"/>
        <v>0</v>
      </c>
    </row>
    <row r="16281" spans="20:20" ht="18.75" customHeight="1" x14ac:dyDescent="0.35">
      <c r="T16281" s="246">
        <f t="shared" si="292"/>
        <v>0</v>
      </c>
    </row>
    <row r="16282" spans="20:20" ht="18.75" customHeight="1" x14ac:dyDescent="0.35">
      <c r="T16282" s="246">
        <f t="shared" si="292"/>
        <v>0</v>
      </c>
    </row>
    <row r="16283" spans="20:20" ht="18.75" customHeight="1" x14ac:dyDescent="0.35">
      <c r="T16283" s="246">
        <f t="shared" si="292"/>
        <v>0</v>
      </c>
    </row>
    <row r="16284" spans="20:20" ht="18.75" customHeight="1" x14ac:dyDescent="0.35">
      <c r="T16284" s="246">
        <f t="shared" si="292"/>
        <v>0</v>
      </c>
    </row>
    <row r="16285" spans="20:20" ht="18.75" customHeight="1" x14ac:dyDescent="0.35">
      <c r="T16285" s="246">
        <f t="shared" si="292"/>
        <v>0</v>
      </c>
    </row>
    <row r="16286" spans="20:20" ht="18.75" customHeight="1" x14ac:dyDescent="0.35">
      <c r="T16286" s="246">
        <f t="shared" si="292"/>
        <v>0</v>
      </c>
    </row>
    <row r="16287" spans="20:20" ht="18.75" customHeight="1" x14ac:dyDescent="0.35">
      <c r="T16287" s="246">
        <f t="shared" si="292"/>
        <v>0</v>
      </c>
    </row>
    <row r="16288" spans="20:20" ht="18.75" customHeight="1" x14ac:dyDescent="0.35">
      <c r="T16288" s="246">
        <f t="shared" si="292"/>
        <v>0</v>
      </c>
    </row>
    <row r="16289" spans="20:20" ht="18.75" customHeight="1" x14ac:dyDescent="0.35">
      <c r="T16289" s="246">
        <f t="shared" si="292"/>
        <v>0</v>
      </c>
    </row>
    <row r="16290" spans="20:20" ht="18.75" customHeight="1" x14ac:dyDescent="0.35">
      <c r="T16290" s="246">
        <f t="shared" si="292"/>
        <v>0</v>
      </c>
    </row>
    <row r="16291" spans="20:20" ht="18.75" customHeight="1" x14ac:dyDescent="0.35">
      <c r="T16291" s="246">
        <f t="shared" si="292"/>
        <v>0</v>
      </c>
    </row>
    <row r="16292" spans="20:20" ht="18.75" customHeight="1" x14ac:dyDescent="0.35">
      <c r="T16292" s="246">
        <f t="shared" si="292"/>
        <v>0</v>
      </c>
    </row>
    <row r="16293" spans="20:20" ht="18.75" customHeight="1" x14ac:dyDescent="0.35">
      <c r="T16293" s="246">
        <f t="shared" si="292"/>
        <v>0</v>
      </c>
    </row>
    <row r="16294" spans="20:20" ht="18.75" customHeight="1" x14ac:dyDescent="0.35">
      <c r="T16294" s="246">
        <f t="shared" si="292"/>
        <v>0</v>
      </c>
    </row>
    <row r="16295" spans="20:20" ht="18.75" customHeight="1" x14ac:dyDescent="0.35">
      <c r="T16295" s="246">
        <f t="shared" si="292"/>
        <v>0</v>
      </c>
    </row>
    <row r="16296" spans="20:20" ht="18.75" customHeight="1" x14ac:dyDescent="0.35">
      <c r="T16296" s="246">
        <f t="shared" si="292"/>
        <v>0</v>
      </c>
    </row>
    <row r="16297" spans="20:20" ht="18.75" customHeight="1" x14ac:dyDescent="0.35">
      <c r="T16297" s="246">
        <f t="shared" si="292"/>
        <v>0</v>
      </c>
    </row>
    <row r="16298" spans="20:20" ht="18.75" customHeight="1" x14ac:dyDescent="0.35">
      <c r="T16298" s="246">
        <f t="shared" si="292"/>
        <v>0</v>
      </c>
    </row>
    <row r="16299" spans="20:20" ht="18.75" customHeight="1" x14ac:dyDescent="0.35">
      <c r="T16299" s="246">
        <f t="shared" si="292"/>
        <v>0</v>
      </c>
    </row>
    <row r="16300" spans="20:20" ht="18.75" customHeight="1" x14ac:dyDescent="0.35">
      <c r="T16300" s="246">
        <f t="shared" si="292"/>
        <v>0</v>
      </c>
    </row>
    <row r="16301" spans="20:20" ht="18.75" customHeight="1" x14ac:dyDescent="0.35">
      <c r="T16301" s="246">
        <f t="shared" si="292"/>
        <v>0</v>
      </c>
    </row>
    <row r="16302" spans="20:20" ht="18.75" customHeight="1" x14ac:dyDescent="0.35">
      <c r="T16302" s="246">
        <f t="shared" si="292"/>
        <v>0</v>
      </c>
    </row>
    <row r="16303" spans="20:20" ht="18.75" customHeight="1" x14ac:dyDescent="0.35">
      <c r="T16303" s="246">
        <f t="shared" si="292"/>
        <v>0</v>
      </c>
    </row>
    <row r="16304" spans="20:20" ht="18.75" customHeight="1" x14ac:dyDescent="0.35">
      <c r="T16304" s="246">
        <f t="shared" si="292"/>
        <v>0</v>
      </c>
    </row>
    <row r="16305" spans="20:20" ht="18.75" customHeight="1" x14ac:dyDescent="0.35">
      <c r="T16305" s="246">
        <f t="shared" si="292"/>
        <v>0</v>
      </c>
    </row>
    <row r="16306" spans="20:20" ht="18.75" customHeight="1" x14ac:dyDescent="0.35">
      <c r="T16306" s="246">
        <f t="shared" si="292"/>
        <v>0</v>
      </c>
    </row>
    <row r="16307" spans="20:20" ht="18.75" customHeight="1" x14ac:dyDescent="0.35">
      <c r="T16307" s="246">
        <f t="shared" si="292"/>
        <v>0</v>
      </c>
    </row>
    <row r="16308" spans="20:20" ht="18.75" customHeight="1" x14ac:dyDescent="0.35">
      <c r="T16308" s="246">
        <f t="shared" si="292"/>
        <v>0</v>
      </c>
    </row>
    <row r="16309" spans="20:20" ht="18.75" customHeight="1" x14ac:dyDescent="0.35">
      <c r="T16309" s="246">
        <f t="shared" si="292"/>
        <v>0</v>
      </c>
    </row>
    <row r="16310" spans="20:20" ht="18.75" customHeight="1" x14ac:dyDescent="0.35">
      <c r="T16310" s="246">
        <f t="shared" si="292"/>
        <v>0</v>
      </c>
    </row>
    <row r="16311" spans="20:20" ht="18.75" customHeight="1" x14ac:dyDescent="0.35">
      <c r="T16311" s="246">
        <f t="shared" si="292"/>
        <v>0</v>
      </c>
    </row>
    <row r="16312" spans="20:20" ht="18.75" customHeight="1" x14ac:dyDescent="0.35">
      <c r="T16312" s="246">
        <f t="shared" si="292"/>
        <v>0</v>
      </c>
    </row>
    <row r="16313" spans="20:20" ht="18.75" customHeight="1" x14ac:dyDescent="0.35">
      <c r="T16313" s="246">
        <f t="shared" si="292"/>
        <v>0</v>
      </c>
    </row>
    <row r="16314" spans="20:20" ht="18.75" customHeight="1" x14ac:dyDescent="0.35">
      <c r="T16314" s="246">
        <f t="shared" si="292"/>
        <v>0</v>
      </c>
    </row>
    <row r="16315" spans="20:20" ht="18.75" customHeight="1" x14ac:dyDescent="0.35">
      <c r="T16315" s="246">
        <f t="shared" si="292"/>
        <v>0</v>
      </c>
    </row>
    <row r="16316" spans="20:20" ht="18.75" customHeight="1" x14ac:dyDescent="0.35">
      <c r="T16316" s="246">
        <f t="shared" ref="T16316:T16379" si="293">R16316*0.01</f>
        <v>0</v>
      </c>
    </row>
    <row r="16317" spans="20:20" ht="18.75" customHeight="1" x14ac:dyDescent="0.35">
      <c r="T16317" s="246">
        <f t="shared" si="293"/>
        <v>0</v>
      </c>
    </row>
    <row r="16318" spans="20:20" ht="18.75" customHeight="1" x14ac:dyDescent="0.35">
      <c r="T16318" s="246">
        <f t="shared" si="293"/>
        <v>0</v>
      </c>
    </row>
    <row r="16319" spans="20:20" ht="18.75" customHeight="1" x14ac:dyDescent="0.35">
      <c r="T16319" s="246">
        <f t="shared" si="293"/>
        <v>0</v>
      </c>
    </row>
    <row r="16320" spans="20:20" ht="18.75" customHeight="1" x14ac:dyDescent="0.35">
      <c r="T16320" s="246">
        <f t="shared" si="293"/>
        <v>0</v>
      </c>
    </row>
    <row r="16321" spans="20:20" ht="18.75" customHeight="1" x14ac:dyDescent="0.35">
      <c r="T16321" s="246">
        <f t="shared" si="293"/>
        <v>0</v>
      </c>
    </row>
    <row r="16322" spans="20:20" ht="18.75" customHeight="1" x14ac:dyDescent="0.35">
      <c r="T16322" s="246">
        <f t="shared" si="293"/>
        <v>0</v>
      </c>
    </row>
    <row r="16323" spans="20:20" ht="18.75" customHeight="1" x14ac:dyDescent="0.35">
      <c r="T16323" s="246">
        <f t="shared" si="293"/>
        <v>0</v>
      </c>
    </row>
    <row r="16324" spans="20:20" ht="18.75" customHeight="1" x14ac:dyDescent="0.35">
      <c r="T16324" s="246">
        <f t="shared" si="293"/>
        <v>0</v>
      </c>
    </row>
    <row r="16325" spans="20:20" ht="18.75" customHeight="1" x14ac:dyDescent="0.35">
      <c r="T16325" s="246">
        <f t="shared" si="293"/>
        <v>0</v>
      </c>
    </row>
    <row r="16326" spans="20:20" ht="18.75" customHeight="1" x14ac:dyDescent="0.35">
      <c r="T16326" s="246">
        <f t="shared" si="293"/>
        <v>0</v>
      </c>
    </row>
    <row r="16327" spans="20:20" ht="18.75" customHeight="1" x14ac:dyDescent="0.35">
      <c r="T16327" s="246">
        <f t="shared" si="293"/>
        <v>0</v>
      </c>
    </row>
    <row r="16328" spans="20:20" ht="18.75" customHeight="1" x14ac:dyDescent="0.35">
      <c r="T16328" s="246">
        <f t="shared" si="293"/>
        <v>0</v>
      </c>
    </row>
    <row r="16329" spans="20:20" ht="18.75" customHeight="1" x14ac:dyDescent="0.35">
      <c r="T16329" s="246">
        <f t="shared" si="293"/>
        <v>0</v>
      </c>
    </row>
    <row r="16330" spans="20:20" ht="18.75" customHeight="1" x14ac:dyDescent="0.35">
      <c r="T16330" s="246">
        <f t="shared" si="293"/>
        <v>0</v>
      </c>
    </row>
    <row r="16331" spans="20:20" ht="18.75" customHeight="1" x14ac:dyDescent="0.35">
      <c r="T16331" s="246">
        <f t="shared" si="293"/>
        <v>0</v>
      </c>
    </row>
    <row r="16332" spans="20:20" ht="18.75" customHeight="1" x14ac:dyDescent="0.35">
      <c r="T16332" s="246">
        <f t="shared" si="293"/>
        <v>0</v>
      </c>
    </row>
    <row r="16333" spans="20:20" ht="18.75" customHeight="1" x14ac:dyDescent="0.35">
      <c r="T16333" s="246">
        <f t="shared" si="293"/>
        <v>0</v>
      </c>
    </row>
    <row r="16334" spans="20:20" ht="18.75" customHeight="1" x14ac:dyDescent="0.35">
      <c r="T16334" s="246">
        <f t="shared" si="293"/>
        <v>0</v>
      </c>
    </row>
    <row r="16335" spans="20:20" ht="18.75" customHeight="1" x14ac:dyDescent="0.35">
      <c r="T16335" s="246">
        <f t="shared" si="293"/>
        <v>0</v>
      </c>
    </row>
    <row r="16336" spans="20:20" ht="18.75" customHeight="1" x14ac:dyDescent="0.35">
      <c r="T16336" s="246">
        <f t="shared" si="293"/>
        <v>0</v>
      </c>
    </row>
    <row r="16337" spans="20:20" ht="18.75" customHeight="1" x14ac:dyDescent="0.35">
      <c r="T16337" s="246">
        <f t="shared" si="293"/>
        <v>0</v>
      </c>
    </row>
    <row r="16338" spans="20:20" ht="18.75" customHeight="1" x14ac:dyDescent="0.35">
      <c r="T16338" s="246">
        <f t="shared" si="293"/>
        <v>0</v>
      </c>
    </row>
    <row r="16339" spans="20:20" ht="18.75" customHeight="1" x14ac:dyDescent="0.35">
      <c r="T16339" s="246">
        <f t="shared" si="293"/>
        <v>0</v>
      </c>
    </row>
    <row r="16340" spans="20:20" ht="18.75" customHeight="1" x14ac:dyDescent="0.35">
      <c r="T16340" s="246">
        <f t="shared" si="293"/>
        <v>0</v>
      </c>
    </row>
    <row r="16341" spans="20:20" ht="18.75" customHeight="1" x14ac:dyDescent="0.35">
      <c r="T16341" s="246">
        <f t="shared" si="293"/>
        <v>0</v>
      </c>
    </row>
    <row r="16342" spans="20:20" ht="18.75" customHeight="1" x14ac:dyDescent="0.35">
      <c r="T16342" s="246">
        <f t="shared" si="293"/>
        <v>0</v>
      </c>
    </row>
    <row r="16343" spans="20:20" ht="18.75" customHeight="1" x14ac:dyDescent="0.35">
      <c r="T16343" s="246">
        <f t="shared" si="293"/>
        <v>0</v>
      </c>
    </row>
    <row r="16344" spans="20:20" ht="18.75" customHeight="1" x14ac:dyDescent="0.35">
      <c r="T16344" s="246">
        <f t="shared" si="293"/>
        <v>0</v>
      </c>
    </row>
    <row r="16345" spans="20:20" ht="18.75" customHeight="1" x14ac:dyDescent="0.35">
      <c r="T16345" s="246">
        <f t="shared" si="293"/>
        <v>0</v>
      </c>
    </row>
    <row r="16346" spans="20:20" ht="18.75" customHeight="1" x14ac:dyDescent="0.35">
      <c r="T16346" s="246">
        <f t="shared" si="293"/>
        <v>0</v>
      </c>
    </row>
    <row r="16347" spans="20:20" ht="18.75" customHeight="1" x14ac:dyDescent="0.35">
      <c r="T16347" s="246">
        <f t="shared" si="293"/>
        <v>0</v>
      </c>
    </row>
    <row r="16348" spans="20:20" ht="18.75" customHeight="1" x14ac:dyDescent="0.35">
      <c r="T16348" s="246">
        <f t="shared" si="293"/>
        <v>0</v>
      </c>
    </row>
    <row r="16349" spans="20:20" ht="18.75" customHeight="1" x14ac:dyDescent="0.35">
      <c r="T16349" s="246">
        <f t="shared" si="293"/>
        <v>0</v>
      </c>
    </row>
    <row r="16350" spans="20:20" ht="18.75" customHeight="1" x14ac:dyDescent="0.35">
      <c r="T16350" s="246">
        <f t="shared" si="293"/>
        <v>0</v>
      </c>
    </row>
    <row r="16351" spans="20:20" ht="18.75" customHeight="1" x14ac:dyDescent="0.35">
      <c r="T16351" s="246">
        <f t="shared" si="293"/>
        <v>0</v>
      </c>
    </row>
    <row r="16352" spans="20:20" ht="18.75" customHeight="1" x14ac:dyDescent="0.35">
      <c r="T16352" s="246">
        <f t="shared" si="293"/>
        <v>0</v>
      </c>
    </row>
    <row r="16353" spans="20:20" ht="18.75" customHeight="1" x14ac:dyDescent="0.35">
      <c r="T16353" s="246">
        <f t="shared" si="293"/>
        <v>0</v>
      </c>
    </row>
    <row r="16354" spans="20:20" ht="18.75" customHeight="1" x14ac:dyDescent="0.35">
      <c r="T16354" s="246">
        <f t="shared" si="293"/>
        <v>0</v>
      </c>
    </row>
    <row r="16355" spans="20:20" ht="18.75" customHeight="1" x14ac:dyDescent="0.35">
      <c r="T16355" s="246">
        <f t="shared" si="293"/>
        <v>0</v>
      </c>
    </row>
    <row r="16356" spans="20:20" ht="18.75" customHeight="1" x14ac:dyDescent="0.35">
      <c r="T16356" s="246">
        <f t="shared" si="293"/>
        <v>0</v>
      </c>
    </row>
    <row r="16357" spans="20:20" ht="18.75" customHeight="1" x14ac:dyDescent="0.35">
      <c r="T16357" s="246">
        <f t="shared" si="293"/>
        <v>0</v>
      </c>
    </row>
    <row r="16358" spans="20:20" ht="18.75" customHeight="1" x14ac:dyDescent="0.35">
      <c r="T16358" s="246">
        <f t="shared" si="293"/>
        <v>0</v>
      </c>
    </row>
    <row r="16359" spans="20:20" ht="18.75" customHeight="1" x14ac:dyDescent="0.35">
      <c r="T16359" s="246">
        <f t="shared" si="293"/>
        <v>0</v>
      </c>
    </row>
    <row r="16360" spans="20:20" ht="18.75" customHeight="1" x14ac:dyDescent="0.35">
      <c r="T16360" s="246">
        <f t="shared" si="293"/>
        <v>0</v>
      </c>
    </row>
    <row r="16361" spans="20:20" ht="18.75" customHeight="1" x14ac:dyDescent="0.35">
      <c r="T16361" s="246">
        <f t="shared" si="293"/>
        <v>0</v>
      </c>
    </row>
    <row r="16362" spans="20:20" ht="18.75" customHeight="1" x14ac:dyDescent="0.35">
      <c r="T16362" s="246">
        <f t="shared" si="293"/>
        <v>0</v>
      </c>
    </row>
    <row r="16363" spans="20:20" ht="18.75" customHeight="1" x14ac:dyDescent="0.35">
      <c r="T16363" s="246">
        <f t="shared" si="293"/>
        <v>0</v>
      </c>
    </row>
    <row r="16364" spans="20:20" ht="18.75" customHeight="1" x14ac:dyDescent="0.35">
      <c r="T16364" s="246">
        <f t="shared" si="293"/>
        <v>0</v>
      </c>
    </row>
    <row r="16365" spans="20:20" ht="18.75" customHeight="1" x14ac:dyDescent="0.35">
      <c r="T16365" s="246">
        <f t="shared" si="293"/>
        <v>0</v>
      </c>
    </row>
    <row r="16366" spans="20:20" ht="18.75" customHeight="1" x14ac:dyDescent="0.35">
      <c r="T16366" s="246">
        <f t="shared" si="293"/>
        <v>0</v>
      </c>
    </row>
    <row r="16367" spans="20:20" ht="18.75" customHeight="1" x14ac:dyDescent="0.35">
      <c r="T16367" s="246">
        <f t="shared" si="293"/>
        <v>0</v>
      </c>
    </row>
    <row r="16368" spans="20:20" ht="18.75" customHeight="1" x14ac:dyDescent="0.35">
      <c r="T16368" s="246">
        <f t="shared" si="293"/>
        <v>0</v>
      </c>
    </row>
    <row r="16369" spans="20:20" ht="18.75" customHeight="1" x14ac:dyDescent="0.35">
      <c r="T16369" s="246">
        <f t="shared" si="293"/>
        <v>0</v>
      </c>
    </row>
    <row r="16370" spans="20:20" ht="18.75" customHeight="1" x14ac:dyDescent="0.35">
      <c r="T16370" s="246">
        <f t="shared" si="293"/>
        <v>0</v>
      </c>
    </row>
    <row r="16371" spans="20:20" ht="18.75" customHeight="1" x14ac:dyDescent="0.35">
      <c r="T16371" s="246">
        <f t="shared" si="293"/>
        <v>0</v>
      </c>
    </row>
    <row r="16372" spans="20:20" ht="18.75" customHeight="1" x14ac:dyDescent="0.35">
      <c r="T16372" s="246">
        <f t="shared" si="293"/>
        <v>0</v>
      </c>
    </row>
    <row r="16373" spans="20:20" ht="18.75" customHeight="1" x14ac:dyDescent="0.35">
      <c r="T16373" s="246">
        <f t="shared" si="293"/>
        <v>0</v>
      </c>
    </row>
    <row r="16374" spans="20:20" ht="18.75" customHeight="1" x14ac:dyDescent="0.35">
      <c r="T16374" s="246">
        <f t="shared" si="293"/>
        <v>0</v>
      </c>
    </row>
    <row r="16375" spans="20:20" ht="18.75" customHeight="1" x14ac:dyDescent="0.35">
      <c r="T16375" s="246">
        <f t="shared" si="293"/>
        <v>0</v>
      </c>
    </row>
    <row r="16376" spans="20:20" ht="18.75" customHeight="1" x14ac:dyDescent="0.35">
      <c r="T16376" s="246">
        <f t="shared" si="293"/>
        <v>0</v>
      </c>
    </row>
    <row r="16377" spans="20:20" ht="18.75" customHeight="1" x14ac:dyDescent="0.35">
      <c r="T16377" s="246">
        <f t="shared" si="293"/>
        <v>0</v>
      </c>
    </row>
    <row r="16378" spans="20:20" ht="18.75" customHeight="1" x14ac:dyDescent="0.35">
      <c r="T16378" s="246">
        <f t="shared" si="293"/>
        <v>0</v>
      </c>
    </row>
    <row r="16379" spans="20:20" ht="18.75" customHeight="1" x14ac:dyDescent="0.35">
      <c r="T16379" s="246">
        <f t="shared" si="293"/>
        <v>0</v>
      </c>
    </row>
    <row r="16380" spans="20:20" ht="18.75" customHeight="1" x14ac:dyDescent="0.35">
      <c r="T16380" s="246">
        <f t="shared" ref="T16380:T16443" si="294">R16380*0.01</f>
        <v>0</v>
      </c>
    </row>
    <row r="16381" spans="20:20" ht="18.75" customHeight="1" x14ac:dyDescent="0.35">
      <c r="T16381" s="246">
        <f t="shared" si="294"/>
        <v>0</v>
      </c>
    </row>
    <row r="16382" spans="20:20" ht="18.75" customHeight="1" x14ac:dyDescent="0.35">
      <c r="T16382" s="246">
        <f t="shared" si="294"/>
        <v>0</v>
      </c>
    </row>
    <row r="16383" spans="20:20" ht="18.75" customHeight="1" x14ac:dyDescent="0.35">
      <c r="T16383" s="246">
        <f t="shared" si="294"/>
        <v>0</v>
      </c>
    </row>
    <row r="16384" spans="20:20" ht="18.75" customHeight="1" x14ac:dyDescent="0.35">
      <c r="T16384" s="246">
        <f t="shared" si="294"/>
        <v>0</v>
      </c>
    </row>
    <row r="16385" spans="20:20" ht="18.75" customHeight="1" x14ac:dyDescent="0.35">
      <c r="T16385" s="246">
        <f t="shared" si="294"/>
        <v>0</v>
      </c>
    </row>
    <row r="16386" spans="20:20" ht="18.75" customHeight="1" x14ac:dyDescent="0.35">
      <c r="T16386" s="246">
        <f t="shared" si="294"/>
        <v>0</v>
      </c>
    </row>
    <row r="16387" spans="20:20" ht="18.75" customHeight="1" x14ac:dyDescent="0.35">
      <c r="T16387" s="246">
        <f t="shared" si="294"/>
        <v>0</v>
      </c>
    </row>
    <row r="16388" spans="20:20" ht="18.75" customHeight="1" x14ac:dyDescent="0.35">
      <c r="T16388" s="246">
        <f t="shared" si="294"/>
        <v>0</v>
      </c>
    </row>
    <row r="16389" spans="20:20" ht="18.75" customHeight="1" x14ac:dyDescent="0.35">
      <c r="T16389" s="246">
        <f t="shared" si="294"/>
        <v>0</v>
      </c>
    </row>
    <row r="16390" spans="20:20" ht="18.75" customHeight="1" x14ac:dyDescent="0.35">
      <c r="T16390" s="246">
        <f t="shared" si="294"/>
        <v>0</v>
      </c>
    </row>
    <row r="16391" spans="20:20" ht="18.75" customHeight="1" x14ac:dyDescent="0.35">
      <c r="T16391" s="246">
        <f t="shared" si="294"/>
        <v>0</v>
      </c>
    </row>
    <row r="16392" spans="20:20" ht="18.75" customHeight="1" x14ac:dyDescent="0.35">
      <c r="T16392" s="246">
        <f t="shared" si="294"/>
        <v>0</v>
      </c>
    </row>
    <row r="16393" spans="20:20" ht="18.75" customHeight="1" x14ac:dyDescent="0.35">
      <c r="T16393" s="246">
        <f t="shared" si="294"/>
        <v>0</v>
      </c>
    </row>
    <row r="16394" spans="20:20" ht="18.75" customHeight="1" x14ac:dyDescent="0.35">
      <c r="T16394" s="246">
        <f t="shared" si="294"/>
        <v>0</v>
      </c>
    </row>
    <row r="16395" spans="20:20" ht="18.75" customHeight="1" x14ac:dyDescent="0.35">
      <c r="T16395" s="246">
        <f t="shared" si="294"/>
        <v>0</v>
      </c>
    </row>
    <row r="16396" spans="20:20" ht="18.75" customHeight="1" x14ac:dyDescent="0.35">
      <c r="T16396" s="246">
        <f t="shared" si="294"/>
        <v>0</v>
      </c>
    </row>
    <row r="16397" spans="20:20" ht="18.75" customHeight="1" x14ac:dyDescent="0.35">
      <c r="T16397" s="246">
        <f t="shared" si="294"/>
        <v>0</v>
      </c>
    </row>
    <row r="16398" spans="20:20" ht="18.75" customHeight="1" x14ac:dyDescent="0.35">
      <c r="T16398" s="246">
        <f t="shared" si="294"/>
        <v>0</v>
      </c>
    </row>
    <row r="16399" spans="20:20" ht="18.75" customHeight="1" x14ac:dyDescent="0.35">
      <c r="T16399" s="246">
        <f t="shared" si="294"/>
        <v>0</v>
      </c>
    </row>
    <row r="16400" spans="20:20" ht="18.75" customHeight="1" x14ac:dyDescent="0.35">
      <c r="T16400" s="246">
        <f t="shared" si="294"/>
        <v>0</v>
      </c>
    </row>
    <row r="16401" spans="20:20" ht="18.75" customHeight="1" x14ac:dyDescent="0.35">
      <c r="T16401" s="246">
        <f t="shared" si="294"/>
        <v>0</v>
      </c>
    </row>
    <row r="16402" spans="20:20" ht="18.75" customHeight="1" x14ac:dyDescent="0.35">
      <c r="T16402" s="246">
        <f t="shared" si="294"/>
        <v>0</v>
      </c>
    </row>
    <row r="16403" spans="20:20" ht="18.75" customHeight="1" x14ac:dyDescent="0.35">
      <c r="T16403" s="246">
        <f t="shared" si="294"/>
        <v>0</v>
      </c>
    </row>
    <row r="16404" spans="20:20" ht="18.75" customHeight="1" x14ac:dyDescent="0.35">
      <c r="T16404" s="246">
        <f t="shared" si="294"/>
        <v>0</v>
      </c>
    </row>
    <row r="16405" spans="20:20" ht="18.75" customHeight="1" x14ac:dyDescent="0.35">
      <c r="T16405" s="246">
        <f t="shared" si="294"/>
        <v>0</v>
      </c>
    </row>
    <row r="16406" spans="20:20" ht="18.75" customHeight="1" x14ac:dyDescent="0.35">
      <c r="T16406" s="246">
        <f t="shared" si="294"/>
        <v>0</v>
      </c>
    </row>
    <row r="16407" spans="20:20" ht="18.75" customHeight="1" x14ac:dyDescent="0.35">
      <c r="T16407" s="246">
        <f t="shared" si="294"/>
        <v>0</v>
      </c>
    </row>
    <row r="16408" spans="20:20" ht="18.75" customHeight="1" x14ac:dyDescent="0.35">
      <c r="T16408" s="246">
        <f t="shared" si="294"/>
        <v>0</v>
      </c>
    </row>
    <row r="16409" spans="20:20" ht="18.75" customHeight="1" x14ac:dyDescent="0.35">
      <c r="T16409" s="246">
        <f t="shared" si="294"/>
        <v>0</v>
      </c>
    </row>
    <row r="16410" spans="20:20" ht="18.75" customHeight="1" x14ac:dyDescent="0.35">
      <c r="T16410" s="246">
        <f t="shared" si="294"/>
        <v>0</v>
      </c>
    </row>
    <row r="16411" spans="20:20" ht="18.75" customHeight="1" x14ac:dyDescent="0.35">
      <c r="T16411" s="246">
        <f t="shared" si="294"/>
        <v>0</v>
      </c>
    </row>
    <row r="16412" spans="20:20" ht="18.75" customHeight="1" x14ac:dyDescent="0.35">
      <c r="T16412" s="246">
        <f t="shared" si="294"/>
        <v>0</v>
      </c>
    </row>
    <row r="16413" spans="20:20" ht="18.75" customHeight="1" x14ac:dyDescent="0.35">
      <c r="T16413" s="246">
        <f t="shared" si="294"/>
        <v>0</v>
      </c>
    </row>
    <row r="16414" spans="20:20" ht="18.75" customHeight="1" x14ac:dyDescent="0.35">
      <c r="T16414" s="246">
        <f t="shared" si="294"/>
        <v>0</v>
      </c>
    </row>
    <row r="16415" spans="20:20" ht="18.75" customHeight="1" x14ac:dyDescent="0.35">
      <c r="T16415" s="246">
        <f t="shared" si="294"/>
        <v>0</v>
      </c>
    </row>
    <row r="16416" spans="20:20" ht="18.75" customHeight="1" x14ac:dyDescent="0.35">
      <c r="T16416" s="246">
        <f t="shared" si="294"/>
        <v>0</v>
      </c>
    </row>
    <row r="16417" spans="20:20" ht="18.75" customHeight="1" x14ac:dyDescent="0.35">
      <c r="T16417" s="246">
        <f t="shared" si="294"/>
        <v>0</v>
      </c>
    </row>
    <row r="16418" spans="20:20" ht="18.75" customHeight="1" x14ac:dyDescent="0.35">
      <c r="T16418" s="246">
        <f t="shared" si="294"/>
        <v>0</v>
      </c>
    </row>
    <row r="16419" spans="20:20" ht="18.75" customHeight="1" x14ac:dyDescent="0.35">
      <c r="T16419" s="246">
        <f t="shared" si="294"/>
        <v>0</v>
      </c>
    </row>
    <row r="16420" spans="20:20" ht="18.75" customHeight="1" x14ac:dyDescent="0.35">
      <c r="T16420" s="246">
        <f t="shared" si="294"/>
        <v>0</v>
      </c>
    </row>
    <row r="16421" spans="20:20" ht="18.75" customHeight="1" x14ac:dyDescent="0.35">
      <c r="T16421" s="246">
        <f t="shared" si="294"/>
        <v>0</v>
      </c>
    </row>
    <row r="16422" spans="20:20" ht="18.75" customHeight="1" x14ac:dyDescent="0.35">
      <c r="T16422" s="246">
        <f t="shared" si="294"/>
        <v>0</v>
      </c>
    </row>
    <row r="16423" spans="20:20" ht="18.75" customHeight="1" x14ac:dyDescent="0.35">
      <c r="T16423" s="246">
        <f t="shared" si="294"/>
        <v>0</v>
      </c>
    </row>
    <row r="16424" spans="20:20" ht="18.75" customHeight="1" x14ac:dyDescent="0.35">
      <c r="T16424" s="246">
        <f t="shared" si="294"/>
        <v>0</v>
      </c>
    </row>
    <row r="16425" spans="20:20" ht="18.75" customHeight="1" x14ac:dyDescent="0.35">
      <c r="T16425" s="246">
        <f t="shared" si="294"/>
        <v>0</v>
      </c>
    </row>
    <row r="16426" spans="20:20" ht="18.75" customHeight="1" x14ac:dyDescent="0.35">
      <c r="T16426" s="246">
        <f t="shared" si="294"/>
        <v>0</v>
      </c>
    </row>
    <row r="16427" spans="20:20" ht="18.75" customHeight="1" x14ac:dyDescent="0.35">
      <c r="T16427" s="246">
        <f t="shared" si="294"/>
        <v>0</v>
      </c>
    </row>
    <row r="16428" spans="20:20" ht="18.75" customHeight="1" x14ac:dyDescent="0.35">
      <c r="T16428" s="246">
        <f t="shared" si="294"/>
        <v>0</v>
      </c>
    </row>
    <row r="16429" spans="20:20" ht="18.75" customHeight="1" x14ac:dyDescent="0.35">
      <c r="T16429" s="246">
        <f t="shared" si="294"/>
        <v>0</v>
      </c>
    </row>
    <row r="16430" spans="20:20" ht="18.75" customHeight="1" x14ac:dyDescent="0.35">
      <c r="T16430" s="246">
        <f t="shared" si="294"/>
        <v>0</v>
      </c>
    </row>
    <row r="16431" spans="20:20" ht="18.75" customHeight="1" x14ac:dyDescent="0.35">
      <c r="T16431" s="246">
        <f t="shared" si="294"/>
        <v>0</v>
      </c>
    </row>
    <row r="16432" spans="20:20" ht="18.75" customHeight="1" x14ac:dyDescent="0.35">
      <c r="T16432" s="246">
        <f t="shared" si="294"/>
        <v>0</v>
      </c>
    </row>
    <row r="16433" spans="20:20" ht="18.75" customHeight="1" x14ac:dyDescent="0.35">
      <c r="T16433" s="246">
        <f t="shared" si="294"/>
        <v>0</v>
      </c>
    </row>
    <row r="16434" spans="20:20" ht="18.75" customHeight="1" x14ac:dyDescent="0.35">
      <c r="T16434" s="246">
        <f t="shared" si="294"/>
        <v>0</v>
      </c>
    </row>
    <row r="16435" spans="20:20" ht="18.75" customHeight="1" x14ac:dyDescent="0.35">
      <c r="T16435" s="246">
        <f t="shared" si="294"/>
        <v>0</v>
      </c>
    </row>
    <row r="16436" spans="20:20" ht="18.75" customHeight="1" x14ac:dyDescent="0.35">
      <c r="T16436" s="246">
        <f t="shared" si="294"/>
        <v>0</v>
      </c>
    </row>
    <row r="16437" spans="20:20" ht="18.75" customHeight="1" x14ac:dyDescent="0.35">
      <c r="T16437" s="246">
        <f t="shared" si="294"/>
        <v>0</v>
      </c>
    </row>
    <row r="16438" spans="20:20" ht="18.75" customHeight="1" x14ac:dyDescent="0.35">
      <c r="T16438" s="246">
        <f t="shared" si="294"/>
        <v>0</v>
      </c>
    </row>
    <row r="16439" spans="20:20" ht="18.75" customHeight="1" x14ac:dyDescent="0.35">
      <c r="T16439" s="246">
        <f t="shared" si="294"/>
        <v>0</v>
      </c>
    </row>
    <row r="16440" spans="20:20" ht="18.75" customHeight="1" x14ac:dyDescent="0.35">
      <c r="T16440" s="246">
        <f t="shared" si="294"/>
        <v>0</v>
      </c>
    </row>
    <row r="16441" spans="20:20" ht="18.75" customHeight="1" x14ac:dyDescent="0.35">
      <c r="T16441" s="246">
        <f t="shared" si="294"/>
        <v>0</v>
      </c>
    </row>
    <row r="16442" spans="20:20" ht="18.75" customHeight="1" x14ac:dyDescent="0.35">
      <c r="T16442" s="246">
        <f t="shared" si="294"/>
        <v>0</v>
      </c>
    </row>
    <row r="16443" spans="20:20" ht="18.75" customHeight="1" x14ac:dyDescent="0.35">
      <c r="T16443" s="246">
        <f t="shared" si="294"/>
        <v>0</v>
      </c>
    </row>
    <row r="16444" spans="20:20" ht="18.75" customHeight="1" x14ac:dyDescent="0.35">
      <c r="T16444" s="246">
        <f t="shared" ref="T16444:T16507" si="295">R16444*0.01</f>
        <v>0</v>
      </c>
    </row>
    <row r="16445" spans="20:20" ht="18.75" customHeight="1" x14ac:dyDescent="0.35">
      <c r="T16445" s="246">
        <f t="shared" si="295"/>
        <v>0</v>
      </c>
    </row>
    <row r="16446" spans="20:20" ht="18.75" customHeight="1" x14ac:dyDescent="0.35">
      <c r="T16446" s="246">
        <f t="shared" si="295"/>
        <v>0</v>
      </c>
    </row>
    <row r="16447" spans="20:20" ht="18.75" customHeight="1" x14ac:dyDescent="0.35">
      <c r="T16447" s="246">
        <f t="shared" si="295"/>
        <v>0</v>
      </c>
    </row>
    <row r="16448" spans="20:20" ht="18.75" customHeight="1" x14ac:dyDescent="0.35">
      <c r="T16448" s="246">
        <f t="shared" si="295"/>
        <v>0</v>
      </c>
    </row>
    <row r="16449" spans="20:20" ht="18.75" customHeight="1" x14ac:dyDescent="0.35">
      <c r="T16449" s="246">
        <f t="shared" si="295"/>
        <v>0</v>
      </c>
    </row>
    <row r="16450" spans="20:20" ht="18.75" customHeight="1" x14ac:dyDescent="0.35">
      <c r="T16450" s="246">
        <f t="shared" si="295"/>
        <v>0</v>
      </c>
    </row>
    <row r="16451" spans="20:20" ht="18.75" customHeight="1" x14ac:dyDescent="0.35">
      <c r="T16451" s="246">
        <f t="shared" si="295"/>
        <v>0</v>
      </c>
    </row>
    <row r="16452" spans="20:20" ht="18.75" customHeight="1" x14ac:dyDescent="0.35">
      <c r="T16452" s="246">
        <f t="shared" si="295"/>
        <v>0</v>
      </c>
    </row>
    <row r="16453" spans="20:20" ht="18.75" customHeight="1" x14ac:dyDescent="0.35">
      <c r="T16453" s="246">
        <f t="shared" si="295"/>
        <v>0</v>
      </c>
    </row>
    <row r="16454" spans="20:20" ht="18.75" customHeight="1" x14ac:dyDescent="0.35">
      <c r="T16454" s="246">
        <f t="shared" si="295"/>
        <v>0</v>
      </c>
    </row>
    <row r="16455" spans="20:20" ht="18.75" customHeight="1" x14ac:dyDescent="0.35">
      <c r="T16455" s="246">
        <f t="shared" si="295"/>
        <v>0</v>
      </c>
    </row>
    <row r="16456" spans="20:20" ht="18.75" customHeight="1" x14ac:dyDescent="0.35">
      <c r="T16456" s="246">
        <f t="shared" si="295"/>
        <v>0</v>
      </c>
    </row>
    <row r="16457" spans="20:20" ht="18.75" customHeight="1" x14ac:dyDescent="0.35">
      <c r="T16457" s="246">
        <f t="shared" si="295"/>
        <v>0</v>
      </c>
    </row>
    <row r="16458" spans="20:20" ht="18.75" customHeight="1" x14ac:dyDescent="0.35">
      <c r="T16458" s="246">
        <f t="shared" si="295"/>
        <v>0</v>
      </c>
    </row>
    <row r="16459" spans="20:20" ht="18.75" customHeight="1" x14ac:dyDescent="0.35">
      <c r="T16459" s="246">
        <f t="shared" si="295"/>
        <v>0</v>
      </c>
    </row>
    <row r="16460" spans="20:20" ht="18.75" customHeight="1" x14ac:dyDescent="0.35">
      <c r="T16460" s="246">
        <f t="shared" si="295"/>
        <v>0</v>
      </c>
    </row>
    <row r="16461" spans="20:20" ht="18.75" customHeight="1" x14ac:dyDescent="0.35">
      <c r="T16461" s="246">
        <f t="shared" si="295"/>
        <v>0</v>
      </c>
    </row>
    <row r="16462" spans="20:20" ht="18.75" customHeight="1" x14ac:dyDescent="0.35">
      <c r="T16462" s="246">
        <f t="shared" si="295"/>
        <v>0</v>
      </c>
    </row>
    <row r="16463" spans="20:20" ht="18.75" customHeight="1" x14ac:dyDescent="0.35">
      <c r="T16463" s="246">
        <f t="shared" si="295"/>
        <v>0</v>
      </c>
    </row>
    <row r="16464" spans="20:20" ht="18.75" customHeight="1" x14ac:dyDescent="0.35">
      <c r="T16464" s="246">
        <f t="shared" si="295"/>
        <v>0</v>
      </c>
    </row>
    <row r="16465" spans="20:20" ht="18.75" customHeight="1" x14ac:dyDescent="0.35">
      <c r="T16465" s="246">
        <f t="shared" si="295"/>
        <v>0</v>
      </c>
    </row>
    <row r="16466" spans="20:20" ht="18.75" customHeight="1" x14ac:dyDescent="0.35">
      <c r="T16466" s="246">
        <f t="shared" si="295"/>
        <v>0</v>
      </c>
    </row>
    <row r="16467" spans="20:20" ht="18.75" customHeight="1" x14ac:dyDescent="0.35">
      <c r="T16467" s="246">
        <f t="shared" si="295"/>
        <v>0</v>
      </c>
    </row>
    <row r="16468" spans="20:20" ht="18.75" customHeight="1" x14ac:dyDescent="0.35">
      <c r="T16468" s="246">
        <f t="shared" si="295"/>
        <v>0</v>
      </c>
    </row>
    <row r="16469" spans="20:20" ht="18.75" customHeight="1" x14ac:dyDescent="0.35">
      <c r="T16469" s="246">
        <f t="shared" si="295"/>
        <v>0</v>
      </c>
    </row>
    <row r="16470" spans="20:20" ht="18.75" customHeight="1" x14ac:dyDescent="0.35">
      <c r="T16470" s="246">
        <f t="shared" si="295"/>
        <v>0</v>
      </c>
    </row>
    <row r="16471" spans="20:20" ht="18.75" customHeight="1" x14ac:dyDescent="0.35">
      <c r="T16471" s="246">
        <f t="shared" si="295"/>
        <v>0</v>
      </c>
    </row>
    <row r="16472" spans="20:20" ht="18.75" customHeight="1" x14ac:dyDescent="0.35">
      <c r="T16472" s="246">
        <f t="shared" si="295"/>
        <v>0</v>
      </c>
    </row>
    <row r="16473" spans="20:20" ht="18.75" customHeight="1" x14ac:dyDescent="0.35">
      <c r="T16473" s="246">
        <f t="shared" si="295"/>
        <v>0</v>
      </c>
    </row>
    <row r="16474" spans="20:20" ht="18.75" customHeight="1" x14ac:dyDescent="0.35">
      <c r="T16474" s="246">
        <f t="shared" si="295"/>
        <v>0</v>
      </c>
    </row>
    <row r="16475" spans="20:20" ht="18.75" customHeight="1" x14ac:dyDescent="0.35">
      <c r="T16475" s="246">
        <f t="shared" si="295"/>
        <v>0</v>
      </c>
    </row>
    <row r="16476" spans="20:20" ht="18.75" customHeight="1" x14ac:dyDescent="0.35">
      <c r="T16476" s="246">
        <f t="shared" si="295"/>
        <v>0</v>
      </c>
    </row>
    <row r="16477" spans="20:20" ht="18.75" customHeight="1" x14ac:dyDescent="0.35">
      <c r="T16477" s="246">
        <f t="shared" si="295"/>
        <v>0</v>
      </c>
    </row>
    <row r="16478" spans="20:20" ht="18.75" customHeight="1" x14ac:dyDescent="0.35">
      <c r="T16478" s="246">
        <f t="shared" si="295"/>
        <v>0</v>
      </c>
    </row>
    <row r="16479" spans="20:20" ht="18.75" customHeight="1" x14ac:dyDescent="0.35">
      <c r="T16479" s="246">
        <f t="shared" si="295"/>
        <v>0</v>
      </c>
    </row>
    <row r="16480" spans="20:20" ht="18.75" customHeight="1" x14ac:dyDescent="0.35">
      <c r="T16480" s="246">
        <f t="shared" si="295"/>
        <v>0</v>
      </c>
    </row>
    <row r="16481" spans="20:20" ht="18.75" customHeight="1" x14ac:dyDescent="0.35">
      <c r="T16481" s="246">
        <f t="shared" si="295"/>
        <v>0</v>
      </c>
    </row>
    <row r="16482" spans="20:20" ht="18.75" customHeight="1" x14ac:dyDescent="0.35">
      <c r="T16482" s="246">
        <f t="shared" si="295"/>
        <v>0</v>
      </c>
    </row>
    <row r="16483" spans="20:20" ht="18.75" customHeight="1" x14ac:dyDescent="0.35">
      <c r="T16483" s="246">
        <f t="shared" si="295"/>
        <v>0</v>
      </c>
    </row>
    <row r="16484" spans="20:20" ht="18.75" customHeight="1" x14ac:dyDescent="0.35">
      <c r="T16484" s="246">
        <f t="shared" si="295"/>
        <v>0</v>
      </c>
    </row>
    <row r="16485" spans="20:20" ht="18.75" customHeight="1" x14ac:dyDescent="0.35">
      <c r="T16485" s="246">
        <f t="shared" si="295"/>
        <v>0</v>
      </c>
    </row>
    <row r="16486" spans="20:20" ht="18.75" customHeight="1" x14ac:dyDescent="0.35">
      <c r="T16486" s="246">
        <f t="shared" si="295"/>
        <v>0</v>
      </c>
    </row>
    <row r="16487" spans="20:20" ht="18.75" customHeight="1" x14ac:dyDescent="0.35">
      <c r="T16487" s="246">
        <f t="shared" si="295"/>
        <v>0</v>
      </c>
    </row>
    <row r="16488" spans="20:20" ht="18.75" customHeight="1" x14ac:dyDescent="0.35">
      <c r="T16488" s="246">
        <f t="shared" si="295"/>
        <v>0</v>
      </c>
    </row>
    <row r="16489" spans="20:20" ht="18.75" customHeight="1" x14ac:dyDescent="0.35">
      <c r="T16489" s="246">
        <f t="shared" si="295"/>
        <v>0</v>
      </c>
    </row>
    <row r="16490" spans="20:20" ht="18.75" customHeight="1" x14ac:dyDescent="0.35">
      <c r="T16490" s="246">
        <f t="shared" si="295"/>
        <v>0</v>
      </c>
    </row>
    <row r="16491" spans="20:20" ht="18.75" customHeight="1" x14ac:dyDescent="0.35">
      <c r="T16491" s="246">
        <f t="shared" si="295"/>
        <v>0</v>
      </c>
    </row>
    <row r="16492" spans="20:20" ht="18.75" customHeight="1" x14ac:dyDescent="0.35">
      <c r="T16492" s="246">
        <f t="shared" si="295"/>
        <v>0</v>
      </c>
    </row>
    <row r="16493" spans="20:20" ht="18.75" customHeight="1" x14ac:dyDescent="0.35">
      <c r="T16493" s="246">
        <f t="shared" si="295"/>
        <v>0</v>
      </c>
    </row>
    <row r="16494" spans="20:20" ht="18.75" customHeight="1" x14ac:dyDescent="0.35">
      <c r="T16494" s="246">
        <f t="shared" si="295"/>
        <v>0</v>
      </c>
    </row>
    <row r="16495" spans="20:20" ht="18.75" customHeight="1" x14ac:dyDescent="0.35">
      <c r="T16495" s="246">
        <f t="shared" si="295"/>
        <v>0</v>
      </c>
    </row>
    <row r="16496" spans="20:20" ht="18.75" customHeight="1" x14ac:dyDescent="0.35">
      <c r="T16496" s="246">
        <f t="shared" si="295"/>
        <v>0</v>
      </c>
    </row>
    <row r="16497" spans="20:20" ht="18.75" customHeight="1" x14ac:dyDescent="0.35">
      <c r="T16497" s="246">
        <f t="shared" si="295"/>
        <v>0</v>
      </c>
    </row>
    <row r="16498" spans="20:20" ht="18.75" customHeight="1" x14ac:dyDescent="0.35">
      <c r="T16498" s="246">
        <f t="shared" si="295"/>
        <v>0</v>
      </c>
    </row>
    <row r="16499" spans="20:20" ht="18.75" customHeight="1" x14ac:dyDescent="0.35">
      <c r="T16499" s="246">
        <f t="shared" si="295"/>
        <v>0</v>
      </c>
    </row>
    <row r="16500" spans="20:20" ht="18.75" customHeight="1" x14ac:dyDescent="0.35">
      <c r="T16500" s="246">
        <f t="shared" si="295"/>
        <v>0</v>
      </c>
    </row>
    <row r="16501" spans="20:20" ht="18.75" customHeight="1" x14ac:dyDescent="0.35">
      <c r="T16501" s="246">
        <f t="shared" si="295"/>
        <v>0</v>
      </c>
    </row>
    <row r="16502" spans="20:20" ht="18.75" customHeight="1" x14ac:dyDescent="0.35">
      <c r="T16502" s="246">
        <f t="shared" si="295"/>
        <v>0</v>
      </c>
    </row>
    <row r="16503" spans="20:20" ht="18.75" customHeight="1" x14ac:dyDescent="0.35">
      <c r="T16503" s="246">
        <f t="shared" si="295"/>
        <v>0</v>
      </c>
    </row>
    <row r="16504" spans="20:20" ht="18.75" customHeight="1" x14ac:dyDescent="0.35">
      <c r="T16504" s="246">
        <f t="shared" si="295"/>
        <v>0</v>
      </c>
    </row>
    <row r="16505" spans="20:20" ht="18.75" customHeight="1" x14ac:dyDescent="0.35">
      <c r="T16505" s="246">
        <f t="shared" si="295"/>
        <v>0</v>
      </c>
    </row>
    <row r="16506" spans="20:20" ht="18.75" customHeight="1" x14ac:dyDescent="0.35">
      <c r="T16506" s="246">
        <f t="shared" si="295"/>
        <v>0</v>
      </c>
    </row>
    <row r="16507" spans="20:20" ht="18.75" customHeight="1" x14ac:dyDescent="0.35">
      <c r="T16507" s="246">
        <f t="shared" si="295"/>
        <v>0</v>
      </c>
    </row>
    <row r="16508" spans="20:20" ht="18.75" customHeight="1" x14ac:dyDescent="0.35">
      <c r="T16508" s="246">
        <f t="shared" ref="T16508:T16571" si="296">R16508*0.01</f>
        <v>0</v>
      </c>
    </row>
    <row r="16509" spans="20:20" ht="18.75" customHeight="1" x14ac:dyDescent="0.35">
      <c r="T16509" s="246">
        <f t="shared" si="296"/>
        <v>0</v>
      </c>
    </row>
    <row r="16510" spans="20:20" ht="18.75" customHeight="1" x14ac:dyDescent="0.35">
      <c r="T16510" s="246">
        <f t="shared" si="296"/>
        <v>0</v>
      </c>
    </row>
    <row r="16511" spans="20:20" ht="18.75" customHeight="1" x14ac:dyDescent="0.35">
      <c r="T16511" s="246">
        <f t="shared" si="296"/>
        <v>0</v>
      </c>
    </row>
    <row r="16512" spans="20:20" ht="18.75" customHeight="1" x14ac:dyDescent="0.35">
      <c r="T16512" s="246">
        <f t="shared" si="296"/>
        <v>0</v>
      </c>
    </row>
    <row r="16513" spans="20:20" ht="18.75" customHeight="1" x14ac:dyDescent="0.35">
      <c r="T16513" s="246">
        <f t="shared" si="296"/>
        <v>0</v>
      </c>
    </row>
    <row r="16514" spans="20:20" ht="18.75" customHeight="1" x14ac:dyDescent="0.35">
      <c r="T16514" s="246">
        <f t="shared" si="296"/>
        <v>0</v>
      </c>
    </row>
    <row r="16515" spans="20:20" ht="18.75" customHeight="1" x14ac:dyDescent="0.35">
      <c r="T16515" s="246">
        <f t="shared" si="296"/>
        <v>0</v>
      </c>
    </row>
    <row r="16516" spans="20:20" ht="18.75" customHeight="1" x14ac:dyDescent="0.35">
      <c r="T16516" s="246">
        <f t="shared" si="296"/>
        <v>0</v>
      </c>
    </row>
    <row r="16517" spans="20:20" ht="18.75" customHeight="1" x14ac:dyDescent="0.35">
      <c r="T16517" s="246">
        <f t="shared" si="296"/>
        <v>0</v>
      </c>
    </row>
    <row r="16518" spans="20:20" ht="18.75" customHeight="1" x14ac:dyDescent="0.35">
      <c r="T16518" s="246">
        <f t="shared" si="296"/>
        <v>0</v>
      </c>
    </row>
    <row r="16519" spans="20:20" ht="18.75" customHeight="1" x14ac:dyDescent="0.35">
      <c r="T16519" s="246">
        <f t="shared" si="296"/>
        <v>0</v>
      </c>
    </row>
    <row r="16520" spans="20:20" ht="18.75" customHeight="1" x14ac:dyDescent="0.35">
      <c r="T16520" s="246">
        <f t="shared" si="296"/>
        <v>0</v>
      </c>
    </row>
    <row r="16521" spans="20:20" ht="18.75" customHeight="1" x14ac:dyDescent="0.35">
      <c r="T16521" s="246">
        <f t="shared" si="296"/>
        <v>0</v>
      </c>
    </row>
    <row r="16522" spans="20:20" ht="18.75" customHeight="1" x14ac:dyDescent="0.35">
      <c r="T16522" s="246">
        <f t="shared" si="296"/>
        <v>0</v>
      </c>
    </row>
    <row r="16523" spans="20:20" ht="18.75" customHeight="1" x14ac:dyDescent="0.35">
      <c r="T16523" s="246">
        <f t="shared" si="296"/>
        <v>0</v>
      </c>
    </row>
    <row r="16524" spans="20:20" ht="18.75" customHeight="1" x14ac:dyDescent="0.35">
      <c r="T16524" s="246">
        <f t="shared" si="296"/>
        <v>0</v>
      </c>
    </row>
    <row r="16525" spans="20:20" ht="18.75" customHeight="1" x14ac:dyDescent="0.35">
      <c r="T16525" s="246">
        <f t="shared" si="296"/>
        <v>0</v>
      </c>
    </row>
    <row r="16526" spans="20:20" ht="18.75" customHeight="1" x14ac:dyDescent="0.35">
      <c r="T16526" s="246">
        <f t="shared" si="296"/>
        <v>0</v>
      </c>
    </row>
    <row r="16527" spans="20:20" ht="18.75" customHeight="1" x14ac:dyDescent="0.35">
      <c r="T16527" s="246">
        <f t="shared" si="296"/>
        <v>0</v>
      </c>
    </row>
    <row r="16528" spans="20:20" ht="18.75" customHeight="1" x14ac:dyDescent="0.35">
      <c r="T16528" s="246">
        <f t="shared" si="296"/>
        <v>0</v>
      </c>
    </row>
    <row r="16529" spans="20:20" ht="18.75" customHeight="1" x14ac:dyDescent="0.35">
      <c r="T16529" s="246">
        <f t="shared" si="296"/>
        <v>0</v>
      </c>
    </row>
    <row r="16530" spans="20:20" ht="18.75" customHeight="1" x14ac:dyDescent="0.35">
      <c r="T16530" s="246">
        <f t="shared" si="296"/>
        <v>0</v>
      </c>
    </row>
    <row r="16531" spans="20:20" ht="18.75" customHeight="1" x14ac:dyDescent="0.35">
      <c r="T16531" s="246">
        <f t="shared" si="296"/>
        <v>0</v>
      </c>
    </row>
    <row r="16532" spans="20:20" ht="18.75" customHeight="1" x14ac:dyDescent="0.35">
      <c r="T16532" s="246">
        <f t="shared" si="296"/>
        <v>0</v>
      </c>
    </row>
    <row r="16533" spans="20:20" ht="18.75" customHeight="1" x14ac:dyDescent="0.35">
      <c r="T16533" s="246">
        <f t="shared" si="296"/>
        <v>0</v>
      </c>
    </row>
    <row r="16534" spans="20:20" ht="18.75" customHeight="1" x14ac:dyDescent="0.35">
      <c r="T16534" s="246">
        <f t="shared" si="296"/>
        <v>0</v>
      </c>
    </row>
    <row r="16535" spans="20:20" ht="18.75" customHeight="1" x14ac:dyDescent="0.35">
      <c r="T16535" s="246">
        <f t="shared" si="296"/>
        <v>0</v>
      </c>
    </row>
    <row r="16536" spans="20:20" ht="18.75" customHeight="1" x14ac:dyDescent="0.35">
      <c r="T16536" s="246">
        <f t="shared" si="296"/>
        <v>0</v>
      </c>
    </row>
    <row r="16537" spans="20:20" ht="18.75" customHeight="1" x14ac:dyDescent="0.35">
      <c r="T16537" s="246">
        <f t="shared" si="296"/>
        <v>0</v>
      </c>
    </row>
    <row r="16538" spans="20:20" ht="18.75" customHeight="1" x14ac:dyDescent="0.35">
      <c r="T16538" s="246">
        <f t="shared" si="296"/>
        <v>0</v>
      </c>
    </row>
    <row r="16539" spans="20:20" ht="18.75" customHeight="1" x14ac:dyDescent="0.35">
      <c r="T16539" s="246">
        <f t="shared" si="296"/>
        <v>0</v>
      </c>
    </row>
    <row r="16540" spans="20:20" ht="18.75" customHeight="1" x14ac:dyDescent="0.35">
      <c r="T16540" s="246">
        <f t="shared" si="296"/>
        <v>0</v>
      </c>
    </row>
    <row r="16541" spans="20:20" ht="18.75" customHeight="1" x14ac:dyDescent="0.35">
      <c r="T16541" s="246">
        <f t="shared" si="296"/>
        <v>0</v>
      </c>
    </row>
    <row r="16542" spans="20:20" ht="18.75" customHeight="1" x14ac:dyDescent="0.35">
      <c r="T16542" s="246">
        <f t="shared" si="296"/>
        <v>0</v>
      </c>
    </row>
    <row r="16543" spans="20:20" ht="18.75" customHeight="1" x14ac:dyDescent="0.35">
      <c r="T16543" s="246">
        <f t="shared" si="296"/>
        <v>0</v>
      </c>
    </row>
    <row r="16544" spans="20:20" ht="18.75" customHeight="1" x14ac:dyDescent="0.35">
      <c r="T16544" s="246">
        <f t="shared" si="296"/>
        <v>0</v>
      </c>
    </row>
    <row r="16545" spans="20:20" ht="18.75" customHeight="1" x14ac:dyDescent="0.35">
      <c r="T16545" s="246">
        <f t="shared" si="296"/>
        <v>0</v>
      </c>
    </row>
    <row r="16546" spans="20:20" ht="18.75" customHeight="1" x14ac:dyDescent="0.35">
      <c r="T16546" s="246">
        <f t="shared" si="296"/>
        <v>0</v>
      </c>
    </row>
    <row r="16547" spans="20:20" ht="18.75" customHeight="1" x14ac:dyDescent="0.35">
      <c r="T16547" s="246">
        <f t="shared" si="296"/>
        <v>0</v>
      </c>
    </row>
    <row r="16548" spans="20:20" ht="18.75" customHeight="1" x14ac:dyDescent="0.35">
      <c r="T16548" s="246">
        <f t="shared" si="296"/>
        <v>0</v>
      </c>
    </row>
    <row r="16549" spans="20:20" ht="18.75" customHeight="1" x14ac:dyDescent="0.35">
      <c r="T16549" s="246">
        <f t="shared" si="296"/>
        <v>0</v>
      </c>
    </row>
    <row r="16550" spans="20:20" ht="18.75" customHeight="1" x14ac:dyDescent="0.35">
      <c r="T16550" s="246">
        <f t="shared" si="296"/>
        <v>0</v>
      </c>
    </row>
    <row r="16551" spans="20:20" ht="18.75" customHeight="1" x14ac:dyDescent="0.35">
      <c r="T16551" s="246">
        <f t="shared" si="296"/>
        <v>0</v>
      </c>
    </row>
    <row r="16552" spans="20:20" ht="18.75" customHeight="1" x14ac:dyDescent="0.35">
      <c r="T16552" s="246">
        <f t="shared" si="296"/>
        <v>0</v>
      </c>
    </row>
    <row r="16553" spans="20:20" ht="18.75" customHeight="1" x14ac:dyDescent="0.35">
      <c r="T16553" s="246">
        <f t="shared" si="296"/>
        <v>0</v>
      </c>
    </row>
    <row r="16554" spans="20:20" ht="18.75" customHeight="1" x14ac:dyDescent="0.35">
      <c r="T16554" s="246">
        <f t="shared" si="296"/>
        <v>0</v>
      </c>
    </row>
    <row r="16555" spans="20:20" ht="18.75" customHeight="1" x14ac:dyDescent="0.35">
      <c r="T16555" s="246">
        <f t="shared" si="296"/>
        <v>0</v>
      </c>
    </row>
    <row r="16556" spans="20:20" ht="18.75" customHeight="1" x14ac:dyDescent="0.35">
      <c r="T16556" s="246">
        <f t="shared" si="296"/>
        <v>0</v>
      </c>
    </row>
    <row r="16557" spans="20:20" ht="18.75" customHeight="1" x14ac:dyDescent="0.35">
      <c r="T16557" s="246">
        <f t="shared" si="296"/>
        <v>0</v>
      </c>
    </row>
    <row r="16558" spans="20:20" ht="18.75" customHeight="1" x14ac:dyDescent="0.35">
      <c r="T16558" s="246">
        <f t="shared" si="296"/>
        <v>0</v>
      </c>
    </row>
    <row r="16559" spans="20:20" ht="18.75" customHeight="1" x14ac:dyDescent="0.35">
      <c r="T16559" s="246">
        <f t="shared" si="296"/>
        <v>0</v>
      </c>
    </row>
    <row r="16560" spans="20:20" ht="18.75" customHeight="1" x14ac:dyDescent="0.35">
      <c r="T16560" s="246">
        <f t="shared" si="296"/>
        <v>0</v>
      </c>
    </row>
    <row r="16561" spans="20:20" ht="18.75" customHeight="1" x14ac:dyDescent="0.35">
      <c r="T16561" s="246">
        <f t="shared" si="296"/>
        <v>0</v>
      </c>
    </row>
    <row r="16562" spans="20:20" ht="18.75" customHeight="1" x14ac:dyDescent="0.35">
      <c r="T16562" s="246">
        <f t="shared" si="296"/>
        <v>0</v>
      </c>
    </row>
    <row r="16563" spans="20:20" ht="18.75" customHeight="1" x14ac:dyDescent="0.35">
      <c r="T16563" s="246">
        <f t="shared" si="296"/>
        <v>0</v>
      </c>
    </row>
    <row r="16564" spans="20:20" ht="18.75" customHeight="1" x14ac:dyDescent="0.35">
      <c r="T16564" s="246">
        <f t="shared" si="296"/>
        <v>0</v>
      </c>
    </row>
    <row r="16565" spans="20:20" ht="18.75" customHeight="1" x14ac:dyDescent="0.35">
      <c r="T16565" s="246">
        <f t="shared" si="296"/>
        <v>0</v>
      </c>
    </row>
    <row r="16566" spans="20:20" ht="18.75" customHeight="1" x14ac:dyDescent="0.35">
      <c r="T16566" s="246">
        <f t="shared" si="296"/>
        <v>0</v>
      </c>
    </row>
    <row r="16567" spans="20:20" ht="18.75" customHeight="1" x14ac:dyDescent="0.35">
      <c r="T16567" s="246">
        <f t="shared" si="296"/>
        <v>0</v>
      </c>
    </row>
    <row r="16568" spans="20:20" ht="18.75" customHeight="1" x14ac:dyDescent="0.35">
      <c r="T16568" s="246">
        <f t="shared" si="296"/>
        <v>0</v>
      </c>
    </row>
    <row r="16569" spans="20:20" ht="18.75" customHeight="1" x14ac:dyDescent="0.35">
      <c r="T16569" s="246">
        <f t="shared" si="296"/>
        <v>0</v>
      </c>
    </row>
    <row r="16570" spans="20:20" ht="18.75" customHeight="1" x14ac:dyDescent="0.35">
      <c r="T16570" s="246">
        <f t="shared" si="296"/>
        <v>0</v>
      </c>
    </row>
    <row r="16571" spans="20:20" ht="18.75" customHeight="1" x14ac:dyDescent="0.35">
      <c r="T16571" s="246">
        <f t="shared" si="296"/>
        <v>0</v>
      </c>
    </row>
    <row r="16572" spans="20:20" ht="18.75" customHeight="1" x14ac:dyDescent="0.35">
      <c r="T16572" s="246">
        <f t="shared" ref="T16572:T16635" si="297">R16572*0.01</f>
        <v>0</v>
      </c>
    </row>
    <row r="16573" spans="20:20" ht="18.75" customHeight="1" x14ac:dyDescent="0.35">
      <c r="T16573" s="246">
        <f t="shared" si="297"/>
        <v>0</v>
      </c>
    </row>
    <row r="16574" spans="20:20" ht="18.75" customHeight="1" x14ac:dyDescent="0.35">
      <c r="T16574" s="246">
        <f t="shared" si="297"/>
        <v>0</v>
      </c>
    </row>
    <row r="16575" spans="20:20" ht="18.75" customHeight="1" x14ac:dyDescent="0.35">
      <c r="T16575" s="246">
        <f t="shared" si="297"/>
        <v>0</v>
      </c>
    </row>
    <row r="16576" spans="20:20" ht="18.75" customHeight="1" x14ac:dyDescent="0.35">
      <c r="T16576" s="246">
        <f t="shared" si="297"/>
        <v>0</v>
      </c>
    </row>
    <row r="16577" spans="20:20" ht="18.75" customHeight="1" x14ac:dyDescent="0.35">
      <c r="T16577" s="246">
        <f t="shared" si="297"/>
        <v>0</v>
      </c>
    </row>
    <row r="16578" spans="20:20" ht="18.75" customHeight="1" x14ac:dyDescent="0.35">
      <c r="T16578" s="246">
        <f t="shared" si="297"/>
        <v>0</v>
      </c>
    </row>
    <row r="16579" spans="20:20" ht="18.75" customHeight="1" x14ac:dyDescent="0.35">
      <c r="T16579" s="246">
        <f t="shared" si="297"/>
        <v>0</v>
      </c>
    </row>
    <row r="16580" spans="20:20" ht="18.75" customHeight="1" x14ac:dyDescent="0.35">
      <c r="T16580" s="246">
        <f t="shared" si="297"/>
        <v>0</v>
      </c>
    </row>
    <row r="16581" spans="20:20" ht="18.75" customHeight="1" x14ac:dyDescent="0.35">
      <c r="T16581" s="246">
        <f t="shared" si="297"/>
        <v>0</v>
      </c>
    </row>
    <row r="16582" spans="20:20" ht="18.75" customHeight="1" x14ac:dyDescent="0.35">
      <c r="T16582" s="246">
        <f t="shared" si="297"/>
        <v>0</v>
      </c>
    </row>
    <row r="16583" spans="20:20" ht="18.75" customHeight="1" x14ac:dyDescent="0.35">
      <c r="T16583" s="246">
        <f t="shared" si="297"/>
        <v>0</v>
      </c>
    </row>
    <row r="16584" spans="20:20" ht="18.75" customHeight="1" x14ac:dyDescent="0.35">
      <c r="T16584" s="246">
        <f t="shared" si="297"/>
        <v>0</v>
      </c>
    </row>
    <row r="16585" spans="20:20" ht="18.75" customHeight="1" x14ac:dyDescent="0.35">
      <c r="T16585" s="246">
        <f t="shared" si="297"/>
        <v>0</v>
      </c>
    </row>
    <row r="16586" spans="20:20" ht="18.75" customHeight="1" x14ac:dyDescent="0.35">
      <c r="T16586" s="246">
        <f t="shared" si="297"/>
        <v>0</v>
      </c>
    </row>
    <row r="16587" spans="20:20" ht="18.75" customHeight="1" x14ac:dyDescent="0.35">
      <c r="T16587" s="246">
        <f t="shared" si="297"/>
        <v>0</v>
      </c>
    </row>
    <row r="16588" spans="20:20" ht="18.75" customHeight="1" x14ac:dyDescent="0.35">
      <c r="T16588" s="246">
        <f t="shared" si="297"/>
        <v>0</v>
      </c>
    </row>
    <row r="16589" spans="20:20" ht="18.75" customHeight="1" x14ac:dyDescent="0.35">
      <c r="T16589" s="246">
        <f t="shared" si="297"/>
        <v>0</v>
      </c>
    </row>
    <row r="16590" spans="20:20" ht="18.75" customHeight="1" x14ac:dyDescent="0.35">
      <c r="T16590" s="246">
        <f t="shared" si="297"/>
        <v>0</v>
      </c>
    </row>
    <row r="16591" spans="20:20" ht="18.75" customHeight="1" x14ac:dyDescent="0.35">
      <c r="T16591" s="246">
        <f t="shared" si="297"/>
        <v>0</v>
      </c>
    </row>
    <row r="16592" spans="20:20" ht="18.75" customHeight="1" x14ac:dyDescent="0.35">
      <c r="T16592" s="246">
        <f t="shared" si="297"/>
        <v>0</v>
      </c>
    </row>
    <row r="16593" spans="20:20" ht="18.75" customHeight="1" x14ac:dyDescent="0.35">
      <c r="T16593" s="246">
        <f t="shared" si="297"/>
        <v>0</v>
      </c>
    </row>
    <row r="16594" spans="20:20" ht="18.75" customHeight="1" x14ac:dyDescent="0.35">
      <c r="T16594" s="246">
        <f t="shared" si="297"/>
        <v>0</v>
      </c>
    </row>
    <row r="16595" spans="20:20" ht="18.75" customHeight="1" x14ac:dyDescent="0.35">
      <c r="T16595" s="246">
        <f t="shared" si="297"/>
        <v>0</v>
      </c>
    </row>
    <row r="16596" spans="20:20" ht="18.75" customHeight="1" x14ac:dyDescent="0.35">
      <c r="T16596" s="246">
        <f t="shared" si="297"/>
        <v>0</v>
      </c>
    </row>
    <row r="16597" spans="20:20" ht="18.75" customHeight="1" x14ac:dyDescent="0.35">
      <c r="T16597" s="246">
        <f t="shared" si="297"/>
        <v>0</v>
      </c>
    </row>
    <row r="16598" spans="20:20" ht="18.75" customHeight="1" x14ac:dyDescent="0.35">
      <c r="T16598" s="246">
        <f t="shared" si="297"/>
        <v>0</v>
      </c>
    </row>
    <row r="16599" spans="20:20" ht="18.75" customHeight="1" x14ac:dyDescent="0.35">
      <c r="T16599" s="246">
        <f t="shared" si="297"/>
        <v>0</v>
      </c>
    </row>
    <row r="16600" spans="20:20" ht="18.75" customHeight="1" x14ac:dyDescent="0.35">
      <c r="T16600" s="246">
        <f t="shared" si="297"/>
        <v>0</v>
      </c>
    </row>
    <row r="16601" spans="20:20" ht="18.75" customHeight="1" x14ac:dyDescent="0.35">
      <c r="T16601" s="246">
        <f t="shared" si="297"/>
        <v>0</v>
      </c>
    </row>
    <row r="16602" spans="20:20" ht="18.75" customHeight="1" x14ac:dyDescent="0.35">
      <c r="T16602" s="246">
        <f t="shared" si="297"/>
        <v>0</v>
      </c>
    </row>
    <row r="16603" spans="20:20" ht="18.75" customHeight="1" x14ac:dyDescent="0.35">
      <c r="T16603" s="246">
        <f t="shared" si="297"/>
        <v>0</v>
      </c>
    </row>
    <row r="16604" spans="20:20" ht="18.75" customHeight="1" x14ac:dyDescent="0.35">
      <c r="T16604" s="246">
        <f t="shared" si="297"/>
        <v>0</v>
      </c>
    </row>
    <row r="16605" spans="20:20" ht="18.75" customHeight="1" x14ac:dyDescent="0.35">
      <c r="T16605" s="246">
        <f t="shared" si="297"/>
        <v>0</v>
      </c>
    </row>
    <row r="16606" spans="20:20" ht="18.75" customHeight="1" x14ac:dyDescent="0.35">
      <c r="T16606" s="246">
        <f t="shared" si="297"/>
        <v>0</v>
      </c>
    </row>
    <row r="16607" spans="20:20" ht="18.75" customHeight="1" x14ac:dyDescent="0.35">
      <c r="T16607" s="246">
        <f t="shared" si="297"/>
        <v>0</v>
      </c>
    </row>
    <row r="16608" spans="20:20" ht="18.75" customHeight="1" x14ac:dyDescent="0.35">
      <c r="T16608" s="246">
        <f t="shared" si="297"/>
        <v>0</v>
      </c>
    </row>
    <row r="16609" spans="20:20" ht="18.75" customHeight="1" x14ac:dyDescent="0.35">
      <c r="T16609" s="246">
        <f t="shared" si="297"/>
        <v>0</v>
      </c>
    </row>
    <row r="16610" spans="20:20" ht="18.75" customHeight="1" x14ac:dyDescent="0.35">
      <c r="T16610" s="246">
        <f t="shared" si="297"/>
        <v>0</v>
      </c>
    </row>
    <row r="16611" spans="20:20" ht="18.75" customHeight="1" x14ac:dyDescent="0.35">
      <c r="T16611" s="246">
        <f t="shared" si="297"/>
        <v>0</v>
      </c>
    </row>
    <row r="16612" spans="20:20" ht="18.75" customHeight="1" x14ac:dyDescent="0.35">
      <c r="T16612" s="246">
        <f t="shared" si="297"/>
        <v>0</v>
      </c>
    </row>
    <row r="16613" spans="20:20" ht="18.75" customHeight="1" x14ac:dyDescent="0.35">
      <c r="T16613" s="246">
        <f t="shared" si="297"/>
        <v>0</v>
      </c>
    </row>
    <row r="16614" spans="20:20" ht="18.75" customHeight="1" x14ac:dyDescent="0.35">
      <c r="T16614" s="246">
        <f t="shared" si="297"/>
        <v>0</v>
      </c>
    </row>
    <row r="16615" spans="20:20" ht="18.75" customHeight="1" x14ac:dyDescent="0.35">
      <c r="T16615" s="246">
        <f t="shared" si="297"/>
        <v>0</v>
      </c>
    </row>
    <row r="16616" spans="20:20" ht="18.75" customHeight="1" x14ac:dyDescent="0.35">
      <c r="T16616" s="246">
        <f t="shared" si="297"/>
        <v>0</v>
      </c>
    </row>
    <row r="16617" spans="20:20" ht="18.75" customHeight="1" x14ac:dyDescent="0.35">
      <c r="T16617" s="246">
        <f t="shared" si="297"/>
        <v>0</v>
      </c>
    </row>
    <row r="16618" spans="20:20" ht="18.75" customHeight="1" x14ac:dyDescent="0.35">
      <c r="T16618" s="246">
        <f t="shared" si="297"/>
        <v>0</v>
      </c>
    </row>
    <row r="16619" spans="20:20" ht="18.75" customHeight="1" x14ac:dyDescent="0.35">
      <c r="T16619" s="246">
        <f t="shared" si="297"/>
        <v>0</v>
      </c>
    </row>
    <row r="16620" spans="20:20" ht="18.75" customHeight="1" x14ac:dyDescent="0.35">
      <c r="T16620" s="246">
        <f t="shared" si="297"/>
        <v>0</v>
      </c>
    </row>
    <row r="16621" spans="20:20" ht="18.75" customHeight="1" x14ac:dyDescent="0.35">
      <c r="T16621" s="246">
        <f t="shared" si="297"/>
        <v>0</v>
      </c>
    </row>
    <row r="16622" spans="20:20" ht="18.75" customHeight="1" x14ac:dyDescent="0.35">
      <c r="T16622" s="246">
        <f t="shared" si="297"/>
        <v>0</v>
      </c>
    </row>
    <row r="16623" spans="20:20" ht="18.75" customHeight="1" x14ac:dyDescent="0.35">
      <c r="T16623" s="246">
        <f t="shared" si="297"/>
        <v>0</v>
      </c>
    </row>
    <row r="16624" spans="20:20" ht="18.75" customHeight="1" x14ac:dyDescent="0.35">
      <c r="T16624" s="246">
        <f t="shared" si="297"/>
        <v>0</v>
      </c>
    </row>
    <row r="16625" spans="20:20" ht="18.75" customHeight="1" x14ac:dyDescent="0.35">
      <c r="T16625" s="246">
        <f t="shared" si="297"/>
        <v>0</v>
      </c>
    </row>
    <row r="16626" spans="20:20" ht="18.75" customHeight="1" x14ac:dyDescent="0.35">
      <c r="T16626" s="246">
        <f t="shared" si="297"/>
        <v>0</v>
      </c>
    </row>
    <row r="16627" spans="20:20" ht="18.75" customHeight="1" x14ac:dyDescent="0.35">
      <c r="T16627" s="246">
        <f t="shared" si="297"/>
        <v>0</v>
      </c>
    </row>
    <row r="16628" spans="20:20" ht="18.75" customHeight="1" x14ac:dyDescent="0.35">
      <c r="T16628" s="246">
        <f t="shared" si="297"/>
        <v>0</v>
      </c>
    </row>
    <row r="16629" spans="20:20" ht="18.75" customHeight="1" x14ac:dyDescent="0.35">
      <c r="T16629" s="246">
        <f t="shared" si="297"/>
        <v>0</v>
      </c>
    </row>
    <row r="16630" spans="20:20" ht="18.75" customHeight="1" x14ac:dyDescent="0.35">
      <c r="T16630" s="246">
        <f t="shared" si="297"/>
        <v>0</v>
      </c>
    </row>
    <row r="16631" spans="20:20" ht="18.75" customHeight="1" x14ac:dyDescent="0.35">
      <c r="T16631" s="246">
        <f t="shared" si="297"/>
        <v>0</v>
      </c>
    </row>
    <row r="16632" spans="20:20" ht="18.75" customHeight="1" x14ac:dyDescent="0.35">
      <c r="T16632" s="246">
        <f t="shared" si="297"/>
        <v>0</v>
      </c>
    </row>
    <row r="16633" spans="20:20" ht="18.75" customHeight="1" x14ac:dyDescent="0.35">
      <c r="T16633" s="246">
        <f t="shared" si="297"/>
        <v>0</v>
      </c>
    </row>
    <row r="16634" spans="20:20" ht="18.75" customHeight="1" x14ac:dyDescent="0.35">
      <c r="T16634" s="246">
        <f t="shared" si="297"/>
        <v>0</v>
      </c>
    </row>
    <row r="16635" spans="20:20" ht="18.75" customHeight="1" x14ac:dyDescent="0.35">
      <c r="T16635" s="246">
        <f t="shared" si="297"/>
        <v>0</v>
      </c>
    </row>
    <row r="16636" spans="20:20" ht="18.75" customHeight="1" x14ac:dyDescent="0.35">
      <c r="T16636" s="246">
        <f t="shared" ref="T16636:T16699" si="298">R16636*0.01</f>
        <v>0</v>
      </c>
    </row>
    <row r="16637" spans="20:20" ht="18.75" customHeight="1" x14ac:dyDescent="0.35">
      <c r="T16637" s="246">
        <f t="shared" si="298"/>
        <v>0</v>
      </c>
    </row>
    <row r="16638" spans="20:20" ht="18.75" customHeight="1" x14ac:dyDescent="0.35">
      <c r="T16638" s="246">
        <f t="shared" si="298"/>
        <v>0</v>
      </c>
    </row>
    <row r="16639" spans="20:20" ht="18.75" customHeight="1" x14ac:dyDescent="0.35">
      <c r="T16639" s="246">
        <f t="shared" si="298"/>
        <v>0</v>
      </c>
    </row>
    <row r="16640" spans="20:20" ht="18.75" customHeight="1" x14ac:dyDescent="0.35">
      <c r="T16640" s="246">
        <f t="shared" si="298"/>
        <v>0</v>
      </c>
    </row>
    <row r="16641" spans="20:20" ht="18.75" customHeight="1" x14ac:dyDescent="0.35">
      <c r="T16641" s="246">
        <f t="shared" si="298"/>
        <v>0</v>
      </c>
    </row>
    <row r="16642" spans="20:20" ht="18.75" customHeight="1" x14ac:dyDescent="0.35">
      <c r="T16642" s="246">
        <f t="shared" si="298"/>
        <v>0</v>
      </c>
    </row>
    <row r="16643" spans="20:20" ht="18.75" customHeight="1" x14ac:dyDescent="0.35">
      <c r="T16643" s="246">
        <f t="shared" si="298"/>
        <v>0</v>
      </c>
    </row>
    <row r="16644" spans="20:20" ht="18.75" customHeight="1" x14ac:dyDescent="0.35">
      <c r="T16644" s="246">
        <f t="shared" si="298"/>
        <v>0</v>
      </c>
    </row>
    <row r="16645" spans="20:20" ht="18.75" customHeight="1" x14ac:dyDescent="0.35">
      <c r="T16645" s="246">
        <f t="shared" si="298"/>
        <v>0</v>
      </c>
    </row>
    <row r="16646" spans="20:20" ht="18.75" customHeight="1" x14ac:dyDescent="0.35">
      <c r="T16646" s="246">
        <f t="shared" si="298"/>
        <v>0</v>
      </c>
    </row>
    <row r="16647" spans="20:20" ht="18.75" customHeight="1" x14ac:dyDescent="0.35">
      <c r="T16647" s="246">
        <f t="shared" si="298"/>
        <v>0</v>
      </c>
    </row>
    <row r="16648" spans="20:20" ht="18.75" customHeight="1" x14ac:dyDescent="0.35">
      <c r="T16648" s="246">
        <f t="shared" si="298"/>
        <v>0</v>
      </c>
    </row>
    <row r="16649" spans="20:20" ht="18.75" customHeight="1" x14ac:dyDescent="0.35">
      <c r="T16649" s="246">
        <f t="shared" si="298"/>
        <v>0</v>
      </c>
    </row>
    <row r="16650" spans="20:20" ht="18.75" customHeight="1" x14ac:dyDescent="0.35">
      <c r="T16650" s="246">
        <f t="shared" si="298"/>
        <v>0</v>
      </c>
    </row>
    <row r="16651" spans="20:20" ht="18.75" customHeight="1" x14ac:dyDescent="0.35">
      <c r="T16651" s="246">
        <f t="shared" si="298"/>
        <v>0</v>
      </c>
    </row>
    <row r="16652" spans="20:20" ht="18.75" customHeight="1" x14ac:dyDescent="0.35">
      <c r="T16652" s="246">
        <f t="shared" si="298"/>
        <v>0</v>
      </c>
    </row>
    <row r="16653" spans="20:20" ht="18.75" customHeight="1" x14ac:dyDescent="0.35">
      <c r="T16653" s="246">
        <f t="shared" si="298"/>
        <v>0</v>
      </c>
    </row>
    <row r="16654" spans="20:20" ht="18.75" customHeight="1" x14ac:dyDescent="0.35">
      <c r="T16654" s="246">
        <f t="shared" si="298"/>
        <v>0</v>
      </c>
    </row>
    <row r="16655" spans="20:20" ht="18.75" customHeight="1" x14ac:dyDescent="0.35">
      <c r="T16655" s="246">
        <f t="shared" si="298"/>
        <v>0</v>
      </c>
    </row>
    <row r="16656" spans="20:20" ht="18.75" customHeight="1" x14ac:dyDescent="0.35">
      <c r="T16656" s="246">
        <f t="shared" si="298"/>
        <v>0</v>
      </c>
    </row>
    <row r="16657" spans="20:20" ht="18.75" customHeight="1" x14ac:dyDescent="0.35">
      <c r="T16657" s="246">
        <f t="shared" si="298"/>
        <v>0</v>
      </c>
    </row>
    <row r="16658" spans="20:20" ht="18.75" customHeight="1" x14ac:dyDescent="0.35">
      <c r="T16658" s="246">
        <f t="shared" si="298"/>
        <v>0</v>
      </c>
    </row>
    <row r="16659" spans="20:20" ht="18.75" customHeight="1" x14ac:dyDescent="0.35">
      <c r="T16659" s="246">
        <f t="shared" si="298"/>
        <v>0</v>
      </c>
    </row>
    <row r="16660" spans="20:20" ht="18.75" customHeight="1" x14ac:dyDescent="0.35">
      <c r="T16660" s="246">
        <f t="shared" si="298"/>
        <v>0</v>
      </c>
    </row>
    <row r="16661" spans="20:20" ht="18.75" customHeight="1" x14ac:dyDescent="0.35">
      <c r="T16661" s="246">
        <f t="shared" si="298"/>
        <v>0</v>
      </c>
    </row>
    <row r="16662" spans="20:20" ht="18.75" customHeight="1" x14ac:dyDescent="0.35">
      <c r="T16662" s="246">
        <f t="shared" si="298"/>
        <v>0</v>
      </c>
    </row>
    <row r="16663" spans="20:20" ht="18.75" customHeight="1" x14ac:dyDescent="0.35">
      <c r="T16663" s="246">
        <f t="shared" si="298"/>
        <v>0</v>
      </c>
    </row>
    <row r="16664" spans="20:20" ht="18.75" customHeight="1" x14ac:dyDescent="0.35">
      <c r="T16664" s="246">
        <f t="shared" si="298"/>
        <v>0</v>
      </c>
    </row>
    <row r="16665" spans="20:20" ht="18.75" customHeight="1" x14ac:dyDescent="0.35">
      <c r="T16665" s="246">
        <f t="shared" si="298"/>
        <v>0</v>
      </c>
    </row>
    <row r="16666" spans="20:20" ht="18.75" customHeight="1" x14ac:dyDescent="0.35">
      <c r="T16666" s="246">
        <f t="shared" si="298"/>
        <v>0</v>
      </c>
    </row>
    <row r="16667" spans="20:20" ht="18.75" customHeight="1" x14ac:dyDescent="0.35">
      <c r="T16667" s="246">
        <f t="shared" si="298"/>
        <v>0</v>
      </c>
    </row>
    <row r="16668" spans="20:20" ht="18.75" customHeight="1" x14ac:dyDescent="0.35">
      <c r="T16668" s="246">
        <f t="shared" si="298"/>
        <v>0</v>
      </c>
    </row>
    <row r="16669" spans="20:20" ht="18.75" customHeight="1" x14ac:dyDescent="0.35">
      <c r="T16669" s="246">
        <f t="shared" si="298"/>
        <v>0</v>
      </c>
    </row>
    <row r="16670" spans="20:20" ht="18.75" customHeight="1" x14ac:dyDescent="0.35">
      <c r="T16670" s="246">
        <f t="shared" si="298"/>
        <v>0</v>
      </c>
    </row>
    <row r="16671" spans="20:20" ht="18.75" customHeight="1" x14ac:dyDescent="0.35">
      <c r="T16671" s="246">
        <f t="shared" si="298"/>
        <v>0</v>
      </c>
    </row>
    <row r="16672" spans="20:20" ht="18.75" customHeight="1" x14ac:dyDescent="0.35">
      <c r="T16672" s="246">
        <f t="shared" si="298"/>
        <v>0</v>
      </c>
    </row>
    <row r="16673" spans="20:20" ht="18.75" customHeight="1" x14ac:dyDescent="0.35">
      <c r="T16673" s="246">
        <f t="shared" si="298"/>
        <v>0</v>
      </c>
    </row>
    <row r="16674" spans="20:20" ht="18.75" customHeight="1" x14ac:dyDescent="0.35">
      <c r="T16674" s="246">
        <f t="shared" si="298"/>
        <v>0</v>
      </c>
    </row>
    <row r="16675" spans="20:20" ht="18.75" customHeight="1" x14ac:dyDescent="0.35">
      <c r="T16675" s="246">
        <f t="shared" si="298"/>
        <v>0</v>
      </c>
    </row>
    <row r="16676" spans="20:20" ht="18.75" customHeight="1" x14ac:dyDescent="0.35">
      <c r="T16676" s="246">
        <f t="shared" si="298"/>
        <v>0</v>
      </c>
    </row>
    <row r="16677" spans="20:20" ht="18.75" customHeight="1" x14ac:dyDescent="0.35">
      <c r="T16677" s="246">
        <f t="shared" si="298"/>
        <v>0</v>
      </c>
    </row>
    <row r="16678" spans="20:20" ht="18.75" customHeight="1" x14ac:dyDescent="0.35">
      <c r="T16678" s="246">
        <f t="shared" si="298"/>
        <v>0</v>
      </c>
    </row>
    <row r="16679" spans="20:20" ht="18.75" customHeight="1" x14ac:dyDescent="0.35">
      <c r="T16679" s="246">
        <f t="shared" si="298"/>
        <v>0</v>
      </c>
    </row>
    <row r="16680" spans="20:20" ht="18.75" customHeight="1" x14ac:dyDescent="0.35">
      <c r="T16680" s="246">
        <f t="shared" si="298"/>
        <v>0</v>
      </c>
    </row>
    <row r="16681" spans="20:20" ht="18.75" customHeight="1" x14ac:dyDescent="0.35">
      <c r="T16681" s="246">
        <f t="shared" si="298"/>
        <v>0</v>
      </c>
    </row>
    <row r="16682" spans="20:20" ht="18.75" customHeight="1" x14ac:dyDescent="0.35">
      <c r="T16682" s="246">
        <f t="shared" si="298"/>
        <v>0</v>
      </c>
    </row>
    <row r="16683" spans="20:20" ht="18.75" customHeight="1" x14ac:dyDescent="0.35">
      <c r="T16683" s="246">
        <f t="shared" si="298"/>
        <v>0</v>
      </c>
    </row>
    <row r="16684" spans="20:20" ht="18.75" customHeight="1" x14ac:dyDescent="0.35">
      <c r="T16684" s="246">
        <f t="shared" si="298"/>
        <v>0</v>
      </c>
    </row>
    <row r="16685" spans="20:20" ht="18.75" customHeight="1" x14ac:dyDescent="0.35">
      <c r="T16685" s="246">
        <f t="shared" si="298"/>
        <v>0</v>
      </c>
    </row>
    <row r="16686" spans="20:20" ht="18.75" customHeight="1" x14ac:dyDescent="0.35">
      <c r="T16686" s="246">
        <f t="shared" si="298"/>
        <v>0</v>
      </c>
    </row>
    <row r="16687" spans="20:20" ht="18.75" customHeight="1" x14ac:dyDescent="0.35">
      <c r="T16687" s="246">
        <f t="shared" si="298"/>
        <v>0</v>
      </c>
    </row>
    <row r="16688" spans="20:20" ht="18.75" customHeight="1" x14ac:dyDescent="0.35">
      <c r="T16688" s="246">
        <f t="shared" si="298"/>
        <v>0</v>
      </c>
    </row>
    <row r="16689" spans="20:20" ht="18.75" customHeight="1" x14ac:dyDescent="0.35">
      <c r="T16689" s="246">
        <f t="shared" si="298"/>
        <v>0</v>
      </c>
    </row>
    <row r="16690" spans="20:20" ht="18.75" customHeight="1" x14ac:dyDescent="0.35">
      <c r="T16690" s="246">
        <f t="shared" si="298"/>
        <v>0</v>
      </c>
    </row>
    <row r="16691" spans="20:20" ht="18.75" customHeight="1" x14ac:dyDescent="0.35">
      <c r="T16691" s="246">
        <f t="shared" si="298"/>
        <v>0</v>
      </c>
    </row>
    <row r="16692" spans="20:20" ht="18.75" customHeight="1" x14ac:dyDescent="0.35">
      <c r="T16692" s="246">
        <f t="shared" si="298"/>
        <v>0</v>
      </c>
    </row>
    <row r="16693" spans="20:20" ht="18.75" customHeight="1" x14ac:dyDescent="0.35">
      <c r="T16693" s="246">
        <f t="shared" si="298"/>
        <v>0</v>
      </c>
    </row>
    <row r="16694" spans="20:20" ht="18.75" customHeight="1" x14ac:dyDescent="0.35">
      <c r="T16694" s="246">
        <f t="shared" si="298"/>
        <v>0</v>
      </c>
    </row>
    <row r="16695" spans="20:20" ht="18.75" customHeight="1" x14ac:dyDescent="0.35">
      <c r="T16695" s="246">
        <f t="shared" si="298"/>
        <v>0</v>
      </c>
    </row>
    <row r="16696" spans="20:20" ht="18.75" customHeight="1" x14ac:dyDescent="0.35">
      <c r="T16696" s="246">
        <f t="shared" si="298"/>
        <v>0</v>
      </c>
    </row>
    <row r="16697" spans="20:20" ht="18.75" customHeight="1" x14ac:dyDescent="0.35">
      <c r="T16697" s="246">
        <f t="shared" si="298"/>
        <v>0</v>
      </c>
    </row>
    <row r="16698" spans="20:20" ht="18.75" customHeight="1" x14ac:dyDescent="0.35">
      <c r="T16698" s="246">
        <f t="shared" si="298"/>
        <v>0</v>
      </c>
    </row>
    <row r="16699" spans="20:20" ht="18.75" customHeight="1" x14ac:dyDescent="0.35">
      <c r="T16699" s="246">
        <f t="shared" si="298"/>
        <v>0</v>
      </c>
    </row>
    <row r="16700" spans="20:20" ht="18.75" customHeight="1" x14ac:dyDescent="0.35">
      <c r="T16700" s="246">
        <f t="shared" ref="T16700:T16763" si="299">R16700*0.01</f>
        <v>0</v>
      </c>
    </row>
    <row r="16701" spans="20:20" ht="18.75" customHeight="1" x14ac:dyDescent="0.35">
      <c r="T16701" s="246">
        <f t="shared" si="299"/>
        <v>0</v>
      </c>
    </row>
    <row r="16702" spans="20:20" ht="18.75" customHeight="1" x14ac:dyDescent="0.35">
      <c r="T16702" s="246">
        <f t="shared" si="299"/>
        <v>0</v>
      </c>
    </row>
    <row r="16703" spans="20:20" ht="18.75" customHeight="1" x14ac:dyDescent="0.35">
      <c r="T16703" s="246">
        <f t="shared" si="299"/>
        <v>0</v>
      </c>
    </row>
    <row r="16704" spans="20:20" ht="18.75" customHeight="1" x14ac:dyDescent="0.35">
      <c r="T16704" s="246">
        <f t="shared" si="299"/>
        <v>0</v>
      </c>
    </row>
    <row r="16705" spans="20:20" ht="18.75" customHeight="1" x14ac:dyDescent="0.35">
      <c r="T16705" s="246">
        <f t="shared" si="299"/>
        <v>0</v>
      </c>
    </row>
    <row r="16706" spans="20:20" ht="18.75" customHeight="1" x14ac:dyDescent="0.35">
      <c r="T16706" s="246">
        <f t="shared" si="299"/>
        <v>0</v>
      </c>
    </row>
    <row r="16707" spans="20:20" ht="18.75" customHeight="1" x14ac:dyDescent="0.35">
      <c r="T16707" s="246">
        <f t="shared" si="299"/>
        <v>0</v>
      </c>
    </row>
    <row r="16708" spans="20:20" ht="18.75" customHeight="1" x14ac:dyDescent="0.35">
      <c r="T16708" s="246">
        <f t="shared" si="299"/>
        <v>0</v>
      </c>
    </row>
    <row r="16709" spans="20:20" ht="18.75" customHeight="1" x14ac:dyDescent="0.35">
      <c r="T16709" s="246">
        <f t="shared" si="299"/>
        <v>0</v>
      </c>
    </row>
    <row r="16710" spans="20:20" ht="18.75" customHeight="1" x14ac:dyDescent="0.35">
      <c r="T16710" s="246">
        <f t="shared" si="299"/>
        <v>0</v>
      </c>
    </row>
    <row r="16711" spans="20:20" ht="18.75" customHeight="1" x14ac:dyDescent="0.35">
      <c r="T16711" s="246">
        <f t="shared" si="299"/>
        <v>0</v>
      </c>
    </row>
    <row r="16712" spans="20:20" ht="18.75" customHeight="1" x14ac:dyDescent="0.35">
      <c r="T16712" s="246">
        <f t="shared" si="299"/>
        <v>0</v>
      </c>
    </row>
    <row r="16713" spans="20:20" ht="18.75" customHeight="1" x14ac:dyDescent="0.35">
      <c r="T16713" s="246">
        <f t="shared" si="299"/>
        <v>0</v>
      </c>
    </row>
    <row r="16714" spans="20:20" ht="18.75" customHeight="1" x14ac:dyDescent="0.35">
      <c r="T16714" s="246">
        <f t="shared" si="299"/>
        <v>0</v>
      </c>
    </row>
    <row r="16715" spans="20:20" ht="18.75" customHeight="1" x14ac:dyDescent="0.35">
      <c r="T16715" s="246">
        <f t="shared" si="299"/>
        <v>0</v>
      </c>
    </row>
    <row r="16716" spans="20:20" ht="18.75" customHeight="1" x14ac:dyDescent="0.35">
      <c r="T16716" s="246">
        <f t="shared" si="299"/>
        <v>0</v>
      </c>
    </row>
    <row r="16717" spans="20:20" ht="18.75" customHeight="1" x14ac:dyDescent="0.35">
      <c r="T16717" s="246">
        <f t="shared" si="299"/>
        <v>0</v>
      </c>
    </row>
    <row r="16718" spans="20:20" ht="18.75" customHeight="1" x14ac:dyDescent="0.35">
      <c r="T16718" s="246">
        <f t="shared" si="299"/>
        <v>0</v>
      </c>
    </row>
    <row r="16719" spans="20:20" ht="18.75" customHeight="1" x14ac:dyDescent="0.35">
      <c r="T16719" s="246">
        <f t="shared" si="299"/>
        <v>0</v>
      </c>
    </row>
    <row r="16720" spans="20:20" ht="18.75" customHeight="1" x14ac:dyDescent="0.35">
      <c r="T16720" s="246">
        <f t="shared" si="299"/>
        <v>0</v>
      </c>
    </row>
    <row r="16721" spans="20:20" ht="18.75" customHeight="1" x14ac:dyDescent="0.35">
      <c r="T16721" s="246">
        <f t="shared" si="299"/>
        <v>0</v>
      </c>
    </row>
    <row r="16722" spans="20:20" ht="18.75" customHeight="1" x14ac:dyDescent="0.35">
      <c r="T16722" s="246">
        <f t="shared" si="299"/>
        <v>0</v>
      </c>
    </row>
    <row r="16723" spans="20:20" ht="18.75" customHeight="1" x14ac:dyDescent="0.35">
      <c r="T16723" s="246">
        <f t="shared" si="299"/>
        <v>0</v>
      </c>
    </row>
    <row r="16724" spans="20:20" ht="18.75" customHeight="1" x14ac:dyDescent="0.35">
      <c r="T16724" s="246">
        <f t="shared" si="299"/>
        <v>0</v>
      </c>
    </row>
    <row r="16725" spans="20:20" ht="18.75" customHeight="1" x14ac:dyDescent="0.35">
      <c r="T16725" s="246">
        <f t="shared" si="299"/>
        <v>0</v>
      </c>
    </row>
    <row r="16726" spans="20:20" ht="18.75" customHeight="1" x14ac:dyDescent="0.35">
      <c r="T16726" s="246">
        <f t="shared" si="299"/>
        <v>0</v>
      </c>
    </row>
    <row r="16727" spans="20:20" ht="18.75" customHeight="1" x14ac:dyDescent="0.35">
      <c r="T16727" s="246">
        <f t="shared" si="299"/>
        <v>0</v>
      </c>
    </row>
    <row r="16728" spans="20:20" ht="18.75" customHeight="1" x14ac:dyDescent="0.35">
      <c r="T16728" s="246">
        <f t="shared" si="299"/>
        <v>0</v>
      </c>
    </row>
    <row r="16729" spans="20:20" ht="18.75" customHeight="1" x14ac:dyDescent="0.35">
      <c r="T16729" s="246">
        <f t="shared" si="299"/>
        <v>0</v>
      </c>
    </row>
    <row r="16730" spans="20:20" ht="18.75" customHeight="1" x14ac:dyDescent="0.35">
      <c r="T16730" s="246">
        <f t="shared" si="299"/>
        <v>0</v>
      </c>
    </row>
    <row r="16731" spans="20:20" ht="18.75" customHeight="1" x14ac:dyDescent="0.35">
      <c r="T16731" s="246">
        <f t="shared" si="299"/>
        <v>0</v>
      </c>
    </row>
    <row r="16732" spans="20:20" ht="18.75" customHeight="1" x14ac:dyDescent="0.35">
      <c r="T16732" s="246">
        <f t="shared" si="299"/>
        <v>0</v>
      </c>
    </row>
    <row r="16733" spans="20:20" ht="18.75" customHeight="1" x14ac:dyDescent="0.35">
      <c r="T16733" s="246">
        <f t="shared" si="299"/>
        <v>0</v>
      </c>
    </row>
    <row r="16734" spans="20:20" ht="18.75" customHeight="1" x14ac:dyDescent="0.35">
      <c r="T16734" s="246">
        <f t="shared" si="299"/>
        <v>0</v>
      </c>
    </row>
    <row r="16735" spans="20:20" ht="18.75" customHeight="1" x14ac:dyDescent="0.35">
      <c r="T16735" s="246">
        <f t="shared" si="299"/>
        <v>0</v>
      </c>
    </row>
    <row r="16736" spans="20:20" ht="18.75" customHeight="1" x14ac:dyDescent="0.35">
      <c r="T16736" s="246">
        <f t="shared" si="299"/>
        <v>0</v>
      </c>
    </row>
    <row r="16737" spans="20:20" ht="18.75" customHeight="1" x14ac:dyDescent="0.35">
      <c r="T16737" s="246">
        <f t="shared" si="299"/>
        <v>0</v>
      </c>
    </row>
    <row r="16738" spans="20:20" ht="18.75" customHeight="1" x14ac:dyDescent="0.35">
      <c r="T16738" s="246">
        <f t="shared" si="299"/>
        <v>0</v>
      </c>
    </row>
    <row r="16739" spans="20:20" ht="18.75" customHeight="1" x14ac:dyDescent="0.35">
      <c r="T16739" s="246">
        <f t="shared" si="299"/>
        <v>0</v>
      </c>
    </row>
    <row r="16740" spans="20:20" ht="18.75" customHeight="1" x14ac:dyDescent="0.35">
      <c r="T16740" s="246">
        <f t="shared" si="299"/>
        <v>0</v>
      </c>
    </row>
    <row r="16741" spans="20:20" ht="18.75" customHeight="1" x14ac:dyDescent="0.35">
      <c r="T16741" s="246">
        <f t="shared" si="299"/>
        <v>0</v>
      </c>
    </row>
    <row r="16742" spans="20:20" ht="18.75" customHeight="1" x14ac:dyDescent="0.35">
      <c r="T16742" s="246">
        <f t="shared" si="299"/>
        <v>0</v>
      </c>
    </row>
    <row r="16743" spans="20:20" ht="18.75" customHeight="1" x14ac:dyDescent="0.35">
      <c r="T16743" s="246">
        <f t="shared" si="299"/>
        <v>0</v>
      </c>
    </row>
    <row r="16744" spans="20:20" ht="18.75" customHeight="1" x14ac:dyDescent="0.35">
      <c r="T16744" s="246">
        <f t="shared" si="299"/>
        <v>0</v>
      </c>
    </row>
    <row r="16745" spans="20:20" ht="18.75" customHeight="1" x14ac:dyDescent="0.35">
      <c r="T16745" s="246">
        <f t="shared" si="299"/>
        <v>0</v>
      </c>
    </row>
    <row r="16746" spans="20:20" ht="18.75" customHeight="1" x14ac:dyDescent="0.35">
      <c r="T16746" s="246">
        <f t="shared" si="299"/>
        <v>0</v>
      </c>
    </row>
    <row r="16747" spans="20:20" ht="18.75" customHeight="1" x14ac:dyDescent="0.35">
      <c r="T16747" s="246">
        <f t="shared" si="299"/>
        <v>0</v>
      </c>
    </row>
    <row r="16748" spans="20:20" ht="18.75" customHeight="1" x14ac:dyDescent="0.35">
      <c r="T16748" s="246">
        <f t="shared" si="299"/>
        <v>0</v>
      </c>
    </row>
    <row r="16749" spans="20:20" ht="18.75" customHeight="1" x14ac:dyDescent="0.35">
      <c r="T16749" s="246">
        <f t="shared" si="299"/>
        <v>0</v>
      </c>
    </row>
    <row r="16750" spans="20:20" ht="18.75" customHeight="1" x14ac:dyDescent="0.35">
      <c r="T16750" s="246">
        <f t="shared" si="299"/>
        <v>0</v>
      </c>
    </row>
    <row r="16751" spans="20:20" ht="18.75" customHeight="1" x14ac:dyDescent="0.35">
      <c r="T16751" s="246">
        <f t="shared" si="299"/>
        <v>0</v>
      </c>
    </row>
    <row r="16752" spans="20:20" ht="18.75" customHeight="1" x14ac:dyDescent="0.35">
      <c r="T16752" s="246">
        <f t="shared" si="299"/>
        <v>0</v>
      </c>
    </row>
    <row r="16753" spans="20:20" ht="18.75" customHeight="1" x14ac:dyDescent="0.35">
      <c r="T16753" s="246">
        <f t="shared" si="299"/>
        <v>0</v>
      </c>
    </row>
    <row r="16754" spans="20:20" ht="18.75" customHeight="1" x14ac:dyDescent="0.35">
      <c r="T16754" s="246">
        <f t="shared" si="299"/>
        <v>0</v>
      </c>
    </row>
    <row r="16755" spans="20:20" ht="18.75" customHeight="1" x14ac:dyDescent="0.35">
      <c r="T16755" s="246">
        <f t="shared" si="299"/>
        <v>0</v>
      </c>
    </row>
    <row r="16756" spans="20:20" ht="18.75" customHeight="1" x14ac:dyDescent="0.35">
      <c r="T16756" s="246">
        <f t="shared" si="299"/>
        <v>0</v>
      </c>
    </row>
    <row r="16757" spans="20:20" ht="18.75" customHeight="1" x14ac:dyDescent="0.35">
      <c r="T16757" s="246">
        <f t="shared" si="299"/>
        <v>0</v>
      </c>
    </row>
    <row r="16758" spans="20:20" ht="18.75" customHeight="1" x14ac:dyDescent="0.35">
      <c r="T16758" s="246">
        <f t="shared" si="299"/>
        <v>0</v>
      </c>
    </row>
    <row r="16759" spans="20:20" ht="18.75" customHeight="1" x14ac:dyDescent="0.35">
      <c r="T16759" s="246">
        <f t="shared" si="299"/>
        <v>0</v>
      </c>
    </row>
    <row r="16760" spans="20:20" ht="18.75" customHeight="1" x14ac:dyDescent="0.35">
      <c r="T16760" s="246">
        <f t="shared" si="299"/>
        <v>0</v>
      </c>
    </row>
    <row r="16761" spans="20:20" ht="18.75" customHeight="1" x14ac:dyDescent="0.35">
      <c r="T16761" s="246">
        <f t="shared" si="299"/>
        <v>0</v>
      </c>
    </row>
    <row r="16762" spans="20:20" ht="18.75" customHeight="1" x14ac:dyDescent="0.35">
      <c r="T16762" s="246">
        <f t="shared" si="299"/>
        <v>0</v>
      </c>
    </row>
    <row r="16763" spans="20:20" ht="18.75" customHeight="1" x14ac:dyDescent="0.35">
      <c r="T16763" s="246">
        <f t="shared" si="299"/>
        <v>0</v>
      </c>
    </row>
    <row r="16764" spans="20:20" ht="18.75" customHeight="1" x14ac:dyDescent="0.35">
      <c r="T16764" s="246">
        <f t="shared" ref="T16764:T16827" si="300">R16764*0.01</f>
        <v>0</v>
      </c>
    </row>
    <row r="16765" spans="20:20" ht="18.75" customHeight="1" x14ac:dyDescent="0.35">
      <c r="T16765" s="246">
        <f t="shared" si="300"/>
        <v>0</v>
      </c>
    </row>
    <row r="16766" spans="20:20" ht="18.75" customHeight="1" x14ac:dyDescent="0.35">
      <c r="T16766" s="246">
        <f t="shared" si="300"/>
        <v>0</v>
      </c>
    </row>
    <row r="16767" spans="20:20" ht="18.75" customHeight="1" x14ac:dyDescent="0.35">
      <c r="T16767" s="246">
        <f t="shared" si="300"/>
        <v>0</v>
      </c>
    </row>
    <row r="16768" spans="20:20" ht="18.75" customHeight="1" x14ac:dyDescent="0.35">
      <c r="T16768" s="246">
        <f t="shared" si="300"/>
        <v>0</v>
      </c>
    </row>
    <row r="16769" spans="20:20" ht="18.75" customHeight="1" x14ac:dyDescent="0.35">
      <c r="T16769" s="246">
        <f t="shared" si="300"/>
        <v>0</v>
      </c>
    </row>
    <row r="16770" spans="20:20" ht="18.75" customHeight="1" x14ac:dyDescent="0.35">
      <c r="T16770" s="246">
        <f t="shared" si="300"/>
        <v>0</v>
      </c>
    </row>
    <row r="16771" spans="20:20" ht="18.75" customHeight="1" x14ac:dyDescent="0.35">
      <c r="T16771" s="246">
        <f t="shared" si="300"/>
        <v>0</v>
      </c>
    </row>
    <row r="16772" spans="20:20" ht="18.75" customHeight="1" x14ac:dyDescent="0.35">
      <c r="T16772" s="246">
        <f t="shared" si="300"/>
        <v>0</v>
      </c>
    </row>
    <row r="16773" spans="20:20" ht="18.75" customHeight="1" x14ac:dyDescent="0.35">
      <c r="T16773" s="246">
        <f t="shared" si="300"/>
        <v>0</v>
      </c>
    </row>
    <row r="16774" spans="20:20" ht="18.75" customHeight="1" x14ac:dyDescent="0.35">
      <c r="T16774" s="246">
        <f t="shared" si="300"/>
        <v>0</v>
      </c>
    </row>
    <row r="16775" spans="20:20" ht="18.75" customHeight="1" x14ac:dyDescent="0.35">
      <c r="T16775" s="246">
        <f t="shared" si="300"/>
        <v>0</v>
      </c>
    </row>
    <row r="16776" spans="20:20" ht="18.75" customHeight="1" x14ac:dyDescent="0.35">
      <c r="T16776" s="246">
        <f t="shared" si="300"/>
        <v>0</v>
      </c>
    </row>
    <row r="16777" spans="20:20" ht="18.75" customHeight="1" x14ac:dyDescent="0.35">
      <c r="T16777" s="246">
        <f t="shared" si="300"/>
        <v>0</v>
      </c>
    </row>
    <row r="16778" spans="20:20" ht="18.75" customHeight="1" x14ac:dyDescent="0.35">
      <c r="T16778" s="246">
        <f t="shared" si="300"/>
        <v>0</v>
      </c>
    </row>
    <row r="16779" spans="20:20" ht="18.75" customHeight="1" x14ac:dyDescent="0.35">
      <c r="T16779" s="246">
        <f t="shared" si="300"/>
        <v>0</v>
      </c>
    </row>
    <row r="16780" spans="20:20" ht="18.75" customHeight="1" x14ac:dyDescent="0.35">
      <c r="T16780" s="246">
        <f t="shared" si="300"/>
        <v>0</v>
      </c>
    </row>
    <row r="16781" spans="20:20" ht="18.75" customHeight="1" x14ac:dyDescent="0.35">
      <c r="T16781" s="246">
        <f t="shared" si="300"/>
        <v>0</v>
      </c>
    </row>
    <row r="16782" spans="20:20" ht="18.75" customHeight="1" x14ac:dyDescent="0.35">
      <c r="T16782" s="246">
        <f t="shared" si="300"/>
        <v>0</v>
      </c>
    </row>
    <row r="16783" spans="20:20" ht="18.75" customHeight="1" x14ac:dyDescent="0.35">
      <c r="T16783" s="246">
        <f t="shared" si="300"/>
        <v>0</v>
      </c>
    </row>
    <row r="16784" spans="20:20" ht="18.75" customHeight="1" x14ac:dyDescent="0.35">
      <c r="T16784" s="246">
        <f t="shared" si="300"/>
        <v>0</v>
      </c>
    </row>
    <row r="16785" spans="20:20" ht="18.75" customHeight="1" x14ac:dyDescent="0.35">
      <c r="T16785" s="246">
        <f t="shared" si="300"/>
        <v>0</v>
      </c>
    </row>
    <row r="16786" spans="20:20" ht="18.75" customHeight="1" x14ac:dyDescent="0.35">
      <c r="T16786" s="246">
        <f t="shared" si="300"/>
        <v>0</v>
      </c>
    </row>
    <row r="16787" spans="20:20" ht="18.75" customHeight="1" x14ac:dyDescent="0.35">
      <c r="T16787" s="246">
        <f t="shared" si="300"/>
        <v>0</v>
      </c>
    </row>
    <row r="16788" spans="20:20" ht="18.75" customHeight="1" x14ac:dyDescent="0.35">
      <c r="T16788" s="246">
        <f t="shared" si="300"/>
        <v>0</v>
      </c>
    </row>
    <row r="16789" spans="20:20" ht="18.75" customHeight="1" x14ac:dyDescent="0.35">
      <c r="T16789" s="246">
        <f t="shared" si="300"/>
        <v>0</v>
      </c>
    </row>
    <row r="16790" spans="20:20" ht="18.75" customHeight="1" x14ac:dyDescent="0.35">
      <c r="T16790" s="246">
        <f t="shared" si="300"/>
        <v>0</v>
      </c>
    </row>
    <row r="16791" spans="20:20" ht="18.75" customHeight="1" x14ac:dyDescent="0.35">
      <c r="T16791" s="246">
        <f t="shared" si="300"/>
        <v>0</v>
      </c>
    </row>
    <row r="16792" spans="20:20" ht="18.75" customHeight="1" x14ac:dyDescent="0.35">
      <c r="T16792" s="246">
        <f t="shared" si="300"/>
        <v>0</v>
      </c>
    </row>
    <row r="16793" spans="20:20" ht="18.75" customHeight="1" x14ac:dyDescent="0.35">
      <c r="T16793" s="246">
        <f t="shared" si="300"/>
        <v>0</v>
      </c>
    </row>
    <row r="16794" spans="20:20" ht="18.75" customHeight="1" x14ac:dyDescent="0.35">
      <c r="T16794" s="246">
        <f t="shared" si="300"/>
        <v>0</v>
      </c>
    </row>
    <row r="16795" spans="20:20" ht="18.75" customHeight="1" x14ac:dyDescent="0.35">
      <c r="T16795" s="246">
        <f t="shared" si="300"/>
        <v>0</v>
      </c>
    </row>
    <row r="16796" spans="20:20" ht="18.75" customHeight="1" x14ac:dyDescent="0.35">
      <c r="T16796" s="246">
        <f t="shared" si="300"/>
        <v>0</v>
      </c>
    </row>
    <row r="16797" spans="20:20" ht="18.75" customHeight="1" x14ac:dyDescent="0.35">
      <c r="T16797" s="246">
        <f t="shared" si="300"/>
        <v>0</v>
      </c>
    </row>
    <row r="16798" spans="20:20" ht="18.75" customHeight="1" x14ac:dyDescent="0.35">
      <c r="T16798" s="246">
        <f t="shared" si="300"/>
        <v>0</v>
      </c>
    </row>
    <row r="16799" spans="20:20" ht="18.75" customHeight="1" x14ac:dyDescent="0.35">
      <c r="T16799" s="246">
        <f t="shared" si="300"/>
        <v>0</v>
      </c>
    </row>
    <row r="16800" spans="20:20" ht="18.75" customHeight="1" x14ac:dyDescent="0.35">
      <c r="T16800" s="246">
        <f t="shared" si="300"/>
        <v>0</v>
      </c>
    </row>
    <row r="16801" spans="20:20" ht="18.75" customHeight="1" x14ac:dyDescent="0.35">
      <c r="T16801" s="246">
        <f t="shared" si="300"/>
        <v>0</v>
      </c>
    </row>
    <row r="16802" spans="20:20" ht="18.75" customHeight="1" x14ac:dyDescent="0.35">
      <c r="T16802" s="246">
        <f t="shared" si="300"/>
        <v>0</v>
      </c>
    </row>
    <row r="16803" spans="20:20" ht="18.75" customHeight="1" x14ac:dyDescent="0.35">
      <c r="T16803" s="246">
        <f t="shared" si="300"/>
        <v>0</v>
      </c>
    </row>
    <row r="16804" spans="20:20" ht="18.75" customHeight="1" x14ac:dyDescent="0.35">
      <c r="T16804" s="246">
        <f t="shared" si="300"/>
        <v>0</v>
      </c>
    </row>
    <row r="16805" spans="20:20" ht="18.75" customHeight="1" x14ac:dyDescent="0.35">
      <c r="T16805" s="246">
        <f t="shared" si="300"/>
        <v>0</v>
      </c>
    </row>
    <row r="16806" spans="20:20" ht="18.75" customHeight="1" x14ac:dyDescent="0.35">
      <c r="T16806" s="246">
        <f t="shared" si="300"/>
        <v>0</v>
      </c>
    </row>
    <row r="16807" spans="20:20" ht="18.75" customHeight="1" x14ac:dyDescent="0.35">
      <c r="T16807" s="246">
        <f t="shared" si="300"/>
        <v>0</v>
      </c>
    </row>
    <row r="16808" spans="20:20" ht="18.75" customHeight="1" x14ac:dyDescent="0.35">
      <c r="T16808" s="246">
        <f t="shared" si="300"/>
        <v>0</v>
      </c>
    </row>
    <row r="16809" spans="20:20" ht="18.75" customHeight="1" x14ac:dyDescent="0.35">
      <c r="T16809" s="246">
        <f t="shared" si="300"/>
        <v>0</v>
      </c>
    </row>
    <row r="16810" spans="20:20" ht="18.75" customHeight="1" x14ac:dyDescent="0.35">
      <c r="T16810" s="246">
        <f t="shared" si="300"/>
        <v>0</v>
      </c>
    </row>
    <row r="16811" spans="20:20" ht="18.75" customHeight="1" x14ac:dyDescent="0.35">
      <c r="T16811" s="246">
        <f t="shared" si="300"/>
        <v>0</v>
      </c>
    </row>
    <row r="16812" spans="20:20" ht="18.75" customHeight="1" x14ac:dyDescent="0.35">
      <c r="T16812" s="246">
        <f t="shared" si="300"/>
        <v>0</v>
      </c>
    </row>
    <row r="16813" spans="20:20" ht="18.75" customHeight="1" x14ac:dyDescent="0.35">
      <c r="T16813" s="246">
        <f t="shared" si="300"/>
        <v>0</v>
      </c>
    </row>
    <row r="16814" spans="20:20" ht="18.75" customHeight="1" x14ac:dyDescent="0.35">
      <c r="T16814" s="246">
        <f t="shared" si="300"/>
        <v>0</v>
      </c>
    </row>
    <row r="16815" spans="20:20" ht="18.75" customHeight="1" x14ac:dyDescent="0.35">
      <c r="T16815" s="246">
        <f t="shared" si="300"/>
        <v>0</v>
      </c>
    </row>
    <row r="16816" spans="20:20" ht="18.75" customHeight="1" x14ac:dyDescent="0.35">
      <c r="T16816" s="246">
        <f t="shared" si="300"/>
        <v>0</v>
      </c>
    </row>
    <row r="16817" spans="20:20" ht="18.75" customHeight="1" x14ac:dyDescent="0.35">
      <c r="T16817" s="246">
        <f t="shared" si="300"/>
        <v>0</v>
      </c>
    </row>
    <row r="16818" spans="20:20" ht="18.75" customHeight="1" x14ac:dyDescent="0.35">
      <c r="T16818" s="246">
        <f t="shared" si="300"/>
        <v>0</v>
      </c>
    </row>
    <row r="16819" spans="20:20" ht="18.75" customHeight="1" x14ac:dyDescent="0.35">
      <c r="T16819" s="246">
        <f t="shared" si="300"/>
        <v>0</v>
      </c>
    </row>
    <row r="16820" spans="20:20" ht="18.75" customHeight="1" x14ac:dyDescent="0.35">
      <c r="T16820" s="246">
        <f t="shared" si="300"/>
        <v>0</v>
      </c>
    </row>
    <row r="16821" spans="20:20" ht="18.75" customHeight="1" x14ac:dyDescent="0.35">
      <c r="T16821" s="246">
        <f t="shared" si="300"/>
        <v>0</v>
      </c>
    </row>
    <row r="16822" spans="20:20" ht="18.75" customHeight="1" x14ac:dyDescent="0.35">
      <c r="T16822" s="246">
        <f t="shared" si="300"/>
        <v>0</v>
      </c>
    </row>
    <row r="16823" spans="20:20" ht="18.75" customHeight="1" x14ac:dyDescent="0.35">
      <c r="T16823" s="246">
        <f t="shared" si="300"/>
        <v>0</v>
      </c>
    </row>
    <row r="16824" spans="20:20" ht="18.75" customHeight="1" x14ac:dyDescent="0.35">
      <c r="T16824" s="246">
        <f t="shared" si="300"/>
        <v>0</v>
      </c>
    </row>
    <row r="16825" spans="20:20" ht="18.75" customHeight="1" x14ac:dyDescent="0.35">
      <c r="T16825" s="246">
        <f t="shared" si="300"/>
        <v>0</v>
      </c>
    </row>
    <row r="16826" spans="20:20" ht="18.75" customHeight="1" x14ac:dyDescent="0.35">
      <c r="T16826" s="246">
        <f t="shared" si="300"/>
        <v>0</v>
      </c>
    </row>
    <row r="16827" spans="20:20" ht="18.75" customHeight="1" x14ac:dyDescent="0.35">
      <c r="T16827" s="246">
        <f t="shared" si="300"/>
        <v>0</v>
      </c>
    </row>
    <row r="16828" spans="20:20" ht="18.75" customHeight="1" x14ac:dyDescent="0.35">
      <c r="T16828" s="246">
        <f t="shared" ref="T16828:T16891" si="301">R16828*0.01</f>
        <v>0</v>
      </c>
    </row>
    <row r="16829" spans="20:20" ht="18.75" customHeight="1" x14ac:dyDescent="0.35">
      <c r="T16829" s="246">
        <f t="shared" si="301"/>
        <v>0</v>
      </c>
    </row>
    <row r="16830" spans="20:20" ht="18.75" customHeight="1" x14ac:dyDescent="0.35">
      <c r="T16830" s="246">
        <f t="shared" si="301"/>
        <v>0</v>
      </c>
    </row>
    <row r="16831" spans="20:20" ht="18.75" customHeight="1" x14ac:dyDescent="0.35">
      <c r="T16831" s="246">
        <f t="shared" si="301"/>
        <v>0</v>
      </c>
    </row>
    <row r="16832" spans="20:20" ht="18.75" customHeight="1" x14ac:dyDescent="0.35">
      <c r="T16832" s="246">
        <f t="shared" si="301"/>
        <v>0</v>
      </c>
    </row>
    <row r="16833" spans="20:20" ht="18.75" customHeight="1" x14ac:dyDescent="0.35">
      <c r="T16833" s="246">
        <f t="shared" si="301"/>
        <v>0</v>
      </c>
    </row>
    <row r="16834" spans="20:20" ht="18.75" customHeight="1" x14ac:dyDescent="0.35">
      <c r="T16834" s="246">
        <f t="shared" si="301"/>
        <v>0</v>
      </c>
    </row>
    <row r="16835" spans="20:20" ht="18.75" customHeight="1" x14ac:dyDescent="0.35">
      <c r="T16835" s="246">
        <f t="shared" si="301"/>
        <v>0</v>
      </c>
    </row>
    <row r="16836" spans="20:20" ht="18.75" customHeight="1" x14ac:dyDescent="0.35">
      <c r="T16836" s="246">
        <f t="shared" si="301"/>
        <v>0</v>
      </c>
    </row>
    <row r="16837" spans="20:20" ht="18.75" customHeight="1" x14ac:dyDescent="0.35">
      <c r="T16837" s="246">
        <f t="shared" si="301"/>
        <v>0</v>
      </c>
    </row>
    <row r="16838" spans="20:20" ht="18.75" customHeight="1" x14ac:dyDescent="0.35">
      <c r="T16838" s="246">
        <f t="shared" si="301"/>
        <v>0</v>
      </c>
    </row>
    <row r="16839" spans="20:20" ht="18.75" customHeight="1" x14ac:dyDescent="0.35">
      <c r="T16839" s="246">
        <f t="shared" si="301"/>
        <v>0</v>
      </c>
    </row>
    <row r="16840" spans="20:20" ht="18.75" customHeight="1" x14ac:dyDescent="0.35">
      <c r="T16840" s="246">
        <f t="shared" si="301"/>
        <v>0</v>
      </c>
    </row>
    <row r="16841" spans="20:20" ht="18.75" customHeight="1" x14ac:dyDescent="0.35">
      <c r="T16841" s="246">
        <f t="shared" si="301"/>
        <v>0</v>
      </c>
    </row>
    <row r="16842" spans="20:20" ht="18.75" customHeight="1" x14ac:dyDescent="0.35">
      <c r="T16842" s="246">
        <f t="shared" si="301"/>
        <v>0</v>
      </c>
    </row>
    <row r="16843" spans="20:20" ht="18.75" customHeight="1" x14ac:dyDescent="0.35">
      <c r="T16843" s="246">
        <f t="shared" si="301"/>
        <v>0</v>
      </c>
    </row>
    <row r="16844" spans="20:20" ht="18.75" customHeight="1" x14ac:dyDescent="0.35">
      <c r="T16844" s="246">
        <f t="shared" si="301"/>
        <v>0</v>
      </c>
    </row>
    <row r="16845" spans="20:20" ht="18.75" customHeight="1" x14ac:dyDescent="0.35">
      <c r="T16845" s="246">
        <f t="shared" si="301"/>
        <v>0</v>
      </c>
    </row>
    <row r="16846" spans="20:20" ht="18.75" customHeight="1" x14ac:dyDescent="0.35">
      <c r="T16846" s="246">
        <f t="shared" si="301"/>
        <v>0</v>
      </c>
    </row>
    <row r="16847" spans="20:20" ht="18.75" customHeight="1" x14ac:dyDescent="0.35">
      <c r="T16847" s="246">
        <f t="shared" si="301"/>
        <v>0</v>
      </c>
    </row>
    <row r="16848" spans="20:20" ht="18.75" customHeight="1" x14ac:dyDescent="0.35">
      <c r="T16848" s="246">
        <f t="shared" si="301"/>
        <v>0</v>
      </c>
    </row>
    <row r="16849" spans="20:20" ht="18.75" customHeight="1" x14ac:dyDescent="0.35">
      <c r="T16849" s="246">
        <f t="shared" si="301"/>
        <v>0</v>
      </c>
    </row>
    <row r="16850" spans="20:20" ht="18.75" customHeight="1" x14ac:dyDescent="0.35">
      <c r="T16850" s="246">
        <f t="shared" si="301"/>
        <v>0</v>
      </c>
    </row>
    <row r="16851" spans="20:20" ht="18.75" customHeight="1" x14ac:dyDescent="0.35">
      <c r="T16851" s="246">
        <f t="shared" si="301"/>
        <v>0</v>
      </c>
    </row>
    <row r="16852" spans="20:20" ht="18.75" customHeight="1" x14ac:dyDescent="0.35">
      <c r="T16852" s="246">
        <f t="shared" si="301"/>
        <v>0</v>
      </c>
    </row>
    <row r="16853" spans="20:20" ht="18.75" customHeight="1" x14ac:dyDescent="0.35">
      <c r="T16853" s="246">
        <f t="shared" si="301"/>
        <v>0</v>
      </c>
    </row>
    <row r="16854" spans="20:20" ht="18.75" customHeight="1" x14ac:dyDescent="0.35">
      <c r="T16854" s="246">
        <f t="shared" si="301"/>
        <v>0</v>
      </c>
    </row>
    <row r="16855" spans="20:20" ht="18.75" customHeight="1" x14ac:dyDescent="0.35">
      <c r="T16855" s="246">
        <f t="shared" si="301"/>
        <v>0</v>
      </c>
    </row>
    <row r="16856" spans="20:20" ht="18.75" customHeight="1" x14ac:dyDescent="0.35">
      <c r="T16856" s="246">
        <f t="shared" si="301"/>
        <v>0</v>
      </c>
    </row>
    <row r="16857" spans="20:20" ht="18.75" customHeight="1" x14ac:dyDescent="0.35">
      <c r="T16857" s="246">
        <f t="shared" si="301"/>
        <v>0</v>
      </c>
    </row>
    <row r="16858" spans="20:20" ht="18.75" customHeight="1" x14ac:dyDescent="0.35">
      <c r="T16858" s="246">
        <f t="shared" si="301"/>
        <v>0</v>
      </c>
    </row>
    <row r="16859" spans="20:20" ht="18.75" customHeight="1" x14ac:dyDescent="0.35">
      <c r="T16859" s="246">
        <f t="shared" si="301"/>
        <v>0</v>
      </c>
    </row>
    <row r="16860" spans="20:20" ht="18.75" customHeight="1" x14ac:dyDescent="0.35">
      <c r="T16860" s="246">
        <f t="shared" si="301"/>
        <v>0</v>
      </c>
    </row>
    <row r="16861" spans="20:20" ht="18.75" customHeight="1" x14ac:dyDescent="0.35">
      <c r="T16861" s="246">
        <f t="shared" si="301"/>
        <v>0</v>
      </c>
    </row>
    <row r="16862" spans="20:20" ht="18.75" customHeight="1" x14ac:dyDescent="0.35">
      <c r="T16862" s="246">
        <f t="shared" si="301"/>
        <v>0</v>
      </c>
    </row>
    <row r="16863" spans="20:20" ht="18.75" customHeight="1" x14ac:dyDescent="0.35">
      <c r="T16863" s="246">
        <f t="shared" si="301"/>
        <v>0</v>
      </c>
    </row>
    <row r="16864" spans="20:20" ht="18.75" customHeight="1" x14ac:dyDescent="0.35">
      <c r="T16864" s="246">
        <f t="shared" si="301"/>
        <v>0</v>
      </c>
    </row>
    <row r="16865" spans="20:20" ht="18.75" customHeight="1" x14ac:dyDescent="0.35">
      <c r="T16865" s="246">
        <f t="shared" si="301"/>
        <v>0</v>
      </c>
    </row>
    <row r="16866" spans="20:20" ht="18.75" customHeight="1" x14ac:dyDescent="0.35">
      <c r="T16866" s="246">
        <f t="shared" si="301"/>
        <v>0</v>
      </c>
    </row>
    <row r="16867" spans="20:20" ht="18.75" customHeight="1" x14ac:dyDescent="0.35">
      <c r="T16867" s="246">
        <f t="shared" si="301"/>
        <v>0</v>
      </c>
    </row>
    <row r="16868" spans="20:20" ht="18.75" customHeight="1" x14ac:dyDescent="0.35">
      <c r="T16868" s="246">
        <f t="shared" si="301"/>
        <v>0</v>
      </c>
    </row>
    <row r="16869" spans="20:20" ht="18.75" customHeight="1" x14ac:dyDescent="0.35">
      <c r="T16869" s="246">
        <f t="shared" si="301"/>
        <v>0</v>
      </c>
    </row>
    <row r="16870" spans="20:20" ht="18.75" customHeight="1" x14ac:dyDescent="0.35">
      <c r="T16870" s="246">
        <f t="shared" si="301"/>
        <v>0</v>
      </c>
    </row>
    <row r="16871" spans="20:20" ht="18.75" customHeight="1" x14ac:dyDescent="0.35">
      <c r="T16871" s="246">
        <f t="shared" si="301"/>
        <v>0</v>
      </c>
    </row>
    <row r="16872" spans="20:20" ht="18.75" customHeight="1" x14ac:dyDescent="0.35">
      <c r="T16872" s="246">
        <f t="shared" si="301"/>
        <v>0</v>
      </c>
    </row>
    <row r="16873" spans="20:20" ht="18.75" customHeight="1" x14ac:dyDescent="0.35">
      <c r="T16873" s="246">
        <f t="shared" si="301"/>
        <v>0</v>
      </c>
    </row>
    <row r="16874" spans="20:20" ht="18.75" customHeight="1" x14ac:dyDescent="0.35">
      <c r="T16874" s="246">
        <f t="shared" si="301"/>
        <v>0</v>
      </c>
    </row>
    <row r="16875" spans="20:20" ht="18.75" customHeight="1" x14ac:dyDescent="0.35">
      <c r="T16875" s="246">
        <f t="shared" si="301"/>
        <v>0</v>
      </c>
    </row>
    <row r="16876" spans="20:20" ht="18.75" customHeight="1" x14ac:dyDescent="0.35">
      <c r="T16876" s="246">
        <f t="shared" si="301"/>
        <v>0</v>
      </c>
    </row>
    <row r="16877" spans="20:20" ht="18.75" customHeight="1" x14ac:dyDescent="0.35">
      <c r="T16877" s="246">
        <f t="shared" si="301"/>
        <v>0</v>
      </c>
    </row>
    <row r="16878" spans="20:20" ht="18.75" customHeight="1" x14ac:dyDescent="0.35">
      <c r="T16878" s="246">
        <f t="shared" si="301"/>
        <v>0</v>
      </c>
    </row>
    <row r="16879" spans="20:20" ht="18.75" customHeight="1" x14ac:dyDescent="0.35">
      <c r="T16879" s="246">
        <f t="shared" si="301"/>
        <v>0</v>
      </c>
    </row>
    <row r="16880" spans="20:20" ht="18.75" customHeight="1" x14ac:dyDescent="0.35">
      <c r="T16880" s="246">
        <f t="shared" si="301"/>
        <v>0</v>
      </c>
    </row>
    <row r="16881" spans="20:20" ht="18.75" customHeight="1" x14ac:dyDescent="0.35">
      <c r="T16881" s="246">
        <f t="shared" si="301"/>
        <v>0</v>
      </c>
    </row>
    <row r="16882" spans="20:20" ht="18.75" customHeight="1" x14ac:dyDescent="0.35">
      <c r="T16882" s="246">
        <f t="shared" si="301"/>
        <v>0</v>
      </c>
    </row>
    <row r="16883" spans="20:20" ht="18.75" customHeight="1" x14ac:dyDescent="0.35">
      <c r="T16883" s="246">
        <f t="shared" si="301"/>
        <v>0</v>
      </c>
    </row>
    <row r="16884" spans="20:20" ht="18.75" customHeight="1" x14ac:dyDescent="0.35">
      <c r="T16884" s="246">
        <f t="shared" si="301"/>
        <v>0</v>
      </c>
    </row>
    <row r="16885" spans="20:20" ht="18.75" customHeight="1" x14ac:dyDescent="0.35">
      <c r="T16885" s="246">
        <f t="shared" si="301"/>
        <v>0</v>
      </c>
    </row>
    <row r="16886" spans="20:20" ht="18.75" customHeight="1" x14ac:dyDescent="0.35">
      <c r="T16886" s="246">
        <f t="shared" si="301"/>
        <v>0</v>
      </c>
    </row>
    <row r="16887" spans="20:20" ht="18.75" customHeight="1" x14ac:dyDescent="0.35">
      <c r="T16887" s="246">
        <f t="shared" si="301"/>
        <v>0</v>
      </c>
    </row>
    <row r="16888" spans="20:20" ht="18.75" customHeight="1" x14ac:dyDescent="0.35">
      <c r="T16888" s="246">
        <f t="shared" si="301"/>
        <v>0</v>
      </c>
    </row>
    <row r="16889" spans="20:20" ht="18.75" customHeight="1" x14ac:dyDescent="0.35">
      <c r="T16889" s="246">
        <f t="shared" si="301"/>
        <v>0</v>
      </c>
    </row>
    <row r="16890" spans="20:20" ht="18.75" customHeight="1" x14ac:dyDescent="0.35">
      <c r="T16890" s="246">
        <f t="shared" si="301"/>
        <v>0</v>
      </c>
    </row>
    <row r="16891" spans="20:20" ht="18.75" customHeight="1" x14ac:dyDescent="0.35">
      <c r="T16891" s="246">
        <f t="shared" si="301"/>
        <v>0</v>
      </c>
    </row>
    <row r="16892" spans="20:20" ht="18.75" customHeight="1" x14ac:dyDescent="0.35">
      <c r="T16892" s="246">
        <f t="shared" ref="T16892:T16955" si="302">R16892*0.01</f>
        <v>0</v>
      </c>
    </row>
    <row r="16893" spans="20:20" ht="18.75" customHeight="1" x14ac:dyDescent="0.35">
      <c r="T16893" s="246">
        <f t="shared" si="302"/>
        <v>0</v>
      </c>
    </row>
    <row r="16894" spans="20:20" ht="18.75" customHeight="1" x14ac:dyDescent="0.35">
      <c r="T16894" s="246">
        <f t="shared" si="302"/>
        <v>0</v>
      </c>
    </row>
    <row r="16895" spans="20:20" ht="18.75" customHeight="1" x14ac:dyDescent="0.35">
      <c r="T16895" s="246">
        <f t="shared" si="302"/>
        <v>0</v>
      </c>
    </row>
    <row r="16896" spans="20:20" ht="18.75" customHeight="1" x14ac:dyDescent="0.35">
      <c r="T16896" s="246">
        <f t="shared" si="302"/>
        <v>0</v>
      </c>
    </row>
    <row r="16897" spans="20:20" ht="18.75" customHeight="1" x14ac:dyDescent="0.35">
      <c r="T16897" s="246">
        <f t="shared" si="302"/>
        <v>0</v>
      </c>
    </row>
    <row r="16898" spans="20:20" ht="18.75" customHeight="1" x14ac:dyDescent="0.35">
      <c r="T16898" s="246">
        <f t="shared" si="302"/>
        <v>0</v>
      </c>
    </row>
    <row r="16899" spans="20:20" ht="18.75" customHeight="1" x14ac:dyDescent="0.35">
      <c r="T16899" s="246">
        <f t="shared" si="302"/>
        <v>0</v>
      </c>
    </row>
    <row r="16900" spans="20:20" ht="18.75" customHeight="1" x14ac:dyDescent="0.35">
      <c r="T16900" s="246">
        <f t="shared" si="302"/>
        <v>0</v>
      </c>
    </row>
    <row r="16901" spans="20:20" ht="18.75" customHeight="1" x14ac:dyDescent="0.35">
      <c r="T16901" s="246">
        <f t="shared" si="302"/>
        <v>0</v>
      </c>
    </row>
    <row r="16902" spans="20:20" ht="18.75" customHeight="1" x14ac:dyDescent="0.35">
      <c r="T16902" s="246">
        <f t="shared" si="302"/>
        <v>0</v>
      </c>
    </row>
    <row r="16903" spans="20:20" ht="18.75" customHeight="1" x14ac:dyDescent="0.35">
      <c r="T16903" s="246">
        <f t="shared" si="302"/>
        <v>0</v>
      </c>
    </row>
    <row r="16904" spans="20:20" ht="18.75" customHeight="1" x14ac:dyDescent="0.35">
      <c r="T16904" s="246">
        <f t="shared" si="302"/>
        <v>0</v>
      </c>
    </row>
    <row r="16905" spans="20:20" ht="18.75" customHeight="1" x14ac:dyDescent="0.35">
      <c r="T16905" s="246">
        <f t="shared" si="302"/>
        <v>0</v>
      </c>
    </row>
    <row r="16906" spans="20:20" ht="18.75" customHeight="1" x14ac:dyDescent="0.35">
      <c r="T16906" s="246">
        <f t="shared" si="302"/>
        <v>0</v>
      </c>
    </row>
    <row r="16907" spans="20:20" ht="18.75" customHeight="1" x14ac:dyDescent="0.35">
      <c r="T16907" s="246">
        <f t="shared" si="302"/>
        <v>0</v>
      </c>
    </row>
    <row r="16908" spans="20:20" ht="18.75" customHeight="1" x14ac:dyDescent="0.35">
      <c r="T16908" s="246">
        <f t="shared" si="302"/>
        <v>0</v>
      </c>
    </row>
    <row r="16909" spans="20:20" ht="18.75" customHeight="1" x14ac:dyDescent="0.35">
      <c r="T16909" s="246">
        <f t="shared" si="302"/>
        <v>0</v>
      </c>
    </row>
    <row r="16910" spans="20:20" ht="18.75" customHeight="1" x14ac:dyDescent="0.35">
      <c r="T16910" s="246">
        <f t="shared" si="302"/>
        <v>0</v>
      </c>
    </row>
    <row r="16911" spans="20:20" ht="18.75" customHeight="1" x14ac:dyDescent="0.35">
      <c r="T16911" s="246">
        <f t="shared" si="302"/>
        <v>0</v>
      </c>
    </row>
    <row r="16912" spans="20:20" ht="18.75" customHeight="1" x14ac:dyDescent="0.35">
      <c r="T16912" s="246">
        <f t="shared" si="302"/>
        <v>0</v>
      </c>
    </row>
    <row r="16913" spans="20:20" ht="18.75" customHeight="1" x14ac:dyDescent="0.35">
      <c r="T16913" s="246">
        <f t="shared" si="302"/>
        <v>0</v>
      </c>
    </row>
    <row r="16914" spans="20:20" ht="18.75" customHeight="1" x14ac:dyDescent="0.35">
      <c r="T16914" s="246">
        <f t="shared" si="302"/>
        <v>0</v>
      </c>
    </row>
    <row r="16915" spans="20:20" ht="18.75" customHeight="1" x14ac:dyDescent="0.35">
      <c r="T16915" s="246">
        <f t="shared" si="302"/>
        <v>0</v>
      </c>
    </row>
    <row r="16916" spans="20:20" ht="18.75" customHeight="1" x14ac:dyDescent="0.35">
      <c r="T16916" s="246">
        <f t="shared" si="302"/>
        <v>0</v>
      </c>
    </row>
    <row r="16917" spans="20:20" ht="18.75" customHeight="1" x14ac:dyDescent="0.35">
      <c r="T16917" s="246">
        <f t="shared" si="302"/>
        <v>0</v>
      </c>
    </row>
    <row r="16918" spans="20:20" ht="18.75" customHeight="1" x14ac:dyDescent="0.35">
      <c r="T16918" s="246">
        <f t="shared" si="302"/>
        <v>0</v>
      </c>
    </row>
    <row r="16919" spans="20:20" ht="18.75" customHeight="1" x14ac:dyDescent="0.35">
      <c r="T16919" s="246">
        <f t="shared" si="302"/>
        <v>0</v>
      </c>
    </row>
    <row r="16920" spans="20:20" ht="18.75" customHeight="1" x14ac:dyDescent="0.35">
      <c r="T16920" s="246">
        <f t="shared" si="302"/>
        <v>0</v>
      </c>
    </row>
    <row r="16921" spans="20:20" ht="18.75" customHeight="1" x14ac:dyDescent="0.35">
      <c r="T16921" s="246">
        <f t="shared" si="302"/>
        <v>0</v>
      </c>
    </row>
    <row r="16922" spans="20:20" ht="18.75" customHeight="1" x14ac:dyDescent="0.35">
      <c r="T16922" s="246">
        <f t="shared" si="302"/>
        <v>0</v>
      </c>
    </row>
    <row r="16923" spans="20:20" ht="18.75" customHeight="1" x14ac:dyDescent="0.35">
      <c r="T16923" s="246">
        <f t="shared" si="302"/>
        <v>0</v>
      </c>
    </row>
    <row r="16924" spans="20:20" ht="18.75" customHeight="1" x14ac:dyDescent="0.35">
      <c r="T16924" s="246">
        <f t="shared" si="302"/>
        <v>0</v>
      </c>
    </row>
    <row r="16925" spans="20:20" ht="18.75" customHeight="1" x14ac:dyDescent="0.35">
      <c r="T16925" s="246">
        <f t="shared" si="302"/>
        <v>0</v>
      </c>
    </row>
    <row r="16926" spans="20:20" ht="18.75" customHeight="1" x14ac:dyDescent="0.35">
      <c r="T16926" s="246">
        <f t="shared" si="302"/>
        <v>0</v>
      </c>
    </row>
    <row r="16927" spans="20:20" ht="18.75" customHeight="1" x14ac:dyDescent="0.35">
      <c r="T16927" s="246">
        <f t="shared" si="302"/>
        <v>0</v>
      </c>
    </row>
    <row r="16928" spans="20:20" ht="18.75" customHeight="1" x14ac:dyDescent="0.35">
      <c r="T16928" s="246">
        <f t="shared" si="302"/>
        <v>0</v>
      </c>
    </row>
    <row r="16929" spans="20:20" ht="18.75" customHeight="1" x14ac:dyDescent="0.35">
      <c r="T16929" s="246">
        <f t="shared" si="302"/>
        <v>0</v>
      </c>
    </row>
    <row r="16930" spans="20:20" ht="18.75" customHeight="1" x14ac:dyDescent="0.35">
      <c r="T16930" s="246">
        <f t="shared" si="302"/>
        <v>0</v>
      </c>
    </row>
    <row r="16931" spans="20:20" ht="18.75" customHeight="1" x14ac:dyDescent="0.35">
      <c r="T16931" s="246">
        <f t="shared" si="302"/>
        <v>0</v>
      </c>
    </row>
    <row r="16932" spans="20:20" ht="18.75" customHeight="1" x14ac:dyDescent="0.35">
      <c r="T16932" s="246">
        <f t="shared" si="302"/>
        <v>0</v>
      </c>
    </row>
    <row r="16933" spans="20:20" ht="18.75" customHeight="1" x14ac:dyDescent="0.35">
      <c r="T16933" s="246">
        <f t="shared" si="302"/>
        <v>0</v>
      </c>
    </row>
    <row r="16934" spans="20:20" ht="18.75" customHeight="1" x14ac:dyDescent="0.35">
      <c r="T16934" s="246">
        <f t="shared" si="302"/>
        <v>0</v>
      </c>
    </row>
    <row r="16935" spans="20:20" ht="18.75" customHeight="1" x14ac:dyDescent="0.35">
      <c r="T16935" s="246">
        <f t="shared" si="302"/>
        <v>0</v>
      </c>
    </row>
    <row r="16936" spans="20:20" ht="18.75" customHeight="1" x14ac:dyDescent="0.35">
      <c r="T16936" s="246">
        <f t="shared" si="302"/>
        <v>0</v>
      </c>
    </row>
    <row r="16937" spans="20:20" ht="18.75" customHeight="1" x14ac:dyDescent="0.35">
      <c r="T16937" s="246">
        <f t="shared" si="302"/>
        <v>0</v>
      </c>
    </row>
    <row r="16938" spans="20:20" ht="18.75" customHeight="1" x14ac:dyDescent="0.35">
      <c r="T16938" s="246">
        <f t="shared" si="302"/>
        <v>0</v>
      </c>
    </row>
    <row r="16939" spans="20:20" ht="18.75" customHeight="1" x14ac:dyDescent="0.35">
      <c r="T16939" s="246">
        <f t="shared" si="302"/>
        <v>0</v>
      </c>
    </row>
    <row r="16940" spans="20:20" ht="18.75" customHeight="1" x14ac:dyDescent="0.35">
      <c r="T16940" s="246">
        <f t="shared" si="302"/>
        <v>0</v>
      </c>
    </row>
    <row r="16941" spans="20:20" ht="18.75" customHeight="1" x14ac:dyDescent="0.35">
      <c r="T16941" s="246">
        <f t="shared" si="302"/>
        <v>0</v>
      </c>
    </row>
    <row r="16942" spans="20:20" ht="18.75" customHeight="1" x14ac:dyDescent="0.35">
      <c r="T16942" s="246">
        <f t="shared" si="302"/>
        <v>0</v>
      </c>
    </row>
    <row r="16943" spans="20:20" ht="18.75" customHeight="1" x14ac:dyDescent="0.35">
      <c r="T16943" s="246">
        <f t="shared" si="302"/>
        <v>0</v>
      </c>
    </row>
    <row r="16944" spans="20:20" ht="18.75" customHeight="1" x14ac:dyDescent="0.35">
      <c r="T16944" s="246">
        <f t="shared" si="302"/>
        <v>0</v>
      </c>
    </row>
    <row r="16945" spans="20:20" ht="18.75" customHeight="1" x14ac:dyDescent="0.35">
      <c r="T16945" s="246">
        <f t="shared" si="302"/>
        <v>0</v>
      </c>
    </row>
    <row r="16946" spans="20:20" ht="18.75" customHeight="1" x14ac:dyDescent="0.35">
      <c r="T16946" s="246">
        <f t="shared" si="302"/>
        <v>0</v>
      </c>
    </row>
    <row r="16947" spans="20:20" ht="18.75" customHeight="1" x14ac:dyDescent="0.35">
      <c r="T16947" s="246">
        <f t="shared" si="302"/>
        <v>0</v>
      </c>
    </row>
    <row r="16948" spans="20:20" ht="18.75" customHeight="1" x14ac:dyDescent="0.35">
      <c r="T16948" s="246">
        <f t="shared" si="302"/>
        <v>0</v>
      </c>
    </row>
    <row r="16949" spans="20:20" ht="18.75" customHeight="1" x14ac:dyDescent="0.35">
      <c r="T16949" s="246">
        <f t="shared" si="302"/>
        <v>0</v>
      </c>
    </row>
    <row r="16950" spans="20:20" ht="18.75" customHeight="1" x14ac:dyDescent="0.35">
      <c r="T16950" s="246">
        <f t="shared" si="302"/>
        <v>0</v>
      </c>
    </row>
    <row r="16951" spans="20:20" ht="18.75" customHeight="1" x14ac:dyDescent="0.35">
      <c r="T16951" s="246">
        <f t="shared" si="302"/>
        <v>0</v>
      </c>
    </row>
    <row r="16952" spans="20:20" ht="18.75" customHeight="1" x14ac:dyDescent="0.35">
      <c r="T16952" s="246">
        <f t="shared" si="302"/>
        <v>0</v>
      </c>
    </row>
    <row r="16953" spans="20:20" ht="18.75" customHeight="1" x14ac:dyDescent="0.35">
      <c r="T16953" s="246">
        <f t="shared" si="302"/>
        <v>0</v>
      </c>
    </row>
    <row r="16954" spans="20:20" ht="18.75" customHeight="1" x14ac:dyDescent="0.35">
      <c r="T16954" s="246">
        <f t="shared" si="302"/>
        <v>0</v>
      </c>
    </row>
    <row r="16955" spans="20:20" ht="18.75" customHeight="1" x14ac:dyDescent="0.35">
      <c r="T16955" s="246">
        <f t="shared" si="302"/>
        <v>0</v>
      </c>
    </row>
    <row r="16956" spans="20:20" ht="18.75" customHeight="1" x14ac:dyDescent="0.35">
      <c r="T16956" s="246">
        <f t="shared" ref="T16956:T17019" si="303">R16956*0.01</f>
        <v>0</v>
      </c>
    </row>
    <row r="16957" spans="20:20" ht="18.75" customHeight="1" x14ac:dyDescent="0.35">
      <c r="T16957" s="246">
        <f t="shared" si="303"/>
        <v>0</v>
      </c>
    </row>
    <row r="16958" spans="20:20" ht="18.75" customHeight="1" x14ac:dyDescent="0.35">
      <c r="T16958" s="246">
        <f t="shared" si="303"/>
        <v>0</v>
      </c>
    </row>
    <row r="16959" spans="20:20" ht="18.75" customHeight="1" x14ac:dyDescent="0.35">
      <c r="T16959" s="246">
        <f t="shared" si="303"/>
        <v>0</v>
      </c>
    </row>
    <row r="16960" spans="20:20" ht="18.75" customHeight="1" x14ac:dyDescent="0.35">
      <c r="T16960" s="246">
        <f t="shared" si="303"/>
        <v>0</v>
      </c>
    </row>
    <row r="16961" spans="20:20" ht="18.75" customHeight="1" x14ac:dyDescent="0.35">
      <c r="T16961" s="246">
        <f t="shared" si="303"/>
        <v>0</v>
      </c>
    </row>
    <row r="16962" spans="20:20" ht="18.75" customHeight="1" x14ac:dyDescent="0.35">
      <c r="T16962" s="246">
        <f t="shared" si="303"/>
        <v>0</v>
      </c>
    </row>
    <row r="16963" spans="20:20" ht="18.75" customHeight="1" x14ac:dyDescent="0.35">
      <c r="T16963" s="246">
        <f t="shared" si="303"/>
        <v>0</v>
      </c>
    </row>
    <row r="16964" spans="20:20" ht="18.75" customHeight="1" x14ac:dyDescent="0.35">
      <c r="T16964" s="246">
        <f t="shared" si="303"/>
        <v>0</v>
      </c>
    </row>
    <row r="16965" spans="20:20" ht="18.75" customHeight="1" x14ac:dyDescent="0.35">
      <c r="T16965" s="246">
        <f t="shared" si="303"/>
        <v>0</v>
      </c>
    </row>
    <row r="16966" spans="20:20" ht="18.75" customHeight="1" x14ac:dyDescent="0.35">
      <c r="T16966" s="246">
        <f t="shared" si="303"/>
        <v>0</v>
      </c>
    </row>
    <row r="16967" spans="20:20" ht="18.75" customHeight="1" x14ac:dyDescent="0.35">
      <c r="T16967" s="246">
        <f t="shared" si="303"/>
        <v>0</v>
      </c>
    </row>
    <row r="16968" spans="20:20" ht="18.75" customHeight="1" x14ac:dyDescent="0.35">
      <c r="T16968" s="246">
        <f t="shared" si="303"/>
        <v>0</v>
      </c>
    </row>
    <row r="16969" spans="20:20" ht="18.75" customHeight="1" x14ac:dyDescent="0.35">
      <c r="T16969" s="246">
        <f t="shared" si="303"/>
        <v>0</v>
      </c>
    </row>
    <row r="16970" spans="20:20" ht="18.75" customHeight="1" x14ac:dyDescent="0.35">
      <c r="T16970" s="246">
        <f t="shared" si="303"/>
        <v>0</v>
      </c>
    </row>
    <row r="16971" spans="20:20" ht="18.75" customHeight="1" x14ac:dyDescent="0.35">
      <c r="T16971" s="246">
        <f t="shared" si="303"/>
        <v>0</v>
      </c>
    </row>
    <row r="16972" spans="20:20" ht="18.75" customHeight="1" x14ac:dyDescent="0.35">
      <c r="T16972" s="246">
        <f t="shared" si="303"/>
        <v>0</v>
      </c>
    </row>
    <row r="16973" spans="20:20" ht="18.75" customHeight="1" x14ac:dyDescent="0.35">
      <c r="T16973" s="246">
        <f t="shared" si="303"/>
        <v>0</v>
      </c>
    </row>
    <row r="16974" spans="20:20" ht="18.75" customHeight="1" x14ac:dyDescent="0.35">
      <c r="T16974" s="246">
        <f t="shared" si="303"/>
        <v>0</v>
      </c>
    </row>
    <row r="16975" spans="20:20" ht="18.75" customHeight="1" x14ac:dyDescent="0.35">
      <c r="T16975" s="246">
        <f t="shared" si="303"/>
        <v>0</v>
      </c>
    </row>
    <row r="16976" spans="20:20" ht="18.75" customHeight="1" x14ac:dyDescent="0.35">
      <c r="T16976" s="246">
        <f t="shared" si="303"/>
        <v>0</v>
      </c>
    </row>
    <row r="16977" spans="20:20" ht="18.75" customHeight="1" x14ac:dyDescent="0.35">
      <c r="T16977" s="246">
        <f t="shared" si="303"/>
        <v>0</v>
      </c>
    </row>
    <row r="16978" spans="20:20" ht="18.75" customHeight="1" x14ac:dyDescent="0.35">
      <c r="T16978" s="246">
        <f t="shared" si="303"/>
        <v>0</v>
      </c>
    </row>
    <row r="16979" spans="20:20" ht="18.75" customHeight="1" x14ac:dyDescent="0.35">
      <c r="T16979" s="246">
        <f t="shared" si="303"/>
        <v>0</v>
      </c>
    </row>
    <row r="16980" spans="20:20" ht="18.75" customHeight="1" x14ac:dyDescent="0.35">
      <c r="T16980" s="246">
        <f t="shared" si="303"/>
        <v>0</v>
      </c>
    </row>
    <row r="16981" spans="20:20" ht="18.75" customHeight="1" x14ac:dyDescent="0.35">
      <c r="T16981" s="246">
        <f t="shared" si="303"/>
        <v>0</v>
      </c>
    </row>
    <row r="16982" spans="20:20" ht="18.75" customHeight="1" x14ac:dyDescent="0.35">
      <c r="T16982" s="246">
        <f t="shared" si="303"/>
        <v>0</v>
      </c>
    </row>
    <row r="16983" spans="20:20" ht="18.75" customHeight="1" x14ac:dyDescent="0.35">
      <c r="T16983" s="246">
        <f t="shared" si="303"/>
        <v>0</v>
      </c>
    </row>
    <row r="16984" spans="20:20" ht="18.75" customHeight="1" x14ac:dyDescent="0.35">
      <c r="T16984" s="246">
        <f t="shared" si="303"/>
        <v>0</v>
      </c>
    </row>
    <row r="16985" spans="20:20" ht="18.75" customHeight="1" x14ac:dyDescent="0.35">
      <c r="T16985" s="246">
        <f t="shared" si="303"/>
        <v>0</v>
      </c>
    </row>
    <row r="16986" spans="20:20" ht="18.75" customHeight="1" x14ac:dyDescent="0.35">
      <c r="T16986" s="246">
        <f t="shared" si="303"/>
        <v>0</v>
      </c>
    </row>
    <row r="16987" spans="20:20" ht="18.75" customHeight="1" x14ac:dyDescent="0.35">
      <c r="T16987" s="246">
        <f t="shared" si="303"/>
        <v>0</v>
      </c>
    </row>
    <row r="16988" spans="20:20" ht="18.75" customHeight="1" x14ac:dyDescent="0.35">
      <c r="T16988" s="246">
        <f t="shared" si="303"/>
        <v>0</v>
      </c>
    </row>
    <row r="16989" spans="20:20" ht="18.75" customHeight="1" x14ac:dyDescent="0.35">
      <c r="T16989" s="246">
        <f t="shared" si="303"/>
        <v>0</v>
      </c>
    </row>
    <row r="16990" spans="20:20" ht="18.75" customHeight="1" x14ac:dyDescent="0.35">
      <c r="T16990" s="246">
        <f t="shared" si="303"/>
        <v>0</v>
      </c>
    </row>
    <row r="16991" spans="20:20" ht="18.75" customHeight="1" x14ac:dyDescent="0.35">
      <c r="T16991" s="246">
        <f t="shared" si="303"/>
        <v>0</v>
      </c>
    </row>
    <row r="16992" spans="20:20" ht="18.75" customHeight="1" x14ac:dyDescent="0.35">
      <c r="T16992" s="246">
        <f t="shared" si="303"/>
        <v>0</v>
      </c>
    </row>
    <row r="16993" spans="20:20" ht="18.75" customHeight="1" x14ac:dyDescent="0.35">
      <c r="T16993" s="246">
        <f t="shared" si="303"/>
        <v>0</v>
      </c>
    </row>
    <row r="16994" spans="20:20" ht="18.75" customHeight="1" x14ac:dyDescent="0.35">
      <c r="T16994" s="246">
        <f t="shared" si="303"/>
        <v>0</v>
      </c>
    </row>
    <row r="16995" spans="20:20" ht="18.75" customHeight="1" x14ac:dyDescent="0.35">
      <c r="T16995" s="246">
        <f t="shared" si="303"/>
        <v>0</v>
      </c>
    </row>
    <row r="16996" spans="20:20" ht="18.75" customHeight="1" x14ac:dyDescent="0.35">
      <c r="T16996" s="246">
        <f t="shared" si="303"/>
        <v>0</v>
      </c>
    </row>
    <row r="16997" spans="20:20" ht="18.75" customHeight="1" x14ac:dyDescent="0.35">
      <c r="T16997" s="246">
        <f t="shared" si="303"/>
        <v>0</v>
      </c>
    </row>
    <row r="16998" spans="20:20" ht="18.75" customHeight="1" x14ac:dyDescent="0.35">
      <c r="T16998" s="246">
        <f t="shared" si="303"/>
        <v>0</v>
      </c>
    </row>
    <row r="16999" spans="20:20" ht="18.75" customHeight="1" x14ac:dyDescent="0.35">
      <c r="T16999" s="246">
        <f t="shared" si="303"/>
        <v>0</v>
      </c>
    </row>
    <row r="17000" spans="20:20" ht="18.75" customHeight="1" x14ac:dyDescent="0.35">
      <c r="T17000" s="246">
        <f t="shared" si="303"/>
        <v>0</v>
      </c>
    </row>
    <row r="17001" spans="20:20" ht="18.75" customHeight="1" x14ac:dyDescent="0.35">
      <c r="T17001" s="246">
        <f t="shared" si="303"/>
        <v>0</v>
      </c>
    </row>
    <row r="17002" spans="20:20" ht="18.75" customHeight="1" x14ac:dyDescent="0.35">
      <c r="T17002" s="246">
        <f t="shared" si="303"/>
        <v>0</v>
      </c>
    </row>
    <row r="17003" spans="20:20" ht="18.75" customHeight="1" x14ac:dyDescent="0.35">
      <c r="T17003" s="246">
        <f t="shared" si="303"/>
        <v>0</v>
      </c>
    </row>
    <row r="17004" spans="20:20" ht="18.75" customHeight="1" x14ac:dyDescent="0.35">
      <c r="T17004" s="246">
        <f t="shared" si="303"/>
        <v>0</v>
      </c>
    </row>
    <row r="17005" spans="20:20" ht="18.75" customHeight="1" x14ac:dyDescent="0.35">
      <c r="T17005" s="246">
        <f t="shared" si="303"/>
        <v>0</v>
      </c>
    </row>
    <row r="17006" spans="20:20" ht="18.75" customHeight="1" x14ac:dyDescent="0.35">
      <c r="T17006" s="246">
        <f t="shared" si="303"/>
        <v>0</v>
      </c>
    </row>
    <row r="17007" spans="20:20" ht="18.75" customHeight="1" x14ac:dyDescent="0.35">
      <c r="T17007" s="246">
        <f t="shared" si="303"/>
        <v>0</v>
      </c>
    </row>
    <row r="17008" spans="20:20" ht="18.75" customHeight="1" x14ac:dyDescent="0.35">
      <c r="T17008" s="246">
        <f t="shared" si="303"/>
        <v>0</v>
      </c>
    </row>
    <row r="17009" spans="20:20" ht="18.75" customHeight="1" x14ac:dyDescent="0.35">
      <c r="T17009" s="246">
        <f t="shared" si="303"/>
        <v>0</v>
      </c>
    </row>
    <row r="17010" spans="20:20" ht="18.75" customHeight="1" x14ac:dyDescent="0.35">
      <c r="T17010" s="246">
        <f t="shared" si="303"/>
        <v>0</v>
      </c>
    </row>
    <row r="17011" spans="20:20" ht="18.75" customHeight="1" x14ac:dyDescent="0.35">
      <c r="T17011" s="246">
        <f t="shared" si="303"/>
        <v>0</v>
      </c>
    </row>
    <row r="17012" spans="20:20" ht="18.75" customHeight="1" x14ac:dyDescent="0.35">
      <c r="T17012" s="246">
        <f t="shared" si="303"/>
        <v>0</v>
      </c>
    </row>
    <row r="17013" spans="20:20" ht="18.75" customHeight="1" x14ac:dyDescent="0.35">
      <c r="T17013" s="246">
        <f t="shared" si="303"/>
        <v>0</v>
      </c>
    </row>
    <row r="17014" spans="20:20" ht="18.75" customHeight="1" x14ac:dyDescent="0.35">
      <c r="T17014" s="246">
        <f t="shared" si="303"/>
        <v>0</v>
      </c>
    </row>
    <row r="17015" spans="20:20" ht="18.75" customHeight="1" x14ac:dyDescent="0.35">
      <c r="T17015" s="246">
        <f t="shared" si="303"/>
        <v>0</v>
      </c>
    </row>
    <row r="17016" spans="20:20" ht="18.75" customHeight="1" x14ac:dyDescent="0.35">
      <c r="T17016" s="246">
        <f t="shared" si="303"/>
        <v>0</v>
      </c>
    </row>
    <row r="17017" spans="20:20" ht="18.75" customHeight="1" x14ac:dyDescent="0.35">
      <c r="T17017" s="246">
        <f t="shared" si="303"/>
        <v>0</v>
      </c>
    </row>
    <row r="17018" spans="20:20" ht="18.75" customHeight="1" x14ac:dyDescent="0.35">
      <c r="T17018" s="246">
        <f t="shared" si="303"/>
        <v>0</v>
      </c>
    </row>
    <row r="17019" spans="20:20" ht="18.75" customHeight="1" x14ac:dyDescent="0.35">
      <c r="T17019" s="246">
        <f t="shared" si="303"/>
        <v>0</v>
      </c>
    </row>
    <row r="17020" spans="20:20" ht="18.75" customHeight="1" x14ac:dyDescent="0.35">
      <c r="T17020" s="246">
        <f t="shared" ref="T17020:T17083" si="304">R17020*0.01</f>
        <v>0</v>
      </c>
    </row>
    <row r="17021" spans="20:20" ht="18.75" customHeight="1" x14ac:dyDescent="0.35">
      <c r="T17021" s="246">
        <f t="shared" si="304"/>
        <v>0</v>
      </c>
    </row>
    <row r="17022" spans="20:20" ht="18.75" customHeight="1" x14ac:dyDescent="0.35">
      <c r="T17022" s="246">
        <f t="shared" si="304"/>
        <v>0</v>
      </c>
    </row>
    <row r="17023" spans="20:20" ht="18.75" customHeight="1" x14ac:dyDescent="0.35">
      <c r="T17023" s="246">
        <f t="shared" si="304"/>
        <v>0</v>
      </c>
    </row>
    <row r="17024" spans="20:20" ht="18.75" customHeight="1" x14ac:dyDescent="0.35">
      <c r="T17024" s="246">
        <f t="shared" si="304"/>
        <v>0</v>
      </c>
    </row>
    <row r="17025" spans="20:20" ht="18.75" customHeight="1" x14ac:dyDescent="0.35">
      <c r="T17025" s="246">
        <f t="shared" si="304"/>
        <v>0</v>
      </c>
    </row>
    <row r="17026" spans="20:20" ht="18.75" customHeight="1" x14ac:dyDescent="0.35">
      <c r="T17026" s="246">
        <f t="shared" si="304"/>
        <v>0</v>
      </c>
    </row>
    <row r="17027" spans="20:20" ht="18.75" customHeight="1" x14ac:dyDescent="0.35">
      <c r="T17027" s="246">
        <f t="shared" si="304"/>
        <v>0</v>
      </c>
    </row>
    <row r="17028" spans="20:20" ht="18.75" customHeight="1" x14ac:dyDescent="0.35">
      <c r="T17028" s="246">
        <f t="shared" si="304"/>
        <v>0</v>
      </c>
    </row>
    <row r="17029" spans="20:20" ht="18.75" customHeight="1" x14ac:dyDescent="0.35">
      <c r="T17029" s="246">
        <f t="shared" si="304"/>
        <v>0</v>
      </c>
    </row>
    <row r="17030" spans="20:20" ht="18.75" customHeight="1" x14ac:dyDescent="0.35">
      <c r="T17030" s="246">
        <f t="shared" si="304"/>
        <v>0</v>
      </c>
    </row>
    <row r="17031" spans="20:20" ht="18.75" customHeight="1" x14ac:dyDescent="0.35">
      <c r="T17031" s="246">
        <f t="shared" si="304"/>
        <v>0</v>
      </c>
    </row>
    <row r="17032" spans="20:20" ht="18.75" customHeight="1" x14ac:dyDescent="0.35">
      <c r="T17032" s="246">
        <f t="shared" si="304"/>
        <v>0</v>
      </c>
    </row>
    <row r="17033" spans="20:20" ht="18.75" customHeight="1" x14ac:dyDescent="0.35">
      <c r="T17033" s="246">
        <f t="shared" si="304"/>
        <v>0</v>
      </c>
    </row>
    <row r="17034" spans="20:20" ht="18.75" customHeight="1" x14ac:dyDescent="0.35">
      <c r="T17034" s="246">
        <f t="shared" si="304"/>
        <v>0</v>
      </c>
    </row>
    <row r="17035" spans="20:20" ht="18.75" customHeight="1" x14ac:dyDescent="0.35">
      <c r="T17035" s="246">
        <f t="shared" si="304"/>
        <v>0</v>
      </c>
    </row>
    <row r="17036" spans="20:20" ht="18.75" customHeight="1" x14ac:dyDescent="0.35">
      <c r="T17036" s="246">
        <f t="shared" si="304"/>
        <v>0</v>
      </c>
    </row>
    <row r="17037" spans="20:20" ht="18.75" customHeight="1" x14ac:dyDescent="0.35">
      <c r="T17037" s="246">
        <f t="shared" si="304"/>
        <v>0</v>
      </c>
    </row>
    <row r="17038" spans="20:20" ht="18.75" customHeight="1" x14ac:dyDescent="0.35">
      <c r="T17038" s="246">
        <f t="shared" si="304"/>
        <v>0</v>
      </c>
    </row>
    <row r="17039" spans="20:20" ht="18.75" customHeight="1" x14ac:dyDescent="0.35">
      <c r="T17039" s="246">
        <f t="shared" si="304"/>
        <v>0</v>
      </c>
    </row>
    <row r="17040" spans="20:20" ht="18.75" customHeight="1" x14ac:dyDescent="0.35">
      <c r="T17040" s="246">
        <f t="shared" si="304"/>
        <v>0</v>
      </c>
    </row>
    <row r="17041" spans="20:20" ht="18.75" customHeight="1" x14ac:dyDescent="0.35">
      <c r="T17041" s="246">
        <f t="shared" si="304"/>
        <v>0</v>
      </c>
    </row>
    <row r="17042" spans="20:20" ht="18.75" customHeight="1" x14ac:dyDescent="0.35">
      <c r="T17042" s="246">
        <f t="shared" si="304"/>
        <v>0</v>
      </c>
    </row>
    <row r="17043" spans="20:20" ht="18.75" customHeight="1" x14ac:dyDescent="0.35">
      <c r="T17043" s="246">
        <f t="shared" si="304"/>
        <v>0</v>
      </c>
    </row>
    <row r="17044" spans="20:20" ht="18.75" customHeight="1" x14ac:dyDescent="0.35">
      <c r="T17044" s="246">
        <f t="shared" si="304"/>
        <v>0</v>
      </c>
    </row>
    <row r="17045" spans="20:20" ht="18.75" customHeight="1" x14ac:dyDescent="0.35">
      <c r="T17045" s="246">
        <f t="shared" si="304"/>
        <v>0</v>
      </c>
    </row>
    <row r="17046" spans="20:20" ht="18.75" customHeight="1" x14ac:dyDescent="0.35">
      <c r="T17046" s="246">
        <f t="shared" si="304"/>
        <v>0</v>
      </c>
    </row>
    <row r="17047" spans="20:20" ht="18.75" customHeight="1" x14ac:dyDescent="0.35">
      <c r="T17047" s="246">
        <f t="shared" si="304"/>
        <v>0</v>
      </c>
    </row>
    <row r="17048" spans="20:20" ht="18.75" customHeight="1" x14ac:dyDescent="0.35">
      <c r="T17048" s="246">
        <f t="shared" si="304"/>
        <v>0</v>
      </c>
    </row>
    <row r="17049" spans="20:20" ht="18.75" customHeight="1" x14ac:dyDescent="0.35">
      <c r="T17049" s="246">
        <f t="shared" si="304"/>
        <v>0</v>
      </c>
    </row>
    <row r="17050" spans="20:20" ht="18.75" customHeight="1" x14ac:dyDescent="0.35">
      <c r="T17050" s="246">
        <f t="shared" si="304"/>
        <v>0</v>
      </c>
    </row>
    <row r="17051" spans="20:20" ht="18.75" customHeight="1" x14ac:dyDescent="0.35">
      <c r="T17051" s="246">
        <f t="shared" si="304"/>
        <v>0</v>
      </c>
    </row>
    <row r="17052" spans="20:20" ht="18.75" customHeight="1" x14ac:dyDescent="0.35">
      <c r="T17052" s="246">
        <f t="shared" si="304"/>
        <v>0</v>
      </c>
    </row>
    <row r="17053" spans="20:20" ht="18.75" customHeight="1" x14ac:dyDescent="0.35">
      <c r="T17053" s="246">
        <f t="shared" si="304"/>
        <v>0</v>
      </c>
    </row>
    <row r="17054" spans="20:20" ht="18.75" customHeight="1" x14ac:dyDescent="0.35">
      <c r="T17054" s="246">
        <f t="shared" si="304"/>
        <v>0</v>
      </c>
    </row>
    <row r="17055" spans="20:20" ht="18.75" customHeight="1" x14ac:dyDescent="0.35">
      <c r="T17055" s="246">
        <f t="shared" si="304"/>
        <v>0</v>
      </c>
    </row>
    <row r="17056" spans="20:20" ht="18.75" customHeight="1" x14ac:dyDescent="0.35">
      <c r="T17056" s="246">
        <f t="shared" si="304"/>
        <v>0</v>
      </c>
    </row>
    <row r="17057" spans="20:20" ht="18.75" customHeight="1" x14ac:dyDescent="0.35">
      <c r="T17057" s="246">
        <f t="shared" si="304"/>
        <v>0</v>
      </c>
    </row>
    <row r="17058" spans="20:20" ht="18.75" customHeight="1" x14ac:dyDescent="0.35">
      <c r="T17058" s="246">
        <f t="shared" si="304"/>
        <v>0</v>
      </c>
    </row>
    <row r="17059" spans="20:20" ht="18.75" customHeight="1" x14ac:dyDescent="0.35">
      <c r="T17059" s="246">
        <f t="shared" si="304"/>
        <v>0</v>
      </c>
    </row>
    <row r="17060" spans="20:20" ht="18.75" customHeight="1" x14ac:dyDescent="0.35">
      <c r="T17060" s="246">
        <f t="shared" si="304"/>
        <v>0</v>
      </c>
    </row>
    <row r="17061" spans="20:20" ht="18.75" customHeight="1" x14ac:dyDescent="0.35">
      <c r="T17061" s="246">
        <f t="shared" si="304"/>
        <v>0</v>
      </c>
    </row>
    <row r="17062" spans="20:20" ht="18.75" customHeight="1" x14ac:dyDescent="0.35">
      <c r="T17062" s="246">
        <f t="shared" si="304"/>
        <v>0</v>
      </c>
    </row>
    <row r="17063" spans="20:20" ht="18.75" customHeight="1" x14ac:dyDescent="0.35">
      <c r="T17063" s="246">
        <f t="shared" si="304"/>
        <v>0</v>
      </c>
    </row>
    <row r="17064" spans="20:20" ht="18.75" customHeight="1" x14ac:dyDescent="0.35">
      <c r="T17064" s="246">
        <f t="shared" si="304"/>
        <v>0</v>
      </c>
    </row>
    <row r="17065" spans="20:20" ht="18.75" customHeight="1" x14ac:dyDescent="0.35">
      <c r="T17065" s="246">
        <f t="shared" si="304"/>
        <v>0</v>
      </c>
    </row>
    <row r="17066" spans="20:20" ht="18.75" customHeight="1" x14ac:dyDescent="0.35">
      <c r="T17066" s="246">
        <f t="shared" si="304"/>
        <v>0</v>
      </c>
    </row>
    <row r="17067" spans="20:20" ht="18.75" customHeight="1" x14ac:dyDescent="0.35">
      <c r="T17067" s="246">
        <f t="shared" si="304"/>
        <v>0</v>
      </c>
    </row>
    <row r="17068" spans="20:20" ht="18.75" customHeight="1" x14ac:dyDescent="0.35">
      <c r="T17068" s="246">
        <f t="shared" si="304"/>
        <v>0</v>
      </c>
    </row>
    <row r="17069" spans="20:20" ht="18.75" customHeight="1" x14ac:dyDescent="0.35">
      <c r="T17069" s="246">
        <f t="shared" si="304"/>
        <v>0</v>
      </c>
    </row>
    <row r="17070" spans="20:20" ht="18.75" customHeight="1" x14ac:dyDescent="0.35">
      <c r="T17070" s="246">
        <f t="shared" si="304"/>
        <v>0</v>
      </c>
    </row>
    <row r="17071" spans="20:20" ht="18.75" customHeight="1" x14ac:dyDescent="0.35">
      <c r="T17071" s="246">
        <f t="shared" si="304"/>
        <v>0</v>
      </c>
    </row>
    <row r="17072" spans="20:20" ht="18.75" customHeight="1" x14ac:dyDescent="0.35">
      <c r="T17072" s="246">
        <f t="shared" si="304"/>
        <v>0</v>
      </c>
    </row>
    <row r="17073" spans="20:20" ht="18.75" customHeight="1" x14ac:dyDescent="0.35">
      <c r="T17073" s="246">
        <f t="shared" si="304"/>
        <v>0</v>
      </c>
    </row>
    <row r="17074" spans="20:20" ht="18.75" customHeight="1" x14ac:dyDescent="0.35">
      <c r="T17074" s="246">
        <f t="shared" si="304"/>
        <v>0</v>
      </c>
    </row>
    <row r="17075" spans="20:20" ht="18.75" customHeight="1" x14ac:dyDescent="0.35">
      <c r="T17075" s="246">
        <f t="shared" si="304"/>
        <v>0</v>
      </c>
    </row>
    <row r="17076" spans="20:20" ht="18.75" customHeight="1" x14ac:dyDescent="0.35">
      <c r="T17076" s="246">
        <f t="shared" si="304"/>
        <v>0</v>
      </c>
    </row>
    <row r="17077" spans="20:20" ht="18.75" customHeight="1" x14ac:dyDescent="0.35">
      <c r="T17077" s="246">
        <f t="shared" si="304"/>
        <v>0</v>
      </c>
    </row>
    <row r="17078" spans="20:20" ht="18.75" customHeight="1" x14ac:dyDescent="0.35">
      <c r="T17078" s="246">
        <f t="shared" si="304"/>
        <v>0</v>
      </c>
    </row>
    <row r="17079" spans="20:20" ht="18.75" customHeight="1" x14ac:dyDescent="0.35">
      <c r="T17079" s="246">
        <f t="shared" si="304"/>
        <v>0</v>
      </c>
    </row>
    <row r="17080" spans="20:20" ht="18.75" customHeight="1" x14ac:dyDescent="0.35">
      <c r="T17080" s="246">
        <f t="shared" si="304"/>
        <v>0</v>
      </c>
    </row>
    <row r="17081" spans="20:20" ht="18.75" customHeight="1" x14ac:dyDescent="0.35">
      <c r="T17081" s="246">
        <f t="shared" si="304"/>
        <v>0</v>
      </c>
    </row>
    <row r="17082" spans="20:20" ht="18.75" customHeight="1" x14ac:dyDescent="0.35">
      <c r="T17082" s="246">
        <f t="shared" si="304"/>
        <v>0</v>
      </c>
    </row>
    <row r="17083" spans="20:20" ht="18.75" customHeight="1" x14ac:dyDescent="0.35">
      <c r="T17083" s="246">
        <f t="shared" si="304"/>
        <v>0</v>
      </c>
    </row>
    <row r="17084" spans="20:20" ht="18.75" customHeight="1" x14ac:dyDescent="0.35">
      <c r="T17084" s="246">
        <f t="shared" ref="T17084:T17147" si="305">R17084*0.01</f>
        <v>0</v>
      </c>
    </row>
    <row r="17085" spans="20:20" ht="18.75" customHeight="1" x14ac:dyDescent="0.35">
      <c r="T17085" s="246">
        <f t="shared" si="305"/>
        <v>0</v>
      </c>
    </row>
    <row r="17086" spans="20:20" ht="18.75" customHeight="1" x14ac:dyDescent="0.35">
      <c r="T17086" s="246">
        <f t="shared" si="305"/>
        <v>0</v>
      </c>
    </row>
    <row r="17087" spans="20:20" ht="18.75" customHeight="1" x14ac:dyDescent="0.35">
      <c r="T17087" s="246">
        <f t="shared" si="305"/>
        <v>0</v>
      </c>
    </row>
    <row r="17088" spans="20:20" ht="18.75" customHeight="1" x14ac:dyDescent="0.35">
      <c r="T17088" s="246">
        <f t="shared" si="305"/>
        <v>0</v>
      </c>
    </row>
    <row r="17089" spans="20:20" ht="18.75" customHeight="1" x14ac:dyDescent="0.35">
      <c r="T17089" s="246">
        <f t="shared" si="305"/>
        <v>0</v>
      </c>
    </row>
    <row r="17090" spans="20:20" ht="18.75" customHeight="1" x14ac:dyDescent="0.35">
      <c r="T17090" s="246">
        <f t="shared" si="305"/>
        <v>0</v>
      </c>
    </row>
    <row r="17091" spans="20:20" ht="18.75" customHeight="1" x14ac:dyDescent="0.35">
      <c r="T17091" s="246">
        <f t="shared" si="305"/>
        <v>0</v>
      </c>
    </row>
    <row r="17092" spans="20:20" ht="18.75" customHeight="1" x14ac:dyDescent="0.35">
      <c r="T17092" s="246">
        <f t="shared" si="305"/>
        <v>0</v>
      </c>
    </row>
    <row r="17093" spans="20:20" ht="18.75" customHeight="1" x14ac:dyDescent="0.35">
      <c r="T17093" s="246">
        <f t="shared" si="305"/>
        <v>0</v>
      </c>
    </row>
    <row r="17094" spans="20:20" ht="18.75" customHeight="1" x14ac:dyDescent="0.35">
      <c r="T17094" s="246">
        <f t="shared" si="305"/>
        <v>0</v>
      </c>
    </row>
    <row r="17095" spans="20:20" ht="18.75" customHeight="1" x14ac:dyDescent="0.35">
      <c r="T17095" s="246">
        <f t="shared" si="305"/>
        <v>0</v>
      </c>
    </row>
    <row r="17096" spans="20:20" ht="18.75" customHeight="1" x14ac:dyDescent="0.35">
      <c r="T17096" s="246">
        <f t="shared" si="305"/>
        <v>0</v>
      </c>
    </row>
    <row r="17097" spans="20:20" ht="18.75" customHeight="1" x14ac:dyDescent="0.35">
      <c r="T17097" s="246">
        <f t="shared" si="305"/>
        <v>0</v>
      </c>
    </row>
    <row r="17098" spans="20:20" ht="18.75" customHeight="1" x14ac:dyDescent="0.35">
      <c r="T17098" s="246">
        <f t="shared" si="305"/>
        <v>0</v>
      </c>
    </row>
    <row r="17099" spans="20:20" ht="18.75" customHeight="1" x14ac:dyDescent="0.35">
      <c r="T17099" s="246">
        <f t="shared" si="305"/>
        <v>0</v>
      </c>
    </row>
    <row r="17100" spans="20:20" ht="18.75" customHeight="1" x14ac:dyDescent="0.35">
      <c r="T17100" s="246">
        <f t="shared" si="305"/>
        <v>0</v>
      </c>
    </row>
    <row r="17101" spans="20:20" ht="18.75" customHeight="1" x14ac:dyDescent="0.35">
      <c r="T17101" s="246">
        <f t="shared" si="305"/>
        <v>0</v>
      </c>
    </row>
    <row r="17102" spans="20:20" ht="18.75" customHeight="1" x14ac:dyDescent="0.35">
      <c r="T17102" s="246">
        <f t="shared" si="305"/>
        <v>0</v>
      </c>
    </row>
    <row r="17103" spans="20:20" ht="18.75" customHeight="1" x14ac:dyDescent="0.35">
      <c r="T17103" s="246">
        <f t="shared" si="305"/>
        <v>0</v>
      </c>
    </row>
    <row r="17104" spans="20:20" ht="18.75" customHeight="1" x14ac:dyDescent="0.35">
      <c r="T17104" s="246">
        <f t="shared" si="305"/>
        <v>0</v>
      </c>
    </row>
    <row r="17105" spans="20:20" ht="18.75" customHeight="1" x14ac:dyDescent="0.35">
      <c r="T17105" s="246">
        <f t="shared" si="305"/>
        <v>0</v>
      </c>
    </row>
    <row r="17106" spans="20:20" ht="18.75" customHeight="1" x14ac:dyDescent="0.35">
      <c r="T17106" s="246">
        <f t="shared" si="305"/>
        <v>0</v>
      </c>
    </row>
    <row r="17107" spans="20:20" ht="18.75" customHeight="1" x14ac:dyDescent="0.35">
      <c r="T17107" s="246">
        <f t="shared" si="305"/>
        <v>0</v>
      </c>
    </row>
    <row r="17108" spans="20:20" ht="18.75" customHeight="1" x14ac:dyDescent="0.35">
      <c r="T17108" s="246">
        <f t="shared" si="305"/>
        <v>0</v>
      </c>
    </row>
    <row r="17109" spans="20:20" ht="18.75" customHeight="1" x14ac:dyDescent="0.35">
      <c r="T17109" s="246">
        <f t="shared" si="305"/>
        <v>0</v>
      </c>
    </row>
    <row r="17110" spans="20:20" ht="18.75" customHeight="1" x14ac:dyDescent="0.35">
      <c r="T17110" s="246">
        <f t="shared" si="305"/>
        <v>0</v>
      </c>
    </row>
    <row r="17111" spans="20:20" ht="18.75" customHeight="1" x14ac:dyDescent="0.35">
      <c r="T17111" s="246">
        <f t="shared" si="305"/>
        <v>0</v>
      </c>
    </row>
    <row r="17112" spans="20:20" ht="18.75" customHeight="1" x14ac:dyDescent="0.35">
      <c r="T17112" s="246">
        <f t="shared" si="305"/>
        <v>0</v>
      </c>
    </row>
    <row r="17113" spans="20:20" ht="18.75" customHeight="1" x14ac:dyDescent="0.35">
      <c r="T17113" s="246">
        <f t="shared" si="305"/>
        <v>0</v>
      </c>
    </row>
    <row r="17114" spans="20:20" ht="18.75" customHeight="1" x14ac:dyDescent="0.35">
      <c r="T17114" s="246">
        <f t="shared" si="305"/>
        <v>0</v>
      </c>
    </row>
    <row r="17115" spans="20:20" ht="18.75" customHeight="1" x14ac:dyDescent="0.35">
      <c r="T17115" s="246">
        <f t="shared" si="305"/>
        <v>0</v>
      </c>
    </row>
    <row r="17116" spans="20:20" ht="18.75" customHeight="1" x14ac:dyDescent="0.35">
      <c r="T17116" s="246">
        <f t="shared" si="305"/>
        <v>0</v>
      </c>
    </row>
    <row r="17117" spans="20:20" ht="18.75" customHeight="1" x14ac:dyDescent="0.35">
      <c r="T17117" s="246">
        <f t="shared" si="305"/>
        <v>0</v>
      </c>
    </row>
    <row r="17118" spans="20:20" ht="18.75" customHeight="1" x14ac:dyDescent="0.35">
      <c r="T17118" s="246">
        <f t="shared" si="305"/>
        <v>0</v>
      </c>
    </row>
    <row r="17119" spans="20:20" ht="18.75" customHeight="1" x14ac:dyDescent="0.35">
      <c r="T17119" s="246">
        <f t="shared" si="305"/>
        <v>0</v>
      </c>
    </row>
    <row r="17120" spans="20:20" ht="18.75" customHeight="1" x14ac:dyDescent="0.35">
      <c r="T17120" s="246">
        <f t="shared" si="305"/>
        <v>0</v>
      </c>
    </row>
    <row r="17121" spans="20:20" ht="18.75" customHeight="1" x14ac:dyDescent="0.35">
      <c r="T17121" s="246">
        <f t="shared" si="305"/>
        <v>0</v>
      </c>
    </row>
    <row r="17122" spans="20:20" ht="18.75" customHeight="1" x14ac:dyDescent="0.35">
      <c r="T17122" s="246">
        <f t="shared" si="305"/>
        <v>0</v>
      </c>
    </row>
    <row r="17123" spans="20:20" ht="18.75" customHeight="1" x14ac:dyDescent="0.35">
      <c r="T17123" s="246">
        <f t="shared" si="305"/>
        <v>0</v>
      </c>
    </row>
    <row r="17124" spans="20:20" ht="18.75" customHeight="1" x14ac:dyDescent="0.35">
      <c r="T17124" s="246">
        <f t="shared" si="305"/>
        <v>0</v>
      </c>
    </row>
    <row r="17125" spans="20:20" ht="18.75" customHeight="1" x14ac:dyDescent="0.35">
      <c r="T17125" s="246">
        <f t="shared" si="305"/>
        <v>0</v>
      </c>
    </row>
    <row r="17126" spans="20:20" ht="18.75" customHeight="1" x14ac:dyDescent="0.35">
      <c r="T17126" s="246">
        <f t="shared" si="305"/>
        <v>0</v>
      </c>
    </row>
    <row r="17127" spans="20:20" ht="18.75" customHeight="1" x14ac:dyDescent="0.35">
      <c r="T17127" s="246">
        <f t="shared" si="305"/>
        <v>0</v>
      </c>
    </row>
    <row r="17128" spans="20:20" ht="18.75" customHeight="1" x14ac:dyDescent="0.35">
      <c r="T17128" s="246">
        <f t="shared" si="305"/>
        <v>0</v>
      </c>
    </row>
    <row r="17129" spans="20:20" ht="18.75" customHeight="1" x14ac:dyDescent="0.35">
      <c r="T17129" s="246">
        <f t="shared" si="305"/>
        <v>0</v>
      </c>
    </row>
    <row r="17130" spans="20:20" ht="18.75" customHeight="1" x14ac:dyDescent="0.35">
      <c r="T17130" s="246">
        <f t="shared" si="305"/>
        <v>0</v>
      </c>
    </row>
    <row r="17131" spans="20:20" ht="18.75" customHeight="1" x14ac:dyDescent="0.35">
      <c r="T17131" s="246">
        <f t="shared" si="305"/>
        <v>0</v>
      </c>
    </row>
    <row r="17132" spans="20:20" ht="18.75" customHeight="1" x14ac:dyDescent="0.35">
      <c r="T17132" s="246">
        <f t="shared" si="305"/>
        <v>0</v>
      </c>
    </row>
    <row r="17133" spans="20:20" ht="18.75" customHeight="1" x14ac:dyDescent="0.35">
      <c r="T17133" s="246">
        <f t="shared" si="305"/>
        <v>0</v>
      </c>
    </row>
    <row r="17134" spans="20:20" ht="18.75" customHeight="1" x14ac:dyDescent="0.35">
      <c r="T17134" s="246">
        <f t="shared" si="305"/>
        <v>0</v>
      </c>
    </row>
    <row r="17135" spans="20:20" ht="18.75" customHeight="1" x14ac:dyDescent="0.35">
      <c r="T17135" s="246">
        <f t="shared" si="305"/>
        <v>0</v>
      </c>
    </row>
    <row r="17136" spans="20:20" ht="18.75" customHeight="1" x14ac:dyDescent="0.35">
      <c r="T17136" s="246">
        <f t="shared" si="305"/>
        <v>0</v>
      </c>
    </row>
    <row r="17137" spans="20:20" ht="18.75" customHeight="1" x14ac:dyDescent="0.35">
      <c r="T17137" s="246">
        <f t="shared" si="305"/>
        <v>0</v>
      </c>
    </row>
    <row r="17138" spans="20:20" ht="18.75" customHeight="1" x14ac:dyDescent="0.35">
      <c r="T17138" s="246">
        <f t="shared" si="305"/>
        <v>0</v>
      </c>
    </row>
    <row r="17139" spans="20:20" ht="18.75" customHeight="1" x14ac:dyDescent="0.35">
      <c r="T17139" s="246">
        <f t="shared" si="305"/>
        <v>0</v>
      </c>
    </row>
    <row r="17140" spans="20:20" ht="18.75" customHeight="1" x14ac:dyDescent="0.35">
      <c r="T17140" s="246">
        <f t="shared" si="305"/>
        <v>0</v>
      </c>
    </row>
    <row r="17141" spans="20:20" ht="18.75" customHeight="1" x14ac:dyDescent="0.35">
      <c r="T17141" s="246">
        <f t="shared" si="305"/>
        <v>0</v>
      </c>
    </row>
    <row r="17142" spans="20:20" ht="18.75" customHeight="1" x14ac:dyDescent="0.35">
      <c r="T17142" s="246">
        <f t="shared" si="305"/>
        <v>0</v>
      </c>
    </row>
    <row r="17143" spans="20:20" ht="18.75" customHeight="1" x14ac:dyDescent="0.35">
      <c r="T17143" s="246">
        <f t="shared" si="305"/>
        <v>0</v>
      </c>
    </row>
    <row r="17144" spans="20:20" ht="18.75" customHeight="1" x14ac:dyDescent="0.35">
      <c r="T17144" s="246">
        <f t="shared" si="305"/>
        <v>0</v>
      </c>
    </row>
    <row r="17145" spans="20:20" ht="18.75" customHeight="1" x14ac:dyDescent="0.35">
      <c r="T17145" s="246">
        <f t="shared" si="305"/>
        <v>0</v>
      </c>
    </row>
    <row r="17146" spans="20:20" ht="18.75" customHeight="1" x14ac:dyDescent="0.35">
      <c r="T17146" s="246">
        <f t="shared" si="305"/>
        <v>0</v>
      </c>
    </row>
    <row r="17147" spans="20:20" ht="18.75" customHeight="1" x14ac:dyDescent="0.35">
      <c r="T17147" s="246">
        <f t="shared" si="305"/>
        <v>0</v>
      </c>
    </row>
    <row r="17148" spans="20:20" ht="18.75" customHeight="1" x14ac:dyDescent="0.35">
      <c r="T17148" s="246">
        <f t="shared" ref="T17148:T17211" si="306">R17148*0.01</f>
        <v>0</v>
      </c>
    </row>
    <row r="17149" spans="20:20" ht="18.75" customHeight="1" x14ac:dyDescent="0.35">
      <c r="T17149" s="246">
        <f t="shared" si="306"/>
        <v>0</v>
      </c>
    </row>
    <row r="17150" spans="20:20" ht="18.75" customHeight="1" x14ac:dyDescent="0.35">
      <c r="T17150" s="246">
        <f t="shared" si="306"/>
        <v>0</v>
      </c>
    </row>
    <row r="17151" spans="20:20" ht="18.75" customHeight="1" x14ac:dyDescent="0.35">
      <c r="T17151" s="246">
        <f t="shared" si="306"/>
        <v>0</v>
      </c>
    </row>
    <row r="17152" spans="20:20" ht="18.75" customHeight="1" x14ac:dyDescent="0.35">
      <c r="T17152" s="246">
        <f t="shared" si="306"/>
        <v>0</v>
      </c>
    </row>
    <row r="17153" spans="20:20" ht="18.75" customHeight="1" x14ac:dyDescent="0.35">
      <c r="T17153" s="246">
        <f t="shared" si="306"/>
        <v>0</v>
      </c>
    </row>
    <row r="17154" spans="20:20" ht="18.75" customHeight="1" x14ac:dyDescent="0.35">
      <c r="T17154" s="246">
        <f t="shared" si="306"/>
        <v>0</v>
      </c>
    </row>
    <row r="17155" spans="20:20" ht="18.75" customHeight="1" x14ac:dyDescent="0.35">
      <c r="T17155" s="246">
        <f t="shared" si="306"/>
        <v>0</v>
      </c>
    </row>
    <row r="17156" spans="20:20" ht="18.75" customHeight="1" x14ac:dyDescent="0.35">
      <c r="T17156" s="246">
        <f t="shared" si="306"/>
        <v>0</v>
      </c>
    </row>
    <row r="17157" spans="20:20" ht="18.75" customHeight="1" x14ac:dyDescent="0.35">
      <c r="T17157" s="246">
        <f t="shared" si="306"/>
        <v>0</v>
      </c>
    </row>
    <row r="17158" spans="20:20" ht="18.75" customHeight="1" x14ac:dyDescent="0.35">
      <c r="T17158" s="246">
        <f t="shared" si="306"/>
        <v>0</v>
      </c>
    </row>
    <row r="17159" spans="20:20" ht="18.75" customHeight="1" x14ac:dyDescent="0.35">
      <c r="T17159" s="246">
        <f t="shared" si="306"/>
        <v>0</v>
      </c>
    </row>
    <row r="17160" spans="20:20" ht="18.75" customHeight="1" x14ac:dyDescent="0.35">
      <c r="T17160" s="246">
        <f t="shared" si="306"/>
        <v>0</v>
      </c>
    </row>
    <row r="17161" spans="20:20" ht="18.75" customHeight="1" x14ac:dyDescent="0.35">
      <c r="T17161" s="246">
        <f t="shared" si="306"/>
        <v>0</v>
      </c>
    </row>
    <row r="17162" spans="20:20" ht="18.75" customHeight="1" x14ac:dyDescent="0.35">
      <c r="T17162" s="246">
        <f t="shared" si="306"/>
        <v>0</v>
      </c>
    </row>
    <row r="17163" spans="20:20" ht="18.75" customHeight="1" x14ac:dyDescent="0.35">
      <c r="T17163" s="246">
        <f t="shared" si="306"/>
        <v>0</v>
      </c>
    </row>
    <row r="17164" spans="20:20" ht="18.75" customHeight="1" x14ac:dyDescent="0.35">
      <c r="T17164" s="246">
        <f t="shared" si="306"/>
        <v>0</v>
      </c>
    </row>
    <row r="17165" spans="20:20" ht="18.75" customHeight="1" x14ac:dyDescent="0.35">
      <c r="T17165" s="246">
        <f t="shared" si="306"/>
        <v>0</v>
      </c>
    </row>
    <row r="17166" spans="20:20" ht="18.75" customHeight="1" x14ac:dyDescent="0.35">
      <c r="T17166" s="246">
        <f t="shared" si="306"/>
        <v>0</v>
      </c>
    </row>
    <row r="17167" spans="20:20" ht="18.75" customHeight="1" x14ac:dyDescent="0.35">
      <c r="T17167" s="246">
        <f t="shared" si="306"/>
        <v>0</v>
      </c>
    </row>
    <row r="17168" spans="20:20" ht="18.75" customHeight="1" x14ac:dyDescent="0.35">
      <c r="T17168" s="246">
        <f t="shared" si="306"/>
        <v>0</v>
      </c>
    </row>
    <row r="17169" spans="20:20" ht="18.75" customHeight="1" x14ac:dyDescent="0.35">
      <c r="T17169" s="246">
        <f t="shared" si="306"/>
        <v>0</v>
      </c>
    </row>
    <row r="17170" spans="20:20" ht="18.75" customHeight="1" x14ac:dyDescent="0.35">
      <c r="T17170" s="246">
        <f t="shared" si="306"/>
        <v>0</v>
      </c>
    </row>
    <row r="17171" spans="20:20" ht="18.75" customHeight="1" x14ac:dyDescent="0.35">
      <c r="T17171" s="246">
        <f t="shared" si="306"/>
        <v>0</v>
      </c>
    </row>
    <row r="17172" spans="20:20" ht="18.75" customHeight="1" x14ac:dyDescent="0.35">
      <c r="T17172" s="246">
        <f t="shared" si="306"/>
        <v>0</v>
      </c>
    </row>
    <row r="17173" spans="20:20" ht="18.75" customHeight="1" x14ac:dyDescent="0.35">
      <c r="T17173" s="246">
        <f t="shared" si="306"/>
        <v>0</v>
      </c>
    </row>
    <row r="17174" spans="20:20" ht="18.75" customHeight="1" x14ac:dyDescent="0.35">
      <c r="T17174" s="246">
        <f t="shared" si="306"/>
        <v>0</v>
      </c>
    </row>
    <row r="17175" spans="20:20" ht="18.75" customHeight="1" x14ac:dyDescent="0.35">
      <c r="T17175" s="246">
        <f t="shared" si="306"/>
        <v>0</v>
      </c>
    </row>
    <row r="17176" spans="20:20" ht="18.75" customHeight="1" x14ac:dyDescent="0.35">
      <c r="T17176" s="246">
        <f t="shared" si="306"/>
        <v>0</v>
      </c>
    </row>
    <row r="17177" spans="20:20" ht="18.75" customHeight="1" x14ac:dyDescent="0.35">
      <c r="T17177" s="246">
        <f t="shared" si="306"/>
        <v>0</v>
      </c>
    </row>
    <row r="17178" spans="20:20" ht="18.75" customHeight="1" x14ac:dyDescent="0.35">
      <c r="T17178" s="246">
        <f t="shared" si="306"/>
        <v>0</v>
      </c>
    </row>
    <row r="17179" spans="20:20" ht="18.75" customHeight="1" x14ac:dyDescent="0.35">
      <c r="T17179" s="246">
        <f t="shared" si="306"/>
        <v>0</v>
      </c>
    </row>
    <row r="17180" spans="20:20" ht="18.75" customHeight="1" x14ac:dyDescent="0.35">
      <c r="T17180" s="246">
        <f t="shared" si="306"/>
        <v>0</v>
      </c>
    </row>
    <row r="17181" spans="20:20" ht="18.75" customHeight="1" x14ac:dyDescent="0.35">
      <c r="T17181" s="246">
        <f t="shared" si="306"/>
        <v>0</v>
      </c>
    </row>
    <row r="17182" spans="20:20" ht="18.75" customHeight="1" x14ac:dyDescent="0.35">
      <c r="T17182" s="246">
        <f t="shared" si="306"/>
        <v>0</v>
      </c>
    </row>
    <row r="17183" spans="20:20" ht="18.75" customHeight="1" x14ac:dyDescent="0.35">
      <c r="T17183" s="246">
        <f t="shared" si="306"/>
        <v>0</v>
      </c>
    </row>
    <row r="17184" spans="20:20" ht="18.75" customHeight="1" x14ac:dyDescent="0.35">
      <c r="T17184" s="246">
        <f t="shared" si="306"/>
        <v>0</v>
      </c>
    </row>
    <row r="17185" spans="20:20" ht="18.75" customHeight="1" x14ac:dyDescent="0.35">
      <c r="T17185" s="246">
        <f t="shared" si="306"/>
        <v>0</v>
      </c>
    </row>
    <row r="17186" spans="20:20" ht="18.75" customHeight="1" x14ac:dyDescent="0.35">
      <c r="T17186" s="246">
        <f t="shared" si="306"/>
        <v>0</v>
      </c>
    </row>
    <row r="17187" spans="20:20" ht="18.75" customHeight="1" x14ac:dyDescent="0.35">
      <c r="T17187" s="246">
        <f t="shared" si="306"/>
        <v>0</v>
      </c>
    </row>
    <row r="17188" spans="20:20" ht="18.75" customHeight="1" x14ac:dyDescent="0.35">
      <c r="T17188" s="246">
        <f t="shared" si="306"/>
        <v>0</v>
      </c>
    </row>
    <row r="17189" spans="20:20" ht="18.75" customHeight="1" x14ac:dyDescent="0.35">
      <c r="T17189" s="246">
        <f t="shared" si="306"/>
        <v>0</v>
      </c>
    </row>
    <row r="17190" spans="20:20" ht="18.75" customHeight="1" x14ac:dyDescent="0.35">
      <c r="T17190" s="246">
        <f t="shared" si="306"/>
        <v>0</v>
      </c>
    </row>
    <row r="17191" spans="20:20" ht="18.75" customHeight="1" x14ac:dyDescent="0.35">
      <c r="T17191" s="246">
        <f t="shared" si="306"/>
        <v>0</v>
      </c>
    </row>
    <row r="17192" spans="20:20" ht="18.75" customHeight="1" x14ac:dyDescent="0.35">
      <c r="T17192" s="246">
        <f t="shared" si="306"/>
        <v>0</v>
      </c>
    </row>
    <row r="17193" spans="20:20" ht="18.75" customHeight="1" x14ac:dyDescent="0.35">
      <c r="T17193" s="246">
        <f t="shared" si="306"/>
        <v>0</v>
      </c>
    </row>
    <row r="17194" spans="20:20" ht="18.75" customHeight="1" x14ac:dyDescent="0.35">
      <c r="T17194" s="246">
        <f t="shared" si="306"/>
        <v>0</v>
      </c>
    </row>
    <row r="17195" spans="20:20" ht="18.75" customHeight="1" x14ac:dyDescent="0.35">
      <c r="T17195" s="246">
        <f t="shared" si="306"/>
        <v>0</v>
      </c>
    </row>
    <row r="17196" spans="20:20" ht="18.75" customHeight="1" x14ac:dyDescent="0.35">
      <c r="T17196" s="246">
        <f t="shared" si="306"/>
        <v>0</v>
      </c>
    </row>
    <row r="17197" spans="20:20" ht="18.75" customHeight="1" x14ac:dyDescent="0.35">
      <c r="T17197" s="246">
        <f t="shared" si="306"/>
        <v>0</v>
      </c>
    </row>
    <row r="17198" spans="20:20" ht="18.75" customHeight="1" x14ac:dyDescent="0.35">
      <c r="T17198" s="246">
        <f t="shared" si="306"/>
        <v>0</v>
      </c>
    </row>
    <row r="17199" spans="20:20" ht="18.75" customHeight="1" x14ac:dyDescent="0.35">
      <c r="T17199" s="246">
        <f t="shared" si="306"/>
        <v>0</v>
      </c>
    </row>
    <row r="17200" spans="20:20" ht="18.75" customHeight="1" x14ac:dyDescent="0.35">
      <c r="T17200" s="246">
        <f t="shared" si="306"/>
        <v>0</v>
      </c>
    </row>
    <row r="17201" spans="20:20" ht="18.75" customHeight="1" x14ac:dyDescent="0.35">
      <c r="T17201" s="246">
        <f t="shared" si="306"/>
        <v>0</v>
      </c>
    </row>
    <row r="17202" spans="20:20" ht="18.75" customHeight="1" x14ac:dyDescent="0.35">
      <c r="T17202" s="246">
        <f t="shared" si="306"/>
        <v>0</v>
      </c>
    </row>
    <row r="17203" spans="20:20" ht="18.75" customHeight="1" x14ac:dyDescent="0.35">
      <c r="T17203" s="246">
        <f t="shared" si="306"/>
        <v>0</v>
      </c>
    </row>
    <row r="17204" spans="20:20" ht="18.75" customHeight="1" x14ac:dyDescent="0.35">
      <c r="T17204" s="246">
        <f t="shared" si="306"/>
        <v>0</v>
      </c>
    </row>
    <row r="17205" spans="20:20" ht="18.75" customHeight="1" x14ac:dyDescent="0.35">
      <c r="T17205" s="246">
        <f t="shared" si="306"/>
        <v>0</v>
      </c>
    </row>
    <row r="17206" spans="20:20" ht="18.75" customHeight="1" x14ac:dyDescent="0.35">
      <c r="T17206" s="246">
        <f t="shared" si="306"/>
        <v>0</v>
      </c>
    </row>
    <row r="17207" spans="20:20" ht="18.75" customHeight="1" x14ac:dyDescent="0.35">
      <c r="T17207" s="246">
        <f t="shared" si="306"/>
        <v>0</v>
      </c>
    </row>
    <row r="17208" spans="20:20" ht="18.75" customHeight="1" x14ac:dyDescent="0.35">
      <c r="T17208" s="246">
        <f t="shared" si="306"/>
        <v>0</v>
      </c>
    </row>
    <row r="17209" spans="20:20" ht="18.75" customHeight="1" x14ac:dyDescent="0.35">
      <c r="T17209" s="246">
        <f t="shared" si="306"/>
        <v>0</v>
      </c>
    </row>
    <row r="17210" spans="20:20" ht="18.75" customHeight="1" x14ac:dyDescent="0.35">
      <c r="T17210" s="246">
        <f t="shared" si="306"/>
        <v>0</v>
      </c>
    </row>
    <row r="17211" spans="20:20" ht="18.75" customHeight="1" x14ac:dyDescent="0.35">
      <c r="T17211" s="246">
        <f t="shared" si="306"/>
        <v>0</v>
      </c>
    </row>
    <row r="17212" spans="20:20" ht="18.75" customHeight="1" x14ac:dyDescent="0.35">
      <c r="T17212" s="246">
        <f t="shared" ref="T17212:T17275" si="307">R17212*0.01</f>
        <v>0</v>
      </c>
    </row>
    <row r="17213" spans="20:20" ht="18.75" customHeight="1" x14ac:dyDescent="0.35">
      <c r="T17213" s="246">
        <f t="shared" si="307"/>
        <v>0</v>
      </c>
    </row>
    <row r="17214" spans="20:20" ht="18.75" customHeight="1" x14ac:dyDescent="0.35">
      <c r="T17214" s="246">
        <f t="shared" si="307"/>
        <v>0</v>
      </c>
    </row>
    <row r="17215" spans="20:20" ht="18.75" customHeight="1" x14ac:dyDescent="0.35">
      <c r="T17215" s="246">
        <f t="shared" si="307"/>
        <v>0</v>
      </c>
    </row>
    <row r="17216" spans="20:20" ht="18.75" customHeight="1" x14ac:dyDescent="0.35">
      <c r="T17216" s="246">
        <f t="shared" si="307"/>
        <v>0</v>
      </c>
    </row>
    <row r="17217" spans="20:20" ht="18.75" customHeight="1" x14ac:dyDescent="0.35">
      <c r="T17217" s="246">
        <f t="shared" si="307"/>
        <v>0</v>
      </c>
    </row>
    <row r="17218" spans="20:20" ht="18.75" customHeight="1" x14ac:dyDescent="0.35">
      <c r="T17218" s="246">
        <f t="shared" si="307"/>
        <v>0</v>
      </c>
    </row>
    <row r="17219" spans="20:20" ht="18.75" customHeight="1" x14ac:dyDescent="0.35">
      <c r="T17219" s="246">
        <f t="shared" si="307"/>
        <v>0</v>
      </c>
    </row>
    <row r="17220" spans="20:20" ht="18.75" customHeight="1" x14ac:dyDescent="0.35">
      <c r="T17220" s="246">
        <f t="shared" si="307"/>
        <v>0</v>
      </c>
    </row>
    <row r="17221" spans="20:20" ht="18.75" customHeight="1" x14ac:dyDescent="0.35">
      <c r="T17221" s="246">
        <f t="shared" si="307"/>
        <v>0</v>
      </c>
    </row>
    <row r="17222" spans="20:20" ht="18.75" customHeight="1" x14ac:dyDescent="0.35">
      <c r="T17222" s="246">
        <f t="shared" si="307"/>
        <v>0</v>
      </c>
    </row>
    <row r="17223" spans="20:20" ht="18.75" customHeight="1" x14ac:dyDescent="0.35">
      <c r="T17223" s="246">
        <f t="shared" si="307"/>
        <v>0</v>
      </c>
    </row>
    <row r="17224" spans="20:20" ht="18.75" customHeight="1" x14ac:dyDescent="0.35">
      <c r="T17224" s="246">
        <f t="shared" si="307"/>
        <v>0</v>
      </c>
    </row>
    <row r="17225" spans="20:20" ht="18.75" customHeight="1" x14ac:dyDescent="0.35">
      <c r="T17225" s="246">
        <f t="shared" si="307"/>
        <v>0</v>
      </c>
    </row>
    <row r="17226" spans="20:20" ht="18.75" customHeight="1" x14ac:dyDescent="0.35">
      <c r="T17226" s="246">
        <f t="shared" si="307"/>
        <v>0</v>
      </c>
    </row>
    <row r="17227" spans="20:20" ht="18.75" customHeight="1" x14ac:dyDescent="0.35">
      <c r="T17227" s="246">
        <f t="shared" si="307"/>
        <v>0</v>
      </c>
    </row>
    <row r="17228" spans="20:20" ht="18.75" customHeight="1" x14ac:dyDescent="0.35">
      <c r="T17228" s="246">
        <f t="shared" si="307"/>
        <v>0</v>
      </c>
    </row>
    <row r="17229" spans="20:20" ht="18.75" customHeight="1" x14ac:dyDescent="0.35">
      <c r="T17229" s="246">
        <f t="shared" si="307"/>
        <v>0</v>
      </c>
    </row>
    <row r="17230" spans="20:20" ht="18.75" customHeight="1" x14ac:dyDescent="0.35">
      <c r="T17230" s="246">
        <f t="shared" si="307"/>
        <v>0</v>
      </c>
    </row>
    <row r="17231" spans="20:20" ht="18.75" customHeight="1" x14ac:dyDescent="0.35">
      <c r="T17231" s="246">
        <f t="shared" si="307"/>
        <v>0</v>
      </c>
    </row>
    <row r="17232" spans="20:20" ht="18.75" customHeight="1" x14ac:dyDescent="0.35">
      <c r="T17232" s="246">
        <f t="shared" si="307"/>
        <v>0</v>
      </c>
    </row>
    <row r="17233" spans="20:20" ht="18.75" customHeight="1" x14ac:dyDescent="0.35">
      <c r="T17233" s="246">
        <f t="shared" si="307"/>
        <v>0</v>
      </c>
    </row>
    <row r="17234" spans="20:20" ht="18.75" customHeight="1" x14ac:dyDescent="0.35">
      <c r="T17234" s="246">
        <f t="shared" si="307"/>
        <v>0</v>
      </c>
    </row>
    <row r="17235" spans="20:20" ht="18.75" customHeight="1" x14ac:dyDescent="0.35">
      <c r="T17235" s="246">
        <f t="shared" si="307"/>
        <v>0</v>
      </c>
    </row>
    <row r="17236" spans="20:20" ht="18.75" customHeight="1" x14ac:dyDescent="0.35">
      <c r="T17236" s="246">
        <f t="shared" si="307"/>
        <v>0</v>
      </c>
    </row>
    <row r="17237" spans="20:20" ht="18.75" customHeight="1" x14ac:dyDescent="0.35">
      <c r="T17237" s="246">
        <f t="shared" si="307"/>
        <v>0</v>
      </c>
    </row>
    <row r="17238" spans="20:20" ht="18.75" customHeight="1" x14ac:dyDescent="0.35">
      <c r="T17238" s="246">
        <f t="shared" si="307"/>
        <v>0</v>
      </c>
    </row>
    <row r="17239" spans="20:20" ht="18.75" customHeight="1" x14ac:dyDescent="0.35">
      <c r="T17239" s="246">
        <f t="shared" si="307"/>
        <v>0</v>
      </c>
    </row>
    <row r="17240" spans="20:20" ht="18.75" customHeight="1" x14ac:dyDescent="0.35">
      <c r="T17240" s="246">
        <f t="shared" si="307"/>
        <v>0</v>
      </c>
    </row>
    <row r="17241" spans="20:20" ht="18.75" customHeight="1" x14ac:dyDescent="0.35">
      <c r="T17241" s="246">
        <f t="shared" si="307"/>
        <v>0</v>
      </c>
    </row>
    <row r="17242" spans="20:20" ht="18.75" customHeight="1" x14ac:dyDescent="0.35">
      <c r="T17242" s="246">
        <f t="shared" si="307"/>
        <v>0</v>
      </c>
    </row>
    <row r="17243" spans="20:20" ht="18.75" customHeight="1" x14ac:dyDescent="0.35">
      <c r="T17243" s="246">
        <f t="shared" si="307"/>
        <v>0</v>
      </c>
    </row>
    <row r="17244" spans="20:20" ht="18.75" customHeight="1" x14ac:dyDescent="0.35">
      <c r="T17244" s="246">
        <f t="shared" si="307"/>
        <v>0</v>
      </c>
    </row>
    <row r="17245" spans="20:20" ht="18.75" customHeight="1" x14ac:dyDescent="0.35">
      <c r="T17245" s="246">
        <f t="shared" si="307"/>
        <v>0</v>
      </c>
    </row>
    <row r="17246" spans="20:20" ht="18.75" customHeight="1" x14ac:dyDescent="0.35">
      <c r="T17246" s="246">
        <f t="shared" si="307"/>
        <v>0</v>
      </c>
    </row>
    <row r="17247" spans="20:20" ht="18.75" customHeight="1" x14ac:dyDescent="0.35">
      <c r="T17247" s="246">
        <f t="shared" si="307"/>
        <v>0</v>
      </c>
    </row>
    <row r="17248" spans="20:20" ht="18.75" customHeight="1" x14ac:dyDescent="0.35">
      <c r="T17248" s="246">
        <f t="shared" si="307"/>
        <v>0</v>
      </c>
    </row>
    <row r="17249" spans="20:20" ht="18.75" customHeight="1" x14ac:dyDescent="0.35">
      <c r="T17249" s="246">
        <f t="shared" si="307"/>
        <v>0</v>
      </c>
    </row>
    <row r="17250" spans="20:20" ht="18.75" customHeight="1" x14ac:dyDescent="0.35">
      <c r="T17250" s="246">
        <f t="shared" si="307"/>
        <v>0</v>
      </c>
    </row>
    <row r="17251" spans="20:20" ht="18.75" customHeight="1" x14ac:dyDescent="0.35">
      <c r="T17251" s="246">
        <f t="shared" si="307"/>
        <v>0</v>
      </c>
    </row>
    <row r="17252" spans="20:20" ht="18.75" customHeight="1" x14ac:dyDescent="0.35">
      <c r="T17252" s="246">
        <f t="shared" si="307"/>
        <v>0</v>
      </c>
    </row>
    <row r="17253" spans="20:20" ht="18.75" customHeight="1" x14ac:dyDescent="0.35">
      <c r="T17253" s="246">
        <f t="shared" si="307"/>
        <v>0</v>
      </c>
    </row>
    <row r="17254" spans="20:20" ht="18.75" customHeight="1" x14ac:dyDescent="0.35">
      <c r="T17254" s="246">
        <f t="shared" si="307"/>
        <v>0</v>
      </c>
    </row>
    <row r="17255" spans="20:20" ht="18.75" customHeight="1" x14ac:dyDescent="0.35">
      <c r="T17255" s="246">
        <f t="shared" si="307"/>
        <v>0</v>
      </c>
    </row>
    <row r="17256" spans="20:20" ht="18.75" customHeight="1" x14ac:dyDescent="0.35">
      <c r="T17256" s="246">
        <f t="shared" si="307"/>
        <v>0</v>
      </c>
    </row>
    <row r="17257" spans="20:20" ht="18.75" customHeight="1" x14ac:dyDescent="0.35">
      <c r="T17257" s="246">
        <f t="shared" si="307"/>
        <v>0</v>
      </c>
    </row>
    <row r="17258" spans="20:20" ht="18.75" customHeight="1" x14ac:dyDescent="0.35">
      <c r="T17258" s="246">
        <f t="shared" si="307"/>
        <v>0</v>
      </c>
    </row>
    <row r="17259" spans="20:20" ht="18.75" customHeight="1" x14ac:dyDescent="0.35">
      <c r="T17259" s="246">
        <f t="shared" si="307"/>
        <v>0</v>
      </c>
    </row>
    <row r="17260" spans="20:20" ht="18.75" customHeight="1" x14ac:dyDescent="0.35">
      <c r="T17260" s="246">
        <f t="shared" si="307"/>
        <v>0</v>
      </c>
    </row>
    <row r="17261" spans="20:20" ht="18.75" customHeight="1" x14ac:dyDescent="0.35">
      <c r="T17261" s="246">
        <f t="shared" si="307"/>
        <v>0</v>
      </c>
    </row>
    <row r="17262" spans="20:20" ht="18.75" customHeight="1" x14ac:dyDescent="0.35">
      <c r="T17262" s="246">
        <f t="shared" si="307"/>
        <v>0</v>
      </c>
    </row>
    <row r="17263" spans="20:20" ht="18.75" customHeight="1" x14ac:dyDescent="0.35">
      <c r="T17263" s="246">
        <f t="shared" si="307"/>
        <v>0</v>
      </c>
    </row>
    <row r="17264" spans="20:20" ht="18.75" customHeight="1" x14ac:dyDescent="0.35">
      <c r="T17264" s="246">
        <f t="shared" si="307"/>
        <v>0</v>
      </c>
    </row>
    <row r="17265" spans="20:20" ht="18.75" customHeight="1" x14ac:dyDescent="0.35">
      <c r="T17265" s="246">
        <f t="shared" si="307"/>
        <v>0</v>
      </c>
    </row>
    <row r="17266" spans="20:20" ht="18.75" customHeight="1" x14ac:dyDescent="0.35">
      <c r="T17266" s="246">
        <f t="shared" si="307"/>
        <v>0</v>
      </c>
    </row>
    <row r="17267" spans="20:20" ht="18.75" customHeight="1" x14ac:dyDescent="0.35">
      <c r="T17267" s="246">
        <f t="shared" si="307"/>
        <v>0</v>
      </c>
    </row>
    <row r="17268" spans="20:20" ht="18.75" customHeight="1" x14ac:dyDescent="0.35">
      <c r="T17268" s="246">
        <f t="shared" si="307"/>
        <v>0</v>
      </c>
    </row>
    <row r="17269" spans="20:20" ht="18.75" customHeight="1" x14ac:dyDescent="0.35">
      <c r="T17269" s="246">
        <f t="shared" si="307"/>
        <v>0</v>
      </c>
    </row>
    <row r="17270" spans="20:20" ht="18.75" customHeight="1" x14ac:dyDescent="0.35">
      <c r="T17270" s="246">
        <f t="shared" si="307"/>
        <v>0</v>
      </c>
    </row>
    <row r="17271" spans="20:20" ht="18.75" customHeight="1" x14ac:dyDescent="0.35">
      <c r="T17271" s="246">
        <f t="shared" si="307"/>
        <v>0</v>
      </c>
    </row>
    <row r="17272" spans="20:20" ht="18.75" customHeight="1" x14ac:dyDescent="0.35">
      <c r="T17272" s="246">
        <f t="shared" si="307"/>
        <v>0</v>
      </c>
    </row>
    <row r="17273" spans="20:20" ht="18.75" customHeight="1" x14ac:dyDescent="0.35">
      <c r="T17273" s="246">
        <f t="shared" si="307"/>
        <v>0</v>
      </c>
    </row>
    <row r="17274" spans="20:20" ht="18.75" customHeight="1" x14ac:dyDescent="0.35">
      <c r="T17274" s="246">
        <f t="shared" si="307"/>
        <v>0</v>
      </c>
    </row>
    <row r="17275" spans="20:20" ht="18.75" customHeight="1" x14ac:dyDescent="0.35">
      <c r="T17275" s="246">
        <f t="shared" si="307"/>
        <v>0</v>
      </c>
    </row>
    <row r="17276" spans="20:20" ht="18.75" customHeight="1" x14ac:dyDescent="0.35">
      <c r="T17276" s="246">
        <f t="shared" ref="T17276:T17339" si="308">R17276*0.01</f>
        <v>0</v>
      </c>
    </row>
    <row r="17277" spans="20:20" ht="18.75" customHeight="1" x14ac:dyDescent="0.35">
      <c r="T17277" s="246">
        <f t="shared" si="308"/>
        <v>0</v>
      </c>
    </row>
    <row r="17278" spans="20:20" ht="18.75" customHeight="1" x14ac:dyDescent="0.35">
      <c r="T17278" s="246">
        <f t="shared" si="308"/>
        <v>0</v>
      </c>
    </row>
    <row r="17279" spans="20:20" ht="18.75" customHeight="1" x14ac:dyDescent="0.35">
      <c r="T17279" s="246">
        <f t="shared" si="308"/>
        <v>0</v>
      </c>
    </row>
    <row r="17280" spans="20:20" ht="18.75" customHeight="1" x14ac:dyDescent="0.35">
      <c r="T17280" s="246">
        <f t="shared" si="308"/>
        <v>0</v>
      </c>
    </row>
    <row r="17281" spans="20:20" ht="18.75" customHeight="1" x14ac:dyDescent="0.35">
      <c r="T17281" s="246">
        <f t="shared" si="308"/>
        <v>0</v>
      </c>
    </row>
    <row r="17282" spans="20:20" ht="18.75" customHeight="1" x14ac:dyDescent="0.35">
      <c r="T17282" s="246">
        <f t="shared" si="308"/>
        <v>0</v>
      </c>
    </row>
    <row r="17283" spans="20:20" ht="18.75" customHeight="1" x14ac:dyDescent="0.35">
      <c r="T17283" s="246">
        <f t="shared" si="308"/>
        <v>0</v>
      </c>
    </row>
    <row r="17284" spans="20:20" ht="18.75" customHeight="1" x14ac:dyDescent="0.35">
      <c r="T17284" s="246">
        <f t="shared" si="308"/>
        <v>0</v>
      </c>
    </row>
    <row r="17285" spans="20:20" ht="18.75" customHeight="1" x14ac:dyDescent="0.35">
      <c r="T17285" s="246">
        <f t="shared" si="308"/>
        <v>0</v>
      </c>
    </row>
    <row r="17286" spans="20:20" ht="18.75" customHeight="1" x14ac:dyDescent="0.35">
      <c r="T17286" s="246">
        <f t="shared" si="308"/>
        <v>0</v>
      </c>
    </row>
    <row r="17287" spans="20:20" ht="18.75" customHeight="1" x14ac:dyDescent="0.35">
      <c r="T17287" s="246">
        <f t="shared" si="308"/>
        <v>0</v>
      </c>
    </row>
    <row r="17288" spans="20:20" ht="18.75" customHeight="1" x14ac:dyDescent="0.35">
      <c r="T17288" s="246">
        <f t="shared" si="308"/>
        <v>0</v>
      </c>
    </row>
    <row r="17289" spans="20:20" ht="18.75" customHeight="1" x14ac:dyDescent="0.35">
      <c r="T17289" s="246">
        <f t="shared" si="308"/>
        <v>0</v>
      </c>
    </row>
    <row r="17290" spans="20:20" ht="18.75" customHeight="1" x14ac:dyDescent="0.35">
      <c r="T17290" s="246">
        <f t="shared" si="308"/>
        <v>0</v>
      </c>
    </row>
    <row r="17291" spans="20:20" ht="18.75" customHeight="1" x14ac:dyDescent="0.35">
      <c r="T17291" s="246">
        <f t="shared" si="308"/>
        <v>0</v>
      </c>
    </row>
    <row r="17292" spans="20:20" ht="18.75" customHeight="1" x14ac:dyDescent="0.35">
      <c r="T17292" s="246">
        <f t="shared" si="308"/>
        <v>0</v>
      </c>
    </row>
    <row r="17293" spans="20:20" ht="18.75" customHeight="1" x14ac:dyDescent="0.35">
      <c r="T17293" s="246">
        <f t="shared" si="308"/>
        <v>0</v>
      </c>
    </row>
    <row r="17294" spans="20:20" ht="18.75" customHeight="1" x14ac:dyDescent="0.35">
      <c r="T17294" s="246">
        <f t="shared" si="308"/>
        <v>0</v>
      </c>
    </row>
    <row r="17295" spans="20:20" ht="18.75" customHeight="1" x14ac:dyDescent="0.35">
      <c r="T17295" s="246">
        <f t="shared" si="308"/>
        <v>0</v>
      </c>
    </row>
    <row r="17296" spans="20:20" ht="18.75" customHeight="1" x14ac:dyDescent="0.35">
      <c r="T17296" s="246">
        <f t="shared" si="308"/>
        <v>0</v>
      </c>
    </row>
    <row r="17297" spans="20:20" ht="18.75" customHeight="1" x14ac:dyDescent="0.35">
      <c r="T17297" s="246">
        <f t="shared" si="308"/>
        <v>0</v>
      </c>
    </row>
    <row r="17298" spans="20:20" ht="18.75" customHeight="1" x14ac:dyDescent="0.35">
      <c r="T17298" s="246">
        <f t="shared" si="308"/>
        <v>0</v>
      </c>
    </row>
    <row r="17299" spans="20:20" ht="18.75" customHeight="1" x14ac:dyDescent="0.35">
      <c r="T17299" s="246">
        <f t="shared" si="308"/>
        <v>0</v>
      </c>
    </row>
    <row r="17300" spans="20:20" ht="18.75" customHeight="1" x14ac:dyDescent="0.35">
      <c r="T17300" s="246">
        <f t="shared" si="308"/>
        <v>0</v>
      </c>
    </row>
    <row r="17301" spans="20:20" ht="18.75" customHeight="1" x14ac:dyDescent="0.35">
      <c r="T17301" s="246">
        <f t="shared" si="308"/>
        <v>0</v>
      </c>
    </row>
    <row r="17302" spans="20:20" ht="18.75" customHeight="1" x14ac:dyDescent="0.35">
      <c r="T17302" s="246">
        <f t="shared" si="308"/>
        <v>0</v>
      </c>
    </row>
    <row r="17303" spans="20:20" ht="18.75" customHeight="1" x14ac:dyDescent="0.35">
      <c r="T17303" s="246">
        <f t="shared" si="308"/>
        <v>0</v>
      </c>
    </row>
    <row r="17304" spans="20:20" ht="18.75" customHeight="1" x14ac:dyDescent="0.35">
      <c r="T17304" s="246">
        <f t="shared" si="308"/>
        <v>0</v>
      </c>
    </row>
    <row r="17305" spans="20:20" ht="18.75" customHeight="1" x14ac:dyDescent="0.35">
      <c r="T17305" s="246">
        <f t="shared" si="308"/>
        <v>0</v>
      </c>
    </row>
    <row r="17306" spans="20:20" ht="18.75" customHeight="1" x14ac:dyDescent="0.35">
      <c r="T17306" s="246">
        <f t="shared" si="308"/>
        <v>0</v>
      </c>
    </row>
    <row r="17307" spans="20:20" ht="18.75" customHeight="1" x14ac:dyDescent="0.35">
      <c r="T17307" s="246">
        <f t="shared" si="308"/>
        <v>0</v>
      </c>
    </row>
    <row r="17308" spans="20:20" ht="18.75" customHeight="1" x14ac:dyDescent="0.35">
      <c r="T17308" s="246">
        <f t="shared" si="308"/>
        <v>0</v>
      </c>
    </row>
    <row r="17309" spans="20:20" ht="18.75" customHeight="1" x14ac:dyDescent="0.35">
      <c r="T17309" s="246">
        <f t="shared" si="308"/>
        <v>0</v>
      </c>
    </row>
    <row r="17310" spans="20:20" ht="18.75" customHeight="1" x14ac:dyDescent="0.35">
      <c r="T17310" s="246">
        <f t="shared" si="308"/>
        <v>0</v>
      </c>
    </row>
    <row r="17311" spans="20:20" ht="18.75" customHeight="1" x14ac:dyDescent="0.35">
      <c r="T17311" s="246">
        <f t="shared" si="308"/>
        <v>0</v>
      </c>
    </row>
    <row r="17312" spans="20:20" ht="18.75" customHeight="1" x14ac:dyDescent="0.35">
      <c r="T17312" s="246">
        <f t="shared" si="308"/>
        <v>0</v>
      </c>
    </row>
    <row r="17313" spans="20:20" ht="18.75" customHeight="1" x14ac:dyDescent="0.35">
      <c r="T17313" s="246">
        <f t="shared" si="308"/>
        <v>0</v>
      </c>
    </row>
    <row r="17314" spans="20:20" ht="18.75" customHeight="1" x14ac:dyDescent="0.35">
      <c r="T17314" s="246">
        <f t="shared" si="308"/>
        <v>0</v>
      </c>
    </row>
    <row r="17315" spans="20:20" ht="18.75" customHeight="1" x14ac:dyDescent="0.35">
      <c r="T17315" s="246">
        <f t="shared" si="308"/>
        <v>0</v>
      </c>
    </row>
    <row r="17316" spans="20:20" ht="18.75" customHeight="1" x14ac:dyDescent="0.35">
      <c r="T17316" s="246">
        <f t="shared" si="308"/>
        <v>0</v>
      </c>
    </row>
    <row r="17317" spans="20:20" ht="18.75" customHeight="1" x14ac:dyDescent="0.35">
      <c r="T17317" s="246">
        <f t="shared" si="308"/>
        <v>0</v>
      </c>
    </row>
    <row r="17318" spans="20:20" ht="18.75" customHeight="1" x14ac:dyDescent="0.35">
      <c r="T17318" s="246">
        <f t="shared" si="308"/>
        <v>0</v>
      </c>
    </row>
    <row r="17319" spans="20:20" ht="18.75" customHeight="1" x14ac:dyDescent="0.35">
      <c r="T17319" s="246">
        <f t="shared" si="308"/>
        <v>0</v>
      </c>
    </row>
    <row r="17320" spans="20:20" ht="18.75" customHeight="1" x14ac:dyDescent="0.35">
      <c r="T17320" s="246">
        <f t="shared" si="308"/>
        <v>0</v>
      </c>
    </row>
    <row r="17321" spans="20:20" ht="18.75" customHeight="1" x14ac:dyDescent="0.35">
      <c r="T17321" s="246">
        <f t="shared" si="308"/>
        <v>0</v>
      </c>
    </row>
    <row r="17322" spans="20:20" ht="18.75" customHeight="1" x14ac:dyDescent="0.35">
      <c r="T17322" s="246">
        <f t="shared" si="308"/>
        <v>0</v>
      </c>
    </row>
    <row r="17323" spans="20:20" ht="18.75" customHeight="1" x14ac:dyDescent="0.35">
      <c r="T17323" s="246">
        <f t="shared" si="308"/>
        <v>0</v>
      </c>
    </row>
    <row r="17324" spans="20:20" ht="18.75" customHeight="1" x14ac:dyDescent="0.35">
      <c r="T17324" s="246">
        <f t="shared" si="308"/>
        <v>0</v>
      </c>
    </row>
    <row r="17325" spans="20:20" ht="18.75" customHeight="1" x14ac:dyDescent="0.35">
      <c r="T17325" s="246">
        <f t="shared" si="308"/>
        <v>0</v>
      </c>
    </row>
    <row r="17326" spans="20:20" ht="18.75" customHeight="1" x14ac:dyDescent="0.35">
      <c r="T17326" s="246">
        <f t="shared" si="308"/>
        <v>0</v>
      </c>
    </row>
    <row r="17327" spans="20:20" ht="18.75" customHeight="1" x14ac:dyDescent="0.35">
      <c r="T17327" s="246">
        <f t="shared" si="308"/>
        <v>0</v>
      </c>
    </row>
    <row r="17328" spans="20:20" ht="18.75" customHeight="1" x14ac:dyDescent="0.35">
      <c r="T17328" s="246">
        <f t="shared" si="308"/>
        <v>0</v>
      </c>
    </row>
    <row r="17329" spans="20:20" ht="18.75" customHeight="1" x14ac:dyDescent="0.35">
      <c r="T17329" s="246">
        <f t="shared" si="308"/>
        <v>0</v>
      </c>
    </row>
    <row r="17330" spans="20:20" ht="18.75" customHeight="1" x14ac:dyDescent="0.35">
      <c r="T17330" s="246">
        <f t="shared" si="308"/>
        <v>0</v>
      </c>
    </row>
    <row r="17331" spans="20:20" ht="18.75" customHeight="1" x14ac:dyDescent="0.35">
      <c r="T17331" s="246">
        <f t="shared" si="308"/>
        <v>0</v>
      </c>
    </row>
    <row r="17332" spans="20:20" ht="18.75" customHeight="1" x14ac:dyDescent="0.35">
      <c r="T17332" s="246">
        <f t="shared" si="308"/>
        <v>0</v>
      </c>
    </row>
    <row r="17333" spans="20:20" ht="18.75" customHeight="1" x14ac:dyDescent="0.35">
      <c r="T17333" s="246">
        <f t="shared" si="308"/>
        <v>0</v>
      </c>
    </row>
    <row r="17334" spans="20:20" ht="18.75" customHeight="1" x14ac:dyDescent="0.35">
      <c r="T17334" s="246">
        <f t="shared" si="308"/>
        <v>0</v>
      </c>
    </row>
    <row r="17335" spans="20:20" ht="18.75" customHeight="1" x14ac:dyDescent="0.35">
      <c r="T17335" s="246">
        <f t="shared" si="308"/>
        <v>0</v>
      </c>
    </row>
    <row r="17336" spans="20:20" ht="18.75" customHeight="1" x14ac:dyDescent="0.35">
      <c r="T17336" s="246">
        <f t="shared" si="308"/>
        <v>0</v>
      </c>
    </row>
    <row r="17337" spans="20:20" ht="18.75" customHeight="1" x14ac:dyDescent="0.35">
      <c r="T17337" s="246">
        <f t="shared" si="308"/>
        <v>0</v>
      </c>
    </row>
    <row r="17338" spans="20:20" ht="18.75" customHeight="1" x14ac:dyDescent="0.35">
      <c r="T17338" s="246">
        <f t="shared" si="308"/>
        <v>0</v>
      </c>
    </row>
    <row r="17339" spans="20:20" ht="18.75" customHeight="1" x14ac:dyDescent="0.35">
      <c r="T17339" s="246">
        <f t="shared" si="308"/>
        <v>0</v>
      </c>
    </row>
    <row r="17340" spans="20:20" ht="18.75" customHeight="1" x14ac:dyDescent="0.35">
      <c r="T17340" s="246">
        <f t="shared" ref="T17340:T17403" si="309">R17340*0.01</f>
        <v>0</v>
      </c>
    </row>
    <row r="17341" spans="20:20" ht="18.75" customHeight="1" x14ac:dyDescent="0.35">
      <c r="T17341" s="246">
        <f t="shared" si="309"/>
        <v>0</v>
      </c>
    </row>
    <row r="17342" spans="20:20" ht="18.75" customHeight="1" x14ac:dyDescent="0.35">
      <c r="T17342" s="246">
        <f t="shared" si="309"/>
        <v>0</v>
      </c>
    </row>
    <row r="17343" spans="20:20" ht="18.75" customHeight="1" x14ac:dyDescent="0.35">
      <c r="T17343" s="246">
        <f t="shared" si="309"/>
        <v>0</v>
      </c>
    </row>
    <row r="17344" spans="20:20" ht="18.75" customHeight="1" x14ac:dyDescent="0.35">
      <c r="T17344" s="246">
        <f t="shared" si="309"/>
        <v>0</v>
      </c>
    </row>
    <row r="17345" spans="20:20" ht="18.75" customHeight="1" x14ac:dyDescent="0.35">
      <c r="T17345" s="246">
        <f t="shared" si="309"/>
        <v>0</v>
      </c>
    </row>
    <row r="17346" spans="20:20" ht="18.75" customHeight="1" x14ac:dyDescent="0.35">
      <c r="T17346" s="246">
        <f t="shared" si="309"/>
        <v>0</v>
      </c>
    </row>
    <row r="17347" spans="20:20" ht="18.75" customHeight="1" x14ac:dyDescent="0.35">
      <c r="T17347" s="246">
        <f t="shared" si="309"/>
        <v>0</v>
      </c>
    </row>
    <row r="17348" spans="20:20" ht="18.75" customHeight="1" x14ac:dyDescent="0.35">
      <c r="T17348" s="246">
        <f t="shared" si="309"/>
        <v>0</v>
      </c>
    </row>
    <row r="17349" spans="20:20" ht="18.75" customHeight="1" x14ac:dyDescent="0.35">
      <c r="T17349" s="246">
        <f t="shared" si="309"/>
        <v>0</v>
      </c>
    </row>
    <row r="17350" spans="20:20" ht="18.75" customHeight="1" x14ac:dyDescent="0.35">
      <c r="T17350" s="246">
        <f t="shared" si="309"/>
        <v>0</v>
      </c>
    </row>
    <row r="17351" spans="20:20" ht="18.75" customHeight="1" x14ac:dyDescent="0.35">
      <c r="T17351" s="246">
        <f t="shared" si="309"/>
        <v>0</v>
      </c>
    </row>
    <row r="17352" spans="20:20" ht="18.75" customHeight="1" x14ac:dyDescent="0.35">
      <c r="T17352" s="246">
        <f t="shared" si="309"/>
        <v>0</v>
      </c>
    </row>
    <row r="17353" spans="20:20" ht="18.75" customHeight="1" x14ac:dyDescent="0.35">
      <c r="T17353" s="246">
        <f t="shared" si="309"/>
        <v>0</v>
      </c>
    </row>
    <row r="17354" spans="20:20" ht="18.75" customHeight="1" x14ac:dyDescent="0.35">
      <c r="T17354" s="246">
        <f t="shared" si="309"/>
        <v>0</v>
      </c>
    </row>
    <row r="17355" spans="20:20" ht="18.75" customHeight="1" x14ac:dyDescent="0.35">
      <c r="T17355" s="246">
        <f t="shared" si="309"/>
        <v>0</v>
      </c>
    </row>
    <row r="17356" spans="20:20" ht="18.75" customHeight="1" x14ac:dyDescent="0.35">
      <c r="T17356" s="246">
        <f t="shared" si="309"/>
        <v>0</v>
      </c>
    </row>
    <row r="17357" spans="20:20" ht="18.75" customHeight="1" x14ac:dyDescent="0.35">
      <c r="T17357" s="246">
        <f t="shared" si="309"/>
        <v>0</v>
      </c>
    </row>
    <row r="17358" spans="20:20" ht="18.75" customHeight="1" x14ac:dyDescent="0.35">
      <c r="T17358" s="246">
        <f t="shared" si="309"/>
        <v>0</v>
      </c>
    </row>
    <row r="17359" spans="20:20" ht="18.75" customHeight="1" x14ac:dyDescent="0.35">
      <c r="T17359" s="246">
        <f t="shared" si="309"/>
        <v>0</v>
      </c>
    </row>
    <row r="17360" spans="20:20" ht="18.75" customHeight="1" x14ac:dyDescent="0.35">
      <c r="T17360" s="246">
        <f t="shared" si="309"/>
        <v>0</v>
      </c>
    </row>
    <row r="17361" spans="20:20" ht="18.75" customHeight="1" x14ac:dyDescent="0.35">
      <c r="T17361" s="246">
        <f t="shared" si="309"/>
        <v>0</v>
      </c>
    </row>
    <row r="17362" spans="20:20" ht="18.75" customHeight="1" x14ac:dyDescent="0.35">
      <c r="T17362" s="246">
        <f t="shared" si="309"/>
        <v>0</v>
      </c>
    </row>
    <row r="17363" spans="20:20" ht="18.75" customHeight="1" x14ac:dyDescent="0.35">
      <c r="T17363" s="246">
        <f t="shared" si="309"/>
        <v>0</v>
      </c>
    </row>
    <row r="17364" spans="20:20" ht="18.75" customHeight="1" x14ac:dyDescent="0.35">
      <c r="T17364" s="246">
        <f t="shared" si="309"/>
        <v>0</v>
      </c>
    </row>
    <row r="17365" spans="20:20" ht="18.75" customHeight="1" x14ac:dyDescent="0.35">
      <c r="T17365" s="246">
        <f t="shared" si="309"/>
        <v>0</v>
      </c>
    </row>
    <row r="17366" spans="20:20" ht="18.75" customHeight="1" x14ac:dyDescent="0.35">
      <c r="T17366" s="246">
        <f t="shared" si="309"/>
        <v>0</v>
      </c>
    </row>
    <row r="17367" spans="20:20" ht="18.75" customHeight="1" x14ac:dyDescent="0.35">
      <c r="T17367" s="246">
        <f t="shared" si="309"/>
        <v>0</v>
      </c>
    </row>
    <row r="17368" spans="20:20" ht="18.75" customHeight="1" x14ac:dyDescent="0.35">
      <c r="T17368" s="246">
        <f t="shared" si="309"/>
        <v>0</v>
      </c>
    </row>
    <row r="17369" spans="20:20" ht="18.75" customHeight="1" x14ac:dyDescent="0.35">
      <c r="T17369" s="246">
        <f t="shared" si="309"/>
        <v>0</v>
      </c>
    </row>
    <row r="17370" spans="20:20" ht="18.75" customHeight="1" x14ac:dyDescent="0.35">
      <c r="T17370" s="246">
        <f t="shared" si="309"/>
        <v>0</v>
      </c>
    </row>
    <row r="17371" spans="20:20" ht="18.75" customHeight="1" x14ac:dyDescent="0.35">
      <c r="T17371" s="246">
        <f t="shared" si="309"/>
        <v>0</v>
      </c>
    </row>
    <row r="17372" spans="20:20" ht="18.75" customHeight="1" x14ac:dyDescent="0.35">
      <c r="T17372" s="246">
        <f t="shared" si="309"/>
        <v>0</v>
      </c>
    </row>
    <row r="17373" spans="20:20" ht="18.75" customHeight="1" x14ac:dyDescent="0.35">
      <c r="T17373" s="246">
        <f t="shared" si="309"/>
        <v>0</v>
      </c>
    </row>
    <row r="17374" spans="20:20" ht="18.75" customHeight="1" x14ac:dyDescent="0.35">
      <c r="T17374" s="246">
        <f t="shared" si="309"/>
        <v>0</v>
      </c>
    </row>
    <row r="17375" spans="20:20" ht="18.75" customHeight="1" x14ac:dyDescent="0.35">
      <c r="T17375" s="246">
        <f t="shared" si="309"/>
        <v>0</v>
      </c>
    </row>
    <row r="17376" spans="20:20" ht="18.75" customHeight="1" x14ac:dyDescent="0.35">
      <c r="T17376" s="246">
        <f t="shared" si="309"/>
        <v>0</v>
      </c>
    </row>
    <row r="17377" spans="20:20" ht="18.75" customHeight="1" x14ac:dyDescent="0.35">
      <c r="T17377" s="246">
        <f t="shared" si="309"/>
        <v>0</v>
      </c>
    </row>
    <row r="17378" spans="20:20" ht="18.75" customHeight="1" x14ac:dyDescent="0.35">
      <c r="T17378" s="246">
        <f t="shared" si="309"/>
        <v>0</v>
      </c>
    </row>
    <row r="17379" spans="20:20" ht="18.75" customHeight="1" x14ac:dyDescent="0.35">
      <c r="T17379" s="246">
        <f t="shared" si="309"/>
        <v>0</v>
      </c>
    </row>
    <row r="17380" spans="20:20" ht="18.75" customHeight="1" x14ac:dyDescent="0.35">
      <c r="T17380" s="246">
        <f t="shared" si="309"/>
        <v>0</v>
      </c>
    </row>
    <row r="17381" spans="20:20" ht="18.75" customHeight="1" x14ac:dyDescent="0.35">
      <c r="T17381" s="246">
        <f t="shared" si="309"/>
        <v>0</v>
      </c>
    </row>
    <row r="17382" spans="20:20" ht="18.75" customHeight="1" x14ac:dyDescent="0.35">
      <c r="T17382" s="246">
        <f t="shared" si="309"/>
        <v>0</v>
      </c>
    </row>
    <row r="17383" spans="20:20" ht="18.75" customHeight="1" x14ac:dyDescent="0.35">
      <c r="T17383" s="246">
        <f t="shared" si="309"/>
        <v>0</v>
      </c>
    </row>
    <row r="17384" spans="20:20" ht="18.75" customHeight="1" x14ac:dyDescent="0.35">
      <c r="T17384" s="246">
        <f t="shared" si="309"/>
        <v>0</v>
      </c>
    </row>
    <row r="17385" spans="20:20" ht="18.75" customHeight="1" x14ac:dyDescent="0.35">
      <c r="T17385" s="246">
        <f t="shared" si="309"/>
        <v>0</v>
      </c>
    </row>
    <row r="17386" spans="20:20" ht="18.75" customHeight="1" x14ac:dyDescent="0.35">
      <c r="T17386" s="246">
        <f t="shared" si="309"/>
        <v>0</v>
      </c>
    </row>
    <row r="17387" spans="20:20" ht="18.75" customHeight="1" x14ac:dyDescent="0.35">
      <c r="T17387" s="246">
        <f t="shared" si="309"/>
        <v>0</v>
      </c>
    </row>
    <row r="17388" spans="20:20" ht="18.75" customHeight="1" x14ac:dyDescent="0.35">
      <c r="T17388" s="246">
        <f t="shared" si="309"/>
        <v>0</v>
      </c>
    </row>
    <row r="17389" spans="20:20" ht="18.75" customHeight="1" x14ac:dyDescent="0.35">
      <c r="T17389" s="246">
        <f t="shared" si="309"/>
        <v>0</v>
      </c>
    </row>
    <row r="17390" spans="20:20" ht="18.75" customHeight="1" x14ac:dyDescent="0.35">
      <c r="T17390" s="246">
        <f t="shared" si="309"/>
        <v>0</v>
      </c>
    </row>
    <row r="17391" spans="20:20" ht="18.75" customHeight="1" x14ac:dyDescent="0.35">
      <c r="T17391" s="246">
        <f t="shared" si="309"/>
        <v>0</v>
      </c>
    </row>
    <row r="17392" spans="20:20" ht="18.75" customHeight="1" x14ac:dyDescent="0.35">
      <c r="T17392" s="246">
        <f t="shared" si="309"/>
        <v>0</v>
      </c>
    </row>
    <row r="17393" spans="20:20" ht="18.75" customHeight="1" x14ac:dyDescent="0.35">
      <c r="T17393" s="246">
        <f t="shared" si="309"/>
        <v>0</v>
      </c>
    </row>
    <row r="17394" spans="20:20" ht="18.75" customHeight="1" x14ac:dyDescent="0.35">
      <c r="T17394" s="246">
        <f t="shared" si="309"/>
        <v>0</v>
      </c>
    </row>
    <row r="17395" spans="20:20" ht="18.75" customHeight="1" x14ac:dyDescent="0.35">
      <c r="T17395" s="246">
        <f t="shared" si="309"/>
        <v>0</v>
      </c>
    </row>
    <row r="17396" spans="20:20" ht="18.75" customHeight="1" x14ac:dyDescent="0.35">
      <c r="T17396" s="246">
        <f t="shared" si="309"/>
        <v>0</v>
      </c>
    </row>
    <row r="17397" spans="20:20" ht="18.75" customHeight="1" x14ac:dyDescent="0.35">
      <c r="T17397" s="246">
        <f t="shared" si="309"/>
        <v>0</v>
      </c>
    </row>
    <row r="17398" spans="20:20" ht="18.75" customHeight="1" x14ac:dyDescent="0.35">
      <c r="T17398" s="246">
        <f t="shared" si="309"/>
        <v>0</v>
      </c>
    </row>
    <row r="17399" spans="20:20" ht="18.75" customHeight="1" x14ac:dyDescent="0.35">
      <c r="T17399" s="246">
        <f t="shared" si="309"/>
        <v>0</v>
      </c>
    </row>
    <row r="17400" spans="20:20" ht="18.75" customHeight="1" x14ac:dyDescent="0.35">
      <c r="T17400" s="246">
        <f t="shared" si="309"/>
        <v>0</v>
      </c>
    </row>
    <row r="17401" spans="20:20" ht="18.75" customHeight="1" x14ac:dyDescent="0.35">
      <c r="T17401" s="246">
        <f t="shared" si="309"/>
        <v>0</v>
      </c>
    </row>
    <row r="17402" spans="20:20" ht="18.75" customHeight="1" x14ac:dyDescent="0.35">
      <c r="T17402" s="246">
        <f t="shared" si="309"/>
        <v>0</v>
      </c>
    </row>
    <row r="17403" spans="20:20" ht="18.75" customHeight="1" x14ac:dyDescent="0.35">
      <c r="T17403" s="246">
        <f t="shared" si="309"/>
        <v>0</v>
      </c>
    </row>
    <row r="17404" spans="20:20" ht="18.75" customHeight="1" x14ac:dyDescent="0.35">
      <c r="T17404" s="246">
        <f t="shared" ref="T17404:T17467" si="310">R17404*0.01</f>
        <v>0</v>
      </c>
    </row>
    <row r="17405" spans="20:20" ht="18.75" customHeight="1" x14ac:dyDescent="0.35">
      <c r="T17405" s="246">
        <f t="shared" si="310"/>
        <v>0</v>
      </c>
    </row>
    <row r="17406" spans="20:20" ht="18.75" customHeight="1" x14ac:dyDescent="0.35">
      <c r="T17406" s="246">
        <f t="shared" si="310"/>
        <v>0</v>
      </c>
    </row>
    <row r="17407" spans="20:20" ht="18.75" customHeight="1" x14ac:dyDescent="0.35">
      <c r="T17407" s="246">
        <f t="shared" si="310"/>
        <v>0</v>
      </c>
    </row>
    <row r="17408" spans="20:20" ht="18.75" customHeight="1" x14ac:dyDescent="0.35">
      <c r="T17408" s="246">
        <f t="shared" si="310"/>
        <v>0</v>
      </c>
    </row>
    <row r="17409" spans="20:20" ht="18.75" customHeight="1" x14ac:dyDescent="0.35">
      <c r="T17409" s="246">
        <f t="shared" si="310"/>
        <v>0</v>
      </c>
    </row>
    <row r="17410" spans="20:20" ht="18.75" customHeight="1" x14ac:dyDescent="0.35">
      <c r="T17410" s="246">
        <f t="shared" si="310"/>
        <v>0</v>
      </c>
    </row>
    <row r="17411" spans="20:20" ht="18.75" customHeight="1" x14ac:dyDescent="0.35">
      <c r="T17411" s="246">
        <f t="shared" si="310"/>
        <v>0</v>
      </c>
    </row>
    <row r="17412" spans="20:20" ht="18.75" customHeight="1" x14ac:dyDescent="0.35">
      <c r="T17412" s="246">
        <f t="shared" si="310"/>
        <v>0</v>
      </c>
    </row>
    <row r="17413" spans="20:20" ht="18.75" customHeight="1" x14ac:dyDescent="0.35">
      <c r="T17413" s="246">
        <f t="shared" si="310"/>
        <v>0</v>
      </c>
    </row>
    <row r="17414" spans="20:20" ht="18.75" customHeight="1" x14ac:dyDescent="0.35">
      <c r="T17414" s="246">
        <f t="shared" si="310"/>
        <v>0</v>
      </c>
    </row>
    <row r="17415" spans="20:20" ht="18.75" customHeight="1" x14ac:dyDescent="0.35">
      <c r="T17415" s="246">
        <f t="shared" si="310"/>
        <v>0</v>
      </c>
    </row>
    <row r="17416" spans="20:20" ht="18.75" customHeight="1" x14ac:dyDescent="0.35">
      <c r="T17416" s="246">
        <f t="shared" si="310"/>
        <v>0</v>
      </c>
    </row>
    <row r="17417" spans="20:20" ht="18.75" customHeight="1" x14ac:dyDescent="0.35">
      <c r="T17417" s="246">
        <f t="shared" si="310"/>
        <v>0</v>
      </c>
    </row>
    <row r="17418" spans="20:20" ht="18.75" customHeight="1" x14ac:dyDescent="0.35">
      <c r="T17418" s="246">
        <f t="shared" si="310"/>
        <v>0</v>
      </c>
    </row>
    <row r="17419" spans="20:20" ht="18.75" customHeight="1" x14ac:dyDescent="0.35">
      <c r="T17419" s="246">
        <f t="shared" si="310"/>
        <v>0</v>
      </c>
    </row>
    <row r="17420" spans="20:20" ht="18.75" customHeight="1" x14ac:dyDescent="0.35">
      <c r="T17420" s="246">
        <f t="shared" si="310"/>
        <v>0</v>
      </c>
    </row>
    <row r="17421" spans="20:20" ht="18.75" customHeight="1" x14ac:dyDescent="0.35">
      <c r="T17421" s="246">
        <f t="shared" si="310"/>
        <v>0</v>
      </c>
    </row>
    <row r="17422" spans="20:20" ht="18.75" customHeight="1" x14ac:dyDescent="0.35">
      <c r="T17422" s="246">
        <f t="shared" si="310"/>
        <v>0</v>
      </c>
    </row>
    <row r="17423" spans="20:20" ht="18.75" customHeight="1" x14ac:dyDescent="0.35">
      <c r="T17423" s="246">
        <f t="shared" si="310"/>
        <v>0</v>
      </c>
    </row>
    <row r="17424" spans="20:20" ht="18.75" customHeight="1" x14ac:dyDescent="0.35">
      <c r="T17424" s="246">
        <f t="shared" si="310"/>
        <v>0</v>
      </c>
    </row>
    <row r="17425" spans="20:20" ht="18.75" customHeight="1" x14ac:dyDescent="0.35">
      <c r="T17425" s="246">
        <f t="shared" si="310"/>
        <v>0</v>
      </c>
    </row>
    <row r="17426" spans="20:20" ht="18.75" customHeight="1" x14ac:dyDescent="0.35">
      <c r="T17426" s="246">
        <f t="shared" si="310"/>
        <v>0</v>
      </c>
    </row>
    <row r="17427" spans="20:20" ht="18.75" customHeight="1" x14ac:dyDescent="0.35">
      <c r="T17427" s="246">
        <f t="shared" si="310"/>
        <v>0</v>
      </c>
    </row>
    <row r="17428" spans="20:20" ht="18.75" customHeight="1" x14ac:dyDescent="0.35">
      <c r="T17428" s="246">
        <f t="shared" si="310"/>
        <v>0</v>
      </c>
    </row>
    <row r="17429" spans="20:20" ht="18.75" customHeight="1" x14ac:dyDescent="0.35">
      <c r="T17429" s="246">
        <f t="shared" si="310"/>
        <v>0</v>
      </c>
    </row>
    <row r="17430" spans="20:20" ht="18.75" customHeight="1" x14ac:dyDescent="0.35">
      <c r="T17430" s="246">
        <f t="shared" si="310"/>
        <v>0</v>
      </c>
    </row>
    <row r="17431" spans="20:20" ht="18.75" customHeight="1" x14ac:dyDescent="0.35">
      <c r="T17431" s="246">
        <f t="shared" si="310"/>
        <v>0</v>
      </c>
    </row>
    <row r="17432" spans="20:20" ht="18.75" customHeight="1" x14ac:dyDescent="0.35">
      <c r="T17432" s="246">
        <f t="shared" si="310"/>
        <v>0</v>
      </c>
    </row>
    <row r="17433" spans="20:20" ht="18.75" customHeight="1" x14ac:dyDescent="0.35">
      <c r="T17433" s="246">
        <f t="shared" si="310"/>
        <v>0</v>
      </c>
    </row>
    <row r="17434" spans="20:20" ht="18.75" customHeight="1" x14ac:dyDescent="0.35">
      <c r="T17434" s="246">
        <f t="shared" si="310"/>
        <v>0</v>
      </c>
    </row>
    <row r="17435" spans="20:20" ht="18.75" customHeight="1" x14ac:dyDescent="0.35">
      <c r="T17435" s="246">
        <f t="shared" si="310"/>
        <v>0</v>
      </c>
    </row>
    <row r="17436" spans="20:20" ht="18.75" customHeight="1" x14ac:dyDescent="0.35">
      <c r="T17436" s="246">
        <f t="shared" si="310"/>
        <v>0</v>
      </c>
    </row>
    <row r="17437" spans="20:20" ht="18.75" customHeight="1" x14ac:dyDescent="0.35">
      <c r="T17437" s="246">
        <f t="shared" si="310"/>
        <v>0</v>
      </c>
    </row>
    <row r="17438" spans="20:20" ht="18.75" customHeight="1" x14ac:dyDescent="0.35">
      <c r="T17438" s="246">
        <f t="shared" si="310"/>
        <v>0</v>
      </c>
    </row>
    <row r="17439" spans="20:20" ht="18.75" customHeight="1" x14ac:dyDescent="0.35">
      <c r="T17439" s="246">
        <f t="shared" si="310"/>
        <v>0</v>
      </c>
    </row>
    <row r="17440" spans="20:20" ht="18.75" customHeight="1" x14ac:dyDescent="0.35">
      <c r="T17440" s="246">
        <f t="shared" si="310"/>
        <v>0</v>
      </c>
    </row>
    <row r="17441" spans="20:20" ht="18.75" customHeight="1" x14ac:dyDescent="0.35">
      <c r="T17441" s="246">
        <f t="shared" si="310"/>
        <v>0</v>
      </c>
    </row>
    <row r="17442" spans="20:20" ht="18.75" customHeight="1" x14ac:dyDescent="0.35">
      <c r="T17442" s="246">
        <f t="shared" si="310"/>
        <v>0</v>
      </c>
    </row>
    <row r="17443" spans="20:20" ht="18.75" customHeight="1" x14ac:dyDescent="0.35">
      <c r="T17443" s="246">
        <f t="shared" si="310"/>
        <v>0</v>
      </c>
    </row>
    <row r="17444" spans="20:20" ht="18.75" customHeight="1" x14ac:dyDescent="0.35">
      <c r="T17444" s="246">
        <f t="shared" si="310"/>
        <v>0</v>
      </c>
    </row>
    <row r="17445" spans="20:20" ht="18.75" customHeight="1" x14ac:dyDescent="0.35">
      <c r="T17445" s="246">
        <f t="shared" si="310"/>
        <v>0</v>
      </c>
    </row>
    <row r="17446" spans="20:20" ht="18.75" customHeight="1" x14ac:dyDescent="0.35">
      <c r="T17446" s="246">
        <f t="shared" si="310"/>
        <v>0</v>
      </c>
    </row>
    <row r="17447" spans="20:20" ht="18.75" customHeight="1" x14ac:dyDescent="0.35">
      <c r="T17447" s="246">
        <f t="shared" si="310"/>
        <v>0</v>
      </c>
    </row>
    <row r="17448" spans="20:20" ht="18.75" customHeight="1" x14ac:dyDescent="0.35">
      <c r="T17448" s="246">
        <f t="shared" si="310"/>
        <v>0</v>
      </c>
    </row>
    <row r="17449" spans="20:20" ht="18.75" customHeight="1" x14ac:dyDescent="0.35">
      <c r="T17449" s="246">
        <f t="shared" si="310"/>
        <v>0</v>
      </c>
    </row>
    <row r="17450" spans="20:20" ht="18.75" customHeight="1" x14ac:dyDescent="0.35">
      <c r="T17450" s="246">
        <f t="shared" si="310"/>
        <v>0</v>
      </c>
    </row>
    <row r="17451" spans="20:20" ht="18.75" customHeight="1" x14ac:dyDescent="0.35">
      <c r="T17451" s="246">
        <f t="shared" si="310"/>
        <v>0</v>
      </c>
    </row>
    <row r="17452" spans="20:20" ht="18.75" customHeight="1" x14ac:dyDescent="0.35">
      <c r="T17452" s="246">
        <f t="shared" si="310"/>
        <v>0</v>
      </c>
    </row>
    <row r="17453" spans="20:20" ht="18.75" customHeight="1" x14ac:dyDescent="0.35">
      <c r="T17453" s="246">
        <f t="shared" si="310"/>
        <v>0</v>
      </c>
    </row>
    <row r="17454" spans="20:20" ht="18.75" customHeight="1" x14ac:dyDescent="0.35">
      <c r="T17454" s="246">
        <f t="shared" si="310"/>
        <v>0</v>
      </c>
    </row>
    <row r="17455" spans="20:20" ht="18.75" customHeight="1" x14ac:dyDescent="0.35">
      <c r="T17455" s="246">
        <f t="shared" si="310"/>
        <v>0</v>
      </c>
    </row>
    <row r="17456" spans="20:20" ht="18.75" customHeight="1" x14ac:dyDescent="0.35">
      <c r="T17456" s="246">
        <f t="shared" si="310"/>
        <v>0</v>
      </c>
    </row>
    <row r="17457" spans="20:20" ht="18.75" customHeight="1" x14ac:dyDescent="0.35">
      <c r="T17457" s="246">
        <f t="shared" si="310"/>
        <v>0</v>
      </c>
    </row>
    <row r="17458" spans="20:20" ht="18.75" customHeight="1" x14ac:dyDescent="0.35">
      <c r="T17458" s="246">
        <f t="shared" si="310"/>
        <v>0</v>
      </c>
    </row>
    <row r="17459" spans="20:20" ht="18.75" customHeight="1" x14ac:dyDescent="0.35">
      <c r="T17459" s="246">
        <f t="shared" si="310"/>
        <v>0</v>
      </c>
    </row>
    <row r="17460" spans="20:20" ht="18.75" customHeight="1" x14ac:dyDescent="0.35">
      <c r="T17460" s="246">
        <f t="shared" si="310"/>
        <v>0</v>
      </c>
    </row>
    <row r="17461" spans="20:20" ht="18.75" customHeight="1" x14ac:dyDescent="0.35">
      <c r="T17461" s="246">
        <f t="shared" si="310"/>
        <v>0</v>
      </c>
    </row>
    <row r="17462" spans="20:20" ht="18.75" customHeight="1" x14ac:dyDescent="0.35">
      <c r="T17462" s="246">
        <f t="shared" si="310"/>
        <v>0</v>
      </c>
    </row>
    <row r="17463" spans="20:20" ht="18.75" customHeight="1" x14ac:dyDescent="0.35">
      <c r="T17463" s="246">
        <f t="shared" si="310"/>
        <v>0</v>
      </c>
    </row>
    <row r="17464" spans="20:20" ht="18.75" customHeight="1" x14ac:dyDescent="0.35">
      <c r="T17464" s="246">
        <f t="shared" si="310"/>
        <v>0</v>
      </c>
    </row>
    <row r="17465" spans="20:20" ht="18.75" customHeight="1" x14ac:dyDescent="0.35">
      <c r="T17465" s="246">
        <f t="shared" si="310"/>
        <v>0</v>
      </c>
    </row>
    <row r="17466" spans="20:20" ht="18.75" customHeight="1" x14ac:dyDescent="0.35">
      <c r="T17466" s="246">
        <f t="shared" si="310"/>
        <v>0</v>
      </c>
    </row>
    <row r="17467" spans="20:20" ht="18.75" customHeight="1" x14ac:dyDescent="0.35">
      <c r="T17467" s="246">
        <f t="shared" si="310"/>
        <v>0</v>
      </c>
    </row>
    <row r="17468" spans="20:20" ht="18.75" customHeight="1" x14ac:dyDescent="0.35">
      <c r="T17468" s="246">
        <f t="shared" ref="T17468:T17531" si="311">R17468*0.01</f>
        <v>0</v>
      </c>
    </row>
    <row r="17469" spans="20:20" ht="18.75" customHeight="1" x14ac:dyDescent="0.35">
      <c r="T17469" s="246">
        <f t="shared" si="311"/>
        <v>0</v>
      </c>
    </row>
    <row r="17470" spans="20:20" ht="18.75" customHeight="1" x14ac:dyDescent="0.35">
      <c r="T17470" s="246">
        <f t="shared" si="311"/>
        <v>0</v>
      </c>
    </row>
    <row r="17471" spans="20:20" ht="18.75" customHeight="1" x14ac:dyDescent="0.35">
      <c r="T17471" s="246">
        <f t="shared" si="311"/>
        <v>0</v>
      </c>
    </row>
    <row r="17472" spans="20:20" ht="18.75" customHeight="1" x14ac:dyDescent="0.35">
      <c r="T17472" s="246">
        <f t="shared" si="311"/>
        <v>0</v>
      </c>
    </row>
    <row r="17473" spans="20:20" ht="18.75" customHeight="1" x14ac:dyDescent="0.35">
      <c r="T17473" s="246">
        <f t="shared" si="311"/>
        <v>0</v>
      </c>
    </row>
    <row r="17474" spans="20:20" ht="18.75" customHeight="1" x14ac:dyDescent="0.35">
      <c r="T17474" s="246">
        <f t="shared" si="311"/>
        <v>0</v>
      </c>
    </row>
    <row r="17475" spans="20:20" ht="18.75" customHeight="1" x14ac:dyDescent="0.35">
      <c r="T17475" s="246">
        <f t="shared" si="311"/>
        <v>0</v>
      </c>
    </row>
    <row r="17476" spans="20:20" ht="18.75" customHeight="1" x14ac:dyDescent="0.35">
      <c r="T17476" s="246">
        <f t="shared" si="311"/>
        <v>0</v>
      </c>
    </row>
    <row r="17477" spans="20:20" ht="18.75" customHeight="1" x14ac:dyDescent="0.35">
      <c r="T17477" s="246">
        <f t="shared" si="311"/>
        <v>0</v>
      </c>
    </row>
    <row r="17478" spans="20:20" ht="18.75" customHeight="1" x14ac:dyDescent="0.35">
      <c r="T17478" s="246">
        <f t="shared" si="311"/>
        <v>0</v>
      </c>
    </row>
    <row r="17479" spans="20:20" ht="18.75" customHeight="1" x14ac:dyDescent="0.35">
      <c r="T17479" s="246">
        <f t="shared" si="311"/>
        <v>0</v>
      </c>
    </row>
    <row r="17480" spans="20:20" ht="18.75" customHeight="1" x14ac:dyDescent="0.35">
      <c r="T17480" s="246">
        <f t="shared" si="311"/>
        <v>0</v>
      </c>
    </row>
    <row r="17481" spans="20:20" ht="18.75" customHeight="1" x14ac:dyDescent="0.35">
      <c r="T17481" s="246">
        <f t="shared" si="311"/>
        <v>0</v>
      </c>
    </row>
    <row r="17482" spans="20:20" ht="18.75" customHeight="1" x14ac:dyDescent="0.35">
      <c r="T17482" s="246">
        <f t="shared" si="311"/>
        <v>0</v>
      </c>
    </row>
    <row r="17483" spans="20:20" ht="18.75" customHeight="1" x14ac:dyDescent="0.35">
      <c r="T17483" s="246">
        <f t="shared" si="311"/>
        <v>0</v>
      </c>
    </row>
    <row r="17484" spans="20:20" ht="18.75" customHeight="1" x14ac:dyDescent="0.35">
      <c r="T17484" s="246">
        <f t="shared" si="311"/>
        <v>0</v>
      </c>
    </row>
    <row r="17485" spans="20:20" ht="18.75" customHeight="1" x14ac:dyDescent="0.35">
      <c r="T17485" s="246">
        <f t="shared" si="311"/>
        <v>0</v>
      </c>
    </row>
    <row r="17486" spans="20:20" ht="18.75" customHeight="1" x14ac:dyDescent="0.35">
      <c r="T17486" s="246">
        <f t="shared" si="311"/>
        <v>0</v>
      </c>
    </row>
    <row r="17487" spans="20:20" ht="18.75" customHeight="1" x14ac:dyDescent="0.35">
      <c r="T17487" s="246">
        <f t="shared" si="311"/>
        <v>0</v>
      </c>
    </row>
    <row r="17488" spans="20:20" ht="18.75" customHeight="1" x14ac:dyDescent="0.35">
      <c r="T17488" s="246">
        <f t="shared" si="311"/>
        <v>0</v>
      </c>
    </row>
    <row r="17489" spans="20:20" ht="18.75" customHeight="1" x14ac:dyDescent="0.35">
      <c r="T17489" s="246">
        <f t="shared" si="311"/>
        <v>0</v>
      </c>
    </row>
    <row r="17490" spans="20:20" ht="18.75" customHeight="1" x14ac:dyDescent="0.35">
      <c r="T17490" s="246">
        <f t="shared" si="311"/>
        <v>0</v>
      </c>
    </row>
    <row r="17491" spans="20:20" ht="18.75" customHeight="1" x14ac:dyDescent="0.35">
      <c r="T17491" s="246">
        <f t="shared" si="311"/>
        <v>0</v>
      </c>
    </row>
    <row r="17492" spans="20:20" ht="18.75" customHeight="1" x14ac:dyDescent="0.35">
      <c r="T17492" s="246">
        <f t="shared" si="311"/>
        <v>0</v>
      </c>
    </row>
    <row r="17493" spans="20:20" ht="18.75" customHeight="1" x14ac:dyDescent="0.35">
      <c r="T17493" s="246">
        <f t="shared" si="311"/>
        <v>0</v>
      </c>
    </row>
    <row r="17494" spans="20:20" ht="18.75" customHeight="1" x14ac:dyDescent="0.35">
      <c r="T17494" s="246">
        <f t="shared" si="311"/>
        <v>0</v>
      </c>
    </row>
    <row r="17495" spans="20:20" ht="18.75" customHeight="1" x14ac:dyDescent="0.35">
      <c r="T17495" s="246">
        <f t="shared" si="311"/>
        <v>0</v>
      </c>
    </row>
    <row r="17496" spans="20:20" ht="18.75" customHeight="1" x14ac:dyDescent="0.35">
      <c r="T17496" s="246">
        <f t="shared" si="311"/>
        <v>0</v>
      </c>
    </row>
    <row r="17497" spans="20:20" ht="18.75" customHeight="1" x14ac:dyDescent="0.35">
      <c r="T17497" s="246">
        <f t="shared" si="311"/>
        <v>0</v>
      </c>
    </row>
    <row r="17498" spans="20:20" ht="18.75" customHeight="1" x14ac:dyDescent="0.35">
      <c r="T17498" s="246">
        <f t="shared" si="311"/>
        <v>0</v>
      </c>
    </row>
    <row r="17499" spans="20:20" ht="18.75" customHeight="1" x14ac:dyDescent="0.35">
      <c r="T17499" s="246">
        <f t="shared" si="311"/>
        <v>0</v>
      </c>
    </row>
    <row r="17500" spans="20:20" ht="18.75" customHeight="1" x14ac:dyDescent="0.35">
      <c r="T17500" s="246">
        <f t="shared" si="311"/>
        <v>0</v>
      </c>
    </row>
    <row r="17501" spans="20:20" ht="18.75" customHeight="1" x14ac:dyDescent="0.35">
      <c r="T17501" s="246">
        <f t="shared" si="311"/>
        <v>0</v>
      </c>
    </row>
    <row r="17502" spans="20:20" ht="18.75" customHeight="1" x14ac:dyDescent="0.35">
      <c r="T17502" s="246">
        <f t="shared" si="311"/>
        <v>0</v>
      </c>
    </row>
    <row r="17503" spans="20:20" ht="18.75" customHeight="1" x14ac:dyDescent="0.35">
      <c r="T17503" s="246">
        <f t="shared" si="311"/>
        <v>0</v>
      </c>
    </row>
    <row r="17504" spans="20:20" ht="18.75" customHeight="1" x14ac:dyDescent="0.35">
      <c r="T17504" s="246">
        <f t="shared" si="311"/>
        <v>0</v>
      </c>
    </row>
    <row r="17505" spans="20:20" ht="18.75" customHeight="1" x14ac:dyDescent="0.35">
      <c r="T17505" s="246">
        <f t="shared" si="311"/>
        <v>0</v>
      </c>
    </row>
    <row r="17506" spans="20:20" ht="18.75" customHeight="1" x14ac:dyDescent="0.35">
      <c r="T17506" s="246">
        <f t="shared" si="311"/>
        <v>0</v>
      </c>
    </row>
    <row r="17507" spans="20:20" ht="18.75" customHeight="1" x14ac:dyDescent="0.35">
      <c r="T17507" s="246">
        <f t="shared" si="311"/>
        <v>0</v>
      </c>
    </row>
    <row r="17508" spans="20:20" ht="18.75" customHeight="1" x14ac:dyDescent="0.35">
      <c r="T17508" s="246">
        <f t="shared" si="311"/>
        <v>0</v>
      </c>
    </row>
    <row r="17509" spans="20:20" ht="18.75" customHeight="1" x14ac:dyDescent="0.35">
      <c r="T17509" s="246">
        <f t="shared" si="311"/>
        <v>0</v>
      </c>
    </row>
    <row r="17510" spans="20:20" ht="18.75" customHeight="1" x14ac:dyDescent="0.35">
      <c r="T17510" s="246">
        <f t="shared" si="311"/>
        <v>0</v>
      </c>
    </row>
    <row r="17511" spans="20:20" ht="18.75" customHeight="1" x14ac:dyDescent="0.35">
      <c r="T17511" s="246">
        <f t="shared" si="311"/>
        <v>0</v>
      </c>
    </row>
    <row r="17512" spans="20:20" ht="18.75" customHeight="1" x14ac:dyDescent="0.35">
      <c r="T17512" s="246">
        <f t="shared" si="311"/>
        <v>0</v>
      </c>
    </row>
    <row r="17513" spans="20:20" ht="18.75" customHeight="1" x14ac:dyDescent="0.35">
      <c r="T17513" s="246">
        <f t="shared" si="311"/>
        <v>0</v>
      </c>
    </row>
    <row r="17514" spans="20:20" ht="18.75" customHeight="1" x14ac:dyDescent="0.35">
      <c r="T17514" s="246">
        <f t="shared" si="311"/>
        <v>0</v>
      </c>
    </row>
    <row r="17515" spans="20:20" ht="18.75" customHeight="1" x14ac:dyDescent="0.35">
      <c r="T17515" s="246">
        <f t="shared" si="311"/>
        <v>0</v>
      </c>
    </row>
    <row r="17516" spans="20:20" ht="18.75" customHeight="1" x14ac:dyDescent="0.35">
      <c r="T17516" s="246">
        <f t="shared" si="311"/>
        <v>0</v>
      </c>
    </row>
    <row r="17517" spans="20:20" ht="18.75" customHeight="1" x14ac:dyDescent="0.35">
      <c r="T17517" s="246">
        <f t="shared" si="311"/>
        <v>0</v>
      </c>
    </row>
    <row r="17518" spans="20:20" ht="18.75" customHeight="1" x14ac:dyDescent="0.35">
      <c r="T17518" s="246">
        <f t="shared" si="311"/>
        <v>0</v>
      </c>
    </row>
    <row r="17519" spans="20:20" ht="18.75" customHeight="1" x14ac:dyDescent="0.35">
      <c r="T17519" s="246">
        <f t="shared" si="311"/>
        <v>0</v>
      </c>
    </row>
    <row r="17520" spans="20:20" ht="18.75" customHeight="1" x14ac:dyDescent="0.35">
      <c r="T17520" s="246">
        <f t="shared" si="311"/>
        <v>0</v>
      </c>
    </row>
    <row r="17521" spans="20:20" ht="18.75" customHeight="1" x14ac:dyDescent="0.35">
      <c r="T17521" s="246">
        <f t="shared" si="311"/>
        <v>0</v>
      </c>
    </row>
    <row r="17522" spans="20:20" ht="18.75" customHeight="1" x14ac:dyDescent="0.35">
      <c r="T17522" s="246">
        <f t="shared" si="311"/>
        <v>0</v>
      </c>
    </row>
    <row r="17523" spans="20:20" ht="18.75" customHeight="1" x14ac:dyDescent="0.35">
      <c r="T17523" s="246">
        <f t="shared" si="311"/>
        <v>0</v>
      </c>
    </row>
    <row r="17524" spans="20:20" ht="18.75" customHeight="1" x14ac:dyDescent="0.35">
      <c r="T17524" s="246">
        <f t="shared" si="311"/>
        <v>0</v>
      </c>
    </row>
    <row r="17525" spans="20:20" ht="18.75" customHeight="1" x14ac:dyDescent="0.35">
      <c r="T17525" s="246">
        <f t="shared" si="311"/>
        <v>0</v>
      </c>
    </row>
    <row r="17526" spans="20:20" ht="18.75" customHeight="1" x14ac:dyDescent="0.35">
      <c r="T17526" s="246">
        <f t="shared" si="311"/>
        <v>0</v>
      </c>
    </row>
    <row r="17527" spans="20:20" ht="18.75" customHeight="1" x14ac:dyDescent="0.35">
      <c r="T17527" s="246">
        <f t="shared" si="311"/>
        <v>0</v>
      </c>
    </row>
    <row r="17528" spans="20:20" ht="18.75" customHeight="1" x14ac:dyDescent="0.35">
      <c r="T17528" s="246">
        <f t="shared" si="311"/>
        <v>0</v>
      </c>
    </row>
    <row r="17529" spans="20:20" ht="18.75" customHeight="1" x14ac:dyDescent="0.35">
      <c r="T17529" s="246">
        <f t="shared" si="311"/>
        <v>0</v>
      </c>
    </row>
    <row r="17530" spans="20:20" ht="18.75" customHeight="1" x14ac:dyDescent="0.35">
      <c r="T17530" s="246">
        <f t="shared" si="311"/>
        <v>0</v>
      </c>
    </row>
    <row r="17531" spans="20:20" ht="18.75" customHeight="1" x14ac:dyDescent="0.35">
      <c r="T17531" s="246">
        <f t="shared" si="311"/>
        <v>0</v>
      </c>
    </row>
    <row r="17532" spans="20:20" ht="18.75" customHeight="1" x14ac:dyDescent="0.35">
      <c r="T17532" s="246">
        <f t="shared" ref="T17532:T17595" si="312">R17532*0.01</f>
        <v>0</v>
      </c>
    </row>
    <row r="17533" spans="20:20" ht="18.75" customHeight="1" x14ac:dyDescent="0.35">
      <c r="T17533" s="246">
        <f t="shared" si="312"/>
        <v>0</v>
      </c>
    </row>
    <row r="17534" spans="20:20" ht="18.75" customHeight="1" x14ac:dyDescent="0.35">
      <c r="T17534" s="246">
        <f t="shared" si="312"/>
        <v>0</v>
      </c>
    </row>
    <row r="17535" spans="20:20" ht="18.75" customHeight="1" x14ac:dyDescent="0.35">
      <c r="T17535" s="246">
        <f t="shared" si="312"/>
        <v>0</v>
      </c>
    </row>
    <row r="17536" spans="20:20" ht="18.75" customHeight="1" x14ac:dyDescent="0.35">
      <c r="T17536" s="246">
        <f t="shared" si="312"/>
        <v>0</v>
      </c>
    </row>
    <row r="17537" spans="20:20" ht="18.75" customHeight="1" x14ac:dyDescent="0.35">
      <c r="T17537" s="246">
        <f t="shared" si="312"/>
        <v>0</v>
      </c>
    </row>
    <row r="17538" spans="20:20" ht="18.75" customHeight="1" x14ac:dyDescent="0.35">
      <c r="T17538" s="246">
        <f t="shared" si="312"/>
        <v>0</v>
      </c>
    </row>
    <row r="17539" spans="20:20" ht="18.75" customHeight="1" x14ac:dyDescent="0.35">
      <c r="T17539" s="246">
        <f t="shared" si="312"/>
        <v>0</v>
      </c>
    </row>
    <row r="17540" spans="20:20" ht="18.75" customHeight="1" x14ac:dyDescent="0.35">
      <c r="T17540" s="246">
        <f t="shared" si="312"/>
        <v>0</v>
      </c>
    </row>
    <row r="17541" spans="20:20" ht="18.75" customHeight="1" x14ac:dyDescent="0.35">
      <c r="T17541" s="246">
        <f t="shared" si="312"/>
        <v>0</v>
      </c>
    </row>
    <row r="17542" spans="20:20" ht="18.75" customHeight="1" x14ac:dyDescent="0.35">
      <c r="T17542" s="246">
        <f t="shared" si="312"/>
        <v>0</v>
      </c>
    </row>
    <row r="17543" spans="20:20" ht="18.75" customHeight="1" x14ac:dyDescent="0.35">
      <c r="T17543" s="246">
        <f t="shared" si="312"/>
        <v>0</v>
      </c>
    </row>
    <row r="17544" spans="20:20" ht="18.75" customHeight="1" x14ac:dyDescent="0.35">
      <c r="T17544" s="246">
        <f t="shared" si="312"/>
        <v>0</v>
      </c>
    </row>
    <row r="17545" spans="20:20" ht="18.75" customHeight="1" x14ac:dyDescent="0.35">
      <c r="T17545" s="246">
        <f t="shared" si="312"/>
        <v>0</v>
      </c>
    </row>
    <row r="17546" spans="20:20" ht="18.75" customHeight="1" x14ac:dyDescent="0.35">
      <c r="T17546" s="246">
        <f t="shared" si="312"/>
        <v>0</v>
      </c>
    </row>
    <row r="17547" spans="20:20" ht="18.75" customHeight="1" x14ac:dyDescent="0.35">
      <c r="T17547" s="246">
        <f t="shared" si="312"/>
        <v>0</v>
      </c>
    </row>
    <row r="17548" spans="20:20" ht="18.75" customHeight="1" x14ac:dyDescent="0.35">
      <c r="T17548" s="246">
        <f t="shared" si="312"/>
        <v>0</v>
      </c>
    </row>
    <row r="17549" spans="20:20" ht="18.75" customHeight="1" x14ac:dyDescent="0.35">
      <c r="T17549" s="246">
        <f t="shared" si="312"/>
        <v>0</v>
      </c>
    </row>
    <row r="17550" spans="20:20" ht="18.75" customHeight="1" x14ac:dyDescent="0.35">
      <c r="T17550" s="246">
        <f t="shared" si="312"/>
        <v>0</v>
      </c>
    </row>
    <row r="17551" spans="20:20" ht="18.75" customHeight="1" x14ac:dyDescent="0.35">
      <c r="T17551" s="246">
        <f t="shared" si="312"/>
        <v>0</v>
      </c>
    </row>
    <row r="17552" spans="20:20" ht="18.75" customHeight="1" x14ac:dyDescent="0.35">
      <c r="T17552" s="246">
        <f t="shared" si="312"/>
        <v>0</v>
      </c>
    </row>
    <row r="17553" spans="20:20" ht="18.75" customHeight="1" x14ac:dyDescent="0.35">
      <c r="T17553" s="246">
        <f t="shared" si="312"/>
        <v>0</v>
      </c>
    </row>
    <row r="17554" spans="20:20" ht="18.75" customHeight="1" x14ac:dyDescent="0.35">
      <c r="T17554" s="246">
        <f t="shared" si="312"/>
        <v>0</v>
      </c>
    </row>
    <row r="17555" spans="20:20" ht="18.75" customHeight="1" x14ac:dyDescent="0.35">
      <c r="T17555" s="246">
        <f t="shared" si="312"/>
        <v>0</v>
      </c>
    </row>
    <row r="17556" spans="20:20" ht="18.75" customHeight="1" x14ac:dyDescent="0.35">
      <c r="T17556" s="246">
        <f t="shared" si="312"/>
        <v>0</v>
      </c>
    </row>
    <row r="17557" spans="20:20" ht="18.75" customHeight="1" x14ac:dyDescent="0.35">
      <c r="T17557" s="246">
        <f t="shared" si="312"/>
        <v>0</v>
      </c>
    </row>
    <row r="17558" spans="20:20" ht="18.75" customHeight="1" x14ac:dyDescent="0.35">
      <c r="T17558" s="246">
        <f t="shared" si="312"/>
        <v>0</v>
      </c>
    </row>
    <row r="17559" spans="20:20" ht="18.75" customHeight="1" x14ac:dyDescent="0.35">
      <c r="T17559" s="246">
        <f t="shared" si="312"/>
        <v>0</v>
      </c>
    </row>
    <row r="17560" spans="20:20" ht="18.75" customHeight="1" x14ac:dyDescent="0.35">
      <c r="T17560" s="246">
        <f t="shared" si="312"/>
        <v>0</v>
      </c>
    </row>
    <row r="17561" spans="20:20" ht="18.75" customHeight="1" x14ac:dyDescent="0.35">
      <c r="T17561" s="246">
        <f t="shared" si="312"/>
        <v>0</v>
      </c>
    </row>
    <row r="17562" spans="20:20" ht="18.75" customHeight="1" x14ac:dyDescent="0.35">
      <c r="T17562" s="246">
        <f t="shared" si="312"/>
        <v>0</v>
      </c>
    </row>
    <row r="17563" spans="20:20" ht="18.75" customHeight="1" x14ac:dyDescent="0.35">
      <c r="T17563" s="246">
        <f t="shared" si="312"/>
        <v>0</v>
      </c>
    </row>
    <row r="17564" spans="20:20" ht="18.75" customHeight="1" x14ac:dyDescent="0.35">
      <c r="T17564" s="246">
        <f t="shared" si="312"/>
        <v>0</v>
      </c>
    </row>
    <row r="17565" spans="20:20" ht="18.75" customHeight="1" x14ac:dyDescent="0.35">
      <c r="T17565" s="246">
        <f t="shared" si="312"/>
        <v>0</v>
      </c>
    </row>
    <row r="17566" spans="20:20" ht="18.75" customHeight="1" x14ac:dyDescent="0.35">
      <c r="T17566" s="246">
        <f t="shared" si="312"/>
        <v>0</v>
      </c>
    </row>
    <row r="17567" spans="20:20" ht="18.75" customHeight="1" x14ac:dyDescent="0.35">
      <c r="T17567" s="246">
        <f t="shared" si="312"/>
        <v>0</v>
      </c>
    </row>
    <row r="17568" spans="20:20" ht="18.75" customHeight="1" x14ac:dyDescent="0.35">
      <c r="T17568" s="246">
        <f t="shared" si="312"/>
        <v>0</v>
      </c>
    </row>
    <row r="17569" spans="20:20" ht="18.75" customHeight="1" x14ac:dyDescent="0.35">
      <c r="T17569" s="246">
        <f t="shared" si="312"/>
        <v>0</v>
      </c>
    </row>
    <row r="17570" spans="20:20" ht="18.75" customHeight="1" x14ac:dyDescent="0.35">
      <c r="T17570" s="246">
        <f t="shared" si="312"/>
        <v>0</v>
      </c>
    </row>
    <row r="17571" spans="20:20" ht="18.75" customHeight="1" x14ac:dyDescent="0.35">
      <c r="T17571" s="246">
        <f t="shared" si="312"/>
        <v>0</v>
      </c>
    </row>
    <row r="17572" spans="20:20" ht="18.75" customHeight="1" x14ac:dyDescent="0.35">
      <c r="T17572" s="246">
        <f t="shared" si="312"/>
        <v>0</v>
      </c>
    </row>
    <row r="17573" spans="20:20" ht="18.75" customHeight="1" x14ac:dyDescent="0.35">
      <c r="T17573" s="246">
        <f t="shared" si="312"/>
        <v>0</v>
      </c>
    </row>
    <row r="17574" spans="20:20" ht="18.75" customHeight="1" x14ac:dyDescent="0.35">
      <c r="T17574" s="246">
        <f t="shared" si="312"/>
        <v>0</v>
      </c>
    </row>
    <row r="17575" spans="20:20" ht="18.75" customHeight="1" x14ac:dyDescent="0.35">
      <c r="T17575" s="246">
        <f t="shared" si="312"/>
        <v>0</v>
      </c>
    </row>
    <row r="17576" spans="20:20" ht="18.75" customHeight="1" x14ac:dyDescent="0.35">
      <c r="T17576" s="246">
        <f t="shared" si="312"/>
        <v>0</v>
      </c>
    </row>
    <row r="17577" spans="20:20" ht="18.75" customHeight="1" x14ac:dyDescent="0.35">
      <c r="T17577" s="246">
        <f t="shared" si="312"/>
        <v>0</v>
      </c>
    </row>
    <row r="17578" spans="20:20" ht="18.75" customHeight="1" x14ac:dyDescent="0.35">
      <c r="T17578" s="246">
        <f t="shared" si="312"/>
        <v>0</v>
      </c>
    </row>
    <row r="17579" spans="20:20" ht="18.75" customHeight="1" x14ac:dyDescent="0.35">
      <c r="T17579" s="246">
        <f t="shared" si="312"/>
        <v>0</v>
      </c>
    </row>
    <row r="17580" spans="20:20" ht="18.75" customHeight="1" x14ac:dyDescent="0.35">
      <c r="T17580" s="246">
        <f t="shared" si="312"/>
        <v>0</v>
      </c>
    </row>
    <row r="17581" spans="20:20" ht="18.75" customHeight="1" x14ac:dyDescent="0.35">
      <c r="T17581" s="246">
        <f t="shared" si="312"/>
        <v>0</v>
      </c>
    </row>
    <row r="17582" spans="20:20" ht="18.75" customHeight="1" x14ac:dyDescent="0.35">
      <c r="T17582" s="246">
        <f t="shared" si="312"/>
        <v>0</v>
      </c>
    </row>
    <row r="17583" spans="20:20" ht="18.75" customHeight="1" x14ac:dyDescent="0.35">
      <c r="T17583" s="246">
        <f t="shared" si="312"/>
        <v>0</v>
      </c>
    </row>
    <row r="17584" spans="20:20" ht="18.75" customHeight="1" x14ac:dyDescent="0.35">
      <c r="T17584" s="246">
        <f t="shared" si="312"/>
        <v>0</v>
      </c>
    </row>
    <row r="17585" spans="20:20" ht="18.75" customHeight="1" x14ac:dyDescent="0.35">
      <c r="T17585" s="246">
        <f t="shared" si="312"/>
        <v>0</v>
      </c>
    </row>
    <row r="17586" spans="20:20" ht="18.75" customHeight="1" x14ac:dyDescent="0.35">
      <c r="T17586" s="246">
        <f t="shared" si="312"/>
        <v>0</v>
      </c>
    </row>
    <row r="17587" spans="20:20" ht="18.75" customHeight="1" x14ac:dyDescent="0.35">
      <c r="T17587" s="246">
        <f t="shared" si="312"/>
        <v>0</v>
      </c>
    </row>
    <row r="17588" spans="20:20" ht="18.75" customHeight="1" x14ac:dyDescent="0.35">
      <c r="T17588" s="246">
        <f t="shared" si="312"/>
        <v>0</v>
      </c>
    </row>
    <row r="17589" spans="20:20" ht="18.75" customHeight="1" x14ac:dyDescent="0.35">
      <c r="T17589" s="246">
        <f t="shared" si="312"/>
        <v>0</v>
      </c>
    </row>
    <row r="17590" spans="20:20" ht="18.75" customHeight="1" x14ac:dyDescent="0.35">
      <c r="T17590" s="246">
        <f t="shared" si="312"/>
        <v>0</v>
      </c>
    </row>
    <row r="17591" spans="20:20" ht="18.75" customHeight="1" x14ac:dyDescent="0.35">
      <c r="T17591" s="246">
        <f t="shared" si="312"/>
        <v>0</v>
      </c>
    </row>
    <row r="17592" spans="20:20" ht="18.75" customHeight="1" x14ac:dyDescent="0.35">
      <c r="T17592" s="246">
        <f t="shared" si="312"/>
        <v>0</v>
      </c>
    </row>
    <row r="17593" spans="20:20" ht="18.75" customHeight="1" x14ac:dyDescent="0.35">
      <c r="T17593" s="246">
        <f t="shared" si="312"/>
        <v>0</v>
      </c>
    </row>
    <row r="17594" spans="20:20" ht="18.75" customHeight="1" x14ac:dyDescent="0.35">
      <c r="T17594" s="246">
        <f t="shared" si="312"/>
        <v>0</v>
      </c>
    </row>
    <row r="17595" spans="20:20" ht="18.75" customHeight="1" x14ac:dyDescent="0.35">
      <c r="T17595" s="246">
        <f t="shared" si="312"/>
        <v>0</v>
      </c>
    </row>
    <row r="17596" spans="20:20" ht="18.75" customHeight="1" x14ac:dyDescent="0.35">
      <c r="T17596" s="246">
        <f t="shared" ref="T17596:T17659" si="313">R17596*0.01</f>
        <v>0</v>
      </c>
    </row>
    <row r="17597" spans="20:20" ht="18.75" customHeight="1" x14ac:dyDescent="0.35">
      <c r="T17597" s="246">
        <f t="shared" si="313"/>
        <v>0</v>
      </c>
    </row>
    <row r="17598" spans="20:20" ht="18.75" customHeight="1" x14ac:dyDescent="0.35">
      <c r="T17598" s="246">
        <f t="shared" si="313"/>
        <v>0</v>
      </c>
    </row>
    <row r="17599" spans="20:20" ht="18.75" customHeight="1" x14ac:dyDescent="0.35">
      <c r="T17599" s="246">
        <f t="shared" si="313"/>
        <v>0</v>
      </c>
    </row>
    <row r="17600" spans="20:20" ht="18.75" customHeight="1" x14ac:dyDescent="0.35">
      <c r="T17600" s="246">
        <f t="shared" si="313"/>
        <v>0</v>
      </c>
    </row>
    <row r="17601" spans="20:20" ht="18.75" customHeight="1" x14ac:dyDescent="0.35">
      <c r="T17601" s="246">
        <f t="shared" si="313"/>
        <v>0</v>
      </c>
    </row>
    <row r="17602" spans="20:20" ht="18.75" customHeight="1" x14ac:dyDescent="0.35">
      <c r="T17602" s="246">
        <f t="shared" si="313"/>
        <v>0</v>
      </c>
    </row>
    <row r="17603" spans="20:20" ht="18.75" customHeight="1" x14ac:dyDescent="0.35">
      <c r="T17603" s="246">
        <f t="shared" si="313"/>
        <v>0</v>
      </c>
    </row>
    <row r="17604" spans="20:20" ht="18.75" customHeight="1" x14ac:dyDescent="0.35">
      <c r="T17604" s="246">
        <f t="shared" si="313"/>
        <v>0</v>
      </c>
    </row>
    <row r="17605" spans="20:20" ht="18.75" customHeight="1" x14ac:dyDescent="0.35">
      <c r="T17605" s="246">
        <f t="shared" si="313"/>
        <v>0</v>
      </c>
    </row>
    <row r="17606" spans="20:20" ht="18.75" customHeight="1" x14ac:dyDescent="0.35">
      <c r="T17606" s="246">
        <f t="shared" si="313"/>
        <v>0</v>
      </c>
    </row>
    <row r="17607" spans="20:20" ht="18.75" customHeight="1" x14ac:dyDescent="0.35">
      <c r="T17607" s="246">
        <f t="shared" si="313"/>
        <v>0</v>
      </c>
    </row>
    <row r="17608" spans="20:20" ht="18.75" customHeight="1" x14ac:dyDescent="0.35">
      <c r="T17608" s="246">
        <f t="shared" si="313"/>
        <v>0</v>
      </c>
    </row>
    <row r="17609" spans="20:20" ht="18.75" customHeight="1" x14ac:dyDescent="0.35">
      <c r="T17609" s="246">
        <f t="shared" si="313"/>
        <v>0</v>
      </c>
    </row>
    <row r="17610" spans="20:20" ht="18.75" customHeight="1" x14ac:dyDescent="0.35">
      <c r="T17610" s="246">
        <f t="shared" si="313"/>
        <v>0</v>
      </c>
    </row>
    <row r="17611" spans="20:20" ht="18.75" customHeight="1" x14ac:dyDescent="0.35">
      <c r="T17611" s="246">
        <f t="shared" si="313"/>
        <v>0</v>
      </c>
    </row>
    <row r="17612" spans="20:20" ht="18.75" customHeight="1" x14ac:dyDescent="0.35">
      <c r="T17612" s="246">
        <f t="shared" si="313"/>
        <v>0</v>
      </c>
    </row>
    <row r="17613" spans="20:20" ht="18.75" customHeight="1" x14ac:dyDescent="0.35">
      <c r="T17613" s="246">
        <f t="shared" si="313"/>
        <v>0</v>
      </c>
    </row>
    <row r="17614" spans="20:20" ht="18.75" customHeight="1" x14ac:dyDescent="0.35">
      <c r="T17614" s="246">
        <f t="shared" si="313"/>
        <v>0</v>
      </c>
    </row>
    <row r="17615" spans="20:20" ht="18.75" customHeight="1" x14ac:dyDescent="0.35">
      <c r="T17615" s="246">
        <f t="shared" si="313"/>
        <v>0</v>
      </c>
    </row>
    <row r="17616" spans="20:20" ht="18.75" customHeight="1" x14ac:dyDescent="0.35">
      <c r="T17616" s="246">
        <f t="shared" si="313"/>
        <v>0</v>
      </c>
    </row>
    <row r="17617" spans="20:20" ht="18.75" customHeight="1" x14ac:dyDescent="0.35">
      <c r="T17617" s="246">
        <f t="shared" si="313"/>
        <v>0</v>
      </c>
    </row>
    <row r="17618" spans="20:20" ht="18.75" customHeight="1" x14ac:dyDescent="0.35">
      <c r="T17618" s="246">
        <f t="shared" si="313"/>
        <v>0</v>
      </c>
    </row>
    <row r="17619" spans="20:20" ht="18.75" customHeight="1" x14ac:dyDescent="0.35">
      <c r="T17619" s="246">
        <f t="shared" si="313"/>
        <v>0</v>
      </c>
    </row>
    <row r="17620" spans="20:20" ht="18.75" customHeight="1" x14ac:dyDescent="0.35">
      <c r="T17620" s="246">
        <f t="shared" si="313"/>
        <v>0</v>
      </c>
    </row>
    <row r="17621" spans="20:20" ht="18.75" customHeight="1" x14ac:dyDescent="0.35">
      <c r="T17621" s="246">
        <f t="shared" si="313"/>
        <v>0</v>
      </c>
    </row>
    <row r="17622" spans="20:20" ht="18.75" customHeight="1" x14ac:dyDescent="0.35">
      <c r="T17622" s="246">
        <f t="shared" si="313"/>
        <v>0</v>
      </c>
    </row>
    <row r="17623" spans="20:20" ht="18.75" customHeight="1" x14ac:dyDescent="0.35">
      <c r="T17623" s="246">
        <f t="shared" si="313"/>
        <v>0</v>
      </c>
    </row>
    <row r="17624" spans="20:20" ht="18.75" customHeight="1" x14ac:dyDescent="0.35">
      <c r="T17624" s="246">
        <f t="shared" si="313"/>
        <v>0</v>
      </c>
    </row>
    <row r="17625" spans="20:20" ht="18.75" customHeight="1" x14ac:dyDescent="0.35">
      <c r="T17625" s="246">
        <f t="shared" si="313"/>
        <v>0</v>
      </c>
    </row>
    <row r="17626" spans="20:20" ht="18.75" customHeight="1" x14ac:dyDescent="0.35">
      <c r="T17626" s="246">
        <f t="shared" si="313"/>
        <v>0</v>
      </c>
    </row>
    <row r="17627" spans="20:20" ht="18.75" customHeight="1" x14ac:dyDescent="0.35">
      <c r="T17627" s="246">
        <f t="shared" si="313"/>
        <v>0</v>
      </c>
    </row>
    <row r="17628" spans="20:20" ht="18.75" customHeight="1" x14ac:dyDescent="0.35">
      <c r="T17628" s="246">
        <f t="shared" si="313"/>
        <v>0</v>
      </c>
    </row>
    <row r="17629" spans="20:20" ht="18.75" customHeight="1" x14ac:dyDescent="0.35">
      <c r="T17629" s="246">
        <f t="shared" si="313"/>
        <v>0</v>
      </c>
    </row>
    <row r="17630" spans="20:20" ht="18.75" customHeight="1" x14ac:dyDescent="0.35">
      <c r="T17630" s="246">
        <f t="shared" si="313"/>
        <v>0</v>
      </c>
    </row>
    <row r="17631" spans="20:20" ht="18.75" customHeight="1" x14ac:dyDescent="0.35">
      <c r="T17631" s="246">
        <f t="shared" si="313"/>
        <v>0</v>
      </c>
    </row>
    <row r="17632" spans="20:20" ht="18.75" customHeight="1" x14ac:dyDescent="0.35">
      <c r="T17632" s="246">
        <f t="shared" si="313"/>
        <v>0</v>
      </c>
    </row>
    <row r="17633" spans="20:20" ht="18.75" customHeight="1" x14ac:dyDescent="0.35">
      <c r="T17633" s="246">
        <f t="shared" si="313"/>
        <v>0</v>
      </c>
    </row>
    <row r="17634" spans="20:20" ht="18.75" customHeight="1" x14ac:dyDescent="0.35">
      <c r="T17634" s="246">
        <f t="shared" si="313"/>
        <v>0</v>
      </c>
    </row>
    <row r="17635" spans="20:20" ht="18.75" customHeight="1" x14ac:dyDescent="0.35">
      <c r="T17635" s="246">
        <f t="shared" si="313"/>
        <v>0</v>
      </c>
    </row>
    <row r="17636" spans="20:20" ht="18.75" customHeight="1" x14ac:dyDescent="0.35">
      <c r="T17636" s="246">
        <f t="shared" si="313"/>
        <v>0</v>
      </c>
    </row>
    <row r="17637" spans="20:20" ht="18.75" customHeight="1" x14ac:dyDescent="0.35">
      <c r="T17637" s="246">
        <f t="shared" si="313"/>
        <v>0</v>
      </c>
    </row>
    <row r="17638" spans="20:20" ht="18.75" customHeight="1" x14ac:dyDescent="0.35">
      <c r="T17638" s="246">
        <f t="shared" si="313"/>
        <v>0</v>
      </c>
    </row>
    <row r="17639" spans="20:20" ht="18.75" customHeight="1" x14ac:dyDescent="0.35">
      <c r="T17639" s="246">
        <f t="shared" si="313"/>
        <v>0</v>
      </c>
    </row>
    <row r="17640" spans="20:20" ht="18.75" customHeight="1" x14ac:dyDescent="0.35">
      <c r="T17640" s="246">
        <f t="shared" si="313"/>
        <v>0</v>
      </c>
    </row>
    <row r="17641" spans="20:20" ht="18.75" customHeight="1" x14ac:dyDescent="0.35">
      <c r="T17641" s="246">
        <f t="shared" si="313"/>
        <v>0</v>
      </c>
    </row>
    <row r="17642" spans="20:20" ht="18.75" customHeight="1" x14ac:dyDescent="0.35">
      <c r="T17642" s="246">
        <f t="shared" si="313"/>
        <v>0</v>
      </c>
    </row>
    <row r="17643" spans="20:20" ht="18.75" customHeight="1" x14ac:dyDescent="0.35">
      <c r="T17643" s="246">
        <f t="shared" si="313"/>
        <v>0</v>
      </c>
    </row>
    <row r="17644" spans="20:20" ht="18.75" customHeight="1" x14ac:dyDescent="0.35">
      <c r="T17644" s="246">
        <f t="shared" si="313"/>
        <v>0</v>
      </c>
    </row>
    <row r="17645" spans="20:20" ht="18.75" customHeight="1" x14ac:dyDescent="0.35">
      <c r="T17645" s="246">
        <f t="shared" si="313"/>
        <v>0</v>
      </c>
    </row>
    <row r="17646" spans="20:20" ht="18.75" customHeight="1" x14ac:dyDescent="0.35">
      <c r="T17646" s="246">
        <f t="shared" si="313"/>
        <v>0</v>
      </c>
    </row>
    <row r="17647" spans="20:20" ht="18.75" customHeight="1" x14ac:dyDescent="0.35">
      <c r="T17647" s="246">
        <f t="shared" si="313"/>
        <v>0</v>
      </c>
    </row>
    <row r="17648" spans="20:20" ht="18.75" customHeight="1" x14ac:dyDescent="0.35">
      <c r="T17648" s="246">
        <f t="shared" si="313"/>
        <v>0</v>
      </c>
    </row>
    <row r="17649" spans="20:20" ht="18.75" customHeight="1" x14ac:dyDescent="0.35">
      <c r="T17649" s="246">
        <f t="shared" si="313"/>
        <v>0</v>
      </c>
    </row>
    <row r="17650" spans="20:20" ht="18.75" customHeight="1" x14ac:dyDescent="0.35">
      <c r="T17650" s="246">
        <f t="shared" si="313"/>
        <v>0</v>
      </c>
    </row>
    <row r="17651" spans="20:20" ht="18.75" customHeight="1" x14ac:dyDescent="0.35">
      <c r="T17651" s="246">
        <f t="shared" si="313"/>
        <v>0</v>
      </c>
    </row>
    <row r="17652" spans="20:20" ht="18.75" customHeight="1" x14ac:dyDescent="0.35">
      <c r="T17652" s="246">
        <f t="shared" si="313"/>
        <v>0</v>
      </c>
    </row>
    <row r="17653" spans="20:20" ht="18.75" customHeight="1" x14ac:dyDescent="0.35">
      <c r="T17653" s="246">
        <f t="shared" si="313"/>
        <v>0</v>
      </c>
    </row>
    <row r="17654" spans="20:20" ht="18.75" customHeight="1" x14ac:dyDescent="0.35">
      <c r="T17654" s="246">
        <f t="shared" si="313"/>
        <v>0</v>
      </c>
    </row>
    <row r="17655" spans="20:20" ht="18.75" customHeight="1" x14ac:dyDescent="0.35">
      <c r="T17655" s="246">
        <f t="shared" si="313"/>
        <v>0</v>
      </c>
    </row>
    <row r="17656" spans="20:20" ht="18.75" customHeight="1" x14ac:dyDescent="0.35">
      <c r="T17656" s="246">
        <f t="shared" si="313"/>
        <v>0</v>
      </c>
    </row>
    <row r="17657" spans="20:20" ht="18.75" customHeight="1" x14ac:dyDescent="0.35">
      <c r="T17657" s="246">
        <f t="shared" si="313"/>
        <v>0</v>
      </c>
    </row>
    <row r="17658" spans="20:20" ht="18.75" customHeight="1" x14ac:dyDescent="0.35">
      <c r="T17658" s="246">
        <f t="shared" si="313"/>
        <v>0</v>
      </c>
    </row>
    <row r="17659" spans="20:20" ht="18.75" customHeight="1" x14ac:dyDescent="0.35">
      <c r="T17659" s="246">
        <f t="shared" si="313"/>
        <v>0</v>
      </c>
    </row>
    <row r="17660" spans="20:20" ht="18.75" customHeight="1" x14ac:dyDescent="0.35">
      <c r="T17660" s="246">
        <f t="shared" ref="T17660:T17723" si="314">R17660*0.01</f>
        <v>0</v>
      </c>
    </row>
    <row r="17661" spans="20:20" ht="18.75" customHeight="1" x14ac:dyDescent="0.35">
      <c r="T17661" s="246">
        <f t="shared" si="314"/>
        <v>0</v>
      </c>
    </row>
    <row r="17662" spans="20:20" ht="18.75" customHeight="1" x14ac:dyDescent="0.35">
      <c r="T17662" s="246">
        <f t="shared" si="314"/>
        <v>0</v>
      </c>
    </row>
    <row r="17663" spans="20:20" ht="18.75" customHeight="1" x14ac:dyDescent="0.35">
      <c r="T17663" s="246">
        <f t="shared" si="314"/>
        <v>0</v>
      </c>
    </row>
    <row r="17664" spans="20:20" ht="18.75" customHeight="1" x14ac:dyDescent="0.35">
      <c r="T17664" s="246">
        <f t="shared" si="314"/>
        <v>0</v>
      </c>
    </row>
    <row r="17665" spans="20:20" ht="18.75" customHeight="1" x14ac:dyDescent="0.35">
      <c r="T17665" s="246">
        <f t="shared" si="314"/>
        <v>0</v>
      </c>
    </row>
    <row r="17666" spans="20:20" ht="18.75" customHeight="1" x14ac:dyDescent="0.35">
      <c r="T17666" s="246">
        <f t="shared" si="314"/>
        <v>0</v>
      </c>
    </row>
    <row r="17667" spans="20:20" ht="18.75" customHeight="1" x14ac:dyDescent="0.35">
      <c r="T17667" s="246">
        <f t="shared" si="314"/>
        <v>0</v>
      </c>
    </row>
    <row r="17668" spans="20:20" ht="18.75" customHeight="1" x14ac:dyDescent="0.35">
      <c r="T17668" s="246">
        <f t="shared" si="314"/>
        <v>0</v>
      </c>
    </row>
    <row r="17669" spans="20:20" ht="18.75" customHeight="1" x14ac:dyDescent="0.35">
      <c r="T17669" s="246">
        <f t="shared" si="314"/>
        <v>0</v>
      </c>
    </row>
    <row r="17670" spans="20:20" ht="18.75" customHeight="1" x14ac:dyDescent="0.35">
      <c r="T17670" s="246">
        <f t="shared" si="314"/>
        <v>0</v>
      </c>
    </row>
    <row r="17671" spans="20:20" ht="18.75" customHeight="1" x14ac:dyDescent="0.35">
      <c r="T17671" s="246">
        <f t="shared" si="314"/>
        <v>0</v>
      </c>
    </row>
    <row r="17672" spans="20:20" ht="18.75" customHeight="1" x14ac:dyDescent="0.35">
      <c r="T17672" s="246">
        <f t="shared" si="314"/>
        <v>0</v>
      </c>
    </row>
    <row r="17673" spans="20:20" ht="18.75" customHeight="1" x14ac:dyDescent="0.35">
      <c r="T17673" s="246">
        <f t="shared" si="314"/>
        <v>0</v>
      </c>
    </row>
    <row r="17674" spans="20:20" ht="18.75" customHeight="1" x14ac:dyDescent="0.35">
      <c r="T17674" s="246">
        <f t="shared" si="314"/>
        <v>0</v>
      </c>
    </row>
    <row r="17675" spans="20:20" ht="18.75" customHeight="1" x14ac:dyDescent="0.35">
      <c r="T17675" s="246">
        <f t="shared" si="314"/>
        <v>0</v>
      </c>
    </row>
    <row r="17676" spans="20:20" ht="18.75" customHeight="1" x14ac:dyDescent="0.35">
      <c r="T17676" s="246">
        <f t="shared" si="314"/>
        <v>0</v>
      </c>
    </row>
    <row r="17677" spans="20:20" ht="18.75" customHeight="1" x14ac:dyDescent="0.35">
      <c r="T17677" s="246">
        <f t="shared" si="314"/>
        <v>0</v>
      </c>
    </row>
    <row r="17678" spans="20:20" ht="18.75" customHeight="1" x14ac:dyDescent="0.35">
      <c r="T17678" s="246">
        <f t="shared" si="314"/>
        <v>0</v>
      </c>
    </row>
    <row r="17679" spans="20:20" ht="18.75" customHeight="1" x14ac:dyDescent="0.35">
      <c r="T17679" s="246">
        <f t="shared" si="314"/>
        <v>0</v>
      </c>
    </row>
    <row r="17680" spans="20:20" ht="18.75" customHeight="1" x14ac:dyDescent="0.35">
      <c r="T17680" s="246">
        <f t="shared" si="314"/>
        <v>0</v>
      </c>
    </row>
    <row r="17681" spans="20:20" ht="18.75" customHeight="1" x14ac:dyDescent="0.35">
      <c r="T17681" s="246">
        <f t="shared" si="314"/>
        <v>0</v>
      </c>
    </row>
    <row r="17682" spans="20:20" ht="18.75" customHeight="1" x14ac:dyDescent="0.35">
      <c r="T17682" s="246">
        <f t="shared" si="314"/>
        <v>0</v>
      </c>
    </row>
    <row r="17683" spans="20:20" ht="18.75" customHeight="1" x14ac:dyDescent="0.35">
      <c r="T17683" s="246">
        <f t="shared" si="314"/>
        <v>0</v>
      </c>
    </row>
    <row r="17684" spans="20:20" ht="18.75" customHeight="1" x14ac:dyDescent="0.35">
      <c r="T17684" s="246">
        <f t="shared" si="314"/>
        <v>0</v>
      </c>
    </row>
    <row r="17685" spans="20:20" ht="18.75" customHeight="1" x14ac:dyDescent="0.35">
      <c r="T17685" s="246">
        <f t="shared" si="314"/>
        <v>0</v>
      </c>
    </row>
    <row r="17686" spans="20:20" ht="18.75" customHeight="1" x14ac:dyDescent="0.35">
      <c r="T17686" s="246">
        <f t="shared" si="314"/>
        <v>0</v>
      </c>
    </row>
    <row r="17687" spans="20:20" ht="18.75" customHeight="1" x14ac:dyDescent="0.35">
      <c r="T17687" s="246">
        <f t="shared" si="314"/>
        <v>0</v>
      </c>
    </row>
    <row r="17688" spans="20:20" ht="18.75" customHeight="1" x14ac:dyDescent="0.35">
      <c r="T17688" s="246">
        <f t="shared" si="314"/>
        <v>0</v>
      </c>
    </row>
    <row r="17689" spans="20:20" ht="18.75" customHeight="1" x14ac:dyDescent="0.35">
      <c r="T17689" s="246">
        <f t="shared" si="314"/>
        <v>0</v>
      </c>
    </row>
    <row r="17690" spans="20:20" ht="18.75" customHeight="1" x14ac:dyDescent="0.35">
      <c r="T17690" s="246">
        <f t="shared" si="314"/>
        <v>0</v>
      </c>
    </row>
    <row r="17691" spans="20:20" ht="18.75" customHeight="1" x14ac:dyDescent="0.35">
      <c r="T17691" s="246">
        <f t="shared" si="314"/>
        <v>0</v>
      </c>
    </row>
    <row r="17692" spans="20:20" ht="18.75" customHeight="1" x14ac:dyDescent="0.35">
      <c r="T17692" s="246">
        <f t="shared" si="314"/>
        <v>0</v>
      </c>
    </row>
    <row r="17693" spans="20:20" ht="18.75" customHeight="1" x14ac:dyDescent="0.35">
      <c r="T17693" s="246">
        <f t="shared" si="314"/>
        <v>0</v>
      </c>
    </row>
    <row r="17694" spans="20:20" ht="18.75" customHeight="1" x14ac:dyDescent="0.35">
      <c r="T17694" s="246">
        <f t="shared" si="314"/>
        <v>0</v>
      </c>
    </row>
    <row r="17695" spans="20:20" ht="18.75" customHeight="1" x14ac:dyDescent="0.35">
      <c r="T17695" s="246">
        <f t="shared" si="314"/>
        <v>0</v>
      </c>
    </row>
    <row r="17696" spans="20:20" ht="18.75" customHeight="1" x14ac:dyDescent="0.35">
      <c r="T17696" s="246">
        <f t="shared" si="314"/>
        <v>0</v>
      </c>
    </row>
    <row r="17697" spans="20:20" ht="18.75" customHeight="1" x14ac:dyDescent="0.35">
      <c r="T17697" s="246">
        <f t="shared" si="314"/>
        <v>0</v>
      </c>
    </row>
    <row r="17698" spans="20:20" ht="18.75" customHeight="1" x14ac:dyDescent="0.35">
      <c r="T17698" s="246">
        <f t="shared" si="314"/>
        <v>0</v>
      </c>
    </row>
    <row r="17699" spans="20:20" ht="18.75" customHeight="1" x14ac:dyDescent="0.35">
      <c r="T17699" s="246">
        <f t="shared" si="314"/>
        <v>0</v>
      </c>
    </row>
    <row r="17700" spans="20:20" ht="18.75" customHeight="1" x14ac:dyDescent="0.35">
      <c r="T17700" s="246">
        <f t="shared" si="314"/>
        <v>0</v>
      </c>
    </row>
    <row r="17701" spans="20:20" ht="18.75" customHeight="1" x14ac:dyDescent="0.35">
      <c r="T17701" s="246">
        <f t="shared" si="314"/>
        <v>0</v>
      </c>
    </row>
    <row r="17702" spans="20:20" ht="18.75" customHeight="1" x14ac:dyDescent="0.35">
      <c r="T17702" s="246">
        <f t="shared" si="314"/>
        <v>0</v>
      </c>
    </row>
    <row r="17703" spans="20:20" ht="18.75" customHeight="1" x14ac:dyDescent="0.35">
      <c r="T17703" s="246">
        <f t="shared" si="314"/>
        <v>0</v>
      </c>
    </row>
    <row r="17704" spans="20:20" ht="18.75" customHeight="1" x14ac:dyDescent="0.35">
      <c r="T17704" s="246">
        <f t="shared" si="314"/>
        <v>0</v>
      </c>
    </row>
    <row r="17705" spans="20:20" ht="18.75" customHeight="1" x14ac:dyDescent="0.35">
      <c r="T17705" s="246">
        <f t="shared" si="314"/>
        <v>0</v>
      </c>
    </row>
    <row r="17706" spans="20:20" ht="18.75" customHeight="1" x14ac:dyDescent="0.35">
      <c r="T17706" s="246">
        <f t="shared" si="314"/>
        <v>0</v>
      </c>
    </row>
    <row r="17707" spans="20:20" ht="18.75" customHeight="1" x14ac:dyDescent="0.35">
      <c r="T17707" s="246">
        <f t="shared" si="314"/>
        <v>0</v>
      </c>
    </row>
    <row r="17708" spans="20:20" ht="18.75" customHeight="1" x14ac:dyDescent="0.35">
      <c r="T17708" s="246">
        <f t="shared" si="314"/>
        <v>0</v>
      </c>
    </row>
    <row r="17709" spans="20:20" ht="18.75" customHeight="1" x14ac:dyDescent="0.35">
      <c r="T17709" s="246">
        <f t="shared" si="314"/>
        <v>0</v>
      </c>
    </row>
    <row r="17710" spans="20:20" ht="18.75" customHeight="1" x14ac:dyDescent="0.35">
      <c r="T17710" s="246">
        <f t="shared" si="314"/>
        <v>0</v>
      </c>
    </row>
    <row r="17711" spans="20:20" ht="18.75" customHeight="1" x14ac:dyDescent="0.35">
      <c r="T17711" s="246">
        <f t="shared" si="314"/>
        <v>0</v>
      </c>
    </row>
    <row r="17712" spans="20:20" ht="18.75" customHeight="1" x14ac:dyDescent="0.35">
      <c r="T17712" s="246">
        <f t="shared" si="314"/>
        <v>0</v>
      </c>
    </row>
    <row r="17713" spans="20:20" ht="18.75" customHeight="1" x14ac:dyDescent="0.35">
      <c r="T17713" s="246">
        <f t="shared" si="314"/>
        <v>0</v>
      </c>
    </row>
    <row r="17714" spans="20:20" ht="18.75" customHeight="1" x14ac:dyDescent="0.35">
      <c r="T17714" s="246">
        <f t="shared" si="314"/>
        <v>0</v>
      </c>
    </row>
    <row r="17715" spans="20:20" ht="18.75" customHeight="1" x14ac:dyDescent="0.35">
      <c r="T17715" s="246">
        <f t="shared" si="314"/>
        <v>0</v>
      </c>
    </row>
    <row r="17716" spans="20:20" ht="18.75" customHeight="1" x14ac:dyDescent="0.35">
      <c r="T17716" s="246">
        <f t="shared" si="314"/>
        <v>0</v>
      </c>
    </row>
    <row r="17717" spans="20:20" ht="18.75" customHeight="1" x14ac:dyDescent="0.35">
      <c r="T17717" s="246">
        <f t="shared" si="314"/>
        <v>0</v>
      </c>
    </row>
    <row r="17718" spans="20:20" ht="18.75" customHeight="1" x14ac:dyDescent="0.35">
      <c r="T17718" s="246">
        <f t="shared" si="314"/>
        <v>0</v>
      </c>
    </row>
    <row r="17719" spans="20:20" ht="18.75" customHeight="1" x14ac:dyDescent="0.35">
      <c r="T17719" s="246">
        <f t="shared" si="314"/>
        <v>0</v>
      </c>
    </row>
    <row r="17720" spans="20:20" ht="18.75" customHeight="1" x14ac:dyDescent="0.35">
      <c r="T17720" s="246">
        <f t="shared" si="314"/>
        <v>0</v>
      </c>
    </row>
    <row r="17721" spans="20:20" ht="18.75" customHeight="1" x14ac:dyDescent="0.35">
      <c r="T17721" s="246">
        <f t="shared" si="314"/>
        <v>0</v>
      </c>
    </row>
    <row r="17722" spans="20:20" ht="18.75" customHeight="1" x14ac:dyDescent="0.35">
      <c r="T17722" s="246">
        <f t="shared" si="314"/>
        <v>0</v>
      </c>
    </row>
    <row r="17723" spans="20:20" ht="18.75" customHeight="1" x14ac:dyDescent="0.35">
      <c r="T17723" s="246">
        <f t="shared" si="314"/>
        <v>0</v>
      </c>
    </row>
    <row r="17724" spans="20:20" ht="18.75" customHeight="1" x14ac:dyDescent="0.35">
      <c r="T17724" s="246">
        <f t="shared" ref="T17724:T17787" si="315">R17724*0.01</f>
        <v>0</v>
      </c>
    </row>
    <row r="17725" spans="20:20" ht="18.75" customHeight="1" x14ac:dyDescent="0.35">
      <c r="T17725" s="246">
        <f t="shared" si="315"/>
        <v>0</v>
      </c>
    </row>
    <row r="17726" spans="20:20" ht="18.75" customHeight="1" x14ac:dyDescent="0.35">
      <c r="T17726" s="246">
        <f t="shared" si="315"/>
        <v>0</v>
      </c>
    </row>
    <row r="17727" spans="20:20" ht="18.75" customHeight="1" x14ac:dyDescent="0.35">
      <c r="T17727" s="246">
        <f t="shared" si="315"/>
        <v>0</v>
      </c>
    </row>
    <row r="17728" spans="20:20" ht="18.75" customHeight="1" x14ac:dyDescent="0.35">
      <c r="T17728" s="246">
        <f t="shared" si="315"/>
        <v>0</v>
      </c>
    </row>
    <row r="17729" spans="20:20" ht="18.75" customHeight="1" x14ac:dyDescent="0.35">
      <c r="T17729" s="246">
        <f t="shared" si="315"/>
        <v>0</v>
      </c>
    </row>
    <row r="17730" spans="20:20" ht="18.75" customHeight="1" x14ac:dyDescent="0.35">
      <c r="T17730" s="246">
        <f t="shared" si="315"/>
        <v>0</v>
      </c>
    </row>
    <row r="17731" spans="20:20" ht="18.75" customHeight="1" x14ac:dyDescent="0.35">
      <c r="T17731" s="246">
        <f t="shared" si="315"/>
        <v>0</v>
      </c>
    </row>
    <row r="17732" spans="20:20" ht="18.75" customHeight="1" x14ac:dyDescent="0.35">
      <c r="T17732" s="246">
        <f t="shared" si="315"/>
        <v>0</v>
      </c>
    </row>
    <row r="17733" spans="20:20" ht="18.75" customHeight="1" x14ac:dyDescent="0.35">
      <c r="T17733" s="246">
        <f t="shared" si="315"/>
        <v>0</v>
      </c>
    </row>
    <row r="17734" spans="20:20" ht="18.75" customHeight="1" x14ac:dyDescent="0.35">
      <c r="T17734" s="246">
        <f t="shared" si="315"/>
        <v>0</v>
      </c>
    </row>
    <row r="17735" spans="20:20" ht="18.75" customHeight="1" x14ac:dyDescent="0.35">
      <c r="T17735" s="246">
        <f t="shared" si="315"/>
        <v>0</v>
      </c>
    </row>
    <row r="17736" spans="20:20" ht="18.75" customHeight="1" x14ac:dyDescent="0.35">
      <c r="T17736" s="246">
        <f t="shared" si="315"/>
        <v>0</v>
      </c>
    </row>
    <row r="17737" spans="20:20" ht="18.75" customHeight="1" x14ac:dyDescent="0.35">
      <c r="T17737" s="246">
        <f t="shared" si="315"/>
        <v>0</v>
      </c>
    </row>
    <row r="17738" spans="20:20" ht="18.75" customHeight="1" x14ac:dyDescent="0.35">
      <c r="T17738" s="246">
        <f t="shared" si="315"/>
        <v>0</v>
      </c>
    </row>
    <row r="17739" spans="20:20" ht="18.75" customHeight="1" x14ac:dyDescent="0.35">
      <c r="T17739" s="246">
        <f t="shared" si="315"/>
        <v>0</v>
      </c>
    </row>
    <row r="17740" spans="20:20" ht="18.75" customHeight="1" x14ac:dyDescent="0.35">
      <c r="T17740" s="246">
        <f t="shared" si="315"/>
        <v>0</v>
      </c>
    </row>
    <row r="17741" spans="20:20" ht="18.75" customHeight="1" x14ac:dyDescent="0.35">
      <c r="T17741" s="246">
        <f t="shared" si="315"/>
        <v>0</v>
      </c>
    </row>
    <row r="17742" spans="20:20" ht="18.75" customHeight="1" x14ac:dyDescent="0.35">
      <c r="T17742" s="246">
        <f t="shared" si="315"/>
        <v>0</v>
      </c>
    </row>
    <row r="17743" spans="20:20" ht="18.75" customHeight="1" x14ac:dyDescent="0.35">
      <c r="T17743" s="246">
        <f t="shared" si="315"/>
        <v>0</v>
      </c>
    </row>
    <row r="17744" spans="20:20" ht="18.75" customHeight="1" x14ac:dyDescent="0.35">
      <c r="T17744" s="246">
        <f t="shared" si="315"/>
        <v>0</v>
      </c>
    </row>
    <row r="17745" spans="20:20" ht="18.75" customHeight="1" x14ac:dyDescent="0.35">
      <c r="T17745" s="246">
        <f t="shared" si="315"/>
        <v>0</v>
      </c>
    </row>
    <row r="17746" spans="20:20" ht="18.75" customHeight="1" x14ac:dyDescent="0.35">
      <c r="T17746" s="246">
        <f t="shared" si="315"/>
        <v>0</v>
      </c>
    </row>
    <row r="17747" spans="20:20" ht="18.75" customHeight="1" x14ac:dyDescent="0.35">
      <c r="T17747" s="246">
        <f t="shared" si="315"/>
        <v>0</v>
      </c>
    </row>
    <row r="17748" spans="20:20" ht="18.75" customHeight="1" x14ac:dyDescent="0.35">
      <c r="T17748" s="246">
        <f t="shared" si="315"/>
        <v>0</v>
      </c>
    </row>
    <row r="17749" spans="20:20" ht="18.75" customHeight="1" x14ac:dyDescent="0.35">
      <c r="T17749" s="246">
        <f t="shared" si="315"/>
        <v>0</v>
      </c>
    </row>
    <row r="17750" spans="20:20" ht="18.75" customHeight="1" x14ac:dyDescent="0.35">
      <c r="T17750" s="246">
        <f t="shared" si="315"/>
        <v>0</v>
      </c>
    </row>
    <row r="17751" spans="20:20" ht="18.75" customHeight="1" x14ac:dyDescent="0.35">
      <c r="T17751" s="246">
        <f t="shared" si="315"/>
        <v>0</v>
      </c>
    </row>
    <row r="17752" spans="20:20" ht="18.75" customHeight="1" x14ac:dyDescent="0.35">
      <c r="T17752" s="246">
        <f t="shared" si="315"/>
        <v>0</v>
      </c>
    </row>
    <row r="17753" spans="20:20" ht="18.75" customHeight="1" x14ac:dyDescent="0.35">
      <c r="T17753" s="246">
        <f t="shared" si="315"/>
        <v>0</v>
      </c>
    </row>
    <row r="17754" spans="20:20" ht="18.75" customHeight="1" x14ac:dyDescent="0.35">
      <c r="T17754" s="246">
        <f t="shared" si="315"/>
        <v>0</v>
      </c>
    </row>
    <row r="17755" spans="20:20" ht="18.75" customHeight="1" x14ac:dyDescent="0.35">
      <c r="T17755" s="246">
        <f t="shared" si="315"/>
        <v>0</v>
      </c>
    </row>
    <row r="17756" spans="20:20" ht="18.75" customHeight="1" x14ac:dyDescent="0.35">
      <c r="T17756" s="246">
        <f t="shared" si="315"/>
        <v>0</v>
      </c>
    </row>
    <row r="17757" spans="20:20" ht="18.75" customHeight="1" x14ac:dyDescent="0.35">
      <c r="T17757" s="246">
        <f t="shared" si="315"/>
        <v>0</v>
      </c>
    </row>
    <row r="17758" spans="20:20" ht="18.75" customHeight="1" x14ac:dyDescent="0.35">
      <c r="T17758" s="246">
        <f t="shared" si="315"/>
        <v>0</v>
      </c>
    </row>
    <row r="17759" spans="20:20" ht="18.75" customHeight="1" x14ac:dyDescent="0.35">
      <c r="T17759" s="246">
        <f t="shared" si="315"/>
        <v>0</v>
      </c>
    </row>
    <row r="17760" spans="20:20" ht="18.75" customHeight="1" x14ac:dyDescent="0.35">
      <c r="T17760" s="246">
        <f t="shared" si="315"/>
        <v>0</v>
      </c>
    </row>
    <row r="17761" spans="20:20" ht="18.75" customHeight="1" x14ac:dyDescent="0.35">
      <c r="T17761" s="246">
        <f t="shared" si="315"/>
        <v>0</v>
      </c>
    </row>
    <row r="17762" spans="20:20" ht="18.75" customHeight="1" x14ac:dyDescent="0.35">
      <c r="T17762" s="246">
        <f t="shared" si="315"/>
        <v>0</v>
      </c>
    </row>
    <row r="17763" spans="20:20" ht="18.75" customHeight="1" x14ac:dyDescent="0.35">
      <c r="T17763" s="246">
        <f t="shared" si="315"/>
        <v>0</v>
      </c>
    </row>
    <row r="17764" spans="20:20" ht="18.75" customHeight="1" x14ac:dyDescent="0.35">
      <c r="T17764" s="246">
        <f t="shared" si="315"/>
        <v>0</v>
      </c>
    </row>
    <row r="17765" spans="20:20" ht="18.75" customHeight="1" x14ac:dyDescent="0.35">
      <c r="T17765" s="246">
        <f t="shared" si="315"/>
        <v>0</v>
      </c>
    </row>
    <row r="17766" spans="20:20" ht="18.75" customHeight="1" x14ac:dyDescent="0.35">
      <c r="T17766" s="246">
        <f t="shared" si="315"/>
        <v>0</v>
      </c>
    </row>
    <row r="17767" spans="20:20" ht="18.75" customHeight="1" x14ac:dyDescent="0.35">
      <c r="T17767" s="246">
        <f t="shared" si="315"/>
        <v>0</v>
      </c>
    </row>
    <row r="17768" spans="20:20" ht="18.75" customHeight="1" x14ac:dyDescent="0.35">
      <c r="T17768" s="246">
        <f t="shared" si="315"/>
        <v>0</v>
      </c>
    </row>
    <row r="17769" spans="20:20" ht="18.75" customHeight="1" x14ac:dyDescent="0.35">
      <c r="T17769" s="246">
        <f t="shared" si="315"/>
        <v>0</v>
      </c>
    </row>
    <row r="17770" spans="20:20" ht="18.75" customHeight="1" x14ac:dyDescent="0.35">
      <c r="T17770" s="246">
        <f t="shared" si="315"/>
        <v>0</v>
      </c>
    </row>
    <row r="17771" spans="20:20" ht="18.75" customHeight="1" x14ac:dyDescent="0.35">
      <c r="T17771" s="246">
        <f t="shared" si="315"/>
        <v>0</v>
      </c>
    </row>
    <row r="17772" spans="20:20" ht="18.75" customHeight="1" x14ac:dyDescent="0.35">
      <c r="T17772" s="246">
        <f t="shared" si="315"/>
        <v>0</v>
      </c>
    </row>
    <row r="17773" spans="20:20" ht="18.75" customHeight="1" x14ac:dyDescent="0.35">
      <c r="T17773" s="246">
        <f t="shared" si="315"/>
        <v>0</v>
      </c>
    </row>
    <row r="17774" spans="20:20" ht="18.75" customHeight="1" x14ac:dyDescent="0.35">
      <c r="T17774" s="246">
        <f t="shared" si="315"/>
        <v>0</v>
      </c>
    </row>
    <row r="17775" spans="20:20" ht="18.75" customHeight="1" x14ac:dyDescent="0.35">
      <c r="T17775" s="246">
        <f t="shared" si="315"/>
        <v>0</v>
      </c>
    </row>
    <row r="17776" spans="20:20" ht="18.75" customHeight="1" x14ac:dyDescent="0.35">
      <c r="T17776" s="246">
        <f t="shared" si="315"/>
        <v>0</v>
      </c>
    </row>
    <row r="17777" spans="20:20" ht="18.75" customHeight="1" x14ac:dyDescent="0.35">
      <c r="T17777" s="246">
        <f t="shared" si="315"/>
        <v>0</v>
      </c>
    </row>
    <row r="17778" spans="20:20" ht="18.75" customHeight="1" x14ac:dyDescent="0.35">
      <c r="T17778" s="246">
        <f t="shared" si="315"/>
        <v>0</v>
      </c>
    </row>
    <row r="17779" spans="20:20" ht="18.75" customHeight="1" x14ac:dyDescent="0.35">
      <c r="T17779" s="246">
        <f t="shared" si="315"/>
        <v>0</v>
      </c>
    </row>
    <row r="17780" spans="20:20" ht="18.75" customHeight="1" x14ac:dyDescent="0.35">
      <c r="T17780" s="246">
        <f t="shared" si="315"/>
        <v>0</v>
      </c>
    </row>
    <row r="17781" spans="20:20" ht="18.75" customHeight="1" x14ac:dyDescent="0.35">
      <c r="T17781" s="246">
        <f t="shared" si="315"/>
        <v>0</v>
      </c>
    </row>
    <row r="17782" spans="20:20" ht="18.75" customHeight="1" x14ac:dyDescent="0.35">
      <c r="T17782" s="246">
        <f t="shared" si="315"/>
        <v>0</v>
      </c>
    </row>
    <row r="17783" spans="20:20" ht="18.75" customHeight="1" x14ac:dyDescent="0.35">
      <c r="T17783" s="246">
        <f t="shared" si="315"/>
        <v>0</v>
      </c>
    </row>
    <row r="17784" spans="20:20" ht="18.75" customHeight="1" x14ac:dyDescent="0.35">
      <c r="T17784" s="246">
        <f t="shared" si="315"/>
        <v>0</v>
      </c>
    </row>
    <row r="17785" spans="20:20" ht="18.75" customHeight="1" x14ac:dyDescent="0.35">
      <c r="T17785" s="246">
        <f t="shared" si="315"/>
        <v>0</v>
      </c>
    </row>
    <row r="17786" spans="20:20" ht="18.75" customHeight="1" x14ac:dyDescent="0.35">
      <c r="T17786" s="246">
        <f t="shared" si="315"/>
        <v>0</v>
      </c>
    </row>
    <row r="17787" spans="20:20" ht="18.75" customHeight="1" x14ac:dyDescent="0.35">
      <c r="T17787" s="246">
        <f t="shared" si="315"/>
        <v>0</v>
      </c>
    </row>
    <row r="17788" spans="20:20" ht="18.75" customHeight="1" x14ac:dyDescent="0.35">
      <c r="T17788" s="246">
        <f t="shared" ref="T17788:T17851" si="316">R17788*0.01</f>
        <v>0</v>
      </c>
    </row>
    <row r="17789" spans="20:20" ht="18.75" customHeight="1" x14ac:dyDescent="0.35">
      <c r="T17789" s="246">
        <f t="shared" si="316"/>
        <v>0</v>
      </c>
    </row>
    <row r="17790" spans="20:20" ht="18.75" customHeight="1" x14ac:dyDescent="0.35">
      <c r="T17790" s="246">
        <f t="shared" si="316"/>
        <v>0</v>
      </c>
    </row>
    <row r="17791" spans="20:20" ht="18.75" customHeight="1" x14ac:dyDescent="0.35">
      <c r="T17791" s="246">
        <f t="shared" si="316"/>
        <v>0</v>
      </c>
    </row>
    <row r="17792" spans="20:20" ht="18.75" customHeight="1" x14ac:dyDescent="0.35">
      <c r="T17792" s="246">
        <f t="shared" si="316"/>
        <v>0</v>
      </c>
    </row>
    <row r="17793" spans="20:20" ht="18.75" customHeight="1" x14ac:dyDescent="0.35">
      <c r="T17793" s="246">
        <f t="shared" si="316"/>
        <v>0</v>
      </c>
    </row>
    <row r="17794" spans="20:20" ht="18.75" customHeight="1" x14ac:dyDescent="0.35">
      <c r="T17794" s="246">
        <f t="shared" si="316"/>
        <v>0</v>
      </c>
    </row>
    <row r="17795" spans="20:20" ht="18.75" customHeight="1" x14ac:dyDescent="0.35">
      <c r="T17795" s="246">
        <f t="shared" si="316"/>
        <v>0</v>
      </c>
    </row>
    <row r="17796" spans="20:20" ht="18.75" customHeight="1" x14ac:dyDescent="0.35">
      <c r="T17796" s="246">
        <f t="shared" si="316"/>
        <v>0</v>
      </c>
    </row>
    <row r="17797" spans="20:20" ht="18.75" customHeight="1" x14ac:dyDescent="0.35">
      <c r="T17797" s="246">
        <f t="shared" si="316"/>
        <v>0</v>
      </c>
    </row>
    <row r="17798" spans="20:20" ht="18.75" customHeight="1" x14ac:dyDescent="0.35">
      <c r="T17798" s="246">
        <f t="shared" si="316"/>
        <v>0</v>
      </c>
    </row>
    <row r="17799" spans="20:20" ht="18.75" customHeight="1" x14ac:dyDescent="0.35">
      <c r="T17799" s="246">
        <f t="shared" si="316"/>
        <v>0</v>
      </c>
    </row>
    <row r="17800" spans="20:20" ht="18.75" customHeight="1" x14ac:dyDescent="0.35">
      <c r="T17800" s="246">
        <f t="shared" si="316"/>
        <v>0</v>
      </c>
    </row>
    <row r="17801" spans="20:20" ht="18.75" customHeight="1" x14ac:dyDescent="0.35">
      <c r="T17801" s="246">
        <f t="shared" si="316"/>
        <v>0</v>
      </c>
    </row>
    <row r="17802" spans="20:20" ht="18.75" customHeight="1" x14ac:dyDescent="0.35">
      <c r="T17802" s="246">
        <f t="shared" si="316"/>
        <v>0</v>
      </c>
    </row>
    <row r="17803" spans="20:20" ht="18.75" customHeight="1" x14ac:dyDescent="0.35">
      <c r="T17803" s="246">
        <f t="shared" si="316"/>
        <v>0</v>
      </c>
    </row>
    <row r="17804" spans="20:20" ht="18.75" customHeight="1" x14ac:dyDescent="0.35">
      <c r="T17804" s="246">
        <f t="shared" si="316"/>
        <v>0</v>
      </c>
    </row>
    <row r="17805" spans="20:20" ht="18.75" customHeight="1" x14ac:dyDescent="0.35">
      <c r="T17805" s="246">
        <f t="shared" si="316"/>
        <v>0</v>
      </c>
    </row>
    <row r="17806" spans="20:20" ht="18.75" customHeight="1" x14ac:dyDescent="0.35">
      <c r="T17806" s="246">
        <f t="shared" si="316"/>
        <v>0</v>
      </c>
    </row>
    <row r="17807" spans="20:20" ht="18.75" customHeight="1" x14ac:dyDescent="0.35">
      <c r="T17807" s="246">
        <f t="shared" si="316"/>
        <v>0</v>
      </c>
    </row>
    <row r="17808" spans="20:20" ht="18.75" customHeight="1" x14ac:dyDescent="0.35">
      <c r="T17808" s="246">
        <f t="shared" si="316"/>
        <v>0</v>
      </c>
    </row>
    <row r="17809" spans="20:20" ht="18.75" customHeight="1" x14ac:dyDescent="0.35">
      <c r="T17809" s="246">
        <f t="shared" si="316"/>
        <v>0</v>
      </c>
    </row>
    <row r="17810" spans="20:20" ht="18.75" customHeight="1" x14ac:dyDescent="0.35">
      <c r="T17810" s="246">
        <f t="shared" si="316"/>
        <v>0</v>
      </c>
    </row>
    <row r="17811" spans="20:20" ht="18.75" customHeight="1" x14ac:dyDescent="0.35">
      <c r="T17811" s="246">
        <f t="shared" si="316"/>
        <v>0</v>
      </c>
    </row>
    <row r="17812" spans="20:20" ht="18.75" customHeight="1" x14ac:dyDescent="0.35">
      <c r="T17812" s="246">
        <f t="shared" si="316"/>
        <v>0</v>
      </c>
    </row>
    <row r="17813" spans="20:20" ht="18.75" customHeight="1" x14ac:dyDescent="0.35">
      <c r="T17813" s="246">
        <f t="shared" si="316"/>
        <v>0</v>
      </c>
    </row>
    <row r="17814" spans="20:20" ht="18.75" customHeight="1" x14ac:dyDescent="0.35">
      <c r="T17814" s="246">
        <f t="shared" si="316"/>
        <v>0</v>
      </c>
    </row>
    <row r="17815" spans="20:20" ht="18.75" customHeight="1" x14ac:dyDescent="0.35">
      <c r="T17815" s="246">
        <f t="shared" si="316"/>
        <v>0</v>
      </c>
    </row>
    <row r="17816" spans="20:20" ht="18.75" customHeight="1" x14ac:dyDescent="0.35">
      <c r="T17816" s="246">
        <f t="shared" si="316"/>
        <v>0</v>
      </c>
    </row>
    <row r="17817" spans="20:20" ht="18.75" customHeight="1" x14ac:dyDescent="0.35">
      <c r="T17817" s="246">
        <f t="shared" si="316"/>
        <v>0</v>
      </c>
    </row>
    <row r="17818" spans="20:20" ht="18.75" customHeight="1" x14ac:dyDescent="0.35">
      <c r="T17818" s="246">
        <f t="shared" si="316"/>
        <v>0</v>
      </c>
    </row>
    <row r="17819" spans="20:20" ht="18.75" customHeight="1" x14ac:dyDescent="0.35">
      <c r="T17819" s="246">
        <f t="shared" si="316"/>
        <v>0</v>
      </c>
    </row>
    <row r="17820" spans="20:20" ht="18.75" customHeight="1" x14ac:dyDescent="0.35">
      <c r="T17820" s="246">
        <f t="shared" si="316"/>
        <v>0</v>
      </c>
    </row>
    <row r="17821" spans="20:20" ht="18.75" customHeight="1" x14ac:dyDescent="0.35">
      <c r="T17821" s="246">
        <f t="shared" si="316"/>
        <v>0</v>
      </c>
    </row>
    <row r="17822" spans="20:20" ht="18.75" customHeight="1" x14ac:dyDescent="0.35">
      <c r="T17822" s="246">
        <f t="shared" si="316"/>
        <v>0</v>
      </c>
    </row>
    <row r="17823" spans="20:20" ht="18.75" customHeight="1" x14ac:dyDescent="0.35">
      <c r="T17823" s="246">
        <f t="shared" si="316"/>
        <v>0</v>
      </c>
    </row>
    <row r="17824" spans="20:20" ht="18.75" customHeight="1" x14ac:dyDescent="0.35">
      <c r="T17824" s="246">
        <f t="shared" si="316"/>
        <v>0</v>
      </c>
    </row>
    <row r="17825" spans="20:20" ht="18.75" customHeight="1" x14ac:dyDescent="0.35">
      <c r="T17825" s="246">
        <f t="shared" si="316"/>
        <v>0</v>
      </c>
    </row>
    <row r="17826" spans="20:20" ht="18.75" customHeight="1" x14ac:dyDescent="0.35">
      <c r="T17826" s="246">
        <f t="shared" si="316"/>
        <v>0</v>
      </c>
    </row>
    <row r="17827" spans="20:20" ht="18.75" customHeight="1" x14ac:dyDescent="0.35">
      <c r="T17827" s="246">
        <f t="shared" si="316"/>
        <v>0</v>
      </c>
    </row>
    <row r="17828" spans="20:20" ht="18.75" customHeight="1" x14ac:dyDescent="0.35">
      <c r="T17828" s="246">
        <f t="shared" si="316"/>
        <v>0</v>
      </c>
    </row>
    <row r="17829" spans="20:20" ht="18.75" customHeight="1" x14ac:dyDescent="0.35">
      <c r="T17829" s="246">
        <f t="shared" si="316"/>
        <v>0</v>
      </c>
    </row>
    <row r="17830" spans="20:20" ht="18.75" customHeight="1" x14ac:dyDescent="0.35">
      <c r="T17830" s="246">
        <f t="shared" si="316"/>
        <v>0</v>
      </c>
    </row>
    <row r="17831" spans="20:20" ht="18.75" customHeight="1" x14ac:dyDescent="0.35">
      <c r="T17831" s="246">
        <f t="shared" si="316"/>
        <v>0</v>
      </c>
    </row>
    <row r="17832" spans="20:20" ht="18.75" customHeight="1" x14ac:dyDescent="0.35">
      <c r="T17832" s="246">
        <f t="shared" si="316"/>
        <v>0</v>
      </c>
    </row>
    <row r="17833" spans="20:20" ht="18.75" customHeight="1" x14ac:dyDescent="0.35">
      <c r="T17833" s="246">
        <f t="shared" si="316"/>
        <v>0</v>
      </c>
    </row>
    <row r="17834" spans="20:20" ht="18.75" customHeight="1" x14ac:dyDescent="0.35">
      <c r="T17834" s="246">
        <f t="shared" si="316"/>
        <v>0</v>
      </c>
    </row>
    <row r="17835" spans="20:20" ht="18.75" customHeight="1" x14ac:dyDescent="0.35">
      <c r="T17835" s="246">
        <f t="shared" si="316"/>
        <v>0</v>
      </c>
    </row>
    <row r="17836" spans="20:20" ht="18.75" customHeight="1" x14ac:dyDescent="0.35">
      <c r="T17836" s="246">
        <f t="shared" si="316"/>
        <v>0</v>
      </c>
    </row>
    <row r="17837" spans="20:20" ht="18.75" customHeight="1" x14ac:dyDescent="0.35">
      <c r="T17837" s="246">
        <f t="shared" si="316"/>
        <v>0</v>
      </c>
    </row>
    <row r="17838" spans="20:20" ht="18.75" customHeight="1" x14ac:dyDescent="0.35">
      <c r="T17838" s="246">
        <f t="shared" si="316"/>
        <v>0</v>
      </c>
    </row>
    <row r="17839" spans="20:20" ht="18.75" customHeight="1" x14ac:dyDescent="0.35">
      <c r="T17839" s="246">
        <f t="shared" si="316"/>
        <v>0</v>
      </c>
    </row>
    <row r="17840" spans="20:20" ht="18.75" customHeight="1" x14ac:dyDescent="0.35">
      <c r="T17840" s="246">
        <f t="shared" si="316"/>
        <v>0</v>
      </c>
    </row>
    <row r="17841" spans="20:20" ht="18.75" customHeight="1" x14ac:dyDescent="0.35">
      <c r="T17841" s="246">
        <f t="shared" si="316"/>
        <v>0</v>
      </c>
    </row>
    <row r="17842" spans="20:20" ht="18.75" customHeight="1" x14ac:dyDescent="0.35">
      <c r="T17842" s="246">
        <f t="shared" si="316"/>
        <v>0</v>
      </c>
    </row>
    <row r="17843" spans="20:20" ht="18.75" customHeight="1" x14ac:dyDescent="0.35">
      <c r="T17843" s="246">
        <f t="shared" si="316"/>
        <v>0</v>
      </c>
    </row>
    <row r="17844" spans="20:20" ht="18.75" customHeight="1" x14ac:dyDescent="0.35">
      <c r="T17844" s="246">
        <f t="shared" si="316"/>
        <v>0</v>
      </c>
    </row>
    <row r="17845" spans="20:20" ht="18.75" customHeight="1" x14ac:dyDescent="0.35">
      <c r="T17845" s="246">
        <f t="shared" si="316"/>
        <v>0</v>
      </c>
    </row>
    <row r="17846" spans="20:20" ht="18.75" customHeight="1" x14ac:dyDescent="0.35">
      <c r="T17846" s="246">
        <f t="shared" si="316"/>
        <v>0</v>
      </c>
    </row>
    <row r="17847" spans="20:20" ht="18.75" customHeight="1" x14ac:dyDescent="0.35">
      <c r="T17847" s="246">
        <f t="shared" si="316"/>
        <v>0</v>
      </c>
    </row>
    <row r="17848" spans="20:20" ht="18.75" customHeight="1" x14ac:dyDescent="0.35">
      <c r="T17848" s="246">
        <f t="shared" si="316"/>
        <v>0</v>
      </c>
    </row>
    <row r="17849" spans="20:20" ht="18.75" customHeight="1" x14ac:dyDescent="0.35">
      <c r="T17849" s="246">
        <f t="shared" si="316"/>
        <v>0</v>
      </c>
    </row>
    <row r="17850" spans="20:20" ht="18.75" customHeight="1" x14ac:dyDescent="0.35">
      <c r="T17850" s="246">
        <f t="shared" si="316"/>
        <v>0</v>
      </c>
    </row>
    <row r="17851" spans="20:20" ht="18.75" customHeight="1" x14ac:dyDescent="0.35">
      <c r="T17851" s="246">
        <f t="shared" si="316"/>
        <v>0</v>
      </c>
    </row>
    <row r="17852" spans="20:20" ht="18.75" customHeight="1" x14ac:dyDescent="0.35">
      <c r="T17852" s="246">
        <f t="shared" ref="T17852:T17915" si="317">R17852*0.01</f>
        <v>0</v>
      </c>
    </row>
    <row r="17853" spans="20:20" ht="18.75" customHeight="1" x14ac:dyDescent="0.35">
      <c r="T17853" s="246">
        <f t="shared" si="317"/>
        <v>0</v>
      </c>
    </row>
    <row r="17854" spans="20:20" ht="18.75" customHeight="1" x14ac:dyDescent="0.35">
      <c r="T17854" s="246">
        <f t="shared" si="317"/>
        <v>0</v>
      </c>
    </row>
    <row r="17855" spans="20:20" ht="18.75" customHeight="1" x14ac:dyDescent="0.35">
      <c r="T17855" s="246">
        <f t="shared" si="317"/>
        <v>0</v>
      </c>
    </row>
    <row r="17856" spans="20:20" ht="18.75" customHeight="1" x14ac:dyDescent="0.35">
      <c r="T17856" s="246">
        <f t="shared" si="317"/>
        <v>0</v>
      </c>
    </row>
    <row r="17857" spans="20:20" ht="18.75" customHeight="1" x14ac:dyDescent="0.35">
      <c r="T17857" s="246">
        <f t="shared" si="317"/>
        <v>0</v>
      </c>
    </row>
    <row r="17858" spans="20:20" ht="18.75" customHeight="1" x14ac:dyDescent="0.35">
      <c r="T17858" s="246">
        <f t="shared" si="317"/>
        <v>0</v>
      </c>
    </row>
    <row r="17859" spans="20:20" ht="18.75" customHeight="1" x14ac:dyDescent="0.35">
      <c r="T17859" s="246">
        <f t="shared" si="317"/>
        <v>0</v>
      </c>
    </row>
    <row r="17860" spans="20:20" ht="18.75" customHeight="1" x14ac:dyDescent="0.35">
      <c r="T17860" s="246">
        <f t="shared" si="317"/>
        <v>0</v>
      </c>
    </row>
    <row r="17861" spans="20:20" ht="18.75" customHeight="1" x14ac:dyDescent="0.35">
      <c r="T17861" s="246">
        <f t="shared" si="317"/>
        <v>0</v>
      </c>
    </row>
    <row r="17862" spans="20:20" ht="18.75" customHeight="1" x14ac:dyDescent="0.35">
      <c r="T17862" s="246">
        <f t="shared" si="317"/>
        <v>0</v>
      </c>
    </row>
    <row r="17863" spans="20:20" ht="18.75" customHeight="1" x14ac:dyDescent="0.35">
      <c r="T17863" s="246">
        <f t="shared" si="317"/>
        <v>0</v>
      </c>
    </row>
    <row r="17864" spans="20:20" ht="18.75" customHeight="1" x14ac:dyDescent="0.35">
      <c r="T17864" s="246">
        <f t="shared" si="317"/>
        <v>0</v>
      </c>
    </row>
    <row r="17865" spans="20:20" ht="18.75" customHeight="1" x14ac:dyDescent="0.35">
      <c r="T17865" s="246">
        <f t="shared" si="317"/>
        <v>0</v>
      </c>
    </row>
    <row r="17866" spans="20:20" ht="18.75" customHeight="1" x14ac:dyDescent="0.35">
      <c r="T17866" s="246">
        <f t="shared" si="317"/>
        <v>0</v>
      </c>
    </row>
    <row r="17867" spans="20:20" ht="18.75" customHeight="1" x14ac:dyDescent="0.35">
      <c r="T17867" s="246">
        <f t="shared" si="317"/>
        <v>0</v>
      </c>
    </row>
    <row r="17868" spans="20:20" ht="18.75" customHeight="1" x14ac:dyDescent="0.35">
      <c r="T17868" s="246">
        <f t="shared" si="317"/>
        <v>0</v>
      </c>
    </row>
    <row r="17869" spans="20:20" ht="18.75" customHeight="1" x14ac:dyDescent="0.35">
      <c r="T17869" s="246">
        <f t="shared" si="317"/>
        <v>0</v>
      </c>
    </row>
    <row r="17870" spans="20:20" ht="18.75" customHeight="1" x14ac:dyDescent="0.35">
      <c r="T17870" s="246">
        <f t="shared" si="317"/>
        <v>0</v>
      </c>
    </row>
    <row r="17871" spans="20:20" ht="18.75" customHeight="1" x14ac:dyDescent="0.35">
      <c r="T17871" s="246">
        <f t="shared" si="317"/>
        <v>0</v>
      </c>
    </row>
    <row r="17872" spans="20:20" ht="18.75" customHeight="1" x14ac:dyDescent="0.35">
      <c r="T17872" s="246">
        <f t="shared" si="317"/>
        <v>0</v>
      </c>
    </row>
    <row r="17873" spans="20:20" ht="18.75" customHeight="1" x14ac:dyDescent="0.35">
      <c r="T17873" s="246">
        <f t="shared" si="317"/>
        <v>0</v>
      </c>
    </row>
    <row r="17874" spans="20:20" ht="18.75" customHeight="1" x14ac:dyDescent="0.35">
      <c r="T17874" s="246">
        <f t="shared" si="317"/>
        <v>0</v>
      </c>
    </row>
    <row r="17875" spans="20:20" ht="18.75" customHeight="1" x14ac:dyDescent="0.35">
      <c r="T17875" s="246">
        <f t="shared" si="317"/>
        <v>0</v>
      </c>
    </row>
    <row r="17876" spans="20:20" ht="18.75" customHeight="1" x14ac:dyDescent="0.35">
      <c r="T17876" s="246">
        <f t="shared" si="317"/>
        <v>0</v>
      </c>
    </row>
    <row r="17877" spans="20:20" ht="18.75" customHeight="1" x14ac:dyDescent="0.35">
      <c r="T17877" s="246">
        <f t="shared" si="317"/>
        <v>0</v>
      </c>
    </row>
    <row r="17878" spans="20:20" ht="18.75" customHeight="1" x14ac:dyDescent="0.35">
      <c r="T17878" s="246">
        <f t="shared" si="317"/>
        <v>0</v>
      </c>
    </row>
    <row r="17879" spans="20:20" ht="18.75" customHeight="1" x14ac:dyDescent="0.35">
      <c r="T17879" s="246">
        <f t="shared" si="317"/>
        <v>0</v>
      </c>
    </row>
    <row r="17880" spans="20:20" ht="18.75" customHeight="1" x14ac:dyDescent="0.35">
      <c r="T17880" s="246">
        <f t="shared" si="317"/>
        <v>0</v>
      </c>
    </row>
    <row r="17881" spans="20:20" ht="18.75" customHeight="1" x14ac:dyDescent="0.35">
      <c r="T17881" s="246">
        <f t="shared" si="317"/>
        <v>0</v>
      </c>
    </row>
    <row r="17882" spans="20:20" ht="18.75" customHeight="1" x14ac:dyDescent="0.35">
      <c r="T17882" s="246">
        <f t="shared" si="317"/>
        <v>0</v>
      </c>
    </row>
    <row r="17883" spans="20:20" ht="18.75" customHeight="1" x14ac:dyDescent="0.35">
      <c r="T17883" s="246">
        <f t="shared" si="317"/>
        <v>0</v>
      </c>
    </row>
    <row r="17884" spans="20:20" ht="18.75" customHeight="1" x14ac:dyDescent="0.35">
      <c r="T17884" s="246">
        <f t="shared" si="317"/>
        <v>0</v>
      </c>
    </row>
    <row r="17885" spans="20:20" ht="18.75" customHeight="1" x14ac:dyDescent="0.35">
      <c r="T17885" s="246">
        <f t="shared" si="317"/>
        <v>0</v>
      </c>
    </row>
    <row r="17886" spans="20:20" ht="18.75" customHeight="1" x14ac:dyDescent="0.35">
      <c r="T17886" s="246">
        <f t="shared" si="317"/>
        <v>0</v>
      </c>
    </row>
    <row r="17887" spans="20:20" ht="18.75" customHeight="1" x14ac:dyDescent="0.35">
      <c r="T17887" s="246">
        <f t="shared" si="317"/>
        <v>0</v>
      </c>
    </row>
    <row r="17888" spans="20:20" ht="18.75" customHeight="1" x14ac:dyDescent="0.35">
      <c r="T17888" s="246">
        <f t="shared" si="317"/>
        <v>0</v>
      </c>
    </row>
    <row r="17889" spans="20:20" ht="18.75" customHeight="1" x14ac:dyDescent="0.35">
      <c r="T17889" s="246">
        <f t="shared" si="317"/>
        <v>0</v>
      </c>
    </row>
    <row r="17890" spans="20:20" ht="18.75" customHeight="1" x14ac:dyDescent="0.35">
      <c r="T17890" s="246">
        <f t="shared" si="317"/>
        <v>0</v>
      </c>
    </row>
    <row r="17891" spans="20:20" ht="18.75" customHeight="1" x14ac:dyDescent="0.35">
      <c r="T17891" s="246">
        <f t="shared" si="317"/>
        <v>0</v>
      </c>
    </row>
    <row r="17892" spans="20:20" ht="18.75" customHeight="1" x14ac:dyDescent="0.35">
      <c r="T17892" s="246">
        <f t="shared" si="317"/>
        <v>0</v>
      </c>
    </row>
    <row r="17893" spans="20:20" ht="18.75" customHeight="1" x14ac:dyDescent="0.35">
      <c r="T17893" s="246">
        <f t="shared" si="317"/>
        <v>0</v>
      </c>
    </row>
    <row r="17894" spans="20:20" ht="18.75" customHeight="1" x14ac:dyDescent="0.35">
      <c r="T17894" s="246">
        <f t="shared" si="317"/>
        <v>0</v>
      </c>
    </row>
    <row r="17895" spans="20:20" ht="18.75" customHeight="1" x14ac:dyDescent="0.35">
      <c r="T17895" s="246">
        <f t="shared" si="317"/>
        <v>0</v>
      </c>
    </row>
    <row r="17896" spans="20:20" ht="18.75" customHeight="1" x14ac:dyDescent="0.35">
      <c r="T17896" s="246">
        <f t="shared" si="317"/>
        <v>0</v>
      </c>
    </row>
    <row r="17897" spans="20:20" ht="18.75" customHeight="1" x14ac:dyDescent="0.35">
      <c r="T17897" s="246">
        <f t="shared" si="317"/>
        <v>0</v>
      </c>
    </row>
    <row r="17898" spans="20:20" ht="18.75" customHeight="1" x14ac:dyDescent="0.35">
      <c r="T17898" s="246">
        <f t="shared" si="317"/>
        <v>0</v>
      </c>
    </row>
    <row r="17899" spans="20:20" ht="18.75" customHeight="1" x14ac:dyDescent="0.35">
      <c r="T17899" s="246">
        <f t="shared" si="317"/>
        <v>0</v>
      </c>
    </row>
    <row r="17900" spans="20:20" ht="18.75" customHeight="1" x14ac:dyDescent="0.35">
      <c r="T17900" s="246">
        <f t="shared" si="317"/>
        <v>0</v>
      </c>
    </row>
    <row r="17901" spans="20:20" ht="18.75" customHeight="1" x14ac:dyDescent="0.35">
      <c r="T17901" s="246">
        <f t="shared" si="317"/>
        <v>0</v>
      </c>
    </row>
    <row r="17902" spans="20:20" ht="18.75" customHeight="1" x14ac:dyDescent="0.35">
      <c r="T17902" s="246">
        <f t="shared" si="317"/>
        <v>0</v>
      </c>
    </row>
    <row r="17903" spans="20:20" ht="18.75" customHeight="1" x14ac:dyDescent="0.35">
      <c r="T17903" s="246">
        <f t="shared" si="317"/>
        <v>0</v>
      </c>
    </row>
    <row r="17904" spans="20:20" ht="18.75" customHeight="1" x14ac:dyDescent="0.35">
      <c r="T17904" s="246">
        <f t="shared" si="317"/>
        <v>0</v>
      </c>
    </row>
    <row r="17905" spans="20:20" ht="18.75" customHeight="1" x14ac:dyDescent="0.35">
      <c r="T17905" s="246">
        <f t="shared" si="317"/>
        <v>0</v>
      </c>
    </row>
    <row r="17906" spans="20:20" ht="18.75" customHeight="1" x14ac:dyDescent="0.35">
      <c r="T17906" s="246">
        <f t="shared" si="317"/>
        <v>0</v>
      </c>
    </row>
    <row r="17907" spans="20:20" ht="18.75" customHeight="1" x14ac:dyDescent="0.35">
      <c r="T17907" s="246">
        <f t="shared" si="317"/>
        <v>0</v>
      </c>
    </row>
    <row r="17908" spans="20:20" ht="18.75" customHeight="1" x14ac:dyDescent="0.35">
      <c r="T17908" s="246">
        <f t="shared" si="317"/>
        <v>0</v>
      </c>
    </row>
    <row r="17909" spans="20:20" ht="18.75" customHeight="1" x14ac:dyDescent="0.35">
      <c r="T17909" s="246">
        <f t="shared" si="317"/>
        <v>0</v>
      </c>
    </row>
    <row r="17910" spans="20:20" ht="18.75" customHeight="1" x14ac:dyDescent="0.35">
      <c r="T17910" s="246">
        <f t="shared" si="317"/>
        <v>0</v>
      </c>
    </row>
    <row r="17911" spans="20:20" ht="18.75" customHeight="1" x14ac:dyDescent="0.35">
      <c r="T17911" s="246">
        <f t="shared" si="317"/>
        <v>0</v>
      </c>
    </row>
    <row r="17912" spans="20:20" ht="18.75" customHeight="1" x14ac:dyDescent="0.35">
      <c r="T17912" s="246">
        <f t="shared" si="317"/>
        <v>0</v>
      </c>
    </row>
    <row r="17913" spans="20:20" ht="18.75" customHeight="1" x14ac:dyDescent="0.35">
      <c r="T17913" s="246">
        <f t="shared" si="317"/>
        <v>0</v>
      </c>
    </row>
    <row r="17914" spans="20:20" ht="18.75" customHeight="1" x14ac:dyDescent="0.35">
      <c r="T17914" s="246">
        <f t="shared" si="317"/>
        <v>0</v>
      </c>
    </row>
    <row r="17915" spans="20:20" ht="18.75" customHeight="1" x14ac:dyDescent="0.35">
      <c r="T17915" s="246">
        <f t="shared" si="317"/>
        <v>0</v>
      </c>
    </row>
    <row r="17916" spans="20:20" ht="18.75" customHeight="1" x14ac:dyDescent="0.35">
      <c r="T17916" s="246">
        <f t="shared" ref="T17916:T17979" si="318">R17916*0.01</f>
        <v>0</v>
      </c>
    </row>
    <row r="17917" spans="20:20" ht="18.75" customHeight="1" x14ac:dyDescent="0.35">
      <c r="T17917" s="246">
        <f t="shared" si="318"/>
        <v>0</v>
      </c>
    </row>
    <row r="17918" spans="20:20" ht="18.75" customHeight="1" x14ac:dyDescent="0.35">
      <c r="T17918" s="246">
        <f t="shared" si="318"/>
        <v>0</v>
      </c>
    </row>
    <row r="17919" spans="20:20" ht="18.75" customHeight="1" x14ac:dyDescent="0.35">
      <c r="T17919" s="246">
        <f t="shared" si="318"/>
        <v>0</v>
      </c>
    </row>
    <row r="17920" spans="20:20" ht="18.75" customHeight="1" x14ac:dyDescent="0.35">
      <c r="T17920" s="246">
        <f t="shared" si="318"/>
        <v>0</v>
      </c>
    </row>
    <row r="17921" spans="20:20" ht="18.75" customHeight="1" x14ac:dyDescent="0.35">
      <c r="T17921" s="246">
        <f t="shared" si="318"/>
        <v>0</v>
      </c>
    </row>
    <row r="17922" spans="20:20" ht="18.75" customHeight="1" x14ac:dyDescent="0.35">
      <c r="T17922" s="246">
        <f t="shared" si="318"/>
        <v>0</v>
      </c>
    </row>
    <row r="17923" spans="20:20" ht="18.75" customHeight="1" x14ac:dyDescent="0.35">
      <c r="T17923" s="246">
        <f t="shared" si="318"/>
        <v>0</v>
      </c>
    </row>
    <row r="17924" spans="20:20" ht="18.75" customHeight="1" x14ac:dyDescent="0.35">
      <c r="T17924" s="246">
        <f t="shared" si="318"/>
        <v>0</v>
      </c>
    </row>
    <row r="17925" spans="20:20" ht="18.75" customHeight="1" x14ac:dyDescent="0.35">
      <c r="T17925" s="246">
        <f t="shared" si="318"/>
        <v>0</v>
      </c>
    </row>
    <row r="17926" spans="20:20" ht="18.75" customHeight="1" x14ac:dyDescent="0.35">
      <c r="T17926" s="246">
        <f t="shared" si="318"/>
        <v>0</v>
      </c>
    </row>
    <row r="17927" spans="20:20" ht="18.75" customHeight="1" x14ac:dyDescent="0.35">
      <c r="T17927" s="246">
        <f t="shared" si="318"/>
        <v>0</v>
      </c>
    </row>
    <row r="17928" spans="20:20" ht="18.75" customHeight="1" x14ac:dyDescent="0.35">
      <c r="T17928" s="246">
        <f t="shared" si="318"/>
        <v>0</v>
      </c>
    </row>
    <row r="17929" spans="20:20" ht="18.75" customHeight="1" x14ac:dyDescent="0.35">
      <c r="T17929" s="246">
        <f t="shared" si="318"/>
        <v>0</v>
      </c>
    </row>
    <row r="17930" spans="20:20" ht="18.75" customHeight="1" x14ac:dyDescent="0.35">
      <c r="T17930" s="246">
        <f t="shared" si="318"/>
        <v>0</v>
      </c>
    </row>
    <row r="17931" spans="20:20" ht="18.75" customHeight="1" x14ac:dyDescent="0.35">
      <c r="T17931" s="246">
        <f t="shared" si="318"/>
        <v>0</v>
      </c>
    </row>
    <row r="17932" spans="20:20" ht="18.75" customHeight="1" x14ac:dyDescent="0.35">
      <c r="T17932" s="246">
        <f t="shared" si="318"/>
        <v>0</v>
      </c>
    </row>
    <row r="17933" spans="20:20" ht="18.75" customHeight="1" x14ac:dyDescent="0.35">
      <c r="T17933" s="246">
        <f t="shared" si="318"/>
        <v>0</v>
      </c>
    </row>
    <row r="17934" spans="20:20" ht="18.75" customHeight="1" x14ac:dyDescent="0.35">
      <c r="T17934" s="246">
        <f t="shared" si="318"/>
        <v>0</v>
      </c>
    </row>
    <row r="17935" spans="20:20" ht="18.75" customHeight="1" x14ac:dyDescent="0.35">
      <c r="T17935" s="246">
        <f t="shared" si="318"/>
        <v>0</v>
      </c>
    </row>
    <row r="17936" spans="20:20" ht="18.75" customHeight="1" x14ac:dyDescent="0.35">
      <c r="T17936" s="246">
        <f t="shared" si="318"/>
        <v>0</v>
      </c>
    </row>
    <row r="17937" spans="20:20" ht="18.75" customHeight="1" x14ac:dyDescent="0.35">
      <c r="T17937" s="246">
        <f t="shared" si="318"/>
        <v>0</v>
      </c>
    </row>
    <row r="17938" spans="20:20" ht="18.75" customHeight="1" x14ac:dyDescent="0.35">
      <c r="T17938" s="246">
        <f t="shared" si="318"/>
        <v>0</v>
      </c>
    </row>
    <row r="17939" spans="20:20" ht="18.75" customHeight="1" x14ac:dyDescent="0.35">
      <c r="T17939" s="246">
        <f t="shared" si="318"/>
        <v>0</v>
      </c>
    </row>
    <row r="17940" spans="20:20" ht="18.75" customHeight="1" x14ac:dyDescent="0.35">
      <c r="T17940" s="246">
        <f t="shared" si="318"/>
        <v>0</v>
      </c>
    </row>
    <row r="17941" spans="20:20" ht="18.75" customHeight="1" x14ac:dyDescent="0.35">
      <c r="T17941" s="246">
        <f t="shared" si="318"/>
        <v>0</v>
      </c>
    </row>
    <row r="17942" spans="20:20" ht="18.75" customHeight="1" x14ac:dyDescent="0.35">
      <c r="T17942" s="246">
        <f t="shared" si="318"/>
        <v>0</v>
      </c>
    </row>
    <row r="17943" spans="20:20" ht="18.75" customHeight="1" x14ac:dyDescent="0.35">
      <c r="T17943" s="246">
        <f t="shared" si="318"/>
        <v>0</v>
      </c>
    </row>
    <row r="17944" spans="20:20" ht="18.75" customHeight="1" x14ac:dyDescent="0.35">
      <c r="T17944" s="246">
        <f t="shared" si="318"/>
        <v>0</v>
      </c>
    </row>
    <row r="17945" spans="20:20" ht="18.75" customHeight="1" x14ac:dyDescent="0.35">
      <c r="T17945" s="246">
        <f t="shared" si="318"/>
        <v>0</v>
      </c>
    </row>
    <row r="17946" spans="20:20" ht="18.75" customHeight="1" x14ac:dyDescent="0.35">
      <c r="T17946" s="246">
        <f t="shared" si="318"/>
        <v>0</v>
      </c>
    </row>
    <row r="17947" spans="20:20" ht="18.75" customHeight="1" x14ac:dyDescent="0.35">
      <c r="T17947" s="246">
        <f t="shared" si="318"/>
        <v>0</v>
      </c>
    </row>
    <row r="17948" spans="20:20" ht="18.75" customHeight="1" x14ac:dyDescent="0.35">
      <c r="T17948" s="246">
        <f t="shared" si="318"/>
        <v>0</v>
      </c>
    </row>
    <row r="17949" spans="20:20" ht="18.75" customHeight="1" x14ac:dyDescent="0.35">
      <c r="T17949" s="246">
        <f t="shared" si="318"/>
        <v>0</v>
      </c>
    </row>
    <row r="17950" spans="20:20" ht="18.75" customHeight="1" x14ac:dyDescent="0.35">
      <c r="T17950" s="246">
        <f t="shared" si="318"/>
        <v>0</v>
      </c>
    </row>
    <row r="17951" spans="20:20" ht="18.75" customHeight="1" x14ac:dyDescent="0.35">
      <c r="T17951" s="246">
        <f t="shared" si="318"/>
        <v>0</v>
      </c>
    </row>
    <row r="17952" spans="20:20" ht="18.75" customHeight="1" x14ac:dyDescent="0.35">
      <c r="T17952" s="246">
        <f t="shared" si="318"/>
        <v>0</v>
      </c>
    </row>
    <row r="17953" spans="20:20" ht="18.75" customHeight="1" x14ac:dyDescent="0.35">
      <c r="T17953" s="246">
        <f t="shared" si="318"/>
        <v>0</v>
      </c>
    </row>
    <row r="17954" spans="20:20" ht="18.75" customHeight="1" x14ac:dyDescent="0.35">
      <c r="T17954" s="246">
        <f t="shared" si="318"/>
        <v>0</v>
      </c>
    </row>
    <row r="17955" spans="20:20" ht="18.75" customHeight="1" x14ac:dyDescent="0.35">
      <c r="T17955" s="246">
        <f t="shared" si="318"/>
        <v>0</v>
      </c>
    </row>
    <row r="17956" spans="20:20" ht="18.75" customHeight="1" x14ac:dyDescent="0.35">
      <c r="T17956" s="246">
        <f t="shared" si="318"/>
        <v>0</v>
      </c>
    </row>
    <row r="17957" spans="20:20" ht="18.75" customHeight="1" x14ac:dyDescent="0.35">
      <c r="T17957" s="246">
        <f t="shared" si="318"/>
        <v>0</v>
      </c>
    </row>
    <row r="17958" spans="20:20" ht="18.75" customHeight="1" x14ac:dyDescent="0.35">
      <c r="T17958" s="246">
        <f t="shared" si="318"/>
        <v>0</v>
      </c>
    </row>
    <row r="17959" spans="20:20" ht="18.75" customHeight="1" x14ac:dyDescent="0.35">
      <c r="T17959" s="246">
        <f t="shared" si="318"/>
        <v>0</v>
      </c>
    </row>
    <row r="17960" spans="20:20" ht="18.75" customHeight="1" x14ac:dyDescent="0.35">
      <c r="T17960" s="246">
        <f t="shared" si="318"/>
        <v>0</v>
      </c>
    </row>
    <row r="17961" spans="20:20" ht="18.75" customHeight="1" x14ac:dyDescent="0.35">
      <c r="T17961" s="246">
        <f t="shared" si="318"/>
        <v>0</v>
      </c>
    </row>
    <row r="17962" spans="20:20" ht="18.75" customHeight="1" x14ac:dyDescent="0.35">
      <c r="T17962" s="246">
        <f t="shared" si="318"/>
        <v>0</v>
      </c>
    </row>
    <row r="17963" spans="20:20" ht="18.75" customHeight="1" x14ac:dyDescent="0.35">
      <c r="T17963" s="246">
        <f t="shared" si="318"/>
        <v>0</v>
      </c>
    </row>
    <row r="17964" spans="20:20" ht="18.75" customHeight="1" x14ac:dyDescent="0.35">
      <c r="T17964" s="246">
        <f t="shared" si="318"/>
        <v>0</v>
      </c>
    </row>
    <row r="17965" spans="20:20" ht="18.75" customHeight="1" x14ac:dyDescent="0.35">
      <c r="T17965" s="246">
        <f t="shared" si="318"/>
        <v>0</v>
      </c>
    </row>
    <row r="17966" spans="20:20" ht="18.75" customHeight="1" x14ac:dyDescent="0.35">
      <c r="T17966" s="246">
        <f t="shared" si="318"/>
        <v>0</v>
      </c>
    </row>
    <row r="17967" spans="20:20" ht="18.75" customHeight="1" x14ac:dyDescent="0.35">
      <c r="T17967" s="246">
        <f t="shared" si="318"/>
        <v>0</v>
      </c>
    </row>
    <row r="17968" spans="20:20" ht="18.75" customHeight="1" x14ac:dyDescent="0.35">
      <c r="T17968" s="246">
        <f t="shared" si="318"/>
        <v>0</v>
      </c>
    </row>
    <row r="17969" spans="20:20" ht="18.75" customHeight="1" x14ac:dyDescent="0.35">
      <c r="T17969" s="246">
        <f t="shared" si="318"/>
        <v>0</v>
      </c>
    </row>
    <row r="17970" spans="20:20" ht="18.75" customHeight="1" x14ac:dyDescent="0.35">
      <c r="T17970" s="246">
        <f t="shared" si="318"/>
        <v>0</v>
      </c>
    </row>
    <row r="17971" spans="20:20" ht="18.75" customHeight="1" x14ac:dyDescent="0.35">
      <c r="T17971" s="246">
        <f t="shared" si="318"/>
        <v>0</v>
      </c>
    </row>
    <row r="17972" spans="20:20" ht="18.75" customHeight="1" x14ac:dyDescent="0.35">
      <c r="T17972" s="246">
        <f t="shared" si="318"/>
        <v>0</v>
      </c>
    </row>
    <row r="17973" spans="20:20" ht="18.75" customHeight="1" x14ac:dyDescent="0.35">
      <c r="T17973" s="246">
        <f t="shared" si="318"/>
        <v>0</v>
      </c>
    </row>
    <row r="17974" spans="20:20" ht="18.75" customHeight="1" x14ac:dyDescent="0.35">
      <c r="T17974" s="246">
        <f t="shared" si="318"/>
        <v>0</v>
      </c>
    </row>
    <row r="17975" spans="20:20" ht="18.75" customHeight="1" x14ac:dyDescent="0.35">
      <c r="T17975" s="246">
        <f t="shared" si="318"/>
        <v>0</v>
      </c>
    </row>
    <row r="17976" spans="20:20" ht="18.75" customHeight="1" x14ac:dyDescent="0.35">
      <c r="T17976" s="246">
        <f t="shared" si="318"/>
        <v>0</v>
      </c>
    </row>
    <row r="17977" spans="20:20" ht="18.75" customHeight="1" x14ac:dyDescent="0.35">
      <c r="T17977" s="246">
        <f t="shared" si="318"/>
        <v>0</v>
      </c>
    </row>
    <row r="17978" spans="20:20" ht="18.75" customHeight="1" x14ac:dyDescent="0.35">
      <c r="T17978" s="246">
        <f t="shared" si="318"/>
        <v>0</v>
      </c>
    </row>
    <row r="17979" spans="20:20" ht="18.75" customHeight="1" x14ac:dyDescent="0.35">
      <c r="T17979" s="246">
        <f t="shared" si="318"/>
        <v>0</v>
      </c>
    </row>
    <row r="17980" spans="20:20" ht="18.75" customHeight="1" x14ac:dyDescent="0.35">
      <c r="T17980" s="246">
        <f t="shared" ref="T17980:T18043" si="319">R17980*0.01</f>
        <v>0</v>
      </c>
    </row>
    <row r="17981" spans="20:20" ht="18.75" customHeight="1" x14ac:dyDescent="0.35">
      <c r="T17981" s="246">
        <f t="shared" si="319"/>
        <v>0</v>
      </c>
    </row>
    <row r="17982" spans="20:20" ht="18.75" customHeight="1" x14ac:dyDescent="0.35">
      <c r="T17982" s="246">
        <f t="shared" si="319"/>
        <v>0</v>
      </c>
    </row>
    <row r="17983" spans="20:20" ht="18.75" customHeight="1" x14ac:dyDescent="0.35">
      <c r="T17983" s="246">
        <f t="shared" si="319"/>
        <v>0</v>
      </c>
    </row>
    <row r="17984" spans="20:20" ht="18.75" customHeight="1" x14ac:dyDescent="0.35">
      <c r="T17984" s="246">
        <f t="shared" si="319"/>
        <v>0</v>
      </c>
    </row>
    <row r="17985" spans="20:20" ht="18.75" customHeight="1" x14ac:dyDescent="0.35">
      <c r="T17985" s="246">
        <f t="shared" si="319"/>
        <v>0</v>
      </c>
    </row>
    <row r="17986" spans="20:20" ht="18.75" customHeight="1" x14ac:dyDescent="0.35">
      <c r="T17986" s="246">
        <f t="shared" si="319"/>
        <v>0</v>
      </c>
    </row>
    <row r="17987" spans="20:20" ht="18.75" customHeight="1" x14ac:dyDescent="0.35">
      <c r="T17987" s="246">
        <f t="shared" si="319"/>
        <v>0</v>
      </c>
    </row>
    <row r="17988" spans="20:20" ht="18.75" customHeight="1" x14ac:dyDescent="0.35">
      <c r="T17988" s="246">
        <f t="shared" si="319"/>
        <v>0</v>
      </c>
    </row>
    <row r="17989" spans="20:20" ht="18.75" customHeight="1" x14ac:dyDescent="0.35">
      <c r="T17989" s="246">
        <f t="shared" si="319"/>
        <v>0</v>
      </c>
    </row>
    <row r="17990" spans="20:20" ht="18.75" customHeight="1" x14ac:dyDescent="0.35">
      <c r="T17990" s="246">
        <f t="shared" si="319"/>
        <v>0</v>
      </c>
    </row>
    <row r="17991" spans="20:20" ht="18.75" customHeight="1" x14ac:dyDescent="0.35">
      <c r="T17991" s="246">
        <f t="shared" si="319"/>
        <v>0</v>
      </c>
    </row>
    <row r="17992" spans="20:20" ht="18.75" customHeight="1" x14ac:dyDescent="0.35">
      <c r="T17992" s="246">
        <f t="shared" si="319"/>
        <v>0</v>
      </c>
    </row>
    <row r="17993" spans="20:20" ht="18.75" customHeight="1" x14ac:dyDescent="0.35">
      <c r="T17993" s="246">
        <f t="shared" si="319"/>
        <v>0</v>
      </c>
    </row>
    <row r="17994" spans="20:20" ht="18.75" customHeight="1" x14ac:dyDescent="0.35">
      <c r="T17994" s="246">
        <f t="shared" si="319"/>
        <v>0</v>
      </c>
    </row>
    <row r="17995" spans="20:20" ht="18.75" customHeight="1" x14ac:dyDescent="0.35">
      <c r="T17995" s="246">
        <f t="shared" si="319"/>
        <v>0</v>
      </c>
    </row>
    <row r="17996" spans="20:20" ht="18.75" customHeight="1" x14ac:dyDescent="0.35">
      <c r="T17996" s="246">
        <f t="shared" si="319"/>
        <v>0</v>
      </c>
    </row>
    <row r="17997" spans="20:20" ht="18.75" customHeight="1" x14ac:dyDescent="0.35">
      <c r="T17997" s="246">
        <f t="shared" si="319"/>
        <v>0</v>
      </c>
    </row>
    <row r="17998" spans="20:20" ht="18.75" customHeight="1" x14ac:dyDescent="0.35">
      <c r="T17998" s="246">
        <f t="shared" si="319"/>
        <v>0</v>
      </c>
    </row>
    <row r="17999" spans="20:20" ht="18.75" customHeight="1" x14ac:dyDescent="0.35">
      <c r="T17999" s="246">
        <f t="shared" si="319"/>
        <v>0</v>
      </c>
    </row>
    <row r="18000" spans="20:20" ht="18.75" customHeight="1" x14ac:dyDescent="0.35">
      <c r="T18000" s="246">
        <f t="shared" si="319"/>
        <v>0</v>
      </c>
    </row>
    <row r="18001" spans="20:20" ht="18.75" customHeight="1" x14ac:dyDescent="0.35">
      <c r="T18001" s="246">
        <f t="shared" si="319"/>
        <v>0</v>
      </c>
    </row>
    <row r="18002" spans="20:20" ht="18.75" customHeight="1" x14ac:dyDescent="0.35">
      <c r="T18002" s="246">
        <f t="shared" si="319"/>
        <v>0</v>
      </c>
    </row>
    <row r="18003" spans="20:20" ht="18.75" customHeight="1" x14ac:dyDescent="0.35">
      <c r="T18003" s="246">
        <f t="shared" si="319"/>
        <v>0</v>
      </c>
    </row>
    <row r="18004" spans="20:20" ht="18.75" customHeight="1" x14ac:dyDescent="0.35">
      <c r="T18004" s="246">
        <f t="shared" si="319"/>
        <v>0</v>
      </c>
    </row>
    <row r="18005" spans="20:20" ht="18.75" customHeight="1" x14ac:dyDescent="0.35">
      <c r="T18005" s="246">
        <f t="shared" si="319"/>
        <v>0</v>
      </c>
    </row>
    <row r="18006" spans="20:20" ht="18.75" customHeight="1" x14ac:dyDescent="0.35">
      <c r="T18006" s="246">
        <f t="shared" si="319"/>
        <v>0</v>
      </c>
    </row>
    <row r="18007" spans="20:20" ht="18.75" customHeight="1" x14ac:dyDescent="0.35">
      <c r="T18007" s="246">
        <f t="shared" si="319"/>
        <v>0</v>
      </c>
    </row>
    <row r="18008" spans="20:20" ht="18.75" customHeight="1" x14ac:dyDescent="0.35">
      <c r="T18008" s="246">
        <f t="shared" si="319"/>
        <v>0</v>
      </c>
    </row>
    <row r="18009" spans="20:20" ht="18.75" customHeight="1" x14ac:dyDescent="0.35">
      <c r="T18009" s="246">
        <f t="shared" si="319"/>
        <v>0</v>
      </c>
    </row>
    <row r="18010" spans="20:20" ht="18.75" customHeight="1" x14ac:dyDescent="0.35">
      <c r="T18010" s="246">
        <f t="shared" si="319"/>
        <v>0</v>
      </c>
    </row>
    <row r="18011" spans="20:20" ht="18.75" customHeight="1" x14ac:dyDescent="0.35">
      <c r="T18011" s="246">
        <f t="shared" si="319"/>
        <v>0</v>
      </c>
    </row>
    <row r="18012" spans="20:20" ht="18.75" customHeight="1" x14ac:dyDescent="0.35">
      <c r="T18012" s="246">
        <f t="shared" si="319"/>
        <v>0</v>
      </c>
    </row>
    <row r="18013" spans="20:20" ht="18.75" customHeight="1" x14ac:dyDescent="0.35">
      <c r="T18013" s="246">
        <f t="shared" si="319"/>
        <v>0</v>
      </c>
    </row>
    <row r="18014" spans="20:20" ht="18.75" customHeight="1" x14ac:dyDescent="0.35">
      <c r="T18014" s="246">
        <f t="shared" si="319"/>
        <v>0</v>
      </c>
    </row>
    <row r="18015" spans="20:20" ht="18.75" customHeight="1" x14ac:dyDescent="0.35">
      <c r="T18015" s="246">
        <f t="shared" si="319"/>
        <v>0</v>
      </c>
    </row>
    <row r="18016" spans="20:20" ht="18.75" customHeight="1" x14ac:dyDescent="0.35">
      <c r="T18016" s="246">
        <f t="shared" si="319"/>
        <v>0</v>
      </c>
    </row>
    <row r="18017" spans="20:20" ht="18.75" customHeight="1" x14ac:dyDescent="0.35">
      <c r="T18017" s="246">
        <f t="shared" si="319"/>
        <v>0</v>
      </c>
    </row>
    <row r="18018" spans="20:20" ht="18.75" customHeight="1" x14ac:dyDescent="0.35">
      <c r="T18018" s="246">
        <f t="shared" si="319"/>
        <v>0</v>
      </c>
    </row>
    <row r="18019" spans="20:20" ht="18.75" customHeight="1" x14ac:dyDescent="0.35">
      <c r="T18019" s="246">
        <f t="shared" si="319"/>
        <v>0</v>
      </c>
    </row>
    <row r="18020" spans="20:20" ht="18.75" customHeight="1" x14ac:dyDescent="0.35">
      <c r="T18020" s="246">
        <f t="shared" si="319"/>
        <v>0</v>
      </c>
    </row>
    <row r="18021" spans="20:20" ht="18.75" customHeight="1" x14ac:dyDescent="0.35">
      <c r="T18021" s="246">
        <f t="shared" si="319"/>
        <v>0</v>
      </c>
    </row>
    <row r="18022" spans="20:20" ht="18.75" customHeight="1" x14ac:dyDescent="0.35">
      <c r="T18022" s="246">
        <f t="shared" si="319"/>
        <v>0</v>
      </c>
    </row>
    <row r="18023" spans="20:20" ht="18.75" customHeight="1" x14ac:dyDescent="0.35">
      <c r="T18023" s="246">
        <f t="shared" si="319"/>
        <v>0</v>
      </c>
    </row>
    <row r="18024" spans="20:20" ht="18.75" customHeight="1" x14ac:dyDescent="0.35">
      <c r="T18024" s="246">
        <f t="shared" si="319"/>
        <v>0</v>
      </c>
    </row>
    <row r="18025" spans="20:20" ht="18.75" customHeight="1" x14ac:dyDescent="0.35">
      <c r="T18025" s="246">
        <f t="shared" si="319"/>
        <v>0</v>
      </c>
    </row>
    <row r="18026" spans="20:20" ht="18.75" customHeight="1" x14ac:dyDescent="0.35">
      <c r="T18026" s="246">
        <f t="shared" si="319"/>
        <v>0</v>
      </c>
    </row>
    <row r="18027" spans="20:20" ht="18.75" customHeight="1" x14ac:dyDescent="0.35">
      <c r="T18027" s="246">
        <f t="shared" si="319"/>
        <v>0</v>
      </c>
    </row>
    <row r="18028" spans="20:20" ht="18.75" customHeight="1" x14ac:dyDescent="0.35">
      <c r="T18028" s="246">
        <f t="shared" si="319"/>
        <v>0</v>
      </c>
    </row>
    <row r="18029" spans="20:20" ht="18.75" customHeight="1" x14ac:dyDescent="0.35">
      <c r="T18029" s="246">
        <f t="shared" si="319"/>
        <v>0</v>
      </c>
    </row>
    <row r="18030" spans="20:20" ht="18.75" customHeight="1" x14ac:dyDescent="0.35">
      <c r="T18030" s="246">
        <f t="shared" si="319"/>
        <v>0</v>
      </c>
    </row>
    <row r="18031" spans="20:20" ht="18.75" customHeight="1" x14ac:dyDescent="0.35">
      <c r="T18031" s="246">
        <f t="shared" si="319"/>
        <v>0</v>
      </c>
    </row>
    <row r="18032" spans="20:20" ht="18.75" customHeight="1" x14ac:dyDescent="0.35">
      <c r="T18032" s="246">
        <f t="shared" si="319"/>
        <v>0</v>
      </c>
    </row>
    <row r="18033" spans="20:20" ht="18.75" customHeight="1" x14ac:dyDescent="0.35">
      <c r="T18033" s="246">
        <f t="shared" si="319"/>
        <v>0</v>
      </c>
    </row>
    <row r="18034" spans="20:20" ht="18.75" customHeight="1" x14ac:dyDescent="0.35">
      <c r="T18034" s="246">
        <f t="shared" si="319"/>
        <v>0</v>
      </c>
    </row>
    <row r="18035" spans="20:20" ht="18.75" customHeight="1" x14ac:dyDescent="0.35">
      <c r="T18035" s="246">
        <f t="shared" si="319"/>
        <v>0</v>
      </c>
    </row>
    <row r="18036" spans="20:20" ht="18.75" customHeight="1" x14ac:dyDescent="0.35">
      <c r="T18036" s="246">
        <f t="shared" si="319"/>
        <v>0</v>
      </c>
    </row>
    <row r="18037" spans="20:20" ht="18.75" customHeight="1" x14ac:dyDescent="0.35">
      <c r="T18037" s="246">
        <f t="shared" si="319"/>
        <v>0</v>
      </c>
    </row>
    <row r="18038" spans="20:20" ht="18.75" customHeight="1" x14ac:dyDescent="0.35">
      <c r="T18038" s="246">
        <f t="shared" si="319"/>
        <v>0</v>
      </c>
    </row>
    <row r="18039" spans="20:20" ht="18.75" customHeight="1" x14ac:dyDescent="0.35">
      <c r="T18039" s="246">
        <f t="shared" si="319"/>
        <v>0</v>
      </c>
    </row>
    <row r="18040" spans="20:20" ht="18.75" customHeight="1" x14ac:dyDescent="0.35">
      <c r="T18040" s="246">
        <f t="shared" si="319"/>
        <v>0</v>
      </c>
    </row>
    <row r="18041" spans="20:20" ht="18.75" customHeight="1" x14ac:dyDescent="0.35">
      <c r="T18041" s="246">
        <f t="shared" si="319"/>
        <v>0</v>
      </c>
    </row>
    <row r="18042" spans="20:20" ht="18.75" customHeight="1" x14ac:dyDescent="0.35">
      <c r="T18042" s="246">
        <f t="shared" si="319"/>
        <v>0</v>
      </c>
    </row>
    <row r="18043" spans="20:20" ht="18.75" customHeight="1" x14ac:dyDescent="0.35">
      <c r="T18043" s="246">
        <f t="shared" si="319"/>
        <v>0</v>
      </c>
    </row>
    <row r="18044" spans="20:20" ht="18.75" customHeight="1" x14ac:dyDescent="0.35">
      <c r="T18044" s="246">
        <f t="shared" ref="T18044:T18107" si="320">R18044*0.01</f>
        <v>0</v>
      </c>
    </row>
    <row r="18045" spans="20:20" ht="18.75" customHeight="1" x14ac:dyDescent="0.35">
      <c r="T18045" s="246">
        <f t="shared" si="320"/>
        <v>0</v>
      </c>
    </row>
    <row r="18046" spans="20:20" ht="18.75" customHeight="1" x14ac:dyDescent="0.35">
      <c r="T18046" s="246">
        <f t="shared" si="320"/>
        <v>0</v>
      </c>
    </row>
    <row r="18047" spans="20:20" ht="18.75" customHeight="1" x14ac:dyDescent="0.35">
      <c r="T18047" s="246">
        <f t="shared" si="320"/>
        <v>0</v>
      </c>
    </row>
    <row r="18048" spans="20:20" ht="18.75" customHeight="1" x14ac:dyDescent="0.35">
      <c r="T18048" s="246">
        <f t="shared" si="320"/>
        <v>0</v>
      </c>
    </row>
    <row r="18049" spans="20:20" ht="18.75" customHeight="1" x14ac:dyDescent="0.35">
      <c r="T18049" s="246">
        <f t="shared" si="320"/>
        <v>0</v>
      </c>
    </row>
    <row r="18050" spans="20:20" ht="18.75" customHeight="1" x14ac:dyDescent="0.35">
      <c r="T18050" s="246">
        <f t="shared" si="320"/>
        <v>0</v>
      </c>
    </row>
    <row r="18051" spans="20:20" ht="18.75" customHeight="1" x14ac:dyDescent="0.35">
      <c r="T18051" s="246">
        <f t="shared" si="320"/>
        <v>0</v>
      </c>
    </row>
    <row r="18052" spans="20:20" ht="18.75" customHeight="1" x14ac:dyDescent="0.35">
      <c r="T18052" s="246">
        <f t="shared" si="320"/>
        <v>0</v>
      </c>
    </row>
    <row r="18053" spans="20:20" ht="18.75" customHeight="1" x14ac:dyDescent="0.35">
      <c r="T18053" s="246">
        <f t="shared" si="320"/>
        <v>0</v>
      </c>
    </row>
    <row r="18054" spans="20:20" ht="18.75" customHeight="1" x14ac:dyDescent="0.35">
      <c r="T18054" s="246">
        <f t="shared" si="320"/>
        <v>0</v>
      </c>
    </row>
    <row r="18055" spans="20:20" ht="18.75" customHeight="1" x14ac:dyDescent="0.35">
      <c r="T18055" s="246">
        <f t="shared" si="320"/>
        <v>0</v>
      </c>
    </row>
    <row r="18056" spans="20:20" ht="18.75" customHeight="1" x14ac:dyDescent="0.35">
      <c r="T18056" s="246">
        <f t="shared" si="320"/>
        <v>0</v>
      </c>
    </row>
    <row r="18057" spans="20:20" ht="18.75" customHeight="1" x14ac:dyDescent="0.35">
      <c r="T18057" s="246">
        <f t="shared" si="320"/>
        <v>0</v>
      </c>
    </row>
    <row r="18058" spans="20:20" ht="18.75" customHeight="1" x14ac:dyDescent="0.35">
      <c r="T18058" s="246">
        <f t="shared" si="320"/>
        <v>0</v>
      </c>
    </row>
    <row r="18059" spans="20:20" ht="18.75" customHeight="1" x14ac:dyDescent="0.35">
      <c r="T18059" s="246">
        <f t="shared" si="320"/>
        <v>0</v>
      </c>
    </row>
    <row r="18060" spans="20:20" ht="18.75" customHeight="1" x14ac:dyDescent="0.35">
      <c r="T18060" s="246">
        <f t="shared" si="320"/>
        <v>0</v>
      </c>
    </row>
    <row r="18061" spans="20:20" ht="18.75" customHeight="1" x14ac:dyDescent="0.35">
      <c r="T18061" s="246">
        <f t="shared" si="320"/>
        <v>0</v>
      </c>
    </row>
    <row r="18062" spans="20:20" ht="18.75" customHeight="1" x14ac:dyDescent="0.35">
      <c r="T18062" s="246">
        <f t="shared" si="320"/>
        <v>0</v>
      </c>
    </row>
    <row r="18063" spans="20:20" ht="18.75" customHeight="1" x14ac:dyDescent="0.35">
      <c r="T18063" s="246">
        <f t="shared" si="320"/>
        <v>0</v>
      </c>
    </row>
    <row r="18064" spans="20:20" ht="18.75" customHeight="1" x14ac:dyDescent="0.35">
      <c r="T18064" s="246">
        <f t="shared" si="320"/>
        <v>0</v>
      </c>
    </row>
    <row r="18065" spans="20:20" ht="18.75" customHeight="1" x14ac:dyDescent="0.35">
      <c r="T18065" s="246">
        <f t="shared" si="320"/>
        <v>0</v>
      </c>
    </row>
    <row r="18066" spans="20:20" ht="18.75" customHeight="1" x14ac:dyDescent="0.35">
      <c r="T18066" s="246">
        <f t="shared" si="320"/>
        <v>0</v>
      </c>
    </row>
    <row r="18067" spans="20:20" ht="18.75" customHeight="1" x14ac:dyDescent="0.35">
      <c r="T18067" s="246">
        <f t="shared" si="320"/>
        <v>0</v>
      </c>
    </row>
    <row r="18068" spans="20:20" ht="18.75" customHeight="1" x14ac:dyDescent="0.35">
      <c r="T18068" s="246">
        <f t="shared" si="320"/>
        <v>0</v>
      </c>
    </row>
    <row r="18069" spans="20:20" ht="18.75" customHeight="1" x14ac:dyDescent="0.35">
      <c r="T18069" s="246">
        <f t="shared" si="320"/>
        <v>0</v>
      </c>
    </row>
    <row r="18070" spans="20:20" ht="18.75" customHeight="1" x14ac:dyDescent="0.35">
      <c r="T18070" s="246">
        <f t="shared" si="320"/>
        <v>0</v>
      </c>
    </row>
    <row r="18071" spans="20:20" ht="18.75" customHeight="1" x14ac:dyDescent="0.35">
      <c r="T18071" s="246">
        <f t="shared" si="320"/>
        <v>0</v>
      </c>
    </row>
    <row r="18072" spans="20:20" ht="18.75" customHeight="1" x14ac:dyDescent="0.35">
      <c r="T18072" s="246">
        <f t="shared" si="320"/>
        <v>0</v>
      </c>
    </row>
    <row r="18073" spans="20:20" ht="18.75" customHeight="1" x14ac:dyDescent="0.35">
      <c r="T18073" s="246">
        <f t="shared" si="320"/>
        <v>0</v>
      </c>
    </row>
    <row r="18074" spans="20:20" ht="18.75" customHeight="1" x14ac:dyDescent="0.35">
      <c r="T18074" s="246">
        <f t="shared" si="320"/>
        <v>0</v>
      </c>
    </row>
    <row r="18075" spans="20:20" ht="18.75" customHeight="1" x14ac:dyDescent="0.35">
      <c r="T18075" s="246">
        <f t="shared" si="320"/>
        <v>0</v>
      </c>
    </row>
    <row r="18076" spans="20:20" ht="18.75" customHeight="1" x14ac:dyDescent="0.35">
      <c r="T18076" s="246">
        <f t="shared" si="320"/>
        <v>0</v>
      </c>
    </row>
    <row r="18077" spans="20:20" ht="18.75" customHeight="1" x14ac:dyDescent="0.35">
      <c r="T18077" s="246">
        <f t="shared" si="320"/>
        <v>0</v>
      </c>
    </row>
    <row r="18078" spans="20:20" ht="18.75" customHeight="1" x14ac:dyDescent="0.35">
      <c r="T18078" s="246">
        <f t="shared" si="320"/>
        <v>0</v>
      </c>
    </row>
    <row r="18079" spans="20:20" ht="18.75" customHeight="1" x14ac:dyDescent="0.35">
      <c r="T18079" s="246">
        <f t="shared" si="320"/>
        <v>0</v>
      </c>
    </row>
    <row r="18080" spans="20:20" ht="18.75" customHeight="1" x14ac:dyDescent="0.35">
      <c r="T18080" s="246">
        <f t="shared" si="320"/>
        <v>0</v>
      </c>
    </row>
    <row r="18081" spans="20:20" ht="18.75" customHeight="1" x14ac:dyDescent="0.35">
      <c r="T18081" s="246">
        <f t="shared" si="320"/>
        <v>0</v>
      </c>
    </row>
    <row r="18082" spans="20:20" ht="18.75" customHeight="1" x14ac:dyDescent="0.35">
      <c r="T18082" s="246">
        <f t="shared" si="320"/>
        <v>0</v>
      </c>
    </row>
    <row r="18083" spans="20:20" ht="18.75" customHeight="1" x14ac:dyDescent="0.35">
      <c r="T18083" s="246">
        <f t="shared" si="320"/>
        <v>0</v>
      </c>
    </row>
    <row r="18084" spans="20:20" ht="18.75" customHeight="1" x14ac:dyDescent="0.35">
      <c r="T18084" s="246">
        <f t="shared" si="320"/>
        <v>0</v>
      </c>
    </row>
    <row r="18085" spans="20:20" ht="18.75" customHeight="1" x14ac:dyDescent="0.35">
      <c r="T18085" s="246">
        <f t="shared" si="320"/>
        <v>0</v>
      </c>
    </row>
    <row r="18086" spans="20:20" ht="18.75" customHeight="1" x14ac:dyDescent="0.35">
      <c r="T18086" s="246">
        <f t="shared" si="320"/>
        <v>0</v>
      </c>
    </row>
    <row r="18087" spans="20:20" ht="18.75" customHeight="1" x14ac:dyDescent="0.35">
      <c r="T18087" s="246">
        <f t="shared" si="320"/>
        <v>0</v>
      </c>
    </row>
    <row r="18088" spans="20:20" ht="18.75" customHeight="1" x14ac:dyDescent="0.35">
      <c r="T18088" s="246">
        <f t="shared" si="320"/>
        <v>0</v>
      </c>
    </row>
    <row r="18089" spans="20:20" ht="18.75" customHeight="1" x14ac:dyDescent="0.35">
      <c r="T18089" s="246">
        <f t="shared" si="320"/>
        <v>0</v>
      </c>
    </row>
    <row r="18090" spans="20:20" ht="18.75" customHeight="1" x14ac:dyDescent="0.35">
      <c r="T18090" s="246">
        <f t="shared" si="320"/>
        <v>0</v>
      </c>
    </row>
    <row r="18091" spans="20:20" ht="18.75" customHeight="1" x14ac:dyDescent="0.35">
      <c r="T18091" s="246">
        <f t="shared" si="320"/>
        <v>0</v>
      </c>
    </row>
    <row r="18092" spans="20:20" ht="18.75" customHeight="1" x14ac:dyDescent="0.35">
      <c r="T18092" s="246">
        <f t="shared" si="320"/>
        <v>0</v>
      </c>
    </row>
    <row r="18093" spans="20:20" ht="18.75" customHeight="1" x14ac:dyDescent="0.35">
      <c r="T18093" s="246">
        <f t="shared" si="320"/>
        <v>0</v>
      </c>
    </row>
    <row r="18094" spans="20:20" ht="18.75" customHeight="1" x14ac:dyDescent="0.35">
      <c r="T18094" s="246">
        <f t="shared" si="320"/>
        <v>0</v>
      </c>
    </row>
    <row r="18095" spans="20:20" ht="18.75" customHeight="1" x14ac:dyDescent="0.35">
      <c r="T18095" s="246">
        <f t="shared" si="320"/>
        <v>0</v>
      </c>
    </row>
    <row r="18096" spans="20:20" ht="18.75" customHeight="1" x14ac:dyDescent="0.35">
      <c r="T18096" s="246">
        <f t="shared" si="320"/>
        <v>0</v>
      </c>
    </row>
    <row r="18097" spans="20:20" ht="18.75" customHeight="1" x14ac:dyDescent="0.35">
      <c r="T18097" s="246">
        <f t="shared" si="320"/>
        <v>0</v>
      </c>
    </row>
    <row r="18098" spans="20:20" ht="18.75" customHeight="1" x14ac:dyDescent="0.35">
      <c r="T18098" s="246">
        <f t="shared" si="320"/>
        <v>0</v>
      </c>
    </row>
    <row r="18099" spans="20:20" ht="18.75" customHeight="1" x14ac:dyDescent="0.35">
      <c r="T18099" s="246">
        <f t="shared" si="320"/>
        <v>0</v>
      </c>
    </row>
    <row r="18100" spans="20:20" ht="18.75" customHeight="1" x14ac:dyDescent="0.35">
      <c r="T18100" s="246">
        <f t="shared" si="320"/>
        <v>0</v>
      </c>
    </row>
    <row r="18101" spans="20:20" ht="18.75" customHeight="1" x14ac:dyDescent="0.35">
      <c r="T18101" s="246">
        <f t="shared" si="320"/>
        <v>0</v>
      </c>
    </row>
    <row r="18102" spans="20:20" ht="18.75" customHeight="1" x14ac:dyDescent="0.35">
      <c r="T18102" s="246">
        <f t="shared" si="320"/>
        <v>0</v>
      </c>
    </row>
    <row r="18103" spans="20:20" ht="18.75" customHeight="1" x14ac:dyDescent="0.35">
      <c r="T18103" s="246">
        <f t="shared" si="320"/>
        <v>0</v>
      </c>
    </row>
    <row r="18104" spans="20:20" ht="18.75" customHeight="1" x14ac:dyDescent="0.35">
      <c r="T18104" s="246">
        <f t="shared" si="320"/>
        <v>0</v>
      </c>
    </row>
    <row r="18105" spans="20:20" ht="18.75" customHeight="1" x14ac:dyDescent="0.35">
      <c r="T18105" s="246">
        <f t="shared" si="320"/>
        <v>0</v>
      </c>
    </row>
    <row r="18106" spans="20:20" ht="18.75" customHeight="1" x14ac:dyDescent="0.35">
      <c r="T18106" s="246">
        <f t="shared" si="320"/>
        <v>0</v>
      </c>
    </row>
    <row r="18107" spans="20:20" ht="18.75" customHeight="1" x14ac:dyDescent="0.35">
      <c r="T18107" s="246">
        <f t="shared" si="320"/>
        <v>0</v>
      </c>
    </row>
    <row r="18108" spans="20:20" ht="18.75" customHeight="1" x14ac:dyDescent="0.35">
      <c r="T18108" s="246">
        <f t="shared" ref="T18108:T18171" si="321">R18108*0.01</f>
        <v>0</v>
      </c>
    </row>
    <row r="18109" spans="20:20" ht="18.75" customHeight="1" x14ac:dyDescent="0.35">
      <c r="T18109" s="246">
        <f t="shared" si="321"/>
        <v>0</v>
      </c>
    </row>
    <row r="18110" spans="20:20" ht="18.75" customHeight="1" x14ac:dyDescent="0.35">
      <c r="T18110" s="246">
        <f t="shared" si="321"/>
        <v>0</v>
      </c>
    </row>
    <row r="18111" spans="20:20" ht="18.75" customHeight="1" x14ac:dyDescent="0.35">
      <c r="T18111" s="246">
        <f t="shared" si="321"/>
        <v>0</v>
      </c>
    </row>
    <row r="18112" spans="20:20" ht="18.75" customHeight="1" x14ac:dyDescent="0.35">
      <c r="T18112" s="246">
        <f t="shared" si="321"/>
        <v>0</v>
      </c>
    </row>
    <row r="18113" spans="20:20" ht="18.75" customHeight="1" x14ac:dyDescent="0.35">
      <c r="T18113" s="246">
        <f t="shared" si="321"/>
        <v>0</v>
      </c>
    </row>
    <row r="18114" spans="20:20" ht="18.75" customHeight="1" x14ac:dyDescent="0.35">
      <c r="T18114" s="246">
        <f t="shared" si="321"/>
        <v>0</v>
      </c>
    </row>
    <row r="18115" spans="20:20" ht="18.75" customHeight="1" x14ac:dyDescent="0.35">
      <c r="T18115" s="246">
        <f t="shared" si="321"/>
        <v>0</v>
      </c>
    </row>
    <row r="18116" spans="20:20" ht="18.75" customHeight="1" x14ac:dyDescent="0.35">
      <c r="T18116" s="246">
        <f t="shared" si="321"/>
        <v>0</v>
      </c>
    </row>
    <row r="18117" spans="20:20" ht="18.75" customHeight="1" x14ac:dyDescent="0.35">
      <c r="T18117" s="246">
        <f t="shared" si="321"/>
        <v>0</v>
      </c>
    </row>
    <row r="18118" spans="20:20" ht="18.75" customHeight="1" x14ac:dyDescent="0.35">
      <c r="T18118" s="246">
        <f t="shared" si="321"/>
        <v>0</v>
      </c>
    </row>
    <row r="18119" spans="20:20" ht="18.75" customHeight="1" x14ac:dyDescent="0.35">
      <c r="T18119" s="246">
        <f t="shared" si="321"/>
        <v>0</v>
      </c>
    </row>
    <row r="18120" spans="20:20" ht="18.75" customHeight="1" x14ac:dyDescent="0.35">
      <c r="T18120" s="246">
        <f t="shared" si="321"/>
        <v>0</v>
      </c>
    </row>
    <row r="18121" spans="20:20" ht="18.75" customHeight="1" x14ac:dyDescent="0.35">
      <c r="T18121" s="246">
        <f t="shared" si="321"/>
        <v>0</v>
      </c>
    </row>
    <row r="18122" spans="20:20" ht="18.75" customHeight="1" x14ac:dyDescent="0.35">
      <c r="T18122" s="246">
        <f t="shared" si="321"/>
        <v>0</v>
      </c>
    </row>
    <row r="18123" spans="20:20" ht="18.75" customHeight="1" x14ac:dyDescent="0.35">
      <c r="T18123" s="246">
        <f t="shared" si="321"/>
        <v>0</v>
      </c>
    </row>
    <row r="18124" spans="20:20" ht="18.75" customHeight="1" x14ac:dyDescent="0.35">
      <c r="T18124" s="246">
        <f t="shared" si="321"/>
        <v>0</v>
      </c>
    </row>
    <row r="18125" spans="20:20" ht="18.75" customHeight="1" x14ac:dyDescent="0.35">
      <c r="T18125" s="246">
        <f t="shared" si="321"/>
        <v>0</v>
      </c>
    </row>
    <row r="18126" spans="20:20" ht="18.75" customHeight="1" x14ac:dyDescent="0.35">
      <c r="T18126" s="246">
        <f t="shared" si="321"/>
        <v>0</v>
      </c>
    </row>
    <row r="18127" spans="20:20" ht="18.75" customHeight="1" x14ac:dyDescent="0.35">
      <c r="T18127" s="246">
        <f t="shared" si="321"/>
        <v>0</v>
      </c>
    </row>
    <row r="18128" spans="20:20" ht="18.75" customHeight="1" x14ac:dyDescent="0.35">
      <c r="T18128" s="246">
        <f t="shared" si="321"/>
        <v>0</v>
      </c>
    </row>
    <row r="18129" spans="20:20" ht="18.75" customHeight="1" x14ac:dyDescent="0.35">
      <c r="T18129" s="246">
        <f t="shared" si="321"/>
        <v>0</v>
      </c>
    </row>
    <row r="18130" spans="20:20" ht="18.75" customHeight="1" x14ac:dyDescent="0.35">
      <c r="T18130" s="246">
        <f t="shared" si="321"/>
        <v>0</v>
      </c>
    </row>
    <row r="18131" spans="20:20" ht="18.75" customHeight="1" x14ac:dyDescent="0.35">
      <c r="T18131" s="246">
        <f t="shared" si="321"/>
        <v>0</v>
      </c>
    </row>
    <row r="18132" spans="20:20" ht="18.75" customHeight="1" x14ac:dyDescent="0.35">
      <c r="T18132" s="246">
        <f t="shared" si="321"/>
        <v>0</v>
      </c>
    </row>
    <row r="18133" spans="20:20" ht="18.75" customHeight="1" x14ac:dyDescent="0.35">
      <c r="T18133" s="246">
        <f t="shared" si="321"/>
        <v>0</v>
      </c>
    </row>
    <row r="18134" spans="20:20" ht="18.75" customHeight="1" x14ac:dyDescent="0.35">
      <c r="T18134" s="246">
        <f t="shared" si="321"/>
        <v>0</v>
      </c>
    </row>
    <row r="18135" spans="20:20" ht="18.75" customHeight="1" x14ac:dyDescent="0.35">
      <c r="T18135" s="246">
        <f t="shared" si="321"/>
        <v>0</v>
      </c>
    </row>
    <row r="18136" spans="20:20" ht="18.75" customHeight="1" x14ac:dyDescent="0.35">
      <c r="T18136" s="246">
        <f t="shared" si="321"/>
        <v>0</v>
      </c>
    </row>
    <row r="18137" spans="20:20" ht="18.75" customHeight="1" x14ac:dyDescent="0.35">
      <c r="T18137" s="246">
        <f t="shared" si="321"/>
        <v>0</v>
      </c>
    </row>
    <row r="18138" spans="20:20" ht="18.75" customHeight="1" x14ac:dyDescent="0.35">
      <c r="T18138" s="246">
        <f t="shared" si="321"/>
        <v>0</v>
      </c>
    </row>
    <row r="18139" spans="20:20" ht="18.75" customHeight="1" x14ac:dyDescent="0.35">
      <c r="T18139" s="246">
        <f t="shared" si="321"/>
        <v>0</v>
      </c>
    </row>
    <row r="18140" spans="20:20" ht="18.75" customHeight="1" x14ac:dyDescent="0.35">
      <c r="T18140" s="246">
        <f t="shared" si="321"/>
        <v>0</v>
      </c>
    </row>
    <row r="18141" spans="20:20" ht="18.75" customHeight="1" x14ac:dyDescent="0.35">
      <c r="T18141" s="246">
        <f t="shared" si="321"/>
        <v>0</v>
      </c>
    </row>
    <row r="18142" spans="20:20" ht="18.75" customHeight="1" x14ac:dyDescent="0.35">
      <c r="T18142" s="246">
        <f t="shared" si="321"/>
        <v>0</v>
      </c>
    </row>
    <row r="18143" spans="20:20" ht="18.75" customHeight="1" x14ac:dyDescent="0.35">
      <c r="T18143" s="246">
        <f t="shared" si="321"/>
        <v>0</v>
      </c>
    </row>
    <row r="18144" spans="20:20" ht="18.75" customHeight="1" x14ac:dyDescent="0.35">
      <c r="T18144" s="246">
        <f t="shared" si="321"/>
        <v>0</v>
      </c>
    </row>
    <row r="18145" spans="20:20" ht="18.75" customHeight="1" x14ac:dyDescent="0.35">
      <c r="T18145" s="246">
        <f t="shared" si="321"/>
        <v>0</v>
      </c>
    </row>
    <row r="18146" spans="20:20" ht="18.75" customHeight="1" x14ac:dyDescent="0.35">
      <c r="T18146" s="246">
        <f t="shared" si="321"/>
        <v>0</v>
      </c>
    </row>
    <row r="18147" spans="20:20" ht="18.75" customHeight="1" x14ac:dyDescent="0.35">
      <c r="T18147" s="246">
        <f t="shared" si="321"/>
        <v>0</v>
      </c>
    </row>
    <row r="18148" spans="20:20" ht="18.75" customHeight="1" x14ac:dyDescent="0.35">
      <c r="T18148" s="246">
        <f t="shared" si="321"/>
        <v>0</v>
      </c>
    </row>
    <row r="18149" spans="20:20" ht="18.75" customHeight="1" x14ac:dyDescent="0.35">
      <c r="T18149" s="246">
        <f t="shared" si="321"/>
        <v>0</v>
      </c>
    </row>
    <row r="18150" spans="20:20" ht="18.75" customHeight="1" x14ac:dyDescent="0.35">
      <c r="T18150" s="246">
        <f t="shared" si="321"/>
        <v>0</v>
      </c>
    </row>
    <row r="18151" spans="20:20" ht="18.75" customHeight="1" x14ac:dyDescent="0.35">
      <c r="T18151" s="246">
        <f t="shared" si="321"/>
        <v>0</v>
      </c>
    </row>
    <row r="18152" spans="20:20" ht="18.75" customHeight="1" x14ac:dyDescent="0.35">
      <c r="T18152" s="246">
        <f t="shared" si="321"/>
        <v>0</v>
      </c>
    </row>
    <row r="18153" spans="20:20" ht="18.75" customHeight="1" x14ac:dyDescent="0.35">
      <c r="T18153" s="246">
        <f t="shared" si="321"/>
        <v>0</v>
      </c>
    </row>
    <row r="18154" spans="20:20" ht="18.75" customHeight="1" x14ac:dyDescent="0.35">
      <c r="T18154" s="246">
        <f t="shared" si="321"/>
        <v>0</v>
      </c>
    </row>
    <row r="18155" spans="20:20" ht="18.75" customHeight="1" x14ac:dyDescent="0.35">
      <c r="T18155" s="246">
        <f t="shared" si="321"/>
        <v>0</v>
      </c>
    </row>
    <row r="18156" spans="20:20" ht="18.75" customHeight="1" x14ac:dyDescent="0.35">
      <c r="T18156" s="246">
        <f t="shared" si="321"/>
        <v>0</v>
      </c>
    </row>
    <row r="18157" spans="20:20" ht="18.75" customHeight="1" x14ac:dyDescent="0.35">
      <c r="T18157" s="246">
        <f t="shared" si="321"/>
        <v>0</v>
      </c>
    </row>
    <row r="18158" spans="20:20" ht="18.75" customHeight="1" x14ac:dyDescent="0.35">
      <c r="T18158" s="246">
        <f t="shared" si="321"/>
        <v>0</v>
      </c>
    </row>
    <row r="18159" spans="20:20" ht="18.75" customHeight="1" x14ac:dyDescent="0.35">
      <c r="T18159" s="246">
        <f t="shared" si="321"/>
        <v>0</v>
      </c>
    </row>
    <row r="18160" spans="20:20" ht="18.75" customHeight="1" x14ac:dyDescent="0.35">
      <c r="T18160" s="246">
        <f t="shared" si="321"/>
        <v>0</v>
      </c>
    </row>
    <row r="18161" spans="20:20" ht="18.75" customHeight="1" x14ac:dyDescent="0.35">
      <c r="T18161" s="246">
        <f t="shared" si="321"/>
        <v>0</v>
      </c>
    </row>
    <row r="18162" spans="20:20" ht="18.75" customHeight="1" x14ac:dyDescent="0.35">
      <c r="T18162" s="246">
        <f t="shared" si="321"/>
        <v>0</v>
      </c>
    </row>
    <row r="18163" spans="20:20" ht="18.75" customHeight="1" x14ac:dyDescent="0.35">
      <c r="T18163" s="246">
        <f t="shared" si="321"/>
        <v>0</v>
      </c>
    </row>
    <row r="18164" spans="20:20" ht="18.75" customHeight="1" x14ac:dyDescent="0.35">
      <c r="T18164" s="246">
        <f t="shared" si="321"/>
        <v>0</v>
      </c>
    </row>
    <row r="18165" spans="20:20" ht="18.75" customHeight="1" x14ac:dyDescent="0.35">
      <c r="T18165" s="246">
        <f t="shared" si="321"/>
        <v>0</v>
      </c>
    </row>
    <row r="18166" spans="20:20" ht="18.75" customHeight="1" x14ac:dyDescent="0.35">
      <c r="T18166" s="246">
        <f t="shared" si="321"/>
        <v>0</v>
      </c>
    </row>
    <row r="18167" spans="20:20" ht="18.75" customHeight="1" x14ac:dyDescent="0.35">
      <c r="T18167" s="246">
        <f t="shared" si="321"/>
        <v>0</v>
      </c>
    </row>
    <row r="18168" spans="20:20" ht="18.75" customHeight="1" x14ac:dyDescent="0.35">
      <c r="T18168" s="246">
        <f t="shared" si="321"/>
        <v>0</v>
      </c>
    </row>
    <row r="18169" spans="20:20" ht="18.75" customHeight="1" x14ac:dyDescent="0.35">
      <c r="T18169" s="246">
        <f t="shared" si="321"/>
        <v>0</v>
      </c>
    </row>
    <row r="18170" spans="20:20" ht="18.75" customHeight="1" x14ac:dyDescent="0.35">
      <c r="T18170" s="246">
        <f t="shared" si="321"/>
        <v>0</v>
      </c>
    </row>
    <row r="18171" spans="20:20" ht="18.75" customHeight="1" x14ac:dyDescent="0.35">
      <c r="T18171" s="246">
        <f t="shared" si="321"/>
        <v>0</v>
      </c>
    </row>
    <row r="18172" spans="20:20" ht="18.75" customHeight="1" x14ac:dyDescent="0.35">
      <c r="T18172" s="246">
        <f t="shared" ref="T18172:T18235" si="322">R18172*0.01</f>
        <v>0</v>
      </c>
    </row>
    <row r="18173" spans="20:20" ht="18.75" customHeight="1" x14ac:dyDescent="0.35">
      <c r="T18173" s="246">
        <f t="shared" si="322"/>
        <v>0</v>
      </c>
    </row>
    <row r="18174" spans="20:20" ht="18.75" customHeight="1" x14ac:dyDescent="0.35">
      <c r="T18174" s="246">
        <f t="shared" si="322"/>
        <v>0</v>
      </c>
    </row>
    <row r="18175" spans="20:20" ht="18.75" customHeight="1" x14ac:dyDescent="0.35">
      <c r="T18175" s="246">
        <f t="shared" si="322"/>
        <v>0</v>
      </c>
    </row>
    <row r="18176" spans="20:20" ht="18.75" customHeight="1" x14ac:dyDescent="0.35">
      <c r="T18176" s="246">
        <f t="shared" si="322"/>
        <v>0</v>
      </c>
    </row>
    <row r="18177" spans="20:20" ht="18.75" customHeight="1" x14ac:dyDescent="0.35">
      <c r="T18177" s="246">
        <f t="shared" si="322"/>
        <v>0</v>
      </c>
    </row>
    <row r="18178" spans="20:20" ht="18.75" customHeight="1" x14ac:dyDescent="0.35">
      <c r="T18178" s="246">
        <f t="shared" si="322"/>
        <v>0</v>
      </c>
    </row>
    <row r="18179" spans="20:20" ht="18.75" customHeight="1" x14ac:dyDescent="0.35">
      <c r="T18179" s="246">
        <f t="shared" si="322"/>
        <v>0</v>
      </c>
    </row>
    <row r="18180" spans="20:20" ht="18.75" customHeight="1" x14ac:dyDescent="0.35">
      <c r="T18180" s="246">
        <f t="shared" si="322"/>
        <v>0</v>
      </c>
    </row>
    <row r="18181" spans="20:20" ht="18.75" customHeight="1" x14ac:dyDescent="0.35">
      <c r="T18181" s="246">
        <f t="shared" si="322"/>
        <v>0</v>
      </c>
    </row>
    <row r="18182" spans="20:20" ht="18.75" customHeight="1" x14ac:dyDescent="0.35">
      <c r="T18182" s="246">
        <f t="shared" si="322"/>
        <v>0</v>
      </c>
    </row>
    <row r="18183" spans="20:20" ht="18.75" customHeight="1" x14ac:dyDescent="0.35">
      <c r="T18183" s="246">
        <f t="shared" si="322"/>
        <v>0</v>
      </c>
    </row>
    <row r="18184" spans="20:20" ht="18.75" customHeight="1" x14ac:dyDescent="0.35">
      <c r="T18184" s="246">
        <f t="shared" si="322"/>
        <v>0</v>
      </c>
    </row>
    <row r="18185" spans="20:20" ht="18.75" customHeight="1" x14ac:dyDescent="0.35">
      <c r="T18185" s="246">
        <f t="shared" si="322"/>
        <v>0</v>
      </c>
    </row>
    <row r="18186" spans="20:20" ht="18.75" customHeight="1" x14ac:dyDescent="0.35">
      <c r="T18186" s="246">
        <f t="shared" si="322"/>
        <v>0</v>
      </c>
    </row>
    <row r="18187" spans="20:20" ht="18.75" customHeight="1" x14ac:dyDescent="0.35">
      <c r="T18187" s="246">
        <f t="shared" si="322"/>
        <v>0</v>
      </c>
    </row>
    <row r="18188" spans="20:20" ht="18.75" customHeight="1" x14ac:dyDescent="0.35">
      <c r="T18188" s="246">
        <f t="shared" si="322"/>
        <v>0</v>
      </c>
    </row>
    <row r="18189" spans="20:20" ht="18.75" customHeight="1" x14ac:dyDescent="0.35">
      <c r="T18189" s="246">
        <f t="shared" si="322"/>
        <v>0</v>
      </c>
    </row>
    <row r="18190" spans="20:20" ht="18.75" customHeight="1" x14ac:dyDescent="0.35">
      <c r="T18190" s="246">
        <f t="shared" si="322"/>
        <v>0</v>
      </c>
    </row>
    <row r="18191" spans="20:20" ht="18.75" customHeight="1" x14ac:dyDescent="0.35">
      <c r="T18191" s="246">
        <f t="shared" si="322"/>
        <v>0</v>
      </c>
    </row>
    <row r="18192" spans="20:20" ht="18.75" customHeight="1" x14ac:dyDescent="0.35">
      <c r="T18192" s="246">
        <f t="shared" si="322"/>
        <v>0</v>
      </c>
    </row>
    <row r="18193" spans="20:20" ht="18.75" customHeight="1" x14ac:dyDescent="0.35">
      <c r="T18193" s="246">
        <f t="shared" si="322"/>
        <v>0</v>
      </c>
    </row>
    <row r="18194" spans="20:20" ht="18.75" customHeight="1" x14ac:dyDescent="0.35">
      <c r="T18194" s="246">
        <f t="shared" si="322"/>
        <v>0</v>
      </c>
    </row>
    <row r="18195" spans="20:20" ht="18.75" customHeight="1" x14ac:dyDescent="0.35">
      <c r="T18195" s="246">
        <f t="shared" si="322"/>
        <v>0</v>
      </c>
    </row>
    <row r="18196" spans="20:20" ht="18.75" customHeight="1" x14ac:dyDescent="0.35">
      <c r="T18196" s="246">
        <f t="shared" si="322"/>
        <v>0</v>
      </c>
    </row>
    <row r="18197" spans="20:20" ht="18.75" customHeight="1" x14ac:dyDescent="0.35">
      <c r="T18197" s="246">
        <f t="shared" si="322"/>
        <v>0</v>
      </c>
    </row>
    <row r="18198" spans="20:20" ht="18.75" customHeight="1" x14ac:dyDescent="0.35">
      <c r="T18198" s="246">
        <f t="shared" si="322"/>
        <v>0</v>
      </c>
    </row>
    <row r="18199" spans="20:20" ht="18.75" customHeight="1" x14ac:dyDescent="0.35">
      <c r="T18199" s="246">
        <f t="shared" si="322"/>
        <v>0</v>
      </c>
    </row>
    <row r="18200" spans="20:20" ht="18.75" customHeight="1" x14ac:dyDescent="0.35">
      <c r="T18200" s="246">
        <f t="shared" si="322"/>
        <v>0</v>
      </c>
    </row>
    <row r="18201" spans="20:20" ht="18.75" customHeight="1" x14ac:dyDescent="0.35">
      <c r="T18201" s="246">
        <f t="shared" si="322"/>
        <v>0</v>
      </c>
    </row>
    <row r="18202" spans="20:20" ht="18.75" customHeight="1" x14ac:dyDescent="0.35">
      <c r="T18202" s="246">
        <f t="shared" si="322"/>
        <v>0</v>
      </c>
    </row>
    <row r="18203" spans="20:20" ht="18.75" customHeight="1" x14ac:dyDescent="0.35">
      <c r="T18203" s="246">
        <f t="shared" si="322"/>
        <v>0</v>
      </c>
    </row>
    <row r="18204" spans="20:20" ht="18.75" customHeight="1" x14ac:dyDescent="0.35">
      <c r="T18204" s="246">
        <f t="shared" si="322"/>
        <v>0</v>
      </c>
    </row>
    <row r="18205" spans="20:20" ht="18.75" customHeight="1" x14ac:dyDescent="0.35">
      <c r="T18205" s="246">
        <f t="shared" si="322"/>
        <v>0</v>
      </c>
    </row>
    <row r="18206" spans="20:20" ht="18.75" customHeight="1" x14ac:dyDescent="0.35">
      <c r="T18206" s="246">
        <f t="shared" si="322"/>
        <v>0</v>
      </c>
    </row>
    <row r="18207" spans="20:20" ht="18.75" customHeight="1" x14ac:dyDescent="0.35">
      <c r="T18207" s="246">
        <f t="shared" si="322"/>
        <v>0</v>
      </c>
    </row>
    <row r="18208" spans="20:20" ht="18.75" customHeight="1" x14ac:dyDescent="0.35">
      <c r="T18208" s="246">
        <f t="shared" si="322"/>
        <v>0</v>
      </c>
    </row>
    <row r="18209" spans="20:20" ht="18.75" customHeight="1" x14ac:dyDescent="0.35">
      <c r="T18209" s="246">
        <f t="shared" si="322"/>
        <v>0</v>
      </c>
    </row>
    <row r="18210" spans="20:20" ht="18.75" customHeight="1" x14ac:dyDescent="0.35">
      <c r="T18210" s="246">
        <f t="shared" si="322"/>
        <v>0</v>
      </c>
    </row>
    <row r="18211" spans="20:20" ht="18.75" customHeight="1" x14ac:dyDescent="0.35">
      <c r="T18211" s="246">
        <f t="shared" si="322"/>
        <v>0</v>
      </c>
    </row>
    <row r="18212" spans="20:20" ht="18.75" customHeight="1" x14ac:dyDescent="0.35">
      <c r="T18212" s="246">
        <f t="shared" si="322"/>
        <v>0</v>
      </c>
    </row>
    <row r="18213" spans="20:20" ht="18.75" customHeight="1" x14ac:dyDescent="0.35">
      <c r="T18213" s="246">
        <f t="shared" si="322"/>
        <v>0</v>
      </c>
    </row>
    <row r="18214" spans="20:20" ht="18.75" customHeight="1" x14ac:dyDescent="0.35">
      <c r="T18214" s="246">
        <f t="shared" si="322"/>
        <v>0</v>
      </c>
    </row>
    <row r="18215" spans="20:20" ht="18.75" customHeight="1" x14ac:dyDescent="0.35">
      <c r="T18215" s="246">
        <f t="shared" si="322"/>
        <v>0</v>
      </c>
    </row>
    <row r="18216" spans="20:20" ht="18.75" customHeight="1" x14ac:dyDescent="0.35">
      <c r="T18216" s="246">
        <f t="shared" si="322"/>
        <v>0</v>
      </c>
    </row>
    <row r="18217" spans="20:20" ht="18.75" customHeight="1" x14ac:dyDescent="0.35">
      <c r="T18217" s="246">
        <f t="shared" si="322"/>
        <v>0</v>
      </c>
    </row>
    <row r="18218" spans="20:20" ht="18.75" customHeight="1" x14ac:dyDescent="0.35">
      <c r="T18218" s="246">
        <f t="shared" si="322"/>
        <v>0</v>
      </c>
    </row>
    <row r="18219" spans="20:20" ht="18.75" customHeight="1" x14ac:dyDescent="0.35">
      <c r="T18219" s="246">
        <f t="shared" si="322"/>
        <v>0</v>
      </c>
    </row>
    <row r="18220" spans="20:20" ht="18.75" customHeight="1" x14ac:dyDescent="0.35">
      <c r="T18220" s="246">
        <f t="shared" si="322"/>
        <v>0</v>
      </c>
    </row>
    <row r="18221" spans="20:20" ht="18.75" customHeight="1" x14ac:dyDescent="0.35">
      <c r="T18221" s="246">
        <f t="shared" si="322"/>
        <v>0</v>
      </c>
    </row>
    <row r="18222" spans="20:20" ht="18.75" customHeight="1" x14ac:dyDescent="0.35">
      <c r="T18222" s="246">
        <f t="shared" si="322"/>
        <v>0</v>
      </c>
    </row>
    <row r="18223" spans="20:20" ht="18.75" customHeight="1" x14ac:dyDescent="0.35">
      <c r="T18223" s="246">
        <f t="shared" si="322"/>
        <v>0</v>
      </c>
    </row>
    <row r="18224" spans="20:20" ht="18.75" customHeight="1" x14ac:dyDescent="0.35">
      <c r="T18224" s="246">
        <f t="shared" si="322"/>
        <v>0</v>
      </c>
    </row>
    <row r="18225" spans="20:20" ht="18.75" customHeight="1" x14ac:dyDescent="0.35">
      <c r="T18225" s="246">
        <f t="shared" si="322"/>
        <v>0</v>
      </c>
    </row>
    <row r="18226" spans="20:20" ht="18.75" customHeight="1" x14ac:dyDescent="0.35">
      <c r="T18226" s="246">
        <f t="shared" si="322"/>
        <v>0</v>
      </c>
    </row>
    <row r="18227" spans="20:20" ht="18.75" customHeight="1" x14ac:dyDescent="0.35">
      <c r="T18227" s="246">
        <f t="shared" si="322"/>
        <v>0</v>
      </c>
    </row>
    <row r="18228" spans="20:20" ht="18.75" customHeight="1" x14ac:dyDescent="0.35">
      <c r="T18228" s="246">
        <f t="shared" si="322"/>
        <v>0</v>
      </c>
    </row>
    <row r="18229" spans="20:20" ht="18.75" customHeight="1" x14ac:dyDescent="0.35">
      <c r="T18229" s="246">
        <f t="shared" si="322"/>
        <v>0</v>
      </c>
    </row>
    <row r="18230" spans="20:20" ht="18.75" customHeight="1" x14ac:dyDescent="0.35">
      <c r="T18230" s="246">
        <f t="shared" si="322"/>
        <v>0</v>
      </c>
    </row>
    <row r="18231" spans="20:20" ht="18.75" customHeight="1" x14ac:dyDescent="0.35">
      <c r="T18231" s="246">
        <f t="shared" si="322"/>
        <v>0</v>
      </c>
    </row>
    <row r="18232" spans="20:20" ht="18.75" customHeight="1" x14ac:dyDescent="0.35">
      <c r="T18232" s="246">
        <f t="shared" si="322"/>
        <v>0</v>
      </c>
    </row>
    <row r="18233" spans="20:20" ht="18.75" customHeight="1" x14ac:dyDescent="0.35">
      <c r="T18233" s="246">
        <f t="shared" si="322"/>
        <v>0</v>
      </c>
    </row>
    <row r="18234" spans="20:20" ht="18.75" customHeight="1" x14ac:dyDescent="0.35">
      <c r="T18234" s="246">
        <f t="shared" si="322"/>
        <v>0</v>
      </c>
    </row>
    <row r="18235" spans="20:20" ht="18.75" customHeight="1" x14ac:dyDescent="0.35">
      <c r="T18235" s="246">
        <f t="shared" si="322"/>
        <v>0</v>
      </c>
    </row>
    <row r="18236" spans="20:20" ht="18.75" customHeight="1" x14ac:dyDescent="0.35">
      <c r="T18236" s="246">
        <f t="shared" ref="T18236:T18299" si="323">R18236*0.01</f>
        <v>0</v>
      </c>
    </row>
    <row r="18237" spans="20:20" ht="18.75" customHeight="1" x14ac:dyDescent="0.35">
      <c r="T18237" s="246">
        <f t="shared" si="323"/>
        <v>0</v>
      </c>
    </row>
    <row r="18238" spans="20:20" ht="18.75" customHeight="1" x14ac:dyDescent="0.35">
      <c r="T18238" s="246">
        <f t="shared" si="323"/>
        <v>0</v>
      </c>
    </row>
    <row r="18239" spans="20:20" ht="18.75" customHeight="1" x14ac:dyDescent="0.35">
      <c r="T18239" s="246">
        <f t="shared" si="323"/>
        <v>0</v>
      </c>
    </row>
    <row r="18240" spans="20:20" ht="18.75" customHeight="1" x14ac:dyDescent="0.35">
      <c r="T18240" s="246">
        <f t="shared" si="323"/>
        <v>0</v>
      </c>
    </row>
    <row r="18241" spans="20:20" ht="18.75" customHeight="1" x14ac:dyDescent="0.35">
      <c r="T18241" s="246">
        <f t="shared" si="323"/>
        <v>0</v>
      </c>
    </row>
    <row r="18242" spans="20:20" ht="18.75" customHeight="1" x14ac:dyDescent="0.35">
      <c r="T18242" s="246">
        <f t="shared" si="323"/>
        <v>0</v>
      </c>
    </row>
    <row r="18243" spans="20:20" ht="18.75" customHeight="1" x14ac:dyDescent="0.35">
      <c r="T18243" s="246">
        <f t="shared" si="323"/>
        <v>0</v>
      </c>
    </row>
    <row r="18244" spans="20:20" ht="18.75" customHeight="1" x14ac:dyDescent="0.35">
      <c r="T18244" s="246">
        <f t="shared" si="323"/>
        <v>0</v>
      </c>
    </row>
    <row r="18245" spans="20:20" ht="18.75" customHeight="1" x14ac:dyDescent="0.35">
      <c r="T18245" s="246">
        <f t="shared" si="323"/>
        <v>0</v>
      </c>
    </row>
    <row r="18246" spans="20:20" ht="18.75" customHeight="1" x14ac:dyDescent="0.35">
      <c r="T18246" s="246">
        <f t="shared" si="323"/>
        <v>0</v>
      </c>
    </row>
    <row r="18247" spans="20:20" ht="18.75" customHeight="1" x14ac:dyDescent="0.35">
      <c r="T18247" s="246">
        <f t="shared" si="323"/>
        <v>0</v>
      </c>
    </row>
    <row r="18248" spans="20:20" ht="18.75" customHeight="1" x14ac:dyDescent="0.35">
      <c r="T18248" s="246">
        <f t="shared" si="323"/>
        <v>0</v>
      </c>
    </row>
    <row r="18249" spans="20:20" ht="18.75" customHeight="1" x14ac:dyDescent="0.35">
      <c r="T18249" s="246">
        <f t="shared" si="323"/>
        <v>0</v>
      </c>
    </row>
    <row r="18250" spans="20:20" ht="18.75" customHeight="1" x14ac:dyDescent="0.35">
      <c r="T18250" s="246">
        <f t="shared" si="323"/>
        <v>0</v>
      </c>
    </row>
    <row r="18251" spans="20:20" ht="18.75" customHeight="1" x14ac:dyDescent="0.35">
      <c r="T18251" s="246">
        <f t="shared" si="323"/>
        <v>0</v>
      </c>
    </row>
    <row r="18252" spans="20:20" ht="18.75" customHeight="1" x14ac:dyDescent="0.35">
      <c r="T18252" s="246">
        <f t="shared" si="323"/>
        <v>0</v>
      </c>
    </row>
    <row r="18253" spans="20:20" ht="18.75" customHeight="1" x14ac:dyDescent="0.35">
      <c r="T18253" s="246">
        <f t="shared" si="323"/>
        <v>0</v>
      </c>
    </row>
    <row r="18254" spans="20:20" ht="18.75" customHeight="1" x14ac:dyDescent="0.35">
      <c r="T18254" s="246">
        <f t="shared" si="323"/>
        <v>0</v>
      </c>
    </row>
    <row r="18255" spans="20:20" ht="18.75" customHeight="1" x14ac:dyDescent="0.35">
      <c r="T18255" s="246">
        <f t="shared" si="323"/>
        <v>0</v>
      </c>
    </row>
    <row r="18256" spans="20:20" ht="18.75" customHeight="1" x14ac:dyDescent="0.35">
      <c r="T18256" s="246">
        <f t="shared" si="323"/>
        <v>0</v>
      </c>
    </row>
    <row r="18257" spans="20:20" ht="18.75" customHeight="1" x14ac:dyDescent="0.35">
      <c r="T18257" s="246">
        <f t="shared" si="323"/>
        <v>0</v>
      </c>
    </row>
    <row r="18258" spans="20:20" ht="18.75" customHeight="1" x14ac:dyDescent="0.35">
      <c r="T18258" s="246">
        <f t="shared" si="323"/>
        <v>0</v>
      </c>
    </row>
    <row r="18259" spans="20:20" ht="18.75" customHeight="1" x14ac:dyDescent="0.35">
      <c r="T18259" s="246">
        <f t="shared" si="323"/>
        <v>0</v>
      </c>
    </row>
    <row r="18260" spans="20:20" ht="18.75" customHeight="1" x14ac:dyDescent="0.35">
      <c r="T18260" s="246">
        <f t="shared" si="323"/>
        <v>0</v>
      </c>
    </row>
    <row r="18261" spans="20:20" ht="18.75" customHeight="1" x14ac:dyDescent="0.35">
      <c r="T18261" s="246">
        <f t="shared" si="323"/>
        <v>0</v>
      </c>
    </row>
    <row r="18262" spans="20:20" ht="18.75" customHeight="1" x14ac:dyDescent="0.35">
      <c r="T18262" s="246">
        <f t="shared" si="323"/>
        <v>0</v>
      </c>
    </row>
    <row r="18263" spans="20:20" ht="18.75" customHeight="1" x14ac:dyDescent="0.35">
      <c r="T18263" s="246">
        <f t="shared" si="323"/>
        <v>0</v>
      </c>
    </row>
    <row r="18264" spans="20:20" ht="18.75" customHeight="1" x14ac:dyDescent="0.35">
      <c r="T18264" s="246">
        <f t="shared" si="323"/>
        <v>0</v>
      </c>
    </row>
    <row r="18265" spans="20:20" ht="18.75" customHeight="1" x14ac:dyDescent="0.35">
      <c r="T18265" s="246">
        <f t="shared" si="323"/>
        <v>0</v>
      </c>
    </row>
    <row r="18266" spans="20:20" ht="18.75" customHeight="1" x14ac:dyDescent="0.35">
      <c r="T18266" s="246">
        <f t="shared" si="323"/>
        <v>0</v>
      </c>
    </row>
    <row r="18267" spans="20:20" ht="18.75" customHeight="1" x14ac:dyDescent="0.35">
      <c r="T18267" s="246">
        <f t="shared" si="323"/>
        <v>0</v>
      </c>
    </row>
    <row r="18268" spans="20:20" ht="18.75" customHeight="1" x14ac:dyDescent="0.35">
      <c r="T18268" s="246">
        <f t="shared" si="323"/>
        <v>0</v>
      </c>
    </row>
    <row r="18269" spans="20:20" ht="18.75" customHeight="1" x14ac:dyDescent="0.35">
      <c r="T18269" s="246">
        <f t="shared" si="323"/>
        <v>0</v>
      </c>
    </row>
    <row r="18270" spans="20:20" ht="18.75" customHeight="1" x14ac:dyDescent="0.35">
      <c r="T18270" s="246">
        <f t="shared" si="323"/>
        <v>0</v>
      </c>
    </row>
    <row r="18271" spans="20:20" ht="18.75" customHeight="1" x14ac:dyDescent="0.35">
      <c r="T18271" s="246">
        <f t="shared" si="323"/>
        <v>0</v>
      </c>
    </row>
    <row r="18272" spans="20:20" ht="18.75" customHeight="1" x14ac:dyDescent="0.35">
      <c r="T18272" s="246">
        <f t="shared" si="323"/>
        <v>0</v>
      </c>
    </row>
    <row r="18273" spans="20:20" ht="18.75" customHeight="1" x14ac:dyDescent="0.35">
      <c r="T18273" s="246">
        <f t="shared" si="323"/>
        <v>0</v>
      </c>
    </row>
    <row r="18274" spans="20:20" ht="18.75" customHeight="1" x14ac:dyDescent="0.35">
      <c r="T18274" s="246">
        <f t="shared" si="323"/>
        <v>0</v>
      </c>
    </row>
    <row r="18275" spans="20:20" ht="18.75" customHeight="1" x14ac:dyDescent="0.35">
      <c r="T18275" s="246">
        <f t="shared" si="323"/>
        <v>0</v>
      </c>
    </row>
    <row r="18276" spans="20:20" ht="18.75" customHeight="1" x14ac:dyDescent="0.35">
      <c r="T18276" s="246">
        <f t="shared" si="323"/>
        <v>0</v>
      </c>
    </row>
    <row r="18277" spans="20:20" ht="18.75" customHeight="1" x14ac:dyDescent="0.35">
      <c r="T18277" s="246">
        <f t="shared" si="323"/>
        <v>0</v>
      </c>
    </row>
    <row r="18278" spans="20:20" ht="18.75" customHeight="1" x14ac:dyDescent="0.35">
      <c r="T18278" s="246">
        <f t="shared" si="323"/>
        <v>0</v>
      </c>
    </row>
    <row r="18279" spans="20:20" ht="18.75" customHeight="1" x14ac:dyDescent="0.35">
      <c r="T18279" s="246">
        <f t="shared" si="323"/>
        <v>0</v>
      </c>
    </row>
    <row r="18280" spans="20:20" ht="18.75" customHeight="1" x14ac:dyDescent="0.35">
      <c r="T18280" s="246">
        <f t="shared" si="323"/>
        <v>0</v>
      </c>
    </row>
    <row r="18281" spans="20:20" ht="18.75" customHeight="1" x14ac:dyDescent="0.35">
      <c r="T18281" s="246">
        <f t="shared" si="323"/>
        <v>0</v>
      </c>
    </row>
    <row r="18282" spans="20:20" ht="18.75" customHeight="1" x14ac:dyDescent="0.35">
      <c r="T18282" s="246">
        <f t="shared" si="323"/>
        <v>0</v>
      </c>
    </row>
    <row r="18283" spans="20:20" ht="18.75" customHeight="1" x14ac:dyDescent="0.35">
      <c r="T18283" s="246">
        <f t="shared" si="323"/>
        <v>0</v>
      </c>
    </row>
    <row r="18284" spans="20:20" ht="18.75" customHeight="1" x14ac:dyDescent="0.35">
      <c r="T18284" s="246">
        <f t="shared" si="323"/>
        <v>0</v>
      </c>
    </row>
    <row r="18285" spans="20:20" ht="18.75" customHeight="1" x14ac:dyDescent="0.35">
      <c r="T18285" s="246">
        <f t="shared" si="323"/>
        <v>0</v>
      </c>
    </row>
    <row r="18286" spans="20:20" ht="18.75" customHeight="1" x14ac:dyDescent="0.35">
      <c r="T18286" s="246">
        <f t="shared" si="323"/>
        <v>0</v>
      </c>
    </row>
    <row r="18287" spans="20:20" ht="18.75" customHeight="1" x14ac:dyDescent="0.35">
      <c r="T18287" s="246">
        <f t="shared" si="323"/>
        <v>0</v>
      </c>
    </row>
    <row r="18288" spans="20:20" ht="18.75" customHeight="1" x14ac:dyDescent="0.35">
      <c r="T18288" s="246">
        <f t="shared" si="323"/>
        <v>0</v>
      </c>
    </row>
    <row r="18289" spans="20:20" ht="18.75" customHeight="1" x14ac:dyDescent="0.35">
      <c r="T18289" s="246">
        <f t="shared" si="323"/>
        <v>0</v>
      </c>
    </row>
    <row r="18290" spans="20:20" ht="18.75" customHeight="1" x14ac:dyDescent="0.35">
      <c r="T18290" s="246">
        <f t="shared" si="323"/>
        <v>0</v>
      </c>
    </row>
    <row r="18291" spans="20:20" ht="18.75" customHeight="1" x14ac:dyDescent="0.35">
      <c r="T18291" s="246">
        <f t="shared" si="323"/>
        <v>0</v>
      </c>
    </row>
    <row r="18292" spans="20:20" ht="18.75" customHeight="1" x14ac:dyDescent="0.35">
      <c r="T18292" s="246">
        <f t="shared" si="323"/>
        <v>0</v>
      </c>
    </row>
    <row r="18293" spans="20:20" ht="18.75" customHeight="1" x14ac:dyDescent="0.35">
      <c r="T18293" s="246">
        <f t="shared" si="323"/>
        <v>0</v>
      </c>
    </row>
    <row r="18294" spans="20:20" ht="18.75" customHeight="1" x14ac:dyDescent="0.35">
      <c r="T18294" s="246">
        <f t="shared" si="323"/>
        <v>0</v>
      </c>
    </row>
    <row r="18295" spans="20:20" ht="18.75" customHeight="1" x14ac:dyDescent="0.35">
      <c r="T18295" s="246">
        <f t="shared" si="323"/>
        <v>0</v>
      </c>
    </row>
    <row r="18296" spans="20:20" ht="18.75" customHeight="1" x14ac:dyDescent="0.35">
      <c r="T18296" s="246">
        <f t="shared" si="323"/>
        <v>0</v>
      </c>
    </row>
    <row r="18297" spans="20:20" ht="18.75" customHeight="1" x14ac:dyDescent="0.35">
      <c r="T18297" s="246">
        <f t="shared" si="323"/>
        <v>0</v>
      </c>
    </row>
    <row r="18298" spans="20:20" ht="18.75" customHeight="1" x14ac:dyDescent="0.35">
      <c r="T18298" s="246">
        <f t="shared" si="323"/>
        <v>0</v>
      </c>
    </row>
    <row r="18299" spans="20:20" ht="18.75" customHeight="1" x14ac:dyDescent="0.35">
      <c r="T18299" s="246">
        <f t="shared" si="323"/>
        <v>0</v>
      </c>
    </row>
    <row r="18300" spans="20:20" ht="18.75" customHeight="1" x14ac:dyDescent="0.35">
      <c r="T18300" s="246">
        <f t="shared" ref="T18300:T18363" si="324">R18300*0.01</f>
        <v>0</v>
      </c>
    </row>
    <row r="18301" spans="20:20" ht="18.75" customHeight="1" x14ac:dyDescent="0.35">
      <c r="T18301" s="246">
        <f t="shared" si="324"/>
        <v>0</v>
      </c>
    </row>
    <row r="18302" spans="20:20" ht="18.75" customHeight="1" x14ac:dyDescent="0.35">
      <c r="T18302" s="246">
        <f t="shared" si="324"/>
        <v>0</v>
      </c>
    </row>
    <row r="18303" spans="20:20" ht="18.75" customHeight="1" x14ac:dyDescent="0.35">
      <c r="T18303" s="246">
        <f t="shared" si="324"/>
        <v>0</v>
      </c>
    </row>
    <row r="18304" spans="20:20" ht="18.75" customHeight="1" x14ac:dyDescent="0.35">
      <c r="T18304" s="246">
        <f t="shared" si="324"/>
        <v>0</v>
      </c>
    </row>
    <row r="18305" spans="20:20" ht="18.75" customHeight="1" x14ac:dyDescent="0.35">
      <c r="T18305" s="246">
        <f t="shared" si="324"/>
        <v>0</v>
      </c>
    </row>
    <row r="18306" spans="20:20" ht="18.75" customHeight="1" x14ac:dyDescent="0.35">
      <c r="T18306" s="246">
        <f t="shared" si="324"/>
        <v>0</v>
      </c>
    </row>
    <row r="18307" spans="20:20" ht="18.75" customHeight="1" x14ac:dyDescent="0.35">
      <c r="T18307" s="246">
        <f t="shared" si="324"/>
        <v>0</v>
      </c>
    </row>
    <row r="18308" spans="20:20" ht="18.75" customHeight="1" x14ac:dyDescent="0.35">
      <c r="T18308" s="246">
        <f t="shared" si="324"/>
        <v>0</v>
      </c>
    </row>
    <row r="18309" spans="20:20" ht="18.75" customHeight="1" x14ac:dyDescent="0.35">
      <c r="T18309" s="246">
        <f t="shared" si="324"/>
        <v>0</v>
      </c>
    </row>
    <row r="18310" spans="20:20" ht="18.75" customHeight="1" x14ac:dyDescent="0.35">
      <c r="T18310" s="246">
        <f t="shared" si="324"/>
        <v>0</v>
      </c>
    </row>
    <row r="18311" spans="20:20" ht="18.75" customHeight="1" x14ac:dyDescent="0.35">
      <c r="T18311" s="246">
        <f t="shared" si="324"/>
        <v>0</v>
      </c>
    </row>
    <row r="18312" spans="20:20" ht="18.75" customHeight="1" x14ac:dyDescent="0.35">
      <c r="T18312" s="246">
        <f t="shared" si="324"/>
        <v>0</v>
      </c>
    </row>
    <row r="18313" spans="20:20" ht="18.75" customHeight="1" x14ac:dyDescent="0.35">
      <c r="T18313" s="246">
        <f t="shared" si="324"/>
        <v>0</v>
      </c>
    </row>
    <row r="18314" spans="20:20" ht="18.75" customHeight="1" x14ac:dyDescent="0.35">
      <c r="T18314" s="246">
        <f t="shared" si="324"/>
        <v>0</v>
      </c>
    </row>
    <row r="18315" spans="20:20" ht="18.75" customHeight="1" x14ac:dyDescent="0.35">
      <c r="T18315" s="246">
        <f t="shared" si="324"/>
        <v>0</v>
      </c>
    </row>
    <row r="18316" spans="20:20" ht="18.75" customHeight="1" x14ac:dyDescent="0.35">
      <c r="T18316" s="246">
        <f t="shared" si="324"/>
        <v>0</v>
      </c>
    </row>
    <row r="18317" spans="20:20" ht="18.75" customHeight="1" x14ac:dyDescent="0.35">
      <c r="T18317" s="246">
        <f t="shared" si="324"/>
        <v>0</v>
      </c>
    </row>
    <row r="18318" spans="20:20" ht="18.75" customHeight="1" x14ac:dyDescent="0.35">
      <c r="T18318" s="246">
        <f t="shared" si="324"/>
        <v>0</v>
      </c>
    </row>
    <row r="18319" spans="20:20" ht="18.75" customHeight="1" x14ac:dyDescent="0.35">
      <c r="T18319" s="246">
        <f t="shared" si="324"/>
        <v>0</v>
      </c>
    </row>
    <row r="18320" spans="20:20" ht="18.75" customHeight="1" x14ac:dyDescent="0.35">
      <c r="T18320" s="246">
        <f t="shared" si="324"/>
        <v>0</v>
      </c>
    </row>
    <row r="18321" spans="20:20" ht="18.75" customHeight="1" x14ac:dyDescent="0.35">
      <c r="T18321" s="246">
        <f t="shared" si="324"/>
        <v>0</v>
      </c>
    </row>
    <row r="18322" spans="20:20" ht="18.75" customHeight="1" x14ac:dyDescent="0.35">
      <c r="T18322" s="246">
        <f t="shared" si="324"/>
        <v>0</v>
      </c>
    </row>
    <row r="18323" spans="20:20" ht="18.75" customHeight="1" x14ac:dyDescent="0.35">
      <c r="T18323" s="246">
        <f t="shared" si="324"/>
        <v>0</v>
      </c>
    </row>
    <row r="18324" spans="20:20" ht="18.75" customHeight="1" x14ac:dyDescent="0.35">
      <c r="T18324" s="246">
        <f t="shared" si="324"/>
        <v>0</v>
      </c>
    </row>
    <row r="18325" spans="20:20" ht="18.75" customHeight="1" x14ac:dyDescent="0.35">
      <c r="T18325" s="246">
        <f t="shared" si="324"/>
        <v>0</v>
      </c>
    </row>
    <row r="18326" spans="20:20" ht="18.75" customHeight="1" x14ac:dyDescent="0.35">
      <c r="T18326" s="246">
        <f t="shared" si="324"/>
        <v>0</v>
      </c>
    </row>
    <row r="18327" spans="20:20" ht="18.75" customHeight="1" x14ac:dyDescent="0.35">
      <c r="T18327" s="246">
        <f t="shared" si="324"/>
        <v>0</v>
      </c>
    </row>
    <row r="18328" spans="20:20" ht="18.75" customHeight="1" x14ac:dyDescent="0.35">
      <c r="T18328" s="246">
        <f t="shared" si="324"/>
        <v>0</v>
      </c>
    </row>
    <row r="18329" spans="20:20" ht="18.75" customHeight="1" x14ac:dyDescent="0.35">
      <c r="T18329" s="246">
        <f t="shared" si="324"/>
        <v>0</v>
      </c>
    </row>
    <row r="18330" spans="20:20" ht="18.75" customHeight="1" x14ac:dyDescent="0.35">
      <c r="T18330" s="246">
        <f t="shared" si="324"/>
        <v>0</v>
      </c>
    </row>
    <row r="18331" spans="20:20" ht="18.75" customHeight="1" x14ac:dyDescent="0.35">
      <c r="T18331" s="246">
        <f t="shared" si="324"/>
        <v>0</v>
      </c>
    </row>
    <row r="18332" spans="20:20" ht="18.75" customHeight="1" x14ac:dyDescent="0.35">
      <c r="T18332" s="246">
        <f t="shared" si="324"/>
        <v>0</v>
      </c>
    </row>
    <row r="18333" spans="20:20" ht="18.75" customHeight="1" x14ac:dyDescent="0.35">
      <c r="T18333" s="246">
        <f t="shared" si="324"/>
        <v>0</v>
      </c>
    </row>
    <row r="18334" spans="20:20" ht="18.75" customHeight="1" x14ac:dyDescent="0.35">
      <c r="T18334" s="246">
        <f t="shared" si="324"/>
        <v>0</v>
      </c>
    </row>
    <row r="18335" spans="20:20" ht="18.75" customHeight="1" x14ac:dyDescent="0.35">
      <c r="T18335" s="246">
        <f t="shared" si="324"/>
        <v>0</v>
      </c>
    </row>
    <row r="18336" spans="20:20" ht="18.75" customHeight="1" x14ac:dyDescent="0.35">
      <c r="T18336" s="246">
        <f t="shared" si="324"/>
        <v>0</v>
      </c>
    </row>
    <row r="18337" spans="20:20" ht="18.75" customHeight="1" x14ac:dyDescent="0.35">
      <c r="T18337" s="246">
        <f t="shared" si="324"/>
        <v>0</v>
      </c>
    </row>
    <row r="18338" spans="20:20" ht="18.75" customHeight="1" x14ac:dyDescent="0.35">
      <c r="T18338" s="246">
        <f t="shared" si="324"/>
        <v>0</v>
      </c>
    </row>
    <row r="18339" spans="20:20" ht="18.75" customHeight="1" x14ac:dyDescent="0.35">
      <c r="T18339" s="246">
        <f t="shared" si="324"/>
        <v>0</v>
      </c>
    </row>
    <row r="18340" spans="20:20" ht="18.75" customHeight="1" x14ac:dyDescent="0.35">
      <c r="T18340" s="246">
        <f t="shared" si="324"/>
        <v>0</v>
      </c>
    </row>
    <row r="18341" spans="20:20" ht="18.75" customHeight="1" x14ac:dyDescent="0.35">
      <c r="T18341" s="246">
        <f t="shared" si="324"/>
        <v>0</v>
      </c>
    </row>
    <row r="18342" spans="20:20" ht="18.75" customHeight="1" x14ac:dyDescent="0.35">
      <c r="T18342" s="246">
        <f t="shared" si="324"/>
        <v>0</v>
      </c>
    </row>
    <row r="18343" spans="20:20" ht="18.75" customHeight="1" x14ac:dyDescent="0.35">
      <c r="T18343" s="246">
        <f t="shared" si="324"/>
        <v>0</v>
      </c>
    </row>
    <row r="18344" spans="20:20" ht="18.75" customHeight="1" x14ac:dyDescent="0.35">
      <c r="T18344" s="246">
        <f t="shared" si="324"/>
        <v>0</v>
      </c>
    </row>
    <row r="18345" spans="20:20" ht="18.75" customHeight="1" x14ac:dyDescent="0.35">
      <c r="T18345" s="246">
        <f t="shared" si="324"/>
        <v>0</v>
      </c>
    </row>
    <row r="18346" spans="20:20" ht="18.75" customHeight="1" x14ac:dyDescent="0.35">
      <c r="T18346" s="246">
        <f t="shared" si="324"/>
        <v>0</v>
      </c>
    </row>
    <row r="18347" spans="20:20" ht="18.75" customHeight="1" x14ac:dyDescent="0.35">
      <c r="T18347" s="246">
        <f t="shared" si="324"/>
        <v>0</v>
      </c>
    </row>
    <row r="18348" spans="20:20" ht="18.75" customHeight="1" x14ac:dyDescent="0.35">
      <c r="T18348" s="246">
        <f t="shared" si="324"/>
        <v>0</v>
      </c>
    </row>
    <row r="18349" spans="20:20" ht="18.75" customHeight="1" x14ac:dyDescent="0.35">
      <c r="T18349" s="246">
        <f t="shared" si="324"/>
        <v>0</v>
      </c>
    </row>
    <row r="18350" spans="20:20" ht="18.75" customHeight="1" x14ac:dyDescent="0.35">
      <c r="T18350" s="246">
        <f t="shared" si="324"/>
        <v>0</v>
      </c>
    </row>
    <row r="18351" spans="20:20" ht="18.75" customHeight="1" x14ac:dyDescent="0.35">
      <c r="T18351" s="246">
        <f t="shared" si="324"/>
        <v>0</v>
      </c>
    </row>
    <row r="18352" spans="20:20" ht="18.75" customHeight="1" x14ac:dyDescent="0.35">
      <c r="T18352" s="246">
        <f t="shared" si="324"/>
        <v>0</v>
      </c>
    </row>
    <row r="18353" spans="20:20" ht="18.75" customHeight="1" x14ac:dyDescent="0.35">
      <c r="T18353" s="246">
        <f t="shared" si="324"/>
        <v>0</v>
      </c>
    </row>
    <row r="18354" spans="20:20" ht="18.75" customHeight="1" x14ac:dyDescent="0.35">
      <c r="T18354" s="246">
        <f t="shared" si="324"/>
        <v>0</v>
      </c>
    </row>
    <row r="18355" spans="20:20" ht="18.75" customHeight="1" x14ac:dyDescent="0.35">
      <c r="T18355" s="246">
        <f t="shared" si="324"/>
        <v>0</v>
      </c>
    </row>
    <row r="18356" spans="20:20" ht="18.75" customHeight="1" x14ac:dyDescent="0.35">
      <c r="T18356" s="246">
        <f t="shared" si="324"/>
        <v>0</v>
      </c>
    </row>
    <row r="18357" spans="20:20" ht="18.75" customHeight="1" x14ac:dyDescent="0.35">
      <c r="T18357" s="246">
        <f t="shared" si="324"/>
        <v>0</v>
      </c>
    </row>
    <row r="18358" spans="20:20" ht="18.75" customHeight="1" x14ac:dyDescent="0.35">
      <c r="T18358" s="246">
        <f t="shared" si="324"/>
        <v>0</v>
      </c>
    </row>
    <row r="18359" spans="20:20" ht="18.75" customHeight="1" x14ac:dyDescent="0.35">
      <c r="T18359" s="246">
        <f t="shared" si="324"/>
        <v>0</v>
      </c>
    </row>
    <row r="18360" spans="20:20" ht="18.75" customHeight="1" x14ac:dyDescent="0.35">
      <c r="T18360" s="246">
        <f t="shared" si="324"/>
        <v>0</v>
      </c>
    </row>
    <row r="18361" spans="20:20" ht="18.75" customHeight="1" x14ac:dyDescent="0.35">
      <c r="T18361" s="246">
        <f t="shared" si="324"/>
        <v>0</v>
      </c>
    </row>
    <row r="18362" spans="20:20" ht="18.75" customHeight="1" x14ac:dyDescent="0.35">
      <c r="T18362" s="246">
        <f t="shared" si="324"/>
        <v>0</v>
      </c>
    </row>
    <row r="18363" spans="20:20" ht="18.75" customHeight="1" x14ac:dyDescent="0.35">
      <c r="T18363" s="246">
        <f t="shared" si="324"/>
        <v>0</v>
      </c>
    </row>
    <row r="18364" spans="20:20" ht="18.75" customHeight="1" x14ac:dyDescent="0.35">
      <c r="T18364" s="246">
        <f t="shared" ref="T18364:T18427" si="325">R18364*0.01</f>
        <v>0</v>
      </c>
    </row>
    <row r="18365" spans="20:20" ht="18.75" customHeight="1" x14ac:dyDescent="0.35">
      <c r="T18365" s="246">
        <f t="shared" si="325"/>
        <v>0</v>
      </c>
    </row>
    <row r="18366" spans="20:20" ht="18.75" customHeight="1" x14ac:dyDescent="0.35">
      <c r="T18366" s="246">
        <f t="shared" si="325"/>
        <v>0</v>
      </c>
    </row>
    <row r="18367" spans="20:20" ht="18.75" customHeight="1" x14ac:dyDescent="0.35">
      <c r="T18367" s="246">
        <f t="shared" si="325"/>
        <v>0</v>
      </c>
    </row>
    <row r="18368" spans="20:20" ht="18.75" customHeight="1" x14ac:dyDescent="0.35">
      <c r="T18368" s="246">
        <f t="shared" si="325"/>
        <v>0</v>
      </c>
    </row>
    <row r="18369" spans="20:20" ht="18.75" customHeight="1" x14ac:dyDescent="0.35">
      <c r="T18369" s="246">
        <f t="shared" si="325"/>
        <v>0</v>
      </c>
    </row>
    <row r="18370" spans="20:20" ht="18.75" customHeight="1" x14ac:dyDescent="0.35">
      <c r="T18370" s="246">
        <f t="shared" si="325"/>
        <v>0</v>
      </c>
    </row>
    <row r="18371" spans="20:20" ht="18.75" customHeight="1" x14ac:dyDescent="0.35">
      <c r="T18371" s="246">
        <f t="shared" si="325"/>
        <v>0</v>
      </c>
    </row>
    <row r="18372" spans="20:20" ht="18.75" customHeight="1" x14ac:dyDescent="0.35">
      <c r="T18372" s="246">
        <f t="shared" si="325"/>
        <v>0</v>
      </c>
    </row>
    <row r="18373" spans="20:20" ht="18.75" customHeight="1" x14ac:dyDescent="0.35">
      <c r="T18373" s="246">
        <f t="shared" si="325"/>
        <v>0</v>
      </c>
    </row>
    <row r="18374" spans="20:20" ht="18.75" customHeight="1" x14ac:dyDescent="0.35">
      <c r="T18374" s="246">
        <f t="shared" si="325"/>
        <v>0</v>
      </c>
    </row>
    <row r="18375" spans="20:20" ht="18.75" customHeight="1" x14ac:dyDescent="0.35">
      <c r="T18375" s="246">
        <f t="shared" si="325"/>
        <v>0</v>
      </c>
    </row>
    <row r="18376" spans="20:20" ht="18.75" customHeight="1" x14ac:dyDescent="0.35">
      <c r="T18376" s="246">
        <f t="shared" si="325"/>
        <v>0</v>
      </c>
    </row>
    <row r="18377" spans="20:20" ht="18.75" customHeight="1" x14ac:dyDescent="0.35">
      <c r="T18377" s="246">
        <f t="shared" si="325"/>
        <v>0</v>
      </c>
    </row>
    <row r="18378" spans="20:20" ht="18.75" customHeight="1" x14ac:dyDescent="0.35">
      <c r="T18378" s="246">
        <f t="shared" si="325"/>
        <v>0</v>
      </c>
    </row>
    <row r="18379" spans="20:20" ht="18.75" customHeight="1" x14ac:dyDescent="0.35">
      <c r="T18379" s="246">
        <f t="shared" si="325"/>
        <v>0</v>
      </c>
    </row>
    <row r="18380" spans="20:20" ht="18.75" customHeight="1" x14ac:dyDescent="0.35">
      <c r="T18380" s="246">
        <f t="shared" si="325"/>
        <v>0</v>
      </c>
    </row>
    <row r="18381" spans="20:20" ht="18.75" customHeight="1" x14ac:dyDescent="0.35">
      <c r="T18381" s="246">
        <f t="shared" si="325"/>
        <v>0</v>
      </c>
    </row>
    <row r="18382" spans="20:20" ht="18.75" customHeight="1" x14ac:dyDescent="0.35">
      <c r="T18382" s="246">
        <f t="shared" si="325"/>
        <v>0</v>
      </c>
    </row>
    <row r="18383" spans="20:20" ht="18.75" customHeight="1" x14ac:dyDescent="0.35">
      <c r="T18383" s="246">
        <f t="shared" si="325"/>
        <v>0</v>
      </c>
    </row>
    <row r="18384" spans="20:20" ht="18.75" customHeight="1" x14ac:dyDescent="0.35">
      <c r="T18384" s="246">
        <f t="shared" si="325"/>
        <v>0</v>
      </c>
    </row>
    <row r="18385" spans="20:20" ht="18.75" customHeight="1" x14ac:dyDescent="0.35">
      <c r="T18385" s="246">
        <f t="shared" si="325"/>
        <v>0</v>
      </c>
    </row>
    <row r="18386" spans="20:20" ht="18.75" customHeight="1" x14ac:dyDescent="0.35">
      <c r="T18386" s="246">
        <f t="shared" si="325"/>
        <v>0</v>
      </c>
    </row>
    <row r="18387" spans="20:20" ht="18.75" customHeight="1" x14ac:dyDescent="0.35">
      <c r="T18387" s="246">
        <f t="shared" si="325"/>
        <v>0</v>
      </c>
    </row>
    <row r="18388" spans="20:20" ht="18.75" customHeight="1" x14ac:dyDescent="0.35">
      <c r="T18388" s="246">
        <f t="shared" si="325"/>
        <v>0</v>
      </c>
    </row>
    <row r="18389" spans="20:20" ht="18.75" customHeight="1" x14ac:dyDescent="0.35">
      <c r="T18389" s="246">
        <f t="shared" si="325"/>
        <v>0</v>
      </c>
    </row>
    <row r="18390" spans="20:20" ht="18.75" customHeight="1" x14ac:dyDescent="0.35">
      <c r="T18390" s="246">
        <f t="shared" si="325"/>
        <v>0</v>
      </c>
    </row>
    <row r="18391" spans="20:20" ht="18.75" customHeight="1" x14ac:dyDescent="0.35">
      <c r="T18391" s="246">
        <f t="shared" si="325"/>
        <v>0</v>
      </c>
    </row>
    <row r="18392" spans="20:20" ht="18.75" customHeight="1" x14ac:dyDescent="0.35">
      <c r="T18392" s="246">
        <f t="shared" si="325"/>
        <v>0</v>
      </c>
    </row>
    <row r="18393" spans="20:20" ht="18.75" customHeight="1" x14ac:dyDescent="0.35">
      <c r="T18393" s="246">
        <f t="shared" si="325"/>
        <v>0</v>
      </c>
    </row>
    <row r="18394" spans="20:20" ht="18.75" customHeight="1" x14ac:dyDescent="0.35">
      <c r="T18394" s="246">
        <f t="shared" si="325"/>
        <v>0</v>
      </c>
    </row>
    <row r="18395" spans="20:20" ht="18.75" customHeight="1" x14ac:dyDescent="0.35">
      <c r="T18395" s="246">
        <f t="shared" si="325"/>
        <v>0</v>
      </c>
    </row>
    <row r="18396" spans="20:20" ht="18.75" customHeight="1" x14ac:dyDescent="0.35">
      <c r="T18396" s="246">
        <f t="shared" si="325"/>
        <v>0</v>
      </c>
    </row>
    <row r="18397" spans="20:20" ht="18.75" customHeight="1" x14ac:dyDescent="0.35">
      <c r="T18397" s="246">
        <f t="shared" si="325"/>
        <v>0</v>
      </c>
    </row>
    <row r="18398" spans="20:20" ht="18.75" customHeight="1" x14ac:dyDescent="0.35">
      <c r="T18398" s="246">
        <f t="shared" si="325"/>
        <v>0</v>
      </c>
    </row>
    <row r="18399" spans="20:20" ht="18.75" customHeight="1" x14ac:dyDescent="0.35">
      <c r="T18399" s="246">
        <f t="shared" si="325"/>
        <v>0</v>
      </c>
    </row>
    <row r="18400" spans="20:20" ht="18.75" customHeight="1" x14ac:dyDescent="0.35">
      <c r="T18400" s="246">
        <f t="shared" si="325"/>
        <v>0</v>
      </c>
    </row>
    <row r="18401" spans="20:20" ht="18.75" customHeight="1" x14ac:dyDescent="0.35">
      <c r="T18401" s="246">
        <f t="shared" si="325"/>
        <v>0</v>
      </c>
    </row>
    <row r="18402" spans="20:20" ht="18.75" customHeight="1" x14ac:dyDescent="0.35">
      <c r="T18402" s="246">
        <f t="shared" si="325"/>
        <v>0</v>
      </c>
    </row>
    <row r="18403" spans="20:20" ht="18.75" customHeight="1" x14ac:dyDescent="0.35">
      <c r="T18403" s="246">
        <f t="shared" si="325"/>
        <v>0</v>
      </c>
    </row>
    <row r="18404" spans="20:20" ht="18.75" customHeight="1" x14ac:dyDescent="0.35">
      <c r="T18404" s="246">
        <f t="shared" si="325"/>
        <v>0</v>
      </c>
    </row>
    <row r="18405" spans="20:20" ht="18.75" customHeight="1" x14ac:dyDescent="0.35">
      <c r="T18405" s="246">
        <f t="shared" si="325"/>
        <v>0</v>
      </c>
    </row>
    <row r="18406" spans="20:20" ht="18.75" customHeight="1" x14ac:dyDescent="0.35">
      <c r="T18406" s="246">
        <f t="shared" si="325"/>
        <v>0</v>
      </c>
    </row>
    <row r="18407" spans="20:20" ht="18.75" customHeight="1" x14ac:dyDescent="0.35">
      <c r="T18407" s="246">
        <f t="shared" si="325"/>
        <v>0</v>
      </c>
    </row>
    <row r="18408" spans="20:20" ht="18.75" customHeight="1" x14ac:dyDescent="0.35">
      <c r="T18408" s="246">
        <f t="shared" si="325"/>
        <v>0</v>
      </c>
    </row>
    <row r="18409" spans="20:20" ht="18.75" customHeight="1" x14ac:dyDescent="0.35">
      <c r="T18409" s="246">
        <f t="shared" si="325"/>
        <v>0</v>
      </c>
    </row>
    <row r="18410" spans="20:20" ht="18.75" customHeight="1" x14ac:dyDescent="0.35">
      <c r="T18410" s="246">
        <f t="shared" si="325"/>
        <v>0</v>
      </c>
    </row>
    <row r="18411" spans="20:20" ht="18.75" customHeight="1" x14ac:dyDescent="0.35">
      <c r="T18411" s="246">
        <f t="shared" si="325"/>
        <v>0</v>
      </c>
    </row>
    <row r="18412" spans="20:20" ht="18.75" customHeight="1" x14ac:dyDescent="0.35">
      <c r="T18412" s="246">
        <f t="shared" si="325"/>
        <v>0</v>
      </c>
    </row>
    <row r="18413" spans="20:20" ht="18.75" customHeight="1" x14ac:dyDescent="0.35">
      <c r="T18413" s="246">
        <f t="shared" si="325"/>
        <v>0</v>
      </c>
    </row>
    <row r="18414" spans="20:20" ht="18.75" customHeight="1" x14ac:dyDescent="0.35">
      <c r="T18414" s="246">
        <f t="shared" si="325"/>
        <v>0</v>
      </c>
    </row>
    <row r="18415" spans="20:20" ht="18.75" customHeight="1" x14ac:dyDescent="0.35">
      <c r="T18415" s="246">
        <f t="shared" si="325"/>
        <v>0</v>
      </c>
    </row>
    <row r="18416" spans="20:20" ht="18.75" customHeight="1" x14ac:dyDescent="0.35">
      <c r="T18416" s="246">
        <f t="shared" si="325"/>
        <v>0</v>
      </c>
    </row>
    <row r="18417" spans="20:20" ht="18.75" customHeight="1" x14ac:dyDescent="0.35">
      <c r="T18417" s="246">
        <f t="shared" si="325"/>
        <v>0</v>
      </c>
    </row>
    <row r="18418" spans="20:20" ht="18.75" customHeight="1" x14ac:dyDescent="0.35">
      <c r="T18418" s="246">
        <f t="shared" si="325"/>
        <v>0</v>
      </c>
    </row>
    <row r="18419" spans="20:20" ht="18.75" customHeight="1" x14ac:dyDescent="0.35">
      <c r="T18419" s="246">
        <f t="shared" si="325"/>
        <v>0</v>
      </c>
    </row>
    <row r="18420" spans="20:20" ht="18.75" customHeight="1" x14ac:dyDescent="0.35">
      <c r="T18420" s="246">
        <f t="shared" si="325"/>
        <v>0</v>
      </c>
    </row>
    <row r="18421" spans="20:20" ht="18.75" customHeight="1" x14ac:dyDescent="0.35">
      <c r="T18421" s="246">
        <f t="shared" si="325"/>
        <v>0</v>
      </c>
    </row>
    <row r="18422" spans="20:20" ht="18.75" customHeight="1" x14ac:dyDescent="0.35">
      <c r="T18422" s="246">
        <f t="shared" si="325"/>
        <v>0</v>
      </c>
    </row>
    <row r="18423" spans="20:20" ht="18.75" customHeight="1" x14ac:dyDescent="0.35">
      <c r="T18423" s="246">
        <f t="shared" si="325"/>
        <v>0</v>
      </c>
    </row>
    <row r="18424" spans="20:20" ht="18.75" customHeight="1" x14ac:dyDescent="0.35">
      <c r="T18424" s="246">
        <f t="shared" si="325"/>
        <v>0</v>
      </c>
    </row>
    <row r="18425" spans="20:20" ht="18.75" customHeight="1" x14ac:dyDescent="0.35">
      <c r="T18425" s="246">
        <f t="shared" si="325"/>
        <v>0</v>
      </c>
    </row>
    <row r="18426" spans="20:20" ht="18.75" customHeight="1" x14ac:dyDescent="0.35">
      <c r="T18426" s="246">
        <f t="shared" si="325"/>
        <v>0</v>
      </c>
    </row>
    <row r="18427" spans="20:20" ht="18.75" customHeight="1" x14ac:dyDescent="0.35">
      <c r="T18427" s="246">
        <f t="shared" si="325"/>
        <v>0</v>
      </c>
    </row>
    <row r="18428" spans="20:20" ht="18.75" customHeight="1" x14ac:dyDescent="0.35">
      <c r="T18428" s="246">
        <f t="shared" ref="T18428:T18491" si="326">R18428*0.01</f>
        <v>0</v>
      </c>
    </row>
    <row r="18429" spans="20:20" ht="18.75" customHeight="1" x14ac:dyDescent="0.35">
      <c r="T18429" s="246">
        <f t="shared" si="326"/>
        <v>0</v>
      </c>
    </row>
    <row r="18430" spans="20:20" ht="18.75" customHeight="1" x14ac:dyDescent="0.35">
      <c r="T18430" s="246">
        <f t="shared" si="326"/>
        <v>0</v>
      </c>
    </row>
    <row r="18431" spans="20:20" ht="18.75" customHeight="1" x14ac:dyDescent="0.35">
      <c r="T18431" s="246">
        <f t="shared" si="326"/>
        <v>0</v>
      </c>
    </row>
    <row r="18432" spans="20:20" ht="18.75" customHeight="1" x14ac:dyDescent="0.35">
      <c r="T18432" s="246">
        <f t="shared" si="326"/>
        <v>0</v>
      </c>
    </row>
    <row r="18433" spans="20:20" ht="18.75" customHeight="1" x14ac:dyDescent="0.35">
      <c r="T18433" s="246">
        <f t="shared" si="326"/>
        <v>0</v>
      </c>
    </row>
    <row r="18434" spans="20:20" ht="18.75" customHeight="1" x14ac:dyDescent="0.35">
      <c r="T18434" s="246">
        <f t="shared" si="326"/>
        <v>0</v>
      </c>
    </row>
    <row r="18435" spans="20:20" ht="18.75" customHeight="1" x14ac:dyDescent="0.35">
      <c r="T18435" s="246">
        <f t="shared" si="326"/>
        <v>0</v>
      </c>
    </row>
    <row r="18436" spans="20:20" ht="18.75" customHeight="1" x14ac:dyDescent="0.35">
      <c r="T18436" s="246">
        <f t="shared" si="326"/>
        <v>0</v>
      </c>
    </row>
    <row r="18437" spans="20:20" ht="18.75" customHeight="1" x14ac:dyDescent="0.35">
      <c r="T18437" s="246">
        <f t="shared" si="326"/>
        <v>0</v>
      </c>
    </row>
    <row r="18438" spans="20:20" ht="18.75" customHeight="1" x14ac:dyDescent="0.35">
      <c r="T18438" s="246">
        <f t="shared" si="326"/>
        <v>0</v>
      </c>
    </row>
    <row r="18439" spans="20:20" ht="18.75" customHeight="1" x14ac:dyDescent="0.35">
      <c r="T18439" s="246">
        <f t="shared" si="326"/>
        <v>0</v>
      </c>
    </row>
    <row r="18440" spans="20:20" ht="18.75" customHeight="1" x14ac:dyDescent="0.35">
      <c r="T18440" s="246">
        <f t="shared" si="326"/>
        <v>0</v>
      </c>
    </row>
    <row r="18441" spans="20:20" ht="18.75" customHeight="1" x14ac:dyDescent="0.35">
      <c r="T18441" s="246">
        <f t="shared" si="326"/>
        <v>0</v>
      </c>
    </row>
    <row r="18442" spans="20:20" ht="18.75" customHeight="1" x14ac:dyDescent="0.35">
      <c r="T18442" s="246">
        <f t="shared" si="326"/>
        <v>0</v>
      </c>
    </row>
    <row r="18443" spans="20:20" ht="18.75" customHeight="1" x14ac:dyDescent="0.35">
      <c r="T18443" s="246">
        <f t="shared" si="326"/>
        <v>0</v>
      </c>
    </row>
    <row r="18444" spans="20:20" ht="18.75" customHeight="1" x14ac:dyDescent="0.35">
      <c r="T18444" s="246">
        <f t="shared" si="326"/>
        <v>0</v>
      </c>
    </row>
    <row r="18445" spans="20:20" ht="18.75" customHeight="1" x14ac:dyDescent="0.35">
      <c r="T18445" s="246">
        <f t="shared" si="326"/>
        <v>0</v>
      </c>
    </row>
    <row r="18446" spans="20:20" ht="18.75" customHeight="1" x14ac:dyDescent="0.35">
      <c r="T18446" s="246">
        <f t="shared" si="326"/>
        <v>0</v>
      </c>
    </row>
    <row r="18447" spans="20:20" ht="18.75" customHeight="1" x14ac:dyDescent="0.35">
      <c r="T18447" s="246">
        <f t="shared" si="326"/>
        <v>0</v>
      </c>
    </row>
    <row r="18448" spans="20:20" ht="18.75" customHeight="1" x14ac:dyDescent="0.35">
      <c r="T18448" s="246">
        <f t="shared" si="326"/>
        <v>0</v>
      </c>
    </row>
    <row r="18449" spans="20:20" ht="18.75" customHeight="1" x14ac:dyDescent="0.35">
      <c r="T18449" s="246">
        <f t="shared" si="326"/>
        <v>0</v>
      </c>
    </row>
    <row r="18450" spans="20:20" ht="18.75" customHeight="1" x14ac:dyDescent="0.35">
      <c r="T18450" s="246">
        <f t="shared" si="326"/>
        <v>0</v>
      </c>
    </row>
    <row r="18451" spans="20:20" ht="18.75" customHeight="1" x14ac:dyDescent="0.35">
      <c r="T18451" s="246">
        <f t="shared" si="326"/>
        <v>0</v>
      </c>
    </row>
    <row r="18452" spans="20:20" ht="18.75" customHeight="1" x14ac:dyDescent="0.35">
      <c r="T18452" s="246">
        <f t="shared" si="326"/>
        <v>0</v>
      </c>
    </row>
    <row r="18453" spans="20:20" ht="18.75" customHeight="1" x14ac:dyDescent="0.35">
      <c r="T18453" s="246">
        <f t="shared" si="326"/>
        <v>0</v>
      </c>
    </row>
    <row r="18454" spans="20:20" ht="18.75" customHeight="1" x14ac:dyDescent="0.35">
      <c r="T18454" s="246">
        <f t="shared" si="326"/>
        <v>0</v>
      </c>
    </row>
    <row r="18455" spans="20:20" ht="18.75" customHeight="1" x14ac:dyDescent="0.35">
      <c r="T18455" s="246">
        <f t="shared" si="326"/>
        <v>0</v>
      </c>
    </row>
    <row r="18456" spans="20:20" ht="18.75" customHeight="1" x14ac:dyDescent="0.35">
      <c r="T18456" s="246">
        <f t="shared" si="326"/>
        <v>0</v>
      </c>
    </row>
    <row r="18457" spans="20:20" ht="18.75" customHeight="1" x14ac:dyDescent="0.35">
      <c r="T18457" s="246">
        <f t="shared" si="326"/>
        <v>0</v>
      </c>
    </row>
    <row r="18458" spans="20:20" ht="18.75" customHeight="1" x14ac:dyDescent="0.35">
      <c r="T18458" s="246">
        <f t="shared" si="326"/>
        <v>0</v>
      </c>
    </row>
    <row r="18459" spans="20:20" ht="18.75" customHeight="1" x14ac:dyDescent="0.35">
      <c r="T18459" s="246">
        <f t="shared" si="326"/>
        <v>0</v>
      </c>
    </row>
    <row r="18460" spans="20:20" ht="18.75" customHeight="1" x14ac:dyDescent="0.35">
      <c r="T18460" s="246">
        <f t="shared" si="326"/>
        <v>0</v>
      </c>
    </row>
    <row r="18461" spans="20:20" ht="18.75" customHeight="1" x14ac:dyDescent="0.35">
      <c r="T18461" s="246">
        <f t="shared" si="326"/>
        <v>0</v>
      </c>
    </row>
    <row r="18462" spans="20:20" ht="18.75" customHeight="1" x14ac:dyDescent="0.35">
      <c r="T18462" s="246">
        <f t="shared" si="326"/>
        <v>0</v>
      </c>
    </row>
    <row r="18463" spans="20:20" ht="18.75" customHeight="1" x14ac:dyDescent="0.35">
      <c r="T18463" s="246">
        <f t="shared" si="326"/>
        <v>0</v>
      </c>
    </row>
    <row r="18464" spans="20:20" ht="18.75" customHeight="1" x14ac:dyDescent="0.35">
      <c r="T18464" s="246">
        <f t="shared" si="326"/>
        <v>0</v>
      </c>
    </row>
    <row r="18465" spans="20:20" ht="18.75" customHeight="1" x14ac:dyDescent="0.35">
      <c r="T18465" s="246">
        <f t="shared" si="326"/>
        <v>0</v>
      </c>
    </row>
    <row r="18466" spans="20:20" ht="18.75" customHeight="1" x14ac:dyDescent="0.35">
      <c r="T18466" s="246">
        <f t="shared" si="326"/>
        <v>0</v>
      </c>
    </row>
    <row r="18467" spans="20:20" ht="18.75" customHeight="1" x14ac:dyDescent="0.35">
      <c r="T18467" s="246">
        <f t="shared" si="326"/>
        <v>0</v>
      </c>
    </row>
    <row r="18468" spans="20:20" ht="18.75" customHeight="1" x14ac:dyDescent="0.35">
      <c r="T18468" s="246">
        <f t="shared" si="326"/>
        <v>0</v>
      </c>
    </row>
    <row r="18469" spans="20:20" ht="18.75" customHeight="1" x14ac:dyDescent="0.35">
      <c r="T18469" s="246">
        <f t="shared" si="326"/>
        <v>0</v>
      </c>
    </row>
    <row r="18470" spans="20:20" ht="18.75" customHeight="1" x14ac:dyDescent="0.35">
      <c r="T18470" s="246">
        <f t="shared" si="326"/>
        <v>0</v>
      </c>
    </row>
    <row r="18471" spans="20:20" ht="18.75" customHeight="1" x14ac:dyDescent="0.35">
      <c r="T18471" s="246">
        <f t="shared" si="326"/>
        <v>0</v>
      </c>
    </row>
    <row r="18472" spans="20:20" ht="18.75" customHeight="1" x14ac:dyDescent="0.35">
      <c r="T18472" s="246">
        <f t="shared" si="326"/>
        <v>0</v>
      </c>
    </row>
    <row r="18473" spans="20:20" ht="18.75" customHeight="1" x14ac:dyDescent="0.35">
      <c r="T18473" s="246">
        <f t="shared" si="326"/>
        <v>0</v>
      </c>
    </row>
    <row r="18474" spans="20:20" ht="18.75" customHeight="1" x14ac:dyDescent="0.35">
      <c r="T18474" s="246">
        <f t="shared" si="326"/>
        <v>0</v>
      </c>
    </row>
    <row r="18475" spans="20:20" ht="18.75" customHeight="1" x14ac:dyDescent="0.35">
      <c r="T18475" s="246">
        <f t="shared" si="326"/>
        <v>0</v>
      </c>
    </row>
    <row r="18476" spans="20:20" ht="18.75" customHeight="1" x14ac:dyDescent="0.35">
      <c r="T18476" s="246">
        <f t="shared" si="326"/>
        <v>0</v>
      </c>
    </row>
    <row r="18477" spans="20:20" ht="18.75" customHeight="1" x14ac:dyDescent="0.35">
      <c r="T18477" s="246">
        <f t="shared" si="326"/>
        <v>0</v>
      </c>
    </row>
    <row r="18478" spans="20:20" ht="18.75" customHeight="1" x14ac:dyDescent="0.35">
      <c r="T18478" s="246">
        <f t="shared" si="326"/>
        <v>0</v>
      </c>
    </row>
    <row r="18479" spans="20:20" ht="18.75" customHeight="1" x14ac:dyDescent="0.35">
      <c r="T18479" s="246">
        <f t="shared" si="326"/>
        <v>0</v>
      </c>
    </row>
    <row r="18480" spans="20:20" ht="18.75" customHeight="1" x14ac:dyDescent="0.35">
      <c r="T18480" s="246">
        <f t="shared" si="326"/>
        <v>0</v>
      </c>
    </row>
    <row r="18481" spans="20:20" ht="18.75" customHeight="1" x14ac:dyDescent="0.35">
      <c r="T18481" s="246">
        <f t="shared" si="326"/>
        <v>0</v>
      </c>
    </row>
    <row r="18482" spans="20:20" ht="18.75" customHeight="1" x14ac:dyDescent="0.35">
      <c r="T18482" s="246">
        <f t="shared" si="326"/>
        <v>0</v>
      </c>
    </row>
    <row r="18483" spans="20:20" ht="18.75" customHeight="1" x14ac:dyDescent="0.35">
      <c r="T18483" s="246">
        <f t="shared" si="326"/>
        <v>0</v>
      </c>
    </row>
    <row r="18484" spans="20:20" ht="18.75" customHeight="1" x14ac:dyDescent="0.35">
      <c r="T18484" s="246">
        <f t="shared" si="326"/>
        <v>0</v>
      </c>
    </row>
    <row r="18485" spans="20:20" ht="18.75" customHeight="1" x14ac:dyDescent="0.35">
      <c r="T18485" s="246">
        <f t="shared" si="326"/>
        <v>0</v>
      </c>
    </row>
    <row r="18486" spans="20:20" ht="18.75" customHeight="1" x14ac:dyDescent="0.35">
      <c r="T18486" s="246">
        <f t="shared" si="326"/>
        <v>0</v>
      </c>
    </row>
    <row r="18487" spans="20:20" ht="18.75" customHeight="1" x14ac:dyDescent="0.35">
      <c r="T18487" s="246">
        <f t="shared" si="326"/>
        <v>0</v>
      </c>
    </row>
    <row r="18488" spans="20:20" ht="18.75" customHeight="1" x14ac:dyDescent="0.35">
      <c r="T18488" s="246">
        <f t="shared" si="326"/>
        <v>0</v>
      </c>
    </row>
    <row r="18489" spans="20:20" ht="18.75" customHeight="1" x14ac:dyDescent="0.35">
      <c r="T18489" s="246">
        <f t="shared" si="326"/>
        <v>0</v>
      </c>
    </row>
    <row r="18490" spans="20:20" ht="18.75" customHeight="1" x14ac:dyDescent="0.35">
      <c r="T18490" s="246">
        <f t="shared" si="326"/>
        <v>0</v>
      </c>
    </row>
    <row r="18491" spans="20:20" ht="18.75" customHeight="1" x14ac:dyDescent="0.35">
      <c r="T18491" s="246">
        <f t="shared" si="326"/>
        <v>0</v>
      </c>
    </row>
    <row r="18492" spans="20:20" ht="18.75" customHeight="1" x14ac:dyDescent="0.35">
      <c r="T18492" s="246">
        <f t="shared" ref="T18492:T18555" si="327">R18492*0.01</f>
        <v>0</v>
      </c>
    </row>
    <row r="18493" spans="20:20" ht="18.75" customHeight="1" x14ac:dyDescent="0.35">
      <c r="T18493" s="246">
        <f t="shared" si="327"/>
        <v>0</v>
      </c>
    </row>
    <row r="18494" spans="20:20" ht="18.75" customHeight="1" x14ac:dyDescent="0.35">
      <c r="T18494" s="246">
        <f t="shared" si="327"/>
        <v>0</v>
      </c>
    </row>
    <row r="18495" spans="20:20" ht="18.75" customHeight="1" x14ac:dyDescent="0.35">
      <c r="T18495" s="246">
        <f t="shared" si="327"/>
        <v>0</v>
      </c>
    </row>
    <row r="18496" spans="20:20" ht="18.75" customHeight="1" x14ac:dyDescent="0.35">
      <c r="T18496" s="246">
        <f t="shared" si="327"/>
        <v>0</v>
      </c>
    </row>
    <row r="18497" spans="20:20" ht="18.75" customHeight="1" x14ac:dyDescent="0.35">
      <c r="T18497" s="246">
        <f t="shared" si="327"/>
        <v>0</v>
      </c>
    </row>
    <row r="18498" spans="20:20" ht="18.75" customHeight="1" x14ac:dyDescent="0.35">
      <c r="T18498" s="246">
        <f t="shared" si="327"/>
        <v>0</v>
      </c>
    </row>
    <row r="18499" spans="20:20" ht="18.75" customHeight="1" x14ac:dyDescent="0.35">
      <c r="T18499" s="246">
        <f t="shared" si="327"/>
        <v>0</v>
      </c>
    </row>
    <row r="18500" spans="20:20" ht="18.75" customHeight="1" x14ac:dyDescent="0.35">
      <c r="T18500" s="246">
        <f t="shared" si="327"/>
        <v>0</v>
      </c>
    </row>
    <row r="18501" spans="20:20" ht="18.75" customHeight="1" x14ac:dyDescent="0.35">
      <c r="T18501" s="246">
        <f t="shared" si="327"/>
        <v>0</v>
      </c>
    </row>
    <row r="18502" spans="20:20" ht="18.75" customHeight="1" x14ac:dyDescent="0.35">
      <c r="T18502" s="246">
        <f t="shared" si="327"/>
        <v>0</v>
      </c>
    </row>
    <row r="18503" spans="20:20" ht="18.75" customHeight="1" x14ac:dyDescent="0.35">
      <c r="T18503" s="246">
        <f t="shared" si="327"/>
        <v>0</v>
      </c>
    </row>
    <row r="18504" spans="20:20" ht="18.75" customHeight="1" x14ac:dyDescent="0.35">
      <c r="T18504" s="246">
        <f t="shared" si="327"/>
        <v>0</v>
      </c>
    </row>
    <row r="18505" spans="20:20" ht="18.75" customHeight="1" x14ac:dyDescent="0.35">
      <c r="T18505" s="246">
        <f t="shared" si="327"/>
        <v>0</v>
      </c>
    </row>
    <row r="18506" spans="20:20" ht="18.75" customHeight="1" x14ac:dyDescent="0.35">
      <c r="T18506" s="246">
        <f t="shared" si="327"/>
        <v>0</v>
      </c>
    </row>
    <row r="18507" spans="20:20" ht="18.75" customHeight="1" x14ac:dyDescent="0.35">
      <c r="T18507" s="246">
        <f t="shared" si="327"/>
        <v>0</v>
      </c>
    </row>
    <row r="18508" spans="20:20" ht="18.75" customHeight="1" x14ac:dyDescent="0.35">
      <c r="T18508" s="246">
        <f t="shared" si="327"/>
        <v>0</v>
      </c>
    </row>
    <row r="18509" spans="20:20" ht="18.75" customHeight="1" x14ac:dyDescent="0.35">
      <c r="T18509" s="246">
        <f t="shared" si="327"/>
        <v>0</v>
      </c>
    </row>
    <row r="18510" spans="20:20" ht="18.75" customHeight="1" x14ac:dyDescent="0.35">
      <c r="T18510" s="246">
        <f t="shared" si="327"/>
        <v>0</v>
      </c>
    </row>
    <row r="18511" spans="20:20" ht="18.75" customHeight="1" x14ac:dyDescent="0.35">
      <c r="T18511" s="246">
        <f t="shared" si="327"/>
        <v>0</v>
      </c>
    </row>
    <row r="18512" spans="20:20" ht="18.75" customHeight="1" x14ac:dyDescent="0.35">
      <c r="T18512" s="246">
        <f t="shared" si="327"/>
        <v>0</v>
      </c>
    </row>
    <row r="18513" spans="20:20" ht="18.75" customHeight="1" x14ac:dyDescent="0.35">
      <c r="T18513" s="246">
        <f t="shared" si="327"/>
        <v>0</v>
      </c>
    </row>
    <row r="18514" spans="20:20" ht="18.75" customHeight="1" x14ac:dyDescent="0.35">
      <c r="T18514" s="246">
        <f t="shared" si="327"/>
        <v>0</v>
      </c>
    </row>
    <row r="18515" spans="20:20" ht="18.75" customHeight="1" x14ac:dyDescent="0.35">
      <c r="T18515" s="246">
        <f t="shared" si="327"/>
        <v>0</v>
      </c>
    </row>
    <row r="18516" spans="20:20" ht="18.75" customHeight="1" x14ac:dyDescent="0.35">
      <c r="T18516" s="246">
        <f t="shared" si="327"/>
        <v>0</v>
      </c>
    </row>
    <row r="18517" spans="20:20" ht="18.75" customHeight="1" x14ac:dyDescent="0.35">
      <c r="T18517" s="246">
        <f t="shared" si="327"/>
        <v>0</v>
      </c>
    </row>
    <row r="18518" spans="20:20" ht="18.75" customHeight="1" x14ac:dyDescent="0.35">
      <c r="T18518" s="246">
        <f t="shared" si="327"/>
        <v>0</v>
      </c>
    </row>
    <row r="18519" spans="20:20" ht="18.75" customHeight="1" x14ac:dyDescent="0.35">
      <c r="T18519" s="246">
        <f t="shared" si="327"/>
        <v>0</v>
      </c>
    </row>
    <row r="18520" spans="20:20" ht="18.75" customHeight="1" x14ac:dyDescent="0.35">
      <c r="T18520" s="246">
        <f t="shared" si="327"/>
        <v>0</v>
      </c>
    </row>
    <row r="18521" spans="20:20" ht="18.75" customHeight="1" x14ac:dyDescent="0.35">
      <c r="T18521" s="246">
        <f t="shared" si="327"/>
        <v>0</v>
      </c>
    </row>
    <row r="18522" spans="20:20" ht="18.75" customHeight="1" x14ac:dyDescent="0.35">
      <c r="T18522" s="246">
        <f t="shared" si="327"/>
        <v>0</v>
      </c>
    </row>
    <row r="18523" spans="20:20" ht="18.75" customHeight="1" x14ac:dyDescent="0.35">
      <c r="T18523" s="246">
        <f t="shared" si="327"/>
        <v>0</v>
      </c>
    </row>
    <row r="18524" spans="20:20" ht="18.75" customHeight="1" x14ac:dyDescent="0.35">
      <c r="T18524" s="246">
        <f t="shared" si="327"/>
        <v>0</v>
      </c>
    </row>
    <row r="18525" spans="20:20" ht="18.75" customHeight="1" x14ac:dyDescent="0.35">
      <c r="T18525" s="246">
        <f t="shared" si="327"/>
        <v>0</v>
      </c>
    </row>
    <row r="18526" spans="20:20" ht="18.75" customHeight="1" x14ac:dyDescent="0.35">
      <c r="T18526" s="246">
        <f t="shared" si="327"/>
        <v>0</v>
      </c>
    </row>
    <row r="18527" spans="20:20" ht="18.75" customHeight="1" x14ac:dyDescent="0.35">
      <c r="T18527" s="246">
        <f t="shared" si="327"/>
        <v>0</v>
      </c>
    </row>
    <row r="18528" spans="20:20" ht="18.75" customHeight="1" x14ac:dyDescent="0.35">
      <c r="T18528" s="246">
        <f t="shared" si="327"/>
        <v>0</v>
      </c>
    </row>
    <row r="18529" spans="20:20" ht="18.75" customHeight="1" x14ac:dyDescent="0.35">
      <c r="T18529" s="246">
        <f t="shared" si="327"/>
        <v>0</v>
      </c>
    </row>
    <row r="18530" spans="20:20" ht="18.75" customHeight="1" x14ac:dyDescent="0.35">
      <c r="T18530" s="246">
        <f t="shared" si="327"/>
        <v>0</v>
      </c>
    </row>
    <row r="18531" spans="20:20" ht="18.75" customHeight="1" x14ac:dyDescent="0.35">
      <c r="T18531" s="246">
        <f t="shared" si="327"/>
        <v>0</v>
      </c>
    </row>
    <row r="18532" spans="20:20" ht="18.75" customHeight="1" x14ac:dyDescent="0.35">
      <c r="T18532" s="246">
        <f t="shared" si="327"/>
        <v>0</v>
      </c>
    </row>
    <row r="18533" spans="20:20" ht="18.75" customHeight="1" x14ac:dyDescent="0.35">
      <c r="T18533" s="246">
        <f t="shared" si="327"/>
        <v>0</v>
      </c>
    </row>
    <row r="18534" spans="20:20" ht="18.75" customHeight="1" x14ac:dyDescent="0.35">
      <c r="T18534" s="246">
        <f t="shared" si="327"/>
        <v>0</v>
      </c>
    </row>
    <row r="18535" spans="20:20" ht="18.75" customHeight="1" x14ac:dyDescent="0.35">
      <c r="T18535" s="246">
        <f t="shared" si="327"/>
        <v>0</v>
      </c>
    </row>
    <row r="18536" spans="20:20" ht="18.75" customHeight="1" x14ac:dyDescent="0.35">
      <c r="T18536" s="246">
        <f t="shared" si="327"/>
        <v>0</v>
      </c>
    </row>
    <row r="18537" spans="20:20" ht="18.75" customHeight="1" x14ac:dyDescent="0.35">
      <c r="T18537" s="246">
        <f t="shared" si="327"/>
        <v>0</v>
      </c>
    </row>
    <row r="18538" spans="20:20" ht="18.75" customHeight="1" x14ac:dyDescent="0.35">
      <c r="T18538" s="246">
        <f t="shared" si="327"/>
        <v>0</v>
      </c>
    </row>
    <row r="18539" spans="20:20" ht="18.75" customHeight="1" x14ac:dyDescent="0.35">
      <c r="T18539" s="246">
        <f t="shared" si="327"/>
        <v>0</v>
      </c>
    </row>
    <row r="18540" spans="20:20" ht="18.75" customHeight="1" x14ac:dyDescent="0.35">
      <c r="T18540" s="246">
        <f t="shared" si="327"/>
        <v>0</v>
      </c>
    </row>
    <row r="18541" spans="20:20" ht="18.75" customHeight="1" x14ac:dyDescent="0.35">
      <c r="T18541" s="246">
        <f t="shared" si="327"/>
        <v>0</v>
      </c>
    </row>
    <row r="18542" spans="20:20" ht="18.75" customHeight="1" x14ac:dyDescent="0.35">
      <c r="T18542" s="246">
        <f t="shared" si="327"/>
        <v>0</v>
      </c>
    </row>
    <row r="18543" spans="20:20" ht="18.75" customHeight="1" x14ac:dyDescent="0.35">
      <c r="T18543" s="246">
        <f t="shared" si="327"/>
        <v>0</v>
      </c>
    </row>
    <row r="18544" spans="20:20" ht="18.75" customHeight="1" x14ac:dyDescent="0.35">
      <c r="T18544" s="246">
        <f t="shared" si="327"/>
        <v>0</v>
      </c>
    </row>
    <row r="18545" spans="20:20" ht="18.75" customHeight="1" x14ac:dyDescent="0.35">
      <c r="T18545" s="246">
        <f t="shared" si="327"/>
        <v>0</v>
      </c>
    </row>
    <row r="18546" spans="20:20" ht="18.75" customHeight="1" x14ac:dyDescent="0.35">
      <c r="T18546" s="246">
        <f t="shared" si="327"/>
        <v>0</v>
      </c>
    </row>
    <row r="18547" spans="20:20" ht="18.75" customHeight="1" x14ac:dyDescent="0.35">
      <c r="T18547" s="246">
        <f t="shared" si="327"/>
        <v>0</v>
      </c>
    </row>
    <row r="18548" spans="20:20" ht="18.75" customHeight="1" x14ac:dyDescent="0.35">
      <c r="T18548" s="246">
        <f t="shared" si="327"/>
        <v>0</v>
      </c>
    </row>
    <row r="18549" spans="20:20" ht="18.75" customHeight="1" x14ac:dyDescent="0.35">
      <c r="T18549" s="246">
        <f t="shared" si="327"/>
        <v>0</v>
      </c>
    </row>
    <row r="18550" spans="20:20" ht="18.75" customHeight="1" x14ac:dyDescent="0.35">
      <c r="T18550" s="246">
        <f t="shared" si="327"/>
        <v>0</v>
      </c>
    </row>
    <row r="18551" spans="20:20" ht="18.75" customHeight="1" x14ac:dyDescent="0.35">
      <c r="T18551" s="246">
        <f t="shared" si="327"/>
        <v>0</v>
      </c>
    </row>
    <row r="18552" spans="20:20" ht="18.75" customHeight="1" x14ac:dyDescent="0.35">
      <c r="T18552" s="246">
        <f t="shared" si="327"/>
        <v>0</v>
      </c>
    </row>
    <row r="18553" spans="20:20" ht="18.75" customHeight="1" x14ac:dyDescent="0.35">
      <c r="T18553" s="246">
        <f t="shared" si="327"/>
        <v>0</v>
      </c>
    </row>
    <row r="18554" spans="20:20" ht="18.75" customHeight="1" x14ac:dyDescent="0.35">
      <c r="T18554" s="246">
        <f t="shared" si="327"/>
        <v>0</v>
      </c>
    </row>
    <row r="18555" spans="20:20" ht="18.75" customHeight="1" x14ac:dyDescent="0.35">
      <c r="T18555" s="246">
        <f t="shared" si="327"/>
        <v>0</v>
      </c>
    </row>
    <row r="18556" spans="20:20" ht="18.75" customHeight="1" x14ac:dyDescent="0.35">
      <c r="T18556" s="246">
        <f t="shared" ref="T18556:T18619" si="328">R18556*0.01</f>
        <v>0</v>
      </c>
    </row>
    <row r="18557" spans="20:20" ht="18.75" customHeight="1" x14ac:dyDescent="0.35">
      <c r="T18557" s="246">
        <f t="shared" si="328"/>
        <v>0</v>
      </c>
    </row>
    <row r="18558" spans="20:20" ht="18.75" customHeight="1" x14ac:dyDescent="0.35">
      <c r="T18558" s="246">
        <f t="shared" si="328"/>
        <v>0</v>
      </c>
    </row>
    <row r="18559" spans="20:20" ht="18.75" customHeight="1" x14ac:dyDescent="0.35">
      <c r="T18559" s="246">
        <f t="shared" si="328"/>
        <v>0</v>
      </c>
    </row>
    <row r="18560" spans="20:20" ht="18.75" customHeight="1" x14ac:dyDescent="0.35">
      <c r="T18560" s="246">
        <f t="shared" si="328"/>
        <v>0</v>
      </c>
    </row>
    <row r="18561" spans="20:20" ht="18.75" customHeight="1" x14ac:dyDescent="0.35">
      <c r="T18561" s="246">
        <f t="shared" si="328"/>
        <v>0</v>
      </c>
    </row>
    <row r="18562" spans="20:20" ht="18.75" customHeight="1" x14ac:dyDescent="0.35">
      <c r="T18562" s="246">
        <f t="shared" si="328"/>
        <v>0</v>
      </c>
    </row>
    <row r="18563" spans="20:20" ht="18.75" customHeight="1" x14ac:dyDescent="0.35">
      <c r="T18563" s="246">
        <f t="shared" si="328"/>
        <v>0</v>
      </c>
    </row>
    <row r="18564" spans="20:20" ht="18.75" customHeight="1" x14ac:dyDescent="0.35">
      <c r="T18564" s="246">
        <f t="shared" si="328"/>
        <v>0</v>
      </c>
    </row>
    <row r="18565" spans="20:20" ht="18.75" customHeight="1" x14ac:dyDescent="0.35">
      <c r="T18565" s="246">
        <f t="shared" si="328"/>
        <v>0</v>
      </c>
    </row>
    <row r="18566" spans="20:20" ht="18.75" customHeight="1" x14ac:dyDescent="0.35">
      <c r="T18566" s="246">
        <f t="shared" si="328"/>
        <v>0</v>
      </c>
    </row>
    <row r="18567" spans="20:20" ht="18.75" customHeight="1" x14ac:dyDescent="0.35">
      <c r="T18567" s="246">
        <f t="shared" si="328"/>
        <v>0</v>
      </c>
    </row>
    <row r="18568" spans="20:20" ht="18.75" customHeight="1" x14ac:dyDescent="0.35">
      <c r="T18568" s="246">
        <f t="shared" si="328"/>
        <v>0</v>
      </c>
    </row>
    <row r="18569" spans="20:20" ht="18.75" customHeight="1" x14ac:dyDescent="0.35">
      <c r="T18569" s="246">
        <f t="shared" si="328"/>
        <v>0</v>
      </c>
    </row>
    <row r="18570" spans="20:20" ht="18.75" customHeight="1" x14ac:dyDescent="0.35">
      <c r="T18570" s="246">
        <f t="shared" si="328"/>
        <v>0</v>
      </c>
    </row>
    <row r="18571" spans="20:20" ht="18.75" customHeight="1" x14ac:dyDescent="0.35">
      <c r="T18571" s="246">
        <f t="shared" si="328"/>
        <v>0</v>
      </c>
    </row>
    <row r="18572" spans="20:20" ht="18.75" customHeight="1" x14ac:dyDescent="0.35">
      <c r="T18572" s="246">
        <f t="shared" si="328"/>
        <v>0</v>
      </c>
    </row>
    <row r="18573" spans="20:20" ht="18.75" customHeight="1" x14ac:dyDescent="0.35">
      <c r="T18573" s="246">
        <f t="shared" si="328"/>
        <v>0</v>
      </c>
    </row>
    <row r="18574" spans="20:20" ht="18.75" customHeight="1" x14ac:dyDescent="0.35">
      <c r="T18574" s="246">
        <f t="shared" si="328"/>
        <v>0</v>
      </c>
    </row>
    <row r="18575" spans="20:20" ht="18.75" customHeight="1" x14ac:dyDescent="0.35">
      <c r="T18575" s="246">
        <f t="shared" si="328"/>
        <v>0</v>
      </c>
    </row>
    <row r="18576" spans="20:20" ht="18.75" customHeight="1" x14ac:dyDescent="0.35">
      <c r="T18576" s="246">
        <f t="shared" si="328"/>
        <v>0</v>
      </c>
    </row>
    <row r="18577" spans="20:20" ht="18.75" customHeight="1" x14ac:dyDescent="0.35">
      <c r="T18577" s="246">
        <f t="shared" si="328"/>
        <v>0</v>
      </c>
    </row>
    <row r="18578" spans="20:20" ht="18.75" customHeight="1" x14ac:dyDescent="0.35">
      <c r="T18578" s="246">
        <f t="shared" si="328"/>
        <v>0</v>
      </c>
    </row>
    <row r="18579" spans="20:20" ht="18.75" customHeight="1" x14ac:dyDescent="0.35">
      <c r="T18579" s="246">
        <f t="shared" si="328"/>
        <v>0</v>
      </c>
    </row>
    <row r="18580" spans="20:20" ht="18.75" customHeight="1" x14ac:dyDescent="0.35">
      <c r="T18580" s="246">
        <f t="shared" si="328"/>
        <v>0</v>
      </c>
    </row>
    <row r="18581" spans="20:20" ht="18.75" customHeight="1" x14ac:dyDescent="0.35">
      <c r="T18581" s="246">
        <f t="shared" si="328"/>
        <v>0</v>
      </c>
    </row>
    <row r="18582" spans="20:20" ht="18.75" customHeight="1" x14ac:dyDescent="0.35">
      <c r="T18582" s="246">
        <f t="shared" si="328"/>
        <v>0</v>
      </c>
    </row>
    <row r="18583" spans="20:20" ht="18.75" customHeight="1" x14ac:dyDescent="0.35">
      <c r="T18583" s="246">
        <f t="shared" si="328"/>
        <v>0</v>
      </c>
    </row>
    <row r="18584" spans="20:20" ht="18.75" customHeight="1" x14ac:dyDescent="0.35">
      <c r="T18584" s="246">
        <f t="shared" si="328"/>
        <v>0</v>
      </c>
    </row>
    <row r="18585" spans="20:20" ht="18.75" customHeight="1" x14ac:dyDescent="0.35">
      <c r="T18585" s="246">
        <f t="shared" si="328"/>
        <v>0</v>
      </c>
    </row>
    <row r="18586" spans="20:20" ht="18.75" customHeight="1" x14ac:dyDescent="0.35">
      <c r="T18586" s="246">
        <f t="shared" si="328"/>
        <v>0</v>
      </c>
    </row>
    <row r="18587" spans="20:20" ht="18.75" customHeight="1" x14ac:dyDescent="0.35">
      <c r="T18587" s="246">
        <f t="shared" si="328"/>
        <v>0</v>
      </c>
    </row>
    <row r="18588" spans="20:20" ht="18.75" customHeight="1" x14ac:dyDescent="0.35">
      <c r="T18588" s="246">
        <f t="shared" si="328"/>
        <v>0</v>
      </c>
    </row>
    <row r="18589" spans="20:20" ht="18.75" customHeight="1" x14ac:dyDescent="0.35">
      <c r="T18589" s="246">
        <f t="shared" si="328"/>
        <v>0</v>
      </c>
    </row>
    <row r="18590" spans="20:20" ht="18.75" customHeight="1" x14ac:dyDescent="0.35">
      <c r="T18590" s="246">
        <f t="shared" si="328"/>
        <v>0</v>
      </c>
    </row>
    <row r="18591" spans="20:20" ht="18.75" customHeight="1" x14ac:dyDescent="0.35">
      <c r="T18591" s="246">
        <f t="shared" si="328"/>
        <v>0</v>
      </c>
    </row>
    <row r="18592" spans="20:20" ht="18.75" customHeight="1" x14ac:dyDescent="0.35">
      <c r="T18592" s="246">
        <f t="shared" si="328"/>
        <v>0</v>
      </c>
    </row>
    <row r="18593" spans="20:20" ht="18.75" customHeight="1" x14ac:dyDescent="0.35">
      <c r="T18593" s="246">
        <f t="shared" si="328"/>
        <v>0</v>
      </c>
    </row>
    <row r="18594" spans="20:20" ht="18.75" customHeight="1" x14ac:dyDescent="0.35">
      <c r="T18594" s="246">
        <f t="shared" si="328"/>
        <v>0</v>
      </c>
    </row>
    <row r="18595" spans="20:20" ht="18.75" customHeight="1" x14ac:dyDescent="0.35">
      <c r="T18595" s="246">
        <f t="shared" si="328"/>
        <v>0</v>
      </c>
    </row>
    <row r="18596" spans="20:20" ht="18.75" customHeight="1" x14ac:dyDescent="0.35">
      <c r="T18596" s="246">
        <f t="shared" si="328"/>
        <v>0</v>
      </c>
    </row>
    <row r="18597" spans="20:20" ht="18.75" customHeight="1" x14ac:dyDescent="0.35">
      <c r="T18597" s="246">
        <f t="shared" si="328"/>
        <v>0</v>
      </c>
    </row>
    <row r="18598" spans="20:20" ht="18.75" customHeight="1" x14ac:dyDescent="0.35">
      <c r="T18598" s="246">
        <f t="shared" si="328"/>
        <v>0</v>
      </c>
    </row>
    <row r="18599" spans="20:20" ht="18.75" customHeight="1" x14ac:dyDescent="0.35">
      <c r="T18599" s="246">
        <f t="shared" si="328"/>
        <v>0</v>
      </c>
    </row>
    <row r="18600" spans="20:20" ht="18.75" customHeight="1" x14ac:dyDescent="0.35">
      <c r="T18600" s="246">
        <f t="shared" si="328"/>
        <v>0</v>
      </c>
    </row>
    <row r="18601" spans="20:20" ht="18.75" customHeight="1" x14ac:dyDescent="0.35">
      <c r="T18601" s="246">
        <f t="shared" si="328"/>
        <v>0</v>
      </c>
    </row>
    <row r="18602" spans="20:20" ht="18.75" customHeight="1" x14ac:dyDescent="0.35">
      <c r="T18602" s="246">
        <f t="shared" si="328"/>
        <v>0</v>
      </c>
    </row>
    <row r="18603" spans="20:20" ht="18.75" customHeight="1" x14ac:dyDescent="0.35">
      <c r="T18603" s="246">
        <f t="shared" si="328"/>
        <v>0</v>
      </c>
    </row>
    <row r="18604" spans="20:20" ht="18.75" customHeight="1" x14ac:dyDescent="0.35">
      <c r="T18604" s="246">
        <f t="shared" si="328"/>
        <v>0</v>
      </c>
    </row>
    <row r="18605" spans="20:20" ht="18.75" customHeight="1" x14ac:dyDescent="0.35">
      <c r="T18605" s="246">
        <f t="shared" si="328"/>
        <v>0</v>
      </c>
    </row>
    <row r="18606" spans="20:20" ht="18.75" customHeight="1" x14ac:dyDescent="0.35">
      <c r="T18606" s="246">
        <f t="shared" si="328"/>
        <v>0</v>
      </c>
    </row>
    <row r="18607" spans="20:20" ht="18.75" customHeight="1" x14ac:dyDescent="0.35">
      <c r="T18607" s="246">
        <f t="shared" si="328"/>
        <v>0</v>
      </c>
    </row>
    <row r="18608" spans="20:20" ht="18.75" customHeight="1" x14ac:dyDescent="0.35">
      <c r="T18608" s="246">
        <f t="shared" si="328"/>
        <v>0</v>
      </c>
    </row>
    <row r="18609" spans="20:20" ht="18.75" customHeight="1" x14ac:dyDescent="0.35">
      <c r="T18609" s="246">
        <f t="shared" si="328"/>
        <v>0</v>
      </c>
    </row>
    <row r="18610" spans="20:20" ht="18.75" customHeight="1" x14ac:dyDescent="0.35">
      <c r="T18610" s="246">
        <f t="shared" si="328"/>
        <v>0</v>
      </c>
    </row>
    <row r="18611" spans="20:20" ht="18.75" customHeight="1" x14ac:dyDescent="0.35">
      <c r="T18611" s="246">
        <f t="shared" si="328"/>
        <v>0</v>
      </c>
    </row>
    <row r="18612" spans="20:20" ht="18.75" customHeight="1" x14ac:dyDescent="0.35">
      <c r="T18612" s="246">
        <f t="shared" si="328"/>
        <v>0</v>
      </c>
    </row>
    <row r="18613" spans="20:20" ht="18.75" customHeight="1" x14ac:dyDescent="0.35">
      <c r="T18613" s="246">
        <f t="shared" si="328"/>
        <v>0</v>
      </c>
    </row>
    <row r="18614" spans="20:20" ht="18.75" customHeight="1" x14ac:dyDescent="0.35">
      <c r="T18614" s="246">
        <f t="shared" si="328"/>
        <v>0</v>
      </c>
    </row>
    <row r="18615" spans="20:20" ht="18.75" customHeight="1" x14ac:dyDescent="0.35">
      <c r="T18615" s="246">
        <f t="shared" si="328"/>
        <v>0</v>
      </c>
    </row>
    <row r="18616" spans="20:20" ht="18.75" customHeight="1" x14ac:dyDescent="0.35">
      <c r="T18616" s="246">
        <f t="shared" si="328"/>
        <v>0</v>
      </c>
    </row>
    <row r="18617" spans="20:20" ht="18.75" customHeight="1" x14ac:dyDescent="0.35">
      <c r="T18617" s="246">
        <f t="shared" si="328"/>
        <v>0</v>
      </c>
    </row>
    <row r="18618" spans="20:20" ht="18.75" customHeight="1" x14ac:dyDescent="0.35">
      <c r="T18618" s="246">
        <f t="shared" si="328"/>
        <v>0</v>
      </c>
    </row>
    <row r="18619" spans="20:20" ht="18.75" customHeight="1" x14ac:dyDescent="0.35">
      <c r="T18619" s="246">
        <f t="shared" si="328"/>
        <v>0</v>
      </c>
    </row>
    <row r="18620" spans="20:20" ht="18.75" customHeight="1" x14ac:dyDescent="0.35">
      <c r="T18620" s="246">
        <f t="shared" ref="T18620:T18683" si="329">R18620*0.01</f>
        <v>0</v>
      </c>
    </row>
    <row r="18621" spans="20:20" ht="18.75" customHeight="1" x14ac:dyDescent="0.35">
      <c r="T18621" s="246">
        <f t="shared" si="329"/>
        <v>0</v>
      </c>
    </row>
    <row r="18622" spans="20:20" ht="18.75" customHeight="1" x14ac:dyDescent="0.35">
      <c r="T18622" s="246">
        <f t="shared" si="329"/>
        <v>0</v>
      </c>
    </row>
    <row r="18623" spans="20:20" ht="18.75" customHeight="1" x14ac:dyDescent="0.35">
      <c r="T18623" s="246">
        <f t="shared" si="329"/>
        <v>0</v>
      </c>
    </row>
    <row r="18624" spans="20:20" ht="18.75" customHeight="1" x14ac:dyDescent="0.35">
      <c r="T18624" s="246">
        <f t="shared" si="329"/>
        <v>0</v>
      </c>
    </row>
    <row r="18625" spans="20:20" ht="18.75" customHeight="1" x14ac:dyDescent="0.35">
      <c r="T18625" s="246">
        <f t="shared" si="329"/>
        <v>0</v>
      </c>
    </row>
    <row r="18626" spans="20:20" ht="18.75" customHeight="1" x14ac:dyDescent="0.35">
      <c r="T18626" s="246">
        <f t="shared" si="329"/>
        <v>0</v>
      </c>
    </row>
    <row r="18627" spans="20:20" ht="18.75" customHeight="1" x14ac:dyDescent="0.35">
      <c r="T18627" s="246">
        <f t="shared" si="329"/>
        <v>0</v>
      </c>
    </row>
    <row r="18628" spans="20:20" ht="18.75" customHeight="1" x14ac:dyDescent="0.35">
      <c r="T18628" s="246">
        <f t="shared" si="329"/>
        <v>0</v>
      </c>
    </row>
    <row r="18629" spans="20:20" ht="18.75" customHeight="1" x14ac:dyDescent="0.35">
      <c r="T18629" s="246">
        <f t="shared" si="329"/>
        <v>0</v>
      </c>
    </row>
    <row r="18630" spans="20:20" ht="18.75" customHeight="1" x14ac:dyDescent="0.35">
      <c r="T18630" s="246">
        <f t="shared" si="329"/>
        <v>0</v>
      </c>
    </row>
    <row r="18631" spans="20:20" ht="18.75" customHeight="1" x14ac:dyDescent="0.35">
      <c r="T18631" s="246">
        <f t="shared" si="329"/>
        <v>0</v>
      </c>
    </row>
    <row r="18632" spans="20:20" ht="18.75" customHeight="1" x14ac:dyDescent="0.35">
      <c r="T18632" s="246">
        <f t="shared" si="329"/>
        <v>0</v>
      </c>
    </row>
    <row r="18633" spans="20:20" ht="18.75" customHeight="1" x14ac:dyDescent="0.35">
      <c r="T18633" s="246">
        <f t="shared" si="329"/>
        <v>0</v>
      </c>
    </row>
    <row r="18634" spans="20:20" ht="18.75" customHeight="1" x14ac:dyDescent="0.35">
      <c r="T18634" s="246">
        <f t="shared" si="329"/>
        <v>0</v>
      </c>
    </row>
    <row r="18635" spans="20:20" ht="18.75" customHeight="1" x14ac:dyDescent="0.35">
      <c r="T18635" s="246">
        <f t="shared" si="329"/>
        <v>0</v>
      </c>
    </row>
    <row r="18636" spans="20:20" ht="18.75" customHeight="1" x14ac:dyDescent="0.35">
      <c r="T18636" s="246">
        <f t="shared" si="329"/>
        <v>0</v>
      </c>
    </row>
    <row r="18637" spans="20:20" ht="18.75" customHeight="1" x14ac:dyDescent="0.35">
      <c r="T18637" s="246">
        <f t="shared" si="329"/>
        <v>0</v>
      </c>
    </row>
    <row r="18638" spans="20:20" ht="18.75" customHeight="1" x14ac:dyDescent="0.35">
      <c r="T18638" s="246">
        <f t="shared" si="329"/>
        <v>0</v>
      </c>
    </row>
    <row r="18639" spans="20:20" ht="18.75" customHeight="1" x14ac:dyDescent="0.35">
      <c r="T18639" s="246">
        <f t="shared" si="329"/>
        <v>0</v>
      </c>
    </row>
    <row r="18640" spans="20:20" ht="18.75" customHeight="1" x14ac:dyDescent="0.35">
      <c r="T18640" s="246">
        <f t="shared" si="329"/>
        <v>0</v>
      </c>
    </row>
    <row r="18641" spans="20:20" ht="18.75" customHeight="1" x14ac:dyDescent="0.35">
      <c r="T18641" s="246">
        <f t="shared" si="329"/>
        <v>0</v>
      </c>
    </row>
    <row r="18642" spans="20:20" ht="18.75" customHeight="1" x14ac:dyDescent="0.35">
      <c r="T18642" s="246">
        <f t="shared" si="329"/>
        <v>0</v>
      </c>
    </row>
    <row r="18643" spans="20:20" ht="18.75" customHeight="1" x14ac:dyDescent="0.35">
      <c r="T18643" s="246">
        <f t="shared" si="329"/>
        <v>0</v>
      </c>
    </row>
    <row r="18644" spans="20:20" ht="18.75" customHeight="1" x14ac:dyDescent="0.35">
      <c r="T18644" s="246">
        <f t="shared" si="329"/>
        <v>0</v>
      </c>
    </row>
    <row r="18645" spans="20:20" ht="18.75" customHeight="1" x14ac:dyDescent="0.35">
      <c r="T18645" s="246">
        <f t="shared" si="329"/>
        <v>0</v>
      </c>
    </row>
    <row r="18646" spans="20:20" ht="18.75" customHeight="1" x14ac:dyDescent="0.35">
      <c r="T18646" s="246">
        <f t="shared" si="329"/>
        <v>0</v>
      </c>
    </row>
    <row r="18647" spans="20:20" ht="18.75" customHeight="1" x14ac:dyDescent="0.35">
      <c r="T18647" s="246">
        <f t="shared" si="329"/>
        <v>0</v>
      </c>
    </row>
    <row r="18648" spans="20:20" ht="18.75" customHeight="1" x14ac:dyDescent="0.35">
      <c r="T18648" s="246">
        <f t="shared" si="329"/>
        <v>0</v>
      </c>
    </row>
    <row r="18649" spans="20:20" ht="18.75" customHeight="1" x14ac:dyDescent="0.35">
      <c r="T18649" s="246">
        <f t="shared" si="329"/>
        <v>0</v>
      </c>
    </row>
    <row r="18650" spans="20:20" ht="18.75" customHeight="1" x14ac:dyDescent="0.35">
      <c r="T18650" s="246">
        <f t="shared" si="329"/>
        <v>0</v>
      </c>
    </row>
    <row r="18651" spans="20:20" ht="18.75" customHeight="1" x14ac:dyDescent="0.35">
      <c r="T18651" s="246">
        <f t="shared" si="329"/>
        <v>0</v>
      </c>
    </row>
    <row r="18652" spans="20:20" ht="18.75" customHeight="1" x14ac:dyDescent="0.35">
      <c r="T18652" s="246">
        <f t="shared" si="329"/>
        <v>0</v>
      </c>
    </row>
    <row r="18653" spans="20:20" ht="18.75" customHeight="1" x14ac:dyDescent="0.35">
      <c r="T18653" s="246">
        <f t="shared" si="329"/>
        <v>0</v>
      </c>
    </row>
    <row r="18654" spans="20:20" ht="18.75" customHeight="1" x14ac:dyDescent="0.35">
      <c r="T18654" s="246">
        <f t="shared" si="329"/>
        <v>0</v>
      </c>
    </row>
    <row r="18655" spans="20:20" ht="18.75" customHeight="1" x14ac:dyDescent="0.35">
      <c r="T18655" s="246">
        <f t="shared" si="329"/>
        <v>0</v>
      </c>
    </row>
    <row r="18656" spans="20:20" ht="18.75" customHeight="1" x14ac:dyDescent="0.35">
      <c r="T18656" s="246">
        <f t="shared" si="329"/>
        <v>0</v>
      </c>
    </row>
    <row r="18657" spans="20:20" ht="18.75" customHeight="1" x14ac:dyDescent="0.35">
      <c r="T18657" s="246">
        <f t="shared" si="329"/>
        <v>0</v>
      </c>
    </row>
    <row r="18658" spans="20:20" ht="18.75" customHeight="1" x14ac:dyDescent="0.35">
      <c r="T18658" s="246">
        <f t="shared" si="329"/>
        <v>0</v>
      </c>
    </row>
    <row r="18659" spans="20:20" ht="18.75" customHeight="1" x14ac:dyDescent="0.35">
      <c r="T18659" s="246">
        <f t="shared" si="329"/>
        <v>0</v>
      </c>
    </row>
    <row r="18660" spans="20:20" ht="18.75" customHeight="1" x14ac:dyDescent="0.35">
      <c r="T18660" s="246">
        <f t="shared" si="329"/>
        <v>0</v>
      </c>
    </row>
    <row r="18661" spans="20:20" ht="18.75" customHeight="1" x14ac:dyDescent="0.35">
      <c r="T18661" s="246">
        <f t="shared" si="329"/>
        <v>0</v>
      </c>
    </row>
    <row r="18662" spans="20:20" ht="18.75" customHeight="1" x14ac:dyDescent="0.35">
      <c r="T18662" s="246">
        <f t="shared" si="329"/>
        <v>0</v>
      </c>
    </row>
    <row r="18663" spans="20:20" ht="18.75" customHeight="1" x14ac:dyDescent="0.35">
      <c r="T18663" s="246">
        <f t="shared" si="329"/>
        <v>0</v>
      </c>
    </row>
    <row r="18664" spans="20:20" ht="18.75" customHeight="1" x14ac:dyDescent="0.35">
      <c r="T18664" s="246">
        <f t="shared" si="329"/>
        <v>0</v>
      </c>
    </row>
    <row r="18665" spans="20:20" ht="18.75" customHeight="1" x14ac:dyDescent="0.35">
      <c r="T18665" s="246">
        <f t="shared" si="329"/>
        <v>0</v>
      </c>
    </row>
    <row r="18666" spans="20:20" ht="18.75" customHeight="1" x14ac:dyDescent="0.35">
      <c r="T18666" s="246">
        <f t="shared" si="329"/>
        <v>0</v>
      </c>
    </row>
    <row r="18667" spans="20:20" ht="18.75" customHeight="1" x14ac:dyDescent="0.35">
      <c r="T18667" s="246">
        <f t="shared" si="329"/>
        <v>0</v>
      </c>
    </row>
    <row r="18668" spans="20:20" ht="18.75" customHeight="1" x14ac:dyDescent="0.35">
      <c r="T18668" s="246">
        <f t="shared" si="329"/>
        <v>0</v>
      </c>
    </row>
    <row r="18669" spans="20:20" ht="18.75" customHeight="1" x14ac:dyDescent="0.35">
      <c r="T18669" s="246">
        <f t="shared" si="329"/>
        <v>0</v>
      </c>
    </row>
    <row r="18670" spans="20:20" ht="18.75" customHeight="1" x14ac:dyDescent="0.35">
      <c r="T18670" s="246">
        <f t="shared" si="329"/>
        <v>0</v>
      </c>
    </row>
    <row r="18671" spans="20:20" ht="18.75" customHeight="1" x14ac:dyDescent="0.35">
      <c r="T18671" s="246">
        <f t="shared" si="329"/>
        <v>0</v>
      </c>
    </row>
    <row r="18672" spans="20:20" ht="18.75" customHeight="1" x14ac:dyDescent="0.35">
      <c r="T18672" s="246">
        <f t="shared" si="329"/>
        <v>0</v>
      </c>
    </row>
    <row r="18673" spans="20:20" ht="18.75" customHeight="1" x14ac:dyDescent="0.35">
      <c r="T18673" s="246">
        <f t="shared" si="329"/>
        <v>0</v>
      </c>
    </row>
    <row r="18674" spans="20:20" ht="18.75" customHeight="1" x14ac:dyDescent="0.35">
      <c r="T18674" s="246">
        <f t="shared" si="329"/>
        <v>0</v>
      </c>
    </row>
    <row r="18675" spans="20:20" ht="18.75" customHeight="1" x14ac:dyDescent="0.35">
      <c r="T18675" s="246">
        <f t="shared" si="329"/>
        <v>0</v>
      </c>
    </row>
    <row r="18676" spans="20:20" ht="18.75" customHeight="1" x14ac:dyDescent="0.35">
      <c r="T18676" s="246">
        <f t="shared" si="329"/>
        <v>0</v>
      </c>
    </row>
    <row r="18677" spans="20:20" ht="18.75" customHeight="1" x14ac:dyDescent="0.35">
      <c r="T18677" s="246">
        <f t="shared" si="329"/>
        <v>0</v>
      </c>
    </row>
    <row r="18678" spans="20:20" ht="18.75" customHeight="1" x14ac:dyDescent="0.35">
      <c r="T18678" s="246">
        <f t="shared" si="329"/>
        <v>0</v>
      </c>
    </row>
    <row r="18679" spans="20:20" ht="18.75" customHeight="1" x14ac:dyDescent="0.35">
      <c r="T18679" s="246">
        <f t="shared" si="329"/>
        <v>0</v>
      </c>
    </row>
    <row r="18680" spans="20:20" ht="18.75" customHeight="1" x14ac:dyDescent="0.35">
      <c r="T18680" s="246">
        <f t="shared" si="329"/>
        <v>0</v>
      </c>
    </row>
    <row r="18681" spans="20:20" ht="18.75" customHeight="1" x14ac:dyDescent="0.35">
      <c r="T18681" s="246">
        <f t="shared" si="329"/>
        <v>0</v>
      </c>
    </row>
    <row r="18682" spans="20:20" ht="18.75" customHeight="1" x14ac:dyDescent="0.35">
      <c r="T18682" s="246">
        <f t="shared" si="329"/>
        <v>0</v>
      </c>
    </row>
    <row r="18683" spans="20:20" ht="18.75" customHeight="1" x14ac:dyDescent="0.35">
      <c r="T18683" s="246">
        <f t="shared" si="329"/>
        <v>0</v>
      </c>
    </row>
    <row r="18684" spans="20:20" ht="18.75" customHeight="1" x14ac:dyDescent="0.35">
      <c r="T18684" s="246">
        <f t="shared" ref="T18684:T18747" si="330">R18684*0.01</f>
        <v>0</v>
      </c>
    </row>
    <row r="18685" spans="20:20" ht="18.75" customHeight="1" x14ac:dyDescent="0.35">
      <c r="T18685" s="246">
        <f t="shared" si="330"/>
        <v>0</v>
      </c>
    </row>
    <row r="18686" spans="20:20" ht="18.75" customHeight="1" x14ac:dyDescent="0.35">
      <c r="T18686" s="246">
        <f t="shared" si="330"/>
        <v>0</v>
      </c>
    </row>
    <row r="18687" spans="20:20" ht="18.75" customHeight="1" x14ac:dyDescent="0.35">
      <c r="T18687" s="246">
        <f t="shared" si="330"/>
        <v>0</v>
      </c>
    </row>
    <row r="18688" spans="20:20" ht="18.75" customHeight="1" x14ac:dyDescent="0.35">
      <c r="T18688" s="246">
        <f t="shared" si="330"/>
        <v>0</v>
      </c>
    </row>
    <row r="18689" spans="20:20" ht="18.75" customHeight="1" x14ac:dyDescent="0.35">
      <c r="T18689" s="246">
        <f t="shared" si="330"/>
        <v>0</v>
      </c>
    </row>
    <row r="18690" spans="20:20" ht="18.75" customHeight="1" x14ac:dyDescent="0.35">
      <c r="T18690" s="246">
        <f t="shared" si="330"/>
        <v>0</v>
      </c>
    </row>
    <row r="18691" spans="20:20" ht="18.75" customHeight="1" x14ac:dyDescent="0.35">
      <c r="T18691" s="246">
        <f t="shared" si="330"/>
        <v>0</v>
      </c>
    </row>
    <row r="18692" spans="20:20" ht="18.75" customHeight="1" x14ac:dyDescent="0.35">
      <c r="T18692" s="246">
        <f t="shared" si="330"/>
        <v>0</v>
      </c>
    </row>
    <row r="18693" spans="20:20" ht="18.75" customHeight="1" x14ac:dyDescent="0.35">
      <c r="T18693" s="246">
        <f t="shared" si="330"/>
        <v>0</v>
      </c>
    </row>
    <row r="18694" spans="20:20" ht="18.75" customHeight="1" x14ac:dyDescent="0.35">
      <c r="T18694" s="246">
        <f t="shared" si="330"/>
        <v>0</v>
      </c>
    </row>
    <row r="18695" spans="20:20" ht="18.75" customHeight="1" x14ac:dyDescent="0.35">
      <c r="T18695" s="246">
        <f t="shared" si="330"/>
        <v>0</v>
      </c>
    </row>
    <row r="18696" spans="20:20" ht="18.75" customHeight="1" x14ac:dyDescent="0.35">
      <c r="T18696" s="246">
        <f t="shared" si="330"/>
        <v>0</v>
      </c>
    </row>
    <row r="18697" spans="20:20" ht="18.75" customHeight="1" x14ac:dyDescent="0.35">
      <c r="T18697" s="246">
        <f t="shared" si="330"/>
        <v>0</v>
      </c>
    </row>
    <row r="18698" spans="20:20" ht="18.75" customHeight="1" x14ac:dyDescent="0.35">
      <c r="T18698" s="246">
        <f t="shared" si="330"/>
        <v>0</v>
      </c>
    </row>
    <row r="18699" spans="20:20" ht="18.75" customHeight="1" x14ac:dyDescent="0.35">
      <c r="T18699" s="246">
        <f t="shared" si="330"/>
        <v>0</v>
      </c>
    </row>
    <row r="18700" spans="20:20" ht="18.75" customHeight="1" x14ac:dyDescent="0.35">
      <c r="T18700" s="246">
        <f t="shared" si="330"/>
        <v>0</v>
      </c>
    </row>
    <row r="18701" spans="20:20" ht="18.75" customHeight="1" x14ac:dyDescent="0.35">
      <c r="T18701" s="246">
        <f t="shared" si="330"/>
        <v>0</v>
      </c>
    </row>
    <row r="18702" spans="20:20" ht="18.75" customHeight="1" x14ac:dyDescent="0.35">
      <c r="T18702" s="246">
        <f t="shared" si="330"/>
        <v>0</v>
      </c>
    </row>
    <row r="18703" spans="20:20" ht="18.75" customHeight="1" x14ac:dyDescent="0.35">
      <c r="T18703" s="246">
        <f t="shared" si="330"/>
        <v>0</v>
      </c>
    </row>
    <row r="18704" spans="20:20" ht="18.75" customHeight="1" x14ac:dyDescent="0.35">
      <c r="T18704" s="246">
        <f t="shared" si="330"/>
        <v>0</v>
      </c>
    </row>
    <row r="18705" spans="20:20" ht="18.75" customHeight="1" x14ac:dyDescent="0.35">
      <c r="T18705" s="246">
        <f t="shared" si="330"/>
        <v>0</v>
      </c>
    </row>
    <row r="18706" spans="20:20" ht="18.75" customHeight="1" x14ac:dyDescent="0.35">
      <c r="T18706" s="246">
        <f t="shared" si="330"/>
        <v>0</v>
      </c>
    </row>
    <row r="18707" spans="20:20" ht="18.75" customHeight="1" x14ac:dyDescent="0.35">
      <c r="T18707" s="246">
        <f t="shared" si="330"/>
        <v>0</v>
      </c>
    </row>
    <row r="18708" spans="20:20" ht="18.75" customHeight="1" x14ac:dyDescent="0.35">
      <c r="T18708" s="246">
        <f t="shared" si="330"/>
        <v>0</v>
      </c>
    </row>
    <row r="18709" spans="20:20" ht="18.75" customHeight="1" x14ac:dyDescent="0.35">
      <c r="T18709" s="246">
        <f t="shared" si="330"/>
        <v>0</v>
      </c>
    </row>
    <row r="18710" spans="20:20" ht="18.75" customHeight="1" x14ac:dyDescent="0.35">
      <c r="T18710" s="246">
        <f t="shared" si="330"/>
        <v>0</v>
      </c>
    </row>
    <row r="18711" spans="20:20" ht="18.75" customHeight="1" x14ac:dyDescent="0.35">
      <c r="T18711" s="246">
        <f t="shared" si="330"/>
        <v>0</v>
      </c>
    </row>
    <row r="18712" spans="20:20" ht="18.75" customHeight="1" x14ac:dyDescent="0.35">
      <c r="T18712" s="246">
        <f t="shared" si="330"/>
        <v>0</v>
      </c>
    </row>
    <row r="18713" spans="20:20" ht="18.75" customHeight="1" x14ac:dyDescent="0.35">
      <c r="T18713" s="246">
        <f t="shared" si="330"/>
        <v>0</v>
      </c>
    </row>
    <row r="18714" spans="20:20" ht="18.75" customHeight="1" x14ac:dyDescent="0.35">
      <c r="T18714" s="246">
        <f t="shared" si="330"/>
        <v>0</v>
      </c>
    </row>
    <row r="18715" spans="20:20" ht="18.75" customHeight="1" x14ac:dyDescent="0.35">
      <c r="T18715" s="246">
        <f t="shared" si="330"/>
        <v>0</v>
      </c>
    </row>
    <row r="18716" spans="20:20" ht="18.75" customHeight="1" x14ac:dyDescent="0.35">
      <c r="T18716" s="246">
        <f t="shared" si="330"/>
        <v>0</v>
      </c>
    </row>
    <row r="18717" spans="20:20" ht="18.75" customHeight="1" x14ac:dyDescent="0.35">
      <c r="T18717" s="246">
        <f t="shared" si="330"/>
        <v>0</v>
      </c>
    </row>
    <row r="18718" spans="20:20" ht="18.75" customHeight="1" x14ac:dyDescent="0.35">
      <c r="T18718" s="246">
        <f t="shared" si="330"/>
        <v>0</v>
      </c>
    </row>
    <row r="18719" spans="20:20" ht="18.75" customHeight="1" x14ac:dyDescent="0.35">
      <c r="T18719" s="246">
        <f t="shared" si="330"/>
        <v>0</v>
      </c>
    </row>
    <row r="18720" spans="20:20" ht="18.75" customHeight="1" x14ac:dyDescent="0.35">
      <c r="T18720" s="246">
        <f t="shared" si="330"/>
        <v>0</v>
      </c>
    </row>
    <row r="18721" spans="20:20" ht="18.75" customHeight="1" x14ac:dyDescent="0.35">
      <c r="T18721" s="246">
        <f t="shared" si="330"/>
        <v>0</v>
      </c>
    </row>
    <row r="18722" spans="20:20" ht="18.75" customHeight="1" x14ac:dyDescent="0.35">
      <c r="T18722" s="246">
        <f t="shared" si="330"/>
        <v>0</v>
      </c>
    </row>
    <row r="18723" spans="20:20" ht="18.75" customHeight="1" x14ac:dyDescent="0.35">
      <c r="T18723" s="246">
        <f t="shared" si="330"/>
        <v>0</v>
      </c>
    </row>
    <row r="18724" spans="20:20" ht="18.75" customHeight="1" x14ac:dyDescent="0.35">
      <c r="T18724" s="246">
        <f t="shared" si="330"/>
        <v>0</v>
      </c>
    </row>
    <row r="18725" spans="20:20" ht="18.75" customHeight="1" x14ac:dyDescent="0.35">
      <c r="T18725" s="246">
        <f t="shared" si="330"/>
        <v>0</v>
      </c>
    </row>
    <row r="18726" spans="20:20" ht="18.75" customHeight="1" x14ac:dyDescent="0.35">
      <c r="T18726" s="246">
        <f t="shared" si="330"/>
        <v>0</v>
      </c>
    </row>
    <row r="18727" spans="20:20" ht="18.75" customHeight="1" x14ac:dyDescent="0.35">
      <c r="T18727" s="246">
        <f t="shared" si="330"/>
        <v>0</v>
      </c>
    </row>
    <row r="18728" spans="20:20" ht="18.75" customHeight="1" x14ac:dyDescent="0.35">
      <c r="T18728" s="246">
        <f t="shared" si="330"/>
        <v>0</v>
      </c>
    </row>
    <row r="18729" spans="20:20" ht="18.75" customHeight="1" x14ac:dyDescent="0.35">
      <c r="T18729" s="246">
        <f t="shared" si="330"/>
        <v>0</v>
      </c>
    </row>
    <row r="18730" spans="20:20" ht="18.75" customHeight="1" x14ac:dyDescent="0.35">
      <c r="T18730" s="246">
        <f t="shared" si="330"/>
        <v>0</v>
      </c>
    </row>
    <row r="18731" spans="20:20" ht="18.75" customHeight="1" x14ac:dyDescent="0.35">
      <c r="T18731" s="246">
        <f t="shared" si="330"/>
        <v>0</v>
      </c>
    </row>
    <row r="18732" spans="20:20" ht="18.75" customHeight="1" x14ac:dyDescent="0.35">
      <c r="T18732" s="246">
        <f t="shared" si="330"/>
        <v>0</v>
      </c>
    </row>
    <row r="18733" spans="20:20" ht="18.75" customHeight="1" x14ac:dyDescent="0.35">
      <c r="T18733" s="246">
        <f t="shared" si="330"/>
        <v>0</v>
      </c>
    </row>
    <row r="18734" spans="20:20" ht="18.75" customHeight="1" x14ac:dyDescent="0.35">
      <c r="T18734" s="246">
        <f t="shared" si="330"/>
        <v>0</v>
      </c>
    </row>
    <row r="18735" spans="20:20" ht="18.75" customHeight="1" x14ac:dyDescent="0.35">
      <c r="T18735" s="246">
        <f t="shared" si="330"/>
        <v>0</v>
      </c>
    </row>
    <row r="18736" spans="20:20" ht="18.75" customHeight="1" x14ac:dyDescent="0.35">
      <c r="T18736" s="246">
        <f t="shared" si="330"/>
        <v>0</v>
      </c>
    </row>
    <row r="18737" spans="20:20" ht="18.75" customHeight="1" x14ac:dyDescent="0.35">
      <c r="T18737" s="246">
        <f t="shared" si="330"/>
        <v>0</v>
      </c>
    </row>
    <row r="18738" spans="20:20" ht="18.75" customHeight="1" x14ac:dyDescent="0.35">
      <c r="T18738" s="246">
        <f t="shared" si="330"/>
        <v>0</v>
      </c>
    </row>
    <row r="18739" spans="20:20" ht="18.75" customHeight="1" x14ac:dyDescent="0.35">
      <c r="T18739" s="246">
        <f t="shared" si="330"/>
        <v>0</v>
      </c>
    </row>
    <row r="18740" spans="20:20" ht="18.75" customHeight="1" x14ac:dyDescent="0.35">
      <c r="T18740" s="246">
        <f t="shared" si="330"/>
        <v>0</v>
      </c>
    </row>
    <row r="18741" spans="20:20" ht="18.75" customHeight="1" x14ac:dyDescent="0.35">
      <c r="T18741" s="246">
        <f t="shared" si="330"/>
        <v>0</v>
      </c>
    </row>
    <row r="18742" spans="20:20" ht="18.75" customHeight="1" x14ac:dyDescent="0.35">
      <c r="T18742" s="246">
        <f t="shared" si="330"/>
        <v>0</v>
      </c>
    </row>
    <row r="18743" spans="20:20" ht="18.75" customHeight="1" x14ac:dyDescent="0.35">
      <c r="T18743" s="246">
        <f t="shared" si="330"/>
        <v>0</v>
      </c>
    </row>
    <row r="18744" spans="20:20" ht="18.75" customHeight="1" x14ac:dyDescent="0.35">
      <c r="T18744" s="246">
        <f t="shared" si="330"/>
        <v>0</v>
      </c>
    </row>
    <row r="18745" spans="20:20" ht="18.75" customHeight="1" x14ac:dyDescent="0.35">
      <c r="T18745" s="246">
        <f t="shared" si="330"/>
        <v>0</v>
      </c>
    </row>
    <row r="18746" spans="20:20" ht="18.75" customHeight="1" x14ac:dyDescent="0.35">
      <c r="T18746" s="246">
        <f t="shared" si="330"/>
        <v>0</v>
      </c>
    </row>
    <row r="18747" spans="20:20" ht="18.75" customHeight="1" x14ac:dyDescent="0.35">
      <c r="T18747" s="246">
        <f t="shared" si="330"/>
        <v>0</v>
      </c>
    </row>
    <row r="18748" spans="20:20" ht="18.75" customHeight="1" x14ac:dyDescent="0.35">
      <c r="T18748" s="246">
        <f t="shared" ref="T18748:T18811" si="331">R18748*0.01</f>
        <v>0</v>
      </c>
    </row>
    <row r="18749" spans="20:20" ht="18.75" customHeight="1" x14ac:dyDescent="0.35">
      <c r="T18749" s="246">
        <f t="shared" si="331"/>
        <v>0</v>
      </c>
    </row>
    <row r="18750" spans="20:20" ht="18.75" customHeight="1" x14ac:dyDescent="0.35">
      <c r="T18750" s="246">
        <f t="shared" si="331"/>
        <v>0</v>
      </c>
    </row>
    <row r="18751" spans="20:20" ht="18.75" customHeight="1" x14ac:dyDescent="0.35">
      <c r="T18751" s="246">
        <f t="shared" si="331"/>
        <v>0</v>
      </c>
    </row>
    <row r="18752" spans="20:20" ht="18.75" customHeight="1" x14ac:dyDescent="0.35">
      <c r="T18752" s="246">
        <f t="shared" si="331"/>
        <v>0</v>
      </c>
    </row>
    <row r="18753" spans="20:20" ht="18.75" customHeight="1" x14ac:dyDescent="0.35">
      <c r="T18753" s="246">
        <f t="shared" si="331"/>
        <v>0</v>
      </c>
    </row>
    <row r="18754" spans="20:20" ht="18.75" customHeight="1" x14ac:dyDescent="0.35">
      <c r="T18754" s="246">
        <f t="shared" si="331"/>
        <v>0</v>
      </c>
    </row>
    <row r="18755" spans="20:20" ht="18.75" customHeight="1" x14ac:dyDescent="0.35">
      <c r="T18755" s="246">
        <f t="shared" si="331"/>
        <v>0</v>
      </c>
    </row>
    <row r="18756" spans="20:20" ht="18.75" customHeight="1" x14ac:dyDescent="0.35">
      <c r="T18756" s="246">
        <f t="shared" si="331"/>
        <v>0</v>
      </c>
    </row>
    <row r="18757" spans="20:20" ht="18.75" customHeight="1" x14ac:dyDescent="0.35">
      <c r="T18757" s="246">
        <f t="shared" si="331"/>
        <v>0</v>
      </c>
    </row>
    <row r="18758" spans="20:20" ht="18.75" customHeight="1" x14ac:dyDescent="0.35">
      <c r="T18758" s="246">
        <f t="shared" si="331"/>
        <v>0</v>
      </c>
    </row>
    <row r="18759" spans="20:20" ht="18.75" customHeight="1" x14ac:dyDescent="0.35">
      <c r="T18759" s="246">
        <f t="shared" si="331"/>
        <v>0</v>
      </c>
    </row>
    <row r="18760" spans="20:20" ht="18.75" customHeight="1" x14ac:dyDescent="0.35">
      <c r="T18760" s="246">
        <f t="shared" si="331"/>
        <v>0</v>
      </c>
    </row>
    <row r="18761" spans="20:20" ht="18.75" customHeight="1" x14ac:dyDescent="0.35">
      <c r="T18761" s="246">
        <f t="shared" si="331"/>
        <v>0</v>
      </c>
    </row>
    <row r="18762" spans="20:20" ht="18.75" customHeight="1" x14ac:dyDescent="0.35">
      <c r="T18762" s="246">
        <f t="shared" si="331"/>
        <v>0</v>
      </c>
    </row>
    <row r="18763" spans="20:20" ht="18.75" customHeight="1" x14ac:dyDescent="0.35">
      <c r="T18763" s="246">
        <f t="shared" si="331"/>
        <v>0</v>
      </c>
    </row>
    <row r="18764" spans="20:20" ht="18.75" customHeight="1" x14ac:dyDescent="0.35">
      <c r="T18764" s="246">
        <f t="shared" si="331"/>
        <v>0</v>
      </c>
    </row>
    <row r="18765" spans="20:20" ht="18.75" customHeight="1" x14ac:dyDescent="0.35">
      <c r="T18765" s="246">
        <f t="shared" si="331"/>
        <v>0</v>
      </c>
    </row>
    <row r="18766" spans="20:20" ht="18.75" customHeight="1" x14ac:dyDescent="0.35">
      <c r="T18766" s="246">
        <f t="shared" si="331"/>
        <v>0</v>
      </c>
    </row>
    <row r="18767" spans="20:20" ht="18.75" customHeight="1" x14ac:dyDescent="0.35">
      <c r="T18767" s="246">
        <f t="shared" si="331"/>
        <v>0</v>
      </c>
    </row>
    <row r="18768" spans="20:20" ht="18.75" customHeight="1" x14ac:dyDescent="0.35">
      <c r="T18768" s="246">
        <f t="shared" si="331"/>
        <v>0</v>
      </c>
    </row>
    <row r="18769" spans="20:20" ht="18.75" customHeight="1" x14ac:dyDescent="0.35">
      <c r="T18769" s="246">
        <f t="shared" si="331"/>
        <v>0</v>
      </c>
    </row>
    <row r="18770" spans="20:20" ht="18.75" customHeight="1" x14ac:dyDescent="0.35">
      <c r="T18770" s="246">
        <f t="shared" si="331"/>
        <v>0</v>
      </c>
    </row>
    <row r="18771" spans="20:20" ht="18.75" customHeight="1" x14ac:dyDescent="0.35">
      <c r="T18771" s="246">
        <f t="shared" si="331"/>
        <v>0</v>
      </c>
    </row>
    <row r="18772" spans="20:20" ht="18.75" customHeight="1" x14ac:dyDescent="0.35">
      <c r="T18772" s="246">
        <f t="shared" si="331"/>
        <v>0</v>
      </c>
    </row>
    <row r="18773" spans="20:20" ht="18.75" customHeight="1" x14ac:dyDescent="0.35">
      <c r="T18773" s="246">
        <f t="shared" si="331"/>
        <v>0</v>
      </c>
    </row>
    <row r="18774" spans="20:20" ht="18.75" customHeight="1" x14ac:dyDescent="0.35">
      <c r="T18774" s="246">
        <f t="shared" si="331"/>
        <v>0</v>
      </c>
    </row>
    <row r="18775" spans="20:20" ht="18.75" customHeight="1" x14ac:dyDescent="0.35">
      <c r="T18775" s="246">
        <f t="shared" si="331"/>
        <v>0</v>
      </c>
    </row>
    <row r="18776" spans="20:20" ht="18.75" customHeight="1" x14ac:dyDescent="0.35">
      <c r="T18776" s="246">
        <f t="shared" si="331"/>
        <v>0</v>
      </c>
    </row>
    <row r="18777" spans="20:20" ht="18.75" customHeight="1" x14ac:dyDescent="0.35">
      <c r="T18777" s="246">
        <f t="shared" si="331"/>
        <v>0</v>
      </c>
    </row>
    <row r="18778" spans="20:20" ht="18.75" customHeight="1" x14ac:dyDescent="0.35">
      <c r="T18778" s="246">
        <f t="shared" si="331"/>
        <v>0</v>
      </c>
    </row>
    <row r="18779" spans="20:20" ht="18.75" customHeight="1" x14ac:dyDescent="0.35">
      <c r="T18779" s="246">
        <f t="shared" si="331"/>
        <v>0</v>
      </c>
    </row>
    <row r="18780" spans="20:20" ht="18.75" customHeight="1" x14ac:dyDescent="0.35">
      <c r="T18780" s="246">
        <f t="shared" si="331"/>
        <v>0</v>
      </c>
    </row>
    <row r="18781" spans="20:20" ht="18.75" customHeight="1" x14ac:dyDescent="0.35">
      <c r="T18781" s="246">
        <f t="shared" si="331"/>
        <v>0</v>
      </c>
    </row>
    <row r="18782" spans="20:20" ht="18.75" customHeight="1" x14ac:dyDescent="0.35">
      <c r="T18782" s="246">
        <f t="shared" si="331"/>
        <v>0</v>
      </c>
    </row>
    <row r="18783" spans="20:20" ht="18.75" customHeight="1" x14ac:dyDescent="0.35">
      <c r="T18783" s="246">
        <f t="shared" si="331"/>
        <v>0</v>
      </c>
    </row>
    <row r="18784" spans="20:20" ht="18.75" customHeight="1" x14ac:dyDescent="0.35">
      <c r="T18784" s="246">
        <f t="shared" si="331"/>
        <v>0</v>
      </c>
    </row>
    <row r="18785" spans="20:20" ht="18.75" customHeight="1" x14ac:dyDescent="0.35">
      <c r="T18785" s="246">
        <f t="shared" si="331"/>
        <v>0</v>
      </c>
    </row>
    <row r="18786" spans="20:20" ht="18.75" customHeight="1" x14ac:dyDescent="0.35">
      <c r="T18786" s="246">
        <f t="shared" si="331"/>
        <v>0</v>
      </c>
    </row>
    <row r="18787" spans="20:20" ht="18.75" customHeight="1" x14ac:dyDescent="0.35">
      <c r="T18787" s="246">
        <f t="shared" si="331"/>
        <v>0</v>
      </c>
    </row>
    <row r="18788" spans="20:20" ht="18.75" customHeight="1" x14ac:dyDescent="0.35">
      <c r="T18788" s="246">
        <f t="shared" si="331"/>
        <v>0</v>
      </c>
    </row>
    <row r="18789" spans="20:20" ht="18.75" customHeight="1" x14ac:dyDescent="0.35">
      <c r="T18789" s="246">
        <f t="shared" si="331"/>
        <v>0</v>
      </c>
    </row>
    <row r="18790" spans="20:20" ht="18.75" customHeight="1" x14ac:dyDescent="0.35">
      <c r="T18790" s="246">
        <f t="shared" si="331"/>
        <v>0</v>
      </c>
    </row>
    <row r="18791" spans="20:20" ht="18.75" customHeight="1" x14ac:dyDescent="0.35">
      <c r="T18791" s="246">
        <f t="shared" si="331"/>
        <v>0</v>
      </c>
    </row>
    <row r="18792" spans="20:20" ht="18.75" customHeight="1" x14ac:dyDescent="0.35">
      <c r="T18792" s="246">
        <f t="shared" si="331"/>
        <v>0</v>
      </c>
    </row>
    <row r="18793" spans="20:20" ht="18.75" customHeight="1" x14ac:dyDescent="0.35">
      <c r="T18793" s="246">
        <f t="shared" si="331"/>
        <v>0</v>
      </c>
    </row>
    <row r="18794" spans="20:20" ht="18.75" customHeight="1" x14ac:dyDescent="0.35">
      <c r="T18794" s="246">
        <f t="shared" si="331"/>
        <v>0</v>
      </c>
    </row>
    <row r="18795" spans="20:20" ht="18.75" customHeight="1" x14ac:dyDescent="0.35">
      <c r="T18795" s="246">
        <f t="shared" si="331"/>
        <v>0</v>
      </c>
    </row>
    <row r="18796" spans="20:20" ht="18.75" customHeight="1" x14ac:dyDescent="0.35">
      <c r="T18796" s="246">
        <f t="shared" si="331"/>
        <v>0</v>
      </c>
    </row>
    <row r="18797" spans="20:20" ht="18.75" customHeight="1" x14ac:dyDescent="0.35">
      <c r="T18797" s="246">
        <f t="shared" si="331"/>
        <v>0</v>
      </c>
    </row>
    <row r="18798" spans="20:20" ht="18.75" customHeight="1" x14ac:dyDescent="0.35">
      <c r="T18798" s="246">
        <f t="shared" si="331"/>
        <v>0</v>
      </c>
    </row>
    <row r="18799" spans="20:20" ht="18.75" customHeight="1" x14ac:dyDescent="0.35">
      <c r="T18799" s="246">
        <f t="shared" si="331"/>
        <v>0</v>
      </c>
    </row>
    <row r="18800" spans="20:20" ht="18.75" customHeight="1" x14ac:dyDescent="0.35">
      <c r="T18800" s="246">
        <f t="shared" si="331"/>
        <v>0</v>
      </c>
    </row>
    <row r="18801" spans="20:20" ht="18.75" customHeight="1" x14ac:dyDescent="0.35">
      <c r="T18801" s="246">
        <f t="shared" si="331"/>
        <v>0</v>
      </c>
    </row>
    <row r="18802" spans="20:20" ht="18.75" customHeight="1" x14ac:dyDescent="0.35">
      <c r="T18802" s="246">
        <f t="shared" si="331"/>
        <v>0</v>
      </c>
    </row>
    <row r="18803" spans="20:20" ht="18.75" customHeight="1" x14ac:dyDescent="0.35">
      <c r="T18803" s="246">
        <f t="shared" si="331"/>
        <v>0</v>
      </c>
    </row>
    <row r="18804" spans="20:20" ht="18.75" customHeight="1" x14ac:dyDescent="0.35">
      <c r="T18804" s="246">
        <f t="shared" si="331"/>
        <v>0</v>
      </c>
    </row>
    <row r="18805" spans="20:20" ht="18.75" customHeight="1" x14ac:dyDescent="0.35">
      <c r="T18805" s="246">
        <f t="shared" si="331"/>
        <v>0</v>
      </c>
    </row>
    <row r="18806" spans="20:20" ht="18.75" customHeight="1" x14ac:dyDescent="0.35">
      <c r="T18806" s="246">
        <f t="shared" si="331"/>
        <v>0</v>
      </c>
    </row>
    <row r="18807" spans="20:20" ht="18.75" customHeight="1" x14ac:dyDescent="0.35">
      <c r="T18807" s="246">
        <f t="shared" si="331"/>
        <v>0</v>
      </c>
    </row>
    <row r="18808" spans="20:20" ht="18.75" customHeight="1" x14ac:dyDescent="0.35">
      <c r="T18808" s="246">
        <f t="shared" si="331"/>
        <v>0</v>
      </c>
    </row>
    <row r="18809" spans="20:20" ht="18.75" customHeight="1" x14ac:dyDescent="0.35">
      <c r="T18809" s="246">
        <f t="shared" si="331"/>
        <v>0</v>
      </c>
    </row>
    <row r="18810" spans="20:20" ht="18.75" customHeight="1" x14ac:dyDescent="0.35">
      <c r="T18810" s="246">
        <f t="shared" si="331"/>
        <v>0</v>
      </c>
    </row>
    <row r="18811" spans="20:20" ht="18.75" customHeight="1" x14ac:dyDescent="0.35">
      <c r="T18811" s="246">
        <f t="shared" si="331"/>
        <v>0</v>
      </c>
    </row>
    <row r="18812" spans="20:20" ht="18.75" customHeight="1" x14ac:dyDescent="0.35">
      <c r="T18812" s="246">
        <f t="shared" ref="T18812:T18875" si="332">R18812*0.01</f>
        <v>0</v>
      </c>
    </row>
    <row r="18813" spans="20:20" ht="18.75" customHeight="1" x14ac:dyDescent="0.35">
      <c r="T18813" s="246">
        <f t="shared" si="332"/>
        <v>0</v>
      </c>
    </row>
    <row r="18814" spans="20:20" ht="18.75" customHeight="1" x14ac:dyDescent="0.35">
      <c r="T18814" s="246">
        <f t="shared" si="332"/>
        <v>0</v>
      </c>
    </row>
    <row r="18815" spans="20:20" ht="18.75" customHeight="1" x14ac:dyDescent="0.35">
      <c r="T18815" s="246">
        <f t="shared" si="332"/>
        <v>0</v>
      </c>
    </row>
    <row r="18816" spans="20:20" ht="18.75" customHeight="1" x14ac:dyDescent="0.35">
      <c r="T18816" s="246">
        <f t="shared" si="332"/>
        <v>0</v>
      </c>
    </row>
    <row r="18817" spans="20:20" ht="18.75" customHeight="1" x14ac:dyDescent="0.35">
      <c r="T18817" s="246">
        <f t="shared" si="332"/>
        <v>0</v>
      </c>
    </row>
    <row r="18818" spans="20:20" ht="18.75" customHeight="1" x14ac:dyDescent="0.35">
      <c r="T18818" s="246">
        <f t="shared" si="332"/>
        <v>0</v>
      </c>
    </row>
    <row r="18819" spans="20:20" ht="18.75" customHeight="1" x14ac:dyDescent="0.35">
      <c r="T18819" s="246">
        <f t="shared" si="332"/>
        <v>0</v>
      </c>
    </row>
    <row r="18820" spans="20:20" ht="18.75" customHeight="1" x14ac:dyDescent="0.35">
      <c r="T18820" s="246">
        <f t="shared" si="332"/>
        <v>0</v>
      </c>
    </row>
    <row r="18821" spans="20:20" ht="18.75" customHeight="1" x14ac:dyDescent="0.35">
      <c r="T18821" s="246">
        <f t="shared" si="332"/>
        <v>0</v>
      </c>
    </row>
    <row r="18822" spans="20:20" ht="18.75" customHeight="1" x14ac:dyDescent="0.35">
      <c r="T18822" s="246">
        <f t="shared" si="332"/>
        <v>0</v>
      </c>
    </row>
    <row r="18823" spans="20:20" ht="18.75" customHeight="1" x14ac:dyDescent="0.35">
      <c r="T18823" s="246">
        <f t="shared" si="332"/>
        <v>0</v>
      </c>
    </row>
    <row r="18824" spans="20:20" ht="18.75" customHeight="1" x14ac:dyDescent="0.35">
      <c r="T18824" s="246">
        <f t="shared" si="332"/>
        <v>0</v>
      </c>
    </row>
    <row r="18825" spans="20:20" ht="18.75" customHeight="1" x14ac:dyDescent="0.35">
      <c r="T18825" s="246">
        <f t="shared" si="332"/>
        <v>0</v>
      </c>
    </row>
    <row r="18826" spans="20:20" ht="18.75" customHeight="1" x14ac:dyDescent="0.35">
      <c r="T18826" s="246">
        <f t="shared" si="332"/>
        <v>0</v>
      </c>
    </row>
    <row r="18827" spans="20:20" ht="18.75" customHeight="1" x14ac:dyDescent="0.35">
      <c r="T18827" s="246">
        <f t="shared" si="332"/>
        <v>0</v>
      </c>
    </row>
    <row r="18828" spans="20:20" ht="18.75" customHeight="1" x14ac:dyDescent="0.35">
      <c r="T18828" s="246">
        <f t="shared" si="332"/>
        <v>0</v>
      </c>
    </row>
    <row r="18829" spans="20:20" ht="18.75" customHeight="1" x14ac:dyDescent="0.35">
      <c r="T18829" s="246">
        <f t="shared" si="332"/>
        <v>0</v>
      </c>
    </row>
    <row r="18830" spans="20:20" ht="18.75" customHeight="1" x14ac:dyDescent="0.35">
      <c r="T18830" s="246">
        <f t="shared" si="332"/>
        <v>0</v>
      </c>
    </row>
    <row r="18831" spans="20:20" ht="18.75" customHeight="1" x14ac:dyDescent="0.35">
      <c r="T18831" s="246">
        <f t="shared" si="332"/>
        <v>0</v>
      </c>
    </row>
    <row r="18832" spans="20:20" ht="18.75" customHeight="1" x14ac:dyDescent="0.35">
      <c r="T18832" s="246">
        <f t="shared" si="332"/>
        <v>0</v>
      </c>
    </row>
    <row r="18833" spans="20:20" ht="18.75" customHeight="1" x14ac:dyDescent="0.35">
      <c r="T18833" s="246">
        <f t="shared" si="332"/>
        <v>0</v>
      </c>
    </row>
    <row r="18834" spans="20:20" ht="18.75" customHeight="1" x14ac:dyDescent="0.35">
      <c r="T18834" s="246">
        <f t="shared" si="332"/>
        <v>0</v>
      </c>
    </row>
    <row r="18835" spans="20:20" ht="18.75" customHeight="1" x14ac:dyDescent="0.35">
      <c r="T18835" s="246">
        <f t="shared" si="332"/>
        <v>0</v>
      </c>
    </row>
    <row r="18836" spans="20:20" ht="18.75" customHeight="1" x14ac:dyDescent="0.35">
      <c r="T18836" s="246">
        <f t="shared" si="332"/>
        <v>0</v>
      </c>
    </row>
    <row r="18837" spans="20:20" ht="18.75" customHeight="1" x14ac:dyDescent="0.35">
      <c r="T18837" s="246">
        <f t="shared" si="332"/>
        <v>0</v>
      </c>
    </row>
    <row r="18838" spans="20:20" ht="18.75" customHeight="1" x14ac:dyDescent="0.35">
      <c r="T18838" s="246">
        <f t="shared" si="332"/>
        <v>0</v>
      </c>
    </row>
    <row r="18839" spans="20:20" ht="18.75" customHeight="1" x14ac:dyDescent="0.35">
      <c r="T18839" s="246">
        <f t="shared" si="332"/>
        <v>0</v>
      </c>
    </row>
    <row r="18840" spans="20:20" ht="18.75" customHeight="1" x14ac:dyDescent="0.35">
      <c r="T18840" s="246">
        <f t="shared" si="332"/>
        <v>0</v>
      </c>
    </row>
    <row r="18841" spans="20:20" ht="18.75" customHeight="1" x14ac:dyDescent="0.35">
      <c r="T18841" s="246">
        <f t="shared" si="332"/>
        <v>0</v>
      </c>
    </row>
    <row r="18842" spans="20:20" ht="18.75" customHeight="1" x14ac:dyDescent="0.35">
      <c r="T18842" s="246">
        <f t="shared" si="332"/>
        <v>0</v>
      </c>
    </row>
    <row r="18843" spans="20:20" ht="18.75" customHeight="1" x14ac:dyDescent="0.35">
      <c r="T18843" s="246">
        <f t="shared" si="332"/>
        <v>0</v>
      </c>
    </row>
    <row r="18844" spans="20:20" ht="18.75" customHeight="1" x14ac:dyDescent="0.35">
      <c r="T18844" s="246">
        <f t="shared" si="332"/>
        <v>0</v>
      </c>
    </row>
    <row r="18845" spans="20:20" ht="18.75" customHeight="1" x14ac:dyDescent="0.35">
      <c r="T18845" s="246">
        <f t="shared" si="332"/>
        <v>0</v>
      </c>
    </row>
    <row r="18846" spans="20:20" ht="18.75" customHeight="1" x14ac:dyDescent="0.35">
      <c r="T18846" s="246">
        <f t="shared" si="332"/>
        <v>0</v>
      </c>
    </row>
    <row r="18847" spans="20:20" ht="18.75" customHeight="1" x14ac:dyDescent="0.35">
      <c r="T18847" s="246">
        <f t="shared" si="332"/>
        <v>0</v>
      </c>
    </row>
    <row r="18848" spans="20:20" ht="18.75" customHeight="1" x14ac:dyDescent="0.35">
      <c r="T18848" s="246">
        <f t="shared" si="332"/>
        <v>0</v>
      </c>
    </row>
    <row r="18849" spans="20:20" ht="18.75" customHeight="1" x14ac:dyDescent="0.35">
      <c r="T18849" s="246">
        <f t="shared" si="332"/>
        <v>0</v>
      </c>
    </row>
    <row r="18850" spans="20:20" ht="18.75" customHeight="1" x14ac:dyDescent="0.35">
      <c r="T18850" s="246">
        <f t="shared" si="332"/>
        <v>0</v>
      </c>
    </row>
    <row r="18851" spans="20:20" ht="18.75" customHeight="1" x14ac:dyDescent="0.35">
      <c r="T18851" s="246">
        <f t="shared" si="332"/>
        <v>0</v>
      </c>
    </row>
    <row r="18852" spans="20:20" ht="18.75" customHeight="1" x14ac:dyDescent="0.35">
      <c r="T18852" s="246">
        <f t="shared" si="332"/>
        <v>0</v>
      </c>
    </row>
    <row r="18853" spans="20:20" ht="18.75" customHeight="1" x14ac:dyDescent="0.35">
      <c r="T18853" s="246">
        <f t="shared" si="332"/>
        <v>0</v>
      </c>
    </row>
    <row r="18854" spans="20:20" ht="18.75" customHeight="1" x14ac:dyDescent="0.35">
      <c r="T18854" s="246">
        <f t="shared" si="332"/>
        <v>0</v>
      </c>
    </row>
    <row r="18855" spans="20:20" ht="18.75" customHeight="1" x14ac:dyDescent="0.35">
      <c r="T18855" s="246">
        <f t="shared" si="332"/>
        <v>0</v>
      </c>
    </row>
    <row r="18856" spans="20:20" ht="18.75" customHeight="1" x14ac:dyDescent="0.35">
      <c r="T18856" s="246">
        <f t="shared" si="332"/>
        <v>0</v>
      </c>
    </row>
    <row r="18857" spans="20:20" ht="18.75" customHeight="1" x14ac:dyDescent="0.35">
      <c r="T18857" s="246">
        <f t="shared" si="332"/>
        <v>0</v>
      </c>
    </row>
    <row r="18858" spans="20:20" ht="18.75" customHeight="1" x14ac:dyDescent="0.35">
      <c r="T18858" s="246">
        <f t="shared" si="332"/>
        <v>0</v>
      </c>
    </row>
    <row r="18859" spans="20:20" ht="18.75" customHeight="1" x14ac:dyDescent="0.35">
      <c r="T18859" s="246">
        <f t="shared" si="332"/>
        <v>0</v>
      </c>
    </row>
    <row r="18860" spans="20:20" ht="18.75" customHeight="1" x14ac:dyDescent="0.35">
      <c r="T18860" s="246">
        <f t="shared" si="332"/>
        <v>0</v>
      </c>
    </row>
    <row r="18861" spans="20:20" ht="18.75" customHeight="1" x14ac:dyDescent="0.35">
      <c r="T18861" s="246">
        <f t="shared" si="332"/>
        <v>0</v>
      </c>
    </row>
    <row r="18862" spans="20:20" ht="18.75" customHeight="1" x14ac:dyDescent="0.35">
      <c r="T18862" s="246">
        <f t="shared" si="332"/>
        <v>0</v>
      </c>
    </row>
    <row r="18863" spans="20:20" ht="18.75" customHeight="1" x14ac:dyDescent="0.35">
      <c r="T18863" s="246">
        <f t="shared" si="332"/>
        <v>0</v>
      </c>
    </row>
    <row r="18864" spans="20:20" ht="18.75" customHeight="1" x14ac:dyDescent="0.35">
      <c r="T18864" s="246">
        <f t="shared" si="332"/>
        <v>0</v>
      </c>
    </row>
    <row r="18865" spans="20:20" ht="18.75" customHeight="1" x14ac:dyDescent="0.35">
      <c r="T18865" s="246">
        <f t="shared" si="332"/>
        <v>0</v>
      </c>
    </row>
    <row r="18866" spans="20:20" ht="18.75" customHeight="1" x14ac:dyDescent="0.35">
      <c r="T18866" s="246">
        <f t="shared" si="332"/>
        <v>0</v>
      </c>
    </row>
    <row r="18867" spans="20:20" ht="18.75" customHeight="1" x14ac:dyDescent="0.35">
      <c r="T18867" s="246">
        <f t="shared" si="332"/>
        <v>0</v>
      </c>
    </row>
    <row r="18868" spans="20:20" ht="18.75" customHeight="1" x14ac:dyDescent="0.35">
      <c r="T18868" s="246">
        <f t="shared" si="332"/>
        <v>0</v>
      </c>
    </row>
    <row r="18869" spans="20:20" ht="18.75" customHeight="1" x14ac:dyDescent="0.35">
      <c r="T18869" s="246">
        <f t="shared" si="332"/>
        <v>0</v>
      </c>
    </row>
    <row r="18870" spans="20:20" ht="18.75" customHeight="1" x14ac:dyDescent="0.35">
      <c r="T18870" s="246">
        <f t="shared" si="332"/>
        <v>0</v>
      </c>
    </row>
    <row r="18871" spans="20:20" ht="18.75" customHeight="1" x14ac:dyDescent="0.35">
      <c r="T18871" s="246">
        <f t="shared" si="332"/>
        <v>0</v>
      </c>
    </row>
    <row r="18872" spans="20:20" ht="18.75" customHeight="1" x14ac:dyDescent="0.35">
      <c r="T18872" s="246">
        <f t="shared" si="332"/>
        <v>0</v>
      </c>
    </row>
    <row r="18873" spans="20:20" ht="18.75" customHeight="1" x14ac:dyDescent="0.35">
      <c r="T18873" s="246">
        <f t="shared" si="332"/>
        <v>0</v>
      </c>
    </row>
    <row r="18874" spans="20:20" ht="18.75" customHeight="1" x14ac:dyDescent="0.35">
      <c r="T18874" s="246">
        <f t="shared" si="332"/>
        <v>0</v>
      </c>
    </row>
    <row r="18875" spans="20:20" ht="18.75" customHeight="1" x14ac:dyDescent="0.35">
      <c r="T18875" s="246">
        <f t="shared" si="332"/>
        <v>0</v>
      </c>
    </row>
    <row r="18876" spans="20:20" ht="18.75" customHeight="1" x14ac:dyDescent="0.35">
      <c r="T18876" s="246">
        <f t="shared" ref="T18876:T18939" si="333">R18876*0.01</f>
        <v>0</v>
      </c>
    </row>
    <row r="18877" spans="20:20" ht="18.75" customHeight="1" x14ac:dyDescent="0.35">
      <c r="T18877" s="246">
        <f t="shared" si="333"/>
        <v>0</v>
      </c>
    </row>
    <row r="18878" spans="20:20" ht="18.75" customHeight="1" x14ac:dyDescent="0.35">
      <c r="T18878" s="246">
        <f t="shared" si="333"/>
        <v>0</v>
      </c>
    </row>
    <row r="18879" spans="20:20" ht="18.75" customHeight="1" x14ac:dyDescent="0.35">
      <c r="T18879" s="246">
        <f t="shared" si="333"/>
        <v>0</v>
      </c>
    </row>
    <row r="18880" spans="20:20" ht="18.75" customHeight="1" x14ac:dyDescent="0.35">
      <c r="T18880" s="246">
        <f t="shared" si="333"/>
        <v>0</v>
      </c>
    </row>
    <row r="18881" spans="20:20" ht="18.75" customHeight="1" x14ac:dyDescent="0.35">
      <c r="T18881" s="246">
        <f t="shared" si="333"/>
        <v>0</v>
      </c>
    </row>
    <row r="18882" spans="20:20" ht="18.75" customHeight="1" x14ac:dyDescent="0.35">
      <c r="T18882" s="246">
        <f t="shared" si="333"/>
        <v>0</v>
      </c>
    </row>
    <row r="18883" spans="20:20" ht="18.75" customHeight="1" x14ac:dyDescent="0.35">
      <c r="T18883" s="246">
        <f t="shared" si="333"/>
        <v>0</v>
      </c>
    </row>
    <row r="18884" spans="20:20" ht="18.75" customHeight="1" x14ac:dyDescent="0.35">
      <c r="T18884" s="246">
        <f t="shared" si="333"/>
        <v>0</v>
      </c>
    </row>
    <row r="18885" spans="20:20" ht="18.75" customHeight="1" x14ac:dyDescent="0.35">
      <c r="T18885" s="246">
        <f t="shared" si="333"/>
        <v>0</v>
      </c>
    </row>
    <row r="18886" spans="20:20" ht="18.75" customHeight="1" x14ac:dyDescent="0.35">
      <c r="T18886" s="246">
        <f t="shared" si="333"/>
        <v>0</v>
      </c>
    </row>
    <row r="18887" spans="20:20" ht="18.75" customHeight="1" x14ac:dyDescent="0.35">
      <c r="T18887" s="246">
        <f t="shared" si="333"/>
        <v>0</v>
      </c>
    </row>
    <row r="18888" spans="20:20" ht="18.75" customHeight="1" x14ac:dyDescent="0.35">
      <c r="T18888" s="246">
        <f t="shared" si="333"/>
        <v>0</v>
      </c>
    </row>
    <row r="18889" spans="20:20" ht="18.75" customHeight="1" x14ac:dyDescent="0.35">
      <c r="T18889" s="246">
        <f t="shared" si="333"/>
        <v>0</v>
      </c>
    </row>
    <row r="18890" spans="20:20" ht="18.75" customHeight="1" x14ac:dyDescent="0.35">
      <c r="T18890" s="246">
        <f t="shared" si="333"/>
        <v>0</v>
      </c>
    </row>
    <row r="18891" spans="20:20" ht="18.75" customHeight="1" x14ac:dyDescent="0.35">
      <c r="T18891" s="246">
        <f t="shared" si="333"/>
        <v>0</v>
      </c>
    </row>
    <row r="18892" spans="20:20" ht="18.75" customHeight="1" x14ac:dyDescent="0.35">
      <c r="T18892" s="246">
        <f t="shared" si="333"/>
        <v>0</v>
      </c>
    </row>
    <row r="18893" spans="20:20" ht="18.75" customHeight="1" x14ac:dyDescent="0.35">
      <c r="T18893" s="246">
        <f t="shared" si="333"/>
        <v>0</v>
      </c>
    </row>
    <row r="18894" spans="20:20" ht="18.75" customHeight="1" x14ac:dyDescent="0.35">
      <c r="T18894" s="246">
        <f t="shared" si="333"/>
        <v>0</v>
      </c>
    </row>
    <row r="18895" spans="20:20" ht="18.75" customHeight="1" x14ac:dyDescent="0.35">
      <c r="T18895" s="246">
        <f t="shared" si="333"/>
        <v>0</v>
      </c>
    </row>
    <row r="18896" spans="20:20" ht="18.75" customHeight="1" x14ac:dyDescent="0.35">
      <c r="T18896" s="246">
        <f t="shared" si="333"/>
        <v>0</v>
      </c>
    </row>
    <row r="18897" spans="20:20" ht="18.75" customHeight="1" x14ac:dyDescent="0.35">
      <c r="T18897" s="246">
        <f t="shared" si="333"/>
        <v>0</v>
      </c>
    </row>
    <row r="18898" spans="20:20" ht="18.75" customHeight="1" x14ac:dyDescent="0.35">
      <c r="T18898" s="246">
        <f t="shared" si="333"/>
        <v>0</v>
      </c>
    </row>
    <row r="18899" spans="20:20" ht="18.75" customHeight="1" x14ac:dyDescent="0.35">
      <c r="T18899" s="246">
        <f t="shared" si="333"/>
        <v>0</v>
      </c>
    </row>
    <row r="18900" spans="20:20" ht="18.75" customHeight="1" x14ac:dyDescent="0.35">
      <c r="T18900" s="246">
        <f t="shared" si="333"/>
        <v>0</v>
      </c>
    </row>
    <row r="18901" spans="20:20" ht="18.75" customHeight="1" x14ac:dyDescent="0.35">
      <c r="T18901" s="246">
        <f t="shared" si="333"/>
        <v>0</v>
      </c>
    </row>
    <row r="18902" spans="20:20" ht="18.75" customHeight="1" x14ac:dyDescent="0.35">
      <c r="T18902" s="246">
        <f t="shared" si="333"/>
        <v>0</v>
      </c>
    </row>
    <row r="18903" spans="20:20" ht="18.75" customHeight="1" x14ac:dyDescent="0.35">
      <c r="T18903" s="246">
        <f t="shared" si="333"/>
        <v>0</v>
      </c>
    </row>
    <row r="18904" spans="20:20" ht="18.75" customHeight="1" x14ac:dyDescent="0.35">
      <c r="T18904" s="246">
        <f t="shared" si="333"/>
        <v>0</v>
      </c>
    </row>
    <row r="18905" spans="20:20" ht="18.75" customHeight="1" x14ac:dyDescent="0.35">
      <c r="T18905" s="246">
        <f t="shared" si="333"/>
        <v>0</v>
      </c>
    </row>
    <row r="18906" spans="20:20" ht="18.75" customHeight="1" x14ac:dyDescent="0.35">
      <c r="T18906" s="246">
        <f t="shared" si="333"/>
        <v>0</v>
      </c>
    </row>
    <row r="18907" spans="20:20" ht="18.75" customHeight="1" x14ac:dyDescent="0.35">
      <c r="T18907" s="246">
        <f t="shared" si="333"/>
        <v>0</v>
      </c>
    </row>
    <row r="18908" spans="20:20" ht="18.75" customHeight="1" x14ac:dyDescent="0.35">
      <c r="T18908" s="246">
        <f t="shared" si="333"/>
        <v>0</v>
      </c>
    </row>
    <row r="18909" spans="20:20" ht="18.75" customHeight="1" x14ac:dyDescent="0.35">
      <c r="T18909" s="246">
        <f t="shared" si="333"/>
        <v>0</v>
      </c>
    </row>
    <row r="18910" spans="20:20" ht="18.75" customHeight="1" x14ac:dyDescent="0.35">
      <c r="T18910" s="246">
        <f t="shared" si="333"/>
        <v>0</v>
      </c>
    </row>
    <row r="18911" spans="20:20" ht="18.75" customHeight="1" x14ac:dyDescent="0.35">
      <c r="T18911" s="246">
        <f t="shared" si="333"/>
        <v>0</v>
      </c>
    </row>
    <row r="18912" spans="20:20" ht="18.75" customHeight="1" x14ac:dyDescent="0.35">
      <c r="T18912" s="246">
        <f t="shared" si="333"/>
        <v>0</v>
      </c>
    </row>
    <row r="18913" spans="20:20" ht="18.75" customHeight="1" x14ac:dyDescent="0.35">
      <c r="T18913" s="246">
        <f t="shared" si="333"/>
        <v>0</v>
      </c>
    </row>
    <row r="18914" spans="20:20" ht="18.75" customHeight="1" x14ac:dyDescent="0.35">
      <c r="T18914" s="246">
        <f t="shared" si="333"/>
        <v>0</v>
      </c>
    </row>
    <row r="18915" spans="20:20" ht="18.75" customHeight="1" x14ac:dyDescent="0.35">
      <c r="T18915" s="246">
        <f t="shared" si="333"/>
        <v>0</v>
      </c>
    </row>
    <row r="18916" spans="20:20" ht="18.75" customHeight="1" x14ac:dyDescent="0.35">
      <c r="T18916" s="246">
        <f t="shared" si="333"/>
        <v>0</v>
      </c>
    </row>
    <row r="18917" spans="20:20" ht="18.75" customHeight="1" x14ac:dyDescent="0.35">
      <c r="T18917" s="246">
        <f t="shared" si="333"/>
        <v>0</v>
      </c>
    </row>
    <row r="18918" spans="20:20" ht="18.75" customHeight="1" x14ac:dyDescent="0.35">
      <c r="T18918" s="246">
        <f t="shared" si="333"/>
        <v>0</v>
      </c>
    </row>
    <row r="18919" spans="20:20" ht="18.75" customHeight="1" x14ac:dyDescent="0.35">
      <c r="T18919" s="246">
        <f t="shared" si="333"/>
        <v>0</v>
      </c>
    </row>
    <row r="18920" spans="20:20" ht="18.75" customHeight="1" x14ac:dyDescent="0.35">
      <c r="T18920" s="246">
        <f t="shared" si="333"/>
        <v>0</v>
      </c>
    </row>
    <row r="18921" spans="20:20" ht="18.75" customHeight="1" x14ac:dyDescent="0.35">
      <c r="T18921" s="246">
        <f t="shared" si="333"/>
        <v>0</v>
      </c>
    </row>
    <row r="18922" spans="20:20" ht="18.75" customHeight="1" x14ac:dyDescent="0.35">
      <c r="T18922" s="246">
        <f t="shared" si="333"/>
        <v>0</v>
      </c>
    </row>
    <row r="18923" spans="20:20" ht="18.75" customHeight="1" x14ac:dyDescent="0.35">
      <c r="T18923" s="246">
        <f t="shared" si="333"/>
        <v>0</v>
      </c>
    </row>
    <row r="18924" spans="20:20" ht="18.75" customHeight="1" x14ac:dyDescent="0.35">
      <c r="T18924" s="246">
        <f t="shared" si="333"/>
        <v>0</v>
      </c>
    </row>
    <row r="18925" spans="20:20" ht="18.75" customHeight="1" x14ac:dyDescent="0.35">
      <c r="T18925" s="246">
        <f t="shared" si="333"/>
        <v>0</v>
      </c>
    </row>
    <row r="18926" spans="20:20" ht="18.75" customHeight="1" x14ac:dyDescent="0.35">
      <c r="T18926" s="246">
        <f t="shared" si="333"/>
        <v>0</v>
      </c>
    </row>
    <row r="18927" spans="20:20" ht="18.75" customHeight="1" x14ac:dyDescent="0.35">
      <c r="T18927" s="246">
        <f t="shared" si="333"/>
        <v>0</v>
      </c>
    </row>
    <row r="18928" spans="20:20" ht="18.75" customHeight="1" x14ac:dyDescent="0.35">
      <c r="T18928" s="246">
        <f t="shared" si="333"/>
        <v>0</v>
      </c>
    </row>
    <row r="18929" spans="20:20" ht="18.75" customHeight="1" x14ac:dyDescent="0.35">
      <c r="T18929" s="246">
        <f t="shared" si="333"/>
        <v>0</v>
      </c>
    </row>
    <row r="18930" spans="20:20" ht="18.75" customHeight="1" x14ac:dyDescent="0.35">
      <c r="T18930" s="246">
        <f t="shared" si="333"/>
        <v>0</v>
      </c>
    </row>
    <row r="18931" spans="20:20" ht="18.75" customHeight="1" x14ac:dyDescent="0.35">
      <c r="T18931" s="246">
        <f t="shared" si="333"/>
        <v>0</v>
      </c>
    </row>
    <row r="18932" spans="20:20" ht="18.75" customHeight="1" x14ac:dyDescent="0.35">
      <c r="T18932" s="246">
        <f t="shared" si="333"/>
        <v>0</v>
      </c>
    </row>
    <row r="18933" spans="20:20" ht="18.75" customHeight="1" x14ac:dyDescent="0.35">
      <c r="T18933" s="246">
        <f t="shared" si="333"/>
        <v>0</v>
      </c>
    </row>
    <row r="18934" spans="20:20" ht="18.75" customHeight="1" x14ac:dyDescent="0.35">
      <c r="T18934" s="246">
        <f t="shared" si="333"/>
        <v>0</v>
      </c>
    </row>
    <row r="18935" spans="20:20" ht="18.75" customHeight="1" x14ac:dyDescent="0.35">
      <c r="T18935" s="246">
        <f t="shared" si="333"/>
        <v>0</v>
      </c>
    </row>
    <row r="18936" spans="20:20" ht="18.75" customHeight="1" x14ac:dyDescent="0.35">
      <c r="T18936" s="246">
        <f t="shared" si="333"/>
        <v>0</v>
      </c>
    </row>
    <row r="18937" spans="20:20" ht="18.75" customHeight="1" x14ac:dyDescent="0.35">
      <c r="T18937" s="246">
        <f t="shared" si="333"/>
        <v>0</v>
      </c>
    </row>
    <row r="18938" spans="20:20" ht="18.75" customHeight="1" x14ac:dyDescent="0.35">
      <c r="T18938" s="246">
        <f t="shared" si="333"/>
        <v>0</v>
      </c>
    </row>
    <row r="18939" spans="20:20" ht="18.75" customHeight="1" x14ac:dyDescent="0.35">
      <c r="T18939" s="246">
        <f t="shared" si="333"/>
        <v>0</v>
      </c>
    </row>
    <row r="18940" spans="20:20" ht="18.75" customHeight="1" x14ac:dyDescent="0.35">
      <c r="T18940" s="246">
        <f t="shared" ref="T18940:T19003" si="334">R18940*0.01</f>
        <v>0</v>
      </c>
    </row>
    <row r="18941" spans="20:20" ht="18.75" customHeight="1" x14ac:dyDescent="0.35">
      <c r="T18941" s="246">
        <f t="shared" si="334"/>
        <v>0</v>
      </c>
    </row>
    <row r="18942" spans="20:20" ht="18.75" customHeight="1" x14ac:dyDescent="0.35">
      <c r="T18942" s="246">
        <f t="shared" si="334"/>
        <v>0</v>
      </c>
    </row>
    <row r="18943" spans="20:20" ht="18.75" customHeight="1" x14ac:dyDescent="0.35">
      <c r="T18943" s="246">
        <f t="shared" si="334"/>
        <v>0</v>
      </c>
    </row>
    <row r="18944" spans="20:20" ht="18.75" customHeight="1" x14ac:dyDescent="0.35">
      <c r="T18944" s="246">
        <f t="shared" si="334"/>
        <v>0</v>
      </c>
    </row>
    <row r="18945" spans="20:20" ht="18.75" customHeight="1" x14ac:dyDescent="0.35">
      <c r="T18945" s="246">
        <f t="shared" si="334"/>
        <v>0</v>
      </c>
    </row>
    <row r="18946" spans="20:20" ht="18.75" customHeight="1" x14ac:dyDescent="0.35">
      <c r="T18946" s="246">
        <f t="shared" si="334"/>
        <v>0</v>
      </c>
    </row>
    <row r="18947" spans="20:20" ht="18.75" customHeight="1" x14ac:dyDescent="0.35">
      <c r="T18947" s="246">
        <f t="shared" si="334"/>
        <v>0</v>
      </c>
    </row>
    <row r="18948" spans="20:20" ht="18.75" customHeight="1" x14ac:dyDescent="0.35">
      <c r="T18948" s="246">
        <f t="shared" si="334"/>
        <v>0</v>
      </c>
    </row>
    <row r="18949" spans="20:20" ht="18.75" customHeight="1" x14ac:dyDescent="0.35">
      <c r="T18949" s="246">
        <f t="shared" si="334"/>
        <v>0</v>
      </c>
    </row>
    <row r="18950" spans="20:20" ht="18.75" customHeight="1" x14ac:dyDescent="0.35">
      <c r="T18950" s="246">
        <f t="shared" si="334"/>
        <v>0</v>
      </c>
    </row>
    <row r="18951" spans="20:20" ht="18.75" customHeight="1" x14ac:dyDescent="0.35">
      <c r="T18951" s="246">
        <f t="shared" si="334"/>
        <v>0</v>
      </c>
    </row>
    <row r="18952" spans="20:20" ht="18.75" customHeight="1" x14ac:dyDescent="0.35">
      <c r="T18952" s="246">
        <f t="shared" si="334"/>
        <v>0</v>
      </c>
    </row>
    <row r="18953" spans="20:20" ht="18.75" customHeight="1" x14ac:dyDescent="0.35">
      <c r="T18953" s="246">
        <f t="shared" si="334"/>
        <v>0</v>
      </c>
    </row>
    <row r="18954" spans="20:20" ht="18.75" customHeight="1" x14ac:dyDescent="0.35">
      <c r="T18954" s="246">
        <f t="shared" si="334"/>
        <v>0</v>
      </c>
    </row>
    <row r="18955" spans="20:20" ht="18.75" customHeight="1" x14ac:dyDescent="0.35">
      <c r="T18955" s="246">
        <f t="shared" si="334"/>
        <v>0</v>
      </c>
    </row>
    <row r="18956" spans="20:20" ht="18.75" customHeight="1" x14ac:dyDescent="0.35">
      <c r="T18956" s="246">
        <f t="shared" si="334"/>
        <v>0</v>
      </c>
    </row>
    <row r="18957" spans="20:20" ht="18.75" customHeight="1" x14ac:dyDescent="0.35">
      <c r="T18957" s="246">
        <f t="shared" si="334"/>
        <v>0</v>
      </c>
    </row>
    <row r="18958" spans="20:20" ht="18.75" customHeight="1" x14ac:dyDescent="0.35">
      <c r="T18958" s="246">
        <f t="shared" si="334"/>
        <v>0</v>
      </c>
    </row>
    <row r="18959" spans="20:20" ht="18.75" customHeight="1" x14ac:dyDescent="0.35">
      <c r="T18959" s="246">
        <f t="shared" si="334"/>
        <v>0</v>
      </c>
    </row>
    <row r="18960" spans="20:20" ht="18.75" customHeight="1" x14ac:dyDescent="0.35">
      <c r="T18960" s="246">
        <f t="shared" si="334"/>
        <v>0</v>
      </c>
    </row>
    <row r="18961" spans="20:20" ht="18.75" customHeight="1" x14ac:dyDescent="0.35">
      <c r="T18961" s="246">
        <f t="shared" si="334"/>
        <v>0</v>
      </c>
    </row>
    <row r="18962" spans="20:20" ht="18.75" customHeight="1" x14ac:dyDescent="0.35">
      <c r="T18962" s="246">
        <f t="shared" si="334"/>
        <v>0</v>
      </c>
    </row>
    <row r="18963" spans="20:20" ht="18.75" customHeight="1" x14ac:dyDescent="0.35">
      <c r="T18963" s="246">
        <f t="shared" si="334"/>
        <v>0</v>
      </c>
    </row>
    <row r="18964" spans="20:20" ht="18.75" customHeight="1" x14ac:dyDescent="0.35">
      <c r="T18964" s="246">
        <f t="shared" si="334"/>
        <v>0</v>
      </c>
    </row>
    <row r="18965" spans="20:20" ht="18.75" customHeight="1" x14ac:dyDescent="0.35">
      <c r="T18965" s="246">
        <f t="shared" si="334"/>
        <v>0</v>
      </c>
    </row>
    <row r="18966" spans="20:20" ht="18.75" customHeight="1" x14ac:dyDescent="0.35">
      <c r="T18966" s="246">
        <f t="shared" si="334"/>
        <v>0</v>
      </c>
    </row>
    <row r="18967" spans="20:20" ht="18.75" customHeight="1" x14ac:dyDescent="0.35">
      <c r="T18967" s="246">
        <f t="shared" si="334"/>
        <v>0</v>
      </c>
    </row>
    <row r="18968" spans="20:20" ht="18.75" customHeight="1" x14ac:dyDescent="0.35">
      <c r="T18968" s="246">
        <f t="shared" si="334"/>
        <v>0</v>
      </c>
    </row>
    <row r="18969" spans="20:20" ht="18.75" customHeight="1" x14ac:dyDescent="0.35">
      <c r="T18969" s="246">
        <f t="shared" si="334"/>
        <v>0</v>
      </c>
    </row>
    <row r="18970" spans="20:20" ht="18.75" customHeight="1" x14ac:dyDescent="0.35">
      <c r="T18970" s="246">
        <f t="shared" si="334"/>
        <v>0</v>
      </c>
    </row>
    <row r="18971" spans="20:20" ht="18.75" customHeight="1" x14ac:dyDescent="0.35">
      <c r="T18971" s="246">
        <f t="shared" si="334"/>
        <v>0</v>
      </c>
    </row>
    <row r="18972" spans="20:20" ht="18.75" customHeight="1" x14ac:dyDescent="0.35">
      <c r="T18972" s="246">
        <f t="shared" si="334"/>
        <v>0</v>
      </c>
    </row>
    <row r="18973" spans="20:20" ht="18.75" customHeight="1" x14ac:dyDescent="0.35">
      <c r="T18973" s="246">
        <f t="shared" si="334"/>
        <v>0</v>
      </c>
    </row>
    <row r="18974" spans="20:20" ht="18.75" customHeight="1" x14ac:dyDescent="0.35">
      <c r="T18974" s="246">
        <f t="shared" si="334"/>
        <v>0</v>
      </c>
    </row>
    <row r="18975" spans="20:20" ht="18.75" customHeight="1" x14ac:dyDescent="0.35">
      <c r="T18975" s="246">
        <f t="shared" si="334"/>
        <v>0</v>
      </c>
    </row>
    <row r="18976" spans="20:20" ht="18.75" customHeight="1" x14ac:dyDescent="0.35">
      <c r="T18976" s="246">
        <f t="shared" si="334"/>
        <v>0</v>
      </c>
    </row>
    <row r="18977" spans="20:20" ht="18.75" customHeight="1" x14ac:dyDescent="0.35">
      <c r="T18977" s="246">
        <f t="shared" si="334"/>
        <v>0</v>
      </c>
    </row>
    <row r="18978" spans="20:20" ht="18.75" customHeight="1" x14ac:dyDescent="0.35">
      <c r="T18978" s="246">
        <f t="shared" si="334"/>
        <v>0</v>
      </c>
    </row>
    <row r="18979" spans="20:20" ht="18.75" customHeight="1" x14ac:dyDescent="0.35">
      <c r="T18979" s="246">
        <f t="shared" si="334"/>
        <v>0</v>
      </c>
    </row>
    <row r="18980" spans="20:20" ht="18.75" customHeight="1" x14ac:dyDescent="0.35">
      <c r="T18980" s="246">
        <f t="shared" si="334"/>
        <v>0</v>
      </c>
    </row>
    <row r="18981" spans="20:20" ht="18.75" customHeight="1" x14ac:dyDescent="0.35">
      <c r="T18981" s="246">
        <f t="shared" si="334"/>
        <v>0</v>
      </c>
    </row>
    <row r="18982" spans="20:20" ht="18.75" customHeight="1" x14ac:dyDescent="0.35">
      <c r="T18982" s="246">
        <f t="shared" si="334"/>
        <v>0</v>
      </c>
    </row>
    <row r="18983" spans="20:20" ht="18.75" customHeight="1" x14ac:dyDescent="0.35">
      <c r="T18983" s="246">
        <f t="shared" si="334"/>
        <v>0</v>
      </c>
    </row>
    <row r="18984" spans="20:20" ht="18.75" customHeight="1" x14ac:dyDescent="0.35">
      <c r="T18984" s="246">
        <f t="shared" si="334"/>
        <v>0</v>
      </c>
    </row>
    <row r="18985" spans="20:20" ht="18.75" customHeight="1" x14ac:dyDescent="0.35">
      <c r="T18985" s="246">
        <f t="shared" si="334"/>
        <v>0</v>
      </c>
    </row>
    <row r="18986" spans="20:20" ht="18.75" customHeight="1" x14ac:dyDescent="0.35">
      <c r="T18986" s="246">
        <f t="shared" si="334"/>
        <v>0</v>
      </c>
    </row>
    <row r="18987" spans="20:20" ht="18.75" customHeight="1" x14ac:dyDescent="0.35">
      <c r="T18987" s="246">
        <f t="shared" si="334"/>
        <v>0</v>
      </c>
    </row>
    <row r="18988" spans="20:20" ht="18.75" customHeight="1" x14ac:dyDescent="0.35">
      <c r="T18988" s="246">
        <f t="shared" si="334"/>
        <v>0</v>
      </c>
    </row>
    <row r="18989" spans="20:20" ht="18.75" customHeight="1" x14ac:dyDescent="0.35">
      <c r="T18989" s="246">
        <f t="shared" si="334"/>
        <v>0</v>
      </c>
    </row>
    <row r="18990" spans="20:20" ht="18.75" customHeight="1" x14ac:dyDescent="0.35">
      <c r="T18990" s="246">
        <f t="shared" si="334"/>
        <v>0</v>
      </c>
    </row>
    <row r="18991" spans="20:20" ht="18.75" customHeight="1" x14ac:dyDescent="0.35">
      <c r="T18991" s="246">
        <f t="shared" si="334"/>
        <v>0</v>
      </c>
    </row>
    <row r="18992" spans="20:20" ht="18.75" customHeight="1" x14ac:dyDescent="0.35">
      <c r="T18992" s="246">
        <f t="shared" si="334"/>
        <v>0</v>
      </c>
    </row>
    <row r="18993" spans="20:20" ht="18.75" customHeight="1" x14ac:dyDescent="0.35">
      <c r="T18993" s="246">
        <f t="shared" si="334"/>
        <v>0</v>
      </c>
    </row>
    <row r="18994" spans="20:20" ht="18.75" customHeight="1" x14ac:dyDescent="0.35">
      <c r="T18994" s="246">
        <f t="shared" si="334"/>
        <v>0</v>
      </c>
    </row>
    <row r="18995" spans="20:20" ht="18.75" customHeight="1" x14ac:dyDescent="0.35">
      <c r="T18995" s="246">
        <f t="shared" si="334"/>
        <v>0</v>
      </c>
    </row>
    <row r="18996" spans="20:20" ht="18.75" customHeight="1" x14ac:dyDescent="0.35">
      <c r="T18996" s="246">
        <f t="shared" si="334"/>
        <v>0</v>
      </c>
    </row>
    <row r="18997" spans="20:20" ht="18.75" customHeight="1" x14ac:dyDescent="0.35">
      <c r="T18997" s="246">
        <f t="shared" si="334"/>
        <v>0</v>
      </c>
    </row>
    <row r="18998" spans="20:20" ht="18.75" customHeight="1" x14ac:dyDescent="0.35">
      <c r="T18998" s="246">
        <f t="shared" si="334"/>
        <v>0</v>
      </c>
    </row>
    <row r="18999" spans="20:20" ht="18.75" customHeight="1" x14ac:dyDescent="0.35">
      <c r="T18999" s="246">
        <f t="shared" si="334"/>
        <v>0</v>
      </c>
    </row>
    <row r="19000" spans="20:20" ht="18.75" customHeight="1" x14ac:dyDescent="0.35">
      <c r="T19000" s="246">
        <f t="shared" si="334"/>
        <v>0</v>
      </c>
    </row>
    <row r="19001" spans="20:20" ht="18.75" customHeight="1" x14ac:dyDescent="0.35">
      <c r="T19001" s="246">
        <f t="shared" si="334"/>
        <v>0</v>
      </c>
    </row>
    <row r="19002" spans="20:20" ht="18.75" customHeight="1" x14ac:dyDescent="0.35">
      <c r="T19002" s="246">
        <f t="shared" si="334"/>
        <v>0</v>
      </c>
    </row>
    <row r="19003" spans="20:20" ht="18.75" customHeight="1" x14ac:dyDescent="0.35">
      <c r="T19003" s="246">
        <f t="shared" si="334"/>
        <v>0</v>
      </c>
    </row>
    <row r="19004" spans="20:20" ht="18.75" customHeight="1" x14ac:dyDescent="0.35">
      <c r="T19004" s="246">
        <f t="shared" ref="T19004:T19067" si="335">R19004*0.01</f>
        <v>0</v>
      </c>
    </row>
    <row r="19005" spans="20:20" ht="18.75" customHeight="1" x14ac:dyDescent="0.35">
      <c r="T19005" s="246">
        <f t="shared" si="335"/>
        <v>0</v>
      </c>
    </row>
    <row r="19006" spans="20:20" ht="18.75" customHeight="1" x14ac:dyDescent="0.35">
      <c r="T19006" s="246">
        <f t="shared" si="335"/>
        <v>0</v>
      </c>
    </row>
    <row r="19007" spans="20:20" ht="18.75" customHeight="1" x14ac:dyDescent="0.35">
      <c r="T19007" s="246">
        <f t="shared" si="335"/>
        <v>0</v>
      </c>
    </row>
    <row r="19008" spans="20:20" ht="18.75" customHeight="1" x14ac:dyDescent="0.35">
      <c r="T19008" s="246">
        <f t="shared" si="335"/>
        <v>0</v>
      </c>
    </row>
    <row r="19009" spans="20:20" ht="18.75" customHeight="1" x14ac:dyDescent="0.35">
      <c r="T19009" s="246">
        <f t="shared" si="335"/>
        <v>0</v>
      </c>
    </row>
    <row r="19010" spans="20:20" ht="18.75" customHeight="1" x14ac:dyDescent="0.35">
      <c r="T19010" s="246">
        <f t="shared" si="335"/>
        <v>0</v>
      </c>
    </row>
    <row r="19011" spans="20:20" ht="18.75" customHeight="1" x14ac:dyDescent="0.35">
      <c r="T19011" s="246">
        <f t="shared" si="335"/>
        <v>0</v>
      </c>
    </row>
    <row r="19012" spans="20:20" ht="18.75" customHeight="1" x14ac:dyDescent="0.35">
      <c r="T19012" s="246">
        <f t="shared" si="335"/>
        <v>0</v>
      </c>
    </row>
    <row r="19013" spans="20:20" ht="18.75" customHeight="1" x14ac:dyDescent="0.35">
      <c r="T19013" s="246">
        <f t="shared" si="335"/>
        <v>0</v>
      </c>
    </row>
    <row r="19014" spans="20:20" ht="18.75" customHeight="1" x14ac:dyDescent="0.35">
      <c r="T19014" s="246">
        <f t="shared" si="335"/>
        <v>0</v>
      </c>
    </row>
    <row r="19015" spans="20:20" ht="18.75" customHeight="1" x14ac:dyDescent="0.35">
      <c r="T19015" s="246">
        <f t="shared" si="335"/>
        <v>0</v>
      </c>
    </row>
    <row r="19016" spans="20:20" ht="18.75" customHeight="1" x14ac:dyDescent="0.35">
      <c r="T19016" s="246">
        <f t="shared" si="335"/>
        <v>0</v>
      </c>
    </row>
    <row r="19017" spans="20:20" ht="18.75" customHeight="1" x14ac:dyDescent="0.35">
      <c r="T19017" s="246">
        <f t="shared" si="335"/>
        <v>0</v>
      </c>
    </row>
    <row r="19018" spans="20:20" ht="18.75" customHeight="1" x14ac:dyDescent="0.35">
      <c r="T19018" s="246">
        <f t="shared" si="335"/>
        <v>0</v>
      </c>
    </row>
    <row r="19019" spans="20:20" ht="18.75" customHeight="1" x14ac:dyDescent="0.35">
      <c r="T19019" s="246">
        <f t="shared" si="335"/>
        <v>0</v>
      </c>
    </row>
    <row r="19020" spans="20:20" ht="18.75" customHeight="1" x14ac:dyDescent="0.35">
      <c r="T19020" s="246">
        <f t="shared" si="335"/>
        <v>0</v>
      </c>
    </row>
    <row r="19021" spans="20:20" ht="18.75" customHeight="1" x14ac:dyDescent="0.35">
      <c r="T19021" s="246">
        <f t="shared" si="335"/>
        <v>0</v>
      </c>
    </row>
    <row r="19022" spans="20:20" ht="18.75" customHeight="1" x14ac:dyDescent="0.35">
      <c r="T19022" s="246">
        <f t="shared" si="335"/>
        <v>0</v>
      </c>
    </row>
    <row r="19023" spans="20:20" ht="18.75" customHeight="1" x14ac:dyDescent="0.35">
      <c r="T19023" s="246">
        <f t="shared" si="335"/>
        <v>0</v>
      </c>
    </row>
    <row r="19024" spans="20:20" ht="18.75" customHeight="1" x14ac:dyDescent="0.35">
      <c r="T19024" s="246">
        <f t="shared" si="335"/>
        <v>0</v>
      </c>
    </row>
    <row r="19025" spans="20:20" ht="18.75" customHeight="1" x14ac:dyDescent="0.35">
      <c r="T19025" s="246">
        <f t="shared" si="335"/>
        <v>0</v>
      </c>
    </row>
    <row r="19026" spans="20:20" ht="18.75" customHeight="1" x14ac:dyDescent="0.35">
      <c r="T19026" s="246">
        <f t="shared" si="335"/>
        <v>0</v>
      </c>
    </row>
    <row r="19027" spans="20:20" ht="18.75" customHeight="1" x14ac:dyDescent="0.35">
      <c r="T19027" s="246">
        <f t="shared" si="335"/>
        <v>0</v>
      </c>
    </row>
    <row r="19028" spans="20:20" ht="18.75" customHeight="1" x14ac:dyDescent="0.35">
      <c r="T19028" s="246">
        <f t="shared" si="335"/>
        <v>0</v>
      </c>
    </row>
    <row r="19029" spans="20:20" ht="18.75" customHeight="1" x14ac:dyDescent="0.35">
      <c r="T19029" s="246">
        <f t="shared" si="335"/>
        <v>0</v>
      </c>
    </row>
    <row r="19030" spans="20:20" ht="18.75" customHeight="1" x14ac:dyDescent="0.35">
      <c r="T19030" s="246">
        <f t="shared" si="335"/>
        <v>0</v>
      </c>
    </row>
    <row r="19031" spans="20:20" ht="18.75" customHeight="1" x14ac:dyDescent="0.35">
      <c r="T19031" s="246">
        <f t="shared" si="335"/>
        <v>0</v>
      </c>
    </row>
    <row r="19032" spans="20:20" ht="18.75" customHeight="1" x14ac:dyDescent="0.35">
      <c r="T19032" s="246">
        <f t="shared" si="335"/>
        <v>0</v>
      </c>
    </row>
    <row r="19033" spans="20:20" ht="18.75" customHeight="1" x14ac:dyDescent="0.35">
      <c r="T19033" s="246">
        <f t="shared" si="335"/>
        <v>0</v>
      </c>
    </row>
    <row r="19034" spans="20:20" ht="18.75" customHeight="1" x14ac:dyDescent="0.35">
      <c r="T19034" s="246">
        <f t="shared" si="335"/>
        <v>0</v>
      </c>
    </row>
    <row r="19035" spans="20:20" ht="18.75" customHeight="1" x14ac:dyDescent="0.35">
      <c r="T19035" s="246">
        <f t="shared" si="335"/>
        <v>0</v>
      </c>
    </row>
    <row r="19036" spans="20:20" ht="18.75" customHeight="1" x14ac:dyDescent="0.35">
      <c r="T19036" s="246">
        <f t="shared" si="335"/>
        <v>0</v>
      </c>
    </row>
    <row r="19037" spans="20:20" ht="18.75" customHeight="1" x14ac:dyDescent="0.35">
      <c r="T19037" s="246">
        <f t="shared" si="335"/>
        <v>0</v>
      </c>
    </row>
    <row r="19038" spans="20:20" ht="18.75" customHeight="1" x14ac:dyDescent="0.35">
      <c r="T19038" s="246">
        <f t="shared" si="335"/>
        <v>0</v>
      </c>
    </row>
    <row r="19039" spans="20:20" ht="18.75" customHeight="1" x14ac:dyDescent="0.35">
      <c r="T19039" s="246">
        <f t="shared" si="335"/>
        <v>0</v>
      </c>
    </row>
    <row r="19040" spans="20:20" ht="18.75" customHeight="1" x14ac:dyDescent="0.35">
      <c r="T19040" s="246">
        <f t="shared" si="335"/>
        <v>0</v>
      </c>
    </row>
    <row r="19041" spans="20:20" ht="18.75" customHeight="1" x14ac:dyDescent="0.35">
      <c r="T19041" s="246">
        <f t="shared" si="335"/>
        <v>0</v>
      </c>
    </row>
    <row r="19042" spans="20:20" ht="18.75" customHeight="1" x14ac:dyDescent="0.35">
      <c r="T19042" s="246">
        <f t="shared" si="335"/>
        <v>0</v>
      </c>
    </row>
    <row r="19043" spans="20:20" ht="18.75" customHeight="1" x14ac:dyDescent="0.35">
      <c r="T19043" s="246">
        <f t="shared" si="335"/>
        <v>0</v>
      </c>
    </row>
    <row r="19044" spans="20:20" ht="18.75" customHeight="1" x14ac:dyDescent="0.35">
      <c r="T19044" s="246">
        <f t="shared" si="335"/>
        <v>0</v>
      </c>
    </row>
    <row r="19045" spans="20:20" ht="18.75" customHeight="1" x14ac:dyDescent="0.35">
      <c r="T19045" s="246">
        <f t="shared" si="335"/>
        <v>0</v>
      </c>
    </row>
    <row r="19046" spans="20:20" ht="18.75" customHeight="1" x14ac:dyDescent="0.35">
      <c r="T19046" s="246">
        <f t="shared" si="335"/>
        <v>0</v>
      </c>
    </row>
    <row r="19047" spans="20:20" ht="18.75" customHeight="1" x14ac:dyDescent="0.35">
      <c r="T19047" s="246">
        <f t="shared" si="335"/>
        <v>0</v>
      </c>
    </row>
    <row r="19048" spans="20:20" ht="18.75" customHeight="1" x14ac:dyDescent="0.35">
      <c r="T19048" s="246">
        <f t="shared" si="335"/>
        <v>0</v>
      </c>
    </row>
    <row r="19049" spans="20:20" ht="18.75" customHeight="1" x14ac:dyDescent="0.35">
      <c r="T19049" s="246">
        <f t="shared" si="335"/>
        <v>0</v>
      </c>
    </row>
    <row r="19050" spans="20:20" ht="18.75" customHeight="1" x14ac:dyDescent="0.35">
      <c r="T19050" s="246">
        <f t="shared" si="335"/>
        <v>0</v>
      </c>
    </row>
    <row r="19051" spans="20:20" ht="18.75" customHeight="1" x14ac:dyDescent="0.35">
      <c r="T19051" s="246">
        <f t="shared" si="335"/>
        <v>0</v>
      </c>
    </row>
    <row r="19052" spans="20:20" ht="18.75" customHeight="1" x14ac:dyDescent="0.35">
      <c r="T19052" s="246">
        <f t="shared" si="335"/>
        <v>0</v>
      </c>
    </row>
    <row r="19053" spans="20:20" ht="18.75" customHeight="1" x14ac:dyDescent="0.35">
      <c r="T19053" s="246">
        <f t="shared" si="335"/>
        <v>0</v>
      </c>
    </row>
    <row r="19054" spans="20:20" ht="18.75" customHeight="1" x14ac:dyDescent="0.35">
      <c r="T19054" s="246">
        <f t="shared" si="335"/>
        <v>0</v>
      </c>
    </row>
    <row r="19055" spans="20:20" ht="18.75" customHeight="1" x14ac:dyDescent="0.35">
      <c r="T19055" s="246">
        <f t="shared" si="335"/>
        <v>0</v>
      </c>
    </row>
    <row r="19056" spans="20:20" ht="18.75" customHeight="1" x14ac:dyDescent="0.35">
      <c r="T19056" s="246">
        <f t="shared" si="335"/>
        <v>0</v>
      </c>
    </row>
    <row r="19057" spans="20:20" ht="18.75" customHeight="1" x14ac:dyDescent="0.35">
      <c r="T19057" s="246">
        <f t="shared" si="335"/>
        <v>0</v>
      </c>
    </row>
    <row r="19058" spans="20:20" ht="18.75" customHeight="1" x14ac:dyDescent="0.35">
      <c r="T19058" s="246">
        <f t="shared" si="335"/>
        <v>0</v>
      </c>
    </row>
    <row r="19059" spans="20:20" ht="18.75" customHeight="1" x14ac:dyDescent="0.35">
      <c r="T19059" s="246">
        <f t="shared" si="335"/>
        <v>0</v>
      </c>
    </row>
    <row r="19060" spans="20:20" ht="18.75" customHeight="1" x14ac:dyDescent="0.35">
      <c r="T19060" s="246">
        <f t="shared" si="335"/>
        <v>0</v>
      </c>
    </row>
    <row r="19061" spans="20:20" ht="18.75" customHeight="1" x14ac:dyDescent="0.35">
      <c r="T19061" s="246">
        <f t="shared" si="335"/>
        <v>0</v>
      </c>
    </row>
    <row r="19062" spans="20:20" ht="18.75" customHeight="1" x14ac:dyDescent="0.35">
      <c r="T19062" s="246">
        <f t="shared" si="335"/>
        <v>0</v>
      </c>
    </row>
    <row r="19063" spans="20:20" ht="18.75" customHeight="1" x14ac:dyDescent="0.35">
      <c r="T19063" s="246">
        <f t="shared" si="335"/>
        <v>0</v>
      </c>
    </row>
    <row r="19064" spans="20:20" ht="18.75" customHeight="1" x14ac:dyDescent="0.35">
      <c r="T19064" s="246">
        <f t="shared" si="335"/>
        <v>0</v>
      </c>
    </row>
    <row r="19065" spans="20:20" ht="18.75" customHeight="1" x14ac:dyDescent="0.35">
      <c r="T19065" s="246">
        <f t="shared" si="335"/>
        <v>0</v>
      </c>
    </row>
    <row r="19066" spans="20:20" ht="18.75" customHeight="1" x14ac:dyDescent="0.35">
      <c r="T19066" s="246">
        <f t="shared" si="335"/>
        <v>0</v>
      </c>
    </row>
    <row r="19067" spans="20:20" ht="18.75" customHeight="1" x14ac:dyDescent="0.35">
      <c r="T19067" s="246">
        <f t="shared" si="335"/>
        <v>0</v>
      </c>
    </row>
    <row r="19068" spans="20:20" ht="18.75" customHeight="1" x14ac:dyDescent="0.35">
      <c r="T19068" s="246">
        <f t="shared" ref="T19068:T19131" si="336">R19068*0.01</f>
        <v>0</v>
      </c>
    </row>
    <row r="19069" spans="20:20" ht="18.75" customHeight="1" x14ac:dyDescent="0.35">
      <c r="T19069" s="246">
        <f t="shared" si="336"/>
        <v>0</v>
      </c>
    </row>
    <row r="19070" spans="20:20" ht="18.75" customHeight="1" x14ac:dyDescent="0.35">
      <c r="T19070" s="246">
        <f t="shared" si="336"/>
        <v>0</v>
      </c>
    </row>
    <row r="19071" spans="20:20" ht="18.75" customHeight="1" x14ac:dyDescent="0.35">
      <c r="T19071" s="246">
        <f t="shared" si="336"/>
        <v>0</v>
      </c>
    </row>
    <row r="19072" spans="20:20" ht="18.75" customHeight="1" x14ac:dyDescent="0.35">
      <c r="T19072" s="246">
        <f t="shared" si="336"/>
        <v>0</v>
      </c>
    </row>
    <row r="19073" spans="20:20" ht="18.75" customHeight="1" x14ac:dyDescent="0.35">
      <c r="T19073" s="246">
        <f t="shared" si="336"/>
        <v>0</v>
      </c>
    </row>
    <row r="19074" spans="20:20" ht="18.75" customHeight="1" x14ac:dyDescent="0.35">
      <c r="T19074" s="246">
        <f t="shared" si="336"/>
        <v>0</v>
      </c>
    </row>
    <row r="19075" spans="20:20" ht="18.75" customHeight="1" x14ac:dyDescent="0.35">
      <c r="T19075" s="246">
        <f t="shared" si="336"/>
        <v>0</v>
      </c>
    </row>
    <row r="19076" spans="20:20" ht="18.75" customHeight="1" x14ac:dyDescent="0.35">
      <c r="T19076" s="246">
        <f t="shared" si="336"/>
        <v>0</v>
      </c>
    </row>
    <row r="19077" spans="20:20" ht="18.75" customHeight="1" x14ac:dyDescent="0.35">
      <c r="T19077" s="246">
        <f t="shared" si="336"/>
        <v>0</v>
      </c>
    </row>
    <row r="19078" spans="20:20" ht="18.75" customHeight="1" x14ac:dyDescent="0.35">
      <c r="T19078" s="246">
        <f t="shared" si="336"/>
        <v>0</v>
      </c>
    </row>
    <row r="19079" spans="20:20" ht="18.75" customHeight="1" x14ac:dyDescent="0.35">
      <c r="T19079" s="246">
        <f t="shared" si="336"/>
        <v>0</v>
      </c>
    </row>
    <row r="19080" spans="20:20" ht="18.75" customHeight="1" x14ac:dyDescent="0.35">
      <c r="T19080" s="246">
        <f t="shared" si="336"/>
        <v>0</v>
      </c>
    </row>
    <row r="19081" spans="20:20" ht="18.75" customHeight="1" x14ac:dyDescent="0.35">
      <c r="T19081" s="246">
        <f t="shared" si="336"/>
        <v>0</v>
      </c>
    </row>
    <row r="19082" spans="20:20" ht="18.75" customHeight="1" x14ac:dyDescent="0.35">
      <c r="T19082" s="246">
        <f t="shared" si="336"/>
        <v>0</v>
      </c>
    </row>
    <row r="19083" spans="20:20" ht="18.75" customHeight="1" x14ac:dyDescent="0.35">
      <c r="T19083" s="246">
        <f t="shared" si="336"/>
        <v>0</v>
      </c>
    </row>
    <row r="19084" spans="20:20" ht="18.75" customHeight="1" x14ac:dyDescent="0.35">
      <c r="T19084" s="246">
        <f t="shared" si="336"/>
        <v>0</v>
      </c>
    </row>
    <row r="19085" spans="20:20" ht="18.75" customHeight="1" x14ac:dyDescent="0.35">
      <c r="T19085" s="246">
        <f t="shared" si="336"/>
        <v>0</v>
      </c>
    </row>
    <row r="19086" spans="20:20" ht="18.75" customHeight="1" x14ac:dyDescent="0.35">
      <c r="T19086" s="246">
        <f t="shared" si="336"/>
        <v>0</v>
      </c>
    </row>
    <row r="19087" spans="20:20" ht="18.75" customHeight="1" x14ac:dyDescent="0.35">
      <c r="T19087" s="246">
        <f t="shared" si="336"/>
        <v>0</v>
      </c>
    </row>
    <row r="19088" spans="20:20" ht="18.75" customHeight="1" x14ac:dyDescent="0.35">
      <c r="T19088" s="246">
        <f t="shared" si="336"/>
        <v>0</v>
      </c>
    </row>
    <row r="19089" spans="20:20" ht="18.75" customHeight="1" x14ac:dyDescent="0.35">
      <c r="T19089" s="246">
        <f t="shared" si="336"/>
        <v>0</v>
      </c>
    </row>
    <row r="19090" spans="20:20" ht="18.75" customHeight="1" x14ac:dyDescent="0.35">
      <c r="T19090" s="246">
        <f t="shared" si="336"/>
        <v>0</v>
      </c>
    </row>
    <row r="19091" spans="20:20" ht="18.75" customHeight="1" x14ac:dyDescent="0.35">
      <c r="T19091" s="246">
        <f t="shared" si="336"/>
        <v>0</v>
      </c>
    </row>
    <row r="19092" spans="20:20" ht="18.75" customHeight="1" x14ac:dyDescent="0.35">
      <c r="T19092" s="246">
        <f t="shared" si="336"/>
        <v>0</v>
      </c>
    </row>
    <row r="19093" spans="20:20" ht="18.75" customHeight="1" x14ac:dyDescent="0.35">
      <c r="T19093" s="246">
        <f t="shared" si="336"/>
        <v>0</v>
      </c>
    </row>
    <row r="19094" spans="20:20" ht="18.75" customHeight="1" x14ac:dyDescent="0.35">
      <c r="T19094" s="246">
        <f t="shared" si="336"/>
        <v>0</v>
      </c>
    </row>
    <row r="19095" spans="20:20" ht="18.75" customHeight="1" x14ac:dyDescent="0.35">
      <c r="T19095" s="246">
        <f t="shared" si="336"/>
        <v>0</v>
      </c>
    </row>
    <row r="19096" spans="20:20" ht="18.75" customHeight="1" x14ac:dyDescent="0.35">
      <c r="T19096" s="246">
        <f t="shared" si="336"/>
        <v>0</v>
      </c>
    </row>
    <row r="19097" spans="20:20" ht="18.75" customHeight="1" x14ac:dyDescent="0.35">
      <c r="T19097" s="246">
        <f t="shared" si="336"/>
        <v>0</v>
      </c>
    </row>
    <row r="19098" spans="20:20" ht="18.75" customHeight="1" x14ac:dyDescent="0.35">
      <c r="T19098" s="246">
        <f t="shared" si="336"/>
        <v>0</v>
      </c>
    </row>
    <row r="19099" spans="20:20" ht="18.75" customHeight="1" x14ac:dyDescent="0.35">
      <c r="T19099" s="246">
        <f t="shared" si="336"/>
        <v>0</v>
      </c>
    </row>
    <row r="19100" spans="20:20" ht="18.75" customHeight="1" x14ac:dyDescent="0.35">
      <c r="T19100" s="246">
        <f t="shared" si="336"/>
        <v>0</v>
      </c>
    </row>
    <row r="19101" spans="20:20" ht="18.75" customHeight="1" x14ac:dyDescent="0.35">
      <c r="T19101" s="246">
        <f t="shared" si="336"/>
        <v>0</v>
      </c>
    </row>
    <row r="19102" spans="20:20" ht="18.75" customHeight="1" x14ac:dyDescent="0.35">
      <c r="T19102" s="246">
        <f t="shared" si="336"/>
        <v>0</v>
      </c>
    </row>
    <row r="19103" spans="20:20" ht="18.75" customHeight="1" x14ac:dyDescent="0.35">
      <c r="T19103" s="246">
        <f t="shared" si="336"/>
        <v>0</v>
      </c>
    </row>
    <row r="19104" spans="20:20" ht="18.75" customHeight="1" x14ac:dyDescent="0.35">
      <c r="T19104" s="246">
        <f t="shared" si="336"/>
        <v>0</v>
      </c>
    </row>
    <row r="19105" spans="20:20" ht="18.75" customHeight="1" x14ac:dyDescent="0.35">
      <c r="T19105" s="246">
        <f t="shared" si="336"/>
        <v>0</v>
      </c>
    </row>
    <row r="19106" spans="20:20" ht="18.75" customHeight="1" x14ac:dyDescent="0.35">
      <c r="T19106" s="246">
        <f t="shared" si="336"/>
        <v>0</v>
      </c>
    </row>
    <row r="19107" spans="20:20" ht="18.75" customHeight="1" x14ac:dyDescent="0.35">
      <c r="T19107" s="246">
        <f t="shared" si="336"/>
        <v>0</v>
      </c>
    </row>
    <row r="19108" spans="20:20" ht="18.75" customHeight="1" x14ac:dyDescent="0.35">
      <c r="T19108" s="246">
        <f t="shared" si="336"/>
        <v>0</v>
      </c>
    </row>
    <row r="19109" spans="20:20" ht="18.75" customHeight="1" x14ac:dyDescent="0.35">
      <c r="T19109" s="246">
        <f t="shared" si="336"/>
        <v>0</v>
      </c>
    </row>
    <row r="19110" spans="20:20" ht="18.75" customHeight="1" x14ac:dyDescent="0.35">
      <c r="T19110" s="246">
        <f t="shared" si="336"/>
        <v>0</v>
      </c>
    </row>
    <row r="19111" spans="20:20" ht="18.75" customHeight="1" x14ac:dyDescent="0.35">
      <c r="T19111" s="246">
        <f t="shared" si="336"/>
        <v>0</v>
      </c>
    </row>
    <row r="19112" spans="20:20" ht="18.75" customHeight="1" x14ac:dyDescent="0.35">
      <c r="T19112" s="246">
        <f t="shared" si="336"/>
        <v>0</v>
      </c>
    </row>
    <row r="19113" spans="20:20" ht="18.75" customHeight="1" x14ac:dyDescent="0.35">
      <c r="T19113" s="246">
        <f t="shared" si="336"/>
        <v>0</v>
      </c>
    </row>
    <row r="19114" spans="20:20" ht="18.75" customHeight="1" x14ac:dyDescent="0.35">
      <c r="T19114" s="246">
        <f t="shared" si="336"/>
        <v>0</v>
      </c>
    </row>
    <row r="19115" spans="20:20" ht="18.75" customHeight="1" x14ac:dyDescent="0.35">
      <c r="T19115" s="246">
        <f t="shared" si="336"/>
        <v>0</v>
      </c>
    </row>
    <row r="19116" spans="20:20" ht="18.75" customHeight="1" x14ac:dyDescent="0.35">
      <c r="T19116" s="246">
        <f t="shared" si="336"/>
        <v>0</v>
      </c>
    </row>
    <row r="19117" spans="20:20" ht="18.75" customHeight="1" x14ac:dyDescent="0.35">
      <c r="T19117" s="246">
        <f t="shared" si="336"/>
        <v>0</v>
      </c>
    </row>
    <row r="19118" spans="20:20" ht="18.75" customHeight="1" x14ac:dyDescent="0.35">
      <c r="T19118" s="246">
        <f t="shared" si="336"/>
        <v>0</v>
      </c>
    </row>
    <row r="19119" spans="20:20" ht="18.75" customHeight="1" x14ac:dyDescent="0.35">
      <c r="T19119" s="246">
        <f t="shared" si="336"/>
        <v>0</v>
      </c>
    </row>
    <row r="19120" spans="20:20" ht="18.75" customHeight="1" x14ac:dyDescent="0.35">
      <c r="T19120" s="246">
        <f t="shared" si="336"/>
        <v>0</v>
      </c>
    </row>
    <row r="19121" spans="20:20" ht="18.75" customHeight="1" x14ac:dyDescent="0.35">
      <c r="T19121" s="246">
        <f t="shared" si="336"/>
        <v>0</v>
      </c>
    </row>
    <row r="19122" spans="20:20" ht="18.75" customHeight="1" x14ac:dyDescent="0.35">
      <c r="T19122" s="246">
        <f t="shared" si="336"/>
        <v>0</v>
      </c>
    </row>
    <row r="19123" spans="20:20" ht="18.75" customHeight="1" x14ac:dyDescent="0.35">
      <c r="T19123" s="246">
        <f t="shared" si="336"/>
        <v>0</v>
      </c>
    </row>
    <row r="19124" spans="20:20" ht="18.75" customHeight="1" x14ac:dyDescent="0.35">
      <c r="T19124" s="246">
        <f t="shared" si="336"/>
        <v>0</v>
      </c>
    </row>
    <row r="19125" spans="20:20" ht="18.75" customHeight="1" x14ac:dyDescent="0.35">
      <c r="T19125" s="246">
        <f t="shared" si="336"/>
        <v>0</v>
      </c>
    </row>
    <row r="19126" spans="20:20" ht="18.75" customHeight="1" x14ac:dyDescent="0.35">
      <c r="T19126" s="246">
        <f t="shared" si="336"/>
        <v>0</v>
      </c>
    </row>
    <row r="19127" spans="20:20" ht="18.75" customHeight="1" x14ac:dyDescent="0.35">
      <c r="T19127" s="246">
        <f t="shared" si="336"/>
        <v>0</v>
      </c>
    </row>
    <row r="19128" spans="20:20" ht="18.75" customHeight="1" x14ac:dyDescent="0.35">
      <c r="T19128" s="246">
        <f t="shared" si="336"/>
        <v>0</v>
      </c>
    </row>
    <row r="19129" spans="20:20" ht="18.75" customHeight="1" x14ac:dyDescent="0.35">
      <c r="T19129" s="246">
        <f t="shared" si="336"/>
        <v>0</v>
      </c>
    </row>
    <row r="19130" spans="20:20" ht="18.75" customHeight="1" x14ac:dyDescent="0.35">
      <c r="T19130" s="246">
        <f t="shared" si="336"/>
        <v>0</v>
      </c>
    </row>
    <row r="19131" spans="20:20" ht="18.75" customHeight="1" x14ac:dyDescent="0.35">
      <c r="T19131" s="246">
        <f t="shared" si="336"/>
        <v>0</v>
      </c>
    </row>
    <row r="19132" spans="20:20" ht="18.75" customHeight="1" x14ac:dyDescent="0.35">
      <c r="T19132" s="246">
        <f t="shared" ref="T19132:T19195" si="337">R19132*0.01</f>
        <v>0</v>
      </c>
    </row>
    <row r="19133" spans="20:20" ht="18.75" customHeight="1" x14ac:dyDescent="0.35">
      <c r="T19133" s="246">
        <f t="shared" si="337"/>
        <v>0</v>
      </c>
    </row>
    <row r="19134" spans="20:20" ht="18.75" customHeight="1" x14ac:dyDescent="0.35">
      <c r="T19134" s="246">
        <f t="shared" si="337"/>
        <v>0</v>
      </c>
    </row>
    <row r="19135" spans="20:20" ht="18.75" customHeight="1" x14ac:dyDescent="0.35">
      <c r="T19135" s="246">
        <f t="shared" si="337"/>
        <v>0</v>
      </c>
    </row>
    <row r="19136" spans="20:20" ht="18.75" customHeight="1" x14ac:dyDescent="0.35">
      <c r="T19136" s="246">
        <f t="shared" si="337"/>
        <v>0</v>
      </c>
    </row>
    <row r="19137" spans="20:20" ht="18.75" customHeight="1" x14ac:dyDescent="0.35">
      <c r="T19137" s="246">
        <f t="shared" si="337"/>
        <v>0</v>
      </c>
    </row>
    <row r="19138" spans="20:20" ht="18.75" customHeight="1" x14ac:dyDescent="0.35">
      <c r="T19138" s="246">
        <f t="shared" si="337"/>
        <v>0</v>
      </c>
    </row>
    <row r="19139" spans="20:20" ht="18.75" customHeight="1" x14ac:dyDescent="0.35">
      <c r="T19139" s="246">
        <f t="shared" si="337"/>
        <v>0</v>
      </c>
    </row>
    <row r="19140" spans="20:20" ht="18.75" customHeight="1" x14ac:dyDescent="0.35">
      <c r="T19140" s="246">
        <f t="shared" si="337"/>
        <v>0</v>
      </c>
    </row>
    <row r="19141" spans="20:20" ht="18.75" customHeight="1" x14ac:dyDescent="0.35">
      <c r="T19141" s="246">
        <f t="shared" si="337"/>
        <v>0</v>
      </c>
    </row>
    <row r="19142" spans="20:20" ht="18.75" customHeight="1" x14ac:dyDescent="0.35">
      <c r="T19142" s="246">
        <f t="shared" si="337"/>
        <v>0</v>
      </c>
    </row>
    <row r="19143" spans="20:20" ht="18.75" customHeight="1" x14ac:dyDescent="0.35">
      <c r="T19143" s="246">
        <f t="shared" si="337"/>
        <v>0</v>
      </c>
    </row>
    <row r="19144" spans="20:20" ht="18.75" customHeight="1" x14ac:dyDescent="0.35">
      <c r="T19144" s="246">
        <f t="shared" si="337"/>
        <v>0</v>
      </c>
    </row>
    <row r="19145" spans="20:20" ht="18.75" customHeight="1" x14ac:dyDescent="0.35">
      <c r="T19145" s="246">
        <f t="shared" si="337"/>
        <v>0</v>
      </c>
    </row>
    <row r="19146" spans="20:20" ht="18.75" customHeight="1" x14ac:dyDescent="0.35">
      <c r="T19146" s="246">
        <f t="shared" si="337"/>
        <v>0</v>
      </c>
    </row>
    <row r="19147" spans="20:20" ht="18.75" customHeight="1" x14ac:dyDescent="0.35">
      <c r="T19147" s="246">
        <f t="shared" si="337"/>
        <v>0</v>
      </c>
    </row>
    <row r="19148" spans="20:20" ht="18.75" customHeight="1" x14ac:dyDescent="0.35">
      <c r="T19148" s="246">
        <f t="shared" si="337"/>
        <v>0</v>
      </c>
    </row>
    <row r="19149" spans="20:20" ht="18.75" customHeight="1" x14ac:dyDescent="0.35">
      <c r="T19149" s="246">
        <f t="shared" si="337"/>
        <v>0</v>
      </c>
    </row>
    <row r="19150" spans="20:20" ht="18.75" customHeight="1" x14ac:dyDescent="0.35">
      <c r="T19150" s="246">
        <f t="shared" si="337"/>
        <v>0</v>
      </c>
    </row>
    <row r="19151" spans="20:20" ht="18.75" customHeight="1" x14ac:dyDescent="0.35">
      <c r="T19151" s="246">
        <f t="shared" si="337"/>
        <v>0</v>
      </c>
    </row>
    <row r="19152" spans="20:20" ht="18.75" customHeight="1" x14ac:dyDescent="0.35">
      <c r="T19152" s="246">
        <f t="shared" si="337"/>
        <v>0</v>
      </c>
    </row>
    <row r="19153" spans="20:20" ht="18.75" customHeight="1" x14ac:dyDescent="0.35">
      <c r="T19153" s="246">
        <f t="shared" si="337"/>
        <v>0</v>
      </c>
    </row>
    <row r="19154" spans="20:20" ht="18.75" customHeight="1" x14ac:dyDescent="0.35">
      <c r="T19154" s="246">
        <f t="shared" si="337"/>
        <v>0</v>
      </c>
    </row>
    <row r="19155" spans="20:20" ht="18.75" customHeight="1" x14ac:dyDescent="0.35">
      <c r="T19155" s="246">
        <f t="shared" si="337"/>
        <v>0</v>
      </c>
    </row>
    <row r="19156" spans="20:20" ht="18.75" customHeight="1" x14ac:dyDescent="0.35">
      <c r="T19156" s="246">
        <f t="shared" si="337"/>
        <v>0</v>
      </c>
    </row>
    <row r="19157" spans="20:20" ht="18.75" customHeight="1" x14ac:dyDescent="0.35">
      <c r="T19157" s="246">
        <f t="shared" si="337"/>
        <v>0</v>
      </c>
    </row>
    <row r="19158" spans="20:20" ht="18.75" customHeight="1" x14ac:dyDescent="0.35">
      <c r="T19158" s="246">
        <f t="shared" si="337"/>
        <v>0</v>
      </c>
    </row>
    <row r="19159" spans="20:20" ht="18.75" customHeight="1" x14ac:dyDescent="0.35">
      <c r="T19159" s="246">
        <f t="shared" si="337"/>
        <v>0</v>
      </c>
    </row>
    <row r="19160" spans="20:20" ht="18.75" customHeight="1" x14ac:dyDescent="0.35">
      <c r="T19160" s="246">
        <f t="shared" si="337"/>
        <v>0</v>
      </c>
    </row>
    <row r="19161" spans="20:20" ht="18.75" customHeight="1" x14ac:dyDescent="0.35">
      <c r="T19161" s="246">
        <f t="shared" si="337"/>
        <v>0</v>
      </c>
    </row>
    <row r="19162" spans="20:20" ht="18.75" customHeight="1" x14ac:dyDescent="0.35">
      <c r="T19162" s="246">
        <f t="shared" si="337"/>
        <v>0</v>
      </c>
    </row>
    <row r="19163" spans="20:20" ht="18.75" customHeight="1" x14ac:dyDescent="0.35">
      <c r="T19163" s="246">
        <f t="shared" si="337"/>
        <v>0</v>
      </c>
    </row>
    <row r="19164" spans="20:20" ht="18.75" customHeight="1" x14ac:dyDescent="0.35">
      <c r="T19164" s="246">
        <f t="shared" si="337"/>
        <v>0</v>
      </c>
    </row>
    <row r="19165" spans="20:20" ht="18.75" customHeight="1" x14ac:dyDescent="0.35">
      <c r="T19165" s="246">
        <f t="shared" si="337"/>
        <v>0</v>
      </c>
    </row>
    <row r="19166" spans="20:20" ht="18.75" customHeight="1" x14ac:dyDescent="0.35">
      <c r="T19166" s="246">
        <f t="shared" si="337"/>
        <v>0</v>
      </c>
    </row>
    <row r="19167" spans="20:20" ht="18.75" customHeight="1" x14ac:dyDescent="0.35">
      <c r="T19167" s="246">
        <f t="shared" si="337"/>
        <v>0</v>
      </c>
    </row>
    <row r="19168" spans="20:20" ht="18.75" customHeight="1" x14ac:dyDescent="0.35">
      <c r="T19168" s="246">
        <f t="shared" si="337"/>
        <v>0</v>
      </c>
    </row>
    <row r="19169" spans="20:20" ht="18.75" customHeight="1" x14ac:dyDescent="0.35">
      <c r="T19169" s="246">
        <f t="shared" si="337"/>
        <v>0</v>
      </c>
    </row>
    <row r="19170" spans="20:20" ht="18.75" customHeight="1" x14ac:dyDescent="0.35">
      <c r="T19170" s="246">
        <f t="shared" si="337"/>
        <v>0</v>
      </c>
    </row>
    <row r="19171" spans="20:20" ht="18.75" customHeight="1" x14ac:dyDescent="0.35">
      <c r="T19171" s="246">
        <f t="shared" si="337"/>
        <v>0</v>
      </c>
    </row>
    <row r="19172" spans="20:20" ht="18.75" customHeight="1" x14ac:dyDescent="0.35">
      <c r="T19172" s="246">
        <f t="shared" si="337"/>
        <v>0</v>
      </c>
    </row>
    <row r="19173" spans="20:20" ht="18.75" customHeight="1" x14ac:dyDescent="0.35">
      <c r="T19173" s="246">
        <f t="shared" si="337"/>
        <v>0</v>
      </c>
    </row>
    <row r="19174" spans="20:20" ht="18.75" customHeight="1" x14ac:dyDescent="0.35">
      <c r="T19174" s="246">
        <f t="shared" si="337"/>
        <v>0</v>
      </c>
    </row>
    <row r="19175" spans="20:20" ht="18.75" customHeight="1" x14ac:dyDescent="0.35">
      <c r="T19175" s="246">
        <f t="shared" si="337"/>
        <v>0</v>
      </c>
    </row>
    <row r="19176" spans="20:20" ht="18.75" customHeight="1" x14ac:dyDescent="0.35">
      <c r="T19176" s="246">
        <f t="shared" si="337"/>
        <v>0</v>
      </c>
    </row>
    <row r="19177" spans="20:20" ht="18.75" customHeight="1" x14ac:dyDescent="0.35">
      <c r="T19177" s="246">
        <f t="shared" si="337"/>
        <v>0</v>
      </c>
    </row>
    <row r="19178" spans="20:20" ht="18.75" customHeight="1" x14ac:dyDescent="0.35">
      <c r="T19178" s="246">
        <f t="shared" si="337"/>
        <v>0</v>
      </c>
    </row>
    <row r="19179" spans="20:20" ht="18.75" customHeight="1" x14ac:dyDescent="0.35">
      <c r="T19179" s="246">
        <f t="shared" si="337"/>
        <v>0</v>
      </c>
    </row>
    <row r="19180" spans="20:20" ht="18.75" customHeight="1" x14ac:dyDescent="0.35">
      <c r="T19180" s="246">
        <f t="shared" si="337"/>
        <v>0</v>
      </c>
    </row>
    <row r="19181" spans="20:20" ht="18.75" customHeight="1" x14ac:dyDescent="0.35">
      <c r="T19181" s="246">
        <f t="shared" si="337"/>
        <v>0</v>
      </c>
    </row>
    <row r="19182" spans="20:20" ht="18.75" customHeight="1" x14ac:dyDescent="0.35">
      <c r="T19182" s="246">
        <f t="shared" si="337"/>
        <v>0</v>
      </c>
    </row>
    <row r="19183" spans="20:20" ht="18.75" customHeight="1" x14ac:dyDescent="0.35">
      <c r="T19183" s="246">
        <f t="shared" si="337"/>
        <v>0</v>
      </c>
    </row>
    <row r="19184" spans="20:20" ht="18.75" customHeight="1" x14ac:dyDescent="0.35">
      <c r="T19184" s="246">
        <f t="shared" si="337"/>
        <v>0</v>
      </c>
    </row>
    <row r="19185" spans="20:20" ht="18.75" customHeight="1" x14ac:dyDescent="0.35">
      <c r="T19185" s="246">
        <f t="shared" si="337"/>
        <v>0</v>
      </c>
    </row>
    <row r="19186" spans="20:20" ht="18.75" customHeight="1" x14ac:dyDescent="0.35">
      <c r="T19186" s="246">
        <f t="shared" si="337"/>
        <v>0</v>
      </c>
    </row>
    <row r="19187" spans="20:20" ht="18.75" customHeight="1" x14ac:dyDescent="0.35">
      <c r="T19187" s="246">
        <f t="shared" si="337"/>
        <v>0</v>
      </c>
    </row>
    <row r="19188" spans="20:20" ht="18.75" customHeight="1" x14ac:dyDescent="0.35">
      <c r="T19188" s="246">
        <f t="shared" si="337"/>
        <v>0</v>
      </c>
    </row>
    <row r="19189" spans="20:20" ht="18.75" customHeight="1" x14ac:dyDescent="0.35">
      <c r="T19189" s="246">
        <f t="shared" si="337"/>
        <v>0</v>
      </c>
    </row>
    <row r="19190" spans="20:20" ht="18.75" customHeight="1" x14ac:dyDescent="0.35">
      <c r="T19190" s="246">
        <f t="shared" si="337"/>
        <v>0</v>
      </c>
    </row>
    <row r="19191" spans="20:20" ht="18.75" customHeight="1" x14ac:dyDescent="0.35">
      <c r="T19191" s="246">
        <f t="shared" si="337"/>
        <v>0</v>
      </c>
    </row>
    <row r="19192" spans="20:20" ht="18.75" customHeight="1" x14ac:dyDescent="0.35">
      <c r="T19192" s="246">
        <f t="shared" si="337"/>
        <v>0</v>
      </c>
    </row>
    <row r="19193" spans="20:20" ht="18.75" customHeight="1" x14ac:dyDescent="0.35">
      <c r="T19193" s="246">
        <f t="shared" si="337"/>
        <v>0</v>
      </c>
    </row>
    <row r="19194" spans="20:20" ht="18.75" customHeight="1" x14ac:dyDescent="0.35">
      <c r="T19194" s="246">
        <f t="shared" si="337"/>
        <v>0</v>
      </c>
    </row>
    <row r="19195" spans="20:20" ht="18.75" customHeight="1" x14ac:dyDescent="0.35">
      <c r="T19195" s="246">
        <f t="shared" si="337"/>
        <v>0</v>
      </c>
    </row>
    <row r="19196" spans="20:20" ht="18.75" customHeight="1" x14ac:dyDescent="0.35">
      <c r="T19196" s="246">
        <f t="shared" ref="T19196:T19259" si="338">R19196*0.01</f>
        <v>0</v>
      </c>
    </row>
    <row r="19197" spans="20:20" ht="18.75" customHeight="1" x14ac:dyDescent="0.35">
      <c r="T19197" s="246">
        <f t="shared" si="338"/>
        <v>0</v>
      </c>
    </row>
    <row r="19198" spans="20:20" ht="18.75" customHeight="1" x14ac:dyDescent="0.35">
      <c r="T19198" s="246">
        <f t="shared" si="338"/>
        <v>0</v>
      </c>
    </row>
    <row r="19199" spans="20:20" ht="18.75" customHeight="1" x14ac:dyDescent="0.35">
      <c r="T19199" s="246">
        <f t="shared" si="338"/>
        <v>0</v>
      </c>
    </row>
    <row r="19200" spans="20:20" ht="18.75" customHeight="1" x14ac:dyDescent="0.35">
      <c r="T19200" s="246">
        <f t="shared" si="338"/>
        <v>0</v>
      </c>
    </row>
    <row r="19201" spans="20:20" ht="18.75" customHeight="1" x14ac:dyDescent="0.35">
      <c r="T19201" s="246">
        <f t="shared" si="338"/>
        <v>0</v>
      </c>
    </row>
    <row r="19202" spans="20:20" ht="18.75" customHeight="1" x14ac:dyDescent="0.35">
      <c r="T19202" s="246">
        <f t="shared" si="338"/>
        <v>0</v>
      </c>
    </row>
    <row r="19203" spans="20:20" ht="18.75" customHeight="1" x14ac:dyDescent="0.35">
      <c r="T19203" s="246">
        <f t="shared" si="338"/>
        <v>0</v>
      </c>
    </row>
    <row r="19204" spans="20:20" ht="18.75" customHeight="1" x14ac:dyDescent="0.35">
      <c r="T19204" s="246">
        <f t="shared" si="338"/>
        <v>0</v>
      </c>
    </row>
    <row r="19205" spans="20:20" ht="18.75" customHeight="1" x14ac:dyDescent="0.35">
      <c r="T19205" s="246">
        <f t="shared" si="338"/>
        <v>0</v>
      </c>
    </row>
    <row r="19206" spans="20:20" ht="18.75" customHeight="1" x14ac:dyDescent="0.35">
      <c r="T19206" s="246">
        <f t="shared" si="338"/>
        <v>0</v>
      </c>
    </row>
    <row r="19207" spans="20:20" ht="18.75" customHeight="1" x14ac:dyDescent="0.35">
      <c r="T19207" s="246">
        <f t="shared" si="338"/>
        <v>0</v>
      </c>
    </row>
    <row r="19208" spans="20:20" ht="18.75" customHeight="1" x14ac:dyDescent="0.35">
      <c r="T19208" s="246">
        <f t="shared" si="338"/>
        <v>0</v>
      </c>
    </row>
    <row r="19209" spans="20:20" ht="18.75" customHeight="1" x14ac:dyDescent="0.35">
      <c r="T19209" s="246">
        <f t="shared" si="338"/>
        <v>0</v>
      </c>
    </row>
    <row r="19210" spans="20:20" ht="18.75" customHeight="1" x14ac:dyDescent="0.35">
      <c r="T19210" s="246">
        <f t="shared" si="338"/>
        <v>0</v>
      </c>
    </row>
    <row r="19211" spans="20:20" ht="18.75" customHeight="1" x14ac:dyDescent="0.35">
      <c r="T19211" s="246">
        <f t="shared" si="338"/>
        <v>0</v>
      </c>
    </row>
    <row r="19212" spans="20:20" ht="18.75" customHeight="1" x14ac:dyDescent="0.35">
      <c r="T19212" s="246">
        <f t="shared" si="338"/>
        <v>0</v>
      </c>
    </row>
    <row r="19213" spans="20:20" ht="18.75" customHeight="1" x14ac:dyDescent="0.35">
      <c r="T19213" s="246">
        <f t="shared" si="338"/>
        <v>0</v>
      </c>
    </row>
    <row r="19214" spans="20:20" ht="18.75" customHeight="1" x14ac:dyDescent="0.35">
      <c r="T19214" s="246">
        <f t="shared" si="338"/>
        <v>0</v>
      </c>
    </row>
    <row r="19215" spans="20:20" ht="18.75" customHeight="1" x14ac:dyDescent="0.35">
      <c r="T19215" s="246">
        <f t="shared" si="338"/>
        <v>0</v>
      </c>
    </row>
    <row r="19216" spans="20:20" ht="18.75" customHeight="1" x14ac:dyDescent="0.35">
      <c r="T19216" s="246">
        <f t="shared" si="338"/>
        <v>0</v>
      </c>
    </row>
    <row r="19217" spans="20:20" ht="18.75" customHeight="1" x14ac:dyDescent="0.35">
      <c r="T19217" s="246">
        <f t="shared" si="338"/>
        <v>0</v>
      </c>
    </row>
    <row r="19218" spans="20:20" ht="18.75" customHeight="1" x14ac:dyDescent="0.35">
      <c r="T19218" s="246">
        <f t="shared" si="338"/>
        <v>0</v>
      </c>
    </row>
    <row r="19219" spans="20:20" ht="18.75" customHeight="1" x14ac:dyDescent="0.35">
      <c r="T19219" s="246">
        <f t="shared" si="338"/>
        <v>0</v>
      </c>
    </row>
    <row r="19220" spans="20:20" ht="18.75" customHeight="1" x14ac:dyDescent="0.35">
      <c r="T19220" s="246">
        <f t="shared" si="338"/>
        <v>0</v>
      </c>
    </row>
    <row r="19221" spans="20:20" ht="18.75" customHeight="1" x14ac:dyDescent="0.35">
      <c r="T19221" s="246">
        <f t="shared" si="338"/>
        <v>0</v>
      </c>
    </row>
    <row r="19222" spans="20:20" ht="18.75" customHeight="1" x14ac:dyDescent="0.35">
      <c r="T19222" s="246">
        <f t="shared" si="338"/>
        <v>0</v>
      </c>
    </row>
    <row r="19223" spans="20:20" ht="18.75" customHeight="1" x14ac:dyDescent="0.35">
      <c r="T19223" s="246">
        <f t="shared" si="338"/>
        <v>0</v>
      </c>
    </row>
    <row r="19224" spans="20:20" ht="18.75" customHeight="1" x14ac:dyDescent="0.35">
      <c r="T19224" s="246">
        <f t="shared" si="338"/>
        <v>0</v>
      </c>
    </row>
    <row r="19225" spans="20:20" ht="18.75" customHeight="1" x14ac:dyDescent="0.35">
      <c r="T19225" s="246">
        <f t="shared" si="338"/>
        <v>0</v>
      </c>
    </row>
    <row r="19226" spans="20:20" ht="18.75" customHeight="1" x14ac:dyDescent="0.35">
      <c r="T19226" s="246">
        <f t="shared" si="338"/>
        <v>0</v>
      </c>
    </row>
    <row r="19227" spans="20:20" ht="18.75" customHeight="1" x14ac:dyDescent="0.35">
      <c r="T19227" s="246">
        <f t="shared" si="338"/>
        <v>0</v>
      </c>
    </row>
    <row r="19228" spans="20:20" ht="18.75" customHeight="1" x14ac:dyDescent="0.35">
      <c r="T19228" s="246">
        <f t="shared" si="338"/>
        <v>0</v>
      </c>
    </row>
    <row r="19229" spans="20:20" ht="18.75" customHeight="1" x14ac:dyDescent="0.35">
      <c r="T19229" s="246">
        <f t="shared" si="338"/>
        <v>0</v>
      </c>
    </row>
    <row r="19230" spans="20:20" ht="18.75" customHeight="1" x14ac:dyDescent="0.35">
      <c r="T19230" s="246">
        <f t="shared" si="338"/>
        <v>0</v>
      </c>
    </row>
    <row r="19231" spans="20:20" ht="18.75" customHeight="1" x14ac:dyDescent="0.35">
      <c r="T19231" s="246">
        <f t="shared" si="338"/>
        <v>0</v>
      </c>
    </row>
    <row r="19232" spans="20:20" ht="18.75" customHeight="1" x14ac:dyDescent="0.35">
      <c r="T19232" s="246">
        <f t="shared" si="338"/>
        <v>0</v>
      </c>
    </row>
    <row r="19233" spans="20:20" ht="18.75" customHeight="1" x14ac:dyDescent="0.35">
      <c r="T19233" s="246">
        <f t="shared" si="338"/>
        <v>0</v>
      </c>
    </row>
    <row r="19234" spans="20:20" ht="18.75" customHeight="1" x14ac:dyDescent="0.35">
      <c r="T19234" s="246">
        <f t="shared" si="338"/>
        <v>0</v>
      </c>
    </row>
    <row r="19235" spans="20:20" ht="18.75" customHeight="1" x14ac:dyDescent="0.35">
      <c r="T19235" s="246">
        <f t="shared" si="338"/>
        <v>0</v>
      </c>
    </row>
    <row r="19236" spans="20:20" ht="18.75" customHeight="1" x14ac:dyDescent="0.35">
      <c r="T19236" s="246">
        <f t="shared" si="338"/>
        <v>0</v>
      </c>
    </row>
    <row r="19237" spans="20:20" ht="18.75" customHeight="1" x14ac:dyDescent="0.35">
      <c r="T19237" s="246">
        <f t="shared" si="338"/>
        <v>0</v>
      </c>
    </row>
    <row r="19238" spans="20:20" ht="18.75" customHeight="1" x14ac:dyDescent="0.35">
      <c r="T19238" s="246">
        <f t="shared" si="338"/>
        <v>0</v>
      </c>
    </row>
    <row r="19239" spans="20:20" ht="18.75" customHeight="1" x14ac:dyDescent="0.35">
      <c r="T19239" s="246">
        <f t="shared" si="338"/>
        <v>0</v>
      </c>
    </row>
    <row r="19240" spans="20:20" ht="18.75" customHeight="1" x14ac:dyDescent="0.35">
      <c r="T19240" s="246">
        <f t="shared" si="338"/>
        <v>0</v>
      </c>
    </row>
    <row r="19241" spans="20:20" ht="18.75" customHeight="1" x14ac:dyDescent="0.35">
      <c r="T19241" s="246">
        <f t="shared" si="338"/>
        <v>0</v>
      </c>
    </row>
    <row r="19242" spans="20:20" ht="18.75" customHeight="1" x14ac:dyDescent="0.35">
      <c r="T19242" s="246">
        <f t="shared" si="338"/>
        <v>0</v>
      </c>
    </row>
    <row r="19243" spans="20:20" ht="18.75" customHeight="1" x14ac:dyDescent="0.35">
      <c r="T19243" s="246">
        <f t="shared" si="338"/>
        <v>0</v>
      </c>
    </row>
    <row r="19244" spans="20:20" ht="18.75" customHeight="1" x14ac:dyDescent="0.35">
      <c r="T19244" s="246">
        <f t="shared" si="338"/>
        <v>0</v>
      </c>
    </row>
    <row r="19245" spans="20:20" ht="18.75" customHeight="1" x14ac:dyDescent="0.35">
      <c r="T19245" s="246">
        <f t="shared" si="338"/>
        <v>0</v>
      </c>
    </row>
    <row r="19246" spans="20:20" ht="18.75" customHeight="1" x14ac:dyDescent="0.35">
      <c r="T19246" s="246">
        <f t="shared" si="338"/>
        <v>0</v>
      </c>
    </row>
    <row r="19247" spans="20:20" ht="18.75" customHeight="1" x14ac:dyDescent="0.35">
      <c r="T19247" s="246">
        <f t="shared" si="338"/>
        <v>0</v>
      </c>
    </row>
    <row r="19248" spans="20:20" ht="18.75" customHeight="1" x14ac:dyDescent="0.35">
      <c r="T19248" s="246">
        <f t="shared" si="338"/>
        <v>0</v>
      </c>
    </row>
    <row r="19249" spans="20:20" ht="18.75" customHeight="1" x14ac:dyDescent="0.35">
      <c r="T19249" s="246">
        <f t="shared" si="338"/>
        <v>0</v>
      </c>
    </row>
    <row r="19250" spans="20:20" ht="18.75" customHeight="1" x14ac:dyDescent="0.35">
      <c r="T19250" s="246">
        <f t="shared" si="338"/>
        <v>0</v>
      </c>
    </row>
    <row r="19251" spans="20:20" ht="18.75" customHeight="1" x14ac:dyDescent="0.35">
      <c r="T19251" s="246">
        <f t="shared" si="338"/>
        <v>0</v>
      </c>
    </row>
    <row r="19252" spans="20:20" ht="18.75" customHeight="1" x14ac:dyDescent="0.35">
      <c r="T19252" s="246">
        <f t="shared" si="338"/>
        <v>0</v>
      </c>
    </row>
    <row r="19253" spans="20:20" ht="18.75" customHeight="1" x14ac:dyDescent="0.35">
      <c r="T19253" s="246">
        <f t="shared" si="338"/>
        <v>0</v>
      </c>
    </row>
    <row r="19254" spans="20:20" ht="18.75" customHeight="1" x14ac:dyDescent="0.35">
      <c r="T19254" s="246">
        <f t="shared" si="338"/>
        <v>0</v>
      </c>
    </row>
    <row r="19255" spans="20:20" ht="18.75" customHeight="1" x14ac:dyDescent="0.35">
      <c r="T19255" s="246">
        <f t="shared" si="338"/>
        <v>0</v>
      </c>
    </row>
    <row r="19256" spans="20:20" ht="18.75" customHeight="1" x14ac:dyDescent="0.35">
      <c r="T19256" s="246">
        <f t="shared" si="338"/>
        <v>0</v>
      </c>
    </row>
    <row r="19257" spans="20:20" ht="18.75" customHeight="1" x14ac:dyDescent="0.35">
      <c r="T19257" s="246">
        <f t="shared" si="338"/>
        <v>0</v>
      </c>
    </row>
    <row r="19258" spans="20:20" ht="18.75" customHeight="1" x14ac:dyDescent="0.35">
      <c r="T19258" s="246">
        <f t="shared" si="338"/>
        <v>0</v>
      </c>
    </row>
    <row r="19259" spans="20:20" ht="18.75" customHeight="1" x14ac:dyDescent="0.35">
      <c r="T19259" s="246">
        <f t="shared" si="338"/>
        <v>0</v>
      </c>
    </row>
    <row r="19260" spans="20:20" ht="18.75" customHeight="1" x14ac:dyDescent="0.35">
      <c r="T19260" s="246">
        <f t="shared" ref="T19260:T19323" si="339">R19260*0.01</f>
        <v>0</v>
      </c>
    </row>
    <row r="19261" spans="20:20" ht="18.75" customHeight="1" x14ac:dyDescent="0.35">
      <c r="T19261" s="246">
        <f t="shared" si="339"/>
        <v>0</v>
      </c>
    </row>
    <row r="19262" spans="20:20" ht="18.75" customHeight="1" x14ac:dyDescent="0.35">
      <c r="T19262" s="246">
        <f t="shared" si="339"/>
        <v>0</v>
      </c>
    </row>
    <row r="19263" spans="20:20" ht="18.75" customHeight="1" x14ac:dyDescent="0.35">
      <c r="T19263" s="246">
        <f t="shared" si="339"/>
        <v>0</v>
      </c>
    </row>
    <row r="19264" spans="20:20" ht="18.75" customHeight="1" x14ac:dyDescent="0.35">
      <c r="T19264" s="246">
        <f t="shared" si="339"/>
        <v>0</v>
      </c>
    </row>
    <row r="19265" spans="20:20" ht="18.75" customHeight="1" x14ac:dyDescent="0.35">
      <c r="T19265" s="246">
        <f t="shared" si="339"/>
        <v>0</v>
      </c>
    </row>
    <row r="19266" spans="20:20" ht="18.75" customHeight="1" x14ac:dyDescent="0.35">
      <c r="T19266" s="246">
        <f t="shared" si="339"/>
        <v>0</v>
      </c>
    </row>
    <row r="19267" spans="20:20" ht="18.75" customHeight="1" x14ac:dyDescent="0.35">
      <c r="T19267" s="246">
        <f t="shared" si="339"/>
        <v>0</v>
      </c>
    </row>
    <row r="19268" spans="20:20" ht="18.75" customHeight="1" x14ac:dyDescent="0.35">
      <c r="T19268" s="246">
        <f t="shared" si="339"/>
        <v>0</v>
      </c>
    </row>
    <row r="19269" spans="20:20" ht="18.75" customHeight="1" x14ac:dyDescent="0.35">
      <c r="T19269" s="246">
        <f t="shared" si="339"/>
        <v>0</v>
      </c>
    </row>
    <row r="19270" spans="20:20" ht="18.75" customHeight="1" x14ac:dyDescent="0.35">
      <c r="T19270" s="246">
        <f t="shared" si="339"/>
        <v>0</v>
      </c>
    </row>
    <row r="19271" spans="20:20" ht="18.75" customHeight="1" x14ac:dyDescent="0.35">
      <c r="T19271" s="246">
        <f t="shared" si="339"/>
        <v>0</v>
      </c>
    </row>
    <row r="19272" spans="20:20" ht="18.75" customHeight="1" x14ac:dyDescent="0.35">
      <c r="T19272" s="246">
        <f t="shared" si="339"/>
        <v>0</v>
      </c>
    </row>
    <row r="19273" spans="20:20" ht="18.75" customHeight="1" x14ac:dyDescent="0.35">
      <c r="T19273" s="246">
        <f t="shared" si="339"/>
        <v>0</v>
      </c>
    </row>
    <row r="19274" spans="20:20" ht="18.75" customHeight="1" x14ac:dyDescent="0.35">
      <c r="T19274" s="246">
        <f t="shared" si="339"/>
        <v>0</v>
      </c>
    </row>
    <row r="19275" spans="20:20" ht="18.75" customHeight="1" x14ac:dyDescent="0.35">
      <c r="T19275" s="246">
        <f t="shared" si="339"/>
        <v>0</v>
      </c>
    </row>
    <row r="19276" spans="20:20" ht="18.75" customHeight="1" x14ac:dyDescent="0.35">
      <c r="T19276" s="246">
        <f t="shared" si="339"/>
        <v>0</v>
      </c>
    </row>
    <row r="19277" spans="20:20" ht="18.75" customHeight="1" x14ac:dyDescent="0.35">
      <c r="T19277" s="246">
        <f t="shared" si="339"/>
        <v>0</v>
      </c>
    </row>
    <row r="19278" spans="20:20" ht="18.75" customHeight="1" x14ac:dyDescent="0.35">
      <c r="T19278" s="246">
        <f t="shared" si="339"/>
        <v>0</v>
      </c>
    </row>
    <row r="19279" spans="20:20" ht="18.75" customHeight="1" x14ac:dyDescent="0.35">
      <c r="T19279" s="246">
        <f t="shared" si="339"/>
        <v>0</v>
      </c>
    </row>
    <row r="19280" spans="20:20" ht="18.75" customHeight="1" x14ac:dyDescent="0.35">
      <c r="T19280" s="246">
        <f t="shared" si="339"/>
        <v>0</v>
      </c>
    </row>
    <row r="19281" spans="20:20" ht="18.75" customHeight="1" x14ac:dyDescent="0.35">
      <c r="T19281" s="246">
        <f t="shared" si="339"/>
        <v>0</v>
      </c>
    </row>
    <row r="19282" spans="20:20" ht="18.75" customHeight="1" x14ac:dyDescent="0.35">
      <c r="T19282" s="246">
        <f t="shared" si="339"/>
        <v>0</v>
      </c>
    </row>
    <row r="19283" spans="20:20" ht="18.75" customHeight="1" x14ac:dyDescent="0.35">
      <c r="T19283" s="246">
        <f t="shared" si="339"/>
        <v>0</v>
      </c>
    </row>
    <row r="19284" spans="20:20" ht="18.75" customHeight="1" x14ac:dyDescent="0.35">
      <c r="T19284" s="246">
        <f t="shared" si="339"/>
        <v>0</v>
      </c>
    </row>
    <row r="19285" spans="20:20" ht="18.75" customHeight="1" x14ac:dyDescent="0.35">
      <c r="T19285" s="246">
        <f t="shared" si="339"/>
        <v>0</v>
      </c>
    </row>
    <row r="19286" spans="20:20" ht="18.75" customHeight="1" x14ac:dyDescent="0.35">
      <c r="T19286" s="246">
        <f t="shared" si="339"/>
        <v>0</v>
      </c>
    </row>
    <row r="19287" spans="20:20" ht="18.75" customHeight="1" x14ac:dyDescent="0.35">
      <c r="T19287" s="246">
        <f t="shared" si="339"/>
        <v>0</v>
      </c>
    </row>
    <row r="19288" spans="20:20" ht="18.75" customHeight="1" x14ac:dyDescent="0.35">
      <c r="T19288" s="246">
        <f t="shared" si="339"/>
        <v>0</v>
      </c>
    </row>
    <row r="19289" spans="20:20" ht="18.75" customHeight="1" x14ac:dyDescent="0.35">
      <c r="T19289" s="246">
        <f t="shared" si="339"/>
        <v>0</v>
      </c>
    </row>
    <row r="19290" spans="20:20" ht="18.75" customHeight="1" x14ac:dyDescent="0.35">
      <c r="T19290" s="246">
        <f t="shared" si="339"/>
        <v>0</v>
      </c>
    </row>
    <row r="19291" spans="20:20" ht="18.75" customHeight="1" x14ac:dyDescent="0.35">
      <c r="T19291" s="246">
        <f t="shared" si="339"/>
        <v>0</v>
      </c>
    </row>
    <row r="19292" spans="20:20" ht="18.75" customHeight="1" x14ac:dyDescent="0.35">
      <c r="T19292" s="246">
        <f t="shared" si="339"/>
        <v>0</v>
      </c>
    </row>
    <row r="19293" spans="20:20" ht="18.75" customHeight="1" x14ac:dyDescent="0.35">
      <c r="T19293" s="246">
        <f t="shared" si="339"/>
        <v>0</v>
      </c>
    </row>
    <row r="19294" spans="20:20" ht="18.75" customHeight="1" x14ac:dyDescent="0.35">
      <c r="T19294" s="246">
        <f t="shared" si="339"/>
        <v>0</v>
      </c>
    </row>
    <row r="19295" spans="20:20" ht="18.75" customHeight="1" x14ac:dyDescent="0.35">
      <c r="T19295" s="246">
        <f t="shared" si="339"/>
        <v>0</v>
      </c>
    </row>
    <row r="19296" spans="20:20" ht="18.75" customHeight="1" x14ac:dyDescent="0.35">
      <c r="T19296" s="246">
        <f t="shared" si="339"/>
        <v>0</v>
      </c>
    </row>
    <row r="19297" spans="20:20" ht="18.75" customHeight="1" x14ac:dyDescent="0.35">
      <c r="T19297" s="246">
        <f t="shared" si="339"/>
        <v>0</v>
      </c>
    </row>
    <row r="19298" spans="20:20" ht="18.75" customHeight="1" x14ac:dyDescent="0.35">
      <c r="T19298" s="246">
        <f t="shared" si="339"/>
        <v>0</v>
      </c>
    </row>
    <row r="19299" spans="20:20" ht="18.75" customHeight="1" x14ac:dyDescent="0.35">
      <c r="T19299" s="246">
        <f t="shared" si="339"/>
        <v>0</v>
      </c>
    </row>
    <row r="19300" spans="20:20" ht="18.75" customHeight="1" x14ac:dyDescent="0.35">
      <c r="T19300" s="246">
        <f t="shared" si="339"/>
        <v>0</v>
      </c>
    </row>
    <row r="19301" spans="20:20" ht="18.75" customHeight="1" x14ac:dyDescent="0.35">
      <c r="T19301" s="246">
        <f t="shared" si="339"/>
        <v>0</v>
      </c>
    </row>
    <row r="19302" spans="20:20" ht="18.75" customHeight="1" x14ac:dyDescent="0.35">
      <c r="T19302" s="246">
        <f t="shared" si="339"/>
        <v>0</v>
      </c>
    </row>
    <row r="19303" spans="20:20" ht="18.75" customHeight="1" x14ac:dyDescent="0.35">
      <c r="T19303" s="246">
        <f t="shared" si="339"/>
        <v>0</v>
      </c>
    </row>
    <row r="19304" spans="20:20" ht="18.75" customHeight="1" x14ac:dyDescent="0.35">
      <c r="T19304" s="246">
        <f t="shared" si="339"/>
        <v>0</v>
      </c>
    </row>
    <row r="19305" spans="20:20" ht="18.75" customHeight="1" x14ac:dyDescent="0.35">
      <c r="T19305" s="246">
        <f t="shared" si="339"/>
        <v>0</v>
      </c>
    </row>
    <row r="19306" spans="20:20" ht="18.75" customHeight="1" x14ac:dyDescent="0.35">
      <c r="T19306" s="246">
        <f t="shared" si="339"/>
        <v>0</v>
      </c>
    </row>
    <row r="19307" spans="20:20" ht="18.75" customHeight="1" x14ac:dyDescent="0.35">
      <c r="T19307" s="246">
        <f t="shared" si="339"/>
        <v>0</v>
      </c>
    </row>
    <row r="19308" spans="20:20" ht="18.75" customHeight="1" x14ac:dyDescent="0.35">
      <c r="T19308" s="246">
        <f t="shared" si="339"/>
        <v>0</v>
      </c>
    </row>
    <row r="19309" spans="20:20" ht="18.75" customHeight="1" x14ac:dyDescent="0.35">
      <c r="T19309" s="246">
        <f t="shared" si="339"/>
        <v>0</v>
      </c>
    </row>
    <row r="19310" spans="20:20" ht="18.75" customHeight="1" x14ac:dyDescent="0.35">
      <c r="T19310" s="246">
        <f t="shared" si="339"/>
        <v>0</v>
      </c>
    </row>
    <row r="19311" spans="20:20" ht="18.75" customHeight="1" x14ac:dyDescent="0.35">
      <c r="T19311" s="246">
        <f t="shared" si="339"/>
        <v>0</v>
      </c>
    </row>
    <row r="19312" spans="20:20" ht="18.75" customHeight="1" x14ac:dyDescent="0.35">
      <c r="T19312" s="246">
        <f t="shared" si="339"/>
        <v>0</v>
      </c>
    </row>
    <row r="19313" spans="20:20" ht="18.75" customHeight="1" x14ac:dyDescent="0.35">
      <c r="T19313" s="246">
        <f t="shared" si="339"/>
        <v>0</v>
      </c>
    </row>
    <row r="19314" spans="20:20" ht="18.75" customHeight="1" x14ac:dyDescent="0.35">
      <c r="T19314" s="246">
        <f t="shared" si="339"/>
        <v>0</v>
      </c>
    </row>
    <row r="19315" spans="20:20" ht="18.75" customHeight="1" x14ac:dyDescent="0.35">
      <c r="T19315" s="246">
        <f t="shared" si="339"/>
        <v>0</v>
      </c>
    </row>
    <row r="19316" spans="20:20" ht="18.75" customHeight="1" x14ac:dyDescent="0.35">
      <c r="T19316" s="246">
        <f t="shared" si="339"/>
        <v>0</v>
      </c>
    </row>
    <row r="19317" spans="20:20" ht="18.75" customHeight="1" x14ac:dyDescent="0.35">
      <c r="T19317" s="246">
        <f t="shared" si="339"/>
        <v>0</v>
      </c>
    </row>
    <row r="19318" spans="20:20" ht="18.75" customHeight="1" x14ac:dyDescent="0.35">
      <c r="T19318" s="246">
        <f t="shared" si="339"/>
        <v>0</v>
      </c>
    </row>
    <row r="19319" spans="20:20" ht="18.75" customHeight="1" x14ac:dyDescent="0.35">
      <c r="T19319" s="246">
        <f t="shared" si="339"/>
        <v>0</v>
      </c>
    </row>
    <row r="19320" spans="20:20" ht="18.75" customHeight="1" x14ac:dyDescent="0.35">
      <c r="T19320" s="246">
        <f t="shared" si="339"/>
        <v>0</v>
      </c>
    </row>
    <row r="19321" spans="20:20" ht="18.75" customHeight="1" x14ac:dyDescent="0.35">
      <c r="T19321" s="246">
        <f t="shared" si="339"/>
        <v>0</v>
      </c>
    </row>
    <row r="19322" spans="20:20" ht="18.75" customHeight="1" x14ac:dyDescent="0.35">
      <c r="T19322" s="246">
        <f t="shared" si="339"/>
        <v>0</v>
      </c>
    </row>
    <row r="19323" spans="20:20" ht="18.75" customHeight="1" x14ac:dyDescent="0.35">
      <c r="T19323" s="246">
        <f t="shared" si="339"/>
        <v>0</v>
      </c>
    </row>
    <row r="19324" spans="20:20" ht="18.75" customHeight="1" x14ac:dyDescent="0.35">
      <c r="T19324" s="246">
        <f t="shared" ref="T19324:T19387" si="340">R19324*0.01</f>
        <v>0</v>
      </c>
    </row>
    <row r="19325" spans="20:20" ht="18.75" customHeight="1" x14ac:dyDescent="0.35">
      <c r="T19325" s="246">
        <f t="shared" si="340"/>
        <v>0</v>
      </c>
    </row>
    <row r="19326" spans="20:20" ht="18.75" customHeight="1" x14ac:dyDescent="0.35">
      <c r="T19326" s="246">
        <f t="shared" si="340"/>
        <v>0</v>
      </c>
    </row>
    <row r="19327" spans="20:20" ht="18.75" customHeight="1" x14ac:dyDescent="0.35">
      <c r="T19327" s="246">
        <f t="shared" si="340"/>
        <v>0</v>
      </c>
    </row>
    <row r="19328" spans="20:20" ht="18.75" customHeight="1" x14ac:dyDescent="0.35">
      <c r="T19328" s="246">
        <f t="shared" si="340"/>
        <v>0</v>
      </c>
    </row>
    <row r="19329" spans="20:20" ht="18.75" customHeight="1" x14ac:dyDescent="0.35">
      <c r="T19329" s="246">
        <f t="shared" si="340"/>
        <v>0</v>
      </c>
    </row>
    <row r="19330" spans="20:20" ht="18.75" customHeight="1" x14ac:dyDescent="0.35">
      <c r="T19330" s="246">
        <f t="shared" si="340"/>
        <v>0</v>
      </c>
    </row>
    <row r="19331" spans="20:20" ht="18.75" customHeight="1" x14ac:dyDescent="0.35">
      <c r="T19331" s="246">
        <f t="shared" si="340"/>
        <v>0</v>
      </c>
    </row>
    <row r="19332" spans="20:20" ht="18.75" customHeight="1" x14ac:dyDescent="0.35">
      <c r="T19332" s="246">
        <f t="shared" si="340"/>
        <v>0</v>
      </c>
    </row>
    <row r="19333" spans="20:20" ht="18.75" customHeight="1" x14ac:dyDescent="0.35">
      <c r="T19333" s="246">
        <f t="shared" si="340"/>
        <v>0</v>
      </c>
    </row>
    <row r="19334" spans="20:20" ht="18.75" customHeight="1" x14ac:dyDescent="0.35">
      <c r="T19334" s="246">
        <f t="shared" si="340"/>
        <v>0</v>
      </c>
    </row>
    <row r="19335" spans="20:20" ht="18.75" customHeight="1" x14ac:dyDescent="0.35">
      <c r="T19335" s="246">
        <f t="shared" si="340"/>
        <v>0</v>
      </c>
    </row>
    <row r="19336" spans="20:20" ht="18.75" customHeight="1" x14ac:dyDescent="0.35">
      <c r="T19336" s="246">
        <f t="shared" si="340"/>
        <v>0</v>
      </c>
    </row>
    <row r="19337" spans="20:20" ht="18.75" customHeight="1" x14ac:dyDescent="0.35">
      <c r="T19337" s="246">
        <f t="shared" si="340"/>
        <v>0</v>
      </c>
    </row>
    <row r="19338" spans="20:20" ht="18.75" customHeight="1" x14ac:dyDescent="0.35">
      <c r="T19338" s="246">
        <f t="shared" si="340"/>
        <v>0</v>
      </c>
    </row>
    <row r="19339" spans="20:20" ht="18.75" customHeight="1" x14ac:dyDescent="0.35">
      <c r="T19339" s="246">
        <f t="shared" si="340"/>
        <v>0</v>
      </c>
    </row>
    <row r="19340" spans="20:20" ht="18.75" customHeight="1" x14ac:dyDescent="0.35">
      <c r="T19340" s="246">
        <f t="shared" si="340"/>
        <v>0</v>
      </c>
    </row>
    <row r="19341" spans="20:20" ht="18.75" customHeight="1" x14ac:dyDescent="0.35">
      <c r="T19341" s="246">
        <f t="shared" si="340"/>
        <v>0</v>
      </c>
    </row>
    <row r="19342" spans="20:20" ht="18.75" customHeight="1" x14ac:dyDescent="0.35">
      <c r="T19342" s="246">
        <f t="shared" si="340"/>
        <v>0</v>
      </c>
    </row>
    <row r="19343" spans="20:20" ht="18.75" customHeight="1" x14ac:dyDescent="0.35">
      <c r="T19343" s="246">
        <f t="shared" si="340"/>
        <v>0</v>
      </c>
    </row>
    <row r="19344" spans="20:20" ht="18.75" customHeight="1" x14ac:dyDescent="0.35">
      <c r="T19344" s="246">
        <f t="shared" si="340"/>
        <v>0</v>
      </c>
    </row>
    <row r="19345" spans="20:20" ht="18.75" customHeight="1" x14ac:dyDescent="0.35">
      <c r="T19345" s="246">
        <f t="shared" si="340"/>
        <v>0</v>
      </c>
    </row>
    <row r="19346" spans="20:20" ht="18.75" customHeight="1" x14ac:dyDescent="0.35">
      <c r="T19346" s="246">
        <f t="shared" si="340"/>
        <v>0</v>
      </c>
    </row>
    <row r="19347" spans="20:20" ht="18.75" customHeight="1" x14ac:dyDescent="0.35">
      <c r="T19347" s="246">
        <f t="shared" si="340"/>
        <v>0</v>
      </c>
    </row>
    <row r="19348" spans="20:20" ht="18.75" customHeight="1" x14ac:dyDescent="0.35">
      <c r="T19348" s="246">
        <f t="shared" si="340"/>
        <v>0</v>
      </c>
    </row>
    <row r="19349" spans="20:20" ht="18.75" customHeight="1" x14ac:dyDescent="0.35">
      <c r="T19349" s="246">
        <f t="shared" si="340"/>
        <v>0</v>
      </c>
    </row>
    <row r="19350" spans="20:20" ht="18.75" customHeight="1" x14ac:dyDescent="0.35">
      <c r="T19350" s="246">
        <f t="shared" si="340"/>
        <v>0</v>
      </c>
    </row>
    <row r="19351" spans="20:20" ht="18.75" customHeight="1" x14ac:dyDescent="0.35">
      <c r="T19351" s="246">
        <f t="shared" si="340"/>
        <v>0</v>
      </c>
    </row>
    <row r="19352" spans="20:20" ht="18.75" customHeight="1" x14ac:dyDescent="0.35">
      <c r="T19352" s="246">
        <f t="shared" si="340"/>
        <v>0</v>
      </c>
    </row>
    <row r="19353" spans="20:20" ht="18.75" customHeight="1" x14ac:dyDescent="0.35">
      <c r="T19353" s="246">
        <f t="shared" si="340"/>
        <v>0</v>
      </c>
    </row>
    <row r="19354" spans="20:20" ht="18.75" customHeight="1" x14ac:dyDescent="0.35">
      <c r="T19354" s="246">
        <f t="shared" si="340"/>
        <v>0</v>
      </c>
    </row>
    <row r="19355" spans="20:20" ht="18.75" customHeight="1" x14ac:dyDescent="0.35">
      <c r="T19355" s="246">
        <f t="shared" si="340"/>
        <v>0</v>
      </c>
    </row>
    <row r="19356" spans="20:20" ht="18.75" customHeight="1" x14ac:dyDescent="0.35">
      <c r="T19356" s="246">
        <f t="shared" si="340"/>
        <v>0</v>
      </c>
    </row>
    <row r="19357" spans="20:20" ht="18.75" customHeight="1" x14ac:dyDescent="0.35">
      <c r="T19357" s="246">
        <f t="shared" si="340"/>
        <v>0</v>
      </c>
    </row>
    <row r="19358" spans="20:20" ht="18.75" customHeight="1" x14ac:dyDescent="0.35">
      <c r="T19358" s="246">
        <f t="shared" si="340"/>
        <v>0</v>
      </c>
    </row>
    <row r="19359" spans="20:20" ht="18.75" customHeight="1" x14ac:dyDescent="0.35">
      <c r="T19359" s="246">
        <f t="shared" si="340"/>
        <v>0</v>
      </c>
    </row>
    <row r="19360" spans="20:20" ht="18.75" customHeight="1" x14ac:dyDescent="0.35">
      <c r="T19360" s="246">
        <f t="shared" si="340"/>
        <v>0</v>
      </c>
    </row>
    <row r="19361" spans="20:20" ht="18.75" customHeight="1" x14ac:dyDescent="0.35">
      <c r="T19361" s="246">
        <f t="shared" si="340"/>
        <v>0</v>
      </c>
    </row>
    <row r="19362" spans="20:20" ht="18.75" customHeight="1" x14ac:dyDescent="0.35">
      <c r="T19362" s="246">
        <f t="shared" si="340"/>
        <v>0</v>
      </c>
    </row>
    <row r="19363" spans="20:20" ht="18.75" customHeight="1" x14ac:dyDescent="0.35">
      <c r="T19363" s="246">
        <f t="shared" si="340"/>
        <v>0</v>
      </c>
    </row>
    <row r="19364" spans="20:20" ht="18.75" customHeight="1" x14ac:dyDescent="0.35">
      <c r="T19364" s="246">
        <f t="shared" si="340"/>
        <v>0</v>
      </c>
    </row>
    <row r="19365" spans="20:20" ht="18.75" customHeight="1" x14ac:dyDescent="0.35">
      <c r="T19365" s="246">
        <f t="shared" si="340"/>
        <v>0</v>
      </c>
    </row>
    <row r="19366" spans="20:20" ht="18.75" customHeight="1" x14ac:dyDescent="0.35">
      <c r="T19366" s="246">
        <f t="shared" si="340"/>
        <v>0</v>
      </c>
    </row>
    <row r="19367" spans="20:20" ht="18.75" customHeight="1" x14ac:dyDescent="0.35">
      <c r="T19367" s="246">
        <f t="shared" si="340"/>
        <v>0</v>
      </c>
    </row>
    <row r="19368" spans="20:20" ht="18.75" customHeight="1" x14ac:dyDescent="0.35">
      <c r="T19368" s="246">
        <f t="shared" si="340"/>
        <v>0</v>
      </c>
    </row>
    <row r="19369" spans="20:20" ht="18.75" customHeight="1" x14ac:dyDescent="0.35">
      <c r="T19369" s="246">
        <f t="shared" si="340"/>
        <v>0</v>
      </c>
    </row>
    <row r="19370" spans="20:20" ht="18.75" customHeight="1" x14ac:dyDescent="0.35">
      <c r="T19370" s="246">
        <f t="shared" si="340"/>
        <v>0</v>
      </c>
    </row>
    <row r="19371" spans="20:20" ht="18.75" customHeight="1" x14ac:dyDescent="0.35">
      <c r="T19371" s="246">
        <f t="shared" si="340"/>
        <v>0</v>
      </c>
    </row>
    <row r="19372" spans="20:20" ht="18.75" customHeight="1" x14ac:dyDescent="0.35">
      <c r="T19372" s="246">
        <f t="shared" si="340"/>
        <v>0</v>
      </c>
    </row>
    <row r="19373" spans="20:20" ht="18.75" customHeight="1" x14ac:dyDescent="0.35">
      <c r="T19373" s="246">
        <f t="shared" si="340"/>
        <v>0</v>
      </c>
    </row>
    <row r="19374" spans="20:20" ht="18.75" customHeight="1" x14ac:dyDescent="0.35">
      <c r="T19374" s="246">
        <f t="shared" si="340"/>
        <v>0</v>
      </c>
    </row>
    <row r="19375" spans="20:20" ht="18.75" customHeight="1" x14ac:dyDescent="0.35">
      <c r="T19375" s="246">
        <f t="shared" si="340"/>
        <v>0</v>
      </c>
    </row>
    <row r="19376" spans="20:20" ht="18.75" customHeight="1" x14ac:dyDescent="0.35">
      <c r="T19376" s="246">
        <f t="shared" si="340"/>
        <v>0</v>
      </c>
    </row>
    <row r="19377" spans="20:20" ht="18.75" customHeight="1" x14ac:dyDescent="0.35">
      <c r="T19377" s="246">
        <f t="shared" si="340"/>
        <v>0</v>
      </c>
    </row>
    <row r="19378" spans="20:20" ht="18.75" customHeight="1" x14ac:dyDescent="0.35">
      <c r="T19378" s="246">
        <f t="shared" si="340"/>
        <v>0</v>
      </c>
    </row>
    <row r="19379" spans="20:20" ht="18.75" customHeight="1" x14ac:dyDescent="0.35">
      <c r="T19379" s="246">
        <f t="shared" si="340"/>
        <v>0</v>
      </c>
    </row>
    <row r="19380" spans="20:20" ht="18.75" customHeight="1" x14ac:dyDescent="0.35">
      <c r="T19380" s="246">
        <f t="shared" si="340"/>
        <v>0</v>
      </c>
    </row>
    <row r="19381" spans="20:20" ht="18.75" customHeight="1" x14ac:dyDescent="0.35">
      <c r="T19381" s="246">
        <f t="shared" si="340"/>
        <v>0</v>
      </c>
    </row>
    <row r="19382" spans="20:20" ht="18.75" customHeight="1" x14ac:dyDescent="0.35">
      <c r="T19382" s="246">
        <f t="shared" si="340"/>
        <v>0</v>
      </c>
    </row>
    <row r="19383" spans="20:20" ht="18.75" customHeight="1" x14ac:dyDescent="0.35">
      <c r="T19383" s="246">
        <f t="shared" si="340"/>
        <v>0</v>
      </c>
    </row>
    <row r="19384" spans="20:20" ht="18.75" customHeight="1" x14ac:dyDescent="0.35">
      <c r="T19384" s="246">
        <f t="shared" si="340"/>
        <v>0</v>
      </c>
    </row>
    <row r="19385" spans="20:20" ht="18.75" customHeight="1" x14ac:dyDescent="0.35">
      <c r="T19385" s="246">
        <f t="shared" si="340"/>
        <v>0</v>
      </c>
    </row>
    <row r="19386" spans="20:20" ht="18.75" customHeight="1" x14ac:dyDescent="0.35">
      <c r="T19386" s="246">
        <f t="shared" si="340"/>
        <v>0</v>
      </c>
    </row>
    <row r="19387" spans="20:20" ht="18.75" customHeight="1" x14ac:dyDescent="0.35">
      <c r="T19387" s="246">
        <f t="shared" si="340"/>
        <v>0</v>
      </c>
    </row>
    <row r="19388" spans="20:20" ht="18.75" customHeight="1" x14ac:dyDescent="0.35">
      <c r="T19388" s="246">
        <f t="shared" ref="T19388:T19451" si="341">R19388*0.01</f>
        <v>0</v>
      </c>
    </row>
    <row r="19389" spans="20:20" ht="18.75" customHeight="1" x14ac:dyDescent="0.35">
      <c r="T19389" s="246">
        <f t="shared" si="341"/>
        <v>0</v>
      </c>
    </row>
    <row r="19390" spans="20:20" ht="18.75" customHeight="1" x14ac:dyDescent="0.35">
      <c r="T19390" s="246">
        <f t="shared" si="341"/>
        <v>0</v>
      </c>
    </row>
    <row r="19391" spans="20:20" ht="18.75" customHeight="1" x14ac:dyDescent="0.35">
      <c r="T19391" s="246">
        <f t="shared" si="341"/>
        <v>0</v>
      </c>
    </row>
    <row r="19392" spans="20:20" ht="18.75" customHeight="1" x14ac:dyDescent="0.35">
      <c r="T19392" s="246">
        <f t="shared" si="341"/>
        <v>0</v>
      </c>
    </row>
    <row r="19393" spans="20:20" ht="18.75" customHeight="1" x14ac:dyDescent="0.35">
      <c r="T19393" s="246">
        <f t="shared" si="341"/>
        <v>0</v>
      </c>
    </row>
    <row r="19394" spans="20:20" ht="18.75" customHeight="1" x14ac:dyDescent="0.35">
      <c r="T19394" s="246">
        <f t="shared" si="341"/>
        <v>0</v>
      </c>
    </row>
    <row r="19395" spans="20:20" ht="18.75" customHeight="1" x14ac:dyDescent="0.35">
      <c r="T19395" s="246">
        <f t="shared" si="341"/>
        <v>0</v>
      </c>
    </row>
    <row r="19396" spans="20:20" ht="18.75" customHeight="1" x14ac:dyDescent="0.35">
      <c r="T19396" s="246">
        <f t="shared" si="341"/>
        <v>0</v>
      </c>
    </row>
    <row r="19397" spans="20:20" ht="18.75" customHeight="1" x14ac:dyDescent="0.35">
      <c r="T19397" s="246">
        <f t="shared" si="341"/>
        <v>0</v>
      </c>
    </row>
    <row r="19398" spans="20:20" ht="18.75" customHeight="1" x14ac:dyDescent="0.35">
      <c r="T19398" s="246">
        <f t="shared" si="341"/>
        <v>0</v>
      </c>
    </row>
    <row r="19399" spans="20:20" ht="18.75" customHeight="1" x14ac:dyDescent="0.35">
      <c r="T19399" s="246">
        <f t="shared" si="341"/>
        <v>0</v>
      </c>
    </row>
    <row r="19400" spans="20:20" ht="18.75" customHeight="1" x14ac:dyDescent="0.35">
      <c r="T19400" s="246">
        <f t="shared" si="341"/>
        <v>0</v>
      </c>
    </row>
    <row r="19401" spans="20:20" ht="18.75" customHeight="1" x14ac:dyDescent="0.35">
      <c r="T19401" s="246">
        <f t="shared" si="341"/>
        <v>0</v>
      </c>
    </row>
    <row r="19402" spans="20:20" ht="18.75" customHeight="1" x14ac:dyDescent="0.35">
      <c r="T19402" s="246">
        <f t="shared" si="341"/>
        <v>0</v>
      </c>
    </row>
    <row r="19403" spans="20:20" ht="18.75" customHeight="1" x14ac:dyDescent="0.35">
      <c r="T19403" s="246">
        <f t="shared" si="341"/>
        <v>0</v>
      </c>
    </row>
    <row r="19404" spans="20:20" ht="18.75" customHeight="1" x14ac:dyDescent="0.35">
      <c r="T19404" s="246">
        <f t="shared" si="341"/>
        <v>0</v>
      </c>
    </row>
    <row r="19405" spans="20:20" ht="18.75" customHeight="1" x14ac:dyDescent="0.35">
      <c r="T19405" s="246">
        <f t="shared" si="341"/>
        <v>0</v>
      </c>
    </row>
    <row r="19406" spans="20:20" ht="18.75" customHeight="1" x14ac:dyDescent="0.35">
      <c r="T19406" s="246">
        <f t="shared" si="341"/>
        <v>0</v>
      </c>
    </row>
    <row r="19407" spans="20:20" ht="18.75" customHeight="1" x14ac:dyDescent="0.35">
      <c r="T19407" s="246">
        <f t="shared" si="341"/>
        <v>0</v>
      </c>
    </row>
    <row r="19408" spans="20:20" ht="18.75" customHeight="1" x14ac:dyDescent="0.35">
      <c r="T19408" s="246">
        <f t="shared" si="341"/>
        <v>0</v>
      </c>
    </row>
    <row r="19409" spans="20:20" ht="18.75" customHeight="1" x14ac:dyDescent="0.35">
      <c r="T19409" s="246">
        <f t="shared" si="341"/>
        <v>0</v>
      </c>
    </row>
    <row r="19410" spans="20:20" ht="18.75" customHeight="1" x14ac:dyDescent="0.35">
      <c r="T19410" s="246">
        <f t="shared" si="341"/>
        <v>0</v>
      </c>
    </row>
    <row r="19411" spans="20:20" ht="18.75" customHeight="1" x14ac:dyDescent="0.35">
      <c r="T19411" s="246">
        <f t="shared" si="341"/>
        <v>0</v>
      </c>
    </row>
    <row r="19412" spans="20:20" ht="18.75" customHeight="1" x14ac:dyDescent="0.35">
      <c r="T19412" s="246">
        <f t="shared" si="341"/>
        <v>0</v>
      </c>
    </row>
    <row r="19413" spans="20:20" ht="18.75" customHeight="1" x14ac:dyDescent="0.35">
      <c r="T19413" s="246">
        <f t="shared" si="341"/>
        <v>0</v>
      </c>
    </row>
    <row r="19414" spans="20:20" ht="18.75" customHeight="1" x14ac:dyDescent="0.35">
      <c r="T19414" s="246">
        <f t="shared" si="341"/>
        <v>0</v>
      </c>
    </row>
    <row r="19415" spans="20:20" ht="18.75" customHeight="1" x14ac:dyDescent="0.35">
      <c r="T19415" s="246">
        <f t="shared" si="341"/>
        <v>0</v>
      </c>
    </row>
    <row r="19416" spans="20:20" ht="18.75" customHeight="1" x14ac:dyDescent="0.35">
      <c r="T19416" s="246">
        <f t="shared" si="341"/>
        <v>0</v>
      </c>
    </row>
    <row r="19417" spans="20:20" ht="18.75" customHeight="1" x14ac:dyDescent="0.35">
      <c r="T19417" s="246">
        <f t="shared" si="341"/>
        <v>0</v>
      </c>
    </row>
    <row r="19418" spans="20:20" ht="18.75" customHeight="1" x14ac:dyDescent="0.35">
      <c r="T19418" s="246">
        <f t="shared" si="341"/>
        <v>0</v>
      </c>
    </row>
    <row r="19419" spans="20:20" ht="18.75" customHeight="1" x14ac:dyDescent="0.35">
      <c r="T19419" s="246">
        <f t="shared" si="341"/>
        <v>0</v>
      </c>
    </row>
    <row r="19420" spans="20:20" ht="18.75" customHeight="1" x14ac:dyDescent="0.35">
      <c r="T19420" s="246">
        <f t="shared" si="341"/>
        <v>0</v>
      </c>
    </row>
    <row r="19421" spans="20:20" ht="18.75" customHeight="1" x14ac:dyDescent="0.35">
      <c r="T19421" s="246">
        <f t="shared" si="341"/>
        <v>0</v>
      </c>
    </row>
    <row r="19422" spans="20:20" ht="18.75" customHeight="1" x14ac:dyDescent="0.35">
      <c r="T19422" s="246">
        <f t="shared" si="341"/>
        <v>0</v>
      </c>
    </row>
    <row r="19423" spans="20:20" ht="18.75" customHeight="1" x14ac:dyDescent="0.35">
      <c r="T19423" s="246">
        <f t="shared" si="341"/>
        <v>0</v>
      </c>
    </row>
    <row r="19424" spans="20:20" ht="18.75" customHeight="1" x14ac:dyDescent="0.35">
      <c r="T19424" s="246">
        <f t="shared" si="341"/>
        <v>0</v>
      </c>
    </row>
    <row r="19425" spans="20:20" ht="18.75" customHeight="1" x14ac:dyDescent="0.35">
      <c r="T19425" s="246">
        <f t="shared" si="341"/>
        <v>0</v>
      </c>
    </row>
    <row r="19426" spans="20:20" ht="18.75" customHeight="1" x14ac:dyDescent="0.35">
      <c r="T19426" s="246">
        <f t="shared" si="341"/>
        <v>0</v>
      </c>
    </row>
    <row r="19427" spans="20:20" ht="18.75" customHeight="1" x14ac:dyDescent="0.35">
      <c r="T19427" s="246">
        <f t="shared" si="341"/>
        <v>0</v>
      </c>
    </row>
    <row r="19428" spans="20:20" ht="18.75" customHeight="1" x14ac:dyDescent="0.35">
      <c r="T19428" s="246">
        <f t="shared" si="341"/>
        <v>0</v>
      </c>
    </row>
    <row r="19429" spans="20:20" ht="18.75" customHeight="1" x14ac:dyDescent="0.35">
      <c r="T19429" s="246">
        <f t="shared" si="341"/>
        <v>0</v>
      </c>
    </row>
    <row r="19430" spans="20:20" ht="18.75" customHeight="1" x14ac:dyDescent="0.35">
      <c r="T19430" s="246">
        <f t="shared" si="341"/>
        <v>0</v>
      </c>
    </row>
    <row r="19431" spans="20:20" ht="18.75" customHeight="1" x14ac:dyDescent="0.35">
      <c r="T19431" s="246">
        <f t="shared" si="341"/>
        <v>0</v>
      </c>
    </row>
    <row r="19432" spans="20:20" ht="18.75" customHeight="1" x14ac:dyDescent="0.35">
      <c r="T19432" s="246">
        <f t="shared" si="341"/>
        <v>0</v>
      </c>
    </row>
    <row r="19433" spans="20:20" ht="18.75" customHeight="1" x14ac:dyDescent="0.35">
      <c r="T19433" s="246">
        <f t="shared" si="341"/>
        <v>0</v>
      </c>
    </row>
    <row r="19434" spans="20:20" ht="18.75" customHeight="1" x14ac:dyDescent="0.35">
      <c r="T19434" s="246">
        <f t="shared" si="341"/>
        <v>0</v>
      </c>
    </row>
    <row r="19435" spans="20:20" ht="18.75" customHeight="1" x14ac:dyDescent="0.35">
      <c r="T19435" s="246">
        <f t="shared" si="341"/>
        <v>0</v>
      </c>
    </row>
    <row r="19436" spans="20:20" ht="18.75" customHeight="1" x14ac:dyDescent="0.35">
      <c r="T19436" s="246">
        <f t="shared" si="341"/>
        <v>0</v>
      </c>
    </row>
    <row r="19437" spans="20:20" ht="18.75" customHeight="1" x14ac:dyDescent="0.35">
      <c r="T19437" s="246">
        <f t="shared" si="341"/>
        <v>0</v>
      </c>
    </row>
    <row r="19438" spans="20:20" ht="18.75" customHeight="1" x14ac:dyDescent="0.35">
      <c r="T19438" s="246">
        <f t="shared" si="341"/>
        <v>0</v>
      </c>
    </row>
    <row r="19439" spans="20:20" ht="18.75" customHeight="1" x14ac:dyDescent="0.35">
      <c r="T19439" s="246">
        <f t="shared" si="341"/>
        <v>0</v>
      </c>
    </row>
    <row r="19440" spans="20:20" ht="18.75" customHeight="1" x14ac:dyDescent="0.35">
      <c r="T19440" s="246">
        <f t="shared" si="341"/>
        <v>0</v>
      </c>
    </row>
    <row r="19441" spans="20:20" ht="18.75" customHeight="1" x14ac:dyDescent="0.35">
      <c r="T19441" s="246">
        <f t="shared" si="341"/>
        <v>0</v>
      </c>
    </row>
    <row r="19442" spans="20:20" ht="18.75" customHeight="1" x14ac:dyDescent="0.35">
      <c r="T19442" s="246">
        <f t="shared" si="341"/>
        <v>0</v>
      </c>
    </row>
    <row r="19443" spans="20:20" ht="18.75" customHeight="1" x14ac:dyDescent="0.35">
      <c r="T19443" s="246">
        <f t="shared" si="341"/>
        <v>0</v>
      </c>
    </row>
    <row r="19444" spans="20:20" ht="18.75" customHeight="1" x14ac:dyDescent="0.35">
      <c r="T19444" s="246">
        <f t="shared" si="341"/>
        <v>0</v>
      </c>
    </row>
    <row r="19445" spans="20:20" ht="18.75" customHeight="1" x14ac:dyDescent="0.35">
      <c r="T19445" s="246">
        <f t="shared" si="341"/>
        <v>0</v>
      </c>
    </row>
    <row r="19446" spans="20:20" ht="18.75" customHeight="1" x14ac:dyDescent="0.35">
      <c r="T19446" s="246">
        <f t="shared" si="341"/>
        <v>0</v>
      </c>
    </row>
    <row r="19447" spans="20:20" ht="18.75" customHeight="1" x14ac:dyDescent="0.35">
      <c r="T19447" s="246">
        <f t="shared" si="341"/>
        <v>0</v>
      </c>
    </row>
    <row r="19448" spans="20:20" ht="18.75" customHeight="1" x14ac:dyDescent="0.35">
      <c r="T19448" s="246">
        <f t="shared" si="341"/>
        <v>0</v>
      </c>
    </row>
    <row r="19449" spans="20:20" ht="18.75" customHeight="1" x14ac:dyDescent="0.35">
      <c r="T19449" s="246">
        <f t="shared" si="341"/>
        <v>0</v>
      </c>
    </row>
    <row r="19450" spans="20:20" ht="18.75" customHeight="1" x14ac:dyDescent="0.35">
      <c r="T19450" s="246">
        <f t="shared" si="341"/>
        <v>0</v>
      </c>
    </row>
    <row r="19451" spans="20:20" ht="18.75" customHeight="1" x14ac:dyDescent="0.35">
      <c r="T19451" s="246">
        <f t="shared" si="341"/>
        <v>0</v>
      </c>
    </row>
    <row r="19452" spans="20:20" ht="18.75" customHeight="1" x14ac:dyDescent="0.35">
      <c r="T19452" s="246">
        <f t="shared" ref="T19452:T19515" si="342">R19452*0.01</f>
        <v>0</v>
      </c>
    </row>
    <row r="19453" spans="20:20" ht="18.75" customHeight="1" x14ac:dyDescent="0.35">
      <c r="T19453" s="246">
        <f t="shared" si="342"/>
        <v>0</v>
      </c>
    </row>
    <row r="19454" spans="20:20" ht="18.75" customHeight="1" x14ac:dyDescent="0.35">
      <c r="T19454" s="246">
        <f t="shared" si="342"/>
        <v>0</v>
      </c>
    </row>
    <row r="19455" spans="20:20" ht="18.75" customHeight="1" x14ac:dyDescent="0.35">
      <c r="T19455" s="246">
        <f t="shared" si="342"/>
        <v>0</v>
      </c>
    </row>
    <row r="19456" spans="20:20" ht="18.75" customHeight="1" x14ac:dyDescent="0.35">
      <c r="T19456" s="246">
        <f t="shared" si="342"/>
        <v>0</v>
      </c>
    </row>
    <row r="19457" spans="20:20" ht="18.75" customHeight="1" x14ac:dyDescent="0.35">
      <c r="T19457" s="246">
        <f t="shared" si="342"/>
        <v>0</v>
      </c>
    </row>
    <row r="19458" spans="20:20" ht="18.75" customHeight="1" x14ac:dyDescent="0.35">
      <c r="T19458" s="246">
        <f t="shared" si="342"/>
        <v>0</v>
      </c>
    </row>
    <row r="19459" spans="20:20" ht="18.75" customHeight="1" x14ac:dyDescent="0.35">
      <c r="T19459" s="246">
        <f t="shared" si="342"/>
        <v>0</v>
      </c>
    </row>
    <row r="19460" spans="20:20" ht="18.75" customHeight="1" x14ac:dyDescent="0.35">
      <c r="T19460" s="246">
        <f t="shared" si="342"/>
        <v>0</v>
      </c>
    </row>
    <row r="19461" spans="20:20" ht="18.75" customHeight="1" x14ac:dyDescent="0.35">
      <c r="T19461" s="246">
        <f t="shared" si="342"/>
        <v>0</v>
      </c>
    </row>
    <row r="19462" spans="20:20" ht="18.75" customHeight="1" x14ac:dyDescent="0.35">
      <c r="T19462" s="246">
        <f t="shared" si="342"/>
        <v>0</v>
      </c>
    </row>
    <row r="19463" spans="20:20" ht="18.75" customHeight="1" x14ac:dyDescent="0.35">
      <c r="T19463" s="246">
        <f t="shared" si="342"/>
        <v>0</v>
      </c>
    </row>
    <row r="19464" spans="20:20" ht="18.75" customHeight="1" x14ac:dyDescent="0.35">
      <c r="T19464" s="246">
        <f t="shared" si="342"/>
        <v>0</v>
      </c>
    </row>
    <row r="19465" spans="20:20" ht="18.75" customHeight="1" x14ac:dyDescent="0.35">
      <c r="T19465" s="246">
        <f t="shared" si="342"/>
        <v>0</v>
      </c>
    </row>
    <row r="19466" spans="20:20" ht="18.75" customHeight="1" x14ac:dyDescent="0.35">
      <c r="T19466" s="246">
        <f t="shared" si="342"/>
        <v>0</v>
      </c>
    </row>
    <row r="19467" spans="20:20" ht="18.75" customHeight="1" x14ac:dyDescent="0.35">
      <c r="T19467" s="246">
        <f t="shared" si="342"/>
        <v>0</v>
      </c>
    </row>
    <row r="19468" spans="20:20" ht="18.75" customHeight="1" x14ac:dyDescent="0.35">
      <c r="T19468" s="246">
        <f t="shared" si="342"/>
        <v>0</v>
      </c>
    </row>
    <row r="19469" spans="20:20" ht="18.75" customHeight="1" x14ac:dyDescent="0.35">
      <c r="T19469" s="246">
        <f t="shared" si="342"/>
        <v>0</v>
      </c>
    </row>
    <row r="19470" spans="20:20" ht="18.75" customHeight="1" x14ac:dyDescent="0.35">
      <c r="T19470" s="246">
        <f t="shared" si="342"/>
        <v>0</v>
      </c>
    </row>
    <row r="19471" spans="20:20" ht="18.75" customHeight="1" x14ac:dyDescent="0.35">
      <c r="T19471" s="246">
        <f t="shared" si="342"/>
        <v>0</v>
      </c>
    </row>
    <row r="19472" spans="20:20" ht="18.75" customHeight="1" x14ac:dyDescent="0.35">
      <c r="T19472" s="246">
        <f t="shared" si="342"/>
        <v>0</v>
      </c>
    </row>
    <row r="19473" spans="20:20" ht="18.75" customHeight="1" x14ac:dyDescent="0.35">
      <c r="T19473" s="246">
        <f t="shared" si="342"/>
        <v>0</v>
      </c>
    </row>
    <row r="19474" spans="20:20" ht="18.75" customHeight="1" x14ac:dyDescent="0.35">
      <c r="T19474" s="246">
        <f t="shared" si="342"/>
        <v>0</v>
      </c>
    </row>
    <row r="19475" spans="20:20" ht="18.75" customHeight="1" x14ac:dyDescent="0.35">
      <c r="T19475" s="246">
        <f t="shared" si="342"/>
        <v>0</v>
      </c>
    </row>
    <row r="19476" spans="20:20" ht="18.75" customHeight="1" x14ac:dyDescent="0.35">
      <c r="T19476" s="246">
        <f t="shared" si="342"/>
        <v>0</v>
      </c>
    </row>
    <row r="19477" spans="20:20" ht="18.75" customHeight="1" x14ac:dyDescent="0.35">
      <c r="T19477" s="246">
        <f t="shared" si="342"/>
        <v>0</v>
      </c>
    </row>
    <row r="19478" spans="20:20" ht="18.75" customHeight="1" x14ac:dyDescent="0.35">
      <c r="T19478" s="246">
        <f t="shared" si="342"/>
        <v>0</v>
      </c>
    </row>
    <row r="19479" spans="20:20" ht="18.75" customHeight="1" x14ac:dyDescent="0.35">
      <c r="T19479" s="246">
        <f t="shared" si="342"/>
        <v>0</v>
      </c>
    </row>
    <row r="19480" spans="20:20" ht="18.75" customHeight="1" x14ac:dyDescent="0.35">
      <c r="T19480" s="246">
        <f t="shared" si="342"/>
        <v>0</v>
      </c>
    </row>
    <row r="19481" spans="20:20" ht="18.75" customHeight="1" x14ac:dyDescent="0.35">
      <c r="T19481" s="246">
        <f t="shared" si="342"/>
        <v>0</v>
      </c>
    </row>
    <row r="19482" spans="20:20" ht="18.75" customHeight="1" x14ac:dyDescent="0.35">
      <c r="T19482" s="246">
        <f t="shared" si="342"/>
        <v>0</v>
      </c>
    </row>
    <row r="19483" spans="20:20" ht="18.75" customHeight="1" x14ac:dyDescent="0.35">
      <c r="T19483" s="246">
        <f t="shared" si="342"/>
        <v>0</v>
      </c>
    </row>
    <row r="19484" spans="20:20" ht="18.75" customHeight="1" x14ac:dyDescent="0.35">
      <c r="T19484" s="246">
        <f t="shared" si="342"/>
        <v>0</v>
      </c>
    </row>
    <row r="19485" spans="20:20" ht="18.75" customHeight="1" x14ac:dyDescent="0.35">
      <c r="T19485" s="246">
        <f t="shared" si="342"/>
        <v>0</v>
      </c>
    </row>
    <row r="19486" spans="20:20" ht="18.75" customHeight="1" x14ac:dyDescent="0.35">
      <c r="T19486" s="246">
        <f t="shared" si="342"/>
        <v>0</v>
      </c>
    </row>
    <row r="19487" spans="20:20" ht="18.75" customHeight="1" x14ac:dyDescent="0.35">
      <c r="T19487" s="246">
        <f t="shared" si="342"/>
        <v>0</v>
      </c>
    </row>
    <row r="19488" spans="20:20" ht="18.75" customHeight="1" x14ac:dyDescent="0.35">
      <c r="T19488" s="246">
        <f t="shared" si="342"/>
        <v>0</v>
      </c>
    </row>
    <row r="19489" spans="20:20" ht="18.75" customHeight="1" x14ac:dyDescent="0.35">
      <c r="T19489" s="246">
        <f t="shared" si="342"/>
        <v>0</v>
      </c>
    </row>
    <row r="19490" spans="20:20" ht="18.75" customHeight="1" x14ac:dyDescent="0.35">
      <c r="T19490" s="246">
        <f t="shared" si="342"/>
        <v>0</v>
      </c>
    </row>
    <row r="19491" spans="20:20" ht="18.75" customHeight="1" x14ac:dyDescent="0.35">
      <c r="T19491" s="246">
        <f t="shared" si="342"/>
        <v>0</v>
      </c>
    </row>
    <row r="19492" spans="20:20" ht="18.75" customHeight="1" x14ac:dyDescent="0.35">
      <c r="T19492" s="246">
        <f t="shared" si="342"/>
        <v>0</v>
      </c>
    </row>
    <row r="19493" spans="20:20" ht="18.75" customHeight="1" x14ac:dyDescent="0.35">
      <c r="T19493" s="246">
        <f t="shared" si="342"/>
        <v>0</v>
      </c>
    </row>
    <row r="19494" spans="20:20" ht="18.75" customHeight="1" x14ac:dyDescent="0.35">
      <c r="T19494" s="246">
        <f t="shared" si="342"/>
        <v>0</v>
      </c>
    </row>
    <row r="19495" spans="20:20" ht="18.75" customHeight="1" x14ac:dyDescent="0.35">
      <c r="T19495" s="246">
        <f t="shared" si="342"/>
        <v>0</v>
      </c>
    </row>
    <row r="19496" spans="20:20" ht="18.75" customHeight="1" x14ac:dyDescent="0.35">
      <c r="T19496" s="246">
        <f t="shared" si="342"/>
        <v>0</v>
      </c>
    </row>
    <row r="19497" spans="20:20" ht="18.75" customHeight="1" x14ac:dyDescent="0.35">
      <c r="T19497" s="246">
        <f t="shared" si="342"/>
        <v>0</v>
      </c>
    </row>
    <row r="19498" spans="20:20" ht="18.75" customHeight="1" x14ac:dyDescent="0.35">
      <c r="T19498" s="246">
        <f t="shared" si="342"/>
        <v>0</v>
      </c>
    </row>
    <row r="19499" spans="20:20" ht="18.75" customHeight="1" x14ac:dyDescent="0.35">
      <c r="T19499" s="246">
        <f t="shared" si="342"/>
        <v>0</v>
      </c>
    </row>
    <row r="19500" spans="20:20" ht="18.75" customHeight="1" x14ac:dyDescent="0.35">
      <c r="T19500" s="246">
        <f t="shared" si="342"/>
        <v>0</v>
      </c>
    </row>
    <row r="19501" spans="20:20" ht="18.75" customHeight="1" x14ac:dyDescent="0.35">
      <c r="T19501" s="246">
        <f t="shared" si="342"/>
        <v>0</v>
      </c>
    </row>
    <row r="19502" spans="20:20" ht="18.75" customHeight="1" x14ac:dyDescent="0.35">
      <c r="T19502" s="246">
        <f t="shared" si="342"/>
        <v>0</v>
      </c>
    </row>
    <row r="19503" spans="20:20" ht="18.75" customHeight="1" x14ac:dyDescent="0.35">
      <c r="T19503" s="246">
        <f t="shared" si="342"/>
        <v>0</v>
      </c>
    </row>
    <row r="19504" spans="20:20" ht="18.75" customHeight="1" x14ac:dyDescent="0.35">
      <c r="T19504" s="246">
        <f t="shared" si="342"/>
        <v>0</v>
      </c>
    </row>
    <row r="19505" spans="20:20" ht="18.75" customHeight="1" x14ac:dyDescent="0.35">
      <c r="T19505" s="246">
        <f t="shared" si="342"/>
        <v>0</v>
      </c>
    </row>
    <row r="19506" spans="20:20" ht="18.75" customHeight="1" x14ac:dyDescent="0.35">
      <c r="T19506" s="246">
        <f t="shared" si="342"/>
        <v>0</v>
      </c>
    </row>
    <row r="19507" spans="20:20" ht="18.75" customHeight="1" x14ac:dyDescent="0.35">
      <c r="T19507" s="246">
        <f t="shared" si="342"/>
        <v>0</v>
      </c>
    </row>
    <row r="19508" spans="20:20" ht="18.75" customHeight="1" x14ac:dyDescent="0.35">
      <c r="T19508" s="246">
        <f t="shared" si="342"/>
        <v>0</v>
      </c>
    </row>
    <row r="19509" spans="20:20" ht="18.75" customHeight="1" x14ac:dyDescent="0.35">
      <c r="T19509" s="246">
        <f t="shared" si="342"/>
        <v>0</v>
      </c>
    </row>
    <row r="19510" spans="20:20" ht="18.75" customHeight="1" x14ac:dyDescent="0.35">
      <c r="T19510" s="246">
        <f t="shared" si="342"/>
        <v>0</v>
      </c>
    </row>
    <row r="19511" spans="20:20" ht="18.75" customHeight="1" x14ac:dyDescent="0.35">
      <c r="T19511" s="246">
        <f t="shared" si="342"/>
        <v>0</v>
      </c>
    </row>
    <row r="19512" spans="20:20" ht="18.75" customHeight="1" x14ac:dyDescent="0.35">
      <c r="T19512" s="246">
        <f t="shared" si="342"/>
        <v>0</v>
      </c>
    </row>
    <row r="19513" spans="20:20" ht="18.75" customHeight="1" x14ac:dyDescent="0.35">
      <c r="T19513" s="246">
        <f t="shared" si="342"/>
        <v>0</v>
      </c>
    </row>
    <row r="19514" spans="20:20" ht="18.75" customHeight="1" x14ac:dyDescent="0.35">
      <c r="T19514" s="246">
        <f t="shared" si="342"/>
        <v>0</v>
      </c>
    </row>
    <row r="19515" spans="20:20" ht="18.75" customHeight="1" x14ac:dyDescent="0.35">
      <c r="T19515" s="246">
        <f t="shared" si="342"/>
        <v>0</v>
      </c>
    </row>
    <row r="19516" spans="20:20" ht="18.75" customHeight="1" x14ac:dyDescent="0.35">
      <c r="T19516" s="246">
        <f t="shared" ref="T19516:T19579" si="343">R19516*0.01</f>
        <v>0</v>
      </c>
    </row>
    <row r="19517" spans="20:20" ht="18.75" customHeight="1" x14ac:dyDescent="0.35">
      <c r="T19517" s="246">
        <f t="shared" si="343"/>
        <v>0</v>
      </c>
    </row>
    <row r="19518" spans="20:20" ht="18.75" customHeight="1" x14ac:dyDescent="0.35">
      <c r="T19518" s="246">
        <f t="shared" si="343"/>
        <v>0</v>
      </c>
    </row>
    <row r="19519" spans="20:20" ht="18.75" customHeight="1" x14ac:dyDescent="0.35">
      <c r="T19519" s="246">
        <f t="shared" si="343"/>
        <v>0</v>
      </c>
    </row>
    <row r="19520" spans="20:20" ht="18.75" customHeight="1" x14ac:dyDescent="0.35">
      <c r="T19520" s="246">
        <f t="shared" si="343"/>
        <v>0</v>
      </c>
    </row>
    <row r="19521" spans="20:20" ht="18.75" customHeight="1" x14ac:dyDescent="0.35">
      <c r="T19521" s="246">
        <f t="shared" si="343"/>
        <v>0</v>
      </c>
    </row>
    <row r="19522" spans="20:20" ht="18.75" customHeight="1" x14ac:dyDescent="0.35">
      <c r="T19522" s="246">
        <f t="shared" si="343"/>
        <v>0</v>
      </c>
    </row>
    <row r="19523" spans="20:20" ht="18.75" customHeight="1" x14ac:dyDescent="0.35">
      <c r="T19523" s="246">
        <f t="shared" si="343"/>
        <v>0</v>
      </c>
    </row>
    <row r="19524" spans="20:20" ht="18.75" customHeight="1" x14ac:dyDescent="0.35">
      <c r="T19524" s="246">
        <f t="shared" si="343"/>
        <v>0</v>
      </c>
    </row>
    <row r="19525" spans="20:20" ht="18.75" customHeight="1" x14ac:dyDescent="0.35">
      <c r="T19525" s="246">
        <f t="shared" si="343"/>
        <v>0</v>
      </c>
    </row>
    <row r="19526" spans="20:20" ht="18.75" customHeight="1" x14ac:dyDescent="0.35">
      <c r="T19526" s="246">
        <f t="shared" si="343"/>
        <v>0</v>
      </c>
    </row>
    <row r="19527" spans="20:20" ht="18.75" customHeight="1" x14ac:dyDescent="0.35">
      <c r="T19527" s="246">
        <f t="shared" si="343"/>
        <v>0</v>
      </c>
    </row>
    <row r="19528" spans="20:20" ht="18.75" customHeight="1" x14ac:dyDescent="0.35">
      <c r="T19528" s="246">
        <f t="shared" si="343"/>
        <v>0</v>
      </c>
    </row>
    <row r="19529" spans="20:20" ht="18.75" customHeight="1" x14ac:dyDescent="0.35">
      <c r="T19529" s="246">
        <f t="shared" si="343"/>
        <v>0</v>
      </c>
    </row>
    <row r="19530" spans="20:20" ht="18.75" customHeight="1" x14ac:dyDescent="0.35">
      <c r="T19530" s="246">
        <f t="shared" si="343"/>
        <v>0</v>
      </c>
    </row>
    <row r="19531" spans="20:20" ht="18.75" customHeight="1" x14ac:dyDescent="0.35">
      <c r="T19531" s="246">
        <f t="shared" si="343"/>
        <v>0</v>
      </c>
    </row>
    <row r="19532" spans="20:20" ht="18.75" customHeight="1" x14ac:dyDescent="0.35">
      <c r="T19532" s="246">
        <f t="shared" si="343"/>
        <v>0</v>
      </c>
    </row>
    <row r="19533" spans="20:20" ht="18.75" customHeight="1" x14ac:dyDescent="0.35">
      <c r="T19533" s="246">
        <f t="shared" si="343"/>
        <v>0</v>
      </c>
    </row>
    <row r="19534" spans="20:20" ht="18.75" customHeight="1" x14ac:dyDescent="0.35">
      <c r="T19534" s="246">
        <f t="shared" si="343"/>
        <v>0</v>
      </c>
    </row>
    <row r="19535" spans="20:20" ht="18.75" customHeight="1" x14ac:dyDescent="0.35">
      <c r="T19535" s="246">
        <f t="shared" si="343"/>
        <v>0</v>
      </c>
    </row>
    <row r="19536" spans="20:20" ht="18.75" customHeight="1" x14ac:dyDescent="0.35">
      <c r="T19536" s="246">
        <f t="shared" si="343"/>
        <v>0</v>
      </c>
    </row>
    <row r="19537" spans="20:20" ht="18.75" customHeight="1" x14ac:dyDescent="0.35">
      <c r="T19537" s="246">
        <f t="shared" si="343"/>
        <v>0</v>
      </c>
    </row>
    <row r="19538" spans="20:20" ht="18.75" customHeight="1" x14ac:dyDescent="0.35">
      <c r="T19538" s="246">
        <f t="shared" si="343"/>
        <v>0</v>
      </c>
    </row>
    <row r="19539" spans="20:20" ht="18.75" customHeight="1" x14ac:dyDescent="0.35">
      <c r="T19539" s="246">
        <f t="shared" si="343"/>
        <v>0</v>
      </c>
    </row>
    <row r="19540" spans="20:20" ht="18.75" customHeight="1" x14ac:dyDescent="0.35">
      <c r="T19540" s="246">
        <f t="shared" si="343"/>
        <v>0</v>
      </c>
    </row>
    <row r="19541" spans="20:20" ht="18.75" customHeight="1" x14ac:dyDescent="0.35">
      <c r="T19541" s="246">
        <f t="shared" si="343"/>
        <v>0</v>
      </c>
    </row>
    <row r="19542" spans="20:20" ht="18.75" customHeight="1" x14ac:dyDescent="0.35">
      <c r="T19542" s="246">
        <f t="shared" si="343"/>
        <v>0</v>
      </c>
    </row>
    <row r="19543" spans="20:20" ht="18.75" customHeight="1" x14ac:dyDescent="0.35">
      <c r="T19543" s="246">
        <f t="shared" si="343"/>
        <v>0</v>
      </c>
    </row>
    <row r="19544" spans="20:20" ht="18.75" customHeight="1" x14ac:dyDescent="0.35">
      <c r="T19544" s="246">
        <f t="shared" si="343"/>
        <v>0</v>
      </c>
    </row>
    <row r="19545" spans="20:20" ht="18.75" customHeight="1" x14ac:dyDescent="0.35">
      <c r="T19545" s="246">
        <f t="shared" si="343"/>
        <v>0</v>
      </c>
    </row>
    <row r="19546" spans="20:20" ht="18.75" customHeight="1" x14ac:dyDescent="0.35">
      <c r="T19546" s="246">
        <f t="shared" si="343"/>
        <v>0</v>
      </c>
    </row>
    <row r="19547" spans="20:20" ht="18.75" customHeight="1" x14ac:dyDescent="0.35">
      <c r="T19547" s="246">
        <f t="shared" si="343"/>
        <v>0</v>
      </c>
    </row>
    <row r="19548" spans="20:20" ht="18.75" customHeight="1" x14ac:dyDescent="0.35">
      <c r="T19548" s="246">
        <f t="shared" si="343"/>
        <v>0</v>
      </c>
    </row>
    <row r="19549" spans="20:20" ht="18.75" customHeight="1" x14ac:dyDescent="0.35">
      <c r="T19549" s="246">
        <f t="shared" si="343"/>
        <v>0</v>
      </c>
    </row>
    <row r="19550" spans="20:20" ht="18.75" customHeight="1" x14ac:dyDescent="0.35">
      <c r="T19550" s="246">
        <f t="shared" si="343"/>
        <v>0</v>
      </c>
    </row>
    <row r="19551" spans="20:20" ht="18.75" customHeight="1" x14ac:dyDescent="0.35">
      <c r="T19551" s="246">
        <f t="shared" si="343"/>
        <v>0</v>
      </c>
    </row>
    <row r="19552" spans="20:20" ht="18.75" customHeight="1" x14ac:dyDescent="0.35">
      <c r="T19552" s="246">
        <f t="shared" si="343"/>
        <v>0</v>
      </c>
    </row>
    <row r="19553" spans="20:20" ht="18.75" customHeight="1" x14ac:dyDescent="0.35">
      <c r="T19553" s="246">
        <f t="shared" si="343"/>
        <v>0</v>
      </c>
    </row>
    <row r="19554" spans="20:20" ht="18.75" customHeight="1" x14ac:dyDescent="0.35">
      <c r="T19554" s="246">
        <f t="shared" si="343"/>
        <v>0</v>
      </c>
    </row>
    <row r="19555" spans="20:20" ht="18.75" customHeight="1" x14ac:dyDescent="0.35">
      <c r="T19555" s="246">
        <f t="shared" si="343"/>
        <v>0</v>
      </c>
    </row>
    <row r="19556" spans="20:20" ht="18.75" customHeight="1" x14ac:dyDescent="0.35">
      <c r="T19556" s="246">
        <f t="shared" si="343"/>
        <v>0</v>
      </c>
    </row>
    <row r="19557" spans="20:20" ht="18.75" customHeight="1" x14ac:dyDescent="0.35">
      <c r="T19557" s="246">
        <f t="shared" si="343"/>
        <v>0</v>
      </c>
    </row>
    <row r="19558" spans="20:20" ht="18.75" customHeight="1" x14ac:dyDescent="0.35">
      <c r="T19558" s="246">
        <f t="shared" si="343"/>
        <v>0</v>
      </c>
    </row>
    <row r="19559" spans="20:20" ht="18.75" customHeight="1" x14ac:dyDescent="0.35">
      <c r="T19559" s="246">
        <f t="shared" si="343"/>
        <v>0</v>
      </c>
    </row>
    <row r="19560" spans="20:20" ht="18.75" customHeight="1" x14ac:dyDescent="0.35">
      <c r="T19560" s="246">
        <f t="shared" si="343"/>
        <v>0</v>
      </c>
    </row>
    <row r="19561" spans="20:20" ht="18.75" customHeight="1" x14ac:dyDescent="0.35">
      <c r="T19561" s="246">
        <f t="shared" si="343"/>
        <v>0</v>
      </c>
    </row>
    <row r="19562" spans="20:20" ht="18.75" customHeight="1" x14ac:dyDescent="0.35">
      <c r="T19562" s="246">
        <f t="shared" si="343"/>
        <v>0</v>
      </c>
    </row>
    <row r="19563" spans="20:20" ht="18.75" customHeight="1" x14ac:dyDescent="0.35">
      <c r="T19563" s="246">
        <f t="shared" si="343"/>
        <v>0</v>
      </c>
    </row>
    <row r="19564" spans="20:20" ht="18.75" customHeight="1" x14ac:dyDescent="0.35">
      <c r="T19564" s="246">
        <f t="shared" si="343"/>
        <v>0</v>
      </c>
    </row>
    <row r="19565" spans="20:20" ht="18.75" customHeight="1" x14ac:dyDescent="0.35">
      <c r="T19565" s="246">
        <f t="shared" si="343"/>
        <v>0</v>
      </c>
    </row>
    <row r="19566" spans="20:20" ht="18.75" customHeight="1" x14ac:dyDescent="0.35">
      <c r="T19566" s="246">
        <f t="shared" si="343"/>
        <v>0</v>
      </c>
    </row>
    <row r="19567" spans="20:20" ht="18.75" customHeight="1" x14ac:dyDescent="0.35">
      <c r="T19567" s="246">
        <f t="shared" si="343"/>
        <v>0</v>
      </c>
    </row>
    <row r="19568" spans="20:20" ht="18.75" customHeight="1" x14ac:dyDescent="0.35">
      <c r="T19568" s="246">
        <f t="shared" si="343"/>
        <v>0</v>
      </c>
    </row>
    <row r="19569" spans="20:20" ht="18.75" customHeight="1" x14ac:dyDescent="0.35">
      <c r="T19569" s="246">
        <f t="shared" si="343"/>
        <v>0</v>
      </c>
    </row>
    <row r="19570" spans="20:20" ht="18.75" customHeight="1" x14ac:dyDescent="0.35">
      <c r="T19570" s="246">
        <f t="shared" si="343"/>
        <v>0</v>
      </c>
    </row>
    <row r="19571" spans="20:20" ht="18.75" customHeight="1" x14ac:dyDescent="0.35">
      <c r="T19571" s="246">
        <f t="shared" si="343"/>
        <v>0</v>
      </c>
    </row>
    <row r="19572" spans="20:20" ht="18.75" customHeight="1" x14ac:dyDescent="0.35">
      <c r="T19572" s="246">
        <f t="shared" si="343"/>
        <v>0</v>
      </c>
    </row>
    <row r="19573" spans="20:20" ht="18.75" customHeight="1" x14ac:dyDescent="0.35">
      <c r="T19573" s="246">
        <f t="shared" si="343"/>
        <v>0</v>
      </c>
    </row>
    <row r="19574" spans="20:20" ht="18.75" customHeight="1" x14ac:dyDescent="0.35">
      <c r="T19574" s="246">
        <f t="shared" si="343"/>
        <v>0</v>
      </c>
    </row>
    <row r="19575" spans="20:20" ht="18.75" customHeight="1" x14ac:dyDescent="0.35">
      <c r="T19575" s="246">
        <f t="shared" si="343"/>
        <v>0</v>
      </c>
    </row>
    <row r="19576" spans="20:20" ht="18.75" customHeight="1" x14ac:dyDescent="0.35">
      <c r="T19576" s="246">
        <f t="shared" si="343"/>
        <v>0</v>
      </c>
    </row>
    <row r="19577" spans="20:20" ht="18.75" customHeight="1" x14ac:dyDescent="0.35">
      <c r="T19577" s="246">
        <f t="shared" si="343"/>
        <v>0</v>
      </c>
    </row>
    <row r="19578" spans="20:20" ht="18.75" customHeight="1" x14ac:dyDescent="0.35">
      <c r="T19578" s="246">
        <f t="shared" si="343"/>
        <v>0</v>
      </c>
    </row>
    <row r="19579" spans="20:20" ht="18.75" customHeight="1" x14ac:dyDescent="0.35">
      <c r="T19579" s="246">
        <f t="shared" si="343"/>
        <v>0</v>
      </c>
    </row>
    <row r="19580" spans="20:20" ht="18.75" customHeight="1" x14ac:dyDescent="0.35">
      <c r="T19580" s="246">
        <f t="shared" ref="T19580:T19643" si="344">R19580*0.01</f>
        <v>0</v>
      </c>
    </row>
    <row r="19581" spans="20:20" ht="18.75" customHeight="1" x14ac:dyDescent="0.35">
      <c r="T19581" s="246">
        <f t="shared" si="344"/>
        <v>0</v>
      </c>
    </row>
    <row r="19582" spans="20:20" ht="18.75" customHeight="1" x14ac:dyDescent="0.35">
      <c r="T19582" s="246">
        <f t="shared" si="344"/>
        <v>0</v>
      </c>
    </row>
    <row r="19583" spans="20:20" ht="18.75" customHeight="1" x14ac:dyDescent="0.35">
      <c r="T19583" s="246">
        <f t="shared" si="344"/>
        <v>0</v>
      </c>
    </row>
    <row r="19584" spans="20:20" ht="18.75" customHeight="1" x14ac:dyDescent="0.35">
      <c r="T19584" s="246">
        <f t="shared" si="344"/>
        <v>0</v>
      </c>
    </row>
    <row r="19585" spans="20:20" ht="18.75" customHeight="1" x14ac:dyDescent="0.35">
      <c r="T19585" s="246">
        <f t="shared" si="344"/>
        <v>0</v>
      </c>
    </row>
    <row r="19586" spans="20:20" ht="18.75" customHeight="1" x14ac:dyDescent="0.35">
      <c r="T19586" s="246">
        <f t="shared" si="344"/>
        <v>0</v>
      </c>
    </row>
    <row r="19587" spans="20:20" ht="18.75" customHeight="1" x14ac:dyDescent="0.35">
      <c r="T19587" s="246">
        <f t="shared" si="344"/>
        <v>0</v>
      </c>
    </row>
    <row r="19588" spans="20:20" ht="18.75" customHeight="1" x14ac:dyDescent="0.35">
      <c r="T19588" s="246">
        <f t="shared" si="344"/>
        <v>0</v>
      </c>
    </row>
    <row r="19589" spans="20:20" ht="18.75" customHeight="1" x14ac:dyDescent="0.35">
      <c r="T19589" s="246">
        <f t="shared" si="344"/>
        <v>0</v>
      </c>
    </row>
    <row r="19590" spans="20:20" ht="18.75" customHeight="1" x14ac:dyDescent="0.35">
      <c r="T19590" s="246">
        <f t="shared" si="344"/>
        <v>0</v>
      </c>
    </row>
    <row r="19591" spans="20:20" ht="18.75" customHeight="1" x14ac:dyDescent="0.35">
      <c r="T19591" s="246">
        <f t="shared" si="344"/>
        <v>0</v>
      </c>
    </row>
    <row r="19592" spans="20:20" ht="18.75" customHeight="1" x14ac:dyDescent="0.35">
      <c r="T19592" s="246">
        <f t="shared" si="344"/>
        <v>0</v>
      </c>
    </row>
    <row r="19593" spans="20:20" ht="18.75" customHeight="1" x14ac:dyDescent="0.35">
      <c r="T19593" s="246">
        <f t="shared" si="344"/>
        <v>0</v>
      </c>
    </row>
    <row r="19594" spans="20:20" ht="18.75" customHeight="1" x14ac:dyDescent="0.35">
      <c r="T19594" s="246">
        <f t="shared" si="344"/>
        <v>0</v>
      </c>
    </row>
    <row r="19595" spans="20:20" ht="18.75" customHeight="1" x14ac:dyDescent="0.35">
      <c r="T19595" s="246">
        <f t="shared" si="344"/>
        <v>0</v>
      </c>
    </row>
    <row r="19596" spans="20:20" ht="18.75" customHeight="1" x14ac:dyDescent="0.35">
      <c r="T19596" s="246">
        <f t="shared" si="344"/>
        <v>0</v>
      </c>
    </row>
    <row r="19597" spans="20:20" ht="18.75" customHeight="1" x14ac:dyDescent="0.35">
      <c r="T19597" s="246">
        <f t="shared" si="344"/>
        <v>0</v>
      </c>
    </row>
    <row r="19598" spans="20:20" ht="18.75" customHeight="1" x14ac:dyDescent="0.35">
      <c r="T19598" s="246">
        <f t="shared" si="344"/>
        <v>0</v>
      </c>
    </row>
    <row r="19599" spans="20:20" ht="18.75" customHeight="1" x14ac:dyDescent="0.35">
      <c r="T19599" s="246">
        <f t="shared" si="344"/>
        <v>0</v>
      </c>
    </row>
    <row r="19600" spans="20:20" ht="18.75" customHeight="1" x14ac:dyDescent="0.35">
      <c r="T19600" s="246">
        <f t="shared" si="344"/>
        <v>0</v>
      </c>
    </row>
    <row r="19601" spans="20:20" ht="18.75" customHeight="1" x14ac:dyDescent="0.35">
      <c r="T19601" s="246">
        <f t="shared" si="344"/>
        <v>0</v>
      </c>
    </row>
    <row r="19602" spans="20:20" ht="18.75" customHeight="1" x14ac:dyDescent="0.35">
      <c r="T19602" s="246">
        <f t="shared" si="344"/>
        <v>0</v>
      </c>
    </row>
    <row r="19603" spans="20:20" ht="18.75" customHeight="1" x14ac:dyDescent="0.35">
      <c r="T19603" s="246">
        <f t="shared" si="344"/>
        <v>0</v>
      </c>
    </row>
    <row r="19604" spans="20:20" ht="18.75" customHeight="1" x14ac:dyDescent="0.35">
      <c r="T19604" s="246">
        <f t="shared" si="344"/>
        <v>0</v>
      </c>
    </row>
    <row r="19605" spans="20:20" ht="18.75" customHeight="1" x14ac:dyDescent="0.35">
      <c r="T19605" s="246">
        <f t="shared" si="344"/>
        <v>0</v>
      </c>
    </row>
    <row r="19606" spans="20:20" ht="18.75" customHeight="1" x14ac:dyDescent="0.35">
      <c r="T19606" s="246">
        <f t="shared" si="344"/>
        <v>0</v>
      </c>
    </row>
    <row r="19607" spans="20:20" ht="18.75" customHeight="1" x14ac:dyDescent="0.35">
      <c r="T19607" s="246">
        <f t="shared" si="344"/>
        <v>0</v>
      </c>
    </row>
    <row r="19608" spans="20:20" ht="18.75" customHeight="1" x14ac:dyDescent="0.35">
      <c r="T19608" s="246">
        <f t="shared" si="344"/>
        <v>0</v>
      </c>
    </row>
    <row r="19609" spans="20:20" ht="18.75" customHeight="1" x14ac:dyDescent="0.35">
      <c r="T19609" s="246">
        <f t="shared" si="344"/>
        <v>0</v>
      </c>
    </row>
    <row r="19610" spans="20:20" ht="18.75" customHeight="1" x14ac:dyDescent="0.35">
      <c r="T19610" s="246">
        <f t="shared" si="344"/>
        <v>0</v>
      </c>
    </row>
    <row r="19611" spans="20:20" ht="18.75" customHeight="1" x14ac:dyDescent="0.35">
      <c r="T19611" s="246">
        <f t="shared" si="344"/>
        <v>0</v>
      </c>
    </row>
    <row r="19612" spans="20:20" ht="18.75" customHeight="1" x14ac:dyDescent="0.35">
      <c r="T19612" s="246">
        <f t="shared" si="344"/>
        <v>0</v>
      </c>
    </row>
    <row r="19613" spans="20:20" ht="18.75" customHeight="1" x14ac:dyDescent="0.35">
      <c r="T19613" s="246">
        <f t="shared" si="344"/>
        <v>0</v>
      </c>
    </row>
    <row r="19614" spans="20:20" ht="18.75" customHeight="1" x14ac:dyDescent="0.35">
      <c r="T19614" s="246">
        <f t="shared" si="344"/>
        <v>0</v>
      </c>
    </row>
    <row r="19615" spans="20:20" ht="18.75" customHeight="1" x14ac:dyDescent="0.35">
      <c r="T19615" s="246">
        <f t="shared" si="344"/>
        <v>0</v>
      </c>
    </row>
    <row r="19616" spans="20:20" ht="18.75" customHeight="1" x14ac:dyDescent="0.35">
      <c r="T19616" s="246">
        <f t="shared" si="344"/>
        <v>0</v>
      </c>
    </row>
    <row r="19617" spans="20:20" ht="18.75" customHeight="1" x14ac:dyDescent="0.35">
      <c r="T19617" s="246">
        <f t="shared" si="344"/>
        <v>0</v>
      </c>
    </row>
    <row r="19618" spans="20:20" ht="18.75" customHeight="1" x14ac:dyDescent="0.35">
      <c r="T19618" s="246">
        <f t="shared" si="344"/>
        <v>0</v>
      </c>
    </row>
    <row r="19619" spans="20:20" ht="18.75" customHeight="1" x14ac:dyDescent="0.35">
      <c r="T19619" s="246">
        <f t="shared" si="344"/>
        <v>0</v>
      </c>
    </row>
    <row r="19620" spans="20:20" ht="18.75" customHeight="1" x14ac:dyDescent="0.35">
      <c r="T19620" s="246">
        <f t="shared" si="344"/>
        <v>0</v>
      </c>
    </row>
    <row r="19621" spans="20:20" ht="18.75" customHeight="1" x14ac:dyDescent="0.35">
      <c r="T19621" s="246">
        <f t="shared" si="344"/>
        <v>0</v>
      </c>
    </row>
    <row r="19622" spans="20:20" ht="18.75" customHeight="1" x14ac:dyDescent="0.35">
      <c r="T19622" s="246">
        <f t="shared" si="344"/>
        <v>0</v>
      </c>
    </row>
    <row r="19623" spans="20:20" ht="18.75" customHeight="1" x14ac:dyDescent="0.35">
      <c r="T19623" s="246">
        <f t="shared" si="344"/>
        <v>0</v>
      </c>
    </row>
    <row r="19624" spans="20:20" ht="18.75" customHeight="1" x14ac:dyDescent="0.35">
      <c r="T19624" s="246">
        <f t="shared" si="344"/>
        <v>0</v>
      </c>
    </row>
    <row r="19625" spans="20:20" ht="18.75" customHeight="1" x14ac:dyDescent="0.35">
      <c r="T19625" s="246">
        <f t="shared" si="344"/>
        <v>0</v>
      </c>
    </row>
    <row r="19626" spans="20:20" ht="18.75" customHeight="1" x14ac:dyDescent="0.35">
      <c r="T19626" s="246">
        <f t="shared" si="344"/>
        <v>0</v>
      </c>
    </row>
    <row r="19627" spans="20:20" ht="18.75" customHeight="1" x14ac:dyDescent="0.35">
      <c r="T19627" s="246">
        <f t="shared" si="344"/>
        <v>0</v>
      </c>
    </row>
    <row r="19628" spans="20:20" ht="18.75" customHeight="1" x14ac:dyDescent="0.35">
      <c r="T19628" s="246">
        <f t="shared" si="344"/>
        <v>0</v>
      </c>
    </row>
    <row r="19629" spans="20:20" ht="18.75" customHeight="1" x14ac:dyDescent="0.35">
      <c r="T19629" s="246">
        <f t="shared" si="344"/>
        <v>0</v>
      </c>
    </row>
    <row r="19630" spans="20:20" ht="18.75" customHeight="1" x14ac:dyDescent="0.35">
      <c r="T19630" s="246">
        <f t="shared" si="344"/>
        <v>0</v>
      </c>
    </row>
    <row r="19631" spans="20:20" ht="18.75" customHeight="1" x14ac:dyDescent="0.35">
      <c r="T19631" s="246">
        <f t="shared" si="344"/>
        <v>0</v>
      </c>
    </row>
    <row r="19632" spans="20:20" ht="18.75" customHeight="1" x14ac:dyDescent="0.35">
      <c r="T19632" s="246">
        <f t="shared" si="344"/>
        <v>0</v>
      </c>
    </row>
    <row r="19633" spans="20:20" ht="18.75" customHeight="1" x14ac:dyDescent="0.35">
      <c r="T19633" s="246">
        <f t="shared" si="344"/>
        <v>0</v>
      </c>
    </row>
    <row r="19634" spans="20:20" ht="18.75" customHeight="1" x14ac:dyDescent="0.35">
      <c r="T19634" s="246">
        <f t="shared" si="344"/>
        <v>0</v>
      </c>
    </row>
    <row r="19635" spans="20:20" ht="18.75" customHeight="1" x14ac:dyDescent="0.35">
      <c r="T19635" s="246">
        <f t="shared" si="344"/>
        <v>0</v>
      </c>
    </row>
    <row r="19636" spans="20:20" ht="18.75" customHeight="1" x14ac:dyDescent="0.35">
      <c r="T19636" s="246">
        <f t="shared" si="344"/>
        <v>0</v>
      </c>
    </row>
    <row r="19637" spans="20:20" ht="18.75" customHeight="1" x14ac:dyDescent="0.35">
      <c r="T19637" s="246">
        <f t="shared" si="344"/>
        <v>0</v>
      </c>
    </row>
    <row r="19638" spans="20:20" ht="18.75" customHeight="1" x14ac:dyDescent="0.35">
      <c r="T19638" s="246">
        <f t="shared" si="344"/>
        <v>0</v>
      </c>
    </row>
    <row r="19639" spans="20:20" ht="18.75" customHeight="1" x14ac:dyDescent="0.35">
      <c r="T19639" s="246">
        <f t="shared" si="344"/>
        <v>0</v>
      </c>
    </row>
    <row r="19640" spans="20:20" ht="18.75" customHeight="1" x14ac:dyDescent="0.35">
      <c r="T19640" s="246">
        <f t="shared" si="344"/>
        <v>0</v>
      </c>
    </row>
    <row r="19641" spans="20:20" ht="18.75" customHeight="1" x14ac:dyDescent="0.35">
      <c r="T19641" s="246">
        <f t="shared" si="344"/>
        <v>0</v>
      </c>
    </row>
    <row r="19642" spans="20:20" ht="18.75" customHeight="1" x14ac:dyDescent="0.35">
      <c r="T19642" s="246">
        <f t="shared" si="344"/>
        <v>0</v>
      </c>
    </row>
    <row r="19643" spans="20:20" ht="18.75" customHeight="1" x14ac:dyDescent="0.35">
      <c r="T19643" s="246">
        <f t="shared" si="344"/>
        <v>0</v>
      </c>
    </row>
    <row r="19644" spans="20:20" ht="18.75" customHeight="1" x14ac:dyDescent="0.35">
      <c r="T19644" s="246">
        <f t="shared" ref="T19644:T19707" si="345">R19644*0.01</f>
        <v>0</v>
      </c>
    </row>
    <row r="19645" spans="20:20" ht="18.75" customHeight="1" x14ac:dyDescent="0.35">
      <c r="T19645" s="246">
        <f t="shared" si="345"/>
        <v>0</v>
      </c>
    </row>
    <row r="19646" spans="20:20" ht="18.75" customHeight="1" x14ac:dyDescent="0.35">
      <c r="T19646" s="246">
        <f t="shared" si="345"/>
        <v>0</v>
      </c>
    </row>
    <row r="19647" spans="20:20" ht="18.75" customHeight="1" x14ac:dyDescent="0.35">
      <c r="T19647" s="246">
        <f t="shared" si="345"/>
        <v>0</v>
      </c>
    </row>
    <row r="19648" spans="20:20" ht="18.75" customHeight="1" x14ac:dyDescent="0.35">
      <c r="T19648" s="246">
        <f t="shared" si="345"/>
        <v>0</v>
      </c>
    </row>
    <row r="19649" spans="20:20" ht="18.75" customHeight="1" x14ac:dyDescent="0.35">
      <c r="T19649" s="246">
        <f t="shared" si="345"/>
        <v>0</v>
      </c>
    </row>
    <row r="19650" spans="20:20" ht="18.75" customHeight="1" x14ac:dyDescent="0.35">
      <c r="T19650" s="246">
        <f t="shared" si="345"/>
        <v>0</v>
      </c>
    </row>
    <row r="19651" spans="20:20" ht="18.75" customHeight="1" x14ac:dyDescent="0.35">
      <c r="T19651" s="246">
        <f t="shared" si="345"/>
        <v>0</v>
      </c>
    </row>
    <row r="19652" spans="20:20" ht="18.75" customHeight="1" x14ac:dyDescent="0.35">
      <c r="T19652" s="246">
        <f t="shared" si="345"/>
        <v>0</v>
      </c>
    </row>
    <row r="19653" spans="20:20" ht="18.75" customHeight="1" x14ac:dyDescent="0.35">
      <c r="T19653" s="246">
        <f t="shared" si="345"/>
        <v>0</v>
      </c>
    </row>
    <row r="19654" spans="20:20" ht="18.75" customHeight="1" x14ac:dyDescent="0.35">
      <c r="T19654" s="246">
        <f t="shared" si="345"/>
        <v>0</v>
      </c>
    </row>
    <row r="19655" spans="20:20" ht="18.75" customHeight="1" x14ac:dyDescent="0.35">
      <c r="T19655" s="246">
        <f t="shared" si="345"/>
        <v>0</v>
      </c>
    </row>
    <row r="19656" spans="20:20" ht="18.75" customHeight="1" x14ac:dyDescent="0.35">
      <c r="T19656" s="246">
        <f t="shared" si="345"/>
        <v>0</v>
      </c>
    </row>
    <row r="19657" spans="20:20" ht="18.75" customHeight="1" x14ac:dyDescent="0.35">
      <c r="T19657" s="246">
        <f t="shared" si="345"/>
        <v>0</v>
      </c>
    </row>
    <row r="19658" spans="20:20" ht="18.75" customHeight="1" x14ac:dyDescent="0.35">
      <c r="T19658" s="246">
        <f t="shared" si="345"/>
        <v>0</v>
      </c>
    </row>
    <row r="19659" spans="20:20" ht="18.75" customHeight="1" x14ac:dyDescent="0.35">
      <c r="T19659" s="246">
        <f t="shared" si="345"/>
        <v>0</v>
      </c>
    </row>
    <row r="19660" spans="20:20" ht="18.75" customHeight="1" x14ac:dyDescent="0.35">
      <c r="T19660" s="246">
        <f t="shared" si="345"/>
        <v>0</v>
      </c>
    </row>
    <row r="19661" spans="20:20" ht="18.75" customHeight="1" x14ac:dyDescent="0.35">
      <c r="T19661" s="246">
        <f t="shared" si="345"/>
        <v>0</v>
      </c>
    </row>
    <row r="19662" spans="20:20" ht="18.75" customHeight="1" x14ac:dyDescent="0.35">
      <c r="T19662" s="246">
        <f t="shared" si="345"/>
        <v>0</v>
      </c>
    </row>
    <row r="19663" spans="20:20" ht="18.75" customHeight="1" x14ac:dyDescent="0.35">
      <c r="T19663" s="246">
        <f t="shared" si="345"/>
        <v>0</v>
      </c>
    </row>
    <row r="19664" spans="20:20" ht="18.75" customHeight="1" x14ac:dyDescent="0.35">
      <c r="T19664" s="246">
        <f t="shared" si="345"/>
        <v>0</v>
      </c>
    </row>
    <row r="19665" spans="20:20" ht="18.75" customHeight="1" x14ac:dyDescent="0.35">
      <c r="T19665" s="246">
        <f t="shared" si="345"/>
        <v>0</v>
      </c>
    </row>
    <row r="19666" spans="20:20" ht="18.75" customHeight="1" x14ac:dyDescent="0.35">
      <c r="T19666" s="246">
        <f t="shared" si="345"/>
        <v>0</v>
      </c>
    </row>
    <row r="19667" spans="20:20" ht="18.75" customHeight="1" x14ac:dyDescent="0.35">
      <c r="T19667" s="246">
        <f t="shared" si="345"/>
        <v>0</v>
      </c>
    </row>
    <row r="19668" spans="20:20" ht="18.75" customHeight="1" x14ac:dyDescent="0.35">
      <c r="T19668" s="246">
        <f t="shared" si="345"/>
        <v>0</v>
      </c>
    </row>
    <row r="19669" spans="20:20" ht="18.75" customHeight="1" x14ac:dyDescent="0.35">
      <c r="T19669" s="246">
        <f t="shared" si="345"/>
        <v>0</v>
      </c>
    </row>
    <row r="19670" spans="20:20" ht="18.75" customHeight="1" x14ac:dyDescent="0.35">
      <c r="T19670" s="246">
        <f t="shared" si="345"/>
        <v>0</v>
      </c>
    </row>
    <row r="19671" spans="20:20" ht="18.75" customHeight="1" x14ac:dyDescent="0.35">
      <c r="T19671" s="246">
        <f t="shared" si="345"/>
        <v>0</v>
      </c>
    </row>
    <row r="19672" spans="20:20" ht="18.75" customHeight="1" x14ac:dyDescent="0.35">
      <c r="T19672" s="246">
        <f t="shared" si="345"/>
        <v>0</v>
      </c>
    </row>
    <row r="19673" spans="20:20" ht="18.75" customHeight="1" x14ac:dyDescent="0.35">
      <c r="T19673" s="246">
        <f t="shared" si="345"/>
        <v>0</v>
      </c>
    </row>
    <row r="19674" spans="20:20" ht="18.75" customHeight="1" x14ac:dyDescent="0.35">
      <c r="T19674" s="246">
        <f t="shared" si="345"/>
        <v>0</v>
      </c>
    </row>
    <row r="19675" spans="20:20" ht="18.75" customHeight="1" x14ac:dyDescent="0.35">
      <c r="T19675" s="246">
        <f t="shared" si="345"/>
        <v>0</v>
      </c>
    </row>
    <row r="19676" spans="20:20" ht="18.75" customHeight="1" x14ac:dyDescent="0.35">
      <c r="T19676" s="246">
        <f t="shared" si="345"/>
        <v>0</v>
      </c>
    </row>
    <row r="19677" spans="20:20" ht="18.75" customHeight="1" x14ac:dyDescent="0.35">
      <c r="T19677" s="246">
        <f t="shared" si="345"/>
        <v>0</v>
      </c>
    </row>
    <row r="19678" spans="20:20" ht="18.75" customHeight="1" x14ac:dyDescent="0.35">
      <c r="T19678" s="246">
        <f t="shared" si="345"/>
        <v>0</v>
      </c>
    </row>
    <row r="19679" spans="20:20" ht="18.75" customHeight="1" x14ac:dyDescent="0.35">
      <c r="T19679" s="246">
        <f t="shared" si="345"/>
        <v>0</v>
      </c>
    </row>
    <row r="19680" spans="20:20" ht="18.75" customHeight="1" x14ac:dyDescent="0.35">
      <c r="T19680" s="246">
        <f t="shared" si="345"/>
        <v>0</v>
      </c>
    </row>
    <row r="19681" spans="20:20" ht="18.75" customHeight="1" x14ac:dyDescent="0.35">
      <c r="T19681" s="246">
        <f t="shared" si="345"/>
        <v>0</v>
      </c>
    </row>
    <row r="19682" spans="20:20" ht="18.75" customHeight="1" x14ac:dyDescent="0.35">
      <c r="T19682" s="246">
        <f t="shared" si="345"/>
        <v>0</v>
      </c>
    </row>
    <row r="19683" spans="20:20" ht="18.75" customHeight="1" x14ac:dyDescent="0.35">
      <c r="T19683" s="246">
        <f t="shared" si="345"/>
        <v>0</v>
      </c>
    </row>
    <row r="19684" spans="20:20" ht="18.75" customHeight="1" x14ac:dyDescent="0.35">
      <c r="T19684" s="246">
        <f t="shared" si="345"/>
        <v>0</v>
      </c>
    </row>
    <row r="19685" spans="20:20" ht="18.75" customHeight="1" x14ac:dyDescent="0.35">
      <c r="T19685" s="246">
        <f t="shared" si="345"/>
        <v>0</v>
      </c>
    </row>
    <row r="19686" spans="20:20" ht="18.75" customHeight="1" x14ac:dyDescent="0.35">
      <c r="T19686" s="246">
        <f t="shared" si="345"/>
        <v>0</v>
      </c>
    </row>
    <row r="19687" spans="20:20" ht="18.75" customHeight="1" x14ac:dyDescent="0.35">
      <c r="T19687" s="246">
        <f t="shared" si="345"/>
        <v>0</v>
      </c>
    </row>
    <row r="19688" spans="20:20" ht="18.75" customHeight="1" x14ac:dyDescent="0.35">
      <c r="T19688" s="246">
        <f t="shared" si="345"/>
        <v>0</v>
      </c>
    </row>
    <row r="19689" spans="20:20" ht="18.75" customHeight="1" x14ac:dyDescent="0.35">
      <c r="T19689" s="246">
        <f t="shared" si="345"/>
        <v>0</v>
      </c>
    </row>
    <row r="19690" spans="20:20" ht="18.75" customHeight="1" x14ac:dyDescent="0.35">
      <c r="T19690" s="246">
        <f t="shared" si="345"/>
        <v>0</v>
      </c>
    </row>
    <row r="19691" spans="20:20" ht="18.75" customHeight="1" x14ac:dyDescent="0.35">
      <c r="T19691" s="246">
        <f t="shared" si="345"/>
        <v>0</v>
      </c>
    </row>
    <row r="19692" spans="20:20" ht="18.75" customHeight="1" x14ac:dyDescent="0.35">
      <c r="T19692" s="246">
        <f t="shared" si="345"/>
        <v>0</v>
      </c>
    </row>
    <row r="19693" spans="20:20" ht="18.75" customHeight="1" x14ac:dyDescent="0.35">
      <c r="T19693" s="246">
        <f t="shared" si="345"/>
        <v>0</v>
      </c>
    </row>
    <row r="19694" spans="20:20" ht="18.75" customHeight="1" x14ac:dyDescent="0.35">
      <c r="T19694" s="246">
        <f t="shared" si="345"/>
        <v>0</v>
      </c>
    </row>
    <row r="19695" spans="20:20" ht="18.75" customHeight="1" x14ac:dyDescent="0.35">
      <c r="T19695" s="246">
        <f t="shared" si="345"/>
        <v>0</v>
      </c>
    </row>
    <row r="19696" spans="20:20" ht="18.75" customHeight="1" x14ac:dyDescent="0.35">
      <c r="T19696" s="246">
        <f t="shared" si="345"/>
        <v>0</v>
      </c>
    </row>
    <row r="19697" spans="20:20" ht="18.75" customHeight="1" x14ac:dyDescent="0.35">
      <c r="T19697" s="246">
        <f t="shared" si="345"/>
        <v>0</v>
      </c>
    </row>
    <row r="19698" spans="20:20" ht="18.75" customHeight="1" x14ac:dyDescent="0.35">
      <c r="T19698" s="246">
        <f t="shared" si="345"/>
        <v>0</v>
      </c>
    </row>
    <row r="19699" spans="20:20" ht="18.75" customHeight="1" x14ac:dyDescent="0.35">
      <c r="T19699" s="246">
        <f t="shared" si="345"/>
        <v>0</v>
      </c>
    </row>
    <row r="19700" spans="20:20" ht="18.75" customHeight="1" x14ac:dyDescent="0.35">
      <c r="T19700" s="246">
        <f t="shared" si="345"/>
        <v>0</v>
      </c>
    </row>
    <row r="19701" spans="20:20" ht="18.75" customHeight="1" x14ac:dyDescent="0.35">
      <c r="T19701" s="246">
        <f t="shared" si="345"/>
        <v>0</v>
      </c>
    </row>
    <row r="19702" spans="20:20" ht="18.75" customHeight="1" x14ac:dyDescent="0.35">
      <c r="T19702" s="246">
        <f t="shared" si="345"/>
        <v>0</v>
      </c>
    </row>
    <row r="19703" spans="20:20" ht="18.75" customHeight="1" x14ac:dyDescent="0.35">
      <c r="T19703" s="246">
        <f t="shared" si="345"/>
        <v>0</v>
      </c>
    </row>
    <row r="19704" spans="20:20" ht="18.75" customHeight="1" x14ac:dyDescent="0.35">
      <c r="T19704" s="246">
        <f t="shared" si="345"/>
        <v>0</v>
      </c>
    </row>
    <row r="19705" spans="20:20" ht="18.75" customHeight="1" x14ac:dyDescent="0.35">
      <c r="T19705" s="246">
        <f t="shared" si="345"/>
        <v>0</v>
      </c>
    </row>
    <row r="19706" spans="20:20" ht="18.75" customHeight="1" x14ac:dyDescent="0.35">
      <c r="T19706" s="246">
        <f t="shared" si="345"/>
        <v>0</v>
      </c>
    </row>
    <row r="19707" spans="20:20" ht="18.75" customHeight="1" x14ac:dyDescent="0.35">
      <c r="T19707" s="246">
        <f t="shared" si="345"/>
        <v>0</v>
      </c>
    </row>
    <row r="19708" spans="20:20" ht="18.75" customHeight="1" x14ac:dyDescent="0.35">
      <c r="T19708" s="246">
        <f t="shared" ref="T19708:T19771" si="346">R19708*0.01</f>
        <v>0</v>
      </c>
    </row>
    <row r="19709" spans="20:20" ht="18.75" customHeight="1" x14ac:dyDescent="0.35">
      <c r="T19709" s="246">
        <f t="shared" si="346"/>
        <v>0</v>
      </c>
    </row>
    <row r="19710" spans="20:20" ht="18.75" customHeight="1" x14ac:dyDescent="0.35">
      <c r="T19710" s="246">
        <f t="shared" si="346"/>
        <v>0</v>
      </c>
    </row>
    <row r="19711" spans="20:20" ht="18.75" customHeight="1" x14ac:dyDescent="0.35">
      <c r="T19711" s="246">
        <f t="shared" si="346"/>
        <v>0</v>
      </c>
    </row>
    <row r="19712" spans="20:20" ht="18.75" customHeight="1" x14ac:dyDescent="0.35">
      <c r="T19712" s="246">
        <f t="shared" si="346"/>
        <v>0</v>
      </c>
    </row>
    <row r="19713" spans="20:20" ht="18.75" customHeight="1" x14ac:dyDescent="0.35">
      <c r="T19713" s="246">
        <f t="shared" si="346"/>
        <v>0</v>
      </c>
    </row>
    <row r="19714" spans="20:20" ht="18.75" customHeight="1" x14ac:dyDescent="0.35">
      <c r="T19714" s="246">
        <f t="shared" si="346"/>
        <v>0</v>
      </c>
    </row>
    <row r="19715" spans="20:20" ht="18.75" customHeight="1" x14ac:dyDescent="0.35">
      <c r="T19715" s="246">
        <f t="shared" si="346"/>
        <v>0</v>
      </c>
    </row>
    <row r="19716" spans="20:20" ht="18.75" customHeight="1" x14ac:dyDescent="0.35">
      <c r="T19716" s="246">
        <f t="shared" si="346"/>
        <v>0</v>
      </c>
    </row>
    <row r="19717" spans="20:20" ht="18.75" customHeight="1" x14ac:dyDescent="0.35">
      <c r="T19717" s="246">
        <f t="shared" si="346"/>
        <v>0</v>
      </c>
    </row>
    <row r="19718" spans="20:20" ht="18.75" customHeight="1" x14ac:dyDescent="0.35">
      <c r="T19718" s="246">
        <f t="shared" si="346"/>
        <v>0</v>
      </c>
    </row>
    <row r="19719" spans="20:20" ht="18.75" customHeight="1" x14ac:dyDescent="0.35">
      <c r="T19719" s="246">
        <f t="shared" si="346"/>
        <v>0</v>
      </c>
    </row>
    <row r="19720" spans="20:20" ht="18.75" customHeight="1" x14ac:dyDescent="0.35">
      <c r="T19720" s="246">
        <f t="shared" si="346"/>
        <v>0</v>
      </c>
    </row>
    <row r="19721" spans="20:20" ht="18.75" customHeight="1" x14ac:dyDescent="0.35">
      <c r="T19721" s="246">
        <f t="shared" si="346"/>
        <v>0</v>
      </c>
    </row>
    <row r="19722" spans="20:20" ht="18.75" customHeight="1" x14ac:dyDescent="0.35">
      <c r="T19722" s="246">
        <f t="shared" si="346"/>
        <v>0</v>
      </c>
    </row>
    <row r="19723" spans="20:20" ht="18.75" customHeight="1" x14ac:dyDescent="0.35">
      <c r="T19723" s="246">
        <f t="shared" si="346"/>
        <v>0</v>
      </c>
    </row>
    <row r="19724" spans="20:20" ht="18.75" customHeight="1" x14ac:dyDescent="0.35">
      <c r="T19724" s="246">
        <f t="shared" si="346"/>
        <v>0</v>
      </c>
    </row>
    <row r="19725" spans="20:20" ht="18.75" customHeight="1" x14ac:dyDescent="0.35">
      <c r="T19725" s="246">
        <f t="shared" si="346"/>
        <v>0</v>
      </c>
    </row>
    <row r="19726" spans="20:20" ht="18.75" customHeight="1" x14ac:dyDescent="0.35">
      <c r="T19726" s="246">
        <f t="shared" si="346"/>
        <v>0</v>
      </c>
    </row>
    <row r="19727" spans="20:20" ht="18.75" customHeight="1" x14ac:dyDescent="0.35">
      <c r="T19727" s="246">
        <f t="shared" si="346"/>
        <v>0</v>
      </c>
    </row>
    <row r="19728" spans="20:20" ht="18.75" customHeight="1" x14ac:dyDescent="0.35">
      <c r="T19728" s="246">
        <f t="shared" si="346"/>
        <v>0</v>
      </c>
    </row>
    <row r="19729" spans="20:20" ht="18.75" customHeight="1" x14ac:dyDescent="0.35">
      <c r="T19729" s="246">
        <f t="shared" si="346"/>
        <v>0</v>
      </c>
    </row>
    <row r="19730" spans="20:20" ht="18.75" customHeight="1" x14ac:dyDescent="0.35">
      <c r="T19730" s="246">
        <f t="shared" si="346"/>
        <v>0</v>
      </c>
    </row>
    <row r="19731" spans="20:20" ht="18.75" customHeight="1" x14ac:dyDescent="0.35">
      <c r="T19731" s="246">
        <f t="shared" si="346"/>
        <v>0</v>
      </c>
    </row>
    <row r="19732" spans="20:20" ht="18.75" customHeight="1" x14ac:dyDescent="0.35">
      <c r="T19732" s="246">
        <f t="shared" si="346"/>
        <v>0</v>
      </c>
    </row>
    <row r="19733" spans="20:20" ht="18.75" customHeight="1" x14ac:dyDescent="0.35">
      <c r="T19733" s="246">
        <f t="shared" si="346"/>
        <v>0</v>
      </c>
    </row>
    <row r="19734" spans="20:20" ht="18.75" customHeight="1" x14ac:dyDescent="0.35">
      <c r="T19734" s="246">
        <f t="shared" si="346"/>
        <v>0</v>
      </c>
    </row>
    <row r="19735" spans="20:20" ht="18.75" customHeight="1" x14ac:dyDescent="0.35">
      <c r="T19735" s="246">
        <f t="shared" si="346"/>
        <v>0</v>
      </c>
    </row>
    <row r="19736" spans="20:20" ht="18.75" customHeight="1" x14ac:dyDescent="0.35">
      <c r="T19736" s="246">
        <f t="shared" si="346"/>
        <v>0</v>
      </c>
    </row>
    <row r="19737" spans="20:20" ht="18.75" customHeight="1" x14ac:dyDescent="0.35">
      <c r="T19737" s="246">
        <f t="shared" si="346"/>
        <v>0</v>
      </c>
    </row>
    <row r="19738" spans="20:20" ht="18.75" customHeight="1" x14ac:dyDescent="0.35">
      <c r="T19738" s="246">
        <f t="shared" si="346"/>
        <v>0</v>
      </c>
    </row>
    <row r="19739" spans="20:20" ht="18.75" customHeight="1" x14ac:dyDescent="0.35">
      <c r="T19739" s="246">
        <f t="shared" si="346"/>
        <v>0</v>
      </c>
    </row>
    <row r="19740" spans="20:20" ht="18.75" customHeight="1" x14ac:dyDescent="0.35">
      <c r="T19740" s="246">
        <f t="shared" si="346"/>
        <v>0</v>
      </c>
    </row>
    <row r="19741" spans="20:20" ht="18.75" customHeight="1" x14ac:dyDescent="0.35">
      <c r="T19741" s="246">
        <f t="shared" si="346"/>
        <v>0</v>
      </c>
    </row>
    <row r="19742" spans="20:20" ht="18.75" customHeight="1" x14ac:dyDescent="0.35">
      <c r="T19742" s="246">
        <f t="shared" si="346"/>
        <v>0</v>
      </c>
    </row>
    <row r="19743" spans="20:20" ht="18.75" customHeight="1" x14ac:dyDescent="0.35">
      <c r="T19743" s="246">
        <f t="shared" si="346"/>
        <v>0</v>
      </c>
    </row>
    <row r="19744" spans="20:20" ht="18.75" customHeight="1" x14ac:dyDescent="0.35">
      <c r="T19744" s="246">
        <f t="shared" si="346"/>
        <v>0</v>
      </c>
    </row>
    <row r="19745" spans="20:20" ht="18.75" customHeight="1" x14ac:dyDescent="0.35">
      <c r="T19745" s="246">
        <f t="shared" si="346"/>
        <v>0</v>
      </c>
    </row>
    <row r="19746" spans="20:20" ht="18.75" customHeight="1" x14ac:dyDescent="0.35">
      <c r="T19746" s="246">
        <f t="shared" si="346"/>
        <v>0</v>
      </c>
    </row>
    <row r="19747" spans="20:20" ht="18.75" customHeight="1" x14ac:dyDescent="0.35">
      <c r="T19747" s="246">
        <f t="shared" si="346"/>
        <v>0</v>
      </c>
    </row>
    <row r="19748" spans="20:20" ht="18.75" customHeight="1" x14ac:dyDescent="0.35">
      <c r="T19748" s="246">
        <f t="shared" si="346"/>
        <v>0</v>
      </c>
    </row>
    <row r="19749" spans="20:20" ht="18.75" customHeight="1" x14ac:dyDescent="0.35">
      <c r="T19749" s="246">
        <f t="shared" si="346"/>
        <v>0</v>
      </c>
    </row>
    <row r="19750" spans="20:20" ht="18.75" customHeight="1" x14ac:dyDescent="0.35">
      <c r="T19750" s="246">
        <f t="shared" si="346"/>
        <v>0</v>
      </c>
    </row>
    <row r="19751" spans="20:20" ht="18.75" customHeight="1" x14ac:dyDescent="0.35">
      <c r="T19751" s="246">
        <f t="shared" si="346"/>
        <v>0</v>
      </c>
    </row>
    <row r="19752" spans="20:20" ht="18.75" customHeight="1" x14ac:dyDescent="0.35">
      <c r="T19752" s="246">
        <f t="shared" si="346"/>
        <v>0</v>
      </c>
    </row>
    <row r="19753" spans="20:20" ht="18.75" customHeight="1" x14ac:dyDescent="0.35">
      <c r="T19753" s="246">
        <f t="shared" si="346"/>
        <v>0</v>
      </c>
    </row>
    <row r="19754" spans="20:20" ht="18.75" customHeight="1" x14ac:dyDescent="0.35">
      <c r="T19754" s="246">
        <f t="shared" si="346"/>
        <v>0</v>
      </c>
    </row>
    <row r="19755" spans="20:20" ht="18.75" customHeight="1" x14ac:dyDescent="0.35">
      <c r="T19755" s="246">
        <f t="shared" si="346"/>
        <v>0</v>
      </c>
    </row>
    <row r="19756" spans="20:20" ht="18.75" customHeight="1" x14ac:dyDescent="0.35">
      <c r="T19756" s="246">
        <f t="shared" si="346"/>
        <v>0</v>
      </c>
    </row>
    <row r="19757" spans="20:20" ht="18.75" customHeight="1" x14ac:dyDescent="0.35">
      <c r="T19757" s="246">
        <f t="shared" si="346"/>
        <v>0</v>
      </c>
    </row>
    <row r="19758" spans="20:20" ht="18.75" customHeight="1" x14ac:dyDescent="0.35">
      <c r="T19758" s="246">
        <f t="shared" si="346"/>
        <v>0</v>
      </c>
    </row>
    <row r="19759" spans="20:20" ht="18.75" customHeight="1" x14ac:dyDescent="0.35">
      <c r="T19759" s="246">
        <f t="shared" si="346"/>
        <v>0</v>
      </c>
    </row>
    <row r="19760" spans="20:20" ht="18.75" customHeight="1" x14ac:dyDescent="0.35">
      <c r="T19760" s="246">
        <f t="shared" si="346"/>
        <v>0</v>
      </c>
    </row>
    <row r="19761" spans="20:20" ht="18.75" customHeight="1" x14ac:dyDescent="0.35">
      <c r="T19761" s="246">
        <f t="shared" si="346"/>
        <v>0</v>
      </c>
    </row>
    <row r="19762" spans="20:20" ht="18.75" customHeight="1" x14ac:dyDescent="0.35">
      <c r="T19762" s="246">
        <f t="shared" si="346"/>
        <v>0</v>
      </c>
    </row>
    <row r="19763" spans="20:20" ht="18.75" customHeight="1" x14ac:dyDescent="0.35">
      <c r="T19763" s="246">
        <f t="shared" si="346"/>
        <v>0</v>
      </c>
    </row>
    <row r="19764" spans="20:20" ht="18.75" customHeight="1" x14ac:dyDescent="0.35">
      <c r="T19764" s="246">
        <f t="shared" si="346"/>
        <v>0</v>
      </c>
    </row>
    <row r="19765" spans="20:20" ht="18.75" customHeight="1" x14ac:dyDescent="0.35">
      <c r="T19765" s="246">
        <f t="shared" si="346"/>
        <v>0</v>
      </c>
    </row>
    <row r="19766" spans="20:20" ht="18.75" customHeight="1" x14ac:dyDescent="0.35">
      <c r="T19766" s="246">
        <f t="shared" si="346"/>
        <v>0</v>
      </c>
    </row>
    <row r="19767" spans="20:20" ht="18.75" customHeight="1" x14ac:dyDescent="0.35">
      <c r="T19767" s="246">
        <f t="shared" si="346"/>
        <v>0</v>
      </c>
    </row>
    <row r="19768" spans="20:20" ht="18.75" customHeight="1" x14ac:dyDescent="0.35">
      <c r="T19768" s="246">
        <f t="shared" si="346"/>
        <v>0</v>
      </c>
    </row>
    <row r="19769" spans="20:20" ht="18.75" customHeight="1" x14ac:dyDescent="0.35">
      <c r="T19769" s="246">
        <f t="shared" si="346"/>
        <v>0</v>
      </c>
    </row>
    <row r="19770" spans="20:20" ht="18.75" customHeight="1" x14ac:dyDescent="0.35">
      <c r="T19770" s="246">
        <f t="shared" si="346"/>
        <v>0</v>
      </c>
    </row>
    <row r="19771" spans="20:20" ht="18.75" customHeight="1" x14ac:dyDescent="0.35">
      <c r="T19771" s="246">
        <f t="shared" si="346"/>
        <v>0</v>
      </c>
    </row>
    <row r="19772" spans="20:20" ht="18.75" customHeight="1" x14ac:dyDescent="0.35">
      <c r="T19772" s="246">
        <f t="shared" ref="T19772:T19835" si="347">R19772*0.01</f>
        <v>0</v>
      </c>
    </row>
    <row r="19773" spans="20:20" ht="18.75" customHeight="1" x14ac:dyDescent="0.35">
      <c r="T19773" s="246">
        <f t="shared" si="347"/>
        <v>0</v>
      </c>
    </row>
    <row r="19774" spans="20:20" ht="18.75" customHeight="1" x14ac:dyDescent="0.35">
      <c r="T19774" s="246">
        <f t="shared" si="347"/>
        <v>0</v>
      </c>
    </row>
    <row r="19775" spans="20:20" ht="18.75" customHeight="1" x14ac:dyDescent="0.35">
      <c r="T19775" s="246">
        <f t="shared" si="347"/>
        <v>0</v>
      </c>
    </row>
    <row r="19776" spans="20:20" ht="18.75" customHeight="1" x14ac:dyDescent="0.35">
      <c r="T19776" s="246">
        <f t="shared" si="347"/>
        <v>0</v>
      </c>
    </row>
    <row r="19777" spans="20:20" ht="18.75" customHeight="1" x14ac:dyDescent="0.35">
      <c r="T19777" s="246">
        <f t="shared" si="347"/>
        <v>0</v>
      </c>
    </row>
    <row r="19778" spans="20:20" ht="18.75" customHeight="1" x14ac:dyDescent="0.35">
      <c r="T19778" s="246">
        <f t="shared" si="347"/>
        <v>0</v>
      </c>
    </row>
    <row r="19779" spans="20:20" ht="18.75" customHeight="1" x14ac:dyDescent="0.35">
      <c r="T19779" s="246">
        <f t="shared" si="347"/>
        <v>0</v>
      </c>
    </row>
    <row r="19780" spans="20:20" ht="18.75" customHeight="1" x14ac:dyDescent="0.35">
      <c r="T19780" s="246">
        <f t="shared" si="347"/>
        <v>0</v>
      </c>
    </row>
    <row r="19781" spans="20:20" ht="18.75" customHeight="1" x14ac:dyDescent="0.35">
      <c r="T19781" s="246">
        <f t="shared" si="347"/>
        <v>0</v>
      </c>
    </row>
    <row r="19782" spans="20:20" ht="18.75" customHeight="1" x14ac:dyDescent="0.35">
      <c r="T19782" s="246">
        <f t="shared" si="347"/>
        <v>0</v>
      </c>
    </row>
    <row r="19783" spans="20:20" ht="18.75" customHeight="1" x14ac:dyDescent="0.35">
      <c r="T19783" s="246">
        <f t="shared" si="347"/>
        <v>0</v>
      </c>
    </row>
    <row r="19784" spans="20:20" ht="18.75" customHeight="1" x14ac:dyDescent="0.35">
      <c r="T19784" s="246">
        <f t="shared" si="347"/>
        <v>0</v>
      </c>
    </row>
    <row r="19785" spans="20:20" ht="18.75" customHeight="1" x14ac:dyDescent="0.35">
      <c r="T19785" s="246">
        <f t="shared" si="347"/>
        <v>0</v>
      </c>
    </row>
    <row r="19786" spans="20:20" ht="18.75" customHeight="1" x14ac:dyDescent="0.35">
      <c r="T19786" s="246">
        <f t="shared" si="347"/>
        <v>0</v>
      </c>
    </row>
    <row r="19787" spans="20:20" ht="18.75" customHeight="1" x14ac:dyDescent="0.35">
      <c r="T19787" s="246">
        <f t="shared" si="347"/>
        <v>0</v>
      </c>
    </row>
    <row r="19788" spans="20:20" ht="18.75" customHeight="1" x14ac:dyDescent="0.35">
      <c r="T19788" s="246">
        <f t="shared" si="347"/>
        <v>0</v>
      </c>
    </row>
    <row r="19789" spans="20:20" ht="18.75" customHeight="1" x14ac:dyDescent="0.35">
      <c r="T19789" s="246">
        <f t="shared" si="347"/>
        <v>0</v>
      </c>
    </row>
    <row r="19790" spans="20:20" ht="18.75" customHeight="1" x14ac:dyDescent="0.35">
      <c r="T19790" s="246">
        <f t="shared" si="347"/>
        <v>0</v>
      </c>
    </row>
    <row r="19791" spans="20:20" ht="18.75" customHeight="1" x14ac:dyDescent="0.35">
      <c r="T19791" s="246">
        <f t="shared" si="347"/>
        <v>0</v>
      </c>
    </row>
    <row r="19792" spans="20:20" ht="18.75" customHeight="1" x14ac:dyDescent="0.35">
      <c r="T19792" s="246">
        <f t="shared" si="347"/>
        <v>0</v>
      </c>
    </row>
    <row r="19793" spans="20:20" ht="18.75" customHeight="1" x14ac:dyDescent="0.35">
      <c r="T19793" s="246">
        <f t="shared" si="347"/>
        <v>0</v>
      </c>
    </row>
    <row r="19794" spans="20:20" ht="18.75" customHeight="1" x14ac:dyDescent="0.35">
      <c r="T19794" s="246">
        <f t="shared" si="347"/>
        <v>0</v>
      </c>
    </row>
    <row r="19795" spans="20:20" ht="18.75" customHeight="1" x14ac:dyDescent="0.35">
      <c r="T19795" s="246">
        <f t="shared" si="347"/>
        <v>0</v>
      </c>
    </row>
    <row r="19796" spans="20:20" ht="18.75" customHeight="1" x14ac:dyDescent="0.35">
      <c r="T19796" s="246">
        <f t="shared" si="347"/>
        <v>0</v>
      </c>
    </row>
    <row r="19797" spans="20:20" ht="18.75" customHeight="1" x14ac:dyDescent="0.35">
      <c r="T19797" s="246">
        <f t="shared" si="347"/>
        <v>0</v>
      </c>
    </row>
    <row r="19798" spans="20:20" ht="18.75" customHeight="1" x14ac:dyDescent="0.35">
      <c r="T19798" s="246">
        <f t="shared" si="347"/>
        <v>0</v>
      </c>
    </row>
    <row r="19799" spans="20:20" ht="18.75" customHeight="1" x14ac:dyDescent="0.35">
      <c r="T19799" s="246">
        <f t="shared" si="347"/>
        <v>0</v>
      </c>
    </row>
    <row r="19800" spans="20:20" ht="18.75" customHeight="1" x14ac:dyDescent="0.35">
      <c r="T19800" s="246">
        <f t="shared" si="347"/>
        <v>0</v>
      </c>
    </row>
    <row r="19801" spans="20:20" ht="18.75" customHeight="1" x14ac:dyDescent="0.35">
      <c r="T19801" s="246">
        <f t="shared" si="347"/>
        <v>0</v>
      </c>
    </row>
    <row r="19802" spans="20:20" ht="18.75" customHeight="1" x14ac:dyDescent="0.35">
      <c r="T19802" s="246">
        <f t="shared" si="347"/>
        <v>0</v>
      </c>
    </row>
    <row r="19803" spans="20:20" ht="18.75" customHeight="1" x14ac:dyDescent="0.35">
      <c r="T19803" s="246">
        <f t="shared" si="347"/>
        <v>0</v>
      </c>
    </row>
    <row r="19804" spans="20:20" ht="18.75" customHeight="1" x14ac:dyDescent="0.35">
      <c r="T19804" s="246">
        <f t="shared" si="347"/>
        <v>0</v>
      </c>
    </row>
    <row r="19805" spans="20:20" ht="18.75" customHeight="1" x14ac:dyDescent="0.35">
      <c r="T19805" s="246">
        <f t="shared" si="347"/>
        <v>0</v>
      </c>
    </row>
    <row r="19806" spans="20:20" ht="18.75" customHeight="1" x14ac:dyDescent="0.35">
      <c r="T19806" s="246">
        <f t="shared" si="347"/>
        <v>0</v>
      </c>
    </row>
    <row r="19807" spans="20:20" ht="18.75" customHeight="1" x14ac:dyDescent="0.35">
      <c r="T19807" s="246">
        <f t="shared" si="347"/>
        <v>0</v>
      </c>
    </row>
    <row r="19808" spans="20:20" ht="18.75" customHeight="1" x14ac:dyDescent="0.35">
      <c r="T19808" s="246">
        <f t="shared" si="347"/>
        <v>0</v>
      </c>
    </row>
    <row r="19809" spans="20:20" ht="18.75" customHeight="1" x14ac:dyDescent="0.35">
      <c r="T19809" s="246">
        <f t="shared" si="347"/>
        <v>0</v>
      </c>
    </row>
    <row r="19810" spans="20:20" ht="18.75" customHeight="1" x14ac:dyDescent="0.35">
      <c r="T19810" s="246">
        <f t="shared" si="347"/>
        <v>0</v>
      </c>
    </row>
    <row r="19811" spans="20:20" ht="18.75" customHeight="1" x14ac:dyDescent="0.35">
      <c r="T19811" s="246">
        <f t="shared" si="347"/>
        <v>0</v>
      </c>
    </row>
    <row r="19812" spans="20:20" ht="18.75" customHeight="1" x14ac:dyDescent="0.35">
      <c r="T19812" s="246">
        <f t="shared" si="347"/>
        <v>0</v>
      </c>
    </row>
    <row r="19813" spans="20:20" ht="18.75" customHeight="1" x14ac:dyDescent="0.35">
      <c r="T19813" s="246">
        <f t="shared" si="347"/>
        <v>0</v>
      </c>
    </row>
    <row r="19814" spans="20:20" ht="18.75" customHeight="1" x14ac:dyDescent="0.35">
      <c r="T19814" s="246">
        <f t="shared" si="347"/>
        <v>0</v>
      </c>
    </row>
    <row r="19815" spans="20:20" ht="18.75" customHeight="1" x14ac:dyDescent="0.35">
      <c r="T19815" s="246">
        <f t="shared" si="347"/>
        <v>0</v>
      </c>
    </row>
    <row r="19816" spans="20:20" ht="18.75" customHeight="1" x14ac:dyDescent="0.35">
      <c r="T19816" s="246">
        <f t="shared" si="347"/>
        <v>0</v>
      </c>
    </row>
    <row r="19817" spans="20:20" ht="18.75" customHeight="1" x14ac:dyDescent="0.35">
      <c r="T19817" s="246">
        <f t="shared" si="347"/>
        <v>0</v>
      </c>
    </row>
    <row r="19818" spans="20:20" ht="18.75" customHeight="1" x14ac:dyDescent="0.35">
      <c r="T19818" s="246">
        <f t="shared" si="347"/>
        <v>0</v>
      </c>
    </row>
    <row r="19819" spans="20:20" ht="18.75" customHeight="1" x14ac:dyDescent="0.35">
      <c r="T19819" s="246">
        <f t="shared" si="347"/>
        <v>0</v>
      </c>
    </row>
    <row r="19820" spans="20:20" ht="18.75" customHeight="1" x14ac:dyDescent="0.35">
      <c r="T19820" s="246">
        <f t="shared" si="347"/>
        <v>0</v>
      </c>
    </row>
    <row r="19821" spans="20:20" ht="18.75" customHeight="1" x14ac:dyDescent="0.35">
      <c r="T19821" s="246">
        <f t="shared" si="347"/>
        <v>0</v>
      </c>
    </row>
    <row r="19822" spans="20:20" ht="18.75" customHeight="1" x14ac:dyDescent="0.35">
      <c r="T19822" s="246">
        <f t="shared" si="347"/>
        <v>0</v>
      </c>
    </row>
    <row r="19823" spans="20:20" ht="18.75" customHeight="1" x14ac:dyDescent="0.35">
      <c r="T19823" s="246">
        <f t="shared" si="347"/>
        <v>0</v>
      </c>
    </row>
    <row r="19824" spans="20:20" ht="18.75" customHeight="1" x14ac:dyDescent="0.35">
      <c r="T19824" s="246">
        <f t="shared" si="347"/>
        <v>0</v>
      </c>
    </row>
    <row r="19825" spans="20:20" ht="18.75" customHeight="1" x14ac:dyDescent="0.35">
      <c r="T19825" s="246">
        <f t="shared" si="347"/>
        <v>0</v>
      </c>
    </row>
    <row r="19826" spans="20:20" ht="18.75" customHeight="1" x14ac:dyDescent="0.35">
      <c r="T19826" s="246">
        <f t="shared" si="347"/>
        <v>0</v>
      </c>
    </row>
    <row r="19827" spans="20:20" ht="18.75" customHeight="1" x14ac:dyDescent="0.35">
      <c r="T19827" s="246">
        <f t="shared" si="347"/>
        <v>0</v>
      </c>
    </row>
    <row r="19828" spans="20:20" ht="18.75" customHeight="1" x14ac:dyDescent="0.35">
      <c r="T19828" s="246">
        <f t="shared" si="347"/>
        <v>0</v>
      </c>
    </row>
    <row r="19829" spans="20:20" ht="18.75" customHeight="1" x14ac:dyDescent="0.35">
      <c r="T19829" s="246">
        <f t="shared" si="347"/>
        <v>0</v>
      </c>
    </row>
    <row r="19830" spans="20:20" ht="18.75" customHeight="1" x14ac:dyDescent="0.35">
      <c r="T19830" s="246">
        <f t="shared" si="347"/>
        <v>0</v>
      </c>
    </row>
    <row r="19831" spans="20:20" ht="18.75" customHeight="1" x14ac:dyDescent="0.35">
      <c r="T19831" s="246">
        <f t="shared" si="347"/>
        <v>0</v>
      </c>
    </row>
    <row r="19832" spans="20:20" ht="18.75" customHeight="1" x14ac:dyDescent="0.35">
      <c r="T19832" s="246">
        <f t="shared" si="347"/>
        <v>0</v>
      </c>
    </row>
    <row r="19833" spans="20:20" ht="18.75" customHeight="1" x14ac:dyDescent="0.35">
      <c r="T19833" s="246">
        <f t="shared" si="347"/>
        <v>0</v>
      </c>
    </row>
    <row r="19834" spans="20:20" ht="18.75" customHeight="1" x14ac:dyDescent="0.35">
      <c r="T19834" s="246">
        <f t="shared" si="347"/>
        <v>0</v>
      </c>
    </row>
    <row r="19835" spans="20:20" ht="18.75" customHeight="1" x14ac:dyDescent="0.35">
      <c r="T19835" s="246">
        <f t="shared" si="347"/>
        <v>0</v>
      </c>
    </row>
    <row r="19836" spans="20:20" ht="18.75" customHeight="1" x14ac:dyDescent="0.35">
      <c r="T19836" s="246">
        <f t="shared" ref="T19836:T19899" si="348">R19836*0.01</f>
        <v>0</v>
      </c>
    </row>
    <row r="19837" spans="20:20" ht="18.75" customHeight="1" x14ac:dyDescent="0.35">
      <c r="T19837" s="246">
        <f t="shared" si="348"/>
        <v>0</v>
      </c>
    </row>
    <row r="19838" spans="20:20" ht="18.75" customHeight="1" x14ac:dyDescent="0.35">
      <c r="T19838" s="246">
        <f t="shared" si="348"/>
        <v>0</v>
      </c>
    </row>
    <row r="19839" spans="20:20" ht="18.75" customHeight="1" x14ac:dyDescent="0.35">
      <c r="T19839" s="246">
        <f t="shared" si="348"/>
        <v>0</v>
      </c>
    </row>
    <row r="19840" spans="20:20" ht="18.75" customHeight="1" x14ac:dyDescent="0.35">
      <c r="T19840" s="246">
        <f t="shared" si="348"/>
        <v>0</v>
      </c>
    </row>
    <row r="19841" spans="20:20" ht="18.75" customHeight="1" x14ac:dyDescent="0.35">
      <c r="T19841" s="246">
        <f t="shared" si="348"/>
        <v>0</v>
      </c>
    </row>
    <row r="19842" spans="20:20" ht="18.75" customHeight="1" x14ac:dyDescent="0.35">
      <c r="T19842" s="246">
        <f t="shared" si="348"/>
        <v>0</v>
      </c>
    </row>
    <row r="19843" spans="20:20" ht="18.75" customHeight="1" x14ac:dyDescent="0.35">
      <c r="T19843" s="246">
        <f t="shared" si="348"/>
        <v>0</v>
      </c>
    </row>
    <row r="19844" spans="20:20" ht="18.75" customHeight="1" x14ac:dyDescent="0.35">
      <c r="T19844" s="246">
        <f t="shared" si="348"/>
        <v>0</v>
      </c>
    </row>
    <row r="19845" spans="20:20" ht="18.75" customHeight="1" x14ac:dyDescent="0.35">
      <c r="T19845" s="246">
        <f t="shared" si="348"/>
        <v>0</v>
      </c>
    </row>
    <row r="19846" spans="20:20" ht="18.75" customHeight="1" x14ac:dyDescent="0.35">
      <c r="T19846" s="246">
        <f t="shared" si="348"/>
        <v>0</v>
      </c>
    </row>
    <row r="19847" spans="20:20" ht="18.75" customHeight="1" x14ac:dyDescent="0.35">
      <c r="T19847" s="246">
        <f t="shared" si="348"/>
        <v>0</v>
      </c>
    </row>
    <row r="19848" spans="20:20" ht="18.75" customHeight="1" x14ac:dyDescent="0.35">
      <c r="T19848" s="246">
        <f t="shared" si="348"/>
        <v>0</v>
      </c>
    </row>
    <row r="19849" spans="20:20" ht="18.75" customHeight="1" x14ac:dyDescent="0.35">
      <c r="T19849" s="246">
        <f t="shared" si="348"/>
        <v>0</v>
      </c>
    </row>
    <row r="19850" spans="20:20" ht="18.75" customHeight="1" x14ac:dyDescent="0.35">
      <c r="T19850" s="246">
        <f t="shared" si="348"/>
        <v>0</v>
      </c>
    </row>
    <row r="19851" spans="20:20" ht="18.75" customHeight="1" x14ac:dyDescent="0.35">
      <c r="T19851" s="246">
        <f t="shared" si="348"/>
        <v>0</v>
      </c>
    </row>
    <row r="19852" spans="20:20" ht="18.75" customHeight="1" x14ac:dyDescent="0.35">
      <c r="T19852" s="246">
        <f t="shared" si="348"/>
        <v>0</v>
      </c>
    </row>
    <row r="19853" spans="20:20" ht="18.75" customHeight="1" x14ac:dyDescent="0.35">
      <c r="T19853" s="246">
        <f t="shared" si="348"/>
        <v>0</v>
      </c>
    </row>
    <row r="19854" spans="20:20" ht="18.75" customHeight="1" x14ac:dyDescent="0.35">
      <c r="T19854" s="246">
        <f t="shared" si="348"/>
        <v>0</v>
      </c>
    </row>
    <row r="19855" spans="20:20" ht="18.75" customHeight="1" x14ac:dyDescent="0.35">
      <c r="T19855" s="246">
        <f t="shared" si="348"/>
        <v>0</v>
      </c>
    </row>
    <row r="19856" spans="20:20" ht="18.75" customHeight="1" x14ac:dyDescent="0.35">
      <c r="T19856" s="246">
        <f t="shared" si="348"/>
        <v>0</v>
      </c>
    </row>
    <row r="19857" spans="20:20" ht="18.75" customHeight="1" x14ac:dyDescent="0.35">
      <c r="T19857" s="246">
        <f t="shared" si="348"/>
        <v>0</v>
      </c>
    </row>
    <row r="19858" spans="20:20" ht="18.75" customHeight="1" x14ac:dyDescent="0.35">
      <c r="T19858" s="246">
        <f t="shared" si="348"/>
        <v>0</v>
      </c>
    </row>
    <row r="19859" spans="20:20" ht="18.75" customHeight="1" x14ac:dyDescent="0.35">
      <c r="T19859" s="246">
        <f t="shared" si="348"/>
        <v>0</v>
      </c>
    </row>
    <row r="19860" spans="20:20" ht="18.75" customHeight="1" x14ac:dyDescent="0.35">
      <c r="T19860" s="246">
        <f t="shared" si="348"/>
        <v>0</v>
      </c>
    </row>
    <row r="19861" spans="20:20" ht="18.75" customHeight="1" x14ac:dyDescent="0.35">
      <c r="T19861" s="246">
        <f t="shared" si="348"/>
        <v>0</v>
      </c>
    </row>
    <row r="19862" spans="20:20" ht="18.75" customHeight="1" x14ac:dyDescent="0.35">
      <c r="T19862" s="246">
        <f t="shared" si="348"/>
        <v>0</v>
      </c>
    </row>
    <row r="19863" spans="20:20" ht="18.75" customHeight="1" x14ac:dyDescent="0.35">
      <c r="T19863" s="246">
        <f t="shared" si="348"/>
        <v>0</v>
      </c>
    </row>
    <row r="19864" spans="20:20" ht="18.75" customHeight="1" x14ac:dyDescent="0.35">
      <c r="T19864" s="246">
        <f t="shared" si="348"/>
        <v>0</v>
      </c>
    </row>
    <row r="19865" spans="20:20" ht="18.75" customHeight="1" x14ac:dyDescent="0.35">
      <c r="T19865" s="246">
        <f t="shared" si="348"/>
        <v>0</v>
      </c>
    </row>
    <row r="19866" spans="20:20" ht="18.75" customHeight="1" x14ac:dyDescent="0.35">
      <c r="T19866" s="246">
        <f t="shared" si="348"/>
        <v>0</v>
      </c>
    </row>
    <row r="19867" spans="20:20" ht="18.75" customHeight="1" x14ac:dyDescent="0.35">
      <c r="T19867" s="246">
        <f t="shared" si="348"/>
        <v>0</v>
      </c>
    </row>
    <row r="19868" spans="20:20" ht="18.75" customHeight="1" x14ac:dyDescent="0.35">
      <c r="T19868" s="246">
        <f t="shared" si="348"/>
        <v>0</v>
      </c>
    </row>
    <row r="19869" spans="20:20" ht="18.75" customHeight="1" x14ac:dyDescent="0.35">
      <c r="T19869" s="246">
        <f t="shared" si="348"/>
        <v>0</v>
      </c>
    </row>
    <row r="19870" spans="20:20" ht="18.75" customHeight="1" x14ac:dyDescent="0.35">
      <c r="T19870" s="246">
        <f t="shared" si="348"/>
        <v>0</v>
      </c>
    </row>
    <row r="19871" spans="20:20" ht="18.75" customHeight="1" x14ac:dyDescent="0.35">
      <c r="T19871" s="246">
        <f t="shared" si="348"/>
        <v>0</v>
      </c>
    </row>
    <row r="19872" spans="20:20" ht="18.75" customHeight="1" x14ac:dyDescent="0.35">
      <c r="T19872" s="246">
        <f t="shared" si="348"/>
        <v>0</v>
      </c>
    </row>
    <row r="19873" spans="20:20" ht="18.75" customHeight="1" x14ac:dyDescent="0.35">
      <c r="T19873" s="246">
        <f t="shared" si="348"/>
        <v>0</v>
      </c>
    </row>
    <row r="19874" spans="20:20" ht="18.75" customHeight="1" x14ac:dyDescent="0.35">
      <c r="T19874" s="246">
        <f t="shared" si="348"/>
        <v>0</v>
      </c>
    </row>
    <row r="19875" spans="20:20" ht="18.75" customHeight="1" x14ac:dyDescent="0.35">
      <c r="T19875" s="246">
        <f t="shared" si="348"/>
        <v>0</v>
      </c>
    </row>
    <row r="19876" spans="20:20" ht="18.75" customHeight="1" x14ac:dyDescent="0.35">
      <c r="T19876" s="246">
        <f t="shared" si="348"/>
        <v>0</v>
      </c>
    </row>
    <row r="19877" spans="20:20" ht="18.75" customHeight="1" x14ac:dyDescent="0.35">
      <c r="T19877" s="246">
        <f t="shared" si="348"/>
        <v>0</v>
      </c>
    </row>
    <row r="19878" spans="20:20" ht="18.75" customHeight="1" x14ac:dyDescent="0.35">
      <c r="T19878" s="246">
        <f t="shared" si="348"/>
        <v>0</v>
      </c>
    </row>
    <row r="19879" spans="20:20" ht="18.75" customHeight="1" x14ac:dyDescent="0.35">
      <c r="T19879" s="246">
        <f t="shared" si="348"/>
        <v>0</v>
      </c>
    </row>
    <row r="19880" spans="20:20" ht="18.75" customHeight="1" x14ac:dyDescent="0.35">
      <c r="T19880" s="246">
        <f t="shared" si="348"/>
        <v>0</v>
      </c>
    </row>
    <row r="19881" spans="20:20" ht="18.75" customHeight="1" x14ac:dyDescent="0.35">
      <c r="T19881" s="246">
        <f t="shared" si="348"/>
        <v>0</v>
      </c>
    </row>
    <row r="19882" spans="20:20" ht="18.75" customHeight="1" x14ac:dyDescent="0.35">
      <c r="T19882" s="246">
        <f t="shared" si="348"/>
        <v>0</v>
      </c>
    </row>
    <row r="19883" spans="20:20" ht="18.75" customHeight="1" x14ac:dyDescent="0.35">
      <c r="T19883" s="246">
        <f t="shared" si="348"/>
        <v>0</v>
      </c>
    </row>
    <row r="19884" spans="20:20" ht="18.75" customHeight="1" x14ac:dyDescent="0.35">
      <c r="T19884" s="246">
        <f t="shared" si="348"/>
        <v>0</v>
      </c>
    </row>
    <row r="19885" spans="20:20" ht="18.75" customHeight="1" x14ac:dyDescent="0.35">
      <c r="T19885" s="246">
        <f t="shared" si="348"/>
        <v>0</v>
      </c>
    </row>
    <row r="19886" spans="20:20" ht="18.75" customHeight="1" x14ac:dyDescent="0.35">
      <c r="T19886" s="246">
        <f t="shared" si="348"/>
        <v>0</v>
      </c>
    </row>
    <row r="19887" spans="20:20" ht="18.75" customHeight="1" x14ac:dyDescent="0.35">
      <c r="T19887" s="246">
        <f t="shared" si="348"/>
        <v>0</v>
      </c>
    </row>
    <row r="19888" spans="20:20" ht="18.75" customHeight="1" x14ac:dyDescent="0.35">
      <c r="T19888" s="246">
        <f t="shared" si="348"/>
        <v>0</v>
      </c>
    </row>
    <row r="19889" spans="20:20" ht="18.75" customHeight="1" x14ac:dyDescent="0.35">
      <c r="T19889" s="246">
        <f t="shared" si="348"/>
        <v>0</v>
      </c>
    </row>
    <row r="19890" spans="20:20" ht="18.75" customHeight="1" x14ac:dyDescent="0.35">
      <c r="T19890" s="246">
        <f t="shared" si="348"/>
        <v>0</v>
      </c>
    </row>
    <row r="19891" spans="20:20" ht="18.75" customHeight="1" x14ac:dyDescent="0.35">
      <c r="T19891" s="246">
        <f t="shared" si="348"/>
        <v>0</v>
      </c>
    </row>
    <row r="19892" spans="20:20" ht="18.75" customHeight="1" x14ac:dyDescent="0.35">
      <c r="T19892" s="246">
        <f t="shared" si="348"/>
        <v>0</v>
      </c>
    </row>
    <row r="19893" spans="20:20" ht="18.75" customHeight="1" x14ac:dyDescent="0.35">
      <c r="T19893" s="246">
        <f t="shared" si="348"/>
        <v>0</v>
      </c>
    </row>
    <row r="19894" spans="20:20" ht="18.75" customHeight="1" x14ac:dyDescent="0.35">
      <c r="T19894" s="246">
        <f t="shared" si="348"/>
        <v>0</v>
      </c>
    </row>
    <row r="19895" spans="20:20" ht="18.75" customHeight="1" x14ac:dyDescent="0.35">
      <c r="T19895" s="246">
        <f t="shared" si="348"/>
        <v>0</v>
      </c>
    </row>
    <row r="19896" spans="20:20" ht="18.75" customHeight="1" x14ac:dyDescent="0.35">
      <c r="T19896" s="246">
        <f t="shared" si="348"/>
        <v>0</v>
      </c>
    </row>
    <row r="19897" spans="20:20" ht="18.75" customHeight="1" x14ac:dyDescent="0.35">
      <c r="T19897" s="246">
        <f t="shared" si="348"/>
        <v>0</v>
      </c>
    </row>
    <row r="19898" spans="20:20" ht="18.75" customHeight="1" x14ac:dyDescent="0.35">
      <c r="T19898" s="246">
        <f t="shared" si="348"/>
        <v>0</v>
      </c>
    </row>
    <row r="19899" spans="20:20" ht="18.75" customHeight="1" x14ac:dyDescent="0.35">
      <c r="T19899" s="246">
        <f t="shared" si="348"/>
        <v>0</v>
      </c>
    </row>
    <row r="19900" spans="20:20" ht="18.75" customHeight="1" x14ac:dyDescent="0.35">
      <c r="T19900" s="246">
        <f t="shared" ref="T19900:T19963" si="349">R19900*0.01</f>
        <v>0</v>
      </c>
    </row>
    <row r="19901" spans="20:20" ht="18.75" customHeight="1" x14ac:dyDescent="0.35">
      <c r="T19901" s="246">
        <f t="shared" si="349"/>
        <v>0</v>
      </c>
    </row>
    <row r="19902" spans="20:20" ht="18.75" customHeight="1" x14ac:dyDescent="0.35">
      <c r="T19902" s="246">
        <f t="shared" si="349"/>
        <v>0</v>
      </c>
    </row>
    <row r="19903" spans="20:20" ht="18.75" customHeight="1" x14ac:dyDescent="0.35">
      <c r="T19903" s="246">
        <f t="shared" si="349"/>
        <v>0</v>
      </c>
    </row>
    <row r="19904" spans="20:20" ht="18.75" customHeight="1" x14ac:dyDescent="0.35">
      <c r="T19904" s="246">
        <f t="shared" si="349"/>
        <v>0</v>
      </c>
    </row>
    <row r="19905" spans="20:20" ht="18.75" customHeight="1" x14ac:dyDescent="0.35">
      <c r="T19905" s="246">
        <f t="shared" si="349"/>
        <v>0</v>
      </c>
    </row>
    <row r="19906" spans="20:20" ht="18.75" customHeight="1" x14ac:dyDescent="0.35">
      <c r="T19906" s="246">
        <f t="shared" si="349"/>
        <v>0</v>
      </c>
    </row>
    <row r="19907" spans="20:20" ht="18.75" customHeight="1" x14ac:dyDescent="0.35">
      <c r="T19907" s="246">
        <f t="shared" si="349"/>
        <v>0</v>
      </c>
    </row>
    <row r="19908" spans="20:20" ht="18.75" customHeight="1" x14ac:dyDescent="0.35">
      <c r="T19908" s="246">
        <f t="shared" si="349"/>
        <v>0</v>
      </c>
    </row>
    <row r="19909" spans="20:20" ht="18.75" customHeight="1" x14ac:dyDescent="0.35">
      <c r="T19909" s="246">
        <f t="shared" si="349"/>
        <v>0</v>
      </c>
    </row>
    <row r="19910" spans="20:20" ht="18.75" customHeight="1" x14ac:dyDescent="0.35">
      <c r="T19910" s="246">
        <f t="shared" si="349"/>
        <v>0</v>
      </c>
    </row>
    <row r="19911" spans="20:20" ht="18.75" customHeight="1" x14ac:dyDescent="0.35">
      <c r="T19911" s="246">
        <f t="shared" si="349"/>
        <v>0</v>
      </c>
    </row>
    <row r="19912" spans="20:20" ht="18.75" customHeight="1" x14ac:dyDescent="0.35">
      <c r="T19912" s="246">
        <f t="shared" si="349"/>
        <v>0</v>
      </c>
    </row>
    <row r="19913" spans="20:20" ht="18.75" customHeight="1" x14ac:dyDescent="0.35">
      <c r="T19913" s="246">
        <f t="shared" si="349"/>
        <v>0</v>
      </c>
    </row>
    <row r="19914" spans="20:20" ht="18.75" customHeight="1" x14ac:dyDescent="0.35">
      <c r="T19914" s="246">
        <f t="shared" si="349"/>
        <v>0</v>
      </c>
    </row>
    <row r="19915" spans="20:20" ht="18.75" customHeight="1" x14ac:dyDescent="0.35">
      <c r="T19915" s="246">
        <f t="shared" si="349"/>
        <v>0</v>
      </c>
    </row>
    <row r="19916" spans="20:20" ht="18.75" customHeight="1" x14ac:dyDescent="0.35">
      <c r="T19916" s="246">
        <f t="shared" si="349"/>
        <v>0</v>
      </c>
    </row>
    <row r="19917" spans="20:20" ht="18.75" customHeight="1" x14ac:dyDescent="0.35">
      <c r="T19917" s="246">
        <f t="shared" si="349"/>
        <v>0</v>
      </c>
    </row>
    <row r="19918" spans="20:20" ht="18.75" customHeight="1" x14ac:dyDescent="0.35">
      <c r="T19918" s="246">
        <f t="shared" si="349"/>
        <v>0</v>
      </c>
    </row>
    <row r="19919" spans="20:20" ht="18.75" customHeight="1" x14ac:dyDescent="0.35">
      <c r="T19919" s="246">
        <f t="shared" si="349"/>
        <v>0</v>
      </c>
    </row>
    <row r="19920" spans="20:20" ht="18.75" customHeight="1" x14ac:dyDescent="0.35">
      <c r="T19920" s="246">
        <f t="shared" si="349"/>
        <v>0</v>
      </c>
    </row>
    <row r="19921" spans="20:20" ht="18.75" customHeight="1" x14ac:dyDescent="0.35">
      <c r="T19921" s="246">
        <f t="shared" si="349"/>
        <v>0</v>
      </c>
    </row>
    <row r="19922" spans="20:20" ht="18.75" customHeight="1" x14ac:dyDescent="0.35">
      <c r="T19922" s="246">
        <f t="shared" si="349"/>
        <v>0</v>
      </c>
    </row>
    <row r="19923" spans="20:20" ht="18.75" customHeight="1" x14ac:dyDescent="0.35">
      <c r="T19923" s="246">
        <f t="shared" si="349"/>
        <v>0</v>
      </c>
    </row>
    <row r="19924" spans="20:20" ht="18.75" customHeight="1" x14ac:dyDescent="0.35">
      <c r="T19924" s="246">
        <f t="shared" si="349"/>
        <v>0</v>
      </c>
    </row>
    <row r="19925" spans="20:20" ht="18.75" customHeight="1" x14ac:dyDescent="0.35">
      <c r="T19925" s="246">
        <f t="shared" si="349"/>
        <v>0</v>
      </c>
    </row>
    <row r="19926" spans="20:20" ht="18.75" customHeight="1" x14ac:dyDescent="0.35">
      <c r="T19926" s="246">
        <f t="shared" si="349"/>
        <v>0</v>
      </c>
    </row>
    <row r="19927" spans="20:20" ht="18.75" customHeight="1" x14ac:dyDescent="0.35">
      <c r="T19927" s="246">
        <f t="shared" si="349"/>
        <v>0</v>
      </c>
    </row>
    <row r="19928" spans="20:20" ht="18.75" customHeight="1" x14ac:dyDescent="0.35">
      <c r="T19928" s="246">
        <f t="shared" si="349"/>
        <v>0</v>
      </c>
    </row>
    <row r="19929" spans="20:20" ht="18.75" customHeight="1" x14ac:dyDescent="0.35">
      <c r="T19929" s="246">
        <f t="shared" si="349"/>
        <v>0</v>
      </c>
    </row>
    <row r="19930" spans="20:20" ht="18.75" customHeight="1" x14ac:dyDescent="0.35">
      <c r="T19930" s="246">
        <f t="shared" si="349"/>
        <v>0</v>
      </c>
    </row>
    <row r="19931" spans="20:20" ht="18.75" customHeight="1" x14ac:dyDescent="0.35">
      <c r="T19931" s="246">
        <f t="shared" si="349"/>
        <v>0</v>
      </c>
    </row>
    <row r="19932" spans="20:20" ht="18.75" customHeight="1" x14ac:dyDescent="0.35">
      <c r="T19932" s="246">
        <f t="shared" si="349"/>
        <v>0</v>
      </c>
    </row>
    <row r="19933" spans="20:20" ht="18.75" customHeight="1" x14ac:dyDescent="0.35">
      <c r="T19933" s="246">
        <f t="shared" si="349"/>
        <v>0</v>
      </c>
    </row>
    <row r="19934" spans="20:20" ht="18.75" customHeight="1" x14ac:dyDescent="0.35">
      <c r="T19934" s="246">
        <f t="shared" si="349"/>
        <v>0</v>
      </c>
    </row>
    <row r="19935" spans="20:20" ht="18.75" customHeight="1" x14ac:dyDescent="0.35">
      <c r="T19935" s="246">
        <f t="shared" si="349"/>
        <v>0</v>
      </c>
    </row>
    <row r="19936" spans="20:20" ht="18.75" customHeight="1" x14ac:dyDescent="0.35">
      <c r="T19936" s="246">
        <f t="shared" si="349"/>
        <v>0</v>
      </c>
    </row>
    <row r="19937" spans="20:20" ht="18.75" customHeight="1" x14ac:dyDescent="0.35">
      <c r="T19937" s="246">
        <f t="shared" si="349"/>
        <v>0</v>
      </c>
    </row>
    <row r="19938" spans="20:20" ht="18.75" customHeight="1" x14ac:dyDescent="0.35">
      <c r="T19938" s="246">
        <f t="shared" si="349"/>
        <v>0</v>
      </c>
    </row>
    <row r="19939" spans="20:20" ht="18.75" customHeight="1" x14ac:dyDescent="0.35">
      <c r="T19939" s="246">
        <f t="shared" si="349"/>
        <v>0</v>
      </c>
    </row>
    <row r="19940" spans="20:20" ht="18.75" customHeight="1" x14ac:dyDescent="0.35">
      <c r="T19940" s="246">
        <f t="shared" si="349"/>
        <v>0</v>
      </c>
    </row>
    <row r="19941" spans="20:20" ht="18.75" customHeight="1" x14ac:dyDescent="0.35">
      <c r="T19941" s="246">
        <f t="shared" si="349"/>
        <v>0</v>
      </c>
    </row>
    <row r="19942" spans="20:20" ht="18.75" customHeight="1" x14ac:dyDescent="0.35">
      <c r="T19942" s="246">
        <f t="shared" si="349"/>
        <v>0</v>
      </c>
    </row>
    <row r="19943" spans="20:20" ht="18.75" customHeight="1" x14ac:dyDescent="0.35">
      <c r="T19943" s="246">
        <f t="shared" si="349"/>
        <v>0</v>
      </c>
    </row>
    <row r="19944" spans="20:20" ht="18.75" customHeight="1" x14ac:dyDescent="0.35">
      <c r="T19944" s="246">
        <f t="shared" si="349"/>
        <v>0</v>
      </c>
    </row>
    <row r="19945" spans="20:20" ht="18.75" customHeight="1" x14ac:dyDescent="0.35">
      <c r="T19945" s="246">
        <f t="shared" si="349"/>
        <v>0</v>
      </c>
    </row>
    <row r="19946" spans="20:20" ht="18.75" customHeight="1" x14ac:dyDescent="0.35">
      <c r="T19946" s="246">
        <f t="shared" si="349"/>
        <v>0</v>
      </c>
    </row>
    <row r="19947" spans="20:20" ht="18.75" customHeight="1" x14ac:dyDescent="0.35">
      <c r="T19947" s="246">
        <f t="shared" si="349"/>
        <v>0</v>
      </c>
    </row>
    <row r="19948" spans="20:20" ht="18.75" customHeight="1" x14ac:dyDescent="0.35">
      <c r="T19948" s="246">
        <f t="shared" si="349"/>
        <v>0</v>
      </c>
    </row>
    <row r="19949" spans="20:20" ht="18.75" customHeight="1" x14ac:dyDescent="0.35">
      <c r="T19949" s="246">
        <f t="shared" si="349"/>
        <v>0</v>
      </c>
    </row>
    <row r="19950" spans="20:20" ht="18.75" customHeight="1" x14ac:dyDescent="0.35">
      <c r="T19950" s="246">
        <f t="shared" si="349"/>
        <v>0</v>
      </c>
    </row>
    <row r="19951" spans="20:20" ht="18.75" customHeight="1" x14ac:dyDescent="0.35">
      <c r="T19951" s="246">
        <f t="shared" si="349"/>
        <v>0</v>
      </c>
    </row>
    <row r="19952" spans="20:20" ht="18.75" customHeight="1" x14ac:dyDescent="0.35">
      <c r="T19952" s="246">
        <f t="shared" si="349"/>
        <v>0</v>
      </c>
    </row>
    <row r="19953" spans="20:20" ht="18.75" customHeight="1" x14ac:dyDescent="0.35">
      <c r="T19953" s="246">
        <f t="shared" si="349"/>
        <v>0</v>
      </c>
    </row>
    <row r="19954" spans="20:20" ht="18.75" customHeight="1" x14ac:dyDescent="0.35">
      <c r="T19954" s="246">
        <f t="shared" si="349"/>
        <v>0</v>
      </c>
    </row>
    <row r="19955" spans="20:20" ht="18.75" customHeight="1" x14ac:dyDescent="0.35">
      <c r="T19955" s="246">
        <f t="shared" si="349"/>
        <v>0</v>
      </c>
    </row>
    <row r="19956" spans="20:20" ht="18.75" customHeight="1" x14ac:dyDescent="0.35">
      <c r="T19956" s="246">
        <f t="shared" si="349"/>
        <v>0</v>
      </c>
    </row>
    <row r="19957" spans="20:20" ht="18.75" customHeight="1" x14ac:dyDescent="0.35">
      <c r="T19957" s="246">
        <f t="shared" si="349"/>
        <v>0</v>
      </c>
    </row>
    <row r="19958" spans="20:20" ht="18.75" customHeight="1" x14ac:dyDescent="0.35">
      <c r="T19958" s="246">
        <f t="shared" si="349"/>
        <v>0</v>
      </c>
    </row>
    <row r="19959" spans="20:20" ht="18.75" customHeight="1" x14ac:dyDescent="0.35">
      <c r="T19959" s="246">
        <f t="shared" si="349"/>
        <v>0</v>
      </c>
    </row>
    <row r="19960" spans="20:20" ht="18.75" customHeight="1" x14ac:dyDescent="0.35">
      <c r="T19960" s="246">
        <f t="shared" si="349"/>
        <v>0</v>
      </c>
    </row>
    <row r="19961" spans="20:20" ht="18.75" customHeight="1" x14ac:dyDescent="0.35">
      <c r="T19961" s="246">
        <f t="shared" si="349"/>
        <v>0</v>
      </c>
    </row>
    <row r="19962" spans="20:20" ht="18.75" customHeight="1" x14ac:dyDescent="0.35">
      <c r="T19962" s="246">
        <f t="shared" si="349"/>
        <v>0</v>
      </c>
    </row>
    <row r="19963" spans="20:20" ht="18.75" customHeight="1" x14ac:dyDescent="0.35">
      <c r="T19963" s="246">
        <f t="shared" si="349"/>
        <v>0</v>
      </c>
    </row>
    <row r="19964" spans="20:20" ht="18.75" customHeight="1" x14ac:dyDescent="0.35">
      <c r="T19964" s="246">
        <f t="shared" ref="T19964:T20027" si="350">R19964*0.01</f>
        <v>0</v>
      </c>
    </row>
    <row r="19965" spans="20:20" ht="18.75" customHeight="1" x14ac:dyDescent="0.35">
      <c r="T19965" s="246">
        <f t="shared" si="350"/>
        <v>0</v>
      </c>
    </row>
    <row r="19966" spans="20:20" ht="18.75" customHeight="1" x14ac:dyDescent="0.35">
      <c r="T19966" s="246">
        <f t="shared" si="350"/>
        <v>0</v>
      </c>
    </row>
    <row r="19967" spans="20:20" ht="18.75" customHeight="1" x14ac:dyDescent="0.35">
      <c r="T19967" s="246">
        <f t="shared" si="350"/>
        <v>0</v>
      </c>
    </row>
    <row r="19968" spans="20:20" ht="18.75" customHeight="1" x14ac:dyDescent="0.35">
      <c r="T19968" s="246">
        <f t="shared" si="350"/>
        <v>0</v>
      </c>
    </row>
    <row r="19969" spans="20:20" ht="18.75" customHeight="1" x14ac:dyDescent="0.35">
      <c r="T19969" s="246">
        <f t="shared" si="350"/>
        <v>0</v>
      </c>
    </row>
    <row r="19970" spans="20:20" ht="18.75" customHeight="1" x14ac:dyDescent="0.35">
      <c r="T19970" s="246">
        <f t="shared" si="350"/>
        <v>0</v>
      </c>
    </row>
    <row r="19971" spans="20:20" ht="18.75" customHeight="1" x14ac:dyDescent="0.35">
      <c r="T19971" s="246">
        <f t="shared" si="350"/>
        <v>0</v>
      </c>
    </row>
    <row r="19972" spans="20:20" ht="18.75" customHeight="1" x14ac:dyDescent="0.35">
      <c r="T19972" s="246">
        <f t="shared" si="350"/>
        <v>0</v>
      </c>
    </row>
    <row r="19973" spans="20:20" ht="18.75" customHeight="1" x14ac:dyDescent="0.35">
      <c r="T19973" s="246">
        <f t="shared" si="350"/>
        <v>0</v>
      </c>
    </row>
    <row r="19974" spans="20:20" ht="18.75" customHeight="1" x14ac:dyDescent="0.35">
      <c r="T19974" s="246">
        <f t="shared" si="350"/>
        <v>0</v>
      </c>
    </row>
    <row r="19975" spans="20:20" ht="18.75" customHeight="1" x14ac:dyDescent="0.35">
      <c r="T19975" s="246">
        <f t="shared" si="350"/>
        <v>0</v>
      </c>
    </row>
    <row r="19976" spans="20:20" ht="18.75" customHeight="1" x14ac:dyDescent="0.35">
      <c r="T19976" s="246">
        <f t="shared" si="350"/>
        <v>0</v>
      </c>
    </row>
    <row r="19977" spans="20:20" ht="18.75" customHeight="1" x14ac:dyDescent="0.35">
      <c r="T19977" s="246">
        <f t="shared" si="350"/>
        <v>0</v>
      </c>
    </row>
    <row r="19978" spans="20:20" ht="18.75" customHeight="1" x14ac:dyDescent="0.35">
      <c r="T19978" s="246">
        <f t="shared" si="350"/>
        <v>0</v>
      </c>
    </row>
    <row r="19979" spans="20:20" ht="18.75" customHeight="1" x14ac:dyDescent="0.35">
      <c r="T19979" s="246">
        <f t="shared" si="350"/>
        <v>0</v>
      </c>
    </row>
    <row r="19980" spans="20:20" ht="18.75" customHeight="1" x14ac:dyDescent="0.35">
      <c r="T19980" s="246">
        <f t="shared" si="350"/>
        <v>0</v>
      </c>
    </row>
    <row r="19981" spans="20:20" ht="18.75" customHeight="1" x14ac:dyDescent="0.35">
      <c r="T19981" s="246">
        <f t="shared" si="350"/>
        <v>0</v>
      </c>
    </row>
    <row r="19982" spans="20:20" ht="18.75" customHeight="1" x14ac:dyDescent="0.35">
      <c r="T19982" s="246">
        <f t="shared" si="350"/>
        <v>0</v>
      </c>
    </row>
    <row r="19983" spans="20:20" ht="18.75" customHeight="1" x14ac:dyDescent="0.35">
      <c r="T19983" s="246">
        <f t="shared" si="350"/>
        <v>0</v>
      </c>
    </row>
    <row r="19984" spans="20:20" ht="18.75" customHeight="1" x14ac:dyDescent="0.35">
      <c r="T19984" s="246">
        <f t="shared" si="350"/>
        <v>0</v>
      </c>
    </row>
    <row r="19985" spans="20:20" ht="18.75" customHeight="1" x14ac:dyDescent="0.35">
      <c r="T19985" s="246">
        <f t="shared" si="350"/>
        <v>0</v>
      </c>
    </row>
    <row r="19986" spans="20:20" ht="18.75" customHeight="1" x14ac:dyDescent="0.35">
      <c r="T19986" s="246">
        <f t="shared" si="350"/>
        <v>0</v>
      </c>
    </row>
    <row r="19987" spans="20:20" ht="18.75" customHeight="1" x14ac:dyDescent="0.35">
      <c r="T19987" s="246">
        <f t="shared" si="350"/>
        <v>0</v>
      </c>
    </row>
    <row r="19988" spans="20:20" ht="18.75" customHeight="1" x14ac:dyDescent="0.35">
      <c r="T19988" s="246">
        <f t="shared" si="350"/>
        <v>0</v>
      </c>
    </row>
    <row r="19989" spans="20:20" ht="18.75" customHeight="1" x14ac:dyDescent="0.35">
      <c r="T19989" s="246">
        <f t="shared" si="350"/>
        <v>0</v>
      </c>
    </row>
    <row r="19990" spans="20:20" ht="18.75" customHeight="1" x14ac:dyDescent="0.35">
      <c r="T19990" s="246">
        <f t="shared" si="350"/>
        <v>0</v>
      </c>
    </row>
    <row r="19991" spans="20:20" ht="18.75" customHeight="1" x14ac:dyDescent="0.35">
      <c r="T19991" s="246">
        <f t="shared" si="350"/>
        <v>0</v>
      </c>
    </row>
    <row r="19992" spans="20:20" ht="18.75" customHeight="1" x14ac:dyDescent="0.35">
      <c r="T19992" s="246">
        <f t="shared" si="350"/>
        <v>0</v>
      </c>
    </row>
    <row r="19993" spans="20:20" ht="18.75" customHeight="1" x14ac:dyDescent="0.35">
      <c r="T19993" s="246">
        <f t="shared" si="350"/>
        <v>0</v>
      </c>
    </row>
    <row r="19994" spans="20:20" ht="18.75" customHeight="1" x14ac:dyDescent="0.35">
      <c r="T19994" s="246">
        <f t="shared" si="350"/>
        <v>0</v>
      </c>
    </row>
    <row r="19995" spans="20:20" ht="18.75" customHeight="1" x14ac:dyDescent="0.35">
      <c r="T19995" s="246">
        <f t="shared" si="350"/>
        <v>0</v>
      </c>
    </row>
    <row r="19996" spans="20:20" ht="18.75" customHeight="1" x14ac:dyDescent="0.35">
      <c r="T19996" s="246">
        <f t="shared" si="350"/>
        <v>0</v>
      </c>
    </row>
    <row r="19997" spans="20:20" ht="18.75" customHeight="1" x14ac:dyDescent="0.35">
      <c r="T19997" s="246">
        <f t="shared" si="350"/>
        <v>0</v>
      </c>
    </row>
    <row r="19998" spans="20:20" ht="18.75" customHeight="1" x14ac:dyDescent="0.35">
      <c r="T19998" s="246">
        <f t="shared" si="350"/>
        <v>0</v>
      </c>
    </row>
    <row r="19999" spans="20:20" ht="18.75" customHeight="1" x14ac:dyDescent="0.35">
      <c r="T19999" s="246">
        <f t="shared" si="350"/>
        <v>0</v>
      </c>
    </row>
    <row r="20000" spans="20:20" ht="18.75" customHeight="1" x14ac:dyDescent="0.35">
      <c r="T20000" s="246">
        <f t="shared" si="350"/>
        <v>0</v>
      </c>
    </row>
    <row r="20001" spans="20:20" ht="18.75" customHeight="1" x14ac:dyDescent="0.35">
      <c r="T20001" s="246">
        <f t="shared" si="350"/>
        <v>0</v>
      </c>
    </row>
    <row r="20002" spans="20:20" ht="18.75" customHeight="1" x14ac:dyDescent="0.35">
      <c r="T20002" s="246">
        <f t="shared" si="350"/>
        <v>0</v>
      </c>
    </row>
    <row r="20003" spans="20:20" ht="18.75" customHeight="1" x14ac:dyDescent="0.35">
      <c r="T20003" s="246">
        <f t="shared" si="350"/>
        <v>0</v>
      </c>
    </row>
    <row r="20004" spans="20:20" ht="18.75" customHeight="1" x14ac:dyDescent="0.35">
      <c r="T20004" s="246">
        <f t="shared" si="350"/>
        <v>0</v>
      </c>
    </row>
    <row r="20005" spans="20:20" ht="18.75" customHeight="1" x14ac:dyDescent="0.35">
      <c r="T20005" s="246">
        <f t="shared" si="350"/>
        <v>0</v>
      </c>
    </row>
    <row r="20006" spans="20:20" ht="18.75" customHeight="1" x14ac:dyDescent="0.35">
      <c r="T20006" s="246">
        <f t="shared" si="350"/>
        <v>0</v>
      </c>
    </row>
    <row r="20007" spans="20:20" ht="18.75" customHeight="1" x14ac:dyDescent="0.35">
      <c r="T20007" s="246">
        <f t="shared" si="350"/>
        <v>0</v>
      </c>
    </row>
    <row r="20008" spans="20:20" ht="18.75" customHeight="1" x14ac:dyDescent="0.35">
      <c r="T20008" s="246">
        <f t="shared" si="350"/>
        <v>0</v>
      </c>
    </row>
    <row r="20009" spans="20:20" ht="18.75" customHeight="1" x14ac:dyDescent="0.35">
      <c r="T20009" s="246">
        <f t="shared" si="350"/>
        <v>0</v>
      </c>
    </row>
    <row r="20010" spans="20:20" ht="18.75" customHeight="1" x14ac:dyDescent="0.35">
      <c r="T20010" s="246">
        <f t="shared" si="350"/>
        <v>0</v>
      </c>
    </row>
    <row r="20011" spans="20:20" ht="18.75" customHeight="1" x14ac:dyDescent="0.35">
      <c r="T20011" s="246">
        <f t="shared" si="350"/>
        <v>0</v>
      </c>
    </row>
    <row r="20012" spans="20:20" ht="18.75" customHeight="1" x14ac:dyDescent="0.35">
      <c r="T20012" s="246">
        <f t="shared" si="350"/>
        <v>0</v>
      </c>
    </row>
    <row r="20013" spans="20:20" ht="18.75" customHeight="1" x14ac:dyDescent="0.35">
      <c r="T20013" s="246">
        <f t="shared" si="350"/>
        <v>0</v>
      </c>
    </row>
    <row r="20014" spans="20:20" ht="18.75" customHeight="1" x14ac:dyDescent="0.35">
      <c r="T20014" s="246">
        <f t="shared" si="350"/>
        <v>0</v>
      </c>
    </row>
    <row r="20015" spans="20:20" ht="18.75" customHeight="1" x14ac:dyDescent="0.35">
      <c r="T20015" s="246">
        <f t="shared" si="350"/>
        <v>0</v>
      </c>
    </row>
    <row r="20016" spans="20:20" ht="18.75" customHeight="1" x14ac:dyDescent="0.35">
      <c r="T20016" s="246">
        <f t="shared" si="350"/>
        <v>0</v>
      </c>
    </row>
    <row r="20017" spans="20:20" ht="18.75" customHeight="1" x14ac:dyDescent="0.35">
      <c r="T20017" s="246">
        <f t="shared" si="350"/>
        <v>0</v>
      </c>
    </row>
    <row r="20018" spans="20:20" ht="18.75" customHeight="1" x14ac:dyDescent="0.35">
      <c r="T20018" s="246">
        <f t="shared" si="350"/>
        <v>0</v>
      </c>
    </row>
    <row r="20019" spans="20:20" ht="18.75" customHeight="1" x14ac:dyDescent="0.35">
      <c r="T20019" s="246">
        <f t="shared" si="350"/>
        <v>0</v>
      </c>
    </row>
    <row r="20020" spans="20:20" ht="18.75" customHeight="1" x14ac:dyDescent="0.35">
      <c r="T20020" s="246">
        <f t="shared" si="350"/>
        <v>0</v>
      </c>
    </row>
    <row r="20021" spans="20:20" ht="18.75" customHeight="1" x14ac:dyDescent="0.35">
      <c r="T20021" s="246">
        <f t="shared" si="350"/>
        <v>0</v>
      </c>
    </row>
    <row r="20022" spans="20:20" ht="18.75" customHeight="1" x14ac:dyDescent="0.35">
      <c r="T20022" s="246">
        <f t="shared" si="350"/>
        <v>0</v>
      </c>
    </row>
    <row r="20023" spans="20:20" ht="18.75" customHeight="1" x14ac:dyDescent="0.35">
      <c r="T20023" s="246">
        <f t="shared" si="350"/>
        <v>0</v>
      </c>
    </row>
    <row r="20024" spans="20:20" ht="18.75" customHeight="1" x14ac:dyDescent="0.35">
      <c r="T20024" s="246">
        <f t="shared" si="350"/>
        <v>0</v>
      </c>
    </row>
    <row r="20025" spans="20:20" ht="18.75" customHeight="1" x14ac:dyDescent="0.35">
      <c r="T20025" s="246">
        <f t="shared" si="350"/>
        <v>0</v>
      </c>
    </row>
    <row r="20026" spans="20:20" ht="18.75" customHeight="1" x14ac:dyDescent="0.35">
      <c r="T20026" s="246">
        <f t="shared" si="350"/>
        <v>0</v>
      </c>
    </row>
    <row r="20027" spans="20:20" ht="18.75" customHeight="1" x14ac:dyDescent="0.35">
      <c r="T20027" s="246">
        <f t="shared" si="350"/>
        <v>0</v>
      </c>
    </row>
    <row r="20028" spans="20:20" ht="18.75" customHeight="1" x14ac:dyDescent="0.35">
      <c r="T20028" s="246">
        <f t="shared" ref="T20028:T20091" si="351">R20028*0.01</f>
        <v>0</v>
      </c>
    </row>
    <row r="20029" spans="20:20" ht="18.75" customHeight="1" x14ac:dyDescent="0.35">
      <c r="T20029" s="246">
        <f t="shared" si="351"/>
        <v>0</v>
      </c>
    </row>
    <row r="20030" spans="20:20" ht="18.75" customHeight="1" x14ac:dyDescent="0.35">
      <c r="T20030" s="246">
        <f t="shared" si="351"/>
        <v>0</v>
      </c>
    </row>
    <row r="20031" spans="20:20" ht="18.75" customHeight="1" x14ac:dyDescent="0.35">
      <c r="T20031" s="246">
        <f t="shared" si="351"/>
        <v>0</v>
      </c>
    </row>
    <row r="20032" spans="20:20" ht="18.75" customHeight="1" x14ac:dyDescent="0.35">
      <c r="T20032" s="246">
        <f t="shared" si="351"/>
        <v>0</v>
      </c>
    </row>
    <row r="20033" spans="20:20" ht="18.75" customHeight="1" x14ac:dyDescent="0.35">
      <c r="T20033" s="246">
        <f t="shared" si="351"/>
        <v>0</v>
      </c>
    </row>
    <row r="20034" spans="20:20" ht="18.75" customHeight="1" x14ac:dyDescent="0.35">
      <c r="T20034" s="246">
        <f t="shared" si="351"/>
        <v>0</v>
      </c>
    </row>
    <row r="20035" spans="20:20" ht="18.75" customHeight="1" x14ac:dyDescent="0.35">
      <c r="T20035" s="246">
        <f t="shared" si="351"/>
        <v>0</v>
      </c>
    </row>
    <row r="20036" spans="20:20" ht="18.75" customHeight="1" x14ac:dyDescent="0.35">
      <c r="T20036" s="246">
        <f t="shared" si="351"/>
        <v>0</v>
      </c>
    </row>
    <row r="20037" spans="20:20" ht="18.75" customHeight="1" x14ac:dyDescent="0.35">
      <c r="T20037" s="246">
        <f t="shared" si="351"/>
        <v>0</v>
      </c>
    </row>
    <row r="20038" spans="20:20" ht="18.75" customHeight="1" x14ac:dyDescent="0.35">
      <c r="T20038" s="246">
        <f t="shared" si="351"/>
        <v>0</v>
      </c>
    </row>
    <row r="20039" spans="20:20" ht="18.75" customHeight="1" x14ac:dyDescent="0.35">
      <c r="T20039" s="246">
        <f t="shared" si="351"/>
        <v>0</v>
      </c>
    </row>
    <row r="20040" spans="20:20" ht="18.75" customHeight="1" x14ac:dyDescent="0.35">
      <c r="T20040" s="246">
        <f t="shared" si="351"/>
        <v>0</v>
      </c>
    </row>
    <row r="20041" spans="20:20" ht="18.75" customHeight="1" x14ac:dyDescent="0.35">
      <c r="T20041" s="246">
        <f t="shared" si="351"/>
        <v>0</v>
      </c>
    </row>
    <row r="20042" spans="20:20" ht="18.75" customHeight="1" x14ac:dyDescent="0.35">
      <c r="T20042" s="246">
        <f t="shared" si="351"/>
        <v>0</v>
      </c>
    </row>
    <row r="20043" spans="20:20" ht="18.75" customHeight="1" x14ac:dyDescent="0.35">
      <c r="T20043" s="246">
        <f t="shared" si="351"/>
        <v>0</v>
      </c>
    </row>
    <row r="20044" spans="20:20" ht="18.75" customHeight="1" x14ac:dyDescent="0.35">
      <c r="T20044" s="246">
        <f t="shared" si="351"/>
        <v>0</v>
      </c>
    </row>
    <row r="20045" spans="20:20" ht="18.75" customHeight="1" x14ac:dyDescent="0.35">
      <c r="T20045" s="246">
        <f t="shared" si="351"/>
        <v>0</v>
      </c>
    </row>
    <row r="20046" spans="20:20" ht="18.75" customHeight="1" x14ac:dyDescent="0.35">
      <c r="T20046" s="246">
        <f t="shared" si="351"/>
        <v>0</v>
      </c>
    </row>
    <row r="20047" spans="20:20" ht="18.75" customHeight="1" x14ac:dyDescent="0.35">
      <c r="T20047" s="246">
        <f t="shared" si="351"/>
        <v>0</v>
      </c>
    </row>
    <row r="20048" spans="20:20" ht="18.75" customHeight="1" x14ac:dyDescent="0.35">
      <c r="T20048" s="246">
        <f t="shared" si="351"/>
        <v>0</v>
      </c>
    </row>
    <row r="20049" spans="20:20" ht="18.75" customHeight="1" x14ac:dyDescent="0.35">
      <c r="T20049" s="246">
        <f t="shared" si="351"/>
        <v>0</v>
      </c>
    </row>
    <row r="20050" spans="20:20" ht="18.75" customHeight="1" x14ac:dyDescent="0.35">
      <c r="T20050" s="246">
        <f t="shared" si="351"/>
        <v>0</v>
      </c>
    </row>
    <row r="20051" spans="20:20" ht="18.75" customHeight="1" x14ac:dyDescent="0.35">
      <c r="T20051" s="246">
        <f t="shared" si="351"/>
        <v>0</v>
      </c>
    </row>
    <row r="20052" spans="20:20" ht="18.75" customHeight="1" x14ac:dyDescent="0.35">
      <c r="T20052" s="246">
        <f t="shared" si="351"/>
        <v>0</v>
      </c>
    </row>
    <row r="20053" spans="20:20" ht="18.75" customHeight="1" x14ac:dyDescent="0.35">
      <c r="T20053" s="246">
        <f t="shared" si="351"/>
        <v>0</v>
      </c>
    </row>
    <row r="20054" spans="20:20" ht="18.75" customHeight="1" x14ac:dyDescent="0.35">
      <c r="T20054" s="246">
        <f t="shared" si="351"/>
        <v>0</v>
      </c>
    </row>
    <row r="20055" spans="20:20" ht="18.75" customHeight="1" x14ac:dyDescent="0.35">
      <c r="T20055" s="246">
        <f t="shared" si="351"/>
        <v>0</v>
      </c>
    </row>
    <row r="20056" spans="20:20" ht="18.75" customHeight="1" x14ac:dyDescent="0.35">
      <c r="T20056" s="246">
        <f t="shared" si="351"/>
        <v>0</v>
      </c>
    </row>
    <row r="20057" spans="20:20" ht="18.75" customHeight="1" x14ac:dyDescent="0.35">
      <c r="T20057" s="246">
        <f t="shared" si="351"/>
        <v>0</v>
      </c>
    </row>
    <row r="20058" spans="20:20" ht="18.75" customHeight="1" x14ac:dyDescent="0.35">
      <c r="T20058" s="246">
        <f t="shared" si="351"/>
        <v>0</v>
      </c>
    </row>
    <row r="20059" spans="20:20" ht="18.75" customHeight="1" x14ac:dyDescent="0.35">
      <c r="T20059" s="246">
        <f t="shared" si="351"/>
        <v>0</v>
      </c>
    </row>
    <row r="20060" spans="20:20" ht="18.75" customHeight="1" x14ac:dyDescent="0.35">
      <c r="T20060" s="246">
        <f t="shared" si="351"/>
        <v>0</v>
      </c>
    </row>
    <row r="20061" spans="20:20" ht="18.75" customHeight="1" x14ac:dyDescent="0.35">
      <c r="T20061" s="246">
        <f t="shared" si="351"/>
        <v>0</v>
      </c>
    </row>
    <row r="20062" spans="20:20" ht="18.75" customHeight="1" x14ac:dyDescent="0.35">
      <c r="T20062" s="246">
        <f t="shared" si="351"/>
        <v>0</v>
      </c>
    </row>
    <row r="20063" spans="20:20" ht="18.75" customHeight="1" x14ac:dyDescent="0.35">
      <c r="T20063" s="246">
        <f t="shared" si="351"/>
        <v>0</v>
      </c>
    </row>
    <row r="20064" spans="20:20" ht="18.75" customHeight="1" x14ac:dyDescent="0.35">
      <c r="T20064" s="246">
        <f t="shared" si="351"/>
        <v>0</v>
      </c>
    </row>
    <row r="20065" spans="20:20" ht="18.75" customHeight="1" x14ac:dyDescent="0.35">
      <c r="T20065" s="246">
        <f t="shared" si="351"/>
        <v>0</v>
      </c>
    </row>
    <row r="20066" spans="20:20" ht="18.75" customHeight="1" x14ac:dyDescent="0.35">
      <c r="T20066" s="246">
        <f t="shared" si="351"/>
        <v>0</v>
      </c>
    </row>
    <row r="20067" spans="20:20" ht="18.75" customHeight="1" x14ac:dyDescent="0.35">
      <c r="T20067" s="246">
        <f t="shared" si="351"/>
        <v>0</v>
      </c>
    </row>
    <row r="20068" spans="20:20" ht="18.75" customHeight="1" x14ac:dyDescent="0.35">
      <c r="T20068" s="246">
        <f t="shared" si="351"/>
        <v>0</v>
      </c>
    </row>
    <row r="20069" spans="20:20" ht="18.75" customHeight="1" x14ac:dyDescent="0.35">
      <c r="T20069" s="246">
        <f t="shared" si="351"/>
        <v>0</v>
      </c>
    </row>
    <row r="20070" spans="20:20" ht="18.75" customHeight="1" x14ac:dyDescent="0.35">
      <c r="T20070" s="246">
        <f t="shared" si="351"/>
        <v>0</v>
      </c>
    </row>
    <row r="20071" spans="20:20" ht="18.75" customHeight="1" x14ac:dyDescent="0.35">
      <c r="T20071" s="246">
        <f t="shared" si="351"/>
        <v>0</v>
      </c>
    </row>
    <row r="20072" spans="20:20" ht="18.75" customHeight="1" x14ac:dyDescent="0.35">
      <c r="T20072" s="246">
        <f t="shared" si="351"/>
        <v>0</v>
      </c>
    </row>
    <row r="20073" spans="20:20" ht="18.75" customHeight="1" x14ac:dyDescent="0.35">
      <c r="T20073" s="246">
        <f t="shared" si="351"/>
        <v>0</v>
      </c>
    </row>
    <row r="20074" spans="20:20" ht="18.75" customHeight="1" x14ac:dyDescent="0.35">
      <c r="T20074" s="246">
        <f t="shared" si="351"/>
        <v>0</v>
      </c>
    </row>
    <row r="20075" spans="20:20" ht="18.75" customHeight="1" x14ac:dyDescent="0.35">
      <c r="T20075" s="246">
        <f t="shared" si="351"/>
        <v>0</v>
      </c>
    </row>
    <row r="20076" spans="20:20" ht="18.75" customHeight="1" x14ac:dyDescent="0.35">
      <c r="T20076" s="246">
        <f t="shared" si="351"/>
        <v>0</v>
      </c>
    </row>
    <row r="20077" spans="20:20" ht="18.75" customHeight="1" x14ac:dyDescent="0.35">
      <c r="T20077" s="246">
        <f t="shared" si="351"/>
        <v>0</v>
      </c>
    </row>
    <row r="20078" spans="20:20" ht="18.75" customHeight="1" x14ac:dyDescent="0.35">
      <c r="T20078" s="246">
        <f t="shared" si="351"/>
        <v>0</v>
      </c>
    </row>
    <row r="20079" spans="20:20" ht="18.75" customHeight="1" x14ac:dyDescent="0.35">
      <c r="T20079" s="246">
        <f t="shared" si="351"/>
        <v>0</v>
      </c>
    </row>
    <row r="20080" spans="20:20" ht="18.75" customHeight="1" x14ac:dyDescent="0.35">
      <c r="T20080" s="246">
        <f t="shared" si="351"/>
        <v>0</v>
      </c>
    </row>
    <row r="20081" spans="20:20" ht="18.75" customHeight="1" x14ac:dyDescent="0.35">
      <c r="T20081" s="246">
        <f t="shared" si="351"/>
        <v>0</v>
      </c>
    </row>
    <row r="20082" spans="20:20" ht="18.75" customHeight="1" x14ac:dyDescent="0.35">
      <c r="T20082" s="246">
        <f t="shared" si="351"/>
        <v>0</v>
      </c>
    </row>
    <row r="20083" spans="20:20" ht="18.75" customHeight="1" x14ac:dyDescent="0.35">
      <c r="T20083" s="246">
        <f t="shared" si="351"/>
        <v>0</v>
      </c>
    </row>
    <row r="20084" spans="20:20" ht="18.75" customHeight="1" x14ac:dyDescent="0.35">
      <c r="T20084" s="246">
        <f t="shared" si="351"/>
        <v>0</v>
      </c>
    </row>
    <row r="20085" spans="20:20" ht="18.75" customHeight="1" x14ac:dyDescent="0.35">
      <c r="T20085" s="246">
        <f t="shared" si="351"/>
        <v>0</v>
      </c>
    </row>
    <row r="20086" spans="20:20" ht="18.75" customHeight="1" x14ac:dyDescent="0.35">
      <c r="T20086" s="246">
        <f t="shared" si="351"/>
        <v>0</v>
      </c>
    </row>
    <row r="20087" spans="20:20" ht="18.75" customHeight="1" x14ac:dyDescent="0.35">
      <c r="T20087" s="246">
        <f t="shared" si="351"/>
        <v>0</v>
      </c>
    </row>
    <row r="20088" spans="20:20" ht="18.75" customHeight="1" x14ac:dyDescent="0.35">
      <c r="T20088" s="246">
        <f t="shared" si="351"/>
        <v>0</v>
      </c>
    </row>
    <row r="20089" spans="20:20" ht="18.75" customHeight="1" x14ac:dyDescent="0.35">
      <c r="T20089" s="246">
        <f t="shared" si="351"/>
        <v>0</v>
      </c>
    </row>
    <row r="20090" spans="20:20" ht="18.75" customHeight="1" x14ac:dyDescent="0.35">
      <c r="T20090" s="246">
        <f t="shared" si="351"/>
        <v>0</v>
      </c>
    </row>
    <row r="20091" spans="20:20" ht="18.75" customHeight="1" x14ac:dyDescent="0.35">
      <c r="T20091" s="246">
        <f t="shared" si="351"/>
        <v>0</v>
      </c>
    </row>
    <row r="20092" spans="20:20" ht="18.75" customHeight="1" x14ac:dyDescent="0.35">
      <c r="T20092" s="246">
        <f t="shared" ref="T20092:T20155" si="352">R20092*0.01</f>
        <v>0</v>
      </c>
    </row>
    <row r="20093" spans="20:20" ht="18.75" customHeight="1" x14ac:dyDescent="0.35">
      <c r="T20093" s="246">
        <f t="shared" si="352"/>
        <v>0</v>
      </c>
    </row>
    <row r="20094" spans="20:20" ht="18.75" customHeight="1" x14ac:dyDescent="0.35">
      <c r="T20094" s="246">
        <f t="shared" si="352"/>
        <v>0</v>
      </c>
    </row>
    <row r="20095" spans="20:20" ht="18.75" customHeight="1" x14ac:dyDescent="0.35">
      <c r="T20095" s="246">
        <f t="shared" si="352"/>
        <v>0</v>
      </c>
    </row>
    <row r="20096" spans="20:20" ht="18.75" customHeight="1" x14ac:dyDescent="0.35">
      <c r="T20096" s="246">
        <f t="shared" si="352"/>
        <v>0</v>
      </c>
    </row>
    <row r="20097" spans="20:20" ht="18.75" customHeight="1" x14ac:dyDescent="0.35">
      <c r="T20097" s="246">
        <f t="shared" si="352"/>
        <v>0</v>
      </c>
    </row>
    <row r="20098" spans="20:20" ht="18.75" customHeight="1" x14ac:dyDescent="0.35">
      <c r="T20098" s="246">
        <f t="shared" si="352"/>
        <v>0</v>
      </c>
    </row>
    <row r="20099" spans="20:20" ht="18.75" customHeight="1" x14ac:dyDescent="0.35">
      <c r="T20099" s="246">
        <f t="shared" si="352"/>
        <v>0</v>
      </c>
    </row>
    <row r="20100" spans="20:20" ht="18.75" customHeight="1" x14ac:dyDescent="0.35">
      <c r="T20100" s="246">
        <f t="shared" si="352"/>
        <v>0</v>
      </c>
    </row>
    <row r="20101" spans="20:20" ht="18.75" customHeight="1" x14ac:dyDescent="0.35">
      <c r="T20101" s="246">
        <f t="shared" si="352"/>
        <v>0</v>
      </c>
    </row>
    <row r="20102" spans="20:20" ht="18.75" customHeight="1" x14ac:dyDescent="0.35">
      <c r="T20102" s="246">
        <f t="shared" si="352"/>
        <v>0</v>
      </c>
    </row>
    <row r="20103" spans="20:20" ht="18.75" customHeight="1" x14ac:dyDescent="0.35">
      <c r="T20103" s="246">
        <f t="shared" si="352"/>
        <v>0</v>
      </c>
    </row>
    <row r="20104" spans="20:20" ht="18.75" customHeight="1" x14ac:dyDescent="0.35">
      <c r="T20104" s="246">
        <f t="shared" si="352"/>
        <v>0</v>
      </c>
    </row>
    <row r="20105" spans="20:20" ht="18.75" customHeight="1" x14ac:dyDescent="0.35">
      <c r="T20105" s="246">
        <f t="shared" si="352"/>
        <v>0</v>
      </c>
    </row>
    <row r="20106" spans="20:20" ht="18.75" customHeight="1" x14ac:dyDescent="0.35">
      <c r="T20106" s="246">
        <f t="shared" si="352"/>
        <v>0</v>
      </c>
    </row>
    <row r="20107" spans="20:20" ht="18.75" customHeight="1" x14ac:dyDescent="0.35">
      <c r="T20107" s="246">
        <f t="shared" si="352"/>
        <v>0</v>
      </c>
    </row>
    <row r="20108" spans="20:20" ht="18.75" customHeight="1" x14ac:dyDescent="0.35">
      <c r="T20108" s="246">
        <f t="shared" si="352"/>
        <v>0</v>
      </c>
    </row>
    <row r="20109" spans="20:20" ht="18.75" customHeight="1" x14ac:dyDescent="0.35">
      <c r="T20109" s="246">
        <f t="shared" si="352"/>
        <v>0</v>
      </c>
    </row>
    <row r="20110" spans="20:20" ht="18.75" customHeight="1" x14ac:dyDescent="0.35">
      <c r="T20110" s="246">
        <f t="shared" si="352"/>
        <v>0</v>
      </c>
    </row>
    <row r="20111" spans="20:20" ht="18.75" customHeight="1" x14ac:dyDescent="0.35">
      <c r="T20111" s="246">
        <f t="shared" si="352"/>
        <v>0</v>
      </c>
    </row>
    <row r="20112" spans="20:20" ht="18.75" customHeight="1" x14ac:dyDescent="0.35">
      <c r="T20112" s="246">
        <f t="shared" si="352"/>
        <v>0</v>
      </c>
    </row>
    <row r="20113" spans="20:20" ht="18.75" customHeight="1" x14ac:dyDescent="0.35">
      <c r="T20113" s="246">
        <f t="shared" si="352"/>
        <v>0</v>
      </c>
    </row>
    <row r="20114" spans="20:20" ht="18.75" customHeight="1" x14ac:dyDescent="0.35">
      <c r="T20114" s="246">
        <f t="shared" si="352"/>
        <v>0</v>
      </c>
    </row>
    <row r="20115" spans="20:20" ht="18.75" customHeight="1" x14ac:dyDescent="0.35">
      <c r="T20115" s="246">
        <f t="shared" si="352"/>
        <v>0</v>
      </c>
    </row>
    <row r="20116" spans="20:20" ht="18.75" customHeight="1" x14ac:dyDescent="0.35">
      <c r="T20116" s="246">
        <f t="shared" si="352"/>
        <v>0</v>
      </c>
    </row>
    <row r="20117" spans="20:20" ht="18.75" customHeight="1" x14ac:dyDescent="0.35">
      <c r="T20117" s="246">
        <f t="shared" si="352"/>
        <v>0</v>
      </c>
    </row>
    <row r="20118" spans="20:20" ht="18.75" customHeight="1" x14ac:dyDescent="0.35">
      <c r="T20118" s="246">
        <f t="shared" si="352"/>
        <v>0</v>
      </c>
    </row>
    <row r="20119" spans="20:20" ht="18.75" customHeight="1" x14ac:dyDescent="0.35">
      <c r="T20119" s="246">
        <f t="shared" si="352"/>
        <v>0</v>
      </c>
    </row>
    <row r="20120" spans="20:20" ht="18.75" customHeight="1" x14ac:dyDescent="0.35">
      <c r="T20120" s="246">
        <f t="shared" si="352"/>
        <v>0</v>
      </c>
    </row>
    <row r="20121" spans="20:20" ht="18.75" customHeight="1" x14ac:dyDescent="0.35">
      <c r="T20121" s="246">
        <f t="shared" si="352"/>
        <v>0</v>
      </c>
    </row>
    <row r="20122" spans="20:20" ht="18.75" customHeight="1" x14ac:dyDescent="0.35">
      <c r="T20122" s="246">
        <f t="shared" si="352"/>
        <v>0</v>
      </c>
    </row>
    <row r="20123" spans="20:20" ht="18.75" customHeight="1" x14ac:dyDescent="0.35">
      <c r="T20123" s="246">
        <f t="shared" si="352"/>
        <v>0</v>
      </c>
    </row>
    <row r="20124" spans="20:20" ht="18.75" customHeight="1" x14ac:dyDescent="0.35">
      <c r="T20124" s="246">
        <f t="shared" si="352"/>
        <v>0</v>
      </c>
    </row>
    <row r="20125" spans="20:20" ht="18.75" customHeight="1" x14ac:dyDescent="0.35">
      <c r="T20125" s="246">
        <f t="shared" si="352"/>
        <v>0</v>
      </c>
    </row>
    <row r="20126" spans="20:20" ht="18.75" customHeight="1" x14ac:dyDescent="0.35">
      <c r="T20126" s="246">
        <f t="shared" si="352"/>
        <v>0</v>
      </c>
    </row>
    <row r="20127" spans="20:20" ht="18.75" customHeight="1" x14ac:dyDescent="0.35">
      <c r="T20127" s="246">
        <f t="shared" si="352"/>
        <v>0</v>
      </c>
    </row>
    <row r="20128" spans="20:20" ht="18.75" customHeight="1" x14ac:dyDescent="0.35">
      <c r="T20128" s="246">
        <f t="shared" si="352"/>
        <v>0</v>
      </c>
    </row>
    <row r="20129" spans="20:20" ht="18.75" customHeight="1" x14ac:dyDescent="0.35">
      <c r="T20129" s="246">
        <f t="shared" si="352"/>
        <v>0</v>
      </c>
    </row>
    <row r="20130" spans="20:20" ht="18.75" customHeight="1" x14ac:dyDescent="0.35">
      <c r="T20130" s="246">
        <f t="shared" si="352"/>
        <v>0</v>
      </c>
    </row>
    <row r="20131" spans="20:20" ht="18.75" customHeight="1" x14ac:dyDescent="0.35">
      <c r="T20131" s="246">
        <f t="shared" si="352"/>
        <v>0</v>
      </c>
    </row>
    <row r="20132" spans="20:20" ht="18.75" customHeight="1" x14ac:dyDescent="0.35">
      <c r="T20132" s="246">
        <f t="shared" si="352"/>
        <v>0</v>
      </c>
    </row>
    <row r="20133" spans="20:20" ht="18.75" customHeight="1" x14ac:dyDescent="0.35">
      <c r="T20133" s="246">
        <f t="shared" si="352"/>
        <v>0</v>
      </c>
    </row>
    <row r="20134" spans="20:20" ht="18.75" customHeight="1" x14ac:dyDescent="0.35">
      <c r="T20134" s="246">
        <f t="shared" si="352"/>
        <v>0</v>
      </c>
    </row>
    <row r="20135" spans="20:20" ht="18.75" customHeight="1" x14ac:dyDescent="0.35">
      <c r="T20135" s="246">
        <f t="shared" si="352"/>
        <v>0</v>
      </c>
    </row>
    <row r="20136" spans="20:20" ht="18.75" customHeight="1" x14ac:dyDescent="0.35">
      <c r="T20136" s="246">
        <f t="shared" si="352"/>
        <v>0</v>
      </c>
    </row>
    <row r="20137" spans="20:20" ht="18.75" customHeight="1" x14ac:dyDescent="0.35">
      <c r="T20137" s="246">
        <f t="shared" si="352"/>
        <v>0</v>
      </c>
    </row>
    <row r="20138" spans="20:20" ht="18.75" customHeight="1" x14ac:dyDescent="0.35">
      <c r="T20138" s="246">
        <f t="shared" si="352"/>
        <v>0</v>
      </c>
    </row>
    <row r="20139" spans="20:20" ht="18.75" customHeight="1" x14ac:dyDescent="0.35">
      <c r="T20139" s="246">
        <f t="shared" si="352"/>
        <v>0</v>
      </c>
    </row>
    <row r="20140" spans="20:20" ht="18.75" customHeight="1" x14ac:dyDescent="0.35">
      <c r="T20140" s="246">
        <f t="shared" si="352"/>
        <v>0</v>
      </c>
    </row>
    <row r="20141" spans="20:20" ht="18.75" customHeight="1" x14ac:dyDescent="0.35">
      <c r="T20141" s="246">
        <f t="shared" si="352"/>
        <v>0</v>
      </c>
    </row>
    <row r="20142" spans="20:20" ht="18.75" customHeight="1" x14ac:dyDescent="0.35">
      <c r="T20142" s="246">
        <f t="shared" si="352"/>
        <v>0</v>
      </c>
    </row>
    <row r="20143" spans="20:20" ht="18.75" customHeight="1" x14ac:dyDescent="0.35">
      <c r="T20143" s="246">
        <f t="shared" si="352"/>
        <v>0</v>
      </c>
    </row>
    <row r="20144" spans="20:20" ht="18.75" customHeight="1" x14ac:dyDescent="0.35">
      <c r="T20144" s="246">
        <f t="shared" si="352"/>
        <v>0</v>
      </c>
    </row>
    <row r="20145" spans="20:20" ht="18.75" customHeight="1" x14ac:dyDescent="0.35">
      <c r="T20145" s="246">
        <f t="shared" si="352"/>
        <v>0</v>
      </c>
    </row>
    <row r="20146" spans="20:20" ht="18.75" customHeight="1" x14ac:dyDescent="0.35">
      <c r="T20146" s="246">
        <f t="shared" si="352"/>
        <v>0</v>
      </c>
    </row>
    <row r="20147" spans="20:20" ht="18.75" customHeight="1" x14ac:dyDescent="0.35">
      <c r="T20147" s="246">
        <f t="shared" si="352"/>
        <v>0</v>
      </c>
    </row>
    <row r="20148" spans="20:20" ht="18.75" customHeight="1" x14ac:dyDescent="0.35">
      <c r="T20148" s="246">
        <f t="shared" si="352"/>
        <v>0</v>
      </c>
    </row>
    <row r="20149" spans="20:20" ht="18.75" customHeight="1" x14ac:dyDescent="0.35">
      <c r="T20149" s="246">
        <f t="shared" si="352"/>
        <v>0</v>
      </c>
    </row>
    <row r="20150" spans="20:20" ht="18.75" customHeight="1" x14ac:dyDescent="0.35">
      <c r="T20150" s="246">
        <f t="shared" si="352"/>
        <v>0</v>
      </c>
    </row>
    <row r="20151" spans="20:20" ht="18.75" customHeight="1" x14ac:dyDescent="0.35">
      <c r="T20151" s="246">
        <f t="shared" si="352"/>
        <v>0</v>
      </c>
    </row>
    <row r="20152" spans="20:20" ht="18.75" customHeight="1" x14ac:dyDescent="0.35">
      <c r="T20152" s="246">
        <f t="shared" si="352"/>
        <v>0</v>
      </c>
    </row>
    <row r="20153" spans="20:20" ht="18.75" customHeight="1" x14ac:dyDescent="0.35">
      <c r="T20153" s="246">
        <f t="shared" si="352"/>
        <v>0</v>
      </c>
    </row>
    <row r="20154" spans="20:20" ht="18.75" customHeight="1" x14ac:dyDescent="0.35">
      <c r="T20154" s="246">
        <f t="shared" si="352"/>
        <v>0</v>
      </c>
    </row>
    <row r="20155" spans="20:20" ht="18.75" customHeight="1" x14ac:dyDescent="0.35">
      <c r="T20155" s="246">
        <f t="shared" si="352"/>
        <v>0</v>
      </c>
    </row>
    <row r="20156" spans="20:20" ht="18.75" customHeight="1" x14ac:dyDescent="0.35">
      <c r="T20156" s="246">
        <f t="shared" ref="T20156:T20219" si="353">R20156*0.01</f>
        <v>0</v>
      </c>
    </row>
    <row r="20157" spans="20:20" ht="18.75" customHeight="1" x14ac:dyDescent="0.35">
      <c r="T20157" s="246">
        <f t="shared" si="353"/>
        <v>0</v>
      </c>
    </row>
    <row r="20158" spans="20:20" ht="18.75" customHeight="1" x14ac:dyDescent="0.35">
      <c r="T20158" s="246">
        <f t="shared" si="353"/>
        <v>0</v>
      </c>
    </row>
    <row r="20159" spans="20:20" ht="18.75" customHeight="1" x14ac:dyDescent="0.35">
      <c r="T20159" s="246">
        <f t="shared" si="353"/>
        <v>0</v>
      </c>
    </row>
    <row r="20160" spans="20:20" ht="18.75" customHeight="1" x14ac:dyDescent="0.35">
      <c r="T20160" s="246">
        <f t="shared" si="353"/>
        <v>0</v>
      </c>
    </row>
    <row r="20161" spans="20:20" ht="18.75" customHeight="1" x14ac:dyDescent="0.35">
      <c r="T20161" s="246">
        <f t="shared" si="353"/>
        <v>0</v>
      </c>
    </row>
    <row r="20162" spans="20:20" ht="18.75" customHeight="1" x14ac:dyDescent="0.35">
      <c r="T20162" s="246">
        <f t="shared" si="353"/>
        <v>0</v>
      </c>
    </row>
    <row r="20163" spans="20:20" ht="18.75" customHeight="1" x14ac:dyDescent="0.35">
      <c r="T20163" s="246">
        <f t="shared" si="353"/>
        <v>0</v>
      </c>
    </row>
    <row r="20164" spans="20:20" ht="18.75" customHeight="1" x14ac:dyDescent="0.35">
      <c r="T20164" s="246">
        <f t="shared" si="353"/>
        <v>0</v>
      </c>
    </row>
    <row r="20165" spans="20:20" ht="18.75" customHeight="1" x14ac:dyDescent="0.35">
      <c r="T20165" s="246">
        <f t="shared" si="353"/>
        <v>0</v>
      </c>
    </row>
    <row r="20166" spans="20:20" ht="18.75" customHeight="1" x14ac:dyDescent="0.35">
      <c r="T20166" s="246">
        <f t="shared" si="353"/>
        <v>0</v>
      </c>
    </row>
    <row r="20167" spans="20:20" ht="18.75" customHeight="1" x14ac:dyDescent="0.35">
      <c r="T20167" s="246">
        <f t="shared" si="353"/>
        <v>0</v>
      </c>
    </row>
    <row r="20168" spans="20:20" ht="18.75" customHeight="1" x14ac:dyDescent="0.35">
      <c r="T20168" s="246">
        <f t="shared" si="353"/>
        <v>0</v>
      </c>
    </row>
    <row r="20169" spans="20:20" ht="18.75" customHeight="1" x14ac:dyDescent="0.35">
      <c r="T20169" s="246">
        <f t="shared" si="353"/>
        <v>0</v>
      </c>
    </row>
    <row r="20170" spans="20:20" ht="18.75" customHeight="1" x14ac:dyDescent="0.35">
      <c r="T20170" s="246">
        <f t="shared" si="353"/>
        <v>0</v>
      </c>
    </row>
    <row r="20171" spans="20:20" ht="18.75" customHeight="1" x14ac:dyDescent="0.35">
      <c r="T20171" s="246">
        <f t="shared" si="353"/>
        <v>0</v>
      </c>
    </row>
    <row r="20172" spans="20:20" ht="18.75" customHeight="1" x14ac:dyDescent="0.35">
      <c r="T20172" s="246">
        <f t="shared" si="353"/>
        <v>0</v>
      </c>
    </row>
    <row r="20173" spans="20:20" ht="18.75" customHeight="1" x14ac:dyDescent="0.35">
      <c r="T20173" s="246">
        <f t="shared" si="353"/>
        <v>0</v>
      </c>
    </row>
    <row r="20174" spans="20:20" ht="18.75" customHeight="1" x14ac:dyDescent="0.35">
      <c r="T20174" s="246">
        <f t="shared" si="353"/>
        <v>0</v>
      </c>
    </row>
    <row r="20175" spans="20:20" ht="18.75" customHeight="1" x14ac:dyDescent="0.35">
      <c r="T20175" s="246">
        <f t="shared" si="353"/>
        <v>0</v>
      </c>
    </row>
    <row r="20176" spans="20:20" ht="18.75" customHeight="1" x14ac:dyDescent="0.35">
      <c r="T20176" s="246">
        <f t="shared" si="353"/>
        <v>0</v>
      </c>
    </row>
    <row r="20177" spans="20:20" ht="18.75" customHeight="1" x14ac:dyDescent="0.35">
      <c r="T20177" s="246">
        <f t="shared" si="353"/>
        <v>0</v>
      </c>
    </row>
    <row r="20178" spans="20:20" ht="18.75" customHeight="1" x14ac:dyDescent="0.35">
      <c r="T20178" s="246">
        <f t="shared" si="353"/>
        <v>0</v>
      </c>
    </row>
    <row r="20179" spans="20:20" ht="18.75" customHeight="1" x14ac:dyDescent="0.35">
      <c r="T20179" s="246">
        <f t="shared" si="353"/>
        <v>0</v>
      </c>
    </row>
    <row r="20180" spans="20:20" ht="18.75" customHeight="1" x14ac:dyDescent="0.35">
      <c r="T20180" s="246">
        <f t="shared" si="353"/>
        <v>0</v>
      </c>
    </row>
    <row r="20181" spans="20:20" ht="18.75" customHeight="1" x14ac:dyDescent="0.35">
      <c r="T20181" s="246">
        <f t="shared" si="353"/>
        <v>0</v>
      </c>
    </row>
    <row r="20182" spans="20:20" ht="18.75" customHeight="1" x14ac:dyDescent="0.35">
      <c r="T20182" s="246">
        <f t="shared" si="353"/>
        <v>0</v>
      </c>
    </row>
    <row r="20183" spans="20:20" ht="18.75" customHeight="1" x14ac:dyDescent="0.35">
      <c r="T20183" s="246">
        <f t="shared" si="353"/>
        <v>0</v>
      </c>
    </row>
    <row r="20184" spans="20:20" ht="18.75" customHeight="1" x14ac:dyDescent="0.35">
      <c r="T20184" s="246">
        <f t="shared" si="353"/>
        <v>0</v>
      </c>
    </row>
    <row r="20185" spans="20:20" ht="18.75" customHeight="1" x14ac:dyDescent="0.35">
      <c r="T20185" s="246">
        <f t="shared" si="353"/>
        <v>0</v>
      </c>
    </row>
    <row r="20186" spans="20:20" ht="18.75" customHeight="1" x14ac:dyDescent="0.35">
      <c r="T20186" s="246">
        <f t="shared" si="353"/>
        <v>0</v>
      </c>
    </row>
    <row r="20187" spans="20:20" ht="18.75" customHeight="1" x14ac:dyDescent="0.35">
      <c r="T20187" s="246">
        <f t="shared" si="353"/>
        <v>0</v>
      </c>
    </row>
    <row r="20188" spans="20:20" ht="18.75" customHeight="1" x14ac:dyDescent="0.35">
      <c r="T20188" s="246">
        <f t="shared" si="353"/>
        <v>0</v>
      </c>
    </row>
    <row r="20189" spans="20:20" ht="18.75" customHeight="1" x14ac:dyDescent="0.35">
      <c r="T20189" s="246">
        <f t="shared" si="353"/>
        <v>0</v>
      </c>
    </row>
    <row r="20190" spans="20:20" ht="18.75" customHeight="1" x14ac:dyDescent="0.35">
      <c r="T20190" s="246">
        <f t="shared" si="353"/>
        <v>0</v>
      </c>
    </row>
    <row r="20191" spans="20:20" ht="18.75" customHeight="1" x14ac:dyDescent="0.35">
      <c r="T20191" s="246">
        <f t="shared" si="353"/>
        <v>0</v>
      </c>
    </row>
    <row r="20192" spans="20:20" ht="18.75" customHeight="1" x14ac:dyDescent="0.35">
      <c r="T20192" s="246">
        <f t="shared" si="353"/>
        <v>0</v>
      </c>
    </row>
    <row r="20193" spans="20:20" ht="18.75" customHeight="1" x14ac:dyDescent="0.35">
      <c r="T20193" s="246">
        <f t="shared" si="353"/>
        <v>0</v>
      </c>
    </row>
    <row r="20194" spans="20:20" ht="18.75" customHeight="1" x14ac:dyDescent="0.35">
      <c r="T20194" s="246">
        <f t="shared" si="353"/>
        <v>0</v>
      </c>
    </row>
    <row r="20195" spans="20:20" ht="18.75" customHeight="1" x14ac:dyDescent="0.35">
      <c r="T20195" s="246">
        <f t="shared" si="353"/>
        <v>0</v>
      </c>
    </row>
    <row r="20196" spans="20:20" ht="18.75" customHeight="1" x14ac:dyDescent="0.35">
      <c r="T20196" s="246">
        <f t="shared" si="353"/>
        <v>0</v>
      </c>
    </row>
    <row r="20197" spans="20:20" ht="18.75" customHeight="1" x14ac:dyDescent="0.35">
      <c r="T20197" s="246">
        <f t="shared" si="353"/>
        <v>0</v>
      </c>
    </row>
    <row r="20198" spans="20:20" ht="18.75" customHeight="1" x14ac:dyDescent="0.35">
      <c r="T20198" s="246">
        <f t="shared" si="353"/>
        <v>0</v>
      </c>
    </row>
    <row r="20199" spans="20:20" ht="18.75" customHeight="1" x14ac:dyDescent="0.35">
      <c r="T20199" s="246">
        <f t="shared" si="353"/>
        <v>0</v>
      </c>
    </row>
    <row r="20200" spans="20:20" ht="18.75" customHeight="1" x14ac:dyDescent="0.35">
      <c r="T20200" s="246">
        <f t="shared" si="353"/>
        <v>0</v>
      </c>
    </row>
    <row r="20201" spans="20:20" ht="18.75" customHeight="1" x14ac:dyDescent="0.35">
      <c r="T20201" s="246">
        <f t="shared" si="353"/>
        <v>0</v>
      </c>
    </row>
    <row r="20202" spans="20:20" ht="18.75" customHeight="1" x14ac:dyDescent="0.35">
      <c r="T20202" s="246">
        <f t="shared" si="353"/>
        <v>0</v>
      </c>
    </row>
    <row r="20203" spans="20:20" ht="18.75" customHeight="1" x14ac:dyDescent="0.35">
      <c r="T20203" s="246">
        <f t="shared" si="353"/>
        <v>0</v>
      </c>
    </row>
    <row r="20204" spans="20:20" ht="18.75" customHeight="1" x14ac:dyDescent="0.35">
      <c r="T20204" s="246">
        <f t="shared" si="353"/>
        <v>0</v>
      </c>
    </row>
    <row r="20205" spans="20:20" ht="18.75" customHeight="1" x14ac:dyDescent="0.35">
      <c r="T20205" s="246">
        <f t="shared" si="353"/>
        <v>0</v>
      </c>
    </row>
    <row r="20206" spans="20:20" ht="18.75" customHeight="1" x14ac:dyDescent="0.35">
      <c r="T20206" s="246">
        <f t="shared" si="353"/>
        <v>0</v>
      </c>
    </row>
    <row r="20207" spans="20:20" ht="18.75" customHeight="1" x14ac:dyDescent="0.35">
      <c r="T20207" s="246">
        <f t="shared" si="353"/>
        <v>0</v>
      </c>
    </row>
    <row r="20208" spans="20:20" ht="18.75" customHeight="1" x14ac:dyDescent="0.35">
      <c r="T20208" s="246">
        <f t="shared" si="353"/>
        <v>0</v>
      </c>
    </row>
    <row r="20209" spans="20:20" ht="18.75" customHeight="1" x14ac:dyDescent="0.35">
      <c r="T20209" s="246">
        <f t="shared" si="353"/>
        <v>0</v>
      </c>
    </row>
    <row r="20210" spans="20:20" ht="18.75" customHeight="1" x14ac:dyDescent="0.35">
      <c r="T20210" s="246">
        <f t="shared" si="353"/>
        <v>0</v>
      </c>
    </row>
    <row r="20211" spans="20:20" ht="18.75" customHeight="1" x14ac:dyDescent="0.35">
      <c r="T20211" s="246">
        <f t="shared" si="353"/>
        <v>0</v>
      </c>
    </row>
    <row r="20212" spans="20:20" ht="18.75" customHeight="1" x14ac:dyDescent="0.35">
      <c r="T20212" s="246">
        <f t="shared" si="353"/>
        <v>0</v>
      </c>
    </row>
    <row r="20213" spans="20:20" ht="18.75" customHeight="1" x14ac:dyDescent="0.35">
      <c r="T20213" s="246">
        <f t="shared" si="353"/>
        <v>0</v>
      </c>
    </row>
    <row r="20214" spans="20:20" ht="18.75" customHeight="1" x14ac:dyDescent="0.35">
      <c r="T20214" s="246">
        <f t="shared" si="353"/>
        <v>0</v>
      </c>
    </row>
    <row r="20215" spans="20:20" ht="18.75" customHeight="1" x14ac:dyDescent="0.35">
      <c r="T20215" s="246">
        <f t="shared" si="353"/>
        <v>0</v>
      </c>
    </row>
    <row r="20216" spans="20:20" ht="18.75" customHeight="1" x14ac:dyDescent="0.35">
      <c r="T20216" s="246">
        <f t="shared" si="353"/>
        <v>0</v>
      </c>
    </row>
    <row r="20217" spans="20:20" ht="18.75" customHeight="1" x14ac:dyDescent="0.35">
      <c r="T20217" s="246">
        <f t="shared" si="353"/>
        <v>0</v>
      </c>
    </row>
    <row r="20218" spans="20:20" ht="18.75" customHeight="1" x14ac:dyDescent="0.35">
      <c r="T20218" s="246">
        <f t="shared" si="353"/>
        <v>0</v>
      </c>
    </row>
    <row r="20219" spans="20:20" ht="18.75" customHeight="1" x14ac:dyDescent="0.35">
      <c r="T20219" s="246">
        <f t="shared" si="353"/>
        <v>0</v>
      </c>
    </row>
    <row r="20220" spans="20:20" ht="18.75" customHeight="1" x14ac:dyDescent="0.35">
      <c r="T20220" s="246">
        <f t="shared" ref="T20220:T20283" si="354">R20220*0.01</f>
        <v>0</v>
      </c>
    </row>
    <row r="20221" spans="20:20" ht="18.75" customHeight="1" x14ac:dyDescent="0.35">
      <c r="T20221" s="246">
        <f t="shared" si="354"/>
        <v>0</v>
      </c>
    </row>
    <row r="20222" spans="20:20" ht="18.75" customHeight="1" x14ac:dyDescent="0.35">
      <c r="T20222" s="246">
        <f t="shared" si="354"/>
        <v>0</v>
      </c>
    </row>
    <row r="20223" spans="20:20" ht="18.75" customHeight="1" x14ac:dyDescent="0.35">
      <c r="T20223" s="246">
        <f t="shared" si="354"/>
        <v>0</v>
      </c>
    </row>
    <row r="20224" spans="20:20" ht="18.75" customHeight="1" x14ac:dyDescent="0.35">
      <c r="T20224" s="246">
        <f t="shared" si="354"/>
        <v>0</v>
      </c>
    </row>
    <row r="20225" spans="20:20" ht="18.75" customHeight="1" x14ac:dyDescent="0.35">
      <c r="T20225" s="246">
        <f t="shared" si="354"/>
        <v>0</v>
      </c>
    </row>
    <row r="20226" spans="20:20" ht="18.75" customHeight="1" x14ac:dyDescent="0.35">
      <c r="T20226" s="246">
        <f t="shared" si="354"/>
        <v>0</v>
      </c>
    </row>
    <row r="20227" spans="20:20" ht="18.75" customHeight="1" x14ac:dyDescent="0.35">
      <c r="T20227" s="246">
        <f t="shared" si="354"/>
        <v>0</v>
      </c>
    </row>
    <row r="20228" spans="20:20" ht="18.75" customHeight="1" x14ac:dyDescent="0.35">
      <c r="T20228" s="246">
        <f t="shared" si="354"/>
        <v>0</v>
      </c>
    </row>
    <row r="20229" spans="20:20" ht="18.75" customHeight="1" x14ac:dyDescent="0.35">
      <c r="T20229" s="246">
        <f t="shared" si="354"/>
        <v>0</v>
      </c>
    </row>
    <row r="20230" spans="20:20" ht="18.75" customHeight="1" x14ac:dyDescent="0.35">
      <c r="T20230" s="246">
        <f t="shared" si="354"/>
        <v>0</v>
      </c>
    </row>
    <row r="20231" spans="20:20" ht="18.75" customHeight="1" x14ac:dyDescent="0.35">
      <c r="T20231" s="246">
        <f t="shared" si="354"/>
        <v>0</v>
      </c>
    </row>
    <row r="20232" spans="20:20" ht="18.75" customHeight="1" x14ac:dyDescent="0.35">
      <c r="T20232" s="246">
        <f t="shared" si="354"/>
        <v>0</v>
      </c>
    </row>
    <row r="20233" spans="20:20" ht="18.75" customHeight="1" x14ac:dyDescent="0.35">
      <c r="T20233" s="246">
        <f t="shared" si="354"/>
        <v>0</v>
      </c>
    </row>
    <row r="20234" spans="20:20" ht="18.75" customHeight="1" x14ac:dyDescent="0.35">
      <c r="T20234" s="246">
        <f t="shared" si="354"/>
        <v>0</v>
      </c>
    </row>
    <row r="20235" spans="20:20" ht="18.75" customHeight="1" x14ac:dyDescent="0.35">
      <c r="T20235" s="246">
        <f t="shared" si="354"/>
        <v>0</v>
      </c>
    </row>
    <row r="20236" spans="20:20" ht="18.75" customHeight="1" x14ac:dyDescent="0.35">
      <c r="T20236" s="246">
        <f t="shared" si="354"/>
        <v>0</v>
      </c>
    </row>
    <row r="20237" spans="20:20" ht="18.75" customHeight="1" x14ac:dyDescent="0.35">
      <c r="T20237" s="246">
        <f t="shared" si="354"/>
        <v>0</v>
      </c>
    </row>
    <row r="20238" spans="20:20" ht="18.75" customHeight="1" x14ac:dyDescent="0.35">
      <c r="T20238" s="246">
        <f t="shared" si="354"/>
        <v>0</v>
      </c>
    </row>
    <row r="20239" spans="20:20" ht="18.75" customHeight="1" x14ac:dyDescent="0.35">
      <c r="T20239" s="246">
        <f t="shared" si="354"/>
        <v>0</v>
      </c>
    </row>
    <row r="20240" spans="20:20" ht="18.75" customHeight="1" x14ac:dyDescent="0.35">
      <c r="T20240" s="246">
        <f t="shared" si="354"/>
        <v>0</v>
      </c>
    </row>
    <row r="20241" spans="20:20" ht="18.75" customHeight="1" x14ac:dyDescent="0.35">
      <c r="T20241" s="246">
        <f t="shared" si="354"/>
        <v>0</v>
      </c>
    </row>
    <row r="20242" spans="20:20" ht="18.75" customHeight="1" x14ac:dyDescent="0.35">
      <c r="T20242" s="246">
        <f t="shared" si="354"/>
        <v>0</v>
      </c>
    </row>
    <row r="20243" spans="20:20" ht="18.75" customHeight="1" x14ac:dyDescent="0.35">
      <c r="T20243" s="246">
        <f t="shared" si="354"/>
        <v>0</v>
      </c>
    </row>
    <row r="20244" spans="20:20" ht="18.75" customHeight="1" x14ac:dyDescent="0.35">
      <c r="T20244" s="246">
        <f t="shared" si="354"/>
        <v>0</v>
      </c>
    </row>
    <row r="20245" spans="20:20" ht="18.75" customHeight="1" x14ac:dyDescent="0.35">
      <c r="T20245" s="246">
        <f t="shared" si="354"/>
        <v>0</v>
      </c>
    </row>
    <row r="20246" spans="20:20" ht="18.75" customHeight="1" x14ac:dyDescent="0.35">
      <c r="T20246" s="246">
        <f t="shared" si="354"/>
        <v>0</v>
      </c>
    </row>
    <row r="20247" spans="20:20" ht="18.75" customHeight="1" x14ac:dyDescent="0.35">
      <c r="T20247" s="246">
        <f t="shared" si="354"/>
        <v>0</v>
      </c>
    </row>
    <row r="20248" spans="20:20" ht="18.75" customHeight="1" x14ac:dyDescent="0.35">
      <c r="T20248" s="246">
        <f t="shared" si="354"/>
        <v>0</v>
      </c>
    </row>
    <row r="20249" spans="20:20" ht="18.75" customHeight="1" x14ac:dyDescent="0.35">
      <c r="T20249" s="246">
        <f t="shared" si="354"/>
        <v>0</v>
      </c>
    </row>
    <row r="20250" spans="20:20" ht="18.75" customHeight="1" x14ac:dyDescent="0.35">
      <c r="T20250" s="246">
        <f t="shared" si="354"/>
        <v>0</v>
      </c>
    </row>
    <row r="20251" spans="20:20" ht="18.75" customHeight="1" x14ac:dyDescent="0.35">
      <c r="T20251" s="246">
        <f t="shared" si="354"/>
        <v>0</v>
      </c>
    </row>
    <row r="20252" spans="20:20" ht="18.75" customHeight="1" x14ac:dyDescent="0.35">
      <c r="T20252" s="246">
        <f t="shared" si="354"/>
        <v>0</v>
      </c>
    </row>
    <row r="20253" spans="20:20" ht="18.75" customHeight="1" x14ac:dyDescent="0.35">
      <c r="T20253" s="246">
        <f t="shared" si="354"/>
        <v>0</v>
      </c>
    </row>
    <row r="20254" spans="20:20" ht="18.75" customHeight="1" x14ac:dyDescent="0.35">
      <c r="T20254" s="246">
        <f t="shared" si="354"/>
        <v>0</v>
      </c>
    </row>
    <row r="20255" spans="20:20" ht="18.75" customHeight="1" x14ac:dyDescent="0.35">
      <c r="T20255" s="246">
        <f t="shared" si="354"/>
        <v>0</v>
      </c>
    </row>
    <row r="20256" spans="20:20" ht="18.75" customHeight="1" x14ac:dyDescent="0.35">
      <c r="T20256" s="246">
        <f t="shared" si="354"/>
        <v>0</v>
      </c>
    </row>
    <row r="20257" spans="20:20" ht="18.75" customHeight="1" x14ac:dyDescent="0.35">
      <c r="T20257" s="246">
        <f t="shared" si="354"/>
        <v>0</v>
      </c>
    </row>
    <row r="20258" spans="20:20" ht="18.75" customHeight="1" x14ac:dyDescent="0.35">
      <c r="T20258" s="246">
        <f t="shared" si="354"/>
        <v>0</v>
      </c>
    </row>
    <row r="20259" spans="20:20" ht="18.75" customHeight="1" x14ac:dyDescent="0.35">
      <c r="T20259" s="246">
        <f t="shared" si="354"/>
        <v>0</v>
      </c>
    </row>
    <row r="20260" spans="20:20" ht="18.75" customHeight="1" x14ac:dyDescent="0.35">
      <c r="T20260" s="246">
        <f t="shared" si="354"/>
        <v>0</v>
      </c>
    </row>
    <row r="20261" spans="20:20" ht="18.75" customHeight="1" x14ac:dyDescent="0.35">
      <c r="T20261" s="246">
        <f t="shared" si="354"/>
        <v>0</v>
      </c>
    </row>
    <row r="20262" spans="20:20" ht="18.75" customHeight="1" x14ac:dyDescent="0.35">
      <c r="T20262" s="246">
        <f t="shared" si="354"/>
        <v>0</v>
      </c>
    </row>
    <row r="20263" spans="20:20" ht="18.75" customHeight="1" x14ac:dyDescent="0.35">
      <c r="T20263" s="246">
        <f t="shared" si="354"/>
        <v>0</v>
      </c>
    </row>
    <row r="20264" spans="20:20" ht="18.75" customHeight="1" x14ac:dyDescent="0.35">
      <c r="T20264" s="246">
        <f t="shared" si="354"/>
        <v>0</v>
      </c>
    </row>
    <row r="20265" spans="20:20" ht="18.75" customHeight="1" x14ac:dyDescent="0.35">
      <c r="T20265" s="246">
        <f t="shared" si="354"/>
        <v>0</v>
      </c>
    </row>
    <row r="20266" spans="20:20" ht="18.75" customHeight="1" x14ac:dyDescent="0.35">
      <c r="T20266" s="246">
        <f t="shared" si="354"/>
        <v>0</v>
      </c>
    </row>
    <row r="20267" spans="20:20" ht="18.75" customHeight="1" x14ac:dyDescent="0.35">
      <c r="T20267" s="246">
        <f t="shared" si="354"/>
        <v>0</v>
      </c>
    </row>
    <row r="20268" spans="20:20" ht="18.75" customHeight="1" x14ac:dyDescent="0.35">
      <c r="T20268" s="246">
        <f t="shared" si="354"/>
        <v>0</v>
      </c>
    </row>
    <row r="20269" spans="20:20" ht="18.75" customHeight="1" x14ac:dyDescent="0.35">
      <c r="T20269" s="246">
        <f t="shared" si="354"/>
        <v>0</v>
      </c>
    </row>
    <row r="20270" spans="20:20" ht="18.75" customHeight="1" x14ac:dyDescent="0.35">
      <c r="T20270" s="246">
        <f t="shared" si="354"/>
        <v>0</v>
      </c>
    </row>
    <row r="20271" spans="20:20" ht="18.75" customHeight="1" x14ac:dyDescent="0.35">
      <c r="T20271" s="246">
        <f t="shared" si="354"/>
        <v>0</v>
      </c>
    </row>
    <row r="20272" spans="20:20" ht="18.75" customHeight="1" x14ac:dyDescent="0.35">
      <c r="T20272" s="246">
        <f t="shared" si="354"/>
        <v>0</v>
      </c>
    </row>
    <row r="20273" spans="20:20" ht="18.75" customHeight="1" x14ac:dyDescent="0.35">
      <c r="T20273" s="246">
        <f t="shared" si="354"/>
        <v>0</v>
      </c>
    </row>
    <row r="20274" spans="20:20" ht="18.75" customHeight="1" x14ac:dyDescent="0.35">
      <c r="T20274" s="246">
        <f t="shared" si="354"/>
        <v>0</v>
      </c>
    </row>
    <row r="20275" spans="20:20" ht="18.75" customHeight="1" x14ac:dyDescent="0.35">
      <c r="T20275" s="246">
        <f t="shared" si="354"/>
        <v>0</v>
      </c>
    </row>
    <row r="20276" spans="20:20" ht="18.75" customHeight="1" x14ac:dyDescent="0.35">
      <c r="T20276" s="246">
        <f t="shared" si="354"/>
        <v>0</v>
      </c>
    </row>
    <row r="20277" spans="20:20" ht="18.75" customHeight="1" x14ac:dyDescent="0.35">
      <c r="T20277" s="246">
        <f t="shared" si="354"/>
        <v>0</v>
      </c>
    </row>
    <row r="20278" spans="20:20" ht="18.75" customHeight="1" x14ac:dyDescent="0.35">
      <c r="T20278" s="246">
        <f t="shared" si="354"/>
        <v>0</v>
      </c>
    </row>
    <row r="20279" spans="20:20" ht="18.75" customHeight="1" x14ac:dyDescent="0.35">
      <c r="T20279" s="246">
        <f t="shared" si="354"/>
        <v>0</v>
      </c>
    </row>
    <row r="20280" spans="20:20" ht="18.75" customHeight="1" x14ac:dyDescent="0.35">
      <c r="T20280" s="246">
        <f t="shared" si="354"/>
        <v>0</v>
      </c>
    </row>
    <row r="20281" spans="20:20" ht="18.75" customHeight="1" x14ac:dyDescent="0.35">
      <c r="T20281" s="246">
        <f t="shared" si="354"/>
        <v>0</v>
      </c>
    </row>
    <row r="20282" spans="20:20" ht="18.75" customHeight="1" x14ac:dyDescent="0.35">
      <c r="T20282" s="246">
        <f t="shared" si="354"/>
        <v>0</v>
      </c>
    </row>
    <row r="20283" spans="20:20" ht="18.75" customHeight="1" x14ac:dyDescent="0.35">
      <c r="T20283" s="246">
        <f t="shared" si="354"/>
        <v>0</v>
      </c>
    </row>
    <row r="20284" spans="20:20" ht="18.75" customHeight="1" x14ac:dyDescent="0.35">
      <c r="T20284" s="246">
        <f t="shared" ref="T20284:T20347" si="355">R20284*0.01</f>
        <v>0</v>
      </c>
    </row>
    <row r="20285" spans="20:20" ht="18.75" customHeight="1" x14ac:dyDescent="0.35">
      <c r="T20285" s="246">
        <f t="shared" si="355"/>
        <v>0</v>
      </c>
    </row>
    <row r="20286" spans="20:20" ht="18.75" customHeight="1" x14ac:dyDescent="0.35">
      <c r="T20286" s="246">
        <f t="shared" si="355"/>
        <v>0</v>
      </c>
    </row>
    <row r="20287" spans="20:20" ht="18.75" customHeight="1" x14ac:dyDescent="0.35">
      <c r="T20287" s="246">
        <f t="shared" si="355"/>
        <v>0</v>
      </c>
    </row>
    <row r="20288" spans="20:20" ht="18.75" customHeight="1" x14ac:dyDescent="0.35">
      <c r="T20288" s="246">
        <f t="shared" si="355"/>
        <v>0</v>
      </c>
    </row>
    <row r="20289" spans="20:20" ht="18.75" customHeight="1" x14ac:dyDescent="0.35">
      <c r="T20289" s="246">
        <f t="shared" si="355"/>
        <v>0</v>
      </c>
    </row>
    <row r="20290" spans="20:20" ht="18.75" customHeight="1" x14ac:dyDescent="0.35">
      <c r="T20290" s="246">
        <f t="shared" si="355"/>
        <v>0</v>
      </c>
    </row>
    <row r="20291" spans="20:20" ht="18.75" customHeight="1" x14ac:dyDescent="0.35">
      <c r="T20291" s="246">
        <f t="shared" si="355"/>
        <v>0</v>
      </c>
    </row>
    <row r="20292" spans="20:20" ht="18.75" customHeight="1" x14ac:dyDescent="0.35">
      <c r="T20292" s="246">
        <f t="shared" si="355"/>
        <v>0</v>
      </c>
    </row>
    <row r="20293" spans="20:20" ht="18.75" customHeight="1" x14ac:dyDescent="0.35">
      <c r="T20293" s="246">
        <f t="shared" si="355"/>
        <v>0</v>
      </c>
    </row>
    <row r="20294" spans="20:20" ht="18.75" customHeight="1" x14ac:dyDescent="0.35">
      <c r="T20294" s="246">
        <f t="shared" si="355"/>
        <v>0</v>
      </c>
    </row>
    <row r="20295" spans="20:20" ht="18.75" customHeight="1" x14ac:dyDescent="0.35">
      <c r="T20295" s="246">
        <f t="shared" si="355"/>
        <v>0</v>
      </c>
    </row>
    <row r="20296" spans="20:20" ht="18.75" customHeight="1" x14ac:dyDescent="0.35">
      <c r="T20296" s="246">
        <f t="shared" si="355"/>
        <v>0</v>
      </c>
    </row>
    <row r="20297" spans="20:20" ht="18.75" customHeight="1" x14ac:dyDescent="0.35">
      <c r="T20297" s="246">
        <f t="shared" si="355"/>
        <v>0</v>
      </c>
    </row>
    <row r="20298" spans="20:20" ht="18.75" customHeight="1" x14ac:dyDescent="0.35">
      <c r="T20298" s="246">
        <f t="shared" si="355"/>
        <v>0</v>
      </c>
    </row>
    <row r="20299" spans="20:20" ht="18.75" customHeight="1" x14ac:dyDescent="0.35">
      <c r="T20299" s="246">
        <f t="shared" si="355"/>
        <v>0</v>
      </c>
    </row>
    <row r="20300" spans="20:20" ht="18.75" customHeight="1" x14ac:dyDescent="0.35">
      <c r="T20300" s="246">
        <f t="shared" si="355"/>
        <v>0</v>
      </c>
    </row>
    <row r="20301" spans="20:20" ht="18.75" customHeight="1" x14ac:dyDescent="0.35">
      <c r="T20301" s="246">
        <f t="shared" si="355"/>
        <v>0</v>
      </c>
    </row>
    <row r="20302" spans="20:20" ht="18.75" customHeight="1" x14ac:dyDescent="0.35">
      <c r="T20302" s="246">
        <f t="shared" si="355"/>
        <v>0</v>
      </c>
    </row>
    <row r="20303" spans="20:20" ht="18.75" customHeight="1" x14ac:dyDescent="0.35">
      <c r="T20303" s="246">
        <f t="shared" si="355"/>
        <v>0</v>
      </c>
    </row>
    <row r="20304" spans="20:20" ht="18.75" customHeight="1" x14ac:dyDescent="0.35">
      <c r="T20304" s="246">
        <f t="shared" si="355"/>
        <v>0</v>
      </c>
    </row>
    <row r="20305" spans="20:20" ht="18.75" customHeight="1" x14ac:dyDescent="0.35">
      <c r="T20305" s="246">
        <f t="shared" si="355"/>
        <v>0</v>
      </c>
    </row>
    <row r="20306" spans="20:20" ht="18.75" customHeight="1" x14ac:dyDescent="0.35">
      <c r="T20306" s="246">
        <f t="shared" si="355"/>
        <v>0</v>
      </c>
    </row>
    <row r="20307" spans="20:20" ht="18.75" customHeight="1" x14ac:dyDescent="0.35">
      <c r="T20307" s="246">
        <f t="shared" si="355"/>
        <v>0</v>
      </c>
    </row>
    <row r="20308" spans="20:20" ht="18.75" customHeight="1" x14ac:dyDescent="0.35">
      <c r="T20308" s="246">
        <f t="shared" si="355"/>
        <v>0</v>
      </c>
    </row>
    <row r="20309" spans="20:20" ht="18.75" customHeight="1" x14ac:dyDescent="0.35">
      <c r="T20309" s="246">
        <f t="shared" si="355"/>
        <v>0</v>
      </c>
    </row>
    <row r="20310" spans="20:20" ht="18.75" customHeight="1" x14ac:dyDescent="0.35">
      <c r="T20310" s="246">
        <f t="shared" si="355"/>
        <v>0</v>
      </c>
    </row>
    <row r="20311" spans="20:20" ht="18.75" customHeight="1" x14ac:dyDescent="0.35">
      <c r="T20311" s="246">
        <f t="shared" si="355"/>
        <v>0</v>
      </c>
    </row>
    <row r="20312" spans="20:20" ht="18.75" customHeight="1" x14ac:dyDescent="0.35">
      <c r="T20312" s="246">
        <f t="shared" si="355"/>
        <v>0</v>
      </c>
    </row>
    <row r="20313" spans="20:20" ht="18.75" customHeight="1" x14ac:dyDescent="0.35">
      <c r="T20313" s="246">
        <f t="shared" si="355"/>
        <v>0</v>
      </c>
    </row>
    <row r="20314" spans="20:20" ht="18.75" customHeight="1" x14ac:dyDescent="0.35">
      <c r="T20314" s="246">
        <f t="shared" si="355"/>
        <v>0</v>
      </c>
    </row>
    <row r="20315" spans="20:20" ht="18.75" customHeight="1" x14ac:dyDescent="0.35">
      <c r="T20315" s="246">
        <f t="shared" si="355"/>
        <v>0</v>
      </c>
    </row>
    <row r="20316" spans="20:20" ht="18.75" customHeight="1" x14ac:dyDescent="0.35">
      <c r="T20316" s="246">
        <f t="shared" si="355"/>
        <v>0</v>
      </c>
    </row>
    <row r="20317" spans="20:20" ht="18.75" customHeight="1" x14ac:dyDescent="0.35">
      <c r="T20317" s="246">
        <f t="shared" si="355"/>
        <v>0</v>
      </c>
    </row>
    <row r="20318" spans="20:20" ht="18.75" customHeight="1" x14ac:dyDescent="0.35">
      <c r="T20318" s="246">
        <f t="shared" si="355"/>
        <v>0</v>
      </c>
    </row>
    <row r="20319" spans="20:20" ht="18.75" customHeight="1" x14ac:dyDescent="0.35">
      <c r="T20319" s="246">
        <f t="shared" si="355"/>
        <v>0</v>
      </c>
    </row>
    <row r="20320" spans="20:20" ht="18.75" customHeight="1" x14ac:dyDescent="0.35">
      <c r="T20320" s="246">
        <f t="shared" si="355"/>
        <v>0</v>
      </c>
    </row>
    <row r="20321" spans="20:20" ht="18.75" customHeight="1" x14ac:dyDescent="0.35">
      <c r="T20321" s="246">
        <f t="shared" si="355"/>
        <v>0</v>
      </c>
    </row>
    <row r="20322" spans="20:20" ht="18.75" customHeight="1" x14ac:dyDescent="0.35">
      <c r="T20322" s="246">
        <f t="shared" si="355"/>
        <v>0</v>
      </c>
    </row>
    <row r="20323" spans="20:20" ht="18.75" customHeight="1" x14ac:dyDescent="0.35">
      <c r="T20323" s="246">
        <f t="shared" si="355"/>
        <v>0</v>
      </c>
    </row>
    <row r="20324" spans="20:20" ht="18.75" customHeight="1" x14ac:dyDescent="0.35">
      <c r="T20324" s="246">
        <f t="shared" si="355"/>
        <v>0</v>
      </c>
    </row>
    <row r="20325" spans="20:20" ht="18.75" customHeight="1" x14ac:dyDescent="0.35">
      <c r="T20325" s="246">
        <f t="shared" si="355"/>
        <v>0</v>
      </c>
    </row>
    <row r="20326" spans="20:20" ht="18.75" customHeight="1" x14ac:dyDescent="0.35">
      <c r="T20326" s="246">
        <f t="shared" si="355"/>
        <v>0</v>
      </c>
    </row>
    <row r="20327" spans="20:20" ht="18.75" customHeight="1" x14ac:dyDescent="0.35">
      <c r="T20327" s="246">
        <f t="shared" si="355"/>
        <v>0</v>
      </c>
    </row>
    <row r="20328" spans="20:20" ht="18.75" customHeight="1" x14ac:dyDescent="0.35">
      <c r="T20328" s="246">
        <f t="shared" si="355"/>
        <v>0</v>
      </c>
    </row>
    <row r="20329" spans="20:20" ht="18.75" customHeight="1" x14ac:dyDescent="0.35">
      <c r="T20329" s="246">
        <f t="shared" si="355"/>
        <v>0</v>
      </c>
    </row>
    <row r="20330" spans="20:20" ht="18.75" customHeight="1" x14ac:dyDescent="0.35">
      <c r="T20330" s="246">
        <f t="shared" si="355"/>
        <v>0</v>
      </c>
    </row>
    <row r="20331" spans="20:20" ht="18.75" customHeight="1" x14ac:dyDescent="0.35">
      <c r="T20331" s="246">
        <f t="shared" si="355"/>
        <v>0</v>
      </c>
    </row>
    <row r="20332" spans="20:20" ht="18.75" customHeight="1" x14ac:dyDescent="0.35">
      <c r="T20332" s="246">
        <f t="shared" si="355"/>
        <v>0</v>
      </c>
    </row>
    <row r="20333" spans="20:20" ht="18.75" customHeight="1" x14ac:dyDescent="0.35">
      <c r="T20333" s="246">
        <f t="shared" si="355"/>
        <v>0</v>
      </c>
    </row>
    <row r="20334" spans="20:20" ht="18.75" customHeight="1" x14ac:dyDescent="0.35">
      <c r="T20334" s="246">
        <f t="shared" si="355"/>
        <v>0</v>
      </c>
    </row>
    <row r="20335" spans="20:20" ht="18.75" customHeight="1" x14ac:dyDescent="0.35">
      <c r="T20335" s="246">
        <f t="shared" si="355"/>
        <v>0</v>
      </c>
    </row>
    <row r="20336" spans="20:20" ht="18.75" customHeight="1" x14ac:dyDescent="0.35">
      <c r="T20336" s="246">
        <f t="shared" si="355"/>
        <v>0</v>
      </c>
    </row>
    <row r="20337" spans="20:20" ht="18.75" customHeight="1" x14ac:dyDescent="0.35">
      <c r="T20337" s="246">
        <f t="shared" si="355"/>
        <v>0</v>
      </c>
    </row>
    <row r="20338" spans="20:20" ht="18.75" customHeight="1" x14ac:dyDescent="0.35">
      <c r="T20338" s="246">
        <f t="shared" si="355"/>
        <v>0</v>
      </c>
    </row>
    <row r="20339" spans="20:20" ht="18.75" customHeight="1" x14ac:dyDescent="0.35">
      <c r="T20339" s="246">
        <f t="shared" si="355"/>
        <v>0</v>
      </c>
    </row>
    <row r="20340" spans="20:20" ht="18.75" customHeight="1" x14ac:dyDescent="0.35">
      <c r="T20340" s="246">
        <f t="shared" si="355"/>
        <v>0</v>
      </c>
    </row>
    <row r="20341" spans="20:20" ht="18.75" customHeight="1" x14ac:dyDescent="0.35">
      <c r="T20341" s="246">
        <f t="shared" si="355"/>
        <v>0</v>
      </c>
    </row>
    <row r="20342" spans="20:20" ht="18.75" customHeight="1" x14ac:dyDescent="0.35">
      <c r="T20342" s="246">
        <f t="shared" si="355"/>
        <v>0</v>
      </c>
    </row>
    <row r="20343" spans="20:20" ht="18.75" customHeight="1" x14ac:dyDescent="0.35">
      <c r="T20343" s="246">
        <f t="shared" si="355"/>
        <v>0</v>
      </c>
    </row>
    <row r="20344" spans="20:20" ht="18.75" customHeight="1" x14ac:dyDescent="0.35">
      <c r="T20344" s="246">
        <f t="shared" si="355"/>
        <v>0</v>
      </c>
    </row>
    <row r="20345" spans="20:20" ht="18.75" customHeight="1" x14ac:dyDescent="0.35">
      <c r="T20345" s="246">
        <f t="shared" si="355"/>
        <v>0</v>
      </c>
    </row>
    <row r="20346" spans="20:20" ht="18.75" customHeight="1" x14ac:dyDescent="0.35">
      <c r="T20346" s="246">
        <f t="shared" si="355"/>
        <v>0</v>
      </c>
    </row>
    <row r="20347" spans="20:20" ht="18.75" customHeight="1" x14ac:dyDescent="0.35">
      <c r="T20347" s="246">
        <f t="shared" si="355"/>
        <v>0</v>
      </c>
    </row>
    <row r="20348" spans="20:20" ht="18.75" customHeight="1" x14ac:dyDescent="0.35">
      <c r="T20348" s="246">
        <f t="shared" ref="T20348:T20411" si="356">R20348*0.01</f>
        <v>0</v>
      </c>
    </row>
    <row r="20349" spans="20:20" ht="18.75" customHeight="1" x14ac:dyDescent="0.35">
      <c r="T20349" s="246">
        <f t="shared" si="356"/>
        <v>0</v>
      </c>
    </row>
    <row r="20350" spans="20:20" ht="18.75" customHeight="1" x14ac:dyDescent="0.35">
      <c r="T20350" s="246">
        <f t="shared" si="356"/>
        <v>0</v>
      </c>
    </row>
    <row r="20351" spans="20:20" ht="18.75" customHeight="1" x14ac:dyDescent="0.35">
      <c r="T20351" s="246">
        <f t="shared" si="356"/>
        <v>0</v>
      </c>
    </row>
    <row r="20352" spans="20:20" ht="18.75" customHeight="1" x14ac:dyDescent="0.35">
      <c r="T20352" s="246">
        <f t="shared" si="356"/>
        <v>0</v>
      </c>
    </row>
    <row r="20353" spans="20:20" ht="18.75" customHeight="1" x14ac:dyDescent="0.35">
      <c r="T20353" s="246">
        <f t="shared" si="356"/>
        <v>0</v>
      </c>
    </row>
    <row r="20354" spans="20:20" ht="18.75" customHeight="1" x14ac:dyDescent="0.35">
      <c r="T20354" s="246">
        <f t="shared" si="356"/>
        <v>0</v>
      </c>
    </row>
    <row r="20355" spans="20:20" ht="18.75" customHeight="1" x14ac:dyDescent="0.35">
      <c r="T20355" s="246">
        <f t="shared" si="356"/>
        <v>0</v>
      </c>
    </row>
    <row r="20356" spans="20:20" ht="18.75" customHeight="1" x14ac:dyDescent="0.35">
      <c r="T20356" s="246">
        <f t="shared" si="356"/>
        <v>0</v>
      </c>
    </row>
    <row r="20357" spans="20:20" ht="18.75" customHeight="1" x14ac:dyDescent="0.35">
      <c r="T20357" s="246">
        <f t="shared" si="356"/>
        <v>0</v>
      </c>
    </row>
    <row r="20358" spans="20:20" ht="18.75" customHeight="1" x14ac:dyDescent="0.35">
      <c r="T20358" s="246">
        <f t="shared" si="356"/>
        <v>0</v>
      </c>
    </row>
    <row r="20359" spans="20:20" ht="18.75" customHeight="1" x14ac:dyDescent="0.35">
      <c r="T20359" s="246">
        <f t="shared" si="356"/>
        <v>0</v>
      </c>
    </row>
    <row r="20360" spans="20:20" ht="18.75" customHeight="1" x14ac:dyDescent="0.35">
      <c r="T20360" s="246">
        <f t="shared" si="356"/>
        <v>0</v>
      </c>
    </row>
    <row r="20361" spans="20:20" ht="18.75" customHeight="1" x14ac:dyDescent="0.35">
      <c r="T20361" s="246">
        <f t="shared" si="356"/>
        <v>0</v>
      </c>
    </row>
    <row r="20362" spans="20:20" ht="18.75" customHeight="1" x14ac:dyDescent="0.35">
      <c r="T20362" s="246">
        <f t="shared" si="356"/>
        <v>0</v>
      </c>
    </row>
    <row r="20363" spans="20:20" ht="18.75" customHeight="1" x14ac:dyDescent="0.35">
      <c r="T20363" s="246">
        <f t="shared" si="356"/>
        <v>0</v>
      </c>
    </row>
    <row r="20364" spans="20:20" ht="18.75" customHeight="1" x14ac:dyDescent="0.35">
      <c r="T20364" s="246">
        <f t="shared" si="356"/>
        <v>0</v>
      </c>
    </row>
    <row r="20365" spans="20:20" ht="18.75" customHeight="1" x14ac:dyDescent="0.35">
      <c r="T20365" s="246">
        <f t="shared" si="356"/>
        <v>0</v>
      </c>
    </row>
    <row r="20366" spans="20:20" ht="18.75" customHeight="1" x14ac:dyDescent="0.35">
      <c r="T20366" s="246">
        <f t="shared" si="356"/>
        <v>0</v>
      </c>
    </row>
    <row r="20367" spans="20:20" ht="18.75" customHeight="1" x14ac:dyDescent="0.35">
      <c r="T20367" s="246">
        <f t="shared" si="356"/>
        <v>0</v>
      </c>
    </row>
    <row r="20368" spans="20:20" ht="18.75" customHeight="1" x14ac:dyDescent="0.35">
      <c r="T20368" s="246">
        <f t="shared" si="356"/>
        <v>0</v>
      </c>
    </row>
    <row r="20369" spans="20:20" ht="18.75" customHeight="1" x14ac:dyDescent="0.35">
      <c r="T20369" s="246">
        <f t="shared" si="356"/>
        <v>0</v>
      </c>
    </row>
    <row r="20370" spans="20:20" ht="18.75" customHeight="1" x14ac:dyDescent="0.35">
      <c r="T20370" s="246">
        <f t="shared" si="356"/>
        <v>0</v>
      </c>
    </row>
    <row r="20371" spans="20:20" ht="18.75" customHeight="1" x14ac:dyDescent="0.35">
      <c r="T20371" s="246">
        <f t="shared" si="356"/>
        <v>0</v>
      </c>
    </row>
    <row r="20372" spans="20:20" ht="18.75" customHeight="1" x14ac:dyDescent="0.35">
      <c r="T20372" s="246">
        <f t="shared" si="356"/>
        <v>0</v>
      </c>
    </row>
    <row r="20373" spans="20:20" ht="18.75" customHeight="1" x14ac:dyDescent="0.35">
      <c r="T20373" s="246">
        <f t="shared" si="356"/>
        <v>0</v>
      </c>
    </row>
    <row r="20374" spans="20:20" ht="18.75" customHeight="1" x14ac:dyDescent="0.35">
      <c r="T20374" s="246">
        <f t="shared" si="356"/>
        <v>0</v>
      </c>
    </row>
    <row r="20375" spans="20:20" ht="18.75" customHeight="1" x14ac:dyDescent="0.35">
      <c r="T20375" s="246">
        <f t="shared" si="356"/>
        <v>0</v>
      </c>
    </row>
    <row r="20376" spans="20:20" ht="18.75" customHeight="1" x14ac:dyDescent="0.35">
      <c r="T20376" s="246">
        <f t="shared" si="356"/>
        <v>0</v>
      </c>
    </row>
    <row r="20377" spans="20:20" ht="18.75" customHeight="1" x14ac:dyDescent="0.35">
      <c r="T20377" s="246">
        <f t="shared" si="356"/>
        <v>0</v>
      </c>
    </row>
    <row r="20378" spans="20:20" ht="18.75" customHeight="1" x14ac:dyDescent="0.35">
      <c r="T20378" s="246">
        <f t="shared" si="356"/>
        <v>0</v>
      </c>
    </row>
    <row r="20379" spans="20:20" ht="18.75" customHeight="1" x14ac:dyDescent="0.35">
      <c r="T20379" s="246">
        <f t="shared" si="356"/>
        <v>0</v>
      </c>
    </row>
    <row r="20380" spans="20:20" ht="18.75" customHeight="1" x14ac:dyDescent="0.35">
      <c r="T20380" s="246">
        <f t="shared" si="356"/>
        <v>0</v>
      </c>
    </row>
    <row r="20381" spans="20:20" ht="18.75" customHeight="1" x14ac:dyDescent="0.35">
      <c r="T20381" s="246">
        <f t="shared" si="356"/>
        <v>0</v>
      </c>
    </row>
    <row r="20382" spans="20:20" ht="18.75" customHeight="1" x14ac:dyDescent="0.35">
      <c r="T20382" s="246">
        <f t="shared" si="356"/>
        <v>0</v>
      </c>
    </row>
    <row r="20383" spans="20:20" ht="18.75" customHeight="1" x14ac:dyDescent="0.35">
      <c r="T20383" s="246">
        <f t="shared" si="356"/>
        <v>0</v>
      </c>
    </row>
    <row r="20384" spans="20:20" ht="18.75" customHeight="1" x14ac:dyDescent="0.35">
      <c r="T20384" s="246">
        <f t="shared" si="356"/>
        <v>0</v>
      </c>
    </row>
    <row r="20385" spans="20:20" ht="18.75" customHeight="1" x14ac:dyDescent="0.35">
      <c r="T20385" s="246">
        <f t="shared" si="356"/>
        <v>0</v>
      </c>
    </row>
    <row r="20386" spans="20:20" ht="18.75" customHeight="1" x14ac:dyDescent="0.35">
      <c r="T20386" s="246">
        <f t="shared" si="356"/>
        <v>0</v>
      </c>
    </row>
    <row r="20387" spans="20:20" ht="18.75" customHeight="1" x14ac:dyDescent="0.35">
      <c r="T20387" s="246">
        <f t="shared" si="356"/>
        <v>0</v>
      </c>
    </row>
    <row r="20388" spans="20:20" ht="18.75" customHeight="1" x14ac:dyDescent="0.35">
      <c r="T20388" s="246">
        <f t="shared" si="356"/>
        <v>0</v>
      </c>
    </row>
    <row r="20389" spans="20:20" ht="18.75" customHeight="1" x14ac:dyDescent="0.35">
      <c r="T20389" s="246">
        <f t="shared" si="356"/>
        <v>0</v>
      </c>
    </row>
    <row r="20390" spans="20:20" ht="18.75" customHeight="1" x14ac:dyDescent="0.35">
      <c r="T20390" s="246">
        <f t="shared" si="356"/>
        <v>0</v>
      </c>
    </row>
    <row r="20391" spans="20:20" ht="18.75" customHeight="1" x14ac:dyDescent="0.35">
      <c r="T20391" s="246">
        <f t="shared" si="356"/>
        <v>0</v>
      </c>
    </row>
    <row r="20392" spans="20:20" ht="18.75" customHeight="1" x14ac:dyDescent="0.35">
      <c r="T20392" s="246">
        <f t="shared" si="356"/>
        <v>0</v>
      </c>
    </row>
    <row r="20393" spans="20:20" ht="18.75" customHeight="1" x14ac:dyDescent="0.35">
      <c r="T20393" s="246">
        <f t="shared" si="356"/>
        <v>0</v>
      </c>
    </row>
    <row r="20394" spans="20:20" ht="18.75" customHeight="1" x14ac:dyDescent="0.35">
      <c r="T20394" s="246">
        <f t="shared" si="356"/>
        <v>0</v>
      </c>
    </row>
    <row r="20395" spans="20:20" ht="18.75" customHeight="1" x14ac:dyDescent="0.35">
      <c r="T20395" s="246">
        <f t="shared" si="356"/>
        <v>0</v>
      </c>
    </row>
    <row r="20396" spans="20:20" ht="18.75" customHeight="1" x14ac:dyDescent="0.35">
      <c r="T20396" s="246">
        <f t="shared" si="356"/>
        <v>0</v>
      </c>
    </row>
    <row r="20397" spans="20:20" ht="18.75" customHeight="1" x14ac:dyDescent="0.35">
      <c r="T20397" s="246">
        <f t="shared" si="356"/>
        <v>0</v>
      </c>
    </row>
    <row r="20398" spans="20:20" ht="18.75" customHeight="1" x14ac:dyDescent="0.35">
      <c r="T20398" s="246">
        <f t="shared" si="356"/>
        <v>0</v>
      </c>
    </row>
    <row r="20399" spans="20:20" ht="18.75" customHeight="1" x14ac:dyDescent="0.35">
      <c r="T20399" s="246">
        <f t="shared" si="356"/>
        <v>0</v>
      </c>
    </row>
    <row r="20400" spans="20:20" ht="18.75" customHeight="1" x14ac:dyDescent="0.35">
      <c r="T20400" s="246">
        <f t="shared" si="356"/>
        <v>0</v>
      </c>
    </row>
    <row r="20401" spans="20:20" ht="18.75" customHeight="1" x14ac:dyDescent="0.35">
      <c r="T20401" s="246">
        <f t="shared" si="356"/>
        <v>0</v>
      </c>
    </row>
    <row r="20402" spans="20:20" ht="18.75" customHeight="1" x14ac:dyDescent="0.35">
      <c r="T20402" s="246">
        <f t="shared" si="356"/>
        <v>0</v>
      </c>
    </row>
    <row r="20403" spans="20:20" ht="18.75" customHeight="1" x14ac:dyDescent="0.35">
      <c r="T20403" s="246">
        <f t="shared" si="356"/>
        <v>0</v>
      </c>
    </row>
    <row r="20404" spans="20:20" ht="18.75" customHeight="1" x14ac:dyDescent="0.35">
      <c r="T20404" s="246">
        <f t="shared" si="356"/>
        <v>0</v>
      </c>
    </row>
    <row r="20405" spans="20:20" ht="18.75" customHeight="1" x14ac:dyDescent="0.35">
      <c r="T20405" s="246">
        <f t="shared" si="356"/>
        <v>0</v>
      </c>
    </row>
    <row r="20406" spans="20:20" ht="18.75" customHeight="1" x14ac:dyDescent="0.35">
      <c r="T20406" s="246">
        <f t="shared" si="356"/>
        <v>0</v>
      </c>
    </row>
    <row r="20407" spans="20:20" ht="18.75" customHeight="1" x14ac:dyDescent="0.35">
      <c r="T20407" s="246">
        <f t="shared" si="356"/>
        <v>0</v>
      </c>
    </row>
    <row r="20408" spans="20:20" ht="18.75" customHeight="1" x14ac:dyDescent="0.35">
      <c r="T20408" s="246">
        <f t="shared" si="356"/>
        <v>0</v>
      </c>
    </row>
    <row r="20409" spans="20:20" ht="18.75" customHeight="1" x14ac:dyDescent="0.35">
      <c r="T20409" s="246">
        <f t="shared" si="356"/>
        <v>0</v>
      </c>
    </row>
    <row r="20410" spans="20:20" ht="18.75" customHeight="1" x14ac:dyDescent="0.35">
      <c r="T20410" s="246">
        <f t="shared" si="356"/>
        <v>0</v>
      </c>
    </row>
    <row r="20411" spans="20:20" ht="18.75" customHeight="1" x14ac:dyDescent="0.35">
      <c r="T20411" s="246">
        <f t="shared" si="356"/>
        <v>0</v>
      </c>
    </row>
    <row r="20412" spans="20:20" ht="18.75" customHeight="1" x14ac:dyDescent="0.35">
      <c r="T20412" s="246">
        <f t="shared" ref="T20412:T20475" si="357">R20412*0.01</f>
        <v>0</v>
      </c>
    </row>
    <row r="20413" spans="20:20" ht="18.75" customHeight="1" x14ac:dyDescent="0.35">
      <c r="T20413" s="246">
        <f t="shared" si="357"/>
        <v>0</v>
      </c>
    </row>
    <row r="20414" spans="20:20" ht="18.75" customHeight="1" x14ac:dyDescent="0.35">
      <c r="T20414" s="246">
        <f t="shared" si="357"/>
        <v>0</v>
      </c>
    </row>
    <row r="20415" spans="20:20" ht="18.75" customHeight="1" x14ac:dyDescent="0.35">
      <c r="T20415" s="246">
        <f t="shared" si="357"/>
        <v>0</v>
      </c>
    </row>
    <row r="20416" spans="20:20" ht="18.75" customHeight="1" x14ac:dyDescent="0.35">
      <c r="T20416" s="246">
        <f t="shared" si="357"/>
        <v>0</v>
      </c>
    </row>
    <row r="20417" spans="20:20" ht="18.75" customHeight="1" x14ac:dyDescent="0.35">
      <c r="T20417" s="246">
        <f t="shared" si="357"/>
        <v>0</v>
      </c>
    </row>
    <row r="20418" spans="20:20" ht="18.75" customHeight="1" x14ac:dyDescent="0.35">
      <c r="T20418" s="246">
        <f t="shared" si="357"/>
        <v>0</v>
      </c>
    </row>
    <row r="20419" spans="20:20" ht="18.75" customHeight="1" x14ac:dyDescent="0.35">
      <c r="T20419" s="246">
        <f t="shared" si="357"/>
        <v>0</v>
      </c>
    </row>
    <row r="20420" spans="20:20" ht="18.75" customHeight="1" x14ac:dyDescent="0.35">
      <c r="T20420" s="246">
        <f t="shared" si="357"/>
        <v>0</v>
      </c>
    </row>
    <row r="20421" spans="20:20" ht="18.75" customHeight="1" x14ac:dyDescent="0.35">
      <c r="T20421" s="246">
        <f t="shared" si="357"/>
        <v>0</v>
      </c>
    </row>
    <row r="20422" spans="20:20" ht="18.75" customHeight="1" x14ac:dyDescent="0.35">
      <c r="T20422" s="246">
        <f t="shared" si="357"/>
        <v>0</v>
      </c>
    </row>
    <row r="20423" spans="20:20" ht="18.75" customHeight="1" x14ac:dyDescent="0.35">
      <c r="T20423" s="246">
        <f t="shared" si="357"/>
        <v>0</v>
      </c>
    </row>
    <row r="20424" spans="20:20" ht="18.75" customHeight="1" x14ac:dyDescent="0.35">
      <c r="T20424" s="246">
        <f t="shared" si="357"/>
        <v>0</v>
      </c>
    </row>
    <row r="20425" spans="20:20" ht="18.75" customHeight="1" x14ac:dyDescent="0.35">
      <c r="T20425" s="246">
        <f t="shared" si="357"/>
        <v>0</v>
      </c>
    </row>
    <row r="20426" spans="20:20" ht="18.75" customHeight="1" x14ac:dyDescent="0.35">
      <c r="T20426" s="246">
        <f t="shared" si="357"/>
        <v>0</v>
      </c>
    </row>
    <row r="20427" spans="20:20" ht="18.75" customHeight="1" x14ac:dyDescent="0.35">
      <c r="T20427" s="246">
        <f t="shared" si="357"/>
        <v>0</v>
      </c>
    </row>
    <row r="20428" spans="20:20" ht="18.75" customHeight="1" x14ac:dyDescent="0.35">
      <c r="T20428" s="246">
        <f t="shared" si="357"/>
        <v>0</v>
      </c>
    </row>
    <row r="20429" spans="20:20" ht="18.75" customHeight="1" x14ac:dyDescent="0.35">
      <c r="T20429" s="246">
        <f t="shared" si="357"/>
        <v>0</v>
      </c>
    </row>
    <row r="20430" spans="20:20" ht="18.75" customHeight="1" x14ac:dyDescent="0.35">
      <c r="T20430" s="246">
        <f t="shared" si="357"/>
        <v>0</v>
      </c>
    </row>
    <row r="20431" spans="20:20" ht="18.75" customHeight="1" x14ac:dyDescent="0.35">
      <c r="T20431" s="246">
        <f t="shared" si="357"/>
        <v>0</v>
      </c>
    </row>
    <row r="20432" spans="20:20" ht="18.75" customHeight="1" x14ac:dyDescent="0.35">
      <c r="T20432" s="246">
        <f t="shared" si="357"/>
        <v>0</v>
      </c>
    </row>
    <row r="20433" spans="20:20" ht="18.75" customHeight="1" x14ac:dyDescent="0.35">
      <c r="T20433" s="246">
        <f t="shared" si="357"/>
        <v>0</v>
      </c>
    </row>
    <row r="20434" spans="20:20" ht="18.75" customHeight="1" x14ac:dyDescent="0.35">
      <c r="T20434" s="246">
        <f t="shared" si="357"/>
        <v>0</v>
      </c>
    </row>
    <row r="20435" spans="20:20" ht="18.75" customHeight="1" x14ac:dyDescent="0.35">
      <c r="T20435" s="246">
        <f t="shared" si="357"/>
        <v>0</v>
      </c>
    </row>
    <row r="20436" spans="20:20" ht="18.75" customHeight="1" x14ac:dyDescent="0.35">
      <c r="T20436" s="246">
        <f t="shared" si="357"/>
        <v>0</v>
      </c>
    </row>
    <row r="20437" spans="20:20" ht="18.75" customHeight="1" x14ac:dyDescent="0.35">
      <c r="T20437" s="246">
        <f t="shared" si="357"/>
        <v>0</v>
      </c>
    </row>
    <row r="20438" spans="20:20" ht="18.75" customHeight="1" x14ac:dyDescent="0.35">
      <c r="T20438" s="246">
        <f t="shared" si="357"/>
        <v>0</v>
      </c>
    </row>
    <row r="20439" spans="20:20" ht="18.75" customHeight="1" x14ac:dyDescent="0.35">
      <c r="T20439" s="246">
        <f t="shared" si="357"/>
        <v>0</v>
      </c>
    </row>
    <row r="20440" spans="20:20" ht="18.75" customHeight="1" x14ac:dyDescent="0.35">
      <c r="T20440" s="246">
        <f t="shared" si="357"/>
        <v>0</v>
      </c>
    </row>
    <row r="20441" spans="20:20" ht="18.75" customHeight="1" x14ac:dyDescent="0.35">
      <c r="T20441" s="246">
        <f t="shared" si="357"/>
        <v>0</v>
      </c>
    </row>
    <row r="20442" spans="20:20" ht="18.75" customHeight="1" x14ac:dyDescent="0.35">
      <c r="T20442" s="246">
        <f t="shared" si="357"/>
        <v>0</v>
      </c>
    </row>
    <row r="20443" spans="20:20" ht="18.75" customHeight="1" x14ac:dyDescent="0.35">
      <c r="T20443" s="246">
        <f t="shared" si="357"/>
        <v>0</v>
      </c>
    </row>
    <row r="20444" spans="20:20" ht="18.75" customHeight="1" x14ac:dyDescent="0.35">
      <c r="T20444" s="246">
        <f t="shared" si="357"/>
        <v>0</v>
      </c>
    </row>
    <row r="20445" spans="20:20" ht="18.75" customHeight="1" x14ac:dyDescent="0.35">
      <c r="T20445" s="246">
        <f t="shared" si="357"/>
        <v>0</v>
      </c>
    </row>
    <row r="20446" spans="20:20" ht="18.75" customHeight="1" x14ac:dyDescent="0.35">
      <c r="T20446" s="246">
        <f t="shared" si="357"/>
        <v>0</v>
      </c>
    </row>
    <row r="20447" spans="20:20" ht="18.75" customHeight="1" x14ac:dyDescent="0.35">
      <c r="T20447" s="246">
        <f t="shared" si="357"/>
        <v>0</v>
      </c>
    </row>
    <row r="20448" spans="20:20" ht="18.75" customHeight="1" x14ac:dyDescent="0.35">
      <c r="T20448" s="246">
        <f t="shared" si="357"/>
        <v>0</v>
      </c>
    </row>
    <row r="20449" spans="20:20" ht="18.75" customHeight="1" x14ac:dyDescent="0.35">
      <c r="T20449" s="246">
        <f t="shared" si="357"/>
        <v>0</v>
      </c>
    </row>
    <row r="20450" spans="20:20" ht="18.75" customHeight="1" x14ac:dyDescent="0.35">
      <c r="T20450" s="246">
        <f t="shared" si="357"/>
        <v>0</v>
      </c>
    </row>
    <row r="20451" spans="20:20" ht="18.75" customHeight="1" x14ac:dyDescent="0.35">
      <c r="T20451" s="246">
        <f t="shared" si="357"/>
        <v>0</v>
      </c>
    </row>
    <row r="20452" spans="20:20" ht="18.75" customHeight="1" x14ac:dyDescent="0.35">
      <c r="T20452" s="246">
        <f t="shared" si="357"/>
        <v>0</v>
      </c>
    </row>
    <row r="20453" spans="20:20" ht="18.75" customHeight="1" x14ac:dyDescent="0.35">
      <c r="T20453" s="246">
        <f t="shared" si="357"/>
        <v>0</v>
      </c>
    </row>
    <row r="20454" spans="20:20" ht="18.75" customHeight="1" x14ac:dyDescent="0.35">
      <c r="T20454" s="246">
        <f t="shared" si="357"/>
        <v>0</v>
      </c>
    </row>
    <row r="20455" spans="20:20" ht="18.75" customHeight="1" x14ac:dyDescent="0.35">
      <c r="T20455" s="246">
        <f t="shared" si="357"/>
        <v>0</v>
      </c>
    </row>
    <row r="20456" spans="20:20" ht="18.75" customHeight="1" x14ac:dyDescent="0.35">
      <c r="T20456" s="246">
        <f t="shared" si="357"/>
        <v>0</v>
      </c>
    </row>
    <row r="20457" spans="20:20" ht="18.75" customHeight="1" x14ac:dyDescent="0.35">
      <c r="T20457" s="246">
        <f t="shared" si="357"/>
        <v>0</v>
      </c>
    </row>
    <row r="20458" spans="20:20" ht="18.75" customHeight="1" x14ac:dyDescent="0.35">
      <c r="T20458" s="246">
        <f t="shared" si="357"/>
        <v>0</v>
      </c>
    </row>
    <row r="20459" spans="20:20" ht="18.75" customHeight="1" x14ac:dyDescent="0.35">
      <c r="T20459" s="246">
        <f t="shared" si="357"/>
        <v>0</v>
      </c>
    </row>
    <row r="20460" spans="20:20" ht="18.75" customHeight="1" x14ac:dyDescent="0.35">
      <c r="T20460" s="246">
        <f t="shared" si="357"/>
        <v>0</v>
      </c>
    </row>
    <row r="20461" spans="20:20" ht="18.75" customHeight="1" x14ac:dyDescent="0.35">
      <c r="T20461" s="246">
        <f t="shared" si="357"/>
        <v>0</v>
      </c>
    </row>
    <row r="20462" spans="20:20" ht="18.75" customHeight="1" x14ac:dyDescent="0.35">
      <c r="T20462" s="246">
        <f t="shared" si="357"/>
        <v>0</v>
      </c>
    </row>
    <row r="20463" spans="20:20" ht="18.75" customHeight="1" x14ac:dyDescent="0.35">
      <c r="T20463" s="246">
        <f t="shared" si="357"/>
        <v>0</v>
      </c>
    </row>
    <row r="20464" spans="20:20" ht="18.75" customHeight="1" x14ac:dyDescent="0.35">
      <c r="T20464" s="246">
        <f t="shared" si="357"/>
        <v>0</v>
      </c>
    </row>
    <row r="20465" spans="20:20" ht="18.75" customHeight="1" x14ac:dyDescent="0.35">
      <c r="T20465" s="246">
        <f t="shared" si="357"/>
        <v>0</v>
      </c>
    </row>
    <row r="20466" spans="20:20" ht="18.75" customHeight="1" x14ac:dyDescent="0.35">
      <c r="T20466" s="246">
        <f t="shared" si="357"/>
        <v>0</v>
      </c>
    </row>
    <row r="20467" spans="20:20" ht="18.75" customHeight="1" x14ac:dyDescent="0.35">
      <c r="T20467" s="246">
        <f t="shared" si="357"/>
        <v>0</v>
      </c>
    </row>
    <row r="20468" spans="20:20" ht="18.75" customHeight="1" x14ac:dyDescent="0.35">
      <c r="T20468" s="246">
        <f t="shared" si="357"/>
        <v>0</v>
      </c>
    </row>
    <row r="20469" spans="20:20" ht="18.75" customHeight="1" x14ac:dyDescent="0.35">
      <c r="T20469" s="246">
        <f t="shared" si="357"/>
        <v>0</v>
      </c>
    </row>
    <row r="20470" spans="20:20" ht="18.75" customHeight="1" x14ac:dyDescent="0.35">
      <c r="T20470" s="246">
        <f t="shared" si="357"/>
        <v>0</v>
      </c>
    </row>
    <row r="20471" spans="20:20" ht="18.75" customHeight="1" x14ac:dyDescent="0.35">
      <c r="T20471" s="246">
        <f t="shared" si="357"/>
        <v>0</v>
      </c>
    </row>
    <row r="20472" spans="20:20" ht="18.75" customHeight="1" x14ac:dyDescent="0.35">
      <c r="T20472" s="246">
        <f t="shared" si="357"/>
        <v>0</v>
      </c>
    </row>
    <row r="20473" spans="20:20" ht="18.75" customHeight="1" x14ac:dyDescent="0.35">
      <c r="T20473" s="246">
        <f t="shared" si="357"/>
        <v>0</v>
      </c>
    </row>
    <row r="20474" spans="20:20" ht="18.75" customHeight="1" x14ac:dyDescent="0.35">
      <c r="T20474" s="246">
        <f t="shared" si="357"/>
        <v>0</v>
      </c>
    </row>
    <row r="20475" spans="20:20" ht="18.75" customHeight="1" x14ac:dyDescent="0.35">
      <c r="T20475" s="246">
        <f t="shared" si="357"/>
        <v>0</v>
      </c>
    </row>
    <row r="20476" spans="20:20" ht="18.75" customHeight="1" x14ac:dyDescent="0.35">
      <c r="T20476" s="246">
        <f t="shared" ref="T20476:T20539" si="358">R20476*0.01</f>
        <v>0</v>
      </c>
    </row>
    <row r="20477" spans="20:20" ht="18.75" customHeight="1" x14ac:dyDescent="0.35">
      <c r="T20477" s="246">
        <f t="shared" si="358"/>
        <v>0</v>
      </c>
    </row>
    <row r="20478" spans="20:20" ht="18.75" customHeight="1" x14ac:dyDescent="0.35">
      <c r="T20478" s="246">
        <f t="shared" si="358"/>
        <v>0</v>
      </c>
    </row>
    <row r="20479" spans="20:20" ht="18.75" customHeight="1" x14ac:dyDescent="0.35">
      <c r="T20479" s="246">
        <f t="shared" si="358"/>
        <v>0</v>
      </c>
    </row>
    <row r="20480" spans="20:20" ht="18.75" customHeight="1" x14ac:dyDescent="0.35">
      <c r="T20480" s="246">
        <f t="shared" si="358"/>
        <v>0</v>
      </c>
    </row>
    <row r="20481" spans="20:20" ht="18.75" customHeight="1" x14ac:dyDescent="0.35">
      <c r="T20481" s="246">
        <f t="shared" si="358"/>
        <v>0</v>
      </c>
    </row>
    <row r="20482" spans="20:20" ht="18.75" customHeight="1" x14ac:dyDescent="0.35">
      <c r="T20482" s="246">
        <f t="shared" si="358"/>
        <v>0</v>
      </c>
    </row>
    <row r="20483" spans="20:20" ht="18.75" customHeight="1" x14ac:dyDescent="0.35">
      <c r="T20483" s="246">
        <f t="shared" si="358"/>
        <v>0</v>
      </c>
    </row>
    <row r="20484" spans="20:20" ht="18.75" customHeight="1" x14ac:dyDescent="0.35">
      <c r="T20484" s="246">
        <f t="shared" si="358"/>
        <v>0</v>
      </c>
    </row>
    <row r="20485" spans="20:20" ht="18.75" customHeight="1" x14ac:dyDescent="0.35">
      <c r="T20485" s="246">
        <f t="shared" si="358"/>
        <v>0</v>
      </c>
    </row>
    <row r="20486" spans="20:20" ht="18.75" customHeight="1" x14ac:dyDescent="0.35">
      <c r="T20486" s="246">
        <f t="shared" si="358"/>
        <v>0</v>
      </c>
    </row>
    <row r="20487" spans="20:20" ht="18.75" customHeight="1" x14ac:dyDescent="0.35">
      <c r="T20487" s="246">
        <f t="shared" si="358"/>
        <v>0</v>
      </c>
    </row>
    <row r="20488" spans="20:20" ht="18.75" customHeight="1" x14ac:dyDescent="0.35">
      <c r="T20488" s="246">
        <f t="shared" si="358"/>
        <v>0</v>
      </c>
    </row>
    <row r="20489" spans="20:20" ht="18.75" customHeight="1" x14ac:dyDescent="0.35">
      <c r="T20489" s="246">
        <f t="shared" si="358"/>
        <v>0</v>
      </c>
    </row>
    <row r="20490" spans="20:20" ht="18.75" customHeight="1" x14ac:dyDescent="0.35">
      <c r="T20490" s="246">
        <f t="shared" si="358"/>
        <v>0</v>
      </c>
    </row>
    <row r="20491" spans="20:20" ht="18.75" customHeight="1" x14ac:dyDescent="0.35">
      <c r="T20491" s="246">
        <f t="shared" si="358"/>
        <v>0</v>
      </c>
    </row>
    <row r="20492" spans="20:20" ht="18.75" customHeight="1" x14ac:dyDescent="0.35">
      <c r="T20492" s="246">
        <f t="shared" si="358"/>
        <v>0</v>
      </c>
    </row>
    <row r="20493" spans="20:20" ht="18.75" customHeight="1" x14ac:dyDescent="0.35">
      <c r="T20493" s="246">
        <f t="shared" si="358"/>
        <v>0</v>
      </c>
    </row>
    <row r="20494" spans="20:20" ht="18.75" customHeight="1" x14ac:dyDescent="0.35">
      <c r="T20494" s="246">
        <f t="shared" si="358"/>
        <v>0</v>
      </c>
    </row>
    <row r="20495" spans="20:20" ht="18.75" customHeight="1" x14ac:dyDescent="0.35">
      <c r="T20495" s="246">
        <f t="shared" si="358"/>
        <v>0</v>
      </c>
    </row>
    <row r="20496" spans="20:20" ht="18.75" customHeight="1" x14ac:dyDescent="0.35">
      <c r="T20496" s="246">
        <f t="shared" si="358"/>
        <v>0</v>
      </c>
    </row>
    <row r="20497" spans="20:20" ht="18.75" customHeight="1" x14ac:dyDescent="0.35">
      <c r="T20497" s="246">
        <f t="shared" si="358"/>
        <v>0</v>
      </c>
    </row>
    <row r="20498" spans="20:20" ht="18.75" customHeight="1" x14ac:dyDescent="0.35">
      <c r="T20498" s="246">
        <f t="shared" si="358"/>
        <v>0</v>
      </c>
    </row>
    <row r="20499" spans="20:20" ht="18.75" customHeight="1" x14ac:dyDescent="0.35">
      <c r="T20499" s="246">
        <f t="shared" si="358"/>
        <v>0</v>
      </c>
    </row>
    <row r="20500" spans="20:20" ht="18.75" customHeight="1" x14ac:dyDescent="0.35">
      <c r="T20500" s="246">
        <f t="shared" si="358"/>
        <v>0</v>
      </c>
    </row>
    <row r="20501" spans="20:20" ht="18.75" customHeight="1" x14ac:dyDescent="0.35">
      <c r="T20501" s="246">
        <f t="shared" si="358"/>
        <v>0</v>
      </c>
    </row>
    <row r="20502" spans="20:20" ht="18.75" customHeight="1" x14ac:dyDescent="0.35">
      <c r="T20502" s="246">
        <f t="shared" si="358"/>
        <v>0</v>
      </c>
    </row>
    <row r="20503" spans="20:20" ht="18.75" customHeight="1" x14ac:dyDescent="0.35">
      <c r="T20503" s="246">
        <f t="shared" si="358"/>
        <v>0</v>
      </c>
    </row>
    <row r="20504" spans="20:20" ht="18.75" customHeight="1" x14ac:dyDescent="0.35">
      <c r="T20504" s="246">
        <f t="shared" si="358"/>
        <v>0</v>
      </c>
    </row>
    <row r="20505" spans="20:20" ht="18.75" customHeight="1" x14ac:dyDescent="0.35">
      <c r="T20505" s="246">
        <f t="shared" si="358"/>
        <v>0</v>
      </c>
    </row>
    <row r="20506" spans="20:20" ht="18.75" customHeight="1" x14ac:dyDescent="0.35">
      <c r="T20506" s="246">
        <f t="shared" si="358"/>
        <v>0</v>
      </c>
    </row>
    <row r="20507" spans="20:20" ht="18.75" customHeight="1" x14ac:dyDescent="0.35">
      <c r="T20507" s="246">
        <f t="shared" si="358"/>
        <v>0</v>
      </c>
    </row>
    <row r="20508" spans="20:20" ht="18.75" customHeight="1" x14ac:dyDescent="0.35">
      <c r="T20508" s="246">
        <f t="shared" si="358"/>
        <v>0</v>
      </c>
    </row>
    <row r="20509" spans="20:20" ht="18.75" customHeight="1" x14ac:dyDescent="0.35">
      <c r="T20509" s="246">
        <f t="shared" si="358"/>
        <v>0</v>
      </c>
    </row>
    <row r="20510" spans="20:20" ht="18.75" customHeight="1" x14ac:dyDescent="0.35">
      <c r="T20510" s="246">
        <f t="shared" si="358"/>
        <v>0</v>
      </c>
    </row>
    <row r="20511" spans="20:20" ht="18.75" customHeight="1" x14ac:dyDescent="0.35">
      <c r="T20511" s="246">
        <f t="shared" si="358"/>
        <v>0</v>
      </c>
    </row>
    <row r="20512" spans="20:20" ht="18.75" customHeight="1" x14ac:dyDescent="0.35">
      <c r="T20512" s="246">
        <f t="shared" si="358"/>
        <v>0</v>
      </c>
    </row>
    <row r="20513" spans="20:20" ht="18.75" customHeight="1" x14ac:dyDescent="0.35">
      <c r="T20513" s="246">
        <f t="shared" si="358"/>
        <v>0</v>
      </c>
    </row>
    <row r="20514" spans="20:20" ht="18.75" customHeight="1" x14ac:dyDescent="0.35">
      <c r="T20514" s="246">
        <f t="shared" si="358"/>
        <v>0</v>
      </c>
    </row>
    <row r="20515" spans="20:20" ht="18.75" customHeight="1" x14ac:dyDescent="0.35">
      <c r="T20515" s="246">
        <f t="shared" si="358"/>
        <v>0</v>
      </c>
    </row>
    <row r="20516" spans="20:20" ht="18.75" customHeight="1" x14ac:dyDescent="0.35">
      <c r="T20516" s="246">
        <f t="shared" si="358"/>
        <v>0</v>
      </c>
    </row>
    <row r="20517" spans="20:20" ht="18.75" customHeight="1" x14ac:dyDescent="0.35">
      <c r="T20517" s="246">
        <f t="shared" si="358"/>
        <v>0</v>
      </c>
    </row>
    <row r="20518" spans="20:20" ht="18.75" customHeight="1" x14ac:dyDescent="0.35">
      <c r="T20518" s="246">
        <f t="shared" si="358"/>
        <v>0</v>
      </c>
    </row>
    <row r="20519" spans="20:20" ht="18.75" customHeight="1" x14ac:dyDescent="0.35">
      <c r="T20519" s="246">
        <f t="shared" si="358"/>
        <v>0</v>
      </c>
    </row>
    <row r="20520" spans="20:20" ht="18.75" customHeight="1" x14ac:dyDescent="0.35">
      <c r="T20520" s="246">
        <f t="shared" si="358"/>
        <v>0</v>
      </c>
    </row>
    <row r="20521" spans="20:20" ht="18.75" customHeight="1" x14ac:dyDescent="0.35">
      <c r="T20521" s="246">
        <f t="shared" si="358"/>
        <v>0</v>
      </c>
    </row>
    <row r="20522" spans="20:20" ht="18.75" customHeight="1" x14ac:dyDescent="0.35">
      <c r="T20522" s="246">
        <f t="shared" si="358"/>
        <v>0</v>
      </c>
    </row>
    <row r="20523" spans="20:20" ht="18.75" customHeight="1" x14ac:dyDescent="0.35">
      <c r="T20523" s="246">
        <f t="shared" si="358"/>
        <v>0</v>
      </c>
    </row>
    <row r="20524" spans="20:20" ht="18.75" customHeight="1" x14ac:dyDescent="0.35">
      <c r="T20524" s="246">
        <f t="shared" si="358"/>
        <v>0</v>
      </c>
    </row>
    <row r="20525" spans="20:20" ht="18.75" customHeight="1" x14ac:dyDescent="0.35">
      <c r="T20525" s="246">
        <f t="shared" si="358"/>
        <v>0</v>
      </c>
    </row>
    <row r="20526" spans="20:20" ht="18.75" customHeight="1" x14ac:dyDescent="0.35">
      <c r="T20526" s="246">
        <f t="shared" si="358"/>
        <v>0</v>
      </c>
    </row>
    <row r="20527" spans="20:20" ht="18.75" customHeight="1" x14ac:dyDescent="0.35">
      <c r="T20527" s="246">
        <f t="shared" si="358"/>
        <v>0</v>
      </c>
    </row>
    <row r="20528" spans="20:20" ht="18.75" customHeight="1" x14ac:dyDescent="0.35">
      <c r="T20528" s="246">
        <f t="shared" si="358"/>
        <v>0</v>
      </c>
    </row>
    <row r="20529" spans="20:20" ht="18.75" customHeight="1" x14ac:dyDescent="0.35">
      <c r="T20529" s="246">
        <f t="shared" si="358"/>
        <v>0</v>
      </c>
    </row>
    <row r="20530" spans="20:20" ht="18.75" customHeight="1" x14ac:dyDescent="0.35">
      <c r="T20530" s="246">
        <f t="shared" si="358"/>
        <v>0</v>
      </c>
    </row>
    <row r="20531" spans="20:20" ht="18.75" customHeight="1" x14ac:dyDescent="0.35">
      <c r="T20531" s="246">
        <f t="shared" si="358"/>
        <v>0</v>
      </c>
    </row>
    <row r="20532" spans="20:20" ht="18.75" customHeight="1" x14ac:dyDescent="0.35">
      <c r="T20532" s="246">
        <f t="shared" si="358"/>
        <v>0</v>
      </c>
    </row>
    <row r="20533" spans="20:20" ht="18.75" customHeight="1" x14ac:dyDescent="0.35">
      <c r="T20533" s="246">
        <f t="shared" si="358"/>
        <v>0</v>
      </c>
    </row>
    <row r="20534" spans="20:20" ht="18.75" customHeight="1" x14ac:dyDescent="0.35">
      <c r="T20534" s="246">
        <f t="shared" si="358"/>
        <v>0</v>
      </c>
    </row>
    <row r="20535" spans="20:20" ht="18.75" customHeight="1" x14ac:dyDescent="0.35">
      <c r="T20535" s="246">
        <f t="shared" si="358"/>
        <v>0</v>
      </c>
    </row>
    <row r="20536" spans="20:20" ht="18.75" customHeight="1" x14ac:dyDescent="0.35">
      <c r="T20536" s="246">
        <f t="shared" si="358"/>
        <v>0</v>
      </c>
    </row>
    <row r="20537" spans="20:20" ht="18.75" customHeight="1" x14ac:dyDescent="0.35">
      <c r="T20537" s="246">
        <f t="shared" si="358"/>
        <v>0</v>
      </c>
    </row>
    <row r="20538" spans="20:20" ht="18.75" customHeight="1" x14ac:dyDescent="0.35">
      <c r="T20538" s="246">
        <f t="shared" si="358"/>
        <v>0</v>
      </c>
    </row>
    <row r="20539" spans="20:20" ht="18.75" customHeight="1" x14ac:dyDescent="0.35">
      <c r="T20539" s="246">
        <f t="shared" si="358"/>
        <v>0</v>
      </c>
    </row>
    <row r="20540" spans="20:20" ht="18.75" customHeight="1" x14ac:dyDescent="0.35">
      <c r="T20540" s="246">
        <f t="shared" ref="T20540:T20603" si="359">R20540*0.01</f>
        <v>0</v>
      </c>
    </row>
    <row r="20541" spans="20:20" ht="18.75" customHeight="1" x14ac:dyDescent="0.35">
      <c r="T20541" s="246">
        <f t="shared" si="359"/>
        <v>0</v>
      </c>
    </row>
    <row r="20542" spans="20:20" ht="18.75" customHeight="1" x14ac:dyDescent="0.35">
      <c r="T20542" s="246">
        <f t="shared" si="359"/>
        <v>0</v>
      </c>
    </row>
    <row r="20543" spans="20:20" ht="18.75" customHeight="1" x14ac:dyDescent="0.35">
      <c r="T20543" s="246">
        <f t="shared" si="359"/>
        <v>0</v>
      </c>
    </row>
    <row r="20544" spans="20:20" ht="18.75" customHeight="1" x14ac:dyDescent="0.35">
      <c r="T20544" s="246">
        <f t="shared" si="359"/>
        <v>0</v>
      </c>
    </row>
    <row r="20545" spans="20:20" ht="18.75" customHeight="1" x14ac:dyDescent="0.35">
      <c r="T20545" s="246">
        <f t="shared" si="359"/>
        <v>0</v>
      </c>
    </row>
    <row r="20546" spans="20:20" ht="18.75" customHeight="1" x14ac:dyDescent="0.35">
      <c r="T20546" s="246">
        <f t="shared" si="359"/>
        <v>0</v>
      </c>
    </row>
    <row r="20547" spans="20:20" ht="18.75" customHeight="1" x14ac:dyDescent="0.35">
      <c r="T20547" s="246">
        <f t="shared" si="359"/>
        <v>0</v>
      </c>
    </row>
    <row r="20548" spans="20:20" ht="18.75" customHeight="1" x14ac:dyDescent="0.35">
      <c r="T20548" s="246">
        <f t="shared" si="359"/>
        <v>0</v>
      </c>
    </row>
    <row r="20549" spans="20:20" ht="18.75" customHeight="1" x14ac:dyDescent="0.35">
      <c r="T20549" s="246">
        <f t="shared" si="359"/>
        <v>0</v>
      </c>
    </row>
    <row r="20550" spans="20:20" ht="18.75" customHeight="1" x14ac:dyDescent="0.35">
      <c r="T20550" s="246">
        <f t="shared" si="359"/>
        <v>0</v>
      </c>
    </row>
    <row r="20551" spans="20:20" ht="18.75" customHeight="1" x14ac:dyDescent="0.35">
      <c r="T20551" s="246">
        <f t="shared" si="359"/>
        <v>0</v>
      </c>
    </row>
    <row r="20552" spans="20:20" ht="18.75" customHeight="1" x14ac:dyDescent="0.35">
      <c r="T20552" s="246">
        <f t="shared" si="359"/>
        <v>0</v>
      </c>
    </row>
    <row r="20553" spans="20:20" ht="18.75" customHeight="1" x14ac:dyDescent="0.35">
      <c r="T20553" s="246">
        <f t="shared" si="359"/>
        <v>0</v>
      </c>
    </row>
    <row r="20554" spans="20:20" ht="18.75" customHeight="1" x14ac:dyDescent="0.35">
      <c r="T20554" s="246">
        <f t="shared" si="359"/>
        <v>0</v>
      </c>
    </row>
    <row r="20555" spans="20:20" ht="18.75" customHeight="1" x14ac:dyDescent="0.35">
      <c r="T20555" s="246">
        <f t="shared" si="359"/>
        <v>0</v>
      </c>
    </row>
    <row r="20556" spans="20:20" ht="18.75" customHeight="1" x14ac:dyDescent="0.35">
      <c r="T20556" s="246">
        <f t="shared" si="359"/>
        <v>0</v>
      </c>
    </row>
    <row r="20557" spans="20:20" ht="18.75" customHeight="1" x14ac:dyDescent="0.35">
      <c r="T20557" s="246">
        <f t="shared" si="359"/>
        <v>0</v>
      </c>
    </row>
    <row r="20558" spans="20:20" ht="18.75" customHeight="1" x14ac:dyDescent="0.35">
      <c r="T20558" s="246">
        <f t="shared" si="359"/>
        <v>0</v>
      </c>
    </row>
    <row r="20559" spans="20:20" ht="18.75" customHeight="1" x14ac:dyDescent="0.35">
      <c r="T20559" s="246">
        <f t="shared" si="359"/>
        <v>0</v>
      </c>
    </row>
    <row r="20560" spans="20:20" ht="18.75" customHeight="1" x14ac:dyDescent="0.35">
      <c r="T20560" s="246">
        <f t="shared" si="359"/>
        <v>0</v>
      </c>
    </row>
    <row r="20561" spans="20:20" ht="18.75" customHeight="1" x14ac:dyDescent="0.35">
      <c r="T20561" s="246">
        <f t="shared" si="359"/>
        <v>0</v>
      </c>
    </row>
    <row r="20562" spans="20:20" ht="18.75" customHeight="1" x14ac:dyDescent="0.35">
      <c r="T20562" s="246">
        <f t="shared" si="359"/>
        <v>0</v>
      </c>
    </row>
    <row r="20563" spans="20:20" ht="18.75" customHeight="1" x14ac:dyDescent="0.35">
      <c r="T20563" s="246">
        <f t="shared" si="359"/>
        <v>0</v>
      </c>
    </row>
    <row r="20564" spans="20:20" ht="18.75" customHeight="1" x14ac:dyDescent="0.35">
      <c r="T20564" s="246">
        <f t="shared" si="359"/>
        <v>0</v>
      </c>
    </row>
    <row r="20565" spans="20:20" ht="18.75" customHeight="1" x14ac:dyDescent="0.35">
      <c r="T20565" s="246">
        <f t="shared" si="359"/>
        <v>0</v>
      </c>
    </row>
    <row r="20566" spans="20:20" ht="18.75" customHeight="1" x14ac:dyDescent="0.35">
      <c r="T20566" s="246">
        <f t="shared" si="359"/>
        <v>0</v>
      </c>
    </row>
    <row r="20567" spans="20:20" ht="18.75" customHeight="1" x14ac:dyDescent="0.35">
      <c r="T20567" s="246">
        <f t="shared" si="359"/>
        <v>0</v>
      </c>
    </row>
    <row r="20568" spans="20:20" ht="18.75" customHeight="1" x14ac:dyDescent="0.35">
      <c r="T20568" s="246">
        <f t="shared" si="359"/>
        <v>0</v>
      </c>
    </row>
    <row r="20569" spans="20:20" ht="18.75" customHeight="1" x14ac:dyDescent="0.35">
      <c r="T20569" s="246">
        <f t="shared" si="359"/>
        <v>0</v>
      </c>
    </row>
    <row r="20570" spans="20:20" ht="18.75" customHeight="1" x14ac:dyDescent="0.35">
      <c r="T20570" s="246">
        <f t="shared" si="359"/>
        <v>0</v>
      </c>
    </row>
    <row r="20571" spans="20:20" ht="18.75" customHeight="1" x14ac:dyDescent="0.35">
      <c r="T20571" s="246">
        <f t="shared" si="359"/>
        <v>0</v>
      </c>
    </row>
    <row r="20572" spans="20:20" ht="18.75" customHeight="1" x14ac:dyDescent="0.35">
      <c r="T20572" s="246">
        <f t="shared" si="359"/>
        <v>0</v>
      </c>
    </row>
    <row r="20573" spans="20:20" ht="18.75" customHeight="1" x14ac:dyDescent="0.35">
      <c r="T20573" s="246">
        <f t="shared" si="359"/>
        <v>0</v>
      </c>
    </row>
    <row r="20574" spans="20:20" ht="18.75" customHeight="1" x14ac:dyDescent="0.35">
      <c r="T20574" s="246">
        <f t="shared" si="359"/>
        <v>0</v>
      </c>
    </row>
    <row r="20575" spans="20:20" ht="18.75" customHeight="1" x14ac:dyDescent="0.35">
      <c r="T20575" s="246">
        <f t="shared" si="359"/>
        <v>0</v>
      </c>
    </row>
    <row r="20576" spans="20:20" ht="18.75" customHeight="1" x14ac:dyDescent="0.35">
      <c r="T20576" s="246">
        <f t="shared" si="359"/>
        <v>0</v>
      </c>
    </row>
    <row r="20577" spans="20:20" ht="18.75" customHeight="1" x14ac:dyDescent="0.35">
      <c r="T20577" s="246">
        <f t="shared" si="359"/>
        <v>0</v>
      </c>
    </row>
    <row r="20578" spans="20:20" ht="18.75" customHeight="1" x14ac:dyDescent="0.35">
      <c r="T20578" s="246">
        <f t="shared" si="359"/>
        <v>0</v>
      </c>
    </row>
    <row r="20579" spans="20:20" ht="18.75" customHeight="1" x14ac:dyDescent="0.35">
      <c r="T20579" s="246">
        <f t="shared" si="359"/>
        <v>0</v>
      </c>
    </row>
    <row r="20580" spans="20:20" ht="18.75" customHeight="1" x14ac:dyDescent="0.35">
      <c r="T20580" s="246">
        <f t="shared" si="359"/>
        <v>0</v>
      </c>
    </row>
    <row r="20581" spans="20:20" ht="18.75" customHeight="1" x14ac:dyDescent="0.35">
      <c r="T20581" s="246">
        <f t="shared" si="359"/>
        <v>0</v>
      </c>
    </row>
    <row r="20582" spans="20:20" ht="18.75" customHeight="1" x14ac:dyDescent="0.35">
      <c r="T20582" s="246">
        <f t="shared" si="359"/>
        <v>0</v>
      </c>
    </row>
    <row r="20583" spans="20:20" ht="18.75" customHeight="1" x14ac:dyDescent="0.35">
      <c r="T20583" s="246">
        <f t="shared" si="359"/>
        <v>0</v>
      </c>
    </row>
    <row r="20584" spans="20:20" ht="18.75" customHeight="1" x14ac:dyDescent="0.35">
      <c r="T20584" s="246">
        <f t="shared" si="359"/>
        <v>0</v>
      </c>
    </row>
    <row r="20585" spans="20:20" ht="18.75" customHeight="1" x14ac:dyDescent="0.35">
      <c r="T20585" s="246">
        <f t="shared" si="359"/>
        <v>0</v>
      </c>
    </row>
    <row r="20586" spans="20:20" ht="18.75" customHeight="1" x14ac:dyDescent="0.35">
      <c r="T20586" s="246">
        <f t="shared" si="359"/>
        <v>0</v>
      </c>
    </row>
    <row r="20587" spans="20:20" ht="18.75" customHeight="1" x14ac:dyDescent="0.35">
      <c r="T20587" s="246">
        <f t="shared" si="359"/>
        <v>0</v>
      </c>
    </row>
    <row r="20588" spans="20:20" ht="18.75" customHeight="1" x14ac:dyDescent="0.35">
      <c r="T20588" s="246">
        <f t="shared" si="359"/>
        <v>0</v>
      </c>
    </row>
    <row r="20589" spans="20:20" ht="18.75" customHeight="1" x14ac:dyDescent="0.35">
      <c r="T20589" s="246">
        <f t="shared" si="359"/>
        <v>0</v>
      </c>
    </row>
    <row r="20590" spans="20:20" ht="18.75" customHeight="1" x14ac:dyDescent="0.35">
      <c r="T20590" s="246">
        <f t="shared" si="359"/>
        <v>0</v>
      </c>
    </row>
    <row r="20591" spans="20:20" ht="18.75" customHeight="1" x14ac:dyDescent="0.35">
      <c r="T20591" s="246">
        <f t="shared" si="359"/>
        <v>0</v>
      </c>
    </row>
    <row r="20592" spans="20:20" ht="18.75" customHeight="1" x14ac:dyDescent="0.35">
      <c r="T20592" s="246">
        <f t="shared" si="359"/>
        <v>0</v>
      </c>
    </row>
    <row r="20593" spans="20:20" ht="18.75" customHeight="1" x14ac:dyDescent="0.35">
      <c r="T20593" s="246">
        <f t="shared" si="359"/>
        <v>0</v>
      </c>
    </row>
    <row r="20594" spans="20:20" ht="18.75" customHeight="1" x14ac:dyDescent="0.35">
      <c r="T20594" s="246">
        <f t="shared" si="359"/>
        <v>0</v>
      </c>
    </row>
    <row r="20595" spans="20:20" ht="18.75" customHeight="1" x14ac:dyDescent="0.35">
      <c r="T20595" s="246">
        <f t="shared" si="359"/>
        <v>0</v>
      </c>
    </row>
    <row r="20596" spans="20:20" ht="18.75" customHeight="1" x14ac:dyDescent="0.35">
      <c r="T20596" s="246">
        <f t="shared" si="359"/>
        <v>0</v>
      </c>
    </row>
    <row r="20597" spans="20:20" ht="18.75" customHeight="1" x14ac:dyDescent="0.35">
      <c r="T20597" s="246">
        <f t="shared" si="359"/>
        <v>0</v>
      </c>
    </row>
    <row r="20598" spans="20:20" ht="18.75" customHeight="1" x14ac:dyDescent="0.35">
      <c r="T20598" s="246">
        <f t="shared" si="359"/>
        <v>0</v>
      </c>
    </row>
    <row r="20599" spans="20:20" ht="18.75" customHeight="1" x14ac:dyDescent="0.35">
      <c r="T20599" s="246">
        <f t="shared" si="359"/>
        <v>0</v>
      </c>
    </row>
    <row r="20600" spans="20:20" ht="18.75" customHeight="1" x14ac:dyDescent="0.35">
      <c r="T20600" s="246">
        <f t="shared" si="359"/>
        <v>0</v>
      </c>
    </row>
    <row r="20601" spans="20:20" ht="18.75" customHeight="1" x14ac:dyDescent="0.35">
      <c r="T20601" s="246">
        <f t="shared" si="359"/>
        <v>0</v>
      </c>
    </row>
    <row r="20602" spans="20:20" ht="18.75" customHeight="1" x14ac:dyDescent="0.35">
      <c r="T20602" s="246">
        <f t="shared" si="359"/>
        <v>0</v>
      </c>
    </row>
    <row r="20603" spans="20:20" ht="18.75" customHeight="1" x14ac:dyDescent="0.35">
      <c r="T20603" s="246">
        <f t="shared" si="359"/>
        <v>0</v>
      </c>
    </row>
    <row r="20604" spans="20:20" ht="18.75" customHeight="1" x14ac:dyDescent="0.35">
      <c r="T20604" s="246">
        <f t="shared" ref="T20604:T20667" si="360">R20604*0.01</f>
        <v>0</v>
      </c>
    </row>
    <row r="20605" spans="20:20" ht="18.75" customHeight="1" x14ac:dyDescent="0.35">
      <c r="T20605" s="246">
        <f t="shared" si="360"/>
        <v>0</v>
      </c>
    </row>
    <row r="20606" spans="20:20" ht="18.75" customHeight="1" x14ac:dyDescent="0.35">
      <c r="T20606" s="246">
        <f t="shared" si="360"/>
        <v>0</v>
      </c>
    </row>
    <row r="20607" spans="20:20" ht="18.75" customHeight="1" x14ac:dyDescent="0.35">
      <c r="T20607" s="246">
        <f t="shared" si="360"/>
        <v>0</v>
      </c>
    </row>
    <row r="20608" spans="20:20" ht="18.75" customHeight="1" x14ac:dyDescent="0.35">
      <c r="T20608" s="246">
        <f t="shared" si="360"/>
        <v>0</v>
      </c>
    </row>
    <row r="20609" spans="20:20" ht="18.75" customHeight="1" x14ac:dyDescent="0.35">
      <c r="T20609" s="246">
        <f t="shared" si="360"/>
        <v>0</v>
      </c>
    </row>
    <row r="20610" spans="20:20" ht="18.75" customHeight="1" x14ac:dyDescent="0.35">
      <c r="T20610" s="246">
        <f t="shared" si="360"/>
        <v>0</v>
      </c>
    </row>
    <row r="20611" spans="20:20" ht="18.75" customHeight="1" x14ac:dyDescent="0.35">
      <c r="T20611" s="246">
        <f t="shared" si="360"/>
        <v>0</v>
      </c>
    </row>
    <row r="20612" spans="20:20" ht="18.75" customHeight="1" x14ac:dyDescent="0.35">
      <c r="T20612" s="246">
        <f t="shared" si="360"/>
        <v>0</v>
      </c>
    </row>
    <row r="20613" spans="20:20" ht="18.75" customHeight="1" x14ac:dyDescent="0.35">
      <c r="T20613" s="246">
        <f t="shared" si="360"/>
        <v>0</v>
      </c>
    </row>
    <row r="20614" spans="20:20" ht="18.75" customHeight="1" x14ac:dyDescent="0.35">
      <c r="T20614" s="246">
        <f t="shared" si="360"/>
        <v>0</v>
      </c>
    </row>
    <row r="20615" spans="20:20" ht="18.75" customHeight="1" x14ac:dyDescent="0.35">
      <c r="T20615" s="246">
        <f t="shared" si="360"/>
        <v>0</v>
      </c>
    </row>
    <row r="20616" spans="20:20" ht="18.75" customHeight="1" x14ac:dyDescent="0.35">
      <c r="T20616" s="246">
        <f t="shared" si="360"/>
        <v>0</v>
      </c>
    </row>
    <row r="20617" spans="20:20" ht="18.75" customHeight="1" x14ac:dyDescent="0.35">
      <c r="T20617" s="246">
        <f t="shared" si="360"/>
        <v>0</v>
      </c>
    </row>
    <row r="20618" spans="20:20" ht="18.75" customHeight="1" x14ac:dyDescent="0.35">
      <c r="T20618" s="246">
        <f t="shared" si="360"/>
        <v>0</v>
      </c>
    </row>
    <row r="20619" spans="20:20" ht="18.75" customHeight="1" x14ac:dyDescent="0.35">
      <c r="T20619" s="246">
        <f t="shared" si="360"/>
        <v>0</v>
      </c>
    </row>
    <row r="20620" spans="20:20" ht="18.75" customHeight="1" x14ac:dyDescent="0.35">
      <c r="T20620" s="246">
        <f t="shared" si="360"/>
        <v>0</v>
      </c>
    </row>
    <row r="20621" spans="20:20" ht="18.75" customHeight="1" x14ac:dyDescent="0.35">
      <c r="T20621" s="246">
        <f t="shared" si="360"/>
        <v>0</v>
      </c>
    </row>
    <row r="20622" spans="20:20" ht="18.75" customHeight="1" x14ac:dyDescent="0.35">
      <c r="T20622" s="246">
        <f t="shared" si="360"/>
        <v>0</v>
      </c>
    </row>
    <row r="20623" spans="20:20" ht="18.75" customHeight="1" x14ac:dyDescent="0.35">
      <c r="T20623" s="246">
        <f t="shared" si="360"/>
        <v>0</v>
      </c>
    </row>
    <row r="20624" spans="20:20" ht="18.75" customHeight="1" x14ac:dyDescent="0.35">
      <c r="T20624" s="246">
        <f t="shared" si="360"/>
        <v>0</v>
      </c>
    </row>
    <row r="20625" spans="20:20" ht="18.75" customHeight="1" x14ac:dyDescent="0.35">
      <c r="T20625" s="246">
        <f t="shared" si="360"/>
        <v>0</v>
      </c>
    </row>
    <row r="20626" spans="20:20" ht="18.75" customHeight="1" x14ac:dyDescent="0.35">
      <c r="T20626" s="246">
        <f t="shared" si="360"/>
        <v>0</v>
      </c>
    </row>
    <row r="20627" spans="20:20" ht="18.75" customHeight="1" x14ac:dyDescent="0.35">
      <c r="T20627" s="246">
        <f t="shared" si="360"/>
        <v>0</v>
      </c>
    </row>
    <row r="20628" spans="20:20" ht="18.75" customHeight="1" x14ac:dyDescent="0.35">
      <c r="T20628" s="246">
        <f t="shared" si="360"/>
        <v>0</v>
      </c>
    </row>
    <row r="20629" spans="20:20" ht="18.75" customHeight="1" x14ac:dyDescent="0.35">
      <c r="T20629" s="246">
        <f t="shared" si="360"/>
        <v>0</v>
      </c>
    </row>
    <row r="20630" spans="20:20" ht="18.75" customHeight="1" x14ac:dyDescent="0.35">
      <c r="T20630" s="246">
        <f t="shared" si="360"/>
        <v>0</v>
      </c>
    </row>
    <row r="20631" spans="20:20" ht="18.75" customHeight="1" x14ac:dyDescent="0.35">
      <c r="T20631" s="246">
        <f t="shared" si="360"/>
        <v>0</v>
      </c>
    </row>
    <row r="20632" spans="20:20" ht="18.75" customHeight="1" x14ac:dyDescent="0.35">
      <c r="T20632" s="246">
        <f t="shared" si="360"/>
        <v>0</v>
      </c>
    </row>
    <row r="20633" spans="20:20" ht="18.75" customHeight="1" x14ac:dyDescent="0.35">
      <c r="T20633" s="246">
        <f t="shared" si="360"/>
        <v>0</v>
      </c>
    </row>
    <row r="20634" spans="20:20" ht="18.75" customHeight="1" x14ac:dyDescent="0.35">
      <c r="T20634" s="246">
        <f t="shared" si="360"/>
        <v>0</v>
      </c>
    </row>
    <row r="20635" spans="20:20" ht="18.75" customHeight="1" x14ac:dyDescent="0.35">
      <c r="T20635" s="246">
        <f t="shared" si="360"/>
        <v>0</v>
      </c>
    </row>
    <row r="20636" spans="20:20" ht="18.75" customHeight="1" x14ac:dyDescent="0.35">
      <c r="T20636" s="246">
        <f t="shared" si="360"/>
        <v>0</v>
      </c>
    </row>
    <row r="20637" spans="20:20" ht="18.75" customHeight="1" x14ac:dyDescent="0.35">
      <c r="T20637" s="246">
        <f t="shared" si="360"/>
        <v>0</v>
      </c>
    </row>
    <row r="20638" spans="20:20" ht="18.75" customHeight="1" x14ac:dyDescent="0.35">
      <c r="T20638" s="246">
        <f t="shared" si="360"/>
        <v>0</v>
      </c>
    </row>
    <row r="20639" spans="20:20" ht="18.75" customHeight="1" x14ac:dyDescent="0.35">
      <c r="T20639" s="246">
        <f t="shared" si="360"/>
        <v>0</v>
      </c>
    </row>
    <row r="20640" spans="20:20" ht="18.75" customHeight="1" x14ac:dyDescent="0.35">
      <c r="T20640" s="246">
        <f t="shared" si="360"/>
        <v>0</v>
      </c>
    </row>
    <row r="20641" spans="20:20" ht="18.75" customHeight="1" x14ac:dyDescent="0.35">
      <c r="T20641" s="246">
        <f t="shared" si="360"/>
        <v>0</v>
      </c>
    </row>
    <row r="20642" spans="20:20" ht="18.75" customHeight="1" x14ac:dyDescent="0.35">
      <c r="T20642" s="246">
        <f t="shared" si="360"/>
        <v>0</v>
      </c>
    </row>
    <row r="20643" spans="20:20" ht="18.75" customHeight="1" x14ac:dyDescent="0.35">
      <c r="T20643" s="246">
        <f t="shared" si="360"/>
        <v>0</v>
      </c>
    </row>
    <row r="20644" spans="20:20" ht="18.75" customHeight="1" x14ac:dyDescent="0.35">
      <c r="T20644" s="246">
        <f t="shared" si="360"/>
        <v>0</v>
      </c>
    </row>
    <row r="20645" spans="20:20" ht="18.75" customHeight="1" x14ac:dyDescent="0.35">
      <c r="T20645" s="246">
        <f t="shared" si="360"/>
        <v>0</v>
      </c>
    </row>
    <row r="20646" spans="20:20" ht="18.75" customHeight="1" x14ac:dyDescent="0.35">
      <c r="T20646" s="246">
        <f t="shared" si="360"/>
        <v>0</v>
      </c>
    </row>
    <row r="20647" spans="20:20" ht="18.75" customHeight="1" x14ac:dyDescent="0.35">
      <c r="T20647" s="246">
        <f t="shared" si="360"/>
        <v>0</v>
      </c>
    </row>
    <row r="20648" spans="20:20" ht="18.75" customHeight="1" x14ac:dyDescent="0.35">
      <c r="T20648" s="246">
        <f t="shared" si="360"/>
        <v>0</v>
      </c>
    </row>
    <row r="20649" spans="20:20" ht="18.75" customHeight="1" x14ac:dyDescent="0.35">
      <c r="T20649" s="246">
        <f t="shared" si="360"/>
        <v>0</v>
      </c>
    </row>
    <row r="20650" spans="20:20" ht="18.75" customHeight="1" x14ac:dyDescent="0.35">
      <c r="T20650" s="246">
        <f t="shared" si="360"/>
        <v>0</v>
      </c>
    </row>
    <row r="20651" spans="20:20" ht="18.75" customHeight="1" x14ac:dyDescent="0.35">
      <c r="T20651" s="246">
        <f t="shared" si="360"/>
        <v>0</v>
      </c>
    </row>
    <row r="20652" spans="20:20" ht="18.75" customHeight="1" x14ac:dyDescent="0.35">
      <c r="T20652" s="246">
        <f t="shared" si="360"/>
        <v>0</v>
      </c>
    </row>
    <row r="20653" spans="20:20" ht="18.75" customHeight="1" x14ac:dyDescent="0.35">
      <c r="T20653" s="246">
        <f t="shared" si="360"/>
        <v>0</v>
      </c>
    </row>
    <row r="20654" spans="20:20" ht="18.75" customHeight="1" x14ac:dyDescent="0.35">
      <c r="T20654" s="246">
        <f t="shared" si="360"/>
        <v>0</v>
      </c>
    </row>
    <row r="20655" spans="20:20" ht="18.75" customHeight="1" x14ac:dyDescent="0.35">
      <c r="T20655" s="246">
        <f t="shared" si="360"/>
        <v>0</v>
      </c>
    </row>
    <row r="20656" spans="20:20" ht="18.75" customHeight="1" x14ac:dyDescent="0.35">
      <c r="T20656" s="246">
        <f t="shared" si="360"/>
        <v>0</v>
      </c>
    </row>
    <row r="20657" spans="20:20" ht="18.75" customHeight="1" x14ac:dyDescent="0.35">
      <c r="T20657" s="246">
        <f t="shared" si="360"/>
        <v>0</v>
      </c>
    </row>
    <row r="20658" spans="20:20" ht="18.75" customHeight="1" x14ac:dyDescent="0.35">
      <c r="T20658" s="246">
        <f t="shared" si="360"/>
        <v>0</v>
      </c>
    </row>
    <row r="20659" spans="20:20" ht="18.75" customHeight="1" x14ac:dyDescent="0.35">
      <c r="T20659" s="246">
        <f t="shared" si="360"/>
        <v>0</v>
      </c>
    </row>
    <row r="20660" spans="20:20" ht="18.75" customHeight="1" x14ac:dyDescent="0.35">
      <c r="T20660" s="246">
        <f t="shared" si="360"/>
        <v>0</v>
      </c>
    </row>
    <row r="20661" spans="20:20" ht="18.75" customHeight="1" x14ac:dyDescent="0.35">
      <c r="T20661" s="246">
        <f t="shared" si="360"/>
        <v>0</v>
      </c>
    </row>
    <row r="20662" spans="20:20" ht="18.75" customHeight="1" x14ac:dyDescent="0.35">
      <c r="T20662" s="246">
        <f t="shared" si="360"/>
        <v>0</v>
      </c>
    </row>
    <row r="20663" spans="20:20" ht="18.75" customHeight="1" x14ac:dyDescent="0.35">
      <c r="T20663" s="246">
        <f t="shared" si="360"/>
        <v>0</v>
      </c>
    </row>
    <row r="20664" spans="20:20" ht="18.75" customHeight="1" x14ac:dyDescent="0.35">
      <c r="T20664" s="246">
        <f t="shared" si="360"/>
        <v>0</v>
      </c>
    </row>
    <row r="20665" spans="20:20" ht="18.75" customHeight="1" x14ac:dyDescent="0.35">
      <c r="T20665" s="246">
        <f t="shared" si="360"/>
        <v>0</v>
      </c>
    </row>
    <row r="20666" spans="20:20" ht="18.75" customHeight="1" x14ac:dyDescent="0.35">
      <c r="T20666" s="246">
        <f t="shared" si="360"/>
        <v>0</v>
      </c>
    </row>
    <row r="20667" spans="20:20" ht="18.75" customHeight="1" x14ac:dyDescent="0.35">
      <c r="T20667" s="246">
        <f t="shared" si="360"/>
        <v>0</v>
      </c>
    </row>
    <row r="20668" spans="20:20" ht="18.75" customHeight="1" x14ac:dyDescent="0.35">
      <c r="T20668" s="246">
        <f t="shared" ref="T20668:T20731" si="361">R20668*0.01</f>
        <v>0</v>
      </c>
    </row>
    <row r="20669" spans="20:20" ht="18.75" customHeight="1" x14ac:dyDescent="0.35">
      <c r="T20669" s="246">
        <f t="shared" si="361"/>
        <v>0</v>
      </c>
    </row>
    <row r="20670" spans="20:20" ht="18.75" customHeight="1" x14ac:dyDescent="0.35">
      <c r="T20670" s="246">
        <f t="shared" si="361"/>
        <v>0</v>
      </c>
    </row>
    <row r="20671" spans="20:20" ht="18.75" customHeight="1" x14ac:dyDescent="0.35">
      <c r="T20671" s="246">
        <f t="shared" si="361"/>
        <v>0</v>
      </c>
    </row>
    <row r="20672" spans="20:20" ht="18.75" customHeight="1" x14ac:dyDescent="0.35">
      <c r="T20672" s="246">
        <f t="shared" si="361"/>
        <v>0</v>
      </c>
    </row>
    <row r="20673" spans="20:20" ht="18.75" customHeight="1" x14ac:dyDescent="0.35">
      <c r="T20673" s="246">
        <f t="shared" si="361"/>
        <v>0</v>
      </c>
    </row>
    <row r="20674" spans="20:20" ht="18.75" customHeight="1" x14ac:dyDescent="0.35">
      <c r="T20674" s="246">
        <f t="shared" si="361"/>
        <v>0</v>
      </c>
    </row>
    <row r="20675" spans="20:20" ht="18.75" customHeight="1" x14ac:dyDescent="0.35">
      <c r="T20675" s="246">
        <f t="shared" si="361"/>
        <v>0</v>
      </c>
    </row>
    <row r="20676" spans="20:20" ht="18.75" customHeight="1" x14ac:dyDescent="0.35">
      <c r="T20676" s="246">
        <f t="shared" si="361"/>
        <v>0</v>
      </c>
    </row>
    <row r="20677" spans="20:20" ht="18.75" customHeight="1" x14ac:dyDescent="0.35">
      <c r="T20677" s="246">
        <f t="shared" si="361"/>
        <v>0</v>
      </c>
    </row>
    <row r="20678" spans="20:20" ht="18.75" customHeight="1" x14ac:dyDescent="0.35">
      <c r="T20678" s="246">
        <f t="shared" si="361"/>
        <v>0</v>
      </c>
    </row>
    <row r="20679" spans="20:20" ht="18.75" customHeight="1" x14ac:dyDescent="0.35">
      <c r="T20679" s="246">
        <f t="shared" si="361"/>
        <v>0</v>
      </c>
    </row>
    <row r="20680" spans="20:20" ht="18.75" customHeight="1" x14ac:dyDescent="0.35">
      <c r="T20680" s="246">
        <f t="shared" si="361"/>
        <v>0</v>
      </c>
    </row>
    <row r="20681" spans="20:20" ht="18.75" customHeight="1" x14ac:dyDescent="0.35">
      <c r="T20681" s="246">
        <f t="shared" si="361"/>
        <v>0</v>
      </c>
    </row>
    <row r="20682" spans="20:20" ht="18.75" customHeight="1" x14ac:dyDescent="0.35">
      <c r="T20682" s="246">
        <f t="shared" si="361"/>
        <v>0</v>
      </c>
    </row>
    <row r="20683" spans="20:20" ht="18.75" customHeight="1" x14ac:dyDescent="0.35">
      <c r="T20683" s="246">
        <f t="shared" si="361"/>
        <v>0</v>
      </c>
    </row>
    <row r="20684" spans="20:20" ht="18.75" customHeight="1" x14ac:dyDescent="0.35">
      <c r="T20684" s="246">
        <f t="shared" si="361"/>
        <v>0</v>
      </c>
    </row>
    <row r="20685" spans="20:20" ht="18.75" customHeight="1" x14ac:dyDescent="0.35">
      <c r="T20685" s="246">
        <f t="shared" si="361"/>
        <v>0</v>
      </c>
    </row>
    <row r="20686" spans="20:20" ht="18.75" customHeight="1" x14ac:dyDescent="0.35">
      <c r="T20686" s="246">
        <f t="shared" si="361"/>
        <v>0</v>
      </c>
    </row>
    <row r="20687" spans="20:20" ht="18.75" customHeight="1" x14ac:dyDescent="0.35">
      <c r="T20687" s="246">
        <f t="shared" si="361"/>
        <v>0</v>
      </c>
    </row>
    <row r="20688" spans="20:20" ht="18.75" customHeight="1" x14ac:dyDescent="0.35">
      <c r="T20688" s="246">
        <f t="shared" si="361"/>
        <v>0</v>
      </c>
    </row>
    <row r="20689" spans="20:20" ht="18.75" customHeight="1" x14ac:dyDescent="0.35">
      <c r="T20689" s="246">
        <f t="shared" si="361"/>
        <v>0</v>
      </c>
    </row>
    <row r="20690" spans="20:20" ht="18.75" customHeight="1" x14ac:dyDescent="0.35">
      <c r="T20690" s="246">
        <f t="shared" si="361"/>
        <v>0</v>
      </c>
    </row>
    <row r="20691" spans="20:20" ht="18.75" customHeight="1" x14ac:dyDescent="0.35">
      <c r="T20691" s="246">
        <f t="shared" si="361"/>
        <v>0</v>
      </c>
    </row>
    <row r="20692" spans="20:20" ht="18.75" customHeight="1" x14ac:dyDescent="0.35">
      <c r="T20692" s="246">
        <f t="shared" si="361"/>
        <v>0</v>
      </c>
    </row>
    <row r="20693" spans="20:20" ht="18.75" customHeight="1" x14ac:dyDescent="0.35">
      <c r="T20693" s="246">
        <f t="shared" si="361"/>
        <v>0</v>
      </c>
    </row>
    <row r="20694" spans="20:20" ht="18.75" customHeight="1" x14ac:dyDescent="0.35">
      <c r="T20694" s="246">
        <f t="shared" si="361"/>
        <v>0</v>
      </c>
    </row>
    <row r="20695" spans="20:20" ht="18.75" customHeight="1" x14ac:dyDescent="0.35">
      <c r="T20695" s="246">
        <f t="shared" si="361"/>
        <v>0</v>
      </c>
    </row>
    <row r="20696" spans="20:20" ht="18.75" customHeight="1" x14ac:dyDescent="0.35">
      <c r="T20696" s="246">
        <f t="shared" si="361"/>
        <v>0</v>
      </c>
    </row>
    <row r="20697" spans="20:20" ht="18.75" customHeight="1" x14ac:dyDescent="0.35">
      <c r="T20697" s="246">
        <f t="shared" si="361"/>
        <v>0</v>
      </c>
    </row>
    <row r="20698" spans="20:20" ht="18.75" customHeight="1" x14ac:dyDescent="0.35">
      <c r="T20698" s="246">
        <f t="shared" si="361"/>
        <v>0</v>
      </c>
    </row>
    <row r="20699" spans="20:20" ht="18.75" customHeight="1" x14ac:dyDescent="0.35">
      <c r="T20699" s="246">
        <f t="shared" si="361"/>
        <v>0</v>
      </c>
    </row>
    <row r="20700" spans="20:20" ht="18.75" customHeight="1" x14ac:dyDescent="0.35">
      <c r="T20700" s="246">
        <f t="shared" si="361"/>
        <v>0</v>
      </c>
    </row>
    <row r="20701" spans="20:20" ht="18.75" customHeight="1" x14ac:dyDescent="0.35">
      <c r="T20701" s="246">
        <f t="shared" si="361"/>
        <v>0</v>
      </c>
    </row>
    <row r="20702" spans="20:20" ht="18.75" customHeight="1" x14ac:dyDescent="0.35">
      <c r="T20702" s="246">
        <f t="shared" si="361"/>
        <v>0</v>
      </c>
    </row>
    <row r="20703" spans="20:20" ht="18.75" customHeight="1" x14ac:dyDescent="0.35">
      <c r="T20703" s="246">
        <f t="shared" si="361"/>
        <v>0</v>
      </c>
    </row>
    <row r="20704" spans="20:20" ht="18.75" customHeight="1" x14ac:dyDescent="0.35">
      <c r="T20704" s="246">
        <f t="shared" si="361"/>
        <v>0</v>
      </c>
    </row>
    <row r="20705" spans="20:20" ht="18.75" customHeight="1" x14ac:dyDescent="0.35">
      <c r="T20705" s="246">
        <f t="shared" si="361"/>
        <v>0</v>
      </c>
    </row>
    <row r="20706" spans="20:20" ht="18.75" customHeight="1" x14ac:dyDescent="0.35">
      <c r="T20706" s="246">
        <f t="shared" si="361"/>
        <v>0</v>
      </c>
    </row>
    <row r="20707" spans="20:20" ht="18.75" customHeight="1" x14ac:dyDescent="0.35">
      <c r="T20707" s="246">
        <f t="shared" si="361"/>
        <v>0</v>
      </c>
    </row>
    <row r="20708" spans="20:20" ht="18.75" customHeight="1" x14ac:dyDescent="0.35">
      <c r="T20708" s="246">
        <f t="shared" si="361"/>
        <v>0</v>
      </c>
    </row>
    <row r="20709" spans="20:20" ht="18.75" customHeight="1" x14ac:dyDescent="0.35">
      <c r="T20709" s="246">
        <f t="shared" si="361"/>
        <v>0</v>
      </c>
    </row>
    <row r="20710" spans="20:20" ht="18.75" customHeight="1" x14ac:dyDescent="0.35">
      <c r="T20710" s="246">
        <f t="shared" si="361"/>
        <v>0</v>
      </c>
    </row>
    <row r="20711" spans="20:20" ht="18.75" customHeight="1" x14ac:dyDescent="0.35">
      <c r="T20711" s="246">
        <f t="shared" si="361"/>
        <v>0</v>
      </c>
    </row>
    <row r="20712" spans="20:20" ht="18.75" customHeight="1" x14ac:dyDescent="0.35">
      <c r="T20712" s="246">
        <f t="shared" si="361"/>
        <v>0</v>
      </c>
    </row>
    <row r="20713" spans="20:20" ht="18.75" customHeight="1" x14ac:dyDescent="0.35">
      <c r="T20713" s="246">
        <f t="shared" si="361"/>
        <v>0</v>
      </c>
    </row>
    <row r="20714" spans="20:20" ht="18.75" customHeight="1" x14ac:dyDescent="0.35">
      <c r="T20714" s="246">
        <f t="shared" si="361"/>
        <v>0</v>
      </c>
    </row>
    <row r="20715" spans="20:20" ht="18.75" customHeight="1" x14ac:dyDescent="0.35">
      <c r="T20715" s="246">
        <f t="shared" si="361"/>
        <v>0</v>
      </c>
    </row>
    <row r="20716" spans="20:20" ht="18.75" customHeight="1" x14ac:dyDescent="0.35">
      <c r="T20716" s="246">
        <f t="shared" si="361"/>
        <v>0</v>
      </c>
    </row>
    <row r="20717" spans="20:20" ht="18.75" customHeight="1" x14ac:dyDescent="0.35">
      <c r="T20717" s="246">
        <f t="shared" si="361"/>
        <v>0</v>
      </c>
    </row>
    <row r="20718" spans="20:20" ht="18.75" customHeight="1" x14ac:dyDescent="0.35">
      <c r="T20718" s="246">
        <f t="shared" si="361"/>
        <v>0</v>
      </c>
    </row>
    <row r="20719" spans="20:20" ht="18.75" customHeight="1" x14ac:dyDescent="0.35">
      <c r="T20719" s="246">
        <f t="shared" si="361"/>
        <v>0</v>
      </c>
    </row>
    <row r="20720" spans="20:20" ht="18.75" customHeight="1" x14ac:dyDescent="0.35">
      <c r="T20720" s="246">
        <f t="shared" si="361"/>
        <v>0</v>
      </c>
    </row>
    <row r="20721" spans="20:20" ht="18.75" customHeight="1" x14ac:dyDescent="0.35">
      <c r="T20721" s="246">
        <f t="shared" si="361"/>
        <v>0</v>
      </c>
    </row>
    <row r="20722" spans="20:20" ht="18.75" customHeight="1" x14ac:dyDescent="0.35">
      <c r="T20722" s="246">
        <f t="shared" si="361"/>
        <v>0</v>
      </c>
    </row>
    <row r="20723" spans="20:20" ht="18.75" customHeight="1" x14ac:dyDescent="0.35">
      <c r="T20723" s="246">
        <f t="shared" si="361"/>
        <v>0</v>
      </c>
    </row>
    <row r="20724" spans="20:20" ht="18.75" customHeight="1" x14ac:dyDescent="0.35">
      <c r="T20724" s="246">
        <f t="shared" si="361"/>
        <v>0</v>
      </c>
    </row>
    <row r="20725" spans="20:20" ht="18.75" customHeight="1" x14ac:dyDescent="0.35">
      <c r="T20725" s="246">
        <f t="shared" si="361"/>
        <v>0</v>
      </c>
    </row>
    <row r="20726" spans="20:20" ht="18.75" customHeight="1" x14ac:dyDescent="0.35">
      <c r="T20726" s="246">
        <f t="shared" si="361"/>
        <v>0</v>
      </c>
    </row>
    <row r="20727" spans="20:20" ht="18.75" customHeight="1" x14ac:dyDescent="0.35">
      <c r="T20727" s="246">
        <f t="shared" si="361"/>
        <v>0</v>
      </c>
    </row>
    <row r="20728" spans="20:20" ht="18.75" customHeight="1" x14ac:dyDescent="0.35">
      <c r="T20728" s="246">
        <f t="shared" si="361"/>
        <v>0</v>
      </c>
    </row>
    <row r="20729" spans="20:20" ht="18.75" customHeight="1" x14ac:dyDescent="0.35">
      <c r="T20729" s="246">
        <f t="shared" si="361"/>
        <v>0</v>
      </c>
    </row>
    <row r="20730" spans="20:20" ht="18.75" customHeight="1" x14ac:dyDescent="0.35">
      <c r="T20730" s="246">
        <f t="shared" si="361"/>
        <v>0</v>
      </c>
    </row>
    <row r="20731" spans="20:20" ht="18.75" customHeight="1" x14ac:dyDescent="0.35">
      <c r="T20731" s="246">
        <f t="shared" si="361"/>
        <v>0</v>
      </c>
    </row>
    <row r="20732" spans="20:20" ht="18.75" customHeight="1" x14ac:dyDescent="0.35">
      <c r="T20732" s="246">
        <f t="shared" ref="T20732:T20795" si="362">R20732*0.01</f>
        <v>0</v>
      </c>
    </row>
    <row r="20733" spans="20:20" ht="18.75" customHeight="1" x14ac:dyDescent="0.35">
      <c r="T20733" s="246">
        <f t="shared" si="362"/>
        <v>0</v>
      </c>
    </row>
    <row r="20734" spans="20:20" ht="18.75" customHeight="1" x14ac:dyDescent="0.35">
      <c r="T20734" s="246">
        <f t="shared" si="362"/>
        <v>0</v>
      </c>
    </row>
    <row r="20735" spans="20:20" ht="18.75" customHeight="1" x14ac:dyDescent="0.35">
      <c r="T20735" s="246">
        <f t="shared" si="362"/>
        <v>0</v>
      </c>
    </row>
    <row r="20736" spans="20:20" ht="18.75" customHeight="1" x14ac:dyDescent="0.35">
      <c r="T20736" s="246">
        <f t="shared" si="362"/>
        <v>0</v>
      </c>
    </row>
    <row r="20737" spans="20:20" ht="18.75" customHeight="1" x14ac:dyDescent="0.35">
      <c r="T20737" s="246">
        <f t="shared" si="362"/>
        <v>0</v>
      </c>
    </row>
    <row r="20738" spans="20:20" ht="18.75" customHeight="1" x14ac:dyDescent="0.35">
      <c r="T20738" s="246">
        <f t="shared" si="362"/>
        <v>0</v>
      </c>
    </row>
    <row r="20739" spans="20:20" ht="18.75" customHeight="1" x14ac:dyDescent="0.35">
      <c r="T20739" s="246">
        <f t="shared" si="362"/>
        <v>0</v>
      </c>
    </row>
    <row r="20740" spans="20:20" ht="18.75" customHeight="1" x14ac:dyDescent="0.35">
      <c r="T20740" s="246">
        <f t="shared" si="362"/>
        <v>0</v>
      </c>
    </row>
    <row r="20741" spans="20:20" ht="18.75" customHeight="1" x14ac:dyDescent="0.35">
      <c r="T20741" s="246">
        <f t="shared" si="362"/>
        <v>0</v>
      </c>
    </row>
    <row r="20742" spans="20:20" ht="18.75" customHeight="1" x14ac:dyDescent="0.35">
      <c r="T20742" s="246">
        <f t="shared" si="362"/>
        <v>0</v>
      </c>
    </row>
    <row r="20743" spans="20:20" ht="18.75" customHeight="1" x14ac:dyDescent="0.35">
      <c r="T20743" s="246">
        <f t="shared" si="362"/>
        <v>0</v>
      </c>
    </row>
    <row r="20744" spans="20:20" ht="18.75" customHeight="1" x14ac:dyDescent="0.35">
      <c r="T20744" s="246">
        <f t="shared" si="362"/>
        <v>0</v>
      </c>
    </row>
    <row r="20745" spans="20:20" ht="18.75" customHeight="1" x14ac:dyDescent="0.35">
      <c r="T20745" s="246">
        <f t="shared" si="362"/>
        <v>0</v>
      </c>
    </row>
    <row r="20746" spans="20:20" ht="18.75" customHeight="1" x14ac:dyDescent="0.35">
      <c r="T20746" s="246">
        <f t="shared" si="362"/>
        <v>0</v>
      </c>
    </row>
    <row r="20747" spans="20:20" ht="18.75" customHeight="1" x14ac:dyDescent="0.35">
      <c r="T20747" s="246">
        <f t="shared" si="362"/>
        <v>0</v>
      </c>
    </row>
    <row r="20748" spans="20:20" ht="18.75" customHeight="1" x14ac:dyDescent="0.35">
      <c r="T20748" s="246">
        <f t="shared" si="362"/>
        <v>0</v>
      </c>
    </row>
    <row r="20749" spans="20:20" ht="18.75" customHeight="1" x14ac:dyDescent="0.35">
      <c r="T20749" s="246">
        <f t="shared" si="362"/>
        <v>0</v>
      </c>
    </row>
    <row r="20750" spans="20:20" ht="18.75" customHeight="1" x14ac:dyDescent="0.35">
      <c r="T20750" s="246">
        <f t="shared" si="362"/>
        <v>0</v>
      </c>
    </row>
    <row r="20751" spans="20:20" ht="18.75" customHeight="1" x14ac:dyDescent="0.35">
      <c r="T20751" s="246">
        <f t="shared" si="362"/>
        <v>0</v>
      </c>
    </row>
    <row r="20752" spans="20:20" ht="18.75" customHeight="1" x14ac:dyDescent="0.35">
      <c r="T20752" s="246">
        <f t="shared" si="362"/>
        <v>0</v>
      </c>
    </row>
    <row r="20753" spans="20:20" ht="18.75" customHeight="1" x14ac:dyDescent="0.35">
      <c r="T20753" s="246">
        <f t="shared" si="362"/>
        <v>0</v>
      </c>
    </row>
    <row r="20754" spans="20:20" ht="18.75" customHeight="1" x14ac:dyDescent="0.35">
      <c r="T20754" s="246">
        <f t="shared" si="362"/>
        <v>0</v>
      </c>
    </row>
    <row r="20755" spans="20:20" ht="18.75" customHeight="1" x14ac:dyDescent="0.35">
      <c r="T20755" s="246">
        <f t="shared" si="362"/>
        <v>0</v>
      </c>
    </row>
    <row r="20756" spans="20:20" ht="18.75" customHeight="1" x14ac:dyDescent="0.35">
      <c r="T20756" s="246">
        <f t="shared" si="362"/>
        <v>0</v>
      </c>
    </row>
    <row r="20757" spans="20:20" ht="18.75" customHeight="1" x14ac:dyDescent="0.35">
      <c r="T20757" s="246">
        <f t="shared" si="362"/>
        <v>0</v>
      </c>
    </row>
    <row r="20758" spans="20:20" ht="18.75" customHeight="1" x14ac:dyDescent="0.35">
      <c r="T20758" s="246">
        <f t="shared" si="362"/>
        <v>0</v>
      </c>
    </row>
    <row r="20759" spans="20:20" ht="18.75" customHeight="1" x14ac:dyDescent="0.35">
      <c r="T20759" s="246">
        <f t="shared" si="362"/>
        <v>0</v>
      </c>
    </row>
    <row r="20760" spans="20:20" ht="18.75" customHeight="1" x14ac:dyDescent="0.35">
      <c r="T20760" s="246">
        <f t="shared" si="362"/>
        <v>0</v>
      </c>
    </row>
    <row r="20761" spans="20:20" ht="18.75" customHeight="1" x14ac:dyDescent="0.35">
      <c r="T20761" s="246">
        <f t="shared" si="362"/>
        <v>0</v>
      </c>
    </row>
    <row r="20762" spans="20:20" ht="18.75" customHeight="1" x14ac:dyDescent="0.35">
      <c r="T20762" s="246">
        <f t="shared" si="362"/>
        <v>0</v>
      </c>
    </row>
    <row r="20763" spans="20:20" ht="18.75" customHeight="1" x14ac:dyDescent="0.35">
      <c r="T20763" s="246">
        <f t="shared" si="362"/>
        <v>0</v>
      </c>
    </row>
    <row r="20764" spans="20:20" ht="18.75" customHeight="1" x14ac:dyDescent="0.35">
      <c r="T20764" s="246">
        <f t="shared" si="362"/>
        <v>0</v>
      </c>
    </row>
    <row r="20765" spans="20:20" ht="18.75" customHeight="1" x14ac:dyDescent="0.35">
      <c r="T20765" s="246">
        <f t="shared" si="362"/>
        <v>0</v>
      </c>
    </row>
    <row r="20766" spans="20:20" ht="18.75" customHeight="1" x14ac:dyDescent="0.35">
      <c r="T20766" s="246">
        <f t="shared" si="362"/>
        <v>0</v>
      </c>
    </row>
    <row r="20767" spans="20:20" ht="18.75" customHeight="1" x14ac:dyDescent="0.35">
      <c r="T20767" s="246">
        <f t="shared" si="362"/>
        <v>0</v>
      </c>
    </row>
    <row r="20768" spans="20:20" ht="18.75" customHeight="1" x14ac:dyDescent="0.35">
      <c r="T20768" s="246">
        <f t="shared" si="362"/>
        <v>0</v>
      </c>
    </row>
    <row r="20769" spans="20:20" ht="18.75" customHeight="1" x14ac:dyDescent="0.35">
      <c r="T20769" s="246">
        <f t="shared" si="362"/>
        <v>0</v>
      </c>
    </row>
    <row r="20770" spans="20:20" ht="18.75" customHeight="1" x14ac:dyDescent="0.35">
      <c r="T20770" s="246">
        <f t="shared" si="362"/>
        <v>0</v>
      </c>
    </row>
    <row r="20771" spans="20:20" ht="18.75" customHeight="1" x14ac:dyDescent="0.35">
      <c r="T20771" s="246">
        <f t="shared" si="362"/>
        <v>0</v>
      </c>
    </row>
    <row r="20772" spans="20:20" ht="18.75" customHeight="1" x14ac:dyDescent="0.35">
      <c r="T20772" s="246">
        <f t="shared" si="362"/>
        <v>0</v>
      </c>
    </row>
    <row r="20773" spans="20:20" ht="18.75" customHeight="1" x14ac:dyDescent="0.35">
      <c r="T20773" s="246">
        <f t="shared" si="362"/>
        <v>0</v>
      </c>
    </row>
    <row r="20774" spans="20:20" ht="18.75" customHeight="1" x14ac:dyDescent="0.35">
      <c r="T20774" s="246">
        <f t="shared" si="362"/>
        <v>0</v>
      </c>
    </row>
    <row r="20775" spans="20:20" ht="18.75" customHeight="1" x14ac:dyDescent="0.35">
      <c r="T20775" s="246">
        <f t="shared" si="362"/>
        <v>0</v>
      </c>
    </row>
    <row r="20776" spans="20:20" ht="18.75" customHeight="1" x14ac:dyDescent="0.35">
      <c r="T20776" s="246">
        <f t="shared" si="362"/>
        <v>0</v>
      </c>
    </row>
    <row r="20777" spans="20:20" ht="18.75" customHeight="1" x14ac:dyDescent="0.35">
      <c r="T20777" s="246">
        <f t="shared" si="362"/>
        <v>0</v>
      </c>
    </row>
    <row r="20778" spans="20:20" ht="18.75" customHeight="1" x14ac:dyDescent="0.35">
      <c r="T20778" s="246">
        <f t="shared" si="362"/>
        <v>0</v>
      </c>
    </row>
    <row r="20779" spans="20:20" ht="18.75" customHeight="1" x14ac:dyDescent="0.35">
      <c r="T20779" s="246">
        <f t="shared" si="362"/>
        <v>0</v>
      </c>
    </row>
    <row r="20780" spans="20:20" ht="18.75" customHeight="1" x14ac:dyDescent="0.35">
      <c r="T20780" s="246">
        <f t="shared" si="362"/>
        <v>0</v>
      </c>
    </row>
    <row r="20781" spans="20:20" ht="18.75" customHeight="1" x14ac:dyDescent="0.35">
      <c r="T20781" s="246">
        <f t="shared" si="362"/>
        <v>0</v>
      </c>
    </row>
    <row r="20782" spans="20:20" ht="18.75" customHeight="1" x14ac:dyDescent="0.35">
      <c r="T20782" s="246">
        <f t="shared" si="362"/>
        <v>0</v>
      </c>
    </row>
    <row r="20783" spans="20:20" ht="18.75" customHeight="1" x14ac:dyDescent="0.35">
      <c r="T20783" s="246">
        <f t="shared" si="362"/>
        <v>0</v>
      </c>
    </row>
    <row r="20784" spans="20:20" ht="18.75" customHeight="1" x14ac:dyDescent="0.35">
      <c r="T20784" s="246">
        <f t="shared" si="362"/>
        <v>0</v>
      </c>
    </row>
    <row r="20785" spans="20:20" ht="18.75" customHeight="1" x14ac:dyDescent="0.35">
      <c r="T20785" s="246">
        <f t="shared" si="362"/>
        <v>0</v>
      </c>
    </row>
    <row r="20786" spans="20:20" ht="18.75" customHeight="1" x14ac:dyDescent="0.35">
      <c r="T20786" s="246">
        <f t="shared" si="362"/>
        <v>0</v>
      </c>
    </row>
    <row r="20787" spans="20:20" ht="18.75" customHeight="1" x14ac:dyDescent="0.35">
      <c r="T20787" s="246">
        <f t="shared" si="362"/>
        <v>0</v>
      </c>
    </row>
    <row r="20788" spans="20:20" ht="18.75" customHeight="1" x14ac:dyDescent="0.35">
      <c r="T20788" s="246">
        <f t="shared" si="362"/>
        <v>0</v>
      </c>
    </row>
    <row r="20789" spans="20:20" ht="18.75" customHeight="1" x14ac:dyDescent="0.35">
      <c r="T20789" s="246">
        <f t="shared" si="362"/>
        <v>0</v>
      </c>
    </row>
    <row r="20790" spans="20:20" ht="18.75" customHeight="1" x14ac:dyDescent="0.35">
      <c r="T20790" s="246">
        <f t="shared" si="362"/>
        <v>0</v>
      </c>
    </row>
    <row r="20791" spans="20:20" ht="18.75" customHeight="1" x14ac:dyDescent="0.35">
      <c r="T20791" s="246">
        <f t="shared" si="362"/>
        <v>0</v>
      </c>
    </row>
    <row r="20792" spans="20:20" ht="18.75" customHeight="1" x14ac:dyDescent="0.35">
      <c r="T20792" s="246">
        <f t="shared" si="362"/>
        <v>0</v>
      </c>
    </row>
    <row r="20793" spans="20:20" ht="18.75" customHeight="1" x14ac:dyDescent="0.35">
      <c r="T20793" s="246">
        <f t="shared" si="362"/>
        <v>0</v>
      </c>
    </row>
    <row r="20794" spans="20:20" ht="18.75" customHeight="1" x14ac:dyDescent="0.35">
      <c r="T20794" s="246">
        <f t="shared" si="362"/>
        <v>0</v>
      </c>
    </row>
    <row r="20795" spans="20:20" ht="18.75" customHeight="1" x14ac:dyDescent="0.35">
      <c r="T20795" s="246">
        <f t="shared" si="362"/>
        <v>0</v>
      </c>
    </row>
    <row r="20796" spans="20:20" ht="18.75" customHeight="1" x14ac:dyDescent="0.35">
      <c r="T20796" s="246">
        <f t="shared" ref="T20796:T20859" si="363">R20796*0.01</f>
        <v>0</v>
      </c>
    </row>
    <row r="20797" spans="20:20" ht="18.75" customHeight="1" x14ac:dyDescent="0.35">
      <c r="T20797" s="246">
        <f t="shared" si="363"/>
        <v>0</v>
      </c>
    </row>
    <row r="20798" spans="20:20" ht="18.75" customHeight="1" x14ac:dyDescent="0.35">
      <c r="T20798" s="246">
        <f t="shared" si="363"/>
        <v>0</v>
      </c>
    </row>
    <row r="20799" spans="20:20" ht="18.75" customHeight="1" x14ac:dyDescent="0.35">
      <c r="T20799" s="246">
        <f t="shared" si="363"/>
        <v>0</v>
      </c>
    </row>
    <row r="20800" spans="20:20" ht="18.75" customHeight="1" x14ac:dyDescent="0.35">
      <c r="T20800" s="246">
        <f t="shared" si="363"/>
        <v>0</v>
      </c>
    </row>
    <row r="20801" spans="20:20" ht="18.75" customHeight="1" x14ac:dyDescent="0.35">
      <c r="T20801" s="246">
        <f t="shared" si="363"/>
        <v>0</v>
      </c>
    </row>
    <row r="20802" spans="20:20" ht="18.75" customHeight="1" x14ac:dyDescent="0.35">
      <c r="T20802" s="246">
        <f t="shared" si="363"/>
        <v>0</v>
      </c>
    </row>
    <row r="20803" spans="20:20" ht="18.75" customHeight="1" x14ac:dyDescent="0.35">
      <c r="T20803" s="246">
        <f t="shared" si="363"/>
        <v>0</v>
      </c>
    </row>
    <row r="20804" spans="20:20" ht="18.75" customHeight="1" x14ac:dyDescent="0.35">
      <c r="T20804" s="246">
        <f t="shared" si="363"/>
        <v>0</v>
      </c>
    </row>
    <row r="20805" spans="20:20" ht="18.75" customHeight="1" x14ac:dyDescent="0.35">
      <c r="T20805" s="246">
        <f t="shared" si="363"/>
        <v>0</v>
      </c>
    </row>
    <row r="20806" spans="20:20" ht="18.75" customHeight="1" x14ac:dyDescent="0.35">
      <c r="T20806" s="246">
        <f t="shared" si="363"/>
        <v>0</v>
      </c>
    </row>
    <row r="20807" spans="20:20" ht="18.75" customHeight="1" x14ac:dyDescent="0.35">
      <c r="T20807" s="246">
        <f t="shared" si="363"/>
        <v>0</v>
      </c>
    </row>
    <row r="20808" spans="20:20" ht="18.75" customHeight="1" x14ac:dyDescent="0.35">
      <c r="T20808" s="246">
        <f t="shared" si="363"/>
        <v>0</v>
      </c>
    </row>
    <row r="20809" spans="20:20" ht="18.75" customHeight="1" x14ac:dyDescent="0.35">
      <c r="T20809" s="246">
        <f t="shared" si="363"/>
        <v>0</v>
      </c>
    </row>
    <row r="20810" spans="20:20" ht="18.75" customHeight="1" x14ac:dyDescent="0.35">
      <c r="T20810" s="246">
        <f t="shared" si="363"/>
        <v>0</v>
      </c>
    </row>
    <row r="20811" spans="20:20" ht="18.75" customHeight="1" x14ac:dyDescent="0.35">
      <c r="T20811" s="246">
        <f t="shared" si="363"/>
        <v>0</v>
      </c>
    </row>
    <row r="20812" spans="20:20" ht="18.75" customHeight="1" x14ac:dyDescent="0.35">
      <c r="T20812" s="246">
        <f t="shared" si="363"/>
        <v>0</v>
      </c>
    </row>
    <row r="20813" spans="20:20" ht="18.75" customHeight="1" x14ac:dyDescent="0.35">
      <c r="T20813" s="246">
        <f t="shared" si="363"/>
        <v>0</v>
      </c>
    </row>
    <row r="20814" spans="20:20" ht="18.75" customHeight="1" x14ac:dyDescent="0.35">
      <c r="T20814" s="246">
        <f t="shared" si="363"/>
        <v>0</v>
      </c>
    </row>
    <row r="20815" spans="20:20" ht="18.75" customHeight="1" x14ac:dyDescent="0.35">
      <c r="T20815" s="246">
        <f t="shared" si="363"/>
        <v>0</v>
      </c>
    </row>
    <row r="20816" spans="20:20" ht="18.75" customHeight="1" x14ac:dyDescent="0.35">
      <c r="T20816" s="246">
        <f t="shared" si="363"/>
        <v>0</v>
      </c>
    </row>
    <row r="20817" spans="20:20" ht="18.75" customHeight="1" x14ac:dyDescent="0.35">
      <c r="T20817" s="246">
        <f t="shared" si="363"/>
        <v>0</v>
      </c>
    </row>
    <row r="20818" spans="20:20" ht="18.75" customHeight="1" x14ac:dyDescent="0.35">
      <c r="T20818" s="246">
        <f t="shared" si="363"/>
        <v>0</v>
      </c>
    </row>
    <row r="20819" spans="20:20" ht="18.75" customHeight="1" x14ac:dyDescent="0.35">
      <c r="T20819" s="246">
        <f t="shared" si="363"/>
        <v>0</v>
      </c>
    </row>
    <row r="20820" spans="20:20" ht="18.75" customHeight="1" x14ac:dyDescent="0.35">
      <c r="T20820" s="246">
        <f t="shared" si="363"/>
        <v>0</v>
      </c>
    </row>
    <row r="20821" spans="20:20" ht="18.75" customHeight="1" x14ac:dyDescent="0.35">
      <c r="T20821" s="246">
        <f t="shared" si="363"/>
        <v>0</v>
      </c>
    </row>
    <row r="20822" spans="20:20" ht="18.75" customHeight="1" x14ac:dyDescent="0.35">
      <c r="T20822" s="246">
        <f t="shared" si="363"/>
        <v>0</v>
      </c>
    </row>
    <row r="20823" spans="20:20" ht="18.75" customHeight="1" x14ac:dyDescent="0.35">
      <c r="T20823" s="246">
        <f t="shared" si="363"/>
        <v>0</v>
      </c>
    </row>
    <row r="20824" spans="20:20" ht="18.75" customHeight="1" x14ac:dyDescent="0.35">
      <c r="T20824" s="246">
        <f t="shared" si="363"/>
        <v>0</v>
      </c>
    </row>
    <row r="20825" spans="20:20" ht="18.75" customHeight="1" x14ac:dyDescent="0.35">
      <c r="T20825" s="246">
        <f t="shared" si="363"/>
        <v>0</v>
      </c>
    </row>
    <row r="20826" spans="20:20" ht="18.75" customHeight="1" x14ac:dyDescent="0.35">
      <c r="T20826" s="246">
        <f t="shared" si="363"/>
        <v>0</v>
      </c>
    </row>
    <row r="20827" spans="20:20" ht="18.75" customHeight="1" x14ac:dyDescent="0.35">
      <c r="T20827" s="246">
        <f t="shared" si="363"/>
        <v>0</v>
      </c>
    </row>
    <row r="20828" spans="20:20" ht="18.75" customHeight="1" x14ac:dyDescent="0.35">
      <c r="T20828" s="246">
        <f t="shared" si="363"/>
        <v>0</v>
      </c>
    </row>
    <row r="20829" spans="20:20" ht="18.75" customHeight="1" x14ac:dyDescent="0.35">
      <c r="T20829" s="246">
        <f t="shared" si="363"/>
        <v>0</v>
      </c>
    </row>
    <row r="20830" spans="20:20" ht="18.75" customHeight="1" x14ac:dyDescent="0.35">
      <c r="T20830" s="246">
        <f t="shared" si="363"/>
        <v>0</v>
      </c>
    </row>
    <row r="20831" spans="20:20" ht="18.75" customHeight="1" x14ac:dyDescent="0.35">
      <c r="T20831" s="246">
        <f t="shared" si="363"/>
        <v>0</v>
      </c>
    </row>
    <row r="20832" spans="20:20" ht="18.75" customHeight="1" x14ac:dyDescent="0.35">
      <c r="T20832" s="246">
        <f t="shared" si="363"/>
        <v>0</v>
      </c>
    </row>
    <row r="20833" spans="20:20" ht="18.75" customHeight="1" x14ac:dyDescent="0.35">
      <c r="T20833" s="246">
        <f t="shared" si="363"/>
        <v>0</v>
      </c>
    </row>
    <row r="20834" spans="20:20" ht="18.75" customHeight="1" x14ac:dyDescent="0.35">
      <c r="T20834" s="246">
        <f t="shared" si="363"/>
        <v>0</v>
      </c>
    </row>
    <row r="20835" spans="20:20" ht="18.75" customHeight="1" x14ac:dyDescent="0.35">
      <c r="T20835" s="246">
        <f t="shared" si="363"/>
        <v>0</v>
      </c>
    </row>
    <row r="20836" spans="20:20" ht="18.75" customHeight="1" x14ac:dyDescent="0.35">
      <c r="T20836" s="246">
        <f t="shared" si="363"/>
        <v>0</v>
      </c>
    </row>
    <row r="20837" spans="20:20" ht="18.75" customHeight="1" x14ac:dyDescent="0.35">
      <c r="T20837" s="246">
        <f t="shared" si="363"/>
        <v>0</v>
      </c>
    </row>
    <row r="20838" spans="20:20" ht="18.75" customHeight="1" x14ac:dyDescent="0.35">
      <c r="T20838" s="246">
        <f t="shared" si="363"/>
        <v>0</v>
      </c>
    </row>
    <row r="20839" spans="20:20" ht="18.75" customHeight="1" x14ac:dyDescent="0.35">
      <c r="T20839" s="246">
        <f t="shared" si="363"/>
        <v>0</v>
      </c>
    </row>
    <row r="20840" spans="20:20" ht="18.75" customHeight="1" x14ac:dyDescent="0.35">
      <c r="T20840" s="246">
        <f t="shared" si="363"/>
        <v>0</v>
      </c>
    </row>
    <row r="20841" spans="20:20" ht="18.75" customHeight="1" x14ac:dyDescent="0.35">
      <c r="T20841" s="246">
        <f t="shared" si="363"/>
        <v>0</v>
      </c>
    </row>
    <row r="20842" spans="20:20" ht="18.75" customHeight="1" x14ac:dyDescent="0.35">
      <c r="T20842" s="246">
        <f t="shared" si="363"/>
        <v>0</v>
      </c>
    </row>
    <row r="20843" spans="20:20" ht="18.75" customHeight="1" x14ac:dyDescent="0.35">
      <c r="T20843" s="246">
        <f t="shared" si="363"/>
        <v>0</v>
      </c>
    </row>
    <row r="20844" spans="20:20" ht="18.75" customHeight="1" x14ac:dyDescent="0.35">
      <c r="T20844" s="246">
        <f t="shared" si="363"/>
        <v>0</v>
      </c>
    </row>
    <row r="20845" spans="20:20" ht="18.75" customHeight="1" x14ac:dyDescent="0.35">
      <c r="T20845" s="246">
        <f t="shared" si="363"/>
        <v>0</v>
      </c>
    </row>
    <row r="20846" spans="20:20" ht="18.75" customHeight="1" x14ac:dyDescent="0.35">
      <c r="T20846" s="246">
        <f t="shared" si="363"/>
        <v>0</v>
      </c>
    </row>
    <row r="20847" spans="20:20" ht="18.75" customHeight="1" x14ac:dyDescent="0.35">
      <c r="T20847" s="246">
        <f t="shared" si="363"/>
        <v>0</v>
      </c>
    </row>
    <row r="20848" spans="20:20" ht="18.75" customHeight="1" x14ac:dyDescent="0.35">
      <c r="T20848" s="246">
        <f t="shared" si="363"/>
        <v>0</v>
      </c>
    </row>
    <row r="20849" spans="20:20" ht="18.75" customHeight="1" x14ac:dyDescent="0.35">
      <c r="T20849" s="246">
        <f t="shared" si="363"/>
        <v>0</v>
      </c>
    </row>
    <row r="20850" spans="20:20" ht="18.75" customHeight="1" x14ac:dyDescent="0.35">
      <c r="T20850" s="246">
        <f t="shared" si="363"/>
        <v>0</v>
      </c>
    </row>
    <row r="20851" spans="20:20" ht="18.75" customHeight="1" x14ac:dyDescent="0.35">
      <c r="T20851" s="246">
        <f t="shared" si="363"/>
        <v>0</v>
      </c>
    </row>
    <row r="20852" spans="20:20" ht="18.75" customHeight="1" x14ac:dyDescent="0.35">
      <c r="T20852" s="246">
        <f t="shared" si="363"/>
        <v>0</v>
      </c>
    </row>
    <row r="20853" spans="20:20" ht="18.75" customHeight="1" x14ac:dyDescent="0.35">
      <c r="T20853" s="246">
        <f t="shared" si="363"/>
        <v>0</v>
      </c>
    </row>
    <row r="20854" spans="20:20" ht="18.75" customHeight="1" x14ac:dyDescent="0.35">
      <c r="T20854" s="246">
        <f t="shared" si="363"/>
        <v>0</v>
      </c>
    </row>
    <row r="20855" spans="20:20" ht="18.75" customHeight="1" x14ac:dyDescent="0.35">
      <c r="T20855" s="246">
        <f t="shared" si="363"/>
        <v>0</v>
      </c>
    </row>
    <row r="20856" spans="20:20" ht="18.75" customHeight="1" x14ac:dyDescent="0.35">
      <c r="T20856" s="246">
        <f t="shared" si="363"/>
        <v>0</v>
      </c>
    </row>
    <row r="20857" spans="20:20" ht="18.75" customHeight="1" x14ac:dyDescent="0.35">
      <c r="T20857" s="246">
        <f t="shared" si="363"/>
        <v>0</v>
      </c>
    </row>
    <row r="20858" spans="20:20" ht="18.75" customHeight="1" x14ac:dyDescent="0.35">
      <c r="T20858" s="246">
        <f t="shared" si="363"/>
        <v>0</v>
      </c>
    </row>
    <row r="20859" spans="20:20" ht="18.75" customHeight="1" x14ac:dyDescent="0.35">
      <c r="T20859" s="246">
        <f t="shared" si="363"/>
        <v>0</v>
      </c>
    </row>
    <row r="20860" spans="20:20" ht="18.75" customHeight="1" x14ac:dyDescent="0.35">
      <c r="T20860" s="246">
        <f t="shared" ref="T20860:T20923" si="364">R20860*0.01</f>
        <v>0</v>
      </c>
    </row>
    <row r="20861" spans="20:20" ht="18.75" customHeight="1" x14ac:dyDescent="0.35">
      <c r="T20861" s="246">
        <f t="shared" si="364"/>
        <v>0</v>
      </c>
    </row>
    <row r="20862" spans="20:20" ht="18.75" customHeight="1" x14ac:dyDescent="0.35">
      <c r="T20862" s="246">
        <f t="shared" si="364"/>
        <v>0</v>
      </c>
    </row>
    <row r="20863" spans="20:20" ht="18.75" customHeight="1" x14ac:dyDescent="0.35">
      <c r="T20863" s="246">
        <f t="shared" si="364"/>
        <v>0</v>
      </c>
    </row>
    <row r="20864" spans="20:20" ht="18.75" customHeight="1" x14ac:dyDescent="0.35">
      <c r="T20864" s="246">
        <f t="shared" si="364"/>
        <v>0</v>
      </c>
    </row>
    <row r="20865" spans="20:20" ht="18.75" customHeight="1" x14ac:dyDescent="0.35">
      <c r="T20865" s="246">
        <f t="shared" si="364"/>
        <v>0</v>
      </c>
    </row>
    <row r="20866" spans="20:20" ht="18.75" customHeight="1" x14ac:dyDescent="0.35">
      <c r="T20866" s="246">
        <f t="shared" si="364"/>
        <v>0</v>
      </c>
    </row>
    <row r="20867" spans="20:20" ht="18.75" customHeight="1" x14ac:dyDescent="0.35">
      <c r="T20867" s="246">
        <f t="shared" si="364"/>
        <v>0</v>
      </c>
    </row>
    <row r="20868" spans="20:20" ht="18.75" customHeight="1" x14ac:dyDescent="0.35">
      <c r="T20868" s="246">
        <f t="shared" si="364"/>
        <v>0</v>
      </c>
    </row>
    <row r="20869" spans="20:20" ht="18.75" customHeight="1" x14ac:dyDescent="0.35">
      <c r="T20869" s="246">
        <f t="shared" si="364"/>
        <v>0</v>
      </c>
    </row>
    <row r="20870" spans="20:20" ht="18.75" customHeight="1" x14ac:dyDescent="0.35">
      <c r="T20870" s="246">
        <f t="shared" si="364"/>
        <v>0</v>
      </c>
    </row>
    <row r="20871" spans="20:20" ht="18.75" customHeight="1" x14ac:dyDescent="0.35">
      <c r="T20871" s="246">
        <f t="shared" si="364"/>
        <v>0</v>
      </c>
    </row>
    <row r="20872" spans="20:20" ht="18.75" customHeight="1" x14ac:dyDescent="0.35">
      <c r="T20872" s="246">
        <f t="shared" si="364"/>
        <v>0</v>
      </c>
    </row>
    <row r="20873" spans="20:20" ht="18.75" customHeight="1" x14ac:dyDescent="0.35">
      <c r="T20873" s="246">
        <f t="shared" si="364"/>
        <v>0</v>
      </c>
    </row>
    <row r="20874" spans="20:20" ht="18.75" customHeight="1" x14ac:dyDescent="0.35">
      <c r="T20874" s="246">
        <f t="shared" si="364"/>
        <v>0</v>
      </c>
    </row>
    <row r="20875" spans="20:20" ht="18.75" customHeight="1" x14ac:dyDescent="0.35">
      <c r="T20875" s="246">
        <f t="shared" si="364"/>
        <v>0</v>
      </c>
    </row>
    <row r="20876" spans="20:20" ht="18.75" customHeight="1" x14ac:dyDescent="0.35">
      <c r="T20876" s="246">
        <f t="shared" si="364"/>
        <v>0</v>
      </c>
    </row>
    <row r="20877" spans="20:20" ht="18.75" customHeight="1" x14ac:dyDescent="0.35">
      <c r="T20877" s="246">
        <f t="shared" si="364"/>
        <v>0</v>
      </c>
    </row>
    <row r="20878" spans="20:20" ht="18.75" customHeight="1" x14ac:dyDescent="0.35">
      <c r="T20878" s="246">
        <f t="shared" si="364"/>
        <v>0</v>
      </c>
    </row>
    <row r="20879" spans="20:20" ht="18.75" customHeight="1" x14ac:dyDescent="0.35">
      <c r="T20879" s="246">
        <f t="shared" si="364"/>
        <v>0</v>
      </c>
    </row>
    <row r="20880" spans="20:20" ht="18.75" customHeight="1" x14ac:dyDescent="0.35">
      <c r="T20880" s="246">
        <f t="shared" si="364"/>
        <v>0</v>
      </c>
    </row>
    <row r="20881" spans="20:20" ht="18.75" customHeight="1" x14ac:dyDescent="0.35">
      <c r="T20881" s="246">
        <f t="shared" si="364"/>
        <v>0</v>
      </c>
    </row>
    <row r="20882" spans="20:20" ht="18.75" customHeight="1" x14ac:dyDescent="0.35">
      <c r="T20882" s="246">
        <f t="shared" si="364"/>
        <v>0</v>
      </c>
    </row>
    <row r="20883" spans="20:20" ht="18.75" customHeight="1" x14ac:dyDescent="0.35">
      <c r="T20883" s="246">
        <f t="shared" si="364"/>
        <v>0</v>
      </c>
    </row>
    <row r="20884" spans="20:20" ht="18.75" customHeight="1" x14ac:dyDescent="0.35">
      <c r="T20884" s="246">
        <f t="shared" si="364"/>
        <v>0</v>
      </c>
    </row>
    <row r="20885" spans="20:20" ht="18.75" customHeight="1" x14ac:dyDescent="0.35">
      <c r="T20885" s="246">
        <f t="shared" si="364"/>
        <v>0</v>
      </c>
    </row>
    <row r="20886" spans="20:20" ht="18.75" customHeight="1" x14ac:dyDescent="0.35">
      <c r="T20886" s="246">
        <f t="shared" si="364"/>
        <v>0</v>
      </c>
    </row>
    <row r="20887" spans="20:20" ht="18.75" customHeight="1" x14ac:dyDescent="0.35">
      <c r="T20887" s="246">
        <f t="shared" si="364"/>
        <v>0</v>
      </c>
    </row>
    <row r="20888" spans="20:20" ht="18.75" customHeight="1" x14ac:dyDescent="0.35">
      <c r="T20888" s="246">
        <f t="shared" si="364"/>
        <v>0</v>
      </c>
    </row>
    <row r="20889" spans="20:20" ht="18.75" customHeight="1" x14ac:dyDescent="0.35">
      <c r="T20889" s="246">
        <f t="shared" si="364"/>
        <v>0</v>
      </c>
    </row>
    <row r="20890" spans="20:20" ht="18.75" customHeight="1" x14ac:dyDescent="0.35">
      <c r="T20890" s="246">
        <f t="shared" si="364"/>
        <v>0</v>
      </c>
    </row>
    <row r="20891" spans="20:20" ht="18.75" customHeight="1" x14ac:dyDescent="0.35">
      <c r="T20891" s="246">
        <f t="shared" si="364"/>
        <v>0</v>
      </c>
    </row>
    <row r="20892" spans="20:20" ht="18.75" customHeight="1" x14ac:dyDescent="0.35">
      <c r="T20892" s="246">
        <f t="shared" si="364"/>
        <v>0</v>
      </c>
    </row>
    <row r="20893" spans="20:20" ht="18.75" customHeight="1" x14ac:dyDescent="0.35">
      <c r="T20893" s="246">
        <f t="shared" si="364"/>
        <v>0</v>
      </c>
    </row>
    <row r="20894" spans="20:20" ht="18.75" customHeight="1" x14ac:dyDescent="0.35">
      <c r="T20894" s="246">
        <f t="shared" si="364"/>
        <v>0</v>
      </c>
    </row>
    <row r="20895" spans="20:20" ht="18.75" customHeight="1" x14ac:dyDescent="0.35">
      <c r="T20895" s="246">
        <f t="shared" si="364"/>
        <v>0</v>
      </c>
    </row>
    <row r="20896" spans="20:20" ht="18.75" customHeight="1" x14ac:dyDescent="0.35">
      <c r="T20896" s="246">
        <f t="shared" si="364"/>
        <v>0</v>
      </c>
    </row>
    <row r="20897" spans="20:20" ht="18.75" customHeight="1" x14ac:dyDescent="0.35">
      <c r="T20897" s="246">
        <f t="shared" si="364"/>
        <v>0</v>
      </c>
    </row>
    <row r="20898" spans="20:20" ht="18.75" customHeight="1" x14ac:dyDescent="0.35">
      <c r="T20898" s="246">
        <f t="shared" si="364"/>
        <v>0</v>
      </c>
    </row>
    <row r="20899" spans="20:20" ht="18.75" customHeight="1" x14ac:dyDescent="0.35">
      <c r="T20899" s="246">
        <f t="shared" si="364"/>
        <v>0</v>
      </c>
    </row>
    <row r="20900" spans="20:20" ht="18.75" customHeight="1" x14ac:dyDescent="0.35">
      <c r="T20900" s="246">
        <f t="shared" si="364"/>
        <v>0</v>
      </c>
    </row>
    <row r="20901" spans="20:20" ht="18.75" customHeight="1" x14ac:dyDescent="0.35">
      <c r="T20901" s="246">
        <f t="shared" si="364"/>
        <v>0</v>
      </c>
    </row>
    <row r="20902" spans="20:20" ht="18.75" customHeight="1" x14ac:dyDescent="0.35">
      <c r="T20902" s="246">
        <f t="shared" si="364"/>
        <v>0</v>
      </c>
    </row>
    <row r="20903" spans="20:20" ht="18.75" customHeight="1" x14ac:dyDescent="0.35">
      <c r="T20903" s="246">
        <f t="shared" si="364"/>
        <v>0</v>
      </c>
    </row>
    <row r="20904" spans="20:20" ht="18.75" customHeight="1" x14ac:dyDescent="0.35">
      <c r="T20904" s="246">
        <f t="shared" si="364"/>
        <v>0</v>
      </c>
    </row>
    <row r="20905" spans="20:20" ht="18.75" customHeight="1" x14ac:dyDescent="0.35">
      <c r="T20905" s="246">
        <f t="shared" si="364"/>
        <v>0</v>
      </c>
    </row>
    <row r="20906" spans="20:20" ht="18.75" customHeight="1" x14ac:dyDescent="0.35">
      <c r="T20906" s="246">
        <f t="shared" si="364"/>
        <v>0</v>
      </c>
    </row>
    <row r="20907" spans="20:20" ht="18.75" customHeight="1" x14ac:dyDescent="0.35">
      <c r="T20907" s="246">
        <f t="shared" si="364"/>
        <v>0</v>
      </c>
    </row>
    <row r="20908" spans="20:20" ht="18.75" customHeight="1" x14ac:dyDescent="0.35">
      <c r="T20908" s="246">
        <f t="shared" si="364"/>
        <v>0</v>
      </c>
    </row>
    <row r="20909" spans="20:20" ht="18.75" customHeight="1" x14ac:dyDescent="0.35">
      <c r="T20909" s="246">
        <f t="shared" si="364"/>
        <v>0</v>
      </c>
    </row>
    <row r="20910" spans="20:20" ht="18.75" customHeight="1" x14ac:dyDescent="0.35">
      <c r="T20910" s="246">
        <f t="shared" si="364"/>
        <v>0</v>
      </c>
    </row>
    <row r="20911" spans="20:20" ht="18.75" customHeight="1" x14ac:dyDescent="0.35">
      <c r="T20911" s="246">
        <f t="shared" si="364"/>
        <v>0</v>
      </c>
    </row>
    <row r="20912" spans="20:20" ht="18.75" customHeight="1" x14ac:dyDescent="0.35">
      <c r="T20912" s="246">
        <f t="shared" si="364"/>
        <v>0</v>
      </c>
    </row>
    <row r="20913" spans="20:20" ht="18.75" customHeight="1" x14ac:dyDescent="0.35">
      <c r="T20913" s="246">
        <f t="shared" si="364"/>
        <v>0</v>
      </c>
    </row>
    <row r="20914" spans="20:20" ht="18.75" customHeight="1" x14ac:dyDescent="0.35">
      <c r="T20914" s="246">
        <f t="shared" si="364"/>
        <v>0</v>
      </c>
    </row>
    <row r="20915" spans="20:20" ht="18.75" customHeight="1" x14ac:dyDescent="0.35">
      <c r="T20915" s="246">
        <f t="shared" si="364"/>
        <v>0</v>
      </c>
    </row>
    <row r="20916" spans="20:20" ht="18.75" customHeight="1" x14ac:dyDescent="0.35">
      <c r="T20916" s="246">
        <f t="shared" si="364"/>
        <v>0</v>
      </c>
    </row>
    <row r="20917" spans="20:20" ht="18.75" customHeight="1" x14ac:dyDescent="0.35">
      <c r="T20917" s="246">
        <f t="shared" si="364"/>
        <v>0</v>
      </c>
    </row>
    <row r="20918" spans="20:20" ht="18.75" customHeight="1" x14ac:dyDescent="0.35">
      <c r="T20918" s="246">
        <f t="shared" si="364"/>
        <v>0</v>
      </c>
    </row>
    <row r="20919" spans="20:20" ht="18.75" customHeight="1" x14ac:dyDescent="0.35">
      <c r="T20919" s="246">
        <f t="shared" si="364"/>
        <v>0</v>
      </c>
    </row>
    <row r="20920" spans="20:20" ht="18.75" customHeight="1" x14ac:dyDescent="0.35">
      <c r="T20920" s="246">
        <f t="shared" si="364"/>
        <v>0</v>
      </c>
    </row>
    <row r="20921" spans="20:20" ht="18.75" customHeight="1" x14ac:dyDescent="0.35">
      <c r="T20921" s="246">
        <f t="shared" si="364"/>
        <v>0</v>
      </c>
    </row>
    <row r="20922" spans="20:20" ht="18.75" customHeight="1" x14ac:dyDescent="0.35">
      <c r="T20922" s="246">
        <f t="shared" si="364"/>
        <v>0</v>
      </c>
    </row>
    <row r="20923" spans="20:20" ht="18.75" customHeight="1" x14ac:dyDescent="0.35">
      <c r="T20923" s="246">
        <f t="shared" si="364"/>
        <v>0</v>
      </c>
    </row>
    <row r="20924" spans="20:20" ht="18.75" customHeight="1" x14ac:dyDescent="0.35">
      <c r="T20924" s="246">
        <f t="shared" ref="T20924:T20987" si="365">R20924*0.01</f>
        <v>0</v>
      </c>
    </row>
    <row r="20925" spans="20:20" ht="18.75" customHeight="1" x14ac:dyDescent="0.35">
      <c r="T20925" s="246">
        <f t="shared" si="365"/>
        <v>0</v>
      </c>
    </row>
    <row r="20926" spans="20:20" ht="18.75" customHeight="1" x14ac:dyDescent="0.35">
      <c r="T20926" s="246">
        <f t="shared" si="365"/>
        <v>0</v>
      </c>
    </row>
    <row r="20927" spans="20:20" ht="18.75" customHeight="1" x14ac:dyDescent="0.35">
      <c r="T20927" s="246">
        <f t="shared" si="365"/>
        <v>0</v>
      </c>
    </row>
    <row r="20928" spans="20:20" ht="18.75" customHeight="1" x14ac:dyDescent="0.35">
      <c r="T20928" s="246">
        <f t="shared" si="365"/>
        <v>0</v>
      </c>
    </row>
    <row r="20929" spans="20:20" ht="18.75" customHeight="1" x14ac:dyDescent="0.35">
      <c r="T20929" s="246">
        <f t="shared" si="365"/>
        <v>0</v>
      </c>
    </row>
    <row r="20930" spans="20:20" ht="18.75" customHeight="1" x14ac:dyDescent="0.35">
      <c r="T20930" s="246">
        <f t="shared" si="365"/>
        <v>0</v>
      </c>
    </row>
    <row r="20931" spans="20:20" ht="18.75" customHeight="1" x14ac:dyDescent="0.35">
      <c r="T20931" s="246">
        <f t="shared" si="365"/>
        <v>0</v>
      </c>
    </row>
    <row r="20932" spans="20:20" ht="18.75" customHeight="1" x14ac:dyDescent="0.35">
      <c r="T20932" s="246">
        <f t="shared" si="365"/>
        <v>0</v>
      </c>
    </row>
    <row r="20933" spans="20:20" ht="18.75" customHeight="1" x14ac:dyDescent="0.35">
      <c r="T20933" s="246">
        <f t="shared" si="365"/>
        <v>0</v>
      </c>
    </row>
    <row r="20934" spans="20:20" ht="18.75" customHeight="1" x14ac:dyDescent="0.35">
      <c r="T20934" s="246">
        <f t="shared" si="365"/>
        <v>0</v>
      </c>
    </row>
    <row r="20935" spans="20:20" ht="18.75" customHeight="1" x14ac:dyDescent="0.35">
      <c r="T20935" s="246">
        <f t="shared" si="365"/>
        <v>0</v>
      </c>
    </row>
    <row r="20936" spans="20:20" ht="18.75" customHeight="1" x14ac:dyDescent="0.35">
      <c r="T20936" s="246">
        <f t="shared" si="365"/>
        <v>0</v>
      </c>
    </row>
    <row r="20937" spans="20:20" ht="18.75" customHeight="1" x14ac:dyDescent="0.35">
      <c r="T20937" s="246">
        <f t="shared" si="365"/>
        <v>0</v>
      </c>
    </row>
    <row r="20938" spans="20:20" ht="18.75" customHeight="1" x14ac:dyDescent="0.35">
      <c r="T20938" s="246">
        <f t="shared" si="365"/>
        <v>0</v>
      </c>
    </row>
    <row r="20939" spans="20:20" ht="18.75" customHeight="1" x14ac:dyDescent="0.35">
      <c r="T20939" s="246">
        <f t="shared" si="365"/>
        <v>0</v>
      </c>
    </row>
    <row r="20940" spans="20:20" ht="18.75" customHeight="1" x14ac:dyDescent="0.35">
      <c r="T20940" s="246">
        <f t="shared" si="365"/>
        <v>0</v>
      </c>
    </row>
    <row r="20941" spans="20:20" ht="18.75" customHeight="1" x14ac:dyDescent="0.35">
      <c r="T20941" s="246">
        <f t="shared" si="365"/>
        <v>0</v>
      </c>
    </row>
    <row r="20942" spans="20:20" ht="18.75" customHeight="1" x14ac:dyDescent="0.35">
      <c r="T20942" s="246">
        <f t="shared" si="365"/>
        <v>0</v>
      </c>
    </row>
    <row r="20943" spans="20:20" ht="18.75" customHeight="1" x14ac:dyDescent="0.35">
      <c r="T20943" s="246">
        <f t="shared" si="365"/>
        <v>0</v>
      </c>
    </row>
    <row r="20944" spans="20:20" ht="18.75" customHeight="1" x14ac:dyDescent="0.35">
      <c r="T20944" s="246">
        <f t="shared" si="365"/>
        <v>0</v>
      </c>
    </row>
    <row r="20945" spans="20:20" ht="18.75" customHeight="1" x14ac:dyDescent="0.35">
      <c r="T20945" s="246">
        <f t="shared" si="365"/>
        <v>0</v>
      </c>
    </row>
    <row r="20946" spans="20:20" ht="18.75" customHeight="1" x14ac:dyDescent="0.35">
      <c r="T20946" s="246">
        <f t="shared" si="365"/>
        <v>0</v>
      </c>
    </row>
    <row r="20947" spans="20:20" ht="18.75" customHeight="1" x14ac:dyDescent="0.35">
      <c r="T20947" s="246">
        <f t="shared" si="365"/>
        <v>0</v>
      </c>
    </row>
    <row r="20948" spans="20:20" ht="18.75" customHeight="1" x14ac:dyDescent="0.35">
      <c r="T20948" s="246">
        <f t="shared" si="365"/>
        <v>0</v>
      </c>
    </row>
    <row r="20949" spans="20:20" ht="18.75" customHeight="1" x14ac:dyDescent="0.35">
      <c r="T20949" s="246">
        <f t="shared" si="365"/>
        <v>0</v>
      </c>
    </row>
    <row r="20950" spans="20:20" ht="18.75" customHeight="1" x14ac:dyDescent="0.35">
      <c r="T20950" s="246">
        <f t="shared" si="365"/>
        <v>0</v>
      </c>
    </row>
    <row r="20951" spans="20:20" ht="18.75" customHeight="1" x14ac:dyDescent="0.35">
      <c r="T20951" s="246">
        <f t="shared" si="365"/>
        <v>0</v>
      </c>
    </row>
    <row r="20952" spans="20:20" ht="18.75" customHeight="1" x14ac:dyDescent="0.35">
      <c r="T20952" s="246">
        <f t="shared" si="365"/>
        <v>0</v>
      </c>
    </row>
    <row r="20953" spans="20:20" ht="18.75" customHeight="1" x14ac:dyDescent="0.35">
      <c r="T20953" s="246">
        <f t="shared" si="365"/>
        <v>0</v>
      </c>
    </row>
    <row r="20954" spans="20:20" ht="18.75" customHeight="1" x14ac:dyDescent="0.35">
      <c r="T20954" s="246">
        <f t="shared" si="365"/>
        <v>0</v>
      </c>
    </row>
    <row r="20955" spans="20:20" ht="18.75" customHeight="1" x14ac:dyDescent="0.35">
      <c r="T20955" s="246">
        <f t="shared" si="365"/>
        <v>0</v>
      </c>
    </row>
    <row r="20956" spans="20:20" ht="18.75" customHeight="1" x14ac:dyDescent="0.35">
      <c r="T20956" s="246">
        <f t="shared" si="365"/>
        <v>0</v>
      </c>
    </row>
    <row r="20957" spans="20:20" ht="18.75" customHeight="1" x14ac:dyDescent="0.35">
      <c r="T20957" s="246">
        <f t="shared" si="365"/>
        <v>0</v>
      </c>
    </row>
    <row r="20958" spans="20:20" ht="18.75" customHeight="1" x14ac:dyDescent="0.35">
      <c r="T20958" s="246">
        <f t="shared" si="365"/>
        <v>0</v>
      </c>
    </row>
    <row r="20959" spans="20:20" ht="18.75" customHeight="1" x14ac:dyDescent="0.35">
      <c r="T20959" s="246">
        <f t="shared" si="365"/>
        <v>0</v>
      </c>
    </row>
    <row r="20960" spans="20:20" ht="18.75" customHeight="1" x14ac:dyDescent="0.35">
      <c r="T20960" s="246">
        <f t="shared" si="365"/>
        <v>0</v>
      </c>
    </row>
    <row r="20961" spans="20:20" ht="18.75" customHeight="1" x14ac:dyDescent="0.35">
      <c r="T20961" s="246">
        <f t="shared" si="365"/>
        <v>0</v>
      </c>
    </row>
    <row r="20962" spans="20:20" ht="18.75" customHeight="1" x14ac:dyDescent="0.35">
      <c r="T20962" s="246">
        <f t="shared" si="365"/>
        <v>0</v>
      </c>
    </row>
    <row r="20963" spans="20:20" ht="18.75" customHeight="1" x14ac:dyDescent="0.35">
      <c r="T20963" s="246">
        <f t="shared" si="365"/>
        <v>0</v>
      </c>
    </row>
    <row r="20964" spans="20:20" ht="18.75" customHeight="1" x14ac:dyDescent="0.35">
      <c r="T20964" s="246">
        <f t="shared" si="365"/>
        <v>0</v>
      </c>
    </row>
    <row r="20965" spans="20:20" ht="18.75" customHeight="1" x14ac:dyDescent="0.35">
      <c r="T20965" s="246">
        <f t="shared" si="365"/>
        <v>0</v>
      </c>
    </row>
    <row r="20966" spans="20:20" ht="18.75" customHeight="1" x14ac:dyDescent="0.35">
      <c r="T20966" s="246">
        <f t="shared" si="365"/>
        <v>0</v>
      </c>
    </row>
    <row r="20967" spans="20:20" ht="18.75" customHeight="1" x14ac:dyDescent="0.35">
      <c r="T20967" s="246">
        <f t="shared" si="365"/>
        <v>0</v>
      </c>
    </row>
    <row r="20968" spans="20:20" ht="18.75" customHeight="1" x14ac:dyDescent="0.35">
      <c r="T20968" s="246">
        <f t="shared" si="365"/>
        <v>0</v>
      </c>
    </row>
    <row r="20969" spans="20:20" ht="18.75" customHeight="1" x14ac:dyDescent="0.35">
      <c r="T20969" s="246">
        <f t="shared" si="365"/>
        <v>0</v>
      </c>
    </row>
    <row r="20970" spans="20:20" ht="18.75" customHeight="1" x14ac:dyDescent="0.35">
      <c r="T20970" s="246">
        <f t="shared" si="365"/>
        <v>0</v>
      </c>
    </row>
    <row r="20971" spans="20:20" ht="18.75" customHeight="1" x14ac:dyDescent="0.35">
      <c r="T20971" s="246">
        <f t="shared" si="365"/>
        <v>0</v>
      </c>
    </row>
    <row r="20972" spans="20:20" ht="18.75" customHeight="1" x14ac:dyDescent="0.35">
      <c r="T20972" s="246">
        <f t="shared" si="365"/>
        <v>0</v>
      </c>
    </row>
    <row r="20973" spans="20:20" ht="18.75" customHeight="1" x14ac:dyDescent="0.35">
      <c r="T20973" s="246">
        <f t="shared" si="365"/>
        <v>0</v>
      </c>
    </row>
    <row r="20974" spans="20:20" ht="18.75" customHeight="1" x14ac:dyDescent="0.35">
      <c r="T20974" s="246">
        <f t="shared" si="365"/>
        <v>0</v>
      </c>
    </row>
    <row r="20975" spans="20:20" ht="18.75" customHeight="1" x14ac:dyDescent="0.35">
      <c r="T20975" s="246">
        <f t="shared" si="365"/>
        <v>0</v>
      </c>
    </row>
    <row r="20976" spans="20:20" ht="18.75" customHeight="1" x14ac:dyDescent="0.35">
      <c r="T20976" s="246">
        <f t="shared" si="365"/>
        <v>0</v>
      </c>
    </row>
    <row r="20977" spans="20:20" ht="18.75" customHeight="1" x14ac:dyDescent="0.35">
      <c r="T20977" s="246">
        <f t="shared" si="365"/>
        <v>0</v>
      </c>
    </row>
    <row r="20978" spans="20:20" ht="18.75" customHeight="1" x14ac:dyDescent="0.35">
      <c r="T20978" s="246">
        <f t="shared" si="365"/>
        <v>0</v>
      </c>
    </row>
    <row r="20979" spans="20:20" ht="18.75" customHeight="1" x14ac:dyDescent="0.35">
      <c r="T20979" s="246">
        <f t="shared" si="365"/>
        <v>0</v>
      </c>
    </row>
    <row r="20980" spans="20:20" ht="18.75" customHeight="1" x14ac:dyDescent="0.35">
      <c r="T20980" s="246">
        <f t="shared" si="365"/>
        <v>0</v>
      </c>
    </row>
    <row r="20981" spans="20:20" ht="18.75" customHeight="1" x14ac:dyDescent="0.35">
      <c r="T20981" s="246">
        <f t="shared" si="365"/>
        <v>0</v>
      </c>
    </row>
    <row r="20982" spans="20:20" ht="18.75" customHeight="1" x14ac:dyDescent="0.35">
      <c r="T20982" s="246">
        <f t="shared" si="365"/>
        <v>0</v>
      </c>
    </row>
    <row r="20983" spans="20:20" ht="18.75" customHeight="1" x14ac:dyDescent="0.35">
      <c r="T20983" s="246">
        <f t="shared" si="365"/>
        <v>0</v>
      </c>
    </row>
    <row r="20984" spans="20:20" ht="18.75" customHeight="1" x14ac:dyDescent="0.35">
      <c r="T20984" s="246">
        <f t="shared" si="365"/>
        <v>0</v>
      </c>
    </row>
    <row r="20985" spans="20:20" ht="18.75" customHeight="1" x14ac:dyDescent="0.35">
      <c r="T20985" s="246">
        <f t="shared" si="365"/>
        <v>0</v>
      </c>
    </row>
    <row r="20986" spans="20:20" ht="18.75" customHeight="1" x14ac:dyDescent="0.35">
      <c r="T20986" s="246">
        <f t="shared" si="365"/>
        <v>0</v>
      </c>
    </row>
    <row r="20987" spans="20:20" ht="18.75" customHeight="1" x14ac:dyDescent="0.35">
      <c r="T20987" s="246">
        <f t="shared" si="365"/>
        <v>0</v>
      </c>
    </row>
    <row r="20988" spans="20:20" ht="18.75" customHeight="1" x14ac:dyDescent="0.35">
      <c r="T20988" s="246">
        <f t="shared" ref="T20988:T21051" si="366">R20988*0.01</f>
        <v>0</v>
      </c>
    </row>
    <row r="20989" spans="20:20" ht="18.75" customHeight="1" x14ac:dyDescent="0.35">
      <c r="T20989" s="246">
        <f t="shared" si="366"/>
        <v>0</v>
      </c>
    </row>
    <row r="20990" spans="20:20" ht="18.75" customHeight="1" x14ac:dyDescent="0.35">
      <c r="T20990" s="246">
        <f t="shared" si="366"/>
        <v>0</v>
      </c>
    </row>
    <row r="20991" spans="20:20" ht="18.75" customHeight="1" x14ac:dyDescent="0.35">
      <c r="T20991" s="246">
        <f t="shared" si="366"/>
        <v>0</v>
      </c>
    </row>
    <row r="20992" spans="20:20" ht="18.75" customHeight="1" x14ac:dyDescent="0.35">
      <c r="T20992" s="246">
        <f t="shared" si="366"/>
        <v>0</v>
      </c>
    </row>
    <row r="20993" spans="20:20" ht="18.75" customHeight="1" x14ac:dyDescent="0.35">
      <c r="T20993" s="246">
        <f t="shared" si="366"/>
        <v>0</v>
      </c>
    </row>
    <row r="20994" spans="20:20" ht="18.75" customHeight="1" x14ac:dyDescent="0.35">
      <c r="T20994" s="246">
        <f t="shared" si="366"/>
        <v>0</v>
      </c>
    </row>
    <row r="20995" spans="20:20" ht="18.75" customHeight="1" x14ac:dyDescent="0.35">
      <c r="T20995" s="246">
        <f t="shared" si="366"/>
        <v>0</v>
      </c>
    </row>
    <row r="20996" spans="20:20" ht="18.75" customHeight="1" x14ac:dyDescent="0.35">
      <c r="T20996" s="246">
        <f t="shared" si="366"/>
        <v>0</v>
      </c>
    </row>
    <row r="20997" spans="20:20" ht="18.75" customHeight="1" x14ac:dyDescent="0.35">
      <c r="T20997" s="246">
        <f t="shared" si="366"/>
        <v>0</v>
      </c>
    </row>
    <row r="20998" spans="20:20" ht="18.75" customHeight="1" x14ac:dyDescent="0.35">
      <c r="T20998" s="246">
        <f t="shared" si="366"/>
        <v>0</v>
      </c>
    </row>
    <row r="20999" spans="20:20" ht="18.75" customHeight="1" x14ac:dyDescent="0.35">
      <c r="T20999" s="246">
        <f t="shared" si="366"/>
        <v>0</v>
      </c>
    </row>
    <row r="21000" spans="20:20" ht="18.75" customHeight="1" x14ac:dyDescent="0.35">
      <c r="T21000" s="246">
        <f t="shared" si="366"/>
        <v>0</v>
      </c>
    </row>
    <row r="21001" spans="20:20" ht="18.75" customHeight="1" x14ac:dyDescent="0.35">
      <c r="T21001" s="246">
        <f t="shared" si="366"/>
        <v>0</v>
      </c>
    </row>
    <row r="21002" spans="20:20" ht="18.75" customHeight="1" x14ac:dyDescent="0.35">
      <c r="T21002" s="246">
        <f t="shared" si="366"/>
        <v>0</v>
      </c>
    </row>
    <row r="21003" spans="20:20" ht="18.75" customHeight="1" x14ac:dyDescent="0.35">
      <c r="T21003" s="246">
        <f t="shared" si="366"/>
        <v>0</v>
      </c>
    </row>
    <row r="21004" spans="20:20" ht="18.75" customHeight="1" x14ac:dyDescent="0.35">
      <c r="T21004" s="246">
        <f t="shared" si="366"/>
        <v>0</v>
      </c>
    </row>
    <row r="21005" spans="20:20" ht="18.75" customHeight="1" x14ac:dyDescent="0.35">
      <c r="T21005" s="246">
        <f t="shared" si="366"/>
        <v>0</v>
      </c>
    </row>
    <row r="21006" spans="20:20" ht="18.75" customHeight="1" x14ac:dyDescent="0.35">
      <c r="T21006" s="246">
        <f t="shared" si="366"/>
        <v>0</v>
      </c>
    </row>
    <row r="21007" spans="20:20" ht="18.75" customHeight="1" x14ac:dyDescent="0.35">
      <c r="T21007" s="246">
        <f t="shared" si="366"/>
        <v>0</v>
      </c>
    </row>
    <row r="21008" spans="20:20" ht="18.75" customHeight="1" x14ac:dyDescent="0.35">
      <c r="T21008" s="246">
        <f t="shared" si="366"/>
        <v>0</v>
      </c>
    </row>
    <row r="21009" spans="20:20" ht="18.75" customHeight="1" x14ac:dyDescent="0.35">
      <c r="T21009" s="246">
        <f t="shared" si="366"/>
        <v>0</v>
      </c>
    </row>
    <row r="21010" spans="20:20" ht="18.75" customHeight="1" x14ac:dyDescent="0.35">
      <c r="T21010" s="246">
        <f t="shared" si="366"/>
        <v>0</v>
      </c>
    </row>
    <row r="21011" spans="20:20" ht="18.75" customHeight="1" x14ac:dyDescent="0.35">
      <c r="T21011" s="246">
        <f t="shared" si="366"/>
        <v>0</v>
      </c>
    </row>
    <row r="21012" spans="20:20" ht="18.75" customHeight="1" x14ac:dyDescent="0.35">
      <c r="T21012" s="246">
        <f t="shared" si="366"/>
        <v>0</v>
      </c>
    </row>
    <row r="21013" spans="20:20" ht="18.75" customHeight="1" x14ac:dyDescent="0.35">
      <c r="T21013" s="246">
        <f t="shared" si="366"/>
        <v>0</v>
      </c>
    </row>
    <row r="21014" spans="20:20" ht="18.75" customHeight="1" x14ac:dyDescent="0.35">
      <c r="T21014" s="246">
        <f t="shared" si="366"/>
        <v>0</v>
      </c>
    </row>
    <row r="21015" spans="20:20" ht="18.75" customHeight="1" x14ac:dyDescent="0.35">
      <c r="T21015" s="246">
        <f t="shared" si="366"/>
        <v>0</v>
      </c>
    </row>
    <row r="21016" spans="20:20" ht="18.75" customHeight="1" x14ac:dyDescent="0.35">
      <c r="T21016" s="246">
        <f t="shared" si="366"/>
        <v>0</v>
      </c>
    </row>
    <row r="21017" spans="20:20" ht="18.75" customHeight="1" x14ac:dyDescent="0.35">
      <c r="T21017" s="246">
        <f t="shared" si="366"/>
        <v>0</v>
      </c>
    </row>
    <row r="21018" spans="20:20" ht="18.75" customHeight="1" x14ac:dyDescent="0.35">
      <c r="T21018" s="246">
        <f t="shared" si="366"/>
        <v>0</v>
      </c>
    </row>
    <row r="21019" spans="20:20" ht="18.75" customHeight="1" x14ac:dyDescent="0.35">
      <c r="T21019" s="246">
        <f t="shared" si="366"/>
        <v>0</v>
      </c>
    </row>
    <row r="21020" spans="20:20" ht="18.75" customHeight="1" x14ac:dyDescent="0.35">
      <c r="T21020" s="246">
        <f t="shared" si="366"/>
        <v>0</v>
      </c>
    </row>
    <row r="21021" spans="20:20" ht="18.75" customHeight="1" x14ac:dyDescent="0.35">
      <c r="T21021" s="246">
        <f t="shared" si="366"/>
        <v>0</v>
      </c>
    </row>
    <row r="21022" spans="20:20" ht="18.75" customHeight="1" x14ac:dyDescent="0.35">
      <c r="T21022" s="246">
        <f t="shared" si="366"/>
        <v>0</v>
      </c>
    </row>
    <row r="21023" spans="20:20" ht="18.75" customHeight="1" x14ac:dyDescent="0.35">
      <c r="T21023" s="246">
        <f t="shared" si="366"/>
        <v>0</v>
      </c>
    </row>
    <row r="21024" spans="20:20" ht="18.75" customHeight="1" x14ac:dyDescent="0.35">
      <c r="T21024" s="246">
        <f t="shared" si="366"/>
        <v>0</v>
      </c>
    </row>
    <row r="21025" spans="20:20" ht="18.75" customHeight="1" x14ac:dyDescent="0.35">
      <c r="T21025" s="246">
        <f t="shared" si="366"/>
        <v>0</v>
      </c>
    </row>
    <row r="21026" spans="20:20" ht="18.75" customHeight="1" x14ac:dyDescent="0.35">
      <c r="T21026" s="246">
        <f t="shared" si="366"/>
        <v>0</v>
      </c>
    </row>
    <row r="21027" spans="20:20" ht="18.75" customHeight="1" x14ac:dyDescent="0.35">
      <c r="T21027" s="246">
        <f t="shared" si="366"/>
        <v>0</v>
      </c>
    </row>
    <row r="21028" spans="20:20" ht="18.75" customHeight="1" x14ac:dyDescent="0.35">
      <c r="T21028" s="246">
        <f t="shared" si="366"/>
        <v>0</v>
      </c>
    </row>
    <row r="21029" spans="20:20" ht="18.75" customHeight="1" x14ac:dyDescent="0.35">
      <c r="T21029" s="246">
        <f t="shared" si="366"/>
        <v>0</v>
      </c>
    </row>
    <row r="21030" spans="20:20" ht="18.75" customHeight="1" x14ac:dyDescent="0.35">
      <c r="T21030" s="246">
        <f t="shared" si="366"/>
        <v>0</v>
      </c>
    </row>
    <row r="21031" spans="20:20" ht="18.75" customHeight="1" x14ac:dyDescent="0.35">
      <c r="T21031" s="246">
        <f t="shared" si="366"/>
        <v>0</v>
      </c>
    </row>
    <row r="21032" spans="20:20" ht="18.75" customHeight="1" x14ac:dyDescent="0.35">
      <c r="T21032" s="246">
        <f t="shared" si="366"/>
        <v>0</v>
      </c>
    </row>
    <row r="21033" spans="20:20" ht="18.75" customHeight="1" x14ac:dyDescent="0.35">
      <c r="T21033" s="246">
        <f t="shared" si="366"/>
        <v>0</v>
      </c>
    </row>
    <row r="21034" spans="20:20" ht="18.75" customHeight="1" x14ac:dyDescent="0.35">
      <c r="T21034" s="246">
        <f t="shared" si="366"/>
        <v>0</v>
      </c>
    </row>
    <row r="21035" spans="20:20" ht="18.75" customHeight="1" x14ac:dyDescent="0.35">
      <c r="T21035" s="246">
        <f t="shared" si="366"/>
        <v>0</v>
      </c>
    </row>
    <row r="21036" spans="20:20" ht="18.75" customHeight="1" x14ac:dyDescent="0.35">
      <c r="T21036" s="246">
        <f t="shared" si="366"/>
        <v>0</v>
      </c>
    </row>
    <row r="21037" spans="20:20" ht="18.75" customHeight="1" x14ac:dyDescent="0.35">
      <c r="T21037" s="246">
        <f t="shared" si="366"/>
        <v>0</v>
      </c>
    </row>
    <row r="21038" spans="20:20" ht="18.75" customHeight="1" x14ac:dyDescent="0.35">
      <c r="T21038" s="246">
        <f t="shared" si="366"/>
        <v>0</v>
      </c>
    </row>
    <row r="21039" spans="20:20" ht="18.75" customHeight="1" x14ac:dyDescent="0.35">
      <c r="T21039" s="246">
        <f t="shared" si="366"/>
        <v>0</v>
      </c>
    </row>
    <row r="21040" spans="20:20" ht="18.75" customHeight="1" x14ac:dyDescent="0.35">
      <c r="T21040" s="246">
        <f t="shared" si="366"/>
        <v>0</v>
      </c>
    </row>
    <row r="21041" spans="20:20" ht="18.75" customHeight="1" x14ac:dyDescent="0.35">
      <c r="T21041" s="246">
        <f t="shared" si="366"/>
        <v>0</v>
      </c>
    </row>
    <row r="21042" spans="20:20" ht="18.75" customHeight="1" x14ac:dyDescent="0.35">
      <c r="T21042" s="246">
        <f t="shared" si="366"/>
        <v>0</v>
      </c>
    </row>
    <row r="21043" spans="20:20" ht="18.75" customHeight="1" x14ac:dyDescent="0.35">
      <c r="T21043" s="246">
        <f t="shared" si="366"/>
        <v>0</v>
      </c>
    </row>
    <row r="21044" spans="20:20" ht="18.75" customHeight="1" x14ac:dyDescent="0.35">
      <c r="T21044" s="246">
        <f t="shared" si="366"/>
        <v>0</v>
      </c>
    </row>
    <row r="21045" spans="20:20" ht="18.75" customHeight="1" x14ac:dyDescent="0.35">
      <c r="T21045" s="246">
        <f t="shared" si="366"/>
        <v>0</v>
      </c>
    </row>
    <row r="21046" spans="20:20" ht="18.75" customHeight="1" x14ac:dyDescent="0.35">
      <c r="T21046" s="246">
        <f t="shared" si="366"/>
        <v>0</v>
      </c>
    </row>
    <row r="21047" spans="20:20" ht="18.75" customHeight="1" x14ac:dyDescent="0.35">
      <c r="T21047" s="246">
        <f t="shared" si="366"/>
        <v>0</v>
      </c>
    </row>
    <row r="21048" spans="20:20" ht="18.75" customHeight="1" x14ac:dyDescent="0.35">
      <c r="T21048" s="246">
        <f t="shared" si="366"/>
        <v>0</v>
      </c>
    </row>
    <row r="21049" spans="20:20" ht="18.75" customHeight="1" x14ac:dyDescent="0.35">
      <c r="T21049" s="246">
        <f t="shared" si="366"/>
        <v>0</v>
      </c>
    </row>
    <row r="21050" spans="20:20" ht="18.75" customHeight="1" x14ac:dyDescent="0.35">
      <c r="T21050" s="246">
        <f t="shared" si="366"/>
        <v>0</v>
      </c>
    </row>
    <row r="21051" spans="20:20" ht="18.75" customHeight="1" x14ac:dyDescent="0.35">
      <c r="T21051" s="246">
        <f t="shared" si="366"/>
        <v>0</v>
      </c>
    </row>
    <row r="21052" spans="20:20" ht="18.75" customHeight="1" x14ac:dyDescent="0.35">
      <c r="T21052" s="246">
        <f t="shared" ref="T21052:T21115" si="367">R21052*0.01</f>
        <v>0</v>
      </c>
    </row>
    <row r="21053" spans="20:20" ht="18.75" customHeight="1" x14ac:dyDescent="0.35">
      <c r="T21053" s="246">
        <f t="shared" si="367"/>
        <v>0</v>
      </c>
    </row>
    <row r="21054" spans="20:20" ht="18.75" customHeight="1" x14ac:dyDescent="0.35">
      <c r="T21054" s="246">
        <f t="shared" si="367"/>
        <v>0</v>
      </c>
    </row>
    <row r="21055" spans="20:20" ht="18.75" customHeight="1" x14ac:dyDescent="0.35">
      <c r="T21055" s="246">
        <f t="shared" si="367"/>
        <v>0</v>
      </c>
    </row>
    <row r="21056" spans="20:20" ht="18.75" customHeight="1" x14ac:dyDescent="0.35">
      <c r="T21056" s="246">
        <f t="shared" si="367"/>
        <v>0</v>
      </c>
    </row>
    <row r="21057" spans="20:20" ht="18.75" customHeight="1" x14ac:dyDescent="0.35">
      <c r="T21057" s="246">
        <f t="shared" si="367"/>
        <v>0</v>
      </c>
    </row>
    <row r="21058" spans="20:20" ht="18.75" customHeight="1" x14ac:dyDescent="0.35">
      <c r="T21058" s="246">
        <f t="shared" si="367"/>
        <v>0</v>
      </c>
    </row>
    <row r="21059" spans="20:20" ht="18.75" customHeight="1" x14ac:dyDescent="0.35">
      <c r="T21059" s="246">
        <f t="shared" si="367"/>
        <v>0</v>
      </c>
    </row>
    <row r="21060" spans="20:20" ht="18.75" customHeight="1" x14ac:dyDescent="0.35">
      <c r="T21060" s="246">
        <f t="shared" si="367"/>
        <v>0</v>
      </c>
    </row>
    <row r="21061" spans="20:20" ht="18.75" customHeight="1" x14ac:dyDescent="0.35">
      <c r="T21061" s="246">
        <f t="shared" si="367"/>
        <v>0</v>
      </c>
    </row>
    <row r="21062" spans="20:20" ht="18.75" customHeight="1" x14ac:dyDescent="0.35">
      <c r="T21062" s="246">
        <f t="shared" si="367"/>
        <v>0</v>
      </c>
    </row>
    <row r="21063" spans="20:20" ht="18.75" customHeight="1" x14ac:dyDescent="0.35">
      <c r="T21063" s="246">
        <f t="shared" si="367"/>
        <v>0</v>
      </c>
    </row>
    <row r="21064" spans="20:20" ht="18.75" customHeight="1" x14ac:dyDescent="0.35">
      <c r="T21064" s="246">
        <f t="shared" si="367"/>
        <v>0</v>
      </c>
    </row>
    <row r="21065" spans="20:20" ht="18.75" customHeight="1" x14ac:dyDescent="0.35">
      <c r="T21065" s="246">
        <f t="shared" si="367"/>
        <v>0</v>
      </c>
    </row>
    <row r="21066" spans="20:20" ht="18.75" customHeight="1" x14ac:dyDescent="0.35">
      <c r="T21066" s="246">
        <f t="shared" si="367"/>
        <v>0</v>
      </c>
    </row>
    <row r="21067" spans="20:20" ht="18.75" customHeight="1" x14ac:dyDescent="0.35">
      <c r="T21067" s="246">
        <f t="shared" si="367"/>
        <v>0</v>
      </c>
    </row>
    <row r="21068" spans="20:20" ht="18.75" customHeight="1" x14ac:dyDescent="0.35">
      <c r="T21068" s="246">
        <f t="shared" si="367"/>
        <v>0</v>
      </c>
    </row>
    <row r="21069" spans="20:20" ht="18.75" customHeight="1" x14ac:dyDescent="0.35">
      <c r="T21069" s="246">
        <f t="shared" si="367"/>
        <v>0</v>
      </c>
    </row>
    <row r="21070" spans="20:20" ht="18.75" customHeight="1" x14ac:dyDescent="0.35">
      <c r="T21070" s="246">
        <f t="shared" si="367"/>
        <v>0</v>
      </c>
    </row>
    <row r="21071" spans="20:20" ht="18.75" customHeight="1" x14ac:dyDescent="0.35">
      <c r="T21071" s="246">
        <f t="shared" si="367"/>
        <v>0</v>
      </c>
    </row>
    <row r="21072" spans="20:20" ht="18.75" customHeight="1" x14ac:dyDescent="0.35">
      <c r="T21072" s="246">
        <f t="shared" si="367"/>
        <v>0</v>
      </c>
    </row>
    <row r="21073" spans="20:20" ht="18.75" customHeight="1" x14ac:dyDescent="0.35">
      <c r="T21073" s="246">
        <f t="shared" si="367"/>
        <v>0</v>
      </c>
    </row>
    <row r="21074" spans="20:20" ht="18.75" customHeight="1" x14ac:dyDescent="0.35">
      <c r="T21074" s="246">
        <f t="shared" si="367"/>
        <v>0</v>
      </c>
    </row>
    <row r="21075" spans="20:20" ht="18.75" customHeight="1" x14ac:dyDescent="0.35">
      <c r="T21075" s="246">
        <f t="shared" si="367"/>
        <v>0</v>
      </c>
    </row>
    <row r="21076" spans="20:20" ht="18.75" customHeight="1" x14ac:dyDescent="0.35">
      <c r="T21076" s="246">
        <f t="shared" si="367"/>
        <v>0</v>
      </c>
    </row>
    <row r="21077" spans="20:20" ht="18.75" customHeight="1" x14ac:dyDescent="0.35">
      <c r="T21077" s="246">
        <f t="shared" si="367"/>
        <v>0</v>
      </c>
    </row>
    <row r="21078" spans="20:20" ht="18.75" customHeight="1" x14ac:dyDescent="0.35">
      <c r="T21078" s="246">
        <f t="shared" si="367"/>
        <v>0</v>
      </c>
    </row>
    <row r="21079" spans="20:20" ht="18.75" customHeight="1" x14ac:dyDescent="0.35">
      <c r="T21079" s="246">
        <f t="shared" si="367"/>
        <v>0</v>
      </c>
    </row>
    <row r="21080" spans="20:20" ht="18.75" customHeight="1" x14ac:dyDescent="0.35">
      <c r="T21080" s="246">
        <f t="shared" si="367"/>
        <v>0</v>
      </c>
    </row>
    <row r="21081" spans="20:20" ht="18.75" customHeight="1" x14ac:dyDescent="0.35">
      <c r="T21081" s="246">
        <f t="shared" si="367"/>
        <v>0</v>
      </c>
    </row>
    <row r="21082" spans="20:20" ht="18.75" customHeight="1" x14ac:dyDescent="0.35">
      <c r="T21082" s="246">
        <f t="shared" si="367"/>
        <v>0</v>
      </c>
    </row>
    <row r="21083" spans="20:20" ht="18.75" customHeight="1" x14ac:dyDescent="0.35">
      <c r="T21083" s="246">
        <f t="shared" si="367"/>
        <v>0</v>
      </c>
    </row>
    <row r="21084" spans="20:20" ht="18.75" customHeight="1" x14ac:dyDescent="0.35">
      <c r="T21084" s="246">
        <f t="shared" si="367"/>
        <v>0</v>
      </c>
    </row>
    <row r="21085" spans="20:20" ht="18.75" customHeight="1" x14ac:dyDescent="0.35">
      <c r="T21085" s="246">
        <f t="shared" si="367"/>
        <v>0</v>
      </c>
    </row>
    <row r="21086" spans="20:20" ht="18.75" customHeight="1" x14ac:dyDescent="0.35">
      <c r="T21086" s="246">
        <f t="shared" si="367"/>
        <v>0</v>
      </c>
    </row>
    <row r="21087" spans="20:20" ht="18.75" customHeight="1" x14ac:dyDescent="0.35">
      <c r="T21087" s="246">
        <f t="shared" si="367"/>
        <v>0</v>
      </c>
    </row>
    <row r="21088" spans="20:20" ht="18.75" customHeight="1" x14ac:dyDescent="0.35">
      <c r="T21088" s="246">
        <f t="shared" si="367"/>
        <v>0</v>
      </c>
    </row>
    <row r="21089" spans="20:20" ht="18.75" customHeight="1" x14ac:dyDescent="0.35">
      <c r="T21089" s="246">
        <f t="shared" si="367"/>
        <v>0</v>
      </c>
    </row>
    <row r="21090" spans="20:20" ht="18.75" customHeight="1" x14ac:dyDescent="0.35">
      <c r="T21090" s="246">
        <f t="shared" si="367"/>
        <v>0</v>
      </c>
    </row>
    <row r="21091" spans="20:20" ht="18.75" customHeight="1" x14ac:dyDescent="0.35">
      <c r="T21091" s="246">
        <f t="shared" si="367"/>
        <v>0</v>
      </c>
    </row>
    <row r="21092" spans="20:20" ht="18.75" customHeight="1" x14ac:dyDescent="0.35">
      <c r="T21092" s="246">
        <f t="shared" si="367"/>
        <v>0</v>
      </c>
    </row>
    <row r="21093" spans="20:20" ht="18.75" customHeight="1" x14ac:dyDescent="0.35">
      <c r="T21093" s="246">
        <f t="shared" si="367"/>
        <v>0</v>
      </c>
    </row>
    <row r="21094" spans="20:20" ht="18.75" customHeight="1" x14ac:dyDescent="0.35">
      <c r="T21094" s="246">
        <f t="shared" si="367"/>
        <v>0</v>
      </c>
    </row>
    <row r="21095" spans="20:20" ht="18.75" customHeight="1" x14ac:dyDescent="0.35">
      <c r="T21095" s="246">
        <f t="shared" si="367"/>
        <v>0</v>
      </c>
    </row>
    <row r="21096" spans="20:20" ht="18.75" customHeight="1" x14ac:dyDescent="0.35">
      <c r="T21096" s="246">
        <f t="shared" si="367"/>
        <v>0</v>
      </c>
    </row>
    <row r="21097" spans="20:20" ht="18.75" customHeight="1" x14ac:dyDescent="0.35">
      <c r="T21097" s="246">
        <f t="shared" si="367"/>
        <v>0</v>
      </c>
    </row>
    <row r="21098" spans="20:20" ht="18.75" customHeight="1" x14ac:dyDescent="0.35">
      <c r="T21098" s="246">
        <f t="shared" si="367"/>
        <v>0</v>
      </c>
    </row>
    <row r="21099" spans="20:20" ht="18.75" customHeight="1" x14ac:dyDescent="0.35">
      <c r="T21099" s="246">
        <f t="shared" si="367"/>
        <v>0</v>
      </c>
    </row>
    <row r="21100" spans="20:20" ht="18.75" customHeight="1" x14ac:dyDescent="0.35">
      <c r="T21100" s="246">
        <f t="shared" si="367"/>
        <v>0</v>
      </c>
    </row>
    <row r="21101" spans="20:20" ht="18.75" customHeight="1" x14ac:dyDescent="0.35">
      <c r="T21101" s="246">
        <f t="shared" si="367"/>
        <v>0</v>
      </c>
    </row>
    <row r="21102" spans="20:20" ht="18.75" customHeight="1" x14ac:dyDescent="0.35">
      <c r="T21102" s="246">
        <f t="shared" si="367"/>
        <v>0</v>
      </c>
    </row>
    <row r="21103" spans="20:20" ht="18.75" customHeight="1" x14ac:dyDescent="0.35">
      <c r="T21103" s="246">
        <f t="shared" si="367"/>
        <v>0</v>
      </c>
    </row>
    <row r="21104" spans="20:20" ht="18.75" customHeight="1" x14ac:dyDescent="0.35">
      <c r="T21104" s="246">
        <f t="shared" si="367"/>
        <v>0</v>
      </c>
    </row>
    <row r="21105" spans="20:20" ht="18.75" customHeight="1" x14ac:dyDescent="0.35">
      <c r="T21105" s="246">
        <f t="shared" si="367"/>
        <v>0</v>
      </c>
    </row>
    <row r="21106" spans="20:20" ht="18.75" customHeight="1" x14ac:dyDescent="0.35">
      <c r="T21106" s="246">
        <f t="shared" si="367"/>
        <v>0</v>
      </c>
    </row>
    <row r="21107" spans="20:20" ht="18.75" customHeight="1" x14ac:dyDescent="0.35">
      <c r="T21107" s="246">
        <f t="shared" si="367"/>
        <v>0</v>
      </c>
    </row>
    <row r="21108" spans="20:20" ht="18.75" customHeight="1" x14ac:dyDescent="0.35">
      <c r="T21108" s="246">
        <f t="shared" si="367"/>
        <v>0</v>
      </c>
    </row>
    <row r="21109" spans="20:20" ht="18.75" customHeight="1" x14ac:dyDescent="0.35">
      <c r="T21109" s="246">
        <f t="shared" si="367"/>
        <v>0</v>
      </c>
    </row>
    <row r="21110" spans="20:20" ht="18.75" customHeight="1" x14ac:dyDescent="0.35">
      <c r="T21110" s="246">
        <f t="shared" si="367"/>
        <v>0</v>
      </c>
    </row>
    <row r="21111" spans="20:20" ht="18.75" customHeight="1" x14ac:dyDescent="0.35">
      <c r="T21111" s="246">
        <f t="shared" si="367"/>
        <v>0</v>
      </c>
    </row>
    <row r="21112" spans="20:20" ht="18.75" customHeight="1" x14ac:dyDescent="0.35">
      <c r="T21112" s="246">
        <f t="shared" si="367"/>
        <v>0</v>
      </c>
    </row>
    <row r="21113" spans="20:20" ht="18.75" customHeight="1" x14ac:dyDescent="0.35">
      <c r="T21113" s="246">
        <f t="shared" si="367"/>
        <v>0</v>
      </c>
    </row>
    <row r="21114" spans="20:20" ht="18.75" customHeight="1" x14ac:dyDescent="0.35">
      <c r="T21114" s="246">
        <f t="shared" si="367"/>
        <v>0</v>
      </c>
    </row>
    <row r="21115" spans="20:20" ht="18.75" customHeight="1" x14ac:dyDescent="0.35">
      <c r="T21115" s="246">
        <f t="shared" si="367"/>
        <v>0</v>
      </c>
    </row>
    <row r="21116" spans="20:20" ht="18.75" customHeight="1" x14ac:dyDescent="0.35">
      <c r="T21116" s="246">
        <f t="shared" ref="T21116:T21179" si="368">R21116*0.01</f>
        <v>0</v>
      </c>
    </row>
    <row r="21117" spans="20:20" ht="18.75" customHeight="1" x14ac:dyDescent="0.35">
      <c r="T21117" s="246">
        <f t="shared" si="368"/>
        <v>0</v>
      </c>
    </row>
    <row r="21118" spans="20:20" ht="18.75" customHeight="1" x14ac:dyDescent="0.35">
      <c r="T21118" s="246">
        <f t="shared" si="368"/>
        <v>0</v>
      </c>
    </row>
    <row r="21119" spans="20:20" ht="18.75" customHeight="1" x14ac:dyDescent="0.35">
      <c r="T21119" s="246">
        <f t="shared" si="368"/>
        <v>0</v>
      </c>
    </row>
    <row r="21120" spans="20:20" ht="18.75" customHeight="1" x14ac:dyDescent="0.35">
      <c r="T21120" s="246">
        <f t="shared" si="368"/>
        <v>0</v>
      </c>
    </row>
    <row r="21121" spans="20:20" ht="18.75" customHeight="1" x14ac:dyDescent="0.35">
      <c r="T21121" s="246">
        <f t="shared" si="368"/>
        <v>0</v>
      </c>
    </row>
    <row r="21122" spans="20:20" ht="18.75" customHeight="1" x14ac:dyDescent="0.35">
      <c r="T21122" s="246">
        <f t="shared" si="368"/>
        <v>0</v>
      </c>
    </row>
    <row r="21123" spans="20:20" ht="18.75" customHeight="1" x14ac:dyDescent="0.35">
      <c r="T21123" s="246">
        <f t="shared" si="368"/>
        <v>0</v>
      </c>
    </row>
    <row r="21124" spans="20:20" ht="18.75" customHeight="1" x14ac:dyDescent="0.35">
      <c r="T21124" s="246">
        <f t="shared" si="368"/>
        <v>0</v>
      </c>
    </row>
    <row r="21125" spans="20:20" ht="18.75" customHeight="1" x14ac:dyDescent="0.35">
      <c r="T21125" s="246">
        <f t="shared" si="368"/>
        <v>0</v>
      </c>
    </row>
    <row r="21126" spans="20:20" ht="18.75" customHeight="1" x14ac:dyDescent="0.35">
      <c r="T21126" s="246">
        <f t="shared" si="368"/>
        <v>0</v>
      </c>
    </row>
    <row r="21127" spans="20:20" ht="18.75" customHeight="1" x14ac:dyDescent="0.35">
      <c r="T21127" s="246">
        <f t="shared" si="368"/>
        <v>0</v>
      </c>
    </row>
    <row r="21128" spans="20:20" ht="18.75" customHeight="1" x14ac:dyDescent="0.35">
      <c r="T21128" s="246">
        <f t="shared" si="368"/>
        <v>0</v>
      </c>
    </row>
    <row r="21129" spans="20:20" ht="18.75" customHeight="1" x14ac:dyDescent="0.35">
      <c r="T21129" s="246">
        <f t="shared" si="368"/>
        <v>0</v>
      </c>
    </row>
    <row r="21130" spans="20:20" ht="18.75" customHeight="1" x14ac:dyDescent="0.35">
      <c r="T21130" s="246">
        <f t="shared" si="368"/>
        <v>0</v>
      </c>
    </row>
    <row r="21131" spans="20:20" ht="18.75" customHeight="1" x14ac:dyDescent="0.35">
      <c r="T21131" s="246">
        <f t="shared" si="368"/>
        <v>0</v>
      </c>
    </row>
    <row r="21132" spans="20:20" ht="18.75" customHeight="1" x14ac:dyDescent="0.35">
      <c r="T21132" s="246">
        <f t="shared" si="368"/>
        <v>0</v>
      </c>
    </row>
    <row r="21133" spans="20:20" ht="18.75" customHeight="1" x14ac:dyDescent="0.35">
      <c r="T21133" s="246">
        <f t="shared" si="368"/>
        <v>0</v>
      </c>
    </row>
    <row r="21134" spans="20:20" ht="18.75" customHeight="1" x14ac:dyDescent="0.35">
      <c r="T21134" s="246">
        <f t="shared" si="368"/>
        <v>0</v>
      </c>
    </row>
    <row r="21135" spans="20:20" ht="18.75" customHeight="1" x14ac:dyDescent="0.35">
      <c r="T21135" s="246">
        <f t="shared" si="368"/>
        <v>0</v>
      </c>
    </row>
    <row r="21136" spans="20:20" ht="18.75" customHeight="1" x14ac:dyDescent="0.35">
      <c r="T21136" s="246">
        <f t="shared" si="368"/>
        <v>0</v>
      </c>
    </row>
    <row r="21137" spans="20:20" ht="18.75" customHeight="1" x14ac:dyDescent="0.35">
      <c r="T21137" s="246">
        <f t="shared" si="368"/>
        <v>0</v>
      </c>
    </row>
    <row r="21138" spans="20:20" ht="18.75" customHeight="1" x14ac:dyDescent="0.35">
      <c r="T21138" s="246">
        <f t="shared" si="368"/>
        <v>0</v>
      </c>
    </row>
    <row r="21139" spans="20:20" ht="18.75" customHeight="1" x14ac:dyDescent="0.35">
      <c r="T21139" s="246">
        <f t="shared" si="368"/>
        <v>0</v>
      </c>
    </row>
    <row r="21140" spans="20:20" ht="18.75" customHeight="1" x14ac:dyDescent="0.35">
      <c r="T21140" s="246">
        <f t="shared" si="368"/>
        <v>0</v>
      </c>
    </row>
    <row r="21141" spans="20:20" ht="18.75" customHeight="1" x14ac:dyDescent="0.35">
      <c r="T21141" s="246">
        <f t="shared" si="368"/>
        <v>0</v>
      </c>
    </row>
    <row r="21142" spans="20:20" ht="18.75" customHeight="1" x14ac:dyDescent="0.35">
      <c r="T21142" s="246">
        <f t="shared" si="368"/>
        <v>0</v>
      </c>
    </row>
    <row r="21143" spans="20:20" ht="18.75" customHeight="1" x14ac:dyDescent="0.35">
      <c r="T21143" s="246">
        <f t="shared" si="368"/>
        <v>0</v>
      </c>
    </row>
    <row r="21144" spans="20:20" ht="18.75" customHeight="1" x14ac:dyDescent="0.35">
      <c r="T21144" s="246">
        <f t="shared" si="368"/>
        <v>0</v>
      </c>
    </row>
    <row r="21145" spans="20:20" ht="18.75" customHeight="1" x14ac:dyDescent="0.35">
      <c r="T21145" s="246">
        <f t="shared" si="368"/>
        <v>0</v>
      </c>
    </row>
    <row r="21146" spans="20:20" ht="18.75" customHeight="1" x14ac:dyDescent="0.35">
      <c r="T21146" s="246">
        <f t="shared" si="368"/>
        <v>0</v>
      </c>
    </row>
    <row r="21147" spans="20:20" ht="18.75" customHeight="1" x14ac:dyDescent="0.35">
      <c r="T21147" s="246">
        <f t="shared" si="368"/>
        <v>0</v>
      </c>
    </row>
    <row r="21148" spans="20:20" ht="18.75" customHeight="1" x14ac:dyDescent="0.35">
      <c r="T21148" s="246">
        <f t="shared" si="368"/>
        <v>0</v>
      </c>
    </row>
    <row r="21149" spans="20:20" ht="18.75" customHeight="1" x14ac:dyDescent="0.35">
      <c r="T21149" s="246">
        <f t="shared" si="368"/>
        <v>0</v>
      </c>
    </row>
    <row r="21150" spans="20:20" ht="18.75" customHeight="1" x14ac:dyDescent="0.35">
      <c r="T21150" s="246">
        <f t="shared" si="368"/>
        <v>0</v>
      </c>
    </row>
    <row r="21151" spans="20:20" ht="18.75" customHeight="1" x14ac:dyDescent="0.35">
      <c r="T21151" s="246">
        <f t="shared" si="368"/>
        <v>0</v>
      </c>
    </row>
    <row r="21152" spans="20:20" ht="18.75" customHeight="1" x14ac:dyDescent="0.35">
      <c r="T21152" s="246">
        <f t="shared" si="368"/>
        <v>0</v>
      </c>
    </row>
    <row r="21153" spans="20:20" ht="18.75" customHeight="1" x14ac:dyDescent="0.35">
      <c r="T21153" s="246">
        <f t="shared" si="368"/>
        <v>0</v>
      </c>
    </row>
    <row r="21154" spans="20:20" ht="18.75" customHeight="1" x14ac:dyDescent="0.35">
      <c r="T21154" s="246">
        <f t="shared" si="368"/>
        <v>0</v>
      </c>
    </row>
    <row r="21155" spans="20:20" ht="18.75" customHeight="1" x14ac:dyDescent="0.35">
      <c r="T21155" s="246">
        <f t="shared" si="368"/>
        <v>0</v>
      </c>
    </row>
    <row r="21156" spans="20:20" ht="18.75" customHeight="1" x14ac:dyDescent="0.35">
      <c r="T21156" s="246">
        <f t="shared" si="368"/>
        <v>0</v>
      </c>
    </row>
    <row r="21157" spans="20:20" ht="18.75" customHeight="1" x14ac:dyDescent="0.35">
      <c r="T21157" s="246">
        <f t="shared" si="368"/>
        <v>0</v>
      </c>
    </row>
    <row r="21158" spans="20:20" ht="18.75" customHeight="1" x14ac:dyDescent="0.35">
      <c r="T21158" s="246">
        <f t="shared" si="368"/>
        <v>0</v>
      </c>
    </row>
    <row r="21159" spans="20:20" ht="18.75" customHeight="1" x14ac:dyDescent="0.35">
      <c r="T21159" s="246">
        <f t="shared" si="368"/>
        <v>0</v>
      </c>
    </row>
    <row r="21160" spans="20:20" ht="18.75" customHeight="1" x14ac:dyDescent="0.35">
      <c r="T21160" s="246">
        <f t="shared" si="368"/>
        <v>0</v>
      </c>
    </row>
    <row r="21161" spans="20:20" ht="18.75" customHeight="1" x14ac:dyDescent="0.35">
      <c r="T21161" s="246">
        <f t="shared" si="368"/>
        <v>0</v>
      </c>
    </row>
    <row r="21162" spans="20:20" ht="18.75" customHeight="1" x14ac:dyDescent="0.35">
      <c r="T21162" s="246">
        <f t="shared" si="368"/>
        <v>0</v>
      </c>
    </row>
    <row r="21163" spans="20:20" ht="18.75" customHeight="1" x14ac:dyDescent="0.35">
      <c r="T21163" s="246">
        <f t="shared" si="368"/>
        <v>0</v>
      </c>
    </row>
    <row r="21164" spans="20:20" ht="18.75" customHeight="1" x14ac:dyDescent="0.35">
      <c r="T21164" s="246">
        <f t="shared" si="368"/>
        <v>0</v>
      </c>
    </row>
    <row r="21165" spans="20:20" ht="18.75" customHeight="1" x14ac:dyDescent="0.35">
      <c r="T21165" s="246">
        <f t="shared" si="368"/>
        <v>0</v>
      </c>
    </row>
    <row r="21166" spans="20:20" ht="18.75" customHeight="1" x14ac:dyDescent="0.35">
      <c r="T21166" s="246">
        <f t="shared" si="368"/>
        <v>0</v>
      </c>
    </row>
    <row r="21167" spans="20:20" ht="18.75" customHeight="1" x14ac:dyDescent="0.35">
      <c r="T21167" s="246">
        <f t="shared" si="368"/>
        <v>0</v>
      </c>
    </row>
    <row r="21168" spans="20:20" ht="18.75" customHeight="1" x14ac:dyDescent="0.35">
      <c r="T21168" s="246">
        <f t="shared" si="368"/>
        <v>0</v>
      </c>
    </row>
    <row r="21169" spans="20:20" ht="18.75" customHeight="1" x14ac:dyDescent="0.35">
      <c r="T21169" s="246">
        <f t="shared" si="368"/>
        <v>0</v>
      </c>
    </row>
    <row r="21170" spans="20:20" ht="18.75" customHeight="1" x14ac:dyDescent="0.35">
      <c r="T21170" s="246">
        <f t="shared" si="368"/>
        <v>0</v>
      </c>
    </row>
    <row r="21171" spans="20:20" ht="18.75" customHeight="1" x14ac:dyDescent="0.35">
      <c r="T21171" s="246">
        <f t="shared" si="368"/>
        <v>0</v>
      </c>
    </row>
    <row r="21172" spans="20:20" ht="18.75" customHeight="1" x14ac:dyDescent="0.35">
      <c r="T21172" s="246">
        <f t="shared" si="368"/>
        <v>0</v>
      </c>
    </row>
    <row r="21173" spans="20:20" ht="18.75" customHeight="1" x14ac:dyDescent="0.35">
      <c r="T21173" s="246">
        <f t="shared" si="368"/>
        <v>0</v>
      </c>
    </row>
    <row r="21174" spans="20:20" ht="18.75" customHeight="1" x14ac:dyDescent="0.35">
      <c r="T21174" s="246">
        <f t="shared" si="368"/>
        <v>0</v>
      </c>
    </row>
    <row r="21175" spans="20:20" ht="18.75" customHeight="1" x14ac:dyDescent="0.35">
      <c r="T21175" s="246">
        <f t="shared" si="368"/>
        <v>0</v>
      </c>
    </row>
    <row r="21176" spans="20:20" ht="18.75" customHeight="1" x14ac:dyDescent="0.35">
      <c r="T21176" s="246">
        <f t="shared" si="368"/>
        <v>0</v>
      </c>
    </row>
    <row r="21177" spans="20:20" ht="18.75" customHeight="1" x14ac:dyDescent="0.35">
      <c r="T21177" s="246">
        <f t="shared" si="368"/>
        <v>0</v>
      </c>
    </row>
    <row r="21178" spans="20:20" ht="18.75" customHeight="1" x14ac:dyDescent="0.35">
      <c r="T21178" s="246">
        <f t="shared" si="368"/>
        <v>0</v>
      </c>
    </row>
    <row r="21179" spans="20:20" ht="18.75" customHeight="1" x14ac:dyDescent="0.35">
      <c r="T21179" s="246">
        <f t="shared" si="368"/>
        <v>0</v>
      </c>
    </row>
    <row r="21180" spans="20:20" ht="18.75" customHeight="1" x14ac:dyDescent="0.35">
      <c r="T21180" s="246">
        <f t="shared" ref="T21180:T21243" si="369">R21180*0.01</f>
        <v>0</v>
      </c>
    </row>
    <row r="21181" spans="20:20" ht="18.75" customHeight="1" x14ac:dyDescent="0.35">
      <c r="T21181" s="246">
        <f t="shared" si="369"/>
        <v>0</v>
      </c>
    </row>
    <row r="21182" spans="20:20" ht="18.75" customHeight="1" x14ac:dyDescent="0.35">
      <c r="T21182" s="246">
        <f t="shared" si="369"/>
        <v>0</v>
      </c>
    </row>
    <row r="21183" spans="20:20" ht="18.75" customHeight="1" x14ac:dyDescent="0.35">
      <c r="T21183" s="246">
        <f t="shared" si="369"/>
        <v>0</v>
      </c>
    </row>
    <row r="21184" spans="20:20" ht="18.75" customHeight="1" x14ac:dyDescent="0.35">
      <c r="T21184" s="246">
        <f t="shared" si="369"/>
        <v>0</v>
      </c>
    </row>
    <row r="21185" spans="20:20" ht="18.75" customHeight="1" x14ac:dyDescent="0.35">
      <c r="T21185" s="246">
        <f t="shared" si="369"/>
        <v>0</v>
      </c>
    </row>
    <row r="21186" spans="20:20" ht="18.75" customHeight="1" x14ac:dyDescent="0.35">
      <c r="T21186" s="246">
        <f t="shared" si="369"/>
        <v>0</v>
      </c>
    </row>
    <row r="21187" spans="20:20" ht="18.75" customHeight="1" x14ac:dyDescent="0.35">
      <c r="T21187" s="246">
        <f t="shared" si="369"/>
        <v>0</v>
      </c>
    </row>
    <row r="21188" spans="20:20" ht="18.75" customHeight="1" x14ac:dyDescent="0.35">
      <c r="T21188" s="246">
        <f t="shared" si="369"/>
        <v>0</v>
      </c>
    </row>
    <row r="21189" spans="20:20" ht="18.75" customHeight="1" x14ac:dyDescent="0.35">
      <c r="T21189" s="246">
        <f t="shared" si="369"/>
        <v>0</v>
      </c>
    </row>
    <row r="21190" spans="20:20" ht="18.75" customHeight="1" x14ac:dyDescent="0.35">
      <c r="T21190" s="246">
        <f t="shared" si="369"/>
        <v>0</v>
      </c>
    </row>
    <row r="21191" spans="20:20" ht="18.75" customHeight="1" x14ac:dyDescent="0.35">
      <c r="T21191" s="246">
        <f t="shared" si="369"/>
        <v>0</v>
      </c>
    </row>
    <row r="21192" spans="20:20" ht="18.75" customHeight="1" x14ac:dyDescent="0.35">
      <c r="T21192" s="246">
        <f t="shared" si="369"/>
        <v>0</v>
      </c>
    </row>
    <row r="21193" spans="20:20" ht="18.75" customHeight="1" x14ac:dyDescent="0.35">
      <c r="T21193" s="246">
        <f t="shared" si="369"/>
        <v>0</v>
      </c>
    </row>
    <row r="21194" spans="20:20" ht="18.75" customHeight="1" x14ac:dyDescent="0.35">
      <c r="T21194" s="246">
        <f t="shared" si="369"/>
        <v>0</v>
      </c>
    </row>
    <row r="21195" spans="20:20" ht="18.75" customHeight="1" x14ac:dyDescent="0.35">
      <c r="T21195" s="246">
        <f t="shared" si="369"/>
        <v>0</v>
      </c>
    </row>
    <row r="21196" spans="20:20" ht="18.75" customHeight="1" x14ac:dyDescent="0.35">
      <c r="T21196" s="246">
        <f t="shared" si="369"/>
        <v>0</v>
      </c>
    </row>
    <row r="21197" spans="20:20" ht="18.75" customHeight="1" x14ac:dyDescent="0.35">
      <c r="T21197" s="246">
        <f t="shared" si="369"/>
        <v>0</v>
      </c>
    </row>
    <row r="21198" spans="20:20" ht="18.75" customHeight="1" x14ac:dyDescent="0.35">
      <c r="T21198" s="246">
        <f t="shared" si="369"/>
        <v>0</v>
      </c>
    </row>
    <row r="21199" spans="20:20" ht="18.75" customHeight="1" x14ac:dyDescent="0.35">
      <c r="T21199" s="246">
        <f t="shared" si="369"/>
        <v>0</v>
      </c>
    </row>
    <row r="21200" spans="20:20" ht="18.75" customHeight="1" x14ac:dyDescent="0.35">
      <c r="T21200" s="246">
        <f t="shared" si="369"/>
        <v>0</v>
      </c>
    </row>
    <row r="21201" spans="20:20" ht="18.75" customHeight="1" x14ac:dyDescent="0.35">
      <c r="T21201" s="246">
        <f t="shared" si="369"/>
        <v>0</v>
      </c>
    </row>
    <row r="21202" spans="20:20" ht="18.75" customHeight="1" x14ac:dyDescent="0.35">
      <c r="T21202" s="246">
        <f t="shared" si="369"/>
        <v>0</v>
      </c>
    </row>
    <row r="21203" spans="20:20" ht="18.75" customHeight="1" x14ac:dyDescent="0.35">
      <c r="T21203" s="246">
        <f t="shared" si="369"/>
        <v>0</v>
      </c>
    </row>
    <row r="21204" spans="20:20" ht="18.75" customHeight="1" x14ac:dyDescent="0.35">
      <c r="T21204" s="246">
        <f t="shared" si="369"/>
        <v>0</v>
      </c>
    </row>
    <row r="21205" spans="20:20" ht="18.75" customHeight="1" x14ac:dyDescent="0.35">
      <c r="T21205" s="246">
        <f t="shared" si="369"/>
        <v>0</v>
      </c>
    </row>
    <row r="21206" spans="20:20" ht="18.75" customHeight="1" x14ac:dyDescent="0.35">
      <c r="T21206" s="246">
        <f t="shared" si="369"/>
        <v>0</v>
      </c>
    </row>
    <row r="21207" spans="20:20" ht="18.75" customHeight="1" x14ac:dyDescent="0.35">
      <c r="T21207" s="246">
        <f t="shared" si="369"/>
        <v>0</v>
      </c>
    </row>
    <row r="21208" spans="20:20" ht="18.75" customHeight="1" x14ac:dyDescent="0.35">
      <c r="T21208" s="246">
        <f t="shared" si="369"/>
        <v>0</v>
      </c>
    </row>
    <row r="21209" spans="20:20" ht="18.75" customHeight="1" x14ac:dyDescent="0.35">
      <c r="T21209" s="246">
        <f t="shared" si="369"/>
        <v>0</v>
      </c>
    </row>
    <row r="21210" spans="20:20" ht="18.75" customHeight="1" x14ac:dyDescent="0.35">
      <c r="T21210" s="246">
        <f t="shared" si="369"/>
        <v>0</v>
      </c>
    </row>
    <row r="21211" spans="20:20" ht="18.75" customHeight="1" x14ac:dyDescent="0.35">
      <c r="T21211" s="246">
        <f t="shared" si="369"/>
        <v>0</v>
      </c>
    </row>
    <row r="21212" spans="20:20" ht="18.75" customHeight="1" x14ac:dyDescent="0.35">
      <c r="T21212" s="246">
        <f t="shared" si="369"/>
        <v>0</v>
      </c>
    </row>
    <row r="21213" spans="20:20" ht="18.75" customHeight="1" x14ac:dyDescent="0.35">
      <c r="T21213" s="246">
        <f t="shared" si="369"/>
        <v>0</v>
      </c>
    </row>
    <row r="21214" spans="20:20" ht="18.75" customHeight="1" x14ac:dyDescent="0.35">
      <c r="T21214" s="246">
        <f t="shared" si="369"/>
        <v>0</v>
      </c>
    </row>
    <row r="21215" spans="20:20" ht="18.75" customHeight="1" x14ac:dyDescent="0.35">
      <c r="T21215" s="246">
        <f t="shared" si="369"/>
        <v>0</v>
      </c>
    </row>
    <row r="21216" spans="20:20" ht="18.75" customHeight="1" x14ac:dyDescent="0.35">
      <c r="T21216" s="246">
        <f t="shared" si="369"/>
        <v>0</v>
      </c>
    </row>
    <row r="21217" spans="20:20" ht="18.75" customHeight="1" x14ac:dyDescent="0.35">
      <c r="T21217" s="246">
        <f t="shared" si="369"/>
        <v>0</v>
      </c>
    </row>
    <row r="21218" spans="20:20" ht="18.75" customHeight="1" x14ac:dyDescent="0.35">
      <c r="T21218" s="246">
        <f t="shared" si="369"/>
        <v>0</v>
      </c>
    </row>
    <row r="21219" spans="20:20" ht="18.75" customHeight="1" x14ac:dyDescent="0.35">
      <c r="T21219" s="246">
        <f t="shared" si="369"/>
        <v>0</v>
      </c>
    </row>
    <row r="21220" spans="20:20" ht="18.75" customHeight="1" x14ac:dyDescent="0.35">
      <c r="T21220" s="246">
        <f t="shared" si="369"/>
        <v>0</v>
      </c>
    </row>
    <row r="21221" spans="20:20" ht="18.75" customHeight="1" x14ac:dyDescent="0.35">
      <c r="T21221" s="246">
        <f t="shared" si="369"/>
        <v>0</v>
      </c>
    </row>
    <row r="21222" spans="20:20" ht="18.75" customHeight="1" x14ac:dyDescent="0.35">
      <c r="T21222" s="246">
        <f t="shared" si="369"/>
        <v>0</v>
      </c>
    </row>
    <row r="21223" spans="20:20" ht="18.75" customHeight="1" x14ac:dyDescent="0.35">
      <c r="T21223" s="246">
        <f t="shared" si="369"/>
        <v>0</v>
      </c>
    </row>
    <row r="21224" spans="20:20" ht="18.75" customHeight="1" x14ac:dyDescent="0.35">
      <c r="T21224" s="246">
        <f t="shared" si="369"/>
        <v>0</v>
      </c>
    </row>
    <row r="21225" spans="20:20" ht="18.75" customHeight="1" x14ac:dyDescent="0.35">
      <c r="T21225" s="246">
        <f t="shared" si="369"/>
        <v>0</v>
      </c>
    </row>
    <row r="21226" spans="20:20" ht="18.75" customHeight="1" x14ac:dyDescent="0.35">
      <c r="T21226" s="246">
        <f t="shared" si="369"/>
        <v>0</v>
      </c>
    </row>
    <row r="21227" spans="20:20" ht="18.75" customHeight="1" x14ac:dyDescent="0.35">
      <c r="T21227" s="246">
        <f t="shared" si="369"/>
        <v>0</v>
      </c>
    </row>
    <row r="21228" spans="20:20" ht="18.75" customHeight="1" x14ac:dyDescent="0.35">
      <c r="T21228" s="246">
        <f t="shared" si="369"/>
        <v>0</v>
      </c>
    </row>
    <row r="21229" spans="20:20" ht="18.75" customHeight="1" x14ac:dyDescent="0.35">
      <c r="T21229" s="246">
        <f t="shared" si="369"/>
        <v>0</v>
      </c>
    </row>
    <row r="21230" spans="20:20" ht="18.75" customHeight="1" x14ac:dyDescent="0.35">
      <c r="T21230" s="246">
        <f t="shared" si="369"/>
        <v>0</v>
      </c>
    </row>
    <row r="21231" spans="20:20" ht="18.75" customHeight="1" x14ac:dyDescent="0.35">
      <c r="T21231" s="246">
        <f t="shared" si="369"/>
        <v>0</v>
      </c>
    </row>
    <row r="21232" spans="20:20" ht="18.75" customHeight="1" x14ac:dyDescent="0.35">
      <c r="T21232" s="246">
        <f t="shared" si="369"/>
        <v>0</v>
      </c>
    </row>
    <row r="21233" spans="20:20" ht="18.75" customHeight="1" x14ac:dyDescent="0.35">
      <c r="T21233" s="246">
        <f t="shared" si="369"/>
        <v>0</v>
      </c>
    </row>
    <row r="21234" spans="20:20" ht="18.75" customHeight="1" x14ac:dyDescent="0.35">
      <c r="T21234" s="246">
        <f t="shared" si="369"/>
        <v>0</v>
      </c>
    </row>
    <row r="21235" spans="20:20" ht="18.75" customHeight="1" x14ac:dyDescent="0.35">
      <c r="T21235" s="246">
        <f t="shared" si="369"/>
        <v>0</v>
      </c>
    </row>
    <row r="21236" spans="20:20" ht="18.75" customHeight="1" x14ac:dyDescent="0.35">
      <c r="T21236" s="246">
        <f t="shared" si="369"/>
        <v>0</v>
      </c>
    </row>
    <row r="21237" spans="20:20" ht="18.75" customHeight="1" x14ac:dyDescent="0.35">
      <c r="T21237" s="246">
        <f t="shared" si="369"/>
        <v>0</v>
      </c>
    </row>
    <row r="21238" spans="20:20" ht="18.75" customHeight="1" x14ac:dyDescent="0.35">
      <c r="T21238" s="246">
        <f t="shared" si="369"/>
        <v>0</v>
      </c>
    </row>
    <row r="21239" spans="20:20" ht="18.75" customHeight="1" x14ac:dyDescent="0.35">
      <c r="T21239" s="246">
        <f t="shared" si="369"/>
        <v>0</v>
      </c>
    </row>
    <row r="21240" spans="20:20" ht="18.75" customHeight="1" x14ac:dyDescent="0.35">
      <c r="T21240" s="246">
        <f t="shared" si="369"/>
        <v>0</v>
      </c>
    </row>
    <row r="21241" spans="20:20" ht="18.75" customHeight="1" x14ac:dyDescent="0.35">
      <c r="T21241" s="246">
        <f t="shared" si="369"/>
        <v>0</v>
      </c>
    </row>
    <row r="21242" spans="20:20" ht="18.75" customHeight="1" x14ac:dyDescent="0.35">
      <c r="T21242" s="246">
        <f t="shared" si="369"/>
        <v>0</v>
      </c>
    </row>
    <row r="21243" spans="20:20" ht="18.75" customHeight="1" x14ac:dyDescent="0.35">
      <c r="T21243" s="246">
        <f t="shared" si="369"/>
        <v>0</v>
      </c>
    </row>
    <row r="21244" spans="20:20" ht="18.75" customHeight="1" x14ac:dyDescent="0.35">
      <c r="T21244" s="246">
        <f t="shared" ref="T21244:T21307" si="370">R21244*0.01</f>
        <v>0</v>
      </c>
    </row>
    <row r="21245" spans="20:20" ht="18.75" customHeight="1" x14ac:dyDescent="0.35">
      <c r="T21245" s="246">
        <f t="shared" si="370"/>
        <v>0</v>
      </c>
    </row>
    <row r="21246" spans="20:20" ht="18.75" customHeight="1" x14ac:dyDescent="0.35">
      <c r="T21246" s="246">
        <f t="shared" si="370"/>
        <v>0</v>
      </c>
    </row>
    <row r="21247" spans="20:20" ht="18.75" customHeight="1" x14ac:dyDescent="0.35">
      <c r="T21247" s="246">
        <f t="shared" si="370"/>
        <v>0</v>
      </c>
    </row>
    <row r="21248" spans="20:20" ht="18.75" customHeight="1" x14ac:dyDescent="0.35">
      <c r="T21248" s="246">
        <f t="shared" si="370"/>
        <v>0</v>
      </c>
    </row>
    <row r="21249" spans="20:20" ht="18.75" customHeight="1" x14ac:dyDescent="0.35">
      <c r="T21249" s="246">
        <f t="shared" si="370"/>
        <v>0</v>
      </c>
    </row>
    <row r="21250" spans="20:20" ht="18.75" customHeight="1" x14ac:dyDescent="0.35">
      <c r="T21250" s="246">
        <f t="shared" si="370"/>
        <v>0</v>
      </c>
    </row>
    <row r="21251" spans="20:20" ht="18.75" customHeight="1" x14ac:dyDescent="0.35">
      <c r="T21251" s="246">
        <f t="shared" si="370"/>
        <v>0</v>
      </c>
    </row>
    <row r="21252" spans="20:20" ht="18.75" customHeight="1" x14ac:dyDescent="0.35">
      <c r="T21252" s="246">
        <f t="shared" si="370"/>
        <v>0</v>
      </c>
    </row>
    <row r="21253" spans="20:20" ht="18.75" customHeight="1" x14ac:dyDescent="0.35">
      <c r="T21253" s="246">
        <f t="shared" si="370"/>
        <v>0</v>
      </c>
    </row>
    <row r="21254" spans="20:20" ht="18.75" customHeight="1" x14ac:dyDescent="0.35">
      <c r="T21254" s="246">
        <f t="shared" si="370"/>
        <v>0</v>
      </c>
    </row>
    <row r="21255" spans="20:20" ht="18.75" customHeight="1" x14ac:dyDescent="0.35">
      <c r="T21255" s="246">
        <f t="shared" si="370"/>
        <v>0</v>
      </c>
    </row>
    <row r="21256" spans="20:20" ht="18.75" customHeight="1" x14ac:dyDescent="0.35">
      <c r="T21256" s="246">
        <f t="shared" si="370"/>
        <v>0</v>
      </c>
    </row>
    <row r="21257" spans="20:20" ht="18.75" customHeight="1" x14ac:dyDescent="0.35">
      <c r="T21257" s="246">
        <f t="shared" si="370"/>
        <v>0</v>
      </c>
    </row>
    <row r="21258" spans="20:20" ht="18.75" customHeight="1" x14ac:dyDescent="0.35">
      <c r="T21258" s="246">
        <f t="shared" si="370"/>
        <v>0</v>
      </c>
    </row>
    <row r="21259" spans="20:20" ht="18.75" customHeight="1" x14ac:dyDescent="0.35">
      <c r="T21259" s="246">
        <f t="shared" si="370"/>
        <v>0</v>
      </c>
    </row>
    <row r="21260" spans="20:20" ht="18.75" customHeight="1" x14ac:dyDescent="0.35">
      <c r="T21260" s="246">
        <f t="shared" si="370"/>
        <v>0</v>
      </c>
    </row>
    <row r="21261" spans="20:20" ht="18.75" customHeight="1" x14ac:dyDescent="0.35">
      <c r="T21261" s="246">
        <f t="shared" si="370"/>
        <v>0</v>
      </c>
    </row>
    <row r="21262" spans="20:20" ht="18.75" customHeight="1" x14ac:dyDescent="0.35">
      <c r="T21262" s="246">
        <f t="shared" si="370"/>
        <v>0</v>
      </c>
    </row>
    <row r="21263" spans="20:20" ht="18.75" customHeight="1" x14ac:dyDescent="0.35">
      <c r="T21263" s="246">
        <f t="shared" si="370"/>
        <v>0</v>
      </c>
    </row>
    <row r="21264" spans="20:20" ht="18.75" customHeight="1" x14ac:dyDescent="0.35">
      <c r="T21264" s="246">
        <f t="shared" si="370"/>
        <v>0</v>
      </c>
    </row>
    <row r="21265" spans="20:20" ht="18.75" customHeight="1" x14ac:dyDescent="0.35">
      <c r="T21265" s="246">
        <f t="shared" si="370"/>
        <v>0</v>
      </c>
    </row>
    <row r="21266" spans="20:20" ht="18.75" customHeight="1" x14ac:dyDescent="0.35">
      <c r="T21266" s="246">
        <f t="shared" si="370"/>
        <v>0</v>
      </c>
    </row>
    <row r="21267" spans="20:20" ht="18.75" customHeight="1" x14ac:dyDescent="0.35">
      <c r="T21267" s="246">
        <f t="shared" si="370"/>
        <v>0</v>
      </c>
    </row>
    <row r="21268" spans="20:20" ht="18.75" customHeight="1" x14ac:dyDescent="0.35">
      <c r="T21268" s="246">
        <f t="shared" si="370"/>
        <v>0</v>
      </c>
    </row>
    <row r="21269" spans="20:20" ht="18.75" customHeight="1" x14ac:dyDescent="0.35">
      <c r="T21269" s="246">
        <f t="shared" si="370"/>
        <v>0</v>
      </c>
    </row>
    <row r="21270" spans="20:20" ht="18.75" customHeight="1" x14ac:dyDescent="0.35">
      <c r="T21270" s="246">
        <f t="shared" si="370"/>
        <v>0</v>
      </c>
    </row>
    <row r="21271" spans="20:20" ht="18.75" customHeight="1" x14ac:dyDescent="0.35">
      <c r="T21271" s="246">
        <f t="shared" si="370"/>
        <v>0</v>
      </c>
    </row>
    <row r="21272" spans="20:20" ht="18.75" customHeight="1" x14ac:dyDescent="0.35">
      <c r="T21272" s="246">
        <f t="shared" si="370"/>
        <v>0</v>
      </c>
    </row>
    <row r="21273" spans="20:20" ht="18.75" customHeight="1" x14ac:dyDescent="0.35">
      <c r="T21273" s="246">
        <f t="shared" si="370"/>
        <v>0</v>
      </c>
    </row>
    <row r="21274" spans="20:20" ht="18.75" customHeight="1" x14ac:dyDescent="0.35">
      <c r="T21274" s="246">
        <f t="shared" si="370"/>
        <v>0</v>
      </c>
    </row>
    <row r="21275" spans="20:20" ht="18.75" customHeight="1" x14ac:dyDescent="0.35">
      <c r="T21275" s="246">
        <f t="shared" si="370"/>
        <v>0</v>
      </c>
    </row>
    <row r="21276" spans="20:20" ht="18.75" customHeight="1" x14ac:dyDescent="0.35">
      <c r="T21276" s="246">
        <f t="shared" si="370"/>
        <v>0</v>
      </c>
    </row>
    <row r="21277" spans="20:20" ht="18.75" customHeight="1" x14ac:dyDescent="0.35">
      <c r="T21277" s="246">
        <f t="shared" si="370"/>
        <v>0</v>
      </c>
    </row>
    <row r="21278" spans="20:20" ht="18.75" customHeight="1" x14ac:dyDescent="0.35">
      <c r="T21278" s="246">
        <f t="shared" si="370"/>
        <v>0</v>
      </c>
    </row>
    <row r="21279" spans="20:20" ht="18.75" customHeight="1" x14ac:dyDescent="0.35">
      <c r="T21279" s="246">
        <f t="shared" si="370"/>
        <v>0</v>
      </c>
    </row>
    <row r="21280" spans="20:20" ht="18.75" customHeight="1" x14ac:dyDescent="0.35">
      <c r="T21280" s="246">
        <f t="shared" si="370"/>
        <v>0</v>
      </c>
    </row>
    <row r="21281" spans="20:20" ht="18.75" customHeight="1" x14ac:dyDescent="0.35">
      <c r="T21281" s="246">
        <f t="shared" si="370"/>
        <v>0</v>
      </c>
    </row>
    <row r="21282" spans="20:20" ht="18.75" customHeight="1" x14ac:dyDescent="0.35">
      <c r="T21282" s="246">
        <f t="shared" si="370"/>
        <v>0</v>
      </c>
    </row>
    <row r="21283" spans="20:20" ht="18.75" customHeight="1" x14ac:dyDescent="0.35">
      <c r="T21283" s="246">
        <f t="shared" si="370"/>
        <v>0</v>
      </c>
    </row>
    <row r="21284" spans="20:20" ht="18.75" customHeight="1" x14ac:dyDescent="0.35">
      <c r="T21284" s="246">
        <f t="shared" si="370"/>
        <v>0</v>
      </c>
    </row>
    <row r="21285" spans="20:20" ht="18.75" customHeight="1" x14ac:dyDescent="0.35">
      <c r="T21285" s="246">
        <f t="shared" si="370"/>
        <v>0</v>
      </c>
    </row>
    <row r="21286" spans="20:20" ht="18.75" customHeight="1" x14ac:dyDescent="0.35">
      <c r="T21286" s="246">
        <f t="shared" si="370"/>
        <v>0</v>
      </c>
    </row>
    <row r="21287" spans="20:20" ht="18.75" customHeight="1" x14ac:dyDescent="0.35">
      <c r="T21287" s="246">
        <f t="shared" si="370"/>
        <v>0</v>
      </c>
    </row>
    <row r="21288" spans="20:20" ht="18.75" customHeight="1" x14ac:dyDescent="0.35">
      <c r="T21288" s="246">
        <f t="shared" si="370"/>
        <v>0</v>
      </c>
    </row>
    <row r="21289" spans="20:20" ht="18.75" customHeight="1" x14ac:dyDescent="0.35">
      <c r="T21289" s="246">
        <f t="shared" si="370"/>
        <v>0</v>
      </c>
    </row>
    <row r="21290" spans="20:20" ht="18.75" customHeight="1" x14ac:dyDescent="0.35">
      <c r="T21290" s="246">
        <f t="shared" si="370"/>
        <v>0</v>
      </c>
    </row>
    <row r="21291" spans="20:20" ht="18.75" customHeight="1" x14ac:dyDescent="0.35">
      <c r="T21291" s="246">
        <f t="shared" si="370"/>
        <v>0</v>
      </c>
    </row>
    <row r="21292" spans="20:20" ht="18.75" customHeight="1" x14ac:dyDescent="0.35">
      <c r="T21292" s="246">
        <f t="shared" si="370"/>
        <v>0</v>
      </c>
    </row>
    <row r="21293" spans="20:20" ht="18.75" customHeight="1" x14ac:dyDescent="0.35">
      <c r="T21293" s="246">
        <f t="shared" si="370"/>
        <v>0</v>
      </c>
    </row>
    <row r="21294" spans="20:20" ht="18.75" customHeight="1" x14ac:dyDescent="0.35">
      <c r="T21294" s="246">
        <f t="shared" si="370"/>
        <v>0</v>
      </c>
    </row>
    <row r="21295" spans="20:20" ht="18.75" customHeight="1" x14ac:dyDescent="0.35">
      <c r="T21295" s="246">
        <f t="shared" si="370"/>
        <v>0</v>
      </c>
    </row>
    <row r="21296" spans="20:20" ht="18.75" customHeight="1" x14ac:dyDescent="0.35">
      <c r="T21296" s="246">
        <f t="shared" si="370"/>
        <v>0</v>
      </c>
    </row>
    <row r="21297" spans="20:20" ht="18.75" customHeight="1" x14ac:dyDescent="0.35">
      <c r="T21297" s="246">
        <f t="shared" si="370"/>
        <v>0</v>
      </c>
    </row>
    <row r="21298" spans="20:20" ht="18.75" customHeight="1" x14ac:dyDescent="0.35">
      <c r="T21298" s="246">
        <f t="shared" si="370"/>
        <v>0</v>
      </c>
    </row>
    <row r="21299" spans="20:20" ht="18.75" customHeight="1" x14ac:dyDescent="0.35">
      <c r="T21299" s="246">
        <f t="shared" si="370"/>
        <v>0</v>
      </c>
    </row>
    <row r="21300" spans="20:20" ht="18.75" customHeight="1" x14ac:dyDescent="0.35">
      <c r="T21300" s="246">
        <f t="shared" si="370"/>
        <v>0</v>
      </c>
    </row>
    <row r="21301" spans="20:20" ht="18.75" customHeight="1" x14ac:dyDescent="0.35">
      <c r="T21301" s="246">
        <f t="shared" si="370"/>
        <v>0</v>
      </c>
    </row>
    <row r="21302" spans="20:20" ht="18.75" customHeight="1" x14ac:dyDescent="0.35">
      <c r="T21302" s="246">
        <f t="shared" si="370"/>
        <v>0</v>
      </c>
    </row>
    <row r="21303" spans="20:20" ht="18.75" customHeight="1" x14ac:dyDescent="0.35">
      <c r="T21303" s="246">
        <f t="shared" si="370"/>
        <v>0</v>
      </c>
    </row>
    <row r="21304" spans="20:20" ht="18.75" customHeight="1" x14ac:dyDescent="0.35">
      <c r="T21304" s="246">
        <f t="shared" si="370"/>
        <v>0</v>
      </c>
    </row>
    <row r="21305" spans="20:20" ht="18.75" customHeight="1" x14ac:dyDescent="0.35">
      <c r="T21305" s="246">
        <f t="shared" si="370"/>
        <v>0</v>
      </c>
    </row>
    <row r="21306" spans="20:20" ht="18.75" customHeight="1" x14ac:dyDescent="0.35">
      <c r="T21306" s="246">
        <f t="shared" si="370"/>
        <v>0</v>
      </c>
    </row>
    <row r="21307" spans="20:20" ht="18.75" customHeight="1" x14ac:dyDescent="0.35">
      <c r="T21307" s="246">
        <f t="shared" si="370"/>
        <v>0</v>
      </c>
    </row>
    <row r="21308" spans="20:20" ht="18.75" customHeight="1" x14ac:dyDescent="0.35">
      <c r="T21308" s="246">
        <f t="shared" ref="T21308:T21371" si="371">R21308*0.01</f>
        <v>0</v>
      </c>
    </row>
    <row r="21309" spans="20:20" ht="18.75" customHeight="1" x14ac:dyDescent="0.35">
      <c r="T21309" s="246">
        <f t="shared" si="371"/>
        <v>0</v>
      </c>
    </row>
    <row r="21310" spans="20:20" ht="18.75" customHeight="1" x14ac:dyDescent="0.35">
      <c r="T21310" s="246">
        <f t="shared" si="371"/>
        <v>0</v>
      </c>
    </row>
    <row r="21311" spans="20:20" ht="18.75" customHeight="1" x14ac:dyDescent="0.35">
      <c r="T21311" s="246">
        <f t="shared" si="371"/>
        <v>0</v>
      </c>
    </row>
    <row r="21312" spans="20:20" ht="18.75" customHeight="1" x14ac:dyDescent="0.35">
      <c r="T21312" s="246">
        <f t="shared" si="371"/>
        <v>0</v>
      </c>
    </row>
    <row r="21313" spans="20:20" ht="18.75" customHeight="1" x14ac:dyDescent="0.35">
      <c r="T21313" s="246">
        <f t="shared" si="371"/>
        <v>0</v>
      </c>
    </row>
    <row r="21314" spans="20:20" ht="18.75" customHeight="1" x14ac:dyDescent="0.35">
      <c r="T21314" s="246">
        <f t="shared" si="371"/>
        <v>0</v>
      </c>
    </row>
    <row r="21315" spans="20:20" ht="18.75" customHeight="1" x14ac:dyDescent="0.35">
      <c r="T21315" s="246">
        <f t="shared" si="371"/>
        <v>0</v>
      </c>
    </row>
    <row r="21316" spans="20:20" ht="18.75" customHeight="1" x14ac:dyDescent="0.35">
      <c r="T21316" s="246">
        <f t="shared" si="371"/>
        <v>0</v>
      </c>
    </row>
    <row r="21317" spans="20:20" ht="18.75" customHeight="1" x14ac:dyDescent="0.35">
      <c r="T21317" s="246">
        <f t="shared" si="371"/>
        <v>0</v>
      </c>
    </row>
    <row r="21318" spans="20:20" ht="18.75" customHeight="1" x14ac:dyDescent="0.35">
      <c r="T21318" s="246">
        <f t="shared" si="371"/>
        <v>0</v>
      </c>
    </row>
    <row r="21319" spans="20:20" ht="18.75" customHeight="1" x14ac:dyDescent="0.35">
      <c r="T21319" s="246">
        <f t="shared" si="371"/>
        <v>0</v>
      </c>
    </row>
    <row r="21320" spans="20:20" ht="18.75" customHeight="1" x14ac:dyDescent="0.35">
      <c r="T21320" s="246">
        <f t="shared" si="371"/>
        <v>0</v>
      </c>
    </row>
    <row r="21321" spans="20:20" ht="18.75" customHeight="1" x14ac:dyDescent="0.35">
      <c r="T21321" s="246">
        <f t="shared" si="371"/>
        <v>0</v>
      </c>
    </row>
    <row r="21322" spans="20:20" ht="18.75" customHeight="1" x14ac:dyDescent="0.35">
      <c r="T21322" s="246">
        <f t="shared" si="371"/>
        <v>0</v>
      </c>
    </row>
    <row r="21323" spans="20:20" ht="18.75" customHeight="1" x14ac:dyDescent="0.35">
      <c r="T21323" s="246">
        <f t="shared" si="371"/>
        <v>0</v>
      </c>
    </row>
    <row r="21324" spans="20:20" ht="18.75" customHeight="1" x14ac:dyDescent="0.35">
      <c r="T21324" s="246">
        <f t="shared" si="371"/>
        <v>0</v>
      </c>
    </row>
    <row r="21325" spans="20:20" ht="18.75" customHeight="1" x14ac:dyDescent="0.35">
      <c r="T21325" s="246">
        <f t="shared" si="371"/>
        <v>0</v>
      </c>
    </row>
    <row r="21326" spans="20:20" ht="18.75" customHeight="1" x14ac:dyDescent="0.35">
      <c r="T21326" s="246">
        <f t="shared" si="371"/>
        <v>0</v>
      </c>
    </row>
    <row r="21327" spans="20:20" ht="18.75" customHeight="1" x14ac:dyDescent="0.35">
      <c r="T21327" s="246">
        <f t="shared" si="371"/>
        <v>0</v>
      </c>
    </row>
    <row r="21328" spans="20:20" ht="18.75" customHeight="1" x14ac:dyDescent="0.35">
      <c r="T21328" s="246">
        <f t="shared" si="371"/>
        <v>0</v>
      </c>
    </row>
    <row r="21329" spans="20:20" ht="18.75" customHeight="1" x14ac:dyDescent="0.35">
      <c r="T21329" s="246">
        <f t="shared" si="371"/>
        <v>0</v>
      </c>
    </row>
    <row r="21330" spans="20:20" ht="18.75" customHeight="1" x14ac:dyDescent="0.35">
      <c r="T21330" s="246">
        <f t="shared" si="371"/>
        <v>0</v>
      </c>
    </row>
    <row r="21331" spans="20:20" ht="18.75" customHeight="1" x14ac:dyDescent="0.35">
      <c r="T21331" s="246">
        <f t="shared" si="371"/>
        <v>0</v>
      </c>
    </row>
    <row r="21332" spans="20:20" ht="18.75" customHeight="1" x14ac:dyDescent="0.35">
      <c r="T21332" s="246">
        <f t="shared" si="371"/>
        <v>0</v>
      </c>
    </row>
    <row r="21333" spans="20:20" ht="18.75" customHeight="1" x14ac:dyDescent="0.35">
      <c r="T21333" s="246">
        <f t="shared" si="371"/>
        <v>0</v>
      </c>
    </row>
    <row r="21334" spans="20:20" ht="18.75" customHeight="1" x14ac:dyDescent="0.35">
      <c r="T21334" s="246">
        <f t="shared" si="371"/>
        <v>0</v>
      </c>
    </row>
    <row r="21335" spans="20:20" ht="18.75" customHeight="1" x14ac:dyDescent="0.35">
      <c r="T21335" s="246">
        <f t="shared" si="371"/>
        <v>0</v>
      </c>
    </row>
    <row r="21336" spans="20:20" ht="18.75" customHeight="1" x14ac:dyDescent="0.35">
      <c r="T21336" s="246">
        <f t="shared" si="371"/>
        <v>0</v>
      </c>
    </row>
    <row r="21337" spans="20:20" ht="18.75" customHeight="1" x14ac:dyDescent="0.35">
      <c r="T21337" s="246">
        <f t="shared" si="371"/>
        <v>0</v>
      </c>
    </row>
    <row r="21338" spans="20:20" ht="18.75" customHeight="1" x14ac:dyDescent="0.35">
      <c r="T21338" s="246">
        <f t="shared" si="371"/>
        <v>0</v>
      </c>
    </row>
    <row r="21339" spans="20:20" ht="18.75" customHeight="1" x14ac:dyDescent="0.35">
      <c r="T21339" s="246">
        <f t="shared" si="371"/>
        <v>0</v>
      </c>
    </row>
    <row r="21340" spans="20:20" ht="18.75" customHeight="1" x14ac:dyDescent="0.35">
      <c r="T21340" s="246">
        <f t="shared" si="371"/>
        <v>0</v>
      </c>
    </row>
    <row r="21341" spans="20:20" ht="18.75" customHeight="1" x14ac:dyDescent="0.35">
      <c r="T21341" s="246">
        <f t="shared" si="371"/>
        <v>0</v>
      </c>
    </row>
    <row r="21342" spans="20:20" ht="18.75" customHeight="1" x14ac:dyDescent="0.35">
      <c r="T21342" s="246">
        <f t="shared" si="371"/>
        <v>0</v>
      </c>
    </row>
    <row r="21343" spans="20:20" ht="18.75" customHeight="1" x14ac:dyDescent="0.35">
      <c r="T21343" s="246">
        <f t="shared" si="371"/>
        <v>0</v>
      </c>
    </row>
    <row r="21344" spans="20:20" ht="18.75" customHeight="1" x14ac:dyDescent="0.35">
      <c r="T21344" s="246">
        <f t="shared" si="371"/>
        <v>0</v>
      </c>
    </row>
    <row r="21345" spans="20:20" ht="18.75" customHeight="1" x14ac:dyDescent="0.35">
      <c r="T21345" s="246">
        <f t="shared" si="371"/>
        <v>0</v>
      </c>
    </row>
    <row r="21346" spans="20:20" ht="18.75" customHeight="1" x14ac:dyDescent="0.35">
      <c r="T21346" s="246">
        <f t="shared" si="371"/>
        <v>0</v>
      </c>
    </row>
    <row r="21347" spans="20:20" ht="18.75" customHeight="1" x14ac:dyDescent="0.35">
      <c r="T21347" s="246">
        <f t="shared" si="371"/>
        <v>0</v>
      </c>
    </row>
    <row r="21348" spans="20:20" ht="18.75" customHeight="1" x14ac:dyDescent="0.35">
      <c r="T21348" s="246">
        <f t="shared" si="371"/>
        <v>0</v>
      </c>
    </row>
    <row r="21349" spans="20:20" ht="18.75" customHeight="1" x14ac:dyDescent="0.35">
      <c r="T21349" s="246">
        <f t="shared" si="371"/>
        <v>0</v>
      </c>
    </row>
    <row r="21350" spans="20:20" ht="18.75" customHeight="1" x14ac:dyDescent="0.35">
      <c r="T21350" s="246">
        <f t="shared" si="371"/>
        <v>0</v>
      </c>
    </row>
    <row r="21351" spans="20:20" ht="18.75" customHeight="1" x14ac:dyDescent="0.35">
      <c r="T21351" s="246">
        <f t="shared" si="371"/>
        <v>0</v>
      </c>
    </row>
    <row r="21352" spans="20:20" ht="18.75" customHeight="1" x14ac:dyDescent="0.35">
      <c r="T21352" s="246">
        <f t="shared" si="371"/>
        <v>0</v>
      </c>
    </row>
    <row r="21353" spans="20:20" ht="18.75" customHeight="1" x14ac:dyDescent="0.35">
      <c r="T21353" s="246">
        <f t="shared" si="371"/>
        <v>0</v>
      </c>
    </row>
    <row r="21354" spans="20:20" ht="18.75" customHeight="1" x14ac:dyDescent="0.35">
      <c r="T21354" s="246">
        <f t="shared" si="371"/>
        <v>0</v>
      </c>
    </row>
    <row r="21355" spans="20:20" ht="18.75" customHeight="1" x14ac:dyDescent="0.35">
      <c r="T21355" s="246">
        <f t="shared" si="371"/>
        <v>0</v>
      </c>
    </row>
    <row r="21356" spans="20:20" ht="18.75" customHeight="1" x14ac:dyDescent="0.35">
      <c r="T21356" s="246">
        <f t="shared" si="371"/>
        <v>0</v>
      </c>
    </row>
    <row r="21357" spans="20:20" ht="18.75" customHeight="1" x14ac:dyDescent="0.35">
      <c r="T21357" s="246">
        <f t="shared" si="371"/>
        <v>0</v>
      </c>
    </row>
    <row r="21358" spans="20:20" ht="18.75" customHeight="1" x14ac:dyDescent="0.35">
      <c r="T21358" s="246">
        <f t="shared" si="371"/>
        <v>0</v>
      </c>
    </row>
    <row r="21359" spans="20:20" ht="18.75" customHeight="1" x14ac:dyDescent="0.35">
      <c r="T21359" s="246">
        <f t="shared" si="371"/>
        <v>0</v>
      </c>
    </row>
    <row r="21360" spans="20:20" ht="18.75" customHeight="1" x14ac:dyDescent="0.35">
      <c r="T21360" s="246">
        <f t="shared" si="371"/>
        <v>0</v>
      </c>
    </row>
    <row r="21361" spans="20:20" ht="18.75" customHeight="1" x14ac:dyDescent="0.35">
      <c r="T21361" s="246">
        <f t="shared" si="371"/>
        <v>0</v>
      </c>
    </row>
    <row r="21362" spans="20:20" ht="18.75" customHeight="1" x14ac:dyDescent="0.35">
      <c r="T21362" s="246">
        <f t="shared" si="371"/>
        <v>0</v>
      </c>
    </row>
    <row r="21363" spans="20:20" ht="18.75" customHeight="1" x14ac:dyDescent="0.35">
      <c r="T21363" s="246">
        <f t="shared" si="371"/>
        <v>0</v>
      </c>
    </row>
    <row r="21364" spans="20:20" ht="18.75" customHeight="1" x14ac:dyDescent="0.35">
      <c r="T21364" s="246">
        <f t="shared" si="371"/>
        <v>0</v>
      </c>
    </row>
    <row r="21365" spans="20:20" ht="18.75" customHeight="1" x14ac:dyDescent="0.35">
      <c r="T21365" s="246">
        <f t="shared" si="371"/>
        <v>0</v>
      </c>
    </row>
    <row r="21366" spans="20:20" ht="18.75" customHeight="1" x14ac:dyDescent="0.35">
      <c r="T21366" s="246">
        <f t="shared" si="371"/>
        <v>0</v>
      </c>
    </row>
    <row r="21367" spans="20:20" ht="18.75" customHeight="1" x14ac:dyDescent="0.35">
      <c r="T21367" s="246">
        <f t="shared" si="371"/>
        <v>0</v>
      </c>
    </row>
    <row r="21368" spans="20:20" ht="18.75" customHeight="1" x14ac:dyDescent="0.35">
      <c r="T21368" s="246">
        <f t="shared" si="371"/>
        <v>0</v>
      </c>
    </row>
    <row r="21369" spans="20:20" ht="18.75" customHeight="1" x14ac:dyDescent="0.35">
      <c r="T21369" s="246">
        <f t="shared" si="371"/>
        <v>0</v>
      </c>
    </row>
    <row r="21370" spans="20:20" ht="18.75" customHeight="1" x14ac:dyDescent="0.35">
      <c r="T21370" s="246">
        <f t="shared" si="371"/>
        <v>0</v>
      </c>
    </row>
    <row r="21371" spans="20:20" ht="18.75" customHeight="1" x14ac:dyDescent="0.35">
      <c r="T21371" s="246">
        <f t="shared" si="371"/>
        <v>0</v>
      </c>
    </row>
    <row r="21372" spans="20:20" ht="18.75" customHeight="1" x14ac:dyDescent="0.35">
      <c r="T21372" s="246">
        <f t="shared" ref="T21372:T21435" si="372">R21372*0.01</f>
        <v>0</v>
      </c>
    </row>
    <row r="21373" spans="20:20" ht="18.75" customHeight="1" x14ac:dyDescent="0.35">
      <c r="T21373" s="246">
        <f t="shared" si="372"/>
        <v>0</v>
      </c>
    </row>
    <row r="21374" spans="20:20" ht="18.75" customHeight="1" x14ac:dyDescent="0.35">
      <c r="T21374" s="246">
        <f t="shared" si="372"/>
        <v>0</v>
      </c>
    </row>
    <row r="21375" spans="20:20" ht="18.75" customHeight="1" x14ac:dyDescent="0.35">
      <c r="T21375" s="246">
        <f t="shared" si="372"/>
        <v>0</v>
      </c>
    </row>
    <row r="21376" spans="20:20" ht="18.75" customHeight="1" x14ac:dyDescent="0.35">
      <c r="T21376" s="246">
        <f t="shared" si="372"/>
        <v>0</v>
      </c>
    </row>
    <row r="21377" spans="20:20" ht="18.75" customHeight="1" x14ac:dyDescent="0.35">
      <c r="T21377" s="246">
        <f t="shared" si="372"/>
        <v>0</v>
      </c>
    </row>
    <row r="21378" spans="20:20" ht="18.75" customHeight="1" x14ac:dyDescent="0.35">
      <c r="T21378" s="246">
        <f t="shared" si="372"/>
        <v>0</v>
      </c>
    </row>
    <row r="21379" spans="20:20" ht="18.75" customHeight="1" x14ac:dyDescent="0.35">
      <c r="T21379" s="246">
        <f t="shared" si="372"/>
        <v>0</v>
      </c>
    </row>
    <row r="21380" spans="20:20" ht="18.75" customHeight="1" x14ac:dyDescent="0.35">
      <c r="T21380" s="246">
        <f t="shared" si="372"/>
        <v>0</v>
      </c>
    </row>
    <row r="21381" spans="20:20" ht="18.75" customHeight="1" x14ac:dyDescent="0.35">
      <c r="T21381" s="246">
        <f t="shared" si="372"/>
        <v>0</v>
      </c>
    </row>
    <row r="21382" spans="20:20" ht="18.75" customHeight="1" x14ac:dyDescent="0.35">
      <c r="T21382" s="246">
        <f t="shared" si="372"/>
        <v>0</v>
      </c>
    </row>
    <row r="21383" spans="20:20" ht="18.75" customHeight="1" x14ac:dyDescent="0.35">
      <c r="T21383" s="246">
        <f t="shared" si="372"/>
        <v>0</v>
      </c>
    </row>
    <row r="21384" spans="20:20" ht="18.75" customHeight="1" x14ac:dyDescent="0.35">
      <c r="T21384" s="246">
        <f t="shared" si="372"/>
        <v>0</v>
      </c>
    </row>
    <row r="21385" spans="20:20" ht="18.75" customHeight="1" x14ac:dyDescent="0.35">
      <c r="T21385" s="246">
        <f t="shared" si="372"/>
        <v>0</v>
      </c>
    </row>
    <row r="21386" spans="20:20" ht="18.75" customHeight="1" x14ac:dyDescent="0.35">
      <c r="T21386" s="246">
        <f t="shared" si="372"/>
        <v>0</v>
      </c>
    </row>
    <row r="21387" spans="20:20" ht="18.75" customHeight="1" x14ac:dyDescent="0.35">
      <c r="T21387" s="246">
        <f t="shared" si="372"/>
        <v>0</v>
      </c>
    </row>
    <row r="21388" spans="20:20" ht="18.75" customHeight="1" x14ac:dyDescent="0.35">
      <c r="T21388" s="246">
        <f t="shared" si="372"/>
        <v>0</v>
      </c>
    </row>
    <row r="21389" spans="20:20" ht="18.75" customHeight="1" x14ac:dyDescent="0.35">
      <c r="T21389" s="246">
        <f t="shared" si="372"/>
        <v>0</v>
      </c>
    </row>
    <row r="21390" spans="20:20" ht="18.75" customHeight="1" x14ac:dyDescent="0.35">
      <c r="T21390" s="246">
        <f t="shared" si="372"/>
        <v>0</v>
      </c>
    </row>
    <row r="21391" spans="20:20" ht="18.75" customHeight="1" x14ac:dyDescent="0.35">
      <c r="T21391" s="246">
        <f t="shared" si="372"/>
        <v>0</v>
      </c>
    </row>
    <row r="21392" spans="20:20" ht="18.75" customHeight="1" x14ac:dyDescent="0.35">
      <c r="T21392" s="246">
        <f t="shared" si="372"/>
        <v>0</v>
      </c>
    </row>
    <row r="21393" spans="20:20" ht="18.75" customHeight="1" x14ac:dyDescent="0.35">
      <c r="T21393" s="246">
        <f t="shared" si="372"/>
        <v>0</v>
      </c>
    </row>
    <row r="21394" spans="20:20" ht="18.75" customHeight="1" x14ac:dyDescent="0.35">
      <c r="T21394" s="246">
        <f t="shared" si="372"/>
        <v>0</v>
      </c>
    </row>
    <row r="21395" spans="20:20" ht="18.75" customHeight="1" x14ac:dyDescent="0.35">
      <c r="T21395" s="246">
        <f t="shared" si="372"/>
        <v>0</v>
      </c>
    </row>
    <row r="21396" spans="20:20" ht="18.75" customHeight="1" x14ac:dyDescent="0.35">
      <c r="T21396" s="246">
        <f t="shared" si="372"/>
        <v>0</v>
      </c>
    </row>
    <row r="21397" spans="20:20" ht="18.75" customHeight="1" x14ac:dyDescent="0.35">
      <c r="T21397" s="246">
        <f t="shared" si="372"/>
        <v>0</v>
      </c>
    </row>
    <row r="21398" spans="20:20" ht="18.75" customHeight="1" x14ac:dyDescent="0.35">
      <c r="T21398" s="246">
        <f t="shared" si="372"/>
        <v>0</v>
      </c>
    </row>
    <row r="21399" spans="20:20" ht="18.75" customHeight="1" x14ac:dyDescent="0.35">
      <c r="T21399" s="246">
        <f t="shared" si="372"/>
        <v>0</v>
      </c>
    </row>
    <row r="21400" spans="20:20" ht="18.75" customHeight="1" x14ac:dyDescent="0.35">
      <c r="T21400" s="246">
        <f t="shared" si="372"/>
        <v>0</v>
      </c>
    </row>
    <row r="21401" spans="20:20" ht="18.75" customHeight="1" x14ac:dyDescent="0.35">
      <c r="T21401" s="246">
        <f t="shared" si="372"/>
        <v>0</v>
      </c>
    </row>
    <row r="21402" spans="20:20" ht="18.75" customHeight="1" x14ac:dyDescent="0.35">
      <c r="T21402" s="246">
        <f t="shared" si="372"/>
        <v>0</v>
      </c>
    </row>
    <row r="21403" spans="20:20" ht="18.75" customHeight="1" x14ac:dyDescent="0.35">
      <c r="T21403" s="246">
        <f t="shared" si="372"/>
        <v>0</v>
      </c>
    </row>
    <row r="21404" spans="20:20" ht="18.75" customHeight="1" x14ac:dyDescent="0.35">
      <c r="T21404" s="246">
        <f t="shared" si="372"/>
        <v>0</v>
      </c>
    </row>
    <row r="21405" spans="20:20" ht="18.75" customHeight="1" x14ac:dyDescent="0.35">
      <c r="T21405" s="246">
        <f t="shared" si="372"/>
        <v>0</v>
      </c>
    </row>
    <row r="21406" spans="20:20" ht="18.75" customHeight="1" x14ac:dyDescent="0.35">
      <c r="T21406" s="246">
        <f t="shared" si="372"/>
        <v>0</v>
      </c>
    </row>
    <row r="21407" spans="20:20" ht="18.75" customHeight="1" x14ac:dyDescent="0.35">
      <c r="T21407" s="246">
        <f t="shared" si="372"/>
        <v>0</v>
      </c>
    </row>
    <row r="21408" spans="20:20" ht="18.75" customHeight="1" x14ac:dyDescent="0.35">
      <c r="T21408" s="246">
        <f t="shared" si="372"/>
        <v>0</v>
      </c>
    </row>
    <row r="21409" spans="20:20" ht="18.75" customHeight="1" x14ac:dyDescent="0.35">
      <c r="T21409" s="246">
        <f t="shared" si="372"/>
        <v>0</v>
      </c>
    </row>
    <row r="21410" spans="20:20" ht="18.75" customHeight="1" x14ac:dyDescent="0.35">
      <c r="T21410" s="246">
        <f t="shared" si="372"/>
        <v>0</v>
      </c>
    </row>
    <row r="21411" spans="20:20" ht="18.75" customHeight="1" x14ac:dyDescent="0.35">
      <c r="T21411" s="246">
        <f t="shared" si="372"/>
        <v>0</v>
      </c>
    </row>
    <row r="21412" spans="20:20" ht="18.75" customHeight="1" x14ac:dyDescent="0.35">
      <c r="T21412" s="246">
        <f t="shared" si="372"/>
        <v>0</v>
      </c>
    </row>
    <row r="21413" spans="20:20" ht="18.75" customHeight="1" x14ac:dyDescent="0.35">
      <c r="T21413" s="246">
        <f t="shared" si="372"/>
        <v>0</v>
      </c>
    </row>
    <row r="21414" spans="20:20" ht="18.75" customHeight="1" x14ac:dyDescent="0.35">
      <c r="T21414" s="246">
        <f t="shared" si="372"/>
        <v>0</v>
      </c>
    </row>
    <row r="21415" spans="20:20" ht="18.75" customHeight="1" x14ac:dyDescent="0.35">
      <c r="T21415" s="246">
        <f t="shared" si="372"/>
        <v>0</v>
      </c>
    </row>
    <row r="21416" spans="20:20" ht="18.75" customHeight="1" x14ac:dyDescent="0.35">
      <c r="T21416" s="246">
        <f t="shared" si="372"/>
        <v>0</v>
      </c>
    </row>
    <row r="21417" spans="20:20" ht="18.75" customHeight="1" x14ac:dyDescent="0.35">
      <c r="T21417" s="246">
        <f t="shared" si="372"/>
        <v>0</v>
      </c>
    </row>
    <row r="21418" spans="20:20" ht="18.75" customHeight="1" x14ac:dyDescent="0.35">
      <c r="T21418" s="246">
        <f t="shared" si="372"/>
        <v>0</v>
      </c>
    </row>
    <row r="21419" spans="20:20" ht="18.75" customHeight="1" x14ac:dyDescent="0.35">
      <c r="T21419" s="246">
        <f t="shared" si="372"/>
        <v>0</v>
      </c>
    </row>
    <row r="21420" spans="20:20" ht="18.75" customHeight="1" x14ac:dyDescent="0.35">
      <c r="T21420" s="246">
        <f t="shared" si="372"/>
        <v>0</v>
      </c>
    </row>
    <row r="21421" spans="20:20" ht="18.75" customHeight="1" x14ac:dyDescent="0.35">
      <c r="T21421" s="246">
        <f t="shared" si="372"/>
        <v>0</v>
      </c>
    </row>
    <row r="21422" spans="20:20" ht="18.75" customHeight="1" x14ac:dyDescent="0.35">
      <c r="T21422" s="246">
        <f t="shared" si="372"/>
        <v>0</v>
      </c>
    </row>
    <row r="21423" spans="20:20" ht="18.75" customHeight="1" x14ac:dyDescent="0.35">
      <c r="T21423" s="246">
        <f t="shared" si="372"/>
        <v>0</v>
      </c>
    </row>
    <row r="21424" spans="20:20" ht="18.75" customHeight="1" x14ac:dyDescent="0.35">
      <c r="T21424" s="246">
        <f t="shared" si="372"/>
        <v>0</v>
      </c>
    </row>
    <row r="21425" spans="20:20" ht="18.75" customHeight="1" x14ac:dyDescent="0.35">
      <c r="T21425" s="246">
        <f t="shared" si="372"/>
        <v>0</v>
      </c>
    </row>
    <row r="21426" spans="20:20" ht="18.75" customHeight="1" x14ac:dyDescent="0.35">
      <c r="T21426" s="246">
        <f t="shared" si="372"/>
        <v>0</v>
      </c>
    </row>
    <row r="21427" spans="20:20" ht="18.75" customHeight="1" x14ac:dyDescent="0.35">
      <c r="T21427" s="246">
        <f t="shared" si="372"/>
        <v>0</v>
      </c>
    </row>
    <row r="21428" spans="20:20" ht="18.75" customHeight="1" x14ac:dyDescent="0.35">
      <c r="T21428" s="246">
        <f t="shared" si="372"/>
        <v>0</v>
      </c>
    </row>
    <row r="21429" spans="20:20" ht="18.75" customHeight="1" x14ac:dyDescent="0.35">
      <c r="T21429" s="246">
        <f t="shared" si="372"/>
        <v>0</v>
      </c>
    </row>
    <row r="21430" spans="20:20" ht="18.75" customHeight="1" x14ac:dyDescent="0.35">
      <c r="T21430" s="246">
        <f t="shared" si="372"/>
        <v>0</v>
      </c>
    </row>
    <row r="21431" spans="20:20" ht="18.75" customHeight="1" x14ac:dyDescent="0.35">
      <c r="T21431" s="246">
        <f t="shared" si="372"/>
        <v>0</v>
      </c>
    </row>
    <row r="21432" spans="20:20" ht="18.75" customHeight="1" x14ac:dyDescent="0.35">
      <c r="T21432" s="246">
        <f t="shared" si="372"/>
        <v>0</v>
      </c>
    </row>
    <row r="21433" spans="20:20" ht="18.75" customHeight="1" x14ac:dyDescent="0.35">
      <c r="T21433" s="246">
        <f t="shared" si="372"/>
        <v>0</v>
      </c>
    </row>
    <row r="21434" spans="20:20" ht="18.75" customHeight="1" x14ac:dyDescent="0.35">
      <c r="T21434" s="246">
        <f t="shared" si="372"/>
        <v>0</v>
      </c>
    </row>
    <row r="21435" spans="20:20" ht="18.75" customHeight="1" x14ac:dyDescent="0.35">
      <c r="T21435" s="246">
        <f t="shared" si="372"/>
        <v>0</v>
      </c>
    </row>
    <row r="21436" spans="20:20" ht="18.75" customHeight="1" x14ac:dyDescent="0.35">
      <c r="T21436" s="246">
        <f t="shared" ref="T21436:T21499" si="373">R21436*0.01</f>
        <v>0</v>
      </c>
    </row>
    <row r="21437" spans="20:20" ht="18.75" customHeight="1" x14ac:dyDescent="0.35">
      <c r="T21437" s="246">
        <f t="shared" si="373"/>
        <v>0</v>
      </c>
    </row>
    <row r="21438" spans="20:20" ht="18.75" customHeight="1" x14ac:dyDescent="0.35">
      <c r="T21438" s="246">
        <f t="shared" si="373"/>
        <v>0</v>
      </c>
    </row>
    <row r="21439" spans="20:20" ht="18.75" customHeight="1" x14ac:dyDescent="0.35">
      <c r="T21439" s="246">
        <f t="shared" si="373"/>
        <v>0</v>
      </c>
    </row>
    <row r="21440" spans="20:20" ht="18.75" customHeight="1" x14ac:dyDescent="0.35">
      <c r="T21440" s="246">
        <f t="shared" si="373"/>
        <v>0</v>
      </c>
    </row>
    <row r="21441" spans="20:20" ht="18.75" customHeight="1" x14ac:dyDescent="0.35">
      <c r="T21441" s="246">
        <f t="shared" si="373"/>
        <v>0</v>
      </c>
    </row>
    <row r="21442" spans="20:20" ht="18.75" customHeight="1" x14ac:dyDescent="0.35">
      <c r="T21442" s="246">
        <f t="shared" si="373"/>
        <v>0</v>
      </c>
    </row>
    <row r="21443" spans="20:20" ht="18.75" customHeight="1" x14ac:dyDescent="0.35">
      <c r="T21443" s="246">
        <f t="shared" si="373"/>
        <v>0</v>
      </c>
    </row>
    <row r="21444" spans="20:20" ht="18.75" customHeight="1" x14ac:dyDescent="0.35">
      <c r="T21444" s="246">
        <f t="shared" si="373"/>
        <v>0</v>
      </c>
    </row>
    <row r="21445" spans="20:20" ht="18.75" customHeight="1" x14ac:dyDescent="0.35">
      <c r="T21445" s="246">
        <f t="shared" si="373"/>
        <v>0</v>
      </c>
    </row>
    <row r="21446" spans="20:20" ht="18.75" customHeight="1" x14ac:dyDescent="0.35">
      <c r="T21446" s="246">
        <f t="shared" si="373"/>
        <v>0</v>
      </c>
    </row>
    <row r="21447" spans="20:20" ht="18.75" customHeight="1" x14ac:dyDescent="0.35">
      <c r="T21447" s="246">
        <f t="shared" si="373"/>
        <v>0</v>
      </c>
    </row>
    <row r="21448" spans="20:20" ht="18.75" customHeight="1" x14ac:dyDescent="0.35">
      <c r="T21448" s="246">
        <f t="shared" si="373"/>
        <v>0</v>
      </c>
    </row>
    <row r="21449" spans="20:20" ht="18.75" customHeight="1" x14ac:dyDescent="0.35">
      <c r="T21449" s="246">
        <f t="shared" si="373"/>
        <v>0</v>
      </c>
    </row>
    <row r="21450" spans="20:20" ht="18.75" customHeight="1" x14ac:dyDescent="0.35">
      <c r="T21450" s="246">
        <f t="shared" si="373"/>
        <v>0</v>
      </c>
    </row>
    <row r="21451" spans="20:20" ht="18.75" customHeight="1" x14ac:dyDescent="0.35">
      <c r="T21451" s="246">
        <f t="shared" si="373"/>
        <v>0</v>
      </c>
    </row>
    <row r="21452" spans="20:20" ht="18.75" customHeight="1" x14ac:dyDescent="0.35">
      <c r="T21452" s="246">
        <f t="shared" si="373"/>
        <v>0</v>
      </c>
    </row>
    <row r="21453" spans="20:20" ht="18.75" customHeight="1" x14ac:dyDescent="0.35">
      <c r="T21453" s="246">
        <f t="shared" si="373"/>
        <v>0</v>
      </c>
    </row>
    <row r="21454" spans="20:20" ht="18.75" customHeight="1" x14ac:dyDescent="0.35">
      <c r="T21454" s="246">
        <f t="shared" si="373"/>
        <v>0</v>
      </c>
    </row>
    <row r="21455" spans="20:20" ht="18.75" customHeight="1" x14ac:dyDescent="0.35">
      <c r="T21455" s="246">
        <f t="shared" si="373"/>
        <v>0</v>
      </c>
    </row>
    <row r="21456" spans="20:20" ht="18.75" customHeight="1" x14ac:dyDescent="0.35">
      <c r="T21456" s="246">
        <f t="shared" si="373"/>
        <v>0</v>
      </c>
    </row>
    <row r="21457" spans="20:20" ht="18.75" customHeight="1" x14ac:dyDescent="0.35">
      <c r="T21457" s="246">
        <f t="shared" si="373"/>
        <v>0</v>
      </c>
    </row>
    <row r="21458" spans="20:20" ht="18.75" customHeight="1" x14ac:dyDescent="0.35">
      <c r="T21458" s="246">
        <f t="shared" si="373"/>
        <v>0</v>
      </c>
    </row>
    <row r="21459" spans="20:20" ht="18.75" customHeight="1" x14ac:dyDescent="0.35">
      <c r="T21459" s="246">
        <f t="shared" si="373"/>
        <v>0</v>
      </c>
    </row>
    <row r="21460" spans="20:20" ht="18.75" customHeight="1" x14ac:dyDescent="0.35">
      <c r="T21460" s="246">
        <f t="shared" si="373"/>
        <v>0</v>
      </c>
    </row>
    <row r="21461" spans="20:20" ht="18.75" customHeight="1" x14ac:dyDescent="0.35">
      <c r="T21461" s="246">
        <f t="shared" si="373"/>
        <v>0</v>
      </c>
    </row>
    <row r="21462" spans="20:20" ht="18.75" customHeight="1" x14ac:dyDescent="0.35">
      <c r="T21462" s="246">
        <f t="shared" si="373"/>
        <v>0</v>
      </c>
    </row>
    <row r="21463" spans="20:20" ht="18.75" customHeight="1" x14ac:dyDescent="0.35">
      <c r="T21463" s="246">
        <f t="shared" si="373"/>
        <v>0</v>
      </c>
    </row>
    <row r="21464" spans="20:20" ht="18.75" customHeight="1" x14ac:dyDescent="0.35">
      <c r="T21464" s="246">
        <f t="shared" si="373"/>
        <v>0</v>
      </c>
    </row>
    <row r="21465" spans="20:20" ht="18.75" customHeight="1" x14ac:dyDescent="0.35">
      <c r="T21465" s="246">
        <f t="shared" si="373"/>
        <v>0</v>
      </c>
    </row>
    <row r="21466" spans="20:20" ht="18.75" customHeight="1" x14ac:dyDescent="0.35">
      <c r="T21466" s="246">
        <f t="shared" si="373"/>
        <v>0</v>
      </c>
    </row>
    <row r="21467" spans="20:20" ht="18.75" customHeight="1" x14ac:dyDescent="0.35">
      <c r="T21467" s="246">
        <f t="shared" si="373"/>
        <v>0</v>
      </c>
    </row>
    <row r="21468" spans="20:20" ht="18.75" customHeight="1" x14ac:dyDescent="0.35">
      <c r="T21468" s="246">
        <f t="shared" si="373"/>
        <v>0</v>
      </c>
    </row>
    <row r="21469" spans="20:20" ht="18.75" customHeight="1" x14ac:dyDescent="0.35">
      <c r="T21469" s="246">
        <f t="shared" si="373"/>
        <v>0</v>
      </c>
    </row>
    <row r="21470" spans="20:20" ht="18.75" customHeight="1" x14ac:dyDescent="0.35">
      <c r="T21470" s="246">
        <f t="shared" si="373"/>
        <v>0</v>
      </c>
    </row>
    <row r="21471" spans="20:20" ht="18.75" customHeight="1" x14ac:dyDescent="0.35">
      <c r="T21471" s="246">
        <f t="shared" si="373"/>
        <v>0</v>
      </c>
    </row>
    <row r="21472" spans="20:20" ht="18.75" customHeight="1" x14ac:dyDescent="0.35">
      <c r="T21472" s="246">
        <f t="shared" si="373"/>
        <v>0</v>
      </c>
    </row>
    <row r="21473" spans="20:20" ht="18.75" customHeight="1" x14ac:dyDescent="0.35">
      <c r="T21473" s="246">
        <f t="shared" si="373"/>
        <v>0</v>
      </c>
    </row>
    <row r="21474" spans="20:20" ht="18.75" customHeight="1" x14ac:dyDescent="0.35">
      <c r="T21474" s="246">
        <f t="shared" si="373"/>
        <v>0</v>
      </c>
    </row>
    <row r="21475" spans="20:20" ht="18.75" customHeight="1" x14ac:dyDescent="0.35">
      <c r="T21475" s="246">
        <f t="shared" si="373"/>
        <v>0</v>
      </c>
    </row>
    <row r="21476" spans="20:20" ht="18.75" customHeight="1" x14ac:dyDescent="0.35">
      <c r="T21476" s="246">
        <f t="shared" si="373"/>
        <v>0</v>
      </c>
    </row>
    <row r="21477" spans="20:20" ht="18.75" customHeight="1" x14ac:dyDescent="0.35">
      <c r="T21477" s="246">
        <f t="shared" si="373"/>
        <v>0</v>
      </c>
    </row>
    <row r="21478" spans="20:20" ht="18.75" customHeight="1" x14ac:dyDescent="0.35">
      <c r="T21478" s="246">
        <f t="shared" si="373"/>
        <v>0</v>
      </c>
    </row>
    <row r="21479" spans="20:20" ht="18.75" customHeight="1" x14ac:dyDescent="0.35">
      <c r="T21479" s="246">
        <f t="shared" si="373"/>
        <v>0</v>
      </c>
    </row>
    <row r="21480" spans="20:20" ht="18.75" customHeight="1" x14ac:dyDescent="0.35">
      <c r="T21480" s="246">
        <f t="shared" si="373"/>
        <v>0</v>
      </c>
    </row>
    <row r="21481" spans="20:20" ht="18.75" customHeight="1" x14ac:dyDescent="0.35">
      <c r="T21481" s="246">
        <f t="shared" si="373"/>
        <v>0</v>
      </c>
    </row>
    <row r="21482" spans="20:20" ht="18.75" customHeight="1" x14ac:dyDescent="0.35">
      <c r="T21482" s="246">
        <f t="shared" si="373"/>
        <v>0</v>
      </c>
    </row>
    <row r="21483" spans="20:20" ht="18.75" customHeight="1" x14ac:dyDescent="0.35">
      <c r="T21483" s="246">
        <f t="shared" si="373"/>
        <v>0</v>
      </c>
    </row>
    <row r="21484" spans="20:20" ht="18.75" customHeight="1" x14ac:dyDescent="0.35">
      <c r="T21484" s="246">
        <f t="shared" si="373"/>
        <v>0</v>
      </c>
    </row>
    <row r="21485" spans="20:20" ht="18.75" customHeight="1" x14ac:dyDescent="0.35">
      <c r="T21485" s="246">
        <f t="shared" si="373"/>
        <v>0</v>
      </c>
    </row>
    <row r="21486" spans="20:20" ht="18.75" customHeight="1" x14ac:dyDescent="0.35">
      <c r="T21486" s="246">
        <f t="shared" si="373"/>
        <v>0</v>
      </c>
    </row>
    <row r="21487" spans="20:20" ht="18.75" customHeight="1" x14ac:dyDescent="0.35">
      <c r="T21487" s="246">
        <f t="shared" si="373"/>
        <v>0</v>
      </c>
    </row>
    <row r="21488" spans="20:20" ht="18.75" customHeight="1" x14ac:dyDescent="0.35">
      <c r="T21488" s="246">
        <f t="shared" si="373"/>
        <v>0</v>
      </c>
    </row>
    <row r="21489" spans="20:20" ht="18.75" customHeight="1" x14ac:dyDescent="0.35">
      <c r="T21489" s="246">
        <f t="shared" si="373"/>
        <v>0</v>
      </c>
    </row>
    <row r="21490" spans="20:20" ht="18.75" customHeight="1" x14ac:dyDescent="0.35">
      <c r="T21490" s="246">
        <f t="shared" si="373"/>
        <v>0</v>
      </c>
    </row>
    <row r="21491" spans="20:20" ht="18.75" customHeight="1" x14ac:dyDescent="0.35">
      <c r="T21491" s="246">
        <f t="shared" si="373"/>
        <v>0</v>
      </c>
    </row>
    <row r="21492" spans="20:20" ht="18.75" customHeight="1" x14ac:dyDescent="0.35">
      <c r="T21492" s="246">
        <f t="shared" si="373"/>
        <v>0</v>
      </c>
    </row>
    <row r="21493" spans="20:20" ht="18.75" customHeight="1" x14ac:dyDescent="0.35">
      <c r="T21493" s="246">
        <f t="shared" si="373"/>
        <v>0</v>
      </c>
    </row>
    <row r="21494" spans="20:20" ht="18.75" customHeight="1" x14ac:dyDescent="0.35">
      <c r="T21494" s="246">
        <f t="shared" si="373"/>
        <v>0</v>
      </c>
    </row>
    <row r="21495" spans="20:20" ht="18.75" customHeight="1" x14ac:dyDescent="0.35">
      <c r="T21495" s="246">
        <f t="shared" si="373"/>
        <v>0</v>
      </c>
    </row>
    <row r="21496" spans="20:20" ht="18.75" customHeight="1" x14ac:dyDescent="0.35">
      <c r="T21496" s="246">
        <f t="shared" si="373"/>
        <v>0</v>
      </c>
    </row>
    <row r="21497" spans="20:20" ht="18.75" customHeight="1" x14ac:dyDescent="0.35">
      <c r="T21497" s="246">
        <f t="shared" si="373"/>
        <v>0</v>
      </c>
    </row>
    <row r="21498" spans="20:20" ht="18.75" customHeight="1" x14ac:dyDescent="0.35">
      <c r="T21498" s="246">
        <f t="shared" si="373"/>
        <v>0</v>
      </c>
    </row>
    <row r="21499" spans="20:20" ht="18.75" customHeight="1" x14ac:dyDescent="0.35">
      <c r="T21499" s="246">
        <f t="shared" si="373"/>
        <v>0</v>
      </c>
    </row>
    <row r="21500" spans="20:20" ht="18.75" customHeight="1" x14ac:dyDescent="0.35">
      <c r="T21500" s="246">
        <f t="shared" ref="T21500:T21563" si="374">R21500*0.01</f>
        <v>0</v>
      </c>
    </row>
    <row r="21501" spans="20:20" ht="18.75" customHeight="1" x14ac:dyDescent="0.35">
      <c r="T21501" s="246">
        <f t="shared" si="374"/>
        <v>0</v>
      </c>
    </row>
    <row r="21502" spans="20:20" ht="18.75" customHeight="1" x14ac:dyDescent="0.35">
      <c r="T21502" s="246">
        <f t="shared" si="374"/>
        <v>0</v>
      </c>
    </row>
    <row r="21503" spans="20:20" ht="18.75" customHeight="1" x14ac:dyDescent="0.35">
      <c r="T21503" s="246">
        <f t="shared" si="374"/>
        <v>0</v>
      </c>
    </row>
    <row r="21504" spans="20:20" ht="18.75" customHeight="1" x14ac:dyDescent="0.35">
      <c r="T21504" s="246">
        <f t="shared" si="374"/>
        <v>0</v>
      </c>
    </row>
    <row r="21505" spans="20:20" ht="18.75" customHeight="1" x14ac:dyDescent="0.35">
      <c r="T21505" s="246">
        <f t="shared" si="374"/>
        <v>0</v>
      </c>
    </row>
    <row r="21506" spans="20:20" ht="18.75" customHeight="1" x14ac:dyDescent="0.35">
      <c r="T21506" s="246">
        <f t="shared" si="374"/>
        <v>0</v>
      </c>
    </row>
    <row r="21507" spans="20:20" ht="18.75" customHeight="1" x14ac:dyDescent="0.35">
      <c r="T21507" s="246">
        <f t="shared" si="374"/>
        <v>0</v>
      </c>
    </row>
    <row r="21508" spans="20:20" ht="18.75" customHeight="1" x14ac:dyDescent="0.35">
      <c r="T21508" s="246">
        <f t="shared" si="374"/>
        <v>0</v>
      </c>
    </row>
    <row r="21509" spans="20:20" ht="18.75" customHeight="1" x14ac:dyDescent="0.35">
      <c r="T21509" s="246">
        <f t="shared" si="374"/>
        <v>0</v>
      </c>
    </row>
    <row r="21510" spans="20:20" ht="18.75" customHeight="1" x14ac:dyDescent="0.35">
      <c r="T21510" s="246">
        <f t="shared" si="374"/>
        <v>0</v>
      </c>
    </row>
    <row r="21511" spans="20:20" ht="18.75" customHeight="1" x14ac:dyDescent="0.35">
      <c r="T21511" s="246">
        <f t="shared" si="374"/>
        <v>0</v>
      </c>
    </row>
    <row r="21512" spans="20:20" ht="18.75" customHeight="1" x14ac:dyDescent="0.35">
      <c r="T21512" s="246">
        <f t="shared" si="374"/>
        <v>0</v>
      </c>
    </row>
    <row r="21513" spans="20:20" ht="18.75" customHeight="1" x14ac:dyDescent="0.35">
      <c r="T21513" s="246">
        <f t="shared" si="374"/>
        <v>0</v>
      </c>
    </row>
    <row r="21514" spans="20:20" ht="18.75" customHeight="1" x14ac:dyDescent="0.35">
      <c r="T21514" s="246">
        <f t="shared" si="374"/>
        <v>0</v>
      </c>
    </row>
    <row r="21515" spans="20:20" ht="18.75" customHeight="1" x14ac:dyDescent="0.35">
      <c r="T21515" s="246">
        <f t="shared" si="374"/>
        <v>0</v>
      </c>
    </row>
    <row r="21516" spans="20:20" ht="18.75" customHeight="1" x14ac:dyDescent="0.35">
      <c r="T21516" s="246">
        <f t="shared" si="374"/>
        <v>0</v>
      </c>
    </row>
    <row r="21517" spans="20:20" ht="18.75" customHeight="1" x14ac:dyDescent="0.35">
      <c r="T21517" s="246">
        <f t="shared" si="374"/>
        <v>0</v>
      </c>
    </row>
    <row r="21518" spans="20:20" ht="18.75" customHeight="1" x14ac:dyDescent="0.35">
      <c r="T21518" s="246">
        <f t="shared" si="374"/>
        <v>0</v>
      </c>
    </row>
    <row r="21519" spans="20:20" ht="18.75" customHeight="1" x14ac:dyDescent="0.35">
      <c r="T21519" s="246">
        <f t="shared" si="374"/>
        <v>0</v>
      </c>
    </row>
    <row r="21520" spans="20:20" ht="18.75" customHeight="1" x14ac:dyDescent="0.35">
      <c r="T21520" s="246">
        <f t="shared" si="374"/>
        <v>0</v>
      </c>
    </row>
    <row r="21521" spans="20:20" ht="18.75" customHeight="1" x14ac:dyDescent="0.35">
      <c r="T21521" s="246">
        <f t="shared" si="374"/>
        <v>0</v>
      </c>
    </row>
    <row r="21522" spans="20:20" ht="18.75" customHeight="1" x14ac:dyDescent="0.35">
      <c r="T21522" s="246">
        <f t="shared" si="374"/>
        <v>0</v>
      </c>
    </row>
    <row r="21523" spans="20:20" ht="18.75" customHeight="1" x14ac:dyDescent="0.35">
      <c r="T21523" s="246">
        <f t="shared" si="374"/>
        <v>0</v>
      </c>
    </row>
    <row r="21524" spans="20:20" ht="18.75" customHeight="1" x14ac:dyDescent="0.35">
      <c r="T21524" s="246">
        <f t="shared" si="374"/>
        <v>0</v>
      </c>
    </row>
    <row r="21525" spans="20:20" ht="18.75" customHeight="1" x14ac:dyDescent="0.35">
      <c r="T21525" s="246">
        <f t="shared" si="374"/>
        <v>0</v>
      </c>
    </row>
    <row r="21526" spans="20:20" ht="18.75" customHeight="1" x14ac:dyDescent="0.35">
      <c r="T21526" s="246">
        <f t="shared" si="374"/>
        <v>0</v>
      </c>
    </row>
    <row r="21527" spans="20:20" ht="18.75" customHeight="1" x14ac:dyDescent="0.35">
      <c r="T21527" s="246">
        <f t="shared" si="374"/>
        <v>0</v>
      </c>
    </row>
    <row r="21528" spans="20:20" ht="18.75" customHeight="1" x14ac:dyDescent="0.35">
      <c r="T21528" s="246">
        <f t="shared" si="374"/>
        <v>0</v>
      </c>
    </row>
    <row r="21529" spans="20:20" ht="18.75" customHeight="1" x14ac:dyDescent="0.35">
      <c r="T21529" s="246">
        <f t="shared" si="374"/>
        <v>0</v>
      </c>
    </row>
    <row r="21530" spans="20:20" ht="18.75" customHeight="1" x14ac:dyDescent="0.35">
      <c r="T21530" s="246">
        <f t="shared" si="374"/>
        <v>0</v>
      </c>
    </row>
    <row r="21531" spans="20:20" ht="18.75" customHeight="1" x14ac:dyDescent="0.35">
      <c r="T21531" s="246">
        <f t="shared" si="374"/>
        <v>0</v>
      </c>
    </row>
    <row r="21532" spans="20:20" ht="18.75" customHeight="1" x14ac:dyDescent="0.35">
      <c r="T21532" s="246">
        <f t="shared" si="374"/>
        <v>0</v>
      </c>
    </row>
    <row r="21533" spans="20:20" ht="18.75" customHeight="1" x14ac:dyDescent="0.35">
      <c r="T21533" s="246">
        <f t="shared" si="374"/>
        <v>0</v>
      </c>
    </row>
    <row r="21534" spans="20:20" ht="18.75" customHeight="1" x14ac:dyDescent="0.35">
      <c r="T21534" s="246">
        <f t="shared" si="374"/>
        <v>0</v>
      </c>
    </row>
    <row r="21535" spans="20:20" ht="18.75" customHeight="1" x14ac:dyDescent="0.35">
      <c r="T21535" s="246">
        <f t="shared" si="374"/>
        <v>0</v>
      </c>
    </row>
    <row r="21536" spans="20:20" ht="18.75" customHeight="1" x14ac:dyDescent="0.35">
      <c r="T21536" s="246">
        <f t="shared" si="374"/>
        <v>0</v>
      </c>
    </row>
    <row r="21537" spans="20:20" ht="18.75" customHeight="1" x14ac:dyDescent="0.35">
      <c r="T21537" s="246">
        <f t="shared" si="374"/>
        <v>0</v>
      </c>
    </row>
    <row r="21538" spans="20:20" ht="18.75" customHeight="1" x14ac:dyDescent="0.35">
      <c r="T21538" s="246">
        <f t="shared" si="374"/>
        <v>0</v>
      </c>
    </row>
    <row r="21539" spans="20:20" ht="18.75" customHeight="1" x14ac:dyDescent="0.35">
      <c r="T21539" s="246">
        <f t="shared" si="374"/>
        <v>0</v>
      </c>
    </row>
    <row r="21540" spans="20:20" ht="18.75" customHeight="1" x14ac:dyDescent="0.35">
      <c r="T21540" s="246">
        <f t="shared" si="374"/>
        <v>0</v>
      </c>
    </row>
    <row r="21541" spans="20:20" ht="18.75" customHeight="1" x14ac:dyDescent="0.35">
      <c r="T21541" s="246">
        <f t="shared" si="374"/>
        <v>0</v>
      </c>
    </row>
    <row r="21542" spans="20:20" ht="18.75" customHeight="1" x14ac:dyDescent="0.35">
      <c r="T21542" s="246">
        <f t="shared" si="374"/>
        <v>0</v>
      </c>
    </row>
    <row r="21543" spans="20:20" ht="18.75" customHeight="1" x14ac:dyDescent="0.35">
      <c r="T21543" s="246">
        <f t="shared" si="374"/>
        <v>0</v>
      </c>
    </row>
    <row r="21544" spans="20:20" ht="18.75" customHeight="1" x14ac:dyDescent="0.35">
      <c r="T21544" s="246">
        <f t="shared" si="374"/>
        <v>0</v>
      </c>
    </row>
    <row r="21545" spans="20:20" ht="18.75" customHeight="1" x14ac:dyDescent="0.35">
      <c r="T21545" s="246">
        <f t="shared" si="374"/>
        <v>0</v>
      </c>
    </row>
    <row r="21546" spans="20:20" ht="18.75" customHeight="1" x14ac:dyDescent="0.35">
      <c r="T21546" s="246">
        <f t="shared" si="374"/>
        <v>0</v>
      </c>
    </row>
    <row r="21547" spans="20:20" ht="18.75" customHeight="1" x14ac:dyDescent="0.35">
      <c r="T21547" s="246">
        <f t="shared" si="374"/>
        <v>0</v>
      </c>
    </row>
    <row r="21548" spans="20:20" ht="18.75" customHeight="1" x14ac:dyDescent="0.35">
      <c r="T21548" s="246">
        <f t="shared" si="374"/>
        <v>0</v>
      </c>
    </row>
    <row r="21549" spans="20:20" ht="18.75" customHeight="1" x14ac:dyDescent="0.35">
      <c r="T21549" s="246">
        <f t="shared" si="374"/>
        <v>0</v>
      </c>
    </row>
    <row r="21550" spans="20:20" ht="18.75" customHeight="1" x14ac:dyDescent="0.35">
      <c r="T21550" s="246">
        <f t="shared" si="374"/>
        <v>0</v>
      </c>
    </row>
    <row r="21551" spans="20:20" ht="18.75" customHeight="1" x14ac:dyDescent="0.35">
      <c r="T21551" s="246">
        <f t="shared" si="374"/>
        <v>0</v>
      </c>
    </row>
    <row r="21552" spans="20:20" ht="18.75" customHeight="1" x14ac:dyDescent="0.35">
      <c r="T21552" s="246">
        <f t="shared" si="374"/>
        <v>0</v>
      </c>
    </row>
    <row r="21553" spans="20:20" ht="18.75" customHeight="1" x14ac:dyDescent="0.35">
      <c r="T21553" s="246">
        <f t="shared" si="374"/>
        <v>0</v>
      </c>
    </row>
    <row r="21554" spans="20:20" ht="18.75" customHeight="1" x14ac:dyDescent="0.35">
      <c r="T21554" s="246">
        <f t="shared" si="374"/>
        <v>0</v>
      </c>
    </row>
    <row r="21555" spans="20:20" ht="18.75" customHeight="1" x14ac:dyDescent="0.35">
      <c r="T21555" s="246">
        <f t="shared" si="374"/>
        <v>0</v>
      </c>
    </row>
    <row r="21556" spans="20:20" ht="18.75" customHeight="1" x14ac:dyDescent="0.35">
      <c r="T21556" s="246">
        <f t="shared" si="374"/>
        <v>0</v>
      </c>
    </row>
    <row r="21557" spans="20:20" ht="18.75" customHeight="1" x14ac:dyDescent="0.35">
      <c r="T21557" s="246">
        <f t="shared" si="374"/>
        <v>0</v>
      </c>
    </row>
    <row r="21558" spans="20:20" ht="18.75" customHeight="1" x14ac:dyDescent="0.35">
      <c r="T21558" s="246">
        <f t="shared" si="374"/>
        <v>0</v>
      </c>
    </row>
    <row r="21559" spans="20:20" ht="18.75" customHeight="1" x14ac:dyDescent="0.35">
      <c r="T21559" s="246">
        <f t="shared" si="374"/>
        <v>0</v>
      </c>
    </row>
    <row r="21560" spans="20:20" ht="18.75" customHeight="1" x14ac:dyDescent="0.35">
      <c r="T21560" s="246">
        <f t="shared" si="374"/>
        <v>0</v>
      </c>
    </row>
    <row r="21561" spans="20:20" ht="18.75" customHeight="1" x14ac:dyDescent="0.35">
      <c r="T21561" s="246">
        <f t="shared" si="374"/>
        <v>0</v>
      </c>
    </row>
    <row r="21562" spans="20:20" ht="18.75" customHeight="1" x14ac:dyDescent="0.35">
      <c r="T21562" s="246">
        <f t="shared" si="374"/>
        <v>0</v>
      </c>
    </row>
    <row r="21563" spans="20:20" ht="18.75" customHeight="1" x14ac:dyDescent="0.35">
      <c r="T21563" s="246">
        <f t="shared" si="374"/>
        <v>0</v>
      </c>
    </row>
    <row r="21564" spans="20:20" ht="18.75" customHeight="1" x14ac:dyDescent="0.35">
      <c r="T21564" s="246">
        <f t="shared" ref="T21564:T21627" si="375">R21564*0.01</f>
        <v>0</v>
      </c>
    </row>
    <row r="21565" spans="20:20" ht="18.75" customHeight="1" x14ac:dyDescent="0.35">
      <c r="T21565" s="246">
        <f t="shared" si="375"/>
        <v>0</v>
      </c>
    </row>
    <row r="21566" spans="20:20" ht="18.75" customHeight="1" x14ac:dyDescent="0.35">
      <c r="T21566" s="246">
        <f t="shared" si="375"/>
        <v>0</v>
      </c>
    </row>
    <row r="21567" spans="20:20" ht="18.75" customHeight="1" x14ac:dyDescent="0.35">
      <c r="T21567" s="246">
        <f t="shared" si="375"/>
        <v>0</v>
      </c>
    </row>
    <row r="21568" spans="20:20" ht="18.75" customHeight="1" x14ac:dyDescent="0.35">
      <c r="T21568" s="246">
        <f t="shared" si="375"/>
        <v>0</v>
      </c>
    </row>
    <row r="21569" spans="20:20" ht="18.75" customHeight="1" x14ac:dyDescent="0.35">
      <c r="T21569" s="246">
        <f t="shared" si="375"/>
        <v>0</v>
      </c>
    </row>
    <row r="21570" spans="20:20" ht="18.75" customHeight="1" x14ac:dyDescent="0.35">
      <c r="T21570" s="246">
        <f t="shared" si="375"/>
        <v>0</v>
      </c>
    </row>
    <row r="21571" spans="20:20" ht="18.75" customHeight="1" x14ac:dyDescent="0.35">
      <c r="T21571" s="246">
        <f t="shared" si="375"/>
        <v>0</v>
      </c>
    </row>
    <row r="21572" spans="20:20" ht="18.75" customHeight="1" x14ac:dyDescent="0.35">
      <c r="T21572" s="246">
        <f t="shared" si="375"/>
        <v>0</v>
      </c>
    </row>
    <row r="21573" spans="20:20" ht="18.75" customHeight="1" x14ac:dyDescent="0.35">
      <c r="T21573" s="246">
        <f t="shared" si="375"/>
        <v>0</v>
      </c>
    </row>
    <row r="21574" spans="20:20" ht="18.75" customHeight="1" x14ac:dyDescent="0.35">
      <c r="T21574" s="246">
        <f t="shared" si="375"/>
        <v>0</v>
      </c>
    </row>
    <row r="21575" spans="20:20" ht="18.75" customHeight="1" x14ac:dyDescent="0.35">
      <c r="T21575" s="246">
        <f t="shared" si="375"/>
        <v>0</v>
      </c>
    </row>
    <row r="21576" spans="20:20" ht="18.75" customHeight="1" x14ac:dyDescent="0.35">
      <c r="T21576" s="246">
        <f t="shared" si="375"/>
        <v>0</v>
      </c>
    </row>
    <row r="21577" spans="20:20" ht="18.75" customHeight="1" x14ac:dyDescent="0.35">
      <c r="T21577" s="246">
        <f t="shared" si="375"/>
        <v>0</v>
      </c>
    </row>
    <row r="21578" spans="20:20" ht="18.75" customHeight="1" x14ac:dyDescent="0.35">
      <c r="T21578" s="246">
        <f t="shared" si="375"/>
        <v>0</v>
      </c>
    </row>
    <row r="21579" spans="20:20" ht="18.75" customHeight="1" x14ac:dyDescent="0.35">
      <c r="T21579" s="246">
        <f t="shared" si="375"/>
        <v>0</v>
      </c>
    </row>
    <row r="21580" spans="20:20" ht="18.75" customHeight="1" x14ac:dyDescent="0.35">
      <c r="T21580" s="246">
        <f t="shared" si="375"/>
        <v>0</v>
      </c>
    </row>
    <row r="21581" spans="20:20" ht="18.75" customHeight="1" x14ac:dyDescent="0.35">
      <c r="T21581" s="246">
        <f t="shared" si="375"/>
        <v>0</v>
      </c>
    </row>
    <row r="21582" spans="20:20" ht="18.75" customHeight="1" x14ac:dyDescent="0.35">
      <c r="T21582" s="246">
        <f t="shared" si="375"/>
        <v>0</v>
      </c>
    </row>
    <row r="21583" spans="20:20" ht="18.75" customHeight="1" x14ac:dyDescent="0.35">
      <c r="T21583" s="246">
        <f t="shared" si="375"/>
        <v>0</v>
      </c>
    </row>
    <row r="21584" spans="20:20" ht="18.75" customHeight="1" x14ac:dyDescent="0.35">
      <c r="T21584" s="246">
        <f t="shared" si="375"/>
        <v>0</v>
      </c>
    </row>
    <row r="21585" spans="20:20" ht="18.75" customHeight="1" x14ac:dyDescent="0.35">
      <c r="T21585" s="246">
        <f t="shared" si="375"/>
        <v>0</v>
      </c>
    </row>
    <row r="21586" spans="20:20" ht="18.75" customHeight="1" x14ac:dyDescent="0.35">
      <c r="T21586" s="246">
        <f t="shared" si="375"/>
        <v>0</v>
      </c>
    </row>
    <row r="21587" spans="20:20" ht="18.75" customHeight="1" x14ac:dyDescent="0.35">
      <c r="T21587" s="246">
        <f t="shared" si="375"/>
        <v>0</v>
      </c>
    </row>
    <row r="21588" spans="20:20" ht="18.75" customHeight="1" x14ac:dyDescent="0.35">
      <c r="T21588" s="246">
        <f t="shared" si="375"/>
        <v>0</v>
      </c>
    </row>
    <row r="21589" spans="20:20" ht="18.75" customHeight="1" x14ac:dyDescent="0.35">
      <c r="T21589" s="246">
        <f t="shared" si="375"/>
        <v>0</v>
      </c>
    </row>
    <row r="21590" spans="20:20" ht="18.75" customHeight="1" x14ac:dyDescent="0.35">
      <c r="T21590" s="246">
        <f t="shared" si="375"/>
        <v>0</v>
      </c>
    </row>
    <row r="21591" spans="20:20" ht="18.75" customHeight="1" x14ac:dyDescent="0.35">
      <c r="T21591" s="246">
        <f t="shared" si="375"/>
        <v>0</v>
      </c>
    </row>
    <row r="21592" spans="20:20" ht="18.75" customHeight="1" x14ac:dyDescent="0.35">
      <c r="T21592" s="246">
        <f t="shared" si="375"/>
        <v>0</v>
      </c>
    </row>
    <row r="21593" spans="20:20" ht="18.75" customHeight="1" x14ac:dyDescent="0.35">
      <c r="T21593" s="246">
        <f t="shared" si="375"/>
        <v>0</v>
      </c>
    </row>
    <row r="21594" spans="20:20" ht="18.75" customHeight="1" x14ac:dyDescent="0.35">
      <c r="T21594" s="246">
        <f t="shared" si="375"/>
        <v>0</v>
      </c>
    </row>
    <row r="21595" spans="20:20" ht="18.75" customHeight="1" x14ac:dyDescent="0.35">
      <c r="T21595" s="246">
        <f t="shared" si="375"/>
        <v>0</v>
      </c>
    </row>
    <row r="21596" spans="20:20" ht="18.75" customHeight="1" x14ac:dyDescent="0.35">
      <c r="T21596" s="246">
        <f t="shared" si="375"/>
        <v>0</v>
      </c>
    </row>
    <row r="21597" spans="20:20" ht="18.75" customHeight="1" x14ac:dyDescent="0.35">
      <c r="T21597" s="246">
        <f t="shared" si="375"/>
        <v>0</v>
      </c>
    </row>
    <row r="21598" spans="20:20" ht="18.75" customHeight="1" x14ac:dyDescent="0.35">
      <c r="T21598" s="246">
        <f t="shared" si="375"/>
        <v>0</v>
      </c>
    </row>
    <row r="21599" spans="20:20" ht="18.75" customHeight="1" x14ac:dyDescent="0.35">
      <c r="T21599" s="246">
        <f t="shared" si="375"/>
        <v>0</v>
      </c>
    </row>
    <row r="21600" spans="20:20" ht="18.75" customHeight="1" x14ac:dyDescent="0.35">
      <c r="T21600" s="246">
        <f t="shared" si="375"/>
        <v>0</v>
      </c>
    </row>
    <row r="21601" spans="20:20" ht="18.75" customHeight="1" x14ac:dyDescent="0.35">
      <c r="T21601" s="246">
        <f t="shared" si="375"/>
        <v>0</v>
      </c>
    </row>
    <row r="21602" spans="20:20" ht="18.75" customHeight="1" x14ac:dyDescent="0.35">
      <c r="T21602" s="246">
        <f t="shared" si="375"/>
        <v>0</v>
      </c>
    </row>
    <row r="21603" spans="20:20" ht="18.75" customHeight="1" x14ac:dyDescent="0.35">
      <c r="T21603" s="246">
        <f t="shared" si="375"/>
        <v>0</v>
      </c>
    </row>
    <row r="21604" spans="20:20" ht="18.75" customHeight="1" x14ac:dyDescent="0.35">
      <c r="T21604" s="246">
        <f t="shared" si="375"/>
        <v>0</v>
      </c>
    </row>
    <row r="21605" spans="20:20" ht="18.75" customHeight="1" x14ac:dyDescent="0.35">
      <c r="T21605" s="246">
        <f t="shared" si="375"/>
        <v>0</v>
      </c>
    </row>
    <row r="21606" spans="20:20" ht="18.75" customHeight="1" x14ac:dyDescent="0.35">
      <c r="T21606" s="246">
        <f t="shared" si="375"/>
        <v>0</v>
      </c>
    </row>
    <row r="21607" spans="20:20" ht="18.75" customHeight="1" x14ac:dyDescent="0.35">
      <c r="T21607" s="246">
        <f t="shared" si="375"/>
        <v>0</v>
      </c>
    </row>
    <row r="21608" spans="20:20" ht="18.75" customHeight="1" x14ac:dyDescent="0.35">
      <c r="T21608" s="246">
        <f t="shared" si="375"/>
        <v>0</v>
      </c>
    </row>
    <row r="21609" spans="20:20" ht="18.75" customHeight="1" x14ac:dyDescent="0.35">
      <c r="T21609" s="246">
        <f t="shared" si="375"/>
        <v>0</v>
      </c>
    </row>
    <row r="21610" spans="20:20" ht="18.75" customHeight="1" x14ac:dyDescent="0.35">
      <c r="T21610" s="246">
        <f t="shared" si="375"/>
        <v>0</v>
      </c>
    </row>
    <row r="21611" spans="20:20" ht="18.75" customHeight="1" x14ac:dyDescent="0.35">
      <c r="T21611" s="246">
        <f t="shared" si="375"/>
        <v>0</v>
      </c>
    </row>
    <row r="21612" spans="20:20" ht="18.75" customHeight="1" x14ac:dyDescent="0.35">
      <c r="T21612" s="246">
        <f t="shared" si="375"/>
        <v>0</v>
      </c>
    </row>
    <row r="21613" spans="20:20" ht="18.75" customHeight="1" x14ac:dyDescent="0.35">
      <c r="T21613" s="246">
        <f t="shared" si="375"/>
        <v>0</v>
      </c>
    </row>
    <row r="21614" spans="20:20" ht="18.75" customHeight="1" x14ac:dyDescent="0.35">
      <c r="T21614" s="246">
        <f t="shared" si="375"/>
        <v>0</v>
      </c>
    </row>
    <row r="21615" spans="20:20" ht="18.75" customHeight="1" x14ac:dyDescent="0.35">
      <c r="T21615" s="246">
        <f t="shared" si="375"/>
        <v>0</v>
      </c>
    </row>
    <row r="21616" spans="20:20" ht="18.75" customHeight="1" x14ac:dyDescent="0.35">
      <c r="T21616" s="246">
        <f t="shared" si="375"/>
        <v>0</v>
      </c>
    </row>
    <row r="21617" spans="20:20" ht="18.75" customHeight="1" x14ac:dyDescent="0.35">
      <c r="T21617" s="246">
        <f t="shared" si="375"/>
        <v>0</v>
      </c>
    </row>
    <row r="21618" spans="20:20" ht="18.75" customHeight="1" x14ac:dyDescent="0.35">
      <c r="T21618" s="246">
        <f t="shared" si="375"/>
        <v>0</v>
      </c>
    </row>
    <row r="21619" spans="20:20" ht="18.75" customHeight="1" x14ac:dyDescent="0.35">
      <c r="T21619" s="246">
        <f t="shared" si="375"/>
        <v>0</v>
      </c>
    </row>
    <row r="21620" spans="20:20" ht="18.75" customHeight="1" x14ac:dyDescent="0.35">
      <c r="T21620" s="246">
        <f t="shared" si="375"/>
        <v>0</v>
      </c>
    </row>
    <row r="21621" spans="20:20" ht="18.75" customHeight="1" x14ac:dyDescent="0.35">
      <c r="T21621" s="246">
        <f t="shared" si="375"/>
        <v>0</v>
      </c>
    </row>
    <row r="21622" spans="20:20" ht="18.75" customHeight="1" x14ac:dyDescent="0.35">
      <c r="T21622" s="246">
        <f t="shared" si="375"/>
        <v>0</v>
      </c>
    </row>
    <row r="21623" spans="20:20" ht="18.75" customHeight="1" x14ac:dyDescent="0.35">
      <c r="T21623" s="246">
        <f t="shared" si="375"/>
        <v>0</v>
      </c>
    </row>
    <row r="21624" spans="20:20" ht="18.75" customHeight="1" x14ac:dyDescent="0.35">
      <c r="T21624" s="246">
        <f t="shared" si="375"/>
        <v>0</v>
      </c>
    </row>
    <row r="21625" spans="20:20" ht="18.75" customHeight="1" x14ac:dyDescent="0.35">
      <c r="T21625" s="246">
        <f t="shared" si="375"/>
        <v>0</v>
      </c>
    </row>
    <row r="21626" spans="20:20" ht="18.75" customHeight="1" x14ac:dyDescent="0.35">
      <c r="T21626" s="246">
        <f t="shared" si="375"/>
        <v>0</v>
      </c>
    </row>
    <row r="21627" spans="20:20" ht="18.75" customHeight="1" x14ac:dyDescent="0.35">
      <c r="T21627" s="246">
        <f t="shared" si="375"/>
        <v>0</v>
      </c>
    </row>
    <row r="21628" spans="20:20" ht="18.75" customHeight="1" x14ac:dyDescent="0.35">
      <c r="T21628" s="246">
        <f t="shared" ref="T21628:T21691" si="376">R21628*0.01</f>
        <v>0</v>
      </c>
    </row>
    <row r="21629" spans="20:20" ht="18.75" customHeight="1" x14ac:dyDescent="0.35">
      <c r="T21629" s="246">
        <f t="shared" si="376"/>
        <v>0</v>
      </c>
    </row>
    <row r="21630" spans="20:20" ht="18.75" customHeight="1" x14ac:dyDescent="0.35">
      <c r="T21630" s="246">
        <f t="shared" si="376"/>
        <v>0</v>
      </c>
    </row>
    <row r="21631" spans="20:20" ht="18.75" customHeight="1" x14ac:dyDescent="0.35">
      <c r="T21631" s="246">
        <f t="shared" si="376"/>
        <v>0</v>
      </c>
    </row>
    <row r="21632" spans="20:20" ht="18.75" customHeight="1" x14ac:dyDescent="0.35">
      <c r="T21632" s="246">
        <f t="shared" si="376"/>
        <v>0</v>
      </c>
    </row>
    <row r="21633" spans="20:20" ht="18.75" customHeight="1" x14ac:dyDescent="0.35">
      <c r="T21633" s="246">
        <f t="shared" si="376"/>
        <v>0</v>
      </c>
    </row>
    <row r="21634" spans="20:20" ht="18.75" customHeight="1" x14ac:dyDescent="0.35">
      <c r="T21634" s="246">
        <f t="shared" si="376"/>
        <v>0</v>
      </c>
    </row>
    <row r="21635" spans="20:20" ht="18.75" customHeight="1" x14ac:dyDescent="0.35">
      <c r="T21635" s="246">
        <f t="shared" si="376"/>
        <v>0</v>
      </c>
    </row>
    <row r="21636" spans="20:20" ht="18.75" customHeight="1" x14ac:dyDescent="0.35">
      <c r="T21636" s="246">
        <f t="shared" si="376"/>
        <v>0</v>
      </c>
    </row>
    <row r="21637" spans="20:20" ht="18.75" customHeight="1" x14ac:dyDescent="0.35">
      <c r="T21637" s="246">
        <f t="shared" si="376"/>
        <v>0</v>
      </c>
    </row>
    <row r="21638" spans="20:20" ht="18.75" customHeight="1" x14ac:dyDescent="0.35">
      <c r="T21638" s="246">
        <f t="shared" si="376"/>
        <v>0</v>
      </c>
    </row>
    <row r="21639" spans="20:20" ht="18.75" customHeight="1" x14ac:dyDescent="0.35">
      <c r="T21639" s="246">
        <f t="shared" si="376"/>
        <v>0</v>
      </c>
    </row>
    <row r="21640" spans="20:20" ht="18.75" customHeight="1" x14ac:dyDescent="0.35">
      <c r="T21640" s="246">
        <f t="shared" si="376"/>
        <v>0</v>
      </c>
    </row>
    <row r="21641" spans="20:20" ht="18.75" customHeight="1" x14ac:dyDescent="0.35">
      <c r="T21641" s="246">
        <f t="shared" si="376"/>
        <v>0</v>
      </c>
    </row>
    <row r="21642" spans="20:20" ht="18.75" customHeight="1" x14ac:dyDescent="0.35">
      <c r="T21642" s="246">
        <f t="shared" si="376"/>
        <v>0</v>
      </c>
    </row>
    <row r="21643" spans="20:20" ht="18.75" customHeight="1" x14ac:dyDescent="0.35">
      <c r="T21643" s="246">
        <f t="shared" si="376"/>
        <v>0</v>
      </c>
    </row>
    <row r="21644" spans="20:20" ht="18.75" customHeight="1" x14ac:dyDescent="0.35">
      <c r="T21644" s="246">
        <f t="shared" si="376"/>
        <v>0</v>
      </c>
    </row>
    <row r="21645" spans="20:20" ht="18.75" customHeight="1" x14ac:dyDescent="0.35">
      <c r="T21645" s="246">
        <f t="shared" si="376"/>
        <v>0</v>
      </c>
    </row>
    <row r="21646" spans="20:20" ht="18.75" customHeight="1" x14ac:dyDescent="0.35">
      <c r="T21646" s="246">
        <f t="shared" si="376"/>
        <v>0</v>
      </c>
    </row>
    <row r="21647" spans="20:20" ht="18.75" customHeight="1" x14ac:dyDescent="0.35">
      <c r="T21647" s="246">
        <f t="shared" si="376"/>
        <v>0</v>
      </c>
    </row>
    <row r="21648" spans="20:20" ht="18.75" customHeight="1" x14ac:dyDescent="0.35">
      <c r="T21648" s="246">
        <f t="shared" si="376"/>
        <v>0</v>
      </c>
    </row>
    <row r="21649" spans="20:20" ht="18.75" customHeight="1" x14ac:dyDescent="0.35">
      <c r="T21649" s="246">
        <f t="shared" si="376"/>
        <v>0</v>
      </c>
    </row>
    <row r="21650" spans="20:20" ht="18.75" customHeight="1" x14ac:dyDescent="0.35">
      <c r="T21650" s="246">
        <f t="shared" si="376"/>
        <v>0</v>
      </c>
    </row>
    <row r="21651" spans="20:20" ht="18.75" customHeight="1" x14ac:dyDescent="0.35">
      <c r="T21651" s="246">
        <f t="shared" si="376"/>
        <v>0</v>
      </c>
    </row>
    <row r="21652" spans="20:20" ht="18.75" customHeight="1" x14ac:dyDescent="0.35">
      <c r="T21652" s="246">
        <f t="shared" si="376"/>
        <v>0</v>
      </c>
    </row>
    <row r="21653" spans="20:20" ht="18.75" customHeight="1" x14ac:dyDescent="0.35">
      <c r="T21653" s="246">
        <f t="shared" si="376"/>
        <v>0</v>
      </c>
    </row>
    <row r="21654" spans="20:20" ht="18.75" customHeight="1" x14ac:dyDescent="0.35">
      <c r="T21654" s="246">
        <f t="shared" si="376"/>
        <v>0</v>
      </c>
    </row>
    <row r="21655" spans="20:20" ht="18.75" customHeight="1" x14ac:dyDescent="0.35">
      <c r="T21655" s="246">
        <f t="shared" si="376"/>
        <v>0</v>
      </c>
    </row>
    <row r="21656" spans="20:20" ht="18.75" customHeight="1" x14ac:dyDescent="0.35">
      <c r="T21656" s="246">
        <f t="shared" si="376"/>
        <v>0</v>
      </c>
    </row>
    <row r="21657" spans="20:20" ht="18.75" customHeight="1" x14ac:dyDescent="0.35">
      <c r="T21657" s="246">
        <f t="shared" si="376"/>
        <v>0</v>
      </c>
    </row>
    <row r="21658" spans="20:20" ht="18.75" customHeight="1" x14ac:dyDescent="0.35">
      <c r="T21658" s="246">
        <f t="shared" si="376"/>
        <v>0</v>
      </c>
    </row>
    <row r="21659" spans="20:20" ht="18.75" customHeight="1" x14ac:dyDescent="0.35">
      <c r="T21659" s="246">
        <f t="shared" si="376"/>
        <v>0</v>
      </c>
    </row>
    <row r="21660" spans="20:20" ht="18.75" customHeight="1" x14ac:dyDescent="0.35">
      <c r="T21660" s="246">
        <f t="shared" si="376"/>
        <v>0</v>
      </c>
    </row>
    <row r="21661" spans="20:20" ht="18.75" customHeight="1" x14ac:dyDescent="0.35">
      <c r="T21661" s="246">
        <f t="shared" si="376"/>
        <v>0</v>
      </c>
    </row>
    <row r="21662" spans="20:20" ht="18.75" customHeight="1" x14ac:dyDescent="0.35">
      <c r="T21662" s="246">
        <f t="shared" si="376"/>
        <v>0</v>
      </c>
    </row>
    <row r="21663" spans="20:20" ht="18.75" customHeight="1" x14ac:dyDescent="0.35">
      <c r="T21663" s="246">
        <f t="shared" si="376"/>
        <v>0</v>
      </c>
    </row>
    <row r="21664" spans="20:20" ht="18.75" customHeight="1" x14ac:dyDescent="0.35">
      <c r="T21664" s="246">
        <f t="shared" si="376"/>
        <v>0</v>
      </c>
    </row>
    <row r="21665" spans="20:20" ht="18.75" customHeight="1" x14ac:dyDescent="0.35">
      <c r="T21665" s="246">
        <f t="shared" si="376"/>
        <v>0</v>
      </c>
    </row>
    <row r="21666" spans="20:20" ht="18.75" customHeight="1" x14ac:dyDescent="0.35">
      <c r="T21666" s="246">
        <f t="shared" si="376"/>
        <v>0</v>
      </c>
    </row>
    <row r="21667" spans="20:20" ht="18.75" customHeight="1" x14ac:dyDescent="0.35">
      <c r="T21667" s="246">
        <f t="shared" si="376"/>
        <v>0</v>
      </c>
    </row>
    <row r="21668" spans="20:20" ht="18.75" customHeight="1" x14ac:dyDescent="0.35">
      <c r="T21668" s="246">
        <f t="shared" si="376"/>
        <v>0</v>
      </c>
    </row>
    <row r="21669" spans="20:20" ht="18.75" customHeight="1" x14ac:dyDescent="0.35">
      <c r="T21669" s="246">
        <f t="shared" si="376"/>
        <v>0</v>
      </c>
    </row>
    <row r="21670" spans="20:20" ht="18.75" customHeight="1" x14ac:dyDescent="0.35">
      <c r="T21670" s="246">
        <f t="shared" si="376"/>
        <v>0</v>
      </c>
    </row>
    <row r="21671" spans="20:20" ht="18.75" customHeight="1" x14ac:dyDescent="0.35">
      <c r="T21671" s="246">
        <f t="shared" si="376"/>
        <v>0</v>
      </c>
    </row>
    <row r="21672" spans="20:20" ht="18.75" customHeight="1" x14ac:dyDescent="0.35">
      <c r="T21672" s="246">
        <f t="shared" si="376"/>
        <v>0</v>
      </c>
    </row>
    <row r="21673" spans="20:20" ht="18.75" customHeight="1" x14ac:dyDescent="0.35">
      <c r="T21673" s="246">
        <f t="shared" si="376"/>
        <v>0</v>
      </c>
    </row>
    <row r="21674" spans="20:20" ht="18.75" customHeight="1" x14ac:dyDescent="0.35">
      <c r="T21674" s="246">
        <f t="shared" si="376"/>
        <v>0</v>
      </c>
    </row>
    <row r="21675" spans="20:20" ht="18.75" customHeight="1" x14ac:dyDescent="0.35">
      <c r="T21675" s="246">
        <f t="shared" si="376"/>
        <v>0</v>
      </c>
    </row>
    <row r="21676" spans="20:20" ht="18.75" customHeight="1" x14ac:dyDescent="0.35">
      <c r="T21676" s="246">
        <f t="shared" si="376"/>
        <v>0</v>
      </c>
    </row>
    <row r="21677" spans="20:20" ht="18.75" customHeight="1" x14ac:dyDescent="0.35">
      <c r="T21677" s="246">
        <f t="shared" si="376"/>
        <v>0</v>
      </c>
    </row>
    <row r="21678" spans="20:20" ht="18.75" customHeight="1" x14ac:dyDescent="0.35">
      <c r="T21678" s="246">
        <f t="shared" si="376"/>
        <v>0</v>
      </c>
    </row>
    <row r="21679" spans="20:20" ht="18.75" customHeight="1" x14ac:dyDescent="0.35">
      <c r="T21679" s="246">
        <f t="shared" si="376"/>
        <v>0</v>
      </c>
    </row>
    <row r="21680" spans="20:20" ht="18.75" customHeight="1" x14ac:dyDescent="0.35">
      <c r="T21680" s="246">
        <f t="shared" si="376"/>
        <v>0</v>
      </c>
    </row>
    <row r="21681" spans="20:20" ht="18.75" customHeight="1" x14ac:dyDescent="0.35">
      <c r="T21681" s="246">
        <f t="shared" si="376"/>
        <v>0</v>
      </c>
    </row>
    <row r="21682" spans="20:20" ht="18.75" customHeight="1" x14ac:dyDescent="0.35">
      <c r="T21682" s="246">
        <f t="shared" si="376"/>
        <v>0</v>
      </c>
    </row>
    <row r="21683" spans="20:20" ht="18.75" customHeight="1" x14ac:dyDescent="0.35">
      <c r="T21683" s="246">
        <f t="shared" si="376"/>
        <v>0</v>
      </c>
    </row>
    <row r="21684" spans="20:20" ht="18.75" customHeight="1" x14ac:dyDescent="0.35">
      <c r="T21684" s="246">
        <f t="shared" si="376"/>
        <v>0</v>
      </c>
    </row>
    <row r="21685" spans="20:20" ht="18.75" customHeight="1" x14ac:dyDescent="0.35">
      <c r="T21685" s="246">
        <f t="shared" si="376"/>
        <v>0</v>
      </c>
    </row>
    <row r="21686" spans="20:20" ht="18.75" customHeight="1" x14ac:dyDescent="0.35">
      <c r="T21686" s="246">
        <f t="shared" si="376"/>
        <v>0</v>
      </c>
    </row>
    <row r="21687" spans="20:20" ht="18.75" customHeight="1" x14ac:dyDescent="0.35">
      <c r="T21687" s="246">
        <f t="shared" si="376"/>
        <v>0</v>
      </c>
    </row>
    <row r="21688" spans="20:20" ht="18.75" customHeight="1" x14ac:dyDescent="0.35">
      <c r="T21688" s="246">
        <f t="shared" si="376"/>
        <v>0</v>
      </c>
    </row>
    <row r="21689" spans="20:20" ht="18.75" customHeight="1" x14ac:dyDescent="0.35">
      <c r="T21689" s="246">
        <f t="shared" si="376"/>
        <v>0</v>
      </c>
    </row>
    <row r="21690" spans="20:20" ht="18.75" customHeight="1" x14ac:dyDescent="0.35">
      <c r="T21690" s="246">
        <f t="shared" si="376"/>
        <v>0</v>
      </c>
    </row>
    <row r="21691" spans="20:20" ht="18.75" customHeight="1" x14ac:dyDescent="0.35">
      <c r="T21691" s="246">
        <f t="shared" si="376"/>
        <v>0</v>
      </c>
    </row>
    <row r="21692" spans="20:20" ht="18.75" customHeight="1" x14ac:dyDescent="0.35">
      <c r="T21692" s="246">
        <f t="shared" ref="T21692:T21755" si="377">R21692*0.01</f>
        <v>0</v>
      </c>
    </row>
    <row r="21693" spans="20:20" ht="18.75" customHeight="1" x14ac:dyDescent="0.35">
      <c r="T21693" s="246">
        <f t="shared" si="377"/>
        <v>0</v>
      </c>
    </row>
    <row r="21694" spans="20:20" ht="18.75" customHeight="1" x14ac:dyDescent="0.35">
      <c r="T21694" s="246">
        <f t="shared" si="377"/>
        <v>0</v>
      </c>
    </row>
    <row r="21695" spans="20:20" ht="18.75" customHeight="1" x14ac:dyDescent="0.35">
      <c r="T21695" s="246">
        <f t="shared" si="377"/>
        <v>0</v>
      </c>
    </row>
    <row r="21696" spans="20:20" ht="18.75" customHeight="1" x14ac:dyDescent="0.35">
      <c r="T21696" s="246">
        <f t="shared" si="377"/>
        <v>0</v>
      </c>
    </row>
    <row r="21697" spans="20:20" ht="18.75" customHeight="1" x14ac:dyDescent="0.35">
      <c r="T21697" s="246">
        <f t="shared" si="377"/>
        <v>0</v>
      </c>
    </row>
    <row r="21698" spans="20:20" ht="18.75" customHeight="1" x14ac:dyDescent="0.35">
      <c r="T21698" s="246">
        <f t="shared" si="377"/>
        <v>0</v>
      </c>
    </row>
    <row r="21699" spans="20:20" ht="18.75" customHeight="1" x14ac:dyDescent="0.35">
      <c r="T21699" s="246">
        <f t="shared" si="377"/>
        <v>0</v>
      </c>
    </row>
    <row r="21700" spans="20:20" ht="18.75" customHeight="1" x14ac:dyDescent="0.35">
      <c r="T21700" s="246">
        <f t="shared" si="377"/>
        <v>0</v>
      </c>
    </row>
    <row r="21701" spans="20:20" ht="18.75" customHeight="1" x14ac:dyDescent="0.35">
      <c r="T21701" s="246">
        <f t="shared" si="377"/>
        <v>0</v>
      </c>
    </row>
    <row r="21702" spans="20:20" ht="18.75" customHeight="1" x14ac:dyDescent="0.35">
      <c r="T21702" s="246">
        <f t="shared" si="377"/>
        <v>0</v>
      </c>
    </row>
    <row r="21703" spans="20:20" ht="18.75" customHeight="1" x14ac:dyDescent="0.35">
      <c r="T21703" s="246">
        <f t="shared" si="377"/>
        <v>0</v>
      </c>
    </row>
    <row r="21704" spans="20:20" ht="18.75" customHeight="1" x14ac:dyDescent="0.35">
      <c r="T21704" s="246">
        <f t="shared" si="377"/>
        <v>0</v>
      </c>
    </row>
    <row r="21705" spans="20:20" ht="18.75" customHeight="1" x14ac:dyDescent="0.35">
      <c r="T21705" s="246">
        <f t="shared" si="377"/>
        <v>0</v>
      </c>
    </row>
    <row r="21706" spans="20:20" ht="18.75" customHeight="1" x14ac:dyDescent="0.35">
      <c r="T21706" s="246">
        <f t="shared" si="377"/>
        <v>0</v>
      </c>
    </row>
    <row r="21707" spans="20:20" ht="18.75" customHeight="1" x14ac:dyDescent="0.35">
      <c r="T21707" s="246">
        <f t="shared" si="377"/>
        <v>0</v>
      </c>
    </row>
    <row r="21708" spans="20:20" ht="18.75" customHeight="1" x14ac:dyDescent="0.35">
      <c r="T21708" s="246">
        <f t="shared" si="377"/>
        <v>0</v>
      </c>
    </row>
    <row r="21709" spans="20:20" ht="18.75" customHeight="1" x14ac:dyDescent="0.35">
      <c r="T21709" s="246">
        <f t="shared" si="377"/>
        <v>0</v>
      </c>
    </row>
    <row r="21710" spans="20:20" ht="18.75" customHeight="1" x14ac:dyDescent="0.35">
      <c r="T21710" s="246">
        <f t="shared" si="377"/>
        <v>0</v>
      </c>
    </row>
    <row r="21711" spans="20:20" ht="18.75" customHeight="1" x14ac:dyDescent="0.35">
      <c r="T21711" s="246">
        <f t="shared" si="377"/>
        <v>0</v>
      </c>
    </row>
    <row r="21712" spans="20:20" ht="18.75" customHeight="1" x14ac:dyDescent="0.35">
      <c r="T21712" s="246">
        <f t="shared" si="377"/>
        <v>0</v>
      </c>
    </row>
    <row r="21713" spans="20:20" ht="18.75" customHeight="1" x14ac:dyDescent="0.35">
      <c r="T21713" s="246">
        <f t="shared" si="377"/>
        <v>0</v>
      </c>
    </row>
    <row r="21714" spans="20:20" ht="18.75" customHeight="1" x14ac:dyDescent="0.35">
      <c r="T21714" s="246">
        <f t="shared" si="377"/>
        <v>0</v>
      </c>
    </row>
    <row r="21715" spans="20:20" ht="18.75" customHeight="1" x14ac:dyDescent="0.35">
      <c r="T21715" s="246">
        <f t="shared" si="377"/>
        <v>0</v>
      </c>
    </row>
    <row r="21716" spans="20:20" ht="18.75" customHeight="1" x14ac:dyDescent="0.35">
      <c r="T21716" s="246">
        <f t="shared" si="377"/>
        <v>0</v>
      </c>
    </row>
    <row r="21717" spans="20:20" ht="18.75" customHeight="1" x14ac:dyDescent="0.35">
      <c r="T21717" s="246">
        <f t="shared" si="377"/>
        <v>0</v>
      </c>
    </row>
    <row r="21718" spans="20:20" ht="18.75" customHeight="1" x14ac:dyDescent="0.35">
      <c r="T21718" s="246">
        <f t="shared" si="377"/>
        <v>0</v>
      </c>
    </row>
    <row r="21719" spans="20:20" ht="18.75" customHeight="1" x14ac:dyDescent="0.35">
      <c r="T21719" s="246">
        <f t="shared" si="377"/>
        <v>0</v>
      </c>
    </row>
    <row r="21720" spans="20:20" ht="18.75" customHeight="1" x14ac:dyDescent="0.35">
      <c r="T21720" s="246">
        <f t="shared" si="377"/>
        <v>0</v>
      </c>
    </row>
    <row r="21721" spans="20:20" ht="18.75" customHeight="1" x14ac:dyDescent="0.35">
      <c r="T21721" s="246">
        <f t="shared" si="377"/>
        <v>0</v>
      </c>
    </row>
    <row r="21722" spans="20:20" ht="18.75" customHeight="1" x14ac:dyDescent="0.35">
      <c r="T21722" s="246">
        <f t="shared" si="377"/>
        <v>0</v>
      </c>
    </row>
    <row r="21723" spans="20:20" ht="18.75" customHeight="1" x14ac:dyDescent="0.35">
      <c r="T21723" s="246">
        <f t="shared" si="377"/>
        <v>0</v>
      </c>
    </row>
    <row r="21724" spans="20:20" ht="18.75" customHeight="1" x14ac:dyDescent="0.35">
      <c r="T21724" s="246">
        <f t="shared" si="377"/>
        <v>0</v>
      </c>
    </row>
    <row r="21725" spans="20:20" ht="18.75" customHeight="1" x14ac:dyDescent="0.35">
      <c r="T21725" s="246">
        <f t="shared" si="377"/>
        <v>0</v>
      </c>
    </row>
    <row r="21726" spans="20:20" ht="18.75" customHeight="1" x14ac:dyDescent="0.35">
      <c r="T21726" s="246">
        <f t="shared" si="377"/>
        <v>0</v>
      </c>
    </row>
    <row r="21727" spans="20:20" ht="18.75" customHeight="1" x14ac:dyDescent="0.35">
      <c r="T21727" s="246">
        <f t="shared" si="377"/>
        <v>0</v>
      </c>
    </row>
    <row r="21728" spans="20:20" ht="18.75" customHeight="1" x14ac:dyDescent="0.35">
      <c r="T21728" s="246">
        <f t="shared" si="377"/>
        <v>0</v>
      </c>
    </row>
    <row r="21729" spans="20:20" ht="18.75" customHeight="1" x14ac:dyDescent="0.35">
      <c r="T21729" s="246">
        <f t="shared" si="377"/>
        <v>0</v>
      </c>
    </row>
    <row r="21730" spans="20:20" ht="18.75" customHeight="1" x14ac:dyDescent="0.35">
      <c r="T21730" s="246">
        <f t="shared" si="377"/>
        <v>0</v>
      </c>
    </row>
    <row r="21731" spans="20:20" ht="18.75" customHeight="1" x14ac:dyDescent="0.35">
      <c r="T21731" s="246">
        <f t="shared" si="377"/>
        <v>0</v>
      </c>
    </row>
    <row r="21732" spans="20:20" ht="18.75" customHeight="1" x14ac:dyDescent="0.35">
      <c r="T21732" s="246">
        <f t="shared" si="377"/>
        <v>0</v>
      </c>
    </row>
    <row r="21733" spans="20:20" ht="18.75" customHeight="1" x14ac:dyDescent="0.35">
      <c r="T21733" s="246">
        <f t="shared" si="377"/>
        <v>0</v>
      </c>
    </row>
    <row r="21734" spans="20:20" ht="18.75" customHeight="1" x14ac:dyDescent="0.35">
      <c r="T21734" s="246">
        <f t="shared" si="377"/>
        <v>0</v>
      </c>
    </row>
    <row r="21735" spans="20:20" ht="18.75" customHeight="1" x14ac:dyDescent="0.35">
      <c r="T21735" s="246">
        <f t="shared" si="377"/>
        <v>0</v>
      </c>
    </row>
    <row r="21736" spans="20:20" ht="18.75" customHeight="1" x14ac:dyDescent="0.35">
      <c r="T21736" s="246">
        <f t="shared" si="377"/>
        <v>0</v>
      </c>
    </row>
    <row r="21737" spans="20:20" ht="18.75" customHeight="1" x14ac:dyDescent="0.35">
      <c r="T21737" s="246">
        <f t="shared" si="377"/>
        <v>0</v>
      </c>
    </row>
    <row r="21738" spans="20:20" ht="18.75" customHeight="1" x14ac:dyDescent="0.35">
      <c r="T21738" s="246">
        <f t="shared" si="377"/>
        <v>0</v>
      </c>
    </row>
    <row r="21739" spans="20:20" ht="18.75" customHeight="1" x14ac:dyDescent="0.35">
      <c r="T21739" s="246">
        <f t="shared" si="377"/>
        <v>0</v>
      </c>
    </row>
    <row r="21740" spans="20:20" ht="18.75" customHeight="1" x14ac:dyDescent="0.35">
      <c r="T21740" s="246">
        <f t="shared" si="377"/>
        <v>0</v>
      </c>
    </row>
    <row r="21741" spans="20:20" ht="18.75" customHeight="1" x14ac:dyDescent="0.35">
      <c r="T21741" s="246">
        <f t="shared" si="377"/>
        <v>0</v>
      </c>
    </row>
    <row r="21742" spans="20:20" ht="18.75" customHeight="1" x14ac:dyDescent="0.35">
      <c r="T21742" s="246">
        <f t="shared" si="377"/>
        <v>0</v>
      </c>
    </row>
    <row r="21743" spans="20:20" ht="18.75" customHeight="1" x14ac:dyDescent="0.35">
      <c r="T21743" s="246">
        <f t="shared" si="377"/>
        <v>0</v>
      </c>
    </row>
    <row r="21744" spans="20:20" ht="18.75" customHeight="1" x14ac:dyDescent="0.35">
      <c r="T21744" s="246">
        <f t="shared" si="377"/>
        <v>0</v>
      </c>
    </row>
    <row r="21745" spans="20:20" ht="18.75" customHeight="1" x14ac:dyDescent="0.35">
      <c r="T21745" s="246">
        <f t="shared" si="377"/>
        <v>0</v>
      </c>
    </row>
    <row r="21746" spans="20:20" ht="18.75" customHeight="1" x14ac:dyDescent="0.35">
      <c r="T21746" s="246">
        <f t="shared" si="377"/>
        <v>0</v>
      </c>
    </row>
    <row r="21747" spans="20:20" ht="18.75" customHeight="1" x14ac:dyDescent="0.35">
      <c r="T21747" s="246">
        <f t="shared" si="377"/>
        <v>0</v>
      </c>
    </row>
    <row r="21748" spans="20:20" ht="18.75" customHeight="1" x14ac:dyDescent="0.35">
      <c r="T21748" s="246">
        <f t="shared" si="377"/>
        <v>0</v>
      </c>
    </row>
    <row r="21749" spans="20:20" ht="18.75" customHeight="1" x14ac:dyDescent="0.35">
      <c r="T21749" s="246">
        <f t="shared" si="377"/>
        <v>0</v>
      </c>
    </row>
    <row r="21750" spans="20:20" ht="18.75" customHeight="1" x14ac:dyDescent="0.35">
      <c r="T21750" s="246">
        <f t="shared" si="377"/>
        <v>0</v>
      </c>
    </row>
    <row r="21751" spans="20:20" ht="18.75" customHeight="1" x14ac:dyDescent="0.35">
      <c r="T21751" s="246">
        <f t="shared" si="377"/>
        <v>0</v>
      </c>
    </row>
    <row r="21752" spans="20:20" ht="18.75" customHeight="1" x14ac:dyDescent="0.35">
      <c r="T21752" s="246">
        <f t="shared" si="377"/>
        <v>0</v>
      </c>
    </row>
    <row r="21753" spans="20:20" ht="18.75" customHeight="1" x14ac:dyDescent="0.35">
      <c r="T21753" s="246">
        <f t="shared" si="377"/>
        <v>0</v>
      </c>
    </row>
    <row r="21754" spans="20:20" ht="18.75" customHeight="1" x14ac:dyDescent="0.35">
      <c r="T21754" s="246">
        <f t="shared" si="377"/>
        <v>0</v>
      </c>
    </row>
    <row r="21755" spans="20:20" ht="18.75" customHeight="1" x14ac:dyDescent="0.35">
      <c r="T21755" s="246">
        <f t="shared" si="377"/>
        <v>0</v>
      </c>
    </row>
    <row r="21756" spans="20:20" ht="18.75" customHeight="1" x14ac:dyDescent="0.35">
      <c r="T21756" s="246">
        <f t="shared" ref="T21756:T21819" si="378">R21756*0.01</f>
        <v>0</v>
      </c>
    </row>
    <row r="21757" spans="20:20" ht="18.75" customHeight="1" x14ac:dyDescent="0.35">
      <c r="T21757" s="246">
        <f t="shared" si="378"/>
        <v>0</v>
      </c>
    </row>
    <row r="21758" spans="20:20" ht="18.75" customHeight="1" x14ac:dyDescent="0.35">
      <c r="T21758" s="246">
        <f t="shared" si="378"/>
        <v>0</v>
      </c>
    </row>
    <row r="21759" spans="20:20" ht="18.75" customHeight="1" x14ac:dyDescent="0.35">
      <c r="T21759" s="246">
        <f t="shared" si="378"/>
        <v>0</v>
      </c>
    </row>
    <row r="21760" spans="20:20" ht="18.75" customHeight="1" x14ac:dyDescent="0.35">
      <c r="T21760" s="246">
        <f t="shared" si="378"/>
        <v>0</v>
      </c>
    </row>
    <row r="21761" spans="20:20" ht="18.75" customHeight="1" x14ac:dyDescent="0.35">
      <c r="T21761" s="246">
        <f t="shared" si="378"/>
        <v>0</v>
      </c>
    </row>
    <row r="21762" spans="20:20" ht="18.75" customHeight="1" x14ac:dyDescent="0.35">
      <c r="T21762" s="246">
        <f t="shared" si="378"/>
        <v>0</v>
      </c>
    </row>
    <row r="21763" spans="20:20" ht="18.75" customHeight="1" x14ac:dyDescent="0.35">
      <c r="T21763" s="246">
        <f t="shared" si="378"/>
        <v>0</v>
      </c>
    </row>
    <row r="21764" spans="20:20" ht="18.75" customHeight="1" x14ac:dyDescent="0.35">
      <c r="T21764" s="246">
        <f t="shared" si="378"/>
        <v>0</v>
      </c>
    </row>
    <row r="21765" spans="20:20" ht="18.75" customHeight="1" x14ac:dyDescent="0.35">
      <c r="T21765" s="246">
        <f t="shared" si="378"/>
        <v>0</v>
      </c>
    </row>
    <row r="21766" spans="20:20" ht="18.75" customHeight="1" x14ac:dyDescent="0.35">
      <c r="T21766" s="246">
        <f t="shared" si="378"/>
        <v>0</v>
      </c>
    </row>
    <row r="21767" spans="20:20" ht="18.75" customHeight="1" x14ac:dyDescent="0.35">
      <c r="T21767" s="246">
        <f t="shared" si="378"/>
        <v>0</v>
      </c>
    </row>
    <row r="21768" spans="20:20" ht="18.75" customHeight="1" x14ac:dyDescent="0.35">
      <c r="T21768" s="246">
        <f t="shared" si="378"/>
        <v>0</v>
      </c>
    </row>
    <row r="21769" spans="20:20" ht="18.75" customHeight="1" x14ac:dyDescent="0.35">
      <c r="T21769" s="246">
        <f t="shared" si="378"/>
        <v>0</v>
      </c>
    </row>
    <row r="21770" spans="20:20" ht="18.75" customHeight="1" x14ac:dyDescent="0.35">
      <c r="T21770" s="246">
        <f t="shared" si="378"/>
        <v>0</v>
      </c>
    </row>
    <row r="21771" spans="20:20" ht="18.75" customHeight="1" x14ac:dyDescent="0.35">
      <c r="T21771" s="246">
        <f t="shared" si="378"/>
        <v>0</v>
      </c>
    </row>
    <row r="21772" spans="20:20" ht="18.75" customHeight="1" x14ac:dyDescent="0.35">
      <c r="T21772" s="246">
        <f t="shared" si="378"/>
        <v>0</v>
      </c>
    </row>
    <row r="21773" spans="20:20" ht="18.75" customHeight="1" x14ac:dyDescent="0.35">
      <c r="T21773" s="246">
        <f t="shared" si="378"/>
        <v>0</v>
      </c>
    </row>
    <row r="21774" spans="20:20" ht="18.75" customHeight="1" x14ac:dyDescent="0.35">
      <c r="T21774" s="246">
        <f t="shared" si="378"/>
        <v>0</v>
      </c>
    </row>
    <row r="21775" spans="20:20" ht="18.75" customHeight="1" x14ac:dyDescent="0.35">
      <c r="T21775" s="246">
        <f t="shared" si="378"/>
        <v>0</v>
      </c>
    </row>
    <row r="21776" spans="20:20" ht="18.75" customHeight="1" x14ac:dyDescent="0.35">
      <c r="T21776" s="246">
        <f t="shared" si="378"/>
        <v>0</v>
      </c>
    </row>
    <row r="21777" spans="20:20" ht="18.75" customHeight="1" x14ac:dyDescent="0.35">
      <c r="T21777" s="246">
        <f t="shared" si="378"/>
        <v>0</v>
      </c>
    </row>
    <row r="21778" spans="20:20" ht="18.75" customHeight="1" x14ac:dyDescent="0.35">
      <c r="T21778" s="246">
        <f t="shared" si="378"/>
        <v>0</v>
      </c>
    </row>
    <row r="21779" spans="20:20" ht="18.75" customHeight="1" x14ac:dyDescent="0.35">
      <c r="T21779" s="246">
        <f t="shared" si="378"/>
        <v>0</v>
      </c>
    </row>
    <row r="21780" spans="20:20" ht="18.75" customHeight="1" x14ac:dyDescent="0.35">
      <c r="T21780" s="246">
        <f t="shared" si="378"/>
        <v>0</v>
      </c>
    </row>
    <row r="21781" spans="20:20" ht="18.75" customHeight="1" x14ac:dyDescent="0.35">
      <c r="T21781" s="246">
        <f t="shared" si="378"/>
        <v>0</v>
      </c>
    </row>
    <row r="21782" spans="20:20" ht="18.75" customHeight="1" x14ac:dyDescent="0.35">
      <c r="T21782" s="246">
        <f t="shared" si="378"/>
        <v>0</v>
      </c>
    </row>
    <row r="21783" spans="20:20" ht="18.75" customHeight="1" x14ac:dyDescent="0.35">
      <c r="T21783" s="246">
        <f t="shared" si="378"/>
        <v>0</v>
      </c>
    </row>
    <row r="21784" spans="20:20" ht="18.75" customHeight="1" x14ac:dyDescent="0.35">
      <c r="T21784" s="246">
        <f t="shared" si="378"/>
        <v>0</v>
      </c>
    </row>
    <row r="21785" spans="20:20" ht="18.75" customHeight="1" x14ac:dyDescent="0.35">
      <c r="T21785" s="246">
        <f t="shared" si="378"/>
        <v>0</v>
      </c>
    </row>
    <row r="21786" spans="20:20" ht="18.75" customHeight="1" x14ac:dyDescent="0.35">
      <c r="T21786" s="246">
        <f t="shared" si="378"/>
        <v>0</v>
      </c>
    </row>
    <row r="21787" spans="20:20" ht="18.75" customHeight="1" x14ac:dyDescent="0.35">
      <c r="T21787" s="246">
        <f t="shared" si="378"/>
        <v>0</v>
      </c>
    </row>
    <row r="21788" spans="20:20" ht="18.75" customHeight="1" x14ac:dyDescent="0.35">
      <c r="T21788" s="246">
        <f t="shared" si="378"/>
        <v>0</v>
      </c>
    </row>
    <row r="21789" spans="20:20" ht="18.75" customHeight="1" x14ac:dyDescent="0.35">
      <c r="T21789" s="246">
        <f t="shared" si="378"/>
        <v>0</v>
      </c>
    </row>
    <row r="21790" spans="20:20" ht="18.75" customHeight="1" x14ac:dyDescent="0.35">
      <c r="T21790" s="246">
        <f t="shared" si="378"/>
        <v>0</v>
      </c>
    </row>
    <row r="21791" spans="20:20" ht="18.75" customHeight="1" x14ac:dyDescent="0.35">
      <c r="T21791" s="246">
        <f t="shared" si="378"/>
        <v>0</v>
      </c>
    </row>
    <row r="21792" spans="20:20" ht="18.75" customHeight="1" x14ac:dyDescent="0.35">
      <c r="T21792" s="246">
        <f t="shared" si="378"/>
        <v>0</v>
      </c>
    </row>
    <row r="21793" spans="20:20" ht="18.75" customHeight="1" x14ac:dyDescent="0.35">
      <c r="T21793" s="246">
        <f t="shared" si="378"/>
        <v>0</v>
      </c>
    </row>
    <row r="21794" spans="20:20" ht="18.75" customHeight="1" x14ac:dyDescent="0.35">
      <c r="T21794" s="246">
        <f t="shared" si="378"/>
        <v>0</v>
      </c>
    </row>
    <row r="21795" spans="20:20" ht="18.75" customHeight="1" x14ac:dyDescent="0.35">
      <c r="T21795" s="246">
        <f t="shared" si="378"/>
        <v>0</v>
      </c>
    </row>
    <row r="21796" spans="20:20" ht="18.75" customHeight="1" x14ac:dyDescent="0.35">
      <c r="T21796" s="246">
        <f t="shared" si="378"/>
        <v>0</v>
      </c>
    </row>
    <row r="21797" spans="20:20" ht="18.75" customHeight="1" x14ac:dyDescent="0.35">
      <c r="T21797" s="246">
        <f t="shared" si="378"/>
        <v>0</v>
      </c>
    </row>
    <row r="21798" spans="20:20" ht="18.75" customHeight="1" x14ac:dyDescent="0.35">
      <c r="T21798" s="246">
        <f t="shared" si="378"/>
        <v>0</v>
      </c>
    </row>
    <row r="21799" spans="20:20" ht="18.75" customHeight="1" x14ac:dyDescent="0.35">
      <c r="T21799" s="246">
        <f t="shared" si="378"/>
        <v>0</v>
      </c>
    </row>
    <row r="21800" spans="20:20" ht="18.75" customHeight="1" x14ac:dyDescent="0.35">
      <c r="T21800" s="246">
        <f t="shared" si="378"/>
        <v>0</v>
      </c>
    </row>
    <row r="21801" spans="20:20" ht="18.75" customHeight="1" x14ac:dyDescent="0.35">
      <c r="T21801" s="246">
        <f t="shared" si="378"/>
        <v>0</v>
      </c>
    </row>
    <row r="21802" spans="20:20" ht="18.75" customHeight="1" x14ac:dyDescent="0.35">
      <c r="T21802" s="246">
        <f t="shared" si="378"/>
        <v>0</v>
      </c>
    </row>
    <row r="21803" spans="20:20" ht="18.75" customHeight="1" x14ac:dyDescent="0.35">
      <c r="T21803" s="246">
        <f t="shared" si="378"/>
        <v>0</v>
      </c>
    </row>
    <row r="21804" spans="20:20" ht="18.75" customHeight="1" x14ac:dyDescent="0.35">
      <c r="T21804" s="246">
        <f t="shared" si="378"/>
        <v>0</v>
      </c>
    </row>
    <row r="21805" spans="20:20" ht="18.75" customHeight="1" x14ac:dyDescent="0.35">
      <c r="T21805" s="246">
        <f t="shared" si="378"/>
        <v>0</v>
      </c>
    </row>
    <row r="21806" spans="20:20" ht="18.75" customHeight="1" x14ac:dyDescent="0.35">
      <c r="T21806" s="246">
        <f t="shared" si="378"/>
        <v>0</v>
      </c>
    </row>
    <row r="21807" spans="20:20" ht="18.75" customHeight="1" x14ac:dyDescent="0.35">
      <c r="T21807" s="246">
        <f t="shared" si="378"/>
        <v>0</v>
      </c>
    </row>
    <row r="21808" spans="20:20" ht="18.75" customHeight="1" x14ac:dyDescent="0.35">
      <c r="T21808" s="246">
        <f t="shared" si="378"/>
        <v>0</v>
      </c>
    </row>
    <row r="21809" spans="20:20" ht="18.75" customHeight="1" x14ac:dyDescent="0.35">
      <c r="T21809" s="246">
        <f t="shared" si="378"/>
        <v>0</v>
      </c>
    </row>
    <row r="21810" spans="20:20" ht="18.75" customHeight="1" x14ac:dyDescent="0.35">
      <c r="T21810" s="246">
        <f t="shared" si="378"/>
        <v>0</v>
      </c>
    </row>
    <row r="21811" spans="20:20" ht="18.75" customHeight="1" x14ac:dyDescent="0.35">
      <c r="T21811" s="246">
        <f t="shared" si="378"/>
        <v>0</v>
      </c>
    </row>
    <row r="21812" spans="20:20" ht="18.75" customHeight="1" x14ac:dyDescent="0.35">
      <c r="T21812" s="246">
        <f t="shared" si="378"/>
        <v>0</v>
      </c>
    </row>
    <row r="21813" spans="20:20" ht="18.75" customHeight="1" x14ac:dyDescent="0.35">
      <c r="T21813" s="246">
        <f t="shared" si="378"/>
        <v>0</v>
      </c>
    </row>
    <row r="21814" spans="20:20" ht="18.75" customHeight="1" x14ac:dyDescent="0.35">
      <c r="T21814" s="246">
        <f t="shared" si="378"/>
        <v>0</v>
      </c>
    </row>
    <row r="21815" spans="20:20" ht="18.75" customHeight="1" x14ac:dyDescent="0.35">
      <c r="T21815" s="246">
        <f t="shared" si="378"/>
        <v>0</v>
      </c>
    </row>
    <row r="21816" spans="20:20" ht="18.75" customHeight="1" x14ac:dyDescent="0.35">
      <c r="T21816" s="246">
        <f t="shared" si="378"/>
        <v>0</v>
      </c>
    </row>
    <row r="21817" spans="20:20" ht="18.75" customHeight="1" x14ac:dyDescent="0.35">
      <c r="T21817" s="246">
        <f t="shared" si="378"/>
        <v>0</v>
      </c>
    </row>
    <row r="21818" spans="20:20" ht="18.75" customHeight="1" x14ac:dyDescent="0.35">
      <c r="T21818" s="246">
        <f t="shared" si="378"/>
        <v>0</v>
      </c>
    </row>
    <row r="21819" spans="20:20" ht="18.75" customHeight="1" x14ac:dyDescent="0.35">
      <c r="T21819" s="246">
        <f t="shared" si="378"/>
        <v>0</v>
      </c>
    </row>
    <row r="21820" spans="20:20" ht="18.75" customHeight="1" x14ac:dyDescent="0.35">
      <c r="T21820" s="246">
        <f t="shared" ref="T21820:T21883" si="379">R21820*0.01</f>
        <v>0</v>
      </c>
    </row>
    <row r="21821" spans="20:20" ht="18.75" customHeight="1" x14ac:dyDescent="0.35">
      <c r="T21821" s="246">
        <f t="shared" si="379"/>
        <v>0</v>
      </c>
    </row>
    <row r="21822" spans="20:20" ht="18.75" customHeight="1" x14ac:dyDescent="0.35">
      <c r="T21822" s="246">
        <f t="shared" si="379"/>
        <v>0</v>
      </c>
    </row>
    <row r="21823" spans="20:20" ht="18.75" customHeight="1" x14ac:dyDescent="0.35">
      <c r="T21823" s="246">
        <f t="shared" si="379"/>
        <v>0</v>
      </c>
    </row>
    <row r="21824" spans="20:20" ht="18.75" customHeight="1" x14ac:dyDescent="0.35">
      <c r="T21824" s="246">
        <f t="shared" si="379"/>
        <v>0</v>
      </c>
    </row>
    <row r="21825" spans="20:20" ht="18.75" customHeight="1" x14ac:dyDescent="0.35">
      <c r="T21825" s="246">
        <f t="shared" si="379"/>
        <v>0</v>
      </c>
    </row>
    <row r="21826" spans="20:20" ht="18.75" customHeight="1" x14ac:dyDescent="0.35">
      <c r="T21826" s="246">
        <f t="shared" si="379"/>
        <v>0</v>
      </c>
    </row>
    <row r="21827" spans="20:20" ht="18.75" customHeight="1" x14ac:dyDescent="0.35">
      <c r="T21827" s="246">
        <f t="shared" si="379"/>
        <v>0</v>
      </c>
    </row>
    <row r="21828" spans="20:20" ht="18.75" customHeight="1" x14ac:dyDescent="0.35">
      <c r="T21828" s="246">
        <f t="shared" si="379"/>
        <v>0</v>
      </c>
    </row>
    <row r="21829" spans="20:20" ht="18.75" customHeight="1" x14ac:dyDescent="0.35">
      <c r="T21829" s="246">
        <f t="shared" si="379"/>
        <v>0</v>
      </c>
    </row>
    <row r="21830" spans="20:20" ht="18.75" customHeight="1" x14ac:dyDescent="0.35">
      <c r="T21830" s="246">
        <f t="shared" si="379"/>
        <v>0</v>
      </c>
    </row>
    <row r="21831" spans="20:20" ht="18.75" customHeight="1" x14ac:dyDescent="0.35">
      <c r="T21831" s="246">
        <f t="shared" si="379"/>
        <v>0</v>
      </c>
    </row>
    <row r="21832" spans="20:20" ht="18.75" customHeight="1" x14ac:dyDescent="0.35">
      <c r="T21832" s="246">
        <f t="shared" si="379"/>
        <v>0</v>
      </c>
    </row>
    <row r="21833" spans="20:20" ht="18.75" customHeight="1" x14ac:dyDescent="0.35">
      <c r="T21833" s="246">
        <f t="shared" si="379"/>
        <v>0</v>
      </c>
    </row>
    <row r="21834" spans="20:20" ht="18.75" customHeight="1" x14ac:dyDescent="0.35">
      <c r="T21834" s="246">
        <f t="shared" si="379"/>
        <v>0</v>
      </c>
    </row>
    <row r="21835" spans="20:20" ht="18.75" customHeight="1" x14ac:dyDescent="0.35">
      <c r="T21835" s="246">
        <f t="shared" si="379"/>
        <v>0</v>
      </c>
    </row>
    <row r="21836" spans="20:20" ht="18.75" customHeight="1" x14ac:dyDescent="0.35">
      <c r="T21836" s="246">
        <f t="shared" si="379"/>
        <v>0</v>
      </c>
    </row>
    <row r="21837" spans="20:20" ht="18.75" customHeight="1" x14ac:dyDescent="0.35">
      <c r="T21837" s="246">
        <f t="shared" si="379"/>
        <v>0</v>
      </c>
    </row>
    <row r="21838" spans="20:20" ht="18.75" customHeight="1" x14ac:dyDescent="0.35">
      <c r="T21838" s="246">
        <f t="shared" si="379"/>
        <v>0</v>
      </c>
    </row>
    <row r="21839" spans="20:20" ht="18.75" customHeight="1" x14ac:dyDescent="0.35">
      <c r="T21839" s="246">
        <f t="shared" si="379"/>
        <v>0</v>
      </c>
    </row>
    <row r="21840" spans="20:20" ht="18.75" customHeight="1" x14ac:dyDescent="0.35">
      <c r="T21840" s="246">
        <f t="shared" si="379"/>
        <v>0</v>
      </c>
    </row>
    <row r="21841" spans="20:20" ht="18.75" customHeight="1" x14ac:dyDescent="0.35">
      <c r="T21841" s="246">
        <f t="shared" si="379"/>
        <v>0</v>
      </c>
    </row>
    <row r="21842" spans="20:20" ht="18.75" customHeight="1" x14ac:dyDescent="0.35">
      <c r="T21842" s="246">
        <f t="shared" si="379"/>
        <v>0</v>
      </c>
    </row>
    <row r="21843" spans="20:20" ht="18.75" customHeight="1" x14ac:dyDescent="0.35">
      <c r="T21843" s="246">
        <f t="shared" si="379"/>
        <v>0</v>
      </c>
    </row>
    <row r="21844" spans="20:20" ht="18.75" customHeight="1" x14ac:dyDescent="0.35">
      <c r="T21844" s="246">
        <f t="shared" si="379"/>
        <v>0</v>
      </c>
    </row>
    <row r="21845" spans="20:20" ht="18.75" customHeight="1" x14ac:dyDescent="0.35">
      <c r="T21845" s="246">
        <f t="shared" si="379"/>
        <v>0</v>
      </c>
    </row>
    <row r="21846" spans="20:20" ht="18.75" customHeight="1" x14ac:dyDescent="0.35">
      <c r="T21846" s="246">
        <f t="shared" si="379"/>
        <v>0</v>
      </c>
    </row>
    <row r="21847" spans="20:20" ht="18.75" customHeight="1" x14ac:dyDescent="0.35">
      <c r="T21847" s="246">
        <f t="shared" si="379"/>
        <v>0</v>
      </c>
    </row>
    <row r="21848" spans="20:20" ht="18.75" customHeight="1" x14ac:dyDescent="0.35">
      <c r="T21848" s="246">
        <f t="shared" si="379"/>
        <v>0</v>
      </c>
    </row>
    <row r="21849" spans="20:20" ht="18.75" customHeight="1" x14ac:dyDescent="0.35">
      <c r="T21849" s="246">
        <f t="shared" si="379"/>
        <v>0</v>
      </c>
    </row>
    <row r="21850" spans="20:20" ht="18.75" customHeight="1" x14ac:dyDescent="0.35">
      <c r="T21850" s="246">
        <f t="shared" si="379"/>
        <v>0</v>
      </c>
    </row>
    <row r="21851" spans="20:20" ht="18.75" customHeight="1" x14ac:dyDescent="0.35">
      <c r="T21851" s="246">
        <f t="shared" si="379"/>
        <v>0</v>
      </c>
    </row>
    <row r="21852" spans="20:20" ht="18.75" customHeight="1" x14ac:dyDescent="0.35">
      <c r="T21852" s="246">
        <f t="shared" si="379"/>
        <v>0</v>
      </c>
    </row>
    <row r="21853" spans="20:20" ht="18.75" customHeight="1" x14ac:dyDescent="0.35">
      <c r="T21853" s="246">
        <f t="shared" si="379"/>
        <v>0</v>
      </c>
    </row>
    <row r="21854" spans="20:20" ht="18.75" customHeight="1" x14ac:dyDescent="0.35">
      <c r="T21854" s="246">
        <f t="shared" si="379"/>
        <v>0</v>
      </c>
    </row>
    <row r="21855" spans="20:20" ht="18.75" customHeight="1" x14ac:dyDescent="0.35">
      <c r="T21855" s="246">
        <f t="shared" si="379"/>
        <v>0</v>
      </c>
    </row>
    <row r="21856" spans="20:20" ht="18.75" customHeight="1" x14ac:dyDescent="0.35">
      <c r="T21856" s="246">
        <f t="shared" si="379"/>
        <v>0</v>
      </c>
    </row>
    <row r="21857" spans="20:20" ht="18.75" customHeight="1" x14ac:dyDescent="0.35">
      <c r="T21857" s="246">
        <f t="shared" si="379"/>
        <v>0</v>
      </c>
    </row>
    <row r="21858" spans="20:20" ht="18.75" customHeight="1" x14ac:dyDescent="0.35">
      <c r="T21858" s="246">
        <f t="shared" si="379"/>
        <v>0</v>
      </c>
    </row>
    <row r="21859" spans="20:20" ht="18.75" customHeight="1" x14ac:dyDescent="0.35">
      <c r="T21859" s="246">
        <f t="shared" si="379"/>
        <v>0</v>
      </c>
    </row>
    <row r="21860" spans="20:20" ht="18.75" customHeight="1" x14ac:dyDescent="0.35">
      <c r="T21860" s="246">
        <f t="shared" si="379"/>
        <v>0</v>
      </c>
    </row>
    <row r="21861" spans="20:20" ht="18.75" customHeight="1" x14ac:dyDescent="0.35">
      <c r="T21861" s="246">
        <f t="shared" si="379"/>
        <v>0</v>
      </c>
    </row>
    <row r="21862" spans="20:20" ht="18.75" customHeight="1" x14ac:dyDescent="0.35">
      <c r="T21862" s="246">
        <f t="shared" si="379"/>
        <v>0</v>
      </c>
    </row>
    <row r="21863" spans="20:20" ht="18.75" customHeight="1" x14ac:dyDescent="0.35">
      <c r="T21863" s="246">
        <f t="shared" si="379"/>
        <v>0</v>
      </c>
    </row>
    <row r="21864" spans="20:20" ht="18.75" customHeight="1" x14ac:dyDescent="0.35">
      <c r="T21864" s="246">
        <f t="shared" si="379"/>
        <v>0</v>
      </c>
    </row>
    <row r="21865" spans="20:20" ht="18.75" customHeight="1" x14ac:dyDescent="0.35">
      <c r="T21865" s="246">
        <f t="shared" si="379"/>
        <v>0</v>
      </c>
    </row>
    <row r="21866" spans="20:20" ht="18.75" customHeight="1" x14ac:dyDescent="0.35">
      <c r="T21866" s="246">
        <f t="shared" si="379"/>
        <v>0</v>
      </c>
    </row>
    <row r="21867" spans="20:20" ht="18.75" customHeight="1" x14ac:dyDescent="0.35">
      <c r="T21867" s="246">
        <f t="shared" si="379"/>
        <v>0</v>
      </c>
    </row>
    <row r="21868" spans="20:20" ht="18.75" customHeight="1" x14ac:dyDescent="0.35">
      <c r="T21868" s="246">
        <f t="shared" si="379"/>
        <v>0</v>
      </c>
    </row>
    <row r="21869" spans="20:20" ht="18.75" customHeight="1" x14ac:dyDescent="0.35">
      <c r="T21869" s="246">
        <f t="shared" si="379"/>
        <v>0</v>
      </c>
    </row>
    <row r="21870" spans="20:20" ht="18.75" customHeight="1" x14ac:dyDescent="0.35">
      <c r="T21870" s="246">
        <f t="shared" si="379"/>
        <v>0</v>
      </c>
    </row>
    <row r="21871" spans="20:20" ht="18.75" customHeight="1" x14ac:dyDescent="0.35">
      <c r="T21871" s="246">
        <f t="shared" si="379"/>
        <v>0</v>
      </c>
    </row>
    <row r="21872" spans="20:20" ht="18.75" customHeight="1" x14ac:dyDescent="0.35">
      <c r="T21872" s="246">
        <f t="shared" si="379"/>
        <v>0</v>
      </c>
    </row>
    <row r="21873" spans="20:20" ht="18.75" customHeight="1" x14ac:dyDescent="0.35">
      <c r="T21873" s="246">
        <f t="shared" si="379"/>
        <v>0</v>
      </c>
    </row>
    <row r="21874" spans="20:20" ht="18.75" customHeight="1" x14ac:dyDescent="0.35">
      <c r="T21874" s="246">
        <f t="shared" si="379"/>
        <v>0</v>
      </c>
    </row>
    <row r="21875" spans="20:20" ht="18.75" customHeight="1" x14ac:dyDescent="0.35">
      <c r="T21875" s="246">
        <f t="shared" si="379"/>
        <v>0</v>
      </c>
    </row>
    <row r="21876" spans="20:20" ht="18.75" customHeight="1" x14ac:dyDescent="0.35">
      <c r="T21876" s="246">
        <f t="shared" si="379"/>
        <v>0</v>
      </c>
    </row>
    <row r="21877" spans="20:20" ht="18.75" customHeight="1" x14ac:dyDescent="0.35">
      <c r="T21877" s="246">
        <f t="shared" si="379"/>
        <v>0</v>
      </c>
    </row>
    <row r="21878" spans="20:20" ht="18.75" customHeight="1" x14ac:dyDescent="0.35">
      <c r="T21878" s="246">
        <f t="shared" si="379"/>
        <v>0</v>
      </c>
    </row>
    <row r="21879" spans="20:20" ht="18.75" customHeight="1" x14ac:dyDescent="0.35">
      <c r="T21879" s="246">
        <f t="shared" si="379"/>
        <v>0</v>
      </c>
    </row>
    <row r="21880" spans="20:20" ht="18.75" customHeight="1" x14ac:dyDescent="0.35">
      <c r="T21880" s="246">
        <f t="shared" si="379"/>
        <v>0</v>
      </c>
    </row>
    <row r="21881" spans="20:20" ht="18.75" customHeight="1" x14ac:dyDescent="0.35">
      <c r="T21881" s="246">
        <f t="shared" si="379"/>
        <v>0</v>
      </c>
    </row>
    <row r="21882" spans="20:20" ht="18.75" customHeight="1" x14ac:dyDescent="0.35">
      <c r="T21882" s="246">
        <f t="shared" si="379"/>
        <v>0</v>
      </c>
    </row>
    <row r="21883" spans="20:20" ht="18.75" customHeight="1" x14ac:dyDescent="0.35">
      <c r="T21883" s="246">
        <f t="shared" si="379"/>
        <v>0</v>
      </c>
    </row>
    <row r="21884" spans="20:20" ht="18.75" customHeight="1" x14ac:dyDescent="0.35">
      <c r="T21884" s="246">
        <f t="shared" ref="T21884:T21947" si="380">R21884*0.01</f>
        <v>0</v>
      </c>
    </row>
    <row r="21885" spans="20:20" ht="18.75" customHeight="1" x14ac:dyDescent="0.35">
      <c r="T21885" s="246">
        <f t="shared" si="380"/>
        <v>0</v>
      </c>
    </row>
    <row r="21886" spans="20:20" ht="18.75" customHeight="1" x14ac:dyDescent="0.35">
      <c r="T21886" s="246">
        <f t="shared" si="380"/>
        <v>0</v>
      </c>
    </row>
    <row r="21887" spans="20:20" ht="18.75" customHeight="1" x14ac:dyDescent="0.35">
      <c r="T21887" s="246">
        <f t="shared" si="380"/>
        <v>0</v>
      </c>
    </row>
    <row r="21888" spans="20:20" ht="18.75" customHeight="1" x14ac:dyDescent="0.35">
      <c r="T21888" s="246">
        <f t="shared" si="380"/>
        <v>0</v>
      </c>
    </row>
    <row r="21889" spans="20:20" ht="18.75" customHeight="1" x14ac:dyDescent="0.35">
      <c r="T21889" s="246">
        <f t="shared" si="380"/>
        <v>0</v>
      </c>
    </row>
    <row r="21890" spans="20:20" ht="18.75" customHeight="1" x14ac:dyDescent="0.35">
      <c r="T21890" s="246">
        <f t="shared" si="380"/>
        <v>0</v>
      </c>
    </row>
    <row r="21891" spans="20:20" ht="18.75" customHeight="1" x14ac:dyDescent="0.35">
      <c r="T21891" s="246">
        <f t="shared" si="380"/>
        <v>0</v>
      </c>
    </row>
    <row r="21892" spans="20:20" ht="18.75" customHeight="1" x14ac:dyDescent="0.35">
      <c r="T21892" s="246">
        <f t="shared" si="380"/>
        <v>0</v>
      </c>
    </row>
    <row r="21893" spans="20:20" ht="18.75" customHeight="1" x14ac:dyDescent="0.35">
      <c r="T21893" s="246">
        <f t="shared" si="380"/>
        <v>0</v>
      </c>
    </row>
    <row r="21894" spans="20:20" ht="18.75" customHeight="1" x14ac:dyDescent="0.35">
      <c r="T21894" s="246">
        <f t="shared" si="380"/>
        <v>0</v>
      </c>
    </row>
    <row r="21895" spans="20:20" ht="18.75" customHeight="1" x14ac:dyDescent="0.35">
      <c r="T21895" s="246">
        <f t="shared" si="380"/>
        <v>0</v>
      </c>
    </row>
    <row r="21896" spans="20:20" ht="18.75" customHeight="1" x14ac:dyDescent="0.35">
      <c r="T21896" s="246">
        <f t="shared" si="380"/>
        <v>0</v>
      </c>
    </row>
    <row r="21897" spans="20:20" ht="18.75" customHeight="1" x14ac:dyDescent="0.35">
      <c r="T21897" s="246">
        <f t="shared" si="380"/>
        <v>0</v>
      </c>
    </row>
    <row r="21898" spans="20:20" ht="18.75" customHeight="1" x14ac:dyDescent="0.35">
      <c r="T21898" s="246">
        <f t="shared" si="380"/>
        <v>0</v>
      </c>
    </row>
    <row r="21899" spans="20:20" ht="18.75" customHeight="1" x14ac:dyDescent="0.35">
      <c r="T21899" s="246">
        <f t="shared" si="380"/>
        <v>0</v>
      </c>
    </row>
    <row r="21900" spans="20:20" ht="18.75" customHeight="1" x14ac:dyDescent="0.35">
      <c r="T21900" s="246">
        <f t="shared" si="380"/>
        <v>0</v>
      </c>
    </row>
    <row r="21901" spans="20:20" ht="18.75" customHeight="1" x14ac:dyDescent="0.35">
      <c r="T21901" s="246">
        <f t="shared" si="380"/>
        <v>0</v>
      </c>
    </row>
    <row r="21902" spans="20:20" ht="18.75" customHeight="1" x14ac:dyDescent="0.35">
      <c r="T21902" s="246">
        <f t="shared" si="380"/>
        <v>0</v>
      </c>
    </row>
    <row r="21903" spans="20:20" ht="18.75" customHeight="1" x14ac:dyDescent="0.35">
      <c r="T21903" s="246">
        <f t="shared" si="380"/>
        <v>0</v>
      </c>
    </row>
    <row r="21904" spans="20:20" ht="18.75" customHeight="1" x14ac:dyDescent="0.35">
      <c r="T21904" s="246">
        <f t="shared" si="380"/>
        <v>0</v>
      </c>
    </row>
    <row r="21905" spans="20:20" ht="18.75" customHeight="1" x14ac:dyDescent="0.35">
      <c r="T21905" s="246">
        <f t="shared" si="380"/>
        <v>0</v>
      </c>
    </row>
    <row r="21906" spans="20:20" ht="18.75" customHeight="1" x14ac:dyDescent="0.35">
      <c r="T21906" s="246">
        <f t="shared" si="380"/>
        <v>0</v>
      </c>
    </row>
    <row r="21907" spans="20:20" ht="18.75" customHeight="1" x14ac:dyDescent="0.35">
      <c r="T21907" s="246">
        <f t="shared" si="380"/>
        <v>0</v>
      </c>
    </row>
    <row r="21908" spans="20:20" ht="18.75" customHeight="1" x14ac:dyDescent="0.35">
      <c r="T21908" s="246">
        <f t="shared" si="380"/>
        <v>0</v>
      </c>
    </row>
    <row r="21909" spans="20:20" ht="18.75" customHeight="1" x14ac:dyDescent="0.35">
      <c r="T21909" s="246">
        <f t="shared" si="380"/>
        <v>0</v>
      </c>
    </row>
    <row r="21910" spans="20:20" ht="18.75" customHeight="1" x14ac:dyDescent="0.35">
      <c r="T21910" s="246">
        <f t="shared" si="380"/>
        <v>0</v>
      </c>
    </row>
    <row r="21911" spans="20:20" ht="18.75" customHeight="1" x14ac:dyDescent="0.35">
      <c r="T21911" s="246">
        <f t="shared" si="380"/>
        <v>0</v>
      </c>
    </row>
    <row r="21912" spans="20:20" ht="18.75" customHeight="1" x14ac:dyDescent="0.35">
      <c r="T21912" s="246">
        <f t="shared" si="380"/>
        <v>0</v>
      </c>
    </row>
    <row r="21913" spans="20:20" ht="18.75" customHeight="1" x14ac:dyDescent="0.35">
      <c r="T21913" s="246">
        <f t="shared" si="380"/>
        <v>0</v>
      </c>
    </row>
    <row r="21914" spans="20:20" ht="18.75" customHeight="1" x14ac:dyDescent="0.35">
      <c r="T21914" s="246">
        <f t="shared" si="380"/>
        <v>0</v>
      </c>
    </row>
    <row r="21915" spans="20:20" ht="18.75" customHeight="1" x14ac:dyDescent="0.35">
      <c r="T21915" s="246">
        <f t="shared" si="380"/>
        <v>0</v>
      </c>
    </row>
    <row r="21916" spans="20:20" ht="18.75" customHeight="1" x14ac:dyDescent="0.35">
      <c r="T21916" s="246">
        <f t="shared" si="380"/>
        <v>0</v>
      </c>
    </row>
    <row r="21917" spans="20:20" ht="18.75" customHeight="1" x14ac:dyDescent="0.35">
      <c r="T21917" s="246">
        <f t="shared" si="380"/>
        <v>0</v>
      </c>
    </row>
    <row r="21918" spans="20:20" ht="18.75" customHeight="1" x14ac:dyDescent="0.35">
      <c r="T21918" s="246">
        <f t="shared" si="380"/>
        <v>0</v>
      </c>
    </row>
    <row r="21919" spans="20:20" ht="18.75" customHeight="1" x14ac:dyDescent="0.35">
      <c r="T21919" s="246">
        <f t="shared" si="380"/>
        <v>0</v>
      </c>
    </row>
    <row r="21920" spans="20:20" ht="18.75" customHeight="1" x14ac:dyDescent="0.35">
      <c r="T21920" s="246">
        <f t="shared" si="380"/>
        <v>0</v>
      </c>
    </row>
    <row r="21921" spans="20:20" ht="18.75" customHeight="1" x14ac:dyDescent="0.35">
      <c r="T21921" s="246">
        <f t="shared" si="380"/>
        <v>0</v>
      </c>
    </row>
    <row r="21922" spans="20:20" ht="18.75" customHeight="1" x14ac:dyDescent="0.35">
      <c r="T21922" s="246">
        <f t="shared" si="380"/>
        <v>0</v>
      </c>
    </row>
    <row r="21923" spans="20:20" ht="18.75" customHeight="1" x14ac:dyDescent="0.35">
      <c r="T21923" s="246">
        <f t="shared" si="380"/>
        <v>0</v>
      </c>
    </row>
    <row r="21924" spans="20:20" ht="18.75" customHeight="1" x14ac:dyDescent="0.35">
      <c r="T21924" s="246">
        <f t="shared" si="380"/>
        <v>0</v>
      </c>
    </row>
    <row r="21925" spans="20:20" ht="18.75" customHeight="1" x14ac:dyDescent="0.35">
      <c r="T21925" s="246">
        <f t="shared" si="380"/>
        <v>0</v>
      </c>
    </row>
    <row r="21926" spans="20:20" ht="18.75" customHeight="1" x14ac:dyDescent="0.35">
      <c r="T21926" s="246">
        <f t="shared" si="380"/>
        <v>0</v>
      </c>
    </row>
    <row r="21927" spans="20:20" ht="18.75" customHeight="1" x14ac:dyDescent="0.35">
      <c r="T21927" s="246">
        <f t="shared" si="380"/>
        <v>0</v>
      </c>
    </row>
    <row r="21928" spans="20:20" ht="18.75" customHeight="1" x14ac:dyDescent="0.35">
      <c r="T21928" s="246">
        <f t="shared" si="380"/>
        <v>0</v>
      </c>
    </row>
    <row r="21929" spans="20:20" ht="18.75" customHeight="1" x14ac:dyDescent="0.35">
      <c r="T21929" s="246">
        <f t="shared" si="380"/>
        <v>0</v>
      </c>
    </row>
    <row r="21930" spans="20:20" ht="18.75" customHeight="1" x14ac:dyDescent="0.35">
      <c r="T21930" s="246">
        <f t="shared" si="380"/>
        <v>0</v>
      </c>
    </row>
    <row r="21931" spans="20:20" ht="18.75" customHeight="1" x14ac:dyDescent="0.35">
      <c r="T21931" s="246">
        <f t="shared" si="380"/>
        <v>0</v>
      </c>
    </row>
    <row r="21932" spans="20:20" ht="18.75" customHeight="1" x14ac:dyDescent="0.35">
      <c r="T21932" s="246">
        <f t="shared" si="380"/>
        <v>0</v>
      </c>
    </row>
    <row r="21933" spans="20:20" ht="18.75" customHeight="1" x14ac:dyDescent="0.35">
      <c r="T21933" s="246">
        <f t="shared" si="380"/>
        <v>0</v>
      </c>
    </row>
    <row r="21934" spans="20:20" ht="18.75" customHeight="1" x14ac:dyDescent="0.35">
      <c r="T21934" s="246">
        <f t="shared" si="380"/>
        <v>0</v>
      </c>
    </row>
    <row r="21935" spans="20:20" ht="18.75" customHeight="1" x14ac:dyDescent="0.35">
      <c r="T21935" s="246">
        <f t="shared" si="380"/>
        <v>0</v>
      </c>
    </row>
    <row r="21936" spans="20:20" ht="18.75" customHeight="1" x14ac:dyDescent="0.35">
      <c r="T21936" s="246">
        <f t="shared" si="380"/>
        <v>0</v>
      </c>
    </row>
    <row r="21937" spans="20:20" ht="18.75" customHeight="1" x14ac:dyDescent="0.35">
      <c r="T21937" s="246">
        <f t="shared" si="380"/>
        <v>0</v>
      </c>
    </row>
    <row r="21938" spans="20:20" ht="18.75" customHeight="1" x14ac:dyDescent="0.35">
      <c r="T21938" s="246">
        <f t="shared" si="380"/>
        <v>0</v>
      </c>
    </row>
    <row r="21939" spans="20:20" ht="18.75" customHeight="1" x14ac:dyDescent="0.35">
      <c r="T21939" s="246">
        <f t="shared" si="380"/>
        <v>0</v>
      </c>
    </row>
    <row r="21940" spans="20:20" ht="18.75" customHeight="1" x14ac:dyDescent="0.35">
      <c r="T21940" s="246">
        <f t="shared" si="380"/>
        <v>0</v>
      </c>
    </row>
    <row r="21941" spans="20:20" ht="18.75" customHeight="1" x14ac:dyDescent="0.35">
      <c r="T21941" s="246">
        <f t="shared" si="380"/>
        <v>0</v>
      </c>
    </row>
    <row r="21942" spans="20:20" ht="18.75" customHeight="1" x14ac:dyDescent="0.35">
      <c r="T21942" s="246">
        <f t="shared" si="380"/>
        <v>0</v>
      </c>
    </row>
    <row r="21943" spans="20:20" ht="18.75" customHeight="1" x14ac:dyDescent="0.35">
      <c r="T21943" s="246">
        <f t="shared" si="380"/>
        <v>0</v>
      </c>
    </row>
    <row r="21944" spans="20:20" ht="18.75" customHeight="1" x14ac:dyDescent="0.35">
      <c r="T21944" s="246">
        <f t="shared" si="380"/>
        <v>0</v>
      </c>
    </row>
    <row r="21945" spans="20:20" ht="18.75" customHeight="1" x14ac:dyDescent="0.35">
      <c r="T21945" s="246">
        <f t="shared" si="380"/>
        <v>0</v>
      </c>
    </row>
    <row r="21946" spans="20:20" ht="18.75" customHeight="1" x14ac:dyDescent="0.35">
      <c r="T21946" s="246">
        <f t="shared" si="380"/>
        <v>0</v>
      </c>
    </row>
    <row r="21947" spans="20:20" ht="18.75" customHeight="1" x14ac:dyDescent="0.35">
      <c r="T21947" s="246">
        <f t="shared" si="380"/>
        <v>0</v>
      </c>
    </row>
    <row r="21948" spans="20:20" ht="18.75" customHeight="1" x14ac:dyDescent="0.35">
      <c r="T21948" s="246">
        <f t="shared" ref="T21948:T22011" si="381">R21948*0.01</f>
        <v>0</v>
      </c>
    </row>
    <row r="21949" spans="20:20" ht="18.75" customHeight="1" x14ac:dyDescent="0.35">
      <c r="T21949" s="246">
        <f t="shared" si="381"/>
        <v>0</v>
      </c>
    </row>
    <row r="21950" spans="20:20" ht="18.75" customHeight="1" x14ac:dyDescent="0.35">
      <c r="T21950" s="246">
        <f t="shared" si="381"/>
        <v>0</v>
      </c>
    </row>
    <row r="21951" spans="20:20" ht="18.75" customHeight="1" x14ac:dyDescent="0.35">
      <c r="T21951" s="246">
        <f t="shared" si="381"/>
        <v>0</v>
      </c>
    </row>
    <row r="21952" spans="20:20" ht="18.75" customHeight="1" x14ac:dyDescent="0.35">
      <c r="T21952" s="246">
        <f t="shared" si="381"/>
        <v>0</v>
      </c>
    </row>
    <row r="21953" spans="20:20" ht="18.75" customHeight="1" x14ac:dyDescent="0.35">
      <c r="T21953" s="246">
        <f t="shared" si="381"/>
        <v>0</v>
      </c>
    </row>
    <row r="21954" spans="20:20" ht="18.75" customHeight="1" x14ac:dyDescent="0.35">
      <c r="T21954" s="246">
        <f t="shared" si="381"/>
        <v>0</v>
      </c>
    </row>
    <row r="21955" spans="20:20" ht="18.75" customHeight="1" x14ac:dyDescent="0.35">
      <c r="T21955" s="246">
        <f t="shared" si="381"/>
        <v>0</v>
      </c>
    </row>
    <row r="21956" spans="20:20" ht="18.75" customHeight="1" x14ac:dyDescent="0.35">
      <c r="T21956" s="246">
        <f t="shared" si="381"/>
        <v>0</v>
      </c>
    </row>
    <row r="21957" spans="20:20" ht="18.75" customHeight="1" x14ac:dyDescent="0.35">
      <c r="T21957" s="246">
        <f t="shared" si="381"/>
        <v>0</v>
      </c>
    </row>
    <row r="21958" spans="20:20" ht="18.75" customHeight="1" x14ac:dyDescent="0.35">
      <c r="T21958" s="246">
        <f t="shared" si="381"/>
        <v>0</v>
      </c>
    </row>
    <row r="21959" spans="20:20" ht="18.75" customHeight="1" x14ac:dyDescent="0.35">
      <c r="T21959" s="246">
        <f t="shared" si="381"/>
        <v>0</v>
      </c>
    </row>
    <row r="21960" spans="20:20" ht="18.75" customHeight="1" x14ac:dyDescent="0.35">
      <c r="T21960" s="246">
        <f t="shared" si="381"/>
        <v>0</v>
      </c>
    </row>
    <row r="21961" spans="20:20" ht="18.75" customHeight="1" x14ac:dyDescent="0.35">
      <c r="T21961" s="246">
        <f t="shared" si="381"/>
        <v>0</v>
      </c>
    </row>
    <row r="21962" spans="20:20" ht="18.75" customHeight="1" x14ac:dyDescent="0.35">
      <c r="T21962" s="246">
        <f t="shared" si="381"/>
        <v>0</v>
      </c>
    </row>
    <row r="21963" spans="20:20" ht="18.75" customHeight="1" x14ac:dyDescent="0.35">
      <c r="T21963" s="246">
        <f t="shared" si="381"/>
        <v>0</v>
      </c>
    </row>
    <row r="21964" spans="20:20" ht="18.75" customHeight="1" x14ac:dyDescent="0.35">
      <c r="T21964" s="246">
        <f t="shared" si="381"/>
        <v>0</v>
      </c>
    </row>
    <row r="21965" spans="20:20" ht="18.75" customHeight="1" x14ac:dyDescent="0.35">
      <c r="T21965" s="246">
        <f t="shared" si="381"/>
        <v>0</v>
      </c>
    </row>
    <row r="21966" spans="20:20" ht="18.75" customHeight="1" x14ac:dyDescent="0.35">
      <c r="T21966" s="246">
        <f t="shared" si="381"/>
        <v>0</v>
      </c>
    </row>
    <row r="21967" spans="20:20" ht="18.75" customHeight="1" x14ac:dyDescent="0.35">
      <c r="T21967" s="246">
        <f t="shared" si="381"/>
        <v>0</v>
      </c>
    </row>
    <row r="21968" spans="20:20" ht="18.75" customHeight="1" x14ac:dyDescent="0.35">
      <c r="T21968" s="246">
        <f t="shared" si="381"/>
        <v>0</v>
      </c>
    </row>
    <row r="21969" spans="20:20" ht="18.75" customHeight="1" x14ac:dyDescent="0.35">
      <c r="T21969" s="246">
        <f t="shared" si="381"/>
        <v>0</v>
      </c>
    </row>
    <row r="21970" spans="20:20" ht="18.75" customHeight="1" x14ac:dyDescent="0.35">
      <c r="T21970" s="246">
        <f t="shared" si="381"/>
        <v>0</v>
      </c>
    </row>
    <row r="21971" spans="20:20" ht="18.75" customHeight="1" x14ac:dyDescent="0.35">
      <c r="T21971" s="246">
        <f t="shared" si="381"/>
        <v>0</v>
      </c>
    </row>
    <row r="21972" spans="20:20" ht="18.75" customHeight="1" x14ac:dyDescent="0.35">
      <c r="T21972" s="246">
        <f t="shared" si="381"/>
        <v>0</v>
      </c>
    </row>
    <row r="21973" spans="20:20" ht="18.75" customHeight="1" x14ac:dyDescent="0.35">
      <c r="T21973" s="246">
        <f t="shared" si="381"/>
        <v>0</v>
      </c>
    </row>
    <row r="21974" spans="20:20" ht="18.75" customHeight="1" x14ac:dyDescent="0.35">
      <c r="T21974" s="246">
        <f t="shared" si="381"/>
        <v>0</v>
      </c>
    </row>
    <row r="21975" spans="20:20" ht="18.75" customHeight="1" x14ac:dyDescent="0.35">
      <c r="T21975" s="246">
        <f t="shared" si="381"/>
        <v>0</v>
      </c>
    </row>
    <row r="21976" spans="20:20" ht="18.75" customHeight="1" x14ac:dyDescent="0.35">
      <c r="T21976" s="246">
        <f t="shared" si="381"/>
        <v>0</v>
      </c>
    </row>
    <row r="21977" spans="20:20" ht="18.75" customHeight="1" x14ac:dyDescent="0.35">
      <c r="T21977" s="246">
        <f t="shared" si="381"/>
        <v>0</v>
      </c>
    </row>
    <row r="21978" spans="20:20" ht="18.75" customHeight="1" x14ac:dyDescent="0.35">
      <c r="T21978" s="246">
        <f t="shared" si="381"/>
        <v>0</v>
      </c>
    </row>
    <row r="21979" spans="20:20" ht="18.75" customHeight="1" x14ac:dyDescent="0.35">
      <c r="T21979" s="246">
        <f t="shared" si="381"/>
        <v>0</v>
      </c>
    </row>
    <row r="21980" spans="20:20" ht="18.75" customHeight="1" x14ac:dyDescent="0.35">
      <c r="T21980" s="246">
        <f t="shared" si="381"/>
        <v>0</v>
      </c>
    </row>
    <row r="21981" spans="20:20" ht="18.75" customHeight="1" x14ac:dyDescent="0.35">
      <c r="T21981" s="246">
        <f t="shared" si="381"/>
        <v>0</v>
      </c>
    </row>
    <row r="21982" spans="20:20" ht="18.75" customHeight="1" x14ac:dyDescent="0.35">
      <c r="T21982" s="246">
        <f t="shared" si="381"/>
        <v>0</v>
      </c>
    </row>
    <row r="21983" spans="20:20" ht="18.75" customHeight="1" x14ac:dyDescent="0.35">
      <c r="T21983" s="246">
        <f t="shared" si="381"/>
        <v>0</v>
      </c>
    </row>
    <row r="21984" spans="20:20" ht="18.75" customHeight="1" x14ac:dyDescent="0.35">
      <c r="T21984" s="246">
        <f t="shared" si="381"/>
        <v>0</v>
      </c>
    </row>
    <row r="21985" spans="20:20" ht="18.75" customHeight="1" x14ac:dyDescent="0.35">
      <c r="T21985" s="246">
        <f t="shared" si="381"/>
        <v>0</v>
      </c>
    </row>
    <row r="21986" spans="20:20" ht="18.75" customHeight="1" x14ac:dyDescent="0.35">
      <c r="T21986" s="246">
        <f t="shared" si="381"/>
        <v>0</v>
      </c>
    </row>
    <row r="21987" spans="20:20" ht="18.75" customHeight="1" x14ac:dyDescent="0.35">
      <c r="T21987" s="246">
        <f t="shared" si="381"/>
        <v>0</v>
      </c>
    </row>
    <row r="21988" spans="20:20" ht="18.75" customHeight="1" x14ac:dyDescent="0.35">
      <c r="T21988" s="246">
        <f t="shared" si="381"/>
        <v>0</v>
      </c>
    </row>
    <row r="21989" spans="20:20" ht="18.75" customHeight="1" x14ac:dyDescent="0.35">
      <c r="T21989" s="246">
        <f t="shared" si="381"/>
        <v>0</v>
      </c>
    </row>
    <row r="21990" spans="20:20" ht="18.75" customHeight="1" x14ac:dyDescent="0.35">
      <c r="T21990" s="246">
        <f t="shared" si="381"/>
        <v>0</v>
      </c>
    </row>
    <row r="21991" spans="20:20" ht="18.75" customHeight="1" x14ac:dyDescent="0.35">
      <c r="T21991" s="246">
        <f t="shared" si="381"/>
        <v>0</v>
      </c>
    </row>
    <row r="21992" spans="20:20" ht="18.75" customHeight="1" x14ac:dyDescent="0.35">
      <c r="T21992" s="246">
        <f t="shared" si="381"/>
        <v>0</v>
      </c>
    </row>
    <row r="21993" spans="20:20" ht="18.75" customHeight="1" x14ac:dyDescent="0.35">
      <c r="T21993" s="246">
        <f t="shared" si="381"/>
        <v>0</v>
      </c>
    </row>
    <row r="21994" spans="20:20" ht="18.75" customHeight="1" x14ac:dyDescent="0.35">
      <c r="T21994" s="246">
        <f t="shared" si="381"/>
        <v>0</v>
      </c>
    </row>
    <row r="21995" spans="20:20" ht="18.75" customHeight="1" x14ac:dyDescent="0.35">
      <c r="T21995" s="246">
        <f t="shared" si="381"/>
        <v>0</v>
      </c>
    </row>
    <row r="21996" spans="20:20" ht="18.75" customHeight="1" x14ac:dyDescent="0.35">
      <c r="T21996" s="246">
        <f t="shared" si="381"/>
        <v>0</v>
      </c>
    </row>
    <row r="21997" spans="20:20" ht="18.75" customHeight="1" x14ac:dyDescent="0.35">
      <c r="T21997" s="246">
        <f t="shared" si="381"/>
        <v>0</v>
      </c>
    </row>
    <row r="21998" spans="20:20" ht="18.75" customHeight="1" x14ac:dyDescent="0.35">
      <c r="T21998" s="246">
        <f t="shared" si="381"/>
        <v>0</v>
      </c>
    </row>
    <row r="21999" spans="20:20" ht="18.75" customHeight="1" x14ac:dyDescent="0.35">
      <c r="T21999" s="246">
        <f t="shared" si="381"/>
        <v>0</v>
      </c>
    </row>
    <row r="22000" spans="20:20" ht="18.75" customHeight="1" x14ac:dyDescent="0.35">
      <c r="T22000" s="246">
        <f t="shared" si="381"/>
        <v>0</v>
      </c>
    </row>
    <row r="22001" spans="20:20" ht="18.75" customHeight="1" x14ac:dyDescent="0.35">
      <c r="T22001" s="246">
        <f t="shared" si="381"/>
        <v>0</v>
      </c>
    </row>
    <row r="22002" spans="20:20" ht="18.75" customHeight="1" x14ac:dyDescent="0.35">
      <c r="T22002" s="246">
        <f t="shared" si="381"/>
        <v>0</v>
      </c>
    </row>
    <row r="22003" spans="20:20" ht="18.75" customHeight="1" x14ac:dyDescent="0.35">
      <c r="T22003" s="246">
        <f t="shared" si="381"/>
        <v>0</v>
      </c>
    </row>
    <row r="22004" spans="20:20" ht="18.75" customHeight="1" x14ac:dyDescent="0.35">
      <c r="T22004" s="246">
        <f t="shared" si="381"/>
        <v>0</v>
      </c>
    </row>
    <row r="22005" spans="20:20" ht="18.75" customHeight="1" x14ac:dyDescent="0.35">
      <c r="T22005" s="246">
        <f t="shared" si="381"/>
        <v>0</v>
      </c>
    </row>
    <row r="22006" spans="20:20" ht="18.75" customHeight="1" x14ac:dyDescent="0.35">
      <c r="T22006" s="246">
        <f t="shared" si="381"/>
        <v>0</v>
      </c>
    </row>
    <row r="22007" spans="20:20" ht="18.75" customHeight="1" x14ac:dyDescent="0.35">
      <c r="T22007" s="246">
        <f t="shared" si="381"/>
        <v>0</v>
      </c>
    </row>
    <row r="22008" spans="20:20" ht="18.75" customHeight="1" x14ac:dyDescent="0.35">
      <c r="T22008" s="246">
        <f t="shared" si="381"/>
        <v>0</v>
      </c>
    </row>
    <row r="22009" spans="20:20" ht="18.75" customHeight="1" x14ac:dyDescent="0.35">
      <c r="T22009" s="246">
        <f t="shared" si="381"/>
        <v>0</v>
      </c>
    </row>
    <row r="22010" spans="20:20" ht="18.75" customHeight="1" x14ac:dyDescent="0.35">
      <c r="T22010" s="246">
        <f t="shared" si="381"/>
        <v>0</v>
      </c>
    </row>
    <row r="22011" spans="20:20" ht="18.75" customHeight="1" x14ac:dyDescent="0.35">
      <c r="T22011" s="246">
        <f t="shared" si="381"/>
        <v>0</v>
      </c>
    </row>
    <row r="22012" spans="20:20" ht="18.75" customHeight="1" x14ac:dyDescent="0.35">
      <c r="T22012" s="246">
        <f t="shared" ref="T22012:T22075" si="382">R22012*0.01</f>
        <v>0</v>
      </c>
    </row>
    <row r="22013" spans="20:20" ht="18.75" customHeight="1" x14ac:dyDescent="0.35">
      <c r="T22013" s="246">
        <f t="shared" si="382"/>
        <v>0</v>
      </c>
    </row>
    <row r="22014" spans="20:20" ht="18.75" customHeight="1" x14ac:dyDescent="0.35">
      <c r="T22014" s="246">
        <f t="shared" si="382"/>
        <v>0</v>
      </c>
    </row>
    <row r="22015" spans="20:20" ht="18.75" customHeight="1" x14ac:dyDescent="0.35">
      <c r="T22015" s="246">
        <f t="shared" si="382"/>
        <v>0</v>
      </c>
    </row>
    <row r="22016" spans="20:20" ht="18.75" customHeight="1" x14ac:dyDescent="0.35">
      <c r="T22016" s="246">
        <f t="shared" si="382"/>
        <v>0</v>
      </c>
    </row>
    <row r="22017" spans="20:20" ht="18.75" customHeight="1" x14ac:dyDescent="0.35">
      <c r="T22017" s="246">
        <f t="shared" si="382"/>
        <v>0</v>
      </c>
    </row>
    <row r="22018" spans="20:20" ht="18.75" customHeight="1" x14ac:dyDescent="0.35">
      <c r="T22018" s="246">
        <f t="shared" si="382"/>
        <v>0</v>
      </c>
    </row>
    <row r="22019" spans="20:20" ht="18.75" customHeight="1" x14ac:dyDescent="0.35">
      <c r="T22019" s="246">
        <f t="shared" si="382"/>
        <v>0</v>
      </c>
    </row>
    <row r="22020" spans="20:20" ht="18.75" customHeight="1" x14ac:dyDescent="0.35">
      <c r="T22020" s="246">
        <f t="shared" si="382"/>
        <v>0</v>
      </c>
    </row>
    <row r="22021" spans="20:20" ht="18.75" customHeight="1" x14ac:dyDescent="0.35">
      <c r="T22021" s="246">
        <f t="shared" si="382"/>
        <v>0</v>
      </c>
    </row>
    <row r="22022" spans="20:20" ht="18.75" customHeight="1" x14ac:dyDescent="0.35">
      <c r="T22022" s="246">
        <f t="shared" si="382"/>
        <v>0</v>
      </c>
    </row>
    <row r="22023" spans="20:20" ht="18.75" customHeight="1" x14ac:dyDescent="0.35">
      <c r="T22023" s="246">
        <f t="shared" si="382"/>
        <v>0</v>
      </c>
    </row>
    <row r="22024" spans="20:20" ht="18.75" customHeight="1" x14ac:dyDescent="0.35">
      <c r="T22024" s="246">
        <f t="shared" si="382"/>
        <v>0</v>
      </c>
    </row>
    <row r="22025" spans="20:20" ht="18.75" customHeight="1" x14ac:dyDescent="0.35">
      <c r="T22025" s="246">
        <f t="shared" si="382"/>
        <v>0</v>
      </c>
    </row>
    <row r="22026" spans="20:20" ht="18.75" customHeight="1" x14ac:dyDescent="0.35">
      <c r="T22026" s="246">
        <f t="shared" si="382"/>
        <v>0</v>
      </c>
    </row>
    <row r="22027" spans="20:20" ht="18.75" customHeight="1" x14ac:dyDescent="0.35">
      <c r="T22027" s="246">
        <f t="shared" si="382"/>
        <v>0</v>
      </c>
    </row>
    <row r="22028" spans="20:20" ht="18.75" customHeight="1" x14ac:dyDescent="0.35">
      <c r="T22028" s="246">
        <f t="shared" si="382"/>
        <v>0</v>
      </c>
    </row>
    <row r="22029" spans="20:20" ht="18.75" customHeight="1" x14ac:dyDescent="0.35">
      <c r="T22029" s="246">
        <f t="shared" si="382"/>
        <v>0</v>
      </c>
    </row>
    <row r="22030" spans="20:20" ht="18.75" customHeight="1" x14ac:dyDescent="0.35">
      <c r="T22030" s="246">
        <f t="shared" si="382"/>
        <v>0</v>
      </c>
    </row>
    <row r="22031" spans="20:20" ht="18.75" customHeight="1" x14ac:dyDescent="0.35">
      <c r="T22031" s="246">
        <f t="shared" si="382"/>
        <v>0</v>
      </c>
    </row>
    <row r="22032" spans="20:20" ht="18.75" customHeight="1" x14ac:dyDescent="0.35">
      <c r="T22032" s="246">
        <f t="shared" si="382"/>
        <v>0</v>
      </c>
    </row>
    <row r="22033" spans="20:20" ht="18.75" customHeight="1" x14ac:dyDescent="0.35">
      <c r="T22033" s="246">
        <f t="shared" si="382"/>
        <v>0</v>
      </c>
    </row>
    <row r="22034" spans="20:20" ht="18.75" customHeight="1" x14ac:dyDescent="0.35">
      <c r="T22034" s="246">
        <f t="shared" si="382"/>
        <v>0</v>
      </c>
    </row>
    <row r="22035" spans="20:20" ht="18.75" customHeight="1" x14ac:dyDescent="0.35">
      <c r="T22035" s="246">
        <f t="shared" si="382"/>
        <v>0</v>
      </c>
    </row>
    <row r="22036" spans="20:20" ht="18.75" customHeight="1" x14ac:dyDescent="0.35">
      <c r="T22036" s="246">
        <f t="shared" si="382"/>
        <v>0</v>
      </c>
    </row>
    <row r="22037" spans="20:20" ht="18.75" customHeight="1" x14ac:dyDescent="0.35">
      <c r="T22037" s="246">
        <f t="shared" si="382"/>
        <v>0</v>
      </c>
    </row>
    <row r="22038" spans="20:20" ht="18.75" customHeight="1" x14ac:dyDescent="0.35">
      <c r="T22038" s="246">
        <f t="shared" si="382"/>
        <v>0</v>
      </c>
    </row>
    <row r="22039" spans="20:20" ht="18.75" customHeight="1" x14ac:dyDescent="0.35">
      <c r="T22039" s="246">
        <f t="shared" si="382"/>
        <v>0</v>
      </c>
    </row>
    <row r="22040" spans="20:20" ht="18.75" customHeight="1" x14ac:dyDescent="0.35">
      <c r="T22040" s="246">
        <f t="shared" si="382"/>
        <v>0</v>
      </c>
    </row>
    <row r="22041" spans="20:20" ht="18.75" customHeight="1" x14ac:dyDescent="0.35">
      <c r="T22041" s="246">
        <f t="shared" si="382"/>
        <v>0</v>
      </c>
    </row>
    <row r="22042" spans="20:20" ht="18.75" customHeight="1" x14ac:dyDescent="0.35">
      <c r="T22042" s="246">
        <f t="shared" si="382"/>
        <v>0</v>
      </c>
    </row>
    <row r="22043" spans="20:20" ht="18.75" customHeight="1" x14ac:dyDescent="0.35">
      <c r="T22043" s="246">
        <f t="shared" si="382"/>
        <v>0</v>
      </c>
    </row>
    <row r="22044" spans="20:20" ht="18.75" customHeight="1" x14ac:dyDescent="0.35">
      <c r="T22044" s="246">
        <f t="shared" si="382"/>
        <v>0</v>
      </c>
    </row>
    <row r="22045" spans="20:20" ht="18.75" customHeight="1" x14ac:dyDescent="0.35">
      <c r="T22045" s="246">
        <f t="shared" si="382"/>
        <v>0</v>
      </c>
    </row>
    <row r="22046" spans="20:20" ht="18.75" customHeight="1" x14ac:dyDescent="0.35">
      <c r="T22046" s="246">
        <f t="shared" si="382"/>
        <v>0</v>
      </c>
    </row>
    <row r="22047" spans="20:20" ht="18.75" customHeight="1" x14ac:dyDescent="0.35">
      <c r="T22047" s="246">
        <f t="shared" si="382"/>
        <v>0</v>
      </c>
    </row>
    <row r="22048" spans="20:20" ht="18.75" customHeight="1" x14ac:dyDescent="0.35">
      <c r="T22048" s="246">
        <f t="shared" si="382"/>
        <v>0</v>
      </c>
    </row>
    <row r="22049" spans="20:20" ht="18.75" customHeight="1" x14ac:dyDescent="0.35">
      <c r="T22049" s="246">
        <f t="shared" si="382"/>
        <v>0</v>
      </c>
    </row>
    <row r="22050" spans="20:20" ht="18.75" customHeight="1" x14ac:dyDescent="0.35">
      <c r="T22050" s="246">
        <f t="shared" si="382"/>
        <v>0</v>
      </c>
    </row>
    <row r="22051" spans="20:20" ht="18.75" customHeight="1" x14ac:dyDescent="0.35">
      <c r="T22051" s="246">
        <f t="shared" si="382"/>
        <v>0</v>
      </c>
    </row>
    <row r="22052" spans="20:20" ht="18.75" customHeight="1" x14ac:dyDescent="0.35">
      <c r="T22052" s="246">
        <f t="shared" si="382"/>
        <v>0</v>
      </c>
    </row>
    <row r="22053" spans="20:20" ht="18.75" customHeight="1" x14ac:dyDescent="0.35">
      <c r="T22053" s="246">
        <f t="shared" si="382"/>
        <v>0</v>
      </c>
    </row>
    <row r="22054" spans="20:20" ht="18.75" customHeight="1" x14ac:dyDescent="0.35">
      <c r="T22054" s="246">
        <f t="shared" si="382"/>
        <v>0</v>
      </c>
    </row>
    <row r="22055" spans="20:20" ht="18.75" customHeight="1" x14ac:dyDescent="0.35">
      <c r="T22055" s="246">
        <f t="shared" si="382"/>
        <v>0</v>
      </c>
    </row>
    <row r="22056" spans="20:20" ht="18.75" customHeight="1" x14ac:dyDescent="0.35">
      <c r="T22056" s="246">
        <f t="shared" si="382"/>
        <v>0</v>
      </c>
    </row>
    <row r="22057" spans="20:20" ht="18.75" customHeight="1" x14ac:dyDescent="0.35">
      <c r="T22057" s="246">
        <f t="shared" si="382"/>
        <v>0</v>
      </c>
    </row>
    <row r="22058" spans="20:20" ht="18.75" customHeight="1" x14ac:dyDescent="0.35">
      <c r="T22058" s="246">
        <f t="shared" si="382"/>
        <v>0</v>
      </c>
    </row>
    <row r="22059" spans="20:20" ht="18.75" customHeight="1" x14ac:dyDescent="0.35">
      <c r="T22059" s="246">
        <f t="shared" si="382"/>
        <v>0</v>
      </c>
    </row>
    <row r="22060" spans="20:20" ht="18.75" customHeight="1" x14ac:dyDescent="0.35">
      <c r="T22060" s="246">
        <f t="shared" si="382"/>
        <v>0</v>
      </c>
    </row>
    <row r="22061" spans="20:20" ht="18.75" customHeight="1" x14ac:dyDescent="0.35">
      <c r="T22061" s="246">
        <f t="shared" si="382"/>
        <v>0</v>
      </c>
    </row>
    <row r="22062" spans="20:20" ht="18.75" customHeight="1" x14ac:dyDescent="0.35">
      <c r="T22062" s="246">
        <f t="shared" si="382"/>
        <v>0</v>
      </c>
    </row>
    <row r="22063" spans="20:20" ht="18.75" customHeight="1" x14ac:dyDescent="0.35">
      <c r="T22063" s="246">
        <f t="shared" si="382"/>
        <v>0</v>
      </c>
    </row>
    <row r="22064" spans="20:20" ht="18.75" customHeight="1" x14ac:dyDescent="0.35">
      <c r="T22064" s="246">
        <f t="shared" si="382"/>
        <v>0</v>
      </c>
    </row>
    <row r="22065" spans="20:20" ht="18.75" customHeight="1" x14ac:dyDescent="0.35">
      <c r="T22065" s="246">
        <f t="shared" si="382"/>
        <v>0</v>
      </c>
    </row>
    <row r="22066" spans="20:20" ht="18.75" customHeight="1" x14ac:dyDescent="0.35">
      <c r="T22066" s="246">
        <f t="shared" si="382"/>
        <v>0</v>
      </c>
    </row>
    <row r="22067" spans="20:20" ht="18.75" customHeight="1" x14ac:dyDescent="0.35">
      <c r="T22067" s="246">
        <f t="shared" si="382"/>
        <v>0</v>
      </c>
    </row>
    <row r="22068" spans="20:20" ht="18.75" customHeight="1" x14ac:dyDescent="0.35">
      <c r="T22068" s="246">
        <f t="shared" si="382"/>
        <v>0</v>
      </c>
    </row>
    <row r="22069" spans="20:20" ht="18.75" customHeight="1" x14ac:dyDescent="0.35">
      <c r="T22069" s="246">
        <f t="shared" si="382"/>
        <v>0</v>
      </c>
    </row>
    <row r="22070" spans="20:20" ht="18.75" customHeight="1" x14ac:dyDescent="0.35">
      <c r="T22070" s="246">
        <f t="shared" si="382"/>
        <v>0</v>
      </c>
    </row>
    <row r="22071" spans="20:20" ht="18.75" customHeight="1" x14ac:dyDescent="0.35">
      <c r="T22071" s="246">
        <f t="shared" si="382"/>
        <v>0</v>
      </c>
    </row>
    <row r="22072" spans="20:20" ht="18.75" customHeight="1" x14ac:dyDescent="0.35">
      <c r="T22072" s="246">
        <f t="shared" si="382"/>
        <v>0</v>
      </c>
    </row>
    <row r="22073" spans="20:20" ht="18.75" customHeight="1" x14ac:dyDescent="0.35">
      <c r="T22073" s="246">
        <f t="shared" si="382"/>
        <v>0</v>
      </c>
    </row>
    <row r="22074" spans="20:20" ht="18.75" customHeight="1" x14ac:dyDescent="0.35">
      <c r="T22074" s="246">
        <f t="shared" si="382"/>
        <v>0</v>
      </c>
    </row>
    <row r="22075" spans="20:20" ht="18.75" customHeight="1" x14ac:dyDescent="0.35">
      <c r="T22075" s="246">
        <f t="shared" si="382"/>
        <v>0</v>
      </c>
    </row>
    <row r="22076" spans="20:20" ht="18.75" customHeight="1" x14ac:dyDescent="0.35">
      <c r="T22076" s="246">
        <f t="shared" ref="T22076:T22139" si="383">R22076*0.01</f>
        <v>0</v>
      </c>
    </row>
    <row r="22077" spans="20:20" ht="18.75" customHeight="1" x14ac:dyDescent="0.35">
      <c r="T22077" s="246">
        <f t="shared" si="383"/>
        <v>0</v>
      </c>
    </row>
    <row r="22078" spans="20:20" ht="18.75" customHeight="1" x14ac:dyDescent="0.35">
      <c r="T22078" s="246">
        <f t="shared" si="383"/>
        <v>0</v>
      </c>
    </row>
    <row r="22079" spans="20:20" ht="18.75" customHeight="1" x14ac:dyDescent="0.35">
      <c r="T22079" s="246">
        <f t="shared" si="383"/>
        <v>0</v>
      </c>
    </row>
    <row r="22080" spans="20:20" ht="18.75" customHeight="1" x14ac:dyDescent="0.35">
      <c r="T22080" s="246">
        <f t="shared" si="383"/>
        <v>0</v>
      </c>
    </row>
    <row r="22081" spans="20:20" ht="18.75" customHeight="1" x14ac:dyDescent="0.35">
      <c r="T22081" s="246">
        <f t="shared" si="383"/>
        <v>0</v>
      </c>
    </row>
    <row r="22082" spans="20:20" ht="18.75" customHeight="1" x14ac:dyDescent="0.35">
      <c r="T22082" s="246">
        <f t="shared" si="383"/>
        <v>0</v>
      </c>
    </row>
    <row r="22083" spans="20:20" ht="18.75" customHeight="1" x14ac:dyDescent="0.35">
      <c r="T22083" s="246">
        <f t="shared" si="383"/>
        <v>0</v>
      </c>
    </row>
    <row r="22084" spans="20:20" ht="18.75" customHeight="1" x14ac:dyDescent="0.35">
      <c r="T22084" s="246">
        <f t="shared" si="383"/>
        <v>0</v>
      </c>
    </row>
    <row r="22085" spans="20:20" ht="18.75" customHeight="1" x14ac:dyDescent="0.35">
      <c r="T22085" s="246">
        <f t="shared" si="383"/>
        <v>0</v>
      </c>
    </row>
    <row r="22086" spans="20:20" ht="18.75" customHeight="1" x14ac:dyDescent="0.35">
      <c r="T22086" s="246">
        <f t="shared" si="383"/>
        <v>0</v>
      </c>
    </row>
    <row r="22087" spans="20:20" ht="18.75" customHeight="1" x14ac:dyDescent="0.35">
      <c r="T22087" s="246">
        <f t="shared" si="383"/>
        <v>0</v>
      </c>
    </row>
    <row r="22088" spans="20:20" ht="18.75" customHeight="1" x14ac:dyDescent="0.35">
      <c r="T22088" s="246">
        <f t="shared" si="383"/>
        <v>0</v>
      </c>
    </row>
    <row r="22089" spans="20:20" ht="18.75" customHeight="1" x14ac:dyDescent="0.35">
      <c r="T22089" s="246">
        <f t="shared" si="383"/>
        <v>0</v>
      </c>
    </row>
    <row r="22090" spans="20:20" ht="18.75" customHeight="1" x14ac:dyDescent="0.35">
      <c r="T22090" s="246">
        <f t="shared" si="383"/>
        <v>0</v>
      </c>
    </row>
    <row r="22091" spans="20:20" ht="18.75" customHeight="1" x14ac:dyDescent="0.35">
      <c r="T22091" s="246">
        <f t="shared" si="383"/>
        <v>0</v>
      </c>
    </row>
    <row r="22092" spans="20:20" ht="18.75" customHeight="1" x14ac:dyDescent="0.35">
      <c r="T22092" s="246">
        <f t="shared" si="383"/>
        <v>0</v>
      </c>
    </row>
    <row r="22093" spans="20:20" ht="18.75" customHeight="1" x14ac:dyDescent="0.35">
      <c r="T22093" s="246">
        <f t="shared" si="383"/>
        <v>0</v>
      </c>
    </row>
    <row r="22094" spans="20:20" ht="18.75" customHeight="1" x14ac:dyDescent="0.35">
      <c r="T22094" s="246">
        <f t="shared" si="383"/>
        <v>0</v>
      </c>
    </row>
    <row r="22095" spans="20:20" ht="18.75" customHeight="1" x14ac:dyDescent="0.35">
      <c r="T22095" s="246">
        <f t="shared" si="383"/>
        <v>0</v>
      </c>
    </row>
    <row r="22096" spans="20:20" ht="18.75" customHeight="1" x14ac:dyDescent="0.35">
      <c r="T22096" s="246">
        <f t="shared" si="383"/>
        <v>0</v>
      </c>
    </row>
    <row r="22097" spans="20:20" ht="18.75" customHeight="1" x14ac:dyDescent="0.35">
      <c r="T22097" s="246">
        <f t="shared" si="383"/>
        <v>0</v>
      </c>
    </row>
    <row r="22098" spans="20:20" ht="18.75" customHeight="1" x14ac:dyDescent="0.35">
      <c r="T22098" s="246">
        <f t="shared" si="383"/>
        <v>0</v>
      </c>
    </row>
    <row r="22099" spans="20:20" ht="18.75" customHeight="1" x14ac:dyDescent="0.35">
      <c r="T22099" s="246">
        <f t="shared" si="383"/>
        <v>0</v>
      </c>
    </row>
    <row r="22100" spans="20:20" ht="18.75" customHeight="1" x14ac:dyDescent="0.35">
      <c r="T22100" s="246">
        <f t="shared" si="383"/>
        <v>0</v>
      </c>
    </row>
    <row r="22101" spans="20:20" ht="18.75" customHeight="1" x14ac:dyDescent="0.35">
      <c r="T22101" s="246">
        <f t="shared" si="383"/>
        <v>0</v>
      </c>
    </row>
    <row r="22102" spans="20:20" ht="18.75" customHeight="1" x14ac:dyDescent="0.35">
      <c r="T22102" s="246">
        <f t="shared" si="383"/>
        <v>0</v>
      </c>
    </row>
    <row r="22103" spans="20:20" ht="18.75" customHeight="1" x14ac:dyDescent="0.35">
      <c r="T22103" s="246">
        <f t="shared" si="383"/>
        <v>0</v>
      </c>
    </row>
    <row r="22104" spans="20:20" ht="18.75" customHeight="1" x14ac:dyDescent="0.35">
      <c r="T22104" s="246">
        <f t="shared" si="383"/>
        <v>0</v>
      </c>
    </row>
    <row r="22105" spans="20:20" ht="18.75" customHeight="1" x14ac:dyDescent="0.35">
      <c r="T22105" s="246">
        <f t="shared" si="383"/>
        <v>0</v>
      </c>
    </row>
    <row r="22106" spans="20:20" ht="18.75" customHeight="1" x14ac:dyDescent="0.35">
      <c r="T22106" s="246">
        <f t="shared" si="383"/>
        <v>0</v>
      </c>
    </row>
    <row r="22107" spans="20:20" ht="18.75" customHeight="1" x14ac:dyDescent="0.35">
      <c r="T22107" s="246">
        <f t="shared" si="383"/>
        <v>0</v>
      </c>
    </row>
    <row r="22108" spans="20:20" ht="18.75" customHeight="1" x14ac:dyDescent="0.35">
      <c r="T22108" s="246">
        <f t="shared" si="383"/>
        <v>0</v>
      </c>
    </row>
    <row r="22109" spans="20:20" ht="18.75" customHeight="1" x14ac:dyDescent="0.35">
      <c r="T22109" s="246">
        <f t="shared" si="383"/>
        <v>0</v>
      </c>
    </row>
    <row r="22110" spans="20:20" ht="18.75" customHeight="1" x14ac:dyDescent="0.35">
      <c r="T22110" s="246">
        <f t="shared" si="383"/>
        <v>0</v>
      </c>
    </row>
    <row r="22111" spans="20:20" ht="18.75" customHeight="1" x14ac:dyDescent="0.35">
      <c r="T22111" s="246">
        <f t="shared" si="383"/>
        <v>0</v>
      </c>
    </row>
    <row r="22112" spans="20:20" ht="18.75" customHeight="1" x14ac:dyDescent="0.35">
      <c r="T22112" s="246">
        <f t="shared" si="383"/>
        <v>0</v>
      </c>
    </row>
    <row r="22113" spans="20:20" ht="18.75" customHeight="1" x14ac:dyDescent="0.35">
      <c r="T22113" s="246">
        <f t="shared" si="383"/>
        <v>0</v>
      </c>
    </row>
    <row r="22114" spans="20:20" ht="18.75" customHeight="1" x14ac:dyDescent="0.35">
      <c r="T22114" s="246">
        <f t="shared" si="383"/>
        <v>0</v>
      </c>
    </row>
    <row r="22115" spans="20:20" ht="18.75" customHeight="1" x14ac:dyDescent="0.35">
      <c r="T22115" s="246">
        <f t="shared" si="383"/>
        <v>0</v>
      </c>
    </row>
    <row r="22116" spans="20:20" ht="18.75" customHeight="1" x14ac:dyDescent="0.35">
      <c r="T22116" s="246">
        <f t="shared" si="383"/>
        <v>0</v>
      </c>
    </row>
    <row r="22117" spans="20:20" ht="18.75" customHeight="1" x14ac:dyDescent="0.35">
      <c r="T22117" s="246">
        <f t="shared" si="383"/>
        <v>0</v>
      </c>
    </row>
    <row r="22118" spans="20:20" ht="18.75" customHeight="1" x14ac:dyDescent="0.35">
      <c r="T22118" s="246">
        <f t="shared" si="383"/>
        <v>0</v>
      </c>
    </row>
    <row r="22119" spans="20:20" ht="18.75" customHeight="1" x14ac:dyDescent="0.35">
      <c r="T22119" s="246">
        <f t="shared" si="383"/>
        <v>0</v>
      </c>
    </row>
    <row r="22120" spans="20:20" ht="18.75" customHeight="1" x14ac:dyDescent="0.35">
      <c r="T22120" s="246">
        <f t="shared" si="383"/>
        <v>0</v>
      </c>
    </row>
    <row r="22121" spans="20:20" ht="18.75" customHeight="1" x14ac:dyDescent="0.35">
      <c r="T22121" s="246">
        <f t="shared" si="383"/>
        <v>0</v>
      </c>
    </row>
    <row r="22122" spans="20:20" ht="18.75" customHeight="1" x14ac:dyDescent="0.35">
      <c r="T22122" s="246">
        <f t="shared" si="383"/>
        <v>0</v>
      </c>
    </row>
    <row r="22123" spans="20:20" ht="18.75" customHeight="1" x14ac:dyDescent="0.35">
      <c r="T22123" s="246">
        <f t="shared" si="383"/>
        <v>0</v>
      </c>
    </row>
    <row r="22124" spans="20:20" ht="18.75" customHeight="1" x14ac:dyDescent="0.35">
      <c r="T22124" s="246">
        <f t="shared" si="383"/>
        <v>0</v>
      </c>
    </row>
    <row r="22125" spans="20:20" ht="18.75" customHeight="1" x14ac:dyDescent="0.35">
      <c r="T22125" s="246">
        <f t="shared" si="383"/>
        <v>0</v>
      </c>
    </row>
    <row r="22126" spans="20:20" ht="18.75" customHeight="1" x14ac:dyDescent="0.35">
      <c r="T22126" s="246">
        <f t="shared" si="383"/>
        <v>0</v>
      </c>
    </row>
    <row r="22127" spans="20:20" ht="18.75" customHeight="1" x14ac:dyDescent="0.35">
      <c r="T22127" s="246">
        <f t="shared" si="383"/>
        <v>0</v>
      </c>
    </row>
    <row r="22128" spans="20:20" ht="18.75" customHeight="1" x14ac:dyDescent="0.35">
      <c r="T22128" s="246">
        <f t="shared" si="383"/>
        <v>0</v>
      </c>
    </row>
    <row r="22129" spans="20:20" ht="18.75" customHeight="1" x14ac:dyDescent="0.35">
      <c r="T22129" s="246">
        <f t="shared" si="383"/>
        <v>0</v>
      </c>
    </row>
    <row r="22130" spans="20:20" ht="18.75" customHeight="1" x14ac:dyDescent="0.35">
      <c r="T22130" s="246">
        <f t="shared" si="383"/>
        <v>0</v>
      </c>
    </row>
    <row r="22131" spans="20:20" ht="18.75" customHeight="1" x14ac:dyDescent="0.35">
      <c r="T22131" s="246">
        <f t="shared" si="383"/>
        <v>0</v>
      </c>
    </row>
    <row r="22132" spans="20:20" ht="18.75" customHeight="1" x14ac:dyDescent="0.35">
      <c r="T22132" s="246">
        <f t="shared" si="383"/>
        <v>0</v>
      </c>
    </row>
    <row r="22133" spans="20:20" ht="18.75" customHeight="1" x14ac:dyDescent="0.35">
      <c r="T22133" s="246">
        <f t="shared" si="383"/>
        <v>0</v>
      </c>
    </row>
    <row r="22134" spans="20:20" ht="18.75" customHeight="1" x14ac:dyDescent="0.35">
      <c r="T22134" s="246">
        <f t="shared" si="383"/>
        <v>0</v>
      </c>
    </row>
    <row r="22135" spans="20:20" ht="18.75" customHeight="1" x14ac:dyDescent="0.35">
      <c r="T22135" s="246">
        <f t="shared" si="383"/>
        <v>0</v>
      </c>
    </row>
    <row r="22136" spans="20:20" ht="18.75" customHeight="1" x14ac:dyDescent="0.35">
      <c r="T22136" s="246">
        <f t="shared" si="383"/>
        <v>0</v>
      </c>
    </row>
    <row r="22137" spans="20:20" ht="18.75" customHeight="1" x14ac:dyDescent="0.35">
      <c r="T22137" s="246">
        <f t="shared" si="383"/>
        <v>0</v>
      </c>
    </row>
    <row r="22138" spans="20:20" ht="18.75" customHeight="1" x14ac:dyDescent="0.35">
      <c r="T22138" s="246">
        <f t="shared" si="383"/>
        <v>0</v>
      </c>
    </row>
    <row r="22139" spans="20:20" ht="18.75" customHeight="1" x14ac:dyDescent="0.35">
      <c r="T22139" s="246">
        <f t="shared" si="383"/>
        <v>0</v>
      </c>
    </row>
    <row r="22140" spans="20:20" ht="18.75" customHeight="1" x14ac:dyDescent="0.35">
      <c r="T22140" s="246">
        <f t="shared" ref="T22140:T22203" si="384">R22140*0.01</f>
        <v>0</v>
      </c>
    </row>
    <row r="22141" spans="20:20" ht="18.75" customHeight="1" x14ac:dyDescent="0.35">
      <c r="T22141" s="246">
        <f t="shared" si="384"/>
        <v>0</v>
      </c>
    </row>
    <row r="22142" spans="20:20" ht="18.75" customHeight="1" x14ac:dyDescent="0.35">
      <c r="T22142" s="246">
        <f t="shared" si="384"/>
        <v>0</v>
      </c>
    </row>
    <row r="22143" spans="20:20" ht="18.75" customHeight="1" x14ac:dyDescent="0.35">
      <c r="T22143" s="246">
        <f t="shared" si="384"/>
        <v>0</v>
      </c>
    </row>
    <row r="22144" spans="20:20" ht="18.75" customHeight="1" x14ac:dyDescent="0.35">
      <c r="T22144" s="246">
        <f t="shared" si="384"/>
        <v>0</v>
      </c>
    </row>
    <row r="22145" spans="20:20" ht="18.75" customHeight="1" x14ac:dyDescent="0.35">
      <c r="T22145" s="246">
        <f t="shared" si="384"/>
        <v>0</v>
      </c>
    </row>
    <row r="22146" spans="20:20" ht="18.75" customHeight="1" x14ac:dyDescent="0.35">
      <c r="T22146" s="246">
        <f t="shared" si="384"/>
        <v>0</v>
      </c>
    </row>
    <row r="22147" spans="20:20" ht="18.75" customHeight="1" x14ac:dyDescent="0.35">
      <c r="T22147" s="246">
        <f t="shared" si="384"/>
        <v>0</v>
      </c>
    </row>
    <row r="22148" spans="20:20" ht="18.75" customHeight="1" x14ac:dyDescent="0.35">
      <c r="T22148" s="246">
        <f t="shared" si="384"/>
        <v>0</v>
      </c>
    </row>
    <row r="22149" spans="20:20" ht="18.75" customHeight="1" x14ac:dyDescent="0.35">
      <c r="T22149" s="246">
        <f t="shared" si="384"/>
        <v>0</v>
      </c>
    </row>
    <row r="22150" spans="20:20" ht="18.75" customHeight="1" x14ac:dyDescent="0.35">
      <c r="T22150" s="246">
        <f t="shared" si="384"/>
        <v>0</v>
      </c>
    </row>
    <row r="22151" spans="20:20" ht="18.75" customHeight="1" x14ac:dyDescent="0.35">
      <c r="T22151" s="246">
        <f t="shared" si="384"/>
        <v>0</v>
      </c>
    </row>
    <row r="22152" spans="20:20" ht="18.75" customHeight="1" x14ac:dyDescent="0.35">
      <c r="T22152" s="246">
        <f t="shared" si="384"/>
        <v>0</v>
      </c>
    </row>
    <row r="22153" spans="20:20" ht="18.75" customHeight="1" x14ac:dyDescent="0.35">
      <c r="T22153" s="246">
        <f t="shared" si="384"/>
        <v>0</v>
      </c>
    </row>
    <row r="22154" spans="20:20" ht="18.75" customHeight="1" x14ac:dyDescent="0.35">
      <c r="T22154" s="246">
        <f t="shared" si="384"/>
        <v>0</v>
      </c>
    </row>
    <row r="22155" spans="20:20" ht="18.75" customHeight="1" x14ac:dyDescent="0.35">
      <c r="T22155" s="246">
        <f t="shared" si="384"/>
        <v>0</v>
      </c>
    </row>
    <row r="22156" spans="20:20" ht="18.75" customHeight="1" x14ac:dyDescent="0.35">
      <c r="T22156" s="246">
        <f t="shared" si="384"/>
        <v>0</v>
      </c>
    </row>
    <row r="22157" spans="20:20" ht="18.75" customHeight="1" x14ac:dyDescent="0.35">
      <c r="T22157" s="246">
        <f t="shared" si="384"/>
        <v>0</v>
      </c>
    </row>
    <row r="22158" spans="20:20" ht="18.75" customHeight="1" x14ac:dyDescent="0.35">
      <c r="T22158" s="246">
        <f t="shared" si="384"/>
        <v>0</v>
      </c>
    </row>
    <row r="22159" spans="20:20" ht="18.75" customHeight="1" x14ac:dyDescent="0.35">
      <c r="T22159" s="246">
        <f t="shared" si="384"/>
        <v>0</v>
      </c>
    </row>
    <row r="22160" spans="20:20" ht="18.75" customHeight="1" x14ac:dyDescent="0.35">
      <c r="T22160" s="246">
        <f t="shared" si="384"/>
        <v>0</v>
      </c>
    </row>
    <row r="22161" spans="20:20" ht="18.75" customHeight="1" x14ac:dyDescent="0.35">
      <c r="T22161" s="246">
        <f t="shared" si="384"/>
        <v>0</v>
      </c>
    </row>
    <row r="22162" spans="20:20" ht="18.75" customHeight="1" x14ac:dyDescent="0.35">
      <c r="T22162" s="246">
        <f t="shared" si="384"/>
        <v>0</v>
      </c>
    </row>
    <row r="22163" spans="20:20" ht="18.75" customHeight="1" x14ac:dyDescent="0.35">
      <c r="T22163" s="246">
        <f t="shared" si="384"/>
        <v>0</v>
      </c>
    </row>
    <row r="22164" spans="20:20" ht="18.75" customHeight="1" x14ac:dyDescent="0.35">
      <c r="T22164" s="246">
        <f t="shared" si="384"/>
        <v>0</v>
      </c>
    </row>
    <row r="22165" spans="20:20" ht="18.75" customHeight="1" x14ac:dyDescent="0.35">
      <c r="T22165" s="246">
        <f t="shared" si="384"/>
        <v>0</v>
      </c>
    </row>
    <row r="22166" spans="20:20" ht="18.75" customHeight="1" x14ac:dyDescent="0.35">
      <c r="T22166" s="246">
        <f t="shared" si="384"/>
        <v>0</v>
      </c>
    </row>
    <row r="22167" spans="20:20" ht="18.75" customHeight="1" x14ac:dyDescent="0.35">
      <c r="T22167" s="246">
        <f t="shared" si="384"/>
        <v>0</v>
      </c>
    </row>
    <row r="22168" spans="20:20" ht="18.75" customHeight="1" x14ac:dyDescent="0.35">
      <c r="T22168" s="246">
        <f t="shared" si="384"/>
        <v>0</v>
      </c>
    </row>
    <row r="22169" spans="20:20" ht="18.75" customHeight="1" x14ac:dyDescent="0.35">
      <c r="T22169" s="246">
        <f t="shared" si="384"/>
        <v>0</v>
      </c>
    </row>
    <row r="22170" spans="20:20" ht="18.75" customHeight="1" x14ac:dyDescent="0.35">
      <c r="T22170" s="246">
        <f t="shared" si="384"/>
        <v>0</v>
      </c>
    </row>
    <row r="22171" spans="20:20" ht="18.75" customHeight="1" x14ac:dyDescent="0.35">
      <c r="T22171" s="246">
        <f t="shared" si="384"/>
        <v>0</v>
      </c>
    </row>
    <row r="22172" spans="20:20" ht="18.75" customHeight="1" x14ac:dyDescent="0.35">
      <c r="T22172" s="246">
        <f t="shared" si="384"/>
        <v>0</v>
      </c>
    </row>
    <row r="22173" spans="20:20" ht="18.75" customHeight="1" x14ac:dyDescent="0.35">
      <c r="T22173" s="246">
        <f t="shared" si="384"/>
        <v>0</v>
      </c>
    </row>
    <row r="22174" spans="20:20" ht="18.75" customHeight="1" x14ac:dyDescent="0.35">
      <c r="T22174" s="246">
        <f t="shared" si="384"/>
        <v>0</v>
      </c>
    </row>
    <row r="22175" spans="20:20" ht="18.75" customHeight="1" x14ac:dyDescent="0.35">
      <c r="T22175" s="246">
        <f t="shared" si="384"/>
        <v>0</v>
      </c>
    </row>
    <row r="22176" spans="20:20" ht="18.75" customHeight="1" x14ac:dyDescent="0.35">
      <c r="T22176" s="246">
        <f t="shared" si="384"/>
        <v>0</v>
      </c>
    </row>
    <row r="22177" spans="20:20" ht="18.75" customHeight="1" x14ac:dyDescent="0.35">
      <c r="T22177" s="246">
        <f t="shared" si="384"/>
        <v>0</v>
      </c>
    </row>
    <row r="22178" spans="20:20" ht="18.75" customHeight="1" x14ac:dyDescent="0.35">
      <c r="T22178" s="246">
        <f t="shared" si="384"/>
        <v>0</v>
      </c>
    </row>
    <row r="22179" spans="20:20" ht="18.75" customHeight="1" x14ac:dyDescent="0.35">
      <c r="T22179" s="246">
        <f t="shared" si="384"/>
        <v>0</v>
      </c>
    </row>
    <row r="22180" spans="20:20" ht="18.75" customHeight="1" x14ac:dyDescent="0.35">
      <c r="T22180" s="246">
        <f t="shared" si="384"/>
        <v>0</v>
      </c>
    </row>
    <row r="22181" spans="20:20" ht="18.75" customHeight="1" x14ac:dyDescent="0.35">
      <c r="T22181" s="246">
        <f t="shared" si="384"/>
        <v>0</v>
      </c>
    </row>
    <row r="22182" spans="20:20" ht="18.75" customHeight="1" x14ac:dyDescent="0.35">
      <c r="T22182" s="246">
        <f t="shared" si="384"/>
        <v>0</v>
      </c>
    </row>
    <row r="22183" spans="20:20" ht="18.75" customHeight="1" x14ac:dyDescent="0.35">
      <c r="T22183" s="246">
        <f t="shared" si="384"/>
        <v>0</v>
      </c>
    </row>
    <row r="22184" spans="20:20" ht="18.75" customHeight="1" x14ac:dyDescent="0.35">
      <c r="T22184" s="246">
        <f t="shared" si="384"/>
        <v>0</v>
      </c>
    </row>
    <row r="22185" spans="20:20" ht="18.75" customHeight="1" x14ac:dyDescent="0.35">
      <c r="T22185" s="246">
        <f t="shared" si="384"/>
        <v>0</v>
      </c>
    </row>
    <row r="22186" spans="20:20" ht="18.75" customHeight="1" x14ac:dyDescent="0.35">
      <c r="T22186" s="246">
        <f t="shared" si="384"/>
        <v>0</v>
      </c>
    </row>
    <row r="22187" spans="20:20" ht="18.75" customHeight="1" x14ac:dyDescent="0.35">
      <c r="T22187" s="246">
        <f t="shared" si="384"/>
        <v>0</v>
      </c>
    </row>
    <row r="22188" spans="20:20" ht="18.75" customHeight="1" x14ac:dyDescent="0.35">
      <c r="T22188" s="246">
        <f t="shared" si="384"/>
        <v>0</v>
      </c>
    </row>
    <row r="22189" spans="20:20" ht="18.75" customHeight="1" x14ac:dyDescent="0.35">
      <c r="T22189" s="246">
        <f t="shared" si="384"/>
        <v>0</v>
      </c>
    </row>
    <row r="22190" spans="20:20" ht="18.75" customHeight="1" x14ac:dyDescent="0.35">
      <c r="T22190" s="246">
        <f t="shared" si="384"/>
        <v>0</v>
      </c>
    </row>
    <row r="22191" spans="20:20" ht="18.75" customHeight="1" x14ac:dyDescent="0.35">
      <c r="T22191" s="246">
        <f t="shared" si="384"/>
        <v>0</v>
      </c>
    </row>
    <row r="22192" spans="20:20" ht="18.75" customHeight="1" x14ac:dyDescent="0.35">
      <c r="T22192" s="246">
        <f t="shared" si="384"/>
        <v>0</v>
      </c>
    </row>
    <row r="22193" spans="20:20" ht="18.75" customHeight="1" x14ac:dyDescent="0.35">
      <c r="T22193" s="246">
        <f t="shared" si="384"/>
        <v>0</v>
      </c>
    </row>
    <row r="22194" spans="20:20" ht="18.75" customHeight="1" x14ac:dyDescent="0.35">
      <c r="T22194" s="246">
        <f t="shared" si="384"/>
        <v>0</v>
      </c>
    </row>
    <row r="22195" spans="20:20" ht="18.75" customHeight="1" x14ac:dyDescent="0.35">
      <c r="T22195" s="246">
        <f t="shared" si="384"/>
        <v>0</v>
      </c>
    </row>
    <row r="22196" spans="20:20" ht="18.75" customHeight="1" x14ac:dyDescent="0.35">
      <c r="T22196" s="246">
        <f t="shared" si="384"/>
        <v>0</v>
      </c>
    </row>
    <row r="22197" spans="20:20" ht="18.75" customHeight="1" x14ac:dyDescent="0.35">
      <c r="T22197" s="246">
        <f t="shared" si="384"/>
        <v>0</v>
      </c>
    </row>
    <row r="22198" spans="20:20" ht="18.75" customHeight="1" x14ac:dyDescent="0.35">
      <c r="T22198" s="246">
        <f t="shared" si="384"/>
        <v>0</v>
      </c>
    </row>
    <row r="22199" spans="20:20" ht="18.75" customHeight="1" x14ac:dyDescent="0.35">
      <c r="T22199" s="246">
        <f t="shared" si="384"/>
        <v>0</v>
      </c>
    </row>
    <row r="22200" spans="20:20" ht="18.75" customHeight="1" x14ac:dyDescent="0.35">
      <c r="T22200" s="246">
        <f t="shared" si="384"/>
        <v>0</v>
      </c>
    </row>
    <row r="22201" spans="20:20" ht="18.75" customHeight="1" x14ac:dyDescent="0.35">
      <c r="T22201" s="246">
        <f t="shared" si="384"/>
        <v>0</v>
      </c>
    </row>
    <row r="22202" spans="20:20" ht="18.75" customHeight="1" x14ac:dyDescent="0.35">
      <c r="T22202" s="246">
        <f t="shared" si="384"/>
        <v>0</v>
      </c>
    </row>
    <row r="22203" spans="20:20" ht="18.75" customHeight="1" x14ac:dyDescent="0.35">
      <c r="T22203" s="246">
        <f t="shared" si="384"/>
        <v>0</v>
      </c>
    </row>
    <row r="22204" spans="20:20" ht="18.75" customHeight="1" x14ac:dyDescent="0.35">
      <c r="T22204" s="246">
        <f t="shared" ref="T22204:T22267" si="385">R22204*0.01</f>
        <v>0</v>
      </c>
    </row>
    <row r="22205" spans="20:20" ht="18.75" customHeight="1" x14ac:dyDescent="0.35">
      <c r="T22205" s="246">
        <f t="shared" si="385"/>
        <v>0</v>
      </c>
    </row>
    <row r="22206" spans="20:20" ht="18.75" customHeight="1" x14ac:dyDescent="0.35">
      <c r="T22206" s="246">
        <f t="shared" si="385"/>
        <v>0</v>
      </c>
    </row>
    <row r="22207" spans="20:20" ht="18.75" customHeight="1" x14ac:dyDescent="0.35">
      <c r="T22207" s="246">
        <f t="shared" si="385"/>
        <v>0</v>
      </c>
    </row>
    <row r="22208" spans="20:20" ht="18.75" customHeight="1" x14ac:dyDescent="0.35">
      <c r="T22208" s="246">
        <f t="shared" si="385"/>
        <v>0</v>
      </c>
    </row>
    <row r="22209" spans="20:20" ht="18.75" customHeight="1" x14ac:dyDescent="0.35">
      <c r="T22209" s="246">
        <f t="shared" si="385"/>
        <v>0</v>
      </c>
    </row>
    <row r="22210" spans="20:20" ht="18.75" customHeight="1" x14ac:dyDescent="0.35">
      <c r="T22210" s="246">
        <f t="shared" si="385"/>
        <v>0</v>
      </c>
    </row>
    <row r="22211" spans="20:20" ht="18.75" customHeight="1" x14ac:dyDescent="0.35">
      <c r="T22211" s="246">
        <f t="shared" si="385"/>
        <v>0</v>
      </c>
    </row>
    <row r="22212" spans="20:20" ht="18.75" customHeight="1" x14ac:dyDescent="0.35">
      <c r="T22212" s="246">
        <f t="shared" si="385"/>
        <v>0</v>
      </c>
    </row>
    <row r="22213" spans="20:20" ht="18.75" customHeight="1" x14ac:dyDescent="0.35">
      <c r="T22213" s="246">
        <f t="shared" si="385"/>
        <v>0</v>
      </c>
    </row>
    <row r="22214" spans="20:20" ht="18.75" customHeight="1" x14ac:dyDescent="0.35">
      <c r="T22214" s="246">
        <f t="shared" si="385"/>
        <v>0</v>
      </c>
    </row>
    <row r="22215" spans="20:20" ht="18.75" customHeight="1" x14ac:dyDescent="0.35">
      <c r="T22215" s="246">
        <f t="shared" si="385"/>
        <v>0</v>
      </c>
    </row>
    <row r="22216" spans="20:20" ht="18.75" customHeight="1" x14ac:dyDescent="0.35">
      <c r="T22216" s="246">
        <f t="shared" si="385"/>
        <v>0</v>
      </c>
    </row>
    <row r="22217" spans="20:20" ht="18.75" customHeight="1" x14ac:dyDescent="0.35">
      <c r="T22217" s="246">
        <f t="shared" si="385"/>
        <v>0</v>
      </c>
    </row>
    <row r="22218" spans="20:20" ht="18.75" customHeight="1" x14ac:dyDescent="0.35">
      <c r="T22218" s="246">
        <f t="shared" si="385"/>
        <v>0</v>
      </c>
    </row>
    <row r="22219" spans="20:20" ht="18.75" customHeight="1" x14ac:dyDescent="0.35">
      <c r="T22219" s="246">
        <f t="shared" si="385"/>
        <v>0</v>
      </c>
    </row>
    <row r="22220" spans="20:20" ht="18.75" customHeight="1" x14ac:dyDescent="0.35">
      <c r="T22220" s="246">
        <f t="shared" si="385"/>
        <v>0</v>
      </c>
    </row>
    <row r="22221" spans="20:20" ht="18.75" customHeight="1" x14ac:dyDescent="0.35">
      <c r="T22221" s="246">
        <f t="shared" si="385"/>
        <v>0</v>
      </c>
    </row>
    <row r="22222" spans="20:20" ht="18.75" customHeight="1" x14ac:dyDescent="0.35">
      <c r="T22222" s="246">
        <f t="shared" si="385"/>
        <v>0</v>
      </c>
    </row>
    <row r="22223" spans="20:20" ht="18.75" customHeight="1" x14ac:dyDescent="0.35">
      <c r="T22223" s="246">
        <f t="shared" si="385"/>
        <v>0</v>
      </c>
    </row>
    <row r="22224" spans="20:20" ht="18.75" customHeight="1" x14ac:dyDescent="0.35">
      <c r="T22224" s="246">
        <f t="shared" si="385"/>
        <v>0</v>
      </c>
    </row>
    <row r="22225" spans="20:20" ht="18.75" customHeight="1" x14ac:dyDescent="0.35">
      <c r="T22225" s="246">
        <f t="shared" si="385"/>
        <v>0</v>
      </c>
    </row>
    <row r="22226" spans="20:20" ht="18.75" customHeight="1" x14ac:dyDescent="0.35">
      <c r="T22226" s="246">
        <f t="shared" si="385"/>
        <v>0</v>
      </c>
    </row>
    <row r="22227" spans="20:20" ht="18.75" customHeight="1" x14ac:dyDescent="0.35">
      <c r="T22227" s="246">
        <f t="shared" si="385"/>
        <v>0</v>
      </c>
    </row>
    <row r="22228" spans="20:20" ht="18.75" customHeight="1" x14ac:dyDescent="0.35">
      <c r="T22228" s="246">
        <f t="shared" si="385"/>
        <v>0</v>
      </c>
    </row>
    <row r="22229" spans="20:20" ht="18.75" customHeight="1" x14ac:dyDescent="0.35">
      <c r="T22229" s="246">
        <f t="shared" si="385"/>
        <v>0</v>
      </c>
    </row>
    <row r="22230" spans="20:20" ht="18.75" customHeight="1" x14ac:dyDescent="0.35">
      <c r="T22230" s="246">
        <f t="shared" si="385"/>
        <v>0</v>
      </c>
    </row>
    <row r="22231" spans="20:20" ht="18.75" customHeight="1" x14ac:dyDescent="0.35">
      <c r="T22231" s="246">
        <f t="shared" si="385"/>
        <v>0</v>
      </c>
    </row>
    <row r="22232" spans="20:20" ht="18.75" customHeight="1" x14ac:dyDescent="0.35">
      <c r="T22232" s="246">
        <f t="shared" si="385"/>
        <v>0</v>
      </c>
    </row>
    <row r="22233" spans="20:20" ht="18.75" customHeight="1" x14ac:dyDescent="0.35">
      <c r="T22233" s="246">
        <f t="shared" si="385"/>
        <v>0</v>
      </c>
    </row>
    <row r="22234" spans="20:20" ht="18.75" customHeight="1" x14ac:dyDescent="0.35">
      <c r="T22234" s="246">
        <f t="shared" si="385"/>
        <v>0</v>
      </c>
    </row>
    <row r="22235" spans="20:20" ht="18.75" customHeight="1" x14ac:dyDescent="0.35">
      <c r="T22235" s="246">
        <f t="shared" si="385"/>
        <v>0</v>
      </c>
    </row>
    <row r="22236" spans="20:20" ht="18.75" customHeight="1" x14ac:dyDescent="0.35">
      <c r="T22236" s="246">
        <f t="shared" si="385"/>
        <v>0</v>
      </c>
    </row>
    <row r="22237" spans="20:20" ht="18.75" customHeight="1" x14ac:dyDescent="0.35">
      <c r="T22237" s="246">
        <f t="shared" si="385"/>
        <v>0</v>
      </c>
    </row>
    <row r="22238" spans="20:20" ht="18.75" customHeight="1" x14ac:dyDescent="0.35">
      <c r="T22238" s="246">
        <f t="shared" si="385"/>
        <v>0</v>
      </c>
    </row>
    <row r="22239" spans="20:20" ht="18.75" customHeight="1" x14ac:dyDescent="0.35">
      <c r="T22239" s="246">
        <f t="shared" si="385"/>
        <v>0</v>
      </c>
    </row>
    <row r="22240" spans="20:20" ht="18.75" customHeight="1" x14ac:dyDescent="0.35">
      <c r="T22240" s="246">
        <f t="shared" si="385"/>
        <v>0</v>
      </c>
    </row>
    <row r="22241" spans="20:20" ht="18.75" customHeight="1" x14ac:dyDescent="0.35">
      <c r="T22241" s="246">
        <f t="shared" si="385"/>
        <v>0</v>
      </c>
    </row>
    <row r="22242" spans="20:20" ht="18.75" customHeight="1" x14ac:dyDescent="0.35">
      <c r="T22242" s="246">
        <f t="shared" si="385"/>
        <v>0</v>
      </c>
    </row>
    <row r="22243" spans="20:20" ht="18.75" customHeight="1" x14ac:dyDescent="0.35">
      <c r="T22243" s="246">
        <f t="shared" si="385"/>
        <v>0</v>
      </c>
    </row>
    <row r="22244" spans="20:20" ht="18.75" customHeight="1" x14ac:dyDescent="0.35">
      <c r="T22244" s="246">
        <f t="shared" si="385"/>
        <v>0</v>
      </c>
    </row>
    <row r="22245" spans="20:20" ht="18.75" customHeight="1" x14ac:dyDescent="0.35">
      <c r="T22245" s="246">
        <f t="shared" si="385"/>
        <v>0</v>
      </c>
    </row>
    <row r="22246" spans="20:20" ht="18.75" customHeight="1" x14ac:dyDescent="0.35">
      <c r="T22246" s="246">
        <f t="shared" si="385"/>
        <v>0</v>
      </c>
    </row>
    <row r="22247" spans="20:20" ht="18.75" customHeight="1" x14ac:dyDescent="0.35">
      <c r="T22247" s="246">
        <f t="shared" si="385"/>
        <v>0</v>
      </c>
    </row>
    <row r="22248" spans="20:20" ht="18.75" customHeight="1" x14ac:dyDescent="0.35">
      <c r="T22248" s="246">
        <f t="shared" si="385"/>
        <v>0</v>
      </c>
    </row>
    <row r="22249" spans="20:20" ht="18.75" customHeight="1" x14ac:dyDescent="0.35">
      <c r="T22249" s="246">
        <f t="shared" si="385"/>
        <v>0</v>
      </c>
    </row>
    <row r="22250" spans="20:20" ht="18.75" customHeight="1" x14ac:dyDescent="0.35">
      <c r="T22250" s="246">
        <f t="shared" si="385"/>
        <v>0</v>
      </c>
    </row>
    <row r="22251" spans="20:20" ht="18.75" customHeight="1" x14ac:dyDescent="0.35">
      <c r="T22251" s="246">
        <f t="shared" si="385"/>
        <v>0</v>
      </c>
    </row>
    <row r="22252" spans="20:20" ht="18.75" customHeight="1" x14ac:dyDescent="0.35">
      <c r="T22252" s="246">
        <f t="shared" si="385"/>
        <v>0</v>
      </c>
    </row>
    <row r="22253" spans="20:20" ht="18.75" customHeight="1" x14ac:dyDescent="0.35">
      <c r="T22253" s="246">
        <f t="shared" si="385"/>
        <v>0</v>
      </c>
    </row>
    <row r="22254" spans="20:20" ht="18.75" customHeight="1" x14ac:dyDescent="0.35">
      <c r="T22254" s="246">
        <f t="shared" si="385"/>
        <v>0</v>
      </c>
    </row>
    <row r="22255" spans="20:20" ht="18.75" customHeight="1" x14ac:dyDescent="0.35">
      <c r="T22255" s="246">
        <f t="shared" si="385"/>
        <v>0</v>
      </c>
    </row>
    <row r="22256" spans="20:20" ht="18.75" customHeight="1" x14ac:dyDescent="0.35">
      <c r="T22256" s="246">
        <f t="shared" si="385"/>
        <v>0</v>
      </c>
    </row>
    <row r="22257" spans="20:20" ht="18.75" customHeight="1" x14ac:dyDescent="0.35">
      <c r="T22257" s="246">
        <f t="shared" si="385"/>
        <v>0</v>
      </c>
    </row>
    <row r="22258" spans="20:20" ht="18.75" customHeight="1" x14ac:dyDescent="0.35">
      <c r="T22258" s="246">
        <f t="shared" si="385"/>
        <v>0</v>
      </c>
    </row>
    <row r="22259" spans="20:20" ht="18.75" customHeight="1" x14ac:dyDescent="0.35">
      <c r="T22259" s="246">
        <f t="shared" si="385"/>
        <v>0</v>
      </c>
    </row>
    <row r="22260" spans="20:20" ht="18.75" customHeight="1" x14ac:dyDescent="0.35">
      <c r="T22260" s="246">
        <f t="shared" si="385"/>
        <v>0</v>
      </c>
    </row>
    <row r="22261" spans="20:20" ht="18.75" customHeight="1" x14ac:dyDescent="0.35">
      <c r="T22261" s="246">
        <f t="shared" si="385"/>
        <v>0</v>
      </c>
    </row>
    <row r="22262" spans="20:20" ht="18.75" customHeight="1" x14ac:dyDescent="0.35">
      <c r="T22262" s="246">
        <f t="shared" si="385"/>
        <v>0</v>
      </c>
    </row>
    <row r="22263" spans="20:20" ht="18.75" customHeight="1" x14ac:dyDescent="0.35">
      <c r="T22263" s="246">
        <f t="shared" si="385"/>
        <v>0</v>
      </c>
    </row>
    <row r="22264" spans="20:20" ht="18.75" customHeight="1" x14ac:dyDescent="0.35">
      <c r="T22264" s="246">
        <f t="shared" si="385"/>
        <v>0</v>
      </c>
    </row>
    <row r="22265" spans="20:20" ht="18.75" customHeight="1" x14ac:dyDescent="0.35">
      <c r="T22265" s="246">
        <f t="shared" si="385"/>
        <v>0</v>
      </c>
    </row>
    <row r="22266" spans="20:20" ht="18.75" customHeight="1" x14ac:dyDescent="0.35">
      <c r="T22266" s="246">
        <f t="shared" si="385"/>
        <v>0</v>
      </c>
    </row>
    <row r="22267" spans="20:20" ht="18.75" customHeight="1" x14ac:dyDescent="0.35">
      <c r="T22267" s="246">
        <f t="shared" si="385"/>
        <v>0</v>
      </c>
    </row>
    <row r="22268" spans="20:20" ht="18.75" customHeight="1" x14ac:dyDescent="0.35">
      <c r="T22268" s="246">
        <f t="shared" ref="T22268:T22331" si="386">R22268*0.01</f>
        <v>0</v>
      </c>
    </row>
    <row r="22269" spans="20:20" ht="18.75" customHeight="1" x14ac:dyDescent="0.35">
      <c r="T22269" s="246">
        <f t="shared" si="386"/>
        <v>0</v>
      </c>
    </row>
    <row r="22270" spans="20:20" ht="18.75" customHeight="1" x14ac:dyDescent="0.35">
      <c r="T22270" s="246">
        <f t="shared" si="386"/>
        <v>0</v>
      </c>
    </row>
    <row r="22271" spans="20:20" ht="18.75" customHeight="1" x14ac:dyDescent="0.35">
      <c r="T22271" s="246">
        <f t="shared" si="386"/>
        <v>0</v>
      </c>
    </row>
    <row r="22272" spans="20:20" ht="18.75" customHeight="1" x14ac:dyDescent="0.35">
      <c r="T22272" s="246">
        <f t="shared" si="386"/>
        <v>0</v>
      </c>
    </row>
    <row r="22273" spans="20:20" ht="18.75" customHeight="1" x14ac:dyDescent="0.35">
      <c r="T22273" s="246">
        <f t="shared" si="386"/>
        <v>0</v>
      </c>
    </row>
    <row r="22274" spans="20:20" ht="18.75" customHeight="1" x14ac:dyDescent="0.35">
      <c r="T22274" s="246">
        <f t="shared" si="386"/>
        <v>0</v>
      </c>
    </row>
    <row r="22275" spans="20:20" ht="18.75" customHeight="1" x14ac:dyDescent="0.35">
      <c r="T22275" s="246">
        <f t="shared" si="386"/>
        <v>0</v>
      </c>
    </row>
    <row r="22276" spans="20:20" ht="18.75" customHeight="1" x14ac:dyDescent="0.35">
      <c r="T22276" s="246">
        <f t="shared" si="386"/>
        <v>0</v>
      </c>
    </row>
    <row r="22277" spans="20:20" ht="18.75" customHeight="1" x14ac:dyDescent="0.35">
      <c r="T22277" s="246">
        <f t="shared" si="386"/>
        <v>0</v>
      </c>
    </row>
    <row r="22278" spans="20:20" ht="18.75" customHeight="1" x14ac:dyDescent="0.35">
      <c r="T22278" s="246">
        <f t="shared" si="386"/>
        <v>0</v>
      </c>
    </row>
    <row r="22279" spans="20:20" ht="18.75" customHeight="1" x14ac:dyDescent="0.35">
      <c r="T22279" s="246">
        <f t="shared" si="386"/>
        <v>0</v>
      </c>
    </row>
    <row r="22280" spans="20:20" ht="18.75" customHeight="1" x14ac:dyDescent="0.35">
      <c r="T22280" s="246">
        <f t="shared" si="386"/>
        <v>0</v>
      </c>
    </row>
    <row r="22281" spans="20:20" ht="18.75" customHeight="1" x14ac:dyDescent="0.35">
      <c r="T22281" s="246">
        <f t="shared" si="386"/>
        <v>0</v>
      </c>
    </row>
    <row r="22282" spans="20:20" ht="18.75" customHeight="1" x14ac:dyDescent="0.35">
      <c r="T22282" s="246">
        <f t="shared" si="386"/>
        <v>0</v>
      </c>
    </row>
    <row r="22283" spans="20:20" ht="18.75" customHeight="1" x14ac:dyDescent="0.35">
      <c r="T22283" s="246">
        <f t="shared" si="386"/>
        <v>0</v>
      </c>
    </row>
    <row r="22284" spans="20:20" ht="18.75" customHeight="1" x14ac:dyDescent="0.35">
      <c r="T22284" s="246">
        <f t="shared" si="386"/>
        <v>0</v>
      </c>
    </row>
    <row r="22285" spans="20:20" ht="18.75" customHeight="1" x14ac:dyDescent="0.35">
      <c r="T22285" s="246">
        <f t="shared" si="386"/>
        <v>0</v>
      </c>
    </row>
    <row r="22286" spans="20:20" ht="18.75" customHeight="1" x14ac:dyDescent="0.35">
      <c r="T22286" s="246">
        <f t="shared" si="386"/>
        <v>0</v>
      </c>
    </row>
    <row r="22287" spans="20:20" ht="18.75" customHeight="1" x14ac:dyDescent="0.35">
      <c r="T22287" s="246">
        <f t="shared" si="386"/>
        <v>0</v>
      </c>
    </row>
    <row r="22288" spans="20:20" ht="18.75" customHeight="1" x14ac:dyDescent="0.35">
      <c r="T22288" s="246">
        <f t="shared" si="386"/>
        <v>0</v>
      </c>
    </row>
    <row r="22289" spans="20:20" ht="18.75" customHeight="1" x14ac:dyDescent="0.35">
      <c r="T22289" s="246">
        <f t="shared" si="386"/>
        <v>0</v>
      </c>
    </row>
    <row r="22290" spans="20:20" ht="18.75" customHeight="1" x14ac:dyDescent="0.35">
      <c r="T22290" s="246">
        <f t="shared" si="386"/>
        <v>0</v>
      </c>
    </row>
    <row r="22291" spans="20:20" ht="18.75" customHeight="1" x14ac:dyDescent="0.35">
      <c r="T22291" s="246">
        <f t="shared" si="386"/>
        <v>0</v>
      </c>
    </row>
    <row r="22292" spans="20:20" ht="18.75" customHeight="1" x14ac:dyDescent="0.35">
      <c r="T22292" s="246">
        <f t="shared" si="386"/>
        <v>0</v>
      </c>
    </row>
    <row r="22293" spans="20:20" ht="18.75" customHeight="1" x14ac:dyDescent="0.35">
      <c r="T22293" s="246">
        <f t="shared" si="386"/>
        <v>0</v>
      </c>
    </row>
    <row r="22294" spans="20:20" ht="18.75" customHeight="1" x14ac:dyDescent="0.35">
      <c r="T22294" s="246">
        <f t="shared" si="386"/>
        <v>0</v>
      </c>
    </row>
    <row r="22295" spans="20:20" ht="18.75" customHeight="1" x14ac:dyDescent="0.35">
      <c r="T22295" s="246">
        <f t="shared" si="386"/>
        <v>0</v>
      </c>
    </row>
    <row r="22296" spans="20:20" ht="18.75" customHeight="1" x14ac:dyDescent="0.35">
      <c r="T22296" s="246">
        <f t="shared" si="386"/>
        <v>0</v>
      </c>
    </row>
    <row r="22297" spans="20:20" ht="18.75" customHeight="1" x14ac:dyDescent="0.35">
      <c r="T22297" s="246">
        <f t="shared" si="386"/>
        <v>0</v>
      </c>
    </row>
    <row r="22298" spans="20:20" ht="18.75" customHeight="1" x14ac:dyDescent="0.35">
      <c r="T22298" s="246">
        <f t="shared" si="386"/>
        <v>0</v>
      </c>
    </row>
    <row r="22299" spans="20:20" ht="18.75" customHeight="1" x14ac:dyDescent="0.35">
      <c r="T22299" s="246">
        <f t="shared" si="386"/>
        <v>0</v>
      </c>
    </row>
    <row r="22300" spans="20:20" ht="18.75" customHeight="1" x14ac:dyDescent="0.35">
      <c r="T22300" s="246">
        <f t="shared" si="386"/>
        <v>0</v>
      </c>
    </row>
    <row r="22301" spans="20:20" ht="18.75" customHeight="1" x14ac:dyDescent="0.35">
      <c r="T22301" s="246">
        <f t="shared" si="386"/>
        <v>0</v>
      </c>
    </row>
    <row r="22302" spans="20:20" ht="18.75" customHeight="1" x14ac:dyDescent="0.35">
      <c r="T22302" s="246">
        <f t="shared" si="386"/>
        <v>0</v>
      </c>
    </row>
    <row r="22303" spans="20:20" ht="18.75" customHeight="1" x14ac:dyDescent="0.35">
      <c r="T22303" s="246">
        <f t="shared" si="386"/>
        <v>0</v>
      </c>
    </row>
    <row r="22304" spans="20:20" ht="18.75" customHeight="1" x14ac:dyDescent="0.35">
      <c r="T22304" s="246">
        <f t="shared" si="386"/>
        <v>0</v>
      </c>
    </row>
    <row r="22305" spans="20:20" ht="18.75" customHeight="1" x14ac:dyDescent="0.35">
      <c r="T22305" s="246">
        <f t="shared" si="386"/>
        <v>0</v>
      </c>
    </row>
    <row r="22306" spans="20:20" ht="18.75" customHeight="1" x14ac:dyDescent="0.35">
      <c r="T22306" s="246">
        <f t="shared" si="386"/>
        <v>0</v>
      </c>
    </row>
    <row r="22307" spans="20:20" ht="18.75" customHeight="1" x14ac:dyDescent="0.35">
      <c r="T22307" s="246">
        <f t="shared" si="386"/>
        <v>0</v>
      </c>
    </row>
    <row r="22308" spans="20:20" ht="18.75" customHeight="1" x14ac:dyDescent="0.35">
      <c r="T22308" s="246">
        <f t="shared" si="386"/>
        <v>0</v>
      </c>
    </row>
    <row r="22309" spans="20:20" ht="18.75" customHeight="1" x14ac:dyDescent="0.35">
      <c r="T22309" s="246">
        <f t="shared" si="386"/>
        <v>0</v>
      </c>
    </row>
    <row r="22310" spans="20:20" ht="18.75" customHeight="1" x14ac:dyDescent="0.35">
      <c r="T22310" s="246">
        <f t="shared" si="386"/>
        <v>0</v>
      </c>
    </row>
    <row r="22311" spans="20:20" ht="18.75" customHeight="1" x14ac:dyDescent="0.35">
      <c r="T22311" s="246">
        <f t="shared" si="386"/>
        <v>0</v>
      </c>
    </row>
    <row r="22312" spans="20:20" ht="18.75" customHeight="1" x14ac:dyDescent="0.35">
      <c r="T22312" s="246">
        <f t="shared" si="386"/>
        <v>0</v>
      </c>
    </row>
    <row r="22313" spans="20:20" ht="18.75" customHeight="1" x14ac:dyDescent="0.35">
      <c r="T22313" s="246">
        <f t="shared" si="386"/>
        <v>0</v>
      </c>
    </row>
    <row r="22314" spans="20:20" ht="18.75" customHeight="1" x14ac:dyDescent="0.35">
      <c r="T22314" s="246">
        <f t="shared" si="386"/>
        <v>0</v>
      </c>
    </row>
    <row r="22315" spans="20:20" ht="18.75" customHeight="1" x14ac:dyDescent="0.35">
      <c r="T22315" s="246">
        <f t="shared" si="386"/>
        <v>0</v>
      </c>
    </row>
    <row r="22316" spans="20:20" ht="18.75" customHeight="1" x14ac:dyDescent="0.35">
      <c r="T22316" s="246">
        <f t="shared" si="386"/>
        <v>0</v>
      </c>
    </row>
    <row r="22317" spans="20:20" ht="18.75" customHeight="1" x14ac:dyDescent="0.35">
      <c r="T22317" s="246">
        <f t="shared" si="386"/>
        <v>0</v>
      </c>
    </row>
    <row r="22318" spans="20:20" ht="18.75" customHeight="1" x14ac:dyDescent="0.35">
      <c r="T22318" s="246">
        <f t="shared" si="386"/>
        <v>0</v>
      </c>
    </row>
    <row r="22319" spans="20:20" ht="18.75" customHeight="1" x14ac:dyDescent="0.35">
      <c r="T22319" s="246">
        <f t="shared" si="386"/>
        <v>0</v>
      </c>
    </row>
    <row r="22320" spans="20:20" ht="18.75" customHeight="1" x14ac:dyDescent="0.35">
      <c r="T22320" s="246">
        <f t="shared" si="386"/>
        <v>0</v>
      </c>
    </row>
    <row r="22321" spans="20:20" ht="18.75" customHeight="1" x14ac:dyDescent="0.35">
      <c r="T22321" s="246">
        <f t="shared" si="386"/>
        <v>0</v>
      </c>
    </row>
    <row r="22322" spans="20:20" ht="18.75" customHeight="1" x14ac:dyDescent="0.35">
      <c r="T22322" s="246">
        <f t="shared" si="386"/>
        <v>0</v>
      </c>
    </row>
    <row r="22323" spans="20:20" ht="18.75" customHeight="1" x14ac:dyDescent="0.35">
      <c r="T22323" s="246">
        <f t="shared" si="386"/>
        <v>0</v>
      </c>
    </row>
    <row r="22324" spans="20:20" ht="18.75" customHeight="1" x14ac:dyDescent="0.35">
      <c r="T22324" s="246">
        <f t="shared" si="386"/>
        <v>0</v>
      </c>
    </row>
    <row r="22325" spans="20:20" ht="18.75" customHeight="1" x14ac:dyDescent="0.35">
      <c r="T22325" s="246">
        <f t="shared" si="386"/>
        <v>0</v>
      </c>
    </row>
    <row r="22326" spans="20:20" ht="18.75" customHeight="1" x14ac:dyDescent="0.35">
      <c r="T22326" s="246">
        <f t="shared" si="386"/>
        <v>0</v>
      </c>
    </row>
    <row r="22327" spans="20:20" ht="18.75" customHeight="1" x14ac:dyDescent="0.35">
      <c r="T22327" s="246">
        <f t="shared" si="386"/>
        <v>0</v>
      </c>
    </row>
    <row r="22328" spans="20:20" ht="18.75" customHeight="1" x14ac:dyDescent="0.35">
      <c r="T22328" s="246">
        <f t="shared" si="386"/>
        <v>0</v>
      </c>
    </row>
    <row r="22329" spans="20:20" ht="18.75" customHeight="1" x14ac:dyDescent="0.35">
      <c r="T22329" s="246">
        <f t="shared" si="386"/>
        <v>0</v>
      </c>
    </row>
    <row r="22330" spans="20:20" ht="18.75" customHeight="1" x14ac:dyDescent="0.35">
      <c r="T22330" s="246">
        <f t="shared" si="386"/>
        <v>0</v>
      </c>
    </row>
    <row r="22331" spans="20:20" ht="18.75" customHeight="1" x14ac:dyDescent="0.35">
      <c r="T22331" s="246">
        <f t="shared" si="386"/>
        <v>0</v>
      </c>
    </row>
    <row r="22332" spans="20:20" ht="18.75" customHeight="1" x14ac:dyDescent="0.35">
      <c r="T22332" s="246">
        <f t="shared" ref="T22332:T22395" si="387">R22332*0.01</f>
        <v>0</v>
      </c>
    </row>
    <row r="22333" spans="20:20" ht="18.75" customHeight="1" x14ac:dyDescent="0.35">
      <c r="T22333" s="246">
        <f t="shared" si="387"/>
        <v>0</v>
      </c>
    </row>
    <row r="22334" spans="20:20" ht="18.75" customHeight="1" x14ac:dyDescent="0.35">
      <c r="T22334" s="246">
        <f t="shared" si="387"/>
        <v>0</v>
      </c>
    </row>
    <row r="22335" spans="20:20" ht="18.75" customHeight="1" x14ac:dyDescent="0.35">
      <c r="T22335" s="246">
        <f t="shared" si="387"/>
        <v>0</v>
      </c>
    </row>
    <row r="22336" spans="20:20" ht="18.75" customHeight="1" x14ac:dyDescent="0.35">
      <c r="T22336" s="246">
        <f t="shared" si="387"/>
        <v>0</v>
      </c>
    </row>
    <row r="22337" spans="20:20" ht="18.75" customHeight="1" x14ac:dyDescent="0.35">
      <c r="T22337" s="246">
        <f t="shared" si="387"/>
        <v>0</v>
      </c>
    </row>
    <row r="22338" spans="20:20" ht="18.75" customHeight="1" x14ac:dyDescent="0.35">
      <c r="T22338" s="246">
        <f t="shared" si="387"/>
        <v>0</v>
      </c>
    </row>
    <row r="22339" spans="20:20" ht="18.75" customHeight="1" x14ac:dyDescent="0.35">
      <c r="T22339" s="246">
        <f t="shared" si="387"/>
        <v>0</v>
      </c>
    </row>
    <row r="22340" spans="20:20" ht="18.75" customHeight="1" x14ac:dyDescent="0.35">
      <c r="T22340" s="246">
        <f t="shared" si="387"/>
        <v>0</v>
      </c>
    </row>
    <row r="22341" spans="20:20" ht="18.75" customHeight="1" x14ac:dyDescent="0.35">
      <c r="T22341" s="246">
        <f t="shared" si="387"/>
        <v>0</v>
      </c>
    </row>
    <row r="22342" spans="20:20" ht="18.75" customHeight="1" x14ac:dyDescent="0.35">
      <c r="T22342" s="246">
        <f t="shared" si="387"/>
        <v>0</v>
      </c>
    </row>
    <row r="22343" spans="20:20" ht="18.75" customHeight="1" x14ac:dyDescent="0.35">
      <c r="T22343" s="246">
        <f t="shared" si="387"/>
        <v>0</v>
      </c>
    </row>
    <row r="22344" spans="20:20" ht="18.75" customHeight="1" x14ac:dyDescent="0.35">
      <c r="T22344" s="246">
        <f t="shared" si="387"/>
        <v>0</v>
      </c>
    </row>
    <row r="22345" spans="20:20" ht="18.75" customHeight="1" x14ac:dyDescent="0.35">
      <c r="T22345" s="246">
        <f t="shared" si="387"/>
        <v>0</v>
      </c>
    </row>
    <row r="22346" spans="20:20" ht="18.75" customHeight="1" x14ac:dyDescent="0.35">
      <c r="T22346" s="246">
        <f t="shared" si="387"/>
        <v>0</v>
      </c>
    </row>
    <row r="22347" spans="20:20" ht="18.75" customHeight="1" x14ac:dyDescent="0.35">
      <c r="T22347" s="246">
        <f t="shared" si="387"/>
        <v>0</v>
      </c>
    </row>
    <row r="22348" spans="20:20" ht="18.75" customHeight="1" x14ac:dyDescent="0.35">
      <c r="T22348" s="246">
        <f t="shared" si="387"/>
        <v>0</v>
      </c>
    </row>
    <row r="22349" spans="20:20" ht="18.75" customHeight="1" x14ac:dyDescent="0.35">
      <c r="T22349" s="246">
        <f t="shared" si="387"/>
        <v>0</v>
      </c>
    </row>
    <row r="22350" spans="20:20" ht="18.75" customHeight="1" x14ac:dyDescent="0.35">
      <c r="T22350" s="246">
        <f t="shared" si="387"/>
        <v>0</v>
      </c>
    </row>
    <row r="22351" spans="20:20" ht="18.75" customHeight="1" x14ac:dyDescent="0.35">
      <c r="T22351" s="246">
        <f t="shared" si="387"/>
        <v>0</v>
      </c>
    </row>
    <row r="22352" spans="20:20" ht="18.75" customHeight="1" x14ac:dyDescent="0.35">
      <c r="T22352" s="246">
        <f t="shared" si="387"/>
        <v>0</v>
      </c>
    </row>
    <row r="22353" spans="20:20" ht="18.75" customHeight="1" x14ac:dyDescent="0.35">
      <c r="T22353" s="246">
        <f t="shared" si="387"/>
        <v>0</v>
      </c>
    </row>
    <row r="22354" spans="20:20" ht="18.75" customHeight="1" x14ac:dyDescent="0.35">
      <c r="T22354" s="246">
        <f t="shared" si="387"/>
        <v>0</v>
      </c>
    </row>
    <row r="22355" spans="20:20" ht="18.75" customHeight="1" x14ac:dyDescent="0.35">
      <c r="T22355" s="246">
        <f t="shared" si="387"/>
        <v>0</v>
      </c>
    </row>
    <row r="22356" spans="20:20" ht="18.75" customHeight="1" x14ac:dyDescent="0.35">
      <c r="T22356" s="246">
        <f t="shared" si="387"/>
        <v>0</v>
      </c>
    </row>
    <row r="22357" spans="20:20" ht="18.75" customHeight="1" x14ac:dyDescent="0.35">
      <c r="T22357" s="246">
        <f t="shared" si="387"/>
        <v>0</v>
      </c>
    </row>
    <row r="22358" spans="20:20" ht="18.75" customHeight="1" x14ac:dyDescent="0.35">
      <c r="T22358" s="246">
        <f t="shared" si="387"/>
        <v>0</v>
      </c>
    </row>
    <row r="22359" spans="20:20" ht="18.75" customHeight="1" x14ac:dyDescent="0.35">
      <c r="T22359" s="246">
        <f t="shared" si="387"/>
        <v>0</v>
      </c>
    </row>
    <row r="22360" spans="20:20" ht="18.75" customHeight="1" x14ac:dyDescent="0.35">
      <c r="T22360" s="246">
        <f t="shared" si="387"/>
        <v>0</v>
      </c>
    </row>
    <row r="22361" spans="20:20" ht="18.75" customHeight="1" x14ac:dyDescent="0.35">
      <c r="T22361" s="246">
        <f t="shared" si="387"/>
        <v>0</v>
      </c>
    </row>
    <row r="22362" spans="20:20" ht="18.75" customHeight="1" x14ac:dyDescent="0.35">
      <c r="T22362" s="246">
        <f t="shared" si="387"/>
        <v>0</v>
      </c>
    </row>
    <row r="22363" spans="20:20" ht="18.75" customHeight="1" x14ac:dyDescent="0.35">
      <c r="T22363" s="246">
        <f t="shared" si="387"/>
        <v>0</v>
      </c>
    </row>
    <row r="22364" spans="20:20" ht="18.75" customHeight="1" x14ac:dyDescent="0.35">
      <c r="T22364" s="246">
        <f t="shared" si="387"/>
        <v>0</v>
      </c>
    </row>
    <row r="22365" spans="20:20" ht="18.75" customHeight="1" x14ac:dyDescent="0.35">
      <c r="T22365" s="246">
        <f t="shared" si="387"/>
        <v>0</v>
      </c>
    </row>
    <row r="22366" spans="20:20" ht="18.75" customHeight="1" x14ac:dyDescent="0.35">
      <c r="T22366" s="246">
        <f t="shared" si="387"/>
        <v>0</v>
      </c>
    </row>
    <row r="22367" spans="20:20" ht="18.75" customHeight="1" x14ac:dyDescent="0.35">
      <c r="T22367" s="246">
        <f t="shared" si="387"/>
        <v>0</v>
      </c>
    </row>
    <row r="22368" spans="20:20" ht="18.75" customHeight="1" x14ac:dyDescent="0.35">
      <c r="T22368" s="246">
        <f t="shared" si="387"/>
        <v>0</v>
      </c>
    </row>
    <row r="22369" spans="20:20" ht="18.75" customHeight="1" x14ac:dyDescent="0.35">
      <c r="T22369" s="246">
        <f t="shared" si="387"/>
        <v>0</v>
      </c>
    </row>
    <row r="22370" spans="20:20" ht="18.75" customHeight="1" x14ac:dyDescent="0.35">
      <c r="T22370" s="246">
        <f t="shared" si="387"/>
        <v>0</v>
      </c>
    </row>
    <row r="22371" spans="20:20" ht="18.75" customHeight="1" x14ac:dyDescent="0.35">
      <c r="T22371" s="246">
        <f t="shared" si="387"/>
        <v>0</v>
      </c>
    </row>
    <row r="22372" spans="20:20" ht="18.75" customHeight="1" x14ac:dyDescent="0.35">
      <c r="T22372" s="246">
        <f t="shared" si="387"/>
        <v>0</v>
      </c>
    </row>
    <row r="22373" spans="20:20" ht="18.75" customHeight="1" x14ac:dyDescent="0.35">
      <c r="T22373" s="246">
        <f t="shared" si="387"/>
        <v>0</v>
      </c>
    </row>
    <row r="22374" spans="20:20" ht="18.75" customHeight="1" x14ac:dyDescent="0.35">
      <c r="T22374" s="246">
        <f t="shared" si="387"/>
        <v>0</v>
      </c>
    </row>
    <row r="22375" spans="20:20" ht="18.75" customHeight="1" x14ac:dyDescent="0.35">
      <c r="T22375" s="246">
        <f t="shared" si="387"/>
        <v>0</v>
      </c>
    </row>
    <row r="22376" spans="20:20" ht="18.75" customHeight="1" x14ac:dyDescent="0.35">
      <c r="T22376" s="246">
        <f t="shared" si="387"/>
        <v>0</v>
      </c>
    </row>
    <row r="22377" spans="20:20" ht="18.75" customHeight="1" x14ac:dyDescent="0.35">
      <c r="T22377" s="246">
        <f t="shared" si="387"/>
        <v>0</v>
      </c>
    </row>
    <row r="22378" spans="20:20" ht="18.75" customHeight="1" x14ac:dyDescent="0.35">
      <c r="T22378" s="246">
        <f t="shared" si="387"/>
        <v>0</v>
      </c>
    </row>
    <row r="22379" spans="20:20" ht="18.75" customHeight="1" x14ac:dyDescent="0.35">
      <c r="T22379" s="246">
        <f t="shared" si="387"/>
        <v>0</v>
      </c>
    </row>
    <row r="22380" spans="20:20" ht="18.75" customHeight="1" x14ac:dyDescent="0.35">
      <c r="T22380" s="246">
        <f t="shared" si="387"/>
        <v>0</v>
      </c>
    </row>
    <row r="22381" spans="20:20" ht="18.75" customHeight="1" x14ac:dyDescent="0.35">
      <c r="T22381" s="246">
        <f t="shared" si="387"/>
        <v>0</v>
      </c>
    </row>
    <row r="22382" spans="20:20" ht="18.75" customHeight="1" x14ac:dyDescent="0.35">
      <c r="T22382" s="246">
        <f t="shared" si="387"/>
        <v>0</v>
      </c>
    </row>
    <row r="22383" spans="20:20" ht="18.75" customHeight="1" x14ac:dyDescent="0.35">
      <c r="T22383" s="246">
        <f t="shared" si="387"/>
        <v>0</v>
      </c>
    </row>
    <row r="22384" spans="20:20" ht="18.75" customHeight="1" x14ac:dyDescent="0.35">
      <c r="T22384" s="246">
        <f t="shared" si="387"/>
        <v>0</v>
      </c>
    </row>
    <row r="22385" spans="20:20" ht="18.75" customHeight="1" x14ac:dyDescent="0.35">
      <c r="T22385" s="246">
        <f t="shared" si="387"/>
        <v>0</v>
      </c>
    </row>
    <row r="22386" spans="20:20" ht="18.75" customHeight="1" x14ac:dyDescent="0.35">
      <c r="T22386" s="246">
        <f t="shared" si="387"/>
        <v>0</v>
      </c>
    </row>
    <row r="22387" spans="20:20" ht="18.75" customHeight="1" x14ac:dyDescent="0.35">
      <c r="T22387" s="246">
        <f t="shared" si="387"/>
        <v>0</v>
      </c>
    </row>
    <row r="22388" spans="20:20" ht="18.75" customHeight="1" x14ac:dyDescent="0.35">
      <c r="T22388" s="246">
        <f t="shared" si="387"/>
        <v>0</v>
      </c>
    </row>
    <row r="22389" spans="20:20" ht="18.75" customHeight="1" x14ac:dyDescent="0.35">
      <c r="T22389" s="246">
        <f t="shared" si="387"/>
        <v>0</v>
      </c>
    </row>
    <row r="22390" spans="20:20" ht="18.75" customHeight="1" x14ac:dyDescent="0.35">
      <c r="T22390" s="246">
        <f t="shared" si="387"/>
        <v>0</v>
      </c>
    </row>
    <row r="22391" spans="20:20" ht="18.75" customHeight="1" x14ac:dyDescent="0.35">
      <c r="T22391" s="246">
        <f t="shared" si="387"/>
        <v>0</v>
      </c>
    </row>
    <row r="22392" spans="20:20" ht="18.75" customHeight="1" x14ac:dyDescent="0.35">
      <c r="T22392" s="246">
        <f t="shared" si="387"/>
        <v>0</v>
      </c>
    </row>
    <row r="22393" spans="20:20" ht="18.75" customHeight="1" x14ac:dyDescent="0.35">
      <c r="T22393" s="246">
        <f t="shared" si="387"/>
        <v>0</v>
      </c>
    </row>
    <row r="22394" spans="20:20" ht="18.75" customHeight="1" x14ac:dyDescent="0.35">
      <c r="T22394" s="246">
        <f t="shared" si="387"/>
        <v>0</v>
      </c>
    </row>
    <row r="22395" spans="20:20" ht="18.75" customHeight="1" x14ac:dyDescent="0.35">
      <c r="T22395" s="246">
        <f t="shared" si="387"/>
        <v>0</v>
      </c>
    </row>
    <row r="22396" spans="20:20" ht="18.75" customHeight="1" x14ac:dyDescent="0.35">
      <c r="T22396" s="246">
        <f t="shared" ref="T22396:T22459" si="388">R22396*0.01</f>
        <v>0</v>
      </c>
    </row>
    <row r="22397" spans="20:20" ht="18.75" customHeight="1" x14ac:dyDescent="0.35">
      <c r="T22397" s="246">
        <f t="shared" si="388"/>
        <v>0</v>
      </c>
    </row>
    <row r="22398" spans="20:20" ht="18.75" customHeight="1" x14ac:dyDescent="0.35">
      <c r="T22398" s="246">
        <f t="shared" si="388"/>
        <v>0</v>
      </c>
    </row>
    <row r="22399" spans="20:20" ht="18.75" customHeight="1" x14ac:dyDescent="0.35">
      <c r="T22399" s="246">
        <f t="shared" si="388"/>
        <v>0</v>
      </c>
    </row>
    <row r="22400" spans="20:20" ht="18.75" customHeight="1" x14ac:dyDescent="0.35">
      <c r="T22400" s="246">
        <f t="shared" si="388"/>
        <v>0</v>
      </c>
    </row>
    <row r="22401" spans="20:20" ht="18.75" customHeight="1" x14ac:dyDescent="0.35">
      <c r="T22401" s="246">
        <f t="shared" si="388"/>
        <v>0</v>
      </c>
    </row>
    <row r="22402" spans="20:20" ht="18.75" customHeight="1" x14ac:dyDescent="0.35">
      <c r="T22402" s="246">
        <f t="shared" si="388"/>
        <v>0</v>
      </c>
    </row>
    <row r="22403" spans="20:20" ht="18.75" customHeight="1" x14ac:dyDescent="0.35">
      <c r="T22403" s="246">
        <f t="shared" si="388"/>
        <v>0</v>
      </c>
    </row>
    <row r="22404" spans="20:20" ht="18.75" customHeight="1" x14ac:dyDescent="0.35">
      <c r="T22404" s="246">
        <f t="shared" si="388"/>
        <v>0</v>
      </c>
    </row>
    <row r="22405" spans="20:20" ht="18.75" customHeight="1" x14ac:dyDescent="0.35">
      <c r="T22405" s="246">
        <f t="shared" si="388"/>
        <v>0</v>
      </c>
    </row>
    <row r="22406" spans="20:20" ht="18.75" customHeight="1" x14ac:dyDescent="0.35">
      <c r="T22406" s="246">
        <f t="shared" si="388"/>
        <v>0</v>
      </c>
    </row>
    <row r="22407" spans="20:20" ht="18.75" customHeight="1" x14ac:dyDescent="0.35">
      <c r="T22407" s="246">
        <f t="shared" si="388"/>
        <v>0</v>
      </c>
    </row>
    <row r="22408" spans="20:20" ht="18.75" customHeight="1" x14ac:dyDescent="0.35">
      <c r="T22408" s="246">
        <f t="shared" si="388"/>
        <v>0</v>
      </c>
    </row>
    <row r="22409" spans="20:20" ht="18.75" customHeight="1" x14ac:dyDescent="0.35">
      <c r="T22409" s="246">
        <f t="shared" si="388"/>
        <v>0</v>
      </c>
    </row>
    <row r="22410" spans="20:20" ht="18.75" customHeight="1" x14ac:dyDescent="0.35">
      <c r="T22410" s="246">
        <f t="shared" si="388"/>
        <v>0</v>
      </c>
    </row>
    <row r="22411" spans="20:20" ht="18.75" customHeight="1" x14ac:dyDescent="0.35">
      <c r="T22411" s="246">
        <f t="shared" si="388"/>
        <v>0</v>
      </c>
    </row>
    <row r="22412" spans="20:20" ht="18.75" customHeight="1" x14ac:dyDescent="0.35">
      <c r="T22412" s="246">
        <f t="shared" si="388"/>
        <v>0</v>
      </c>
    </row>
    <row r="22413" spans="20:20" ht="18.75" customHeight="1" x14ac:dyDescent="0.35">
      <c r="T22413" s="246">
        <f t="shared" si="388"/>
        <v>0</v>
      </c>
    </row>
    <row r="22414" spans="20:20" ht="18.75" customHeight="1" x14ac:dyDescent="0.35">
      <c r="T22414" s="246">
        <f t="shared" si="388"/>
        <v>0</v>
      </c>
    </row>
    <row r="22415" spans="20:20" ht="18.75" customHeight="1" x14ac:dyDescent="0.35">
      <c r="T22415" s="246">
        <f t="shared" si="388"/>
        <v>0</v>
      </c>
    </row>
    <row r="22416" spans="20:20" ht="18.75" customHeight="1" x14ac:dyDescent="0.35">
      <c r="T22416" s="246">
        <f t="shared" si="388"/>
        <v>0</v>
      </c>
    </row>
    <row r="22417" spans="20:20" ht="18.75" customHeight="1" x14ac:dyDescent="0.35">
      <c r="T22417" s="246">
        <f t="shared" si="388"/>
        <v>0</v>
      </c>
    </row>
    <row r="22418" spans="20:20" ht="18.75" customHeight="1" x14ac:dyDescent="0.35">
      <c r="T22418" s="246">
        <f t="shared" si="388"/>
        <v>0</v>
      </c>
    </row>
    <row r="22419" spans="20:20" ht="18.75" customHeight="1" x14ac:dyDescent="0.35">
      <c r="T22419" s="246">
        <f t="shared" si="388"/>
        <v>0</v>
      </c>
    </row>
    <row r="22420" spans="20:20" ht="18.75" customHeight="1" x14ac:dyDescent="0.35">
      <c r="T22420" s="246">
        <f t="shared" si="388"/>
        <v>0</v>
      </c>
    </row>
    <row r="22421" spans="20:20" ht="18.75" customHeight="1" x14ac:dyDescent="0.35">
      <c r="T22421" s="246">
        <f t="shared" si="388"/>
        <v>0</v>
      </c>
    </row>
    <row r="22422" spans="20:20" ht="18.75" customHeight="1" x14ac:dyDescent="0.35">
      <c r="T22422" s="246">
        <f t="shared" si="388"/>
        <v>0</v>
      </c>
    </row>
    <row r="22423" spans="20:20" ht="18.75" customHeight="1" x14ac:dyDescent="0.35">
      <c r="T22423" s="246">
        <f t="shared" si="388"/>
        <v>0</v>
      </c>
    </row>
    <row r="22424" spans="20:20" ht="18.75" customHeight="1" x14ac:dyDescent="0.35">
      <c r="T22424" s="246">
        <f t="shared" si="388"/>
        <v>0</v>
      </c>
    </row>
    <row r="22425" spans="20:20" ht="18.75" customHeight="1" x14ac:dyDescent="0.35">
      <c r="T22425" s="246">
        <f t="shared" si="388"/>
        <v>0</v>
      </c>
    </row>
    <row r="22426" spans="20:20" ht="18.75" customHeight="1" x14ac:dyDescent="0.35">
      <c r="T22426" s="246">
        <f t="shared" si="388"/>
        <v>0</v>
      </c>
    </row>
    <row r="22427" spans="20:20" ht="18.75" customHeight="1" x14ac:dyDescent="0.35">
      <c r="T22427" s="246">
        <f t="shared" si="388"/>
        <v>0</v>
      </c>
    </row>
    <row r="22428" spans="20:20" ht="18.75" customHeight="1" x14ac:dyDescent="0.35">
      <c r="T22428" s="246">
        <f t="shared" si="388"/>
        <v>0</v>
      </c>
    </row>
    <row r="22429" spans="20:20" ht="18.75" customHeight="1" x14ac:dyDescent="0.35">
      <c r="T22429" s="246">
        <f t="shared" si="388"/>
        <v>0</v>
      </c>
    </row>
    <row r="22430" spans="20:20" ht="18.75" customHeight="1" x14ac:dyDescent="0.35">
      <c r="T22430" s="246">
        <f t="shared" si="388"/>
        <v>0</v>
      </c>
    </row>
    <row r="22431" spans="20:20" ht="18.75" customHeight="1" x14ac:dyDescent="0.35">
      <c r="T22431" s="246">
        <f t="shared" si="388"/>
        <v>0</v>
      </c>
    </row>
    <row r="22432" spans="20:20" ht="18.75" customHeight="1" x14ac:dyDescent="0.35">
      <c r="T22432" s="246">
        <f t="shared" si="388"/>
        <v>0</v>
      </c>
    </row>
    <row r="22433" spans="20:20" ht="18.75" customHeight="1" x14ac:dyDescent="0.35">
      <c r="T22433" s="246">
        <f t="shared" si="388"/>
        <v>0</v>
      </c>
    </row>
    <row r="22434" spans="20:20" ht="18.75" customHeight="1" x14ac:dyDescent="0.35">
      <c r="T22434" s="246">
        <f t="shared" si="388"/>
        <v>0</v>
      </c>
    </row>
    <row r="22435" spans="20:20" ht="18.75" customHeight="1" x14ac:dyDescent="0.35">
      <c r="T22435" s="246">
        <f t="shared" si="388"/>
        <v>0</v>
      </c>
    </row>
    <row r="22436" spans="20:20" ht="18.75" customHeight="1" x14ac:dyDescent="0.35">
      <c r="T22436" s="246">
        <f t="shared" si="388"/>
        <v>0</v>
      </c>
    </row>
    <row r="22437" spans="20:20" ht="18.75" customHeight="1" x14ac:dyDescent="0.35">
      <c r="T22437" s="246">
        <f t="shared" si="388"/>
        <v>0</v>
      </c>
    </row>
    <row r="22438" spans="20:20" ht="18.75" customHeight="1" x14ac:dyDescent="0.35">
      <c r="T22438" s="246">
        <f t="shared" si="388"/>
        <v>0</v>
      </c>
    </row>
    <row r="22439" spans="20:20" ht="18.75" customHeight="1" x14ac:dyDescent="0.35">
      <c r="T22439" s="246">
        <f t="shared" si="388"/>
        <v>0</v>
      </c>
    </row>
    <row r="22440" spans="20:20" ht="18.75" customHeight="1" x14ac:dyDescent="0.35">
      <c r="T22440" s="246">
        <f t="shared" si="388"/>
        <v>0</v>
      </c>
    </row>
    <row r="22441" spans="20:20" ht="18.75" customHeight="1" x14ac:dyDescent="0.35">
      <c r="T22441" s="246">
        <f t="shared" si="388"/>
        <v>0</v>
      </c>
    </row>
    <row r="22442" spans="20:20" ht="18.75" customHeight="1" x14ac:dyDescent="0.35">
      <c r="T22442" s="246">
        <f t="shared" si="388"/>
        <v>0</v>
      </c>
    </row>
    <row r="22443" spans="20:20" ht="18.75" customHeight="1" x14ac:dyDescent="0.35">
      <c r="T22443" s="246">
        <f t="shared" si="388"/>
        <v>0</v>
      </c>
    </row>
    <row r="22444" spans="20:20" ht="18.75" customHeight="1" x14ac:dyDescent="0.35">
      <c r="T22444" s="246">
        <f t="shared" si="388"/>
        <v>0</v>
      </c>
    </row>
    <row r="22445" spans="20:20" ht="18.75" customHeight="1" x14ac:dyDescent="0.35">
      <c r="T22445" s="246">
        <f t="shared" si="388"/>
        <v>0</v>
      </c>
    </row>
    <row r="22446" spans="20:20" ht="18.75" customHeight="1" x14ac:dyDescent="0.35">
      <c r="T22446" s="246">
        <f t="shared" si="388"/>
        <v>0</v>
      </c>
    </row>
    <row r="22447" spans="20:20" ht="18.75" customHeight="1" x14ac:dyDescent="0.35">
      <c r="T22447" s="246">
        <f t="shared" si="388"/>
        <v>0</v>
      </c>
    </row>
    <row r="22448" spans="20:20" ht="18.75" customHeight="1" x14ac:dyDescent="0.35">
      <c r="T22448" s="246">
        <f t="shared" si="388"/>
        <v>0</v>
      </c>
    </row>
    <row r="22449" spans="20:20" ht="18.75" customHeight="1" x14ac:dyDescent="0.35">
      <c r="T22449" s="246">
        <f t="shared" si="388"/>
        <v>0</v>
      </c>
    </row>
    <row r="22450" spans="20:20" ht="18.75" customHeight="1" x14ac:dyDescent="0.35">
      <c r="T22450" s="246">
        <f t="shared" si="388"/>
        <v>0</v>
      </c>
    </row>
    <row r="22451" spans="20:20" ht="18.75" customHeight="1" x14ac:dyDescent="0.35">
      <c r="T22451" s="246">
        <f t="shared" si="388"/>
        <v>0</v>
      </c>
    </row>
    <row r="22452" spans="20:20" ht="18.75" customHeight="1" x14ac:dyDescent="0.35">
      <c r="T22452" s="246">
        <f t="shared" si="388"/>
        <v>0</v>
      </c>
    </row>
    <row r="22453" spans="20:20" ht="18.75" customHeight="1" x14ac:dyDescent="0.35">
      <c r="T22453" s="246">
        <f t="shared" si="388"/>
        <v>0</v>
      </c>
    </row>
    <row r="22454" spans="20:20" ht="18.75" customHeight="1" x14ac:dyDescent="0.35">
      <c r="T22454" s="246">
        <f t="shared" si="388"/>
        <v>0</v>
      </c>
    </row>
    <row r="22455" spans="20:20" ht="18.75" customHeight="1" x14ac:dyDescent="0.35">
      <c r="T22455" s="246">
        <f t="shared" si="388"/>
        <v>0</v>
      </c>
    </row>
    <row r="22456" spans="20:20" ht="18.75" customHeight="1" x14ac:dyDescent="0.35">
      <c r="T22456" s="246">
        <f t="shared" si="388"/>
        <v>0</v>
      </c>
    </row>
    <row r="22457" spans="20:20" ht="18.75" customHeight="1" x14ac:dyDescent="0.35">
      <c r="T22457" s="246">
        <f t="shared" si="388"/>
        <v>0</v>
      </c>
    </row>
    <row r="22458" spans="20:20" ht="18.75" customHeight="1" x14ac:dyDescent="0.35">
      <c r="T22458" s="246">
        <f t="shared" si="388"/>
        <v>0</v>
      </c>
    </row>
    <row r="22459" spans="20:20" ht="18.75" customHeight="1" x14ac:dyDescent="0.35">
      <c r="T22459" s="246">
        <f t="shared" si="388"/>
        <v>0</v>
      </c>
    </row>
    <row r="22460" spans="20:20" ht="18.75" customHeight="1" x14ac:dyDescent="0.35">
      <c r="T22460" s="246">
        <f t="shared" ref="T22460:T22523" si="389">R22460*0.01</f>
        <v>0</v>
      </c>
    </row>
    <row r="22461" spans="20:20" ht="18.75" customHeight="1" x14ac:dyDescent="0.35">
      <c r="T22461" s="246">
        <f t="shared" si="389"/>
        <v>0</v>
      </c>
    </row>
    <row r="22462" spans="20:20" ht="18.75" customHeight="1" x14ac:dyDescent="0.35">
      <c r="T22462" s="246">
        <f t="shared" si="389"/>
        <v>0</v>
      </c>
    </row>
    <row r="22463" spans="20:20" ht="18.75" customHeight="1" x14ac:dyDescent="0.35">
      <c r="T22463" s="246">
        <f t="shared" si="389"/>
        <v>0</v>
      </c>
    </row>
    <row r="22464" spans="20:20" ht="18.75" customHeight="1" x14ac:dyDescent="0.35">
      <c r="T22464" s="246">
        <f t="shared" si="389"/>
        <v>0</v>
      </c>
    </row>
    <row r="22465" spans="20:20" ht="18.75" customHeight="1" x14ac:dyDescent="0.35">
      <c r="T22465" s="246">
        <f t="shared" si="389"/>
        <v>0</v>
      </c>
    </row>
    <row r="22466" spans="20:20" ht="18.75" customHeight="1" x14ac:dyDescent="0.35">
      <c r="T22466" s="246">
        <f t="shared" si="389"/>
        <v>0</v>
      </c>
    </row>
    <row r="22467" spans="20:20" ht="18.75" customHeight="1" x14ac:dyDescent="0.35">
      <c r="T22467" s="246">
        <f t="shared" si="389"/>
        <v>0</v>
      </c>
    </row>
    <row r="22468" spans="20:20" ht="18.75" customHeight="1" x14ac:dyDescent="0.35">
      <c r="T22468" s="246">
        <f t="shared" si="389"/>
        <v>0</v>
      </c>
    </row>
    <row r="22469" spans="20:20" ht="18.75" customHeight="1" x14ac:dyDescent="0.35">
      <c r="T22469" s="246">
        <f t="shared" si="389"/>
        <v>0</v>
      </c>
    </row>
    <row r="22470" spans="20:20" ht="18.75" customHeight="1" x14ac:dyDescent="0.35">
      <c r="T22470" s="246">
        <f t="shared" si="389"/>
        <v>0</v>
      </c>
    </row>
    <row r="22471" spans="20:20" ht="18.75" customHeight="1" x14ac:dyDescent="0.35">
      <c r="T22471" s="246">
        <f t="shared" si="389"/>
        <v>0</v>
      </c>
    </row>
    <row r="22472" spans="20:20" ht="18.75" customHeight="1" x14ac:dyDescent="0.35">
      <c r="T22472" s="246">
        <f t="shared" si="389"/>
        <v>0</v>
      </c>
    </row>
    <row r="22473" spans="20:20" ht="18.75" customHeight="1" x14ac:dyDescent="0.35">
      <c r="T22473" s="246">
        <f t="shared" si="389"/>
        <v>0</v>
      </c>
    </row>
    <row r="22474" spans="20:20" ht="18.75" customHeight="1" x14ac:dyDescent="0.35">
      <c r="T22474" s="246">
        <f t="shared" si="389"/>
        <v>0</v>
      </c>
    </row>
    <row r="22475" spans="20:20" ht="18.75" customHeight="1" x14ac:dyDescent="0.35">
      <c r="T22475" s="246">
        <f t="shared" si="389"/>
        <v>0</v>
      </c>
    </row>
    <row r="22476" spans="20:20" ht="18.75" customHeight="1" x14ac:dyDescent="0.35">
      <c r="T22476" s="246">
        <f t="shared" si="389"/>
        <v>0</v>
      </c>
    </row>
    <row r="22477" spans="20:20" ht="18.75" customHeight="1" x14ac:dyDescent="0.35">
      <c r="T22477" s="246">
        <f t="shared" si="389"/>
        <v>0</v>
      </c>
    </row>
    <row r="22478" spans="20:20" ht="18.75" customHeight="1" x14ac:dyDescent="0.35">
      <c r="T22478" s="246">
        <f t="shared" si="389"/>
        <v>0</v>
      </c>
    </row>
    <row r="22479" spans="20:20" ht="18.75" customHeight="1" x14ac:dyDescent="0.35">
      <c r="T22479" s="246">
        <f t="shared" si="389"/>
        <v>0</v>
      </c>
    </row>
    <row r="22480" spans="20:20" ht="18.75" customHeight="1" x14ac:dyDescent="0.35">
      <c r="T22480" s="246">
        <f t="shared" si="389"/>
        <v>0</v>
      </c>
    </row>
    <row r="22481" spans="20:20" ht="18.75" customHeight="1" x14ac:dyDescent="0.35">
      <c r="T22481" s="246">
        <f t="shared" si="389"/>
        <v>0</v>
      </c>
    </row>
    <row r="22482" spans="20:20" ht="18.75" customHeight="1" x14ac:dyDescent="0.35">
      <c r="T22482" s="246">
        <f t="shared" si="389"/>
        <v>0</v>
      </c>
    </row>
    <row r="22483" spans="20:20" ht="18.75" customHeight="1" x14ac:dyDescent="0.35">
      <c r="T22483" s="246">
        <f t="shared" si="389"/>
        <v>0</v>
      </c>
    </row>
    <row r="22484" spans="20:20" ht="18.75" customHeight="1" x14ac:dyDescent="0.35">
      <c r="T22484" s="246">
        <f t="shared" si="389"/>
        <v>0</v>
      </c>
    </row>
    <row r="22485" spans="20:20" ht="18.75" customHeight="1" x14ac:dyDescent="0.35">
      <c r="T22485" s="246">
        <f t="shared" si="389"/>
        <v>0</v>
      </c>
    </row>
    <row r="22486" spans="20:20" ht="18.75" customHeight="1" x14ac:dyDescent="0.35">
      <c r="T22486" s="246">
        <f t="shared" si="389"/>
        <v>0</v>
      </c>
    </row>
    <row r="22487" spans="20:20" ht="18.75" customHeight="1" x14ac:dyDescent="0.35">
      <c r="T22487" s="246">
        <f t="shared" si="389"/>
        <v>0</v>
      </c>
    </row>
    <row r="22488" spans="20:20" ht="18.75" customHeight="1" x14ac:dyDescent="0.35">
      <c r="T22488" s="246">
        <f t="shared" si="389"/>
        <v>0</v>
      </c>
    </row>
    <row r="22489" spans="20:20" ht="18.75" customHeight="1" x14ac:dyDescent="0.35">
      <c r="T22489" s="246">
        <f t="shared" si="389"/>
        <v>0</v>
      </c>
    </row>
    <row r="22490" spans="20:20" ht="18.75" customHeight="1" x14ac:dyDescent="0.35">
      <c r="T22490" s="246">
        <f t="shared" si="389"/>
        <v>0</v>
      </c>
    </row>
    <row r="22491" spans="20:20" ht="18.75" customHeight="1" x14ac:dyDescent="0.35">
      <c r="T22491" s="246">
        <f t="shared" si="389"/>
        <v>0</v>
      </c>
    </row>
    <row r="22492" spans="20:20" ht="18.75" customHeight="1" x14ac:dyDescent="0.35">
      <c r="T22492" s="246">
        <f t="shared" si="389"/>
        <v>0</v>
      </c>
    </row>
    <row r="22493" spans="20:20" ht="18.75" customHeight="1" x14ac:dyDescent="0.35">
      <c r="T22493" s="246">
        <f t="shared" si="389"/>
        <v>0</v>
      </c>
    </row>
    <row r="22494" spans="20:20" ht="18.75" customHeight="1" x14ac:dyDescent="0.35">
      <c r="T22494" s="246">
        <f t="shared" si="389"/>
        <v>0</v>
      </c>
    </row>
    <row r="22495" spans="20:20" ht="18.75" customHeight="1" x14ac:dyDescent="0.35">
      <c r="T22495" s="246">
        <f t="shared" si="389"/>
        <v>0</v>
      </c>
    </row>
    <row r="22496" spans="20:20" ht="18.75" customHeight="1" x14ac:dyDescent="0.35">
      <c r="T22496" s="246">
        <f t="shared" si="389"/>
        <v>0</v>
      </c>
    </row>
    <row r="22497" spans="20:20" ht="18.75" customHeight="1" x14ac:dyDescent="0.35">
      <c r="T22497" s="246">
        <f t="shared" si="389"/>
        <v>0</v>
      </c>
    </row>
    <row r="22498" spans="20:20" ht="18.75" customHeight="1" x14ac:dyDescent="0.35">
      <c r="T22498" s="246">
        <f t="shared" si="389"/>
        <v>0</v>
      </c>
    </row>
    <row r="22499" spans="20:20" ht="18.75" customHeight="1" x14ac:dyDescent="0.35">
      <c r="T22499" s="246">
        <f t="shared" si="389"/>
        <v>0</v>
      </c>
    </row>
    <row r="22500" spans="20:20" ht="18.75" customHeight="1" x14ac:dyDescent="0.35">
      <c r="T22500" s="246">
        <f t="shared" si="389"/>
        <v>0</v>
      </c>
    </row>
    <row r="22501" spans="20:20" ht="18.75" customHeight="1" x14ac:dyDescent="0.35">
      <c r="T22501" s="246">
        <f t="shared" si="389"/>
        <v>0</v>
      </c>
    </row>
    <row r="22502" spans="20:20" ht="18.75" customHeight="1" x14ac:dyDescent="0.35">
      <c r="T22502" s="246">
        <f t="shared" si="389"/>
        <v>0</v>
      </c>
    </row>
    <row r="22503" spans="20:20" ht="18.75" customHeight="1" x14ac:dyDescent="0.35">
      <c r="T22503" s="246">
        <f t="shared" si="389"/>
        <v>0</v>
      </c>
    </row>
    <row r="22504" spans="20:20" ht="18.75" customHeight="1" x14ac:dyDescent="0.35">
      <c r="T22504" s="246">
        <f t="shared" si="389"/>
        <v>0</v>
      </c>
    </row>
    <row r="22505" spans="20:20" ht="18.75" customHeight="1" x14ac:dyDescent="0.35">
      <c r="T22505" s="246">
        <f t="shared" si="389"/>
        <v>0</v>
      </c>
    </row>
    <row r="22506" spans="20:20" ht="18.75" customHeight="1" x14ac:dyDescent="0.35">
      <c r="T22506" s="246">
        <f t="shared" si="389"/>
        <v>0</v>
      </c>
    </row>
    <row r="22507" spans="20:20" ht="18.75" customHeight="1" x14ac:dyDescent="0.35">
      <c r="T22507" s="246">
        <f t="shared" si="389"/>
        <v>0</v>
      </c>
    </row>
    <row r="22508" spans="20:20" ht="18.75" customHeight="1" x14ac:dyDescent="0.35">
      <c r="T22508" s="246">
        <f t="shared" si="389"/>
        <v>0</v>
      </c>
    </row>
    <row r="22509" spans="20:20" ht="18.75" customHeight="1" x14ac:dyDescent="0.35">
      <c r="T22509" s="246">
        <f t="shared" si="389"/>
        <v>0</v>
      </c>
    </row>
    <row r="22510" spans="20:20" ht="18.75" customHeight="1" x14ac:dyDescent="0.35">
      <c r="T22510" s="246">
        <f t="shared" si="389"/>
        <v>0</v>
      </c>
    </row>
    <row r="22511" spans="20:20" ht="18.75" customHeight="1" x14ac:dyDescent="0.35">
      <c r="T22511" s="246">
        <f t="shared" si="389"/>
        <v>0</v>
      </c>
    </row>
    <row r="22512" spans="20:20" ht="18.75" customHeight="1" x14ac:dyDescent="0.35">
      <c r="T22512" s="246">
        <f t="shared" si="389"/>
        <v>0</v>
      </c>
    </row>
    <row r="22513" spans="20:20" ht="18.75" customHeight="1" x14ac:dyDescent="0.35">
      <c r="T22513" s="246">
        <f t="shared" si="389"/>
        <v>0</v>
      </c>
    </row>
    <row r="22514" spans="20:20" ht="18.75" customHeight="1" x14ac:dyDescent="0.35">
      <c r="T22514" s="246">
        <f t="shared" si="389"/>
        <v>0</v>
      </c>
    </row>
    <row r="22515" spans="20:20" ht="18.75" customHeight="1" x14ac:dyDescent="0.35">
      <c r="T22515" s="246">
        <f t="shared" si="389"/>
        <v>0</v>
      </c>
    </row>
    <row r="22516" spans="20:20" ht="18.75" customHeight="1" x14ac:dyDescent="0.35">
      <c r="T22516" s="246">
        <f t="shared" si="389"/>
        <v>0</v>
      </c>
    </row>
    <row r="22517" spans="20:20" ht="18.75" customHeight="1" x14ac:dyDescent="0.35">
      <c r="T22517" s="246">
        <f t="shared" si="389"/>
        <v>0</v>
      </c>
    </row>
    <row r="22518" spans="20:20" ht="18.75" customHeight="1" x14ac:dyDescent="0.35">
      <c r="T22518" s="246">
        <f t="shared" si="389"/>
        <v>0</v>
      </c>
    </row>
    <row r="22519" spans="20:20" ht="18.75" customHeight="1" x14ac:dyDescent="0.35">
      <c r="T22519" s="246">
        <f t="shared" si="389"/>
        <v>0</v>
      </c>
    </row>
    <row r="22520" spans="20:20" ht="18.75" customHeight="1" x14ac:dyDescent="0.35">
      <c r="T22520" s="246">
        <f t="shared" si="389"/>
        <v>0</v>
      </c>
    </row>
    <row r="22521" spans="20:20" ht="18.75" customHeight="1" x14ac:dyDescent="0.35">
      <c r="T22521" s="246">
        <f t="shared" si="389"/>
        <v>0</v>
      </c>
    </row>
    <row r="22522" spans="20:20" ht="18.75" customHeight="1" x14ac:dyDescent="0.35">
      <c r="T22522" s="246">
        <f t="shared" si="389"/>
        <v>0</v>
      </c>
    </row>
    <row r="22523" spans="20:20" ht="18.75" customHeight="1" x14ac:dyDescent="0.35">
      <c r="T22523" s="246">
        <f t="shared" si="389"/>
        <v>0</v>
      </c>
    </row>
    <row r="22524" spans="20:20" ht="18.75" customHeight="1" x14ac:dyDescent="0.35">
      <c r="T22524" s="246">
        <f t="shared" ref="T22524:T22587" si="390">R22524*0.01</f>
        <v>0</v>
      </c>
    </row>
    <row r="22525" spans="20:20" ht="18.75" customHeight="1" x14ac:dyDescent="0.35">
      <c r="T22525" s="246">
        <f t="shared" si="390"/>
        <v>0</v>
      </c>
    </row>
    <row r="22526" spans="20:20" ht="18.75" customHeight="1" x14ac:dyDescent="0.35">
      <c r="T22526" s="246">
        <f t="shared" si="390"/>
        <v>0</v>
      </c>
    </row>
    <row r="22527" spans="20:20" ht="18.75" customHeight="1" x14ac:dyDescent="0.35">
      <c r="T22527" s="246">
        <f t="shared" si="390"/>
        <v>0</v>
      </c>
    </row>
    <row r="22528" spans="20:20" ht="18.75" customHeight="1" x14ac:dyDescent="0.35">
      <c r="T22528" s="246">
        <f t="shared" si="390"/>
        <v>0</v>
      </c>
    </row>
    <row r="22529" spans="20:20" ht="18.75" customHeight="1" x14ac:dyDescent="0.35">
      <c r="T22529" s="246">
        <f t="shared" si="390"/>
        <v>0</v>
      </c>
    </row>
    <row r="22530" spans="20:20" ht="18.75" customHeight="1" x14ac:dyDescent="0.35">
      <c r="T22530" s="246">
        <f t="shared" si="390"/>
        <v>0</v>
      </c>
    </row>
    <row r="22531" spans="20:20" ht="18.75" customHeight="1" x14ac:dyDescent="0.35">
      <c r="T22531" s="246">
        <f t="shared" si="390"/>
        <v>0</v>
      </c>
    </row>
    <row r="22532" spans="20:20" ht="18.75" customHeight="1" x14ac:dyDescent="0.35">
      <c r="T22532" s="246">
        <f t="shared" si="390"/>
        <v>0</v>
      </c>
    </row>
    <row r="22533" spans="20:20" ht="18.75" customHeight="1" x14ac:dyDescent="0.35">
      <c r="T22533" s="246">
        <f t="shared" si="390"/>
        <v>0</v>
      </c>
    </row>
    <row r="22534" spans="20:20" ht="18.75" customHeight="1" x14ac:dyDescent="0.35">
      <c r="T22534" s="246">
        <f t="shared" si="390"/>
        <v>0</v>
      </c>
    </row>
    <row r="22535" spans="20:20" ht="18.75" customHeight="1" x14ac:dyDescent="0.35">
      <c r="T22535" s="246">
        <f t="shared" si="390"/>
        <v>0</v>
      </c>
    </row>
    <row r="22536" spans="20:20" ht="18.75" customHeight="1" x14ac:dyDescent="0.35">
      <c r="T22536" s="246">
        <f t="shared" si="390"/>
        <v>0</v>
      </c>
    </row>
    <row r="22537" spans="20:20" ht="18.75" customHeight="1" x14ac:dyDescent="0.35">
      <c r="T22537" s="246">
        <f t="shared" si="390"/>
        <v>0</v>
      </c>
    </row>
    <row r="22538" spans="20:20" ht="18.75" customHeight="1" x14ac:dyDescent="0.35">
      <c r="T22538" s="246">
        <f t="shared" si="390"/>
        <v>0</v>
      </c>
    </row>
    <row r="22539" spans="20:20" ht="18.75" customHeight="1" x14ac:dyDescent="0.35">
      <c r="T22539" s="246">
        <f t="shared" si="390"/>
        <v>0</v>
      </c>
    </row>
    <row r="22540" spans="20:20" ht="18.75" customHeight="1" x14ac:dyDescent="0.35">
      <c r="T22540" s="246">
        <f t="shared" si="390"/>
        <v>0</v>
      </c>
    </row>
    <row r="22541" spans="20:20" ht="18.75" customHeight="1" x14ac:dyDescent="0.35">
      <c r="T22541" s="246">
        <f t="shared" si="390"/>
        <v>0</v>
      </c>
    </row>
    <row r="22542" spans="20:20" ht="18.75" customHeight="1" x14ac:dyDescent="0.35">
      <c r="T22542" s="246">
        <f t="shared" si="390"/>
        <v>0</v>
      </c>
    </row>
    <row r="22543" spans="20:20" ht="18.75" customHeight="1" x14ac:dyDescent="0.35">
      <c r="T22543" s="246">
        <f t="shared" si="390"/>
        <v>0</v>
      </c>
    </row>
    <row r="22544" spans="20:20" ht="18.75" customHeight="1" x14ac:dyDescent="0.35">
      <c r="T22544" s="246">
        <f t="shared" si="390"/>
        <v>0</v>
      </c>
    </row>
    <row r="22545" spans="20:20" ht="18.75" customHeight="1" x14ac:dyDescent="0.35">
      <c r="T22545" s="246">
        <f t="shared" si="390"/>
        <v>0</v>
      </c>
    </row>
    <row r="22546" spans="20:20" ht="18.75" customHeight="1" x14ac:dyDescent="0.35">
      <c r="T22546" s="246">
        <f t="shared" si="390"/>
        <v>0</v>
      </c>
    </row>
    <row r="22547" spans="20:20" ht="18.75" customHeight="1" x14ac:dyDescent="0.35">
      <c r="T22547" s="246">
        <f t="shared" si="390"/>
        <v>0</v>
      </c>
    </row>
    <row r="22548" spans="20:20" ht="18.75" customHeight="1" x14ac:dyDescent="0.35">
      <c r="T22548" s="246">
        <f t="shared" si="390"/>
        <v>0</v>
      </c>
    </row>
    <row r="22549" spans="20:20" ht="18.75" customHeight="1" x14ac:dyDescent="0.35">
      <c r="T22549" s="246">
        <f t="shared" si="390"/>
        <v>0</v>
      </c>
    </row>
    <row r="22550" spans="20:20" ht="18.75" customHeight="1" x14ac:dyDescent="0.35">
      <c r="T22550" s="246">
        <f t="shared" si="390"/>
        <v>0</v>
      </c>
    </row>
    <row r="22551" spans="20:20" ht="18.75" customHeight="1" x14ac:dyDescent="0.35">
      <c r="T22551" s="246">
        <f t="shared" si="390"/>
        <v>0</v>
      </c>
    </row>
    <row r="22552" spans="20:20" ht="18.75" customHeight="1" x14ac:dyDescent="0.35">
      <c r="T22552" s="246">
        <f t="shared" si="390"/>
        <v>0</v>
      </c>
    </row>
    <row r="22553" spans="20:20" ht="18.75" customHeight="1" x14ac:dyDescent="0.35">
      <c r="T22553" s="246">
        <f t="shared" si="390"/>
        <v>0</v>
      </c>
    </row>
    <row r="22554" spans="20:20" ht="18.75" customHeight="1" x14ac:dyDescent="0.35">
      <c r="T22554" s="246">
        <f t="shared" si="390"/>
        <v>0</v>
      </c>
    </row>
    <row r="22555" spans="20:20" ht="18.75" customHeight="1" x14ac:dyDescent="0.35">
      <c r="T22555" s="246">
        <f t="shared" si="390"/>
        <v>0</v>
      </c>
    </row>
    <row r="22556" spans="20:20" ht="18.75" customHeight="1" x14ac:dyDescent="0.35">
      <c r="T22556" s="246">
        <f t="shared" si="390"/>
        <v>0</v>
      </c>
    </row>
    <row r="22557" spans="20:20" ht="18.75" customHeight="1" x14ac:dyDescent="0.35">
      <c r="T22557" s="246">
        <f t="shared" si="390"/>
        <v>0</v>
      </c>
    </row>
    <row r="22558" spans="20:20" ht="18.75" customHeight="1" x14ac:dyDescent="0.35">
      <c r="T22558" s="246">
        <f t="shared" si="390"/>
        <v>0</v>
      </c>
    </row>
    <row r="22559" spans="20:20" ht="18.75" customHeight="1" x14ac:dyDescent="0.35">
      <c r="T22559" s="246">
        <f t="shared" si="390"/>
        <v>0</v>
      </c>
    </row>
    <row r="22560" spans="20:20" ht="18.75" customHeight="1" x14ac:dyDescent="0.35">
      <c r="T22560" s="246">
        <f t="shared" si="390"/>
        <v>0</v>
      </c>
    </row>
    <row r="22561" spans="20:20" ht="18.75" customHeight="1" x14ac:dyDescent="0.35">
      <c r="T22561" s="246">
        <f t="shared" si="390"/>
        <v>0</v>
      </c>
    </row>
    <row r="22562" spans="20:20" ht="18.75" customHeight="1" x14ac:dyDescent="0.35">
      <c r="T22562" s="246">
        <f t="shared" si="390"/>
        <v>0</v>
      </c>
    </row>
    <row r="22563" spans="20:20" ht="18.75" customHeight="1" x14ac:dyDescent="0.35">
      <c r="T22563" s="246">
        <f t="shared" si="390"/>
        <v>0</v>
      </c>
    </row>
    <row r="22564" spans="20:20" ht="18.75" customHeight="1" x14ac:dyDescent="0.35">
      <c r="T22564" s="246">
        <f t="shared" si="390"/>
        <v>0</v>
      </c>
    </row>
    <row r="22565" spans="20:20" ht="18.75" customHeight="1" x14ac:dyDescent="0.35">
      <c r="T22565" s="246">
        <f t="shared" si="390"/>
        <v>0</v>
      </c>
    </row>
    <row r="22566" spans="20:20" ht="18.75" customHeight="1" x14ac:dyDescent="0.35">
      <c r="T22566" s="246">
        <f t="shared" si="390"/>
        <v>0</v>
      </c>
    </row>
    <row r="22567" spans="20:20" ht="18.75" customHeight="1" x14ac:dyDescent="0.35">
      <c r="T22567" s="246">
        <f t="shared" si="390"/>
        <v>0</v>
      </c>
    </row>
    <row r="22568" spans="20:20" ht="18.75" customHeight="1" x14ac:dyDescent="0.35">
      <c r="T22568" s="246">
        <f t="shared" si="390"/>
        <v>0</v>
      </c>
    </row>
    <row r="22569" spans="20:20" ht="18.75" customHeight="1" x14ac:dyDescent="0.35">
      <c r="T22569" s="246">
        <f t="shared" si="390"/>
        <v>0</v>
      </c>
    </row>
    <row r="22570" spans="20:20" ht="18.75" customHeight="1" x14ac:dyDescent="0.35">
      <c r="T22570" s="246">
        <f t="shared" si="390"/>
        <v>0</v>
      </c>
    </row>
    <row r="22571" spans="20:20" ht="18.75" customHeight="1" x14ac:dyDescent="0.35">
      <c r="T22571" s="246">
        <f t="shared" si="390"/>
        <v>0</v>
      </c>
    </row>
    <row r="22572" spans="20:20" ht="18.75" customHeight="1" x14ac:dyDescent="0.35">
      <c r="T22572" s="246">
        <f t="shared" si="390"/>
        <v>0</v>
      </c>
    </row>
    <row r="22573" spans="20:20" ht="18.75" customHeight="1" x14ac:dyDescent="0.35">
      <c r="T22573" s="246">
        <f t="shared" si="390"/>
        <v>0</v>
      </c>
    </row>
    <row r="22574" spans="20:20" ht="18.75" customHeight="1" x14ac:dyDescent="0.35">
      <c r="T22574" s="246">
        <f t="shared" si="390"/>
        <v>0</v>
      </c>
    </row>
    <row r="22575" spans="20:20" ht="18.75" customHeight="1" x14ac:dyDescent="0.35">
      <c r="T22575" s="246">
        <f t="shared" si="390"/>
        <v>0</v>
      </c>
    </row>
    <row r="22576" spans="20:20" ht="18.75" customHeight="1" x14ac:dyDescent="0.35">
      <c r="T22576" s="246">
        <f t="shared" si="390"/>
        <v>0</v>
      </c>
    </row>
    <row r="22577" spans="20:20" ht="18.75" customHeight="1" x14ac:dyDescent="0.35">
      <c r="T22577" s="246">
        <f t="shared" si="390"/>
        <v>0</v>
      </c>
    </row>
    <row r="22578" spans="20:20" ht="18.75" customHeight="1" x14ac:dyDescent="0.35">
      <c r="T22578" s="246">
        <f t="shared" si="390"/>
        <v>0</v>
      </c>
    </row>
    <row r="22579" spans="20:20" ht="18.75" customHeight="1" x14ac:dyDescent="0.35">
      <c r="T22579" s="246">
        <f t="shared" si="390"/>
        <v>0</v>
      </c>
    </row>
    <row r="22580" spans="20:20" ht="18.75" customHeight="1" x14ac:dyDescent="0.35">
      <c r="T22580" s="246">
        <f t="shared" si="390"/>
        <v>0</v>
      </c>
    </row>
    <row r="22581" spans="20:20" ht="18.75" customHeight="1" x14ac:dyDescent="0.35">
      <c r="T22581" s="246">
        <f t="shared" si="390"/>
        <v>0</v>
      </c>
    </row>
    <row r="22582" spans="20:20" ht="18.75" customHeight="1" x14ac:dyDescent="0.35">
      <c r="T22582" s="246">
        <f t="shared" si="390"/>
        <v>0</v>
      </c>
    </row>
    <row r="22583" spans="20:20" ht="18.75" customHeight="1" x14ac:dyDescent="0.35">
      <c r="T22583" s="246">
        <f t="shared" si="390"/>
        <v>0</v>
      </c>
    </row>
    <row r="22584" spans="20:20" ht="18.75" customHeight="1" x14ac:dyDescent="0.35">
      <c r="T22584" s="246">
        <f t="shared" si="390"/>
        <v>0</v>
      </c>
    </row>
    <row r="22585" spans="20:20" ht="18.75" customHeight="1" x14ac:dyDescent="0.35">
      <c r="T22585" s="246">
        <f t="shared" si="390"/>
        <v>0</v>
      </c>
    </row>
    <row r="22586" spans="20:20" ht="18.75" customHeight="1" x14ac:dyDescent="0.35">
      <c r="T22586" s="246">
        <f t="shared" si="390"/>
        <v>0</v>
      </c>
    </row>
    <row r="22587" spans="20:20" ht="18.75" customHeight="1" x14ac:dyDescent="0.35">
      <c r="T22587" s="246">
        <f t="shared" si="390"/>
        <v>0</v>
      </c>
    </row>
    <row r="22588" spans="20:20" ht="18.75" customHeight="1" x14ac:dyDescent="0.35">
      <c r="T22588" s="246">
        <f t="shared" ref="T22588:T22651" si="391">R22588*0.01</f>
        <v>0</v>
      </c>
    </row>
    <row r="22589" spans="20:20" ht="18.75" customHeight="1" x14ac:dyDescent="0.35">
      <c r="T22589" s="246">
        <f t="shared" si="391"/>
        <v>0</v>
      </c>
    </row>
    <row r="22590" spans="20:20" ht="18.75" customHeight="1" x14ac:dyDescent="0.35">
      <c r="T22590" s="246">
        <f t="shared" si="391"/>
        <v>0</v>
      </c>
    </row>
    <row r="22591" spans="20:20" ht="18.75" customHeight="1" x14ac:dyDescent="0.35">
      <c r="T22591" s="246">
        <f t="shared" si="391"/>
        <v>0</v>
      </c>
    </row>
    <row r="22592" spans="20:20" ht="18.75" customHeight="1" x14ac:dyDescent="0.35">
      <c r="T22592" s="246">
        <f t="shared" si="391"/>
        <v>0</v>
      </c>
    </row>
    <row r="22593" spans="20:20" ht="18.75" customHeight="1" x14ac:dyDescent="0.35">
      <c r="T22593" s="246">
        <f t="shared" si="391"/>
        <v>0</v>
      </c>
    </row>
    <row r="22594" spans="20:20" ht="18.75" customHeight="1" x14ac:dyDescent="0.35">
      <c r="T22594" s="246">
        <f t="shared" si="391"/>
        <v>0</v>
      </c>
    </row>
    <row r="22595" spans="20:20" ht="18.75" customHeight="1" x14ac:dyDescent="0.35">
      <c r="T22595" s="246">
        <f t="shared" si="391"/>
        <v>0</v>
      </c>
    </row>
    <row r="22596" spans="20:20" ht="18.75" customHeight="1" x14ac:dyDescent="0.35">
      <c r="T22596" s="246">
        <f t="shared" si="391"/>
        <v>0</v>
      </c>
    </row>
    <row r="22597" spans="20:20" ht="18.75" customHeight="1" x14ac:dyDescent="0.35">
      <c r="T22597" s="246">
        <f t="shared" si="391"/>
        <v>0</v>
      </c>
    </row>
    <row r="22598" spans="20:20" ht="18.75" customHeight="1" x14ac:dyDescent="0.35">
      <c r="T22598" s="246">
        <f t="shared" si="391"/>
        <v>0</v>
      </c>
    </row>
    <row r="22599" spans="20:20" ht="18.75" customHeight="1" x14ac:dyDescent="0.35">
      <c r="T22599" s="246">
        <f t="shared" si="391"/>
        <v>0</v>
      </c>
    </row>
    <row r="22600" spans="20:20" ht="18.75" customHeight="1" x14ac:dyDescent="0.35">
      <c r="T22600" s="246">
        <f t="shared" si="391"/>
        <v>0</v>
      </c>
    </row>
    <row r="22601" spans="20:20" ht="18.75" customHeight="1" x14ac:dyDescent="0.35">
      <c r="T22601" s="246">
        <f t="shared" si="391"/>
        <v>0</v>
      </c>
    </row>
    <row r="22602" spans="20:20" ht="18.75" customHeight="1" x14ac:dyDescent="0.35">
      <c r="T22602" s="246">
        <f t="shared" si="391"/>
        <v>0</v>
      </c>
    </row>
    <row r="22603" spans="20:20" ht="18.75" customHeight="1" x14ac:dyDescent="0.35">
      <c r="T22603" s="246">
        <f t="shared" si="391"/>
        <v>0</v>
      </c>
    </row>
    <row r="22604" spans="20:20" ht="18.75" customHeight="1" x14ac:dyDescent="0.35">
      <c r="T22604" s="246">
        <f t="shared" si="391"/>
        <v>0</v>
      </c>
    </row>
    <row r="22605" spans="20:20" ht="18.75" customHeight="1" x14ac:dyDescent="0.35">
      <c r="T22605" s="246">
        <f t="shared" si="391"/>
        <v>0</v>
      </c>
    </row>
    <row r="22606" spans="20:20" ht="18.75" customHeight="1" x14ac:dyDescent="0.35">
      <c r="T22606" s="246">
        <f t="shared" si="391"/>
        <v>0</v>
      </c>
    </row>
    <row r="22607" spans="20:20" ht="18.75" customHeight="1" x14ac:dyDescent="0.35">
      <c r="T22607" s="246">
        <f t="shared" si="391"/>
        <v>0</v>
      </c>
    </row>
    <row r="22608" spans="20:20" ht="18.75" customHeight="1" x14ac:dyDescent="0.35">
      <c r="T22608" s="246">
        <f t="shared" si="391"/>
        <v>0</v>
      </c>
    </row>
    <row r="22609" spans="20:20" ht="18.75" customHeight="1" x14ac:dyDescent="0.35">
      <c r="T22609" s="246">
        <f t="shared" si="391"/>
        <v>0</v>
      </c>
    </row>
    <row r="22610" spans="20:20" ht="18.75" customHeight="1" x14ac:dyDescent="0.35">
      <c r="T22610" s="246">
        <f t="shared" si="391"/>
        <v>0</v>
      </c>
    </row>
    <row r="22611" spans="20:20" ht="18.75" customHeight="1" x14ac:dyDescent="0.35">
      <c r="T22611" s="246">
        <f t="shared" si="391"/>
        <v>0</v>
      </c>
    </row>
    <row r="22612" spans="20:20" ht="18.75" customHeight="1" x14ac:dyDescent="0.35">
      <c r="T22612" s="246">
        <f t="shared" si="391"/>
        <v>0</v>
      </c>
    </row>
    <row r="22613" spans="20:20" ht="18.75" customHeight="1" x14ac:dyDescent="0.35">
      <c r="T22613" s="246">
        <f t="shared" si="391"/>
        <v>0</v>
      </c>
    </row>
    <row r="22614" spans="20:20" ht="18.75" customHeight="1" x14ac:dyDescent="0.35">
      <c r="T22614" s="246">
        <f t="shared" si="391"/>
        <v>0</v>
      </c>
    </row>
    <row r="22615" spans="20:20" ht="18.75" customHeight="1" x14ac:dyDescent="0.35">
      <c r="T22615" s="246">
        <f t="shared" si="391"/>
        <v>0</v>
      </c>
    </row>
    <row r="22616" spans="20:20" ht="18.75" customHeight="1" x14ac:dyDescent="0.35">
      <c r="T22616" s="246">
        <f t="shared" si="391"/>
        <v>0</v>
      </c>
    </row>
    <row r="22617" spans="20:20" ht="18.75" customHeight="1" x14ac:dyDescent="0.35">
      <c r="T22617" s="246">
        <f t="shared" si="391"/>
        <v>0</v>
      </c>
    </row>
    <row r="22618" spans="20:20" ht="18.75" customHeight="1" x14ac:dyDescent="0.35">
      <c r="T22618" s="246">
        <f t="shared" si="391"/>
        <v>0</v>
      </c>
    </row>
    <row r="22619" spans="20:20" ht="18.75" customHeight="1" x14ac:dyDescent="0.35">
      <c r="T22619" s="246">
        <f t="shared" si="391"/>
        <v>0</v>
      </c>
    </row>
    <row r="22620" spans="20:20" ht="18.75" customHeight="1" x14ac:dyDescent="0.35">
      <c r="T22620" s="246">
        <f t="shared" si="391"/>
        <v>0</v>
      </c>
    </row>
    <row r="22621" spans="20:20" ht="18.75" customHeight="1" x14ac:dyDescent="0.35">
      <c r="T22621" s="246">
        <f t="shared" si="391"/>
        <v>0</v>
      </c>
    </row>
    <row r="22622" spans="20:20" ht="18.75" customHeight="1" x14ac:dyDescent="0.35">
      <c r="T22622" s="246">
        <f t="shared" si="391"/>
        <v>0</v>
      </c>
    </row>
    <row r="22623" spans="20:20" ht="18.75" customHeight="1" x14ac:dyDescent="0.35">
      <c r="T22623" s="246">
        <f t="shared" si="391"/>
        <v>0</v>
      </c>
    </row>
    <row r="22624" spans="20:20" ht="18.75" customHeight="1" x14ac:dyDescent="0.35">
      <c r="T22624" s="246">
        <f t="shared" si="391"/>
        <v>0</v>
      </c>
    </row>
    <row r="22625" spans="20:20" ht="18.75" customHeight="1" x14ac:dyDescent="0.35">
      <c r="T22625" s="246">
        <f t="shared" si="391"/>
        <v>0</v>
      </c>
    </row>
    <row r="22626" spans="20:20" ht="18.75" customHeight="1" x14ac:dyDescent="0.35">
      <c r="T22626" s="246">
        <f t="shared" si="391"/>
        <v>0</v>
      </c>
    </row>
    <row r="22627" spans="20:20" ht="18.75" customHeight="1" x14ac:dyDescent="0.35">
      <c r="T22627" s="246">
        <f t="shared" si="391"/>
        <v>0</v>
      </c>
    </row>
    <row r="22628" spans="20:20" ht="18.75" customHeight="1" x14ac:dyDescent="0.35">
      <c r="T22628" s="246">
        <f t="shared" si="391"/>
        <v>0</v>
      </c>
    </row>
    <row r="22629" spans="20:20" ht="18.75" customHeight="1" x14ac:dyDescent="0.35">
      <c r="T22629" s="246">
        <f t="shared" si="391"/>
        <v>0</v>
      </c>
    </row>
    <row r="22630" spans="20:20" ht="18.75" customHeight="1" x14ac:dyDescent="0.35">
      <c r="T22630" s="246">
        <f t="shared" si="391"/>
        <v>0</v>
      </c>
    </row>
    <row r="22631" spans="20:20" ht="18.75" customHeight="1" x14ac:dyDescent="0.35">
      <c r="T22631" s="246">
        <f t="shared" si="391"/>
        <v>0</v>
      </c>
    </row>
    <row r="22632" spans="20:20" ht="18.75" customHeight="1" x14ac:dyDescent="0.35">
      <c r="T22632" s="246">
        <f t="shared" si="391"/>
        <v>0</v>
      </c>
    </row>
    <row r="22633" spans="20:20" ht="18.75" customHeight="1" x14ac:dyDescent="0.35">
      <c r="T22633" s="246">
        <f t="shared" si="391"/>
        <v>0</v>
      </c>
    </row>
    <row r="22634" spans="20:20" ht="18.75" customHeight="1" x14ac:dyDescent="0.35">
      <c r="T22634" s="246">
        <f t="shared" si="391"/>
        <v>0</v>
      </c>
    </row>
    <row r="22635" spans="20:20" ht="18.75" customHeight="1" x14ac:dyDescent="0.35">
      <c r="T22635" s="246">
        <f t="shared" si="391"/>
        <v>0</v>
      </c>
    </row>
    <row r="22636" spans="20:20" ht="18.75" customHeight="1" x14ac:dyDescent="0.35">
      <c r="T22636" s="246">
        <f t="shared" si="391"/>
        <v>0</v>
      </c>
    </row>
    <row r="22637" spans="20:20" ht="18.75" customHeight="1" x14ac:dyDescent="0.35">
      <c r="T22637" s="246">
        <f t="shared" si="391"/>
        <v>0</v>
      </c>
    </row>
    <row r="22638" spans="20:20" ht="18.75" customHeight="1" x14ac:dyDescent="0.35">
      <c r="T22638" s="246">
        <f t="shared" si="391"/>
        <v>0</v>
      </c>
    </row>
    <row r="22639" spans="20:20" ht="18.75" customHeight="1" x14ac:dyDescent="0.35">
      <c r="T22639" s="246">
        <f t="shared" si="391"/>
        <v>0</v>
      </c>
    </row>
    <row r="22640" spans="20:20" ht="18.75" customHeight="1" x14ac:dyDescent="0.35">
      <c r="T22640" s="246">
        <f t="shared" si="391"/>
        <v>0</v>
      </c>
    </row>
    <row r="22641" spans="20:20" ht="18.75" customHeight="1" x14ac:dyDescent="0.35">
      <c r="T22641" s="246">
        <f t="shared" si="391"/>
        <v>0</v>
      </c>
    </row>
    <row r="22642" spans="20:20" ht="18.75" customHeight="1" x14ac:dyDescent="0.35">
      <c r="T22642" s="246">
        <f t="shared" si="391"/>
        <v>0</v>
      </c>
    </row>
    <row r="22643" spans="20:20" ht="18.75" customHeight="1" x14ac:dyDescent="0.35">
      <c r="T22643" s="246">
        <f t="shared" si="391"/>
        <v>0</v>
      </c>
    </row>
    <row r="22644" spans="20:20" ht="18.75" customHeight="1" x14ac:dyDescent="0.35">
      <c r="T22644" s="246">
        <f t="shared" si="391"/>
        <v>0</v>
      </c>
    </row>
    <row r="22645" spans="20:20" ht="18.75" customHeight="1" x14ac:dyDescent="0.35">
      <c r="T22645" s="246">
        <f t="shared" si="391"/>
        <v>0</v>
      </c>
    </row>
    <row r="22646" spans="20:20" ht="18.75" customHeight="1" x14ac:dyDescent="0.35">
      <c r="T22646" s="246">
        <f t="shared" si="391"/>
        <v>0</v>
      </c>
    </row>
    <row r="22647" spans="20:20" ht="18.75" customHeight="1" x14ac:dyDescent="0.35">
      <c r="T22647" s="246">
        <f t="shared" si="391"/>
        <v>0</v>
      </c>
    </row>
    <row r="22648" spans="20:20" ht="18.75" customHeight="1" x14ac:dyDescent="0.35">
      <c r="T22648" s="246">
        <f t="shared" si="391"/>
        <v>0</v>
      </c>
    </row>
    <row r="22649" spans="20:20" ht="18.75" customHeight="1" x14ac:dyDescent="0.35">
      <c r="T22649" s="246">
        <f t="shared" si="391"/>
        <v>0</v>
      </c>
    </row>
    <row r="22650" spans="20:20" ht="18.75" customHeight="1" x14ac:dyDescent="0.35">
      <c r="T22650" s="246">
        <f t="shared" si="391"/>
        <v>0</v>
      </c>
    </row>
    <row r="22651" spans="20:20" ht="18.75" customHeight="1" x14ac:dyDescent="0.35">
      <c r="T22651" s="246">
        <f t="shared" si="391"/>
        <v>0</v>
      </c>
    </row>
    <row r="22652" spans="20:20" ht="18.75" customHeight="1" x14ac:dyDescent="0.35">
      <c r="T22652" s="246">
        <f t="shared" ref="T22652:T22715" si="392">R22652*0.01</f>
        <v>0</v>
      </c>
    </row>
    <row r="22653" spans="20:20" ht="18.75" customHeight="1" x14ac:dyDescent="0.35">
      <c r="T22653" s="246">
        <f t="shared" si="392"/>
        <v>0</v>
      </c>
    </row>
    <row r="22654" spans="20:20" ht="18.75" customHeight="1" x14ac:dyDescent="0.35">
      <c r="T22654" s="246">
        <f t="shared" si="392"/>
        <v>0</v>
      </c>
    </row>
    <row r="22655" spans="20:20" ht="18.75" customHeight="1" x14ac:dyDescent="0.35">
      <c r="T22655" s="246">
        <f t="shared" si="392"/>
        <v>0</v>
      </c>
    </row>
    <row r="22656" spans="20:20" ht="18.75" customHeight="1" x14ac:dyDescent="0.35">
      <c r="T22656" s="246">
        <f t="shared" si="392"/>
        <v>0</v>
      </c>
    </row>
    <row r="22657" spans="20:20" ht="18.75" customHeight="1" x14ac:dyDescent="0.35">
      <c r="T22657" s="246">
        <f t="shared" si="392"/>
        <v>0</v>
      </c>
    </row>
    <row r="22658" spans="20:20" ht="18.75" customHeight="1" x14ac:dyDescent="0.35">
      <c r="T22658" s="246">
        <f t="shared" si="392"/>
        <v>0</v>
      </c>
    </row>
    <row r="22659" spans="20:20" ht="18.75" customHeight="1" x14ac:dyDescent="0.35">
      <c r="T22659" s="246">
        <f t="shared" si="392"/>
        <v>0</v>
      </c>
    </row>
    <row r="22660" spans="20:20" ht="18.75" customHeight="1" x14ac:dyDescent="0.35">
      <c r="T22660" s="246">
        <f t="shared" si="392"/>
        <v>0</v>
      </c>
    </row>
    <row r="22661" spans="20:20" ht="18.75" customHeight="1" x14ac:dyDescent="0.35">
      <c r="T22661" s="246">
        <f t="shared" si="392"/>
        <v>0</v>
      </c>
    </row>
    <row r="22662" spans="20:20" ht="18.75" customHeight="1" x14ac:dyDescent="0.35">
      <c r="T22662" s="246">
        <f t="shared" si="392"/>
        <v>0</v>
      </c>
    </row>
    <row r="22663" spans="20:20" ht="18.75" customHeight="1" x14ac:dyDescent="0.35">
      <c r="T22663" s="246">
        <f t="shared" si="392"/>
        <v>0</v>
      </c>
    </row>
    <row r="22664" spans="20:20" ht="18.75" customHeight="1" x14ac:dyDescent="0.35">
      <c r="T22664" s="246">
        <f t="shared" si="392"/>
        <v>0</v>
      </c>
    </row>
    <row r="22665" spans="20:20" ht="18.75" customHeight="1" x14ac:dyDescent="0.35">
      <c r="T22665" s="246">
        <f t="shared" si="392"/>
        <v>0</v>
      </c>
    </row>
    <row r="22666" spans="20:20" ht="18.75" customHeight="1" x14ac:dyDescent="0.35">
      <c r="T22666" s="246">
        <f t="shared" si="392"/>
        <v>0</v>
      </c>
    </row>
    <row r="22667" spans="20:20" ht="18.75" customHeight="1" x14ac:dyDescent="0.35">
      <c r="T22667" s="246">
        <f t="shared" si="392"/>
        <v>0</v>
      </c>
    </row>
    <row r="22668" spans="20:20" ht="18.75" customHeight="1" x14ac:dyDescent="0.35">
      <c r="T22668" s="246">
        <f t="shared" si="392"/>
        <v>0</v>
      </c>
    </row>
    <row r="22669" spans="20:20" ht="18.75" customHeight="1" x14ac:dyDescent="0.35">
      <c r="T22669" s="246">
        <f t="shared" si="392"/>
        <v>0</v>
      </c>
    </row>
    <row r="22670" spans="20:20" ht="18.75" customHeight="1" x14ac:dyDescent="0.35">
      <c r="T22670" s="246">
        <f t="shared" si="392"/>
        <v>0</v>
      </c>
    </row>
    <row r="22671" spans="20:20" ht="18.75" customHeight="1" x14ac:dyDescent="0.35">
      <c r="T22671" s="246">
        <f t="shared" si="392"/>
        <v>0</v>
      </c>
    </row>
    <row r="22672" spans="20:20" ht="18.75" customHeight="1" x14ac:dyDescent="0.35">
      <c r="T22672" s="246">
        <f t="shared" si="392"/>
        <v>0</v>
      </c>
    </row>
    <row r="22673" spans="20:20" ht="18.75" customHeight="1" x14ac:dyDescent="0.35">
      <c r="T22673" s="246">
        <f t="shared" si="392"/>
        <v>0</v>
      </c>
    </row>
    <row r="22674" spans="20:20" ht="18.75" customHeight="1" x14ac:dyDescent="0.35">
      <c r="T22674" s="246">
        <f t="shared" si="392"/>
        <v>0</v>
      </c>
    </row>
    <row r="22675" spans="20:20" ht="18.75" customHeight="1" x14ac:dyDescent="0.35">
      <c r="T22675" s="246">
        <f t="shared" si="392"/>
        <v>0</v>
      </c>
    </row>
    <row r="22676" spans="20:20" ht="18.75" customHeight="1" x14ac:dyDescent="0.35">
      <c r="T22676" s="246">
        <f t="shared" si="392"/>
        <v>0</v>
      </c>
    </row>
    <row r="22677" spans="20:20" ht="18.75" customHeight="1" x14ac:dyDescent="0.35">
      <c r="T22677" s="246">
        <f t="shared" si="392"/>
        <v>0</v>
      </c>
    </row>
    <row r="22678" spans="20:20" ht="18.75" customHeight="1" x14ac:dyDescent="0.35">
      <c r="T22678" s="246">
        <f t="shared" si="392"/>
        <v>0</v>
      </c>
    </row>
    <row r="22679" spans="20:20" ht="18.75" customHeight="1" x14ac:dyDescent="0.35">
      <c r="T22679" s="246">
        <f t="shared" si="392"/>
        <v>0</v>
      </c>
    </row>
    <row r="22680" spans="20:20" ht="18.75" customHeight="1" x14ac:dyDescent="0.35">
      <c r="T22680" s="246">
        <f t="shared" si="392"/>
        <v>0</v>
      </c>
    </row>
    <row r="22681" spans="20:20" ht="18.75" customHeight="1" x14ac:dyDescent="0.35">
      <c r="T22681" s="246">
        <f t="shared" si="392"/>
        <v>0</v>
      </c>
    </row>
    <row r="22682" spans="20:20" ht="18.75" customHeight="1" x14ac:dyDescent="0.35">
      <c r="T22682" s="246">
        <f t="shared" si="392"/>
        <v>0</v>
      </c>
    </row>
    <row r="22683" spans="20:20" ht="18.75" customHeight="1" x14ac:dyDescent="0.35">
      <c r="T22683" s="246">
        <f t="shared" si="392"/>
        <v>0</v>
      </c>
    </row>
    <row r="22684" spans="20:20" ht="18.75" customHeight="1" x14ac:dyDescent="0.35">
      <c r="T22684" s="246">
        <f t="shared" si="392"/>
        <v>0</v>
      </c>
    </row>
    <row r="22685" spans="20:20" ht="18.75" customHeight="1" x14ac:dyDescent="0.35">
      <c r="T22685" s="246">
        <f t="shared" si="392"/>
        <v>0</v>
      </c>
    </row>
    <row r="22686" spans="20:20" ht="18.75" customHeight="1" x14ac:dyDescent="0.35">
      <c r="T22686" s="246">
        <f t="shared" si="392"/>
        <v>0</v>
      </c>
    </row>
    <row r="22687" spans="20:20" ht="18.75" customHeight="1" x14ac:dyDescent="0.35">
      <c r="T22687" s="246">
        <f t="shared" si="392"/>
        <v>0</v>
      </c>
    </row>
    <row r="22688" spans="20:20" ht="18.75" customHeight="1" x14ac:dyDescent="0.35">
      <c r="T22688" s="246">
        <f t="shared" si="392"/>
        <v>0</v>
      </c>
    </row>
    <row r="22689" spans="20:20" ht="18.75" customHeight="1" x14ac:dyDescent="0.35">
      <c r="T22689" s="246">
        <f t="shared" si="392"/>
        <v>0</v>
      </c>
    </row>
    <row r="22690" spans="20:20" ht="18.75" customHeight="1" x14ac:dyDescent="0.35">
      <c r="T22690" s="246">
        <f t="shared" si="392"/>
        <v>0</v>
      </c>
    </row>
    <row r="22691" spans="20:20" ht="18.75" customHeight="1" x14ac:dyDescent="0.35">
      <c r="T22691" s="246">
        <f t="shared" si="392"/>
        <v>0</v>
      </c>
    </row>
    <row r="22692" spans="20:20" ht="18.75" customHeight="1" x14ac:dyDescent="0.35">
      <c r="T22692" s="246">
        <f t="shared" si="392"/>
        <v>0</v>
      </c>
    </row>
    <row r="22693" spans="20:20" ht="18.75" customHeight="1" x14ac:dyDescent="0.35">
      <c r="T22693" s="246">
        <f t="shared" si="392"/>
        <v>0</v>
      </c>
    </row>
    <row r="22694" spans="20:20" ht="18.75" customHeight="1" x14ac:dyDescent="0.35">
      <c r="T22694" s="246">
        <f t="shared" si="392"/>
        <v>0</v>
      </c>
    </row>
    <row r="22695" spans="20:20" ht="18.75" customHeight="1" x14ac:dyDescent="0.35">
      <c r="T22695" s="246">
        <f t="shared" si="392"/>
        <v>0</v>
      </c>
    </row>
    <row r="22696" spans="20:20" ht="18.75" customHeight="1" x14ac:dyDescent="0.35">
      <c r="T22696" s="246">
        <f t="shared" si="392"/>
        <v>0</v>
      </c>
    </row>
    <row r="22697" spans="20:20" ht="18.75" customHeight="1" x14ac:dyDescent="0.35">
      <c r="T22697" s="246">
        <f t="shared" si="392"/>
        <v>0</v>
      </c>
    </row>
    <row r="22698" spans="20:20" ht="18.75" customHeight="1" x14ac:dyDescent="0.35">
      <c r="T22698" s="246">
        <f t="shared" si="392"/>
        <v>0</v>
      </c>
    </row>
    <row r="22699" spans="20:20" ht="18.75" customHeight="1" x14ac:dyDescent="0.35">
      <c r="T22699" s="246">
        <f t="shared" si="392"/>
        <v>0</v>
      </c>
    </row>
    <row r="22700" spans="20:20" ht="18.75" customHeight="1" x14ac:dyDescent="0.35">
      <c r="T22700" s="246">
        <f t="shared" si="392"/>
        <v>0</v>
      </c>
    </row>
    <row r="22701" spans="20:20" ht="18.75" customHeight="1" x14ac:dyDescent="0.35">
      <c r="T22701" s="246">
        <f t="shared" si="392"/>
        <v>0</v>
      </c>
    </row>
    <row r="22702" spans="20:20" ht="18.75" customHeight="1" x14ac:dyDescent="0.35">
      <c r="T22702" s="246">
        <f t="shared" si="392"/>
        <v>0</v>
      </c>
    </row>
    <row r="22703" spans="20:20" ht="18.75" customHeight="1" x14ac:dyDescent="0.35">
      <c r="T22703" s="246">
        <f t="shared" si="392"/>
        <v>0</v>
      </c>
    </row>
    <row r="22704" spans="20:20" ht="18.75" customHeight="1" x14ac:dyDescent="0.35">
      <c r="T22704" s="246">
        <f t="shared" si="392"/>
        <v>0</v>
      </c>
    </row>
    <row r="22705" spans="20:20" ht="18.75" customHeight="1" x14ac:dyDescent="0.35">
      <c r="T22705" s="246">
        <f t="shared" si="392"/>
        <v>0</v>
      </c>
    </row>
    <row r="22706" spans="20:20" ht="18.75" customHeight="1" x14ac:dyDescent="0.35">
      <c r="T22706" s="246">
        <f t="shared" si="392"/>
        <v>0</v>
      </c>
    </row>
    <row r="22707" spans="20:20" ht="18.75" customHeight="1" x14ac:dyDescent="0.35">
      <c r="T22707" s="246">
        <f t="shared" si="392"/>
        <v>0</v>
      </c>
    </row>
    <row r="22708" spans="20:20" ht="18.75" customHeight="1" x14ac:dyDescent="0.35">
      <c r="T22708" s="246">
        <f t="shared" si="392"/>
        <v>0</v>
      </c>
    </row>
    <row r="22709" spans="20:20" ht="18.75" customHeight="1" x14ac:dyDescent="0.35">
      <c r="T22709" s="246">
        <f t="shared" si="392"/>
        <v>0</v>
      </c>
    </row>
    <row r="22710" spans="20:20" ht="18.75" customHeight="1" x14ac:dyDescent="0.35">
      <c r="T22710" s="246">
        <f t="shared" si="392"/>
        <v>0</v>
      </c>
    </row>
    <row r="22711" spans="20:20" ht="18.75" customHeight="1" x14ac:dyDescent="0.35">
      <c r="T22711" s="246">
        <f t="shared" si="392"/>
        <v>0</v>
      </c>
    </row>
    <row r="22712" spans="20:20" ht="18.75" customHeight="1" x14ac:dyDescent="0.35">
      <c r="T22712" s="246">
        <f t="shared" si="392"/>
        <v>0</v>
      </c>
    </row>
    <row r="22713" spans="20:20" ht="18.75" customHeight="1" x14ac:dyDescent="0.35">
      <c r="T22713" s="246">
        <f t="shared" si="392"/>
        <v>0</v>
      </c>
    </row>
    <row r="22714" spans="20:20" ht="18.75" customHeight="1" x14ac:dyDescent="0.35">
      <c r="T22714" s="246">
        <f t="shared" si="392"/>
        <v>0</v>
      </c>
    </row>
    <row r="22715" spans="20:20" ht="18.75" customHeight="1" x14ac:dyDescent="0.35">
      <c r="T22715" s="246">
        <f t="shared" si="392"/>
        <v>0</v>
      </c>
    </row>
    <row r="22716" spans="20:20" ht="18.75" customHeight="1" x14ac:dyDescent="0.35">
      <c r="T22716" s="246">
        <f t="shared" ref="T22716:T22779" si="393">R22716*0.01</f>
        <v>0</v>
      </c>
    </row>
    <row r="22717" spans="20:20" ht="18.75" customHeight="1" x14ac:dyDescent="0.35">
      <c r="T22717" s="246">
        <f t="shared" si="393"/>
        <v>0</v>
      </c>
    </row>
    <row r="22718" spans="20:20" ht="18.75" customHeight="1" x14ac:dyDescent="0.35">
      <c r="T22718" s="246">
        <f t="shared" si="393"/>
        <v>0</v>
      </c>
    </row>
    <row r="22719" spans="20:20" ht="18.75" customHeight="1" x14ac:dyDescent="0.35">
      <c r="T22719" s="246">
        <f t="shared" si="393"/>
        <v>0</v>
      </c>
    </row>
    <row r="22720" spans="20:20" ht="18.75" customHeight="1" x14ac:dyDescent="0.35">
      <c r="T22720" s="246">
        <f t="shared" si="393"/>
        <v>0</v>
      </c>
    </row>
    <row r="22721" spans="20:20" ht="18.75" customHeight="1" x14ac:dyDescent="0.35">
      <c r="T22721" s="246">
        <f t="shared" si="393"/>
        <v>0</v>
      </c>
    </row>
    <row r="22722" spans="20:20" ht="18.75" customHeight="1" x14ac:dyDescent="0.35">
      <c r="T22722" s="246">
        <f t="shared" si="393"/>
        <v>0</v>
      </c>
    </row>
    <row r="22723" spans="20:20" ht="18.75" customHeight="1" x14ac:dyDescent="0.35">
      <c r="T22723" s="246">
        <f t="shared" si="393"/>
        <v>0</v>
      </c>
    </row>
    <row r="22724" spans="20:20" ht="18.75" customHeight="1" x14ac:dyDescent="0.35">
      <c r="T22724" s="246">
        <f t="shared" si="393"/>
        <v>0</v>
      </c>
    </row>
    <row r="22725" spans="20:20" ht="18.75" customHeight="1" x14ac:dyDescent="0.35">
      <c r="T22725" s="246">
        <f t="shared" si="393"/>
        <v>0</v>
      </c>
    </row>
    <row r="22726" spans="20:20" ht="18.75" customHeight="1" x14ac:dyDescent="0.35">
      <c r="T22726" s="246">
        <f t="shared" si="393"/>
        <v>0</v>
      </c>
    </row>
    <row r="22727" spans="20:20" ht="18.75" customHeight="1" x14ac:dyDescent="0.35">
      <c r="T22727" s="246">
        <f t="shared" si="393"/>
        <v>0</v>
      </c>
    </row>
    <row r="22728" spans="20:20" ht="18.75" customHeight="1" x14ac:dyDescent="0.35">
      <c r="T22728" s="246">
        <f t="shared" si="393"/>
        <v>0</v>
      </c>
    </row>
    <row r="22729" spans="20:20" ht="18.75" customHeight="1" x14ac:dyDescent="0.35">
      <c r="T22729" s="246">
        <f t="shared" si="393"/>
        <v>0</v>
      </c>
    </row>
    <row r="22730" spans="20:20" ht="18.75" customHeight="1" x14ac:dyDescent="0.35">
      <c r="T22730" s="246">
        <f t="shared" si="393"/>
        <v>0</v>
      </c>
    </row>
    <row r="22731" spans="20:20" ht="18.75" customHeight="1" x14ac:dyDescent="0.35">
      <c r="T22731" s="246">
        <f t="shared" si="393"/>
        <v>0</v>
      </c>
    </row>
    <row r="22732" spans="20:20" ht="18.75" customHeight="1" x14ac:dyDescent="0.35">
      <c r="T22732" s="246">
        <f t="shared" si="393"/>
        <v>0</v>
      </c>
    </row>
    <row r="22733" spans="20:20" ht="18.75" customHeight="1" x14ac:dyDescent="0.35">
      <c r="T22733" s="246">
        <f t="shared" si="393"/>
        <v>0</v>
      </c>
    </row>
    <row r="22734" spans="20:20" ht="18.75" customHeight="1" x14ac:dyDescent="0.35">
      <c r="T22734" s="246">
        <f t="shared" si="393"/>
        <v>0</v>
      </c>
    </row>
    <row r="22735" spans="20:20" ht="18.75" customHeight="1" x14ac:dyDescent="0.35">
      <c r="T22735" s="246">
        <f t="shared" si="393"/>
        <v>0</v>
      </c>
    </row>
    <row r="22736" spans="20:20" ht="18.75" customHeight="1" x14ac:dyDescent="0.35">
      <c r="T22736" s="246">
        <f t="shared" si="393"/>
        <v>0</v>
      </c>
    </row>
    <row r="22737" spans="20:20" ht="18.75" customHeight="1" x14ac:dyDescent="0.35">
      <c r="T22737" s="246">
        <f t="shared" si="393"/>
        <v>0</v>
      </c>
    </row>
    <row r="22738" spans="20:20" ht="18.75" customHeight="1" x14ac:dyDescent="0.35">
      <c r="T22738" s="246">
        <f t="shared" si="393"/>
        <v>0</v>
      </c>
    </row>
    <row r="22739" spans="20:20" ht="18.75" customHeight="1" x14ac:dyDescent="0.35">
      <c r="T22739" s="246">
        <f t="shared" si="393"/>
        <v>0</v>
      </c>
    </row>
    <row r="22740" spans="20:20" ht="18.75" customHeight="1" x14ac:dyDescent="0.35">
      <c r="T22740" s="246">
        <f t="shared" si="393"/>
        <v>0</v>
      </c>
    </row>
    <row r="22741" spans="20:20" ht="18.75" customHeight="1" x14ac:dyDescent="0.35">
      <c r="T22741" s="246">
        <f t="shared" si="393"/>
        <v>0</v>
      </c>
    </row>
    <row r="22742" spans="20:20" ht="18.75" customHeight="1" x14ac:dyDescent="0.35">
      <c r="T22742" s="246">
        <f t="shared" si="393"/>
        <v>0</v>
      </c>
    </row>
    <row r="22743" spans="20:20" ht="18.75" customHeight="1" x14ac:dyDescent="0.35">
      <c r="T22743" s="246">
        <f t="shared" si="393"/>
        <v>0</v>
      </c>
    </row>
    <row r="22744" spans="20:20" ht="18.75" customHeight="1" x14ac:dyDescent="0.35">
      <c r="T22744" s="246">
        <f t="shared" si="393"/>
        <v>0</v>
      </c>
    </row>
    <row r="22745" spans="20:20" ht="18.75" customHeight="1" x14ac:dyDescent="0.35">
      <c r="T22745" s="246">
        <f t="shared" si="393"/>
        <v>0</v>
      </c>
    </row>
    <row r="22746" spans="20:20" ht="18.75" customHeight="1" x14ac:dyDescent="0.35">
      <c r="T22746" s="246">
        <f t="shared" si="393"/>
        <v>0</v>
      </c>
    </row>
    <row r="22747" spans="20:20" ht="18.75" customHeight="1" x14ac:dyDescent="0.35">
      <c r="T22747" s="246">
        <f t="shared" si="393"/>
        <v>0</v>
      </c>
    </row>
    <row r="22748" spans="20:20" ht="18.75" customHeight="1" x14ac:dyDescent="0.35">
      <c r="T22748" s="246">
        <f t="shared" si="393"/>
        <v>0</v>
      </c>
    </row>
    <row r="22749" spans="20:20" ht="18.75" customHeight="1" x14ac:dyDescent="0.35">
      <c r="T22749" s="246">
        <f t="shared" si="393"/>
        <v>0</v>
      </c>
    </row>
    <row r="22750" spans="20:20" ht="18.75" customHeight="1" x14ac:dyDescent="0.35">
      <c r="T22750" s="246">
        <f t="shared" si="393"/>
        <v>0</v>
      </c>
    </row>
    <row r="22751" spans="20:20" ht="18.75" customHeight="1" x14ac:dyDescent="0.35">
      <c r="T22751" s="246">
        <f t="shared" si="393"/>
        <v>0</v>
      </c>
    </row>
    <row r="22752" spans="20:20" ht="18.75" customHeight="1" x14ac:dyDescent="0.35">
      <c r="T22752" s="246">
        <f t="shared" si="393"/>
        <v>0</v>
      </c>
    </row>
    <row r="22753" spans="20:20" ht="18.75" customHeight="1" x14ac:dyDescent="0.35">
      <c r="T22753" s="246">
        <f t="shared" si="393"/>
        <v>0</v>
      </c>
    </row>
    <row r="22754" spans="20:20" ht="18.75" customHeight="1" x14ac:dyDescent="0.35">
      <c r="T22754" s="246">
        <f t="shared" si="393"/>
        <v>0</v>
      </c>
    </row>
    <row r="22755" spans="20:20" ht="18.75" customHeight="1" x14ac:dyDescent="0.35">
      <c r="T22755" s="246">
        <f t="shared" si="393"/>
        <v>0</v>
      </c>
    </row>
    <row r="22756" spans="20:20" ht="18.75" customHeight="1" x14ac:dyDescent="0.35">
      <c r="T22756" s="246">
        <f t="shared" si="393"/>
        <v>0</v>
      </c>
    </row>
    <row r="22757" spans="20:20" ht="18.75" customHeight="1" x14ac:dyDescent="0.35">
      <c r="T22757" s="246">
        <f t="shared" si="393"/>
        <v>0</v>
      </c>
    </row>
    <row r="22758" spans="20:20" ht="18.75" customHeight="1" x14ac:dyDescent="0.35">
      <c r="T22758" s="246">
        <f t="shared" si="393"/>
        <v>0</v>
      </c>
    </row>
    <row r="22759" spans="20:20" ht="18.75" customHeight="1" x14ac:dyDescent="0.35">
      <c r="T22759" s="246">
        <f t="shared" si="393"/>
        <v>0</v>
      </c>
    </row>
    <row r="22760" spans="20:20" ht="18.75" customHeight="1" x14ac:dyDescent="0.35">
      <c r="T22760" s="246">
        <f t="shared" si="393"/>
        <v>0</v>
      </c>
    </row>
    <row r="22761" spans="20:20" ht="18.75" customHeight="1" x14ac:dyDescent="0.35">
      <c r="T22761" s="246">
        <f t="shared" si="393"/>
        <v>0</v>
      </c>
    </row>
    <row r="22762" spans="20:20" ht="18.75" customHeight="1" x14ac:dyDescent="0.35">
      <c r="T22762" s="246">
        <f t="shared" si="393"/>
        <v>0</v>
      </c>
    </row>
    <row r="22763" spans="20:20" ht="18.75" customHeight="1" x14ac:dyDescent="0.35">
      <c r="T22763" s="246">
        <f t="shared" si="393"/>
        <v>0</v>
      </c>
    </row>
    <row r="22764" spans="20:20" ht="18.75" customHeight="1" x14ac:dyDescent="0.35">
      <c r="T22764" s="246">
        <f t="shared" si="393"/>
        <v>0</v>
      </c>
    </row>
    <row r="22765" spans="20:20" ht="18.75" customHeight="1" x14ac:dyDescent="0.35">
      <c r="T22765" s="246">
        <f t="shared" si="393"/>
        <v>0</v>
      </c>
    </row>
    <row r="22766" spans="20:20" ht="18.75" customHeight="1" x14ac:dyDescent="0.35">
      <c r="T22766" s="246">
        <f t="shared" si="393"/>
        <v>0</v>
      </c>
    </row>
    <row r="22767" spans="20:20" ht="18.75" customHeight="1" x14ac:dyDescent="0.35">
      <c r="T22767" s="246">
        <f t="shared" si="393"/>
        <v>0</v>
      </c>
    </row>
    <row r="22768" spans="20:20" ht="18.75" customHeight="1" x14ac:dyDescent="0.35">
      <c r="T22768" s="246">
        <f t="shared" si="393"/>
        <v>0</v>
      </c>
    </row>
    <row r="22769" spans="20:20" ht="18.75" customHeight="1" x14ac:dyDescent="0.35">
      <c r="T22769" s="246">
        <f t="shared" si="393"/>
        <v>0</v>
      </c>
    </row>
    <row r="22770" spans="20:20" ht="18.75" customHeight="1" x14ac:dyDescent="0.35">
      <c r="T22770" s="246">
        <f t="shared" si="393"/>
        <v>0</v>
      </c>
    </row>
    <row r="22771" spans="20:20" ht="18.75" customHeight="1" x14ac:dyDescent="0.35">
      <c r="T22771" s="246">
        <f t="shared" si="393"/>
        <v>0</v>
      </c>
    </row>
    <row r="22772" spans="20:20" ht="18.75" customHeight="1" x14ac:dyDescent="0.35">
      <c r="T22772" s="246">
        <f t="shared" si="393"/>
        <v>0</v>
      </c>
    </row>
    <row r="22773" spans="20:20" ht="18.75" customHeight="1" x14ac:dyDescent="0.35">
      <c r="T22773" s="246">
        <f t="shared" si="393"/>
        <v>0</v>
      </c>
    </row>
    <row r="22774" spans="20:20" ht="18.75" customHeight="1" x14ac:dyDescent="0.35">
      <c r="T22774" s="246">
        <f t="shared" si="393"/>
        <v>0</v>
      </c>
    </row>
    <row r="22775" spans="20:20" ht="18.75" customHeight="1" x14ac:dyDescent="0.35">
      <c r="T22775" s="246">
        <f t="shared" si="393"/>
        <v>0</v>
      </c>
    </row>
    <row r="22776" spans="20:20" ht="18.75" customHeight="1" x14ac:dyDescent="0.35">
      <c r="T22776" s="246">
        <f t="shared" si="393"/>
        <v>0</v>
      </c>
    </row>
    <row r="22777" spans="20:20" ht="18.75" customHeight="1" x14ac:dyDescent="0.35">
      <c r="T22777" s="246">
        <f t="shared" si="393"/>
        <v>0</v>
      </c>
    </row>
    <row r="22778" spans="20:20" ht="18.75" customHeight="1" x14ac:dyDescent="0.35">
      <c r="T22778" s="246">
        <f t="shared" si="393"/>
        <v>0</v>
      </c>
    </row>
    <row r="22779" spans="20:20" ht="18.75" customHeight="1" x14ac:dyDescent="0.35">
      <c r="T22779" s="246">
        <f t="shared" si="393"/>
        <v>0</v>
      </c>
    </row>
    <row r="22780" spans="20:20" ht="18.75" customHeight="1" x14ac:dyDescent="0.35">
      <c r="T22780" s="246">
        <f t="shared" ref="T22780:T22843" si="394">R22780*0.01</f>
        <v>0</v>
      </c>
    </row>
    <row r="22781" spans="20:20" ht="18.75" customHeight="1" x14ac:dyDescent="0.35">
      <c r="T22781" s="246">
        <f t="shared" si="394"/>
        <v>0</v>
      </c>
    </row>
    <row r="22782" spans="20:20" ht="18.75" customHeight="1" x14ac:dyDescent="0.35">
      <c r="T22782" s="246">
        <f t="shared" si="394"/>
        <v>0</v>
      </c>
    </row>
    <row r="22783" spans="20:20" ht="18.75" customHeight="1" x14ac:dyDescent="0.35">
      <c r="T22783" s="246">
        <f t="shared" si="394"/>
        <v>0</v>
      </c>
    </row>
    <row r="22784" spans="20:20" ht="18.75" customHeight="1" x14ac:dyDescent="0.35">
      <c r="T22784" s="246">
        <f t="shared" si="394"/>
        <v>0</v>
      </c>
    </row>
    <row r="22785" spans="20:20" ht="18.75" customHeight="1" x14ac:dyDescent="0.35">
      <c r="T22785" s="246">
        <f t="shared" si="394"/>
        <v>0</v>
      </c>
    </row>
    <row r="22786" spans="20:20" ht="18.75" customHeight="1" x14ac:dyDescent="0.35">
      <c r="T22786" s="246">
        <f t="shared" si="394"/>
        <v>0</v>
      </c>
    </row>
    <row r="22787" spans="20:20" ht="18.75" customHeight="1" x14ac:dyDescent="0.35">
      <c r="T22787" s="246">
        <f t="shared" si="394"/>
        <v>0</v>
      </c>
    </row>
    <row r="22788" spans="20:20" ht="18.75" customHeight="1" x14ac:dyDescent="0.35">
      <c r="T22788" s="246">
        <f t="shared" si="394"/>
        <v>0</v>
      </c>
    </row>
    <row r="22789" spans="20:20" ht="18.75" customHeight="1" x14ac:dyDescent="0.35">
      <c r="T22789" s="246">
        <f t="shared" si="394"/>
        <v>0</v>
      </c>
    </row>
    <row r="22790" spans="20:20" ht="18.75" customHeight="1" x14ac:dyDescent="0.35">
      <c r="T22790" s="246">
        <f t="shared" si="394"/>
        <v>0</v>
      </c>
    </row>
    <row r="22791" spans="20:20" ht="18.75" customHeight="1" x14ac:dyDescent="0.35">
      <c r="T22791" s="246">
        <f t="shared" si="394"/>
        <v>0</v>
      </c>
    </row>
    <row r="22792" spans="20:20" ht="18.75" customHeight="1" x14ac:dyDescent="0.35">
      <c r="T22792" s="246">
        <f t="shared" si="394"/>
        <v>0</v>
      </c>
    </row>
    <row r="22793" spans="20:20" ht="18.75" customHeight="1" x14ac:dyDescent="0.35">
      <c r="T22793" s="246">
        <f t="shared" si="394"/>
        <v>0</v>
      </c>
    </row>
    <row r="22794" spans="20:20" ht="18.75" customHeight="1" x14ac:dyDescent="0.35">
      <c r="T22794" s="246">
        <f t="shared" si="394"/>
        <v>0</v>
      </c>
    </row>
    <row r="22795" spans="20:20" ht="18.75" customHeight="1" x14ac:dyDescent="0.35">
      <c r="T22795" s="246">
        <f t="shared" si="394"/>
        <v>0</v>
      </c>
    </row>
    <row r="22796" spans="20:20" ht="18.75" customHeight="1" x14ac:dyDescent="0.35">
      <c r="T22796" s="246">
        <f t="shared" si="394"/>
        <v>0</v>
      </c>
    </row>
    <row r="22797" spans="20:20" ht="18.75" customHeight="1" x14ac:dyDescent="0.35">
      <c r="T22797" s="246">
        <f t="shared" si="394"/>
        <v>0</v>
      </c>
    </row>
    <row r="22798" spans="20:20" ht="18.75" customHeight="1" x14ac:dyDescent="0.35">
      <c r="T22798" s="246">
        <f t="shared" si="394"/>
        <v>0</v>
      </c>
    </row>
    <row r="22799" spans="20:20" ht="18.75" customHeight="1" x14ac:dyDescent="0.35">
      <c r="T22799" s="246">
        <f t="shared" si="394"/>
        <v>0</v>
      </c>
    </row>
    <row r="22800" spans="20:20" ht="18.75" customHeight="1" x14ac:dyDescent="0.35">
      <c r="T22800" s="246">
        <f t="shared" si="394"/>
        <v>0</v>
      </c>
    </row>
    <row r="22801" spans="20:20" ht="18.75" customHeight="1" x14ac:dyDescent="0.35">
      <c r="T22801" s="246">
        <f t="shared" si="394"/>
        <v>0</v>
      </c>
    </row>
    <row r="22802" spans="20:20" ht="18.75" customHeight="1" x14ac:dyDescent="0.35">
      <c r="T22802" s="246">
        <f t="shared" si="394"/>
        <v>0</v>
      </c>
    </row>
    <row r="22803" spans="20:20" ht="18.75" customHeight="1" x14ac:dyDescent="0.35">
      <c r="T22803" s="246">
        <f t="shared" si="394"/>
        <v>0</v>
      </c>
    </row>
    <row r="22804" spans="20:20" ht="18.75" customHeight="1" x14ac:dyDescent="0.35">
      <c r="T22804" s="246">
        <f t="shared" si="394"/>
        <v>0</v>
      </c>
    </row>
    <row r="22805" spans="20:20" ht="18.75" customHeight="1" x14ac:dyDescent="0.35">
      <c r="T22805" s="246">
        <f t="shared" si="394"/>
        <v>0</v>
      </c>
    </row>
    <row r="22806" spans="20:20" ht="18.75" customHeight="1" x14ac:dyDescent="0.35">
      <c r="T22806" s="246">
        <f t="shared" si="394"/>
        <v>0</v>
      </c>
    </row>
    <row r="22807" spans="20:20" ht="18.75" customHeight="1" x14ac:dyDescent="0.35">
      <c r="T22807" s="246">
        <f t="shared" si="394"/>
        <v>0</v>
      </c>
    </row>
    <row r="22808" spans="20:20" ht="18.75" customHeight="1" x14ac:dyDescent="0.35">
      <c r="T22808" s="246">
        <f t="shared" si="394"/>
        <v>0</v>
      </c>
    </row>
    <row r="22809" spans="20:20" ht="18.75" customHeight="1" x14ac:dyDescent="0.35">
      <c r="T22809" s="246">
        <f t="shared" si="394"/>
        <v>0</v>
      </c>
    </row>
    <row r="22810" spans="20:20" ht="18.75" customHeight="1" x14ac:dyDescent="0.35">
      <c r="T22810" s="246">
        <f t="shared" si="394"/>
        <v>0</v>
      </c>
    </row>
    <row r="22811" spans="20:20" ht="18.75" customHeight="1" x14ac:dyDescent="0.35">
      <c r="T22811" s="246">
        <f t="shared" si="394"/>
        <v>0</v>
      </c>
    </row>
    <row r="22812" spans="20:20" ht="18.75" customHeight="1" x14ac:dyDescent="0.35">
      <c r="T22812" s="246">
        <f t="shared" si="394"/>
        <v>0</v>
      </c>
    </row>
    <row r="22813" spans="20:20" ht="18.75" customHeight="1" x14ac:dyDescent="0.35">
      <c r="T22813" s="246">
        <f t="shared" si="394"/>
        <v>0</v>
      </c>
    </row>
    <row r="22814" spans="20:20" ht="18.75" customHeight="1" x14ac:dyDescent="0.35">
      <c r="T22814" s="246">
        <f t="shared" si="394"/>
        <v>0</v>
      </c>
    </row>
    <row r="22815" spans="20:20" ht="18.75" customHeight="1" x14ac:dyDescent="0.35">
      <c r="T22815" s="246">
        <f t="shared" si="394"/>
        <v>0</v>
      </c>
    </row>
    <row r="22816" spans="20:20" ht="18.75" customHeight="1" x14ac:dyDescent="0.35">
      <c r="T22816" s="246">
        <f t="shared" si="394"/>
        <v>0</v>
      </c>
    </row>
    <row r="22817" spans="20:20" ht="18.75" customHeight="1" x14ac:dyDescent="0.35">
      <c r="T22817" s="246">
        <f t="shared" si="394"/>
        <v>0</v>
      </c>
    </row>
    <row r="22818" spans="20:20" ht="18.75" customHeight="1" x14ac:dyDescent="0.35">
      <c r="T22818" s="246">
        <f t="shared" si="394"/>
        <v>0</v>
      </c>
    </row>
    <row r="22819" spans="20:20" ht="18.75" customHeight="1" x14ac:dyDescent="0.35">
      <c r="T22819" s="246">
        <f t="shared" si="394"/>
        <v>0</v>
      </c>
    </row>
    <row r="22820" spans="20:20" ht="18.75" customHeight="1" x14ac:dyDescent="0.35">
      <c r="T22820" s="246">
        <f t="shared" si="394"/>
        <v>0</v>
      </c>
    </row>
    <row r="22821" spans="20:20" ht="18.75" customHeight="1" x14ac:dyDescent="0.35">
      <c r="T22821" s="246">
        <f t="shared" si="394"/>
        <v>0</v>
      </c>
    </row>
    <row r="22822" spans="20:20" ht="18.75" customHeight="1" x14ac:dyDescent="0.35">
      <c r="T22822" s="246">
        <f t="shared" si="394"/>
        <v>0</v>
      </c>
    </row>
    <row r="22823" spans="20:20" ht="18.75" customHeight="1" x14ac:dyDescent="0.35">
      <c r="T22823" s="246">
        <f t="shared" si="394"/>
        <v>0</v>
      </c>
    </row>
    <row r="22824" spans="20:20" ht="18.75" customHeight="1" x14ac:dyDescent="0.35">
      <c r="T22824" s="246">
        <f t="shared" si="394"/>
        <v>0</v>
      </c>
    </row>
    <row r="22825" spans="20:20" ht="18.75" customHeight="1" x14ac:dyDescent="0.35">
      <c r="T22825" s="246">
        <f t="shared" si="394"/>
        <v>0</v>
      </c>
    </row>
    <row r="22826" spans="20:20" ht="18.75" customHeight="1" x14ac:dyDescent="0.35">
      <c r="T22826" s="246">
        <f t="shared" si="394"/>
        <v>0</v>
      </c>
    </row>
    <row r="22827" spans="20:20" ht="18.75" customHeight="1" x14ac:dyDescent="0.35">
      <c r="T22827" s="246">
        <f t="shared" si="394"/>
        <v>0</v>
      </c>
    </row>
    <row r="22828" spans="20:20" ht="18.75" customHeight="1" x14ac:dyDescent="0.35">
      <c r="T22828" s="246">
        <f t="shared" si="394"/>
        <v>0</v>
      </c>
    </row>
    <row r="22829" spans="20:20" ht="18.75" customHeight="1" x14ac:dyDescent="0.35">
      <c r="T22829" s="246">
        <f t="shared" si="394"/>
        <v>0</v>
      </c>
    </row>
    <row r="22830" spans="20:20" ht="18.75" customHeight="1" x14ac:dyDescent="0.35">
      <c r="T22830" s="246">
        <f t="shared" si="394"/>
        <v>0</v>
      </c>
    </row>
    <row r="22831" spans="20:20" ht="18.75" customHeight="1" x14ac:dyDescent="0.35">
      <c r="T22831" s="246">
        <f t="shared" si="394"/>
        <v>0</v>
      </c>
    </row>
    <row r="22832" spans="20:20" ht="18.75" customHeight="1" x14ac:dyDescent="0.35">
      <c r="T22832" s="246">
        <f t="shared" si="394"/>
        <v>0</v>
      </c>
    </row>
    <row r="22833" spans="20:20" ht="18.75" customHeight="1" x14ac:dyDescent="0.35">
      <c r="T22833" s="246">
        <f t="shared" si="394"/>
        <v>0</v>
      </c>
    </row>
    <row r="22834" spans="20:20" ht="18.75" customHeight="1" x14ac:dyDescent="0.35">
      <c r="T22834" s="246">
        <f t="shared" si="394"/>
        <v>0</v>
      </c>
    </row>
    <row r="22835" spans="20:20" ht="18.75" customHeight="1" x14ac:dyDescent="0.35">
      <c r="T22835" s="246">
        <f t="shared" si="394"/>
        <v>0</v>
      </c>
    </row>
    <row r="22836" spans="20:20" ht="18.75" customHeight="1" x14ac:dyDescent="0.35">
      <c r="T22836" s="246">
        <f t="shared" si="394"/>
        <v>0</v>
      </c>
    </row>
    <row r="22837" spans="20:20" ht="18.75" customHeight="1" x14ac:dyDescent="0.35">
      <c r="T22837" s="246">
        <f t="shared" si="394"/>
        <v>0</v>
      </c>
    </row>
    <row r="22838" spans="20:20" ht="18.75" customHeight="1" x14ac:dyDescent="0.35">
      <c r="T22838" s="246">
        <f t="shared" si="394"/>
        <v>0</v>
      </c>
    </row>
    <row r="22839" spans="20:20" ht="18.75" customHeight="1" x14ac:dyDescent="0.35">
      <c r="T22839" s="246">
        <f t="shared" si="394"/>
        <v>0</v>
      </c>
    </row>
    <row r="22840" spans="20:20" ht="18.75" customHeight="1" x14ac:dyDescent="0.35">
      <c r="T22840" s="246">
        <f t="shared" si="394"/>
        <v>0</v>
      </c>
    </row>
    <row r="22841" spans="20:20" ht="18.75" customHeight="1" x14ac:dyDescent="0.35">
      <c r="T22841" s="246">
        <f t="shared" si="394"/>
        <v>0</v>
      </c>
    </row>
    <row r="22842" spans="20:20" ht="18.75" customHeight="1" x14ac:dyDescent="0.35">
      <c r="T22842" s="246">
        <f t="shared" si="394"/>
        <v>0</v>
      </c>
    </row>
    <row r="22843" spans="20:20" ht="18.75" customHeight="1" x14ac:dyDescent="0.35">
      <c r="T22843" s="246">
        <f t="shared" si="394"/>
        <v>0</v>
      </c>
    </row>
    <row r="22844" spans="20:20" ht="18.75" customHeight="1" x14ac:dyDescent="0.35">
      <c r="T22844" s="246">
        <f t="shared" ref="T22844:T22907" si="395">R22844*0.01</f>
        <v>0</v>
      </c>
    </row>
    <row r="22845" spans="20:20" ht="18.75" customHeight="1" x14ac:dyDescent="0.35">
      <c r="T22845" s="246">
        <f t="shared" si="395"/>
        <v>0</v>
      </c>
    </row>
    <row r="22846" spans="20:20" ht="18.75" customHeight="1" x14ac:dyDescent="0.35">
      <c r="T22846" s="246">
        <f t="shared" si="395"/>
        <v>0</v>
      </c>
    </row>
    <row r="22847" spans="20:20" ht="18.75" customHeight="1" x14ac:dyDescent="0.35">
      <c r="T22847" s="246">
        <f t="shared" si="395"/>
        <v>0</v>
      </c>
    </row>
    <row r="22848" spans="20:20" ht="18.75" customHeight="1" x14ac:dyDescent="0.35">
      <c r="T22848" s="246">
        <f t="shared" si="395"/>
        <v>0</v>
      </c>
    </row>
    <row r="22849" spans="20:20" ht="18.75" customHeight="1" x14ac:dyDescent="0.35">
      <c r="T22849" s="246">
        <f t="shared" si="395"/>
        <v>0</v>
      </c>
    </row>
    <row r="22850" spans="20:20" ht="18.75" customHeight="1" x14ac:dyDescent="0.35">
      <c r="T22850" s="246">
        <f t="shared" si="395"/>
        <v>0</v>
      </c>
    </row>
    <row r="22851" spans="20:20" ht="18.75" customHeight="1" x14ac:dyDescent="0.35">
      <c r="T22851" s="246">
        <f t="shared" si="395"/>
        <v>0</v>
      </c>
    </row>
    <row r="22852" spans="20:20" ht="18.75" customHeight="1" x14ac:dyDescent="0.35">
      <c r="T22852" s="246">
        <f t="shared" si="395"/>
        <v>0</v>
      </c>
    </row>
    <row r="22853" spans="20:20" ht="18.75" customHeight="1" x14ac:dyDescent="0.35">
      <c r="T22853" s="246">
        <f t="shared" si="395"/>
        <v>0</v>
      </c>
    </row>
    <row r="22854" spans="20:20" ht="18.75" customHeight="1" x14ac:dyDescent="0.35">
      <c r="T22854" s="246">
        <f t="shared" si="395"/>
        <v>0</v>
      </c>
    </row>
    <row r="22855" spans="20:20" ht="18.75" customHeight="1" x14ac:dyDescent="0.35">
      <c r="T22855" s="246">
        <f t="shared" si="395"/>
        <v>0</v>
      </c>
    </row>
    <row r="22856" spans="20:20" ht="18.75" customHeight="1" x14ac:dyDescent="0.35">
      <c r="T22856" s="246">
        <f t="shared" si="395"/>
        <v>0</v>
      </c>
    </row>
    <row r="22857" spans="20:20" ht="18.75" customHeight="1" x14ac:dyDescent="0.35">
      <c r="T22857" s="246">
        <f t="shared" si="395"/>
        <v>0</v>
      </c>
    </row>
    <row r="22858" spans="20:20" ht="18.75" customHeight="1" x14ac:dyDescent="0.35">
      <c r="T22858" s="246">
        <f t="shared" si="395"/>
        <v>0</v>
      </c>
    </row>
    <row r="22859" spans="20:20" ht="18.75" customHeight="1" x14ac:dyDescent="0.35">
      <c r="T22859" s="246">
        <f t="shared" si="395"/>
        <v>0</v>
      </c>
    </row>
    <row r="22860" spans="20:20" ht="18.75" customHeight="1" x14ac:dyDescent="0.35">
      <c r="T22860" s="246">
        <f t="shared" si="395"/>
        <v>0</v>
      </c>
    </row>
    <row r="22861" spans="20:20" ht="18.75" customHeight="1" x14ac:dyDescent="0.35">
      <c r="T22861" s="246">
        <f t="shared" si="395"/>
        <v>0</v>
      </c>
    </row>
    <row r="22862" spans="20:20" ht="18.75" customHeight="1" x14ac:dyDescent="0.35">
      <c r="T22862" s="246">
        <f t="shared" si="395"/>
        <v>0</v>
      </c>
    </row>
    <row r="22863" spans="20:20" ht="18.75" customHeight="1" x14ac:dyDescent="0.35">
      <c r="T22863" s="246">
        <f t="shared" si="395"/>
        <v>0</v>
      </c>
    </row>
    <row r="22864" spans="20:20" ht="18.75" customHeight="1" x14ac:dyDescent="0.35">
      <c r="T22864" s="246">
        <f t="shared" si="395"/>
        <v>0</v>
      </c>
    </row>
    <row r="22865" spans="20:20" ht="18.75" customHeight="1" x14ac:dyDescent="0.35">
      <c r="T22865" s="246">
        <f t="shared" si="395"/>
        <v>0</v>
      </c>
    </row>
    <row r="22866" spans="20:20" ht="18.75" customHeight="1" x14ac:dyDescent="0.35">
      <c r="T22866" s="246">
        <f t="shared" si="395"/>
        <v>0</v>
      </c>
    </row>
    <row r="22867" spans="20:20" ht="18.75" customHeight="1" x14ac:dyDescent="0.35">
      <c r="T22867" s="246">
        <f t="shared" si="395"/>
        <v>0</v>
      </c>
    </row>
    <row r="22868" spans="20:20" ht="18.75" customHeight="1" x14ac:dyDescent="0.35">
      <c r="T22868" s="246">
        <f t="shared" si="395"/>
        <v>0</v>
      </c>
    </row>
    <row r="22869" spans="20:20" ht="18.75" customHeight="1" x14ac:dyDescent="0.35">
      <c r="T22869" s="246">
        <f t="shared" si="395"/>
        <v>0</v>
      </c>
    </row>
    <row r="22870" spans="20:20" ht="18.75" customHeight="1" x14ac:dyDescent="0.35">
      <c r="T22870" s="246">
        <f t="shared" si="395"/>
        <v>0</v>
      </c>
    </row>
    <row r="22871" spans="20:20" ht="18.75" customHeight="1" x14ac:dyDescent="0.35">
      <c r="T22871" s="246">
        <f t="shared" si="395"/>
        <v>0</v>
      </c>
    </row>
    <row r="22872" spans="20:20" ht="18.75" customHeight="1" x14ac:dyDescent="0.35">
      <c r="T22872" s="246">
        <f t="shared" si="395"/>
        <v>0</v>
      </c>
    </row>
    <row r="22873" spans="20:20" ht="18.75" customHeight="1" x14ac:dyDescent="0.35">
      <c r="T22873" s="246">
        <f t="shared" si="395"/>
        <v>0</v>
      </c>
    </row>
    <row r="22874" spans="20:20" ht="18.75" customHeight="1" x14ac:dyDescent="0.35">
      <c r="T22874" s="246">
        <f t="shared" si="395"/>
        <v>0</v>
      </c>
    </row>
    <row r="22875" spans="20:20" ht="18.75" customHeight="1" x14ac:dyDescent="0.35">
      <c r="T22875" s="246">
        <f t="shared" si="395"/>
        <v>0</v>
      </c>
    </row>
    <row r="22876" spans="20:20" ht="18.75" customHeight="1" x14ac:dyDescent="0.35">
      <c r="T22876" s="246">
        <f t="shared" si="395"/>
        <v>0</v>
      </c>
    </row>
    <row r="22877" spans="20:20" ht="18.75" customHeight="1" x14ac:dyDescent="0.35">
      <c r="T22877" s="246">
        <f t="shared" si="395"/>
        <v>0</v>
      </c>
    </row>
    <row r="22878" spans="20:20" ht="18.75" customHeight="1" x14ac:dyDescent="0.35">
      <c r="T22878" s="246">
        <f t="shared" si="395"/>
        <v>0</v>
      </c>
    </row>
    <row r="22879" spans="20:20" ht="18.75" customHeight="1" x14ac:dyDescent="0.35">
      <c r="T22879" s="246">
        <f t="shared" si="395"/>
        <v>0</v>
      </c>
    </row>
    <row r="22880" spans="20:20" ht="18.75" customHeight="1" x14ac:dyDescent="0.35">
      <c r="T22880" s="246">
        <f t="shared" si="395"/>
        <v>0</v>
      </c>
    </row>
    <row r="22881" spans="20:20" ht="18.75" customHeight="1" x14ac:dyDescent="0.35">
      <c r="T22881" s="246">
        <f t="shared" si="395"/>
        <v>0</v>
      </c>
    </row>
    <row r="22882" spans="20:20" ht="18.75" customHeight="1" x14ac:dyDescent="0.35">
      <c r="T22882" s="246">
        <f t="shared" si="395"/>
        <v>0</v>
      </c>
    </row>
    <row r="22883" spans="20:20" ht="18.75" customHeight="1" x14ac:dyDescent="0.35">
      <c r="T22883" s="246">
        <f t="shared" si="395"/>
        <v>0</v>
      </c>
    </row>
    <row r="22884" spans="20:20" ht="18.75" customHeight="1" x14ac:dyDescent="0.35">
      <c r="T22884" s="246">
        <f t="shared" si="395"/>
        <v>0</v>
      </c>
    </row>
    <row r="22885" spans="20:20" ht="18.75" customHeight="1" x14ac:dyDescent="0.35">
      <c r="T22885" s="246">
        <f t="shared" si="395"/>
        <v>0</v>
      </c>
    </row>
    <row r="22886" spans="20:20" ht="18.75" customHeight="1" x14ac:dyDescent="0.35">
      <c r="T22886" s="246">
        <f t="shared" si="395"/>
        <v>0</v>
      </c>
    </row>
    <row r="22887" spans="20:20" ht="18.75" customHeight="1" x14ac:dyDescent="0.35">
      <c r="T22887" s="246">
        <f t="shared" si="395"/>
        <v>0</v>
      </c>
    </row>
    <row r="22888" spans="20:20" ht="18.75" customHeight="1" x14ac:dyDescent="0.35">
      <c r="T22888" s="246">
        <f t="shared" si="395"/>
        <v>0</v>
      </c>
    </row>
    <row r="22889" spans="20:20" ht="18.75" customHeight="1" x14ac:dyDescent="0.35">
      <c r="T22889" s="246">
        <f t="shared" si="395"/>
        <v>0</v>
      </c>
    </row>
    <row r="22890" spans="20:20" ht="18.75" customHeight="1" x14ac:dyDescent="0.35">
      <c r="T22890" s="246">
        <f t="shared" si="395"/>
        <v>0</v>
      </c>
    </row>
    <row r="22891" spans="20:20" ht="18.75" customHeight="1" x14ac:dyDescent="0.35">
      <c r="T22891" s="246">
        <f t="shared" si="395"/>
        <v>0</v>
      </c>
    </row>
    <row r="22892" spans="20:20" ht="18.75" customHeight="1" x14ac:dyDescent="0.35">
      <c r="T22892" s="246">
        <f t="shared" si="395"/>
        <v>0</v>
      </c>
    </row>
    <row r="22893" spans="20:20" ht="18.75" customHeight="1" x14ac:dyDescent="0.35">
      <c r="T22893" s="246">
        <f t="shared" si="395"/>
        <v>0</v>
      </c>
    </row>
    <row r="22894" spans="20:20" ht="18.75" customHeight="1" x14ac:dyDescent="0.35">
      <c r="T22894" s="246">
        <f t="shared" si="395"/>
        <v>0</v>
      </c>
    </row>
    <row r="22895" spans="20:20" ht="18.75" customHeight="1" x14ac:dyDescent="0.35">
      <c r="T22895" s="246">
        <f t="shared" si="395"/>
        <v>0</v>
      </c>
    </row>
    <row r="22896" spans="20:20" ht="18.75" customHeight="1" x14ac:dyDescent="0.35">
      <c r="T22896" s="246">
        <f t="shared" si="395"/>
        <v>0</v>
      </c>
    </row>
    <row r="22897" spans="20:20" ht="18.75" customHeight="1" x14ac:dyDescent="0.35">
      <c r="T22897" s="246">
        <f t="shared" si="395"/>
        <v>0</v>
      </c>
    </row>
    <row r="22898" spans="20:20" ht="18.75" customHeight="1" x14ac:dyDescent="0.35">
      <c r="T22898" s="246">
        <f t="shared" si="395"/>
        <v>0</v>
      </c>
    </row>
    <row r="22899" spans="20:20" ht="18.75" customHeight="1" x14ac:dyDescent="0.35">
      <c r="T22899" s="246">
        <f t="shared" si="395"/>
        <v>0</v>
      </c>
    </row>
    <row r="22900" spans="20:20" ht="18.75" customHeight="1" x14ac:dyDescent="0.35">
      <c r="T22900" s="246">
        <f t="shared" si="395"/>
        <v>0</v>
      </c>
    </row>
    <row r="22901" spans="20:20" ht="18.75" customHeight="1" x14ac:dyDescent="0.35">
      <c r="T22901" s="246">
        <f t="shared" si="395"/>
        <v>0</v>
      </c>
    </row>
    <row r="22902" spans="20:20" ht="18.75" customHeight="1" x14ac:dyDescent="0.35">
      <c r="T22902" s="246">
        <f t="shared" si="395"/>
        <v>0</v>
      </c>
    </row>
    <row r="22903" spans="20:20" ht="18.75" customHeight="1" x14ac:dyDescent="0.35">
      <c r="T22903" s="246">
        <f t="shared" si="395"/>
        <v>0</v>
      </c>
    </row>
    <row r="22904" spans="20:20" ht="18.75" customHeight="1" x14ac:dyDescent="0.35">
      <c r="T22904" s="246">
        <f t="shared" si="395"/>
        <v>0</v>
      </c>
    </row>
    <row r="22905" spans="20:20" ht="18.75" customHeight="1" x14ac:dyDescent="0.35">
      <c r="T22905" s="246">
        <f t="shared" si="395"/>
        <v>0</v>
      </c>
    </row>
    <row r="22906" spans="20:20" ht="18.75" customHeight="1" x14ac:dyDescent="0.35">
      <c r="T22906" s="246">
        <f t="shared" si="395"/>
        <v>0</v>
      </c>
    </row>
    <row r="22907" spans="20:20" ht="18.75" customHeight="1" x14ac:dyDescent="0.35">
      <c r="T22907" s="246">
        <f t="shared" si="395"/>
        <v>0</v>
      </c>
    </row>
    <row r="22908" spans="20:20" ht="18.75" customHeight="1" x14ac:dyDescent="0.35">
      <c r="T22908" s="246">
        <f t="shared" ref="T22908:T22971" si="396">R22908*0.01</f>
        <v>0</v>
      </c>
    </row>
    <row r="22909" spans="20:20" ht="18.75" customHeight="1" x14ac:dyDescent="0.35">
      <c r="T22909" s="246">
        <f t="shared" si="396"/>
        <v>0</v>
      </c>
    </row>
    <row r="22910" spans="20:20" ht="18.75" customHeight="1" x14ac:dyDescent="0.35">
      <c r="T22910" s="246">
        <f t="shared" si="396"/>
        <v>0</v>
      </c>
    </row>
    <row r="22911" spans="20:20" ht="18.75" customHeight="1" x14ac:dyDescent="0.35">
      <c r="T22911" s="246">
        <f t="shared" si="396"/>
        <v>0</v>
      </c>
    </row>
    <row r="22912" spans="20:20" ht="18.75" customHeight="1" x14ac:dyDescent="0.35">
      <c r="T22912" s="246">
        <f t="shared" si="396"/>
        <v>0</v>
      </c>
    </row>
    <row r="22913" spans="20:20" ht="18.75" customHeight="1" x14ac:dyDescent="0.35">
      <c r="T22913" s="246">
        <f t="shared" si="396"/>
        <v>0</v>
      </c>
    </row>
    <row r="22914" spans="20:20" ht="18.75" customHeight="1" x14ac:dyDescent="0.35">
      <c r="T22914" s="246">
        <f t="shared" si="396"/>
        <v>0</v>
      </c>
    </row>
    <row r="22915" spans="20:20" ht="18.75" customHeight="1" x14ac:dyDescent="0.35">
      <c r="T22915" s="246">
        <f t="shared" si="396"/>
        <v>0</v>
      </c>
    </row>
    <row r="22916" spans="20:20" ht="18.75" customHeight="1" x14ac:dyDescent="0.35">
      <c r="T22916" s="246">
        <f t="shared" si="396"/>
        <v>0</v>
      </c>
    </row>
    <row r="22917" spans="20:20" ht="18.75" customHeight="1" x14ac:dyDescent="0.35">
      <c r="T22917" s="246">
        <f t="shared" si="396"/>
        <v>0</v>
      </c>
    </row>
    <row r="22918" spans="20:20" ht="18.75" customHeight="1" x14ac:dyDescent="0.35">
      <c r="T22918" s="246">
        <f t="shared" si="396"/>
        <v>0</v>
      </c>
    </row>
    <row r="22919" spans="20:20" ht="18.75" customHeight="1" x14ac:dyDescent="0.35">
      <c r="T22919" s="246">
        <f t="shared" si="396"/>
        <v>0</v>
      </c>
    </row>
    <row r="22920" spans="20:20" ht="18.75" customHeight="1" x14ac:dyDescent="0.35">
      <c r="T22920" s="246">
        <f t="shared" si="396"/>
        <v>0</v>
      </c>
    </row>
    <row r="22921" spans="20:20" ht="18.75" customHeight="1" x14ac:dyDescent="0.35">
      <c r="T22921" s="246">
        <f t="shared" si="396"/>
        <v>0</v>
      </c>
    </row>
    <row r="22922" spans="20:20" ht="18.75" customHeight="1" x14ac:dyDescent="0.35">
      <c r="T22922" s="246">
        <f t="shared" si="396"/>
        <v>0</v>
      </c>
    </row>
    <row r="22923" spans="20:20" ht="18.75" customHeight="1" x14ac:dyDescent="0.35">
      <c r="T22923" s="246">
        <f t="shared" si="396"/>
        <v>0</v>
      </c>
    </row>
    <row r="22924" spans="20:20" ht="18.75" customHeight="1" x14ac:dyDescent="0.35">
      <c r="T22924" s="246">
        <f t="shared" si="396"/>
        <v>0</v>
      </c>
    </row>
    <row r="22925" spans="20:20" ht="18.75" customHeight="1" x14ac:dyDescent="0.35">
      <c r="T22925" s="246">
        <f t="shared" si="396"/>
        <v>0</v>
      </c>
    </row>
    <row r="22926" spans="20:20" ht="18.75" customHeight="1" x14ac:dyDescent="0.35">
      <c r="T22926" s="246">
        <f t="shared" si="396"/>
        <v>0</v>
      </c>
    </row>
    <row r="22927" spans="20:20" ht="18.75" customHeight="1" x14ac:dyDescent="0.35">
      <c r="T22927" s="246">
        <f t="shared" si="396"/>
        <v>0</v>
      </c>
    </row>
    <row r="22928" spans="20:20" ht="18.75" customHeight="1" x14ac:dyDescent="0.35">
      <c r="T22928" s="246">
        <f t="shared" si="396"/>
        <v>0</v>
      </c>
    </row>
    <row r="22929" spans="20:20" ht="18.75" customHeight="1" x14ac:dyDescent="0.35">
      <c r="T22929" s="246">
        <f t="shared" si="396"/>
        <v>0</v>
      </c>
    </row>
    <row r="22930" spans="20:20" ht="18.75" customHeight="1" x14ac:dyDescent="0.35">
      <c r="T22930" s="246">
        <f t="shared" si="396"/>
        <v>0</v>
      </c>
    </row>
    <row r="22931" spans="20:20" ht="18.75" customHeight="1" x14ac:dyDescent="0.35">
      <c r="T22931" s="246">
        <f t="shared" si="396"/>
        <v>0</v>
      </c>
    </row>
    <row r="22932" spans="20:20" ht="18.75" customHeight="1" x14ac:dyDescent="0.35">
      <c r="T22932" s="246">
        <f t="shared" si="396"/>
        <v>0</v>
      </c>
    </row>
    <row r="22933" spans="20:20" ht="18.75" customHeight="1" x14ac:dyDescent="0.35">
      <c r="T22933" s="246">
        <f t="shared" si="396"/>
        <v>0</v>
      </c>
    </row>
    <row r="22934" spans="20:20" ht="18.75" customHeight="1" x14ac:dyDescent="0.35">
      <c r="T22934" s="246">
        <f t="shared" si="396"/>
        <v>0</v>
      </c>
    </row>
    <row r="22935" spans="20:20" ht="18.75" customHeight="1" x14ac:dyDescent="0.35">
      <c r="T22935" s="246">
        <f t="shared" si="396"/>
        <v>0</v>
      </c>
    </row>
    <row r="22936" spans="20:20" ht="18.75" customHeight="1" x14ac:dyDescent="0.35">
      <c r="T22936" s="246">
        <f t="shared" si="396"/>
        <v>0</v>
      </c>
    </row>
    <row r="22937" spans="20:20" ht="18.75" customHeight="1" x14ac:dyDescent="0.35">
      <c r="T22937" s="246">
        <f t="shared" si="396"/>
        <v>0</v>
      </c>
    </row>
    <row r="22938" spans="20:20" ht="18.75" customHeight="1" x14ac:dyDescent="0.35">
      <c r="T22938" s="246">
        <f t="shared" si="396"/>
        <v>0</v>
      </c>
    </row>
    <row r="22939" spans="20:20" ht="18.75" customHeight="1" x14ac:dyDescent="0.35">
      <c r="T22939" s="246">
        <f t="shared" si="396"/>
        <v>0</v>
      </c>
    </row>
    <row r="22940" spans="20:20" ht="18.75" customHeight="1" x14ac:dyDescent="0.35">
      <c r="T22940" s="246">
        <f t="shared" si="396"/>
        <v>0</v>
      </c>
    </row>
    <row r="22941" spans="20:20" ht="18.75" customHeight="1" x14ac:dyDescent="0.35">
      <c r="T22941" s="246">
        <f t="shared" si="396"/>
        <v>0</v>
      </c>
    </row>
    <row r="22942" spans="20:20" ht="18.75" customHeight="1" x14ac:dyDescent="0.35">
      <c r="T22942" s="246">
        <f t="shared" si="396"/>
        <v>0</v>
      </c>
    </row>
    <row r="22943" spans="20:20" ht="18.75" customHeight="1" x14ac:dyDescent="0.35">
      <c r="T22943" s="246">
        <f t="shared" si="396"/>
        <v>0</v>
      </c>
    </row>
    <row r="22944" spans="20:20" ht="18.75" customHeight="1" x14ac:dyDescent="0.35">
      <c r="T22944" s="246">
        <f t="shared" si="396"/>
        <v>0</v>
      </c>
    </row>
    <row r="22945" spans="20:20" ht="18.75" customHeight="1" x14ac:dyDescent="0.35">
      <c r="T22945" s="246">
        <f t="shared" si="396"/>
        <v>0</v>
      </c>
    </row>
    <row r="22946" spans="20:20" ht="18.75" customHeight="1" x14ac:dyDescent="0.35">
      <c r="T22946" s="246">
        <f t="shared" si="396"/>
        <v>0</v>
      </c>
    </row>
    <row r="22947" spans="20:20" ht="18.75" customHeight="1" x14ac:dyDescent="0.35">
      <c r="T22947" s="246">
        <f t="shared" si="396"/>
        <v>0</v>
      </c>
    </row>
    <row r="22948" spans="20:20" ht="18.75" customHeight="1" x14ac:dyDescent="0.35">
      <c r="T22948" s="246">
        <f t="shared" si="396"/>
        <v>0</v>
      </c>
    </row>
    <row r="22949" spans="20:20" ht="18.75" customHeight="1" x14ac:dyDescent="0.35">
      <c r="T22949" s="246">
        <f t="shared" si="396"/>
        <v>0</v>
      </c>
    </row>
    <row r="22950" spans="20:20" ht="18.75" customHeight="1" x14ac:dyDescent="0.35">
      <c r="T22950" s="246">
        <f t="shared" si="396"/>
        <v>0</v>
      </c>
    </row>
    <row r="22951" spans="20:20" ht="18.75" customHeight="1" x14ac:dyDescent="0.35">
      <c r="T22951" s="246">
        <f t="shared" si="396"/>
        <v>0</v>
      </c>
    </row>
    <row r="22952" spans="20:20" ht="18.75" customHeight="1" x14ac:dyDescent="0.35">
      <c r="T22952" s="246">
        <f t="shared" si="396"/>
        <v>0</v>
      </c>
    </row>
    <row r="22953" spans="20:20" ht="18.75" customHeight="1" x14ac:dyDescent="0.35">
      <c r="T22953" s="246">
        <f t="shared" si="396"/>
        <v>0</v>
      </c>
    </row>
    <row r="22954" spans="20:20" ht="18.75" customHeight="1" x14ac:dyDescent="0.35">
      <c r="T22954" s="246">
        <f t="shared" si="396"/>
        <v>0</v>
      </c>
    </row>
    <row r="22955" spans="20:20" ht="18.75" customHeight="1" x14ac:dyDescent="0.35">
      <c r="T22955" s="246">
        <f t="shared" si="396"/>
        <v>0</v>
      </c>
    </row>
    <row r="22956" spans="20:20" ht="18.75" customHeight="1" x14ac:dyDescent="0.35">
      <c r="T22956" s="246">
        <f t="shared" si="396"/>
        <v>0</v>
      </c>
    </row>
    <row r="22957" spans="20:20" ht="18.75" customHeight="1" x14ac:dyDescent="0.35">
      <c r="T22957" s="246">
        <f t="shared" si="396"/>
        <v>0</v>
      </c>
    </row>
    <row r="22958" spans="20:20" ht="18.75" customHeight="1" x14ac:dyDescent="0.35">
      <c r="T22958" s="246">
        <f t="shared" si="396"/>
        <v>0</v>
      </c>
    </row>
    <row r="22959" spans="20:20" ht="18.75" customHeight="1" x14ac:dyDescent="0.35">
      <c r="T22959" s="246">
        <f t="shared" si="396"/>
        <v>0</v>
      </c>
    </row>
    <row r="22960" spans="20:20" ht="18.75" customHeight="1" x14ac:dyDescent="0.35">
      <c r="T22960" s="246">
        <f t="shared" si="396"/>
        <v>0</v>
      </c>
    </row>
    <row r="22961" spans="20:20" ht="18.75" customHeight="1" x14ac:dyDescent="0.35">
      <c r="T22961" s="246">
        <f t="shared" si="396"/>
        <v>0</v>
      </c>
    </row>
    <row r="22962" spans="20:20" ht="18.75" customHeight="1" x14ac:dyDescent="0.35">
      <c r="T22962" s="246">
        <f t="shared" si="396"/>
        <v>0</v>
      </c>
    </row>
    <row r="22963" spans="20:20" ht="18.75" customHeight="1" x14ac:dyDescent="0.35">
      <c r="T22963" s="246">
        <f t="shared" si="396"/>
        <v>0</v>
      </c>
    </row>
    <row r="22964" spans="20:20" ht="18.75" customHeight="1" x14ac:dyDescent="0.35">
      <c r="T22964" s="246">
        <f t="shared" si="396"/>
        <v>0</v>
      </c>
    </row>
    <row r="22965" spans="20:20" ht="18.75" customHeight="1" x14ac:dyDescent="0.35">
      <c r="T22965" s="246">
        <f t="shared" si="396"/>
        <v>0</v>
      </c>
    </row>
    <row r="22966" spans="20:20" ht="18.75" customHeight="1" x14ac:dyDescent="0.35">
      <c r="T22966" s="246">
        <f t="shared" si="396"/>
        <v>0</v>
      </c>
    </row>
    <row r="22967" spans="20:20" ht="18.75" customHeight="1" x14ac:dyDescent="0.35">
      <c r="T22967" s="246">
        <f t="shared" si="396"/>
        <v>0</v>
      </c>
    </row>
    <row r="22968" spans="20:20" ht="18.75" customHeight="1" x14ac:dyDescent="0.35">
      <c r="T22968" s="246">
        <f t="shared" si="396"/>
        <v>0</v>
      </c>
    </row>
    <row r="22969" spans="20:20" ht="18.75" customHeight="1" x14ac:dyDescent="0.35">
      <c r="T22969" s="246">
        <f t="shared" si="396"/>
        <v>0</v>
      </c>
    </row>
    <row r="22970" spans="20:20" ht="18.75" customHeight="1" x14ac:dyDescent="0.35">
      <c r="T22970" s="246">
        <f t="shared" si="396"/>
        <v>0</v>
      </c>
    </row>
    <row r="22971" spans="20:20" ht="18.75" customHeight="1" x14ac:dyDescent="0.35">
      <c r="T22971" s="246">
        <f t="shared" si="396"/>
        <v>0</v>
      </c>
    </row>
    <row r="22972" spans="20:20" ht="18.75" customHeight="1" x14ac:dyDescent="0.35">
      <c r="T22972" s="246">
        <f t="shared" ref="T22972:T23035" si="397">R22972*0.01</f>
        <v>0</v>
      </c>
    </row>
    <row r="22973" spans="20:20" ht="18.75" customHeight="1" x14ac:dyDescent="0.35">
      <c r="T22973" s="246">
        <f t="shared" si="397"/>
        <v>0</v>
      </c>
    </row>
    <row r="22974" spans="20:20" ht="18.75" customHeight="1" x14ac:dyDescent="0.35">
      <c r="T22974" s="246">
        <f t="shared" si="397"/>
        <v>0</v>
      </c>
    </row>
    <row r="22975" spans="20:20" ht="18.75" customHeight="1" x14ac:dyDescent="0.35">
      <c r="T22975" s="246">
        <f t="shared" si="397"/>
        <v>0</v>
      </c>
    </row>
    <row r="22976" spans="20:20" ht="18.75" customHeight="1" x14ac:dyDescent="0.35">
      <c r="T22976" s="246">
        <f t="shared" si="397"/>
        <v>0</v>
      </c>
    </row>
    <row r="22977" spans="20:20" ht="18.75" customHeight="1" x14ac:dyDescent="0.35">
      <c r="T22977" s="246">
        <f t="shared" si="397"/>
        <v>0</v>
      </c>
    </row>
    <row r="22978" spans="20:20" ht="18.75" customHeight="1" x14ac:dyDescent="0.35">
      <c r="T22978" s="246">
        <f t="shared" si="397"/>
        <v>0</v>
      </c>
    </row>
    <row r="22979" spans="20:20" ht="18.75" customHeight="1" x14ac:dyDescent="0.35">
      <c r="T22979" s="246">
        <f t="shared" si="397"/>
        <v>0</v>
      </c>
    </row>
    <row r="22980" spans="20:20" ht="18.75" customHeight="1" x14ac:dyDescent="0.35">
      <c r="T22980" s="246">
        <f t="shared" si="397"/>
        <v>0</v>
      </c>
    </row>
    <row r="22981" spans="20:20" ht="18.75" customHeight="1" x14ac:dyDescent="0.35">
      <c r="T22981" s="246">
        <f t="shared" si="397"/>
        <v>0</v>
      </c>
    </row>
    <row r="22982" spans="20:20" ht="18.75" customHeight="1" x14ac:dyDescent="0.35">
      <c r="T22982" s="246">
        <f t="shared" si="397"/>
        <v>0</v>
      </c>
    </row>
    <row r="22983" spans="20:20" ht="18.75" customHeight="1" x14ac:dyDescent="0.35">
      <c r="T22983" s="246">
        <f t="shared" si="397"/>
        <v>0</v>
      </c>
    </row>
    <row r="22984" spans="20:20" ht="18.75" customHeight="1" x14ac:dyDescent="0.35">
      <c r="T22984" s="246">
        <f t="shared" si="397"/>
        <v>0</v>
      </c>
    </row>
    <row r="22985" spans="20:20" ht="18.75" customHeight="1" x14ac:dyDescent="0.35">
      <c r="T22985" s="246">
        <f t="shared" si="397"/>
        <v>0</v>
      </c>
    </row>
    <row r="22986" spans="20:20" ht="18.75" customHeight="1" x14ac:dyDescent="0.35">
      <c r="T22986" s="246">
        <f t="shared" si="397"/>
        <v>0</v>
      </c>
    </row>
    <row r="22987" spans="20:20" ht="18.75" customHeight="1" x14ac:dyDescent="0.35">
      <c r="T22987" s="246">
        <f t="shared" si="397"/>
        <v>0</v>
      </c>
    </row>
    <row r="22988" spans="20:20" ht="18.75" customHeight="1" x14ac:dyDescent="0.35">
      <c r="T22988" s="246">
        <f t="shared" si="397"/>
        <v>0</v>
      </c>
    </row>
    <row r="22989" spans="20:20" ht="18.75" customHeight="1" x14ac:dyDescent="0.35">
      <c r="T22989" s="246">
        <f t="shared" si="397"/>
        <v>0</v>
      </c>
    </row>
    <row r="22990" spans="20:20" ht="18.75" customHeight="1" x14ac:dyDescent="0.35">
      <c r="T22990" s="246">
        <f t="shared" si="397"/>
        <v>0</v>
      </c>
    </row>
    <row r="22991" spans="20:20" ht="18.75" customHeight="1" x14ac:dyDescent="0.35">
      <c r="T22991" s="246">
        <f t="shared" si="397"/>
        <v>0</v>
      </c>
    </row>
    <row r="22992" spans="20:20" ht="18.75" customHeight="1" x14ac:dyDescent="0.35">
      <c r="T22992" s="246">
        <f t="shared" si="397"/>
        <v>0</v>
      </c>
    </row>
    <row r="22993" spans="20:20" ht="18.75" customHeight="1" x14ac:dyDescent="0.35">
      <c r="T22993" s="246">
        <f t="shared" si="397"/>
        <v>0</v>
      </c>
    </row>
    <row r="22994" spans="20:20" ht="18.75" customHeight="1" x14ac:dyDescent="0.35">
      <c r="T22994" s="246">
        <f t="shared" si="397"/>
        <v>0</v>
      </c>
    </row>
    <row r="22995" spans="20:20" ht="18.75" customHeight="1" x14ac:dyDescent="0.35">
      <c r="T22995" s="246">
        <f t="shared" si="397"/>
        <v>0</v>
      </c>
    </row>
    <row r="22996" spans="20:20" ht="18.75" customHeight="1" x14ac:dyDescent="0.35">
      <c r="T22996" s="246">
        <f t="shared" si="397"/>
        <v>0</v>
      </c>
    </row>
    <row r="22997" spans="20:20" ht="18.75" customHeight="1" x14ac:dyDescent="0.35">
      <c r="T22997" s="246">
        <f t="shared" si="397"/>
        <v>0</v>
      </c>
    </row>
    <row r="22998" spans="20:20" ht="18.75" customHeight="1" x14ac:dyDescent="0.35">
      <c r="T22998" s="246">
        <f t="shared" si="397"/>
        <v>0</v>
      </c>
    </row>
    <row r="22999" spans="20:20" ht="18.75" customHeight="1" x14ac:dyDescent="0.35">
      <c r="T22999" s="246">
        <f t="shared" si="397"/>
        <v>0</v>
      </c>
    </row>
    <row r="23000" spans="20:20" ht="18.75" customHeight="1" x14ac:dyDescent="0.35">
      <c r="T23000" s="246">
        <f t="shared" si="397"/>
        <v>0</v>
      </c>
    </row>
    <row r="23001" spans="20:20" ht="18.75" customHeight="1" x14ac:dyDescent="0.35">
      <c r="T23001" s="246">
        <f t="shared" si="397"/>
        <v>0</v>
      </c>
    </row>
    <row r="23002" spans="20:20" ht="18.75" customHeight="1" x14ac:dyDescent="0.35">
      <c r="T23002" s="246">
        <f t="shared" si="397"/>
        <v>0</v>
      </c>
    </row>
    <row r="23003" spans="20:20" ht="18.75" customHeight="1" x14ac:dyDescent="0.35">
      <c r="T23003" s="246">
        <f t="shared" si="397"/>
        <v>0</v>
      </c>
    </row>
    <row r="23004" spans="20:20" ht="18.75" customHeight="1" x14ac:dyDescent="0.35">
      <c r="T23004" s="246">
        <f t="shared" si="397"/>
        <v>0</v>
      </c>
    </row>
    <row r="23005" spans="20:20" ht="18.75" customHeight="1" x14ac:dyDescent="0.35">
      <c r="T23005" s="246">
        <f t="shared" si="397"/>
        <v>0</v>
      </c>
    </row>
    <row r="23006" spans="20:20" ht="18.75" customHeight="1" x14ac:dyDescent="0.35">
      <c r="T23006" s="246">
        <f t="shared" si="397"/>
        <v>0</v>
      </c>
    </row>
    <row r="23007" spans="20:20" ht="18.75" customHeight="1" x14ac:dyDescent="0.35">
      <c r="T23007" s="246">
        <f t="shared" si="397"/>
        <v>0</v>
      </c>
    </row>
    <row r="23008" spans="20:20" ht="18.75" customHeight="1" x14ac:dyDescent="0.35">
      <c r="T23008" s="246">
        <f t="shared" si="397"/>
        <v>0</v>
      </c>
    </row>
    <row r="23009" spans="20:20" ht="18.75" customHeight="1" x14ac:dyDescent="0.35">
      <c r="T23009" s="246">
        <f t="shared" si="397"/>
        <v>0</v>
      </c>
    </row>
    <row r="23010" spans="20:20" ht="18.75" customHeight="1" x14ac:dyDescent="0.35">
      <c r="T23010" s="246">
        <f t="shared" si="397"/>
        <v>0</v>
      </c>
    </row>
    <row r="23011" spans="20:20" ht="18.75" customHeight="1" x14ac:dyDescent="0.35">
      <c r="T23011" s="246">
        <f t="shared" si="397"/>
        <v>0</v>
      </c>
    </row>
    <row r="23012" spans="20:20" ht="18.75" customHeight="1" x14ac:dyDescent="0.35">
      <c r="T23012" s="246">
        <f t="shared" si="397"/>
        <v>0</v>
      </c>
    </row>
    <row r="23013" spans="20:20" ht="18.75" customHeight="1" x14ac:dyDescent="0.35">
      <c r="T23013" s="246">
        <f t="shared" si="397"/>
        <v>0</v>
      </c>
    </row>
    <row r="23014" spans="20:20" ht="18.75" customHeight="1" x14ac:dyDescent="0.35">
      <c r="T23014" s="246">
        <f t="shared" si="397"/>
        <v>0</v>
      </c>
    </row>
    <row r="23015" spans="20:20" ht="18.75" customHeight="1" x14ac:dyDescent="0.35">
      <c r="T23015" s="246">
        <f t="shared" si="397"/>
        <v>0</v>
      </c>
    </row>
    <row r="23016" spans="20:20" ht="18.75" customHeight="1" x14ac:dyDescent="0.35">
      <c r="T23016" s="246">
        <f t="shared" si="397"/>
        <v>0</v>
      </c>
    </row>
    <row r="23017" spans="20:20" ht="18.75" customHeight="1" x14ac:dyDescent="0.35">
      <c r="T23017" s="246">
        <f t="shared" si="397"/>
        <v>0</v>
      </c>
    </row>
    <row r="23018" spans="20:20" ht="18.75" customHeight="1" x14ac:dyDescent="0.35">
      <c r="T23018" s="246">
        <f t="shared" si="397"/>
        <v>0</v>
      </c>
    </row>
    <row r="23019" spans="20:20" ht="18.75" customHeight="1" x14ac:dyDescent="0.35">
      <c r="T23019" s="246">
        <f t="shared" si="397"/>
        <v>0</v>
      </c>
    </row>
    <row r="23020" spans="20:20" ht="18.75" customHeight="1" x14ac:dyDescent="0.35">
      <c r="T23020" s="246">
        <f t="shared" si="397"/>
        <v>0</v>
      </c>
    </row>
    <row r="23021" spans="20:20" ht="18.75" customHeight="1" x14ac:dyDescent="0.35">
      <c r="T23021" s="246">
        <f t="shared" si="397"/>
        <v>0</v>
      </c>
    </row>
    <row r="23022" spans="20:20" ht="18.75" customHeight="1" x14ac:dyDescent="0.35">
      <c r="T23022" s="246">
        <f t="shared" si="397"/>
        <v>0</v>
      </c>
    </row>
    <row r="23023" spans="20:20" ht="18.75" customHeight="1" x14ac:dyDescent="0.35">
      <c r="T23023" s="246">
        <f t="shared" si="397"/>
        <v>0</v>
      </c>
    </row>
    <row r="23024" spans="20:20" ht="18.75" customHeight="1" x14ac:dyDescent="0.35">
      <c r="T23024" s="246">
        <f t="shared" si="397"/>
        <v>0</v>
      </c>
    </row>
    <row r="23025" spans="20:20" ht="18.75" customHeight="1" x14ac:dyDescent="0.35">
      <c r="T23025" s="246">
        <f t="shared" si="397"/>
        <v>0</v>
      </c>
    </row>
    <row r="23026" spans="20:20" ht="18.75" customHeight="1" x14ac:dyDescent="0.35">
      <c r="T23026" s="246">
        <f t="shared" si="397"/>
        <v>0</v>
      </c>
    </row>
    <row r="23027" spans="20:20" ht="18.75" customHeight="1" x14ac:dyDescent="0.35">
      <c r="T23027" s="246">
        <f t="shared" si="397"/>
        <v>0</v>
      </c>
    </row>
    <row r="23028" spans="20:20" ht="18.75" customHeight="1" x14ac:dyDescent="0.35">
      <c r="T23028" s="246">
        <f t="shared" si="397"/>
        <v>0</v>
      </c>
    </row>
    <row r="23029" spans="20:20" ht="18.75" customHeight="1" x14ac:dyDescent="0.35">
      <c r="T23029" s="246">
        <f t="shared" si="397"/>
        <v>0</v>
      </c>
    </row>
    <row r="23030" spans="20:20" ht="18.75" customHeight="1" x14ac:dyDescent="0.35">
      <c r="T23030" s="246">
        <f t="shared" si="397"/>
        <v>0</v>
      </c>
    </row>
    <row r="23031" spans="20:20" ht="18.75" customHeight="1" x14ac:dyDescent="0.35">
      <c r="T23031" s="246">
        <f t="shared" si="397"/>
        <v>0</v>
      </c>
    </row>
    <row r="23032" spans="20:20" ht="18.75" customHeight="1" x14ac:dyDescent="0.35">
      <c r="T23032" s="246">
        <f t="shared" si="397"/>
        <v>0</v>
      </c>
    </row>
    <row r="23033" spans="20:20" ht="18.75" customHeight="1" x14ac:dyDescent="0.35">
      <c r="T23033" s="246">
        <f t="shared" si="397"/>
        <v>0</v>
      </c>
    </row>
    <row r="23034" spans="20:20" ht="18.75" customHeight="1" x14ac:dyDescent="0.35">
      <c r="T23034" s="246">
        <f t="shared" si="397"/>
        <v>0</v>
      </c>
    </row>
    <row r="23035" spans="20:20" ht="18.75" customHeight="1" x14ac:dyDescent="0.35">
      <c r="T23035" s="246">
        <f t="shared" si="397"/>
        <v>0</v>
      </c>
    </row>
    <row r="23036" spans="20:20" ht="18.75" customHeight="1" x14ac:dyDescent="0.35">
      <c r="T23036" s="246">
        <f t="shared" ref="T23036:T23099" si="398">R23036*0.01</f>
        <v>0</v>
      </c>
    </row>
    <row r="23037" spans="20:20" ht="18.75" customHeight="1" x14ac:dyDescent="0.35">
      <c r="T23037" s="246">
        <f t="shared" si="398"/>
        <v>0</v>
      </c>
    </row>
    <row r="23038" spans="20:20" ht="18.75" customHeight="1" x14ac:dyDescent="0.35">
      <c r="T23038" s="246">
        <f t="shared" si="398"/>
        <v>0</v>
      </c>
    </row>
    <row r="23039" spans="20:20" ht="18.75" customHeight="1" x14ac:dyDescent="0.35">
      <c r="T23039" s="246">
        <f t="shared" si="398"/>
        <v>0</v>
      </c>
    </row>
    <row r="23040" spans="20:20" ht="18.75" customHeight="1" x14ac:dyDescent="0.35">
      <c r="T23040" s="246">
        <f t="shared" si="398"/>
        <v>0</v>
      </c>
    </row>
    <row r="23041" spans="20:20" ht="18.75" customHeight="1" x14ac:dyDescent="0.35">
      <c r="T23041" s="246">
        <f t="shared" si="398"/>
        <v>0</v>
      </c>
    </row>
    <row r="23042" spans="20:20" ht="18.75" customHeight="1" x14ac:dyDescent="0.35">
      <c r="T23042" s="246">
        <f t="shared" si="398"/>
        <v>0</v>
      </c>
    </row>
    <row r="23043" spans="20:20" ht="18.75" customHeight="1" x14ac:dyDescent="0.35">
      <c r="T23043" s="246">
        <f t="shared" si="398"/>
        <v>0</v>
      </c>
    </row>
    <row r="23044" spans="20:20" ht="18.75" customHeight="1" x14ac:dyDescent="0.35">
      <c r="T23044" s="246">
        <f t="shared" si="398"/>
        <v>0</v>
      </c>
    </row>
    <row r="23045" spans="20:20" ht="18.75" customHeight="1" x14ac:dyDescent="0.35">
      <c r="T23045" s="246">
        <f t="shared" si="398"/>
        <v>0</v>
      </c>
    </row>
    <row r="23046" spans="20:20" ht="18.75" customHeight="1" x14ac:dyDescent="0.35">
      <c r="T23046" s="246">
        <f t="shared" si="398"/>
        <v>0</v>
      </c>
    </row>
    <row r="23047" spans="20:20" ht="18.75" customHeight="1" x14ac:dyDescent="0.35">
      <c r="T23047" s="246">
        <f t="shared" si="398"/>
        <v>0</v>
      </c>
    </row>
    <row r="23048" spans="20:20" ht="18.75" customHeight="1" x14ac:dyDescent="0.35">
      <c r="T23048" s="246">
        <f t="shared" si="398"/>
        <v>0</v>
      </c>
    </row>
    <row r="23049" spans="20:20" ht="18.75" customHeight="1" x14ac:dyDescent="0.35">
      <c r="T23049" s="246">
        <f t="shared" si="398"/>
        <v>0</v>
      </c>
    </row>
    <row r="23050" spans="20:20" ht="18.75" customHeight="1" x14ac:dyDescent="0.35">
      <c r="T23050" s="246">
        <f t="shared" si="398"/>
        <v>0</v>
      </c>
    </row>
    <row r="23051" spans="20:20" ht="18.75" customHeight="1" x14ac:dyDescent="0.35">
      <c r="T23051" s="246">
        <f t="shared" si="398"/>
        <v>0</v>
      </c>
    </row>
    <row r="23052" spans="20:20" ht="18.75" customHeight="1" x14ac:dyDescent="0.35">
      <c r="T23052" s="246">
        <f t="shared" si="398"/>
        <v>0</v>
      </c>
    </row>
    <row r="23053" spans="20:20" ht="18.75" customHeight="1" x14ac:dyDescent="0.35">
      <c r="T23053" s="246">
        <f t="shared" si="398"/>
        <v>0</v>
      </c>
    </row>
    <row r="23054" spans="20:20" ht="18.75" customHeight="1" x14ac:dyDescent="0.35">
      <c r="T23054" s="246">
        <f t="shared" si="398"/>
        <v>0</v>
      </c>
    </row>
    <row r="23055" spans="20:20" ht="18.75" customHeight="1" x14ac:dyDescent="0.35">
      <c r="T23055" s="246">
        <f t="shared" si="398"/>
        <v>0</v>
      </c>
    </row>
    <row r="23056" spans="20:20" ht="18.75" customHeight="1" x14ac:dyDescent="0.35">
      <c r="T23056" s="246">
        <f t="shared" si="398"/>
        <v>0</v>
      </c>
    </row>
    <row r="23057" spans="20:20" ht="18.75" customHeight="1" x14ac:dyDescent="0.35">
      <c r="T23057" s="246">
        <f t="shared" si="398"/>
        <v>0</v>
      </c>
    </row>
    <row r="23058" spans="20:20" ht="18.75" customHeight="1" x14ac:dyDescent="0.35">
      <c r="T23058" s="246">
        <f t="shared" si="398"/>
        <v>0</v>
      </c>
    </row>
    <row r="23059" spans="20:20" ht="18.75" customHeight="1" x14ac:dyDescent="0.35">
      <c r="T23059" s="246">
        <f t="shared" si="398"/>
        <v>0</v>
      </c>
    </row>
    <row r="23060" spans="20:20" ht="18.75" customHeight="1" x14ac:dyDescent="0.35">
      <c r="T23060" s="246">
        <f t="shared" si="398"/>
        <v>0</v>
      </c>
    </row>
    <row r="23061" spans="20:20" ht="18.75" customHeight="1" x14ac:dyDescent="0.35">
      <c r="T23061" s="246">
        <f t="shared" si="398"/>
        <v>0</v>
      </c>
    </row>
    <row r="23062" spans="20:20" ht="18.75" customHeight="1" x14ac:dyDescent="0.35">
      <c r="T23062" s="246">
        <f t="shared" si="398"/>
        <v>0</v>
      </c>
    </row>
    <row r="23063" spans="20:20" ht="18.75" customHeight="1" x14ac:dyDescent="0.35">
      <c r="T23063" s="246">
        <f t="shared" si="398"/>
        <v>0</v>
      </c>
    </row>
    <row r="23064" spans="20:20" ht="18.75" customHeight="1" x14ac:dyDescent="0.35">
      <c r="T23064" s="246">
        <f t="shared" si="398"/>
        <v>0</v>
      </c>
    </row>
    <row r="23065" spans="20:20" ht="18.75" customHeight="1" x14ac:dyDescent="0.35">
      <c r="T23065" s="246">
        <f t="shared" si="398"/>
        <v>0</v>
      </c>
    </row>
    <row r="23066" spans="20:20" ht="18.75" customHeight="1" x14ac:dyDescent="0.35">
      <c r="T23066" s="246">
        <f t="shared" si="398"/>
        <v>0</v>
      </c>
    </row>
    <row r="23067" spans="20:20" ht="18.75" customHeight="1" x14ac:dyDescent="0.35">
      <c r="T23067" s="246">
        <f t="shared" si="398"/>
        <v>0</v>
      </c>
    </row>
    <row r="23068" spans="20:20" ht="18.75" customHeight="1" x14ac:dyDescent="0.35">
      <c r="T23068" s="246">
        <f t="shared" si="398"/>
        <v>0</v>
      </c>
    </row>
    <row r="23069" spans="20:20" ht="18.75" customHeight="1" x14ac:dyDescent="0.35">
      <c r="T23069" s="246">
        <f t="shared" si="398"/>
        <v>0</v>
      </c>
    </row>
    <row r="23070" spans="20:20" ht="18.75" customHeight="1" x14ac:dyDescent="0.35">
      <c r="T23070" s="246">
        <f t="shared" si="398"/>
        <v>0</v>
      </c>
    </row>
    <row r="23071" spans="20:20" ht="18.75" customHeight="1" x14ac:dyDescent="0.35">
      <c r="T23071" s="246">
        <f t="shared" si="398"/>
        <v>0</v>
      </c>
    </row>
    <row r="23072" spans="20:20" ht="18.75" customHeight="1" x14ac:dyDescent="0.35">
      <c r="T23072" s="246">
        <f t="shared" si="398"/>
        <v>0</v>
      </c>
    </row>
    <row r="23073" spans="20:20" ht="18.75" customHeight="1" x14ac:dyDescent="0.35">
      <c r="T23073" s="246">
        <f t="shared" si="398"/>
        <v>0</v>
      </c>
    </row>
    <row r="23074" spans="20:20" ht="18.75" customHeight="1" x14ac:dyDescent="0.35">
      <c r="T23074" s="246">
        <f t="shared" si="398"/>
        <v>0</v>
      </c>
    </row>
    <row r="23075" spans="20:20" ht="18.75" customHeight="1" x14ac:dyDescent="0.35">
      <c r="T23075" s="246">
        <f t="shared" si="398"/>
        <v>0</v>
      </c>
    </row>
    <row r="23076" spans="20:20" ht="18.75" customHeight="1" x14ac:dyDescent="0.35">
      <c r="T23076" s="246">
        <f t="shared" si="398"/>
        <v>0</v>
      </c>
    </row>
    <row r="23077" spans="20:20" ht="18.75" customHeight="1" x14ac:dyDescent="0.35">
      <c r="T23077" s="246">
        <f t="shared" si="398"/>
        <v>0</v>
      </c>
    </row>
    <row r="23078" spans="20:20" ht="18.75" customHeight="1" x14ac:dyDescent="0.35">
      <c r="T23078" s="246">
        <f t="shared" si="398"/>
        <v>0</v>
      </c>
    </row>
    <row r="23079" spans="20:20" ht="18.75" customHeight="1" x14ac:dyDescent="0.35">
      <c r="T23079" s="246">
        <f t="shared" si="398"/>
        <v>0</v>
      </c>
    </row>
    <row r="23080" spans="20:20" ht="18.75" customHeight="1" x14ac:dyDescent="0.35">
      <c r="T23080" s="246">
        <f t="shared" si="398"/>
        <v>0</v>
      </c>
    </row>
    <row r="23081" spans="20:20" ht="18.75" customHeight="1" x14ac:dyDescent="0.35">
      <c r="T23081" s="246">
        <f t="shared" si="398"/>
        <v>0</v>
      </c>
    </row>
    <row r="23082" spans="20:20" ht="18.75" customHeight="1" x14ac:dyDescent="0.35">
      <c r="T23082" s="246">
        <f t="shared" si="398"/>
        <v>0</v>
      </c>
    </row>
    <row r="23083" spans="20:20" ht="18.75" customHeight="1" x14ac:dyDescent="0.35">
      <c r="T23083" s="246">
        <f t="shared" si="398"/>
        <v>0</v>
      </c>
    </row>
    <row r="23084" spans="20:20" ht="18.75" customHeight="1" x14ac:dyDescent="0.35">
      <c r="T23084" s="246">
        <f t="shared" si="398"/>
        <v>0</v>
      </c>
    </row>
    <row r="23085" spans="20:20" ht="18.75" customHeight="1" x14ac:dyDescent="0.35">
      <c r="T23085" s="246">
        <f t="shared" si="398"/>
        <v>0</v>
      </c>
    </row>
    <row r="23086" spans="20:20" ht="18.75" customHeight="1" x14ac:dyDescent="0.35">
      <c r="T23086" s="246">
        <f t="shared" si="398"/>
        <v>0</v>
      </c>
    </row>
    <row r="23087" spans="20:20" ht="18.75" customHeight="1" x14ac:dyDescent="0.35">
      <c r="T23087" s="246">
        <f t="shared" si="398"/>
        <v>0</v>
      </c>
    </row>
    <row r="23088" spans="20:20" ht="18.75" customHeight="1" x14ac:dyDescent="0.35">
      <c r="T23088" s="246">
        <f t="shared" si="398"/>
        <v>0</v>
      </c>
    </row>
    <row r="23089" spans="20:20" ht="18.75" customHeight="1" x14ac:dyDescent="0.35">
      <c r="T23089" s="246">
        <f t="shared" si="398"/>
        <v>0</v>
      </c>
    </row>
    <row r="23090" spans="20:20" ht="18.75" customHeight="1" x14ac:dyDescent="0.35">
      <c r="T23090" s="246">
        <f t="shared" si="398"/>
        <v>0</v>
      </c>
    </row>
    <row r="23091" spans="20:20" ht="18.75" customHeight="1" x14ac:dyDescent="0.35">
      <c r="T23091" s="246">
        <f t="shared" si="398"/>
        <v>0</v>
      </c>
    </row>
    <row r="23092" spans="20:20" ht="18.75" customHeight="1" x14ac:dyDescent="0.35">
      <c r="T23092" s="246">
        <f t="shared" si="398"/>
        <v>0</v>
      </c>
    </row>
    <row r="23093" spans="20:20" ht="18.75" customHeight="1" x14ac:dyDescent="0.35">
      <c r="T23093" s="246">
        <f t="shared" si="398"/>
        <v>0</v>
      </c>
    </row>
    <row r="23094" spans="20:20" ht="18.75" customHeight="1" x14ac:dyDescent="0.35">
      <c r="T23094" s="246">
        <f t="shared" si="398"/>
        <v>0</v>
      </c>
    </row>
    <row r="23095" spans="20:20" ht="18.75" customHeight="1" x14ac:dyDescent="0.35">
      <c r="T23095" s="246">
        <f t="shared" si="398"/>
        <v>0</v>
      </c>
    </row>
    <row r="23096" spans="20:20" ht="18.75" customHeight="1" x14ac:dyDescent="0.35">
      <c r="T23096" s="246">
        <f t="shared" si="398"/>
        <v>0</v>
      </c>
    </row>
    <row r="23097" spans="20:20" ht="18.75" customHeight="1" x14ac:dyDescent="0.35">
      <c r="T23097" s="246">
        <f t="shared" si="398"/>
        <v>0</v>
      </c>
    </row>
    <row r="23098" spans="20:20" ht="18.75" customHeight="1" x14ac:dyDescent="0.35">
      <c r="T23098" s="246">
        <f t="shared" si="398"/>
        <v>0</v>
      </c>
    </row>
    <row r="23099" spans="20:20" ht="18.75" customHeight="1" x14ac:dyDescent="0.35">
      <c r="T23099" s="246">
        <f t="shared" si="398"/>
        <v>0</v>
      </c>
    </row>
    <row r="23100" spans="20:20" ht="18.75" customHeight="1" x14ac:dyDescent="0.35">
      <c r="T23100" s="246">
        <f t="shared" ref="T23100:T23163" si="399">R23100*0.01</f>
        <v>0</v>
      </c>
    </row>
    <row r="23101" spans="20:20" ht="18.75" customHeight="1" x14ac:dyDescent="0.35">
      <c r="T23101" s="246">
        <f t="shared" si="399"/>
        <v>0</v>
      </c>
    </row>
    <row r="23102" spans="20:20" ht="18.75" customHeight="1" x14ac:dyDescent="0.35">
      <c r="T23102" s="246">
        <f t="shared" si="399"/>
        <v>0</v>
      </c>
    </row>
    <row r="23103" spans="20:20" ht="18.75" customHeight="1" x14ac:dyDescent="0.35">
      <c r="T23103" s="246">
        <f t="shared" si="399"/>
        <v>0</v>
      </c>
    </row>
    <row r="23104" spans="20:20" ht="18.75" customHeight="1" x14ac:dyDescent="0.35">
      <c r="T23104" s="246">
        <f t="shared" si="399"/>
        <v>0</v>
      </c>
    </row>
    <row r="23105" spans="20:20" ht="18.75" customHeight="1" x14ac:dyDescent="0.35">
      <c r="T23105" s="246">
        <f t="shared" si="399"/>
        <v>0</v>
      </c>
    </row>
    <row r="23106" spans="20:20" ht="18.75" customHeight="1" x14ac:dyDescent="0.35">
      <c r="T23106" s="246">
        <f t="shared" si="399"/>
        <v>0</v>
      </c>
    </row>
    <row r="23107" spans="20:20" ht="18.75" customHeight="1" x14ac:dyDescent="0.35">
      <c r="T23107" s="246">
        <f t="shared" si="399"/>
        <v>0</v>
      </c>
    </row>
    <row r="23108" spans="20:20" ht="18.75" customHeight="1" x14ac:dyDescent="0.35">
      <c r="T23108" s="246">
        <f t="shared" si="399"/>
        <v>0</v>
      </c>
    </row>
    <row r="23109" spans="20:20" ht="18.75" customHeight="1" x14ac:dyDescent="0.35">
      <c r="T23109" s="246">
        <f t="shared" si="399"/>
        <v>0</v>
      </c>
    </row>
    <row r="23110" spans="20:20" ht="18.75" customHeight="1" x14ac:dyDescent="0.35">
      <c r="T23110" s="246">
        <f t="shared" si="399"/>
        <v>0</v>
      </c>
    </row>
    <row r="23111" spans="20:20" ht="18.75" customHeight="1" x14ac:dyDescent="0.35">
      <c r="T23111" s="246">
        <f t="shared" si="399"/>
        <v>0</v>
      </c>
    </row>
    <row r="23112" spans="20:20" ht="18.75" customHeight="1" x14ac:dyDescent="0.35">
      <c r="T23112" s="246">
        <f t="shared" si="399"/>
        <v>0</v>
      </c>
    </row>
    <row r="23113" spans="20:20" ht="18.75" customHeight="1" x14ac:dyDescent="0.35">
      <c r="T23113" s="246">
        <f t="shared" si="399"/>
        <v>0</v>
      </c>
    </row>
    <row r="23114" spans="20:20" ht="18.75" customHeight="1" x14ac:dyDescent="0.35">
      <c r="T23114" s="246">
        <f t="shared" si="399"/>
        <v>0</v>
      </c>
    </row>
    <row r="23115" spans="20:20" ht="18.75" customHeight="1" x14ac:dyDescent="0.35">
      <c r="T23115" s="246">
        <f t="shared" si="399"/>
        <v>0</v>
      </c>
    </row>
    <row r="23116" spans="20:20" ht="18.75" customHeight="1" x14ac:dyDescent="0.35">
      <c r="T23116" s="246">
        <f t="shared" si="399"/>
        <v>0</v>
      </c>
    </row>
    <row r="23117" spans="20:20" ht="18.75" customHeight="1" x14ac:dyDescent="0.35">
      <c r="T23117" s="246">
        <f t="shared" si="399"/>
        <v>0</v>
      </c>
    </row>
    <row r="23118" spans="20:20" ht="18.75" customHeight="1" x14ac:dyDescent="0.35">
      <c r="T23118" s="246">
        <f t="shared" si="399"/>
        <v>0</v>
      </c>
    </row>
    <row r="23119" spans="20:20" ht="18.75" customHeight="1" x14ac:dyDescent="0.35">
      <c r="T23119" s="246">
        <f t="shared" si="399"/>
        <v>0</v>
      </c>
    </row>
    <row r="23120" spans="20:20" ht="18.75" customHeight="1" x14ac:dyDescent="0.35">
      <c r="T23120" s="246">
        <f t="shared" si="399"/>
        <v>0</v>
      </c>
    </row>
    <row r="23121" spans="20:20" ht="18.75" customHeight="1" x14ac:dyDescent="0.35">
      <c r="T23121" s="246">
        <f t="shared" si="399"/>
        <v>0</v>
      </c>
    </row>
    <row r="23122" spans="20:20" ht="18.75" customHeight="1" x14ac:dyDescent="0.35">
      <c r="T23122" s="246">
        <f t="shared" si="399"/>
        <v>0</v>
      </c>
    </row>
    <row r="23123" spans="20:20" ht="18.75" customHeight="1" x14ac:dyDescent="0.35">
      <c r="T23123" s="246">
        <f t="shared" si="399"/>
        <v>0</v>
      </c>
    </row>
    <row r="23124" spans="20:20" ht="18.75" customHeight="1" x14ac:dyDescent="0.35">
      <c r="T23124" s="246">
        <f t="shared" si="399"/>
        <v>0</v>
      </c>
    </row>
    <row r="23125" spans="20:20" ht="18.75" customHeight="1" x14ac:dyDescent="0.35">
      <c r="T23125" s="246">
        <f t="shared" si="399"/>
        <v>0</v>
      </c>
    </row>
    <row r="23126" spans="20:20" ht="18.75" customHeight="1" x14ac:dyDescent="0.35">
      <c r="T23126" s="246">
        <f t="shared" si="399"/>
        <v>0</v>
      </c>
    </row>
    <row r="23127" spans="20:20" ht="18.75" customHeight="1" x14ac:dyDescent="0.35">
      <c r="T23127" s="246">
        <f t="shared" si="399"/>
        <v>0</v>
      </c>
    </row>
    <row r="23128" spans="20:20" ht="18.75" customHeight="1" x14ac:dyDescent="0.35">
      <c r="T23128" s="246">
        <f t="shared" si="399"/>
        <v>0</v>
      </c>
    </row>
    <row r="23129" spans="20:20" ht="18.75" customHeight="1" x14ac:dyDescent="0.35">
      <c r="T23129" s="246">
        <f t="shared" si="399"/>
        <v>0</v>
      </c>
    </row>
    <row r="23130" spans="20:20" ht="18.75" customHeight="1" x14ac:dyDescent="0.35">
      <c r="T23130" s="246">
        <f t="shared" si="399"/>
        <v>0</v>
      </c>
    </row>
    <row r="23131" spans="20:20" ht="18.75" customHeight="1" x14ac:dyDescent="0.35">
      <c r="T23131" s="246">
        <f t="shared" si="399"/>
        <v>0</v>
      </c>
    </row>
    <row r="23132" spans="20:20" ht="18.75" customHeight="1" x14ac:dyDescent="0.35">
      <c r="T23132" s="246">
        <f t="shared" si="399"/>
        <v>0</v>
      </c>
    </row>
    <row r="23133" spans="20:20" ht="18.75" customHeight="1" x14ac:dyDescent="0.35">
      <c r="T23133" s="246">
        <f t="shared" si="399"/>
        <v>0</v>
      </c>
    </row>
    <row r="23134" spans="20:20" ht="18.75" customHeight="1" x14ac:dyDescent="0.35">
      <c r="T23134" s="246">
        <f t="shared" si="399"/>
        <v>0</v>
      </c>
    </row>
    <row r="23135" spans="20:20" ht="18.75" customHeight="1" x14ac:dyDescent="0.35">
      <c r="T23135" s="246">
        <f t="shared" si="399"/>
        <v>0</v>
      </c>
    </row>
    <row r="23136" spans="20:20" ht="18.75" customHeight="1" x14ac:dyDescent="0.35">
      <c r="T23136" s="246">
        <f t="shared" si="399"/>
        <v>0</v>
      </c>
    </row>
    <row r="23137" spans="20:20" ht="18.75" customHeight="1" x14ac:dyDescent="0.35">
      <c r="T23137" s="246">
        <f t="shared" si="399"/>
        <v>0</v>
      </c>
    </row>
    <row r="23138" spans="20:20" ht="18.75" customHeight="1" x14ac:dyDescent="0.35">
      <c r="T23138" s="246">
        <f t="shared" si="399"/>
        <v>0</v>
      </c>
    </row>
    <row r="23139" spans="20:20" ht="18.75" customHeight="1" x14ac:dyDescent="0.35">
      <c r="T23139" s="246">
        <f t="shared" si="399"/>
        <v>0</v>
      </c>
    </row>
    <row r="23140" spans="20:20" ht="18.75" customHeight="1" x14ac:dyDescent="0.35">
      <c r="T23140" s="246">
        <f t="shared" si="399"/>
        <v>0</v>
      </c>
    </row>
    <row r="23141" spans="20:20" ht="18.75" customHeight="1" x14ac:dyDescent="0.35">
      <c r="T23141" s="246">
        <f t="shared" si="399"/>
        <v>0</v>
      </c>
    </row>
    <row r="23142" spans="20:20" ht="18.75" customHeight="1" x14ac:dyDescent="0.35">
      <c r="T23142" s="246">
        <f t="shared" si="399"/>
        <v>0</v>
      </c>
    </row>
    <row r="23143" spans="20:20" ht="18.75" customHeight="1" x14ac:dyDescent="0.35">
      <c r="T23143" s="246">
        <f t="shared" si="399"/>
        <v>0</v>
      </c>
    </row>
    <row r="23144" spans="20:20" ht="18.75" customHeight="1" x14ac:dyDescent="0.35">
      <c r="T23144" s="246">
        <f t="shared" si="399"/>
        <v>0</v>
      </c>
    </row>
    <row r="23145" spans="20:20" ht="18.75" customHeight="1" x14ac:dyDescent="0.35">
      <c r="T23145" s="246">
        <f t="shared" si="399"/>
        <v>0</v>
      </c>
    </row>
    <row r="23146" spans="20:20" ht="18.75" customHeight="1" x14ac:dyDescent="0.35">
      <c r="T23146" s="246">
        <f t="shared" si="399"/>
        <v>0</v>
      </c>
    </row>
    <row r="23147" spans="20:20" ht="18.75" customHeight="1" x14ac:dyDescent="0.35">
      <c r="T23147" s="246">
        <f t="shared" si="399"/>
        <v>0</v>
      </c>
    </row>
    <row r="23148" spans="20:20" ht="18.75" customHeight="1" x14ac:dyDescent="0.35">
      <c r="T23148" s="246">
        <f t="shared" si="399"/>
        <v>0</v>
      </c>
    </row>
    <row r="23149" spans="20:20" ht="18.75" customHeight="1" x14ac:dyDescent="0.35">
      <c r="T23149" s="246">
        <f t="shared" si="399"/>
        <v>0</v>
      </c>
    </row>
    <row r="23150" spans="20:20" ht="18.75" customHeight="1" x14ac:dyDescent="0.35">
      <c r="T23150" s="246">
        <f t="shared" si="399"/>
        <v>0</v>
      </c>
    </row>
    <row r="23151" spans="20:20" ht="18.75" customHeight="1" x14ac:dyDescent="0.35">
      <c r="T23151" s="246">
        <f t="shared" si="399"/>
        <v>0</v>
      </c>
    </row>
    <row r="23152" spans="20:20" ht="18.75" customHeight="1" x14ac:dyDescent="0.35">
      <c r="T23152" s="246">
        <f t="shared" si="399"/>
        <v>0</v>
      </c>
    </row>
    <row r="23153" spans="20:20" ht="18.75" customHeight="1" x14ac:dyDescent="0.35">
      <c r="T23153" s="246">
        <f t="shared" si="399"/>
        <v>0</v>
      </c>
    </row>
    <row r="23154" spans="20:20" ht="18.75" customHeight="1" x14ac:dyDescent="0.35">
      <c r="T23154" s="246">
        <f t="shared" si="399"/>
        <v>0</v>
      </c>
    </row>
    <row r="23155" spans="20:20" ht="18.75" customHeight="1" x14ac:dyDescent="0.35">
      <c r="T23155" s="246">
        <f t="shared" si="399"/>
        <v>0</v>
      </c>
    </row>
    <row r="23156" spans="20:20" ht="18.75" customHeight="1" x14ac:dyDescent="0.35">
      <c r="T23156" s="246">
        <f t="shared" si="399"/>
        <v>0</v>
      </c>
    </row>
    <row r="23157" spans="20:20" ht="18.75" customHeight="1" x14ac:dyDescent="0.35">
      <c r="T23157" s="246">
        <f t="shared" si="399"/>
        <v>0</v>
      </c>
    </row>
    <row r="23158" spans="20:20" ht="18.75" customHeight="1" x14ac:dyDescent="0.35">
      <c r="T23158" s="246">
        <f t="shared" si="399"/>
        <v>0</v>
      </c>
    </row>
    <row r="23159" spans="20:20" ht="18.75" customHeight="1" x14ac:dyDescent="0.35">
      <c r="T23159" s="246">
        <f t="shared" si="399"/>
        <v>0</v>
      </c>
    </row>
    <row r="23160" spans="20:20" ht="18.75" customHeight="1" x14ac:dyDescent="0.35">
      <c r="T23160" s="246">
        <f t="shared" si="399"/>
        <v>0</v>
      </c>
    </row>
    <row r="23161" spans="20:20" ht="18.75" customHeight="1" x14ac:dyDescent="0.35">
      <c r="T23161" s="246">
        <f t="shared" si="399"/>
        <v>0</v>
      </c>
    </row>
    <row r="23162" spans="20:20" ht="18.75" customHeight="1" x14ac:dyDescent="0.35">
      <c r="T23162" s="246">
        <f t="shared" si="399"/>
        <v>0</v>
      </c>
    </row>
    <row r="23163" spans="20:20" ht="18.75" customHeight="1" x14ac:dyDescent="0.35">
      <c r="T23163" s="246">
        <f t="shared" si="399"/>
        <v>0</v>
      </c>
    </row>
    <row r="23164" spans="20:20" ht="18.75" customHeight="1" x14ac:dyDescent="0.35">
      <c r="T23164" s="246">
        <f t="shared" ref="T23164:T23227" si="400">R23164*0.01</f>
        <v>0</v>
      </c>
    </row>
    <row r="23165" spans="20:20" ht="18.75" customHeight="1" x14ac:dyDescent="0.35">
      <c r="T23165" s="246">
        <f t="shared" si="400"/>
        <v>0</v>
      </c>
    </row>
    <row r="23166" spans="20:20" ht="18.75" customHeight="1" x14ac:dyDescent="0.35">
      <c r="T23166" s="246">
        <f t="shared" si="400"/>
        <v>0</v>
      </c>
    </row>
    <row r="23167" spans="20:20" ht="18.75" customHeight="1" x14ac:dyDescent="0.35">
      <c r="T23167" s="246">
        <f t="shared" si="400"/>
        <v>0</v>
      </c>
    </row>
    <row r="23168" spans="20:20" ht="18.75" customHeight="1" x14ac:dyDescent="0.35">
      <c r="T23168" s="246">
        <f t="shared" si="400"/>
        <v>0</v>
      </c>
    </row>
    <row r="23169" spans="20:20" ht="18.75" customHeight="1" x14ac:dyDescent="0.35">
      <c r="T23169" s="246">
        <f t="shared" si="400"/>
        <v>0</v>
      </c>
    </row>
    <row r="23170" spans="20:20" ht="18.75" customHeight="1" x14ac:dyDescent="0.35">
      <c r="T23170" s="246">
        <f t="shared" si="400"/>
        <v>0</v>
      </c>
    </row>
    <row r="23171" spans="20:20" ht="18.75" customHeight="1" x14ac:dyDescent="0.35">
      <c r="T23171" s="246">
        <f t="shared" si="400"/>
        <v>0</v>
      </c>
    </row>
    <row r="23172" spans="20:20" ht="18.75" customHeight="1" x14ac:dyDescent="0.35">
      <c r="T23172" s="246">
        <f t="shared" si="400"/>
        <v>0</v>
      </c>
    </row>
    <row r="23173" spans="20:20" ht="18.75" customHeight="1" x14ac:dyDescent="0.35">
      <c r="T23173" s="246">
        <f t="shared" si="400"/>
        <v>0</v>
      </c>
    </row>
    <row r="23174" spans="20:20" ht="18.75" customHeight="1" x14ac:dyDescent="0.35">
      <c r="T23174" s="246">
        <f t="shared" si="400"/>
        <v>0</v>
      </c>
    </row>
    <row r="23175" spans="20:20" ht="18.75" customHeight="1" x14ac:dyDescent="0.35">
      <c r="T23175" s="246">
        <f t="shared" si="400"/>
        <v>0</v>
      </c>
    </row>
    <row r="23176" spans="20:20" ht="18.75" customHeight="1" x14ac:dyDescent="0.35">
      <c r="T23176" s="246">
        <f t="shared" si="400"/>
        <v>0</v>
      </c>
    </row>
    <row r="23177" spans="20:20" ht="18.75" customHeight="1" x14ac:dyDescent="0.35">
      <c r="T23177" s="246">
        <f t="shared" si="400"/>
        <v>0</v>
      </c>
    </row>
    <row r="23178" spans="20:20" ht="18.75" customHeight="1" x14ac:dyDescent="0.35">
      <c r="T23178" s="246">
        <f t="shared" si="400"/>
        <v>0</v>
      </c>
    </row>
    <row r="23179" spans="20:20" ht="18.75" customHeight="1" x14ac:dyDescent="0.35">
      <c r="T23179" s="246">
        <f t="shared" si="400"/>
        <v>0</v>
      </c>
    </row>
    <row r="23180" spans="20:20" ht="18.75" customHeight="1" x14ac:dyDescent="0.35">
      <c r="T23180" s="246">
        <f t="shared" si="400"/>
        <v>0</v>
      </c>
    </row>
    <row r="23181" spans="20:20" ht="18.75" customHeight="1" x14ac:dyDescent="0.35">
      <c r="T23181" s="246">
        <f t="shared" si="400"/>
        <v>0</v>
      </c>
    </row>
    <row r="23182" spans="20:20" ht="18.75" customHeight="1" x14ac:dyDescent="0.35">
      <c r="T23182" s="246">
        <f t="shared" si="400"/>
        <v>0</v>
      </c>
    </row>
    <row r="23183" spans="20:20" ht="18.75" customHeight="1" x14ac:dyDescent="0.35">
      <c r="T23183" s="246">
        <f t="shared" si="400"/>
        <v>0</v>
      </c>
    </row>
    <row r="23184" spans="20:20" ht="18.75" customHeight="1" x14ac:dyDescent="0.35">
      <c r="T23184" s="246">
        <f t="shared" si="400"/>
        <v>0</v>
      </c>
    </row>
    <row r="23185" spans="20:20" ht="18.75" customHeight="1" x14ac:dyDescent="0.35">
      <c r="T23185" s="246">
        <f t="shared" si="400"/>
        <v>0</v>
      </c>
    </row>
    <row r="23186" spans="20:20" ht="18.75" customHeight="1" x14ac:dyDescent="0.35">
      <c r="T23186" s="246">
        <f t="shared" si="400"/>
        <v>0</v>
      </c>
    </row>
    <row r="23187" spans="20:20" ht="18.75" customHeight="1" x14ac:dyDescent="0.35">
      <c r="T23187" s="246">
        <f t="shared" si="400"/>
        <v>0</v>
      </c>
    </row>
    <row r="23188" spans="20:20" ht="18.75" customHeight="1" x14ac:dyDescent="0.35">
      <c r="T23188" s="246">
        <f t="shared" si="400"/>
        <v>0</v>
      </c>
    </row>
    <row r="23189" spans="20:20" ht="18.75" customHeight="1" x14ac:dyDescent="0.35">
      <c r="T23189" s="246">
        <f t="shared" si="400"/>
        <v>0</v>
      </c>
    </row>
    <row r="23190" spans="20:20" ht="18.75" customHeight="1" x14ac:dyDescent="0.35">
      <c r="T23190" s="246">
        <f t="shared" si="400"/>
        <v>0</v>
      </c>
    </row>
    <row r="23191" spans="20:20" ht="18.75" customHeight="1" x14ac:dyDescent="0.35">
      <c r="T23191" s="246">
        <f t="shared" si="400"/>
        <v>0</v>
      </c>
    </row>
    <row r="23192" spans="20:20" ht="18.75" customHeight="1" x14ac:dyDescent="0.35">
      <c r="T23192" s="246">
        <f t="shared" si="400"/>
        <v>0</v>
      </c>
    </row>
    <row r="23193" spans="20:20" ht="18.75" customHeight="1" x14ac:dyDescent="0.35">
      <c r="T23193" s="246">
        <f t="shared" si="400"/>
        <v>0</v>
      </c>
    </row>
    <row r="23194" spans="20:20" ht="18.75" customHeight="1" x14ac:dyDescent="0.35">
      <c r="T23194" s="246">
        <f t="shared" si="400"/>
        <v>0</v>
      </c>
    </row>
    <row r="23195" spans="20:20" ht="18.75" customHeight="1" x14ac:dyDescent="0.35">
      <c r="T23195" s="246">
        <f t="shared" si="400"/>
        <v>0</v>
      </c>
    </row>
    <row r="23196" spans="20:20" ht="18.75" customHeight="1" x14ac:dyDescent="0.35">
      <c r="T23196" s="246">
        <f t="shared" si="400"/>
        <v>0</v>
      </c>
    </row>
    <row r="23197" spans="20:20" ht="18.75" customHeight="1" x14ac:dyDescent="0.35">
      <c r="T23197" s="246">
        <f t="shared" si="400"/>
        <v>0</v>
      </c>
    </row>
    <row r="23198" spans="20:20" ht="18.75" customHeight="1" x14ac:dyDescent="0.35">
      <c r="T23198" s="246">
        <f t="shared" si="400"/>
        <v>0</v>
      </c>
    </row>
    <row r="23199" spans="20:20" ht="18.75" customHeight="1" x14ac:dyDescent="0.35">
      <c r="T23199" s="246">
        <f t="shared" si="400"/>
        <v>0</v>
      </c>
    </row>
    <row r="23200" spans="20:20" ht="18.75" customHeight="1" x14ac:dyDescent="0.35">
      <c r="T23200" s="246">
        <f t="shared" si="400"/>
        <v>0</v>
      </c>
    </row>
    <row r="23201" spans="20:20" ht="18.75" customHeight="1" x14ac:dyDescent="0.35">
      <c r="T23201" s="246">
        <f t="shared" si="400"/>
        <v>0</v>
      </c>
    </row>
    <row r="23202" spans="20:20" ht="18.75" customHeight="1" x14ac:dyDescent="0.35">
      <c r="T23202" s="246">
        <f t="shared" si="400"/>
        <v>0</v>
      </c>
    </row>
    <row r="23203" spans="20:20" ht="18.75" customHeight="1" x14ac:dyDescent="0.35">
      <c r="T23203" s="246">
        <f t="shared" si="400"/>
        <v>0</v>
      </c>
    </row>
    <row r="23204" spans="20:20" ht="18.75" customHeight="1" x14ac:dyDescent="0.35">
      <c r="T23204" s="246">
        <f t="shared" si="400"/>
        <v>0</v>
      </c>
    </row>
    <row r="23205" spans="20:20" ht="18.75" customHeight="1" x14ac:dyDescent="0.35">
      <c r="T23205" s="246">
        <f t="shared" si="400"/>
        <v>0</v>
      </c>
    </row>
    <row r="23206" spans="20:20" ht="18.75" customHeight="1" x14ac:dyDescent="0.35">
      <c r="T23206" s="246">
        <f t="shared" si="400"/>
        <v>0</v>
      </c>
    </row>
    <row r="23207" spans="20:20" ht="18.75" customHeight="1" x14ac:dyDescent="0.35">
      <c r="T23207" s="246">
        <f t="shared" si="400"/>
        <v>0</v>
      </c>
    </row>
    <row r="23208" spans="20:20" ht="18.75" customHeight="1" x14ac:dyDescent="0.35">
      <c r="T23208" s="246">
        <f t="shared" si="400"/>
        <v>0</v>
      </c>
    </row>
    <row r="23209" spans="20:20" ht="18.75" customHeight="1" x14ac:dyDescent="0.35">
      <c r="T23209" s="246">
        <f t="shared" si="400"/>
        <v>0</v>
      </c>
    </row>
    <row r="23210" spans="20:20" ht="18.75" customHeight="1" x14ac:dyDescent="0.35">
      <c r="T23210" s="246">
        <f t="shared" si="400"/>
        <v>0</v>
      </c>
    </row>
    <row r="23211" spans="20:20" ht="18.75" customHeight="1" x14ac:dyDescent="0.35">
      <c r="T23211" s="246">
        <f t="shared" si="400"/>
        <v>0</v>
      </c>
    </row>
    <row r="23212" spans="20:20" ht="18.75" customHeight="1" x14ac:dyDescent="0.35">
      <c r="T23212" s="246">
        <f t="shared" si="400"/>
        <v>0</v>
      </c>
    </row>
    <row r="23213" spans="20:20" ht="18.75" customHeight="1" x14ac:dyDescent="0.35">
      <c r="T23213" s="246">
        <f t="shared" si="400"/>
        <v>0</v>
      </c>
    </row>
    <row r="23214" spans="20:20" ht="18.75" customHeight="1" x14ac:dyDescent="0.35">
      <c r="T23214" s="246">
        <f t="shared" si="400"/>
        <v>0</v>
      </c>
    </row>
    <row r="23215" spans="20:20" ht="18.75" customHeight="1" x14ac:dyDescent="0.35">
      <c r="T23215" s="246">
        <f t="shared" si="400"/>
        <v>0</v>
      </c>
    </row>
    <row r="23216" spans="20:20" ht="18.75" customHeight="1" x14ac:dyDescent="0.35">
      <c r="T23216" s="246">
        <f t="shared" si="400"/>
        <v>0</v>
      </c>
    </row>
    <row r="23217" spans="20:20" ht="18.75" customHeight="1" x14ac:dyDescent="0.35">
      <c r="T23217" s="246">
        <f t="shared" si="400"/>
        <v>0</v>
      </c>
    </row>
    <row r="23218" spans="20:20" ht="18.75" customHeight="1" x14ac:dyDescent="0.35">
      <c r="T23218" s="246">
        <f t="shared" si="400"/>
        <v>0</v>
      </c>
    </row>
    <row r="23219" spans="20:20" ht="18.75" customHeight="1" x14ac:dyDescent="0.35">
      <c r="T23219" s="246">
        <f t="shared" si="400"/>
        <v>0</v>
      </c>
    </row>
    <row r="23220" spans="20:20" ht="18.75" customHeight="1" x14ac:dyDescent="0.35">
      <c r="T23220" s="246">
        <f t="shared" si="400"/>
        <v>0</v>
      </c>
    </row>
    <row r="23221" spans="20:20" ht="18.75" customHeight="1" x14ac:dyDescent="0.35">
      <c r="T23221" s="246">
        <f t="shared" si="400"/>
        <v>0</v>
      </c>
    </row>
    <row r="23222" spans="20:20" ht="18.75" customHeight="1" x14ac:dyDescent="0.35">
      <c r="T23222" s="246">
        <f t="shared" si="400"/>
        <v>0</v>
      </c>
    </row>
    <row r="23223" spans="20:20" ht="18.75" customHeight="1" x14ac:dyDescent="0.35">
      <c r="T23223" s="246">
        <f t="shared" si="400"/>
        <v>0</v>
      </c>
    </row>
    <row r="23224" spans="20:20" ht="18.75" customHeight="1" x14ac:dyDescent="0.35">
      <c r="T23224" s="246">
        <f t="shared" si="400"/>
        <v>0</v>
      </c>
    </row>
    <row r="23225" spans="20:20" ht="18.75" customHeight="1" x14ac:dyDescent="0.35">
      <c r="T23225" s="246">
        <f t="shared" si="400"/>
        <v>0</v>
      </c>
    </row>
    <row r="23226" spans="20:20" ht="18.75" customHeight="1" x14ac:dyDescent="0.35">
      <c r="T23226" s="246">
        <f t="shared" si="400"/>
        <v>0</v>
      </c>
    </row>
    <row r="23227" spans="20:20" ht="18.75" customHeight="1" x14ac:dyDescent="0.35">
      <c r="T23227" s="246">
        <f t="shared" si="400"/>
        <v>0</v>
      </c>
    </row>
    <row r="23228" spans="20:20" ht="18.75" customHeight="1" x14ac:dyDescent="0.35">
      <c r="T23228" s="246">
        <f t="shared" ref="T23228:T23291" si="401">R23228*0.01</f>
        <v>0</v>
      </c>
    </row>
    <row r="23229" spans="20:20" ht="18.75" customHeight="1" x14ac:dyDescent="0.35">
      <c r="T23229" s="246">
        <f t="shared" si="401"/>
        <v>0</v>
      </c>
    </row>
    <row r="23230" spans="20:20" ht="18.75" customHeight="1" x14ac:dyDescent="0.35">
      <c r="T23230" s="246">
        <f t="shared" si="401"/>
        <v>0</v>
      </c>
    </row>
    <row r="23231" spans="20:20" ht="18.75" customHeight="1" x14ac:dyDescent="0.35">
      <c r="T23231" s="246">
        <f t="shared" si="401"/>
        <v>0</v>
      </c>
    </row>
    <row r="23232" spans="20:20" ht="18.75" customHeight="1" x14ac:dyDescent="0.35">
      <c r="T23232" s="246">
        <f t="shared" si="401"/>
        <v>0</v>
      </c>
    </row>
    <row r="23233" spans="20:20" ht="18.75" customHeight="1" x14ac:dyDescent="0.35">
      <c r="T23233" s="246">
        <f t="shared" si="401"/>
        <v>0</v>
      </c>
    </row>
    <row r="23234" spans="20:20" ht="18.75" customHeight="1" x14ac:dyDescent="0.35">
      <c r="T23234" s="246">
        <f t="shared" si="401"/>
        <v>0</v>
      </c>
    </row>
    <row r="23235" spans="20:20" ht="18.75" customHeight="1" x14ac:dyDescent="0.35">
      <c r="T23235" s="246">
        <f t="shared" si="401"/>
        <v>0</v>
      </c>
    </row>
    <row r="23236" spans="20:20" ht="18.75" customHeight="1" x14ac:dyDescent="0.35">
      <c r="T23236" s="246">
        <f t="shared" si="401"/>
        <v>0</v>
      </c>
    </row>
    <row r="23237" spans="20:20" ht="18.75" customHeight="1" x14ac:dyDescent="0.35">
      <c r="T23237" s="246">
        <f t="shared" si="401"/>
        <v>0</v>
      </c>
    </row>
    <row r="23238" spans="20:20" ht="18.75" customHeight="1" x14ac:dyDescent="0.35">
      <c r="T23238" s="246">
        <f t="shared" si="401"/>
        <v>0</v>
      </c>
    </row>
    <row r="23239" spans="20:20" ht="18.75" customHeight="1" x14ac:dyDescent="0.35">
      <c r="T23239" s="246">
        <f t="shared" si="401"/>
        <v>0</v>
      </c>
    </row>
    <row r="23240" spans="20:20" ht="18.75" customHeight="1" x14ac:dyDescent="0.35">
      <c r="T23240" s="246">
        <f t="shared" si="401"/>
        <v>0</v>
      </c>
    </row>
    <row r="23241" spans="20:20" ht="18.75" customHeight="1" x14ac:dyDescent="0.35">
      <c r="T23241" s="246">
        <f t="shared" si="401"/>
        <v>0</v>
      </c>
    </row>
    <row r="23242" spans="20:20" ht="18.75" customHeight="1" x14ac:dyDescent="0.35">
      <c r="T23242" s="246">
        <f t="shared" si="401"/>
        <v>0</v>
      </c>
    </row>
    <row r="23243" spans="20:20" ht="18.75" customHeight="1" x14ac:dyDescent="0.35">
      <c r="T23243" s="246">
        <f t="shared" si="401"/>
        <v>0</v>
      </c>
    </row>
    <row r="23244" spans="20:20" ht="18.75" customHeight="1" x14ac:dyDescent="0.35">
      <c r="T23244" s="246">
        <f t="shared" si="401"/>
        <v>0</v>
      </c>
    </row>
    <row r="23245" spans="20:20" ht="18.75" customHeight="1" x14ac:dyDescent="0.35">
      <c r="T23245" s="246">
        <f t="shared" si="401"/>
        <v>0</v>
      </c>
    </row>
    <row r="23246" spans="20:20" ht="18.75" customHeight="1" x14ac:dyDescent="0.35">
      <c r="T23246" s="246">
        <f t="shared" si="401"/>
        <v>0</v>
      </c>
    </row>
    <row r="23247" spans="20:20" ht="18.75" customHeight="1" x14ac:dyDescent="0.35">
      <c r="T23247" s="246">
        <f t="shared" si="401"/>
        <v>0</v>
      </c>
    </row>
    <row r="23248" spans="20:20" ht="18.75" customHeight="1" x14ac:dyDescent="0.35">
      <c r="T23248" s="246">
        <f t="shared" si="401"/>
        <v>0</v>
      </c>
    </row>
    <row r="23249" spans="20:20" ht="18.75" customHeight="1" x14ac:dyDescent="0.35">
      <c r="T23249" s="246">
        <f t="shared" si="401"/>
        <v>0</v>
      </c>
    </row>
    <row r="23250" spans="20:20" ht="18.75" customHeight="1" x14ac:dyDescent="0.35">
      <c r="T23250" s="246">
        <f t="shared" si="401"/>
        <v>0</v>
      </c>
    </row>
    <row r="23251" spans="20:20" ht="18.75" customHeight="1" x14ac:dyDescent="0.35">
      <c r="T23251" s="246">
        <f t="shared" si="401"/>
        <v>0</v>
      </c>
    </row>
    <row r="23252" spans="20:20" ht="18.75" customHeight="1" x14ac:dyDescent="0.35">
      <c r="T23252" s="246">
        <f t="shared" si="401"/>
        <v>0</v>
      </c>
    </row>
    <row r="23253" spans="20:20" ht="18.75" customHeight="1" x14ac:dyDescent="0.35">
      <c r="T23253" s="246">
        <f t="shared" si="401"/>
        <v>0</v>
      </c>
    </row>
    <row r="23254" spans="20:20" ht="18.75" customHeight="1" x14ac:dyDescent="0.35">
      <c r="T23254" s="246">
        <f t="shared" si="401"/>
        <v>0</v>
      </c>
    </row>
    <row r="23255" spans="20:20" ht="18.75" customHeight="1" x14ac:dyDescent="0.35">
      <c r="T23255" s="246">
        <f t="shared" si="401"/>
        <v>0</v>
      </c>
    </row>
    <row r="23256" spans="20:20" ht="18.75" customHeight="1" x14ac:dyDescent="0.35">
      <c r="T23256" s="246">
        <f t="shared" si="401"/>
        <v>0</v>
      </c>
    </row>
    <row r="23257" spans="20:20" ht="18.75" customHeight="1" x14ac:dyDescent="0.35">
      <c r="T23257" s="246">
        <f t="shared" si="401"/>
        <v>0</v>
      </c>
    </row>
    <row r="23258" spans="20:20" ht="18.75" customHeight="1" x14ac:dyDescent="0.35">
      <c r="T23258" s="246">
        <f t="shared" si="401"/>
        <v>0</v>
      </c>
    </row>
    <row r="23259" spans="20:20" ht="18.75" customHeight="1" x14ac:dyDescent="0.35">
      <c r="T23259" s="246">
        <f t="shared" si="401"/>
        <v>0</v>
      </c>
    </row>
    <row r="23260" spans="20:20" ht="18.75" customHeight="1" x14ac:dyDescent="0.35">
      <c r="T23260" s="246">
        <f t="shared" si="401"/>
        <v>0</v>
      </c>
    </row>
    <row r="23261" spans="20:20" ht="18.75" customHeight="1" x14ac:dyDescent="0.35">
      <c r="T23261" s="246">
        <f t="shared" si="401"/>
        <v>0</v>
      </c>
    </row>
    <row r="23262" spans="20:20" ht="18.75" customHeight="1" x14ac:dyDescent="0.35">
      <c r="T23262" s="246">
        <f t="shared" si="401"/>
        <v>0</v>
      </c>
    </row>
    <row r="23263" spans="20:20" ht="18.75" customHeight="1" x14ac:dyDescent="0.35">
      <c r="T23263" s="246">
        <f t="shared" si="401"/>
        <v>0</v>
      </c>
    </row>
    <row r="23264" spans="20:20" ht="18.75" customHeight="1" x14ac:dyDescent="0.35">
      <c r="T23264" s="246">
        <f t="shared" si="401"/>
        <v>0</v>
      </c>
    </row>
    <row r="23265" spans="20:20" ht="18.75" customHeight="1" x14ac:dyDescent="0.35">
      <c r="T23265" s="246">
        <f t="shared" si="401"/>
        <v>0</v>
      </c>
    </row>
    <row r="23266" spans="20:20" ht="18.75" customHeight="1" x14ac:dyDescent="0.35">
      <c r="T23266" s="246">
        <f t="shared" si="401"/>
        <v>0</v>
      </c>
    </row>
    <row r="23267" spans="20:20" ht="18.75" customHeight="1" x14ac:dyDescent="0.35">
      <c r="T23267" s="246">
        <f t="shared" si="401"/>
        <v>0</v>
      </c>
    </row>
    <row r="23268" spans="20:20" ht="18.75" customHeight="1" x14ac:dyDescent="0.35">
      <c r="T23268" s="246">
        <f t="shared" si="401"/>
        <v>0</v>
      </c>
    </row>
    <row r="23269" spans="20:20" ht="18.75" customHeight="1" x14ac:dyDescent="0.35">
      <c r="T23269" s="246">
        <f t="shared" si="401"/>
        <v>0</v>
      </c>
    </row>
    <row r="23270" spans="20:20" ht="18.75" customHeight="1" x14ac:dyDescent="0.35">
      <c r="T23270" s="246">
        <f t="shared" si="401"/>
        <v>0</v>
      </c>
    </row>
    <row r="23271" spans="20:20" ht="18.75" customHeight="1" x14ac:dyDescent="0.35">
      <c r="T23271" s="246">
        <f t="shared" si="401"/>
        <v>0</v>
      </c>
    </row>
    <row r="23272" spans="20:20" ht="18.75" customHeight="1" x14ac:dyDescent="0.35">
      <c r="T23272" s="246">
        <f t="shared" si="401"/>
        <v>0</v>
      </c>
    </row>
    <row r="23273" spans="20:20" ht="18.75" customHeight="1" x14ac:dyDescent="0.35">
      <c r="T23273" s="246">
        <f t="shared" si="401"/>
        <v>0</v>
      </c>
    </row>
    <row r="23274" spans="20:20" ht="18.75" customHeight="1" x14ac:dyDescent="0.35">
      <c r="T23274" s="246">
        <f t="shared" si="401"/>
        <v>0</v>
      </c>
    </row>
    <row r="23275" spans="20:20" ht="18.75" customHeight="1" x14ac:dyDescent="0.35">
      <c r="T23275" s="246">
        <f t="shared" si="401"/>
        <v>0</v>
      </c>
    </row>
    <row r="23276" spans="20:20" ht="18.75" customHeight="1" x14ac:dyDescent="0.35">
      <c r="T23276" s="246">
        <f t="shared" si="401"/>
        <v>0</v>
      </c>
    </row>
    <row r="23277" spans="20:20" ht="18.75" customHeight="1" x14ac:dyDescent="0.35">
      <c r="T23277" s="246">
        <f t="shared" si="401"/>
        <v>0</v>
      </c>
    </row>
    <row r="23278" spans="20:20" ht="18.75" customHeight="1" x14ac:dyDescent="0.35">
      <c r="T23278" s="246">
        <f t="shared" si="401"/>
        <v>0</v>
      </c>
    </row>
    <row r="23279" spans="20:20" ht="18.75" customHeight="1" x14ac:dyDescent="0.35">
      <c r="T23279" s="246">
        <f t="shared" si="401"/>
        <v>0</v>
      </c>
    </row>
    <row r="23280" spans="20:20" ht="18.75" customHeight="1" x14ac:dyDescent="0.35">
      <c r="T23280" s="246">
        <f t="shared" si="401"/>
        <v>0</v>
      </c>
    </row>
    <row r="23281" spans="20:20" ht="18.75" customHeight="1" x14ac:dyDescent="0.35">
      <c r="T23281" s="246">
        <f t="shared" si="401"/>
        <v>0</v>
      </c>
    </row>
    <row r="23282" spans="20:20" ht="18.75" customHeight="1" x14ac:dyDescent="0.35">
      <c r="T23282" s="246">
        <f t="shared" si="401"/>
        <v>0</v>
      </c>
    </row>
    <row r="23283" spans="20:20" ht="18.75" customHeight="1" x14ac:dyDescent="0.35">
      <c r="T23283" s="246">
        <f t="shared" si="401"/>
        <v>0</v>
      </c>
    </row>
    <row r="23284" spans="20:20" ht="18.75" customHeight="1" x14ac:dyDescent="0.35">
      <c r="T23284" s="246">
        <f t="shared" si="401"/>
        <v>0</v>
      </c>
    </row>
    <row r="23285" spans="20:20" ht="18.75" customHeight="1" x14ac:dyDescent="0.35">
      <c r="T23285" s="246">
        <f t="shared" si="401"/>
        <v>0</v>
      </c>
    </row>
    <row r="23286" spans="20:20" ht="18.75" customHeight="1" x14ac:dyDescent="0.35">
      <c r="T23286" s="246">
        <f t="shared" si="401"/>
        <v>0</v>
      </c>
    </row>
    <row r="23287" spans="20:20" ht="18.75" customHeight="1" x14ac:dyDescent="0.35">
      <c r="T23287" s="246">
        <f t="shared" si="401"/>
        <v>0</v>
      </c>
    </row>
    <row r="23288" spans="20:20" ht="18.75" customHeight="1" x14ac:dyDescent="0.35">
      <c r="T23288" s="246">
        <f t="shared" si="401"/>
        <v>0</v>
      </c>
    </row>
    <row r="23289" spans="20:20" ht="18.75" customHeight="1" x14ac:dyDescent="0.35">
      <c r="T23289" s="246">
        <f t="shared" si="401"/>
        <v>0</v>
      </c>
    </row>
    <row r="23290" spans="20:20" ht="18.75" customHeight="1" x14ac:dyDescent="0.35">
      <c r="T23290" s="246">
        <f t="shared" si="401"/>
        <v>0</v>
      </c>
    </row>
    <row r="23291" spans="20:20" ht="18.75" customHeight="1" x14ac:dyDescent="0.35">
      <c r="T23291" s="246">
        <f t="shared" si="401"/>
        <v>0</v>
      </c>
    </row>
    <row r="23292" spans="20:20" ht="18.75" customHeight="1" x14ac:dyDescent="0.35">
      <c r="T23292" s="246">
        <f t="shared" ref="T23292:T23355" si="402">R23292*0.01</f>
        <v>0</v>
      </c>
    </row>
    <row r="23293" spans="20:20" ht="18.75" customHeight="1" x14ac:dyDescent="0.35">
      <c r="T23293" s="246">
        <f t="shared" si="402"/>
        <v>0</v>
      </c>
    </row>
    <row r="23294" spans="20:20" ht="18.75" customHeight="1" x14ac:dyDescent="0.35">
      <c r="T23294" s="246">
        <f t="shared" si="402"/>
        <v>0</v>
      </c>
    </row>
    <row r="23295" spans="20:20" ht="18.75" customHeight="1" x14ac:dyDescent="0.35">
      <c r="T23295" s="246">
        <f t="shared" si="402"/>
        <v>0</v>
      </c>
    </row>
    <row r="23296" spans="20:20" ht="18.75" customHeight="1" x14ac:dyDescent="0.35">
      <c r="T23296" s="246">
        <f t="shared" si="402"/>
        <v>0</v>
      </c>
    </row>
    <row r="23297" spans="20:20" ht="18.75" customHeight="1" x14ac:dyDescent="0.35">
      <c r="T23297" s="246">
        <f t="shared" si="402"/>
        <v>0</v>
      </c>
    </row>
    <row r="23298" spans="20:20" ht="18.75" customHeight="1" x14ac:dyDescent="0.35">
      <c r="T23298" s="246">
        <f t="shared" si="402"/>
        <v>0</v>
      </c>
    </row>
    <row r="23299" spans="20:20" ht="18.75" customHeight="1" x14ac:dyDescent="0.35">
      <c r="T23299" s="246">
        <f t="shared" si="402"/>
        <v>0</v>
      </c>
    </row>
    <row r="23300" spans="20:20" ht="18.75" customHeight="1" x14ac:dyDescent="0.35">
      <c r="T23300" s="246">
        <f t="shared" si="402"/>
        <v>0</v>
      </c>
    </row>
    <row r="23301" spans="20:20" ht="18.75" customHeight="1" x14ac:dyDescent="0.35">
      <c r="T23301" s="246">
        <f t="shared" si="402"/>
        <v>0</v>
      </c>
    </row>
    <row r="23302" spans="20:20" ht="18.75" customHeight="1" x14ac:dyDescent="0.35">
      <c r="T23302" s="246">
        <f t="shared" si="402"/>
        <v>0</v>
      </c>
    </row>
    <row r="23303" spans="20:20" ht="18.75" customHeight="1" x14ac:dyDescent="0.35">
      <c r="T23303" s="246">
        <f t="shared" si="402"/>
        <v>0</v>
      </c>
    </row>
    <row r="23304" spans="20:20" ht="18.75" customHeight="1" x14ac:dyDescent="0.35">
      <c r="T23304" s="246">
        <f t="shared" si="402"/>
        <v>0</v>
      </c>
    </row>
    <row r="23305" spans="20:20" ht="18.75" customHeight="1" x14ac:dyDescent="0.35">
      <c r="T23305" s="246">
        <f t="shared" si="402"/>
        <v>0</v>
      </c>
    </row>
    <row r="23306" spans="20:20" ht="18.75" customHeight="1" x14ac:dyDescent="0.35">
      <c r="T23306" s="246">
        <f t="shared" si="402"/>
        <v>0</v>
      </c>
    </row>
    <row r="23307" spans="20:20" ht="18.75" customHeight="1" x14ac:dyDescent="0.35">
      <c r="T23307" s="246">
        <f t="shared" si="402"/>
        <v>0</v>
      </c>
    </row>
    <row r="23308" spans="20:20" ht="18.75" customHeight="1" x14ac:dyDescent="0.35">
      <c r="T23308" s="246">
        <f t="shared" si="402"/>
        <v>0</v>
      </c>
    </row>
    <row r="23309" spans="20:20" ht="18.75" customHeight="1" x14ac:dyDescent="0.35">
      <c r="T23309" s="246">
        <f t="shared" si="402"/>
        <v>0</v>
      </c>
    </row>
    <row r="23310" spans="20:20" ht="18.75" customHeight="1" x14ac:dyDescent="0.35">
      <c r="T23310" s="246">
        <f t="shared" si="402"/>
        <v>0</v>
      </c>
    </row>
    <row r="23311" spans="20:20" ht="18.75" customHeight="1" x14ac:dyDescent="0.35">
      <c r="T23311" s="246">
        <f t="shared" si="402"/>
        <v>0</v>
      </c>
    </row>
    <row r="23312" spans="20:20" ht="18.75" customHeight="1" x14ac:dyDescent="0.35">
      <c r="T23312" s="246">
        <f t="shared" si="402"/>
        <v>0</v>
      </c>
    </row>
    <row r="23313" spans="20:20" ht="18.75" customHeight="1" x14ac:dyDescent="0.35">
      <c r="T23313" s="246">
        <f t="shared" si="402"/>
        <v>0</v>
      </c>
    </row>
    <row r="23314" spans="20:20" ht="18.75" customHeight="1" x14ac:dyDescent="0.35">
      <c r="T23314" s="246">
        <f t="shared" si="402"/>
        <v>0</v>
      </c>
    </row>
    <row r="23315" spans="20:20" ht="18.75" customHeight="1" x14ac:dyDescent="0.35">
      <c r="T23315" s="246">
        <f t="shared" si="402"/>
        <v>0</v>
      </c>
    </row>
    <row r="23316" spans="20:20" ht="18.75" customHeight="1" x14ac:dyDescent="0.35">
      <c r="T23316" s="246">
        <f t="shared" si="402"/>
        <v>0</v>
      </c>
    </row>
    <row r="23317" spans="20:20" ht="18.75" customHeight="1" x14ac:dyDescent="0.35">
      <c r="T23317" s="246">
        <f t="shared" si="402"/>
        <v>0</v>
      </c>
    </row>
    <row r="23318" spans="20:20" ht="18.75" customHeight="1" x14ac:dyDescent="0.35">
      <c r="T23318" s="246">
        <f t="shared" si="402"/>
        <v>0</v>
      </c>
    </row>
    <row r="23319" spans="20:20" ht="18.75" customHeight="1" x14ac:dyDescent="0.35">
      <c r="T23319" s="246">
        <f t="shared" si="402"/>
        <v>0</v>
      </c>
    </row>
    <row r="23320" spans="20:20" ht="18.75" customHeight="1" x14ac:dyDescent="0.35">
      <c r="T23320" s="246">
        <f t="shared" si="402"/>
        <v>0</v>
      </c>
    </row>
    <row r="23321" spans="20:20" ht="18.75" customHeight="1" x14ac:dyDescent="0.35">
      <c r="T23321" s="246">
        <f t="shared" si="402"/>
        <v>0</v>
      </c>
    </row>
    <row r="23322" spans="20:20" ht="18.75" customHeight="1" x14ac:dyDescent="0.35">
      <c r="T23322" s="246">
        <f t="shared" si="402"/>
        <v>0</v>
      </c>
    </row>
    <row r="23323" spans="20:20" ht="18.75" customHeight="1" x14ac:dyDescent="0.35">
      <c r="T23323" s="246">
        <f t="shared" si="402"/>
        <v>0</v>
      </c>
    </row>
    <row r="23324" spans="20:20" ht="18.75" customHeight="1" x14ac:dyDescent="0.35">
      <c r="T23324" s="246">
        <f t="shared" si="402"/>
        <v>0</v>
      </c>
    </row>
    <row r="23325" spans="20:20" ht="18.75" customHeight="1" x14ac:dyDescent="0.35">
      <c r="T23325" s="246">
        <f t="shared" si="402"/>
        <v>0</v>
      </c>
    </row>
    <row r="23326" spans="20:20" ht="18.75" customHeight="1" x14ac:dyDescent="0.35">
      <c r="T23326" s="246">
        <f t="shared" si="402"/>
        <v>0</v>
      </c>
    </row>
    <row r="23327" spans="20:20" ht="18.75" customHeight="1" x14ac:dyDescent="0.35">
      <c r="T23327" s="246">
        <f t="shared" si="402"/>
        <v>0</v>
      </c>
    </row>
    <row r="23328" spans="20:20" ht="18.75" customHeight="1" x14ac:dyDescent="0.35">
      <c r="T23328" s="246">
        <f t="shared" si="402"/>
        <v>0</v>
      </c>
    </row>
    <row r="23329" spans="20:20" ht="18.75" customHeight="1" x14ac:dyDescent="0.35">
      <c r="T23329" s="246">
        <f t="shared" si="402"/>
        <v>0</v>
      </c>
    </row>
    <row r="23330" spans="20:20" ht="18.75" customHeight="1" x14ac:dyDescent="0.35">
      <c r="T23330" s="246">
        <f t="shared" si="402"/>
        <v>0</v>
      </c>
    </row>
    <row r="23331" spans="20:20" ht="18.75" customHeight="1" x14ac:dyDescent="0.35">
      <c r="T23331" s="246">
        <f t="shared" si="402"/>
        <v>0</v>
      </c>
    </row>
    <row r="23332" spans="20:20" ht="18.75" customHeight="1" x14ac:dyDescent="0.35">
      <c r="T23332" s="246">
        <f t="shared" si="402"/>
        <v>0</v>
      </c>
    </row>
    <row r="23333" spans="20:20" ht="18.75" customHeight="1" x14ac:dyDescent="0.35">
      <c r="T23333" s="246">
        <f t="shared" si="402"/>
        <v>0</v>
      </c>
    </row>
    <row r="23334" spans="20:20" ht="18.75" customHeight="1" x14ac:dyDescent="0.35">
      <c r="T23334" s="246">
        <f t="shared" si="402"/>
        <v>0</v>
      </c>
    </row>
    <row r="23335" spans="20:20" ht="18.75" customHeight="1" x14ac:dyDescent="0.35">
      <c r="T23335" s="246">
        <f t="shared" si="402"/>
        <v>0</v>
      </c>
    </row>
    <row r="23336" spans="20:20" ht="18.75" customHeight="1" x14ac:dyDescent="0.35">
      <c r="T23336" s="246">
        <f t="shared" si="402"/>
        <v>0</v>
      </c>
    </row>
    <row r="23337" spans="20:20" ht="18.75" customHeight="1" x14ac:dyDescent="0.35">
      <c r="T23337" s="246">
        <f t="shared" si="402"/>
        <v>0</v>
      </c>
    </row>
    <row r="23338" spans="20:20" ht="18.75" customHeight="1" x14ac:dyDescent="0.35">
      <c r="T23338" s="246">
        <f t="shared" si="402"/>
        <v>0</v>
      </c>
    </row>
    <row r="23339" spans="20:20" ht="18.75" customHeight="1" x14ac:dyDescent="0.35">
      <c r="T23339" s="246">
        <f t="shared" si="402"/>
        <v>0</v>
      </c>
    </row>
    <row r="23340" spans="20:20" ht="18.75" customHeight="1" x14ac:dyDescent="0.35">
      <c r="T23340" s="246">
        <f t="shared" si="402"/>
        <v>0</v>
      </c>
    </row>
    <row r="23341" spans="20:20" ht="18.75" customHeight="1" x14ac:dyDescent="0.35">
      <c r="T23341" s="246">
        <f t="shared" si="402"/>
        <v>0</v>
      </c>
    </row>
    <row r="23342" spans="20:20" ht="18.75" customHeight="1" x14ac:dyDescent="0.35">
      <c r="T23342" s="246">
        <f t="shared" si="402"/>
        <v>0</v>
      </c>
    </row>
    <row r="23343" spans="20:20" ht="18.75" customHeight="1" x14ac:dyDescent="0.35">
      <c r="T23343" s="246">
        <f t="shared" si="402"/>
        <v>0</v>
      </c>
    </row>
    <row r="23344" spans="20:20" ht="18.75" customHeight="1" x14ac:dyDescent="0.35">
      <c r="T23344" s="246">
        <f t="shared" si="402"/>
        <v>0</v>
      </c>
    </row>
    <row r="23345" spans="20:20" ht="18.75" customHeight="1" x14ac:dyDescent="0.35">
      <c r="T23345" s="246">
        <f t="shared" si="402"/>
        <v>0</v>
      </c>
    </row>
    <row r="23346" spans="20:20" ht="18.75" customHeight="1" x14ac:dyDescent="0.35">
      <c r="T23346" s="246">
        <f t="shared" si="402"/>
        <v>0</v>
      </c>
    </row>
    <row r="23347" spans="20:20" ht="18.75" customHeight="1" x14ac:dyDescent="0.35">
      <c r="T23347" s="246">
        <f t="shared" si="402"/>
        <v>0</v>
      </c>
    </row>
    <row r="23348" spans="20:20" ht="18.75" customHeight="1" x14ac:dyDescent="0.35">
      <c r="T23348" s="246">
        <f t="shared" si="402"/>
        <v>0</v>
      </c>
    </row>
    <row r="23349" spans="20:20" ht="18.75" customHeight="1" x14ac:dyDescent="0.35">
      <c r="T23349" s="246">
        <f t="shared" si="402"/>
        <v>0</v>
      </c>
    </row>
    <row r="23350" spans="20:20" ht="18.75" customHeight="1" x14ac:dyDescent="0.35">
      <c r="T23350" s="246">
        <f t="shared" si="402"/>
        <v>0</v>
      </c>
    </row>
    <row r="23351" spans="20:20" ht="18.75" customHeight="1" x14ac:dyDescent="0.35">
      <c r="T23351" s="246">
        <f t="shared" si="402"/>
        <v>0</v>
      </c>
    </row>
    <row r="23352" spans="20:20" ht="18.75" customHeight="1" x14ac:dyDescent="0.35">
      <c r="T23352" s="246">
        <f t="shared" si="402"/>
        <v>0</v>
      </c>
    </row>
    <row r="23353" spans="20:20" ht="18.75" customHeight="1" x14ac:dyDescent="0.35">
      <c r="T23353" s="246">
        <f t="shared" si="402"/>
        <v>0</v>
      </c>
    </row>
    <row r="23354" spans="20:20" ht="18.75" customHeight="1" x14ac:dyDescent="0.35">
      <c r="T23354" s="246">
        <f t="shared" si="402"/>
        <v>0</v>
      </c>
    </row>
    <row r="23355" spans="20:20" ht="18.75" customHeight="1" x14ac:dyDescent="0.35">
      <c r="T23355" s="246">
        <f t="shared" si="402"/>
        <v>0</v>
      </c>
    </row>
    <row r="23356" spans="20:20" ht="18.75" customHeight="1" x14ac:dyDescent="0.35">
      <c r="T23356" s="246">
        <f t="shared" ref="T23356:T23419" si="403">R23356*0.01</f>
        <v>0</v>
      </c>
    </row>
    <row r="23357" spans="20:20" ht="18.75" customHeight="1" x14ac:dyDescent="0.35">
      <c r="T23357" s="246">
        <f t="shared" si="403"/>
        <v>0</v>
      </c>
    </row>
    <row r="23358" spans="20:20" ht="18.75" customHeight="1" x14ac:dyDescent="0.35">
      <c r="T23358" s="246">
        <f t="shared" si="403"/>
        <v>0</v>
      </c>
    </row>
    <row r="23359" spans="20:20" ht="18.75" customHeight="1" x14ac:dyDescent="0.35">
      <c r="T23359" s="246">
        <f t="shared" si="403"/>
        <v>0</v>
      </c>
    </row>
    <row r="23360" spans="20:20" ht="18.75" customHeight="1" x14ac:dyDescent="0.35">
      <c r="T23360" s="246">
        <f t="shared" si="403"/>
        <v>0</v>
      </c>
    </row>
    <row r="23361" spans="20:20" ht="18.75" customHeight="1" x14ac:dyDescent="0.35">
      <c r="T23361" s="246">
        <f t="shared" si="403"/>
        <v>0</v>
      </c>
    </row>
    <row r="23362" spans="20:20" ht="18.75" customHeight="1" x14ac:dyDescent="0.35">
      <c r="T23362" s="246">
        <f t="shared" si="403"/>
        <v>0</v>
      </c>
    </row>
    <row r="23363" spans="20:20" ht="18.75" customHeight="1" x14ac:dyDescent="0.35">
      <c r="T23363" s="246">
        <f t="shared" si="403"/>
        <v>0</v>
      </c>
    </row>
    <row r="23364" spans="20:20" ht="18.75" customHeight="1" x14ac:dyDescent="0.35">
      <c r="T23364" s="246">
        <f t="shared" si="403"/>
        <v>0</v>
      </c>
    </row>
    <row r="23365" spans="20:20" ht="18.75" customHeight="1" x14ac:dyDescent="0.35">
      <c r="T23365" s="246">
        <f t="shared" si="403"/>
        <v>0</v>
      </c>
    </row>
    <row r="23366" spans="20:20" ht="18.75" customHeight="1" x14ac:dyDescent="0.35">
      <c r="T23366" s="246">
        <f t="shared" si="403"/>
        <v>0</v>
      </c>
    </row>
    <row r="23367" spans="20:20" ht="18.75" customHeight="1" x14ac:dyDescent="0.35">
      <c r="T23367" s="246">
        <f t="shared" si="403"/>
        <v>0</v>
      </c>
    </row>
    <row r="23368" spans="20:20" ht="18.75" customHeight="1" x14ac:dyDescent="0.35">
      <c r="T23368" s="246">
        <f t="shared" si="403"/>
        <v>0</v>
      </c>
    </row>
    <row r="23369" spans="20:20" ht="18.75" customHeight="1" x14ac:dyDescent="0.35">
      <c r="T23369" s="246">
        <f t="shared" si="403"/>
        <v>0</v>
      </c>
    </row>
    <row r="23370" spans="20:20" ht="18.75" customHeight="1" x14ac:dyDescent="0.35">
      <c r="T23370" s="246">
        <f t="shared" si="403"/>
        <v>0</v>
      </c>
    </row>
    <row r="23371" spans="20:20" ht="18.75" customHeight="1" x14ac:dyDescent="0.35">
      <c r="T23371" s="246">
        <f t="shared" si="403"/>
        <v>0</v>
      </c>
    </row>
    <row r="23372" spans="20:20" ht="18.75" customHeight="1" x14ac:dyDescent="0.35">
      <c r="T23372" s="246">
        <f t="shared" si="403"/>
        <v>0</v>
      </c>
    </row>
    <row r="23373" spans="20:20" ht="18.75" customHeight="1" x14ac:dyDescent="0.35">
      <c r="T23373" s="246">
        <f t="shared" si="403"/>
        <v>0</v>
      </c>
    </row>
    <row r="23374" spans="20:20" ht="18.75" customHeight="1" x14ac:dyDescent="0.35">
      <c r="T23374" s="246">
        <f t="shared" si="403"/>
        <v>0</v>
      </c>
    </row>
    <row r="23375" spans="20:20" ht="18.75" customHeight="1" x14ac:dyDescent="0.35">
      <c r="T23375" s="246">
        <f t="shared" si="403"/>
        <v>0</v>
      </c>
    </row>
    <row r="23376" spans="20:20" ht="18.75" customHeight="1" x14ac:dyDescent="0.35">
      <c r="T23376" s="246">
        <f t="shared" si="403"/>
        <v>0</v>
      </c>
    </row>
    <row r="23377" spans="20:20" ht="18.75" customHeight="1" x14ac:dyDescent="0.35">
      <c r="T23377" s="246">
        <f t="shared" si="403"/>
        <v>0</v>
      </c>
    </row>
    <row r="23378" spans="20:20" ht="18.75" customHeight="1" x14ac:dyDescent="0.35">
      <c r="T23378" s="246">
        <f t="shared" si="403"/>
        <v>0</v>
      </c>
    </row>
    <row r="23379" spans="20:20" ht="18.75" customHeight="1" x14ac:dyDescent="0.35">
      <c r="T23379" s="246">
        <f t="shared" si="403"/>
        <v>0</v>
      </c>
    </row>
    <row r="23380" spans="20:20" ht="18.75" customHeight="1" x14ac:dyDescent="0.35">
      <c r="T23380" s="246">
        <f t="shared" si="403"/>
        <v>0</v>
      </c>
    </row>
    <row r="23381" spans="20:20" ht="18.75" customHeight="1" x14ac:dyDescent="0.35">
      <c r="T23381" s="246">
        <f t="shared" si="403"/>
        <v>0</v>
      </c>
    </row>
    <row r="23382" spans="20:20" ht="18.75" customHeight="1" x14ac:dyDescent="0.35">
      <c r="T23382" s="246">
        <f t="shared" si="403"/>
        <v>0</v>
      </c>
    </row>
    <row r="23383" spans="20:20" ht="18.75" customHeight="1" x14ac:dyDescent="0.35">
      <c r="T23383" s="246">
        <f t="shared" si="403"/>
        <v>0</v>
      </c>
    </row>
    <row r="23384" spans="20:20" ht="18.75" customHeight="1" x14ac:dyDescent="0.35">
      <c r="T23384" s="246">
        <f t="shared" si="403"/>
        <v>0</v>
      </c>
    </row>
    <row r="23385" spans="20:20" ht="18.75" customHeight="1" x14ac:dyDescent="0.35">
      <c r="T23385" s="246">
        <f t="shared" si="403"/>
        <v>0</v>
      </c>
    </row>
    <row r="23386" spans="20:20" ht="18.75" customHeight="1" x14ac:dyDescent="0.35">
      <c r="T23386" s="246">
        <f t="shared" si="403"/>
        <v>0</v>
      </c>
    </row>
    <row r="23387" spans="20:20" ht="18.75" customHeight="1" x14ac:dyDescent="0.35">
      <c r="T23387" s="246">
        <f t="shared" si="403"/>
        <v>0</v>
      </c>
    </row>
    <row r="23388" spans="20:20" ht="18.75" customHeight="1" x14ac:dyDescent="0.35">
      <c r="T23388" s="246">
        <f t="shared" si="403"/>
        <v>0</v>
      </c>
    </row>
    <row r="23389" spans="20:20" ht="18.75" customHeight="1" x14ac:dyDescent="0.35">
      <c r="T23389" s="246">
        <f t="shared" si="403"/>
        <v>0</v>
      </c>
    </row>
    <row r="23390" spans="20:20" ht="18.75" customHeight="1" x14ac:dyDescent="0.35">
      <c r="T23390" s="246">
        <f t="shared" si="403"/>
        <v>0</v>
      </c>
    </row>
    <row r="23391" spans="20:20" ht="18.75" customHeight="1" x14ac:dyDescent="0.35">
      <c r="T23391" s="246">
        <f t="shared" si="403"/>
        <v>0</v>
      </c>
    </row>
    <row r="23392" spans="20:20" ht="18.75" customHeight="1" x14ac:dyDescent="0.35">
      <c r="T23392" s="246">
        <f t="shared" si="403"/>
        <v>0</v>
      </c>
    </row>
    <row r="23393" spans="20:20" ht="18.75" customHeight="1" x14ac:dyDescent="0.35">
      <c r="T23393" s="246">
        <f t="shared" si="403"/>
        <v>0</v>
      </c>
    </row>
    <row r="23394" spans="20:20" ht="18.75" customHeight="1" x14ac:dyDescent="0.35">
      <c r="T23394" s="246">
        <f t="shared" si="403"/>
        <v>0</v>
      </c>
    </row>
    <row r="23395" spans="20:20" ht="18.75" customHeight="1" x14ac:dyDescent="0.35">
      <c r="T23395" s="246">
        <f t="shared" si="403"/>
        <v>0</v>
      </c>
    </row>
    <row r="23396" spans="20:20" ht="18.75" customHeight="1" x14ac:dyDescent="0.35">
      <c r="T23396" s="246">
        <f t="shared" si="403"/>
        <v>0</v>
      </c>
    </row>
    <row r="23397" spans="20:20" ht="18.75" customHeight="1" x14ac:dyDescent="0.35">
      <c r="T23397" s="246">
        <f t="shared" si="403"/>
        <v>0</v>
      </c>
    </row>
    <row r="23398" spans="20:20" ht="18.75" customHeight="1" x14ac:dyDescent="0.35">
      <c r="T23398" s="246">
        <f t="shared" si="403"/>
        <v>0</v>
      </c>
    </row>
    <row r="23399" spans="20:20" ht="18.75" customHeight="1" x14ac:dyDescent="0.35">
      <c r="T23399" s="246">
        <f t="shared" si="403"/>
        <v>0</v>
      </c>
    </row>
    <row r="23400" spans="20:20" ht="18.75" customHeight="1" x14ac:dyDescent="0.35">
      <c r="T23400" s="246">
        <f t="shared" si="403"/>
        <v>0</v>
      </c>
    </row>
    <row r="23401" spans="20:20" ht="18.75" customHeight="1" x14ac:dyDescent="0.35">
      <c r="T23401" s="246">
        <f t="shared" si="403"/>
        <v>0</v>
      </c>
    </row>
    <row r="23402" spans="20:20" ht="18.75" customHeight="1" x14ac:dyDescent="0.35">
      <c r="T23402" s="246">
        <f t="shared" si="403"/>
        <v>0</v>
      </c>
    </row>
    <row r="23403" spans="20:20" ht="18.75" customHeight="1" x14ac:dyDescent="0.35">
      <c r="T23403" s="246">
        <f t="shared" si="403"/>
        <v>0</v>
      </c>
    </row>
    <row r="23404" spans="20:20" ht="18.75" customHeight="1" x14ac:dyDescent="0.35">
      <c r="T23404" s="246">
        <f t="shared" si="403"/>
        <v>0</v>
      </c>
    </row>
    <row r="23405" spans="20:20" ht="18.75" customHeight="1" x14ac:dyDescent="0.35">
      <c r="T23405" s="246">
        <f t="shared" si="403"/>
        <v>0</v>
      </c>
    </row>
    <row r="23406" spans="20:20" ht="18.75" customHeight="1" x14ac:dyDescent="0.35">
      <c r="T23406" s="246">
        <f t="shared" si="403"/>
        <v>0</v>
      </c>
    </row>
    <row r="23407" spans="20:20" ht="18.75" customHeight="1" x14ac:dyDescent="0.35">
      <c r="T23407" s="246">
        <f t="shared" si="403"/>
        <v>0</v>
      </c>
    </row>
    <row r="23408" spans="20:20" ht="18.75" customHeight="1" x14ac:dyDescent="0.35">
      <c r="T23408" s="246">
        <f t="shared" si="403"/>
        <v>0</v>
      </c>
    </row>
    <row r="23409" spans="20:20" ht="18.75" customHeight="1" x14ac:dyDescent="0.35">
      <c r="T23409" s="246">
        <f t="shared" si="403"/>
        <v>0</v>
      </c>
    </row>
    <row r="23410" spans="20:20" ht="18.75" customHeight="1" x14ac:dyDescent="0.35">
      <c r="T23410" s="246">
        <f t="shared" si="403"/>
        <v>0</v>
      </c>
    </row>
    <row r="23411" spans="20:20" ht="18.75" customHeight="1" x14ac:dyDescent="0.35">
      <c r="T23411" s="246">
        <f t="shared" si="403"/>
        <v>0</v>
      </c>
    </row>
    <row r="23412" spans="20:20" ht="18.75" customHeight="1" x14ac:dyDescent="0.35">
      <c r="T23412" s="246">
        <f t="shared" si="403"/>
        <v>0</v>
      </c>
    </row>
    <row r="23413" spans="20:20" ht="18.75" customHeight="1" x14ac:dyDescent="0.35">
      <c r="T23413" s="246">
        <f t="shared" si="403"/>
        <v>0</v>
      </c>
    </row>
    <row r="23414" spans="20:20" ht="18.75" customHeight="1" x14ac:dyDescent="0.35">
      <c r="T23414" s="246">
        <f t="shared" si="403"/>
        <v>0</v>
      </c>
    </row>
    <row r="23415" spans="20:20" ht="18.75" customHeight="1" x14ac:dyDescent="0.35">
      <c r="T23415" s="246">
        <f t="shared" si="403"/>
        <v>0</v>
      </c>
    </row>
    <row r="23416" spans="20:20" ht="18.75" customHeight="1" x14ac:dyDescent="0.35">
      <c r="T23416" s="246">
        <f t="shared" si="403"/>
        <v>0</v>
      </c>
    </row>
    <row r="23417" spans="20:20" ht="18.75" customHeight="1" x14ac:dyDescent="0.35">
      <c r="T23417" s="246">
        <f t="shared" si="403"/>
        <v>0</v>
      </c>
    </row>
    <row r="23418" spans="20:20" ht="18.75" customHeight="1" x14ac:dyDescent="0.35">
      <c r="T23418" s="246">
        <f t="shared" si="403"/>
        <v>0</v>
      </c>
    </row>
    <row r="23419" spans="20:20" ht="18.75" customHeight="1" x14ac:dyDescent="0.35">
      <c r="T23419" s="246">
        <f t="shared" si="403"/>
        <v>0</v>
      </c>
    </row>
    <row r="23420" spans="20:20" ht="18.75" customHeight="1" x14ac:dyDescent="0.35">
      <c r="T23420" s="246">
        <f t="shared" ref="T23420:T23483" si="404">R23420*0.01</f>
        <v>0</v>
      </c>
    </row>
    <row r="23421" spans="20:20" ht="18.75" customHeight="1" x14ac:dyDescent="0.35">
      <c r="T23421" s="246">
        <f t="shared" si="404"/>
        <v>0</v>
      </c>
    </row>
    <row r="23422" spans="20:20" ht="18.75" customHeight="1" x14ac:dyDescent="0.35">
      <c r="T23422" s="246">
        <f t="shared" si="404"/>
        <v>0</v>
      </c>
    </row>
    <row r="23423" spans="20:20" ht="18.75" customHeight="1" x14ac:dyDescent="0.35">
      <c r="T23423" s="246">
        <f t="shared" si="404"/>
        <v>0</v>
      </c>
    </row>
    <row r="23424" spans="20:20" ht="18.75" customHeight="1" x14ac:dyDescent="0.35">
      <c r="T23424" s="246">
        <f t="shared" si="404"/>
        <v>0</v>
      </c>
    </row>
    <row r="23425" spans="20:20" ht="18.75" customHeight="1" x14ac:dyDescent="0.35">
      <c r="T23425" s="246">
        <f t="shared" si="404"/>
        <v>0</v>
      </c>
    </row>
    <row r="23426" spans="20:20" ht="18.75" customHeight="1" x14ac:dyDescent="0.35">
      <c r="T23426" s="246">
        <f t="shared" si="404"/>
        <v>0</v>
      </c>
    </row>
    <row r="23427" spans="20:20" ht="18.75" customHeight="1" x14ac:dyDescent="0.35">
      <c r="T23427" s="246">
        <f t="shared" si="404"/>
        <v>0</v>
      </c>
    </row>
    <row r="23428" spans="20:20" ht="18.75" customHeight="1" x14ac:dyDescent="0.35">
      <c r="T23428" s="246">
        <f t="shared" si="404"/>
        <v>0</v>
      </c>
    </row>
    <row r="23429" spans="20:20" ht="18.75" customHeight="1" x14ac:dyDescent="0.35">
      <c r="T23429" s="246">
        <f t="shared" si="404"/>
        <v>0</v>
      </c>
    </row>
    <row r="23430" spans="20:20" ht="18.75" customHeight="1" x14ac:dyDescent="0.35">
      <c r="T23430" s="246">
        <f t="shared" si="404"/>
        <v>0</v>
      </c>
    </row>
    <row r="23431" spans="20:20" ht="18.75" customHeight="1" x14ac:dyDescent="0.35">
      <c r="T23431" s="246">
        <f t="shared" si="404"/>
        <v>0</v>
      </c>
    </row>
    <row r="23432" spans="20:20" ht="18.75" customHeight="1" x14ac:dyDescent="0.35">
      <c r="T23432" s="246">
        <f t="shared" si="404"/>
        <v>0</v>
      </c>
    </row>
    <row r="23433" spans="20:20" ht="18.75" customHeight="1" x14ac:dyDescent="0.35">
      <c r="T23433" s="246">
        <f t="shared" si="404"/>
        <v>0</v>
      </c>
    </row>
    <row r="23434" spans="20:20" ht="18.75" customHeight="1" x14ac:dyDescent="0.35">
      <c r="T23434" s="246">
        <f t="shared" si="404"/>
        <v>0</v>
      </c>
    </row>
    <row r="23435" spans="20:20" ht="18.75" customHeight="1" x14ac:dyDescent="0.35">
      <c r="T23435" s="246">
        <f t="shared" si="404"/>
        <v>0</v>
      </c>
    </row>
    <row r="23436" spans="20:20" ht="18.75" customHeight="1" x14ac:dyDescent="0.35">
      <c r="T23436" s="246">
        <f t="shared" si="404"/>
        <v>0</v>
      </c>
    </row>
    <row r="23437" spans="20:20" ht="18.75" customHeight="1" x14ac:dyDescent="0.35">
      <c r="T23437" s="246">
        <f t="shared" si="404"/>
        <v>0</v>
      </c>
    </row>
    <row r="23438" spans="20:20" ht="18.75" customHeight="1" x14ac:dyDescent="0.35">
      <c r="T23438" s="246">
        <f t="shared" si="404"/>
        <v>0</v>
      </c>
    </row>
    <row r="23439" spans="20:20" ht="18.75" customHeight="1" x14ac:dyDescent="0.35">
      <c r="T23439" s="246">
        <f t="shared" si="404"/>
        <v>0</v>
      </c>
    </row>
    <row r="23440" spans="20:20" ht="18.75" customHeight="1" x14ac:dyDescent="0.35">
      <c r="T23440" s="246">
        <f t="shared" si="404"/>
        <v>0</v>
      </c>
    </row>
    <row r="23441" spans="20:20" ht="18.75" customHeight="1" x14ac:dyDescent="0.35">
      <c r="T23441" s="246">
        <f t="shared" si="404"/>
        <v>0</v>
      </c>
    </row>
    <row r="23442" spans="20:20" ht="18.75" customHeight="1" x14ac:dyDescent="0.35">
      <c r="T23442" s="246">
        <f t="shared" si="404"/>
        <v>0</v>
      </c>
    </row>
    <row r="23443" spans="20:20" ht="18.75" customHeight="1" x14ac:dyDescent="0.35">
      <c r="T23443" s="246">
        <f t="shared" si="404"/>
        <v>0</v>
      </c>
    </row>
    <row r="23444" spans="20:20" ht="18.75" customHeight="1" x14ac:dyDescent="0.35">
      <c r="T23444" s="246">
        <f t="shared" si="404"/>
        <v>0</v>
      </c>
    </row>
    <row r="23445" spans="20:20" ht="18.75" customHeight="1" x14ac:dyDescent="0.35">
      <c r="T23445" s="246">
        <f t="shared" si="404"/>
        <v>0</v>
      </c>
    </row>
    <row r="23446" spans="20:20" ht="18.75" customHeight="1" x14ac:dyDescent="0.35">
      <c r="T23446" s="246">
        <f t="shared" si="404"/>
        <v>0</v>
      </c>
    </row>
    <row r="23447" spans="20:20" ht="18.75" customHeight="1" x14ac:dyDescent="0.35">
      <c r="T23447" s="246">
        <f t="shared" si="404"/>
        <v>0</v>
      </c>
    </row>
    <row r="23448" spans="20:20" ht="18.75" customHeight="1" x14ac:dyDescent="0.35">
      <c r="T23448" s="246">
        <f t="shared" si="404"/>
        <v>0</v>
      </c>
    </row>
    <row r="23449" spans="20:20" ht="18.75" customHeight="1" x14ac:dyDescent="0.35">
      <c r="T23449" s="246">
        <f t="shared" si="404"/>
        <v>0</v>
      </c>
    </row>
    <row r="23450" spans="20:20" ht="18.75" customHeight="1" x14ac:dyDescent="0.35">
      <c r="T23450" s="246">
        <f t="shared" si="404"/>
        <v>0</v>
      </c>
    </row>
    <row r="23451" spans="20:20" ht="18.75" customHeight="1" x14ac:dyDescent="0.35">
      <c r="T23451" s="246">
        <f t="shared" si="404"/>
        <v>0</v>
      </c>
    </row>
    <row r="23452" spans="20:20" ht="18.75" customHeight="1" x14ac:dyDescent="0.35">
      <c r="T23452" s="246">
        <f t="shared" si="404"/>
        <v>0</v>
      </c>
    </row>
    <row r="23453" spans="20:20" ht="18.75" customHeight="1" x14ac:dyDescent="0.35">
      <c r="T23453" s="246">
        <f t="shared" si="404"/>
        <v>0</v>
      </c>
    </row>
    <row r="23454" spans="20:20" ht="18.75" customHeight="1" x14ac:dyDescent="0.35">
      <c r="T23454" s="246">
        <f t="shared" si="404"/>
        <v>0</v>
      </c>
    </row>
    <row r="23455" spans="20:20" ht="18.75" customHeight="1" x14ac:dyDescent="0.35">
      <c r="T23455" s="246">
        <f t="shared" si="404"/>
        <v>0</v>
      </c>
    </row>
    <row r="23456" spans="20:20" ht="18.75" customHeight="1" x14ac:dyDescent="0.35">
      <c r="T23456" s="246">
        <f t="shared" si="404"/>
        <v>0</v>
      </c>
    </row>
    <row r="23457" spans="20:20" ht="18.75" customHeight="1" x14ac:dyDescent="0.35">
      <c r="T23457" s="246">
        <f t="shared" si="404"/>
        <v>0</v>
      </c>
    </row>
    <row r="23458" spans="20:20" ht="18.75" customHeight="1" x14ac:dyDescent="0.35">
      <c r="T23458" s="246">
        <f t="shared" si="404"/>
        <v>0</v>
      </c>
    </row>
    <row r="23459" spans="20:20" ht="18.75" customHeight="1" x14ac:dyDescent="0.35">
      <c r="T23459" s="246">
        <f t="shared" si="404"/>
        <v>0</v>
      </c>
    </row>
    <row r="23460" spans="20:20" ht="18.75" customHeight="1" x14ac:dyDescent="0.35">
      <c r="T23460" s="246">
        <f t="shared" si="404"/>
        <v>0</v>
      </c>
    </row>
    <row r="23461" spans="20:20" ht="18.75" customHeight="1" x14ac:dyDescent="0.35">
      <c r="T23461" s="246">
        <f t="shared" si="404"/>
        <v>0</v>
      </c>
    </row>
    <row r="23462" spans="20:20" ht="18.75" customHeight="1" x14ac:dyDescent="0.35">
      <c r="T23462" s="246">
        <f t="shared" si="404"/>
        <v>0</v>
      </c>
    </row>
    <row r="23463" spans="20:20" ht="18.75" customHeight="1" x14ac:dyDescent="0.35">
      <c r="T23463" s="246">
        <f t="shared" si="404"/>
        <v>0</v>
      </c>
    </row>
    <row r="23464" spans="20:20" ht="18.75" customHeight="1" x14ac:dyDescent="0.35">
      <c r="T23464" s="246">
        <f t="shared" si="404"/>
        <v>0</v>
      </c>
    </row>
    <row r="23465" spans="20:20" ht="18.75" customHeight="1" x14ac:dyDescent="0.35">
      <c r="T23465" s="246">
        <f t="shared" si="404"/>
        <v>0</v>
      </c>
    </row>
    <row r="23466" spans="20:20" ht="18.75" customHeight="1" x14ac:dyDescent="0.35">
      <c r="T23466" s="246">
        <f t="shared" si="404"/>
        <v>0</v>
      </c>
    </row>
    <row r="23467" spans="20:20" ht="18.75" customHeight="1" x14ac:dyDescent="0.35">
      <c r="T23467" s="246">
        <f t="shared" si="404"/>
        <v>0</v>
      </c>
    </row>
    <row r="23468" spans="20:20" ht="18.75" customHeight="1" x14ac:dyDescent="0.35">
      <c r="T23468" s="246">
        <f t="shared" si="404"/>
        <v>0</v>
      </c>
    </row>
    <row r="23469" spans="20:20" ht="18.75" customHeight="1" x14ac:dyDescent="0.35">
      <c r="T23469" s="246">
        <f t="shared" si="404"/>
        <v>0</v>
      </c>
    </row>
    <row r="23470" spans="20:20" ht="18.75" customHeight="1" x14ac:dyDescent="0.35">
      <c r="T23470" s="246">
        <f t="shared" si="404"/>
        <v>0</v>
      </c>
    </row>
    <row r="23471" spans="20:20" ht="18.75" customHeight="1" x14ac:dyDescent="0.35">
      <c r="T23471" s="246">
        <f t="shared" si="404"/>
        <v>0</v>
      </c>
    </row>
    <row r="23472" spans="20:20" ht="18.75" customHeight="1" x14ac:dyDescent="0.35">
      <c r="T23472" s="246">
        <f t="shared" si="404"/>
        <v>0</v>
      </c>
    </row>
    <row r="23473" spans="20:20" ht="18.75" customHeight="1" x14ac:dyDescent="0.35">
      <c r="T23473" s="246">
        <f t="shared" si="404"/>
        <v>0</v>
      </c>
    </row>
    <row r="23474" spans="20:20" ht="18.75" customHeight="1" x14ac:dyDescent="0.35">
      <c r="T23474" s="246">
        <f t="shared" si="404"/>
        <v>0</v>
      </c>
    </row>
    <row r="23475" spans="20:20" ht="18.75" customHeight="1" x14ac:dyDescent="0.35">
      <c r="T23475" s="246">
        <f t="shared" si="404"/>
        <v>0</v>
      </c>
    </row>
    <row r="23476" spans="20:20" ht="18.75" customHeight="1" x14ac:dyDescent="0.35">
      <c r="T23476" s="246">
        <f t="shared" si="404"/>
        <v>0</v>
      </c>
    </row>
    <row r="23477" spans="20:20" ht="18.75" customHeight="1" x14ac:dyDescent="0.35">
      <c r="T23477" s="246">
        <f t="shared" si="404"/>
        <v>0</v>
      </c>
    </row>
    <row r="23478" spans="20:20" ht="18.75" customHeight="1" x14ac:dyDescent="0.35">
      <c r="T23478" s="246">
        <f t="shared" si="404"/>
        <v>0</v>
      </c>
    </row>
    <row r="23479" spans="20:20" ht="18.75" customHeight="1" x14ac:dyDescent="0.35">
      <c r="T23479" s="246">
        <f t="shared" si="404"/>
        <v>0</v>
      </c>
    </row>
    <row r="23480" spans="20:20" ht="18.75" customHeight="1" x14ac:dyDescent="0.35">
      <c r="T23480" s="246">
        <f t="shared" si="404"/>
        <v>0</v>
      </c>
    </row>
    <row r="23481" spans="20:20" ht="18.75" customHeight="1" x14ac:dyDescent="0.35">
      <c r="T23481" s="246">
        <f t="shared" si="404"/>
        <v>0</v>
      </c>
    </row>
    <row r="23482" spans="20:20" ht="18.75" customHeight="1" x14ac:dyDescent="0.35">
      <c r="T23482" s="246">
        <f t="shared" si="404"/>
        <v>0</v>
      </c>
    </row>
    <row r="23483" spans="20:20" ht="18.75" customHeight="1" x14ac:dyDescent="0.35">
      <c r="T23483" s="246">
        <f t="shared" si="404"/>
        <v>0</v>
      </c>
    </row>
    <row r="23484" spans="20:20" ht="18.75" customHeight="1" x14ac:dyDescent="0.35">
      <c r="T23484" s="246">
        <f t="shared" ref="T23484:T23547" si="405">R23484*0.01</f>
        <v>0</v>
      </c>
    </row>
    <row r="23485" spans="20:20" ht="18.75" customHeight="1" x14ac:dyDescent="0.35">
      <c r="T23485" s="246">
        <f t="shared" si="405"/>
        <v>0</v>
      </c>
    </row>
    <row r="23486" spans="20:20" ht="18.75" customHeight="1" x14ac:dyDescent="0.35">
      <c r="T23486" s="246">
        <f t="shared" si="405"/>
        <v>0</v>
      </c>
    </row>
    <row r="23487" spans="20:20" ht="18.75" customHeight="1" x14ac:dyDescent="0.35">
      <c r="T23487" s="246">
        <f t="shared" si="405"/>
        <v>0</v>
      </c>
    </row>
    <row r="23488" spans="20:20" ht="18.75" customHeight="1" x14ac:dyDescent="0.35">
      <c r="T23488" s="246">
        <f t="shared" si="405"/>
        <v>0</v>
      </c>
    </row>
    <row r="23489" spans="20:20" ht="18.75" customHeight="1" x14ac:dyDescent="0.35">
      <c r="T23489" s="246">
        <f t="shared" si="405"/>
        <v>0</v>
      </c>
    </row>
    <row r="23490" spans="20:20" ht="18.75" customHeight="1" x14ac:dyDescent="0.35">
      <c r="T23490" s="246">
        <f t="shared" si="405"/>
        <v>0</v>
      </c>
    </row>
    <row r="23491" spans="20:20" ht="18.75" customHeight="1" x14ac:dyDescent="0.35">
      <c r="T23491" s="246">
        <f t="shared" si="405"/>
        <v>0</v>
      </c>
    </row>
    <row r="23492" spans="20:20" ht="18.75" customHeight="1" x14ac:dyDescent="0.35">
      <c r="T23492" s="246">
        <f t="shared" si="405"/>
        <v>0</v>
      </c>
    </row>
    <row r="23493" spans="20:20" ht="18.75" customHeight="1" x14ac:dyDescent="0.35">
      <c r="T23493" s="246">
        <f t="shared" si="405"/>
        <v>0</v>
      </c>
    </row>
    <row r="23494" spans="20:20" ht="18.75" customHeight="1" x14ac:dyDescent="0.35">
      <c r="T23494" s="246">
        <f t="shared" si="405"/>
        <v>0</v>
      </c>
    </row>
    <row r="23495" spans="20:20" ht="18.75" customHeight="1" x14ac:dyDescent="0.35">
      <c r="T23495" s="246">
        <f t="shared" si="405"/>
        <v>0</v>
      </c>
    </row>
    <row r="23496" spans="20:20" ht="18.75" customHeight="1" x14ac:dyDescent="0.35">
      <c r="T23496" s="246">
        <f t="shared" si="405"/>
        <v>0</v>
      </c>
    </row>
    <row r="23497" spans="20:20" ht="18.75" customHeight="1" x14ac:dyDescent="0.35">
      <c r="T23497" s="246">
        <f t="shared" si="405"/>
        <v>0</v>
      </c>
    </row>
    <row r="23498" spans="20:20" ht="18.75" customHeight="1" x14ac:dyDescent="0.35">
      <c r="T23498" s="246">
        <f t="shared" si="405"/>
        <v>0</v>
      </c>
    </row>
    <row r="23499" spans="20:20" ht="18.75" customHeight="1" x14ac:dyDescent="0.35">
      <c r="T23499" s="246">
        <f t="shared" si="405"/>
        <v>0</v>
      </c>
    </row>
    <row r="23500" spans="20:20" ht="18.75" customHeight="1" x14ac:dyDescent="0.35">
      <c r="T23500" s="246">
        <f t="shared" si="405"/>
        <v>0</v>
      </c>
    </row>
    <row r="23501" spans="20:20" ht="18.75" customHeight="1" x14ac:dyDescent="0.35">
      <c r="T23501" s="246">
        <f t="shared" si="405"/>
        <v>0</v>
      </c>
    </row>
    <row r="23502" spans="20:20" ht="18.75" customHeight="1" x14ac:dyDescent="0.35">
      <c r="T23502" s="246">
        <f t="shared" si="405"/>
        <v>0</v>
      </c>
    </row>
    <row r="23503" spans="20:20" ht="18.75" customHeight="1" x14ac:dyDescent="0.35">
      <c r="T23503" s="246">
        <f t="shared" si="405"/>
        <v>0</v>
      </c>
    </row>
    <row r="23504" spans="20:20" ht="18.75" customHeight="1" x14ac:dyDescent="0.35">
      <c r="T23504" s="246">
        <f t="shared" si="405"/>
        <v>0</v>
      </c>
    </row>
    <row r="23505" spans="20:20" ht="18.75" customHeight="1" x14ac:dyDescent="0.35">
      <c r="T23505" s="246">
        <f t="shared" si="405"/>
        <v>0</v>
      </c>
    </row>
    <row r="23506" spans="20:20" ht="18.75" customHeight="1" x14ac:dyDescent="0.35">
      <c r="T23506" s="246">
        <f t="shared" si="405"/>
        <v>0</v>
      </c>
    </row>
    <row r="23507" spans="20:20" ht="18.75" customHeight="1" x14ac:dyDescent="0.35">
      <c r="T23507" s="246">
        <f t="shared" si="405"/>
        <v>0</v>
      </c>
    </row>
    <row r="23508" spans="20:20" ht="18.75" customHeight="1" x14ac:dyDescent="0.35">
      <c r="T23508" s="246">
        <f t="shared" si="405"/>
        <v>0</v>
      </c>
    </row>
    <row r="23509" spans="20:20" ht="18.75" customHeight="1" x14ac:dyDescent="0.35">
      <c r="T23509" s="246">
        <f t="shared" si="405"/>
        <v>0</v>
      </c>
    </row>
    <row r="23510" spans="20:20" ht="18.75" customHeight="1" x14ac:dyDescent="0.35">
      <c r="T23510" s="246">
        <f t="shared" si="405"/>
        <v>0</v>
      </c>
    </row>
    <row r="23511" spans="20:20" ht="18.75" customHeight="1" x14ac:dyDescent="0.35">
      <c r="T23511" s="246">
        <f t="shared" si="405"/>
        <v>0</v>
      </c>
    </row>
    <row r="23512" spans="20:20" ht="18.75" customHeight="1" x14ac:dyDescent="0.35">
      <c r="T23512" s="246">
        <f t="shared" si="405"/>
        <v>0</v>
      </c>
    </row>
    <row r="23513" spans="20:20" ht="18.75" customHeight="1" x14ac:dyDescent="0.35">
      <c r="T23513" s="246">
        <f t="shared" si="405"/>
        <v>0</v>
      </c>
    </row>
    <row r="23514" spans="20:20" ht="18.75" customHeight="1" x14ac:dyDescent="0.35">
      <c r="T23514" s="246">
        <f t="shared" si="405"/>
        <v>0</v>
      </c>
    </row>
    <row r="23515" spans="20:20" ht="18.75" customHeight="1" x14ac:dyDescent="0.35">
      <c r="T23515" s="246">
        <f t="shared" si="405"/>
        <v>0</v>
      </c>
    </row>
    <row r="23516" spans="20:20" ht="18.75" customHeight="1" x14ac:dyDescent="0.35">
      <c r="T23516" s="246">
        <f t="shared" si="405"/>
        <v>0</v>
      </c>
    </row>
    <row r="23517" spans="20:20" ht="18.75" customHeight="1" x14ac:dyDescent="0.35">
      <c r="T23517" s="246">
        <f t="shared" si="405"/>
        <v>0</v>
      </c>
    </row>
    <row r="23518" spans="20:20" ht="18.75" customHeight="1" x14ac:dyDescent="0.35">
      <c r="T23518" s="246">
        <f t="shared" si="405"/>
        <v>0</v>
      </c>
    </row>
    <row r="23519" spans="20:20" ht="18.75" customHeight="1" x14ac:dyDescent="0.35">
      <c r="T23519" s="246">
        <f t="shared" si="405"/>
        <v>0</v>
      </c>
    </row>
    <row r="23520" spans="20:20" ht="18.75" customHeight="1" x14ac:dyDescent="0.35">
      <c r="T23520" s="246">
        <f t="shared" si="405"/>
        <v>0</v>
      </c>
    </row>
    <row r="23521" spans="20:20" ht="18.75" customHeight="1" x14ac:dyDescent="0.35">
      <c r="T23521" s="246">
        <f t="shared" si="405"/>
        <v>0</v>
      </c>
    </row>
    <row r="23522" spans="20:20" ht="18.75" customHeight="1" x14ac:dyDescent="0.35">
      <c r="T23522" s="246">
        <f t="shared" si="405"/>
        <v>0</v>
      </c>
    </row>
    <row r="23523" spans="20:20" ht="18.75" customHeight="1" x14ac:dyDescent="0.35">
      <c r="T23523" s="246">
        <f t="shared" si="405"/>
        <v>0</v>
      </c>
    </row>
    <row r="23524" spans="20:20" ht="18.75" customHeight="1" x14ac:dyDescent="0.35">
      <c r="T23524" s="246">
        <f t="shared" si="405"/>
        <v>0</v>
      </c>
    </row>
    <row r="23525" spans="20:20" ht="18.75" customHeight="1" x14ac:dyDescent="0.35">
      <c r="T23525" s="246">
        <f t="shared" si="405"/>
        <v>0</v>
      </c>
    </row>
    <row r="23526" spans="20:20" ht="18.75" customHeight="1" x14ac:dyDescent="0.35">
      <c r="T23526" s="246">
        <f t="shared" si="405"/>
        <v>0</v>
      </c>
    </row>
    <row r="23527" spans="20:20" ht="18.75" customHeight="1" x14ac:dyDescent="0.35">
      <c r="T23527" s="246">
        <f t="shared" si="405"/>
        <v>0</v>
      </c>
    </row>
    <row r="23528" spans="20:20" ht="18.75" customHeight="1" x14ac:dyDescent="0.35">
      <c r="T23528" s="246">
        <f t="shared" si="405"/>
        <v>0</v>
      </c>
    </row>
    <row r="23529" spans="20:20" ht="18.75" customHeight="1" x14ac:dyDescent="0.35">
      <c r="T23529" s="246">
        <f t="shared" si="405"/>
        <v>0</v>
      </c>
    </row>
    <row r="23530" spans="20:20" ht="18.75" customHeight="1" x14ac:dyDescent="0.35">
      <c r="T23530" s="246">
        <f t="shared" si="405"/>
        <v>0</v>
      </c>
    </row>
    <row r="23531" spans="20:20" ht="18.75" customHeight="1" x14ac:dyDescent="0.35">
      <c r="T23531" s="246">
        <f t="shared" si="405"/>
        <v>0</v>
      </c>
    </row>
    <row r="23532" spans="20:20" ht="18.75" customHeight="1" x14ac:dyDescent="0.35">
      <c r="T23532" s="246">
        <f t="shared" si="405"/>
        <v>0</v>
      </c>
    </row>
    <row r="23533" spans="20:20" ht="18.75" customHeight="1" x14ac:dyDescent="0.35">
      <c r="T23533" s="246">
        <f t="shared" si="405"/>
        <v>0</v>
      </c>
    </row>
    <row r="23534" spans="20:20" ht="18.75" customHeight="1" x14ac:dyDescent="0.35">
      <c r="T23534" s="246">
        <f t="shared" si="405"/>
        <v>0</v>
      </c>
    </row>
    <row r="23535" spans="20:20" ht="18.75" customHeight="1" x14ac:dyDescent="0.35">
      <c r="T23535" s="246">
        <f t="shared" si="405"/>
        <v>0</v>
      </c>
    </row>
    <row r="23536" spans="20:20" ht="18.75" customHeight="1" x14ac:dyDescent="0.35">
      <c r="T23536" s="246">
        <f t="shared" si="405"/>
        <v>0</v>
      </c>
    </row>
    <row r="23537" spans="20:20" ht="18.75" customHeight="1" x14ac:dyDescent="0.35">
      <c r="T23537" s="246">
        <f t="shared" si="405"/>
        <v>0</v>
      </c>
    </row>
    <row r="23538" spans="20:20" ht="18.75" customHeight="1" x14ac:dyDescent="0.35">
      <c r="T23538" s="246">
        <f t="shared" si="405"/>
        <v>0</v>
      </c>
    </row>
    <row r="23539" spans="20:20" ht="18.75" customHeight="1" x14ac:dyDescent="0.35">
      <c r="T23539" s="246">
        <f t="shared" si="405"/>
        <v>0</v>
      </c>
    </row>
    <row r="23540" spans="20:20" ht="18.75" customHeight="1" x14ac:dyDescent="0.35">
      <c r="T23540" s="246">
        <f t="shared" si="405"/>
        <v>0</v>
      </c>
    </row>
    <row r="23541" spans="20:20" ht="18.75" customHeight="1" x14ac:dyDescent="0.35">
      <c r="T23541" s="246">
        <f t="shared" si="405"/>
        <v>0</v>
      </c>
    </row>
    <row r="23542" spans="20:20" ht="18.75" customHeight="1" x14ac:dyDescent="0.35">
      <c r="T23542" s="246">
        <f t="shared" si="405"/>
        <v>0</v>
      </c>
    </row>
    <row r="23543" spans="20:20" ht="18.75" customHeight="1" x14ac:dyDescent="0.35">
      <c r="T23543" s="246">
        <f t="shared" si="405"/>
        <v>0</v>
      </c>
    </row>
    <row r="23544" spans="20:20" ht="18.75" customHeight="1" x14ac:dyDescent="0.35">
      <c r="T23544" s="246">
        <f t="shared" si="405"/>
        <v>0</v>
      </c>
    </row>
    <row r="23545" spans="20:20" ht="18.75" customHeight="1" x14ac:dyDescent="0.35">
      <c r="T23545" s="246">
        <f t="shared" si="405"/>
        <v>0</v>
      </c>
    </row>
    <row r="23546" spans="20:20" ht="18.75" customHeight="1" x14ac:dyDescent="0.35">
      <c r="T23546" s="246">
        <f t="shared" si="405"/>
        <v>0</v>
      </c>
    </row>
    <row r="23547" spans="20:20" ht="18.75" customHeight="1" x14ac:dyDescent="0.35">
      <c r="T23547" s="246">
        <f t="shared" si="405"/>
        <v>0</v>
      </c>
    </row>
    <row r="23548" spans="20:20" ht="18.75" customHeight="1" x14ac:dyDescent="0.35">
      <c r="T23548" s="246">
        <f t="shared" ref="T23548:T23611" si="406">R23548*0.01</f>
        <v>0</v>
      </c>
    </row>
    <row r="23549" spans="20:20" ht="18.75" customHeight="1" x14ac:dyDescent="0.35">
      <c r="T23549" s="246">
        <f t="shared" si="406"/>
        <v>0</v>
      </c>
    </row>
    <row r="23550" spans="20:20" ht="18.75" customHeight="1" x14ac:dyDescent="0.35">
      <c r="T23550" s="246">
        <f t="shared" si="406"/>
        <v>0</v>
      </c>
    </row>
    <row r="23551" spans="20:20" ht="18.75" customHeight="1" x14ac:dyDescent="0.35">
      <c r="T23551" s="246">
        <f t="shared" si="406"/>
        <v>0</v>
      </c>
    </row>
    <row r="23552" spans="20:20" ht="18.75" customHeight="1" x14ac:dyDescent="0.35">
      <c r="T23552" s="246">
        <f t="shared" si="406"/>
        <v>0</v>
      </c>
    </row>
    <row r="23553" spans="20:20" ht="18.75" customHeight="1" x14ac:dyDescent="0.35">
      <c r="T23553" s="246">
        <f t="shared" si="406"/>
        <v>0</v>
      </c>
    </row>
    <row r="23554" spans="20:20" ht="18.75" customHeight="1" x14ac:dyDescent="0.35">
      <c r="T23554" s="246">
        <f t="shared" si="406"/>
        <v>0</v>
      </c>
    </row>
    <row r="23555" spans="20:20" ht="18.75" customHeight="1" x14ac:dyDescent="0.35">
      <c r="T23555" s="246">
        <f t="shared" si="406"/>
        <v>0</v>
      </c>
    </row>
    <row r="23556" spans="20:20" ht="18.75" customHeight="1" x14ac:dyDescent="0.35">
      <c r="T23556" s="246">
        <f t="shared" si="406"/>
        <v>0</v>
      </c>
    </row>
    <row r="23557" spans="20:20" ht="18.75" customHeight="1" x14ac:dyDescent="0.35">
      <c r="T23557" s="246">
        <f t="shared" si="406"/>
        <v>0</v>
      </c>
    </row>
    <row r="23558" spans="20:20" ht="18.75" customHeight="1" x14ac:dyDescent="0.35">
      <c r="T23558" s="246">
        <f t="shared" si="406"/>
        <v>0</v>
      </c>
    </row>
    <row r="23559" spans="20:20" ht="18.75" customHeight="1" x14ac:dyDescent="0.35">
      <c r="T23559" s="246">
        <f t="shared" si="406"/>
        <v>0</v>
      </c>
    </row>
    <row r="23560" spans="20:20" ht="18.75" customHeight="1" x14ac:dyDescent="0.35">
      <c r="T23560" s="246">
        <f t="shared" si="406"/>
        <v>0</v>
      </c>
    </row>
    <row r="23561" spans="20:20" ht="18.75" customHeight="1" x14ac:dyDescent="0.35">
      <c r="T23561" s="246">
        <f t="shared" si="406"/>
        <v>0</v>
      </c>
    </row>
    <row r="23562" spans="20:20" ht="18.75" customHeight="1" x14ac:dyDescent="0.35">
      <c r="T23562" s="246">
        <f t="shared" si="406"/>
        <v>0</v>
      </c>
    </row>
    <row r="23563" spans="20:20" ht="18.75" customHeight="1" x14ac:dyDescent="0.35">
      <c r="T23563" s="246">
        <f t="shared" si="406"/>
        <v>0</v>
      </c>
    </row>
    <row r="23564" spans="20:20" ht="18.75" customHeight="1" x14ac:dyDescent="0.35">
      <c r="T23564" s="246">
        <f t="shared" si="406"/>
        <v>0</v>
      </c>
    </row>
    <row r="23565" spans="20:20" ht="18.75" customHeight="1" x14ac:dyDescent="0.35">
      <c r="T23565" s="246">
        <f t="shared" si="406"/>
        <v>0</v>
      </c>
    </row>
    <row r="23566" spans="20:20" ht="18.75" customHeight="1" x14ac:dyDescent="0.35">
      <c r="T23566" s="246">
        <f t="shared" si="406"/>
        <v>0</v>
      </c>
    </row>
    <row r="23567" spans="20:20" ht="18.75" customHeight="1" x14ac:dyDescent="0.35">
      <c r="T23567" s="246">
        <f t="shared" si="406"/>
        <v>0</v>
      </c>
    </row>
    <row r="23568" spans="20:20" ht="18.75" customHeight="1" x14ac:dyDescent="0.35">
      <c r="T23568" s="246">
        <f t="shared" si="406"/>
        <v>0</v>
      </c>
    </row>
    <row r="23569" spans="20:20" ht="18.75" customHeight="1" x14ac:dyDescent="0.35">
      <c r="T23569" s="246">
        <f t="shared" si="406"/>
        <v>0</v>
      </c>
    </row>
    <row r="23570" spans="20:20" ht="18.75" customHeight="1" x14ac:dyDescent="0.35">
      <c r="T23570" s="246">
        <f t="shared" si="406"/>
        <v>0</v>
      </c>
    </row>
    <row r="23571" spans="20:20" ht="18.75" customHeight="1" x14ac:dyDescent="0.35">
      <c r="T23571" s="246">
        <f t="shared" si="406"/>
        <v>0</v>
      </c>
    </row>
    <row r="23572" spans="20:20" ht="18.75" customHeight="1" x14ac:dyDescent="0.35">
      <c r="T23572" s="246">
        <f t="shared" si="406"/>
        <v>0</v>
      </c>
    </row>
    <row r="23573" spans="20:20" ht="18.75" customHeight="1" x14ac:dyDescent="0.35">
      <c r="T23573" s="246">
        <f t="shared" si="406"/>
        <v>0</v>
      </c>
    </row>
    <row r="23574" spans="20:20" ht="18.75" customHeight="1" x14ac:dyDescent="0.35">
      <c r="T23574" s="246">
        <f t="shared" si="406"/>
        <v>0</v>
      </c>
    </row>
    <row r="23575" spans="20:20" ht="18.75" customHeight="1" x14ac:dyDescent="0.35">
      <c r="T23575" s="246">
        <f t="shared" si="406"/>
        <v>0</v>
      </c>
    </row>
    <row r="23576" spans="20:20" ht="18.75" customHeight="1" x14ac:dyDescent="0.35">
      <c r="T23576" s="246">
        <f t="shared" si="406"/>
        <v>0</v>
      </c>
    </row>
    <row r="23577" spans="20:20" ht="18.75" customHeight="1" x14ac:dyDescent="0.35">
      <c r="T23577" s="246">
        <f t="shared" si="406"/>
        <v>0</v>
      </c>
    </row>
    <row r="23578" spans="20:20" ht="18.75" customHeight="1" x14ac:dyDescent="0.35">
      <c r="T23578" s="246">
        <f t="shared" si="406"/>
        <v>0</v>
      </c>
    </row>
    <row r="23579" spans="20:20" ht="18.75" customHeight="1" x14ac:dyDescent="0.35">
      <c r="T23579" s="246">
        <f t="shared" si="406"/>
        <v>0</v>
      </c>
    </row>
    <row r="23580" spans="20:20" ht="18.75" customHeight="1" x14ac:dyDescent="0.35">
      <c r="T23580" s="246">
        <f t="shared" si="406"/>
        <v>0</v>
      </c>
    </row>
    <row r="23581" spans="20:20" ht="18.75" customHeight="1" x14ac:dyDescent="0.35">
      <c r="T23581" s="246">
        <f t="shared" si="406"/>
        <v>0</v>
      </c>
    </row>
    <row r="23582" spans="20:20" ht="18.75" customHeight="1" x14ac:dyDescent="0.35">
      <c r="T23582" s="246">
        <f t="shared" si="406"/>
        <v>0</v>
      </c>
    </row>
    <row r="23583" spans="20:20" ht="18.75" customHeight="1" x14ac:dyDescent="0.35">
      <c r="T23583" s="246">
        <f t="shared" si="406"/>
        <v>0</v>
      </c>
    </row>
    <row r="23584" spans="20:20" ht="18.75" customHeight="1" x14ac:dyDescent="0.35">
      <c r="T23584" s="246">
        <f t="shared" si="406"/>
        <v>0</v>
      </c>
    </row>
    <row r="23585" spans="20:20" ht="18.75" customHeight="1" x14ac:dyDescent="0.35">
      <c r="T23585" s="246">
        <f t="shared" si="406"/>
        <v>0</v>
      </c>
    </row>
    <row r="23586" spans="20:20" ht="18.75" customHeight="1" x14ac:dyDescent="0.35">
      <c r="T23586" s="246">
        <f t="shared" si="406"/>
        <v>0</v>
      </c>
    </row>
    <row r="23587" spans="20:20" ht="18.75" customHeight="1" x14ac:dyDescent="0.35">
      <c r="T23587" s="246">
        <f t="shared" si="406"/>
        <v>0</v>
      </c>
    </row>
    <row r="23588" spans="20:20" ht="18.75" customHeight="1" x14ac:dyDescent="0.35">
      <c r="T23588" s="246">
        <f t="shared" si="406"/>
        <v>0</v>
      </c>
    </row>
    <row r="23589" spans="20:20" ht="18.75" customHeight="1" x14ac:dyDescent="0.35">
      <c r="T23589" s="246">
        <f t="shared" si="406"/>
        <v>0</v>
      </c>
    </row>
    <row r="23590" spans="20:20" ht="18.75" customHeight="1" x14ac:dyDescent="0.35">
      <c r="T23590" s="246">
        <f t="shared" si="406"/>
        <v>0</v>
      </c>
    </row>
    <row r="23591" spans="20:20" ht="18.75" customHeight="1" x14ac:dyDescent="0.35">
      <c r="T23591" s="246">
        <f t="shared" si="406"/>
        <v>0</v>
      </c>
    </row>
    <row r="23592" spans="20:20" ht="18.75" customHeight="1" x14ac:dyDescent="0.35">
      <c r="T23592" s="246">
        <f t="shared" si="406"/>
        <v>0</v>
      </c>
    </row>
    <row r="23593" spans="20:20" ht="18.75" customHeight="1" x14ac:dyDescent="0.35">
      <c r="T23593" s="246">
        <f t="shared" si="406"/>
        <v>0</v>
      </c>
    </row>
    <row r="23594" spans="20:20" ht="18.75" customHeight="1" x14ac:dyDescent="0.35">
      <c r="T23594" s="246">
        <f t="shared" si="406"/>
        <v>0</v>
      </c>
    </row>
    <row r="23595" spans="20:20" ht="18.75" customHeight="1" x14ac:dyDescent="0.35">
      <c r="T23595" s="246">
        <f t="shared" si="406"/>
        <v>0</v>
      </c>
    </row>
    <row r="23596" spans="20:20" ht="18.75" customHeight="1" x14ac:dyDescent="0.35">
      <c r="T23596" s="246">
        <f t="shared" si="406"/>
        <v>0</v>
      </c>
    </row>
    <row r="23597" spans="20:20" ht="18.75" customHeight="1" x14ac:dyDescent="0.35">
      <c r="T23597" s="246">
        <f t="shared" si="406"/>
        <v>0</v>
      </c>
    </row>
    <row r="23598" spans="20:20" ht="18.75" customHeight="1" x14ac:dyDescent="0.35">
      <c r="T23598" s="246">
        <f t="shared" si="406"/>
        <v>0</v>
      </c>
    </row>
    <row r="23599" spans="20:20" ht="18.75" customHeight="1" x14ac:dyDescent="0.35">
      <c r="T23599" s="246">
        <f t="shared" si="406"/>
        <v>0</v>
      </c>
    </row>
    <row r="23600" spans="20:20" ht="18.75" customHeight="1" x14ac:dyDescent="0.35">
      <c r="T23600" s="246">
        <f t="shared" si="406"/>
        <v>0</v>
      </c>
    </row>
    <row r="23601" spans="20:20" ht="18.75" customHeight="1" x14ac:dyDescent="0.35">
      <c r="T23601" s="246">
        <f t="shared" si="406"/>
        <v>0</v>
      </c>
    </row>
    <row r="23602" spans="20:20" ht="18.75" customHeight="1" x14ac:dyDescent="0.35">
      <c r="T23602" s="246">
        <f t="shared" si="406"/>
        <v>0</v>
      </c>
    </row>
    <row r="23603" spans="20:20" ht="18.75" customHeight="1" x14ac:dyDescent="0.35">
      <c r="T23603" s="246">
        <f t="shared" si="406"/>
        <v>0</v>
      </c>
    </row>
    <row r="23604" spans="20:20" ht="18.75" customHeight="1" x14ac:dyDescent="0.35">
      <c r="T23604" s="246">
        <f t="shared" si="406"/>
        <v>0</v>
      </c>
    </row>
    <row r="23605" spans="20:20" ht="18.75" customHeight="1" x14ac:dyDescent="0.35">
      <c r="T23605" s="246">
        <f t="shared" si="406"/>
        <v>0</v>
      </c>
    </row>
    <row r="23606" spans="20:20" ht="18.75" customHeight="1" x14ac:dyDescent="0.35">
      <c r="T23606" s="246">
        <f t="shared" si="406"/>
        <v>0</v>
      </c>
    </row>
    <row r="23607" spans="20:20" ht="18.75" customHeight="1" x14ac:dyDescent="0.35">
      <c r="T23607" s="246">
        <f t="shared" si="406"/>
        <v>0</v>
      </c>
    </row>
    <row r="23608" spans="20:20" ht="18.75" customHeight="1" x14ac:dyDescent="0.35">
      <c r="T23608" s="246">
        <f t="shared" si="406"/>
        <v>0</v>
      </c>
    </row>
    <row r="23609" spans="20:20" ht="18.75" customHeight="1" x14ac:dyDescent="0.35">
      <c r="T23609" s="246">
        <f t="shared" si="406"/>
        <v>0</v>
      </c>
    </row>
    <row r="23610" spans="20:20" ht="18.75" customHeight="1" x14ac:dyDescent="0.35">
      <c r="T23610" s="246">
        <f t="shared" si="406"/>
        <v>0</v>
      </c>
    </row>
    <row r="23611" spans="20:20" ht="18.75" customHeight="1" x14ac:dyDescent="0.35">
      <c r="T23611" s="246">
        <f t="shared" si="406"/>
        <v>0</v>
      </c>
    </row>
    <row r="23612" spans="20:20" ht="18.75" customHeight="1" x14ac:dyDescent="0.35">
      <c r="T23612" s="246">
        <f t="shared" ref="T23612:T23675" si="407">R23612*0.01</f>
        <v>0</v>
      </c>
    </row>
    <row r="23613" spans="20:20" ht="18.75" customHeight="1" x14ac:dyDescent="0.35">
      <c r="T23613" s="246">
        <f t="shared" si="407"/>
        <v>0</v>
      </c>
    </row>
    <row r="23614" spans="20:20" ht="18.75" customHeight="1" x14ac:dyDescent="0.35">
      <c r="T23614" s="246">
        <f t="shared" si="407"/>
        <v>0</v>
      </c>
    </row>
    <row r="23615" spans="20:20" ht="18.75" customHeight="1" x14ac:dyDescent="0.35">
      <c r="T23615" s="246">
        <f t="shared" si="407"/>
        <v>0</v>
      </c>
    </row>
    <row r="23616" spans="20:20" ht="18.75" customHeight="1" x14ac:dyDescent="0.35">
      <c r="T23616" s="246">
        <f t="shared" si="407"/>
        <v>0</v>
      </c>
    </row>
    <row r="23617" spans="20:20" ht="18.75" customHeight="1" x14ac:dyDescent="0.35">
      <c r="T23617" s="246">
        <f t="shared" si="407"/>
        <v>0</v>
      </c>
    </row>
    <row r="23618" spans="20:20" ht="18.75" customHeight="1" x14ac:dyDescent="0.35">
      <c r="T23618" s="246">
        <f t="shared" si="407"/>
        <v>0</v>
      </c>
    </row>
    <row r="23619" spans="20:20" ht="18.75" customHeight="1" x14ac:dyDescent="0.35">
      <c r="T23619" s="246">
        <f t="shared" si="407"/>
        <v>0</v>
      </c>
    </row>
    <row r="23620" spans="20:20" ht="18.75" customHeight="1" x14ac:dyDescent="0.35">
      <c r="T23620" s="246">
        <f t="shared" si="407"/>
        <v>0</v>
      </c>
    </row>
    <row r="23621" spans="20:20" ht="18.75" customHeight="1" x14ac:dyDescent="0.35">
      <c r="T23621" s="246">
        <f t="shared" si="407"/>
        <v>0</v>
      </c>
    </row>
    <row r="23622" spans="20:20" ht="18.75" customHeight="1" x14ac:dyDescent="0.35">
      <c r="T23622" s="246">
        <f t="shared" si="407"/>
        <v>0</v>
      </c>
    </row>
    <row r="23623" spans="20:20" ht="18.75" customHeight="1" x14ac:dyDescent="0.35">
      <c r="T23623" s="246">
        <f t="shared" si="407"/>
        <v>0</v>
      </c>
    </row>
    <row r="23624" spans="20:20" ht="18.75" customHeight="1" x14ac:dyDescent="0.35">
      <c r="T23624" s="246">
        <f t="shared" si="407"/>
        <v>0</v>
      </c>
    </row>
    <row r="23625" spans="20:20" ht="18.75" customHeight="1" x14ac:dyDescent="0.35">
      <c r="T23625" s="246">
        <f t="shared" si="407"/>
        <v>0</v>
      </c>
    </row>
    <row r="23626" spans="20:20" ht="18.75" customHeight="1" x14ac:dyDescent="0.35">
      <c r="T23626" s="246">
        <f t="shared" si="407"/>
        <v>0</v>
      </c>
    </row>
    <row r="23627" spans="20:20" ht="18.75" customHeight="1" x14ac:dyDescent="0.35">
      <c r="T23627" s="246">
        <f t="shared" si="407"/>
        <v>0</v>
      </c>
    </row>
    <row r="23628" spans="20:20" ht="18.75" customHeight="1" x14ac:dyDescent="0.35">
      <c r="T23628" s="246">
        <f t="shared" si="407"/>
        <v>0</v>
      </c>
    </row>
    <row r="23629" spans="20:20" ht="18.75" customHeight="1" x14ac:dyDescent="0.35">
      <c r="T23629" s="246">
        <f t="shared" si="407"/>
        <v>0</v>
      </c>
    </row>
    <row r="23630" spans="20:20" ht="18.75" customHeight="1" x14ac:dyDescent="0.35">
      <c r="T23630" s="246">
        <f t="shared" si="407"/>
        <v>0</v>
      </c>
    </row>
    <row r="23631" spans="20:20" ht="18.75" customHeight="1" x14ac:dyDescent="0.35">
      <c r="T23631" s="246">
        <f t="shared" si="407"/>
        <v>0</v>
      </c>
    </row>
    <row r="23632" spans="20:20" ht="18.75" customHeight="1" x14ac:dyDescent="0.35">
      <c r="T23632" s="246">
        <f t="shared" si="407"/>
        <v>0</v>
      </c>
    </row>
    <row r="23633" spans="20:20" ht="18.75" customHeight="1" x14ac:dyDescent="0.35">
      <c r="T23633" s="246">
        <f t="shared" si="407"/>
        <v>0</v>
      </c>
    </row>
    <row r="23634" spans="20:20" ht="18.75" customHeight="1" x14ac:dyDescent="0.35">
      <c r="T23634" s="246">
        <f t="shared" si="407"/>
        <v>0</v>
      </c>
    </row>
    <row r="23635" spans="20:20" ht="18.75" customHeight="1" x14ac:dyDescent="0.35">
      <c r="T23635" s="246">
        <f t="shared" si="407"/>
        <v>0</v>
      </c>
    </row>
    <row r="23636" spans="20:20" ht="18.75" customHeight="1" x14ac:dyDescent="0.35">
      <c r="T23636" s="246">
        <f t="shared" si="407"/>
        <v>0</v>
      </c>
    </row>
    <row r="23637" spans="20:20" ht="18.75" customHeight="1" x14ac:dyDescent="0.35">
      <c r="T23637" s="246">
        <f t="shared" si="407"/>
        <v>0</v>
      </c>
    </row>
    <row r="23638" spans="20:20" ht="18.75" customHeight="1" x14ac:dyDescent="0.35">
      <c r="T23638" s="246">
        <f t="shared" si="407"/>
        <v>0</v>
      </c>
    </row>
    <row r="23639" spans="20:20" ht="18.75" customHeight="1" x14ac:dyDescent="0.35">
      <c r="T23639" s="246">
        <f t="shared" si="407"/>
        <v>0</v>
      </c>
    </row>
    <row r="23640" spans="20:20" ht="18.75" customHeight="1" x14ac:dyDescent="0.35">
      <c r="T23640" s="246">
        <f t="shared" si="407"/>
        <v>0</v>
      </c>
    </row>
    <row r="23641" spans="20:20" ht="18.75" customHeight="1" x14ac:dyDescent="0.35">
      <c r="T23641" s="246">
        <f t="shared" si="407"/>
        <v>0</v>
      </c>
    </row>
    <row r="23642" spans="20:20" ht="18.75" customHeight="1" x14ac:dyDescent="0.35">
      <c r="T23642" s="246">
        <f t="shared" si="407"/>
        <v>0</v>
      </c>
    </row>
    <row r="23643" spans="20:20" ht="18.75" customHeight="1" x14ac:dyDescent="0.35">
      <c r="T23643" s="246">
        <f t="shared" si="407"/>
        <v>0</v>
      </c>
    </row>
    <row r="23644" spans="20:20" ht="18.75" customHeight="1" x14ac:dyDescent="0.35">
      <c r="T23644" s="246">
        <f t="shared" si="407"/>
        <v>0</v>
      </c>
    </row>
    <row r="23645" spans="20:20" ht="18.75" customHeight="1" x14ac:dyDescent="0.35">
      <c r="T23645" s="246">
        <f t="shared" si="407"/>
        <v>0</v>
      </c>
    </row>
    <row r="23646" spans="20:20" ht="18.75" customHeight="1" x14ac:dyDescent="0.35">
      <c r="T23646" s="246">
        <f t="shared" si="407"/>
        <v>0</v>
      </c>
    </row>
    <row r="23647" spans="20:20" ht="18.75" customHeight="1" x14ac:dyDescent="0.35">
      <c r="T23647" s="246">
        <f t="shared" si="407"/>
        <v>0</v>
      </c>
    </row>
    <row r="23648" spans="20:20" ht="18.75" customHeight="1" x14ac:dyDescent="0.35">
      <c r="T23648" s="246">
        <f t="shared" si="407"/>
        <v>0</v>
      </c>
    </row>
    <row r="23649" spans="20:20" ht="18.75" customHeight="1" x14ac:dyDescent="0.35">
      <c r="T23649" s="246">
        <f t="shared" si="407"/>
        <v>0</v>
      </c>
    </row>
    <row r="23650" spans="20:20" ht="18.75" customHeight="1" x14ac:dyDescent="0.35">
      <c r="T23650" s="246">
        <f t="shared" si="407"/>
        <v>0</v>
      </c>
    </row>
    <row r="23651" spans="20:20" ht="18.75" customHeight="1" x14ac:dyDescent="0.35">
      <c r="T23651" s="246">
        <f t="shared" si="407"/>
        <v>0</v>
      </c>
    </row>
    <row r="23652" spans="20:20" ht="18.75" customHeight="1" x14ac:dyDescent="0.35">
      <c r="T23652" s="246">
        <f t="shared" si="407"/>
        <v>0</v>
      </c>
    </row>
    <row r="23653" spans="20:20" ht="18.75" customHeight="1" x14ac:dyDescent="0.35">
      <c r="T23653" s="246">
        <f t="shared" si="407"/>
        <v>0</v>
      </c>
    </row>
    <row r="23654" spans="20:20" ht="18.75" customHeight="1" x14ac:dyDescent="0.35">
      <c r="T23654" s="246">
        <f t="shared" si="407"/>
        <v>0</v>
      </c>
    </row>
    <row r="23655" spans="20:20" ht="18.75" customHeight="1" x14ac:dyDescent="0.35">
      <c r="T23655" s="246">
        <f t="shared" si="407"/>
        <v>0</v>
      </c>
    </row>
    <row r="23656" spans="20:20" ht="18.75" customHeight="1" x14ac:dyDescent="0.35">
      <c r="T23656" s="246">
        <f t="shared" si="407"/>
        <v>0</v>
      </c>
    </row>
    <row r="23657" spans="20:20" ht="18.75" customHeight="1" x14ac:dyDescent="0.35">
      <c r="T23657" s="246">
        <f t="shared" si="407"/>
        <v>0</v>
      </c>
    </row>
    <row r="23658" spans="20:20" ht="18.75" customHeight="1" x14ac:dyDescent="0.35">
      <c r="T23658" s="246">
        <f t="shared" si="407"/>
        <v>0</v>
      </c>
    </row>
    <row r="23659" spans="20:20" ht="18.75" customHeight="1" x14ac:dyDescent="0.35">
      <c r="T23659" s="246">
        <f t="shared" si="407"/>
        <v>0</v>
      </c>
    </row>
    <row r="23660" spans="20:20" ht="18.75" customHeight="1" x14ac:dyDescent="0.35">
      <c r="T23660" s="246">
        <f t="shared" si="407"/>
        <v>0</v>
      </c>
    </row>
    <row r="23661" spans="20:20" ht="18.75" customHeight="1" x14ac:dyDescent="0.35">
      <c r="T23661" s="246">
        <f t="shared" si="407"/>
        <v>0</v>
      </c>
    </row>
    <row r="23662" spans="20:20" ht="18.75" customHeight="1" x14ac:dyDescent="0.35">
      <c r="T23662" s="246">
        <f t="shared" si="407"/>
        <v>0</v>
      </c>
    </row>
    <row r="23663" spans="20:20" ht="18.75" customHeight="1" x14ac:dyDescent="0.35">
      <c r="T23663" s="246">
        <f t="shared" si="407"/>
        <v>0</v>
      </c>
    </row>
    <row r="23664" spans="20:20" ht="18.75" customHeight="1" x14ac:dyDescent="0.35">
      <c r="T23664" s="246">
        <f t="shared" si="407"/>
        <v>0</v>
      </c>
    </row>
    <row r="23665" spans="20:20" ht="18.75" customHeight="1" x14ac:dyDescent="0.35">
      <c r="T23665" s="246">
        <f t="shared" si="407"/>
        <v>0</v>
      </c>
    </row>
    <row r="23666" spans="20:20" ht="18.75" customHeight="1" x14ac:dyDescent="0.35">
      <c r="T23666" s="246">
        <f t="shared" si="407"/>
        <v>0</v>
      </c>
    </row>
    <row r="23667" spans="20:20" ht="18.75" customHeight="1" x14ac:dyDescent="0.35">
      <c r="T23667" s="246">
        <f t="shared" si="407"/>
        <v>0</v>
      </c>
    </row>
    <row r="23668" spans="20:20" ht="18.75" customHeight="1" x14ac:dyDescent="0.35">
      <c r="T23668" s="246">
        <f t="shared" si="407"/>
        <v>0</v>
      </c>
    </row>
    <row r="23669" spans="20:20" ht="18.75" customHeight="1" x14ac:dyDescent="0.35">
      <c r="T23669" s="246">
        <f t="shared" si="407"/>
        <v>0</v>
      </c>
    </row>
    <row r="23670" spans="20:20" ht="18.75" customHeight="1" x14ac:dyDescent="0.35">
      <c r="T23670" s="246">
        <f t="shared" si="407"/>
        <v>0</v>
      </c>
    </row>
    <row r="23671" spans="20:20" ht="18.75" customHeight="1" x14ac:dyDescent="0.35">
      <c r="T23671" s="246">
        <f t="shared" si="407"/>
        <v>0</v>
      </c>
    </row>
    <row r="23672" spans="20:20" ht="18.75" customHeight="1" x14ac:dyDescent="0.35">
      <c r="T23672" s="246">
        <f t="shared" si="407"/>
        <v>0</v>
      </c>
    </row>
    <row r="23673" spans="20:20" ht="18.75" customHeight="1" x14ac:dyDescent="0.35">
      <c r="T23673" s="246">
        <f t="shared" si="407"/>
        <v>0</v>
      </c>
    </row>
    <row r="23674" spans="20:20" ht="18.75" customHeight="1" x14ac:dyDescent="0.35">
      <c r="T23674" s="246">
        <f t="shared" si="407"/>
        <v>0</v>
      </c>
    </row>
    <row r="23675" spans="20:20" ht="18.75" customHeight="1" x14ac:dyDescent="0.35">
      <c r="T23675" s="246">
        <f t="shared" si="407"/>
        <v>0</v>
      </c>
    </row>
    <row r="23676" spans="20:20" ht="18.75" customHeight="1" x14ac:dyDescent="0.35">
      <c r="T23676" s="246">
        <f t="shared" ref="T23676:T23739" si="408">R23676*0.01</f>
        <v>0</v>
      </c>
    </row>
    <row r="23677" spans="20:20" ht="18.75" customHeight="1" x14ac:dyDescent="0.35">
      <c r="T23677" s="246">
        <f t="shared" si="408"/>
        <v>0</v>
      </c>
    </row>
    <row r="23678" spans="20:20" ht="18.75" customHeight="1" x14ac:dyDescent="0.35">
      <c r="T23678" s="246">
        <f t="shared" si="408"/>
        <v>0</v>
      </c>
    </row>
    <row r="23679" spans="20:20" ht="18.75" customHeight="1" x14ac:dyDescent="0.35">
      <c r="T23679" s="246">
        <f t="shared" si="408"/>
        <v>0</v>
      </c>
    </row>
    <row r="23680" spans="20:20" ht="18.75" customHeight="1" x14ac:dyDescent="0.35">
      <c r="T23680" s="246">
        <f t="shared" si="408"/>
        <v>0</v>
      </c>
    </row>
    <row r="23681" spans="20:20" ht="18.75" customHeight="1" x14ac:dyDescent="0.35">
      <c r="T23681" s="246">
        <f t="shared" si="408"/>
        <v>0</v>
      </c>
    </row>
    <row r="23682" spans="20:20" ht="18.75" customHeight="1" x14ac:dyDescent="0.35">
      <c r="T23682" s="246">
        <f t="shared" si="408"/>
        <v>0</v>
      </c>
    </row>
    <row r="23683" spans="20:20" ht="18.75" customHeight="1" x14ac:dyDescent="0.35">
      <c r="T23683" s="246">
        <f t="shared" si="408"/>
        <v>0</v>
      </c>
    </row>
    <row r="23684" spans="20:20" ht="18.75" customHeight="1" x14ac:dyDescent="0.35">
      <c r="T23684" s="246">
        <f t="shared" si="408"/>
        <v>0</v>
      </c>
    </row>
    <row r="23685" spans="20:20" ht="18.75" customHeight="1" x14ac:dyDescent="0.35">
      <c r="T23685" s="246">
        <f t="shared" si="408"/>
        <v>0</v>
      </c>
    </row>
    <row r="23686" spans="20:20" ht="18.75" customHeight="1" x14ac:dyDescent="0.35">
      <c r="T23686" s="246">
        <f t="shared" si="408"/>
        <v>0</v>
      </c>
    </row>
    <row r="23687" spans="20:20" ht="18.75" customHeight="1" x14ac:dyDescent="0.35">
      <c r="T23687" s="246">
        <f t="shared" si="408"/>
        <v>0</v>
      </c>
    </row>
    <row r="23688" spans="20:20" ht="18.75" customHeight="1" x14ac:dyDescent="0.35">
      <c r="T23688" s="246">
        <f t="shared" si="408"/>
        <v>0</v>
      </c>
    </row>
    <row r="23689" spans="20:20" ht="18.75" customHeight="1" x14ac:dyDescent="0.35">
      <c r="T23689" s="246">
        <f t="shared" si="408"/>
        <v>0</v>
      </c>
    </row>
    <row r="23690" spans="20:20" ht="18.75" customHeight="1" x14ac:dyDescent="0.35">
      <c r="T23690" s="246">
        <f t="shared" si="408"/>
        <v>0</v>
      </c>
    </row>
    <row r="23691" spans="20:20" ht="18.75" customHeight="1" x14ac:dyDescent="0.35">
      <c r="T23691" s="246">
        <f t="shared" si="408"/>
        <v>0</v>
      </c>
    </row>
    <row r="23692" spans="20:20" ht="18.75" customHeight="1" x14ac:dyDescent="0.35">
      <c r="T23692" s="246">
        <f t="shared" si="408"/>
        <v>0</v>
      </c>
    </row>
    <row r="23693" spans="20:20" ht="18.75" customHeight="1" x14ac:dyDescent="0.35">
      <c r="T23693" s="246">
        <f t="shared" si="408"/>
        <v>0</v>
      </c>
    </row>
    <row r="23694" spans="20:20" ht="18.75" customHeight="1" x14ac:dyDescent="0.35">
      <c r="T23694" s="246">
        <f t="shared" si="408"/>
        <v>0</v>
      </c>
    </row>
    <row r="23695" spans="20:20" ht="18.75" customHeight="1" x14ac:dyDescent="0.35">
      <c r="T23695" s="246">
        <f t="shared" si="408"/>
        <v>0</v>
      </c>
    </row>
    <row r="23696" spans="20:20" ht="18.75" customHeight="1" x14ac:dyDescent="0.35">
      <c r="T23696" s="246">
        <f t="shared" si="408"/>
        <v>0</v>
      </c>
    </row>
    <row r="23697" spans="20:20" ht="18.75" customHeight="1" x14ac:dyDescent="0.35">
      <c r="T23697" s="246">
        <f t="shared" si="408"/>
        <v>0</v>
      </c>
    </row>
    <row r="23698" spans="20:20" ht="18.75" customHeight="1" x14ac:dyDescent="0.35">
      <c r="T23698" s="246">
        <f t="shared" si="408"/>
        <v>0</v>
      </c>
    </row>
    <row r="23699" spans="20:20" ht="18.75" customHeight="1" x14ac:dyDescent="0.35">
      <c r="T23699" s="246">
        <f t="shared" si="408"/>
        <v>0</v>
      </c>
    </row>
    <row r="23700" spans="20:20" ht="18.75" customHeight="1" x14ac:dyDescent="0.35">
      <c r="T23700" s="246">
        <f t="shared" si="408"/>
        <v>0</v>
      </c>
    </row>
    <row r="23701" spans="20:20" ht="18.75" customHeight="1" x14ac:dyDescent="0.35">
      <c r="T23701" s="246">
        <f t="shared" si="408"/>
        <v>0</v>
      </c>
    </row>
    <row r="23702" spans="20:20" ht="18.75" customHeight="1" x14ac:dyDescent="0.35">
      <c r="T23702" s="246">
        <f t="shared" si="408"/>
        <v>0</v>
      </c>
    </row>
    <row r="23703" spans="20:20" ht="18.75" customHeight="1" x14ac:dyDescent="0.35">
      <c r="T23703" s="246">
        <f t="shared" si="408"/>
        <v>0</v>
      </c>
    </row>
    <row r="23704" spans="20:20" ht="18.75" customHeight="1" x14ac:dyDescent="0.35">
      <c r="T23704" s="246">
        <f t="shared" si="408"/>
        <v>0</v>
      </c>
    </row>
    <row r="23705" spans="20:20" ht="18.75" customHeight="1" x14ac:dyDescent="0.35">
      <c r="T23705" s="246">
        <f t="shared" si="408"/>
        <v>0</v>
      </c>
    </row>
    <row r="23706" spans="20:20" ht="18.75" customHeight="1" x14ac:dyDescent="0.35">
      <c r="T23706" s="246">
        <f t="shared" si="408"/>
        <v>0</v>
      </c>
    </row>
    <row r="23707" spans="20:20" ht="18.75" customHeight="1" x14ac:dyDescent="0.35">
      <c r="T23707" s="246">
        <f t="shared" si="408"/>
        <v>0</v>
      </c>
    </row>
    <row r="23708" spans="20:20" ht="18.75" customHeight="1" x14ac:dyDescent="0.35">
      <c r="T23708" s="246">
        <f t="shared" si="408"/>
        <v>0</v>
      </c>
    </row>
    <row r="23709" spans="20:20" ht="18.75" customHeight="1" x14ac:dyDescent="0.35">
      <c r="T23709" s="246">
        <f t="shared" si="408"/>
        <v>0</v>
      </c>
    </row>
    <row r="23710" spans="20:20" ht="18.75" customHeight="1" x14ac:dyDescent="0.35">
      <c r="T23710" s="246">
        <f t="shared" si="408"/>
        <v>0</v>
      </c>
    </row>
    <row r="23711" spans="20:20" ht="18.75" customHeight="1" x14ac:dyDescent="0.35">
      <c r="T23711" s="246">
        <f t="shared" si="408"/>
        <v>0</v>
      </c>
    </row>
    <row r="23712" spans="20:20" ht="18.75" customHeight="1" x14ac:dyDescent="0.35">
      <c r="T23712" s="246">
        <f t="shared" si="408"/>
        <v>0</v>
      </c>
    </row>
    <row r="23713" spans="20:20" ht="18.75" customHeight="1" x14ac:dyDescent="0.35">
      <c r="T23713" s="246">
        <f t="shared" si="408"/>
        <v>0</v>
      </c>
    </row>
    <row r="23714" spans="20:20" ht="18.75" customHeight="1" x14ac:dyDescent="0.35">
      <c r="T23714" s="246">
        <f t="shared" si="408"/>
        <v>0</v>
      </c>
    </row>
    <row r="23715" spans="20:20" ht="18.75" customHeight="1" x14ac:dyDescent="0.35">
      <c r="T23715" s="246">
        <f t="shared" si="408"/>
        <v>0</v>
      </c>
    </row>
    <row r="23716" spans="20:20" ht="18.75" customHeight="1" x14ac:dyDescent="0.35">
      <c r="T23716" s="246">
        <f t="shared" si="408"/>
        <v>0</v>
      </c>
    </row>
    <row r="23717" spans="20:20" ht="18.75" customHeight="1" x14ac:dyDescent="0.35">
      <c r="T23717" s="246">
        <f t="shared" si="408"/>
        <v>0</v>
      </c>
    </row>
    <row r="23718" spans="20:20" ht="18.75" customHeight="1" x14ac:dyDescent="0.35">
      <c r="T23718" s="246">
        <f t="shared" si="408"/>
        <v>0</v>
      </c>
    </row>
    <row r="23719" spans="20:20" ht="18.75" customHeight="1" x14ac:dyDescent="0.35">
      <c r="T23719" s="246">
        <f t="shared" si="408"/>
        <v>0</v>
      </c>
    </row>
    <row r="23720" spans="20:20" ht="18.75" customHeight="1" x14ac:dyDescent="0.35">
      <c r="T23720" s="246">
        <f t="shared" si="408"/>
        <v>0</v>
      </c>
    </row>
    <row r="23721" spans="20:20" ht="18.75" customHeight="1" x14ac:dyDescent="0.35">
      <c r="T23721" s="246">
        <f t="shared" si="408"/>
        <v>0</v>
      </c>
    </row>
    <row r="23722" spans="20:20" ht="18.75" customHeight="1" x14ac:dyDescent="0.35">
      <c r="T23722" s="246">
        <f t="shared" si="408"/>
        <v>0</v>
      </c>
    </row>
    <row r="23723" spans="20:20" ht="18.75" customHeight="1" x14ac:dyDescent="0.35">
      <c r="T23723" s="246">
        <f t="shared" si="408"/>
        <v>0</v>
      </c>
    </row>
    <row r="23724" spans="20:20" ht="18.75" customHeight="1" x14ac:dyDescent="0.35">
      <c r="T23724" s="246">
        <f t="shared" si="408"/>
        <v>0</v>
      </c>
    </row>
    <row r="23725" spans="20:20" ht="18.75" customHeight="1" x14ac:dyDescent="0.35">
      <c r="T23725" s="246">
        <f t="shared" si="408"/>
        <v>0</v>
      </c>
    </row>
    <row r="23726" spans="20:20" ht="18.75" customHeight="1" x14ac:dyDescent="0.35">
      <c r="T23726" s="246">
        <f t="shared" si="408"/>
        <v>0</v>
      </c>
    </row>
    <row r="23727" spans="20:20" ht="18.75" customHeight="1" x14ac:dyDescent="0.35">
      <c r="T23727" s="246">
        <f t="shared" si="408"/>
        <v>0</v>
      </c>
    </row>
    <row r="23728" spans="20:20" ht="18.75" customHeight="1" x14ac:dyDescent="0.35">
      <c r="T23728" s="246">
        <f t="shared" si="408"/>
        <v>0</v>
      </c>
    </row>
    <row r="23729" spans="20:20" ht="18.75" customHeight="1" x14ac:dyDescent="0.35">
      <c r="T23729" s="246">
        <f t="shared" si="408"/>
        <v>0</v>
      </c>
    </row>
    <row r="23730" spans="20:20" ht="18.75" customHeight="1" x14ac:dyDescent="0.35">
      <c r="T23730" s="246">
        <f t="shared" si="408"/>
        <v>0</v>
      </c>
    </row>
    <row r="23731" spans="20:20" ht="18.75" customHeight="1" x14ac:dyDescent="0.35">
      <c r="T23731" s="246">
        <f t="shared" si="408"/>
        <v>0</v>
      </c>
    </row>
    <row r="23732" spans="20:20" ht="18.75" customHeight="1" x14ac:dyDescent="0.35">
      <c r="T23732" s="246">
        <f t="shared" si="408"/>
        <v>0</v>
      </c>
    </row>
    <row r="23733" spans="20:20" ht="18.75" customHeight="1" x14ac:dyDescent="0.35">
      <c r="T23733" s="246">
        <f t="shared" si="408"/>
        <v>0</v>
      </c>
    </row>
    <row r="23734" spans="20:20" ht="18.75" customHeight="1" x14ac:dyDescent="0.35">
      <c r="T23734" s="246">
        <f t="shared" si="408"/>
        <v>0</v>
      </c>
    </row>
    <row r="23735" spans="20:20" ht="18.75" customHeight="1" x14ac:dyDescent="0.35">
      <c r="T23735" s="246">
        <f t="shared" si="408"/>
        <v>0</v>
      </c>
    </row>
    <row r="23736" spans="20:20" ht="18.75" customHeight="1" x14ac:dyDescent="0.35">
      <c r="T23736" s="246">
        <f t="shared" si="408"/>
        <v>0</v>
      </c>
    </row>
    <row r="23737" spans="20:20" ht="18.75" customHeight="1" x14ac:dyDescent="0.35">
      <c r="T23737" s="246">
        <f t="shared" si="408"/>
        <v>0</v>
      </c>
    </row>
    <row r="23738" spans="20:20" ht="18.75" customHeight="1" x14ac:dyDescent="0.35">
      <c r="T23738" s="246">
        <f t="shared" si="408"/>
        <v>0</v>
      </c>
    </row>
    <row r="23739" spans="20:20" ht="18.75" customHeight="1" x14ac:dyDescent="0.35">
      <c r="T23739" s="246">
        <f t="shared" si="408"/>
        <v>0</v>
      </c>
    </row>
    <row r="23740" spans="20:20" ht="18.75" customHeight="1" x14ac:dyDescent="0.35">
      <c r="T23740" s="246">
        <f t="shared" ref="T23740:T23803" si="409">R23740*0.01</f>
        <v>0</v>
      </c>
    </row>
    <row r="23741" spans="20:20" ht="18.75" customHeight="1" x14ac:dyDescent="0.35">
      <c r="T23741" s="246">
        <f t="shared" si="409"/>
        <v>0</v>
      </c>
    </row>
    <row r="23742" spans="20:20" ht="18.75" customHeight="1" x14ac:dyDescent="0.35">
      <c r="T23742" s="246">
        <f t="shared" si="409"/>
        <v>0</v>
      </c>
    </row>
    <row r="23743" spans="20:20" ht="18.75" customHeight="1" x14ac:dyDescent="0.35">
      <c r="T23743" s="246">
        <f t="shared" si="409"/>
        <v>0</v>
      </c>
    </row>
    <row r="23744" spans="20:20" ht="18.75" customHeight="1" x14ac:dyDescent="0.35">
      <c r="T23744" s="246">
        <f t="shared" si="409"/>
        <v>0</v>
      </c>
    </row>
    <row r="23745" spans="20:20" ht="18.75" customHeight="1" x14ac:dyDescent="0.35">
      <c r="T23745" s="246">
        <f t="shared" si="409"/>
        <v>0</v>
      </c>
    </row>
    <row r="23746" spans="20:20" ht="18.75" customHeight="1" x14ac:dyDescent="0.35">
      <c r="T23746" s="246">
        <f t="shared" si="409"/>
        <v>0</v>
      </c>
    </row>
    <row r="23747" spans="20:20" ht="18.75" customHeight="1" x14ac:dyDescent="0.35">
      <c r="T23747" s="246">
        <f t="shared" si="409"/>
        <v>0</v>
      </c>
    </row>
    <row r="23748" spans="20:20" ht="18.75" customHeight="1" x14ac:dyDescent="0.35">
      <c r="T23748" s="246">
        <f t="shared" si="409"/>
        <v>0</v>
      </c>
    </row>
    <row r="23749" spans="20:20" ht="18.75" customHeight="1" x14ac:dyDescent="0.35">
      <c r="T23749" s="246">
        <f t="shared" si="409"/>
        <v>0</v>
      </c>
    </row>
    <row r="23750" spans="20:20" ht="18.75" customHeight="1" x14ac:dyDescent="0.35">
      <c r="T23750" s="246">
        <f t="shared" si="409"/>
        <v>0</v>
      </c>
    </row>
    <row r="23751" spans="20:20" ht="18.75" customHeight="1" x14ac:dyDescent="0.35">
      <c r="T23751" s="246">
        <f t="shared" si="409"/>
        <v>0</v>
      </c>
    </row>
    <row r="23752" spans="20:20" ht="18.75" customHeight="1" x14ac:dyDescent="0.35">
      <c r="T23752" s="246">
        <f t="shared" si="409"/>
        <v>0</v>
      </c>
    </row>
    <row r="23753" spans="20:20" ht="18.75" customHeight="1" x14ac:dyDescent="0.35">
      <c r="T23753" s="246">
        <f t="shared" si="409"/>
        <v>0</v>
      </c>
    </row>
    <row r="23754" spans="20:20" ht="18.75" customHeight="1" x14ac:dyDescent="0.35">
      <c r="T23754" s="246">
        <f t="shared" si="409"/>
        <v>0</v>
      </c>
    </row>
    <row r="23755" spans="20:20" ht="18.75" customHeight="1" x14ac:dyDescent="0.35">
      <c r="T23755" s="246">
        <f t="shared" si="409"/>
        <v>0</v>
      </c>
    </row>
    <row r="23756" spans="20:20" ht="18.75" customHeight="1" x14ac:dyDescent="0.35">
      <c r="T23756" s="246">
        <f t="shared" si="409"/>
        <v>0</v>
      </c>
    </row>
    <row r="23757" spans="20:20" ht="18.75" customHeight="1" x14ac:dyDescent="0.35">
      <c r="T23757" s="246">
        <f t="shared" si="409"/>
        <v>0</v>
      </c>
    </row>
    <row r="23758" spans="20:20" ht="18.75" customHeight="1" x14ac:dyDescent="0.35">
      <c r="T23758" s="246">
        <f t="shared" si="409"/>
        <v>0</v>
      </c>
    </row>
    <row r="23759" spans="20:20" ht="18.75" customHeight="1" x14ac:dyDescent="0.35">
      <c r="T23759" s="246">
        <f t="shared" si="409"/>
        <v>0</v>
      </c>
    </row>
    <row r="23760" spans="20:20" ht="18.75" customHeight="1" x14ac:dyDescent="0.35">
      <c r="T23760" s="246">
        <f t="shared" si="409"/>
        <v>0</v>
      </c>
    </row>
    <row r="23761" spans="20:20" ht="18.75" customHeight="1" x14ac:dyDescent="0.35">
      <c r="T23761" s="246">
        <f t="shared" si="409"/>
        <v>0</v>
      </c>
    </row>
    <row r="23762" spans="20:20" ht="18.75" customHeight="1" x14ac:dyDescent="0.35">
      <c r="T23762" s="246">
        <f t="shared" si="409"/>
        <v>0</v>
      </c>
    </row>
    <row r="23763" spans="20:20" ht="18.75" customHeight="1" x14ac:dyDescent="0.35">
      <c r="T23763" s="246">
        <f t="shared" si="409"/>
        <v>0</v>
      </c>
    </row>
    <row r="23764" spans="20:20" ht="18.75" customHeight="1" x14ac:dyDescent="0.35">
      <c r="T23764" s="246">
        <f t="shared" si="409"/>
        <v>0</v>
      </c>
    </row>
    <row r="23765" spans="20:20" ht="18.75" customHeight="1" x14ac:dyDescent="0.35">
      <c r="T23765" s="246">
        <f t="shared" si="409"/>
        <v>0</v>
      </c>
    </row>
    <row r="23766" spans="20:20" ht="18.75" customHeight="1" x14ac:dyDescent="0.35">
      <c r="T23766" s="246">
        <f t="shared" si="409"/>
        <v>0</v>
      </c>
    </row>
    <row r="23767" spans="20:20" ht="18.75" customHeight="1" x14ac:dyDescent="0.35">
      <c r="T23767" s="246">
        <f t="shared" si="409"/>
        <v>0</v>
      </c>
    </row>
    <row r="23768" spans="20:20" ht="18.75" customHeight="1" x14ac:dyDescent="0.35">
      <c r="T23768" s="246">
        <f t="shared" si="409"/>
        <v>0</v>
      </c>
    </row>
    <row r="23769" spans="20:20" ht="18.75" customHeight="1" x14ac:dyDescent="0.35">
      <c r="T23769" s="246">
        <f t="shared" si="409"/>
        <v>0</v>
      </c>
    </row>
    <row r="23770" spans="20:20" ht="18.75" customHeight="1" x14ac:dyDescent="0.35">
      <c r="T23770" s="246">
        <f t="shared" si="409"/>
        <v>0</v>
      </c>
    </row>
    <row r="23771" spans="20:20" ht="18.75" customHeight="1" x14ac:dyDescent="0.35">
      <c r="T23771" s="246">
        <f t="shared" si="409"/>
        <v>0</v>
      </c>
    </row>
    <row r="23772" spans="20:20" ht="18.75" customHeight="1" x14ac:dyDescent="0.35">
      <c r="T23772" s="246">
        <f t="shared" si="409"/>
        <v>0</v>
      </c>
    </row>
    <row r="23773" spans="20:20" ht="18.75" customHeight="1" x14ac:dyDescent="0.35">
      <c r="T23773" s="246">
        <f t="shared" si="409"/>
        <v>0</v>
      </c>
    </row>
    <row r="23774" spans="20:20" ht="18.75" customHeight="1" x14ac:dyDescent="0.35">
      <c r="T23774" s="246">
        <f t="shared" si="409"/>
        <v>0</v>
      </c>
    </row>
    <row r="23775" spans="20:20" ht="18.75" customHeight="1" x14ac:dyDescent="0.35">
      <c r="T23775" s="246">
        <f t="shared" si="409"/>
        <v>0</v>
      </c>
    </row>
    <row r="23776" spans="20:20" ht="18.75" customHeight="1" x14ac:dyDescent="0.35">
      <c r="T23776" s="246">
        <f t="shared" si="409"/>
        <v>0</v>
      </c>
    </row>
    <row r="23777" spans="20:20" ht="18.75" customHeight="1" x14ac:dyDescent="0.35">
      <c r="T23777" s="246">
        <f t="shared" si="409"/>
        <v>0</v>
      </c>
    </row>
    <row r="23778" spans="20:20" ht="18.75" customHeight="1" x14ac:dyDescent="0.35">
      <c r="T23778" s="246">
        <f t="shared" si="409"/>
        <v>0</v>
      </c>
    </row>
    <row r="23779" spans="20:20" ht="18.75" customHeight="1" x14ac:dyDescent="0.35">
      <c r="T23779" s="246">
        <f t="shared" si="409"/>
        <v>0</v>
      </c>
    </row>
    <row r="23780" spans="20:20" ht="18.75" customHeight="1" x14ac:dyDescent="0.35">
      <c r="T23780" s="246">
        <f t="shared" si="409"/>
        <v>0</v>
      </c>
    </row>
    <row r="23781" spans="20:20" ht="18.75" customHeight="1" x14ac:dyDescent="0.35">
      <c r="T23781" s="246">
        <f t="shared" si="409"/>
        <v>0</v>
      </c>
    </row>
    <row r="23782" spans="20:20" ht="18.75" customHeight="1" x14ac:dyDescent="0.35">
      <c r="T23782" s="246">
        <f t="shared" si="409"/>
        <v>0</v>
      </c>
    </row>
    <row r="23783" spans="20:20" ht="18.75" customHeight="1" x14ac:dyDescent="0.35">
      <c r="T23783" s="246">
        <f t="shared" si="409"/>
        <v>0</v>
      </c>
    </row>
    <row r="23784" spans="20:20" ht="18.75" customHeight="1" x14ac:dyDescent="0.35">
      <c r="T23784" s="246">
        <f t="shared" si="409"/>
        <v>0</v>
      </c>
    </row>
    <row r="23785" spans="20:20" ht="18.75" customHeight="1" x14ac:dyDescent="0.35">
      <c r="T23785" s="246">
        <f t="shared" si="409"/>
        <v>0</v>
      </c>
    </row>
    <row r="23786" spans="20:20" ht="18.75" customHeight="1" x14ac:dyDescent="0.35">
      <c r="T23786" s="246">
        <f t="shared" si="409"/>
        <v>0</v>
      </c>
    </row>
    <row r="23787" spans="20:20" ht="18.75" customHeight="1" x14ac:dyDescent="0.35">
      <c r="T23787" s="246">
        <f t="shared" si="409"/>
        <v>0</v>
      </c>
    </row>
    <row r="23788" spans="20:20" ht="18.75" customHeight="1" x14ac:dyDescent="0.35">
      <c r="T23788" s="246">
        <f t="shared" si="409"/>
        <v>0</v>
      </c>
    </row>
    <row r="23789" spans="20:20" ht="18.75" customHeight="1" x14ac:dyDescent="0.35">
      <c r="T23789" s="246">
        <f t="shared" si="409"/>
        <v>0</v>
      </c>
    </row>
    <row r="23790" spans="20:20" ht="18.75" customHeight="1" x14ac:dyDescent="0.35">
      <c r="T23790" s="246">
        <f t="shared" si="409"/>
        <v>0</v>
      </c>
    </row>
    <row r="23791" spans="20:20" ht="18.75" customHeight="1" x14ac:dyDescent="0.35">
      <c r="T23791" s="246">
        <f t="shared" si="409"/>
        <v>0</v>
      </c>
    </row>
    <row r="23792" spans="20:20" ht="18.75" customHeight="1" x14ac:dyDescent="0.35">
      <c r="T23792" s="246">
        <f t="shared" si="409"/>
        <v>0</v>
      </c>
    </row>
    <row r="23793" spans="20:20" ht="18.75" customHeight="1" x14ac:dyDescent="0.35">
      <c r="T23793" s="246">
        <f t="shared" si="409"/>
        <v>0</v>
      </c>
    </row>
    <row r="23794" spans="20:20" ht="18.75" customHeight="1" x14ac:dyDescent="0.35">
      <c r="T23794" s="246">
        <f t="shared" si="409"/>
        <v>0</v>
      </c>
    </row>
    <row r="23795" spans="20:20" ht="18.75" customHeight="1" x14ac:dyDescent="0.35">
      <c r="T23795" s="246">
        <f t="shared" si="409"/>
        <v>0</v>
      </c>
    </row>
    <row r="23796" spans="20:20" ht="18.75" customHeight="1" x14ac:dyDescent="0.35">
      <c r="T23796" s="246">
        <f t="shared" si="409"/>
        <v>0</v>
      </c>
    </row>
    <row r="23797" spans="20:20" ht="18.75" customHeight="1" x14ac:dyDescent="0.35">
      <c r="T23797" s="246">
        <f t="shared" si="409"/>
        <v>0</v>
      </c>
    </row>
    <row r="23798" spans="20:20" ht="18.75" customHeight="1" x14ac:dyDescent="0.35">
      <c r="T23798" s="246">
        <f t="shared" si="409"/>
        <v>0</v>
      </c>
    </row>
    <row r="23799" spans="20:20" ht="18.75" customHeight="1" x14ac:dyDescent="0.35">
      <c r="T23799" s="246">
        <f t="shared" si="409"/>
        <v>0</v>
      </c>
    </row>
    <row r="23800" spans="20:20" ht="18.75" customHeight="1" x14ac:dyDescent="0.35">
      <c r="T23800" s="246">
        <f t="shared" si="409"/>
        <v>0</v>
      </c>
    </row>
    <row r="23801" spans="20:20" ht="18.75" customHeight="1" x14ac:dyDescent="0.35">
      <c r="T23801" s="246">
        <f t="shared" si="409"/>
        <v>0</v>
      </c>
    </row>
    <row r="23802" spans="20:20" ht="18.75" customHeight="1" x14ac:dyDescent="0.35">
      <c r="T23802" s="246">
        <f t="shared" si="409"/>
        <v>0</v>
      </c>
    </row>
    <row r="23803" spans="20:20" ht="18.75" customHeight="1" x14ac:dyDescent="0.35">
      <c r="T23803" s="246">
        <f t="shared" si="409"/>
        <v>0</v>
      </c>
    </row>
    <row r="23804" spans="20:20" ht="18.75" customHeight="1" x14ac:dyDescent="0.35">
      <c r="T23804" s="246">
        <f t="shared" ref="T23804:T23867" si="410">R23804*0.01</f>
        <v>0</v>
      </c>
    </row>
    <row r="23805" spans="20:20" ht="18.75" customHeight="1" x14ac:dyDescent="0.35">
      <c r="T23805" s="246">
        <f t="shared" si="410"/>
        <v>0</v>
      </c>
    </row>
    <row r="23806" spans="20:20" ht="18.75" customHeight="1" x14ac:dyDescent="0.35">
      <c r="T23806" s="246">
        <f t="shared" si="410"/>
        <v>0</v>
      </c>
    </row>
    <row r="23807" spans="20:20" ht="18.75" customHeight="1" x14ac:dyDescent="0.35">
      <c r="T23807" s="246">
        <f t="shared" si="410"/>
        <v>0</v>
      </c>
    </row>
    <row r="23808" spans="20:20" ht="18.75" customHeight="1" x14ac:dyDescent="0.35">
      <c r="T23808" s="246">
        <f t="shared" si="410"/>
        <v>0</v>
      </c>
    </row>
    <row r="23809" spans="20:20" ht="18.75" customHeight="1" x14ac:dyDescent="0.35">
      <c r="T23809" s="246">
        <f t="shared" si="410"/>
        <v>0</v>
      </c>
    </row>
    <row r="23810" spans="20:20" ht="18.75" customHeight="1" x14ac:dyDescent="0.35">
      <c r="T23810" s="246">
        <f t="shared" si="410"/>
        <v>0</v>
      </c>
    </row>
    <row r="23811" spans="20:20" ht="18.75" customHeight="1" x14ac:dyDescent="0.35">
      <c r="T23811" s="246">
        <f t="shared" si="410"/>
        <v>0</v>
      </c>
    </row>
    <row r="23812" spans="20:20" ht="18.75" customHeight="1" x14ac:dyDescent="0.35">
      <c r="T23812" s="246">
        <f t="shared" si="410"/>
        <v>0</v>
      </c>
    </row>
    <row r="23813" spans="20:20" ht="18.75" customHeight="1" x14ac:dyDescent="0.35">
      <c r="T23813" s="246">
        <f t="shared" si="410"/>
        <v>0</v>
      </c>
    </row>
    <row r="23814" spans="20:20" ht="18.75" customHeight="1" x14ac:dyDescent="0.35">
      <c r="T23814" s="246">
        <f t="shared" si="410"/>
        <v>0</v>
      </c>
    </row>
    <row r="23815" spans="20:20" ht="18.75" customHeight="1" x14ac:dyDescent="0.35">
      <c r="T23815" s="246">
        <f t="shared" si="410"/>
        <v>0</v>
      </c>
    </row>
    <row r="23816" spans="20:20" ht="18.75" customHeight="1" x14ac:dyDescent="0.35">
      <c r="T23816" s="246">
        <f t="shared" si="410"/>
        <v>0</v>
      </c>
    </row>
    <row r="23817" spans="20:20" ht="18.75" customHeight="1" x14ac:dyDescent="0.35">
      <c r="T23817" s="246">
        <f t="shared" si="410"/>
        <v>0</v>
      </c>
    </row>
    <row r="23818" spans="20:20" ht="18.75" customHeight="1" x14ac:dyDescent="0.35">
      <c r="T23818" s="246">
        <f t="shared" si="410"/>
        <v>0</v>
      </c>
    </row>
    <row r="23819" spans="20:20" ht="18.75" customHeight="1" x14ac:dyDescent="0.35">
      <c r="T23819" s="246">
        <f t="shared" si="410"/>
        <v>0</v>
      </c>
    </row>
    <row r="23820" spans="20:20" ht="18.75" customHeight="1" x14ac:dyDescent="0.35">
      <c r="T23820" s="246">
        <f t="shared" si="410"/>
        <v>0</v>
      </c>
    </row>
    <row r="23821" spans="20:20" ht="18.75" customHeight="1" x14ac:dyDescent="0.35">
      <c r="T23821" s="246">
        <f t="shared" si="410"/>
        <v>0</v>
      </c>
    </row>
    <row r="23822" spans="20:20" ht="18.75" customHeight="1" x14ac:dyDescent="0.35">
      <c r="T23822" s="246">
        <f t="shared" si="410"/>
        <v>0</v>
      </c>
    </row>
    <row r="23823" spans="20:20" ht="18.75" customHeight="1" x14ac:dyDescent="0.35">
      <c r="T23823" s="246">
        <f t="shared" si="410"/>
        <v>0</v>
      </c>
    </row>
    <row r="23824" spans="20:20" ht="18.75" customHeight="1" x14ac:dyDescent="0.35">
      <c r="T23824" s="246">
        <f t="shared" si="410"/>
        <v>0</v>
      </c>
    </row>
    <row r="23825" spans="20:20" ht="18.75" customHeight="1" x14ac:dyDescent="0.35">
      <c r="T23825" s="246">
        <f t="shared" si="410"/>
        <v>0</v>
      </c>
    </row>
    <row r="23826" spans="20:20" ht="18.75" customHeight="1" x14ac:dyDescent="0.35">
      <c r="T23826" s="246">
        <f t="shared" si="410"/>
        <v>0</v>
      </c>
    </row>
    <row r="23827" spans="20:20" ht="18.75" customHeight="1" x14ac:dyDescent="0.35">
      <c r="T23827" s="246">
        <f t="shared" si="410"/>
        <v>0</v>
      </c>
    </row>
    <row r="23828" spans="20:20" ht="18.75" customHeight="1" x14ac:dyDescent="0.35">
      <c r="T23828" s="246">
        <f t="shared" si="410"/>
        <v>0</v>
      </c>
    </row>
    <row r="23829" spans="20:20" ht="18.75" customHeight="1" x14ac:dyDescent="0.35">
      <c r="T23829" s="246">
        <f t="shared" si="410"/>
        <v>0</v>
      </c>
    </row>
    <row r="23830" spans="20:20" ht="18.75" customHeight="1" x14ac:dyDescent="0.35">
      <c r="T23830" s="246">
        <f t="shared" si="410"/>
        <v>0</v>
      </c>
    </row>
    <row r="23831" spans="20:20" ht="18.75" customHeight="1" x14ac:dyDescent="0.35">
      <c r="T23831" s="246">
        <f t="shared" si="410"/>
        <v>0</v>
      </c>
    </row>
    <row r="23832" spans="20:20" ht="18.75" customHeight="1" x14ac:dyDescent="0.35">
      <c r="T23832" s="246">
        <f t="shared" si="410"/>
        <v>0</v>
      </c>
    </row>
    <row r="23833" spans="20:20" ht="18.75" customHeight="1" x14ac:dyDescent="0.35">
      <c r="T23833" s="246">
        <f t="shared" si="410"/>
        <v>0</v>
      </c>
    </row>
    <row r="23834" spans="20:20" ht="18.75" customHeight="1" x14ac:dyDescent="0.35">
      <c r="T23834" s="246">
        <f t="shared" si="410"/>
        <v>0</v>
      </c>
    </row>
    <row r="23835" spans="20:20" ht="18.75" customHeight="1" x14ac:dyDescent="0.35">
      <c r="T23835" s="246">
        <f t="shared" si="410"/>
        <v>0</v>
      </c>
    </row>
    <row r="23836" spans="20:20" ht="18.75" customHeight="1" x14ac:dyDescent="0.35">
      <c r="T23836" s="246">
        <f t="shared" si="410"/>
        <v>0</v>
      </c>
    </row>
    <row r="23837" spans="20:20" ht="18.75" customHeight="1" x14ac:dyDescent="0.35">
      <c r="T23837" s="246">
        <f t="shared" si="410"/>
        <v>0</v>
      </c>
    </row>
    <row r="23838" spans="20:20" ht="18.75" customHeight="1" x14ac:dyDescent="0.35">
      <c r="T23838" s="246">
        <f t="shared" si="410"/>
        <v>0</v>
      </c>
    </row>
    <row r="23839" spans="20:20" ht="18.75" customHeight="1" x14ac:dyDescent="0.35">
      <c r="T23839" s="246">
        <f t="shared" si="410"/>
        <v>0</v>
      </c>
    </row>
    <row r="23840" spans="20:20" ht="18.75" customHeight="1" x14ac:dyDescent="0.35">
      <c r="T23840" s="246">
        <f t="shared" si="410"/>
        <v>0</v>
      </c>
    </row>
    <row r="23841" spans="20:20" ht="18.75" customHeight="1" x14ac:dyDescent="0.35">
      <c r="T23841" s="246">
        <f t="shared" si="410"/>
        <v>0</v>
      </c>
    </row>
    <row r="23842" spans="20:20" ht="18.75" customHeight="1" x14ac:dyDescent="0.35">
      <c r="T23842" s="246">
        <f t="shared" si="410"/>
        <v>0</v>
      </c>
    </row>
    <row r="23843" spans="20:20" ht="18.75" customHeight="1" x14ac:dyDescent="0.35">
      <c r="T23843" s="246">
        <f t="shared" si="410"/>
        <v>0</v>
      </c>
    </row>
    <row r="23844" spans="20:20" ht="18.75" customHeight="1" x14ac:dyDescent="0.35">
      <c r="T23844" s="246">
        <f t="shared" si="410"/>
        <v>0</v>
      </c>
    </row>
    <row r="23845" spans="20:20" ht="18.75" customHeight="1" x14ac:dyDescent="0.35">
      <c r="T23845" s="246">
        <f t="shared" si="410"/>
        <v>0</v>
      </c>
    </row>
    <row r="23846" spans="20:20" ht="18.75" customHeight="1" x14ac:dyDescent="0.35">
      <c r="T23846" s="246">
        <f t="shared" si="410"/>
        <v>0</v>
      </c>
    </row>
    <row r="23847" spans="20:20" ht="18.75" customHeight="1" x14ac:dyDescent="0.35">
      <c r="T23847" s="246">
        <f t="shared" si="410"/>
        <v>0</v>
      </c>
    </row>
    <row r="23848" spans="20:20" ht="18.75" customHeight="1" x14ac:dyDescent="0.35">
      <c r="T23848" s="246">
        <f t="shared" si="410"/>
        <v>0</v>
      </c>
    </row>
    <row r="23849" spans="20:20" ht="18.75" customHeight="1" x14ac:dyDescent="0.35">
      <c r="T23849" s="246">
        <f t="shared" si="410"/>
        <v>0</v>
      </c>
    </row>
    <row r="23850" spans="20:20" ht="18.75" customHeight="1" x14ac:dyDescent="0.35">
      <c r="T23850" s="246">
        <f t="shared" si="410"/>
        <v>0</v>
      </c>
    </row>
    <row r="23851" spans="20:20" ht="18.75" customHeight="1" x14ac:dyDescent="0.35">
      <c r="T23851" s="246">
        <f t="shared" si="410"/>
        <v>0</v>
      </c>
    </row>
    <row r="23852" spans="20:20" ht="18.75" customHeight="1" x14ac:dyDescent="0.35">
      <c r="T23852" s="246">
        <f t="shared" si="410"/>
        <v>0</v>
      </c>
    </row>
    <row r="23853" spans="20:20" ht="18.75" customHeight="1" x14ac:dyDescent="0.35">
      <c r="T23853" s="246">
        <f t="shared" si="410"/>
        <v>0</v>
      </c>
    </row>
    <row r="23854" spans="20:20" ht="18.75" customHeight="1" x14ac:dyDescent="0.35">
      <c r="T23854" s="246">
        <f t="shared" si="410"/>
        <v>0</v>
      </c>
    </row>
    <row r="23855" spans="20:20" ht="18.75" customHeight="1" x14ac:dyDescent="0.35">
      <c r="T23855" s="246">
        <f t="shared" si="410"/>
        <v>0</v>
      </c>
    </row>
    <row r="23856" spans="20:20" ht="18.75" customHeight="1" x14ac:dyDescent="0.35">
      <c r="T23856" s="246">
        <f t="shared" si="410"/>
        <v>0</v>
      </c>
    </row>
    <row r="23857" spans="20:20" ht="18.75" customHeight="1" x14ac:dyDescent="0.35">
      <c r="T23857" s="246">
        <f t="shared" si="410"/>
        <v>0</v>
      </c>
    </row>
    <row r="23858" spans="20:20" ht="18.75" customHeight="1" x14ac:dyDescent="0.35">
      <c r="T23858" s="246">
        <f t="shared" si="410"/>
        <v>0</v>
      </c>
    </row>
    <row r="23859" spans="20:20" ht="18.75" customHeight="1" x14ac:dyDescent="0.35">
      <c r="T23859" s="246">
        <f t="shared" si="410"/>
        <v>0</v>
      </c>
    </row>
    <row r="23860" spans="20:20" ht="18.75" customHeight="1" x14ac:dyDescent="0.35">
      <c r="T23860" s="246">
        <f t="shared" si="410"/>
        <v>0</v>
      </c>
    </row>
    <row r="23861" spans="20:20" ht="18.75" customHeight="1" x14ac:dyDescent="0.35">
      <c r="T23861" s="246">
        <f t="shared" si="410"/>
        <v>0</v>
      </c>
    </row>
    <row r="23862" spans="20:20" ht="18.75" customHeight="1" x14ac:dyDescent="0.35">
      <c r="T23862" s="246">
        <f t="shared" si="410"/>
        <v>0</v>
      </c>
    </row>
    <row r="23863" spans="20:20" ht="18.75" customHeight="1" x14ac:dyDescent="0.35">
      <c r="T23863" s="246">
        <f t="shared" si="410"/>
        <v>0</v>
      </c>
    </row>
    <row r="23864" spans="20:20" ht="18.75" customHeight="1" x14ac:dyDescent="0.35">
      <c r="T23864" s="246">
        <f t="shared" si="410"/>
        <v>0</v>
      </c>
    </row>
    <row r="23865" spans="20:20" ht="18.75" customHeight="1" x14ac:dyDescent="0.35">
      <c r="T23865" s="246">
        <f t="shared" si="410"/>
        <v>0</v>
      </c>
    </row>
    <row r="23866" spans="20:20" ht="18.75" customHeight="1" x14ac:dyDescent="0.35">
      <c r="T23866" s="246">
        <f t="shared" si="410"/>
        <v>0</v>
      </c>
    </row>
    <row r="23867" spans="20:20" ht="18.75" customHeight="1" x14ac:dyDescent="0.35">
      <c r="T23867" s="246">
        <f t="shared" si="410"/>
        <v>0</v>
      </c>
    </row>
    <row r="23868" spans="20:20" ht="18.75" customHeight="1" x14ac:dyDescent="0.35">
      <c r="T23868" s="246">
        <f t="shared" ref="T23868:T23931" si="411">R23868*0.01</f>
        <v>0</v>
      </c>
    </row>
    <row r="23869" spans="20:20" ht="18.75" customHeight="1" x14ac:dyDescent="0.35">
      <c r="T23869" s="246">
        <f t="shared" si="411"/>
        <v>0</v>
      </c>
    </row>
    <row r="23870" spans="20:20" ht="18.75" customHeight="1" x14ac:dyDescent="0.35">
      <c r="T23870" s="246">
        <f t="shared" si="411"/>
        <v>0</v>
      </c>
    </row>
    <row r="23871" spans="20:20" ht="18.75" customHeight="1" x14ac:dyDescent="0.35">
      <c r="T23871" s="246">
        <f t="shared" si="411"/>
        <v>0</v>
      </c>
    </row>
    <row r="23872" spans="20:20" ht="18.75" customHeight="1" x14ac:dyDescent="0.35">
      <c r="T23872" s="246">
        <f t="shared" si="411"/>
        <v>0</v>
      </c>
    </row>
    <row r="23873" spans="20:20" ht="18.75" customHeight="1" x14ac:dyDescent="0.35">
      <c r="T23873" s="246">
        <f t="shared" si="411"/>
        <v>0</v>
      </c>
    </row>
    <row r="23874" spans="20:20" ht="18.75" customHeight="1" x14ac:dyDescent="0.35">
      <c r="T23874" s="246">
        <f t="shared" si="411"/>
        <v>0</v>
      </c>
    </row>
    <row r="23875" spans="20:20" ht="18.75" customHeight="1" x14ac:dyDescent="0.35">
      <c r="T23875" s="246">
        <f t="shared" si="411"/>
        <v>0</v>
      </c>
    </row>
    <row r="23876" spans="20:20" ht="18.75" customHeight="1" x14ac:dyDescent="0.35">
      <c r="T23876" s="246">
        <f t="shared" si="411"/>
        <v>0</v>
      </c>
    </row>
    <row r="23877" spans="20:20" ht="18.75" customHeight="1" x14ac:dyDescent="0.35">
      <c r="T23877" s="246">
        <f t="shared" si="411"/>
        <v>0</v>
      </c>
    </row>
    <row r="23878" spans="20:20" ht="18.75" customHeight="1" x14ac:dyDescent="0.35">
      <c r="T23878" s="246">
        <f t="shared" si="411"/>
        <v>0</v>
      </c>
    </row>
    <row r="23879" spans="20:20" ht="18.75" customHeight="1" x14ac:dyDescent="0.35">
      <c r="T23879" s="246">
        <f t="shared" si="411"/>
        <v>0</v>
      </c>
    </row>
    <row r="23880" spans="20:20" ht="18.75" customHeight="1" x14ac:dyDescent="0.35">
      <c r="T23880" s="246">
        <f t="shared" si="411"/>
        <v>0</v>
      </c>
    </row>
    <row r="23881" spans="20:20" ht="18.75" customHeight="1" x14ac:dyDescent="0.35">
      <c r="T23881" s="246">
        <f t="shared" si="411"/>
        <v>0</v>
      </c>
    </row>
    <row r="23882" spans="20:20" ht="18.75" customHeight="1" x14ac:dyDescent="0.35">
      <c r="T23882" s="246">
        <f t="shared" si="411"/>
        <v>0</v>
      </c>
    </row>
    <row r="23883" spans="20:20" ht="18.75" customHeight="1" x14ac:dyDescent="0.35">
      <c r="T23883" s="246">
        <f t="shared" si="411"/>
        <v>0</v>
      </c>
    </row>
    <row r="23884" spans="20:20" ht="18.75" customHeight="1" x14ac:dyDescent="0.35">
      <c r="T23884" s="246">
        <f t="shared" si="411"/>
        <v>0</v>
      </c>
    </row>
    <row r="23885" spans="20:20" ht="18.75" customHeight="1" x14ac:dyDescent="0.35">
      <c r="T23885" s="246">
        <f t="shared" si="411"/>
        <v>0</v>
      </c>
    </row>
    <row r="23886" spans="20:20" ht="18.75" customHeight="1" x14ac:dyDescent="0.35">
      <c r="T23886" s="246">
        <f t="shared" si="411"/>
        <v>0</v>
      </c>
    </row>
    <row r="23887" spans="20:20" ht="18.75" customHeight="1" x14ac:dyDescent="0.35">
      <c r="T23887" s="246">
        <f t="shared" si="411"/>
        <v>0</v>
      </c>
    </row>
    <row r="23888" spans="20:20" ht="18.75" customHeight="1" x14ac:dyDescent="0.35">
      <c r="T23888" s="246">
        <f t="shared" si="411"/>
        <v>0</v>
      </c>
    </row>
    <row r="23889" spans="20:20" ht="18.75" customHeight="1" x14ac:dyDescent="0.35">
      <c r="T23889" s="246">
        <f t="shared" si="411"/>
        <v>0</v>
      </c>
    </row>
    <row r="23890" spans="20:20" ht="18.75" customHeight="1" x14ac:dyDescent="0.35">
      <c r="T23890" s="246">
        <f t="shared" si="411"/>
        <v>0</v>
      </c>
    </row>
    <row r="23891" spans="20:20" ht="18.75" customHeight="1" x14ac:dyDescent="0.35">
      <c r="T23891" s="246">
        <f t="shared" si="411"/>
        <v>0</v>
      </c>
    </row>
    <row r="23892" spans="20:20" ht="18.75" customHeight="1" x14ac:dyDescent="0.35">
      <c r="T23892" s="246">
        <f t="shared" si="411"/>
        <v>0</v>
      </c>
    </row>
    <row r="23893" spans="20:20" ht="18.75" customHeight="1" x14ac:dyDescent="0.35">
      <c r="T23893" s="246">
        <f t="shared" si="411"/>
        <v>0</v>
      </c>
    </row>
    <row r="23894" spans="20:20" ht="18.75" customHeight="1" x14ac:dyDescent="0.35">
      <c r="T23894" s="246">
        <f t="shared" si="411"/>
        <v>0</v>
      </c>
    </row>
    <row r="23895" spans="20:20" ht="18.75" customHeight="1" x14ac:dyDescent="0.35">
      <c r="T23895" s="246">
        <f t="shared" si="411"/>
        <v>0</v>
      </c>
    </row>
    <row r="23896" spans="20:20" ht="18.75" customHeight="1" x14ac:dyDescent="0.35">
      <c r="T23896" s="246">
        <f t="shared" si="411"/>
        <v>0</v>
      </c>
    </row>
    <row r="23897" spans="20:20" ht="18.75" customHeight="1" x14ac:dyDescent="0.35">
      <c r="T23897" s="246">
        <f t="shared" si="411"/>
        <v>0</v>
      </c>
    </row>
    <row r="23898" spans="20:20" ht="18.75" customHeight="1" x14ac:dyDescent="0.35">
      <c r="T23898" s="246">
        <f t="shared" si="411"/>
        <v>0</v>
      </c>
    </row>
    <row r="23899" spans="20:20" ht="18.75" customHeight="1" x14ac:dyDescent="0.35">
      <c r="T23899" s="246">
        <f t="shared" si="411"/>
        <v>0</v>
      </c>
    </row>
    <row r="23900" spans="20:20" ht="18.75" customHeight="1" x14ac:dyDescent="0.35">
      <c r="T23900" s="246">
        <f t="shared" si="411"/>
        <v>0</v>
      </c>
    </row>
    <row r="23901" spans="20:20" ht="18.75" customHeight="1" x14ac:dyDescent="0.35">
      <c r="T23901" s="246">
        <f t="shared" si="411"/>
        <v>0</v>
      </c>
    </row>
    <row r="23902" spans="20:20" ht="18.75" customHeight="1" x14ac:dyDescent="0.35">
      <c r="T23902" s="246">
        <f t="shared" si="411"/>
        <v>0</v>
      </c>
    </row>
    <row r="23903" spans="20:20" ht="18.75" customHeight="1" x14ac:dyDescent="0.35">
      <c r="T23903" s="246">
        <f t="shared" si="411"/>
        <v>0</v>
      </c>
    </row>
    <row r="23904" spans="20:20" ht="18.75" customHeight="1" x14ac:dyDescent="0.35">
      <c r="T23904" s="246">
        <f t="shared" si="411"/>
        <v>0</v>
      </c>
    </row>
    <row r="23905" spans="20:20" ht="18.75" customHeight="1" x14ac:dyDescent="0.35">
      <c r="T23905" s="246">
        <f t="shared" si="411"/>
        <v>0</v>
      </c>
    </row>
    <row r="23906" spans="20:20" ht="18.75" customHeight="1" x14ac:dyDescent="0.35">
      <c r="T23906" s="246">
        <f t="shared" si="411"/>
        <v>0</v>
      </c>
    </row>
    <row r="23907" spans="20:20" ht="18.75" customHeight="1" x14ac:dyDescent="0.35">
      <c r="T23907" s="246">
        <f t="shared" si="411"/>
        <v>0</v>
      </c>
    </row>
    <row r="23908" spans="20:20" ht="18.75" customHeight="1" x14ac:dyDescent="0.35">
      <c r="T23908" s="246">
        <f t="shared" si="411"/>
        <v>0</v>
      </c>
    </row>
    <row r="23909" spans="20:20" ht="18.75" customHeight="1" x14ac:dyDescent="0.35">
      <c r="T23909" s="246">
        <f t="shared" si="411"/>
        <v>0</v>
      </c>
    </row>
    <row r="23910" spans="20:20" ht="18.75" customHeight="1" x14ac:dyDescent="0.35">
      <c r="T23910" s="246">
        <f t="shared" si="411"/>
        <v>0</v>
      </c>
    </row>
    <row r="23911" spans="20:20" ht="18.75" customHeight="1" x14ac:dyDescent="0.35">
      <c r="T23911" s="246">
        <f t="shared" si="411"/>
        <v>0</v>
      </c>
    </row>
    <row r="23912" spans="20:20" ht="18.75" customHeight="1" x14ac:dyDescent="0.35">
      <c r="T23912" s="246">
        <f t="shared" si="411"/>
        <v>0</v>
      </c>
    </row>
    <row r="23913" spans="20:20" ht="18.75" customHeight="1" x14ac:dyDescent="0.35">
      <c r="T23913" s="246">
        <f t="shared" si="411"/>
        <v>0</v>
      </c>
    </row>
    <row r="23914" spans="20:20" ht="18.75" customHeight="1" x14ac:dyDescent="0.35">
      <c r="T23914" s="246">
        <f t="shared" si="411"/>
        <v>0</v>
      </c>
    </row>
    <row r="23915" spans="20:20" ht="18.75" customHeight="1" x14ac:dyDescent="0.35">
      <c r="T23915" s="246">
        <f t="shared" si="411"/>
        <v>0</v>
      </c>
    </row>
    <row r="23916" spans="20:20" ht="18.75" customHeight="1" x14ac:dyDescent="0.35">
      <c r="T23916" s="246">
        <f t="shared" si="411"/>
        <v>0</v>
      </c>
    </row>
    <row r="23917" spans="20:20" ht="18.75" customHeight="1" x14ac:dyDescent="0.35">
      <c r="T23917" s="246">
        <f t="shared" si="411"/>
        <v>0</v>
      </c>
    </row>
    <row r="23918" spans="20:20" ht="18.75" customHeight="1" x14ac:dyDescent="0.35">
      <c r="T23918" s="246">
        <f t="shared" si="411"/>
        <v>0</v>
      </c>
    </row>
    <row r="23919" spans="20:20" ht="18.75" customHeight="1" x14ac:dyDescent="0.35">
      <c r="T23919" s="246">
        <f t="shared" si="411"/>
        <v>0</v>
      </c>
    </row>
    <row r="23920" spans="20:20" ht="18.75" customHeight="1" x14ac:dyDescent="0.35">
      <c r="T23920" s="246">
        <f t="shared" si="411"/>
        <v>0</v>
      </c>
    </row>
    <row r="23921" spans="20:20" ht="18.75" customHeight="1" x14ac:dyDescent="0.35">
      <c r="T23921" s="246">
        <f t="shared" si="411"/>
        <v>0</v>
      </c>
    </row>
    <row r="23922" spans="20:20" ht="18.75" customHeight="1" x14ac:dyDescent="0.35">
      <c r="T23922" s="246">
        <f t="shared" si="411"/>
        <v>0</v>
      </c>
    </row>
    <row r="23923" spans="20:20" ht="18.75" customHeight="1" x14ac:dyDescent="0.35">
      <c r="T23923" s="246">
        <f t="shared" si="411"/>
        <v>0</v>
      </c>
    </row>
    <row r="23924" spans="20:20" ht="18.75" customHeight="1" x14ac:dyDescent="0.35">
      <c r="T23924" s="246">
        <f t="shared" si="411"/>
        <v>0</v>
      </c>
    </row>
    <row r="23925" spans="20:20" ht="18.75" customHeight="1" x14ac:dyDescent="0.35">
      <c r="T23925" s="246">
        <f t="shared" si="411"/>
        <v>0</v>
      </c>
    </row>
    <row r="23926" spans="20:20" ht="18.75" customHeight="1" x14ac:dyDescent="0.35">
      <c r="T23926" s="246">
        <f t="shared" si="411"/>
        <v>0</v>
      </c>
    </row>
    <row r="23927" spans="20:20" ht="18.75" customHeight="1" x14ac:dyDescent="0.35">
      <c r="T23927" s="246">
        <f t="shared" si="411"/>
        <v>0</v>
      </c>
    </row>
    <row r="23928" spans="20:20" ht="18.75" customHeight="1" x14ac:dyDescent="0.35">
      <c r="T23928" s="246">
        <f t="shared" si="411"/>
        <v>0</v>
      </c>
    </row>
    <row r="23929" spans="20:20" ht="18.75" customHeight="1" x14ac:dyDescent="0.35">
      <c r="T23929" s="246">
        <f t="shared" si="411"/>
        <v>0</v>
      </c>
    </row>
    <row r="23930" spans="20:20" ht="18.75" customHeight="1" x14ac:dyDescent="0.35">
      <c r="T23930" s="246">
        <f t="shared" si="411"/>
        <v>0</v>
      </c>
    </row>
    <row r="23931" spans="20:20" ht="18.75" customHeight="1" x14ac:dyDescent="0.35">
      <c r="T23931" s="246">
        <f t="shared" si="411"/>
        <v>0</v>
      </c>
    </row>
    <row r="23932" spans="20:20" ht="18.75" customHeight="1" x14ac:dyDescent="0.35">
      <c r="T23932" s="246">
        <f t="shared" ref="T23932:T23995" si="412">R23932*0.01</f>
        <v>0</v>
      </c>
    </row>
    <row r="23933" spans="20:20" ht="18.75" customHeight="1" x14ac:dyDescent="0.35">
      <c r="T23933" s="246">
        <f t="shared" si="412"/>
        <v>0</v>
      </c>
    </row>
    <row r="23934" spans="20:20" ht="18.75" customHeight="1" x14ac:dyDescent="0.35">
      <c r="T23934" s="246">
        <f t="shared" si="412"/>
        <v>0</v>
      </c>
    </row>
    <row r="23935" spans="20:20" ht="18.75" customHeight="1" x14ac:dyDescent="0.35">
      <c r="T23935" s="246">
        <f t="shared" si="412"/>
        <v>0</v>
      </c>
    </row>
    <row r="23936" spans="20:20" ht="18.75" customHeight="1" x14ac:dyDescent="0.35">
      <c r="T23936" s="246">
        <f t="shared" si="412"/>
        <v>0</v>
      </c>
    </row>
    <row r="23937" spans="20:20" ht="18.75" customHeight="1" x14ac:dyDescent="0.35">
      <c r="T23937" s="246">
        <f t="shared" si="412"/>
        <v>0</v>
      </c>
    </row>
    <row r="23938" spans="20:20" ht="18.75" customHeight="1" x14ac:dyDescent="0.35">
      <c r="T23938" s="246">
        <f t="shared" si="412"/>
        <v>0</v>
      </c>
    </row>
    <row r="23939" spans="20:20" ht="18.75" customHeight="1" x14ac:dyDescent="0.35">
      <c r="T23939" s="246">
        <f t="shared" si="412"/>
        <v>0</v>
      </c>
    </row>
    <row r="23940" spans="20:20" ht="18.75" customHeight="1" x14ac:dyDescent="0.35">
      <c r="T23940" s="246">
        <f t="shared" si="412"/>
        <v>0</v>
      </c>
    </row>
    <row r="23941" spans="20:20" ht="18.75" customHeight="1" x14ac:dyDescent="0.35">
      <c r="T23941" s="246">
        <f t="shared" si="412"/>
        <v>0</v>
      </c>
    </row>
    <row r="23942" spans="20:20" ht="18.75" customHeight="1" x14ac:dyDescent="0.35">
      <c r="T23942" s="246">
        <f t="shared" si="412"/>
        <v>0</v>
      </c>
    </row>
    <row r="23943" spans="20:20" ht="18.75" customHeight="1" x14ac:dyDescent="0.35">
      <c r="T23943" s="246">
        <f t="shared" si="412"/>
        <v>0</v>
      </c>
    </row>
    <row r="23944" spans="20:20" ht="18.75" customHeight="1" x14ac:dyDescent="0.35">
      <c r="T23944" s="246">
        <f t="shared" si="412"/>
        <v>0</v>
      </c>
    </row>
    <row r="23945" spans="20:20" ht="18.75" customHeight="1" x14ac:dyDescent="0.35">
      <c r="T23945" s="246">
        <f t="shared" si="412"/>
        <v>0</v>
      </c>
    </row>
    <row r="23946" spans="20:20" ht="18.75" customHeight="1" x14ac:dyDescent="0.35">
      <c r="T23946" s="246">
        <f t="shared" si="412"/>
        <v>0</v>
      </c>
    </row>
    <row r="23947" spans="20:20" ht="18.75" customHeight="1" x14ac:dyDescent="0.35">
      <c r="T23947" s="246">
        <f t="shared" si="412"/>
        <v>0</v>
      </c>
    </row>
    <row r="23948" spans="20:20" ht="18.75" customHeight="1" x14ac:dyDescent="0.35">
      <c r="T23948" s="246">
        <f t="shared" si="412"/>
        <v>0</v>
      </c>
    </row>
    <row r="23949" spans="20:20" ht="18.75" customHeight="1" x14ac:dyDescent="0.35">
      <c r="T23949" s="246">
        <f t="shared" si="412"/>
        <v>0</v>
      </c>
    </row>
    <row r="23950" spans="20:20" ht="18.75" customHeight="1" x14ac:dyDescent="0.35">
      <c r="T23950" s="246">
        <f t="shared" si="412"/>
        <v>0</v>
      </c>
    </row>
    <row r="23951" spans="20:20" ht="18.75" customHeight="1" x14ac:dyDescent="0.35">
      <c r="T23951" s="246">
        <f t="shared" si="412"/>
        <v>0</v>
      </c>
    </row>
    <row r="23952" spans="20:20" ht="18.75" customHeight="1" x14ac:dyDescent="0.35">
      <c r="T23952" s="246">
        <f t="shared" si="412"/>
        <v>0</v>
      </c>
    </row>
    <row r="23953" spans="20:20" ht="18.75" customHeight="1" x14ac:dyDescent="0.35">
      <c r="T23953" s="246">
        <f t="shared" si="412"/>
        <v>0</v>
      </c>
    </row>
    <row r="23954" spans="20:20" ht="18.75" customHeight="1" x14ac:dyDescent="0.35">
      <c r="T23954" s="246">
        <f t="shared" si="412"/>
        <v>0</v>
      </c>
    </row>
    <row r="23955" spans="20:20" ht="18.75" customHeight="1" x14ac:dyDescent="0.35">
      <c r="T23955" s="246">
        <f t="shared" si="412"/>
        <v>0</v>
      </c>
    </row>
    <row r="23956" spans="20:20" ht="18.75" customHeight="1" x14ac:dyDescent="0.35">
      <c r="T23956" s="246">
        <f t="shared" si="412"/>
        <v>0</v>
      </c>
    </row>
    <row r="23957" spans="20:20" ht="18.75" customHeight="1" x14ac:dyDescent="0.35">
      <c r="T23957" s="246">
        <f t="shared" si="412"/>
        <v>0</v>
      </c>
    </row>
    <row r="23958" spans="20:20" ht="18.75" customHeight="1" x14ac:dyDescent="0.35">
      <c r="T23958" s="246">
        <f t="shared" si="412"/>
        <v>0</v>
      </c>
    </row>
    <row r="23959" spans="20:20" ht="18.75" customHeight="1" x14ac:dyDescent="0.35">
      <c r="T23959" s="246">
        <f t="shared" si="412"/>
        <v>0</v>
      </c>
    </row>
    <row r="23960" spans="20:20" ht="18.75" customHeight="1" x14ac:dyDescent="0.35">
      <c r="T23960" s="246">
        <f t="shared" si="412"/>
        <v>0</v>
      </c>
    </row>
    <row r="23961" spans="20:20" ht="18.75" customHeight="1" x14ac:dyDescent="0.35">
      <c r="T23961" s="246">
        <f t="shared" si="412"/>
        <v>0</v>
      </c>
    </row>
    <row r="23962" spans="20:20" ht="18.75" customHeight="1" x14ac:dyDescent="0.35">
      <c r="T23962" s="246">
        <f t="shared" si="412"/>
        <v>0</v>
      </c>
    </row>
    <row r="23963" spans="20:20" ht="18.75" customHeight="1" x14ac:dyDescent="0.35">
      <c r="T23963" s="246">
        <f t="shared" si="412"/>
        <v>0</v>
      </c>
    </row>
    <row r="23964" spans="20:20" ht="18.75" customHeight="1" x14ac:dyDescent="0.35">
      <c r="T23964" s="246">
        <f t="shared" si="412"/>
        <v>0</v>
      </c>
    </row>
    <row r="23965" spans="20:20" ht="18.75" customHeight="1" x14ac:dyDescent="0.35">
      <c r="T23965" s="246">
        <f t="shared" si="412"/>
        <v>0</v>
      </c>
    </row>
    <row r="23966" spans="20:20" ht="18.75" customHeight="1" x14ac:dyDescent="0.35">
      <c r="T23966" s="246">
        <f t="shared" si="412"/>
        <v>0</v>
      </c>
    </row>
    <row r="23967" spans="20:20" ht="18.75" customHeight="1" x14ac:dyDescent="0.35">
      <c r="T23967" s="246">
        <f t="shared" si="412"/>
        <v>0</v>
      </c>
    </row>
    <row r="23968" spans="20:20" ht="18.75" customHeight="1" x14ac:dyDescent="0.35">
      <c r="T23968" s="246">
        <f t="shared" si="412"/>
        <v>0</v>
      </c>
    </row>
    <row r="23969" spans="20:20" ht="18.75" customHeight="1" x14ac:dyDescent="0.35">
      <c r="T23969" s="246">
        <f t="shared" si="412"/>
        <v>0</v>
      </c>
    </row>
    <row r="23970" spans="20:20" ht="18.75" customHeight="1" x14ac:dyDescent="0.35">
      <c r="T23970" s="246">
        <f t="shared" si="412"/>
        <v>0</v>
      </c>
    </row>
    <row r="23971" spans="20:20" ht="18.75" customHeight="1" x14ac:dyDescent="0.35">
      <c r="T23971" s="246">
        <f t="shared" si="412"/>
        <v>0</v>
      </c>
    </row>
    <row r="23972" spans="20:20" ht="18.75" customHeight="1" x14ac:dyDescent="0.35">
      <c r="T23972" s="246">
        <f t="shared" si="412"/>
        <v>0</v>
      </c>
    </row>
    <row r="23973" spans="20:20" ht="18.75" customHeight="1" x14ac:dyDescent="0.35">
      <c r="T23973" s="246">
        <f t="shared" si="412"/>
        <v>0</v>
      </c>
    </row>
    <row r="23974" spans="20:20" ht="18.75" customHeight="1" x14ac:dyDescent="0.35">
      <c r="T23974" s="246">
        <f t="shared" si="412"/>
        <v>0</v>
      </c>
    </row>
    <row r="23975" spans="20:20" ht="18.75" customHeight="1" x14ac:dyDescent="0.35">
      <c r="T23975" s="246">
        <f t="shared" si="412"/>
        <v>0</v>
      </c>
    </row>
    <row r="23976" spans="20:20" ht="18.75" customHeight="1" x14ac:dyDescent="0.35">
      <c r="T23976" s="246">
        <f t="shared" si="412"/>
        <v>0</v>
      </c>
    </row>
    <row r="23977" spans="20:20" ht="18.75" customHeight="1" x14ac:dyDescent="0.35">
      <c r="T23977" s="246">
        <f t="shared" si="412"/>
        <v>0</v>
      </c>
    </row>
    <row r="23978" spans="20:20" ht="18.75" customHeight="1" x14ac:dyDescent="0.35">
      <c r="T23978" s="246">
        <f t="shared" si="412"/>
        <v>0</v>
      </c>
    </row>
    <row r="23979" spans="20:20" ht="18.75" customHeight="1" x14ac:dyDescent="0.35">
      <c r="T23979" s="246">
        <f t="shared" si="412"/>
        <v>0</v>
      </c>
    </row>
    <row r="23980" spans="20:20" ht="18.75" customHeight="1" x14ac:dyDescent="0.35">
      <c r="T23980" s="246">
        <f t="shared" si="412"/>
        <v>0</v>
      </c>
    </row>
    <row r="23981" spans="20:20" ht="18.75" customHeight="1" x14ac:dyDescent="0.35">
      <c r="T23981" s="246">
        <f t="shared" si="412"/>
        <v>0</v>
      </c>
    </row>
    <row r="23982" spans="20:20" ht="18.75" customHeight="1" x14ac:dyDescent="0.35">
      <c r="T23982" s="246">
        <f t="shared" si="412"/>
        <v>0</v>
      </c>
    </row>
    <row r="23983" spans="20:20" ht="18.75" customHeight="1" x14ac:dyDescent="0.35">
      <c r="T23983" s="246">
        <f t="shared" si="412"/>
        <v>0</v>
      </c>
    </row>
    <row r="23984" spans="20:20" ht="18.75" customHeight="1" x14ac:dyDescent="0.35">
      <c r="T23984" s="246">
        <f t="shared" si="412"/>
        <v>0</v>
      </c>
    </row>
    <row r="23985" spans="20:20" ht="18.75" customHeight="1" x14ac:dyDescent="0.35">
      <c r="T23985" s="246">
        <f t="shared" si="412"/>
        <v>0</v>
      </c>
    </row>
    <row r="23986" spans="20:20" ht="18.75" customHeight="1" x14ac:dyDescent="0.35">
      <c r="T23986" s="246">
        <f t="shared" si="412"/>
        <v>0</v>
      </c>
    </row>
    <row r="23987" spans="20:20" ht="18.75" customHeight="1" x14ac:dyDescent="0.35">
      <c r="T23987" s="246">
        <f t="shared" si="412"/>
        <v>0</v>
      </c>
    </row>
    <row r="23988" spans="20:20" ht="18.75" customHeight="1" x14ac:dyDescent="0.35">
      <c r="T23988" s="246">
        <f t="shared" si="412"/>
        <v>0</v>
      </c>
    </row>
    <row r="23989" spans="20:20" ht="18.75" customHeight="1" x14ac:dyDescent="0.35">
      <c r="T23989" s="246">
        <f t="shared" si="412"/>
        <v>0</v>
      </c>
    </row>
    <row r="23990" spans="20:20" ht="18.75" customHeight="1" x14ac:dyDescent="0.35">
      <c r="T23990" s="246">
        <f t="shared" si="412"/>
        <v>0</v>
      </c>
    </row>
    <row r="23991" spans="20:20" ht="18.75" customHeight="1" x14ac:dyDescent="0.35">
      <c r="T23991" s="246">
        <f t="shared" si="412"/>
        <v>0</v>
      </c>
    </row>
    <row r="23992" spans="20:20" ht="18.75" customHeight="1" x14ac:dyDescent="0.35">
      <c r="T23992" s="246">
        <f t="shared" si="412"/>
        <v>0</v>
      </c>
    </row>
    <row r="23993" spans="20:20" ht="18.75" customHeight="1" x14ac:dyDescent="0.35">
      <c r="T23993" s="246">
        <f t="shared" si="412"/>
        <v>0</v>
      </c>
    </row>
    <row r="23994" spans="20:20" ht="18.75" customHeight="1" x14ac:dyDescent="0.35">
      <c r="T23994" s="246">
        <f t="shared" si="412"/>
        <v>0</v>
      </c>
    </row>
    <row r="23995" spans="20:20" ht="18.75" customHeight="1" x14ac:dyDescent="0.35">
      <c r="T23995" s="246">
        <f t="shared" si="412"/>
        <v>0</v>
      </c>
    </row>
    <row r="23996" spans="20:20" ht="18.75" customHeight="1" x14ac:dyDescent="0.35">
      <c r="T23996" s="246">
        <f t="shared" ref="T23996:T24059" si="413">R23996*0.01</f>
        <v>0</v>
      </c>
    </row>
    <row r="23997" spans="20:20" ht="18.75" customHeight="1" x14ac:dyDescent="0.35">
      <c r="T23997" s="246">
        <f t="shared" si="413"/>
        <v>0</v>
      </c>
    </row>
    <row r="23998" spans="20:20" ht="18.75" customHeight="1" x14ac:dyDescent="0.35">
      <c r="T23998" s="246">
        <f t="shared" si="413"/>
        <v>0</v>
      </c>
    </row>
    <row r="23999" spans="20:20" ht="18.75" customHeight="1" x14ac:dyDescent="0.35">
      <c r="T23999" s="246">
        <f t="shared" si="413"/>
        <v>0</v>
      </c>
    </row>
    <row r="24000" spans="20:20" ht="18.75" customHeight="1" x14ac:dyDescent="0.35">
      <c r="T24000" s="246">
        <f t="shared" si="413"/>
        <v>0</v>
      </c>
    </row>
    <row r="24001" spans="20:20" ht="18.75" customHeight="1" x14ac:dyDescent="0.35">
      <c r="T24001" s="246">
        <f t="shared" si="413"/>
        <v>0</v>
      </c>
    </row>
    <row r="24002" spans="20:20" ht="18.75" customHeight="1" x14ac:dyDescent="0.35">
      <c r="T24002" s="246">
        <f t="shared" si="413"/>
        <v>0</v>
      </c>
    </row>
    <row r="24003" spans="20:20" ht="18.75" customHeight="1" x14ac:dyDescent="0.35">
      <c r="T24003" s="246">
        <f t="shared" si="413"/>
        <v>0</v>
      </c>
    </row>
    <row r="24004" spans="20:20" ht="18.75" customHeight="1" x14ac:dyDescent="0.35">
      <c r="T24004" s="246">
        <f t="shared" si="413"/>
        <v>0</v>
      </c>
    </row>
    <row r="24005" spans="20:20" ht="18.75" customHeight="1" x14ac:dyDescent="0.35">
      <c r="T24005" s="246">
        <f t="shared" si="413"/>
        <v>0</v>
      </c>
    </row>
    <row r="24006" spans="20:20" ht="18.75" customHeight="1" x14ac:dyDescent="0.35">
      <c r="T24006" s="246">
        <f t="shared" si="413"/>
        <v>0</v>
      </c>
    </row>
    <row r="24007" spans="20:20" ht="18.75" customHeight="1" x14ac:dyDescent="0.35">
      <c r="T24007" s="246">
        <f t="shared" si="413"/>
        <v>0</v>
      </c>
    </row>
    <row r="24008" spans="20:20" ht="18.75" customHeight="1" x14ac:dyDescent="0.35">
      <c r="T24008" s="246">
        <f t="shared" si="413"/>
        <v>0</v>
      </c>
    </row>
    <row r="24009" spans="20:20" ht="18.75" customHeight="1" x14ac:dyDescent="0.35">
      <c r="T24009" s="246">
        <f t="shared" si="413"/>
        <v>0</v>
      </c>
    </row>
    <row r="24010" spans="20:20" ht="18.75" customHeight="1" x14ac:dyDescent="0.35">
      <c r="T24010" s="246">
        <f t="shared" si="413"/>
        <v>0</v>
      </c>
    </row>
    <row r="24011" spans="20:20" ht="18.75" customHeight="1" x14ac:dyDescent="0.35">
      <c r="T24011" s="246">
        <f t="shared" si="413"/>
        <v>0</v>
      </c>
    </row>
    <row r="24012" spans="20:20" ht="18.75" customHeight="1" x14ac:dyDescent="0.35">
      <c r="T24012" s="246">
        <f t="shared" si="413"/>
        <v>0</v>
      </c>
    </row>
    <row r="24013" spans="20:20" ht="18.75" customHeight="1" x14ac:dyDescent="0.35">
      <c r="T24013" s="246">
        <f t="shared" si="413"/>
        <v>0</v>
      </c>
    </row>
    <row r="24014" spans="20:20" ht="18.75" customHeight="1" x14ac:dyDescent="0.35">
      <c r="T24014" s="246">
        <f t="shared" si="413"/>
        <v>0</v>
      </c>
    </row>
    <row r="24015" spans="20:20" ht="18.75" customHeight="1" x14ac:dyDescent="0.35">
      <c r="T24015" s="246">
        <f t="shared" si="413"/>
        <v>0</v>
      </c>
    </row>
    <row r="24016" spans="20:20" ht="18.75" customHeight="1" x14ac:dyDescent="0.35">
      <c r="T24016" s="246">
        <f t="shared" si="413"/>
        <v>0</v>
      </c>
    </row>
    <row r="24017" spans="20:20" ht="18.75" customHeight="1" x14ac:dyDescent="0.35">
      <c r="T24017" s="246">
        <f t="shared" si="413"/>
        <v>0</v>
      </c>
    </row>
    <row r="24018" spans="20:20" ht="18.75" customHeight="1" x14ac:dyDescent="0.35">
      <c r="T24018" s="246">
        <f t="shared" si="413"/>
        <v>0</v>
      </c>
    </row>
    <row r="24019" spans="20:20" ht="18.75" customHeight="1" x14ac:dyDescent="0.35">
      <c r="T24019" s="246">
        <f t="shared" si="413"/>
        <v>0</v>
      </c>
    </row>
    <row r="24020" spans="20:20" ht="18.75" customHeight="1" x14ac:dyDescent="0.35">
      <c r="T24020" s="246">
        <f t="shared" si="413"/>
        <v>0</v>
      </c>
    </row>
    <row r="24021" spans="20:20" ht="18.75" customHeight="1" x14ac:dyDescent="0.35">
      <c r="T24021" s="246">
        <f t="shared" si="413"/>
        <v>0</v>
      </c>
    </row>
    <row r="24022" spans="20:20" ht="18.75" customHeight="1" x14ac:dyDescent="0.35">
      <c r="T24022" s="246">
        <f t="shared" si="413"/>
        <v>0</v>
      </c>
    </row>
    <row r="24023" spans="20:20" ht="18.75" customHeight="1" x14ac:dyDescent="0.35">
      <c r="T24023" s="246">
        <f t="shared" si="413"/>
        <v>0</v>
      </c>
    </row>
    <row r="24024" spans="20:20" ht="18.75" customHeight="1" x14ac:dyDescent="0.35">
      <c r="T24024" s="246">
        <f t="shared" si="413"/>
        <v>0</v>
      </c>
    </row>
    <row r="24025" spans="20:20" ht="18.75" customHeight="1" x14ac:dyDescent="0.35">
      <c r="T24025" s="246">
        <f t="shared" si="413"/>
        <v>0</v>
      </c>
    </row>
    <row r="24026" spans="20:20" ht="18.75" customHeight="1" x14ac:dyDescent="0.35">
      <c r="T24026" s="246">
        <f t="shared" si="413"/>
        <v>0</v>
      </c>
    </row>
    <row r="24027" spans="20:20" ht="18.75" customHeight="1" x14ac:dyDescent="0.35">
      <c r="T24027" s="246">
        <f t="shared" si="413"/>
        <v>0</v>
      </c>
    </row>
    <row r="24028" spans="20:20" ht="18.75" customHeight="1" x14ac:dyDescent="0.35">
      <c r="T24028" s="246">
        <f t="shared" si="413"/>
        <v>0</v>
      </c>
    </row>
    <row r="24029" spans="20:20" ht="18.75" customHeight="1" x14ac:dyDescent="0.35">
      <c r="T24029" s="246">
        <f t="shared" si="413"/>
        <v>0</v>
      </c>
    </row>
    <row r="24030" spans="20:20" ht="18.75" customHeight="1" x14ac:dyDescent="0.35">
      <c r="T24030" s="246">
        <f t="shared" si="413"/>
        <v>0</v>
      </c>
    </row>
    <row r="24031" spans="20:20" ht="18.75" customHeight="1" x14ac:dyDescent="0.35">
      <c r="T24031" s="246">
        <f t="shared" si="413"/>
        <v>0</v>
      </c>
    </row>
    <row r="24032" spans="20:20" ht="18.75" customHeight="1" x14ac:dyDescent="0.35">
      <c r="T24032" s="246">
        <f t="shared" si="413"/>
        <v>0</v>
      </c>
    </row>
    <row r="24033" spans="20:20" ht="18.75" customHeight="1" x14ac:dyDescent="0.35">
      <c r="T24033" s="246">
        <f t="shared" si="413"/>
        <v>0</v>
      </c>
    </row>
    <row r="24034" spans="20:20" ht="18.75" customHeight="1" x14ac:dyDescent="0.35">
      <c r="T24034" s="246">
        <f t="shared" si="413"/>
        <v>0</v>
      </c>
    </row>
    <row r="24035" spans="20:20" ht="18.75" customHeight="1" x14ac:dyDescent="0.35">
      <c r="T24035" s="246">
        <f t="shared" si="413"/>
        <v>0</v>
      </c>
    </row>
    <row r="24036" spans="20:20" ht="18.75" customHeight="1" x14ac:dyDescent="0.35">
      <c r="T24036" s="246">
        <f t="shared" si="413"/>
        <v>0</v>
      </c>
    </row>
    <row r="24037" spans="20:20" ht="18.75" customHeight="1" x14ac:dyDescent="0.35">
      <c r="T24037" s="246">
        <f t="shared" si="413"/>
        <v>0</v>
      </c>
    </row>
    <row r="24038" spans="20:20" ht="18.75" customHeight="1" x14ac:dyDescent="0.35">
      <c r="T24038" s="246">
        <f t="shared" si="413"/>
        <v>0</v>
      </c>
    </row>
    <row r="24039" spans="20:20" ht="18.75" customHeight="1" x14ac:dyDescent="0.35">
      <c r="T24039" s="246">
        <f t="shared" si="413"/>
        <v>0</v>
      </c>
    </row>
    <row r="24040" spans="20:20" ht="18.75" customHeight="1" x14ac:dyDescent="0.35">
      <c r="T24040" s="246">
        <f t="shared" si="413"/>
        <v>0</v>
      </c>
    </row>
    <row r="24041" spans="20:20" ht="18.75" customHeight="1" x14ac:dyDescent="0.35">
      <c r="T24041" s="246">
        <f t="shared" si="413"/>
        <v>0</v>
      </c>
    </row>
    <row r="24042" spans="20:20" ht="18.75" customHeight="1" x14ac:dyDescent="0.35">
      <c r="T24042" s="246">
        <f t="shared" si="413"/>
        <v>0</v>
      </c>
    </row>
    <row r="24043" spans="20:20" ht="18.75" customHeight="1" x14ac:dyDescent="0.35">
      <c r="T24043" s="246">
        <f t="shared" si="413"/>
        <v>0</v>
      </c>
    </row>
    <row r="24044" spans="20:20" ht="18.75" customHeight="1" x14ac:dyDescent="0.35">
      <c r="T24044" s="246">
        <f t="shared" si="413"/>
        <v>0</v>
      </c>
    </row>
    <row r="24045" spans="20:20" ht="18.75" customHeight="1" x14ac:dyDescent="0.35">
      <c r="T24045" s="246">
        <f t="shared" si="413"/>
        <v>0</v>
      </c>
    </row>
    <row r="24046" spans="20:20" ht="18.75" customHeight="1" x14ac:dyDescent="0.35">
      <c r="T24046" s="246">
        <f t="shared" si="413"/>
        <v>0</v>
      </c>
    </row>
    <row r="24047" spans="20:20" ht="18.75" customHeight="1" x14ac:dyDescent="0.35">
      <c r="T24047" s="246">
        <f t="shared" si="413"/>
        <v>0</v>
      </c>
    </row>
    <row r="24048" spans="20:20" ht="18.75" customHeight="1" x14ac:dyDescent="0.35">
      <c r="T24048" s="246">
        <f t="shared" si="413"/>
        <v>0</v>
      </c>
    </row>
    <row r="24049" spans="20:20" ht="18.75" customHeight="1" x14ac:dyDescent="0.35">
      <c r="T24049" s="246">
        <f t="shared" si="413"/>
        <v>0</v>
      </c>
    </row>
    <row r="24050" spans="20:20" ht="18.75" customHeight="1" x14ac:dyDescent="0.35">
      <c r="T24050" s="246">
        <f t="shared" si="413"/>
        <v>0</v>
      </c>
    </row>
    <row r="24051" spans="20:20" ht="18.75" customHeight="1" x14ac:dyDescent="0.35">
      <c r="T24051" s="246">
        <f t="shared" si="413"/>
        <v>0</v>
      </c>
    </row>
    <row r="24052" spans="20:20" ht="18.75" customHeight="1" x14ac:dyDescent="0.35">
      <c r="T24052" s="246">
        <f t="shared" si="413"/>
        <v>0</v>
      </c>
    </row>
    <row r="24053" spans="20:20" ht="18.75" customHeight="1" x14ac:dyDescent="0.35">
      <c r="T24053" s="246">
        <f t="shared" si="413"/>
        <v>0</v>
      </c>
    </row>
    <row r="24054" spans="20:20" ht="18.75" customHeight="1" x14ac:dyDescent="0.35">
      <c r="T24054" s="246">
        <f t="shared" si="413"/>
        <v>0</v>
      </c>
    </row>
    <row r="24055" spans="20:20" ht="18.75" customHeight="1" x14ac:dyDescent="0.35">
      <c r="T24055" s="246">
        <f t="shared" si="413"/>
        <v>0</v>
      </c>
    </row>
    <row r="24056" spans="20:20" ht="18.75" customHeight="1" x14ac:dyDescent="0.35">
      <c r="T24056" s="246">
        <f t="shared" si="413"/>
        <v>0</v>
      </c>
    </row>
    <row r="24057" spans="20:20" ht="18.75" customHeight="1" x14ac:dyDescent="0.35">
      <c r="T24057" s="246">
        <f t="shared" si="413"/>
        <v>0</v>
      </c>
    </row>
    <row r="24058" spans="20:20" ht="18.75" customHeight="1" x14ac:dyDescent="0.35">
      <c r="T24058" s="246">
        <f t="shared" si="413"/>
        <v>0</v>
      </c>
    </row>
    <row r="24059" spans="20:20" ht="18.75" customHeight="1" x14ac:dyDescent="0.35">
      <c r="T24059" s="246">
        <f t="shared" si="413"/>
        <v>0</v>
      </c>
    </row>
    <row r="24060" spans="20:20" ht="18.75" customHeight="1" x14ac:dyDescent="0.35">
      <c r="T24060" s="246">
        <f t="shared" ref="T24060:T24123" si="414">R24060*0.01</f>
        <v>0</v>
      </c>
    </row>
    <row r="24061" spans="20:20" ht="18.75" customHeight="1" x14ac:dyDescent="0.35">
      <c r="T24061" s="246">
        <f t="shared" si="414"/>
        <v>0</v>
      </c>
    </row>
    <row r="24062" spans="20:20" ht="18.75" customHeight="1" x14ac:dyDescent="0.35">
      <c r="T24062" s="246">
        <f t="shared" si="414"/>
        <v>0</v>
      </c>
    </row>
    <row r="24063" spans="20:20" ht="18.75" customHeight="1" x14ac:dyDescent="0.35">
      <c r="T24063" s="246">
        <f t="shared" si="414"/>
        <v>0</v>
      </c>
    </row>
    <row r="24064" spans="20:20" ht="18.75" customHeight="1" x14ac:dyDescent="0.35">
      <c r="T24064" s="246">
        <f t="shared" si="414"/>
        <v>0</v>
      </c>
    </row>
    <row r="24065" spans="20:20" ht="18.75" customHeight="1" x14ac:dyDescent="0.35">
      <c r="T24065" s="246">
        <f t="shared" si="414"/>
        <v>0</v>
      </c>
    </row>
    <row r="24066" spans="20:20" ht="18.75" customHeight="1" x14ac:dyDescent="0.35">
      <c r="T24066" s="246">
        <f t="shared" si="414"/>
        <v>0</v>
      </c>
    </row>
    <row r="24067" spans="20:20" ht="18.75" customHeight="1" x14ac:dyDescent="0.35">
      <c r="T24067" s="246">
        <f t="shared" si="414"/>
        <v>0</v>
      </c>
    </row>
    <row r="24068" spans="20:20" ht="18.75" customHeight="1" x14ac:dyDescent="0.35">
      <c r="T24068" s="246">
        <f t="shared" si="414"/>
        <v>0</v>
      </c>
    </row>
    <row r="24069" spans="20:20" ht="18.75" customHeight="1" x14ac:dyDescent="0.35">
      <c r="T24069" s="246">
        <f t="shared" si="414"/>
        <v>0</v>
      </c>
    </row>
    <row r="24070" spans="20:20" ht="18.75" customHeight="1" x14ac:dyDescent="0.35">
      <c r="T24070" s="246">
        <f t="shared" si="414"/>
        <v>0</v>
      </c>
    </row>
    <row r="24071" spans="20:20" ht="18.75" customHeight="1" x14ac:dyDescent="0.35">
      <c r="T24071" s="246">
        <f t="shared" si="414"/>
        <v>0</v>
      </c>
    </row>
    <row r="24072" spans="20:20" ht="18.75" customHeight="1" x14ac:dyDescent="0.35">
      <c r="T24072" s="246">
        <f t="shared" si="414"/>
        <v>0</v>
      </c>
    </row>
    <row r="24073" spans="20:20" ht="18.75" customHeight="1" x14ac:dyDescent="0.35">
      <c r="T24073" s="246">
        <f t="shared" si="414"/>
        <v>0</v>
      </c>
    </row>
    <row r="24074" spans="20:20" ht="18.75" customHeight="1" x14ac:dyDescent="0.35">
      <c r="T24074" s="246">
        <f t="shared" si="414"/>
        <v>0</v>
      </c>
    </row>
    <row r="24075" spans="20:20" ht="18.75" customHeight="1" x14ac:dyDescent="0.35">
      <c r="T24075" s="246">
        <f t="shared" si="414"/>
        <v>0</v>
      </c>
    </row>
    <row r="24076" spans="20:20" ht="18.75" customHeight="1" x14ac:dyDescent="0.35">
      <c r="T24076" s="246">
        <f t="shared" si="414"/>
        <v>0</v>
      </c>
    </row>
    <row r="24077" spans="20:20" ht="18.75" customHeight="1" x14ac:dyDescent="0.35">
      <c r="T24077" s="246">
        <f t="shared" si="414"/>
        <v>0</v>
      </c>
    </row>
    <row r="24078" spans="20:20" ht="18.75" customHeight="1" x14ac:dyDescent="0.35">
      <c r="T24078" s="246">
        <f t="shared" si="414"/>
        <v>0</v>
      </c>
    </row>
    <row r="24079" spans="20:20" ht="18.75" customHeight="1" x14ac:dyDescent="0.35">
      <c r="T24079" s="246">
        <f t="shared" si="414"/>
        <v>0</v>
      </c>
    </row>
    <row r="24080" spans="20:20" ht="18.75" customHeight="1" x14ac:dyDescent="0.35">
      <c r="T24080" s="246">
        <f t="shared" si="414"/>
        <v>0</v>
      </c>
    </row>
    <row r="24081" spans="20:20" ht="18.75" customHeight="1" x14ac:dyDescent="0.35">
      <c r="T24081" s="246">
        <f t="shared" si="414"/>
        <v>0</v>
      </c>
    </row>
    <row r="24082" spans="20:20" ht="18.75" customHeight="1" x14ac:dyDescent="0.35">
      <c r="T24082" s="246">
        <f t="shared" si="414"/>
        <v>0</v>
      </c>
    </row>
    <row r="24083" spans="20:20" ht="18.75" customHeight="1" x14ac:dyDescent="0.35">
      <c r="T24083" s="246">
        <f t="shared" si="414"/>
        <v>0</v>
      </c>
    </row>
    <row r="24084" spans="20:20" ht="18.75" customHeight="1" x14ac:dyDescent="0.35">
      <c r="T24084" s="246">
        <f t="shared" si="414"/>
        <v>0</v>
      </c>
    </row>
    <row r="24085" spans="20:20" ht="18.75" customHeight="1" x14ac:dyDescent="0.35">
      <c r="T24085" s="246">
        <f t="shared" si="414"/>
        <v>0</v>
      </c>
    </row>
    <row r="24086" spans="20:20" ht="18.75" customHeight="1" x14ac:dyDescent="0.35">
      <c r="T24086" s="246">
        <f t="shared" si="414"/>
        <v>0</v>
      </c>
    </row>
    <row r="24087" spans="20:20" ht="18.75" customHeight="1" x14ac:dyDescent="0.35">
      <c r="T24087" s="246">
        <f t="shared" si="414"/>
        <v>0</v>
      </c>
    </row>
    <row r="24088" spans="20:20" ht="18.75" customHeight="1" x14ac:dyDescent="0.35">
      <c r="T24088" s="246">
        <f t="shared" si="414"/>
        <v>0</v>
      </c>
    </row>
    <row r="24089" spans="20:20" ht="18.75" customHeight="1" x14ac:dyDescent="0.35">
      <c r="T24089" s="246">
        <f t="shared" si="414"/>
        <v>0</v>
      </c>
    </row>
    <row r="24090" spans="20:20" ht="18.75" customHeight="1" x14ac:dyDescent="0.35">
      <c r="T24090" s="246">
        <f t="shared" si="414"/>
        <v>0</v>
      </c>
    </row>
    <row r="24091" spans="20:20" ht="18.75" customHeight="1" x14ac:dyDescent="0.35">
      <c r="T24091" s="246">
        <f t="shared" si="414"/>
        <v>0</v>
      </c>
    </row>
    <row r="24092" spans="20:20" ht="18.75" customHeight="1" x14ac:dyDescent="0.35">
      <c r="T24092" s="246">
        <f t="shared" si="414"/>
        <v>0</v>
      </c>
    </row>
    <row r="24093" spans="20:20" ht="18.75" customHeight="1" x14ac:dyDescent="0.35">
      <c r="T24093" s="246">
        <f t="shared" si="414"/>
        <v>0</v>
      </c>
    </row>
    <row r="24094" spans="20:20" ht="18.75" customHeight="1" x14ac:dyDescent="0.35">
      <c r="T24094" s="246">
        <f t="shared" si="414"/>
        <v>0</v>
      </c>
    </row>
    <row r="24095" spans="20:20" ht="18.75" customHeight="1" x14ac:dyDescent="0.35">
      <c r="T24095" s="246">
        <f t="shared" si="414"/>
        <v>0</v>
      </c>
    </row>
    <row r="24096" spans="20:20" ht="18.75" customHeight="1" x14ac:dyDescent="0.35">
      <c r="T24096" s="246">
        <f t="shared" si="414"/>
        <v>0</v>
      </c>
    </row>
    <row r="24097" spans="20:20" ht="18.75" customHeight="1" x14ac:dyDescent="0.35">
      <c r="T24097" s="246">
        <f t="shared" si="414"/>
        <v>0</v>
      </c>
    </row>
    <row r="24098" spans="20:20" ht="18.75" customHeight="1" x14ac:dyDescent="0.35">
      <c r="T24098" s="246">
        <f t="shared" si="414"/>
        <v>0</v>
      </c>
    </row>
    <row r="24099" spans="20:20" ht="18.75" customHeight="1" x14ac:dyDescent="0.35">
      <c r="T24099" s="246">
        <f t="shared" si="414"/>
        <v>0</v>
      </c>
    </row>
    <row r="24100" spans="20:20" ht="18.75" customHeight="1" x14ac:dyDescent="0.35">
      <c r="T24100" s="246">
        <f t="shared" si="414"/>
        <v>0</v>
      </c>
    </row>
    <row r="24101" spans="20:20" ht="18.75" customHeight="1" x14ac:dyDescent="0.35">
      <c r="T24101" s="246">
        <f t="shared" si="414"/>
        <v>0</v>
      </c>
    </row>
    <row r="24102" spans="20:20" ht="18.75" customHeight="1" x14ac:dyDescent="0.35">
      <c r="T24102" s="246">
        <f t="shared" si="414"/>
        <v>0</v>
      </c>
    </row>
    <row r="24103" spans="20:20" ht="18.75" customHeight="1" x14ac:dyDescent="0.35">
      <c r="T24103" s="246">
        <f t="shared" si="414"/>
        <v>0</v>
      </c>
    </row>
    <row r="24104" spans="20:20" ht="18.75" customHeight="1" x14ac:dyDescent="0.35">
      <c r="T24104" s="246">
        <f t="shared" si="414"/>
        <v>0</v>
      </c>
    </row>
    <row r="24105" spans="20:20" ht="18.75" customHeight="1" x14ac:dyDescent="0.35">
      <c r="T24105" s="246">
        <f t="shared" si="414"/>
        <v>0</v>
      </c>
    </row>
    <row r="24106" spans="20:20" ht="18.75" customHeight="1" x14ac:dyDescent="0.35">
      <c r="T24106" s="246">
        <f t="shared" si="414"/>
        <v>0</v>
      </c>
    </row>
    <row r="24107" spans="20:20" ht="18.75" customHeight="1" x14ac:dyDescent="0.35">
      <c r="T24107" s="246">
        <f t="shared" si="414"/>
        <v>0</v>
      </c>
    </row>
    <row r="24108" spans="20:20" ht="18.75" customHeight="1" x14ac:dyDescent="0.35">
      <c r="T24108" s="246">
        <f t="shared" si="414"/>
        <v>0</v>
      </c>
    </row>
    <row r="24109" spans="20:20" ht="18.75" customHeight="1" x14ac:dyDescent="0.35">
      <c r="T24109" s="246">
        <f t="shared" si="414"/>
        <v>0</v>
      </c>
    </row>
    <row r="24110" spans="20:20" ht="18.75" customHeight="1" x14ac:dyDescent="0.35">
      <c r="T24110" s="246">
        <f t="shared" si="414"/>
        <v>0</v>
      </c>
    </row>
    <row r="24111" spans="20:20" ht="18.75" customHeight="1" x14ac:dyDescent="0.35">
      <c r="T24111" s="246">
        <f t="shared" si="414"/>
        <v>0</v>
      </c>
    </row>
    <row r="24112" spans="20:20" ht="18.75" customHeight="1" x14ac:dyDescent="0.35">
      <c r="T24112" s="246">
        <f t="shared" si="414"/>
        <v>0</v>
      </c>
    </row>
    <row r="24113" spans="20:20" ht="18.75" customHeight="1" x14ac:dyDescent="0.35">
      <c r="T24113" s="246">
        <f t="shared" si="414"/>
        <v>0</v>
      </c>
    </row>
    <row r="24114" spans="20:20" ht="18.75" customHeight="1" x14ac:dyDescent="0.35">
      <c r="T24114" s="246">
        <f t="shared" si="414"/>
        <v>0</v>
      </c>
    </row>
    <row r="24115" spans="20:20" ht="18.75" customHeight="1" x14ac:dyDescent="0.35">
      <c r="T24115" s="246">
        <f t="shared" si="414"/>
        <v>0</v>
      </c>
    </row>
    <row r="24116" spans="20:20" ht="18.75" customHeight="1" x14ac:dyDescent="0.35">
      <c r="T24116" s="246">
        <f t="shared" si="414"/>
        <v>0</v>
      </c>
    </row>
    <row r="24117" spans="20:20" ht="18.75" customHeight="1" x14ac:dyDescent="0.35">
      <c r="T24117" s="246">
        <f t="shared" si="414"/>
        <v>0</v>
      </c>
    </row>
    <row r="24118" spans="20:20" ht="18.75" customHeight="1" x14ac:dyDescent="0.35">
      <c r="T24118" s="246">
        <f t="shared" si="414"/>
        <v>0</v>
      </c>
    </row>
    <row r="24119" spans="20:20" ht="18.75" customHeight="1" x14ac:dyDescent="0.35">
      <c r="T24119" s="246">
        <f t="shared" si="414"/>
        <v>0</v>
      </c>
    </row>
    <row r="24120" spans="20:20" ht="18.75" customHeight="1" x14ac:dyDescent="0.35">
      <c r="T24120" s="246">
        <f t="shared" si="414"/>
        <v>0</v>
      </c>
    </row>
    <row r="24121" spans="20:20" ht="18.75" customHeight="1" x14ac:dyDescent="0.35">
      <c r="T24121" s="246">
        <f t="shared" si="414"/>
        <v>0</v>
      </c>
    </row>
    <row r="24122" spans="20:20" ht="18.75" customHeight="1" x14ac:dyDescent="0.35">
      <c r="T24122" s="246">
        <f t="shared" si="414"/>
        <v>0</v>
      </c>
    </row>
    <row r="24123" spans="20:20" ht="18.75" customHeight="1" x14ac:dyDescent="0.35">
      <c r="T24123" s="246">
        <f t="shared" si="414"/>
        <v>0</v>
      </c>
    </row>
    <row r="24124" spans="20:20" ht="18.75" customHeight="1" x14ac:dyDescent="0.35">
      <c r="T24124" s="246">
        <f t="shared" ref="T24124:T24187" si="415">R24124*0.01</f>
        <v>0</v>
      </c>
    </row>
    <row r="24125" spans="20:20" ht="18.75" customHeight="1" x14ac:dyDescent="0.35">
      <c r="T24125" s="246">
        <f t="shared" si="415"/>
        <v>0</v>
      </c>
    </row>
    <row r="24126" spans="20:20" ht="18.75" customHeight="1" x14ac:dyDescent="0.35">
      <c r="T24126" s="246">
        <f t="shared" si="415"/>
        <v>0</v>
      </c>
    </row>
    <row r="24127" spans="20:20" ht="18.75" customHeight="1" x14ac:dyDescent="0.35">
      <c r="T24127" s="246">
        <f t="shared" si="415"/>
        <v>0</v>
      </c>
    </row>
    <row r="24128" spans="20:20" ht="18.75" customHeight="1" x14ac:dyDescent="0.35">
      <c r="T24128" s="246">
        <f t="shared" si="415"/>
        <v>0</v>
      </c>
    </row>
    <row r="24129" spans="20:20" ht="18.75" customHeight="1" x14ac:dyDescent="0.35">
      <c r="T24129" s="246">
        <f t="shared" si="415"/>
        <v>0</v>
      </c>
    </row>
    <row r="24130" spans="20:20" ht="18.75" customHeight="1" x14ac:dyDescent="0.35">
      <c r="T24130" s="246">
        <f t="shared" si="415"/>
        <v>0</v>
      </c>
    </row>
    <row r="24131" spans="20:20" ht="18.75" customHeight="1" x14ac:dyDescent="0.35">
      <c r="T24131" s="246">
        <f t="shared" si="415"/>
        <v>0</v>
      </c>
    </row>
    <row r="24132" spans="20:20" ht="18.75" customHeight="1" x14ac:dyDescent="0.35">
      <c r="T24132" s="246">
        <f t="shared" si="415"/>
        <v>0</v>
      </c>
    </row>
    <row r="24133" spans="20:20" ht="18.75" customHeight="1" x14ac:dyDescent="0.35">
      <c r="T24133" s="246">
        <f t="shared" si="415"/>
        <v>0</v>
      </c>
    </row>
    <row r="24134" spans="20:20" ht="18.75" customHeight="1" x14ac:dyDescent="0.35">
      <c r="T24134" s="246">
        <f t="shared" si="415"/>
        <v>0</v>
      </c>
    </row>
    <row r="24135" spans="20:20" ht="18.75" customHeight="1" x14ac:dyDescent="0.35">
      <c r="T24135" s="246">
        <f t="shared" si="415"/>
        <v>0</v>
      </c>
    </row>
    <row r="24136" spans="20:20" ht="18.75" customHeight="1" x14ac:dyDescent="0.35">
      <c r="T24136" s="246">
        <f t="shared" si="415"/>
        <v>0</v>
      </c>
    </row>
    <row r="24137" spans="20:20" ht="18.75" customHeight="1" x14ac:dyDescent="0.35">
      <c r="T24137" s="246">
        <f t="shared" si="415"/>
        <v>0</v>
      </c>
    </row>
    <row r="24138" spans="20:20" ht="18.75" customHeight="1" x14ac:dyDescent="0.35">
      <c r="T24138" s="246">
        <f t="shared" si="415"/>
        <v>0</v>
      </c>
    </row>
    <row r="24139" spans="20:20" ht="18.75" customHeight="1" x14ac:dyDescent="0.35">
      <c r="T24139" s="246">
        <f t="shared" si="415"/>
        <v>0</v>
      </c>
    </row>
    <row r="24140" spans="20:20" ht="18.75" customHeight="1" x14ac:dyDescent="0.35">
      <c r="T24140" s="246">
        <f t="shared" si="415"/>
        <v>0</v>
      </c>
    </row>
    <row r="24141" spans="20:20" ht="18.75" customHeight="1" x14ac:dyDescent="0.35">
      <c r="T24141" s="246">
        <f t="shared" si="415"/>
        <v>0</v>
      </c>
    </row>
    <row r="24142" spans="20:20" ht="18.75" customHeight="1" x14ac:dyDescent="0.35">
      <c r="T24142" s="246">
        <f t="shared" si="415"/>
        <v>0</v>
      </c>
    </row>
    <row r="24143" spans="20:20" ht="18.75" customHeight="1" x14ac:dyDescent="0.35">
      <c r="T24143" s="246">
        <f t="shared" si="415"/>
        <v>0</v>
      </c>
    </row>
    <row r="24144" spans="20:20" ht="18.75" customHeight="1" x14ac:dyDescent="0.35">
      <c r="T24144" s="246">
        <f t="shared" si="415"/>
        <v>0</v>
      </c>
    </row>
    <row r="24145" spans="20:20" ht="18.75" customHeight="1" x14ac:dyDescent="0.35">
      <c r="T24145" s="246">
        <f t="shared" si="415"/>
        <v>0</v>
      </c>
    </row>
    <row r="24146" spans="20:20" ht="18.75" customHeight="1" x14ac:dyDescent="0.35">
      <c r="T24146" s="246">
        <f t="shared" si="415"/>
        <v>0</v>
      </c>
    </row>
    <row r="24147" spans="20:20" ht="18.75" customHeight="1" x14ac:dyDescent="0.35">
      <c r="T24147" s="246">
        <f t="shared" si="415"/>
        <v>0</v>
      </c>
    </row>
    <row r="24148" spans="20:20" ht="18.75" customHeight="1" x14ac:dyDescent="0.35">
      <c r="T24148" s="246">
        <f t="shared" si="415"/>
        <v>0</v>
      </c>
    </row>
    <row r="24149" spans="20:20" ht="18.75" customHeight="1" x14ac:dyDescent="0.35">
      <c r="T24149" s="246">
        <f t="shared" si="415"/>
        <v>0</v>
      </c>
    </row>
    <row r="24150" spans="20:20" ht="18.75" customHeight="1" x14ac:dyDescent="0.35">
      <c r="T24150" s="246">
        <f t="shared" si="415"/>
        <v>0</v>
      </c>
    </row>
    <row r="24151" spans="20:20" ht="18.75" customHeight="1" x14ac:dyDescent="0.35">
      <c r="T24151" s="246">
        <f t="shared" si="415"/>
        <v>0</v>
      </c>
    </row>
    <row r="24152" spans="20:20" ht="18.75" customHeight="1" x14ac:dyDescent="0.35">
      <c r="T24152" s="246">
        <f t="shared" si="415"/>
        <v>0</v>
      </c>
    </row>
    <row r="24153" spans="20:20" ht="18.75" customHeight="1" x14ac:dyDescent="0.35">
      <c r="T24153" s="246">
        <f t="shared" si="415"/>
        <v>0</v>
      </c>
    </row>
    <row r="24154" spans="20:20" ht="18.75" customHeight="1" x14ac:dyDescent="0.35">
      <c r="T24154" s="246">
        <f t="shared" si="415"/>
        <v>0</v>
      </c>
    </row>
    <row r="24155" spans="20:20" ht="18.75" customHeight="1" x14ac:dyDescent="0.35">
      <c r="T24155" s="246">
        <f t="shared" si="415"/>
        <v>0</v>
      </c>
    </row>
    <row r="24156" spans="20:20" ht="18.75" customHeight="1" x14ac:dyDescent="0.35">
      <c r="T24156" s="246">
        <f t="shared" si="415"/>
        <v>0</v>
      </c>
    </row>
    <row r="24157" spans="20:20" ht="18.75" customHeight="1" x14ac:dyDescent="0.35">
      <c r="T24157" s="246">
        <f t="shared" si="415"/>
        <v>0</v>
      </c>
    </row>
    <row r="24158" spans="20:20" ht="18.75" customHeight="1" x14ac:dyDescent="0.35">
      <c r="T24158" s="246">
        <f t="shared" si="415"/>
        <v>0</v>
      </c>
    </row>
    <row r="24159" spans="20:20" ht="18.75" customHeight="1" x14ac:dyDescent="0.35">
      <c r="T24159" s="246">
        <f t="shared" si="415"/>
        <v>0</v>
      </c>
    </row>
    <row r="24160" spans="20:20" ht="18.75" customHeight="1" x14ac:dyDescent="0.35">
      <c r="T24160" s="246">
        <f t="shared" si="415"/>
        <v>0</v>
      </c>
    </row>
    <row r="24161" spans="20:20" ht="18.75" customHeight="1" x14ac:dyDescent="0.35">
      <c r="T24161" s="246">
        <f t="shared" si="415"/>
        <v>0</v>
      </c>
    </row>
    <row r="24162" spans="20:20" ht="18.75" customHeight="1" x14ac:dyDescent="0.35">
      <c r="T24162" s="246">
        <f t="shared" si="415"/>
        <v>0</v>
      </c>
    </row>
    <row r="24163" spans="20:20" ht="18.75" customHeight="1" x14ac:dyDescent="0.35">
      <c r="T24163" s="246">
        <f t="shared" si="415"/>
        <v>0</v>
      </c>
    </row>
    <row r="24164" spans="20:20" ht="18.75" customHeight="1" x14ac:dyDescent="0.35">
      <c r="T24164" s="246">
        <f t="shared" si="415"/>
        <v>0</v>
      </c>
    </row>
    <row r="24165" spans="20:20" ht="18.75" customHeight="1" x14ac:dyDescent="0.35">
      <c r="T24165" s="246">
        <f t="shared" si="415"/>
        <v>0</v>
      </c>
    </row>
    <row r="24166" spans="20:20" ht="18.75" customHeight="1" x14ac:dyDescent="0.35">
      <c r="T24166" s="246">
        <f t="shared" si="415"/>
        <v>0</v>
      </c>
    </row>
    <row r="24167" spans="20:20" ht="18.75" customHeight="1" x14ac:dyDescent="0.35">
      <c r="T24167" s="246">
        <f t="shared" si="415"/>
        <v>0</v>
      </c>
    </row>
    <row r="24168" spans="20:20" ht="18.75" customHeight="1" x14ac:dyDescent="0.35">
      <c r="T24168" s="246">
        <f t="shared" si="415"/>
        <v>0</v>
      </c>
    </row>
    <row r="24169" spans="20:20" ht="18.75" customHeight="1" x14ac:dyDescent="0.35">
      <c r="T24169" s="246">
        <f t="shared" si="415"/>
        <v>0</v>
      </c>
    </row>
    <row r="24170" spans="20:20" ht="18.75" customHeight="1" x14ac:dyDescent="0.35">
      <c r="T24170" s="246">
        <f t="shared" si="415"/>
        <v>0</v>
      </c>
    </row>
    <row r="24171" spans="20:20" ht="18.75" customHeight="1" x14ac:dyDescent="0.35">
      <c r="T24171" s="246">
        <f t="shared" si="415"/>
        <v>0</v>
      </c>
    </row>
    <row r="24172" spans="20:20" ht="18.75" customHeight="1" x14ac:dyDescent="0.35">
      <c r="T24172" s="246">
        <f t="shared" si="415"/>
        <v>0</v>
      </c>
    </row>
    <row r="24173" spans="20:20" ht="18.75" customHeight="1" x14ac:dyDescent="0.35">
      <c r="T24173" s="246">
        <f t="shared" si="415"/>
        <v>0</v>
      </c>
    </row>
    <row r="24174" spans="20:20" ht="18.75" customHeight="1" x14ac:dyDescent="0.35">
      <c r="T24174" s="246">
        <f t="shared" si="415"/>
        <v>0</v>
      </c>
    </row>
    <row r="24175" spans="20:20" ht="18.75" customHeight="1" x14ac:dyDescent="0.35">
      <c r="T24175" s="246">
        <f t="shared" si="415"/>
        <v>0</v>
      </c>
    </row>
    <row r="24176" spans="20:20" ht="18.75" customHeight="1" x14ac:dyDescent="0.35">
      <c r="T24176" s="246">
        <f t="shared" si="415"/>
        <v>0</v>
      </c>
    </row>
    <row r="24177" spans="20:20" ht="18.75" customHeight="1" x14ac:dyDescent="0.35">
      <c r="T24177" s="246">
        <f t="shared" si="415"/>
        <v>0</v>
      </c>
    </row>
    <row r="24178" spans="20:20" ht="18.75" customHeight="1" x14ac:dyDescent="0.35">
      <c r="T24178" s="246">
        <f t="shared" si="415"/>
        <v>0</v>
      </c>
    </row>
    <row r="24179" spans="20:20" ht="18.75" customHeight="1" x14ac:dyDescent="0.35">
      <c r="T24179" s="246">
        <f t="shared" si="415"/>
        <v>0</v>
      </c>
    </row>
    <row r="24180" spans="20:20" ht="18.75" customHeight="1" x14ac:dyDescent="0.35">
      <c r="T24180" s="246">
        <f t="shared" si="415"/>
        <v>0</v>
      </c>
    </row>
    <row r="24181" spans="20:20" ht="18.75" customHeight="1" x14ac:dyDescent="0.35">
      <c r="T24181" s="246">
        <f t="shared" si="415"/>
        <v>0</v>
      </c>
    </row>
    <row r="24182" spans="20:20" ht="18.75" customHeight="1" x14ac:dyDescent="0.35">
      <c r="T24182" s="246">
        <f t="shared" si="415"/>
        <v>0</v>
      </c>
    </row>
    <row r="24183" spans="20:20" ht="18.75" customHeight="1" x14ac:dyDescent="0.35">
      <c r="T24183" s="246">
        <f t="shared" si="415"/>
        <v>0</v>
      </c>
    </row>
    <row r="24184" spans="20:20" ht="18.75" customHeight="1" x14ac:dyDescent="0.35">
      <c r="T24184" s="246">
        <f t="shared" si="415"/>
        <v>0</v>
      </c>
    </row>
    <row r="24185" spans="20:20" ht="18.75" customHeight="1" x14ac:dyDescent="0.35">
      <c r="T24185" s="246">
        <f t="shared" si="415"/>
        <v>0</v>
      </c>
    </row>
    <row r="24186" spans="20:20" ht="18.75" customHeight="1" x14ac:dyDescent="0.35">
      <c r="T24186" s="246">
        <f t="shared" si="415"/>
        <v>0</v>
      </c>
    </row>
    <row r="24187" spans="20:20" ht="18.75" customHeight="1" x14ac:dyDescent="0.35">
      <c r="T24187" s="246">
        <f t="shared" si="415"/>
        <v>0</v>
      </c>
    </row>
    <row r="24188" spans="20:20" ht="18.75" customHeight="1" x14ac:dyDescent="0.35">
      <c r="T24188" s="246">
        <f t="shared" ref="T24188:T24251" si="416">R24188*0.01</f>
        <v>0</v>
      </c>
    </row>
    <row r="24189" spans="20:20" ht="18.75" customHeight="1" x14ac:dyDescent="0.35">
      <c r="T24189" s="246">
        <f t="shared" si="416"/>
        <v>0</v>
      </c>
    </row>
    <row r="24190" spans="20:20" ht="18.75" customHeight="1" x14ac:dyDescent="0.35">
      <c r="T24190" s="246">
        <f t="shared" si="416"/>
        <v>0</v>
      </c>
    </row>
    <row r="24191" spans="20:20" ht="18.75" customHeight="1" x14ac:dyDescent="0.35">
      <c r="T24191" s="246">
        <f t="shared" si="416"/>
        <v>0</v>
      </c>
    </row>
    <row r="24192" spans="20:20" ht="18.75" customHeight="1" x14ac:dyDescent="0.35">
      <c r="T24192" s="246">
        <f t="shared" si="416"/>
        <v>0</v>
      </c>
    </row>
    <row r="24193" spans="20:20" ht="18.75" customHeight="1" x14ac:dyDescent="0.35">
      <c r="T24193" s="246">
        <f t="shared" si="416"/>
        <v>0</v>
      </c>
    </row>
    <row r="24194" spans="20:20" ht="18.75" customHeight="1" x14ac:dyDescent="0.35">
      <c r="T24194" s="246">
        <f t="shared" si="416"/>
        <v>0</v>
      </c>
    </row>
    <row r="24195" spans="20:20" ht="18.75" customHeight="1" x14ac:dyDescent="0.35">
      <c r="T24195" s="246">
        <f t="shared" si="416"/>
        <v>0</v>
      </c>
    </row>
    <row r="24196" spans="20:20" ht="18.75" customHeight="1" x14ac:dyDescent="0.35">
      <c r="T24196" s="246">
        <f t="shared" si="416"/>
        <v>0</v>
      </c>
    </row>
    <row r="24197" spans="20:20" ht="18.75" customHeight="1" x14ac:dyDescent="0.35">
      <c r="T24197" s="246">
        <f t="shared" si="416"/>
        <v>0</v>
      </c>
    </row>
    <row r="24198" spans="20:20" ht="18.75" customHeight="1" x14ac:dyDescent="0.35">
      <c r="T24198" s="246">
        <f t="shared" si="416"/>
        <v>0</v>
      </c>
    </row>
    <row r="24199" spans="20:20" ht="18.75" customHeight="1" x14ac:dyDescent="0.35">
      <c r="T24199" s="246">
        <f t="shared" si="416"/>
        <v>0</v>
      </c>
    </row>
    <row r="24200" spans="20:20" ht="18.75" customHeight="1" x14ac:dyDescent="0.35">
      <c r="T24200" s="246">
        <f t="shared" si="416"/>
        <v>0</v>
      </c>
    </row>
    <row r="24201" spans="20:20" ht="18.75" customHeight="1" x14ac:dyDescent="0.35">
      <c r="T24201" s="246">
        <f t="shared" si="416"/>
        <v>0</v>
      </c>
    </row>
    <row r="24202" spans="20:20" ht="18.75" customHeight="1" x14ac:dyDescent="0.35">
      <c r="T24202" s="246">
        <f t="shared" si="416"/>
        <v>0</v>
      </c>
    </row>
    <row r="24203" spans="20:20" ht="18.75" customHeight="1" x14ac:dyDescent="0.35">
      <c r="T24203" s="246">
        <f t="shared" si="416"/>
        <v>0</v>
      </c>
    </row>
    <row r="24204" spans="20:20" ht="18.75" customHeight="1" x14ac:dyDescent="0.35">
      <c r="T24204" s="246">
        <f t="shared" si="416"/>
        <v>0</v>
      </c>
    </row>
    <row r="24205" spans="20:20" ht="18.75" customHeight="1" x14ac:dyDescent="0.35">
      <c r="T24205" s="246">
        <f t="shared" si="416"/>
        <v>0</v>
      </c>
    </row>
    <row r="24206" spans="20:20" ht="18.75" customHeight="1" x14ac:dyDescent="0.35">
      <c r="T24206" s="246">
        <f t="shared" si="416"/>
        <v>0</v>
      </c>
    </row>
    <row r="24207" spans="20:20" ht="18.75" customHeight="1" x14ac:dyDescent="0.35">
      <c r="T24207" s="246">
        <f t="shared" si="416"/>
        <v>0</v>
      </c>
    </row>
    <row r="24208" spans="20:20" ht="18.75" customHeight="1" x14ac:dyDescent="0.35">
      <c r="T24208" s="246">
        <f t="shared" si="416"/>
        <v>0</v>
      </c>
    </row>
    <row r="24209" spans="20:20" ht="18.75" customHeight="1" x14ac:dyDescent="0.35">
      <c r="T24209" s="246">
        <f t="shared" si="416"/>
        <v>0</v>
      </c>
    </row>
    <row r="24210" spans="20:20" ht="18.75" customHeight="1" x14ac:dyDescent="0.35">
      <c r="T24210" s="246">
        <f t="shared" si="416"/>
        <v>0</v>
      </c>
    </row>
    <row r="24211" spans="20:20" ht="18.75" customHeight="1" x14ac:dyDescent="0.35">
      <c r="T24211" s="246">
        <f t="shared" si="416"/>
        <v>0</v>
      </c>
    </row>
    <row r="24212" spans="20:20" ht="18.75" customHeight="1" x14ac:dyDescent="0.35">
      <c r="T24212" s="246">
        <f t="shared" si="416"/>
        <v>0</v>
      </c>
    </row>
    <row r="24213" spans="20:20" ht="18.75" customHeight="1" x14ac:dyDescent="0.35">
      <c r="T24213" s="246">
        <f t="shared" si="416"/>
        <v>0</v>
      </c>
    </row>
    <row r="24214" spans="20:20" ht="18.75" customHeight="1" x14ac:dyDescent="0.35">
      <c r="T24214" s="246">
        <f t="shared" si="416"/>
        <v>0</v>
      </c>
    </row>
    <row r="24215" spans="20:20" ht="18.75" customHeight="1" x14ac:dyDescent="0.35">
      <c r="T24215" s="246">
        <f t="shared" si="416"/>
        <v>0</v>
      </c>
    </row>
    <row r="24216" spans="20:20" ht="18.75" customHeight="1" x14ac:dyDescent="0.35">
      <c r="T24216" s="246">
        <f t="shared" si="416"/>
        <v>0</v>
      </c>
    </row>
    <row r="24217" spans="20:20" ht="18.75" customHeight="1" x14ac:dyDescent="0.35">
      <c r="T24217" s="246">
        <f t="shared" si="416"/>
        <v>0</v>
      </c>
    </row>
    <row r="24218" spans="20:20" ht="18.75" customHeight="1" x14ac:dyDescent="0.35">
      <c r="T24218" s="246">
        <f t="shared" si="416"/>
        <v>0</v>
      </c>
    </row>
    <row r="24219" spans="20:20" ht="18.75" customHeight="1" x14ac:dyDescent="0.35">
      <c r="T24219" s="246">
        <f t="shared" si="416"/>
        <v>0</v>
      </c>
    </row>
    <row r="24220" spans="20:20" ht="18.75" customHeight="1" x14ac:dyDescent="0.35">
      <c r="T24220" s="246">
        <f t="shared" si="416"/>
        <v>0</v>
      </c>
    </row>
    <row r="24221" spans="20:20" ht="18.75" customHeight="1" x14ac:dyDescent="0.35">
      <c r="T24221" s="246">
        <f t="shared" si="416"/>
        <v>0</v>
      </c>
    </row>
    <row r="24222" spans="20:20" ht="18.75" customHeight="1" x14ac:dyDescent="0.35">
      <c r="T24222" s="246">
        <f t="shared" si="416"/>
        <v>0</v>
      </c>
    </row>
    <row r="24223" spans="20:20" ht="18.75" customHeight="1" x14ac:dyDescent="0.35">
      <c r="T24223" s="246">
        <f t="shared" si="416"/>
        <v>0</v>
      </c>
    </row>
    <row r="24224" spans="20:20" ht="18.75" customHeight="1" x14ac:dyDescent="0.35">
      <c r="T24224" s="246">
        <f t="shared" si="416"/>
        <v>0</v>
      </c>
    </row>
    <row r="24225" spans="20:20" ht="18.75" customHeight="1" x14ac:dyDescent="0.35">
      <c r="T24225" s="246">
        <f t="shared" si="416"/>
        <v>0</v>
      </c>
    </row>
    <row r="24226" spans="20:20" ht="18.75" customHeight="1" x14ac:dyDescent="0.35">
      <c r="T24226" s="246">
        <f t="shared" si="416"/>
        <v>0</v>
      </c>
    </row>
    <row r="24227" spans="20:20" ht="18.75" customHeight="1" x14ac:dyDescent="0.35">
      <c r="T24227" s="246">
        <f t="shared" si="416"/>
        <v>0</v>
      </c>
    </row>
    <row r="24228" spans="20:20" ht="18.75" customHeight="1" x14ac:dyDescent="0.35">
      <c r="T24228" s="246">
        <f t="shared" si="416"/>
        <v>0</v>
      </c>
    </row>
    <row r="24229" spans="20:20" ht="18.75" customHeight="1" x14ac:dyDescent="0.35">
      <c r="T24229" s="246">
        <f t="shared" si="416"/>
        <v>0</v>
      </c>
    </row>
    <row r="24230" spans="20:20" ht="18.75" customHeight="1" x14ac:dyDescent="0.35">
      <c r="T24230" s="246">
        <f t="shared" si="416"/>
        <v>0</v>
      </c>
    </row>
    <row r="24231" spans="20:20" ht="18.75" customHeight="1" x14ac:dyDescent="0.35">
      <c r="T24231" s="246">
        <f t="shared" si="416"/>
        <v>0</v>
      </c>
    </row>
    <row r="24232" spans="20:20" ht="18.75" customHeight="1" x14ac:dyDescent="0.35">
      <c r="T24232" s="246">
        <f t="shared" si="416"/>
        <v>0</v>
      </c>
    </row>
    <row r="24233" spans="20:20" ht="18.75" customHeight="1" x14ac:dyDescent="0.35">
      <c r="T24233" s="246">
        <f t="shared" si="416"/>
        <v>0</v>
      </c>
    </row>
    <row r="24234" spans="20:20" ht="18.75" customHeight="1" x14ac:dyDescent="0.35">
      <c r="T24234" s="246">
        <f t="shared" si="416"/>
        <v>0</v>
      </c>
    </row>
    <row r="24235" spans="20:20" ht="18.75" customHeight="1" x14ac:dyDescent="0.35">
      <c r="T24235" s="246">
        <f t="shared" si="416"/>
        <v>0</v>
      </c>
    </row>
    <row r="24236" spans="20:20" ht="18.75" customHeight="1" x14ac:dyDescent="0.35">
      <c r="T24236" s="246">
        <f t="shared" si="416"/>
        <v>0</v>
      </c>
    </row>
    <row r="24237" spans="20:20" ht="18.75" customHeight="1" x14ac:dyDescent="0.35">
      <c r="T24237" s="246">
        <f t="shared" si="416"/>
        <v>0</v>
      </c>
    </row>
    <row r="24238" spans="20:20" ht="18.75" customHeight="1" x14ac:dyDescent="0.35">
      <c r="T24238" s="246">
        <f t="shared" si="416"/>
        <v>0</v>
      </c>
    </row>
    <row r="24239" spans="20:20" ht="18.75" customHeight="1" x14ac:dyDescent="0.35">
      <c r="T24239" s="246">
        <f t="shared" si="416"/>
        <v>0</v>
      </c>
    </row>
    <row r="24240" spans="20:20" ht="18.75" customHeight="1" x14ac:dyDescent="0.35">
      <c r="T24240" s="246">
        <f t="shared" si="416"/>
        <v>0</v>
      </c>
    </row>
    <row r="24241" spans="20:20" ht="18.75" customHeight="1" x14ac:dyDescent="0.35">
      <c r="T24241" s="246">
        <f t="shared" si="416"/>
        <v>0</v>
      </c>
    </row>
    <row r="24242" spans="20:20" ht="18.75" customHeight="1" x14ac:dyDescent="0.35">
      <c r="T24242" s="246">
        <f t="shared" si="416"/>
        <v>0</v>
      </c>
    </row>
    <row r="24243" spans="20:20" ht="18.75" customHeight="1" x14ac:dyDescent="0.35">
      <c r="T24243" s="246">
        <f t="shared" si="416"/>
        <v>0</v>
      </c>
    </row>
    <row r="24244" spans="20:20" ht="18.75" customHeight="1" x14ac:dyDescent="0.35">
      <c r="T24244" s="246">
        <f t="shared" si="416"/>
        <v>0</v>
      </c>
    </row>
    <row r="24245" spans="20:20" ht="18.75" customHeight="1" x14ac:dyDescent="0.35">
      <c r="T24245" s="246">
        <f t="shared" si="416"/>
        <v>0</v>
      </c>
    </row>
    <row r="24246" spans="20:20" ht="18.75" customHeight="1" x14ac:dyDescent="0.35">
      <c r="T24246" s="246">
        <f t="shared" si="416"/>
        <v>0</v>
      </c>
    </row>
    <row r="24247" spans="20:20" ht="18.75" customHeight="1" x14ac:dyDescent="0.35">
      <c r="T24247" s="246">
        <f t="shared" si="416"/>
        <v>0</v>
      </c>
    </row>
    <row r="24248" spans="20:20" ht="18.75" customHeight="1" x14ac:dyDescent="0.35">
      <c r="T24248" s="246">
        <f t="shared" si="416"/>
        <v>0</v>
      </c>
    </row>
    <row r="24249" spans="20:20" ht="18.75" customHeight="1" x14ac:dyDescent="0.35">
      <c r="T24249" s="246">
        <f t="shared" si="416"/>
        <v>0</v>
      </c>
    </row>
    <row r="24250" spans="20:20" ht="18.75" customHeight="1" x14ac:dyDescent="0.35">
      <c r="T24250" s="246">
        <f t="shared" si="416"/>
        <v>0</v>
      </c>
    </row>
    <row r="24251" spans="20:20" ht="18.75" customHeight="1" x14ac:dyDescent="0.35">
      <c r="T24251" s="246">
        <f t="shared" si="416"/>
        <v>0</v>
      </c>
    </row>
    <row r="24252" spans="20:20" ht="18.75" customHeight="1" x14ac:dyDescent="0.35">
      <c r="T24252" s="246">
        <f t="shared" ref="T24252:T24315" si="417">R24252*0.01</f>
        <v>0</v>
      </c>
    </row>
    <row r="24253" spans="20:20" ht="18.75" customHeight="1" x14ac:dyDescent="0.35">
      <c r="T24253" s="246">
        <f t="shared" si="417"/>
        <v>0</v>
      </c>
    </row>
    <row r="24254" spans="20:20" ht="18.75" customHeight="1" x14ac:dyDescent="0.35">
      <c r="T24254" s="246">
        <f t="shared" si="417"/>
        <v>0</v>
      </c>
    </row>
    <row r="24255" spans="20:20" ht="18.75" customHeight="1" x14ac:dyDescent="0.35">
      <c r="T24255" s="246">
        <f t="shared" si="417"/>
        <v>0</v>
      </c>
    </row>
    <row r="24256" spans="20:20" ht="18.75" customHeight="1" x14ac:dyDescent="0.35">
      <c r="T24256" s="246">
        <f t="shared" si="417"/>
        <v>0</v>
      </c>
    </row>
    <row r="24257" spans="20:20" ht="18.75" customHeight="1" x14ac:dyDescent="0.35">
      <c r="T24257" s="246">
        <f t="shared" si="417"/>
        <v>0</v>
      </c>
    </row>
    <row r="24258" spans="20:20" ht="18.75" customHeight="1" x14ac:dyDescent="0.35">
      <c r="T24258" s="246">
        <f t="shared" si="417"/>
        <v>0</v>
      </c>
    </row>
    <row r="24259" spans="20:20" ht="18.75" customHeight="1" x14ac:dyDescent="0.35">
      <c r="T24259" s="246">
        <f t="shared" si="417"/>
        <v>0</v>
      </c>
    </row>
    <row r="24260" spans="20:20" ht="18.75" customHeight="1" x14ac:dyDescent="0.35">
      <c r="T24260" s="246">
        <f t="shared" si="417"/>
        <v>0</v>
      </c>
    </row>
    <row r="24261" spans="20:20" ht="18.75" customHeight="1" x14ac:dyDescent="0.35">
      <c r="T24261" s="246">
        <f t="shared" si="417"/>
        <v>0</v>
      </c>
    </row>
    <row r="24262" spans="20:20" ht="18.75" customHeight="1" x14ac:dyDescent="0.35">
      <c r="T24262" s="246">
        <f t="shared" si="417"/>
        <v>0</v>
      </c>
    </row>
    <row r="24263" spans="20:20" ht="18.75" customHeight="1" x14ac:dyDescent="0.35">
      <c r="T24263" s="246">
        <f t="shared" si="417"/>
        <v>0</v>
      </c>
    </row>
    <row r="24264" spans="20:20" ht="18.75" customHeight="1" x14ac:dyDescent="0.35">
      <c r="T24264" s="246">
        <f t="shared" si="417"/>
        <v>0</v>
      </c>
    </row>
    <row r="24265" spans="20:20" ht="18.75" customHeight="1" x14ac:dyDescent="0.35">
      <c r="T24265" s="246">
        <f t="shared" si="417"/>
        <v>0</v>
      </c>
    </row>
    <row r="24266" spans="20:20" ht="18.75" customHeight="1" x14ac:dyDescent="0.35">
      <c r="T24266" s="246">
        <f t="shared" si="417"/>
        <v>0</v>
      </c>
    </row>
    <row r="24267" spans="20:20" ht="18.75" customHeight="1" x14ac:dyDescent="0.35">
      <c r="T24267" s="246">
        <f t="shared" si="417"/>
        <v>0</v>
      </c>
    </row>
    <row r="24268" spans="20:20" ht="18.75" customHeight="1" x14ac:dyDescent="0.35">
      <c r="T24268" s="246">
        <f t="shared" si="417"/>
        <v>0</v>
      </c>
    </row>
    <row r="24269" spans="20:20" ht="18.75" customHeight="1" x14ac:dyDescent="0.35">
      <c r="T24269" s="246">
        <f t="shared" si="417"/>
        <v>0</v>
      </c>
    </row>
    <row r="24270" spans="20:20" ht="18.75" customHeight="1" x14ac:dyDescent="0.35">
      <c r="T24270" s="246">
        <f t="shared" si="417"/>
        <v>0</v>
      </c>
    </row>
    <row r="24271" spans="20:20" ht="18.75" customHeight="1" x14ac:dyDescent="0.35">
      <c r="T24271" s="246">
        <f t="shared" si="417"/>
        <v>0</v>
      </c>
    </row>
    <row r="24272" spans="20:20" ht="18.75" customHeight="1" x14ac:dyDescent="0.35">
      <c r="T24272" s="246">
        <f t="shared" si="417"/>
        <v>0</v>
      </c>
    </row>
    <row r="24273" spans="20:20" ht="18.75" customHeight="1" x14ac:dyDescent="0.35">
      <c r="T24273" s="246">
        <f t="shared" si="417"/>
        <v>0</v>
      </c>
    </row>
    <row r="24274" spans="20:20" ht="18.75" customHeight="1" x14ac:dyDescent="0.35">
      <c r="T24274" s="246">
        <f t="shared" si="417"/>
        <v>0</v>
      </c>
    </row>
    <row r="24275" spans="20:20" ht="18.75" customHeight="1" x14ac:dyDescent="0.35">
      <c r="T24275" s="246">
        <f t="shared" si="417"/>
        <v>0</v>
      </c>
    </row>
    <row r="24276" spans="20:20" ht="18.75" customHeight="1" x14ac:dyDescent="0.35">
      <c r="T24276" s="246">
        <f t="shared" si="417"/>
        <v>0</v>
      </c>
    </row>
    <row r="24277" spans="20:20" ht="18.75" customHeight="1" x14ac:dyDescent="0.35">
      <c r="T24277" s="246">
        <f t="shared" si="417"/>
        <v>0</v>
      </c>
    </row>
    <row r="24278" spans="20:20" ht="18.75" customHeight="1" x14ac:dyDescent="0.35">
      <c r="T24278" s="246">
        <f t="shared" si="417"/>
        <v>0</v>
      </c>
    </row>
    <row r="24279" spans="20:20" ht="18.75" customHeight="1" x14ac:dyDescent="0.35">
      <c r="T24279" s="246">
        <f t="shared" si="417"/>
        <v>0</v>
      </c>
    </row>
    <row r="24280" spans="20:20" ht="18.75" customHeight="1" x14ac:dyDescent="0.35">
      <c r="T24280" s="246">
        <f t="shared" si="417"/>
        <v>0</v>
      </c>
    </row>
    <row r="24281" spans="20:20" ht="18.75" customHeight="1" x14ac:dyDescent="0.35">
      <c r="T24281" s="246">
        <f t="shared" si="417"/>
        <v>0</v>
      </c>
    </row>
    <row r="24282" spans="20:20" ht="18.75" customHeight="1" x14ac:dyDescent="0.35">
      <c r="T24282" s="246">
        <f t="shared" si="417"/>
        <v>0</v>
      </c>
    </row>
    <row r="24283" spans="20:20" ht="18.75" customHeight="1" x14ac:dyDescent="0.35">
      <c r="T24283" s="246">
        <f t="shared" si="417"/>
        <v>0</v>
      </c>
    </row>
    <row r="24284" spans="20:20" ht="18.75" customHeight="1" x14ac:dyDescent="0.35">
      <c r="T24284" s="246">
        <f t="shared" si="417"/>
        <v>0</v>
      </c>
    </row>
    <row r="24285" spans="20:20" ht="18.75" customHeight="1" x14ac:dyDescent="0.35">
      <c r="T24285" s="246">
        <f t="shared" si="417"/>
        <v>0</v>
      </c>
    </row>
    <row r="24286" spans="20:20" ht="18.75" customHeight="1" x14ac:dyDescent="0.35">
      <c r="T24286" s="246">
        <f t="shared" si="417"/>
        <v>0</v>
      </c>
    </row>
    <row r="24287" spans="20:20" ht="18.75" customHeight="1" x14ac:dyDescent="0.35">
      <c r="T24287" s="246">
        <f t="shared" si="417"/>
        <v>0</v>
      </c>
    </row>
    <row r="24288" spans="20:20" ht="18.75" customHeight="1" x14ac:dyDescent="0.35">
      <c r="T24288" s="246">
        <f t="shared" si="417"/>
        <v>0</v>
      </c>
    </row>
    <row r="24289" spans="20:20" ht="18.75" customHeight="1" x14ac:dyDescent="0.35">
      <c r="T24289" s="246">
        <f t="shared" si="417"/>
        <v>0</v>
      </c>
    </row>
    <row r="24290" spans="20:20" ht="18.75" customHeight="1" x14ac:dyDescent="0.35">
      <c r="T24290" s="246">
        <f t="shared" si="417"/>
        <v>0</v>
      </c>
    </row>
    <row r="24291" spans="20:20" ht="18.75" customHeight="1" x14ac:dyDescent="0.35">
      <c r="T24291" s="246">
        <f t="shared" si="417"/>
        <v>0</v>
      </c>
    </row>
    <row r="24292" spans="20:20" ht="18.75" customHeight="1" x14ac:dyDescent="0.35">
      <c r="T24292" s="246">
        <f t="shared" si="417"/>
        <v>0</v>
      </c>
    </row>
    <row r="24293" spans="20:20" ht="18.75" customHeight="1" x14ac:dyDescent="0.35">
      <c r="T24293" s="246">
        <f t="shared" si="417"/>
        <v>0</v>
      </c>
    </row>
    <row r="24294" spans="20:20" ht="18.75" customHeight="1" x14ac:dyDescent="0.35">
      <c r="T24294" s="246">
        <f t="shared" si="417"/>
        <v>0</v>
      </c>
    </row>
    <row r="24295" spans="20:20" ht="18.75" customHeight="1" x14ac:dyDescent="0.35">
      <c r="T24295" s="246">
        <f t="shared" si="417"/>
        <v>0</v>
      </c>
    </row>
    <row r="24296" spans="20:20" ht="18.75" customHeight="1" x14ac:dyDescent="0.35">
      <c r="T24296" s="246">
        <f t="shared" si="417"/>
        <v>0</v>
      </c>
    </row>
    <row r="24297" spans="20:20" ht="18.75" customHeight="1" x14ac:dyDescent="0.35">
      <c r="T24297" s="246">
        <f t="shared" si="417"/>
        <v>0</v>
      </c>
    </row>
    <row r="24298" spans="20:20" ht="18.75" customHeight="1" x14ac:dyDescent="0.35">
      <c r="T24298" s="246">
        <f t="shared" si="417"/>
        <v>0</v>
      </c>
    </row>
    <row r="24299" spans="20:20" ht="18.75" customHeight="1" x14ac:dyDescent="0.35">
      <c r="T24299" s="246">
        <f t="shared" si="417"/>
        <v>0</v>
      </c>
    </row>
    <row r="24300" spans="20:20" ht="18.75" customHeight="1" x14ac:dyDescent="0.35">
      <c r="T24300" s="246">
        <f t="shared" si="417"/>
        <v>0</v>
      </c>
    </row>
    <row r="24301" spans="20:20" ht="18.75" customHeight="1" x14ac:dyDescent="0.35">
      <c r="T24301" s="246">
        <f t="shared" si="417"/>
        <v>0</v>
      </c>
    </row>
    <row r="24302" spans="20:20" ht="18.75" customHeight="1" x14ac:dyDescent="0.35">
      <c r="T24302" s="246">
        <f t="shared" si="417"/>
        <v>0</v>
      </c>
    </row>
    <row r="24303" spans="20:20" ht="18.75" customHeight="1" x14ac:dyDescent="0.35">
      <c r="T24303" s="246">
        <f t="shared" si="417"/>
        <v>0</v>
      </c>
    </row>
    <row r="24304" spans="20:20" ht="18.75" customHeight="1" x14ac:dyDescent="0.35">
      <c r="T24304" s="246">
        <f t="shared" si="417"/>
        <v>0</v>
      </c>
    </row>
    <row r="24305" spans="20:20" ht="18.75" customHeight="1" x14ac:dyDescent="0.35">
      <c r="T24305" s="246">
        <f t="shared" si="417"/>
        <v>0</v>
      </c>
    </row>
    <row r="24306" spans="20:20" ht="18.75" customHeight="1" x14ac:dyDescent="0.35">
      <c r="T24306" s="246">
        <f t="shared" si="417"/>
        <v>0</v>
      </c>
    </row>
    <row r="24307" spans="20:20" ht="18.75" customHeight="1" x14ac:dyDescent="0.35">
      <c r="T24307" s="246">
        <f t="shared" si="417"/>
        <v>0</v>
      </c>
    </row>
    <row r="24308" spans="20:20" ht="18.75" customHeight="1" x14ac:dyDescent="0.35">
      <c r="T24308" s="246">
        <f t="shared" si="417"/>
        <v>0</v>
      </c>
    </row>
    <row r="24309" spans="20:20" ht="18.75" customHeight="1" x14ac:dyDescent="0.35">
      <c r="T24309" s="246">
        <f t="shared" si="417"/>
        <v>0</v>
      </c>
    </row>
    <row r="24310" spans="20:20" ht="18.75" customHeight="1" x14ac:dyDescent="0.35">
      <c r="T24310" s="246">
        <f t="shared" si="417"/>
        <v>0</v>
      </c>
    </row>
    <row r="24311" spans="20:20" ht="18.75" customHeight="1" x14ac:dyDescent="0.35">
      <c r="T24311" s="246">
        <f t="shared" si="417"/>
        <v>0</v>
      </c>
    </row>
    <row r="24312" spans="20:20" ht="18.75" customHeight="1" x14ac:dyDescent="0.35">
      <c r="T24312" s="246">
        <f t="shared" si="417"/>
        <v>0</v>
      </c>
    </row>
    <row r="24313" spans="20:20" ht="18.75" customHeight="1" x14ac:dyDescent="0.35">
      <c r="T24313" s="246">
        <f t="shared" si="417"/>
        <v>0</v>
      </c>
    </row>
    <row r="24314" spans="20:20" ht="18.75" customHeight="1" x14ac:dyDescent="0.35">
      <c r="T24314" s="246">
        <f t="shared" si="417"/>
        <v>0</v>
      </c>
    </row>
    <row r="24315" spans="20:20" ht="18.75" customHeight="1" x14ac:dyDescent="0.35">
      <c r="T24315" s="246">
        <f t="shared" si="417"/>
        <v>0</v>
      </c>
    </row>
    <row r="24316" spans="20:20" ht="18.75" customHeight="1" x14ac:dyDescent="0.35">
      <c r="T24316" s="246">
        <f t="shared" ref="T24316:T24379" si="418">R24316*0.01</f>
        <v>0</v>
      </c>
    </row>
    <row r="24317" spans="20:20" ht="18.75" customHeight="1" x14ac:dyDescent="0.35">
      <c r="T24317" s="246">
        <f t="shared" si="418"/>
        <v>0</v>
      </c>
    </row>
    <row r="24318" spans="20:20" ht="18.75" customHeight="1" x14ac:dyDescent="0.35">
      <c r="T24318" s="246">
        <f t="shared" si="418"/>
        <v>0</v>
      </c>
    </row>
    <row r="24319" spans="20:20" ht="18.75" customHeight="1" x14ac:dyDescent="0.35">
      <c r="T24319" s="246">
        <f t="shared" si="418"/>
        <v>0</v>
      </c>
    </row>
    <row r="24320" spans="20:20" ht="18.75" customHeight="1" x14ac:dyDescent="0.35">
      <c r="T24320" s="246">
        <f t="shared" si="418"/>
        <v>0</v>
      </c>
    </row>
    <row r="24321" spans="20:20" ht="18.75" customHeight="1" x14ac:dyDescent="0.35">
      <c r="T24321" s="246">
        <f t="shared" si="418"/>
        <v>0</v>
      </c>
    </row>
    <row r="24322" spans="20:20" ht="18.75" customHeight="1" x14ac:dyDescent="0.35">
      <c r="T24322" s="246">
        <f t="shared" si="418"/>
        <v>0</v>
      </c>
    </row>
    <row r="24323" spans="20:20" ht="18.75" customHeight="1" x14ac:dyDescent="0.35">
      <c r="T24323" s="246">
        <f t="shared" si="418"/>
        <v>0</v>
      </c>
    </row>
    <row r="24324" spans="20:20" ht="18.75" customHeight="1" x14ac:dyDescent="0.35">
      <c r="T24324" s="246">
        <f t="shared" si="418"/>
        <v>0</v>
      </c>
    </row>
    <row r="24325" spans="20:20" ht="18.75" customHeight="1" x14ac:dyDescent="0.35">
      <c r="T24325" s="246">
        <f t="shared" si="418"/>
        <v>0</v>
      </c>
    </row>
    <row r="24326" spans="20:20" ht="18.75" customHeight="1" x14ac:dyDescent="0.35">
      <c r="T24326" s="246">
        <f t="shared" si="418"/>
        <v>0</v>
      </c>
    </row>
    <row r="24327" spans="20:20" ht="18.75" customHeight="1" x14ac:dyDescent="0.35">
      <c r="T24327" s="246">
        <f t="shared" si="418"/>
        <v>0</v>
      </c>
    </row>
    <row r="24328" spans="20:20" ht="18.75" customHeight="1" x14ac:dyDescent="0.35">
      <c r="T24328" s="246">
        <f t="shared" si="418"/>
        <v>0</v>
      </c>
    </row>
    <row r="24329" spans="20:20" ht="18.75" customHeight="1" x14ac:dyDescent="0.35">
      <c r="T24329" s="246">
        <f t="shared" si="418"/>
        <v>0</v>
      </c>
    </row>
    <row r="24330" spans="20:20" ht="18.75" customHeight="1" x14ac:dyDescent="0.35">
      <c r="T24330" s="246">
        <f t="shared" si="418"/>
        <v>0</v>
      </c>
    </row>
    <row r="24331" spans="20:20" ht="18.75" customHeight="1" x14ac:dyDescent="0.35">
      <c r="T24331" s="246">
        <f t="shared" si="418"/>
        <v>0</v>
      </c>
    </row>
    <row r="24332" spans="20:20" ht="18.75" customHeight="1" x14ac:dyDescent="0.35">
      <c r="T24332" s="246">
        <f t="shared" si="418"/>
        <v>0</v>
      </c>
    </row>
    <row r="24333" spans="20:20" ht="18.75" customHeight="1" x14ac:dyDescent="0.35">
      <c r="T24333" s="246">
        <f t="shared" si="418"/>
        <v>0</v>
      </c>
    </row>
    <row r="24334" spans="20:20" ht="18.75" customHeight="1" x14ac:dyDescent="0.35">
      <c r="T24334" s="246">
        <f t="shared" si="418"/>
        <v>0</v>
      </c>
    </row>
    <row r="24335" spans="20:20" ht="18.75" customHeight="1" x14ac:dyDescent="0.35">
      <c r="T24335" s="246">
        <f t="shared" si="418"/>
        <v>0</v>
      </c>
    </row>
    <row r="24336" spans="20:20" ht="18.75" customHeight="1" x14ac:dyDescent="0.35">
      <c r="T24336" s="246">
        <f t="shared" si="418"/>
        <v>0</v>
      </c>
    </row>
    <row r="24337" spans="20:20" ht="18.75" customHeight="1" x14ac:dyDescent="0.35">
      <c r="T24337" s="246">
        <f t="shared" si="418"/>
        <v>0</v>
      </c>
    </row>
    <row r="24338" spans="20:20" ht="18.75" customHeight="1" x14ac:dyDescent="0.35">
      <c r="T24338" s="246">
        <f t="shared" si="418"/>
        <v>0</v>
      </c>
    </row>
    <row r="24339" spans="20:20" ht="18.75" customHeight="1" x14ac:dyDescent="0.35">
      <c r="T24339" s="246">
        <f t="shared" si="418"/>
        <v>0</v>
      </c>
    </row>
    <row r="24340" spans="20:20" ht="18.75" customHeight="1" x14ac:dyDescent="0.35">
      <c r="T24340" s="246">
        <f t="shared" si="418"/>
        <v>0</v>
      </c>
    </row>
    <row r="24341" spans="20:20" ht="18.75" customHeight="1" x14ac:dyDescent="0.35">
      <c r="T24341" s="246">
        <f t="shared" si="418"/>
        <v>0</v>
      </c>
    </row>
    <row r="24342" spans="20:20" ht="18.75" customHeight="1" x14ac:dyDescent="0.35">
      <c r="T24342" s="246">
        <f t="shared" si="418"/>
        <v>0</v>
      </c>
    </row>
    <row r="24343" spans="20:20" ht="18.75" customHeight="1" x14ac:dyDescent="0.35">
      <c r="T24343" s="246">
        <f t="shared" si="418"/>
        <v>0</v>
      </c>
    </row>
    <row r="24344" spans="20:20" ht="18.75" customHeight="1" x14ac:dyDescent="0.35">
      <c r="T24344" s="246">
        <f t="shared" si="418"/>
        <v>0</v>
      </c>
    </row>
    <row r="24345" spans="20:20" ht="18.75" customHeight="1" x14ac:dyDescent="0.35">
      <c r="T24345" s="246">
        <f t="shared" si="418"/>
        <v>0</v>
      </c>
    </row>
    <row r="24346" spans="20:20" ht="18.75" customHeight="1" x14ac:dyDescent="0.35">
      <c r="T24346" s="246">
        <f t="shared" si="418"/>
        <v>0</v>
      </c>
    </row>
    <row r="24347" spans="20:20" ht="18.75" customHeight="1" x14ac:dyDescent="0.35">
      <c r="T24347" s="246">
        <f t="shared" si="418"/>
        <v>0</v>
      </c>
    </row>
    <row r="24348" spans="20:20" ht="18.75" customHeight="1" x14ac:dyDescent="0.35">
      <c r="T24348" s="246">
        <f t="shared" si="418"/>
        <v>0</v>
      </c>
    </row>
    <row r="24349" spans="20:20" ht="18.75" customHeight="1" x14ac:dyDescent="0.35">
      <c r="T24349" s="246">
        <f t="shared" si="418"/>
        <v>0</v>
      </c>
    </row>
    <row r="24350" spans="20:20" ht="18.75" customHeight="1" x14ac:dyDescent="0.35">
      <c r="T24350" s="246">
        <f t="shared" si="418"/>
        <v>0</v>
      </c>
    </row>
    <row r="24351" spans="20:20" ht="18.75" customHeight="1" x14ac:dyDescent="0.35">
      <c r="T24351" s="246">
        <f t="shared" si="418"/>
        <v>0</v>
      </c>
    </row>
    <row r="24352" spans="20:20" ht="18.75" customHeight="1" x14ac:dyDescent="0.35">
      <c r="T24352" s="246">
        <f t="shared" si="418"/>
        <v>0</v>
      </c>
    </row>
    <row r="24353" spans="20:20" ht="18.75" customHeight="1" x14ac:dyDescent="0.35">
      <c r="T24353" s="246">
        <f t="shared" si="418"/>
        <v>0</v>
      </c>
    </row>
    <row r="24354" spans="20:20" ht="18.75" customHeight="1" x14ac:dyDescent="0.35">
      <c r="T24354" s="246">
        <f t="shared" si="418"/>
        <v>0</v>
      </c>
    </row>
    <row r="24355" spans="20:20" ht="18.75" customHeight="1" x14ac:dyDescent="0.35">
      <c r="T24355" s="246">
        <f t="shared" si="418"/>
        <v>0</v>
      </c>
    </row>
    <row r="24356" spans="20:20" ht="18.75" customHeight="1" x14ac:dyDescent="0.35">
      <c r="T24356" s="246">
        <f t="shared" si="418"/>
        <v>0</v>
      </c>
    </row>
    <row r="24357" spans="20:20" ht="18.75" customHeight="1" x14ac:dyDescent="0.35">
      <c r="T24357" s="246">
        <f t="shared" si="418"/>
        <v>0</v>
      </c>
    </row>
    <row r="24358" spans="20:20" ht="18.75" customHeight="1" x14ac:dyDescent="0.35">
      <c r="T24358" s="246">
        <f t="shared" si="418"/>
        <v>0</v>
      </c>
    </row>
    <row r="24359" spans="20:20" ht="18.75" customHeight="1" x14ac:dyDescent="0.35">
      <c r="T24359" s="246">
        <f t="shared" si="418"/>
        <v>0</v>
      </c>
    </row>
    <row r="24360" spans="20:20" ht="18.75" customHeight="1" x14ac:dyDescent="0.35">
      <c r="T24360" s="246">
        <f t="shared" si="418"/>
        <v>0</v>
      </c>
    </row>
    <row r="24361" spans="20:20" ht="18.75" customHeight="1" x14ac:dyDescent="0.35">
      <c r="T24361" s="246">
        <f t="shared" si="418"/>
        <v>0</v>
      </c>
    </row>
    <row r="24362" spans="20:20" ht="18.75" customHeight="1" x14ac:dyDescent="0.35">
      <c r="T24362" s="246">
        <f t="shared" si="418"/>
        <v>0</v>
      </c>
    </row>
    <row r="24363" spans="20:20" ht="18.75" customHeight="1" x14ac:dyDescent="0.35">
      <c r="T24363" s="246">
        <f t="shared" si="418"/>
        <v>0</v>
      </c>
    </row>
    <row r="24364" spans="20:20" ht="18.75" customHeight="1" x14ac:dyDescent="0.35">
      <c r="T24364" s="246">
        <f t="shared" si="418"/>
        <v>0</v>
      </c>
    </row>
    <row r="24365" spans="20:20" ht="18.75" customHeight="1" x14ac:dyDescent="0.35">
      <c r="T24365" s="246">
        <f t="shared" si="418"/>
        <v>0</v>
      </c>
    </row>
    <row r="24366" spans="20:20" ht="18.75" customHeight="1" x14ac:dyDescent="0.35">
      <c r="T24366" s="246">
        <f t="shared" si="418"/>
        <v>0</v>
      </c>
    </row>
    <row r="24367" spans="20:20" ht="18.75" customHeight="1" x14ac:dyDescent="0.35">
      <c r="T24367" s="246">
        <f t="shared" si="418"/>
        <v>0</v>
      </c>
    </row>
    <row r="24368" spans="20:20" ht="18.75" customHeight="1" x14ac:dyDescent="0.35">
      <c r="T24368" s="246">
        <f t="shared" si="418"/>
        <v>0</v>
      </c>
    </row>
    <row r="24369" spans="20:20" ht="18.75" customHeight="1" x14ac:dyDescent="0.35">
      <c r="T24369" s="246">
        <f t="shared" si="418"/>
        <v>0</v>
      </c>
    </row>
    <row r="24370" spans="20:20" ht="18.75" customHeight="1" x14ac:dyDescent="0.35">
      <c r="T24370" s="246">
        <f t="shared" si="418"/>
        <v>0</v>
      </c>
    </row>
    <row r="24371" spans="20:20" ht="18.75" customHeight="1" x14ac:dyDescent="0.35">
      <c r="T24371" s="246">
        <f t="shared" si="418"/>
        <v>0</v>
      </c>
    </row>
    <row r="24372" spans="20:20" ht="18.75" customHeight="1" x14ac:dyDescent="0.35">
      <c r="T24372" s="246">
        <f t="shared" si="418"/>
        <v>0</v>
      </c>
    </row>
    <row r="24373" spans="20:20" ht="18.75" customHeight="1" x14ac:dyDescent="0.35">
      <c r="T24373" s="246">
        <f t="shared" si="418"/>
        <v>0</v>
      </c>
    </row>
    <row r="24374" spans="20:20" ht="18.75" customHeight="1" x14ac:dyDescent="0.35">
      <c r="T24374" s="246">
        <f t="shared" si="418"/>
        <v>0</v>
      </c>
    </row>
    <row r="24375" spans="20:20" ht="18.75" customHeight="1" x14ac:dyDescent="0.35">
      <c r="T24375" s="246">
        <f t="shared" si="418"/>
        <v>0</v>
      </c>
    </row>
    <row r="24376" spans="20:20" ht="18.75" customHeight="1" x14ac:dyDescent="0.35">
      <c r="T24376" s="246">
        <f t="shared" si="418"/>
        <v>0</v>
      </c>
    </row>
    <row r="24377" spans="20:20" ht="18.75" customHeight="1" x14ac:dyDescent="0.35">
      <c r="T24377" s="246">
        <f t="shared" si="418"/>
        <v>0</v>
      </c>
    </row>
    <row r="24378" spans="20:20" ht="18.75" customHeight="1" x14ac:dyDescent="0.35">
      <c r="T24378" s="246">
        <f t="shared" si="418"/>
        <v>0</v>
      </c>
    </row>
    <row r="24379" spans="20:20" ht="18.75" customHeight="1" x14ac:dyDescent="0.35">
      <c r="T24379" s="246">
        <f t="shared" si="418"/>
        <v>0</v>
      </c>
    </row>
    <row r="24380" spans="20:20" ht="18.75" customHeight="1" x14ac:dyDescent="0.35">
      <c r="T24380" s="246">
        <f t="shared" ref="T24380:T24443" si="419">R24380*0.01</f>
        <v>0</v>
      </c>
    </row>
    <row r="24381" spans="20:20" ht="18.75" customHeight="1" x14ac:dyDescent="0.35">
      <c r="T24381" s="246">
        <f t="shared" si="419"/>
        <v>0</v>
      </c>
    </row>
    <row r="24382" spans="20:20" ht="18.75" customHeight="1" x14ac:dyDescent="0.35">
      <c r="T24382" s="246">
        <f t="shared" si="419"/>
        <v>0</v>
      </c>
    </row>
    <row r="24383" spans="20:20" ht="18.75" customHeight="1" x14ac:dyDescent="0.35">
      <c r="T24383" s="246">
        <f t="shared" si="419"/>
        <v>0</v>
      </c>
    </row>
    <row r="24384" spans="20:20" ht="18.75" customHeight="1" x14ac:dyDescent="0.35">
      <c r="T24384" s="246">
        <f t="shared" si="419"/>
        <v>0</v>
      </c>
    </row>
    <row r="24385" spans="20:20" ht="18.75" customHeight="1" x14ac:dyDescent="0.35">
      <c r="T24385" s="246">
        <f t="shared" si="419"/>
        <v>0</v>
      </c>
    </row>
    <row r="24386" spans="20:20" ht="18.75" customHeight="1" x14ac:dyDescent="0.35">
      <c r="T24386" s="246">
        <f t="shared" si="419"/>
        <v>0</v>
      </c>
    </row>
    <row r="24387" spans="20:20" ht="18.75" customHeight="1" x14ac:dyDescent="0.35">
      <c r="T24387" s="246">
        <f t="shared" si="419"/>
        <v>0</v>
      </c>
    </row>
    <row r="24388" spans="20:20" ht="18.75" customHeight="1" x14ac:dyDescent="0.35">
      <c r="T24388" s="246">
        <f t="shared" si="419"/>
        <v>0</v>
      </c>
    </row>
    <row r="24389" spans="20:20" ht="18.75" customHeight="1" x14ac:dyDescent="0.35">
      <c r="T24389" s="246">
        <f t="shared" si="419"/>
        <v>0</v>
      </c>
    </row>
    <row r="24390" spans="20:20" ht="18.75" customHeight="1" x14ac:dyDescent="0.35">
      <c r="T24390" s="246">
        <f t="shared" si="419"/>
        <v>0</v>
      </c>
    </row>
    <row r="24391" spans="20:20" ht="18.75" customHeight="1" x14ac:dyDescent="0.35">
      <c r="T24391" s="246">
        <f t="shared" si="419"/>
        <v>0</v>
      </c>
    </row>
    <row r="24392" spans="20:20" ht="18.75" customHeight="1" x14ac:dyDescent="0.35">
      <c r="T24392" s="246">
        <f t="shared" si="419"/>
        <v>0</v>
      </c>
    </row>
    <row r="24393" spans="20:20" ht="18.75" customHeight="1" x14ac:dyDescent="0.35">
      <c r="T24393" s="246">
        <f t="shared" si="419"/>
        <v>0</v>
      </c>
    </row>
    <row r="24394" spans="20:20" ht="18.75" customHeight="1" x14ac:dyDescent="0.35">
      <c r="T24394" s="246">
        <f t="shared" si="419"/>
        <v>0</v>
      </c>
    </row>
    <row r="24395" spans="20:20" ht="18.75" customHeight="1" x14ac:dyDescent="0.35">
      <c r="T24395" s="246">
        <f t="shared" si="419"/>
        <v>0</v>
      </c>
    </row>
    <row r="24396" spans="20:20" ht="18.75" customHeight="1" x14ac:dyDescent="0.35">
      <c r="T24396" s="246">
        <f t="shared" si="419"/>
        <v>0</v>
      </c>
    </row>
    <row r="24397" spans="20:20" ht="18.75" customHeight="1" x14ac:dyDescent="0.35">
      <c r="T24397" s="246">
        <f t="shared" si="419"/>
        <v>0</v>
      </c>
    </row>
    <row r="24398" spans="20:20" ht="18.75" customHeight="1" x14ac:dyDescent="0.35">
      <c r="T24398" s="246">
        <f t="shared" si="419"/>
        <v>0</v>
      </c>
    </row>
    <row r="24399" spans="20:20" ht="18.75" customHeight="1" x14ac:dyDescent="0.35">
      <c r="T24399" s="246">
        <f t="shared" si="419"/>
        <v>0</v>
      </c>
    </row>
    <row r="24400" spans="20:20" ht="18.75" customHeight="1" x14ac:dyDescent="0.35">
      <c r="T24400" s="246">
        <f t="shared" si="419"/>
        <v>0</v>
      </c>
    </row>
    <row r="24401" spans="20:20" ht="18.75" customHeight="1" x14ac:dyDescent="0.35">
      <c r="T24401" s="246">
        <f t="shared" si="419"/>
        <v>0</v>
      </c>
    </row>
    <row r="24402" spans="20:20" ht="18.75" customHeight="1" x14ac:dyDescent="0.35">
      <c r="T24402" s="246">
        <f t="shared" si="419"/>
        <v>0</v>
      </c>
    </row>
    <row r="24403" spans="20:20" ht="18.75" customHeight="1" x14ac:dyDescent="0.35">
      <c r="T24403" s="246">
        <f t="shared" si="419"/>
        <v>0</v>
      </c>
    </row>
    <row r="24404" spans="20:20" ht="18.75" customHeight="1" x14ac:dyDescent="0.35">
      <c r="T24404" s="246">
        <f t="shared" si="419"/>
        <v>0</v>
      </c>
    </row>
    <row r="24405" spans="20:20" ht="18.75" customHeight="1" x14ac:dyDescent="0.35">
      <c r="T24405" s="246">
        <f t="shared" si="419"/>
        <v>0</v>
      </c>
    </row>
    <row r="24406" spans="20:20" ht="18.75" customHeight="1" x14ac:dyDescent="0.35">
      <c r="T24406" s="246">
        <f t="shared" si="419"/>
        <v>0</v>
      </c>
    </row>
    <row r="24407" spans="20:20" ht="18.75" customHeight="1" x14ac:dyDescent="0.35">
      <c r="T24407" s="246">
        <f t="shared" si="419"/>
        <v>0</v>
      </c>
    </row>
    <row r="24408" spans="20:20" ht="18.75" customHeight="1" x14ac:dyDescent="0.35">
      <c r="T24408" s="246">
        <f t="shared" si="419"/>
        <v>0</v>
      </c>
    </row>
    <row r="24409" spans="20:20" ht="18.75" customHeight="1" x14ac:dyDescent="0.35">
      <c r="T24409" s="246">
        <f t="shared" si="419"/>
        <v>0</v>
      </c>
    </row>
    <row r="24410" spans="20:20" ht="18.75" customHeight="1" x14ac:dyDescent="0.35">
      <c r="T24410" s="246">
        <f t="shared" si="419"/>
        <v>0</v>
      </c>
    </row>
    <row r="24411" spans="20:20" ht="18.75" customHeight="1" x14ac:dyDescent="0.35">
      <c r="T24411" s="246">
        <f t="shared" si="419"/>
        <v>0</v>
      </c>
    </row>
    <row r="24412" spans="20:20" ht="18.75" customHeight="1" x14ac:dyDescent="0.35">
      <c r="T24412" s="246">
        <f t="shared" si="419"/>
        <v>0</v>
      </c>
    </row>
    <row r="24413" spans="20:20" ht="18.75" customHeight="1" x14ac:dyDescent="0.35">
      <c r="T24413" s="246">
        <f t="shared" si="419"/>
        <v>0</v>
      </c>
    </row>
    <row r="24414" spans="20:20" ht="18.75" customHeight="1" x14ac:dyDescent="0.35">
      <c r="T24414" s="246">
        <f t="shared" si="419"/>
        <v>0</v>
      </c>
    </row>
    <row r="24415" spans="20:20" ht="18.75" customHeight="1" x14ac:dyDescent="0.35">
      <c r="T24415" s="246">
        <f t="shared" si="419"/>
        <v>0</v>
      </c>
    </row>
    <row r="24416" spans="20:20" ht="18.75" customHeight="1" x14ac:dyDescent="0.35">
      <c r="T24416" s="246">
        <f t="shared" si="419"/>
        <v>0</v>
      </c>
    </row>
    <row r="24417" spans="20:20" ht="18.75" customHeight="1" x14ac:dyDescent="0.35">
      <c r="T24417" s="246">
        <f t="shared" si="419"/>
        <v>0</v>
      </c>
    </row>
    <row r="24418" spans="20:20" ht="18.75" customHeight="1" x14ac:dyDescent="0.35">
      <c r="T24418" s="246">
        <f t="shared" si="419"/>
        <v>0</v>
      </c>
    </row>
    <row r="24419" spans="20:20" ht="18.75" customHeight="1" x14ac:dyDescent="0.35">
      <c r="T24419" s="246">
        <f t="shared" si="419"/>
        <v>0</v>
      </c>
    </row>
    <row r="24420" spans="20:20" ht="18.75" customHeight="1" x14ac:dyDescent="0.35">
      <c r="T24420" s="246">
        <f t="shared" si="419"/>
        <v>0</v>
      </c>
    </row>
    <row r="24421" spans="20:20" ht="18.75" customHeight="1" x14ac:dyDescent="0.35">
      <c r="T24421" s="246">
        <f t="shared" si="419"/>
        <v>0</v>
      </c>
    </row>
    <row r="24422" spans="20:20" ht="18.75" customHeight="1" x14ac:dyDescent="0.35">
      <c r="T24422" s="246">
        <f t="shared" si="419"/>
        <v>0</v>
      </c>
    </row>
    <row r="24423" spans="20:20" ht="18.75" customHeight="1" x14ac:dyDescent="0.35">
      <c r="T24423" s="246">
        <f t="shared" si="419"/>
        <v>0</v>
      </c>
    </row>
    <row r="24424" spans="20:20" ht="18.75" customHeight="1" x14ac:dyDescent="0.35">
      <c r="T24424" s="246">
        <f t="shared" si="419"/>
        <v>0</v>
      </c>
    </row>
    <row r="24425" spans="20:20" ht="18.75" customHeight="1" x14ac:dyDescent="0.35">
      <c r="T24425" s="246">
        <f t="shared" si="419"/>
        <v>0</v>
      </c>
    </row>
    <row r="24426" spans="20:20" ht="18.75" customHeight="1" x14ac:dyDescent="0.35">
      <c r="T24426" s="246">
        <f t="shared" si="419"/>
        <v>0</v>
      </c>
    </row>
    <row r="24427" spans="20:20" ht="18.75" customHeight="1" x14ac:dyDescent="0.35">
      <c r="T24427" s="246">
        <f t="shared" si="419"/>
        <v>0</v>
      </c>
    </row>
    <row r="24428" spans="20:20" ht="18.75" customHeight="1" x14ac:dyDescent="0.35">
      <c r="T24428" s="246">
        <f t="shared" si="419"/>
        <v>0</v>
      </c>
    </row>
    <row r="24429" spans="20:20" ht="18.75" customHeight="1" x14ac:dyDescent="0.35">
      <c r="T24429" s="246">
        <f t="shared" si="419"/>
        <v>0</v>
      </c>
    </row>
    <row r="24430" spans="20:20" ht="18.75" customHeight="1" x14ac:dyDescent="0.35">
      <c r="T24430" s="246">
        <f t="shared" si="419"/>
        <v>0</v>
      </c>
    </row>
    <row r="24431" spans="20:20" ht="18.75" customHeight="1" x14ac:dyDescent="0.35">
      <c r="T24431" s="246">
        <f t="shared" si="419"/>
        <v>0</v>
      </c>
    </row>
    <row r="24432" spans="20:20" ht="18.75" customHeight="1" x14ac:dyDescent="0.35">
      <c r="T24432" s="246">
        <f t="shared" si="419"/>
        <v>0</v>
      </c>
    </row>
    <row r="24433" spans="20:20" ht="18.75" customHeight="1" x14ac:dyDescent="0.35">
      <c r="T24433" s="246">
        <f t="shared" si="419"/>
        <v>0</v>
      </c>
    </row>
    <row r="24434" spans="20:20" ht="18.75" customHeight="1" x14ac:dyDescent="0.35">
      <c r="T24434" s="246">
        <f t="shared" si="419"/>
        <v>0</v>
      </c>
    </row>
    <row r="24435" spans="20:20" ht="18.75" customHeight="1" x14ac:dyDescent="0.35">
      <c r="T24435" s="246">
        <f t="shared" si="419"/>
        <v>0</v>
      </c>
    </row>
    <row r="24436" spans="20:20" ht="18.75" customHeight="1" x14ac:dyDescent="0.35">
      <c r="T24436" s="246">
        <f t="shared" si="419"/>
        <v>0</v>
      </c>
    </row>
    <row r="24437" spans="20:20" ht="18.75" customHeight="1" x14ac:dyDescent="0.35">
      <c r="T24437" s="246">
        <f t="shared" si="419"/>
        <v>0</v>
      </c>
    </row>
    <row r="24438" spans="20:20" ht="18.75" customHeight="1" x14ac:dyDescent="0.35">
      <c r="T24438" s="246">
        <f t="shared" si="419"/>
        <v>0</v>
      </c>
    </row>
    <row r="24439" spans="20:20" ht="18.75" customHeight="1" x14ac:dyDescent="0.35">
      <c r="T24439" s="246">
        <f t="shared" si="419"/>
        <v>0</v>
      </c>
    </row>
    <row r="24440" spans="20:20" ht="18.75" customHeight="1" x14ac:dyDescent="0.35">
      <c r="T24440" s="246">
        <f t="shared" si="419"/>
        <v>0</v>
      </c>
    </row>
    <row r="24441" spans="20:20" ht="18.75" customHeight="1" x14ac:dyDescent="0.35">
      <c r="T24441" s="246">
        <f t="shared" si="419"/>
        <v>0</v>
      </c>
    </row>
    <row r="24442" spans="20:20" ht="18.75" customHeight="1" x14ac:dyDescent="0.35">
      <c r="T24442" s="246">
        <f t="shared" si="419"/>
        <v>0</v>
      </c>
    </row>
    <row r="24443" spans="20:20" ht="18.75" customHeight="1" x14ac:dyDescent="0.35">
      <c r="T24443" s="246">
        <f t="shared" si="419"/>
        <v>0</v>
      </c>
    </row>
    <row r="24444" spans="20:20" ht="18.75" customHeight="1" x14ac:dyDescent="0.35">
      <c r="T24444" s="246">
        <f t="shared" ref="T24444:T24507" si="420">R24444*0.01</f>
        <v>0</v>
      </c>
    </row>
    <row r="24445" spans="20:20" ht="18.75" customHeight="1" x14ac:dyDescent="0.35">
      <c r="T24445" s="246">
        <f t="shared" si="420"/>
        <v>0</v>
      </c>
    </row>
    <row r="24446" spans="20:20" ht="18.75" customHeight="1" x14ac:dyDescent="0.35">
      <c r="T24446" s="246">
        <f t="shared" si="420"/>
        <v>0</v>
      </c>
    </row>
    <row r="24447" spans="20:20" ht="18.75" customHeight="1" x14ac:dyDescent="0.35">
      <c r="T24447" s="246">
        <f t="shared" si="420"/>
        <v>0</v>
      </c>
    </row>
    <row r="24448" spans="20:20" ht="18.75" customHeight="1" x14ac:dyDescent="0.35">
      <c r="T24448" s="246">
        <f t="shared" si="420"/>
        <v>0</v>
      </c>
    </row>
    <row r="24449" spans="20:20" ht="18.75" customHeight="1" x14ac:dyDescent="0.35">
      <c r="T24449" s="246">
        <f t="shared" si="420"/>
        <v>0</v>
      </c>
    </row>
    <row r="24450" spans="20:20" ht="18.75" customHeight="1" x14ac:dyDescent="0.35">
      <c r="T24450" s="246">
        <f t="shared" si="420"/>
        <v>0</v>
      </c>
    </row>
    <row r="24451" spans="20:20" ht="18.75" customHeight="1" x14ac:dyDescent="0.35">
      <c r="T24451" s="246">
        <f t="shared" si="420"/>
        <v>0</v>
      </c>
    </row>
    <row r="24452" spans="20:20" ht="18.75" customHeight="1" x14ac:dyDescent="0.35">
      <c r="T24452" s="246">
        <f t="shared" si="420"/>
        <v>0</v>
      </c>
    </row>
    <row r="24453" spans="20:20" ht="18.75" customHeight="1" x14ac:dyDescent="0.35">
      <c r="T24453" s="246">
        <f t="shared" si="420"/>
        <v>0</v>
      </c>
    </row>
    <row r="24454" spans="20:20" ht="18.75" customHeight="1" x14ac:dyDescent="0.35">
      <c r="T24454" s="246">
        <f t="shared" si="420"/>
        <v>0</v>
      </c>
    </row>
    <row r="24455" spans="20:20" ht="18.75" customHeight="1" x14ac:dyDescent="0.35">
      <c r="T24455" s="246">
        <f t="shared" si="420"/>
        <v>0</v>
      </c>
    </row>
    <row r="24456" spans="20:20" ht="18.75" customHeight="1" x14ac:dyDescent="0.35">
      <c r="T24456" s="246">
        <f t="shared" si="420"/>
        <v>0</v>
      </c>
    </row>
    <row r="24457" spans="20:20" ht="18.75" customHeight="1" x14ac:dyDescent="0.35">
      <c r="T24457" s="246">
        <f t="shared" si="420"/>
        <v>0</v>
      </c>
    </row>
    <row r="24458" spans="20:20" ht="18.75" customHeight="1" x14ac:dyDescent="0.35">
      <c r="T24458" s="246">
        <f t="shared" si="420"/>
        <v>0</v>
      </c>
    </row>
    <row r="24459" spans="20:20" ht="18.75" customHeight="1" x14ac:dyDescent="0.35">
      <c r="T24459" s="246">
        <f t="shared" si="420"/>
        <v>0</v>
      </c>
    </row>
    <row r="24460" spans="20:20" ht="18.75" customHeight="1" x14ac:dyDescent="0.35">
      <c r="T24460" s="246">
        <f t="shared" si="420"/>
        <v>0</v>
      </c>
    </row>
    <row r="24461" spans="20:20" ht="18.75" customHeight="1" x14ac:dyDescent="0.35">
      <c r="T24461" s="246">
        <f t="shared" si="420"/>
        <v>0</v>
      </c>
    </row>
    <row r="24462" spans="20:20" ht="18.75" customHeight="1" x14ac:dyDescent="0.35">
      <c r="T24462" s="246">
        <f t="shared" si="420"/>
        <v>0</v>
      </c>
    </row>
    <row r="24463" spans="20:20" ht="18.75" customHeight="1" x14ac:dyDescent="0.35">
      <c r="T24463" s="246">
        <f t="shared" si="420"/>
        <v>0</v>
      </c>
    </row>
    <row r="24464" spans="20:20" ht="18.75" customHeight="1" x14ac:dyDescent="0.35">
      <c r="T24464" s="246">
        <f t="shared" si="420"/>
        <v>0</v>
      </c>
    </row>
    <row r="24465" spans="20:20" ht="18.75" customHeight="1" x14ac:dyDescent="0.35">
      <c r="T24465" s="246">
        <f t="shared" si="420"/>
        <v>0</v>
      </c>
    </row>
    <row r="24466" spans="20:20" ht="18.75" customHeight="1" x14ac:dyDescent="0.35">
      <c r="T24466" s="246">
        <f t="shared" si="420"/>
        <v>0</v>
      </c>
    </row>
    <row r="24467" spans="20:20" ht="18.75" customHeight="1" x14ac:dyDescent="0.35">
      <c r="T24467" s="246">
        <f t="shared" si="420"/>
        <v>0</v>
      </c>
    </row>
    <row r="24468" spans="20:20" ht="18.75" customHeight="1" x14ac:dyDescent="0.35">
      <c r="T24468" s="246">
        <f t="shared" si="420"/>
        <v>0</v>
      </c>
    </row>
    <row r="24469" spans="20:20" ht="18.75" customHeight="1" x14ac:dyDescent="0.35">
      <c r="T24469" s="246">
        <f t="shared" si="420"/>
        <v>0</v>
      </c>
    </row>
    <row r="24470" spans="20:20" ht="18.75" customHeight="1" x14ac:dyDescent="0.35">
      <c r="T24470" s="246">
        <f t="shared" si="420"/>
        <v>0</v>
      </c>
    </row>
    <row r="24471" spans="20:20" ht="18.75" customHeight="1" x14ac:dyDescent="0.35">
      <c r="T24471" s="246">
        <f t="shared" si="420"/>
        <v>0</v>
      </c>
    </row>
    <row r="24472" spans="20:20" ht="18.75" customHeight="1" x14ac:dyDescent="0.35">
      <c r="T24472" s="246">
        <f t="shared" si="420"/>
        <v>0</v>
      </c>
    </row>
    <row r="24473" spans="20:20" ht="18.75" customHeight="1" x14ac:dyDescent="0.35">
      <c r="T24473" s="246">
        <f t="shared" si="420"/>
        <v>0</v>
      </c>
    </row>
    <row r="24474" spans="20:20" ht="18.75" customHeight="1" x14ac:dyDescent="0.35">
      <c r="T24474" s="246">
        <f t="shared" si="420"/>
        <v>0</v>
      </c>
    </row>
    <row r="24475" spans="20:20" ht="18.75" customHeight="1" x14ac:dyDescent="0.35">
      <c r="T24475" s="246">
        <f t="shared" si="420"/>
        <v>0</v>
      </c>
    </row>
    <row r="24476" spans="20:20" ht="18.75" customHeight="1" x14ac:dyDescent="0.35">
      <c r="T24476" s="246">
        <f t="shared" si="420"/>
        <v>0</v>
      </c>
    </row>
    <row r="24477" spans="20:20" ht="18.75" customHeight="1" x14ac:dyDescent="0.35">
      <c r="T24477" s="246">
        <f t="shared" si="420"/>
        <v>0</v>
      </c>
    </row>
    <row r="24478" spans="20:20" ht="18.75" customHeight="1" x14ac:dyDescent="0.35">
      <c r="T24478" s="246">
        <f t="shared" si="420"/>
        <v>0</v>
      </c>
    </row>
    <row r="24479" spans="20:20" ht="18.75" customHeight="1" x14ac:dyDescent="0.35">
      <c r="T24479" s="246">
        <f t="shared" si="420"/>
        <v>0</v>
      </c>
    </row>
    <row r="24480" spans="20:20" ht="18.75" customHeight="1" x14ac:dyDescent="0.35">
      <c r="T24480" s="246">
        <f t="shared" si="420"/>
        <v>0</v>
      </c>
    </row>
    <row r="24481" spans="20:20" ht="18.75" customHeight="1" x14ac:dyDescent="0.35">
      <c r="T24481" s="246">
        <f t="shared" si="420"/>
        <v>0</v>
      </c>
    </row>
    <row r="24482" spans="20:20" ht="18.75" customHeight="1" x14ac:dyDescent="0.35">
      <c r="T24482" s="246">
        <f t="shared" si="420"/>
        <v>0</v>
      </c>
    </row>
    <row r="24483" spans="20:20" ht="18.75" customHeight="1" x14ac:dyDescent="0.35">
      <c r="T24483" s="246">
        <f t="shared" si="420"/>
        <v>0</v>
      </c>
    </row>
    <row r="24484" spans="20:20" ht="18.75" customHeight="1" x14ac:dyDescent="0.35">
      <c r="T24484" s="246">
        <f t="shared" si="420"/>
        <v>0</v>
      </c>
    </row>
    <row r="24485" spans="20:20" ht="18.75" customHeight="1" x14ac:dyDescent="0.35">
      <c r="T24485" s="246">
        <f t="shared" si="420"/>
        <v>0</v>
      </c>
    </row>
    <row r="24486" spans="20:20" ht="18.75" customHeight="1" x14ac:dyDescent="0.35">
      <c r="T24486" s="246">
        <f t="shared" si="420"/>
        <v>0</v>
      </c>
    </row>
    <row r="24487" spans="20:20" ht="18.75" customHeight="1" x14ac:dyDescent="0.35">
      <c r="T24487" s="246">
        <f t="shared" si="420"/>
        <v>0</v>
      </c>
    </row>
    <row r="24488" spans="20:20" ht="18.75" customHeight="1" x14ac:dyDescent="0.35">
      <c r="T24488" s="246">
        <f t="shared" si="420"/>
        <v>0</v>
      </c>
    </row>
    <row r="24489" spans="20:20" ht="18.75" customHeight="1" x14ac:dyDescent="0.35">
      <c r="T24489" s="246">
        <f t="shared" si="420"/>
        <v>0</v>
      </c>
    </row>
    <row r="24490" spans="20:20" ht="18.75" customHeight="1" x14ac:dyDescent="0.35">
      <c r="T24490" s="246">
        <f t="shared" si="420"/>
        <v>0</v>
      </c>
    </row>
    <row r="24491" spans="20:20" ht="18.75" customHeight="1" x14ac:dyDescent="0.35">
      <c r="T24491" s="246">
        <f t="shared" si="420"/>
        <v>0</v>
      </c>
    </row>
    <row r="24492" spans="20:20" ht="18.75" customHeight="1" x14ac:dyDescent="0.35">
      <c r="T24492" s="246">
        <f t="shared" si="420"/>
        <v>0</v>
      </c>
    </row>
    <row r="24493" spans="20:20" ht="18.75" customHeight="1" x14ac:dyDescent="0.35">
      <c r="T24493" s="246">
        <f t="shared" si="420"/>
        <v>0</v>
      </c>
    </row>
    <row r="24494" spans="20:20" ht="18.75" customHeight="1" x14ac:dyDescent="0.35">
      <c r="T24494" s="246">
        <f t="shared" si="420"/>
        <v>0</v>
      </c>
    </row>
    <row r="24495" spans="20:20" ht="18.75" customHeight="1" x14ac:dyDescent="0.35">
      <c r="T24495" s="246">
        <f t="shared" si="420"/>
        <v>0</v>
      </c>
    </row>
    <row r="24496" spans="20:20" ht="18.75" customHeight="1" x14ac:dyDescent="0.35">
      <c r="T24496" s="246">
        <f t="shared" si="420"/>
        <v>0</v>
      </c>
    </row>
    <row r="24497" spans="20:20" ht="18.75" customHeight="1" x14ac:dyDescent="0.35">
      <c r="T24497" s="246">
        <f t="shared" si="420"/>
        <v>0</v>
      </c>
    </row>
    <row r="24498" spans="20:20" ht="18.75" customHeight="1" x14ac:dyDescent="0.35">
      <c r="T24498" s="246">
        <f t="shared" si="420"/>
        <v>0</v>
      </c>
    </row>
    <row r="24499" spans="20:20" ht="18.75" customHeight="1" x14ac:dyDescent="0.35">
      <c r="T24499" s="246">
        <f t="shared" si="420"/>
        <v>0</v>
      </c>
    </row>
    <row r="24500" spans="20:20" ht="18.75" customHeight="1" x14ac:dyDescent="0.35">
      <c r="T24500" s="246">
        <f t="shared" si="420"/>
        <v>0</v>
      </c>
    </row>
    <row r="24501" spans="20:20" ht="18.75" customHeight="1" x14ac:dyDescent="0.35">
      <c r="T24501" s="246">
        <f t="shared" si="420"/>
        <v>0</v>
      </c>
    </row>
    <row r="24502" spans="20:20" ht="18.75" customHeight="1" x14ac:dyDescent="0.35">
      <c r="T24502" s="246">
        <f t="shared" si="420"/>
        <v>0</v>
      </c>
    </row>
    <row r="24503" spans="20:20" ht="18.75" customHeight="1" x14ac:dyDescent="0.35">
      <c r="T24503" s="246">
        <f t="shared" si="420"/>
        <v>0</v>
      </c>
    </row>
    <row r="24504" spans="20:20" ht="18.75" customHeight="1" x14ac:dyDescent="0.35">
      <c r="T24504" s="246">
        <f t="shared" si="420"/>
        <v>0</v>
      </c>
    </row>
    <row r="24505" spans="20:20" ht="18.75" customHeight="1" x14ac:dyDescent="0.35">
      <c r="T24505" s="246">
        <f t="shared" si="420"/>
        <v>0</v>
      </c>
    </row>
    <row r="24506" spans="20:20" ht="18.75" customHeight="1" x14ac:dyDescent="0.35">
      <c r="T24506" s="246">
        <f t="shared" si="420"/>
        <v>0</v>
      </c>
    </row>
    <row r="24507" spans="20:20" ht="18.75" customHeight="1" x14ac:dyDescent="0.35">
      <c r="T24507" s="246">
        <f t="shared" si="420"/>
        <v>0</v>
      </c>
    </row>
    <row r="24508" spans="20:20" ht="18.75" customHeight="1" x14ac:dyDescent="0.35">
      <c r="T24508" s="246">
        <f t="shared" ref="T24508:T24571" si="421">R24508*0.01</f>
        <v>0</v>
      </c>
    </row>
    <row r="24509" spans="20:20" ht="18.75" customHeight="1" x14ac:dyDescent="0.35">
      <c r="T24509" s="246">
        <f t="shared" si="421"/>
        <v>0</v>
      </c>
    </row>
    <row r="24510" spans="20:20" ht="18.75" customHeight="1" x14ac:dyDescent="0.35">
      <c r="T24510" s="246">
        <f t="shared" si="421"/>
        <v>0</v>
      </c>
    </row>
    <row r="24511" spans="20:20" ht="18.75" customHeight="1" x14ac:dyDescent="0.35">
      <c r="T24511" s="246">
        <f t="shared" si="421"/>
        <v>0</v>
      </c>
    </row>
    <row r="24512" spans="20:20" ht="18.75" customHeight="1" x14ac:dyDescent="0.35">
      <c r="T24512" s="246">
        <f t="shared" si="421"/>
        <v>0</v>
      </c>
    </row>
    <row r="24513" spans="20:20" ht="18.75" customHeight="1" x14ac:dyDescent="0.35">
      <c r="T24513" s="246">
        <f t="shared" si="421"/>
        <v>0</v>
      </c>
    </row>
    <row r="24514" spans="20:20" ht="18.75" customHeight="1" x14ac:dyDescent="0.35">
      <c r="T24514" s="246">
        <f t="shared" si="421"/>
        <v>0</v>
      </c>
    </row>
    <row r="24515" spans="20:20" ht="18.75" customHeight="1" x14ac:dyDescent="0.35">
      <c r="T24515" s="246">
        <f t="shared" si="421"/>
        <v>0</v>
      </c>
    </row>
    <row r="24516" spans="20:20" ht="18.75" customHeight="1" x14ac:dyDescent="0.35">
      <c r="T24516" s="246">
        <f t="shared" si="421"/>
        <v>0</v>
      </c>
    </row>
    <row r="24517" spans="20:20" ht="18.75" customHeight="1" x14ac:dyDescent="0.35">
      <c r="T24517" s="246">
        <f t="shared" si="421"/>
        <v>0</v>
      </c>
    </row>
    <row r="24518" spans="20:20" ht="18.75" customHeight="1" x14ac:dyDescent="0.35">
      <c r="T24518" s="246">
        <f t="shared" si="421"/>
        <v>0</v>
      </c>
    </row>
    <row r="24519" spans="20:20" ht="18.75" customHeight="1" x14ac:dyDescent="0.35">
      <c r="T24519" s="246">
        <f t="shared" si="421"/>
        <v>0</v>
      </c>
    </row>
    <row r="24520" spans="20:20" ht="18.75" customHeight="1" x14ac:dyDescent="0.35">
      <c r="T24520" s="246">
        <f t="shared" si="421"/>
        <v>0</v>
      </c>
    </row>
    <row r="24521" spans="20:20" ht="18.75" customHeight="1" x14ac:dyDescent="0.35">
      <c r="T24521" s="246">
        <f t="shared" si="421"/>
        <v>0</v>
      </c>
    </row>
    <row r="24522" spans="20:20" ht="18.75" customHeight="1" x14ac:dyDescent="0.35">
      <c r="T24522" s="246">
        <f t="shared" si="421"/>
        <v>0</v>
      </c>
    </row>
    <row r="24523" spans="20:20" ht="18.75" customHeight="1" x14ac:dyDescent="0.35">
      <c r="T24523" s="246">
        <f t="shared" si="421"/>
        <v>0</v>
      </c>
    </row>
    <row r="24524" spans="20:20" ht="18.75" customHeight="1" x14ac:dyDescent="0.35">
      <c r="T24524" s="246">
        <f t="shared" si="421"/>
        <v>0</v>
      </c>
    </row>
    <row r="24525" spans="20:20" ht="18.75" customHeight="1" x14ac:dyDescent="0.35">
      <c r="T24525" s="246">
        <f t="shared" si="421"/>
        <v>0</v>
      </c>
    </row>
    <row r="24526" spans="20:20" ht="18.75" customHeight="1" x14ac:dyDescent="0.35">
      <c r="T24526" s="246">
        <f t="shared" si="421"/>
        <v>0</v>
      </c>
    </row>
    <row r="24527" spans="20:20" ht="18.75" customHeight="1" x14ac:dyDescent="0.35">
      <c r="T24527" s="246">
        <f t="shared" si="421"/>
        <v>0</v>
      </c>
    </row>
    <row r="24528" spans="20:20" ht="18.75" customHeight="1" x14ac:dyDescent="0.35">
      <c r="T24528" s="246">
        <f t="shared" si="421"/>
        <v>0</v>
      </c>
    </row>
    <row r="24529" spans="20:20" ht="18.75" customHeight="1" x14ac:dyDescent="0.35">
      <c r="T24529" s="246">
        <f t="shared" si="421"/>
        <v>0</v>
      </c>
    </row>
    <row r="24530" spans="20:20" ht="18.75" customHeight="1" x14ac:dyDescent="0.35">
      <c r="T24530" s="246">
        <f t="shared" si="421"/>
        <v>0</v>
      </c>
    </row>
    <row r="24531" spans="20:20" ht="18.75" customHeight="1" x14ac:dyDescent="0.35">
      <c r="T24531" s="246">
        <f t="shared" si="421"/>
        <v>0</v>
      </c>
    </row>
    <row r="24532" spans="20:20" ht="18.75" customHeight="1" x14ac:dyDescent="0.35">
      <c r="T24532" s="246">
        <f t="shared" si="421"/>
        <v>0</v>
      </c>
    </row>
    <row r="24533" spans="20:20" ht="18.75" customHeight="1" x14ac:dyDescent="0.35">
      <c r="T24533" s="246">
        <f t="shared" si="421"/>
        <v>0</v>
      </c>
    </row>
    <row r="24534" spans="20:20" ht="18.75" customHeight="1" x14ac:dyDescent="0.35">
      <c r="T24534" s="246">
        <f t="shared" si="421"/>
        <v>0</v>
      </c>
    </row>
    <row r="24535" spans="20:20" ht="18.75" customHeight="1" x14ac:dyDescent="0.35">
      <c r="T24535" s="246">
        <f t="shared" si="421"/>
        <v>0</v>
      </c>
    </row>
    <row r="24536" spans="20:20" ht="18.75" customHeight="1" x14ac:dyDescent="0.35">
      <c r="T24536" s="246">
        <f t="shared" si="421"/>
        <v>0</v>
      </c>
    </row>
    <row r="24537" spans="20:20" ht="18.75" customHeight="1" x14ac:dyDescent="0.35">
      <c r="T24537" s="246">
        <f t="shared" si="421"/>
        <v>0</v>
      </c>
    </row>
    <row r="24538" spans="20:20" ht="18.75" customHeight="1" x14ac:dyDescent="0.35">
      <c r="T24538" s="246">
        <f t="shared" si="421"/>
        <v>0</v>
      </c>
    </row>
    <row r="24539" spans="20:20" ht="18.75" customHeight="1" x14ac:dyDescent="0.35">
      <c r="T24539" s="246">
        <f t="shared" si="421"/>
        <v>0</v>
      </c>
    </row>
    <row r="24540" spans="20:20" ht="18.75" customHeight="1" x14ac:dyDescent="0.35">
      <c r="T24540" s="246">
        <f t="shared" si="421"/>
        <v>0</v>
      </c>
    </row>
    <row r="24541" spans="20:20" ht="18.75" customHeight="1" x14ac:dyDescent="0.35">
      <c r="T24541" s="246">
        <f t="shared" si="421"/>
        <v>0</v>
      </c>
    </row>
    <row r="24542" spans="20:20" ht="18.75" customHeight="1" x14ac:dyDescent="0.35">
      <c r="T24542" s="246">
        <f t="shared" si="421"/>
        <v>0</v>
      </c>
    </row>
    <row r="24543" spans="20:20" ht="18.75" customHeight="1" x14ac:dyDescent="0.35">
      <c r="T24543" s="246">
        <f t="shared" si="421"/>
        <v>0</v>
      </c>
    </row>
    <row r="24544" spans="20:20" ht="18.75" customHeight="1" x14ac:dyDescent="0.35">
      <c r="T24544" s="246">
        <f t="shared" si="421"/>
        <v>0</v>
      </c>
    </row>
    <row r="24545" spans="20:20" ht="18.75" customHeight="1" x14ac:dyDescent="0.35">
      <c r="T24545" s="246">
        <f t="shared" si="421"/>
        <v>0</v>
      </c>
    </row>
    <row r="24546" spans="20:20" ht="18.75" customHeight="1" x14ac:dyDescent="0.35">
      <c r="T24546" s="246">
        <f t="shared" si="421"/>
        <v>0</v>
      </c>
    </row>
    <row r="24547" spans="20:20" ht="18.75" customHeight="1" x14ac:dyDescent="0.35">
      <c r="T24547" s="246">
        <f t="shared" si="421"/>
        <v>0</v>
      </c>
    </row>
    <row r="24548" spans="20:20" ht="18.75" customHeight="1" x14ac:dyDescent="0.35">
      <c r="T24548" s="246">
        <f t="shared" si="421"/>
        <v>0</v>
      </c>
    </row>
    <row r="24549" spans="20:20" ht="18.75" customHeight="1" x14ac:dyDescent="0.35">
      <c r="T24549" s="246">
        <f t="shared" si="421"/>
        <v>0</v>
      </c>
    </row>
    <row r="24550" spans="20:20" ht="18.75" customHeight="1" x14ac:dyDescent="0.35">
      <c r="T24550" s="246">
        <f t="shared" si="421"/>
        <v>0</v>
      </c>
    </row>
    <row r="24551" spans="20:20" ht="18.75" customHeight="1" x14ac:dyDescent="0.35">
      <c r="T24551" s="246">
        <f t="shared" si="421"/>
        <v>0</v>
      </c>
    </row>
    <row r="24552" spans="20:20" ht="18.75" customHeight="1" x14ac:dyDescent="0.35">
      <c r="T24552" s="246">
        <f t="shared" si="421"/>
        <v>0</v>
      </c>
    </row>
    <row r="24553" spans="20:20" ht="18.75" customHeight="1" x14ac:dyDescent="0.35">
      <c r="T24553" s="246">
        <f t="shared" si="421"/>
        <v>0</v>
      </c>
    </row>
    <row r="24554" spans="20:20" ht="18.75" customHeight="1" x14ac:dyDescent="0.35">
      <c r="T24554" s="246">
        <f t="shared" si="421"/>
        <v>0</v>
      </c>
    </row>
    <row r="24555" spans="20:20" ht="18.75" customHeight="1" x14ac:dyDescent="0.35">
      <c r="T24555" s="246">
        <f t="shared" si="421"/>
        <v>0</v>
      </c>
    </row>
    <row r="24556" spans="20:20" ht="18.75" customHeight="1" x14ac:dyDescent="0.35">
      <c r="T24556" s="246">
        <f t="shared" si="421"/>
        <v>0</v>
      </c>
    </row>
    <row r="24557" spans="20:20" ht="18.75" customHeight="1" x14ac:dyDescent="0.35">
      <c r="T24557" s="246">
        <f t="shared" si="421"/>
        <v>0</v>
      </c>
    </row>
    <row r="24558" spans="20:20" ht="18.75" customHeight="1" x14ac:dyDescent="0.35">
      <c r="T24558" s="246">
        <f t="shared" si="421"/>
        <v>0</v>
      </c>
    </row>
    <row r="24559" spans="20:20" ht="18.75" customHeight="1" x14ac:dyDescent="0.35">
      <c r="T24559" s="246">
        <f t="shared" si="421"/>
        <v>0</v>
      </c>
    </row>
    <row r="24560" spans="20:20" ht="18.75" customHeight="1" x14ac:dyDescent="0.35">
      <c r="T24560" s="246">
        <f t="shared" si="421"/>
        <v>0</v>
      </c>
    </row>
    <row r="24561" spans="20:20" ht="18.75" customHeight="1" x14ac:dyDescent="0.35">
      <c r="T24561" s="246">
        <f t="shared" si="421"/>
        <v>0</v>
      </c>
    </row>
    <row r="24562" spans="20:20" ht="18.75" customHeight="1" x14ac:dyDescent="0.35">
      <c r="T24562" s="246">
        <f t="shared" si="421"/>
        <v>0</v>
      </c>
    </row>
    <row r="24563" spans="20:20" ht="18.75" customHeight="1" x14ac:dyDescent="0.35">
      <c r="T24563" s="246">
        <f t="shared" si="421"/>
        <v>0</v>
      </c>
    </row>
    <row r="24564" spans="20:20" ht="18.75" customHeight="1" x14ac:dyDescent="0.35">
      <c r="T24564" s="246">
        <f t="shared" si="421"/>
        <v>0</v>
      </c>
    </row>
    <row r="24565" spans="20:20" ht="18.75" customHeight="1" x14ac:dyDescent="0.35">
      <c r="T24565" s="246">
        <f t="shared" si="421"/>
        <v>0</v>
      </c>
    </row>
    <row r="24566" spans="20:20" ht="18.75" customHeight="1" x14ac:dyDescent="0.35">
      <c r="T24566" s="246">
        <f t="shared" si="421"/>
        <v>0</v>
      </c>
    </row>
    <row r="24567" spans="20:20" ht="18.75" customHeight="1" x14ac:dyDescent="0.35">
      <c r="T24567" s="246">
        <f t="shared" si="421"/>
        <v>0</v>
      </c>
    </row>
    <row r="24568" spans="20:20" ht="18.75" customHeight="1" x14ac:dyDescent="0.35">
      <c r="T24568" s="246">
        <f t="shared" si="421"/>
        <v>0</v>
      </c>
    </row>
    <row r="24569" spans="20:20" ht="18.75" customHeight="1" x14ac:dyDescent="0.35">
      <c r="T24569" s="246">
        <f t="shared" si="421"/>
        <v>0</v>
      </c>
    </row>
    <row r="24570" spans="20:20" ht="18.75" customHeight="1" x14ac:dyDescent="0.35">
      <c r="T24570" s="246">
        <f t="shared" si="421"/>
        <v>0</v>
      </c>
    </row>
    <row r="24571" spans="20:20" ht="18.75" customHeight="1" x14ac:dyDescent="0.35">
      <c r="T24571" s="246">
        <f t="shared" si="421"/>
        <v>0</v>
      </c>
    </row>
    <row r="24572" spans="20:20" ht="18.75" customHeight="1" x14ac:dyDescent="0.35">
      <c r="T24572" s="246">
        <f t="shared" ref="T24572:T24635" si="422">R24572*0.01</f>
        <v>0</v>
      </c>
    </row>
    <row r="24573" spans="20:20" ht="18.75" customHeight="1" x14ac:dyDescent="0.35">
      <c r="T24573" s="246">
        <f t="shared" si="422"/>
        <v>0</v>
      </c>
    </row>
    <row r="24574" spans="20:20" ht="18.75" customHeight="1" x14ac:dyDescent="0.35">
      <c r="T24574" s="246">
        <f t="shared" si="422"/>
        <v>0</v>
      </c>
    </row>
    <row r="24575" spans="20:20" ht="18.75" customHeight="1" x14ac:dyDescent="0.35">
      <c r="T24575" s="246">
        <f t="shared" si="422"/>
        <v>0</v>
      </c>
    </row>
    <row r="24576" spans="20:20" ht="18.75" customHeight="1" x14ac:dyDescent="0.35">
      <c r="T24576" s="246">
        <f t="shared" si="422"/>
        <v>0</v>
      </c>
    </row>
    <row r="24577" spans="20:20" ht="18.75" customHeight="1" x14ac:dyDescent="0.35">
      <c r="T24577" s="246">
        <f t="shared" si="422"/>
        <v>0</v>
      </c>
    </row>
    <row r="24578" spans="20:20" ht="18.75" customHeight="1" x14ac:dyDescent="0.35">
      <c r="T24578" s="246">
        <f t="shared" si="422"/>
        <v>0</v>
      </c>
    </row>
    <row r="24579" spans="20:20" ht="18.75" customHeight="1" x14ac:dyDescent="0.35">
      <c r="T24579" s="246">
        <f t="shared" si="422"/>
        <v>0</v>
      </c>
    </row>
    <row r="24580" spans="20:20" ht="18.75" customHeight="1" x14ac:dyDescent="0.35">
      <c r="T24580" s="246">
        <f t="shared" si="422"/>
        <v>0</v>
      </c>
    </row>
    <row r="24581" spans="20:20" ht="18.75" customHeight="1" x14ac:dyDescent="0.35">
      <c r="T24581" s="246">
        <f t="shared" si="422"/>
        <v>0</v>
      </c>
    </row>
    <row r="24582" spans="20:20" ht="18.75" customHeight="1" x14ac:dyDescent="0.35">
      <c r="T24582" s="246">
        <f t="shared" si="422"/>
        <v>0</v>
      </c>
    </row>
    <row r="24583" spans="20:20" ht="18.75" customHeight="1" x14ac:dyDescent="0.35">
      <c r="T24583" s="246">
        <f t="shared" si="422"/>
        <v>0</v>
      </c>
    </row>
    <row r="24584" spans="20:20" ht="18.75" customHeight="1" x14ac:dyDescent="0.35">
      <c r="T24584" s="246">
        <f t="shared" si="422"/>
        <v>0</v>
      </c>
    </row>
    <row r="24585" spans="20:20" ht="18.75" customHeight="1" x14ac:dyDescent="0.35">
      <c r="T24585" s="246">
        <f t="shared" si="422"/>
        <v>0</v>
      </c>
    </row>
    <row r="24586" spans="20:20" ht="18.75" customHeight="1" x14ac:dyDescent="0.35">
      <c r="T24586" s="246">
        <f t="shared" si="422"/>
        <v>0</v>
      </c>
    </row>
    <row r="24587" spans="20:20" ht="18.75" customHeight="1" x14ac:dyDescent="0.35">
      <c r="T24587" s="246">
        <f t="shared" si="422"/>
        <v>0</v>
      </c>
    </row>
    <row r="24588" spans="20:20" ht="18.75" customHeight="1" x14ac:dyDescent="0.35">
      <c r="T24588" s="246">
        <f t="shared" si="422"/>
        <v>0</v>
      </c>
    </row>
    <row r="24589" spans="20:20" ht="18.75" customHeight="1" x14ac:dyDescent="0.35">
      <c r="T24589" s="246">
        <f t="shared" si="422"/>
        <v>0</v>
      </c>
    </row>
    <row r="24590" spans="20:20" ht="18.75" customHeight="1" x14ac:dyDescent="0.35">
      <c r="T24590" s="246">
        <f t="shared" si="422"/>
        <v>0</v>
      </c>
    </row>
    <row r="24591" spans="20:20" ht="18.75" customHeight="1" x14ac:dyDescent="0.35">
      <c r="T24591" s="246">
        <f t="shared" si="422"/>
        <v>0</v>
      </c>
    </row>
    <row r="24592" spans="20:20" ht="18.75" customHeight="1" x14ac:dyDescent="0.35">
      <c r="T24592" s="246">
        <f t="shared" si="422"/>
        <v>0</v>
      </c>
    </row>
    <row r="24593" spans="20:20" ht="18.75" customHeight="1" x14ac:dyDescent="0.35">
      <c r="T24593" s="246">
        <f t="shared" si="422"/>
        <v>0</v>
      </c>
    </row>
    <row r="24594" spans="20:20" ht="18.75" customHeight="1" x14ac:dyDescent="0.35">
      <c r="T24594" s="246">
        <f t="shared" si="422"/>
        <v>0</v>
      </c>
    </row>
    <row r="24595" spans="20:20" ht="18.75" customHeight="1" x14ac:dyDescent="0.35">
      <c r="T24595" s="246">
        <f t="shared" si="422"/>
        <v>0</v>
      </c>
    </row>
    <row r="24596" spans="20:20" ht="18.75" customHeight="1" x14ac:dyDescent="0.35">
      <c r="T24596" s="246">
        <f t="shared" si="422"/>
        <v>0</v>
      </c>
    </row>
    <row r="24597" spans="20:20" ht="18.75" customHeight="1" x14ac:dyDescent="0.35">
      <c r="T24597" s="246">
        <f t="shared" si="422"/>
        <v>0</v>
      </c>
    </row>
    <row r="24598" spans="20:20" ht="18.75" customHeight="1" x14ac:dyDescent="0.35">
      <c r="T24598" s="246">
        <f t="shared" si="422"/>
        <v>0</v>
      </c>
    </row>
    <row r="24599" spans="20:20" ht="18.75" customHeight="1" x14ac:dyDescent="0.35">
      <c r="T24599" s="246">
        <f t="shared" si="422"/>
        <v>0</v>
      </c>
    </row>
    <row r="24600" spans="20:20" ht="18.75" customHeight="1" x14ac:dyDescent="0.35">
      <c r="T24600" s="246">
        <f t="shared" si="422"/>
        <v>0</v>
      </c>
    </row>
    <row r="24601" spans="20:20" ht="18.75" customHeight="1" x14ac:dyDescent="0.35">
      <c r="T24601" s="246">
        <f t="shared" si="422"/>
        <v>0</v>
      </c>
    </row>
    <row r="24602" spans="20:20" ht="18.75" customHeight="1" x14ac:dyDescent="0.35">
      <c r="T24602" s="246">
        <f t="shared" si="422"/>
        <v>0</v>
      </c>
    </row>
    <row r="24603" spans="20:20" ht="18.75" customHeight="1" x14ac:dyDescent="0.35">
      <c r="T24603" s="246">
        <f t="shared" si="422"/>
        <v>0</v>
      </c>
    </row>
    <row r="24604" spans="20:20" ht="18.75" customHeight="1" x14ac:dyDescent="0.35">
      <c r="T24604" s="246">
        <f t="shared" si="422"/>
        <v>0</v>
      </c>
    </row>
    <row r="24605" spans="20:20" ht="18.75" customHeight="1" x14ac:dyDescent="0.35">
      <c r="T24605" s="246">
        <f t="shared" si="422"/>
        <v>0</v>
      </c>
    </row>
    <row r="24606" spans="20:20" ht="18.75" customHeight="1" x14ac:dyDescent="0.35">
      <c r="T24606" s="246">
        <f t="shared" si="422"/>
        <v>0</v>
      </c>
    </row>
    <row r="24607" spans="20:20" ht="18.75" customHeight="1" x14ac:dyDescent="0.35">
      <c r="T24607" s="246">
        <f t="shared" si="422"/>
        <v>0</v>
      </c>
    </row>
    <row r="24608" spans="20:20" ht="18.75" customHeight="1" x14ac:dyDescent="0.35">
      <c r="T24608" s="246">
        <f t="shared" si="422"/>
        <v>0</v>
      </c>
    </row>
    <row r="24609" spans="20:20" ht="18.75" customHeight="1" x14ac:dyDescent="0.35">
      <c r="T24609" s="246">
        <f t="shared" si="422"/>
        <v>0</v>
      </c>
    </row>
    <row r="24610" spans="20:20" ht="18.75" customHeight="1" x14ac:dyDescent="0.35">
      <c r="T24610" s="246">
        <f t="shared" si="422"/>
        <v>0</v>
      </c>
    </row>
    <row r="24611" spans="20:20" ht="18.75" customHeight="1" x14ac:dyDescent="0.35">
      <c r="T24611" s="246">
        <f t="shared" si="422"/>
        <v>0</v>
      </c>
    </row>
    <row r="24612" spans="20:20" ht="18.75" customHeight="1" x14ac:dyDescent="0.35">
      <c r="T24612" s="246">
        <f t="shared" si="422"/>
        <v>0</v>
      </c>
    </row>
    <row r="24613" spans="20:20" ht="18.75" customHeight="1" x14ac:dyDescent="0.35">
      <c r="T24613" s="246">
        <f t="shared" si="422"/>
        <v>0</v>
      </c>
    </row>
    <row r="24614" spans="20:20" ht="18.75" customHeight="1" x14ac:dyDescent="0.35">
      <c r="T24614" s="246">
        <f t="shared" si="422"/>
        <v>0</v>
      </c>
    </row>
    <row r="24615" spans="20:20" ht="18.75" customHeight="1" x14ac:dyDescent="0.35">
      <c r="T24615" s="246">
        <f t="shared" si="422"/>
        <v>0</v>
      </c>
    </row>
    <row r="24616" spans="20:20" ht="18.75" customHeight="1" x14ac:dyDescent="0.35">
      <c r="T24616" s="246">
        <f t="shared" si="422"/>
        <v>0</v>
      </c>
    </row>
    <row r="24617" spans="20:20" ht="18.75" customHeight="1" x14ac:dyDescent="0.35">
      <c r="T24617" s="246">
        <f t="shared" si="422"/>
        <v>0</v>
      </c>
    </row>
    <row r="24618" spans="20:20" ht="18.75" customHeight="1" x14ac:dyDescent="0.35">
      <c r="T24618" s="246">
        <f t="shared" si="422"/>
        <v>0</v>
      </c>
    </row>
    <row r="24619" spans="20:20" ht="18.75" customHeight="1" x14ac:dyDescent="0.35">
      <c r="T24619" s="246">
        <f t="shared" si="422"/>
        <v>0</v>
      </c>
    </row>
    <row r="24620" spans="20:20" ht="18.75" customHeight="1" x14ac:dyDescent="0.35">
      <c r="T24620" s="246">
        <f t="shared" si="422"/>
        <v>0</v>
      </c>
    </row>
    <row r="24621" spans="20:20" ht="18.75" customHeight="1" x14ac:dyDescent="0.35">
      <c r="T24621" s="246">
        <f t="shared" si="422"/>
        <v>0</v>
      </c>
    </row>
    <row r="24622" spans="20:20" ht="18.75" customHeight="1" x14ac:dyDescent="0.35">
      <c r="T24622" s="246">
        <f t="shared" si="422"/>
        <v>0</v>
      </c>
    </row>
    <row r="24623" spans="20:20" ht="18.75" customHeight="1" x14ac:dyDescent="0.35">
      <c r="T24623" s="246">
        <f t="shared" si="422"/>
        <v>0</v>
      </c>
    </row>
    <row r="24624" spans="20:20" ht="18.75" customHeight="1" x14ac:dyDescent="0.35">
      <c r="T24624" s="246">
        <f t="shared" si="422"/>
        <v>0</v>
      </c>
    </row>
    <row r="24625" spans="20:20" ht="18.75" customHeight="1" x14ac:dyDescent="0.35">
      <c r="T24625" s="246">
        <f t="shared" si="422"/>
        <v>0</v>
      </c>
    </row>
    <row r="24626" spans="20:20" ht="18.75" customHeight="1" x14ac:dyDescent="0.35">
      <c r="T24626" s="246">
        <f t="shared" si="422"/>
        <v>0</v>
      </c>
    </row>
    <row r="24627" spans="20:20" ht="18.75" customHeight="1" x14ac:dyDescent="0.35">
      <c r="T24627" s="246">
        <f t="shared" si="422"/>
        <v>0</v>
      </c>
    </row>
    <row r="24628" spans="20:20" ht="18.75" customHeight="1" x14ac:dyDescent="0.35">
      <c r="T24628" s="246">
        <f t="shared" si="422"/>
        <v>0</v>
      </c>
    </row>
    <row r="24629" spans="20:20" ht="18.75" customHeight="1" x14ac:dyDescent="0.35">
      <c r="T24629" s="246">
        <f t="shared" si="422"/>
        <v>0</v>
      </c>
    </row>
    <row r="24630" spans="20:20" ht="18.75" customHeight="1" x14ac:dyDescent="0.35">
      <c r="T24630" s="246">
        <f t="shared" si="422"/>
        <v>0</v>
      </c>
    </row>
    <row r="24631" spans="20:20" ht="18.75" customHeight="1" x14ac:dyDescent="0.35">
      <c r="T24631" s="246">
        <f t="shared" si="422"/>
        <v>0</v>
      </c>
    </row>
    <row r="24632" spans="20:20" ht="18.75" customHeight="1" x14ac:dyDescent="0.35">
      <c r="T24632" s="246">
        <f t="shared" si="422"/>
        <v>0</v>
      </c>
    </row>
    <row r="24633" spans="20:20" ht="18.75" customHeight="1" x14ac:dyDescent="0.35">
      <c r="T24633" s="246">
        <f t="shared" si="422"/>
        <v>0</v>
      </c>
    </row>
    <row r="24634" spans="20:20" ht="18.75" customHeight="1" x14ac:dyDescent="0.35">
      <c r="T24634" s="246">
        <f t="shared" si="422"/>
        <v>0</v>
      </c>
    </row>
    <row r="24635" spans="20:20" ht="18.75" customHeight="1" x14ac:dyDescent="0.35">
      <c r="T24635" s="246">
        <f t="shared" si="422"/>
        <v>0</v>
      </c>
    </row>
    <row r="24636" spans="20:20" ht="18.75" customHeight="1" x14ac:dyDescent="0.35">
      <c r="T24636" s="246">
        <f t="shared" ref="T24636:T24699" si="423">R24636*0.01</f>
        <v>0</v>
      </c>
    </row>
    <row r="24637" spans="20:20" ht="18.75" customHeight="1" x14ac:dyDescent="0.35">
      <c r="T24637" s="246">
        <f t="shared" si="423"/>
        <v>0</v>
      </c>
    </row>
    <row r="24638" spans="20:20" ht="18.75" customHeight="1" x14ac:dyDescent="0.35">
      <c r="T24638" s="246">
        <f t="shared" si="423"/>
        <v>0</v>
      </c>
    </row>
    <row r="24639" spans="20:20" ht="18.75" customHeight="1" x14ac:dyDescent="0.35">
      <c r="T24639" s="246">
        <f t="shared" si="423"/>
        <v>0</v>
      </c>
    </row>
    <row r="24640" spans="20:20" ht="18.75" customHeight="1" x14ac:dyDescent="0.35">
      <c r="T24640" s="246">
        <f t="shared" si="423"/>
        <v>0</v>
      </c>
    </row>
    <row r="24641" spans="20:20" ht="18.75" customHeight="1" x14ac:dyDescent="0.35">
      <c r="T24641" s="246">
        <f t="shared" si="423"/>
        <v>0</v>
      </c>
    </row>
    <row r="24642" spans="20:20" ht="18.75" customHeight="1" x14ac:dyDescent="0.35">
      <c r="T24642" s="246">
        <f t="shared" si="423"/>
        <v>0</v>
      </c>
    </row>
    <row r="24643" spans="20:20" ht="18.75" customHeight="1" x14ac:dyDescent="0.35">
      <c r="T24643" s="246">
        <f t="shared" si="423"/>
        <v>0</v>
      </c>
    </row>
    <row r="24644" spans="20:20" ht="18.75" customHeight="1" x14ac:dyDescent="0.35">
      <c r="T24644" s="246">
        <f t="shared" si="423"/>
        <v>0</v>
      </c>
    </row>
    <row r="24645" spans="20:20" ht="18.75" customHeight="1" x14ac:dyDescent="0.35">
      <c r="T24645" s="246">
        <f t="shared" si="423"/>
        <v>0</v>
      </c>
    </row>
    <row r="24646" spans="20:20" ht="18.75" customHeight="1" x14ac:dyDescent="0.35">
      <c r="T24646" s="246">
        <f t="shared" si="423"/>
        <v>0</v>
      </c>
    </row>
    <row r="24647" spans="20:20" ht="18.75" customHeight="1" x14ac:dyDescent="0.35">
      <c r="T24647" s="246">
        <f t="shared" si="423"/>
        <v>0</v>
      </c>
    </row>
    <row r="24648" spans="20:20" ht="18.75" customHeight="1" x14ac:dyDescent="0.35">
      <c r="T24648" s="246">
        <f t="shared" si="423"/>
        <v>0</v>
      </c>
    </row>
    <row r="24649" spans="20:20" ht="18.75" customHeight="1" x14ac:dyDescent="0.35">
      <c r="T24649" s="246">
        <f t="shared" si="423"/>
        <v>0</v>
      </c>
    </row>
    <row r="24650" spans="20:20" ht="18.75" customHeight="1" x14ac:dyDescent="0.35">
      <c r="T24650" s="246">
        <f t="shared" si="423"/>
        <v>0</v>
      </c>
    </row>
    <row r="24651" spans="20:20" ht="18.75" customHeight="1" x14ac:dyDescent="0.35">
      <c r="T24651" s="246">
        <f t="shared" si="423"/>
        <v>0</v>
      </c>
    </row>
    <row r="24652" spans="20:20" ht="18.75" customHeight="1" x14ac:dyDescent="0.35">
      <c r="T24652" s="246">
        <f t="shared" si="423"/>
        <v>0</v>
      </c>
    </row>
    <row r="24653" spans="20:20" ht="18.75" customHeight="1" x14ac:dyDescent="0.35">
      <c r="T24653" s="246">
        <f t="shared" si="423"/>
        <v>0</v>
      </c>
    </row>
    <row r="24654" spans="20:20" ht="18.75" customHeight="1" x14ac:dyDescent="0.35">
      <c r="T24654" s="246">
        <f t="shared" si="423"/>
        <v>0</v>
      </c>
    </row>
    <row r="24655" spans="20:20" ht="18.75" customHeight="1" x14ac:dyDescent="0.35">
      <c r="T24655" s="246">
        <f t="shared" si="423"/>
        <v>0</v>
      </c>
    </row>
    <row r="24656" spans="20:20" ht="18.75" customHeight="1" x14ac:dyDescent="0.35">
      <c r="T24656" s="246">
        <f t="shared" si="423"/>
        <v>0</v>
      </c>
    </row>
    <row r="24657" spans="20:20" ht="18.75" customHeight="1" x14ac:dyDescent="0.35">
      <c r="T24657" s="246">
        <f t="shared" si="423"/>
        <v>0</v>
      </c>
    </row>
    <row r="24658" spans="20:20" ht="18.75" customHeight="1" x14ac:dyDescent="0.35">
      <c r="T24658" s="246">
        <f t="shared" si="423"/>
        <v>0</v>
      </c>
    </row>
    <row r="24659" spans="20:20" ht="18.75" customHeight="1" x14ac:dyDescent="0.35">
      <c r="T24659" s="246">
        <f t="shared" si="423"/>
        <v>0</v>
      </c>
    </row>
    <row r="24660" spans="20:20" ht="18.75" customHeight="1" x14ac:dyDescent="0.35">
      <c r="T24660" s="246">
        <f t="shared" si="423"/>
        <v>0</v>
      </c>
    </row>
    <row r="24661" spans="20:20" ht="18.75" customHeight="1" x14ac:dyDescent="0.35">
      <c r="T24661" s="246">
        <f t="shared" si="423"/>
        <v>0</v>
      </c>
    </row>
    <row r="24662" spans="20:20" ht="18.75" customHeight="1" x14ac:dyDescent="0.35">
      <c r="T24662" s="246">
        <f t="shared" si="423"/>
        <v>0</v>
      </c>
    </row>
    <row r="24663" spans="20:20" ht="18.75" customHeight="1" x14ac:dyDescent="0.35">
      <c r="T24663" s="246">
        <f t="shared" si="423"/>
        <v>0</v>
      </c>
    </row>
    <row r="24664" spans="20:20" ht="18.75" customHeight="1" x14ac:dyDescent="0.35">
      <c r="T24664" s="246">
        <f t="shared" si="423"/>
        <v>0</v>
      </c>
    </row>
    <row r="24665" spans="20:20" ht="18.75" customHeight="1" x14ac:dyDescent="0.35">
      <c r="T24665" s="246">
        <f t="shared" si="423"/>
        <v>0</v>
      </c>
    </row>
    <row r="24666" spans="20:20" ht="18.75" customHeight="1" x14ac:dyDescent="0.35">
      <c r="T24666" s="246">
        <f t="shared" si="423"/>
        <v>0</v>
      </c>
    </row>
    <row r="24667" spans="20:20" ht="18.75" customHeight="1" x14ac:dyDescent="0.35">
      <c r="T24667" s="246">
        <f t="shared" si="423"/>
        <v>0</v>
      </c>
    </row>
    <row r="24668" spans="20:20" ht="18.75" customHeight="1" x14ac:dyDescent="0.35">
      <c r="T24668" s="246">
        <f t="shared" si="423"/>
        <v>0</v>
      </c>
    </row>
    <row r="24669" spans="20:20" ht="18.75" customHeight="1" x14ac:dyDescent="0.35">
      <c r="T24669" s="246">
        <f t="shared" si="423"/>
        <v>0</v>
      </c>
    </row>
    <row r="24670" spans="20:20" ht="18.75" customHeight="1" x14ac:dyDescent="0.35">
      <c r="T24670" s="246">
        <f t="shared" si="423"/>
        <v>0</v>
      </c>
    </row>
    <row r="24671" spans="20:20" ht="18.75" customHeight="1" x14ac:dyDescent="0.35">
      <c r="T24671" s="246">
        <f t="shared" si="423"/>
        <v>0</v>
      </c>
    </row>
    <row r="24672" spans="20:20" ht="18.75" customHeight="1" x14ac:dyDescent="0.35">
      <c r="T24672" s="246">
        <f t="shared" si="423"/>
        <v>0</v>
      </c>
    </row>
    <row r="24673" spans="20:20" ht="18.75" customHeight="1" x14ac:dyDescent="0.35">
      <c r="T24673" s="246">
        <f t="shared" si="423"/>
        <v>0</v>
      </c>
    </row>
    <row r="24674" spans="20:20" ht="18.75" customHeight="1" x14ac:dyDescent="0.35">
      <c r="T24674" s="246">
        <f t="shared" si="423"/>
        <v>0</v>
      </c>
    </row>
    <row r="24675" spans="20:20" ht="18.75" customHeight="1" x14ac:dyDescent="0.35">
      <c r="T24675" s="246">
        <f t="shared" si="423"/>
        <v>0</v>
      </c>
    </row>
    <row r="24676" spans="20:20" ht="18.75" customHeight="1" x14ac:dyDescent="0.35">
      <c r="T24676" s="246">
        <f t="shared" si="423"/>
        <v>0</v>
      </c>
    </row>
    <row r="24677" spans="20:20" ht="18.75" customHeight="1" x14ac:dyDescent="0.35">
      <c r="T24677" s="246">
        <f t="shared" si="423"/>
        <v>0</v>
      </c>
    </row>
    <row r="24678" spans="20:20" ht="18.75" customHeight="1" x14ac:dyDescent="0.35">
      <c r="T24678" s="246">
        <f t="shared" si="423"/>
        <v>0</v>
      </c>
    </row>
    <row r="24679" spans="20:20" ht="18.75" customHeight="1" x14ac:dyDescent="0.35">
      <c r="T24679" s="246">
        <f t="shared" si="423"/>
        <v>0</v>
      </c>
    </row>
    <row r="24680" spans="20:20" ht="18.75" customHeight="1" x14ac:dyDescent="0.35">
      <c r="T24680" s="246">
        <f t="shared" si="423"/>
        <v>0</v>
      </c>
    </row>
    <row r="24681" spans="20:20" ht="18.75" customHeight="1" x14ac:dyDescent="0.35">
      <c r="T24681" s="246">
        <f t="shared" si="423"/>
        <v>0</v>
      </c>
    </row>
    <row r="24682" spans="20:20" ht="18.75" customHeight="1" x14ac:dyDescent="0.35">
      <c r="T24682" s="246">
        <f t="shared" si="423"/>
        <v>0</v>
      </c>
    </row>
    <row r="24683" spans="20:20" ht="18.75" customHeight="1" x14ac:dyDescent="0.35">
      <c r="T24683" s="246">
        <f t="shared" si="423"/>
        <v>0</v>
      </c>
    </row>
    <row r="24684" spans="20:20" ht="18.75" customHeight="1" x14ac:dyDescent="0.35">
      <c r="T24684" s="246">
        <f t="shared" si="423"/>
        <v>0</v>
      </c>
    </row>
    <row r="24685" spans="20:20" ht="18.75" customHeight="1" x14ac:dyDescent="0.35">
      <c r="T24685" s="246">
        <f t="shared" si="423"/>
        <v>0</v>
      </c>
    </row>
    <row r="24686" spans="20:20" ht="18.75" customHeight="1" x14ac:dyDescent="0.35">
      <c r="T24686" s="246">
        <f t="shared" si="423"/>
        <v>0</v>
      </c>
    </row>
    <row r="24687" spans="20:20" ht="18.75" customHeight="1" x14ac:dyDescent="0.35">
      <c r="T24687" s="246">
        <f t="shared" si="423"/>
        <v>0</v>
      </c>
    </row>
    <row r="24688" spans="20:20" ht="18.75" customHeight="1" x14ac:dyDescent="0.35">
      <c r="T24688" s="246">
        <f t="shared" si="423"/>
        <v>0</v>
      </c>
    </row>
    <row r="24689" spans="20:20" ht="18.75" customHeight="1" x14ac:dyDescent="0.35">
      <c r="T24689" s="246">
        <f t="shared" si="423"/>
        <v>0</v>
      </c>
    </row>
    <row r="24690" spans="20:20" ht="18.75" customHeight="1" x14ac:dyDescent="0.35">
      <c r="T24690" s="246">
        <f t="shared" si="423"/>
        <v>0</v>
      </c>
    </row>
    <row r="24691" spans="20:20" ht="18.75" customHeight="1" x14ac:dyDescent="0.35">
      <c r="T24691" s="246">
        <f t="shared" si="423"/>
        <v>0</v>
      </c>
    </row>
    <row r="24692" spans="20:20" ht="18.75" customHeight="1" x14ac:dyDescent="0.35">
      <c r="T24692" s="246">
        <f t="shared" si="423"/>
        <v>0</v>
      </c>
    </row>
    <row r="24693" spans="20:20" ht="18.75" customHeight="1" x14ac:dyDescent="0.35">
      <c r="T24693" s="246">
        <f t="shared" si="423"/>
        <v>0</v>
      </c>
    </row>
    <row r="24694" spans="20:20" ht="18.75" customHeight="1" x14ac:dyDescent="0.35">
      <c r="T24694" s="246">
        <f t="shared" si="423"/>
        <v>0</v>
      </c>
    </row>
    <row r="24695" spans="20:20" ht="18.75" customHeight="1" x14ac:dyDescent="0.35">
      <c r="T24695" s="246">
        <f t="shared" si="423"/>
        <v>0</v>
      </c>
    </row>
    <row r="24696" spans="20:20" ht="18.75" customHeight="1" x14ac:dyDescent="0.35">
      <c r="T24696" s="246">
        <f t="shared" si="423"/>
        <v>0</v>
      </c>
    </row>
    <row r="24697" spans="20:20" ht="18.75" customHeight="1" x14ac:dyDescent="0.35">
      <c r="T24697" s="246">
        <f t="shared" si="423"/>
        <v>0</v>
      </c>
    </row>
    <row r="24698" spans="20:20" ht="18.75" customHeight="1" x14ac:dyDescent="0.35">
      <c r="T24698" s="246">
        <f t="shared" si="423"/>
        <v>0</v>
      </c>
    </row>
    <row r="24699" spans="20:20" ht="18.75" customHeight="1" x14ac:dyDescent="0.35">
      <c r="T24699" s="246">
        <f t="shared" si="423"/>
        <v>0</v>
      </c>
    </row>
    <row r="24700" spans="20:20" ht="18.75" customHeight="1" x14ac:dyDescent="0.35">
      <c r="T24700" s="246">
        <f t="shared" ref="T24700:T24763" si="424">R24700*0.01</f>
        <v>0</v>
      </c>
    </row>
    <row r="24701" spans="20:20" ht="18.75" customHeight="1" x14ac:dyDescent="0.35">
      <c r="T24701" s="246">
        <f t="shared" si="424"/>
        <v>0</v>
      </c>
    </row>
    <row r="24702" spans="20:20" ht="18.75" customHeight="1" x14ac:dyDescent="0.35">
      <c r="T24702" s="246">
        <f t="shared" si="424"/>
        <v>0</v>
      </c>
    </row>
    <row r="24703" spans="20:20" ht="18.75" customHeight="1" x14ac:dyDescent="0.35">
      <c r="T24703" s="246">
        <f t="shared" si="424"/>
        <v>0</v>
      </c>
    </row>
    <row r="24704" spans="20:20" ht="18.75" customHeight="1" x14ac:dyDescent="0.35">
      <c r="T24704" s="246">
        <f t="shared" si="424"/>
        <v>0</v>
      </c>
    </row>
    <row r="24705" spans="20:20" ht="18.75" customHeight="1" x14ac:dyDescent="0.35">
      <c r="T24705" s="246">
        <f t="shared" si="424"/>
        <v>0</v>
      </c>
    </row>
    <row r="24706" spans="20:20" ht="18.75" customHeight="1" x14ac:dyDescent="0.35">
      <c r="T24706" s="246">
        <f t="shared" si="424"/>
        <v>0</v>
      </c>
    </row>
    <row r="24707" spans="20:20" ht="18.75" customHeight="1" x14ac:dyDescent="0.35">
      <c r="T24707" s="246">
        <f t="shared" si="424"/>
        <v>0</v>
      </c>
    </row>
    <row r="24708" spans="20:20" ht="18.75" customHeight="1" x14ac:dyDescent="0.35">
      <c r="T24708" s="246">
        <f t="shared" si="424"/>
        <v>0</v>
      </c>
    </row>
    <row r="24709" spans="20:20" ht="18.75" customHeight="1" x14ac:dyDescent="0.35">
      <c r="T24709" s="246">
        <f t="shared" si="424"/>
        <v>0</v>
      </c>
    </row>
    <row r="24710" spans="20:20" ht="18.75" customHeight="1" x14ac:dyDescent="0.35">
      <c r="T24710" s="246">
        <f t="shared" si="424"/>
        <v>0</v>
      </c>
    </row>
    <row r="24711" spans="20:20" ht="18.75" customHeight="1" x14ac:dyDescent="0.35">
      <c r="T24711" s="246">
        <f t="shared" si="424"/>
        <v>0</v>
      </c>
    </row>
    <row r="24712" spans="20:20" ht="18.75" customHeight="1" x14ac:dyDescent="0.35">
      <c r="T24712" s="246">
        <f t="shared" si="424"/>
        <v>0</v>
      </c>
    </row>
    <row r="24713" spans="20:20" ht="18.75" customHeight="1" x14ac:dyDescent="0.35">
      <c r="T24713" s="246">
        <f t="shared" si="424"/>
        <v>0</v>
      </c>
    </row>
    <row r="24714" spans="20:20" ht="18.75" customHeight="1" x14ac:dyDescent="0.35">
      <c r="T24714" s="246">
        <f t="shared" si="424"/>
        <v>0</v>
      </c>
    </row>
    <row r="24715" spans="20:20" ht="18.75" customHeight="1" x14ac:dyDescent="0.35">
      <c r="T24715" s="246">
        <f t="shared" si="424"/>
        <v>0</v>
      </c>
    </row>
    <row r="24716" spans="20:20" ht="18.75" customHeight="1" x14ac:dyDescent="0.35">
      <c r="T24716" s="246">
        <f t="shared" si="424"/>
        <v>0</v>
      </c>
    </row>
    <row r="24717" spans="20:20" ht="18.75" customHeight="1" x14ac:dyDescent="0.35">
      <c r="T24717" s="246">
        <f t="shared" si="424"/>
        <v>0</v>
      </c>
    </row>
    <row r="24718" spans="20:20" ht="18.75" customHeight="1" x14ac:dyDescent="0.35">
      <c r="T24718" s="246">
        <f t="shared" si="424"/>
        <v>0</v>
      </c>
    </row>
    <row r="24719" spans="20:20" ht="18.75" customHeight="1" x14ac:dyDescent="0.35">
      <c r="T24719" s="246">
        <f t="shared" si="424"/>
        <v>0</v>
      </c>
    </row>
    <row r="24720" spans="20:20" ht="18.75" customHeight="1" x14ac:dyDescent="0.35">
      <c r="T24720" s="246">
        <f t="shared" si="424"/>
        <v>0</v>
      </c>
    </row>
    <row r="24721" spans="20:20" ht="18.75" customHeight="1" x14ac:dyDescent="0.35">
      <c r="T24721" s="246">
        <f t="shared" si="424"/>
        <v>0</v>
      </c>
    </row>
    <row r="24722" spans="20:20" ht="18.75" customHeight="1" x14ac:dyDescent="0.35">
      <c r="T24722" s="246">
        <f t="shared" si="424"/>
        <v>0</v>
      </c>
    </row>
    <row r="24723" spans="20:20" ht="18.75" customHeight="1" x14ac:dyDescent="0.35">
      <c r="T24723" s="246">
        <f t="shared" si="424"/>
        <v>0</v>
      </c>
    </row>
    <row r="24724" spans="20:20" ht="18.75" customHeight="1" x14ac:dyDescent="0.35">
      <c r="T24724" s="246">
        <f t="shared" si="424"/>
        <v>0</v>
      </c>
    </row>
    <row r="24725" spans="20:20" ht="18.75" customHeight="1" x14ac:dyDescent="0.35">
      <c r="T24725" s="246">
        <f t="shared" si="424"/>
        <v>0</v>
      </c>
    </row>
    <row r="24726" spans="20:20" ht="18.75" customHeight="1" x14ac:dyDescent="0.35">
      <c r="T24726" s="246">
        <f t="shared" si="424"/>
        <v>0</v>
      </c>
    </row>
    <row r="24727" spans="20:20" ht="18.75" customHeight="1" x14ac:dyDescent="0.35">
      <c r="T24727" s="246">
        <f t="shared" si="424"/>
        <v>0</v>
      </c>
    </row>
    <row r="24728" spans="20:20" ht="18.75" customHeight="1" x14ac:dyDescent="0.35">
      <c r="T24728" s="246">
        <f t="shared" si="424"/>
        <v>0</v>
      </c>
    </row>
    <row r="24729" spans="20:20" ht="18.75" customHeight="1" x14ac:dyDescent="0.35">
      <c r="T24729" s="246">
        <f t="shared" si="424"/>
        <v>0</v>
      </c>
    </row>
    <row r="24730" spans="20:20" ht="18.75" customHeight="1" x14ac:dyDescent="0.35">
      <c r="T24730" s="246">
        <f t="shared" si="424"/>
        <v>0</v>
      </c>
    </row>
    <row r="24731" spans="20:20" ht="18.75" customHeight="1" x14ac:dyDescent="0.35">
      <c r="T24731" s="246">
        <f t="shared" si="424"/>
        <v>0</v>
      </c>
    </row>
    <row r="24732" spans="20:20" ht="18.75" customHeight="1" x14ac:dyDescent="0.35">
      <c r="T24732" s="246">
        <f t="shared" si="424"/>
        <v>0</v>
      </c>
    </row>
    <row r="24733" spans="20:20" ht="18.75" customHeight="1" x14ac:dyDescent="0.35">
      <c r="T24733" s="246">
        <f t="shared" si="424"/>
        <v>0</v>
      </c>
    </row>
    <row r="24734" spans="20:20" ht="18.75" customHeight="1" x14ac:dyDescent="0.35">
      <c r="T24734" s="246">
        <f t="shared" si="424"/>
        <v>0</v>
      </c>
    </row>
    <row r="24735" spans="20:20" ht="18.75" customHeight="1" x14ac:dyDescent="0.35">
      <c r="T24735" s="246">
        <f t="shared" si="424"/>
        <v>0</v>
      </c>
    </row>
    <row r="24736" spans="20:20" ht="18.75" customHeight="1" x14ac:dyDescent="0.35">
      <c r="T24736" s="246">
        <f t="shared" si="424"/>
        <v>0</v>
      </c>
    </row>
    <row r="24737" spans="20:20" ht="18.75" customHeight="1" x14ac:dyDescent="0.35">
      <c r="T24737" s="246">
        <f t="shared" si="424"/>
        <v>0</v>
      </c>
    </row>
    <row r="24738" spans="20:20" ht="18.75" customHeight="1" x14ac:dyDescent="0.35">
      <c r="T24738" s="246">
        <f t="shared" si="424"/>
        <v>0</v>
      </c>
    </row>
    <row r="24739" spans="20:20" ht="18.75" customHeight="1" x14ac:dyDescent="0.35">
      <c r="T24739" s="246">
        <f t="shared" si="424"/>
        <v>0</v>
      </c>
    </row>
    <row r="24740" spans="20:20" ht="18.75" customHeight="1" x14ac:dyDescent="0.35">
      <c r="T24740" s="246">
        <f t="shared" si="424"/>
        <v>0</v>
      </c>
    </row>
    <row r="24741" spans="20:20" ht="18.75" customHeight="1" x14ac:dyDescent="0.35">
      <c r="T24741" s="246">
        <f t="shared" si="424"/>
        <v>0</v>
      </c>
    </row>
    <row r="24742" spans="20:20" ht="18.75" customHeight="1" x14ac:dyDescent="0.35">
      <c r="T24742" s="246">
        <f t="shared" si="424"/>
        <v>0</v>
      </c>
    </row>
    <row r="24743" spans="20:20" ht="18.75" customHeight="1" x14ac:dyDescent="0.35">
      <c r="T24743" s="246">
        <f t="shared" si="424"/>
        <v>0</v>
      </c>
    </row>
    <row r="24744" spans="20:20" ht="18.75" customHeight="1" x14ac:dyDescent="0.35">
      <c r="T24744" s="246">
        <f t="shared" si="424"/>
        <v>0</v>
      </c>
    </row>
    <row r="24745" spans="20:20" ht="18.75" customHeight="1" x14ac:dyDescent="0.35">
      <c r="T24745" s="246">
        <f t="shared" si="424"/>
        <v>0</v>
      </c>
    </row>
    <row r="24746" spans="20:20" ht="18.75" customHeight="1" x14ac:dyDescent="0.35">
      <c r="T24746" s="246">
        <f t="shared" si="424"/>
        <v>0</v>
      </c>
    </row>
    <row r="24747" spans="20:20" ht="18.75" customHeight="1" x14ac:dyDescent="0.35">
      <c r="T24747" s="246">
        <f t="shared" si="424"/>
        <v>0</v>
      </c>
    </row>
    <row r="24748" spans="20:20" ht="18.75" customHeight="1" x14ac:dyDescent="0.35">
      <c r="T24748" s="246">
        <f t="shared" si="424"/>
        <v>0</v>
      </c>
    </row>
    <row r="24749" spans="20:20" ht="18.75" customHeight="1" x14ac:dyDescent="0.35">
      <c r="T24749" s="246">
        <f t="shared" si="424"/>
        <v>0</v>
      </c>
    </row>
    <row r="24750" spans="20:20" ht="18.75" customHeight="1" x14ac:dyDescent="0.35">
      <c r="T24750" s="246">
        <f t="shared" si="424"/>
        <v>0</v>
      </c>
    </row>
    <row r="24751" spans="20:20" ht="18.75" customHeight="1" x14ac:dyDescent="0.35">
      <c r="T24751" s="246">
        <f t="shared" si="424"/>
        <v>0</v>
      </c>
    </row>
    <row r="24752" spans="20:20" ht="18.75" customHeight="1" x14ac:dyDescent="0.35">
      <c r="T24752" s="246">
        <f t="shared" si="424"/>
        <v>0</v>
      </c>
    </row>
    <row r="24753" spans="20:20" ht="18.75" customHeight="1" x14ac:dyDescent="0.35">
      <c r="T24753" s="246">
        <f t="shared" si="424"/>
        <v>0</v>
      </c>
    </row>
    <row r="24754" spans="20:20" ht="18.75" customHeight="1" x14ac:dyDescent="0.35">
      <c r="T24754" s="246">
        <f t="shared" si="424"/>
        <v>0</v>
      </c>
    </row>
    <row r="24755" spans="20:20" ht="18.75" customHeight="1" x14ac:dyDescent="0.35">
      <c r="T24755" s="246">
        <f t="shared" si="424"/>
        <v>0</v>
      </c>
    </row>
    <row r="24756" spans="20:20" ht="18.75" customHeight="1" x14ac:dyDescent="0.35">
      <c r="T24756" s="246">
        <f t="shared" si="424"/>
        <v>0</v>
      </c>
    </row>
    <row r="24757" spans="20:20" ht="18.75" customHeight="1" x14ac:dyDescent="0.35">
      <c r="T24757" s="246">
        <f t="shared" si="424"/>
        <v>0</v>
      </c>
    </row>
    <row r="24758" spans="20:20" ht="18.75" customHeight="1" x14ac:dyDescent="0.35">
      <c r="T24758" s="246">
        <f t="shared" si="424"/>
        <v>0</v>
      </c>
    </row>
    <row r="24759" spans="20:20" ht="18.75" customHeight="1" x14ac:dyDescent="0.35">
      <c r="T24759" s="246">
        <f t="shared" si="424"/>
        <v>0</v>
      </c>
    </row>
    <row r="24760" spans="20:20" ht="18.75" customHeight="1" x14ac:dyDescent="0.35">
      <c r="T24760" s="246">
        <f t="shared" si="424"/>
        <v>0</v>
      </c>
    </row>
    <row r="24761" spans="20:20" ht="18.75" customHeight="1" x14ac:dyDescent="0.35">
      <c r="T24761" s="246">
        <f t="shared" si="424"/>
        <v>0</v>
      </c>
    </row>
    <row r="24762" spans="20:20" ht="18.75" customHeight="1" x14ac:dyDescent="0.35">
      <c r="T24762" s="246">
        <f t="shared" si="424"/>
        <v>0</v>
      </c>
    </row>
    <row r="24763" spans="20:20" ht="18.75" customHeight="1" x14ac:dyDescent="0.35">
      <c r="T24763" s="246">
        <f t="shared" si="424"/>
        <v>0</v>
      </c>
    </row>
    <row r="24764" spans="20:20" ht="18.75" customHeight="1" x14ac:dyDescent="0.35">
      <c r="T24764" s="246">
        <f t="shared" ref="T24764:T24827" si="425">R24764*0.01</f>
        <v>0</v>
      </c>
    </row>
    <row r="24765" spans="20:20" ht="18.75" customHeight="1" x14ac:dyDescent="0.35">
      <c r="T24765" s="246">
        <f t="shared" si="425"/>
        <v>0</v>
      </c>
    </row>
    <row r="24766" spans="20:20" ht="18.75" customHeight="1" x14ac:dyDescent="0.35">
      <c r="T24766" s="246">
        <f t="shared" si="425"/>
        <v>0</v>
      </c>
    </row>
    <row r="24767" spans="20:20" ht="18.75" customHeight="1" x14ac:dyDescent="0.35">
      <c r="T24767" s="246">
        <f t="shared" si="425"/>
        <v>0</v>
      </c>
    </row>
    <row r="24768" spans="20:20" ht="18.75" customHeight="1" x14ac:dyDescent="0.35">
      <c r="T24768" s="246">
        <f t="shared" si="425"/>
        <v>0</v>
      </c>
    </row>
    <row r="24769" spans="20:20" ht="18.75" customHeight="1" x14ac:dyDescent="0.35">
      <c r="T24769" s="246">
        <f t="shared" si="425"/>
        <v>0</v>
      </c>
    </row>
    <row r="24770" spans="20:20" ht="18.75" customHeight="1" x14ac:dyDescent="0.35">
      <c r="T24770" s="246">
        <f t="shared" si="425"/>
        <v>0</v>
      </c>
    </row>
    <row r="24771" spans="20:20" ht="18.75" customHeight="1" x14ac:dyDescent="0.35">
      <c r="T24771" s="246">
        <f t="shared" si="425"/>
        <v>0</v>
      </c>
    </row>
    <row r="24772" spans="20:20" ht="18.75" customHeight="1" x14ac:dyDescent="0.35">
      <c r="T24772" s="246">
        <f t="shared" si="425"/>
        <v>0</v>
      </c>
    </row>
    <row r="24773" spans="20:20" ht="18.75" customHeight="1" x14ac:dyDescent="0.35">
      <c r="T24773" s="246">
        <f t="shared" si="425"/>
        <v>0</v>
      </c>
    </row>
    <row r="24774" spans="20:20" ht="18.75" customHeight="1" x14ac:dyDescent="0.35">
      <c r="T24774" s="246">
        <f t="shared" si="425"/>
        <v>0</v>
      </c>
    </row>
    <row r="24775" spans="20:20" ht="18.75" customHeight="1" x14ac:dyDescent="0.35">
      <c r="T24775" s="246">
        <f t="shared" si="425"/>
        <v>0</v>
      </c>
    </row>
    <row r="24776" spans="20:20" ht="18.75" customHeight="1" x14ac:dyDescent="0.35">
      <c r="T24776" s="246">
        <f t="shared" si="425"/>
        <v>0</v>
      </c>
    </row>
    <row r="24777" spans="20:20" ht="18.75" customHeight="1" x14ac:dyDescent="0.35">
      <c r="T24777" s="246">
        <f t="shared" si="425"/>
        <v>0</v>
      </c>
    </row>
    <row r="24778" spans="20:20" ht="18.75" customHeight="1" x14ac:dyDescent="0.35">
      <c r="T24778" s="246">
        <f t="shared" si="425"/>
        <v>0</v>
      </c>
    </row>
    <row r="24779" spans="20:20" ht="18.75" customHeight="1" x14ac:dyDescent="0.35">
      <c r="T24779" s="246">
        <f t="shared" si="425"/>
        <v>0</v>
      </c>
    </row>
    <row r="24780" spans="20:20" ht="18.75" customHeight="1" x14ac:dyDescent="0.35">
      <c r="T24780" s="246">
        <f t="shared" si="425"/>
        <v>0</v>
      </c>
    </row>
    <row r="24781" spans="20:20" ht="18.75" customHeight="1" x14ac:dyDescent="0.35">
      <c r="T24781" s="246">
        <f t="shared" si="425"/>
        <v>0</v>
      </c>
    </row>
    <row r="24782" spans="20:20" ht="18.75" customHeight="1" x14ac:dyDescent="0.35">
      <c r="T24782" s="246">
        <f t="shared" si="425"/>
        <v>0</v>
      </c>
    </row>
    <row r="24783" spans="20:20" ht="18.75" customHeight="1" x14ac:dyDescent="0.35">
      <c r="T24783" s="246">
        <f t="shared" si="425"/>
        <v>0</v>
      </c>
    </row>
    <row r="24784" spans="20:20" ht="18.75" customHeight="1" x14ac:dyDescent="0.35">
      <c r="T24784" s="246">
        <f t="shared" si="425"/>
        <v>0</v>
      </c>
    </row>
    <row r="24785" spans="20:20" ht="18.75" customHeight="1" x14ac:dyDescent="0.35">
      <c r="T24785" s="246">
        <f t="shared" si="425"/>
        <v>0</v>
      </c>
    </row>
    <row r="24786" spans="20:20" ht="18.75" customHeight="1" x14ac:dyDescent="0.35">
      <c r="T24786" s="246">
        <f t="shared" si="425"/>
        <v>0</v>
      </c>
    </row>
    <row r="24787" spans="20:20" ht="18.75" customHeight="1" x14ac:dyDescent="0.35">
      <c r="T24787" s="246">
        <f t="shared" si="425"/>
        <v>0</v>
      </c>
    </row>
    <row r="24788" spans="20:20" ht="18.75" customHeight="1" x14ac:dyDescent="0.35">
      <c r="T24788" s="246">
        <f t="shared" si="425"/>
        <v>0</v>
      </c>
    </row>
    <row r="24789" spans="20:20" ht="18.75" customHeight="1" x14ac:dyDescent="0.35">
      <c r="T24789" s="246">
        <f t="shared" si="425"/>
        <v>0</v>
      </c>
    </row>
    <row r="24790" spans="20:20" ht="18.75" customHeight="1" x14ac:dyDescent="0.35">
      <c r="T24790" s="246">
        <f t="shared" si="425"/>
        <v>0</v>
      </c>
    </row>
    <row r="24791" spans="20:20" ht="18.75" customHeight="1" x14ac:dyDescent="0.35">
      <c r="T24791" s="246">
        <f t="shared" si="425"/>
        <v>0</v>
      </c>
    </row>
    <row r="24792" spans="20:20" ht="18.75" customHeight="1" x14ac:dyDescent="0.35">
      <c r="T24792" s="246">
        <f t="shared" si="425"/>
        <v>0</v>
      </c>
    </row>
    <row r="24793" spans="20:20" ht="18.75" customHeight="1" x14ac:dyDescent="0.35">
      <c r="T24793" s="246">
        <f t="shared" si="425"/>
        <v>0</v>
      </c>
    </row>
    <row r="24794" spans="20:20" ht="18.75" customHeight="1" x14ac:dyDescent="0.35">
      <c r="T24794" s="246">
        <f t="shared" si="425"/>
        <v>0</v>
      </c>
    </row>
    <row r="24795" spans="20:20" ht="18.75" customHeight="1" x14ac:dyDescent="0.35">
      <c r="T24795" s="246">
        <f t="shared" si="425"/>
        <v>0</v>
      </c>
    </row>
    <row r="24796" spans="20:20" ht="18.75" customHeight="1" x14ac:dyDescent="0.35">
      <c r="T24796" s="246">
        <f t="shared" si="425"/>
        <v>0</v>
      </c>
    </row>
    <row r="24797" spans="20:20" ht="18.75" customHeight="1" x14ac:dyDescent="0.35">
      <c r="T24797" s="246">
        <f t="shared" si="425"/>
        <v>0</v>
      </c>
    </row>
    <row r="24798" spans="20:20" ht="18.75" customHeight="1" x14ac:dyDescent="0.35">
      <c r="T24798" s="246">
        <f t="shared" si="425"/>
        <v>0</v>
      </c>
    </row>
    <row r="24799" spans="20:20" ht="18.75" customHeight="1" x14ac:dyDescent="0.35">
      <c r="T24799" s="246">
        <f t="shared" si="425"/>
        <v>0</v>
      </c>
    </row>
    <row r="24800" spans="20:20" ht="18.75" customHeight="1" x14ac:dyDescent="0.35">
      <c r="T24800" s="246">
        <f t="shared" si="425"/>
        <v>0</v>
      </c>
    </row>
    <row r="24801" spans="20:20" ht="18.75" customHeight="1" x14ac:dyDescent="0.35">
      <c r="T24801" s="246">
        <f t="shared" si="425"/>
        <v>0</v>
      </c>
    </row>
    <row r="24802" spans="20:20" ht="18.75" customHeight="1" x14ac:dyDescent="0.35">
      <c r="T24802" s="246">
        <f t="shared" si="425"/>
        <v>0</v>
      </c>
    </row>
    <row r="24803" spans="20:20" ht="18.75" customHeight="1" x14ac:dyDescent="0.35">
      <c r="T24803" s="246">
        <f t="shared" si="425"/>
        <v>0</v>
      </c>
    </row>
    <row r="24804" spans="20:20" ht="18.75" customHeight="1" x14ac:dyDescent="0.35">
      <c r="T24804" s="246">
        <f t="shared" si="425"/>
        <v>0</v>
      </c>
    </row>
    <row r="24805" spans="20:20" ht="18.75" customHeight="1" x14ac:dyDescent="0.35">
      <c r="T24805" s="246">
        <f t="shared" si="425"/>
        <v>0</v>
      </c>
    </row>
    <row r="24806" spans="20:20" ht="18.75" customHeight="1" x14ac:dyDescent="0.35">
      <c r="T24806" s="246">
        <f t="shared" si="425"/>
        <v>0</v>
      </c>
    </row>
    <row r="24807" spans="20:20" ht="18.75" customHeight="1" x14ac:dyDescent="0.35">
      <c r="T24807" s="246">
        <f t="shared" si="425"/>
        <v>0</v>
      </c>
    </row>
    <row r="24808" spans="20:20" ht="18.75" customHeight="1" x14ac:dyDescent="0.35">
      <c r="T24808" s="246">
        <f t="shared" si="425"/>
        <v>0</v>
      </c>
    </row>
    <row r="24809" spans="20:20" ht="18.75" customHeight="1" x14ac:dyDescent="0.35">
      <c r="T24809" s="246">
        <f t="shared" si="425"/>
        <v>0</v>
      </c>
    </row>
    <row r="24810" spans="20:20" ht="18.75" customHeight="1" x14ac:dyDescent="0.35">
      <c r="T24810" s="246">
        <f t="shared" si="425"/>
        <v>0</v>
      </c>
    </row>
    <row r="24811" spans="20:20" ht="18.75" customHeight="1" x14ac:dyDescent="0.35">
      <c r="T24811" s="246">
        <f t="shared" si="425"/>
        <v>0</v>
      </c>
    </row>
    <row r="24812" spans="20:20" ht="18.75" customHeight="1" x14ac:dyDescent="0.35">
      <c r="T24812" s="246">
        <f t="shared" si="425"/>
        <v>0</v>
      </c>
    </row>
    <row r="24813" spans="20:20" ht="18.75" customHeight="1" x14ac:dyDescent="0.35">
      <c r="T24813" s="246">
        <f t="shared" si="425"/>
        <v>0</v>
      </c>
    </row>
    <row r="24814" spans="20:20" ht="18.75" customHeight="1" x14ac:dyDescent="0.35">
      <c r="T24814" s="246">
        <f t="shared" si="425"/>
        <v>0</v>
      </c>
    </row>
    <row r="24815" spans="20:20" ht="18.75" customHeight="1" x14ac:dyDescent="0.35">
      <c r="T24815" s="246">
        <f t="shared" si="425"/>
        <v>0</v>
      </c>
    </row>
    <row r="24816" spans="20:20" ht="18.75" customHeight="1" x14ac:dyDescent="0.35">
      <c r="T24816" s="246">
        <f t="shared" si="425"/>
        <v>0</v>
      </c>
    </row>
    <row r="24817" spans="20:20" ht="18.75" customHeight="1" x14ac:dyDescent="0.35">
      <c r="T24817" s="246">
        <f t="shared" si="425"/>
        <v>0</v>
      </c>
    </row>
    <row r="24818" spans="20:20" ht="18.75" customHeight="1" x14ac:dyDescent="0.35">
      <c r="T24818" s="246">
        <f t="shared" si="425"/>
        <v>0</v>
      </c>
    </row>
    <row r="24819" spans="20:20" ht="18.75" customHeight="1" x14ac:dyDescent="0.35">
      <c r="T24819" s="246">
        <f t="shared" si="425"/>
        <v>0</v>
      </c>
    </row>
    <row r="24820" spans="20:20" ht="18.75" customHeight="1" x14ac:dyDescent="0.35">
      <c r="T24820" s="246">
        <f t="shared" si="425"/>
        <v>0</v>
      </c>
    </row>
    <row r="24821" spans="20:20" ht="18.75" customHeight="1" x14ac:dyDescent="0.35">
      <c r="T24821" s="246">
        <f t="shared" si="425"/>
        <v>0</v>
      </c>
    </row>
    <row r="24822" spans="20:20" ht="18.75" customHeight="1" x14ac:dyDescent="0.35">
      <c r="T24822" s="246">
        <f t="shared" si="425"/>
        <v>0</v>
      </c>
    </row>
    <row r="24823" spans="20:20" ht="18.75" customHeight="1" x14ac:dyDescent="0.35">
      <c r="T24823" s="246">
        <f t="shared" si="425"/>
        <v>0</v>
      </c>
    </row>
    <row r="24824" spans="20:20" ht="18.75" customHeight="1" x14ac:dyDescent="0.35">
      <c r="T24824" s="246">
        <f t="shared" si="425"/>
        <v>0</v>
      </c>
    </row>
    <row r="24825" spans="20:20" ht="18.75" customHeight="1" x14ac:dyDescent="0.35">
      <c r="T24825" s="246">
        <f t="shared" si="425"/>
        <v>0</v>
      </c>
    </row>
    <row r="24826" spans="20:20" ht="18.75" customHeight="1" x14ac:dyDescent="0.35">
      <c r="T24826" s="246">
        <f t="shared" si="425"/>
        <v>0</v>
      </c>
    </row>
    <row r="24827" spans="20:20" ht="18.75" customHeight="1" x14ac:dyDescent="0.35">
      <c r="T24827" s="246">
        <f t="shared" si="425"/>
        <v>0</v>
      </c>
    </row>
    <row r="24828" spans="20:20" ht="18.75" customHeight="1" x14ac:dyDescent="0.35">
      <c r="T24828" s="246">
        <f t="shared" ref="T24828:T24891" si="426">R24828*0.01</f>
        <v>0</v>
      </c>
    </row>
    <row r="24829" spans="20:20" ht="18.75" customHeight="1" x14ac:dyDescent="0.35">
      <c r="T24829" s="246">
        <f t="shared" si="426"/>
        <v>0</v>
      </c>
    </row>
    <row r="24830" spans="20:20" ht="18.75" customHeight="1" x14ac:dyDescent="0.35">
      <c r="T24830" s="246">
        <f t="shared" si="426"/>
        <v>0</v>
      </c>
    </row>
    <row r="24831" spans="20:20" ht="18.75" customHeight="1" x14ac:dyDescent="0.35">
      <c r="T24831" s="246">
        <f t="shared" si="426"/>
        <v>0</v>
      </c>
    </row>
    <row r="24832" spans="20:20" ht="18.75" customHeight="1" x14ac:dyDescent="0.35">
      <c r="T24832" s="246">
        <f t="shared" si="426"/>
        <v>0</v>
      </c>
    </row>
    <row r="24833" spans="20:20" ht="18.75" customHeight="1" x14ac:dyDescent="0.35">
      <c r="T24833" s="246">
        <f t="shared" si="426"/>
        <v>0</v>
      </c>
    </row>
    <row r="24834" spans="20:20" ht="18.75" customHeight="1" x14ac:dyDescent="0.35">
      <c r="T24834" s="246">
        <f t="shared" si="426"/>
        <v>0</v>
      </c>
    </row>
    <row r="24835" spans="20:20" ht="18.75" customHeight="1" x14ac:dyDescent="0.35">
      <c r="T24835" s="246">
        <f t="shared" si="426"/>
        <v>0</v>
      </c>
    </row>
    <row r="24836" spans="20:20" ht="18.75" customHeight="1" x14ac:dyDescent="0.35">
      <c r="T24836" s="246">
        <f t="shared" si="426"/>
        <v>0</v>
      </c>
    </row>
    <row r="24837" spans="20:20" ht="18.75" customHeight="1" x14ac:dyDescent="0.35">
      <c r="T24837" s="246">
        <f t="shared" si="426"/>
        <v>0</v>
      </c>
    </row>
    <row r="24838" spans="20:20" ht="18.75" customHeight="1" x14ac:dyDescent="0.35">
      <c r="T24838" s="246">
        <f t="shared" si="426"/>
        <v>0</v>
      </c>
    </row>
    <row r="24839" spans="20:20" ht="18.75" customHeight="1" x14ac:dyDescent="0.35">
      <c r="T24839" s="246">
        <f t="shared" si="426"/>
        <v>0</v>
      </c>
    </row>
    <row r="24840" spans="20:20" ht="18.75" customHeight="1" x14ac:dyDescent="0.35">
      <c r="T24840" s="246">
        <f t="shared" si="426"/>
        <v>0</v>
      </c>
    </row>
    <row r="24841" spans="20:20" ht="18.75" customHeight="1" x14ac:dyDescent="0.35">
      <c r="T24841" s="246">
        <f t="shared" si="426"/>
        <v>0</v>
      </c>
    </row>
    <row r="24842" spans="20:20" ht="18.75" customHeight="1" x14ac:dyDescent="0.35">
      <c r="T24842" s="246">
        <f t="shared" si="426"/>
        <v>0</v>
      </c>
    </row>
    <row r="24843" spans="20:20" ht="18.75" customHeight="1" x14ac:dyDescent="0.35">
      <c r="T24843" s="246">
        <f t="shared" si="426"/>
        <v>0</v>
      </c>
    </row>
    <row r="24844" spans="20:20" ht="18.75" customHeight="1" x14ac:dyDescent="0.35">
      <c r="T24844" s="246">
        <f t="shared" si="426"/>
        <v>0</v>
      </c>
    </row>
    <row r="24845" spans="20:20" ht="18.75" customHeight="1" x14ac:dyDescent="0.35">
      <c r="T24845" s="246">
        <f t="shared" si="426"/>
        <v>0</v>
      </c>
    </row>
    <row r="24846" spans="20:20" ht="18.75" customHeight="1" x14ac:dyDescent="0.35">
      <c r="T24846" s="246">
        <f t="shared" si="426"/>
        <v>0</v>
      </c>
    </row>
    <row r="24847" spans="20:20" ht="18.75" customHeight="1" x14ac:dyDescent="0.35">
      <c r="T24847" s="246">
        <f t="shared" si="426"/>
        <v>0</v>
      </c>
    </row>
    <row r="24848" spans="20:20" ht="18.75" customHeight="1" x14ac:dyDescent="0.35">
      <c r="T24848" s="246">
        <f t="shared" si="426"/>
        <v>0</v>
      </c>
    </row>
    <row r="24849" spans="20:20" ht="18.75" customHeight="1" x14ac:dyDescent="0.35">
      <c r="T24849" s="246">
        <f t="shared" si="426"/>
        <v>0</v>
      </c>
    </row>
    <row r="24850" spans="20:20" ht="18.75" customHeight="1" x14ac:dyDescent="0.35">
      <c r="T24850" s="246">
        <f t="shared" si="426"/>
        <v>0</v>
      </c>
    </row>
    <row r="24851" spans="20:20" ht="18.75" customHeight="1" x14ac:dyDescent="0.35">
      <c r="T24851" s="246">
        <f t="shared" si="426"/>
        <v>0</v>
      </c>
    </row>
    <row r="24852" spans="20:20" ht="18.75" customHeight="1" x14ac:dyDescent="0.35">
      <c r="T24852" s="246">
        <f t="shared" si="426"/>
        <v>0</v>
      </c>
    </row>
    <row r="24853" spans="20:20" ht="18.75" customHeight="1" x14ac:dyDescent="0.35">
      <c r="T24853" s="246">
        <f t="shared" si="426"/>
        <v>0</v>
      </c>
    </row>
    <row r="24854" spans="20:20" ht="18.75" customHeight="1" x14ac:dyDescent="0.35">
      <c r="T24854" s="246">
        <f t="shared" si="426"/>
        <v>0</v>
      </c>
    </row>
    <row r="24855" spans="20:20" ht="18.75" customHeight="1" x14ac:dyDescent="0.35">
      <c r="T24855" s="246">
        <f t="shared" si="426"/>
        <v>0</v>
      </c>
    </row>
    <row r="24856" spans="20:20" ht="18.75" customHeight="1" x14ac:dyDescent="0.35">
      <c r="T24856" s="246">
        <f t="shared" si="426"/>
        <v>0</v>
      </c>
    </row>
    <row r="24857" spans="20:20" ht="18.75" customHeight="1" x14ac:dyDescent="0.35">
      <c r="T24857" s="246">
        <f t="shared" si="426"/>
        <v>0</v>
      </c>
    </row>
    <row r="24858" spans="20:20" ht="18.75" customHeight="1" x14ac:dyDescent="0.35">
      <c r="T24858" s="246">
        <f t="shared" si="426"/>
        <v>0</v>
      </c>
    </row>
    <row r="24859" spans="20:20" ht="18.75" customHeight="1" x14ac:dyDescent="0.35">
      <c r="T24859" s="246">
        <f t="shared" si="426"/>
        <v>0</v>
      </c>
    </row>
    <row r="24860" spans="20:20" ht="18.75" customHeight="1" x14ac:dyDescent="0.35">
      <c r="T24860" s="246">
        <f t="shared" si="426"/>
        <v>0</v>
      </c>
    </row>
    <row r="24861" spans="20:20" ht="18.75" customHeight="1" x14ac:dyDescent="0.35">
      <c r="T24861" s="246">
        <f t="shared" si="426"/>
        <v>0</v>
      </c>
    </row>
    <row r="24862" spans="20:20" ht="18.75" customHeight="1" x14ac:dyDescent="0.35">
      <c r="T24862" s="246">
        <f t="shared" si="426"/>
        <v>0</v>
      </c>
    </row>
    <row r="24863" spans="20:20" ht="18.75" customHeight="1" x14ac:dyDescent="0.35">
      <c r="T24863" s="246">
        <f t="shared" si="426"/>
        <v>0</v>
      </c>
    </row>
    <row r="24864" spans="20:20" ht="18.75" customHeight="1" x14ac:dyDescent="0.35">
      <c r="T24864" s="246">
        <f t="shared" si="426"/>
        <v>0</v>
      </c>
    </row>
    <row r="24865" spans="20:20" ht="18.75" customHeight="1" x14ac:dyDescent="0.35">
      <c r="T24865" s="246">
        <f t="shared" si="426"/>
        <v>0</v>
      </c>
    </row>
    <row r="24866" spans="20:20" ht="18.75" customHeight="1" x14ac:dyDescent="0.35">
      <c r="T24866" s="246">
        <f t="shared" si="426"/>
        <v>0</v>
      </c>
    </row>
    <row r="24867" spans="20:20" ht="18.75" customHeight="1" x14ac:dyDescent="0.35">
      <c r="T24867" s="246">
        <f t="shared" si="426"/>
        <v>0</v>
      </c>
    </row>
    <row r="24868" spans="20:20" ht="18.75" customHeight="1" x14ac:dyDescent="0.35">
      <c r="T24868" s="246">
        <f t="shared" si="426"/>
        <v>0</v>
      </c>
    </row>
    <row r="24869" spans="20:20" ht="18.75" customHeight="1" x14ac:dyDescent="0.35">
      <c r="T24869" s="246">
        <f t="shared" si="426"/>
        <v>0</v>
      </c>
    </row>
    <row r="24870" spans="20:20" ht="18.75" customHeight="1" x14ac:dyDescent="0.35">
      <c r="T24870" s="246">
        <f t="shared" si="426"/>
        <v>0</v>
      </c>
    </row>
    <row r="24871" spans="20:20" ht="18.75" customHeight="1" x14ac:dyDescent="0.35">
      <c r="T24871" s="246">
        <f t="shared" si="426"/>
        <v>0</v>
      </c>
    </row>
    <row r="24872" spans="20:20" ht="18.75" customHeight="1" x14ac:dyDescent="0.35">
      <c r="T24872" s="246">
        <f t="shared" si="426"/>
        <v>0</v>
      </c>
    </row>
    <row r="24873" spans="20:20" ht="18.75" customHeight="1" x14ac:dyDescent="0.35">
      <c r="T24873" s="246">
        <f t="shared" si="426"/>
        <v>0</v>
      </c>
    </row>
    <row r="24874" spans="20:20" ht="18.75" customHeight="1" x14ac:dyDescent="0.35">
      <c r="T24874" s="246">
        <f t="shared" si="426"/>
        <v>0</v>
      </c>
    </row>
    <row r="24875" spans="20:20" ht="18.75" customHeight="1" x14ac:dyDescent="0.35">
      <c r="T24875" s="246">
        <f t="shared" si="426"/>
        <v>0</v>
      </c>
    </row>
    <row r="24876" spans="20:20" ht="18.75" customHeight="1" x14ac:dyDescent="0.35">
      <c r="T24876" s="246">
        <f t="shared" si="426"/>
        <v>0</v>
      </c>
    </row>
    <row r="24877" spans="20:20" ht="18.75" customHeight="1" x14ac:dyDescent="0.35">
      <c r="T24877" s="246">
        <f t="shared" si="426"/>
        <v>0</v>
      </c>
    </row>
    <row r="24878" spans="20:20" ht="18.75" customHeight="1" x14ac:dyDescent="0.35">
      <c r="T24878" s="246">
        <f t="shared" si="426"/>
        <v>0</v>
      </c>
    </row>
    <row r="24879" spans="20:20" ht="18.75" customHeight="1" x14ac:dyDescent="0.35">
      <c r="T24879" s="246">
        <f t="shared" si="426"/>
        <v>0</v>
      </c>
    </row>
    <row r="24880" spans="20:20" ht="18.75" customHeight="1" x14ac:dyDescent="0.35">
      <c r="T24880" s="246">
        <f t="shared" si="426"/>
        <v>0</v>
      </c>
    </row>
    <row r="24881" spans="20:20" ht="18.75" customHeight="1" x14ac:dyDescent="0.35">
      <c r="T24881" s="246">
        <f t="shared" si="426"/>
        <v>0</v>
      </c>
    </row>
    <row r="24882" spans="20:20" ht="18.75" customHeight="1" x14ac:dyDescent="0.35">
      <c r="T24882" s="246">
        <f t="shared" si="426"/>
        <v>0</v>
      </c>
    </row>
    <row r="24883" spans="20:20" ht="18.75" customHeight="1" x14ac:dyDescent="0.35">
      <c r="T24883" s="246">
        <f t="shared" si="426"/>
        <v>0</v>
      </c>
    </row>
    <row r="24884" spans="20:20" ht="18.75" customHeight="1" x14ac:dyDescent="0.35">
      <c r="T24884" s="246">
        <f t="shared" si="426"/>
        <v>0</v>
      </c>
    </row>
    <row r="24885" spans="20:20" ht="18.75" customHeight="1" x14ac:dyDescent="0.35">
      <c r="T24885" s="246">
        <f t="shared" si="426"/>
        <v>0</v>
      </c>
    </row>
    <row r="24886" spans="20:20" ht="18.75" customHeight="1" x14ac:dyDescent="0.35">
      <c r="T24886" s="246">
        <f t="shared" si="426"/>
        <v>0</v>
      </c>
    </row>
    <row r="24887" spans="20:20" ht="18.75" customHeight="1" x14ac:dyDescent="0.35">
      <c r="T24887" s="246">
        <f t="shared" si="426"/>
        <v>0</v>
      </c>
    </row>
    <row r="24888" spans="20:20" ht="18.75" customHeight="1" x14ac:dyDescent="0.35">
      <c r="T24888" s="246">
        <f t="shared" si="426"/>
        <v>0</v>
      </c>
    </row>
    <row r="24889" spans="20:20" ht="18.75" customHeight="1" x14ac:dyDescent="0.35">
      <c r="T24889" s="246">
        <f t="shared" si="426"/>
        <v>0</v>
      </c>
    </row>
    <row r="24890" spans="20:20" ht="18.75" customHeight="1" x14ac:dyDescent="0.35">
      <c r="T24890" s="246">
        <f t="shared" si="426"/>
        <v>0</v>
      </c>
    </row>
    <row r="24891" spans="20:20" ht="18.75" customHeight="1" x14ac:dyDescent="0.35">
      <c r="T24891" s="246">
        <f t="shared" si="426"/>
        <v>0</v>
      </c>
    </row>
    <row r="24892" spans="20:20" ht="18.75" customHeight="1" x14ac:dyDescent="0.35">
      <c r="T24892" s="246">
        <f t="shared" ref="T24892:T24955" si="427">R24892*0.01</f>
        <v>0</v>
      </c>
    </row>
    <row r="24893" spans="20:20" ht="18.75" customHeight="1" x14ac:dyDescent="0.35">
      <c r="T24893" s="246">
        <f t="shared" si="427"/>
        <v>0</v>
      </c>
    </row>
    <row r="24894" spans="20:20" ht="18.75" customHeight="1" x14ac:dyDescent="0.35">
      <c r="T24894" s="246">
        <f t="shared" si="427"/>
        <v>0</v>
      </c>
    </row>
    <row r="24895" spans="20:20" ht="18.75" customHeight="1" x14ac:dyDescent="0.35">
      <c r="T24895" s="246">
        <f t="shared" si="427"/>
        <v>0</v>
      </c>
    </row>
    <row r="24896" spans="20:20" ht="18.75" customHeight="1" x14ac:dyDescent="0.35">
      <c r="T24896" s="246">
        <f t="shared" si="427"/>
        <v>0</v>
      </c>
    </row>
    <row r="24897" spans="20:20" ht="18.75" customHeight="1" x14ac:dyDescent="0.35">
      <c r="T24897" s="246">
        <f t="shared" si="427"/>
        <v>0</v>
      </c>
    </row>
    <row r="24898" spans="20:20" ht="18.75" customHeight="1" x14ac:dyDescent="0.35">
      <c r="T24898" s="246">
        <f t="shared" si="427"/>
        <v>0</v>
      </c>
    </row>
    <row r="24899" spans="20:20" ht="18.75" customHeight="1" x14ac:dyDescent="0.35">
      <c r="T24899" s="246">
        <f t="shared" si="427"/>
        <v>0</v>
      </c>
    </row>
    <row r="24900" spans="20:20" ht="18.75" customHeight="1" x14ac:dyDescent="0.35">
      <c r="T24900" s="246">
        <f t="shared" si="427"/>
        <v>0</v>
      </c>
    </row>
    <row r="24901" spans="20:20" ht="18.75" customHeight="1" x14ac:dyDescent="0.35">
      <c r="T24901" s="246">
        <f t="shared" si="427"/>
        <v>0</v>
      </c>
    </row>
    <row r="24902" spans="20:20" ht="18.75" customHeight="1" x14ac:dyDescent="0.35">
      <c r="T24902" s="246">
        <f t="shared" si="427"/>
        <v>0</v>
      </c>
    </row>
    <row r="24903" spans="20:20" ht="18.75" customHeight="1" x14ac:dyDescent="0.35">
      <c r="T24903" s="246">
        <f t="shared" si="427"/>
        <v>0</v>
      </c>
    </row>
    <row r="24904" spans="20:20" ht="18.75" customHeight="1" x14ac:dyDescent="0.35">
      <c r="T24904" s="246">
        <f t="shared" si="427"/>
        <v>0</v>
      </c>
    </row>
    <row r="24905" spans="20:20" ht="18.75" customHeight="1" x14ac:dyDescent="0.35">
      <c r="T24905" s="246">
        <f t="shared" si="427"/>
        <v>0</v>
      </c>
    </row>
    <row r="24906" spans="20:20" ht="18.75" customHeight="1" x14ac:dyDescent="0.35">
      <c r="T24906" s="246">
        <f t="shared" si="427"/>
        <v>0</v>
      </c>
    </row>
    <row r="24907" spans="20:20" ht="18.75" customHeight="1" x14ac:dyDescent="0.35">
      <c r="T24907" s="246">
        <f t="shared" si="427"/>
        <v>0</v>
      </c>
    </row>
    <row r="24908" spans="20:20" ht="18.75" customHeight="1" x14ac:dyDescent="0.35">
      <c r="T24908" s="246">
        <f t="shared" si="427"/>
        <v>0</v>
      </c>
    </row>
    <row r="24909" spans="20:20" ht="18.75" customHeight="1" x14ac:dyDescent="0.35">
      <c r="T24909" s="246">
        <f t="shared" si="427"/>
        <v>0</v>
      </c>
    </row>
    <row r="24910" spans="20:20" ht="18.75" customHeight="1" x14ac:dyDescent="0.35">
      <c r="T24910" s="246">
        <f t="shared" si="427"/>
        <v>0</v>
      </c>
    </row>
    <row r="24911" spans="20:20" ht="18.75" customHeight="1" x14ac:dyDescent="0.35">
      <c r="T24911" s="246">
        <f t="shared" si="427"/>
        <v>0</v>
      </c>
    </row>
    <row r="24912" spans="20:20" ht="18.75" customHeight="1" x14ac:dyDescent="0.35">
      <c r="T24912" s="246">
        <f t="shared" si="427"/>
        <v>0</v>
      </c>
    </row>
    <row r="24913" spans="20:20" ht="18.75" customHeight="1" x14ac:dyDescent="0.35">
      <c r="T24913" s="246">
        <f t="shared" si="427"/>
        <v>0</v>
      </c>
    </row>
    <row r="24914" spans="20:20" ht="18.75" customHeight="1" x14ac:dyDescent="0.35">
      <c r="T24914" s="246">
        <f t="shared" si="427"/>
        <v>0</v>
      </c>
    </row>
    <row r="24915" spans="20:20" ht="18.75" customHeight="1" x14ac:dyDescent="0.35">
      <c r="T24915" s="246">
        <f t="shared" si="427"/>
        <v>0</v>
      </c>
    </row>
    <row r="24916" spans="20:20" ht="18.75" customHeight="1" x14ac:dyDescent="0.35">
      <c r="T24916" s="246">
        <f t="shared" si="427"/>
        <v>0</v>
      </c>
    </row>
    <row r="24917" spans="20:20" ht="18.75" customHeight="1" x14ac:dyDescent="0.35">
      <c r="T24917" s="246">
        <f t="shared" si="427"/>
        <v>0</v>
      </c>
    </row>
    <row r="24918" spans="20:20" ht="18.75" customHeight="1" x14ac:dyDescent="0.35">
      <c r="T24918" s="246">
        <f t="shared" si="427"/>
        <v>0</v>
      </c>
    </row>
    <row r="24919" spans="20:20" ht="18.75" customHeight="1" x14ac:dyDescent="0.35">
      <c r="T24919" s="246">
        <f t="shared" si="427"/>
        <v>0</v>
      </c>
    </row>
    <row r="24920" spans="20:20" ht="18.75" customHeight="1" x14ac:dyDescent="0.35">
      <c r="T24920" s="246">
        <f t="shared" si="427"/>
        <v>0</v>
      </c>
    </row>
    <row r="24921" spans="20:20" ht="18.75" customHeight="1" x14ac:dyDescent="0.35">
      <c r="T24921" s="246">
        <f t="shared" si="427"/>
        <v>0</v>
      </c>
    </row>
    <row r="24922" spans="20:20" ht="18.75" customHeight="1" x14ac:dyDescent="0.35">
      <c r="T24922" s="246">
        <f t="shared" si="427"/>
        <v>0</v>
      </c>
    </row>
    <row r="24923" spans="20:20" ht="18.75" customHeight="1" x14ac:dyDescent="0.35">
      <c r="T24923" s="246">
        <f t="shared" si="427"/>
        <v>0</v>
      </c>
    </row>
    <row r="24924" spans="20:20" ht="18.75" customHeight="1" x14ac:dyDescent="0.35">
      <c r="T24924" s="246">
        <f t="shared" si="427"/>
        <v>0</v>
      </c>
    </row>
    <row r="24925" spans="20:20" ht="18.75" customHeight="1" x14ac:dyDescent="0.35">
      <c r="T24925" s="246">
        <f t="shared" si="427"/>
        <v>0</v>
      </c>
    </row>
    <row r="24926" spans="20:20" ht="18.75" customHeight="1" x14ac:dyDescent="0.35">
      <c r="T24926" s="246">
        <f t="shared" si="427"/>
        <v>0</v>
      </c>
    </row>
    <row r="24927" spans="20:20" ht="18.75" customHeight="1" x14ac:dyDescent="0.35">
      <c r="T24927" s="246">
        <f t="shared" si="427"/>
        <v>0</v>
      </c>
    </row>
    <row r="24928" spans="20:20" ht="18.75" customHeight="1" x14ac:dyDescent="0.35">
      <c r="T24928" s="246">
        <f t="shared" si="427"/>
        <v>0</v>
      </c>
    </row>
    <row r="24929" spans="20:20" ht="18.75" customHeight="1" x14ac:dyDescent="0.35">
      <c r="T24929" s="246">
        <f t="shared" si="427"/>
        <v>0</v>
      </c>
    </row>
    <row r="24930" spans="20:20" ht="18.75" customHeight="1" x14ac:dyDescent="0.35">
      <c r="T24930" s="246">
        <f t="shared" si="427"/>
        <v>0</v>
      </c>
    </row>
    <row r="24931" spans="20:20" ht="18.75" customHeight="1" x14ac:dyDescent="0.35">
      <c r="T24931" s="246">
        <f t="shared" si="427"/>
        <v>0</v>
      </c>
    </row>
    <row r="24932" spans="20:20" ht="18.75" customHeight="1" x14ac:dyDescent="0.35">
      <c r="T24932" s="246">
        <f t="shared" si="427"/>
        <v>0</v>
      </c>
    </row>
    <row r="24933" spans="20:20" ht="18.75" customHeight="1" x14ac:dyDescent="0.35">
      <c r="T24933" s="246">
        <f t="shared" si="427"/>
        <v>0</v>
      </c>
    </row>
    <row r="24934" spans="20:20" ht="18.75" customHeight="1" x14ac:dyDescent="0.35">
      <c r="T24934" s="246">
        <f t="shared" si="427"/>
        <v>0</v>
      </c>
    </row>
    <row r="24935" spans="20:20" ht="18.75" customHeight="1" x14ac:dyDescent="0.35">
      <c r="T24935" s="246">
        <f t="shared" si="427"/>
        <v>0</v>
      </c>
    </row>
    <row r="24936" spans="20:20" ht="18.75" customHeight="1" x14ac:dyDescent="0.35">
      <c r="T24936" s="246">
        <f t="shared" si="427"/>
        <v>0</v>
      </c>
    </row>
    <row r="24937" spans="20:20" ht="18.75" customHeight="1" x14ac:dyDescent="0.35">
      <c r="T24937" s="246">
        <f t="shared" si="427"/>
        <v>0</v>
      </c>
    </row>
    <row r="24938" spans="20:20" ht="18.75" customHeight="1" x14ac:dyDescent="0.35">
      <c r="T24938" s="246">
        <f t="shared" si="427"/>
        <v>0</v>
      </c>
    </row>
    <row r="24939" spans="20:20" ht="18.75" customHeight="1" x14ac:dyDescent="0.35">
      <c r="T24939" s="246">
        <f t="shared" si="427"/>
        <v>0</v>
      </c>
    </row>
    <row r="24940" spans="20:20" ht="18.75" customHeight="1" x14ac:dyDescent="0.35">
      <c r="T24940" s="246">
        <f t="shared" si="427"/>
        <v>0</v>
      </c>
    </row>
    <row r="24941" spans="20:20" ht="18.75" customHeight="1" x14ac:dyDescent="0.35">
      <c r="T24941" s="246">
        <f t="shared" si="427"/>
        <v>0</v>
      </c>
    </row>
    <row r="24942" spans="20:20" ht="18.75" customHeight="1" x14ac:dyDescent="0.35">
      <c r="T24942" s="246">
        <f t="shared" si="427"/>
        <v>0</v>
      </c>
    </row>
    <row r="24943" spans="20:20" ht="18.75" customHeight="1" x14ac:dyDescent="0.35">
      <c r="T24943" s="246">
        <f t="shared" si="427"/>
        <v>0</v>
      </c>
    </row>
    <row r="24944" spans="20:20" ht="18.75" customHeight="1" x14ac:dyDescent="0.35">
      <c r="T24944" s="246">
        <f t="shared" si="427"/>
        <v>0</v>
      </c>
    </row>
    <row r="24945" spans="20:20" ht="18.75" customHeight="1" x14ac:dyDescent="0.35">
      <c r="T24945" s="246">
        <f t="shared" si="427"/>
        <v>0</v>
      </c>
    </row>
    <row r="24946" spans="20:20" ht="18.75" customHeight="1" x14ac:dyDescent="0.35">
      <c r="T24946" s="246">
        <f t="shared" si="427"/>
        <v>0</v>
      </c>
    </row>
    <row r="24947" spans="20:20" ht="18.75" customHeight="1" x14ac:dyDescent="0.35">
      <c r="T24947" s="246">
        <f t="shared" si="427"/>
        <v>0</v>
      </c>
    </row>
    <row r="24948" spans="20:20" ht="18.75" customHeight="1" x14ac:dyDescent="0.35">
      <c r="T24948" s="246">
        <f t="shared" si="427"/>
        <v>0</v>
      </c>
    </row>
    <row r="24949" spans="20:20" ht="18.75" customHeight="1" x14ac:dyDescent="0.35">
      <c r="T24949" s="246">
        <f t="shared" si="427"/>
        <v>0</v>
      </c>
    </row>
    <row r="24950" spans="20:20" ht="18.75" customHeight="1" x14ac:dyDescent="0.35">
      <c r="T24950" s="246">
        <f t="shared" si="427"/>
        <v>0</v>
      </c>
    </row>
    <row r="24951" spans="20:20" ht="18.75" customHeight="1" x14ac:dyDescent="0.35">
      <c r="T24951" s="246">
        <f t="shared" si="427"/>
        <v>0</v>
      </c>
    </row>
    <row r="24952" spans="20:20" ht="18.75" customHeight="1" x14ac:dyDescent="0.35">
      <c r="T24952" s="246">
        <f t="shared" si="427"/>
        <v>0</v>
      </c>
    </row>
    <row r="24953" spans="20:20" ht="18.75" customHeight="1" x14ac:dyDescent="0.35">
      <c r="T24953" s="246">
        <f t="shared" si="427"/>
        <v>0</v>
      </c>
    </row>
    <row r="24954" spans="20:20" ht="18.75" customHeight="1" x14ac:dyDescent="0.35">
      <c r="T24954" s="246">
        <f t="shared" si="427"/>
        <v>0</v>
      </c>
    </row>
    <row r="24955" spans="20:20" ht="18.75" customHeight="1" x14ac:dyDescent="0.35">
      <c r="T24955" s="246">
        <f t="shared" si="427"/>
        <v>0</v>
      </c>
    </row>
    <row r="24956" spans="20:20" ht="18.75" customHeight="1" x14ac:dyDescent="0.35">
      <c r="T24956" s="246">
        <f t="shared" ref="T24956:T25019" si="428">R24956*0.01</f>
        <v>0</v>
      </c>
    </row>
    <row r="24957" spans="20:20" ht="18.75" customHeight="1" x14ac:dyDescent="0.35">
      <c r="T24957" s="246">
        <f t="shared" si="428"/>
        <v>0</v>
      </c>
    </row>
    <row r="24958" spans="20:20" ht="18.75" customHeight="1" x14ac:dyDescent="0.35">
      <c r="T24958" s="246">
        <f t="shared" si="428"/>
        <v>0</v>
      </c>
    </row>
    <row r="24959" spans="20:20" ht="18.75" customHeight="1" x14ac:dyDescent="0.35">
      <c r="T24959" s="246">
        <f t="shared" si="428"/>
        <v>0</v>
      </c>
    </row>
    <row r="24960" spans="20:20" ht="18.75" customHeight="1" x14ac:dyDescent="0.35">
      <c r="T24960" s="246">
        <f t="shared" si="428"/>
        <v>0</v>
      </c>
    </row>
    <row r="24961" spans="20:20" ht="18.75" customHeight="1" x14ac:dyDescent="0.35">
      <c r="T24961" s="246">
        <f t="shared" si="428"/>
        <v>0</v>
      </c>
    </row>
    <row r="24962" spans="20:20" ht="18.75" customHeight="1" x14ac:dyDescent="0.35">
      <c r="T24962" s="246">
        <f t="shared" si="428"/>
        <v>0</v>
      </c>
    </row>
    <row r="24963" spans="20:20" ht="18.75" customHeight="1" x14ac:dyDescent="0.35">
      <c r="T24963" s="246">
        <f t="shared" si="428"/>
        <v>0</v>
      </c>
    </row>
    <row r="24964" spans="20:20" ht="18.75" customHeight="1" x14ac:dyDescent="0.35">
      <c r="T24964" s="246">
        <f t="shared" si="428"/>
        <v>0</v>
      </c>
    </row>
    <row r="24965" spans="20:20" ht="18.75" customHeight="1" x14ac:dyDescent="0.35">
      <c r="T24965" s="246">
        <f t="shared" si="428"/>
        <v>0</v>
      </c>
    </row>
    <row r="24966" spans="20:20" ht="18.75" customHeight="1" x14ac:dyDescent="0.35">
      <c r="T24966" s="246">
        <f t="shared" si="428"/>
        <v>0</v>
      </c>
    </row>
    <row r="24967" spans="20:20" ht="18.75" customHeight="1" x14ac:dyDescent="0.35">
      <c r="T24967" s="246">
        <f t="shared" si="428"/>
        <v>0</v>
      </c>
    </row>
    <row r="24968" spans="20:20" ht="18.75" customHeight="1" x14ac:dyDescent="0.35">
      <c r="T24968" s="246">
        <f t="shared" si="428"/>
        <v>0</v>
      </c>
    </row>
    <row r="24969" spans="20:20" ht="18.75" customHeight="1" x14ac:dyDescent="0.35">
      <c r="T24969" s="246">
        <f t="shared" si="428"/>
        <v>0</v>
      </c>
    </row>
    <row r="24970" spans="20:20" ht="18.75" customHeight="1" x14ac:dyDescent="0.35">
      <c r="T24970" s="246">
        <f t="shared" si="428"/>
        <v>0</v>
      </c>
    </row>
    <row r="24971" spans="20:20" ht="18.75" customHeight="1" x14ac:dyDescent="0.35">
      <c r="T24971" s="246">
        <f t="shared" si="428"/>
        <v>0</v>
      </c>
    </row>
    <row r="24972" spans="20:20" ht="18.75" customHeight="1" x14ac:dyDescent="0.35">
      <c r="T24972" s="246">
        <f t="shared" si="428"/>
        <v>0</v>
      </c>
    </row>
    <row r="24973" spans="20:20" ht="18.75" customHeight="1" x14ac:dyDescent="0.35">
      <c r="T24973" s="246">
        <f t="shared" si="428"/>
        <v>0</v>
      </c>
    </row>
    <row r="24974" spans="20:20" ht="18.75" customHeight="1" x14ac:dyDescent="0.35">
      <c r="T24974" s="246">
        <f t="shared" si="428"/>
        <v>0</v>
      </c>
    </row>
    <row r="24975" spans="20:20" ht="18.75" customHeight="1" x14ac:dyDescent="0.35">
      <c r="T24975" s="246">
        <f t="shared" si="428"/>
        <v>0</v>
      </c>
    </row>
    <row r="24976" spans="20:20" ht="18.75" customHeight="1" x14ac:dyDescent="0.35">
      <c r="T24976" s="246">
        <f t="shared" si="428"/>
        <v>0</v>
      </c>
    </row>
    <row r="24977" spans="20:20" ht="18.75" customHeight="1" x14ac:dyDescent="0.35">
      <c r="T24977" s="246">
        <f t="shared" si="428"/>
        <v>0</v>
      </c>
    </row>
    <row r="24978" spans="20:20" ht="18.75" customHeight="1" x14ac:dyDescent="0.35">
      <c r="T24978" s="246">
        <f t="shared" si="428"/>
        <v>0</v>
      </c>
    </row>
    <row r="24979" spans="20:20" ht="18.75" customHeight="1" x14ac:dyDescent="0.35">
      <c r="T24979" s="246">
        <f t="shared" si="428"/>
        <v>0</v>
      </c>
    </row>
    <row r="24980" spans="20:20" ht="18.75" customHeight="1" x14ac:dyDescent="0.35">
      <c r="T24980" s="246">
        <f t="shared" si="428"/>
        <v>0</v>
      </c>
    </row>
    <row r="24981" spans="20:20" ht="18.75" customHeight="1" x14ac:dyDescent="0.35">
      <c r="T24981" s="246">
        <f t="shared" si="428"/>
        <v>0</v>
      </c>
    </row>
    <row r="24982" spans="20:20" ht="18.75" customHeight="1" x14ac:dyDescent="0.35">
      <c r="T24982" s="246">
        <f t="shared" si="428"/>
        <v>0</v>
      </c>
    </row>
    <row r="24983" spans="20:20" ht="18.75" customHeight="1" x14ac:dyDescent="0.35">
      <c r="T24983" s="246">
        <f t="shared" si="428"/>
        <v>0</v>
      </c>
    </row>
    <row r="24984" spans="20:20" ht="18.75" customHeight="1" x14ac:dyDescent="0.35">
      <c r="T24984" s="246">
        <f t="shared" si="428"/>
        <v>0</v>
      </c>
    </row>
    <row r="24985" spans="20:20" ht="18.75" customHeight="1" x14ac:dyDescent="0.35">
      <c r="T24985" s="246">
        <f t="shared" si="428"/>
        <v>0</v>
      </c>
    </row>
    <row r="24986" spans="20:20" ht="18.75" customHeight="1" x14ac:dyDescent="0.35">
      <c r="T24986" s="246">
        <f t="shared" si="428"/>
        <v>0</v>
      </c>
    </row>
    <row r="24987" spans="20:20" ht="18.75" customHeight="1" x14ac:dyDescent="0.35">
      <c r="T24987" s="246">
        <f t="shared" si="428"/>
        <v>0</v>
      </c>
    </row>
    <row r="24988" spans="20:20" ht="18.75" customHeight="1" x14ac:dyDescent="0.35">
      <c r="T24988" s="246">
        <f t="shared" si="428"/>
        <v>0</v>
      </c>
    </row>
    <row r="24989" spans="20:20" ht="18.75" customHeight="1" x14ac:dyDescent="0.35">
      <c r="T24989" s="246">
        <f t="shared" si="428"/>
        <v>0</v>
      </c>
    </row>
    <row r="24990" spans="20:20" ht="18.75" customHeight="1" x14ac:dyDescent="0.35">
      <c r="T24990" s="246">
        <f t="shared" si="428"/>
        <v>0</v>
      </c>
    </row>
    <row r="24991" spans="20:20" ht="18.75" customHeight="1" x14ac:dyDescent="0.35">
      <c r="T24991" s="246">
        <f t="shared" si="428"/>
        <v>0</v>
      </c>
    </row>
    <row r="24992" spans="20:20" ht="18.75" customHeight="1" x14ac:dyDescent="0.35">
      <c r="T24992" s="246">
        <f t="shared" si="428"/>
        <v>0</v>
      </c>
    </row>
    <row r="24993" spans="20:20" ht="18.75" customHeight="1" x14ac:dyDescent="0.35">
      <c r="T24993" s="246">
        <f t="shared" si="428"/>
        <v>0</v>
      </c>
    </row>
    <row r="24994" spans="20:20" ht="18.75" customHeight="1" x14ac:dyDescent="0.35">
      <c r="T24994" s="246">
        <f t="shared" si="428"/>
        <v>0</v>
      </c>
    </row>
    <row r="24995" spans="20:20" ht="18.75" customHeight="1" x14ac:dyDescent="0.35">
      <c r="T24995" s="246">
        <f t="shared" si="428"/>
        <v>0</v>
      </c>
    </row>
    <row r="24996" spans="20:20" ht="18.75" customHeight="1" x14ac:dyDescent="0.35">
      <c r="T24996" s="246">
        <f t="shared" si="428"/>
        <v>0</v>
      </c>
    </row>
    <row r="24997" spans="20:20" ht="18.75" customHeight="1" x14ac:dyDescent="0.35">
      <c r="T24997" s="246">
        <f t="shared" si="428"/>
        <v>0</v>
      </c>
    </row>
    <row r="24998" spans="20:20" ht="18.75" customHeight="1" x14ac:dyDescent="0.35">
      <c r="T24998" s="246">
        <f t="shared" si="428"/>
        <v>0</v>
      </c>
    </row>
    <row r="24999" spans="20:20" ht="18.75" customHeight="1" x14ac:dyDescent="0.35">
      <c r="T24999" s="246">
        <f t="shared" si="428"/>
        <v>0</v>
      </c>
    </row>
    <row r="25000" spans="20:20" ht="18.75" customHeight="1" x14ac:dyDescent="0.35">
      <c r="T25000" s="246">
        <f t="shared" si="428"/>
        <v>0</v>
      </c>
    </row>
    <row r="25001" spans="20:20" ht="18.75" customHeight="1" x14ac:dyDescent="0.35">
      <c r="T25001" s="246">
        <f t="shared" si="428"/>
        <v>0</v>
      </c>
    </row>
    <row r="25002" spans="20:20" ht="18.75" customHeight="1" x14ac:dyDescent="0.35">
      <c r="T25002" s="246">
        <f t="shared" si="428"/>
        <v>0</v>
      </c>
    </row>
    <row r="25003" spans="20:20" ht="18.75" customHeight="1" x14ac:dyDescent="0.35">
      <c r="T25003" s="246">
        <f t="shared" si="428"/>
        <v>0</v>
      </c>
    </row>
    <row r="25004" spans="20:20" ht="18.75" customHeight="1" x14ac:dyDescent="0.35">
      <c r="T25004" s="246">
        <f t="shared" si="428"/>
        <v>0</v>
      </c>
    </row>
    <row r="25005" spans="20:20" ht="18.75" customHeight="1" x14ac:dyDescent="0.35">
      <c r="T25005" s="246">
        <f t="shared" si="428"/>
        <v>0</v>
      </c>
    </row>
    <row r="25006" spans="20:20" ht="18.75" customHeight="1" x14ac:dyDescent="0.35">
      <c r="T25006" s="246">
        <f t="shared" si="428"/>
        <v>0</v>
      </c>
    </row>
    <row r="25007" spans="20:20" ht="18.75" customHeight="1" x14ac:dyDescent="0.35">
      <c r="T25007" s="246">
        <f t="shared" si="428"/>
        <v>0</v>
      </c>
    </row>
    <row r="25008" spans="20:20" ht="18.75" customHeight="1" x14ac:dyDescent="0.35">
      <c r="T25008" s="246">
        <f t="shared" si="428"/>
        <v>0</v>
      </c>
    </row>
    <row r="25009" spans="20:20" ht="18.75" customHeight="1" x14ac:dyDescent="0.35">
      <c r="T25009" s="246">
        <f t="shared" si="428"/>
        <v>0</v>
      </c>
    </row>
    <row r="25010" spans="20:20" ht="18.75" customHeight="1" x14ac:dyDescent="0.35">
      <c r="T25010" s="246">
        <f t="shared" si="428"/>
        <v>0</v>
      </c>
    </row>
    <row r="25011" spans="20:20" ht="18.75" customHeight="1" x14ac:dyDescent="0.35">
      <c r="T25011" s="246">
        <f t="shared" si="428"/>
        <v>0</v>
      </c>
    </row>
    <row r="25012" spans="20:20" ht="18.75" customHeight="1" x14ac:dyDescent="0.35">
      <c r="T25012" s="246">
        <f t="shared" si="428"/>
        <v>0</v>
      </c>
    </row>
    <row r="25013" spans="20:20" ht="18.75" customHeight="1" x14ac:dyDescent="0.35">
      <c r="T25013" s="246">
        <f t="shared" si="428"/>
        <v>0</v>
      </c>
    </row>
    <row r="25014" spans="20:20" ht="18.75" customHeight="1" x14ac:dyDescent="0.35">
      <c r="T25014" s="246">
        <f t="shared" si="428"/>
        <v>0</v>
      </c>
    </row>
    <row r="25015" spans="20:20" ht="18.75" customHeight="1" x14ac:dyDescent="0.35">
      <c r="T25015" s="246">
        <f t="shared" si="428"/>
        <v>0</v>
      </c>
    </row>
    <row r="25016" spans="20:20" ht="18.75" customHeight="1" x14ac:dyDescent="0.35">
      <c r="T25016" s="246">
        <f t="shared" si="428"/>
        <v>0</v>
      </c>
    </row>
    <row r="25017" spans="20:20" ht="18.75" customHeight="1" x14ac:dyDescent="0.35">
      <c r="T25017" s="246">
        <f t="shared" si="428"/>
        <v>0</v>
      </c>
    </row>
    <row r="25018" spans="20:20" ht="18.75" customHeight="1" x14ac:dyDescent="0.35">
      <c r="T25018" s="246">
        <f t="shared" si="428"/>
        <v>0</v>
      </c>
    </row>
    <row r="25019" spans="20:20" ht="18.75" customHeight="1" x14ac:dyDescent="0.35">
      <c r="T25019" s="246">
        <f t="shared" si="428"/>
        <v>0</v>
      </c>
    </row>
    <row r="25020" spans="20:20" ht="18.75" customHeight="1" x14ac:dyDescent="0.35">
      <c r="T25020" s="246">
        <f t="shared" ref="T25020:T25083" si="429">R25020*0.01</f>
        <v>0</v>
      </c>
    </row>
    <row r="25021" spans="20:20" ht="18.75" customHeight="1" x14ac:dyDescent="0.35">
      <c r="T25021" s="246">
        <f t="shared" si="429"/>
        <v>0</v>
      </c>
    </row>
    <row r="25022" spans="20:20" ht="18.75" customHeight="1" x14ac:dyDescent="0.35">
      <c r="T25022" s="246">
        <f t="shared" si="429"/>
        <v>0</v>
      </c>
    </row>
    <row r="25023" spans="20:20" ht="18.75" customHeight="1" x14ac:dyDescent="0.35">
      <c r="T25023" s="246">
        <f t="shared" si="429"/>
        <v>0</v>
      </c>
    </row>
    <row r="25024" spans="20:20" ht="18.75" customHeight="1" x14ac:dyDescent="0.35">
      <c r="T25024" s="246">
        <f t="shared" si="429"/>
        <v>0</v>
      </c>
    </row>
    <row r="25025" spans="20:20" ht="18.75" customHeight="1" x14ac:dyDescent="0.35">
      <c r="T25025" s="246">
        <f t="shared" si="429"/>
        <v>0</v>
      </c>
    </row>
    <row r="25026" spans="20:20" ht="18.75" customHeight="1" x14ac:dyDescent="0.35">
      <c r="T25026" s="246">
        <f t="shared" si="429"/>
        <v>0</v>
      </c>
    </row>
    <row r="25027" spans="20:20" ht="18.75" customHeight="1" x14ac:dyDescent="0.35">
      <c r="T25027" s="246">
        <f t="shared" si="429"/>
        <v>0</v>
      </c>
    </row>
    <row r="25028" spans="20:20" ht="18.75" customHeight="1" x14ac:dyDescent="0.35">
      <c r="T25028" s="246">
        <f t="shared" si="429"/>
        <v>0</v>
      </c>
    </row>
    <row r="25029" spans="20:20" ht="18.75" customHeight="1" x14ac:dyDescent="0.35">
      <c r="T25029" s="246">
        <f t="shared" si="429"/>
        <v>0</v>
      </c>
    </row>
    <row r="25030" spans="20:20" ht="18.75" customHeight="1" x14ac:dyDescent="0.35">
      <c r="T25030" s="246">
        <f t="shared" si="429"/>
        <v>0</v>
      </c>
    </row>
    <row r="25031" spans="20:20" ht="18.75" customHeight="1" x14ac:dyDescent="0.35">
      <c r="T25031" s="246">
        <f t="shared" si="429"/>
        <v>0</v>
      </c>
    </row>
    <row r="25032" spans="20:20" ht="18.75" customHeight="1" x14ac:dyDescent="0.35">
      <c r="T25032" s="246">
        <f t="shared" si="429"/>
        <v>0</v>
      </c>
    </row>
    <row r="25033" spans="20:20" ht="18.75" customHeight="1" x14ac:dyDescent="0.35">
      <c r="T25033" s="246">
        <f t="shared" si="429"/>
        <v>0</v>
      </c>
    </row>
    <row r="25034" spans="20:20" ht="18.75" customHeight="1" x14ac:dyDescent="0.35">
      <c r="T25034" s="246">
        <f t="shared" si="429"/>
        <v>0</v>
      </c>
    </row>
    <row r="25035" spans="20:20" ht="18.75" customHeight="1" x14ac:dyDescent="0.35">
      <c r="T25035" s="246">
        <f t="shared" si="429"/>
        <v>0</v>
      </c>
    </row>
    <row r="25036" spans="20:20" ht="18.75" customHeight="1" x14ac:dyDescent="0.35">
      <c r="T25036" s="246">
        <f t="shared" si="429"/>
        <v>0</v>
      </c>
    </row>
    <row r="25037" spans="20:20" ht="18.75" customHeight="1" x14ac:dyDescent="0.35">
      <c r="T25037" s="246">
        <f t="shared" si="429"/>
        <v>0</v>
      </c>
    </row>
    <row r="25038" spans="20:20" ht="18.75" customHeight="1" x14ac:dyDescent="0.35">
      <c r="T25038" s="246">
        <f t="shared" si="429"/>
        <v>0</v>
      </c>
    </row>
    <row r="25039" spans="20:20" ht="18.75" customHeight="1" x14ac:dyDescent="0.35">
      <c r="T25039" s="246">
        <f t="shared" si="429"/>
        <v>0</v>
      </c>
    </row>
    <row r="25040" spans="20:20" ht="18.75" customHeight="1" x14ac:dyDescent="0.35">
      <c r="T25040" s="246">
        <f t="shared" si="429"/>
        <v>0</v>
      </c>
    </row>
    <row r="25041" spans="20:20" ht="18.75" customHeight="1" x14ac:dyDescent="0.35">
      <c r="T25041" s="246">
        <f t="shared" si="429"/>
        <v>0</v>
      </c>
    </row>
    <row r="25042" spans="20:20" ht="18.75" customHeight="1" x14ac:dyDescent="0.35">
      <c r="T25042" s="246">
        <f t="shared" si="429"/>
        <v>0</v>
      </c>
    </row>
    <row r="25043" spans="20:20" ht="18.75" customHeight="1" x14ac:dyDescent="0.35">
      <c r="T25043" s="246">
        <f t="shared" si="429"/>
        <v>0</v>
      </c>
    </row>
    <row r="25044" spans="20:20" ht="18.75" customHeight="1" x14ac:dyDescent="0.35">
      <c r="T25044" s="246">
        <f t="shared" si="429"/>
        <v>0</v>
      </c>
    </row>
    <row r="25045" spans="20:20" ht="18.75" customHeight="1" x14ac:dyDescent="0.35">
      <c r="T25045" s="246">
        <f t="shared" si="429"/>
        <v>0</v>
      </c>
    </row>
    <row r="25046" spans="20:20" ht="18.75" customHeight="1" x14ac:dyDescent="0.35">
      <c r="T25046" s="246">
        <f t="shared" si="429"/>
        <v>0</v>
      </c>
    </row>
    <row r="25047" spans="20:20" ht="18.75" customHeight="1" x14ac:dyDescent="0.35">
      <c r="T25047" s="246">
        <f t="shared" si="429"/>
        <v>0</v>
      </c>
    </row>
    <row r="25048" spans="20:20" ht="18.75" customHeight="1" x14ac:dyDescent="0.35">
      <c r="T25048" s="246">
        <f t="shared" si="429"/>
        <v>0</v>
      </c>
    </row>
    <row r="25049" spans="20:20" ht="18.75" customHeight="1" x14ac:dyDescent="0.35">
      <c r="T25049" s="246">
        <f t="shared" si="429"/>
        <v>0</v>
      </c>
    </row>
    <row r="25050" spans="20:20" ht="18.75" customHeight="1" x14ac:dyDescent="0.35">
      <c r="T25050" s="246">
        <f t="shared" si="429"/>
        <v>0</v>
      </c>
    </row>
    <row r="25051" spans="20:20" ht="18.75" customHeight="1" x14ac:dyDescent="0.35">
      <c r="T25051" s="246">
        <f t="shared" si="429"/>
        <v>0</v>
      </c>
    </row>
    <row r="25052" spans="20:20" ht="18.75" customHeight="1" x14ac:dyDescent="0.35">
      <c r="T25052" s="246">
        <f t="shared" si="429"/>
        <v>0</v>
      </c>
    </row>
    <row r="25053" spans="20:20" ht="18.75" customHeight="1" x14ac:dyDescent="0.35">
      <c r="T25053" s="246">
        <f t="shared" si="429"/>
        <v>0</v>
      </c>
    </row>
    <row r="25054" spans="20:20" ht="18.75" customHeight="1" x14ac:dyDescent="0.35">
      <c r="T25054" s="246">
        <f t="shared" si="429"/>
        <v>0</v>
      </c>
    </row>
    <row r="25055" spans="20:20" ht="18.75" customHeight="1" x14ac:dyDescent="0.35">
      <c r="T25055" s="246">
        <f t="shared" si="429"/>
        <v>0</v>
      </c>
    </row>
    <row r="25056" spans="20:20" ht="18.75" customHeight="1" x14ac:dyDescent="0.35">
      <c r="T25056" s="246">
        <f t="shared" si="429"/>
        <v>0</v>
      </c>
    </row>
    <row r="25057" spans="20:20" ht="18.75" customHeight="1" x14ac:dyDescent="0.35">
      <c r="T25057" s="246">
        <f t="shared" si="429"/>
        <v>0</v>
      </c>
    </row>
    <row r="25058" spans="20:20" ht="18.75" customHeight="1" x14ac:dyDescent="0.35">
      <c r="T25058" s="246">
        <f t="shared" si="429"/>
        <v>0</v>
      </c>
    </row>
    <row r="25059" spans="20:20" ht="18.75" customHeight="1" x14ac:dyDescent="0.35">
      <c r="T25059" s="246">
        <f t="shared" si="429"/>
        <v>0</v>
      </c>
    </row>
    <row r="25060" spans="20:20" ht="18.75" customHeight="1" x14ac:dyDescent="0.35">
      <c r="T25060" s="246">
        <f t="shared" si="429"/>
        <v>0</v>
      </c>
    </row>
    <row r="25061" spans="20:20" ht="18.75" customHeight="1" x14ac:dyDescent="0.35">
      <c r="T25061" s="246">
        <f t="shared" si="429"/>
        <v>0</v>
      </c>
    </row>
    <row r="25062" spans="20:20" ht="18.75" customHeight="1" x14ac:dyDescent="0.35">
      <c r="T25062" s="246">
        <f t="shared" si="429"/>
        <v>0</v>
      </c>
    </row>
    <row r="25063" spans="20:20" ht="18.75" customHeight="1" x14ac:dyDescent="0.35">
      <c r="T25063" s="246">
        <f t="shared" si="429"/>
        <v>0</v>
      </c>
    </row>
    <row r="25064" spans="20:20" ht="18.75" customHeight="1" x14ac:dyDescent="0.35">
      <c r="T25064" s="246">
        <f t="shared" si="429"/>
        <v>0</v>
      </c>
    </row>
    <row r="25065" spans="20:20" ht="18.75" customHeight="1" x14ac:dyDescent="0.35">
      <c r="T25065" s="246">
        <f t="shared" si="429"/>
        <v>0</v>
      </c>
    </row>
    <row r="25066" spans="20:20" ht="18.75" customHeight="1" x14ac:dyDescent="0.35">
      <c r="T25066" s="246">
        <f t="shared" si="429"/>
        <v>0</v>
      </c>
    </row>
    <row r="25067" spans="20:20" ht="18.75" customHeight="1" x14ac:dyDescent="0.35">
      <c r="T25067" s="246">
        <f t="shared" si="429"/>
        <v>0</v>
      </c>
    </row>
    <row r="25068" spans="20:20" ht="18.75" customHeight="1" x14ac:dyDescent="0.35">
      <c r="T25068" s="246">
        <f t="shared" si="429"/>
        <v>0</v>
      </c>
    </row>
    <row r="25069" spans="20:20" ht="18.75" customHeight="1" x14ac:dyDescent="0.35">
      <c r="T25069" s="246">
        <f t="shared" si="429"/>
        <v>0</v>
      </c>
    </row>
    <row r="25070" spans="20:20" ht="18.75" customHeight="1" x14ac:dyDescent="0.35">
      <c r="T25070" s="246">
        <f t="shared" si="429"/>
        <v>0</v>
      </c>
    </row>
    <row r="25071" spans="20:20" ht="18.75" customHeight="1" x14ac:dyDescent="0.35">
      <c r="T25071" s="246">
        <f t="shared" si="429"/>
        <v>0</v>
      </c>
    </row>
    <row r="25072" spans="20:20" ht="18.75" customHeight="1" x14ac:dyDescent="0.35">
      <c r="T25072" s="246">
        <f t="shared" si="429"/>
        <v>0</v>
      </c>
    </row>
    <row r="25073" spans="20:20" ht="18.75" customHeight="1" x14ac:dyDescent="0.35">
      <c r="T25073" s="246">
        <f t="shared" si="429"/>
        <v>0</v>
      </c>
    </row>
    <row r="25074" spans="20:20" ht="18.75" customHeight="1" x14ac:dyDescent="0.35">
      <c r="T25074" s="246">
        <f t="shared" si="429"/>
        <v>0</v>
      </c>
    </row>
    <row r="25075" spans="20:20" ht="18.75" customHeight="1" x14ac:dyDescent="0.35">
      <c r="T25075" s="246">
        <f t="shared" si="429"/>
        <v>0</v>
      </c>
    </row>
    <row r="25076" spans="20:20" ht="18.75" customHeight="1" x14ac:dyDescent="0.35">
      <c r="T25076" s="246">
        <f t="shared" si="429"/>
        <v>0</v>
      </c>
    </row>
    <row r="25077" spans="20:20" ht="18.75" customHeight="1" x14ac:dyDescent="0.35">
      <c r="T25077" s="246">
        <f t="shared" si="429"/>
        <v>0</v>
      </c>
    </row>
    <row r="25078" spans="20:20" ht="18.75" customHeight="1" x14ac:dyDescent="0.35">
      <c r="T25078" s="246">
        <f t="shared" si="429"/>
        <v>0</v>
      </c>
    </row>
    <row r="25079" spans="20:20" ht="18.75" customHeight="1" x14ac:dyDescent="0.35">
      <c r="T25079" s="246">
        <f t="shared" si="429"/>
        <v>0</v>
      </c>
    </row>
    <row r="25080" spans="20:20" ht="18.75" customHeight="1" x14ac:dyDescent="0.35">
      <c r="T25080" s="246">
        <f t="shared" si="429"/>
        <v>0</v>
      </c>
    </row>
    <row r="25081" spans="20:20" ht="18.75" customHeight="1" x14ac:dyDescent="0.35">
      <c r="T25081" s="246">
        <f t="shared" si="429"/>
        <v>0</v>
      </c>
    </row>
    <row r="25082" spans="20:20" ht="18.75" customHeight="1" x14ac:dyDescent="0.35">
      <c r="T25082" s="246">
        <f t="shared" si="429"/>
        <v>0</v>
      </c>
    </row>
    <row r="25083" spans="20:20" ht="18.75" customHeight="1" x14ac:dyDescent="0.35">
      <c r="T25083" s="246">
        <f t="shared" si="429"/>
        <v>0</v>
      </c>
    </row>
    <row r="25084" spans="20:20" ht="18.75" customHeight="1" x14ac:dyDescent="0.35">
      <c r="T25084" s="246">
        <f t="shared" ref="T25084:T25147" si="430">R25084*0.01</f>
        <v>0</v>
      </c>
    </row>
    <row r="25085" spans="20:20" ht="18.75" customHeight="1" x14ac:dyDescent="0.35">
      <c r="T25085" s="246">
        <f t="shared" si="430"/>
        <v>0</v>
      </c>
    </row>
    <row r="25086" spans="20:20" ht="18.75" customHeight="1" x14ac:dyDescent="0.35">
      <c r="T25086" s="246">
        <f t="shared" si="430"/>
        <v>0</v>
      </c>
    </row>
    <row r="25087" spans="20:20" ht="18.75" customHeight="1" x14ac:dyDescent="0.35">
      <c r="T25087" s="246">
        <f t="shared" si="430"/>
        <v>0</v>
      </c>
    </row>
    <row r="25088" spans="20:20" ht="18.75" customHeight="1" x14ac:dyDescent="0.35">
      <c r="T25088" s="246">
        <f t="shared" si="430"/>
        <v>0</v>
      </c>
    </row>
    <row r="25089" spans="20:20" ht="18.75" customHeight="1" x14ac:dyDescent="0.35">
      <c r="T25089" s="246">
        <f t="shared" si="430"/>
        <v>0</v>
      </c>
    </row>
    <row r="25090" spans="20:20" ht="18.75" customHeight="1" x14ac:dyDescent="0.35">
      <c r="T25090" s="246">
        <f t="shared" si="430"/>
        <v>0</v>
      </c>
    </row>
    <row r="25091" spans="20:20" ht="18.75" customHeight="1" x14ac:dyDescent="0.35">
      <c r="T25091" s="246">
        <f t="shared" si="430"/>
        <v>0</v>
      </c>
    </row>
    <row r="25092" spans="20:20" ht="18.75" customHeight="1" x14ac:dyDescent="0.35">
      <c r="T25092" s="246">
        <f t="shared" si="430"/>
        <v>0</v>
      </c>
    </row>
    <row r="25093" spans="20:20" ht="18.75" customHeight="1" x14ac:dyDescent="0.35">
      <c r="T25093" s="246">
        <f t="shared" si="430"/>
        <v>0</v>
      </c>
    </row>
    <row r="25094" spans="20:20" ht="18.75" customHeight="1" x14ac:dyDescent="0.35">
      <c r="T25094" s="246">
        <f t="shared" si="430"/>
        <v>0</v>
      </c>
    </row>
    <row r="25095" spans="20:20" ht="18.75" customHeight="1" x14ac:dyDescent="0.35">
      <c r="T25095" s="246">
        <f t="shared" si="430"/>
        <v>0</v>
      </c>
    </row>
    <row r="25096" spans="20:20" ht="18.75" customHeight="1" x14ac:dyDescent="0.35">
      <c r="T25096" s="246">
        <f t="shared" si="430"/>
        <v>0</v>
      </c>
    </row>
    <row r="25097" spans="20:20" ht="18.75" customHeight="1" x14ac:dyDescent="0.35">
      <c r="T25097" s="246">
        <f t="shared" si="430"/>
        <v>0</v>
      </c>
    </row>
    <row r="25098" spans="20:20" ht="18.75" customHeight="1" x14ac:dyDescent="0.35">
      <c r="T25098" s="246">
        <f t="shared" si="430"/>
        <v>0</v>
      </c>
    </row>
    <row r="25099" spans="20:20" ht="18.75" customHeight="1" x14ac:dyDescent="0.35">
      <c r="T25099" s="246">
        <f t="shared" si="430"/>
        <v>0</v>
      </c>
    </row>
    <row r="25100" spans="20:20" ht="18.75" customHeight="1" x14ac:dyDescent="0.35">
      <c r="T25100" s="246">
        <f t="shared" si="430"/>
        <v>0</v>
      </c>
    </row>
    <row r="25101" spans="20:20" ht="18.75" customHeight="1" x14ac:dyDescent="0.35">
      <c r="T25101" s="246">
        <f t="shared" si="430"/>
        <v>0</v>
      </c>
    </row>
    <row r="25102" spans="20:20" ht="18.75" customHeight="1" x14ac:dyDescent="0.35">
      <c r="T25102" s="246">
        <f t="shared" si="430"/>
        <v>0</v>
      </c>
    </row>
    <row r="25103" spans="20:20" ht="18.75" customHeight="1" x14ac:dyDescent="0.35">
      <c r="T25103" s="246">
        <f t="shared" si="430"/>
        <v>0</v>
      </c>
    </row>
    <row r="25104" spans="20:20" ht="18.75" customHeight="1" x14ac:dyDescent="0.35">
      <c r="T25104" s="246">
        <f t="shared" si="430"/>
        <v>0</v>
      </c>
    </row>
    <row r="25105" spans="20:20" ht="18.75" customHeight="1" x14ac:dyDescent="0.35">
      <c r="T25105" s="246">
        <f t="shared" si="430"/>
        <v>0</v>
      </c>
    </row>
    <row r="25106" spans="20:20" ht="18.75" customHeight="1" x14ac:dyDescent="0.35">
      <c r="T25106" s="246">
        <f t="shared" si="430"/>
        <v>0</v>
      </c>
    </row>
    <row r="25107" spans="20:20" ht="18.75" customHeight="1" x14ac:dyDescent="0.35">
      <c r="T25107" s="246">
        <f t="shared" si="430"/>
        <v>0</v>
      </c>
    </row>
    <row r="25108" spans="20:20" ht="18.75" customHeight="1" x14ac:dyDescent="0.35">
      <c r="T25108" s="246">
        <f t="shared" si="430"/>
        <v>0</v>
      </c>
    </row>
    <row r="25109" spans="20:20" ht="18.75" customHeight="1" x14ac:dyDescent="0.35">
      <c r="T25109" s="246">
        <f t="shared" si="430"/>
        <v>0</v>
      </c>
    </row>
    <row r="25110" spans="20:20" ht="18.75" customHeight="1" x14ac:dyDescent="0.35">
      <c r="T25110" s="246">
        <f t="shared" si="430"/>
        <v>0</v>
      </c>
    </row>
    <row r="25111" spans="20:20" ht="18.75" customHeight="1" x14ac:dyDescent="0.35">
      <c r="T25111" s="246">
        <f t="shared" si="430"/>
        <v>0</v>
      </c>
    </row>
    <row r="25112" spans="20:20" ht="18.75" customHeight="1" x14ac:dyDescent="0.35">
      <c r="T25112" s="246">
        <f t="shared" si="430"/>
        <v>0</v>
      </c>
    </row>
    <row r="25113" spans="20:20" ht="18.75" customHeight="1" x14ac:dyDescent="0.35">
      <c r="T25113" s="246">
        <f t="shared" si="430"/>
        <v>0</v>
      </c>
    </row>
    <row r="25114" spans="20:20" ht="18.75" customHeight="1" x14ac:dyDescent="0.35">
      <c r="T25114" s="246">
        <f t="shared" si="430"/>
        <v>0</v>
      </c>
    </row>
    <row r="25115" spans="20:20" ht="18.75" customHeight="1" x14ac:dyDescent="0.35">
      <c r="T25115" s="246">
        <f t="shared" si="430"/>
        <v>0</v>
      </c>
    </row>
    <row r="25116" spans="20:20" ht="18.75" customHeight="1" x14ac:dyDescent="0.35">
      <c r="T25116" s="246">
        <f t="shared" si="430"/>
        <v>0</v>
      </c>
    </row>
    <row r="25117" spans="20:20" ht="18.75" customHeight="1" x14ac:dyDescent="0.35">
      <c r="T25117" s="246">
        <f t="shared" si="430"/>
        <v>0</v>
      </c>
    </row>
    <row r="25118" spans="20:20" ht="18.75" customHeight="1" x14ac:dyDescent="0.35">
      <c r="T25118" s="246">
        <f t="shared" si="430"/>
        <v>0</v>
      </c>
    </row>
    <row r="25119" spans="20:20" ht="18.75" customHeight="1" x14ac:dyDescent="0.35">
      <c r="T25119" s="246">
        <f t="shared" si="430"/>
        <v>0</v>
      </c>
    </row>
    <row r="25120" spans="20:20" ht="18.75" customHeight="1" x14ac:dyDescent="0.35">
      <c r="T25120" s="246">
        <f t="shared" si="430"/>
        <v>0</v>
      </c>
    </row>
    <row r="25121" spans="20:20" ht="18.75" customHeight="1" x14ac:dyDescent="0.35">
      <c r="T25121" s="246">
        <f t="shared" si="430"/>
        <v>0</v>
      </c>
    </row>
    <row r="25122" spans="20:20" ht="18.75" customHeight="1" x14ac:dyDescent="0.35">
      <c r="T25122" s="246">
        <f t="shared" si="430"/>
        <v>0</v>
      </c>
    </row>
    <row r="25123" spans="20:20" ht="18.75" customHeight="1" x14ac:dyDescent="0.35">
      <c r="T25123" s="246">
        <f t="shared" si="430"/>
        <v>0</v>
      </c>
    </row>
    <row r="25124" spans="20:20" ht="18.75" customHeight="1" x14ac:dyDescent="0.35">
      <c r="T25124" s="246">
        <f t="shared" si="430"/>
        <v>0</v>
      </c>
    </row>
    <row r="25125" spans="20:20" ht="18.75" customHeight="1" x14ac:dyDescent="0.35">
      <c r="T25125" s="246">
        <f t="shared" si="430"/>
        <v>0</v>
      </c>
    </row>
    <row r="25126" spans="20:20" ht="18.75" customHeight="1" x14ac:dyDescent="0.35">
      <c r="T25126" s="246">
        <f t="shared" si="430"/>
        <v>0</v>
      </c>
    </row>
    <row r="25127" spans="20:20" ht="18.75" customHeight="1" x14ac:dyDescent="0.35">
      <c r="T25127" s="246">
        <f t="shared" si="430"/>
        <v>0</v>
      </c>
    </row>
    <row r="25128" spans="20:20" ht="18.75" customHeight="1" x14ac:dyDescent="0.35">
      <c r="T25128" s="246">
        <f t="shared" si="430"/>
        <v>0</v>
      </c>
    </row>
    <row r="25129" spans="20:20" ht="18.75" customHeight="1" x14ac:dyDescent="0.35">
      <c r="T25129" s="246">
        <f t="shared" si="430"/>
        <v>0</v>
      </c>
    </row>
    <row r="25130" spans="20:20" ht="18.75" customHeight="1" x14ac:dyDescent="0.35">
      <c r="T25130" s="246">
        <f t="shared" si="430"/>
        <v>0</v>
      </c>
    </row>
    <row r="25131" spans="20:20" ht="18.75" customHeight="1" x14ac:dyDescent="0.35">
      <c r="T25131" s="246">
        <f t="shared" si="430"/>
        <v>0</v>
      </c>
    </row>
    <row r="25132" spans="20:20" ht="18.75" customHeight="1" x14ac:dyDescent="0.35">
      <c r="T25132" s="246">
        <f t="shared" si="430"/>
        <v>0</v>
      </c>
    </row>
    <row r="25133" spans="20:20" ht="18.75" customHeight="1" x14ac:dyDescent="0.35">
      <c r="T25133" s="246">
        <f t="shared" si="430"/>
        <v>0</v>
      </c>
    </row>
    <row r="25134" spans="20:20" ht="18.75" customHeight="1" x14ac:dyDescent="0.35">
      <c r="T25134" s="246">
        <f t="shared" si="430"/>
        <v>0</v>
      </c>
    </row>
    <row r="25135" spans="20:20" ht="18.75" customHeight="1" x14ac:dyDescent="0.35">
      <c r="T25135" s="246">
        <f t="shared" si="430"/>
        <v>0</v>
      </c>
    </row>
    <row r="25136" spans="20:20" ht="18.75" customHeight="1" x14ac:dyDescent="0.35">
      <c r="T25136" s="246">
        <f t="shared" si="430"/>
        <v>0</v>
      </c>
    </row>
    <row r="25137" spans="20:20" ht="18.75" customHeight="1" x14ac:dyDescent="0.35">
      <c r="T25137" s="246">
        <f t="shared" si="430"/>
        <v>0</v>
      </c>
    </row>
    <row r="25138" spans="20:20" ht="18.75" customHeight="1" x14ac:dyDescent="0.35">
      <c r="T25138" s="246">
        <f t="shared" si="430"/>
        <v>0</v>
      </c>
    </row>
    <row r="25139" spans="20:20" ht="18.75" customHeight="1" x14ac:dyDescent="0.35">
      <c r="T25139" s="246">
        <f t="shared" si="430"/>
        <v>0</v>
      </c>
    </row>
    <row r="25140" spans="20:20" ht="18.75" customHeight="1" x14ac:dyDescent="0.35">
      <c r="T25140" s="246">
        <f t="shared" si="430"/>
        <v>0</v>
      </c>
    </row>
    <row r="25141" spans="20:20" ht="18.75" customHeight="1" x14ac:dyDescent="0.35">
      <c r="T25141" s="246">
        <f t="shared" si="430"/>
        <v>0</v>
      </c>
    </row>
    <row r="25142" spans="20:20" ht="18.75" customHeight="1" x14ac:dyDescent="0.35">
      <c r="T25142" s="246">
        <f t="shared" si="430"/>
        <v>0</v>
      </c>
    </row>
    <row r="25143" spans="20:20" ht="18.75" customHeight="1" x14ac:dyDescent="0.35">
      <c r="T25143" s="246">
        <f t="shared" si="430"/>
        <v>0</v>
      </c>
    </row>
    <row r="25144" spans="20:20" ht="18.75" customHeight="1" x14ac:dyDescent="0.35">
      <c r="T25144" s="246">
        <f t="shared" si="430"/>
        <v>0</v>
      </c>
    </row>
    <row r="25145" spans="20:20" ht="18.75" customHeight="1" x14ac:dyDescent="0.35">
      <c r="T25145" s="246">
        <f t="shared" si="430"/>
        <v>0</v>
      </c>
    </row>
    <row r="25146" spans="20:20" ht="18.75" customHeight="1" x14ac:dyDescent="0.35">
      <c r="T25146" s="246">
        <f t="shared" si="430"/>
        <v>0</v>
      </c>
    </row>
    <row r="25147" spans="20:20" ht="18.75" customHeight="1" x14ac:dyDescent="0.35">
      <c r="T25147" s="246">
        <f t="shared" si="430"/>
        <v>0</v>
      </c>
    </row>
    <row r="25148" spans="20:20" ht="18.75" customHeight="1" x14ac:dyDescent="0.35">
      <c r="T25148" s="246">
        <f t="shared" ref="T25148:T25211" si="431">R25148*0.01</f>
        <v>0</v>
      </c>
    </row>
    <row r="25149" spans="20:20" ht="18.75" customHeight="1" x14ac:dyDescent="0.35">
      <c r="T25149" s="246">
        <f t="shared" si="431"/>
        <v>0</v>
      </c>
    </row>
    <row r="25150" spans="20:20" ht="18.75" customHeight="1" x14ac:dyDescent="0.35">
      <c r="T25150" s="246">
        <f t="shared" si="431"/>
        <v>0</v>
      </c>
    </row>
    <row r="25151" spans="20:20" ht="18.75" customHeight="1" x14ac:dyDescent="0.35">
      <c r="T25151" s="246">
        <f t="shared" si="431"/>
        <v>0</v>
      </c>
    </row>
    <row r="25152" spans="20:20" ht="18.75" customHeight="1" x14ac:dyDescent="0.35">
      <c r="T25152" s="246">
        <f t="shared" si="431"/>
        <v>0</v>
      </c>
    </row>
    <row r="25153" spans="20:20" ht="18.75" customHeight="1" x14ac:dyDescent="0.35">
      <c r="T25153" s="246">
        <f t="shared" si="431"/>
        <v>0</v>
      </c>
    </row>
    <row r="25154" spans="20:20" ht="18.75" customHeight="1" x14ac:dyDescent="0.35">
      <c r="T25154" s="246">
        <f t="shared" si="431"/>
        <v>0</v>
      </c>
    </row>
    <row r="25155" spans="20:20" ht="18.75" customHeight="1" x14ac:dyDescent="0.35">
      <c r="T25155" s="246">
        <f t="shared" si="431"/>
        <v>0</v>
      </c>
    </row>
    <row r="25156" spans="20:20" ht="18.75" customHeight="1" x14ac:dyDescent="0.35">
      <c r="T25156" s="246">
        <f t="shared" si="431"/>
        <v>0</v>
      </c>
    </row>
    <row r="25157" spans="20:20" ht="18.75" customHeight="1" x14ac:dyDescent="0.35">
      <c r="T25157" s="246">
        <f t="shared" si="431"/>
        <v>0</v>
      </c>
    </row>
    <row r="25158" spans="20:20" ht="18.75" customHeight="1" x14ac:dyDescent="0.35">
      <c r="T25158" s="246">
        <f t="shared" si="431"/>
        <v>0</v>
      </c>
    </row>
    <row r="25159" spans="20:20" ht="18.75" customHeight="1" x14ac:dyDescent="0.35">
      <c r="T25159" s="246">
        <f t="shared" si="431"/>
        <v>0</v>
      </c>
    </row>
    <row r="25160" spans="20:20" ht="18.75" customHeight="1" x14ac:dyDescent="0.35">
      <c r="T25160" s="246">
        <f t="shared" si="431"/>
        <v>0</v>
      </c>
    </row>
    <row r="25161" spans="20:20" ht="18.75" customHeight="1" x14ac:dyDescent="0.35">
      <c r="T25161" s="246">
        <f t="shared" si="431"/>
        <v>0</v>
      </c>
    </row>
    <row r="25162" spans="20:20" ht="18.75" customHeight="1" x14ac:dyDescent="0.35">
      <c r="T25162" s="246">
        <f t="shared" si="431"/>
        <v>0</v>
      </c>
    </row>
    <row r="25163" spans="20:20" ht="18.75" customHeight="1" x14ac:dyDescent="0.35">
      <c r="T25163" s="246">
        <f t="shared" si="431"/>
        <v>0</v>
      </c>
    </row>
    <row r="25164" spans="20:20" ht="18.75" customHeight="1" x14ac:dyDescent="0.35">
      <c r="T25164" s="246">
        <f t="shared" si="431"/>
        <v>0</v>
      </c>
    </row>
    <row r="25165" spans="20:20" ht="18.75" customHeight="1" x14ac:dyDescent="0.35">
      <c r="T25165" s="246">
        <f t="shared" si="431"/>
        <v>0</v>
      </c>
    </row>
    <row r="25166" spans="20:20" ht="18.75" customHeight="1" x14ac:dyDescent="0.35">
      <c r="T25166" s="246">
        <f t="shared" si="431"/>
        <v>0</v>
      </c>
    </row>
    <row r="25167" spans="20:20" ht="18.75" customHeight="1" x14ac:dyDescent="0.35">
      <c r="T25167" s="246">
        <f t="shared" si="431"/>
        <v>0</v>
      </c>
    </row>
    <row r="25168" spans="20:20" ht="18.75" customHeight="1" x14ac:dyDescent="0.35">
      <c r="T25168" s="246">
        <f t="shared" si="431"/>
        <v>0</v>
      </c>
    </row>
    <row r="25169" spans="20:20" ht="18.75" customHeight="1" x14ac:dyDescent="0.35">
      <c r="T25169" s="246">
        <f t="shared" si="431"/>
        <v>0</v>
      </c>
    </row>
    <row r="25170" spans="20:20" ht="18.75" customHeight="1" x14ac:dyDescent="0.35">
      <c r="T25170" s="246">
        <f t="shared" si="431"/>
        <v>0</v>
      </c>
    </row>
    <row r="25171" spans="20:20" ht="18.75" customHeight="1" x14ac:dyDescent="0.35">
      <c r="T25171" s="246">
        <f t="shared" si="431"/>
        <v>0</v>
      </c>
    </row>
    <row r="25172" spans="20:20" ht="18.75" customHeight="1" x14ac:dyDescent="0.35">
      <c r="T25172" s="246">
        <f t="shared" si="431"/>
        <v>0</v>
      </c>
    </row>
    <row r="25173" spans="20:20" ht="18.75" customHeight="1" x14ac:dyDescent="0.35">
      <c r="T25173" s="246">
        <f t="shared" si="431"/>
        <v>0</v>
      </c>
    </row>
    <row r="25174" spans="20:20" ht="18.75" customHeight="1" x14ac:dyDescent="0.35">
      <c r="T25174" s="246">
        <f t="shared" si="431"/>
        <v>0</v>
      </c>
    </row>
    <row r="25175" spans="20:20" ht="18.75" customHeight="1" x14ac:dyDescent="0.35">
      <c r="T25175" s="246">
        <f t="shared" si="431"/>
        <v>0</v>
      </c>
    </row>
    <row r="25176" spans="20:20" ht="18.75" customHeight="1" x14ac:dyDescent="0.35">
      <c r="T25176" s="246">
        <f t="shared" si="431"/>
        <v>0</v>
      </c>
    </row>
    <row r="25177" spans="20:20" ht="18.75" customHeight="1" x14ac:dyDescent="0.35">
      <c r="T25177" s="246">
        <f t="shared" si="431"/>
        <v>0</v>
      </c>
    </row>
    <row r="25178" spans="20:20" ht="18.75" customHeight="1" x14ac:dyDescent="0.35">
      <c r="T25178" s="246">
        <f t="shared" si="431"/>
        <v>0</v>
      </c>
    </row>
    <row r="25179" spans="20:20" ht="18.75" customHeight="1" x14ac:dyDescent="0.35">
      <c r="T25179" s="246">
        <f t="shared" si="431"/>
        <v>0</v>
      </c>
    </row>
    <row r="25180" spans="20:20" ht="18.75" customHeight="1" x14ac:dyDescent="0.35">
      <c r="T25180" s="246">
        <f t="shared" si="431"/>
        <v>0</v>
      </c>
    </row>
    <row r="25181" spans="20:20" ht="18.75" customHeight="1" x14ac:dyDescent="0.35">
      <c r="T25181" s="246">
        <f t="shared" si="431"/>
        <v>0</v>
      </c>
    </row>
    <row r="25182" spans="20:20" ht="18.75" customHeight="1" x14ac:dyDescent="0.35">
      <c r="T25182" s="246">
        <f t="shared" si="431"/>
        <v>0</v>
      </c>
    </row>
    <row r="25183" spans="20:20" ht="18.75" customHeight="1" x14ac:dyDescent="0.35">
      <c r="T25183" s="246">
        <f t="shared" si="431"/>
        <v>0</v>
      </c>
    </row>
    <row r="25184" spans="20:20" ht="18.75" customHeight="1" x14ac:dyDescent="0.35">
      <c r="T25184" s="246">
        <f t="shared" si="431"/>
        <v>0</v>
      </c>
    </row>
    <row r="25185" spans="20:20" ht="18.75" customHeight="1" x14ac:dyDescent="0.35">
      <c r="T25185" s="246">
        <f t="shared" si="431"/>
        <v>0</v>
      </c>
    </row>
    <row r="25186" spans="20:20" ht="18.75" customHeight="1" x14ac:dyDescent="0.35">
      <c r="T25186" s="246">
        <f t="shared" si="431"/>
        <v>0</v>
      </c>
    </row>
    <row r="25187" spans="20:20" ht="18.75" customHeight="1" x14ac:dyDescent="0.35">
      <c r="T25187" s="246">
        <f t="shared" si="431"/>
        <v>0</v>
      </c>
    </row>
    <row r="25188" spans="20:20" ht="18.75" customHeight="1" x14ac:dyDescent="0.35">
      <c r="T25188" s="246">
        <f t="shared" si="431"/>
        <v>0</v>
      </c>
    </row>
    <row r="25189" spans="20:20" ht="18.75" customHeight="1" x14ac:dyDescent="0.35">
      <c r="T25189" s="246">
        <f t="shared" si="431"/>
        <v>0</v>
      </c>
    </row>
    <row r="25190" spans="20:20" ht="18.75" customHeight="1" x14ac:dyDescent="0.35">
      <c r="T25190" s="246">
        <f t="shared" si="431"/>
        <v>0</v>
      </c>
    </row>
    <row r="25191" spans="20:20" ht="18.75" customHeight="1" x14ac:dyDescent="0.35">
      <c r="T25191" s="246">
        <f t="shared" si="431"/>
        <v>0</v>
      </c>
    </row>
    <row r="25192" spans="20:20" ht="18.75" customHeight="1" x14ac:dyDescent="0.35">
      <c r="T25192" s="246">
        <f t="shared" si="431"/>
        <v>0</v>
      </c>
    </row>
    <row r="25193" spans="20:20" ht="18.75" customHeight="1" x14ac:dyDescent="0.35">
      <c r="T25193" s="246">
        <f t="shared" si="431"/>
        <v>0</v>
      </c>
    </row>
    <row r="25194" spans="20:20" ht="18.75" customHeight="1" x14ac:dyDescent="0.35">
      <c r="T25194" s="246">
        <f t="shared" si="431"/>
        <v>0</v>
      </c>
    </row>
    <row r="25195" spans="20:20" ht="18.75" customHeight="1" x14ac:dyDescent="0.35">
      <c r="T25195" s="246">
        <f t="shared" si="431"/>
        <v>0</v>
      </c>
    </row>
    <row r="25196" spans="20:20" ht="18.75" customHeight="1" x14ac:dyDescent="0.35">
      <c r="T25196" s="246">
        <f t="shared" si="431"/>
        <v>0</v>
      </c>
    </row>
    <row r="25197" spans="20:20" ht="18.75" customHeight="1" x14ac:dyDescent="0.35">
      <c r="T25197" s="246">
        <f t="shared" si="431"/>
        <v>0</v>
      </c>
    </row>
    <row r="25198" spans="20:20" ht="18.75" customHeight="1" x14ac:dyDescent="0.35">
      <c r="T25198" s="246">
        <f t="shared" si="431"/>
        <v>0</v>
      </c>
    </row>
    <row r="25199" spans="20:20" ht="18.75" customHeight="1" x14ac:dyDescent="0.35">
      <c r="T25199" s="246">
        <f t="shared" si="431"/>
        <v>0</v>
      </c>
    </row>
    <row r="25200" spans="20:20" ht="18.75" customHeight="1" x14ac:dyDescent="0.35">
      <c r="T25200" s="246">
        <f t="shared" si="431"/>
        <v>0</v>
      </c>
    </row>
    <row r="25201" spans="20:20" ht="18.75" customHeight="1" x14ac:dyDescent="0.35">
      <c r="T25201" s="246">
        <f t="shared" si="431"/>
        <v>0</v>
      </c>
    </row>
    <row r="25202" spans="20:20" ht="18.75" customHeight="1" x14ac:dyDescent="0.35">
      <c r="T25202" s="246">
        <f t="shared" si="431"/>
        <v>0</v>
      </c>
    </row>
    <row r="25203" spans="20:20" ht="18.75" customHeight="1" x14ac:dyDescent="0.35">
      <c r="T25203" s="246">
        <f t="shared" si="431"/>
        <v>0</v>
      </c>
    </row>
    <row r="25204" spans="20:20" ht="18.75" customHeight="1" x14ac:dyDescent="0.35">
      <c r="T25204" s="246">
        <f t="shared" si="431"/>
        <v>0</v>
      </c>
    </row>
    <row r="25205" spans="20:20" ht="18.75" customHeight="1" x14ac:dyDescent="0.35">
      <c r="T25205" s="246">
        <f t="shared" si="431"/>
        <v>0</v>
      </c>
    </row>
    <row r="25206" spans="20:20" ht="18.75" customHeight="1" x14ac:dyDescent="0.35">
      <c r="T25206" s="246">
        <f t="shared" si="431"/>
        <v>0</v>
      </c>
    </row>
    <row r="25207" spans="20:20" ht="18.75" customHeight="1" x14ac:dyDescent="0.35">
      <c r="T25207" s="246">
        <f t="shared" si="431"/>
        <v>0</v>
      </c>
    </row>
    <row r="25208" spans="20:20" ht="18.75" customHeight="1" x14ac:dyDescent="0.35">
      <c r="T25208" s="246">
        <f t="shared" si="431"/>
        <v>0</v>
      </c>
    </row>
    <row r="25209" spans="20:20" ht="18.75" customHeight="1" x14ac:dyDescent="0.35">
      <c r="T25209" s="246">
        <f t="shared" si="431"/>
        <v>0</v>
      </c>
    </row>
    <row r="25210" spans="20:20" ht="18.75" customHeight="1" x14ac:dyDescent="0.35">
      <c r="T25210" s="246">
        <f t="shared" si="431"/>
        <v>0</v>
      </c>
    </row>
    <row r="25211" spans="20:20" ht="18.75" customHeight="1" x14ac:dyDescent="0.35">
      <c r="T25211" s="246">
        <f t="shared" si="431"/>
        <v>0</v>
      </c>
    </row>
    <row r="25212" spans="20:20" ht="18.75" customHeight="1" x14ac:dyDescent="0.35">
      <c r="T25212" s="246">
        <f t="shared" ref="T25212:T25275" si="432">R25212*0.01</f>
        <v>0</v>
      </c>
    </row>
    <row r="25213" spans="20:20" ht="18.75" customHeight="1" x14ac:dyDescent="0.35">
      <c r="T25213" s="246">
        <f t="shared" si="432"/>
        <v>0</v>
      </c>
    </row>
    <row r="25214" spans="20:20" ht="18.75" customHeight="1" x14ac:dyDescent="0.35">
      <c r="T25214" s="246">
        <f t="shared" si="432"/>
        <v>0</v>
      </c>
    </row>
    <row r="25215" spans="20:20" ht="18.75" customHeight="1" x14ac:dyDescent="0.35">
      <c r="T25215" s="246">
        <f t="shared" si="432"/>
        <v>0</v>
      </c>
    </row>
    <row r="25216" spans="20:20" ht="18.75" customHeight="1" x14ac:dyDescent="0.35">
      <c r="T25216" s="246">
        <f t="shared" si="432"/>
        <v>0</v>
      </c>
    </row>
    <row r="25217" spans="20:20" ht="18.75" customHeight="1" x14ac:dyDescent="0.35">
      <c r="T25217" s="246">
        <f t="shared" si="432"/>
        <v>0</v>
      </c>
    </row>
    <row r="25218" spans="20:20" ht="18.75" customHeight="1" x14ac:dyDescent="0.35">
      <c r="T25218" s="246">
        <f t="shared" si="432"/>
        <v>0</v>
      </c>
    </row>
    <row r="25219" spans="20:20" ht="18.75" customHeight="1" x14ac:dyDescent="0.35">
      <c r="T25219" s="246">
        <f t="shared" si="432"/>
        <v>0</v>
      </c>
    </row>
    <row r="25220" spans="20:20" ht="18.75" customHeight="1" x14ac:dyDescent="0.35">
      <c r="T25220" s="246">
        <f t="shared" si="432"/>
        <v>0</v>
      </c>
    </row>
    <row r="25221" spans="20:20" ht="18.75" customHeight="1" x14ac:dyDescent="0.35">
      <c r="T25221" s="246">
        <f t="shared" si="432"/>
        <v>0</v>
      </c>
    </row>
    <row r="25222" spans="20:20" ht="18.75" customHeight="1" x14ac:dyDescent="0.35">
      <c r="T25222" s="246">
        <f t="shared" si="432"/>
        <v>0</v>
      </c>
    </row>
    <row r="25223" spans="20:20" ht="18.75" customHeight="1" x14ac:dyDescent="0.35">
      <c r="T25223" s="246">
        <f t="shared" si="432"/>
        <v>0</v>
      </c>
    </row>
    <row r="25224" spans="20:20" ht="18.75" customHeight="1" x14ac:dyDescent="0.35">
      <c r="T25224" s="246">
        <f t="shared" si="432"/>
        <v>0</v>
      </c>
    </row>
    <row r="25225" spans="20:20" ht="18.75" customHeight="1" x14ac:dyDescent="0.35">
      <c r="T25225" s="246">
        <f t="shared" si="432"/>
        <v>0</v>
      </c>
    </row>
    <row r="25226" spans="20:20" ht="18.75" customHeight="1" x14ac:dyDescent="0.35">
      <c r="T25226" s="246">
        <f t="shared" si="432"/>
        <v>0</v>
      </c>
    </row>
    <row r="25227" spans="20:20" ht="18.75" customHeight="1" x14ac:dyDescent="0.35">
      <c r="T25227" s="246">
        <f t="shared" si="432"/>
        <v>0</v>
      </c>
    </row>
    <row r="25228" spans="20:20" ht="18.75" customHeight="1" x14ac:dyDescent="0.35">
      <c r="T25228" s="246">
        <f t="shared" si="432"/>
        <v>0</v>
      </c>
    </row>
    <row r="25229" spans="20:20" ht="18.75" customHeight="1" x14ac:dyDescent="0.35">
      <c r="T25229" s="246">
        <f t="shared" si="432"/>
        <v>0</v>
      </c>
    </row>
    <row r="25230" spans="20:20" ht="18.75" customHeight="1" x14ac:dyDescent="0.35">
      <c r="T25230" s="246">
        <f t="shared" si="432"/>
        <v>0</v>
      </c>
    </row>
    <row r="25231" spans="20:20" ht="18.75" customHeight="1" x14ac:dyDescent="0.35">
      <c r="T25231" s="246">
        <f t="shared" si="432"/>
        <v>0</v>
      </c>
    </row>
    <row r="25232" spans="20:20" ht="18.75" customHeight="1" x14ac:dyDescent="0.35">
      <c r="T25232" s="246">
        <f t="shared" si="432"/>
        <v>0</v>
      </c>
    </row>
    <row r="25233" spans="20:20" ht="18.75" customHeight="1" x14ac:dyDescent="0.35">
      <c r="T25233" s="246">
        <f t="shared" si="432"/>
        <v>0</v>
      </c>
    </row>
    <row r="25234" spans="20:20" ht="18.75" customHeight="1" x14ac:dyDescent="0.35">
      <c r="T25234" s="246">
        <f t="shared" si="432"/>
        <v>0</v>
      </c>
    </row>
    <row r="25235" spans="20:20" ht="18.75" customHeight="1" x14ac:dyDescent="0.35">
      <c r="T25235" s="246">
        <f t="shared" si="432"/>
        <v>0</v>
      </c>
    </row>
    <row r="25236" spans="20:20" ht="18.75" customHeight="1" x14ac:dyDescent="0.35">
      <c r="T25236" s="246">
        <f t="shared" si="432"/>
        <v>0</v>
      </c>
    </row>
    <row r="25237" spans="20:20" ht="18.75" customHeight="1" x14ac:dyDescent="0.35">
      <c r="T25237" s="246">
        <f t="shared" si="432"/>
        <v>0</v>
      </c>
    </row>
    <row r="25238" spans="20:20" ht="18.75" customHeight="1" x14ac:dyDescent="0.35">
      <c r="T25238" s="246">
        <f t="shared" si="432"/>
        <v>0</v>
      </c>
    </row>
    <row r="25239" spans="20:20" ht="18.75" customHeight="1" x14ac:dyDescent="0.35">
      <c r="T25239" s="246">
        <f t="shared" si="432"/>
        <v>0</v>
      </c>
    </row>
    <row r="25240" spans="20:20" ht="18.75" customHeight="1" x14ac:dyDescent="0.35">
      <c r="T25240" s="246">
        <f t="shared" si="432"/>
        <v>0</v>
      </c>
    </row>
    <row r="25241" spans="20:20" ht="18.75" customHeight="1" x14ac:dyDescent="0.35">
      <c r="T25241" s="246">
        <f t="shared" si="432"/>
        <v>0</v>
      </c>
    </row>
    <row r="25242" spans="20:20" ht="18.75" customHeight="1" x14ac:dyDescent="0.35">
      <c r="T25242" s="246">
        <f t="shared" si="432"/>
        <v>0</v>
      </c>
    </row>
    <row r="25243" spans="20:20" ht="18.75" customHeight="1" x14ac:dyDescent="0.35">
      <c r="T25243" s="246">
        <f t="shared" si="432"/>
        <v>0</v>
      </c>
    </row>
    <row r="25244" spans="20:20" ht="18.75" customHeight="1" x14ac:dyDescent="0.35">
      <c r="T25244" s="246">
        <f t="shared" si="432"/>
        <v>0</v>
      </c>
    </row>
    <row r="25245" spans="20:20" ht="18.75" customHeight="1" x14ac:dyDescent="0.35">
      <c r="T25245" s="246">
        <f t="shared" si="432"/>
        <v>0</v>
      </c>
    </row>
    <row r="25246" spans="20:20" ht="18.75" customHeight="1" x14ac:dyDescent="0.35">
      <c r="T25246" s="246">
        <f t="shared" si="432"/>
        <v>0</v>
      </c>
    </row>
    <row r="25247" spans="20:20" ht="18.75" customHeight="1" x14ac:dyDescent="0.35">
      <c r="T25247" s="246">
        <f t="shared" si="432"/>
        <v>0</v>
      </c>
    </row>
    <row r="25248" spans="20:20" ht="18.75" customHeight="1" x14ac:dyDescent="0.35">
      <c r="T25248" s="246">
        <f t="shared" si="432"/>
        <v>0</v>
      </c>
    </row>
    <row r="25249" spans="20:20" ht="18.75" customHeight="1" x14ac:dyDescent="0.35">
      <c r="T25249" s="246">
        <f t="shared" si="432"/>
        <v>0</v>
      </c>
    </row>
    <row r="25250" spans="20:20" ht="18.75" customHeight="1" x14ac:dyDescent="0.35">
      <c r="T25250" s="246">
        <f t="shared" si="432"/>
        <v>0</v>
      </c>
    </row>
    <row r="25251" spans="20:20" ht="18.75" customHeight="1" x14ac:dyDescent="0.35">
      <c r="T25251" s="246">
        <f t="shared" si="432"/>
        <v>0</v>
      </c>
    </row>
    <row r="25252" spans="20:20" ht="18.75" customHeight="1" x14ac:dyDescent="0.35">
      <c r="T25252" s="246">
        <f t="shared" si="432"/>
        <v>0</v>
      </c>
    </row>
    <row r="25253" spans="20:20" ht="18.75" customHeight="1" x14ac:dyDescent="0.35">
      <c r="T25253" s="246">
        <f t="shared" si="432"/>
        <v>0</v>
      </c>
    </row>
    <row r="25254" spans="20:20" ht="18.75" customHeight="1" x14ac:dyDescent="0.35">
      <c r="T25254" s="246">
        <f t="shared" si="432"/>
        <v>0</v>
      </c>
    </row>
    <row r="25255" spans="20:20" ht="18.75" customHeight="1" x14ac:dyDescent="0.35">
      <c r="T25255" s="246">
        <f t="shared" si="432"/>
        <v>0</v>
      </c>
    </row>
    <row r="25256" spans="20:20" ht="18.75" customHeight="1" x14ac:dyDescent="0.35">
      <c r="T25256" s="246">
        <f t="shared" si="432"/>
        <v>0</v>
      </c>
    </row>
    <row r="25257" spans="20:20" ht="18.75" customHeight="1" x14ac:dyDescent="0.35">
      <c r="T25257" s="246">
        <f t="shared" si="432"/>
        <v>0</v>
      </c>
    </row>
    <row r="25258" spans="20:20" ht="18.75" customHeight="1" x14ac:dyDescent="0.35">
      <c r="T25258" s="246">
        <f t="shared" si="432"/>
        <v>0</v>
      </c>
    </row>
    <row r="25259" spans="20:20" ht="18.75" customHeight="1" x14ac:dyDescent="0.35">
      <c r="T25259" s="246">
        <f t="shared" si="432"/>
        <v>0</v>
      </c>
    </row>
    <row r="25260" spans="20:20" ht="18.75" customHeight="1" x14ac:dyDescent="0.35">
      <c r="T25260" s="246">
        <f t="shared" si="432"/>
        <v>0</v>
      </c>
    </row>
    <row r="25261" spans="20:20" ht="18.75" customHeight="1" x14ac:dyDescent="0.35">
      <c r="T25261" s="246">
        <f t="shared" si="432"/>
        <v>0</v>
      </c>
    </row>
    <row r="25262" spans="20:20" ht="18.75" customHeight="1" x14ac:dyDescent="0.35">
      <c r="T25262" s="246">
        <f t="shared" si="432"/>
        <v>0</v>
      </c>
    </row>
    <row r="25263" spans="20:20" ht="18.75" customHeight="1" x14ac:dyDescent="0.35">
      <c r="T25263" s="246">
        <f t="shared" si="432"/>
        <v>0</v>
      </c>
    </row>
    <row r="25264" spans="20:20" ht="18.75" customHeight="1" x14ac:dyDescent="0.35">
      <c r="T25264" s="246">
        <f t="shared" si="432"/>
        <v>0</v>
      </c>
    </row>
    <row r="25265" spans="20:20" ht="18.75" customHeight="1" x14ac:dyDescent="0.35">
      <c r="T25265" s="246">
        <f t="shared" si="432"/>
        <v>0</v>
      </c>
    </row>
    <row r="25266" spans="20:20" ht="18.75" customHeight="1" x14ac:dyDescent="0.35">
      <c r="T25266" s="246">
        <f t="shared" si="432"/>
        <v>0</v>
      </c>
    </row>
    <row r="25267" spans="20:20" ht="18.75" customHeight="1" x14ac:dyDescent="0.35">
      <c r="T25267" s="246">
        <f t="shared" si="432"/>
        <v>0</v>
      </c>
    </row>
    <row r="25268" spans="20:20" ht="18.75" customHeight="1" x14ac:dyDescent="0.35">
      <c r="T25268" s="246">
        <f t="shared" si="432"/>
        <v>0</v>
      </c>
    </row>
    <row r="25269" spans="20:20" ht="18.75" customHeight="1" x14ac:dyDescent="0.35">
      <c r="T25269" s="246">
        <f t="shared" si="432"/>
        <v>0</v>
      </c>
    </row>
    <row r="25270" spans="20:20" ht="18.75" customHeight="1" x14ac:dyDescent="0.35">
      <c r="T25270" s="246">
        <f t="shared" si="432"/>
        <v>0</v>
      </c>
    </row>
    <row r="25271" spans="20:20" ht="18.75" customHeight="1" x14ac:dyDescent="0.35">
      <c r="T25271" s="246">
        <f t="shared" si="432"/>
        <v>0</v>
      </c>
    </row>
    <row r="25272" spans="20:20" ht="18.75" customHeight="1" x14ac:dyDescent="0.35">
      <c r="T25272" s="246">
        <f t="shared" si="432"/>
        <v>0</v>
      </c>
    </row>
    <row r="25273" spans="20:20" ht="18.75" customHeight="1" x14ac:dyDescent="0.35">
      <c r="T25273" s="246">
        <f t="shared" si="432"/>
        <v>0</v>
      </c>
    </row>
    <row r="25274" spans="20:20" ht="18.75" customHeight="1" x14ac:dyDescent="0.35">
      <c r="T25274" s="246">
        <f t="shared" si="432"/>
        <v>0</v>
      </c>
    </row>
    <row r="25275" spans="20:20" ht="18.75" customHeight="1" x14ac:dyDescent="0.35">
      <c r="T25275" s="246">
        <f t="shared" si="432"/>
        <v>0</v>
      </c>
    </row>
    <row r="25276" spans="20:20" ht="18.75" customHeight="1" x14ac:dyDescent="0.35">
      <c r="T25276" s="246">
        <f t="shared" ref="T25276:T25339" si="433">R25276*0.01</f>
        <v>0</v>
      </c>
    </row>
    <row r="25277" spans="20:20" ht="18.75" customHeight="1" x14ac:dyDescent="0.35">
      <c r="T25277" s="246">
        <f t="shared" si="433"/>
        <v>0</v>
      </c>
    </row>
    <row r="25278" spans="20:20" ht="18.75" customHeight="1" x14ac:dyDescent="0.35">
      <c r="T25278" s="246">
        <f t="shared" si="433"/>
        <v>0</v>
      </c>
    </row>
    <row r="25279" spans="20:20" ht="18.75" customHeight="1" x14ac:dyDescent="0.35">
      <c r="T25279" s="246">
        <f t="shared" si="433"/>
        <v>0</v>
      </c>
    </row>
    <row r="25280" spans="20:20" ht="18.75" customHeight="1" x14ac:dyDescent="0.35">
      <c r="T25280" s="246">
        <f t="shared" si="433"/>
        <v>0</v>
      </c>
    </row>
    <row r="25281" spans="20:20" ht="18.75" customHeight="1" x14ac:dyDescent="0.35">
      <c r="T25281" s="246">
        <f t="shared" si="433"/>
        <v>0</v>
      </c>
    </row>
    <row r="25282" spans="20:20" ht="18.75" customHeight="1" x14ac:dyDescent="0.35">
      <c r="T25282" s="246">
        <f t="shared" si="433"/>
        <v>0</v>
      </c>
    </row>
    <row r="25283" spans="20:20" ht="18.75" customHeight="1" x14ac:dyDescent="0.35">
      <c r="T25283" s="246">
        <f t="shared" si="433"/>
        <v>0</v>
      </c>
    </row>
    <row r="25284" spans="20:20" ht="18.75" customHeight="1" x14ac:dyDescent="0.35">
      <c r="T25284" s="246">
        <f t="shared" si="433"/>
        <v>0</v>
      </c>
    </row>
    <row r="25285" spans="20:20" ht="18.75" customHeight="1" x14ac:dyDescent="0.35">
      <c r="T25285" s="246">
        <f t="shared" si="433"/>
        <v>0</v>
      </c>
    </row>
    <row r="25286" spans="20:20" ht="18.75" customHeight="1" x14ac:dyDescent="0.35">
      <c r="T25286" s="246">
        <f t="shared" si="433"/>
        <v>0</v>
      </c>
    </row>
    <row r="25287" spans="20:20" ht="18.75" customHeight="1" x14ac:dyDescent="0.35">
      <c r="T25287" s="246">
        <f t="shared" si="433"/>
        <v>0</v>
      </c>
    </row>
    <row r="25288" spans="20:20" ht="18.75" customHeight="1" x14ac:dyDescent="0.35">
      <c r="T25288" s="246">
        <f t="shared" si="433"/>
        <v>0</v>
      </c>
    </row>
    <row r="25289" spans="20:20" ht="18.75" customHeight="1" x14ac:dyDescent="0.35">
      <c r="T25289" s="246">
        <f t="shared" si="433"/>
        <v>0</v>
      </c>
    </row>
    <row r="25290" spans="20:20" ht="18.75" customHeight="1" x14ac:dyDescent="0.35">
      <c r="T25290" s="246">
        <f t="shared" si="433"/>
        <v>0</v>
      </c>
    </row>
    <row r="25291" spans="20:20" ht="18.75" customHeight="1" x14ac:dyDescent="0.35">
      <c r="T25291" s="246">
        <f t="shared" si="433"/>
        <v>0</v>
      </c>
    </row>
    <row r="25292" spans="20:20" ht="18.75" customHeight="1" x14ac:dyDescent="0.35">
      <c r="T25292" s="246">
        <f t="shared" si="433"/>
        <v>0</v>
      </c>
    </row>
    <row r="25293" spans="20:20" ht="18.75" customHeight="1" x14ac:dyDescent="0.35">
      <c r="T25293" s="246">
        <f t="shared" si="433"/>
        <v>0</v>
      </c>
    </row>
    <row r="25294" spans="20:20" ht="18.75" customHeight="1" x14ac:dyDescent="0.35">
      <c r="T25294" s="246">
        <f t="shared" si="433"/>
        <v>0</v>
      </c>
    </row>
    <row r="25295" spans="20:20" ht="18.75" customHeight="1" x14ac:dyDescent="0.35">
      <c r="T25295" s="246">
        <f t="shared" si="433"/>
        <v>0</v>
      </c>
    </row>
    <row r="25296" spans="20:20" ht="18.75" customHeight="1" x14ac:dyDescent="0.35">
      <c r="T25296" s="246">
        <f t="shared" si="433"/>
        <v>0</v>
      </c>
    </row>
    <row r="25297" spans="20:20" ht="18.75" customHeight="1" x14ac:dyDescent="0.35">
      <c r="T25297" s="246">
        <f t="shared" si="433"/>
        <v>0</v>
      </c>
    </row>
    <row r="25298" spans="20:20" ht="18.75" customHeight="1" x14ac:dyDescent="0.35">
      <c r="T25298" s="246">
        <f t="shared" si="433"/>
        <v>0</v>
      </c>
    </row>
    <row r="25299" spans="20:20" ht="18.75" customHeight="1" x14ac:dyDescent="0.35">
      <c r="T25299" s="246">
        <f t="shared" si="433"/>
        <v>0</v>
      </c>
    </row>
    <row r="25300" spans="20:20" ht="18.75" customHeight="1" x14ac:dyDescent="0.35">
      <c r="T25300" s="246">
        <f t="shared" si="433"/>
        <v>0</v>
      </c>
    </row>
    <row r="25301" spans="20:20" ht="18.75" customHeight="1" x14ac:dyDescent="0.35">
      <c r="T25301" s="246">
        <f t="shared" si="433"/>
        <v>0</v>
      </c>
    </row>
    <row r="25302" spans="20:20" ht="18.75" customHeight="1" x14ac:dyDescent="0.35">
      <c r="T25302" s="246">
        <f t="shared" si="433"/>
        <v>0</v>
      </c>
    </row>
    <row r="25303" spans="20:20" ht="18.75" customHeight="1" x14ac:dyDescent="0.35">
      <c r="T25303" s="246">
        <f t="shared" si="433"/>
        <v>0</v>
      </c>
    </row>
    <row r="25304" spans="20:20" ht="18.75" customHeight="1" x14ac:dyDescent="0.35">
      <c r="T25304" s="246">
        <f t="shared" si="433"/>
        <v>0</v>
      </c>
    </row>
    <row r="25305" spans="20:20" ht="18.75" customHeight="1" x14ac:dyDescent="0.35">
      <c r="T25305" s="246">
        <f t="shared" si="433"/>
        <v>0</v>
      </c>
    </row>
    <row r="25306" spans="20:20" ht="18.75" customHeight="1" x14ac:dyDescent="0.35">
      <c r="T25306" s="246">
        <f t="shared" si="433"/>
        <v>0</v>
      </c>
    </row>
    <row r="25307" spans="20:20" ht="18.75" customHeight="1" x14ac:dyDescent="0.35">
      <c r="T25307" s="246">
        <f t="shared" si="433"/>
        <v>0</v>
      </c>
    </row>
    <row r="25308" spans="20:20" ht="18.75" customHeight="1" x14ac:dyDescent="0.35">
      <c r="T25308" s="246">
        <f t="shared" si="433"/>
        <v>0</v>
      </c>
    </row>
    <row r="25309" spans="20:20" ht="18.75" customHeight="1" x14ac:dyDescent="0.35">
      <c r="T25309" s="246">
        <f t="shared" si="433"/>
        <v>0</v>
      </c>
    </row>
    <row r="25310" spans="20:20" ht="18.75" customHeight="1" x14ac:dyDescent="0.35">
      <c r="T25310" s="246">
        <f t="shared" si="433"/>
        <v>0</v>
      </c>
    </row>
    <row r="25311" spans="20:20" ht="18.75" customHeight="1" x14ac:dyDescent="0.35">
      <c r="T25311" s="246">
        <f t="shared" si="433"/>
        <v>0</v>
      </c>
    </row>
    <row r="25312" spans="20:20" ht="18.75" customHeight="1" x14ac:dyDescent="0.35">
      <c r="T25312" s="246">
        <f t="shared" si="433"/>
        <v>0</v>
      </c>
    </row>
    <row r="25313" spans="20:20" ht="18.75" customHeight="1" x14ac:dyDescent="0.35">
      <c r="T25313" s="246">
        <f t="shared" si="433"/>
        <v>0</v>
      </c>
    </row>
    <row r="25314" spans="20:20" ht="18.75" customHeight="1" x14ac:dyDescent="0.35">
      <c r="T25314" s="246">
        <f t="shared" si="433"/>
        <v>0</v>
      </c>
    </row>
    <row r="25315" spans="20:20" ht="18.75" customHeight="1" x14ac:dyDescent="0.35">
      <c r="T25315" s="246">
        <f t="shared" si="433"/>
        <v>0</v>
      </c>
    </row>
    <row r="25316" spans="20:20" ht="18.75" customHeight="1" x14ac:dyDescent="0.35">
      <c r="T25316" s="246">
        <f t="shared" si="433"/>
        <v>0</v>
      </c>
    </row>
    <row r="25317" spans="20:20" ht="18.75" customHeight="1" x14ac:dyDescent="0.35">
      <c r="T25317" s="246">
        <f t="shared" si="433"/>
        <v>0</v>
      </c>
    </row>
    <row r="25318" spans="20:20" ht="18.75" customHeight="1" x14ac:dyDescent="0.35">
      <c r="T25318" s="246">
        <f t="shared" si="433"/>
        <v>0</v>
      </c>
    </row>
    <row r="25319" spans="20:20" ht="18.75" customHeight="1" x14ac:dyDescent="0.35">
      <c r="T25319" s="246">
        <f t="shared" si="433"/>
        <v>0</v>
      </c>
    </row>
    <row r="25320" spans="20:20" ht="18.75" customHeight="1" x14ac:dyDescent="0.35">
      <c r="T25320" s="246">
        <f t="shared" si="433"/>
        <v>0</v>
      </c>
    </row>
    <row r="25321" spans="20:20" ht="18.75" customHeight="1" x14ac:dyDescent="0.35">
      <c r="T25321" s="246">
        <f t="shared" si="433"/>
        <v>0</v>
      </c>
    </row>
    <row r="25322" spans="20:20" ht="18.75" customHeight="1" x14ac:dyDescent="0.35">
      <c r="T25322" s="246">
        <f t="shared" si="433"/>
        <v>0</v>
      </c>
    </row>
    <row r="25323" spans="20:20" ht="18.75" customHeight="1" x14ac:dyDescent="0.35">
      <c r="T25323" s="246">
        <f t="shared" si="433"/>
        <v>0</v>
      </c>
    </row>
    <row r="25324" spans="20:20" ht="18.75" customHeight="1" x14ac:dyDescent="0.35">
      <c r="T25324" s="246">
        <f t="shared" si="433"/>
        <v>0</v>
      </c>
    </row>
    <row r="25325" spans="20:20" ht="18.75" customHeight="1" x14ac:dyDescent="0.35">
      <c r="T25325" s="246">
        <f t="shared" si="433"/>
        <v>0</v>
      </c>
    </row>
    <row r="25326" spans="20:20" ht="18.75" customHeight="1" x14ac:dyDescent="0.35">
      <c r="T25326" s="246">
        <f t="shared" si="433"/>
        <v>0</v>
      </c>
    </row>
    <row r="25327" spans="20:20" ht="18.75" customHeight="1" x14ac:dyDescent="0.35">
      <c r="T25327" s="246">
        <f t="shared" si="433"/>
        <v>0</v>
      </c>
    </row>
    <row r="25328" spans="20:20" ht="18.75" customHeight="1" x14ac:dyDescent="0.35">
      <c r="T25328" s="246">
        <f t="shared" si="433"/>
        <v>0</v>
      </c>
    </row>
    <row r="25329" spans="20:20" ht="18.75" customHeight="1" x14ac:dyDescent="0.35">
      <c r="T25329" s="246">
        <f t="shared" si="433"/>
        <v>0</v>
      </c>
    </row>
    <row r="25330" spans="20:20" ht="18.75" customHeight="1" x14ac:dyDescent="0.35">
      <c r="T25330" s="246">
        <f t="shared" si="433"/>
        <v>0</v>
      </c>
    </row>
    <row r="25331" spans="20:20" ht="18.75" customHeight="1" x14ac:dyDescent="0.35">
      <c r="T25331" s="246">
        <f t="shared" si="433"/>
        <v>0</v>
      </c>
    </row>
    <row r="25332" spans="20:20" ht="18.75" customHeight="1" x14ac:dyDescent="0.35">
      <c r="T25332" s="246">
        <f t="shared" si="433"/>
        <v>0</v>
      </c>
    </row>
    <row r="25333" spans="20:20" ht="18.75" customHeight="1" x14ac:dyDescent="0.35">
      <c r="T25333" s="246">
        <f t="shared" si="433"/>
        <v>0</v>
      </c>
    </row>
    <row r="25334" spans="20:20" ht="18.75" customHeight="1" x14ac:dyDescent="0.35">
      <c r="T25334" s="246">
        <f t="shared" si="433"/>
        <v>0</v>
      </c>
    </row>
    <row r="25335" spans="20:20" ht="18.75" customHeight="1" x14ac:dyDescent="0.35">
      <c r="T25335" s="246">
        <f t="shared" si="433"/>
        <v>0</v>
      </c>
    </row>
    <row r="25336" spans="20:20" ht="18.75" customHeight="1" x14ac:dyDescent="0.35">
      <c r="T25336" s="246">
        <f t="shared" si="433"/>
        <v>0</v>
      </c>
    </row>
    <row r="25337" spans="20:20" ht="18.75" customHeight="1" x14ac:dyDescent="0.35">
      <c r="T25337" s="246">
        <f t="shared" si="433"/>
        <v>0</v>
      </c>
    </row>
    <row r="25338" spans="20:20" ht="18.75" customHeight="1" x14ac:dyDescent="0.35">
      <c r="T25338" s="246">
        <f t="shared" si="433"/>
        <v>0</v>
      </c>
    </row>
    <row r="25339" spans="20:20" ht="18.75" customHeight="1" x14ac:dyDescent="0.35">
      <c r="T25339" s="246">
        <f t="shared" si="433"/>
        <v>0</v>
      </c>
    </row>
    <row r="25340" spans="20:20" ht="18.75" customHeight="1" x14ac:dyDescent="0.35">
      <c r="T25340" s="246">
        <f t="shared" ref="T25340:T25403" si="434">R25340*0.01</f>
        <v>0</v>
      </c>
    </row>
    <row r="25341" spans="20:20" ht="18.75" customHeight="1" x14ac:dyDescent="0.35">
      <c r="T25341" s="246">
        <f t="shared" si="434"/>
        <v>0</v>
      </c>
    </row>
    <row r="25342" spans="20:20" ht="18.75" customHeight="1" x14ac:dyDescent="0.35">
      <c r="T25342" s="246">
        <f t="shared" si="434"/>
        <v>0</v>
      </c>
    </row>
    <row r="25343" spans="20:20" ht="18.75" customHeight="1" x14ac:dyDescent="0.35">
      <c r="T25343" s="246">
        <f t="shared" si="434"/>
        <v>0</v>
      </c>
    </row>
    <row r="25344" spans="20:20" ht="18.75" customHeight="1" x14ac:dyDescent="0.35">
      <c r="T25344" s="246">
        <f t="shared" si="434"/>
        <v>0</v>
      </c>
    </row>
    <row r="25345" spans="20:20" ht="18.75" customHeight="1" x14ac:dyDescent="0.35">
      <c r="T25345" s="246">
        <f t="shared" si="434"/>
        <v>0</v>
      </c>
    </row>
    <row r="25346" spans="20:20" ht="18.75" customHeight="1" x14ac:dyDescent="0.35">
      <c r="T25346" s="246">
        <f t="shared" si="434"/>
        <v>0</v>
      </c>
    </row>
    <row r="25347" spans="20:20" ht="18.75" customHeight="1" x14ac:dyDescent="0.35">
      <c r="T25347" s="246">
        <f t="shared" si="434"/>
        <v>0</v>
      </c>
    </row>
    <row r="25348" spans="20:20" ht="18.75" customHeight="1" x14ac:dyDescent="0.35">
      <c r="T25348" s="246">
        <f t="shared" si="434"/>
        <v>0</v>
      </c>
    </row>
    <row r="25349" spans="20:20" ht="18.75" customHeight="1" x14ac:dyDescent="0.35">
      <c r="T25349" s="246">
        <f t="shared" si="434"/>
        <v>0</v>
      </c>
    </row>
    <row r="25350" spans="20:20" ht="18.75" customHeight="1" x14ac:dyDescent="0.35">
      <c r="T25350" s="246">
        <f t="shared" si="434"/>
        <v>0</v>
      </c>
    </row>
    <row r="25351" spans="20:20" ht="18.75" customHeight="1" x14ac:dyDescent="0.35">
      <c r="T25351" s="246">
        <f t="shared" si="434"/>
        <v>0</v>
      </c>
    </row>
    <row r="25352" spans="20:20" ht="18.75" customHeight="1" x14ac:dyDescent="0.35">
      <c r="T25352" s="246">
        <f t="shared" si="434"/>
        <v>0</v>
      </c>
    </row>
    <row r="25353" spans="20:20" ht="18.75" customHeight="1" x14ac:dyDescent="0.35">
      <c r="T25353" s="246">
        <f t="shared" si="434"/>
        <v>0</v>
      </c>
    </row>
    <row r="25354" spans="20:20" ht="18.75" customHeight="1" x14ac:dyDescent="0.35">
      <c r="T25354" s="246">
        <f t="shared" si="434"/>
        <v>0</v>
      </c>
    </row>
    <row r="25355" spans="20:20" ht="18.75" customHeight="1" x14ac:dyDescent="0.35">
      <c r="T25355" s="246">
        <f t="shared" si="434"/>
        <v>0</v>
      </c>
    </row>
    <row r="25356" spans="20:20" ht="18.75" customHeight="1" x14ac:dyDescent="0.35">
      <c r="T25356" s="246">
        <f t="shared" si="434"/>
        <v>0</v>
      </c>
    </row>
    <row r="25357" spans="20:20" ht="18.75" customHeight="1" x14ac:dyDescent="0.35">
      <c r="T25357" s="246">
        <f t="shared" si="434"/>
        <v>0</v>
      </c>
    </row>
    <row r="25358" spans="20:20" ht="18.75" customHeight="1" x14ac:dyDescent="0.35">
      <c r="T25358" s="246">
        <f t="shared" si="434"/>
        <v>0</v>
      </c>
    </row>
    <row r="25359" spans="20:20" ht="18.75" customHeight="1" x14ac:dyDescent="0.35">
      <c r="T25359" s="246">
        <f t="shared" si="434"/>
        <v>0</v>
      </c>
    </row>
    <row r="25360" spans="20:20" ht="18.75" customHeight="1" x14ac:dyDescent="0.35">
      <c r="T25360" s="246">
        <f t="shared" si="434"/>
        <v>0</v>
      </c>
    </row>
    <row r="25361" spans="20:20" ht="18.75" customHeight="1" x14ac:dyDescent="0.35">
      <c r="T25361" s="246">
        <f t="shared" si="434"/>
        <v>0</v>
      </c>
    </row>
    <row r="25362" spans="20:20" ht="18.75" customHeight="1" x14ac:dyDescent="0.35">
      <c r="T25362" s="246">
        <f t="shared" si="434"/>
        <v>0</v>
      </c>
    </row>
    <row r="25363" spans="20:20" ht="18.75" customHeight="1" x14ac:dyDescent="0.35">
      <c r="T25363" s="246">
        <f t="shared" si="434"/>
        <v>0</v>
      </c>
    </row>
    <row r="25364" spans="20:20" ht="18.75" customHeight="1" x14ac:dyDescent="0.35">
      <c r="T25364" s="246">
        <f t="shared" si="434"/>
        <v>0</v>
      </c>
    </row>
    <row r="25365" spans="20:20" ht="18.75" customHeight="1" x14ac:dyDescent="0.35">
      <c r="T25365" s="246">
        <f t="shared" si="434"/>
        <v>0</v>
      </c>
    </row>
    <row r="25366" spans="20:20" ht="18.75" customHeight="1" x14ac:dyDescent="0.35">
      <c r="T25366" s="246">
        <f t="shared" si="434"/>
        <v>0</v>
      </c>
    </row>
    <row r="25367" spans="20:20" ht="18.75" customHeight="1" x14ac:dyDescent="0.35">
      <c r="T25367" s="246">
        <f t="shared" si="434"/>
        <v>0</v>
      </c>
    </row>
    <row r="25368" spans="20:20" ht="18.75" customHeight="1" x14ac:dyDescent="0.35">
      <c r="T25368" s="246">
        <f t="shared" si="434"/>
        <v>0</v>
      </c>
    </row>
    <row r="25369" spans="20:20" ht="18.75" customHeight="1" x14ac:dyDescent="0.35">
      <c r="T25369" s="246">
        <f t="shared" si="434"/>
        <v>0</v>
      </c>
    </row>
    <row r="25370" spans="20:20" ht="18.75" customHeight="1" x14ac:dyDescent="0.35">
      <c r="T25370" s="246">
        <f t="shared" si="434"/>
        <v>0</v>
      </c>
    </row>
    <row r="25371" spans="20:20" ht="18.75" customHeight="1" x14ac:dyDescent="0.35">
      <c r="T25371" s="246">
        <f t="shared" si="434"/>
        <v>0</v>
      </c>
    </row>
    <row r="25372" spans="20:20" ht="18.75" customHeight="1" x14ac:dyDescent="0.35">
      <c r="T25372" s="246">
        <f t="shared" si="434"/>
        <v>0</v>
      </c>
    </row>
    <row r="25373" spans="20:20" ht="18.75" customHeight="1" x14ac:dyDescent="0.35">
      <c r="T25373" s="246">
        <f t="shared" si="434"/>
        <v>0</v>
      </c>
    </row>
    <row r="25374" spans="20:20" ht="18.75" customHeight="1" x14ac:dyDescent="0.35">
      <c r="T25374" s="246">
        <f t="shared" si="434"/>
        <v>0</v>
      </c>
    </row>
    <row r="25375" spans="20:20" ht="18.75" customHeight="1" x14ac:dyDescent="0.35">
      <c r="T25375" s="246">
        <f t="shared" si="434"/>
        <v>0</v>
      </c>
    </row>
    <row r="25376" spans="20:20" ht="18.75" customHeight="1" x14ac:dyDescent="0.35">
      <c r="T25376" s="246">
        <f t="shared" si="434"/>
        <v>0</v>
      </c>
    </row>
    <row r="25377" spans="20:20" ht="18.75" customHeight="1" x14ac:dyDescent="0.35">
      <c r="T25377" s="246">
        <f t="shared" si="434"/>
        <v>0</v>
      </c>
    </row>
    <row r="25378" spans="20:20" ht="18.75" customHeight="1" x14ac:dyDescent="0.35">
      <c r="T25378" s="246">
        <f t="shared" si="434"/>
        <v>0</v>
      </c>
    </row>
    <row r="25379" spans="20:20" ht="18.75" customHeight="1" x14ac:dyDescent="0.35">
      <c r="T25379" s="246">
        <f t="shared" si="434"/>
        <v>0</v>
      </c>
    </row>
    <row r="25380" spans="20:20" ht="18.75" customHeight="1" x14ac:dyDescent="0.35">
      <c r="T25380" s="246">
        <f t="shared" si="434"/>
        <v>0</v>
      </c>
    </row>
    <row r="25381" spans="20:20" ht="18.75" customHeight="1" x14ac:dyDescent="0.35">
      <c r="T25381" s="246">
        <f t="shared" si="434"/>
        <v>0</v>
      </c>
    </row>
    <row r="25382" spans="20:20" ht="18.75" customHeight="1" x14ac:dyDescent="0.35">
      <c r="T25382" s="246">
        <f t="shared" si="434"/>
        <v>0</v>
      </c>
    </row>
    <row r="25383" spans="20:20" ht="18.75" customHeight="1" x14ac:dyDescent="0.35">
      <c r="T25383" s="246">
        <f t="shared" si="434"/>
        <v>0</v>
      </c>
    </row>
    <row r="25384" spans="20:20" ht="18.75" customHeight="1" x14ac:dyDescent="0.35">
      <c r="T25384" s="246">
        <f t="shared" si="434"/>
        <v>0</v>
      </c>
    </row>
    <row r="25385" spans="20:20" ht="18.75" customHeight="1" x14ac:dyDescent="0.35">
      <c r="T25385" s="246">
        <f t="shared" si="434"/>
        <v>0</v>
      </c>
    </row>
    <row r="25386" spans="20:20" ht="18.75" customHeight="1" x14ac:dyDescent="0.35">
      <c r="T25386" s="246">
        <f t="shared" si="434"/>
        <v>0</v>
      </c>
    </row>
    <row r="25387" spans="20:20" ht="18.75" customHeight="1" x14ac:dyDescent="0.35">
      <c r="T25387" s="246">
        <f t="shared" si="434"/>
        <v>0</v>
      </c>
    </row>
    <row r="25388" spans="20:20" ht="18.75" customHeight="1" x14ac:dyDescent="0.35">
      <c r="T25388" s="246">
        <f t="shared" si="434"/>
        <v>0</v>
      </c>
    </row>
    <row r="25389" spans="20:20" ht="18.75" customHeight="1" x14ac:dyDescent="0.35">
      <c r="T25389" s="246">
        <f t="shared" si="434"/>
        <v>0</v>
      </c>
    </row>
    <row r="25390" spans="20:20" ht="18.75" customHeight="1" x14ac:dyDescent="0.35">
      <c r="T25390" s="246">
        <f t="shared" si="434"/>
        <v>0</v>
      </c>
    </row>
    <row r="25391" spans="20:20" ht="18.75" customHeight="1" x14ac:dyDescent="0.35">
      <c r="T25391" s="246">
        <f t="shared" si="434"/>
        <v>0</v>
      </c>
    </row>
    <row r="25392" spans="20:20" ht="18.75" customHeight="1" x14ac:dyDescent="0.35">
      <c r="T25392" s="246">
        <f t="shared" si="434"/>
        <v>0</v>
      </c>
    </row>
    <row r="25393" spans="20:20" ht="18.75" customHeight="1" x14ac:dyDescent="0.35">
      <c r="T25393" s="246">
        <f t="shared" si="434"/>
        <v>0</v>
      </c>
    </row>
    <row r="25394" spans="20:20" ht="18.75" customHeight="1" x14ac:dyDescent="0.35">
      <c r="T25394" s="246">
        <f t="shared" si="434"/>
        <v>0</v>
      </c>
    </row>
    <row r="25395" spans="20:20" ht="18.75" customHeight="1" x14ac:dyDescent="0.35">
      <c r="T25395" s="246">
        <f t="shared" si="434"/>
        <v>0</v>
      </c>
    </row>
    <row r="25396" spans="20:20" ht="18.75" customHeight="1" x14ac:dyDescent="0.35">
      <c r="T25396" s="246">
        <f t="shared" si="434"/>
        <v>0</v>
      </c>
    </row>
    <row r="25397" spans="20:20" ht="18.75" customHeight="1" x14ac:dyDescent="0.35">
      <c r="T25397" s="246">
        <f t="shared" si="434"/>
        <v>0</v>
      </c>
    </row>
    <row r="25398" spans="20:20" ht="18.75" customHeight="1" x14ac:dyDescent="0.35">
      <c r="T25398" s="246">
        <f t="shared" si="434"/>
        <v>0</v>
      </c>
    </row>
    <row r="25399" spans="20:20" ht="18.75" customHeight="1" x14ac:dyDescent="0.35">
      <c r="T25399" s="246">
        <f t="shared" si="434"/>
        <v>0</v>
      </c>
    </row>
    <row r="25400" spans="20:20" ht="18.75" customHeight="1" x14ac:dyDescent="0.35">
      <c r="T25400" s="246">
        <f t="shared" si="434"/>
        <v>0</v>
      </c>
    </row>
    <row r="25401" spans="20:20" ht="18.75" customHeight="1" x14ac:dyDescent="0.35">
      <c r="T25401" s="246">
        <f t="shared" si="434"/>
        <v>0</v>
      </c>
    </row>
    <row r="25402" spans="20:20" ht="18.75" customHeight="1" x14ac:dyDescent="0.35">
      <c r="T25402" s="246">
        <f t="shared" si="434"/>
        <v>0</v>
      </c>
    </row>
    <row r="25403" spans="20:20" ht="18.75" customHeight="1" x14ac:dyDescent="0.35">
      <c r="T25403" s="246">
        <f t="shared" si="434"/>
        <v>0</v>
      </c>
    </row>
    <row r="25404" spans="20:20" ht="18.75" customHeight="1" x14ac:dyDescent="0.35">
      <c r="T25404" s="246">
        <f t="shared" ref="T25404:T25467" si="435">R25404*0.01</f>
        <v>0</v>
      </c>
    </row>
    <row r="25405" spans="20:20" ht="18.75" customHeight="1" x14ac:dyDescent="0.35">
      <c r="T25405" s="246">
        <f t="shared" si="435"/>
        <v>0</v>
      </c>
    </row>
    <row r="25406" spans="20:20" ht="18.75" customHeight="1" x14ac:dyDescent="0.35">
      <c r="T25406" s="246">
        <f t="shared" si="435"/>
        <v>0</v>
      </c>
    </row>
    <row r="25407" spans="20:20" ht="18.75" customHeight="1" x14ac:dyDescent="0.35">
      <c r="T25407" s="246">
        <f t="shared" si="435"/>
        <v>0</v>
      </c>
    </row>
    <row r="25408" spans="20:20" ht="18.75" customHeight="1" x14ac:dyDescent="0.35">
      <c r="T25408" s="246">
        <f t="shared" si="435"/>
        <v>0</v>
      </c>
    </row>
    <row r="25409" spans="20:20" ht="18.75" customHeight="1" x14ac:dyDescent="0.35">
      <c r="T25409" s="246">
        <f t="shared" si="435"/>
        <v>0</v>
      </c>
    </row>
    <row r="25410" spans="20:20" ht="18.75" customHeight="1" x14ac:dyDescent="0.35">
      <c r="T25410" s="246">
        <f t="shared" si="435"/>
        <v>0</v>
      </c>
    </row>
    <row r="25411" spans="20:20" ht="18.75" customHeight="1" x14ac:dyDescent="0.35">
      <c r="T25411" s="246">
        <f t="shared" si="435"/>
        <v>0</v>
      </c>
    </row>
    <row r="25412" spans="20:20" ht="18.75" customHeight="1" x14ac:dyDescent="0.35">
      <c r="T25412" s="246">
        <f t="shared" si="435"/>
        <v>0</v>
      </c>
    </row>
    <row r="25413" spans="20:20" ht="18.75" customHeight="1" x14ac:dyDescent="0.35">
      <c r="T25413" s="246">
        <f t="shared" si="435"/>
        <v>0</v>
      </c>
    </row>
    <row r="25414" spans="20:20" ht="18.75" customHeight="1" x14ac:dyDescent="0.35">
      <c r="T25414" s="246">
        <f t="shared" si="435"/>
        <v>0</v>
      </c>
    </row>
    <row r="25415" spans="20:20" ht="18.75" customHeight="1" x14ac:dyDescent="0.35">
      <c r="T25415" s="246">
        <f t="shared" si="435"/>
        <v>0</v>
      </c>
    </row>
    <row r="25416" spans="20:20" ht="18.75" customHeight="1" x14ac:dyDescent="0.35">
      <c r="T25416" s="246">
        <f t="shared" si="435"/>
        <v>0</v>
      </c>
    </row>
    <row r="25417" spans="20:20" ht="18.75" customHeight="1" x14ac:dyDescent="0.35">
      <c r="T25417" s="246">
        <f t="shared" si="435"/>
        <v>0</v>
      </c>
    </row>
    <row r="25418" spans="20:20" ht="18.75" customHeight="1" x14ac:dyDescent="0.35">
      <c r="T25418" s="246">
        <f t="shared" si="435"/>
        <v>0</v>
      </c>
    </row>
    <row r="25419" spans="20:20" ht="18.75" customHeight="1" x14ac:dyDescent="0.35">
      <c r="T25419" s="246">
        <f t="shared" si="435"/>
        <v>0</v>
      </c>
    </row>
    <row r="25420" spans="20:20" ht="18.75" customHeight="1" x14ac:dyDescent="0.35">
      <c r="T25420" s="246">
        <f t="shared" si="435"/>
        <v>0</v>
      </c>
    </row>
    <row r="25421" spans="20:20" ht="18.75" customHeight="1" x14ac:dyDescent="0.35">
      <c r="T25421" s="246">
        <f t="shared" si="435"/>
        <v>0</v>
      </c>
    </row>
    <row r="25422" spans="20:20" ht="18.75" customHeight="1" x14ac:dyDescent="0.35">
      <c r="T25422" s="246">
        <f t="shared" si="435"/>
        <v>0</v>
      </c>
    </row>
    <row r="25423" spans="20:20" ht="18.75" customHeight="1" x14ac:dyDescent="0.35">
      <c r="T25423" s="246">
        <f t="shared" si="435"/>
        <v>0</v>
      </c>
    </row>
    <row r="25424" spans="20:20" ht="18.75" customHeight="1" x14ac:dyDescent="0.35">
      <c r="T25424" s="246">
        <f t="shared" si="435"/>
        <v>0</v>
      </c>
    </row>
    <row r="25425" spans="20:20" ht="18.75" customHeight="1" x14ac:dyDescent="0.35">
      <c r="T25425" s="246">
        <f t="shared" si="435"/>
        <v>0</v>
      </c>
    </row>
    <row r="25426" spans="20:20" ht="18.75" customHeight="1" x14ac:dyDescent="0.35">
      <c r="T25426" s="246">
        <f t="shared" si="435"/>
        <v>0</v>
      </c>
    </row>
    <row r="25427" spans="20:20" ht="18.75" customHeight="1" x14ac:dyDescent="0.35">
      <c r="T25427" s="246">
        <f t="shared" si="435"/>
        <v>0</v>
      </c>
    </row>
    <row r="25428" spans="20:20" ht="18.75" customHeight="1" x14ac:dyDescent="0.35">
      <c r="T25428" s="246">
        <f t="shared" si="435"/>
        <v>0</v>
      </c>
    </row>
    <row r="25429" spans="20:20" ht="18.75" customHeight="1" x14ac:dyDescent="0.35">
      <c r="T25429" s="246">
        <f t="shared" si="435"/>
        <v>0</v>
      </c>
    </row>
    <row r="25430" spans="20:20" ht="18.75" customHeight="1" x14ac:dyDescent="0.35">
      <c r="T25430" s="246">
        <f t="shared" si="435"/>
        <v>0</v>
      </c>
    </row>
    <row r="25431" spans="20:20" ht="18.75" customHeight="1" x14ac:dyDescent="0.35">
      <c r="T25431" s="246">
        <f t="shared" si="435"/>
        <v>0</v>
      </c>
    </row>
    <row r="25432" spans="20:20" ht="18.75" customHeight="1" x14ac:dyDescent="0.35">
      <c r="T25432" s="246">
        <f t="shared" si="435"/>
        <v>0</v>
      </c>
    </row>
    <row r="25433" spans="20:20" ht="18.75" customHeight="1" x14ac:dyDescent="0.35">
      <c r="T25433" s="246">
        <f t="shared" si="435"/>
        <v>0</v>
      </c>
    </row>
    <row r="25434" spans="20:20" ht="18.75" customHeight="1" x14ac:dyDescent="0.35">
      <c r="T25434" s="246">
        <f t="shared" si="435"/>
        <v>0</v>
      </c>
    </row>
    <row r="25435" spans="20:20" ht="18.75" customHeight="1" x14ac:dyDescent="0.35">
      <c r="T25435" s="246">
        <f t="shared" si="435"/>
        <v>0</v>
      </c>
    </row>
    <row r="25436" spans="20:20" ht="18.75" customHeight="1" x14ac:dyDescent="0.35">
      <c r="T25436" s="246">
        <f t="shared" si="435"/>
        <v>0</v>
      </c>
    </row>
    <row r="25437" spans="20:20" ht="18.75" customHeight="1" x14ac:dyDescent="0.35">
      <c r="T25437" s="246">
        <f t="shared" si="435"/>
        <v>0</v>
      </c>
    </row>
    <row r="25438" spans="20:20" ht="18.75" customHeight="1" x14ac:dyDescent="0.35">
      <c r="T25438" s="246">
        <f t="shared" si="435"/>
        <v>0</v>
      </c>
    </row>
    <row r="25439" spans="20:20" ht="18.75" customHeight="1" x14ac:dyDescent="0.35">
      <c r="T25439" s="246">
        <f t="shared" si="435"/>
        <v>0</v>
      </c>
    </row>
    <row r="25440" spans="20:20" ht="18.75" customHeight="1" x14ac:dyDescent="0.35">
      <c r="T25440" s="246">
        <f t="shared" si="435"/>
        <v>0</v>
      </c>
    </row>
    <row r="25441" spans="20:20" ht="18.75" customHeight="1" x14ac:dyDescent="0.35">
      <c r="T25441" s="246">
        <f t="shared" si="435"/>
        <v>0</v>
      </c>
    </row>
    <row r="25442" spans="20:20" ht="18.75" customHeight="1" x14ac:dyDescent="0.35">
      <c r="T25442" s="246">
        <f t="shared" si="435"/>
        <v>0</v>
      </c>
    </row>
    <row r="25443" spans="20:20" ht="18.75" customHeight="1" x14ac:dyDescent="0.35">
      <c r="T25443" s="246">
        <f t="shared" si="435"/>
        <v>0</v>
      </c>
    </row>
    <row r="25444" spans="20:20" ht="18.75" customHeight="1" x14ac:dyDescent="0.35">
      <c r="T25444" s="246">
        <f t="shared" si="435"/>
        <v>0</v>
      </c>
    </row>
    <row r="25445" spans="20:20" ht="18.75" customHeight="1" x14ac:dyDescent="0.35">
      <c r="T25445" s="246">
        <f t="shared" si="435"/>
        <v>0</v>
      </c>
    </row>
    <row r="25446" spans="20:20" ht="18.75" customHeight="1" x14ac:dyDescent="0.35">
      <c r="T25446" s="246">
        <f t="shared" si="435"/>
        <v>0</v>
      </c>
    </row>
    <row r="25447" spans="20:20" ht="18.75" customHeight="1" x14ac:dyDescent="0.35">
      <c r="T25447" s="246">
        <f t="shared" si="435"/>
        <v>0</v>
      </c>
    </row>
    <row r="25448" spans="20:20" ht="18.75" customHeight="1" x14ac:dyDescent="0.35">
      <c r="T25448" s="246">
        <f t="shared" si="435"/>
        <v>0</v>
      </c>
    </row>
    <row r="25449" spans="20:20" ht="18.75" customHeight="1" x14ac:dyDescent="0.35">
      <c r="T25449" s="246">
        <f t="shared" si="435"/>
        <v>0</v>
      </c>
    </row>
    <row r="25450" spans="20:20" ht="18.75" customHeight="1" x14ac:dyDescent="0.35">
      <c r="T25450" s="246">
        <f t="shared" si="435"/>
        <v>0</v>
      </c>
    </row>
    <row r="25451" spans="20:20" ht="18.75" customHeight="1" x14ac:dyDescent="0.35">
      <c r="T25451" s="246">
        <f t="shared" si="435"/>
        <v>0</v>
      </c>
    </row>
    <row r="25452" spans="20:20" ht="18.75" customHeight="1" x14ac:dyDescent="0.35">
      <c r="T25452" s="246">
        <f t="shared" si="435"/>
        <v>0</v>
      </c>
    </row>
    <row r="25453" spans="20:20" ht="18.75" customHeight="1" x14ac:dyDescent="0.35">
      <c r="T25453" s="246">
        <f t="shared" si="435"/>
        <v>0</v>
      </c>
    </row>
    <row r="25454" spans="20:20" ht="18.75" customHeight="1" x14ac:dyDescent="0.35">
      <c r="T25454" s="246">
        <f t="shared" si="435"/>
        <v>0</v>
      </c>
    </row>
    <row r="25455" spans="20:20" ht="18.75" customHeight="1" x14ac:dyDescent="0.35">
      <c r="T25455" s="246">
        <f t="shared" si="435"/>
        <v>0</v>
      </c>
    </row>
    <row r="25456" spans="20:20" ht="18.75" customHeight="1" x14ac:dyDescent="0.35">
      <c r="T25456" s="246">
        <f t="shared" si="435"/>
        <v>0</v>
      </c>
    </row>
    <row r="25457" spans="20:20" ht="18.75" customHeight="1" x14ac:dyDescent="0.35">
      <c r="T25457" s="246">
        <f t="shared" si="435"/>
        <v>0</v>
      </c>
    </row>
    <row r="25458" spans="20:20" ht="18.75" customHeight="1" x14ac:dyDescent="0.35">
      <c r="T25458" s="246">
        <f t="shared" si="435"/>
        <v>0</v>
      </c>
    </row>
    <row r="25459" spans="20:20" ht="18.75" customHeight="1" x14ac:dyDescent="0.35">
      <c r="T25459" s="246">
        <f t="shared" si="435"/>
        <v>0</v>
      </c>
    </row>
    <row r="25460" spans="20:20" ht="18.75" customHeight="1" x14ac:dyDescent="0.35">
      <c r="T25460" s="246">
        <f t="shared" si="435"/>
        <v>0</v>
      </c>
    </row>
    <row r="25461" spans="20:20" ht="18.75" customHeight="1" x14ac:dyDescent="0.35">
      <c r="T25461" s="246">
        <f t="shared" si="435"/>
        <v>0</v>
      </c>
    </row>
    <row r="25462" spans="20:20" ht="18.75" customHeight="1" x14ac:dyDescent="0.35">
      <c r="T25462" s="246">
        <f t="shared" si="435"/>
        <v>0</v>
      </c>
    </row>
    <row r="25463" spans="20:20" ht="18.75" customHeight="1" x14ac:dyDescent="0.35">
      <c r="T25463" s="246">
        <f t="shared" si="435"/>
        <v>0</v>
      </c>
    </row>
    <row r="25464" spans="20:20" ht="18.75" customHeight="1" x14ac:dyDescent="0.35">
      <c r="T25464" s="246">
        <f t="shared" si="435"/>
        <v>0</v>
      </c>
    </row>
    <row r="25465" spans="20:20" ht="18.75" customHeight="1" x14ac:dyDescent="0.35">
      <c r="T25465" s="246">
        <f t="shared" si="435"/>
        <v>0</v>
      </c>
    </row>
    <row r="25466" spans="20:20" ht="18.75" customHeight="1" x14ac:dyDescent="0.35">
      <c r="T25466" s="246">
        <f t="shared" si="435"/>
        <v>0</v>
      </c>
    </row>
    <row r="25467" spans="20:20" ht="18.75" customHeight="1" x14ac:dyDescent="0.35">
      <c r="T25467" s="246">
        <f t="shared" si="435"/>
        <v>0</v>
      </c>
    </row>
    <row r="25468" spans="20:20" ht="18.75" customHeight="1" x14ac:dyDescent="0.35">
      <c r="T25468" s="246">
        <f t="shared" ref="T25468:T25531" si="436">R25468*0.01</f>
        <v>0</v>
      </c>
    </row>
    <row r="25469" spans="20:20" ht="18.75" customHeight="1" x14ac:dyDescent="0.35">
      <c r="T25469" s="246">
        <f t="shared" si="436"/>
        <v>0</v>
      </c>
    </row>
    <row r="25470" spans="20:20" ht="18.75" customHeight="1" x14ac:dyDescent="0.35">
      <c r="T25470" s="246">
        <f t="shared" si="436"/>
        <v>0</v>
      </c>
    </row>
    <row r="25471" spans="20:20" ht="18.75" customHeight="1" x14ac:dyDescent="0.35">
      <c r="T25471" s="246">
        <f t="shared" si="436"/>
        <v>0</v>
      </c>
    </row>
    <row r="25472" spans="20:20" ht="18.75" customHeight="1" x14ac:dyDescent="0.35">
      <c r="T25472" s="246">
        <f t="shared" si="436"/>
        <v>0</v>
      </c>
    </row>
    <row r="25473" spans="20:20" ht="18.75" customHeight="1" x14ac:dyDescent="0.35">
      <c r="T25473" s="246">
        <f t="shared" si="436"/>
        <v>0</v>
      </c>
    </row>
    <row r="25474" spans="20:20" ht="18.75" customHeight="1" x14ac:dyDescent="0.35">
      <c r="T25474" s="246">
        <f t="shared" si="436"/>
        <v>0</v>
      </c>
    </row>
    <row r="25475" spans="20:20" ht="18.75" customHeight="1" x14ac:dyDescent="0.35">
      <c r="T25475" s="246">
        <f t="shared" si="436"/>
        <v>0</v>
      </c>
    </row>
    <row r="25476" spans="20:20" ht="18.75" customHeight="1" x14ac:dyDescent="0.35">
      <c r="T25476" s="246">
        <f t="shared" si="436"/>
        <v>0</v>
      </c>
    </row>
    <row r="25477" spans="20:20" ht="18.75" customHeight="1" x14ac:dyDescent="0.35">
      <c r="T25477" s="246">
        <f t="shared" si="436"/>
        <v>0</v>
      </c>
    </row>
    <row r="25478" spans="20:20" ht="18.75" customHeight="1" x14ac:dyDescent="0.35">
      <c r="T25478" s="246">
        <f t="shared" si="436"/>
        <v>0</v>
      </c>
    </row>
    <row r="25479" spans="20:20" ht="18.75" customHeight="1" x14ac:dyDescent="0.35">
      <c r="T25479" s="246">
        <f t="shared" si="436"/>
        <v>0</v>
      </c>
    </row>
    <row r="25480" spans="20:20" ht="18.75" customHeight="1" x14ac:dyDescent="0.35">
      <c r="T25480" s="246">
        <f t="shared" si="436"/>
        <v>0</v>
      </c>
    </row>
    <row r="25481" spans="20:20" ht="18.75" customHeight="1" x14ac:dyDescent="0.35">
      <c r="T25481" s="246">
        <f t="shared" si="436"/>
        <v>0</v>
      </c>
    </row>
    <row r="25482" spans="20:20" ht="18.75" customHeight="1" x14ac:dyDescent="0.35">
      <c r="T25482" s="246">
        <f t="shared" si="436"/>
        <v>0</v>
      </c>
    </row>
    <row r="25483" spans="20:20" ht="18.75" customHeight="1" x14ac:dyDescent="0.35">
      <c r="T25483" s="246">
        <f t="shared" si="436"/>
        <v>0</v>
      </c>
    </row>
    <row r="25484" spans="20:20" ht="18.75" customHeight="1" x14ac:dyDescent="0.35">
      <c r="T25484" s="246">
        <f t="shared" si="436"/>
        <v>0</v>
      </c>
    </row>
    <row r="25485" spans="20:20" ht="18.75" customHeight="1" x14ac:dyDescent="0.35">
      <c r="T25485" s="246">
        <f t="shared" si="436"/>
        <v>0</v>
      </c>
    </row>
    <row r="25486" spans="20:20" ht="18.75" customHeight="1" x14ac:dyDescent="0.35">
      <c r="T25486" s="246">
        <f t="shared" si="436"/>
        <v>0</v>
      </c>
    </row>
    <row r="25487" spans="20:20" ht="18.75" customHeight="1" x14ac:dyDescent="0.35">
      <c r="T25487" s="246">
        <f t="shared" si="436"/>
        <v>0</v>
      </c>
    </row>
    <row r="25488" spans="20:20" ht="18.75" customHeight="1" x14ac:dyDescent="0.35">
      <c r="T25488" s="246">
        <f t="shared" si="436"/>
        <v>0</v>
      </c>
    </row>
    <row r="25489" spans="20:20" ht="18.75" customHeight="1" x14ac:dyDescent="0.35">
      <c r="T25489" s="246">
        <f t="shared" si="436"/>
        <v>0</v>
      </c>
    </row>
    <row r="25490" spans="20:20" ht="18.75" customHeight="1" x14ac:dyDescent="0.35">
      <c r="T25490" s="246">
        <f t="shared" si="436"/>
        <v>0</v>
      </c>
    </row>
    <row r="25491" spans="20:20" ht="18.75" customHeight="1" x14ac:dyDescent="0.35">
      <c r="T25491" s="246">
        <f t="shared" si="436"/>
        <v>0</v>
      </c>
    </row>
    <row r="25492" spans="20:20" ht="18.75" customHeight="1" x14ac:dyDescent="0.35">
      <c r="T25492" s="246">
        <f t="shared" si="436"/>
        <v>0</v>
      </c>
    </row>
    <row r="25493" spans="20:20" ht="18.75" customHeight="1" x14ac:dyDescent="0.35">
      <c r="T25493" s="246">
        <f t="shared" si="436"/>
        <v>0</v>
      </c>
    </row>
    <row r="25494" spans="20:20" ht="18.75" customHeight="1" x14ac:dyDescent="0.35">
      <c r="T25494" s="246">
        <f t="shared" si="436"/>
        <v>0</v>
      </c>
    </row>
    <row r="25495" spans="20:20" ht="18.75" customHeight="1" x14ac:dyDescent="0.35">
      <c r="T25495" s="246">
        <f t="shared" si="436"/>
        <v>0</v>
      </c>
    </row>
    <row r="25496" spans="20:20" ht="18.75" customHeight="1" x14ac:dyDescent="0.35">
      <c r="T25496" s="246">
        <f t="shared" si="436"/>
        <v>0</v>
      </c>
    </row>
    <row r="25497" spans="20:20" ht="18.75" customHeight="1" x14ac:dyDescent="0.35">
      <c r="T25497" s="246">
        <f t="shared" si="436"/>
        <v>0</v>
      </c>
    </row>
    <row r="25498" spans="20:20" ht="18.75" customHeight="1" x14ac:dyDescent="0.35">
      <c r="T25498" s="246">
        <f t="shared" si="436"/>
        <v>0</v>
      </c>
    </row>
    <row r="25499" spans="20:20" ht="18.75" customHeight="1" x14ac:dyDescent="0.35">
      <c r="T25499" s="246">
        <f t="shared" si="436"/>
        <v>0</v>
      </c>
    </row>
    <row r="25500" spans="20:20" ht="18.75" customHeight="1" x14ac:dyDescent="0.35">
      <c r="T25500" s="246">
        <f t="shared" si="436"/>
        <v>0</v>
      </c>
    </row>
    <row r="25501" spans="20:20" ht="18.75" customHeight="1" x14ac:dyDescent="0.35">
      <c r="T25501" s="246">
        <f t="shared" si="436"/>
        <v>0</v>
      </c>
    </row>
    <row r="25502" spans="20:20" ht="18.75" customHeight="1" x14ac:dyDescent="0.35">
      <c r="T25502" s="246">
        <f t="shared" si="436"/>
        <v>0</v>
      </c>
    </row>
    <row r="25503" spans="20:20" ht="18.75" customHeight="1" x14ac:dyDescent="0.35">
      <c r="T25503" s="246">
        <f t="shared" si="436"/>
        <v>0</v>
      </c>
    </row>
    <row r="25504" spans="20:20" ht="18.75" customHeight="1" x14ac:dyDescent="0.35">
      <c r="T25504" s="246">
        <f t="shared" si="436"/>
        <v>0</v>
      </c>
    </row>
    <row r="25505" spans="20:20" ht="18.75" customHeight="1" x14ac:dyDescent="0.35">
      <c r="T25505" s="246">
        <f t="shared" si="436"/>
        <v>0</v>
      </c>
    </row>
    <row r="25506" spans="20:20" ht="18.75" customHeight="1" x14ac:dyDescent="0.35">
      <c r="T25506" s="246">
        <f t="shared" si="436"/>
        <v>0</v>
      </c>
    </row>
    <row r="25507" spans="20:20" ht="18.75" customHeight="1" x14ac:dyDescent="0.35">
      <c r="T25507" s="246">
        <f t="shared" si="436"/>
        <v>0</v>
      </c>
    </row>
    <row r="25508" spans="20:20" ht="18.75" customHeight="1" x14ac:dyDescent="0.35">
      <c r="T25508" s="246">
        <f t="shared" si="436"/>
        <v>0</v>
      </c>
    </row>
    <row r="25509" spans="20:20" ht="18.75" customHeight="1" x14ac:dyDescent="0.35">
      <c r="T25509" s="246">
        <f t="shared" si="436"/>
        <v>0</v>
      </c>
    </row>
    <row r="25510" spans="20:20" ht="18.75" customHeight="1" x14ac:dyDescent="0.35">
      <c r="T25510" s="246">
        <f t="shared" si="436"/>
        <v>0</v>
      </c>
    </row>
    <row r="25511" spans="20:20" ht="18.75" customHeight="1" x14ac:dyDescent="0.35">
      <c r="T25511" s="246">
        <f t="shared" si="436"/>
        <v>0</v>
      </c>
    </row>
    <row r="25512" spans="20:20" ht="18.75" customHeight="1" x14ac:dyDescent="0.35">
      <c r="T25512" s="246">
        <f t="shared" si="436"/>
        <v>0</v>
      </c>
    </row>
    <row r="25513" spans="20:20" ht="18.75" customHeight="1" x14ac:dyDescent="0.35">
      <c r="T25513" s="246">
        <f t="shared" si="436"/>
        <v>0</v>
      </c>
    </row>
    <row r="25514" spans="20:20" ht="18.75" customHeight="1" x14ac:dyDescent="0.35">
      <c r="T25514" s="246">
        <f t="shared" si="436"/>
        <v>0</v>
      </c>
    </row>
    <row r="25515" spans="20:20" ht="18.75" customHeight="1" x14ac:dyDescent="0.35">
      <c r="T25515" s="246">
        <f t="shared" si="436"/>
        <v>0</v>
      </c>
    </row>
    <row r="25516" spans="20:20" ht="18.75" customHeight="1" x14ac:dyDescent="0.35">
      <c r="T25516" s="246">
        <f t="shared" si="436"/>
        <v>0</v>
      </c>
    </row>
    <row r="25517" spans="20:20" ht="18.75" customHeight="1" x14ac:dyDescent="0.35">
      <c r="T25517" s="246">
        <f t="shared" si="436"/>
        <v>0</v>
      </c>
    </row>
    <row r="25518" spans="20:20" ht="18.75" customHeight="1" x14ac:dyDescent="0.35">
      <c r="T25518" s="246">
        <f t="shared" si="436"/>
        <v>0</v>
      </c>
    </row>
    <row r="25519" spans="20:20" ht="18.75" customHeight="1" x14ac:dyDescent="0.35">
      <c r="T25519" s="246">
        <f t="shared" si="436"/>
        <v>0</v>
      </c>
    </row>
    <row r="25520" spans="20:20" ht="18.75" customHeight="1" x14ac:dyDescent="0.35">
      <c r="T25520" s="246">
        <f t="shared" si="436"/>
        <v>0</v>
      </c>
    </row>
    <row r="25521" spans="20:20" ht="18.75" customHeight="1" x14ac:dyDescent="0.35">
      <c r="T25521" s="246">
        <f t="shared" si="436"/>
        <v>0</v>
      </c>
    </row>
    <row r="25522" spans="20:20" ht="18.75" customHeight="1" x14ac:dyDescent="0.35">
      <c r="T25522" s="246">
        <f t="shared" si="436"/>
        <v>0</v>
      </c>
    </row>
    <row r="25523" spans="20:20" ht="18.75" customHeight="1" x14ac:dyDescent="0.35">
      <c r="T25523" s="246">
        <f t="shared" si="436"/>
        <v>0</v>
      </c>
    </row>
    <row r="25524" spans="20:20" ht="18.75" customHeight="1" x14ac:dyDescent="0.35">
      <c r="T25524" s="246">
        <f t="shared" si="436"/>
        <v>0</v>
      </c>
    </row>
    <row r="25525" spans="20:20" ht="18.75" customHeight="1" x14ac:dyDescent="0.35">
      <c r="T25525" s="246">
        <f t="shared" si="436"/>
        <v>0</v>
      </c>
    </row>
    <row r="25526" spans="20:20" ht="18.75" customHeight="1" x14ac:dyDescent="0.35">
      <c r="T25526" s="246">
        <f t="shared" si="436"/>
        <v>0</v>
      </c>
    </row>
    <row r="25527" spans="20:20" ht="18.75" customHeight="1" x14ac:dyDescent="0.35">
      <c r="T25527" s="246">
        <f t="shared" si="436"/>
        <v>0</v>
      </c>
    </row>
    <row r="25528" spans="20:20" ht="18.75" customHeight="1" x14ac:dyDescent="0.35">
      <c r="T25528" s="246">
        <f t="shared" si="436"/>
        <v>0</v>
      </c>
    </row>
    <row r="25529" spans="20:20" ht="18.75" customHeight="1" x14ac:dyDescent="0.35">
      <c r="T25529" s="246">
        <f t="shared" si="436"/>
        <v>0</v>
      </c>
    </row>
    <row r="25530" spans="20:20" ht="18.75" customHeight="1" x14ac:dyDescent="0.35">
      <c r="T25530" s="246">
        <f t="shared" si="436"/>
        <v>0</v>
      </c>
    </row>
    <row r="25531" spans="20:20" ht="18.75" customHeight="1" x14ac:dyDescent="0.35">
      <c r="T25531" s="246">
        <f t="shared" si="436"/>
        <v>0</v>
      </c>
    </row>
    <row r="25532" spans="20:20" ht="18.75" customHeight="1" x14ac:dyDescent="0.35">
      <c r="T25532" s="246">
        <f t="shared" ref="T25532:T25595" si="437">R25532*0.01</f>
        <v>0</v>
      </c>
    </row>
    <row r="25533" spans="20:20" ht="18.75" customHeight="1" x14ac:dyDescent="0.35">
      <c r="T25533" s="246">
        <f t="shared" si="437"/>
        <v>0</v>
      </c>
    </row>
    <row r="25534" spans="20:20" ht="18.75" customHeight="1" x14ac:dyDescent="0.35">
      <c r="T25534" s="246">
        <f t="shared" si="437"/>
        <v>0</v>
      </c>
    </row>
    <row r="25535" spans="20:20" ht="18.75" customHeight="1" x14ac:dyDescent="0.35">
      <c r="T25535" s="246">
        <f t="shared" si="437"/>
        <v>0</v>
      </c>
    </row>
    <row r="25536" spans="20:20" ht="18.75" customHeight="1" x14ac:dyDescent="0.35">
      <c r="T25536" s="246">
        <f t="shared" si="437"/>
        <v>0</v>
      </c>
    </row>
    <row r="25537" spans="20:20" ht="18.75" customHeight="1" x14ac:dyDescent="0.35">
      <c r="T25537" s="246">
        <f t="shared" si="437"/>
        <v>0</v>
      </c>
    </row>
    <row r="25538" spans="20:20" ht="18.75" customHeight="1" x14ac:dyDescent="0.35">
      <c r="T25538" s="246">
        <f t="shared" si="437"/>
        <v>0</v>
      </c>
    </row>
    <row r="25539" spans="20:20" ht="18.75" customHeight="1" x14ac:dyDescent="0.35">
      <c r="T25539" s="246">
        <f t="shared" si="437"/>
        <v>0</v>
      </c>
    </row>
    <row r="25540" spans="20:20" ht="18.75" customHeight="1" x14ac:dyDescent="0.35">
      <c r="T25540" s="246">
        <f t="shared" si="437"/>
        <v>0</v>
      </c>
    </row>
    <row r="25541" spans="20:20" ht="18.75" customHeight="1" x14ac:dyDescent="0.35">
      <c r="T25541" s="246">
        <f t="shared" si="437"/>
        <v>0</v>
      </c>
    </row>
    <row r="25542" spans="20:20" ht="18.75" customHeight="1" x14ac:dyDescent="0.35">
      <c r="T25542" s="246">
        <f t="shared" si="437"/>
        <v>0</v>
      </c>
    </row>
    <row r="25543" spans="20:20" ht="18.75" customHeight="1" x14ac:dyDescent="0.35">
      <c r="T25543" s="246">
        <f t="shared" si="437"/>
        <v>0</v>
      </c>
    </row>
    <row r="25544" spans="20:20" ht="18.75" customHeight="1" x14ac:dyDescent="0.35">
      <c r="T25544" s="246">
        <f t="shared" si="437"/>
        <v>0</v>
      </c>
    </row>
    <row r="25545" spans="20:20" ht="18.75" customHeight="1" x14ac:dyDescent="0.35">
      <c r="T25545" s="246">
        <f t="shared" si="437"/>
        <v>0</v>
      </c>
    </row>
    <row r="25546" spans="20:20" ht="18.75" customHeight="1" x14ac:dyDescent="0.35">
      <c r="T25546" s="246">
        <f t="shared" si="437"/>
        <v>0</v>
      </c>
    </row>
    <row r="25547" spans="20:20" ht="18.75" customHeight="1" x14ac:dyDescent="0.35">
      <c r="T25547" s="246">
        <f t="shared" si="437"/>
        <v>0</v>
      </c>
    </row>
    <row r="25548" spans="20:20" ht="18.75" customHeight="1" x14ac:dyDescent="0.35">
      <c r="T25548" s="246">
        <f t="shared" si="437"/>
        <v>0</v>
      </c>
    </row>
    <row r="25549" spans="20:20" ht="18.75" customHeight="1" x14ac:dyDescent="0.35">
      <c r="T25549" s="246">
        <f t="shared" si="437"/>
        <v>0</v>
      </c>
    </row>
    <row r="25550" spans="20:20" ht="18.75" customHeight="1" x14ac:dyDescent="0.35">
      <c r="T25550" s="246">
        <f t="shared" si="437"/>
        <v>0</v>
      </c>
    </row>
    <row r="25551" spans="20:20" ht="18.75" customHeight="1" x14ac:dyDescent="0.35">
      <c r="T25551" s="246">
        <f t="shared" si="437"/>
        <v>0</v>
      </c>
    </row>
    <row r="25552" spans="20:20" ht="18.75" customHeight="1" x14ac:dyDescent="0.35">
      <c r="T25552" s="246">
        <f t="shared" si="437"/>
        <v>0</v>
      </c>
    </row>
    <row r="25553" spans="20:20" ht="18.75" customHeight="1" x14ac:dyDescent="0.35">
      <c r="T25553" s="246">
        <f t="shared" si="437"/>
        <v>0</v>
      </c>
    </row>
    <row r="25554" spans="20:20" ht="18.75" customHeight="1" x14ac:dyDescent="0.35">
      <c r="T25554" s="246">
        <f t="shared" si="437"/>
        <v>0</v>
      </c>
    </row>
    <row r="25555" spans="20:20" ht="18.75" customHeight="1" x14ac:dyDescent="0.35">
      <c r="T25555" s="246">
        <f t="shared" si="437"/>
        <v>0</v>
      </c>
    </row>
    <row r="25556" spans="20:20" ht="18.75" customHeight="1" x14ac:dyDescent="0.35">
      <c r="T25556" s="246">
        <f t="shared" si="437"/>
        <v>0</v>
      </c>
    </row>
    <row r="25557" spans="20:20" ht="18.75" customHeight="1" x14ac:dyDescent="0.35">
      <c r="T25557" s="246">
        <f t="shared" si="437"/>
        <v>0</v>
      </c>
    </row>
    <row r="25558" spans="20:20" ht="18.75" customHeight="1" x14ac:dyDescent="0.35">
      <c r="T25558" s="246">
        <f t="shared" si="437"/>
        <v>0</v>
      </c>
    </row>
    <row r="25559" spans="20:20" ht="18.75" customHeight="1" x14ac:dyDescent="0.35">
      <c r="T25559" s="246">
        <f t="shared" si="437"/>
        <v>0</v>
      </c>
    </row>
    <row r="25560" spans="20:20" ht="18.75" customHeight="1" x14ac:dyDescent="0.35">
      <c r="T25560" s="246">
        <f t="shared" si="437"/>
        <v>0</v>
      </c>
    </row>
    <row r="25561" spans="20:20" ht="18.75" customHeight="1" x14ac:dyDescent="0.35">
      <c r="T25561" s="246">
        <f t="shared" si="437"/>
        <v>0</v>
      </c>
    </row>
    <row r="25562" spans="20:20" ht="18.75" customHeight="1" x14ac:dyDescent="0.35">
      <c r="T25562" s="246">
        <f t="shared" si="437"/>
        <v>0</v>
      </c>
    </row>
    <row r="25563" spans="20:20" ht="18.75" customHeight="1" x14ac:dyDescent="0.35">
      <c r="T25563" s="246">
        <f t="shared" si="437"/>
        <v>0</v>
      </c>
    </row>
    <row r="25564" spans="20:20" ht="18.75" customHeight="1" x14ac:dyDescent="0.35">
      <c r="T25564" s="246">
        <f t="shared" si="437"/>
        <v>0</v>
      </c>
    </row>
    <row r="25565" spans="20:20" ht="18.75" customHeight="1" x14ac:dyDescent="0.35">
      <c r="T25565" s="246">
        <f t="shared" si="437"/>
        <v>0</v>
      </c>
    </row>
    <row r="25566" spans="20:20" ht="18.75" customHeight="1" x14ac:dyDescent="0.35">
      <c r="T25566" s="246">
        <f t="shared" si="437"/>
        <v>0</v>
      </c>
    </row>
    <row r="25567" spans="20:20" ht="18.75" customHeight="1" x14ac:dyDescent="0.35">
      <c r="T25567" s="246">
        <f t="shared" si="437"/>
        <v>0</v>
      </c>
    </row>
    <row r="25568" spans="20:20" ht="18.75" customHeight="1" x14ac:dyDescent="0.35">
      <c r="T25568" s="246">
        <f t="shared" si="437"/>
        <v>0</v>
      </c>
    </row>
    <row r="25569" spans="20:20" ht="18.75" customHeight="1" x14ac:dyDescent="0.35">
      <c r="T25569" s="246">
        <f t="shared" si="437"/>
        <v>0</v>
      </c>
    </row>
    <row r="25570" spans="20:20" ht="18.75" customHeight="1" x14ac:dyDescent="0.35">
      <c r="T25570" s="246">
        <f t="shared" si="437"/>
        <v>0</v>
      </c>
    </row>
    <row r="25571" spans="20:20" ht="18.75" customHeight="1" x14ac:dyDescent="0.35">
      <c r="T25571" s="246">
        <f t="shared" si="437"/>
        <v>0</v>
      </c>
    </row>
    <row r="25572" spans="20:20" ht="18.75" customHeight="1" x14ac:dyDescent="0.35">
      <c r="T25572" s="246">
        <f t="shared" si="437"/>
        <v>0</v>
      </c>
    </row>
    <row r="25573" spans="20:20" ht="18.75" customHeight="1" x14ac:dyDescent="0.35">
      <c r="T25573" s="246">
        <f t="shared" si="437"/>
        <v>0</v>
      </c>
    </row>
    <row r="25574" spans="20:20" ht="18.75" customHeight="1" x14ac:dyDescent="0.35">
      <c r="T25574" s="246">
        <f t="shared" si="437"/>
        <v>0</v>
      </c>
    </row>
    <row r="25575" spans="20:20" ht="18.75" customHeight="1" x14ac:dyDescent="0.35">
      <c r="T25575" s="246">
        <f t="shared" si="437"/>
        <v>0</v>
      </c>
    </row>
    <row r="25576" spans="20:20" ht="18.75" customHeight="1" x14ac:dyDescent="0.35">
      <c r="T25576" s="246">
        <f t="shared" si="437"/>
        <v>0</v>
      </c>
    </row>
    <row r="25577" spans="20:20" ht="18.75" customHeight="1" x14ac:dyDescent="0.35">
      <c r="T25577" s="246">
        <f t="shared" si="437"/>
        <v>0</v>
      </c>
    </row>
    <row r="25578" spans="20:20" ht="18.75" customHeight="1" x14ac:dyDescent="0.35">
      <c r="T25578" s="246">
        <f t="shared" si="437"/>
        <v>0</v>
      </c>
    </row>
    <row r="25579" spans="20:20" ht="18.75" customHeight="1" x14ac:dyDescent="0.35">
      <c r="T25579" s="246">
        <f t="shared" si="437"/>
        <v>0</v>
      </c>
    </row>
    <row r="25580" spans="20:20" ht="18.75" customHeight="1" x14ac:dyDescent="0.35">
      <c r="T25580" s="246">
        <f t="shared" si="437"/>
        <v>0</v>
      </c>
    </row>
    <row r="25581" spans="20:20" ht="18.75" customHeight="1" x14ac:dyDescent="0.35">
      <c r="T25581" s="246">
        <f t="shared" si="437"/>
        <v>0</v>
      </c>
    </row>
    <row r="25582" spans="20:20" ht="18.75" customHeight="1" x14ac:dyDescent="0.35">
      <c r="T25582" s="246">
        <f t="shared" si="437"/>
        <v>0</v>
      </c>
    </row>
    <row r="25583" spans="20:20" ht="18.75" customHeight="1" x14ac:dyDescent="0.35">
      <c r="T25583" s="246">
        <f t="shared" si="437"/>
        <v>0</v>
      </c>
    </row>
    <row r="25584" spans="20:20" ht="18.75" customHeight="1" x14ac:dyDescent="0.35">
      <c r="T25584" s="246">
        <f t="shared" si="437"/>
        <v>0</v>
      </c>
    </row>
    <row r="25585" spans="20:20" ht="18.75" customHeight="1" x14ac:dyDescent="0.35">
      <c r="T25585" s="246">
        <f t="shared" si="437"/>
        <v>0</v>
      </c>
    </row>
    <row r="25586" spans="20:20" ht="18.75" customHeight="1" x14ac:dyDescent="0.35">
      <c r="T25586" s="246">
        <f t="shared" si="437"/>
        <v>0</v>
      </c>
    </row>
    <row r="25587" spans="20:20" ht="18.75" customHeight="1" x14ac:dyDescent="0.35">
      <c r="T25587" s="246">
        <f t="shared" si="437"/>
        <v>0</v>
      </c>
    </row>
    <row r="25588" spans="20:20" ht="18.75" customHeight="1" x14ac:dyDescent="0.35">
      <c r="T25588" s="246">
        <f t="shared" si="437"/>
        <v>0</v>
      </c>
    </row>
    <row r="25589" spans="20:20" ht="18.75" customHeight="1" x14ac:dyDescent="0.35">
      <c r="T25589" s="246">
        <f t="shared" si="437"/>
        <v>0</v>
      </c>
    </row>
    <row r="25590" spans="20:20" ht="18.75" customHeight="1" x14ac:dyDescent="0.35">
      <c r="T25590" s="246">
        <f t="shared" si="437"/>
        <v>0</v>
      </c>
    </row>
    <row r="25591" spans="20:20" ht="18.75" customHeight="1" x14ac:dyDescent="0.35">
      <c r="T25591" s="246">
        <f t="shared" si="437"/>
        <v>0</v>
      </c>
    </row>
    <row r="25592" spans="20:20" ht="18.75" customHeight="1" x14ac:dyDescent="0.35">
      <c r="T25592" s="246">
        <f t="shared" si="437"/>
        <v>0</v>
      </c>
    </row>
    <row r="25593" spans="20:20" ht="18.75" customHeight="1" x14ac:dyDescent="0.35">
      <c r="T25593" s="246">
        <f t="shared" si="437"/>
        <v>0</v>
      </c>
    </row>
    <row r="25594" spans="20:20" ht="18.75" customHeight="1" x14ac:dyDescent="0.35">
      <c r="T25594" s="246">
        <f t="shared" si="437"/>
        <v>0</v>
      </c>
    </row>
    <row r="25595" spans="20:20" ht="18.75" customHeight="1" x14ac:dyDescent="0.35">
      <c r="T25595" s="246">
        <f t="shared" si="437"/>
        <v>0</v>
      </c>
    </row>
    <row r="25596" spans="20:20" ht="18.75" customHeight="1" x14ac:dyDescent="0.35">
      <c r="T25596" s="246">
        <f t="shared" ref="T25596:T25659" si="438">R25596*0.01</f>
        <v>0</v>
      </c>
    </row>
    <row r="25597" spans="20:20" ht="18.75" customHeight="1" x14ac:dyDescent="0.35">
      <c r="T25597" s="246">
        <f t="shared" si="438"/>
        <v>0</v>
      </c>
    </row>
    <row r="25598" spans="20:20" ht="18.75" customHeight="1" x14ac:dyDescent="0.35">
      <c r="T25598" s="246">
        <f t="shared" si="438"/>
        <v>0</v>
      </c>
    </row>
    <row r="25599" spans="20:20" ht="18.75" customHeight="1" x14ac:dyDescent="0.35">
      <c r="T25599" s="246">
        <f t="shared" si="438"/>
        <v>0</v>
      </c>
    </row>
    <row r="25600" spans="20:20" ht="18.75" customHeight="1" x14ac:dyDescent="0.35">
      <c r="T25600" s="246">
        <f t="shared" si="438"/>
        <v>0</v>
      </c>
    </row>
    <row r="25601" spans="20:20" ht="18.75" customHeight="1" x14ac:dyDescent="0.35">
      <c r="T25601" s="246">
        <f t="shared" si="438"/>
        <v>0</v>
      </c>
    </row>
    <row r="25602" spans="20:20" ht="18.75" customHeight="1" x14ac:dyDescent="0.35">
      <c r="T25602" s="246">
        <f t="shared" si="438"/>
        <v>0</v>
      </c>
    </row>
    <row r="25603" spans="20:20" ht="18.75" customHeight="1" x14ac:dyDescent="0.35">
      <c r="T25603" s="246">
        <f t="shared" si="438"/>
        <v>0</v>
      </c>
    </row>
    <row r="25604" spans="20:20" ht="18.75" customHeight="1" x14ac:dyDescent="0.35">
      <c r="T25604" s="246">
        <f t="shared" si="438"/>
        <v>0</v>
      </c>
    </row>
    <row r="25605" spans="20:20" ht="18.75" customHeight="1" x14ac:dyDescent="0.35">
      <c r="T25605" s="246">
        <f t="shared" si="438"/>
        <v>0</v>
      </c>
    </row>
    <row r="25606" spans="20:20" ht="18.75" customHeight="1" x14ac:dyDescent="0.35">
      <c r="T25606" s="246">
        <f t="shared" si="438"/>
        <v>0</v>
      </c>
    </row>
    <row r="25607" spans="20:20" ht="18.75" customHeight="1" x14ac:dyDescent="0.35">
      <c r="T25607" s="246">
        <f t="shared" si="438"/>
        <v>0</v>
      </c>
    </row>
    <row r="25608" spans="20:20" ht="18.75" customHeight="1" x14ac:dyDescent="0.35">
      <c r="T25608" s="246">
        <f t="shared" si="438"/>
        <v>0</v>
      </c>
    </row>
    <row r="25609" spans="20:20" ht="18.75" customHeight="1" x14ac:dyDescent="0.35">
      <c r="T25609" s="246">
        <f t="shared" si="438"/>
        <v>0</v>
      </c>
    </row>
    <row r="25610" spans="20:20" ht="18.75" customHeight="1" x14ac:dyDescent="0.35">
      <c r="T25610" s="246">
        <f t="shared" si="438"/>
        <v>0</v>
      </c>
    </row>
    <row r="25611" spans="20:20" ht="18.75" customHeight="1" x14ac:dyDescent="0.35">
      <c r="T25611" s="246">
        <f t="shared" si="438"/>
        <v>0</v>
      </c>
    </row>
    <row r="25612" spans="20:20" ht="18.75" customHeight="1" x14ac:dyDescent="0.35">
      <c r="T25612" s="246">
        <f t="shared" si="438"/>
        <v>0</v>
      </c>
    </row>
    <row r="25613" spans="20:20" ht="18.75" customHeight="1" x14ac:dyDescent="0.35">
      <c r="T25613" s="246">
        <f t="shared" si="438"/>
        <v>0</v>
      </c>
    </row>
    <row r="25614" spans="20:20" ht="18.75" customHeight="1" x14ac:dyDescent="0.35">
      <c r="T25614" s="246">
        <f t="shared" si="438"/>
        <v>0</v>
      </c>
    </row>
    <row r="25615" spans="20:20" ht="18.75" customHeight="1" x14ac:dyDescent="0.35">
      <c r="T25615" s="246">
        <f t="shared" si="438"/>
        <v>0</v>
      </c>
    </row>
    <row r="25616" spans="20:20" ht="18.75" customHeight="1" x14ac:dyDescent="0.35">
      <c r="T25616" s="246">
        <f t="shared" si="438"/>
        <v>0</v>
      </c>
    </row>
    <row r="25617" spans="20:20" ht="18.75" customHeight="1" x14ac:dyDescent="0.35">
      <c r="T25617" s="246">
        <f t="shared" si="438"/>
        <v>0</v>
      </c>
    </row>
    <row r="25618" spans="20:20" ht="18.75" customHeight="1" x14ac:dyDescent="0.35">
      <c r="T25618" s="246">
        <f t="shared" si="438"/>
        <v>0</v>
      </c>
    </row>
    <row r="25619" spans="20:20" ht="18.75" customHeight="1" x14ac:dyDescent="0.35">
      <c r="T25619" s="246">
        <f t="shared" si="438"/>
        <v>0</v>
      </c>
    </row>
    <row r="25620" spans="20:20" ht="18.75" customHeight="1" x14ac:dyDescent="0.35">
      <c r="T25620" s="246">
        <f t="shared" si="438"/>
        <v>0</v>
      </c>
    </row>
    <row r="25621" spans="20:20" ht="18.75" customHeight="1" x14ac:dyDescent="0.35">
      <c r="T25621" s="246">
        <f t="shared" si="438"/>
        <v>0</v>
      </c>
    </row>
    <row r="25622" spans="20:20" ht="18.75" customHeight="1" x14ac:dyDescent="0.35">
      <c r="T25622" s="246">
        <f t="shared" si="438"/>
        <v>0</v>
      </c>
    </row>
    <row r="25623" spans="20:20" ht="18.75" customHeight="1" x14ac:dyDescent="0.35">
      <c r="T25623" s="246">
        <f t="shared" si="438"/>
        <v>0</v>
      </c>
    </row>
    <row r="25624" spans="20:20" ht="18.75" customHeight="1" x14ac:dyDescent="0.35">
      <c r="T25624" s="246">
        <f t="shared" si="438"/>
        <v>0</v>
      </c>
    </row>
    <row r="25625" spans="20:20" ht="18.75" customHeight="1" x14ac:dyDescent="0.35">
      <c r="T25625" s="246">
        <f t="shared" si="438"/>
        <v>0</v>
      </c>
    </row>
    <row r="25626" spans="20:20" ht="18.75" customHeight="1" x14ac:dyDescent="0.35">
      <c r="T25626" s="246">
        <f t="shared" si="438"/>
        <v>0</v>
      </c>
    </row>
    <row r="25627" spans="20:20" ht="18.75" customHeight="1" x14ac:dyDescent="0.35">
      <c r="T25627" s="246">
        <f t="shared" si="438"/>
        <v>0</v>
      </c>
    </row>
    <row r="25628" spans="20:20" ht="18.75" customHeight="1" x14ac:dyDescent="0.35">
      <c r="T25628" s="246">
        <f t="shared" si="438"/>
        <v>0</v>
      </c>
    </row>
    <row r="25629" spans="20:20" ht="18.75" customHeight="1" x14ac:dyDescent="0.35">
      <c r="T25629" s="246">
        <f t="shared" si="438"/>
        <v>0</v>
      </c>
    </row>
    <row r="25630" spans="20:20" ht="18.75" customHeight="1" x14ac:dyDescent="0.35">
      <c r="T25630" s="246">
        <f t="shared" si="438"/>
        <v>0</v>
      </c>
    </row>
    <row r="25631" spans="20:20" ht="18.75" customHeight="1" x14ac:dyDescent="0.35">
      <c r="T25631" s="246">
        <f t="shared" si="438"/>
        <v>0</v>
      </c>
    </row>
    <row r="25632" spans="20:20" ht="18.75" customHeight="1" x14ac:dyDescent="0.35">
      <c r="T25632" s="246">
        <f t="shared" si="438"/>
        <v>0</v>
      </c>
    </row>
    <row r="25633" spans="20:20" ht="18.75" customHeight="1" x14ac:dyDescent="0.35">
      <c r="T25633" s="246">
        <f t="shared" si="438"/>
        <v>0</v>
      </c>
    </row>
    <row r="25634" spans="20:20" ht="18.75" customHeight="1" x14ac:dyDescent="0.35">
      <c r="T25634" s="246">
        <f t="shared" si="438"/>
        <v>0</v>
      </c>
    </row>
    <row r="25635" spans="20:20" ht="18.75" customHeight="1" x14ac:dyDescent="0.35">
      <c r="T25635" s="246">
        <f t="shared" si="438"/>
        <v>0</v>
      </c>
    </row>
    <row r="25636" spans="20:20" ht="18.75" customHeight="1" x14ac:dyDescent="0.35">
      <c r="T25636" s="246">
        <f t="shared" si="438"/>
        <v>0</v>
      </c>
    </row>
    <row r="25637" spans="20:20" ht="18.75" customHeight="1" x14ac:dyDescent="0.35">
      <c r="T25637" s="246">
        <f t="shared" si="438"/>
        <v>0</v>
      </c>
    </row>
    <row r="25638" spans="20:20" ht="18.75" customHeight="1" x14ac:dyDescent="0.35">
      <c r="T25638" s="246">
        <f t="shared" si="438"/>
        <v>0</v>
      </c>
    </row>
    <row r="25639" spans="20:20" ht="18.75" customHeight="1" x14ac:dyDescent="0.35">
      <c r="T25639" s="246">
        <f t="shared" si="438"/>
        <v>0</v>
      </c>
    </row>
    <row r="25640" spans="20:20" ht="18.75" customHeight="1" x14ac:dyDescent="0.35">
      <c r="T25640" s="246">
        <f t="shared" si="438"/>
        <v>0</v>
      </c>
    </row>
    <row r="25641" spans="20:20" ht="18.75" customHeight="1" x14ac:dyDescent="0.35">
      <c r="T25641" s="246">
        <f t="shared" si="438"/>
        <v>0</v>
      </c>
    </row>
    <row r="25642" spans="20:20" ht="18.75" customHeight="1" x14ac:dyDescent="0.35">
      <c r="T25642" s="246">
        <f t="shared" si="438"/>
        <v>0</v>
      </c>
    </row>
    <row r="25643" spans="20:20" ht="18.75" customHeight="1" x14ac:dyDescent="0.35">
      <c r="T25643" s="246">
        <f t="shared" si="438"/>
        <v>0</v>
      </c>
    </row>
    <row r="25644" spans="20:20" ht="18.75" customHeight="1" x14ac:dyDescent="0.35">
      <c r="T25644" s="246">
        <f t="shared" si="438"/>
        <v>0</v>
      </c>
    </row>
    <row r="25645" spans="20:20" ht="18.75" customHeight="1" x14ac:dyDescent="0.35">
      <c r="T25645" s="246">
        <f t="shared" si="438"/>
        <v>0</v>
      </c>
    </row>
    <row r="25646" spans="20:20" ht="18.75" customHeight="1" x14ac:dyDescent="0.35">
      <c r="T25646" s="246">
        <f t="shared" si="438"/>
        <v>0</v>
      </c>
    </row>
    <row r="25647" spans="20:20" ht="18.75" customHeight="1" x14ac:dyDescent="0.35">
      <c r="T25647" s="246">
        <f t="shared" si="438"/>
        <v>0</v>
      </c>
    </row>
    <row r="25648" spans="20:20" ht="18.75" customHeight="1" x14ac:dyDescent="0.35">
      <c r="T25648" s="246">
        <f t="shared" si="438"/>
        <v>0</v>
      </c>
    </row>
    <row r="25649" spans="20:20" ht="18.75" customHeight="1" x14ac:dyDescent="0.35">
      <c r="T25649" s="246">
        <f t="shared" si="438"/>
        <v>0</v>
      </c>
    </row>
    <row r="25650" spans="20:20" ht="18.75" customHeight="1" x14ac:dyDescent="0.35">
      <c r="T25650" s="246">
        <f t="shared" si="438"/>
        <v>0</v>
      </c>
    </row>
    <row r="25651" spans="20:20" ht="18.75" customHeight="1" x14ac:dyDescent="0.35">
      <c r="T25651" s="246">
        <f t="shared" si="438"/>
        <v>0</v>
      </c>
    </row>
    <row r="25652" spans="20:20" ht="18.75" customHeight="1" x14ac:dyDescent="0.35">
      <c r="T25652" s="246">
        <f t="shared" si="438"/>
        <v>0</v>
      </c>
    </row>
    <row r="25653" spans="20:20" ht="18.75" customHeight="1" x14ac:dyDescent="0.35">
      <c r="T25653" s="246">
        <f t="shared" si="438"/>
        <v>0</v>
      </c>
    </row>
    <row r="25654" spans="20:20" ht="18.75" customHeight="1" x14ac:dyDescent="0.35">
      <c r="T25654" s="246">
        <f t="shared" si="438"/>
        <v>0</v>
      </c>
    </row>
    <row r="25655" spans="20:20" ht="18.75" customHeight="1" x14ac:dyDescent="0.35">
      <c r="T25655" s="246">
        <f t="shared" si="438"/>
        <v>0</v>
      </c>
    </row>
    <row r="25656" spans="20:20" ht="18.75" customHeight="1" x14ac:dyDescent="0.35">
      <c r="T25656" s="246">
        <f t="shared" si="438"/>
        <v>0</v>
      </c>
    </row>
    <row r="25657" spans="20:20" ht="18.75" customHeight="1" x14ac:dyDescent="0.35">
      <c r="T25657" s="246">
        <f t="shared" si="438"/>
        <v>0</v>
      </c>
    </row>
    <row r="25658" spans="20:20" ht="18.75" customHeight="1" x14ac:dyDescent="0.35">
      <c r="T25658" s="246">
        <f t="shared" si="438"/>
        <v>0</v>
      </c>
    </row>
    <row r="25659" spans="20:20" ht="18.75" customHeight="1" x14ac:dyDescent="0.35">
      <c r="T25659" s="246">
        <f t="shared" si="438"/>
        <v>0</v>
      </c>
    </row>
    <row r="25660" spans="20:20" ht="18.75" customHeight="1" x14ac:dyDescent="0.35">
      <c r="T25660" s="246">
        <f t="shared" ref="T25660:T25723" si="439">R25660*0.01</f>
        <v>0</v>
      </c>
    </row>
    <row r="25661" spans="20:20" ht="18.75" customHeight="1" x14ac:dyDescent="0.35">
      <c r="T25661" s="246">
        <f t="shared" si="439"/>
        <v>0</v>
      </c>
    </row>
    <row r="25662" spans="20:20" ht="18.75" customHeight="1" x14ac:dyDescent="0.35">
      <c r="T25662" s="246">
        <f t="shared" si="439"/>
        <v>0</v>
      </c>
    </row>
    <row r="25663" spans="20:20" ht="18.75" customHeight="1" x14ac:dyDescent="0.35">
      <c r="T25663" s="246">
        <f t="shared" si="439"/>
        <v>0</v>
      </c>
    </row>
    <row r="25664" spans="20:20" ht="18.75" customHeight="1" x14ac:dyDescent="0.35">
      <c r="T25664" s="246">
        <f t="shared" si="439"/>
        <v>0</v>
      </c>
    </row>
    <row r="25665" spans="20:20" ht="18.75" customHeight="1" x14ac:dyDescent="0.35">
      <c r="T25665" s="246">
        <f t="shared" si="439"/>
        <v>0</v>
      </c>
    </row>
    <row r="25666" spans="20:20" ht="18.75" customHeight="1" x14ac:dyDescent="0.35">
      <c r="T25666" s="246">
        <f t="shared" si="439"/>
        <v>0</v>
      </c>
    </row>
    <row r="25667" spans="20:20" ht="18.75" customHeight="1" x14ac:dyDescent="0.35">
      <c r="T25667" s="246">
        <f t="shared" si="439"/>
        <v>0</v>
      </c>
    </row>
    <row r="25668" spans="20:20" ht="18.75" customHeight="1" x14ac:dyDescent="0.35">
      <c r="T25668" s="246">
        <f t="shared" si="439"/>
        <v>0</v>
      </c>
    </row>
    <row r="25669" spans="20:20" ht="18.75" customHeight="1" x14ac:dyDescent="0.35">
      <c r="T25669" s="246">
        <f t="shared" si="439"/>
        <v>0</v>
      </c>
    </row>
    <row r="25670" spans="20:20" ht="18.75" customHeight="1" x14ac:dyDescent="0.35">
      <c r="T25670" s="246">
        <f t="shared" si="439"/>
        <v>0</v>
      </c>
    </row>
    <row r="25671" spans="20:20" ht="18.75" customHeight="1" x14ac:dyDescent="0.35">
      <c r="T25671" s="246">
        <f t="shared" si="439"/>
        <v>0</v>
      </c>
    </row>
    <row r="25672" spans="20:20" ht="18.75" customHeight="1" x14ac:dyDescent="0.35">
      <c r="T25672" s="246">
        <f t="shared" si="439"/>
        <v>0</v>
      </c>
    </row>
    <row r="25673" spans="20:20" ht="18.75" customHeight="1" x14ac:dyDescent="0.35">
      <c r="T25673" s="246">
        <f t="shared" si="439"/>
        <v>0</v>
      </c>
    </row>
    <row r="25674" spans="20:20" ht="18.75" customHeight="1" x14ac:dyDescent="0.35">
      <c r="T25674" s="246">
        <f t="shared" si="439"/>
        <v>0</v>
      </c>
    </row>
    <row r="25675" spans="20:20" ht="18.75" customHeight="1" x14ac:dyDescent="0.35">
      <c r="T25675" s="246">
        <f t="shared" si="439"/>
        <v>0</v>
      </c>
    </row>
    <row r="25676" spans="20:20" ht="18.75" customHeight="1" x14ac:dyDescent="0.35">
      <c r="T25676" s="246">
        <f t="shared" si="439"/>
        <v>0</v>
      </c>
    </row>
    <row r="25677" spans="20:20" ht="18.75" customHeight="1" x14ac:dyDescent="0.35">
      <c r="T25677" s="246">
        <f t="shared" si="439"/>
        <v>0</v>
      </c>
    </row>
    <row r="25678" spans="20:20" ht="18.75" customHeight="1" x14ac:dyDescent="0.35">
      <c r="T25678" s="246">
        <f t="shared" si="439"/>
        <v>0</v>
      </c>
    </row>
    <row r="25679" spans="20:20" ht="18.75" customHeight="1" x14ac:dyDescent="0.35">
      <c r="T25679" s="246">
        <f t="shared" si="439"/>
        <v>0</v>
      </c>
    </row>
    <row r="25680" spans="20:20" ht="18.75" customHeight="1" x14ac:dyDescent="0.35">
      <c r="T25680" s="246">
        <f t="shared" si="439"/>
        <v>0</v>
      </c>
    </row>
    <row r="25681" spans="20:20" ht="18.75" customHeight="1" x14ac:dyDescent="0.35">
      <c r="T25681" s="246">
        <f t="shared" si="439"/>
        <v>0</v>
      </c>
    </row>
    <row r="25682" spans="20:20" ht="18.75" customHeight="1" x14ac:dyDescent="0.35">
      <c r="T25682" s="246">
        <f t="shared" si="439"/>
        <v>0</v>
      </c>
    </row>
    <row r="25683" spans="20:20" ht="18.75" customHeight="1" x14ac:dyDescent="0.35">
      <c r="T25683" s="246">
        <f t="shared" si="439"/>
        <v>0</v>
      </c>
    </row>
    <row r="25684" spans="20:20" ht="18.75" customHeight="1" x14ac:dyDescent="0.35">
      <c r="T25684" s="246">
        <f t="shared" si="439"/>
        <v>0</v>
      </c>
    </row>
    <row r="25685" spans="20:20" ht="18.75" customHeight="1" x14ac:dyDescent="0.35">
      <c r="T25685" s="246">
        <f t="shared" si="439"/>
        <v>0</v>
      </c>
    </row>
    <row r="25686" spans="20:20" ht="18.75" customHeight="1" x14ac:dyDescent="0.35">
      <c r="T25686" s="246">
        <f t="shared" si="439"/>
        <v>0</v>
      </c>
    </row>
    <row r="25687" spans="20:20" ht="18.75" customHeight="1" x14ac:dyDescent="0.35">
      <c r="T25687" s="246">
        <f t="shared" si="439"/>
        <v>0</v>
      </c>
    </row>
    <row r="25688" spans="20:20" ht="18.75" customHeight="1" x14ac:dyDescent="0.35">
      <c r="T25688" s="246">
        <f t="shared" si="439"/>
        <v>0</v>
      </c>
    </row>
    <row r="25689" spans="20:20" ht="18.75" customHeight="1" x14ac:dyDescent="0.35">
      <c r="T25689" s="246">
        <f t="shared" si="439"/>
        <v>0</v>
      </c>
    </row>
    <row r="25690" spans="20:20" ht="18.75" customHeight="1" x14ac:dyDescent="0.35">
      <c r="T25690" s="246">
        <f t="shared" si="439"/>
        <v>0</v>
      </c>
    </row>
    <row r="25691" spans="20:20" ht="18.75" customHeight="1" x14ac:dyDescent="0.35">
      <c r="T25691" s="246">
        <f t="shared" si="439"/>
        <v>0</v>
      </c>
    </row>
    <row r="25692" spans="20:20" ht="18.75" customHeight="1" x14ac:dyDescent="0.35">
      <c r="T25692" s="246">
        <f t="shared" si="439"/>
        <v>0</v>
      </c>
    </row>
    <row r="25693" spans="20:20" ht="18.75" customHeight="1" x14ac:dyDescent="0.35">
      <c r="T25693" s="246">
        <f t="shared" si="439"/>
        <v>0</v>
      </c>
    </row>
    <row r="25694" spans="20:20" ht="18.75" customHeight="1" x14ac:dyDescent="0.35">
      <c r="T25694" s="246">
        <f t="shared" si="439"/>
        <v>0</v>
      </c>
    </row>
    <row r="25695" spans="20:20" ht="18.75" customHeight="1" x14ac:dyDescent="0.35">
      <c r="T25695" s="246">
        <f t="shared" si="439"/>
        <v>0</v>
      </c>
    </row>
    <row r="25696" spans="20:20" ht="18.75" customHeight="1" x14ac:dyDescent="0.35">
      <c r="T25696" s="246">
        <f t="shared" si="439"/>
        <v>0</v>
      </c>
    </row>
    <row r="25697" spans="20:20" ht="18.75" customHeight="1" x14ac:dyDescent="0.35">
      <c r="T25697" s="246">
        <f t="shared" si="439"/>
        <v>0</v>
      </c>
    </row>
    <row r="25698" spans="20:20" ht="18.75" customHeight="1" x14ac:dyDescent="0.35">
      <c r="T25698" s="246">
        <f t="shared" si="439"/>
        <v>0</v>
      </c>
    </row>
    <row r="25699" spans="20:20" ht="18.75" customHeight="1" x14ac:dyDescent="0.35">
      <c r="T25699" s="246">
        <f t="shared" si="439"/>
        <v>0</v>
      </c>
    </row>
    <row r="25700" spans="20:20" ht="18.75" customHeight="1" x14ac:dyDescent="0.35">
      <c r="T25700" s="246">
        <f t="shared" si="439"/>
        <v>0</v>
      </c>
    </row>
    <row r="25701" spans="20:20" ht="18.75" customHeight="1" x14ac:dyDescent="0.35">
      <c r="T25701" s="246">
        <f t="shared" si="439"/>
        <v>0</v>
      </c>
    </row>
    <row r="25702" spans="20:20" ht="18.75" customHeight="1" x14ac:dyDescent="0.35">
      <c r="T25702" s="246">
        <f t="shared" si="439"/>
        <v>0</v>
      </c>
    </row>
    <row r="25703" spans="20:20" ht="18.75" customHeight="1" x14ac:dyDescent="0.35">
      <c r="T25703" s="246">
        <f t="shared" si="439"/>
        <v>0</v>
      </c>
    </row>
    <row r="25704" spans="20:20" ht="18.75" customHeight="1" x14ac:dyDescent="0.35">
      <c r="T25704" s="246">
        <f t="shared" si="439"/>
        <v>0</v>
      </c>
    </row>
    <row r="25705" spans="20:20" ht="18.75" customHeight="1" x14ac:dyDescent="0.35">
      <c r="T25705" s="246">
        <f t="shared" si="439"/>
        <v>0</v>
      </c>
    </row>
    <row r="25706" spans="20:20" ht="18.75" customHeight="1" x14ac:dyDescent="0.35">
      <c r="T25706" s="246">
        <f t="shared" si="439"/>
        <v>0</v>
      </c>
    </row>
    <row r="25707" spans="20:20" ht="18.75" customHeight="1" x14ac:dyDescent="0.35">
      <c r="T25707" s="246">
        <f t="shared" si="439"/>
        <v>0</v>
      </c>
    </row>
    <row r="25708" spans="20:20" ht="18.75" customHeight="1" x14ac:dyDescent="0.35">
      <c r="T25708" s="246">
        <f t="shared" si="439"/>
        <v>0</v>
      </c>
    </row>
    <row r="25709" spans="20:20" ht="18.75" customHeight="1" x14ac:dyDescent="0.35">
      <c r="T25709" s="246">
        <f t="shared" si="439"/>
        <v>0</v>
      </c>
    </row>
    <row r="25710" spans="20:20" ht="18.75" customHeight="1" x14ac:dyDescent="0.35">
      <c r="T25710" s="246">
        <f t="shared" si="439"/>
        <v>0</v>
      </c>
    </row>
    <row r="25711" spans="20:20" ht="18.75" customHeight="1" x14ac:dyDescent="0.35">
      <c r="T25711" s="246">
        <f t="shared" si="439"/>
        <v>0</v>
      </c>
    </row>
    <row r="25712" spans="20:20" ht="18.75" customHeight="1" x14ac:dyDescent="0.35">
      <c r="T25712" s="246">
        <f t="shared" si="439"/>
        <v>0</v>
      </c>
    </row>
    <row r="25713" spans="20:20" ht="18.75" customHeight="1" x14ac:dyDescent="0.35">
      <c r="T25713" s="246">
        <f t="shared" si="439"/>
        <v>0</v>
      </c>
    </row>
    <row r="25714" spans="20:20" ht="18.75" customHeight="1" x14ac:dyDescent="0.35">
      <c r="T25714" s="246">
        <f t="shared" si="439"/>
        <v>0</v>
      </c>
    </row>
    <row r="25715" spans="20:20" ht="18.75" customHeight="1" x14ac:dyDescent="0.35">
      <c r="T25715" s="246">
        <f t="shared" si="439"/>
        <v>0</v>
      </c>
    </row>
    <row r="25716" spans="20:20" ht="18.75" customHeight="1" x14ac:dyDescent="0.35">
      <c r="T25716" s="246">
        <f t="shared" si="439"/>
        <v>0</v>
      </c>
    </row>
    <row r="25717" spans="20:20" ht="18.75" customHeight="1" x14ac:dyDescent="0.35">
      <c r="T25717" s="246">
        <f t="shared" si="439"/>
        <v>0</v>
      </c>
    </row>
    <row r="25718" spans="20:20" ht="18.75" customHeight="1" x14ac:dyDescent="0.35">
      <c r="T25718" s="246">
        <f t="shared" si="439"/>
        <v>0</v>
      </c>
    </row>
    <row r="25719" spans="20:20" ht="18.75" customHeight="1" x14ac:dyDescent="0.35">
      <c r="T25719" s="246">
        <f t="shared" si="439"/>
        <v>0</v>
      </c>
    </row>
    <row r="25720" spans="20:20" ht="18.75" customHeight="1" x14ac:dyDescent="0.35">
      <c r="T25720" s="246">
        <f t="shared" si="439"/>
        <v>0</v>
      </c>
    </row>
    <row r="25721" spans="20:20" ht="18.75" customHeight="1" x14ac:dyDescent="0.35">
      <c r="T25721" s="246">
        <f t="shared" si="439"/>
        <v>0</v>
      </c>
    </row>
    <row r="25722" spans="20:20" ht="18.75" customHeight="1" x14ac:dyDescent="0.35">
      <c r="T25722" s="246">
        <f t="shared" si="439"/>
        <v>0</v>
      </c>
    </row>
    <row r="25723" spans="20:20" ht="18.75" customHeight="1" x14ac:dyDescent="0.35">
      <c r="T25723" s="246">
        <f t="shared" si="439"/>
        <v>0</v>
      </c>
    </row>
    <row r="25724" spans="20:20" ht="18.75" customHeight="1" x14ac:dyDescent="0.35">
      <c r="T25724" s="246">
        <f t="shared" ref="T25724:T25787" si="440">R25724*0.01</f>
        <v>0</v>
      </c>
    </row>
    <row r="25725" spans="20:20" ht="18.75" customHeight="1" x14ac:dyDescent="0.35">
      <c r="T25725" s="246">
        <f t="shared" si="440"/>
        <v>0</v>
      </c>
    </row>
    <row r="25726" spans="20:20" ht="18.75" customHeight="1" x14ac:dyDescent="0.35">
      <c r="T25726" s="246">
        <f t="shared" si="440"/>
        <v>0</v>
      </c>
    </row>
    <row r="25727" spans="20:20" ht="18.75" customHeight="1" x14ac:dyDescent="0.35">
      <c r="T25727" s="246">
        <f t="shared" si="440"/>
        <v>0</v>
      </c>
    </row>
    <row r="25728" spans="20:20" ht="18.75" customHeight="1" x14ac:dyDescent="0.35">
      <c r="T25728" s="246">
        <f t="shared" si="440"/>
        <v>0</v>
      </c>
    </row>
    <row r="25729" spans="20:20" ht="18.75" customHeight="1" x14ac:dyDescent="0.35">
      <c r="T25729" s="246">
        <f t="shared" si="440"/>
        <v>0</v>
      </c>
    </row>
    <row r="25730" spans="20:20" ht="18.75" customHeight="1" x14ac:dyDescent="0.35">
      <c r="T25730" s="246">
        <f t="shared" si="440"/>
        <v>0</v>
      </c>
    </row>
    <row r="25731" spans="20:20" ht="18.75" customHeight="1" x14ac:dyDescent="0.35">
      <c r="T25731" s="246">
        <f t="shared" si="440"/>
        <v>0</v>
      </c>
    </row>
    <row r="25732" spans="20:20" ht="18.75" customHeight="1" x14ac:dyDescent="0.35">
      <c r="T25732" s="246">
        <f t="shared" si="440"/>
        <v>0</v>
      </c>
    </row>
    <row r="25733" spans="20:20" ht="18.75" customHeight="1" x14ac:dyDescent="0.35">
      <c r="T25733" s="246">
        <f t="shared" si="440"/>
        <v>0</v>
      </c>
    </row>
    <row r="25734" spans="20:20" ht="18.75" customHeight="1" x14ac:dyDescent="0.35">
      <c r="T25734" s="246">
        <f t="shared" si="440"/>
        <v>0</v>
      </c>
    </row>
    <row r="25735" spans="20:20" ht="18.75" customHeight="1" x14ac:dyDescent="0.35">
      <c r="T25735" s="246">
        <f t="shared" si="440"/>
        <v>0</v>
      </c>
    </row>
    <row r="25736" spans="20:20" ht="18.75" customHeight="1" x14ac:dyDescent="0.35">
      <c r="T25736" s="246">
        <f t="shared" si="440"/>
        <v>0</v>
      </c>
    </row>
    <row r="25737" spans="20:20" ht="18.75" customHeight="1" x14ac:dyDescent="0.35">
      <c r="T25737" s="246">
        <f t="shared" si="440"/>
        <v>0</v>
      </c>
    </row>
    <row r="25738" spans="20:20" ht="18.75" customHeight="1" x14ac:dyDescent="0.35">
      <c r="T25738" s="246">
        <f t="shared" si="440"/>
        <v>0</v>
      </c>
    </row>
    <row r="25739" spans="20:20" ht="18.75" customHeight="1" x14ac:dyDescent="0.35">
      <c r="T25739" s="246">
        <f t="shared" si="440"/>
        <v>0</v>
      </c>
    </row>
    <row r="25740" spans="20:20" ht="18.75" customHeight="1" x14ac:dyDescent="0.35">
      <c r="T25740" s="246">
        <f t="shared" si="440"/>
        <v>0</v>
      </c>
    </row>
    <row r="25741" spans="20:20" ht="18.75" customHeight="1" x14ac:dyDescent="0.35">
      <c r="T25741" s="246">
        <f t="shared" si="440"/>
        <v>0</v>
      </c>
    </row>
    <row r="25742" spans="20:20" ht="18.75" customHeight="1" x14ac:dyDescent="0.35">
      <c r="T25742" s="246">
        <f t="shared" si="440"/>
        <v>0</v>
      </c>
    </row>
    <row r="25743" spans="20:20" ht="18.75" customHeight="1" x14ac:dyDescent="0.35">
      <c r="T25743" s="246">
        <f t="shared" si="440"/>
        <v>0</v>
      </c>
    </row>
    <row r="25744" spans="20:20" ht="18.75" customHeight="1" x14ac:dyDescent="0.35">
      <c r="T25744" s="246">
        <f t="shared" si="440"/>
        <v>0</v>
      </c>
    </row>
    <row r="25745" spans="20:20" ht="18.75" customHeight="1" x14ac:dyDescent="0.35">
      <c r="T25745" s="246">
        <f t="shared" si="440"/>
        <v>0</v>
      </c>
    </row>
    <row r="25746" spans="20:20" ht="18.75" customHeight="1" x14ac:dyDescent="0.35">
      <c r="T25746" s="246">
        <f t="shared" si="440"/>
        <v>0</v>
      </c>
    </row>
    <row r="25747" spans="20:20" ht="18.75" customHeight="1" x14ac:dyDescent="0.35">
      <c r="T25747" s="246">
        <f t="shared" si="440"/>
        <v>0</v>
      </c>
    </row>
    <row r="25748" spans="20:20" ht="18.75" customHeight="1" x14ac:dyDescent="0.35">
      <c r="T25748" s="246">
        <f t="shared" si="440"/>
        <v>0</v>
      </c>
    </row>
    <row r="25749" spans="20:20" ht="18.75" customHeight="1" x14ac:dyDescent="0.35">
      <c r="T25749" s="246">
        <f t="shared" si="440"/>
        <v>0</v>
      </c>
    </row>
    <row r="25750" spans="20:20" ht="18.75" customHeight="1" x14ac:dyDescent="0.35">
      <c r="T25750" s="246">
        <f t="shared" si="440"/>
        <v>0</v>
      </c>
    </row>
    <row r="25751" spans="20:20" ht="18.75" customHeight="1" x14ac:dyDescent="0.35">
      <c r="T25751" s="246">
        <f t="shared" si="440"/>
        <v>0</v>
      </c>
    </row>
    <row r="25752" spans="20:20" ht="18.75" customHeight="1" x14ac:dyDescent="0.35">
      <c r="T25752" s="246">
        <f t="shared" si="440"/>
        <v>0</v>
      </c>
    </row>
    <row r="25753" spans="20:20" ht="18.75" customHeight="1" x14ac:dyDescent="0.35">
      <c r="T25753" s="246">
        <f t="shared" si="440"/>
        <v>0</v>
      </c>
    </row>
    <row r="25754" spans="20:20" ht="18.75" customHeight="1" x14ac:dyDescent="0.35">
      <c r="T25754" s="246">
        <f t="shared" si="440"/>
        <v>0</v>
      </c>
    </row>
    <row r="25755" spans="20:20" ht="18.75" customHeight="1" x14ac:dyDescent="0.35">
      <c r="T25755" s="246">
        <f t="shared" si="440"/>
        <v>0</v>
      </c>
    </row>
    <row r="25756" spans="20:20" ht="18.75" customHeight="1" x14ac:dyDescent="0.35">
      <c r="T25756" s="246">
        <f t="shared" si="440"/>
        <v>0</v>
      </c>
    </row>
    <row r="25757" spans="20:20" ht="18.75" customHeight="1" x14ac:dyDescent="0.35">
      <c r="T25757" s="246">
        <f t="shared" si="440"/>
        <v>0</v>
      </c>
    </row>
    <row r="25758" spans="20:20" ht="18.75" customHeight="1" x14ac:dyDescent="0.35">
      <c r="T25758" s="246">
        <f t="shared" si="440"/>
        <v>0</v>
      </c>
    </row>
    <row r="25759" spans="20:20" ht="18.75" customHeight="1" x14ac:dyDescent="0.35">
      <c r="T25759" s="246">
        <f t="shared" si="440"/>
        <v>0</v>
      </c>
    </row>
    <row r="25760" spans="20:20" ht="18.75" customHeight="1" x14ac:dyDescent="0.35">
      <c r="T25760" s="246">
        <f t="shared" si="440"/>
        <v>0</v>
      </c>
    </row>
    <row r="25761" spans="20:20" ht="18.75" customHeight="1" x14ac:dyDescent="0.35">
      <c r="T25761" s="246">
        <f t="shared" si="440"/>
        <v>0</v>
      </c>
    </row>
    <row r="25762" spans="20:20" ht="18.75" customHeight="1" x14ac:dyDescent="0.35">
      <c r="T25762" s="246">
        <f t="shared" si="440"/>
        <v>0</v>
      </c>
    </row>
    <row r="25763" spans="20:20" ht="18.75" customHeight="1" x14ac:dyDescent="0.35">
      <c r="T25763" s="246">
        <f t="shared" si="440"/>
        <v>0</v>
      </c>
    </row>
    <row r="25764" spans="20:20" ht="18.75" customHeight="1" x14ac:dyDescent="0.35">
      <c r="T25764" s="246">
        <f t="shared" si="440"/>
        <v>0</v>
      </c>
    </row>
    <row r="25765" spans="20:20" ht="18.75" customHeight="1" x14ac:dyDescent="0.35">
      <c r="T25765" s="246">
        <f t="shared" si="440"/>
        <v>0</v>
      </c>
    </row>
    <row r="25766" spans="20:20" ht="18.75" customHeight="1" x14ac:dyDescent="0.35">
      <c r="T25766" s="246">
        <f t="shared" si="440"/>
        <v>0</v>
      </c>
    </row>
    <row r="25767" spans="20:20" ht="18.75" customHeight="1" x14ac:dyDescent="0.35">
      <c r="T25767" s="246">
        <f t="shared" si="440"/>
        <v>0</v>
      </c>
    </row>
    <row r="25768" spans="20:20" ht="18.75" customHeight="1" x14ac:dyDescent="0.35">
      <c r="T25768" s="246">
        <f t="shared" si="440"/>
        <v>0</v>
      </c>
    </row>
    <row r="25769" spans="20:20" ht="18.75" customHeight="1" x14ac:dyDescent="0.35">
      <c r="T25769" s="246">
        <f t="shared" si="440"/>
        <v>0</v>
      </c>
    </row>
    <row r="25770" spans="20:20" ht="18.75" customHeight="1" x14ac:dyDescent="0.35">
      <c r="T25770" s="246">
        <f t="shared" si="440"/>
        <v>0</v>
      </c>
    </row>
    <row r="25771" spans="20:20" ht="18.75" customHeight="1" x14ac:dyDescent="0.35">
      <c r="T25771" s="246">
        <f t="shared" si="440"/>
        <v>0</v>
      </c>
    </row>
    <row r="25772" spans="20:20" ht="18.75" customHeight="1" x14ac:dyDescent="0.35">
      <c r="T25772" s="246">
        <f t="shared" si="440"/>
        <v>0</v>
      </c>
    </row>
    <row r="25773" spans="20:20" ht="18.75" customHeight="1" x14ac:dyDescent="0.35">
      <c r="T25773" s="246">
        <f t="shared" si="440"/>
        <v>0</v>
      </c>
    </row>
    <row r="25774" spans="20:20" ht="18.75" customHeight="1" x14ac:dyDescent="0.35">
      <c r="T25774" s="246">
        <f t="shared" si="440"/>
        <v>0</v>
      </c>
    </row>
    <row r="25775" spans="20:20" ht="18.75" customHeight="1" x14ac:dyDescent="0.35">
      <c r="T25775" s="246">
        <f t="shared" si="440"/>
        <v>0</v>
      </c>
    </row>
    <row r="25776" spans="20:20" ht="18.75" customHeight="1" x14ac:dyDescent="0.35">
      <c r="T25776" s="246">
        <f t="shared" si="440"/>
        <v>0</v>
      </c>
    </row>
    <row r="25777" spans="20:20" ht="18.75" customHeight="1" x14ac:dyDescent="0.35">
      <c r="T25777" s="246">
        <f t="shared" si="440"/>
        <v>0</v>
      </c>
    </row>
    <row r="25778" spans="20:20" ht="18.75" customHeight="1" x14ac:dyDescent="0.35">
      <c r="T25778" s="246">
        <f t="shared" si="440"/>
        <v>0</v>
      </c>
    </row>
    <row r="25779" spans="20:20" ht="18.75" customHeight="1" x14ac:dyDescent="0.35">
      <c r="T25779" s="246">
        <f t="shared" si="440"/>
        <v>0</v>
      </c>
    </row>
    <row r="25780" spans="20:20" ht="18.75" customHeight="1" x14ac:dyDescent="0.35">
      <c r="T25780" s="246">
        <f t="shared" si="440"/>
        <v>0</v>
      </c>
    </row>
    <row r="25781" spans="20:20" ht="18.75" customHeight="1" x14ac:dyDescent="0.35">
      <c r="T25781" s="246">
        <f t="shared" si="440"/>
        <v>0</v>
      </c>
    </row>
    <row r="25782" spans="20:20" ht="18.75" customHeight="1" x14ac:dyDescent="0.35">
      <c r="T25782" s="246">
        <f t="shared" si="440"/>
        <v>0</v>
      </c>
    </row>
    <row r="25783" spans="20:20" ht="18.75" customHeight="1" x14ac:dyDescent="0.35">
      <c r="T25783" s="246">
        <f t="shared" si="440"/>
        <v>0</v>
      </c>
    </row>
    <row r="25784" spans="20:20" ht="18.75" customHeight="1" x14ac:dyDescent="0.35">
      <c r="T25784" s="246">
        <f t="shared" si="440"/>
        <v>0</v>
      </c>
    </row>
    <row r="25785" spans="20:20" ht="18.75" customHeight="1" x14ac:dyDescent="0.35">
      <c r="T25785" s="246">
        <f t="shared" si="440"/>
        <v>0</v>
      </c>
    </row>
    <row r="25786" spans="20:20" ht="18.75" customHeight="1" x14ac:dyDescent="0.35">
      <c r="T25786" s="246">
        <f t="shared" si="440"/>
        <v>0</v>
      </c>
    </row>
    <row r="25787" spans="20:20" ht="18.75" customHeight="1" x14ac:dyDescent="0.35">
      <c r="T25787" s="246">
        <f t="shared" si="440"/>
        <v>0</v>
      </c>
    </row>
    <row r="25788" spans="20:20" ht="18.75" customHeight="1" x14ac:dyDescent="0.35">
      <c r="T25788" s="246">
        <f t="shared" ref="T25788:T25851" si="441">R25788*0.01</f>
        <v>0</v>
      </c>
    </row>
    <row r="25789" spans="20:20" ht="18.75" customHeight="1" x14ac:dyDescent="0.35">
      <c r="T25789" s="246">
        <f t="shared" si="441"/>
        <v>0</v>
      </c>
    </row>
    <row r="25790" spans="20:20" ht="18.75" customHeight="1" x14ac:dyDescent="0.35">
      <c r="T25790" s="246">
        <f t="shared" si="441"/>
        <v>0</v>
      </c>
    </row>
    <row r="25791" spans="20:20" ht="18.75" customHeight="1" x14ac:dyDescent="0.35">
      <c r="T25791" s="246">
        <f t="shared" si="441"/>
        <v>0</v>
      </c>
    </row>
    <row r="25792" spans="20:20" ht="18.75" customHeight="1" x14ac:dyDescent="0.35">
      <c r="T25792" s="246">
        <f t="shared" si="441"/>
        <v>0</v>
      </c>
    </row>
    <row r="25793" spans="20:20" ht="18.75" customHeight="1" x14ac:dyDescent="0.35">
      <c r="T25793" s="246">
        <f t="shared" si="441"/>
        <v>0</v>
      </c>
    </row>
    <row r="25794" spans="20:20" ht="18.75" customHeight="1" x14ac:dyDescent="0.35">
      <c r="T25794" s="246">
        <f t="shared" si="441"/>
        <v>0</v>
      </c>
    </row>
    <row r="25795" spans="20:20" ht="18.75" customHeight="1" x14ac:dyDescent="0.35">
      <c r="T25795" s="246">
        <f t="shared" si="441"/>
        <v>0</v>
      </c>
    </row>
    <row r="25796" spans="20:20" ht="18.75" customHeight="1" x14ac:dyDescent="0.35">
      <c r="T25796" s="246">
        <f t="shared" si="441"/>
        <v>0</v>
      </c>
    </row>
    <row r="25797" spans="20:20" ht="18.75" customHeight="1" x14ac:dyDescent="0.35">
      <c r="T25797" s="246">
        <f t="shared" si="441"/>
        <v>0</v>
      </c>
    </row>
    <row r="25798" spans="20:20" ht="18.75" customHeight="1" x14ac:dyDescent="0.35">
      <c r="T25798" s="246">
        <f t="shared" si="441"/>
        <v>0</v>
      </c>
    </row>
    <row r="25799" spans="20:20" ht="18.75" customHeight="1" x14ac:dyDescent="0.35">
      <c r="T25799" s="246">
        <f t="shared" si="441"/>
        <v>0</v>
      </c>
    </row>
    <row r="25800" spans="20:20" ht="18.75" customHeight="1" x14ac:dyDescent="0.35">
      <c r="T25800" s="246">
        <f t="shared" si="441"/>
        <v>0</v>
      </c>
    </row>
    <row r="25801" spans="20:20" ht="18.75" customHeight="1" x14ac:dyDescent="0.35">
      <c r="T25801" s="246">
        <f t="shared" si="441"/>
        <v>0</v>
      </c>
    </row>
    <row r="25802" spans="20:20" ht="18.75" customHeight="1" x14ac:dyDescent="0.35">
      <c r="T25802" s="246">
        <f t="shared" si="441"/>
        <v>0</v>
      </c>
    </row>
    <row r="25803" spans="20:20" ht="18.75" customHeight="1" x14ac:dyDescent="0.35">
      <c r="T25803" s="246">
        <f t="shared" si="441"/>
        <v>0</v>
      </c>
    </row>
    <row r="25804" spans="20:20" ht="18.75" customHeight="1" x14ac:dyDescent="0.35">
      <c r="T25804" s="246">
        <f t="shared" si="441"/>
        <v>0</v>
      </c>
    </row>
    <row r="25805" spans="20:20" ht="18.75" customHeight="1" x14ac:dyDescent="0.35">
      <c r="T25805" s="246">
        <f t="shared" si="441"/>
        <v>0</v>
      </c>
    </row>
    <row r="25806" spans="20:20" ht="18.75" customHeight="1" x14ac:dyDescent="0.35">
      <c r="T25806" s="246">
        <f t="shared" si="441"/>
        <v>0</v>
      </c>
    </row>
    <row r="25807" spans="20:20" ht="18.75" customHeight="1" x14ac:dyDescent="0.35">
      <c r="T25807" s="246">
        <f t="shared" si="441"/>
        <v>0</v>
      </c>
    </row>
    <row r="25808" spans="20:20" ht="18.75" customHeight="1" x14ac:dyDescent="0.35">
      <c r="T25808" s="246">
        <f t="shared" si="441"/>
        <v>0</v>
      </c>
    </row>
    <row r="25809" spans="20:20" ht="18.75" customHeight="1" x14ac:dyDescent="0.35">
      <c r="T25809" s="246">
        <f t="shared" si="441"/>
        <v>0</v>
      </c>
    </row>
    <row r="25810" spans="20:20" ht="18.75" customHeight="1" x14ac:dyDescent="0.35">
      <c r="T25810" s="246">
        <f t="shared" si="441"/>
        <v>0</v>
      </c>
    </row>
    <row r="25811" spans="20:20" ht="18.75" customHeight="1" x14ac:dyDescent="0.35">
      <c r="T25811" s="246">
        <f t="shared" si="441"/>
        <v>0</v>
      </c>
    </row>
    <row r="25812" spans="20:20" ht="18.75" customHeight="1" x14ac:dyDescent="0.35">
      <c r="T25812" s="246">
        <f t="shared" si="441"/>
        <v>0</v>
      </c>
    </row>
    <row r="25813" spans="20:20" ht="18.75" customHeight="1" x14ac:dyDescent="0.35">
      <c r="T25813" s="246">
        <f t="shared" si="441"/>
        <v>0</v>
      </c>
    </row>
    <row r="25814" spans="20:20" ht="18.75" customHeight="1" x14ac:dyDescent="0.35">
      <c r="T25814" s="246">
        <f t="shared" si="441"/>
        <v>0</v>
      </c>
    </row>
    <row r="25815" spans="20:20" ht="18.75" customHeight="1" x14ac:dyDescent="0.35">
      <c r="T25815" s="246">
        <f t="shared" si="441"/>
        <v>0</v>
      </c>
    </row>
    <row r="25816" spans="20:20" ht="18.75" customHeight="1" x14ac:dyDescent="0.35">
      <c r="T25816" s="246">
        <f t="shared" si="441"/>
        <v>0</v>
      </c>
    </row>
    <row r="25817" spans="20:20" ht="18.75" customHeight="1" x14ac:dyDescent="0.35">
      <c r="T25817" s="246">
        <f t="shared" si="441"/>
        <v>0</v>
      </c>
    </row>
    <row r="25818" spans="20:20" ht="18.75" customHeight="1" x14ac:dyDescent="0.35">
      <c r="T25818" s="246">
        <f t="shared" si="441"/>
        <v>0</v>
      </c>
    </row>
    <row r="25819" spans="20:20" ht="18.75" customHeight="1" x14ac:dyDescent="0.35">
      <c r="T25819" s="246">
        <f t="shared" si="441"/>
        <v>0</v>
      </c>
    </row>
    <row r="25820" spans="20:20" ht="18.75" customHeight="1" x14ac:dyDescent="0.35">
      <c r="T25820" s="246">
        <f t="shared" si="441"/>
        <v>0</v>
      </c>
    </row>
    <row r="25821" spans="20:20" ht="18.75" customHeight="1" x14ac:dyDescent="0.35">
      <c r="T25821" s="246">
        <f t="shared" si="441"/>
        <v>0</v>
      </c>
    </row>
    <row r="25822" spans="20:20" ht="18.75" customHeight="1" x14ac:dyDescent="0.35">
      <c r="T25822" s="246">
        <f t="shared" si="441"/>
        <v>0</v>
      </c>
    </row>
    <row r="25823" spans="20:20" ht="18.75" customHeight="1" x14ac:dyDescent="0.35">
      <c r="T25823" s="246">
        <f t="shared" si="441"/>
        <v>0</v>
      </c>
    </row>
    <row r="25824" spans="20:20" ht="18.75" customHeight="1" x14ac:dyDescent="0.35">
      <c r="T25824" s="246">
        <f t="shared" si="441"/>
        <v>0</v>
      </c>
    </row>
    <row r="25825" spans="20:20" ht="18.75" customHeight="1" x14ac:dyDescent="0.35">
      <c r="T25825" s="246">
        <f t="shared" si="441"/>
        <v>0</v>
      </c>
    </row>
    <row r="25826" spans="20:20" ht="18.75" customHeight="1" x14ac:dyDescent="0.35">
      <c r="T25826" s="246">
        <f t="shared" si="441"/>
        <v>0</v>
      </c>
    </row>
    <row r="25827" spans="20:20" ht="18.75" customHeight="1" x14ac:dyDescent="0.35">
      <c r="T25827" s="246">
        <f t="shared" si="441"/>
        <v>0</v>
      </c>
    </row>
    <row r="25828" spans="20:20" ht="18.75" customHeight="1" x14ac:dyDescent="0.35">
      <c r="T25828" s="246">
        <f t="shared" si="441"/>
        <v>0</v>
      </c>
    </row>
    <row r="25829" spans="20:20" ht="18.75" customHeight="1" x14ac:dyDescent="0.35">
      <c r="T25829" s="246">
        <f t="shared" si="441"/>
        <v>0</v>
      </c>
    </row>
    <row r="25830" spans="20:20" ht="18.75" customHeight="1" x14ac:dyDescent="0.35">
      <c r="T25830" s="246">
        <f t="shared" si="441"/>
        <v>0</v>
      </c>
    </row>
    <row r="25831" spans="20:20" ht="18.75" customHeight="1" x14ac:dyDescent="0.35">
      <c r="T25831" s="246">
        <f t="shared" si="441"/>
        <v>0</v>
      </c>
    </row>
    <row r="25832" spans="20:20" ht="18.75" customHeight="1" x14ac:dyDescent="0.35">
      <c r="T25832" s="246">
        <f t="shared" si="441"/>
        <v>0</v>
      </c>
    </row>
    <row r="25833" spans="20:20" ht="18.75" customHeight="1" x14ac:dyDescent="0.35">
      <c r="T25833" s="246">
        <f t="shared" si="441"/>
        <v>0</v>
      </c>
    </row>
    <row r="25834" spans="20:20" ht="18.75" customHeight="1" x14ac:dyDescent="0.35">
      <c r="T25834" s="246">
        <f t="shared" si="441"/>
        <v>0</v>
      </c>
    </row>
    <row r="25835" spans="20:20" ht="18.75" customHeight="1" x14ac:dyDescent="0.35">
      <c r="T25835" s="246">
        <f t="shared" si="441"/>
        <v>0</v>
      </c>
    </row>
    <row r="25836" spans="20:20" ht="18.75" customHeight="1" x14ac:dyDescent="0.35">
      <c r="T25836" s="246">
        <f t="shared" si="441"/>
        <v>0</v>
      </c>
    </row>
    <row r="25837" spans="20:20" ht="18.75" customHeight="1" x14ac:dyDescent="0.35">
      <c r="T25837" s="246">
        <f t="shared" si="441"/>
        <v>0</v>
      </c>
    </row>
    <row r="25838" spans="20:20" ht="18.75" customHeight="1" x14ac:dyDescent="0.35">
      <c r="T25838" s="246">
        <f t="shared" si="441"/>
        <v>0</v>
      </c>
    </row>
    <row r="25839" spans="20:20" ht="18.75" customHeight="1" x14ac:dyDescent="0.35">
      <c r="T25839" s="246">
        <f t="shared" si="441"/>
        <v>0</v>
      </c>
    </row>
    <row r="25840" spans="20:20" ht="18.75" customHeight="1" x14ac:dyDescent="0.35">
      <c r="T25840" s="246">
        <f t="shared" si="441"/>
        <v>0</v>
      </c>
    </row>
    <row r="25841" spans="20:20" ht="18.75" customHeight="1" x14ac:dyDescent="0.35">
      <c r="T25841" s="246">
        <f t="shared" si="441"/>
        <v>0</v>
      </c>
    </row>
    <row r="25842" spans="20:20" ht="18.75" customHeight="1" x14ac:dyDescent="0.35">
      <c r="T25842" s="246">
        <f t="shared" si="441"/>
        <v>0</v>
      </c>
    </row>
    <row r="25843" spans="20:20" ht="18.75" customHeight="1" x14ac:dyDescent="0.35">
      <c r="T25843" s="246">
        <f t="shared" si="441"/>
        <v>0</v>
      </c>
    </row>
    <row r="25844" spans="20:20" ht="18.75" customHeight="1" x14ac:dyDescent="0.35">
      <c r="T25844" s="246">
        <f t="shared" si="441"/>
        <v>0</v>
      </c>
    </row>
    <row r="25845" spans="20:20" ht="18.75" customHeight="1" x14ac:dyDescent="0.35">
      <c r="T25845" s="246">
        <f t="shared" si="441"/>
        <v>0</v>
      </c>
    </row>
    <row r="25846" spans="20:20" ht="18.75" customHeight="1" x14ac:dyDescent="0.35">
      <c r="T25846" s="246">
        <f t="shared" si="441"/>
        <v>0</v>
      </c>
    </row>
    <row r="25847" spans="20:20" ht="18.75" customHeight="1" x14ac:dyDescent="0.35">
      <c r="T25847" s="246">
        <f t="shared" si="441"/>
        <v>0</v>
      </c>
    </row>
    <row r="25848" spans="20:20" ht="18.75" customHeight="1" x14ac:dyDescent="0.35">
      <c r="T25848" s="246">
        <f t="shared" si="441"/>
        <v>0</v>
      </c>
    </row>
    <row r="25849" spans="20:20" ht="18.75" customHeight="1" x14ac:dyDescent="0.35">
      <c r="T25849" s="246">
        <f t="shared" si="441"/>
        <v>0</v>
      </c>
    </row>
    <row r="25850" spans="20:20" ht="18.75" customHeight="1" x14ac:dyDescent="0.35">
      <c r="T25850" s="246">
        <f t="shared" si="441"/>
        <v>0</v>
      </c>
    </row>
    <row r="25851" spans="20:20" ht="18.75" customHeight="1" x14ac:dyDescent="0.35">
      <c r="T25851" s="246">
        <f t="shared" si="441"/>
        <v>0</v>
      </c>
    </row>
    <row r="25852" spans="20:20" ht="18.75" customHeight="1" x14ac:dyDescent="0.35">
      <c r="T25852" s="246">
        <f t="shared" ref="T25852:T25915" si="442">R25852*0.01</f>
        <v>0</v>
      </c>
    </row>
    <row r="25853" spans="20:20" ht="18.75" customHeight="1" x14ac:dyDescent="0.35">
      <c r="T25853" s="246">
        <f t="shared" si="442"/>
        <v>0</v>
      </c>
    </row>
    <row r="25854" spans="20:20" ht="18.75" customHeight="1" x14ac:dyDescent="0.35">
      <c r="T25854" s="246">
        <f t="shared" si="442"/>
        <v>0</v>
      </c>
    </row>
    <row r="25855" spans="20:20" ht="18.75" customHeight="1" x14ac:dyDescent="0.35">
      <c r="T25855" s="246">
        <f t="shared" si="442"/>
        <v>0</v>
      </c>
    </row>
    <row r="25856" spans="20:20" ht="18.75" customHeight="1" x14ac:dyDescent="0.35">
      <c r="T25856" s="246">
        <f t="shared" si="442"/>
        <v>0</v>
      </c>
    </row>
    <row r="25857" spans="20:20" ht="18.75" customHeight="1" x14ac:dyDescent="0.35">
      <c r="T25857" s="246">
        <f t="shared" si="442"/>
        <v>0</v>
      </c>
    </row>
    <row r="25858" spans="20:20" ht="18.75" customHeight="1" x14ac:dyDescent="0.35">
      <c r="T25858" s="246">
        <f t="shared" si="442"/>
        <v>0</v>
      </c>
    </row>
    <row r="25859" spans="20:20" ht="18.75" customHeight="1" x14ac:dyDescent="0.35">
      <c r="T25859" s="246">
        <f t="shared" si="442"/>
        <v>0</v>
      </c>
    </row>
    <row r="25860" spans="20:20" ht="18.75" customHeight="1" x14ac:dyDescent="0.35">
      <c r="T25860" s="246">
        <f t="shared" si="442"/>
        <v>0</v>
      </c>
    </row>
    <row r="25861" spans="20:20" ht="18.75" customHeight="1" x14ac:dyDescent="0.35">
      <c r="T25861" s="246">
        <f t="shared" si="442"/>
        <v>0</v>
      </c>
    </row>
    <row r="25862" spans="20:20" ht="18.75" customHeight="1" x14ac:dyDescent="0.35">
      <c r="T25862" s="246">
        <f t="shared" si="442"/>
        <v>0</v>
      </c>
    </row>
    <row r="25863" spans="20:20" ht="18.75" customHeight="1" x14ac:dyDescent="0.35">
      <c r="T25863" s="246">
        <f t="shared" si="442"/>
        <v>0</v>
      </c>
    </row>
    <row r="25864" spans="20:20" ht="18.75" customHeight="1" x14ac:dyDescent="0.35">
      <c r="T25864" s="246">
        <f t="shared" si="442"/>
        <v>0</v>
      </c>
    </row>
    <row r="25865" spans="20:20" ht="18.75" customHeight="1" x14ac:dyDescent="0.35">
      <c r="T25865" s="246">
        <f t="shared" si="442"/>
        <v>0</v>
      </c>
    </row>
    <row r="25866" spans="20:20" ht="18.75" customHeight="1" x14ac:dyDescent="0.35">
      <c r="T25866" s="246">
        <f t="shared" si="442"/>
        <v>0</v>
      </c>
    </row>
    <row r="25867" spans="20:20" ht="18.75" customHeight="1" x14ac:dyDescent="0.35">
      <c r="T25867" s="246">
        <f t="shared" si="442"/>
        <v>0</v>
      </c>
    </row>
    <row r="25868" spans="20:20" ht="18.75" customHeight="1" x14ac:dyDescent="0.35">
      <c r="T25868" s="246">
        <f t="shared" si="442"/>
        <v>0</v>
      </c>
    </row>
    <row r="25869" spans="20:20" ht="18.75" customHeight="1" x14ac:dyDescent="0.35">
      <c r="T25869" s="246">
        <f t="shared" si="442"/>
        <v>0</v>
      </c>
    </row>
    <row r="25870" spans="20:20" ht="18.75" customHeight="1" x14ac:dyDescent="0.35">
      <c r="T25870" s="246">
        <f t="shared" si="442"/>
        <v>0</v>
      </c>
    </row>
    <row r="25871" spans="20:20" ht="18.75" customHeight="1" x14ac:dyDescent="0.35">
      <c r="T25871" s="246">
        <f t="shared" si="442"/>
        <v>0</v>
      </c>
    </row>
    <row r="25872" spans="20:20" ht="18.75" customHeight="1" x14ac:dyDescent="0.35">
      <c r="T25872" s="246">
        <f t="shared" si="442"/>
        <v>0</v>
      </c>
    </row>
    <row r="25873" spans="20:20" ht="18.75" customHeight="1" x14ac:dyDescent="0.35">
      <c r="T25873" s="246">
        <f t="shared" si="442"/>
        <v>0</v>
      </c>
    </row>
    <row r="25874" spans="20:20" ht="18.75" customHeight="1" x14ac:dyDescent="0.35">
      <c r="T25874" s="246">
        <f t="shared" si="442"/>
        <v>0</v>
      </c>
    </row>
    <row r="25875" spans="20:20" ht="18.75" customHeight="1" x14ac:dyDescent="0.35">
      <c r="T25875" s="246">
        <f t="shared" si="442"/>
        <v>0</v>
      </c>
    </row>
    <row r="25876" spans="20:20" ht="18.75" customHeight="1" x14ac:dyDescent="0.35">
      <c r="T25876" s="246">
        <f t="shared" si="442"/>
        <v>0</v>
      </c>
    </row>
    <row r="25877" spans="20:20" ht="18.75" customHeight="1" x14ac:dyDescent="0.35">
      <c r="T25877" s="246">
        <f t="shared" si="442"/>
        <v>0</v>
      </c>
    </row>
    <row r="25878" spans="20:20" ht="18.75" customHeight="1" x14ac:dyDescent="0.35">
      <c r="T25878" s="246">
        <f t="shared" si="442"/>
        <v>0</v>
      </c>
    </row>
    <row r="25879" spans="20:20" ht="18.75" customHeight="1" x14ac:dyDescent="0.35">
      <c r="T25879" s="246">
        <f t="shared" si="442"/>
        <v>0</v>
      </c>
    </row>
    <row r="25880" spans="20:20" ht="18.75" customHeight="1" x14ac:dyDescent="0.35">
      <c r="T25880" s="246">
        <f t="shared" si="442"/>
        <v>0</v>
      </c>
    </row>
    <row r="25881" spans="20:20" ht="18.75" customHeight="1" x14ac:dyDescent="0.35">
      <c r="T25881" s="246">
        <f t="shared" si="442"/>
        <v>0</v>
      </c>
    </row>
    <row r="25882" spans="20:20" ht="18.75" customHeight="1" x14ac:dyDescent="0.35">
      <c r="T25882" s="246">
        <f t="shared" si="442"/>
        <v>0</v>
      </c>
    </row>
    <row r="25883" spans="20:20" ht="18.75" customHeight="1" x14ac:dyDescent="0.35">
      <c r="T25883" s="246">
        <f t="shared" si="442"/>
        <v>0</v>
      </c>
    </row>
    <row r="25884" spans="20:20" ht="18.75" customHeight="1" x14ac:dyDescent="0.35">
      <c r="T25884" s="246">
        <f t="shared" si="442"/>
        <v>0</v>
      </c>
    </row>
    <row r="25885" spans="20:20" ht="18.75" customHeight="1" x14ac:dyDescent="0.35">
      <c r="T25885" s="246">
        <f t="shared" si="442"/>
        <v>0</v>
      </c>
    </row>
    <row r="25886" spans="20:20" ht="18.75" customHeight="1" x14ac:dyDescent="0.35">
      <c r="T25886" s="246">
        <f t="shared" si="442"/>
        <v>0</v>
      </c>
    </row>
    <row r="25887" spans="20:20" ht="18.75" customHeight="1" x14ac:dyDescent="0.35">
      <c r="T25887" s="246">
        <f t="shared" si="442"/>
        <v>0</v>
      </c>
    </row>
    <row r="25888" spans="20:20" ht="18.75" customHeight="1" x14ac:dyDescent="0.35">
      <c r="T25888" s="246">
        <f t="shared" si="442"/>
        <v>0</v>
      </c>
    </row>
    <row r="25889" spans="20:20" ht="18.75" customHeight="1" x14ac:dyDescent="0.35">
      <c r="T25889" s="246">
        <f t="shared" si="442"/>
        <v>0</v>
      </c>
    </row>
    <row r="25890" spans="20:20" ht="18.75" customHeight="1" x14ac:dyDescent="0.35">
      <c r="T25890" s="246">
        <f t="shared" si="442"/>
        <v>0</v>
      </c>
    </row>
    <row r="25891" spans="20:20" ht="18.75" customHeight="1" x14ac:dyDescent="0.35">
      <c r="T25891" s="246">
        <f t="shared" si="442"/>
        <v>0</v>
      </c>
    </row>
    <row r="25892" spans="20:20" ht="18.75" customHeight="1" x14ac:dyDescent="0.35">
      <c r="T25892" s="246">
        <f t="shared" si="442"/>
        <v>0</v>
      </c>
    </row>
    <row r="25893" spans="20:20" ht="18.75" customHeight="1" x14ac:dyDescent="0.35">
      <c r="T25893" s="246">
        <f t="shared" si="442"/>
        <v>0</v>
      </c>
    </row>
    <row r="25894" spans="20:20" ht="18.75" customHeight="1" x14ac:dyDescent="0.35">
      <c r="T25894" s="246">
        <f t="shared" si="442"/>
        <v>0</v>
      </c>
    </row>
    <row r="25895" spans="20:20" ht="18.75" customHeight="1" x14ac:dyDescent="0.35">
      <c r="T25895" s="246">
        <f t="shared" si="442"/>
        <v>0</v>
      </c>
    </row>
    <row r="25896" spans="20:20" ht="18.75" customHeight="1" x14ac:dyDescent="0.35">
      <c r="T25896" s="246">
        <f t="shared" si="442"/>
        <v>0</v>
      </c>
    </row>
    <row r="25897" spans="20:20" ht="18.75" customHeight="1" x14ac:dyDescent="0.35">
      <c r="T25897" s="246">
        <f t="shared" si="442"/>
        <v>0</v>
      </c>
    </row>
    <row r="25898" spans="20:20" ht="18.75" customHeight="1" x14ac:dyDescent="0.35">
      <c r="T25898" s="246">
        <f t="shared" si="442"/>
        <v>0</v>
      </c>
    </row>
    <row r="25899" spans="20:20" ht="18.75" customHeight="1" x14ac:dyDescent="0.35">
      <c r="T25899" s="246">
        <f t="shared" si="442"/>
        <v>0</v>
      </c>
    </row>
    <row r="25900" spans="20:20" ht="18.75" customHeight="1" x14ac:dyDescent="0.35">
      <c r="T25900" s="246">
        <f t="shared" si="442"/>
        <v>0</v>
      </c>
    </row>
    <row r="25901" spans="20:20" ht="18.75" customHeight="1" x14ac:dyDescent="0.35">
      <c r="T25901" s="246">
        <f t="shared" si="442"/>
        <v>0</v>
      </c>
    </row>
    <row r="25902" spans="20:20" ht="18.75" customHeight="1" x14ac:dyDescent="0.35">
      <c r="T25902" s="246">
        <f t="shared" si="442"/>
        <v>0</v>
      </c>
    </row>
    <row r="25903" spans="20:20" ht="18.75" customHeight="1" x14ac:dyDescent="0.35">
      <c r="T25903" s="246">
        <f t="shared" si="442"/>
        <v>0</v>
      </c>
    </row>
    <row r="25904" spans="20:20" ht="18.75" customHeight="1" x14ac:dyDescent="0.35">
      <c r="T25904" s="246">
        <f t="shared" si="442"/>
        <v>0</v>
      </c>
    </row>
    <row r="25905" spans="20:20" ht="18.75" customHeight="1" x14ac:dyDescent="0.35">
      <c r="T25905" s="246">
        <f t="shared" si="442"/>
        <v>0</v>
      </c>
    </row>
    <row r="25906" spans="20:20" ht="18.75" customHeight="1" x14ac:dyDescent="0.35">
      <c r="T25906" s="246">
        <f t="shared" si="442"/>
        <v>0</v>
      </c>
    </row>
    <row r="25907" spans="20:20" ht="18.75" customHeight="1" x14ac:dyDescent="0.35">
      <c r="T25907" s="246">
        <f t="shared" si="442"/>
        <v>0</v>
      </c>
    </row>
    <row r="25908" spans="20:20" ht="18.75" customHeight="1" x14ac:dyDescent="0.35">
      <c r="T25908" s="246">
        <f t="shared" si="442"/>
        <v>0</v>
      </c>
    </row>
    <row r="25909" spans="20:20" ht="18.75" customHeight="1" x14ac:dyDescent="0.35">
      <c r="T25909" s="246">
        <f t="shared" si="442"/>
        <v>0</v>
      </c>
    </row>
    <row r="25910" spans="20:20" ht="18.75" customHeight="1" x14ac:dyDescent="0.35">
      <c r="T25910" s="246">
        <f t="shared" si="442"/>
        <v>0</v>
      </c>
    </row>
    <row r="25911" spans="20:20" ht="18.75" customHeight="1" x14ac:dyDescent="0.35">
      <c r="T25911" s="246">
        <f t="shared" si="442"/>
        <v>0</v>
      </c>
    </row>
    <row r="25912" spans="20:20" ht="18.75" customHeight="1" x14ac:dyDescent="0.35">
      <c r="T25912" s="246">
        <f t="shared" si="442"/>
        <v>0</v>
      </c>
    </row>
    <row r="25913" spans="20:20" ht="18.75" customHeight="1" x14ac:dyDescent="0.35">
      <c r="T25913" s="246">
        <f t="shared" si="442"/>
        <v>0</v>
      </c>
    </row>
    <row r="25914" spans="20:20" ht="18.75" customHeight="1" x14ac:dyDescent="0.35">
      <c r="T25914" s="246">
        <f t="shared" si="442"/>
        <v>0</v>
      </c>
    </row>
    <row r="25915" spans="20:20" ht="18.75" customHeight="1" x14ac:dyDescent="0.35">
      <c r="T25915" s="246">
        <f t="shared" si="442"/>
        <v>0</v>
      </c>
    </row>
    <row r="25916" spans="20:20" ht="18.75" customHeight="1" x14ac:dyDescent="0.35">
      <c r="T25916" s="246">
        <f t="shared" ref="T25916:T25979" si="443">R25916*0.01</f>
        <v>0</v>
      </c>
    </row>
    <row r="25917" spans="20:20" ht="18.75" customHeight="1" x14ac:dyDescent="0.35">
      <c r="T25917" s="246">
        <f t="shared" si="443"/>
        <v>0</v>
      </c>
    </row>
    <row r="25918" spans="20:20" ht="18.75" customHeight="1" x14ac:dyDescent="0.35">
      <c r="T25918" s="246">
        <f t="shared" si="443"/>
        <v>0</v>
      </c>
    </row>
    <row r="25919" spans="20:20" ht="18.75" customHeight="1" x14ac:dyDescent="0.35">
      <c r="T25919" s="246">
        <f t="shared" si="443"/>
        <v>0</v>
      </c>
    </row>
    <row r="25920" spans="20:20" ht="18.75" customHeight="1" x14ac:dyDescent="0.35">
      <c r="T25920" s="246">
        <f t="shared" si="443"/>
        <v>0</v>
      </c>
    </row>
    <row r="25921" spans="20:20" ht="18.75" customHeight="1" x14ac:dyDescent="0.35">
      <c r="T25921" s="246">
        <f t="shared" si="443"/>
        <v>0</v>
      </c>
    </row>
    <row r="25922" spans="20:20" ht="18.75" customHeight="1" x14ac:dyDescent="0.35">
      <c r="T25922" s="246">
        <f t="shared" si="443"/>
        <v>0</v>
      </c>
    </row>
    <row r="25923" spans="20:20" ht="18.75" customHeight="1" x14ac:dyDescent="0.35">
      <c r="T25923" s="246">
        <f t="shared" si="443"/>
        <v>0</v>
      </c>
    </row>
    <row r="25924" spans="20:20" ht="18.75" customHeight="1" x14ac:dyDescent="0.35">
      <c r="T25924" s="246">
        <f t="shared" si="443"/>
        <v>0</v>
      </c>
    </row>
    <row r="25925" spans="20:20" ht="18.75" customHeight="1" x14ac:dyDescent="0.35">
      <c r="T25925" s="246">
        <f t="shared" si="443"/>
        <v>0</v>
      </c>
    </row>
    <row r="25926" spans="20:20" ht="18.75" customHeight="1" x14ac:dyDescent="0.35">
      <c r="T25926" s="246">
        <f t="shared" si="443"/>
        <v>0</v>
      </c>
    </row>
    <row r="25927" spans="20:20" ht="18.75" customHeight="1" x14ac:dyDescent="0.35">
      <c r="T25927" s="246">
        <f t="shared" si="443"/>
        <v>0</v>
      </c>
    </row>
    <row r="25928" spans="20:20" ht="18.75" customHeight="1" x14ac:dyDescent="0.35">
      <c r="T25928" s="246">
        <f t="shared" si="443"/>
        <v>0</v>
      </c>
    </row>
    <row r="25929" spans="20:20" ht="18.75" customHeight="1" x14ac:dyDescent="0.35">
      <c r="T25929" s="246">
        <f t="shared" si="443"/>
        <v>0</v>
      </c>
    </row>
    <row r="25930" spans="20:20" ht="18.75" customHeight="1" x14ac:dyDescent="0.35">
      <c r="T25930" s="246">
        <f t="shared" si="443"/>
        <v>0</v>
      </c>
    </row>
    <row r="25931" spans="20:20" ht="18.75" customHeight="1" x14ac:dyDescent="0.35">
      <c r="T25931" s="246">
        <f t="shared" si="443"/>
        <v>0</v>
      </c>
    </row>
    <row r="25932" spans="20:20" ht="18.75" customHeight="1" x14ac:dyDescent="0.35">
      <c r="T25932" s="246">
        <f t="shared" si="443"/>
        <v>0</v>
      </c>
    </row>
    <row r="25933" spans="20:20" ht="18.75" customHeight="1" x14ac:dyDescent="0.35">
      <c r="T25933" s="246">
        <f t="shared" si="443"/>
        <v>0</v>
      </c>
    </row>
    <row r="25934" spans="20:20" ht="18.75" customHeight="1" x14ac:dyDescent="0.35">
      <c r="T25934" s="246">
        <f t="shared" si="443"/>
        <v>0</v>
      </c>
    </row>
    <row r="25935" spans="20:20" ht="18.75" customHeight="1" x14ac:dyDescent="0.35">
      <c r="T25935" s="246">
        <f t="shared" si="443"/>
        <v>0</v>
      </c>
    </row>
    <row r="25936" spans="20:20" ht="18.75" customHeight="1" x14ac:dyDescent="0.35">
      <c r="T25936" s="246">
        <f t="shared" si="443"/>
        <v>0</v>
      </c>
    </row>
    <row r="25937" spans="20:20" ht="18.75" customHeight="1" x14ac:dyDescent="0.35">
      <c r="T25937" s="246">
        <f t="shared" si="443"/>
        <v>0</v>
      </c>
    </row>
    <row r="25938" spans="20:20" ht="18.75" customHeight="1" x14ac:dyDescent="0.35">
      <c r="T25938" s="246">
        <f t="shared" si="443"/>
        <v>0</v>
      </c>
    </row>
    <row r="25939" spans="20:20" ht="18.75" customHeight="1" x14ac:dyDescent="0.35">
      <c r="T25939" s="246">
        <f t="shared" si="443"/>
        <v>0</v>
      </c>
    </row>
    <row r="25940" spans="20:20" ht="18.75" customHeight="1" x14ac:dyDescent="0.35">
      <c r="T25940" s="246">
        <f t="shared" si="443"/>
        <v>0</v>
      </c>
    </row>
    <row r="25941" spans="20:20" ht="18.75" customHeight="1" x14ac:dyDescent="0.35">
      <c r="T25941" s="246">
        <f t="shared" si="443"/>
        <v>0</v>
      </c>
    </row>
    <row r="25942" spans="20:20" ht="18.75" customHeight="1" x14ac:dyDescent="0.35">
      <c r="T25942" s="246">
        <f t="shared" si="443"/>
        <v>0</v>
      </c>
    </row>
    <row r="25943" spans="20:20" ht="18.75" customHeight="1" x14ac:dyDescent="0.35">
      <c r="T25943" s="246">
        <f t="shared" si="443"/>
        <v>0</v>
      </c>
    </row>
    <row r="25944" spans="20:20" ht="18.75" customHeight="1" x14ac:dyDescent="0.35">
      <c r="T25944" s="246">
        <f t="shared" si="443"/>
        <v>0</v>
      </c>
    </row>
    <row r="25945" spans="20:20" ht="18.75" customHeight="1" x14ac:dyDescent="0.35">
      <c r="T25945" s="246">
        <f t="shared" si="443"/>
        <v>0</v>
      </c>
    </row>
    <row r="25946" spans="20:20" ht="18.75" customHeight="1" x14ac:dyDescent="0.35">
      <c r="T25946" s="246">
        <f t="shared" si="443"/>
        <v>0</v>
      </c>
    </row>
    <row r="25947" spans="20:20" ht="18.75" customHeight="1" x14ac:dyDescent="0.35">
      <c r="T25947" s="246">
        <f t="shared" si="443"/>
        <v>0</v>
      </c>
    </row>
    <row r="25948" spans="20:20" ht="18.75" customHeight="1" x14ac:dyDescent="0.35">
      <c r="T25948" s="246">
        <f t="shared" si="443"/>
        <v>0</v>
      </c>
    </row>
    <row r="25949" spans="20:20" ht="18.75" customHeight="1" x14ac:dyDescent="0.35">
      <c r="T25949" s="246">
        <f t="shared" si="443"/>
        <v>0</v>
      </c>
    </row>
    <row r="25950" spans="20:20" ht="18.75" customHeight="1" x14ac:dyDescent="0.35">
      <c r="T25950" s="246">
        <f t="shared" si="443"/>
        <v>0</v>
      </c>
    </row>
    <row r="25951" spans="20:20" ht="18.75" customHeight="1" x14ac:dyDescent="0.35">
      <c r="T25951" s="246">
        <f t="shared" si="443"/>
        <v>0</v>
      </c>
    </row>
    <row r="25952" spans="20:20" ht="18.75" customHeight="1" x14ac:dyDescent="0.35">
      <c r="T25952" s="246">
        <f t="shared" si="443"/>
        <v>0</v>
      </c>
    </row>
    <row r="25953" spans="20:20" ht="18.75" customHeight="1" x14ac:dyDescent="0.35">
      <c r="T25953" s="246">
        <f t="shared" si="443"/>
        <v>0</v>
      </c>
    </row>
    <row r="25954" spans="20:20" ht="18.75" customHeight="1" x14ac:dyDescent="0.35">
      <c r="T25954" s="246">
        <f t="shared" si="443"/>
        <v>0</v>
      </c>
    </row>
    <row r="25955" spans="20:20" ht="18.75" customHeight="1" x14ac:dyDescent="0.35">
      <c r="T25955" s="246">
        <f t="shared" si="443"/>
        <v>0</v>
      </c>
    </row>
    <row r="25956" spans="20:20" ht="18.75" customHeight="1" x14ac:dyDescent="0.35">
      <c r="T25956" s="246">
        <f t="shared" si="443"/>
        <v>0</v>
      </c>
    </row>
    <row r="25957" spans="20:20" ht="18.75" customHeight="1" x14ac:dyDescent="0.35">
      <c r="T25957" s="246">
        <f t="shared" si="443"/>
        <v>0</v>
      </c>
    </row>
    <row r="25958" spans="20:20" ht="18.75" customHeight="1" x14ac:dyDescent="0.35">
      <c r="T25958" s="246">
        <f t="shared" si="443"/>
        <v>0</v>
      </c>
    </row>
    <row r="25959" spans="20:20" ht="18.75" customHeight="1" x14ac:dyDescent="0.35">
      <c r="T25959" s="246">
        <f t="shared" si="443"/>
        <v>0</v>
      </c>
    </row>
    <row r="25960" spans="20:20" ht="18.75" customHeight="1" x14ac:dyDescent="0.35">
      <c r="T25960" s="246">
        <f t="shared" si="443"/>
        <v>0</v>
      </c>
    </row>
    <row r="25961" spans="20:20" ht="18.75" customHeight="1" x14ac:dyDescent="0.35">
      <c r="T25961" s="246">
        <f t="shared" si="443"/>
        <v>0</v>
      </c>
    </row>
    <row r="25962" spans="20:20" ht="18.75" customHeight="1" x14ac:dyDescent="0.35">
      <c r="T25962" s="246">
        <f t="shared" si="443"/>
        <v>0</v>
      </c>
    </row>
    <row r="25963" spans="20:20" ht="18.75" customHeight="1" x14ac:dyDescent="0.35">
      <c r="T25963" s="246">
        <f t="shared" si="443"/>
        <v>0</v>
      </c>
    </row>
    <row r="25964" spans="20:20" ht="18.75" customHeight="1" x14ac:dyDescent="0.35">
      <c r="T25964" s="246">
        <f t="shared" si="443"/>
        <v>0</v>
      </c>
    </row>
    <row r="25965" spans="20:20" ht="18.75" customHeight="1" x14ac:dyDescent="0.35">
      <c r="T25965" s="246">
        <f t="shared" si="443"/>
        <v>0</v>
      </c>
    </row>
    <row r="25966" spans="20:20" ht="18.75" customHeight="1" x14ac:dyDescent="0.35">
      <c r="T25966" s="246">
        <f t="shared" si="443"/>
        <v>0</v>
      </c>
    </row>
    <row r="25967" spans="20:20" ht="18.75" customHeight="1" x14ac:dyDescent="0.35">
      <c r="T25967" s="246">
        <f t="shared" si="443"/>
        <v>0</v>
      </c>
    </row>
    <row r="25968" spans="20:20" ht="18.75" customHeight="1" x14ac:dyDescent="0.35">
      <c r="T25968" s="246">
        <f t="shared" si="443"/>
        <v>0</v>
      </c>
    </row>
    <row r="25969" spans="20:20" ht="18.75" customHeight="1" x14ac:dyDescent="0.35">
      <c r="T25969" s="246">
        <f t="shared" si="443"/>
        <v>0</v>
      </c>
    </row>
    <row r="25970" spans="20:20" ht="18.75" customHeight="1" x14ac:dyDescent="0.35">
      <c r="T25970" s="246">
        <f t="shared" si="443"/>
        <v>0</v>
      </c>
    </row>
    <row r="25971" spans="20:20" ht="18.75" customHeight="1" x14ac:dyDescent="0.35">
      <c r="T25971" s="246">
        <f t="shared" si="443"/>
        <v>0</v>
      </c>
    </row>
    <row r="25972" spans="20:20" ht="18.75" customHeight="1" x14ac:dyDescent="0.35">
      <c r="T25972" s="246">
        <f t="shared" si="443"/>
        <v>0</v>
      </c>
    </row>
    <row r="25973" spans="20:20" ht="18.75" customHeight="1" x14ac:dyDescent="0.35">
      <c r="T25973" s="246">
        <f t="shared" si="443"/>
        <v>0</v>
      </c>
    </row>
    <row r="25974" spans="20:20" ht="18.75" customHeight="1" x14ac:dyDescent="0.35">
      <c r="T25974" s="246">
        <f t="shared" si="443"/>
        <v>0</v>
      </c>
    </row>
    <row r="25975" spans="20:20" ht="18.75" customHeight="1" x14ac:dyDescent="0.35">
      <c r="T25975" s="246">
        <f t="shared" si="443"/>
        <v>0</v>
      </c>
    </row>
    <row r="25976" spans="20:20" ht="18.75" customHeight="1" x14ac:dyDescent="0.35">
      <c r="T25976" s="246">
        <f t="shared" si="443"/>
        <v>0</v>
      </c>
    </row>
    <row r="25977" spans="20:20" ht="18.75" customHeight="1" x14ac:dyDescent="0.35">
      <c r="T25977" s="246">
        <f t="shared" si="443"/>
        <v>0</v>
      </c>
    </row>
    <row r="25978" spans="20:20" ht="18.75" customHeight="1" x14ac:dyDescent="0.35">
      <c r="T25978" s="246">
        <f t="shared" si="443"/>
        <v>0</v>
      </c>
    </row>
    <row r="25979" spans="20:20" ht="18.75" customHeight="1" x14ac:dyDescent="0.35">
      <c r="T25979" s="246">
        <f t="shared" si="443"/>
        <v>0</v>
      </c>
    </row>
    <row r="25980" spans="20:20" ht="18.75" customHeight="1" x14ac:dyDescent="0.35">
      <c r="T25980" s="246">
        <f t="shared" ref="T25980:T26043" si="444">R25980*0.01</f>
        <v>0</v>
      </c>
    </row>
    <row r="25981" spans="20:20" ht="18.75" customHeight="1" x14ac:dyDescent="0.35">
      <c r="T25981" s="246">
        <f t="shared" si="444"/>
        <v>0</v>
      </c>
    </row>
    <row r="25982" spans="20:20" ht="18.75" customHeight="1" x14ac:dyDescent="0.35">
      <c r="T25982" s="246">
        <f t="shared" si="444"/>
        <v>0</v>
      </c>
    </row>
    <row r="25983" spans="20:20" ht="18.75" customHeight="1" x14ac:dyDescent="0.35">
      <c r="T25983" s="246">
        <f t="shared" si="444"/>
        <v>0</v>
      </c>
    </row>
    <row r="25984" spans="20:20" ht="18.75" customHeight="1" x14ac:dyDescent="0.35">
      <c r="T25984" s="246">
        <f t="shared" si="444"/>
        <v>0</v>
      </c>
    </row>
    <row r="25985" spans="20:20" ht="18.75" customHeight="1" x14ac:dyDescent="0.35">
      <c r="T25985" s="246">
        <f t="shared" si="444"/>
        <v>0</v>
      </c>
    </row>
    <row r="25986" spans="20:20" ht="18.75" customHeight="1" x14ac:dyDescent="0.35">
      <c r="T25986" s="246">
        <f t="shared" si="444"/>
        <v>0</v>
      </c>
    </row>
    <row r="25987" spans="20:20" ht="18.75" customHeight="1" x14ac:dyDescent="0.35">
      <c r="T25987" s="246">
        <f t="shared" si="444"/>
        <v>0</v>
      </c>
    </row>
    <row r="25988" spans="20:20" ht="18.75" customHeight="1" x14ac:dyDescent="0.35">
      <c r="T25988" s="246">
        <f t="shared" si="444"/>
        <v>0</v>
      </c>
    </row>
    <row r="25989" spans="20:20" ht="18.75" customHeight="1" x14ac:dyDescent="0.35">
      <c r="T25989" s="246">
        <f t="shared" si="444"/>
        <v>0</v>
      </c>
    </row>
    <row r="25990" spans="20:20" ht="18.75" customHeight="1" x14ac:dyDescent="0.35">
      <c r="T25990" s="246">
        <f t="shared" si="444"/>
        <v>0</v>
      </c>
    </row>
    <row r="25991" spans="20:20" ht="18.75" customHeight="1" x14ac:dyDescent="0.35">
      <c r="T25991" s="246">
        <f t="shared" si="444"/>
        <v>0</v>
      </c>
    </row>
    <row r="25992" spans="20:20" ht="18.75" customHeight="1" x14ac:dyDescent="0.35">
      <c r="T25992" s="246">
        <f t="shared" si="444"/>
        <v>0</v>
      </c>
    </row>
    <row r="25993" spans="20:20" ht="18.75" customHeight="1" x14ac:dyDescent="0.35">
      <c r="T25993" s="246">
        <f t="shared" si="444"/>
        <v>0</v>
      </c>
    </row>
    <row r="25994" spans="20:20" ht="18.75" customHeight="1" x14ac:dyDescent="0.35">
      <c r="T25994" s="246">
        <f t="shared" si="444"/>
        <v>0</v>
      </c>
    </row>
    <row r="25995" spans="20:20" ht="18.75" customHeight="1" x14ac:dyDescent="0.35">
      <c r="T25995" s="246">
        <f t="shared" si="444"/>
        <v>0</v>
      </c>
    </row>
    <row r="25996" spans="20:20" ht="18.75" customHeight="1" x14ac:dyDescent="0.35">
      <c r="T25996" s="246">
        <f t="shared" si="444"/>
        <v>0</v>
      </c>
    </row>
    <row r="25997" spans="20:20" ht="18.75" customHeight="1" x14ac:dyDescent="0.35">
      <c r="T25997" s="246">
        <f t="shared" si="444"/>
        <v>0</v>
      </c>
    </row>
    <row r="25998" spans="20:20" ht="18.75" customHeight="1" x14ac:dyDescent="0.35">
      <c r="T25998" s="246">
        <f t="shared" si="444"/>
        <v>0</v>
      </c>
    </row>
    <row r="25999" spans="20:20" ht="18.75" customHeight="1" x14ac:dyDescent="0.35">
      <c r="T25999" s="246">
        <f t="shared" si="444"/>
        <v>0</v>
      </c>
    </row>
    <row r="26000" spans="20:20" ht="18.75" customHeight="1" x14ac:dyDescent="0.35">
      <c r="T26000" s="246">
        <f t="shared" si="444"/>
        <v>0</v>
      </c>
    </row>
    <row r="26001" spans="20:20" ht="18.75" customHeight="1" x14ac:dyDescent="0.35">
      <c r="T26001" s="246">
        <f t="shared" si="444"/>
        <v>0</v>
      </c>
    </row>
    <row r="26002" spans="20:20" ht="18.75" customHeight="1" x14ac:dyDescent="0.35">
      <c r="T26002" s="246">
        <f t="shared" si="444"/>
        <v>0</v>
      </c>
    </row>
    <row r="26003" spans="20:20" ht="18.75" customHeight="1" x14ac:dyDescent="0.35">
      <c r="T26003" s="246">
        <f t="shared" si="444"/>
        <v>0</v>
      </c>
    </row>
    <row r="26004" spans="20:20" ht="18.75" customHeight="1" x14ac:dyDescent="0.35">
      <c r="T26004" s="246">
        <f t="shared" si="444"/>
        <v>0</v>
      </c>
    </row>
    <row r="26005" spans="20:20" ht="18.75" customHeight="1" x14ac:dyDescent="0.35">
      <c r="T26005" s="246">
        <f t="shared" si="444"/>
        <v>0</v>
      </c>
    </row>
    <row r="26006" spans="20:20" ht="18.75" customHeight="1" x14ac:dyDescent="0.35">
      <c r="T26006" s="246">
        <f t="shared" si="444"/>
        <v>0</v>
      </c>
    </row>
    <row r="26007" spans="20:20" ht="18.75" customHeight="1" x14ac:dyDescent="0.35">
      <c r="T26007" s="246">
        <f t="shared" si="444"/>
        <v>0</v>
      </c>
    </row>
    <row r="26008" spans="20:20" ht="18.75" customHeight="1" x14ac:dyDescent="0.35">
      <c r="T26008" s="246">
        <f t="shared" si="444"/>
        <v>0</v>
      </c>
    </row>
    <row r="26009" spans="20:20" ht="18.75" customHeight="1" x14ac:dyDescent="0.35">
      <c r="T26009" s="246">
        <f t="shared" si="444"/>
        <v>0</v>
      </c>
    </row>
    <row r="26010" spans="20:20" ht="18.75" customHeight="1" x14ac:dyDescent="0.35">
      <c r="T26010" s="246">
        <f t="shared" si="444"/>
        <v>0</v>
      </c>
    </row>
    <row r="26011" spans="20:20" ht="18.75" customHeight="1" x14ac:dyDescent="0.35">
      <c r="T26011" s="246">
        <f t="shared" si="444"/>
        <v>0</v>
      </c>
    </row>
    <row r="26012" spans="20:20" ht="18.75" customHeight="1" x14ac:dyDescent="0.35">
      <c r="T26012" s="246">
        <f t="shared" si="444"/>
        <v>0</v>
      </c>
    </row>
    <row r="26013" spans="20:20" ht="18.75" customHeight="1" x14ac:dyDescent="0.35">
      <c r="T26013" s="246">
        <f t="shared" si="444"/>
        <v>0</v>
      </c>
    </row>
    <row r="26014" spans="20:20" ht="18.75" customHeight="1" x14ac:dyDescent="0.35">
      <c r="T26014" s="246">
        <f t="shared" si="444"/>
        <v>0</v>
      </c>
    </row>
    <row r="26015" spans="20:20" ht="18.75" customHeight="1" x14ac:dyDescent="0.35">
      <c r="T26015" s="246">
        <f t="shared" si="444"/>
        <v>0</v>
      </c>
    </row>
    <row r="26016" spans="20:20" ht="18.75" customHeight="1" x14ac:dyDescent="0.35">
      <c r="T26016" s="246">
        <f t="shared" si="444"/>
        <v>0</v>
      </c>
    </row>
    <row r="26017" spans="20:20" ht="18.75" customHeight="1" x14ac:dyDescent="0.35">
      <c r="T26017" s="246">
        <f t="shared" si="444"/>
        <v>0</v>
      </c>
    </row>
    <row r="26018" spans="20:20" ht="18.75" customHeight="1" x14ac:dyDescent="0.35">
      <c r="T26018" s="246">
        <f t="shared" si="444"/>
        <v>0</v>
      </c>
    </row>
    <row r="26019" spans="20:20" ht="18.75" customHeight="1" x14ac:dyDescent="0.35">
      <c r="T26019" s="246">
        <f t="shared" si="444"/>
        <v>0</v>
      </c>
    </row>
    <row r="26020" spans="20:20" ht="18.75" customHeight="1" x14ac:dyDescent="0.35">
      <c r="T26020" s="246">
        <f t="shared" si="444"/>
        <v>0</v>
      </c>
    </row>
    <row r="26021" spans="20:20" ht="18.75" customHeight="1" x14ac:dyDescent="0.35">
      <c r="T26021" s="246">
        <f t="shared" si="444"/>
        <v>0</v>
      </c>
    </row>
    <row r="26022" spans="20:20" ht="18.75" customHeight="1" x14ac:dyDescent="0.35">
      <c r="T26022" s="246">
        <f t="shared" si="444"/>
        <v>0</v>
      </c>
    </row>
    <row r="26023" spans="20:20" ht="18.75" customHeight="1" x14ac:dyDescent="0.35">
      <c r="T26023" s="246">
        <f t="shared" si="444"/>
        <v>0</v>
      </c>
    </row>
    <row r="26024" spans="20:20" ht="18.75" customHeight="1" x14ac:dyDescent="0.35">
      <c r="T26024" s="246">
        <f t="shared" si="444"/>
        <v>0</v>
      </c>
    </row>
    <row r="26025" spans="20:20" ht="18.75" customHeight="1" x14ac:dyDescent="0.35">
      <c r="T26025" s="246">
        <f t="shared" si="444"/>
        <v>0</v>
      </c>
    </row>
    <row r="26026" spans="20:20" ht="18.75" customHeight="1" x14ac:dyDescent="0.35">
      <c r="T26026" s="246">
        <f t="shared" si="444"/>
        <v>0</v>
      </c>
    </row>
    <row r="26027" spans="20:20" ht="18.75" customHeight="1" x14ac:dyDescent="0.35">
      <c r="T26027" s="246">
        <f t="shared" si="444"/>
        <v>0</v>
      </c>
    </row>
    <row r="26028" spans="20:20" ht="18.75" customHeight="1" x14ac:dyDescent="0.35">
      <c r="T26028" s="246">
        <f t="shared" si="444"/>
        <v>0</v>
      </c>
    </row>
    <row r="26029" spans="20:20" ht="18.75" customHeight="1" x14ac:dyDescent="0.35">
      <c r="T26029" s="246">
        <f t="shared" si="444"/>
        <v>0</v>
      </c>
    </row>
    <row r="26030" spans="20:20" ht="18.75" customHeight="1" x14ac:dyDescent="0.35">
      <c r="T26030" s="246">
        <f t="shared" si="444"/>
        <v>0</v>
      </c>
    </row>
    <row r="26031" spans="20:20" ht="18.75" customHeight="1" x14ac:dyDescent="0.35">
      <c r="T26031" s="246">
        <f t="shared" si="444"/>
        <v>0</v>
      </c>
    </row>
    <row r="26032" spans="20:20" ht="18.75" customHeight="1" x14ac:dyDescent="0.35">
      <c r="T26032" s="246">
        <f t="shared" si="444"/>
        <v>0</v>
      </c>
    </row>
    <row r="26033" spans="20:20" ht="18.75" customHeight="1" x14ac:dyDescent="0.35">
      <c r="T26033" s="246">
        <f t="shared" si="444"/>
        <v>0</v>
      </c>
    </row>
    <row r="26034" spans="20:20" ht="18.75" customHeight="1" x14ac:dyDescent="0.35">
      <c r="T26034" s="246">
        <f t="shared" si="444"/>
        <v>0</v>
      </c>
    </row>
    <row r="26035" spans="20:20" ht="18.75" customHeight="1" x14ac:dyDescent="0.35">
      <c r="T26035" s="246">
        <f t="shared" si="444"/>
        <v>0</v>
      </c>
    </row>
    <row r="26036" spans="20:20" ht="18.75" customHeight="1" x14ac:dyDescent="0.35">
      <c r="T26036" s="246">
        <f t="shared" si="444"/>
        <v>0</v>
      </c>
    </row>
    <row r="26037" spans="20:20" ht="18.75" customHeight="1" x14ac:dyDescent="0.35">
      <c r="T26037" s="246">
        <f t="shared" si="444"/>
        <v>0</v>
      </c>
    </row>
    <row r="26038" spans="20:20" ht="18.75" customHeight="1" x14ac:dyDescent="0.35">
      <c r="T26038" s="246">
        <f t="shared" si="444"/>
        <v>0</v>
      </c>
    </row>
    <row r="26039" spans="20:20" ht="18.75" customHeight="1" x14ac:dyDescent="0.35">
      <c r="T26039" s="246">
        <f t="shared" si="444"/>
        <v>0</v>
      </c>
    </row>
    <row r="26040" spans="20:20" ht="18.75" customHeight="1" x14ac:dyDescent="0.35">
      <c r="T26040" s="246">
        <f t="shared" si="444"/>
        <v>0</v>
      </c>
    </row>
    <row r="26041" spans="20:20" ht="18.75" customHeight="1" x14ac:dyDescent="0.35">
      <c r="T26041" s="246">
        <f t="shared" si="444"/>
        <v>0</v>
      </c>
    </row>
    <row r="26042" spans="20:20" ht="18.75" customHeight="1" x14ac:dyDescent="0.35">
      <c r="T26042" s="246">
        <f t="shared" si="444"/>
        <v>0</v>
      </c>
    </row>
    <row r="26043" spans="20:20" ht="18.75" customHeight="1" x14ac:dyDescent="0.35">
      <c r="T26043" s="246">
        <f t="shared" si="444"/>
        <v>0</v>
      </c>
    </row>
    <row r="26044" spans="20:20" ht="18.75" customHeight="1" x14ac:dyDescent="0.35">
      <c r="T26044" s="246">
        <f t="shared" ref="T26044:T26107" si="445">R26044*0.01</f>
        <v>0</v>
      </c>
    </row>
    <row r="26045" spans="20:20" ht="18.75" customHeight="1" x14ac:dyDescent="0.35">
      <c r="T26045" s="246">
        <f t="shared" si="445"/>
        <v>0</v>
      </c>
    </row>
    <row r="26046" spans="20:20" ht="18.75" customHeight="1" x14ac:dyDescent="0.35">
      <c r="T26046" s="246">
        <f t="shared" si="445"/>
        <v>0</v>
      </c>
    </row>
    <row r="26047" spans="20:20" ht="18.75" customHeight="1" x14ac:dyDescent="0.35">
      <c r="T26047" s="246">
        <f t="shared" si="445"/>
        <v>0</v>
      </c>
    </row>
    <row r="26048" spans="20:20" ht="18.75" customHeight="1" x14ac:dyDescent="0.35">
      <c r="T26048" s="246">
        <f t="shared" si="445"/>
        <v>0</v>
      </c>
    </row>
    <row r="26049" spans="20:20" ht="18.75" customHeight="1" x14ac:dyDescent="0.35">
      <c r="T26049" s="246">
        <f t="shared" si="445"/>
        <v>0</v>
      </c>
    </row>
    <row r="26050" spans="20:20" ht="18.75" customHeight="1" x14ac:dyDescent="0.35">
      <c r="T26050" s="246">
        <f t="shared" si="445"/>
        <v>0</v>
      </c>
    </row>
    <row r="26051" spans="20:20" ht="18.75" customHeight="1" x14ac:dyDescent="0.35">
      <c r="T26051" s="246">
        <f t="shared" si="445"/>
        <v>0</v>
      </c>
    </row>
    <row r="26052" spans="20:20" ht="18.75" customHeight="1" x14ac:dyDescent="0.35">
      <c r="T26052" s="246">
        <f t="shared" si="445"/>
        <v>0</v>
      </c>
    </row>
    <row r="26053" spans="20:20" ht="18.75" customHeight="1" x14ac:dyDescent="0.35">
      <c r="T26053" s="246">
        <f t="shared" si="445"/>
        <v>0</v>
      </c>
    </row>
    <row r="26054" spans="20:20" ht="18.75" customHeight="1" x14ac:dyDescent="0.35">
      <c r="T26054" s="246">
        <f t="shared" si="445"/>
        <v>0</v>
      </c>
    </row>
    <row r="26055" spans="20:20" ht="18.75" customHeight="1" x14ac:dyDescent="0.35">
      <c r="T26055" s="246">
        <f t="shared" si="445"/>
        <v>0</v>
      </c>
    </row>
    <row r="26056" spans="20:20" ht="18.75" customHeight="1" x14ac:dyDescent="0.35">
      <c r="T26056" s="246">
        <f t="shared" si="445"/>
        <v>0</v>
      </c>
    </row>
    <row r="26057" spans="20:20" ht="18.75" customHeight="1" x14ac:dyDescent="0.35">
      <c r="T26057" s="246">
        <f t="shared" si="445"/>
        <v>0</v>
      </c>
    </row>
    <row r="26058" spans="20:20" ht="18.75" customHeight="1" x14ac:dyDescent="0.35">
      <c r="T26058" s="246">
        <f t="shared" si="445"/>
        <v>0</v>
      </c>
    </row>
    <row r="26059" spans="20:20" ht="18.75" customHeight="1" x14ac:dyDescent="0.35">
      <c r="T26059" s="246">
        <f t="shared" si="445"/>
        <v>0</v>
      </c>
    </row>
    <row r="26060" spans="20:20" ht="18.75" customHeight="1" x14ac:dyDescent="0.35">
      <c r="T26060" s="246">
        <f t="shared" si="445"/>
        <v>0</v>
      </c>
    </row>
    <row r="26061" spans="20:20" ht="18.75" customHeight="1" x14ac:dyDescent="0.35">
      <c r="T26061" s="246">
        <f t="shared" si="445"/>
        <v>0</v>
      </c>
    </row>
    <row r="26062" spans="20:20" ht="18.75" customHeight="1" x14ac:dyDescent="0.35">
      <c r="T26062" s="246">
        <f t="shared" si="445"/>
        <v>0</v>
      </c>
    </row>
    <row r="26063" spans="20:20" ht="18.75" customHeight="1" x14ac:dyDescent="0.35">
      <c r="T26063" s="246">
        <f t="shared" si="445"/>
        <v>0</v>
      </c>
    </row>
    <row r="26064" spans="20:20" ht="18.75" customHeight="1" x14ac:dyDescent="0.35">
      <c r="T26064" s="246">
        <f t="shared" si="445"/>
        <v>0</v>
      </c>
    </row>
    <row r="26065" spans="20:20" ht="18.75" customHeight="1" x14ac:dyDescent="0.35">
      <c r="T26065" s="246">
        <f t="shared" si="445"/>
        <v>0</v>
      </c>
    </row>
    <row r="26066" spans="20:20" ht="18.75" customHeight="1" x14ac:dyDescent="0.35">
      <c r="T26066" s="246">
        <f t="shared" si="445"/>
        <v>0</v>
      </c>
    </row>
    <row r="26067" spans="20:20" ht="18.75" customHeight="1" x14ac:dyDescent="0.35">
      <c r="T26067" s="246">
        <f t="shared" si="445"/>
        <v>0</v>
      </c>
    </row>
    <row r="26068" spans="20:20" ht="18.75" customHeight="1" x14ac:dyDescent="0.35">
      <c r="T26068" s="246">
        <f t="shared" si="445"/>
        <v>0</v>
      </c>
    </row>
    <row r="26069" spans="20:20" ht="18.75" customHeight="1" x14ac:dyDescent="0.35">
      <c r="T26069" s="246">
        <f t="shared" si="445"/>
        <v>0</v>
      </c>
    </row>
    <row r="26070" spans="20:20" ht="18.75" customHeight="1" x14ac:dyDescent="0.35">
      <c r="T26070" s="246">
        <f t="shared" si="445"/>
        <v>0</v>
      </c>
    </row>
    <row r="26071" spans="20:20" ht="18.75" customHeight="1" x14ac:dyDescent="0.35">
      <c r="T26071" s="246">
        <f t="shared" si="445"/>
        <v>0</v>
      </c>
    </row>
    <row r="26072" spans="20:20" ht="18.75" customHeight="1" x14ac:dyDescent="0.35">
      <c r="T26072" s="246">
        <f t="shared" si="445"/>
        <v>0</v>
      </c>
    </row>
    <row r="26073" spans="20:20" ht="18.75" customHeight="1" x14ac:dyDescent="0.35">
      <c r="T26073" s="246">
        <f t="shared" si="445"/>
        <v>0</v>
      </c>
    </row>
    <row r="26074" spans="20:20" ht="18.75" customHeight="1" x14ac:dyDescent="0.35">
      <c r="T26074" s="246">
        <f t="shared" si="445"/>
        <v>0</v>
      </c>
    </row>
    <row r="26075" spans="20:20" ht="18.75" customHeight="1" x14ac:dyDescent="0.35">
      <c r="T26075" s="246">
        <f t="shared" si="445"/>
        <v>0</v>
      </c>
    </row>
    <row r="26076" spans="20:20" ht="18.75" customHeight="1" x14ac:dyDescent="0.35">
      <c r="T26076" s="246">
        <f t="shared" si="445"/>
        <v>0</v>
      </c>
    </row>
    <row r="26077" spans="20:20" ht="18.75" customHeight="1" x14ac:dyDescent="0.35">
      <c r="T26077" s="246">
        <f t="shared" si="445"/>
        <v>0</v>
      </c>
    </row>
    <row r="26078" spans="20:20" ht="18.75" customHeight="1" x14ac:dyDescent="0.35">
      <c r="T26078" s="246">
        <f t="shared" si="445"/>
        <v>0</v>
      </c>
    </row>
    <row r="26079" spans="20:20" ht="18.75" customHeight="1" x14ac:dyDescent="0.35">
      <c r="T26079" s="246">
        <f t="shared" si="445"/>
        <v>0</v>
      </c>
    </row>
    <row r="26080" spans="20:20" ht="18.75" customHeight="1" x14ac:dyDescent="0.35">
      <c r="T26080" s="246">
        <f t="shared" si="445"/>
        <v>0</v>
      </c>
    </row>
    <row r="26081" spans="20:20" ht="18.75" customHeight="1" x14ac:dyDescent="0.35">
      <c r="T26081" s="246">
        <f t="shared" si="445"/>
        <v>0</v>
      </c>
    </row>
    <row r="26082" spans="20:20" ht="18.75" customHeight="1" x14ac:dyDescent="0.35">
      <c r="T26082" s="246">
        <f t="shared" si="445"/>
        <v>0</v>
      </c>
    </row>
    <row r="26083" spans="20:20" ht="18.75" customHeight="1" x14ac:dyDescent="0.35">
      <c r="T26083" s="246">
        <f t="shared" si="445"/>
        <v>0</v>
      </c>
    </row>
    <row r="26084" spans="20:20" ht="18.75" customHeight="1" x14ac:dyDescent="0.35">
      <c r="T26084" s="246">
        <f t="shared" si="445"/>
        <v>0</v>
      </c>
    </row>
    <row r="26085" spans="20:20" ht="18.75" customHeight="1" x14ac:dyDescent="0.35">
      <c r="T26085" s="246">
        <f t="shared" si="445"/>
        <v>0</v>
      </c>
    </row>
    <row r="26086" spans="20:20" ht="18.75" customHeight="1" x14ac:dyDescent="0.35">
      <c r="T26086" s="246">
        <f t="shared" si="445"/>
        <v>0</v>
      </c>
    </row>
    <row r="26087" spans="20:20" ht="18.75" customHeight="1" x14ac:dyDescent="0.35">
      <c r="T26087" s="246">
        <f t="shared" si="445"/>
        <v>0</v>
      </c>
    </row>
    <row r="26088" spans="20:20" ht="18.75" customHeight="1" x14ac:dyDescent="0.35">
      <c r="T26088" s="246">
        <f t="shared" si="445"/>
        <v>0</v>
      </c>
    </row>
    <row r="26089" spans="20:20" ht="18.75" customHeight="1" x14ac:dyDescent="0.35">
      <c r="T26089" s="246">
        <f t="shared" si="445"/>
        <v>0</v>
      </c>
    </row>
    <row r="26090" spans="20:20" ht="18.75" customHeight="1" x14ac:dyDescent="0.35">
      <c r="T26090" s="246">
        <f t="shared" si="445"/>
        <v>0</v>
      </c>
    </row>
    <row r="26091" spans="20:20" ht="18.75" customHeight="1" x14ac:dyDescent="0.35">
      <c r="T26091" s="246">
        <f t="shared" si="445"/>
        <v>0</v>
      </c>
    </row>
    <row r="26092" spans="20:20" ht="18.75" customHeight="1" x14ac:dyDescent="0.35">
      <c r="T26092" s="246">
        <f t="shared" si="445"/>
        <v>0</v>
      </c>
    </row>
    <row r="26093" spans="20:20" ht="18.75" customHeight="1" x14ac:dyDescent="0.35">
      <c r="T26093" s="246">
        <f t="shared" si="445"/>
        <v>0</v>
      </c>
    </row>
    <row r="26094" spans="20:20" ht="18.75" customHeight="1" x14ac:dyDescent="0.35">
      <c r="T26094" s="246">
        <f t="shared" si="445"/>
        <v>0</v>
      </c>
    </row>
    <row r="26095" spans="20:20" ht="18.75" customHeight="1" x14ac:dyDescent="0.35">
      <c r="T26095" s="246">
        <f t="shared" si="445"/>
        <v>0</v>
      </c>
    </row>
    <row r="26096" spans="20:20" ht="18.75" customHeight="1" x14ac:dyDescent="0.35">
      <c r="T26096" s="246">
        <f t="shared" si="445"/>
        <v>0</v>
      </c>
    </row>
    <row r="26097" spans="20:20" ht="18.75" customHeight="1" x14ac:dyDescent="0.35">
      <c r="T26097" s="246">
        <f t="shared" si="445"/>
        <v>0</v>
      </c>
    </row>
    <row r="26098" spans="20:20" ht="18.75" customHeight="1" x14ac:dyDescent="0.35">
      <c r="T26098" s="246">
        <f t="shared" si="445"/>
        <v>0</v>
      </c>
    </row>
    <row r="26099" spans="20:20" ht="18.75" customHeight="1" x14ac:dyDescent="0.35">
      <c r="T26099" s="246">
        <f t="shared" si="445"/>
        <v>0</v>
      </c>
    </row>
    <row r="26100" spans="20:20" ht="18.75" customHeight="1" x14ac:dyDescent="0.35">
      <c r="T26100" s="246">
        <f t="shared" si="445"/>
        <v>0</v>
      </c>
    </row>
    <row r="26101" spans="20:20" ht="18.75" customHeight="1" x14ac:dyDescent="0.35">
      <c r="T26101" s="246">
        <f t="shared" si="445"/>
        <v>0</v>
      </c>
    </row>
    <row r="26102" spans="20:20" ht="18.75" customHeight="1" x14ac:dyDescent="0.35">
      <c r="T26102" s="246">
        <f t="shared" si="445"/>
        <v>0</v>
      </c>
    </row>
    <row r="26103" spans="20:20" ht="18.75" customHeight="1" x14ac:dyDescent="0.35">
      <c r="T26103" s="246">
        <f t="shared" si="445"/>
        <v>0</v>
      </c>
    </row>
    <row r="26104" spans="20:20" ht="18.75" customHeight="1" x14ac:dyDescent="0.35">
      <c r="T26104" s="246">
        <f t="shared" si="445"/>
        <v>0</v>
      </c>
    </row>
    <row r="26105" spans="20:20" ht="18.75" customHeight="1" x14ac:dyDescent="0.35">
      <c r="T26105" s="246">
        <f t="shared" si="445"/>
        <v>0</v>
      </c>
    </row>
    <row r="26106" spans="20:20" ht="18.75" customHeight="1" x14ac:dyDescent="0.35">
      <c r="T26106" s="246">
        <f t="shared" si="445"/>
        <v>0</v>
      </c>
    </row>
    <row r="26107" spans="20:20" ht="18.75" customHeight="1" x14ac:dyDescent="0.35">
      <c r="T26107" s="246">
        <f t="shared" si="445"/>
        <v>0</v>
      </c>
    </row>
    <row r="26108" spans="20:20" ht="18.75" customHeight="1" x14ac:dyDescent="0.35">
      <c r="T26108" s="246">
        <f t="shared" ref="T26108:T26171" si="446">R26108*0.01</f>
        <v>0</v>
      </c>
    </row>
    <row r="26109" spans="20:20" ht="18.75" customHeight="1" x14ac:dyDescent="0.35">
      <c r="T26109" s="246">
        <f t="shared" si="446"/>
        <v>0</v>
      </c>
    </row>
    <row r="26110" spans="20:20" ht="18.75" customHeight="1" x14ac:dyDescent="0.35">
      <c r="T26110" s="246">
        <f t="shared" si="446"/>
        <v>0</v>
      </c>
    </row>
    <row r="26111" spans="20:20" ht="18.75" customHeight="1" x14ac:dyDescent="0.35">
      <c r="T26111" s="246">
        <f t="shared" si="446"/>
        <v>0</v>
      </c>
    </row>
    <row r="26112" spans="20:20" ht="18.75" customHeight="1" x14ac:dyDescent="0.35">
      <c r="T26112" s="246">
        <f t="shared" si="446"/>
        <v>0</v>
      </c>
    </row>
    <row r="26113" spans="20:20" ht="18.75" customHeight="1" x14ac:dyDescent="0.35">
      <c r="T26113" s="246">
        <f t="shared" si="446"/>
        <v>0</v>
      </c>
    </row>
    <row r="26114" spans="20:20" ht="18.75" customHeight="1" x14ac:dyDescent="0.35">
      <c r="T26114" s="246">
        <f t="shared" si="446"/>
        <v>0</v>
      </c>
    </row>
    <row r="26115" spans="20:20" ht="18.75" customHeight="1" x14ac:dyDescent="0.35">
      <c r="T26115" s="246">
        <f t="shared" si="446"/>
        <v>0</v>
      </c>
    </row>
    <row r="26116" spans="20:20" ht="18.75" customHeight="1" x14ac:dyDescent="0.35">
      <c r="T26116" s="246">
        <f t="shared" si="446"/>
        <v>0</v>
      </c>
    </row>
    <row r="26117" spans="20:20" ht="18.75" customHeight="1" x14ac:dyDescent="0.35">
      <c r="T26117" s="246">
        <f t="shared" si="446"/>
        <v>0</v>
      </c>
    </row>
    <row r="26118" spans="20:20" ht="18.75" customHeight="1" x14ac:dyDescent="0.35">
      <c r="T26118" s="246">
        <f t="shared" si="446"/>
        <v>0</v>
      </c>
    </row>
    <row r="26119" spans="20:20" ht="18.75" customHeight="1" x14ac:dyDescent="0.35">
      <c r="T26119" s="246">
        <f t="shared" si="446"/>
        <v>0</v>
      </c>
    </row>
    <row r="26120" spans="20:20" ht="18.75" customHeight="1" x14ac:dyDescent="0.35">
      <c r="T26120" s="246">
        <f t="shared" si="446"/>
        <v>0</v>
      </c>
    </row>
    <row r="26121" spans="20:20" ht="18.75" customHeight="1" x14ac:dyDescent="0.35">
      <c r="T26121" s="246">
        <f t="shared" si="446"/>
        <v>0</v>
      </c>
    </row>
    <row r="26122" spans="20:20" ht="18.75" customHeight="1" x14ac:dyDescent="0.35">
      <c r="T26122" s="246">
        <f t="shared" si="446"/>
        <v>0</v>
      </c>
    </row>
    <row r="26123" spans="20:20" ht="18.75" customHeight="1" x14ac:dyDescent="0.35">
      <c r="T26123" s="246">
        <f t="shared" si="446"/>
        <v>0</v>
      </c>
    </row>
    <row r="26124" spans="20:20" ht="18.75" customHeight="1" x14ac:dyDescent="0.35">
      <c r="T26124" s="246">
        <f t="shared" si="446"/>
        <v>0</v>
      </c>
    </row>
    <row r="26125" spans="20:20" ht="18.75" customHeight="1" x14ac:dyDescent="0.35">
      <c r="T26125" s="246">
        <f t="shared" si="446"/>
        <v>0</v>
      </c>
    </row>
    <row r="26126" spans="20:20" ht="18.75" customHeight="1" x14ac:dyDescent="0.35">
      <c r="T26126" s="246">
        <f t="shared" si="446"/>
        <v>0</v>
      </c>
    </row>
    <row r="26127" spans="20:20" ht="18.75" customHeight="1" x14ac:dyDescent="0.35">
      <c r="T26127" s="246">
        <f t="shared" si="446"/>
        <v>0</v>
      </c>
    </row>
    <row r="26128" spans="20:20" ht="18.75" customHeight="1" x14ac:dyDescent="0.35">
      <c r="T26128" s="246">
        <f t="shared" si="446"/>
        <v>0</v>
      </c>
    </row>
    <row r="26129" spans="20:20" ht="18.75" customHeight="1" x14ac:dyDescent="0.35">
      <c r="T26129" s="246">
        <f t="shared" si="446"/>
        <v>0</v>
      </c>
    </row>
    <row r="26130" spans="20:20" ht="18.75" customHeight="1" x14ac:dyDescent="0.35">
      <c r="T26130" s="246">
        <f t="shared" si="446"/>
        <v>0</v>
      </c>
    </row>
    <row r="26131" spans="20:20" ht="18.75" customHeight="1" x14ac:dyDescent="0.35">
      <c r="T26131" s="246">
        <f t="shared" si="446"/>
        <v>0</v>
      </c>
    </row>
    <row r="26132" spans="20:20" ht="18.75" customHeight="1" x14ac:dyDescent="0.35">
      <c r="T26132" s="246">
        <f t="shared" si="446"/>
        <v>0</v>
      </c>
    </row>
    <row r="26133" spans="20:20" ht="18.75" customHeight="1" x14ac:dyDescent="0.35">
      <c r="T26133" s="246">
        <f t="shared" si="446"/>
        <v>0</v>
      </c>
    </row>
    <row r="26134" spans="20:20" ht="18.75" customHeight="1" x14ac:dyDescent="0.35">
      <c r="T26134" s="246">
        <f t="shared" si="446"/>
        <v>0</v>
      </c>
    </row>
    <row r="26135" spans="20:20" ht="18.75" customHeight="1" x14ac:dyDescent="0.35">
      <c r="T26135" s="246">
        <f t="shared" si="446"/>
        <v>0</v>
      </c>
    </row>
    <row r="26136" spans="20:20" ht="18.75" customHeight="1" x14ac:dyDescent="0.35">
      <c r="T26136" s="246">
        <f t="shared" si="446"/>
        <v>0</v>
      </c>
    </row>
    <row r="26137" spans="20:20" ht="18.75" customHeight="1" x14ac:dyDescent="0.35">
      <c r="T26137" s="246">
        <f t="shared" si="446"/>
        <v>0</v>
      </c>
    </row>
    <row r="26138" spans="20:20" ht="18.75" customHeight="1" x14ac:dyDescent="0.35">
      <c r="T26138" s="246">
        <f t="shared" si="446"/>
        <v>0</v>
      </c>
    </row>
    <row r="26139" spans="20:20" ht="18.75" customHeight="1" x14ac:dyDescent="0.35">
      <c r="T26139" s="246">
        <f t="shared" si="446"/>
        <v>0</v>
      </c>
    </row>
    <row r="26140" spans="20:20" ht="18.75" customHeight="1" x14ac:dyDescent="0.35">
      <c r="T26140" s="246">
        <f t="shared" si="446"/>
        <v>0</v>
      </c>
    </row>
    <row r="26141" spans="20:20" ht="18.75" customHeight="1" x14ac:dyDescent="0.35">
      <c r="T26141" s="246">
        <f t="shared" si="446"/>
        <v>0</v>
      </c>
    </row>
    <row r="26142" spans="20:20" ht="18.75" customHeight="1" x14ac:dyDescent="0.35">
      <c r="T26142" s="246">
        <f t="shared" si="446"/>
        <v>0</v>
      </c>
    </row>
    <row r="26143" spans="20:20" ht="18.75" customHeight="1" x14ac:dyDescent="0.35">
      <c r="T26143" s="246">
        <f t="shared" si="446"/>
        <v>0</v>
      </c>
    </row>
    <row r="26144" spans="20:20" ht="18.75" customHeight="1" x14ac:dyDescent="0.35">
      <c r="T26144" s="246">
        <f t="shared" si="446"/>
        <v>0</v>
      </c>
    </row>
    <row r="26145" spans="20:20" ht="18.75" customHeight="1" x14ac:dyDescent="0.35">
      <c r="T26145" s="246">
        <f t="shared" si="446"/>
        <v>0</v>
      </c>
    </row>
    <row r="26146" spans="20:20" ht="18.75" customHeight="1" x14ac:dyDescent="0.35">
      <c r="T26146" s="246">
        <f t="shared" si="446"/>
        <v>0</v>
      </c>
    </row>
    <row r="26147" spans="20:20" ht="18.75" customHeight="1" x14ac:dyDescent="0.35">
      <c r="T26147" s="246">
        <f t="shared" si="446"/>
        <v>0</v>
      </c>
    </row>
    <row r="26148" spans="20:20" ht="18.75" customHeight="1" x14ac:dyDescent="0.35">
      <c r="T26148" s="246">
        <f t="shared" si="446"/>
        <v>0</v>
      </c>
    </row>
    <row r="26149" spans="20:20" ht="18.75" customHeight="1" x14ac:dyDescent="0.35">
      <c r="T26149" s="246">
        <f t="shared" si="446"/>
        <v>0</v>
      </c>
    </row>
    <row r="26150" spans="20:20" ht="18.75" customHeight="1" x14ac:dyDescent="0.35">
      <c r="T26150" s="246">
        <f t="shared" si="446"/>
        <v>0</v>
      </c>
    </row>
    <row r="26151" spans="20:20" ht="18.75" customHeight="1" x14ac:dyDescent="0.35">
      <c r="T26151" s="246">
        <f t="shared" si="446"/>
        <v>0</v>
      </c>
    </row>
    <row r="26152" spans="20:20" ht="18.75" customHeight="1" x14ac:dyDescent="0.35">
      <c r="T26152" s="246">
        <f t="shared" si="446"/>
        <v>0</v>
      </c>
    </row>
    <row r="26153" spans="20:20" ht="18.75" customHeight="1" x14ac:dyDescent="0.35">
      <c r="T26153" s="246">
        <f t="shared" si="446"/>
        <v>0</v>
      </c>
    </row>
    <row r="26154" spans="20:20" ht="18.75" customHeight="1" x14ac:dyDescent="0.35">
      <c r="T26154" s="246">
        <f t="shared" si="446"/>
        <v>0</v>
      </c>
    </row>
    <row r="26155" spans="20:20" ht="18.75" customHeight="1" x14ac:dyDescent="0.35">
      <c r="T26155" s="246">
        <f t="shared" si="446"/>
        <v>0</v>
      </c>
    </row>
    <row r="26156" spans="20:20" ht="18.75" customHeight="1" x14ac:dyDescent="0.35">
      <c r="T26156" s="246">
        <f t="shared" si="446"/>
        <v>0</v>
      </c>
    </row>
    <row r="26157" spans="20:20" ht="18.75" customHeight="1" x14ac:dyDescent="0.35">
      <c r="T26157" s="246">
        <f t="shared" si="446"/>
        <v>0</v>
      </c>
    </row>
    <row r="26158" spans="20:20" ht="18.75" customHeight="1" x14ac:dyDescent="0.35">
      <c r="T26158" s="246">
        <f t="shared" si="446"/>
        <v>0</v>
      </c>
    </row>
    <row r="26159" spans="20:20" ht="18.75" customHeight="1" x14ac:dyDescent="0.35">
      <c r="T26159" s="246">
        <f t="shared" si="446"/>
        <v>0</v>
      </c>
    </row>
    <row r="26160" spans="20:20" ht="18.75" customHeight="1" x14ac:dyDescent="0.35">
      <c r="T26160" s="246">
        <f t="shared" si="446"/>
        <v>0</v>
      </c>
    </row>
    <row r="26161" spans="20:20" ht="18.75" customHeight="1" x14ac:dyDescent="0.35">
      <c r="T26161" s="246">
        <f t="shared" si="446"/>
        <v>0</v>
      </c>
    </row>
    <row r="26162" spans="20:20" ht="18.75" customHeight="1" x14ac:dyDescent="0.35">
      <c r="T26162" s="246">
        <f t="shared" si="446"/>
        <v>0</v>
      </c>
    </row>
    <row r="26163" spans="20:20" ht="18.75" customHeight="1" x14ac:dyDescent="0.35">
      <c r="T26163" s="246">
        <f t="shared" si="446"/>
        <v>0</v>
      </c>
    </row>
    <row r="26164" spans="20:20" ht="18.75" customHeight="1" x14ac:dyDescent="0.35">
      <c r="T26164" s="246">
        <f t="shared" si="446"/>
        <v>0</v>
      </c>
    </row>
    <row r="26165" spans="20:20" ht="18.75" customHeight="1" x14ac:dyDescent="0.35">
      <c r="T26165" s="246">
        <f t="shared" si="446"/>
        <v>0</v>
      </c>
    </row>
    <row r="26166" spans="20:20" ht="18.75" customHeight="1" x14ac:dyDescent="0.35">
      <c r="T26166" s="246">
        <f t="shared" si="446"/>
        <v>0</v>
      </c>
    </row>
    <row r="26167" spans="20:20" ht="18.75" customHeight="1" x14ac:dyDescent="0.35">
      <c r="T26167" s="246">
        <f t="shared" si="446"/>
        <v>0</v>
      </c>
    </row>
    <row r="26168" spans="20:20" ht="18.75" customHeight="1" x14ac:dyDescent="0.35">
      <c r="T26168" s="246">
        <f t="shared" si="446"/>
        <v>0</v>
      </c>
    </row>
    <row r="26169" spans="20:20" ht="18.75" customHeight="1" x14ac:dyDescent="0.35">
      <c r="T26169" s="246">
        <f t="shared" si="446"/>
        <v>0</v>
      </c>
    </row>
    <row r="26170" spans="20:20" ht="18.75" customHeight="1" x14ac:dyDescent="0.35">
      <c r="T26170" s="246">
        <f t="shared" si="446"/>
        <v>0</v>
      </c>
    </row>
    <row r="26171" spans="20:20" ht="18.75" customHeight="1" x14ac:dyDescent="0.35">
      <c r="T26171" s="246">
        <f t="shared" si="446"/>
        <v>0</v>
      </c>
    </row>
    <row r="26172" spans="20:20" ht="18.75" customHeight="1" x14ac:dyDescent="0.35">
      <c r="T26172" s="246">
        <f t="shared" ref="T26172:T26235" si="447">R26172*0.01</f>
        <v>0</v>
      </c>
    </row>
    <row r="26173" spans="20:20" ht="18.75" customHeight="1" x14ac:dyDescent="0.35">
      <c r="T26173" s="246">
        <f t="shared" si="447"/>
        <v>0</v>
      </c>
    </row>
    <row r="26174" spans="20:20" ht="18.75" customHeight="1" x14ac:dyDescent="0.35">
      <c r="T26174" s="246">
        <f t="shared" si="447"/>
        <v>0</v>
      </c>
    </row>
    <row r="26175" spans="20:20" ht="18.75" customHeight="1" x14ac:dyDescent="0.35">
      <c r="T26175" s="246">
        <f t="shared" si="447"/>
        <v>0</v>
      </c>
    </row>
    <row r="26176" spans="20:20" ht="18.75" customHeight="1" x14ac:dyDescent="0.35">
      <c r="T26176" s="246">
        <f t="shared" si="447"/>
        <v>0</v>
      </c>
    </row>
    <row r="26177" spans="20:20" ht="18.75" customHeight="1" x14ac:dyDescent="0.35">
      <c r="T26177" s="246">
        <f t="shared" si="447"/>
        <v>0</v>
      </c>
    </row>
    <row r="26178" spans="20:20" ht="18.75" customHeight="1" x14ac:dyDescent="0.35">
      <c r="T26178" s="246">
        <f t="shared" si="447"/>
        <v>0</v>
      </c>
    </row>
    <row r="26179" spans="20:20" ht="18.75" customHeight="1" x14ac:dyDescent="0.35">
      <c r="T26179" s="246">
        <f t="shared" si="447"/>
        <v>0</v>
      </c>
    </row>
    <row r="26180" spans="20:20" ht="18.75" customHeight="1" x14ac:dyDescent="0.35">
      <c r="T26180" s="246">
        <f t="shared" si="447"/>
        <v>0</v>
      </c>
    </row>
    <row r="26181" spans="20:20" ht="18.75" customHeight="1" x14ac:dyDescent="0.35">
      <c r="T26181" s="246">
        <f t="shared" si="447"/>
        <v>0</v>
      </c>
    </row>
    <row r="26182" spans="20:20" ht="18.75" customHeight="1" x14ac:dyDescent="0.35">
      <c r="T26182" s="246">
        <f t="shared" si="447"/>
        <v>0</v>
      </c>
    </row>
    <row r="26183" spans="20:20" ht="18.75" customHeight="1" x14ac:dyDescent="0.35">
      <c r="T26183" s="246">
        <f t="shared" si="447"/>
        <v>0</v>
      </c>
    </row>
    <row r="26184" spans="20:20" ht="18.75" customHeight="1" x14ac:dyDescent="0.35">
      <c r="T26184" s="246">
        <f t="shared" si="447"/>
        <v>0</v>
      </c>
    </row>
    <row r="26185" spans="20:20" ht="18.75" customHeight="1" x14ac:dyDescent="0.35">
      <c r="T26185" s="246">
        <f t="shared" si="447"/>
        <v>0</v>
      </c>
    </row>
    <row r="26186" spans="20:20" ht="18.75" customHeight="1" x14ac:dyDescent="0.35">
      <c r="T26186" s="246">
        <f t="shared" si="447"/>
        <v>0</v>
      </c>
    </row>
    <row r="26187" spans="20:20" ht="18.75" customHeight="1" x14ac:dyDescent="0.35">
      <c r="T26187" s="246">
        <f t="shared" si="447"/>
        <v>0</v>
      </c>
    </row>
    <row r="26188" spans="20:20" ht="18.75" customHeight="1" x14ac:dyDescent="0.35">
      <c r="T26188" s="246">
        <f t="shared" si="447"/>
        <v>0</v>
      </c>
    </row>
    <row r="26189" spans="20:20" ht="18.75" customHeight="1" x14ac:dyDescent="0.35">
      <c r="T26189" s="246">
        <f t="shared" si="447"/>
        <v>0</v>
      </c>
    </row>
    <row r="26190" spans="20:20" ht="18.75" customHeight="1" x14ac:dyDescent="0.35">
      <c r="T26190" s="246">
        <f t="shared" si="447"/>
        <v>0</v>
      </c>
    </row>
    <row r="26191" spans="20:20" ht="18.75" customHeight="1" x14ac:dyDescent="0.35">
      <c r="T26191" s="246">
        <f t="shared" si="447"/>
        <v>0</v>
      </c>
    </row>
    <row r="26192" spans="20:20" ht="18.75" customHeight="1" x14ac:dyDescent="0.35">
      <c r="T26192" s="246">
        <f t="shared" si="447"/>
        <v>0</v>
      </c>
    </row>
    <row r="26193" spans="20:20" ht="18.75" customHeight="1" x14ac:dyDescent="0.35">
      <c r="T26193" s="246">
        <f t="shared" si="447"/>
        <v>0</v>
      </c>
    </row>
    <row r="26194" spans="20:20" ht="18.75" customHeight="1" x14ac:dyDescent="0.35">
      <c r="T26194" s="246">
        <f t="shared" si="447"/>
        <v>0</v>
      </c>
    </row>
    <row r="26195" spans="20:20" ht="18.75" customHeight="1" x14ac:dyDescent="0.35">
      <c r="T26195" s="246">
        <f t="shared" si="447"/>
        <v>0</v>
      </c>
    </row>
    <row r="26196" spans="20:20" ht="18.75" customHeight="1" x14ac:dyDescent="0.35">
      <c r="T26196" s="246">
        <f t="shared" si="447"/>
        <v>0</v>
      </c>
    </row>
    <row r="26197" spans="20:20" ht="18.75" customHeight="1" x14ac:dyDescent="0.35">
      <c r="T26197" s="246">
        <f t="shared" si="447"/>
        <v>0</v>
      </c>
    </row>
    <row r="26198" spans="20:20" ht="18.75" customHeight="1" x14ac:dyDescent="0.35">
      <c r="T26198" s="246">
        <f t="shared" si="447"/>
        <v>0</v>
      </c>
    </row>
    <row r="26199" spans="20:20" ht="18.75" customHeight="1" x14ac:dyDescent="0.35">
      <c r="T26199" s="246">
        <f t="shared" si="447"/>
        <v>0</v>
      </c>
    </row>
    <row r="26200" spans="20:20" ht="18.75" customHeight="1" x14ac:dyDescent="0.35">
      <c r="T26200" s="246">
        <f t="shared" si="447"/>
        <v>0</v>
      </c>
    </row>
    <row r="26201" spans="20:20" ht="18.75" customHeight="1" x14ac:dyDescent="0.35">
      <c r="T26201" s="246">
        <f t="shared" si="447"/>
        <v>0</v>
      </c>
    </row>
    <row r="26202" spans="20:20" ht="18.75" customHeight="1" x14ac:dyDescent="0.35">
      <c r="T26202" s="246">
        <f t="shared" si="447"/>
        <v>0</v>
      </c>
    </row>
    <row r="26203" spans="20:20" ht="18.75" customHeight="1" x14ac:dyDescent="0.35">
      <c r="T26203" s="246">
        <f t="shared" si="447"/>
        <v>0</v>
      </c>
    </row>
    <row r="26204" spans="20:20" ht="18.75" customHeight="1" x14ac:dyDescent="0.35">
      <c r="T26204" s="246">
        <f t="shared" si="447"/>
        <v>0</v>
      </c>
    </row>
    <row r="26205" spans="20:20" ht="18.75" customHeight="1" x14ac:dyDescent="0.35">
      <c r="T26205" s="246">
        <f t="shared" si="447"/>
        <v>0</v>
      </c>
    </row>
    <row r="26206" spans="20:20" ht="18.75" customHeight="1" x14ac:dyDescent="0.35">
      <c r="T26206" s="246">
        <f t="shared" si="447"/>
        <v>0</v>
      </c>
    </row>
    <row r="26207" spans="20:20" ht="18.75" customHeight="1" x14ac:dyDescent="0.35">
      <c r="T26207" s="246">
        <f t="shared" si="447"/>
        <v>0</v>
      </c>
    </row>
    <row r="26208" spans="20:20" ht="18.75" customHeight="1" x14ac:dyDescent="0.35">
      <c r="T26208" s="246">
        <f t="shared" si="447"/>
        <v>0</v>
      </c>
    </row>
    <row r="26209" spans="20:20" ht="18.75" customHeight="1" x14ac:dyDescent="0.35">
      <c r="T26209" s="246">
        <f t="shared" si="447"/>
        <v>0</v>
      </c>
    </row>
    <row r="26210" spans="20:20" ht="18.75" customHeight="1" x14ac:dyDescent="0.35">
      <c r="T26210" s="246">
        <f t="shared" si="447"/>
        <v>0</v>
      </c>
    </row>
    <row r="26211" spans="20:20" ht="18.75" customHeight="1" x14ac:dyDescent="0.35">
      <c r="T26211" s="246">
        <f t="shared" si="447"/>
        <v>0</v>
      </c>
    </row>
    <row r="26212" spans="20:20" ht="18.75" customHeight="1" x14ac:dyDescent="0.35">
      <c r="T26212" s="246">
        <f t="shared" si="447"/>
        <v>0</v>
      </c>
    </row>
    <row r="26213" spans="20:20" ht="18.75" customHeight="1" x14ac:dyDescent="0.35">
      <c r="T26213" s="246">
        <f t="shared" si="447"/>
        <v>0</v>
      </c>
    </row>
    <row r="26214" spans="20:20" ht="18.75" customHeight="1" x14ac:dyDescent="0.35">
      <c r="T26214" s="246">
        <f t="shared" si="447"/>
        <v>0</v>
      </c>
    </row>
    <row r="26215" spans="20:20" ht="18.75" customHeight="1" x14ac:dyDescent="0.35">
      <c r="T26215" s="246">
        <f t="shared" si="447"/>
        <v>0</v>
      </c>
    </row>
    <row r="26216" spans="20:20" ht="18.75" customHeight="1" x14ac:dyDescent="0.35">
      <c r="T26216" s="246">
        <f t="shared" si="447"/>
        <v>0</v>
      </c>
    </row>
    <row r="26217" spans="20:20" ht="18.75" customHeight="1" x14ac:dyDescent="0.35">
      <c r="T26217" s="246">
        <f t="shared" si="447"/>
        <v>0</v>
      </c>
    </row>
    <row r="26218" spans="20:20" ht="18.75" customHeight="1" x14ac:dyDescent="0.35">
      <c r="T26218" s="246">
        <f t="shared" si="447"/>
        <v>0</v>
      </c>
    </row>
    <row r="26219" spans="20:20" ht="18.75" customHeight="1" x14ac:dyDescent="0.35">
      <c r="T26219" s="246">
        <f t="shared" si="447"/>
        <v>0</v>
      </c>
    </row>
    <row r="26220" spans="20:20" ht="18.75" customHeight="1" x14ac:dyDescent="0.35">
      <c r="T26220" s="246">
        <f t="shared" si="447"/>
        <v>0</v>
      </c>
    </row>
    <row r="26221" spans="20:20" ht="18.75" customHeight="1" x14ac:dyDescent="0.35">
      <c r="T26221" s="246">
        <f t="shared" si="447"/>
        <v>0</v>
      </c>
    </row>
    <row r="26222" spans="20:20" ht="18.75" customHeight="1" x14ac:dyDescent="0.35">
      <c r="T26222" s="246">
        <f t="shared" si="447"/>
        <v>0</v>
      </c>
    </row>
    <row r="26223" spans="20:20" ht="18.75" customHeight="1" x14ac:dyDescent="0.35">
      <c r="T26223" s="246">
        <f t="shared" si="447"/>
        <v>0</v>
      </c>
    </row>
    <row r="26224" spans="20:20" ht="18.75" customHeight="1" x14ac:dyDescent="0.35">
      <c r="T26224" s="246">
        <f t="shared" si="447"/>
        <v>0</v>
      </c>
    </row>
    <row r="26225" spans="20:20" ht="18.75" customHeight="1" x14ac:dyDescent="0.35">
      <c r="T26225" s="246">
        <f t="shared" si="447"/>
        <v>0</v>
      </c>
    </row>
    <row r="26226" spans="20:20" ht="18.75" customHeight="1" x14ac:dyDescent="0.35">
      <c r="T26226" s="246">
        <f t="shared" si="447"/>
        <v>0</v>
      </c>
    </row>
    <row r="26227" spans="20:20" ht="18.75" customHeight="1" x14ac:dyDescent="0.35">
      <c r="T26227" s="246">
        <f t="shared" si="447"/>
        <v>0</v>
      </c>
    </row>
    <row r="26228" spans="20:20" ht="18.75" customHeight="1" x14ac:dyDescent="0.35">
      <c r="T26228" s="246">
        <f t="shared" si="447"/>
        <v>0</v>
      </c>
    </row>
    <row r="26229" spans="20:20" ht="18.75" customHeight="1" x14ac:dyDescent="0.35">
      <c r="T26229" s="246">
        <f t="shared" si="447"/>
        <v>0</v>
      </c>
    </row>
    <row r="26230" spans="20:20" ht="18.75" customHeight="1" x14ac:dyDescent="0.35">
      <c r="T26230" s="246">
        <f t="shared" si="447"/>
        <v>0</v>
      </c>
    </row>
    <row r="26231" spans="20:20" ht="18.75" customHeight="1" x14ac:dyDescent="0.35">
      <c r="T26231" s="246">
        <f t="shared" si="447"/>
        <v>0</v>
      </c>
    </row>
    <row r="26232" spans="20:20" ht="18.75" customHeight="1" x14ac:dyDescent="0.35">
      <c r="T26232" s="246">
        <f t="shared" si="447"/>
        <v>0</v>
      </c>
    </row>
    <row r="26233" spans="20:20" ht="18.75" customHeight="1" x14ac:dyDescent="0.35">
      <c r="T26233" s="246">
        <f t="shared" si="447"/>
        <v>0</v>
      </c>
    </row>
    <row r="26234" spans="20:20" ht="18.75" customHeight="1" x14ac:dyDescent="0.35">
      <c r="T26234" s="246">
        <f t="shared" si="447"/>
        <v>0</v>
      </c>
    </row>
    <row r="26235" spans="20:20" ht="18.75" customHeight="1" x14ac:dyDescent="0.35">
      <c r="T26235" s="246">
        <f t="shared" si="447"/>
        <v>0</v>
      </c>
    </row>
    <row r="26236" spans="20:20" ht="18.75" customHeight="1" x14ac:dyDescent="0.35">
      <c r="T26236" s="246">
        <f t="shared" ref="T26236:T26299" si="448">R26236*0.01</f>
        <v>0</v>
      </c>
    </row>
    <row r="26237" spans="20:20" ht="18.75" customHeight="1" x14ac:dyDescent="0.35">
      <c r="T26237" s="246">
        <f t="shared" si="448"/>
        <v>0</v>
      </c>
    </row>
    <row r="26238" spans="20:20" ht="18.75" customHeight="1" x14ac:dyDescent="0.35">
      <c r="T26238" s="246">
        <f t="shared" si="448"/>
        <v>0</v>
      </c>
    </row>
    <row r="26239" spans="20:20" ht="18.75" customHeight="1" x14ac:dyDescent="0.35">
      <c r="T26239" s="246">
        <f t="shared" si="448"/>
        <v>0</v>
      </c>
    </row>
    <row r="26240" spans="20:20" ht="18.75" customHeight="1" x14ac:dyDescent="0.35">
      <c r="T26240" s="246">
        <f t="shared" si="448"/>
        <v>0</v>
      </c>
    </row>
    <row r="26241" spans="20:20" ht="18.75" customHeight="1" x14ac:dyDescent="0.35">
      <c r="T26241" s="246">
        <f t="shared" si="448"/>
        <v>0</v>
      </c>
    </row>
    <row r="26242" spans="20:20" ht="18.75" customHeight="1" x14ac:dyDescent="0.35">
      <c r="T26242" s="246">
        <f t="shared" si="448"/>
        <v>0</v>
      </c>
    </row>
    <row r="26243" spans="20:20" ht="18.75" customHeight="1" x14ac:dyDescent="0.35">
      <c r="T26243" s="246">
        <f t="shared" si="448"/>
        <v>0</v>
      </c>
    </row>
    <row r="26244" spans="20:20" ht="18.75" customHeight="1" x14ac:dyDescent="0.35">
      <c r="T26244" s="246">
        <f t="shared" si="448"/>
        <v>0</v>
      </c>
    </row>
    <row r="26245" spans="20:20" ht="18.75" customHeight="1" x14ac:dyDescent="0.35">
      <c r="T26245" s="246">
        <f t="shared" si="448"/>
        <v>0</v>
      </c>
    </row>
    <row r="26246" spans="20:20" ht="18.75" customHeight="1" x14ac:dyDescent="0.35">
      <c r="T26246" s="246">
        <f t="shared" si="448"/>
        <v>0</v>
      </c>
    </row>
    <row r="26247" spans="20:20" ht="18.75" customHeight="1" x14ac:dyDescent="0.35">
      <c r="T26247" s="246">
        <f t="shared" si="448"/>
        <v>0</v>
      </c>
    </row>
    <row r="26248" spans="20:20" ht="18.75" customHeight="1" x14ac:dyDescent="0.35">
      <c r="T26248" s="246">
        <f t="shared" si="448"/>
        <v>0</v>
      </c>
    </row>
    <row r="26249" spans="20:20" ht="18.75" customHeight="1" x14ac:dyDescent="0.35">
      <c r="T26249" s="246">
        <f t="shared" si="448"/>
        <v>0</v>
      </c>
    </row>
    <row r="26250" spans="20:20" ht="18.75" customHeight="1" x14ac:dyDescent="0.35">
      <c r="T26250" s="246">
        <f t="shared" si="448"/>
        <v>0</v>
      </c>
    </row>
    <row r="26251" spans="20:20" ht="18.75" customHeight="1" x14ac:dyDescent="0.35">
      <c r="T26251" s="246">
        <f t="shared" si="448"/>
        <v>0</v>
      </c>
    </row>
    <row r="26252" spans="20:20" ht="18.75" customHeight="1" x14ac:dyDescent="0.35">
      <c r="T26252" s="246">
        <f t="shared" si="448"/>
        <v>0</v>
      </c>
    </row>
    <row r="26253" spans="20:20" ht="18.75" customHeight="1" x14ac:dyDescent="0.35">
      <c r="T26253" s="246">
        <f t="shared" si="448"/>
        <v>0</v>
      </c>
    </row>
    <row r="26254" spans="20:20" ht="18.75" customHeight="1" x14ac:dyDescent="0.35">
      <c r="T26254" s="246">
        <f t="shared" si="448"/>
        <v>0</v>
      </c>
    </row>
    <row r="26255" spans="20:20" ht="18.75" customHeight="1" x14ac:dyDescent="0.35">
      <c r="T26255" s="246">
        <f t="shared" si="448"/>
        <v>0</v>
      </c>
    </row>
    <row r="26256" spans="20:20" ht="18.75" customHeight="1" x14ac:dyDescent="0.35">
      <c r="T26256" s="246">
        <f t="shared" si="448"/>
        <v>0</v>
      </c>
    </row>
    <row r="26257" spans="20:20" ht="18.75" customHeight="1" x14ac:dyDescent="0.35">
      <c r="T26257" s="246">
        <f t="shared" si="448"/>
        <v>0</v>
      </c>
    </row>
    <row r="26258" spans="20:20" ht="18.75" customHeight="1" x14ac:dyDescent="0.35">
      <c r="T26258" s="246">
        <f t="shared" si="448"/>
        <v>0</v>
      </c>
    </row>
    <row r="26259" spans="20:20" ht="18.75" customHeight="1" x14ac:dyDescent="0.35">
      <c r="T26259" s="246">
        <f t="shared" si="448"/>
        <v>0</v>
      </c>
    </row>
    <row r="26260" spans="20:20" ht="18.75" customHeight="1" x14ac:dyDescent="0.35">
      <c r="T26260" s="246">
        <f t="shared" si="448"/>
        <v>0</v>
      </c>
    </row>
    <row r="26261" spans="20:20" ht="18.75" customHeight="1" x14ac:dyDescent="0.35">
      <c r="T26261" s="246">
        <f t="shared" si="448"/>
        <v>0</v>
      </c>
    </row>
    <row r="26262" spans="20:20" ht="18.75" customHeight="1" x14ac:dyDescent="0.35">
      <c r="T26262" s="246">
        <f t="shared" si="448"/>
        <v>0</v>
      </c>
    </row>
    <row r="26263" spans="20:20" ht="18.75" customHeight="1" x14ac:dyDescent="0.35">
      <c r="T26263" s="246">
        <f t="shared" si="448"/>
        <v>0</v>
      </c>
    </row>
    <row r="26264" spans="20:20" ht="18.75" customHeight="1" x14ac:dyDescent="0.35">
      <c r="T26264" s="246">
        <f t="shared" si="448"/>
        <v>0</v>
      </c>
    </row>
    <row r="26265" spans="20:20" ht="18.75" customHeight="1" x14ac:dyDescent="0.35">
      <c r="T26265" s="246">
        <f t="shared" si="448"/>
        <v>0</v>
      </c>
    </row>
    <row r="26266" spans="20:20" ht="18.75" customHeight="1" x14ac:dyDescent="0.35">
      <c r="T26266" s="246">
        <f t="shared" si="448"/>
        <v>0</v>
      </c>
    </row>
    <row r="26267" spans="20:20" ht="18.75" customHeight="1" x14ac:dyDescent="0.35">
      <c r="T26267" s="246">
        <f t="shared" si="448"/>
        <v>0</v>
      </c>
    </row>
    <row r="26268" spans="20:20" ht="18.75" customHeight="1" x14ac:dyDescent="0.35">
      <c r="T26268" s="246">
        <f t="shared" si="448"/>
        <v>0</v>
      </c>
    </row>
    <row r="26269" spans="20:20" ht="18.75" customHeight="1" x14ac:dyDescent="0.35">
      <c r="T26269" s="246">
        <f t="shared" si="448"/>
        <v>0</v>
      </c>
    </row>
    <row r="26270" spans="20:20" ht="18.75" customHeight="1" x14ac:dyDescent="0.35">
      <c r="T26270" s="246">
        <f t="shared" si="448"/>
        <v>0</v>
      </c>
    </row>
    <row r="26271" spans="20:20" ht="18.75" customHeight="1" x14ac:dyDescent="0.35">
      <c r="T26271" s="246">
        <f t="shared" si="448"/>
        <v>0</v>
      </c>
    </row>
    <row r="26272" spans="20:20" ht="18.75" customHeight="1" x14ac:dyDescent="0.35">
      <c r="T26272" s="246">
        <f t="shared" si="448"/>
        <v>0</v>
      </c>
    </row>
    <row r="26273" spans="20:20" ht="18.75" customHeight="1" x14ac:dyDescent="0.35">
      <c r="T26273" s="246">
        <f t="shared" si="448"/>
        <v>0</v>
      </c>
    </row>
    <row r="26274" spans="20:20" ht="18.75" customHeight="1" x14ac:dyDescent="0.35">
      <c r="T26274" s="246">
        <f t="shared" si="448"/>
        <v>0</v>
      </c>
    </row>
    <row r="26275" spans="20:20" ht="18.75" customHeight="1" x14ac:dyDescent="0.35">
      <c r="T26275" s="246">
        <f t="shared" si="448"/>
        <v>0</v>
      </c>
    </row>
    <row r="26276" spans="20:20" ht="18.75" customHeight="1" x14ac:dyDescent="0.35">
      <c r="T26276" s="246">
        <f t="shared" si="448"/>
        <v>0</v>
      </c>
    </row>
    <row r="26277" spans="20:20" ht="18.75" customHeight="1" x14ac:dyDescent="0.35">
      <c r="T26277" s="246">
        <f t="shared" si="448"/>
        <v>0</v>
      </c>
    </row>
    <row r="26278" spans="20:20" ht="18.75" customHeight="1" x14ac:dyDescent="0.35">
      <c r="T26278" s="246">
        <f t="shared" si="448"/>
        <v>0</v>
      </c>
    </row>
    <row r="26279" spans="20:20" ht="18.75" customHeight="1" x14ac:dyDescent="0.35">
      <c r="T26279" s="246">
        <f t="shared" si="448"/>
        <v>0</v>
      </c>
    </row>
    <row r="26280" spans="20:20" ht="18.75" customHeight="1" x14ac:dyDescent="0.35">
      <c r="T26280" s="246">
        <f t="shared" si="448"/>
        <v>0</v>
      </c>
    </row>
    <row r="26281" spans="20:20" ht="18.75" customHeight="1" x14ac:dyDescent="0.35">
      <c r="T26281" s="246">
        <f t="shared" si="448"/>
        <v>0</v>
      </c>
    </row>
    <row r="26282" spans="20:20" ht="18.75" customHeight="1" x14ac:dyDescent="0.35">
      <c r="T26282" s="246">
        <f t="shared" si="448"/>
        <v>0</v>
      </c>
    </row>
    <row r="26283" spans="20:20" ht="18.75" customHeight="1" x14ac:dyDescent="0.35">
      <c r="T26283" s="246">
        <f t="shared" si="448"/>
        <v>0</v>
      </c>
    </row>
    <row r="26284" spans="20:20" ht="18.75" customHeight="1" x14ac:dyDescent="0.35">
      <c r="T26284" s="246">
        <f t="shared" si="448"/>
        <v>0</v>
      </c>
    </row>
    <row r="26285" spans="20:20" ht="18.75" customHeight="1" x14ac:dyDescent="0.35">
      <c r="T26285" s="246">
        <f t="shared" si="448"/>
        <v>0</v>
      </c>
    </row>
    <row r="26286" spans="20:20" ht="18.75" customHeight="1" x14ac:dyDescent="0.35">
      <c r="T26286" s="246">
        <f t="shared" si="448"/>
        <v>0</v>
      </c>
    </row>
    <row r="26287" spans="20:20" ht="18.75" customHeight="1" x14ac:dyDescent="0.35">
      <c r="T26287" s="246">
        <f t="shared" si="448"/>
        <v>0</v>
      </c>
    </row>
    <row r="26288" spans="20:20" ht="18.75" customHeight="1" x14ac:dyDescent="0.35">
      <c r="T26288" s="246">
        <f t="shared" si="448"/>
        <v>0</v>
      </c>
    </row>
    <row r="26289" spans="20:20" ht="18.75" customHeight="1" x14ac:dyDescent="0.35">
      <c r="T26289" s="246">
        <f t="shared" si="448"/>
        <v>0</v>
      </c>
    </row>
    <row r="26290" spans="20:20" ht="18.75" customHeight="1" x14ac:dyDescent="0.35">
      <c r="T26290" s="246">
        <f t="shared" si="448"/>
        <v>0</v>
      </c>
    </row>
    <row r="26291" spans="20:20" ht="18.75" customHeight="1" x14ac:dyDescent="0.35">
      <c r="T26291" s="246">
        <f t="shared" si="448"/>
        <v>0</v>
      </c>
    </row>
    <row r="26292" spans="20:20" ht="18.75" customHeight="1" x14ac:dyDescent="0.35">
      <c r="T26292" s="246">
        <f t="shared" si="448"/>
        <v>0</v>
      </c>
    </row>
    <row r="26293" spans="20:20" ht="18.75" customHeight="1" x14ac:dyDescent="0.35">
      <c r="T26293" s="246">
        <f t="shared" si="448"/>
        <v>0</v>
      </c>
    </row>
    <row r="26294" spans="20:20" ht="18.75" customHeight="1" x14ac:dyDescent="0.35">
      <c r="T26294" s="246">
        <f t="shared" si="448"/>
        <v>0</v>
      </c>
    </row>
    <row r="26295" spans="20:20" ht="18.75" customHeight="1" x14ac:dyDescent="0.35">
      <c r="T26295" s="246">
        <f t="shared" si="448"/>
        <v>0</v>
      </c>
    </row>
    <row r="26296" spans="20:20" ht="18.75" customHeight="1" x14ac:dyDescent="0.35">
      <c r="T26296" s="246">
        <f t="shared" si="448"/>
        <v>0</v>
      </c>
    </row>
    <row r="26297" spans="20:20" ht="18.75" customHeight="1" x14ac:dyDescent="0.35">
      <c r="T26297" s="246">
        <f t="shared" si="448"/>
        <v>0</v>
      </c>
    </row>
    <row r="26298" spans="20:20" ht="18.75" customHeight="1" x14ac:dyDescent="0.35">
      <c r="T26298" s="246">
        <f t="shared" si="448"/>
        <v>0</v>
      </c>
    </row>
    <row r="26299" spans="20:20" ht="18.75" customHeight="1" x14ac:dyDescent="0.35">
      <c r="T26299" s="246">
        <f t="shared" si="448"/>
        <v>0</v>
      </c>
    </row>
    <row r="26300" spans="20:20" ht="18.75" customHeight="1" x14ac:dyDescent="0.35">
      <c r="T26300" s="246">
        <f t="shared" ref="T26300:T26363" si="449">R26300*0.01</f>
        <v>0</v>
      </c>
    </row>
    <row r="26301" spans="20:20" ht="18.75" customHeight="1" x14ac:dyDescent="0.35">
      <c r="T26301" s="246">
        <f t="shared" si="449"/>
        <v>0</v>
      </c>
    </row>
    <row r="26302" spans="20:20" ht="18.75" customHeight="1" x14ac:dyDescent="0.35">
      <c r="T26302" s="246">
        <f t="shared" si="449"/>
        <v>0</v>
      </c>
    </row>
    <row r="26303" spans="20:20" ht="18.75" customHeight="1" x14ac:dyDescent="0.35">
      <c r="T26303" s="246">
        <f t="shared" si="449"/>
        <v>0</v>
      </c>
    </row>
    <row r="26304" spans="20:20" ht="18.75" customHeight="1" x14ac:dyDescent="0.35">
      <c r="T26304" s="246">
        <f t="shared" si="449"/>
        <v>0</v>
      </c>
    </row>
    <row r="26305" spans="20:20" ht="18.75" customHeight="1" x14ac:dyDescent="0.35">
      <c r="T26305" s="246">
        <f t="shared" si="449"/>
        <v>0</v>
      </c>
    </row>
    <row r="26306" spans="20:20" ht="18.75" customHeight="1" x14ac:dyDescent="0.35">
      <c r="T26306" s="246">
        <f t="shared" si="449"/>
        <v>0</v>
      </c>
    </row>
    <row r="26307" spans="20:20" ht="18.75" customHeight="1" x14ac:dyDescent="0.35">
      <c r="T26307" s="246">
        <f t="shared" si="449"/>
        <v>0</v>
      </c>
    </row>
    <row r="26308" spans="20:20" ht="18.75" customHeight="1" x14ac:dyDescent="0.35">
      <c r="T26308" s="246">
        <f t="shared" si="449"/>
        <v>0</v>
      </c>
    </row>
    <row r="26309" spans="20:20" ht="18.75" customHeight="1" x14ac:dyDescent="0.35">
      <c r="T26309" s="246">
        <f t="shared" si="449"/>
        <v>0</v>
      </c>
    </row>
    <row r="26310" spans="20:20" ht="18.75" customHeight="1" x14ac:dyDescent="0.35">
      <c r="T26310" s="246">
        <f t="shared" si="449"/>
        <v>0</v>
      </c>
    </row>
    <row r="26311" spans="20:20" ht="18.75" customHeight="1" x14ac:dyDescent="0.35">
      <c r="T26311" s="246">
        <f t="shared" si="449"/>
        <v>0</v>
      </c>
    </row>
    <row r="26312" spans="20:20" ht="18.75" customHeight="1" x14ac:dyDescent="0.35">
      <c r="T26312" s="246">
        <f t="shared" si="449"/>
        <v>0</v>
      </c>
    </row>
    <row r="26313" spans="20:20" ht="18.75" customHeight="1" x14ac:dyDescent="0.35">
      <c r="T26313" s="246">
        <f t="shared" si="449"/>
        <v>0</v>
      </c>
    </row>
    <row r="26314" spans="20:20" ht="18.75" customHeight="1" x14ac:dyDescent="0.35">
      <c r="T26314" s="246">
        <f t="shared" si="449"/>
        <v>0</v>
      </c>
    </row>
    <row r="26315" spans="20:20" ht="18.75" customHeight="1" x14ac:dyDescent="0.35">
      <c r="T26315" s="246">
        <f t="shared" si="449"/>
        <v>0</v>
      </c>
    </row>
    <row r="26316" spans="20:20" ht="18.75" customHeight="1" x14ac:dyDescent="0.35">
      <c r="T26316" s="246">
        <f t="shared" si="449"/>
        <v>0</v>
      </c>
    </row>
    <row r="26317" spans="20:20" ht="18.75" customHeight="1" x14ac:dyDescent="0.35">
      <c r="T26317" s="246">
        <f t="shared" si="449"/>
        <v>0</v>
      </c>
    </row>
    <row r="26318" spans="20:20" ht="18.75" customHeight="1" x14ac:dyDescent="0.35">
      <c r="T26318" s="246">
        <f t="shared" si="449"/>
        <v>0</v>
      </c>
    </row>
    <row r="26319" spans="20:20" ht="18.75" customHeight="1" x14ac:dyDescent="0.35">
      <c r="T26319" s="246">
        <f t="shared" si="449"/>
        <v>0</v>
      </c>
    </row>
    <row r="26320" spans="20:20" ht="18.75" customHeight="1" x14ac:dyDescent="0.35">
      <c r="T26320" s="246">
        <f t="shared" si="449"/>
        <v>0</v>
      </c>
    </row>
    <row r="26321" spans="20:20" ht="18.75" customHeight="1" x14ac:dyDescent="0.35">
      <c r="T26321" s="246">
        <f t="shared" si="449"/>
        <v>0</v>
      </c>
    </row>
    <row r="26322" spans="20:20" ht="18.75" customHeight="1" x14ac:dyDescent="0.35">
      <c r="T26322" s="246">
        <f t="shared" si="449"/>
        <v>0</v>
      </c>
    </row>
    <row r="26323" spans="20:20" ht="18.75" customHeight="1" x14ac:dyDescent="0.35">
      <c r="T26323" s="246">
        <f t="shared" si="449"/>
        <v>0</v>
      </c>
    </row>
    <row r="26324" spans="20:20" ht="18.75" customHeight="1" x14ac:dyDescent="0.35">
      <c r="T26324" s="246">
        <f t="shared" si="449"/>
        <v>0</v>
      </c>
    </row>
    <row r="26325" spans="20:20" ht="18.75" customHeight="1" x14ac:dyDescent="0.35">
      <c r="T26325" s="246">
        <f t="shared" si="449"/>
        <v>0</v>
      </c>
    </row>
    <row r="26326" spans="20:20" ht="18.75" customHeight="1" x14ac:dyDescent="0.35">
      <c r="T26326" s="246">
        <f t="shared" si="449"/>
        <v>0</v>
      </c>
    </row>
    <row r="26327" spans="20:20" ht="18.75" customHeight="1" x14ac:dyDescent="0.35">
      <c r="T26327" s="246">
        <f t="shared" si="449"/>
        <v>0</v>
      </c>
    </row>
    <row r="26328" spans="20:20" ht="18.75" customHeight="1" x14ac:dyDescent="0.35">
      <c r="T26328" s="246">
        <f t="shared" si="449"/>
        <v>0</v>
      </c>
    </row>
    <row r="26329" spans="20:20" ht="18.75" customHeight="1" x14ac:dyDescent="0.35">
      <c r="T26329" s="246">
        <f t="shared" si="449"/>
        <v>0</v>
      </c>
    </row>
    <row r="26330" spans="20:20" ht="18.75" customHeight="1" x14ac:dyDescent="0.35">
      <c r="T26330" s="246">
        <f t="shared" si="449"/>
        <v>0</v>
      </c>
    </row>
    <row r="26331" spans="20:20" ht="18.75" customHeight="1" x14ac:dyDescent="0.35">
      <c r="T26331" s="246">
        <f t="shared" si="449"/>
        <v>0</v>
      </c>
    </row>
    <row r="26332" spans="20:20" ht="18.75" customHeight="1" x14ac:dyDescent="0.35">
      <c r="T26332" s="246">
        <f t="shared" si="449"/>
        <v>0</v>
      </c>
    </row>
    <row r="26333" spans="20:20" ht="18.75" customHeight="1" x14ac:dyDescent="0.35">
      <c r="T26333" s="246">
        <f t="shared" si="449"/>
        <v>0</v>
      </c>
    </row>
    <row r="26334" spans="20:20" ht="18.75" customHeight="1" x14ac:dyDescent="0.35">
      <c r="T26334" s="246">
        <f t="shared" si="449"/>
        <v>0</v>
      </c>
    </row>
    <row r="26335" spans="20:20" ht="18.75" customHeight="1" x14ac:dyDescent="0.35">
      <c r="T26335" s="246">
        <f t="shared" si="449"/>
        <v>0</v>
      </c>
    </row>
    <row r="26336" spans="20:20" ht="18.75" customHeight="1" x14ac:dyDescent="0.35">
      <c r="T26336" s="246">
        <f t="shared" si="449"/>
        <v>0</v>
      </c>
    </row>
    <row r="26337" spans="20:20" ht="18.75" customHeight="1" x14ac:dyDescent="0.35">
      <c r="T26337" s="246">
        <f t="shared" si="449"/>
        <v>0</v>
      </c>
    </row>
    <row r="26338" spans="20:20" ht="18.75" customHeight="1" x14ac:dyDescent="0.35">
      <c r="T26338" s="246">
        <f t="shared" si="449"/>
        <v>0</v>
      </c>
    </row>
    <row r="26339" spans="20:20" ht="18.75" customHeight="1" x14ac:dyDescent="0.35">
      <c r="T26339" s="246">
        <f t="shared" si="449"/>
        <v>0</v>
      </c>
    </row>
    <row r="26340" spans="20:20" ht="18.75" customHeight="1" x14ac:dyDescent="0.35">
      <c r="T26340" s="246">
        <f t="shared" si="449"/>
        <v>0</v>
      </c>
    </row>
    <row r="26341" spans="20:20" ht="18.75" customHeight="1" x14ac:dyDescent="0.35">
      <c r="T26341" s="246">
        <f t="shared" si="449"/>
        <v>0</v>
      </c>
    </row>
    <row r="26342" spans="20:20" ht="18.75" customHeight="1" x14ac:dyDescent="0.35">
      <c r="T26342" s="246">
        <f t="shared" si="449"/>
        <v>0</v>
      </c>
    </row>
    <row r="26343" spans="20:20" ht="18.75" customHeight="1" x14ac:dyDescent="0.35">
      <c r="T26343" s="246">
        <f t="shared" si="449"/>
        <v>0</v>
      </c>
    </row>
    <row r="26344" spans="20:20" ht="18.75" customHeight="1" x14ac:dyDescent="0.35">
      <c r="T26344" s="246">
        <f t="shared" si="449"/>
        <v>0</v>
      </c>
    </row>
    <row r="26345" spans="20:20" ht="18.75" customHeight="1" x14ac:dyDescent="0.35">
      <c r="T26345" s="246">
        <f t="shared" si="449"/>
        <v>0</v>
      </c>
    </row>
    <row r="26346" spans="20:20" ht="18.75" customHeight="1" x14ac:dyDescent="0.35">
      <c r="T26346" s="246">
        <f t="shared" si="449"/>
        <v>0</v>
      </c>
    </row>
    <row r="26347" spans="20:20" ht="18.75" customHeight="1" x14ac:dyDescent="0.35">
      <c r="T26347" s="246">
        <f t="shared" si="449"/>
        <v>0</v>
      </c>
    </row>
    <row r="26348" spans="20:20" ht="18.75" customHeight="1" x14ac:dyDescent="0.35">
      <c r="T26348" s="246">
        <f t="shared" si="449"/>
        <v>0</v>
      </c>
    </row>
    <row r="26349" spans="20:20" ht="18.75" customHeight="1" x14ac:dyDescent="0.35">
      <c r="T26349" s="246">
        <f t="shared" si="449"/>
        <v>0</v>
      </c>
    </row>
    <row r="26350" spans="20:20" ht="18.75" customHeight="1" x14ac:dyDescent="0.35">
      <c r="T26350" s="246">
        <f t="shared" si="449"/>
        <v>0</v>
      </c>
    </row>
    <row r="26351" spans="20:20" ht="18.75" customHeight="1" x14ac:dyDescent="0.35">
      <c r="T26351" s="246">
        <f t="shared" si="449"/>
        <v>0</v>
      </c>
    </row>
    <row r="26352" spans="20:20" ht="18.75" customHeight="1" x14ac:dyDescent="0.35">
      <c r="T26352" s="246">
        <f t="shared" si="449"/>
        <v>0</v>
      </c>
    </row>
    <row r="26353" spans="20:20" ht="18.75" customHeight="1" x14ac:dyDescent="0.35">
      <c r="T26353" s="246">
        <f t="shared" si="449"/>
        <v>0</v>
      </c>
    </row>
    <row r="26354" spans="20:20" ht="18.75" customHeight="1" x14ac:dyDescent="0.35">
      <c r="T26354" s="246">
        <f t="shared" si="449"/>
        <v>0</v>
      </c>
    </row>
    <row r="26355" spans="20:20" ht="18.75" customHeight="1" x14ac:dyDescent="0.35">
      <c r="T26355" s="246">
        <f t="shared" si="449"/>
        <v>0</v>
      </c>
    </row>
    <row r="26356" spans="20:20" ht="18.75" customHeight="1" x14ac:dyDescent="0.35">
      <c r="T26356" s="246">
        <f t="shared" si="449"/>
        <v>0</v>
      </c>
    </row>
    <row r="26357" spans="20:20" ht="18.75" customHeight="1" x14ac:dyDescent="0.35">
      <c r="T26357" s="246">
        <f t="shared" si="449"/>
        <v>0</v>
      </c>
    </row>
    <row r="26358" spans="20:20" ht="18.75" customHeight="1" x14ac:dyDescent="0.35">
      <c r="T26358" s="246">
        <f t="shared" si="449"/>
        <v>0</v>
      </c>
    </row>
    <row r="26359" spans="20:20" ht="18.75" customHeight="1" x14ac:dyDescent="0.35">
      <c r="T26359" s="246">
        <f t="shared" si="449"/>
        <v>0</v>
      </c>
    </row>
    <row r="26360" spans="20:20" ht="18.75" customHeight="1" x14ac:dyDescent="0.35">
      <c r="T26360" s="246">
        <f t="shared" si="449"/>
        <v>0</v>
      </c>
    </row>
    <row r="26361" spans="20:20" ht="18.75" customHeight="1" x14ac:dyDescent="0.35">
      <c r="T26361" s="246">
        <f t="shared" si="449"/>
        <v>0</v>
      </c>
    </row>
    <row r="26362" spans="20:20" ht="18.75" customHeight="1" x14ac:dyDescent="0.35">
      <c r="T26362" s="246">
        <f t="shared" si="449"/>
        <v>0</v>
      </c>
    </row>
    <row r="26363" spans="20:20" ht="18.75" customHeight="1" x14ac:dyDescent="0.35">
      <c r="T26363" s="246">
        <f t="shared" si="449"/>
        <v>0</v>
      </c>
    </row>
    <row r="26364" spans="20:20" ht="18.75" customHeight="1" x14ac:dyDescent="0.35">
      <c r="T26364" s="246">
        <f t="shared" ref="T26364:T26427" si="450">R26364*0.01</f>
        <v>0</v>
      </c>
    </row>
    <row r="26365" spans="20:20" ht="18.75" customHeight="1" x14ac:dyDescent="0.35">
      <c r="T26365" s="246">
        <f t="shared" si="450"/>
        <v>0</v>
      </c>
    </row>
    <row r="26366" spans="20:20" ht="18.75" customHeight="1" x14ac:dyDescent="0.35">
      <c r="T26366" s="246">
        <f t="shared" si="450"/>
        <v>0</v>
      </c>
    </row>
    <row r="26367" spans="20:20" ht="18.75" customHeight="1" x14ac:dyDescent="0.35">
      <c r="T26367" s="246">
        <f t="shared" si="450"/>
        <v>0</v>
      </c>
    </row>
    <row r="26368" spans="20:20" ht="18.75" customHeight="1" x14ac:dyDescent="0.35">
      <c r="T26368" s="246">
        <f t="shared" si="450"/>
        <v>0</v>
      </c>
    </row>
    <row r="26369" spans="20:20" ht="18.75" customHeight="1" x14ac:dyDescent="0.35">
      <c r="T26369" s="246">
        <f t="shared" si="450"/>
        <v>0</v>
      </c>
    </row>
    <row r="26370" spans="20:20" ht="18.75" customHeight="1" x14ac:dyDescent="0.35">
      <c r="T26370" s="246">
        <f t="shared" si="450"/>
        <v>0</v>
      </c>
    </row>
    <row r="26371" spans="20:20" ht="18.75" customHeight="1" x14ac:dyDescent="0.35">
      <c r="T26371" s="246">
        <f t="shared" si="450"/>
        <v>0</v>
      </c>
    </row>
    <row r="26372" spans="20:20" ht="18.75" customHeight="1" x14ac:dyDescent="0.35">
      <c r="T26372" s="246">
        <f t="shared" si="450"/>
        <v>0</v>
      </c>
    </row>
    <row r="26373" spans="20:20" ht="18.75" customHeight="1" x14ac:dyDescent="0.35">
      <c r="T26373" s="246">
        <f t="shared" si="450"/>
        <v>0</v>
      </c>
    </row>
    <row r="26374" spans="20:20" ht="18.75" customHeight="1" x14ac:dyDescent="0.35">
      <c r="T26374" s="246">
        <f t="shared" si="450"/>
        <v>0</v>
      </c>
    </row>
    <row r="26375" spans="20:20" ht="18.75" customHeight="1" x14ac:dyDescent="0.35">
      <c r="T26375" s="246">
        <f t="shared" si="450"/>
        <v>0</v>
      </c>
    </row>
    <row r="26376" spans="20:20" ht="18.75" customHeight="1" x14ac:dyDescent="0.35">
      <c r="T26376" s="246">
        <f t="shared" si="450"/>
        <v>0</v>
      </c>
    </row>
    <row r="26377" spans="20:20" ht="18.75" customHeight="1" x14ac:dyDescent="0.35">
      <c r="T26377" s="246">
        <f t="shared" si="450"/>
        <v>0</v>
      </c>
    </row>
    <row r="26378" spans="20:20" ht="18.75" customHeight="1" x14ac:dyDescent="0.35">
      <c r="T26378" s="246">
        <f t="shared" si="450"/>
        <v>0</v>
      </c>
    </row>
    <row r="26379" spans="20:20" ht="18.75" customHeight="1" x14ac:dyDescent="0.35">
      <c r="T26379" s="246">
        <f t="shared" si="450"/>
        <v>0</v>
      </c>
    </row>
    <row r="26380" spans="20:20" ht="18.75" customHeight="1" x14ac:dyDescent="0.35">
      <c r="T26380" s="246">
        <f t="shared" si="450"/>
        <v>0</v>
      </c>
    </row>
    <row r="26381" spans="20:20" ht="18.75" customHeight="1" x14ac:dyDescent="0.35">
      <c r="T26381" s="246">
        <f t="shared" si="450"/>
        <v>0</v>
      </c>
    </row>
    <row r="26382" spans="20:20" ht="18.75" customHeight="1" x14ac:dyDescent="0.35">
      <c r="T26382" s="246">
        <f t="shared" si="450"/>
        <v>0</v>
      </c>
    </row>
    <row r="26383" spans="20:20" ht="18.75" customHeight="1" x14ac:dyDescent="0.35">
      <c r="T26383" s="246">
        <f t="shared" si="450"/>
        <v>0</v>
      </c>
    </row>
    <row r="26384" spans="20:20" ht="18.75" customHeight="1" x14ac:dyDescent="0.35">
      <c r="T26384" s="246">
        <f t="shared" si="450"/>
        <v>0</v>
      </c>
    </row>
    <row r="26385" spans="20:20" ht="18.75" customHeight="1" x14ac:dyDescent="0.35">
      <c r="T26385" s="246">
        <f t="shared" si="450"/>
        <v>0</v>
      </c>
    </row>
    <row r="26386" spans="20:20" ht="18.75" customHeight="1" x14ac:dyDescent="0.35">
      <c r="T26386" s="246">
        <f t="shared" si="450"/>
        <v>0</v>
      </c>
    </row>
    <row r="26387" spans="20:20" ht="18.75" customHeight="1" x14ac:dyDescent="0.35">
      <c r="T26387" s="246">
        <f t="shared" si="450"/>
        <v>0</v>
      </c>
    </row>
    <row r="26388" spans="20:20" ht="18.75" customHeight="1" x14ac:dyDescent="0.35">
      <c r="T26388" s="246">
        <f t="shared" si="450"/>
        <v>0</v>
      </c>
    </row>
    <row r="26389" spans="20:20" ht="18.75" customHeight="1" x14ac:dyDescent="0.35">
      <c r="T26389" s="246">
        <f t="shared" si="450"/>
        <v>0</v>
      </c>
    </row>
    <row r="26390" spans="20:20" ht="18.75" customHeight="1" x14ac:dyDescent="0.35">
      <c r="T26390" s="246">
        <f t="shared" si="450"/>
        <v>0</v>
      </c>
    </row>
    <row r="26391" spans="20:20" ht="18.75" customHeight="1" x14ac:dyDescent="0.35">
      <c r="T26391" s="246">
        <f t="shared" si="450"/>
        <v>0</v>
      </c>
    </row>
    <row r="26392" spans="20:20" ht="18.75" customHeight="1" x14ac:dyDescent="0.35">
      <c r="T26392" s="246">
        <f t="shared" si="450"/>
        <v>0</v>
      </c>
    </row>
    <row r="26393" spans="20:20" ht="18.75" customHeight="1" x14ac:dyDescent="0.35">
      <c r="T26393" s="246">
        <f t="shared" si="450"/>
        <v>0</v>
      </c>
    </row>
    <row r="26394" spans="20:20" ht="18.75" customHeight="1" x14ac:dyDescent="0.35">
      <c r="T26394" s="246">
        <f t="shared" si="450"/>
        <v>0</v>
      </c>
    </row>
    <row r="26395" spans="20:20" ht="18.75" customHeight="1" x14ac:dyDescent="0.35">
      <c r="T26395" s="246">
        <f t="shared" si="450"/>
        <v>0</v>
      </c>
    </row>
    <row r="26396" spans="20:20" ht="18.75" customHeight="1" x14ac:dyDescent="0.35">
      <c r="T26396" s="246">
        <f t="shared" si="450"/>
        <v>0</v>
      </c>
    </row>
    <row r="26397" spans="20:20" ht="18.75" customHeight="1" x14ac:dyDescent="0.35">
      <c r="T26397" s="246">
        <f t="shared" si="450"/>
        <v>0</v>
      </c>
    </row>
    <row r="26398" spans="20:20" ht="18.75" customHeight="1" x14ac:dyDescent="0.35">
      <c r="T26398" s="246">
        <f t="shared" si="450"/>
        <v>0</v>
      </c>
    </row>
    <row r="26399" spans="20:20" ht="18.75" customHeight="1" x14ac:dyDescent="0.35">
      <c r="T26399" s="246">
        <f t="shared" si="450"/>
        <v>0</v>
      </c>
    </row>
    <row r="26400" spans="20:20" ht="18.75" customHeight="1" x14ac:dyDescent="0.35">
      <c r="T26400" s="246">
        <f t="shared" si="450"/>
        <v>0</v>
      </c>
    </row>
    <row r="26401" spans="20:20" ht="18.75" customHeight="1" x14ac:dyDescent="0.35">
      <c r="T26401" s="246">
        <f t="shared" si="450"/>
        <v>0</v>
      </c>
    </row>
    <row r="26402" spans="20:20" ht="18.75" customHeight="1" x14ac:dyDescent="0.35">
      <c r="T26402" s="246">
        <f t="shared" si="450"/>
        <v>0</v>
      </c>
    </row>
    <row r="26403" spans="20:20" ht="18.75" customHeight="1" x14ac:dyDescent="0.35">
      <c r="T26403" s="246">
        <f t="shared" si="450"/>
        <v>0</v>
      </c>
    </row>
    <row r="26404" spans="20:20" ht="18.75" customHeight="1" x14ac:dyDescent="0.35">
      <c r="T26404" s="246">
        <f t="shared" si="450"/>
        <v>0</v>
      </c>
    </row>
    <row r="26405" spans="20:20" ht="18.75" customHeight="1" x14ac:dyDescent="0.35">
      <c r="T26405" s="246">
        <f t="shared" si="450"/>
        <v>0</v>
      </c>
    </row>
    <row r="26406" spans="20:20" ht="18.75" customHeight="1" x14ac:dyDescent="0.35">
      <c r="T26406" s="246">
        <f t="shared" si="450"/>
        <v>0</v>
      </c>
    </row>
    <row r="26407" spans="20:20" ht="18.75" customHeight="1" x14ac:dyDescent="0.35">
      <c r="T26407" s="246">
        <f t="shared" si="450"/>
        <v>0</v>
      </c>
    </row>
    <row r="26408" spans="20:20" ht="18.75" customHeight="1" x14ac:dyDescent="0.35">
      <c r="T26408" s="246">
        <f t="shared" si="450"/>
        <v>0</v>
      </c>
    </row>
    <row r="26409" spans="20:20" ht="18.75" customHeight="1" x14ac:dyDescent="0.35">
      <c r="T26409" s="246">
        <f t="shared" si="450"/>
        <v>0</v>
      </c>
    </row>
    <row r="26410" spans="20:20" ht="18.75" customHeight="1" x14ac:dyDescent="0.35">
      <c r="T26410" s="246">
        <f t="shared" si="450"/>
        <v>0</v>
      </c>
    </row>
    <row r="26411" spans="20:20" ht="18.75" customHeight="1" x14ac:dyDescent="0.35">
      <c r="T26411" s="246">
        <f t="shared" si="450"/>
        <v>0</v>
      </c>
    </row>
    <row r="26412" spans="20:20" ht="18.75" customHeight="1" x14ac:dyDescent="0.35">
      <c r="T26412" s="246">
        <f t="shared" si="450"/>
        <v>0</v>
      </c>
    </row>
    <row r="26413" spans="20:20" ht="18.75" customHeight="1" x14ac:dyDescent="0.35">
      <c r="T26413" s="246">
        <f t="shared" si="450"/>
        <v>0</v>
      </c>
    </row>
    <row r="26414" spans="20:20" ht="18.75" customHeight="1" x14ac:dyDescent="0.35">
      <c r="T26414" s="246">
        <f t="shared" si="450"/>
        <v>0</v>
      </c>
    </row>
    <row r="26415" spans="20:20" ht="18.75" customHeight="1" x14ac:dyDescent="0.35">
      <c r="T26415" s="246">
        <f t="shared" si="450"/>
        <v>0</v>
      </c>
    </row>
    <row r="26416" spans="20:20" ht="18.75" customHeight="1" x14ac:dyDescent="0.35">
      <c r="T26416" s="246">
        <f t="shared" si="450"/>
        <v>0</v>
      </c>
    </row>
    <row r="26417" spans="20:20" ht="18.75" customHeight="1" x14ac:dyDescent="0.35">
      <c r="T26417" s="246">
        <f t="shared" si="450"/>
        <v>0</v>
      </c>
    </row>
    <row r="26418" spans="20:20" ht="18.75" customHeight="1" x14ac:dyDescent="0.35">
      <c r="T26418" s="246">
        <f t="shared" si="450"/>
        <v>0</v>
      </c>
    </row>
    <row r="26419" spans="20:20" ht="18.75" customHeight="1" x14ac:dyDescent="0.35">
      <c r="T26419" s="246">
        <f t="shared" si="450"/>
        <v>0</v>
      </c>
    </row>
    <row r="26420" spans="20:20" ht="18.75" customHeight="1" x14ac:dyDescent="0.35">
      <c r="T26420" s="246">
        <f t="shared" si="450"/>
        <v>0</v>
      </c>
    </row>
    <row r="26421" spans="20:20" ht="18.75" customHeight="1" x14ac:dyDescent="0.35">
      <c r="T26421" s="246">
        <f t="shared" si="450"/>
        <v>0</v>
      </c>
    </row>
    <row r="26422" spans="20:20" ht="18.75" customHeight="1" x14ac:dyDescent="0.35">
      <c r="T26422" s="246">
        <f t="shared" si="450"/>
        <v>0</v>
      </c>
    </row>
    <row r="26423" spans="20:20" ht="18.75" customHeight="1" x14ac:dyDescent="0.35">
      <c r="T26423" s="246">
        <f t="shared" si="450"/>
        <v>0</v>
      </c>
    </row>
    <row r="26424" spans="20:20" ht="18.75" customHeight="1" x14ac:dyDescent="0.35">
      <c r="T26424" s="246">
        <f t="shared" si="450"/>
        <v>0</v>
      </c>
    </row>
    <row r="26425" spans="20:20" ht="18.75" customHeight="1" x14ac:dyDescent="0.35">
      <c r="T26425" s="246">
        <f t="shared" si="450"/>
        <v>0</v>
      </c>
    </row>
    <row r="26426" spans="20:20" ht="18.75" customHeight="1" x14ac:dyDescent="0.35">
      <c r="T26426" s="246">
        <f t="shared" si="450"/>
        <v>0</v>
      </c>
    </row>
    <row r="26427" spans="20:20" ht="18.75" customHeight="1" x14ac:dyDescent="0.35">
      <c r="T26427" s="246">
        <f t="shared" si="450"/>
        <v>0</v>
      </c>
    </row>
    <row r="26428" spans="20:20" ht="18.75" customHeight="1" x14ac:dyDescent="0.35">
      <c r="T26428" s="246">
        <f t="shared" ref="T26428:T26491" si="451">R26428*0.01</f>
        <v>0</v>
      </c>
    </row>
    <row r="26429" spans="20:20" ht="18.75" customHeight="1" x14ac:dyDescent="0.35">
      <c r="T26429" s="246">
        <f t="shared" si="451"/>
        <v>0</v>
      </c>
    </row>
    <row r="26430" spans="20:20" ht="18.75" customHeight="1" x14ac:dyDescent="0.35">
      <c r="T26430" s="246">
        <f t="shared" si="451"/>
        <v>0</v>
      </c>
    </row>
    <row r="26431" spans="20:20" ht="18.75" customHeight="1" x14ac:dyDescent="0.35">
      <c r="T26431" s="246">
        <f t="shared" si="451"/>
        <v>0</v>
      </c>
    </row>
    <row r="26432" spans="20:20" ht="18.75" customHeight="1" x14ac:dyDescent="0.35">
      <c r="T26432" s="246">
        <f t="shared" si="451"/>
        <v>0</v>
      </c>
    </row>
    <row r="26433" spans="20:20" ht="18.75" customHeight="1" x14ac:dyDescent="0.35">
      <c r="T26433" s="246">
        <f t="shared" si="451"/>
        <v>0</v>
      </c>
    </row>
    <row r="26434" spans="20:20" ht="18.75" customHeight="1" x14ac:dyDescent="0.35">
      <c r="T26434" s="246">
        <f t="shared" si="451"/>
        <v>0</v>
      </c>
    </row>
    <row r="26435" spans="20:20" ht="18.75" customHeight="1" x14ac:dyDescent="0.35">
      <c r="T26435" s="246">
        <f t="shared" si="451"/>
        <v>0</v>
      </c>
    </row>
    <row r="26436" spans="20:20" ht="18.75" customHeight="1" x14ac:dyDescent="0.35">
      <c r="T26436" s="246">
        <f t="shared" si="451"/>
        <v>0</v>
      </c>
    </row>
    <row r="26437" spans="20:20" ht="18.75" customHeight="1" x14ac:dyDescent="0.35">
      <c r="T26437" s="246">
        <f t="shared" si="451"/>
        <v>0</v>
      </c>
    </row>
    <row r="26438" spans="20:20" ht="18.75" customHeight="1" x14ac:dyDescent="0.35">
      <c r="T26438" s="246">
        <f t="shared" si="451"/>
        <v>0</v>
      </c>
    </row>
    <row r="26439" spans="20:20" ht="18.75" customHeight="1" x14ac:dyDescent="0.35">
      <c r="T26439" s="246">
        <f t="shared" si="451"/>
        <v>0</v>
      </c>
    </row>
    <row r="26440" spans="20:20" ht="18.75" customHeight="1" x14ac:dyDescent="0.35">
      <c r="T26440" s="246">
        <f t="shared" si="451"/>
        <v>0</v>
      </c>
    </row>
    <row r="26441" spans="20:20" ht="18.75" customHeight="1" x14ac:dyDescent="0.35">
      <c r="T26441" s="246">
        <f t="shared" si="451"/>
        <v>0</v>
      </c>
    </row>
    <row r="26442" spans="20:20" ht="18.75" customHeight="1" x14ac:dyDescent="0.35">
      <c r="T26442" s="246">
        <f t="shared" si="451"/>
        <v>0</v>
      </c>
    </row>
    <row r="26443" spans="20:20" ht="18.75" customHeight="1" x14ac:dyDescent="0.35">
      <c r="T26443" s="246">
        <f t="shared" si="451"/>
        <v>0</v>
      </c>
    </row>
    <row r="26444" spans="20:20" ht="18.75" customHeight="1" x14ac:dyDescent="0.35">
      <c r="T26444" s="246">
        <f t="shared" si="451"/>
        <v>0</v>
      </c>
    </row>
    <row r="26445" spans="20:20" ht="18.75" customHeight="1" x14ac:dyDescent="0.35">
      <c r="T26445" s="246">
        <f t="shared" si="451"/>
        <v>0</v>
      </c>
    </row>
    <row r="26446" spans="20:20" ht="18.75" customHeight="1" x14ac:dyDescent="0.35">
      <c r="T26446" s="246">
        <f t="shared" si="451"/>
        <v>0</v>
      </c>
    </row>
    <row r="26447" spans="20:20" ht="18.75" customHeight="1" x14ac:dyDescent="0.35">
      <c r="T26447" s="246">
        <f t="shared" si="451"/>
        <v>0</v>
      </c>
    </row>
    <row r="26448" spans="20:20" ht="18.75" customHeight="1" x14ac:dyDescent="0.35">
      <c r="T26448" s="246">
        <f t="shared" si="451"/>
        <v>0</v>
      </c>
    </row>
    <row r="26449" spans="20:20" ht="18.75" customHeight="1" x14ac:dyDescent="0.35">
      <c r="T26449" s="246">
        <f t="shared" si="451"/>
        <v>0</v>
      </c>
    </row>
    <row r="26450" spans="20:20" ht="18.75" customHeight="1" x14ac:dyDescent="0.35">
      <c r="T26450" s="246">
        <f t="shared" si="451"/>
        <v>0</v>
      </c>
    </row>
    <row r="26451" spans="20:20" ht="18.75" customHeight="1" x14ac:dyDescent="0.35">
      <c r="T26451" s="246">
        <f t="shared" si="451"/>
        <v>0</v>
      </c>
    </row>
    <row r="26452" spans="20:20" ht="18.75" customHeight="1" x14ac:dyDescent="0.35">
      <c r="T26452" s="246">
        <f t="shared" si="451"/>
        <v>0</v>
      </c>
    </row>
    <row r="26453" spans="20:20" ht="18.75" customHeight="1" x14ac:dyDescent="0.35">
      <c r="T26453" s="246">
        <f t="shared" si="451"/>
        <v>0</v>
      </c>
    </row>
    <row r="26454" spans="20:20" ht="18.75" customHeight="1" x14ac:dyDescent="0.35">
      <c r="T26454" s="246">
        <f t="shared" si="451"/>
        <v>0</v>
      </c>
    </row>
    <row r="26455" spans="20:20" ht="18.75" customHeight="1" x14ac:dyDescent="0.35">
      <c r="T26455" s="246">
        <f t="shared" si="451"/>
        <v>0</v>
      </c>
    </row>
    <row r="26456" spans="20:20" ht="18.75" customHeight="1" x14ac:dyDescent="0.35">
      <c r="T26456" s="246">
        <f t="shared" si="451"/>
        <v>0</v>
      </c>
    </row>
    <row r="26457" spans="20:20" ht="18.75" customHeight="1" x14ac:dyDescent="0.35">
      <c r="T26457" s="246">
        <f t="shared" si="451"/>
        <v>0</v>
      </c>
    </row>
    <row r="26458" spans="20:20" ht="18.75" customHeight="1" x14ac:dyDescent="0.35">
      <c r="T26458" s="246">
        <f t="shared" si="451"/>
        <v>0</v>
      </c>
    </row>
    <row r="26459" spans="20:20" ht="18.75" customHeight="1" x14ac:dyDescent="0.35">
      <c r="T26459" s="246">
        <f t="shared" si="451"/>
        <v>0</v>
      </c>
    </row>
    <row r="26460" spans="20:20" ht="18.75" customHeight="1" x14ac:dyDescent="0.35">
      <c r="T26460" s="246">
        <f t="shared" si="451"/>
        <v>0</v>
      </c>
    </row>
    <row r="26461" spans="20:20" ht="18.75" customHeight="1" x14ac:dyDescent="0.35">
      <c r="T26461" s="246">
        <f t="shared" si="451"/>
        <v>0</v>
      </c>
    </row>
    <row r="26462" spans="20:20" ht="18.75" customHeight="1" x14ac:dyDescent="0.35">
      <c r="T26462" s="246">
        <f t="shared" si="451"/>
        <v>0</v>
      </c>
    </row>
    <row r="26463" spans="20:20" ht="18.75" customHeight="1" x14ac:dyDescent="0.35">
      <c r="T26463" s="246">
        <f t="shared" si="451"/>
        <v>0</v>
      </c>
    </row>
    <row r="26464" spans="20:20" ht="18.75" customHeight="1" x14ac:dyDescent="0.35">
      <c r="T26464" s="246">
        <f t="shared" si="451"/>
        <v>0</v>
      </c>
    </row>
    <row r="26465" spans="20:20" ht="18.75" customHeight="1" x14ac:dyDescent="0.35">
      <c r="T26465" s="246">
        <f t="shared" si="451"/>
        <v>0</v>
      </c>
    </row>
    <row r="26466" spans="20:20" ht="18.75" customHeight="1" x14ac:dyDescent="0.35">
      <c r="T26466" s="246">
        <f t="shared" si="451"/>
        <v>0</v>
      </c>
    </row>
    <row r="26467" spans="20:20" ht="18.75" customHeight="1" x14ac:dyDescent="0.35">
      <c r="T26467" s="246">
        <f t="shared" si="451"/>
        <v>0</v>
      </c>
    </row>
    <row r="26468" spans="20:20" ht="18.75" customHeight="1" x14ac:dyDescent="0.35">
      <c r="T26468" s="246">
        <f t="shared" si="451"/>
        <v>0</v>
      </c>
    </row>
    <row r="26469" spans="20:20" ht="18.75" customHeight="1" x14ac:dyDescent="0.35">
      <c r="T26469" s="246">
        <f t="shared" si="451"/>
        <v>0</v>
      </c>
    </row>
    <row r="26470" spans="20:20" ht="18.75" customHeight="1" x14ac:dyDescent="0.35">
      <c r="T26470" s="246">
        <f t="shared" si="451"/>
        <v>0</v>
      </c>
    </row>
    <row r="26471" spans="20:20" ht="18.75" customHeight="1" x14ac:dyDescent="0.35">
      <c r="T26471" s="246">
        <f t="shared" si="451"/>
        <v>0</v>
      </c>
    </row>
    <row r="26472" spans="20:20" ht="18.75" customHeight="1" x14ac:dyDescent="0.35">
      <c r="T26472" s="246">
        <f t="shared" si="451"/>
        <v>0</v>
      </c>
    </row>
    <row r="26473" spans="20:20" ht="18.75" customHeight="1" x14ac:dyDescent="0.35">
      <c r="T26473" s="246">
        <f t="shared" si="451"/>
        <v>0</v>
      </c>
    </row>
    <row r="26474" spans="20:20" ht="18.75" customHeight="1" x14ac:dyDescent="0.35">
      <c r="T26474" s="246">
        <f t="shared" si="451"/>
        <v>0</v>
      </c>
    </row>
    <row r="26475" spans="20:20" ht="18.75" customHeight="1" x14ac:dyDescent="0.35">
      <c r="T26475" s="246">
        <f t="shared" si="451"/>
        <v>0</v>
      </c>
    </row>
    <row r="26476" spans="20:20" ht="18.75" customHeight="1" x14ac:dyDescent="0.35">
      <c r="T26476" s="246">
        <f t="shared" si="451"/>
        <v>0</v>
      </c>
    </row>
    <row r="26477" spans="20:20" ht="18.75" customHeight="1" x14ac:dyDescent="0.35">
      <c r="T26477" s="246">
        <f t="shared" si="451"/>
        <v>0</v>
      </c>
    </row>
    <row r="26478" spans="20:20" ht="18.75" customHeight="1" x14ac:dyDescent="0.35">
      <c r="T26478" s="246">
        <f t="shared" si="451"/>
        <v>0</v>
      </c>
    </row>
    <row r="26479" spans="20:20" ht="18.75" customHeight="1" x14ac:dyDescent="0.35">
      <c r="T26479" s="246">
        <f t="shared" si="451"/>
        <v>0</v>
      </c>
    </row>
    <row r="26480" spans="20:20" ht="18.75" customHeight="1" x14ac:dyDescent="0.35">
      <c r="T26480" s="246">
        <f t="shared" si="451"/>
        <v>0</v>
      </c>
    </row>
    <row r="26481" spans="20:20" ht="18.75" customHeight="1" x14ac:dyDescent="0.35">
      <c r="T26481" s="246">
        <f t="shared" si="451"/>
        <v>0</v>
      </c>
    </row>
    <row r="26482" spans="20:20" ht="18.75" customHeight="1" x14ac:dyDescent="0.35">
      <c r="T26482" s="246">
        <f t="shared" si="451"/>
        <v>0</v>
      </c>
    </row>
    <row r="26483" spans="20:20" ht="18.75" customHeight="1" x14ac:dyDescent="0.35">
      <c r="T26483" s="246">
        <f t="shared" si="451"/>
        <v>0</v>
      </c>
    </row>
    <row r="26484" spans="20:20" ht="18.75" customHeight="1" x14ac:dyDescent="0.35">
      <c r="T26484" s="246">
        <f t="shared" si="451"/>
        <v>0</v>
      </c>
    </row>
    <row r="26485" spans="20:20" ht="18.75" customHeight="1" x14ac:dyDescent="0.35">
      <c r="T26485" s="246">
        <f t="shared" si="451"/>
        <v>0</v>
      </c>
    </row>
    <row r="26486" spans="20:20" ht="18.75" customHeight="1" x14ac:dyDescent="0.35">
      <c r="T26486" s="246">
        <f t="shared" si="451"/>
        <v>0</v>
      </c>
    </row>
    <row r="26487" spans="20:20" ht="18.75" customHeight="1" x14ac:dyDescent="0.35">
      <c r="T26487" s="246">
        <f t="shared" si="451"/>
        <v>0</v>
      </c>
    </row>
    <row r="26488" spans="20:20" ht="18.75" customHeight="1" x14ac:dyDescent="0.35">
      <c r="T26488" s="246">
        <f t="shared" si="451"/>
        <v>0</v>
      </c>
    </row>
    <row r="26489" spans="20:20" ht="18.75" customHeight="1" x14ac:dyDescent="0.35">
      <c r="T26489" s="246">
        <f t="shared" si="451"/>
        <v>0</v>
      </c>
    </row>
    <row r="26490" spans="20:20" ht="18.75" customHeight="1" x14ac:dyDescent="0.35">
      <c r="T26490" s="246">
        <f t="shared" si="451"/>
        <v>0</v>
      </c>
    </row>
    <row r="26491" spans="20:20" ht="18.75" customHeight="1" x14ac:dyDescent="0.35">
      <c r="T26491" s="246">
        <f t="shared" si="451"/>
        <v>0</v>
      </c>
    </row>
    <row r="26492" spans="20:20" ht="18.75" customHeight="1" x14ac:dyDescent="0.35">
      <c r="T26492" s="246">
        <f t="shared" ref="T26492:T26555" si="452">R26492*0.01</f>
        <v>0</v>
      </c>
    </row>
    <row r="26493" spans="20:20" ht="18.75" customHeight="1" x14ac:dyDescent="0.35">
      <c r="T26493" s="246">
        <f t="shared" si="452"/>
        <v>0</v>
      </c>
    </row>
    <row r="26494" spans="20:20" ht="18.75" customHeight="1" x14ac:dyDescent="0.35">
      <c r="T26494" s="246">
        <f t="shared" si="452"/>
        <v>0</v>
      </c>
    </row>
    <row r="26495" spans="20:20" ht="18.75" customHeight="1" x14ac:dyDescent="0.35">
      <c r="T26495" s="246">
        <f t="shared" si="452"/>
        <v>0</v>
      </c>
    </row>
    <row r="26496" spans="20:20" ht="18.75" customHeight="1" x14ac:dyDescent="0.35">
      <c r="T26496" s="246">
        <f t="shared" si="452"/>
        <v>0</v>
      </c>
    </row>
    <row r="26497" spans="20:20" ht="18.75" customHeight="1" x14ac:dyDescent="0.35">
      <c r="T26497" s="246">
        <f t="shared" si="452"/>
        <v>0</v>
      </c>
    </row>
    <row r="26498" spans="20:20" ht="18.75" customHeight="1" x14ac:dyDescent="0.35">
      <c r="T26498" s="246">
        <f t="shared" si="452"/>
        <v>0</v>
      </c>
    </row>
    <row r="26499" spans="20:20" ht="18.75" customHeight="1" x14ac:dyDescent="0.35">
      <c r="T26499" s="246">
        <f t="shared" si="452"/>
        <v>0</v>
      </c>
    </row>
    <row r="26500" spans="20:20" ht="18.75" customHeight="1" x14ac:dyDescent="0.35">
      <c r="T26500" s="246">
        <f t="shared" si="452"/>
        <v>0</v>
      </c>
    </row>
    <row r="26501" spans="20:20" ht="18.75" customHeight="1" x14ac:dyDescent="0.35">
      <c r="T26501" s="246">
        <f t="shared" si="452"/>
        <v>0</v>
      </c>
    </row>
    <row r="26502" spans="20:20" ht="18.75" customHeight="1" x14ac:dyDescent="0.35">
      <c r="T26502" s="246">
        <f t="shared" si="452"/>
        <v>0</v>
      </c>
    </row>
    <row r="26503" spans="20:20" ht="18.75" customHeight="1" x14ac:dyDescent="0.35">
      <c r="T26503" s="246">
        <f t="shared" si="452"/>
        <v>0</v>
      </c>
    </row>
    <row r="26504" spans="20:20" ht="18.75" customHeight="1" x14ac:dyDescent="0.35">
      <c r="T26504" s="246">
        <f t="shared" si="452"/>
        <v>0</v>
      </c>
    </row>
    <row r="26505" spans="20:20" ht="18.75" customHeight="1" x14ac:dyDescent="0.35">
      <c r="T26505" s="246">
        <f t="shared" si="452"/>
        <v>0</v>
      </c>
    </row>
    <row r="26506" spans="20:20" ht="18.75" customHeight="1" x14ac:dyDescent="0.35">
      <c r="T26506" s="246">
        <f t="shared" si="452"/>
        <v>0</v>
      </c>
    </row>
    <row r="26507" spans="20:20" ht="18.75" customHeight="1" x14ac:dyDescent="0.35">
      <c r="T26507" s="246">
        <f t="shared" si="452"/>
        <v>0</v>
      </c>
    </row>
    <row r="26508" spans="20:20" ht="18.75" customHeight="1" x14ac:dyDescent="0.35">
      <c r="T26508" s="246">
        <f t="shared" si="452"/>
        <v>0</v>
      </c>
    </row>
    <row r="26509" spans="20:20" ht="18.75" customHeight="1" x14ac:dyDescent="0.35">
      <c r="T26509" s="246">
        <f t="shared" si="452"/>
        <v>0</v>
      </c>
    </row>
    <row r="26510" spans="20:20" ht="18.75" customHeight="1" x14ac:dyDescent="0.35">
      <c r="T26510" s="246">
        <f t="shared" si="452"/>
        <v>0</v>
      </c>
    </row>
    <row r="26511" spans="20:20" ht="18.75" customHeight="1" x14ac:dyDescent="0.35">
      <c r="T26511" s="246">
        <f t="shared" si="452"/>
        <v>0</v>
      </c>
    </row>
    <row r="26512" spans="20:20" ht="18.75" customHeight="1" x14ac:dyDescent="0.35">
      <c r="T26512" s="246">
        <f t="shared" si="452"/>
        <v>0</v>
      </c>
    </row>
    <row r="26513" spans="20:20" ht="18.75" customHeight="1" x14ac:dyDescent="0.35">
      <c r="T26513" s="246">
        <f t="shared" si="452"/>
        <v>0</v>
      </c>
    </row>
    <row r="26514" spans="20:20" ht="18.75" customHeight="1" x14ac:dyDescent="0.35">
      <c r="T26514" s="246">
        <f t="shared" si="452"/>
        <v>0</v>
      </c>
    </row>
    <row r="26515" spans="20:20" ht="18.75" customHeight="1" x14ac:dyDescent="0.35">
      <c r="T26515" s="246">
        <f t="shared" si="452"/>
        <v>0</v>
      </c>
    </row>
    <row r="26516" spans="20:20" ht="18.75" customHeight="1" x14ac:dyDescent="0.35">
      <c r="T26516" s="246">
        <f t="shared" si="452"/>
        <v>0</v>
      </c>
    </row>
    <row r="26517" spans="20:20" ht="18.75" customHeight="1" x14ac:dyDescent="0.35">
      <c r="T26517" s="246">
        <f t="shared" si="452"/>
        <v>0</v>
      </c>
    </row>
    <row r="26518" spans="20:20" ht="18.75" customHeight="1" x14ac:dyDescent="0.35">
      <c r="T26518" s="246">
        <f t="shared" si="452"/>
        <v>0</v>
      </c>
    </row>
    <row r="26519" spans="20:20" ht="18.75" customHeight="1" x14ac:dyDescent="0.35">
      <c r="T26519" s="246">
        <f t="shared" si="452"/>
        <v>0</v>
      </c>
    </row>
    <row r="26520" spans="20:20" ht="18.75" customHeight="1" x14ac:dyDescent="0.35">
      <c r="T26520" s="246">
        <f t="shared" si="452"/>
        <v>0</v>
      </c>
    </row>
    <row r="26521" spans="20:20" ht="18.75" customHeight="1" x14ac:dyDescent="0.35">
      <c r="T26521" s="246">
        <f t="shared" si="452"/>
        <v>0</v>
      </c>
    </row>
    <row r="26522" spans="20:20" ht="18.75" customHeight="1" x14ac:dyDescent="0.35">
      <c r="T26522" s="246">
        <f t="shared" si="452"/>
        <v>0</v>
      </c>
    </row>
    <row r="26523" spans="20:20" ht="18.75" customHeight="1" x14ac:dyDescent="0.35">
      <c r="T26523" s="246">
        <f t="shared" si="452"/>
        <v>0</v>
      </c>
    </row>
    <row r="26524" spans="20:20" ht="18.75" customHeight="1" x14ac:dyDescent="0.35">
      <c r="T26524" s="246">
        <f t="shared" si="452"/>
        <v>0</v>
      </c>
    </row>
    <row r="26525" spans="20:20" ht="18.75" customHeight="1" x14ac:dyDescent="0.35">
      <c r="T26525" s="246">
        <f t="shared" si="452"/>
        <v>0</v>
      </c>
    </row>
    <row r="26526" spans="20:20" ht="18.75" customHeight="1" x14ac:dyDescent="0.35">
      <c r="T26526" s="246">
        <f t="shared" si="452"/>
        <v>0</v>
      </c>
    </row>
    <row r="26527" spans="20:20" ht="18.75" customHeight="1" x14ac:dyDescent="0.35">
      <c r="T26527" s="246">
        <f t="shared" si="452"/>
        <v>0</v>
      </c>
    </row>
    <row r="26528" spans="20:20" ht="18.75" customHeight="1" x14ac:dyDescent="0.35">
      <c r="T26528" s="246">
        <f t="shared" si="452"/>
        <v>0</v>
      </c>
    </row>
    <row r="26529" spans="20:20" ht="18.75" customHeight="1" x14ac:dyDescent="0.35">
      <c r="T26529" s="246">
        <f t="shared" si="452"/>
        <v>0</v>
      </c>
    </row>
    <row r="26530" spans="20:20" ht="18.75" customHeight="1" x14ac:dyDescent="0.35">
      <c r="T26530" s="246">
        <f t="shared" si="452"/>
        <v>0</v>
      </c>
    </row>
    <row r="26531" spans="20:20" ht="18.75" customHeight="1" x14ac:dyDescent="0.35">
      <c r="T26531" s="246">
        <f t="shared" si="452"/>
        <v>0</v>
      </c>
    </row>
    <row r="26532" spans="20:20" ht="18.75" customHeight="1" x14ac:dyDescent="0.35">
      <c r="T26532" s="246">
        <f t="shared" si="452"/>
        <v>0</v>
      </c>
    </row>
    <row r="26533" spans="20:20" ht="18.75" customHeight="1" x14ac:dyDescent="0.35">
      <c r="T26533" s="246">
        <f t="shared" si="452"/>
        <v>0</v>
      </c>
    </row>
    <row r="26534" spans="20:20" ht="18.75" customHeight="1" x14ac:dyDescent="0.35">
      <c r="T26534" s="246">
        <f t="shared" si="452"/>
        <v>0</v>
      </c>
    </row>
    <row r="26535" spans="20:20" ht="18.75" customHeight="1" x14ac:dyDescent="0.35">
      <c r="T26535" s="246">
        <f t="shared" si="452"/>
        <v>0</v>
      </c>
    </row>
    <row r="26536" spans="20:20" ht="18.75" customHeight="1" x14ac:dyDescent="0.35">
      <c r="T26536" s="246">
        <f t="shared" si="452"/>
        <v>0</v>
      </c>
    </row>
    <row r="26537" spans="20:20" ht="18.75" customHeight="1" x14ac:dyDescent="0.35">
      <c r="T26537" s="246">
        <f t="shared" si="452"/>
        <v>0</v>
      </c>
    </row>
    <row r="26538" spans="20:20" ht="18.75" customHeight="1" x14ac:dyDescent="0.35">
      <c r="T26538" s="246">
        <f t="shared" si="452"/>
        <v>0</v>
      </c>
    </row>
    <row r="26539" spans="20:20" ht="18.75" customHeight="1" x14ac:dyDescent="0.35">
      <c r="T26539" s="246">
        <f t="shared" si="452"/>
        <v>0</v>
      </c>
    </row>
    <row r="26540" spans="20:20" ht="18.75" customHeight="1" x14ac:dyDescent="0.35">
      <c r="T26540" s="246">
        <f t="shared" si="452"/>
        <v>0</v>
      </c>
    </row>
    <row r="26541" spans="20:20" ht="18.75" customHeight="1" x14ac:dyDescent="0.35">
      <c r="T26541" s="246">
        <f t="shared" si="452"/>
        <v>0</v>
      </c>
    </row>
    <row r="26542" spans="20:20" ht="18.75" customHeight="1" x14ac:dyDescent="0.35">
      <c r="T26542" s="246">
        <f t="shared" si="452"/>
        <v>0</v>
      </c>
    </row>
    <row r="26543" spans="20:20" ht="18.75" customHeight="1" x14ac:dyDescent="0.35">
      <c r="T26543" s="246">
        <f t="shared" si="452"/>
        <v>0</v>
      </c>
    </row>
    <row r="26544" spans="20:20" ht="18.75" customHeight="1" x14ac:dyDescent="0.35">
      <c r="T26544" s="246">
        <f t="shared" si="452"/>
        <v>0</v>
      </c>
    </row>
    <row r="26545" spans="20:20" ht="18.75" customHeight="1" x14ac:dyDescent="0.35">
      <c r="T26545" s="246">
        <f t="shared" si="452"/>
        <v>0</v>
      </c>
    </row>
    <row r="26546" spans="20:20" ht="18.75" customHeight="1" x14ac:dyDescent="0.35">
      <c r="T26546" s="246">
        <f t="shared" si="452"/>
        <v>0</v>
      </c>
    </row>
    <row r="26547" spans="20:20" ht="18.75" customHeight="1" x14ac:dyDescent="0.35">
      <c r="T26547" s="246">
        <f t="shared" si="452"/>
        <v>0</v>
      </c>
    </row>
    <row r="26548" spans="20:20" ht="18.75" customHeight="1" x14ac:dyDescent="0.35">
      <c r="T26548" s="246">
        <f t="shared" si="452"/>
        <v>0</v>
      </c>
    </row>
    <row r="26549" spans="20:20" ht="18.75" customHeight="1" x14ac:dyDescent="0.35">
      <c r="T26549" s="246">
        <f t="shared" si="452"/>
        <v>0</v>
      </c>
    </row>
    <row r="26550" spans="20:20" ht="18.75" customHeight="1" x14ac:dyDescent="0.35">
      <c r="T26550" s="246">
        <f t="shared" si="452"/>
        <v>0</v>
      </c>
    </row>
    <row r="26551" spans="20:20" ht="18.75" customHeight="1" x14ac:dyDescent="0.35">
      <c r="T26551" s="246">
        <f t="shared" si="452"/>
        <v>0</v>
      </c>
    </row>
    <row r="26552" spans="20:20" ht="18.75" customHeight="1" x14ac:dyDescent="0.35">
      <c r="T26552" s="246">
        <f t="shared" si="452"/>
        <v>0</v>
      </c>
    </row>
    <row r="26553" spans="20:20" ht="18.75" customHeight="1" x14ac:dyDescent="0.35">
      <c r="T26553" s="246">
        <f t="shared" si="452"/>
        <v>0</v>
      </c>
    </row>
    <row r="26554" spans="20:20" ht="18.75" customHeight="1" x14ac:dyDescent="0.35">
      <c r="T26554" s="246">
        <f t="shared" si="452"/>
        <v>0</v>
      </c>
    </row>
    <row r="26555" spans="20:20" ht="18.75" customHeight="1" x14ac:dyDescent="0.35">
      <c r="T26555" s="246">
        <f t="shared" si="452"/>
        <v>0</v>
      </c>
    </row>
    <row r="26556" spans="20:20" ht="18.75" customHeight="1" x14ac:dyDescent="0.35">
      <c r="T26556" s="246">
        <f t="shared" ref="T26556:T26619" si="453">R26556*0.01</f>
        <v>0</v>
      </c>
    </row>
    <row r="26557" spans="20:20" ht="18.75" customHeight="1" x14ac:dyDescent="0.35">
      <c r="T26557" s="246">
        <f t="shared" si="453"/>
        <v>0</v>
      </c>
    </row>
    <row r="26558" spans="20:20" ht="18.75" customHeight="1" x14ac:dyDescent="0.35">
      <c r="T26558" s="246">
        <f t="shared" si="453"/>
        <v>0</v>
      </c>
    </row>
    <row r="26559" spans="20:20" ht="18.75" customHeight="1" x14ac:dyDescent="0.35">
      <c r="T26559" s="246">
        <f t="shared" si="453"/>
        <v>0</v>
      </c>
    </row>
    <row r="26560" spans="20:20" ht="18.75" customHeight="1" x14ac:dyDescent="0.35">
      <c r="T26560" s="246">
        <f t="shared" si="453"/>
        <v>0</v>
      </c>
    </row>
    <row r="26561" spans="20:20" ht="18.75" customHeight="1" x14ac:dyDescent="0.35">
      <c r="T26561" s="246">
        <f t="shared" si="453"/>
        <v>0</v>
      </c>
    </row>
    <row r="26562" spans="20:20" ht="18.75" customHeight="1" x14ac:dyDescent="0.35">
      <c r="T26562" s="246">
        <f t="shared" si="453"/>
        <v>0</v>
      </c>
    </row>
    <row r="26563" spans="20:20" ht="18.75" customHeight="1" x14ac:dyDescent="0.35">
      <c r="T26563" s="246">
        <f t="shared" si="453"/>
        <v>0</v>
      </c>
    </row>
    <row r="26564" spans="20:20" ht="18.75" customHeight="1" x14ac:dyDescent="0.35">
      <c r="T26564" s="246">
        <f t="shared" si="453"/>
        <v>0</v>
      </c>
    </row>
    <row r="26565" spans="20:20" ht="18.75" customHeight="1" x14ac:dyDescent="0.35">
      <c r="T26565" s="246">
        <f t="shared" si="453"/>
        <v>0</v>
      </c>
    </row>
    <row r="26566" spans="20:20" ht="18.75" customHeight="1" x14ac:dyDescent="0.35">
      <c r="T26566" s="246">
        <f t="shared" si="453"/>
        <v>0</v>
      </c>
    </row>
    <row r="26567" spans="20:20" ht="18.75" customHeight="1" x14ac:dyDescent="0.35">
      <c r="T26567" s="246">
        <f t="shared" si="453"/>
        <v>0</v>
      </c>
    </row>
    <row r="26568" spans="20:20" ht="18.75" customHeight="1" x14ac:dyDescent="0.35">
      <c r="T26568" s="246">
        <f t="shared" si="453"/>
        <v>0</v>
      </c>
    </row>
    <row r="26569" spans="20:20" ht="18.75" customHeight="1" x14ac:dyDescent="0.35">
      <c r="T26569" s="246">
        <f t="shared" si="453"/>
        <v>0</v>
      </c>
    </row>
    <row r="26570" spans="20:20" ht="18.75" customHeight="1" x14ac:dyDescent="0.35">
      <c r="T26570" s="246">
        <f t="shared" si="453"/>
        <v>0</v>
      </c>
    </row>
    <row r="26571" spans="20:20" ht="18.75" customHeight="1" x14ac:dyDescent="0.35">
      <c r="T26571" s="246">
        <f t="shared" si="453"/>
        <v>0</v>
      </c>
    </row>
    <row r="26572" spans="20:20" ht="18.75" customHeight="1" x14ac:dyDescent="0.35">
      <c r="T26572" s="246">
        <f t="shared" si="453"/>
        <v>0</v>
      </c>
    </row>
    <row r="26573" spans="20:20" ht="18.75" customHeight="1" x14ac:dyDescent="0.35">
      <c r="T26573" s="246">
        <f t="shared" si="453"/>
        <v>0</v>
      </c>
    </row>
    <row r="26574" spans="20:20" ht="18.75" customHeight="1" x14ac:dyDescent="0.35">
      <c r="T26574" s="246">
        <f t="shared" si="453"/>
        <v>0</v>
      </c>
    </row>
    <row r="26575" spans="20:20" ht="18.75" customHeight="1" x14ac:dyDescent="0.35">
      <c r="T26575" s="246">
        <f t="shared" si="453"/>
        <v>0</v>
      </c>
    </row>
    <row r="26576" spans="20:20" ht="18.75" customHeight="1" x14ac:dyDescent="0.35">
      <c r="T26576" s="246">
        <f t="shared" si="453"/>
        <v>0</v>
      </c>
    </row>
    <row r="26577" spans="20:20" ht="18.75" customHeight="1" x14ac:dyDescent="0.35">
      <c r="T26577" s="246">
        <f t="shared" si="453"/>
        <v>0</v>
      </c>
    </row>
    <row r="26578" spans="20:20" ht="18.75" customHeight="1" x14ac:dyDescent="0.35">
      <c r="T26578" s="246">
        <f t="shared" si="453"/>
        <v>0</v>
      </c>
    </row>
    <row r="26579" spans="20:20" ht="18.75" customHeight="1" x14ac:dyDescent="0.35">
      <c r="T26579" s="246">
        <f t="shared" si="453"/>
        <v>0</v>
      </c>
    </row>
    <row r="26580" spans="20:20" ht="18.75" customHeight="1" x14ac:dyDescent="0.35">
      <c r="T26580" s="246">
        <f t="shared" si="453"/>
        <v>0</v>
      </c>
    </row>
    <row r="26581" spans="20:20" ht="18.75" customHeight="1" x14ac:dyDescent="0.35">
      <c r="T26581" s="246">
        <f t="shared" si="453"/>
        <v>0</v>
      </c>
    </row>
    <row r="26582" spans="20:20" ht="18.75" customHeight="1" x14ac:dyDescent="0.35">
      <c r="T26582" s="246">
        <f t="shared" si="453"/>
        <v>0</v>
      </c>
    </row>
    <row r="26583" spans="20:20" ht="18.75" customHeight="1" x14ac:dyDescent="0.35">
      <c r="T26583" s="246">
        <f t="shared" si="453"/>
        <v>0</v>
      </c>
    </row>
    <row r="26584" spans="20:20" ht="18.75" customHeight="1" x14ac:dyDescent="0.35">
      <c r="T26584" s="246">
        <f t="shared" si="453"/>
        <v>0</v>
      </c>
    </row>
    <row r="26585" spans="20:20" ht="18.75" customHeight="1" x14ac:dyDescent="0.35">
      <c r="T26585" s="246">
        <f t="shared" si="453"/>
        <v>0</v>
      </c>
    </row>
    <row r="26586" spans="20:20" ht="18.75" customHeight="1" x14ac:dyDescent="0.35">
      <c r="T26586" s="246">
        <f t="shared" si="453"/>
        <v>0</v>
      </c>
    </row>
    <row r="26587" spans="20:20" ht="18.75" customHeight="1" x14ac:dyDescent="0.35">
      <c r="T26587" s="246">
        <f t="shared" si="453"/>
        <v>0</v>
      </c>
    </row>
    <row r="26588" spans="20:20" ht="18.75" customHeight="1" x14ac:dyDescent="0.35">
      <c r="T26588" s="246">
        <f t="shared" si="453"/>
        <v>0</v>
      </c>
    </row>
    <row r="26589" spans="20:20" ht="18.75" customHeight="1" x14ac:dyDescent="0.35">
      <c r="T26589" s="246">
        <f t="shared" si="453"/>
        <v>0</v>
      </c>
    </row>
    <row r="26590" spans="20:20" ht="18.75" customHeight="1" x14ac:dyDescent="0.35">
      <c r="T26590" s="246">
        <f t="shared" si="453"/>
        <v>0</v>
      </c>
    </row>
    <row r="26591" spans="20:20" ht="18.75" customHeight="1" x14ac:dyDescent="0.35">
      <c r="T26591" s="246">
        <f t="shared" si="453"/>
        <v>0</v>
      </c>
    </row>
    <row r="26592" spans="20:20" ht="18.75" customHeight="1" x14ac:dyDescent="0.35">
      <c r="T26592" s="246">
        <f t="shared" si="453"/>
        <v>0</v>
      </c>
    </row>
    <row r="26593" spans="20:20" ht="18.75" customHeight="1" x14ac:dyDescent="0.35">
      <c r="T26593" s="246">
        <f t="shared" si="453"/>
        <v>0</v>
      </c>
    </row>
    <row r="26594" spans="20:20" ht="18.75" customHeight="1" x14ac:dyDescent="0.35">
      <c r="T26594" s="246">
        <f t="shared" si="453"/>
        <v>0</v>
      </c>
    </row>
    <row r="26595" spans="20:20" ht="18.75" customHeight="1" x14ac:dyDescent="0.35">
      <c r="T26595" s="246">
        <f t="shared" si="453"/>
        <v>0</v>
      </c>
    </row>
    <row r="26596" spans="20:20" ht="18.75" customHeight="1" x14ac:dyDescent="0.35">
      <c r="T26596" s="246">
        <f t="shared" si="453"/>
        <v>0</v>
      </c>
    </row>
    <row r="26597" spans="20:20" ht="18.75" customHeight="1" x14ac:dyDescent="0.35">
      <c r="T26597" s="246">
        <f t="shared" si="453"/>
        <v>0</v>
      </c>
    </row>
    <row r="26598" spans="20:20" ht="18.75" customHeight="1" x14ac:dyDescent="0.35">
      <c r="T26598" s="246">
        <f t="shared" si="453"/>
        <v>0</v>
      </c>
    </row>
    <row r="26599" spans="20:20" ht="18.75" customHeight="1" x14ac:dyDescent="0.35">
      <c r="T26599" s="246">
        <f t="shared" si="453"/>
        <v>0</v>
      </c>
    </row>
    <row r="26600" spans="20:20" ht="18.75" customHeight="1" x14ac:dyDescent="0.35">
      <c r="T26600" s="246">
        <f t="shared" si="453"/>
        <v>0</v>
      </c>
    </row>
    <row r="26601" spans="20:20" ht="18.75" customHeight="1" x14ac:dyDescent="0.35">
      <c r="T26601" s="246">
        <f t="shared" si="453"/>
        <v>0</v>
      </c>
    </row>
    <row r="26602" spans="20:20" ht="18.75" customHeight="1" x14ac:dyDescent="0.35">
      <c r="T26602" s="246">
        <f t="shared" si="453"/>
        <v>0</v>
      </c>
    </row>
    <row r="26603" spans="20:20" ht="18.75" customHeight="1" x14ac:dyDescent="0.35">
      <c r="T26603" s="246">
        <f t="shared" si="453"/>
        <v>0</v>
      </c>
    </row>
    <row r="26604" spans="20:20" ht="18.75" customHeight="1" x14ac:dyDescent="0.35">
      <c r="T26604" s="246">
        <f t="shared" si="453"/>
        <v>0</v>
      </c>
    </row>
    <row r="26605" spans="20:20" ht="18.75" customHeight="1" x14ac:dyDescent="0.35">
      <c r="T26605" s="246">
        <f t="shared" si="453"/>
        <v>0</v>
      </c>
    </row>
    <row r="26606" spans="20:20" ht="18.75" customHeight="1" x14ac:dyDescent="0.35">
      <c r="T26606" s="246">
        <f t="shared" si="453"/>
        <v>0</v>
      </c>
    </row>
    <row r="26607" spans="20:20" ht="18.75" customHeight="1" x14ac:dyDescent="0.35">
      <c r="T26607" s="246">
        <f t="shared" si="453"/>
        <v>0</v>
      </c>
    </row>
    <row r="26608" spans="20:20" ht="18.75" customHeight="1" x14ac:dyDescent="0.35">
      <c r="T26608" s="246">
        <f t="shared" si="453"/>
        <v>0</v>
      </c>
    </row>
    <row r="26609" spans="20:20" ht="18.75" customHeight="1" x14ac:dyDescent="0.35">
      <c r="T26609" s="246">
        <f t="shared" si="453"/>
        <v>0</v>
      </c>
    </row>
    <row r="26610" spans="20:20" ht="18.75" customHeight="1" x14ac:dyDescent="0.35">
      <c r="T26610" s="246">
        <f t="shared" si="453"/>
        <v>0</v>
      </c>
    </row>
    <row r="26611" spans="20:20" ht="18.75" customHeight="1" x14ac:dyDescent="0.35">
      <c r="T26611" s="246">
        <f t="shared" si="453"/>
        <v>0</v>
      </c>
    </row>
    <row r="26612" spans="20:20" ht="18.75" customHeight="1" x14ac:dyDescent="0.35">
      <c r="T26612" s="246">
        <f t="shared" si="453"/>
        <v>0</v>
      </c>
    </row>
    <row r="26613" spans="20:20" ht="18.75" customHeight="1" x14ac:dyDescent="0.35">
      <c r="T26613" s="246">
        <f t="shared" si="453"/>
        <v>0</v>
      </c>
    </row>
    <row r="26614" spans="20:20" ht="18.75" customHeight="1" x14ac:dyDescent="0.35">
      <c r="T26614" s="246">
        <f t="shared" si="453"/>
        <v>0</v>
      </c>
    </row>
    <row r="26615" spans="20:20" ht="18.75" customHeight="1" x14ac:dyDescent="0.35">
      <c r="T26615" s="246">
        <f t="shared" si="453"/>
        <v>0</v>
      </c>
    </row>
    <row r="26616" spans="20:20" ht="18.75" customHeight="1" x14ac:dyDescent="0.35">
      <c r="T26616" s="246">
        <f t="shared" si="453"/>
        <v>0</v>
      </c>
    </row>
    <row r="26617" spans="20:20" ht="18.75" customHeight="1" x14ac:dyDescent="0.35">
      <c r="T26617" s="246">
        <f t="shared" si="453"/>
        <v>0</v>
      </c>
    </row>
    <row r="26618" spans="20:20" ht="18.75" customHeight="1" x14ac:dyDescent="0.35">
      <c r="T26618" s="246">
        <f t="shared" si="453"/>
        <v>0</v>
      </c>
    </row>
    <row r="26619" spans="20:20" ht="18.75" customHeight="1" x14ac:dyDescent="0.35">
      <c r="T26619" s="246">
        <f t="shared" si="453"/>
        <v>0</v>
      </c>
    </row>
    <row r="26620" spans="20:20" ht="18.75" customHeight="1" x14ac:dyDescent="0.35">
      <c r="T26620" s="246">
        <f t="shared" ref="T26620:T26683" si="454">R26620*0.01</f>
        <v>0</v>
      </c>
    </row>
    <row r="26621" spans="20:20" ht="18.75" customHeight="1" x14ac:dyDescent="0.35">
      <c r="T26621" s="246">
        <f t="shared" si="454"/>
        <v>0</v>
      </c>
    </row>
    <row r="26622" spans="20:20" ht="18.75" customHeight="1" x14ac:dyDescent="0.35">
      <c r="T26622" s="246">
        <f t="shared" si="454"/>
        <v>0</v>
      </c>
    </row>
    <row r="26623" spans="20:20" ht="18.75" customHeight="1" x14ac:dyDescent="0.35">
      <c r="T26623" s="246">
        <f t="shared" si="454"/>
        <v>0</v>
      </c>
    </row>
    <row r="26624" spans="20:20" ht="18.75" customHeight="1" x14ac:dyDescent="0.35">
      <c r="T26624" s="246">
        <f t="shared" si="454"/>
        <v>0</v>
      </c>
    </row>
    <row r="26625" spans="20:20" ht="18.75" customHeight="1" x14ac:dyDescent="0.35">
      <c r="T26625" s="246">
        <f t="shared" si="454"/>
        <v>0</v>
      </c>
    </row>
    <row r="26626" spans="20:20" ht="18.75" customHeight="1" x14ac:dyDescent="0.35">
      <c r="T26626" s="246">
        <f t="shared" si="454"/>
        <v>0</v>
      </c>
    </row>
    <row r="26627" spans="20:20" ht="18.75" customHeight="1" x14ac:dyDescent="0.35">
      <c r="T26627" s="246">
        <f t="shared" si="454"/>
        <v>0</v>
      </c>
    </row>
    <row r="26628" spans="20:20" ht="18.75" customHeight="1" x14ac:dyDescent="0.35">
      <c r="T26628" s="246">
        <f t="shared" si="454"/>
        <v>0</v>
      </c>
    </row>
    <row r="26629" spans="20:20" ht="18.75" customHeight="1" x14ac:dyDescent="0.35">
      <c r="T26629" s="246">
        <f t="shared" si="454"/>
        <v>0</v>
      </c>
    </row>
    <row r="26630" spans="20:20" ht="18.75" customHeight="1" x14ac:dyDescent="0.35">
      <c r="T26630" s="246">
        <f t="shared" si="454"/>
        <v>0</v>
      </c>
    </row>
    <row r="26631" spans="20:20" ht="18.75" customHeight="1" x14ac:dyDescent="0.35">
      <c r="T26631" s="246">
        <f t="shared" si="454"/>
        <v>0</v>
      </c>
    </row>
    <row r="26632" spans="20:20" ht="18.75" customHeight="1" x14ac:dyDescent="0.35">
      <c r="T26632" s="246">
        <f t="shared" si="454"/>
        <v>0</v>
      </c>
    </row>
    <row r="26633" spans="20:20" ht="18.75" customHeight="1" x14ac:dyDescent="0.35">
      <c r="T26633" s="246">
        <f t="shared" si="454"/>
        <v>0</v>
      </c>
    </row>
    <row r="26634" spans="20:20" ht="18.75" customHeight="1" x14ac:dyDescent="0.35">
      <c r="T26634" s="246">
        <f t="shared" si="454"/>
        <v>0</v>
      </c>
    </row>
    <row r="26635" spans="20:20" ht="18.75" customHeight="1" x14ac:dyDescent="0.35">
      <c r="T26635" s="246">
        <f t="shared" si="454"/>
        <v>0</v>
      </c>
    </row>
    <row r="26636" spans="20:20" ht="18.75" customHeight="1" x14ac:dyDescent="0.35">
      <c r="T26636" s="246">
        <f t="shared" si="454"/>
        <v>0</v>
      </c>
    </row>
    <row r="26637" spans="20:20" ht="18.75" customHeight="1" x14ac:dyDescent="0.35">
      <c r="T26637" s="246">
        <f t="shared" si="454"/>
        <v>0</v>
      </c>
    </row>
    <row r="26638" spans="20:20" ht="18.75" customHeight="1" x14ac:dyDescent="0.35">
      <c r="T26638" s="246">
        <f t="shared" si="454"/>
        <v>0</v>
      </c>
    </row>
    <row r="26639" spans="20:20" ht="18.75" customHeight="1" x14ac:dyDescent="0.35">
      <c r="T26639" s="246">
        <f t="shared" si="454"/>
        <v>0</v>
      </c>
    </row>
    <row r="26640" spans="20:20" ht="18.75" customHeight="1" x14ac:dyDescent="0.35">
      <c r="T26640" s="246">
        <f t="shared" si="454"/>
        <v>0</v>
      </c>
    </row>
    <row r="26641" spans="20:20" ht="18.75" customHeight="1" x14ac:dyDescent="0.35">
      <c r="T26641" s="246">
        <f t="shared" si="454"/>
        <v>0</v>
      </c>
    </row>
    <row r="26642" spans="20:20" ht="18.75" customHeight="1" x14ac:dyDescent="0.35">
      <c r="T26642" s="246">
        <f t="shared" si="454"/>
        <v>0</v>
      </c>
    </row>
    <row r="26643" spans="20:20" ht="18.75" customHeight="1" x14ac:dyDescent="0.35">
      <c r="T26643" s="246">
        <f t="shared" si="454"/>
        <v>0</v>
      </c>
    </row>
    <row r="26644" spans="20:20" ht="18.75" customHeight="1" x14ac:dyDescent="0.35">
      <c r="T26644" s="246">
        <f t="shared" si="454"/>
        <v>0</v>
      </c>
    </row>
    <row r="26645" spans="20:20" ht="18.75" customHeight="1" x14ac:dyDescent="0.35">
      <c r="T26645" s="246">
        <f t="shared" si="454"/>
        <v>0</v>
      </c>
    </row>
    <row r="26646" spans="20:20" ht="18.75" customHeight="1" x14ac:dyDescent="0.35">
      <c r="T26646" s="246">
        <f t="shared" si="454"/>
        <v>0</v>
      </c>
    </row>
    <row r="26647" spans="20:20" ht="18.75" customHeight="1" x14ac:dyDescent="0.35">
      <c r="T26647" s="246">
        <f t="shared" si="454"/>
        <v>0</v>
      </c>
    </row>
    <row r="26648" spans="20:20" ht="18.75" customHeight="1" x14ac:dyDescent="0.35">
      <c r="T26648" s="246">
        <f t="shared" si="454"/>
        <v>0</v>
      </c>
    </row>
    <row r="26649" spans="20:20" ht="18.75" customHeight="1" x14ac:dyDescent="0.35">
      <c r="T26649" s="246">
        <f t="shared" si="454"/>
        <v>0</v>
      </c>
    </row>
    <row r="26650" spans="20:20" ht="18.75" customHeight="1" x14ac:dyDescent="0.35">
      <c r="T26650" s="246">
        <f t="shared" si="454"/>
        <v>0</v>
      </c>
    </row>
    <row r="26651" spans="20:20" ht="18.75" customHeight="1" x14ac:dyDescent="0.35">
      <c r="T26651" s="246">
        <f t="shared" si="454"/>
        <v>0</v>
      </c>
    </row>
    <row r="26652" spans="20:20" ht="18.75" customHeight="1" x14ac:dyDescent="0.35">
      <c r="T26652" s="246">
        <f t="shared" si="454"/>
        <v>0</v>
      </c>
    </row>
    <row r="26653" spans="20:20" ht="18.75" customHeight="1" x14ac:dyDescent="0.35">
      <c r="T26653" s="246">
        <f t="shared" si="454"/>
        <v>0</v>
      </c>
    </row>
    <row r="26654" spans="20:20" ht="18.75" customHeight="1" x14ac:dyDescent="0.35">
      <c r="T26654" s="246">
        <f t="shared" si="454"/>
        <v>0</v>
      </c>
    </row>
    <row r="26655" spans="20:20" ht="18.75" customHeight="1" x14ac:dyDescent="0.35">
      <c r="T26655" s="246">
        <f t="shared" si="454"/>
        <v>0</v>
      </c>
    </row>
    <row r="26656" spans="20:20" ht="18.75" customHeight="1" x14ac:dyDescent="0.35">
      <c r="T26656" s="246">
        <f t="shared" si="454"/>
        <v>0</v>
      </c>
    </row>
    <row r="26657" spans="20:20" ht="18.75" customHeight="1" x14ac:dyDescent="0.35">
      <c r="T26657" s="246">
        <f t="shared" si="454"/>
        <v>0</v>
      </c>
    </row>
    <row r="26658" spans="20:20" ht="18.75" customHeight="1" x14ac:dyDescent="0.35">
      <c r="T26658" s="246">
        <f t="shared" si="454"/>
        <v>0</v>
      </c>
    </row>
    <row r="26659" spans="20:20" ht="18.75" customHeight="1" x14ac:dyDescent="0.35">
      <c r="T26659" s="246">
        <f t="shared" si="454"/>
        <v>0</v>
      </c>
    </row>
    <row r="26660" spans="20:20" ht="18.75" customHeight="1" x14ac:dyDescent="0.35">
      <c r="T26660" s="246">
        <f t="shared" si="454"/>
        <v>0</v>
      </c>
    </row>
    <row r="26661" spans="20:20" ht="18.75" customHeight="1" x14ac:dyDescent="0.35">
      <c r="T26661" s="246">
        <f t="shared" si="454"/>
        <v>0</v>
      </c>
    </row>
    <row r="26662" spans="20:20" ht="18.75" customHeight="1" x14ac:dyDescent="0.35">
      <c r="T26662" s="246">
        <f t="shared" si="454"/>
        <v>0</v>
      </c>
    </row>
    <row r="26663" spans="20:20" ht="18.75" customHeight="1" x14ac:dyDescent="0.35">
      <c r="T26663" s="246">
        <f t="shared" si="454"/>
        <v>0</v>
      </c>
    </row>
    <row r="26664" spans="20:20" ht="18.75" customHeight="1" x14ac:dyDescent="0.35">
      <c r="T26664" s="246">
        <f t="shared" si="454"/>
        <v>0</v>
      </c>
    </row>
    <row r="26665" spans="20:20" ht="18.75" customHeight="1" x14ac:dyDescent="0.35">
      <c r="T26665" s="246">
        <f t="shared" si="454"/>
        <v>0</v>
      </c>
    </row>
    <row r="26666" spans="20:20" ht="18.75" customHeight="1" x14ac:dyDescent="0.35">
      <c r="T26666" s="246">
        <f t="shared" si="454"/>
        <v>0</v>
      </c>
    </row>
    <row r="26667" spans="20:20" ht="18.75" customHeight="1" x14ac:dyDescent="0.35">
      <c r="T26667" s="246">
        <f t="shared" si="454"/>
        <v>0</v>
      </c>
    </row>
    <row r="26668" spans="20:20" ht="18.75" customHeight="1" x14ac:dyDescent="0.35">
      <c r="T26668" s="246">
        <f t="shared" si="454"/>
        <v>0</v>
      </c>
    </row>
    <row r="26669" spans="20:20" ht="18.75" customHeight="1" x14ac:dyDescent="0.35">
      <c r="T26669" s="246">
        <f t="shared" si="454"/>
        <v>0</v>
      </c>
    </row>
    <row r="26670" spans="20:20" ht="18.75" customHeight="1" x14ac:dyDescent="0.35">
      <c r="T26670" s="246">
        <f t="shared" si="454"/>
        <v>0</v>
      </c>
    </row>
    <row r="26671" spans="20:20" ht="18.75" customHeight="1" x14ac:dyDescent="0.35">
      <c r="T26671" s="246">
        <f t="shared" si="454"/>
        <v>0</v>
      </c>
    </row>
    <row r="26672" spans="20:20" ht="18.75" customHeight="1" x14ac:dyDescent="0.35">
      <c r="T26672" s="246">
        <f t="shared" si="454"/>
        <v>0</v>
      </c>
    </row>
    <row r="26673" spans="20:20" ht="18.75" customHeight="1" x14ac:dyDescent="0.35">
      <c r="T26673" s="246">
        <f t="shared" si="454"/>
        <v>0</v>
      </c>
    </row>
    <row r="26674" spans="20:20" ht="18.75" customHeight="1" x14ac:dyDescent="0.35">
      <c r="T26674" s="246">
        <f t="shared" si="454"/>
        <v>0</v>
      </c>
    </row>
    <row r="26675" spans="20:20" ht="18.75" customHeight="1" x14ac:dyDescent="0.35">
      <c r="T26675" s="246">
        <f t="shared" si="454"/>
        <v>0</v>
      </c>
    </row>
    <row r="26676" spans="20:20" ht="18.75" customHeight="1" x14ac:dyDescent="0.35">
      <c r="T26676" s="246">
        <f t="shared" si="454"/>
        <v>0</v>
      </c>
    </row>
    <row r="26677" spans="20:20" ht="18.75" customHeight="1" x14ac:dyDescent="0.35">
      <c r="T26677" s="246">
        <f t="shared" si="454"/>
        <v>0</v>
      </c>
    </row>
    <row r="26678" spans="20:20" ht="18.75" customHeight="1" x14ac:dyDescent="0.35">
      <c r="T26678" s="246">
        <f t="shared" si="454"/>
        <v>0</v>
      </c>
    </row>
    <row r="26679" spans="20:20" ht="18.75" customHeight="1" x14ac:dyDescent="0.35">
      <c r="T26679" s="246">
        <f t="shared" si="454"/>
        <v>0</v>
      </c>
    </row>
    <row r="26680" spans="20:20" ht="18.75" customHeight="1" x14ac:dyDescent="0.35">
      <c r="T26680" s="246">
        <f t="shared" si="454"/>
        <v>0</v>
      </c>
    </row>
    <row r="26681" spans="20:20" ht="18.75" customHeight="1" x14ac:dyDescent="0.35">
      <c r="T26681" s="246">
        <f t="shared" si="454"/>
        <v>0</v>
      </c>
    </row>
    <row r="26682" spans="20:20" ht="18.75" customHeight="1" x14ac:dyDescent="0.35">
      <c r="T26682" s="246">
        <f t="shared" si="454"/>
        <v>0</v>
      </c>
    </row>
    <row r="26683" spans="20:20" ht="18.75" customHeight="1" x14ac:dyDescent="0.35">
      <c r="T26683" s="246">
        <f t="shared" si="454"/>
        <v>0</v>
      </c>
    </row>
    <row r="26684" spans="20:20" ht="18.75" customHeight="1" x14ac:dyDescent="0.35">
      <c r="T26684" s="246">
        <f t="shared" ref="T26684:T26747" si="455">R26684*0.01</f>
        <v>0</v>
      </c>
    </row>
    <row r="26685" spans="20:20" ht="18.75" customHeight="1" x14ac:dyDescent="0.35">
      <c r="T26685" s="246">
        <f t="shared" si="455"/>
        <v>0</v>
      </c>
    </row>
    <row r="26686" spans="20:20" ht="18.75" customHeight="1" x14ac:dyDescent="0.35">
      <c r="T26686" s="246">
        <f t="shared" si="455"/>
        <v>0</v>
      </c>
    </row>
    <row r="26687" spans="20:20" ht="18.75" customHeight="1" x14ac:dyDescent="0.35">
      <c r="T26687" s="246">
        <f t="shared" si="455"/>
        <v>0</v>
      </c>
    </row>
    <row r="26688" spans="20:20" ht="18.75" customHeight="1" x14ac:dyDescent="0.35">
      <c r="T26688" s="246">
        <f t="shared" si="455"/>
        <v>0</v>
      </c>
    </row>
    <row r="26689" spans="20:20" ht="18.75" customHeight="1" x14ac:dyDescent="0.35">
      <c r="T26689" s="246">
        <f t="shared" si="455"/>
        <v>0</v>
      </c>
    </row>
    <row r="26690" spans="20:20" ht="18.75" customHeight="1" x14ac:dyDescent="0.35">
      <c r="T26690" s="246">
        <f t="shared" si="455"/>
        <v>0</v>
      </c>
    </row>
    <row r="26691" spans="20:20" ht="18.75" customHeight="1" x14ac:dyDescent="0.35">
      <c r="T26691" s="246">
        <f t="shared" si="455"/>
        <v>0</v>
      </c>
    </row>
    <row r="26692" spans="20:20" ht="18.75" customHeight="1" x14ac:dyDescent="0.35">
      <c r="T26692" s="246">
        <f t="shared" si="455"/>
        <v>0</v>
      </c>
    </row>
    <row r="26693" spans="20:20" ht="18.75" customHeight="1" x14ac:dyDescent="0.35">
      <c r="T26693" s="246">
        <f t="shared" si="455"/>
        <v>0</v>
      </c>
    </row>
    <row r="26694" spans="20:20" ht="18.75" customHeight="1" x14ac:dyDescent="0.35">
      <c r="T26694" s="246">
        <f t="shared" si="455"/>
        <v>0</v>
      </c>
    </row>
    <row r="26695" spans="20:20" ht="18.75" customHeight="1" x14ac:dyDescent="0.35">
      <c r="T26695" s="246">
        <f t="shared" si="455"/>
        <v>0</v>
      </c>
    </row>
    <row r="26696" spans="20:20" ht="18.75" customHeight="1" x14ac:dyDescent="0.35">
      <c r="T26696" s="246">
        <f t="shared" si="455"/>
        <v>0</v>
      </c>
    </row>
    <row r="26697" spans="20:20" ht="18.75" customHeight="1" x14ac:dyDescent="0.35">
      <c r="T26697" s="246">
        <f t="shared" si="455"/>
        <v>0</v>
      </c>
    </row>
    <row r="26698" spans="20:20" ht="18.75" customHeight="1" x14ac:dyDescent="0.35">
      <c r="T26698" s="246">
        <f t="shared" si="455"/>
        <v>0</v>
      </c>
    </row>
    <row r="26699" spans="20:20" ht="18.75" customHeight="1" x14ac:dyDescent="0.35">
      <c r="T26699" s="246">
        <f t="shared" si="455"/>
        <v>0</v>
      </c>
    </row>
    <row r="26700" spans="20:20" ht="18.75" customHeight="1" x14ac:dyDescent="0.35">
      <c r="T26700" s="246">
        <f t="shared" si="455"/>
        <v>0</v>
      </c>
    </row>
    <row r="26701" spans="20:20" ht="18.75" customHeight="1" x14ac:dyDescent="0.35">
      <c r="T26701" s="246">
        <f t="shared" si="455"/>
        <v>0</v>
      </c>
    </row>
    <row r="26702" spans="20:20" ht="18.75" customHeight="1" x14ac:dyDescent="0.35">
      <c r="T26702" s="246">
        <f t="shared" si="455"/>
        <v>0</v>
      </c>
    </row>
    <row r="26703" spans="20:20" ht="18.75" customHeight="1" x14ac:dyDescent="0.35">
      <c r="T26703" s="246">
        <f t="shared" si="455"/>
        <v>0</v>
      </c>
    </row>
    <row r="26704" spans="20:20" ht="18.75" customHeight="1" x14ac:dyDescent="0.35">
      <c r="T26704" s="246">
        <f t="shared" si="455"/>
        <v>0</v>
      </c>
    </row>
    <row r="26705" spans="20:20" ht="18.75" customHeight="1" x14ac:dyDescent="0.35">
      <c r="T26705" s="246">
        <f t="shared" si="455"/>
        <v>0</v>
      </c>
    </row>
    <row r="26706" spans="20:20" ht="18.75" customHeight="1" x14ac:dyDescent="0.35">
      <c r="T26706" s="246">
        <f t="shared" si="455"/>
        <v>0</v>
      </c>
    </row>
    <row r="26707" spans="20:20" ht="18.75" customHeight="1" x14ac:dyDescent="0.35">
      <c r="T26707" s="246">
        <f t="shared" si="455"/>
        <v>0</v>
      </c>
    </row>
    <row r="26708" spans="20:20" ht="18.75" customHeight="1" x14ac:dyDescent="0.35">
      <c r="T26708" s="246">
        <f t="shared" si="455"/>
        <v>0</v>
      </c>
    </row>
    <row r="26709" spans="20:20" ht="18.75" customHeight="1" x14ac:dyDescent="0.35">
      <c r="T26709" s="246">
        <f t="shared" si="455"/>
        <v>0</v>
      </c>
    </row>
    <row r="26710" spans="20:20" ht="18.75" customHeight="1" x14ac:dyDescent="0.35">
      <c r="T26710" s="246">
        <f t="shared" si="455"/>
        <v>0</v>
      </c>
    </row>
    <row r="26711" spans="20:20" ht="18.75" customHeight="1" x14ac:dyDescent="0.35">
      <c r="T26711" s="246">
        <f t="shared" si="455"/>
        <v>0</v>
      </c>
    </row>
    <row r="26712" spans="20:20" ht="18.75" customHeight="1" x14ac:dyDescent="0.35">
      <c r="T26712" s="246">
        <f t="shared" si="455"/>
        <v>0</v>
      </c>
    </row>
    <row r="26713" spans="20:20" ht="18.75" customHeight="1" x14ac:dyDescent="0.35">
      <c r="T26713" s="246">
        <f t="shared" si="455"/>
        <v>0</v>
      </c>
    </row>
    <row r="26714" spans="20:20" ht="18.75" customHeight="1" x14ac:dyDescent="0.35">
      <c r="T26714" s="246">
        <f t="shared" si="455"/>
        <v>0</v>
      </c>
    </row>
    <row r="26715" spans="20:20" ht="18.75" customHeight="1" x14ac:dyDescent="0.35">
      <c r="T26715" s="246">
        <f t="shared" si="455"/>
        <v>0</v>
      </c>
    </row>
    <row r="26716" spans="20:20" ht="18.75" customHeight="1" x14ac:dyDescent="0.35">
      <c r="T26716" s="246">
        <f t="shared" si="455"/>
        <v>0</v>
      </c>
    </row>
    <row r="26717" spans="20:20" ht="18.75" customHeight="1" x14ac:dyDescent="0.35">
      <c r="T26717" s="246">
        <f t="shared" si="455"/>
        <v>0</v>
      </c>
    </row>
    <row r="26718" spans="20:20" ht="18.75" customHeight="1" x14ac:dyDescent="0.35">
      <c r="T26718" s="246">
        <f t="shared" si="455"/>
        <v>0</v>
      </c>
    </row>
    <row r="26719" spans="20:20" ht="18.75" customHeight="1" x14ac:dyDescent="0.35">
      <c r="T26719" s="246">
        <f t="shared" si="455"/>
        <v>0</v>
      </c>
    </row>
    <row r="26720" spans="20:20" ht="18.75" customHeight="1" x14ac:dyDescent="0.35">
      <c r="T26720" s="246">
        <f t="shared" si="455"/>
        <v>0</v>
      </c>
    </row>
    <row r="26721" spans="20:20" ht="18.75" customHeight="1" x14ac:dyDescent="0.35">
      <c r="T26721" s="246">
        <f t="shared" si="455"/>
        <v>0</v>
      </c>
    </row>
    <row r="26722" spans="20:20" ht="18.75" customHeight="1" x14ac:dyDescent="0.35">
      <c r="T26722" s="246">
        <f t="shared" si="455"/>
        <v>0</v>
      </c>
    </row>
    <row r="26723" spans="20:20" ht="18.75" customHeight="1" x14ac:dyDescent="0.35">
      <c r="T26723" s="246">
        <f t="shared" si="455"/>
        <v>0</v>
      </c>
    </row>
    <row r="26724" spans="20:20" ht="18.75" customHeight="1" x14ac:dyDescent="0.35">
      <c r="T26724" s="246">
        <f t="shared" si="455"/>
        <v>0</v>
      </c>
    </row>
    <row r="26725" spans="20:20" ht="18.75" customHeight="1" x14ac:dyDescent="0.35">
      <c r="T26725" s="246">
        <f t="shared" si="455"/>
        <v>0</v>
      </c>
    </row>
    <row r="26726" spans="20:20" ht="18.75" customHeight="1" x14ac:dyDescent="0.35">
      <c r="T26726" s="246">
        <f t="shared" si="455"/>
        <v>0</v>
      </c>
    </row>
    <row r="26727" spans="20:20" ht="18.75" customHeight="1" x14ac:dyDescent="0.35">
      <c r="T26727" s="246">
        <f t="shared" si="455"/>
        <v>0</v>
      </c>
    </row>
    <row r="26728" spans="20:20" ht="18.75" customHeight="1" x14ac:dyDescent="0.35">
      <c r="T26728" s="246">
        <f t="shared" si="455"/>
        <v>0</v>
      </c>
    </row>
    <row r="26729" spans="20:20" ht="18.75" customHeight="1" x14ac:dyDescent="0.35">
      <c r="T26729" s="246">
        <f t="shared" si="455"/>
        <v>0</v>
      </c>
    </row>
    <row r="26730" spans="20:20" ht="18.75" customHeight="1" x14ac:dyDescent="0.35">
      <c r="T26730" s="246">
        <f t="shared" si="455"/>
        <v>0</v>
      </c>
    </row>
    <row r="26731" spans="20:20" ht="18.75" customHeight="1" x14ac:dyDescent="0.35">
      <c r="T26731" s="246">
        <f t="shared" si="455"/>
        <v>0</v>
      </c>
    </row>
    <row r="26732" spans="20:20" ht="18.75" customHeight="1" x14ac:dyDescent="0.35">
      <c r="T26732" s="246">
        <f t="shared" si="455"/>
        <v>0</v>
      </c>
    </row>
    <row r="26733" spans="20:20" ht="18.75" customHeight="1" x14ac:dyDescent="0.35">
      <c r="T26733" s="246">
        <f t="shared" si="455"/>
        <v>0</v>
      </c>
    </row>
    <row r="26734" spans="20:20" ht="18.75" customHeight="1" x14ac:dyDescent="0.35">
      <c r="T26734" s="246">
        <f t="shared" si="455"/>
        <v>0</v>
      </c>
    </row>
    <row r="26735" spans="20:20" ht="18.75" customHeight="1" x14ac:dyDescent="0.35">
      <c r="T26735" s="246">
        <f t="shared" si="455"/>
        <v>0</v>
      </c>
    </row>
    <row r="26736" spans="20:20" ht="18.75" customHeight="1" x14ac:dyDescent="0.35">
      <c r="T26736" s="246">
        <f t="shared" si="455"/>
        <v>0</v>
      </c>
    </row>
    <row r="26737" spans="20:20" ht="18.75" customHeight="1" x14ac:dyDescent="0.35">
      <c r="T26737" s="246">
        <f t="shared" si="455"/>
        <v>0</v>
      </c>
    </row>
    <row r="26738" spans="20:20" ht="18.75" customHeight="1" x14ac:dyDescent="0.35">
      <c r="T26738" s="246">
        <f t="shared" si="455"/>
        <v>0</v>
      </c>
    </row>
    <row r="26739" spans="20:20" ht="18.75" customHeight="1" x14ac:dyDescent="0.35">
      <c r="T26739" s="246">
        <f t="shared" si="455"/>
        <v>0</v>
      </c>
    </row>
    <row r="26740" spans="20:20" ht="18.75" customHeight="1" x14ac:dyDescent="0.35">
      <c r="T26740" s="246">
        <f t="shared" si="455"/>
        <v>0</v>
      </c>
    </row>
    <row r="26741" spans="20:20" ht="18.75" customHeight="1" x14ac:dyDescent="0.35">
      <c r="T26741" s="246">
        <f t="shared" si="455"/>
        <v>0</v>
      </c>
    </row>
    <row r="26742" spans="20:20" ht="18.75" customHeight="1" x14ac:dyDescent="0.35">
      <c r="T26742" s="246">
        <f t="shared" si="455"/>
        <v>0</v>
      </c>
    </row>
    <row r="26743" spans="20:20" ht="18.75" customHeight="1" x14ac:dyDescent="0.35">
      <c r="T26743" s="246">
        <f t="shared" si="455"/>
        <v>0</v>
      </c>
    </row>
    <row r="26744" spans="20:20" ht="18.75" customHeight="1" x14ac:dyDescent="0.35">
      <c r="T26744" s="246">
        <f t="shared" si="455"/>
        <v>0</v>
      </c>
    </row>
    <row r="26745" spans="20:20" ht="18.75" customHeight="1" x14ac:dyDescent="0.35">
      <c r="T26745" s="246">
        <f t="shared" si="455"/>
        <v>0</v>
      </c>
    </row>
    <row r="26746" spans="20:20" ht="18.75" customHeight="1" x14ac:dyDescent="0.35">
      <c r="T26746" s="246">
        <f t="shared" si="455"/>
        <v>0</v>
      </c>
    </row>
    <row r="26747" spans="20:20" ht="18.75" customHeight="1" x14ac:dyDescent="0.35">
      <c r="T26747" s="246">
        <f t="shared" si="455"/>
        <v>0</v>
      </c>
    </row>
    <row r="26748" spans="20:20" ht="18.75" customHeight="1" x14ac:dyDescent="0.35">
      <c r="T26748" s="246">
        <f t="shared" ref="T26748:T26811" si="456">R26748*0.01</f>
        <v>0</v>
      </c>
    </row>
    <row r="26749" spans="20:20" ht="18.75" customHeight="1" x14ac:dyDescent="0.35">
      <c r="T26749" s="246">
        <f t="shared" si="456"/>
        <v>0</v>
      </c>
    </row>
    <row r="26750" spans="20:20" ht="18.75" customHeight="1" x14ac:dyDescent="0.35">
      <c r="T26750" s="246">
        <f t="shared" si="456"/>
        <v>0</v>
      </c>
    </row>
    <row r="26751" spans="20:20" ht="18.75" customHeight="1" x14ac:dyDescent="0.35">
      <c r="T26751" s="246">
        <f t="shared" si="456"/>
        <v>0</v>
      </c>
    </row>
    <row r="26752" spans="20:20" ht="18.75" customHeight="1" x14ac:dyDescent="0.35">
      <c r="T26752" s="246">
        <f t="shared" si="456"/>
        <v>0</v>
      </c>
    </row>
    <row r="26753" spans="20:20" ht="18.75" customHeight="1" x14ac:dyDescent="0.35">
      <c r="T26753" s="246">
        <f t="shared" si="456"/>
        <v>0</v>
      </c>
    </row>
    <row r="26754" spans="20:20" ht="18.75" customHeight="1" x14ac:dyDescent="0.35">
      <c r="T26754" s="246">
        <f t="shared" si="456"/>
        <v>0</v>
      </c>
    </row>
    <row r="26755" spans="20:20" ht="18.75" customHeight="1" x14ac:dyDescent="0.35">
      <c r="T26755" s="246">
        <f t="shared" si="456"/>
        <v>0</v>
      </c>
    </row>
    <row r="26756" spans="20:20" ht="18.75" customHeight="1" x14ac:dyDescent="0.35">
      <c r="T26756" s="246">
        <f t="shared" si="456"/>
        <v>0</v>
      </c>
    </row>
    <row r="26757" spans="20:20" ht="18.75" customHeight="1" x14ac:dyDescent="0.35">
      <c r="T26757" s="246">
        <f t="shared" si="456"/>
        <v>0</v>
      </c>
    </row>
    <row r="26758" spans="20:20" ht="18.75" customHeight="1" x14ac:dyDescent="0.35">
      <c r="T26758" s="246">
        <f t="shared" si="456"/>
        <v>0</v>
      </c>
    </row>
    <row r="26759" spans="20:20" ht="18.75" customHeight="1" x14ac:dyDescent="0.35">
      <c r="T26759" s="246">
        <f t="shared" si="456"/>
        <v>0</v>
      </c>
    </row>
    <row r="26760" spans="20:20" ht="18.75" customHeight="1" x14ac:dyDescent="0.35">
      <c r="T26760" s="246">
        <f t="shared" si="456"/>
        <v>0</v>
      </c>
    </row>
    <row r="26761" spans="20:20" ht="18.75" customHeight="1" x14ac:dyDescent="0.35">
      <c r="T26761" s="246">
        <f t="shared" si="456"/>
        <v>0</v>
      </c>
    </row>
    <row r="26762" spans="20:20" ht="18.75" customHeight="1" x14ac:dyDescent="0.35">
      <c r="T26762" s="246">
        <f t="shared" si="456"/>
        <v>0</v>
      </c>
    </row>
    <row r="26763" spans="20:20" ht="18.75" customHeight="1" x14ac:dyDescent="0.35">
      <c r="T26763" s="246">
        <f t="shared" si="456"/>
        <v>0</v>
      </c>
    </row>
    <row r="26764" spans="20:20" ht="18.75" customHeight="1" x14ac:dyDescent="0.35">
      <c r="T26764" s="246">
        <f t="shared" si="456"/>
        <v>0</v>
      </c>
    </row>
    <row r="26765" spans="20:20" ht="18.75" customHeight="1" x14ac:dyDescent="0.35">
      <c r="T26765" s="246">
        <f t="shared" si="456"/>
        <v>0</v>
      </c>
    </row>
    <row r="26766" spans="20:20" ht="18.75" customHeight="1" x14ac:dyDescent="0.35">
      <c r="T26766" s="246">
        <f t="shared" si="456"/>
        <v>0</v>
      </c>
    </row>
    <row r="26767" spans="20:20" ht="18.75" customHeight="1" x14ac:dyDescent="0.35">
      <c r="T26767" s="246">
        <f t="shared" si="456"/>
        <v>0</v>
      </c>
    </row>
    <row r="26768" spans="20:20" ht="18.75" customHeight="1" x14ac:dyDescent="0.35">
      <c r="T26768" s="246">
        <f t="shared" si="456"/>
        <v>0</v>
      </c>
    </row>
    <row r="26769" spans="20:20" ht="18.75" customHeight="1" x14ac:dyDescent="0.35">
      <c r="T26769" s="246">
        <f t="shared" si="456"/>
        <v>0</v>
      </c>
    </row>
    <row r="26770" spans="20:20" ht="18.75" customHeight="1" x14ac:dyDescent="0.35">
      <c r="T26770" s="246">
        <f t="shared" si="456"/>
        <v>0</v>
      </c>
    </row>
    <row r="26771" spans="20:20" ht="18.75" customHeight="1" x14ac:dyDescent="0.35">
      <c r="T26771" s="246">
        <f t="shared" si="456"/>
        <v>0</v>
      </c>
    </row>
    <row r="26772" spans="20:20" ht="18.75" customHeight="1" x14ac:dyDescent="0.35">
      <c r="T26772" s="246">
        <f t="shared" si="456"/>
        <v>0</v>
      </c>
    </row>
    <row r="26773" spans="20:20" ht="18.75" customHeight="1" x14ac:dyDescent="0.35">
      <c r="T26773" s="246">
        <f t="shared" si="456"/>
        <v>0</v>
      </c>
    </row>
    <row r="26774" spans="20:20" ht="18.75" customHeight="1" x14ac:dyDescent="0.35">
      <c r="T26774" s="246">
        <f t="shared" si="456"/>
        <v>0</v>
      </c>
    </row>
    <row r="26775" spans="20:20" ht="18.75" customHeight="1" x14ac:dyDescent="0.35">
      <c r="T26775" s="246">
        <f t="shared" si="456"/>
        <v>0</v>
      </c>
    </row>
    <row r="26776" spans="20:20" ht="18.75" customHeight="1" x14ac:dyDescent="0.35">
      <c r="T26776" s="246">
        <f t="shared" si="456"/>
        <v>0</v>
      </c>
    </row>
    <row r="26777" spans="20:20" ht="18.75" customHeight="1" x14ac:dyDescent="0.35">
      <c r="T26777" s="246">
        <f t="shared" si="456"/>
        <v>0</v>
      </c>
    </row>
    <row r="26778" spans="20:20" ht="18.75" customHeight="1" x14ac:dyDescent="0.35">
      <c r="T26778" s="246">
        <f t="shared" si="456"/>
        <v>0</v>
      </c>
    </row>
    <row r="26779" spans="20:20" ht="18.75" customHeight="1" x14ac:dyDescent="0.35">
      <c r="T26779" s="246">
        <f t="shared" si="456"/>
        <v>0</v>
      </c>
    </row>
    <row r="26780" spans="20:20" ht="18.75" customHeight="1" x14ac:dyDescent="0.35">
      <c r="T26780" s="246">
        <f t="shared" si="456"/>
        <v>0</v>
      </c>
    </row>
    <row r="26781" spans="20:20" ht="18.75" customHeight="1" x14ac:dyDescent="0.35">
      <c r="T26781" s="246">
        <f t="shared" si="456"/>
        <v>0</v>
      </c>
    </row>
    <row r="26782" spans="20:20" ht="18.75" customHeight="1" x14ac:dyDescent="0.35">
      <c r="T26782" s="246">
        <f t="shared" si="456"/>
        <v>0</v>
      </c>
    </row>
    <row r="26783" spans="20:20" ht="18.75" customHeight="1" x14ac:dyDescent="0.35">
      <c r="T26783" s="246">
        <f t="shared" si="456"/>
        <v>0</v>
      </c>
    </row>
    <row r="26784" spans="20:20" ht="18.75" customHeight="1" x14ac:dyDescent="0.35">
      <c r="T26784" s="246">
        <f t="shared" si="456"/>
        <v>0</v>
      </c>
    </row>
    <row r="26785" spans="20:20" ht="18.75" customHeight="1" x14ac:dyDescent="0.35">
      <c r="T26785" s="246">
        <f t="shared" si="456"/>
        <v>0</v>
      </c>
    </row>
    <row r="26786" spans="20:20" ht="18.75" customHeight="1" x14ac:dyDescent="0.35">
      <c r="T26786" s="246">
        <f t="shared" si="456"/>
        <v>0</v>
      </c>
    </row>
    <row r="26787" spans="20:20" ht="18.75" customHeight="1" x14ac:dyDescent="0.35">
      <c r="T26787" s="246">
        <f t="shared" si="456"/>
        <v>0</v>
      </c>
    </row>
    <row r="26788" spans="20:20" ht="18.75" customHeight="1" x14ac:dyDescent="0.35">
      <c r="T26788" s="246">
        <f t="shared" si="456"/>
        <v>0</v>
      </c>
    </row>
    <row r="26789" spans="20:20" ht="18.75" customHeight="1" x14ac:dyDescent="0.35">
      <c r="T26789" s="246">
        <f t="shared" si="456"/>
        <v>0</v>
      </c>
    </row>
    <row r="26790" spans="20:20" ht="18.75" customHeight="1" x14ac:dyDescent="0.35">
      <c r="T26790" s="246">
        <f t="shared" si="456"/>
        <v>0</v>
      </c>
    </row>
    <row r="26791" spans="20:20" ht="18.75" customHeight="1" x14ac:dyDescent="0.35">
      <c r="T26791" s="246">
        <f t="shared" si="456"/>
        <v>0</v>
      </c>
    </row>
    <row r="26792" spans="20:20" ht="18.75" customHeight="1" x14ac:dyDescent="0.35">
      <c r="T26792" s="246">
        <f t="shared" si="456"/>
        <v>0</v>
      </c>
    </row>
    <row r="26793" spans="20:20" ht="18.75" customHeight="1" x14ac:dyDescent="0.35">
      <c r="T26793" s="246">
        <f t="shared" si="456"/>
        <v>0</v>
      </c>
    </row>
    <row r="26794" spans="20:20" ht="18.75" customHeight="1" x14ac:dyDescent="0.35">
      <c r="T26794" s="246">
        <f t="shared" si="456"/>
        <v>0</v>
      </c>
    </row>
    <row r="26795" spans="20:20" ht="18.75" customHeight="1" x14ac:dyDescent="0.35">
      <c r="T26795" s="246">
        <f t="shared" si="456"/>
        <v>0</v>
      </c>
    </row>
    <row r="26796" spans="20:20" ht="18.75" customHeight="1" x14ac:dyDescent="0.35">
      <c r="T26796" s="246">
        <f t="shared" si="456"/>
        <v>0</v>
      </c>
    </row>
    <row r="26797" spans="20:20" ht="18.75" customHeight="1" x14ac:dyDescent="0.35">
      <c r="T26797" s="246">
        <f t="shared" si="456"/>
        <v>0</v>
      </c>
    </row>
    <row r="26798" spans="20:20" ht="18.75" customHeight="1" x14ac:dyDescent="0.35">
      <c r="T26798" s="246">
        <f t="shared" si="456"/>
        <v>0</v>
      </c>
    </row>
    <row r="26799" spans="20:20" ht="18.75" customHeight="1" x14ac:dyDescent="0.35">
      <c r="T26799" s="246">
        <f t="shared" si="456"/>
        <v>0</v>
      </c>
    </row>
    <row r="26800" spans="20:20" ht="18.75" customHeight="1" x14ac:dyDescent="0.35">
      <c r="T26800" s="246">
        <f t="shared" si="456"/>
        <v>0</v>
      </c>
    </row>
    <row r="26801" spans="20:20" ht="18.75" customHeight="1" x14ac:dyDescent="0.35">
      <c r="T26801" s="246">
        <f t="shared" si="456"/>
        <v>0</v>
      </c>
    </row>
    <row r="26802" spans="20:20" ht="18.75" customHeight="1" x14ac:dyDescent="0.35">
      <c r="T26802" s="246">
        <f t="shared" si="456"/>
        <v>0</v>
      </c>
    </row>
    <row r="26803" spans="20:20" ht="18.75" customHeight="1" x14ac:dyDescent="0.35">
      <c r="T26803" s="246">
        <f t="shared" si="456"/>
        <v>0</v>
      </c>
    </row>
    <row r="26804" spans="20:20" ht="18.75" customHeight="1" x14ac:dyDescent="0.35">
      <c r="T26804" s="246">
        <f t="shared" si="456"/>
        <v>0</v>
      </c>
    </row>
    <row r="26805" spans="20:20" ht="18.75" customHeight="1" x14ac:dyDescent="0.35">
      <c r="T26805" s="246">
        <f t="shared" si="456"/>
        <v>0</v>
      </c>
    </row>
    <row r="26806" spans="20:20" ht="18.75" customHeight="1" x14ac:dyDescent="0.35">
      <c r="T26806" s="246">
        <f t="shared" si="456"/>
        <v>0</v>
      </c>
    </row>
    <row r="26807" spans="20:20" ht="18.75" customHeight="1" x14ac:dyDescent="0.35">
      <c r="T26807" s="246">
        <f t="shared" si="456"/>
        <v>0</v>
      </c>
    </row>
    <row r="26808" spans="20:20" ht="18.75" customHeight="1" x14ac:dyDescent="0.35">
      <c r="T26808" s="246">
        <f t="shared" si="456"/>
        <v>0</v>
      </c>
    </row>
    <row r="26809" spans="20:20" ht="18.75" customHeight="1" x14ac:dyDescent="0.35">
      <c r="T26809" s="246">
        <f t="shared" si="456"/>
        <v>0</v>
      </c>
    </row>
    <row r="26810" spans="20:20" ht="18.75" customHeight="1" x14ac:dyDescent="0.35">
      <c r="T26810" s="246">
        <f t="shared" si="456"/>
        <v>0</v>
      </c>
    </row>
    <row r="26811" spans="20:20" ht="18.75" customHeight="1" x14ac:dyDescent="0.35">
      <c r="T26811" s="246">
        <f t="shared" si="456"/>
        <v>0</v>
      </c>
    </row>
    <row r="26812" spans="20:20" ht="18.75" customHeight="1" x14ac:dyDescent="0.35">
      <c r="T26812" s="246">
        <f t="shared" ref="T26812:T26875" si="457">R26812*0.01</f>
        <v>0</v>
      </c>
    </row>
    <row r="26813" spans="20:20" ht="18.75" customHeight="1" x14ac:dyDescent="0.35">
      <c r="T26813" s="246">
        <f t="shared" si="457"/>
        <v>0</v>
      </c>
    </row>
    <row r="26814" spans="20:20" ht="18.75" customHeight="1" x14ac:dyDescent="0.35">
      <c r="T26814" s="246">
        <f t="shared" si="457"/>
        <v>0</v>
      </c>
    </row>
    <row r="26815" spans="20:20" ht="18.75" customHeight="1" x14ac:dyDescent="0.35">
      <c r="T26815" s="246">
        <f t="shared" si="457"/>
        <v>0</v>
      </c>
    </row>
    <row r="26816" spans="20:20" ht="18.75" customHeight="1" x14ac:dyDescent="0.35">
      <c r="T26816" s="246">
        <f t="shared" si="457"/>
        <v>0</v>
      </c>
    </row>
    <row r="26817" spans="20:20" ht="18.75" customHeight="1" x14ac:dyDescent="0.35">
      <c r="T26817" s="246">
        <f t="shared" si="457"/>
        <v>0</v>
      </c>
    </row>
    <row r="26818" spans="20:20" ht="18.75" customHeight="1" x14ac:dyDescent="0.35">
      <c r="T26818" s="246">
        <f t="shared" si="457"/>
        <v>0</v>
      </c>
    </row>
    <row r="26819" spans="20:20" ht="18.75" customHeight="1" x14ac:dyDescent="0.35">
      <c r="T26819" s="246">
        <f t="shared" si="457"/>
        <v>0</v>
      </c>
    </row>
    <row r="26820" spans="20:20" ht="18.75" customHeight="1" x14ac:dyDescent="0.35">
      <c r="T26820" s="246">
        <f t="shared" si="457"/>
        <v>0</v>
      </c>
    </row>
    <row r="26821" spans="20:20" ht="18.75" customHeight="1" x14ac:dyDescent="0.35">
      <c r="T26821" s="246">
        <f t="shared" si="457"/>
        <v>0</v>
      </c>
    </row>
    <row r="26822" spans="20:20" ht="18.75" customHeight="1" x14ac:dyDescent="0.35">
      <c r="T26822" s="246">
        <f t="shared" si="457"/>
        <v>0</v>
      </c>
    </row>
    <row r="26823" spans="20:20" ht="18.75" customHeight="1" x14ac:dyDescent="0.35">
      <c r="T26823" s="246">
        <f t="shared" si="457"/>
        <v>0</v>
      </c>
    </row>
    <row r="26824" spans="20:20" ht="18.75" customHeight="1" x14ac:dyDescent="0.35">
      <c r="T26824" s="246">
        <f t="shared" si="457"/>
        <v>0</v>
      </c>
    </row>
    <row r="26825" spans="20:20" ht="18.75" customHeight="1" x14ac:dyDescent="0.35">
      <c r="T26825" s="246">
        <f t="shared" si="457"/>
        <v>0</v>
      </c>
    </row>
    <row r="26826" spans="20:20" ht="18.75" customHeight="1" x14ac:dyDescent="0.35">
      <c r="T26826" s="246">
        <f t="shared" si="457"/>
        <v>0</v>
      </c>
    </row>
    <row r="26827" spans="20:20" ht="18.75" customHeight="1" x14ac:dyDescent="0.35">
      <c r="T26827" s="246">
        <f t="shared" si="457"/>
        <v>0</v>
      </c>
    </row>
    <row r="26828" spans="20:20" ht="18.75" customHeight="1" x14ac:dyDescent="0.35">
      <c r="T26828" s="246">
        <f t="shared" si="457"/>
        <v>0</v>
      </c>
    </row>
    <row r="26829" spans="20:20" ht="18.75" customHeight="1" x14ac:dyDescent="0.35">
      <c r="T26829" s="246">
        <f t="shared" si="457"/>
        <v>0</v>
      </c>
    </row>
    <row r="26830" spans="20:20" ht="18.75" customHeight="1" x14ac:dyDescent="0.35">
      <c r="T26830" s="246">
        <f t="shared" si="457"/>
        <v>0</v>
      </c>
    </row>
    <row r="26831" spans="20:20" ht="18.75" customHeight="1" x14ac:dyDescent="0.35">
      <c r="T26831" s="246">
        <f t="shared" si="457"/>
        <v>0</v>
      </c>
    </row>
    <row r="26832" spans="20:20" ht="18.75" customHeight="1" x14ac:dyDescent="0.35">
      <c r="T26832" s="246">
        <f t="shared" si="457"/>
        <v>0</v>
      </c>
    </row>
    <row r="26833" spans="20:20" ht="18.75" customHeight="1" x14ac:dyDescent="0.35">
      <c r="T26833" s="246">
        <f t="shared" si="457"/>
        <v>0</v>
      </c>
    </row>
    <row r="26834" spans="20:20" ht="18.75" customHeight="1" x14ac:dyDescent="0.35">
      <c r="T26834" s="246">
        <f t="shared" si="457"/>
        <v>0</v>
      </c>
    </row>
    <row r="26835" spans="20:20" ht="18.75" customHeight="1" x14ac:dyDescent="0.35">
      <c r="T26835" s="246">
        <f t="shared" si="457"/>
        <v>0</v>
      </c>
    </row>
    <row r="26836" spans="20:20" ht="18.75" customHeight="1" x14ac:dyDescent="0.35">
      <c r="T26836" s="246">
        <f t="shared" si="457"/>
        <v>0</v>
      </c>
    </row>
    <row r="26837" spans="20:20" ht="18.75" customHeight="1" x14ac:dyDescent="0.35">
      <c r="T26837" s="246">
        <f t="shared" si="457"/>
        <v>0</v>
      </c>
    </row>
    <row r="26838" spans="20:20" ht="18.75" customHeight="1" x14ac:dyDescent="0.35">
      <c r="T26838" s="246">
        <f t="shared" si="457"/>
        <v>0</v>
      </c>
    </row>
    <row r="26839" spans="20:20" ht="18.75" customHeight="1" x14ac:dyDescent="0.35">
      <c r="T26839" s="246">
        <f t="shared" si="457"/>
        <v>0</v>
      </c>
    </row>
    <row r="26840" spans="20:20" ht="18.75" customHeight="1" x14ac:dyDescent="0.35">
      <c r="T26840" s="246">
        <f t="shared" si="457"/>
        <v>0</v>
      </c>
    </row>
    <row r="26841" spans="20:20" ht="18.75" customHeight="1" x14ac:dyDescent="0.35">
      <c r="T26841" s="246">
        <f t="shared" si="457"/>
        <v>0</v>
      </c>
    </row>
    <row r="26842" spans="20:20" ht="18.75" customHeight="1" x14ac:dyDescent="0.35">
      <c r="T26842" s="246">
        <f t="shared" si="457"/>
        <v>0</v>
      </c>
    </row>
    <row r="26843" spans="20:20" ht="18.75" customHeight="1" x14ac:dyDescent="0.35">
      <c r="T26843" s="246">
        <f t="shared" si="457"/>
        <v>0</v>
      </c>
    </row>
    <row r="26844" spans="20:20" ht="18.75" customHeight="1" x14ac:dyDescent="0.35">
      <c r="T26844" s="246">
        <f t="shared" si="457"/>
        <v>0</v>
      </c>
    </row>
    <row r="26845" spans="20:20" ht="18.75" customHeight="1" x14ac:dyDescent="0.35">
      <c r="T26845" s="246">
        <f t="shared" si="457"/>
        <v>0</v>
      </c>
    </row>
    <row r="26846" spans="20:20" ht="18.75" customHeight="1" x14ac:dyDescent="0.35">
      <c r="T26846" s="246">
        <f t="shared" si="457"/>
        <v>0</v>
      </c>
    </row>
    <row r="26847" spans="20:20" ht="18.75" customHeight="1" x14ac:dyDescent="0.35">
      <c r="T26847" s="246">
        <f t="shared" si="457"/>
        <v>0</v>
      </c>
    </row>
    <row r="26848" spans="20:20" ht="18.75" customHeight="1" x14ac:dyDescent="0.35">
      <c r="T26848" s="246">
        <f t="shared" si="457"/>
        <v>0</v>
      </c>
    </row>
    <row r="26849" spans="20:20" ht="18.75" customHeight="1" x14ac:dyDescent="0.35">
      <c r="T26849" s="246">
        <f t="shared" si="457"/>
        <v>0</v>
      </c>
    </row>
    <row r="26850" spans="20:20" ht="18.75" customHeight="1" x14ac:dyDescent="0.35">
      <c r="T26850" s="246">
        <f t="shared" si="457"/>
        <v>0</v>
      </c>
    </row>
    <row r="26851" spans="20:20" ht="18.75" customHeight="1" x14ac:dyDescent="0.35">
      <c r="T26851" s="246">
        <f t="shared" si="457"/>
        <v>0</v>
      </c>
    </row>
    <row r="26852" spans="20:20" ht="18.75" customHeight="1" x14ac:dyDescent="0.35">
      <c r="T26852" s="246">
        <f t="shared" si="457"/>
        <v>0</v>
      </c>
    </row>
    <row r="26853" spans="20:20" ht="18.75" customHeight="1" x14ac:dyDescent="0.35">
      <c r="T26853" s="246">
        <f t="shared" si="457"/>
        <v>0</v>
      </c>
    </row>
    <row r="26854" spans="20:20" ht="18.75" customHeight="1" x14ac:dyDescent="0.35">
      <c r="T26854" s="246">
        <f t="shared" si="457"/>
        <v>0</v>
      </c>
    </row>
    <row r="26855" spans="20:20" ht="18.75" customHeight="1" x14ac:dyDescent="0.35">
      <c r="T26855" s="246">
        <f t="shared" si="457"/>
        <v>0</v>
      </c>
    </row>
    <row r="26856" spans="20:20" ht="18.75" customHeight="1" x14ac:dyDescent="0.35">
      <c r="T26856" s="246">
        <f t="shared" si="457"/>
        <v>0</v>
      </c>
    </row>
    <row r="26857" spans="20:20" ht="18.75" customHeight="1" x14ac:dyDescent="0.35">
      <c r="T26857" s="246">
        <f t="shared" si="457"/>
        <v>0</v>
      </c>
    </row>
    <row r="26858" spans="20:20" ht="18.75" customHeight="1" x14ac:dyDescent="0.35">
      <c r="T26858" s="246">
        <f t="shared" si="457"/>
        <v>0</v>
      </c>
    </row>
    <row r="26859" spans="20:20" ht="18.75" customHeight="1" x14ac:dyDescent="0.35">
      <c r="T26859" s="246">
        <f t="shared" si="457"/>
        <v>0</v>
      </c>
    </row>
    <row r="26860" spans="20:20" ht="18.75" customHeight="1" x14ac:dyDescent="0.35">
      <c r="T26860" s="246">
        <f t="shared" si="457"/>
        <v>0</v>
      </c>
    </row>
    <row r="26861" spans="20:20" ht="18.75" customHeight="1" x14ac:dyDescent="0.35">
      <c r="T26861" s="246">
        <f t="shared" si="457"/>
        <v>0</v>
      </c>
    </row>
    <row r="26862" spans="20:20" ht="18.75" customHeight="1" x14ac:dyDescent="0.35">
      <c r="T26862" s="246">
        <f t="shared" si="457"/>
        <v>0</v>
      </c>
    </row>
    <row r="26863" spans="20:20" ht="18.75" customHeight="1" x14ac:dyDescent="0.35">
      <c r="T26863" s="246">
        <f t="shared" si="457"/>
        <v>0</v>
      </c>
    </row>
    <row r="26864" spans="20:20" ht="18.75" customHeight="1" x14ac:dyDescent="0.35">
      <c r="T26864" s="246">
        <f t="shared" si="457"/>
        <v>0</v>
      </c>
    </row>
    <row r="26865" spans="20:20" ht="18.75" customHeight="1" x14ac:dyDescent="0.35">
      <c r="T26865" s="246">
        <f t="shared" si="457"/>
        <v>0</v>
      </c>
    </row>
    <row r="26866" spans="20:20" ht="18.75" customHeight="1" x14ac:dyDescent="0.35">
      <c r="T26866" s="246">
        <f t="shared" si="457"/>
        <v>0</v>
      </c>
    </row>
    <row r="26867" spans="20:20" ht="18.75" customHeight="1" x14ac:dyDescent="0.35">
      <c r="T26867" s="246">
        <f t="shared" si="457"/>
        <v>0</v>
      </c>
    </row>
    <row r="26868" spans="20:20" ht="18.75" customHeight="1" x14ac:dyDescent="0.35">
      <c r="T26868" s="246">
        <f t="shared" si="457"/>
        <v>0</v>
      </c>
    </row>
    <row r="26869" spans="20:20" ht="18.75" customHeight="1" x14ac:dyDescent="0.35">
      <c r="T26869" s="246">
        <f t="shared" si="457"/>
        <v>0</v>
      </c>
    </row>
    <row r="26870" spans="20:20" ht="18.75" customHeight="1" x14ac:dyDescent="0.35">
      <c r="T26870" s="246">
        <f t="shared" si="457"/>
        <v>0</v>
      </c>
    </row>
    <row r="26871" spans="20:20" ht="18.75" customHeight="1" x14ac:dyDescent="0.35">
      <c r="T26871" s="246">
        <f t="shared" si="457"/>
        <v>0</v>
      </c>
    </row>
    <row r="26872" spans="20:20" ht="18.75" customHeight="1" x14ac:dyDescent="0.35">
      <c r="T26872" s="246">
        <f t="shared" si="457"/>
        <v>0</v>
      </c>
    </row>
    <row r="26873" spans="20:20" ht="18.75" customHeight="1" x14ac:dyDescent="0.35">
      <c r="T26873" s="246">
        <f t="shared" si="457"/>
        <v>0</v>
      </c>
    </row>
    <row r="26874" spans="20:20" ht="18.75" customHeight="1" x14ac:dyDescent="0.35">
      <c r="T26874" s="246">
        <f t="shared" si="457"/>
        <v>0</v>
      </c>
    </row>
    <row r="26875" spans="20:20" ht="18.75" customHeight="1" x14ac:dyDescent="0.35">
      <c r="T26875" s="246">
        <f t="shared" si="457"/>
        <v>0</v>
      </c>
    </row>
    <row r="26876" spans="20:20" ht="18.75" customHeight="1" x14ac:dyDescent="0.35">
      <c r="T26876" s="246">
        <f t="shared" ref="T26876:T26939" si="458">R26876*0.01</f>
        <v>0</v>
      </c>
    </row>
    <row r="26877" spans="20:20" ht="18.75" customHeight="1" x14ac:dyDescent="0.35">
      <c r="T26877" s="246">
        <f t="shared" si="458"/>
        <v>0</v>
      </c>
    </row>
    <row r="26878" spans="20:20" ht="18.75" customHeight="1" x14ac:dyDescent="0.35">
      <c r="T26878" s="246">
        <f t="shared" si="458"/>
        <v>0</v>
      </c>
    </row>
    <row r="26879" spans="20:20" ht="18.75" customHeight="1" x14ac:dyDescent="0.35">
      <c r="T26879" s="246">
        <f t="shared" si="458"/>
        <v>0</v>
      </c>
    </row>
    <row r="26880" spans="20:20" ht="18.75" customHeight="1" x14ac:dyDescent="0.35">
      <c r="T26880" s="246">
        <f t="shared" si="458"/>
        <v>0</v>
      </c>
    </row>
    <row r="26881" spans="20:20" ht="18.75" customHeight="1" x14ac:dyDescent="0.35">
      <c r="T26881" s="246">
        <f t="shared" si="458"/>
        <v>0</v>
      </c>
    </row>
    <row r="26882" spans="20:20" ht="18.75" customHeight="1" x14ac:dyDescent="0.35">
      <c r="T26882" s="246">
        <f t="shared" si="458"/>
        <v>0</v>
      </c>
    </row>
    <row r="26883" spans="20:20" ht="18.75" customHeight="1" x14ac:dyDescent="0.35">
      <c r="T26883" s="246">
        <f t="shared" si="458"/>
        <v>0</v>
      </c>
    </row>
    <row r="26884" spans="20:20" ht="18.75" customHeight="1" x14ac:dyDescent="0.35">
      <c r="T26884" s="246">
        <f t="shared" si="458"/>
        <v>0</v>
      </c>
    </row>
    <row r="26885" spans="20:20" ht="18.75" customHeight="1" x14ac:dyDescent="0.35">
      <c r="T26885" s="246">
        <f t="shared" si="458"/>
        <v>0</v>
      </c>
    </row>
    <row r="26886" spans="20:20" ht="18.75" customHeight="1" x14ac:dyDescent="0.35">
      <c r="T26886" s="246">
        <f t="shared" si="458"/>
        <v>0</v>
      </c>
    </row>
    <row r="26887" spans="20:20" ht="18.75" customHeight="1" x14ac:dyDescent="0.35">
      <c r="T26887" s="246">
        <f t="shared" si="458"/>
        <v>0</v>
      </c>
    </row>
    <row r="26888" spans="20:20" ht="18.75" customHeight="1" x14ac:dyDescent="0.35">
      <c r="T26888" s="246">
        <f t="shared" si="458"/>
        <v>0</v>
      </c>
    </row>
    <row r="26889" spans="20:20" ht="18.75" customHeight="1" x14ac:dyDescent="0.35">
      <c r="T26889" s="246">
        <f t="shared" si="458"/>
        <v>0</v>
      </c>
    </row>
    <row r="26890" spans="20:20" ht="18.75" customHeight="1" x14ac:dyDescent="0.35">
      <c r="T26890" s="246">
        <f t="shared" si="458"/>
        <v>0</v>
      </c>
    </row>
    <row r="26891" spans="20:20" ht="18.75" customHeight="1" x14ac:dyDescent="0.35">
      <c r="T26891" s="246">
        <f t="shared" si="458"/>
        <v>0</v>
      </c>
    </row>
    <row r="26892" spans="20:20" ht="18.75" customHeight="1" x14ac:dyDescent="0.35">
      <c r="T26892" s="246">
        <f t="shared" si="458"/>
        <v>0</v>
      </c>
    </row>
    <row r="26893" spans="20:20" ht="18.75" customHeight="1" x14ac:dyDescent="0.35">
      <c r="T26893" s="246">
        <f t="shared" si="458"/>
        <v>0</v>
      </c>
    </row>
    <row r="26894" spans="20:20" ht="18.75" customHeight="1" x14ac:dyDescent="0.35">
      <c r="T26894" s="246">
        <f t="shared" si="458"/>
        <v>0</v>
      </c>
    </row>
    <row r="26895" spans="20:20" ht="18.75" customHeight="1" x14ac:dyDescent="0.35">
      <c r="T26895" s="246">
        <f t="shared" si="458"/>
        <v>0</v>
      </c>
    </row>
    <row r="26896" spans="20:20" ht="18.75" customHeight="1" x14ac:dyDescent="0.35">
      <c r="T26896" s="246">
        <f t="shared" si="458"/>
        <v>0</v>
      </c>
    </row>
    <row r="26897" spans="20:20" ht="18.75" customHeight="1" x14ac:dyDescent="0.35">
      <c r="T26897" s="246">
        <f t="shared" si="458"/>
        <v>0</v>
      </c>
    </row>
    <row r="26898" spans="20:20" ht="18.75" customHeight="1" x14ac:dyDescent="0.35">
      <c r="T26898" s="246">
        <f t="shared" si="458"/>
        <v>0</v>
      </c>
    </row>
    <row r="26899" spans="20:20" ht="18.75" customHeight="1" x14ac:dyDescent="0.35">
      <c r="T26899" s="246">
        <f t="shared" si="458"/>
        <v>0</v>
      </c>
    </row>
    <row r="26900" spans="20:20" ht="18.75" customHeight="1" x14ac:dyDescent="0.35">
      <c r="T26900" s="246">
        <f t="shared" si="458"/>
        <v>0</v>
      </c>
    </row>
    <row r="26901" spans="20:20" ht="18.75" customHeight="1" x14ac:dyDescent="0.35">
      <c r="T26901" s="246">
        <f t="shared" si="458"/>
        <v>0</v>
      </c>
    </row>
    <row r="26902" spans="20:20" ht="18.75" customHeight="1" x14ac:dyDescent="0.35">
      <c r="T26902" s="246">
        <f t="shared" si="458"/>
        <v>0</v>
      </c>
    </row>
    <row r="26903" spans="20:20" ht="18.75" customHeight="1" x14ac:dyDescent="0.35">
      <c r="T26903" s="246">
        <f t="shared" si="458"/>
        <v>0</v>
      </c>
    </row>
    <row r="26904" spans="20:20" ht="18.75" customHeight="1" x14ac:dyDescent="0.35">
      <c r="T26904" s="246">
        <f t="shared" si="458"/>
        <v>0</v>
      </c>
    </row>
    <row r="26905" spans="20:20" ht="18.75" customHeight="1" x14ac:dyDescent="0.35">
      <c r="T26905" s="246">
        <f t="shared" si="458"/>
        <v>0</v>
      </c>
    </row>
    <row r="26906" spans="20:20" ht="18.75" customHeight="1" x14ac:dyDescent="0.35">
      <c r="T26906" s="246">
        <f t="shared" si="458"/>
        <v>0</v>
      </c>
    </row>
    <row r="26907" spans="20:20" ht="18.75" customHeight="1" x14ac:dyDescent="0.35">
      <c r="T26907" s="246">
        <f t="shared" si="458"/>
        <v>0</v>
      </c>
    </row>
    <row r="26908" spans="20:20" ht="18.75" customHeight="1" x14ac:dyDescent="0.35">
      <c r="T26908" s="246">
        <f t="shared" si="458"/>
        <v>0</v>
      </c>
    </row>
    <row r="26909" spans="20:20" ht="18.75" customHeight="1" x14ac:dyDescent="0.35">
      <c r="T26909" s="246">
        <f t="shared" si="458"/>
        <v>0</v>
      </c>
    </row>
    <row r="26910" spans="20:20" ht="18.75" customHeight="1" x14ac:dyDescent="0.35">
      <c r="T26910" s="246">
        <f t="shared" si="458"/>
        <v>0</v>
      </c>
    </row>
    <row r="26911" spans="20:20" ht="18.75" customHeight="1" x14ac:dyDescent="0.35">
      <c r="T26911" s="246">
        <f t="shared" si="458"/>
        <v>0</v>
      </c>
    </row>
    <row r="26912" spans="20:20" ht="18.75" customHeight="1" x14ac:dyDescent="0.35">
      <c r="T26912" s="246">
        <f t="shared" si="458"/>
        <v>0</v>
      </c>
    </row>
    <row r="26913" spans="20:20" ht="18.75" customHeight="1" x14ac:dyDescent="0.35">
      <c r="T26913" s="246">
        <f t="shared" si="458"/>
        <v>0</v>
      </c>
    </row>
    <row r="26914" spans="20:20" ht="18.75" customHeight="1" x14ac:dyDescent="0.35">
      <c r="T26914" s="246">
        <f t="shared" si="458"/>
        <v>0</v>
      </c>
    </row>
    <row r="26915" spans="20:20" ht="18.75" customHeight="1" x14ac:dyDescent="0.35">
      <c r="T26915" s="246">
        <f t="shared" si="458"/>
        <v>0</v>
      </c>
    </row>
    <row r="26916" spans="20:20" ht="18.75" customHeight="1" x14ac:dyDescent="0.35">
      <c r="T26916" s="246">
        <f t="shared" si="458"/>
        <v>0</v>
      </c>
    </row>
    <row r="26917" spans="20:20" ht="18.75" customHeight="1" x14ac:dyDescent="0.35">
      <c r="T26917" s="246">
        <f t="shared" si="458"/>
        <v>0</v>
      </c>
    </row>
    <row r="26918" spans="20:20" ht="18.75" customHeight="1" x14ac:dyDescent="0.35">
      <c r="T26918" s="246">
        <f t="shared" si="458"/>
        <v>0</v>
      </c>
    </row>
    <row r="26919" spans="20:20" ht="18.75" customHeight="1" x14ac:dyDescent="0.35">
      <c r="T26919" s="246">
        <f t="shared" si="458"/>
        <v>0</v>
      </c>
    </row>
    <row r="26920" spans="20:20" ht="18.75" customHeight="1" x14ac:dyDescent="0.35">
      <c r="T26920" s="246">
        <f t="shared" si="458"/>
        <v>0</v>
      </c>
    </row>
    <row r="26921" spans="20:20" ht="18.75" customHeight="1" x14ac:dyDescent="0.35">
      <c r="T26921" s="246">
        <f t="shared" si="458"/>
        <v>0</v>
      </c>
    </row>
    <row r="26922" spans="20:20" ht="18.75" customHeight="1" x14ac:dyDescent="0.35">
      <c r="T26922" s="246">
        <f t="shared" si="458"/>
        <v>0</v>
      </c>
    </row>
    <row r="26923" spans="20:20" ht="18.75" customHeight="1" x14ac:dyDescent="0.35">
      <c r="T26923" s="246">
        <f t="shared" si="458"/>
        <v>0</v>
      </c>
    </row>
    <row r="26924" spans="20:20" ht="18.75" customHeight="1" x14ac:dyDescent="0.35">
      <c r="T26924" s="246">
        <f t="shared" si="458"/>
        <v>0</v>
      </c>
    </row>
    <row r="26925" spans="20:20" ht="18.75" customHeight="1" x14ac:dyDescent="0.35">
      <c r="T26925" s="246">
        <f t="shared" si="458"/>
        <v>0</v>
      </c>
    </row>
    <row r="26926" spans="20:20" ht="18.75" customHeight="1" x14ac:dyDescent="0.35">
      <c r="T26926" s="246">
        <f t="shared" si="458"/>
        <v>0</v>
      </c>
    </row>
    <row r="26927" spans="20:20" ht="18.75" customHeight="1" x14ac:dyDescent="0.35">
      <c r="T26927" s="246">
        <f t="shared" si="458"/>
        <v>0</v>
      </c>
    </row>
    <row r="26928" spans="20:20" ht="18.75" customHeight="1" x14ac:dyDescent="0.35">
      <c r="T26928" s="246">
        <f t="shared" si="458"/>
        <v>0</v>
      </c>
    </row>
    <row r="26929" spans="20:20" ht="18.75" customHeight="1" x14ac:dyDescent="0.35">
      <c r="T26929" s="246">
        <f t="shared" si="458"/>
        <v>0</v>
      </c>
    </row>
    <row r="26930" spans="20:20" ht="18.75" customHeight="1" x14ac:dyDescent="0.35">
      <c r="T26930" s="246">
        <f t="shared" si="458"/>
        <v>0</v>
      </c>
    </row>
    <row r="26931" spans="20:20" ht="18.75" customHeight="1" x14ac:dyDescent="0.35">
      <c r="T26931" s="246">
        <f t="shared" si="458"/>
        <v>0</v>
      </c>
    </row>
    <row r="26932" spans="20:20" ht="18.75" customHeight="1" x14ac:dyDescent="0.35">
      <c r="T26932" s="246">
        <f t="shared" si="458"/>
        <v>0</v>
      </c>
    </row>
    <row r="26933" spans="20:20" ht="18.75" customHeight="1" x14ac:dyDescent="0.35">
      <c r="T26933" s="246">
        <f t="shared" si="458"/>
        <v>0</v>
      </c>
    </row>
    <row r="26934" spans="20:20" ht="18.75" customHeight="1" x14ac:dyDescent="0.35">
      <c r="T26934" s="246">
        <f t="shared" si="458"/>
        <v>0</v>
      </c>
    </row>
    <row r="26935" spans="20:20" ht="18.75" customHeight="1" x14ac:dyDescent="0.35">
      <c r="T26935" s="246">
        <f t="shared" si="458"/>
        <v>0</v>
      </c>
    </row>
    <row r="26936" spans="20:20" ht="18.75" customHeight="1" x14ac:dyDescent="0.35">
      <c r="T26936" s="246">
        <f t="shared" si="458"/>
        <v>0</v>
      </c>
    </row>
    <row r="26937" spans="20:20" ht="18.75" customHeight="1" x14ac:dyDescent="0.35">
      <c r="T26937" s="246">
        <f t="shared" si="458"/>
        <v>0</v>
      </c>
    </row>
    <row r="26938" spans="20:20" ht="18.75" customHeight="1" x14ac:dyDescent="0.35">
      <c r="T26938" s="246">
        <f t="shared" si="458"/>
        <v>0</v>
      </c>
    </row>
    <row r="26939" spans="20:20" ht="18.75" customHeight="1" x14ac:dyDescent="0.35">
      <c r="T26939" s="246">
        <f t="shared" si="458"/>
        <v>0</v>
      </c>
    </row>
    <row r="26940" spans="20:20" ht="18.75" customHeight="1" x14ac:dyDescent="0.35">
      <c r="T26940" s="246">
        <f t="shared" ref="T26940:T27003" si="459">R26940*0.01</f>
        <v>0</v>
      </c>
    </row>
    <row r="26941" spans="20:20" ht="18.75" customHeight="1" x14ac:dyDescent="0.35">
      <c r="T26941" s="246">
        <f t="shared" si="459"/>
        <v>0</v>
      </c>
    </row>
    <row r="26942" spans="20:20" ht="18.75" customHeight="1" x14ac:dyDescent="0.35">
      <c r="T26942" s="246">
        <f t="shared" si="459"/>
        <v>0</v>
      </c>
    </row>
    <row r="26943" spans="20:20" ht="18.75" customHeight="1" x14ac:dyDescent="0.35">
      <c r="T26943" s="246">
        <f t="shared" si="459"/>
        <v>0</v>
      </c>
    </row>
    <row r="26944" spans="20:20" ht="18.75" customHeight="1" x14ac:dyDescent="0.35">
      <c r="T26944" s="246">
        <f t="shared" si="459"/>
        <v>0</v>
      </c>
    </row>
    <row r="26945" spans="20:20" ht="18.75" customHeight="1" x14ac:dyDescent="0.35">
      <c r="T26945" s="246">
        <f t="shared" si="459"/>
        <v>0</v>
      </c>
    </row>
    <row r="26946" spans="20:20" ht="18.75" customHeight="1" x14ac:dyDescent="0.35">
      <c r="T26946" s="246">
        <f t="shared" si="459"/>
        <v>0</v>
      </c>
    </row>
    <row r="26947" spans="20:20" ht="18.75" customHeight="1" x14ac:dyDescent="0.35">
      <c r="T26947" s="246">
        <f t="shared" si="459"/>
        <v>0</v>
      </c>
    </row>
    <row r="26948" spans="20:20" ht="18.75" customHeight="1" x14ac:dyDescent="0.35">
      <c r="T26948" s="246">
        <f t="shared" si="459"/>
        <v>0</v>
      </c>
    </row>
    <row r="26949" spans="20:20" ht="18.75" customHeight="1" x14ac:dyDescent="0.35">
      <c r="T26949" s="246">
        <f t="shared" si="459"/>
        <v>0</v>
      </c>
    </row>
    <row r="26950" spans="20:20" ht="18.75" customHeight="1" x14ac:dyDescent="0.35">
      <c r="T26950" s="246">
        <f t="shared" si="459"/>
        <v>0</v>
      </c>
    </row>
    <row r="26951" spans="20:20" ht="18.75" customHeight="1" x14ac:dyDescent="0.35">
      <c r="T26951" s="246">
        <f t="shared" si="459"/>
        <v>0</v>
      </c>
    </row>
    <row r="26952" spans="20:20" ht="18.75" customHeight="1" x14ac:dyDescent="0.35">
      <c r="T26952" s="246">
        <f t="shared" si="459"/>
        <v>0</v>
      </c>
    </row>
    <row r="26953" spans="20:20" ht="18.75" customHeight="1" x14ac:dyDescent="0.35">
      <c r="T26953" s="246">
        <f t="shared" si="459"/>
        <v>0</v>
      </c>
    </row>
    <row r="26954" spans="20:20" ht="18.75" customHeight="1" x14ac:dyDescent="0.35">
      <c r="T26954" s="246">
        <f t="shared" si="459"/>
        <v>0</v>
      </c>
    </row>
    <row r="26955" spans="20:20" ht="18.75" customHeight="1" x14ac:dyDescent="0.35">
      <c r="T26955" s="246">
        <f t="shared" si="459"/>
        <v>0</v>
      </c>
    </row>
    <row r="26956" spans="20:20" ht="18.75" customHeight="1" x14ac:dyDescent="0.35">
      <c r="T26956" s="246">
        <f t="shared" si="459"/>
        <v>0</v>
      </c>
    </row>
    <row r="26957" spans="20:20" ht="18.75" customHeight="1" x14ac:dyDescent="0.35">
      <c r="T26957" s="246">
        <f t="shared" si="459"/>
        <v>0</v>
      </c>
    </row>
    <row r="26958" spans="20:20" ht="18.75" customHeight="1" x14ac:dyDescent="0.35">
      <c r="T26958" s="246">
        <f t="shared" si="459"/>
        <v>0</v>
      </c>
    </row>
    <row r="26959" spans="20:20" ht="18.75" customHeight="1" x14ac:dyDescent="0.35">
      <c r="T26959" s="246">
        <f t="shared" si="459"/>
        <v>0</v>
      </c>
    </row>
    <row r="26960" spans="20:20" ht="18.75" customHeight="1" x14ac:dyDescent="0.35">
      <c r="T26960" s="246">
        <f t="shared" si="459"/>
        <v>0</v>
      </c>
    </row>
    <row r="26961" spans="20:20" ht="18.75" customHeight="1" x14ac:dyDescent="0.35">
      <c r="T26961" s="246">
        <f t="shared" si="459"/>
        <v>0</v>
      </c>
    </row>
    <row r="26962" spans="20:20" ht="18.75" customHeight="1" x14ac:dyDescent="0.35">
      <c r="T26962" s="246">
        <f t="shared" si="459"/>
        <v>0</v>
      </c>
    </row>
    <row r="26963" spans="20:20" ht="18.75" customHeight="1" x14ac:dyDescent="0.35">
      <c r="T26963" s="246">
        <f t="shared" si="459"/>
        <v>0</v>
      </c>
    </row>
    <row r="26964" spans="20:20" ht="18.75" customHeight="1" x14ac:dyDescent="0.35">
      <c r="T26964" s="246">
        <f t="shared" si="459"/>
        <v>0</v>
      </c>
    </row>
    <row r="26965" spans="20:20" ht="18.75" customHeight="1" x14ac:dyDescent="0.35">
      <c r="T26965" s="246">
        <f t="shared" si="459"/>
        <v>0</v>
      </c>
    </row>
    <row r="26966" spans="20:20" ht="18.75" customHeight="1" x14ac:dyDescent="0.35">
      <c r="T26966" s="246">
        <f t="shared" si="459"/>
        <v>0</v>
      </c>
    </row>
    <row r="26967" spans="20:20" ht="18.75" customHeight="1" x14ac:dyDescent="0.35">
      <c r="T26967" s="246">
        <f t="shared" si="459"/>
        <v>0</v>
      </c>
    </row>
    <row r="26968" spans="20:20" ht="18.75" customHeight="1" x14ac:dyDescent="0.35">
      <c r="T26968" s="246">
        <f t="shared" si="459"/>
        <v>0</v>
      </c>
    </row>
    <row r="26969" spans="20:20" ht="18.75" customHeight="1" x14ac:dyDescent="0.35">
      <c r="T26969" s="246">
        <f t="shared" si="459"/>
        <v>0</v>
      </c>
    </row>
    <row r="26970" spans="20:20" ht="18.75" customHeight="1" x14ac:dyDescent="0.35">
      <c r="T26970" s="246">
        <f t="shared" si="459"/>
        <v>0</v>
      </c>
    </row>
    <row r="26971" spans="20:20" ht="18.75" customHeight="1" x14ac:dyDescent="0.35">
      <c r="T26971" s="246">
        <f t="shared" si="459"/>
        <v>0</v>
      </c>
    </row>
    <row r="26972" spans="20:20" ht="18.75" customHeight="1" x14ac:dyDescent="0.35">
      <c r="T26972" s="246">
        <f t="shared" si="459"/>
        <v>0</v>
      </c>
    </row>
    <row r="26973" spans="20:20" ht="18.75" customHeight="1" x14ac:dyDescent="0.35">
      <c r="T26973" s="246">
        <f t="shared" si="459"/>
        <v>0</v>
      </c>
    </row>
    <row r="26974" spans="20:20" ht="18.75" customHeight="1" x14ac:dyDescent="0.35">
      <c r="T26974" s="246">
        <f t="shared" si="459"/>
        <v>0</v>
      </c>
    </row>
    <row r="26975" spans="20:20" ht="18.75" customHeight="1" x14ac:dyDescent="0.35">
      <c r="T26975" s="246">
        <f t="shared" si="459"/>
        <v>0</v>
      </c>
    </row>
    <row r="26976" spans="20:20" ht="18.75" customHeight="1" x14ac:dyDescent="0.35">
      <c r="T26976" s="246">
        <f t="shared" si="459"/>
        <v>0</v>
      </c>
    </row>
    <row r="26977" spans="20:20" ht="18.75" customHeight="1" x14ac:dyDescent="0.35">
      <c r="T26977" s="246">
        <f t="shared" si="459"/>
        <v>0</v>
      </c>
    </row>
    <row r="26978" spans="20:20" ht="18.75" customHeight="1" x14ac:dyDescent="0.35">
      <c r="T26978" s="246">
        <f t="shared" si="459"/>
        <v>0</v>
      </c>
    </row>
    <row r="26979" spans="20:20" ht="18.75" customHeight="1" x14ac:dyDescent="0.35">
      <c r="T26979" s="246">
        <f t="shared" si="459"/>
        <v>0</v>
      </c>
    </row>
    <row r="26980" spans="20:20" ht="18.75" customHeight="1" x14ac:dyDescent="0.35">
      <c r="T26980" s="246">
        <f t="shared" si="459"/>
        <v>0</v>
      </c>
    </row>
    <row r="26981" spans="20:20" ht="18.75" customHeight="1" x14ac:dyDescent="0.35">
      <c r="T26981" s="246">
        <f t="shared" si="459"/>
        <v>0</v>
      </c>
    </row>
    <row r="26982" spans="20:20" ht="18.75" customHeight="1" x14ac:dyDescent="0.35">
      <c r="T26982" s="246">
        <f t="shared" si="459"/>
        <v>0</v>
      </c>
    </row>
    <row r="26983" spans="20:20" ht="18.75" customHeight="1" x14ac:dyDescent="0.35">
      <c r="T26983" s="246">
        <f t="shared" si="459"/>
        <v>0</v>
      </c>
    </row>
    <row r="26984" spans="20:20" ht="18.75" customHeight="1" x14ac:dyDescent="0.35">
      <c r="T26984" s="246">
        <f t="shared" si="459"/>
        <v>0</v>
      </c>
    </row>
    <row r="26985" spans="20:20" ht="18.75" customHeight="1" x14ac:dyDescent="0.35">
      <c r="T26985" s="246">
        <f t="shared" si="459"/>
        <v>0</v>
      </c>
    </row>
    <row r="26986" spans="20:20" ht="18.75" customHeight="1" x14ac:dyDescent="0.35">
      <c r="T26986" s="246">
        <f t="shared" si="459"/>
        <v>0</v>
      </c>
    </row>
    <row r="26987" spans="20:20" ht="18.75" customHeight="1" x14ac:dyDescent="0.35">
      <c r="T26987" s="246">
        <f t="shared" si="459"/>
        <v>0</v>
      </c>
    </row>
    <row r="26988" spans="20:20" ht="18.75" customHeight="1" x14ac:dyDescent="0.35">
      <c r="T26988" s="246">
        <f t="shared" si="459"/>
        <v>0</v>
      </c>
    </row>
    <row r="26989" spans="20:20" ht="18.75" customHeight="1" x14ac:dyDescent="0.35">
      <c r="T26989" s="246">
        <f t="shared" si="459"/>
        <v>0</v>
      </c>
    </row>
    <row r="26990" spans="20:20" ht="18.75" customHeight="1" x14ac:dyDescent="0.35">
      <c r="T26990" s="246">
        <f t="shared" si="459"/>
        <v>0</v>
      </c>
    </row>
    <row r="26991" spans="20:20" ht="18.75" customHeight="1" x14ac:dyDescent="0.35">
      <c r="T26991" s="246">
        <f t="shared" si="459"/>
        <v>0</v>
      </c>
    </row>
    <row r="26992" spans="20:20" ht="18.75" customHeight="1" x14ac:dyDescent="0.35">
      <c r="T26992" s="246">
        <f t="shared" si="459"/>
        <v>0</v>
      </c>
    </row>
    <row r="26993" spans="20:20" ht="18.75" customHeight="1" x14ac:dyDescent="0.35">
      <c r="T26993" s="246">
        <f t="shared" si="459"/>
        <v>0</v>
      </c>
    </row>
    <row r="26994" spans="20:20" ht="18.75" customHeight="1" x14ac:dyDescent="0.35">
      <c r="T26994" s="246">
        <f t="shared" si="459"/>
        <v>0</v>
      </c>
    </row>
    <row r="26995" spans="20:20" ht="18.75" customHeight="1" x14ac:dyDescent="0.35">
      <c r="T26995" s="246">
        <f t="shared" si="459"/>
        <v>0</v>
      </c>
    </row>
    <row r="26996" spans="20:20" ht="18.75" customHeight="1" x14ac:dyDescent="0.35">
      <c r="T26996" s="246">
        <f t="shared" si="459"/>
        <v>0</v>
      </c>
    </row>
    <row r="26997" spans="20:20" ht="18.75" customHeight="1" x14ac:dyDescent="0.35">
      <c r="T26997" s="246">
        <f t="shared" si="459"/>
        <v>0</v>
      </c>
    </row>
    <row r="26998" spans="20:20" ht="18.75" customHeight="1" x14ac:dyDescent="0.35">
      <c r="T26998" s="246">
        <f t="shared" si="459"/>
        <v>0</v>
      </c>
    </row>
    <row r="26999" spans="20:20" ht="18.75" customHeight="1" x14ac:dyDescent="0.35">
      <c r="T26999" s="246">
        <f t="shared" si="459"/>
        <v>0</v>
      </c>
    </row>
    <row r="27000" spans="20:20" ht="18.75" customHeight="1" x14ac:dyDescent="0.35">
      <c r="T27000" s="246">
        <f t="shared" si="459"/>
        <v>0</v>
      </c>
    </row>
    <row r="27001" spans="20:20" ht="18.75" customHeight="1" x14ac:dyDescent="0.35">
      <c r="T27001" s="246">
        <f t="shared" si="459"/>
        <v>0</v>
      </c>
    </row>
    <row r="27002" spans="20:20" ht="18.75" customHeight="1" x14ac:dyDescent="0.35">
      <c r="T27002" s="246">
        <f t="shared" si="459"/>
        <v>0</v>
      </c>
    </row>
    <row r="27003" spans="20:20" ht="18.75" customHeight="1" x14ac:dyDescent="0.35">
      <c r="T27003" s="246">
        <f t="shared" si="459"/>
        <v>0</v>
      </c>
    </row>
    <row r="27004" spans="20:20" ht="18.75" customHeight="1" x14ac:dyDescent="0.35">
      <c r="T27004" s="246">
        <f t="shared" ref="T27004:T27067" si="460">R27004*0.01</f>
        <v>0</v>
      </c>
    </row>
    <row r="27005" spans="20:20" ht="18.75" customHeight="1" x14ac:dyDescent="0.35">
      <c r="T27005" s="246">
        <f t="shared" si="460"/>
        <v>0</v>
      </c>
    </row>
    <row r="27006" spans="20:20" ht="18.75" customHeight="1" x14ac:dyDescent="0.35">
      <c r="T27006" s="246">
        <f t="shared" si="460"/>
        <v>0</v>
      </c>
    </row>
    <row r="27007" spans="20:20" ht="18.75" customHeight="1" x14ac:dyDescent="0.35">
      <c r="T27007" s="246">
        <f t="shared" si="460"/>
        <v>0</v>
      </c>
    </row>
    <row r="27008" spans="20:20" ht="18.75" customHeight="1" x14ac:dyDescent="0.35">
      <c r="T27008" s="246">
        <f t="shared" si="460"/>
        <v>0</v>
      </c>
    </row>
    <row r="27009" spans="20:20" ht="18.75" customHeight="1" x14ac:dyDescent="0.35">
      <c r="T27009" s="246">
        <f t="shared" si="460"/>
        <v>0</v>
      </c>
    </row>
    <row r="27010" spans="20:20" ht="18.75" customHeight="1" x14ac:dyDescent="0.35">
      <c r="T27010" s="246">
        <f t="shared" si="460"/>
        <v>0</v>
      </c>
    </row>
    <row r="27011" spans="20:20" ht="18.75" customHeight="1" x14ac:dyDescent="0.35">
      <c r="T27011" s="246">
        <f t="shared" si="460"/>
        <v>0</v>
      </c>
    </row>
    <row r="27012" spans="20:20" ht="18.75" customHeight="1" x14ac:dyDescent="0.35">
      <c r="T27012" s="246">
        <f t="shared" si="460"/>
        <v>0</v>
      </c>
    </row>
    <row r="27013" spans="20:20" ht="18.75" customHeight="1" x14ac:dyDescent="0.35">
      <c r="T27013" s="246">
        <f t="shared" si="460"/>
        <v>0</v>
      </c>
    </row>
    <row r="27014" spans="20:20" ht="18.75" customHeight="1" x14ac:dyDescent="0.35">
      <c r="T27014" s="246">
        <f t="shared" si="460"/>
        <v>0</v>
      </c>
    </row>
    <row r="27015" spans="20:20" ht="18.75" customHeight="1" x14ac:dyDescent="0.35">
      <c r="T27015" s="246">
        <f t="shared" si="460"/>
        <v>0</v>
      </c>
    </row>
    <row r="27016" spans="20:20" ht="18.75" customHeight="1" x14ac:dyDescent="0.35">
      <c r="T27016" s="246">
        <f t="shared" si="460"/>
        <v>0</v>
      </c>
    </row>
    <row r="27017" spans="20:20" ht="18.75" customHeight="1" x14ac:dyDescent="0.35">
      <c r="T27017" s="246">
        <f t="shared" si="460"/>
        <v>0</v>
      </c>
    </row>
    <row r="27018" spans="20:20" ht="18.75" customHeight="1" x14ac:dyDescent="0.35">
      <c r="T27018" s="246">
        <f t="shared" si="460"/>
        <v>0</v>
      </c>
    </row>
    <row r="27019" spans="20:20" ht="18.75" customHeight="1" x14ac:dyDescent="0.35">
      <c r="T27019" s="246">
        <f t="shared" si="460"/>
        <v>0</v>
      </c>
    </row>
    <row r="27020" spans="20:20" ht="18.75" customHeight="1" x14ac:dyDescent="0.35">
      <c r="T27020" s="246">
        <f t="shared" si="460"/>
        <v>0</v>
      </c>
    </row>
    <row r="27021" spans="20:20" ht="18.75" customHeight="1" x14ac:dyDescent="0.35">
      <c r="T27021" s="246">
        <f t="shared" si="460"/>
        <v>0</v>
      </c>
    </row>
    <row r="27022" spans="20:20" ht="18.75" customHeight="1" x14ac:dyDescent="0.35">
      <c r="T27022" s="246">
        <f t="shared" si="460"/>
        <v>0</v>
      </c>
    </row>
    <row r="27023" spans="20:20" ht="18.75" customHeight="1" x14ac:dyDescent="0.35">
      <c r="T27023" s="246">
        <f t="shared" si="460"/>
        <v>0</v>
      </c>
    </row>
    <row r="27024" spans="20:20" ht="18.75" customHeight="1" x14ac:dyDescent="0.35">
      <c r="T27024" s="246">
        <f t="shared" si="460"/>
        <v>0</v>
      </c>
    </row>
    <row r="27025" spans="20:20" ht="18.75" customHeight="1" x14ac:dyDescent="0.35">
      <c r="T27025" s="246">
        <f t="shared" si="460"/>
        <v>0</v>
      </c>
    </row>
    <row r="27026" spans="20:20" ht="18.75" customHeight="1" x14ac:dyDescent="0.35">
      <c r="T27026" s="246">
        <f t="shared" si="460"/>
        <v>0</v>
      </c>
    </row>
    <row r="27027" spans="20:20" ht="18.75" customHeight="1" x14ac:dyDescent="0.35">
      <c r="T27027" s="246">
        <f t="shared" si="460"/>
        <v>0</v>
      </c>
    </row>
    <row r="27028" spans="20:20" ht="18.75" customHeight="1" x14ac:dyDescent="0.35">
      <c r="T27028" s="246">
        <f t="shared" si="460"/>
        <v>0</v>
      </c>
    </row>
    <row r="27029" spans="20:20" ht="18.75" customHeight="1" x14ac:dyDescent="0.35">
      <c r="T27029" s="246">
        <f t="shared" si="460"/>
        <v>0</v>
      </c>
    </row>
    <row r="27030" spans="20:20" ht="18.75" customHeight="1" x14ac:dyDescent="0.35">
      <c r="T27030" s="246">
        <f t="shared" si="460"/>
        <v>0</v>
      </c>
    </row>
    <row r="27031" spans="20:20" ht="18.75" customHeight="1" x14ac:dyDescent="0.35">
      <c r="T27031" s="246">
        <f t="shared" si="460"/>
        <v>0</v>
      </c>
    </row>
    <row r="27032" spans="20:20" ht="18.75" customHeight="1" x14ac:dyDescent="0.35">
      <c r="T27032" s="246">
        <f t="shared" si="460"/>
        <v>0</v>
      </c>
    </row>
    <row r="27033" spans="20:20" ht="18.75" customHeight="1" x14ac:dyDescent="0.35">
      <c r="T27033" s="246">
        <f t="shared" si="460"/>
        <v>0</v>
      </c>
    </row>
    <row r="27034" spans="20:20" ht="18.75" customHeight="1" x14ac:dyDescent="0.35">
      <c r="T27034" s="246">
        <f t="shared" si="460"/>
        <v>0</v>
      </c>
    </row>
    <row r="27035" spans="20:20" ht="18.75" customHeight="1" x14ac:dyDescent="0.35">
      <c r="T27035" s="246">
        <f t="shared" si="460"/>
        <v>0</v>
      </c>
    </row>
    <row r="27036" spans="20:20" ht="18.75" customHeight="1" x14ac:dyDescent="0.35">
      <c r="T27036" s="246">
        <f t="shared" si="460"/>
        <v>0</v>
      </c>
    </row>
    <row r="27037" spans="20:20" ht="18.75" customHeight="1" x14ac:dyDescent="0.35">
      <c r="T27037" s="246">
        <f t="shared" si="460"/>
        <v>0</v>
      </c>
    </row>
    <row r="27038" spans="20:20" ht="18.75" customHeight="1" x14ac:dyDescent="0.35">
      <c r="T27038" s="246">
        <f t="shared" si="460"/>
        <v>0</v>
      </c>
    </row>
    <row r="27039" spans="20:20" ht="18.75" customHeight="1" x14ac:dyDescent="0.35">
      <c r="T27039" s="246">
        <f t="shared" si="460"/>
        <v>0</v>
      </c>
    </row>
    <row r="27040" spans="20:20" ht="18.75" customHeight="1" x14ac:dyDescent="0.35">
      <c r="T27040" s="246">
        <f t="shared" si="460"/>
        <v>0</v>
      </c>
    </row>
    <row r="27041" spans="20:20" ht="18.75" customHeight="1" x14ac:dyDescent="0.35">
      <c r="T27041" s="246">
        <f t="shared" si="460"/>
        <v>0</v>
      </c>
    </row>
    <row r="27042" spans="20:20" ht="18.75" customHeight="1" x14ac:dyDescent="0.35">
      <c r="T27042" s="246">
        <f t="shared" si="460"/>
        <v>0</v>
      </c>
    </row>
    <row r="27043" spans="20:20" ht="18.75" customHeight="1" x14ac:dyDescent="0.35">
      <c r="T27043" s="246">
        <f t="shared" si="460"/>
        <v>0</v>
      </c>
    </row>
    <row r="27044" spans="20:20" ht="18.75" customHeight="1" x14ac:dyDescent="0.35">
      <c r="T27044" s="246">
        <f t="shared" si="460"/>
        <v>0</v>
      </c>
    </row>
    <row r="27045" spans="20:20" ht="18.75" customHeight="1" x14ac:dyDescent="0.35">
      <c r="T27045" s="246">
        <f t="shared" si="460"/>
        <v>0</v>
      </c>
    </row>
    <row r="27046" spans="20:20" ht="18.75" customHeight="1" x14ac:dyDescent="0.35">
      <c r="T27046" s="246">
        <f t="shared" si="460"/>
        <v>0</v>
      </c>
    </row>
    <row r="27047" spans="20:20" ht="18.75" customHeight="1" x14ac:dyDescent="0.35">
      <c r="T27047" s="246">
        <f t="shared" si="460"/>
        <v>0</v>
      </c>
    </row>
    <row r="27048" spans="20:20" ht="18.75" customHeight="1" x14ac:dyDescent="0.35">
      <c r="T27048" s="246">
        <f t="shared" si="460"/>
        <v>0</v>
      </c>
    </row>
    <row r="27049" spans="20:20" ht="18.75" customHeight="1" x14ac:dyDescent="0.35">
      <c r="T27049" s="246">
        <f t="shared" si="460"/>
        <v>0</v>
      </c>
    </row>
    <row r="27050" spans="20:20" ht="18.75" customHeight="1" x14ac:dyDescent="0.35">
      <c r="T27050" s="246">
        <f t="shared" si="460"/>
        <v>0</v>
      </c>
    </row>
    <row r="27051" spans="20:20" ht="18.75" customHeight="1" x14ac:dyDescent="0.35">
      <c r="T27051" s="246">
        <f t="shared" si="460"/>
        <v>0</v>
      </c>
    </row>
    <row r="27052" spans="20:20" ht="18.75" customHeight="1" x14ac:dyDescent="0.35">
      <c r="T27052" s="246">
        <f t="shared" si="460"/>
        <v>0</v>
      </c>
    </row>
    <row r="27053" spans="20:20" ht="18.75" customHeight="1" x14ac:dyDescent="0.35">
      <c r="T27053" s="246">
        <f t="shared" si="460"/>
        <v>0</v>
      </c>
    </row>
    <row r="27054" spans="20:20" ht="18.75" customHeight="1" x14ac:dyDescent="0.35">
      <c r="T27054" s="246">
        <f t="shared" si="460"/>
        <v>0</v>
      </c>
    </row>
    <row r="27055" spans="20:20" ht="18.75" customHeight="1" x14ac:dyDescent="0.35">
      <c r="T27055" s="246">
        <f t="shared" si="460"/>
        <v>0</v>
      </c>
    </row>
    <row r="27056" spans="20:20" ht="18.75" customHeight="1" x14ac:dyDescent="0.35">
      <c r="T27056" s="246">
        <f t="shared" si="460"/>
        <v>0</v>
      </c>
    </row>
    <row r="27057" spans="20:20" ht="18.75" customHeight="1" x14ac:dyDescent="0.35">
      <c r="T27057" s="246">
        <f t="shared" si="460"/>
        <v>0</v>
      </c>
    </row>
    <row r="27058" spans="20:20" ht="18.75" customHeight="1" x14ac:dyDescent="0.35">
      <c r="T27058" s="246">
        <f t="shared" si="460"/>
        <v>0</v>
      </c>
    </row>
    <row r="27059" spans="20:20" ht="18.75" customHeight="1" x14ac:dyDescent="0.35">
      <c r="T27059" s="246">
        <f t="shared" si="460"/>
        <v>0</v>
      </c>
    </row>
    <row r="27060" spans="20:20" ht="18.75" customHeight="1" x14ac:dyDescent="0.35">
      <c r="T27060" s="246">
        <f t="shared" si="460"/>
        <v>0</v>
      </c>
    </row>
    <row r="27061" spans="20:20" ht="18.75" customHeight="1" x14ac:dyDescent="0.35">
      <c r="T27061" s="246">
        <f t="shared" si="460"/>
        <v>0</v>
      </c>
    </row>
    <row r="27062" spans="20:20" ht="18.75" customHeight="1" x14ac:dyDescent="0.35">
      <c r="T27062" s="246">
        <f t="shared" si="460"/>
        <v>0</v>
      </c>
    </row>
    <row r="27063" spans="20:20" ht="18.75" customHeight="1" x14ac:dyDescent="0.35">
      <c r="T27063" s="246">
        <f t="shared" si="460"/>
        <v>0</v>
      </c>
    </row>
    <row r="27064" spans="20:20" ht="18.75" customHeight="1" x14ac:dyDescent="0.35">
      <c r="T27064" s="246">
        <f t="shared" si="460"/>
        <v>0</v>
      </c>
    </row>
    <row r="27065" spans="20:20" ht="18.75" customHeight="1" x14ac:dyDescent="0.35">
      <c r="T27065" s="246">
        <f t="shared" si="460"/>
        <v>0</v>
      </c>
    </row>
    <row r="27066" spans="20:20" ht="18.75" customHeight="1" x14ac:dyDescent="0.35">
      <c r="T27066" s="246">
        <f t="shared" si="460"/>
        <v>0</v>
      </c>
    </row>
    <row r="27067" spans="20:20" ht="18.75" customHeight="1" x14ac:dyDescent="0.35">
      <c r="T27067" s="246">
        <f t="shared" si="460"/>
        <v>0</v>
      </c>
    </row>
    <row r="27068" spans="20:20" ht="18.75" customHeight="1" x14ac:dyDescent="0.35">
      <c r="T27068" s="246">
        <f t="shared" ref="T27068:T27131" si="461">R27068*0.01</f>
        <v>0</v>
      </c>
    </row>
    <row r="27069" spans="20:20" ht="18.75" customHeight="1" x14ac:dyDescent="0.35">
      <c r="T27069" s="246">
        <f t="shared" si="461"/>
        <v>0</v>
      </c>
    </row>
    <row r="27070" spans="20:20" ht="18.75" customHeight="1" x14ac:dyDescent="0.35">
      <c r="T27070" s="246">
        <f t="shared" si="461"/>
        <v>0</v>
      </c>
    </row>
    <row r="27071" spans="20:20" ht="18.75" customHeight="1" x14ac:dyDescent="0.35">
      <c r="T27071" s="246">
        <f t="shared" si="461"/>
        <v>0</v>
      </c>
    </row>
    <row r="27072" spans="20:20" ht="18.75" customHeight="1" x14ac:dyDescent="0.35">
      <c r="T27072" s="246">
        <f t="shared" si="461"/>
        <v>0</v>
      </c>
    </row>
    <row r="27073" spans="20:20" ht="18.75" customHeight="1" x14ac:dyDescent="0.35">
      <c r="T27073" s="246">
        <f t="shared" si="461"/>
        <v>0</v>
      </c>
    </row>
    <row r="27074" spans="20:20" ht="18.75" customHeight="1" x14ac:dyDescent="0.35">
      <c r="T27074" s="246">
        <f t="shared" si="461"/>
        <v>0</v>
      </c>
    </row>
    <row r="27075" spans="20:20" ht="18.75" customHeight="1" x14ac:dyDescent="0.35">
      <c r="T27075" s="246">
        <f t="shared" si="461"/>
        <v>0</v>
      </c>
    </row>
    <row r="27076" spans="20:20" ht="18.75" customHeight="1" x14ac:dyDescent="0.35">
      <c r="T27076" s="246">
        <f t="shared" si="461"/>
        <v>0</v>
      </c>
    </row>
    <row r="27077" spans="20:20" ht="18.75" customHeight="1" x14ac:dyDescent="0.35">
      <c r="T27077" s="246">
        <f t="shared" si="461"/>
        <v>0</v>
      </c>
    </row>
    <row r="27078" spans="20:20" ht="18.75" customHeight="1" x14ac:dyDescent="0.35">
      <c r="T27078" s="246">
        <f t="shared" si="461"/>
        <v>0</v>
      </c>
    </row>
    <row r="27079" spans="20:20" ht="18.75" customHeight="1" x14ac:dyDescent="0.35">
      <c r="T27079" s="246">
        <f t="shared" si="461"/>
        <v>0</v>
      </c>
    </row>
    <row r="27080" spans="20:20" ht="18.75" customHeight="1" x14ac:dyDescent="0.35">
      <c r="T27080" s="246">
        <f t="shared" si="461"/>
        <v>0</v>
      </c>
    </row>
    <row r="27081" spans="20:20" ht="18.75" customHeight="1" x14ac:dyDescent="0.35">
      <c r="T27081" s="246">
        <f t="shared" si="461"/>
        <v>0</v>
      </c>
    </row>
    <row r="27082" spans="20:20" ht="18.75" customHeight="1" x14ac:dyDescent="0.35">
      <c r="T27082" s="246">
        <f t="shared" si="461"/>
        <v>0</v>
      </c>
    </row>
    <row r="27083" spans="20:20" ht="18.75" customHeight="1" x14ac:dyDescent="0.35">
      <c r="T27083" s="246">
        <f t="shared" si="461"/>
        <v>0</v>
      </c>
    </row>
    <row r="27084" spans="20:20" ht="18.75" customHeight="1" x14ac:dyDescent="0.35">
      <c r="T27084" s="246">
        <f t="shared" si="461"/>
        <v>0</v>
      </c>
    </row>
    <row r="27085" spans="20:20" ht="18.75" customHeight="1" x14ac:dyDescent="0.35">
      <c r="T27085" s="246">
        <f t="shared" si="461"/>
        <v>0</v>
      </c>
    </row>
    <row r="27086" spans="20:20" ht="18.75" customHeight="1" x14ac:dyDescent="0.35">
      <c r="T27086" s="246">
        <f t="shared" si="461"/>
        <v>0</v>
      </c>
    </row>
    <row r="27087" spans="20:20" ht="18.75" customHeight="1" x14ac:dyDescent="0.35">
      <c r="T27087" s="246">
        <f t="shared" si="461"/>
        <v>0</v>
      </c>
    </row>
    <row r="27088" spans="20:20" ht="18.75" customHeight="1" x14ac:dyDescent="0.35">
      <c r="T27088" s="246">
        <f t="shared" si="461"/>
        <v>0</v>
      </c>
    </row>
    <row r="27089" spans="20:20" ht="18.75" customHeight="1" x14ac:dyDescent="0.35">
      <c r="T27089" s="246">
        <f t="shared" si="461"/>
        <v>0</v>
      </c>
    </row>
    <row r="27090" spans="20:20" ht="18.75" customHeight="1" x14ac:dyDescent="0.35">
      <c r="T27090" s="246">
        <f t="shared" si="461"/>
        <v>0</v>
      </c>
    </row>
    <row r="27091" spans="20:20" ht="18.75" customHeight="1" x14ac:dyDescent="0.35">
      <c r="T27091" s="246">
        <f t="shared" si="461"/>
        <v>0</v>
      </c>
    </row>
    <row r="27092" spans="20:20" ht="18.75" customHeight="1" x14ac:dyDescent="0.35">
      <c r="T27092" s="246">
        <f t="shared" si="461"/>
        <v>0</v>
      </c>
    </row>
    <row r="27093" spans="20:20" ht="18.75" customHeight="1" x14ac:dyDescent="0.35">
      <c r="T27093" s="246">
        <f t="shared" si="461"/>
        <v>0</v>
      </c>
    </row>
    <row r="27094" spans="20:20" ht="18.75" customHeight="1" x14ac:dyDescent="0.35">
      <c r="T27094" s="246">
        <f t="shared" si="461"/>
        <v>0</v>
      </c>
    </row>
    <row r="27095" spans="20:20" ht="18.75" customHeight="1" x14ac:dyDescent="0.35">
      <c r="T27095" s="246">
        <f t="shared" si="461"/>
        <v>0</v>
      </c>
    </row>
    <row r="27096" spans="20:20" ht="18.75" customHeight="1" x14ac:dyDescent="0.35">
      <c r="T27096" s="246">
        <f t="shared" si="461"/>
        <v>0</v>
      </c>
    </row>
    <row r="27097" spans="20:20" ht="18.75" customHeight="1" x14ac:dyDescent="0.35">
      <c r="T27097" s="246">
        <f t="shared" si="461"/>
        <v>0</v>
      </c>
    </row>
    <row r="27098" spans="20:20" ht="18.75" customHeight="1" x14ac:dyDescent="0.35">
      <c r="T27098" s="246">
        <f t="shared" si="461"/>
        <v>0</v>
      </c>
    </row>
    <row r="27099" spans="20:20" ht="18.75" customHeight="1" x14ac:dyDescent="0.35">
      <c r="T27099" s="246">
        <f t="shared" si="461"/>
        <v>0</v>
      </c>
    </row>
    <row r="27100" spans="20:20" ht="18.75" customHeight="1" x14ac:dyDescent="0.35">
      <c r="T27100" s="246">
        <f t="shared" si="461"/>
        <v>0</v>
      </c>
    </row>
    <row r="27101" spans="20:20" ht="18.75" customHeight="1" x14ac:dyDescent="0.35">
      <c r="T27101" s="246">
        <f t="shared" si="461"/>
        <v>0</v>
      </c>
    </row>
    <row r="27102" spans="20:20" ht="18.75" customHeight="1" x14ac:dyDescent="0.35">
      <c r="T27102" s="246">
        <f t="shared" si="461"/>
        <v>0</v>
      </c>
    </row>
    <row r="27103" spans="20:20" ht="18.75" customHeight="1" x14ac:dyDescent="0.35">
      <c r="T27103" s="246">
        <f t="shared" si="461"/>
        <v>0</v>
      </c>
    </row>
    <row r="27104" spans="20:20" ht="18.75" customHeight="1" x14ac:dyDescent="0.35">
      <c r="T27104" s="246">
        <f t="shared" si="461"/>
        <v>0</v>
      </c>
    </row>
    <row r="27105" spans="20:20" ht="18.75" customHeight="1" x14ac:dyDescent="0.35">
      <c r="T27105" s="246">
        <f t="shared" si="461"/>
        <v>0</v>
      </c>
    </row>
    <row r="27106" spans="20:20" ht="18.75" customHeight="1" x14ac:dyDescent="0.35">
      <c r="T27106" s="246">
        <f t="shared" si="461"/>
        <v>0</v>
      </c>
    </row>
    <row r="27107" spans="20:20" ht="18.75" customHeight="1" x14ac:dyDescent="0.35">
      <c r="T27107" s="246">
        <f t="shared" si="461"/>
        <v>0</v>
      </c>
    </row>
    <row r="27108" spans="20:20" ht="18.75" customHeight="1" x14ac:dyDescent="0.35">
      <c r="T27108" s="246">
        <f t="shared" si="461"/>
        <v>0</v>
      </c>
    </row>
    <row r="27109" spans="20:20" ht="18.75" customHeight="1" x14ac:dyDescent="0.35">
      <c r="T27109" s="246">
        <f t="shared" si="461"/>
        <v>0</v>
      </c>
    </row>
    <row r="27110" spans="20:20" ht="18.75" customHeight="1" x14ac:dyDescent="0.35">
      <c r="T27110" s="246">
        <f t="shared" si="461"/>
        <v>0</v>
      </c>
    </row>
    <row r="27111" spans="20:20" ht="18.75" customHeight="1" x14ac:dyDescent="0.35">
      <c r="T27111" s="246">
        <f t="shared" si="461"/>
        <v>0</v>
      </c>
    </row>
    <row r="27112" spans="20:20" ht="18.75" customHeight="1" x14ac:dyDescent="0.35">
      <c r="T27112" s="246">
        <f t="shared" si="461"/>
        <v>0</v>
      </c>
    </row>
    <row r="27113" spans="20:20" ht="18.75" customHeight="1" x14ac:dyDescent="0.35">
      <c r="T27113" s="246">
        <f t="shared" si="461"/>
        <v>0</v>
      </c>
    </row>
    <row r="27114" spans="20:20" ht="18.75" customHeight="1" x14ac:dyDescent="0.35">
      <c r="T27114" s="246">
        <f t="shared" si="461"/>
        <v>0</v>
      </c>
    </row>
    <row r="27115" spans="20:20" ht="18.75" customHeight="1" x14ac:dyDescent="0.35">
      <c r="T27115" s="246">
        <f t="shared" si="461"/>
        <v>0</v>
      </c>
    </row>
    <row r="27116" spans="20:20" ht="18.75" customHeight="1" x14ac:dyDescent="0.35">
      <c r="T27116" s="246">
        <f t="shared" si="461"/>
        <v>0</v>
      </c>
    </row>
    <row r="27117" spans="20:20" ht="18.75" customHeight="1" x14ac:dyDescent="0.35">
      <c r="T27117" s="246">
        <f t="shared" si="461"/>
        <v>0</v>
      </c>
    </row>
    <row r="27118" spans="20:20" ht="18.75" customHeight="1" x14ac:dyDescent="0.35">
      <c r="T27118" s="246">
        <f t="shared" si="461"/>
        <v>0</v>
      </c>
    </row>
    <row r="27119" spans="20:20" ht="18.75" customHeight="1" x14ac:dyDescent="0.35">
      <c r="T27119" s="246">
        <f t="shared" si="461"/>
        <v>0</v>
      </c>
    </row>
    <row r="27120" spans="20:20" ht="18.75" customHeight="1" x14ac:dyDescent="0.35">
      <c r="T27120" s="246">
        <f t="shared" si="461"/>
        <v>0</v>
      </c>
    </row>
    <row r="27121" spans="20:20" ht="18.75" customHeight="1" x14ac:dyDescent="0.35">
      <c r="T27121" s="246">
        <f t="shared" si="461"/>
        <v>0</v>
      </c>
    </row>
    <row r="27122" spans="20:20" ht="18.75" customHeight="1" x14ac:dyDescent="0.35">
      <c r="T27122" s="246">
        <f t="shared" si="461"/>
        <v>0</v>
      </c>
    </row>
    <row r="27123" spans="20:20" ht="18.75" customHeight="1" x14ac:dyDescent="0.35">
      <c r="T27123" s="246">
        <f t="shared" si="461"/>
        <v>0</v>
      </c>
    </row>
    <row r="27124" spans="20:20" ht="18.75" customHeight="1" x14ac:dyDescent="0.35">
      <c r="T27124" s="246">
        <f t="shared" si="461"/>
        <v>0</v>
      </c>
    </row>
    <row r="27125" spans="20:20" ht="18.75" customHeight="1" x14ac:dyDescent="0.35">
      <c r="T27125" s="246">
        <f t="shared" si="461"/>
        <v>0</v>
      </c>
    </row>
    <row r="27126" spans="20:20" ht="18.75" customHeight="1" x14ac:dyDescent="0.35">
      <c r="T27126" s="246">
        <f t="shared" si="461"/>
        <v>0</v>
      </c>
    </row>
    <row r="27127" spans="20:20" ht="18.75" customHeight="1" x14ac:dyDescent="0.35">
      <c r="T27127" s="246">
        <f t="shared" si="461"/>
        <v>0</v>
      </c>
    </row>
    <row r="27128" spans="20:20" ht="18.75" customHeight="1" x14ac:dyDescent="0.35">
      <c r="T27128" s="246">
        <f t="shared" si="461"/>
        <v>0</v>
      </c>
    </row>
    <row r="27129" spans="20:20" ht="18.75" customHeight="1" x14ac:dyDescent="0.35">
      <c r="T27129" s="246">
        <f t="shared" si="461"/>
        <v>0</v>
      </c>
    </row>
    <row r="27130" spans="20:20" ht="18.75" customHeight="1" x14ac:dyDescent="0.35">
      <c r="T27130" s="246">
        <f t="shared" si="461"/>
        <v>0</v>
      </c>
    </row>
    <row r="27131" spans="20:20" ht="18.75" customHeight="1" x14ac:dyDescent="0.35">
      <c r="T27131" s="246">
        <f t="shared" si="461"/>
        <v>0</v>
      </c>
    </row>
    <row r="27132" spans="20:20" ht="18.75" customHeight="1" x14ac:dyDescent="0.35">
      <c r="T27132" s="246">
        <f t="shared" ref="T27132:T27195" si="462">R27132*0.01</f>
        <v>0</v>
      </c>
    </row>
    <row r="27133" spans="20:20" ht="18.75" customHeight="1" x14ac:dyDescent="0.35">
      <c r="T27133" s="246">
        <f t="shared" si="462"/>
        <v>0</v>
      </c>
    </row>
    <row r="27134" spans="20:20" ht="18.75" customHeight="1" x14ac:dyDescent="0.35">
      <c r="T27134" s="246">
        <f t="shared" si="462"/>
        <v>0</v>
      </c>
    </row>
    <row r="27135" spans="20:20" ht="18.75" customHeight="1" x14ac:dyDescent="0.35">
      <c r="T27135" s="246">
        <f t="shared" si="462"/>
        <v>0</v>
      </c>
    </row>
    <row r="27136" spans="20:20" ht="18.75" customHeight="1" x14ac:dyDescent="0.35">
      <c r="T27136" s="246">
        <f t="shared" si="462"/>
        <v>0</v>
      </c>
    </row>
    <row r="27137" spans="20:20" ht="18.75" customHeight="1" x14ac:dyDescent="0.35">
      <c r="T27137" s="246">
        <f t="shared" si="462"/>
        <v>0</v>
      </c>
    </row>
    <row r="27138" spans="20:20" ht="18.75" customHeight="1" x14ac:dyDescent="0.35">
      <c r="T27138" s="246">
        <f t="shared" si="462"/>
        <v>0</v>
      </c>
    </row>
    <row r="27139" spans="20:20" ht="18.75" customHeight="1" x14ac:dyDescent="0.35">
      <c r="T27139" s="246">
        <f t="shared" si="462"/>
        <v>0</v>
      </c>
    </row>
    <row r="27140" spans="20:20" ht="18.75" customHeight="1" x14ac:dyDescent="0.35">
      <c r="T27140" s="246">
        <f t="shared" si="462"/>
        <v>0</v>
      </c>
    </row>
    <row r="27141" spans="20:20" ht="18.75" customHeight="1" x14ac:dyDescent="0.35">
      <c r="T27141" s="246">
        <f t="shared" si="462"/>
        <v>0</v>
      </c>
    </row>
    <row r="27142" spans="20:20" ht="18.75" customHeight="1" x14ac:dyDescent="0.35">
      <c r="T27142" s="246">
        <f t="shared" si="462"/>
        <v>0</v>
      </c>
    </row>
    <row r="27143" spans="20:20" ht="18.75" customHeight="1" x14ac:dyDescent="0.35">
      <c r="T27143" s="246">
        <f t="shared" si="462"/>
        <v>0</v>
      </c>
    </row>
    <row r="27144" spans="20:20" ht="18.75" customHeight="1" x14ac:dyDescent="0.35">
      <c r="T27144" s="246">
        <f t="shared" si="462"/>
        <v>0</v>
      </c>
    </row>
    <row r="27145" spans="20:20" ht="18.75" customHeight="1" x14ac:dyDescent="0.35">
      <c r="T27145" s="246">
        <f t="shared" si="462"/>
        <v>0</v>
      </c>
    </row>
    <row r="27146" spans="20:20" ht="18.75" customHeight="1" x14ac:dyDescent="0.35">
      <c r="T27146" s="246">
        <f t="shared" si="462"/>
        <v>0</v>
      </c>
    </row>
    <row r="27147" spans="20:20" ht="18.75" customHeight="1" x14ac:dyDescent="0.35">
      <c r="T27147" s="246">
        <f t="shared" si="462"/>
        <v>0</v>
      </c>
    </row>
    <row r="27148" spans="20:20" ht="18.75" customHeight="1" x14ac:dyDescent="0.35">
      <c r="T27148" s="246">
        <f t="shared" si="462"/>
        <v>0</v>
      </c>
    </row>
    <row r="27149" spans="20:20" ht="18.75" customHeight="1" x14ac:dyDescent="0.35">
      <c r="T27149" s="246">
        <f t="shared" si="462"/>
        <v>0</v>
      </c>
    </row>
    <row r="27150" spans="20:20" ht="18.75" customHeight="1" x14ac:dyDescent="0.35">
      <c r="T27150" s="246">
        <f t="shared" si="462"/>
        <v>0</v>
      </c>
    </row>
    <row r="27151" spans="20:20" ht="18.75" customHeight="1" x14ac:dyDescent="0.35">
      <c r="T27151" s="246">
        <f t="shared" si="462"/>
        <v>0</v>
      </c>
    </row>
    <row r="27152" spans="20:20" ht="18.75" customHeight="1" x14ac:dyDescent="0.35">
      <c r="T27152" s="246">
        <f t="shared" si="462"/>
        <v>0</v>
      </c>
    </row>
    <row r="27153" spans="20:20" ht="18.75" customHeight="1" x14ac:dyDescent="0.35">
      <c r="T27153" s="246">
        <f t="shared" si="462"/>
        <v>0</v>
      </c>
    </row>
    <row r="27154" spans="20:20" ht="18.75" customHeight="1" x14ac:dyDescent="0.35">
      <c r="T27154" s="246">
        <f t="shared" si="462"/>
        <v>0</v>
      </c>
    </row>
    <row r="27155" spans="20:20" ht="18.75" customHeight="1" x14ac:dyDescent="0.35">
      <c r="T27155" s="246">
        <f t="shared" si="462"/>
        <v>0</v>
      </c>
    </row>
    <row r="27156" spans="20:20" ht="18.75" customHeight="1" x14ac:dyDescent="0.35">
      <c r="T27156" s="246">
        <f t="shared" si="462"/>
        <v>0</v>
      </c>
    </row>
    <row r="27157" spans="20:20" ht="18.75" customHeight="1" x14ac:dyDescent="0.35">
      <c r="T27157" s="246">
        <f t="shared" si="462"/>
        <v>0</v>
      </c>
    </row>
    <row r="27158" spans="20:20" ht="18.75" customHeight="1" x14ac:dyDescent="0.35">
      <c r="T27158" s="246">
        <f t="shared" si="462"/>
        <v>0</v>
      </c>
    </row>
    <row r="27159" spans="20:20" ht="18.75" customHeight="1" x14ac:dyDescent="0.35">
      <c r="T27159" s="246">
        <f t="shared" si="462"/>
        <v>0</v>
      </c>
    </row>
    <row r="27160" spans="20:20" ht="18.75" customHeight="1" x14ac:dyDescent="0.35">
      <c r="T27160" s="246">
        <f t="shared" si="462"/>
        <v>0</v>
      </c>
    </row>
    <row r="27161" spans="20:20" ht="18.75" customHeight="1" x14ac:dyDescent="0.35">
      <c r="T27161" s="246">
        <f t="shared" si="462"/>
        <v>0</v>
      </c>
    </row>
    <row r="27162" spans="20:20" ht="18.75" customHeight="1" x14ac:dyDescent="0.35">
      <c r="T27162" s="246">
        <f t="shared" si="462"/>
        <v>0</v>
      </c>
    </row>
    <row r="27163" spans="20:20" ht="18.75" customHeight="1" x14ac:dyDescent="0.35">
      <c r="T27163" s="246">
        <f t="shared" si="462"/>
        <v>0</v>
      </c>
    </row>
    <row r="27164" spans="20:20" ht="18.75" customHeight="1" x14ac:dyDescent="0.35">
      <c r="T27164" s="246">
        <f t="shared" si="462"/>
        <v>0</v>
      </c>
    </row>
    <row r="27165" spans="20:20" ht="18.75" customHeight="1" x14ac:dyDescent="0.35">
      <c r="T27165" s="246">
        <f t="shared" si="462"/>
        <v>0</v>
      </c>
    </row>
    <row r="27166" spans="20:20" ht="18.75" customHeight="1" x14ac:dyDescent="0.35">
      <c r="T27166" s="246">
        <f t="shared" si="462"/>
        <v>0</v>
      </c>
    </row>
    <row r="27167" spans="20:20" ht="18.75" customHeight="1" x14ac:dyDescent="0.35">
      <c r="T27167" s="246">
        <f t="shared" si="462"/>
        <v>0</v>
      </c>
    </row>
    <row r="27168" spans="20:20" ht="18.75" customHeight="1" x14ac:dyDescent="0.35">
      <c r="T27168" s="246">
        <f t="shared" si="462"/>
        <v>0</v>
      </c>
    </row>
    <row r="27169" spans="20:20" ht="18.75" customHeight="1" x14ac:dyDescent="0.35">
      <c r="T27169" s="246">
        <f t="shared" si="462"/>
        <v>0</v>
      </c>
    </row>
    <row r="27170" spans="20:20" ht="18.75" customHeight="1" x14ac:dyDescent="0.35">
      <c r="T27170" s="246">
        <f t="shared" si="462"/>
        <v>0</v>
      </c>
    </row>
    <row r="27171" spans="20:20" ht="18.75" customHeight="1" x14ac:dyDescent="0.35">
      <c r="T27171" s="246">
        <f t="shared" si="462"/>
        <v>0</v>
      </c>
    </row>
    <row r="27172" spans="20:20" ht="18.75" customHeight="1" x14ac:dyDescent="0.35">
      <c r="T27172" s="246">
        <f t="shared" si="462"/>
        <v>0</v>
      </c>
    </row>
    <row r="27173" spans="20:20" ht="18.75" customHeight="1" x14ac:dyDescent="0.35">
      <c r="T27173" s="246">
        <f t="shared" si="462"/>
        <v>0</v>
      </c>
    </row>
    <row r="27174" spans="20:20" ht="18.75" customHeight="1" x14ac:dyDescent="0.35">
      <c r="T27174" s="246">
        <f t="shared" si="462"/>
        <v>0</v>
      </c>
    </row>
    <row r="27175" spans="20:20" ht="18.75" customHeight="1" x14ac:dyDescent="0.35">
      <c r="T27175" s="246">
        <f t="shared" si="462"/>
        <v>0</v>
      </c>
    </row>
    <row r="27176" spans="20:20" ht="18.75" customHeight="1" x14ac:dyDescent="0.35">
      <c r="T27176" s="246">
        <f t="shared" si="462"/>
        <v>0</v>
      </c>
    </row>
    <row r="27177" spans="20:20" ht="18.75" customHeight="1" x14ac:dyDescent="0.35">
      <c r="T27177" s="246">
        <f t="shared" si="462"/>
        <v>0</v>
      </c>
    </row>
    <row r="27178" spans="20:20" ht="18.75" customHeight="1" x14ac:dyDescent="0.35">
      <c r="T27178" s="246">
        <f t="shared" si="462"/>
        <v>0</v>
      </c>
    </row>
    <row r="27179" spans="20:20" ht="18.75" customHeight="1" x14ac:dyDescent="0.35">
      <c r="T27179" s="246">
        <f t="shared" si="462"/>
        <v>0</v>
      </c>
    </row>
    <row r="27180" spans="20:20" ht="18.75" customHeight="1" x14ac:dyDescent="0.35">
      <c r="T27180" s="246">
        <f t="shared" si="462"/>
        <v>0</v>
      </c>
    </row>
    <row r="27181" spans="20:20" ht="18.75" customHeight="1" x14ac:dyDescent="0.35">
      <c r="T27181" s="246">
        <f t="shared" si="462"/>
        <v>0</v>
      </c>
    </row>
    <row r="27182" spans="20:20" ht="18.75" customHeight="1" x14ac:dyDescent="0.35">
      <c r="T27182" s="246">
        <f t="shared" si="462"/>
        <v>0</v>
      </c>
    </row>
    <row r="27183" spans="20:20" ht="18.75" customHeight="1" x14ac:dyDescent="0.35">
      <c r="T27183" s="246">
        <f t="shared" si="462"/>
        <v>0</v>
      </c>
    </row>
    <row r="27184" spans="20:20" ht="18.75" customHeight="1" x14ac:dyDescent="0.35">
      <c r="T27184" s="246">
        <f t="shared" si="462"/>
        <v>0</v>
      </c>
    </row>
    <row r="27185" spans="20:20" ht="18.75" customHeight="1" x14ac:dyDescent="0.35">
      <c r="T27185" s="246">
        <f t="shared" si="462"/>
        <v>0</v>
      </c>
    </row>
    <row r="27186" spans="20:20" ht="18.75" customHeight="1" x14ac:dyDescent="0.35">
      <c r="T27186" s="246">
        <f t="shared" si="462"/>
        <v>0</v>
      </c>
    </row>
    <row r="27187" spans="20:20" ht="18.75" customHeight="1" x14ac:dyDescent="0.35">
      <c r="T27187" s="246">
        <f t="shared" si="462"/>
        <v>0</v>
      </c>
    </row>
    <row r="27188" spans="20:20" ht="18.75" customHeight="1" x14ac:dyDescent="0.35">
      <c r="T27188" s="246">
        <f t="shared" si="462"/>
        <v>0</v>
      </c>
    </row>
    <row r="27189" spans="20:20" ht="18.75" customHeight="1" x14ac:dyDescent="0.35">
      <c r="T27189" s="246">
        <f t="shared" si="462"/>
        <v>0</v>
      </c>
    </row>
    <row r="27190" spans="20:20" ht="18.75" customHeight="1" x14ac:dyDescent="0.35">
      <c r="T27190" s="246">
        <f t="shared" si="462"/>
        <v>0</v>
      </c>
    </row>
    <row r="27191" spans="20:20" ht="18.75" customHeight="1" x14ac:dyDescent="0.35">
      <c r="T27191" s="246">
        <f t="shared" si="462"/>
        <v>0</v>
      </c>
    </row>
    <row r="27192" spans="20:20" ht="18.75" customHeight="1" x14ac:dyDescent="0.35">
      <c r="T27192" s="246">
        <f t="shared" si="462"/>
        <v>0</v>
      </c>
    </row>
    <row r="27193" spans="20:20" ht="18.75" customHeight="1" x14ac:dyDescent="0.35">
      <c r="T27193" s="246">
        <f t="shared" si="462"/>
        <v>0</v>
      </c>
    </row>
    <row r="27194" spans="20:20" ht="18.75" customHeight="1" x14ac:dyDescent="0.35">
      <c r="T27194" s="246">
        <f t="shared" si="462"/>
        <v>0</v>
      </c>
    </row>
    <row r="27195" spans="20:20" ht="18.75" customHeight="1" x14ac:dyDescent="0.35">
      <c r="T27195" s="246">
        <f t="shared" si="462"/>
        <v>0</v>
      </c>
    </row>
    <row r="27196" spans="20:20" ht="18.75" customHeight="1" x14ac:dyDescent="0.35">
      <c r="T27196" s="246">
        <f t="shared" ref="T27196:T27259" si="463">R27196*0.01</f>
        <v>0</v>
      </c>
    </row>
    <row r="27197" spans="20:20" ht="18.75" customHeight="1" x14ac:dyDescent="0.35">
      <c r="T27197" s="246">
        <f t="shared" si="463"/>
        <v>0</v>
      </c>
    </row>
    <row r="27198" spans="20:20" ht="18.75" customHeight="1" x14ac:dyDescent="0.35">
      <c r="T27198" s="246">
        <f t="shared" si="463"/>
        <v>0</v>
      </c>
    </row>
    <row r="27199" spans="20:20" ht="18.75" customHeight="1" x14ac:dyDescent="0.35">
      <c r="T27199" s="246">
        <f t="shared" si="463"/>
        <v>0</v>
      </c>
    </row>
    <row r="27200" spans="20:20" ht="18.75" customHeight="1" x14ac:dyDescent="0.35">
      <c r="T27200" s="246">
        <f t="shared" si="463"/>
        <v>0</v>
      </c>
    </row>
    <row r="27201" spans="20:20" ht="18.75" customHeight="1" x14ac:dyDescent="0.35">
      <c r="T27201" s="246">
        <f t="shared" si="463"/>
        <v>0</v>
      </c>
    </row>
    <row r="27202" spans="20:20" ht="18.75" customHeight="1" x14ac:dyDescent="0.35">
      <c r="T27202" s="246">
        <f t="shared" si="463"/>
        <v>0</v>
      </c>
    </row>
    <row r="27203" spans="20:20" ht="18.75" customHeight="1" x14ac:dyDescent="0.35">
      <c r="T27203" s="246">
        <f t="shared" si="463"/>
        <v>0</v>
      </c>
    </row>
    <row r="27204" spans="20:20" ht="18.75" customHeight="1" x14ac:dyDescent="0.35">
      <c r="T27204" s="246">
        <f t="shared" si="463"/>
        <v>0</v>
      </c>
    </row>
    <row r="27205" spans="20:20" ht="18.75" customHeight="1" x14ac:dyDescent="0.35">
      <c r="T27205" s="246">
        <f t="shared" si="463"/>
        <v>0</v>
      </c>
    </row>
    <row r="27206" spans="20:20" ht="18.75" customHeight="1" x14ac:dyDescent="0.35">
      <c r="T27206" s="246">
        <f t="shared" si="463"/>
        <v>0</v>
      </c>
    </row>
    <row r="27207" spans="20:20" ht="18.75" customHeight="1" x14ac:dyDescent="0.35">
      <c r="T27207" s="246">
        <f t="shared" si="463"/>
        <v>0</v>
      </c>
    </row>
    <row r="27208" spans="20:20" ht="18.75" customHeight="1" x14ac:dyDescent="0.35">
      <c r="T27208" s="246">
        <f t="shared" si="463"/>
        <v>0</v>
      </c>
    </row>
    <row r="27209" spans="20:20" ht="18.75" customHeight="1" x14ac:dyDescent="0.35">
      <c r="T27209" s="246">
        <f t="shared" si="463"/>
        <v>0</v>
      </c>
    </row>
    <row r="27210" spans="20:20" ht="18.75" customHeight="1" x14ac:dyDescent="0.35">
      <c r="T27210" s="246">
        <f t="shared" si="463"/>
        <v>0</v>
      </c>
    </row>
    <row r="27211" spans="20:20" ht="18.75" customHeight="1" x14ac:dyDescent="0.35">
      <c r="T27211" s="246">
        <f t="shared" si="463"/>
        <v>0</v>
      </c>
    </row>
    <row r="27212" spans="20:20" ht="18.75" customHeight="1" x14ac:dyDescent="0.35">
      <c r="T27212" s="246">
        <f t="shared" si="463"/>
        <v>0</v>
      </c>
    </row>
    <row r="27213" spans="20:20" ht="18.75" customHeight="1" x14ac:dyDescent="0.35">
      <c r="T27213" s="246">
        <f t="shared" si="463"/>
        <v>0</v>
      </c>
    </row>
    <row r="27214" spans="20:20" ht="18.75" customHeight="1" x14ac:dyDescent="0.35">
      <c r="T27214" s="246">
        <f t="shared" si="463"/>
        <v>0</v>
      </c>
    </row>
    <row r="27215" spans="20:20" ht="18.75" customHeight="1" x14ac:dyDescent="0.35">
      <c r="T27215" s="246">
        <f t="shared" si="463"/>
        <v>0</v>
      </c>
    </row>
    <row r="27216" spans="20:20" ht="18.75" customHeight="1" x14ac:dyDescent="0.35">
      <c r="T27216" s="246">
        <f t="shared" si="463"/>
        <v>0</v>
      </c>
    </row>
    <row r="27217" spans="20:20" ht="18.75" customHeight="1" x14ac:dyDescent="0.35">
      <c r="T27217" s="246">
        <f t="shared" si="463"/>
        <v>0</v>
      </c>
    </row>
    <row r="27218" spans="20:20" ht="18.75" customHeight="1" x14ac:dyDescent="0.35">
      <c r="T27218" s="246">
        <f t="shared" si="463"/>
        <v>0</v>
      </c>
    </row>
    <row r="27219" spans="20:20" ht="18.75" customHeight="1" x14ac:dyDescent="0.35">
      <c r="T27219" s="246">
        <f t="shared" si="463"/>
        <v>0</v>
      </c>
    </row>
    <row r="27220" spans="20:20" ht="18.75" customHeight="1" x14ac:dyDescent="0.35">
      <c r="T27220" s="246">
        <f t="shared" si="463"/>
        <v>0</v>
      </c>
    </row>
    <row r="27221" spans="20:20" ht="18.75" customHeight="1" x14ac:dyDescent="0.35">
      <c r="T27221" s="246">
        <f t="shared" si="463"/>
        <v>0</v>
      </c>
    </row>
    <row r="27222" spans="20:20" ht="18.75" customHeight="1" x14ac:dyDescent="0.35">
      <c r="T27222" s="246">
        <f t="shared" si="463"/>
        <v>0</v>
      </c>
    </row>
    <row r="27223" spans="20:20" ht="18.75" customHeight="1" x14ac:dyDescent="0.35">
      <c r="T27223" s="246">
        <f t="shared" si="463"/>
        <v>0</v>
      </c>
    </row>
    <row r="27224" spans="20:20" ht="18.75" customHeight="1" x14ac:dyDescent="0.35">
      <c r="T27224" s="246">
        <f t="shared" si="463"/>
        <v>0</v>
      </c>
    </row>
    <row r="27225" spans="20:20" ht="18.75" customHeight="1" x14ac:dyDescent="0.35">
      <c r="T27225" s="246">
        <f t="shared" si="463"/>
        <v>0</v>
      </c>
    </row>
    <row r="27226" spans="20:20" ht="18.75" customHeight="1" x14ac:dyDescent="0.35">
      <c r="T27226" s="246">
        <f t="shared" si="463"/>
        <v>0</v>
      </c>
    </row>
    <row r="27227" spans="20:20" ht="18.75" customHeight="1" x14ac:dyDescent="0.35">
      <c r="T27227" s="246">
        <f t="shared" si="463"/>
        <v>0</v>
      </c>
    </row>
    <row r="27228" spans="20:20" ht="18.75" customHeight="1" x14ac:dyDescent="0.35">
      <c r="T27228" s="246">
        <f t="shared" si="463"/>
        <v>0</v>
      </c>
    </row>
    <row r="27229" spans="20:20" ht="18.75" customHeight="1" x14ac:dyDescent="0.35">
      <c r="T27229" s="246">
        <f t="shared" si="463"/>
        <v>0</v>
      </c>
    </row>
    <row r="27230" spans="20:20" ht="18.75" customHeight="1" x14ac:dyDescent="0.35">
      <c r="T27230" s="246">
        <f t="shared" si="463"/>
        <v>0</v>
      </c>
    </row>
    <row r="27231" spans="20:20" ht="18.75" customHeight="1" x14ac:dyDescent="0.35">
      <c r="T27231" s="246">
        <f t="shared" si="463"/>
        <v>0</v>
      </c>
    </row>
    <row r="27232" spans="20:20" ht="18.75" customHeight="1" x14ac:dyDescent="0.35">
      <c r="T27232" s="246">
        <f t="shared" si="463"/>
        <v>0</v>
      </c>
    </row>
    <row r="27233" spans="20:20" ht="18.75" customHeight="1" x14ac:dyDescent="0.35">
      <c r="T27233" s="246">
        <f t="shared" si="463"/>
        <v>0</v>
      </c>
    </row>
    <row r="27234" spans="20:20" ht="18.75" customHeight="1" x14ac:dyDescent="0.35">
      <c r="T27234" s="246">
        <f t="shared" si="463"/>
        <v>0</v>
      </c>
    </row>
    <row r="27235" spans="20:20" ht="18.75" customHeight="1" x14ac:dyDescent="0.35">
      <c r="T27235" s="246">
        <f t="shared" si="463"/>
        <v>0</v>
      </c>
    </row>
    <row r="27236" spans="20:20" ht="18.75" customHeight="1" x14ac:dyDescent="0.35">
      <c r="T27236" s="246">
        <f t="shared" si="463"/>
        <v>0</v>
      </c>
    </row>
    <row r="27237" spans="20:20" ht="18.75" customHeight="1" x14ac:dyDescent="0.35">
      <c r="T27237" s="246">
        <f t="shared" si="463"/>
        <v>0</v>
      </c>
    </row>
    <row r="27238" spans="20:20" ht="18.75" customHeight="1" x14ac:dyDescent="0.35">
      <c r="T27238" s="246">
        <f t="shared" si="463"/>
        <v>0</v>
      </c>
    </row>
    <row r="27239" spans="20:20" ht="18.75" customHeight="1" x14ac:dyDescent="0.35">
      <c r="T27239" s="246">
        <f t="shared" si="463"/>
        <v>0</v>
      </c>
    </row>
    <row r="27240" spans="20:20" ht="18.75" customHeight="1" x14ac:dyDescent="0.35">
      <c r="T27240" s="246">
        <f t="shared" si="463"/>
        <v>0</v>
      </c>
    </row>
    <row r="27241" spans="20:20" ht="18.75" customHeight="1" x14ac:dyDescent="0.35">
      <c r="T27241" s="246">
        <f t="shared" si="463"/>
        <v>0</v>
      </c>
    </row>
    <row r="27242" spans="20:20" ht="18.75" customHeight="1" x14ac:dyDescent="0.35">
      <c r="T27242" s="246">
        <f t="shared" si="463"/>
        <v>0</v>
      </c>
    </row>
    <row r="27243" spans="20:20" ht="18.75" customHeight="1" x14ac:dyDescent="0.35">
      <c r="T27243" s="246">
        <f t="shared" si="463"/>
        <v>0</v>
      </c>
    </row>
    <row r="27244" spans="20:20" ht="18.75" customHeight="1" x14ac:dyDescent="0.35">
      <c r="T27244" s="246">
        <f t="shared" si="463"/>
        <v>0</v>
      </c>
    </row>
    <row r="27245" spans="20:20" ht="18.75" customHeight="1" x14ac:dyDescent="0.35">
      <c r="T27245" s="246">
        <f t="shared" si="463"/>
        <v>0</v>
      </c>
    </row>
    <row r="27246" spans="20:20" ht="18.75" customHeight="1" x14ac:dyDescent="0.35">
      <c r="T27246" s="246">
        <f t="shared" si="463"/>
        <v>0</v>
      </c>
    </row>
    <row r="27247" spans="20:20" ht="18.75" customHeight="1" x14ac:dyDescent="0.35">
      <c r="T27247" s="246">
        <f t="shared" si="463"/>
        <v>0</v>
      </c>
    </row>
    <row r="27248" spans="20:20" ht="18.75" customHeight="1" x14ac:dyDescent="0.35">
      <c r="T27248" s="246">
        <f t="shared" si="463"/>
        <v>0</v>
      </c>
    </row>
    <row r="27249" spans="20:20" ht="18.75" customHeight="1" x14ac:dyDescent="0.35">
      <c r="T27249" s="246">
        <f t="shared" si="463"/>
        <v>0</v>
      </c>
    </row>
    <row r="27250" spans="20:20" ht="18.75" customHeight="1" x14ac:dyDescent="0.35">
      <c r="T27250" s="246">
        <f t="shared" si="463"/>
        <v>0</v>
      </c>
    </row>
    <row r="27251" spans="20:20" ht="18.75" customHeight="1" x14ac:dyDescent="0.35">
      <c r="T27251" s="246">
        <f t="shared" si="463"/>
        <v>0</v>
      </c>
    </row>
    <row r="27252" spans="20:20" ht="18.75" customHeight="1" x14ac:dyDescent="0.35">
      <c r="T27252" s="246">
        <f t="shared" si="463"/>
        <v>0</v>
      </c>
    </row>
    <row r="27253" spans="20:20" ht="18.75" customHeight="1" x14ac:dyDescent="0.35">
      <c r="T27253" s="246">
        <f t="shared" si="463"/>
        <v>0</v>
      </c>
    </row>
    <row r="27254" spans="20:20" ht="18.75" customHeight="1" x14ac:dyDescent="0.35">
      <c r="T27254" s="246">
        <f t="shared" si="463"/>
        <v>0</v>
      </c>
    </row>
    <row r="27255" spans="20:20" ht="18.75" customHeight="1" x14ac:dyDescent="0.35">
      <c r="T27255" s="246">
        <f t="shared" si="463"/>
        <v>0</v>
      </c>
    </row>
    <row r="27256" spans="20:20" ht="18.75" customHeight="1" x14ac:dyDescent="0.35">
      <c r="T27256" s="246">
        <f t="shared" si="463"/>
        <v>0</v>
      </c>
    </row>
    <row r="27257" spans="20:20" ht="18.75" customHeight="1" x14ac:dyDescent="0.35">
      <c r="T27257" s="246">
        <f t="shared" si="463"/>
        <v>0</v>
      </c>
    </row>
    <row r="27258" spans="20:20" ht="18.75" customHeight="1" x14ac:dyDescent="0.35">
      <c r="T27258" s="246">
        <f t="shared" si="463"/>
        <v>0</v>
      </c>
    </row>
    <row r="27259" spans="20:20" ht="18.75" customHeight="1" x14ac:dyDescent="0.35">
      <c r="T27259" s="246">
        <f t="shared" si="463"/>
        <v>0</v>
      </c>
    </row>
    <row r="27260" spans="20:20" ht="18.75" customHeight="1" x14ac:dyDescent="0.35">
      <c r="T27260" s="246">
        <f t="shared" ref="T27260:T27323" si="464">R27260*0.01</f>
        <v>0</v>
      </c>
    </row>
    <row r="27261" spans="20:20" ht="18.75" customHeight="1" x14ac:dyDescent="0.35">
      <c r="T27261" s="246">
        <f t="shared" si="464"/>
        <v>0</v>
      </c>
    </row>
    <row r="27262" spans="20:20" ht="18.75" customHeight="1" x14ac:dyDescent="0.35">
      <c r="T27262" s="246">
        <f t="shared" si="464"/>
        <v>0</v>
      </c>
    </row>
    <row r="27263" spans="20:20" ht="18.75" customHeight="1" x14ac:dyDescent="0.35">
      <c r="T27263" s="246">
        <f t="shared" si="464"/>
        <v>0</v>
      </c>
    </row>
    <row r="27264" spans="20:20" ht="18.75" customHeight="1" x14ac:dyDescent="0.35">
      <c r="T27264" s="246">
        <f t="shared" si="464"/>
        <v>0</v>
      </c>
    </row>
    <row r="27265" spans="20:20" ht="18.75" customHeight="1" x14ac:dyDescent="0.35">
      <c r="T27265" s="246">
        <f t="shared" si="464"/>
        <v>0</v>
      </c>
    </row>
    <row r="27266" spans="20:20" ht="18.75" customHeight="1" x14ac:dyDescent="0.35">
      <c r="T27266" s="246">
        <f t="shared" si="464"/>
        <v>0</v>
      </c>
    </row>
    <row r="27267" spans="20:20" ht="18.75" customHeight="1" x14ac:dyDescent="0.35">
      <c r="T27267" s="246">
        <f t="shared" si="464"/>
        <v>0</v>
      </c>
    </row>
    <row r="27268" spans="20:20" ht="18.75" customHeight="1" x14ac:dyDescent="0.35">
      <c r="T27268" s="246">
        <f t="shared" si="464"/>
        <v>0</v>
      </c>
    </row>
    <row r="27269" spans="20:20" ht="18.75" customHeight="1" x14ac:dyDescent="0.35">
      <c r="T27269" s="246">
        <f t="shared" si="464"/>
        <v>0</v>
      </c>
    </row>
    <row r="27270" spans="20:20" ht="18.75" customHeight="1" x14ac:dyDescent="0.35">
      <c r="T27270" s="246">
        <f t="shared" si="464"/>
        <v>0</v>
      </c>
    </row>
    <row r="27271" spans="20:20" ht="18.75" customHeight="1" x14ac:dyDescent="0.35">
      <c r="T27271" s="246">
        <f t="shared" si="464"/>
        <v>0</v>
      </c>
    </row>
    <row r="27272" spans="20:20" ht="18.75" customHeight="1" x14ac:dyDescent="0.35">
      <c r="T27272" s="246">
        <f t="shared" si="464"/>
        <v>0</v>
      </c>
    </row>
    <row r="27273" spans="20:20" ht="18.75" customHeight="1" x14ac:dyDescent="0.35">
      <c r="T27273" s="246">
        <f t="shared" si="464"/>
        <v>0</v>
      </c>
    </row>
    <row r="27274" spans="20:20" ht="18.75" customHeight="1" x14ac:dyDescent="0.35">
      <c r="T27274" s="246">
        <f t="shared" si="464"/>
        <v>0</v>
      </c>
    </row>
    <row r="27275" spans="20:20" ht="18.75" customHeight="1" x14ac:dyDescent="0.35">
      <c r="T27275" s="246">
        <f t="shared" si="464"/>
        <v>0</v>
      </c>
    </row>
    <row r="27276" spans="20:20" ht="18.75" customHeight="1" x14ac:dyDescent="0.35">
      <c r="T27276" s="246">
        <f t="shared" si="464"/>
        <v>0</v>
      </c>
    </row>
    <row r="27277" spans="20:20" ht="18.75" customHeight="1" x14ac:dyDescent="0.35">
      <c r="T27277" s="246">
        <f t="shared" si="464"/>
        <v>0</v>
      </c>
    </row>
    <row r="27278" spans="20:20" ht="18.75" customHeight="1" x14ac:dyDescent="0.35">
      <c r="T27278" s="246">
        <f t="shared" si="464"/>
        <v>0</v>
      </c>
    </row>
    <row r="27279" spans="20:20" ht="18.75" customHeight="1" x14ac:dyDescent="0.35">
      <c r="T27279" s="246">
        <f t="shared" si="464"/>
        <v>0</v>
      </c>
    </row>
    <row r="27280" spans="20:20" ht="18.75" customHeight="1" x14ac:dyDescent="0.35">
      <c r="T27280" s="246">
        <f t="shared" si="464"/>
        <v>0</v>
      </c>
    </row>
    <row r="27281" spans="20:20" ht="18.75" customHeight="1" x14ac:dyDescent="0.35">
      <c r="T27281" s="246">
        <f t="shared" si="464"/>
        <v>0</v>
      </c>
    </row>
    <row r="27282" spans="20:20" ht="18.75" customHeight="1" x14ac:dyDescent="0.35">
      <c r="T27282" s="246">
        <f t="shared" si="464"/>
        <v>0</v>
      </c>
    </row>
    <row r="27283" spans="20:20" ht="18.75" customHeight="1" x14ac:dyDescent="0.35">
      <c r="T27283" s="246">
        <f t="shared" si="464"/>
        <v>0</v>
      </c>
    </row>
    <row r="27284" spans="20:20" ht="18.75" customHeight="1" x14ac:dyDescent="0.35">
      <c r="T27284" s="246">
        <f t="shared" si="464"/>
        <v>0</v>
      </c>
    </row>
    <row r="27285" spans="20:20" ht="18.75" customHeight="1" x14ac:dyDescent="0.35">
      <c r="T27285" s="246">
        <f t="shared" si="464"/>
        <v>0</v>
      </c>
    </row>
    <row r="27286" spans="20:20" ht="18.75" customHeight="1" x14ac:dyDescent="0.35">
      <c r="T27286" s="246">
        <f t="shared" si="464"/>
        <v>0</v>
      </c>
    </row>
    <row r="27287" spans="20:20" ht="18.75" customHeight="1" x14ac:dyDescent="0.35">
      <c r="T27287" s="246">
        <f t="shared" si="464"/>
        <v>0</v>
      </c>
    </row>
    <row r="27288" spans="20:20" ht="18.75" customHeight="1" x14ac:dyDescent="0.35">
      <c r="T27288" s="246">
        <f t="shared" si="464"/>
        <v>0</v>
      </c>
    </row>
    <row r="27289" spans="20:20" ht="18.75" customHeight="1" x14ac:dyDescent="0.35">
      <c r="T27289" s="246">
        <f t="shared" si="464"/>
        <v>0</v>
      </c>
    </row>
    <row r="27290" spans="20:20" ht="18.75" customHeight="1" x14ac:dyDescent="0.35">
      <c r="T27290" s="246">
        <f t="shared" si="464"/>
        <v>0</v>
      </c>
    </row>
    <row r="27291" spans="20:20" ht="18.75" customHeight="1" x14ac:dyDescent="0.35">
      <c r="T27291" s="246">
        <f t="shared" si="464"/>
        <v>0</v>
      </c>
    </row>
    <row r="27292" spans="20:20" ht="18.75" customHeight="1" x14ac:dyDescent="0.35">
      <c r="T27292" s="246">
        <f t="shared" si="464"/>
        <v>0</v>
      </c>
    </row>
    <row r="27293" spans="20:20" ht="18.75" customHeight="1" x14ac:dyDescent="0.35">
      <c r="T27293" s="246">
        <f t="shared" si="464"/>
        <v>0</v>
      </c>
    </row>
    <row r="27294" spans="20:20" ht="18.75" customHeight="1" x14ac:dyDescent="0.35">
      <c r="T27294" s="246">
        <f t="shared" si="464"/>
        <v>0</v>
      </c>
    </row>
    <row r="27295" spans="20:20" ht="18.75" customHeight="1" x14ac:dyDescent="0.35">
      <c r="T27295" s="246">
        <f t="shared" si="464"/>
        <v>0</v>
      </c>
    </row>
    <row r="27296" spans="20:20" ht="18.75" customHeight="1" x14ac:dyDescent="0.35">
      <c r="T27296" s="246">
        <f t="shared" si="464"/>
        <v>0</v>
      </c>
    </row>
    <row r="27297" spans="20:20" ht="18.75" customHeight="1" x14ac:dyDescent="0.35">
      <c r="T27297" s="246">
        <f t="shared" si="464"/>
        <v>0</v>
      </c>
    </row>
    <row r="27298" spans="20:20" ht="18.75" customHeight="1" x14ac:dyDescent="0.35">
      <c r="T27298" s="246">
        <f t="shared" si="464"/>
        <v>0</v>
      </c>
    </row>
    <row r="27299" spans="20:20" ht="18.75" customHeight="1" x14ac:dyDescent="0.35">
      <c r="T27299" s="246">
        <f t="shared" si="464"/>
        <v>0</v>
      </c>
    </row>
    <row r="27300" spans="20:20" ht="18.75" customHeight="1" x14ac:dyDescent="0.35">
      <c r="T27300" s="246">
        <f t="shared" si="464"/>
        <v>0</v>
      </c>
    </row>
    <row r="27301" spans="20:20" ht="18.75" customHeight="1" x14ac:dyDescent="0.35">
      <c r="T27301" s="246">
        <f t="shared" si="464"/>
        <v>0</v>
      </c>
    </row>
    <row r="27302" spans="20:20" ht="18.75" customHeight="1" x14ac:dyDescent="0.35">
      <c r="T27302" s="246">
        <f t="shared" si="464"/>
        <v>0</v>
      </c>
    </row>
    <row r="27303" spans="20:20" ht="18.75" customHeight="1" x14ac:dyDescent="0.35">
      <c r="T27303" s="246">
        <f t="shared" si="464"/>
        <v>0</v>
      </c>
    </row>
    <row r="27304" spans="20:20" ht="18.75" customHeight="1" x14ac:dyDescent="0.35">
      <c r="T27304" s="246">
        <f t="shared" si="464"/>
        <v>0</v>
      </c>
    </row>
    <row r="27305" spans="20:20" ht="18.75" customHeight="1" x14ac:dyDescent="0.35">
      <c r="T27305" s="246">
        <f t="shared" si="464"/>
        <v>0</v>
      </c>
    </row>
    <row r="27306" spans="20:20" ht="18.75" customHeight="1" x14ac:dyDescent="0.35">
      <c r="T27306" s="246">
        <f t="shared" si="464"/>
        <v>0</v>
      </c>
    </row>
    <row r="27307" spans="20:20" ht="18.75" customHeight="1" x14ac:dyDescent="0.35">
      <c r="T27307" s="246">
        <f t="shared" si="464"/>
        <v>0</v>
      </c>
    </row>
    <row r="27308" spans="20:20" ht="18.75" customHeight="1" x14ac:dyDescent="0.35">
      <c r="T27308" s="246">
        <f t="shared" si="464"/>
        <v>0</v>
      </c>
    </row>
    <row r="27309" spans="20:20" ht="18.75" customHeight="1" x14ac:dyDescent="0.35">
      <c r="T27309" s="246">
        <f t="shared" si="464"/>
        <v>0</v>
      </c>
    </row>
    <row r="27310" spans="20:20" ht="18.75" customHeight="1" x14ac:dyDescent="0.35">
      <c r="T27310" s="246">
        <f t="shared" si="464"/>
        <v>0</v>
      </c>
    </row>
    <row r="27311" spans="20:20" ht="18.75" customHeight="1" x14ac:dyDescent="0.35">
      <c r="T27311" s="246">
        <f t="shared" si="464"/>
        <v>0</v>
      </c>
    </row>
    <row r="27312" spans="20:20" ht="18.75" customHeight="1" x14ac:dyDescent="0.35">
      <c r="T27312" s="246">
        <f t="shared" si="464"/>
        <v>0</v>
      </c>
    </row>
    <row r="27313" spans="20:20" ht="18.75" customHeight="1" x14ac:dyDescent="0.35">
      <c r="T27313" s="246">
        <f t="shared" si="464"/>
        <v>0</v>
      </c>
    </row>
    <row r="27314" spans="20:20" ht="18.75" customHeight="1" x14ac:dyDescent="0.35">
      <c r="T27314" s="246">
        <f t="shared" si="464"/>
        <v>0</v>
      </c>
    </row>
    <row r="27315" spans="20:20" ht="18.75" customHeight="1" x14ac:dyDescent="0.35">
      <c r="T27315" s="246">
        <f t="shared" si="464"/>
        <v>0</v>
      </c>
    </row>
    <row r="27316" spans="20:20" ht="18.75" customHeight="1" x14ac:dyDescent="0.35">
      <c r="T27316" s="246">
        <f t="shared" si="464"/>
        <v>0</v>
      </c>
    </row>
    <row r="27317" spans="20:20" ht="18.75" customHeight="1" x14ac:dyDescent="0.35">
      <c r="T27317" s="246">
        <f t="shared" si="464"/>
        <v>0</v>
      </c>
    </row>
    <row r="27318" spans="20:20" ht="18.75" customHeight="1" x14ac:dyDescent="0.35">
      <c r="T27318" s="246">
        <f t="shared" si="464"/>
        <v>0</v>
      </c>
    </row>
    <row r="27319" spans="20:20" ht="18.75" customHeight="1" x14ac:dyDescent="0.35">
      <c r="T27319" s="246">
        <f t="shared" si="464"/>
        <v>0</v>
      </c>
    </row>
    <row r="27320" spans="20:20" ht="18.75" customHeight="1" x14ac:dyDescent="0.35">
      <c r="T27320" s="246">
        <f t="shared" si="464"/>
        <v>0</v>
      </c>
    </row>
    <row r="27321" spans="20:20" ht="18.75" customHeight="1" x14ac:dyDescent="0.35">
      <c r="T27321" s="246">
        <f t="shared" si="464"/>
        <v>0</v>
      </c>
    </row>
    <row r="27322" spans="20:20" ht="18.75" customHeight="1" x14ac:dyDescent="0.35">
      <c r="T27322" s="246">
        <f t="shared" si="464"/>
        <v>0</v>
      </c>
    </row>
    <row r="27323" spans="20:20" ht="18.75" customHeight="1" x14ac:dyDescent="0.35">
      <c r="T27323" s="246">
        <f t="shared" si="464"/>
        <v>0</v>
      </c>
    </row>
    <row r="27324" spans="20:20" ht="18.75" customHeight="1" x14ac:dyDescent="0.35">
      <c r="T27324" s="246">
        <f t="shared" ref="T27324:T27387" si="465">R27324*0.01</f>
        <v>0</v>
      </c>
    </row>
    <row r="27325" spans="20:20" ht="18.75" customHeight="1" x14ac:dyDescent="0.35">
      <c r="T27325" s="246">
        <f t="shared" si="465"/>
        <v>0</v>
      </c>
    </row>
    <row r="27326" spans="20:20" ht="18.75" customHeight="1" x14ac:dyDescent="0.35">
      <c r="T27326" s="246">
        <f t="shared" si="465"/>
        <v>0</v>
      </c>
    </row>
    <row r="27327" spans="20:20" ht="18.75" customHeight="1" x14ac:dyDescent="0.35">
      <c r="T27327" s="246">
        <f t="shared" si="465"/>
        <v>0</v>
      </c>
    </row>
    <row r="27328" spans="20:20" ht="18.75" customHeight="1" x14ac:dyDescent="0.35">
      <c r="T27328" s="246">
        <f t="shared" si="465"/>
        <v>0</v>
      </c>
    </row>
    <row r="27329" spans="20:20" ht="18.75" customHeight="1" x14ac:dyDescent="0.35">
      <c r="T27329" s="246">
        <f t="shared" si="465"/>
        <v>0</v>
      </c>
    </row>
    <row r="27330" spans="20:20" ht="18.75" customHeight="1" x14ac:dyDescent="0.35">
      <c r="T27330" s="246">
        <f t="shared" si="465"/>
        <v>0</v>
      </c>
    </row>
    <row r="27331" spans="20:20" ht="18.75" customHeight="1" x14ac:dyDescent="0.35">
      <c r="T27331" s="246">
        <f t="shared" si="465"/>
        <v>0</v>
      </c>
    </row>
    <row r="27332" spans="20:20" ht="18.75" customHeight="1" x14ac:dyDescent="0.35">
      <c r="T27332" s="246">
        <f t="shared" si="465"/>
        <v>0</v>
      </c>
    </row>
    <row r="27333" spans="20:20" ht="18.75" customHeight="1" x14ac:dyDescent="0.35">
      <c r="T27333" s="246">
        <f t="shared" si="465"/>
        <v>0</v>
      </c>
    </row>
    <row r="27334" spans="20:20" ht="18.75" customHeight="1" x14ac:dyDescent="0.35">
      <c r="T27334" s="246">
        <f t="shared" si="465"/>
        <v>0</v>
      </c>
    </row>
    <row r="27335" spans="20:20" ht="18.75" customHeight="1" x14ac:dyDescent="0.35">
      <c r="T27335" s="246">
        <f t="shared" si="465"/>
        <v>0</v>
      </c>
    </row>
    <row r="27336" spans="20:20" ht="18.75" customHeight="1" x14ac:dyDescent="0.35">
      <c r="T27336" s="246">
        <f t="shared" si="465"/>
        <v>0</v>
      </c>
    </row>
    <row r="27337" spans="20:20" ht="18.75" customHeight="1" x14ac:dyDescent="0.35">
      <c r="T27337" s="246">
        <f t="shared" si="465"/>
        <v>0</v>
      </c>
    </row>
    <row r="27338" spans="20:20" ht="18.75" customHeight="1" x14ac:dyDescent="0.35">
      <c r="T27338" s="246">
        <f t="shared" si="465"/>
        <v>0</v>
      </c>
    </row>
    <row r="27339" spans="20:20" ht="18.75" customHeight="1" x14ac:dyDescent="0.35">
      <c r="T27339" s="246">
        <f t="shared" si="465"/>
        <v>0</v>
      </c>
    </row>
    <row r="27340" spans="20:20" ht="18.75" customHeight="1" x14ac:dyDescent="0.35">
      <c r="T27340" s="246">
        <f t="shared" si="465"/>
        <v>0</v>
      </c>
    </row>
    <row r="27341" spans="20:20" ht="18.75" customHeight="1" x14ac:dyDescent="0.35">
      <c r="T27341" s="246">
        <f t="shared" si="465"/>
        <v>0</v>
      </c>
    </row>
    <row r="27342" spans="20:20" ht="18.75" customHeight="1" x14ac:dyDescent="0.35">
      <c r="T27342" s="246">
        <f t="shared" si="465"/>
        <v>0</v>
      </c>
    </row>
    <row r="27343" spans="20:20" ht="18.75" customHeight="1" x14ac:dyDescent="0.35">
      <c r="T27343" s="246">
        <f t="shared" si="465"/>
        <v>0</v>
      </c>
    </row>
    <row r="27344" spans="20:20" ht="18.75" customHeight="1" x14ac:dyDescent="0.35">
      <c r="T27344" s="246">
        <f t="shared" si="465"/>
        <v>0</v>
      </c>
    </row>
    <row r="27345" spans="20:20" ht="18.75" customHeight="1" x14ac:dyDescent="0.35">
      <c r="T27345" s="246">
        <f t="shared" si="465"/>
        <v>0</v>
      </c>
    </row>
    <row r="27346" spans="20:20" ht="18.75" customHeight="1" x14ac:dyDescent="0.35">
      <c r="T27346" s="246">
        <f t="shared" si="465"/>
        <v>0</v>
      </c>
    </row>
    <row r="27347" spans="20:20" ht="18.75" customHeight="1" x14ac:dyDescent="0.35">
      <c r="T27347" s="246">
        <f t="shared" si="465"/>
        <v>0</v>
      </c>
    </row>
    <row r="27348" spans="20:20" ht="18.75" customHeight="1" x14ac:dyDescent="0.35">
      <c r="T27348" s="246">
        <f t="shared" si="465"/>
        <v>0</v>
      </c>
    </row>
    <row r="27349" spans="20:20" ht="18.75" customHeight="1" x14ac:dyDescent="0.35">
      <c r="T27349" s="246">
        <f t="shared" si="465"/>
        <v>0</v>
      </c>
    </row>
    <row r="27350" spans="20:20" ht="18.75" customHeight="1" x14ac:dyDescent="0.35">
      <c r="T27350" s="246">
        <f t="shared" si="465"/>
        <v>0</v>
      </c>
    </row>
    <row r="27351" spans="20:20" ht="18.75" customHeight="1" x14ac:dyDescent="0.35">
      <c r="T27351" s="246">
        <f t="shared" si="465"/>
        <v>0</v>
      </c>
    </row>
    <row r="27352" spans="20:20" ht="18.75" customHeight="1" x14ac:dyDescent="0.35">
      <c r="T27352" s="246">
        <f t="shared" si="465"/>
        <v>0</v>
      </c>
    </row>
    <row r="27353" spans="20:20" ht="18.75" customHeight="1" x14ac:dyDescent="0.35">
      <c r="T27353" s="246">
        <f t="shared" si="465"/>
        <v>0</v>
      </c>
    </row>
    <row r="27354" spans="20:20" ht="18.75" customHeight="1" x14ac:dyDescent="0.35">
      <c r="T27354" s="246">
        <f t="shared" si="465"/>
        <v>0</v>
      </c>
    </row>
    <row r="27355" spans="20:20" ht="18.75" customHeight="1" x14ac:dyDescent="0.35">
      <c r="T27355" s="246">
        <f t="shared" si="465"/>
        <v>0</v>
      </c>
    </row>
    <row r="27356" spans="20:20" ht="18.75" customHeight="1" x14ac:dyDescent="0.35">
      <c r="T27356" s="246">
        <f t="shared" si="465"/>
        <v>0</v>
      </c>
    </row>
    <row r="27357" spans="20:20" ht="18.75" customHeight="1" x14ac:dyDescent="0.35">
      <c r="T27357" s="246">
        <f t="shared" si="465"/>
        <v>0</v>
      </c>
    </row>
    <row r="27358" spans="20:20" ht="18.75" customHeight="1" x14ac:dyDescent="0.35">
      <c r="T27358" s="246">
        <f t="shared" si="465"/>
        <v>0</v>
      </c>
    </row>
    <row r="27359" spans="20:20" ht="18.75" customHeight="1" x14ac:dyDescent="0.35">
      <c r="T27359" s="246">
        <f t="shared" si="465"/>
        <v>0</v>
      </c>
    </row>
    <row r="27360" spans="20:20" ht="18.75" customHeight="1" x14ac:dyDescent="0.35">
      <c r="T27360" s="246">
        <f t="shared" si="465"/>
        <v>0</v>
      </c>
    </row>
    <row r="27361" spans="20:20" ht="18.75" customHeight="1" x14ac:dyDescent="0.35">
      <c r="T27361" s="246">
        <f t="shared" si="465"/>
        <v>0</v>
      </c>
    </row>
    <row r="27362" spans="20:20" ht="18.75" customHeight="1" x14ac:dyDescent="0.35">
      <c r="T27362" s="246">
        <f t="shared" si="465"/>
        <v>0</v>
      </c>
    </row>
    <row r="27363" spans="20:20" ht="18.75" customHeight="1" x14ac:dyDescent="0.35">
      <c r="T27363" s="246">
        <f t="shared" si="465"/>
        <v>0</v>
      </c>
    </row>
    <row r="27364" spans="20:20" ht="18.75" customHeight="1" x14ac:dyDescent="0.35">
      <c r="T27364" s="246">
        <f t="shared" si="465"/>
        <v>0</v>
      </c>
    </row>
    <row r="27365" spans="20:20" ht="18.75" customHeight="1" x14ac:dyDescent="0.35">
      <c r="T27365" s="246">
        <f t="shared" si="465"/>
        <v>0</v>
      </c>
    </row>
    <row r="27366" spans="20:20" ht="18.75" customHeight="1" x14ac:dyDescent="0.35">
      <c r="T27366" s="246">
        <f t="shared" si="465"/>
        <v>0</v>
      </c>
    </row>
    <row r="27367" spans="20:20" ht="18.75" customHeight="1" x14ac:dyDescent="0.35">
      <c r="T27367" s="246">
        <f t="shared" si="465"/>
        <v>0</v>
      </c>
    </row>
    <row r="27368" spans="20:20" ht="18.75" customHeight="1" x14ac:dyDescent="0.35">
      <c r="T27368" s="246">
        <f t="shared" si="465"/>
        <v>0</v>
      </c>
    </row>
    <row r="27369" spans="20:20" ht="18.75" customHeight="1" x14ac:dyDescent="0.35">
      <c r="T27369" s="246">
        <f t="shared" si="465"/>
        <v>0</v>
      </c>
    </row>
    <row r="27370" spans="20:20" ht="18.75" customHeight="1" x14ac:dyDescent="0.35">
      <c r="T27370" s="246">
        <f t="shared" si="465"/>
        <v>0</v>
      </c>
    </row>
    <row r="27371" spans="20:20" ht="18.75" customHeight="1" x14ac:dyDescent="0.35">
      <c r="T27371" s="246">
        <f t="shared" si="465"/>
        <v>0</v>
      </c>
    </row>
    <row r="27372" spans="20:20" ht="18.75" customHeight="1" x14ac:dyDescent="0.35">
      <c r="T27372" s="246">
        <f t="shared" si="465"/>
        <v>0</v>
      </c>
    </row>
    <row r="27373" spans="20:20" ht="18.75" customHeight="1" x14ac:dyDescent="0.35">
      <c r="T27373" s="246">
        <f t="shared" si="465"/>
        <v>0</v>
      </c>
    </row>
    <row r="27374" spans="20:20" ht="18.75" customHeight="1" x14ac:dyDescent="0.35">
      <c r="T27374" s="246">
        <f t="shared" si="465"/>
        <v>0</v>
      </c>
    </row>
    <row r="27375" spans="20:20" ht="18.75" customHeight="1" x14ac:dyDescent="0.35">
      <c r="T27375" s="246">
        <f t="shared" si="465"/>
        <v>0</v>
      </c>
    </row>
    <row r="27376" spans="20:20" ht="18.75" customHeight="1" x14ac:dyDescent="0.35">
      <c r="T27376" s="246">
        <f t="shared" si="465"/>
        <v>0</v>
      </c>
    </row>
    <row r="27377" spans="20:20" ht="18.75" customHeight="1" x14ac:dyDescent="0.35">
      <c r="T27377" s="246">
        <f t="shared" si="465"/>
        <v>0</v>
      </c>
    </row>
    <row r="27378" spans="20:20" ht="18.75" customHeight="1" x14ac:dyDescent="0.35">
      <c r="T27378" s="246">
        <f t="shared" si="465"/>
        <v>0</v>
      </c>
    </row>
    <row r="27379" spans="20:20" ht="18.75" customHeight="1" x14ac:dyDescent="0.35">
      <c r="T27379" s="246">
        <f t="shared" si="465"/>
        <v>0</v>
      </c>
    </row>
    <row r="27380" spans="20:20" ht="18.75" customHeight="1" x14ac:dyDescent="0.35">
      <c r="T27380" s="246">
        <f t="shared" si="465"/>
        <v>0</v>
      </c>
    </row>
    <row r="27381" spans="20:20" ht="18.75" customHeight="1" x14ac:dyDescent="0.35">
      <c r="T27381" s="246">
        <f t="shared" si="465"/>
        <v>0</v>
      </c>
    </row>
    <row r="27382" spans="20:20" ht="18.75" customHeight="1" x14ac:dyDescent="0.35">
      <c r="T27382" s="246">
        <f t="shared" si="465"/>
        <v>0</v>
      </c>
    </row>
    <row r="27383" spans="20:20" ht="18.75" customHeight="1" x14ac:dyDescent="0.35">
      <c r="T27383" s="246">
        <f t="shared" si="465"/>
        <v>0</v>
      </c>
    </row>
    <row r="27384" spans="20:20" ht="18.75" customHeight="1" x14ac:dyDescent="0.35">
      <c r="T27384" s="246">
        <f t="shared" si="465"/>
        <v>0</v>
      </c>
    </row>
    <row r="27385" spans="20:20" ht="18.75" customHeight="1" x14ac:dyDescent="0.35">
      <c r="T27385" s="246">
        <f t="shared" si="465"/>
        <v>0</v>
      </c>
    </row>
    <row r="27386" spans="20:20" ht="18.75" customHeight="1" x14ac:dyDescent="0.35">
      <c r="T27386" s="246">
        <f t="shared" si="465"/>
        <v>0</v>
      </c>
    </row>
    <row r="27387" spans="20:20" ht="18.75" customHeight="1" x14ac:dyDescent="0.35">
      <c r="T27387" s="246">
        <f t="shared" si="465"/>
        <v>0</v>
      </c>
    </row>
    <row r="27388" spans="20:20" ht="18.75" customHeight="1" x14ac:dyDescent="0.35">
      <c r="T27388" s="246">
        <f t="shared" ref="T27388:T27451" si="466">R27388*0.01</f>
        <v>0</v>
      </c>
    </row>
    <row r="27389" spans="20:20" ht="18.75" customHeight="1" x14ac:dyDescent="0.35">
      <c r="T27389" s="246">
        <f t="shared" si="466"/>
        <v>0</v>
      </c>
    </row>
    <row r="27390" spans="20:20" ht="18.75" customHeight="1" x14ac:dyDescent="0.35">
      <c r="T27390" s="246">
        <f t="shared" si="466"/>
        <v>0</v>
      </c>
    </row>
    <row r="27391" spans="20:20" ht="18.75" customHeight="1" x14ac:dyDescent="0.35">
      <c r="T27391" s="246">
        <f t="shared" si="466"/>
        <v>0</v>
      </c>
    </row>
    <row r="27392" spans="20:20" ht="18.75" customHeight="1" x14ac:dyDescent="0.35">
      <c r="T27392" s="246">
        <f t="shared" si="466"/>
        <v>0</v>
      </c>
    </row>
    <row r="27393" spans="20:20" ht="18.75" customHeight="1" x14ac:dyDescent="0.35">
      <c r="T27393" s="246">
        <f t="shared" si="466"/>
        <v>0</v>
      </c>
    </row>
    <row r="27394" spans="20:20" ht="18.75" customHeight="1" x14ac:dyDescent="0.35">
      <c r="T27394" s="246">
        <f t="shared" si="466"/>
        <v>0</v>
      </c>
    </row>
    <row r="27395" spans="20:20" ht="18.75" customHeight="1" x14ac:dyDescent="0.35">
      <c r="T27395" s="246">
        <f t="shared" si="466"/>
        <v>0</v>
      </c>
    </row>
    <row r="27396" spans="20:20" ht="18.75" customHeight="1" x14ac:dyDescent="0.35">
      <c r="T27396" s="246">
        <f t="shared" si="466"/>
        <v>0</v>
      </c>
    </row>
    <row r="27397" spans="20:20" ht="18.75" customHeight="1" x14ac:dyDescent="0.35">
      <c r="T27397" s="246">
        <f t="shared" si="466"/>
        <v>0</v>
      </c>
    </row>
    <row r="27398" spans="20:20" ht="18.75" customHeight="1" x14ac:dyDescent="0.35">
      <c r="T27398" s="246">
        <f t="shared" si="466"/>
        <v>0</v>
      </c>
    </row>
    <row r="27399" spans="20:20" ht="18.75" customHeight="1" x14ac:dyDescent="0.35">
      <c r="T27399" s="246">
        <f t="shared" si="466"/>
        <v>0</v>
      </c>
    </row>
    <row r="27400" spans="20:20" ht="18.75" customHeight="1" x14ac:dyDescent="0.35">
      <c r="T27400" s="246">
        <f t="shared" si="466"/>
        <v>0</v>
      </c>
    </row>
    <row r="27401" spans="20:20" ht="18.75" customHeight="1" x14ac:dyDescent="0.35">
      <c r="T27401" s="246">
        <f t="shared" si="466"/>
        <v>0</v>
      </c>
    </row>
    <row r="27402" spans="20:20" ht="18.75" customHeight="1" x14ac:dyDescent="0.35">
      <c r="T27402" s="246">
        <f t="shared" si="466"/>
        <v>0</v>
      </c>
    </row>
    <row r="27403" spans="20:20" ht="18.75" customHeight="1" x14ac:dyDescent="0.35">
      <c r="T27403" s="246">
        <f t="shared" si="466"/>
        <v>0</v>
      </c>
    </row>
    <row r="27404" spans="20:20" ht="18.75" customHeight="1" x14ac:dyDescent="0.35">
      <c r="T27404" s="246">
        <f t="shared" si="466"/>
        <v>0</v>
      </c>
    </row>
    <row r="27405" spans="20:20" ht="18.75" customHeight="1" x14ac:dyDescent="0.35">
      <c r="T27405" s="246">
        <f t="shared" si="466"/>
        <v>0</v>
      </c>
    </row>
    <row r="27406" spans="20:20" ht="18.75" customHeight="1" x14ac:dyDescent="0.35">
      <c r="T27406" s="246">
        <f t="shared" si="466"/>
        <v>0</v>
      </c>
    </row>
    <row r="27407" spans="20:20" ht="18.75" customHeight="1" x14ac:dyDescent="0.35">
      <c r="T27407" s="246">
        <f t="shared" si="466"/>
        <v>0</v>
      </c>
    </row>
    <row r="27408" spans="20:20" ht="18.75" customHeight="1" x14ac:dyDescent="0.35">
      <c r="T27408" s="246">
        <f t="shared" si="466"/>
        <v>0</v>
      </c>
    </row>
    <row r="27409" spans="20:20" ht="18.75" customHeight="1" x14ac:dyDescent="0.35">
      <c r="T27409" s="246">
        <f t="shared" si="466"/>
        <v>0</v>
      </c>
    </row>
    <row r="27410" spans="20:20" ht="18.75" customHeight="1" x14ac:dyDescent="0.35">
      <c r="T27410" s="246">
        <f t="shared" si="466"/>
        <v>0</v>
      </c>
    </row>
    <row r="27411" spans="20:20" ht="18.75" customHeight="1" x14ac:dyDescent="0.35">
      <c r="T27411" s="246">
        <f t="shared" si="466"/>
        <v>0</v>
      </c>
    </row>
    <row r="27412" spans="20:20" ht="18.75" customHeight="1" x14ac:dyDescent="0.35">
      <c r="T27412" s="246">
        <f t="shared" si="466"/>
        <v>0</v>
      </c>
    </row>
    <row r="27413" spans="20:20" ht="18.75" customHeight="1" x14ac:dyDescent="0.35">
      <c r="T27413" s="246">
        <f t="shared" si="466"/>
        <v>0</v>
      </c>
    </row>
    <row r="27414" spans="20:20" ht="18.75" customHeight="1" x14ac:dyDescent="0.35">
      <c r="T27414" s="246">
        <f t="shared" si="466"/>
        <v>0</v>
      </c>
    </row>
    <row r="27415" spans="20:20" ht="18.75" customHeight="1" x14ac:dyDescent="0.35">
      <c r="T27415" s="246">
        <f t="shared" si="466"/>
        <v>0</v>
      </c>
    </row>
    <row r="27416" spans="20:20" ht="18.75" customHeight="1" x14ac:dyDescent="0.35">
      <c r="T27416" s="246">
        <f t="shared" si="466"/>
        <v>0</v>
      </c>
    </row>
    <row r="27417" spans="20:20" ht="18.75" customHeight="1" x14ac:dyDescent="0.35">
      <c r="T27417" s="246">
        <f t="shared" si="466"/>
        <v>0</v>
      </c>
    </row>
    <row r="27418" spans="20:20" ht="18.75" customHeight="1" x14ac:dyDescent="0.35">
      <c r="T27418" s="246">
        <f t="shared" si="466"/>
        <v>0</v>
      </c>
    </row>
    <row r="27419" spans="20:20" ht="18.75" customHeight="1" x14ac:dyDescent="0.35">
      <c r="T27419" s="246">
        <f t="shared" si="466"/>
        <v>0</v>
      </c>
    </row>
    <row r="27420" spans="20:20" ht="18.75" customHeight="1" x14ac:dyDescent="0.35">
      <c r="T27420" s="246">
        <f t="shared" si="466"/>
        <v>0</v>
      </c>
    </row>
    <row r="27421" spans="20:20" ht="18.75" customHeight="1" x14ac:dyDescent="0.35">
      <c r="T27421" s="246">
        <f t="shared" si="466"/>
        <v>0</v>
      </c>
    </row>
    <row r="27422" spans="20:20" ht="18.75" customHeight="1" x14ac:dyDescent="0.35">
      <c r="T27422" s="246">
        <f t="shared" si="466"/>
        <v>0</v>
      </c>
    </row>
    <row r="27423" spans="20:20" ht="18.75" customHeight="1" x14ac:dyDescent="0.35">
      <c r="T27423" s="246">
        <f t="shared" si="466"/>
        <v>0</v>
      </c>
    </row>
    <row r="27424" spans="20:20" ht="18.75" customHeight="1" x14ac:dyDescent="0.35">
      <c r="T27424" s="246">
        <f t="shared" si="466"/>
        <v>0</v>
      </c>
    </row>
    <row r="27425" spans="20:20" ht="18.75" customHeight="1" x14ac:dyDescent="0.35">
      <c r="T27425" s="246">
        <f t="shared" si="466"/>
        <v>0</v>
      </c>
    </row>
    <row r="27426" spans="20:20" ht="18.75" customHeight="1" x14ac:dyDescent="0.35">
      <c r="T27426" s="246">
        <f t="shared" si="466"/>
        <v>0</v>
      </c>
    </row>
    <row r="27427" spans="20:20" ht="18.75" customHeight="1" x14ac:dyDescent="0.35">
      <c r="T27427" s="246">
        <f t="shared" si="466"/>
        <v>0</v>
      </c>
    </row>
    <row r="27428" spans="20:20" ht="18.75" customHeight="1" x14ac:dyDescent="0.35">
      <c r="T27428" s="246">
        <f t="shared" si="466"/>
        <v>0</v>
      </c>
    </row>
    <row r="27429" spans="20:20" ht="18.75" customHeight="1" x14ac:dyDescent="0.35">
      <c r="T27429" s="246">
        <f t="shared" si="466"/>
        <v>0</v>
      </c>
    </row>
    <row r="27430" spans="20:20" ht="18.75" customHeight="1" x14ac:dyDescent="0.35">
      <c r="T27430" s="246">
        <f t="shared" si="466"/>
        <v>0</v>
      </c>
    </row>
    <row r="27431" spans="20:20" ht="18.75" customHeight="1" x14ac:dyDescent="0.35">
      <c r="T27431" s="246">
        <f t="shared" si="466"/>
        <v>0</v>
      </c>
    </row>
    <row r="27432" spans="20:20" ht="18.75" customHeight="1" x14ac:dyDescent="0.35">
      <c r="T27432" s="246">
        <f t="shared" si="466"/>
        <v>0</v>
      </c>
    </row>
    <row r="27433" spans="20:20" ht="18.75" customHeight="1" x14ac:dyDescent="0.35">
      <c r="T27433" s="246">
        <f t="shared" si="466"/>
        <v>0</v>
      </c>
    </row>
    <row r="27434" spans="20:20" ht="18.75" customHeight="1" x14ac:dyDescent="0.35">
      <c r="T27434" s="246">
        <f t="shared" si="466"/>
        <v>0</v>
      </c>
    </row>
    <row r="27435" spans="20:20" ht="18.75" customHeight="1" x14ac:dyDescent="0.35">
      <c r="T27435" s="246">
        <f t="shared" si="466"/>
        <v>0</v>
      </c>
    </row>
    <row r="27436" spans="20:20" ht="18.75" customHeight="1" x14ac:dyDescent="0.35">
      <c r="T27436" s="246">
        <f t="shared" si="466"/>
        <v>0</v>
      </c>
    </row>
    <row r="27437" spans="20:20" ht="18.75" customHeight="1" x14ac:dyDescent="0.35">
      <c r="T27437" s="246">
        <f t="shared" si="466"/>
        <v>0</v>
      </c>
    </row>
    <row r="27438" spans="20:20" ht="18.75" customHeight="1" x14ac:dyDescent="0.35">
      <c r="T27438" s="246">
        <f t="shared" si="466"/>
        <v>0</v>
      </c>
    </row>
    <row r="27439" spans="20:20" ht="18.75" customHeight="1" x14ac:dyDescent="0.35">
      <c r="T27439" s="246">
        <f t="shared" si="466"/>
        <v>0</v>
      </c>
    </row>
    <row r="27440" spans="20:20" ht="18.75" customHeight="1" x14ac:dyDescent="0.35">
      <c r="T27440" s="246">
        <f t="shared" si="466"/>
        <v>0</v>
      </c>
    </row>
    <row r="27441" spans="20:20" ht="18.75" customHeight="1" x14ac:dyDescent="0.35">
      <c r="T27441" s="246">
        <f t="shared" si="466"/>
        <v>0</v>
      </c>
    </row>
    <row r="27442" spans="20:20" ht="18.75" customHeight="1" x14ac:dyDescent="0.35">
      <c r="T27442" s="246">
        <f t="shared" si="466"/>
        <v>0</v>
      </c>
    </row>
    <row r="27443" spans="20:20" ht="18.75" customHeight="1" x14ac:dyDescent="0.35">
      <c r="T27443" s="246">
        <f t="shared" si="466"/>
        <v>0</v>
      </c>
    </row>
    <row r="27444" spans="20:20" ht="18.75" customHeight="1" x14ac:dyDescent="0.35">
      <c r="T27444" s="246">
        <f t="shared" si="466"/>
        <v>0</v>
      </c>
    </row>
    <row r="27445" spans="20:20" ht="18.75" customHeight="1" x14ac:dyDescent="0.35">
      <c r="T27445" s="246">
        <f t="shared" si="466"/>
        <v>0</v>
      </c>
    </row>
    <row r="27446" spans="20:20" ht="18.75" customHeight="1" x14ac:dyDescent="0.35">
      <c r="T27446" s="246">
        <f t="shared" si="466"/>
        <v>0</v>
      </c>
    </row>
    <row r="27447" spans="20:20" ht="18.75" customHeight="1" x14ac:dyDescent="0.35">
      <c r="T27447" s="246">
        <f t="shared" si="466"/>
        <v>0</v>
      </c>
    </row>
    <row r="27448" spans="20:20" ht="18.75" customHeight="1" x14ac:dyDescent="0.35">
      <c r="T27448" s="246">
        <f t="shared" si="466"/>
        <v>0</v>
      </c>
    </row>
    <row r="27449" spans="20:20" ht="18.75" customHeight="1" x14ac:dyDescent="0.35">
      <c r="T27449" s="246">
        <f t="shared" si="466"/>
        <v>0</v>
      </c>
    </row>
    <row r="27450" spans="20:20" ht="18.75" customHeight="1" x14ac:dyDescent="0.35">
      <c r="T27450" s="246">
        <f t="shared" si="466"/>
        <v>0</v>
      </c>
    </row>
    <row r="27451" spans="20:20" ht="18.75" customHeight="1" x14ac:dyDescent="0.35">
      <c r="T27451" s="246">
        <f t="shared" si="466"/>
        <v>0</v>
      </c>
    </row>
    <row r="27452" spans="20:20" ht="18.75" customHeight="1" x14ac:dyDescent="0.35">
      <c r="T27452" s="246">
        <f t="shared" ref="T27452:T27515" si="467">R27452*0.01</f>
        <v>0</v>
      </c>
    </row>
    <row r="27453" spans="20:20" ht="18.75" customHeight="1" x14ac:dyDescent="0.35">
      <c r="T27453" s="246">
        <f t="shared" si="467"/>
        <v>0</v>
      </c>
    </row>
    <row r="27454" spans="20:20" ht="18.75" customHeight="1" x14ac:dyDescent="0.35">
      <c r="T27454" s="246">
        <f t="shared" si="467"/>
        <v>0</v>
      </c>
    </row>
    <row r="27455" spans="20:20" ht="18.75" customHeight="1" x14ac:dyDescent="0.35">
      <c r="T27455" s="246">
        <f t="shared" si="467"/>
        <v>0</v>
      </c>
    </row>
    <row r="27456" spans="20:20" ht="18.75" customHeight="1" x14ac:dyDescent="0.35">
      <c r="T27456" s="246">
        <f t="shared" si="467"/>
        <v>0</v>
      </c>
    </row>
    <row r="27457" spans="20:20" ht="18.75" customHeight="1" x14ac:dyDescent="0.35">
      <c r="T27457" s="246">
        <f t="shared" si="467"/>
        <v>0</v>
      </c>
    </row>
    <row r="27458" spans="20:20" ht="18.75" customHeight="1" x14ac:dyDescent="0.35">
      <c r="T27458" s="246">
        <f t="shared" si="467"/>
        <v>0</v>
      </c>
    </row>
    <row r="27459" spans="20:20" ht="18.75" customHeight="1" x14ac:dyDescent="0.35">
      <c r="T27459" s="246">
        <f t="shared" si="467"/>
        <v>0</v>
      </c>
    </row>
    <row r="27460" spans="20:20" ht="18.75" customHeight="1" x14ac:dyDescent="0.35">
      <c r="T27460" s="246">
        <f t="shared" si="467"/>
        <v>0</v>
      </c>
    </row>
    <row r="27461" spans="20:20" ht="18.75" customHeight="1" x14ac:dyDescent="0.35">
      <c r="T27461" s="246">
        <f t="shared" si="467"/>
        <v>0</v>
      </c>
    </row>
    <row r="27462" spans="20:20" ht="18.75" customHeight="1" x14ac:dyDescent="0.35">
      <c r="T27462" s="246">
        <f t="shared" si="467"/>
        <v>0</v>
      </c>
    </row>
    <row r="27463" spans="20:20" ht="18.75" customHeight="1" x14ac:dyDescent="0.35">
      <c r="T27463" s="246">
        <f t="shared" si="467"/>
        <v>0</v>
      </c>
    </row>
    <row r="27464" spans="20:20" ht="18.75" customHeight="1" x14ac:dyDescent="0.35">
      <c r="T27464" s="246">
        <f t="shared" si="467"/>
        <v>0</v>
      </c>
    </row>
    <row r="27465" spans="20:20" ht="18.75" customHeight="1" x14ac:dyDescent="0.35">
      <c r="T27465" s="246">
        <f t="shared" si="467"/>
        <v>0</v>
      </c>
    </row>
    <row r="27466" spans="20:20" ht="18.75" customHeight="1" x14ac:dyDescent="0.35">
      <c r="T27466" s="246">
        <f t="shared" si="467"/>
        <v>0</v>
      </c>
    </row>
    <row r="27467" spans="20:20" ht="18.75" customHeight="1" x14ac:dyDescent="0.35">
      <c r="T27467" s="246">
        <f t="shared" si="467"/>
        <v>0</v>
      </c>
    </row>
    <row r="27468" spans="20:20" ht="18.75" customHeight="1" x14ac:dyDescent="0.35">
      <c r="T27468" s="246">
        <f t="shared" si="467"/>
        <v>0</v>
      </c>
    </row>
    <row r="27469" spans="20:20" ht="18.75" customHeight="1" x14ac:dyDescent="0.35">
      <c r="T27469" s="246">
        <f t="shared" si="467"/>
        <v>0</v>
      </c>
    </row>
    <row r="27470" spans="20:20" ht="18.75" customHeight="1" x14ac:dyDescent="0.35">
      <c r="T27470" s="246">
        <f t="shared" si="467"/>
        <v>0</v>
      </c>
    </row>
    <row r="27471" spans="20:20" ht="18.75" customHeight="1" x14ac:dyDescent="0.35">
      <c r="T27471" s="246">
        <f t="shared" si="467"/>
        <v>0</v>
      </c>
    </row>
    <row r="27472" spans="20:20" ht="18.75" customHeight="1" x14ac:dyDescent="0.35">
      <c r="T27472" s="246">
        <f t="shared" si="467"/>
        <v>0</v>
      </c>
    </row>
    <row r="27473" spans="20:20" ht="18.75" customHeight="1" x14ac:dyDescent="0.35">
      <c r="T27473" s="246">
        <f t="shared" si="467"/>
        <v>0</v>
      </c>
    </row>
    <row r="27474" spans="20:20" ht="18.75" customHeight="1" x14ac:dyDescent="0.35">
      <c r="T27474" s="246">
        <f t="shared" si="467"/>
        <v>0</v>
      </c>
    </row>
    <row r="27475" spans="20:20" ht="18.75" customHeight="1" x14ac:dyDescent="0.35">
      <c r="T27475" s="246">
        <f t="shared" si="467"/>
        <v>0</v>
      </c>
    </row>
    <row r="27476" spans="20:20" ht="18.75" customHeight="1" x14ac:dyDescent="0.35">
      <c r="T27476" s="246">
        <f t="shared" si="467"/>
        <v>0</v>
      </c>
    </row>
    <row r="27477" spans="20:20" ht="18.75" customHeight="1" x14ac:dyDescent="0.35">
      <c r="T27477" s="246">
        <f t="shared" si="467"/>
        <v>0</v>
      </c>
    </row>
    <row r="27478" spans="20:20" ht="18.75" customHeight="1" x14ac:dyDescent="0.35">
      <c r="T27478" s="246">
        <f t="shared" si="467"/>
        <v>0</v>
      </c>
    </row>
    <row r="27479" spans="20:20" ht="18.75" customHeight="1" x14ac:dyDescent="0.35">
      <c r="T27479" s="246">
        <f t="shared" si="467"/>
        <v>0</v>
      </c>
    </row>
    <row r="27480" spans="20:20" ht="18.75" customHeight="1" x14ac:dyDescent="0.35">
      <c r="T27480" s="246">
        <f t="shared" si="467"/>
        <v>0</v>
      </c>
    </row>
    <row r="27481" spans="20:20" ht="18.75" customHeight="1" x14ac:dyDescent="0.35">
      <c r="T27481" s="246">
        <f t="shared" si="467"/>
        <v>0</v>
      </c>
    </row>
    <row r="27482" spans="20:20" ht="18.75" customHeight="1" x14ac:dyDescent="0.35">
      <c r="T27482" s="246">
        <f t="shared" si="467"/>
        <v>0</v>
      </c>
    </row>
    <row r="27483" spans="20:20" ht="18.75" customHeight="1" x14ac:dyDescent="0.35">
      <c r="T27483" s="246">
        <f t="shared" si="467"/>
        <v>0</v>
      </c>
    </row>
    <row r="27484" spans="20:20" ht="18.75" customHeight="1" x14ac:dyDescent="0.35">
      <c r="T27484" s="246">
        <f t="shared" si="467"/>
        <v>0</v>
      </c>
    </row>
    <row r="27485" spans="20:20" ht="18.75" customHeight="1" x14ac:dyDescent="0.35">
      <c r="T27485" s="246">
        <f t="shared" si="467"/>
        <v>0</v>
      </c>
    </row>
    <row r="27486" spans="20:20" ht="18.75" customHeight="1" x14ac:dyDescent="0.35">
      <c r="T27486" s="246">
        <f t="shared" si="467"/>
        <v>0</v>
      </c>
    </row>
    <row r="27487" spans="20:20" ht="18.75" customHeight="1" x14ac:dyDescent="0.35">
      <c r="T27487" s="246">
        <f t="shared" si="467"/>
        <v>0</v>
      </c>
    </row>
    <row r="27488" spans="20:20" ht="18.75" customHeight="1" x14ac:dyDescent="0.35">
      <c r="T27488" s="246">
        <f t="shared" si="467"/>
        <v>0</v>
      </c>
    </row>
    <row r="27489" spans="20:20" ht="18.75" customHeight="1" x14ac:dyDescent="0.35">
      <c r="T27489" s="246">
        <f t="shared" si="467"/>
        <v>0</v>
      </c>
    </row>
    <row r="27490" spans="20:20" ht="18.75" customHeight="1" x14ac:dyDescent="0.35">
      <c r="T27490" s="246">
        <f t="shared" si="467"/>
        <v>0</v>
      </c>
    </row>
    <row r="27491" spans="20:20" ht="18.75" customHeight="1" x14ac:dyDescent="0.35">
      <c r="T27491" s="246">
        <f t="shared" si="467"/>
        <v>0</v>
      </c>
    </row>
    <row r="27492" spans="20:20" ht="18.75" customHeight="1" x14ac:dyDescent="0.35">
      <c r="T27492" s="246">
        <f t="shared" si="467"/>
        <v>0</v>
      </c>
    </row>
    <row r="27493" spans="20:20" ht="18.75" customHeight="1" x14ac:dyDescent="0.35">
      <c r="T27493" s="246">
        <f t="shared" si="467"/>
        <v>0</v>
      </c>
    </row>
    <row r="27494" spans="20:20" ht="18.75" customHeight="1" x14ac:dyDescent="0.35">
      <c r="T27494" s="246">
        <f t="shared" si="467"/>
        <v>0</v>
      </c>
    </row>
    <row r="27495" spans="20:20" ht="18.75" customHeight="1" x14ac:dyDescent="0.35">
      <c r="T27495" s="246">
        <f t="shared" si="467"/>
        <v>0</v>
      </c>
    </row>
    <row r="27496" spans="20:20" ht="18.75" customHeight="1" x14ac:dyDescent="0.35">
      <c r="T27496" s="246">
        <f t="shared" si="467"/>
        <v>0</v>
      </c>
    </row>
    <row r="27497" spans="20:20" ht="18.75" customHeight="1" x14ac:dyDescent="0.35">
      <c r="T27497" s="246">
        <f t="shared" si="467"/>
        <v>0</v>
      </c>
    </row>
    <row r="27498" spans="20:20" ht="18.75" customHeight="1" x14ac:dyDescent="0.35">
      <c r="T27498" s="246">
        <f t="shared" si="467"/>
        <v>0</v>
      </c>
    </row>
    <row r="27499" spans="20:20" ht="18.75" customHeight="1" x14ac:dyDescent="0.35">
      <c r="T27499" s="246">
        <f t="shared" si="467"/>
        <v>0</v>
      </c>
    </row>
    <row r="27500" spans="20:20" ht="18.75" customHeight="1" x14ac:dyDescent="0.35">
      <c r="T27500" s="246">
        <f t="shared" si="467"/>
        <v>0</v>
      </c>
    </row>
    <row r="27501" spans="20:20" ht="18.75" customHeight="1" x14ac:dyDescent="0.35">
      <c r="T27501" s="246">
        <f t="shared" si="467"/>
        <v>0</v>
      </c>
    </row>
    <row r="27502" spans="20:20" ht="18.75" customHeight="1" x14ac:dyDescent="0.35">
      <c r="T27502" s="246">
        <f t="shared" si="467"/>
        <v>0</v>
      </c>
    </row>
    <row r="27503" spans="20:20" ht="18.75" customHeight="1" x14ac:dyDescent="0.35">
      <c r="T27503" s="246">
        <f t="shared" si="467"/>
        <v>0</v>
      </c>
    </row>
    <row r="27504" spans="20:20" ht="18.75" customHeight="1" x14ac:dyDescent="0.35">
      <c r="T27504" s="246">
        <f t="shared" si="467"/>
        <v>0</v>
      </c>
    </row>
    <row r="27505" spans="20:20" ht="18.75" customHeight="1" x14ac:dyDescent="0.35">
      <c r="T27505" s="246">
        <f t="shared" si="467"/>
        <v>0</v>
      </c>
    </row>
    <row r="27506" spans="20:20" ht="18.75" customHeight="1" x14ac:dyDescent="0.35">
      <c r="T27506" s="246">
        <f t="shared" si="467"/>
        <v>0</v>
      </c>
    </row>
    <row r="27507" spans="20:20" ht="18.75" customHeight="1" x14ac:dyDescent="0.35">
      <c r="T27507" s="246">
        <f t="shared" si="467"/>
        <v>0</v>
      </c>
    </row>
    <row r="27508" spans="20:20" ht="18.75" customHeight="1" x14ac:dyDescent="0.35">
      <c r="T27508" s="246">
        <f t="shared" si="467"/>
        <v>0</v>
      </c>
    </row>
    <row r="27509" spans="20:20" ht="18.75" customHeight="1" x14ac:dyDescent="0.35">
      <c r="T27509" s="246">
        <f t="shared" si="467"/>
        <v>0</v>
      </c>
    </row>
    <row r="27510" spans="20:20" ht="18.75" customHeight="1" x14ac:dyDescent="0.35">
      <c r="T27510" s="246">
        <f t="shared" si="467"/>
        <v>0</v>
      </c>
    </row>
    <row r="27511" spans="20:20" ht="18.75" customHeight="1" x14ac:dyDescent="0.35">
      <c r="T27511" s="246">
        <f t="shared" si="467"/>
        <v>0</v>
      </c>
    </row>
    <row r="27512" spans="20:20" ht="18.75" customHeight="1" x14ac:dyDescent="0.35">
      <c r="T27512" s="246">
        <f t="shared" si="467"/>
        <v>0</v>
      </c>
    </row>
    <row r="27513" spans="20:20" ht="18.75" customHeight="1" x14ac:dyDescent="0.35">
      <c r="T27513" s="246">
        <f t="shared" si="467"/>
        <v>0</v>
      </c>
    </row>
    <row r="27514" spans="20:20" ht="18.75" customHeight="1" x14ac:dyDescent="0.35">
      <c r="T27514" s="246">
        <f t="shared" si="467"/>
        <v>0</v>
      </c>
    </row>
    <row r="27515" spans="20:20" ht="18.75" customHeight="1" x14ac:dyDescent="0.35">
      <c r="T27515" s="246">
        <f t="shared" si="467"/>
        <v>0</v>
      </c>
    </row>
    <row r="27516" spans="20:20" ht="18.75" customHeight="1" x14ac:dyDescent="0.35">
      <c r="T27516" s="246">
        <f t="shared" ref="T27516:T27579" si="468">R27516*0.01</f>
        <v>0</v>
      </c>
    </row>
    <row r="27517" spans="20:20" ht="18.75" customHeight="1" x14ac:dyDescent="0.35">
      <c r="T27517" s="246">
        <f t="shared" si="468"/>
        <v>0</v>
      </c>
    </row>
    <row r="27518" spans="20:20" ht="18.75" customHeight="1" x14ac:dyDescent="0.35">
      <c r="T27518" s="246">
        <f t="shared" si="468"/>
        <v>0</v>
      </c>
    </row>
    <row r="27519" spans="20:20" ht="18.75" customHeight="1" x14ac:dyDescent="0.35">
      <c r="T27519" s="246">
        <f t="shared" si="468"/>
        <v>0</v>
      </c>
    </row>
    <row r="27520" spans="20:20" ht="18.75" customHeight="1" x14ac:dyDescent="0.35">
      <c r="T27520" s="246">
        <f t="shared" si="468"/>
        <v>0</v>
      </c>
    </row>
    <row r="27521" spans="20:20" ht="18.75" customHeight="1" x14ac:dyDescent="0.35">
      <c r="T27521" s="246">
        <f t="shared" si="468"/>
        <v>0</v>
      </c>
    </row>
    <row r="27522" spans="20:20" ht="18.75" customHeight="1" x14ac:dyDescent="0.35">
      <c r="T27522" s="246">
        <f t="shared" si="468"/>
        <v>0</v>
      </c>
    </row>
    <row r="27523" spans="20:20" ht="18.75" customHeight="1" x14ac:dyDescent="0.35">
      <c r="T27523" s="246">
        <f t="shared" si="468"/>
        <v>0</v>
      </c>
    </row>
    <row r="27524" spans="20:20" ht="18.75" customHeight="1" x14ac:dyDescent="0.35">
      <c r="T27524" s="246">
        <f t="shared" si="468"/>
        <v>0</v>
      </c>
    </row>
    <row r="27525" spans="20:20" ht="18.75" customHeight="1" x14ac:dyDescent="0.35">
      <c r="T27525" s="246">
        <f t="shared" si="468"/>
        <v>0</v>
      </c>
    </row>
    <row r="27526" spans="20:20" ht="18.75" customHeight="1" x14ac:dyDescent="0.35">
      <c r="T27526" s="246">
        <f t="shared" si="468"/>
        <v>0</v>
      </c>
    </row>
    <row r="27527" spans="20:20" ht="18.75" customHeight="1" x14ac:dyDescent="0.35">
      <c r="T27527" s="246">
        <f t="shared" si="468"/>
        <v>0</v>
      </c>
    </row>
    <row r="27528" spans="20:20" ht="18.75" customHeight="1" x14ac:dyDescent="0.35">
      <c r="T27528" s="246">
        <f t="shared" si="468"/>
        <v>0</v>
      </c>
    </row>
    <row r="27529" spans="20:20" ht="18.75" customHeight="1" x14ac:dyDescent="0.35">
      <c r="T27529" s="246">
        <f t="shared" si="468"/>
        <v>0</v>
      </c>
    </row>
    <row r="27530" spans="20:20" ht="18.75" customHeight="1" x14ac:dyDescent="0.35">
      <c r="T27530" s="246">
        <f t="shared" si="468"/>
        <v>0</v>
      </c>
    </row>
    <row r="27531" spans="20:20" ht="18.75" customHeight="1" x14ac:dyDescent="0.35">
      <c r="T27531" s="246">
        <f t="shared" si="468"/>
        <v>0</v>
      </c>
    </row>
    <row r="27532" spans="20:20" ht="18.75" customHeight="1" x14ac:dyDescent="0.35">
      <c r="T27532" s="246">
        <f t="shared" si="468"/>
        <v>0</v>
      </c>
    </row>
    <row r="27533" spans="20:20" ht="18.75" customHeight="1" x14ac:dyDescent="0.35">
      <c r="T27533" s="246">
        <f t="shared" si="468"/>
        <v>0</v>
      </c>
    </row>
    <row r="27534" spans="20:20" ht="18.75" customHeight="1" x14ac:dyDescent="0.35">
      <c r="T27534" s="246">
        <f t="shared" si="468"/>
        <v>0</v>
      </c>
    </row>
    <row r="27535" spans="20:20" ht="18.75" customHeight="1" x14ac:dyDescent="0.35">
      <c r="T27535" s="246">
        <f t="shared" si="468"/>
        <v>0</v>
      </c>
    </row>
    <row r="27536" spans="20:20" ht="18.75" customHeight="1" x14ac:dyDescent="0.35">
      <c r="T27536" s="246">
        <f t="shared" si="468"/>
        <v>0</v>
      </c>
    </row>
    <row r="27537" spans="20:20" ht="18.75" customHeight="1" x14ac:dyDescent="0.35">
      <c r="T27537" s="246">
        <f t="shared" si="468"/>
        <v>0</v>
      </c>
    </row>
    <row r="27538" spans="20:20" ht="18.75" customHeight="1" x14ac:dyDescent="0.35">
      <c r="T27538" s="246">
        <f t="shared" si="468"/>
        <v>0</v>
      </c>
    </row>
    <row r="27539" spans="20:20" ht="18.75" customHeight="1" x14ac:dyDescent="0.35">
      <c r="T27539" s="246">
        <f t="shared" si="468"/>
        <v>0</v>
      </c>
    </row>
    <row r="27540" spans="20:20" ht="18.75" customHeight="1" x14ac:dyDescent="0.35">
      <c r="T27540" s="246">
        <f t="shared" si="468"/>
        <v>0</v>
      </c>
    </row>
    <row r="27541" spans="20:20" ht="18.75" customHeight="1" x14ac:dyDescent="0.35">
      <c r="T27541" s="246">
        <f t="shared" si="468"/>
        <v>0</v>
      </c>
    </row>
    <row r="27542" spans="20:20" ht="18.75" customHeight="1" x14ac:dyDescent="0.35">
      <c r="T27542" s="246">
        <f t="shared" si="468"/>
        <v>0</v>
      </c>
    </row>
    <row r="27543" spans="20:20" ht="18.75" customHeight="1" x14ac:dyDescent="0.35">
      <c r="T27543" s="246">
        <f t="shared" si="468"/>
        <v>0</v>
      </c>
    </row>
    <row r="27544" spans="20:20" ht="18.75" customHeight="1" x14ac:dyDescent="0.35">
      <c r="T27544" s="246">
        <f t="shared" si="468"/>
        <v>0</v>
      </c>
    </row>
    <row r="27545" spans="20:20" ht="18.75" customHeight="1" x14ac:dyDescent="0.35">
      <c r="T27545" s="246">
        <f t="shared" si="468"/>
        <v>0</v>
      </c>
    </row>
    <row r="27546" spans="20:20" ht="18.75" customHeight="1" x14ac:dyDescent="0.35">
      <c r="T27546" s="246">
        <f t="shared" si="468"/>
        <v>0</v>
      </c>
    </row>
    <row r="27547" spans="20:20" ht="18.75" customHeight="1" x14ac:dyDescent="0.35">
      <c r="T27547" s="246">
        <f t="shared" si="468"/>
        <v>0</v>
      </c>
    </row>
    <row r="27548" spans="20:20" ht="18.75" customHeight="1" x14ac:dyDescent="0.35">
      <c r="T27548" s="246">
        <f t="shared" si="468"/>
        <v>0</v>
      </c>
    </row>
    <row r="27549" spans="20:20" ht="18.75" customHeight="1" x14ac:dyDescent="0.35">
      <c r="T27549" s="246">
        <f t="shared" si="468"/>
        <v>0</v>
      </c>
    </row>
    <row r="27550" spans="20:20" ht="18.75" customHeight="1" x14ac:dyDescent="0.35">
      <c r="T27550" s="246">
        <f t="shared" si="468"/>
        <v>0</v>
      </c>
    </row>
    <row r="27551" spans="20:20" ht="18.75" customHeight="1" x14ac:dyDescent="0.35">
      <c r="T27551" s="246">
        <f t="shared" si="468"/>
        <v>0</v>
      </c>
    </row>
    <row r="27552" spans="20:20" ht="18.75" customHeight="1" x14ac:dyDescent="0.35">
      <c r="T27552" s="246">
        <f t="shared" si="468"/>
        <v>0</v>
      </c>
    </row>
    <row r="27553" spans="20:20" ht="18.75" customHeight="1" x14ac:dyDescent="0.35">
      <c r="T27553" s="246">
        <f t="shared" si="468"/>
        <v>0</v>
      </c>
    </row>
    <row r="27554" spans="20:20" ht="18.75" customHeight="1" x14ac:dyDescent="0.35">
      <c r="T27554" s="246">
        <f t="shared" si="468"/>
        <v>0</v>
      </c>
    </row>
    <row r="27555" spans="20:20" ht="18.75" customHeight="1" x14ac:dyDescent="0.35">
      <c r="T27555" s="246">
        <f t="shared" si="468"/>
        <v>0</v>
      </c>
    </row>
    <row r="27556" spans="20:20" ht="18.75" customHeight="1" x14ac:dyDescent="0.35">
      <c r="T27556" s="246">
        <f t="shared" si="468"/>
        <v>0</v>
      </c>
    </row>
    <row r="27557" spans="20:20" ht="18.75" customHeight="1" x14ac:dyDescent="0.35">
      <c r="T27557" s="246">
        <f t="shared" si="468"/>
        <v>0</v>
      </c>
    </row>
    <row r="27558" spans="20:20" ht="18.75" customHeight="1" x14ac:dyDescent="0.35">
      <c r="T27558" s="246">
        <f t="shared" si="468"/>
        <v>0</v>
      </c>
    </row>
    <row r="27559" spans="20:20" ht="18.75" customHeight="1" x14ac:dyDescent="0.35">
      <c r="T27559" s="246">
        <f t="shared" si="468"/>
        <v>0</v>
      </c>
    </row>
    <row r="27560" spans="20:20" ht="18.75" customHeight="1" x14ac:dyDescent="0.35">
      <c r="T27560" s="246">
        <f t="shared" si="468"/>
        <v>0</v>
      </c>
    </row>
    <row r="27561" spans="20:20" ht="18.75" customHeight="1" x14ac:dyDescent="0.35">
      <c r="T27561" s="246">
        <f t="shared" si="468"/>
        <v>0</v>
      </c>
    </row>
    <row r="27562" spans="20:20" ht="18.75" customHeight="1" x14ac:dyDescent="0.35">
      <c r="T27562" s="246">
        <f t="shared" si="468"/>
        <v>0</v>
      </c>
    </row>
    <row r="27563" spans="20:20" ht="18.75" customHeight="1" x14ac:dyDescent="0.35">
      <c r="T27563" s="246">
        <f t="shared" si="468"/>
        <v>0</v>
      </c>
    </row>
    <row r="27564" spans="20:20" ht="18.75" customHeight="1" x14ac:dyDescent="0.35">
      <c r="T27564" s="246">
        <f t="shared" si="468"/>
        <v>0</v>
      </c>
    </row>
    <row r="27565" spans="20:20" ht="18.75" customHeight="1" x14ac:dyDescent="0.35">
      <c r="T27565" s="246">
        <f t="shared" si="468"/>
        <v>0</v>
      </c>
    </row>
    <row r="27566" spans="20:20" ht="18.75" customHeight="1" x14ac:dyDescent="0.35">
      <c r="T27566" s="246">
        <f t="shared" si="468"/>
        <v>0</v>
      </c>
    </row>
    <row r="27567" spans="20:20" ht="18.75" customHeight="1" x14ac:dyDescent="0.35">
      <c r="T27567" s="246">
        <f t="shared" si="468"/>
        <v>0</v>
      </c>
    </row>
    <row r="27568" spans="20:20" ht="18.75" customHeight="1" x14ac:dyDescent="0.35">
      <c r="T27568" s="246">
        <f t="shared" si="468"/>
        <v>0</v>
      </c>
    </row>
    <row r="27569" spans="20:20" ht="18.75" customHeight="1" x14ac:dyDescent="0.35">
      <c r="T27569" s="246">
        <f t="shared" si="468"/>
        <v>0</v>
      </c>
    </row>
    <row r="27570" spans="20:20" ht="18.75" customHeight="1" x14ac:dyDescent="0.35">
      <c r="T27570" s="246">
        <f t="shared" si="468"/>
        <v>0</v>
      </c>
    </row>
    <row r="27571" spans="20:20" ht="18.75" customHeight="1" x14ac:dyDescent="0.35">
      <c r="T27571" s="246">
        <f t="shared" si="468"/>
        <v>0</v>
      </c>
    </row>
    <row r="27572" spans="20:20" ht="18.75" customHeight="1" x14ac:dyDescent="0.35">
      <c r="T27572" s="246">
        <f t="shared" si="468"/>
        <v>0</v>
      </c>
    </row>
    <row r="27573" spans="20:20" ht="18.75" customHeight="1" x14ac:dyDescent="0.35">
      <c r="T27573" s="246">
        <f t="shared" si="468"/>
        <v>0</v>
      </c>
    </row>
    <row r="27574" spans="20:20" ht="18.75" customHeight="1" x14ac:dyDescent="0.35">
      <c r="T27574" s="246">
        <f t="shared" si="468"/>
        <v>0</v>
      </c>
    </row>
    <row r="27575" spans="20:20" ht="18.75" customHeight="1" x14ac:dyDescent="0.35">
      <c r="T27575" s="246">
        <f t="shared" si="468"/>
        <v>0</v>
      </c>
    </row>
    <row r="27576" spans="20:20" ht="18.75" customHeight="1" x14ac:dyDescent="0.35">
      <c r="T27576" s="246">
        <f t="shared" si="468"/>
        <v>0</v>
      </c>
    </row>
    <row r="27577" spans="20:20" ht="18.75" customHeight="1" x14ac:dyDescent="0.35">
      <c r="T27577" s="246">
        <f t="shared" si="468"/>
        <v>0</v>
      </c>
    </row>
    <row r="27578" spans="20:20" ht="18.75" customHeight="1" x14ac:dyDescent="0.35">
      <c r="T27578" s="246">
        <f t="shared" si="468"/>
        <v>0</v>
      </c>
    </row>
    <row r="27579" spans="20:20" ht="18.75" customHeight="1" x14ac:dyDescent="0.35">
      <c r="T27579" s="246">
        <f t="shared" si="468"/>
        <v>0</v>
      </c>
    </row>
    <row r="27580" spans="20:20" ht="18.75" customHeight="1" x14ac:dyDescent="0.35">
      <c r="T27580" s="246">
        <f t="shared" ref="T27580:T27643" si="469">R27580*0.01</f>
        <v>0</v>
      </c>
    </row>
    <row r="27581" spans="20:20" ht="18.75" customHeight="1" x14ac:dyDescent="0.35">
      <c r="T27581" s="246">
        <f t="shared" si="469"/>
        <v>0</v>
      </c>
    </row>
    <row r="27582" spans="20:20" ht="18.75" customHeight="1" x14ac:dyDescent="0.35">
      <c r="T27582" s="246">
        <f t="shared" si="469"/>
        <v>0</v>
      </c>
    </row>
    <row r="27583" spans="20:20" ht="18.75" customHeight="1" x14ac:dyDescent="0.35">
      <c r="T27583" s="246">
        <f t="shared" si="469"/>
        <v>0</v>
      </c>
    </row>
    <row r="27584" spans="20:20" ht="18.75" customHeight="1" x14ac:dyDescent="0.35">
      <c r="T27584" s="246">
        <f t="shared" si="469"/>
        <v>0</v>
      </c>
    </row>
    <row r="27585" spans="20:20" ht="18.75" customHeight="1" x14ac:dyDescent="0.35">
      <c r="T27585" s="246">
        <f t="shared" si="469"/>
        <v>0</v>
      </c>
    </row>
    <row r="27586" spans="20:20" ht="18.75" customHeight="1" x14ac:dyDescent="0.35">
      <c r="T27586" s="246">
        <f t="shared" si="469"/>
        <v>0</v>
      </c>
    </row>
    <row r="27587" spans="20:20" ht="18.75" customHeight="1" x14ac:dyDescent="0.35">
      <c r="T27587" s="246">
        <f t="shared" si="469"/>
        <v>0</v>
      </c>
    </row>
    <row r="27588" spans="20:20" ht="18.75" customHeight="1" x14ac:dyDescent="0.35">
      <c r="T27588" s="246">
        <f t="shared" si="469"/>
        <v>0</v>
      </c>
    </row>
    <row r="27589" spans="20:20" ht="18.75" customHeight="1" x14ac:dyDescent="0.35">
      <c r="T27589" s="246">
        <f t="shared" si="469"/>
        <v>0</v>
      </c>
    </row>
    <row r="27590" spans="20:20" ht="18.75" customHeight="1" x14ac:dyDescent="0.35">
      <c r="T27590" s="246">
        <f t="shared" si="469"/>
        <v>0</v>
      </c>
    </row>
    <row r="27591" spans="20:20" ht="18.75" customHeight="1" x14ac:dyDescent="0.35">
      <c r="T27591" s="246">
        <f t="shared" si="469"/>
        <v>0</v>
      </c>
    </row>
    <row r="27592" spans="20:20" ht="18.75" customHeight="1" x14ac:dyDescent="0.35">
      <c r="T27592" s="246">
        <f t="shared" si="469"/>
        <v>0</v>
      </c>
    </row>
    <row r="27593" spans="20:20" ht="18.75" customHeight="1" x14ac:dyDescent="0.35">
      <c r="T27593" s="246">
        <f t="shared" si="469"/>
        <v>0</v>
      </c>
    </row>
    <row r="27594" spans="20:20" ht="18.75" customHeight="1" x14ac:dyDescent="0.35">
      <c r="T27594" s="246">
        <f t="shared" si="469"/>
        <v>0</v>
      </c>
    </row>
    <row r="27595" spans="20:20" ht="18.75" customHeight="1" x14ac:dyDescent="0.35">
      <c r="T27595" s="246">
        <f t="shared" si="469"/>
        <v>0</v>
      </c>
    </row>
    <row r="27596" spans="20:20" ht="18.75" customHeight="1" x14ac:dyDescent="0.35">
      <c r="T27596" s="246">
        <f t="shared" si="469"/>
        <v>0</v>
      </c>
    </row>
    <row r="27597" spans="20:20" ht="18.75" customHeight="1" x14ac:dyDescent="0.35">
      <c r="T27597" s="246">
        <f t="shared" si="469"/>
        <v>0</v>
      </c>
    </row>
    <row r="27598" spans="20:20" ht="18.75" customHeight="1" x14ac:dyDescent="0.35">
      <c r="T27598" s="246">
        <f t="shared" si="469"/>
        <v>0</v>
      </c>
    </row>
    <row r="27599" spans="20:20" ht="18.75" customHeight="1" x14ac:dyDescent="0.35">
      <c r="T27599" s="246">
        <f t="shared" si="469"/>
        <v>0</v>
      </c>
    </row>
    <row r="27600" spans="20:20" ht="18.75" customHeight="1" x14ac:dyDescent="0.35">
      <c r="T27600" s="246">
        <f t="shared" si="469"/>
        <v>0</v>
      </c>
    </row>
    <row r="27601" spans="20:20" ht="18.75" customHeight="1" x14ac:dyDescent="0.35">
      <c r="T27601" s="246">
        <f t="shared" si="469"/>
        <v>0</v>
      </c>
    </row>
    <row r="27602" spans="20:20" ht="18.75" customHeight="1" x14ac:dyDescent="0.35">
      <c r="T27602" s="246">
        <f t="shared" si="469"/>
        <v>0</v>
      </c>
    </row>
    <row r="27603" spans="20:20" ht="18.75" customHeight="1" x14ac:dyDescent="0.35">
      <c r="T27603" s="246">
        <f t="shared" si="469"/>
        <v>0</v>
      </c>
    </row>
    <row r="27604" spans="20:20" ht="18.75" customHeight="1" x14ac:dyDescent="0.35">
      <c r="T27604" s="246">
        <f t="shared" si="469"/>
        <v>0</v>
      </c>
    </row>
    <row r="27605" spans="20:20" ht="18.75" customHeight="1" x14ac:dyDescent="0.35">
      <c r="T27605" s="246">
        <f t="shared" si="469"/>
        <v>0</v>
      </c>
    </row>
    <row r="27606" spans="20:20" ht="18.75" customHeight="1" x14ac:dyDescent="0.35">
      <c r="T27606" s="246">
        <f t="shared" si="469"/>
        <v>0</v>
      </c>
    </row>
    <row r="27607" spans="20:20" ht="18.75" customHeight="1" x14ac:dyDescent="0.35">
      <c r="T27607" s="246">
        <f t="shared" si="469"/>
        <v>0</v>
      </c>
    </row>
    <row r="27608" spans="20:20" ht="18.75" customHeight="1" x14ac:dyDescent="0.35">
      <c r="T27608" s="246">
        <f t="shared" si="469"/>
        <v>0</v>
      </c>
    </row>
    <row r="27609" spans="20:20" ht="18.75" customHeight="1" x14ac:dyDescent="0.35">
      <c r="T27609" s="246">
        <f t="shared" si="469"/>
        <v>0</v>
      </c>
    </row>
    <row r="27610" spans="20:20" ht="18.75" customHeight="1" x14ac:dyDescent="0.35">
      <c r="T27610" s="246">
        <f t="shared" si="469"/>
        <v>0</v>
      </c>
    </row>
    <row r="27611" spans="20:20" ht="18.75" customHeight="1" x14ac:dyDescent="0.35">
      <c r="T27611" s="246">
        <f t="shared" si="469"/>
        <v>0</v>
      </c>
    </row>
    <row r="27612" spans="20:20" ht="18.75" customHeight="1" x14ac:dyDescent="0.35">
      <c r="T27612" s="246">
        <f t="shared" si="469"/>
        <v>0</v>
      </c>
    </row>
    <row r="27613" spans="20:20" ht="18.75" customHeight="1" x14ac:dyDescent="0.35">
      <c r="T27613" s="246">
        <f t="shared" si="469"/>
        <v>0</v>
      </c>
    </row>
    <row r="27614" spans="20:20" ht="18.75" customHeight="1" x14ac:dyDescent="0.35">
      <c r="T27614" s="246">
        <f t="shared" si="469"/>
        <v>0</v>
      </c>
    </row>
    <row r="27615" spans="20:20" ht="18.75" customHeight="1" x14ac:dyDescent="0.35">
      <c r="T27615" s="246">
        <f t="shared" si="469"/>
        <v>0</v>
      </c>
    </row>
    <row r="27616" spans="20:20" ht="18.75" customHeight="1" x14ac:dyDescent="0.35">
      <c r="T27616" s="246">
        <f t="shared" si="469"/>
        <v>0</v>
      </c>
    </row>
    <row r="27617" spans="20:20" ht="18.75" customHeight="1" x14ac:dyDescent="0.35">
      <c r="T27617" s="246">
        <f t="shared" si="469"/>
        <v>0</v>
      </c>
    </row>
    <row r="27618" spans="20:20" ht="18.75" customHeight="1" x14ac:dyDescent="0.35">
      <c r="T27618" s="246">
        <f t="shared" si="469"/>
        <v>0</v>
      </c>
    </row>
    <row r="27619" spans="20:20" ht="18.75" customHeight="1" x14ac:dyDescent="0.35">
      <c r="T27619" s="246">
        <f t="shared" si="469"/>
        <v>0</v>
      </c>
    </row>
    <row r="27620" spans="20:20" ht="18.75" customHeight="1" x14ac:dyDescent="0.35">
      <c r="T27620" s="246">
        <f t="shared" si="469"/>
        <v>0</v>
      </c>
    </row>
    <row r="27621" spans="20:20" ht="18.75" customHeight="1" x14ac:dyDescent="0.35">
      <c r="T27621" s="246">
        <f t="shared" si="469"/>
        <v>0</v>
      </c>
    </row>
    <row r="27622" spans="20:20" ht="18.75" customHeight="1" x14ac:dyDescent="0.35">
      <c r="T27622" s="246">
        <f t="shared" si="469"/>
        <v>0</v>
      </c>
    </row>
    <row r="27623" spans="20:20" ht="18.75" customHeight="1" x14ac:dyDescent="0.35">
      <c r="T27623" s="246">
        <f t="shared" si="469"/>
        <v>0</v>
      </c>
    </row>
    <row r="27624" spans="20:20" ht="18.75" customHeight="1" x14ac:dyDescent="0.35">
      <c r="T27624" s="246">
        <f t="shared" si="469"/>
        <v>0</v>
      </c>
    </row>
    <row r="27625" spans="20:20" ht="18.75" customHeight="1" x14ac:dyDescent="0.35">
      <c r="T27625" s="246">
        <f t="shared" si="469"/>
        <v>0</v>
      </c>
    </row>
    <row r="27626" spans="20:20" ht="18.75" customHeight="1" x14ac:dyDescent="0.35">
      <c r="T27626" s="246">
        <f t="shared" si="469"/>
        <v>0</v>
      </c>
    </row>
    <row r="27627" spans="20:20" ht="18.75" customHeight="1" x14ac:dyDescent="0.35">
      <c r="T27627" s="246">
        <f t="shared" si="469"/>
        <v>0</v>
      </c>
    </row>
    <row r="27628" spans="20:20" ht="18.75" customHeight="1" x14ac:dyDescent="0.35">
      <c r="T27628" s="246">
        <f t="shared" si="469"/>
        <v>0</v>
      </c>
    </row>
    <row r="27629" spans="20:20" ht="18.75" customHeight="1" x14ac:dyDescent="0.35">
      <c r="T27629" s="246">
        <f t="shared" si="469"/>
        <v>0</v>
      </c>
    </row>
    <row r="27630" spans="20:20" ht="18.75" customHeight="1" x14ac:dyDescent="0.35">
      <c r="T27630" s="246">
        <f t="shared" si="469"/>
        <v>0</v>
      </c>
    </row>
    <row r="27631" spans="20:20" ht="18.75" customHeight="1" x14ac:dyDescent="0.35">
      <c r="T27631" s="246">
        <f t="shared" si="469"/>
        <v>0</v>
      </c>
    </row>
    <row r="27632" spans="20:20" ht="18.75" customHeight="1" x14ac:dyDescent="0.35">
      <c r="T27632" s="246">
        <f t="shared" si="469"/>
        <v>0</v>
      </c>
    </row>
    <row r="27633" spans="20:20" ht="18.75" customHeight="1" x14ac:dyDescent="0.35">
      <c r="T27633" s="246">
        <f t="shared" si="469"/>
        <v>0</v>
      </c>
    </row>
    <row r="27634" spans="20:20" ht="18.75" customHeight="1" x14ac:dyDescent="0.35">
      <c r="T27634" s="246">
        <f t="shared" si="469"/>
        <v>0</v>
      </c>
    </row>
    <row r="27635" spans="20:20" ht="18.75" customHeight="1" x14ac:dyDescent="0.35">
      <c r="T27635" s="246">
        <f t="shared" si="469"/>
        <v>0</v>
      </c>
    </row>
    <row r="27636" spans="20:20" ht="18.75" customHeight="1" x14ac:dyDescent="0.35">
      <c r="T27636" s="246">
        <f t="shared" si="469"/>
        <v>0</v>
      </c>
    </row>
    <row r="27637" spans="20:20" ht="18.75" customHeight="1" x14ac:dyDescent="0.35">
      <c r="T27637" s="246">
        <f t="shared" si="469"/>
        <v>0</v>
      </c>
    </row>
    <row r="27638" spans="20:20" ht="18.75" customHeight="1" x14ac:dyDescent="0.35">
      <c r="T27638" s="246">
        <f t="shared" si="469"/>
        <v>0</v>
      </c>
    </row>
    <row r="27639" spans="20:20" ht="18.75" customHeight="1" x14ac:dyDescent="0.35">
      <c r="T27639" s="246">
        <f t="shared" si="469"/>
        <v>0</v>
      </c>
    </row>
    <row r="27640" spans="20:20" ht="18.75" customHeight="1" x14ac:dyDescent="0.35">
      <c r="T27640" s="246">
        <f t="shared" si="469"/>
        <v>0</v>
      </c>
    </row>
    <row r="27641" spans="20:20" ht="18.75" customHeight="1" x14ac:dyDescent="0.35">
      <c r="T27641" s="246">
        <f t="shared" si="469"/>
        <v>0</v>
      </c>
    </row>
    <row r="27642" spans="20:20" ht="18.75" customHeight="1" x14ac:dyDescent="0.35">
      <c r="T27642" s="246">
        <f t="shared" si="469"/>
        <v>0</v>
      </c>
    </row>
    <row r="27643" spans="20:20" ht="18.75" customHeight="1" x14ac:dyDescent="0.35">
      <c r="T27643" s="246">
        <f t="shared" si="469"/>
        <v>0</v>
      </c>
    </row>
    <row r="27644" spans="20:20" ht="18.75" customHeight="1" x14ac:dyDescent="0.35">
      <c r="T27644" s="246">
        <f t="shared" ref="T27644:T27707" si="470">R27644*0.01</f>
        <v>0</v>
      </c>
    </row>
    <row r="27645" spans="20:20" ht="18.75" customHeight="1" x14ac:dyDescent="0.35">
      <c r="T27645" s="246">
        <f t="shared" si="470"/>
        <v>0</v>
      </c>
    </row>
    <row r="27646" spans="20:20" ht="18.75" customHeight="1" x14ac:dyDescent="0.35">
      <c r="T27646" s="246">
        <f t="shared" si="470"/>
        <v>0</v>
      </c>
    </row>
    <row r="27647" spans="20:20" ht="18.75" customHeight="1" x14ac:dyDescent="0.35">
      <c r="T27647" s="246">
        <f t="shared" si="470"/>
        <v>0</v>
      </c>
    </row>
    <row r="27648" spans="20:20" ht="18.75" customHeight="1" x14ac:dyDescent="0.35">
      <c r="T27648" s="246">
        <f t="shared" si="470"/>
        <v>0</v>
      </c>
    </row>
    <row r="27649" spans="20:20" ht="18.75" customHeight="1" x14ac:dyDescent="0.35">
      <c r="T27649" s="246">
        <f t="shared" si="470"/>
        <v>0</v>
      </c>
    </row>
    <row r="27650" spans="20:20" ht="18.75" customHeight="1" x14ac:dyDescent="0.35">
      <c r="T27650" s="246">
        <f t="shared" si="470"/>
        <v>0</v>
      </c>
    </row>
    <row r="27651" spans="20:20" ht="18.75" customHeight="1" x14ac:dyDescent="0.35">
      <c r="T27651" s="246">
        <f t="shared" si="470"/>
        <v>0</v>
      </c>
    </row>
    <row r="27652" spans="20:20" ht="18.75" customHeight="1" x14ac:dyDescent="0.35">
      <c r="T27652" s="246">
        <f t="shared" si="470"/>
        <v>0</v>
      </c>
    </row>
    <row r="27653" spans="20:20" ht="18.75" customHeight="1" x14ac:dyDescent="0.35">
      <c r="T27653" s="246">
        <f t="shared" si="470"/>
        <v>0</v>
      </c>
    </row>
    <row r="27654" spans="20:20" ht="18.75" customHeight="1" x14ac:dyDescent="0.35">
      <c r="T27654" s="246">
        <f t="shared" si="470"/>
        <v>0</v>
      </c>
    </row>
    <row r="27655" spans="20:20" ht="18.75" customHeight="1" x14ac:dyDescent="0.35">
      <c r="T27655" s="246">
        <f t="shared" si="470"/>
        <v>0</v>
      </c>
    </row>
    <row r="27656" spans="20:20" ht="18.75" customHeight="1" x14ac:dyDescent="0.35">
      <c r="T27656" s="246">
        <f t="shared" si="470"/>
        <v>0</v>
      </c>
    </row>
    <row r="27657" spans="20:20" ht="18.75" customHeight="1" x14ac:dyDescent="0.35">
      <c r="T27657" s="246">
        <f t="shared" si="470"/>
        <v>0</v>
      </c>
    </row>
    <row r="27658" spans="20:20" ht="18.75" customHeight="1" x14ac:dyDescent="0.35">
      <c r="T27658" s="246">
        <f t="shared" si="470"/>
        <v>0</v>
      </c>
    </row>
    <row r="27659" spans="20:20" ht="18.75" customHeight="1" x14ac:dyDescent="0.35">
      <c r="T27659" s="246">
        <f t="shared" si="470"/>
        <v>0</v>
      </c>
    </row>
    <row r="27660" spans="20:20" ht="18.75" customHeight="1" x14ac:dyDescent="0.35">
      <c r="T27660" s="246">
        <f t="shared" si="470"/>
        <v>0</v>
      </c>
    </row>
    <row r="27661" spans="20:20" ht="18.75" customHeight="1" x14ac:dyDescent="0.35">
      <c r="T27661" s="246">
        <f t="shared" si="470"/>
        <v>0</v>
      </c>
    </row>
    <row r="27662" spans="20:20" ht="18.75" customHeight="1" x14ac:dyDescent="0.35">
      <c r="T27662" s="246">
        <f t="shared" si="470"/>
        <v>0</v>
      </c>
    </row>
    <row r="27663" spans="20:20" ht="18.75" customHeight="1" x14ac:dyDescent="0.35">
      <c r="T27663" s="246">
        <f t="shared" si="470"/>
        <v>0</v>
      </c>
    </row>
    <row r="27664" spans="20:20" ht="18.75" customHeight="1" x14ac:dyDescent="0.35">
      <c r="T27664" s="246">
        <f t="shared" si="470"/>
        <v>0</v>
      </c>
    </row>
    <row r="27665" spans="20:20" ht="18.75" customHeight="1" x14ac:dyDescent="0.35">
      <c r="T27665" s="246">
        <f t="shared" si="470"/>
        <v>0</v>
      </c>
    </row>
    <row r="27666" spans="20:20" ht="18.75" customHeight="1" x14ac:dyDescent="0.35">
      <c r="T27666" s="246">
        <f t="shared" si="470"/>
        <v>0</v>
      </c>
    </row>
    <row r="27667" spans="20:20" ht="18.75" customHeight="1" x14ac:dyDescent="0.35">
      <c r="T27667" s="246">
        <f t="shared" si="470"/>
        <v>0</v>
      </c>
    </row>
    <row r="27668" spans="20:20" ht="18.75" customHeight="1" x14ac:dyDescent="0.35">
      <c r="T27668" s="246">
        <f t="shared" si="470"/>
        <v>0</v>
      </c>
    </row>
    <row r="27669" spans="20:20" ht="18.75" customHeight="1" x14ac:dyDescent="0.35">
      <c r="T27669" s="246">
        <f t="shared" si="470"/>
        <v>0</v>
      </c>
    </row>
    <row r="27670" spans="20:20" ht="18.75" customHeight="1" x14ac:dyDescent="0.35">
      <c r="T27670" s="246">
        <f t="shared" si="470"/>
        <v>0</v>
      </c>
    </row>
    <row r="27671" spans="20:20" ht="18.75" customHeight="1" x14ac:dyDescent="0.35">
      <c r="T27671" s="246">
        <f t="shared" si="470"/>
        <v>0</v>
      </c>
    </row>
    <row r="27672" spans="20:20" ht="18.75" customHeight="1" x14ac:dyDescent="0.35">
      <c r="T27672" s="246">
        <f t="shared" si="470"/>
        <v>0</v>
      </c>
    </row>
    <row r="27673" spans="20:20" ht="18.75" customHeight="1" x14ac:dyDescent="0.35">
      <c r="T27673" s="246">
        <f t="shared" si="470"/>
        <v>0</v>
      </c>
    </row>
    <row r="27674" spans="20:20" ht="18.75" customHeight="1" x14ac:dyDescent="0.35">
      <c r="T27674" s="246">
        <f t="shared" si="470"/>
        <v>0</v>
      </c>
    </row>
    <row r="27675" spans="20:20" ht="18.75" customHeight="1" x14ac:dyDescent="0.35">
      <c r="T27675" s="246">
        <f t="shared" si="470"/>
        <v>0</v>
      </c>
    </row>
    <row r="27676" spans="20:20" ht="18.75" customHeight="1" x14ac:dyDescent="0.35">
      <c r="T27676" s="246">
        <f t="shared" si="470"/>
        <v>0</v>
      </c>
    </row>
    <row r="27677" spans="20:20" ht="18.75" customHeight="1" x14ac:dyDescent="0.35">
      <c r="T27677" s="246">
        <f t="shared" si="470"/>
        <v>0</v>
      </c>
    </row>
    <row r="27678" spans="20:20" ht="18.75" customHeight="1" x14ac:dyDescent="0.35">
      <c r="T27678" s="246">
        <f t="shared" si="470"/>
        <v>0</v>
      </c>
    </row>
    <row r="27679" spans="20:20" ht="18.75" customHeight="1" x14ac:dyDescent="0.35">
      <c r="T27679" s="246">
        <f t="shared" si="470"/>
        <v>0</v>
      </c>
    </row>
    <row r="27680" spans="20:20" ht="18.75" customHeight="1" x14ac:dyDescent="0.35">
      <c r="T27680" s="246">
        <f t="shared" si="470"/>
        <v>0</v>
      </c>
    </row>
    <row r="27681" spans="20:20" ht="18.75" customHeight="1" x14ac:dyDescent="0.35">
      <c r="T27681" s="246">
        <f t="shared" si="470"/>
        <v>0</v>
      </c>
    </row>
    <row r="27682" spans="20:20" ht="18.75" customHeight="1" x14ac:dyDescent="0.35">
      <c r="T27682" s="246">
        <f t="shared" si="470"/>
        <v>0</v>
      </c>
    </row>
    <row r="27683" spans="20:20" ht="18.75" customHeight="1" x14ac:dyDescent="0.35">
      <c r="T27683" s="246">
        <f t="shared" si="470"/>
        <v>0</v>
      </c>
    </row>
    <row r="27684" spans="20:20" ht="18.75" customHeight="1" x14ac:dyDescent="0.35">
      <c r="T27684" s="246">
        <f t="shared" si="470"/>
        <v>0</v>
      </c>
    </row>
    <row r="27685" spans="20:20" ht="18.75" customHeight="1" x14ac:dyDescent="0.35">
      <c r="T27685" s="246">
        <f t="shared" si="470"/>
        <v>0</v>
      </c>
    </row>
    <row r="27686" spans="20:20" ht="18.75" customHeight="1" x14ac:dyDescent="0.35">
      <c r="T27686" s="246">
        <f t="shared" si="470"/>
        <v>0</v>
      </c>
    </row>
    <row r="27687" spans="20:20" ht="18.75" customHeight="1" x14ac:dyDescent="0.35">
      <c r="T27687" s="246">
        <f t="shared" si="470"/>
        <v>0</v>
      </c>
    </row>
    <row r="27688" spans="20:20" ht="18.75" customHeight="1" x14ac:dyDescent="0.35">
      <c r="T27688" s="246">
        <f t="shared" si="470"/>
        <v>0</v>
      </c>
    </row>
    <row r="27689" spans="20:20" ht="18.75" customHeight="1" x14ac:dyDescent="0.35">
      <c r="T27689" s="246">
        <f t="shared" si="470"/>
        <v>0</v>
      </c>
    </row>
    <row r="27690" spans="20:20" ht="18.75" customHeight="1" x14ac:dyDescent="0.35">
      <c r="T27690" s="246">
        <f t="shared" si="470"/>
        <v>0</v>
      </c>
    </row>
    <row r="27691" spans="20:20" ht="18.75" customHeight="1" x14ac:dyDescent="0.35">
      <c r="T27691" s="246">
        <f t="shared" si="470"/>
        <v>0</v>
      </c>
    </row>
    <row r="27692" spans="20:20" ht="18.75" customHeight="1" x14ac:dyDescent="0.35">
      <c r="T27692" s="246">
        <f t="shared" si="470"/>
        <v>0</v>
      </c>
    </row>
    <row r="27693" spans="20:20" ht="18.75" customHeight="1" x14ac:dyDescent="0.35">
      <c r="T27693" s="246">
        <f t="shared" si="470"/>
        <v>0</v>
      </c>
    </row>
    <row r="27694" spans="20:20" ht="18.75" customHeight="1" x14ac:dyDescent="0.35">
      <c r="T27694" s="246">
        <f t="shared" si="470"/>
        <v>0</v>
      </c>
    </row>
    <row r="27695" spans="20:20" ht="18.75" customHeight="1" x14ac:dyDescent="0.35">
      <c r="T27695" s="246">
        <f t="shared" si="470"/>
        <v>0</v>
      </c>
    </row>
    <row r="27696" spans="20:20" ht="18.75" customHeight="1" x14ac:dyDescent="0.35">
      <c r="T27696" s="246">
        <f t="shared" si="470"/>
        <v>0</v>
      </c>
    </row>
    <row r="27697" spans="20:20" ht="18.75" customHeight="1" x14ac:dyDescent="0.35">
      <c r="T27697" s="246">
        <f t="shared" si="470"/>
        <v>0</v>
      </c>
    </row>
    <row r="27698" spans="20:20" ht="18.75" customHeight="1" x14ac:dyDescent="0.35">
      <c r="T27698" s="246">
        <f t="shared" si="470"/>
        <v>0</v>
      </c>
    </row>
    <row r="27699" spans="20:20" ht="18.75" customHeight="1" x14ac:dyDescent="0.35">
      <c r="T27699" s="246">
        <f t="shared" si="470"/>
        <v>0</v>
      </c>
    </row>
    <row r="27700" spans="20:20" ht="18.75" customHeight="1" x14ac:dyDescent="0.35">
      <c r="T27700" s="246">
        <f t="shared" si="470"/>
        <v>0</v>
      </c>
    </row>
    <row r="27701" spans="20:20" ht="18.75" customHeight="1" x14ac:dyDescent="0.35">
      <c r="T27701" s="246">
        <f t="shared" si="470"/>
        <v>0</v>
      </c>
    </row>
    <row r="27702" spans="20:20" ht="18.75" customHeight="1" x14ac:dyDescent="0.35">
      <c r="T27702" s="246">
        <f t="shared" si="470"/>
        <v>0</v>
      </c>
    </row>
    <row r="27703" spans="20:20" ht="18.75" customHeight="1" x14ac:dyDescent="0.35">
      <c r="T27703" s="246">
        <f t="shared" si="470"/>
        <v>0</v>
      </c>
    </row>
    <row r="27704" spans="20:20" ht="18.75" customHeight="1" x14ac:dyDescent="0.35">
      <c r="T27704" s="246">
        <f t="shared" si="470"/>
        <v>0</v>
      </c>
    </row>
    <row r="27705" spans="20:20" ht="18.75" customHeight="1" x14ac:dyDescent="0.35">
      <c r="T27705" s="246">
        <f t="shared" si="470"/>
        <v>0</v>
      </c>
    </row>
    <row r="27706" spans="20:20" ht="18.75" customHeight="1" x14ac:dyDescent="0.35">
      <c r="T27706" s="246">
        <f t="shared" si="470"/>
        <v>0</v>
      </c>
    </row>
    <row r="27707" spans="20:20" ht="18.75" customHeight="1" x14ac:dyDescent="0.35">
      <c r="T27707" s="246">
        <f t="shared" si="470"/>
        <v>0</v>
      </c>
    </row>
    <row r="27708" spans="20:20" ht="18.75" customHeight="1" x14ac:dyDescent="0.35">
      <c r="T27708" s="246">
        <f t="shared" ref="T27708:T27771" si="471">R27708*0.01</f>
        <v>0</v>
      </c>
    </row>
    <row r="27709" spans="20:20" ht="18.75" customHeight="1" x14ac:dyDescent="0.35">
      <c r="T27709" s="246">
        <f t="shared" si="471"/>
        <v>0</v>
      </c>
    </row>
    <row r="27710" spans="20:20" ht="18.75" customHeight="1" x14ac:dyDescent="0.35">
      <c r="T27710" s="246">
        <f t="shared" si="471"/>
        <v>0</v>
      </c>
    </row>
    <row r="27711" spans="20:20" ht="18.75" customHeight="1" x14ac:dyDescent="0.35">
      <c r="T27711" s="246">
        <f t="shared" si="471"/>
        <v>0</v>
      </c>
    </row>
    <row r="27712" spans="20:20" ht="18.75" customHeight="1" x14ac:dyDescent="0.35">
      <c r="T27712" s="246">
        <f t="shared" si="471"/>
        <v>0</v>
      </c>
    </row>
    <row r="27713" spans="20:20" ht="18.75" customHeight="1" x14ac:dyDescent="0.35">
      <c r="T27713" s="246">
        <f t="shared" si="471"/>
        <v>0</v>
      </c>
    </row>
    <row r="27714" spans="20:20" ht="18.75" customHeight="1" x14ac:dyDescent="0.35">
      <c r="T27714" s="246">
        <f t="shared" si="471"/>
        <v>0</v>
      </c>
    </row>
    <row r="27715" spans="20:20" ht="18.75" customHeight="1" x14ac:dyDescent="0.35">
      <c r="T27715" s="246">
        <f t="shared" si="471"/>
        <v>0</v>
      </c>
    </row>
    <row r="27716" spans="20:20" ht="18.75" customHeight="1" x14ac:dyDescent="0.35">
      <c r="T27716" s="246">
        <f t="shared" si="471"/>
        <v>0</v>
      </c>
    </row>
    <row r="27717" spans="20:20" ht="18.75" customHeight="1" x14ac:dyDescent="0.35">
      <c r="T27717" s="246">
        <f t="shared" si="471"/>
        <v>0</v>
      </c>
    </row>
    <row r="27718" spans="20:20" ht="18.75" customHeight="1" x14ac:dyDescent="0.35">
      <c r="T27718" s="246">
        <f t="shared" si="471"/>
        <v>0</v>
      </c>
    </row>
    <row r="27719" spans="20:20" ht="18.75" customHeight="1" x14ac:dyDescent="0.35">
      <c r="T27719" s="246">
        <f t="shared" si="471"/>
        <v>0</v>
      </c>
    </row>
    <row r="27720" spans="20:20" ht="18.75" customHeight="1" x14ac:dyDescent="0.35">
      <c r="T27720" s="246">
        <f t="shared" si="471"/>
        <v>0</v>
      </c>
    </row>
    <row r="27721" spans="20:20" ht="18.75" customHeight="1" x14ac:dyDescent="0.35">
      <c r="T27721" s="246">
        <f t="shared" si="471"/>
        <v>0</v>
      </c>
    </row>
    <row r="27722" spans="20:20" ht="18.75" customHeight="1" x14ac:dyDescent="0.35">
      <c r="T27722" s="246">
        <f t="shared" si="471"/>
        <v>0</v>
      </c>
    </row>
    <row r="27723" spans="20:20" ht="18.75" customHeight="1" x14ac:dyDescent="0.35">
      <c r="T27723" s="246">
        <f t="shared" si="471"/>
        <v>0</v>
      </c>
    </row>
    <row r="27724" spans="20:20" ht="18.75" customHeight="1" x14ac:dyDescent="0.35">
      <c r="T27724" s="246">
        <f t="shared" si="471"/>
        <v>0</v>
      </c>
    </row>
    <row r="27725" spans="20:20" ht="18.75" customHeight="1" x14ac:dyDescent="0.35">
      <c r="T27725" s="246">
        <f t="shared" si="471"/>
        <v>0</v>
      </c>
    </row>
    <row r="27726" spans="20:20" ht="18.75" customHeight="1" x14ac:dyDescent="0.35">
      <c r="T27726" s="246">
        <f t="shared" si="471"/>
        <v>0</v>
      </c>
    </row>
    <row r="27727" spans="20:20" ht="18.75" customHeight="1" x14ac:dyDescent="0.35">
      <c r="T27727" s="246">
        <f t="shared" si="471"/>
        <v>0</v>
      </c>
    </row>
    <row r="27728" spans="20:20" ht="18.75" customHeight="1" x14ac:dyDescent="0.35">
      <c r="T27728" s="246">
        <f t="shared" si="471"/>
        <v>0</v>
      </c>
    </row>
    <row r="27729" spans="20:20" ht="18.75" customHeight="1" x14ac:dyDescent="0.35">
      <c r="T27729" s="246">
        <f t="shared" si="471"/>
        <v>0</v>
      </c>
    </row>
    <row r="27730" spans="20:20" ht="18.75" customHeight="1" x14ac:dyDescent="0.35">
      <c r="T27730" s="246">
        <f t="shared" si="471"/>
        <v>0</v>
      </c>
    </row>
    <row r="27731" spans="20:20" ht="18.75" customHeight="1" x14ac:dyDescent="0.35">
      <c r="T27731" s="246">
        <f t="shared" si="471"/>
        <v>0</v>
      </c>
    </row>
    <row r="27732" spans="20:20" ht="18.75" customHeight="1" x14ac:dyDescent="0.35">
      <c r="T27732" s="246">
        <f t="shared" si="471"/>
        <v>0</v>
      </c>
    </row>
    <row r="27733" spans="20:20" ht="18.75" customHeight="1" x14ac:dyDescent="0.35">
      <c r="T27733" s="246">
        <f t="shared" si="471"/>
        <v>0</v>
      </c>
    </row>
    <row r="27734" spans="20:20" ht="18.75" customHeight="1" x14ac:dyDescent="0.35">
      <c r="T27734" s="246">
        <f t="shared" si="471"/>
        <v>0</v>
      </c>
    </row>
    <row r="27735" spans="20:20" ht="18.75" customHeight="1" x14ac:dyDescent="0.35">
      <c r="T27735" s="246">
        <f t="shared" si="471"/>
        <v>0</v>
      </c>
    </row>
    <row r="27736" spans="20:20" ht="18.75" customHeight="1" x14ac:dyDescent="0.35">
      <c r="T27736" s="246">
        <f t="shared" si="471"/>
        <v>0</v>
      </c>
    </row>
    <row r="27737" spans="20:20" ht="18.75" customHeight="1" x14ac:dyDescent="0.35">
      <c r="T27737" s="246">
        <f t="shared" si="471"/>
        <v>0</v>
      </c>
    </row>
    <row r="27738" spans="20:20" ht="18.75" customHeight="1" x14ac:dyDescent="0.35">
      <c r="T27738" s="246">
        <f t="shared" si="471"/>
        <v>0</v>
      </c>
    </row>
    <row r="27739" spans="20:20" ht="18.75" customHeight="1" x14ac:dyDescent="0.35">
      <c r="T27739" s="246">
        <f t="shared" si="471"/>
        <v>0</v>
      </c>
    </row>
    <row r="27740" spans="20:20" ht="18.75" customHeight="1" x14ac:dyDescent="0.35">
      <c r="T27740" s="246">
        <f t="shared" si="471"/>
        <v>0</v>
      </c>
    </row>
    <row r="27741" spans="20:20" ht="18.75" customHeight="1" x14ac:dyDescent="0.35">
      <c r="T27741" s="246">
        <f t="shared" si="471"/>
        <v>0</v>
      </c>
    </row>
    <row r="27742" spans="20:20" ht="18.75" customHeight="1" x14ac:dyDescent="0.35">
      <c r="T27742" s="246">
        <f t="shared" si="471"/>
        <v>0</v>
      </c>
    </row>
    <row r="27743" spans="20:20" ht="18.75" customHeight="1" x14ac:dyDescent="0.35">
      <c r="T27743" s="246">
        <f t="shared" si="471"/>
        <v>0</v>
      </c>
    </row>
    <row r="27744" spans="20:20" ht="18.75" customHeight="1" x14ac:dyDescent="0.35">
      <c r="T27744" s="246">
        <f t="shared" si="471"/>
        <v>0</v>
      </c>
    </row>
    <row r="27745" spans="20:20" ht="18.75" customHeight="1" x14ac:dyDescent="0.35">
      <c r="T27745" s="246">
        <f t="shared" si="471"/>
        <v>0</v>
      </c>
    </row>
    <row r="27746" spans="20:20" ht="18.75" customHeight="1" x14ac:dyDescent="0.35">
      <c r="T27746" s="246">
        <f t="shared" si="471"/>
        <v>0</v>
      </c>
    </row>
    <row r="27747" spans="20:20" ht="18.75" customHeight="1" x14ac:dyDescent="0.35">
      <c r="T27747" s="246">
        <f t="shared" si="471"/>
        <v>0</v>
      </c>
    </row>
    <row r="27748" spans="20:20" ht="18.75" customHeight="1" x14ac:dyDescent="0.35">
      <c r="T27748" s="246">
        <f t="shared" si="471"/>
        <v>0</v>
      </c>
    </row>
    <row r="27749" spans="20:20" ht="18.75" customHeight="1" x14ac:dyDescent="0.35">
      <c r="T27749" s="246">
        <f t="shared" si="471"/>
        <v>0</v>
      </c>
    </row>
    <row r="27750" spans="20:20" ht="18.75" customHeight="1" x14ac:dyDescent="0.35">
      <c r="T27750" s="246">
        <f t="shared" si="471"/>
        <v>0</v>
      </c>
    </row>
    <row r="27751" spans="20:20" ht="18.75" customHeight="1" x14ac:dyDescent="0.35">
      <c r="T27751" s="246">
        <f t="shared" si="471"/>
        <v>0</v>
      </c>
    </row>
    <row r="27752" spans="20:20" ht="18.75" customHeight="1" x14ac:dyDescent="0.35">
      <c r="T27752" s="246">
        <f t="shared" si="471"/>
        <v>0</v>
      </c>
    </row>
    <row r="27753" spans="20:20" ht="18.75" customHeight="1" x14ac:dyDescent="0.35">
      <c r="T27753" s="246">
        <f t="shared" si="471"/>
        <v>0</v>
      </c>
    </row>
    <row r="27754" spans="20:20" ht="18.75" customHeight="1" x14ac:dyDescent="0.35">
      <c r="T27754" s="246">
        <f t="shared" si="471"/>
        <v>0</v>
      </c>
    </row>
    <row r="27755" spans="20:20" ht="18.75" customHeight="1" x14ac:dyDescent="0.35">
      <c r="T27755" s="246">
        <f t="shared" si="471"/>
        <v>0</v>
      </c>
    </row>
    <row r="27756" spans="20:20" ht="18.75" customHeight="1" x14ac:dyDescent="0.35">
      <c r="T27756" s="246">
        <f t="shared" si="471"/>
        <v>0</v>
      </c>
    </row>
    <row r="27757" spans="20:20" ht="18.75" customHeight="1" x14ac:dyDescent="0.35">
      <c r="T27757" s="246">
        <f t="shared" si="471"/>
        <v>0</v>
      </c>
    </row>
    <row r="27758" spans="20:20" ht="18.75" customHeight="1" x14ac:dyDescent="0.35">
      <c r="T27758" s="246">
        <f t="shared" si="471"/>
        <v>0</v>
      </c>
    </row>
    <row r="27759" spans="20:20" ht="18.75" customHeight="1" x14ac:dyDescent="0.35">
      <c r="T27759" s="246">
        <f t="shared" si="471"/>
        <v>0</v>
      </c>
    </row>
    <row r="27760" spans="20:20" ht="18.75" customHeight="1" x14ac:dyDescent="0.35">
      <c r="T27760" s="246">
        <f t="shared" si="471"/>
        <v>0</v>
      </c>
    </row>
    <row r="27761" spans="20:20" ht="18.75" customHeight="1" x14ac:dyDescent="0.35">
      <c r="T27761" s="246">
        <f t="shared" si="471"/>
        <v>0</v>
      </c>
    </row>
    <row r="27762" spans="20:20" ht="18.75" customHeight="1" x14ac:dyDescent="0.35">
      <c r="T27762" s="246">
        <f t="shared" si="471"/>
        <v>0</v>
      </c>
    </row>
    <row r="27763" spans="20:20" ht="18.75" customHeight="1" x14ac:dyDescent="0.35">
      <c r="T27763" s="246">
        <f t="shared" si="471"/>
        <v>0</v>
      </c>
    </row>
    <row r="27764" spans="20:20" ht="18.75" customHeight="1" x14ac:dyDescent="0.35">
      <c r="T27764" s="246">
        <f t="shared" si="471"/>
        <v>0</v>
      </c>
    </row>
    <row r="27765" spans="20:20" ht="18.75" customHeight="1" x14ac:dyDescent="0.35">
      <c r="T27765" s="246">
        <f t="shared" si="471"/>
        <v>0</v>
      </c>
    </row>
    <row r="27766" spans="20:20" ht="18.75" customHeight="1" x14ac:dyDescent="0.35">
      <c r="T27766" s="246">
        <f t="shared" si="471"/>
        <v>0</v>
      </c>
    </row>
    <row r="27767" spans="20:20" ht="18.75" customHeight="1" x14ac:dyDescent="0.35">
      <c r="T27767" s="246">
        <f t="shared" si="471"/>
        <v>0</v>
      </c>
    </row>
    <row r="27768" spans="20:20" ht="18.75" customHeight="1" x14ac:dyDescent="0.35">
      <c r="T27768" s="246">
        <f t="shared" si="471"/>
        <v>0</v>
      </c>
    </row>
    <row r="27769" spans="20:20" ht="18.75" customHeight="1" x14ac:dyDescent="0.35">
      <c r="T27769" s="246">
        <f t="shared" si="471"/>
        <v>0</v>
      </c>
    </row>
    <row r="27770" spans="20:20" ht="18.75" customHeight="1" x14ac:dyDescent="0.35">
      <c r="T27770" s="246">
        <f t="shared" si="471"/>
        <v>0</v>
      </c>
    </row>
    <row r="27771" spans="20:20" ht="18.75" customHeight="1" x14ac:dyDescent="0.35">
      <c r="T27771" s="246">
        <f t="shared" si="471"/>
        <v>0</v>
      </c>
    </row>
    <row r="27772" spans="20:20" ht="18.75" customHeight="1" x14ac:dyDescent="0.35">
      <c r="T27772" s="246">
        <f t="shared" ref="T27772:T27835" si="472">R27772*0.01</f>
        <v>0</v>
      </c>
    </row>
    <row r="27773" spans="20:20" ht="18.75" customHeight="1" x14ac:dyDescent="0.35">
      <c r="T27773" s="246">
        <f t="shared" si="472"/>
        <v>0</v>
      </c>
    </row>
    <row r="27774" spans="20:20" ht="18.75" customHeight="1" x14ac:dyDescent="0.35">
      <c r="T27774" s="246">
        <f t="shared" si="472"/>
        <v>0</v>
      </c>
    </row>
    <row r="27775" spans="20:20" ht="18.75" customHeight="1" x14ac:dyDescent="0.35">
      <c r="T27775" s="246">
        <f t="shared" si="472"/>
        <v>0</v>
      </c>
    </row>
    <row r="27776" spans="20:20" ht="18.75" customHeight="1" x14ac:dyDescent="0.35">
      <c r="T27776" s="246">
        <f t="shared" si="472"/>
        <v>0</v>
      </c>
    </row>
    <row r="27777" spans="20:20" ht="18.75" customHeight="1" x14ac:dyDescent="0.35">
      <c r="T27777" s="246">
        <f t="shared" si="472"/>
        <v>0</v>
      </c>
    </row>
    <row r="27778" spans="20:20" ht="18.75" customHeight="1" x14ac:dyDescent="0.35">
      <c r="T27778" s="246">
        <f t="shared" si="472"/>
        <v>0</v>
      </c>
    </row>
    <row r="27779" spans="20:20" ht="18.75" customHeight="1" x14ac:dyDescent="0.35">
      <c r="T27779" s="246">
        <f t="shared" si="472"/>
        <v>0</v>
      </c>
    </row>
    <row r="27780" spans="20:20" ht="18.75" customHeight="1" x14ac:dyDescent="0.35">
      <c r="T27780" s="246">
        <f t="shared" si="472"/>
        <v>0</v>
      </c>
    </row>
    <row r="27781" spans="20:20" ht="18.75" customHeight="1" x14ac:dyDescent="0.35">
      <c r="T27781" s="246">
        <f t="shared" si="472"/>
        <v>0</v>
      </c>
    </row>
    <row r="27782" spans="20:20" ht="18.75" customHeight="1" x14ac:dyDescent="0.35">
      <c r="T27782" s="246">
        <f t="shared" si="472"/>
        <v>0</v>
      </c>
    </row>
    <row r="27783" spans="20:20" ht="18.75" customHeight="1" x14ac:dyDescent="0.35">
      <c r="T27783" s="246">
        <f t="shared" si="472"/>
        <v>0</v>
      </c>
    </row>
    <row r="27784" spans="20:20" ht="18.75" customHeight="1" x14ac:dyDescent="0.35">
      <c r="T27784" s="246">
        <f t="shared" si="472"/>
        <v>0</v>
      </c>
    </row>
    <row r="27785" spans="20:20" ht="18.75" customHeight="1" x14ac:dyDescent="0.35">
      <c r="T27785" s="246">
        <f t="shared" si="472"/>
        <v>0</v>
      </c>
    </row>
    <row r="27786" spans="20:20" ht="18.75" customHeight="1" x14ac:dyDescent="0.35">
      <c r="T27786" s="246">
        <f t="shared" si="472"/>
        <v>0</v>
      </c>
    </row>
    <row r="27787" spans="20:20" ht="18.75" customHeight="1" x14ac:dyDescent="0.35">
      <c r="T27787" s="246">
        <f t="shared" si="472"/>
        <v>0</v>
      </c>
    </row>
    <row r="27788" spans="20:20" ht="18.75" customHeight="1" x14ac:dyDescent="0.35">
      <c r="T27788" s="246">
        <f t="shared" si="472"/>
        <v>0</v>
      </c>
    </row>
    <row r="27789" spans="20:20" ht="18.75" customHeight="1" x14ac:dyDescent="0.35">
      <c r="T27789" s="246">
        <f t="shared" si="472"/>
        <v>0</v>
      </c>
    </row>
    <row r="27790" spans="20:20" ht="18.75" customHeight="1" x14ac:dyDescent="0.35">
      <c r="T27790" s="246">
        <f t="shared" si="472"/>
        <v>0</v>
      </c>
    </row>
    <row r="27791" spans="20:20" ht="18.75" customHeight="1" x14ac:dyDescent="0.35">
      <c r="T27791" s="246">
        <f t="shared" si="472"/>
        <v>0</v>
      </c>
    </row>
    <row r="27792" spans="20:20" ht="18.75" customHeight="1" x14ac:dyDescent="0.35">
      <c r="T27792" s="246">
        <f t="shared" si="472"/>
        <v>0</v>
      </c>
    </row>
    <row r="27793" spans="20:20" ht="18.75" customHeight="1" x14ac:dyDescent="0.35">
      <c r="T27793" s="246">
        <f t="shared" si="472"/>
        <v>0</v>
      </c>
    </row>
    <row r="27794" spans="20:20" ht="18.75" customHeight="1" x14ac:dyDescent="0.35">
      <c r="T27794" s="246">
        <f t="shared" si="472"/>
        <v>0</v>
      </c>
    </row>
    <row r="27795" spans="20:20" ht="18.75" customHeight="1" x14ac:dyDescent="0.35">
      <c r="T27795" s="246">
        <f t="shared" si="472"/>
        <v>0</v>
      </c>
    </row>
    <row r="27796" spans="20:20" ht="18.75" customHeight="1" x14ac:dyDescent="0.35">
      <c r="T27796" s="246">
        <f t="shared" si="472"/>
        <v>0</v>
      </c>
    </row>
    <row r="27797" spans="20:20" ht="18.75" customHeight="1" x14ac:dyDescent="0.35">
      <c r="T27797" s="246">
        <f t="shared" si="472"/>
        <v>0</v>
      </c>
    </row>
    <row r="27798" spans="20:20" ht="18.75" customHeight="1" x14ac:dyDescent="0.35">
      <c r="T27798" s="246">
        <f t="shared" si="472"/>
        <v>0</v>
      </c>
    </row>
    <row r="27799" spans="20:20" ht="18.75" customHeight="1" x14ac:dyDescent="0.35">
      <c r="T27799" s="246">
        <f t="shared" si="472"/>
        <v>0</v>
      </c>
    </row>
    <row r="27800" spans="20:20" ht="18.75" customHeight="1" x14ac:dyDescent="0.35">
      <c r="T27800" s="246">
        <f t="shared" si="472"/>
        <v>0</v>
      </c>
    </row>
    <row r="27801" spans="20:20" ht="18.75" customHeight="1" x14ac:dyDescent="0.35">
      <c r="T27801" s="246">
        <f t="shared" si="472"/>
        <v>0</v>
      </c>
    </row>
    <row r="27802" spans="20:20" ht="18.75" customHeight="1" x14ac:dyDescent="0.35">
      <c r="T27802" s="246">
        <f t="shared" si="472"/>
        <v>0</v>
      </c>
    </row>
    <row r="27803" spans="20:20" ht="18.75" customHeight="1" x14ac:dyDescent="0.35">
      <c r="T27803" s="246">
        <f t="shared" si="472"/>
        <v>0</v>
      </c>
    </row>
    <row r="27804" spans="20:20" ht="18.75" customHeight="1" x14ac:dyDescent="0.35">
      <c r="T27804" s="246">
        <f t="shared" si="472"/>
        <v>0</v>
      </c>
    </row>
    <row r="27805" spans="20:20" ht="18.75" customHeight="1" x14ac:dyDescent="0.35">
      <c r="T27805" s="246">
        <f t="shared" si="472"/>
        <v>0</v>
      </c>
    </row>
    <row r="27806" spans="20:20" ht="18.75" customHeight="1" x14ac:dyDescent="0.35">
      <c r="T27806" s="246">
        <f t="shared" si="472"/>
        <v>0</v>
      </c>
    </row>
    <row r="27807" spans="20:20" ht="18.75" customHeight="1" x14ac:dyDescent="0.35">
      <c r="T27807" s="246">
        <f t="shared" si="472"/>
        <v>0</v>
      </c>
    </row>
    <row r="27808" spans="20:20" ht="18.75" customHeight="1" x14ac:dyDescent="0.35">
      <c r="T27808" s="246">
        <f t="shared" si="472"/>
        <v>0</v>
      </c>
    </row>
    <row r="27809" spans="20:20" ht="18.75" customHeight="1" x14ac:dyDescent="0.35">
      <c r="T27809" s="246">
        <f t="shared" si="472"/>
        <v>0</v>
      </c>
    </row>
    <row r="27810" spans="20:20" ht="18.75" customHeight="1" x14ac:dyDescent="0.35">
      <c r="T27810" s="246">
        <f t="shared" si="472"/>
        <v>0</v>
      </c>
    </row>
    <row r="27811" spans="20:20" ht="18.75" customHeight="1" x14ac:dyDescent="0.35">
      <c r="T27811" s="246">
        <f t="shared" si="472"/>
        <v>0</v>
      </c>
    </row>
    <row r="27812" spans="20:20" ht="18.75" customHeight="1" x14ac:dyDescent="0.35">
      <c r="T27812" s="246">
        <f t="shared" si="472"/>
        <v>0</v>
      </c>
    </row>
    <row r="27813" spans="20:20" ht="18.75" customHeight="1" x14ac:dyDescent="0.35">
      <c r="T27813" s="246">
        <f t="shared" si="472"/>
        <v>0</v>
      </c>
    </row>
    <row r="27814" spans="20:20" ht="18.75" customHeight="1" x14ac:dyDescent="0.35">
      <c r="T27814" s="246">
        <f t="shared" si="472"/>
        <v>0</v>
      </c>
    </row>
    <row r="27815" spans="20:20" ht="18.75" customHeight="1" x14ac:dyDescent="0.35">
      <c r="T27815" s="246">
        <f t="shared" si="472"/>
        <v>0</v>
      </c>
    </row>
    <row r="27816" spans="20:20" ht="18.75" customHeight="1" x14ac:dyDescent="0.35">
      <c r="T27816" s="246">
        <f t="shared" si="472"/>
        <v>0</v>
      </c>
    </row>
    <row r="27817" spans="20:20" ht="18.75" customHeight="1" x14ac:dyDescent="0.35">
      <c r="T27817" s="246">
        <f t="shared" si="472"/>
        <v>0</v>
      </c>
    </row>
    <row r="27818" spans="20:20" ht="18.75" customHeight="1" x14ac:dyDescent="0.35">
      <c r="T27818" s="246">
        <f t="shared" si="472"/>
        <v>0</v>
      </c>
    </row>
    <row r="27819" spans="20:20" ht="18.75" customHeight="1" x14ac:dyDescent="0.35">
      <c r="T27819" s="246">
        <f t="shared" si="472"/>
        <v>0</v>
      </c>
    </row>
    <row r="27820" spans="20:20" ht="18.75" customHeight="1" x14ac:dyDescent="0.35">
      <c r="T27820" s="246">
        <f t="shared" si="472"/>
        <v>0</v>
      </c>
    </row>
    <row r="27821" spans="20:20" ht="18.75" customHeight="1" x14ac:dyDescent="0.35">
      <c r="T27821" s="246">
        <f t="shared" si="472"/>
        <v>0</v>
      </c>
    </row>
    <row r="27822" spans="20:20" ht="18.75" customHeight="1" x14ac:dyDescent="0.35">
      <c r="T27822" s="246">
        <f t="shared" si="472"/>
        <v>0</v>
      </c>
    </row>
    <row r="27823" spans="20:20" ht="18.75" customHeight="1" x14ac:dyDescent="0.35">
      <c r="T27823" s="246">
        <f t="shared" si="472"/>
        <v>0</v>
      </c>
    </row>
    <row r="27824" spans="20:20" ht="18.75" customHeight="1" x14ac:dyDescent="0.35">
      <c r="T27824" s="246">
        <f t="shared" si="472"/>
        <v>0</v>
      </c>
    </row>
    <row r="27825" spans="20:20" ht="18.75" customHeight="1" x14ac:dyDescent="0.35">
      <c r="T27825" s="246">
        <f t="shared" si="472"/>
        <v>0</v>
      </c>
    </row>
    <row r="27826" spans="20:20" ht="18.75" customHeight="1" x14ac:dyDescent="0.35">
      <c r="T27826" s="246">
        <f t="shared" si="472"/>
        <v>0</v>
      </c>
    </row>
    <row r="27827" spans="20:20" ht="18.75" customHeight="1" x14ac:dyDescent="0.35">
      <c r="T27827" s="246">
        <f t="shared" si="472"/>
        <v>0</v>
      </c>
    </row>
    <row r="27828" spans="20:20" ht="18.75" customHeight="1" x14ac:dyDescent="0.35">
      <c r="T27828" s="246">
        <f t="shared" si="472"/>
        <v>0</v>
      </c>
    </row>
    <row r="27829" spans="20:20" ht="18.75" customHeight="1" x14ac:dyDescent="0.35">
      <c r="T27829" s="246">
        <f t="shared" si="472"/>
        <v>0</v>
      </c>
    </row>
    <row r="27830" spans="20:20" ht="18.75" customHeight="1" x14ac:dyDescent="0.35">
      <c r="T27830" s="246">
        <f t="shared" si="472"/>
        <v>0</v>
      </c>
    </row>
    <row r="27831" spans="20:20" ht="18.75" customHeight="1" x14ac:dyDescent="0.35">
      <c r="T27831" s="246">
        <f t="shared" si="472"/>
        <v>0</v>
      </c>
    </row>
    <row r="27832" spans="20:20" ht="18.75" customHeight="1" x14ac:dyDescent="0.35">
      <c r="T27832" s="246">
        <f t="shared" si="472"/>
        <v>0</v>
      </c>
    </row>
    <row r="27833" spans="20:20" ht="18.75" customHeight="1" x14ac:dyDescent="0.35">
      <c r="T27833" s="246">
        <f t="shared" si="472"/>
        <v>0</v>
      </c>
    </row>
    <row r="27834" spans="20:20" ht="18.75" customHeight="1" x14ac:dyDescent="0.35">
      <c r="T27834" s="246">
        <f t="shared" si="472"/>
        <v>0</v>
      </c>
    </row>
    <row r="27835" spans="20:20" ht="18.75" customHeight="1" x14ac:dyDescent="0.35">
      <c r="T27835" s="246">
        <f t="shared" si="472"/>
        <v>0</v>
      </c>
    </row>
    <row r="27836" spans="20:20" ht="18.75" customHeight="1" x14ac:dyDescent="0.35">
      <c r="T27836" s="246">
        <f t="shared" ref="T27836:T27899" si="473">R27836*0.01</f>
        <v>0</v>
      </c>
    </row>
    <row r="27837" spans="20:20" ht="18.75" customHeight="1" x14ac:dyDescent="0.35">
      <c r="T27837" s="246">
        <f t="shared" si="473"/>
        <v>0</v>
      </c>
    </row>
    <row r="27838" spans="20:20" ht="18.75" customHeight="1" x14ac:dyDescent="0.35">
      <c r="T27838" s="246">
        <f t="shared" si="473"/>
        <v>0</v>
      </c>
    </row>
    <row r="27839" spans="20:20" ht="18.75" customHeight="1" x14ac:dyDescent="0.35">
      <c r="T27839" s="246">
        <f t="shared" si="473"/>
        <v>0</v>
      </c>
    </row>
    <row r="27840" spans="20:20" ht="18.75" customHeight="1" x14ac:dyDescent="0.35">
      <c r="T27840" s="246">
        <f t="shared" si="473"/>
        <v>0</v>
      </c>
    </row>
    <row r="27841" spans="20:20" ht="18.75" customHeight="1" x14ac:dyDescent="0.35">
      <c r="T27841" s="246">
        <f t="shared" si="473"/>
        <v>0</v>
      </c>
    </row>
    <row r="27842" spans="20:20" ht="18.75" customHeight="1" x14ac:dyDescent="0.35">
      <c r="T27842" s="246">
        <f t="shared" si="473"/>
        <v>0</v>
      </c>
    </row>
    <row r="27843" spans="20:20" ht="18.75" customHeight="1" x14ac:dyDescent="0.35">
      <c r="T27843" s="246">
        <f t="shared" si="473"/>
        <v>0</v>
      </c>
    </row>
    <row r="27844" spans="20:20" ht="18.75" customHeight="1" x14ac:dyDescent="0.35">
      <c r="T27844" s="246">
        <f t="shared" si="473"/>
        <v>0</v>
      </c>
    </row>
    <row r="27845" spans="20:20" ht="18.75" customHeight="1" x14ac:dyDescent="0.35">
      <c r="T27845" s="246">
        <f t="shared" si="473"/>
        <v>0</v>
      </c>
    </row>
    <row r="27846" spans="20:20" ht="18.75" customHeight="1" x14ac:dyDescent="0.35">
      <c r="T27846" s="246">
        <f t="shared" si="473"/>
        <v>0</v>
      </c>
    </row>
    <row r="27847" spans="20:20" ht="18.75" customHeight="1" x14ac:dyDescent="0.35">
      <c r="T27847" s="246">
        <f t="shared" si="473"/>
        <v>0</v>
      </c>
    </row>
    <row r="27848" spans="20:20" ht="18.75" customHeight="1" x14ac:dyDescent="0.35">
      <c r="T27848" s="246">
        <f t="shared" si="473"/>
        <v>0</v>
      </c>
    </row>
    <row r="27849" spans="20:20" ht="18.75" customHeight="1" x14ac:dyDescent="0.35">
      <c r="T27849" s="246">
        <f t="shared" si="473"/>
        <v>0</v>
      </c>
    </row>
    <row r="27850" spans="20:20" ht="18.75" customHeight="1" x14ac:dyDescent="0.35">
      <c r="T27850" s="246">
        <f t="shared" si="473"/>
        <v>0</v>
      </c>
    </row>
    <row r="27851" spans="20:20" ht="18.75" customHeight="1" x14ac:dyDescent="0.35">
      <c r="T27851" s="246">
        <f t="shared" si="473"/>
        <v>0</v>
      </c>
    </row>
    <row r="27852" spans="20:20" ht="18.75" customHeight="1" x14ac:dyDescent="0.35">
      <c r="T27852" s="246">
        <f t="shared" si="473"/>
        <v>0</v>
      </c>
    </row>
    <row r="27853" spans="20:20" ht="18.75" customHeight="1" x14ac:dyDescent="0.35">
      <c r="T27853" s="246">
        <f t="shared" si="473"/>
        <v>0</v>
      </c>
    </row>
    <row r="27854" spans="20:20" ht="18.75" customHeight="1" x14ac:dyDescent="0.35">
      <c r="T27854" s="246">
        <f t="shared" si="473"/>
        <v>0</v>
      </c>
    </row>
    <row r="27855" spans="20:20" ht="18.75" customHeight="1" x14ac:dyDescent="0.35">
      <c r="T27855" s="246">
        <f t="shared" si="473"/>
        <v>0</v>
      </c>
    </row>
    <row r="27856" spans="20:20" ht="18.75" customHeight="1" x14ac:dyDescent="0.35">
      <c r="T27856" s="246">
        <f t="shared" si="473"/>
        <v>0</v>
      </c>
    </row>
    <row r="27857" spans="20:20" ht="18.75" customHeight="1" x14ac:dyDescent="0.35">
      <c r="T27857" s="246">
        <f t="shared" si="473"/>
        <v>0</v>
      </c>
    </row>
    <row r="27858" spans="20:20" ht="18.75" customHeight="1" x14ac:dyDescent="0.35">
      <c r="T27858" s="246">
        <f t="shared" si="473"/>
        <v>0</v>
      </c>
    </row>
    <row r="27859" spans="20:20" ht="18.75" customHeight="1" x14ac:dyDescent="0.35">
      <c r="T27859" s="246">
        <f t="shared" si="473"/>
        <v>0</v>
      </c>
    </row>
    <row r="27860" spans="20:20" ht="18.75" customHeight="1" x14ac:dyDescent="0.35">
      <c r="T27860" s="246">
        <f t="shared" si="473"/>
        <v>0</v>
      </c>
    </row>
    <row r="27861" spans="20:20" ht="18.75" customHeight="1" x14ac:dyDescent="0.35">
      <c r="T27861" s="246">
        <f t="shared" si="473"/>
        <v>0</v>
      </c>
    </row>
    <row r="27862" spans="20:20" ht="18.75" customHeight="1" x14ac:dyDescent="0.35">
      <c r="T27862" s="246">
        <f t="shared" si="473"/>
        <v>0</v>
      </c>
    </row>
    <row r="27863" spans="20:20" ht="18.75" customHeight="1" x14ac:dyDescent="0.35">
      <c r="T27863" s="246">
        <f t="shared" si="473"/>
        <v>0</v>
      </c>
    </row>
    <row r="27864" spans="20:20" ht="18.75" customHeight="1" x14ac:dyDescent="0.35">
      <c r="T27864" s="246">
        <f t="shared" si="473"/>
        <v>0</v>
      </c>
    </row>
    <row r="27865" spans="20:20" ht="18.75" customHeight="1" x14ac:dyDescent="0.35">
      <c r="T27865" s="246">
        <f t="shared" si="473"/>
        <v>0</v>
      </c>
    </row>
    <row r="27866" spans="20:20" ht="18.75" customHeight="1" x14ac:dyDescent="0.35">
      <c r="T27866" s="246">
        <f t="shared" si="473"/>
        <v>0</v>
      </c>
    </row>
    <row r="27867" spans="20:20" ht="18.75" customHeight="1" x14ac:dyDescent="0.35">
      <c r="T27867" s="246">
        <f t="shared" si="473"/>
        <v>0</v>
      </c>
    </row>
    <row r="27868" spans="20:20" ht="18.75" customHeight="1" x14ac:dyDescent="0.35">
      <c r="T27868" s="246">
        <f t="shared" si="473"/>
        <v>0</v>
      </c>
    </row>
    <row r="27869" spans="20:20" ht="18.75" customHeight="1" x14ac:dyDescent="0.35">
      <c r="T27869" s="246">
        <f t="shared" si="473"/>
        <v>0</v>
      </c>
    </row>
    <row r="27870" spans="20:20" ht="18.75" customHeight="1" x14ac:dyDescent="0.35">
      <c r="T27870" s="246">
        <f t="shared" si="473"/>
        <v>0</v>
      </c>
    </row>
    <row r="27871" spans="20:20" ht="18.75" customHeight="1" x14ac:dyDescent="0.35">
      <c r="T27871" s="246">
        <f t="shared" si="473"/>
        <v>0</v>
      </c>
    </row>
    <row r="27872" spans="20:20" ht="18.75" customHeight="1" x14ac:dyDescent="0.35">
      <c r="T27872" s="246">
        <f t="shared" si="473"/>
        <v>0</v>
      </c>
    </row>
    <row r="27873" spans="20:20" ht="18.75" customHeight="1" x14ac:dyDescent="0.35">
      <c r="T27873" s="246">
        <f t="shared" si="473"/>
        <v>0</v>
      </c>
    </row>
    <row r="27874" spans="20:20" ht="18.75" customHeight="1" x14ac:dyDescent="0.35">
      <c r="T27874" s="246">
        <f t="shared" si="473"/>
        <v>0</v>
      </c>
    </row>
    <row r="27875" spans="20:20" ht="18.75" customHeight="1" x14ac:dyDescent="0.35">
      <c r="T27875" s="246">
        <f t="shared" si="473"/>
        <v>0</v>
      </c>
    </row>
    <row r="27876" spans="20:20" ht="18.75" customHeight="1" x14ac:dyDescent="0.35">
      <c r="T27876" s="246">
        <f t="shared" si="473"/>
        <v>0</v>
      </c>
    </row>
    <row r="27877" spans="20:20" ht="18.75" customHeight="1" x14ac:dyDescent="0.35">
      <c r="T27877" s="246">
        <f t="shared" si="473"/>
        <v>0</v>
      </c>
    </row>
    <row r="27878" spans="20:20" ht="18.75" customHeight="1" x14ac:dyDescent="0.35">
      <c r="T27878" s="246">
        <f t="shared" si="473"/>
        <v>0</v>
      </c>
    </row>
    <row r="27879" spans="20:20" ht="18.75" customHeight="1" x14ac:dyDescent="0.35">
      <c r="T27879" s="246">
        <f t="shared" si="473"/>
        <v>0</v>
      </c>
    </row>
    <row r="27880" spans="20:20" ht="18.75" customHeight="1" x14ac:dyDescent="0.35">
      <c r="T27880" s="246">
        <f t="shared" si="473"/>
        <v>0</v>
      </c>
    </row>
    <row r="27881" spans="20:20" ht="18.75" customHeight="1" x14ac:dyDescent="0.35">
      <c r="T27881" s="246">
        <f t="shared" si="473"/>
        <v>0</v>
      </c>
    </row>
    <row r="27882" spans="20:20" ht="18.75" customHeight="1" x14ac:dyDescent="0.35">
      <c r="T27882" s="246">
        <f t="shared" si="473"/>
        <v>0</v>
      </c>
    </row>
    <row r="27883" spans="20:20" ht="18.75" customHeight="1" x14ac:dyDescent="0.35">
      <c r="T27883" s="246">
        <f t="shared" si="473"/>
        <v>0</v>
      </c>
    </row>
    <row r="27884" spans="20:20" ht="18.75" customHeight="1" x14ac:dyDescent="0.35">
      <c r="T27884" s="246">
        <f t="shared" si="473"/>
        <v>0</v>
      </c>
    </row>
    <row r="27885" spans="20:20" ht="18.75" customHeight="1" x14ac:dyDescent="0.35">
      <c r="T27885" s="246">
        <f t="shared" si="473"/>
        <v>0</v>
      </c>
    </row>
    <row r="27886" spans="20:20" ht="18.75" customHeight="1" x14ac:dyDescent="0.35">
      <c r="T27886" s="246">
        <f t="shared" si="473"/>
        <v>0</v>
      </c>
    </row>
    <row r="27887" spans="20:20" ht="18.75" customHeight="1" x14ac:dyDescent="0.35">
      <c r="T27887" s="246">
        <f t="shared" si="473"/>
        <v>0</v>
      </c>
    </row>
    <row r="27888" spans="20:20" ht="18.75" customHeight="1" x14ac:dyDescent="0.35">
      <c r="T27888" s="246">
        <f t="shared" si="473"/>
        <v>0</v>
      </c>
    </row>
    <row r="27889" spans="20:20" ht="18.75" customHeight="1" x14ac:dyDescent="0.35">
      <c r="T27889" s="246">
        <f t="shared" si="473"/>
        <v>0</v>
      </c>
    </row>
    <row r="27890" spans="20:20" ht="18.75" customHeight="1" x14ac:dyDescent="0.35">
      <c r="T27890" s="246">
        <f t="shared" si="473"/>
        <v>0</v>
      </c>
    </row>
    <row r="27891" spans="20:20" ht="18.75" customHeight="1" x14ac:dyDescent="0.35">
      <c r="T27891" s="246">
        <f t="shared" si="473"/>
        <v>0</v>
      </c>
    </row>
    <row r="27892" spans="20:20" ht="18.75" customHeight="1" x14ac:dyDescent="0.35">
      <c r="T27892" s="246">
        <f t="shared" si="473"/>
        <v>0</v>
      </c>
    </row>
    <row r="27893" spans="20:20" ht="18.75" customHeight="1" x14ac:dyDescent="0.35">
      <c r="T27893" s="246">
        <f t="shared" si="473"/>
        <v>0</v>
      </c>
    </row>
    <row r="27894" spans="20:20" ht="18.75" customHeight="1" x14ac:dyDescent="0.35">
      <c r="T27894" s="246">
        <f t="shared" si="473"/>
        <v>0</v>
      </c>
    </row>
    <row r="27895" spans="20:20" ht="18.75" customHeight="1" x14ac:dyDescent="0.35">
      <c r="T27895" s="246">
        <f t="shared" si="473"/>
        <v>0</v>
      </c>
    </row>
    <row r="27896" spans="20:20" ht="18.75" customHeight="1" x14ac:dyDescent="0.35">
      <c r="T27896" s="246">
        <f t="shared" si="473"/>
        <v>0</v>
      </c>
    </row>
    <row r="27897" spans="20:20" ht="18.75" customHeight="1" x14ac:dyDescent="0.35">
      <c r="T27897" s="246">
        <f t="shared" si="473"/>
        <v>0</v>
      </c>
    </row>
    <row r="27898" spans="20:20" ht="18.75" customHeight="1" x14ac:dyDescent="0.35">
      <c r="T27898" s="246">
        <f t="shared" si="473"/>
        <v>0</v>
      </c>
    </row>
    <row r="27899" spans="20:20" ht="18.75" customHeight="1" x14ac:dyDescent="0.35">
      <c r="T27899" s="246">
        <f t="shared" si="473"/>
        <v>0</v>
      </c>
    </row>
    <row r="27900" spans="20:20" ht="18.75" customHeight="1" x14ac:dyDescent="0.35">
      <c r="T27900" s="246">
        <f t="shared" ref="T27900:T27963" si="474">R27900*0.01</f>
        <v>0</v>
      </c>
    </row>
    <row r="27901" spans="20:20" ht="18.75" customHeight="1" x14ac:dyDescent="0.35">
      <c r="T27901" s="246">
        <f t="shared" si="474"/>
        <v>0</v>
      </c>
    </row>
    <row r="27902" spans="20:20" ht="18.75" customHeight="1" x14ac:dyDescent="0.35">
      <c r="T27902" s="246">
        <f t="shared" si="474"/>
        <v>0</v>
      </c>
    </row>
    <row r="27903" spans="20:20" ht="18.75" customHeight="1" x14ac:dyDescent="0.35">
      <c r="T27903" s="246">
        <f t="shared" si="474"/>
        <v>0</v>
      </c>
    </row>
    <row r="27904" spans="20:20" ht="18.75" customHeight="1" x14ac:dyDescent="0.35">
      <c r="T27904" s="246">
        <f t="shared" si="474"/>
        <v>0</v>
      </c>
    </row>
    <row r="27905" spans="20:20" ht="18.75" customHeight="1" x14ac:dyDescent="0.35">
      <c r="T27905" s="246">
        <f t="shared" si="474"/>
        <v>0</v>
      </c>
    </row>
    <row r="27906" spans="20:20" ht="18.75" customHeight="1" x14ac:dyDescent="0.35">
      <c r="T27906" s="246">
        <f t="shared" si="474"/>
        <v>0</v>
      </c>
    </row>
    <row r="27907" spans="20:20" ht="18.75" customHeight="1" x14ac:dyDescent="0.35">
      <c r="T27907" s="246">
        <f t="shared" si="474"/>
        <v>0</v>
      </c>
    </row>
    <row r="27908" spans="20:20" ht="18.75" customHeight="1" x14ac:dyDescent="0.35">
      <c r="T27908" s="246">
        <f t="shared" si="474"/>
        <v>0</v>
      </c>
    </row>
    <row r="27909" spans="20:20" ht="18.75" customHeight="1" x14ac:dyDescent="0.35">
      <c r="T27909" s="246">
        <f t="shared" si="474"/>
        <v>0</v>
      </c>
    </row>
    <row r="27910" spans="20:20" ht="18.75" customHeight="1" x14ac:dyDescent="0.35">
      <c r="T27910" s="246">
        <f t="shared" si="474"/>
        <v>0</v>
      </c>
    </row>
    <row r="27911" spans="20:20" ht="18.75" customHeight="1" x14ac:dyDescent="0.35">
      <c r="T27911" s="246">
        <f t="shared" si="474"/>
        <v>0</v>
      </c>
    </row>
    <row r="27912" spans="20:20" ht="18.75" customHeight="1" x14ac:dyDescent="0.35">
      <c r="T27912" s="246">
        <f t="shared" si="474"/>
        <v>0</v>
      </c>
    </row>
    <row r="27913" spans="20:20" ht="18.75" customHeight="1" x14ac:dyDescent="0.35">
      <c r="T27913" s="246">
        <f t="shared" si="474"/>
        <v>0</v>
      </c>
    </row>
    <row r="27914" spans="20:20" ht="18.75" customHeight="1" x14ac:dyDescent="0.35">
      <c r="T27914" s="246">
        <f t="shared" si="474"/>
        <v>0</v>
      </c>
    </row>
    <row r="27915" spans="20:20" ht="18.75" customHeight="1" x14ac:dyDescent="0.35">
      <c r="T27915" s="246">
        <f t="shared" si="474"/>
        <v>0</v>
      </c>
    </row>
    <row r="27916" spans="20:20" ht="18.75" customHeight="1" x14ac:dyDescent="0.35">
      <c r="T27916" s="246">
        <f t="shared" si="474"/>
        <v>0</v>
      </c>
    </row>
    <row r="27917" spans="20:20" ht="18.75" customHeight="1" x14ac:dyDescent="0.35">
      <c r="T27917" s="246">
        <f t="shared" si="474"/>
        <v>0</v>
      </c>
    </row>
    <row r="27918" spans="20:20" ht="18.75" customHeight="1" x14ac:dyDescent="0.35">
      <c r="T27918" s="246">
        <f t="shared" si="474"/>
        <v>0</v>
      </c>
    </row>
    <row r="27919" spans="20:20" ht="18.75" customHeight="1" x14ac:dyDescent="0.35">
      <c r="T27919" s="246">
        <f t="shared" si="474"/>
        <v>0</v>
      </c>
    </row>
    <row r="27920" spans="20:20" ht="18.75" customHeight="1" x14ac:dyDescent="0.35">
      <c r="T27920" s="246">
        <f t="shared" si="474"/>
        <v>0</v>
      </c>
    </row>
    <row r="27921" spans="20:20" ht="18.75" customHeight="1" x14ac:dyDescent="0.35">
      <c r="T27921" s="246">
        <f t="shared" si="474"/>
        <v>0</v>
      </c>
    </row>
    <row r="27922" spans="20:20" ht="18.75" customHeight="1" x14ac:dyDescent="0.35">
      <c r="T27922" s="246">
        <f t="shared" si="474"/>
        <v>0</v>
      </c>
    </row>
    <row r="27923" spans="20:20" ht="18.75" customHeight="1" x14ac:dyDescent="0.35">
      <c r="T27923" s="246">
        <f t="shared" si="474"/>
        <v>0</v>
      </c>
    </row>
    <row r="27924" spans="20:20" ht="18.75" customHeight="1" x14ac:dyDescent="0.35">
      <c r="T27924" s="246">
        <f t="shared" si="474"/>
        <v>0</v>
      </c>
    </row>
    <row r="27925" spans="20:20" ht="18.75" customHeight="1" x14ac:dyDescent="0.35">
      <c r="T27925" s="246">
        <f t="shared" si="474"/>
        <v>0</v>
      </c>
    </row>
    <row r="27926" spans="20:20" ht="18.75" customHeight="1" x14ac:dyDescent="0.35">
      <c r="T27926" s="246">
        <f t="shared" si="474"/>
        <v>0</v>
      </c>
    </row>
    <row r="27927" spans="20:20" ht="18.75" customHeight="1" x14ac:dyDescent="0.35">
      <c r="T27927" s="246">
        <f t="shared" si="474"/>
        <v>0</v>
      </c>
    </row>
    <row r="27928" spans="20:20" ht="18.75" customHeight="1" x14ac:dyDescent="0.35">
      <c r="T27928" s="246">
        <f t="shared" si="474"/>
        <v>0</v>
      </c>
    </row>
    <row r="27929" spans="20:20" ht="18.75" customHeight="1" x14ac:dyDescent="0.35">
      <c r="T27929" s="246">
        <f t="shared" si="474"/>
        <v>0</v>
      </c>
    </row>
    <row r="27930" spans="20:20" ht="18.75" customHeight="1" x14ac:dyDescent="0.35">
      <c r="T27930" s="246">
        <f t="shared" si="474"/>
        <v>0</v>
      </c>
    </row>
    <row r="27931" spans="20:20" ht="18.75" customHeight="1" x14ac:dyDescent="0.35">
      <c r="T27931" s="246">
        <f t="shared" si="474"/>
        <v>0</v>
      </c>
    </row>
    <row r="27932" spans="20:20" ht="18.75" customHeight="1" x14ac:dyDescent="0.35">
      <c r="T27932" s="246">
        <f t="shared" si="474"/>
        <v>0</v>
      </c>
    </row>
    <row r="27933" spans="20:20" ht="18.75" customHeight="1" x14ac:dyDescent="0.35">
      <c r="T27933" s="246">
        <f t="shared" si="474"/>
        <v>0</v>
      </c>
    </row>
    <row r="27934" spans="20:20" ht="18.75" customHeight="1" x14ac:dyDescent="0.35">
      <c r="T27934" s="246">
        <f t="shared" si="474"/>
        <v>0</v>
      </c>
    </row>
    <row r="27935" spans="20:20" ht="18.75" customHeight="1" x14ac:dyDescent="0.35">
      <c r="T27935" s="246">
        <f t="shared" si="474"/>
        <v>0</v>
      </c>
    </row>
    <row r="27936" spans="20:20" ht="18.75" customHeight="1" x14ac:dyDescent="0.35">
      <c r="T27936" s="246">
        <f t="shared" si="474"/>
        <v>0</v>
      </c>
    </row>
    <row r="27937" spans="20:20" ht="18.75" customHeight="1" x14ac:dyDescent="0.35">
      <c r="T27937" s="246">
        <f t="shared" si="474"/>
        <v>0</v>
      </c>
    </row>
    <row r="27938" spans="20:20" ht="18.75" customHeight="1" x14ac:dyDescent="0.35">
      <c r="T27938" s="246">
        <f t="shared" si="474"/>
        <v>0</v>
      </c>
    </row>
    <row r="27939" spans="20:20" ht="18.75" customHeight="1" x14ac:dyDescent="0.35">
      <c r="T27939" s="246">
        <f t="shared" si="474"/>
        <v>0</v>
      </c>
    </row>
    <row r="27940" spans="20:20" ht="18.75" customHeight="1" x14ac:dyDescent="0.35">
      <c r="T27940" s="246">
        <f t="shared" si="474"/>
        <v>0</v>
      </c>
    </row>
    <row r="27941" spans="20:20" ht="18.75" customHeight="1" x14ac:dyDescent="0.35">
      <c r="T27941" s="246">
        <f t="shared" si="474"/>
        <v>0</v>
      </c>
    </row>
    <row r="27942" spans="20:20" ht="18.75" customHeight="1" x14ac:dyDescent="0.35">
      <c r="T27942" s="246">
        <f t="shared" si="474"/>
        <v>0</v>
      </c>
    </row>
    <row r="27943" spans="20:20" ht="18.75" customHeight="1" x14ac:dyDescent="0.35">
      <c r="T27943" s="246">
        <f t="shared" si="474"/>
        <v>0</v>
      </c>
    </row>
    <row r="27944" spans="20:20" ht="18.75" customHeight="1" x14ac:dyDescent="0.35">
      <c r="T27944" s="246">
        <f t="shared" si="474"/>
        <v>0</v>
      </c>
    </row>
    <row r="27945" spans="20:20" ht="18.75" customHeight="1" x14ac:dyDescent="0.35">
      <c r="T27945" s="246">
        <f t="shared" si="474"/>
        <v>0</v>
      </c>
    </row>
    <row r="27946" spans="20:20" ht="18.75" customHeight="1" x14ac:dyDescent="0.35">
      <c r="T27946" s="246">
        <f t="shared" si="474"/>
        <v>0</v>
      </c>
    </row>
    <row r="27947" spans="20:20" ht="18.75" customHeight="1" x14ac:dyDescent="0.35">
      <c r="T27947" s="246">
        <f t="shared" si="474"/>
        <v>0</v>
      </c>
    </row>
    <row r="27948" spans="20:20" ht="18.75" customHeight="1" x14ac:dyDescent="0.35">
      <c r="T27948" s="246">
        <f t="shared" si="474"/>
        <v>0</v>
      </c>
    </row>
    <row r="27949" spans="20:20" ht="18.75" customHeight="1" x14ac:dyDescent="0.35">
      <c r="T27949" s="246">
        <f t="shared" si="474"/>
        <v>0</v>
      </c>
    </row>
    <row r="27950" spans="20:20" ht="18.75" customHeight="1" x14ac:dyDescent="0.35">
      <c r="T27950" s="246">
        <f t="shared" si="474"/>
        <v>0</v>
      </c>
    </row>
    <row r="27951" spans="20:20" ht="18.75" customHeight="1" x14ac:dyDescent="0.35">
      <c r="T27951" s="246">
        <f t="shared" si="474"/>
        <v>0</v>
      </c>
    </row>
    <row r="27952" spans="20:20" ht="18.75" customHeight="1" x14ac:dyDescent="0.35">
      <c r="T27952" s="246">
        <f t="shared" si="474"/>
        <v>0</v>
      </c>
    </row>
    <row r="27953" spans="20:20" ht="18.75" customHeight="1" x14ac:dyDescent="0.35">
      <c r="T27953" s="246">
        <f t="shared" si="474"/>
        <v>0</v>
      </c>
    </row>
    <row r="27954" spans="20:20" ht="18.75" customHeight="1" x14ac:dyDescent="0.35">
      <c r="T27954" s="246">
        <f t="shared" si="474"/>
        <v>0</v>
      </c>
    </row>
    <row r="27955" spans="20:20" ht="18.75" customHeight="1" x14ac:dyDescent="0.35">
      <c r="T27955" s="246">
        <f t="shared" si="474"/>
        <v>0</v>
      </c>
    </row>
    <row r="27956" spans="20:20" ht="18.75" customHeight="1" x14ac:dyDescent="0.35">
      <c r="T27956" s="246">
        <f t="shared" si="474"/>
        <v>0</v>
      </c>
    </row>
    <row r="27957" spans="20:20" ht="18.75" customHeight="1" x14ac:dyDescent="0.35">
      <c r="T27957" s="246">
        <f t="shared" si="474"/>
        <v>0</v>
      </c>
    </row>
    <row r="27958" spans="20:20" ht="18.75" customHeight="1" x14ac:dyDescent="0.35">
      <c r="T27958" s="246">
        <f t="shared" si="474"/>
        <v>0</v>
      </c>
    </row>
    <row r="27959" spans="20:20" ht="18.75" customHeight="1" x14ac:dyDescent="0.35">
      <c r="T27959" s="246">
        <f t="shared" si="474"/>
        <v>0</v>
      </c>
    </row>
    <row r="27960" spans="20:20" ht="18.75" customHeight="1" x14ac:dyDescent="0.35">
      <c r="T27960" s="246">
        <f t="shared" si="474"/>
        <v>0</v>
      </c>
    </row>
    <row r="27961" spans="20:20" ht="18.75" customHeight="1" x14ac:dyDescent="0.35">
      <c r="T27961" s="246">
        <f t="shared" si="474"/>
        <v>0</v>
      </c>
    </row>
    <row r="27962" spans="20:20" ht="18.75" customHeight="1" x14ac:dyDescent="0.35">
      <c r="T27962" s="246">
        <f t="shared" si="474"/>
        <v>0</v>
      </c>
    </row>
    <row r="27963" spans="20:20" ht="18.75" customHeight="1" x14ac:dyDescent="0.35">
      <c r="T27963" s="246">
        <f t="shared" si="474"/>
        <v>0</v>
      </c>
    </row>
    <row r="27964" spans="20:20" ht="18.75" customHeight="1" x14ac:dyDescent="0.35">
      <c r="T27964" s="246">
        <f t="shared" ref="T27964:T28027" si="475">R27964*0.01</f>
        <v>0</v>
      </c>
    </row>
    <row r="27965" spans="20:20" ht="18.75" customHeight="1" x14ac:dyDescent="0.35">
      <c r="T27965" s="246">
        <f t="shared" si="475"/>
        <v>0</v>
      </c>
    </row>
    <row r="27966" spans="20:20" ht="18.75" customHeight="1" x14ac:dyDescent="0.35">
      <c r="T27966" s="246">
        <f t="shared" si="475"/>
        <v>0</v>
      </c>
    </row>
    <row r="27967" spans="20:20" ht="18.75" customHeight="1" x14ac:dyDescent="0.35">
      <c r="T27967" s="246">
        <f t="shared" si="475"/>
        <v>0</v>
      </c>
    </row>
    <row r="27968" spans="20:20" ht="18.75" customHeight="1" x14ac:dyDescent="0.35">
      <c r="T27968" s="246">
        <f t="shared" si="475"/>
        <v>0</v>
      </c>
    </row>
    <row r="27969" spans="20:20" ht="18.75" customHeight="1" x14ac:dyDescent="0.35">
      <c r="T27969" s="246">
        <f t="shared" si="475"/>
        <v>0</v>
      </c>
    </row>
    <row r="27970" spans="20:20" ht="18.75" customHeight="1" x14ac:dyDescent="0.35">
      <c r="T27970" s="246">
        <f t="shared" si="475"/>
        <v>0</v>
      </c>
    </row>
    <row r="27971" spans="20:20" ht="18.75" customHeight="1" x14ac:dyDescent="0.35">
      <c r="T27971" s="246">
        <f t="shared" si="475"/>
        <v>0</v>
      </c>
    </row>
    <row r="27972" spans="20:20" ht="18.75" customHeight="1" x14ac:dyDescent="0.35">
      <c r="T27972" s="246">
        <f t="shared" si="475"/>
        <v>0</v>
      </c>
    </row>
    <row r="27973" spans="20:20" ht="18.75" customHeight="1" x14ac:dyDescent="0.35">
      <c r="T27973" s="246">
        <f t="shared" si="475"/>
        <v>0</v>
      </c>
    </row>
    <row r="27974" spans="20:20" ht="18.75" customHeight="1" x14ac:dyDescent="0.35">
      <c r="T27974" s="246">
        <f t="shared" si="475"/>
        <v>0</v>
      </c>
    </row>
    <row r="27975" spans="20:20" ht="18.75" customHeight="1" x14ac:dyDescent="0.35">
      <c r="T27975" s="246">
        <f t="shared" si="475"/>
        <v>0</v>
      </c>
    </row>
    <row r="27976" spans="20:20" ht="18.75" customHeight="1" x14ac:dyDescent="0.35">
      <c r="T27976" s="246">
        <f t="shared" si="475"/>
        <v>0</v>
      </c>
    </row>
    <row r="27977" spans="20:20" ht="18.75" customHeight="1" x14ac:dyDescent="0.35">
      <c r="T27977" s="246">
        <f t="shared" si="475"/>
        <v>0</v>
      </c>
    </row>
    <row r="27978" spans="20:20" ht="18.75" customHeight="1" x14ac:dyDescent="0.35">
      <c r="T27978" s="246">
        <f t="shared" si="475"/>
        <v>0</v>
      </c>
    </row>
    <row r="27979" spans="20:20" ht="18.75" customHeight="1" x14ac:dyDescent="0.35">
      <c r="T27979" s="246">
        <f t="shared" si="475"/>
        <v>0</v>
      </c>
    </row>
    <row r="27980" spans="20:20" ht="18.75" customHeight="1" x14ac:dyDescent="0.35">
      <c r="T27980" s="246">
        <f t="shared" si="475"/>
        <v>0</v>
      </c>
    </row>
    <row r="27981" spans="20:20" ht="18.75" customHeight="1" x14ac:dyDescent="0.35">
      <c r="T27981" s="246">
        <f t="shared" si="475"/>
        <v>0</v>
      </c>
    </row>
    <row r="27982" spans="20:20" ht="18.75" customHeight="1" x14ac:dyDescent="0.35">
      <c r="T27982" s="246">
        <f t="shared" si="475"/>
        <v>0</v>
      </c>
    </row>
    <row r="27983" spans="20:20" ht="18.75" customHeight="1" x14ac:dyDescent="0.35">
      <c r="T27983" s="246">
        <f t="shared" si="475"/>
        <v>0</v>
      </c>
    </row>
    <row r="27984" spans="20:20" ht="18.75" customHeight="1" x14ac:dyDescent="0.35">
      <c r="T27984" s="246">
        <f t="shared" si="475"/>
        <v>0</v>
      </c>
    </row>
    <row r="27985" spans="20:20" ht="18.75" customHeight="1" x14ac:dyDescent="0.35">
      <c r="T27985" s="246">
        <f t="shared" si="475"/>
        <v>0</v>
      </c>
    </row>
    <row r="27986" spans="20:20" ht="18.75" customHeight="1" x14ac:dyDescent="0.35">
      <c r="T27986" s="246">
        <f t="shared" si="475"/>
        <v>0</v>
      </c>
    </row>
    <row r="27987" spans="20:20" ht="18.75" customHeight="1" x14ac:dyDescent="0.35">
      <c r="T27987" s="246">
        <f t="shared" si="475"/>
        <v>0</v>
      </c>
    </row>
    <row r="27988" spans="20:20" ht="18.75" customHeight="1" x14ac:dyDescent="0.35">
      <c r="T27988" s="246">
        <f t="shared" si="475"/>
        <v>0</v>
      </c>
    </row>
    <row r="27989" spans="20:20" ht="18.75" customHeight="1" x14ac:dyDescent="0.35">
      <c r="T27989" s="246">
        <f t="shared" si="475"/>
        <v>0</v>
      </c>
    </row>
    <row r="27990" spans="20:20" ht="18.75" customHeight="1" x14ac:dyDescent="0.35">
      <c r="T27990" s="246">
        <f t="shared" si="475"/>
        <v>0</v>
      </c>
    </row>
    <row r="27991" spans="20:20" ht="18.75" customHeight="1" x14ac:dyDescent="0.35">
      <c r="T27991" s="246">
        <f t="shared" si="475"/>
        <v>0</v>
      </c>
    </row>
    <row r="27992" spans="20:20" ht="18.75" customHeight="1" x14ac:dyDescent="0.35">
      <c r="T27992" s="246">
        <f t="shared" si="475"/>
        <v>0</v>
      </c>
    </row>
    <row r="27993" spans="20:20" ht="18.75" customHeight="1" x14ac:dyDescent="0.35">
      <c r="T27993" s="246">
        <f t="shared" si="475"/>
        <v>0</v>
      </c>
    </row>
    <row r="27994" spans="20:20" ht="18.75" customHeight="1" x14ac:dyDescent="0.35">
      <c r="T27994" s="246">
        <f t="shared" si="475"/>
        <v>0</v>
      </c>
    </row>
    <row r="27995" spans="20:20" ht="18.75" customHeight="1" x14ac:dyDescent="0.35">
      <c r="T27995" s="246">
        <f t="shared" si="475"/>
        <v>0</v>
      </c>
    </row>
    <row r="27996" spans="20:20" ht="18.75" customHeight="1" x14ac:dyDescent="0.35">
      <c r="T27996" s="246">
        <f t="shared" si="475"/>
        <v>0</v>
      </c>
    </row>
    <row r="27997" spans="20:20" ht="18.75" customHeight="1" x14ac:dyDescent="0.35">
      <c r="T27997" s="246">
        <f t="shared" si="475"/>
        <v>0</v>
      </c>
    </row>
    <row r="27998" spans="20:20" ht="18.75" customHeight="1" x14ac:dyDescent="0.35">
      <c r="T27998" s="246">
        <f t="shared" si="475"/>
        <v>0</v>
      </c>
    </row>
    <row r="27999" spans="20:20" ht="18.75" customHeight="1" x14ac:dyDescent="0.35">
      <c r="T27999" s="246">
        <f t="shared" si="475"/>
        <v>0</v>
      </c>
    </row>
    <row r="28000" spans="20:20" ht="18.75" customHeight="1" x14ac:dyDescent="0.35">
      <c r="T28000" s="246">
        <f t="shared" si="475"/>
        <v>0</v>
      </c>
    </row>
    <row r="28001" spans="20:20" ht="18.75" customHeight="1" x14ac:dyDescent="0.35">
      <c r="T28001" s="246">
        <f t="shared" si="475"/>
        <v>0</v>
      </c>
    </row>
    <row r="28002" spans="20:20" ht="18.75" customHeight="1" x14ac:dyDescent="0.35">
      <c r="T28002" s="246">
        <f t="shared" si="475"/>
        <v>0</v>
      </c>
    </row>
    <row r="28003" spans="20:20" ht="18.75" customHeight="1" x14ac:dyDescent="0.35">
      <c r="T28003" s="246">
        <f t="shared" si="475"/>
        <v>0</v>
      </c>
    </row>
    <row r="28004" spans="20:20" ht="18.75" customHeight="1" x14ac:dyDescent="0.35">
      <c r="T28004" s="246">
        <f t="shared" si="475"/>
        <v>0</v>
      </c>
    </row>
    <row r="28005" spans="20:20" ht="18.75" customHeight="1" x14ac:dyDescent="0.35">
      <c r="T28005" s="246">
        <f t="shared" si="475"/>
        <v>0</v>
      </c>
    </row>
    <row r="28006" spans="20:20" ht="18.75" customHeight="1" x14ac:dyDescent="0.35">
      <c r="T28006" s="246">
        <f t="shared" si="475"/>
        <v>0</v>
      </c>
    </row>
    <row r="28007" spans="20:20" ht="18.75" customHeight="1" x14ac:dyDescent="0.35">
      <c r="T28007" s="246">
        <f t="shared" si="475"/>
        <v>0</v>
      </c>
    </row>
    <row r="28008" spans="20:20" ht="18.75" customHeight="1" x14ac:dyDescent="0.35">
      <c r="T28008" s="246">
        <f t="shared" si="475"/>
        <v>0</v>
      </c>
    </row>
    <row r="28009" spans="20:20" ht="18.75" customHeight="1" x14ac:dyDescent="0.35">
      <c r="T28009" s="246">
        <f t="shared" si="475"/>
        <v>0</v>
      </c>
    </row>
    <row r="28010" spans="20:20" ht="18.75" customHeight="1" x14ac:dyDescent="0.35">
      <c r="T28010" s="246">
        <f t="shared" si="475"/>
        <v>0</v>
      </c>
    </row>
    <row r="28011" spans="20:20" ht="18.75" customHeight="1" x14ac:dyDescent="0.35">
      <c r="T28011" s="246">
        <f t="shared" si="475"/>
        <v>0</v>
      </c>
    </row>
    <row r="28012" spans="20:20" ht="18.75" customHeight="1" x14ac:dyDescent="0.35">
      <c r="T28012" s="246">
        <f t="shared" si="475"/>
        <v>0</v>
      </c>
    </row>
    <row r="28013" spans="20:20" ht="18.75" customHeight="1" x14ac:dyDescent="0.35">
      <c r="T28013" s="246">
        <f t="shared" si="475"/>
        <v>0</v>
      </c>
    </row>
    <row r="28014" spans="20:20" ht="18.75" customHeight="1" x14ac:dyDescent="0.35">
      <c r="T28014" s="246">
        <f t="shared" si="475"/>
        <v>0</v>
      </c>
    </row>
    <row r="28015" spans="20:20" ht="18.75" customHeight="1" x14ac:dyDescent="0.35">
      <c r="T28015" s="246">
        <f t="shared" si="475"/>
        <v>0</v>
      </c>
    </row>
    <row r="28016" spans="20:20" ht="18.75" customHeight="1" x14ac:dyDescent="0.35">
      <c r="T28016" s="246">
        <f t="shared" si="475"/>
        <v>0</v>
      </c>
    </row>
    <row r="28017" spans="20:20" ht="18.75" customHeight="1" x14ac:dyDescent="0.35">
      <c r="T28017" s="246">
        <f t="shared" si="475"/>
        <v>0</v>
      </c>
    </row>
    <row r="28018" spans="20:20" ht="18.75" customHeight="1" x14ac:dyDescent="0.35">
      <c r="T28018" s="246">
        <f t="shared" si="475"/>
        <v>0</v>
      </c>
    </row>
    <row r="28019" spans="20:20" ht="18.75" customHeight="1" x14ac:dyDescent="0.35">
      <c r="T28019" s="246">
        <f t="shared" si="475"/>
        <v>0</v>
      </c>
    </row>
    <row r="28020" spans="20:20" ht="18.75" customHeight="1" x14ac:dyDescent="0.35">
      <c r="T28020" s="246">
        <f t="shared" si="475"/>
        <v>0</v>
      </c>
    </row>
    <row r="28021" spans="20:20" ht="18.75" customHeight="1" x14ac:dyDescent="0.35">
      <c r="T28021" s="246">
        <f t="shared" si="475"/>
        <v>0</v>
      </c>
    </row>
    <row r="28022" spans="20:20" ht="18.75" customHeight="1" x14ac:dyDescent="0.35">
      <c r="T28022" s="246">
        <f t="shared" si="475"/>
        <v>0</v>
      </c>
    </row>
    <row r="28023" spans="20:20" ht="18.75" customHeight="1" x14ac:dyDescent="0.35">
      <c r="T28023" s="246">
        <f t="shared" si="475"/>
        <v>0</v>
      </c>
    </row>
    <row r="28024" spans="20:20" ht="18.75" customHeight="1" x14ac:dyDescent="0.35">
      <c r="T28024" s="246">
        <f t="shared" si="475"/>
        <v>0</v>
      </c>
    </row>
    <row r="28025" spans="20:20" ht="18.75" customHeight="1" x14ac:dyDescent="0.35">
      <c r="T28025" s="246">
        <f t="shared" si="475"/>
        <v>0</v>
      </c>
    </row>
    <row r="28026" spans="20:20" ht="18.75" customHeight="1" x14ac:dyDescent="0.35">
      <c r="T28026" s="246">
        <f t="shared" si="475"/>
        <v>0</v>
      </c>
    </row>
    <row r="28027" spans="20:20" ht="18.75" customHeight="1" x14ac:dyDescent="0.35">
      <c r="T28027" s="246">
        <f t="shared" si="475"/>
        <v>0</v>
      </c>
    </row>
    <row r="28028" spans="20:20" ht="18.75" customHeight="1" x14ac:dyDescent="0.35">
      <c r="T28028" s="246">
        <f t="shared" ref="T28028:T28091" si="476">R28028*0.01</f>
        <v>0</v>
      </c>
    </row>
    <row r="28029" spans="20:20" ht="18.75" customHeight="1" x14ac:dyDescent="0.35">
      <c r="T28029" s="246">
        <f t="shared" si="476"/>
        <v>0</v>
      </c>
    </row>
    <row r="28030" spans="20:20" ht="18.75" customHeight="1" x14ac:dyDescent="0.35">
      <c r="T28030" s="246">
        <f t="shared" si="476"/>
        <v>0</v>
      </c>
    </row>
    <row r="28031" spans="20:20" ht="18.75" customHeight="1" x14ac:dyDescent="0.35">
      <c r="T28031" s="246">
        <f t="shared" si="476"/>
        <v>0</v>
      </c>
    </row>
    <row r="28032" spans="20:20" ht="18.75" customHeight="1" x14ac:dyDescent="0.35">
      <c r="T28032" s="246">
        <f t="shared" si="476"/>
        <v>0</v>
      </c>
    </row>
    <row r="28033" spans="20:20" ht="18.75" customHeight="1" x14ac:dyDescent="0.35">
      <c r="T28033" s="246">
        <f t="shared" si="476"/>
        <v>0</v>
      </c>
    </row>
    <row r="28034" spans="20:20" ht="18.75" customHeight="1" x14ac:dyDescent="0.35">
      <c r="T28034" s="246">
        <f t="shared" si="476"/>
        <v>0</v>
      </c>
    </row>
    <row r="28035" spans="20:20" ht="18.75" customHeight="1" x14ac:dyDescent="0.35">
      <c r="T28035" s="246">
        <f t="shared" si="476"/>
        <v>0</v>
      </c>
    </row>
    <row r="28036" spans="20:20" ht="18.75" customHeight="1" x14ac:dyDescent="0.35">
      <c r="T28036" s="246">
        <f t="shared" si="476"/>
        <v>0</v>
      </c>
    </row>
    <row r="28037" spans="20:20" ht="18.75" customHeight="1" x14ac:dyDescent="0.35">
      <c r="T28037" s="246">
        <f t="shared" si="476"/>
        <v>0</v>
      </c>
    </row>
    <row r="28038" spans="20:20" ht="18.75" customHeight="1" x14ac:dyDescent="0.35">
      <c r="T28038" s="246">
        <f t="shared" si="476"/>
        <v>0</v>
      </c>
    </row>
    <row r="28039" spans="20:20" ht="18.75" customHeight="1" x14ac:dyDescent="0.35">
      <c r="T28039" s="246">
        <f t="shared" si="476"/>
        <v>0</v>
      </c>
    </row>
    <row r="28040" spans="20:20" ht="18.75" customHeight="1" x14ac:dyDescent="0.35">
      <c r="T28040" s="246">
        <f t="shared" si="476"/>
        <v>0</v>
      </c>
    </row>
    <row r="28041" spans="20:20" ht="18.75" customHeight="1" x14ac:dyDescent="0.35">
      <c r="T28041" s="246">
        <f t="shared" si="476"/>
        <v>0</v>
      </c>
    </row>
    <row r="28042" spans="20:20" ht="18.75" customHeight="1" x14ac:dyDescent="0.35">
      <c r="T28042" s="246">
        <f t="shared" si="476"/>
        <v>0</v>
      </c>
    </row>
    <row r="28043" spans="20:20" ht="18.75" customHeight="1" x14ac:dyDescent="0.35">
      <c r="T28043" s="246">
        <f t="shared" si="476"/>
        <v>0</v>
      </c>
    </row>
    <row r="28044" spans="20:20" ht="18.75" customHeight="1" x14ac:dyDescent="0.35">
      <c r="T28044" s="246">
        <f t="shared" si="476"/>
        <v>0</v>
      </c>
    </row>
    <row r="28045" spans="20:20" ht="18.75" customHeight="1" x14ac:dyDescent="0.35">
      <c r="T28045" s="246">
        <f t="shared" si="476"/>
        <v>0</v>
      </c>
    </row>
    <row r="28046" spans="20:20" ht="18.75" customHeight="1" x14ac:dyDescent="0.35">
      <c r="T28046" s="246">
        <f t="shared" si="476"/>
        <v>0</v>
      </c>
    </row>
    <row r="28047" spans="20:20" ht="18.75" customHeight="1" x14ac:dyDescent="0.35">
      <c r="T28047" s="246">
        <f t="shared" si="476"/>
        <v>0</v>
      </c>
    </row>
    <row r="28048" spans="20:20" ht="18.75" customHeight="1" x14ac:dyDescent="0.35">
      <c r="T28048" s="246">
        <f t="shared" si="476"/>
        <v>0</v>
      </c>
    </row>
    <row r="28049" spans="20:20" ht="18.75" customHeight="1" x14ac:dyDescent="0.35">
      <c r="T28049" s="246">
        <f t="shared" si="476"/>
        <v>0</v>
      </c>
    </row>
    <row r="28050" spans="20:20" ht="18.75" customHeight="1" x14ac:dyDescent="0.35">
      <c r="T28050" s="246">
        <f t="shared" si="476"/>
        <v>0</v>
      </c>
    </row>
    <row r="28051" spans="20:20" ht="18.75" customHeight="1" x14ac:dyDescent="0.35">
      <c r="T28051" s="246">
        <f t="shared" si="476"/>
        <v>0</v>
      </c>
    </row>
    <row r="28052" spans="20:20" ht="18.75" customHeight="1" x14ac:dyDescent="0.35">
      <c r="T28052" s="246">
        <f t="shared" si="476"/>
        <v>0</v>
      </c>
    </row>
    <row r="28053" spans="20:20" ht="18.75" customHeight="1" x14ac:dyDescent="0.35">
      <c r="T28053" s="246">
        <f t="shared" si="476"/>
        <v>0</v>
      </c>
    </row>
    <row r="28054" spans="20:20" ht="18.75" customHeight="1" x14ac:dyDescent="0.35">
      <c r="T28054" s="246">
        <f t="shared" si="476"/>
        <v>0</v>
      </c>
    </row>
    <row r="28055" spans="20:20" ht="18.75" customHeight="1" x14ac:dyDescent="0.35">
      <c r="T28055" s="246">
        <f t="shared" si="476"/>
        <v>0</v>
      </c>
    </row>
    <row r="28056" spans="20:20" ht="18.75" customHeight="1" x14ac:dyDescent="0.35">
      <c r="T28056" s="246">
        <f t="shared" si="476"/>
        <v>0</v>
      </c>
    </row>
    <row r="28057" spans="20:20" ht="18.75" customHeight="1" x14ac:dyDescent="0.35">
      <c r="T28057" s="246">
        <f t="shared" si="476"/>
        <v>0</v>
      </c>
    </row>
    <row r="28058" spans="20:20" ht="18.75" customHeight="1" x14ac:dyDescent="0.35">
      <c r="T28058" s="246">
        <f t="shared" si="476"/>
        <v>0</v>
      </c>
    </row>
    <row r="28059" spans="20:20" ht="18.75" customHeight="1" x14ac:dyDescent="0.35">
      <c r="T28059" s="246">
        <f t="shared" si="476"/>
        <v>0</v>
      </c>
    </row>
    <row r="28060" spans="20:20" ht="18.75" customHeight="1" x14ac:dyDescent="0.35">
      <c r="T28060" s="246">
        <f t="shared" si="476"/>
        <v>0</v>
      </c>
    </row>
    <row r="28061" spans="20:20" ht="18.75" customHeight="1" x14ac:dyDescent="0.35">
      <c r="T28061" s="246">
        <f t="shared" si="476"/>
        <v>0</v>
      </c>
    </row>
    <row r="28062" spans="20:20" ht="18.75" customHeight="1" x14ac:dyDescent="0.35">
      <c r="T28062" s="246">
        <f t="shared" si="476"/>
        <v>0</v>
      </c>
    </row>
    <row r="28063" spans="20:20" ht="18.75" customHeight="1" x14ac:dyDescent="0.35">
      <c r="T28063" s="246">
        <f t="shared" si="476"/>
        <v>0</v>
      </c>
    </row>
    <row r="28064" spans="20:20" ht="18.75" customHeight="1" x14ac:dyDescent="0.35">
      <c r="T28064" s="246">
        <f t="shared" si="476"/>
        <v>0</v>
      </c>
    </row>
    <row r="28065" spans="20:20" ht="18.75" customHeight="1" x14ac:dyDescent="0.35">
      <c r="T28065" s="246">
        <f t="shared" si="476"/>
        <v>0</v>
      </c>
    </row>
    <row r="28066" spans="20:20" ht="18.75" customHeight="1" x14ac:dyDescent="0.35">
      <c r="T28066" s="246">
        <f t="shared" si="476"/>
        <v>0</v>
      </c>
    </row>
    <row r="28067" spans="20:20" ht="18.75" customHeight="1" x14ac:dyDescent="0.35">
      <c r="T28067" s="246">
        <f t="shared" si="476"/>
        <v>0</v>
      </c>
    </row>
    <row r="28068" spans="20:20" ht="18.75" customHeight="1" x14ac:dyDescent="0.35">
      <c r="T28068" s="246">
        <f t="shared" si="476"/>
        <v>0</v>
      </c>
    </row>
    <row r="28069" spans="20:20" ht="18.75" customHeight="1" x14ac:dyDescent="0.35">
      <c r="T28069" s="246">
        <f t="shared" si="476"/>
        <v>0</v>
      </c>
    </row>
    <row r="28070" spans="20:20" ht="18.75" customHeight="1" x14ac:dyDescent="0.35">
      <c r="T28070" s="246">
        <f t="shared" si="476"/>
        <v>0</v>
      </c>
    </row>
    <row r="28071" spans="20:20" ht="18.75" customHeight="1" x14ac:dyDescent="0.35">
      <c r="T28071" s="246">
        <f t="shared" si="476"/>
        <v>0</v>
      </c>
    </row>
    <row r="28072" spans="20:20" ht="18.75" customHeight="1" x14ac:dyDescent="0.35">
      <c r="T28072" s="246">
        <f t="shared" si="476"/>
        <v>0</v>
      </c>
    </row>
    <row r="28073" spans="20:20" ht="18.75" customHeight="1" x14ac:dyDescent="0.35">
      <c r="T28073" s="246">
        <f t="shared" si="476"/>
        <v>0</v>
      </c>
    </row>
    <row r="28074" spans="20:20" ht="18.75" customHeight="1" x14ac:dyDescent="0.35">
      <c r="T28074" s="246">
        <f t="shared" si="476"/>
        <v>0</v>
      </c>
    </row>
    <row r="28075" spans="20:20" ht="18.75" customHeight="1" x14ac:dyDescent="0.35">
      <c r="T28075" s="246">
        <f t="shared" si="476"/>
        <v>0</v>
      </c>
    </row>
    <row r="28076" spans="20:20" ht="18.75" customHeight="1" x14ac:dyDescent="0.35">
      <c r="T28076" s="246">
        <f t="shared" si="476"/>
        <v>0</v>
      </c>
    </row>
    <row r="28077" spans="20:20" ht="18.75" customHeight="1" x14ac:dyDescent="0.35">
      <c r="T28077" s="246">
        <f t="shared" si="476"/>
        <v>0</v>
      </c>
    </row>
    <row r="28078" spans="20:20" ht="18.75" customHeight="1" x14ac:dyDescent="0.35">
      <c r="T28078" s="246">
        <f t="shared" si="476"/>
        <v>0</v>
      </c>
    </row>
    <row r="28079" spans="20:20" ht="18.75" customHeight="1" x14ac:dyDescent="0.35">
      <c r="T28079" s="246">
        <f t="shared" si="476"/>
        <v>0</v>
      </c>
    </row>
    <row r="28080" spans="20:20" ht="18.75" customHeight="1" x14ac:dyDescent="0.35">
      <c r="T28080" s="246">
        <f t="shared" si="476"/>
        <v>0</v>
      </c>
    </row>
    <row r="28081" spans="20:20" ht="18.75" customHeight="1" x14ac:dyDescent="0.35">
      <c r="T28081" s="246">
        <f t="shared" si="476"/>
        <v>0</v>
      </c>
    </row>
    <row r="28082" spans="20:20" ht="18.75" customHeight="1" x14ac:dyDescent="0.35">
      <c r="T28082" s="246">
        <f t="shared" si="476"/>
        <v>0</v>
      </c>
    </row>
    <row r="28083" spans="20:20" ht="18.75" customHeight="1" x14ac:dyDescent="0.35">
      <c r="T28083" s="246">
        <f t="shared" si="476"/>
        <v>0</v>
      </c>
    </row>
    <row r="28084" spans="20:20" ht="18.75" customHeight="1" x14ac:dyDescent="0.35">
      <c r="T28084" s="246">
        <f t="shared" si="476"/>
        <v>0</v>
      </c>
    </row>
    <row r="28085" spans="20:20" ht="18.75" customHeight="1" x14ac:dyDescent="0.35">
      <c r="T28085" s="246">
        <f t="shared" si="476"/>
        <v>0</v>
      </c>
    </row>
    <row r="28086" spans="20:20" ht="18.75" customHeight="1" x14ac:dyDescent="0.35">
      <c r="T28086" s="246">
        <f t="shared" si="476"/>
        <v>0</v>
      </c>
    </row>
    <row r="28087" spans="20:20" ht="18.75" customHeight="1" x14ac:dyDescent="0.35">
      <c r="T28087" s="246">
        <f t="shared" si="476"/>
        <v>0</v>
      </c>
    </row>
    <row r="28088" spans="20:20" ht="18.75" customHeight="1" x14ac:dyDescent="0.35">
      <c r="T28088" s="246">
        <f t="shared" si="476"/>
        <v>0</v>
      </c>
    </row>
    <row r="28089" spans="20:20" ht="18.75" customHeight="1" x14ac:dyDescent="0.35">
      <c r="T28089" s="246">
        <f t="shared" si="476"/>
        <v>0</v>
      </c>
    </row>
    <row r="28090" spans="20:20" ht="18.75" customHeight="1" x14ac:dyDescent="0.35">
      <c r="T28090" s="246">
        <f t="shared" si="476"/>
        <v>0</v>
      </c>
    </row>
    <row r="28091" spans="20:20" ht="18.75" customHeight="1" x14ac:dyDescent="0.35">
      <c r="T28091" s="246">
        <f t="shared" si="476"/>
        <v>0</v>
      </c>
    </row>
    <row r="28092" spans="20:20" ht="18.75" customHeight="1" x14ac:dyDescent="0.35">
      <c r="T28092" s="246">
        <f t="shared" ref="T28092:T28155" si="477">R28092*0.01</f>
        <v>0</v>
      </c>
    </row>
    <row r="28093" spans="20:20" ht="18.75" customHeight="1" x14ac:dyDescent="0.35">
      <c r="T28093" s="246">
        <f t="shared" si="477"/>
        <v>0</v>
      </c>
    </row>
    <row r="28094" spans="20:20" ht="18.75" customHeight="1" x14ac:dyDescent="0.35">
      <c r="T28094" s="246">
        <f t="shared" si="477"/>
        <v>0</v>
      </c>
    </row>
    <row r="28095" spans="20:20" ht="18.75" customHeight="1" x14ac:dyDescent="0.35">
      <c r="T28095" s="246">
        <f t="shared" si="477"/>
        <v>0</v>
      </c>
    </row>
    <row r="28096" spans="20:20" ht="18.75" customHeight="1" x14ac:dyDescent="0.35">
      <c r="T28096" s="246">
        <f t="shared" si="477"/>
        <v>0</v>
      </c>
    </row>
    <row r="28097" spans="20:20" ht="18.75" customHeight="1" x14ac:dyDescent="0.35">
      <c r="T28097" s="246">
        <f t="shared" si="477"/>
        <v>0</v>
      </c>
    </row>
    <row r="28098" spans="20:20" ht="18.75" customHeight="1" x14ac:dyDescent="0.35">
      <c r="T28098" s="246">
        <f t="shared" si="477"/>
        <v>0</v>
      </c>
    </row>
    <row r="28099" spans="20:20" ht="18.75" customHeight="1" x14ac:dyDescent="0.35">
      <c r="T28099" s="246">
        <f t="shared" si="477"/>
        <v>0</v>
      </c>
    </row>
    <row r="28100" spans="20:20" ht="18.75" customHeight="1" x14ac:dyDescent="0.35">
      <c r="T28100" s="246">
        <f t="shared" si="477"/>
        <v>0</v>
      </c>
    </row>
    <row r="28101" spans="20:20" ht="18.75" customHeight="1" x14ac:dyDescent="0.35">
      <c r="T28101" s="246">
        <f t="shared" si="477"/>
        <v>0</v>
      </c>
    </row>
    <row r="28102" spans="20:20" ht="18.75" customHeight="1" x14ac:dyDescent="0.35">
      <c r="T28102" s="246">
        <f t="shared" si="477"/>
        <v>0</v>
      </c>
    </row>
    <row r="28103" spans="20:20" ht="18.75" customHeight="1" x14ac:dyDescent="0.35">
      <c r="T28103" s="246">
        <f t="shared" si="477"/>
        <v>0</v>
      </c>
    </row>
    <row r="28104" spans="20:20" ht="18.75" customHeight="1" x14ac:dyDescent="0.35">
      <c r="T28104" s="246">
        <f t="shared" si="477"/>
        <v>0</v>
      </c>
    </row>
    <row r="28105" spans="20:20" ht="18.75" customHeight="1" x14ac:dyDescent="0.35">
      <c r="T28105" s="246">
        <f t="shared" si="477"/>
        <v>0</v>
      </c>
    </row>
    <row r="28106" spans="20:20" ht="18.75" customHeight="1" x14ac:dyDescent="0.35">
      <c r="T28106" s="246">
        <f t="shared" si="477"/>
        <v>0</v>
      </c>
    </row>
    <row r="28107" spans="20:20" ht="18.75" customHeight="1" x14ac:dyDescent="0.35">
      <c r="T28107" s="246">
        <f t="shared" si="477"/>
        <v>0</v>
      </c>
    </row>
    <row r="28108" spans="20:20" ht="18.75" customHeight="1" x14ac:dyDescent="0.35">
      <c r="T28108" s="246">
        <f t="shared" si="477"/>
        <v>0</v>
      </c>
    </row>
    <row r="28109" spans="20:20" ht="18.75" customHeight="1" x14ac:dyDescent="0.35">
      <c r="T28109" s="246">
        <f t="shared" si="477"/>
        <v>0</v>
      </c>
    </row>
    <row r="28110" spans="20:20" ht="18.75" customHeight="1" x14ac:dyDescent="0.35">
      <c r="T28110" s="246">
        <f t="shared" si="477"/>
        <v>0</v>
      </c>
    </row>
    <row r="28111" spans="20:20" ht="18.75" customHeight="1" x14ac:dyDescent="0.35">
      <c r="T28111" s="246">
        <f t="shared" si="477"/>
        <v>0</v>
      </c>
    </row>
    <row r="28112" spans="20:20" ht="18.75" customHeight="1" x14ac:dyDescent="0.35">
      <c r="T28112" s="246">
        <f t="shared" si="477"/>
        <v>0</v>
      </c>
    </row>
    <row r="28113" spans="20:20" ht="18.75" customHeight="1" x14ac:dyDescent="0.35">
      <c r="T28113" s="246">
        <f t="shared" si="477"/>
        <v>0</v>
      </c>
    </row>
    <row r="28114" spans="20:20" ht="18.75" customHeight="1" x14ac:dyDescent="0.35">
      <c r="T28114" s="246">
        <f t="shared" si="477"/>
        <v>0</v>
      </c>
    </row>
    <row r="28115" spans="20:20" ht="18.75" customHeight="1" x14ac:dyDescent="0.35">
      <c r="T28115" s="246">
        <f t="shared" si="477"/>
        <v>0</v>
      </c>
    </row>
    <row r="28116" spans="20:20" ht="18.75" customHeight="1" x14ac:dyDescent="0.35">
      <c r="T28116" s="246">
        <f t="shared" si="477"/>
        <v>0</v>
      </c>
    </row>
    <row r="28117" spans="20:20" ht="18.75" customHeight="1" x14ac:dyDescent="0.35">
      <c r="T28117" s="246">
        <f t="shared" si="477"/>
        <v>0</v>
      </c>
    </row>
    <row r="28118" spans="20:20" ht="18.75" customHeight="1" x14ac:dyDescent="0.35">
      <c r="T28118" s="246">
        <f t="shared" si="477"/>
        <v>0</v>
      </c>
    </row>
    <row r="28119" spans="20:20" ht="18.75" customHeight="1" x14ac:dyDescent="0.35">
      <c r="T28119" s="246">
        <f t="shared" si="477"/>
        <v>0</v>
      </c>
    </row>
    <row r="28120" spans="20:20" ht="18.75" customHeight="1" x14ac:dyDescent="0.35">
      <c r="T28120" s="246">
        <f t="shared" si="477"/>
        <v>0</v>
      </c>
    </row>
    <row r="28121" spans="20:20" ht="18.75" customHeight="1" x14ac:dyDescent="0.35">
      <c r="T28121" s="246">
        <f t="shared" si="477"/>
        <v>0</v>
      </c>
    </row>
    <row r="28122" spans="20:20" ht="18.75" customHeight="1" x14ac:dyDescent="0.35">
      <c r="T28122" s="246">
        <f t="shared" si="477"/>
        <v>0</v>
      </c>
    </row>
    <row r="28123" spans="20:20" ht="18.75" customHeight="1" x14ac:dyDescent="0.35">
      <c r="T28123" s="246">
        <f t="shared" si="477"/>
        <v>0</v>
      </c>
    </row>
    <row r="28124" spans="20:20" ht="18.75" customHeight="1" x14ac:dyDescent="0.35">
      <c r="T28124" s="246">
        <f t="shared" si="477"/>
        <v>0</v>
      </c>
    </row>
    <row r="28125" spans="20:20" ht="18.75" customHeight="1" x14ac:dyDescent="0.35">
      <c r="T28125" s="246">
        <f t="shared" si="477"/>
        <v>0</v>
      </c>
    </row>
    <row r="28126" spans="20:20" ht="18.75" customHeight="1" x14ac:dyDescent="0.35">
      <c r="T28126" s="246">
        <f t="shared" si="477"/>
        <v>0</v>
      </c>
    </row>
    <row r="28127" spans="20:20" ht="18.75" customHeight="1" x14ac:dyDescent="0.35">
      <c r="T28127" s="246">
        <f t="shared" si="477"/>
        <v>0</v>
      </c>
    </row>
    <row r="28128" spans="20:20" ht="18.75" customHeight="1" x14ac:dyDescent="0.35">
      <c r="T28128" s="246">
        <f t="shared" si="477"/>
        <v>0</v>
      </c>
    </row>
    <row r="28129" spans="20:20" ht="18.75" customHeight="1" x14ac:dyDescent="0.35">
      <c r="T28129" s="246">
        <f t="shared" si="477"/>
        <v>0</v>
      </c>
    </row>
    <row r="28130" spans="20:20" ht="18.75" customHeight="1" x14ac:dyDescent="0.35">
      <c r="T28130" s="246">
        <f t="shared" si="477"/>
        <v>0</v>
      </c>
    </row>
    <row r="28131" spans="20:20" ht="18.75" customHeight="1" x14ac:dyDescent="0.35">
      <c r="T28131" s="246">
        <f t="shared" si="477"/>
        <v>0</v>
      </c>
    </row>
    <row r="28132" spans="20:20" ht="18.75" customHeight="1" x14ac:dyDescent="0.35">
      <c r="T28132" s="246">
        <f t="shared" si="477"/>
        <v>0</v>
      </c>
    </row>
    <row r="28133" spans="20:20" ht="18.75" customHeight="1" x14ac:dyDescent="0.35">
      <c r="T28133" s="246">
        <f t="shared" si="477"/>
        <v>0</v>
      </c>
    </row>
    <row r="28134" spans="20:20" ht="18.75" customHeight="1" x14ac:dyDescent="0.35">
      <c r="T28134" s="246">
        <f t="shared" si="477"/>
        <v>0</v>
      </c>
    </row>
    <row r="28135" spans="20:20" ht="18.75" customHeight="1" x14ac:dyDescent="0.35">
      <c r="T28135" s="246">
        <f t="shared" si="477"/>
        <v>0</v>
      </c>
    </row>
    <row r="28136" spans="20:20" ht="18.75" customHeight="1" x14ac:dyDescent="0.35">
      <c r="T28136" s="246">
        <f t="shared" si="477"/>
        <v>0</v>
      </c>
    </row>
    <row r="28137" spans="20:20" ht="18.75" customHeight="1" x14ac:dyDescent="0.35">
      <c r="T28137" s="246">
        <f t="shared" si="477"/>
        <v>0</v>
      </c>
    </row>
    <row r="28138" spans="20:20" ht="18.75" customHeight="1" x14ac:dyDescent="0.35">
      <c r="T28138" s="246">
        <f t="shared" si="477"/>
        <v>0</v>
      </c>
    </row>
    <row r="28139" spans="20:20" ht="18.75" customHeight="1" x14ac:dyDescent="0.35">
      <c r="T28139" s="246">
        <f t="shared" si="477"/>
        <v>0</v>
      </c>
    </row>
    <row r="28140" spans="20:20" ht="18.75" customHeight="1" x14ac:dyDescent="0.35">
      <c r="T28140" s="246">
        <f t="shared" si="477"/>
        <v>0</v>
      </c>
    </row>
    <row r="28141" spans="20:20" ht="18.75" customHeight="1" x14ac:dyDescent="0.35">
      <c r="T28141" s="246">
        <f t="shared" si="477"/>
        <v>0</v>
      </c>
    </row>
    <row r="28142" spans="20:20" ht="18.75" customHeight="1" x14ac:dyDescent="0.35">
      <c r="T28142" s="246">
        <f t="shared" si="477"/>
        <v>0</v>
      </c>
    </row>
    <row r="28143" spans="20:20" ht="18.75" customHeight="1" x14ac:dyDescent="0.35">
      <c r="T28143" s="246">
        <f t="shared" si="477"/>
        <v>0</v>
      </c>
    </row>
    <row r="28144" spans="20:20" ht="18.75" customHeight="1" x14ac:dyDescent="0.35">
      <c r="T28144" s="246">
        <f t="shared" si="477"/>
        <v>0</v>
      </c>
    </row>
    <row r="28145" spans="20:20" ht="18.75" customHeight="1" x14ac:dyDescent="0.35">
      <c r="T28145" s="246">
        <f t="shared" si="477"/>
        <v>0</v>
      </c>
    </row>
    <row r="28146" spans="20:20" ht="18.75" customHeight="1" x14ac:dyDescent="0.35">
      <c r="T28146" s="246">
        <f t="shared" si="477"/>
        <v>0</v>
      </c>
    </row>
    <row r="28147" spans="20:20" ht="18.75" customHeight="1" x14ac:dyDescent="0.35">
      <c r="T28147" s="246">
        <f t="shared" si="477"/>
        <v>0</v>
      </c>
    </row>
    <row r="28148" spans="20:20" ht="18.75" customHeight="1" x14ac:dyDescent="0.35">
      <c r="T28148" s="246">
        <f t="shared" si="477"/>
        <v>0</v>
      </c>
    </row>
    <row r="28149" spans="20:20" ht="18.75" customHeight="1" x14ac:dyDescent="0.35">
      <c r="T28149" s="246">
        <f t="shared" si="477"/>
        <v>0</v>
      </c>
    </row>
    <row r="28150" spans="20:20" ht="18.75" customHeight="1" x14ac:dyDescent="0.35">
      <c r="T28150" s="246">
        <f t="shared" si="477"/>
        <v>0</v>
      </c>
    </row>
    <row r="28151" spans="20:20" ht="18.75" customHeight="1" x14ac:dyDescent="0.35">
      <c r="T28151" s="246">
        <f t="shared" si="477"/>
        <v>0</v>
      </c>
    </row>
    <row r="28152" spans="20:20" ht="18.75" customHeight="1" x14ac:dyDescent="0.35">
      <c r="T28152" s="246">
        <f t="shared" si="477"/>
        <v>0</v>
      </c>
    </row>
    <row r="28153" spans="20:20" ht="18.75" customHeight="1" x14ac:dyDescent="0.35">
      <c r="T28153" s="246">
        <f t="shared" si="477"/>
        <v>0</v>
      </c>
    </row>
    <row r="28154" spans="20:20" ht="18.75" customHeight="1" x14ac:dyDescent="0.35">
      <c r="T28154" s="246">
        <f t="shared" si="477"/>
        <v>0</v>
      </c>
    </row>
    <row r="28155" spans="20:20" ht="18.75" customHeight="1" x14ac:dyDescent="0.35">
      <c r="T28155" s="246">
        <f t="shared" si="477"/>
        <v>0</v>
      </c>
    </row>
    <row r="28156" spans="20:20" ht="18.75" customHeight="1" x14ac:dyDescent="0.35">
      <c r="T28156" s="246">
        <f t="shared" ref="T28156:T28219" si="478">R28156*0.01</f>
        <v>0</v>
      </c>
    </row>
    <row r="28157" spans="20:20" ht="18.75" customHeight="1" x14ac:dyDescent="0.35">
      <c r="T28157" s="246">
        <f t="shared" si="478"/>
        <v>0</v>
      </c>
    </row>
    <row r="28158" spans="20:20" ht="18.75" customHeight="1" x14ac:dyDescent="0.35">
      <c r="T28158" s="246">
        <f t="shared" si="478"/>
        <v>0</v>
      </c>
    </row>
    <row r="28159" spans="20:20" ht="18.75" customHeight="1" x14ac:dyDescent="0.35">
      <c r="T28159" s="246">
        <f t="shared" si="478"/>
        <v>0</v>
      </c>
    </row>
    <row r="28160" spans="20:20" ht="18.75" customHeight="1" x14ac:dyDescent="0.35">
      <c r="T28160" s="246">
        <f t="shared" si="478"/>
        <v>0</v>
      </c>
    </row>
    <row r="28161" spans="20:20" ht="18.75" customHeight="1" x14ac:dyDescent="0.35">
      <c r="T28161" s="246">
        <f t="shared" si="478"/>
        <v>0</v>
      </c>
    </row>
    <row r="28162" spans="20:20" ht="18.75" customHeight="1" x14ac:dyDescent="0.35">
      <c r="T28162" s="246">
        <f t="shared" si="478"/>
        <v>0</v>
      </c>
    </row>
    <row r="28163" spans="20:20" ht="18.75" customHeight="1" x14ac:dyDescent="0.35">
      <c r="T28163" s="246">
        <f t="shared" si="478"/>
        <v>0</v>
      </c>
    </row>
    <row r="28164" spans="20:20" ht="18.75" customHeight="1" x14ac:dyDescent="0.35">
      <c r="T28164" s="246">
        <f t="shared" si="478"/>
        <v>0</v>
      </c>
    </row>
    <row r="28165" spans="20:20" ht="18.75" customHeight="1" x14ac:dyDescent="0.35">
      <c r="T28165" s="246">
        <f t="shared" si="478"/>
        <v>0</v>
      </c>
    </row>
    <row r="28166" spans="20:20" ht="18.75" customHeight="1" x14ac:dyDescent="0.35">
      <c r="T28166" s="246">
        <f t="shared" si="478"/>
        <v>0</v>
      </c>
    </row>
    <row r="28167" spans="20:20" ht="18.75" customHeight="1" x14ac:dyDescent="0.35">
      <c r="T28167" s="246">
        <f t="shared" si="478"/>
        <v>0</v>
      </c>
    </row>
    <row r="28168" spans="20:20" ht="18.75" customHeight="1" x14ac:dyDescent="0.35">
      <c r="T28168" s="246">
        <f t="shared" si="478"/>
        <v>0</v>
      </c>
    </row>
    <row r="28169" spans="20:20" ht="18.75" customHeight="1" x14ac:dyDescent="0.35">
      <c r="T28169" s="246">
        <f t="shared" si="478"/>
        <v>0</v>
      </c>
    </row>
    <row r="28170" spans="20:20" ht="18.75" customHeight="1" x14ac:dyDescent="0.35">
      <c r="T28170" s="246">
        <f t="shared" si="478"/>
        <v>0</v>
      </c>
    </row>
    <row r="28171" spans="20:20" ht="18.75" customHeight="1" x14ac:dyDescent="0.35">
      <c r="T28171" s="246">
        <f t="shared" si="478"/>
        <v>0</v>
      </c>
    </row>
    <row r="28172" spans="20:20" ht="18.75" customHeight="1" x14ac:dyDescent="0.35">
      <c r="T28172" s="246">
        <f t="shared" si="478"/>
        <v>0</v>
      </c>
    </row>
    <row r="28173" spans="20:20" ht="18.75" customHeight="1" x14ac:dyDescent="0.35">
      <c r="T28173" s="246">
        <f t="shared" si="478"/>
        <v>0</v>
      </c>
    </row>
    <row r="28174" spans="20:20" ht="18.75" customHeight="1" x14ac:dyDescent="0.35">
      <c r="T28174" s="246">
        <f t="shared" si="478"/>
        <v>0</v>
      </c>
    </row>
    <row r="28175" spans="20:20" ht="18.75" customHeight="1" x14ac:dyDescent="0.35">
      <c r="T28175" s="246">
        <f t="shared" si="478"/>
        <v>0</v>
      </c>
    </row>
    <row r="28176" spans="20:20" ht="18.75" customHeight="1" x14ac:dyDescent="0.35">
      <c r="T28176" s="246">
        <f t="shared" si="478"/>
        <v>0</v>
      </c>
    </row>
    <row r="28177" spans="20:20" ht="18.75" customHeight="1" x14ac:dyDescent="0.35">
      <c r="T28177" s="246">
        <f t="shared" si="478"/>
        <v>0</v>
      </c>
    </row>
    <row r="28178" spans="20:20" ht="18.75" customHeight="1" x14ac:dyDescent="0.35">
      <c r="T28178" s="246">
        <f t="shared" si="478"/>
        <v>0</v>
      </c>
    </row>
    <row r="28179" spans="20:20" ht="18.75" customHeight="1" x14ac:dyDescent="0.35">
      <c r="T28179" s="246">
        <f t="shared" si="478"/>
        <v>0</v>
      </c>
    </row>
    <row r="28180" spans="20:20" ht="18.75" customHeight="1" x14ac:dyDescent="0.35">
      <c r="T28180" s="246">
        <f t="shared" si="478"/>
        <v>0</v>
      </c>
    </row>
    <row r="28181" spans="20:20" ht="18.75" customHeight="1" x14ac:dyDescent="0.35">
      <c r="T28181" s="246">
        <f t="shared" si="478"/>
        <v>0</v>
      </c>
    </row>
    <row r="28182" spans="20:20" ht="18.75" customHeight="1" x14ac:dyDescent="0.35">
      <c r="T28182" s="246">
        <f t="shared" si="478"/>
        <v>0</v>
      </c>
    </row>
    <row r="28183" spans="20:20" ht="18.75" customHeight="1" x14ac:dyDescent="0.35">
      <c r="T28183" s="246">
        <f t="shared" si="478"/>
        <v>0</v>
      </c>
    </row>
    <row r="28184" spans="20:20" ht="18.75" customHeight="1" x14ac:dyDescent="0.35">
      <c r="T28184" s="246">
        <f t="shared" si="478"/>
        <v>0</v>
      </c>
    </row>
    <row r="28185" spans="20:20" ht="18.75" customHeight="1" x14ac:dyDescent="0.35">
      <c r="T28185" s="246">
        <f t="shared" si="478"/>
        <v>0</v>
      </c>
    </row>
    <row r="28186" spans="20:20" ht="18.75" customHeight="1" x14ac:dyDescent="0.35">
      <c r="T28186" s="246">
        <f t="shared" si="478"/>
        <v>0</v>
      </c>
    </row>
    <row r="28187" spans="20:20" ht="18.75" customHeight="1" x14ac:dyDescent="0.35">
      <c r="T28187" s="246">
        <f t="shared" si="478"/>
        <v>0</v>
      </c>
    </row>
    <row r="28188" spans="20:20" ht="18.75" customHeight="1" x14ac:dyDescent="0.35">
      <c r="T28188" s="246">
        <f t="shared" si="478"/>
        <v>0</v>
      </c>
    </row>
    <row r="28189" spans="20:20" ht="18.75" customHeight="1" x14ac:dyDescent="0.35">
      <c r="T28189" s="246">
        <f t="shared" si="478"/>
        <v>0</v>
      </c>
    </row>
    <row r="28190" spans="20:20" ht="18.75" customHeight="1" x14ac:dyDescent="0.35">
      <c r="T28190" s="246">
        <f t="shared" si="478"/>
        <v>0</v>
      </c>
    </row>
    <row r="28191" spans="20:20" ht="18.75" customHeight="1" x14ac:dyDescent="0.35">
      <c r="T28191" s="246">
        <f t="shared" si="478"/>
        <v>0</v>
      </c>
    </row>
    <row r="28192" spans="20:20" ht="18.75" customHeight="1" x14ac:dyDescent="0.35">
      <c r="T28192" s="246">
        <f t="shared" si="478"/>
        <v>0</v>
      </c>
    </row>
    <row r="28193" spans="20:20" ht="18.75" customHeight="1" x14ac:dyDescent="0.35">
      <c r="T28193" s="246">
        <f t="shared" si="478"/>
        <v>0</v>
      </c>
    </row>
    <row r="28194" spans="20:20" ht="18.75" customHeight="1" x14ac:dyDescent="0.35">
      <c r="T28194" s="246">
        <f t="shared" si="478"/>
        <v>0</v>
      </c>
    </row>
    <row r="28195" spans="20:20" ht="18.75" customHeight="1" x14ac:dyDescent="0.35">
      <c r="T28195" s="246">
        <f t="shared" si="478"/>
        <v>0</v>
      </c>
    </row>
    <row r="28196" spans="20:20" ht="18.75" customHeight="1" x14ac:dyDescent="0.35">
      <c r="T28196" s="246">
        <f t="shared" si="478"/>
        <v>0</v>
      </c>
    </row>
    <row r="28197" spans="20:20" ht="18.75" customHeight="1" x14ac:dyDescent="0.35">
      <c r="T28197" s="246">
        <f t="shared" si="478"/>
        <v>0</v>
      </c>
    </row>
    <row r="28198" spans="20:20" ht="18.75" customHeight="1" x14ac:dyDescent="0.35">
      <c r="T28198" s="246">
        <f t="shared" si="478"/>
        <v>0</v>
      </c>
    </row>
    <row r="28199" spans="20:20" ht="18.75" customHeight="1" x14ac:dyDescent="0.35">
      <c r="T28199" s="246">
        <f t="shared" si="478"/>
        <v>0</v>
      </c>
    </row>
    <row r="28200" spans="20:20" ht="18.75" customHeight="1" x14ac:dyDescent="0.35">
      <c r="T28200" s="246">
        <f t="shared" si="478"/>
        <v>0</v>
      </c>
    </row>
    <row r="28201" spans="20:20" ht="18.75" customHeight="1" x14ac:dyDescent="0.35">
      <c r="T28201" s="246">
        <f t="shared" si="478"/>
        <v>0</v>
      </c>
    </row>
    <row r="28202" spans="20:20" ht="18.75" customHeight="1" x14ac:dyDescent="0.35">
      <c r="T28202" s="246">
        <f t="shared" si="478"/>
        <v>0</v>
      </c>
    </row>
    <row r="28203" spans="20:20" ht="18.75" customHeight="1" x14ac:dyDescent="0.35">
      <c r="T28203" s="246">
        <f t="shared" si="478"/>
        <v>0</v>
      </c>
    </row>
    <row r="28204" spans="20:20" ht="18.75" customHeight="1" x14ac:dyDescent="0.35">
      <c r="T28204" s="246">
        <f t="shared" si="478"/>
        <v>0</v>
      </c>
    </row>
    <row r="28205" spans="20:20" ht="18.75" customHeight="1" x14ac:dyDescent="0.35">
      <c r="T28205" s="246">
        <f t="shared" si="478"/>
        <v>0</v>
      </c>
    </row>
    <row r="28206" spans="20:20" ht="18.75" customHeight="1" x14ac:dyDescent="0.35">
      <c r="T28206" s="246">
        <f t="shared" si="478"/>
        <v>0</v>
      </c>
    </row>
    <row r="28207" spans="20:20" ht="18.75" customHeight="1" x14ac:dyDescent="0.35">
      <c r="T28207" s="246">
        <f t="shared" si="478"/>
        <v>0</v>
      </c>
    </row>
    <row r="28208" spans="20:20" ht="18.75" customHeight="1" x14ac:dyDescent="0.35">
      <c r="T28208" s="246">
        <f t="shared" si="478"/>
        <v>0</v>
      </c>
    </row>
    <row r="28209" spans="20:20" ht="18.75" customHeight="1" x14ac:dyDescent="0.35">
      <c r="T28209" s="246">
        <f t="shared" si="478"/>
        <v>0</v>
      </c>
    </row>
    <row r="28210" spans="20:20" ht="18.75" customHeight="1" x14ac:dyDescent="0.35">
      <c r="T28210" s="246">
        <f t="shared" si="478"/>
        <v>0</v>
      </c>
    </row>
    <row r="28211" spans="20:20" ht="18.75" customHeight="1" x14ac:dyDescent="0.35">
      <c r="T28211" s="246">
        <f t="shared" si="478"/>
        <v>0</v>
      </c>
    </row>
    <row r="28212" spans="20:20" ht="18.75" customHeight="1" x14ac:dyDescent="0.35">
      <c r="T28212" s="246">
        <f t="shared" si="478"/>
        <v>0</v>
      </c>
    </row>
    <row r="28213" spans="20:20" ht="18.75" customHeight="1" x14ac:dyDescent="0.35">
      <c r="T28213" s="246">
        <f t="shared" si="478"/>
        <v>0</v>
      </c>
    </row>
    <row r="28214" spans="20:20" ht="18.75" customHeight="1" x14ac:dyDescent="0.35">
      <c r="T28214" s="246">
        <f t="shared" si="478"/>
        <v>0</v>
      </c>
    </row>
    <row r="28215" spans="20:20" ht="18.75" customHeight="1" x14ac:dyDescent="0.35">
      <c r="T28215" s="246">
        <f t="shared" si="478"/>
        <v>0</v>
      </c>
    </row>
    <row r="28216" spans="20:20" ht="18.75" customHeight="1" x14ac:dyDescent="0.35">
      <c r="T28216" s="246">
        <f t="shared" si="478"/>
        <v>0</v>
      </c>
    </row>
    <row r="28217" spans="20:20" ht="18.75" customHeight="1" x14ac:dyDescent="0.35">
      <c r="T28217" s="246">
        <f t="shared" si="478"/>
        <v>0</v>
      </c>
    </row>
    <row r="28218" spans="20:20" ht="18.75" customHeight="1" x14ac:dyDescent="0.35">
      <c r="T28218" s="246">
        <f t="shared" si="478"/>
        <v>0</v>
      </c>
    </row>
    <row r="28219" spans="20:20" ht="18.75" customHeight="1" x14ac:dyDescent="0.35">
      <c r="T28219" s="246">
        <f t="shared" si="478"/>
        <v>0</v>
      </c>
    </row>
    <row r="28220" spans="20:20" ht="18.75" customHeight="1" x14ac:dyDescent="0.35">
      <c r="T28220" s="246">
        <f t="shared" ref="T28220:T28283" si="479">R28220*0.01</f>
        <v>0</v>
      </c>
    </row>
    <row r="28221" spans="20:20" ht="18.75" customHeight="1" x14ac:dyDescent="0.35">
      <c r="T28221" s="246">
        <f t="shared" si="479"/>
        <v>0</v>
      </c>
    </row>
    <row r="28222" spans="20:20" ht="18.75" customHeight="1" x14ac:dyDescent="0.35">
      <c r="T28222" s="246">
        <f t="shared" si="479"/>
        <v>0</v>
      </c>
    </row>
    <row r="28223" spans="20:20" ht="18.75" customHeight="1" x14ac:dyDescent="0.35">
      <c r="T28223" s="246">
        <f t="shared" si="479"/>
        <v>0</v>
      </c>
    </row>
    <row r="28224" spans="20:20" ht="18.75" customHeight="1" x14ac:dyDescent="0.35">
      <c r="T28224" s="246">
        <f t="shared" si="479"/>
        <v>0</v>
      </c>
    </row>
    <row r="28225" spans="20:20" ht="18.75" customHeight="1" x14ac:dyDescent="0.35">
      <c r="T28225" s="246">
        <f t="shared" si="479"/>
        <v>0</v>
      </c>
    </row>
    <row r="28226" spans="20:20" ht="18.75" customHeight="1" x14ac:dyDescent="0.35">
      <c r="T28226" s="246">
        <f t="shared" si="479"/>
        <v>0</v>
      </c>
    </row>
    <row r="28227" spans="20:20" ht="18.75" customHeight="1" x14ac:dyDescent="0.35">
      <c r="T28227" s="246">
        <f t="shared" si="479"/>
        <v>0</v>
      </c>
    </row>
    <row r="28228" spans="20:20" ht="18.75" customHeight="1" x14ac:dyDescent="0.35">
      <c r="T28228" s="246">
        <f t="shared" si="479"/>
        <v>0</v>
      </c>
    </row>
    <row r="28229" spans="20:20" ht="18.75" customHeight="1" x14ac:dyDescent="0.35">
      <c r="T28229" s="246">
        <f t="shared" si="479"/>
        <v>0</v>
      </c>
    </row>
    <row r="28230" spans="20:20" ht="18.75" customHeight="1" x14ac:dyDescent="0.35">
      <c r="T28230" s="246">
        <f t="shared" si="479"/>
        <v>0</v>
      </c>
    </row>
    <row r="28231" spans="20:20" ht="18.75" customHeight="1" x14ac:dyDescent="0.35">
      <c r="T28231" s="246">
        <f t="shared" si="479"/>
        <v>0</v>
      </c>
    </row>
    <row r="28232" spans="20:20" ht="18.75" customHeight="1" x14ac:dyDescent="0.35">
      <c r="T28232" s="246">
        <f t="shared" si="479"/>
        <v>0</v>
      </c>
    </row>
    <row r="28233" spans="20:20" ht="18.75" customHeight="1" x14ac:dyDescent="0.35">
      <c r="T28233" s="246">
        <f t="shared" si="479"/>
        <v>0</v>
      </c>
    </row>
    <row r="28234" spans="20:20" ht="18.75" customHeight="1" x14ac:dyDescent="0.35">
      <c r="T28234" s="246">
        <f t="shared" si="479"/>
        <v>0</v>
      </c>
    </row>
    <row r="28235" spans="20:20" ht="18.75" customHeight="1" x14ac:dyDescent="0.35">
      <c r="T28235" s="246">
        <f t="shared" si="479"/>
        <v>0</v>
      </c>
    </row>
    <row r="28236" spans="20:20" ht="18.75" customHeight="1" x14ac:dyDescent="0.35">
      <c r="T28236" s="246">
        <f t="shared" si="479"/>
        <v>0</v>
      </c>
    </row>
    <row r="28237" spans="20:20" ht="18.75" customHeight="1" x14ac:dyDescent="0.35">
      <c r="T28237" s="246">
        <f t="shared" si="479"/>
        <v>0</v>
      </c>
    </row>
    <row r="28238" spans="20:20" ht="18.75" customHeight="1" x14ac:dyDescent="0.35">
      <c r="T28238" s="246">
        <f t="shared" si="479"/>
        <v>0</v>
      </c>
    </row>
    <row r="28239" spans="20:20" ht="18.75" customHeight="1" x14ac:dyDescent="0.35">
      <c r="T28239" s="246">
        <f t="shared" si="479"/>
        <v>0</v>
      </c>
    </row>
    <row r="28240" spans="20:20" ht="18.75" customHeight="1" x14ac:dyDescent="0.35">
      <c r="T28240" s="246">
        <f t="shared" si="479"/>
        <v>0</v>
      </c>
    </row>
    <row r="28241" spans="20:20" ht="18.75" customHeight="1" x14ac:dyDescent="0.35">
      <c r="T28241" s="246">
        <f t="shared" si="479"/>
        <v>0</v>
      </c>
    </row>
    <row r="28242" spans="20:20" ht="18.75" customHeight="1" x14ac:dyDescent="0.35">
      <c r="T28242" s="246">
        <f t="shared" si="479"/>
        <v>0</v>
      </c>
    </row>
    <row r="28243" spans="20:20" ht="18.75" customHeight="1" x14ac:dyDescent="0.35">
      <c r="T28243" s="246">
        <f t="shared" si="479"/>
        <v>0</v>
      </c>
    </row>
    <row r="28244" spans="20:20" ht="18.75" customHeight="1" x14ac:dyDescent="0.35">
      <c r="T28244" s="246">
        <f t="shared" si="479"/>
        <v>0</v>
      </c>
    </row>
    <row r="28245" spans="20:20" ht="18.75" customHeight="1" x14ac:dyDescent="0.35">
      <c r="T28245" s="246">
        <f t="shared" si="479"/>
        <v>0</v>
      </c>
    </row>
    <row r="28246" spans="20:20" ht="18.75" customHeight="1" x14ac:dyDescent="0.35">
      <c r="T28246" s="246">
        <f t="shared" si="479"/>
        <v>0</v>
      </c>
    </row>
    <row r="28247" spans="20:20" ht="18.75" customHeight="1" x14ac:dyDescent="0.35">
      <c r="T28247" s="246">
        <f t="shared" si="479"/>
        <v>0</v>
      </c>
    </row>
    <row r="28248" spans="20:20" ht="18.75" customHeight="1" x14ac:dyDescent="0.35">
      <c r="T28248" s="246">
        <f t="shared" si="479"/>
        <v>0</v>
      </c>
    </row>
    <row r="28249" spans="20:20" ht="18.75" customHeight="1" x14ac:dyDescent="0.35">
      <c r="T28249" s="246">
        <f t="shared" si="479"/>
        <v>0</v>
      </c>
    </row>
    <row r="28250" spans="20:20" ht="18.75" customHeight="1" x14ac:dyDescent="0.35">
      <c r="T28250" s="246">
        <f t="shared" si="479"/>
        <v>0</v>
      </c>
    </row>
    <row r="28251" spans="20:20" ht="18.75" customHeight="1" x14ac:dyDescent="0.35">
      <c r="T28251" s="246">
        <f t="shared" si="479"/>
        <v>0</v>
      </c>
    </row>
    <row r="28252" spans="20:20" ht="18.75" customHeight="1" x14ac:dyDescent="0.35">
      <c r="T28252" s="246">
        <f t="shared" si="479"/>
        <v>0</v>
      </c>
    </row>
    <row r="28253" spans="20:20" ht="18.75" customHeight="1" x14ac:dyDescent="0.35">
      <c r="T28253" s="246">
        <f t="shared" si="479"/>
        <v>0</v>
      </c>
    </row>
    <row r="28254" spans="20:20" ht="18.75" customHeight="1" x14ac:dyDescent="0.35">
      <c r="T28254" s="246">
        <f t="shared" si="479"/>
        <v>0</v>
      </c>
    </row>
    <row r="28255" spans="20:20" ht="18.75" customHeight="1" x14ac:dyDescent="0.35">
      <c r="T28255" s="246">
        <f t="shared" si="479"/>
        <v>0</v>
      </c>
    </row>
    <row r="28256" spans="20:20" ht="18.75" customHeight="1" x14ac:dyDescent="0.35">
      <c r="T28256" s="246">
        <f t="shared" si="479"/>
        <v>0</v>
      </c>
    </row>
    <row r="28257" spans="20:20" ht="18.75" customHeight="1" x14ac:dyDescent="0.35">
      <c r="T28257" s="246">
        <f t="shared" si="479"/>
        <v>0</v>
      </c>
    </row>
    <row r="28258" spans="20:20" ht="18.75" customHeight="1" x14ac:dyDescent="0.35">
      <c r="T28258" s="246">
        <f t="shared" si="479"/>
        <v>0</v>
      </c>
    </row>
    <row r="28259" spans="20:20" ht="18.75" customHeight="1" x14ac:dyDescent="0.35">
      <c r="T28259" s="246">
        <f t="shared" si="479"/>
        <v>0</v>
      </c>
    </row>
    <row r="28260" spans="20:20" ht="18.75" customHeight="1" x14ac:dyDescent="0.35">
      <c r="T28260" s="246">
        <f t="shared" si="479"/>
        <v>0</v>
      </c>
    </row>
    <row r="28261" spans="20:20" ht="18.75" customHeight="1" x14ac:dyDescent="0.35">
      <c r="T28261" s="246">
        <f t="shared" si="479"/>
        <v>0</v>
      </c>
    </row>
    <row r="28262" spans="20:20" ht="18.75" customHeight="1" x14ac:dyDescent="0.35">
      <c r="T28262" s="246">
        <f t="shared" si="479"/>
        <v>0</v>
      </c>
    </row>
    <row r="28263" spans="20:20" ht="18.75" customHeight="1" x14ac:dyDescent="0.35">
      <c r="T28263" s="246">
        <f t="shared" si="479"/>
        <v>0</v>
      </c>
    </row>
    <row r="28264" spans="20:20" ht="18.75" customHeight="1" x14ac:dyDescent="0.35">
      <c r="T28264" s="246">
        <f t="shared" si="479"/>
        <v>0</v>
      </c>
    </row>
    <row r="28265" spans="20:20" ht="18.75" customHeight="1" x14ac:dyDescent="0.35">
      <c r="T28265" s="246">
        <f t="shared" si="479"/>
        <v>0</v>
      </c>
    </row>
    <row r="28266" spans="20:20" ht="18.75" customHeight="1" x14ac:dyDescent="0.35">
      <c r="T28266" s="246">
        <f t="shared" si="479"/>
        <v>0</v>
      </c>
    </row>
    <row r="28267" spans="20:20" ht="18.75" customHeight="1" x14ac:dyDescent="0.35">
      <c r="T28267" s="246">
        <f t="shared" si="479"/>
        <v>0</v>
      </c>
    </row>
    <row r="28268" spans="20:20" ht="18.75" customHeight="1" x14ac:dyDescent="0.35">
      <c r="T28268" s="246">
        <f t="shared" si="479"/>
        <v>0</v>
      </c>
    </row>
    <row r="28269" spans="20:20" ht="18.75" customHeight="1" x14ac:dyDescent="0.35">
      <c r="T28269" s="246">
        <f t="shared" si="479"/>
        <v>0</v>
      </c>
    </row>
    <row r="28270" spans="20:20" ht="18.75" customHeight="1" x14ac:dyDescent="0.35">
      <c r="T28270" s="246">
        <f t="shared" si="479"/>
        <v>0</v>
      </c>
    </row>
    <row r="28271" spans="20:20" ht="18.75" customHeight="1" x14ac:dyDescent="0.35">
      <c r="T28271" s="246">
        <f t="shared" si="479"/>
        <v>0</v>
      </c>
    </row>
    <row r="28272" spans="20:20" ht="18.75" customHeight="1" x14ac:dyDescent="0.35">
      <c r="T28272" s="246">
        <f t="shared" si="479"/>
        <v>0</v>
      </c>
    </row>
    <row r="28273" spans="20:20" ht="18.75" customHeight="1" x14ac:dyDescent="0.35">
      <c r="T28273" s="246">
        <f t="shared" si="479"/>
        <v>0</v>
      </c>
    </row>
    <row r="28274" spans="20:20" ht="18.75" customHeight="1" x14ac:dyDescent="0.35">
      <c r="T28274" s="246">
        <f t="shared" si="479"/>
        <v>0</v>
      </c>
    </row>
    <row r="28275" spans="20:20" ht="18.75" customHeight="1" x14ac:dyDescent="0.35">
      <c r="T28275" s="246">
        <f t="shared" si="479"/>
        <v>0</v>
      </c>
    </row>
    <row r="28276" spans="20:20" ht="18.75" customHeight="1" x14ac:dyDescent="0.35">
      <c r="T28276" s="246">
        <f t="shared" si="479"/>
        <v>0</v>
      </c>
    </row>
    <row r="28277" spans="20:20" ht="18.75" customHeight="1" x14ac:dyDescent="0.35">
      <c r="T28277" s="246">
        <f t="shared" si="479"/>
        <v>0</v>
      </c>
    </row>
    <row r="28278" spans="20:20" ht="18.75" customHeight="1" x14ac:dyDescent="0.35">
      <c r="T28278" s="246">
        <f t="shared" si="479"/>
        <v>0</v>
      </c>
    </row>
    <row r="28279" spans="20:20" ht="18.75" customHeight="1" x14ac:dyDescent="0.35">
      <c r="T28279" s="246">
        <f t="shared" si="479"/>
        <v>0</v>
      </c>
    </row>
    <row r="28280" spans="20:20" ht="18.75" customHeight="1" x14ac:dyDescent="0.35">
      <c r="T28280" s="246">
        <f t="shared" si="479"/>
        <v>0</v>
      </c>
    </row>
    <row r="28281" spans="20:20" ht="18.75" customHeight="1" x14ac:dyDescent="0.35">
      <c r="T28281" s="246">
        <f t="shared" si="479"/>
        <v>0</v>
      </c>
    </row>
    <row r="28282" spans="20:20" ht="18.75" customHeight="1" x14ac:dyDescent="0.35">
      <c r="T28282" s="246">
        <f t="shared" si="479"/>
        <v>0</v>
      </c>
    </row>
    <row r="28283" spans="20:20" ht="18.75" customHeight="1" x14ac:dyDescent="0.35">
      <c r="T28283" s="246">
        <f t="shared" si="479"/>
        <v>0</v>
      </c>
    </row>
    <row r="28284" spans="20:20" ht="18.75" customHeight="1" x14ac:dyDescent="0.35">
      <c r="T28284" s="246">
        <f t="shared" ref="T28284:T28347" si="480">R28284*0.01</f>
        <v>0</v>
      </c>
    </row>
    <row r="28285" spans="20:20" ht="18.75" customHeight="1" x14ac:dyDescent="0.35">
      <c r="T28285" s="246">
        <f t="shared" si="480"/>
        <v>0</v>
      </c>
    </row>
    <row r="28286" spans="20:20" ht="18.75" customHeight="1" x14ac:dyDescent="0.35">
      <c r="T28286" s="246">
        <f t="shared" si="480"/>
        <v>0</v>
      </c>
    </row>
    <row r="28287" spans="20:20" ht="18.75" customHeight="1" x14ac:dyDescent="0.35">
      <c r="T28287" s="246">
        <f t="shared" si="480"/>
        <v>0</v>
      </c>
    </row>
    <row r="28288" spans="20:20" ht="18.75" customHeight="1" x14ac:dyDescent="0.35">
      <c r="T28288" s="246">
        <f t="shared" si="480"/>
        <v>0</v>
      </c>
    </row>
    <row r="28289" spans="20:20" ht="18.75" customHeight="1" x14ac:dyDescent="0.35">
      <c r="T28289" s="246">
        <f t="shared" si="480"/>
        <v>0</v>
      </c>
    </row>
    <row r="28290" spans="20:20" ht="18.75" customHeight="1" x14ac:dyDescent="0.35">
      <c r="T28290" s="246">
        <f t="shared" si="480"/>
        <v>0</v>
      </c>
    </row>
    <row r="28291" spans="20:20" ht="18.75" customHeight="1" x14ac:dyDescent="0.35">
      <c r="T28291" s="246">
        <f t="shared" si="480"/>
        <v>0</v>
      </c>
    </row>
    <row r="28292" spans="20:20" ht="18.75" customHeight="1" x14ac:dyDescent="0.35">
      <c r="T28292" s="246">
        <f t="shared" si="480"/>
        <v>0</v>
      </c>
    </row>
    <row r="28293" spans="20:20" ht="18.75" customHeight="1" x14ac:dyDescent="0.35">
      <c r="T28293" s="246">
        <f t="shared" si="480"/>
        <v>0</v>
      </c>
    </row>
    <row r="28294" spans="20:20" ht="18.75" customHeight="1" x14ac:dyDescent="0.35">
      <c r="T28294" s="246">
        <f t="shared" si="480"/>
        <v>0</v>
      </c>
    </row>
    <row r="28295" spans="20:20" ht="18.75" customHeight="1" x14ac:dyDescent="0.35">
      <c r="T28295" s="246">
        <f t="shared" si="480"/>
        <v>0</v>
      </c>
    </row>
    <row r="28296" spans="20:20" ht="18.75" customHeight="1" x14ac:dyDescent="0.35">
      <c r="T28296" s="246">
        <f t="shared" si="480"/>
        <v>0</v>
      </c>
    </row>
    <row r="28297" spans="20:20" ht="18.75" customHeight="1" x14ac:dyDescent="0.35">
      <c r="T28297" s="246">
        <f t="shared" si="480"/>
        <v>0</v>
      </c>
    </row>
    <row r="28298" spans="20:20" ht="18.75" customHeight="1" x14ac:dyDescent="0.35">
      <c r="T28298" s="246">
        <f t="shared" si="480"/>
        <v>0</v>
      </c>
    </row>
    <row r="28299" spans="20:20" ht="18.75" customHeight="1" x14ac:dyDescent="0.35">
      <c r="T28299" s="246">
        <f t="shared" si="480"/>
        <v>0</v>
      </c>
    </row>
    <row r="28300" spans="20:20" ht="18.75" customHeight="1" x14ac:dyDescent="0.35">
      <c r="T28300" s="246">
        <f t="shared" si="480"/>
        <v>0</v>
      </c>
    </row>
    <row r="28301" spans="20:20" ht="18.75" customHeight="1" x14ac:dyDescent="0.35">
      <c r="T28301" s="246">
        <f t="shared" si="480"/>
        <v>0</v>
      </c>
    </row>
    <row r="28302" spans="20:20" ht="18.75" customHeight="1" x14ac:dyDescent="0.35">
      <c r="T28302" s="246">
        <f t="shared" si="480"/>
        <v>0</v>
      </c>
    </row>
    <row r="28303" spans="20:20" ht="18.75" customHeight="1" x14ac:dyDescent="0.35">
      <c r="T28303" s="246">
        <f t="shared" si="480"/>
        <v>0</v>
      </c>
    </row>
    <row r="28304" spans="20:20" ht="18.75" customHeight="1" x14ac:dyDescent="0.35">
      <c r="T28304" s="246">
        <f t="shared" si="480"/>
        <v>0</v>
      </c>
    </row>
    <row r="28305" spans="20:20" ht="18.75" customHeight="1" x14ac:dyDescent="0.35">
      <c r="T28305" s="246">
        <f t="shared" si="480"/>
        <v>0</v>
      </c>
    </row>
    <row r="28306" spans="20:20" ht="18.75" customHeight="1" x14ac:dyDescent="0.35">
      <c r="T28306" s="246">
        <f t="shared" si="480"/>
        <v>0</v>
      </c>
    </row>
    <row r="28307" spans="20:20" ht="18.75" customHeight="1" x14ac:dyDescent="0.35">
      <c r="T28307" s="246">
        <f t="shared" si="480"/>
        <v>0</v>
      </c>
    </row>
    <row r="28308" spans="20:20" ht="18.75" customHeight="1" x14ac:dyDescent="0.35">
      <c r="T28308" s="246">
        <f t="shared" si="480"/>
        <v>0</v>
      </c>
    </row>
    <row r="28309" spans="20:20" ht="18.75" customHeight="1" x14ac:dyDescent="0.35">
      <c r="T28309" s="246">
        <f t="shared" si="480"/>
        <v>0</v>
      </c>
    </row>
    <row r="28310" spans="20:20" ht="18.75" customHeight="1" x14ac:dyDescent="0.35">
      <c r="T28310" s="246">
        <f t="shared" si="480"/>
        <v>0</v>
      </c>
    </row>
    <row r="28311" spans="20:20" ht="18.75" customHeight="1" x14ac:dyDescent="0.35">
      <c r="T28311" s="246">
        <f t="shared" si="480"/>
        <v>0</v>
      </c>
    </row>
    <row r="28312" spans="20:20" ht="18.75" customHeight="1" x14ac:dyDescent="0.35">
      <c r="T28312" s="246">
        <f t="shared" si="480"/>
        <v>0</v>
      </c>
    </row>
    <row r="28313" spans="20:20" ht="18.75" customHeight="1" x14ac:dyDescent="0.35">
      <c r="T28313" s="246">
        <f t="shared" si="480"/>
        <v>0</v>
      </c>
    </row>
    <row r="28314" spans="20:20" ht="18.75" customHeight="1" x14ac:dyDescent="0.35">
      <c r="T28314" s="246">
        <f t="shared" si="480"/>
        <v>0</v>
      </c>
    </row>
    <row r="28315" spans="20:20" ht="18.75" customHeight="1" x14ac:dyDescent="0.35">
      <c r="T28315" s="246">
        <f t="shared" si="480"/>
        <v>0</v>
      </c>
    </row>
    <row r="28316" spans="20:20" ht="18.75" customHeight="1" x14ac:dyDescent="0.35">
      <c r="T28316" s="246">
        <f t="shared" si="480"/>
        <v>0</v>
      </c>
    </row>
    <row r="28317" spans="20:20" ht="18.75" customHeight="1" x14ac:dyDescent="0.35">
      <c r="T28317" s="246">
        <f t="shared" si="480"/>
        <v>0</v>
      </c>
    </row>
    <row r="28318" spans="20:20" ht="18.75" customHeight="1" x14ac:dyDescent="0.35">
      <c r="T28318" s="246">
        <f t="shared" si="480"/>
        <v>0</v>
      </c>
    </row>
    <row r="28319" spans="20:20" ht="18.75" customHeight="1" x14ac:dyDescent="0.35">
      <c r="T28319" s="246">
        <f t="shared" si="480"/>
        <v>0</v>
      </c>
    </row>
    <row r="28320" spans="20:20" ht="18.75" customHeight="1" x14ac:dyDescent="0.35">
      <c r="T28320" s="246">
        <f t="shared" si="480"/>
        <v>0</v>
      </c>
    </row>
    <row r="28321" spans="20:20" ht="18.75" customHeight="1" x14ac:dyDescent="0.35">
      <c r="T28321" s="246">
        <f t="shared" si="480"/>
        <v>0</v>
      </c>
    </row>
    <row r="28322" spans="20:20" ht="18.75" customHeight="1" x14ac:dyDescent="0.35">
      <c r="T28322" s="246">
        <f t="shared" si="480"/>
        <v>0</v>
      </c>
    </row>
    <row r="28323" spans="20:20" ht="18.75" customHeight="1" x14ac:dyDescent="0.35">
      <c r="T28323" s="246">
        <f t="shared" si="480"/>
        <v>0</v>
      </c>
    </row>
    <row r="28324" spans="20:20" ht="18.75" customHeight="1" x14ac:dyDescent="0.35">
      <c r="T28324" s="246">
        <f t="shared" si="480"/>
        <v>0</v>
      </c>
    </row>
    <row r="28325" spans="20:20" ht="18.75" customHeight="1" x14ac:dyDescent="0.35">
      <c r="T28325" s="246">
        <f t="shared" si="480"/>
        <v>0</v>
      </c>
    </row>
    <row r="28326" spans="20:20" ht="18.75" customHeight="1" x14ac:dyDescent="0.35">
      <c r="T28326" s="246">
        <f t="shared" si="480"/>
        <v>0</v>
      </c>
    </row>
    <row r="28327" spans="20:20" ht="18.75" customHeight="1" x14ac:dyDescent="0.35">
      <c r="T28327" s="246">
        <f t="shared" si="480"/>
        <v>0</v>
      </c>
    </row>
    <row r="28328" spans="20:20" ht="18.75" customHeight="1" x14ac:dyDescent="0.35">
      <c r="T28328" s="246">
        <f t="shared" si="480"/>
        <v>0</v>
      </c>
    </row>
    <row r="28329" spans="20:20" ht="18.75" customHeight="1" x14ac:dyDescent="0.35">
      <c r="T28329" s="246">
        <f t="shared" si="480"/>
        <v>0</v>
      </c>
    </row>
    <row r="28330" spans="20:20" ht="18.75" customHeight="1" x14ac:dyDescent="0.35">
      <c r="T28330" s="246">
        <f t="shared" si="480"/>
        <v>0</v>
      </c>
    </row>
    <row r="28331" spans="20:20" ht="18.75" customHeight="1" x14ac:dyDescent="0.35">
      <c r="T28331" s="246">
        <f t="shared" si="480"/>
        <v>0</v>
      </c>
    </row>
    <row r="28332" spans="20:20" ht="18.75" customHeight="1" x14ac:dyDescent="0.35">
      <c r="T28332" s="246">
        <f t="shared" si="480"/>
        <v>0</v>
      </c>
    </row>
    <row r="28333" spans="20:20" ht="18.75" customHeight="1" x14ac:dyDescent="0.35">
      <c r="T28333" s="246">
        <f t="shared" si="480"/>
        <v>0</v>
      </c>
    </row>
    <row r="28334" spans="20:20" ht="18.75" customHeight="1" x14ac:dyDescent="0.35">
      <c r="T28334" s="246">
        <f t="shared" si="480"/>
        <v>0</v>
      </c>
    </row>
    <row r="28335" spans="20:20" ht="18.75" customHeight="1" x14ac:dyDescent="0.35">
      <c r="T28335" s="246">
        <f t="shared" si="480"/>
        <v>0</v>
      </c>
    </row>
    <row r="28336" spans="20:20" ht="18.75" customHeight="1" x14ac:dyDescent="0.35">
      <c r="T28336" s="246">
        <f t="shared" si="480"/>
        <v>0</v>
      </c>
    </row>
    <row r="28337" spans="20:20" ht="18.75" customHeight="1" x14ac:dyDescent="0.35">
      <c r="T28337" s="246">
        <f t="shared" si="480"/>
        <v>0</v>
      </c>
    </row>
    <row r="28338" spans="20:20" ht="18.75" customHeight="1" x14ac:dyDescent="0.35">
      <c r="T28338" s="246">
        <f t="shared" si="480"/>
        <v>0</v>
      </c>
    </row>
    <row r="28339" spans="20:20" ht="18.75" customHeight="1" x14ac:dyDescent="0.35">
      <c r="T28339" s="246">
        <f t="shared" si="480"/>
        <v>0</v>
      </c>
    </row>
    <row r="28340" spans="20:20" ht="18.75" customHeight="1" x14ac:dyDescent="0.35">
      <c r="T28340" s="246">
        <f t="shared" si="480"/>
        <v>0</v>
      </c>
    </row>
    <row r="28341" spans="20:20" ht="18.75" customHeight="1" x14ac:dyDescent="0.35">
      <c r="T28341" s="246">
        <f t="shared" si="480"/>
        <v>0</v>
      </c>
    </row>
    <row r="28342" spans="20:20" ht="18.75" customHeight="1" x14ac:dyDescent="0.35">
      <c r="T28342" s="246">
        <f t="shared" si="480"/>
        <v>0</v>
      </c>
    </row>
    <row r="28343" spans="20:20" ht="18.75" customHeight="1" x14ac:dyDescent="0.35">
      <c r="T28343" s="246">
        <f t="shared" si="480"/>
        <v>0</v>
      </c>
    </row>
    <row r="28344" spans="20:20" ht="18.75" customHeight="1" x14ac:dyDescent="0.35">
      <c r="T28344" s="246">
        <f t="shared" si="480"/>
        <v>0</v>
      </c>
    </row>
    <row r="28345" spans="20:20" ht="18.75" customHeight="1" x14ac:dyDescent="0.35">
      <c r="T28345" s="246">
        <f t="shared" si="480"/>
        <v>0</v>
      </c>
    </row>
    <row r="28346" spans="20:20" ht="18.75" customHeight="1" x14ac:dyDescent="0.35">
      <c r="T28346" s="246">
        <f t="shared" si="480"/>
        <v>0</v>
      </c>
    </row>
    <row r="28347" spans="20:20" ht="18.75" customHeight="1" x14ac:dyDescent="0.35">
      <c r="T28347" s="246">
        <f t="shared" si="480"/>
        <v>0</v>
      </c>
    </row>
    <row r="28348" spans="20:20" ht="18.75" customHeight="1" x14ac:dyDescent="0.35">
      <c r="T28348" s="246">
        <f t="shared" ref="T28348:T28411" si="481">R28348*0.01</f>
        <v>0</v>
      </c>
    </row>
    <row r="28349" spans="20:20" ht="18.75" customHeight="1" x14ac:dyDescent="0.35">
      <c r="T28349" s="246">
        <f t="shared" si="481"/>
        <v>0</v>
      </c>
    </row>
    <row r="28350" spans="20:20" ht="18.75" customHeight="1" x14ac:dyDescent="0.35">
      <c r="T28350" s="246">
        <f t="shared" si="481"/>
        <v>0</v>
      </c>
    </row>
    <row r="28351" spans="20:20" ht="18.75" customHeight="1" x14ac:dyDescent="0.35">
      <c r="T28351" s="246">
        <f t="shared" si="481"/>
        <v>0</v>
      </c>
    </row>
    <row r="28352" spans="20:20" ht="18.75" customHeight="1" x14ac:dyDescent="0.35">
      <c r="T28352" s="246">
        <f t="shared" si="481"/>
        <v>0</v>
      </c>
    </row>
    <row r="28353" spans="20:20" ht="18.75" customHeight="1" x14ac:dyDescent="0.35">
      <c r="T28353" s="246">
        <f t="shared" si="481"/>
        <v>0</v>
      </c>
    </row>
    <row r="28354" spans="20:20" ht="18.75" customHeight="1" x14ac:dyDescent="0.35">
      <c r="T28354" s="246">
        <f t="shared" si="481"/>
        <v>0</v>
      </c>
    </row>
    <row r="28355" spans="20:20" ht="18.75" customHeight="1" x14ac:dyDescent="0.35">
      <c r="T28355" s="246">
        <f t="shared" si="481"/>
        <v>0</v>
      </c>
    </row>
    <row r="28356" spans="20:20" ht="18.75" customHeight="1" x14ac:dyDescent="0.35">
      <c r="T28356" s="246">
        <f t="shared" si="481"/>
        <v>0</v>
      </c>
    </row>
    <row r="28357" spans="20:20" ht="18.75" customHeight="1" x14ac:dyDescent="0.35">
      <c r="T28357" s="246">
        <f t="shared" si="481"/>
        <v>0</v>
      </c>
    </row>
    <row r="28358" spans="20:20" ht="18.75" customHeight="1" x14ac:dyDescent="0.35">
      <c r="T28358" s="246">
        <f t="shared" si="481"/>
        <v>0</v>
      </c>
    </row>
    <row r="28359" spans="20:20" ht="18.75" customHeight="1" x14ac:dyDescent="0.35">
      <c r="T28359" s="246">
        <f t="shared" si="481"/>
        <v>0</v>
      </c>
    </row>
    <row r="28360" spans="20:20" ht="18.75" customHeight="1" x14ac:dyDescent="0.35">
      <c r="T28360" s="246">
        <f t="shared" si="481"/>
        <v>0</v>
      </c>
    </row>
    <row r="28361" spans="20:20" ht="18.75" customHeight="1" x14ac:dyDescent="0.35">
      <c r="T28361" s="246">
        <f t="shared" si="481"/>
        <v>0</v>
      </c>
    </row>
    <row r="28362" spans="20:20" ht="18.75" customHeight="1" x14ac:dyDescent="0.35">
      <c r="T28362" s="246">
        <f t="shared" si="481"/>
        <v>0</v>
      </c>
    </row>
    <row r="28363" spans="20:20" ht="18.75" customHeight="1" x14ac:dyDescent="0.35">
      <c r="T28363" s="246">
        <f t="shared" si="481"/>
        <v>0</v>
      </c>
    </row>
    <row r="28364" spans="20:20" ht="18.75" customHeight="1" x14ac:dyDescent="0.35">
      <c r="T28364" s="246">
        <f t="shared" si="481"/>
        <v>0</v>
      </c>
    </row>
    <row r="28365" spans="20:20" ht="18.75" customHeight="1" x14ac:dyDescent="0.35">
      <c r="T28365" s="246">
        <f t="shared" si="481"/>
        <v>0</v>
      </c>
    </row>
    <row r="28366" spans="20:20" ht="18.75" customHeight="1" x14ac:dyDescent="0.35">
      <c r="T28366" s="246">
        <f t="shared" si="481"/>
        <v>0</v>
      </c>
    </row>
    <row r="28367" spans="20:20" ht="18.75" customHeight="1" x14ac:dyDescent="0.35">
      <c r="T28367" s="246">
        <f t="shared" si="481"/>
        <v>0</v>
      </c>
    </row>
    <row r="28368" spans="20:20" ht="18.75" customHeight="1" x14ac:dyDescent="0.35">
      <c r="T28368" s="246">
        <f t="shared" si="481"/>
        <v>0</v>
      </c>
    </row>
    <row r="28369" spans="20:20" ht="18.75" customHeight="1" x14ac:dyDescent="0.35">
      <c r="T28369" s="246">
        <f t="shared" si="481"/>
        <v>0</v>
      </c>
    </row>
    <row r="28370" spans="20:20" ht="18.75" customHeight="1" x14ac:dyDescent="0.35">
      <c r="T28370" s="246">
        <f t="shared" si="481"/>
        <v>0</v>
      </c>
    </row>
    <row r="28371" spans="20:20" ht="18.75" customHeight="1" x14ac:dyDescent="0.35">
      <c r="T28371" s="246">
        <f t="shared" si="481"/>
        <v>0</v>
      </c>
    </row>
    <row r="28372" spans="20:20" ht="18.75" customHeight="1" x14ac:dyDescent="0.35">
      <c r="T28372" s="246">
        <f t="shared" si="481"/>
        <v>0</v>
      </c>
    </row>
    <row r="28373" spans="20:20" ht="18.75" customHeight="1" x14ac:dyDescent="0.35">
      <c r="T28373" s="246">
        <f t="shared" si="481"/>
        <v>0</v>
      </c>
    </row>
    <row r="28374" spans="20:20" ht="18.75" customHeight="1" x14ac:dyDescent="0.35">
      <c r="T28374" s="246">
        <f t="shared" si="481"/>
        <v>0</v>
      </c>
    </row>
    <row r="28375" spans="20:20" ht="18.75" customHeight="1" x14ac:dyDescent="0.35">
      <c r="T28375" s="246">
        <f t="shared" si="481"/>
        <v>0</v>
      </c>
    </row>
    <row r="28376" spans="20:20" ht="18.75" customHeight="1" x14ac:dyDescent="0.35">
      <c r="T28376" s="246">
        <f t="shared" si="481"/>
        <v>0</v>
      </c>
    </row>
    <row r="28377" spans="20:20" ht="18.75" customHeight="1" x14ac:dyDescent="0.35">
      <c r="T28377" s="246">
        <f t="shared" si="481"/>
        <v>0</v>
      </c>
    </row>
    <row r="28378" spans="20:20" ht="18.75" customHeight="1" x14ac:dyDescent="0.35">
      <c r="T28378" s="246">
        <f t="shared" si="481"/>
        <v>0</v>
      </c>
    </row>
    <row r="28379" spans="20:20" ht="18.75" customHeight="1" x14ac:dyDescent="0.35">
      <c r="T28379" s="246">
        <f t="shared" si="481"/>
        <v>0</v>
      </c>
    </row>
    <row r="28380" spans="20:20" ht="18.75" customHeight="1" x14ac:dyDescent="0.35">
      <c r="T28380" s="246">
        <f t="shared" si="481"/>
        <v>0</v>
      </c>
    </row>
    <row r="28381" spans="20:20" ht="18.75" customHeight="1" x14ac:dyDescent="0.35">
      <c r="T28381" s="246">
        <f t="shared" si="481"/>
        <v>0</v>
      </c>
    </row>
    <row r="28382" spans="20:20" ht="18.75" customHeight="1" x14ac:dyDescent="0.35">
      <c r="T28382" s="246">
        <f t="shared" si="481"/>
        <v>0</v>
      </c>
    </row>
    <row r="28383" spans="20:20" ht="18.75" customHeight="1" x14ac:dyDescent="0.35">
      <c r="T28383" s="246">
        <f t="shared" si="481"/>
        <v>0</v>
      </c>
    </row>
    <row r="28384" spans="20:20" ht="18.75" customHeight="1" x14ac:dyDescent="0.35">
      <c r="T28384" s="246">
        <f t="shared" si="481"/>
        <v>0</v>
      </c>
    </row>
    <row r="28385" spans="20:20" ht="18.75" customHeight="1" x14ac:dyDescent="0.35">
      <c r="T28385" s="246">
        <f t="shared" si="481"/>
        <v>0</v>
      </c>
    </row>
    <row r="28386" spans="20:20" ht="18.75" customHeight="1" x14ac:dyDescent="0.35">
      <c r="T28386" s="246">
        <f t="shared" si="481"/>
        <v>0</v>
      </c>
    </row>
    <row r="28387" spans="20:20" ht="18.75" customHeight="1" x14ac:dyDescent="0.35">
      <c r="T28387" s="246">
        <f t="shared" si="481"/>
        <v>0</v>
      </c>
    </row>
    <row r="28388" spans="20:20" ht="18.75" customHeight="1" x14ac:dyDescent="0.35">
      <c r="T28388" s="246">
        <f t="shared" si="481"/>
        <v>0</v>
      </c>
    </row>
    <row r="28389" spans="20:20" ht="18.75" customHeight="1" x14ac:dyDescent="0.35">
      <c r="T28389" s="246">
        <f t="shared" si="481"/>
        <v>0</v>
      </c>
    </row>
    <row r="28390" spans="20:20" ht="18.75" customHeight="1" x14ac:dyDescent="0.35">
      <c r="T28390" s="246">
        <f t="shared" si="481"/>
        <v>0</v>
      </c>
    </row>
    <row r="28391" spans="20:20" ht="18.75" customHeight="1" x14ac:dyDescent="0.35">
      <c r="T28391" s="246">
        <f t="shared" si="481"/>
        <v>0</v>
      </c>
    </row>
    <row r="28392" spans="20:20" ht="18.75" customHeight="1" x14ac:dyDescent="0.35">
      <c r="T28392" s="246">
        <f t="shared" si="481"/>
        <v>0</v>
      </c>
    </row>
    <row r="28393" spans="20:20" ht="18.75" customHeight="1" x14ac:dyDescent="0.35">
      <c r="T28393" s="246">
        <f t="shared" si="481"/>
        <v>0</v>
      </c>
    </row>
    <row r="28394" spans="20:20" ht="18.75" customHeight="1" x14ac:dyDescent="0.35">
      <c r="T28394" s="246">
        <f t="shared" si="481"/>
        <v>0</v>
      </c>
    </row>
    <row r="28395" spans="20:20" ht="18.75" customHeight="1" x14ac:dyDescent="0.35">
      <c r="T28395" s="246">
        <f t="shared" si="481"/>
        <v>0</v>
      </c>
    </row>
    <row r="28396" spans="20:20" ht="18.75" customHeight="1" x14ac:dyDescent="0.35">
      <c r="T28396" s="246">
        <f t="shared" si="481"/>
        <v>0</v>
      </c>
    </row>
    <row r="28397" spans="20:20" ht="18.75" customHeight="1" x14ac:dyDescent="0.35">
      <c r="T28397" s="246">
        <f t="shared" si="481"/>
        <v>0</v>
      </c>
    </row>
    <row r="28398" spans="20:20" ht="18.75" customHeight="1" x14ac:dyDescent="0.35">
      <c r="T28398" s="246">
        <f t="shared" si="481"/>
        <v>0</v>
      </c>
    </row>
    <row r="28399" spans="20:20" ht="18.75" customHeight="1" x14ac:dyDescent="0.35">
      <c r="T28399" s="246">
        <f t="shared" si="481"/>
        <v>0</v>
      </c>
    </row>
    <row r="28400" spans="20:20" ht="18.75" customHeight="1" x14ac:dyDescent="0.35">
      <c r="T28400" s="246">
        <f t="shared" si="481"/>
        <v>0</v>
      </c>
    </row>
    <row r="28401" spans="20:20" ht="18.75" customHeight="1" x14ac:dyDescent="0.35">
      <c r="T28401" s="246">
        <f t="shared" si="481"/>
        <v>0</v>
      </c>
    </row>
    <row r="28402" spans="20:20" ht="18.75" customHeight="1" x14ac:dyDescent="0.35">
      <c r="T28402" s="246">
        <f t="shared" si="481"/>
        <v>0</v>
      </c>
    </row>
    <row r="28403" spans="20:20" ht="18.75" customHeight="1" x14ac:dyDescent="0.35">
      <c r="T28403" s="246">
        <f t="shared" si="481"/>
        <v>0</v>
      </c>
    </row>
    <row r="28404" spans="20:20" ht="18.75" customHeight="1" x14ac:dyDescent="0.35">
      <c r="T28404" s="246">
        <f t="shared" si="481"/>
        <v>0</v>
      </c>
    </row>
    <row r="28405" spans="20:20" ht="18.75" customHeight="1" x14ac:dyDescent="0.35">
      <c r="T28405" s="246">
        <f t="shared" si="481"/>
        <v>0</v>
      </c>
    </row>
    <row r="28406" spans="20:20" ht="18.75" customHeight="1" x14ac:dyDescent="0.35">
      <c r="T28406" s="246">
        <f t="shared" si="481"/>
        <v>0</v>
      </c>
    </row>
    <row r="28407" spans="20:20" ht="18.75" customHeight="1" x14ac:dyDescent="0.35">
      <c r="T28407" s="246">
        <f t="shared" si="481"/>
        <v>0</v>
      </c>
    </row>
    <row r="28408" spans="20:20" ht="18.75" customHeight="1" x14ac:dyDescent="0.35">
      <c r="T28408" s="246">
        <f t="shared" si="481"/>
        <v>0</v>
      </c>
    </row>
    <row r="28409" spans="20:20" ht="18.75" customHeight="1" x14ac:dyDescent="0.35">
      <c r="T28409" s="246">
        <f t="shared" si="481"/>
        <v>0</v>
      </c>
    </row>
    <row r="28410" spans="20:20" ht="18.75" customHeight="1" x14ac:dyDescent="0.35">
      <c r="T28410" s="246">
        <f t="shared" si="481"/>
        <v>0</v>
      </c>
    </row>
    <row r="28411" spans="20:20" ht="18.75" customHeight="1" x14ac:dyDescent="0.35">
      <c r="T28411" s="246">
        <f t="shared" si="481"/>
        <v>0</v>
      </c>
    </row>
    <row r="28412" spans="20:20" ht="18.75" customHeight="1" x14ac:dyDescent="0.35">
      <c r="T28412" s="246">
        <f t="shared" ref="T28412:T28475" si="482">R28412*0.01</f>
        <v>0</v>
      </c>
    </row>
    <row r="28413" spans="20:20" ht="18.75" customHeight="1" x14ac:dyDescent="0.35">
      <c r="T28413" s="246">
        <f t="shared" si="482"/>
        <v>0</v>
      </c>
    </row>
    <row r="28414" spans="20:20" ht="18.75" customHeight="1" x14ac:dyDescent="0.35">
      <c r="T28414" s="246">
        <f t="shared" si="482"/>
        <v>0</v>
      </c>
    </row>
    <row r="28415" spans="20:20" ht="18.75" customHeight="1" x14ac:dyDescent="0.35">
      <c r="T28415" s="246">
        <f t="shared" si="482"/>
        <v>0</v>
      </c>
    </row>
    <row r="28416" spans="20:20" ht="18.75" customHeight="1" x14ac:dyDescent="0.35">
      <c r="T28416" s="246">
        <f t="shared" si="482"/>
        <v>0</v>
      </c>
    </row>
    <row r="28417" spans="20:20" ht="18.75" customHeight="1" x14ac:dyDescent="0.35">
      <c r="T28417" s="246">
        <f t="shared" si="482"/>
        <v>0</v>
      </c>
    </row>
    <row r="28418" spans="20:20" ht="18.75" customHeight="1" x14ac:dyDescent="0.35">
      <c r="T28418" s="246">
        <f t="shared" si="482"/>
        <v>0</v>
      </c>
    </row>
    <row r="28419" spans="20:20" ht="18.75" customHeight="1" x14ac:dyDescent="0.35">
      <c r="T28419" s="246">
        <f t="shared" si="482"/>
        <v>0</v>
      </c>
    </row>
    <row r="28420" spans="20:20" ht="18.75" customHeight="1" x14ac:dyDescent="0.35">
      <c r="T28420" s="246">
        <f t="shared" si="482"/>
        <v>0</v>
      </c>
    </row>
    <row r="28421" spans="20:20" ht="18.75" customHeight="1" x14ac:dyDescent="0.35">
      <c r="T28421" s="246">
        <f t="shared" si="482"/>
        <v>0</v>
      </c>
    </row>
    <row r="28422" spans="20:20" ht="18.75" customHeight="1" x14ac:dyDescent="0.35">
      <c r="T28422" s="246">
        <f t="shared" si="482"/>
        <v>0</v>
      </c>
    </row>
    <row r="28423" spans="20:20" ht="18.75" customHeight="1" x14ac:dyDescent="0.35">
      <c r="T28423" s="246">
        <f t="shared" si="482"/>
        <v>0</v>
      </c>
    </row>
    <row r="28424" spans="20:20" ht="18.75" customHeight="1" x14ac:dyDescent="0.35">
      <c r="T28424" s="246">
        <f t="shared" si="482"/>
        <v>0</v>
      </c>
    </row>
    <row r="28425" spans="20:20" ht="18.75" customHeight="1" x14ac:dyDescent="0.35">
      <c r="T28425" s="246">
        <f t="shared" si="482"/>
        <v>0</v>
      </c>
    </row>
    <row r="28426" spans="20:20" ht="18.75" customHeight="1" x14ac:dyDescent="0.35">
      <c r="T28426" s="246">
        <f t="shared" si="482"/>
        <v>0</v>
      </c>
    </row>
    <row r="28427" spans="20:20" ht="18.75" customHeight="1" x14ac:dyDescent="0.35">
      <c r="T28427" s="246">
        <f t="shared" si="482"/>
        <v>0</v>
      </c>
    </row>
    <row r="28428" spans="20:20" ht="18.75" customHeight="1" x14ac:dyDescent="0.35">
      <c r="T28428" s="246">
        <f t="shared" si="482"/>
        <v>0</v>
      </c>
    </row>
    <row r="28429" spans="20:20" ht="18.75" customHeight="1" x14ac:dyDescent="0.35">
      <c r="T28429" s="246">
        <f t="shared" si="482"/>
        <v>0</v>
      </c>
    </row>
    <row r="28430" spans="20:20" ht="18.75" customHeight="1" x14ac:dyDescent="0.35">
      <c r="T28430" s="246">
        <f t="shared" si="482"/>
        <v>0</v>
      </c>
    </row>
    <row r="28431" spans="20:20" ht="18.75" customHeight="1" x14ac:dyDescent="0.35">
      <c r="T28431" s="246">
        <f t="shared" si="482"/>
        <v>0</v>
      </c>
    </row>
    <row r="28432" spans="20:20" ht="18.75" customHeight="1" x14ac:dyDescent="0.35">
      <c r="T28432" s="246">
        <f t="shared" si="482"/>
        <v>0</v>
      </c>
    </row>
    <row r="28433" spans="20:20" ht="18.75" customHeight="1" x14ac:dyDescent="0.35">
      <c r="T28433" s="246">
        <f t="shared" si="482"/>
        <v>0</v>
      </c>
    </row>
    <row r="28434" spans="20:20" ht="18.75" customHeight="1" x14ac:dyDescent="0.35">
      <c r="T28434" s="246">
        <f t="shared" si="482"/>
        <v>0</v>
      </c>
    </row>
    <row r="28435" spans="20:20" ht="18.75" customHeight="1" x14ac:dyDescent="0.35">
      <c r="T28435" s="246">
        <f t="shared" si="482"/>
        <v>0</v>
      </c>
    </row>
    <row r="28436" spans="20:20" ht="18.75" customHeight="1" x14ac:dyDescent="0.35">
      <c r="T28436" s="246">
        <f t="shared" si="482"/>
        <v>0</v>
      </c>
    </row>
    <row r="28437" spans="20:20" ht="18.75" customHeight="1" x14ac:dyDescent="0.35">
      <c r="T28437" s="246">
        <f t="shared" si="482"/>
        <v>0</v>
      </c>
    </row>
    <row r="28438" spans="20:20" ht="18.75" customHeight="1" x14ac:dyDescent="0.35">
      <c r="T28438" s="246">
        <f t="shared" si="482"/>
        <v>0</v>
      </c>
    </row>
    <row r="28439" spans="20:20" ht="18.75" customHeight="1" x14ac:dyDescent="0.35">
      <c r="T28439" s="246">
        <f t="shared" si="482"/>
        <v>0</v>
      </c>
    </row>
    <row r="28440" spans="20:20" ht="18.75" customHeight="1" x14ac:dyDescent="0.35">
      <c r="T28440" s="246">
        <f t="shared" si="482"/>
        <v>0</v>
      </c>
    </row>
    <row r="28441" spans="20:20" ht="18.75" customHeight="1" x14ac:dyDescent="0.35">
      <c r="T28441" s="246">
        <f t="shared" si="482"/>
        <v>0</v>
      </c>
    </row>
    <row r="28442" spans="20:20" ht="18.75" customHeight="1" x14ac:dyDescent="0.35">
      <c r="T28442" s="246">
        <f t="shared" si="482"/>
        <v>0</v>
      </c>
    </row>
    <row r="28443" spans="20:20" ht="18.75" customHeight="1" x14ac:dyDescent="0.35">
      <c r="T28443" s="246">
        <f t="shared" si="482"/>
        <v>0</v>
      </c>
    </row>
    <row r="28444" spans="20:20" ht="18.75" customHeight="1" x14ac:dyDescent="0.35">
      <c r="T28444" s="246">
        <f t="shared" si="482"/>
        <v>0</v>
      </c>
    </row>
    <row r="28445" spans="20:20" ht="18.75" customHeight="1" x14ac:dyDescent="0.35">
      <c r="T28445" s="246">
        <f t="shared" si="482"/>
        <v>0</v>
      </c>
    </row>
    <row r="28446" spans="20:20" ht="18.75" customHeight="1" x14ac:dyDescent="0.35">
      <c r="T28446" s="246">
        <f t="shared" si="482"/>
        <v>0</v>
      </c>
    </row>
    <row r="28447" spans="20:20" ht="18.75" customHeight="1" x14ac:dyDescent="0.35">
      <c r="T28447" s="246">
        <f t="shared" si="482"/>
        <v>0</v>
      </c>
    </row>
    <row r="28448" spans="20:20" ht="18.75" customHeight="1" x14ac:dyDescent="0.35">
      <c r="T28448" s="246">
        <f t="shared" si="482"/>
        <v>0</v>
      </c>
    </row>
    <row r="28449" spans="20:20" ht="18.75" customHeight="1" x14ac:dyDescent="0.35">
      <c r="T28449" s="246">
        <f t="shared" si="482"/>
        <v>0</v>
      </c>
    </row>
    <row r="28450" spans="20:20" ht="18.75" customHeight="1" x14ac:dyDescent="0.35">
      <c r="T28450" s="246">
        <f t="shared" si="482"/>
        <v>0</v>
      </c>
    </row>
    <row r="28451" spans="20:20" ht="18.75" customHeight="1" x14ac:dyDescent="0.35">
      <c r="T28451" s="246">
        <f t="shared" si="482"/>
        <v>0</v>
      </c>
    </row>
    <row r="28452" spans="20:20" ht="18.75" customHeight="1" x14ac:dyDescent="0.35">
      <c r="T28452" s="246">
        <f t="shared" si="482"/>
        <v>0</v>
      </c>
    </row>
    <row r="28453" spans="20:20" ht="18.75" customHeight="1" x14ac:dyDescent="0.35">
      <c r="T28453" s="246">
        <f t="shared" si="482"/>
        <v>0</v>
      </c>
    </row>
    <row r="28454" spans="20:20" ht="18.75" customHeight="1" x14ac:dyDescent="0.35">
      <c r="T28454" s="246">
        <f t="shared" si="482"/>
        <v>0</v>
      </c>
    </row>
    <row r="28455" spans="20:20" ht="18.75" customHeight="1" x14ac:dyDescent="0.35">
      <c r="T28455" s="246">
        <f t="shared" si="482"/>
        <v>0</v>
      </c>
    </row>
    <row r="28456" spans="20:20" ht="18.75" customHeight="1" x14ac:dyDescent="0.35">
      <c r="T28456" s="246">
        <f t="shared" si="482"/>
        <v>0</v>
      </c>
    </row>
    <row r="28457" spans="20:20" ht="18.75" customHeight="1" x14ac:dyDescent="0.35">
      <c r="T28457" s="246">
        <f t="shared" si="482"/>
        <v>0</v>
      </c>
    </row>
    <row r="28458" spans="20:20" ht="18.75" customHeight="1" x14ac:dyDescent="0.35">
      <c r="T28458" s="246">
        <f t="shared" si="482"/>
        <v>0</v>
      </c>
    </row>
    <row r="28459" spans="20:20" ht="18.75" customHeight="1" x14ac:dyDescent="0.35">
      <c r="T28459" s="246">
        <f t="shared" si="482"/>
        <v>0</v>
      </c>
    </row>
    <row r="28460" spans="20:20" ht="18.75" customHeight="1" x14ac:dyDescent="0.35">
      <c r="T28460" s="246">
        <f t="shared" si="482"/>
        <v>0</v>
      </c>
    </row>
    <row r="28461" spans="20:20" ht="18.75" customHeight="1" x14ac:dyDescent="0.35">
      <c r="T28461" s="246">
        <f t="shared" si="482"/>
        <v>0</v>
      </c>
    </row>
    <row r="28462" spans="20:20" ht="18.75" customHeight="1" x14ac:dyDescent="0.35">
      <c r="T28462" s="246">
        <f t="shared" si="482"/>
        <v>0</v>
      </c>
    </row>
    <row r="28463" spans="20:20" ht="18.75" customHeight="1" x14ac:dyDescent="0.35">
      <c r="T28463" s="246">
        <f t="shared" si="482"/>
        <v>0</v>
      </c>
    </row>
    <row r="28464" spans="20:20" ht="18.75" customHeight="1" x14ac:dyDescent="0.35">
      <c r="T28464" s="246">
        <f t="shared" si="482"/>
        <v>0</v>
      </c>
    </row>
    <row r="28465" spans="20:20" ht="18.75" customHeight="1" x14ac:dyDescent="0.35">
      <c r="T28465" s="246">
        <f t="shared" si="482"/>
        <v>0</v>
      </c>
    </row>
    <row r="28466" spans="20:20" ht="18.75" customHeight="1" x14ac:dyDescent="0.35">
      <c r="T28466" s="246">
        <f t="shared" si="482"/>
        <v>0</v>
      </c>
    </row>
    <row r="28467" spans="20:20" ht="18.75" customHeight="1" x14ac:dyDescent="0.35">
      <c r="T28467" s="246">
        <f t="shared" si="482"/>
        <v>0</v>
      </c>
    </row>
    <row r="28468" spans="20:20" ht="18.75" customHeight="1" x14ac:dyDescent="0.35">
      <c r="T28468" s="246">
        <f t="shared" si="482"/>
        <v>0</v>
      </c>
    </row>
    <row r="28469" spans="20:20" ht="18.75" customHeight="1" x14ac:dyDescent="0.35">
      <c r="T28469" s="246">
        <f t="shared" si="482"/>
        <v>0</v>
      </c>
    </row>
    <row r="28470" spans="20:20" ht="18.75" customHeight="1" x14ac:dyDescent="0.35">
      <c r="T28470" s="246">
        <f t="shared" si="482"/>
        <v>0</v>
      </c>
    </row>
    <row r="28471" spans="20:20" ht="18.75" customHeight="1" x14ac:dyDescent="0.35">
      <c r="T28471" s="246">
        <f t="shared" si="482"/>
        <v>0</v>
      </c>
    </row>
    <row r="28472" spans="20:20" ht="18.75" customHeight="1" x14ac:dyDescent="0.35">
      <c r="T28472" s="246">
        <f t="shared" si="482"/>
        <v>0</v>
      </c>
    </row>
    <row r="28473" spans="20:20" ht="18.75" customHeight="1" x14ac:dyDescent="0.35">
      <c r="T28473" s="246">
        <f t="shared" si="482"/>
        <v>0</v>
      </c>
    </row>
    <row r="28474" spans="20:20" ht="18.75" customHeight="1" x14ac:dyDescent="0.35">
      <c r="T28474" s="246">
        <f t="shared" si="482"/>
        <v>0</v>
      </c>
    </row>
    <row r="28475" spans="20:20" ht="18.75" customHeight="1" x14ac:dyDescent="0.35">
      <c r="T28475" s="246">
        <f t="shared" si="482"/>
        <v>0</v>
      </c>
    </row>
    <row r="28476" spans="20:20" ht="18.75" customHeight="1" x14ac:dyDescent="0.35">
      <c r="T28476" s="246">
        <f t="shared" ref="T28476:T28539" si="483">R28476*0.01</f>
        <v>0</v>
      </c>
    </row>
    <row r="28477" spans="20:20" ht="18.75" customHeight="1" x14ac:dyDescent="0.35">
      <c r="T28477" s="246">
        <f t="shared" si="483"/>
        <v>0</v>
      </c>
    </row>
    <row r="28478" spans="20:20" ht="18.75" customHeight="1" x14ac:dyDescent="0.35">
      <c r="T28478" s="246">
        <f t="shared" si="483"/>
        <v>0</v>
      </c>
    </row>
    <row r="28479" spans="20:20" ht="18.75" customHeight="1" x14ac:dyDescent="0.35">
      <c r="T28479" s="246">
        <f t="shared" si="483"/>
        <v>0</v>
      </c>
    </row>
    <row r="28480" spans="20:20" ht="18.75" customHeight="1" x14ac:dyDescent="0.35">
      <c r="T28480" s="246">
        <f t="shared" si="483"/>
        <v>0</v>
      </c>
    </row>
    <row r="28481" spans="20:20" ht="18.75" customHeight="1" x14ac:dyDescent="0.35">
      <c r="T28481" s="246">
        <f t="shared" si="483"/>
        <v>0</v>
      </c>
    </row>
    <row r="28482" spans="20:20" ht="18.75" customHeight="1" x14ac:dyDescent="0.35">
      <c r="T28482" s="246">
        <f t="shared" si="483"/>
        <v>0</v>
      </c>
    </row>
    <row r="28483" spans="20:20" ht="18.75" customHeight="1" x14ac:dyDescent="0.35">
      <c r="T28483" s="246">
        <f t="shared" si="483"/>
        <v>0</v>
      </c>
    </row>
    <row r="28484" spans="20:20" ht="18.75" customHeight="1" x14ac:dyDescent="0.35">
      <c r="T28484" s="246">
        <f t="shared" si="483"/>
        <v>0</v>
      </c>
    </row>
    <row r="28485" spans="20:20" ht="18.75" customHeight="1" x14ac:dyDescent="0.35">
      <c r="T28485" s="246">
        <f t="shared" si="483"/>
        <v>0</v>
      </c>
    </row>
    <row r="28486" spans="20:20" ht="18.75" customHeight="1" x14ac:dyDescent="0.35">
      <c r="T28486" s="246">
        <f t="shared" si="483"/>
        <v>0</v>
      </c>
    </row>
    <row r="28487" spans="20:20" ht="18.75" customHeight="1" x14ac:dyDescent="0.35">
      <c r="T28487" s="246">
        <f t="shared" si="483"/>
        <v>0</v>
      </c>
    </row>
    <row r="28488" spans="20:20" ht="18.75" customHeight="1" x14ac:dyDescent="0.35">
      <c r="T28488" s="246">
        <f t="shared" si="483"/>
        <v>0</v>
      </c>
    </row>
    <row r="28489" spans="20:20" ht="18.75" customHeight="1" x14ac:dyDescent="0.35">
      <c r="T28489" s="246">
        <f t="shared" si="483"/>
        <v>0</v>
      </c>
    </row>
    <row r="28490" spans="20:20" ht="18.75" customHeight="1" x14ac:dyDescent="0.35">
      <c r="T28490" s="246">
        <f t="shared" si="483"/>
        <v>0</v>
      </c>
    </row>
    <row r="28491" spans="20:20" ht="18.75" customHeight="1" x14ac:dyDescent="0.35">
      <c r="T28491" s="246">
        <f t="shared" si="483"/>
        <v>0</v>
      </c>
    </row>
    <row r="28492" spans="20:20" ht="18.75" customHeight="1" x14ac:dyDescent="0.35">
      <c r="T28492" s="246">
        <f t="shared" si="483"/>
        <v>0</v>
      </c>
    </row>
    <row r="28493" spans="20:20" ht="18.75" customHeight="1" x14ac:dyDescent="0.35">
      <c r="T28493" s="246">
        <f t="shared" si="483"/>
        <v>0</v>
      </c>
    </row>
    <row r="28494" spans="20:20" ht="18.75" customHeight="1" x14ac:dyDescent="0.35">
      <c r="T28494" s="246">
        <f t="shared" si="483"/>
        <v>0</v>
      </c>
    </row>
    <row r="28495" spans="20:20" ht="18.75" customHeight="1" x14ac:dyDescent="0.35">
      <c r="T28495" s="246">
        <f t="shared" si="483"/>
        <v>0</v>
      </c>
    </row>
    <row r="28496" spans="20:20" ht="18.75" customHeight="1" x14ac:dyDescent="0.35">
      <c r="T28496" s="246">
        <f t="shared" si="483"/>
        <v>0</v>
      </c>
    </row>
    <row r="28497" spans="20:20" ht="18.75" customHeight="1" x14ac:dyDescent="0.35">
      <c r="T28497" s="246">
        <f t="shared" si="483"/>
        <v>0</v>
      </c>
    </row>
    <row r="28498" spans="20:20" ht="18.75" customHeight="1" x14ac:dyDescent="0.35">
      <c r="T28498" s="246">
        <f t="shared" si="483"/>
        <v>0</v>
      </c>
    </row>
    <row r="28499" spans="20:20" ht="18.75" customHeight="1" x14ac:dyDescent="0.35">
      <c r="T28499" s="246">
        <f t="shared" si="483"/>
        <v>0</v>
      </c>
    </row>
    <row r="28500" spans="20:20" ht="18.75" customHeight="1" x14ac:dyDescent="0.35">
      <c r="T28500" s="246">
        <f t="shared" si="483"/>
        <v>0</v>
      </c>
    </row>
    <row r="28501" spans="20:20" ht="18.75" customHeight="1" x14ac:dyDescent="0.35">
      <c r="T28501" s="246">
        <f t="shared" si="483"/>
        <v>0</v>
      </c>
    </row>
    <row r="28502" spans="20:20" ht="18.75" customHeight="1" x14ac:dyDescent="0.35">
      <c r="T28502" s="246">
        <f t="shared" si="483"/>
        <v>0</v>
      </c>
    </row>
    <row r="28503" spans="20:20" ht="18.75" customHeight="1" x14ac:dyDescent="0.35">
      <c r="T28503" s="246">
        <f t="shared" si="483"/>
        <v>0</v>
      </c>
    </row>
    <row r="28504" spans="20:20" ht="18.75" customHeight="1" x14ac:dyDescent="0.35">
      <c r="T28504" s="246">
        <f t="shared" si="483"/>
        <v>0</v>
      </c>
    </row>
    <row r="28505" spans="20:20" ht="18.75" customHeight="1" x14ac:dyDescent="0.35">
      <c r="T28505" s="246">
        <f t="shared" si="483"/>
        <v>0</v>
      </c>
    </row>
    <row r="28506" spans="20:20" ht="18.75" customHeight="1" x14ac:dyDescent="0.35">
      <c r="T28506" s="246">
        <f t="shared" si="483"/>
        <v>0</v>
      </c>
    </row>
    <row r="28507" spans="20:20" ht="18.75" customHeight="1" x14ac:dyDescent="0.35">
      <c r="T28507" s="246">
        <f t="shared" si="483"/>
        <v>0</v>
      </c>
    </row>
    <row r="28508" spans="20:20" ht="18.75" customHeight="1" x14ac:dyDescent="0.35">
      <c r="T28508" s="246">
        <f t="shared" si="483"/>
        <v>0</v>
      </c>
    </row>
    <row r="28509" spans="20:20" ht="18.75" customHeight="1" x14ac:dyDescent="0.35">
      <c r="T28509" s="246">
        <f t="shared" si="483"/>
        <v>0</v>
      </c>
    </row>
    <row r="28510" spans="20:20" ht="18.75" customHeight="1" x14ac:dyDescent="0.35">
      <c r="T28510" s="246">
        <f t="shared" si="483"/>
        <v>0</v>
      </c>
    </row>
    <row r="28511" spans="20:20" ht="18.75" customHeight="1" x14ac:dyDescent="0.35">
      <c r="T28511" s="246">
        <f t="shared" si="483"/>
        <v>0</v>
      </c>
    </row>
    <row r="28512" spans="20:20" ht="18.75" customHeight="1" x14ac:dyDescent="0.35">
      <c r="T28512" s="246">
        <f t="shared" si="483"/>
        <v>0</v>
      </c>
    </row>
    <row r="28513" spans="20:20" ht="18.75" customHeight="1" x14ac:dyDescent="0.35">
      <c r="T28513" s="246">
        <f t="shared" si="483"/>
        <v>0</v>
      </c>
    </row>
    <row r="28514" spans="20:20" ht="18.75" customHeight="1" x14ac:dyDescent="0.35">
      <c r="T28514" s="246">
        <f t="shared" si="483"/>
        <v>0</v>
      </c>
    </row>
    <row r="28515" spans="20:20" ht="18.75" customHeight="1" x14ac:dyDescent="0.35">
      <c r="T28515" s="246">
        <f t="shared" si="483"/>
        <v>0</v>
      </c>
    </row>
    <row r="28516" spans="20:20" ht="18.75" customHeight="1" x14ac:dyDescent="0.35">
      <c r="T28516" s="246">
        <f t="shared" si="483"/>
        <v>0</v>
      </c>
    </row>
    <row r="28517" spans="20:20" ht="18.75" customHeight="1" x14ac:dyDescent="0.35">
      <c r="T28517" s="246">
        <f t="shared" si="483"/>
        <v>0</v>
      </c>
    </row>
    <row r="28518" spans="20:20" ht="18.75" customHeight="1" x14ac:dyDescent="0.35">
      <c r="T28518" s="246">
        <f t="shared" si="483"/>
        <v>0</v>
      </c>
    </row>
    <row r="28519" spans="20:20" ht="18.75" customHeight="1" x14ac:dyDescent="0.35">
      <c r="T28519" s="246">
        <f t="shared" si="483"/>
        <v>0</v>
      </c>
    </row>
    <row r="28520" spans="20:20" ht="18.75" customHeight="1" x14ac:dyDescent="0.35">
      <c r="T28520" s="246">
        <f t="shared" si="483"/>
        <v>0</v>
      </c>
    </row>
    <row r="28521" spans="20:20" ht="18.75" customHeight="1" x14ac:dyDescent="0.35">
      <c r="T28521" s="246">
        <f t="shared" si="483"/>
        <v>0</v>
      </c>
    </row>
    <row r="28522" spans="20:20" ht="18.75" customHeight="1" x14ac:dyDescent="0.35">
      <c r="T28522" s="246">
        <f t="shared" si="483"/>
        <v>0</v>
      </c>
    </row>
    <row r="28523" spans="20:20" ht="18.75" customHeight="1" x14ac:dyDescent="0.35">
      <c r="T28523" s="246">
        <f t="shared" si="483"/>
        <v>0</v>
      </c>
    </row>
    <row r="28524" spans="20:20" ht="18.75" customHeight="1" x14ac:dyDescent="0.35">
      <c r="T28524" s="246">
        <f t="shared" si="483"/>
        <v>0</v>
      </c>
    </row>
    <row r="28525" spans="20:20" ht="18.75" customHeight="1" x14ac:dyDescent="0.35">
      <c r="T28525" s="246">
        <f t="shared" si="483"/>
        <v>0</v>
      </c>
    </row>
    <row r="28526" spans="20:20" ht="18.75" customHeight="1" x14ac:dyDescent="0.35">
      <c r="T28526" s="246">
        <f t="shared" si="483"/>
        <v>0</v>
      </c>
    </row>
    <row r="28527" spans="20:20" ht="18.75" customHeight="1" x14ac:dyDescent="0.35">
      <c r="T28527" s="246">
        <f t="shared" si="483"/>
        <v>0</v>
      </c>
    </row>
    <row r="28528" spans="20:20" ht="18.75" customHeight="1" x14ac:dyDescent="0.35">
      <c r="T28528" s="246">
        <f t="shared" si="483"/>
        <v>0</v>
      </c>
    </row>
    <row r="28529" spans="20:20" ht="18.75" customHeight="1" x14ac:dyDescent="0.35">
      <c r="T28529" s="246">
        <f t="shared" si="483"/>
        <v>0</v>
      </c>
    </row>
    <row r="28530" spans="20:20" ht="18.75" customHeight="1" x14ac:dyDescent="0.35">
      <c r="T28530" s="246">
        <f t="shared" si="483"/>
        <v>0</v>
      </c>
    </row>
    <row r="28531" spans="20:20" ht="18.75" customHeight="1" x14ac:dyDescent="0.35">
      <c r="T28531" s="246">
        <f t="shared" si="483"/>
        <v>0</v>
      </c>
    </row>
    <row r="28532" spans="20:20" ht="18.75" customHeight="1" x14ac:dyDescent="0.35">
      <c r="T28532" s="246">
        <f t="shared" si="483"/>
        <v>0</v>
      </c>
    </row>
    <row r="28533" spans="20:20" ht="18.75" customHeight="1" x14ac:dyDescent="0.35">
      <c r="T28533" s="246">
        <f t="shared" si="483"/>
        <v>0</v>
      </c>
    </row>
    <row r="28534" spans="20:20" ht="18.75" customHeight="1" x14ac:dyDescent="0.35">
      <c r="T28534" s="246">
        <f t="shared" si="483"/>
        <v>0</v>
      </c>
    </row>
    <row r="28535" spans="20:20" ht="18.75" customHeight="1" x14ac:dyDescent="0.35">
      <c r="T28535" s="246">
        <f t="shared" si="483"/>
        <v>0</v>
      </c>
    </row>
    <row r="28536" spans="20:20" ht="18.75" customHeight="1" x14ac:dyDescent="0.35">
      <c r="T28536" s="246">
        <f t="shared" si="483"/>
        <v>0</v>
      </c>
    </row>
    <row r="28537" spans="20:20" ht="18.75" customHeight="1" x14ac:dyDescent="0.35">
      <c r="T28537" s="246">
        <f t="shared" si="483"/>
        <v>0</v>
      </c>
    </row>
    <row r="28538" spans="20:20" ht="18.75" customHeight="1" x14ac:dyDescent="0.35">
      <c r="T28538" s="246">
        <f t="shared" si="483"/>
        <v>0</v>
      </c>
    </row>
    <row r="28539" spans="20:20" ht="18.75" customHeight="1" x14ac:dyDescent="0.35">
      <c r="T28539" s="246">
        <f t="shared" si="483"/>
        <v>0</v>
      </c>
    </row>
    <row r="28540" spans="20:20" ht="18.75" customHeight="1" x14ac:dyDescent="0.35">
      <c r="T28540" s="246">
        <f t="shared" ref="T28540:T28603" si="484">R28540*0.01</f>
        <v>0</v>
      </c>
    </row>
    <row r="28541" spans="20:20" ht="18.75" customHeight="1" x14ac:dyDescent="0.35">
      <c r="T28541" s="246">
        <f t="shared" si="484"/>
        <v>0</v>
      </c>
    </row>
    <row r="28542" spans="20:20" ht="18.75" customHeight="1" x14ac:dyDescent="0.35">
      <c r="T28542" s="246">
        <f t="shared" si="484"/>
        <v>0</v>
      </c>
    </row>
    <row r="28543" spans="20:20" ht="18.75" customHeight="1" x14ac:dyDescent="0.35">
      <c r="T28543" s="246">
        <f t="shared" si="484"/>
        <v>0</v>
      </c>
    </row>
    <row r="28544" spans="20:20" ht="18.75" customHeight="1" x14ac:dyDescent="0.35">
      <c r="T28544" s="246">
        <f t="shared" si="484"/>
        <v>0</v>
      </c>
    </row>
    <row r="28545" spans="20:20" ht="18.75" customHeight="1" x14ac:dyDescent="0.35">
      <c r="T28545" s="246">
        <f t="shared" si="484"/>
        <v>0</v>
      </c>
    </row>
    <row r="28546" spans="20:20" ht="18.75" customHeight="1" x14ac:dyDescent="0.35">
      <c r="T28546" s="246">
        <f t="shared" si="484"/>
        <v>0</v>
      </c>
    </row>
    <row r="28547" spans="20:20" ht="18.75" customHeight="1" x14ac:dyDescent="0.35">
      <c r="T28547" s="246">
        <f t="shared" si="484"/>
        <v>0</v>
      </c>
    </row>
    <row r="28548" spans="20:20" ht="18.75" customHeight="1" x14ac:dyDescent="0.35">
      <c r="T28548" s="246">
        <f t="shared" si="484"/>
        <v>0</v>
      </c>
    </row>
    <row r="28549" spans="20:20" ht="18.75" customHeight="1" x14ac:dyDescent="0.35">
      <c r="T28549" s="246">
        <f t="shared" si="484"/>
        <v>0</v>
      </c>
    </row>
    <row r="28550" spans="20:20" ht="18.75" customHeight="1" x14ac:dyDescent="0.35">
      <c r="T28550" s="246">
        <f t="shared" si="484"/>
        <v>0</v>
      </c>
    </row>
    <row r="28551" spans="20:20" ht="18.75" customHeight="1" x14ac:dyDescent="0.35">
      <c r="T28551" s="246">
        <f t="shared" si="484"/>
        <v>0</v>
      </c>
    </row>
    <row r="28552" spans="20:20" ht="18.75" customHeight="1" x14ac:dyDescent="0.35">
      <c r="T28552" s="246">
        <f t="shared" si="484"/>
        <v>0</v>
      </c>
    </row>
    <row r="28553" spans="20:20" ht="18.75" customHeight="1" x14ac:dyDescent="0.35">
      <c r="T28553" s="246">
        <f t="shared" si="484"/>
        <v>0</v>
      </c>
    </row>
    <row r="28554" spans="20:20" ht="18.75" customHeight="1" x14ac:dyDescent="0.35">
      <c r="T28554" s="246">
        <f t="shared" si="484"/>
        <v>0</v>
      </c>
    </row>
    <row r="28555" spans="20:20" ht="18.75" customHeight="1" x14ac:dyDescent="0.35">
      <c r="T28555" s="246">
        <f t="shared" si="484"/>
        <v>0</v>
      </c>
    </row>
    <row r="28556" spans="20:20" ht="18.75" customHeight="1" x14ac:dyDescent="0.35">
      <c r="T28556" s="246">
        <f t="shared" si="484"/>
        <v>0</v>
      </c>
    </row>
    <row r="28557" spans="20:20" ht="18.75" customHeight="1" x14ac:dyDescent="0.35">
      <c r="T28557" s="246">
        <f t="shared" si="484"/>
        <v>0</v>
      </c>
    </row>
    <row r="28558" spans="20:20" ht="18.75" customHeight="1" x14ac:dyDescent="0.35">
      <c r="T28558" s="246">
        <f t="shared" si="484"/>
        <v>0</v>
      </c>
    </row>
    <row r="28559" spans="20:20" ht="18.75" customHeight="1" x14ac:dyDescent="0.35">
      <c r="T28559" s="246">
        <f t="shared" si="484"/>
        <v>0</v>
      </c>
    </row>
    <row r="28560" spans="20:20" ht="18.75" customHeight="1" x14ac:dyDescent="0.35">
      <c r="T28560" s="246">
        <f t="shared" si="484"/>
        <v>0</v>
      </c>
    </row>
    <row r="28561" spans="20:20" ht="18.75" customHeight="1" x14ac:dyDescent="0.35">
      <c r="T28561" s="246">
        <f t="shared" si="484"/>
        <v>0</v>
      </c>
    </row>
    <row r="28562" spans="20:20" ht="18.75" customHeight="1" x14ac:dyDescent="0.35">
      <c r="T28562" s="246">
        <f t="shared" si="484"/>
        <v>0</v>
      </c>
    </row>
    <row r="28563" spans="20:20" ht="18.75" customHeight="1" x14ac:dyDescent="0.35">
      <c r="T28563" s="246">
        <f t="shared" si="484"/>
        <v>0</v>
      </c>
    </row>
    <row r="28564" spans="20:20" ht="18.75" customHeight="1" x14ac:dyDescent="0.35">
      <c r="T28564" s="246">
        <f t="shared" si="484"/>
        <v>0</v>
      </c>
    </row>
    <row r="28565" spans="20:20" ht="18.75" customHeight="1" x14ac:dyDescent="0.35">
      <c r="T28565" s="246">
        <f t="shared" si="484"/>
        <v>0</v>
      </c>
    </row>
    <row r="28566" spans="20:20" ht="18.75" customHeight="1" x14ac:dyDescent="0.35">
      <c r="T28566" s="246">
        <f t="shared" si="484"/>
        <v>0</v>
      </c>
    </row>
    <row r="28567" spans="20:20" ht="18.75" customHeight="1" x14ac:dyDescent="0.35">
      <c r="T28567" s="246">
        <f t="shared" si="484"/>
        <v>0</v>
      </c>
    </row>
    <row r="28568" spans="20:20" ht="18.75" customHeight="1" x14ac:dyDescent="0.35">
      <c r="T28568" s="246">
        <f t="shared" si="484"/>
        <v>0</v>
      </c>
    </row>
    <row r="28569" spans="20:20" ht="18.75" customHeight="1" x14ac:dyDescent="0.35">
      <c r="T28569" s="246">
        <f t="shared" si="484"/>
        <v>0</v>
      </c>
    </row>
    <row r="28570" spans="20:20" ht="18.75" customHeight="1" x14ac:dyDescent="0.35">
      <c r="T28570" s="246">
        <f t="shared" si="484"/>
        <v>0</v>
      </c>
    </row>
    <row r="28571" spans="20:20" ht="18.75" customHeight="1" x14ac:dyDescent="0.35">
      <c r="T28571" s="246">
        <f t="shared" si="484"/>
        <v>0</v>
      </c>
    </row>
    <row r="28572" spans="20:20" ht="18.75" customHeight="1" x14ac:dyDescent="0.35">
      <c r="T28572" s="246">
        <f t="shared" si="484"/>
        <v>0</v>
      </c>
    </row>
    <row r="28573" spans="20:20" ht="18.75" customHeight="1" x14ac:dyDescent="0.35">
      <c r="T28573" s="246">
        <f t="shared" si="484"/>
        <v>0</v>
      </c>
    </row>
    <row r="28574" spans="20:20" ht="18.75" customHeight="1" x14ac:dyDescent="0.35">
      <c r="T28574" s="246">
        <f t="shared" si="484"/>
        <v>0</v>
      </c>
    </row>
    <row r="28575" spans="20:20" ht="18.75" customHeight="1" x14ac:dyDescent="0.35">
      <c r="T28575" s="246">
        <f t="shared" si="484"/>
        <v>0</v>
      </c>
    </row>
    <row r="28576" spans="20:20" ht="18.75" customHeight="1" x14ac:dyDescent="0.35">
      <c r="T28576" s="246">
        <f t="shared" si="484"/>
        <v>0</v>
      </c>
    </row>
    <row r="28577" spans="20:20" ht="18.75" customHeight="1" x14ac:dyDescent="0.35">
      <c r="T28577" s="246">
        <f t="shared" si="484"/>
        <v>0</v>
      </c>
    </row>
    <row r="28578" spans="20:20" ht="18.75" customHeight="1" x14ac:dyDescent="0.35">
      <c r="T28578" s="246">
        <f t="shared" si="484"/>
        <v>0</v>
      </c>
    </row>
    <row r="28579" spans="20:20" ht="18.75" customHeight="1" x14ac:dyDescent="0.35">
      <c r="T28579" s="246">
        <f t="shared" si="484"/>
        <v>0</v>
      </c>
    </row>
    <row r="28580" spans="20:20" ht="18.75" customHeight="1" x14ac:dyDescent="0.35">
      <c r="T28580" s="246">
        <f t="shared" si="484"/>
        <v>0</v>
      </c>
    </row>
    <row r="28581" spans="20:20" ht="18.75" customHeight="1" x14ac:dyDescent="0.35">
      <c r="T28581" s="246">
        <f t="shared" si="484"/>
        <v>0</v>
      </c>
    </row>
    <row r="28582" spans="20:20" ht="18.75" customHeight="1" x14ac:dyDescent="0.35">
      <c r="T28582" s="246">
        <f t="shared" si="484"/>
        <v>0</v>
      </c>
    </row>
    <row r="28583" spans="20:20" ht="18.75" customHeight="1" x14ac:dyDescent="0.35">
      <c r="T28583" s="246">
        <f t="shared" si="484"/>
        <v>0</v>
      </c>
    </row>
    <row r="28584" spans="20:20" ht="18.75" customHeight="1" x14ac:dyDescent="0.35">
      <c r="T28584" s="246">
        <f t="shared" si="484"/>
        <v>0</v>
      </c>
    </row>
    <row r="28585" spans="20:20" ht="18.75" customHeight="1" x14ac:dyDescent="0.35">
      <c r="T28585" s="246">
        <f t="shared" si="484"/>
        <v>0</v>
      </c>
    </row>
    <row r="28586" spans="20:20" ht="18.75" customHeight="1" x14ac:dyDescent="0.35">
      <c r="T28586" s="246">
        <f t="shared" si="484"/>
        <v>0</v>
      </c>
    </row>
    <row r="28587" spans="20:20" ht="18.75" customHeight="1" x14ac:dyDescent="0.35">
      <c r="T28587" s="246">
        <f t="shared" si="484"/>
        <v>0</v>
      </c>
    </row>
    <row r="28588" spans="20:20" ht="18.75" customHeight="1" x14ac:dyDescent="0.35">
      <c r="T28588" s="246">
        <f t="shared" si="484"/>
        <v>0</v>
      </c>
    </row>
    <row r="28589" spans="20:20" ht="18.75" customHeight="1" x14ac:dyDescent="0.35">
      <c r="T28589" s="246">
        <f t="shared" si="484"/>
        <v>0</v>
      </c>
    </row>
    <row r="28590" spans="20:20" ht="18.75" customHeight="1" x14ac:dyDescent="0.35">
      <c r="T28590" s="246">
        <f t="shared" si="484"/>
        <v>0</v>
      </c>
    </row>
    <row r="28591" spans="20:20" ht="18.75" customHeight="1" x14ac:dyDescent="0.35">
      <c r="T28591" s="246">
        <f t="shared" si="484"/>
        <v>0</v>
      </c>
    </row>
    <row r="28592" spans="20:20" ht="18.75" customHeight="1" x14ac:dyDescent="0.35">
      <c r="T28592" s="246">
        <f t="shared" si="484"/>
        <v>0</v>
      </c>
    </row>
    <row r="28593" spans="20:20" ht="18.75" customHeight="1" x14ac:dyDescent="0.35">
      <c r="T28593" s="246">
        <f t="shared" si="484"/>
        <v>0</v>
      </c>
    </row>
    <row r="28594" spans="20:20" ht="18.75" customHeight="1" x14ac:dyDescent="0.35">
      <c r="T28594" s="246">
        <f t="shared" si="484"/>
        <v>0</v>
      </c>
    </row>
    <row r="28595" spans="20:20" ht="18.75" customHeight="1" x14ac:dyDescent="0.35">
      <c r="T28595" s="246">
        <f t="shared" si="484"/>
        <v>0</v>
      </c>
    </row>
    <row r="28596" spans="20:20" ht="18.75" customHeight="1" x14ac:dyDescent="0.35">
      <c r="T28596" s="246">
        <f t="shared" si="484"/>
        <v>0</v>
      </c>
    </row>
    <row r="28597" spans="20:20" ht="18.75" customHeight="1" x14ac:dyDescent="0.35">
      <c r="T28597" s="246">
        <f t="shared" si="484"/>
        <v>0</v>
      </c>
    </row>
    <row r="28598" spans="20:20" ht="18.75" customHeight="1" x14ac:dyDescent="0.35">
      <c r="T28598" s="246">
        <f t="shared" si="484"/>
        <v>0</v>
      </c>
    </row>
    <row r="28599" spans="20:20" ht="18.75" customHeight="1" x14ac:dyDescent="0.35">
      <c r="T28599" s="246">
        <f t="shared" si="484"/>
        <v>0</v>
      </c>
    </row>
    <row r="28600" spans="20:20" ht="18.75" customHeight="1" x14ac:dyDescent="0.35">
      <c r="T28600" s="246">
        <f t="shared" si="484"/>
        <v>0</v>
      </c>
    </row>
    <row r="28601" spans="20:20" ht="18.75" customHeight="1" x14ac:dyDescent="0.35">
      <c r="T28601" s="246">
        <f t="shared" si="484"/>
        <v>0</v>
      </c>
    </row>
    <row r="28602" spans="20:20" ht="18.75" customHeight="1" x14ac:dyDescent="0.35">
      <c r="T28602" s="246">
        <f t="shared" si="484"/>
        <v>0</v>
      </c>
    </row>
    <row r="28603" spans="20:20" ht="18.75" customHeight="1" x14ac:dyDescent="0.35">
      <c r="T28603" s="246">
        <f t="shared" si="484"/>
        <v>0</v>
      </c>
    </row>
    <row r="28604" spans="20:20" ht="18.75" customHeight="1" x14ac:dyDescent="0.35">
      <c r="T28604" s="246">
        <f t="shared" ref="T28604:T28667" si="485">R28604*0.01</f>
        <v>0</v>
      </c>
    </row>
    <row r="28605" spans="20:20" ht="18.75" customHeight="1" x14ac:dyDescent="0.35">
      <c r="T28605" s="246">
        <f t="shared" si="485"/>
        <v>0</v>
      </c>
    </row>
    <row r="28606" spans="20:20" ht="18.75" customHeight="1" x14ac:dyDescent="0.35">
      <c r="T28606" s="246">
        <f t="shared" si="485"/>
        <v>0</v>
      </c>
    </row>
    <row r="28607" spans="20:20" ht="18.75" customHeight="1" x14ac:dyDescent="0.35">
      <c r="T28607" s="246">
        <f t="shared" si="485"/>
        <v>0</v>
      </c>
    </row>
    <row r="28608" spans="20:20" ht="18.75" customHeight="1" x14ac:dyDescent="0.35">
      <c r="T28608" s="246">
        <f t="shared" si="485"/>
        <v>0</v>
      </c>
    </row>
    <row r="28609" spans="20:20" ht="18.75" customHeight="1" x14ac:dyDescent="0.35">
      <c r="T28609" s="246">
        <f t="shared" si="485"/>
        <v>0</v>
      </c>
    </row>
    <row r="28610" spans="20:20" ht="18.75" customHeight="1" x14ac:dyDescent="0.35">
      <c r="T28610" s="246">
        <f t="shared" si="485"/>
        <v>0</v>
      </c>
    </row>
    <row r="28611" spans="20:20" ht="18.75" customHeight="1" x14ac:dyDescent="0.35">
      <c r="T28611" s="246">
        <f t="shared" si="485"/>
        <v>0</v>
      </c>
    </row>
    <row r="28612" spans="20:20" ht="18.75" customHeight="1" x14ac:dyDescent="0.35">
      <c r="T28612" s="246">
        <f t="shared" si="485"/>
        <v>0</v>
      </c>
    </row>
    <row r="28613" spans="20:20" ht="18.75" customHeight="1" x14ac:dyDescent="0.35">
      <c r="T28613" s="246">
        <f t="shared" si="485"/>
        <v>0</v>
      </c>
    </row>
    <row r="28614" spans="20:20" ht="18.75" customHeight="1" x14ac:dyDescent="0.35">
      <c r="T28614" s="246">
        <f t="shared" si="485"/>
        <v>0</v>
      </c>
    </row>
    <row r="28615" spans="20:20" ht="18.75" customHeight="1" x14ac:dyDescent="0.35">
      <c r="T28615" s="246">
        <f t="shared" si="485"/>
        <v>0</v>
      </c>
    </row>
    <row r="28616" spans="20:20" ht="18.75" customHeight="1" x14ac:dyDescent="0.35">
      <c r="T28616" s="246">
        <f t="shared" si="485"/>
        <v>0</v>
      </c>
    </row>
    <row r="28617" spans="20:20" ht="18.75" customHeight="1" x14ac:dyDescent="0.35">
      <c r="T28617" s="246">
        <f t="shared" si="485"/>
        <v>0</v>
      </c>
    </row>
    <row r="28618" spans="20:20" ht="18.75" customHeight="1" x14ac:dyDescent="0.35">
      <c r="T28618" s="246">
        <f t="shared" si="485"/>
        <v>0</v>
      </c>
    </row>
    <row r="28619" spans="20:20" ht="18.75" customHeight="1" x14ac:dyDescent="0.35">
      <c r="T28619" s="246">
        <f t="shared" si="485"/>
        <v>0</v>
      </c>
    </row>
    <row r="28620" spans="20:20" ht="18.75" customHeight="1" x14ac:dyDescent="0.35">
      <c r="T28620" s="246">
        <f t="shared" si="485"/>
        <v>0</v>
      </c>
    </row>
    <row r="28621" spans="20:20" ht="18.75" customHeight="1" x14ac:dyDescent="0.35">
      <c r="T28621" s="246">
        <f t="shared" si="485"/>
        <v>0</v>
      </c>
    </row>
    <row r="28622" spans="20:20" ht="18.75" customHeight="1" x14ac:dyDescent="0.35">
      <c r="T28622" s="246">
        <f t="shared" si="485"/>
        <v>0</v>
      </c>
    </row>
    <row r="28623" spans="20:20" ht="18.75" customHeight="1" x14ac:dyDescent="0.35">
      <c r="T28623" s="246">
        <f t="shared" si="485"/>
        <v>0</v>
      </c>
    </row>
    <row r="28624" spans="20:20" ht="18.75" customHeight="1" x14ac:dyDescent="0.35">
      <c r="T28624" s="246">
        <f t="shared" si="485"/>
        <v>0</v>
      </c>
    </row>
    <row r="28625" spans="20:20" ht="18.75" customHeight="1" x14ac:dyDescent="0.35">
      <c r="T28625" s="246">
        <f t="shared" si="485"/>
        <v>0</v>
      </c>
    </row>
    <row r="28626" spans="20:20" ht="18.75" customHeight="1" x14ac:dyDescent="0.35">
      <c r="T28626" s="246">
        <f t="shared" si="485"/>
        <v>0</v>
      </c>
    </row>
    <row r="28627" spans="20:20" ht="18.75" customHeight="1" x14ac:dyDescent="0.35">
      <c r="T28627" s="246">
        <f t="shared" si="485"/>
        <v>0</v>
      </c>
    </row>
    <row r="28628" spans="20:20" ht="18.75" customHeight="1" x14ac:dyDescent="0.35">
      <c r="T28628" s="246">
        <f t="shared" si="485"/>
        <v>0</v>
      </c>
    </row>
    <row r="28629" spans="20:20" ht="18.75" customHeight="1" x14ac:dyDescent="0.35">
      <c r="T28629" s="246">
        <f t="shared" si="485"/>
        <v>0</v>
      </c>
    </row>
    <row r="28630" spans="20:20" ht="18.75" customHeight="1" x14ac:dyDescent="0.35">
      <c r="T28630" s="246">
        <f t="shared" si="485"/>
        <v>0</v>
      </c>
    </row>
    <row r="28631" spans="20:20" ht="18.75" customHeight="1" x14ac:dyDescent="0.35">
      <c r="T28631" s="246">
        <f t="shared" si="485"/>
        <v>0</v>
      </c>
    </row>
    <row r="28632" spans="20:20" ht="18.75" customHeight="1" x14ac:dyDescent="0.35">
      <c r="T28632" s="246">
        <f t="shared" si="485"/>
        <v>0</v>
      </c>
    </row>
    <row r="28633" spans="20:20" ht="18.75" customHeight="1" x14ac:dyDescent="0.35">
      <c r="T28633" s="246">
        <f t="shared" si="485"/>
        <v>0</v>
      </c>
    </row>
    <row r="28634" spans="20:20" ht="18.75" customHeight="1" x14ac:dyDescent="0.35">
      <c r="T28634" s="246">
        <f t="shared" si="485"/>
        <v>0</v>
      </c>
    </row>
    <row r="28635" spans="20:20" ht="18.75" customHeight="1" x14ac:dyDescent="0.35">
      <c r="T28635" s="246">
        <f t="shared" si="485"/>
        <v>0</v>
      </c>
    </row>
    <row r="28636" spans="20:20" ht="18.75" customHeight="1" x14ac:dyDescent="0.35">
      <c r="T28636" s="246">
        <f t="shared" si="485"/>
        <v>0</v>
      </c>
    </row>
    <row r="28637" spans="20:20" ht="18.75" customHeight="1" x14ac:dyDescent="0.35">
      <c r="T28637" s="246">
        <f t="shared" si="485"/>
        <v>0</v>
      </c>
    </row>
    <row r="28638" spans="20:20" ht="18.75" customHeight="1" x14ac:dyDescent="0.35">
      <c r="T28638" s="246">
        <f t="shared" si="485"/>
        <v>0</v>
      </c>
    </row>
    <row r="28639" spans="20:20" ht="18.75" customHeight="1" x14ac:dyDescent="0.35">
      <c r="T28639" s="246">
        <f t="shared" si="485"/>
        <v>0</v>
      </c>
    </row>
    <row r="28640" spans="20:20" ht="18.75" customHeight="1" x14ac:dyDescent="0.35">
      <c r="T28640" s="246">
        <f t="shared" si="485"/>
        <v>0</v>
      </c>
    </row>
    <row r="28641" spans="20:20" ht="18.75" customHeight="1" x14ac:dyDescent="0.35">
      <c r="T28641" s="246">
        <f t="shared" si="485"/>
        <v>0</v>
      </c>
    </row>
    <row r="28642" spans="20:20" ht="18.75" customHeight="1" x14ac:dyDescent="0.35">
      <c r="T28642" s="246">
        <f t="shared" si="485"/>
        <v>0</v>
      </c>
    </row>
    <row r="28643" spans="20:20" ht="18.75" customHeight="1" x14ac:dyDescent="0.35">
      <c r="T28643" s="246">
        <f t="shared" si="485"/>
        <v>0</v>
      </c>
    </row>
    <row r="28644" spans="20:20" ht="18.75" customHeight="1" x14ac:dyDescent="0.35">
      <c r="T28644" s="246">
        <f t="shared" si="485"/>
        <v>0</v>
      </c>
    </row>
    <row r="28645" spans="20:20" ht="18.75" customHeight="1" x14ac:dyDescent="0.35">
      <c r="T28645" s="246">
        <f t="shared" si="485"/>
        <v>0</v>
      </c>
    </row>
    <row r="28646" spans="20:20" ht="18.75" customHeight="1" x14ac:dyDescent="0.35">
      <c r="T28646" s="246">
        <f t="shared" si="485"/>
        <v>0</v>
      </c>
    </row>
    <row r="28647" spans="20:20" ht="18.75" customHeight="1" x14ac:dyDescent="0.35">
      <c r="T28647" s="246">
        <f t="shared" si="485"/>
        <v>0</v>
      </c>
    </row>
    <row r="28648" spans="20:20" ht="18.75" customHeight="1" x14ac:dyDescent="0.35">
      <c r="T28648" s="246">
        <f t="shared" si="485"/>
        <v>0</v>
      </c>
    </row>
    <row r="28649" spans="20:20" ht="18.75" customHeight="1" x14ac:dyDescent="0.35">
      <c r="T28649" s="246">
        <f t="shared" si="485"/>
        <v>0</v>
      </c>
    </row>
    <row r="28650" spans="20:20" ht="18.75" customHeight="1" x14ac:dyDescent="0.35">
      <c r="T28650" s="246">
        <f t="shared" si="485"/>
        <v>0</v>
      </c>
    </row>
    <row r="28651" spans="20:20" ht="18.75" customHeight="1" x14ac:dyDescent="0.35">
      <c r="T28651" s="246">
        <f t="shared" si="485"/>
        <v>0</v>
      </c>
    </row>
    <row r="28652" spans="20:20" ht="18.75" customHeight="1" x14ac:dyDescent="0.35">
      <c r="T28652" s="246">
        <f t="shared" si="485"/>
        <v>0</v>
      </c>
    </row>
    <row r="28653" spans="20:20" ht="18.75" customHeight="1" x14ac:dyDescent="0.35">
      <c r="T28653" s="246">
        <f t="shared" si="485"/>
        <v>0</v>
      </c>
    </row>
    <row r="28654" spans="20:20" ht="18.75" customHeight="1" x14ac:dyDescent="0.35">
      <c r="T28654" s="246">
        <f t="shared" si="485"/>
        <v>0</v>
      </c>
    </row>
    <row r="28655" spans="20:20" ht="18.75" customHeight="1" x14ac:dyDescent="0.35">
      <c r="T28655" s="246">
        <f t="shared" si="485"/>
        <v>0</v>
      </c>
    </row>
    <row r="28656" spans="20:20" ht="18.75" customHeight="1" x14ac:dyDescent="0.35">
      <c r="T28656" s="246">
        <f t="shared" si="485"/>
        <v>0</v>
      </c>
    </row>
    <row r="28657" spans="20:20" ht="18.75" customHeight="1" x14ac:dyDescent="0.35">
      <c r="T28657" s="246">
        <f t="shared" si="485"/>
        <v>0</v>
      </c>
    </row>
    <row r="28658" spans="20:20" ht="18.75" customHeight="1" x14ac:dyDescent="0.35">
      <c r="T28658" s="246">
        <f t="shared" si="485"/>
        <v>0</v>
      </c>
    </row>
    <row r="28659" spans="20:20" ht="18.75" customHeight="1" x14ac:dyDescent="0.35">
      <c r="T28659" s="246">
        <f t="shared" si="485"/>
        <v>0</v>
      </c>
    </row>
    <row r="28660" spans="20:20" ht="18.75" customHeight="1" x14ac:dyDescent="0.35">
      <c r="T28660" s="246">
        <f t="shared" si="485"/>
        <v>0</v>
      </c>
    </row>
    <row r="28661" spans="20:20" ht="18.75" customHeight="1" x14ac:dyDescent="0.35">
      <c r="T28661" s="246">
        <f t="shared" si="485"/>
        <v>0</v>
      </c>
    </row>
    <row r="28662" spans="20:20" ht="18.75" customHeight="1" x14ac:dyDescent="0.35">
      <c r="T28662" s="246">
        <f t="shared" si="485"/>
        <v>0</v>
      </c>
    </row>
    <row r="28663" spans="20:20" ht="18.75" customHeight="1" x14ac:dyDescent="0.35">
      <c r="T28663" s="246">
        <f t="shared" si="485"/>
        <v>0</v>
      </c>
    </row>
    <row r="28664" spans="20:20" ht="18.75" customHeight="1" x14ac:dyDescent="0.35">
      <c r="T28664" s="246">
        <f t="shared" si="485"/>
        <v>0</v>
      </c>
    </row>
    <row r="28665" spans="20:20" ht="18.75" customHeight="1" x14ac:dyDescent="0.35">
      <c r="T28665" s="246">
        <f t="shared" si="485"/>
        <v>0</v>
      </c>
    </row>
    <row r="28666" spans="20:20" ht="18.75" customHeight="1" x14ac:dyDescent="0.35">
      <c r="T28666" s="246">
        <f t="shared" si="485"/>
        <v>0</v>
      </c>
    </row>
    <row r="28667" spans="20:20" ht="18.75" customHeight="1" x14ac:dyDescent="0.35">
      <c r="T28667" s="246">
        <f t="shared" si="485"/>
        <v>0</v>
      </c>
    </row>
    <row r="28668" spans="20:20" ht="18.75" customHeight="1" x14ac:dyDescent="0.35">
      <c r="T28668" s="246">
        <f t="shared" ref="T28668:T28731" si="486">R28668*0.01</f>
        <v>0</v>
      </c>
    </row>
    <row r="28669" spans="20:20" ht="18.75" customHeight="1" x14ac:dyDescent="0.35">
      <c r="T28669" s="246">
        <f t="shared" si="486"/>
        <v>0</v>
      </c>
    </row>
    <row r="28670" spans="20:20" ht="18.75" customHeight="1" x14ac:dyDescent="0.35">
      <c r="T28670" s="246">
        <f t="shared" si="486"/>
        <v>0</v>
      </c>
    </row>
    <row r="28671" spans="20:20" ht="18.75" customHeight="1" x14ac:dyDescent="0.35">
      <c r="T28671" s="246">
        <f t="shared" si="486"/>
        <v>0</v>
      </c>
    </row>
    <row r="28672" spans="20:20" ht="18.75" customHeight="1" x14ac:dyDescent="0.35">
      <c r="T28672" s="246">
        <f t="shared" si="486"/>
        <v>0</v>
      </c>
    </row>
    <row r="28673" spans="20:20" ht="18.75" customHeight="1" x14ac:dyDescent="0.35">
      <c r="T28673" s="246">
        <f t="shared" si="486"/>
        <v>0</v>
      </c>
    </row>
    <row r="28674" spans="20:20" ht="18.75" customHeight="1" x14ac:dyDescent="0.35">
      <c r="T28674" s="246">
        <f t="shared" si="486"/>
        <v>0</v>
      </c>
    </row>
    <row r="28675" spans="20:20" ht="18.75" customHeight="1" x14ac:dyDescent="0.35">
      <c r="T28675" s="246">
        <f t="shared" si="486"/>
        <v>0</v>
      </c>
    </row>
    <row r="28676" spans="20:20" ht="18.75" customHeight="1" x14ac:dyDescent="0.35">
      <c r="T28676" s="246">
        <f t="shared" si="486"/>
        <v>0</v>
      </c>
    </row>
    <row r="28677" spans="20:20" ht="18.75" customHeight="1" x14ac:dyDescent="0.35">
      <c r="T28677" s="246">
        <f t="shared" si="486"/>
        <v>0</v>
      </c>
    </row>
    <row r="28678" spans="20:20" ht="18.75" customHeight="1" x14ac:dyDescent="0.35">
      <c r="T28678" s="246">
        <f t="shared" si="486"/>
        <v>0</v>
      </c>
    </row>
    <row r="28679" spans="20:20" ht="18.75" customHeight="1" x14ac:dyDescent="0.35">
      <c r="T28679" s="246">
        <f t="shared" si="486"/>
        <v>0</v>
      </c>
    </row>
    <row r="28680" spans="20:20" ht="18.75" customHeight="1" x14ac:dyDescent="0.35">
      <c r="T28680" s="246">
        <f t="shared" si="486"/>
        <v>0</v>
      </c>
    </row>
    <row r="28681" spans="20:20" ht="18.75" customHeight="1" x14ac:dyDescent="0.35">
      <c r="T28681" s="246">
        <f t="shared" si="486"/>
        <v>0</v>
      </c>
    </row>
    <row r="28682" spans="20:20" ht="18.75" customHeight="1" x14ac:dyDescent="0.35">
      <c r="T28682" s="246">
        <f t="shared" si="486"/>
        <v>0</v>
      </c>
    </row>
    <row r="28683" spans="20:20" ht="18.75" customHeight="1" x14ac:dyDescent="0.35">
      <c r="T28683" s="246">
        <f t="shared" si="486"/>
        <v>0</v>
      </c>
    </row>
    <row r="28684" spans="20:20" ht="18.75" customHeight="1" x14ac:dyDescent="0.35">
      <c r="T28684" s="246">
        <f t="shared" si="486"/>
        <v>0</v>
      </c>
    </row>
    <row r="28685" spans="20:20" ht="18.75" customHeight="1" x14ac:dyDescent="0.35">
      <c r="T28685" s="246">
        <f t="shared" si="486"/>
        <v>0</v>
      </c>
    </row>
    <row r="28686" spans="20:20" ht="18.75" customHeight="1" x14ac:dyDescent="0.35">
      <c r="T28686" s="246">
        <f t="shared" si="486"/>
        <v>0</v>
      </c>
    </row>
    <row r="28687" spans="20:20" ht="18.75" customHeight="1" x14ac:dyDescent="0.35">
      <c r="T28687" s="246">
        <f t="shared" si="486"/>
        <v>0</v>
      </c>
    </row>
    <row r="28688" spans="20:20" ht="18.75" customHeight="1" x14ac:dyDescent="0.35">
      <c r="T28688" s="246">
        <f t="shared" si="486"/>
        <v>0</v>
      </c>
    </row>
    <row r="28689" spans="20:20" ht="18.75" customHeight="1" x14ac:dyDescent="0.35">
      <c r="T28689" s="246">
        <f t="shared" si="486"/>
        <v>0</v>
      </c>
    </row>
    <row r="28690" spans="20:20" ht="18.75" customHeight="1" x14ac:dyDescent="0.35">
      <c r="T28690" s="246">
        <f t="shared" si="486"/>
        <v>0</v>
      </c>
    </row>
    <row r="28691" spans="20:20" ht="18.75" customHeight="1" x14ac:dyDescent="0.35">
      <c r="T28691" s="246">
        <f t="shared" si="486"/>
        <v>0</v>
      </c>
    </row>
    <row r="28692" spans="20:20" ht="18.75" customHeight="1" x14ac:dyDescent="0.35">
      <c r="T28692" s="246">
        <f t="shared" si="486"/>
        <v>0</v>
      </c>
    </row>
    <row r="28693" spans="20:20" ht="18.75" customHeight="1" x14ac:dyDescent="0.35">
      <c r="T28693" s="246">
        <f t="shared" si="486"/>
        <v>0</v>
      </c>
    </row>
    <row r="28694" spans="20:20" ht="18.75" customHeight="1" x14ac:dyDescent="0.35">
      <c r="T28694" s="246">
        <f t="shared" si="486"/>
        <v>0</v>
      </c>
    </row>
    <row r="28695" spans="20:20" ht="18.75" customHeight="1" x14ac:dyDescent="0.35">
      <c r="T28695" s="246">
        <f t="shared" si="486"/>
        <v>0</v>
      </c>
    </row>
    <row r="28696" spans="20:20" ht="18.75" customHeight="1" x14ac:dyDescent="0.35">
      <c r="T28696" s="246">
        <f t="shared" si="486"/>
        <v>0</v>
      </c>
    </row>
    <row r="28697" spans="20:20" ht="18.75" customHeight="1" x14ac:dyDescent="0.35">
      <c r="T28697" s="246">
        <f t="shared" si="486"/>
        <v>0</v>
      </c>
    </row>
    <row r="28698" spans="20:20" ht="18.75" customHeight="1" x14ac:dyDescent="0.35">
      <c r="T28698" s="246">
        <f t="shared" si="486"/>
        <v>0</v>
      </c>
    </row>
    <row r="28699" spans="20:20" ht="18.75" customHeight="1" x14ac:dyDescent="0.35">
      <c r="T28699" s="246">
        <f t="shared" si="486"/>
        <v>0</v>
      </c>
    </row>
    <row r="28700" spans="20:20" ht="18.75" customHeight="1" x14ac:dyDescent="0.35">
      <c r="T28700" s="246">
        <f t="shared" si="486"/>
        <v>0</v>
      </c>
    </row>
    <row r="28701" spans="20:20" ht="18.75" customHeight="1" x14ac:dyDescent="0.35">
      <c r="T28701" s="246">
        <f t="shared" si="486"/>
        <v>0</v>
      </c>
    </row>
    <row r="28702" spans="20:20" ht="18.75" customHeight="1" x14ac:dyDescent="0.35">
      <c r="T28702" s="246">
        <f t="shared" si="486"/>
        <v>0</v>
      </c>
    </row>
    <row r="28703" spans="20:20" ht="18.75" customHeight="1" x14ac:dyDescent="0.35">
      <c r="T28703" s="246">
        <f t="shared" si="486"/>
        <v>0</v>
      </c>
    </row>
    <row r="28704" spans="20:20" ht="18.75" customHeight="1" x14ac:dyDescent="0.35">
      <c r="T28704" s="246">
        <f t="shared" si="486"/>
        <v>0</v>
      </c>
    </row>
    <row r="28705" spans="20:20" ht="18.75" customHeight="1" x14ac:dyDescent="0.35">
      <c r="T28705" s="246">
        <f t="shared" si="486"/>
        <v>0</v>
      </c>
    </row>
    <row r="28706" spans="20:20" ht="18.75" customHeight="1" x14ac:dyDescent="0.35">
      <c r="T28706" s="246">
        <f t="shared" si="486"/>
        <v>0</v>
      </c>
    </row>
    <row r="28707" spans="20:20" ht="18.75" customHeight="1" x14ac:dyDescent="0.35">
      <c r="T28707" s="246">
        <f t="shared" si="486"/>
        <v>0</v>
      </c>
    </row>
    <row r="28708" spans="20:20" ht="18.75" customHeight="1" x14ac:dyDescent="0.35">
      <c r="T28708" s="246">
        <f t="shared" si="486"/>
        <v>0</v>
      </c>
    </row>
    <row r="28709" spans="20:20" ht="18.75" customHeight="1" x14ac:dyDescent="0.35">
      <c r="T28709" s="246">
        <f t="shared" si="486"/>
        <v>0</v>
      </c>
    </row>
    <row r="28710" spans="20:20" ht="18.75" customHeight="1" x14ac:dyDescent="0.35">
      <c r="T28710" s="246">
        <f t="shared" si="486"/>
        <v>0</v>
      </c>
    </row>
    <row r="28711" spans="20:20" ht="18.75" customHeight="1" x14ac:dyDescent="0.35">
      <c r="T28711" s="246">
        <f t="shared" si="486"/>
        <v>0</v>
      </c>
    </row>
    <row r="28712" spans="20:20" ht="18.75" customHeight="1" x14ac:dyDescent="0.35">
      <c r="T28712" s="246">
        <f t="shared" si="486"/>
        <v>0</v>
      </c>
    </row>
    <row r="28713" spans="20:20" ht="18.75" customHeight="1" x14ac:dyDescent="0.35">
      <c r="T28713" s="246">
        <f t="shared" si="486"/>
        <v>0</v>
      </c>
    </row>
    <row r="28714" spans="20:20" ht="18.75" customHeight="1" x14ac:dyDescent="0.35">
      <c r="T28714" s="246">
        <f t="shared" si="486"/>
        <v>0</v>
      </c>
    </row>
    <row r="28715" spans="20:20" ht="18.75" customHeight="1" x14ac:dyDescent="0.35">
      <c r="T28715" s="246">
        <f t="shared" si="486"/>
        <v>0</v>
      </c>
    </row>
    <row r="28716" spans="20:20" ht="18.75" customHeight="1" x14ac:dyDescent="0.35">
      <c r="T28716" s="246">
        <f t="shared" si="486"/>
        <v>0</v>
      </c>
    </row>
    <row r="28717" spans="20:20" ht="18.75" customHeight="1" x14ac:dyDescent="0.35">
      <c r="T28717" s="246">
        <f t="shared" si="486"/>
        <v>0</v>
      </c>
    </row>
    <row r="28718" spans="20:20" ht="18.75" customHeight="1" x14ac:dyDescent="0.35">
      <c r="T28718" s="246">
        <f t="shared" si="486"/>
        <v>0</v>
      </c>
    </row>
    <row r="28719" spans="20:20" ht="18.75" customHeight="1" x14ac:dyDescent="0.35">
      <c r="T28719" s="246">
        <f t="shared" si="486"/>
        <v>0</v>
      </c>
    </row>
    <row r="28720" spans="20:20" ht="18.75" customHeight="1" x14ac:dyDescent="0.35">
      <c r="T28720" s="246">
        <f t="shared" si="486"/>
        <v>0</v>
      </c>
    </row>
    <row r="28721" spans="20:20" ht="18.75" customHeight="1" x14ac:dyDescent="0.35">
      <c r="T28721" s="246">
        <f t="shared" si="486"/>
        <v>0</v>
      </c>
    </row>
    <row r="28722" spans="20:20" ht="18.75" customHeight="1" x14ac:dyDescent="0.35">
      <c r="T28722" s="246">
        <f t="shared" si="486"/>
        <v>0</v>
      </c>
    </row>
    <row r="28723" spans="20:20" ht="18.75" customHeight="1" x14ac:dyDescent="0.35">
      <c r="T28723" s="246">
        <f t="shared" si="486"/>
        <v>0</v>
      </c>
    </row>
    <row r="28724" spans="20:20" ht="18.75" customHeight="1" x14ac:dyDescent="0.35">
      <c r="T28724" s="246">
        <f t="shared" si="486"/>
        <v>0</v>
      </c>
    </row>
    <row r="28725" spans="20:20" ht="18.75" customHeight="1" x14ac:dyDescent="0.35">
      <c r="T28725" s="246">
        <f t="shared" si="486"/>
        <v>0</v>
      </c>
    </row>
    <row r="28726" spans="20:20" ht="18.75" customHeight="1" x14ac:dyDescent="0.35">
      <c r="T28726" s="246">
        <f t="shared" si="486"/>
        <v>0</v>
      </c>
    </row>
    <row r="28727" spans="20:20" ht="18.75" customHeight="1" x14ac:dyDescent="0.35">
      <c r="T28727" s="246">
        <f t="shared" si="486"/>
        <v>0</v>
      </c>
    </row>
    <row r="28728" spans="20:20" ht="18.75" customHeight="1" x14ac:dyDescent="0.35">
      <c r="T28728" s="246">
        <f t="shared" si="486"/>
        <v>0</v>
      </c>
    </row>
    <row r="28729" spans="20:20" ht="18.75" customHeight="1" x14ac:dyDescent="0.35">
      <c r="T28729" s="246">
        <f t="shared" si="486"/>
        <v>0</v>
      </c>
    </row>
    <row r="28730" spans="20:20" ht="18.75" customHeight="1" x14ac:dyDescent="0.35">
      <c r="T28730" s="246">
        <f t="shared" si="486"/>
        <v>0</v>
      </c>
    </row>
    <row r="28731" spans="20:20" ht="18.75" customHeight="1" x14ac:dyDescent="0.35">
      <c r="T28731" s="246">
        <f t="shared" si="486"/>
        <v>0</v>
      </c>
    </row>
    <row r="28732" spans="20:20" ht="18.75" customHeight="1" x14ac:dyDescent="0.35">
      <c r="T28732" s="246">
        <f t="shared" ref="T28732:T28795" si="487">R28732*0.01</f>
        <v>0</v>
      </c>
    </row>
    <row r="28733" spans="20:20" ht="18.75" customHeight="1" x14ac:dyDescent="0.35">
      <c r="T28733" s="246">
        <f t="shared" si="487"/>
        <v>0</v>
      </c>
    </row>
    <row r="28734" spans="20:20" ht="18.75" customHeight="1" x14ac:dyDescent="0.35">
      <c r="T28734" s="246">
        <f t="shared" si="487"/>
        <v>0</v>
      </c>
    </row>
    <row r="28735" spans="20:20" ht="18.75" customHeight="1" x14ac:dyDescent="0.35">
      <c r="T28735" s="246">
        <f t="shared" si="487"/>
        <v>0</v>
      </c>
    </row>
    <row r="28736" spans="20:20" ht="18.75" customHeight="1" x14ac:dyDescent="0.35">
      <c r="T28736" s="246">
        <f t="shared" si="487"/>
        <v>0</v>
      </c>
    </row>
    <row r="28737" spans="20:20" ht="18.75" customHeight="1" x14ac:dyDescent="0.35">
      <c r="T28737" s="246">
        <f t="shared" si="487"/>
        <v>0</v>
      </c>
    </row>
    <row r="28738" spans="20:20" ht="18.75" customHeight="1" x14ac:dyDescent="0.35">
      <c r="T28738" s="246">
        <f t="shared" si="487"/>
        <v>0</v>
      </c>
    </row>
    <row r="28739" spans="20:20" ht="18.75" customHeight="1" x14ac:dyDescent="0.35">
      <c r="T28739" s="246">
        <f t="shared" si="487"/>
        <v>0</v>
      </c>
    </row>
    <row r="28740" spans="20:20" ht="18.75" customHeight="1" x14ac:dyDescent="0.35">
      <c r="T28740" s="246">
        <f t="shared" si="487"/>
        <v>0</v>
      </c>
    </row>
    <row r="28741" spans="20:20" ht="18.75" customHeight="1" x14ac:dyDescent="0.35">
      <c r="T28741" s="246">
        <f t="shared" si="487"/>
        <v>0</v>
      </c>
    </row>
    <row r="28742" spans="20:20" ht="18.75" customHeight="1" x14ac:dyDescent="0.35">
      <c r="T28742" s="246">
        <f t="shared" si="487"/>
        <v>0</v>
      </c>
    </row>
    <row r="28743" spans="20:20" ht="18.75" customHeight="1" x14ac:dyDescent="0.35">
      <c r="T28743" s="246">
        <f t="shared" si="487"/>
        <v>0</v>
      </c>
    </row>
    <row r="28744" spans="20:20" ht="18.75" customHeight="1" x14ac:dyDescent="0.35">
      <c r="T28744" s="246">
        <f t="shared" si="487"/>
        <v>0</v>
      </c>
    </row>
    <row r="28745" spans="20:20" ht="18.75" customHeight="1" x14ac:dyDescent="0.35">
      <c r="T28745" s="246">
        <f t="shared" si="487"/>
        <v>0</v>
      </c>
    </row>
    <row r="28746" spans="20:20" ht="18.75" customHeight="1" x14ac:dyDescent="0.35">
      <c r="T28746" s="246">
        <f t="shared" si="487"/>
        <v>0</v>
      </c>
    </row>
    <row r="28747" spans="20:20" ht="18.75" customHeight="1" x14ac:dyDescent="0.35">
      <c r="T28747" s="246">
        <f t="shared" si="487"/>
        <v>0</v>
      </c>
    </row>
    <row r="28748" spans="20:20" ht="18.75" customHeight="1" x14ac:dyDescent="0.35">
      <c r="T28748" s="246">
        <f t="shared" si="487"/>
        <v>0</v>
      </c>
    </row>
    <row r="28749" spans="20:20" ht="18.75" customHeight="1" x14ac:dyDescent="0.35">
      <c r="T28749" s="246">
        <f t="shared" si="487"/>
        <v>0</v>
      </c>
    </row>
    <row r="28750" spans="20:20" ht="18.75" customHeight="1" x14ac:dyDescent="0.35">
      <c r="T28750" s="246">
        <f t="shared" si="487"/>
        <v>0</v>
      </c>
    </row>
    <row r="28751" spans="20:20" ht="18.75" customHeight="1" x14ac:dyDescent="0.35">
      <c r="T28751" s="246">
        <f t="shared" si="487"/>
        <v>0</v>
      </c>
    </row>
    <row r="28752" spans="20:20" ht="18.75" customHeight="1" x14ac:dyDescent="0.35">
      <c r="T28752" s="246">
        <f t="shared" si="487"/>
        <v>0</v>
      </c>
    </row>
    <row r="28753" spans="20:20" ht="18.75" customHeight="1" x14ac:dyDescent="0.35">
      <c r="T28753" s="246">
        <f t="shared" si="487"/>
        <v>0</v>
      </c>
    </row>
    <row r="28754" spans="20:20" ht="18.75" customHeight="1" x14ac:dyDescent="0.35">
      <c r="T28754" s="246">
        <f t="shared" si="487"/>
        <v>0</v>
      </c>
    </row>
    <row r="28755" spans="20:20" ht="18.75" customHeight="1" x14ac:dyDescent="0.35">
      <c r="T28755" s="246">
        <f t="shared" si="487"/>
        <v>0</v>
      </c>
    </row>
    <row r="28756" spans="20:20" ht="18.75" customHeight="1" x14ac:dyDescent="0.35">
      <c r="T28756" s="246">
        <f t="shared" si="487"/>
        <v>0</v>
      </c>
    </row>
    <row r="28757" spans="20:20" ht="18.75" customHeight="1" x14ac:dyDescent="0.35">
      <c r="T28757" s="246">
        <f t="shared" si="487"/>
        <v>0</v>
      </c>
    </row>
    <row r="28758" spans="20:20" ht="18.75" customHeight="1" x14ac:dyDescent="0.35">
      <c r="T28758" s="246">
        <f t="shared" si="487"/>
        <v>0</v>
      </c>
    </row>
    <row r="28759" spans="20:20" ht="18.75" customHeight="1" x14ac:dyDescent="0.35">
      <c r="T28759" s="246">
        <f t="shared" si="487"/>
        <v>0</v>
      </c>
    </row>
    <row r="28760" spans="20:20" ht="18.75" customHeight="1" x14ac:dyDescent="0.35">
      <c r="T28760" s="246">
        <f t="shared" si="487"/>
        <v>0</v>
      </c>
    </row>
    <row r="28761" spans="20:20" ht="18.75" customHeight="1" x14ac:dyDescent="0.35">
      <c r="T28761" s="246">
        <f t="shared" si="487"/>
        <v>0</v>
      </c>
    </row>
    <row r="28762" spans="20:20" ht="18.75" customHeight="1" x14ac:dyDescent="0.35">
      <c r="T28762" s="246">
        <f t="shared" si="487"/>
        <v>0</v>
      </c>
    </row>
    <row r="28763" spans="20:20" ht="18.75" customHeight="1" x14ac:dyDescent="0.35">
      <c r="T28763" s="246">
        <f t="shared" si="487"/>
        <v>0</v>
      </c>
    </row>
    <row r="28764" spans="20:20" ht="18.75" customHeight="1" x14ac:dyDescent="0.35">
      <c r="T28764" s="246">
        <f t="shared" si="487"/>
        <v>0</v>
      </c>
    </row>
    <row r="28765" spans="20:20" ht="18.75" customHeight="1" x14ac:dyDescent="0.35">
      <c r="T28765" s="246">
        <f t="shared" si="487"/>
        <v>0</v>
      </c>
    </row>
    <row r="28766" spans="20:20" ht="18.75" customHeight="1" x14ac:dyDescent="0.35">
      <c r="T28766" s="246">
        <f t="shared" si="487"/>
        <v>0</v>
      </c>
    </row>
    <row r="28767" spans="20:20" ht="18.75" customHeight="1" x14ac:dyDescent="0.35">
      <c r="T28767" s="246">
        <f t="shared" si="487"/>
        <v>0</v>
      </c>
    </row>
    <row r="28768" spans="20:20" ht="18.75" customHeight="1" x14ac:dyDescent="0.35">
      <c r="T28768" s="246">
        <f t="shared" si="487"/>
        <v>0</v>
      </c>
    </row>
    <row r="28769" spans="20:20" ht="18.75" customHeight="1" x14ac:dyDescent="0.35">
      <c r="T28769" s="246">
        <f t="shared" si="487"/>
        <v>0</v>
      </c>
    </row>
    <row r="28770" spans="20:20" ht="18.75" customHeight="1" x14ac:dyDescent="0.35">
      <c r="T28770" s="246">
        <f t="shared" si="487"/>
        <v>0</v>
      </c>
    </row>
    <row r="28771" spans="20:20" ht="18.75" customHeight="1" x14ac:dyDescent="0.35">
      <c r="T28771" s="246">
        <f t="shared" si="487"/>
        <v>0</v>
      </c>
    </row>
    <row r="28772" spans="20:20" ht="18.75" customHeight="1" x14ac:dyDescent="0.35">
      <c r="T28772" s="246">
        <f t="shared" si="487"/>
        <v>0</v>
      </c>
    </row>
    <row r="28773" spans="20:20" ht="18.75" customHeight="1" x14ac:dyDescent="0.35">
      <c r="T28773" s="246">
        <f t="shared" si="487"/>
        <v>0</v>
      </c>
    </row>
    <row r="28774" spans="20:20" ht="18.75" customHeight="1" x14ac:dyDescent="0.35">
      <c r="T28774" s="246">
        <f t="shared" si="487"/>
        <v>0</v>
      </c>
    </row>
    <row r="28775" spans="20:20" ht="18.75" customHeight="1" x14ac:dyDescent="0.35">
      <c r="T28775" s="246">
        <f t="shared" si="487"/>
        <v>0</v>
      </c>
    </row>
    <row r="28776" spans="20:20" ht="18.75" customHeight="1" x14ac:dyDescent="0.35">
      <c r="T28776" s="246">
        <f t="shared" si="487"/>
        <v>0</v>
      </c>
    </row>
    <row r="28777" spans="20:20" ht="18.75" customHeight="1" x14ac:dyDescent="0.35">
      <c r="T28777" s="246">
        <f t="shared" si="487"/>
        <v>0</v>
      </c>
    </row>
    <row r="28778" spans="20:20" ht="18.75" customHeight="1" x14ac:dyDescent="0.35">
      <c r="T28778" s="246">
        <f t="shared" si="487"/>
        <v>0</v>
      </c>
    </row>
    <row r="28779" spans="20:20" ht="18.75" customHeight="1" x14ac:dyDescent="0.35">
      <c r="T28779" s="246">
        <f t="shared" si="487"/>
        <v>0</v>
      </c>
    </row>
    <row r="28780" spans="20:20" ht="18.75" customHeight="1" x14ac:dyDescent="0.35">
      <c r="T28780" s="246">
        <f t="shared" si="487"/>
        <v>0</v>
      </c>
    </row>
    <row r="28781" spans="20:20" ht="18.75" customHeight="1" x14ac:dyDescent="0.35">
      <c r="T28781" s="246">
        <f t="shared" si="487"/>
        <v>0</v>
      </c>
    </row>
    <row r="28782" spans="20:20" ht="18.75" customHeight="1" x14ac:dyDescent="0.35">
      <c r="T28782" s="246">
        <f t="shared" si="487"/>
        <v>0</v>
      </c>
    </row>
    <row r="28783" spans="20:20" ht="18.75" customHeight="1" x14ac:dyDescent="0.35">
      <c r="T28783" s="246">
        <f t="shared" si="487"/>
        <v>0</v>
      </c>
    </row>
    <row r="28784" spans="20:20" ht="18.75" customHeight="1" x14ac:dyDescent="0.35">
      <c r="T28784" s="246">
        <f t="shared" si="487"/>
        <v>0</v>
      </c>
    </row>
    <row r="28785" spans="20:20" ht="18.75" customHeight="1" x14ac:dyDescent="0.35">
      <c r="T28785" s="246">
        <f t="shared" si="487"/>
        <v>0</v>
      </c>
    </row>
    <row r="28786" spans="20:20" ht="18.75" customHeight="1" x14ac:dyDescent="0.35">
      <c r="T28786" s="246">
        <f t="shared" si="487"/>
        <v>0</v>
      </c>
    </row>
    <row r="28787" spans="20:20" ht="18.75" customHeight="1" x14ac:dyDescent="0.35">
      <c r="T28787" s="246">
        <f t="shared" si="487"/>
        <v>0</v>
      </c>
    </row>
    <row r="28788" spans="20:20" ht="18.75" customHeight="1" x14ac:dyDescent="0.35">
      <c r="T28788" s="246">
        <f t="shared" si="487"/>
        <v>0</v>
      </c>
    </row>
    <row r="28789" spans="20:20" ht="18.75" customHeight="1" x14ac:dyDescent="0.35">
      <c r="T28789" s="246">
        <f t="shared" si="487"/>
        <v>0</v>
      </c>
    </row>
    <row r="28790" spans="20:20" ht="18.75" customHeight="1" x14ac:dyDescent="0.35">
      <c r="T28790" s="246">
        <f t="shared" si="487"/>
        <v>0</v>
      </c>
    </row>
    <row r="28791" spans="20:20" ht="18.75" customHeight="1" x14ac:dyDescent="0.35">
      <c r="T28791" s="246">
        <f t="shared" si="487"/>
        <v>0</v>
      </c>
    </row>
    <row r="28792" spans="20:20" ht="18.75" customHeight="1" x14ac:dyDescent="0.35">
      <c r="T28792" s="246">
        <f t="shared" si="487"/>
        <v>0</v>
      </c>
    </row>
    <row r="28793" spans="20:20" ht="18.75" customHeight="1" x14ac:dyDescent="0.35">
      <c r="T28793" s="246">
        <f t="shared" si="487"/>
        <v>0</v>
      </c>
    </row>
    <row r="28794" spans="20:20" ht="18.75" customHeight="1" x14ac:dyDescent="0.35">
      <c r="T28794" s="246">
        <f t="shared" si="487"/>
        <v>0</v>
      </c>
    </row>
    <row r="28795" spans="20:20" ht="18.75" customHeight="1" x14ac:dyDescent="0.35">
      <c r="T28795" s="246">
        <f t="shared" si="487"/>
        <v>0</v>
      </c>
    </row>
    <row r="28796" spans="20:20" ht="18.75" customHeight="1" x14ac:dyDescent="0.35">
      <c r="T28796" s="246">
        <f t="shared" ref="T28796:T28859" si="488">R28796*0.01</f>
        <v>0</v>
      </c>
    </row>
    <row r="28797" spans="20:20" ht="18.75" customHeight="1" x14ac:dyDescent="0.35">
      <c r="T28797" s="246">
        <f t="shared" si="488"/>
        <v>0</v>
      </c>
    </row>
    <row r="28798" spans="20:20" ht="18.75" customHeight="1" x14ac:dyDescent="0.35">
      <c r="T28798" s="246">
        <f t="shared" si="488"/>
        <v>0</v>
      </c>
    </row>
    <row r="28799" spans="20:20" ht="18.75" customHeight="1" x14ac:dyDescent="0.35">
      <c r="T28799" s="246">
        <f t="shared" si="488"/>
        <v>0</v>
      </c>
    </row>
    <row r="28800" spans="20:20" ht="18.75" customHeight="1" x14ac:dyDescent="0.35">
      <c r="T28800" s="246">
        <f t="shared" si="488"/>
        <v>0</v>
      </c>
    </row>
    <row r="28801" spans="20:20" ht="18.75" customHeight="1" x14ac:dyDescent="0.35">
      <c r="T28801" s="246">
        <f t="shared" si="488"/>
        <v>0</v>
      </c>
    </row>
    <row r="28802" spans="20:20" ht="18.75" customHeight="1" x14ac:dyDescent="0.35">
      <c r="T28802" s="246">
        <f t="shared" si="488"/>
        <v>0</v>
      </c>
    </row>
    <row r="28803" spans="20:20" ht="18.75" customHeight="1" x14ac:dyDescent="0.35">
      <c r="T28803" s="246">
        <f t="shared" si="488"/>
        <v>0</v>
      </c>
    </row>
    <row r="28804" spans="20:20" ht="18.75" customHeight="1" x14ac:dyDescent="0.35">
      <c r="T28804" s="246">
        <f t="shared" si="488"/>
        <v>0</v>
      </c>
    </row>
    <row r="28805" spans="20:20" ht="18.75" customHeight="1" x14ac:dyDescent="0.35">
      <c r="T28805" s="246">
        <f t="shared" si="488"/>
        <v>0</v>
      </c>
    </row>
    <row r="28806" spans="20:20" ht="18.75" customHeight="1" x14ac:dyDescent="0.35">
      <c r="T28806" s="246">
        <f t="shared" si="488"/>
        <v>0</v>
      </c>
    </row>
    <row r="28807" spans="20:20" ht="18.75" customHeight="1" x14ac:dyDescent="0.35">
      <c r="T28807" s="246">
        <f t="shared" si="488"/>
        <v>0</v>
      </c>
    </row>
    <row r="28808" spans="20:20" ht="18.75" customHeight="1" x14ac:dyDescent="0.35">
      <c r="T28808" s="246">
        <f t="shared" si="488"/>
        <v>0</v>
      </c>
    </row>
    <row r="28809" spans="20:20" ht="18.75" customHeight="1" x14ac:dyDescent="0.35">
      <c r="T28809" s="246">
        <f t="shared" si="488"/>
        <v>0</v>
      </c>
    </row>
    <row r="28810" spans="20:20" ht="18.75" customHeight="1" x14ac:dyDescent="0.35">
      <c r="T28810" s="246">
        <f t="shared" si="488"/>
        <v>0</v>
      </c>
    </row>
    <row r="28811" spans="20:20" ht="18.75" customHeight="1" x14ac:dyDescent="0.35">
      <c r="T28811" s="246">
        <f t="shared" si="488"/>
        <v>0</v>
      </c>
    </row>
    <row r="28812" spans="20:20" ht="18.75" customHeight="1" x14ac:dyDescent="0.35">
      <c r="T28812" s="246">
        <f t="shared" si="488"/>
        <v>0</v>
      </c>
    </row>
    <row r="28813" spans="20:20" ht="18.75" customHeight="1" x14ac:dyDescent="0.35">
      <c r="T28813" s="246">
        <f t="shared" si="488"/>
        <v>0</v>
      </c>
    </row>
    <row r="28814" spans="20:20" ht="18.75" customHeight="1" x14ac:dyDescent="0.35">
      <c r="T28814" s="246">
        <f t="shared" si="488"/>
        <v>0</v>
      </c>
    </row>
    <row r="28815" spans="20:20" ht="18.75" customHeight="1" x14ac:dyDescent="0.35">
      <c r="T28815" s="246">
        <f t="shared" si="488"/>
        <v>0</v>
      </c>
    </row>
    <row r="28816" spans="20:20" ht="18.75" customHeight="1" x14ac:dyDescent="0.35">
      <c r="T28816" s="246">
        <f t="shared" si="488"/>
        <v>0</v>
      </c>
    </row>
    <row r="28817" spans="20:20" ht="18.75" customHeight="1" x14ac:dyDescent="0.35">
      <c r="T28817" s="246">
        <f t="shared" si="488"/>
        <v>0</v>
      </c>
    </row>
    <row r="28818" spans="20:20" ht="18.75" customHeight="1" x14ac:dyDescent="0.35">
      <c r="T28818" s="246">
        <f t="shared" si="488"/>
        <v>0</v>
      </c>
    </row>
    <row r="28819" spans="20:20" ht="18.75" customHeight="1" x14ac:dyDescent="0.35">
      <c r="T28819" s="246">
        <f t="shared" si="488"/>
        <v>0</v>
      </c>
    </row>
    <row r="28820" spans="20:20" ht="18.75" customHeight="1" x14ac:dyDescent="0.35">
      <c r="T28820" s="246">
        <f t="shared" si="488"/>
        <v>0</v>
      </c>
    </row>
    <row r="28821" spans="20:20" ht="18.75" customHeight="1" x14ac:dyDescent="0.35">
      <c r="T28821" s="246">
        <f t="shared" si="488"/>
        <v>0</v>
      </c>
    </row>
    <row r="28822" spans="20:20" ht="18.75" customHeight="1" x14ac:dyDescent="0.35">
      <c r="T28822" s="246">
        <f t="shared" si="488"/>
        <v>0</v>
      </c>
    </row>
    <row r="28823" spans="20:20" ht="18.75" customHeight="1" x14ac:dyDescent="0.35">
      <c r="T28823" s="246">
        <f t="shared" si="488"/>
        <v>0</v>
      </c>
    </row>
    <row r="28824" spans="20:20" ht="18.75" customHeight="1" x14ac:dyDescent="0.35">
      <c r="T28824" s="246">
        <f t="shared" si="488"/>
        <v>0</v>
      </c>
    </row>
    <row r="28825" spans="20:20" ht="18.75" customHeight="1" x14ac:dyDescent="0.35">
      <c r="T28825" s="246">
        <f t="shared" si="488"/>
        <v>0</v>
      </c>
    </row>
    <row r="28826" spans="20:20" ht="18.75" customHeight="1" x14ac:dyDescent="0.35">
      <c r="T28826" s="246">
        <f t="shared" si="488"/>
        <v>0</v>
      </c>
    </row>
    <row r="28827" spans="20:20" ht="18.75" customHeight="1" x14ac:dyDescent="0.35">
      <c r="T28827" s="246">
        <f t="shared" si="488"/>
        <v>0</v>
      </c>
    </row>
    <row r="28828" spans="20:20" ht="18.75" customHeight="1" x14ac:dyDescent="0.35">
      <c r="T28828" s="246">
        <f t="shared" si="488"/>
        <v>0</v>
      </c>
    </row>
    <row r="28829" spans="20:20" ht="18.75" customHeight="1" x14ac:dyDescent="0.35">
      <c r="T28829" s="246">
        <f t="shared" si="488"/>
        <v>0</v>
      </c>
    </row>
    <row r="28830" spans="20:20" ht="18.75" customHeight="1" x14ac:dyDescent="0.35">
      <c r="T28830" s="246">
        <f t="shared" si="488"/>
        <v>0</v>
      </c>
    </row>
    <row r="28831" spans="20:20" ht="18.75" customHeight="1" x14ac:dyDescent="0.35">
      <c r="T28831" s="246">
        <f t="shared" si="488"/>
        <v>0</v>
      </c>
    </row>
    <row r="28832" spans="20:20" ht="18.75" customHeight="1" x14ac:dyDescent="0.35">
      <c r="T28832" s="246">
        <f t="shared" si="488"/>
        <v>0</v>
      </c>
    </row>
    <row r="28833" spans="20:20" ht="18.75" customHeight="1" x14ac:dyDescent="0.35">
      <c r="T28833" s="246">
        <f t="shared" si="488"/>
        <v>0</v>
      </c>
    </row>
    <row r="28834" spans="20:20" ht="18.75" customHeight="1" x14ac:dyDescent="0.35">
      <c r="T28834" s="246">
        <f t="shared" si="488"/>
        <v>0</v>
      </c>
    </row>
    <row r="28835" spans="20:20" ht="18.75" customHeight="1" x14ac:dyDescent="0.35">
      <c r="T28835" s="246">
        <f t="shared" si="488"/>
        <v>0</v>
      </c>
    </row>
    <row r="28836" spans="20:20" ht="18.75" customHeight="1" x14ac:dyDescent="0.35">
      <c r="T28836" s="246">
        <f t="shared" si="488"/>
        <v>0</v>
      </c>
    </row>
    <row r="28837" spans="20:20" ht="18.75" customHeight="1" x14ac:dyDescent="0.35">
      <c r="T28837" s="246">
        <f t="shared" si="488"/>
        <v>0</v>
      </c>
    </row>
    <row r="28838" spans="20:20" ht="18.75" customHeight="1" x14ac:dyDescent="0.35">
      <c r="T28838" s="246">
        <f t="shared" si="488"/>
        <v>0</v>
      </c>
    </row>
    <row r="28839" spans="20:20" ht="18.75" customHeight="1" x14ac:dyDescent="0.35">
      <c r="T28839" s="246">
        <f t="shared" si="488"/>
        <v>0</v>
      </c>
    </row>
    <row r="28840" spans="20:20" ht="18.75" customHeight="1" x14ac:dyDescent="0.35">
      <c r="T28840" s="246">
        <f t="shared" si="488"/>
        <v>0</v>
      </c>
    </row>
    <row r="28841" spans="20:20" ht="18.75" customHeight="1" x14ac:dyDescent="0.35">
      <c r="T28841" s="246">
        <f t="shared" si="488"/>
        <v>0</v>
      </c>
    </row>
    <row r="28842" spans="20:20" ht="18.75" customHeight="1" x14ac:dyDescent="0.35">
      <c r="T28842" s="246">
        <f t="shared" si="488"/>
        <v>0</v>
      </c>
    </row>
    <row r="28843" spans="20:20" ht="18.75" customHeight="1" x14ac:dyDescent="0.35">
      <c r="T28843" s="246">
        <f t="shared" si="488"/>
        <v>0</v>
      </c>
    </row>
    <row r="28844" spans="20:20" ht="18.75" customHeight="1" x14ac:dyDescent="0.35">
      <c r="T28844" s="246">
        <f t="shared" si="488"/>
        <v>0</v>
      </c>
    </row>
    <row r="28845" spans="20:20" ht="18.75" customHeight="1" x14ac:dyDescent="0.35">
      <c r="T28845" s="246">
        <f t="shared" si="488"/>
        <v>0</v>
      </c>
    </row>
    <row r="28846" spans="20:20" ht="18.75" customHeight="1" x14ac:dyDescent="0.35">
      <c r="T28846" s="246">
        <f t="shared" si="488"/>
        <v>0</v>
      </c>
    </row>
    <row r="28847" spans="20:20" ht="18.75" customHeight="1" x14ac:dyDescent="0.35">
      <c r="T28847" s="246">
        <f t="shared" si="488"/>
        <v>0</v>
      </c>
    </row>
    <row r="28848" spans="20:20" ht="18.75" customHeight="1" x14ac:dyDescent="0.35">
      <c r="T28848" s="246">
        <f t="shared" si="488"/>
        <v>0</v>
      </c>
    </row>
    <row r="28849" spans="20:20" ht="18.75" customHeight="1" x14ac:dyDescent="0.35">
      <c r="T28849" s="246">
        <f t="shared" si="488"/>
        <v>0</v>
      </c>
    </row>
    <row r="28850" spans="20:20" ht="18.75" customHeight="1" x14ac:dyDescent="0.35">
      <c r="T28850" s="246">
        <f t="shared" si="488"/>
        <v>0</v>
      </c>
    </row>
    <row r="28851" spans="20:20" ht="18.75" customHeight="1" x14ac:dyDescent="0.35">
      <c r="T28851" s="246">
        <f t="shared" si="488"/>
        <v>0</v>
      </c>
    </row>
    <row r="28852" spans="20:20" ht="18.75" customHeight="1" x14ac:dyDescent="0.35">
      <c r="T28852" s="246">
        <f t="shared" si="488"/>
        <v>0</v>
      </c>
    </row>
    <row r="28853" spans="20:20" ht="18.75" customHeight="1" x14ac:dyDescent="0.35">
      <c r="T28853" s="246">
        <f t="shared" si="488"/>
        <v>0</v>
      </c>
    </row>
    <row r="28854" spans="20:20" ht="18.75" customHeight="1" x14ac:dyDescent="0.35">
      <c r="T28854" s="246">
        <f t="shared" si="488"/>
        <v>0</v>
      </c>
    </row>
    <row r="28855" spans="20:20" ht="18.75" customHeight="1" x14ac:dyDescent="0.35">
      <c r="T28855" s="246">
        <f t="shared" si="488"/>
        <v>0</v>
      </c>
    </row>
    <row r="28856" spans="20:20" ht="18.75" customHeight="1" x14ac:dyDescent="0.35">
      <c r="T28856" s="246">
        <f t="shared" si="488"/>
        <v>0</v>
      </c>
    </row>
    <row r="28857" spans="20:20" ht="18.75" customHeight="1" x14ac:dyDescent="0.35">
      <c r="T28857" s="246">
        <f t="shared" si="488"/>
        <v>0</v>
      </c>
    </row>
    <row r="28858" spans="20:20" ht="18.75" customHeight="1" x14ac:dyDescent="0.35">
      <c r="T28858" s="246">
        <f t="shared" si="488"/>
        <v>0</v>
      </c>
    </row>
    <row r="28859" spans="20:20" ht="18.75" customHeight="1" x14ac:dyDescent="0.35">
      <c r="T28859" s="246">
        <f t="shared" si="488"/>
        <v>0</v>
      </c>
    </row>
    <row r="28860" spans="20:20" ht="18.75" customHeight="1" x14ac:dyDescent="0.35">
      <c r="T28860" s="246">
        <f t="shared" ref="T28860:T28923" si="489">R28860*0.01</f>
        <v>0</v>
      </c>
    </row>
    <row r="28861" spans="20:20" ht="18.75" customHeight="1" x14ac:dyDescent="0.35">
      <c r="T28861" s="246">
        <f t="shared" si="489"/>
        <v>0</v>
      </c>
    </row>
    <row r="28862" spans="20:20" ht="18.75" customHeight="1" x14ac:dyDescent="0.35">
      <c r="T28862" s="246">
        <f t="shared" si="489"/>
        <v>0</v>
      </c>
    </row>
    <row r="28863" spans="20:20" ht="18.75" customHeight="1" x14ac:dyDescent="0.35">
      <c r="T28863" s="246">
        <f t="shared" si="489"/>
        <v>0</v>
      </c>
    </row>
    <row r="28864" spans="20:20" ht="18.75" customHeight="1" x14ac:dyDescent="0.35">
      <c r="T28864" s="246">
        <f t="shared" si="489"/>
        <v>0</v>
      </c>
    </row>
    <row r="28865" spans="20:20" ht="18.75" customHeight="1" x14ac:dyDescent="0.35">
      <c r="T28865" s="246">
        <f t="shared" si="489"/>
        <v>0</v>
      </c>
    </row>
    <row r="28866" spans="20:20" ht="18.75" customHeight="1" x14ac:dyDescent="0.35">
      <c r="T28866" s="246">
        <f t="shared" si="489"/>
        <v>0</v>
      </c>
    </row>
    <row r="28867" spans="20:20" ht="18.75" customHeight="1" x14ac:dyDescent="0.35">
      <c r="T28867" s="246">
        <f t="shared" si="489"/>
        <v>0</v>
      </c>
    </row>
    <row r="28868" spans="20:20" ht="18.75" customHeight="1" x14ac:dyDescent="0.35">
      <c r="T28868" s="246">
        <f t="shared" si="489"/>
        <v>0</v>
      </c>
    </row>
    <row r="28869" spans="20:20" ht="18.75" customHeight="1" x14ac:dyDescent="0.35">
      <c r="T28869" s="246">
        <f t="shared" si="489"/>
        <v>0</v>
      </c>
    </row>
    <row r="28870" spans="20:20" ht="18.75" customHeight="1" x14ac:dyDescent="0.35">
      <c r="T28870" s="246">
        <f t="shared" si="489"/>
        <v>0</v>
      </c>
    </row>
    <row r="28871" spans="20:20" ht="18.75" customHeight="1" x14ac:dyDescent="0.35">
      <c r="T28871" s="246">
        <f t="shared" si="489"/>
        <v>0</v>
      </c>
    </row>
    <row r="28872" spans="20:20" ht="18.75" customHeight="1" x14ac:dyDescent="0.35">
      <c r="T28872" s="246">
        <f t="shared" si="489"/>
        <v>0</v>
      </c>
    </row>
    <row r="28873" spans="20:20" ht="18.75" customHeight="1" x14ac:dyDescent="0.35">
      <c r="T28873" s="246">
        <f t="shared" si="489"/>
        <v>0</v>
      </c>
    </row>
    <row r="28874" spans="20:20" ht="18.75" customHeight="1" x14ac:dyDescent="0.35">
      <c r="T28874" s="246">
        <f t="shared" si="489"/>
        <v>0</v>
      </c>
    </row>
    <row r="28875" spans="20:20" ht="18.75" customHeight="1" x14ac:dyDescent="0.35">
      <c r="T28875" s="246">
        <f t="shared" si="489"/>
        <v>0</v>
      </c>
    </row>
    <row r="28876" spans="20:20" ht="18.75" customHeight="1" x14ac:dyDescent="0.35">
      <c r="T28876" s="246">
        <f t="shared" si="489"/>
        <v>0</v>
      </c>
    </row>
    <row r="28877" spans="20:20" ht="18.75" customHeight="1" x14ac:dyDescent="0.35">
      <c r="T28877" s="246">
        <f t="shared" si="489"/>
        <v>0</v>
      </c>
    </row>
    <row r="28878" spans="20:20" ht="18.75" customHeight="1" x14ac:dyDescent="0.35">
      <c r="T28878" s="246">
        <f t="shared" si="489"/>
        <v>0</v>
      </c>
    </row>
    <row r="28879" spans="20:20" ht="18.75" customHeight="1" x14ac:dyDescent="0.35">
      <c r="T28879" s="246">
        <f t="shared" si="489"/>
        <v>0</v>
      </c>
    </row>
    <row r="28880" spans="20:20" ht="18.75" customHeight="1" x14ac:dyDescent="0.35">
      <c r="T28880" s="246">
        <f t="shared" si="489"/>
        <v>0</v>
      </c>
    </row>
    <row r="28881" spans="20:20" ht="18.75" customHeight="1" x14ac:dyDescent="0.35">
      <c r="T28881" s="246">
        <f t="shared" si="489"/>
        <v>0</v>
      </c>
    </row>
    <row r="28882" spans="20:20" ht="18.75" customHeight="1" x14ac:dyDescent="0.35">
      <c r="T28882" s="246">
        <f t="shared" si="489"/>
        <v>0</v>
      </c>
    </row>
    <row r="28883" spans="20:20" ht="18.75" customHeight="1" x14ac:dyDescent="0.35">
      <c r="T28883" s="246">
        <f t="shared" si="489"/>
        <v>0</v>
      </c>
    </row>
    <row r="28884" spans="20:20" ht="18.75" customHeight="1" x14ac:dyDescent="0.35">
      <c r="T28884" s="246">
        <f t="shared" si="489"/>
        <v>0</v>
      </c>
    </row>
    <row r="28885" spans="20:20" ht="18.75" customHeight="1" x14ac:dyDescent="0.35">
      <c r="T28885" s="246">
        <f t="shared" si="489"/>
        <v>0</v>
      </c>
    </row>
    <row r="28886" spans="20:20" ht="18.75" customHeight="1" x14ac:dyDescent="0.35">
      <c r="T28886" s="246">
        <f t="shared" si="489"/>
        <v>0</v>
      </c>
    </row>
    <row r="28887" spans="20:20" ht="18.75" customHeight="1" x14ac:dyDescent="0.35">
      <c r="T28887" s="246">
        <f t="shared" si="489"/>
        <v>0</v>
      </c>
    </row>
    <row r="28888" spans="20:20" ht="18.75" customHeight="1" x14ac:dyDescent="0.35">
      <c r="T28888" s="246">
        <f t="shared" si="489"/>
        <v>0</v>
      </c>
    </row>
    <row r="28889" spans="20:20" ht="18.75" customHeight="1" x14ac:dyDescent="0.35">
      <c r="T28889" s="246">
        <f t="shared" si="489"/>
        <v>0</v>
      </c>
    </row>
    <row r="28890" spans="20:20" ht="18.75" customHeight="1" x14ac:dyDescent="0.35">
      <c r="T28890" s="246">
        <f t="shared" si="489"/>
        <v>0</v>
      </c>
    </row>
    <row r="28891" spans="20:20" ht="18.75" customHeight="1" x14ac:dyDescent="0.35">
      <c r="T28891" s="246">
        <f t="shared" si="489"/>
        <v>0</v>
      </c>
    </row>
    <row r="28892" spans="20:20" ht="18.75" customHeight="1" x14ac:dyDescent="0.35">
      <c r="T28892" s="246">
        <f t="shared" si="489"/>
        <v>0</v>
      </c>
    </row>
    <row r="28893" spans="20:20" ht="18.75" customHeight="1" x14ac:dyDescent="0.35">
      <c r="T28893" s="246">
        <f t="shared" si="489"/>
        <v>0</v>
      </c>
    </row>
    <row r="28894" spans="20:20" ht="18.75" customHeight="1" x14ac:dyDescent="0.35">
      <c r="T28894" s="246">
        <f t="shared" si="489"/>
        <v>0</v>
      </c>
    </row>
    <row r="28895" spans="20:20" ht="18.75" customHeight="1" x14ac:dyDescent="0.35">
      <c r="T28895" s="246">
        <f t="shared" si="489"/>
        <v>0</v>
      </c>
    </row>
    <row r="28896" spans="20:20" ht="18.75" customHeight="1" x14ac:dyDescent="0.35">
      <c r="T28896" s="246">
        <f t="shared" si="489"/>
        <v>0</v>
      </c>
    </row>
    <row r="28897" spans="20:20" ht="18.75" customHeight="1" x14ac:dyDescent="0.35">
      <c r="T28897" s="246">
        <f t="shared" si="489"/>
        <v>0</v>
      </c>
    </row>
    <row r="28898" spans="20:20" ht="18.75" customHeight="1" x14ac:dyDescent="0.35">
      <c r="T28898" s="246">
        <f t="shared" si="489"/>
        <v>0</v>
      </c>
    </row>
    <row r="28899" spans="20:20" ht="18.75" customHeight="1" x14ac:dyDescent="0.35">
      <c r="T28899" s="246">
        <f t="shared" si="489"/>
        <v>0</v>
      </c>
    </row>
    <row r="28900" spans="20:20" ht="18.75" customHeight="1" x14ac:dyDescent="0.35">
      <c r="T28900" s="246">
        <f t="shared" si="489"/>
        <v>0</v>
      </c>
    </row>
    <row r="28901" spans="20:20" ht="18.75" customHeight="1" x14ac:dyDescent="0.35">
      <c r="T28901" s="246">
        <f t="shared" si="489"/>
        <v>0</v>
      </c>
    </row>
    <row r="28902" spans="20:20" ht="18.75" customHeight="1" x14ac:dyDescent="0.35">
      <c r="T28902" s="246">
        <f t="shared" si="489"/>
        <v>0</v>
      </c>
    </row>
    <row r="28903" spans="20:20" ht="18.75" customHeight="1" x14ac:dyDescent="0.35">
      <c r="T28903" s="246">
        <f t="shared" si="489"/>
        <v>0</v>
      </c>
    </row>
    <row r="28904" spans="20:20" ht="18.75" customHeight="1" x14ac:dyDescent="0.35">
      <c r="T28904" s="246">
        <f t="shared" si="489"/>
        <v>0</v>
      </c>
    </row>
    <row r="28905" spans="20:20" ht="18.75" customHeight="1" x14ac:dyDescent="0.35">
      <c r="T28905" s="246">
        <f t="shared" si="489"/>
        <v>0</v>
      </c>
    </row>
    <row r="28906" spans="20:20" ht="18.75" customHeight="1" x14ac:dyDescent="0.35">
      <c r="T28906" s="246">
        <f t="shared" si="489"/>
        <v>0</v>
      </c>
    </row>
    <row r="28907" spans="20:20" ht="18.75" customHeight="1" x14ac:dyDescent="0.35">
      <c r="T28907" s="246">
        <f t="shared" si="489"/>
        <v>0</v>
      </c>
    </row>
    <row r="28908" spans="20:20" ht="18.75" customHeight="1" x14ac:dyDescent="0.35">
      <c r="T28908" s="246">
        <f t="shared" si="489"/>
        <v>0</v>
      </c>
    </row>
    <row r="28909" spans="20:20" ht="18.75" customHeight="1" x14ac:dyDescent="0.35">
      <c r="T28909" s="246">
        <f t="shared" si="489"/>
        <v>0</v>
      </c>
    </row>
    <row r="28910" spans="20:20" ht="18.75" customHeight="1" x14ac:dyDescent="0.35">
      <c r="T28910" s="246">
        <f t="shared" si="489"/>
        <v>0</v>
      </c>
    </row>
    <row r="28911" spans="20:20" ht="18.75" customHeight="1" x14ac:dyDescent="0.35">
      <c r="T28911" s="246">
        <f t="shared" si="489"/>
        <v>0</v>
      </c>
    </row>
    <row r="28912" spans="20:20" ht="18.75" customHeight="1" x14ac:dyDescent="0.35">
      <c r="T28912" s="246">
        <f t="shared" si="489"/>
        <v>0</v>
      </c>
    </row>
    <row r="28913" spans="20:20" ht="18.75" customHeight="1" x14ac:dyDescent="0.35">
      <c r="T28913" s="246">
        <f t="shared" si="489"/>
        <v>0</v>
      </c>
    </row>
    <row r="28914" spans="20:20" ht="18.75" customHeight="1" x14ac:dyDescent="0.35">
      <c r="T28914" s="246">
        <f t="shared" si="489"/>
        <v>0</v>
      </c>
    </row>
    <row r="28915" spans="20:20" ht="18.75" customHeight="1" x14ac:dyDescent="0.35">
      <c r="T28915" s="246">
        <f t="shared" si="489"/>
        <v>0</v>
      </c>
    </row>
    <row r="28916" spans="20:20" ht="18.75" customHeight="1" x14ac:dyDescent="0.35">
      <c r="T28916" s="246">
        <f t="shared" si="489"/>
        <v>0</v>
      </c>
    </row>
    <row r="28917" spans="20:20" ht="18.75" customHeight="1" x14ac:dyDescent="0.35">
      <c r="T28917" s="246">
        <f t="shared" si="489"/>
        <v>0</v>
      </c>
    </row>
    <row r="28918" spans="20:20" ht="18.75" customHeight="1" x14ac:dyDescent="0.35">
      <c r="T28918" s="246">
        <f t="shared" si="489"/>
        <v>0</v>
      </c>
    </row>
    <row r="28919" spans="20:20" ht="18.75" customHeight="1" x14ac:dyDescent="0.35">
      <c r="T28919" s="246">
        <f t="shared" si="489"/>
        <v>0</v>
      </c>
    </row>
    <row r="28920" spans="20:20" ht="18.75" customHeight="1" x14ac:dyDescent="0.35">
      <c r="T28920" s="246">
        <f t="shared" si="489"/>
        <v>0</v>
      </c>
    </row>
    <row r="28921" spans="20:20" ht="18.75" customHeight="1" x14ac:dyDescent="0.35">
      <c r="T28921" s="246">
        <f t="shared" si="489"/>
        <v>0</v>
      </c>
    </row>
    <row r="28922" spans="20:20" ht="18.75" customHeight="1" x14ac:dyDescent="0.35">
      <c r="T28922" s="246">
        <f t="shared" si="489"/>
        <v>0</v>
      </c>
    </row>
    <row r="28923" spans="20:20" ht="18.75" customHeight="1" x14ac:dyDescent="0.35">
      <c r="T28923" s="246">
        <f t="shared" si="489"/>
        <v>0</v>
      </c>
    </row>
    <row r="28924" spans="20:20" ht="18.75" customHeight="1" x14ac:dyDescent="0.35">
      <c r="T28924" s="246">
        <f t="shared" ref="T28924:T28987" si="490">R28924*0.01</f>
        <v>0</v>
      </c>
    </row>
    <row r="28925" spans="20:20" ht="18.75" customHeight="1" x14ac:dyDescent="0.35">
      <c r="T28925" s="246">
        <f t="shared" si="490"/>
        <v>0</v>
      </c>
    </row>
    <row r="28926" spans="20:20" ht="18.75" customHeight="1" x14ac:dyDescent="0.35">
      <c r="T28926" s="246">
        <f t="shared" si="490"/>
        <v>0</v>
      </c>
    </row>
    <row r="28927" spans="20:20" ht="18.75" customHeight="1" x14ac:dyDescent="0.35">
      <c r="T28927" s="246">
        <f t="shared" si="490"/>
        <v>0</v>
      </c>
    </row>
    <row r="28928" spans="20:20" ht="18.75" customHeight="1" x14ac:dyDescent="0.35">
      <c r="T28928" s="246">
        <f t="shared" si="490"/>
        <v>0</v>
      </c>
    </row>
    <row r="28929" spans="20:20" ht="18.75" customHeight="1" x14ac:dyDescent="0.35">
      <c r="T28929" s="246">
        <f t="shared" si="490"/>
        <v>0</v>
      </c>
    </row>
    <row r="28930" spans="20:20" ht="18.75" customHeight="1" x14ac:dyDescent="0.35">
      <c r="T28930" s="246">
        <f t="shared" si="490"/>
        <v>0</v>
      </c>
    </row>
    <row r="28931" spans="20:20" ht="18.75" customHeight="1" x14ac:dyDescent="0.35">
      <c r="T28931" s="246">
        <f t="shared" si="490"/>
        <v>0</v>
      </c>
    </row>
    <row r="28932" spans="20:20" ht="18.75" customHeight="1" x14ac:dyDescent="0.35">
      <c r="T28932" s="246">
        <f t="shared" si="490"/>
        <v>0</v>
      </c>
    </row>
    <row r="28933" spans="20:20" ht="18.75" customHeight="1" x14ac:dyDescent="0.35">
      <c r="T28933" s="246">
        <f t="shared" si="490"/>
        <v>0</v>
      </c>
    </row>
    <row r="28934" spans="20:20" ht="18.75" customHeight="1" x14ac:dyDescent="0.35">
      <c r="T28934" s="246">
        <f t="shared" si="490"/>
        <v>0</v>
      </c>
    </row>
    <row r="28935" spans="20:20" ht="18.75" customHeight="1" x14ac:dyDescent="0.35">
      <c r="T28935" s="246">
        <f t="shared" si="490"/>
        <v>0</v>
      </c>
    </row>
    <row r="28936" spans="20:20" ht="18.75" customHeight="1" x14ac:dyDescent="0.35">
      <c r="T28936" s="246">
        <f t="shared" si="490"/>
        <v>0</v>
      </c>
    </row>
    <row r="28937" spans="20:20" ht="18.75" customHeight="1" x14ac:dyDescent="0.35">
      <c r="T28937" s="246">
        <f t="shared" si="490"/>
        <v>0</v>
      </c>
    </row>
    <row r="28938" spans="20:20" ht="18.75" customHeight="1" x14ac:dyDescent="0.35">
      <c r="T28938" s="246">
        <f t="shared" si="490"/>
        <v>0</v>
      </c>
    </row>
    <row r="28939" spans="20:20" ht="18.75" customHeight="1" x14ac:dyDescent="0.35">
      <c r="T28939" s="246">
        <f t="shared" si="490"/>
        <v>0</v>
      </c>
    </row>
    <row r="28940" spans="20:20" ht="18.75" customHeight="1" x14ac:dyDescent="0.35">
      <c r="T28940" s="246">
        <f t="shared" si="490"/>
        <v>0</v>
      </c>
    </row>
    <row r="28941" spans="20:20" ht="18.75" customHeight="1" x14ac:dyDescent="0.35">
      <c r="T28941" s="246">
        <f t="shared" si="490"/>
        <v>0</v>
      </c>
    </row>
    <row r="28942" spans="20:20" ht="18.75" customHeight="1" x14ac:dyDescent="0.35">
      <c r="T28942" s="246">
        <f t="shared" si="490"/>
        <v>0</v>
      </c>
    </row>
    <row r="28943" spans="20:20" ht="18.75" customHeight="1" x14ac:dyDescent="0.35">
      <c r="T28943" s="246">
        <f t="shared" si="490"/>
        <v>0</v>
      </c>
    </row>
    <row r="28944" spans="20:20" ht="18.75" customHeight="1" x14ac:dyDescent="0.35">
      <c r="T28944" s="246">
        <f t="shared" si="490"/>
        <v>0</v>
      </c>
    </row>
    <row r="28945" spans="20:20" ht="18.75" customHeight="1" x14ac:dyDescent="0.35">
      <c r="T28945" s="246">
        <f t="shared" si="490"/>
        <v>0</v>
      </c>
    </row>
    <row r="28946" spans="20:20" ht="18.75" customHeight="1" x14ac:dyDescent="0.35">
      <c r="T28946" s="246">
        <f t="shared" si="490"/>
        <v>0</v>
      </c>
    </row>
    <row r="28947" spans="20:20" ht="18.75" customHeight="1" x14ac:dyDescent="0.35">
      <c r="T28947" s="246">
        <f t="shared" si="490"/>
        <v>0</v>
      </c>
    </row>
    <row r="28948" spans="20:20" ht="18.75" customHeight="1" x14ac:dyDescent="0.35">
      <c r="T28948" s="246">
        <f t="shared" si="490"/>
        <v>0</v>
      </c>
    </row>
    <row r="28949" spans="20:20" ht="18.75" customHeight="1" x14ac:dyDescent="0.35">
      <c r="T28949" s="246">
        <f t="shared" si="490"/>
        <v>0</v>
      </c>
    </row>
    <row r="28950" spans="20:20" ht="18.75" customHeight="1" x14ac:dyDescent="0.35">
      <c r="T28950" s="246">
        <f t="shared" si="490"/>
        <v>0</v>
      </c>
    </row>
    <row r="28951" spans="20:20" ht="18.75" customHeight="1" x14ac:dyDescent="0.35">
      <c r="T28951" s="246">
        <f t="shared" si="490"/>
        <v>0</v>
      </c>
    </row>
    <row r="28952" spans="20:20" ht="18.75" customHeight="1" x14ac:dyDescent="0.35">
      <c r="T28952" s="246">
        <f t="shared" si="490"/>
        <v>0</v>
      </c>
    </row>
    <row r="28953" spans="20:20" ht="18.75" customHeight="1" x14ac:dyDescent="0.35">
      <c r="T28953" s="246">
        <f t="shared" si="490"/>
        <v>0</v>
      </c>
    </row>
    <row r="28954" spans="20:20" ht="18.75" customHeight="1" x14ac:dyDescent="0.35">
      <c r="T28954" s="246">
        <f t="shared" si="490"/>
        <v>0</v>
      </c>
    </row>
    <row r="28955" spans="20:20" ht="18.75" customHeight="1" x14ac:dyDescent="0.35">
      <c r="T28955" s="246">
        <f t="shared" si="490"/>
        <v>0</v>
      </c>
    </row>
    <row r="28956" spans="20:20" ht="18.75" customHeight="1" x14ac:dyDescent="0.35">
      <c r="T28956" s="246">
        <f t="shared" si="490"/>
        <v>0</v>
      </c>
    </row>
    <row r="28957" spans="20:20" ht="18.75" customHeight="1" x14ac:dyDescent="0.35">
      <c r="T28957" s="246">
        <f t="shared" si="490"/>
        <v>0</v>
      </c>
    </row>
    <row r="28958" spans="20:20" ht="18.75" customHeight="1" x14ac:dyDescent="0.35">
      <c r="T28958" s="246">
        <f t="shared" si="490"/>
        <v>0</v>
      </c>
    </row>
    <row r="28959" spans="20:20" ht="18.75" customHeight="1" x14ac:dyDescent="0.35">
      <c r="T28959" s="246">
        <f t="shared" si="490"/>
        <v>0</v>
      </c>
    </row>
    <row r="28960" spans="20:20" ht="18.75" customHeight="1" x14ac:dyDescent="0.35">
      <c r="T28960" s="246">
        <f t="shared" si="490"/>
        <v>0</v>
      </c>
    </row>
    <row r="28961" spans="20:20" ht="18.75" customHeight="1" x14ac:dyDescent="0.35">
      <c r="T28961" s="246">
        <f t="shared" si="490"/>
        <v>0</v>
      </c>
    </row>
    <row r="28962" spans="20:20" ht="18.75" customHeight="1" x14ac:dyDescent="0.35">
      <c r="T28962" s="246">
        <f t="shared" si="490"/>
        <v>0</v>
      </c>
    </row>
    <row r="28963" spans="20:20" ht="18.75" customHeight="1" x14ac:dyDescent="0.35">
      <c r="T28963" s="246">
        <f t="shared" si="490"/>
        <v>0</v>
      </c>
    </row>
    <row r="28964" spans="20:20" ht="18.75" customHeight="1" x14ac:dyDescent="0.35">
      <c r="T28964" s="246">
        <f t="shared" si="490"/>
        <v>0</v>
      </c>
    </row>
    <row r="28965" spans="20:20" ht="18.75" customHeight="1" x14ac:dyDescent="0.35">
      <c r="T28965" s="246">
        <f t="shared" si="490"/>
        <v>0</v>
      </c>
    </row>
    <row r="28966" spans="20:20" ht="18.75" customHeight="1" x14ac:dyDescent="0.35">
      <c r="T28966" s="246">
        <f t="shared" si="490"/>
        <v>0</v>
      </c>
    </row>
    <row r="28967" spans="20:20" ht="18.75" customHeight="1" x14ac:dyDescent="0.35">
      <c r="T28967" s="246">
        <f t="shared" si="490"/>
        <v>0</v>
      </c>
    </row>
    <row r="28968" spans="20:20" ht="18.75" customHeight="1" x14ac:dyDescent="0.35">
      <c r="T28968" s="246">
        <f t="shared" si="490"/>
        <v>0</v>
      </c>
    </row>
    <row r="28969" spans="20:20" ht="18.75" customHeight="1" x14ac:dyDescent="0.35">
      <c r="T28969" s="246">
        <f t="shared" si="490"/>
        <v>0</v>
      </c>
    </row>
    <row r="28970" spans="20:20" ht="18.75" customHeight="1" x14ac:dyDescent="0.35">
      <c r="T28970" s="246">
        <f t="shared" si="490"/>
        <v>0</v>
      </c>
    </row>
    <row r="28971" spans="20:20" ht="18.75" customHeight="1" x14ac:dyDescent="0.35">
      <c r="T28971" s="246">
        <f t="shared" si="490"/>
        <v>0</v>
      </c>
    </row>
    <row r="28972" spans="20:20" ht="18.75" customHeight="1" x14ac:dyDescent="0.35">
      <c r="T28972" s="246">
        <f t="shared" si="490"/>
        <v>0</v>
      </c>
    </row>
    <row r="28973" spans="20:20" ht="18.75" customHeight="1" x14ac:dyDescent="0.35">
      <c r="T28973" s="246">
        <f t="shared" si="490"/>
        <v>0</v>
      </c>
    </row>
    <row r="28974" spans="20:20" ht="18.75" customHeight="1" x14ac:dyDescent="0.35">
      <c r="T28974" s="246">
        <f t="shared" si="490"/>
        <v>0</v>
      </c>
    </row>
    <row r="28975" spans="20:20" ht="18.75" customHeight="1" x14ac:dyDescent="0.35">
      <c r="T28975" s="246">
        <f t="shared" si="490"/>
        <v>0</v>
      </c>
    </row>
    <row r="28976" spans="20:20" ht="18.75" customHeight="1" x14ac:dyDescent="0.35">
      <c r="T28976" s="246">
        <f t="shared" si="490"/>
        <v>0</v>
      </c>
    </row>
    <row r="28977" spans="20:20" ht="18.75" customHeight="1" x14ac:dyDescent="0.35">
      <c r="T28977" s="246">
        <f t="shared" si="490"/>
        <v>0</v>
      </c>
    </row>
    <row r="28978" spans="20:20" ht="18.75" customHeight="1" x14ac:dyDescent="0.35">
      <c r="T28978" s="246">
        <f t="shared" si="490"/>
        <v>0</v>
      </c>
    </row>
    <row r="28979" spans="20:20" ht="18.75" customHeight="1" x14ac:dyDescent="0.35">
      <c r="T28979" s="246">
        <f t="shared" si="490"/>
        <v>0</v>
      </c>
    </row>
    <row r="28980" spans="20:20" ht="18.75" customHeight="1" x14ac:dyDescent="0.35">
      <c r="T28980" s="246">
        <f t="shared" si="490"/>
        <v>0</v>
      </c>
    </row>
    <row r="28981" spans="20:20" ht="18.75" customHeight="1" x14ac:dyDescent="0.35">
      <c r="T28981" s="246">
        <f t="shared" si="490"/>
        <v>0</v>
      </c>
    </row>
    <row r="28982" spans="20:20" ht="18.75" customHeight="1" x14ac:dyDescent="0.35">
      <c r="T28982" s="246">
        <f t="shared" si="490"/>
        <v>0</v>
      </c>
    </row>
    <row r="28983" spans="20:20" ht="18.75" customHeight="1" x14ac:dyDescent="0.35">
      <c r="T28983" s="246">
        <f t="shared" si="490"/>
        <v>0</v>
      </c>
    </row>
    <row r="28984" spans="20:20" ht="18.75" customHeight="1" x14ac:dyDescent="0.35">
      <c r="T28984" s="246">
        <f t="shared" si="490"/>
        <v>0</v>
      </c>
    </row>
    <row r="28985" spans="20:20" ht="18.75" customHeight="1" x14ac:dyDescent="0.35">
      <c r="T28985" s="246">
        <f t="shared" si="490"/>
        <v>0</v>
      </c>
    </row>
    <row r="28986" spans="20:20" ht="18.75" customHeight="1" x14ac:dyDescent="0.35">
      <c r="T28986" s="246">
        <f t="shared" si="490"/>
        <v>0</v>
      </c>
    </row>
    <row r="28987" spans="20:20" ht="18.75" customHeight="1" x14ac:dyDescent="0.35">
      <c r="T28987" s="246">
        <f t="shared" si="490"/>
        <v>0</v>
      </c>
    </row>
    <row r="28988" spans="20:20" ht="18.75" customHeight="1" x14ac:dyDescent="0.35">
      <c r="T28988" s="246">
        <f t="shared" ref="T28988:T29051" si="491">R28988*0.01</f>
        <v>0</v>
      </c>
    </row>
    <row r="28989" spans="20:20" ht="18.75" customHeight="1" x14ac:dyDescent="0.35">
      <c r="T28989" s="246">
        <f t="shared" si="491"/>
        <v>0</v>
      </c>
    </row>
    <row r="28990" spans="20:20" ht="18.75" customHeight="1" x14ac:dyDescent="0.35">
      <c r="T28990" s="246">
        <f t="shared" si="491"/>
        <v>0</v>
      </c>
    </row>
    <row r="28991" spans="20:20" ht="18.75" customHeight="1" x14ac:dyDescent="0.35">
      <c r="T28991" s="246">
        <f t="shared" si="491"/>
        <v>0</v>
      </c>
    </row>
    <row r="28992" spans="20:20" ht="18.75" customHeight="1" x14ac:dyDescent="0.35">
      <c r="T28992" s="246">
        <f t="shared" si="491"/>
        <v>0</v>
      </c>
    </row>
    <row r="28993" spans="20:20" ht="18.75" customHeight="1" x14ac:dyDescent="0.35">
      <c r="T28993" s="246">
        <f t="shared" si="491"/>
        <v>0</v>
      </c>
    </row>
    <row r="28994" spans="20:20" ht="18.75" customHeight="1" x14ac:dyDescent="0.35">
      <c r="T28994" s="246">
        <f t="shared" si="491"/>
        <v>0</v>
      </c>
    </row>
    <row r="28995" spans="20:20" ht="18.75" customHeight="1" x14ac:dyDescent="0.35">
      <c r="T28995" s="246">
        <f t="shared" si="491"/>
        <v>0</v>
      </c>
    </row>
    <row r="28996" spans="20:20" ht="18.75" customHeight="1" x14ac:dyDescent="0.35">
      <c r="T28996" s="246">
        <f t="shared" si="491"/>
        <v>0</v>
      </c>
    </row>
    <row r="28997" spans="20:20" ht="18.75" customHeight="1" x14ac:dyDescent="0.35">
      <c r="T28997" s="246">
        <f t="shared" si="491"/>
        <v>0</v>
      </c>
    </row>
    <row r="28998" spans="20:20" ht="18.75" customHeight="1" x14ac:dyDescent="0.35">
      <c r="T28998" s="246">
        <f t="shared" si="491"/>
        <v>0</v>
      </c>
    </row>
    <row r="28999" spans="20:20" ht="18.75" customHeight="1" x14ac:dyDescent="0.35">
      <c r="T28999" s="246">
        <f t="shared" si="491"/>
        <v>0</v>
      </c>
    </row>
    <row r="29000" spans="20:20" ht="18.75" customHeight="1" x14ac:dyDescent="0.35">
      <c r="T29000" s="246">
        <f t="shared" si="491"/>
        <v>0</v>
      </c>
    </row>
    <row r="29001" spans="20:20" ht="18.75" customHeight="1" x14ac:dyDescent="0.35">
      <c r="T29001" s="246">
        <f t="shared" si="491"/>
        <v>0</v>
      </c>
    </row>
    <row r="29002" spans="20:20" ht="18.75" customHeight="1" x14ac:dyDescent="0.35">
      <c r="T29002" s="246">
        <f t="shared" si="491"/>
        <v>0</v>
      </c>
    </row>
    <row r="29003" spans="20:20" ht="18.75" customHeight="1" x14ac:dyDescent="0.35">
      <c r="T29003" s="246">
        <f t="shared" si="491"/>
        <v>0</v>
      </c>
    </row>
    <row r="29004" spans="20:20" ht="18.75" customHeight="1" x14ac:dyDescent="0.35">
      <c r="T29004" s="246">
        <f t="shared" si="491"/>
        <v>0</v>
      </c>
    </row>
    <row r="29005" spans="20:20" ht="18.75" customHeight="1" x14ac:dyDescent="0.35">
      <c r="T29005" s="246">
        <f t="shared" si="491"/>
        <v>0</v>
      </c>
    </row>
    <row r="29006" spans="20:20" ht="18.75" customHeight="1" x14ac:dyDescent="0.35">
      <c r="T29006" s="246">
        <f t="shared" si="491"/>
        <v>0</v>
      </c>
    </row>
    <row r="29007" spans="20:20" ht="18.75" customHeight="1" x14ac:dyDescent="0.35">
      <c r="T29007" s="246">
        <f t="shared" si="491"/>
        <v>0</v>
      </c>
    </row>
    <row r="29008" spans="20:20" ht="18.75" customHeight="1" x14ac:dyDescent="0.35">
      <c r="T29008" s="246">
        <f t="shared" si="491"/>
        <v>0</v>
      </c>
    </row>
    <row r="29009" spans="20:20" ht="18.75" customHeight="1" x14ac:dyDescent="0.35">
      <c r="T29009" s="246">
        <f t="shared" si="491"/>
        <v>0</v>
      </c>
    </row>
    <row r="29010" spans="20:20" ht="18.75" customHeight="1" x14ac:dyDescent="0.35">
      <c r="T29010" s="246">
        <f t="shared" si="491"/>
        <v>0</v>
      </c>
    </row>
    <row r="29011" spans="20:20" ht="18.75" customHeight="1" x14ac:dyDescent="0.35">
      <c r="T29011" s="246">
        <f t="shared" si="491"/>
        <v>0</v>
      </c>
    </row>
    <row r="29012" spans="20:20" ht="18.75" customHeight="1" x14ac:dyDescent="0.35">
      <c r="T29012" s="246">
        <f t="shared" si="491"/>
        <v>0</v>
      </c>
    </row>
    <row r="29013" spans="20:20" ht="18.75" customHeight="1" x14ac:dyDescent="0.35">
      <c r="T29013" s="246">
        <f t="shared" si="491"/>
        <v>0</v>
      </c>
    </row>
    <row r="29014" spans="20:20" ht="18.75" customHeight="1" x14ac:dyDescent="0.35">
      <c r="T29014" s="246">
        <f t="shared" si="491"/>
        <v>0</v>
      </c>
    </row>
    <row r="29015" spans="20:20" ht="18.75" customHeight="1" x14ac:dyDescent="0.35">
      <c r="T29015" s="246">
        <f t="shared" si="491"/>
        <v>0</v>
      </c>
    </row>
    <row r="29016" spans="20:20" ht="18.75" customHeight="1" x14ac:dyDescent="0.35">
      <c r="T29016" s="246">
        <f t="shared" si="491"/>
        <v>0</v>
      </c>
    </row>
    <row r="29017" spans="20:20" ht="18.75" customHeight="1" x14ac:dyDescent="0.35">
      <c r="T29017" s="246">
        <f t="shared" si="491"/>
        <v>0</v>
      </c>
    </row>
    <row r="29018" spans="20:20" ht="18.75" customHeight="1" x14ac:dyDescent="0.35">
      <c r="T29018" s="246">
        <f t="shared" si="491"/>
        <v>0</v>
      </c>
    </row>
    <row r="29019" spans="20:20" ht="18.75" customHeight="1" x14ac:dyDescent="0.35">
      <c r="T29019" s="246">
        <f t="shared" si="491"/>
        <v>0</v>
      </c>
    </row>
    <row r="29020" spans="20:20" ht="18.75" customHeight="1" x14ac:dyDescent="0.35">
      <c r="T29020" s="246">
        <f t="shared" si="491"/>
        <v>0</v>
      </c>
    </row>
    <row r="29021" spans="20:20" ht="18.75" customHeight="1" x14ac:dyDescent="0.35">
      <c r="T29021" s="246">
        <f t="shared" si="491"/>
        <v>0</v>
      </c>
    </row>
    <row r="29022" spans="20:20" ht="18.75" customHeight="1" x14ac:dyDescent="0.35">
      <c r="T29022" s="246">
        <f t="shared" si="491"/>
        <v>0</v>
      </c>
    </row>
    <row r="29023" spans="20:20" ht="18.75" customHeight="1" x14ac:dyDescent="0.35">
      <c r="T29023" s="246">
        <f t="shared" si="491"/>
        <v>0</v>
      </c>
    </row>
    <row r="29024" spans="20:20" ht="18.75" customHeight="1" x14ac:dyDescent="0.35">
      <c r="T29024" s="246">
        <f t="shared" si="491"/>
        <v>0</v>
      </c>
    </row>
    <row r="29025" spans="20:20" ht="18.75" customHeight="1" x14ac:dyDescent="0.35">
      <c r="T29025" s="246">
        <f t="shared" si="491"/>
        <v>0</v>
      </c>
    </row>
    <row r="29026" spans="20:20" ht="18.75" customHeight="1" x14ac:dyDescent="0.35">
      <c r="T29026" s="246">
        <f t="shared" si="491"/>
        <v>0</v>
      </c>
    </row>
    <row r="29027" spans="20:20" ht="18.75" customHeight="1" x14ac:dyDescent="0.35">
      <c r="T29027" s="246">
        <f t="shared" si="491"/>
        <v>0</v>
      </c>
    </row>
    <row r="29028" spans="20:20" ht="18.75" customHeight="1" x14ac:dyDescent="0.35">
      <c r="T29028" s="246">
        <f t="shared" si="491"/>
        <v>0</v>
      </c>
    </row>
    <row r="29029" spans="20:20" ht="18.75" customHeight="1" x14ac:dyDescent="0.35">
      <c r="T29029" s="246">
        <f t="shared" si="491"/>
        <v>0</v>
      </c>
    </row>
    <row r="29030" spans="20:20" ht="18.75" customHeight="1" x14ac:dyDescent="0.35">
      <c r="T29030" s="246">
        <f t="shared" si="491"/>
        <v>0</v>
      </c>
    </row>
    <row r="29031" spans="20:20" ht="18.75" customHeight="1" x14ac:dyDescent="0.35">
      <c r="T29031" s="246">
        <f t="shared" si="491"/>
        <v>0</v>
      </c>
    </row>
    <row r="29032" spans="20:20" ht="18.75" customHeight="1" x14ac:dyDescent="0.35">
      <c r="T29032" s="246">
        <f t="shared" si="491"/>
        <v>0</v>
      </c>
    </row>
    <row r="29033" spans="20:20" ht="18.75" customHeight="1" x14ac:dyDescent="0.35">
      <c r="T29033" s="246">
        <f t="shared" si="491"/>
        <v>0</v>
      </c>
    </row>
    <row r="29034" spans="20:20" ht="18.75" customHeight="1" x14ac:dyDescent="0.35">
      <c r="T29034" s="246">
        <f t="shared" si="491"/>
        <v>0</v>
      </c>
    </row>
    <row r="29035" spans="20:20" ht="18.75" customHeight="1" x14ac:dyDescent="0.35">
      <c r="T29035" s="246">
        <f t="shared" si="491"/>
        <v>0</v>
      </c>
    </row>
    <row r="29036" spans="20:20" ht="18.75" customHeight="1" x14ac:dyDescent="0.35">
      <c r="T29036" s="246">
        <f t="shared" si="491"/>
        <v>0</v>
      </c>
    </row>
    <row r="29037" spans="20:20" ht="18.75" customHeight="1" x14ac:dyDescent="0.35">
      <c r="T29037" s="246">
        <f t="shared" si="491"/>
        <v>0</v>
      </c>
    </row>
    <row r="29038" spans="20:20" ht="18.75" customHeight="1" x14ac:dyDescent="0.35">
      <c r="T29038" s="246">
        <f t="shared" si="491"/>
        <v>0</v>
      </c>
    </row>
    <row r="29039" spans="20:20" ht="18.75" customHeight="1" x14ac:dyDescent="0.35">
      <c r="T29039" s="246">
        <f t="shared" si="491"/>
        <v>0</v>
      </c>
    </row>
    <row r="29040" spans="20:20" ht="18.75" customHeight="1" x14ac:dyDescent="0.35">
      <c r="T29040" s="246">
        <f t="shared" si="491"/>
        <v>0</v>
      </c>
    </row>
    <row r="29041" spans="20:20" ht="18.75" customHeight="1" x14ac:dyDescent="0.35">
      <c r="T29041" s="246">
        <f t="shared" si="491"/>
        <v>0</v>
      </c>
    </row>
    <row r="29042" spans="20:20" ht="18.75" customHeight="1" x14ac:dyDescent="0.35">
      <c r="T29042" s="246">
        <f t="shared" si="491"/>
        <v>0</v>
      </c>
    </row>
    <row r="29043" spans="20:20" ht="18.75" customHeight="1" x14ac:dyDescent="0.35">
      <c r="T29043" s="246">
        <f t="shared" si="491"/>
        <v>0</v>
      </c>
    </row>
    <row r="29044" spans="20:20" ht="18.75" customHeight="1" x14ac:dyDescent="0.35">
      <c r="T29044" s="246">
        <f t="shared" si="491"/>
        <v>0</v>
      </c>
    </row>
    <row r="29045" spans="20:20" ht="18.75" customHeight="1" x14ac:dyDescent="0.35">
      <c r="T29045" s="246">
        <f t="shared" si="491"/>
        <v>0</v>
      </c>
    </row>
    <row r="29046" spans="20:20" ht="18.75" customHeight="1" x14ac:dyDescent="0.35">
      <c r="T29046" s="246">
        <f t="shared" si="491"/>
        <v>0</v>
      </c>
    </row>
    <row r="29047" spans="20:20" ht="18.75" customHeight="1" x14ac:dyDescent="0.35">
      <c r="T29047" s="246">
        <f t="shared" si="491"/>
        <v>0</v>
      </c>
    </row>
    <row r="29048" spans="20:20" ht="18.75" customHeight="1" x14ac:dyDescent="0.35">
      <c r="T29048" s="246">
        <f t="shared" si="491"/>
        <v>0</v>
      </c>
    </row>
    <row r="29049" spans="20:20" ht="18.75" customHeight="1" x14ac:dyDescent="0.35">
      <c r="T29049" s="246">
        <f t="shared" si="491"/>
        <v>0</v>
      </c>
    </row>
    <row r="29050" spans="20:20" ht="18.75" customHeight="1" x14ac:dyDescent="0.35">
      <c r="T29050" s="246">
        <f t="shared" si="491"/>
        <v>0</v>
      </c>
    </row>
    <row r="29051" spans="20:20" ht="18.75" customHeight="1" x14ac:dyDescent="0.35">
      <c r="T29051" s="246">
        <f t="shared" si="491"/>
        <v>0</v>
      </c>
    </row>
    <row r="29052" spans="20:20" ht="18.75" customHeight="1" x14ac:dyDescent="0.35">
      <c r="T29052" s="246">
        <f t="shared" ref="T29052:T29115" si="492">R29052*0.01</f>
        <v>0</v>
      </c>
    </row>
    <row r="29053" spans="20:20" ht="18.75" customHeight="1" x14ac:dyDescent="0.35">
      <c r="T29053" s="246">
        <f t="shared" si="492"/>
        <v>0</v>
      </c>
    </row>
    <row r="29054" spans="20:20" ht="18.75" customHeight="1" x14ac:dyDescent="0.35">
      <c r="T29054" s="246">
        <f t="shared" si="492"/>
        <v>0</v>
      </c>
    </row>
    <row r="29055" spans="20:20" ht="18.75" customHeight="1" x14ac:dyDescent="0.35">
      <c r="T29055" s="246">
        <f t="shared" si="492"/>
        <v>0</v>
      </c>
    </row>
    <row r="29056" spans="20:20" ht="18.75" customHeight="1" x14ac:dyDescent="0.35">
      <c r="T29056" s="246">
        <f t="shared" si="492"/>
        <v>0</v>
      </c>
    </row>
    <row r="29057" spans="20:20" ht="18.75" customHeight="1" x14ac:dyDescent="0.35">
      <c r="T29057" s="246">
        <f t="shared" si="492"/>
        <v>0</v>
      </c>
    </row>
    <row r="29058" spans="20:20" ht="18.75" customHeight="1" x14ac:dyDescent="0.35">
      <c r="T29058" s="246">
        <f t="shared" si="492"/>
        <v>0</v>
      </c>
    </row>
    <row r="29059" spans="20:20" ht="18.75" customHeight="1" x14ac:dyDescent="0.35">
      <c r="T29059" s="246">
        <f t="shared" si="492"/>
        <v>0</v>
      </c>
    </row>
    <row r="29060" spans="20:20" ht="18.75" customHeight="1" x14ac:dyDescent="0.35">
      <c r="T29060" s="246">
        <f t="shared" si="492"/>
        <v>0</v>
      </c>
    </row>
    <row r="29061" spans="20:20" ht="18.75" customHeight="1" x14ac:dyDescent="0.35">
      <c r="T29061" s="246">
        <f t="shared" si="492"/>
        <v>0</v>
      </c>
    </row>
    <row r="29062" spans="20:20" ht="18.75" customHeight="1" x14ac:dyDescent="0.35">
      <c r="T29062" s="246">
        <f t="shared" si="492"/>
        <v>0</v>
      </c>
    </row>
    <row r="29063" spans="20:20" ht="18.75" customHeight="1" x14ac:dyDescent="0.35">
      <c r="T29063" s="246">
        <f t="shared" si="492"/>
        <v>0</v>
      </c>
    </row>
    <row r="29064" spans="20:20" ht="18.75" customHeight="1" x14ac:dyDescent="0.35">
      <c r="T29064" s="246">
        <f t="shared" si="492"/>
        <v>0</v>
      </c>
    </row>
    <row r="29065" spans="20:20" ht="18.75" customHeight="1" x14ac:dyDescent="0.35">
      <c r="T29065" s="246">
        <f t="shared" si="492"/>
        <v>0</v>
      </c>
    </row>
    <row r="29066" spans="20:20" ht="18.75" customHeight="1" x14ac:dyDescent="0.35">
      <c r="T29066" s="246">
        <f t="shared" si="492"/>
        <v>0</v>
      </c>
    </row>
    <row r="29067" spans="20:20" ht="18.75" customHeight="1" x14ac:dyDescent="0.35">
      <c r="T29067" s="246">
        <f t="shared" si="492"/>
        <v>0</v>
      </c>
    </row>
    <row r="29068" spans="20:20" ht="18.75" customHeight="1" x14ac:dyDescent="0.35">
      <c r="T29068" s="246">
        <f t="shared" si="492"/>
        <v>0</v>
      </c>
    </row>
    <row r="29069" spans="20:20" ht="18.75" customHeight="1" x14ac:dyDescent="0.35">
      <c r="T29069" s="246">
        <f t="shared" si="492"/>
        <v>0</v>
      </c>
    </row>
    <row r="29070" spans="20:20" ht="18.75" customHeight="1" x14ac:dyDescent="0.35">
      <c r="T29070" s="246">
        <f t="shared" si="492"/>
        <v>0</v>
      </c>
    </row>
    <row r="29071" spans="20:20" ht="18.75" customHeight="1" x14ac:dyDescent="0.35">
      <c r="T29071" s="246">
        <f t="shared" si="492"/>
        <v>0</v>
      </c>
    </row>
    <row r="29072" spans="20:20" ht="18.75" customHeight="1" x14ac:dyDescent="0.35">
      <c r="T29072" s="246">
        <f t="shared" si="492"/>
        <v>0</v>
      </c>
    </row>
    <row r="29073" spans="20:20" ht="18.75" customHeight="1" x14ac:dyDescent="0.35">
      <c r="T29073" s="246">
        <f t="shared" si="492"/>
        <v>0</v>
      </c>
    </row>
    <row r="29074" spans="20:20" ht="18.75" customHeight="1" x14ac:dyDescent="0.35">
      <c r="T29074" s="246">
        <f t="shared" si="492"/>
        <v>0</v>
      </c>
    </row>
    <row r="29075" spans="20:20" ht="18.75" customHeight="1" x14ac:dyDescent="0.35">
      <c r="T29075" s="246">
        <f t="shared" si="492"/>
        <v>0</v>
      </c>
    </row>
    <row r="29076" spans="20:20" ht="18.75" customHeight="1" x14ac:dyDescent="0.35">
      <c r="T29076" s="246">
        <f t="shared" si="492"/>
        <v>0</v>
      </c>
    </row>
    <row r="29077" spans="20:20" ht="18.75" customHeight="1" x14ac:dyDescent="0.35">
      <c r="T29077" s="246">
        <f t="shared" si="492"/>
        <v>0</v>
      </c>
    </row>
    <row r="29078" spans="20:20" ht="18.75" customHeight="1" x14ac:dyDescent="0.35">
      <c r="T29078" s="246">
        <f t="shared" si="492"/>
        <v>0</v>
      </c>
    </row>
    <row r="29079" spans="20:20" ht="18.75" customHeight="1" x14ac:dyDescent="0.35">
      <c r="T29079" s="246">
        <f t="shared" si="492"/>
        <v>0</v>
      </c>
    </row>
    <row r="29080" spans="20:20" ht="18.75" customHeight="1" x14ac:dyDescent="0.35">
      <c r="T29080" s="246">
        <f t="shared" si="492"/>
        <v>0</v>
      </c>
    </row>
    <row r="29081" spans="20:20" ht="18.75" customHeight="1" x14ac:dyDescent="0.35">
      <c r="T29081" s="246">
        <f t="shared" si="492"/>
        <v>0</v>
      </c>
    </row>
    <row r="29082" spans="20:20" ht="18.75" customHeight="1" x14ac:dyDescent="0.35">
      <c r="T29082" s="246">
        <f t="shared" si="492"/>
        <v>0</v>
      </c>
    </row>
    <row r="29083" spans="20:20" ht="18.75" customHeight="1" x14ac:dyDescent="0.35">
      <c r="T29083" s="246">
        <f t="shared" si="492"/>
        <v>0</v>
      </c>
    </row>
    <row r="29084" spans="20:20" ht="18.75" customHeight="1" x14ac:dyDescent="0.35">
      <c r="T29084" s="246">
        <f t="shared" si="492"/>
        <v>0</v>
      </c>
    </row>
    <row r="29085" spans="20:20" ht="18.75" customHeight="1" x14ac:dyDescent="0.35">
      <c r="T29085" s="246">
        <f t="shared" si="492"/>
        <v>0</v>
      </c>
    </row>
    <row r="29086" spans="20:20" ht="18.75" customHeight="1" x14ac:dyDescent="0.35">
      <c r="T29086" s="246">
        <f t="shared" si="492"/>
        <v>0</v>
      </c>
    </row>
    <row r="29087" spans="20:20" ht="18.75" customHeight="1" x14ac:dyDescent="0.35">
      <c r="T29087" s="246">
        <f t="shared" si="492"/>
        <v>0</v>
      </c>
    </row>
    <row r="29088" spans="20:20" ht="18.75" customHeight="1" x14ac:dyDescent="0.35">
      <c r="T29088" s="246">
        <f t="shared" si="492"/>
        <v>0</v>
      </c>
    </row>
    <row r="29089" spans="20:20" ht="18.75" customHeight="1" x14ac:dyDescent="0.35">
      <c r="T29089" s="246">
        <f t="shared" si="492"/>
        <v>0</v>
      </c>
    </row>
    <row r="29090" spans="20:20" ht="18.75" customHeight="1" x14ac:dyDescent="0.35">
      <c r="T29090" s="246">
        <f t="shared" si="492"/>
        <v>0</v>
      </c>
    </row>
    <row r="29091" spans="20:20" ht="18.75" customHeight="1" x14ac:dyDescent="0.35">
      <c r="T29091" s="246">
        <f t="shared" si="492"/>
        <v>0</v>
      </c>
    </row>
    <row r="29092" spans="20:20" ht="18.75" customHeight="1" x14ac:dyDescent="0.35">
      <c r="T29092" s="246">
        <f t="shared" si="492"/>
        <v>0</v>
      </c>
    </row>
    <row r="29093" spans="20:20" ht="18.75" customHeight="1" x14ac:dyDescent="0.35">
      <c r="T29093" s="246">
        <f t="shared" si="492"/>
        <v>0</v>
      </c>
    </row>
    <row r="29094" spans="20:20" ht="18.75" customHeight="1" x14ac:dyDescent="0.35">
      <c r="T29094" s="246">
        <f t="shared" si="492"/>
        <v>0</v>
      </c>
    </row>
    <row r="29095" spans="20:20" ht="18.75" customHeight="1" x14ac:dyDescent="0.35">
      <c r="T29095" s="246">
        <f t="shared" si="492"/>
        <v>0</v>
      </c>
    </row>
    <row r="29096" spans="20:20" ht="18.75" customHeight="1" x14ac:dyDescent="0.35">
      <c r="T29096" s="246">
        <f t="shared" si="492"/>
        <v>0</v>
      </c>
    </row>
    <row r="29097" spans="20:20" ht="18.75" customHeight="1" x14ac:dyDescent="0.35">
      <c r="T29097" s="246">
        <f t="shared" si="492"/>
        <v>0</v>
      </c>
    </row>
    <row r="29098" spans="20:20" ht="18.75" customHeight="1" x14ac:dyDescent="0.35">
      <c r="T29098" s="246">
        <f t="shared" si="492"/>
        <v>0</v>
      </c>
    </row>
    <row r="29099" spans="20:20" ht="18.75" customHeight="1" x14ac:dyDescent="0.35">
      <c r="T29099" s="246">
        <f t="shared" si="492"/>
        <v>0</v>
      </c>
    </row>
    <row r="29100" spans="20:20" ht="18.75" customHeight="1" x14ac:dyDescent="0.35">
      <c r="T29100" s="246">
        <f t="shared" si="492"/>
        <v>0</v>
      </c>
    </row>
    <row r="29101" spans="20:20" ht="18.75" customHeight="1" x14ac:dyDescent="0.35">
      <c r="T29101" s="246">
        <f t="shared" si="492"/>
        <v>0</v>
      </c>
    </row>
    <row r="29102" spans="20:20" ht="18.75" customHeight="1" x14ac:dyDescent="0.35">
      <c r="T29102" s="246">
        <f t="shared" si="492"/>
        <v>0</v>
      </c>
    </row>
    <row r="29103" spans="20:20" ht="18.75" customHeight="1" x14ac:dyDescent="0.35">
      <c r="T29103" s="246">
        <f t="shared" si="492"/>
        <v>0</v>
      </c>
    </row>
    <row r="29104" spans="20:20" ht="18.75" customHeight="1" x14ac:dyDescent="0.35">
      <c r="T29104" s="246">
        <f t="shared" si="492"/>
        <v>0</v>
      </c>
    </row>
    <row r="29105" spans="20:20" ht="18.75" customHeight="1" x14ac:dyDescent="0.35">
      <c r="T29105" s="246">
        <f t="shared" si="492"/>
        <v>0</v>
      </c>
    </row>
    <row r="29106" spans="20:20" ht="18.75" customHeight="1" x14ac:dyDescent="0.35">
      <c r="T29106" s="246">
        <f t="shared" si="492"/>
        <v>0</v>
      </c>
    </row>
    <row r="29107" spans="20:20" ht="18.75" customHeight="1" x14ac:dyDescent="0.35">
      <c r="T29107" s="246">
        <f t="shared" si="492"/>
        <v>0</v>
      </c>
    </row>
    <row r="29108" spans="20:20" ht="18.75" customHeight="1" x14ac:dyDescent="0.35">
      <c r="T29108" s="246">
        <f t="shared" si="492"/>
        <v>0</v>
      </c>
    </row>
    <row r="29109" spans="20:20" ht="18.75" customHeight="1" x14ac:dyDescent="0.35">
      <c r="T29109" s="246">
        <f t="shared" si="492"/>
        <v>0</v>
      </c>
    </row>
    <row r="29110" spans="20:20" ht="18.75" customHeight="1" x14ac:dyDescent="0.35">
      <c r="T29110" s="246">
        <f t="shared" si="492"/>
        <v>0</v>
      </c>
    </row>
    <row r="29111" spans="20:20" ht="18.75" customHeight="1" x14ac:dyDescent="0.35">
      <c r="T29111" s="246">
        <f t="shared" si="492"/>
        <v>0</v>
      </c>
    </row>
    <row r="29112" spans="20:20" ht="18.75" customHeight="1" x14ac:dyDescent="0.35">
      <c r="T29112" s="246">
        <f t="shared" si="492"/>
        <v>0</v>
      </c>
    </row>
    <row r="29113" spans="20:20" ht="18.75" customHeight="1" x14ac:dyDescent="0.35">
      <c r="T29113" s="246">
        <f t="shared" si="492"/>
        <v>0</v>
      </c>
    </row>
    <row r="29114" spans="20:20" ht="18.75" customHeight="1" x14ac:dyDescent="0.35">
      <c r="T29114" s="246">
        <f t="shared" si="492"/>
        <v>0</v>
      </c>
    </row>
    <row r="29115" spans="20:20" ht="18.75" customHeight="1" x14ac:dyDescent="0.35">
      <c r="T29115" s="246">
        <f t="shared" si="492"/>
        <v>0</v>
      </c>
    </row>
    <row r="29116" spans="20:20" ht="18.75" customHeight="1" x14ac:dyDescent="0.35">
      <c r="T29116" s="246">
        <f t="shared" ref="T29116:T29179" si="493">R29116*0.01</f>
        <v>0</v>
      </c>
    </row>
    <row r="29117" spans="20:20" ht="18.75" customHeight="1" x14ac:dyDescent="0.35">
      <c r="T29117" s="246">
        <f t="shared" si="493"/>
        <v>0</v>
      </c>
    </row>
    <row r="29118" spans="20:20" ht="18.75" customHeight="1" x14ac:dyDescent="0.35">
      <c r="T29118" s="246">
        <f t="shared" si="493"/>
        <v>0</v>
      </c>
    </row>
    <row r="29119" spans="20:20" ht="18.75" customHeight="1" x14ac:dyDescent="0.35">
      <c r="T29119" s="246">
        <f t="shared" si="493"/>
        <v>0</v>
      </c>
    </row>
    <row r="29120" spans="20:20" ht="18.75" customHeight="1" x14ac:dyDescent="0.35">
      <c r="T29120" s="246">
        <f t="shared" si="493"/>
        <v>0</v>
      </c>
    </row>
    <row r="29121" spans="20:20" ht="18.75" customHeight="1" x14ac:dyDescent="0.35">
      <c r="T29121" s="246">
        <f t="shared" si="493"/>
        <v>0</v>
      </c>
    </row>
    <row r="29122" spans="20:20" ht="18.75" customHeight="1" x14ac:dyDescent="0.35">
      <c r="T29122" s="246">
        <f t="shared" si="493"/>
        <v>0</v>
      </c>
    </row>
    <row r="29123" spans="20:20" ht="18.75" customHeight="1" x14ac:dyDescent="0.35">
      <c r="T29123" s="246">
        <f t="shared" si="493"/>
        <v>0</v>
      </c>
    </row>
    <row r="29124" spans="20:20" ht="18.75" customHeight="1" x14ac:dyDescent="0.35">
      <c r="T29124" s="246">
        <f t="shared" si="493"/>
        <v>0</v>
      </c>
    </row>
    <row r="29125" spans="20:20" ht="18.75" customHeight="1" x14ac:dyDescent="0.35">
      <c r="T29125" s="246">
        <f t="shared" si="493"/>
        <v>0</v>
      </c>
    </row>
    <row r="29126" spans="20:20" ht="18.75" customHeight="1" x14ac:dyDescent="0.35">
      <c r="T29126" s="246">
        <f t="shared" si="493"/>
        <v>0</v>
      </c>
    </row>
    <row r="29127" spans="20:20" ht="18.75" customHeight="1" x14ac:dyDescent="0.35">
      <c r="T29127" s="246">
        <f t="shared" si="493"/>
        <v>0</v>
      </c>
    </row>
    <row r="29128" spans="20:20" ht="18.75" customHeight="1" x14ac:dyDescent="0.35">
      <c r="T29128" s="246">
        <f t="shared" si="493"/>
        <v>0</v>
      </c>
    </row>
    <row r="29129" spans="20:20" ht="18.75" customHeight="1" x14ac:dyDescent="0.35">
      <c r="T29129" s="246">
        <f t="shared" si="493"/>
        <v>0</v>
      </c>
    </row>
    <row r="29130" spans="20:20" ht="18.75" customHeight="1" x14ac:dyDescent="0.35">
      <c r="T29130" s="246">
        <f t="shared" si="493"/>
        <v>0</v>
      </c>
    </row>
    <row r="29131" spans="20:20" ht="18.75" customHeight="1" x14ac:dyDescent="0.35">
      <c r="T29131" s="246">
        <f t="shared" si="493"/>
        <v>0</v>
      </c>
    </row>
    <row r="29132" spans="20:20" ht="18.75" customHeight="1" x14ac:dyDescent="0.35">
      <c r="T29132" s="246">
        <f t="shared" si="493"/>
        <v>0</v>
      </c>
    </row>
    <row r="29133" spans="20:20" ht="18.75" customHeight="1" x14ac:dyDescent="0.35">
      <c r="T29133" s="246">
        <f t="shared" si="493"/>
        <v>0</v>
      </c>
    </row>
    <row r="29134" spans="20:20" ht="18.75" customHeight="1" x14ac:dyDescent="0.35">
      <c r="T29134" s="246">
        <f t="shared" si="493"/>
        <v>0</v>
      </c>
    </row>
    <row r="29135" spans="20:20" ht="18.75" customHeight="1" x14ac:dyDescent="0.35">
      <c r="T29135" s="246">
        <f t="shared" si="493"/>
        <v>0</v>
      </c>
    </row>
    <row r="29136" spans="20:20" ht="18.75" customHeight="1" x14ac:dyDescent="0.35">
      <c r="T29136" s="246">
        <f t="shared" si="493"/>
        <v>0</v>
      </c>
    </row>
    <row r="29137" spans="20:20" ht="18.75" customHeight="1" x14ac:dyDescent="0.35">
      <c r="T29137" s="246">
        <f t="shared" si="493"/>
        <v>0</v>
      </c>
    </row>
    <row r="29138" spans="20:20" ht="18.75" customHeight="1" x14ac:dyDescent="0.35">
      <c r="T29138" s="246">
        <f t="shared" si="493"/>
        <v>0</v>
      </c>
    </row>
    <row r="29139" spans="20:20" ht="18.75" customHeight="1" x14ac:dyDescent="0.35">
      <c r="T29139" s="246">
        <f t="shared" si="493"/>
        <v>0</v>
      </c>
    </row>
    <row r="29140" spans="20:20" ht="18.75" customHeight="1" x14ac:dyDescent="0.35">
      <c r="T29140" s="246">
        <f t="shared" si="493"/>
        <v>0</v>
      </c>
    </row>
    <row r="29141" spans="20:20" ht="18.75" customHeight="1" x14ac:dyDescent="0.35">
      <c r="T29141" s="246">
        <f t="shared" si="493"/>
        <v>0</v>
      </c>
    </row>
    <row r="29142" spans="20:20" ht="18.75" customHeight="1" x14ac:dyDescent="0.35">
      <c r="T29142" s="246">
        <f t="shared" si="493"/>
        <v>0</v>
      </c>
    </row>
    <row r="29143" spans="20:20" ht="18.75" customHeight="1" x14ac:dyDescent="0.35">
      <c r="T29143" s="246">
        <f t="shared" si="493"/>
        <v>0</v>
      </c>
    </row>
    <row r="29144" spans="20:20" ht="18.75" customHeight="1" x14ac:dyDescent="0.35">
      <c r="T29144" s="246">
        <f t="shared" si="493"/>
        <v>0</v>
      </c>
    </row>
    <row r="29145" spans="20:20" ht="18.75" customHeight="1" x14ac:dyDescent="0.35">
      <c r="T29145" s="246">
        <f t="shared" si="493"/>
        <v>0</v>
      </c>
    </row>
    <row r="29146" spans="20:20" ht="18.75" customHeight="1" x14ac:dyDescent="0.35">
      <c r="T29146" s="246">
        <f t="shared" si="493"/>
        <v>0</v>
      </c>
    </row>
    <row r="29147" spans="20:20" ht="18.75" customHeight="1" x14ac:dyDescent="0.35">
      <c r="T29147" s="246">
        <f t="shared" si="493"/>
        <v>0</v>
      </c>
    </row>
    <row r="29148" spans="20:20" ht="18.75" customHeight="1" x14ac:dyDescent="0.35">
      <c r="T29148" s="246">
        <f t="shared" si="493"/>
        <v>0</v>
      </c>
    </row>
    <row r="29149" spans="20:20" ht="18.75" customHeight="1" x14ac:dyDescent="0.35">
      <c r="T29149" s="246">
        <f t="shared" si="493"/>
        <v>0</v>
      </c>
    </row>
    <row r="29150" spans="20:20" ht="18.75" customHeight="1" x14ac:dyDescent="0.35">
      <c r="T29150" s="246">
        <f t="shared" si="493"/>
        <v>0</v>
      </c>
    </row>
    <row r="29151" spans="20:20" ht="18.75" customHeight="1" x14ac:dyDescent="0.35">
      <c r="T29151" s="246">
        <f t="shared" si="493"/>
        <v>0</v>
      </c>
    </row>
    <row r="29152" spans="20:20" ht="18.75" customHeight="1" x14ac:dyDescent="0.35">
      <c r="T29152" s="246">
        <f t="shared" si="493"/>
        <v>0</v>
      </c>
    </row>
    <row r="29153" spans="20:20" ht="18.75" customHeight="1" x14ac:dyDescent="0.35">
      <c r="T29153" s="246">
        <f t="shared" si="493"/>
        <v>0</v>
      </c>
    </row>
    <row r="29154" spans="20:20" ht="18.75" customHeight="1" x14ac:dyDescent="0.35">
      <c r="T29154" s="246">
        <f t="shared" si="493"/>
        <v>0</v>
      </c>
    </row>
    <row r="29155" spans="20:20" ht="18.75" customHeight="1" x14ac:dyDescent="0.35">
      <c r="T29155" s="246">
        <f t="shared" si="493"/>
        <v>0</v>
      </c>
    </row>
    <row r="29156" spans="20:20" ht="18.75" customHeight="1" x14ac:dyDescent="0.35">
      <c r="T29156" s="246">
        <f t="shared" si="493"/>
        <v>0</v>
      </c>
    </row>
    <row r="29157" spans="20:20" ht="18.75" customHeight="1" x14ac:dyDescent="0.35">
      <c r="T29157" s="246">
        <f t="shared" si="493"/>
        <v>0</v>
      </c>
    </row>
    <row r="29158" spans="20:20" ht="18.75" customHeight="1" x14ac:dyDescent="0.35">
      <c r="T29158" s="246">
        <f t="shared" si="493"/>
        <v>0</v>
      </c>
    </row>
    <row r="29159" spans="20:20" ht="18.75" customHeight="1" x14ac:dyDescent="0.35">
      <c r="T29159" s="246">
        <f t="shared" si="493"/>
        <v>0</v>
      </c>
    </row>
    <row r="29160" spans="20:20" ht="18.75" customHeight="1" x14ac:dyDescent="0.35">
      <c r="T29160" s="246">
        <f t="shared" si="493"/>
        <v>0</v>
      </c>
    </row>
    <row r="29161" spans="20:20" ht="18.75" customHeight="1" x14ac:dyDescent="0.35">
      <c r="T29161" s="246">
        <f t="shared" si="493"/>
        <v>0</v>
      </c>
    </row>
    <row r="29162" spans="20:20" ht="18.75" customHeight="1" x14ac:dyDescent="0.35">
      <c r="T29162" s="246">
        <f t="shared" si="493"/>
        <v>0</v>
      </c>
    </row>
    <row r="29163" spans="20:20" ht="18.75" customHeight="1" x14ac:dyDescent="0.35">
      <c r="T29163" s="246">
        <f t="shared" si="493"/>
        <v>0</v>
      </c>
    </row>
    <row r="29164" spans="20:20" ht="18.75" customHeight="1" x14ac:dyDescent="0.35">
      <c r="T29164" s="246">
        <f t="shared" si="493"/>
        <v>0</v>
      </c>
    </row>
    <row r="29165" spans="20:20" ht="18.75" customHeight="1" x14ac:dyDescent="0.35">
      <c r="T29165" s="246">
        <f t="shared" si="493"/>
        <v>0</v>
      </c>
    </row>
    <row r="29166" spans="20:20" ht="18.75" customHeight="1" x14ac:dyDescent="0.35">
      <c r="T29166" s="246">
        <f t="shared" si="493"/>
        <v>0</v>
      </c>
    </row>
    <row r="29167" spans="20:20" ht="18.75" customHeight="1" x14ac:dyDescent="0.35">
      <c r="T29167" s="246">
        <f t="shared" si="493"/>
        <v>0</v>
      </c>
    </row>
    <row r="29168" spans="20:20" ht="18.75" customHeight="1" x14ac:dyDescent="0.35">
      <c r="T29168" s="246">
        <f t="shared" si="493"/>
        <v>0</v>
      </c>
    </row>
    <row r="29169" spans="20:20" ht="18.75" customHeight="1" x14ac:dyDescent="0.35">
      <c r="T29169" s="246">
        <f t="shared" si="493"/>
        <v>0</v>
      </c>
    </row>
    <row r="29170" spans="20:20" ht="18.75" customHeight="1" x14ac:dyDescent="0.35">
      <c r="T29170" s="246">
        <f t="shared" si="493"/>
        <v>0</v>
      </c>
    </row>
    <row r="29171" spans="20:20" ht="18.75" customHeight="1" x14ac:dyDescent="0.35">
      <c r="T29171" s="246">
        <f t="shared" si="493"/>
        <v>0</v>
      </c>
    </row>
    <row r="29172" spans="20:20" ht="18.75" customHeight="1" x14ac:dyDescent="0.35">
      <c r="T29172" s="246">
        <f t="shared" si="493"/>
        <v>0</v>
      </c>
    </row>
    <row r="29173" spans="20:20" ht="18.75" customHeight="1" x14ac:dyDescent="0.35">
      <c r="T29173" s="246">
        <f t="shared" si="493"/>
        <v>0</v>
      </c>
    </row>
    <row r="29174" spans="20:20" ht="18.75" customHeight="1" x14ac:dyDescent="0.35">
      <c r="T29174" s="246">
        <f t="shared" si="493"/>
        <v>0</v>
      </c>
    </row>
    <row r="29175" spans="20:20" ht="18.75" customHeight="1" x14ac:dyDescent="0.35">
      <c r="T29175" s="246">
        <f t="shared" si="493"/>
        <v>0</v>
      </c>
    </row>
    <row r="29176" spans="20:20" ht="18.75" customHeight="1" x14ac:dyDescent="0.35">
      <c r="T29176" s="246">
        <f t="shared" si="493"/>
        <v>0</v>
      </c>
    </row>
    <row r="29177" spans="20:20" ht="18.75" customHeight="1" x14ac:dyDescent="0.35">
      <c r="T29177" s="246">
        <f t="shared" si="493"/>
        <v>0</v>
      </c>
    </row>
    <row r="29178" spans="20:20" ht="18.75" customHeight="1" x14ac:dyDescent="0.35">
      <c r="T29178" s="246">
        <f t="shared" si="493"/>
        <v>0</v>
      </c>
    </row>
    <row r="29179" spans="20:20" ht="18.75" customHeight="1" x14ac:dyDescent="0.35">
      <c r="T29179" s="246">
        <f t="shared" si="493"/>
        <v>0</v>
      </c>
    </row>
    <row r="29180" spans="20:20" ht="18.75" customHeight="1" x14ac:dyDescent="0.35">
      <c r="T29180" s="246">
        <f t="shared" ref="T29180:T29243" si="494">R29180*0.01</f>
        <v>0</v>
      </c>
    </row>
    <row r="29181" spans="20:20" ht="18.75" customHeight="1" x14ac:dyDescent="0.35">
      <c r="T29181" s="246">
        <f t="shared" si="494"/>
        <v>0</v>
      </c>
    </row>
    <row r="29182" spans="20:20" ht="18.75" customHeight="1" x14ac:dyDescent="0.35">
      <c r="T29182" s="246">
        <f t="shared" si="494"/>
        <v>0</v>
      </c>
    </row>
    <row r="29183" spans="20:20" ht="18.75" customHeight="1" x14ac:dyDescent="0.35">
      <c r="T29183" s="246">
        <f t="shared" si="494"/>
        <v>0</v>
      </c>
    </row>
    <row r="29184" spans="20:20" ht="18.75" customHeight="1" x14ac:dyDescent="0.35">
      <c r="T29184" s="246">
        <f t="shared" si="494"/>
        <v>0</v>
      </c>
    </row>
    <row r="29185" spans="20:20" ht="18.75" customHeight="1" x14ac:dyDescent="0.35">
      <c r="T29185" s="246">
        <f t="shared" si="494"/>
        <v>0</v>
      </c>
    </row>
    <row r="29186" spans="20:20" ht="18.75" customHeight="1" x14ac:dyDescent="0.35">
      <c r="T29186" s="246">
        <f t="shared" si="494"/>
        <v>0</v>
      </c>
    </row>
    <row r="29187" spans="20:20" ht="18.75" customHeight="1" x14ac:dyDescent="0.35">
      <c r="T29187" s="246">
        <f t="shared" si="494"/>
        <v>0</v>
      </c>
    </row>
    <row r="29188" spans="20:20" ht="18.75" customHeight="1" x14ac:dyDescent="0.35">
      <c r="T29188" s="246">
        <f t="shared" si="494"/>
        <v>0</v>
      </c>
    </row>
    <row r="29189" spans="20:20" ht="18.75" customHeight="1" x14ac:dyDescent="0.35">
      <c r="T29189" s="246">
        <f t="shared" si="494"/>
        <v>0</v>
      </c>
    </row>
    <row r="29190" spans="20:20" ht="18.75" customHeight="1" x14ac:dyDescent="0.35">
      <c r="T29190" s="246">
        <f t="shared" si="494"/>
        <v>0</v>
      </c>
    </row>
    <row r="29191" spans="20:20" ht="18.75" customHeight="1" x14ac:dyDescent="0.35">
      <c r="T29191" s="246">
        <f t="shared" si="494"/>
        <v>0</v>
      </c>
    </row>
    <row r="29192" spans="20:20" ht="18.75" customHeight="1" x14ac:dyDescent="0.35">
      <c r="T29192" s="246">
        <f t="shared" si="494"/>
        <v>0</v>
      </c>
    </row>
    <row r="29193" spans="20:20" ht="18.75" customHeight="1" x14ac:dyDescent="0.35">
      <c r="T29193" s="246">
        <f t="shared" si="494"/>
        <v>0</v>
      </c>
    </row>
    <row r="29194" spans="20:20" ht="18.75" customHeight="1" x14ac:dyDescent="0.35">
      <c r="T29194" s="246">
        <f t="shared" si="494"/>
        <v>0</v>
      </c>
    </row>
    <row r="29195" spans="20:20" ht="18.75" customHeight="1" x14ac:dyDescent="0.35">
      <c r="T29195" s="246">
        <f t="shared" si="494"/>
        <v>0</v>
      </c>
    </row>
    <row r="29196" spans="20:20" ht="18.75" customHeight="1" x14ac:dyDescent="0.35">
      <c r="T29196" s="246">
        <f t="shared" si="494"/>
        <v>0</v>
      </c>
    </row>
    <row r="29197" spans="20:20" ht="18.75" customHeight="1" x14ac:dyDescent="0.35">
      <c r="T29197" s="246">
        <f t="shared" si="494"/>
        <v>0</v>
      </c>
    </row>
    <row r="29198" spans="20:20" ht="18.75" customHeight="1" x14ac:dyDescent="0.35">
      <c r="T29198" s="246">
        <f t="shared" si="494"/>
        <v>0</v>
      </c>
    </row>
    <row r="29199" spans="20:20" ht="18.75" customHeight="1" x14ac:dyDescent="0.35">
      <c r="T29199" s="246">
        <f t="shared" si="494"/>
        <v>0</v>
      </c>
    </row>
    <row r="29200" spans="20:20" ht="18.75" customHeight="1" x14ac:dyDescent="0.35">
      <c r="T29200" s="246">
        <f t="shared" si="494"/>
        <v>0</v>
      </c>
    </row>
    <row r="29201" spans="20:20" ht="18.75" customHeight="1" x14ac:dyDescent="0.35">
      <c r="T29201" s="246">
        <f t="shared" si="494"/>
        <v>0</v>
      </c>
    </row>
    <row r="29202" spans="20:20" ht="18.75" customHeight="1" x14ac:dyDescent="0.35">
      <c r="T29202" s="246">
        <f t="shared" si="494"/>
        <v>0</v>
      </c>
    </row>
    <row r="29203" spans="20:20" ht="18.75" customHeight="1" x14ac:dyDescent="0.35">
      <c r="T29203" s="246">
        <f t="shared" si="494"/>
        <v>0</v>
      </c>
    </row>
    <row r="29204" spans="20:20" ht="18.75" customHeight="1" x14ac:dyDescent="0.35">
      <c r="T29204" s="246">
        <f t="shared" si="494"/>
        <v>0</v>
      </c>
    </row>
    <row r="29205" spans="20:20" ht="18.75" customHeight="1" x14ac:dyDescent="0.35">
      <c r="T29205" s="246">
        <f t="shared" si="494"/>
        <v>0</v>
      </c>
    </row>
    <row r="29206" spans="20:20" ht="18.75" customHeight="1" x14ac:dyDescent="0.35">
      <c r="T29206" s="246">
        <f t="shared" si="494"/>
        <v>0</v>
      </c>
    </row>
    <row r="29207" spans="20:20" ht="18.75" customHeight="1" x14ac:dyDescent="0.35">
      <c r="T29207" s="246">
        <f t="shared" si="494"/>
        <v>0</v>
      </c>
    </row>
    <row r="29208" spans="20:20" ht="18.75" customHeight="1" x14ac:dyDescent="0.35">
      <c r="T29208" s="246">
        <f t="shared" si="494"/>
        <v>0</v>
      </c>
    </row>
    <row r="29209" spans="20:20" ht="18.75" customHeight="1" x14ac:dyDescent="0.35">
      <c r="T29209" s="246">
        <f t="shared" si="494"/>
        <v>0</v>
      </c>
    </row>
    <row r="29210" spans="20:20" ht="18.75" customHeight="1" x14ac:dyDescent="0.35">
      <c r="T29210" s="246">
        <f t="shared" si="494"/>
        <v>0</v>
      </c>
    </row>
    <row r="29211" spans="20:20" ht="18.75" customHeight="1" x14ac:dyDescent="0.35">
      <c r="T29211" s="246">
        <f t="shared" si="494"/>
        <v>0</v>
      </c>
    </row>
    <row r="29212" spans="20:20" ht="18.75" customHeight="1" x14ac:dyDescent="0.35">
      <c r="T29212" s="246">
        <f t="shared" si="494"/>
        <v>0</v>
      </c>
    </row>
    <row r="29213" spans="20:20" ht="18.75" customHeight="1" x14ac:dyDescent="0.35">
      <c r="T29213" s="246">
        <f t="shared" si="494"/>
        <v>0</v>
      </c>
    </row>
    <row r="29214" spans="20:20" ht="18.75" customHeight="1" x14ac:dyDescent="0.35">
      <c r="T29214" s="246">
        <f t="shared" si="494"/>
        <v>0</v>
      </c>
    </row>
    <row r="29215" spans="20:20" ht="18.75" customHeight="1" x14ac:dyDescent="0.35">
      <c r="T29215" s="246">
        <f t="shared" si="494"/>
        <v>0</v>
      </c>
    </row>
    <row r="29216" spans="20:20" ht="18.75" customHeight="1" x14ac:dyDescent="0.35">
      <c r="T29216" s="246">
        <f t="shared" si="494"/>
        <v>0</v>
      </c>
    </row>
    <row r="29217" spans="20:20" ht="18.75" customHeight="1" x14ac:dyDescent="0.35">
      <c r="T29217" s="246">
        <f t="shared" si="494"/>
        <v>0</v>
      </c>
    </row>
    <row r="29218" spans="20:20" ht="18.75" customHeight="1" x14ac:dyDescent="0.35">
      <c r="T29218" s="246">
        <f t="shared" si="494"/>
        <v>0</v>
      </c>
    </row>
    <row r="29219" spans="20:20" ht="18.75" customHeight="1" x14ac:dyDescent="0.35">
      <c r="T29219" s="246">
        <f t="shared" si="494"/>
        <v>0</v>
      </c>
    </row>
    <row r="29220" spans="20:20" ht="18.75" customHeight="1" x14ac:dyDescent="0.35">
      <c r="T29220" s="246">
        <f t="shared" si="494"/>
        <v>0</v>
      </c>
    </row>
    <row r="29221" spans="20:20" ht="18.75" customHeight="1" x14ac:dyDescent="0.35">
      <c r="T29221" s="246">
        <f t="shared" si="494"/>
        <v>0</v>
      </c>
    </row>
    <row r="29222" spans="20:20" ht="18.75" customHeight="1" x14ac:dyDescent="0.35">
      <c r="T29222" s="246">
        <f t="shared" si="494"/>
        <v>0</v>
      </c>
    </row>
    <row r="29223" spans="20:20" ht="18.75" customHeight="1" x14ac:dyDescent="0.35">
      <c r="T29223" s="246">
        <f t="shared" si="494"/>
        <v>0</v>
      </c>
    </row>
    <row r="29224" spans="20:20" ht="18.75" customHeight="1" x14ac:dyDescent="0.35">
      <c r="T29224" s="246">
        <f t="shared" si="494"/>
        <v>0</v>
      </c>
    </row>
    <row r="29225" spans="20:20" ht="18.75" customHeight="1" x14ac:dyDescent="0.35">
      <c r="T29225" s="246">
        <f t="shared" si="494"/>
        <v>0</v>
      </c>
    </row>
    <row r="29226" spans="20:20" ht="18.75" customHeight="1" x14ac:dyDescent="0.35">
      <c r="T29226" s="246">
        <f t="shared" si="494"/>
        <v>0</v>
      </c>
    </row>
    <row r="29227" spans="20:20" ht="18.75" customHeight="1" x14ac:dyDescent="0.35">
      <c r="T29227" s="246">
        <f t="shared" si="494"/>
        <v>0</v>
      </c>
    </row>
    <row r="29228" spans="20:20" ht="18.75" customHeight="1" x14ac:dyDescent="0.35">
      <c r="T29228" s="246">
        <f t="shared" si="494"/>
        <v>0</v>
      </c>
    </row>
    <row r="29229" spans="20:20" ht="18.75" customHeight="1" x14ac:dyDescent="0.35">
      <c r="T29229" s="246">
        <f t="shared" si="494"/>
        <v>0</v>
      </c>
    </row>
    <row r="29230" spans="20:20" ht="18.75" customHeight="1" x14ac:dyDescent="0.35">
      <c r="T29230" s="246">
        <f t="shared" si="494"/>
        <v>0</v>
      </c>
    </row>
    <row r="29231" spans="20:20" ht="18.75" customHeight="1" x14ac:dyDescent="0.35">
      <c r="T29231" s="246">
        <f t="shared" si="494"/>
        <v>0</v>
      </c>
    </row>
    <row r="29232" spans="20:20" ht="18.75" customHeight="1" x14ac:dyDescent="0.35">
      <c r="T29232" s="246">
        <f t="shared" si="494"/>
        <v>0</v>
      </c>
    </row>
    <row r="29233" spans="20:20" ht="18.75" customHeight="1" x14ac:dyDescent="0.35">
      <c r="T29233" s="246">
        <f t="shared" si="494"/>
        <v>0</v>
      </c>
    </row>
    <row r="29234" spans="20:20" ht="18.75" customHeight="1" x14ac:dyDescent="0.35">
      <c r="T29234" s="246">
        <f t="shared" si="494"/>
        <v>0</v>
      </c>
    </row>
    <row r="29235" spans="20:20" ht="18.75" customHeight="1" x14ac:dyDescent="0.35">
      <c r="T29235" s="246">
        <f t="shared" si="494"/>
        <v>0</v>
      </c>
    </row>
    <row r="29236" spans="20:20" ht="18.75" customHeight="1" x14ac:dyDescent="0.35">
      <c r="T29236" s="246">
        <f t="shared" si="494"/>
        <v>0</v>
      </c>
    </row>
    <row r="29237" spans="20:20" ht="18.75" customHeight="1" x14ac:dyDescent="0.35">
      <c r="T29237" s="246">
        <f t="shared" si="494"/>
        <v>0</v>
      </c>
    </row>
    <row r="29238" spans="20:20" ht="18.75" customHeight="1" x14ac:dyDescent="0.35">
      <c r="T29238" s="246">
        <f t="shared" si="494"/>
        <v>0</v>
      </c>
    </row>
    <row r="29239" spans="20:20" ht="18.75" customHeight="1" x14ac:dyDescent="0.35">
      <c r="T29239" s="246">
        <f t="shared" si="494"/>
        <v>0</v>
      </c>
    </row>
    <row r="29240" spans="20:20" ht="18.75" customHeight="1" x14ac:dyDescent="0.35">
      <c r="T29240" s="246">
        <f t="shared" si="494"/>
        <v>0</v>
      </c>
    </row>
    <row r="29241" spans="20:20" ht="18.75" customHeight="1" x14ac:dyDescent="0.35">
      <c r="T29241" s="246">
        <f t="shared" si="494"/>
        <v>0</v>
      </c>
    </row>
    <row r="29242" spans="20:20" ht="18.75" customHeight="1" x14ac:dyDescent="0.35">
      <c r="T29242" s="246">
        <f t="shared" si="494"/>
        <v>0</v>
      </c>
    </row>
    <row r="29243" spans="20:20" ht="18.75" customHeight="1" x14ac:dyDescent="0.35">
      <c r="T29243" s="246">
        <f t="shared" si="494"/>
        <v>0</v>
      </c>
    </row>
    <row r="29244" spans="20:20" ht="18.75" customHeight="1" x14ac:dyDescent="0.35">
      <c r="T29244" s="246">
        <f t="shared" ref="T29244:T29307" si="495">R29244*0.01</f>
        <v>0</v>
      </c>
    </row>
    <row r="29245" spans="20:20" ht="18.75" customHeight="1" x14ac:dyDescent="0.35">
      <c r="T29245" s="246">
        <f t="shared" si="495"/>
        <v>0</v>
      </c>
    </row>
    <row r="29246" spans="20:20" ht="18.75" customHeight="1" x14ac:dyDescent="0.35">
      <c r="T29246" s="246">
        <f t="shared" si="495"/>
        <v>0</v>
      </c>
    </row>
    <row r="29247" spans="20:20" ht="18.75" customHeight="1" x14ac:dyDescent="0.35">
      <c r="T29247" s="246">
        <f t="shared" si="495"/>
        <v>0</v>
      </c>
    </row>
    <row r="29248" spans="20:20" ht="18.75" customHeight="1" x14ac:dyDescent="0.35">
      <c r="T29248" s="246">
        <f t="shared" si="495"/>
        <v>0</v>
      </c>
    </row>
    <row r="29249" spans="20:20" ht="18.75" customHeight="1" x14ac:dyDescent="0.35">
      <c r="T29249" s="246">
        <f t="shared" si="495"/>
        <v>0</v>
      </c>
    </row>
    <row r="29250" spans="20:20" ht="18.75" customHeight="1" x14ac:dyDescent="0.35">
      <c r="T29250" s="246">
        <f t="shared" si="495"/>
        <v>0</v>
      </c>
    </row>
    <row r="29251" spans="20:20" ht="18.75" customHeight="1" x14ac:dyDescent="0.35">
      <c r="T29251" s="246">
        <f t="shared" si="495"/>
        <v>0</v>
      </c>
    </row>
    <row r="29252" spans="20:20" ht="18.75" customHeight="1" x14ac:dyDescent="0.35">
      <c r="T29252" s="246">
        <f t="shared" si="495"/>
        <v>0</v>
      </c>
    </row>
    <row r="29253" spans="20:20" ht="18.75" customHeight="1" x14ac:dyDescent="0.35">
      <c r="T29253" s="246">
        <f t="shared" si="495"/>
        <v>0</v>
      </c>
    </row>
    <row r="29254" spans="20:20" ht="18.75" customHeight="1" x14ac:dyDescent="0.35">
      <c r="T29254" s="246">
        <f t="shared" si="495"/>
        <v>0</v>
      </c>
    </row>
    <row r="29255" spans="20:20" ht="18.75" customHeight="1" x14ac:dyDescent="0.35">
      <c r="T29255" s="246">
        <f t="shared" si="495"/>
        <v>0</v>
      </c>
    </row>
    <row r="29256" spans="20:20" ht="18.75" customHeight="1" x14ac:dyDescent="0.35">
      <c r="T29256" s="246">
        <f t="shared" si="495"/>
        <v>0</v>
      </c>
    </row>
    <row r="29257" spans="20:20" ht="18.75" customHeight="1" x14ac:dyDescent="0.35">
      <c r="T29257" s="246">
        <f t="shared" si="495"/>
        <v>0</v>
      </c>
    </row>
    <row r="29258" spans="20:20" ht="18.75" customHeight="1" x14ac:dyDescent="0.35">
      <c r="T29258" s="246">
        <f t="shared" si="495"/>
        <v>0</v>
      </c>
    </row>
    <row r="29259" spans="20:20" ht="18.75" customHeight="1" x14ac:dyDescent="0.35">
      <c r="T29259" s="246">
        <f t="shared" si="495"/>
        <v>0</v>
      </c>
    </row>
    <row r="29260" spans="20:20" ht="18.75" customHeight="1" x14ac:dyDescent="0.35">
      <c r="T29260" s="246">
        <f t="shared" si="495"/>
        <v>0</v>
      </c>
    </row>
    <row r="29261" spans="20:20" ht="18.75" customHeight="1" x14ac:dyDescent="0.35">
      <c r="T29261" s="246">
        <f t="shared" si="495"/>
        <v>0</v>
      </c>
    </row>
    <row r="29262" spans="20:20" ht="18.75" customHeight="1" x14ac:dyDescent="0.35">
      <c r="T29262" s="246">
        <f t="shared" si="495"/>
        <v>0</v>
      </c>
    </row>
    <row r="29263" spans="20:20" ht="18.75" customHeight="1" x14ac:dyDescent="0.35">
      <c r="T29263" s="246">
        <f t="shared" si="495"/>
        <v>0</v>
      </c>
    </row>
    <row r="29264" spans="20:20" ht="18.75" customHeight="1" x14ac:dyDescent="0.35">
      <c r="T29264" s="246">
        <f t="shared" si="495"/>
        <v>0</v>
      </c>
    </row>
    <row r="29265" spans="20:20" ht="18.75" customHeight="1" x14ac:dyDescent="0.35">
      <c r="T29265" s="246">
        <f t="shared" si="495"/>
        <v>0</v>
      </c>
    </row>
    <row r="29266" spans="20:20" ht="18.75" customHeight="1" x14ac:dyDescent="0.35">
      <c r="T29266" s="246">
        <f t="shared" si="495"/>
        <v>0</v>
      </c>
    </row>
    <row r="29267" spans="20:20" ht="18.75" customHeight="1" x14ac:dyDescent="0.35">
      <c r="T29267" s="246">
        <f t="shared" si="495"/>
        <v>0</v>
      </c>
    </row>
    <row r="29268" spans="20:20" ht="18.75" customHeight="1" x14ac:dyDescent="0.35">
      <c r="T29268" s="246">
        <f t="shared" si="495"/>
        <v>0</v>
      </c>
    </row>
    <row r="29269" spans="20:20" ht="18.75" customHeight="1" x14ac:dyDescent="0.35">
      <c r="T29269" s="246">
        <f t="shared" si="495"/>
        <v>0</v>
      </c>
    </row>
    <row r="29270" spans="20:20" ht="18.75" customHeight="1" x14ac:dyDescent="0.35">
      <c r="T29270" s="246">
        <f t="shared" si="495"/>
        <v>0</v>
      </c>
    </row>
    <row r="29271" spans="20:20" ht="18.75" customHeight="1" x14ac:dyDescent="0.35">
      <c r="T29271" s="246">
        <f t="shared" si="495"/>
        <v>0</v>
      </c>
    </row>
    <row r="29272" spans="20:20" ht="18.75" customHeight="1" x14ac:dyDescent="0.35">
      <c r="T29272" s="246">
        <f t="shared" si="495"/>
        <v>0</v>
      </c>
    </row>
    <row r="29273" spans="20:20" ht="18.75" customHeight="1" x14ac:dyDescent="0.35">
      <c r="T29273" s="246">
        <f t="shared" si="495"/>
        <v>0</v>
      </c>
    </row>
    <row r="29274" spans="20:20" ht="18.75" customHeight="1" x14ac:dyDescent="0.35">
      <c r="T29274" s="246">
        <f t="shared" si="495"/>
        <v>0</v>
      </c>
    </row>
    <row r="29275" spans="20:20" ht="18.75" customHeight="1" x14ac:dyDescent="0.35">
      <c r="T29275" s="246">
        <f t="shared" si="495"/>
        <v>0</v>
      </c>
    </row>
    <row r="29276" spans="20:20" ht="18.75" customHeight="1" x14ac:dyDescent="0.35">
      <c r="T29276" s="246">
        <f t="shared" si="495"/>
        <v>0</v>
      </c>
    </row>
    <row r="29277" spans="20:20" ht="18.75" customHeight="1" x14ac:dyDescent="0.35">
      <c r="T29277" s="246">
        <f t="shared" si="495"/>
        <v>0</v>
      </c>
    </row>
    <row r="29278" spans="20:20" ht="18.75" customHeight="1" x14ac:dyDescent="0.35">
      <c r="T29278" s="246">
        <f t="shared" si="495"/>
        <v>0</v>
      </c>
    </row>
    <row r="29279" spans="20:20" ht="18.75" customHeight="1" x14ac:dyDescent="0.35">
      <c r="T29279" s="246">
        <f t="shared" si="495"/>
        <v>0</v>
      </c>
    </row>
    <row r="29280" spans="20:20" ht="18.75" customHeight="1" x14ac:dyDescent="0.35">
      <c r="T29280" s="246">
        <f t="shared" si="495"/>
        <v>0</v>
      </c>
    </row>
    <row r="29281" spans="20:20" ht="18.75" customHeight="1" x14ac:dyDescent="0.35">
      <c r="T29281" s="246">
        <f t="shared" si="495"/>
        <v>0</v>
      </c>
    </row>
    <row r="29282" spans="20:20" ht="18.75" customHeight="1" x14ac:dyDescent="0.35">
      <c r="T29282" s="246">
        <f t="shared" si="495"/>
        <v>0</v>
      </c>
    </row>
    <row r="29283" spans="20:20" ht="18.75" customHeight="1" x14ac:dyDescent="0.35">
      <c r="T29283" s="246">
        <f t="shared" si="495"/>
        <v>0</v>
      </c>
    </row>
    <row r="29284" spans="20:20" ht="18.75" customHeight="1" x14ac:dyDescent="0.35">
      <c r="T29284" s="246">
        <f t="shared" si="495"/>
        <v>0</v>
      </c>
    </row>
    <row r="29285" spans="20:20" ht="18.75" customHeight="1" x14ac:dyDescent="0.35">
      <c r="T29285" s="246">
        <f t="shared" si="495"/>
        <v>0</v>
      </c>
    </row>
    <row r="29286" spans="20:20" ht="18.75" customHeight="1" x14ac:dyDescent="0.35">
      <c r="T29286" s="246">
        <f t="shared" si="495"/>
        <v>0</v>
      </c>
    </row>
    <row r="29287" spans="20:20" ht="18.75" customHeight="1" x14ac:dyDescent="0.35">
      <c r="T29287" s="246">
        <f t="shared" si="495"/>
        <v>0</v>
      </c>
    </row>
    <row r="29288" spans="20:20" ht="18.75" customHeight="1" x14ac:dyDescent="0.35">
      <c r="T29288" s="246">
        <f t="shared" si="495"/>
        <v>0</v>
      </c>
    </row>
    <row r="29289" spans="20:20" ht="18.75" customHeight="1" x14ac:dyDescent="0.35">
      <c r="T29289" s="246">
        <f t="shared" si="495"/>
        <v>0</v>
      </c>
    </row>
    <row r="29290" spans="20:20" ht="18.75" customHeight="1" x14ac:dyDescent="0.35">
      <c r="T29290" s="246">
        <f t="shared" si="495"/>
        <v>0</v>
      </c>
    </row>
    <row r="29291" spans="20:20" ht="18.75" customHeight="1" x14ac:dyDescent="0.35">
      <c r="T29291" s="246">
        <f t="shared" si="495"/>
        <v>0</v>
      </c>
    </row>
    <row r="29292" spans="20:20" ht="18.75" customHeight="1" x14ac:dyDescent="0.35">
      <c r="T29292" s="246">
        <f t="shared" si="495"/>
        <v>0</v>
      </c>
    </row>
    <row r="29293" spans="20:20" ht="18.75" customHeight="1" x14ac:dyDescent="0.35">
      <c r="T29293" s="246">
        <f t="shared" si="495"/>
        <v>0</v>
      </c>
    </row>
    <row r="29294" spans="20:20" ht="18.75" customHeight="1" x14ac:dyDescent="0.35">
      <c r="T29294" s="246">
        <f t="shared" si="495"/>
        <v>0</v>
      </c>
    </row>
    <row r="29295" spans="20:20" ht="18.75" customHeight="1" x14ac:dyDescent="0.35">
      <c r="T29295" s="246">
        <f t="shared" si="495"/>
        <v>0</v>
      </c>
    </row>
    <row r="29296" spans="20:20" ht="18.75" customHeight="1" x14ac:dyDescent="0.35">
      <c r="T29296" s="246">
        <f t="shared" si="495"/>
        <v>0</v>
      </c>
    </row>
    <row r="29297" spans="20:20" ht="18.75" customHeight="1" x14ac:dyDescent="0.35">
      <c r="T29297" s="246">
        <f t="shared" si="495"/>
        <v>0</v>
      </c>
    </row>
    <row r="29298" spans="20:20" ht="18.75" customHeight="1" x14ac:dyDescent="0.35">
      <c r="T29298" s="246">
        <f t="shared" si="495"/>
        <v>0</v>
      </c>
    </row>
    <row r="29299" spans="20:20" ht="18.75" customHeight="1" x14ac:dyDescent="0.35">
      <c r="T29299" s="246">
        <f t="shared" si="495"/>
        <v>0</v>
      </c>
    </row>
    <row r="29300" spans="20:20" ht="18.75" customHeight="1" x14ac:dyDescent="0.35">
      <c r="T29300" s="246">
        <f t="shared" si="495"/>
        <v>0</v>
      </c>
    </row>
    <row r="29301" spans="20:20" ht="18.75" customHeight="1" x14ac:dyDescent="0.35">
      <c r="T29301" s="246">
        <f t="shared" si="495"/>
        <v>0</v>
      </c>
    </row>
    <row r="29302" spans="20:20" ht="18.75" customHeight="1" x14ac:dyDescent="0.35">
      <c r="T29302" s="246">
        <f t="shared" si="495"/>
        <v>0</v>
      </c>
    </row>
    <row r="29303" spans="20:20" ht="18.75" customHeight="1" x14ac:dyDescent="0.35">
      <c r="T29303" s="246">
        <f t="shared" si="495"/>
        <v>0</v>
      </c>
    </row>
    <row r="29304" spans="20:20" ht="18.75" customHeight="1" x14ac:dyDescent="0.35">
      <c r="T29304" s="246">
        <f t="shared" si="495"/>
        <v>0</v>
      </c>
    </row>
    <row r="29305" spans="20:20" ht="18.75" customHeight="1" x14ac:dyDescent="0.35">
      <c r="T29305" s="246">
        <f t="shared" si="495"/>
        <v>0</v>
      </c>
    </row>
    <row r="29306" spans="20:20" ht="18.75" customHeight="1" x14ac:dyDescent="0.35">
      <c r="T29306" s="246">
        <f t="shared" si="495"/>
        <v>0</v>
      </c>
    </row>
    <row r="29307" spans="20:20" ht="18.75" customHeight="1" x14ac:dyDescent="0.35">
      <c r="T29307" s="246">
        <f t="shared" si="495"/>
        <v>0</v>
      </c>
    </row>
    <row r="29308" spans="20:20" ht="18.75" customHeight="1" x14ac:dyDescent="0.35">
      <c r="T29308" s="246">
        <f t="shared" ref="T29308:T29371" si="496">R29308*0.01</f>
        <v>0</v>
      </c>
    </row>
    <row r="29309" spans="20:20" ht="18.75" customHeight="1" x14ac:dyDescent="0.35">
      <c r="T29309" s="246">
        <f t="shared" si="496"/>
        <v>0</v>
      </c>
    </row>
    <row r="29310" spans="20:20" ht="18.75" customHeight="1" x14ac:dyDescent="0.35">
      <c r="T29310" s="246">
        <f t="shared" si="496"/>
        <v>0</v>
      </c>
    </row>
    <row r="29311" spans="20:20" ht="18.75" customHeight="1" x14ac:dyDescent="0.35">
      <c r="T29311" s="246">
        <f t="shared" si="496"/>
        <v>0</v>
      </c>
    </row>
    <row r="29312" spans="20:20" ht="18.75" customHeight="1" x14ac:dyDescent="0.35">
      <c r="T29312" s="246">
        <f t="shared" si="496"/>
        <v>0</v>
      </c>
    </row>
    <row r="29313" spans="20:20" ht="18.75" customHeight="1" x14ac:dyDescent="0.35">
      <c r="T29313" s="246">
        <f t="shared" si="496"/>
        <v>0</v>
      </c>
    </row>
    <row r="29314" spans="20:20" ht="18.75" customHeight="1" x14ac:dyDescent="0.35">
      <c r="T29314" s="246">
        <f t="shared" si="496"/>
        <v>0</v>
      </c>
    </row>
    <row r="29315" spans="20:20" ht="18.75" customHeight="1" x14ac:dyDescent="0.35">
      <c r="T29315" s="246">
        <f t="shared" si="496"/>
        <v>0</v>
      </c>
    </row>
    <row r="29316" spans="20:20" ht="18.75" customHeight="1" x14ac:dyDescent="0.35">
      <c r="T29316" s="246">
        <f t="shared" si="496"/>
        <v>0</v>
      </c>
    </row>
    <row r="29317" spans="20:20" ht="18.75" customHeight="1" x14ac:dyDescent="0.35">
      <c r="T29317" s="246">
        <f t="shared" si="496"/>
        <v>0</v>
      </c>
    </row>
    <row r="29318" spans="20:20" ht="18.75" customHeight="1" x14ac:dyDescent="0.35">
      <c r="T29318" s="246">
        <f t="shared" si="496"/>
        <v>0</v>
      </c>
    </row>
    <row r="29319" spans="20:20" ht="18.75" customHeight="1" x14ac:dyDescent="0.35">
      <c r="T29319" s="246">
        <f t="shared" si="496"/>
        <v>0</v>
      </c>
    </row>
    <row r="29320" spans="20:20" ht="18.75" customHeight="1" x14ac:dyDescent="0.35">
      <c r="T29320" s="246">
        <f t="shared" si="496"/>
        <v>0</v>
      </c>
    </row>
    <row r="29321" spans="20:20" ht="18.75" customHeight="1" x14ac:dyDescent="0.35">
      <c r="T29321" s="246">
        <f t="shared" si="496"/>
        <v>0</v>
      </c>
    </row>
    <row r="29322" spans="20:20" ht="18.75" customHeight="1" x14ac:dyDescent="0.35">
      <c r="T29322" s="246">
        <f t="shared" si="496"/>
        <v>0</v>
      </c>
    </row>
    <row r="29323" spans="20:20" ht="18.75" customHeight="1" x14ac:dyDescent="0.35">
      <c r="T29323" s="246">
        <f t="shared" si="496"/>
        <v>0</v>
      </c>
    </row>
    <row r="29324" spans="20:20" ht="18.75" customHeight="1" x14ac:dyDescent="0.35">
      <c r="T29324" s="246">
        <f t="shared" si="496"/>
        <v>0</v>
      </c>
    </row>
    <row r="29325" spans="20:20" ht="18.75" customHeight="1" x14ac:dyDescent="0.35">
      <c r="T29325" s="246">
        <f t="shared" si="496"/>
        <v>0</v>
      </c>
    </row>
    <row r="29326" spans="20:20" ht="18.75" customHeight="1" x14ac:dyDescent="0.35">
      <c r="T29326" s="246">
        <f t="shared" si="496"/>
        <v>0</v>
      </c>
    </row>
    <row r="29327" spans="20:20" ht="18.75" customHeight="1" x14ac:dyDescent="0.35">
      <c r="T29327" s="246">
        <f t="shared" si="496"/>
        <v>0</v>
      </c>
    </row>
    <row r="29328" spans="20:20" ht="18.75" customHeight="1" x14ac:dyDescent="0.35">
      <c r="T29328" s="246">
        <f t="shared" si="496"/>
        <v>0</v>
      </c>
    </row>
    <row r="29329" spans="20:20" ht="18.75" customHeight="1" x14ac:dyDescent="0.35">
      <c r="T29329" s="246">
        <f t="shared" si="496"/>
        <v>0</v>
      </c>
    </row>
    <row r="29330" spans="20:20" ht="18.75" customHeight="1" x14ac:dyDescent="0.35">
      <c r="T29330" s="246">
        <f t="shared" si="496"/>
        <v>0</v>
      </c>
    </row>
    <row r="29331" spans="20:20" ht="18.75" customHeight="1" x14ac:dyDescent="0.35">
      <c r="T29331" s="246">
        <f t="shared" si="496"/>
        <v>0</v>
      </c>
    </row>
    <row r="29332" spans="20:20" ht="18.75" customHeight="1" x14ac:dyDescent="0.35">
      <c r="T29332" s="246">
        <f t="shared" si="496"/>
        <v>0</v>
      </c>
    </row>
    <row r="29333" spans="20:20" ht="18.75" customHeight="1" x14ac:dyDescent="0.35">
      <c r="T29333" s="246">
        <f t="shared" si="496"/>
        <v>0</v>
      </c>
    </row>
    <row r="29334" spans="20:20" ht="18.75" customHeight="1" x14ac:dyDescent="0.35">
      <c r="T29334" s="246">
        <f t="shared" si="496"/>
        <v>0</v>
      </c>
    </row>
    <row r="29335" spans="20:20" ht="18.75" customHeight="1" x14ac:dyDescent="0.35">
      <c r="T29335" s="246">
        <f t="shared" si="496"/>
        <v>0</v>
      </c>
    </row>
    <row r="29336" spans="20:20" ht="18.75" customHeight="1" x14ac:dyDescent="0.35">
      <c r="T29336" s="246">
        <f t="shared" si="496"/>
        <v>0</v>
      </c>
    </row>
    <row r="29337" spans="20:20" ht="18.75" customHeight="1" x14ac:dyDescent="0.35">
      <c r="T29337" s="246">
        <f t="shared" si="496"/>
        <v>0</v>
      </c>
    </row>
    <row r="29338" spans="20:20" ht="18.75" customHeight="1" x14ac:dyDescent="0.35">
      <c r="T29338" s="246">
        <f t="shared" si="496"/>
        <v>0</v>
      </c>
    </row>
    <row r="29339" spans="20:20" ht="18.75" customHeight="1" x14ac:dyDescent="0.35">
      <c r="T29339" s="246">
        <f t="shared" si="496"/>
        <v>0</v>
      </c>
    </row>
    <row r="29340" spans="20:20" ht="18.75" customHeight="1" x14ac:dyDescent="0.35">
      <c r="T29340" s="246">
        <f t="shared" si="496"/>
        <v>0</v>
      </c>
    </row>
    <row r="29341" spans="20:20" ht="18.75" customHeight="1" x14ac:dyDescent="0.35">
      <c r="T29341" s="246">
        <f t="shared" si="496"/>
        <v>0</v>
      </c>
    </row>
    <row r="29342" spans="20:20" ht="18.75" customHeight="1" x14ac:dyDescent="0.35">
      <c r="T29342" s="246">
        <f t="shared" si="496"/>
        <v>0</v>
      </c>
    </row>
    <row r="29343" spans="20:20" ht="18.75" customHeight="1" x14ac:dyDescent="0.35">
      <c r="T29343" s="246">
        <f t="shared" si="496"/>
        <v>0</v>
      </c>
    </row>
    <row r="29344" spans="20:20" ht="18.75" customHeight="1" x14ac:dyDescent="0.35">
      <c r="T29344" s="246">
        <f t="shared" si="496"/>
        <v>0</v>
      </c>
    </row>
    <row r="29345" spans="20:20" ht="18.75" customHeight="1" x14ac:dyDescent="0.35">
      <c r="T29345" s="246">
        <f t="shared" si="496"/>
        <v>0</v>
      </c>
    </row>
    <row r="29346" spans="20:20" ht="18.75" customHeight="1" x14ac:dyDescent="0.35">
      <c r="T29346" s="246">
        <f t="shared" si="496"/>
        <v>0</v>
      </c>
    </row>
    <row r="29347" spans="20:20" ht="18.75" customHeight="1" x14ac:dyDescent="0.35">
      <c r="T29347" s="246">
        <f t="shared" si="496"/>
        <v>0</v>
      </c>
    </row>
    <row r="29348" spans="20:20" ht="18.75" customHeight="1" x14ac:dyDescent="0.35">
      <c r="T29348" s="246">
        <f t="shared" si="496"/>
        <v>0</v>
      </c>
    </row>
    <row r="29349" spans="20:20" ht="18.75" customHeight="1" x14ac:dyDescent="0.35">
      <c r="T29349" s="246">
        <f t="shared" si="496"/>
        <v>0</v>
      </c>
    </row>
    <row r="29350" spans="20:20" ht="18.75" customHeight="1" x14ac:dyDescent="0.35">
      <c r="T29350" s="246">
        <f t="shared" si="496"/>
        <v>0</v>
      </c>
    </row>
    <row r="29351" spans="20:20" ht="18.75" customHeight="1" x14ac:dyDescent="0.35">
      <c r="T29351" s="246">
        <f t="shared" si="496"/>
        <v>0</v>
      </c>
    </row>
    <row r="29352" spans="20:20" ht="18.75" customHeight="1" x14ac:dyDescent="0.35">
      <c r="T29352" s="246">
        <f t="shared" si="496"/>
        <v>0</v>
      </c>
    </row>
    <row r="29353" spans="20:20" ht="18.75" customHeight="1" x14ac:dyDescent="0.35">
      <c r="T29353" s="246">
        <f t="shared" si="496"/>
        <v>0</v>
      </c>
    </row>
    <row r="29354" spans="20:20" ht="18.75" customHeight="1" x14ac:dyDescent="0.35">
      <c r="T29354" s="246">
        <f t="shared" si="496"/>
        <v>0</v>
      </c>
    </row>
    <row r="29355" spans="20:20" ht="18.75" customHeight="1" x14ac:dyDescent="0.35">
      <c r="T29355" s="246">
        <f t="shared" si="496"/>
        <v>0</v>
      </c>
    </row>
    <row r="29356" spans="20:20" ht="18.75" customHeight="1" x14ac:dyDescent="0.35">
      <c r="T29356" s="246">
        <f t="shared" si="496"/>
        <v>0</v>
      </c>
    </row>
    <row r="29357" spans="20:20" ht="18.75" customHeight="1" x14ac:dyDescent="0.35">
      <c r="T29357" s="246">
        <f t="shared" si="496"/>
        <v>0</v>
      </c>
    </row>
    <row r="29358" spans="20:20" ht="18.75" customHeight="1" x14ac:dyDescent="0.35">
      <c r="T29358" s="246">
        <f t="shared" si="496"/>
        <v>0</v>
      </c>
    </row>
    <row r="29359" spans="20:20" ht="18.75" customHeight="1" x14ac:dyDescent="0.35">
      <c r="T29359" s="246">
        <f t="shared" si="496"/>
        <v>0</v>
      </c>
    </row>
    <row r="29360" spans="20:20" ht="18.75" customHeight="1" x14ac:dyDescent="0.35">
      <c r="T29360" s="246">
        <f t="shared" si="496"/>
        <v>0</v>
      </c>
    </row>
    <row r="29361" spans="20:20" ht="18.75" customHeight="1" x14ac:dyDescent="0.35">
      <c r="T29361" s="246">
        <f t="shared" si="496"/>
        <v>0</v>
      </c>
    </row>
    <row r="29362" spans="20:20" ht="18.75" customHeight="1" x14ac:dyDescent="0.35">
      <c r="T29362" s="246">
        <f t="shared" si="496"/>
        <v>0</v>
      </c>
    </row>
    <row r="29363" spans="20:20" ht="18.75" customHeight="1" x14ac:dyDescent="0.35">
      <c r="T29363" s="246">
        <f t="shared" si="496"/>
        <v>0</v>
      </c>
    </row>
    <row r="29364" spans="20:20" ht="18.75" customHeight="1" x14ac:dyDescent="0.35">
      <c r="T29364" s="246">
        <f t="shared" si="496"/>
        <v>0</v>
      </c>
    </row>
    <row r="29365" spans="20:20" ht="18.75" customHeight="1" x14ac:dyDescent="0.35">
      <c r="T29365" s="246">
        <f t="shared" si="496"/>
        <v>0</v>
      </c>
    </row>
    <row r="29366" spans="20:20" ht="18.75" customHeight="1" x14ac:dyDescent="0.35">
      <c r="T29366" s="246">
        <f t="shared" si="496"/>
        <v>0</v>
      </c>
    </row>
    <row r="29367" spans="20:20" ht="18.75" customHeight="1" x14ac:dyDescent="0.35">
      <c r="T29367" s="246">
        <f t="shared" si="496"/>
        <v>0</v>
      </c>
    </row>
    <row r="29368" spans="20:20" ht="18.75" customHeight="1" x14ac:dyDescent="0.35">
      <c r="T29368" s="246">
        <f t="shared" si="496"/>
        <v>0</v>
      </c>
    </row>
    <row r="29369" spans="20:20" ht="18.75" customHeight="1" x14ac:dyDescent="0.35">
      <c r="T29369" s="246">
        <f t="shared" si="496"/>
        <v>0</v>
      </c>
    </row>
    <row r="29370" spans="20:20" ht="18.75" customHeight="1" x14ac:dyDescent="0.35">
      <c r="T29370" s="246">
        <f t="shared" si="496"/>
        <v>0</v>
      </c>
    </row>
    <row r="29371" spans="20:20" ht="18.75" customHeight="1" x14ac:dyDescent="0.35">
      <c r="T29371" s="246">
        <f t="shared" si="496"/>
        <v>0</v>
      </c>
    </row>
    <row r="29372" spans="20:20" ht="18.75" customHeight="1" x14ac:dyDescent="0.35">
      <c r="T29372" s="246">
        <f t="shared" ref="T29372:T29435" si="497">R29372*0.01</f>
        <v>0</v>
      </c>
    </row>
    <row r="29373" spans="20:20" ht="18.75" customHeight="1" x14ac:dyDescent="0.35">
      <c r="T29373" s="246">
        <f t="shared" si="497"/>
        <v>0</v>
      </c>
    </row>
    <row r="29374" spans="20:20" ht="18.75" customHeight="1" x14ac:dyDescent="0.35">
      <c r="T29374" s="246">
        <f t="shared" si="497"/>
        <v>0</v>
      </c>
    </row>
    <row r="29375" spans="20:20" ht="18.75" customHeight="1" x14ac:dyDescent="0.35">
      <c r="T29375" s="246">
        <f t="shared" si="497"/>
        <v>0</v>
      </c>
    </row>
    <row r="29376" spans="20:20" ht="18.75" customHeight="1" x14ac:dyDescent="0.35">
      <c r="T29376" s="246">
        <f t="shared" si="497"/>
        <v>0</v>
      </c>
    </row>
    <row r="29377" spans="20:20" ht="18.75" customHeight="1" x14ac:dyDescent="0.35">
      <c r="T29377" s="246">
        <f t="shared" si="497"/>
        <v>0</v>
      </c>
    </row>
    <row r="29378" spans="20:20" ht="18.75" customHeight="1" x14ac:dyDescent="0.35">
      <c r="T29378" s="246">
        <f t="shared" si="497"/>
        <v>0</v>
      </c>
    </row>
    <row r="29379" spans="20:20" ht="18.75" customHeight="1" x14ac:dyDescent="0.35">
      <c r="T29379" s="246">
        <f t="shared" si="497"/>
        <v>0</v>
      </c>
    </row>
    <row r="29380" spans="20:20" ht="18.75" customHeight="1" x14ac:dyDescent="0.35">
      <c r="T29380" s="246">
        <f t="shared" si="497"/>
        <v>0</v>
      </c>
    </row>
    <row r="29381" spans="20:20" ht="18.75" customHeight="1" x14ac:dyDescent="0.35">
      <c r="T29381" s="246">
        <f t="shared" si="497"/>
        <v>0</v>
      </c>
    </row>
    <row r="29382" spans="20:20" ht="18.75" customHeight="1" x14ac:dyDescent="0.35">
      <c r="T29382" s="246">
        <f t="shared" si="497"/>
        <v>0</v>
      </c>
    </row>
    <row r="29383" spans="20:20" ht="18.75" customHeight="1" x14ac:dyDescent="0.35">
      <c r="T29383" s="246">
        <f t="shared" si="497"/>
        <v>0</v>
      </c>
    </row>
    <row r="29384" spans="20:20" ht="18.75" customHeight="1" x14ac:dyDescent="0.35">
      <c r="T29384" s="246">
        <f t="shared" si="497"/>
        <v>0</v>
      </c>
    </row>
    <row r="29385" spans="20:20" ht="18.75" customHeight="1" x14ac:dyDescent="0.35">
      <c r="T29385" s="246">
        <f t="shared" si="497"/>
        <v>0</v>
      </c>
    </row>
    <row r="29386" spans="20:20" ht="18.75" customHeight="1" x14ac:dyDescent="0.35">
      <c r="T29386" s="246">
        <f t="shared" si="497"/>
        <v>0</v>
      </c>
    </row>
    <row r="29387" spans="20:20" ht="18.75" customHeight="1" x14ac:dyDescent="0.35">
      <c r="T29387" s="246">
        <f t="shared" si="497"/>
        <v>0</v>
      </c>
    </row>
    <row r="29388" spans="20:20" ht="18.75" customHeight="1" x14ac:dyDescent="0.35">
      <c r="T29388" s="246">
        <f t="shared" si="497"/>
        <v>0</v>
      </c>
    </row>
    <row r="29389" spans="20:20" ht="18.75" customHeight="1" x14ac:dyDescent="0.35">
      <c r="T29389" s="246">
        <f t="shared" si="497"/>
        <v>0</v>
      </c>
    </row>
    <row r="29390" spans="20:20" ht="18.75" customHeight="1" x14ac:dyDescent="0.35">
      <c r="T29390" s="246">
        <f t="shared" si="497"/>
        <v>0</v>
      </c>
    </row>
    <row r="29391" spans="20:20" ht="18.75" customHeight="1" x14ac:dyDescent="0.35">
      <c r="T29391" s="246">
        <f t="shared" si="497"/>
        <v>0</v>
      </c>
    </row>
    <row r="29392" spans="20:20" ht="18.75" customHeight="1" x14ac:dyDescent="0.35">
      <c r="T29392" s="246">
        <f t="shared" si="497"/>
        <v>0</v>
      </c>
    </row>
    <row r="29393" spans="20:20" ht="18.75" customHeight="1" x14ac:dyDescent="0.35">
      <c r="T29393" s="246">
        <f t="shared" si="497"/>
        <v>0</v>
      </c>
    </row>
    <row r="29394" spans="20:20" ht="18.75" customHeight="1" x14ac:dyDescent="0.35">
      <c r="T29394" s="246">
        <f t="shared" si="497"/>
        <v>0</v>
      </c>
    </row>
    <row r="29395" spans="20:20" ht="18.75" customHeight="1" x14ac:dyDescent="0.35">
      <c r="T29395" s="246">
        <f t="shared" si="497"/>
        <v>0</v>
      </c>
    </row>
    <row r="29396" spans="20:20" ht="18.75" customHeight="1" x14ac:dyDescent="0.35">
      <c r="T29396" s="246">
        <f t="shared" si="497"/>
        <v>0</v>
      </c>
    </row>
    <row r="29397" spans="20:20" ht="18.75" customHeight="1" x14ac:dyDescent="0.35">
      <c r="T29397" s="246">
        <f t="shared" si="497"/>
        <v>0</v>
      </c>
    </row>
    <row r="29398" spans="20:20" ht="18.75" customHeight="1" x14ac:dyDescent="0.35">
      <c r="T29398" s="246">
        <f t="shared" si="497"/>
        <v>0</v>
      </c>
    </row>
    <row r="29399" spans="20:20" ht="18.75" customHeight="1" x14ac:dyDescent="0.35">
      <c r="T29399" s="246">
        <f t="shared" si="497"/>
        <v>0</v>
      </c>
    </row>
    <row r="29400" spans="20:20" ht="18.75" customHeight="1" x14ac:dyDescent="0.35">
      <c r="T29400" s="246">
        <f t="shared" si="497"/>
        <v>0</v>
      </c>
    </row>
    <row r="29401" spans="20:20" ht="18.75" customHeight="1" x14ac:dyDescent="0.35">
      <c r="T29401" s="246">
        <f t="shared" si="497"/>
        <v>0</v>
      </c>
    </row>
    <row r="29402" spans="20:20" ht="18.75" customHeight="1" x14ac:dyDescent="0.35">
      <c r="T29402" s="246">
        <f t="shared" si="497"/>
        <v>0</v>
      </c>
    </row>
    <row r="29403" spans="20:20" ht="18.75" customHeight="1" x14ac:dyDescent="0.35">
      <c r="T29403" s="246">
        <f t="shared" si="497"/>
        <v>0</v>
      </c>
    </row>
    <row r="29404" spans="20:20" ht="18.75" customHeight="1" x14ac:dyDescent="0.35">
      <c r="T29404" s="246">
        <f t="shared" si="497"/>
        <v>0</v>
      </c>
    </row>
    <row r="29405" spans="20:20" ht="18.75" customHeight="1" x14ac:dyDescent="0.35">
      <c r="T29405" s="246">
        <f t="shared" si="497"/>
        <v>0</v>
      </c>
    </row>
    <row r="29406" spans="20:20" ht="18.75" customHeight="1" x14ac:dyDescent="0.35">
      <c r="T29406" s="246">
        <f t="shared" si="497"/>
        <v>0</v>
      </c>
    </row>
    <row r="29407" spans="20:20" ht="18.75" customHeight="1" x14ac:dyDescent="0.35">
      <c r="T29407" s="246">
        <f t="shared" si="497"/>
        <v>0</v>
      </c>
    </row>
    <row r="29408" spans="20:20" ht="18.75" customHeight="1" x14ac:dyDescent="0.35">
      <c r="T29408" s="246">
        <f t="shared" si="497"/>
        <v>0</v>
      </c>
    </row>
    <row r="29409" spans="20:20" ht="18.75" customHeight="1" x14ac:dyDescent="0.35">
      <c r="T29409" s="246">
        <f t="shared" si="497"/>
        <v>0</v>
      </c>
    </row>
    <row r="29410" spans="20:20" ht="18.75" customHeight="1" x14ac:dyDescent="0.35">
      <c r="T29410" s="246">
        <f t="shared" si="497"/>
        <v>0</v>
      </c>
    </row>
    <row r="29411" spans="20:20" ht="18.75" customHeight="1" x14ac:dyDescent="0.35">
      <c r="T29411" s="246">
        <f t="shared" si="497"/>
        <v>0</v>
      </c>
    </row>
    <row r="29412" spans="20:20" ht="18.75" customHeight="1" x14ac:dyDescent="0.35">
      <c r="T29412" s="246">
        <f t="shared" si="497"/>
        <v>0</v>
      </c>
    </row>
    <row r="29413" spans="20:20" ht="18.75" customHeight="1" x14ac:dyDescent="0.35">
      <c r="T29413" s="246">
        <f t="shared" si="497"/>
        <v>0</v>
      </c>
    </row>
    <row r="29414" spans="20:20" ht="18.75" customHeight="1" x14ac:dyDescent="0.35">
      <c r="T29414" s="246">
        <f t="shared" si="497"/>
        <v>0</v>
      </c>
    </row>
    <row r="29415" spans="20:20" ht="18.75" customHeight="1" x14ac:dyDescent="0.35">
      <c r="T29415" s="246">
        <f t="shared" si="497"/>
        <v>0</v>
      </c>
    </row>
    <row r="29416" spans="20:20" ht="18.75" customHeight="1" x14ac:dyDescent="0.35">
      <c r="T29416" s="246">
        <f t="shared" si="497"/>
        <v>0</v>
      </c>
    </row>
    <row r="29417" spans="20:20" ht="18.75" customHeight="1" x14ac:dyDescent="0.35">
      <c r="T29417" s="246">
        <f t="shared" si="497"/>
        <v>0</v>
      </c>
    </row>
    <row r="29418" spans="20:20" ht="18.75" customHeight="1" x14ac:dyDescent="0.35">
      <c r="T29418" s="246">
        <f t="shared" si="497"/>
        <v>0</v>
      </c>
    </row>
    <row r="29419" spans="20:20" ht="18.75" customHeight="1" x14ac:dyDescent="0.35">
      <c r="T29419" s="246">
        <f t="shared" si="497"/>
        <v>0</v>
      </c>
    </row>
    <row r="29420" spans="20:20" ht="18.75" customHeight="1" x14ac:dyDescent="0.35">
      <c r="T29420" s="246">
        <f t="shared" si="497"/>
        <v>0</v>
      </c>
    </row>
    <row r="29421" spans="20:20" ht="18.75" customHeight="1" x14ac:dyDescent="0.35">
      <c r="T29421" s="246">
        <f t="shared" si="497"/>
        <v>0</v>
      </c>
    </row>
    <row r="29422" spans="20:20" ht="18.75" customHeight="1" x14ac:dyDescent="0.35">
      <c r="T29422" s="246">
        <f t="shared" si="497"/>
        <v>0</v>
      </c>
    </row>
    <row r="29423" spans="20:20" ht="18.75" customHeight="1" x14ac:dyDescent="0.35">
      <c r="T29423" s="246">
        <f t="shared" si="497"/>
        <v>0</v>
      </c>
    </row>
    <row r="29424" spans="20:20" ht="18.75" customHeight="1" x14ac:dyDescent="0.35">
      <c r="T29424" s="246">
        <f t="shared" si="497"/>
        <v>0</v>
      </c>
    </row>
    <row r="29425" spans="20:20" ht="18.75" customHeight="1" x14ac:dyDescent="0.35">
      <c r="T29425" s="246">
        <f t="shared" si="497"/>
        <v>0</v>
      </c>
    </row>
    <row r="29426" spans="20:20" ht="18.75" customHeight="1" x14ac:dyDescent="0.35">
      <c r="T29426" s="246">
        <f t="shared" si="497"/>
        <v>0</v>
      </c>
    </row>
    <row r="29427" spans="20:20" ht="18.75" customHeight="1" x14ac:dyDescent="0.35">
      <c r="T29427" s="246">
        <f t="shared" si="497"/>
        <v>0</v>
      </c>
    </row>
    <row r="29428" spans="20:20" ht="18.75" customHeight="1" x14ac:dyDescent="0.35">
      <c r="T29428" s="246">
        <f t="shared" si="497"/>
        <v>0</v>
      </c>
    </row>
    <row r="29429" spans="20:20" ht="18.75" customHeight="1" x14ac:dyDescent="0.35">
      <c r="T29429" s="246">
        <f t="shared" si="497"/>
        <v>0</v>
      </c>
    </row>
    <row r="29430" spans="20:20" ht="18.75" customHeight="1" x14ac:dyDescent="0.35">
      <c r="T29430" s="246">
        <f t="shared" si="497"/>
        <v>0</v>
      </c>
    </row>
    <row r="29431" spans="20:20" ht="18.75" customHeight="1" x14ac:dyDescent="0.35">
      <c r="T29431" s="246">
        <f t="shared" si="497"/>
        <v>0</v>
      </c>
    </row>
    <row r="29432" spans="20:20" ht="18.75" customHeight="1" x14ac:dyDescent="0.35">
      <c r="T29432" s="246">
        <f t="shared" si="497"/>
        <v>0</v>
      </c>
    </row>
    <row r="29433" spans="20:20" ht="18.75" customHeight="1" x14ac:dyDescent="0.35">
      <c r="T29433" s="246">
        <f t="shared" si="497"/>
        <v>0</v>
      </c>
    </row>
    <row r="29434" spans="20:20" ht="18.75" customHeight="1" x14ac:dyDescent="0.35">
      <c r="T29434" s="246">
        <f t="shared" si="497"/>
        <v>0</v>
      </c>
    </row>
    <row r="29435" spans="20:20" ht="18.75" customHeight="1" x14ac:dyDescent="0.35">
      <c r="T29435" s="246">
        <f t="shared" si="497"/>
        <v>0</v>
      </c>
    </row>
    <row r="29436" spans="20:20" ht="18.75" customHeight="1" x14ac:dyDescent="0.35">
      <c r="T29436" s="246">
        <f t="shared" ref="T29436:T29499" si="498">R29436*0.01</f>
        <v>0</v>
      </c>
    </row>
    <row r="29437" spans="20:20" ht="18.75" customHeight="1" x14ac:dyDescent="0.35">
      <c r="T29437" s="246">
        <f t="shared" si="498"/>
        <v>0</v>
      </c>
    </row>
    <row r="29438" spans="20:20" ht="18.75" customHeight="1" x14ac:dyDescent="0.35">
      <c r="T29438" s="246">
        <f t="shared" si="498"/>
        <v>0</v>
      </c>
    </row>
    <row r="29439" spans="20:20" ht="18.75" customHeight="1" x14ac:dyDescent="0.35">
      <c r="T29439" s="246">
        <f t="shared" si="498"/>
        <v>0</v>
      </c>
    </row>
    <row r="29440" spans="20:20" ht="18.75" customHeight="1" x14ac:dyDescent="0.35">
      <c r="T29440" s="246">
        <f t="shared" si="498"/>
        <v>0</v>
      </c>
    </row>
    <row r="29441" spans="20:20" ht="18.75" customHeight="1" x14ac:dyDescent="0.35">
      <c r="T29441" s="246">
        <f t="shared" si="498"/>
        <v>0</v>
      </c>
    </row>
    <row r="29442" spans="20:20" ht="18.75" customHeight="1" x14ac:dyDescent="0.35">
      <c r="T29442" s="246">
        <f t="shared" si="498"/>
        <v>0</v>
      </c>
    </row>
    <row r="29443" spans="20:20" ht="18.75" customHeight="1" x14ac:dyDescent="0.35">
      <c r="T29443" s="246">
        <f t="shared" si="498"/>
        <v>0</v>
      </c>
    </row>
    <row r="29444" spans="20:20" ht="18.75" customHeight="1" x14ac:dyDescent="0.35">
      <c r="T29444" s="246">
        <f t="shared" si="498"/>
        <v>0</v>
      </c>
    </row>
    <row r="29445" spans="20:20" ht="18.75" customHeight="1" x14ac:dyDescent="0.35">
      <c r="T29445" s="246">
        <f t="shared" si="498"/>
        <v>0</v>
      </c>
    </row>
    <row r="29446" spans="20:20" ht="18.75" customHeight="1" x14ac:dyDescent="0.35">
      <c r="T29446" s="246">
        <f t="shared" si="498"/>
        <v>0</v>
      </c>
    </row>
    <row r="29447" spans="20:20" ht="18.75" customHeight="1" x14ac:dyDescent="0.35">
      <c r="T29447" s="246">
        <f t="shared" si="498"/>
        <v>0</v>
      </c>
    </row>
    <row r="29448" spans="20:20" ht="18.75" customHeight="1" x14ac:dyDescent="0.35">
      <c r="T29448" s="246">
        <f t="shared" si="498"/>
        <v>0</v>
      </c>
    </row>
    <row r="29449" spans="20:20" ht="18.75" customHeight="1" x14ac:dyDescent="0.35">
      <c r="T29449" s="246">
        <f t="shared" si="498"/>
        <v>0</v>
      </c>
    </row>
    <row r="29450" spans="20:20" ht="18.75" customHeight="1" x14ac:dyDescent="0.35">
      <c r="T29450" s="246">
        <f t="shared" si="498"/>
        <v>0</v>
      </c>
    </row>
    <row r="29451" spans="20:20" ht="18.75" customHeight="1" x14ac:dyDescent="0.35">
      <c r="T29451" s="246">
        <f t="shared" si="498"/>
        <v>0</v>
      </c>
    </row>
    <row r="29452" spans="20:20" ht="18.75" customHeight="1" x14ac:dyDescent="0.35">
      <c r="T29452" s="246">
        <f t="shared" si="498"/>
        <v>0</v>
      </c>
    </row>
    <row r="29453" spans="20:20" ht="18.75" customHeight="1" x14ac:dyDescent="0.35">
      <c r="T29453" s="246">
        <f t="shared" si="498"/>
        <v>0</v>
      </c>
    </row>
    <row r="29454" spans="20:20" ht="18.75" customHeight="1" x14ac:dyDescent="0.35">
      <c r="T29454" s="246">
        <f t="shared" si="498"/>
        <v>0</v>
      </c>
    </row>
    <row r="29455" spans="20:20" ht="18.75" customHeight="1" x14ac:dyDescent="0.35">
      <c r="T29455" s="246">
        <f t="shared" si="498"/>
        <v>0</v>
      </c>
    </row>
    <row r="29456" spans="20:20" ht="18.75" customHeight="1" x14ac:dyDescent="0.35">
      <c r="T29456" s="246">
        <f t="shared" si="498"/>
        <v>0</v>
      </c>
    </row>
    <row r="29457" spans="20:20" ht="18.75" customHeight="1" x14ac:dyDescent="0.35">
      <c r="T29457" s="246">
        <f t="shared" si="498"/>
        <v>0</v>
      </c>
    </row>
    <row r="29458" spans="20:20" ht="18.75" customHeight="1" x14ac:dyDescent="0.35">
      <c r="T29458" s="246">
        <f t="shared" si="498"/>
        <v>0</v>
      </c>
    </row>
    <row r="29459" spans="20:20" ht="18.75" customHeight="1" x14ac:dyDescent="0.35">
      <c r="T29459" s="246">
        <f t="shared" si="498"/>
        <v>0</v>
      </c>
    </row>
    <row r="29460" spans="20:20" ht="18.75" customHeight="1" x14ac:dyDescent="0.35">
      <c r="T29460" s="246">
        <f t="shared" si="498"/>
        <v>0</v>
      </c>
    </row>
    <row r="29461" spans="20:20" ht="18.75" customHeight="1" x14ac:dyDescent="0.35">
      <c r="T29461" s="246">
        <f t="shared" si="498"/>
        <v>0</v>
      </c>
    </row>
    <row r="29462" spans="20:20" ht="18.75" customHeight="1" x14ac:dyDescent="0.35">
      <c r="T29462" s="246">
        <f t="shared" si="498"/>
        <v>0</v>
      </c>
    </row>
    <row r="29463" spans="20:20" ht="18.75" customHeight="1" x14ac:dyDescent="0.35">
      <c r="T29463" s="246">
        <f t="shared" si="498"/>
        <v>0</v>
      </c>
    </row>
    <row r="29464" spans="20:20" ht="18.75" customHeight="1" x14ac:dyDescent="0.35">
      <c r="T29464" s="246">
        <f t="shared" si="498"/>
        <v>0</v>
      </c>
    </row>
    <row r="29465" spans="20:20" ht="18.75" customHeight="1" x14ac:dyDescent="0.35">
      <c r="T29465" s="246">
        <f t="shared" si="498"/>
        <v>0</v>
      </c>
    </row>
    <row r="29466" spans="20:20" ht="18.75" customHeight="1" x14ac:dyDescent="0.35">
      <c r="T29466" s="246">
        <f t="shared" si="498"/>
        <v>0</v>
      </c>
    </row>
    <row r="29467" spans="20:20" ht="18.75" customHeight="1" x14ac:dyDescent="0.35">
      <c r="T29467" s="246">
        <f t="shared" si="498"/>
        <v>0</v>
      </c>
    </row>
    <row r="29468" spans="20:20" ht="18.75" customHeight="1" x14ac:dyDescent="0.35">
      <c r="T29468" s="246">
        <f t="shared" si="498"/>
        <v>0</v>
      </c>
    </row>
    <row r="29469" spans="20:20" ht="18.75" customHeight="1" x14ac:dyDescent="0.35">
      <c r="T29469" s="246">
        <f t="shared" si="498"/>
        <v>0</v>
      </c>
    </row>
    <row r="29470" spans="20:20" ht="18.75" customHeight="1" x14ac:dyDescent="0.35">
      <c r="T29470" s="246">
        <f t="shared" si="498"/>
        <v>0</v>
      </c>
    </row>
    <row r="29471" spans="20:20" ht="18.75" customHeight="1" x14ac:dyDescent="0.35">
      <c r="T29471" s="246">
        <f t="shared" si="498"/>
        <v>0</v>
      </c>
    </row>
    <row r="29472" spans="20:20" ht="18.75" customHeight="1" x14ac:dyDescent="0.35">
      <c r="T29472" s="246">
        <f t="shared" si="498"/>
        <v>0</v>
      </c>
    </row>
    <row r="29473" spans="20:20" ht="18.75" customHeight="1" x14ac:dyDescent="0.35">
      <c r="T29473" s="246">
        <f t="shared" si="498"/>
        <v>0</v>
      </c>
    </row>
    <row r="29474" spans="20:20" ht="18.75" customHeight="1" x14ac:dyDescent="0.35">
      <c r="T29474" s="246">
        <f t="shared" si="498"/>
        <v>0</v>
      </c>
    </row>
    <row r="29475" spans="20:20" ht="18.75" customHeight="1" x14ac:dyDescent="0.35">
      <c r="T29475" s="246">
        <f t="shared" si="498"/>
        <v>0</v>
      </c>
    </row>
    <row r="29476" spans="20:20" ht="18.75" customHeight="1" x14ac:dyDescent="0.35">
      <c r="T29476" s="246">
        <f t="shared" si="498"/>
        <v>0</v>
      </c>
    </row>
    <row r="29477" spans="20:20" ht="18.75" customHeight="1" x14ac:dyDescent="0.35">
      <c r="T29477" s="246">
        <f t="shared" si="498"/>
        <v>0</v>
      </c>
    </row>
    <row r="29478" spans="20:20" ht="18.75" customHeight="1" x14ac:dyDescent="0.35">
      <c r="T29478" s="246">
        <f t="shared" si="498"/>
        <v>0</v>
      </c>
    </row>
    <row r="29479" spans="20:20" ht="18.75" customHeight="1" x14ac:dyDescent="0.35">
      <c r="T29479" s="246">
        <f t="shared" si="498"/>
        <v>0</v>
      </c>
    </row>
    <row r="29480" spans="20:20" ht="18.75" customHeight="1" x14ac:dyDescent="0.35">
      <c r="T29480" s="246">
        <f t="shared" si="498"/>
        <v>0</v>
      </c>
    </row>
    <row r="29481" spans="20:20" ht="18.75" customHeight="1" x14ac:dyDescent="0.35">
      <c r="T29481" s="246">
        <f t="shared" si="498"/>
        <v>0</v>
      </c>
    </row>
    <row r="29482" spans="20:20" ht="18.75" customHeight="1" x14ac:dyDescent="0.35">
      <c r="T29482" s="246">
        <f t="shared" si="498"/>
        <v>0</v>
      </c>
    </row>
    <row r="29483" spans="20:20" ht="18.75" customHeight="1" x14ac:dyDescent="0.35">
      <c r="T29483" s="246">
        <f t="shared" si="498"/>
        <v>0</v>
      </c>
    </row>
    <row r="29484" spans="20:20" ht="18.75" customHeight="1" x14ac:dyDescent="0.35">
      <c r="T29484" s="246">
        <f t="shared" si="498"/>
        <v>0</v>
      </c>
    </row>
    <row r="29485" spans="20:20" ht="18.75" customHeight="1" x14ac:dyDescent="0.35">
      <c r="T29485" s="246">
        <f t="shared" si="498"/>
        <v>0</v>
      </c>
    </row>
    <row r="29486" spans="20:20" ht="18.75" customHeight="1" x14ac:dyDescent="0.35">
      <c r="T29486" s="246">
        <f t="shared" si="498"/>
        <v>0</v>
      </c>
    </row>
    <row r="29487" spans="20:20" ht="18.75" customHeight="1" x14ac:dyDescent="0.35">
      <c r="T29487" s="246">
        <f t="shared" si="498"/>
        <v>0</v>
      </c>
    </row>
    <row r="29488" spans="20:20" ht="18.75" customHeight="1" x14ac:dyDescent="0.35">
      <c r="T29488" s="246">
        <f t="shared" si="498"/>
        <v>0</v>
      </c>
    </row>
    <row r="29489" spans="20:20" ht="18.75" customHeight="1" x14ac:dyDescent="0.35">
      <c r="T29489" s="246">
        <f t="shared" si="498"/>
        <v>0</v>
      </c>
    </row>
    <row r="29490" spans="20:20" ht="18.75" customHeight="1" x14ac:dyDescent="0.35">
      <c r="T29490" s="246">
        <f t="shared" si="498"/>
        <v>0</v>
      </c>
    </row>
    <row r="29491" spans="20:20" ht="18.75" customHeight="1" x14ac:dyDescent="0.35">
      <c r="T29491" s="246">
        <f t="shared" si="498"/>
        <v>0</v>
      </c>
    </row>
    <row r="29492" spans="20:20" ht="18.75" customHeight="1" x14ac:dyDescent="0.35">
      <c r="T29492" s="246">
        <f t="shared" si="498"/>
        <v>0</v>
      </c>
    </row>
    <row r="29493" spans="20:20" ht="18.75" customHeight="1" x14ac:dyDescent="0.35">
      <c r="T29493" s="246">
        <f t="shared" si="498"/>
        <v>0</v>
      </c>
    </row>
    <row r="29494" spans="20:20" ht="18.75" customHeight="1" x14ac:dyDescent="0.35">
      <c r="T29494" s="246">
        <f t="shared" si="498"/>
        <v>0</v>
      </c>
    </row>
    <row r="29495" spans="20:20" ht="18.75" customHeight="1" x14ac:dyDescent="0.35">
      <c r="T29495" s="246">
        <f t="shared" si="498"/>
        <v>0</v>
      </c>
    </row>
    <row r="29496" spans="20:20" ht="18.75" customHeight="1" x14ac:dyDescent="0.35">
      <c r="T29496" s="246">
        <f t="shared" si="498"/>
        <v>0</v>
      </c>
    </row>
    <row r="29497" spans="20:20" ht="18.75" customHeight="1" x14ac:dyDescent="0.35">
      <c r="T29497" s="246">
        <f t="shared" si="498"/>
        <v>0</v>
      </c>
    </row>
    <row r="29498" spans="20:20" ht="18.75" customHeight="1" x14ac:dyDescent="0.35">
      <c r="T29498" s="246">
        <f t="shared" si="498"/>
        <v>0</v>
      </c>
    </row>
    <row r="29499" spans="20:20" ht="18.75" customHeight="1" x14ac:dyDescent="0.35">
      <c r="T29499" s="246">
        <f t="shared" si="498"/>
        <v>0</v>
      </c>
    </row>
    <row r="29500" spans="20:20" ht="18.75" customHeight="1" x14ac:dyDescent="0.35">
      <c r="T29500" s="246">
        <f t="shared" ref="T29500:T29563" si="499">R29500*0.01</f>
        <v>0</v>
      </c>
    </row>
    <row r="29501" spans="20:20" ht="18.75" customHeight="1" x14ac:dyDescent="0.35">
      <c r="T29501" s="246">
        <f t="shared" si="499"/>
        <v>0</v>
      </c>
    </row>
    <row r="29502" spans="20:20" ht="18.75" customHeight="1" x14ac:dyDescent="0.35">
      <c r="T29502" s="246">
        <f t="shared" si="499"/>
        <v>0</v>
      </c>
    </row>
    <row r="29503" spans="20:20" ht="18.75" customHeight="1" x14ac:dyDescent="0.35">
      <c r="T29503" s="246">
        <f t="shared" si="499"/>
        <v>0</v>
      </c>
    </row>
    <row r="29504" spans="20:20" ht="18.75" customHeight="1" x14ac:dyDescent="0.35">
      <c r="T29504" s="246">
        <f t="shared" si="499"/>
        <v>0</v>
      </c>
    </row>
    <row r="29505" spans="20:20" ht="18.75" customHeight="1" x14ac:dyDescent="0.35">
      <c r="T29505" s="246">
        <f t="shared" si="499"/>
        <v>0</v>
      </c>
    </row>
    <row r="29506" spans="20:20" ht="18.75" customHeight="1" x14ac:dyDescent="0.35">
      <c r="T29506" s="246">
        <f t="shared" si="499"/>
        <v>0</v>
      </c>
    </row>
    <row r="29507" spans="20:20" ht="18.75" customHeight="1" x14ac:dyDescent="0.35">
      <c r="T29507" s="246">
        <f t="shared" si="499"/>
        <v>0</v>
      </c>
    </row>
    <row r="29508" spans="20:20" ht="18.75" customHeight="1" x14ac:dyDescent="0.35">
      <c r="T29508" s="246">
        <f t="shared" si="499"/>
        <v>0</v>
      </c>
    </row>
    <row r="29509" spans="20:20" ht="18.75" customHeight="1" x14ac:dyDescent="0.35">
      <c r="T29509" s="246">
        <f t="shared" si="499"/>
        <v>0</v>
      </c>
    </row>
    <row r="29510" spans="20:20" ht="18.75" customHeight="1" x14ac:dyDescent="0.35">
      <c r="T29510" s="246">
        <f t="shared" si="499"/>
        <v>0</v>
      </c>
    </row>
    <row r="29511" spans="20:20" ht="18.75" customHeight="1" x14ac:dyDescent="0.35">
      <c r="T29511" s="246">
        <f t="shared" si="499"/>
        <v>0</v>
      </c>
    </row>
    <row r="29512" spans="20:20" ht="18.75" customHeight="1" x14ac:dyDescent="0.35">
      <c r="T29512" s="246">
        <f t="shared" si="499"/>
        <v>0</v>
      </c>
    </row>
    <row r="29513" spans="20:20" ht="18.75" customHeight="1" x14ac:dyDescent="0.35">
      <c r="T29513" s="246">
        <f t="shared" si="499"/>
        <v>0</v>
      </c>
    </row>
    <row r="29514" spans="20:20" ht="18.75" customHeight="1" x14ac:dyDescent="0.35">
      <c r="T29514" s="246">
        <f t="shared" si="499"/>
        <v>0</v>
      </c>
    </row>
    <row r="29515" spans="20:20" ht="18.75" customHeight="1" x14ac:dyDescent="0.35">
      <c r="T29515" s="246">
        <f t="shared" si="499"/>
        <v>0</v>
      </c>
    </row>
    <row r="29516" spans="20:20" ht="18.75" customHeight="1" x14ac:dyDescent="0.35">
      <c r="T29516" s="246">
        <f t="shared" si="499"/>
        <v>0</v>
      </c>
    </row>
    <row r="29517" spans="20:20" ht="18.75" customHeight="1" x14ac:dyDescent="0.35">
      <c r="T29517" s="246">
        <f t="shared" si="499"/>
        <v>0</v>
      </c>
    </row>
    <row r="29518" spans="20:20" ht="18.75" customHeight="1" x14ac:dyDescent="0.35">
      <c r="T29518" s="246">
        <f t="shared" si="499"/>
        <v>0</v>
      </c>
    </row>
    <row r="29519" spans="20:20" ht="18.75" customHeight="1" x14ac:dyDescent="0.35">
      <c r="T29519" s="246">
        <f t="shared" si="499"/>
        <v>0</v>
      </c>
    </row>
    <row r="29520" spans="20:20" ht="18.75" customHeight="1" x14ac:dyDescent="0.35">
      <c r="T29520" s="246">
        <f t="shared" si="499"/>
        <v>0</v>
      </c>
    </row>
    <row r="29521" spans="20:20" ht="18.75" customHeight="1" x14ac:dyDescent="0.35">
      <c r="T29521" s="246">
        <f t="shared" si="499"/>
        <v>0</v>
      </c>
    </row>
    <row r="29522" spans="20:20" ht="18.75" customHeight="1" x14ac:dyDescent="0.35">
      <c r="T29522" s="246">
        <f t="shared" si="499"/>
        <v>0</v>
      </c>
    </row>
    <row r="29523" spans="20:20" ht="18.75" customHeight="1" x14ac:dyDescent="0.35">
      <c r="T29523" s="246">
        <f t="shared" si="499"/>
        <v>0</v>
      </c>
    </row>
    <row r="29524" spans="20:20" ht="18.75" customHeight="1" x14ac:dyDescent="0.35">
      <c r="T29524" s="246">
        <f t="shared" si="499"/>
        <v>0</v>
      </c>
    </row>
    <row r="29525" spans="20:20" ht="18.75" customHeight="1" x14ac:dyDescent="0.35">
      <c r="T29525" s="246">
        <f t="shared" si="499"/>
        <v>0</v>
      </c>
    </row>
    <row r="29526" spans="20:20" ht="18.75" customHeight="1" x14ac:dyDescent="0.35">
      <c r="T29526" s="246">
        <f t="shared" si="499"/>
        <v>0</v>
      </c>
    </row>
    <row r="29527" spans="20:20" ht="18.75" customHeight="1" x14ac:dyDescent="0.35">
      <c r="T29527" s="246">
        <f t="shared" si="499"/>
        <v>0</v>
      </c>
    </row>
    <row r="29528" spans="20:20" ht="18.75" customHeight="1" x14ac:dyDescent="0.35">
      <c r="T29528" s="246">
        <f t="shared" si="499"/>
        <v>0</v>
      </c>
    </row>
    <row r="29529" spans="20:20" ht="18.75" customHeight="1" x14ac:dyDescent="0.35">
      <c r="T29529" s="246">
        <f t="shared" si="499"/>
        <v>0</v>
      </c>
    </row>
    <row r="29530" spans="20:20" ht="18.75" customHeight="1" x14ac:dyDescent="0.35">
      <c r="T29530" s="246">
        <f t="shared" si="499"/>
        <v>0</v>
      </c>
    </row>
    <row r="29531" spans="20:20" ht="18.75" customHeight="1" x14ac:dyDescent="0.35">
      <c r="T29531" s="246">
        <f t="shared" si="499"/>
        <v>0</v>
      </c>
    </row>
    <row r="29532" spans="20:20" ht="18.75" customHeight="1" x14ac:dyDescent="0.35">
      <c r="T29532" s="246">
        <f t="shared" si="499"/>
        <v>0</v>
      </c>
    </row>
    <row r="29533" spans="20:20" ht="18.75" customHeight="1" x14ac:dyDescent="0.35">
      <c r="T29533" s="246">
        <f t="shared" si="499"/>
        <v>0</v>
      </c>
    </row>
    <row r="29534" spans="20:20" ht="18.75" customHeight="1" x14ac:dyDescent="0.35">
      <c r="T29534" s="246">
        <f t="shared" si="499"/>
        <v>0</v>
      </c>
    </row>
    <row r="29535" spans="20:20" ht="18.75" customHeight="1" x14ac:dyDescent="0.35">
      <c r="T29535" s="246">
        <f t="shared" si="499"/>
        <v>0</v>
      </c>
    </row>
    <row r="29536" spans="20:20" ht="18.75" customHeight="1" x14ac:dyDescent="0.35">
      <c r="T29536" s="246">
        <f t="shared" si="499"/>
        <v>0</v>
      </c>
    </row>
    <row r="29537" spans="20:20" ht="18.75" customHeight="1" x14ac:dyDescent="0.35">
      <c r="T29537" s="246">
        <f t="shared" si="499"/>
        <v>0</v>
      </c>
    </row>
    <row r="29538" spans="20:20" ht="18.75" customHeight="1" x14ac:dyDescent="0.35">
      <c r="T29538" s="246">
        <f t="shared" si="499"/>
        <v>0</v>
      </c>
    </row>
    <row r="29539" spans="20:20" ht="18.75" customHeight="1" x14ac:dyDescent="0.35">
      <c r="T29539" s="246">
        <f t="shared" si="499"/>
        <v>0</v>
      </c>
    </row>
    <row r="29540" spans="20:20" ht="18.75" customHeight="1" x14ac:dyDescent="0.35">
      <c r="T29540" s="246">
        <f t="shared" si="499"/>
        <v>0</v>
      </c>
    </row>
    <row r="29541" spans="20:20" ht="18.75" customHeight="1" x14ac:dyDescent="0.35">
      <c r="T29541" s="246">
        <f t="shared" si="499"/>
        <v>0</v>
      </c>
    </row>
    <row r="29542" spans="20:20" ht="18.75" customHeight="1" x14ac:dyDescent="0.35">
      <c r="T29542" s="246">
        <f t="shared" si="499"/>
        <v>0</v>
      </c>
    </row>
    <row r="29543" spans="20:20" ht="18.75" customHeight="1" x14ac:dyDescent="0.35">
      <c r="T29543" s="246">
        <f t="shared" si="499"/>
        <v>0</v>
      </c>
    </row>
    <row r="29544" spans="20:20" ht="18.75" customHeight="1" x14ac:dyDescent="0.35">
      <c r="T29544" s="246">
        <f t="shared" si="499"/>
        <v>0</v>
      </c>
    </row>
    <row r="29545" spans="20:20" ht="18.75" customHeight="1" x14ac:dyDescent="0.35">
      <c r="T29545" s="246">
        <f t="shared" si="499"/>
        <v>0</v>
      </c>
    </row>
    <row r="29546" spans="20:20" ht="18.75" customHeight="1" x14ac:dyDescent="0.35">
      <c r="T29546" s="246">
        <f t="shared" si="499"/>
        <v>0</v>
      </c>
    </row>
    <row r="29547" spans="20:20" ht="18.75" customHeight="1" x14ac:dyDescent="0.35">
      <c r="T29547" s="246">
        <f t="shared" si="499"/>
        <v>0</v>
      </c>
    </row>
    <row r="29548" spans="20:20" ht="18.75" customHeight="1" x14ac:dyDescent="0.35">
      <c r="T29548" s="246">
        <f t="shared" si="499"/>
        <v>0</v>
      </c>
    </row>
    <row r="29549" spans="20:20" ht="18.75" customHeight="1" x14ac:dyDescent="0.35">
      <c r="T29549" s="246">
        <f t="shared" si="499"/>
        <v>0</v>
      </c>
    </row>
    <row r="29550" spans="20:20" ht="18.75" customHeight="1" x14ac:dyDescent="0.35">
      <c r="T29550" s="246">
        <f t="shared" si="499"/>
        <v>0</v>
      </c>
    </row>
    <row r="29551" spans="20:20" ht="18.75" customHeight="1" x14ac:dyDescent="0.35">
      <c r="T29551" s="246">
        <f t="shared" si="499"/>
        <v>0</v>
      </c>
    </row>
    <row r="29552" spans="20:20" ht="18.75" customHeight="1" x14ac:dyDescent="0.35">
      <c r="T29552" s="246">
        <f t="shared" si="499"/>
        <v>0</v>
      </c>
    </row>
    <row r="29553" spans="20:20" ht="18.75" customHeight="1" x14ac:dyDescent="0.35">
      <c r="T29553" s="246">
        <f t="shared" si="499"/>
        <v>0</v>
      </c>
    </row>
    <row r="29554" spans="20:20" ht="18.75" customHeight="1" x14ac:dyDescent="0.35">
      <c r="T29554" s="246">
        <f t="shared" si="499"/>
        <v>0</v>
      </c>
    </row>
    <row r="29555" spans="20:20" ht="18.75" customHeight="1" x14ac:dyDescent="0.35">
      <c r="T29555" s="246">
        <f t="shared" si="499"/>
        <v>0</v>
      </c>
    </row>
    <row r="29556" spans="20:20" ht="18.75" customHeight="1" x14ac:dyDescent="0.35">
      <c r="T29556" s="246">
        <f t="shared" si="499"/>
        <v>0</v>
      </c>
    </row>
    <row r="29557" spans="20:20" ht="18.75" customHeight="1" x14ac:dyDescent="0.35">
      <c r="T29557" s="246">
        <f t="shared" si="499"/>
        <v>0</v>
      </c>
    </row>
    <row r="29558" spans="20:20" ht="18.75" customHeight="1" x14ac:dyDescent="0.35">
      <c r="T29558" s="246">
        <f t="shared" si="499"/>
        <v>0</v>
      </c>
    </row>
    <row r="29559" spans="20:20" ht="18.75" customHeight="1" x14ac:dyDescent="0.35">
      <c r="T29559" s="246">
        <f t="shared" si="499"/>
        <v>0</v>
      </c>
    </row>
    <row r="29560" spans="20:20" ht="18.75" customHeight="1" x14ac:dyDescent="0.35">
      <c r="T29560" s="246">
        <f t="shared" si="499"/>
        <v>0</v>
      </c>
    </row>
    <row r="29561" spans="20:20" ht="18.75" customHeight="1" x14ac:dyDescent="0.35">
      <c r="T29561" s="246">
        <f t="shared" si="499"/>
        <v>0</v>
      </c>
    </row>
    <row r="29562" spans="20:20" ht="18.75" customHeight="1" x14ac:dyDescent="0.35">
      <c r="T29562" s="246">
        <f t="shared" si="499"/>
        <v>0</v>
      </c>
    </row>
    <row r="29563" spans="20:20" ht="18.75" customHeight="1" x14ac:dyDescent="0.35">
      <c r="T29563" s="246">
        <f t="shared" si="499"/>
        <v>0</v>
      </c>
    </row>
    <row r="29564" spans="20:20" ht="18.75" customHeight="1" x14ac:dyDescent="0.35">
      <c r="T29564" s="246">
        <f t="shared" ref="T29564:T29627" si="500">R29564*0.01</f>
        <v>0</v>
      </c>
    </row>
    <row r="29565" spans="20:20" ht="18.75" customHeight="1" x14ac:dyDescent="0.35">
      <c r="T29565" s="246">
        <f t="shared" si="500"/>
        <v>0</v>
      </c>
    </row>
    <row r="29566" spans="20:20" ht="18.75" customHeight="1" x14ac:dyDescent="0.35">
      <c r="T29566" s="246">
        <f t="shared" si="500"/>
        <v>0</v>
      </c>
    </row>
    <row r="29567" spans="20:20" ht="18.75" customHeight="1" x14ac:dyDescent="0.35">
      <c r="T29567" s="246">
        <f t="shared" si="500"/>
        <v>0</v>
      </c>
    </row>
    <row r="29568" spans="20:20" ht="18.75" customHeight="1" x14ac:dyDescent="0.35">
      <c r="T29568" s="246">
        <f t="shared" si="500"/>
        <v>0</v>
      </c>
    </row>
    <row r="29569" spans="20:20" ht="18.75" customHeight="1" x14ac:dyDescent="0.35">
      <c r="T29569" s="246">
        <f t="shared" si="500"/>
        <v>0</v>
      </c>
    </row>
    <row r="29570" spans="20:20" ht="18.75" customHeight="1" x14ac:dyDescent="0.35">
      <c r="T29570" s="246">
        <f t="shared" si="500"/>
        <v>0</v>
      </c>
    </row>
    <row r="29571" spans="20:20" ht="18.75" customHeight="1" x14ac:dyDescent="0.35">
      <c r="T29571" s="246">
        <f t="shared" si="500"/>
        <v>0</v>
      </c>
    </row>
    <row r="29572" spans="20:20" ht="18.75" customHeight="1" x14ac:dyDescent="0.35">
      <c r="T29572" s="246">
        <f t="shared" si="500"/>
        <v>0</v>
      </c>
    </row>
    <row r="29573" spans="20:20" ht="18.75" customHeight="1" x14ac:dyDescent="0.35">
      <c r="T29573" s="246">
        <f t="shared" si="500"/>
        <v>0</v>
      </c>
    </row>
    <row r="29574" spans="20:20" ht="18.75" customHeight="1" x14ac:dyDescent="0.35">
      <c r="T29574" s="246">
        <f t="shared" si="500"/>
        <v>0</v>
      </c>
    </row>
    <row r="29575" spans="20:20" ht="18.75" customHeight="1" x14ac:dyDescent="0.35">
      <c r="T29575" s="246">
        <f t="shared" si="500"/>
        <v>0</v>
      </c>
    </row>
    <row r="29576" spans="20:20" ht="18.75" customHeight="1" x14ac:dyDescent="0.35">
      <c r="T29576" s="246">
        <f t="shared" si="500"/>
        <v>0</v>
      </c>
    </row>
    <row r="29577" spans="20:20" ht="18.75" customHeight="1" x14ac:dyDescent="0.35">
      <c r="T29577" s="246">
        <f t="shared" si="500"/>
        <v>0</v>
      </c>
    </row>
    <row r="29578" spans="20:20" ht="18.75" customHeight="1" x14ac:dyDescent="0.35">
      <c r="T29578" s="246">
        <f t="shared" si="500"/>
        <v>0</v>
      </c>
    </row>
    <row r="29579" spans="20:20" ht="18.75" customHeight="1" x14ac:dyDescent="0.35">
      <c r="T29579" s="246">
        <f t="shared" si="500"/>
        <v>0</v>
      </c>
    </row>
    <row r="29580" spans="20:20" ht="18.75" customHeight="1" x14ac:dyDescent="0.35">
      <c r="T29580" s="246">
        <f t="shared" si="500"/>
        <v>0</v>
      </c>
    </row>
    <row r="29581" spans="20:20" ht="18.75" customHeight="1" x14ac:dyDescent="0.35">
      <c r="T29581" s="246">
        <f t="shared" si="500"/>
        <v>0</v>
      </c>
    </row>
    <row r="29582" spans="20:20" ht="18.75" customHeight="1" x14ac:dyDescent="0.35">
      <c r="T29582" s="246">
        <f t="shared" si="500"/>
        <v>0</v>
      </c>
    </row>
    <row r="29583" spans="20:20" ht="18.75" customHeight="1" x14ac:dyDescent="0.35">
      <c r="T29583" s="246">
        <f t="shared" si="500"/>
        <v>0</v>
      </c>
    </row>
    <row r="29584" spans="20:20" ht="18.75" customHeight="1" x14ac:dyDescent="0.35">
      <c r="T29584" s="246">
        <f t="shared" si="500"/>
        <v>0</v>
      </c>
    </row>
    <row r="29585" spans="20:20" ht="18.75" customHeight="1" x14ac:dyDescent="0.35">
      <c r="T29585" s="246">
        <f t="shared" si="500"/>
        <v>0</v>
      </c>
    </row>
    <row r="29586" spans="20:20" ht="18.75" customHeight="1" x14ac:dyDescent="0.35">
      <c r="T29586" s="246">
        <f t="shared" si="500"/>
        <v>0</v>
      </c>
    </row>
    <row r="29587" spans="20:20" ht="18.75" customHeight="1" x14ac:dyDescent="0.35">
      <c r="T29587" s="246">
        <f t="shared" si="500"/>
        <v>0</v>
      </c>
    </row>
    <row r="29588" spans="20:20" ht="18.75" customHeight="1" x14ac:dyDescent="0.35">
      <c r="T29588" s="246">
        <f t="shared" si="500"/>
        <v>0</v>
      </c>
    </row>
    <row r="29589" spans="20:20" ht="18.75" customHeight="1" x14ac:dyDescent="0.35">
      <c r="T29589" s="246">
        <f t="shared" si="500"/>
        <v>0</v>
      </c>
    </row>
    <row r="29590" spans="20:20" ht="18.75" customHeight="1" x14ac:dyDescent="0.35">
      <c r="T29590" s="246">
        <f t="shared" si="500"/>
        <v>0</v>
      </c>
    </row>
    <row r="29591" spans="20:20" ht="18.75" customHeight="1" x14ac:dyDescent="0.35">
      <c r="T29591" s="246">
        <f t="shared" si="500"/>
        <v>0</v>
      </c>
    </row>
    <row r="29592" spans="20:20" ht="18.75" customHeight="1" x14ac:dyDescent="0.35">
      <c r="T29592" s="246">
        <f t="shared" si="500"/>
        <v>0</v>
      </c>
    </row>
    <row r="29593" spans="20:20" ht="18.75" customHeight="1" x14ac:dyDescent="0.35">
      <c r="T29593" s="246">
        <f t="shared" si="500"/>
        <v>0</v>
      </c>
    </row>
    <row r="29594" spans="20:20" ht="18.75" customHeight="1" x14ac:dyDescent="0.35">
      <c r="T29594" s="246">
        <f t="shared" si="500"/>
        <v>0</v>
      </c>
    </row>
    <row r="29595" spans="20:20" ht="18.75" customHeight="1" x14ac:dyDescent="0.35">
      <c r="T29595" s="246">
        <f t="shared" si="500"/>
        <v>0</v>
      </c>
    </row>
    <row r="29596" spans="20:20" ht="18.75" customHeight="1" x14ac:dyDescent="0.35">
      <c r="T29596" s="246">
        <f t="shared" si="500"/>
        <v>0</v>
      </c>
    </row>
    <row r="29597" spans="20:20" ht="18.75" customHeight="1" x14ac:dyDescent="0.35">
      <c r="T29597" s="246">
        <f t="shared" si="500"/>
        <v>0</v>
      </c>
    </row>
    <row r="29598" spans="20:20" ht="18.75" customHeight="1" x14ac:dyDescent="0.35">
      <c r="T29598" s="246">
        <f t="shared" si="500"/>
        <v>0</v>
      </c>
    </row>
    <row r="29599" spans="20:20" ht="18.75" customHeight="1" x14ac:dyDescent="0.35">
      <c r="T29599" s="246">
        <f t="shared" si="500"/>
        <v>0</v>
      </c>
    </row>
    <row r="29600" spans="20:20" ht="18.75" customHeight="1" x14ac:dyDescent="0.35">
      <c r="T29600" s="246">
        <f t="shared" si="500"/>
        <v>0</v>
      </c>
    </row>
    <row r="29601" spans="20:20" ht="18.75" customHeight="1" x14ac:dyDescent="0.35">
      <c r="T29601" s="246">
        <f t="shared" si="500"/>
        <v>0</v>
      </c>
    </row>
    <row r="29602" spans="20:20" ht="18.75" customHeight="1" x14ac:dyDescent="0.35">
      <c r="T29602" s="246">
        <f t="shared" si="500"/>
        <v>0</v>
      </c>
    </row>
    <row r="29603" spans="20:20" ht="18.75" customHeight="1" x14ac:dyDescent="0.35">
      <c r="T29603" s="246">
        <f t="shared" si="500"/>
        <v>0</v>
      </c>
    </row>
    <row r="29604" spans="20:20" ht="18.75" customHeight="1" x14ac:dyDescent="0.35">
      <c r="T29604" s="246">
        <f t="shared" si="500"/>
        <v>0</v>
      </c>
    </row>
    <row r="29605" spans="20:20" ht="18.75" customHeight="1" x14ac:dyDescent="0.35">
      <c r="T29605" s="246">
        <f t="shared" si="500"/>
        <v>0</v>
      </c>
    </row>
    <row r="29606" spans="20:20" ht="18.75" customHeight="1" x14ac:dyDescent="0.35">
      <c r="T29606" s="246">
        <f t="shared" si="500"/>
        <v>0</v>
      </c>
    </row>
    <row r="29607" spans="20:20" ht="18.75" customHeight="1" x14ac:dyDescent="0.35">
      <c r="T29607" s="246">
        <f t="shared" si="500"/>
        <v>0</v>
      </c>
    </row>
    <row r="29608" spans="20:20" ht="18.75" customHeight="1" x14ac:dyDescent="0.35">
      <c r="T29608" s="246">
        <f t="shared" si="500"/>
        <v>0</v>
      </c>
    </row>
    <row r="29609" spans="20:20" ht="18.75" customHeight="1" x14ac:dyDescent="0.35">
      <c r="T29609" s="246">
        <f t="shared" si="500"/>
        <v>0</v>
      </c>
    </row>
    <row r="29610" spans="20:20" ht="18.75" customHeight="1" x14ac:dyDescent="0.35">
      <c r="T29610" s="246">
        <f t="shared" si="500"/>
        <v>0</v>
      </c>
    </row>
    <row r="29611" spans="20:20" ht="18.75" customHeight="1" x14ac:dyDescent="0.35">
      <c r="T29611" s="246">
        <f t="shared" si="500"/>
        <v>0</v>
      </c>
    </row>
    <row r="29612" spans="20:20" ht="18.75" customHeight="1" x14ac:dyDescent="0.35">
      <c r="T29612" s="246">
        <f t="shared" si="500"/>
        <v>0</v>
      </c>
    </row>
    <row r="29613" spans="20:20" ht="18.75" customHeight="1" x14ac:dyDescent="0.35">
      <c r="T29613" s="246">
        <f t="shared" si="500"/>
        <v>0</v>
      </c>
    </row>
    <row r="29614" spans="20:20" ht="18.75" customHeight="1" x14ac:dyDescent="0.35">
      <c r="T29614" s="246">
        <f t="shared" si="500"/>
        <v>0</v>
      </c>
    </row>
    <row r="29615" spans="20:20" ht="18.75" customHeight="1" x14ac:dyDescent="0.35">
      <c r="T29615" s="246">
        <f t="shared" si="500"/>
        <v>0</v>
      </c>
    </row>
    <row r="29616" spans="20:20" ht="18.75" customHeight="1" x14ac:dyDescent="0.35">
      <c r="T29616" s="246">
        <f t="shared" si="500"/>
        <v>0</v>
      </c>
    </row>
    <row r="29617" spans="20:20" ht="18.75" customHeight="1" x14ac:dyDescent="0.35">
      <c r="T29617" s="246">
        <f t="shared" si="500"/>
        <v>0</v>
      </c>
    </row>
    <row r="29618" spans="20:20" ht="18.75" customHeight="1" x14ac:dyDescent="0.35">
      <c r="T29618" s="246">
        <f t="shared" si="500"/>
        <v>0</v>
      </c>
    </row>
    <row r="29619" spans="20:20" ht="18.75" customHeight="1" x14ac:dyDescent="0.35">
      <c r="T29619" s="246">
        <f t="shared" si="500"/>
        <v>0</v>
      </c>
    </row>
    <row r="29620" spans="20:20" ht="18.75" customHeight="1" x14ac:dyDescent="0.35">
      <c r="T29620" s="246">
        <f t="shared" si="500"/>
        <v>0</v>
      </c>
    </row>
    <row r="29621" spans="20:20" ht="18.75" customHeight="1" x14ac:dyDescent="0.35">
      <c r="T29621" s="246">
        <f t="shared" si="500"/>
        <v>0</v>
      </c>
    </row>
    <row r="29622" spans="20:20" ht="18.75" customHeight="1" x14ac:dyDescent="0.35">
      <c r="T29622" s="246">
        <f t="shared" si="500"/>
        <v>0</v>
      </c>
    </row>
    <row r="29623" spans="20:20" ht="18.75" customHeight="1" x14ac:dyDescent="0.35">
      <c r="T29623" s="246">
        <f t="shared" si="500"/>
        <v>0</v>
      </c>
    </row>
    <row r="29624" spans="20:20" ht="18.75" customHeight="1" x14ac:dyDescent="0.35">
      <c r="T29624" s="246">
        <f t="shared" si="500"/>
        <v>0</v>
      </c>
    </row>
    <row r="29625" spans="20:20" ht="18.75" customHeight="1" x14ac:dyDescent="0.35">
      <c r="T29625" s="246">
        <f t="shared" si="500"/>
        <v>0</v>
      </c>
    </row>
    <row r="29626" spans="20:20" ht="18.75" customHeight="1" x14ac:dyDescent="0.35">
      <c r="T29626" s="246">
        <f t="shared" si="500"/>
        <v>0</v>
      </c>
    </row>
    <row r="29627" spans="20:20" ht="18.75" customHeight="1" x14ac:dyDescent="0.35">
      <c r="T29627" s="246">
        <f t="shared" si="500"/>
        <v>0</v>
      </c>
    </row>
    <row r="29628" spans="20:20" ht="18.75" customHeight="1" x14ac:dyDescent="0.35">
      <c r="T29628" s="246">
        <f t="shared" ref="T29628:T29691" si="501">R29628*0.01</f>
        <v>0</v>
      </c>
    </row>
    <row r="29629" spans="20:20" ht="18.75" customHeight="1" x14ac:dyDescent="0.35">
      <c r="T29629" s="246">
        <f t="shared" si="501"/>
        <v>0</v>
      </c>
    </row>
    <row r="29630" spans="20:20" ht="18.75" customHeight="1" x14ac:dyDescent="0.35">
      <c r="T29630" s="246">
        <f t="shared" si="501"/>
        <v>0</v>
      </c>
    </row>
    <row r="29631" spans="20:20" ht="18.75" customHeight="1" x14ac:dyDescent="0.35">
      <c r="T29631" s="246">
        <f t="shared" si="501"/>
        <v>0</v>
      </c>
    </row>
    <row r="29632" spans="20:20" ht="18.75" customHeight="1" x14ac:dyDescent="0.35">
      <c r="T29632" s="246">
        <f t="shared" si="501"/>
        <v>0</v>
      </c>
    </row>
    <row r="29633" spans="20:20" ht="18.75" customHeight="1" x14ac:dyDescent="0.35">
      <c r="T29633" s="246">
        <f t="shared" si="501"/>
        <v>0</v>
      </c>
    </row>
    <row r="29634" spans="20:20" ht="18.75" customHeight="1" x14ac:dyDescent="0.35">
      <c r="T29634" s="246">
        <f t="shared" si="501"/>
        <v>0</v>
      </c>
    </row>
    <row r="29635" spans="20:20" ht="18.75" customHeight="1" x14ac:dyDescent="0.35">
      <c r="T29635" s="246">
        <f t="shared" si="501"/>
        <v>0</v>
      </c>
    </row>
    <row r="29636" spans="20:20" ht="18.75" customHeight="1" x14ac:dyDescent="0.35">
      <c r="T29636" s="246">
        <f t="shared" si="501"/>
        <v>0</v>
      </c>
    </row>
    <row r="29637" spans="20:20" ht="18.75" customHeight="1" x14ac:dyDescent="0.35">
      <c r="T29637" s="246">
        <f t="shared" si="501"/>
        <v>0</v>
      </c>
    </row>
    <row r="29638" spans="20:20" ht="18.75" customHeight="1" x14ac:dyDescent="0.35">
      <c r="T29638" s="246">
        <f t="shared" si="501"/>
        <v>0</v>
      </c>
    </row>
    <row r="29639" spans="20:20" ht="18.75" customHeight="1" x14ac:dyDescent="0.35">
      <c r="T29639" s="246">
        <f t="shared" si="501"/>
        <v>0</v>
      </c>
    </row>
    <row r="29640" spans="20:20" ht="18.75" customHeight="1" x14ac:dyDescent="0.35">
      <c r="T29640" s="246">
        <f t="shared" si="501"/>
        <v>0</v>
      </c>
    </row>
    <row r="29641" spans="20:20" ht="18.75" customHeight="1" x14ac:dyDescent="0.35">
      <c r="T29641" s="246">
        <f t="shared" si="501"/>
        <v>0</v>
      </c>
    </row>
    <row r="29642" spans="20:20" ht="18.75" customHeight="1" x14ac:dyDescent="0.35">
      <c r="T29642" s="246">
        <f t="shared" si="501"/>
        <v>0</v>
      </c>
    </row>
    <row r="29643" spans="20:20" ht="18.75" customHeight="1" x14ac:dyDescent="0.35">
      <c r="T29643" s="246">
        <f t="shared" si="501"/>
        <v>0</v>
      </c>
    </row>
    <row r="29644" spans="20:20" ht="18.75" customHeight="1" x14ac:dyDescent="0.35">
      <c r="T29644" s="246">
        <f t="shared" si="501"/>
        <v>0</v>
      </c>
    </row>
    <row r="29645" spans="20:20" ht="18.75" customHeight="1" x14ac:dyDescent="0.35">
      <c r="T29645" s="246">
        <f t="shared" si="501"/>
        <v>0</v>
      </c>
    </row>
    <row r="29646" spans="20:20" ht="18.75" customHeight="1" x14ac:dyDescent="0.35">
      <c r="T29646" s="246">
        <f t="shared" si="501"/>
        <v>0</v>
      </c>
    </row>
    <row r="29647" spans="20:20" ht="18.75" customHeight="1" x14ac:dyDescent="0.35">
      <c r="T29647" s="246">
        <f t="shared" si="501"/>
        <v>0</v>
      </c>
    </row>
    <row r="29648" spans="20:20" ht="18.75" customHeight="1" x14ac:dyDescent="0.35">
      <c r="T29648" s="246">
        <f t="shared" si="501"/>
        <v>0</v>
      </c>
    </row>
    <row r="29649" spans="20:20" ht="18.75" customHeight="1" x14ac:dyDescent="0.35">
      <c r="T29649" s="246">
        <f t="shared" si="501"/>
        <v>0</v>
      </c>
    </row>
    <row r="29650" spans="20:20" ht="18.75" customHeight="1" x14ac:dyDescent="0.35">
      <c r="T29650" s="246">
        <f t="shared" si="501"/>
        <v>0</v>
      </c>
    </row>
    <row r="29651" spans="20:20" ht="18.75" customHeight="1" x14ac:dyDescent="0.35">
      <c r="T29651" s="246">
        <f t="shared" si="501"/>
        <v>0</v>
      </c>
    </row>
    <row r="29652" spans="20:20" ht="18.75" customHeight="1" x14ac:dyDescent="0.35">
      <c r="T29652" s="246">
        <f t="shared" si="501"/>
        <v>0</v>
      </c>
    </row>
    <row r="29653" spans="20:20" ht="18.75" customHeight="1" x14ac:dyDescent="0.35">
      <c r="T29653" s="246">
        <f t="shared" si="501"/>
        <v>0</v>
      </c>
    </row>
    <row r="29654" spans="20:20" ht="18.75" customHeight="1" x14ac:dyDescent="0.35">
      <c r="T29654" s="246">
        <f t="shared" si="501"/>
        <v>0</v>
      </c>
    </row>
    <row r="29655" spans="20:20" ht="18.75" customHeight="1" x14ac:dyDescent="0.35">
      <c r="T29655" s="246">
        <f t="shared" si="501"/>
        <v>0</v>
      </c>
    </row>
    <row r="29656" spans="20:20" ht="18.75" customHeight="1" x14ac:dyDescent="0.35">
      <c r="T29656" s="246">
        <f t="shared" si="501"/>
        <v>0</v>
      </c>
    </row>
    <row r="29657" spans="20:20" ht="18.75" customHeight="1" x14ac:dyDescent="0.35">
      <c r="T29657" s="246">
        <f t="shared" si="501"/>
        <v>0</v>
      </c>
    </row>
    <row r="29658" spans="20:20" ht="18.75" customHeight="1" x14ac:dyDescent="0.35">
      <c r="T29658" s="246">
        <f t="shared" si="501"/>
        <v>0</v>
      </c>
    </row>
    <row r="29659" spans="20:20" ht="18.75" customHeight="1" x14ac:dyDescent="0.35">
      <c r="T29659" s="246">
        <f t="shared" si="501"/>
        <v>0</v>
      </c>
    </row>
    <row r="29660" spans="20:20" ht="18.75" customHeight="1" x14ac:dyDescent="0.35">
      <c r="T29660" s="246">
        <f t="shared" si="501"/>
        <v>0</v>
      </c>
    </row>
    <row r="29661" spans="20:20" ht="18.75" customHeight="1" x14ac:dyDescent="0.35">
      <c r="T29661" s="246">
        <f t="shared" si="501"/>
        <v>0</v>
      </c>
    </row>
    <row r="29662" spans="20:20" ht="18.75" customHeight="1" x14ac:dyDescent="0.35">
      <c r="T29662" s="246">
        <f t="shared" si="501"/>
        <v>0</v>
      </c>
    </row>
    <row r="29663" spans="20:20" ht="18.75" customHeight="1" x14ac:dyDescent="0.35">
      <c r="T29663" s="246">
        <f t="shared" si="501"/>
        <v>0</v>
      </c>
    </row>
    <row r="29664" spans="20:20" ht="18.75" customHeight="1" x14ac:dyDescent="0.35">
      <c r="T29664" s="246">
        <f t="shared" si="501"/>
        <v>0</v>
      </c>
    </row>
    <row r="29665" spans="20:20" ht="18.75" customHeight="1" x14ac:dyDescent="0.35">
      <c r="T29665" s="246">
        <f t="shared" si="501"/>
        <v>0</v>
      </c>
    </row>
    <row r="29666" spans="20:20" ht="18.75" customHeight="1" x14ac:dyDescent="0.35">
      <c r="T29666" s="246">
        <f t="shared" si="501"/>
        <v>0</v>
      </c>
    </row>
    <row r="29667" spans="20:20" ht="18.75" customHeight="1" x14ac:dyDescent="0.35">
      <c r="T29667" s="246">
        <f t="shared" si="501"/>
        <v>0</v>
      </c>
    </row>
    <row r="29668" spans="20:20" ht="18.75" customHeight="1" x14ac:dyDescent="0.35">
      <c r="T29668" s="246">
        <f t="shared" si="501"/>
        <v>0</v>
      </c>
    </row>
    <row r="29669" spans="20:20" ht="18.75" customHeight="1" x14ac:dyDescent="0.35">
      <c r="T29669" s="246">
        <f t="shared" si="501"/>
        <v>0</v>
      </c>
    </row>
    <row r="29670" spans="20:20" ht="18.75" customHeight="1" x14ac:dyDescent="0.35">
      <c r="T29670" s="246">
        <f t="shared" si="501"/>
        <v>0</v>
      </c>
    </row>
    <row r="29671" spans="20:20" ht="18.75" customHeight="1" x14ac:dyDescent="0.35">
      <c r="T29671" s="246">
        <f t="shared" si="501"/>
        <v>0</v>
      </c>
    </row>
    <row r="29672" spans="20:20" ht="18.75" customHeight="1" x14ac:dyDescent="0.35">
      <c r="T29672" s="246">
        <f t="shared" si="501"/>
        <v>0</v>
      </c>
    </row>
    <row r="29673" spans="20:20" ht="18.75" customHeight="1" x14ac:dyDescent="0.35">
      <c r="T29673" s="246">
        <f t="shared" si="501"/>
        <v>0</v>
      </c>
    </row>
    <row r="29674" spans="20:20" ht="18.75" customHeight="1" x14ac:dyDescent="0.35">
      <c r="T29674" s="246">
        <f t="shared" si="501"/>
        <v>0</v>
      </c>
    </row>
    <row r="29675" spans="20:20" ht="18.75" customHeight="1" x14ac:dyDescent="0.35">
      <c r="T29675" s="246">
        <f t="shared" si="501"/>
        <v>0</v>
      </c>
    </row>
    <row r="29676" spans="20:20" ht="18.75" customHeight="1" x14ac:dyDescent="0.35">
      <c r="T29676" s="246">
        <f t="shared" si="501"/>
        <v>0</v>
      </c>
    </row>
    <row r="29677" spans="20:20" ht="18.75" customHeight="1" x14ac:dyDescent="0.35">
      <c r="T29677" s="246">
        <f t="shared" si="501"/>
        <v>0</v>
      </c>
    </row>
    <row r="29678" spans="20:20" ht="18.75" customHeight="1" x14ac:dyDescent="0.35">
      <c r="T29678" s="246">
        <f t="shared" si="501"/>
        <v>0</v>
      </c>
    </row>
    <row r="29679" spans="20:20" ht="18.75" customHeight="1" x14ac:dyDescent="0.35">
      <c r="T29679" s="246">
        <f t="shared" si="501"/>
        <v>0</v>
      </c>
    </row>
    <row r="29680" spans="20:20" ht="18.75" customHeight="1" x14ac:dyDescent="0.35">
      <c r="T29680" s="246">
        <f t="shared" si="501"/>
        <v>0</v>
      </c>
    </row>
    <row r="29681" spans="20:20" ht="18.75" customHeight="1" x14ac:dyDescent="0.35">
      <c r="T29681" s="246">
        <f t="shared" si="501"/>
        <v>0</v>
      </c>
    </row>
    <row r="29682" spans="20:20" ht="18.75" customHeight="1" x14ac:dyDescent="0.35">
      <c r="T29682" s="246">
        <f t="shared" si="501"/>
        <v>0</v>
      </c>
    </row>
    <row r="29683" spans="20:20" ht="18.75" customHeight="1" x14ac:dyDescent="0.35">
      <c r="T29683" s="246">
        <f t="shared" si="501"/>
        <v>0</v>
      </c>
    </row>
    <row r="29684" spans="20:20" ht="18.75" customHeight="1" x14ac:dyDescent="0.35">
      <c r="T29684" s="246">
        <f t="shared" si="501"/>
        <v>0</v>
      </c>
    </row>
    <row r="29685" spans="20:20" ht="18.75" customHeight="1" x14ac:dyDescent="0.35">
      <c r="T29685" s="246">
        <f t="shared" si="501"/>
        <v>0</v>
      </c>
    </row>
    <row r="29686" spans="20:20" ht="18.75" customHeight="1" x14ac:dyDescent="0.35">
      <c r="T29686" s="246">
        <f t="shared" si="501"/>
        <v>0</v>
      </c>
    </row>
    <row r="29687" spans="20:20" ht="18.75" customHeight="1" x14ac:dyDescent="0.35">
      <c r="T29687" s="246">
        <f t="shared" si="501"/>
        <v>0</v>
      </c>
    </row>
    <row r="29688" spans="20:20" ht="18.75" customHeight="1" x14ac:dyDescent="0.35">
      <c r="T29688" s="246">
        <f t="shared" si="501"/>
        <v>0</v>
      </c>
    </row>
    <row r="29689" spans="20:20" ht="18.75" customHeight="1" x14ac:dyDescent="0.35">
      <c r="T29689" s="246">
        <f t="shared" si="501"/>
        <v>0</v>
      </c>
    </row>
    <row r="29690" spans="20:20" ht="18.75" customHeight="1" x14ac:dyDescent="0.35">
      <c r="T29690" s="246">
        <f t="shared" si="501"/>
        <v>0</v>
      </c>
    </row>
    <row r="29691" spans="20:20" ht="18.75" customHeight="1" x14ac:dyDescent="0.35">
      <c r="T29691" s="246">
        <f t="shared" si="501"/>
        <v>0</v>
      </c>
    </row>
    <row r="29692" spans="20:20" ht="18.75" customHeight="1" x14ac:dyDescent="0.35">
      <c r="T29692" s="246">
        <f t="shared" ref="T29692:T29755" si="502">R29692*0.01</f>
        <v>0</v>
      </c>
    </row>
    <row r="29693" spans="20:20" ht="18.75" customHeight="1" x14ac:dyDescent="0.35">
      <c r="T29693" s="246">
        <f t="shared" si="502"/>
        <v>0</v>
      </c>
    </row>
    <row r="29694" spans="20:20" ht="18.75" customHeight="1" x14ac:dyDescent="0.35">
      <c r="T29694" s="246">
        <f t="shared" si="502"/>
        <v>0</v>
      </c>
    </row>
    <row r="29695" spans="20:20" ht="18.75" customHeight="1" x14ac:dyDescent="0.35">
      <c r="T29695" s="246">
        <f t="shared" si="502"/>
        <v>0</v>
      </c>
    </row>
    <row r="29696" spans="20:20" ht="18.75" customHeight="1" x14ac:dyDescent="0.35">
      <c r="T29696" s="246">
        <f t="shared" si="502"/>
        <v>0</v>
      </c>
    </row>
    <row r="29697" spans="20:20" ht="18.75" customHeight="1" x14ac:dyDescent="0.35">
      <c r="T29697" s="246">
        <f t="shared" si="502"/>
        <v>0</v>
      </c>
    </row>
    <row r="29698" spans="20:20" ht="18.75" customHeight="1" x14ac:dyDescent="0.35">
      <c r="T29698" s="246">
        <f t="shared" si="502"/>
        <v>0</v>
      </c>
    </row>
    <row r="29699" spans="20:20" ht="18.75" customHeight="1" x14ac:dyDescent="0.35">
      <c r="T29699" s="246">
        <f t="shared" si="502"/>
        <v>0</v>
      </c>
    </row>
    <row r="29700" spans="20:20" ht="18.75" customHeight="1" x14ac:dyDescent="0.35">
      <c r="T29700" s="246">
        <f t="shared" si="502"/>
        <v>0</v>
      </c>
    </row>
    <row r="29701" spans="20:20" ht="18.75" customHeight="1" x14ac:dyDescent="0.35">
      <c r="T29701" s="246">
        <f t="shared" si="502"/>
        <v>0</v>
      </c>
    </row>
    <row r="29702" spans="20:20" ht="18.75" customHeight="1" x14ac:dyDescent="0.35">
      <c r="T29702" s="246">
        <f t="shared" si="502"/>
        <v>0</v>
      </c>
    </row>
    <row r="29703" spans="20:20" ht="18.75" customHeight="1" x14ac:dyDescent="0.35">
      <c r="T29703" s="246">
        <f t="shared" si="502"/>
        <v>0</v>
      </c>
    </row>
    <row r="29704" spans="20:20" ht="18.75" customHeight="1" x14ac:dyDescent="0.35">
      <c r="T29704" s="246">
        <f t="shared" si="502"/>
        <v>0</v>
      </c>
    </row>
    <row r="29705" spans="20:20" ht="18.75" customHeight="1" x14ac:dyDescent="0.35">
      <c r="T29705" s="246">
        <f t="shared" si="502"/>
        <v>0</v>
      </c>
    </row>
    <row r="29706" spans="20:20" ht="18.75" customHeight="1" x14ac:dyDescent="0.35">
      <c r="T29706" s="246">
        <f t="shared" si="502"/>
        <v>0</v>
      </c>
    </row>
    <row r="29707" spans="20:20" ht="18.75" customHeight="1" x14ac:dyDescent="0.35">
      <c r="T29707" s="246">
        <f t="shared" si="502"/>
        <v>0</v>
      </c>
    </row>
    <row r="29708" spans="20:20" ht="18.75" customHeight="1" x14ac:dyDescent="0.35">
      <c r="T29708" s="246">
        <f t="shared" si="502"/>
        <v>0</v>
      </c>
    </row>
    <row r="29709" spans="20:20" ht="18.75" customHeight="1" x14ac:dyDescent="0.35">
      <c r="T29709" s="246">
        <f t="shared" si="502"/>
        <v>0</v>
      </c>
    </row>
    <row r="29710" spans="20:20" ht="18.75" customHeight="1" x14ac:dyDescent="0.35">
      <c r="T29710" s="246">
        <f t="shared" si="502"/>
        <v>0</v>
      </c>
    </row>
    <row r="29711" spans="20:20" ht="18.75" customHeight="1" x14ac:dyDescent="0.35">
      <c r="T29711" s="246">
        <f t="shared" si="502"/>
        <v>0</v>
      </c>
    </row>
    <row r="29712" spans="20:20" ht="18.75" customHeight="1" x14ac:dyDescent="0.35">
      <c r="T29712" s="246">
        <f t="shared" si="502"/>
        <v>0</v>
      </c>
    </row>
    <row r="29713" spans="20:20" ht="18.75" customHeight="1" x14ac:dyDescent="0.35">
      <c r="T29713" s="246">
        <f t="shared" si="502"/>
        <v>0</v>
      </c>
    </row>
    <row r="29714" spans="20:20" ht="18.75" customHeight="1" x14ac:dyDescent="0.35">
      <c r="T29714" s="246">
        <f t="shared" si="502"/>
        <v>0</v>
      </c>
    </row>
    <row r="29715" spans="20:20" ht="18.75" customHeight="1" x14ac:dyDescent="0.35">
      <c r="T29715" s="246">
        <f t="shared" si="502"/>
        <v>0</v>
      </c>
    </row>
    <row r="29716" spans="20:20" ht="18.75" customHeight="1" x14ac:dyDescent="0.35">
      <c r="T29716" s="246">
        <f t="shared" si="502"/>
        <v>0</v>
      </c>
    </row>
    <row r="29717" spans="20:20" ht="18.75" customHeight="1" x14ac:dyDescent="0.35">
      <c r="T29717" s="246">
        <f t="shared" si="502"/>
        <v>0</v>
      </c>
    </row>
    <row r="29718" spans="20:20" ht="18.75" customHeight="1" x14ac:dyDescent="0.35">
      <c r="T29718" s="246">
        <f t="shared" si="502"/>
        <v>0</v>
      </c>
    </row>
    <row r="29719" spans="20:20" ht="18.75" customHeight="1" x14ac:dyDescent="0.35">
      <c r="T29719" s="246">
        <f t="shared" si="502"/>
        <v>0</v>
      </c>
    </row>
    <row r="29720" spans="20:20" ht="18.75" customHeight="1" x14ac:dyDescent="0.35">
      <c r="T29720" s="246">
        <f t="shared" si="502"/>
        <v>0</v>
      </c>
    </row>
    <row r="29721" spans="20:20" ht="18.75" customHeight="1" x14ac:dyDescent="0.35">
      <c r="T29721" s="246">
        <f t="shared" si="502"/>
        <v>0</v>
      </c>
    </row>
    <row r="29722" spans="20:20" ht="18.75" customHeight="1" x14ac:dyDescent="0.35">
      <c r="T29722" s="246">
        <f t="shared" si="502"/>
        <v>0</v>
      </c>
    </row>
    <row r="29723" spans="20:20" ht="18.75" customHeight="1" x14ac:dyDescent="0.35">
      <c r="T29723" s="246">
        <f t="shared" si="502"/>
        <v>0</v>
      </c>
    </row>
    <row r="29724" spans="20:20" ht="18.75" customHeight="1" x14ac:dyDescent="0.35">
      <c r="T29724" s="246">
        <f t="shared" si="502"/>
        <v>0</v>
      </c>
    </row>
    <row r="29725" spans="20:20" ht="18.75" customHeight="1" x14ac:dyDescent="0.35">
      <c r="T29725" s="246">
        <f t="shared" si="502"/>
        <v>0</v>
      </c>
    </row>
    <row r="29726" spans="20:20" ht="18.75" customHeight="1" x14ac:dyDescent="0.35">
      <c r="T29726" s="246">
        <f t="shared" si="502"/>
        <v>0</v>
      </c>
    </row>
    <row r="29727" spans="20:20" ht="18.75" customHeight="1" x14ac:dyDescent="0.35">
      <c r="T29727" s="246">
        <f t="shared" si="502"/>
        <v>0</v>
      </c>
    </row>
    <row r="29728" spans="20:20" ht="18.75" customHeight="1" x14ac:dyDescent="0.35">
      <c r="T29728" s="246">
        <f t="shared" si="502"/>
        <v>0</v>
      </c>
    </row>
    <row r="29729" spans="20:20" ht="18.75" customHeight="1" x14ac:dyDescent="0.35">
      <c r="T29729" s="246">
        <f t="shared" si="502"/>
        <v>0</v>
      </c>
    </row>
    <row r="29730" spans="20:20" ht="18.75" customHeight="1" x14ac:dyDescent="0.35">
      <c r="T29730" s="246">
        <f t="shared" si="502"/>
        <v>0</v>
      </c>
    </row>
    <row r="29731" spans="20:20" ht="18.75" customHeight="1" x14ac:dyDescent="0.35">
      <c r="T29731" s="246">
        <f t="shared" si="502"/>
        <v>0</v>
      </c>
    </row>
    <row r="29732" spans="20:20" ht="18.75" customHeight="1" x14ac:dyDescent="0.35">
      <c r="T29732" s="246">
        <f t="shared" si="502"/>
        <v>0</v>
      </c>
    </row>
    <row r="29733" spans="20:20" ht="18.75" customHeight="1" x14ac:dyDescent="0.35">
      <c r="T29733" s="246">
        <f t="shared" si="502"/>
        <v>0</v>
      </c>
    </row>
    <row r="29734" spans="20:20" ht="18.75" customHeight="1" x14ac:dyDescent="0.35">
      <c r="T29734" s="246">
        <f t="shared" si="502"/>
        <v>0</v>
      </c>
    </row>
    <row r="29735" spans="20:20" ht="18.75" customHeight="1" x14ac:dyDescent="0.35">
      <c r="T29735" s="246">
        <f t="shared" si="502"/>
        <v>0</v>
      </c>
    </row>
    <row r="29736" spans="20:20" ht="18.75" customHeight="1" x14ac:dyDescent="0.35">
      <c r="T29736" s="246">
        <f t="shared" si="502"/>
        <v>0</v>
      </c>
    </row>
    <row r="29737" spans="20:20" ht="18.75" customHeight="1" x14ac:dyDescent="0.35">
      <c r="T29737" s="246">
        <f t="shared" si="502"/>
        <v>0</v>
      </c>
    </row>
    <row r="29738" spans="20:20" ht="18.75" customHeight="1" x14ac:dyDescent="0.35">
      <c r="T29738" s="246">
        <f t="shared" si="502"/>
        <v>0</v>
      </c>
    </row>
    <row r="29739" spans="20:20" ht="18.75" customHeight="1" x14ac:dyDescent="0.35">
      <c r="T29739" s="246">
        <f t="shared" si="502"/>
        <v>0</v>
      </c>
    </row>
    <row r="29740" spans="20:20" ht="18.75" customHeight="1" x14ac:dyDescent="0.35">
      <c r="T29740" s="246">
        <f t="shared" si="502"/>
        <v>0</v>
      </c>
    </row>
    <row r="29741" spans="20:20" ht="18.75" customHeight="1" x14ac:dyDescent="0.35">
      <c r="T29741" s="246">
        <f t="shared" si="502"/>
        <v>0</v>
      </c>
    </row>
    <row r="29742" spans="20:20" ht="18.75" customHeight="1" x14ac:dyDescent="0.35">
      <c r="T29742" s="246">
        <f t="shared" si="502"/>
        <v>0</v>
      </c>
    </row>
    <row r="29743" spans="20:20" ht="18.75" customHeight="1" x14ac:dyDescent="0.35">
      <c r="T29743" s="246">
        <f t="shared" si="502"/>
        <v>0</v>
      </c>
    </row>
    <row r="29744" spans="20:20" ht="18.75" customHeight="1" x14ac:dyDescent="0.35">
      <c r="T29744" s="246">
        <f t="shared" si="502"/>
        <v>0</v>
      </c>
    </row>
    <row r="29745" spans="20:20" ht="18.75" customHeight="1" x14ac:dyDescent="0.35">
      <c r="T29745" s="246">
        <f t="shared" si="502"/>
        <v>0</v>
      </c>
    </row>
    <row r="29746" spans="20:20" ht="18.75" customHeight="1" x14ac:dyDescent="0.35">
      <c r="T29746" s="246">
        <f t="shared" si="502"/>
        <v>0</v>
      </c>
    </row>
    <row r="29747" spans="20:20" ht="18.75" customHeight="1" x14ac:dyDescent="0.35">
      <c r="T29747" s="246">
        <f t="shared" si="502"/>
        <v>0</v>
      </c>
    </row>
    <row r="29748" spans="20:20" ht="18.75" customHeight="1" x14ac:dyDescent="0.35">
      <c r="T29748" s="246">
        <f t="shared" si="502"/>
        <v>0</v>
      </c>
    </row>
    <row r="29749" spans="20:20" ht="18.75" customHeight="1" x14ac:dyDescent="0.35">
      <c r="T29749" s="246">
        <f t="shared" si="502"/>
        <v>0</v>
      </c>
    </row>
    <row r="29750" spans="20:20" ht="18.75" customHeight="1" x14ac:dyDescent="0.35">
      <c r="T29750" s="246">
        <f t="shared" si="502"/>
        <v>0</v>
      </c>
    </row>
    <row r="29751" spans="20:20" ht="18.75" customHeight="1" x14ac:dyDescent="0.35">
      <c r="T29751" s="246">
        <f t="shared" si="502"/>
        <v>0</v>
      </c>
    </row>
    <row r="29752" spans="20:20" ht="18.75" customHeight="1" x14ac:dyDescent="0.35">
      <c r="T29752" s="246">
        <f t="shared" si="502"/>
        <v>0</v>
      </c>
    </row>
    <row r="29753" spans="20:20" ht="18.75" customHeight="1" x14ac:dyDescent="0.35">
      <c r="T29753" s="246">
        <f t="shared" si="502"/>
        <v>0</v>
      </c>
    </row>
    <row r="29754" spans="20:20" ht="18.75" customHeight="1" x14ac:dyDescent="0.35">
      <c r="T29754" s="246">
        <f t="shared" si="502"/>
        <v>0</v>
      </c>
    </row>
    <row r="29755" spans="20:20" ht="18.75" customHeight="1" x14ac:dyDescent="0.35">
      <c r="T29755" s="246">
        <f t="shared" si="502"/>
        <v>0</v>
      </c>
    </row>
    <row r="29756" spans="20:20" ht="18.75" customHeight="1" x14ac:dyDescent="0.35">
      <c r="T29756" s="246">
        <f t="shared" ref="T29756:T29819" si="503">R29756*0.01</f>
        <v>0</v>
      </c>
    </row>
    <row r="29757" spans="20:20" ht="18.75" customHeight="1" x14ac:dyDescent="0.35">
      <c r="T29757" s="246">
        <f t="shared" si="503"/>
        <v>0</v>
      </c>
    </row>
    <row r="29758" spans="20:20" ht="18.75" customHeight="1" x14ac:dyDescent="0.35">
      <c r="T29758" s="246">
        <f t="shared" si="503"/>
        <v>0</v>
      </c>
    </row>
    <row r="29759" spans="20:20" ht="18.75" customHeight="1" x14ac:dyDescent="0.35">
      <c r="T29759" s="246">
        <f t="shared" si="503"/>
        <v>0</v>
      </c>
    </row>
    <row r="29760" spans="20:20" ht="18.75" customHeight="1" x14ac:dyDescent="0.35">
      <c r="T29760" s="246">
        <f t="shared" si="503"/>
        <v>0</v>
      </c>
    </row>
    <row r="29761" spans="20:20" ht="18.75" customHeight="1" x14ac:dyDescent="0.35">
      <c r="T29761" s="246">
        <f t="shared" si="503"/>
        <v>0</v>
      </c>
    </row>
    <row r="29762" spans="20:20" ht="18.75" customHeight="1" x14ac:dyDescent="0.35">
      <c r="T29762" s="246">
        <f t="shared" si="503"/>
        <v>0</v>
      </c>
    </row>
    <row r="29763" spans="20:20" ht="18.75" customHeight="1" x14ac:dyDescent="0.35">
      <c r="T29763" s="246">
        <f t="shared" si="503"/>
        <v>0</v>
      </c>
    </row>
    <row r="29764" spans="20:20" ht="18.75" customHeight="1" x14ac:dyDescent="0.35">
      <c r="T29764" s="246">
        <f t="shared" si="503"/>
        <v>0</v>
      </c>
    </row>
    <row r="29765" spans="20:20" ht="18.75" customHeight="1" x14ac:dyDescent="0.35">
      <c r="T29765" s="246">
        <f t="shared" si="503"/>
        <v>0</v>
      </c>
    </row>
    <row r="29766" spans="20:20" ht="18.75" customHeight="1" x14ac:dyDescent="0.35">
      <c r="T29766" s="246">
        <f t="shared" si="503"/>
        <v>0</v>
      </c>
    </row>
    <row r="29767" spans="20:20" ht="18.75" customHeight="1" x14ac:dyDescent="0.35">
      <c r="T29767" s="246">
        <f t="shared" si="503"/>
        <v>0</v>
      </c>
    </row>
    <row r="29768" spans="20:20" ht="18.75" customHeight="1" x14ac:dyDescent="0.35">
      <c r="T29768" s="246">
        <f t="shared" si="503"/>
        <v>0</v>
      </c>
    </row>
    <row r="29769" spans="20:20" ht="18.75" customHeight="1" x14ac:dyDescent="0.35">
      <c r="T29769" s="246">
        <f t="shared" si="503"/>
        <v>0</v>
      </c>
    </row>
    <row r="29770" spans="20:20" ht="18.75" customHeight="1" x14ac:dyDescent="0.35">
      <c r="T29770" s="246">
        <f t="shared" si="503"/>
        <v>0</v>
      </c>
    </row>
    <row r="29771" spans="20:20" ht="18.75" customHeight="1" x14ac:dyDescent="0.35">
      <c r="T29771" s="246">
        <f t="shared" si="503"/>
        <v>0</v>
      </c>
    </row>
    <row r="29772" spans="20:20" ht="18.75" customHeight="1" x14ac:dyDescent="0.35">
      <c r="T29772" s="246">
        <f t="shared" si="503"/>
        <v>0</v>
      </c>
    </row>
    <row r="29773" spans="20:20" ht="18.75" customHeight="1" x14ac:dyDescent="0.35">
      <c r="T29773" s="246">
        <f t="shared" si="503"/>
        <v>0</v>
      </c>
    </row>
    <row r="29774" spans="20:20" ht="18.75" customHeight="1" x14ac:dyDescent="0.35">
      <c r="T29774" s="246">
        <f t="shared" si="503"/>
        <v>0</v>
      </c>
    </row>
    <row r="29775" spans="20:20" ht="18.75" customHeight="1" x14ac:dyDescent="0.35">
      <c r="T29775" s="246">
        <f t="shared" si="503"/>
        <v>0</v>
      </c>
    </row>
    <row r="29776" spans="20:20" ht="18.75" customHeight="1" x14ac:dyDescent="0.35">
      <c r="T29776" s="246">
        <f t="shared" si="503"/>
        <v>0</v>
      </c>
    </row>
    <row r="29777" spans="20:20" ht="18.75" customHeight="1" x14ac:dyDescent="0.35">
      <c r="T29777" s="246">
        <f t="shared" si="503"/>
        <v>0</v>
      </c>
    </row>
    <row r="29778" spans="20:20" ht="18.75" customHeight="1" x14ac:dyDescent="0.35">
      <c r="T29778" s="246">
        <f t="shared" si="503"/>
        <v>0</v>
      </c>
    </row>
    <row r="29779" spans="20:20" ht="18.75" customHeight="1" x14ac:dyDescent="0.35">
      <c r="T29779" s="246">
        <f t="shared" si="503"/>
        <v>0</v>
      </c>
    </row>
    <row r="29780" spans="20:20" ht="18.75" customHeight="1" x14ac:dyDescent="0.35">
      <c r="T29780" s="246">
        <f t="shared" si="503"/>
        <v>0</v>
      </c>
    </row>
    <row r="29781" spans="20:20" ht="18.75" customHeight="1" x14ac:dyDescent="0.35">
      <c r="T29781" s="246">
        <f t="shared" si="503"/>
        <v>0</v>
      </c>
    </row>
    <row r="29782" spans="20:20" ht="18.75" customHeight="1" x14ac:dyDescent="0.35">
      <c r="T29782" s="246">
        <f t="shared" si="503"/>
        <v>0</v>
      </c>
    </row>
    <row r="29783" spans="20:20" ht="18.75" customHeight="1" x14ac:dyDescent="0.35">
      <c r="T29783" s="246">
        <f t="shared" si="503"/>
        <v>0</v>
      </c>
    </row>
    <row r="29784" spans="20:20" ht="18.75" customHeight="1" x14ac:dyDescent="0.35">
      <c r="T29784" s="246">
        <f t="shared" si="503"/>
        <v>0</v>
      </c>
    </row>
    <row r="29785" spans="20:20" ht="18.75" customHeight="1" x14ac:dyDescent="0.35">
      <c r="T29785" s="246">
        <f t="shared" si="503"/>
        <v>0</v>
      </c>
    </row>
    <row r="29786" spans="20:20" ht="18.75" customHeight="1" x14ac:dyDescent="0.35">
      <c r="T29786" s="246">
        <f t="shared" si="503"/>
        <v>0</v>
      </c>
    </row>
    <row r="29787" spans="20:20" ht="18.75" customHeight="1" x14ac:dyDescent="0.35">
      <c r="T29787" s="246">
        <f t="shared" si="503"/>
        <v>0</v>
      </c>
    </row>
    <row r="29788" spans="20:20" ht="18.75" customHeight="1" x14ac:dyDescent="0.35">
      <c r="T29788" s="246">
        <f t="shared" si="503"/>
        <v>0</v>
      </c>
    </row>
    <row r="29789" spans="20:20" ht="18.75" customHeight="1" x14ac:dyDescent="0.35">
      <c r="T29789" s="246">
        <f t="shared" si="503"/>
        <v>0</v>
      </c>
    </row>
    <row r="29790" spans="20:20" ht="18.75" customHeight="1" x14ac:dyDescent="0.35">
      <c r="T29790" s="246">
        <f t="shared" si="503"/>
        <v>0</v>
      </c>
    </row>
    <row r="29791" spans="20:20" ht="18.75" customHeight="1" x14ac:dyDescent="0.35">
      <c r="T29791" s="246">
        <f t="shared" si="503"/>
        <v>0</v>
      </c>
    </row>
    <row r="29792" spans="20:20" ht="18.75" customHeight="1" x14ac:dyDescent="0.35">
      <c r="T29792" s="246">
        <f t="shared" si="503"/>
        <v>0</v>
      </c>
    </row>
    <row r="29793" spans="20:20" ht="18.75" customHeight="1" x14ac:dyDescent="0.35">
      <c r="T29793" s="246">
        <f t="shared" si="503"/>
        <v>0</v>
      </c>
    </row>
    <row r="29794" spans="20:20" ht="18.75" customHeight="1" x14ac:dyDescent="0.35">
      <c r="T29794" s="246">
        <f t="shared" si="503"/>
        <v>0</v>
      </c>
    </row>
    <row r="29795" spans="20:20" ht="18.75" customHeight="1" x14ac:dyDescent="0.35">
      <c r="T29795" s="246">
        <f t="shared" si="503"/>
        <v>0</v>
      </c>
    </row>
    <row r="29796" spans="20:20" ht="18.75" customHeight="1" x14ac:dyDescent="0.35">
      <c r="T29796" s="246">
        <f t="shared" si="503"/>
        <v>0</v>
      </c>
    </row>
    <row r="29797" spans="20:20" ht="18.75" customHeight="1" x14ac:dyDescent="0.35">
      <c r="T29797" s="246">
        <f t="shared" si="503"/>
        <v>0</v>
      </c>
    </row>
    <row r="29798" spans="20:20" ht="18.75" customHeight="1" x14ac:dyDescent="0.35">
      <c r="T29798" s="246">
        <f t="shared" si="503"/>
        <v>0</v>
      </c>
    </row>
    <row r="29799" spans="20:20" ht="18.75" customHeight="1" x14ac:dyDescent="0.35">
      <c r="T29799" s="246">
        <f t="shared" si="503"/>
        <v>0</v>
      </c>
    </row>
    <row r="29800" spans="20:20" ht="18.75" customHeight="1" x14ac:dyDescent="0.35">
      <c r="T29800" s="246">
        <f t="shared" si="503"/>
        <v>0</v>
      </c>
    </row>
    <row r="29801" spans="20:20" ht="18.75" customHeight="1" x14ac:dyDescent="0.35">
      <c r="T29801" s="246">
        <f t="shared" si="503"/>
        <v>0</v>
      </c>
    </row>
    <row r="29802" spans="20:20" ht="18.75" customHeight="1" x14ac:dyDescent="0.35">
      <c r="T29802" s="246">
        <f t="shared" si="503"/>
        <v>0</v>
      </c>
    </row>
    <row r="29803" spans="20:20" ht="18.75" customHeight="1" x14ac:dyDescent="0.35">
      <c r="T29803" s="246">
        <f t="shared" si="503"/>
        <v>0</v>
      </c>
    </row>
    <row r="29804" spans="20:20" ht="18.75" customHeight="1" x14ac:dyDescent="0.35">
      <c r="T29804" s="246">
        <f t="shared" si="503"/>
        <v>0</v>
      </c>
    </row>
    <row r="29805" spans="20:20" ht="18.75" customHeight="1" x14ac:dyDescent="0.35">
      <c r="T29805" s="246">
        <f t="shared" si="503"/>
        <v>0</v>
      </c>
    </row>
    <row r="29806" spans="20:20" ht="18.75" customHeight="1" x14ac:dyDescent="0.35">
      <c r="T29806" s="246">
        <f t="shared" si="503"/>
        <v>0</v>
      </c>
    </row>
    <row r="29807" spans="20:20" ht="18.75" customHeight="1" x14ac:dyDescent="0.35">
      <c r="T29807" s="246">
        <f t="shared" si="503"/>
        <v>0</v>
      </c>
    </row>
    <row r="29808" spans="20:20" ht="18.75" customHeight="1" x14ac:dyDescent="0.35">
      <c r="T29808" s="246">
        <f t="shared" si="503"/>
        <v>0</v>
      </c>
    </row>
    <row r="29809" spans="20:20" ht="18.75" customHeight="1" x14ac:dyDescent="0.35">
      <c r="T29809" s="246">
        <f t="shared" si="503"/>
        <v>0</v>
      </c>
    </row>
    <row r="29810" spans="20:20" ht="18.75" customHeight="1" x14ac:dyDescent="0.35">
      <c r="T29810" s="246">
        <f t="shared" si="503"/>
        <v>0</v>
      </c>
    </row>
    <row r="29811" spans="20:20" ht="18.75" customHeight="1" x14ac:dyDescent="0.35">
      <c r="T29811" s="246">
        <f t="shared" si="503"/>
        <v>0</v>
      </c>
    </row>
    <row r="29812" spans="20:20" ht="18.75" customHeight="1" x14ac:dyDescent="0.35">
      <c r="T29812" s="246">
        <f t="shared" si="503"/>
        <v>0</v>
      </c>
    </row>
    <row r="29813" spans="20:20" ht="18.75" customHeight="1" x14ac:dyDescent="0.35">
      <c r="T29813" s="246">
        <f t="shared" si="503"/>
        <v>0</v>
      </c>
    </row>
    <row r="29814" spans="20:20" ht="18.75" customHeight="1" x14ac:dyDescent="0.35">
      <c r="T29814" s="246">
        <f t="shared" si="503"/>
        <v>0</v>
      </c>
    </row>
    <row r="29815" spans="20:20" ht="18.75" customHeight="1" x14ac:dyDescent="0.35">
      <c r="T29815" s="246">
        <f t="shared" si="503"/>
        <v>0</v>
      </c>
    </row>
    <row r="29816" spans="20:20" ht="18.75" customHeight="1" x14ac:dyDescent="0.35">
      <c r="T29816" s="246">
        <f t="shared" si="503"/>
        <v>0</v>
      </c>
    </row>
    <row r="29817" spans="20:20" ht="18.75" customHeight="1" x14ac:dyDescent="0.35">
      <c r="T29817" s="246">
        <f t="shared" si="503"/>
        <v>0</v>
      </c>
    </row>
    <row r="29818" spans="20:20" ht="18.75" customHeight="1" x14ac:dyDescent="0.35">
      <c r="T29818" s="246">
        <f t="shared" si="503"/>
        <v>0</v>
      </c>
    </row>
    <row r="29819" spans="20:20" ht="18.75" customHeight="1" x14ac:dyDescent="0.35">
      <c r="T29819" s="246">
        <f t="shared" si="503"/>
        <v>0</v>
      </c>
    </row>
    <row r="29820" spans="20:20" ht="18.75" customHeight="1" x14ac:dyDescent="0.35">
      <c r="T29820" s="246">
        <f t="shared" ref="T29820:T29883" si="504">R29820*0.01</f>
        <v>0</v>
      </c>
    </row>
    <row r="29821" spans="20:20" ht="18.75" customHeight="1" x14ac:dyDescent="0.35">
      <c r="T29821" s="246">
        <f t="shared" si="504"/>
        <v>0</v>
      </c>
    </row>
    <row r="29822" spans="20:20" ht="18.75" customHeight="1" x14ac:dyDescent="0.35">
      <c r="T29822" s="246">
        <f t="shared" si="504"/>
        <v>0</v>
      </c>
    </row>
    <row r="29823" spans="20:20" ht="18.75" customHeight="1" x14ac:dyDescent="0.35">
      <c r="T29823" s="246">
        <f t="shared" si="504"/>
        <v>0</v>
      </c>
    </row>
    <row r="29824" spans="20:20" ht="18.75" customHeight="1" x14ac:dyDescent="0.35">
      <c r="T29824" s="246">
        <f t="shared" si="504"/>
        <v>0</v>
      </c>
    </row>
    <row r="29825" spans="20:20" ht="18.75" customHeight="1" x14ac:dyDescent="0.35">
      <c r="T29825" s="246">
        <f t="shared" si="504"/>
        <v>0</v>
      </c>
    </row>
    <row r="29826" spans="20:20" ht="18.75" customHeight="1" x14ac:dyDescent="0.35">
      <c r="T29826" s="246">
        <f t="shared" si="504"/>
        <v>0</v>
      </c>
    </row>
    <row r="29827" spans="20:20" ht="18.75" customHeight="1" x14ac:dyDescent="0.35">
      <c r="T29827" s="246">
        <f t="shared" si="504"/>
        <v>0</v>
      </c>
    </row>
    <row r="29828" spans="20:20" ht="18.75" customHeight="1" x14ac:dyDescent="0.35">
      <c r="T29828" s="246">
        <f t="shared" si="504"/>
        <v>0</v>
      </c>
    </row>
    <row r="29829" spans="20:20" ht="18.75" customHeight="1" x14ac:dyDescent="0.35">
      <c r="T29829" s="246">
        <f t="shared" si="504"/>
        <v>0</v>
      </c>
    </row>
    <row r="29830" spans="20:20" ht="18.75" customHeight="1" x14ac:dyDescent="0.35">
      <c r="T29830" s="246">
        <f t="shared" si="504"/>
        <v>0</v>
      </c>
    </row>
    <row r="29831" spans="20:20" ht="18.75" customHeight="1" x14ac:dyDescent="0.35">
      <c r="T29831" s="246">
        <f t="shared" si="504"/>
        <v>0</v>
      </c>
    </row>
    <row r="29832" spans="20:20" ht="18.75" customHeight="1" x14ac:dyDescent="0.35">
      <c r="T29832" s="246">
        <f t="shared" si="504"/>
        <v>0</v>
      </c>
    </row>
    <row r="29833" spans="20:20" ht="18.75" customHeight="1" x14ac:dyDescent="0.35">
      <c r="T29833" s="246">
        <f t="shared" si="504"/>
        <v>0</v>
      </c>
    </row>
    <row r="29834" spans="20:20" ht="18.75" customHeight="1" x14ac:dyDescent="0.35">
      <c r="T29834" s="246">
        <f t="shared" si="504"/>
        <v>0</v>
      </c>
    </row>
    <row r="29835" spans="20:20" ht="18.75" customHeight="1" x14ac:dyDescent="0.35">
      <c r="T29835" s="246">
        <f t="shared" si="504"/>
        <v>0</v>
      </c>
    </row>
    <row r="29836" spans="20:20" ht="18.75" customHeight="1" x14ac:dyDescent="0.35">
      <c r="T29836" s="246">
        <f t="shared" si="504"/>
        <v>0</v>
      </c>
    </row>
    <row r="29837" spans="20:20" ht="18.75" customHeight="1" x14ac:dyDescent="0.35">
      <c r="T29837" s="246">
        <f t="shared" si="504"/>
        <v>0</v>
      </c>
    </row>
    <row r="29838" spans="20:20" ht="18.75" customHeight="1" x14ac:dyDescent="0.35">
      <c r="T29838" s="246">
        <f t="shared" si="504"/>
        <v>0</v>
      </c>
    </row>
    <row r="29839" spans="20:20" ht="18.75" customHeight="1" x14ac:dyDescent="0.35">
      <c r="T29839" s="246">
        <f t="shared" si="504"/>
        <v>0</v>
      </c>
    </row>
    <row r="29840" spans="20:20" ht="18.75" customHeight="1" x14ac:dyDescent="0.35">
      <c r="T29840" s="246">
        <f t="shared" si="504"/>
        <v>0</v>
      </c>
    </row>
    <row r="29841" spans="20:20" ht="18.75" customHeight="1" x14ac:dyDescent="0.35">
      <c r="T29841" s="246">
        <f t="shared" si="504"/>
        <v>0</v>
      </c>
    </row>
    <row r="29842" spans="20:20" ht="18.75" customHeight="1" x14ac:dyDescent="0.35">
      <c r="T29842" s="246">
        <f t="shared" si="504"/>
        <v>0</v>
      </c>
    </row>
    <row r="29843" spans="20:20" ht="18.75" customHeight="1" x14ac:dyDescent="0.35">
      <c r="T29843" s="246">
        <f t="shared" si="504"/>
        <v>0</v>
      </c>
    </row>
    <row r="29844" spans="20:20" ht="18.75" customHeight="1" x14ac:dyDescent="0.35">
      <c r="T29844" s="246">
        <f t="shared" si="504"/>
        <v>0</v>
      </c>
    </row>
    <row r="29845" spans="20:20" ht="18.75" customHeight="1" x14ac:dyDescent="0.35">
      <c r="T29845" s="246">
        <f t="shared" si="504"/>
        <v>0</v>
      </c>
    </row>
    <row r="29846" spans="20:20" ht="18.75" customHeight="1" x14ac:dyDescent="0.35">
      <c r="T29846" s="246">
        <f t="shared" si="504"/>
        <v>0</v>
      </c>
    </row>
    <row r="29847" spans="20:20" ht="18.75" customHeight="1" x14ac:dyDescent="0.35">
      <c r="T29847" s="246">
        <f t="shared" si="504"/>
        <v>0</v>
      </c>
    </row>
    <row r="29848" spans="20:20" ht="18.75" customHeight="1" x14ac:dyDescent="0.35">
      <c r="T29848" s="246">
        <f t="shared" si="504"/>
        <v>0</v>
      </c>
    </row>
    <row r="29849" spans="20:20" ht="18.75" customHeight="1" x14ac:dyDescent="0.35">
      <c r="T29849" s="246">
        <f t="shared" si="504"/>
        <v>0</v>
      </c>
    </row>
    <row r="29850" spans="20:20" ht="18.75" customHeight="1" x14ac:dyDescent="0.35">
      <c r="T29850" s="246">
        <f t="shared" si="504"/>
        <v>0</v>
      </c>
    </row>
    <row r="29851" spans="20:20" ht="18.75" customHeight="1" x14ac:dyDescent="0.35">
      <c r="T29851" s="246">
        <f t="shared" si="504"/>
        <v>0</v>
      </c>
    </row>
    <row r="29852" spans="20:20" ht="18.75" customHeight="1" x14ac:dyDescent="0.35">
      <c r="T29852" s="246">
        <f t="shared" si="504"/>
        <v>0</v>
      </c>
    </row>
    <row r="29853" spans="20:20" ht="18.75" customHeight="1" x14ac:dyDescent="0.35">
      <c r="T29853" s="246">
        <f t="shared" si="504"/>
        <v>0</v>
      </c>
    </row>
    <row r="29854" spans="20:20" ht="18.75" customHeight="1" x14ac:dyDescent="0.35">
      <c r="T29854" s="246">
        <f t="shared" si="504"/>
        <v>0</v>
      </c>
    </row>
    <row r="29855" spans="20:20" ht="18.75" customHeight="1" x14ac:dyDescent="0.35">
      <c r="T29855" s="246">
        <f t="shared" si="504"/>
        <v>0</v>
      </c>
    </row>
    <row r="29856" spans="20:20" ht="18.75" customHeight="1" x14ac:dyDescent="0.35">
      <c r="T29856" s="246">
        <f t="shared" si="504"/>
        <v>0</v>
      </c>
    </row>
    <row r="29857" spans="20:20" ht="18.75" customHeight="1" x14ac:dyDescent="0.35">
      <c r="T29857" s="246">
        <f t="shared" si="504"/>
        <v>0</v>
      </c>
    </row>
    <row r="29858" spans="20:20" ht="18.75" customHeight="1" x14ac:dyDescent="0.35">
      <c r="T29858" s="246">
        <f t="shared" si="504"/>
        <v>0</v>
      </c>
    </row>
    <row r="29859" spans="20:20" ht="18.75" customHeight="1" x14ac:dyDescent="0.35">
      <c r="T29859" s="246">
        <f t="shared" si="504"/>
        <v>0</v>
      </c>
    </row>
    <row r="29860" spans="20:20" ht="18.75" customHeight="1" x14ac:dyDescent="0.35">
      <c r="T29860" s="246">
        <f t="shared" si="504"/>
        <v>0</v>
      </c>
    </row>
    <row r="29861" spans="20:20" ht="18.75" customHeight="1" x14ac:dyDescent="0.35">
      <c r="T29861" s="246">
        <f t="shared" si="504"/>
        <v>0</v>
      </c>
    </row>
    <row r="29862" spans="20:20" ht="18.75" customHeight="1" x14ac:dyDescent="0.35">
      <c r="T29862" s="246">
        <f t="shared" si="504"/>
        <v>0</v>
      </c>
    </row>
    <row r="29863" spans="20:20" ht="18.75" customHeight="1" x14ac:dyDescent="0.35">
      <c r="T29863" s="246">
        <f t="shared" si="504"/>
        <v>0</v>
      </c>
    </row>
    <row r="29864" spans="20:20" ht="18.75" customHeight="1" x14ac:dyDescent="0.35">
      <c r="T29864" s="246">
        <f t="shared" si="504"/>
        <v>0</v>
      </c>
    </row>
    <row r="29865" spans="20:20" ht="18.75" customHeight="1" x14ac:dyDescent="0.35">
      <c r="T29865" s="246">
        <f t="shared" si="504"/>
        <v>0</v>
      </c>
    </row>
    <row r="29866" spans="20:20" ht="18.75" customHeight="1" x14ac:dyDescent="0.35">
      <c r="T29866" s="246">
        <f t="shared" si="504"/>
        <v>0</v>
      </c>
    </row>
    <row r="29867" spans="20:20" ht="18.75" customHeight="1" x14ac:dyDescent="0.35">
      <c r="T29867" s="246">
        <f t="shared" si="504"/>
        <v>0</v>
      </c>
    </row>
    <row r="29868" spans="20:20" ht="18.75" customHeight="1" x14ac:dyDescent="0.35">
      <c r="T29868" s="246">
        <f t="shared" si="504"/>
        <v>0</v>
      </c>
    </row>
    <row r="29869" spans="20:20" ht="18.75" customHeight="1" x14ac:dyDescent="0.35">
      <c r="T29869" s="246">
        <f t="shared" si="504"/>
        <v>0</v>
      </c>
    </row>
    <row r="29870" spans="20:20" ht="18.75" customHeight="1" x14ac:dyDescent="0.35">
      <c r="T29870" s="246">
        <f t="shared" si="504"/>
        <v>0</v>
      </c>
    </row>
    <row r="29871" spans="20:20" ht="18.75" customHeight="1" x14ac:dyDescent="0.35">
      <c r="T29871" s="246">
        <f t="shared" si="504"/>
        <v>0</v>
      </c>
    </row>
    <row r="29872" spans="20:20" ht="18.75" customHeight="1" x14ac:dyDescent="0.35">
      <c r="T29872" s="246">
        <f t="shared" si="504"/>
        <v>0</v>
      </c>
    </row>
    <row r="29873" spans="20:20" ht="18.75" customHeight="1" x14ac:dyDescent="0.35">
      <c r="T29873" s="246">
        <f t="shared" si="504"/>
        <v>0</v>
      </c>
    </row>
    <row r="29874" spans="20:20" ht="18.75" customHeight="1" x14ac:dyDescent="0.35">
      <c r="T29874" s="246">
        <f t="shared" si="504"/>
        <v>0</v>
      </c>
    </row>
    <row r="29875" spans="20:20" ht="18.75" customHeight="1" x14ac:dyDescent="0.35">
      <c r="T29875" s="246">
        <f t="shared" si="504"/>
        <v>0</v>
      </c>
    </row>
    <row r="29876" spans="20:20" ht="18.75" customHeight="1" x14ac:dyDescent="0.35">
      <c r="T29876" s="246">
        <f t="shared" si="504"/>
        <v>0</v>
      </c>
    </row>
    <row r="29877" spans="20:20" ht="18.75" customHeight="1" x14ac:dyDescent="0.35">
      <c r="T29877" s="246">
        <f t="shared" si="504"/>
        <v>0</v>
      </c>
    </row>
    <row r="29878" spans="20:20" ht="18.75" customHeight="1" x14ac:dyDescent="0.35">
      <c r="T29878" s="246">
        <f t="shared" si="504"/>
        <v>0</v>
      </c>
    </row>
    <row r="29879" spans="20:20" ht="18.75" customHeight="1" x14ac:dyDescent="0.35">
      <c r="T29879" s="246">
        <f t="shared" si="504"/>
        <v>0</v>
      </c>
    </row>
    <row r="29880" spans="20:20" ht="18.75" customHeight="1" x14ac:dyDescent="0.35">
      <c r="T29880" s="246">
        <f t="shared" si="504"/>
        <v>0</v>
      </c>
    </row>
    <row r="29881" spans="20:20" ht="18.75" customHeight="1" x14ac:dyDescent="0.35">
      <c r="T29881" s="246">
        <f t="shared" si="504"/>
        <v>0</v>
      </c>
    </row>
    <row r="29882" spans="20:20" ht="18.75" customHeight="1" x14ac:dyDescent="0.35">
      <c r="T29882" s="246">
        <f t="shared" si="504"/>
        <v>0</v>
      </c>
    </row>
    <row r="29883" spans="20:20" ht="18.75" customHeight="1" x14ac:dyDescent="0.35">
      <c r="T29883" s="246">
        <f t="shared" si="504"/>
        <v>0</v>
      </c>
    </row>
    <row r="29884" spans="20:20" ht="18.75" customHeight="1" x14ac:dyDescent="0.35">
      <c r="T29884" s="246">
        <f t="shared" ref="T29884:T29947" si="505">R29884*0.01</f>
        <v>0</v>
      </c>
    </row>
    <row r="29885" spans="20:20" ht="18.75" customHeight="1" x14ac:dyDescent="0.35">
      <c r="T29885" s="246">
        <f t="shared" si="505"/>
        <v>0</v>
      </c>
    </row>
    <row r="29886" spans="20:20" ht="18.75" customHeight="1" x14ac:dyDescent="0.35">
      <c r="T29886" s="246">
        <f t="shared" si="505"/>
        <v>0</v>
      </c>
    </row>
    <row r="29887" spans="20:20" ht="18.75" customHeight="1" x14ac:dyDescent="0.35">
      <c r="T29887" s="246">
        <f t="shared" si="505"/>
        <v>0</v>
      </c>
    </row>
    <row r="29888" spans="20:20" ht="18.75" customHeight="1" x14ac:dyDescent="0.35">
      <c r="T29888" s="246">
        <f t="shared" si="505"/>
        <v>0</v>
      </c>
    </row>
    <row r="29889" spans="20:20" ht="18.75" customHeight="1" x14ac:dyDescent="0.35">
      <c r="T29889" s="246">
        <f t="shared" si="505"/>
        <v>0</v>
      </c>
    </row>
    <row r="29890" spans="20:20" ht="18.75" customHeight="1" x14ac:dyDescent="0.35">
      <c r="T29890" s="246">
        <f t="shared" si="505"/>
        <v>0</v>
      </c>
    </row>
    <row r="29891" spans="20:20" ht="18.75" customHeight="1" x14ac:dyDescent="0.35">
      <c r="T29891" s="246">
        <f t="shared" si="505"/>
        <v>0</v>
      </c>
    </row>
    <row r="29892" spans="20:20" ht="18.75" customHeight="1" x14ac:dyDescent="0.35">
      <c r="T29892" s="246">
        <f t="shared" si="505"/>
        <v>0</v>
      </c>
    </row>
    <row r="29893" spans="20:20" ht="18.75" customHeight="1" x14ac:dyDescent="0.35">
      <c r="T29893" s="246">
        <f t="shared" si="505"/>
        <v>0</v>
      </c>
    </row>
    <row r="29894" spans="20:20" ht="18.75" customHeight="1" x14ac:dyDescent="0.35">
      <c r="T29894" s="246">
        <f t="shared" si="505"/>
        <v>0</v>
      </c>
    </row>
    <row r="29895" spans="20:20" ht="18.75" customHeight="1" x14ac:dyDescent="0.35">
      <c r="T29895" s="246">
        <f t="shared" si="505"/>
        <v>0</v>
      </c>
    </row>
    <row r="29896" spans="20:20" ht="18.75" customHeight="1" x14ac:dyDescent="0.35">
      <c r="T29896" s="246">
        <f t="shared" si="505"/>
        <v>0</v>
      </c>
    </row>
    <row r="29897" spans="20:20" ht="18.75" customHeight="1" x14ac:dyDescent="0.35">
      <c r="T29897" s="246">
        <f t="shared" si="505"/>
        <v>0</v>
      </c>
    </row>
    <row r="29898" spans="20:20" ht="18.75" customHeight="1" x14ac:dyDescent="0.35">
      <c r="T29898" s="246">
        <f t="shared" si="505"/>
        <v>0</v>
      </c>
    </row>
    <row r="29899" spans="20:20" ht="18.75" customHeight="1" x14ac:dyDescent="0.35">
      <c r="T29899" s="246">
        <f t="shared" si="505"/>
        <v>0</v>
      </c>
    </row>
    <row r="29900" spans="20:20" ht="18.75" customHeight="1" x14ac:dyDescent="0.35">
      <c r="T29900" s="246">
        <f t="shared" si="505"/>
        <v>0</v>
      </c>
    </row>
    <row r="29901" spans="20:20" ht="18.75" customHeight="1" x14ac:dyDescent="0.35">
      <c r="T29901" s="246">
        <f t="shared" si="505"/>
        <v>0</v>
      </c>
    </row>
    <row r="29902" spans="20:20" ht="18.75" customHeight="1" x14ac:dyDescent="0.35">
      <c r="T29902" s="246">
        <f t="shared" si="505"/>
        <v>0</v>
      </c>
    </row>
    <row r="29903" spans="20:20" ht="18.75" customHeight="1" x14ac:dyDescent="0.35">
      <c r="T29903" s="246">
        <f t="shared" si="505"/>
        <v>0</v>
      </c>
    </row>
    <row r="29904" spans="20:20" ht="18.75" customHeight="1" x14ac:dyDescent="0.35">
      <c r="T29904" s="246">
        <f t="shared" si="505"/>
        <v>0</v>
      </c>
    </row>
    <row r="29905" spans="20:20" ht="18.75" customHeight="1" x14ac:dyDescent="0.35">
      <c r="T29905" s="246">
        <f t="shared" si="505"/>
        <v>0</v>
      </c>
    </row>
    <row r="29906" spans="20:20" ht="18.75" customHeight="1" x14ac:dyDescent="0.35">
      <c r="T29906" s="246">
        <f t="shared" si="505"/>
        <v>0</v>
      </c>
    </row>
    <row r="29907" spans="20:20" ht="18.75" customHeight="1" x14ac:dyDescent="0.35">
      <c r="T29907" s="246">
        <f t="shared" si="505"/>
        <v>0</v>
      </c>
    </row>
    <row r="29908" spans="20:20" ht="18.75" customHeight="1" x14ac:dyDescent="0.35">
      <c r="T29908" s="246">
        <f t="shared" si="505"/>
        <v>0</v>
      </c>
    </row>
    <row r="29909" spans="20:20" ht="18.75" customHeight="1" x14ac:dyDescent="0.35">
      <c r="T29909" s="246">
        <f t="shared" si="505"/>
        <v>0</v>
      </c>
    </row>
    <row r="29910" spans="20:20" ht="18.75" customHeight="1" x14ac:dyDescent="0.35">
      <c r="T29910" s="246">
        <f t="shared" si="505"/>
        <v>0</v>
      </c>
    </row>
    <row r="29911" spans="20:20" ht="18.75" customHeight="1" x14ac:dyDescent="0.35">
      <c r="T29911" s="246">
        <f t="shared" si="505"/>
        <v>0</v>
      </c>
    </row>
    <row r="29912" spans="20:20" ht="18.75" customHeight="1" x14ac:dyDescent="0.35">
      <c r="T29912" s="246">
        <f t="shared" si="505"/>
        <v>0</v>
      </c>
    </row>
    <row r="29913" spans="20:20" ht="18.75" customHeight="1" x14ac:dyDescent="0.35">
      <c r="T29913" s="246">
        <f t="shared" si="505"/>
        <v>0</v>
      </c>
    </row>
    <row r="29914" spans="20:20" ht="18.75" customHeight="1" x14ac:dyDescent="0.35">
      <c r="T29914" s="246">
        <f t="shared" si="505"/>
        <v>0</v>
      </c>
    </row>
    <row r="29915" spans="20:20" ht="18.75" customHeight="1" x14ac:dyDescent="0.35">
      <c r="T29915" s="246">
        <f t="shared" si="505"/>
        <v>0</v>
      </c>
    </row>
    <row r="29916" spans="20:20" ht="18.75" customHeight="1" x14ac:dyDescent="0.35">
      <c r="T29916" s="246">
        <f t="shared" si="505"/>
        <v>0</v>
      </c>
    </row>
    <row r="29917" spans="20:20" ht="18.75" customHeight="1" x14ac:dyDescent="0.35">
      <c r="T29917" s="246">
        <f t="shared" si="505"/>
        <v>0</v>
      </c>
    </row>
    <row r="29918" spans="20:20" ht="18.75" customHeight="1" x14ac:dyDescent="0.35">
      <c r="T29918" s="246">
        <f t="shared" si="505"/>
        <v>0</v>
      </c>
    </row>
    <row r="29919" spans="20:20" ht="18.75" customHeight="1" x14ac:dyDescent="0.35">
      <c r="T29919" s="246">
        <f t="shared" si="505"/>
        <v>0</v>
      </c>
    </row>
    <row r="29920" spans="20:20" ht="18.75" customHeight="1" x14ac:dyDescent="0.35">
      <c r="T29920" s="246">
        <f t="shared" si="505"/>
        <v>0</v>
      </c>
    </row>
    <row r="29921" spans="20:20" ht="18.75" customHeight="1" x14ac:dyDescent="0.35">
      <c r="T29921" s="246">
        <f t="shared" si="505"/>
        <v>0</v>
      </c>
    </row>
    <row r="29922" spans="20:20" ht="18.75" customHeight="1" x14ac:dyDescent="0.35">
      <c r="T29922" s="246">
        <f t="shared" si="505"/>
        <v>0</v>
      </c>
    </row>
    <row r="29923" spans="20:20" ht="18.75" customHeight="1" x14ac:dyDescent="0.35">
      <c r="T29923" s="246">
        <f t="shared" si="505"/>
        <v>0</v>
      </c>
    </row>
    <row r="29924" spans="20:20" ht="18.75" customHeight="1" x14ac:dyDescent="0.35">
      <c r="T29924" s="246">
        <f t="shared" si="505"/>
        <v>0</v>
      </c>
    </row>
    <row r="29925" spans="20:20" ht="18.75" customHeight="1" x14ac:dyDescent="0.35">
      <c r="T29925" s="246">
        <f t="shared" si="505"/>
        <v>0</v>
      </c>
    </row>
    <row r="29926" spans="20:20" ht="18.75" customHeight="1" x14ac:dyDescent="0.35">
      <c r="T29926" s="246">
        <f t="shared" si="505"/>
        <v>0</v>
      </c>
    </row>
    <row r="29927" spans="20:20" ht="18.75" customHeight="1" x14ac:dyDescent="0.35">
      <c r="T29927" s="246">
        <f t="shared" si="505"/>
        <v>0</v>
      </c>
    </row>
    <row r="29928" spans="20:20" ht="18.75" customHeight="1" x14ac:dyDescent="0.35">
      <c r="T29928" s="246">
        <f t="shared" si="505"/>
        <v>0</v>
      </c>
    </row>
    <row r="29929" spans="20:20" ht="18.75" customHeight="1" x14ac:dyDescent="0.35">
      <c r="T29929" s="246">
        <f t="shared" si="505"/>
        <v>0</v>
      </c>
    </row>
    <row r="29930" spans="20:20" ht="18.75" customHeight="1" x14ac:dyDescent="0.35">
      <c r="T29930" s="246">
        <f t="shared" si="505"/>
        <v>0</v>
      </c>
    </row>
    <row r="29931" spans="20:20" ht="18.75" customHeight="1" x14ac:dyDescent="0.35">
      <c r="T29931" s="246">
        <f t="shared" si="505"/>
        <v>0</v>
      </c>
    </row>
    <row r="29932" spans="20:20" ht="18.75" customHeight="1" x14ac:dyDescent="0.35">
      <c r="T29932" s="246">
        <f t="shared" si="505"/>
        <v>0</v>
      </c>
    </row>
    <row r="29933" spans="20:20" ht="18.75" customHeight="1" x14ac:dyDescent="0.35">
      <c r="T29933" s="246">
        <f t="shared" si="505"/>
        <v>0</v>
      </c>
    </row>
    <row r="29934" spans="20:20" ht="18.75" customHeight="1" x14ac:dyDescent="0.35">
      <c r="T29934" s="246">
        <f t="shared" si="505"/>
        <v>0</v>
      </c>
    </row>
    <row r="29935" spans="20:20" ht="18.75" customHeight="1" x14ac:dyDescent="0.35">
      <c r="T29935" s="246">
        <f t="shared" si="505"/>
        <v>0</v>
      </c>
    </row>
    <row r="29936" spans="20:20" ht="18.75" customHeight="1" x14ac:dyDescent="0.35">
      <c r="T29936" s="246">
        <f t="shared" si="505"/>
        <v>0</v>
      </c>
    </row>
    <row r="29937" spans="20:20" ht="18.75" customHeight="1" x14ac:dyDescent="0.35">
      <c r="T29937" s="246">
        <f t="shared" si="505"/>
        <v>0</v>
      </c>
    </row>
    <row r="29938" spans="20:20" ht="18.75" customHeight="1" x14ac:dyDescent="0.35">
      <c r="T29938" s="246">
        <f t="shared" si="505"/>
        <v>0</v>
      </c>
    </row>
    <row r="29939" spans="20:20" ht="18.75" customHeight="1" x14ac:dyDescent="0.35">
      <c r="T29939" s="246">
        <f t="shared" si="505"/>
        <v>0</v>
      </c>
    </row>
    <row r="29940" spans="20:20" ht="18.75" customHeight="1" x14ac:dyDescent="0.35">
      <c r="T29940" s="246">
        <f t="shared" si="505"/>
        <v>0</v>
      </c>
    </row>
    <row r="29941" spans="20:20" ht="18.75" customHeight="1" x14ac:dyDescent="0.35">
      <c r="T29941" s="246">
        <f t="shared" si="505"/>
        <v>0</v>
      </c>
    </row>
    <row r="29942" spans="20:20" ht="18.75" customHeight="1" x14ac:dyDescent="0.35">
      <c r="T29942" s="246">
        <f t="shared" si="505"/>
        <v>0</v>
      </c>
    </row>
    <row r="29943" spans="20:20" ht="18.75" customHeight="1" x14ac:dyDescent="0.35">
      <c r="T29943" s="246">
        <f t="shared" si="505"/>
        <v>0</v>
      </c>
    </row>
    <row r="29944" spans="20:20" ht="18.75" customHeight="1" x14ac:dyDescent="0.35">
      <c r="T29944" s="246">
        <f t="shared" si="505"/>
        <v>0</v>
      </c>
    </row>
    <row r="29945" spans="20:20" ht="18.75" customHeight="1" x14ac:dyDescent="0.35">
      <c r="T29945" s="246">
        <f t="shared" si="505"/>
        <v>0</v>
      </c>
    </row>
    <row r="29946" spans="20:20" ht="18.75" customHeight="1" x14ac:dyDescent="0.35">
      <c r="T29946" s="246">
        <f t="shared" si="505"/>
        <v>0</v>
      </c>
    </row>
    <row r="29947" spans="20:20" ht="18.75" customHeight="1" x14ac:dyDescent="0.35">
      <c r="T29947" s="246">
        <f t="shared" si="505"/>
        <v>0</v>
      </c>
    </row>
    <row r="29948" spans="20:20" ht="18.75" customHeight="1" x14ac:dyDescent="0.35">
      <c r="T29948" s="246">
        <f t="shared" ref="T29948:T30011" si="506">R29948*0.01</f>
        <v>0</v>
      </c>
    </row>
    <row r="29949" spans="20:20" ht="18.75" customHeight="1" x14ac:dyDescent="0.35">
      <c r="T29949" s="246">
        <f t="shared" si="506"/>
        <v>0</v>
      </c>
    </row>
    <row r="29950" spans="20:20" ht="18.75" customHeight="1" x14ac:dyDescent="0.35">
      <c r="T29950" s="246">
        <f t="shared" si="506"/>
        <v>0</v>
      </c>
    </row>
    <row r="29951" spans="20:20" ht="18.75" customHeight="1" x14ac:dyDescent="0.35">
      <c r="T29951" s="246">
        <f t="shared" si="506"/>
        <v>0</v>
      </c>
    </row>
    <row r="29952" spans="20:20" ht="18.75" customHeight="1" x14ac:dyDescent="0.35">
      <c r="T29952" s="246">
        <f t="shared" si="506"/>
        <v>0</v>
      </c>
    </row>
    <row r="29953" spans="20:20" ht="18.75" customHeight="1" x14ac:dyDescent="0.35">
      <c r="T29953" s="246">
        <f t="shared" si="506"/>
        <v>0</v>
      </c>
    </row>
    <row r="29954" spans="20:20" ht="18.75" customHeight="1" x14ac:dyDescent="0.35">
      <c r="T29954" s="246">
        <f t="shared" si="506"/>
        <v>0</v>
      </c>
    </row>
    <row r="29955" spans="20:20" ht="18.75" customHeight="1" x14ac:dyDescent="0.35">
      <c r="T29955" s="246">
        <f t="shared" si="506"/>
        <v>0</v>
      </c>
    </row>
    <row r="29956" spans="20:20" ht="18.75" customHeight="1" x14ac:dyDescent="0.35">
      <c r="T29956" s="246">
        <f t="shared" si="506"/>
        <v>0</v>
      </c>
    </row>
    <row r="29957" spans="20:20" ht="18.75" customHeight="1" x14ac:dyDescent="0.35">
      <c r="T29957" s="246">
        <f t="shared" si="506"/>
        <v>0</v>
      </c>
    </row>
    <row r="29958" spans="20:20" ht="18.75" customHeight="1" x14ac:dyDescent="0.35">
      <c r="T29958" s="246">
        <f t="shared" si="506"/>
        <v>0</v>
      </c>
    </row>
    <row r="29959" spans="20:20" ht="18.75" customHeight="1" x14ac:dyDescent="0.35">
      <c r="T29959" s="246">
        <f t="shared" si="506"/>
        <v>0</v>
      </c>
    </row>
    <row r="29960" spans="20:20" ht="18.75" customHeight="1" x14ac:dyDescent="0.35">
      <c r="T29960" s="246">
        <f t="shared" si="506"/>
        <v>0</v>
      </c>
    </row>
    <row r="29961" spans="20:20" ht="18.75" customHeight="1" x14ac:dyDescent="0.35">
      <c r="T29961" s="246">
        <f t="shared" si="506"/>
        <v>0</v>
      </c>
    </row>
    <row r="29962" spans="20:20" ht="18.75" customHeight="1" x14ac:dyDescent="0.35">
      <c r="T29962" s="246">
        <f t="shared" si="506"/>
        <v>0</v>
      </c>
    </row>
    <row r="29963" spans="20:20" ht="18.75" customHeight="1" x14ac:dyDescent="0.35">
      <c r="T29963" s="246">
        <f t="shared" si="506"/>
        <v>0</v>
      </c>
    </row>
    <row r="29964" spans="20:20" ht="18.75" customHeight="1" x14ac:dyDescent="0.35">
      <c r="T29964" s="246">
        <f t="shared" si="506"/>
        <v>0</v>
      </c>
    </row>
    <row r="29965" spans="20:20" ht="18.75" customHeight="1" x14ac:dyDescent="0.35">
      <c r="T29965" s="246">
        <f t="shared" si="506"/>
        <v>0</v>
      </c>
    </row>
    <row r="29966" spans="20:20" ht="18.75" customHeight="1" x14ac:dyDescent="0.35">
      <c r="T29966" s="246">
        <f t="shared" si="506"/>
        <v>0</v>
      </c>
    </row>
    <row r="29967" spans="20:20" ht="18.75" customHeight="1" x14ac:dyDescent="0.35">
      <c r="T29967" s="246">
        <f t="shared" si="506"/>
        <v>0</v>
      </c>
    </row>
    <row r="29968" spans="20:20" ht="18.75" customHeight="1" x14ac:dyDescent="0.35">
      <c r="T29968" s="246">
        <f t="shared" si="506"/>
        <v>0</v>
      </c>
    </row>
    <row r="29969" spans="20:20" ht="18.75" customHeight="1" x14ac:dyDescent="0.35">
      <c r="T29969" s="246">
        <f t="shared" si="506"/>
        <v>0</v>
      </c>
    </row>
    <row r="29970" spans="20:20" ht="18.75" customHeight="1" x14ac:dyDescent="0.35">
      <c r="T29970" s="246">
        <f t="shared" si="506"/>
        <v>0</v>
      </c>
    </row>
    <row r="29971" spans="20:20" ht="18.75" customHeight="1" x14ac:dyDescent="0.35">
      <c r="T29971" s="246">
        <f t="shared" si="506"/>
        <v>0</v>
      </c>
    </row>
    <row r="29972" spans="20:20" ht="18.75" customHeight="1" x14ac:dyDescent="0.35">
      <c r="T29972" s="246">
        <f t="shared" si="506"/>
        <v>0</v>
      </c>
    </row>
    <row r="29973" spans="20:20" ht="18.75" customHeight="1" x14ac:dyDescent="0.35">
      <c r="T29973" s="246">
        <f t="shared" si="506"/>
        <v>0</v>
      </c>
    </row>
    <row r="29974" spans="20:20" ht="18.75" customHeight="1" x14ac:dyDescent="0.35">
      <c r="T29974" s="246">
        <f t="shared" si="506"/>
        <v>0</v>
      </c>
    </row>
    <row r="29975" spans="20:20" ht="18.75" customHeight="1" x14ac:dyDescent="0.35">
      <c r="T29975" s="246">
        <f t="shared" si="506"/>
        <v>0</v>
      </c>
    </row>
    <row r="29976" spans="20:20" ht="18.75" customHeight="1" x14ac:dyDescent="0.35">
      <c r="T29976" s="246">
        <f t="shared" si="506"/>
        <v>0</v>
      </c>
    </row>
    <row r="29977" spans="20:20" ht="18.75" customHeight="1" x14ac:dyDescent="0.35">
      <c r="T29977" s="246">
        <f t="shared" si="506"/>
        <v>0</v>
      </c>
    </row>
    <row r="29978" spans="20:20" ht="18.75" customHeight="1" x14ac:dyDescent="0.35">
      <c r="T29978" s="246">
        <f t="shared" si="506"/>
        <v>0</v>
      </c>
    </row>
    <row r="29979" spans="20:20" ht="18.75" customHeight="1" x14ac:dyDescent="0.35">
      <c r="T29979" s="246">
        <f t="shared" si="506"/>
        <v>0</v>
      </c>
    </row>
    <row r="29980" spans="20:20" ht="18.75" customHeight="1" x14ac:dyDescent="0.35">
      <c r="T29980" s="246">
        <f t="shared" si="506"/>
        <v>0</v>
      </c>
    </row>
    <row r="29981" spans="20:20" ht="18.75" customHeight="1" x14ac:dyDescent="0.35">
      <c r="T29981" s="246">
        <f t="shared" si="506"/>
        <v>0</v>
      </c>
    </row>
    <row r="29982" spans="20:20" ht="18.75" customHeight="1" x14ac:dyDescent="0.35">
      <c r="T29982" s="246">
        <f t="shared" si="506"/>
        <v>0</v>
      </c>
    </row>
    <row r="29983" spans="20:20" ht="18.75" customHeight="1" x14ac:dyDescent="0.35">
      <c r="T29983" s="246">
        <f t="shared" si="506"/>
        <v>0</v>
      </c>
    </row>
    <row r="29984" spans="20:20" ht="18.75" customHeight="1" x14ac:dyDescent="0.35">
      <c r="T29984" s="246">
        <f t="shared" si="506"/>
        <v>0</v>
      </c>
    </row>
    <row r="29985" spans="20:20" ht="18.75" customHeight="1" x14ac:dyDescent="0.35">
      <c r="T29985" s="246">
        <f t="shared" si="506"/>
        <v>0</v>
      </c>
    </row>
    <row r="29986" spans="20:20" ht="18.75" customHeight="1" x14ac:dyDescent="0.35">
      <c r="T29986" s="246">
        <f t="shared" si="506"/>
        <v>0</v>
      </c>
    </row>
    <row r="29987" spans="20:20" ht="18.75" customHeight="1" x14ac:dyDescent="0.35">
      <c r="T29987" s="246">
        <f t="shared" si="506"/>
        <v>0</v>
      </c>
    </row>
    <row r="29988" spans="20:20" ht="18.75" customHeight="1" x14ac:dyDescent="0.35">
      <c r="T29988" s="246">
        <f t="shared" si="506"/>
        <v>0</v>
      </c>
    </row>
    <row r="29989" spans="20:20" ht="18.75" customHeight="1" x14ac:dyDescent="0.35">
      <c r="T29989" s="246">
        <f t="shared" si="506"/>
        <v>0</v>
      </c>
    </row>
    <row r="29990" spans="20:20" ht="18.75" customHeight="1" x14ac:dyDescent="0.35">
      <c r="T29990" s="246">
        <f t="shared" si="506"/>
        <v>0</v>
      </c>
    </row>
    <row r="29991" spans="20:20" ht="18.75" customHeight="1" x14ac:dyDescent="0.35">
      <c r="T29991" s="246">
        <f t="shared" si="506"/>
        <v>0</v>
      </c>
    </row>
    <row r="29992" spans="20:20" ht="18.75" customHeight="1" x14ac:dyDescent="0.35">
      <c r="T29992" s="246">
        <f t="shared" si="506"/>
        <v>0</v>
      </c>
    </row>
    <row r="29993" spans="20:20" ht="18.75" customHeight="1" x14ac:dyDescent="0.35">
      <c r="T29993" s="246">
        <f t="shared" si="506"/>
        <v>0</v>
      </c>
    </row>
    <row r="29994" spans="20:20" ht="18.75" customHeight="1" x14ac:dyDescent="0.35">
      <c r="T29994" s="246">
        <f t="shared" si="506"/>
        <v>0</v>
      </c>
    </row>
    <row r="29995" spans="20:20" ht="18.75" customHeight="1" x14ac:dyDescent="0.35">
      <c r="T29995" s="246">
        <f t="shared" si="506"/>
        <v>0</v>
      </c>
    </row>
    <row r="29996" spans="20:20" ht="18.75" customHeight="1" x14ac:dyDescent="0.35">
      <c r="T29996" s="246">
        <f t="shared" si="506"/>
        <v>0</v>
      </c>
    </row>
    <row r="29997" spans="20:20" ht="18.75" customHeight="1" x14ac:dyDescent="0.35">
      <c r="T29997" s="246">
        <f t="shared" si="506"/>
        <v>0</v>
      </c>
    </row>
    <row r="29998" spans="20:20" ht="18.75" customHeight="1" x14ac:dyDescent="0.35">
      <c r="T29998" s="246">
        <f t="shared" si="506"/>
        <v>0</v>
      </c>
    </row>
    <row r="29999" spans="20:20" ht="18.75" customHeight="1" x14ac:dyDescent="0.35">
      <c r="T29999" s="246">
        <f t="shared" si="506"/>
        <v>0</v>
      </c>
    </row>
    <row r="30000" spans="20:20" ht="18.75" customHeight="1" x14ac:dyDescent="0.35">
      <c r="T30000" s="246">
        <f t="shared" si="506"/>
        <v>0</v>
      </c>
    </row>
    <row r="30001" spans="20:20" ht="18.75" customHeight="1" x14ac:dyDescent="0.35">
      <c r="T30001" s="246">
        <f t="shared" si="506"/>
        <v>0</v>
      </c>
    </row>
    <row r="30002" spans="20:20" ht="18.75" customHeight="1" x14ac:dyDescent="0.35">
      <c r="T30002" s="246">
        <f t="shared" si="506"/>
        <v>0</v>
      </c>
    </row>
    <row r="30003" spans="20:20" ht="18.75" customHeight="1" x14ac:dyDescent="0.35">
      <c r="T30003" s="246">
        <f t="shared" si="506"/>
        <v>0</v>
      </c>
    </row>
    <row r="30004" spans="20:20" ht="18.75" customHeight="1" x14ac:dyDescent="0.35">
      <c r="T30004" s="246">
        <f t="shared" si="506"/>
        <v>0</v>
      </c>
    </row>
    <row r="30005" spans="20:20" ht="18.75" customHeight="1" x14ac:dyDescent="0.35">
      <c r="T30005" s="246">
        <f t="shared" si="506"/>
        <v>0</v>
      </c>
    </row>
    <row r="30006" spans="20:20" ht="18.75" customHeight="1" x14ac:dyDescent="0.35">
      <c r="T30006" s="246">
        <f t="shared" si="506"/>
        <v>0</v>
      </c>
    </row>
    <row r="30007" spans="20:20" ht="18.75" customHeight="1" x14ac:dyDescent="0.35">
      <c r="T30007" s="246">
        <f t="shared" si="506"/>
        <v>0</v>
      </c>
    </row>
    <row r="30008" spans="20:20" ht="18.75" customHeight="1" x14ac:dyDescent="0.35">
      <c r="T30008" s="246">
        <f t="shared" si="506"/>
        <v>0</v>
      </c>
    </row>
    <row r="30009" spans="20:20" ht="18.75" customHeight="1" x14ac:dyDescent="0.35">
      <c r="T30009" s="246">
        <f t="shared" si="506"/>
        <v>0</v>
      </c>
    </row>
    <row r="30010" spans="20:20" ht="18.75" customHeight="1" x14ac:dyDescent="0.35">
      <c r="T30010" s="246">
        <f t="shared" si="506"/>
        <v>0</v>
      </c>
    </row>
    <row r="30011" spans="20:20" ht="18.75" customHeight="1" x14ac:dyDescent="0.35">
      <c r="T30011" s="246">
        <f t="shared" si="506"/>
        <v>0</v>
      </c>
    </row>
    <row r="30012" spans="20:20" ht="18.75" customHeight="1" x14ac:dyDescent="0.35">
      <c r="T30012" s="246">
        <f t="shared" ref="T30012:T30075" si="507">R30012*0.01</f>
        <v>0</v>
      </c>
    </row>
    <row r="30013" spans="20:20" ht="18.75" customHeight="1" x14ac:dyDescent="0.35">
      <c r="T30013" s="246">
        <f t="shared" si="507"/>
        <v>0</v>
      </c>
    </row>
    <row r="30014" spans="20:20" ht="18.75" customHeight="1" x14ac:dyDescent="0.35">
      <c r="T30014" s="246">
        <f t="shared" si="507"/>
        <v>0</v>
      </c>
    </row>
    <row r="30015" spans="20:20" ht="18.75" customHeight="1" x14ac:dyDescent="0.35">
      <c r="T30015" s="246">
        <f t="shared" si="507"/>
        <v>0</v>
      </c>
    </row>
    <row r="30016" spans="20:20" ht="18.75" customHeight="1" x14ac:dyDescent="0.35">
      <c r="T30016" s="246">
        <f t="shared" si="507"/>
        <v>0</v>
      </c>
    </row>
    <row r="30017" spans="20:20" ht="18.75" customHeight="1" x14ac:dyDescent="0.35">
      <c r="T30017" s="246">
        <f t="shared" si="507"/>
        <v>0</v>
      </c>
    </row>
    <row r="30018" spans="20:20" ht="18.75" customHeight="1" x14ac:dyDescent="0.35">
      <c r="T30018" s="246">
        <f t="shared" si="507"/>
        <v>0</v>
      </c>
    </row>
    <row r="30019" spans="20:20" ht="18.75" customHeight="1" x14ac:dyDescent="0.35">
      <c r="T30019" s="246">
        <f t="shared" si="507"/>
        <v>0</v>
      </c>
    </row>
    <row r="30020" spans="20:20" ht="18.75" customHeight="1" x14ac:dyDescent="0.35">
      <c r="T30020" s="246">
        <f t="shared" si="507"/>
        <v>0</v>
      </c>
    </row>
    <row r="30021" spans="20:20" ht="18.75" customHeight="1" x14ac:dyDescent="0.35">
      <c r="T30021" s="246">
        <f t="shared" si="507"/>
        <v>0</v>
      </c>
    </row>
    <row r="30022" spans="20:20" ht="18.75" customHeight="1" x14ac:dyDescent="0.35">
      <c r="T30022" s="246">
        <f t="shared" si="507"/>
        <v>0</v>
      </c>
    </row>
    <row r="30023" spans="20:20" ht="18.75" customHeight="1" x14ac:dyDescent="0.35">
      <c r="T30023" s="246">
        <f t="shared" si="507"/>
        <v>0</v>
      </c>
    </row>
    <row r="30024" spans="20:20" ht="18.75" customHeight="1" x14ac:dyDescent="0.35">
      <c r="T30024" s="246">
        <f t="shared" si="507"/>
        <v>0</v>
      </c>
    </row>
    <row r="30025" spans="20:20" ht="18.75" customHeight="1" x14ac:dyDescent="0.35">
      <c r="T30025" s="246">
        <f t="shared" si="507"/>
        <v>0</v>
      </c>
    </row>
    <row r="30026" spans="20:20" ht="18.75" customHeight="1" x14ac:dyDescent="0.35">
      <c r="T30026" s="246">
        <f t="shared" si="507"/>
        <v>0</v>
      </c>
    </row>
    <row r="30027" spans="20:20" ht="18.75" customHeight="1" x14ac:dyDescent="0.35">
      <c r="T30027" s="246">
        <f t="shared" si="507"/>
        <v>0</v>
      </c>
    </row>
    <row r="30028" spans="20:20" ht="18.75" customHeight="1" x14ac:dyDescent="0.35">
      <c r="T30028" s="246">
        <f t="shared" si="507"/>
        <v>0</v>
      </c>
    </row>
    <row r="30029" spans="20:20" ht="18.75" customHeight="1" x14ac:dyDescent="0.35">
      <c r="T30029" s="246">
        <f t="shared" si="507"/>
        <v>0</v>
      </c>
    </row>
    <row r="30030" spans="20:20" ht="18.75" customHeight="1" x14ac:dyDescent="0.35">
      <c r="T30030" s="246">
        <f t="shared" si="507"/>
        <v>0</v>
      </c>
    </row>
    <row r="30031" spans="20:20" ht="18.75" customHeight="1" x14ac:dyDescent="0.35">
      <c r="T30031" s="246">
        <f t="shared" si="507"/>
        <v>0</v>
      </c>
    </row>
    <row r="30032" spans="20:20" ht="18.75" customHeight="1" x14ac:dyDescent="0.35">
      <c r="T30032" s="246">
        <f t="shared" si="507"/>
        <v>0</v>
      </c>
    </row>
    <row r="30033" spans="20:20" ht="18.75" customHeight="1" x14ac:dyDescent="0.35">
      <c r="T30033" s="246">
        <f t="shared" si="507"/>
        <v>0</v>
      </c>
    </row>
    <row r="30034" spans="20:20" ht="18.75" customHeight="1" x14ac:dyDescent="0.35">
      <c r="T30034" s="246">
        <f t="shared" si="507"/>
        <v>0</v>
      </c>
    </row>
    <row r="30035" spans="20:20" ht="18.75" customHeight="1" x14ac:dyDescent="0.35">
      <c r="T30035" s="246">
        <f t="shared" si="507"/>
        <v>0</v>
      </c>
    </row>
    <row r="30036" spans="20:20" ht="18.75" customHeight="1" x14ac:dyDescent="0.35">
      <c r="T30036" s="246">
        <f t="shared" si="507"/>
        <v>0</v>
      </c>
    </row>
    <row r="30037" spans="20:20" ht="18.75" customHeight="1" x14ac:dyDescent="0.35">
      <c r="T30037" s="246">
        <f t="shared" si="507"/>
        <v>0</v>
      </c>
    </row>
    <row r="30038" spans="20:20" ht="18.75" customHeight="1" x14ac:dyDescent="0.35">
      <c r="T30038" s="246">
        <f t="shared" si="507"/>
        <v>0</v>
      </c>
    </row>
    <row r="30039" spans="20:20" ht="18.75" customHeight="1" x14ac:dyDescent="0.35">
      <c r="T30039" s="246">
        <f t="shared" si="507"/>
        <v>0</v>
      </c>
    </row>
    <row r="30040" spans="20:20" ht="18.75" customHeight="1" x14ac:dyDescent="0.35">
      <c r="T30040" s="246">
        <f t="shared" si="507"/>
        <v>0</v>
      </c>
    </row>
    <row r="30041" spans="20:20" ht="18.75" customHeight="1" x14ac:dyDescent="0.35">
      <c r="T30041" s="246">
        <f t="shared" si="507"/>
        <v>0</v>
      </c>
    </row>
    <row r="30042" spans="20:20" ht="18.75" customHeight="1" x14ac:dyDescent="0.35">
      <c r="T30042" s="246">
        <f t="shared" si="507"/>
        <v>0</v>
      </c>
    </row>
    <row r="30043" spans="20:20" ht="18.75" customHeight="1" x14ac:dyDescent="0.35">
      <c r="T30043" s="246">
        <f t="shared" si="507"/>
        <v>0</v>
      </c>
    </row>
    <row r="30044" spans="20:20" ht="18.75" customHeight="1" x14ac:dyDescent="0.35">
      <c r="T30044" s="246">
        <f t="shared" si="507"/>
        <v>0</v>
      </c>
    </row>
    <row r="30045" spans="20:20" ht="18.75" customHeight="1" x14ac:dyDescent="0.35">
      <c r="T30045" s="246">
        <f t="shared" si="507"/>
        <v>0</v>
      </c>
    </row>
    <row r="30046" spans="20:20" ht="18.75" customHeight="1" x14ac:dyDescent="0.35">
      <c r="T30046" s="246">
        <f t="shared" si="507"/>
        <v>0</v>
      </c>
    </row>
    <row r="30047" spans="20:20" ht="18.75" customHeight="1" x14ac:dyDescent="0.35">
      <c r="T30047" s="246">
        <f t="shared" si="507"/>
        <v>0</v>
      </c>
    </row>
    <row r="30048" spans="20:20" ht="18.75" customHeight="1" x14ac:dyDescent="0.35">
      <c r="T30048" s="246">
        <f t="shared" si="507"/>
        <v>0</v>
      </c>
    </row>
    <row r="30049" spans="20:20" ht="18.75" customHeight="1" x14ac:dyDescent="0.35">
      <c r="T30049" s="246">
        <f t="shared" si="507"/>
        <v>0</v>
      </c>
    </row>
    <row r="30050" spans="20:20" ht="18.75" customHeight="1" x14ac:dyDescent="0.35">
      <c r="T30050" s="246">
        <f t="shared" si="507"/>
        <v>0</v>
      </c>
    </row>
    <row r="30051" spans="20:20" ht="18.75" customHeight="1" x14ac:dyDescent="0.35">
      <c r="T30051" s="246">
        <f t="shared" si="507"/>
        <v>0</v>
      </c>
    </row>
    <row r="30052" spans="20:20" ht="18.75" customHeight="1" x14ac:dyDescent="0.35">
      <c r="T30052" s="246">
        <f t="shared" si="507"/>
        <v>0</v>
      </c>
    </row>
    <row r="30053" spans="20:20" ht="18.75" customHeight="1" x14ac:dyDescent="0.35">
      <c r="T30053" s="246">
        <f t="shared" si="507"/>
        <v>0</v>
      </c>
    </row>
    <row r="30054" spans="20:20" ht="18.75" customHeight="1" x14ac:dyDescent="0.35">
      <c r="T30054" s="246">
        <f t="shared" si="507"/>
        <v>0</v>
      </c>
    </row>
    <row r="30055" spans="20:20" ht="18.75" customHeight="1" x14ac:dyDescent="0.35">
      <c r="T30055" s="246">
        <f t="shared" si="507"/>
        <v>0</v>
      </c>
    </row>
    <row r="30056" spans="20:20" ht="18.75" customHeight="1" x14ac:dyDescent="0.35">
      <c r="T30056" s="246">
        <f t="shared" si="507"/>
        <v>0</v>
      </c>
    </row>
    <row r="30057" spans="20:20" ht="18.75" customHeight="1" x14ac:dyDescent="0.35">
      <c r="T30057" s="246">
        <f t="shared" si="507"/>
        <v>0</v>
      </c>
    </row>
    <row r="30058" spans="20:20" ht="18.75" customHeight="1" x14ac:dyDescent="0.35">
      <c r="T30058" s="246">
        <f t="shared" si="507"/>
        <v>0</v>
      </c>
    </row>
    <row r="30059" spans="20:20" ht="18.75" customHeight="1" x14ac:dyDescent="0.35">
      <c r="T30059" s="246">
        <f t="shared" si="507"/>
        <v>0</v>
      </c>
    </row>
    <row r="30060" spans="20:20" ht="18.75" customHeight="1" x14ac:dyDescent="0.35">
      <c r="T30060" s="246">
        <f t="shared" si="507"/>
        <v>0</v>
      </c>
    </row>
    <row r="30061" spans="20:20" ht="18.75" customHeight="1" x14ac:dyDescent="0.35">
      <c r="T30061" s="246">
        <f t="shared" si="507"/>
        <v>0</v>
      </c>
    </row>
    <row r="30062" spans="20:20" ht="18.75" customHeight="1" x14ac:dyDescent="0.35">
      <c r="T30062" s="246">
        <f t="shared" si="507"/>
        <v>0</v>
      </c>
    </row>
    <row r="30063" spans="20:20" ht="18.75" customHeight="1" x14ac:dyDescent="0.35">
      <c r="T30063" s="246">
        <f t="shared" si="507"/>
        <v>0</v>
      </c>
    </row>
    <row r="30064" spans="20:20" ht="18.75" customHeight="1" x14ac:dyDescent="0.35">
      <c r="T30064" s="246">
        <f t="shared" si="507"/>
        <v>0</v>
      </c>
    </row>
    <row r="30065" spans="20:20" ht="18.75" customHeight="1" x14ac:dyDescent="0.35">
      <c r="T30065" s="246">
        <f t="shared" si="507"/>
        <v>0</v>
      </c>
    </row>
    <row r="30066" spans="20:20" ht="18.75" customHeight="1" x14ac:dyDescent="0.35">
      <c r="T30066" s="246">
        <f t="shared" si="507"/>
        <v>0</v>
      </c>
    </row>
    <row r="30067" spans="20:20" ht="18.75" customHeight="1" x14ac:dyDescent="0.35">
      <c r="T30067" s="246">
        <f t="shared" si="507"/>
        <v>0</v>
      </c>
    </row>
    <row r="30068" spans="20:20" ht="18.75" customHeight="1" x14ac:dyDescent="0.35">
      <c r="T30068" s="246">
        <f t="shared" si="507"/>
        <v>0</v>
      </c>
    </row>
    <row r="30069" spans="20:20" ht="18.75" customHeight="1" x14ac:dyDescent="0.35">
      <c r="T30069" s="246">
        <f t="shared" si="507"/>
        <v>0</v>
      </c>
    </row>
    <row r="30070" spans="20:20" ht="18.75" customHeight="1" x14ac:dyDescent="0.35">
      <c r="T30070" s="246">
        <f t="shared" si="507"/>
        <v>0</v>
      </c>
    </row>
    <row r="30071" spans="20:20" ht="18.75" customHeight="1" x14ac:dyDescent="0.35">
      <c r="T30071" s="246">
        <f t="shared" si="507"/>
        <v>0</v>
      </c>
    </row>
    <row r="30072" spans="20:20" ht="18.75" customHeight="1" x14ac:dyDescent="0.35">
      <c r="T30072" s="246">
        <f t="shared" si="507"/>
        <v>0</v>
      </c>
    </row>
    <row r="30073" spans="20:20" ht="18.75" customHeight="1" x14ac:dyDescent="0.35">
      <c r="T30073" s="246">
        <f t="shared" si="507"/>
        <v>0</v>
      </c>
    </row>
    <row r="30074" spans="20:20" ht="18.75" customHeight="1" x14ac:dyDescent="0.35">
      <c r="T30074" s="246">
        <f t="shared" si="507"/>
        <v>0</v>
      </c>
    </row>
    <row r="30075" spans="20:20" ht="18.75" customHeight="1" x14ac:dyDescent="0.35">
      <c r="T30075" s="246">
        <f t="shared" si="507"/>
        <v>0</v>
      </c>
    </row>
    <row r="30076" spans="20:20" ht="18.75" customHeight="1" x14ac:dyDescent="0.35">
      <c r="T30076" s="246">
        <f t="shared" ref="T30076:T30139" si="508">R30076*0.01</f>
        <v>0</v>
      </c>
    </row>
    <row r="30077" spans="20:20" ht="18.75" customHeight="1" x14ac:dyDescent="0.35">
      <c r="T30077" s="246">
        <f t="shared" si="508"/>
        <v>0</v>
      </c>
    </row>
    <row r="30078" spans="20:20" ht="18.75" customHeight="1" x14ac:dyDescent="0.35">
      <c r="T30078" s="246">
        <f t="shared" si="508"/>
        <v>0</v>
      </c>
    </row>
    <row r="30079" spans="20:20" ht="18.75" customHeight="1" x14ac:dyDescent="0.35">
      <c r="T30079" s="246">
        <f t="shared" si="508"/>
        <v>0</v>
      </c>
    </row>
    <row r="30080" spans="20:20" ht="18.75" customHeight="1" x14ac:dyDescent="0.35">
      <c r="T30080" s="246">
        <f t="shared" si="508"/>
        <v>0</v>
      </c>
    </row>
    <row r="30081" spans="20:20" ht="18.75" customHeight="1" x14ac:dyDescent="0.35">
      <c r="T30081" s="246">
        <f t="shared" si="508"/>
        <v>0</v>
      </c>
    </row>
    <row r="30082" spans="20:20" ht="18.75" customHeight="1" x14ac:dyDescent="0.35">
      <c r="T30082" s="246">
        <f t="shared" si="508"/>
        <v>0</v>
      </c>
    </row>
    <row r="30083" spans="20:20" ht="18.75" customHeight="1" x14ac:dyDescent="0.35">
      <c r="T30083" s="246">
        <f t="shared" si="508"/>
        <v>0</v>
      </c>
    </row>
    <row r="30084" spans="20:20" ht="18.75" customHeight="1" x14ac:dyDescent="0.35">
      <c r="T30084" s="246">
        <f t="shared" si="508"/>
        <v>0</v>
      </c>
    </row>
    <row r="30085" spans="20:20" ht="18.75" customHeight="1" x14ac:dyDescent="0.35">
      <c r="T30085" s="246">
        <f t="shared" si="508"/>
        <v>0</v>
      </c>
    </row>
    <row r="30086" spans="20:20" ht="18.75" customHeight="1" x14ac:dyDescent="0.35">
      <c r="T30086" s="246">
        <f t="shared" si="508"/>
        <v>0</v>
      </c>
    </row>
    <row r="30087" spans="20:20" ht="18.75" customHeight="1" x14ac:dyDescent="0.35">
      <c r="T30087" s="246">
        <f t="shared" si="508"/>
        <v>0</v>
      </c>
    </row>
    <row r="30088" spans="20:20" ht="18.75" customHeight="1" x14ac:dyDescent="0.35">
      <c r="T30088" s="246">
        <f t="shared" si="508"/>
        <v>0</v>
      </c>
    </row>
    <row r="30089" spans="20:20" ht="18.75" customHeight="1" x14ac:dyDescent="0.35">
      <c r="T30089" s="246">
        <f t="shared" si="508"/>
        <v>0</v>
      </c>
    </row>
    <row r="30090" spans="20:20" ht="18.75" customHeight="1" x14ac:dyDescent="0.35">
      <c r="T30090" s="246">
        <f t="shared" si="508"/>
        <v>0</v>
      </c>
    </row>
    <row r="30091" spans="20:20" ht="18.75" customHeight="1" x14ac:dyDescent="0.35">
      <c r="T30091" s="246">
        <f t="shared" si="508"/>
        <v>0</v>
      </c>
    </row>
    <row r="30092" spans="20:20" ht="18.75" customHeight="1" x14ac:dyDescent="0.35">
      <c r="T30092" s="246">
        <f t="shared" si="508"/>
        <v>0</v>
      </c>
    </row>
    <row r="30093" spans="20:20" ht="18.75" customHeight="1" x14ac:dyDescent="0.35">
      <c r="T30093" s="246">
        <f t="shared" si="508"/>
        <v>0</v>
      </c>
    </row>
    <row r="30094" spans="20:20" ht="18.75" customHeight="1" x14ac:dyDescent="0.35">
      <c r="T30094" s="246">
        <f t="shared" si="508"/>
        <v>0</v>
      </c>
    </row>
    <row r="30095" spans="20:20" ht="18.75" customHeight="1" x14ac:dyDescent="0.35">
      <c r="T30095" s="246">
        <f t="shared" si="508"/>
        <v>0</v>
      </c>
    </row>
    <row r="30096" spans="20:20" ht="18.75" customHeight="1" x14ac:dyDescent="0.35">
      <c r="T30096" s="246">
        <f t="shared" si="508"/>
        <v>0</v>
      </c>
    </row>
    <row r="30097" spans="20:20" ht="18.75" customHeight="1" x14ac:dyDescent="0.35">
      <c r="T30097" s="246">
        <f t="shared" si="508"/>
        <v>0</v>
      </c>
    </row>
    <row r="30098" spans="20:20" ht="18.75" customHeight="1" x14ac:dyDescent="0.35">
      <c r="T30098" s="246">
        <f t="shared" si="508"/>
        <v>0</v>
      </c>
    </row>
    <row r="30099" spans="20:20" ht="18.75" customHeight="1" x14ac:dyDescent="0.35">
      <c r="T30099" s="246">
        <f t="shared" si="508"/>
        <v>0</v>
      </c>
    </row>
    <row r="30100" spans="20:20" ht="18.75" customHeight="1" x14ac:dyDescent="0.35">
      <c r="T30100" s="246">
        <f t="shared" si="508"/>
        <v>0</v>
      </c>
    </row>
    <row r="30101" spans="20:20" ht="18.75" customHeight="1" x14ac:dyDescent="0.35">
      <c r="T30101" s="246">
        <f t="shared" si="508"/>
        <v>0</v>
      </c>
    </row>
    <row r="30102" spans="20:20" ht="18.75" customHeight="1" x14ac:dyDescent="0.35">
      <c r="T30102" s="246">
        <f t="shared" si="508"/>
        <v>0</v>
      </c>
    </row>
    <row r="30103" spans="20:20" ht="18.75" customHeight="1" x14ac:dyDescent="0.35">
      <c r="T30103" s="246">
        <f t="shared" si="508"/>
        <v>0</v>
      </c>
    </row>
    <row r="30104" spans="20:20" ht="18.75" customHeight="1" x14ac:dyDescent="0.35">
      <c r="T30104" s="246">
        <f t="shared" si="508"/>
        <v>0</v>
      </c>
    </row>
    <row r="30105" spans="20:20" ht="18.75" customHeight="1" x14ac:dyDescent="0.35">
      <c r="T30105" s="246">
        <f t="shared" si="508"/>
        <v>0</v>
      </c>
    </row>
    <row r="30106" spans="20:20" ht="18.75" customHeight="1" x14ac:dyDescent="0.35">
      <c r="T30106" s="246">
        <f t="shared" si="508"/>
        <v>0</v>
      </c>
    </row>
    <row r="30107" spans="20:20" ht="18.75" customHeight="1" x14ac:dyDescent="0.35">
      <c r="T30107" s="246">
        <f t="shared" si="508"/>
        <v>0</v>
      </c>
    </row>
    <row r="30108" spans="20:20" ht="18.75" customHeight="1" x14ac:dyDescent="0.35">
      <c r="T30108" s="246">
        <f t="shared" si="508"/>
        <v>0</v>
      </c>
    </row>
    <row r="30109" spans="20:20" ht="18.75" customHeight="1" x14ac:dyDescent="0.35">
      <c r="T30109" s="246">
        <f t="shared" si="508"/>
        <v>0</v>
      </c>
    </row>
    <row r="30110" spans="20:20" ht="18.75" customHeight="1" x14ac:dyDescent="0.35">
      <c r="T30110" s="246">
        <f t="shared" si="508"/>
        <v>0</v>
      </c>
    </row>
    <row r="30111" spans="20:20" ht="18.75" customHeight="1" x14ac:dyDescent="0.35">
      <c r="T30111" s="246">
        <f t="shared" si="508"/>
        <v>0</v>
      </c>
    </row>
    <row r="30112" spans="20:20" ht="18.75" customHeight="1" x14ac:dyDescent="0.35">
      <c r="T30112" s="246">
        <f t="shared" si="508"/>
        <v>0</v>
      </c>
    </row>
    <row r="30113" spans="20:20" ht="18.75" customHeight="1" x14ac:dyDescent="0.35">
      <c r="T30113" s="246">
        <f t="shared" si="508"/>
        <v>0</v>
      </c>
    </row>
    <row r="30114" spans="20:20" ht="18.75" customHeight="1" x14ac:dyDescent="0.35">
      <c r="T30114" s="246">
        <f t="shared" si="508"/>
        <v>0</v>
      </c>
    </row>
    <row r="30115" spans="20:20" ht="18.75" customHeight="1" x14ac:dyDescent="0.35">
      <c r="T30115" s="246">
        <f t="shared" si="508"/>
        <v>0</v>
      </c>
    </row>
    <row r="30116" spans="20:20" ht="18.75" customHeight="1" x14ac:dyDescent="0.35">
      <c r="T30116" s="246">
        <f t="shared" si="508"/>
        <v>0</v>
      </c>
    </row>
    <row r="30117" spans="20:20" ht="18.75" customHeight="1" x14ac:dyDescent="0.35">
      <c r="T30117" s="246">
        <f t="shared" si="508"/>
        <v>0</v>
      </c>
    </row>
    <row r="30118" spans="20:20" ht="18.75" customHeight="1" x14ac:dyDescent="0.35">
      <c r="T30118" s="246">
        <f t="shared" si="508"/>
        <v>0</v>
      </c>
    </row>
    <row r="30119" spans="20:20" ht="18.75" customHeight="1" x14ac:dyDescent="0.35">
      <c r="T30119" s="246">
        <f t="shared" si="508"/>
        <v>0</v>
      </c>
    </row>
    <row r="30120" spans="20:20" ht="18.75" customHeight="1" x14ac:dyDescent="0.35">
      <c r="T30120" s="246">
        <f t="shared" si="508"/>
        <v>0</v>
      </c>
    </row>
    <row r="30121" spans="20:20" ht="18.75" customHeight="1" x14ac:dyDescent="0.35">
      <c r="T30121" s="246">
        <f t="shared" si="508"/>
        <v>0</v>
      </c>
    </row>
    <row r="30122" spans="20:20" ht="18.75" customHeight="1" x14ac:dyDescent="0.35">
      <c r="T30122" s="246">
        <f t="shared" si="508"/>
        <v>0</v>
      </c>
    </row>
    <row r="30123" spans="20:20" ht="18.75" customHeight="1" x14ac:dyDescent="0.35">
      <c r="T30123" s="246">
        <f t="shared" si="508"/>
        <v>0</v>
      </c>
    </row>
    <row r="30124" spans="20:20" ht="18.75" customHeight="1" x14ac:dyDescent="0.35">
      <c r="T30124" s="246">
        <f t="shared" si="508"/>
        <v>0</v>
      </c>
    </row>
    <row r="30125" spans="20:20" ht="18.75" customHeight="1" x14ac:dyDescent="0.35">
      <c r="T30125" s="246">
        <f t="shared" si="508"/>
        <v>0</v>
      </c>
    </row>
    <row r="30126" spans="20:20" ht="18.75" customHeight="1" x14ac:dyDescent="0.35">
      <c r="T30126" s="246">
        <f t="shared" si="508"/>
        <v>0</v>
      </c>
    </row>
    <row r="30127" spans="20:20" ht="18.75" customHeight="1" x14ac:dyDescent="0.35">
      <c r="T30127" s="246">
        <f t="shared" si="508"/>
        <v>0</v>
      </c>
    </row>
    <row r="30128" spans="20:20" ht="18.75" customHeight="1" x14ac:dyDescent="0.35">
      <c r="T30128" s="246">
        <f t="shared" si="508"/>
        <v>0</v>
      </c>
    </row>
    <row r="30129" spans="20:20" ht="18.75" customHeight="1" x14ac:dyDescent="0.35">
      <c r="T30129" s="246">
        <f t="shared" si="508"/>
        <v>0</v>
      </c>
    </row>
    <row r="30130" spans="20:20" ht="18.75" customHeight="1" x14ac:dyDescent="0.35">
      <c r="T30130" s="246">
        <f t="shared" si="508"/>
        <v>0</v>
      </c>
    </row>
    <row r="30131" spans="20:20" ht="18.75" customHeight="1" x14ac:dyDescent="0.35">
      <c r="T30131" s="246">
        <f t="shared" si="508"/>
        <v>0</v>
      </c>
    </row>
    <row r="30132" spans="20:20" ht="18.75" customHeight="1" x14ac:dyDescent="0.35">
      <c r="T30132" s="246">
        <f t="shared" si="508"/>
        <v>0</v>
      </c>
    </row>
    <row r="30133" spans="20:20" ht="18.75" customHeight="1" x14ac:dyDescent="0.35">
      <c r="T30133" s="246">
        <f t="shared" si="508"/>
        <v>0</v>
      </c>
    </row>
    <row r="30134" spans="20:20" ht="18.75" customHeight="1" x14ac:dyDescent="0.35">
      <c r="T30134" s="246">
        <f t="shared" si="508"/>
        <v>0</v>
      </c>
    </row>
    <row r="30135" spans="20:20" ht="18.75" customHeight="1" x14ac:dyDescent="0.35">
      <c r="T30135" s="246">
        <f t="shared" si="508"/>
        <v>0</v>
      </c>
    </row>
    <row r="30136" spans="20:20" ht="18.75" customHeight="1" x14ac:dyDescent="0.35">
      <c r="T30136" s="246">
        <f t="shared" si="508"/>
        <v>0</v>
      </c>
    </row>
    <row r="30137" spans="20:20" ht="18.75" customHeight="1" x14ac:dyDescent="0.35">
      <c r="T30137" s="246">
        <f t="shared" si="508"/>
        <v>0</v>
      </c>
    </row>
    <row r="30138" spans="20:20" ht="18.75" customHeight="1" x14ac:dyDescent="0.35">
      <c r="T30138" s="246">
        <f t="shared" si="508"/>
        <v>0</v>
      </c>
    </row>
    <row r="30139" spans="20:20" ht="18.75" customHeight="1" x14ac:dyDescent="0.35">
      <c r="T30139" s="246">
        <f t="shared" si="508"/>
        <v>0</v>
      </c>
    </row>
    <row r="30140" spans="20:20" ht="18.75" customHeight="1" x14ac:dyDescent="0.35">
      <c r="T30140" s="246">
        <f t="shared" ref="T30140:T30203" si="509">R30140*0.01</f>
        <v>0</v>
      </c>
    </row>
    <row r="30141" spans="20:20" ht="18.75" customHeight="1" x14ac:dyDescent="0.35">
      <c r="T30141" s="246">
        <f t="shared" si="509"/>
        <v>0</v>
      </c>
    </row>
    <row r="30142" spans="20:20" ht="18.75" customHeight="1" x14ac:dyDescent="0.35">
      <c r="T30142" s="246">
        <f t="shared" si="509"/>
        <v>0</v>
      </c>
    </row>
    <row r="30143" spans="20:20" ht="18.75" customHeight="1" x14ac:dyDescent="0.35">
      <c r="T30143" s="246">
        <f t="shared" si="509"/>
        <v>0</v>
      </c>
    </row>
    <row r="30144" spans="20:20" ht="18.75" customHeight="1" x14ac:dyDescent="0.35">
      <c r="T30144" s="246">
        <f t="shared" si="509"/>
        <v>0</v>
      </c>
    </row>
    <row r="30145" spans="20:20" ht="18.75" customHeight="1" x14ac:dyDescent="0.35">
      <c r="T30145" s="246">
        <f t="shared" si="509"/>
        <v>0</v>
      </c>
    </row>
    <row r="30146" spans="20:20" ht="18.75" customHeight="1" x14ac:dyDescent="0.35">
      <c r="T30146" s="246">
        <f t="shared" si="509"/>
        <v>0</v>
      </c>
    </row>
    <row r="30147" spans="20:20" ht="18.75" customHeight="1" x14ac:dyDescent="0.35">
      <c r="T30147" s="246">
        <f t="shared" si="509"/>
        <v>0</v>
      </c>
    </row>
    <row r="30148" spans="20:20" ht="18.75" customHeight="1" x14ac:dyDescent="0.35">
      <c r="T30148" s="246">
        <f t="shared" si="509"/>
        <v>0</v>
      </c>
    </row>
    <row r="30149" spans="20:20" ht="18.75" customHeight="1" x14ac:dyDescent="0.35">
      <c r="T30149" s="246">
        <f t="shared" si="509"/>
        <v>0</v>
      </c>
    </row>
    <row r="30150" spans="20:20" ht="18.75" customHeight="1" x14ac:dyDescent="0.35">
      <c r="T30150" s="246">
        <f t="shared" si="509"/>
        <v>0</v>
      </c>
    </row>
    <row r="30151" spans="20:20" ht="18.75" customHeight="1" x14ac:dyDescent="0.35">
      <c r="T30151" s="246">
        <f t="shared" si="509"/>
        <v>0</v>
      </c>
    </row>
    <row r="30152" spans="20:20" ht="18.75" customHeight="1" x14ac:dyDescent="0.35">
      <c r="T30152" s="246">
        <f t="shared" si="509"/>
        <v>0</v>
      </c>
    </row>
    <row r="30153" spans="20:20" ht="18.75" customHeight="1" x14ac:dyDescent="0.35">
      <c r="T30153" s="246">
        <f t="shared" si="509"/>
        <v>0</v>
      </c>
    </row>
    <row r="30154" spans="20:20" ht="18.75" customHeight="1" x14ac:dyDescent="0.35">
      <c r="T30154" s="246">
        <f t="shared" si="509"/>
        <v>0</v>
      </c>
    </row>
    <row r="30155" spans="20:20" ht="18.75" customHeight="1" x14ac:dyDescent="0.35">
      <c r="T30155" s="246">
        <f t="shared" si="509"/>
        <v>0</v>
      </c>
    </row>
    <row r="30156" spans="20:20" ht="18.75" customHeight="1" x14ac:dyDescent="0.35">
      <c r="T30156" s="246">
        <f t="shared" si="509"/>
        <v>0</v>
      </c>
    </row>
    <row r="30157" spans="20:20" ht="18.75" customHeight="1" x14ac:dyDescent="0.35">
      <c r="T30157" s="246">
        <f t="shared" si="509"/>
        <v>0</v>
      </c>
    </row>
    <row r="30158" spans="20:20" ht="18.75" customHeight="1" x14ac:dyDescent="0.35">
      <c r="T30158" s="246">
        <f t="shared" si="509"/>
        <v>0</v>
      </c>
    </row>
    <row r="30159" spans="20:20" ht="18.75" customHeight="1" x14ac:dyDescent="0.35">
      <c r="T30159" s="246">
        <f t="shared" si="509"/>
        <v>0</v>
      </c>
    </row>
    <row r="30160" spans="20:20" ht="18.75" customHeight="1" x14ac:dyDescent="0.35">
      <c r="T30160" s="246">
        <f t="shared" si="509"/>
        <v>0</v>
      </c>
    </row>
    <row r="30161" spans="20:20" ht="18.75" customHeight="1" x14ac:dyDescent="0.35">
      <c r="T30161" s="246">
        <f t="shared" si="509"/>
        <v>0</v>
      </c>
    </row>
    <row r="30162" spans="20:20" ht="18.75" customHeight="1" x14ac:dyDescent="0.35">
      <c r="T30162" s="246">
        <f t="shared" si="509"/>
        <v>0</v>
      </c>
    </row>
    <row r="30163" spans="20:20" ht="18.75" customHeight="1" x14ac:dyDescent="0.35">
      <c r="T30163" s="246">
        <f t="shared" si="509"/>
        <v>0</v>
      </c>
    </row>
    <row r="30164" spans="20:20" ht="18.75" customHeight="1" x14ac:dyDescent="0.35">
      <c r="T30164" s="246">
        <f t="shared" si="509"/>
        <v>0</v>
      </c>
    </row>
    <row r="30165" spans="20:20" ht="18.75" customHeight="1" x14ac:dyDescent="0.35">
      <c r="T30165" s="246">
        <f t="shared" si="509"/>
        <v>0</v>
      </c>
    </row>
    <row r="30166" spans="20:20" ht="18.75" customHeight="1" x14ac:dyDescent="0.35">
      <c r="T30166" s="246">
        <f t="shared" si="509"/>
        <v>0</v>
      </c>
    </row>
    <row r="30167" spans="20:20" ht="18.75" customHeight="1" x14ac:dyDescent="0.35">
      <c r="T30167" s="246">
        <f t="shared" si="509"/>
        <v>0</v>
      </c>
    </row>
    <row r="30168" spans="20:20" ht="18.75" customHeight="1" x14ac:dyDescent="0.35">
      <c r="T30168" s="246">
        <f t="shared" si="509"/>
        <v>0</v>
      </c>
    </row>
    <row r="30169" spans="20:20" ht="18.75" customHeight="1" x14ac:dyDescent="0.35">
      <c r="T30169" s="246">
        <f t="shared" si="509"/>
        <v>0</v>
      </c>
    </row>
    <row r="30170" spans="20:20" ht="18.75" customHeight="1" x14ac:dyDescent="0.35">
      <c r="T30170" s="246">
        <f t="shared" si="509"/>
        <v>0</v>
      </c>
    </row>
    <row r="30171" spans="20:20" ht="18.75" customHeight="1" x14ac:dyDescent="0.35">
      <c r="T30171" s="246">
        <f t="shared" si="509"/>
        <v>0</v>
      </c>
    </row>
    <row r="30172" spans="20:20" ht="18.75" customHeight="1" x14ac:dyDescent="0.35">
      <c r="T30172" s="246">
        <f t="shared" si="509"/>
        <v>0</v>
      </c>
    </row>
    <row r="30173" spans="20:20" ht="18.75" customHeight="1" x14ac:dyDescent="0.35">
      <c r="T30173" s="246">
        <f t="shared" si="509"/>
        <v>0</v>
      </c>
    </row>
    <row r="30174" spans="20:20" ht="18.75" customHeight="1" x14ac:dyDescent="0.35">
      <c r="T30174" s="246">
        <f t="shared" si="509"/>
        <v>0</v>
      </c>
    </row>
    <row r="30175" spans="20:20" ht="18.75" customHeight="1" x14ac:dyDescent="0.35">
      <c r="T30175" s="246">
        <f t="shared" si="509"/>
        <v>0</v>
      </c>
    </row>
    <row r="30176" spans="20:20" ht="18.75" customHeight="1" x14ac:dyDescent="0.35">
      <c r="T30176" s="246">
        <f t="shared" si="509"/>
        <v>0</v>
      </c>
    </row>
    <row r="30177" spans="20:20" ht="18.75" customHeight="1" x14ac:dyDescent="0.35">
      <c r="T30177" s="246">
        <f t="shared" si="509"/>
        <v>0</v>
      </c>
    </row>
    <row r="30178" spans="20:20" ht="18.75" customHeight="1" x14ac:dyDescent="0.35">
      <c r="T30178" s="246">
        <f t="shared" si="509"/>
        <v>0</v>
      </c>
    </row>
    <row r="30179" spans="20:20" ht="18.75" customHeight="1" x14ac:dyDescent="0.35">
      <c r="T30179" s="246">
        <f t="shared" si="509"/>
        <v>0</v>
      </c>
    </row>
    <row r="30180" spans="20:20" ht="18.75" customHeight="1" x14ac:dyDescent="0.35">
      <c r="T30180" s="246">
        <f t="shared" si="509"/>
        <v>0</v>
      </c>
    </row>
    <row r="30181" spans="20:20" ht="18.75" customHeight="1" x14ac:dyDescent="0.35">
      <c r="T30181" s="246">
        <f t="shared" si="509"/>
        <v>0</v>
      </c>
    </row>
    <row r="30182" spans="20:20" ht="18.75" customHeight="1" x14ac:dyDescent="0.35">
      <c r="T30182" s="246">
        <f t="shared" si="509"/>
        <v>0</v>
      </c>
    </row>
    <row r="30183" spans="20:20" ht="18.75" customHeight="1" x14ac:dyDescent="0.35">
      <c r="T30183" s="246">
        <f t="shared" si="509"/>
        <v>0</v>
      </c>
    </row>
    <row r="30184" spans="20:20" ht="18.75" customHeight="1" x14ac:dyDescent="0.35">
      <c r="T30184" s="246">
        <f t="shared" si="509"/>
        <v>0</v>
      </c>
    </row>
    <row r="30185" spans="20:20" ht="18.75" customHeight="1" x14ac:dyDescent="0.35">
      <c r="T30185" s="246">
        <f t="shared" si="509"/>
        <v>0</v>
      </c>
    </row>
    <row r="30186" spans="20:20" ht="18.75" customHeight="1" x14ac:dyDescent="0.35">
      <c r="T30186" s="246">
        <f t="shared" si="509"/>
        <v>0</v>
      </c>
    </row>
    <row r="30187" spans="20:20" ht="18.75" customHeight="1" x14ac:dyDescent="0.35">
      <c r="T30187" s="246">
        <f t="shared" si="509"/>
        <v>0</v>
      </c>
    </row>
    <row r="30188" spans="20:20" ht="18.75" customHeight="1" x14ac:dyDescent="0.35">
      <c r="T30188" s="246">
        <f t="shared" si="509"/>
        <v>0</v>
      </c>
    </row>
    <row r="30189" spans="20:20" ht="18.75" customHeight="1" x14ac:dyDescent="0.35">
      <c r="T30189" s="246">
        <f t="shared" si="509"/>
        <v>0</v>
      </c>
    </row>
    <row r="30190" spans="20:20" ht="18.75" customHeight="1" x14ac:dyDescent="0.35">
      <c r="T30190" s="246">
        <f t="shared" si="509"/>
        <v>0</v>
      </c>
    </row>
    <row r="30191" spans="20:20" ht="18.75" customHeight="1" x14ac:dyDescent="0.35">
      <c r="T30191" s="246">
        <f t="shared" si="509"/>
        <v>0</v>
      </c>
    </row>
    <row r="30192" spans="20:20" ht="18.75" customHeight="1" x14ac:dyDescent="0.35">
      <c r="T30192" s="246">
        <f t="shared" si="509"/>
        <v>0</v>
      </c>
    </row>
    <row r="30193" spans="20:20" ht="18.75" customHeight="1" x14ac:dyDescent="0.35">
      <c r="T30193" s="246">
        <f t="shared" si="509"/>
        <v>0</v>
      </c>
    </row>
    <row r="30194" spans="20:20" ht="18.75" customHeight="1" x14ac:dyDescent="0.35">
      <c r="T30194" s="246">
        <f t="shared" si="509"/>
        <v>0</v>
      </c>
    </row>
    <row r="30195" spans="20:20" ht="18.75" customHeight="1" x14ac:dyDescent="0.35">
      <c r="T30195" s="246">
        <f t="shared" si="509"/>
        <v>0</v>
      </c>
    </row>
    <row r="30196" spans="20:20" ht="18.75" customHeight="1" x14ac:dyDescent="0.35">
      <c r="T30196" s="246">
        <f t="shared" si="509"/>
        <v>0</v>
      </c>
    </row>
    <row r="30197" spans="20:20" ht="18.75" customHeight="1" x14ac:dyDescent="0.35">
      <c r="T30197" s="246">
        <f t="shared" si="509"/>
        <v>0</v>
      </c>
    </row>
    <row r="30198" spans="20:20" ht="18.75" customHeight="1" x14ac:dyDescent="0.35">
      <c r="T30198" s="246">
        <f t="shared" si="509"/>
        <v>0</v>
      </c>
    </row>
    <row r="30199" spans="20:20" ht="18.75" customHeight="1" x14ac:dyDescent="0.35">
      <c r="T30199" s="246">
        <f t="shared" si="509"/>
        <v>0</v>
      </c>
    </row>
    <row r="30200" spans="20:20" ht="18.75" customHeight="1" x14ac:dyDescent="0.35">
      <c r="T30200" s="246">
        <f t="shared" si="509"/>
        <v>0</v>
      </c>
    </row>
    <row r="30201" spans="20:20" ht="18.75" customHeight="1" x14ac:dyDescent="0.35">
      <c r="T30201" s="246">
        <f t="shared" si="509"/>
        <v>0</v>
      </c>
    </row>
    <row r="30202" spans="20:20" ht="18.75" customHeight="1" x14ac:dyDescent="0.35">
      <c r="T30202" s="246">
        <f t="shared" si="509"/>
        <v>0</v>
      </c>
    </row>
    <row r="30203" spans="20:20" ht="18.75" customHeight="1" x14ac:dyDescent="0.35">
      <c r="T30203" s="246">
        <f t="shared" si="509"/>
        <v>0</v>
      </c>
    </row>
    <row r="30204" spans="20:20" ht="18.75" customHeight="1" x14ac:dyDescent="0.35">
      <c r="T30204" s="246">
        <f t="shared" ref="T30204:T30267" si="510">R30204*0.01</f>
        <v>0</v>
      </c>
    </row>
    <row r="30205" spans="20:20" ht="18.75" customHeight="1" x14ac:dyDescent="0.35">
      <c r="T30205" s="246">
        <f t="shared" si="510"/>
        <v>0</v>
      </c>
    </row>
    <row r="30206" spans="20:20" ht="18.75" customHeight="1" x14ac:dyDescent="0.35">
      <c r="T30206" s="246">
        <f t="shared" si="510"/>
        <v>0</v>
      </c>
    </row>
    <row r="30207" spans="20:20" ht="18.75" customHeight="1" x14ac:dyDescent="0.35">
      <c r="T30207" s="246">
        <f t="shared" si="510"/>
        <v>0</v>
      </c>
    </row>
    <row r="30208" spans="20:20" ht="18.75" customHeight="1" x14ac:dyDescent="0.35">
      <c r="T30208" s="246">
        <f t="shared" si="510"/>
        <v>0</v>
      </c>
    </row>
    <row r="30209" spans="20:20" ht="18.75" customHeight="1" x14ac:dyDescent="0.35">
      <c r="T30209" s="246">
        <f t="shared" si="510"/>
        <v>0</v>
      </c>
    </row>
    <row r="30210" spans="20:20" ht="18.75" customHeight="1" x14ac:dyDescent="0.35">
      <c r="T30210" s="246">
        <f t="shared" si="510"/>
        <v>0</v>
      </c>
    </row>
    <row r="30211" spans="20:20" ht="18.75" customHeight="1" x14ac:dyDescent="0.35">
      <c r="T30211" s="246">
        <f t="shared" si="510"/>
        <v>0</v>
      </c>
    </row>
    <row r="30212" spans="20:20" ht="18.75" customHeight="1" x14ac:dyDescent="0.35">
      <c r="T30212" s="246">
        <f t="shared" si="510"/>
        <v>0</v>
      </c>
    </row>
    <row r="30213" spans="20:20" ht="18.75" customHeight="1" x14ac:dyDescent="0.35">
      <c r="T30213" s="246">
        <f t="shared" si="510"/>
        <v>0</v>
      </c>
    </row>
    <row r="30214" spans="20:20" ht="18.75" customHeight="1" x14ac:dyDescent="0.35">
      <c r="T30214" s="246">
        <f t="shared" si="510"/>
        <v>0</v>
      </c>
    </row>
    <row r="30215" spans="20:20" ht="18.75" customHeight="1" x14ac:dyDescent="0.35">
      <c r="T30215" s="246">
        <f t="shared" si="510"/>
        <v>0</v>
      </c>
    </row>
    <row r="30216" spans="20:20" ht="18.75" customHeight="1" x14ac:dyDescent="0.35">
      <c r="T30216" s="246">
        <f t="shared" si="510"/>
        <v>0</v>
      </c>
    </row>
    <row r="30217" spans="20:20" ht="18.75" customHeight="1" x14ac:dyDescent="0.35">
      <c r="T30217" s="246">
        <f t="shared" si="510"/>
        <v>0</v>
      </c>
    </row>
    <row r="30218" spans="20:20" ht="18.75" customHeight="1" x14ac:dyDescent="0.35">
      <c r="T30218" s="246">
        <f t="shared" si="510"/>
        <v>0</v>
      </c>
    </row>
    <row r="30219" spans="20:20" ht="18.75" customHeight="1" x14ac:dyDescent="0.35">
      <c r="T30219" s="246">
        <f t="shared" si="510"/>
        <v>0</v>
      </c>
    </row>
    <row r="30220" spans="20:20" ht="18.75" customHeight="1" x14ac:dyDescent="0.35">
      <c r="T30220" s="246">
        <f t="shared" si="510"/>
        <v>0</v>
      </c>
    </row>
    <row r="30221" spans="20:20" ht="18.75" customHeight="1" x14ac:dyDescent="0.35">
      <c r="T30221" s="246">
        <f t="shared" si="510"/>
        <v>0</v>
      </c>
    </row>
    <row r="30222" spans="20:20" ht="18.75" customHeight="1" x14ac:dyDescent="0.35">
      <c r="T30222" s="246">
        <f t="shared" si="510"/>
        <v>0</v>
      </c>
    </row>
    <row r="30223" spans="20:20" ht="18.75" customHeight="1" x14ac:dyDescent="0.35">
      <c r="T30223" s="246">
        <f t="shared" si="510"/>
        <v>0</v>
      </c>
    </row>
    <row r="30224" spans="20:20" ht="18.75" customHeight="1" x14ac:dyDescent="0.35">
      <c r="T30224" s="246">
        <f t="shared" si="510"/>
        <v>0</v>
      </c>
    </row>
    <row r="30225" spans="20:20" ht="18.75" customHeight="1" x14ac:dyDescent="0.35">
      <c r="T30225" s="246">
        <f t="shared" si="510"/>
        <v>0</v>
      </c>
    </row>
    <row r="30226" spans="20:20" ht="18.75" customHeight="1" x14ac:dyDescent="0.35">
      <c r="T30226" s="246">
        <f t="shared" si="510"/>
        <v>0</v>
      </c>
    </row>
    <row r="30227" spans="20:20" ht="18.75" customHeight="1" x14ac:dyDescent="0.35">
      <c r="T30227" s="246">
        <f t="shared" si="510"/>
        <v>0</v>
      </c>
    </row>
    <row r="30228" spans="20:20" ht="18.75" customHeight="1" x14ac:dyDescent="0.35">
      <c r="T30228" s="246">
        <f t="shared" si="510"/>
        <v>0</v>
      </c>
    </row>
    <row r="30229" spans="20:20" ht="18.75" customHeight="1" x14ac:dyDescent="0.35">
      <c r="T30229" s="246">
        <f t="shared" si="510"/>
        <v>0</v>
      </c>
    </row>
    <row r="30230" spans="20:20" ht="18.75" customHeight="1" x14ac:dyDescent="0.35">
      <c r="T30230" s="246">
        <f t="shared" si="510"/>
        <v>0</v>
      </c>
    </row>
    <row r="30231" spans="20:20" ht="18.75" customHeight="1" x14ac:dyDescent="0.35">
      <c r="T30231" s="246">
        <f t="shared" si="510"/>
        <v>0</v>
      </c>
    </row>
    <row r="30232" spans="20:20" ht="18.75" customHeight="1" x14ac:dyDescent="0.35">
      <c r="T30232" s="246">
        <f t="shared" si="510"/>
        <v>0</v>
      </c>
    </row>
    <row r="30233" spans="20:20" ht="18.75" customHeight="1" x14ac:dyDescent="0.35">
      <c r="T30233" s="246">
        <f t="shared" si="510"/>
        <v>0</v>
      </c>
    </row>
    <row r="30234" spans="20:20" ht="18.75" customHeight="1" x14ac:dyDescent="0.35">
      <c r="T30234" s="246">
        <f t="shared" si="510"/>
        <v>0</v>
      </c>
    </row>
    <row r="30235" spans="20:20" ht="18.75" customHeight="1" x14ac:dyDescent="0.35">
      <c r="T30235" s="246">
        <f t="shared" si="510"/>
        <v>0</v>
      </c>
    </row>
    <row r="30236" spans="20:20" ht="18.75" customHeight="1" x14ac:dyDescent="0.35">
      <c r="T30236" s="246">
        <f t="shared" si="510"/>
        <v>0</v>
      </c>
    </row>
    <row r="30237" spans="20:20" ht="18.75" customHeight="1" x14ac:dyDescent="0.35">
      <c r="T30237" s="246">
        <f t="shared" si="510"/>
        <v>0</v>
      </c>
    </row>
    <row r="30238" spans="20:20" ht="18.75" customHeight="1" x14ac:dyDescent="0.35">
      <c r="T30238" s="246">
        <f t="shared" si="510"/>
        <v>0</v>
      </c>
    </row>
    <row r="30239" spans="20:20" ht="18.75" customHeight="1" x14ac:dyDescent="0.35">
      <c r="T30239" s="246">
        <f t="shared" si="510"/>
        <v>0</v>
      </c>
    </row>
    <row r="30240" spans="20:20" ht="18.75" customHeight="1" x14ac:dyDescent="0.35">
      <c r="T30240" s="246">
        <f t="shared" si="510"/>
        <v>0</v>
      </c>
    </row>
    <row r="30241" spans="20:20" ht="18.75" customHeight="1" x14ac:dyDescent="0.35">
      <c r="T30241" s="246">
        <f t="shared" si="510"/>
        <v>0</v>
      </c>
    </row>
    <row r="30242" spans="20:20" ht="18.75" customHeight="1" x14ac:dyDescent="0.35">
      <c r="T30242" s="246">
        <f t="shared" si="510"/>
        <v>0</v>
      </c>
    </row>
    <row r="30243" spans="20:20" ht="18.75" customHeight="1" x14ac:dyDescent="0.35">
      <c r="T30243" s="246">
        <f t="shared" si="510"/>
        <v>0</v>
      </c>
    </row>
    <row r="30244" spans="20:20" ht="18.75" customHeight="1" x14ac:dyDescent="0.35">
      <c r="T30244" s="246">
        <f t="shared" si="510"/>
        <v>0</v>
      </c>
    </row>
    <row r="30245" spans="20:20" ht="18.75" customHeight="1" x14ac:dyDescent="0.35">
      <c r="T30245" s="246">
        <f t="shared" si="510"/>
        <v>0</v>
      </c>
    </row>
    <row r="30246" spans="20:20" ht="18.75" customHeight="1" x14ac:dyDescent="0.35">
      <c r="T30246" s="246">
        <f t="shared" si="510"/>
        <v>0</v>
      </c>
    </row>
    <row r="30247" spans="20:20" ht="18.75" customHeight="1" x14ac:dyDescent="0.35">
      <c r="T30247" s="246">
        <f t="shared" si="510"/>
        <v>0</v>
      </c>
    </row>
    <row r="30248" spans="20:20" ht="18.75" customHeight="1" x14ac:dyDescent="0.35">
      <c r="T30248" s="246">
        <f t="shared" si="510"/>
        <v>0</v>
      </c>
    </row>
    <row r="30249" spans="20:20" ht="18.75" customHeight="1" x14ac:dyDescent="0.35">
      <c r="T30249" s="246">
        <f t="shared" si="510"/>
        <v>0</v>
      </c>
    </row>
    <row r="30250" spans="20:20" ht="18.75" customHeight="1" x14ac:dyDescent="0.35">
      <c r="T30250" s="246">
        <f t="shared" si="510"/>
        <v>0</v>
      </c>
    </row>
    <row r="30251" spans="20:20" ht="18.75" customHeight="1" x14ac:dyDescent="0.35">
      <c r="T30251" s="246">
        <f t="shared" si="510"/>
        <v>0</v>
      </c>
    </row>
    <row r="30252" spans="20:20" ht="18.75" customHeight="1" x14ac:dyDescent="0.35">
      <c r="T30252" s="246">
        <f t="shared" si="510"/>
        <v>0</v>
      </c>
    </row>
    <row r="30253" spans="20:20" ht="18.75" customHeight="1" x14ac:dyDescent="0.35">
      <c r="T30253" s="246">
        <f t="shared" si="510"/>
        <v>0</v>
      </c>
    </row>
    <row r="30254" spans="20:20" ht="18.75" customHeight="1" x14ac:dyDescent="0.35">
      <c r="T30254" s="246">
        <f t="shared" si="510"/>
        <v>0</v>
      </c>
    </row>
    <row r="30255" spans="20:20" ht="18.75" customHeight="1" x14ac:dyDescent="0.35">
      <c r="T30255" s="246">
        <f t="shared" si="510"/>
        <v>0</v>
      </c>
    </row>
    <row r="30256" spans="20:20" ht="18.75" customHeight="1" x14ac:dyDescent="0.35">
      <c r="T30256" s="246">
        <f t="shared" si="510"/>
        <v>0</v>
      </c>
    </row>
    <row r="30257" spans="20:20" ht="18.75" customHeight="1" x14ac:dyDescent="0.35">
      <c r="T30257" s="246">
        <f t="shared" si="510"/>
        <v>0</v>
      </c>
    </row>
    <row r="30258" spans="20:20" ht="18.75" customHeight="1" x14ac:dyDescent="0.35">
      <c r="T30258" s="246">
        <f t="shared" si="510"/>
        <v>0</v>
      </c>
    </row>
    <row r="30259" spans="20:20" ht="18.75" customHeight="1" x14ac:dyDescent="0.35">
      <c r="T30259" s="246">
        <f t="shared" si="510"/>
        <v>0</v>
      </c>
    </row>
    <row r="30260" spans="20:20" ht="18.75" customHeight="1" x14ac:dyDescent="0.35">
      <c r="T30260" s="246">
        <f t="shared" si="510"/>
        <v>0</v>
      </c>
    </row>
    <row r="30261" spans="20:20" ht="18.75" customHeight="1" x14ac:dyDescent="0.35">
      <c r="T30261" s="246">
        <f t="shared" si="510"/>
        <v>0</v>
      </c>
    </row>
    <row r="30262" spans="20:20" ht="18.75" customHeight="1" x14ac:dyDescent="0.35">
      <c r="T30262" s="246">
        <f t="shared" si="510"/>
        <v>0</v>
      </c>
    </row>
    <row r="30263" spans="20:20" ht="18.75" customHeight="1" x14ac:dyDescent="0.35">
      <c r="T30263" s="246">
        <f t="shared" si="510"/>
        <v>0</v>
      </c>
    </row>
    <row r="30264" spans="20:20" ht="18.75" customHeight="1" x14ac:dyDescent="0.35">
      <c r="T30264" s="246">
        <f t="shared" si="510"/>
        <v>0</v>
      </c>
    </row>
    <row r="30265" spans="20:20" ht="18.75" customHeight="1" x14ac:dyDescent="0.35">
      <c r="T30265" s="246">
        <f t="shared" si="510"/>
        <v>0</v>
      </c>
    </row>
    <row r="30266" spans="20:20" ht="18.75" customHeight="1" x14ac:dyDescent="0.35">
      <c r="T30266" s="246">
        <f t="shared" si="510"/>
        <v>0</v>
      </c>
    </row>
    <row r="30267" spans="20:20" ht="18.75" customHeight="1" x14ac:dyDescent="0.35">
      <c r="T30267" s="246">
        <f t="shared" si="510"/>
        <v>0</v>
      </c>
    </row>
    <row r="30268" spans="20:20" ht="18.75" customHeight="1" x14ac:dyDescent="0.35">
      <c r="T30268" s="246">
        <f t="shared" ref="T30268:T30331" si="511">R30268*0.01</f>
        <v>0</v>
      </c>
    </row>
    <row r="30269" spans="20:20" ht="18.75" customHeight="1" x14ac:dyDescent="0.35">
      <c r="T30269" s="246">
        <f t="shared" si="511"/>
        <v>0</v>
      </c>
    </row>
    <row r="30270" spans="20:20" ht="18.75" customHeight="1" x14ac:dyDescent="0.35">
      <c r="T30270" s="246">
        <f t="shared" si="511"/>
        <v>0</v>
      </c>
    </row>
    <row r="30271" spans="20:20" ht="18.75" customHeight="1" x14ac:dyDescent="0.35">
      <c r="T30271" s="246">
        <f t="shared" si="511"/>
        <v>0</v>
      </c>
    </row>
    <row r="30272" spans="20:20" ht="18.75" customHeight="1" x14ac:dyDescent="0.35">
      <c r="T30272" s="246">
        <f t="shared" si="511"/>
        <v>0</v>
      </c>
    </row>
    <row r="30273" spans="20:20" ht="18.75" customHeight="1" x14ac:dyDescent="0.35">
      <c r="T30273" s="246">
        <f t="shared" si="511"/>
        <v>0</v>
      </c>
    </row>
    <row r="30274" spans="20:20" ht="18.75" customHeight="1" x14ac:dyDescent="0.35">
      <c r="T30274" s="246">
        <f t="shared" si="511"/>
        <v>0</v>
      </c>
    </row>
    <row r="30275" spans="20:20" ht="18.75" customHeight="1" x14ac:dyDescent="0.35">
      <c r="T30275" s="246">
        <f t="shared" si="511"/>
        <v>0</v>
      </c>
    </row>
    <row r="30276" spans="20:20" ht="18.75" customHeight="1" x14ac:dyDescent="0.35">
      <c r="T30276" s="246">
        <f t="shared" si="511"/>
        <v>0</v>
      </c>
    </row>
    <row r="30277" spans="20:20" ht="18.75" customHeight="1" x14ac:dyDescent="0.35">
      <c r="T30277" s="246">
        <f t="shared" si="511"/>
        <v>0</v>
      </c>
    </row>
    <row r="30278" spans="20:20" ht="18.75" customHeight="1" x14ac:dyDescent="0.35">
      <c r="T30278" s="246">
        <f t="shared" si="511"/>
        <v>0</v>
      </c>
    </row>
    <row r="30279" spans="20:20" ht="18.75" customHeight="1" x14ac:dyDescent="0.35">
      <c r="T30279" s="246">
        <f t="shared" si="511"/>
        <v>0</v>
      </c>
    </row>
    <row r="30280" spans="20:20" ht="18.75" customHeight="1" x14ac:dyDescent="0.35">
      <c r="T30280" s="246">
        <f t="shared" si="511"/>
        <v>0</v>
      </c>
    </row>
    <row r="30281" spans="20:20" ht="18.75" customHeight="1" x14ac:dyDescent="0.35">
      <c r="T30281" s="246">
        <f t="shared" si="511"/>
        <v>0</v>
      </c>
    </row>
    <row r="30282" spans="20:20" ht="18.75" customHeight="1" x14ac:dyDescent="0.35">
      <c r="T30282" s="246">
        <f t="shared" si="511"/>
        <v>0</v>
      </c>
    </row>
    <row r="30283" spans="20:20" ht="18.75" customHeight="1" x14ac:dyDescent="0.35">
      <c r="T30283" s="246">
        <f t="shared" si="511"/>
        <v>0</v>
      </c>
    </row>
    <row r="30284" spans="20:20" ht="18.75" customHeight="1" x14ac:dyDescent="0.35">
      <c r="T30284" s="246">
        <f t="shared" si="511"/>
        <v>0</v>
      </c>
    </row>
    <row r="30285" spans="20:20" ht="18.75" customHeight="1" x14ac:dyDescent="0.35">
      <c r="T30285" s="246">
        <f t="shared" si="511"/>
        <v>0</v>
      </c>
    </row>
    <row r="30286" spans="20:20" ht="18.75" customHeight="1" x14ac:dyDescent="0.35">
      <c r="T30286" s="246">
        <f t="shared" si="511"/>
        <v>0</v>
      </c>
    </row>
    <row r="30287" spans="20:20" ht="18.75" customHeight="1" x14ac:dyDescent="0.35">
      <c r="T30287" s="246">
        <f t="shared" si="511"/>
        <v>0</v>
      </c>
    </row>
    <row r="30288" spans="20:20" ht="18.75" customHeight="1" x14ac:dyDescent="0.35">
      <c r="T30288" s="246">
        <f t="shared" si="511"/>
        <v>0</v>
      </c>
    </row>
    <row r="30289" spans="20:20" ht="18.75" customHeight="1" x14ac:dyDescent="0.35">
      <c r="T30289" s="246">
        <f t="shared" si="511"/>
        <v>0</v>
      </c>
    </row>
    <row r="30290" spans="20:20" ht="18.75" customHeight="1" x14ac:dyDescent="0.35">
      <c r="T30290" s="246">
        <f t="shared" si="511"/>
        <v>0</v>
      </c>
    </row>
    <row r="30291" spans="20:20" ht="18.75" customHeight="1" x14ac:dyDescent="0.35">
      <c r="T30291" s="246">
        <f t="shared" si="511"/>
        <v>0</v>
      </c>
    </row>
    <row r="30292" spans="20:20" ht="18.75" customHeight="1" x14ac:dyDescent="0.35">
      <c r="T30292" s="246">
        <f t="shared" si="511"/>
        <v>0</v>
      </c>
    </row>
    <row r="30293" spans="20:20" ht="18.75" customHeight="1" x14ac:dyDescent="0.35">
      <c r="T30293" s="246">
        <f t="shared" si="511"/>
        <v>0</v>
      </c>
    </row>
    <row r="30294" spans="20:20" ht="18.75" customHeight="1" x14ac:dyDescent="0.35">
      <c r="T30294" s="246">
        <f t="shared" si="511"/>
        <v>0</v>
      </c>
    </row>
    <row r="30295" spans="20:20" ht="18.75" customHeight="1" x14ac:dyDescent="0.35">
      <c r="T30295" s="246">
        <f t="shared" si="511"/>
        <v>0</v>
      </c>
    </row>
    <row r="30296" spans="20:20" ht="18.75" customHeight="1" x14ac:dyDescent="0.35">
      <c r="T30296" s="246">
        <f t="shared" si="511"/>
        <v>0</v>
      </c>
    </row>
    <row r="30297" spans="20:20" ht="18.75" customHeight="1" x14ac:dyDescent="0.35">
      <c r="T30297" s="246">
        <f t="shared" si="511"/>
        <v>0</v>
      </c>
    </row>
    <row r="30298" spans="20:20" ht="18.75" customHeight="1" x14ac:dyDescent="0.35">
      <c r="T30298" s="246">
        <f t="shared" si="511"/>
        <v>0</v>
      </c>
    </row>
    <row r="30299" spans="20:20" ht="18.75" customHeight="1" x14ac:dyDescent="0.35">
      <c r="T30299" s="246">
        <f t="shared" si="511"/>
        <v>0</v>
      </c>
    </row>
    <row r="30300" spans="20:20" ht="18.75" customHeight="1" x14ac:dyDescent="0.35">
      <c r="T30300" s="246">
        <f t="shared" si="511"/>
        <v>0</v>
      </c>
    </row>
    <row r="30301" spans="20:20" ht="18.75" customHeight="1" x14ac:dyDescent="0.35">
      <c r="T30301" s="246">
        <f t="shared" si="511"/>
        <v>0</v>
      </c>
    </row>
    <row r="30302" spans="20:20" ht="18.75" customHeight="1" x14ac:dyDescent="0.35">
      <c r="T30302" s="246">
        <f t="shared" si="511"/>
        <v>0</v>
      </c>
    </row>
    <row r="30303" spans="20:20" ht="18.75" customHeight="1" x14ac:dyDescent="0.35">
      <c r="T30303" s="246">
        <f t="shared" si="511"/>
        <v>0</v>
      </c>
    </row>
    <row r="30304" spans="20:20" ht="18.75" customHeight="1" x14ac:dyDescent="0.35">
      <c r="T30304" s="246">
        <f t="shared" si="511"/>
        <v>0</v>
      </c>
    </row>
    <row r="30305" spans="20:20" ht="18.75" customHeight="1" x14ac:dyDescent="0.35">
      <c r="T30305" s="246">
        <f t="shared" si="511"/>
        <v>0</v>
      </c>
    </row>
    <row r="30306" spans="20:20" ht="18.75" customHeight="1" x14ac:dyDescent="0.35">
      <c r="T30306" s="246">
        <f t="shared" si="511"/>
        <v>0</v>
      </c>
    </row>
    <row r="30307" spans="20:20" ht="18.75" customHeight="1" x14ac:dyDescent="0.35">
      <c r="T30307" s="246">
        <f t="shared" si="511"/>
        <v>0</v>
      </c>
    </row>
    <row r="30308" spans="20:20" ht="18.75" customHeight="1" x14ac:dyDescent="0.35">
      <c r="T30308" s="246">
        <f t="shared" si="511"/>
        <v>0</v>
      </c>
    </row>
    <row r="30309" spans="20:20" ht="18.75" customHeight="1" x14ac:dyDescent="0.35">
      <c r="T30309" s="246">
        <f t="shared" si="511"/>
        <v>0</v>
      </c>
    </row>
    <row r="30310" spans="20:20" ht="18.75" customHeight="1" x14ac:dyDescent="0.35">
      <c r="T30310" s="246">
        <f t="shared" si="511"/>
        <v>0</v>
      </c>
    </row>
    <row r="30311" spans="20:20" ht="18.75" customHeight="1" x14ac:dyDescent="0.35">
      <c r="T30311" s="246">
        <f t="shared" si="511"/>
        <v>0</v>
      </c>
    </row>
    <row r="30312" spans="20:20" ht="18.75" customHeight="1" x14ac:dyDescent="0.35">
      <c r="T30312" s="246">
        <f t="shared" si="511"/>
        <v>0</v>
      </c>
    </row>
    <row r="30313" spans="20:20" ht="18.75" customHeight="1" x14ac:dyDescent="0.35">
      <c r="T30313" s="246">
        <f t="shared" si="511"/>
        <v>0</v>
      </c>
    </row>
    <row r="30314" spans="20:20" ht="18.75" customHeight="1" x14ac:dyDescent="0.35">
      <c r="T30314" s="246">
        <f t="shared" si="511"/>
        <v>0</v>
      </c>
    </row>
    <row r="30315" spans="20:20" ht="18.75" customHeight="1" x14ac:dyDescent="0.35">
      <c r="T30315" s="246">
        <f t="shared" si="511"/>
        <v>0</v>
      </c>
    </row>
    <row r="30316" spans="20:20" ht="18.75" customHeight="1" x14ac:dyDescent="0.35">
      <c r="T30316" s="246">
        <f t="shared" si="511"/>
        <v>0</v>
      </c>
    </row>
    <row r="30317" spans="20:20" ht="18.75" customHeight="1" x14ac:dyDescent="0.35">
      <c r="T30317" s="246">
        <f t="shared" si="511"/>
        <v>0</v>
      </c>
    </row>
    <row r="30318" spans="20:20" ht="18.75" customHeight="1" x14ac:dyDescent="0.35">
      <c r="T30318" s="246">
        <f t="shared" si="511"/>
        <v>0</v>
      </c>
    </row>
    <row r="30319" spans="20:20" ht="18.75" customHeight="1" x14ac:dyDescent="0.35">
      <c r="T30319" s="246">
        <f t="shared" si="511"/>
        <v>0</v>
      </c>
    </row>
    <row r="30320" spans="20:20" ht="18.75" customHeight="1" x14ac:dyDescent="0.35">
      <c r="T30320" s="246">
        <f t="shared" si="511"/>
        <v>0</v>
      </c>
    </row>
    <row r="30321" spans="20:20" ht="18.75" customHeight="1" x14ac:dyDescent="0.35">
      <c r="T30321" s="246">
        <f t="shared" si="511"/>
        <v>0</v>
      </c>
    </row>
    <row r="30322" spans="20:20" ht="18.75" customHeight="1" x14ac:dyDescent="0.35">
      <c r="T30322" s="246">
        <f t="shared" si="511"/>
        <v>0</v>
      </c>
    </row>
    <row r="30323" spans="20:20" ht="18.75" customHeight="1" x14ac:dyDescent="0.35">
      <c r="T30323" s="246">
        <f t="shared" si="511"/>
        <v>0</v>
      </c>
    </row>
    <row r="30324" spans="20:20" ht="18.75" customHeight="1" x14ac:dyDescent="0.35">
      <c r="T30324" s="246">
        <f t="shared" si="511"/>
        <v>0</v>
      </c>
    </row>
    <row r="30325" spans="20:20" ht="18.75" customHeight="1" x14ac:dyDescent="0.35">
      <c r="T30325" s="246">
        <f t="shared" si="511"/>
        <v>0</v>
      </c>
    </row>
    <row r="30326" spans="20:20" ht="18.75" customHeight="1" x14ac:dyDescent="0.35">
      <c r="T30326" s="246">
        <f t="shared" si="511"/>
        <v>0</v>
      </c>
    </row>
    <row r="30327" spans="20:20" ht="18.75" customHeight="1" x14ac:dyDescent="0.35">
      <c r="T30327" s="246">
        <f t="shared" si="511"/>
        <v>0</v>
      </c>
    </row>
    <row r="30328" spans="20:20" ht="18.75" customHeight="1" x14ac:dyDescent="0.35">
      <c r="T30328" s="246">
        <f t="shared" si="511"/>
        <v>0</v>
      </c>
    </row>
    <row r="30329" spans="20:20" ht="18.75" customHeight="1" x14ac:dyDescent="0.35">
      <c r="T30329" s="246">
        <f t="shared" si="511"/>
        <v>0</v>
      </c>
    </row>
    <row r="30330" spans="20:20" ht="18.75" customHeight="1" x14ac:dyDescent="0.35">
      <c r="T30330" s="246">
        <f t="shared" si="511"/>
        <v>0</v>
      </c>
    </row>
    <row r="30331" spans="20:20" ht="18.75" customHeight="1" x14ac:dyDescent="0.35">
      <c r="T30331" s="246">
        <f t="shared" si="511"/>
        <v>0</v>
      </c>
    </row>
    <row r="30332" spans="20:20" ht="18.75" customHeight="1" x14ac:dyDescent="0.35">
      <c r="T30332" s="246">
        <f t="shared" ref="T30332:T30395" si="512">R30332*0.01</f>
        <v>0</v>
      </c>
    </row>
    <row r="30333" spans="20:20" ht="18.75" customHeight="1" x14ac:dyDescent="0.35">
      <c r="T30333" s="246">
        <f t="shared" si="512"/>
        <v>0</v>
      </c>
    </row>
    <row r="30334" spans="20:20" ht="18.75" customHeight="1" x14ac:dyDescent="0.35">
      <c r="T30334" s="246">
        <f t="shared" si="512"/>
        <v>0</v>
      </c>
    </row>
    <row r="30335" spans="20:20" ht="18.75" customHeight="1" x14ac:dyDescent="0.35">
      <c r="T30335" s="246">
        <f t="shared" si="512"/>
        <v>0</v>
      </c>
    </row>
    <row r="30336" spans="20:20" ht="18.75" customHeight="1" x14ac:dyDescent="0.35">
      <c r="T30336" s="246">
        <f t="shared" si="512"/>
        <v>0</v>
      </c>
    </row>
    <row r="30337" spans="20:20" ht="18.75" customHeight="1" x14ac:dyDescent="0.35">
      <c r="T30337" s="246">
        <f t="shared" si="512"/>
        <v>0</v>
      </c>
    </row>
    <row r="30338" spans="20:20" ht="18.75" customHeight="1" x14ac:dyDescent="0.35">
      <c r="T30338" s="246">
        <f t="shared" si="512"/>
        <v>0</v>
      </c>
    </row>
    <row r="30339" spans="20:20" ht="18.75" customHeight="1" x14ac:dyDescent="0.35">
      <c r="T30339" s="246">
        <f t="shared" si="512"/>
        <v>0</v>
      </c>
    </row>
    <row r="30340" spans="20:20" ht="18.75" customHeight="1" x14ac:dyDescent="0.35">
      <c r="T30340" s="246">
        <f t="shared" si="512"/>
        <v>0</v>
      </c>
    </row>
    <row r="30341" spans="20:20" ht="18.75" customHeight="1" x14ac:dyDescent="0.35">
      <c r="T30341" s="246">
        <f t="shared" si="512"/>
        <v>0</v>
      </c>
    </row>
    <row r="30342" spans="20:20" ht="18.75" customHeight="1" x14ac:dyDescent="0.35">
      <c r="T30342" s="246">
        <f t="shared" si="512"/>
        <v>0</v>
      </c>
    </row>
    <row r="30343" spans="20:20" ht="18.75" customHeight="1" x14ac:dyDescent="0.35">
      <c r="T30343" s="246">
        <f t="shared" si="512"/>
        <v>0</v>
      </c>
    </row>
    <row r="30344" spans="20:20" ht="18.75" customHeight="1" x14ac:dyDescent="0.35">
      <c r="T30344" s="246">
        <f t="shared" si="512"/>
        <v>0</v>
      </c>
    </row>
    <row r="30345" spans="20:20" ht="18.75" customHeight="1" x14ac:dyDescent="0.35">
      <c r="T30345" s="246">
        <f t="shared" si="512"/>
        <v>0</v>
      </c>
    </row>
    <row r="30346" spans="20:20" ht="18.75" customHeight="1" x14ac:dyDescent="0.35">
      <c r="T30346" s="246">
        <f t="shared" si="512"/>
        <v>0</v>
      </c>
    </row>
    <row r="30347" spans="20:20" ht="18.75" customHeight="1" x14ac:dyDescent="0.35">
      <c r="T30347" s="246">
        <f t="shared" si="512"/>
        <v>0</v>
      </c>
    </row>
    <row r="30348" spans="20:20" ht="18.75" customHeight="1" x14ac:dyDescent="0.35">
      <c r="T30348" s="246">
        <f t="shared" si="512"/>
        <v>0</v>
      </c>
    </row>
    <row r="30349" spans="20:20" ht="18.75" customHeight="1" x14ac:dyDescent="0.35">
      <c r="T30349" s="246">
        <f t="shared" si="512"/>
        <v>0</v>
      </c>
    </row>
    <row r="30350" spans="20:20" ht="18.75" customHeight="1" x14ac:dyDescent="0.35">
      <c r="T30350" s="246">
        <f t="shared" si="512"/>
        <v>0</v>
      </c>
    </row>
    <row r="30351" spans="20:20" ht="18.75" customHeight="1" x14ac:dyDescent="0.35">
      <c r="T30351" s="246">
        <f t="shared" si="512"/>
        <v>0</v>
      </c>
    </row>
    <row r="30352" spans="20:20" ht="18.75" customHeight="1" x14ac:dyDescent="0.35">
      <c r="T30352" s="246">
        <f t="shared" si="512"/>
        <v>0</v>
      </c>
    </row>
    <row r="30353" spans="20:20" ht="18.75" customHeight="1" x14ac:dyDescent="0.35">
      <c r="T30353" s="246">
        <f t="shared" si="512"/>
        <v>0</v>
      </c>
    </row>
    <row r="30354" spans="20:20" ht="18.75" customHeight="1" x14ac:dyDescent="0.35">
      <c r="T30354" s="246">
        <f t="shared" si="512"/>
        <v>0</v>
      </c>
    </row>
    <row r="30355" spans="20:20" ht="18.75" customHeight="1" x14ac:dyDescent="0.35">
      <c r="T30355" s="246">
        <f t="shared" si="512"/>
        <v>0</v>
      </c>
    </row>
    <row r="30356" spans="20:20" ht="18.75" customHeight="1" x14ac:dyDescent="0.35">
      <c r="T30356" s="246">
        <f t="shared" si="512"/>
        <v>0</v>
      </c>
    </row>
    <row r="30357" spans="20:20" ht="18.75" customHeight="1" x14ac:dyDescent="0.35">
      <c r="T30357" s="246">
        <f t="shared" si="512"/>
        <v>0</v>
      </c>
    </row>
    <row r="30358" spans="20:20" ht="18.75" customHeight="1" x14ac:dyDescent="0.35">
      <c r="T30358" s="246">
        <f t="shared" si="512"/>
        <v>0</v>
      </c>
    </row>
    <row r="30359" spans="20:20" ht="18.75" customHeight="1" x14ac:dyDescent="0.35">
      <c r="T30359" s="246">
        <f t="shared" si="512"/>
        <v>0</v>
      </c>
    </row>
    <row r="30360" spans="20:20" ht="18.75" customHeight="1" x14ac:dyDescent="0.35">
      <c r="T30360" s="246">
        <f t="shared" si="512"/>
        <v>0</v>
      </c>
    </row>
    <row r="30361" spans="20:20" ht="18.75" customHeight="1" x14ac:dyDescent="0.35">
      <c r="T30361" s="246">
        <f t="shared" si="512"/>
        <v>0</v>
      </c>
    </row>
    <row r="30362" spans="20:20" ht="18.75" customHeight="1" x14ac:dyDescent="0.35">
      <c r="T30362" s="246">
        <f t="shared" si="512"/>
        <v>0</v>
      </c>
    </row>
    <row r="30363" spans="20:20" ht="18.75" customHeight="1" x14ac:dyDescent="0.35">
      <c r="T30363" s="246">
        <f t="shared" si="512"/>
        <v>0</v>
      </c>
    </row>
    <row r="30364" spans="20:20" ht="18.75" customHeight="1" x14ac:dyDescent="0.35">
      <c r="T30364" s="246">
        <f t="shared" si="512"/>
        <v>0</v>
      </c>
    </row>
    <row r="30365" spans="20:20" ht="18.75" customHeight="1" x14ac:dyDescent="0.35">
      <c r="T30365" s="246">
        <f t="shared" si="512"/>
        <v>0</v>
      </c>
    </row>
    <row r="30366" spans="20:20" ht="18.75" customHeight="1" x14ac:dyDescent="0.35">
      <c r="T30366" s="246">
        <f t="shared" si="512"/>
        <v>0</v>
      </c>
    </row>
    <row r="30367" spans="20:20" ht="18.75" customHeight="1" x14ac:dyDescent="0.35">
      <c r="T30367" s="246">
        <f t="shared" si="512"/>
        <v>0</v>
      </c>
    </row>
    <row r="30368" spans="20:20" ht="18.75" customHeight="1" x14ac:dyDescent="0.35">
      <c r="T30368" s="246">
        <f t="shared" si="512"/>
        <v>0</v>
      </c>
    </row>
    <row r="30369" spans="20:20" ht="18.75" customHeight="1" x14ac:dyDescent="0.35">
      <c r="T30369" s="246">
        <f t="shared" si="512"/>
        <v>0</v>
      </c>
    </row>
    <row r="30370" spans="20:20" ht="18.75" customHeight="1" x14ac:dyDescent="0.35">
      <c r="T30370" s="246">
        <f t="shared" si="512"/>
        <v>0</v>
      </c>
    </row>
    <row r="30371" spans="20:20" ht="18.75" customHeight="1" x14ac:dyDescent="0.35">
      <c r="T30371" s="246">
        <f t="shared" si="512"/>
        <v>0</v>
      </c>
    </row>
    <row r="30372" spans="20:20" ht="18.75" customHeight="1" x14ac:dyDescent="0.35">
      <c r="T30372" s="246">
        <f t="shared" si="512"/>
        <v>0</v>
      </c>
    </row>
    <row r="30373" spans="20:20" ht="18.75" customHeight="1" x14ac:dyDescent="0.35">
      <c r="T30373" s="246">
        <f t="shared" si="512"/>
        <v>0</v>
      </c>
    </row>
    <row r="30374" spans="20:20" ht="18.75" customHeight="1" x14ac:dyDescent="0.35">
      <c r="T30374" s="246">
        <f t="shared" si="512"/>
        <v>0</v>
      </c>
    </row>
    <row r="30375" spans="20:20" ht="18.75" customHeight="1" x14ac:dyDescent="0.35">
      <c r="T30375" s="246">
        <f t="shared" si="512"/>
        <v>0</v>
      </c>
    </row>
    <row r="30376" spans="20:20" ht="18.75" customHeight="1" x14ac:dyDescent="0.35">
      <c r="T30376" s="246">
        <f t="shared" si="512"/>
        <v>0</v>
      </c>
    </row>
    <row r="30377" spans="20:20" ht="18.75" customHeight="1" x14ac:dyDescent="0.35">
      <c r="T30377" s="246">
        <f t="shared" si="512"/>
        <v>0</v>
      </c>
    </row>
    <row r="30378" spans="20:20" ht="18.75" customHeight="1" x14ac:dyDescent="0.35">
      <c r="T30378" s="246">
        <f t="shared" si="512"/>
        <v>0</v>
      </c>
    </row>
    <row r="30379" spans="20:20" ht="18.75" customHeight="1" x14ac:dyDescent="0.35">
      <c r="T30379" s="246">
        <f t="shared" si="512"/>
        <v>0</v>
      </c>
    </row>
    <row r="30380" spans="20:20" ht="18.75" customHeight="1" x14ac:dyDescent="0.35">
      <c r="T30380" s="246">
        <f t="shared" si="512"/>
        <v>0</v>
      </c>
    </row>
    <row r="30381" spans="20:20" ht="18.75" customHeight="1" x14ac:dyDescent="0.35">
      <c r="T30381" s="246">
        <f t="shared" si="512"/>
        <v>0</v>
      </c>
    </row>
    <row r="30382" spans="20:20" ht="18.75" customHeight="1" x14ac:dyDescent="0.35">
      <c r="T30382" s="246">
        <f t="shared" si="512"/>
        <v>0</v>
      </c>
    </row>
    <row r="30383" spans="20:20" ht="18.75" customHeight="1" x14ac:dyDescent="0.35">
      <c r="T30383" s="246">
        <f t="shared" si="512"/>
        <v>0</v>
      </c>
    </row>
    <row r="30384" spans="20:20" ht="18.75" customHeight="1" x14ac:dyDescent="0.35">
      <c r="T30384" s="246">
        <f t="shared" si="512"/>
        <v>0</v>
      </c>
    </row>
    <row r="30385" spans="20:20" ht="18.75" customHeight="1" x14ac:dyDescent="0.35">
      <c r="T30385" s="246">
        <f t="shared" si="512"/>
        <v>0</v>
      </c>
    </row>
    <row r="30386" spans="20:20" ht="18.75" customHeight="1" x14ac:dyDescent="0.35">
      <c r="T30386" s="246">
        <f t="shared" si="512"/>
        <v>0</v>
      </c>
    </row>
    <row r="30387" spans="20:20" ht="18.75" customHeight="1" x14ac:dyDescent="0.35">
      <c r="T30387" s="246">
        <f t="shared" si="512"/>
        <v>0</v>
      </c>
    </row>
    <row r="30388" spans="20:20" ht="18.75" customHeight="1" x14ac:dyDescent="0.35">
      <c r="T30388" s="246">
        <f t="shared" si="512"/>
        <v>0</v>
      </c>
    </row>
    <row r="30389" spans="20:20" ht="18.75" customHeight="1" x14ac:dyDescent="0.35">
      <c r="T30389" s="246">
        <f t="shared" si="512"/>
        <v>0</v>
      </c>
    </row>
    <row r="30390" spans="20:20" ht="18.75" customHeight="1" x14ac:dyDescent="0.35">
      <c r="T30390" s="246">
        <f t="shared" si="512"/>
        <v>0</v>
      </c>
    </row>
    <row r="30391" spans="20:20" ht="18.75" customHeight="1" x14ac:dyDescent="0.35">
      <c r="T30391" s="246">
        <f t="shared" si="512"/>
        <v>0</v>
      </c>
    </row>
    <row r="30392" spans="20:20" ht="18.75" customHeight="1" x14ac:dyDescent="0.35">
      <c r="T30392" s="246">
        <f t="shared" si="512"/>
        <v>0</v>
      </c>
    </row>
    <row r="30393" spans="20:20" ht="18.75" customHeight="1" x14ac:dyDescent="0.35">
      <c r="T30393" s="246">
        <f t="shared" si="512"/>
        <v>0</v>
      </c>
    </row>
    <row r="30394" spans="20:20" ht="18.75" customHeight="1" x14ac:dyDescent="0.35">
      <c r="T30394" s="246">
        <f t="shared" si="512"/>
        <v>0</v>
      </c>
    </row>
    <row r="30395" spans="20:20" ht="18.75" customHeight="1" x14ac:dyDescent="0.35">
      <c r="T30395" s="246">
        <f t="shared" si="512"/>
        <v>0</v>
      </c>
    </row>
    <row r="30396" spans="20:20" ht="18.75" customHeight="1" x14ac:dyDescent="0.35">
      <c r="T30396" s="246">
        <f t="shared" ref="T30396:T30459" si="513">R30396*0.01</f>
        <v>0</v>
      </c>
    </row>
    <row r="30397" spans="20:20" ht="18.75" customHeight="1" x14ac:dyDescent="0.35">
      <c r="T30397" s="246">
        <f t="shared" si="513"/>
        <v>0</v>
      </c>
    </row>
    <row r="30398" spans="20:20" ht="18.75" customHeight="1" x14ac:dyDescent="0.35">
      <c r="T30398" s="246">
        <f t="shared" si="513"/>
        <v>0</v>
      </c>
    </row>
    <row r="30399" spans="20:20" ht="18.75" customHeight="1" x14ac:dyDescent="0.35">
      <c r="T30399" s="246">
        <f t="shared" si="513"/>
        <v>0</v>
      </c>
    </row>
    <row r="30400" spans="20:20" ht="18.75" customHeight="1" x14ac:dyDescent="0.35">
      <c r="T30400" s="246">
        <f t="shared" si="513"/>
        <v>0</v>
      </c>
    </row>
    <row r="30401" spans="20:20" ht="18.75" customHeight="1" x14ac:dyDescent="0.35">
      <c r="T30401" s="246">
        <f t="shared" si="513"/>
        <v>0</v>
      </c>
    </row>
    <row r="30402" spans="20:20" ht="18.75" customHeight="1" x14ac:dyDescent="0.35">
      <c r="T30402" s="246">
        <f t="shared" si="513"/>
        <v>0</v>
      </c>
    </row>
    <row r="30403" spans="20:20" ht="18.75" customHeight="1" x14ac:dyDescent="0.35">
      <c r="T30403" s="246">
        <f t="shared" si="513"/>
        <v>0</v>
      </c>
    </row>
    <row r="30404" spans="20:20" ht="18.75" customHeight="1" x14ac:dyDescent="0.35">
      <c r="T30404" s="246">
        <f t="shared" si="513"/>
        <v>0</v>
      </c>
    </row>
    <row r="30405" spans="20:20" ht="18.75" customHeight="1" x14ac:dyDescent="0.35">
      <c r="T30405" s="246">
        <f t="shared" si="513"/>
        <v>0</v>
      </c>
    </row>
    <row r="30406" spans="20:20" ht="18.75" customHeight="1" x14ac:dyDescent="0.35">
      <c r="T30406" s="246">
        <f t="shared" si="513"/>
        <v>0</v>
      </c>
    </row>
    <row r="30407" spans="20:20" ht="18.75" customHeight="1" x14ac:dyDescent="0.35">
      <c r="T30407" s="246">
        <f t="shared" si="513"/>
        <v>0</v>
      </c>
    </row>
    <row r="30408" spans="20:20" ht="18.75" customHeight="1" x14ac:dyDescent="0.35">
      <c r="T30408" s="246">
        <f t="shared" si="513"/>
        <v>0</v>
      </c>
    </row>
    <row r="30409" spans="20:20" ht="18.75" customHeight="1" x14ac:dyDescent="0.35">
      <c r="T30409" s="246">
        <f t="shared" si="513"/>
        <v>0</v>
      </c>
    </row>
    <row r="30410" spans="20:20" ht="18.75" customHeight="1" x14ac:dyDescent="0.35">
      <c r="T30410" s="246">
        <f t="shared" si="513"/>
        <v>0</v>
      </c>
    </row>
    <row r="30411" spans="20:20" ht="18.75" customHeight="1" x14ac:dyDescent="0.35">
      <c r="T30411" s="246">
        <f t="shared" si="513"/>
        <v>0</v>
      </c>
    </row>
    <row r="30412" spans="20:20" ht="18.75" customHeight="1" x14ac:dyDescent="0.35">
      <c r="T30412" s="246">
        <f t="shared" si="513"/>
        <v>0</v>
      </c>
    </row>
    <row r="30413" spans="20:20" ht="18.75" customHeight="1" x14ac:dyDescent="0.35">
      <c r="T30413" s="246">
        <f t="shared" si="513"/>
        <v>0</v>
      </c>
    </row>
    <row r="30414" spans="20:20" ht="18.75" customHeight="1" x14ac:dyDescent="0.35">
      <c r="T30414" s="246">
        <f t="shared" si="513"/>
        <v>0</v>
      </c>
    </row>
    <row r="30415" spans="20:20" ht="18.75" customHeight="1" x14ac:dyDescent="0.35">
      <c r="T30415" s="246">
        <f t="shared" si="513"/>
        <v>0</v>
      </c>
    </row>
    <row r="30416" spans="20:20" ht="18.75" customHeight="1" x14ac:dyDescent="0.35">
      <c r="T30416" s="246">
        <f t="shared" si="513"/>
        <v>0</v>
      </c>
    </row>
    <row r="30417" spans="20:20" ht="18.75" customHeight="1" x14ac:dyDescent="0.35">
      <c r="T30417" s="246">
        <f t="shared" si="513"/>
        <v>0</v>
      </c>
    </row>
    <row r="30418" spans="20:20" ht="18.75" customHeight="1" x14ac:dyDescent="0.35">
      <c r="T30418" s="246">
        <f t="shared" si="513"/>
        <v>0</v>
      </c>
    </row>
    <row r="30419" spans="20:20" ht="18.75" customHeight="1" x14ac:dyDescent="0.35">
      <c r="T30419" s="246">
        <f t="shared" si="513"/>
        <v>0</v>
      </c>
    </row>
    <row r="30420" spans="20:20" ht="18.75" customHeight="1" x14ac:dyDescent="0.35">
      <c r="T30420" s="246">
        <f t="shared" si="513"/>
        <v>0</v>
      </c>
    </row>
    <row r="30421" spans="20:20" ht="18.75" customHeight="1" x14ac:dyDescent="0.35">
      <c r="T30421" s="246">
        <f t="shared" si="513"/>
        <v>0</v>
      </c>
    </row>
    <row r="30422" spans="20:20" ht="18.75" customHeight="1" x14ac:dyDescent="0.35">
      <c r="T30422" s="246">
        <f t="shared" si="513"/>
        <v>0</v>
      </c>
    </row>
    <row r="30423" spans="20:20" ht="18.75" customHeight="1" x14ac:dyDescent="0.35">
      <c r="T30423" s="246">
        <f t="shared" si="513"/>
        <v>0</v>
      </c>
    </row>
    <row r="30424" spans="20:20" ht="18.75" customHeight="1" x14ac:dyDescent="0.35">
      <c r="T30424" s="246">
        <f t="shared" si="513"/>
        <v>0</v>
      </c>
    </row>
    <row r="30425" spans="20:20" ht="18.75" customHeight="1" x14ac:dyDescent="0.35">
      <c r="T30425" s="246">
        <f t="shared" si="513"/>
        <v>0</v>
      </c>
    </row>
    <row r="30426" spans="20:20" ht="18.75" customHeight="1" x14ac:dyDescent="0.35">
      <c r="T30426" s="246">
        <f t="shared" si="513"/>
        <v>0</v>
      </c>
    </row>
    <row r="30427" spans="20:20" ht="18.75" customHeight="1" x14ac:dyDescent="0.35">
      <c r="T30427" s="246">
        <f t="shared" si="513"/>
        <v>0</v>
      </c>
    </row>
    <row r="30428" spans="20:20" ht="18.75" customHeight="1" x14ac:dyDescent="0.35">
      <c r="T30428" s="246">
        <f t="shared" si="513"/>
        <v>0</v>
      </c>
    </row>
    <row r="30429" spans="20:20" ht="18.75" customHeight="1" x14ac:dyDescent="0.35">
      <c r="T30429" s="246">
        <f t="shared" si="513"/>
        <v>0</v>
      </c>
    </row>
    <row r="30430" spans="20:20" ht="18.75" customHeight="1" x14ac:dyDescent="0.35">
      <c r="T30430" s="246">
        <f t="shared" si="513"/>
        <v>0</v>
      </c>
    </row>
    <row r="30431" spans="20:20" ht="18.75" customHeight="1" x14ac:dyDescent="0.35">
      <c r="T30431" s="246">
        <f t="shared" si="513"/>
        <v>0</v>
      </c>
    </row>
    <row r="30432" spans="20:20" ht="18.75" customHeight="1" x14ac:dyDescent="0.35">
      <c r="T30432" s="246">
        <f t="shared" si="513"/>
        <v>0</v>
      </c>
    </row>
    <row r="30433" spans="20:20" ht="18.75" customHeight="1" x14ac:dyDescent="0.35">
      <c r="T30433" s="246">
        <f t="shared" si="513"/>
        <v>0</v>
      </c>
    </row>
    <row r="30434" spans="20:20" ht="18.75" customHeight="1" x14ac:dyDescent="0.35">
      <c r="T30434" s="246">
        <f t="shared" si="513"/>
        <v>0</v>
      </c>
    </row>
    <row r="30435" spans="20:20" ht="18.75" customHeight="1" x14ac:dyDescent="0.35">
      <c r="T30435" s="246">
        <f t="shared" si="513"/>
        <v>0</v>
      </c>
    </row>
    <row r="30436" spans="20:20" ht="18.75" customHeight="1" x14ac:dyDescent="0.35">
      <c r="T30436" s="246">
        <f t="shared" si="513"/>
        <v>0</v>
      </c>
    </row>
    <row r="30437" spans="20:20" ht="18.75" customHeight="1" x14ac:dyDescent="0.35">
      <c r="T30437" s="246">
        <f t="shared" si="513"/>
        <v>0</v>
      </c>
    </row>
    <row r="30438" spans="20:20" ht="18.75" customHeight="1" x14ac:dyDescent="0.35">
      <c r="T30438" s="246">
        <f t="shared" si="513"/>
        <v>0</v>
      </c>
    </row>
    <row r="30439" spans="20:20" ht="18.75" customHeight="1" x14ac:dyDescent="0.35">
      <c r="T30439" s="246">
        <f t="shared" si="513"/>
        <v>0</v>
      </c>
    </row>
    <row r="30440" spans="20:20" ht="18.75" customHeight="1" x14ac:dyDescent="0.35">
      <c r="T30440" s="246">
        <f t="shared" si="513"/>
        <v>0</v>
      </c>
    </row>
    <row r="30441" spans="20:20" ht="18.75" customHeight="1" x14ac:dyDescent="0.35">
      <c r="T30441" s="246">
        <f t="shared" si="513"/>
        <v>0</v>
      </c>
    </row>
    <row r="30442" spans="20:20" ht="18.75" customHeight="1" x14ac:dyDescent="0.35">
      <c r="T30442" s="246">
        <f t="shared" si="513"/>
        <v>0</v>
      </c>
    </row>
    <row r="30443" spans="20:20" ht="18.75" customHeight="1" x14ac:dyDescent="0.35">
      <c r="T30443" s="246">
        <f t="shared" si="513"/>
        <v>0</v>
      </c>
    </row>
    <row r="30444" spans="20:20" ht="18.75" customHeight="1" x14ac:dyDescent="0.35">
      <c r="T30444" s="246">
        <f t="shared" si="513"/>
        <v>0</v>
      </c>
    </row>
    <row r="30445" spans="20:20" ht="18.75" customHeight="1" x14ac:dyDescent="0.35">
      <c r="T30445" s="246">
        <f t="shared" si="513"/>
        <v>0</v>
      </c>
    </row>
    <row r="30446" spans="20:20" ht="18.75" customHeight="1" x14ac:dyDescent="0.35">
      <c r="T30446" s="246">
        <f t="shared" si="513"/>
        <v>0</v>
      </c>
    </row>
    <row r="30447" spans="20:20" ht="18.75" customHeight="1" x14ac:dyDescent="0.35">
      <c r="T30447" s="246">
        <f t="shared" si="513"/>
        <v>0</v>
      </c>
    </row>
    <row r="30448" spans="20:20" ht="18.75" customHeight="1" x14ac:dyDescent="0.35">
      <c r="T30448" s="246">
        <f t="shared" si="513"/>
        <v>0</v>
      </c>
    </row>
    <row r="30449" spans="20:20" ht="18.75" customHeight="1" x14ac:dyDescent="0.35">
      <c r="T30449" s="246">
        <f t="shared" si="513"/>
        <v>0</v>
      </c>
    </row>
    <row r="30450" spans="20:20" ht="18.75" customHeight="1" x14ac:dyDescent="0.35">
      <c r="T30450" s="246">
        <f t="shared" si="513"/>
        <v>0</v>
      </c>
    </row>
    <row r="30451" spans="20:20" ht="18.75" customHeight="1" x14ac:dyDescent="0.35">
      <c r="T30451" s="246">
        <f t="shared" si="513"/>
        <v>0</v>
      </c>
    </row>
    <row r="30452" spans="20:20" ht="18.75" customHeight="1" x14ac:dyDescent="0.35">
      <c r="T30452" s="246">
        <f t="shared" si="513"/>
        <v>0</v>
      </c>
    </row>
    <row r="30453" spans="20:20" ht="18.75" customHeight="1" x14ac:dyDescent="0.35">
      <c r="T30453" s="246">
        <f t="shared" si="513"/>
        <v>0</v>
      </c>
    </row>
    <row r="30454" spans="20:20" ht="18.75" customHeight="1" x14ac:dyDescent="0.35">
      <c r="T30454" s="246">
        <f t="shared" si="513"/>
        <v>0</v>
      </c>
    </row>
    <row r="30455" spans="20:20" ht="18.75" customHeight="1" x14ac:dyDescent="0.35">
      <c r="T30455" s="246">
        <f t="shared" si="513"/>
        <v>0</v>
      </c>
    </row>
    <row r="30456" spans="20:20" ht="18.75" customHeight="1" x14ac:dyDescent="0.35">
      <c r="T30456" s="246">
        <f t="shared" si="513"/>
        <v>0</v>
      </c>
    </row>
    <row r="30457" spans="20:20" ht="18.75" customHeight="1" x14ac:dyDescent="0.35">
      <c r="T30457" s="246">
        <f t="shared" si="513"/>
        <v>0</v>
      </c>
    </row>
    <row r="30458" spans="20:20" ht="18.75" customHeight="1" x14ac:dyDescent="0.35">
      <c r="T30458" s="246">
        <f t="shared" si="513"/>
        <v>0</v>
      </c>
    </row>
    <row r="30459" spans="20:20" ht="18.75" customHeight="1" x14ac:dyDescent="0.35">
      <c r="T30459" s="246">
        <f t="shared" si="513"/>
        <v>0</v>
      </c>
    </row>
    <row r="30460" spans="20:20" ht="18.75" customHeight="1" x14ac:dyDescent="0.35">
      <c r="T30460" s="246">
        <f t="shared" ref="T30460:T30523" si="514">R30460*0.01</f>
        <v>0</v>
      </c>
    </row>
    <row r="30461" spans="20:20" ht="18.75" customHeight="1" x14ac:dyDescent="0.35">
      <c r="T30461" s="246">
        <f t="shared" si="514"/>
        <v>0</v>
      </c>
    </row>
    <row r="30462" spans="20:20" ht="18.75" customHeight="1" x14ac:dyDescent="0.35">
      <c r="T30462" s="246">
        <f t="shared" si="514"/>
        <v>0</v>
      </c>
    </row>
    <row r="30463" spans="20:20" ht="18.75" customHeight="1" x14ac:dyDescent="0.35">
      <c r="T30463" s="246">
        <f t="shared" si="514"/>
        <v>0</v>
      </c>
    </row>
    <row r="30464" spans="20:20" ht="18.75" customHeight="1" x14ac:dyDescent="0.35">
      <c r="T30464" s="246">
        <f t="shared" si="514"/>
        <v>0</v>
      </c>
    </row>
    <row r="30465" spans="20:20" ht="18.75" customHeight="1" x14ac:dyDescent="0.35">
      <c r="T30465" s="246">
        <f t="shared" si="514"/>
        <v>0</v>
      </c>
    </row>
    <row r="30466" spans="20:20" ht="18.75" customHeight="1" x14ac:dyDescent="0.35">
      <c r="T30466" s="246">
        <f t="shared" si="514"/>
        <v>0</v>
      </c>
    </row>
    <row r="30467" spans="20:20" ht="18.75" customHeight="1" x14ac:dyDescent="0.35">
      <c r="T30467" s="246">
        <f t="shared" si="514"/>
        <v>0</v>
      </c>
    </row>
    <row r="30468" spans="20:20" ht="18.75" customHeight="1" x14ac:dyDescent="0.35">
      <c r="T30468" s="246">
        <f t="shared" si="514"/>
        <v>0</v>
      </c>
    </row>
    <row r="30469" spans="20:20" ht="18.75" customHeight="1" x14ac:dyDescent="0.35">
      <c r="T30469" s="246">
        <f t="shared" si="514"/>
        <v>0</v>
      </c>
    </row>
    <row r="30470" spans="20:20" ht="18.75" customHeight="1" x14ac:dyDescent="0.35">
      <c r="T30470" s="246">
        <f t="shared" si="514"/>
        <v>0</v>
      </c>
    </row>
    <row r="30471" spans="20:20" ht="18.75" customHeight="1" x14ac:dyDescent="0.35">
      <c r="T30471" s="246">
        <f t="shared" si="514"/>
        <v>0</v>
      </c>
    </row>
    <row r="30472" spans="20:20" ht="18.75" customHeight="1" x14ac:dyDescent="0.35">
      <c r="T30472" s="246">
        <f t="shared" si="514"/>
        <v>0</v>
      </c>
    </row>
    <row r="30473" spans="20:20" ht="18.75" customHeight="1" x14ac:dyDescent="0.35">
      <c r="T30473" s="246">
        <f t="shared" si="514"/>
        <v>0</v>
      </c>
    </row>
    <row r="30474" spans="20:20" ht="18.75" customHeight="1" x14ac:dyDescent="0.35">
      <c r="T30474" s="246">
        <f t="shared" si="514"/>
        <v>0</v>
      </c>
    </row>
    <row r="30475" spans="20:20" ht="18.75" customHeight="1" x14ac:dyDescent="0.35">
      <c r="T30475" s="246">
        <f t="shared" si="514"/>
        <v>0</v>
      </c>
    </row>
    <row r="30476" spans="20:20" ht="18.75" customHeight="1" x14ac:dyDescent="0.35">
      <c r="T30476" s="246">
        <f t="shared" si="514"/>
        <v>0</v>
      </c>
    </row>
    <row r="30477" spans="20:20" ht="18.75" customHeight="1" x14ac:dyDescent="0.35">
      <c r="T30477" s="246">
        <f t="shared" si="514"/>
        <v>0</v>
      </c>
    </row>
    <row r="30478" spans="20:20" ht="18.75" customHeight="1" x14ac:dyDescent="0.35">
      <c r="T30478" s="246">
        <f t="shared" si="514"/>
        <v>0</v>
      </c>
    </row>
    <row r="30479" spans="20:20" ht="18.75" customHeight="1" x14ac:dyDescent="0.35">
      <c r="T30479" s="246">
        <f t="shared" si="514"/>
        <v>0</v>
      </c>
    </row>
    <row r="30480" spans="20:20" ht="18.75" customHeight="1" x14ac:dyDescent="0.35">
      <c r="T30480" s="246">
        <f t="shared" si="514"/>
        <v>0</v>
      </c>
    </row>
    <row r="30481" spans="20:20" ht="18.75" customHeight="1" x14ac:dyDescent="0.35">
      <c r="T30481" s="246">
        <f t="shared" si="514"/>
        <v>0</v>
      </c>
    </row>
    <row r="30482" spans="20:20" ht="18.75" customHeight="1" x14ac:dyDescent="0.35">
      <c r="T30482" s="246">
        <f t="shared" si="514"/>
        <v>0</v>
      </c>
    </row>
    <row r="30483" spans="20:20" ht="18.75" customHeight="1" x14ac:dyDescent="0.35">
      <c r="T30483" s="246">
        <f t="shared" si="514"/>
        <v>0</v>
      </c>
    </row>
    <row r="30484" spans="20:20" ht="18.75" customHeight="1" x14ac:dyDescent="0.35">
      <c r="T30484" s="246">
        <f t="shared" si="514"/>
        <v>0</v>
      </c>
    </row>
    <row r="30485" spans="20:20" ht="18.75" customHeight="1" x14ac:dyDescent="0.35">
      <c r="T30485" s="246">
        <f t="shared" si="514"/>
        <v>0</v>
      </c>
    </row>
    <row r="30486" spans="20:20" ht="18.75" customHeight="1" x14ac:dyDescent="0.35">
      <c r="T30486" s="246">
        <f t="shared" si="514"/>
        <v>0</v>
      </c>
    </row>
    <row r="30487" spans="20:20" ht="18.75" customHeight="1" x14ac:dyDescent="0.35">
      <c r="T30487" s="246">
        <f t="shared" si="514"/>
        <v>0</v>
      </c>
    </row>
    <row r="30488" spans="20:20" ht="18.75" customHeight="1" x14ac:dyDescent="0.35">
      <c r="T30488" s="246">
        <f t="shared" si="514"/>
        <v>0</v>
      </c>
    </row>
    <row r="30489" spans="20:20" ht="18.75" customHeight="1" x14ac:dyDescent="0.35">
      <c r="T30489" s="246">
        <f t="shared" si="514"/>
        <v>0</v>
      </c>
    </row>
    <row r="30490" spans="20:20" ht="18.75" customHeight="1" x14ac:dyDescent="0.35">
      <c r="T30490" s="246">
        <f t="shared" si="514"/>
        <v>0</v>
      </c>
    </row>
    <row r="30491" spans="20:20" ht="18.75" customHeight="1" x14ac:dyDescent="0.35">
      <c r="T30491" s="246">
        <f t="shared" si="514"/>
        <v>0</v>
      </c>
    </row>
    <row r="30492" spans="20:20" ht="18.75" customHeight="1" x14ac:dyDescent="0.35">
      <c r="T30492" s="246">
        <f t="shared" si="514"/>
        <v>0</v>
      </c>
    </row>
    <row r="30493" spans="20:20" ht="18.75" customHeight="1" x14ac:dyDescent="0.35">
      <c r="T30493" s="246">
        <f t="shared" si="514"/>
        <v>0</v>
      </c>
    </row>
    <row r="30494" spans="20:20" ht="18.75" customHeight="1" x14ac:dyDescent="0.35">
      <c r="T30494" s="246">
        <f t="shared" si="514"/>
        <v>0</v>
      </c>
    </row>
    <row r="30495" spans="20:20" ht="18.75" customHeight="1" x14ac:dyDescent="0.35">
      <c r="T30495" s="246">
        <f t="shared" si="514"/>
        <v>0</v>
      </c>
    </row>
    <row r="30496" spans="20:20" ht="18.75" customHeight="1" x14ac:dyDescent="0.35">
      <c r="T30496" s="246">
        <f t="shared" si="514"/>
        <v>0</v>
      </c>
    </row>
    <row r="30497" spans="20:20" ht="18.75" customHeight="1" x14ac:dyDescent="0.35">
      <c r="T30497" s="246">
        <f t="shared" si="514"/>
        <v>0</v>
      </c>
    </row>
    <row r="30498" spans="20:20" ht="18.75" customHeight="1" x14ac:dyDescent="0.35">
      <c r="T30498" s="246">
        <f t="shared" si="514"/>
        <v>0</v>
      </c>
    </row>
    <row r="30499" spans="20:20" ht="18.75" customHeight="1" x14ac:dyDescent="0.35">
      <c r="T30499" s="246">
        <f t="shared" si="514"/>
        <v>0</v>
      </c>
    </row>
    <row r="30500" spans="20:20" ht="18.75" customHeight="1" x14ac:dyDescent="0.35">
      <c r="T30500" s="246">
        <f t="shared" si="514"/>
        <v>0</v>
      </c>
    </row>
    <row r="30501" spans="20:20" ht="18.75" customHeight="1" x14ac:dyDescent="0.35">
      <c r="T30501" s="246">
        <f t="shared" si="514"/>
        <v>0</v>
      </c>
    </row>
    <row r="30502" spans="20:20" ht="18.75" customHeight="1" x14ac:dyDescent="0.35">
      <c r="T30502" s="246">
        <f t="shared" si="514"/>
        <v>0</v>
      </c>
    </row>
    <row r="30503" spans="20:20" ht="18.75" customHeight="1" x14ac:dyDescent="0.35">
      <c r="T30503" s="246">
        <f t="shared" si="514"/>
        <v>0</v>
      </c>
    </row>
    <row r="30504" spans="20:20" ht="18.75" customHeight="1" x14ac:dyDescent="0.35">
      <c r="T30504" s="246">
        <f t="shared" si="514"/>
        <v>0</v>
      </c>
    </row>
    <row r="30505" spans="20:20" ht="18.75" customHeight="1" x14ac:dyDescent="0.35">
      <c r="T30505" s="246">
        <f t="shared" si="514"/>
        <v>0</v>
      </c>
    </row>
    <row r="30506" spans="20:20" ht="18.75" customHeight="1" x14ac:dyDescent="0.35">
      <c r="T30506" s="246">
        <f t="shared" si="514"/>
        <v>0</v>
      </c>
    </row>
    <row r="30507" spans="20:20" ht="18.75" customHeight="1" x14ac:dyDescent="0.35">
      <c r="T30507" s="246">
        <f t="shared" si="514"/>
        <v>0</v>
      </c>
    </row>
    <row r="30508" spans="20:20" ht="18.75" customHeight="1" x14ac:dyDescent="0.35">
      <c r="T30508" s="246">
        <f t="shared" si="514"/>
        <v>0</v>
      </c>
    </row>
    <row r="30509" spans="20:20" ht="18.75" customHeight="1" x14ac:dyDescent="0.35">
      <c r="T30509" s="246">
        <f t="shared" si="514"/>
        <v>0</v>
      </c>
    </row>
    <row r="30510" spans="20:20" ht="18.75" customHeight="1" x14ac:dyDescent="0.35">
      <c r="T30510" s="246">
        <f t="shared" si="514"/>
        <v>0</v>
      </c>
    </row>
    <row r="30511" spans="20:20" ht="18.75" customHeight="1" x14ac:dyDescent="0.35">
      <c r="T30511" s="246">
        <f t="shared" si="514"/>
        <v>0</v>
      </c>
    </row>
    <row r="30512" spans="20:20" ht="18.75" customHeight="1" x14ac:dyDescent="0.35">
      <c r="T30512" s="246">
        <f t="shared" si="514"/>
        <v>0</v>
      </c>
    </row>
    <row r="30513" spans="20:20" ht="18.75" customHeight="1" x14ac:dyDescent="0.35">
      <c r="T30513" s="246">
        <f t="shared" si="514"/>
        <v>0</v>
      </c>
    </row>
    <row r="30514" spans="20:20" ht="18.75" customHeight="1" x14ac:dyDescent="0.35">
      <c r="T30514" s="246">
        <f t="shared" si="514"/>
        <v>0</v>
      </c>
    </row>
    <row r="30515" spans="20:20" ht="18.75" customHeight="1" x14ac:dyDescent="0.35">
      <c r="T30515" s="246">
        <f t="shared" si="514"/>
        <v>0</v>
      </c>
    </row>
    <row r="30516" spans="20:20" ht="18.75" customHeight="1" x14ac:dyDescent="0.35">
      <c r="T30516" s="246">
        <f t="shared" si="514"/>
        <v>0</v>
      </c>
    </row>
    <row r="30517" spans="20:20" ht="18.75" customHeight="1" x14ac:dyDescent="0.35">
      <c r="T30517" s="246">
        <f t="shared" si="514"/>
        <v>0</v>
      </c>
    </row>
    <row r="30518" spans="20:20" ht="18.75" customHeight="1" x14ac:dyDescent="0.35">
      <c r="T30518" s="246">
        <f t="shared" si="514"/>
        <v>0</v>
      </c>
    </row>
    <row r="30519" spans="20:20" ht="18.75" customHeight="1" x14ac:dyDescent="0.35">
      <c r="T30519" s="246">
        <f t="shared" si="514"/>
        <v>0</v>
      </c>
    </row>
    <row r="30520" spans="20:20" ht="18.75" customHeight="1" x14ac:dyDescent="0.35">
      <c r="T30520" s="246">
        <f t="shared" si="514"/>
        <v>0</v>
      </c>
    </row>
    <row r="30521" spans="20:20" ht="18.75" customHeight="1" x14ac:dyDescent="0.35">
      <c r="T30521" s="246">
        <f t="shared" si="514"/>
        <v>0</v>
      </c>
    </row>
    <row r="30522" spans="20:20" ht="18.75" customHeight="1" x14ac:dyDescent="0.35">
      <c r="T30522" s="246">
        <f t="shared" si="514"/>
        <v>0</v>
      </c>
    </row>
    <row r="30523" spans="20:20" ht="18.75" customHeight="1" x14ac:dyDescent="0.35">
      <c r="T30523" s="246">
        <f t="shared" si="514"/>
        <v>0</v>
      </c>
    </row>
    <row r="30524" spans="20:20" ht="18.75" customHeight="1" x14ac:dyDescent="0.35">
      <c r="T30524" s="246">
        <f t="shared" ref="T30524:T30587" si="515">R30524*0.01</f>
        <v>0</v>
      </c>
    </row>
    <row r="30525" spans="20:20" ht="18.75" customHeight="1" x14ac:dyDescent="0.35">
      <c r="T30525" s="246">
        <f t="shared" si="515"/>
        <v>0</v>
      </c>
    </row>
    <row r="30526" spans="20:20" ht="18.75" customHeight="1" x14ac:dyDescent="0.35">
      <c r="T30526" s="246">
        <f t="shared" si="515"/>
        <v>0</v>
      </c>
    </row>
    <row r="30527" spans="20:20" ht="18.75" customHeight="1" x14ac:dyDescent="0.35">
      <c r="T30527" s="246">
        <f t="shared" si="515"/>
        <v>0</v>
      </c>
    </row>
    <row r="30528" spans="20:20" ht="18.75" customHeight="1" x14ac:dyDescent="0.35">
      <c r="T30528" s="246">
        <f t="shared" si="515"/>
        <v>0</v>
      </c>
    </row>
    <row r="30529" spans="20:20" ht="18.75" customHeight="1" x14ac:dyDescent="0.35">
      <c r="T30529" s="246">
        <f t="shared" si="515"/>
        <v>0</v>
      </c>
    </row>
    <row r="30530" spans="20:20" ht="18.75" customHeight="1" x14ac:dyDescent="0.35">
      <c r="T30530" s="246">
        <f t="shared" si="515"/>
        <v>0</v>
      </c>
    </row>
    <row r="30531" spans="20:20" ht="18.75" customHeight="1" x14ac:dyDescent="0.35">
      <c r="T30531" s="246">
        <f t="shared" si="515"/>
        <v>0</v>
      </c>
    </row>
    <row r="30532" spans="20:20" ht="18.75" customHeight="1" x14ac:dyDescent="0.35">
      <c r="T30532" s="246">
        <f t="shared" si="515"/>
        <v>0</v>
      </c>
    </row>
    <row r="30533" spans="20:20" ht="18.75" customHeight="1" x14ac:dyDescent="0.35">
      <c r="T30533" s="246">
        <f t="shared" si="515"/>
        <v>0</v>
      </c>
    </row>
    <row r="30534" spans="20:20" ht="18.75" customHeight="1" x14ac:dyDescent="0.35">
      <c r="T30534" s="246">
        <f t="shared" si="515"/>
        <v>0</v>
      </c>
    </row>
    <row r="30535" spans="20:20" ht="18.75" customHeight="1" x14ac:dyDescent="0.35">
      <c r="T30535" s="246">
        <f t="shared" si="515"/>
        <v>0</v>
      </c>
    </row>
    <row r="30536" spans="20:20" ht="18.75" customHeight="1" x14ac:dyDescent="0.35">
      <c r="T30536" s="246">
        <f t="shared" si="515"/>
        <v>0</v>
      </c>
    </row>
    <row r="30537" spans="20:20" ht="18.75" customHeight="1" x14ac:dyDescent="0.35">
      <c r="T30537" s="246">
        <f t="shared" si="515"/>
        <v>0</v>
      </c>
    </row>
    <row r="30538" spans="20:20" ht="18.75" customHeight="1" x14ac:dyDescent="0.35">
      <c r="T30538" s="246">
        <f t="shared" si="515"/>
        <v>0</v>
      </c>
    </row>
    <row r="30539" spans="20:20" ht="18.75" customHeight="1" x14ac:dyDescent="0.35">
      <c r="T30539" s="246">
        <f t="shared" si="515"/>
        <v>0</v>
      </c>
    </row>
    <row r="30540" spans="20:20" ht="18.75" customHeight="1" x14ac:dyDescent="0.35">
      <c r="T30540" s="246">
        <f t="shared" si="515"/>
        <v>0</v>
      </c>
    </row>
    <row r="30541" spans="20:20" ht="18.75" customHeight="1" x14ac:dyDescent="0.35">
      <c r="T30541" s="246">
        <f t="shared" si="515"/>
        <v>0</v>
      </c>
    </row>
    <row r="30542" spans="20:20" ht="18.75" customHeight="1" x14ac:dyDescent="0.35">
      <c r="T30542" s="246">
        <f t="shared" si="515"/>
        <v>0</v>
      </c>
    </row>
    <row r="30543" spans="20:20" ht="18.75" customHeight="1" x14ac:dyDescent="0.35">
      <c r="T30543" s="246">
        <f t="shared" si="515"/>
        <v>0</v>
      </c>
    </row>
    <row r="30544" spans="20:20" ht="18.75" customHeight="1" x14ac:dyDescent="0.35">
      <c r="T30544" s="246">
        <f t="shared" si="515"/>
        <v>0</v>
      </c>
    </row>
    <row r="30545" spans="20:20" ht="18.75" customHeight="1" x14ac:dyDescent="0.35">
      <c r="T30545" s="246">
        <f t="shared" si="515"/>
        <v>0</v>
      </c>
    </row>
    <row r="30546" spans="20:20" ht="18.75" customHeight="1" x14ac:dyDescent="0.35">
      <c r="T30546" s="246">
        <f t="shared" si="515"/>
        <v>0</v>
      </c>
    </row>
    <row r="30547" spans="20:20" ht="18.75" customHeight="1" x14ac:dyDescent="0.35">
      <c r="T30547" s="246">
        <f t="shared" si="515"/>
        <v>0</v>
      </c>
    </row>
    <row r="30548" spans="20:20" ht="18.75" customHeight="1" x14ac:dyDescent="0.35">
      <c r="T30548" s="246">
        <f t="shared" si="515"/>
        <v>0</v>
      </c>
    </row>
    <row r="30549" spans="20:20" ht="18.75" customHeight="1" x14ac:dyDescent="0.35">
      <c r="T30549" s="246">
        <f t="shared" si="515"/>
        <v>0</v>
      </c>
    </row>
    <row r="30550" spans="20:20" ht="18.75" customHeight="1" x14ac:dyDescent="0.35">
      <c r="T30550" s="246">
        <f t="shared" si="515"/>
        <v>0</v>
      </c>
    </row>
    <row r="30551" spans="20:20" ht="18.75" customHeight="1" x14ac:dyDescent="0.35">
      <c r="T30551" s="246">
        <f t="shared" si="515"/>
        <v>0</v>
      </c>
    </row>
    <row r="30552" spans="20:20" ht="18.75" customHeight="1" x14ac:dyDescent="0.35">
      <c r="T30552" s="246">
        <f t="shared" si="515"/>
        <v>0</v>
      </c>
    </row>
    <row r="30553" spans="20:20" ht="18.75" customHeight="1" x14ac:dyDescent="0.35">
      <c r="T30553" s="246">
        <f t="shared" si="515"/>
        <v>0</v>
      </c>
    </row>
    <row r="30554" spans="20:20" ht="18.75" customHeight="1" x14ac:dyDescent="0.35">
      <c r="T30554" s="246">
        <f t="shared" si="515"/>
        <v>0</v>
      </c>
    </row>
    <row r="30555" spans="20:20" ht="18.75" customHeight="1" x14ac:dyDescent="0.35">
      <c r="T30555" s="246">
        <f t="shared" si="515"/>
        <v>0</v>
      </c>
    </row>
    <row r="30556" spans="20:20" ht="18.75" customHeight="1" x14ac:dyDescent="0.35">
      <c r="T30556" s="246">
        <f t="shared" si="515"/>
        <v>0</v>
      </c>
    </row>
    <row r="30557" spans="20:20" ht="18.75" customHeight="1" x14ac:dyDescent="0.35">
      <c r="T30557" s="246">
        <f t="shared" si="515"/>
        <v>0</v>
      </c>
    </row>
    <row r="30558" spans="20:20" ht="18.75" customHeight="1" x14ac:dyDescent="0.35">
      <c r="T30558" s="246">
        <f t="shared" si="515"/>
        <v>0</v>
      </c>
    </row>
    <row r="30559" spans="20:20" ht="18.75" customHeight="1" x14ac:dyDescent="0.35">
      <c r="T30559" s="246">
        <f t="shared" si="515"/>
        <v>0</v>
      </c>
    </row>
    <row r="30560" spans="20:20" ht="18.75" customHeight="1" x14ac:dyDescent="0.35">
      <c r="T30560" s="246">
        <f t="shared" si="515"/>
        <v>0</v>
      </c>
    </row>
    <row r="30561" spans="20:20" ht="18.75" customHeight="1" x14ac:dyDescent="0.35">
      <c r="T30561" s="246">
        <f t="shared" si="515"/>
        <v>0</v>
      </c>
    </row>
    <row r="30562" spans="20:20" ht="18.75" customHeight="1" x14ac:dyDescent="0.35">
      <c r="T30562" s="246">
        <f t="shared" si="515"/>
        <v>0</v>
      </c>
    </row>
    <row r="30563" spans="20:20" ht="18.75" customHeight="1" x14ac:dyDescent="0.35">
      <c r="T30563" s="246">
        <f t="shared" si="515"/>
        <v>0</v>
      </c>
    </row>
    <row r="30564" spans="20:20" ht="18.75" customHeight="1" x14ac:dyDescent="0.35">
      <c r="T30564" s="246">
        <f t="shared" si="515"/>
        <v>0</v>
      </c>
    </row>
    <row r="30565" spans="20:20" ht="18.75" customHeight="1" x14ac:dyDescent="0.35">
      <c r="T30565" s="246">
        <f t="shared" si="515"/>
        <v>0</v>
      </c>
    </row>
    <row r="30566" spans="20:20" ht="18.75" customHeight="1" x14ac:dyDescent="0.35">
      <c r="T30566" s="246">
        <f t="shared" si="515"/>
        <v>0</v>
      </c>
    </row>
    <row r="30567" spans="20:20" ht="18.75" customHeight="1" x14ac:dyDescent="0.35">
      <c r="T30567" s="246">
        <f t="shared" si="515"/>
        <v>0</v>
      </c>
    </row>
    <row r="30568" spans="20:20" ht="18.75" customHeight="1" x14ac:dyDescent="0.35">
      <c r="T30568" s="246">
        <f t="shared" si="515"/>
        <v>0</v>
      </c>
    </row>
    <row r="30569" spans="20:20" ht="18.75" customHeight="1" x14ac:dyDescent="0.35">
      <c r="T30569" s="246">
        <f t="shared" si="515"/>
        <v>0</v>
      </c>
    </row>
    <row r="30570" spans="20:20" ht="18.75" customHeight="1" x14ac:dyDescent="0.35">
      <c r="T30570" s="246">
        <f t="shared" si="515"/>
        <v>0</v>
      </c>
    </row>
    <row r="30571" spans="20:20" ht="18.75" customHeight="1" x14ac:dyDescent="0.35">
      <c r="T30571" s="246">
        <f t="shared" si="515"/>
        <v>0</v>
      </c>
    </row>
    <row r="30572" spans="20:20" ht="18.75" customHeight="1" x14ac:dyDescent="0.35">
      <c r="T30572" s="246">
        <f t="shared" si="515"/>
        <v>0</v>
      </c>
    </row>
    <row r="30573" spans="20:20" ht="18.75" customHeight="1" x14ac:dyDescent="0.35">
      <c r="T30573" s="246">
        <f t="shared" si="515"/>
        <v>0</v>
      </c>
    </row>
    <row r="30574" spans="20:20" ht="18.75" customHeight="1" x14ac:dyDescent="0.35">
      <c r="T30574" s="246">
        <f t="shared" si="515"/>
        <v>0</v>
      </c>
    </row>
    <row r="30575" spans="20:20" ht="18.75" customHeight="1" x14ac:dyDescent="0.35">
      <c r="T30575" s="246">
        <f t="shared" si="515"/>
        <v>0</v>
      </c>
    </row>
    <row r="30576" spans="20:20" ht="18.75" customHeight="1" x14ac:dyDescent="0.35">
      <c r="T30576" s="246">
        <f t="shared" si="515"/>
        <v>0</v>
      </c>
    </row>
    <row r="30577" spans="20:20" ht="18.75" customHeight="1" x14ac:dyDescent="0.35">
      <c r="T30577" s="246">
        <f t="shared" si="515"/>
        <v>0</v>
      </c>
    </row>
    <row r="30578" spans="20:20" ht="18.75" customHeight="1" x14ac:dyDescent="0.35">
      <c r="T30578" s="246">
        <f t="shared" si="515"/>
        <v>0</v>
      </c>
    </row>
    <row r="30579" spans="20:20" ht="18.75" customHeight="1" x14ac:dyDescent="0.35">
      <c r="T30579" s="246">
        <f t="shared" si="515"/>
        <v>0</v>
      </c>
    </row>
    <row r="30580" spans="20:20" ht="18.75" customHeight="1" x14ac:dyDescent="0.35">
      <c r="T30580" s="246">
        <f t="shared" si="515"/>
        <v>0</v>
      </c>
    </row>
    <row r="30581" spans="20:20" ht="18.75" customHeight="1" x14ac:dyDescent="0.35">
      <c r="T30581" s="246">
        <f t="shared" si="515"/>
        <v>0</v>
      </c>
    </row>
    <row r="30582" spans="20:20" ht="18.75" customHeight="1" x14ac:dyDescent="0.35">
      <c r="T30582" s="246">
        <f t="shared" si="515"/>
        <v>0</v>
      </c>
    </row>
    <row r="30583" spans="20:20" ht="18.75" customHeight="1" x14ac:dyDescent="0.35">
      <c r="T30583" s="246">
        <f t="shared" si="515"/>
        <v>0</v>
      </c>
    </row>
    <row r="30584" spans="20:20" ht="18.75" customHeight="1" x14ac:dyDescent="0.35">
      <c r="T30584" s="246">
        <f t="shared" si="515"/>
        <v>0</v>
      </c>
    </row>
    <row r="30585" spans="20:20" ht="18.75" customHeight="1" x14ac:dyDescent="0.35">
      <c r="T30585" s="246">
        <f t="shared" si="515"/>
        <v>0</v>
      </c>
    </row>
    <row r="30586" spans="20:20" ht="18.75" customHeight="1" x14ac:dyDescent="0.35">
      <c r="T30586" s="246">
        <f t="shared" si="515"/>
        <v>0</v>
      </c>
    </row>
    <row r="30587" spans="20:20" ht="18.75" customHeight="1" x14ac:dyDescent="0.35">
      <c r="T30587" s="246">
        <f t="shared" si="515"/>
        <v>0</v>
      </c>
    </row>
    <row r="30588" spans="20:20" ht="18.75" customHeight="1" x14ac:dyDescent="0.35">
      <c r="T30588" s="246">
        <f t="shared" ref="T30588:T30651" si="516">R30588*0.01</f>
        <v>0</v>
      </c>
    </row>
    <row r="30589" spans="20:20" ht="18.75" customHeight="1" x14ac:dyDescent="0.35">
      <c r="T30589" s="246">
        <f t="shared" si="516"/>
        <v>0</v>
      </c>
    </row>
    <row r="30590" spans="20:20" ht="18.75" customHeight="1" x14ac:dyDescent="0.35">
      <c r="T30590" s="246">
        <f t="shared" si="516"/>
        <v>0</v>
      </c>
    </row>
    <row r="30591" spans="20:20" ht="18.75" customHeight="1" x14ac:dyDescent="0.35">
      <c r="T30591" s="246">
        <f t="shared" si="516"/>
        <v>0</v>
      </c>
    </row>
    <row r="30592" spans="20:20" ht="18.75" customHeight="1" x14ac:dyDescent="0.35">
      <c r="T30592" s="246">
        <f t="shared" si="516"/>
        <v>0</v>
      </c>
    </row>
    <row r="30593" spans="20:20" ht="18.75" customHeight="1" x14ac:dyDescent="0.35">
      <c r="T30593" s="246">
        <f t="shared" si="516"/>
        <v>0</v>
      </c>
    </row>
    <row r="30594" spans="20:20" ht="18.75" customHeight="1" x14ac:dyDescent="0.35">
      <c r="T30594" s="246">
        <f t="shared" si="516"/>
        <v>0</v>
      </c>
    </row>
    <row r="30595" spans="20:20" ht="18.75" customHeight="1" x14ac:dyDescent="0.35">
      <c r="T30595" s="246">
        <f t="shared" si="516"/>
        <v>0</v>
      </c>
    </row>
    <row r="30596" spans="20:20" ht="18.75" customHeight="1" x14ac:dyDescent="0.35">
      <c r="T30596" s="246">
        <f t="shared" si="516"/>
        <v>0</v>
      </c>
    </row>
    <row r="30597" spans="20:20" ht="18.75" customHeight="1" x14ac:dyDescent="0.35">
      <c r="T30597" s="246">
        <f t="shared" si="516"/>
        <v>0</v>
      </c>
    </row>
    <row r="30598" spans="20:20" ht="18.75" customHeight="1" x14ac:dyDescent="0.35">
      <c r="T30598" s="246">
        <f t="shared" si="516"/>
        <v>0</v>
      </c>
    </row>
    <row r="30599" spans="20:20" ht="18.75" customHeight="1" x14ac:dyDescent="0.35">
      <c r="T30599" s="246">
        <f t="shared" si="516"/>
        <v>0</v>
      </c>
    </row>
    <row r="30600" spans="20:20" ht="18.75" customHeight="1" x14ac:dyDescent="0.35">
      <c r="T30600" s="246">
        <f t="shared" si="516"/>
        <v>0</v>
      </c>
    </row>
    <row r="30601" spans="20:20" ht="18.75" customHeight="1" x14ac:dyDescent="0.35">
      <c r="T30601" s="246">
        <f t="shared" si="516"/>
        <v>0</v>
      </c>
    </row>
    <row r="30602" spans="20:20" ht="18.75" customHeight="1" x14ac:dyDescent="0.35">
      <c r="T30602" s="246">
        <f t="shared" si="516"/>
        <v>0</v>
      </c>
    </row>
    <row r="30603" spans="20:20" ht="18.75" customHeight="1" x14ac:dyDescent="0.35">
      <c r="T30603" s="246">
        <f t="shared" si="516"/>
        <v>0</v>
      </c>
    </row>
    <row r="30604" spans="20:20" ht="18.75" customHeight="1" x14ac:dyDescent="0.35">
      <c r="T30604" s="246">
        <f t="shared" si="516"/>
        <v>0</v>
      </c>
    </row>
    <row r="30605" spans="20:20" ht="18.75" customHeight="1" x14ac:dyDescent="0.35">
      <c r="T30605" s="246">
        <f t="shared" si="516"/>
        <v>0</v>
      </c>
    </row>
    <row r="30606" spans="20:20" ht="18.75" customHeight="1" x14ac:dyDescent="0.35">
      <c r="T30606" s="246">
        <f t="shared" si="516"/>
        <v>0</v>
      </c>
    </row>
    <row r="30607" spans="20:20" ht="18.75" customHeight="1" x14ac:dyDescent="0.35">
      <c r="T30607" s="246">
        <f t="shared" si="516"/>
        <v>0</v>
      </c>
    </row>
    <row r="30608" spans="20:20" ht="18.75" customHeight="1" x14ac:dyDescent="0.35">
      <c r="T30608" s="246">
        <f t="shared" si="516"/>
        <v>0</v>
      </c>
    </row>
    <row r="30609" spans="20:20" ht="18.75" customHeight="1" x14ac:dyDescent="0.35">
      <c r="T30609" s="246">
        <f t="shared" si="516"/>
        <v>0</v>
      </c>
    </row>
    <row r="30610" spans="20:20" ht="18.75" customHeight="1" x14ac:dyDescent="0.35">
      <c r="T30610" s="246">
        <f t="shared" si="516"/>
        <v>0</v>
      </c>
    </row>
    <row r="30611" spans="20:20" ht="18.75" customHeight="1" x14ac:dyDescent="0.35">
      <c r="T30611" s="246">
        <f t="shared" si="516"/>
        <v>0</v>
      </c>
    </row>
    <row r="30612" spans="20:20" ht="18.75" customHeight="1" x14ac:dyDescent="0.35">
      <c r="T30612" s="246">
        <f t="shared" si="516"/>
        <v>0</v>
      </c>
    </row>
    <row r="30613" spans="20:20" ht="18.75" customHeight="1" x14ac:dyDescent="0.35">
      <c r="T30613" s="246">
        <f t="shared" si="516"/>
        <v>0</v>
      </c>
    </row>
    <row r="30614" spans="20:20" ht="18.75" customHeight="1" x14ac:dyDescent="0.35">
      <c r="T30614" s="246">
        <f t="shared" si="516"/>
        <v>0</v>
      </c>
    </row>
    <row r="30615" spans="20:20" ht="18.75" customHeight="1" x14ac:dyDescent="0.35">
      <c r="T30615" s="246">
        <f t="shared" si="516"/>
        <v>0</v>
      </c>
    </row>
    <row r="30616" spans="20:20" ht="18.75" customHeight="1" x14ac:dyDescent="0.35">
      <c r="T30616" s="246">
        <f t="shared" si="516"/>
        <v>0</v>
      </c>
    </row>
    <row r="30617" spans="20:20" ht="18.75" customHeight="1" x14ac:dyDescent="0.35">
      <c r="T30617" s="246">
        <f t="shared" si="516"/>
        <v>0</v>
      </c>
    </row>
    <row r="30618" spans="20:20" ht="18.75" customHeight="1" x14ac:dyDescent="0.35">
      <c r="T30618" s="246">
        <f t="shared" si="516"/>
        <v>0</v>
      </c>
    </row>
    <row r="30619" spans="20:20" ht="18.75" customHeight="1" x14ac:dyDescent="0.35">
      <c r="T30619" s="246">
        <f t="shared" si="516"/>
        <v>0</v>
      </c>
    </row>
    <row r="30620" spans="20:20" ht="18.75" customHeight="1" x14ac:dyDescent="0.35">
      <c r="T30620" s="246">
        <f t="shared" si="516"/>
        <v>0</v>
      </c>
    </row>
    <row r="30621" spans="20:20" ht="18.75" customHeight="1" x14ac:dyDescent="0.35">
      <c r="T30621" s="246">
        <f t="shared" si="516"/>
        <v>0</v>
      </c>
    </row>
    <row r="30622" spans="20:20" ht="18.75" customHeight="1" x14ac:dyDescent="0.35">
      <c r="T30622" s="246">
        <f t="shared" si="516"/>
        <v>0</v>
      </c>
    </row>
    <row r="30623" spans="20:20" ht="18.75" customHeight="1" x14ac:dyDescent="0.35">
      <c r="T30623" s="246">
        <f t="shared" si="516"/>
        <v>0</v>
      </c>
    </row>
    <row r="30624" spans="20:20" ht="18.75" customHeight="1" x14ac:dyDescent="0.35">
      <c r="T30624" s="246">
        <f t="shared" si="516"/>
        <v>0</v>
      </c>
    </row>
    <row r="30625" spans="20:20" ht="18.75" customHeight="1" x14ac:dyDescent="0.35">
      <c r="T30625" s="246">
        <f t="shared" si="516"/>
        <v>0</v>
      </c>
    </row>
    <row r="30626" spans="20:20" ht="18.75" customHeight="1" x14ac:dyDescent="0.35">
      <c r="T30626" s="246">
        <f t="shared" si="516"/>
        <v>0</v>
      </c>
    </row>
    <row r="30627" spans="20:20" ht="18.75" customHeight="1" x14ac:dyDescent="0.35">
      <c r="T30627" s="246">
        <f t="shared" si="516"/>
        <v>0</v>
      </c>
    </row>
    <row r="30628" spans="20:20" ht="18.75" customHeight="1" x14ac:dyDescent="0.35">
      <c r="T30628" s="246">
        <f t="shared" si="516"/>
        <v>0</v>
      </c>
    </row>
    <row r="30629" spans="20:20" ht="18.75" customHeight="1" x14ac:dyDescent="0.35">
      <c r="T30629" s="246">
        <f t="shared" si="516"/>
        <v>0</v>
      </c>
    </row>
    <row r="30630" spans="20:20" ht="18.75" customHeight="1" x14ac:dyDescent="0.35">
      <c r="T30630" s="246">
        <f t="shared" si="516"/>
        <v>0</v>
      </c>
    </row>
    <row r="30631" spans="20:20" ht="18.75" customHeight="1" x14ac:dyDescent="0.35">
      <c r="T30631" s="246">
        <f t="shared" si="516"/>
        <v>0</v>
      </c>
    </row>
    <row r="30632" spans="20:20" ht="18.75" customHeight="1" x14ac:dyDescent="0.35">
      <c r="T30632" s="246">
        <f t="shared" si="516"/>
        <v>0</v>
      </c>
    </row>
    <row r="30633" spans="20:20" ht="18.75" customHeight="1" x14ac:dyDescent="0.35">
      <c r="T30633" s="246">
        <f t="shared" si="516"/>
        <v>0</v>
      </c>
    </row>
    <row r="30634" spans="20:20" ht="18.75" customHeight="1" x14ac:dyDescent="0.35">
      <c r="T30634" s="246">
        <f t="shared" si="516"/>
        <v>0</v>
      </c>
    </row>
    <row r="30635" spans="20:20" ht="18.75" customHeight="1" x14ac:dyDescent="0.35">
      <c r="T30635" s="246">
        <f t="shared" si="516"/>
        <v>0</v>
      </c>
    </row>
    <row r="30636" spans="20:20" ht="18.75" customHeight="1" x14ac:dyDescent="0.35">
      <c r="T30636" s="246">
        <f t="shared" si="516"/>
        <v>0</v>
      </c>
    </row>
    <row r="30637" spans="20:20" ht="18.75" customHeight="1" x14ac:dyDescent="0.35">
      <c r="T30637" s="246">
        <f t="shared" si="516"/>
        <v>0</v>
      </c>
    </row>
    <row r="30638" spans="20:20" ht="18.75" customHeight="1" x14ac:dyDescent="0.35">
      <c r="T30638" s="246">
        <f t="shared" si="516"/>
        <v>0</v>
      </c>
    </row>
    <row r="30639" spans="20:20" ht="18.75" customHeight="1" x14ac:dyDescent="0.35">
      <c r="T30639" s="246">
        <f t="shared" si="516"/>
        <v>0</v>
      </c>
    </row>
    <row r="30640" spans="20:20" ht="18.75" customHeight="1" x14ac:dyDescent="0.35">
      <c r="T30640" s="246">
        <f t="shared" si="516"/>
        <v>0</v>
      </c>
    </row>
    <row r="30641" spans="20:20" ht="18.75" customHeight="1" x14ac:dyDescent="0.35">
      <c r="T30641" s="246">
        <f t="shared" si="516"/>
        <v>0</v>
      </c>
    </row>
    <row r="30642" spans="20:20" ht="18.75" customHeight="1" x14ac:dyDescent="0.35">
      <c r="T30642" s="246">
        <f t="shared" si="516"/>
        <v>0</v>
      </c>
    </row>
    <row r="30643" spans="20:20" ht="18.75" customHeight="1" x14ac:dyDescent="0.35">
      <c r="T30643" s="246">
        <f t="shared" si="516"/>
        <v>0</v>
      </c>
    </row>
    <row r="30644" spans="20:20" ht="18.75" customHeight="1" x14ac:dyDescent="0.35">
      <c r="T30644" s="246">
        <f t="shared" si="516"/>
        <v>0</v>
      </c>
    </row>
    <row r="30645" spans="20:20" ht="18.75" customHeight="1" x14ac:dyDescent="0.35">
      <c r="T30645" s="246">
        <f t="shared" si="516"/>
        <v>0</v>
      </c>
    </row>
    <row r="30646" spans="20:20" ht="18.75" customHeight="1" x14ac:dyDescent="0.35">
      <c r="T30646" s="246">
        <f t="shared" si="516"/>
        <v>0</v>
      </c>
    </row>
    <row r="30647" spans="20:20" ht="18.75" customHeight="1" x14ac:dyDescent="0.35">
      <c r="T30647" s="246">
        <f t="shared" si="516"/>
        <v>0</v>
      </c>
    </row>
    <row r="30648" spans="20:20" ht="18.75" customHeight="1" x14ac:dyDescent="0.35">
      <c r="T30648" s="246">
        <f t="shared" si="516"/>
        <v>0</v>
      </c>
    </row>
    <row r="30649" spans="20:20" ht="18.75" customHeight="1" x14ac:dyDescent="0.35">
      <c r="T30649" s="246">
        <f t="shared" si="516"/>
        <v>0</v>
      </c>
    </row>
    <row r="30650" spans="20:20" ht="18.75" customHeight="1" x14ac:dyDescent="0.35">
      <c r="T30650" s="246">
        <f t="shared" si="516"/>
        <v>0</v>
      </c>
    </row>
    <row r="30651" spans="20:20" ht="18.75" customHeight="1" x14ac:dyDescent="0.35">
      <c r="T30651" s="246">
        <f t="shared" si="516"/>
        <v>0</v>
      </c>
    </row>
    <row r="30652" spans="20:20" ht="18.75" customHeight="1" x14ac:dyDescent="0.35">
      <c r="T30652" s="246">
        <f t="shared" ref="T30652:T30715" si="517">R30652*0.01</f>
        <v>0</v>
      </c>
    </row>
    <row r="30653" spans="20:20" ht="18.75" customHeight="1" x14ac:dyDescent="0.35">
      <c r="T30653" s="246">
        <f t="shared" si="517"/>
        <v>0</v>
      </c>
    </row>
    <row r="30654" spans="20:20" ht="18.75" customHeight="1" x14ac:dyDescent="0.35">
      <c r="T30654" s="246">
        <f t="shared" si="517"/>
        <v>0</v>
      </c>
    </row>
    <row r="30655" spans="20:20" ht="18.75" customHeight="1" x14ac:dyDescent="0.35">
      <c r="T30655" s="246">
        <f t="shared" si="517"/>
        <v>0</v>
      </c>
    </row>
    <row r="30656" spans="20:20" ht="18.75" customHeight="1" x14ac:dyDescent="0.35">
      <c r="T30656" s="246">
        <f t="shared" si="517"/>
        <v>0</v>
      </c>
    </row>
    <row r="30657" spans="20:20" ht="18.75" customHeight="1" x14ac:dyDescent="0.35">
      <c r="T30657" s="246">
        <f t="shared" si="517"/>
        <v>0</v>
      </c>
    </row>
    <row r="30658" spans="20:20" ht="18.75" customHeight="1" x14ac:dyDescent="0.35">
      <c r="T30658" s="246">
        <f t="shared" si="517"/>
        <v>0</v>
      </c>
    </row>
    <row r="30659" spans="20:20" ht="18.75" customHeight="1" x14ac:dyDescent="0.35">
      <c r="T30659" s="246">
        <f t="shared" si="517"/>
        <v>0</v>
      </c>
    </row>
    <row r="30660" spans="20:20" ht="18.75" customHeight="1" x14ac:dyDescent="0.35">
      <c r="T30660" s="246">
        <f t="shared" si="517"/>
        <v>0</v>
      </c>
    </row>
    <row r="30661" spans="20:20" ht="18.75" customHeight="1" x14ac:dyDescent="0.35">
      <c r="T30661" s="246">
        <f t="shared" si="517"/>
        <v>0</v>
      </c>
    </row>
    <row r="30662" spans="20:20" ht="18.75" customHeight="1" x14ac:dyDescent="0.35">
      <c r="T30662" s="246">
        <f t="shared" si="517"/>
        <v>0</v>
      </c>
    </row>
    <row r="30663" spans="20:20" ht="18.75" customHeight="1" x14ac:dyDescent="0.35">
      <c r="T30663" s="246">
        <f t="shared" si="517"/>
        <v>0</v>
      </c>
    </row>
    <row r="30664" spans="20:20" ht="18.75" customHeight="1" x14ac:dyDescent="0.35">
      <c r="T30664" s="246">
        <f t="shared" si="517"/>
        <v>0</v>
      </c>
    </row>
    <row r="30665" spans="20:20" ht="18.75" customHeight="1" x14ac:dyDescent="0.35">
      <c r="T30665" s="246">
        <f t="shared" si="517"/>
        <v>0</v>
      </c>
    </row>
    <row r="30666" spans="20:20" ht="18.75" customHeight="1" x14ac:dyDescent="0.35">
      <c r="T30666" s="246">
        <f t="shared" si="517"/>
        <v>0</v>
      </c>
    </row>
    <row r="30667" spans="20:20" ht="18.75" customHeight="1" x14ac:dyDescent="0.35">
      <c r="T30667" s="246">
        <f t="shared" si="517"/>
        <v>0</v>
      </c>
    </row>
    <row r="30668" spans="20:20" ht="18.75" customHeight="1" x14ac:dyDescent="0.35">
      <c r="T30668" s="246">
        <f t="shared" si="517"/>
        <v>0</v>
      </c>
    </row>
    <row r="30669" spans="20:20" ht="18.75" customHeight="1" x14ac:dyDescent="0.35">
      <c r="T30669" s="246">
        <f t="shared" si="517"/>
        <v>0</v>
      </c>
    </row>
    <row r="30670" spans="20:20" ht="18.75" customHeight="1" x14ac:dyDescent="0.35">
      <c r="T30670" s="246">
        <f t="shared" si="517"/>
        <v>0</v>
      </c>
    </row>
    <row r="30671" spans="20:20" ht="18.75" customHeight="1" x14ac:dyDescent="0.35">
      <c r="T30671" s="246">
        <f t="shared" si="517"/>
        <v>0</v>
      </c>
    </row>
    <row r="30672" spans="20:20" ht="18.75" customHeight="1" x14ac:dyDescent="0.35">
      <c r="T30672" s="246">
        <f t="shared" si="517"/>
        <v>0</v>
      </c>
    </row>
    <row r="30673" spans="20:20" ht="18.75" customHeight="1" x14ac:dyDescent="0.35">
      <c r="T30673" s="246">
        <f t="shared" si="517"/>
        <v>0</v>
      </c>
    </row>
    <row r="30674" spans="20:20" ht="18.75" customHeight="1" x14ac:dyDescent="0.35">
      <c r="T30674" s="246">
        <f t="shared" si="517"/>
        <v>0</v>
      </c>
    </row>
    <row r="30675" spans="20:20" ht="18.75" customHeight="1" x14ac:dyDescent="0.35">
      <c r="T30675" s="246">
        <f t="shared" si="517"/>
        <v>0</v>
      </c>
    </row>
    <row r="30676" spans="20:20" ht="18.75" customHeight="1" x14ac:dyDescent="0.35">
      <c r="T30676" s="246">
        <f t="shared" si="517"/>
        <v>0</v>
      </c>
    </row>
    <row r="30677" spans="20:20" ht="18.75" customHeight="1" x14ac:dyDescent="0.35">
      <c r="T30677" s="246">
        <f t="shared" si="517"/>
        <v>0</v>
      </c>
    </row>
    <row r="30678" spans="20:20" ht="18.75" customHeight="1" x14ac:dyDescent="0.35">
      <c r="T30678" s="246">
        <f t="shared" si="517"/>
        <v>0</v>
      </c>
    </row>
    <row r="30679" spans="20:20" ht="18.75" customHeight="1" x14ac:dyDescent="0.35">
      <c r="T30679" s="246">
        <f t="shared" si="517"/>
        <v>0</v>
      </c>
    </row>
    <row r="30680" spans="20:20" ht="18.75" customHeight="1" x14ac:dyDescent="0.35">
      <c r="T30680" s="246">
        <f t="shared" si="517"/>
        <v>0</v>
      </c>
    </row>
    <row r="30681" spans="20:20" ht="18.75" customHeight="1" x14ac:dyDescent="0.35">
      <c r="T30681" s="246">
        <f t="shared" si="517"/>
        <v>0</v>
      </c>
    </row>
    <row r="30682" spans="20:20" ht="18.75" customHeight="1" x14ac:dyDescent="0.35">
      <c r="T30682" s="246">
        <f t="shared" si="517"/>
        <v>0</v>
      </c>
    </row>
    <row r="30683" spans="20:20" ht="18.75" customHeight="1" x14ac:dyDescent="0.35">
      <c r="T30683" s="246">
        <f t="shared" si="517"/>
        <v>0</v>
      </c>
    </row>
    <row r="30684" spans="20:20" ht="18.75" customHeight="1" x14ac:dyDescent="0.35">
      <c r="T30684" s="246">
        <f t="shared" si="517"/>
        <v>0</v>
      </c>
    </row>
    <row r="30685" spans="20:20" ht="18.75" customHeight="1" x14ac:dyDescent="0.35">
      <c r="T30685" s="246">
        <f t="shared" si="517"/>
        <v>0</v>
      </c>
    </row>
    <row r="30686" spans="20:20" ht="18.75" customHeight="1" x14ac:dyDescent="0.35">
      <c r="T30686" s="246">
        <f t="shared" si="517"/>
        <v>0</v>
      </c>
    </row>
    <row r="30687" spans="20:20" ht="18.75" customHeight="1" x14ac:dyDescent="0.35">
      <c r="T30687" s="246">
        <f t="shared" si="517"/>
        <v>0</v>
      </c>
    </row>
    <row r="30688" spans="20:20" ht="18.75" customHeight="1" x14ac:dyDescent="0.35">
      <c r="T30688" s="246">
        <f t="shared" si="517"/>
        <v>0</v>
      </c>
    </row>
    <row r="30689" spans="20:20" ht="18.75" customHeight="1" x14ac:dyDescent="0.35">
      <c r="T30689" s="246">
        <f t="shared" si="517"/>
        <v>0</v>
      </c>
    </row>
    <row r="30690" spans="20:20" ht="18.75" customHeight="1" x14ac:dyDescent="0.35">
      <c r="T30690" s="246">
        <f t="shared" si="517"/>
        <v>0</v>
      </c>
    </row>
    <row r="30691" spans="20:20" ht="18.75" customHeight="1" x14ac:dyDescent="0.35">
      <c r="T30691" s="246">
        <f t="shared" si="517"/>
        <v>0</v>
      </c>
    </row>
    <row r="30692" spans="20:20" ht="18.75" customHeight="1" x14ac:dyDescent="0.35">
      <c r="T30692" s="246">
        <f t="shared" si="517"/>
        <v>0</v>
      </c>
    </row>
    <row r="30693" spans="20:20" ht="18.75" customHeight="1" x14ac:dyDescent="0.35">
      <c r="T30693" s="246">
        <f t="shared" si="517"/>
        <v>0</v>
      </c>
    </row>
    <row r="30694" spans="20:20" ht="18.75" customHeight="1" x14ac:dyDescent="0.35">
      <c r="T30694" s="246">
        <f t="shared" si="517"/>
        <v>0</v>
      </c>
    </row>
    <row r="30695" spans="20:20" ht="18.75" customHeight="1" x14ac:dyDescent="0.35">
      <c r="T30695" s="246">
        <f t="shared" si="517"/>
        <v>0</v>
      </c>
    </row>
    <row r="30696" spans="20:20" ht="18.75" customHeight="1" x14ac:dyDescent="0.35">
      <c r="T30696" s="246">
        <f t="shared" si="517"/>
        <v>0</v>
      </c>
    </row>
    <row r="30697" spans="20:20" ht="18.75" customHeight="1" x14ac:dyDescent="0.35">
      <c r="T30697" s="246">
        <f t="shared" si="517"/>
        <v>0</v>
      </c>
    </row>
    <row r="30698" spans="20:20" ht="18.75" customHeight="1" x14ac:dyDescent="0.35">
      <c r="T30698" s="246">
        <f t="shared" si="517"/>
        <v>0</v>
      </c>
    </row>
    <row r="30699" spans="20:20" ht="18.75" customHeight="1" x14ac:dyDescent="0.35">
      <c r="T30699" s="246">
        <f t="shared" si="517"/>
        <v>0</v>
      </c>
    </row>
    <row r="30700" spans="20:20" ht="18.75" customHeight="1" x14ac:dyDescent="0.35">
      <c r="T30700" s="246">
        <f t="shared" si="517"/>
        <v>0</v>
      </c>
    </row>
    <row r="30701" spans="20:20" ht="18.75" customHeight="1" x14ac:dyDescent="0.35">
      <c r="T30701" s="246">
        <f t="shared" si="517"/>
        <v>0</v>
      </c>
    </row>
    <row r="30702" spans="20:20" ht="18.75" customHeight="1" x14ac:dyDescent="0.35">
      <c r="T30702" s="246">
        <f t="shared" si="517"/>
        <v>0</v>
      </c>
    </row>
    <row r="30703" spans="20:20" ht="18.75" customHeight="1" x14ac:dyDescent="0.35">
      <c r="T30703" s="246">
        <f t="shared" si="517"/>
        <v>0</v>
      </c>
    </row>
    <row r="30704" spans="20:20" ht="18.75" customHeight="1" x14ac:dyDescent="0.35">
      <c r="T30704" s="246">
        <f t="shared" si="517"/>
        <v>0</v>
      </c>
    </row>
    <row r="30705" spans="20:20" ht="18.75" customHeight="1" x14ac:dyDescent="0.35">
      <c r="T30705" s="246">
        <f t="shared" si="517"/>
        <v>0</v>
      </c>
    </row>
    <row r="30706" spans="20:20" ht="18.75" customHeight="1" x14ac:dyDescent="0.35">
      <c r="T30706" s="246">
        <f t="shared" si="517"/>
        <v>0</v>
      </c>
    </row>
    <row r="30707" spans="20:20" ht="18.75" customHeight="1" x14ac:dyDescent="0.35">
      <c r="T30707" s="246">
        <f t="shared" si="517"/>
        <v>0</v>
      </c>
    </row>
    <row r="30708" spans="20:20" ht="18.75" customHeight="1" x14ac:dyDescent="0.35">
      <c r="T30708" s="246">
        <f t="shared" si="517"/>
        <v>0</v>
      </c>
    </row>
    <row r="30709" spans="20:20" ht="18.75" customHeight="1" x14ac:dyDescent="0.35">
      <c r="T30709" s="246">
        <f t="shared" si="517"/>
        <v>0</v>
      </c>
    </row>
    <row r="30710" spans="20:20" ht="18.75" customHeight="1" x14ac:dyDescent="0.35">
      <c r="T30710" s="246">
        <f t="shared" si="517"/>
        <v>0</v>
      </c>
    </row>
    <row r="30711" spans="20:20" ht="18.75" customHeight="1" x14ac:dyDescent="0.35">
      <c r="T30711" s="246">
        <f t="shared" si="517"/>
        <v>0</v>
      </c>
    </row>
    <row r="30712" spans="20:20" ht="18.75" customHeight="1" x14ac:dyDescent="0.35">
      <c r="T30712" s="246">
        <f t="shared" si="517"/>
        <v>0</v>
      </c>
    </row>
    <row r="30713" spans="20:20" ht="18.75" customHeight="1" x14ac:dyDescent="0.35">
      <c r="T30713" s="246">
        <f t="shared" si="517"/>
        <v>0</v>
      </c>
    </row>
    <row r="30714" spans="20:20" ht="18.75" customHeight="1" x14ac:dyDescent="0.35">
      <c r="T30714" s="246">
        <f t="shared" si="517"/>
        <v>0</v>
      </c>
    </row>
    <row r="30715" spans="20:20" ht="18.75" customHeight="1" x14ac:dyDescent="0.35">
      <c r="T30715" s="246">
        <f t="shared" si="517"/>
        <v>0</v>
      </c>
    </row>
    <row r="30716" spans="20:20" ht="18.75" customHeight="1" x14ac:dyDescent="0.35">
      <c r="T30716" s="246">
        <f t="shared" ref="T30716:T30779" si="518">R30716*0.01</f>
        <v>0</v>
      </c>
    </row>
    <row r="30717" spans="20:20" ht="18.75" customHeight="1" x14ac:dyDescent="0.35">
      <c r="T30717" s="246">
        <f t="shared" si="518"/>
        <v>0</v>
      </c>
    </row>
    <row r="30718" spans="20:20" ht="18.75" customHeight="1" x14ac:dyDescent="0.35">
      <c r="T30718" s="246">
        <f t="shared" si="518"/>
        <v>0</v>
      </c>
    </row>
    <row r="30719" spans="20:20" ht="18.75" customHeight="1" x14ac:dyDescent="0.35">
      <c r="T30719" s="246">
        <f t="shared" si="518"/>
        <v>0</v>
      </c>
    </row>
    <row r="30720" spans="20:20" ht="18.75" customHeight="1" x14ac:dyDescent="0.35">
      <c r="T30720" s="246">
        <f t="shared" si="518"/>
        <v>0</v>
      </c>
    </row>
    <row r="30721" spans="20:20" ht="18.75" customHeight="1" x14ac:dyDescent="0.35">
      <c r="T30721" s="246">
        <f t="shared" si="518"/>
        <v>0</v>
      </c>
    </row>
    <row r="30722" spans="20:20" ht="18.75" customHeight="1" x14ac:dyDescent="0.35">
      <c r="T30722" s="246">
        <f t="shared" si="518"/>
        <v>0</v>
      </c>
    </row>
    <row r="30723" spans="20:20" ht="18.75" customHeight="1" x14ac:dyDescent="0.35">
      <c r="T30723" s="246">
        <f t="shared" si="518"/>
        <v>0</v>
      </c>
    </row>
    <row r="30724" spans="20:20" ht="18.75" customHeight="1" x14ac:dyDescent="0.35">
      <c r="T30724" s="246">
        <f t="shared" si="518"/>
        <v>0</v>
      </c>
    </row>
    <row r="30725" spans="20:20" ht="18.75" customHeight="1" x14ac:dyDescent="0.35">
      <c r="T30725" s="246">
        <f t="shared" si="518"/>
        <v>0</v>
      </c>
    </row>
    <row r="30726" spans="20:20" ht="18.75" customHeight="1" x14ac:dyDescent="0.35">
      <c r="T30726" s="246">
        <f t="shared" si="518"/>
        <v>0</v>
      </c>
    </row>
    <row r="30727" spans="20:20" ht="18.75" customHeight="1" x14ac:dyDescent="0.35">
      <c r="T30727" s="246">
        <f t="shared" si="518"/>
        <v>0</v>
      </c>
    </row>
    <row r="30728" spans="20:20" ht="18.75" customHeight="1" x14ac:dyDescent="0.35">
      <c r="T30728" s="246">
        <f t="shared" si="518"/>
        <v>0</v>
      </c>
    </row>
    <row r="30729" spans="20:20" ht="18.75" customHeight="1" x14ac:dyDescent="0.35">
      <c r="T30729" s="246">
        <f t="shared" si="518"/>
        <v>0</v>
      </c>
    </row>
    <row r="30730" spans="20:20" ht="18.75" customHeight="1" x14ac:dyDescent="0.35">
      <c r="T30730" s="246">
        <f t="shared" si="518"/>
        <v>0</v>
      </c>
    </row>
    <row r="30731" spans="20:20" ht="18.75" customHeight="1" x14ac:dyDescent="0.35">
      <c r="T30731" s="246">
        <f t="shared" si="518"/>
        <v>0</v>
      </c>
    </row>
    <row r="30732" spans="20:20" ht="18.75" customHeight="1" x14ac:dyDescent="0.35">
      <c r="T30732" s="246">
        <f t="shared" si="518"/>
        <v>0</v>
      </c>
    </row>
    <row r="30733" spans="20:20" ht="18.75" customHeight="1" x14ac:dyDescent="0.35">
      <c r="T30733" s="246">
        <f t="shared" si="518"/>
        <v>0</v>
      </c>
    </row>
    <row r="30734" spans="20:20" ht="18.75" customHeight="1" x14ac:dyDescent="0.35">
      <c r="T30734" s="246">
        <f t="shared" si="518"/>
        <v>0</v>
      </c>
    </row>
    <row r="30735" spans="20:20" ht="18.75" customHeight="1" x14ac:dyDescent="0.35">
      <c r="T30735" s="246">
        <f t="shared" si="518"/>
        <v>0</v>
      </c>
    </row>
    <row r="30736" spans="20:20" ht="18.75" customHeight="1" x14ac:dyDescent="0.35">
      <c r="T30736" s="246">
        <f t="shared" si="518"/>
        <v>0</v>
      </c>
    </row>
    <row r="30737" spans="20:20" ht="18.75" customHeight="1" x14ac:dyDescent="0.35">
      <c r="T30737" s="246">
        <f t="shared" si="518"/>
        <v>0</v>
      </c>
    </row>
    <row r="30738" spans="20:20" ht="18.75" customHeight="1" x14ac:dyDescent="0.35">
      <c r="T30738" s="246">
        <f t="shared" si="518"/>
        <v>0</v>
      </c>
    </row>
    <row r="30739" spans="20:20" ht="18.75" customHeight="1" x14ac:dyDescent="0.35">
      <c r="T30739" s="246">
        <f t="shared" si="518"/>
        <v>0</v>
      </c>
    </row>
    <row r="30740" spans="20:20" ht="18.75" customHeight="1" x14ac:dyDescent="0.35">
      <c r="T30740" s="246">
        <f t="shared" si="518"/>
        <v>0</v>
      </c>
    </row>
    <row r="30741" spans="20:20" ht="18.75" customHeight="1" x14ac:dyDescent="0.35">
      <c r="T30741" s="246">
        <f t="shared" si="518"/>
        <v>0</v>
      </c>
    </row>
    <row r="30742" spans="20:20" ht="18.75" customHeight="1" x14ac:dyDescent="0.35">
      <c r="T30742" s="246">
        <f t="shared" si="518"/>
        <v>0</v>
      </c>
    </row>
    <row r="30743" spans="20:20" ht="18.75" customHeight="1" x14ac:dyDescent="0.35">
      <c r="T30743" s="246">
        <f t="shared" si="518"/>
        <v>0</v>
      </c>
    </row>
    <row r="30744" spans="20:20" ht="18.75" customHeight="1" x14ac:dyDescent="0.35">
      <c r="T30744" s="246">
        <f t="shared" si="518"/>
        <v>0</v>
      </c>
    </row>
    <row r="30745" spans="20:20" ht="18.75" customHeight="1" x14ac:dyDescent="0.35">
      <c r="T30745" s="246">
        <f t="shared" si="518"/>
        <v>0</v>
      </c>
    </row>
    <row r="30746" spans="20:20" ht="18.75" customHeight="1" x14ac:dyDescent="0.35">
      <c r="T30746" s="246">
        <f t="shared" si="518"/>
        <v>0</v>
      </c>
    </row>
    <row r="30747" spans="20:20" ht="18.75" customHeight="1" x14ac:dyDescent="0.35">
      <c r="T30747" s="246">
        <f t="shared" si="518"/>
        <v>0</v>
      </c>
    </row>
    <row r="30748" spans="20:20" ht="18.75" customHeight="1" x14ac:dyDescent="0.35">
      <c r="T30748" s="246">
        <f t="shared" si="518"/>
        <v>0</v>
      </c>
    </row>
    <row r="30749" spans="20:20" ht="18.75" customHeight="1" x14ac:dyDescent="0.35">
      <c r="T30749" s="246">
        <f t="shared" si="518"/>
        <v>0</v>
      </c>
    </row>
    <row r="30750" spans="20:20" ht="18.75" customHeight="1" x14ac:dyDescent="0.35">
      <c r="T30750" s="246">
        <f t="shared" si="518"/>
        <v>0</v>
      </c>
    </row>
    <row r="30751" spans="20:20" ht="18.75" customHeight="1" x14ac:dyDescent="0.35">
      <c r="T30751" s="246">
        <f t="shared" si="518"/>
        <v>0</v>
      </c>
    </row>
    <row r="30752" spans="20:20" ht="18.75" customHeight="1" x14ac:dyDescent="0.35">
      <c r="T30752" s="246">
        <f t="shared" si="518"/>
        <v>0</v>
      </c>
    </row>
    <row r="30753" spans="20:20" ht="18.75" customHeight="1" x14ac:dyDescent="0.35">
      <c r="T30753" s="246">
        <f t="shared" si="518"/>
        <v>0</v>
      </c>
    </row>
    <row r="30754" spans="20:20" ht="18.75" customHeight="1" x14ac:dyDescent="0.35">
      <c r="T30754" s="246">
        <f t="shared" si="518"/>
        <v>0</v>
      </c>
    </row>
    <row r="30755" spans="20:20" ht="18.75" customHeight="1" x14ac:dyDescent="0.35">
      <c r="T30755" s="246">
        <f t="shared" si="518"/>
        <v>0</v>
      </c>
    </row>
    <row r="30756" spans="20:20" ht="18.75" customHeight="1" x14ac:dyDescent="0.35">
      <c r="T30756" s="246">
        <f t="shared" si="518"/>
        <v>0</v>
      </c>
    </row>
    <row r="30757" spans="20:20" ht="18.75" customHeight="1" x14ac:dyDescent="0.35">
      <c r="T30757" s="246">
        <f t="shared" si="518"/>
        <v>0</v>
      </c>
    </row>
    <row r="30758" spans="20:20" ht="18.75" customHeight="1" x14ac:dyDescent="0.35">
      <c r="T30758" s="246">
        <f t="shared" si="518"/>
        <v>0</v>
      </c>
    </row>
    <row r="30759" spans="20:20" ht="18.75" customHeight="1" x14ac:dyDescent="0.35">
      <c r="T30759" s="246">
        <f t="shared" si="518"/>
        <v>0</v>
      </c>
    </row>
    <row r="30760" spans="20:20" ht="18.75" customHeight="1" x14ac:dyDescent="0.35">
      <c r="T30760" s="246">
        <f t="shared" si="518"/>
        <v>0</v>
      </c>
    </row>
    <row r="30761" spans="20:20" ht="18.75" customHeight="1" x14ac:dyDescent="0.35">
      <c r="T30761" s="246">
        <f t="shared" si="518"/>
        <v>0</v>
      </c>
    </row>
    <row r="30762" spans="20:20" ht="18.75" customHeight="1" x14ac:dyDescent="0.35">
      <c r="T30762" s="246">
        <f t="shared" si="518"/>
        <v>0</v>
      </c>
    </row>
    <row r="30763" spans="20:20" ht="18.75" customHeight="1" x14ac:dyDescent="0.35">
      <c r="T30763" s="246">
        <f t="shared" si="518"/>
        <v>0</v>
      </c>
    </row>
    <row r="30764" spans="20:20" ht="18.75" customHeight="1" x14ac:dyDescent="0.35">
      <c r="T30764" s="246">
        <f t="shared" si="518"/>
        <v>0</v>
      </c>
    </row>
    <row r="30765" spans="20:20" ht="18.75" customHeight="1" x14ac:dyDescent="0.35">
      <c r="T30765" s="246">
        <f t="shared" si="518"/>
        <v>0</v>
      </c>
    </row>
    <row r="30766" spans="20:20" ht="18.75" customHeight="1" x14ac:dyDescent="0.35">
      <c r="T30766" s="246">
        <f t="shared" si="518"/>
        <v>0</v>
      </c>
    </row>
    <row r="30767" spans="20:20" ht="18.75" customHeight="1" x14ac:dyDescent="0.35">
      <c r="T30767" s="246">
        <f t="shared" si="518"/>
        <v>0</v>
      </c>
    </row>
    <row r="30768" spans="20:20" ht="18.75" customHeight="1" x14ac:dyDescent="0.35">
      <c r="T30768" s="246">
        <f t="shared" si="518"/>
        <v>0</v>
      </c>
    </row>
    <row r="30769" spans="20:20" ht="18.75" customHeight="1" x14ac:dyDescent="0.35">
      <c r="T30769" s="246">
        <f t="shared" si="518"/>
        <v>0</v>
      </c>
    </row>
    <row r="30770" spans="20:20" ht="18.75" customHeight="1" x14ac:dyDescent="0.35">
      <c r="T30770" s="246">
        <f t="shared" si="518"/>
        <v>0</v>
      </c>
    </row>
    <row r="30771" spans="20:20" ht="18.75" customHeight="1" x14ac:dyDescent="0.35">
      <c r="T30771" s="246">
        <f t="shared" si="518"/>
        <v>0</v>
      </c>
    </row>
    <row r="30772" spans="20:20" ht="18.75" customHeight="1" x14ac:dyDescent="0.35">
      <c r="T30772" s="246">
        <f t="shared" si="518"/>
        <v>0</v>
      </c>
    </row>
    <row r="30773" spans="20:20" ht="18.75" customHeight="1" x14ac:dyDescent="0.35">
      <c r="T30773" s="246">
        <f t="shared" si="518"/>
        <v>0</v>
      </c>
    </row>
    <row r="30774" spans="20:20" ht="18.75" customHeight="1" x14ac:dyDescent="0.35">
      <c r="T30774" s="246">
        <f t="shared" si="518"/>
        <v>0</v>
      </c>
    </row>
    <row r="30775" spans="20:20" ht="18.75" customHeight="1" x14ac:dyDescent="0.35">
      <c r="T30775" s="246">
        <f t="shared" si="518"/>
        <v>0</v>
      </c>
    </row>
    <row r="30776" spans="20:20" ht="18.75" customHeight="1" x14ac:dyDescent="0.35">
      <c r="T30776" s="246">
        <f t="shared" si="518"/>
        <v>0</v>
      </c>
    </row>
    <row r="30777" spans="20:20" ht="18.75" customHeight="1" x14ac:dyDescent="0.35">
      <c r="T30777" s="246">
        <f t="shared" si="518"/>
        <v>0</v>
      </c>
    </row>
    <row r="30778" spans="20:20" ht="18.75" customHeight="1" x14ac:dyDescent="0.35">
      <c r="T30778" s="246">
        <f t="shared" si="518"/>
        <v>0</v>
      </c>
    </row>
    <row r="30779" spans="20:20" ht="18.75" customHeight="1" x14ac:dyDescent="0.35">
      <c r="T30779" s="246">
        <f t="shared" si="518"/>
        <v>0</v>
      </c>
    </row>
    <row r="30780" spans="20:20" ht="18.75" customHeight="1" x14ac:dyDescent="0.35">
      <c r="T30780" s="246">
        <f t="shared" ref="T30780:T30843" si="519">R30780*0.01</f>
        <v>0</v>
      </c>
    </row>
    <row r="30781" spans="20:20" ht="18.75" customHeight="1" x14ac:dyDescent="0.35">
      <c r="T30781" s="246">
        <f t="shared" si="519"/>
        <v>0</v>
      </c>
    </row>
    <row r="30782" spans="20:20" ht="18.75" customHeight="1" x14ac:dyDescent="0.35">
      <c r="T30782" s="246">
        <f t="shared" si="519"/>
        <v>0</v>
      </c>
    </row>
    <row r="30783" spans="20:20" ht="18.75" customHeight="1" x14ac:dyDescent="0.35">
      <c r="T30783" s="246">
        <f t="shared" si="519"/>
        <v>0</v>
      </c>
    </row>
    <row r="30784" spans="20:20" ht="18.75" customHeight="1" x14ac:dyDescent="0.35">
      <c r="T30784" s="246">
        <f t="shared" si="519"/>
        <v>0</v>
      </c>
    </row>
    <row r="30785" spans="20:20" ht="18.75" customHeight="1" x14ac:dyDescent="0.35">
      <c r="T30785" s="246">
        <f t="shared" si="519"/>
        <v>0</v>
      </c>
    </row>
    <row r="30786" spans="20:20" ht="18.75" customHeight="1" x14ac:dyDescent="0.35">
      <c r="T30786" s="246">
        <f t="shared" si="519"/>
        <v>0</v>
      </c>
    </row>
    <row r="30787" spans="20:20" ht="18.75" customHeight="1" x14ac:dyDescent="0.35">
      <c r="T30787" s="246">
        <f t="shared" si="519"/>
        <v>0</v>
      </c>
    </row>
    <row r="30788" spans="20:20" ht="18.75" customHeight="1" x14ac:dyDescent="0.35">
      <c r="T30788" s="246">
        <f t="shared" si="519"/>
        <v>0</v>
      </c>
    </row>
    <row r="30789" spans="20:20" ht="18.75" customHeight="1" x14ac:dyDescent="0.35">
      <c r="T30789" s="246">
        <f t="shared" si="519"/>
        <v>0</v>
      </c>
    </row>
    <row r="30790" spans="20:20" ht="18.75" customHeight="1" x14ac:dyDescent="0.35">
      <c r="T30790" s="246">
        <f t="shared" si="519"/>
        <v>0</v>
      </c>
    </row>
    <row r="30791" spans="20:20" ht="18.75" customHeight="1" x14ac:dyDescent="0.35">
      <c r="T30791" s="246">
        <f t="shared" si="519"/>
        <v>0</v>
      </c>
    </row>
    <row r="30792" spans="20:20" ht="18.75" customHeight="1" x14ac:dyDescent="0.35">
      <c r="T30792" s="246">
        <f t="shared" si="519"/>
        <v>0</v>
      </c>
    </row>
    <row r="30793" spans="20:20" ht="18.75" customHeight="1" x14ac:dyDescent="0.35">
      <c r="T30793" s="246">
        <f t="shared" si="519"/>
        <v>0</v>
      </c>
    </row>
    <row r="30794" spans="20:20" ht="18.75" customHeight="1" x14ac:dyDescent="0.35">
      <c r="T30794" s="246">
        <f t="shared" si="519"/>
        <v>0</v>
      </c>
    </row>
    <row r="30795" spans="20:20" ht="18.75" customHeight="1" x14ac:dyDescent="0.35">
      <c r="T30795" s="246">
        <f t="shared" si="519"/>
        <v>0</v>
      </c>
    </row>
    <row r="30796" spans="20:20" ht="18.75" customHeight="1" x14ac:dyDescent="0.35">
      <c r="T30796" s="246">
        <f t="shared" si="519"/>
        <v>0</v>
      </c>
    </row>
    <row r="30797" spans="20:20" ht="18.75" customHeight="1" x14ac:dyDescent="0.35">
      <c r="T30797" s="246">
        <f t="shared" si="519"/>
        <v>0</v>
      </c>
    </row>
    <row r="30798" spans="20:20" ht="18.75" customHeight="1" x14ac:dyDescent="0.35">
      <c r="T30798" s="246">
        <f t="shared" si="519"/>
        <v>0</v>
      </c>
    </row>
    <row r="30799" spans="20:20" ht="18.75" customHeight="1" x14ac:dyDescent="0.35">
      <c r="T30799" s="246">
        <f t="shared" si="519"/>
        <v>0</v>
      </c>
    </row>
    <row r="30800" spans="20:20" ht="18.75" customHeight="1" x14ac:dyDescent="0.35">
      <c r="T30800" s="246">
        <f t="shared" si="519"/>
        <v>0</v>
      </c>
    </row>
    <row r="30801" spans="20:20" ht="18.75" customHeight="1" x14ac:dyDescent="0.35">
      <c r="T30801" s="246">
        <f t="shared" si="519"/>
        <v>0</v>
      </c>
    </row>
    <row r="30802" spans="20:20" ht="18.75" customHeight="1" x14ac:dyDescent="0.35">
      <c r="T30802" s="246">
        <f t="shared" si="519"/>
        <v>0</v>
      </c>
    </row>
    <row r="30803" spans="20:20" ht="18.75" customHeight="1" x14ac:dyDescent="0.35">
      <c r="T30803" s="246">
        <f t="shared" si="519"/>
        <v>0</v>
      </c>
    </row>
    <row r="30804" spans="20:20" ht="18.75" customHeight="1" x14ac:dyDescent="0.35">
      <c r="T30804" s="246">
        <f t="shared" si="519"/>
        <v>0</v>
      </c>
    </row>
    <row r="30805" spans="20:20" ht="18.75" customHeight="1" x14ac:dyDescent="0.35">
      <c r="T30805" s="246">
        <f t="shared" si="519"/>
        <v>0</v>
      </c>
    </row>
    <row r="30806" spans="20:20" ht="18.75" customHeight="1" x14ac:dyDescent="0.35">
      <c r="T30806" s="246">
        <f t="shared" si="519"/>
        <v>0</v>
      </c>
    </row>
    <row r="30807" spans="20:20" ht="18.75" customHeight="1" x14ac:dyDescent="0.35">
      <c r="T30807" s="246">
        <f t="shared" si="519"/>
        <v>0</v>
      </c>
    </row>
    <row r="30808" spans="20:20" ht="18.75" customHeight="1" x14ac:dyDescent="0.35">
      <c r="T30808" s="246">
        <f t="shared" si="519"/>
        <v>0</v>
      </c>
    </row>
    <row r="30809" spans="20:20" ht="18.75" customHeight="1" x14ac:dyDescent="0.35">
      <c r="T30809" s="246">
        <f t="shared" si="519"/>
        <v>0</v>
      </c>
    </row>
    <row r="30810" spans="20:20" ht="18.75" customHeight="1" x14ac:dyDescent="0.35">
      <c r="T30810" s="246">
        <f t="shared" si="519"/>
        <v>0</v>
      </c>
    </row>
    <row r="30811" spans="20:20" ht="18.75" customHeight="1" x14ac:dyDescent="0.35">
      <c r="T30811" s="246">
        <f t="shared" si="519"/>
        <v>0</v>
      </c>
    </row>
    <row r="30812" spans="20:20" ht="18.75" customHeight="1" x14ac:dyDescent="0.35">
      <c r="T30812" s="246">
        <f t="shared" si="519"/>
        <v>0</v>
      </c>
    </row>
    <row r="30813" spans="20:20" ht="18.75" customHeight="1" x14ac:dyDescent="0.35">
      <c r="T30813" s="246">
        <f t="shared" si="519"/>
        <v>0</v>
      </c>
    </row>
    <row r="30814" spans="20:20" ht="18.75" customHeight="1" x14ac:dyDescent="0.35">
      <c r="T30814" s="246">
        <f t="shared" si="519"/>
        <v>0</v>
      </c>
    </row>
    <row r="30815" spans="20:20" ht="18.75" customHeight="1" x14ac:dyDescent="0.35">
      <c r="T30815" s="246">
        <f t="shared" si="519"/>
        <v>0</v>
      </c>
    </row>
    <row r="30816" spans="20:20" ht="18.75" customHeight="1" x14ac:dyDescent="0.35">
      <c r="T30816" s="246">
        <f t="shared" si="519"/>
        <v>0</v>
      </c>
    </row>
    <row r="30817" spans="20:20" ht="18.75" customHeight="1" x14ac:dyDescent="0.35">
      <c r="T30817" s="246">
        <f t="shared" si="519"/>
        <v>0</v>
      </c>
    </row>
    <row r="30818" spans="20:20" ht="18.75" customHeight="1" x14ac:dyDescent="0.35">
      <c r="T30818" s="246">
        <f t="shared" si="519"/>
        <v>0</v>
      </c>
    </row>
    <row r="30819" spans="20:20" ht="18.75" customHeight="1" x14ac:dyDescent="0.35">
      <c r="T30819" s="246">
        <f t="shared" si="519"/>
        <v>0</v>
      </c>
    </row>
    <row r="30820" spans="20:20" ht="18.75" customHeight="1" x14ac:dyDescent="0.35">
      <c r="T30820" s="246">
        <f t="shared" si="519"/>
        <v>0</v>
      </c>
    </row>
    <row r="30821" spans="20:20" ht="18.75" customHeight="1" x14ac:dyDescent="0.35">
      <c r="T30821" s="246">
        <f t="shared" si="519"/>
        <v>0</v>
      </c>
    </row>
    <row r="30822" spans="20:20" ht="18.75" customHeight="1" x14ac:dyDescent="0.35">
      <c r="T30822" s="246">
        <f t="shared" si="519"/>
        <v>0</v>
      </c>
    </row>
    <row r="30823" spans="20:20" ht="18.75" customHeight="1" x14ac:dyDescent="0.35">
      <c r="T30823" s="246">
        <f t="shared" si="519"/>
        <v>0</v>
      </c>
    </row>
    <row r="30824" spans="20:20" ht="18.75" customHeight="1" x14ac:dyDescent="0.35">
      <c r="T30824" s="246">
        <f t="shared" si="519"/>
        <v>0</v>
      </c>
    </row>
    <row r="30825" spans="20:20" ht="18.75" customHeight="1" x14ac:dyDescent="0.35">
      <c r="T30825" s="246">
        <f t="shared" si="519"/>
        <v>0</v>
      </c>
    </row>
    <row r="30826" spans="20:20" ht="18.75" customHeight="1" x14ac:dyDescent="0.35">
      <c r="T30826" s="246">
        <f t="shared" si="519"/>
        <v>0</v>
      </c>
    </row>
    <row r="30827" spans="20:20" ht="18.75" customHeight="1" x14ac:dyDescent="0.35">
      <c r="T30827" s="246">
        <f t="shared" si="519"/>
        <v>0</v>
      </c>
    </row>
    <row r="30828" spans="20:20" ht="18.75" customHeight="1" x14ac:dyDescent="0.35">
      <c r="T30828" s="246">
        <f t="shared" si="519"/>
        <v>0</v>
      </c>
    </row>
    <row r="30829" spans="20:20" ht="18.75" customHeight="1" x14ac:dyDescent="0.35">
      <c r="T30829" s="246">
        <f t="shared" si="519"/>
        <v>0</v>
      </c>
    </row>
    <row r="30830" spans="20:20" ht="18.75" customHeight="1" x14ac:dyDescent="0.35">
      <c r="T30830" s="246">
        <f t="shared" si="519"/>
        <v>0</v>
      </c>
    </row>
    <row r="30831" spans="20:20" ht="18.75" customHeight="1" x14ac:dyDescent="0.35">
      <c r="T30831" s="246">
        <f t="shared" si="519"/>
        <v>0</v>
      </c>
    </row>
    <row r="30832" spans="20:20" ht="18.75" customHeight="1" x14ac:dyDescent="0.35">
      <c r="T30832" s="246">
        <f t="shared" si="519"/>
        <v>0</v>
      </c>
    </row>
    <row r="30833" spans="20:20" ht="18.75" customHeight="1" x14ac:dyDescent="0.35">
      <c r="T30833" s="246">
        <f t="shared" si="519"/>
        <v>0</v>
      </c>
    </row>
    <row r="30834" spans="20:20" ht="18.75" customHeight="1" x14ac:dyDescent="0.35">
      <c r="T30834" s="246">
        <f t="shared" si="519"/>
        <v>0</v>
      </c>
    </row>
    <row r="30835" spans="20:20" ht="18.75" customHeight="1" x14ac:dyDescent="0.35">
      <c r="T30835" s="246">
        <f t="shared" si="519"/>
        <v>0</v>
      </c>
    </row>
    <row r="30836" spans="20:20" ht="18.75" customHeight="1" x14ac:dyDescent="0.35">
      <c r="T30836" s="246">
        <f t="shared" si="519"/>
        <v>0</v>
      </c>
    </row>
    <row r="30837" spans="20:20" ht="18.75" customHeight="1" x14ac:dyDescent="0.35">
      <c r="T30837" s="246">
        <f t="shared" si="519"/>
        <v>0</v>
      </c>
    </row>
    <row r="30838" spans="20:20" ht="18.75" customHeight="1" x14ac:dyDescent="0.35">
      <c r="T30838" s="246">
        <f t="shared" si="519"/>
        <v>0</v>
      </c>
    </row>
    <row r="30839" spans="20:20" ht="18.75" customHeight="1" x14ac:dyDescent="0.35">
      <c r="T30839" s="246">
        <f t="shared" si="519"/>
        <v>0</v>
      </c>
    </row>
    <row r="30840" spans="20:20" ht="18.75" customHeight="1" x14ac:dyDescent="0.35">
      <c r="T30840" s="246">
        <f t="shared" si="519"/>
        <v>0</v>
      </c>
    </row>
    <row r="30841" spans="20:20" ht="18.75" customHeight="1" x14ac:dyDescent="0.35">
      <c r="T30841" s="246">
        <f t="shared" si="519"/>
        <v>0</v>
      </c>
    </row>
    <row r="30842" spans="20:20" ht="18.75" customHeight="1" x14ac:dyDescent="0.35">
      <c r="T30842" s="246">
        <f t="shared" si="519"/>
        <v>0</v>
      </c>
    </row>
    <row r="30843" spans="20:20" ht="18.75" customHeight="1" x14ac:dyDescent="0.35">
      <c r="T30843" s="246">
        <f t="shared" si="519"/>
        <v>0</v>
      </c>
    </row>
    <row r="30844" spans="20:20" ht="18.75" customHeight="1" x14ac:dyDescent="0.35">
      <c r="T30844" s="246">
        <f t="shared" ref="T30844:T30907" si="520">R30844*0.01</f>
        <v>0</v>
      </c>
    </row>
    <row r="30845" spans="20:20" ht="18.75" customHeight="1" x14ac:dyDescent="0.35">
      <c r="T30845" s="246">
        <f t="shared" si="520"/>
        <v>0</v>
      </c>
    </row>
    <row r="30846" spans="20:20" ht="18.75" customHeight="1" x14ac:dyDescent="0.35">
      <c r="T30846" s="246">
        <f t="shared" si="520"/>
        <v>0</v>
      </c>
    </row>
    <row r="30847" spans="20:20" ht="18.75" customHeight="1" x14ac:dyDescent="0.35">
      <c r="T30847" s="246">
        <f t="shared" si="520"/>
        <v>0</v>
      </c>
    </row>
    <row r="30848" spans="20:20" ht="18.75" customHeight="1" x14ac:dyDescent="0.35">
      <c r="T30848" s="246">
        <f t="shared" si="520"/>
        <v>0</v>
      </c>
    </row>
    <row r="30849" spans="20:20" ht="18.75" customHeight="1" x14ac:dyDescent="0.35">
      <c r="T30849" s="246">
        <f t="shared" si="520"/>
        <v>0</v>
      </c>
    </row>
    <row r="30850" spans="20:20" ht="18.75" customHeight="1" x14ac:dyDescent="0.35">
      <c r="T30850" s="246">
        <f t="shared" si="520"/>
        <v>0</v>
      </c>
    </row>
    <row r="30851" spans="20:20" ht="18.75" customHeight="1" x14ac:dyDescent="0.35">
      <c r="T30851" s="246">
        <f t="shared" si="520"/>
        <v>0</v>
      </c>
    </row>
    <row r="30852" spans="20:20" ht="18.75" customHeight="1" x14ac:dyDescent="0.35">
      <c r="T30852" s="246">
        <f t="shared" si="520"/>
        <v>0</v>
      </c>
    </row>
    <row r="30853" spans="20:20" ht="18.75" customHeight="1" x14ac:dyDescent="0.35">
      <c r="T30853" s="246">
        <f t="shared" si="520"/>
        <v>0</v>
      </c>
    </row>
    <row r="30854" spans="20:20" ht="18.75" customHeight="1" x14ac:dyDescent="0.35">
      <c r="T30854" s="246">
        <f t="shared" si="520"/>
        <v>0</v>
      </c>
    </row>
    <row r="30855" spans="20:20" ht="18.75" customHeight="1" x14ac:dyDescent="0.35">
      <c r="T30855" s="246">
        <f t="shared" si="520"/>
        <v>0</v>
      </c>
    </row>
    <row r="30856" spans="20:20" ht="18.75" customHeight="1" x14ac:dyDescent="0.35">
      <c r="T30856" s="246">
        <f t="shared" si="520"/>
        <v>0</v>
      </c>
    </row>
    <row r="30857" spans="20:20" ht="18.75" customHeight="1" x14ac:dyDescent="0.35">
      <c r="T30857" s="246">
        <f t="shared" si="520"/>
        <v>0</v>
      </c>
    </row>
    <row r="30858" spans="20:20" ht="18.75" customHeight="1" x14ac:dyDescent="0.35">
      <c r="T30858" s="246">
        <f t="shared" si="520"/>
        <v>0</v>
      </c>
    </row>
    <row r="30859" spans="20:20" ht="18.75" customHeight="1" x14ac:dyDescent="0.35">
      <c r="T30859" s="246">
        <f t="shared" si="520"/>
        <v>0</v>
      </c>
    </row>
    <row r="30860" spans="20:20" ht="18.75" customHeight="1" x14ac:dyDescent="0.35">
      <c r="T30860" s="246">
        <f t="shared" si="520"/>
        <v>0</v>
      </c>
    </row>
    <row r="30861" spans="20:20" ht="18.75" customHeight="1" x14ac:dyDescent="0.35">
      <c r="T30861" s="246">
        <f t="shared" si="520"/>
        <v>0</v>
      </c>
    </row>
    <row r="30862" spans="20:20" ht="18.75" customHeight="1" x14ac:dyDescent="0.35">
      <c r="T30862" s="246">
        <f t="shared" si="520"/>
        <v>0</v>
      </c>
    </row>
    <row r="30863" spans="20:20" ht="18.75" customHeight="1" x14ac:dyDescent="0.35">
      <c r="T30863" s="246">
        <f t="shared" si="520"/>
        <v>0</v>
      </c>
    </row>
    <row r="30864" spans="20:20" ht="18.75" customHeight="1" x14ac:dyDescent="0.35">
      <c r="T30864" s="246">
        <f t="shared" si="520"/>
        <v>0</v>
      </c>
    </row>
    <row r="30865" spans="20:20" ht="18.75" customHeight="1" x14ac:dyDescent="0.35">
      <c r="T30865" s="246">
        <f t="shared" si="520"/>
        <v>0</v>
      </c>
    </row>
    <row r="30866" spans="20:20" ht="18.75" customHeight="1" x14ac:dyDescent="0.35">
      <c r="T30866" s="246">
        <f t="shared" si="520"/>
        <v>0</v>
      </c>
    </row>
    <row r="30867" spans="20:20" ht="18.75" customHeight="1" x14ac:dyDescent="0.35">
      <c r="T30867" s="246">
        <f t="shared" si="520"/>
        <v>0</v>
      </c>
    </row>
    <row r="30868" spans="20:20" ht="18.75" customHeight="1" x14ac:dyDescent="0.35">
      <c r="T30868" s="246">
        <f t="shared" si="520"/>
        <v>0</v>
      </c>
    </row>
    <row r="30869" spans="20:20" ht="18.75" customHeight="1" x14ac:dyDescent="0.35">
      <c r="T30869" s="246">
        <f t="shared" si="520"/>
        <v>0</v>
      </c>
    </row>
    <row r="30870" spans="20:20" ht="18.75" customHeight="1" x14ac:dyDescent="0.35">
      <c r="T30870" s="246">
        <f t="shared" si="520"/>
        <v>0</v>
      </c>
    </row>
    <row r="30871" spans="20:20" ht="18.75" customHeight="1" x14ac:dyDescent="0.35">
      <c r="T30871" s="246">
        <f t="shared" si="520"/>
        <v>0</v>
      </c>
    </row>
    <row r="30872" spans="20:20" ht="18.75" customHeight="1" x14ac:dyDescent="0.35">
      <c r="T30872" s="246">
        <f t="shared" si="520"/>
        <v>0</v>
      </c>
    </row>
    <row r="30873" spans="20:20" ht="18.75" customHeight="1" x14ac:dyDescent="0.35">
      <c r="T30873" s="246">
        <f t="shared" si="520"/>
        <v>0</v>
      </c>
    </row>
    <row r="30874" spans="20:20" ht="18.75" customHeight="1" x14ac:dyDescent="0.35">
      <c r="T30874" s="246">
        <f t="shared" si="520"/>
        <v>0</v>
      </c>
    </row>
    <row r="30875" spans="20:20" ht="18.75" customHeight="1" x14ac:dyDescent="0.35">
      <c r="T30875" s="246">
        <f t="shared" si="520"/>
        <v>0</v>
      </c>
    </row>
    <row r="30876" spans="20:20" ht="18.75" customHeight="1" x14ac:dyDescent="0.35">
      <c r="T30876" s="246">
        <f t="shared" si="520"/>
        <v>0</v>
      </c>
    </row>
    <row r="30877" spans="20:20" ht="18.75" customHeight="1" x14ac:dyDescent="0.35">
      <c r="T30877" s="246">
        <f t="shared" si="520"/>
        <v>0</v>
      </c>
    </row>
    <row r="30878" spans="20:20" ht="18.75" customHeight="1" x14ac:dyDescent="0.35">
      <c r="T30878" s="246">
        <f t="shared" si="520"/>
        <v>0</v>
      </c>
    </row>
    <row r="30879" spans="20:20" ht="18.75" customHeight="1" x14ac:dyDescent="0.35">
      <c r="T30879" s="246">
        <f t="shared" si="520"/>
        <v>0</v>
      </c>
    </row>
    <row r="30880" spans="20:20" ht="18.75" customHeight="1" x14ac:dyDescent="0.35">
      <c r="T30880" s="246">
        <f t="shared" si="520"/>
        <v>0</v>
      </c>
    </row>
    <row r="30881" spans="20:20" ht="18.75" customHeight="1" x14ac:dyDescent="0.35">
      <c r="T30881" s="246">
        <f t="shared" si="520"/>
        <v>0</v>
      </c>
    </row>
    <row r="30882" spans="20:20" ht="18.75" customHeight="1" x14ac:dyDescent="0.35">
      <c r="T30882" s="246">
        <f t="shared" si="520"/>
        <v>0</v>
      </c>
    </row>
    <row r="30883" spans="20:20" ht="18.75" customHeight="1" x14ac:dyDescent="0.35">
      <c r="T30883" s="246">
        <f t="shared" si="520"/>
        <v>0</v>
      </c>
    </row>
    <row r="30884" spans="20:20" ht="18.75" customHeight="1" x14ac:dyDescent="0.35">
      <c r="T30884" s="246">
        <f t="shared" si="520"/>
        <v>0</v>
      </c>
    </row>
    <row r="30885" spans="20:20" ht="18.75" customHeight="1" x14ac:dyDescent="0.35">
      <c r="T30885" s="246">
        <f t="shared" si="520"/>
        <v>0</v>
      </c>
    </row>
    <row r="30886" spans="20:20" ht="18.75" customHeight="1" x14ac:dyDescent="0.35">
      <c r="T30886" s="246">
        <f t="shared" si="520"/>
        <v>0</v>
      </c>
    </row>
    <row r="30887" spans="20:20" ht="18.75" customHeight="1" x14ac:dyDescent="0.35">
      <c r="T30887" s="246">
        <f t="shared" si="520"/>
        <v>0</v>
      </c>
    </row>
    <row r="30888" spans="20:20" ht="18.75" customHeight="1" x14ac:dyDescent="0.35">
      <c r="T30888" s="246">
        <f t="shared" si="520"/>
        <v>0</v>
      </c>
    </row>
    <row r="30889" spans="20:20" ht="18.75" customHeight="1" x14ac:dyDescent="0.35">
      <c r="T30889" s="246">
        <f t="shared" si="520"/>
        <v>0</v>
      </c>
    </row>
    <row r="30890" spans="20:20" ht="18.75" customHeight="1" x14ac:dyDescent="0.35">
      <c r="T30890" s="246">
        <f t="shared" si="520"/>
        <v>0</v>
      </c>
    </row>
    <row r="30891" spans="20:20" ht="18.75" customHeight="1" x14ac:dyDescent="0.35">
      <c r="T30891" s="246">
        <f t="shared" si="520"/>
        <v>0</v>
      </c>
    </row>
    <row r="30892" spans="20:20" ht="18.75" customHeight="1" x14ac:dyDescent="0.35">
      <c r="T30892" s="246">
        <f t="shared" si="520"/>
        <v>0</v>
      </c>
    </row>
    <row r="30893" spans="20:20" ht="18.75" customHeight="1" x14ac:dyDescent="0.35">
      <c r="T30893" s="246">
        <f t="shared" si="520"/>
        <v>0</v>
      </c>
    </row>
    <row r="30894" spans="20:20" ht="18.75" customHeight="1" x14ac:dyDescent="0.35">
      <c r="T30894" s="246">
        <f t="shared" si="520"/>
        <v>0</v>
      </c>
    </row>
    <row r="30895" spans="20:20" ht="18.75" customHeight="1" x14ac:dyDescent="0.35">
      <c r="T30895" s="246">
        <f t="shared" si="520"/>
        <v>0</v>
      </c>
    </row>
    <row r="30896" spans="20:20" ht="18.75" customHeight="1" x14ac:dyDescent="0.35">
      <c r="T30896" s="246">
        <f t="shared" si="520"/>
        <v>0</v>
      </c>
    </row>
    <row r="30897" spans="20:20" ht="18.75" customHeight="1" x14ac:dyDescent="0.35">
      <c r="T30897" s="246">
        <f t="shared" si="520"/>
        <v>0</v>
      </c>
    </row>
    <row r="30898" spans="20:20" ht="18.75" customHeight="1" x14ac:dyDescent="0.35">
      <c r="T30898" s="246">
        <f t="shared" si="520"/>
        <v>0</v>
      </c>
    </row>
    <row r="30899" spans="20:20" ht="18.75" customHeight="1" x14ac:dyDescent="0.35">
      <c r="T30899" s="246">
        <f t="shared" si="520"/>
        <v>0</v>
      </c>
    </row>
    <row r="30900" spans="20:20" ht="18.75" customHeight="1" x14ac:dyDescent="0.35">
      <c r="T30900" s="246">
        <f t="shared" si="520"/>
        <v>0</v>
      </c>
    </row>
    <row r="30901" spans="20:20" ht="18.75" customHeight="1" x14ac:dyDescent="0.35">
      <c r="T30901" s="246">
        <f t="shared" si="520"/>
        <v>0</v>
      </c>
    </row>
    <row r="30902" spans="20:20" ht="18.75" customHeight="1" x14ac:dyDescent="0.35">
      <c r="T30902" s="246">
        <f t="shared" si="520"/>
        <v>0</v>
      </c>
    </row>
    <row r="30903" spans="20:20" ht="18.75" customHeight="1" x14ac:dyDescent="0.35">
      <c r="T30903" s="246">
        <f t="shared" si="520"/>
        <v>0</v>
      </c>
    </row>
    <row r="30904" spans="20:20" ht="18.75" customHeight="1" x14ac:dyDescent="0.35">
      <c r="T30904" s="246">
        <f t="shared" si="520"/>
        <v>0</v>
      </c>
    </row>
    <row r="30905" spans="20:20" ht="18.75" customHeight="1" x14ac:dyDescent="0.35">
      <c r="T30905" s="246">
        <f t="shared" si="520"/>
        <v>0</v>
      </c>
    </row>
    <row r="30906" spans="20:20" ht="18.75" customHeight="1" x14ac:dyDescent="0.35">
      <c r="T30906" s="246">
        <f t="shared" si="520"/>
        <v>0</v>
      </c>
    </row>
    <row r="30907" spans="20:20" ht="18.75" customHeight="1" x14ac:dyDescent="0.35">
      <c r="T30907" s="246">
        <f t="shared" si="520"/>
        <v>0</v>
      </c>
    </row>
    <row r="30908" spans="20:20" ht="18.75" customHeight="1" x14ac:dyDescent="0.35">
      <c r="T30908" s="246">
        <f t="shared" ref="T30908:T30971" si="521">R30908*0.01</f>
        <v>0</v>
      </c>
    </row>
    <row r="30909" spans="20:20" ht="18.75" customHeight="1" x14ac:dyDescent="0.35">
      <c r="T30909" s="246">
        <f t="shared" si="521"/>
        <v>0</v>
      </c>
    </row>
    <row r="30910" spans="20:20" ht="18.75" customHeight="1" x14ac:dyDescent="0.35">
      <c r="T30910" s="246">
        <f t="shared" si="521"/>
        <v>0</v>
      </c>
    </row>
    <row r="30911" spans="20:20" ht="18.75" customHeight="1" x14ac:dyDescent="0.35">
      <c r="T30911" s="246">
        <f t="shared" si="521"/>
        <v>0</v>
      </c>
    </row>
    <row r="30912" spans="20:20" ht="18.75" customHeight="1" x14ac:dyDescent="0.35">
      <c r="T30912" s="246">
        <f t="shared" si="521"/>
        <v>0</v>
      </c>
    </row>
    <row r="30913" spans="20:20" ht="18.75" customHeight="1" x14ac:dyDescent="0.35">
      <c r="T30913" s="246">
        <f t="shared" si="521"/>
        <v>0</v>
      </c>
    </row>
    <row r="30914" spans="20:20" ht="18.75" customHeight="1" x14ac:dyDescent="0.35">
      <c r="T30914" s="246">
        <f t="shared" si="521"/>
        <v>0</v>
      </c>
    </row>
    <row r="30915" spans="20:20" ht="18.75" customHeight="1" x14ac:dyDescent="0.35">
      <c r="T30915" s="246">
        <f t="shared" si="521"/>
        <v>0</v>
      </c>
    </row>
    <row r="30916" spans="20:20" ht="18.75" customHeight="1" x14ac:dyDescent="0.35">
      <c r="T30916" s="246">
        <f t="shared" si="521"/>
        <v>0</v>
      </c>
    </row>
    <row r="30917" spans="20:20" ht="18.75" customHeight="1" x14ac:dyDescent="0.35">
      <c r="T30917" s="246">
        <f t="shared" si="521"/>
        <v>0</v>
      </c>
    </row>
    <row r="30918" spans="20:20" ht="18.75" customHeight="1" x14ac:dyDescent="0.35">
      <c r="T30918" s="246">
        <f t="shared" si="521"/>
        <v>0</v>
      </c>
    </row>
    <row r="30919" spans="20:20" ht="18.75" customHeight="1" x14ac:dyDescent="0.35">
      <c r="T30919" s="246">
        <f t="shared" si="521"/>
        <v>0</v>
      </c>
    </row>
    <row r="30920" spans="20:20" ht="18.75" customHeight="1" x14ac:dyDescent="0.35">
      <c r="T30920" s="246">
        <f t="shared" si="521"/>
        <v>0</v>
      </c>
    </row>
    <row r="30921" spans="20:20" ht="18.75" customHeight="1" x14ac:dyDescent="0.35">
      <c r="T30921" s="246">
        <f t="shared" si="521"/>
        <v>0</v>
      </c>
    </row>
    <row r="30922" spans="20:20" ht="18.75" customHeight="1" x14ac:dyDescent="0.35">
      <c r="T30922" s="246">
        <f t="shared" si="521"/>
        <v>0</v>
      </c>
    </row>
    <row r="30923" spans="20:20" ht="18.75" customHeight="1" x14ac:dyDescent="0.35">
      <c r="T30923" s="246">
        <f t="shared" si="521"/>
        <v>0</v>
      </c>
    </row>
    <row r="30924" spans="20:20" ht="18.75" customHeight="1" x14ac:dyDescent="0.35">
      <c r="T30924" s="246">
        <f t="shared" si="521"/>
        <v>0</v>
      </c>
    </row>
    <row r="30925" spans="20:20" ht="18.75" customHeight="1" x14ac:dyDescent="0.35">
      <c r="T30925" s="246">
        <f t="shared" si="521"/>
        <v>0</v>
      </c>
    </row>
    <row r="30926" spans="20:20" ht="18.75" customHeight="1" x14ac:dyDescent="0.35">
      <c r="T30926" s="246">
        <f t="shared" si="521"/>
        <v>0</v>
      </c>
    </row>
    <row r="30927" spans="20:20" ht="18.75" customHeight="1" x14ac:dyDescent="0.35">
      <c r="T30927" s="246">
        <f t="shared" si="521"/>
        <v>0</v>
      </c>
    </row>
    <row r="30928" spans="20:20" ht="18.75" customHeight="1" x14ac:dyDescent="0.35">
      <c r="T30928" s="246">
        <f t="shared" si="521"/>
        <v>0</v>
      </c>
    </row>
    <row r="30929" spans="20:20" ht="18.75" customHeight="1" x14ac:dyDescent="0.35">
      <c r="T30929" s="246">
        <f t="shared" si="521"/>
        <v>0</v>
      </c>
    </row>
    <row r="30930" spans="20:20" ht="18.75" customHeight="1" x14ac:dyDescent="0.35">
      <c r="T30930" s="246">
        <f t="shared" si="521"/>
        <v>0</v>
      </c>
    </row>
    <row r="30931" spans="20:20" ht="18.75" customHeight="1" x14ac:dyDescent="0.35">
      <c r="T30931" s="246">
        <f t="shared" si="521"/>
        <v>0</v>
      </c>
    </row>
    <row r="30932" spans="20:20" ht="18.75" customHeight="1" x14ac:dyDescent="0.35">
      <c r="T30932" s="246">
        <f t="shared" si="521"/>
        <v>0</v>
      </c>
    </row>
    <row r="30933" spans="20:20" ht="18.75" customHeight="1" x14ac:dyDescent="0.35">
      <c r="T30933" s="246">
        <f t="shared" si="521"/>
        <v>0</v>
      </c>
    </row>
    <row r="30934" spans="20:20" ht="18.75" customHeight="1" x14ac:dyDescent="0.35">
      <c r="T30934" s="246">
        <f t="shared" si="521"/>
        <v>0</v>
      </c>
    </row>
    <row r="30935" spans="20:20" ht="18.75" customHeight="1" x14ac:dyDescent="0.35">
      <c r="T30935" s="246">
        <f t="shared" si="521"/>
        <v>0</v>
      </c>
    </row>
    <row r="30936" spans="20:20" ht="18.75" customHeight="1" x14ac:dyDescent="0.35">
      <c r="T30936" s="246">
        <f t="shared" si="521"/>
        <v>0</v>
      </c>
    </row>
    <row r="30937" spans="20:20" ht="18.75" customHeight="1" x14ac:dyDescent="0.35">
      <c r="T30937" s="246">
        <f t="shared" si="521"/>
        <v>0</v>
      </c>
    </row>
    <row r="30938" spans="20:20" ht="18.75" customHeight="1" x14ac:dyDescent="0.35">
      <c r="T30938" s="246">
        <f t="shared" si="521"/>
        <v>0</v>
      </c>
    </row>
    <row r="30939" spans="20:20" ht="18.75" customHeight="1" x14ac:dyDescent="0.35">
      <c r="T30939" s="246">
        <f t="shared" si="521"/>
        <v>0</v>
      </c>
    </row>
    <row r="30940" spans="20:20" ht="18.75" customHeight="1" x14ac:dyDescent="0.35">
      <c r="T30940" s="246">
        <f t="shared" si="521"/>
        <v>0</v>
      </c>
    </row>
    <row r="30941" spans="20:20" ht="18.75" customHeight="1" x14ac:dyDescent="0.35">
      <c r="T30941" s="246">
        <f t="shared" si="521"/>
        <v>0</v>
      </c>
    </row>
    <row r="30942" spans="20:20" ht="18.75" customHeight="1" x14ac:dyDescent="0.35">
      <c r="T30942" s="246">
        <f t="shared" si="521"/>
        <v>0</v>
      </c>
    </row>
    <row r="30943" spans="20:20" ht="18.75" customHeight="1" x14ac:dyDescent="0.35">
      <c r="T30943" s="246">
        <f t="shared" si="521"/>
        <v>0</v>
      </c>
    </row>
    <row r="30944" spans="20:20" ht="18.75" customHeight="1" x14ac:dyDescent="0.35">
      <c r="T30944" s="246">
        <f t="shared" si="521"/>
        <v>0</v>
      </c>
    </row>
    <row r="30945" spans="20:20" ht="18.75" customHeight="1" x14ac:dyDescent="0.35">
      <c r="T30945" s="246">
        <f t="shared" si="521"/>
        <v>0</v>
      </c>
    </row>
    <row r="30946" spans="20:20" ht="18.75" customHeight="1" x14ac:dyDescent="0.35">
      <c r="T30946" s="246">
        <f t="shared" si="521"/>
        <v>0</v>
      </c>
    </row>
    <row r="30947" spans="20:20" ht="18.75" customHeight="1" x14ac:dyDescent="0.35">
      <c r="T30947" s="246">
        <f t="shared" si="521"/>
        <v>0</v>
      </c>
    </row>
    <row r="30948" spans="20:20" ht="18.75" customHeight="1" x14ac:dyDescent="0.35">
      <c r="T30948" s="246">
        <f t="shared" si="521"/>
        <v>0</v>
      </c>
    </row>
    <row r="30949" spans="20:20" ht="18.75" customHeight="1" x14ac:dyDescent="0.35">
      <c r="T30949" s="246">
        <f t="shared" si="521"/>
        <v>0</v>
      </c>
    </row>
    <row r="30950" spans="20:20" ht="18.75" customHeight="1" x14ac:dyDescent="0.35">
      <c r="T30950" s="246">
        <f t="shared" si="521"/>
        <v>0</v>
      </c>
    </row>
    <row r="30951" spans="20:20" ht="18.75" customHeight="1" x14ac:dyDescent="0.35">
      <c r="T30951" s="246">
        <f t="shared" si="521"/>
        <v>0</v>
      </c>
    </row>
    <row r="30952" spans="20:20" ht="18.75" customHeight="1" x14ac:dyDescent="0.35">
      <c r="T30952" s="246">
        <f t="shared" si="521"/>
        <v>0</v>
      </c>
    </row>
    <row r="30953" spans="20:20" ht="18.75" customHeight="1" x14ac:dyDescent="0.35">
      <c r="T30953" s="246">
        <f t="shared" si="521"/>
        <v>0</v>
      </c>
    </row>
    <row r="30954" spans="20:20" ht="18.75" customHeight="1" x14ac:dyDescent="0.35">
      <c r="T30954" s="246">
        <f t="shared" si="521"/>
        <v>0</v>
      </c>
    </row>
    <row r="30955" spans="20:20" ht="18.75" customHeight="1" x14ac:dyDescent="0.35">
      <c r="T30955" s="246">
        <f t="shared" si="521"/>
        <v>0</v>
      </c>
    </row>
    <row r="30956" spans="20:20" ht="18.75" customHeight="1" x14ac:dyDescent="0.35">
      <c r="T30956" s="246">
        <f t="shared" si="521"/>
        <v>0</v>
      </c>
    </row>
    <row r="30957" spans="20:20" ht="18.75" customHeight="1" x14ac:dyDescent="0.35">
      <c r="T30957" s="246">
        <f t="shared" si="521"/>
        <v>0</v>
      </c>
    </row>
    <row r="30958" spans="20:20" ht="18.75" customHeight="1" x14ac:dyDescent="0.35">
      <c r="T30958" s="246">
        <f t="shared" si="521"/>
        <v>0</v>
      </c>
    </row>
    <row r="30959" spans="20:20" ht="18.75" customHeight="1" x14ac:dyDescent="0.35">
      <c r="T30959" s="246">
        <f t="shared" si="521"/>
        <v>0</v>
      </c>
    </row>
    <row r="30960" spans="20:20" ht="18.75" customHeight="1" x14ac:dyDescent="0.35">
      <c r="T30960" s="246">
        <f t="shared" si="521"/>
        <v>0</v>
      </c>
    </row>
    <row r="30961" spans="20:20" ht="18.75" customHeight="1" x14ac:dyDescent="0.35">
      <c r="T30961" s="246">
        <f t="shared" si="521"/>
        <v>0</v>
      </c>
    </row>
    <row r="30962" spans="20:20" ht="18.75" customHeight="1" x14ac:dyDescent="0.35">
      <c r="T30962" s="246">
        <f t="shared" si="521"/>
        <v>0</v>
      </c>
    </row>
    <row r="30963" spans="20:20" ht="18.75" customHeight="1" x14ac:dyDescent="0.35">
      <c r="T30963" s="246">
        <f t="shared" si="521"/>
        <v>0</v>
      </c>
    </row>
    <row r="30964" spans="20:20" ht="18.75" customHeight="1" x14ac:dyDescent="0.35">
      <c r="T30964" s="246">
        <f t="shared" si="521"/>
        <v>0</v>
      </c>
    </row>
    <row r="30965" spans="20:20" ht="18.75" customHeight="1" x14ac:dyDescent="0.35">
      <c r="T30965" s="246">
        <f t="shared" si="521"/>
        <v>0</v>
      </c>
    </row>
    <row r="30966" spans="20:20" ht="18.75" customHeight="1" x14ac:dyDescent="0.35">
      <c r="T30966" s="246">
        <f t="shared" si="521"/>
        <v>0</v>
      </c>
    </row>
    <row r="30967" spans="20:20" ht="18.75" customHeight="1" x14ac:dyDescent="0.35">
      <c r="T30967" s="246">
        <f t="shared" si="521"/>
        <v>0</v>
      </c>
    </row>
    <row r="30968" spans="20:20" ht="18.75" customHeight="1" x14ac:dyDescent="0.35">
      <c r="T30968" s="246">
        <f t="shared" si="521"/>
        <v>0</v>
      </c>
    </row>
    <row r="30969" spans="20:20" ht="18.75" customHeight="1" x14ac:dyDescent="0.35">
      <c r="T30969" s="246">
        <f t="shared" si="521"/>
        <v>0</v>
      </c>
    </row>
    <row r="30970" spans="20:20" ht="18.75" customHeight="1" x14ac:dyDescent="0.35">
      <c r="T30970" s="246">
        <f t="shared" si="521"/>
        <v>0</v>
      </c>
    </row>
    <row r="30971" spans="20:20" ht="18.75" customHeight="1" x14ac:dyDescent="0.35">
      <c r="T30971" s="246">
        <f t="shared" si="521"/>
        <v>0</v>
      </c>
    </row>
    <row r="30972" spans="20:20" ht="18.75" customHeight="1" x14ac:dyDescent="0.35">
      <c r="T30972" s="246">
        <f t="shared" ref="T30972:T31035" si="522">R30972*0.01</f>
        <v>0</v>
      </c>
    </row>
    <row r="30973" spans="20:20" ht="18.75" customHeight="1" x14ac:dyDescent="0.35">
      <c r="T30973" s="246">
        <f t="shared" si="522"/>
        <v>0</v>
      </c>
    </row>
    <row r="30974" spans="20:20" ht="18.75" customHeight="1" x14ac:dyDescent="0.35">
      <c r="T30974" s="246">
        <f t="shared" si="522"/>
        <v>0</v>
      </c>
    </row>
    <row r="30975" spans="20:20" ht="18.75" customHeight="1" x14ac:dyDescent="0.35">
      <c r="T30975" s="246">
        <f t="shared" si="522"/>
        <v>0</v>
      </c>
    </row>
    <row r="30976" spans="20:20" ht="18.75" customHeight="1" x14ac:dyDescent="0.35">
      <c r="T30976" s="246">
        <f t="shared" si="522"/>
        <v>0</v>
      </c>
    </row>
    <row r="30977" spans="20:20" ht="18.75" customHeight="1" x14ac:dyDescent="0.35">
      <c r="T30977" s="246">
        <f t="shared" si="522"/>
        <v>0</v>
      </c>
    </row>
    <row r="30978" spans="20:20" ht="18.75" customHeight="1" x14ac:dyDescent="0.35">
      <c r="T30978" s="246">
        <f t="shared" si="522"/>
        <v>0</v>
      </c>
    </row>
    <row r="30979" spans="20:20" ht="18.75" customHeight="1" x14ac:dyDescent="0.35">
      <c r="T30979" s="246">
        <f t="shared" si="522"/>
        <v>0</v>
      </c>
    </row>
    <row r="30980" spans="20:20" ht="18.75" customHeight="1" x14ac:dyDescent="0.35">
      <c r="T30980" s="246">
        <f t="shared" si="522"/>
        <v>0</v>
      </c>
    </row>
    <row r="30981" spans="20:20" ht="18.75" customHeight="1" x14ac:dyDescent="0.35">
      <c r="T30981" s="246">
        <f t="shared" si="522"/>
        <v>0</v>
      </c>
    </row>
    <row r="30982" spans="20:20" ht="18.75" customHeight="1" x14ac:dyDescent="0.35">
      <c r="T30982" s="246">
        <f t="shared" si="522"/>
        <v>0</v>
      </c>
    </row>
    <row r="30983" spans="20:20" ht="18.75" customHeight="1" x14ac:dyDescent="0.35">
      <c r="T30983" s="246">
        <f t="shared" si="522"/>
        <v>0</v>
      </c>
    </row>
    <row r="30984" spans="20:20" ht="18.75" customHeight="1" x14ac:dyDescent="0.35">
      <c r="T30984" s="246">
        <f t="shared" si="522"/>
        <v>0</v>
      </c>
    </row>
    <row r="30985" spans="20:20" ht="18.75" customHeight="1" x14ac:dyDescent="0.35">
      <c r="T30985" s="246">
        <f t="shared" si="522"/>
        <v>0</v>
      </c>
    </row>
    <row r="30986" spans="20:20" ht="18.75" customHeight="1" x14ac:dyDescent="0.35">
      <c r="T30986" s="246">
        <f t="shared" si="522"/>
        <v>0</v>
      </c>
    </row>
    <row r="30987" spans="20:20" ht="18.75" customHeight="1" x14ac:dyDescent="0.35">
      <c r="T30987" s="246">
        <f t="shared" si="522"/>
        <v>0</v>
      </c>
    </row>
    <row r="30988" spans="20:20" ht="18.75" customHeight="1" x14ac:dyDescent="0.35">
      <c r="T30988" s="246">
        <f t="shared" si="522"/>
        <v>0</v>
      </c>
    </row>
    <row r="30989" spans="20:20" ht="18.75" customHeight="1" x14ac:dyDescent="0.35">
      <c r="T30989" s="246">
        <f t="shared" si="522"/>
        <v>0</v>
      </c>
    </row>
    <row r="30990" spans="20:20" ht="18.75" customHeight="1" x14ac:dyDescent="0.35">
      <c r="T30990" s="246">
        <f t="shared" si="522"/>
        <v>0</v>
      </c>
    </row>
    <row r="30991" spans="20:20" ht="18.75" customHeight="1" x14ac:dyDescent="0.35">
      <c r="T30991" s="246">
        <f t="shared" si="522"/>
        <v>0</v>
      </c>
    </row>
    <row r="30992" spans="20:20" ht="18.75" customHeight="1" x14ac:dyDescent="0.35">
      <c r="T30992" s="246">
        <f t="shared" si="522"/>
        <v>0</v>
      </c>
    </row>
    <row r="30993" spans="20:20" ht="18.75" customHeight="1" x14ac:dyDescent="0.35">
      <c r="T30993" s="246">
        <f t="shared" si="522"/>
        <v>0</v>
      </c>
    </row>
    <row r="30994" spans="20:20" ht="18.75" customHeight="1" x14ac:dyDescent="0.35">
      <c r="T30994" s="246">
        <f t="shared" si="522"/>
        <v>0</v>
      </c>
    </row>
    <row r="30995" spans="20:20" ht="18.75" customHeight="1" x14ac:dyDescent="0.35">
      <c r="T30995" s="246">
        <f t="shared" si="522"/>
        <v>0</v>
      </c>
    </row>
    <row r="30996" spans="20:20" ht="18.75" customHeight="1" x14ac:dyDescent="0.35">
      <c r="T30996" s="246">
        <f t="shared" si="522"/>
        <v>0</v>
      </c>
    </row>
    <row r="30997" spans="20:20" ht="18.75" customHeight="1" x14ac:dyDescent="0.35">
      <c r="T30997" s="246">
        <f t="shared" si="522"/>
        <v>0</v>
      </c>
    </row>
    <row r="30998" spans="20:20" ht="18.75" customHeight="1" x14ac:dyDescent="0.35">
      <c r="T30998" s="246">
        <f t="shared" si="522"/>
        <v>0</v>
      </c>
    </row>
    <row r="30999" spans="20:20" ht="18.75" customHeight="1" x14ac:dyDescent="0.35">
      <c r="T30999" s="246">
        <f t="shared" si="522"/>
        <v>0</v>
      </c>
    </row>
    <row r="31000" spans="20:20" ht="18.75" customHeight="1" x14ac:dyDescent="0.35">
      <c r="T31000" s="246">
        <f t="shared" si="522"/>
        <v>0</v>
      </c>
    </row>
    <row r="31001" spans="20:20" ht="18.75" customHeight="1" x14ac:dyDescent="0.35">
      <c r="T31001" s="246">
        <f t="shared" si="522"/>
        <v>0</v>
      </c>
    </row>
    <row r="31002" spans="20:20" ht="18.75" customHeight="1" x14ac:dyDescent="0.35">
      <c r="T31002" s="246">
        <f t="shared" si="522"/>
        <v>0</v>
      </c>
    </row>
    <row r="31003" spans="20:20" ht="18.75" customHeight="1" x14ac:dyDescent="0.35">
      <c r="T31003" s="246">
        <f t="shared" si="522"/>
        <v>0</v>
      </c>
    </row>
    <row r="31004" spans="20:20" ht="18.75" customHeight="1" x14ac:dyDescent="0.35">
      <c r="T31004" s="246">
        <f t="shared" si="522"/>
        <v>0</v>
      </c>
    </row>
    <row r="31005" spans="20:20" ht="18.75" customHeight="1" x14ac:dyDescent="0.35">
      <c r="T31005" s="246">
        <f t="shared" si="522"/>
        <v>0</v>
      </c>
    </row>
    <row r="31006" spans="20:20" ht="18.75" customHeight="1" x14ac:dyDescent="0.35">
      <c r="T31006" s="246">
        <f t="shared" si="522"/>
        <v>0</v>
      </c>
    </row>
    <row r="31007" spans="20:20" ht="18.75" customHeight="1" x14ac:dyDescent="0.35">
      <c r="T31007" s="246">
        <f t="shared" si="522"/>
        <v>0</v>
      </c>
    </row>
    <row r="31008" spans="20:20" ht="18.75" customHeight="1" x14ac:dyDescent="0.35">
      <c r="T31008" s="246">
        <f t="shared" si="522"/>
        <v>0</v>
      </c>
    </row>
    <row r="31009" spans="20:20" ht="18.75" customHeight="1" x14ac:dyDescent="0.35">
      <c r="T31009" s="246">
        <f t="shared" si="522"/>
        <v>0</v>
      </c>
    </row>
    <row r="31010" spans="20:20" ht="18.75" customHeight="1" x14ac:dyDescent="0.35">
      <c r="T31010" s="246">
        <f t="shared" si="522"/>
        <v>0</v>
      </c>
    </row>
    <row r="31011" spans="20:20" ht="18.75" customHeight="1" x14ac:dyDescent="0.35">
      <c r="T31011" s="246">
        <f t="shared" si="522"/>
        <v>0</v>
      </c>
    </row>
    <row r="31012" spans="20:20" ht="18.75" customHeight="1" x14ac:dyDescent="0.35">
      <c r="T31012" s="246">
        <f t="shared" si="522"/>
        <v>0</v>
      </c>
    </row>
    <row r="31013" spans="20:20" ht="18.75" customHeight="1" x14ac:dyDescent="0.35">
      <c r="T31013" s="246">
        <f t="shared" si="522"/>
        <v>0</v>
      </c>
    </row>
    <row r="31014" spans="20:20" ht="18.75" customHeight="1" x14ac:dyDescent="0.35">
      <c r="T31014" s="246">
        <f t="shared" si="522"/>
        <v>0</v>
      </c>
    </row>
    <row r="31015" spans="20:20" ht="18.75" customHeight="1" x14ac:dyDescent="0.35">
      <c r="T31015" s="246">
        <f t="shared" si="522"/>
        <v>0</v>
      </c>
    </row>
    <row r="31016" spans="20:20" ht="18.75" customHeight="1" x14ac:dyDescent="0.35">
      <c r="T31016" s="246">
        <f t="shared" si="522"/>
        <v>0</v>
      </c>
    </row>
    <row r="31017" spans="20:20" ht="18.75" customHeight="1" x14ac:dyDescent="0.35">
      <c r="T31017" s="246">
        <f t="shared" si="522"/>
        <v>0</v>
      </c>
    </row>
    <row r="31018" spans="20:20" ht="18.75" customHeight="1" x14ac:dyDescent="0.35">
      <c r="T31018" s="246">
        <f t="shared" si="522"/>
        <v>0</v>
      </c>
    </row>
    <row r="31019" spans="20:20" ht="18.75" customHeight="1" x14ac:dyDescent="0.35">
      <c r="T31019" s="246">
        <f t="shared" si="522"/>
        <v>0</v>
      </c>
    </row>
    <row r="31020" spans="20:20" ht="18.75" customHeight="1" x14ac:dyDescent="0.35">
      <c r="T31020" s="246">
        <f t="shared" si="522"/>
        <v>0</v>
      </c>
    </row>
    <row r="31021" spans="20:20" ht="18.75" customHeight="1" x14ac:dyDescent="0.35">
      <c r="T31021" s="246">
        <f t="shared" si="522"/>
        <v>0</v>
      </c>
    </row>
    <row r="31022" spans="20:20" ht="18.75" customHeight="1" x14ac:dyDescent="0.35">
      <c r="T31022" s="246">
        <f t="shared" si="522"/>
        <v>0</v>
      </c>
    </row>
    <row r="31023" spans="20:20" ht="18.75" customHeight="1" x14ac:dyDescent="0.35">
      <c r="T31023" s="246">
        <f t="shared" si="522"/>
        <v>0</v>
      </c>
    </row>
    <row r="31024" spans="20:20" ht="18.75" customHeight="1" x14ac:dyDescent="0.35">
      <c r="T31024" s="246">
        <f t="shared" si="522"/>
        <v>0</v>
      </c>
    </row>
    <row r="31025" spans="20:20" ht="18.75" customHeight="1" x14ac:dyDescent="0.35">
      <c r="T31025" s="246">
        <f t="shared" si="522"/>
        <v>0</v>
      </c>
    </row>
    <row r="31026" spans="20:20" ht="18.75" customHeight="1" x14ac:dyDescent="0.35">
      <c r="T31026" s="246">
        <f t="shared" si="522"/>
        <v>0</v>
      </c>
    </row>
    <row r="31027" spans="20:20" ht="18.75" customHeight="1" x14ac:dyDescent="0.35">
      <c r="T31027" s="246">
        <f t="shared" si="522"/>
        <v>0</v>
      </c>
    </row>
    <row r="31028" spans="20:20" ht="18.75" customHeight="1" x14ac:dyDescent="0.35">
      <c r="T31028" s="246">
        <f t="shared" si="522"/>
        <v>0</v>
      </c>
    </row>
    <row r="31029" spans="20:20" ht="18.75" customHeight="1" x14ac:dyDescent="0.35">
      <c r="T31029" s="246">
        <f t="shared" si="522"/>
        <v>0</v>
      </c>
    </row>
    <row r="31030" spans="20:20" ht="18.75" customHeight="1" x14ac:dyDescent="0.35">
      <c r="T31030" s="246">
        <f t="shared" si="522"/>
        <v>0</v>
      </c>
    </row>
    <row r="31031" spans="20:20" ht="18.75" customHeight="1" x14ac:dyDescent="0.35">
      <c r="T31031" s="246">
        <f t="shared" si="522"/>
        <v>0</v>
      </c>
    </row>
    <row r="31032" spans="20:20" ht="18.75" customHeight="1" x14ac:dyDescent="0.35">
      <c r="T31032" s="246">
        <f t="shared" si="522"/>
        <v>0</v>
      </c>
    </row>
    <row r="31033" spans="20:20" ht="18.75" customHeight="1" x14ac:dyDescent="0.35">
      <c r="T31033" s="246">
        <f t="shared" si="522"/>
        <v>0</v>
      </c>
    </row>
    <row r="31034" spans="20:20" ht="18.75" customHeight="1" x14ac:dyDescent="0.35">
      <c r="T31034" s="246">
        <f t="shared" si="522"/>
        <v>0</v>
      </c>
    </row>
    <row r="31035" spans="20:20" ht="18.75" customHeight="1" x14ac:dyDescent="0.35">
      <c r="T31035" s="246">
        <f t="shared" si="522"/>
        <v>0</v>
      </c>
    </row>
    <row r="31036" spans="20:20" ht="18.75" customHeight="1" x14ac:dyDescent="0.35">
      <c r="T31036" s="246">
        <f t="shared" ref="T31036:T31099" si="523">R31036*0.01</f>
        <v>0</v>
      </c>
    </row>
    <row r="31037" spans="20:20" ht="18.75" customHeight="1" x14ac:dyDescent="0.35">
      <c r="T31037" s="246">
        <f t="shared" si="523"/>
        <v>0</v>
      </c>
    </row>
    <row r="31038" spans="20:20" ht="18.75" customHeight="1" x14ac:dyDescent="0.35">
      <c r="T31038" s="246">
        <f t="shared" si="523"/>
        <v>0</v>
      </c>
    </row>
    <row r="31039" spans="20:20" ht="18.75" customHeight="1" x14ac:dyDescent="0.35">
      <c r="T31039" s="246">
        <f t="shared" si="523"/>
        <v>0</v>
      </c>
    </row>
    <row r="31040" spans="20:20" ht="18.75" customHeight="1" x14ac:dyDescent="0.35">
      <c r="T31040" s="246">
        <f t="shared" si="523"/>
        <v>0</v>
      </c>
    </row>
    <row r="31041" spans="20:20" ht="18.75" customHeight="1" x14ac:dyDescent="0.35">
      <c r="T31041" s="246">
        <f t="shared" si="523"/>
        <v>0</v>
      </c>
    </row>
    <row r="31042" spans="20:20" ht="18.75" customHeight="1" x14ac:dyDescent="0.35">
      <c r="T31042" s="246">
        <f t="shared" si="523"/>
        <v>0</v>
      </c>
    </row>
    <row r="31043" spans="20:20" ht="18.75" customHeight="1" x14ac:dyDescent="0.35">
      <c r="T31043" s="246">
        <f t="shared" si="523"/>
        <v>0</v>
      </c>
    </row>
    <row r="31044" spans="20:20" ht="18.75" customHeight="1" x14ac:dyDescent="0.35">
      <c r="T31044" s="246">
        <f t="shared" si="523"/>
        <v>0</v>
      </c>
    </row>
    <row r="31045" spans="20:20" ht="18.75" customHeight="1" x14ac:dyDescent="0.35">
      <c r="T31045" s="246">
        <f t="shared" si="523"/>
        <v>0</v>
      </c>
    </row>
    <row r="31046" spans="20:20" ht="18.75" customHeight="1" x14ac:dyDescent="0.35">
      <c r="T31046" s="246">
        <f t="shared" si="523"/>
        <v>0</v>
      </c>
    </row>
    <row r="31047" spans="20:20" ht="18.75" customHeight="1" x14ac:dyDescent="0.35">
      <c r="T31047" s="246">
        <f t="shared" si="523"/>
        <v>0</v>
      </c>
    </row>
    <row r="31048" spans="20:20" ht="18.75" customHeight="1" x14ac:dyDescent="0.35">
      <c r="T31048" s="246">
        <f t="shared" si="523"/>
        <v>0</v>
      </c>
    </row>
    <row r="31049" spans="20:20" ht="18.75" customHeight="1" x14ac:dyDescent="0.35">
      <c r="T31049" s="246">
        <f t="shared" si="523"/>
        <v>0</v>
      </c>
    </row>
    <row r="31050" spans="20:20" ht="18.75" customHeight="1" x14ac:dyDescent="0.35">
      <c r="T31050" s="246">
        <f t="shared" si="523"/>
        <v>0</v>
      </c>
    </row>
    <row r="31051" spans="20:20" ht="18.75" customHeight="1" x14ac:dyDescent="0.35">
      <c r="T31051" s="246">
        <f t="shared" si="523"/>
        <v>0</v>
      </c>
    </row>
    <row r="31052" spans="20:20" ht="18.75" customHeight="1" x14ac:dyDescent="0.35">
      <c r="T31052" s="246">
        <f t="shared" si="523"/>
        <v>0</v>
      </c>
    </row>
    <row r="31053" spans="20:20" ht="18.75" customHeight="1" x14ac:dyDescent="0.35">
      <c r="T31053" s="246">
        <f t="shared" si="523"/>
        <v>0</v>
      </c>
    </row>
    <row r="31054" spans="20:20" ht="18.75" customHeight="1" x14ac:dyDescent="0.35">
      <c r="T31054" s="246">
        <f t="shared" si="523"/>
        <v>0</v>
      </c>
    </row>
    <row r="31055" spans="20:20" ht="18.75" customHeight="1" x14ac:dyDescent="0.35">
      <c r="T31055" s="246">
        <f t="shared" si="523"/>
        <v>0</v>
      </c>
    </row>
    <row r="31056" spans="20:20" ht="18.75" customHeight="1" x14ac:dyDescent="0.35">
      <c r="T31056" s="246">
        <f t="shared" si="523"/>
        <v>0</v>
      </c>
    </row>
    <row r="31057" spans="20:20" ht="18.75" customHeight="1" x14ac:dyDescent="0.35">
      <c r="T31057" s="246">
        <f t="shared" si="523"/>
        <v>0</v>
      </c>
    </row>
    <row r="31058" spans="20:20" ht="18.75" customHeight="1" x14ac:dyDescent="0.35">
      <c r="T31058" s="246">
        <f t="shared" si="523"/>
        <v>0</v>
      </c>
    </row>
    <row r="31059" spans="20:20" ht="18.75" customHeight="1" x14ac:dyDescent="0.35">
      <c r="T31059" s="246">
        <f t="shared" si="523"/>
        <v>0</v>
      </c>
    </row>
    <row r="31060" spans="20:20" ht="18.75" customHeight="1" x14ac:dyDescent="0.35">
      <c r="T31060" s="246">
        <f t="shared" si="523"/>
        <v>0</v>
      </c>
    </row>
    <row r="31061" spans="20:20" ht="18.75" customHeight="1" x14ac:dyDescent="0.35">
      <c r="T31061" s="246">
        <f t="shared" si="523"/>
        <v>0</v>
      </c>
    </row>
    <row r="31062" spans="20:20" ht="18.75" customHeight="1" x14ac:dyDescent="0.35">
      <c r="T31062" s="246">
        <f t="shared" si="523"/>
        <v>0</v>
      </c>
    </row>
    <row r="31063" spans="20:20" ht="18.75" customHeight="1" x14ac:dyDescent="0.35">
      <c r="T31063" s="246">
        <f t="shared" si="523"/>
        <v>0</v>
      </c>
    </row>
    <row r="31064" spans="20:20" ht="18.75" customHeight="1" x14ac:dyDescent="0.35">
      <c r="T31064" s="246">
        <f t="shared" si="523"/>
        <v>0</v>
      </c>
    </row>
    <row r="31065" spans="20:20" ht="18.75" customHeight="1" x14ac:dyDescent="0.35">
      <c r="T31065" s="246">
        <f t="shared" si="523"/>
        <v>0</v>
      </c>
    </row>
    <row r="31066" spans="20:20" ht="18.75" customHeight="1" x14ac:dyDescent="0.35">
      <c r="T31066" s="246">
        <f t="shared" si="523"/>
        <v>0</v>
      </c>
    </row>
    <row r="31067" spans="20:20" ht="18.75" customHeight="1" x14ac:dyDescent="0.35">
      <c r="T31067" s="246">
        <f t="shared" si="523"/>
        <v>0</v>
      </c>
    </row>
    <row r="31068" spans="20:20" ht="18.75" customHeight="1" x14ac:dyDescent="0.35">
      <c r="T31068" s="246">
        <f t="shared" si="523"/>
        <v>0</v>
      </c>
    </row>
    <row r="31069" spans="20:20" ht="18.75" customHeight="1" x14ac:dyDescent="0.35">
      <c r="T31069" s="246">
        <f t="shared" si="523"/>
        <v>0</v>
      </c>
    </row>
    <row r="31070" spans="20:20" ht="18.75" customHeight="1" x14ac:dyDescent="0.35">
      <c r="T31070" s="246">
        <f t="shared" si="523"/>
        <v>0</v>
      </c>
    </row>
    <row r="31071" spans="20:20" ht="18.75" customHeight="1" x14ac:dyDescent="0.35">
      <c r="T31071" s="246">
        <f t="shared" si="523"/>
        <v>0</v>
      </c>
    </row>
    <row r="31072" spans="20:20" ht="18.75" customHeight="1" x14ac:dyDescent="0.35">
      <c r="T31072" s="246">
        <f t="shared" si="523"/>
        <v>0</v>
      </c>
    </row>
    <row r="31073" spans="20:20" ht="18.75" customHeight="1" x14ac:dyDescent="0.35">
      <c r="T31073" s="246">
        <f t="shared" si="523"/>
        <v>0</v>
      </c>
    </row>
    <row r="31074" spans="20:20" ht="18.75" customHeight="1" x14ac:dyDescent="0.35">
      <c r="T31074" s="246">
        <f t="shared" si="523"/>
        <v>0</v>
      </c>
    </row>
    <row r="31075" spans="20:20" ht="18.75" customHeight="1" x14ac:dyDescent="0.35">
      <c r="T31075" s="246">
        <f t="shared" si="523"/>
        <v>0</v>
      </c>
    </row>
    <row r="31076" spans="20:20" ht="18.75" customHeight="1" x14ac:dyDescent="0.35">
      <c r="T31076" s="246">
        <f t="shared" si="523"/>
        <v>0</v>
      </c>
    </row>
    <row r="31077" spans="20:20" ht="18.75" customHeight="1" x14ac:dyDescent="0.35">
      <c r="T31077" s="246">
        <f t="shared" si="523"/>
        <v>0</v>
      </c>
    </row>
    <row r="31078" spans="20:20" ht="18.75" customHeight="1" x14ac:dyDescent="0.35">
      <c r="T31078" s="246">
        <f t="shared" si="523"/>
        <v>0</v>
      </c>
    </row>
    <row r="31079" spans="20:20" ht="18.75" customHeight="1" x14ac:dyDescent="0.35">
      <c r="T31079" s="246">
        <f t="shared" si="523"/>
        <v>0</v>
      </c>
    </row>
    <row r="31080" spans="20:20" ht="18.75" customHeight="1" x14ac:dyDescent="0.35">
      <c r="T31080" s="246">
        <f t="shared" si="523"/>
        <v>0</v>
      </c>
    </row>
    <row r="31081" spans="20:20" ht="18.75" customHeight="1" x14ac:dyDescent="0.35">
      <c r="T31081" s="246">
        <f t="shared" si="523"/>
        <v>0</v>
      </c>
    </row>
    <row r="31082" spans="20:20" ht="18.75" customHeight="1" x14ac:dyDescent="0.35">
      <c r="T31082" s="246">
        <f t="shared" si="523"/>
        <v>0</v>
      </c>
    </row>
    <row r="31083" spans="20:20" ht="18.75" customHeight="1" x14ac:dyDescent="0.35">
      <c r="T31083" s="246">
        <f t="shared" si="523"/>
        <v>0</v>
      </c>
    </row>
    <row r="31084" spans="20:20" ht="18.75" customHeight="1" x14ac:dyDescent="0.35">
      <c r="T31084" s="246">
        <f t="shared" si="523"/>
        <v>0</v>
      </c>
    </row>
    <row r="31085" spans="20:20" ht="18.75" customHeight="1" x14ac:dyDescent="0.35">
      <c r="T31085" s="246">
        <f t="shared" si="523"/>
        <v>0</v>
      </c>
    </row>
    <row r="31086" spans="20:20" ht="18.75" customHeight="1" x14ac:dyDescent="0.35">
      <c r="T31086" s="246">
        <f t="shared" si="523"/>
        <v>0</v>
      </c>
    </row>
    <row r="31087" spans="20:20" ht="18.75" customHeight="1" x14ac:dyDescent="0.35">
      <c r="T31087" s="246">
        <f t="shared" si="523"/>
        <v>0</v>
      </c>
    </row>
    <row r="31088" spans="20:20" ht="18.75" customHeight="1" x14ac:dyDescent="0.35">
      <c r="T31088" s="246">
        <f t="shared" si="523"/>
        <v>0</v>
      </c>
    </row>
    <row r="31089" spans="20:20" ht="18.75" customHeight="1" x14ac:dyDescent="0.35">
      <c r="T31089" s="246">
        <f t="shared" si="523"/>
        <v>0</v>
      </c>
    </row>
    <row r="31090" spans="20:20" ht="18.75" customHeight="1" x14ac:dyDescent="0.35">
      <c r="T31090" s="246">
        <f t="shared" si="523"/>
        <v>0</v>
      </c>
    </row>
    <row r="31091" spans="20:20" ht="18.75" customHeight="1" x14ac:dyDescent="0.35">
      <c r="T31091" s="246">
        <f t="shared" si="523"/>
        <v>0</v>
      </c>
    </row>
    <row r="31092" spans="20:20" ht="18.75" customHeight="1" x14ac:dyDescent="0.35">
      <c r="T31092" s="246">
        <f t="shared" si="523"/>
        <v>0</v>
      </c>
    </row>
    <row r="31093" spans="20:20" ht="18.75" customHeight="1" x14ac:dyDescent="0.35">
      <c r="T31093" s="246">
        <f t="shared" si="523"/>
        <v>0</v>
      </c>
    </row>
    <row r="31094" spans="20:20" ht="18.75" customHeight="1" x14ac:dyDescent="0.35">
      <c r="T31094" s="246">
        <f t="shared" si="523"/>
        <v>0</v>
      </c>
    </row>
    <row r="31095" spans="20:20" ht="18.75" customHeight="1" x14ac:dyDescent="0.35">
      <c r="T31095" s="246">
        <f t="shared" si="523"/>
        <v>0</v>
      </c>
    </row>
    <row r="31096" spans="20:20" ht="18.75" customHeight="1" x14ac:dyDescent="0.35">
      <c r="T31096" s="246">
        <f t="shared" si="523"/>
        <v>0</v>
      </c>
    </row>
    <row r="31097" spans="20:20" ht="18.75" customHeight="1" x14ac:dyDescent="0.35">
      <c r="T31097" s="246">
        <f t="shared" si="523"/>
        <v>0</v>
      </c>
    </row>
    <row r="31098" spans="20:20" ht="18.75" customHeight="1" x14ac:dyDescent="0.35">
      <c r="T31098" s="246">
        <f t="shared" si="523"/>
        <v>0</v>
      </c>
    </row>
    <row r="31099" spans="20:20" ht="18.75" customHeight="1" x14ac:dyDescent="0.35">
      <c r="T31099" s="246">
        <f t="shared" si="523"/>
        <v>0</v>
      </c>
    </row>
    <row r="31100" spans="20:20" ht="18.75" customHeight="1" x14ac:dyDescent="0.35">
      <c r="T31100" s="246">
        <f t="shared" ref="T31100:T31163" si="524">R31100*0.01</f>
        <v>0</v>
      </c>
    </row>
    <row r="31101" spans="20:20" ht="18.75" customHeight="1" x14ac:dyDescent="0.35">
      <c r="T31101" s="246">
        <f t="shared" si="524"/>
        <v>0</v>
      </c>
    </row>
    <row r="31102" spans="20:20" ht="18.75" customHeight="1" x14ac:dyDescent="0.35">
      <c r="T31102" s="246">
        <f t="shared" si="524"/>
        <v>0</v>
      </c>
    </row>
    <row r="31103" spans="20:20" ht="18.75" customHeight="1" x14ac:dyDescent="0.35">
      <c r="T31103" s="246">
        <f t="shared" si="524"/>
        <v>0</v>
      </c>
    </row>
    <row r="31104" spans="20:20" ht="18.75" customHeight="1" x14ac:dyDescent="0.35">
      <c r="T31104" s="246">
        <f t="shared" si="524"/>
        <v>0</v>
      </c>
    </row>
    <row r="31105" spans="20:20" ht="18.75" customHeight="1" x14ac:dyDescent="0.35">
      <c r="T31105" s="246">
        <f t="shared" si="524"/>
        <v>0</v>
      </c>
    </row>
    <row r="31106" spans="20:20" ht="18.75" customHeight="1" x14ac:dyDescent="0.35">
      <c r="T31106" s="246">
        <f t="shared" si="524"/>
        <v>0</v>
      </c>
    </row>
    <row r="31107" spans="20:20" ht="18.75" customHeight="1" x14ac:dyDescent="0.35">
      <c r="T31107" s="246">
        <f t="shared" si="524"/>
        <v>0</v>
      </c>
    </row>
    <row r="31108" spans="20:20" ht="18.75" customHeight="1" x14ac:dyDescent="0.35">
      <c r="T31108" s="246">
        <f t="shared" si="524"/>
        <v>0</v>
      </c>
    </row>
    <row r="31109" spans="20:20" ht="18.75" customHeight="1" x14ac:dyDescent="0.35">
      <c r="T31109" s="246">
        <f t="shared" si="524"/>
        <v>0</v>
      </c>
    </row>
    <row r="31110" spans="20:20" ht="18.75" customHeight="1" x14ac:dyDescent="0.35">
      <c r="T31110" s="246">
        <f t="shared" si="524"/>
        <v>0</v>
      </c>
    </row>
    <row r="31111" spans="20:20" ht="18.75" customHeight="1" x14ac:dyDescent="0.35">
      <c r="T31111" s="246">
        <f t="shared" si="524"/>
        <v>0</v>
      </c>
    </row>
    <row r="31112" spans="20:20" ht="18.75" customHeight="1" x14ac:dyDescent="0.35">
      <c r="T31112" s="246">
        <f t="shared" si="524"/>
        <v>0</v>
      </c>
    </row>
    <row r="31113" spans="20:20" ht="18.75" customHeight="1" x14ac:dyDescent="0.35">
      <c r="T31113" s="246">
        <f t="shared" si="524"/>
        <v>0</v>
      </c>
    </row>
    <row r="31114" spans="20:20" ht="18.75" customHeight="1" x14ac:dyDescent="0.35">
      <c r="T31114" s="246">
        <f t="shared" si="524"/>
        <v>0</v>
      </c>
    </row>
    <row r="31115" spans="20:20" ht="18.75" customHeight="1" x14ac:dyDescent="0.35">
      <c r="T31115" s="246">
        <f t="shared" si="524"/>
        <v>0</v>
      </c>
    </row>
    <row r="31116" spans="20:20" ht="18.75" customHeight="1" x14ac:dyDescent="0.35">
      <c r="T31116" s="246">
        <f t="shared" si="524"/>
        <v>0</v>
      </c>
    </row>
    <row r="31117" spans="20:20" ht="18.75" customHeight="1" x14ac:dyDescent="0.35">
      <c r="T31117" s="246">
        <f t="shared" si="524"/>
        <v>0</v>
      </c>
    </row>
    <row r="31118" spans="20:20" ht="18.75" customHeight="1" x14ac:dyDescent="0.35">
      <c r="T31118" s="246">
        <f t="shared" si="524"/>
        <v>0</v>
      </c>
    </row>
    <row r="31119" spans="20:20" ht="18.75" customHeight="1" x14ac:dyDescent="0.35">
      <c r="T31119" s="246">
        <f t="shared" si="524"/>
        <v>0</v>
      </c>
    </row>
    <row r="31120" spans="20:20" ht="18.75" customHeight="1" x14ac:dyDescent="0.35">
      <c r="T31120" s="246">
        <f t="shared" si="524"/>
        <v>0</v>
      </c>
    </row>
    <row r="31121" spans="20:20" ht="18.75" customHeight="1" x14ac:dyDescent="0.35">
      <c r="T31121" s="246">
        <f t="shared" si="524"/>
        <v>0</v>
      </c>
    </row>
    <row r="31122" spans="20:20" ht="18.75" customHeight="1" x14ac:dyDescent="0.35">
      <c r="T31122" s="246">
        <f t="shared" si="524"/>
        <v>0</v>
      </c>
    </row>
    <row r="31123" spans="20:20" ht="18.75" customHeight="1" x14ac:dyDescent="0.35">
      <c r="T31123" s="246">
        <f t="shared" si="524"/>
        <v>0</v>
      </c>
    </row>
    <row r="31124" spans="20:20" ht="18.75" customHeight="1" x14ac:dyDescent="0.35">
      <c r="T31124" s="246">
        <f t="shared" si="524"/>
        <v>0</v>
      </c>
    </row>
    <row r="31125" spans="20:20" ht="18.75" customHeight="1" x14ac:dyDescent="0.35">
      <c r="T31125" s="246">
        <f t="shared" si="524"/>
        <v>0</v>
      </c>
    </row>
    <row r="31126" spans="20:20" ht="18.75" customHeight="1" x14ac:dyDescent="0.35">
      <c r="T31126" s="246">
        <f t="shared" si="524"/>
        <v>0</v>
      </c>
    </row>
    <row r="31127" spans="20:20" ht="18.75" customHeight="1" x14ac:dyDescent="0.35">
      <c r="T31127" s="246">
        <f t="shared" si="524"/>
        <v>0</v>
      </c>
    </row>
    <row r="31128" spans="20:20" ht="18.75" customHeight="1" x14ac:dyDescent="0.35">
      <c r="T31128" s="246">
        <f t="shared" si="524"/>
        <v>0</v>
      </c>
    </row>
    <row r="31129" spans="20:20" ht="18.75" customHeight="1" x14ac:dyDescent="0.35">
      <c r="T31129" s="246">
        <f t="shared" si="524"/>
        <v>0</v>
      </c>
    </row>
    <row r="31130" spans="20:20" ht="18.75" customHeight="1" x14ac:dyDescent="0.35">
      <c r="T31130" s="246">
        <f t="shared" si="524"/>
        <v>0</v>
      </c>
    </row>
    <row r="31131" spans="20:20" ht="18.75" customHeight="1" x14ac:dyDescent="0.35">
      <c r="T31131" s="246">
        <f t="shared" si="524"/>
        <v>0</v>
      </c>
    </row>
    <row r="31132" spans="20:20" ht="18.75" customHeight="1" x14ac:dyDescent="0.35">
      <c r="T31132" s="246">
        <f t="shared" si="524"/>
        <v>0</v>
      </c>
    </row>
    <row r="31133" spans="20:20" ht="18.75" customHeight="1" x14ac:dyDescent="0.35">
      <c r="T31133" s="246">
        <f t="shared" si="524"/>
        <v>0</v>
      </c>
    </row>
    <row r="31134" spans="20:20" ht="18.75" customHeight="1" x14ac:dyDescent="0.35">
      <c r="T31134" s="246">
        <f t="shared" si="524"/>
        <v>0</v>
      </c>
    </row>
    <row r="31135" spans="20:20" ht="18.75" customHeight="1" x14ac:dyDescent="0.35">
      <c r="T31135" s="246">
        <f t="shared" si="524"/>
        <v>0</v>
      </c>
    </row>
    <row r="31136" spans="20:20" ht="18.75" customHeight="1" x14ac:dyDescent="0.35">
      <c r="T31136" s="246">
        <f t="shared" si="524"/>
        <v>0</v>
      </c>
    </row>
    <row r="31137" spans="20:20" ht="18.75" customHeight="1" x14ac:dyDescent="0.35">
      <c r="T31137" s="246">
        <f t="shared" si="524"/>
        <v>0</v>
      </c>
    </row>
    <row r="31138" spans="20:20" ht="18.75" customHeight="1" x14ac:dyDescent="0.35">
      <c r="T31138" s="246">
        <f t="shared" si="524"/>
        <v>0</v>
      </c>
    </row>
    <row r="31139" spans="20:20" ht="18.75" customHeight="1" x14ac:dyDescent="0.35">
      <c r="T31139" s="246">
        <f t="shared" si="524"/>
        <v>0</v>
      </c>
    </row>
    <row r="31140" spans="20:20" ht="18.75" customHeight="1" x14ac:dyDescent="0.35">
      <c r="T31140" s="246">
        <f t="shared" si="524"/>
        <v>0</v>
      </c>
    </row>
    <row r="31141" spans="20:20" ht="18.75" customHeight="1" x14ac:dyDescent="0.35">
      <c r="T31141" s="246">
        <f t="shared" si="524"/>
        <v>0</v>
      </c>
    </row>
    <row r="31142" spans="20:20" ht="18.75" customHeight="1" x14ac:dyDescent="0.35">
      <c r="T31142" s="246">
        <f t="shared" si="524"/>
        <v>0</v>
      </c>
    </row>
    <row r="31143" spans="20:20" ht="18.75" customHeight="1" x14ac:dyDescent="0.35">
      <c r="T31143" s="246">
        <f t="shared" si="524"/>
        <v>0</v>
      </c>
    </row>
    <row r="31144" spans="20:20" ht="18.75" customHeight="1" x14ac:dyDescent="0.35">
      <c r="T31144" s="246">
        <f t="shared" si="524"/>
        <v>0</v>
      </c>
    </row>
    <row r="31145" spans="20:20" ht="18.75" customHeight="1" x14ac:dyDescent="0.35">
      <c r="T31145" s="246">
        <f t="shared" si="524"/>
        <v>0</v>
      </c>
    </row>
    <row r="31146" spans="20:20" ht="18.75" customHeight="1" x14ac:dyDescent="0.35">
      <c r="T31146" s="246">
        <f t="shared" si="524"/>
        <v>0</v>
      </c>
    </row>
    <row r="31147" spans="20:20" ht="18.75" customHeight="1" x14ac:dyDescent="0.35">
      <c r="T31147" s="246">
        <f t="shared" si="524"/>
        <v>0</v>
      </c>
    </row>
    <row r="31148" spans="20:20" ht="18.75" customHeight="1" x14ac:dyDescent="0.35">
      <c r="T31148" s="246">
        <f t="shared" si="524"/>
        <v>0</v>
      </c>
    </row>
    <row r="31149" spans="20:20" ht="18.75" customHeight="1" x14ac:dyDescent="0.35">
      <c r="T31149" s="246">
        <f t="shared" si="524"/>
        <v>0</v>
      </c>
    </row>
    <row r="31150" spans="20:20" ht="18.75" customHeight="1" x14ac:dyDescent="0.35">
      <c r="T31150" s="246">
        <f t="shared" si="524"/>
        <v>0</v>
      </c>
    </row>
    <row r="31151" spans="20:20" ht="18.75" customHeight="1" x14ac:dyDescent="0.35">
      <c r="T31151" s="246">
        <f t="shared" si="524"/>
        <v>0</v>
      </c>
    </row>
    <row r="31152" spans="20:20" ht="18.75" customHeight="1" x14ac:dyDescent="0.35">
      <c r="T31152" s="246">
        <f t="shared" si="524"/>
        <v>0</v>
      </c>
    </row>
    <row r="31153" spans="20:20" ht="18.75" customHeight="1" x14ac:dyDescent="0.35">
      <c r="T31153" s="246">
        <f t="shared" si="524"/>
        <v>0</v>
      </c>
    </row>
    <row r="31154" spans="20:20" ht="18.75" customHeight="1" x14ac:dyDescent="0.35">
      <c r="T31154" s="246">
        <f t="shared" si="524"/>
        <v>0</v>
      </c>
    </row>
    <row r="31155" spans="20:20" ht="18.75" customHeight="1" x14ac:dyDescent="0.35">
      <c r="T31155" s="246">
        <f t="shared" si="524"/>
        <v>0</v>
      </c>
    </row>
    <row r="31156" spans="20:20" ht="18.75" customHeight="1" x14ac:dyDescent="0.35">
      <c r="T31156" s="246">
        <f t="shared" si="524"/>
        <v>0</v>
      </c>
    </row>
    <row r="31157" spans="20:20" ht="18.75" customHeight="1" x14ac:dyDescent="0.35">
      <c r="T31157" s="246">
        <f t="shared" si="524"/>
        <v>0</v>
      </c>
    </row>
    <row r="31158" spans="20:20" ht="18.75" customHeight="1" x14ac:dyDescent="0.35">
      <c r="T31158" s="246">
        <f t="shared" si="524"/>
        <v>0</v>
      </c>
    </row>
    <row r="31159" spans="20:20" ht="18.75" customHeight="1" x14ac:dyDescent="0.35">
      <c r="T31159" s="246">
        <f t="shared" si="524"/>
        <v>0</v>
      </c>
    </row>
    <row r="31160" spans="20:20" ht="18.75" customHeight="1" x14ac:dyDescent="0.35">
      <c r="T31160" s="246">
        <f t="shared" si="524"/>
        <v>0</v>
      </c>
    </row>
    <row r="31161" spans="20:20" ht="18.75" customHeight="1" x14ac:dyDescent="0.35">
      <c r="T31161" s="246">
        <f t="shared" si="524"/>
        <v>0</v>
      </c>
    </row>
    <row r="31162" spans="20:20" ht="18.75" customHeight="1" x14ac:dyDescent="0.35">
      <c r="T31162" s="246">
        <f t="shared" si="524"/>
        <v>0</v>
      </c>
    </row>
    <row r="31163" spans="20:20" ht="18.75" customHeight="1" x14ac:dyDescent="0.35">
      <c r="T31163" s="246">
        <f t="shared" si="524"/>
        <v>0</v>
      </c>
    </row>
    <row r="31164" spans="20:20" ht="18.75" customHeight="1" x14ac:dyDescent="0.35">
      <c r="T31164" s="246">
        <f t="shared" ref="T31164:T31227" si="525">R31164*0.01</f>
        <v>0</v>
      </c>
    </row>
    <row r="31165" spans="20:20" ht="18.75" customHeight="1" x14ac:dyDescent="0.35">
      <c r="T31165" s="246">
        <f t="shared" si="525"/>
        <v>0</v>
      </c>
    </row>
    <row r="31166" spans="20:20" ht="18.75" customHeight="1" x14ac:dyDescent="0.35">
      <c r="T31166" s="246">
        <f t="shared" si="525"/>
        <v>0</v>
      </c>
    </row>
    <row r="31167" spans="20:20" ht="18.75" customHeight="1" x14ac:dyDescent="0.35">
      <c r="T31167" s="246">
        <f t="shared" si="525"/>
        <v>0</v>
      </c>
    </row>
    <row r="31168" spans="20:20" ht="18.75" customHeight="1" x14ac:dyDescent="0.35">
      <c r="T31168" s="246">
        <f t="shared" si="525"/>
        <v>0</v>
      </c>
    </row>
    <row r="31169" spans="20:20" ht="18.75" customHeight="1" x14ac:dyDescent="0.35">
      <c r="T31169" s="246">
        <f t="shared" si="525"/>
        <v>0</v>
      </c>
    </row>
    <row r="31170" spans="20:20" ht="18.75" customHeight="1" x14ac:dyDescent="0.35">
      <c r="T31170" s="246">
        <f t="shared" si="525"/>
        <v>0</v>
      </c>
    </row>
    <row r="31171" spans="20:20" ht="18.75" customHeight="1" x14ac:dyDescent="0.35">
      <c r="T31171" s="246">
        <f t="shared" si="525"/>
        <v>0</v>
      </c>
    </row>
    <row r="31172" spans="20:20" ht="18.75" customHeight="1" x14ac:dyDescent="0.35">
      <c r="T31172" s="246">
        <f t="shared" si="525"/>
        <v>0</v>
      </c>
    </row>
    <row r="31173" spans="20:20" ht="18.75" customHeight="1" x14ac:dyDescent="0.35">
      <c r="T31173" s="246">
        <f t="shared" si="525"/>
        <v>0</v>
      </c>
    </row>
    <row r="31174" spans="20:20" ht="18.75" customHeight="1" x14ac:dyDescent="0.35">
      <c r="T31174" s="246">
        <f t="shared" si="525"/>
        <v>0</v>
      </c>
    </row>
    <row r="31175" spans="20:20" ht="18.75" customHeight="1" x14ac:dyDescent="0.35">
      <c r="T31175" s="246">
        <f t="shared" si="525"/>
        <v>0</v>
      </c>
    </row>
    <row r="31176" spans="20:20" ht="18.75" customHeight="1" x14ac:dyDescent="0.35">
      <c r="T31176" s="246">
        <f t="shared" si="525"/>
        <v>0</v>
      </c>
    </row>
    <row r="31177" spans="20:20" ht="18.75" customHeight="1" x14ac:dyDescent="0.35">
      <c r="T31177" s="246">
        <f t="shared" si="525"/>
        <v>0</v>
      </c>
    </row>
    <row r="31178" spans="20:20" ht="18.75" customHeight="1" x14ac:dyDescent="0.35">
      <c r="T31178" s="246">
        <f t="shared" si="525"/>
        <v>0</v>
      </c>
    </row>
    <row r="31179" spans="20:20" ht="18.75" customHeight="1" x14ac:dyDescent="0.35">
      <c r="T31179" s="246">
        <f t="shared" si="525"/>
        <v>0</v>
      </c>
    </row>
    <row r="31180" spans="20:20" ht="18.75" customHeight="1" x14ac:dyDescent="0.35">
      <c r="T31180" s="246">
        <f t="shared" si="525"/>
        <v>0</v>
      </c>
    </row>
    <row r="31181" spans="20:20" ht="18.75" customHeight="1" x14ac:dyDescent="0.35">
      <c r="T31181" s="246">
        <f t="shared" si="525"/>
        <v>0</v>
      </c>
    </row>
    <row r="31182" spans="20:20" ht="18.75" customHeight="1" x14ac:dyDescent="0.35">
      <c r="T31182" s="246">
        <f t="shared" si="525"/>
        <v>0</v>
      </c>
    </row>
    <row r="31183" spans="20:20" ht="18.75" customHeight="1" x14ac:dyDescent="0.35">
      <c r="T31183" s="246">
        <f t="shared" si="525"/>
        <v>0</v>
      </c>
    </row>
    <row r="31184" spans="20:20" ht="18.75" customHeight="1" x14ac:dyDescent="0.35">
      <c r="T31184" s="246">
        <f t="shared" si="525"/>
        <v>0</v>
      </c>
    </row>
    <row r="31185" spans="20:20" ht="18.75" customHeight="1" x14ac:dyDescent="0.35">
      <c r="T31185" s="246">
        <f t="shared" si="525"/>
        <v>0</v>
      </c>
    </row>
    <row r="31186" spans="20:20" ht="18.75" customHeight="1" x14ac:dyDescent="0.35">
      <c r="T31186" s="246">
        <f t="shared" si="525"/>
        <v>0</v>
      </c>
    </row>
    <row r="31187" spans="20:20" ht="18.75" customHeight="1" x14ac:dyDescent="0.35">
      <c r="T31187" s="246">
        <f t="shared" si="525"/>
        <v>0</v>
      </c>
    </row>
    <row r="31188" spans="20:20" ht="18.75" customHeight="1" x14ac:dyDescent="0.35">
      <c r="T31188" s="246">
        <f t="shared" si="525"/>
        <v>0</v>
      </c>
    </row>
    <row r="31189" spans="20:20" ht="18.75" customHeight="1" x14ac:dyDescent="0.35">
      <c r="T31189" s="246">
        <f t="shared" si="525"/>
        <v>0</v>
      </c>
    </row>
    <row r="31190" spans="20:20" ht="18.75" customHeight="1" x14ac:dyDescent="0.35">
      <c r="T31190" s="246">
        <f t="shared" si="525"/>
        <v>0</v>
      </c>
    </row>
    <row r="31191" spans="20:20" ht="18.75" customHeight="1" x14ac:dyDescent="0.35">
      <c r="T31191" s="246">
        <f t="shared" si="525"/>
        <v>0</v>
      </c>
    </row>
    <row r="31192" spans="20:20" ht="18.75" customHeight="1" x14ac:dyDescent="0.35">
      <c r="T31192" s="246">
        <f t="shared" si="525"/>
        <v>0</v>
      </c>
    </row>
    <row r="31193" spans="20:20" ht="18.75" customHeight="1" x14ac:dyDescent="0.35">
      <c r="T31193" s="246">
        <f t="shared" si="525"/>
        <v>0</v>
      </c>
    </row>
    <row r="31194" spans="20:20" ht="18.75" customHeight="1" x14ac:dyDescent="0.35">
      <c r="T31194" s="246">
        <f t="shared" si="525"/>
        <v>0</v>
      </c>
    </row>
    <row r="31195" spans="20:20" ht="18.75" customHeight="1" x14ac:dyDescent="0.35">
      <c r="T31195" s="246">
        <f t="shared" si="525"/>
        <v>0</v>
      </c>
    </row>
    <row r="31196" spans="20:20" ht="18.75" customHeight="1" x14ac:dyDescent="0.35">
      <c r="T31196" s="246">
        <f t="shared" si="525"/>
        <v>0</v>
      </c>
    </row>
    <row r="31197" spans="20:20" ht="18.75" customHeight="1" x14ac:dyDescent="0.35">
      <c r="T31197" s="246">
        <f t="shared" si="525"/>
        <v>0</v>
      </c>
    </row>
    <row r="31198" spans="20:20" ht="18.75" customHeight="1" x14ac:dyDescent="0.35">
      <c r="T31198" s="246">
        <f t="shared" si="525"/>
        <v>0</v>
      </c>
    </row>
    <row r="31199" spans="20:20" ht="18.75" customHeight="1" x14ac:dyDescent="0.35">
      <c r="T31199" s="246">
        <f t="shared" si="525"/>
        <v>0</v>
      </c>
    </row>
    <row r="31200" spans="20:20" ht="18.75" customHeight="1" x14ac:dyDescent="0.35">
      <c r="T31200" s="246">
        <f t="shared" si="525"/>
        <v>0</v>
      </c>
    </row>
    <row r="31201" spans="20:20" ht="18.75" customHeight="1" x14ac:dyDescent="0.35">
      <c r="T31201" s="246">
        <f t="shared" si="525"/>
        <v>0</v>
      </c>
    </row>
    <row r="31202" spans="20:20" ht="18.75" customHeight="1" x14ac:dyDescent="0.35">
      <c r="T31202" s="246">
        <f t="shared" si="525"/>
        <v>0</v>
      </c>
    </row>
    <row r="31203" spans="20:20" ht="18.75" customHeight="1" x14ac:dyDescent="0.35">
      <c r="T31203" s="246">
        <f t="shared" si="525"/>
        <v>0</v>
      </c>
    </row>
    <row r="31204" spans="20:20" ht="18.75" customHeight="1" x14ac:dyDescent="0.35">
      <c r="T31204" s="246">
        <f t="shared" si="525"/>
        <v>0</v>
      </c>
    </row>
    <row r="31205" spans="20:20" ht="18.75" customHeight="1" x14ac:dyDescent="0.35">
      <c r="T31205" s="246">
        <f t="shared" si="525"/>
        <v>0</v>
      </c>
    </row>
    <row r="31206" spans="20:20" ht="18.75" customHeight="1" x14ac:dyDescent="0.35">
      <c r="T31206" s="246">
        <f t="shared" si="525"/>
        <v>0</v>
      </c>
    </row>
    <row r="31207" spans="20:20" ht="18.75" customHeight="1" x14ac:dyDescent="0.35">
      <c r="T31207" s="246">
        <f t="shared" si="525"/>
        <v>0</v>
      </c>
    </row>
    <row r="31208" spans="20:20" ht="18.75" customHeight="1" x14ac:dyDescent="0.35">
      <c r="T31208" s="246">
        <f t="shared" si="525"/>
        <v>0</v>
      </c>
    </row>
    <row r="31209" spans="20:20" ht="18.75" customHeight="1" x14ac:dyDescent="0.35">
      <c r="T31209" s="246">
        <f t="shared" si="525"/>
        <v>0</v>
      </c>
    </row>
    <row r="31210" spans="20:20" ht="18.75" customHeight="1" x14ac:dyDescent="0.35">
      <c r="T31210" s="246">
        <f t="shared" si="525"/>
        <v>0</v>
      </c>
    </row>
    <row r="31211" spans="20:20" ht="18.75" customHeight="1" x14ac:dyDescent="0.35">
      <c r="T31211" s="246">
        <f t="shared" si="525"/>
        <v>0</v>
      </c>
    </row>
    <row r="31212" spans="20:20" ht="18.75" customHeight="1" x14ac:dyDescent="0.35">
      <c r="T31212" s="246">
        <f t="shared" si="525"/>
        <v>0</v>
      </c>
    </row>
    <row r="31213" spans="20:20" ht="18.75" customHeight="1" x14ac:dyDescent="0.35">
      <c r="T31213" s="246">
        <f t="shared" si="525"/>
        <v>0</v>
      </c>
    </row>
    <row r="31214" spans="20:20" ht="18.75" customHeight="1" x14ac:dyDescent="0.35">
      <c r="T31214" s="246">
        <f t="shared" si="525"/>
        <v>0</v>
      </c>
    </row>
    <row r="31215" spans="20:20" ht="18.75" customHeight="1" x14ac:dyDescent="0.35">
      <c r="T31215" s="246">
        <f t="shared" si="525"/>
        <v>0</v>
      </c>
    </row>
    <row r="31216" spans="20:20" ht="18.75" customHeight="1" x14ac:dyDescent="0.35">
      <c r="T31216" s="246">
        <f t="shared" si="525"/>
        <v>0</v>
      </c>
    </row>
    <row r="31217" spans="20:20" ht="18.75" customHeight="1" x14ac:dyDescent="0.35">
      <c r="T31217" s="246">
        <f t="shared" si="525"/>
        <v>0</v>
      </c>
    </row>
    <row r="31218" spans="20:20" ht="18.75" customHeight="1" x14ac:dyDescent="0.35">
      <c r="T31218" s="246">
        <f t="shared" si="525"/>
        <v>0</v>
      </c>
    </row>
    <row r="31219" spans="20:20" ht="18.75" customHeight="1" x14ac:dyDescent="0.35">
      <c r="T31219" s="246">
        <f t="shared" si="525"/>
        <v>0</v>
      </c>
    </row>
    <row r="31220" spans="20:20" ht="18.75" customHeight="1" x14ac:dyDescent="0.35">
      <c r="T31220" s="246">
        <f t="shared" si="525"/>
        <v>0</v>
      </c>
    </row>
    <row r="31221" spans="20:20" ht="18.75" customHeight="1" x14ac:dyDescent="0.35">
      <c r="T31221" s="246">
        <f t="shared" si="525"/>
        <v>0</v>
      </c>
    </row>
    <row r="31222" spans="20:20" ht="18.75" customHeight="1" x14ac:dyDescent="0.35">
      <c r="T31222" s="246">
        <f t="shared" si="525"/>
        <v>0</v>
      </c>
    </row>
    <row r="31223" spans="20:20" ht="18.75" customHeight="1" x14ac:dyDescent="0.35">
      <c r="T31223" s="246">
        <f t="shared" si="525"/>
        <v>0</v>
      </c>
    </row>
    <row r="31224" spans="20:20" ht="18.75" customHeight="1" x14ac:dyDescent="0.35">
      <c r="T31224" s="246">
        <f t="shared" si="525"/>
        <v>0</v>
      </c>
    </row>
    <row r="31225" spans="20:20" ht="18.75" customHeight="1" x14ac:dyDescent="0.35">
      <c r="T31225" s="246">
        <f t="shared" si="525"/>
        <v>0</v>
      </c>
    </row>
    <row r="31226" spans="20:20" ht="18.75" customHeight="1" x14ac:dyDescent="0.35">
      <c r="T31226" s="246">
        <f t="shared" si="525"/>
        <v>0</v>
      </c>
    </row>
    <row r="31227" spans="20:20" ht="18.75" customHeight="1" x14ac:dyDescent="0.35">
      <c r="T31227" s="246">
        <f t="shared" si="525"/>
        <v>0</v>
      </c>
    </row>
    <row r="31228" spans="20:20" ht="18.75" customHeight="1" x14ac:dyDescent="0.35">
      <c r="T31228" s="246">
        <f t="shared" ref="T31228:T31291" si="526">R31228*0.01</f>
        <v>0</v>
      </c>
    </row>
    <row r="31229" spans="20:20" ht="18.75" customHeight="1" x14ac:dyDescent="0.35">
      <c r="T31229" s="246">
        <f t="shared" si="526"/>
        <v>0</v>
      </c>
    </row>
    <row r="31230" spans="20:20" ht="18.75" customHeight="1" x14ac:dyDescent="0.35">
      <c r="T31230" s="246">
        <f t="shared" si="526"/>
        <v>0</v>
      </c>
    </row>
    <row r="31231" spans="20:20" ht="18.75" customHeight="1" x14ac:dyDescent="0.35">
      <c r="T31231" s="246">
        <f t="shared" si="526"/>
        <v>0</v>
      </c>
    </row>
    <row r="31232" spans="20:20" ht="18.75" customHeight="1" x14ac:dyDescent="0.35">
      <c r="T31232" s="246">
        <f t="shared" si="526"/>
        <v>0</v>
      </c>
    </row>
    <row r="31233" spans="20:20" ht="18.75" customHeight="1" x14ac:dyDescent="0.35">
      <c r="T31233" s="246">
        <f t="shared" si="526"/>
        <v>0</v>
      </c>
    </row>
    <row r="31234" spans="20:20" ht="18.75" customHeight="1" x14ac:dyDescent="0.35">
      <c r="T31234" s="246">
        <f t="shared" si="526"/>
        <v>0</v>
      </c>
    </row>
    <row r="31235" spans="20:20" ht="18.75" customHeight="1" x14ac:dyDescent="0.35">
      <c r="T31235" s="246">
        <f t="shared" si="526"/>
        <v>0</v>
      </c>
    </row>
    <row r="31236" spans="20:20" ht="18.75" customHeight="1" x14ac:dyDescent="0.35">
      <c r="T31236" s="246">
        <f t="shared" si="526"/>
        <v>0</v>
      </c>
    </row>
    <row r="31237" spans="20:20" ht="18.75" customHeight="1" x14ac:dyDescent="0.35">
      <c r="T31237" s="246">
        <f t="shared" si="526"/>
        <v>0</v>
      </c>
    </row>
    <row r="31238" spans="20:20" ht="18.75" customHeight="1" x14ac:dyDescent="0.35">
      <c r="T31238" s="246">
        <f t="shared" si="526"/>
        <v>0</v>
      </c>
    </row>
    <row r="31239" spans="20:20" ht="18.75" customHeight="1" x14ac:dyDescent="0.35">
      <c r="T31239" s="246">
        <f t="shared" si="526"/>
        <v>0</v>
      </c>
    </row>
    <row r="31240" spans="20:20" ht="18.75" customHeight="1" x14ac:dyDescent="0.35">
      <c r="T31240" s="246">
        <f t="shared" si="526"/>
        <v>0</v>
      </c>
    </row>
    <row r="31241" spans="20:20" ht="18.75" customHeight="1" x14ac:dyDescent="0.35">
      <c r="T31241" s="246">
        <f t="shared" si="526"/>
        <v>0</v>
      </c>
    </row>
    <row r="31242" spans="20:20" ht="18.75" customHeight="1" x14ac:dyDescent="0.35">
      <c r="T31242" s="246">
        <f t="shared" si="526"/>
        <v>0</v>
      </c>
    </row>
    <row r="31243" spans="20:20" ht="18.75" customHeight="1" x14ac:dyDescent="0.35">
      <c r="T31243" s="246">
        <f t="shared" si="526"/>
        <v>0</v>
      </c>
    </row>
    <row r="31244" spans="20:20" ht="18.75" customHeight="1" x14ac:dyDescent="0.35">
      <c r="T31244" s="246">
        <f t="shared" si="526"/>
        <v>0</v>
      </c>
    </row>
    <row r="31245" spans="20:20" ht="18.75" customHeight="1" x14ac:dyDescent="0.35">
      <c r="T31245" s="246">
        <f t="shared" si="526"/>
        <v>0</v>
      </c>
    </row>
    <row r="31246" spans="20:20" ht="18.75" customHeight="1" x14ac:dyDescent="0.35">
      <c r="T31246" s="246">
        <f t="shared" si="526"/>
        <v>0</v>
      </c>
    </row>
    <row r="31247" spans="20:20" ht="18.75" customHeight="1" x14ac:dyDescent="0.35">
      <c r="T31247" s="246">
        <f t="shared" si="526"/>
        <v>0</v>
      </c>
    </row>
    <row r="31248" spans="20:20" ht="18.75" customHeight="1" x14ac:dyDescent="0.35">
      <c r="T31248" s="246">
        <f t="shared" si="526"/>
        <v>0</v>
      </c>
    </row>
    <row r="31249" spans="20:20" ht="18.75" customHeight="1" x14ac:dyDescent="0.35">
      <c r="T31249" s="246">
        <f t="shared" si="526"/>
        <v>0</v>
      </c>
    </row>
    <row r="31250" spans="20:20" ht="18.75" customHeight="1" x14ac:dyDescent="0.35">
      <c r="T31250" s="246">
        <f t="shared" si="526"/>
        <v>0</v>
      </c>
    </row>
    <row r="31251" spans="20:20" ht="18.75" customHeight="1" x14ac:dyDescent="0.35">
      <c r="T31251" s="246">
        <f t="shared" si="526"/>
        <v>0</v>
      </c>
    </row>
    <row r="31252" spans="20:20" ht="18.75" customHeight="1" x14ac:dyDescent="0.35">
      <c r="T31252" s="246">
        <f t="shared" si="526"/>
        <v>0</v>
      </c>
    </row>
    <row r="31253" spans="20:20" ht="18.75" customHeight="1" x14ac:dyDescent="0.35">
      <c r="T31253" s="246">
        <f t="shared" si="526"/>
        <v>0</v>
      </c>
    </row>
    <row r="31254" spans="20:20" ht="18.75" customHeight="1" x14ac:dyDescent="0.35">
      <c r="T31254" s="246">
        <f t="shared" si="526"/>
        <v>0</v>
      </c>
    </row>
    <row r="31255" spans="20:20" ht="18.75" customHeight="1" x14ac:dyDescent="0.35">
      <c r="T31255" s="246">
        <f t="shared" si="526"/>
        <v>0</v>
      </c>
    </row>
    <row r="31256" spans="20:20" ht="18.75" customHeight="1" x14ac:dyDescent="0.35">
      <c r="T31256" s="246">
        <f t="shared" si="526"/>
        <v>0</v>
      </c>
    </row>
    <row r="31257" spans="20:20" ht="18.75" customHeight="1" x14ac:dyDescent="0.35">
      <c r="T31257" s="246">
        <f t="shared" si="526"/>
        <v>0</v>
      </c>
    </row>
    <row r="31258" spans="20:20" ht="18.75" customHeight="1" x14ac:dyDescent="0.35">
      <c r="T31258" s="246">
        <f t="shared" si="526"/>
        <v>0</v>
      </c>
    </row>
    <row r="31259" spans="20:20" ht="18.75" customHeight="1" x14ac:dyDescent="0.35">
      <c r="T31259" s="246">
        <f t="shared" si="526"/>
        <v>0</v>
      </c>
    </row>
    <row r="31260" spans="20:20" ht="18.75" customHeight="1" x14ac:dyDescent="0.35">
      <c r="T31260" s="246">
        <f t="shared" si="526"/>
        <v>0</v>
      </c>
    </row>
    <row r="31261" spans="20:20" ht="18.75" customHeight="1" x14ac:dyDescent="0.35">
      <c r="T31261" s="246">
        <f t="shared" si="526"/>
        <v>0</v>
      </c>
    </row>
    <row r="31262" spans="20:20" ht="18.75" customHeight="1" x14ac:dyDescent="0.35">
      <c r="T31262" s="246">
        <f t="shared" si="526"/>
        <v>0</v>
      </c>
    </row>
    <row r="31263" spans="20:20" ht="18.75" customHeight="1" x14ac:dyDescent="0.35">
      <c r="T31263" s="246">
        <f t="shared" si="526"/>
        <v>0</v>
      </c>
    </row>
    <row r="31264" spans="20:20" ht="18.75" customHeight="1" x14ac:dyDescent="0.35">
      <c r="T31264" s="246">
        <f t="shared" si="526"/>
        <v>0</v>
      </c>
    </row>
    <row r="31265" spans="20:20" ht="18.75" customHeight="1" x14ac:dyDescent="0.35">
      <c r="T31265" s="246">
        <f t="shared" si="526"/>
        <v>0</v>
      </c>
    </row>
    <row r="31266" spans="20:20" ht="18.75" customHeight="1" x14ac:dyDescent="0.35">
      <c r="T31266" s="246">
        <f t="shared" si="526"/>
        <v>0</v>
      </c>
    </row>
    <row r="31267" spans="20:20" ht="18.75" customHeight="1" x14ac:dyDescent="0.35">
      <c r="T31267" s="246">
        <f t="shared" si="526"/>
        <v>0</v>
      </c>
    </row>
    <row r="31268" spans="20:20" ht="18.75" customHeight="1" x14ac:dyDescent="0.35">
      <c r="T31268" s="246">
        <f t="shared" si="526"/>
        <v>0</v>
      </c>
    </row>
    <row r="31269" spans="20:20" ht="18.75" customHeight="1" x14ac:dyDescent="0.35">
      <c r="T31269" s="246">
        <f t="shared" si="526"/>
        <v>0</v>
      </c>
    </row>
    <row r="31270" spans="20:20" ht="18.75" customHeight="1" x14ac:dyDescent="0.35">
      <c r="T31270" s="246">
        <f t="shared" si="526"/>
        <v>0</v>
      </c>
    </row>
    <row r="31271" spans="20:20" ht="18.75" customHeight="1" x14ac:dyDescent="0.35">
      <c r="T31271" s="246">
        <f t="shared" si="526"/>
        <v>0</v>
      </c>
    </row>
    <row r="31272" spans="20:20" ht="18.75" customHeight="1" x14ac:dyDescent="0.35">
      <c r="T31272" s="246">
        <f t="shared" si="526"/>
        <v>0</v>
      </c>
    </row>
    <row r="31273" spans="20:20" ht="18.75" customHeight="1" x14ac:dyDescent="0.35">
      <c r="T31273" s="246">
        <f t="shared" si="526"/>
        <v>0</v>
      </c>
    </row>
    <row r="31274" spans="20:20" ht="18.75" customHeight="1" x14ac:dyDescent="0.35">
      <c r="T31274" s="246">
        <f t="shared" si="526"/>
        <v>0</v>
      </c>
    </row>
    <row r="31275" spans="20:20" ht="18.75" customHeight="1" x14ac:dyDescent="0.35">
      <c r="T31275" s="246">
        <f t="shared" si="526"/>
        <v>0</v>
      </c>
    </row>
    <row r="31276" spans="20:20" ht="18.75" customHeight="1" x14ac:dyDescent="0.35">
      <c r="T31276" s="246">
        <f t="shared" si="526"/>
        <v>0</v>
      </c>
    </row>
    <row r="31277" spans="20:20" ht="18.75" customHeight="1" x14ac:dyDescent="0.35">
      <c r="T31277" s="246">
        <f t="shared" si="526"/>
        <v>0</v>
      </c>
    </row>
    <row r="31278" spans="20:20" ht="18.75" customHeight="1" x14ac:dyDescent="0.35">
      <c r="T31278" s="246">
        <f t="shared" si="526"/>
        <v>0</v>
      </c>
    </row>
    <row r="31279" spans="20:20" ht="18.75" customHeight="1" x14ac:dyDescent="0.35">
      <c r="T31279" s="246">
        <f t="shared" si="526"/>
        <v>0</v>
      </c>
    </row>
    <row r="31280" spans="20:20" ht="18.75" customHeight="1" x14ac:dyDescent="0.35">
      <c r="T31280" s="246">
        <f t="shared" si="526"/>
        <v>0</v>
      </c>
    </row>
    <row r="31281" spans="20:20" ht="18.75" customHeight="1" x14ac:dyDescent="0.35">
      <c r="T31281" s="246">
        <f t="shared" si="526"/>
        <v>0</v>
      </c>
    </row>
    <row r="31282" spans="20:20" ht="18.75" customHeight="1" x14ac:dyDescent="0.35">
      <c r="T31282" s="246">
        <f t="shared" si="526"/>
        <v>0</v>
      </c>
    </row>
    <row r="31283" spans="20:20" ht="18.75" customHeight="1" x14ac:dyDescent="0.35">
      <c r="T31283" s="246">
        <f t="shared" si="526"/>
        <v>0</v>
      </c>
    </row>
    <row r="31284" spans="20:20" ht="18.75" customHeight="1" x14ac:dyDescent="0.35">
      <c r="T31284" s="246">
        <f t="shared" si="526"/>
        <v>0</v>
      </c>
    </row>
    <row r="31285" spans="20:20" ht="18.75" customHeight="1" x14ac:dyDescent="0.35">
      <c r="T31285" s="246">
        <f t="shared" si="526"/>
        <v>0</v>
      </c>
    </row>
    <row r="31286" spans="20:20" ht="18.75" customHeight="1" x14ac:dyDescent="0.35">
      <c r="T31286" s="246">
        <f t="shared" si="526"/>
        <v>0</v>
      </c>
    </row>
    <row r="31287" spans="20:20" ht="18.75" customHeight="1" x14ac:dyDescent="0.35">
      <c r="T31287" s="246">
        <f t="shared" si="526"/>
        <v>0</v>
      </c>
    </row>
    <row r="31288" spans="20:20" ht="18.75" customHeight="1" x14ac:dyDescent="0.35">
      <c r="T31288" s="246">
        <f t="shared" si="526"/>
        <v>0</v>
      </c>
    </row>
    <row r="31289" spans="20:20" ht="18.75" customHeight="1" x14ac:dyDescent="0.35">
      <c r="T31289" s="246">
        <f t="shared" si="526"/>
        <v>0</v>
      </c>
    </row>
    <row r="31290" spans="20:20" ht="18.75" customHeight="1" x14ac:dyDescent="0.35">
      <c r="T31290" s="246">
        <f t="shared" si="526"/>
        <v>0</v>
      </c>
    </row>
    <row r="31291" spans="20:20" ht="18.75" customHeight="1" x14ac:dyDescent="0.35">
      <c r="T31291" s="246">
        <f t="shared" si="526"/>
        <v>0</v>
      </c>
    </row>
    <row r="31292" spans="20:20" ht="18.75" customHeight="1" x14ac:dyDescent="0.35">
      <c r="T31292" s="246">
        <f t="shared" ref="T31292:T31355" si="527">R31292*0.01</f>
        <v>0</v>
      </c>
    </row>
    <row r="31293" spans="20:20" ht="18.75" customHeight="1" x14ac:dyDescent="0.35">
      <c r="T31293" s="246">
        <f t="shared" si="527"/>
        <v>0</v>
      </c>
    </row>
    <row r="31294" spans="20:20" ht="18.75" customHeight="1" x14ac:dyDescent="0.35">
      <c r="T31294" s="246">
        <f t="shared" si="527"/>
        <v>0</v>
      </c>
    </row>
    <row r="31295" spans="20:20" ht="18.75" customHeight="1" x14ac:dyDescent="0.35">
      <c r="T31295" s="246">
        <f t="shared" si="527"/>
        <v>0</v>
      </c>
    </row>
    <row r="31296" spans="20:20" ht="18.75" customHeight="1" x14ac:dyDescent="0.35">
      <c r="T31296" s="246">
        <f t="shared" si="527"/>
        <v>0</v>
      </c>
    </row>
    <row r="31297" spans="20:20" ht="18.75" customHeight="1" x14ac:dyDescent="0.35">
      <c r="T31297" s="246">
        <f t="shared" si="527"/>
        <v>0</v>
      </c>
    </row>
    <row r="31298" spans="20:20" ht="18.75" customHeight="1" x14ac:dyDescent="0.35">
      <c r="T31298" s="246">
        <f t="shared" si="527"/>
        <v>0</v>
      </c>
    </row>
    <row r="31299" spans="20:20" ht="18.75" customHeight="1" x14ac:dyDescent="0.35">
      <c r="T31299" s="246">
        <f t="shared" si="527"/>
        <v>0</v>
      </c>
    </row>
    <row r="31300" spans="20:20" ht="18.75" customHeight="1" x14ac:dyDescent="0.35">
      <c r="T31300" s="246">
        <f t="shared" si="527"/>
        <v>0</v>
      </c>
    </row>
    <row r="31301" spans="20:20" ht="18.75" customHeight="1" x14ac:dyDescent="0.35">
      <c r="T31301" s="246">
        <f t="shared" si="527"/>
        <v>0</v>
      </c>
    </row>
    <row r="31302" spans="20:20" ht="18.75" customHeight="1" x14ac:dyDescent="0.35">
      <c r="T31302" s="246">
        <f t="shared" si="527"/>
        <v>0</v>
      </c>
    </row>
    <row r="31303" spans="20:20" ht="18.75" customHeight="1" x14ac:dyDescent="0.35">
      <c r="T31303" s="246">
        <f t="shared" si="527"/>
        <v>0</v>
      </c>
    </row>
    <row r="31304" spans="20:20" ht="18.75" customHeight="1" x14ac:dyDescent="0.35">
      <c r="T31304" s="246">
        <f t="shared" si="527"/>
        <v>0</v>
      </c>
    </row>
    <row r="31305" spans="20:20" ht="18.75" customHeight="1" x14ac:dyDescent="0.35">
      <c r="T31305" s="246">
        <f t="shared" si="527"/>
        <v>0</v>
      </c>
    </row>
    <row r="31306" spans="20:20" ht="18.75" customHeight="1" x14ac:dyDescent="0.35">
      <c r="T31306" s="246">
        <f t="shared" si="527"/>
        <v>0</v>
      </c>
    </row>
    <row r="31307" spans="20:20" ht="18.75" customHeight="1" x14ac:dyDescent="0.35">
      <c r="T31307" s="246">
        <f t="shared" si="527"/>
        <v>0</v>
      </c>
    </row>
    <row r="31308" spans="20:20" ht="18.75" customHeight="1" x14ac:dyDescent="0.35">
      <c r="T31308" s="246">
        <f t="shared" si="527"/>
        <v>0</v>
      </c>
    </row>
    <row r="31309" spans="20:20" ht="18.75" customHeight="1" x14ac:dyDescent="0.35">
      <c r="T31309" s="246">
        <f t="shared" si="527"/>
        <v>0</v>
      </c>
    </row>
    <row r="31310" spans="20:20" ht="18.75" customHeight="1" x14ac:dyDescent="0.35">
      <c r="T31310" s="246">
        <f t="shared" si="527"/>
        <v>0</v>
      </c>
    </row>
    <row r="31311" spans="20:20" ht="18.75" customHeight="1" x14ac:dyDescent="0.35">
      <c r="T31311" s="246">
        <f t="shared" si="527"/>
        <v>0</v>
      </c>
    </row>
    <row r="31312" spans="20:20" ht="18.75" customHeight="1" x14ac:dyDescent="0.35">
      <c r="T31312" s="246">
        <f t="shared" si="527"/>
        <v>0</v>
      </c>
    </row>
    <row r="31313" spans="20:20" ht="18.75" customHeight="1" x14ac:dyDescent="0.35">
      <c r="T31313" s="246">
        <f t="shared" si="527"/>
        <v>0</v>
      </c>
    </row>
    <row r="31314" spans="20:20" ht="18.75" customHeight="1" x14ac:dyDescent="0.35">
      <c r="T31314" s="246">
        <f t="shared" si="527"/>
        <v>0</v>
      </c>
    </row>
    <row r="31315" spans="20:20" ht="18.75" customHeight="1" x14ac:dyDescent="0.35">
      <c r="T31315" s="246">
        <f t="shared" si="527"/>
        <v>0</v>
      </c>
    </row>
    <row r="31316" spans="20:20" ht="18.75" customHeight="1" x14ac:dyDescent="0.35">
      <c r="T31316" s="246">
        <f t="shared" si="527"/>
        <v>0</v>
      </c>
    </row>
    <row r="31317" spans="20:20" ht="18.75" customHeight="1" x14ac:dyDescent="0.35">
      <c r="T31317" s="246">
        <f t="shared" si="527"/>
        <v>0</v>
      </c>
    </row>
    <row r="31318" spans="20:20" ht="18.75" customHeight="1" x14ac:dyDescent="0.35">
      <c r="T31318" s="246">
        <f t="shared" si="527"/>
        <v>0</v>
      </c>
    </row>
    <row r="31319" spans="20:20" ht="18.75" customHeight="1" x14ac:dyDescent="0.35">
      <c r="T31319" s="246">
        <f t="shared" si="527"/>
        <v>0</v>
      </c>
    </row>
    <row r="31320" spans="20:20" ht="18.75" customHeight="1" x14ac:dyDescent="0.35">
      <c r="T31320" s="246">
        <f t="shared" si="527"/>
        <v>0</v>
      </c>
    </row>
    <row r="31321" spans="20:20" ht="18.75" customHeight="1" x14ac:dyDescent="0.35">
      <c r="T31321" s="246">
        <f t="shared" si="527"/>
        <v>0</v>
      </c>
    </row>
    <row r="31322" spans="20:20" ht="18.75" customHeight="1" x14ac:dyDescent="0.35">
      <c r="T31322" s="246">
        <f t="shared" si="527"/>
        <v>0</v>
      </c>
    </row>
    <row r="31323" spans="20:20" ht="18.75" customHeight="1" x14ac:dyDescent="0.35">
      <c r="T31323" s="246">
        <f t="shared" si="527"/>
        <v>0</v>
      </c>
    </row>
    <row r="31324" spans="20:20" ht="18.75" customHeight="1" x14ac:dyDescent="0.35">
      <c r="T31324" s="246">
        <f t="shared" si="527"/>
        <v>0</v>
      </c>
    </row>
    <row r="31325" spans="20:20" ht="18.75" customHeight="1" x14ac:dyDescent="0.35">
      <c r="T31325" s="246">
        <f t="shared" si="527"/>
        <v>0</v>
      </c>
    </row>
    <row r="31326" spans="20:20" ht="18.75" customHeight="1" x14ac:dyDescent="0.35">
      <c r="T31326" s="246">
        <f t="shared" si="527"/>
        <v>0</v>
      </c>
    </row>
    <row r="31327" spans="20:20" ht="18.75" customHeight="1" x14ac:dyDescent="0.35">
      <c r="T31327" s="246">
        <f t="shared" si="527"/>
        <v>0</v>
      </c>
    </row>
    <row r="31328" spans="20:20" ht="18.75" customHeight="1" x14ac:dyDescent="0.35">
      <c r="T31328" s="246">
        <f t="shared" si="527"/>
        <v>0</v>
      </c>
    </row>
    <row r="31329" spans="20:20" ht="18.75" customHeight="1" x14ac:dyDescent="0.35">
      <c r="T31329" s="246">
        <f t="shared" si="527"/>
        <v>0</v>
      </c>
    </row>
    <row r="31330" spans="20:20" ht="18.75" customHeight="1" x14ac:dyDescent="0.35">
      <c r="T31330" s="246">
        <f t="shared" si="527"/>
        <v>0</v>
      </c>
    </row>
    <row r="31331" spans="20:20" ht="18.75" customHeight="1" x14ac:dyDescent="0.35">
      <c r="T31331" s="246">
        <f t="shared" si="527"/>
        <v>0</v>
      </c>
    </row>
    <row r="31332" spans="20:20" ht="18.75" customHeight="1" x14ac:dyDescent="0.35">
      <c r="T31332" s="246">
        <f t="shared" si="527"/>
        <v>0</v>
      </c>
    </row>
    <row r="31333" spans="20:20" ht="18.75" customHeight="1" x14ac:dyDescent="0.35">
      <c r="T31333" s="246">
        <f t="shared" si="527"/>
        <v>0</v>
      </c>
    </row>
    <row r="31334" spans="20:20" ht="18.75" customHeight="1" x14ac:dyDescent="0.35">
      <c r="T31334" s="246">
        <f t="shared" si="527"/>
        <v>0</v>
      </c>
    </row>
    <row r="31335" spans="20:20" ht="18.75" customHeight="1" x14ac:dyDescent="0.35">
      <c r="T31335" s="246">
        <f t="shared" si="527"/>
        <v>0</v>
      </c>
    </row>
    <row r="31336" spans="20:20" ht="18.75" customHeight="1" x14ac:dyDescent="0.35">
      <c r="T31336" s="246">
        <f t="shared" si="527"/>
        <v>0</v>
      </c>
    </row>
    <row r="31337" spans="20:20" ht="18.75" customHeight="1" x14ac:dyDescent="0.35">
      <c r="T31337" s="246">
        <f t="shared" si="527"/>
        <v>0</v>
      </c>
    </row>
    <row r="31338" spans="20:20" ht="18.75" customHeight="1" x14ac:dyDescent="0.35">
      <c r="T31338" s="246">
        <f t="shared" si="527"/>
        <v>0</v>
      </c>
    </row>
    <row r="31339" spans="20:20" ht="18.75" customHeight="1" x14ac:dyDescent="0.35">
      <c r="T31339" s="246">
        <f t="shared" si="527"/>
        <v>0</v>
      </c>
    </row>
    <row r="31340" spans="20:20" ht="18.75" customHeight="1" x14ac:dyDescent="0.35">
      <c r="T31340" s="246">
        <f t="shared" si="527"/>
        <v>0</v>
      </c>
    </row>
    <row r="31341" spans="20:20" ht="18.75" customHeight="1" x14ac:dyDescent="0.35">
      <c r="T31341" s="246">
        <f t="shared" si="527"/>
        <v>0</v>
      </c>
    </row>
    <row r="31342" spans="20:20" ht="18.75" customHeight="1" x14ac:dyDescent="0.35">
      <c r="T31342" s="246">
        <f t="shared" si="527"/>
        <v>0</v>
      </c>
    </row>
    <row r="31343" spans="20:20" ht="18.75" customHeight="1" x14ac:dyDescent="0.35">
      <c r="T31343" s="246">
        <f t="shared" si="527"/>
        <v>0</v>
      </c>
    </row>
    <row r="31344" spans="20:20" ht="18.75" customHeight="1" x14ac:dyDescent="0.35">
      <c r="T31344" s="246">
        <f t="shared" si="527"/>
        <v>0</v>
      </c>
    </row>
    <row r="31345" spans="20:20" ht="18.75" customHeight="1" x14ac:dyDescent="0.35">
      <c r="T31345" s="246">
        <f t="shared" si="527"/>
        <v>0</v>
      </c>
    </row>
    <row r="31346" spans="20:20" ht="18.75" customHeight="1" x14ac:dyDescent="0.35">
      <c r="T31346" s="246">
        <f t="shared" si="527"/>
        <v>0</v>
      </c>
    </row>
    <row r="31347" spans="20:20" ht="18.75" customHeight="1" x14ac:dyDescent="0.35">
      <c r="T31347" s="246">
        <f t="shared" si="527"/>
        <v>0</v>
      </c>
    </row>
    <row r="31348" spans="20:20" ht="18.75" customHeight="1" x14ac:dyDescent="0.35">
      <c r="T31348" s="246">
        <f t="shared" si="527"/>
        <v>0</v>
      </c>
    </row>
    <row r="31349" spans="20:20" ht="18.75" customHeight="1" x14ac:dyDescent="0.35">
      <c r="T31349" s="246">
        <f t="shared" si="527"/>
        <v>0</v>
      </c>
    </row>
    <row r="31350" spans="20:20" ht="18.75" customHeight="1" x14ac:dyDescent="0.35">
      <c r="T31350" s="246">
        <f t="shared" si="527"/>
        <v>0</v>
      </c>
    </row>
    <row r="31351" spans="20:20" ht="18.75" customHeight="1" x14ac:dyDescent="0.35">
      <c r="T31351" s="246">
        <f t="shared" si="527"/>
        <v>0</v>
      </c>
    </row>
    <row r="31352" spans="20:20" ht="18.75" customHeight="1" x14ac:dyDescent="0.35">
      <c r="T31352" s="246">
        <f t="shared" si="527"/>
        <v>0</v>
      </c>
    </row>
    <row r="31353" spans="20:20" ht="18.75" customHeight="1" x14ac:dyDescent="0.35">
      <c r="T31353" s="246">
        <f t="shared" si="527"/>
        <v>0</v>
      </c>
    </row>
    <row r="31354" spans="20:20" ht="18.75" customHeight="1" x14ac:dyDescent="0.35">
      <c r="T31354" s="246">
        <f t="shared" si="527"/>
        <v>0</v>
      </c>
    </row>
    <row r="31355" spans="20:20" ht="18.75" customHeight="1" x14ac:dyDescent="0.35">
      <c r="T31355" s="246">
        <f t="shared" si="527"/>
        <v>0</v>
      </c>
    </row>
    <row r="31356" spans="20:20" ht="18.75" customHeight="1" x14ac:dyDescent="0.35">
      <c r="T31356" s="246">
        <f t="shared" ref="T31356:T31419" si="528">R31356*0.01</f>
        <v>0</v>
      </c>
    </row>
    <row r="31357" spans="20:20" ht="18.75" customHeight="1" x14ac:dyDescent="0.35">
      <c r="T31357" s="246">
        <f t="shared" si="528"/>
        <v>0</v>
      </c>
    </row>
    <row r="31358" spans="20:20" ht="18.75" customHeight="1" x14ac:dyDescent="0.35">
      <c r="T31358" s="246">
        <f t="shared" si="528"/>
        <v>0</v>
      </c>
    </row>
    <row r="31359" spans="20:20" ht="18.75" customHeight="1" x14ac:dyDescent="0.35">
      <c r="T31359" s="246">
        <f t="shared" si="528"/>
        <v>0</v>
      </c>
    </row>
    <row r="31360" spans="20:20" ht="18.75" customHeight="1" x14ac:dyDescent="0.35">
      <c r="T31360" s="246">
        <f t="shared" si="528"/>
        <v>0</v>
      </c>
    </row>
    <row r="31361" spans="20:20" ht="18.75" customHeight="1" x14ac:dyDescent="0.35">
      <c r="T31361" s="246">
        <f t="shared" si="528"/>
        <v>0</v>
      </c>
    </row>
    <row r="31362" spans="20:20" ht="18.75" customHeight="1" x14ac:dyDescent="0.35">
      <c r="T31362" s="246">
        <f t="shared" si="528"/>
        <v>0</v>
      </c>
    </row>
    <row r="31363" spans="20:20" ht="18.75" customHeight="1" x14ac:dyDescent="0.35">
      <c r="T31363" s="246">
        <f t="shared" si="528"/>
        <v>0</v>
      </c>
    </row>
    <row r="31364" spans="20:20" ht="18.75" customHeight="1" x14ac:dyDescent="0.35">
      <c r="T31364" s="246">
        <f t="shared" si="528"/>
        <v>0</v>
      </c>
    </row>
    <row r="31365" spans="20:20" ht="18.75" customHeight="1" x14ac:dyDescent="0.35">
      <c r="T31365" s="246">
        <f t="shared" si="528"/>
        <v>0</v>
      </c>
    </row>
    <row r="31366" spans="20:20" ht="18.75" customHeight="1" x14ac:dyDescent="0.35">
      <c r="T31366" s="246">
        <f t="shared" si="528"/>
        <v>0</v>
      </c>
    </row>
    <row r="31367" spans="20:20" ht="18.75" customHeight="1" x14ac:dyDescent="0.35">
      <c r="T31367" s="246">
        <f t="shared" si="528"/>
        <v>0</v>
      </c>
    </row>
    <row r="31368" spans="20:20" ht="18.75" customHeight="1" x14ac:dyDescent="0.35">
      <c r="T31368" s="246">
        <f t="shared" si="528"/>
        <v>0</v>
      </c>
    </row>
    <row r="31369" spans="20:20" ht="18.75" customHeight="1" x14ac:dyDescent="0.35">
      <c r="T31369" s="246">
        <f t="shared" si="528"/>
        <v>0</v>
      </c>
    </row>
    <row r="31370" spans="20:20" ht="18.75" customHeight="1" x14ac:dyDescent="0.35">
      <c r="T31370" s="246">
        <f t="shared" si="528"/>
        <v>0</v>
      </c>
    </row>
    <row r="31371" spans="20:20" ht="18.75" customHeight="1" x14ac:dyDescent="0.35">
      <c r="T31371" s="246">
        <f t="shared" si="528"/>
        <v>0</v>
      </c>
    </row>
    <row r="31372" spans="20:20" ht="18.75" customHeight="1" x14ac:dyDescent="0.35">
      <c r="T31372" s="246">
        <f t="shared" si="528"/>
        <v>0</v>
      </c>
    </row>
    <row r="31373" spans="20:20" ht="18.75" customHeight="1" x14ac:dyDescent="0.35">
      <c r="T31373" s="246">
        <f t="shared" si="528"/>
        <v>0</v>
      </c>
    </row>
    <row r="31374" spans="20:20" ht="18.75" customHeight="1" x14ac:dyDescent="0.35">
      <c r="T31374" s="246">
        <f t="shared" si="528"/>
        <v>0</v>
      </c>
    </row>
    <row r="31375" spans="20:20" ht="18.75" customHeight="1" x14ac:dyDescent="0.35">
      <c r="T31375" s="246">
        <f t="shared" si="528"/>
        <v>0</v>
      </c>
    </row>
    <row r="31376" spans="20:20" ht="18.75" customHeight="1" x14ac:dyDescent="0.35">
      <c r="T31376" s="246">
        <f t="shared" si="528"/>
        <v>0</v>
      </c>
    </row>
    <row r="31377" spans="20:20" ht="18.75" customHeight="1" x14ac:dyDescent="0.35">
      <c r="T31377" s="246">
        <f t="shared" si="528"/>
        <v>0</v>
      </c>
    </row>
    <row r="31378" spans="20:20" ht="18.75" customHeight="1" x14ac:dyDescent="0.35">
      <c r="T31378" s="246">
        <f t="shared" si="528"/>
        <v>0</v>
      </c>
    </row>
    <row r="31379" spans="20:20" ht="18.75" customHeight="1" x14ac:dyDescent="0.35">
      <c r="T31379" s="246">
        <f t="shared" si="528"/>
        <v>0</v>
      </c>
    </row>
    <row r="31380" spans="20:20" ht="18.75" customHeight="1" x14ac:dyDescent="0.35">
      <c r="T31380" s="246">
        <f t="shared" si="528"/>
        <v>0</v>
      </c>
    </row>
    <row r="31381" spans="20:20" ht="18.75" customHeight="1" x14ac:dyDescent="0.35">
      <c r="T31381" s="246">
        <f t="shared" si="528"/>
        <v>0</v>
      </c>
    </row>
    <row r="31382" spans="20:20" ht="18.75" customHeight="1" x14ac:dyDescent="0.35">
      <c r="T31382" s="246">
        <f t="shared" si="528"/>
        <v>0</v>
      </c>
    </row>
    <row r="31383" spans="20:20" ht="18.75" customHeight="1" x14ac:dyDescent="0.35">
      <c r="T31383" s="246">
        <f t="shared" si="528"/>
        <v>0</v>
      </c>
    </row>
    <row r="31384" spans="20:20" ht="18.75" customHeight="1" x14ac:dyDescent="0.35">
      <c r="T31384" s="246">
        <f t="shared" si="528"/>
        <v>0</v>
      </c>
    </row>
    <row r="31385" spans="20:20" ht="18.75" customHeight="1" x14ac:dyDescent="0.35">
      <c r="T31385" s="246">
        <f t="shared" si="528"/>
        <v>0</v>
      </c>
    </row>
    <row r="31386" spans="20:20" ht="18.75" customHeight="1" x14ac:dyDescent="0.35">
      <c r="T31386" s="246">
        <f t="shared" si="528"/>
        <v>0</v>
      </c>
    </row>
    <row r="31387" spans="20:20" ht="18.75" customHeight="1" x14ac:dyDescent="0.35">
      <c r="T31387" s="246">
        <f t="shared" si="528"/>
        <v>0</v>
      </c>
    </row>
    <row r="31388" spans="20:20" ht="18.75" customHeight="1" x14ac:dyDescent="0.35">
      <c r="T31388" s="246">
        <f t="shared" si="528"/>
        <v>0</v>
      </c>
    </row>
    <row r="31389" spans="20:20" ht="18.75" customHeight="1" x14ac:dyDescent="0.35">
      <c r="T31389" s="246">
        <f t="shared" si="528"/>
        <v>0</v>
      </c>
    </row>
    <row r="31390" spans="20:20" ht="18.75" customHeight="1" x14ac:dyDescent="0.35">
      <c r="T31390" s="246">
        <f t="shared" si="528"/>
        <v>0</v>
      </c>
    </row>
    <row r="31391" spans="20:20" ht="18.75" customHeight="1" x14ac:dyDescent="0.35">
      <c r="T31391" s="246">
        <f t="shared" si="528"/>
        <v>0</v>
      </c>
    </row>
    <row r="31392" spans="20:20" ht="18.75" customHeight="1" x14ac:dyDescent="0.35">
      <c r="T31392" s="246">
        <f t="shared" si="528"/>
        <v>0</v>
      </c>
    </row>
    <row r="31393" spans="20:20" ht="18.75" customHeight="1" x14ac:dyDescent="0.35">
      <c r="T31393" s="246">
        <f t="shared" si="528"/>
        <v>0</v>
      </c>
    </row>
    <row r="31394" spans="20:20" ht="18.75" customHeight="1" x14ac:dyDescent="0.35">
      <c r="T31394" s="246">
        <f t="shared" si="528"/>
        <v>0</v>
      </c>
    </row>
    <row r="31395" spans="20:20" ht="18.75" customHeight="1" x14ac:dyDescent="0.35">
      <c r="T31395" s="246">
        <f t="shared" si="528"/>
        <v>0</v>
      </c>
    </row>
    <row r="31396" spans="20:20" ht="18.75" customHeight="1" x14ac:dyDescent="0.35">
      <c r="T31396" s="246">
        <f t="shared" si="528"/>
        <v>0</v>
      </c>
    </row>
    <row r="31397" spans="20:20" ht="18.75" customHeight="1" x14ac:dyDescent="0.35">
      <c r="T31397" s="246">
        <f t="shared" si="528"/>
        <v>0</v>
      </c>
    </row>
    <row r="31398" spans="20:20" ht="18.75" customHeight="1" x14ac:dyDescent="0.35">
      <c r="T31398" s="246">
        <f t="shared" si="528"/>
        <v>0</v>
      </c>
    </row>
    <row r="31399" spans="20:20" ht="18.75" customHeight="1" x14ac:dyDescent="0.35">
      <c r="T31399" s="246">
        <f t="shared" si="528"/>
        <v>0</v>
      </c>
    </row>
    <row r="31400" spans="20:20" ht="18.75" customHeight="1" x14ac:dyDescent="0.35">
      <c r="T31400" s="246">
        <f t="shared" si="528"/>
        <v>0</v>
      </c>
    </row>
    <row r="31401" spans="20:20" ht="18.75" customHeight="1" x14ac:dyDescent="0.35">
      <c r="T31401" s="246">
        <f t="shared" si="528"/>
        <v>0</v>
      </c>
    </row>
    <row r="31402" spans="20:20" ht="18.75" customHeight="1" x14ac:dyDescent="0.35">
      <c r="T31402" s="246">
        <f t="shared" si="528"/>
        <v>0</v>
      </c>
    </row>
    <row r="31403" spans="20:20" ht="18.75" customHeight="1" x14ac:dyDescent="0.35">
      <c r="T31403" s="246">
        <f t="shared" si="528"/>
        <v>0</v>
      </c>
    </row>
    <row r="31404" spans="20:20" ht="18.75" customHeight="1" x14ac:dyDescent="0.35">
      <c r="T31404" s="246">
        <f t="shared" si="528"/>
        <v>0</v>
      </c>
    </row>
    <row r="31405" spans="20:20" ht="18.75" customHeight="1" x14ac:dyDescent="0.35">
      <c r="T31405" s="246">
        <f t="shared" si="528"/>
        <v>0</v>
      </c>
    </row>
    <row r="31406" spans="20:20" ht="18.75" customHeight="1" x14ac:dyDescent="0.35">
      <c r="T31406" s="246">
        <f t="shared" si="528"/>
        <v>0</v>
      </c>
    </row>
    <row r="31407" spans="20:20" ht="18.75" customHeight="1" x14ac:dyDescent="0.35">
      <c r="T31407" s="246">
        <f t="shared" si="528"/>
        <v>0</v>
      </c>
    </row>
    <row r="31408" spans="20:20" ht="18.75" customHeight="1" x14ac:dyDescent="0.35">
      <c r="T31408" s="246">
        <f t="shared" si="528"/>
        <v>0</v>
      </c>
    </row>
    <row r="31409" spans="20:20" ht="18.75" customHeight="1" x14ac:dyDescent="0.35">
      <c r="T31409" s="246">
        <f t="shared" si="528"/>
        <v>0</v>
      </c>
    </row>
    <row r="31410" spans="20:20" ht="18.75" customHeight="1" x14ac:dyDescent="0.35">
      <c r="T31410" s="246">
        <f t="shared" si="528"/>
        <v>0</v>
      </c>
    </row>
    <row r="31411" spans="20:20" ht="18.75" customHeight="1" x14ac:dyDescent="0.35">
      <c r="T31411" s="246">
        <f t="shared" si="528"/>
        <v>0</v>
      </c>
    </row>
    <row r="31412" spans="20:20" ht="18.75" customHeight="1" x14ac:dyDescent="0.35">
      <c r="T31412" s="246">
        <f t="shared" si="528"/>
        <v>0</v>
      </c>
    </row>
    <row r="31413" spans="20:20" ht="18.75" customHeight="1" x14ac:dyDescent="0.35">
      <c r="T31413" s="246">
        <f t="shared" si="528"/>
        <v>0</v>
      </c>
    </row>
    <row r="31414" spans="20:20" ht="18.75" customHeight="1" x14ac:dyDescent="0.35">
      <c r="T31414" s="246">
        <f t="shared" si="528"/>
        <v>0</v>
      </c>
    </row>
    <row r="31415" spans="20:20" ht="18.75" customHeight="1" x14ac:dyDescent="0.35">
      <c r="T31415" s="246">
        <f t="shared" si="528"/>
        <v>0</v>
      </c>
    </row>
    <row r="31416" spans="20:20" ht="18.75" customHeight="1" x14ac:dyDescent="0.35">
      <c r="T31416" s="246">
        <f t="shared" si="528"/>
        <v>0</v>
      </c>
    </row>
    <row r="31417" spans="20:20" ht="18.75" customHeight="1" x14ac:dyDescent="0.35">
      <c r="T31417" s="246">
        <f t="shared" si="528"/>
        <v>0</v>
      </c>
    </row>
    <row r="31418" spans="20:20" ht="18.75" customHeight="1" x14ac:dyDescent="0.35">
      <c r="T31418" s="246">
        <f t="shared" si="528"/>
        <v>0</v>
      </c>
    </row>
    <row r="31419" spans="20:20" ht="18.75" customHeight="1" x14ac:dyDescent="0.35">
      <c r="T31419" s="246">
        <f t="shared" si="528"/>
        <v>0</v>
      </c>
    </row>
    <row r="31420" spans="20:20" ht="18.75" customHeight="1" x14ac:dyDescent="0.35">
      <c r="T31420" s="246">
        <f t="shared" ref="T31420:T31483" si="529">R31420*0.01</f>
        <v>0</v>
      </c>
    </row>
    <row r="31421" spans="20:20" ht="18.75" customHeight="1" x14ac:dyDescent="0.35">
      <c r="T31421" s="246">
        <f t="shared" si="529"/>
        <v>0</v>
      </c>
    </row>
    <row r="31422" spans="20:20" ht="18.75" customHeight="1" x14ac:dyDescent="0.35">
      <c r="T31422" s="246">
        <f t="shared" si="529"/>
        <v>0</v>
      </c>
    </row>
    <row r="31423" spans="20:20" ht="18.75" customHeight="1" x14ac:dyDescent="0.35">
      <c r="T31423" s="246">
        <f t="shared" si="529"/>
        <v>0</v>
      </c>
    </row>
    <row r="31424" spans="20:20" ht="18.75" customHeight="1" x14ac:dyDescent="0.35">
      <c r="T31424" s="246">
        <f t="shared" si="529"/>
        <v>0</v>
      </c>
    </row>
    <row r="31425" spans="20:20" ht="18.75" customHeight="1" x14ac:dyDescent="0.35">
      <c r="T31425" s="246">
        <f t="shared" si="529"/>
        <v>0</v>
      </c>
    </row>
    <row r="31426" spans="20:20" ht="18.75" customHeight="1" x14ac:dyDescent="0.35">
      <c r="T31426" s="246">
        <f t="shared" si="529"/>
        <v>0</v>
      </c>
    </row>
    <row r="31427" spans="20:20" ht="18.75" customHeight="1" x14ac:dyDescent="0.35">
      <c r="T31427" s="246">
        <f t="shared" si="529"/>
        <v>0</v>
      </c>
    </row>
    <row r="31428" spans="20:20" ht="18.75" customHeight="1" x14ac:dyDescent="0.35">
      <c r="T31428" s="246">
        <f t="shared" si="529"/>
        <v>0</v>
      </c>
    </row>
    <row r="31429" spans="20:20" ht="18.75" customHeight="1" x14ac:dyDescent="0.35">
      <c r="T31429" s="246">
        <f t="shared" si="529"/>
        <v>0</v>
      </c>
    </row>
    <row r="31430" spans="20:20" ht="18.75" customHeight="1" x14ac:dyDescent="0.35">
      <c r="T31430" s="246">
        <f t="shared" si="529"/>
        <v>0</v>
      </c>
    </row>
    <row r="31431" spans="20:20" ht="18.75" customHeight="1" x14ac:dyDescent="0.35">
      <c r="T31431" s="246">
        <f t="shared" si="529"/>
        <v>0</v>
      </c>
    </row>
    <row r="31432" spans="20:20" ht="18.75" customHeight="1" x14ac:dyDescent="0.35">
      <c r="T31432" s="246">
        <f t="shared" si="529"/>
        <v>0</v>
      </c>
    </row>
    <row r="31433" spans="20:20" ht="18.75" customHeight="1" x14ac:dyDescent="0.35">
      <c r="T31433" s="246">
        <f t="shared" si="529"/>
        <v>0</v>
      </c>
    </row>
    <row r="31434" spans="20:20" ht="18.75" customHeight="1" x14ac:dyDescent="0.35">
      <c r="T31434" s="246">
        <f t="shared" si="529"/>
        <v>0</v>
      </c>
    </row>
    <row r="31435" spans="20:20" ht="18.75" customHeight="1" x14ac:dyDescent="0.35">
      <c r="T31435" s="246">
        <f t="shared" si="529"/>
        <v>0</v>
      </c>
    </row>
    <row r="31436" spans="20:20" ht="18.75" customHeight="1" x14ac:dyDescent="0.35">
      <c r="T31436" s="246">
        <f t="shared" si="529"/>
        <v>0</v>
      </c>
    </row>
    <row r="31437" spans="20:20" ht="18.75" customHeight="1" x14ac:dyDescent="0.35">
      <c r="T31437" s="246">
        <f t="shared" si="529"/>
        <v>0</v>
      </c>
    </row>
    <row r="31438" spans="20:20" ht="18.75" customHeight="1" x14ac:dyDescent="0.35">
      <c r="T31438" s="246">
        <f t="shared" si="529"/>
        <v>0</v>
      </c>
    </row>
    <row r="31439" spans="20:20" ht="18.75" customHeight="1" x14ac:dyDescent="0.35">
      <c r="T31439" s="246">
        <f t="shared" si="529"/>
        <v>0</v>
      </c>
    </row>
    <row r="31440" spans="20:20" ht="18.75" customHeight="1" x14ac:dyDescent="0.35">
      <c r="T31440" s="246">
        <f t="shared" si="529"/>
        <v>0</v>
      </c>
    </row>
    <row r="31441" spans="20:20" ht="18.75" customHeight="1" x14ac:dyDescent="0.35">
      <c r="T31441" s="246">
        <f t="shared" si="529"/>
        <v>0</v>
      </c>
    </row>
    <row r="31442" spans="20:20" ht="18.75" customHeight="1" x14ac:dyDescent="0.35">
      <c r="T31442" s="246">
        <f t="shared" si="529"/>
        <v>0</v>
      </c>
    </row>
    <row r="31443" spans="20:20" ht="18.75" customHeight="1" x14ac:dyDescent="0.35">
      <c r="T31443" s="246">
        <f t="shared" si="529"/>
        <v>0</v>
      </c>
    </row>
    <row r="31444" spans="20:20" ht="18.75" customHeight="1" x14ac:dyDescent="0.35">
      <c r="T31444" s="246">
        <f t="shared" si="529"/>
        <v>0</v>
      </c>
    </row>
    <row r="31445" spans="20:20" ht="18.75" customHeight="1" x14ac:dyDescent="0.35">
      <c r="T31445" s="246">
        <f t="shared" si="529"/>
        <v>0</v>
      </c>
    </row>
    <row r="31446" spans="20:20" ht="18.75" customHeight="1" x14ac:dyDescent="0.35">
      <c r="T31446" s="246">
        <f t="shared" si="529"/>
        <v>0</v>
      </c>
    </row>
    <row r="31447" spans="20:20" ht="18.75" customHeight="1" x14ac:dyDescent="0.35">
      <c r="T31447" s="246">
        <f t="shared" si="529"/>
        <v>0</v>
      </c>
    </row>
    <row r="31448" spans="20:20" ht="18.75" customHeight="1" x14ac:dyDescent="0.35">
      <c r="T31448" s="246">
        <f t="shared" si="529"/>
        <v>0</v>
      </c>
    </row>
    <row r="31449" spans="20:20" ht="18.75" customHeight="1" x14ac:dyDescent="0.35">
      <c r="T31449" s="246">
        <f t="shared" si="529"/>
        <v>0</v>
      </c>
    </row>
    <row r="31450" spans="20:20" ht="18.75" customHeight="1" x14ac:dyDescent="0.35">
      <c r="T31450" s="246">
        <f t="shared" si="529"/>
        <v>0</v>
      </c>
    </row>
    <row r="31451" spans="20:20" ht="18.75" customHeight="1" x14ac:dyDescent="0.35">
      <c r="T31451" s="246">
        <f t="shared" si="529"/>
        <v>0</v>
      </c>
    </row>
    <row r="31452" spans="20:20" ht="18.75" customHeight="1" x14ac:dyDescent="0.35">
      <c r="T31452" s="246">
        <f t="shared" si="529"/>
        <v>0</v>
      </c>
    </row>
    <row r="31453" spans="20:20" ht="18.75" customHeight="1" x14ac:dyDescent="0.35">
      <c r="T31453" s="246">
        <f t="shared" si="529"/>
        <v>0</v>
      </c>
    </row>
    <row r="31454" spans="20:20" ht="18.75" customHeight="1" x14ac:dyDescent="0.35">
      <c r="T31454" s="246">
        <f t="shared" si="529"/>
        <v>0</v>
      </c>
    </row>
    <row r="31455" spans="20:20" ht="18.75" customHeight="1" x14ac:dyDescent="0.35">
      <c r="T31455" s="246">
        <f t="shared" si="529"/>
        <v>0</v>
      </c>
    </row>
    <row r="31456" spans="20:20" ht="18.75" customHeight="1" x14ac:dyDescent="0.35">
      <c r="T31456" s="246">
        <f t="shared" si="529"/>
        <v>0</v>
      </c>
    </row>
    <row r="31457" spans="20:20" ht="18.75" customHeight="1" x14ac:dyDescent="0.35">
      <c r="T31457" s="246">
        <f t="shared" si="529"/>
        <v>0</v>
      </c>
    </row>
    <row r="31458" spans="20:20" ht="18.75" customHeight="1" x14ac:dyDescent="0.35">
      <c r="T31458" s="246">
        <f t="shared" si="529"/>
        <v>0</v>
      </c>
    </row>
    <row r="31459" spans="20:20" ht="18.75" customHeight="1" x14ac:dyDescent="0.35">
      <c r="T31459" s="246">
        <f t="shared" si="529"/>
        <v>0</v>
      </c>
    </row>
    <row r="31460" spans="20:20" ht="18.75" customHeight="1" x14ac:dyDescent="0.35">
      <c r="T31460" s="246">
        <f t="shared" si="529"/>
        <v>0</v>
      </c>
    </row>
    <row r="31461" spans="20:20" ht="18.75" customHeight="1" x14ac:dyDescent="0.35">
      <c r="T31461" s="246">
        <f t="shared" si="529"/>
        <v>0</v>
      </c>
    </row>
    <row r="31462" spans="20:20" ht="18.75" customHeight="1" x14ac:dyDescent="0.35">
      <c r="T31462" s="246">
        <f t="shared" si="529"/>
        <v>0</v>
      </c>
    </row>
    <row r="31463" spans="20:20" ht="18.75" customHeight="1" x14ac:dyDescent="0.35">
      <c r="T31463" s="246">
        <f t="shared" si="529"/>
        <v>0</v>
      </c>
    </row>
    <row r="31464" spans="20:20" ht="18.75" customHeight="1" x14ac:dyDescent="0.35">
      <c r="T31464" s="246">
        <f t="shared" si="529"/>
        <v>0</v>
      </c>
    </row>
    <row r="31465" spans="20:20" ht="18.75" customHeight="1" x14ac:dyDescent="0.35">
      <c r="T31465" s="246">
        <f t="shared" si="529"/>
        <v>0</v>
      </c>
    </row>
    <row r="31466" spans="20:20" ht="18.75" customHeight="1" x14ac:dyDescent="0.35">
      <c r="T31466" s="246">
        <f t="shared" si="529"/>
        <v>0</v>
      </c>
    </row>
    <row r="31467" spans="20:20" ht="18.75" customHeight="1" x14ac:dyDescent="0.35">
      <c r="T31467" s="246">
        <f t="shared" si="529"/>
        <v>0</v>
      </c>
    </row>
    <row r="31468" spans="20:20" ht="18.75" customHeight="1" x14ac:dyDescent="0.35">
      <c r="T31468" s="246">
        <f t="shared" si="529"/>
        <v>0</v>
      </c>
    </row>
    <row r="31469" spans="20:20" ht="18.75" customHeight="1" x14ac:dyDescent="0.35">
      <c r="T31469" s="246">
        <f t="shared" si="529"/>
        <v>0</v>
      </c>
    </row>
    <row r="31470" spans="20:20" ht="18.75" customHeight="1" x14ac:dyDescent="0.35">
      <c r="T31470" s="246">
        <f t="shared" si="529"/>
        <v>0</v>
      </c>
    </row>
    <row r="31471" spans="20:20" ht="18.75" customHeight="1" x14ac:dyDescent="0.35">
      <c r="T31471" s="246">
        <f t="shared" si="529"/>
        <v>0</v>
      </c>
    </row>
    <row r="31472" spans="20:20" ht="18.75" customHeight="1" x14ac:dyDescent="0.35">
      <c r="T31472" s="246">
        <f t="shared" si="529"/>
        <v>0</v>
      </c>
    </row>
    <row r="31473" spans="20:20" ht="18.75" customHeight="1" x14ac:dyDescent="0.35">
      <c r="T31473" s="246">
        <f t="shared" si="529"/>
        <v>0</v>
      </c>
    </row>
    <row r="31474" spans="20:20" ht="18.75" customHeight="1" x14ac:dyDescent="0.35">
      <c r="T31474" s="246">
        <f t="shared" si="529"/>
        <v>0</v>
      </c>
    </row>
    <row r="31475" spans="20:20" ht="18.75" customHeight="1" x14ac:dyDescent="0.35">
      <c r="T31475" s="246">
        <f t="shared" si="529"/>
        <v>0</v>
      </c>
    </row>
    <row r="31476" spans="20:20" ht="18.75" customHeight="1" x14ac:dyDescent="0.35">
      <c r="T31476" s="246">
        <f t="shared" si="529"/>
        <v>0</v>
      </c>
    </row>
    <row r="31477" spans="20:20" ht="18.75" customHeight="1" x14ac:dyDescent="0.35">
      <c r="T31477" s="246">
        <f t="shared" si="529"/>
        <v>0</v>
      </c>
    </row>
    <row r="31478" spans="20:20" ht="18.75" customHeight="1" x14ac:dyDescent="0.35">
      <c r="T31478" s="246">
        <f t="shared" si="529"/>
        <v>0</v>
      </c>
    </row>
    <row r="31479" spans="20:20" ht="18.75" customHeight="1" x14ac:dyDescent="0.35">
      <c r="T31479" s="246">
        <f t="shared" si="529"/>
        <v>0</v>
      </c>
    </row>
    <row r="31480" spans="20:20" ht="18.75" customHeight="1" x14ac:dyDescent="0.35">
      <c r="T31480" s="246">
        <f t="shared" si="529"/>
        <v>0</v>
      </c>
    </row>
    <row r="31481" spans="20:20" ht="18.75" customHeight="1" x14ac:dyDescent="0.35">
      <c r="T31481" s="246">
        <f t="shared" si="529"/>
        <v>0</v>
      </c>
    </row>
    <row r="31482" spans="20:20" ht="18.75" customHeight="1" x14ac:dyDescent="0.35">
      <c r="T31482" s="246">
        <f t="shared" si="529"/>
        <v>0</v>
      </c>
    </row>
    <row r="31483" spans="20:20" ht="18.75" customHeight="1" x14ac:dyDescent="0.35">
      <c r="T31483" s="246">
        <f t="shared" si="529"/>
        <v>0</v>
      </c>
    </row>
    <row r="31484" spans="20:20" ht="18.75" customHeight="1" x14ac:dyDescent="0.35">
      <c r="T31484" s="246">
        <f t="shared" ref="T31484:T31547" si="530">R31484*0.01</f>
        <v>0</v>
      </c>
    </row>
    <row r="31485" spans="20:20" ht="18.75" customHeight="1" x14ac:dyDescent="0.35">
      <c r="T31485" s="246">
        <f t="shared" si="530"/>
        <v>0</v>
      </c>
    </row>
    <row r="31486" spans="20:20" ht="18.75" customHeight="1" x14ac:dyDescent="0.35">
      <c r="T31486" s="246">
        <f t="shared" si="530"/>
        <v>0</v>
      </c>
    </row>
    <row r="31487" spans="20:20" ht="18.75" customHeight="1" x14ac:dyDescent="0.35">
      <c r="T31487" s="246">
        <f t="shared" si="530"/>
        <v>0</v>
      </c>
    </row>
    <row r="31488" spans="20:20" ht="18.75" customHeight="1" x14ac:dyDescent="0.35">
      <c r="T31488" s="246">
        <f t="shared" si="530"/>
        <v>0</v>
      </c>
    </row>
    <row r="31489" spans="20:20" ht="18.75" customHeight="1" x14ac:dyDescent="0.35">
      <c r="T31489" s="246">
        <f t="shared" si="530"/>
        <v>0</v>
      </c>
    </row>
    <row r="31490" spans="20:20" ht="18.75" customHeight="1" x14ac:dyDescent="0.35">
      <c r="T31490" s="246">
        <f t="shared" si="530"/>
        <v>0</v>
      </c>
    </row>
    <row r="31491" spans="20:20" ht="18.75" customHeight="1" x14ac:dyDescent="0.35">
      <c r="T31491" s="246">
        <f t="shared" si="530"/>
        <v>0</v>
      </c>
    </row>
    <row r="31492" spans="20:20" ht="18.75" customHeight="1" x14ac:dyDescent="0.35">
      <c r="T31492" s="246">
        <f t="shared" si="530"/>
        <v>0</v>
      </c>
    </row>
    <row r="31493" spans="20:20" ht="18.75" customHeight="1" x14ac:dyDescent="0.35">
      <c r="T31493" s="246">
        <f t="shared" si="530"/>
        <v>0</v>
      </c>
    </row>
    <row r="31494" spans="20:20" ht="18.75" customHeight="1" x14ac:dyDescent="0.35">
      <c r="T31494" s="246">
        <f t="shared" si="530"/>
        <v>0</v>
      </c>
    </row>
    <row r="31495" spans="20:20" ht="18.75" customHeight="1" x14ac:dyDescent="0.35">
      <c r="T31495" s="246">
        <f t="shared" si="530"/>
        <v>0</v>
      </c>
    </row>
    <row r="31496" spans="20:20" ht="18.75" customHeight="1" x14ac:dyDescent="0.35">
      <c r="T31496" s="246">
        <f t="shared" si="530"/>
        <v>0</v>
      </c>
    </row>
    <row r="31497" spans="20:20" ht="18.75" customHeight="1" x14ac:dyDescent="0.35">
      <c r="T31497" s="246">
        <f t="shared" si="530"/>
        <v>0</v>
      </c>
    </row>
    <row r="31498" spans="20:20" ht="18.75" customHeight="1" x14ac:dyDescent="0.35">
      <c r="T31498" s="246">
        <f t="shared" si="530"/>
        <v>0</v>
      </c>
    </row>
    <row r="31499" spans="20:20" ht="18.75" customHeight="1" x14ac:dyDescent="0.35">
      <c r="T31499" s="246">
        <f t="shared" si="530"/>
        <v>0</v>
      </c>
    </row>
    <row r="31500" spans="20:20" ht="18.75" customHeight="1" x14ac:dyDescent="0.35">
      <c r="T31500" s="246">
        <f t="shared" si="530"/>
        <v>0</v>
      </c>
    </row>
    <row r="31501" spans="20:20" ht="18.75" customHeight="1" x14ac:dyDescent="0.35">
      <c r="T31501" s="246">
        <f t="shared" si="530"/>
        <v>0</v>
      </c>
    </row>
    <row r="31502" spans="20:20" ht="18.75" customHeight="1" x14ac:dyDescent="0.35">
      <c r="T31502" s="246">
        <f t="shared" si="530"/>
        <v>0</v>
      </c>
    </row>
    <row r="31503" spans="20:20" ht="18.75" customHeight="1" x14ac:dyDescent="0.35">
      <c r="T31503" s="246">
        <f t="shared" si="530"/>
        <v>0</v>
      </c>
    </row>
    <row r="31504" spans="20:20" ht="18.75" customHeight="1" x14ac:dyDescent="0.35">
      <c r="T31504" s="246">
        <f t="shared" si="530"/>
        <v>0</v>
      </c>
    </row>
    <row r="31505" spans="20:20" ht="18.75" customHeight="1" x14ac:dyDescent="0.35">
      <c r="T31505" s="246">
        <f t="shared" si="530"/>
        <v>0</v>
      </c>
    </row>
    <row r="31506" spans="20:20" ht="18.75" customHeight="1" x14ac:dyDescent="0.35">
      <c r="T31506" s="246">
        <f t="shared" si="530"/>
        <v>0</v>
      </c>
    </row>
    <row r="31507" spans="20:20" ht="18.75" customHeight="1" x14ac:dyDescent="0.35">
      <c r="T31507" s="246">
        <f t="shared" si="530"/>
        <v>0</v>
      </c>
    </row>
    <row r="31508" spans="20:20" ht="18.75" customHeight="1" x14ac:dyDescent="0.35">
      <c r="T31508" s="246">
        <f t="shared" si="530"/>
        <v>0</v>
      </c>
    </row>
    <row r="31509" spans="20:20" ht="18.75" customHeight="1" x14ac:dyDescent="0.35">
      <c r="T31509" s="246">
        <f t="shared" si="530"/>
        <v>0</v>
      </c>
    </row>
    <row r="31510" spans="20:20" ht="18.75" customHeight="1" x14ac:dyDescent="0.35">
      <c r="T31510" s="246">
        <f t="shared" si="530"/>
        <v>0</v>
      </c>
    </row>
    <row r="31511" spans="20:20" ht="18.75" customHeight="1" x14ac:dyDescent="0.35">
      <c r="T31511" s="246">
        <f t="shared" si="530"/>
        <v>0</v>
      </c>
    </row>
    <row r="31512" spans="20:20" ht="18.75" customHeight="1" x14ac:dyDescent="0.35">
      <c r="T31512" s="246">
        <f t="shared" si="530"/>
        <v>0</v>
      </c>
    </row>
    <row r="31513" spans="20:20" ht="18.75" customHeight="1" x14ac:dyDescent="0.35">
      <c r="T31513" s="246">
        <f t="shared" si="530"/>
        <v>0</v>
      </c>
    </row>
    <row r="31514" spans="20:20" ht="18.75" customHeight="1" x14ac:dyDescent="0.35">
      <c r="T31514" s="246">
        <f t="shared" si="530"/>
        <v>0</v>
      </c>
    </row>
    <row r="31515" spans="20:20" ht="18.75" customHeight="1" x14ac:dyDescent="0.35">
      <c r="T31515" s="246">
        <f t="shared" si="530"/>
        <v>0</v>
      </c>
    </row>
    <row r="31516" spans="20:20" ht="18.75" customHeight="1" x14ac:dyDescent="0.35">
      <c r="T31516" s="246">
        <f t="shared" si="530"/>
        <v>0</v>
      </c>
    </row>
    <row r="31517" spans="20:20" ht="18.75" customHeight="1" x14ac:dyDescent="0.35">
      <c r="T31517" s="246">
        <f t="shared" si="530"/>
        <v>0</v>
      </c>
    </row>
    <row r="31518" spans="20:20" ht="18.75" customHeight="1" x14ac:dyDescent="0.35">
      <c r="T31518" s="246">
        <f t="shared" si="530"/>
        <v>0</v>
      </c>
    </row>
    <row r="31519" spans="20:20" ht="18.75" customHeight="1" x14ac:dyDescent="0.35">
      <c r="T31519" s="246">
        <f t="shared" si="530"/>
        <v>0</v>
      </c>
    </row>
    <row r="31520" spans="20:20" ht="18.75" customHeight="1" x14ac:dyDescent="0.35">
      <c r="T31520" s="246">
        <f t="shared" si="530"/>
        <v>0</v>
      </c>
    </row>
    <row r="31521" spans="20:20" ht="18.75" customHeight="1" x14ac:dyDescent="0.35">
      <c r="T31521" s="246">
        <f t="shared" si="530"/>
        <v>0</v>
      </c>
    </row>
    <row r="31522" spans="20:20" ht="18.75" customHeight="1" x14ac:dyDescent="0.35">
      <c r="T31522" s="246">
        <f t="shared" si="530"/>
        <v>0</v>
      </c>
    </row>
    <row r="31523" spans="20:20" ht="18.75" customHeight="1" x14ac:dyDescent="0.35">
      <c r="T31523" s="246">
        <f t="shared" si="530"/>
        <v>0</v>
      </c>
    </row>
    <row r="31524" spans="20:20" ht="18.75" customHeight="1" x14ac:dyDescent="0.35">
      <c r="T31524" s="246">
        <f t="shared" si="530"/>
        <v>0</v>
      </c>
    </row>
    <row r="31525" spans="20:20" ht="18.75" customHeight="1" x14ac:dyDescent="0.35">
      <c r="T31525" s="246">
        <f t="shared" si="530"/>
        <v>0</v>
      </c>
    </row>
    <row r="31526" spans="20:20" ht="18.75" customHeight="1" x14ac:dyDescent="0.35">
      <c r="T31526" s="246">
        <f t="shared" si="530"/>
        <v>0</v>
      </c>
    </row>
    <row r="31527" spans="20:20" ht="18.75" customHeight="1" x14ac:dyDescent="0.35">
      <c r="T31527" s="246">
        <f t="shared" si="530"/>
        <v>0</v>
      </c>
    </row>
    <row r="31528" spans="20:20" ht="18.75" customHeight="1" x14ac:dyDescent="0.35">
      <c r="T31528" s="246">
        <f t="shared" si="530"/>
        <v>0</v>
      </c>
    </row>
    <row r="31529" spans="20:20" ht="18.75" customHeight="1" x14ac:dyDescent="0.35">
      <c r="T31529" s="246">
        <f t="shared" si="530"/>
        <v>0</v>
      </c>
    </row>
    <row r="31530" spans="20:20" ht="18.75" customHeight="1" x14ac:dyDescent="0.35">
      <c r="T31530" s="246">
        <f t="shared" si="530"/>
        <v>0</v>
      </c>
    </row>
    <row r="31531" spans="20:20" ht="18.75" customHeight="1" x14ac:dyDescent="0.35">
      <c r="T31531" s="246">
        <f t="shared" si="530"/>
        <v>0</v>
      </c>
    </row>
    <row r="31532" spans="20:20" ht="18.75" customHeight="1" x14ac:dyDescent="0.35">
      <c r="T31532" s="246">
        <f t="shared" si="530"/>
        <v>0</v>
      </c>
    </row>
    <row r="31533" spans="20:20" ht="18.75" customHeight="1" x14ac:dyDescent="0.35">
      <c r="T31533" s="246">
        <f t="shared" si="530"/>
        <v>0</v>
      </c>
    </row>
    <row r="31534" spans="20:20" ht="18.75" customHeight="1" x14ac:dyDescent="0.35">
      <c r="T31534" s="246">
        <f t="shared" si="530"/>
        <v>0</v>
      </c>
    </row>
    <row r="31535" spans="20:20" ht="18.75" customHeight="1" x14ac:dyDescent="0.35">
      <c r="T31535" s="246">
        <f t="shared" si="530"/>
        <v>0</v>
      </c>
    </row>
    <row r="31536" spans="20:20" ht="18.75" customHeight="1" x14ac:dyDescent="0.35">
      <c r="T31536" s="246">
        <f t="shared" si="530"/>
        <v>0</v>
      </c>
    </row>
    <row r="31537" spans="20:20" ht="18.75" customHeight="1" x14ac:dyDescent="0.35">
      <c r="T31537" s="246">
        <f t="shared" si="530"/>
        <v>0</v>
      </c>
    </row>
    <row r="31538" spans="20:20" ht="18.75" customHeight="1" x14ac:dyDescent="0.35">
      <c r="T31538" s="246">
        <f t="shared" si="530"/>
        <v>0</v>
      </c>
    </row>
    <row r="31539" spans="20:20" ht="18.75" customHeight="1" x14ac:dyDescent="0.35">
      <c r="T31539" s="246">
        <f t="shared" si="530"/>
        <v>0</v>
      </c>
    </row>
    <row r="31540" spans="20:20" ht="18.75" customHeight="1" x14ac:dyDescent="0.35">
      <c r="T31540" s="246">
        <f t="shared" si="530"/>
        <v>0</v>
      </c>
    </row>
    <row r="31541" spans="20:20" ht="18.75" customHeight="1" x14ac:dyDescent="0.35">
      <c r="T31541" s="246">
        <f t="shared" si="530"/>
        <v>0</v>
      </c>
    </row>
    <row r="31542" spans="20:20" ht="18.75" customHeight="1" x14ac:dyDescent="0.35">
      <c r="T31542" s="246">
        <f t="shared" si="530"/>
        <v>0</v>
      </c>
    </row>
    <row r="31543" spans="20:20" ht="18.75" customHeight="1" x14ac:dyDescent="0.35">
      <c r="T31543" s="246">
        <f t="shared" si="530"/>
        <v>0</v>
      </c>
    </row>
    <row r="31544" spans="20:20" ht="18.75" customHeight="1" x14ac:dyDescent="0.35">
      <c r="T31544" s="246">
        <f t="shared" si="530"/>
        <v>0</v>
      </c>
    </row>
    <row r="31545" spans="20:20" ht="18.75" customHeight="1" x14ac:dyDescent="0.35">
      <c r="T31545" s="246">
        <f t="shared" si="530"/>
        <v>0</v>
      </c>
    </row>
    <row r="31546" spans="20:20" ht="18.75" customHeight="1" x14ac:dyDescent="0.35">
      <c r="T31546" s="246">
        <f t="shared" si="530"/>
        <v>0</v>
      </c>
    </row>
    <row r="31547" spans="20:20" ht="18.75" customHeight="1" x14ac:dyDescent="0.35">
      <c r="T31547" s="246">
        <f t="shared" si="530"/>
        <v>0</v>
      </c>
    </row>
    <row r="31548" spans="20:20" ht="18.75" customHeight="1" x14ac:dyDescent="0.35">
      <c r="T31548" s="246">
        <f t="shared" ref="T31548:T31611" si="531">R31548*0.01</f>
        <v>0</v>
      </c>
    </row>
    <row r="31549" spans="20:20" ht="18.75" customHeight="1" x14ac:dyDescent="0.35">
      <c r="T31549" s="246">
        <f t="shared" si="531"/>
        <v>0</v>
      </c>
    </row>
    <row r="31550" spans="20:20" ht="18.75" customHeight="1" x14ac:dyDescent="0.35">
      <c r="T31550" s="246">
        <f t="shared" si="531"/>
        <v>0</v>
      </c>
    </row>
    <row r="31551" spans="20:20" ht="18.75" customHeight="1" x14ac:dyDescent="0.35">
      <c r="T31551" s="246">
        <f t="shared" si="531"/>
        <v>0</v>
      </c>
    </row>
    <row r="31552" spans="20:20" ht="18.75" customHeight="1" x14ac:dyDescent="0.35">
      <c r="T31552" s="246">
        <f t="shared" si="531"/>
        <v>0</v>
      </c>
    </row>
    <row r="31553" spans="20:20" ht="18.75" customHeight="1" x14ac:dyDescent="0.35">
      <c r="T31553" s="246">
        <f t="shared" si="531"/>
        <v>0</v>
      </c>
    </row>
    <row r="31554" spans="20:20" ht="18.75" customHeight="1" x14ac:dyDescent="0.35">
      <c r="T31554" s="246">
        <f t="shared" si="531"/>
        <v>0</v>
      </c>
    </row>
    <row r="31555" spans="20:20" ht="18.75" customHeight="1" x14ac:dyDescent="0.35">
      <c r="T31555" s="246">
        <f t="shared" si="531"/>
        <v>0</v>
      </c>
    </row>
    <row r="31556" spans="20:20" ht="18.75" customHeight="1" x14ac:dyDescent="0.35">
      <c r="T31556" s="246">
        <f t="shared" si="531"/>
        <v>0</v>
      </c>
    </row>
    <row r="31557" spans="20:20" ht="18.75" customHeight="1" x14ac:dyDescent="0.35">
      <c r="T31557" s="246">
        <f t="shared" si="531"/>
        <v>0</v>
      </c>
    </row>
    <row r="31558" spans="20:20" ht="18.75" customHeight="1" x14ac:dyDescent="0.35">
      <c r="T31558" s="246">
        <f t="shared" si="531"/>
        <v>0</v>
      </c>
    </row>
    <row r="31559" spans="20:20" ht="18.75" customHeight="1" x14ac:dyDescent="0.35">
      <c r="T31559" s="246">
        <f t="shared" si="531"/>
        <v>0</v>
      </c>
    </row>
    <row r="31560" spans="20:20" ht="18.75" customHeight="1" x14ac:dyDescent="0.35">
      <c r="T31560" s="246">
        <f t="shared" si="531"/>
        <v>0</v>
      </c>
    </row>
    <row r="31561" spans="20:20" ht="18.75" customHeight="1" x14ac:dyDescent="0.35">
      <c r="T31561" s="246">
        <f t="shared" si="531"/>
        <v>0</v>
      </c>
    </row>
    <row r="31562" spans="20:20" ht="18.75" customHeight="1" x14ac:dyDescent="0.35">
      <c r="T31562" s="246">
        <f t="shared" si="531"/>
        <v>0</v>
      </c>
    </row>
    <row r="31563" spans="20:20" ht="18.75" customHeight="1" x14ac:dyDescent="0.35">
      <c r="T31563" s="246">
        <f t="shared" si="531"/>
        <v>0</v>
      </c>
    </row>
    <row r="31564" spans="20:20" ht="18.75" customHeight="1" x14ac:dyDescent="0.35">
      <c r="T31564" s="246">
        <f t="shared" si="531"/>
        <v>0</v>
      </c>
    </row>
    <row r="31565" spans="20:20" ht="18.75" customHeight="1" x14ac:dyDescent="0.35">
      <c r="T31565" s="246">
        <f t="shared" si="531"/>
        <v>0</v>
      </c>
    </row>
    <row r="31566" spans="20:20" ht="18.75" customHeight="1" x14ac:dyDescent="0.35">
      <c r="T31566" s="246">
        <f t="shared" si="531"/>
        <v>0</v>
      </c>
    </row>
    <row r="31567" spans="20:20" ht="18.75" customHeight="1" x14ac:dyDescent="0.35">
      <c r="T31567" s="246">
        <f t="shared" si="531"/>
        <v>0</v>
      </c>
    </row>
    <row r="31568" spans="20:20" ht="18.75" customHeight="1" x14ac:dyDescent="0.35">
      <c r="T31568" s="246">
        <f t="shared" si="531"/>
        <v>0</v>
      </c>
    </row>
    <row r="31569" spans="20:20" ht="18.75" customHeight="1" x14ac:dyDescent="0.35">
      <c r="T31569" s="246">
        <f t="shared" si="531"/>
        <v>0</v>
      </c>
    </row>
    <row r="31570" spans="20:20" ht="18.75" customHeight="1" x14ac:dyDescent="0.35">
      <c r="T31570" s="246">
        <f t="shared" si="531"/>
        <v>0</v>
      </c>
    </row>
    <row r="31571" spans="20:20" ht="18.75" customHeight="1" x14ac:dyDescent="0.35">
      <c r="T31571" s="246">
        <f t="shared" si="531"/>
        <v>0</v>
      </c>
    </row>
    <row r="31572" spans="20:20" ht="18.75" customHeight="1" x14ac:dyDescent="0.35">
      <c r="T31572" s="246">
        <f t="shared" si="531"/>
        <v>0</v>
      </c>
    </row>
    <row r="31573" spans="20:20" ht="18.75" customHeight="1" x14ac:dyDescent="0.35">
      <c r="T31573" s="246">
        <f t="shared" si="531"/>
        <v>0</v>
      </c>
    </row>
    <row r="31574" spans="20:20" ht="18.75" customHeight="1" x14ac:dyDescent="0.35">
      <c r="T31574" s="246">
        <f t="shared" si="531"/>
        <v>0</v>
      </c>
    </row>
    <row r="31575" spans="20:20" ht="18.75" customHeight="1" x14ac:dyDescent="0.35">
      <c r="T31575" s="246">
        <f t="shared" si="531"/>
        <v>0</v>
      </c>
    </row>
    <row r="31576" spans="20:20" ht="18.75" customHeight="1" x14ac:dyDescent="0.35">
      <c r="T31576" s="246">
        <f t="shared" si="531"/>
        <v>0</v>
      </c>
    </row>
    <row r="31577" spans="20:20" ht="18.75" customHeight="1" x14ac:dyDescent="0.35">
      <c r="T31577" s="246">
        <f t="shared" si="531"/>
        <v>0</v>
      </c>
    </row>
    <row r="31578" spans="20:20" ht="18.75" customHeight="1" x14ac:dyDescent="0.35">
      <c r="T31578" s="246">
        <f t="shared" si="531"/>
        <v>0</v>
      </c>
    </row>
    <row r="31579" spans="20:20" ht="18.75" customHeight="1" x14ac:dyDescent="0.35">
      <c r="T31579" s="246">
        <f t="shared" si="531"/>
        <v>0</v>
      </c>
    </row>
    <row r="31580" spans="20:20" ht="18.75" customHeight="1" x14ac:dyDescent="0.35">
      <c r="T31580" s="246">
        <f t="shared" si="531"/>
        <v>0</v>
      </c>
    </row>
    <row r="31581" spans="20:20" ht="18.75" customHeight="1" x14ac:dyDescent="0.35">
      <c r="T31581" s="246">
        <f t="shared" si="531"/>
        <v>0</v>
      </c>
    </row>
    <row r="31582" spans="20:20" ht="18.75" customHeight="1" x14ac:dyDescent="0.35">
      <c r="T31582" s="246">
        <f t="shared" si="531"/>
        <v>0</v>
      </c>
    </row>
    <row r="31583" spans="20:20" ht="18.75" customHeight="1" x14ac:dyDescent="0.35">
      <c r="T31583" s="246">
        <f t="shared" si="531"/>
        <v>0</v>
      </c>
    </row>
    <row r="31584" spans="20:20" ht="18.75" customHeight="1" x14ac:dyDescent="0.35">
      <c r="T31584" s="246">
        <f t="shared" si="531"/>
        <v>0</v>
      </c>
    </row>
    <row r="31585" spans="20:20" ht="18.75" customHeight="1" x14ac:dyDescent="0.35">
      <c r="T31585" s="246">
        <f t="shared" si="531"/>
        <v>0</v>
      </c>
    </row>
    <row r="31586" spans="20:20" ht="18.75" customHeight="1" x14ac:dyDescent="0.35">
      <c r="T31586" s="246">
        <f t="shared" si="531"/>
        <v>0</v>
      </c>
    </row>
    <row r="31587" spans="20:20" ht="18.75" customHeight="1" x14ac:dyDescent="0.35">
      <c r="T31587" s="246">
        <f t="shared" si="531"/>
        <v>0</v>
      </c>
    </row>
    <row r="31588" spans="20:20" ht="18.75" customHeight="1" x14ac:dyDescent="0.35">
      <c r="T31588" s="246">
        <f t="shared" si="531"/>
        <v>0</v>
      </c>
    </row>
    <row r="31589" spans="20:20" ht="18.75" customHeight="1" x14ac:dyDescent="0.35">
      <c r="T31589" s="246">
        <f t="shared" si="531"/>
        <v>0</v>
      </c>
    </row>
    <row r="31590" spans="20:20" ht="18.75" customHeight="1" x14ac:dyDescent="0.35">
      <c r="T31590" s="246">
        <f t="shared" si="531"/>
        <v>0</v>
      </c>
    </row>
    <row r="31591" spans="20:20" ht="18.75" customHeight="1" x14ac:dyDescent="0.35">
      <c r="T31591" s="246">
        <f t="shared" si="531"/>
        <v>0</v>
      </c>
    </row>
    <row r="31592" spans="20:20" ht="18.75" customHeight="1" x14ac:dyDescent="0.35">
      <c r="T31592" s="246">
        <f t="shared" si="531"/>
        <v>0</v>
      </c>
    </row>
    <row r="31593" spans="20:20" ht="18.75" customHeight="1" x14ac:dyDescent="0.35">
      <c r="T31593" s="246">
        <f t="shared" si="531"/>
        <v>0</v>
      </c>
    </row>
    <row r="31594" spans="20:20" ht="18.75" customHeight="1" x14ac:dyDescent="0.35">
      <c r="T31594" s="246">
        <f t="shared" si="531"/>
        <v>0</v>
      </c>
    </row>
    <row r="31595" spans="20:20" ht="18.75" customHeight="1" x14ac:dyDescent="0.35">
      <c r="T31595" s="246">
        <f t="shared" si="531"/>
        <v>0</v>
      </c>
    </row>
    <row r="31596" spans="20:20" ht="18.75" customHeight="1" x14ac:dyDescent="0.35">
      <c r="T31596" s="246">
        <f t="shared" si="531"/>
        <v>0</v>
      </c>
    </row>
    <row r="31597" spans="20:20" ht="18.75" customHeight="1" x14ac:dyDescent="0.35">
      <c r="T31597" s="246">
        <f t="shared" si="531"/>
        <v>0</v>
      </c>
    </row>
    <row r="31598" spans="20:20" ht="18.75" customHeight="1" x14ac:dyDescent="0.35">
      <c r="T31598" s="246">
        <f t="shared" si="531"/>
        <v>0</v>
      </c>
    </row>
    <row r="31599" spans="20:20" ht="18.75" customHeight="1" x14ac:dyDescent="0.35">
      <c r="T31599" s="246">
        <f t="shared" si="531"/>
        <v>0</v>
      </c>
    </row>
    <row r="31600" spans="20:20" ht="18.75" customHeight="1" x14ac:dyDescent="0.35">
      <c r="T31600" s="246">
        <f t="shared" si="531"/>
        <v>0</v>
      </c>
    </row>
    <row r="31601" spans="20:20" ht="18.75" customHeight="1" x14ac:dyDescent="0.35">
      <c r="T31601" s="246">
        <f t="shared" si="531"/>
        <v>0</v>
      </c>
    </row>
    <row r="31602" spans="20:20" ht="18.75" customHeight="1" x14ac:dyDescent="0.35">
      <c r="T31602" s="246">
        <f t="shared" si="531"/>
        <v>0</v>
      </c>
    </row>
    <row r="31603" spans="20:20" ht="18.75" customHeight="1" x14ac:dyDescent="0.35">
      <c r="T31603" s="246">
        <f t="shared" si="531"/>
        <v>0</v>
      </c>
    </row>
    <row r="31604" spans="20:20" ht="18.75" customHeight="1" x14ac:dyDescent="0.35">
      <c r="T31604" s="246">
        <f t="shared" si="531"/>
        <v>0</v>
      </c>
    </row>
    <row r="31605" spans="20:20" ht="18.75" customHeight="1" x14ac:dyDescent="0.35">
      <c r="T31605" s="246">
        <f t="shared" si="531"/>
        <v>0</v>
      </c>
    </row>
    <row r="31606" spans="20:20" ht="18.75" customHeight="1" x14ac:dyDescent="0.35">
      <c r="T31606" s="246">
        <f t="shared" si="531"/>
        <v>0</v>
      </c>
    </row>
    <row r="31607" spans="20:20" ht="18.75" customHeight="1" x14ac:dyDescent="0.35">
      <c r="T31607" s="246">
        <f t="shared" si="531"/>
        <v>0</v>
      </c>
    </row>
    <row r="31608" spans="20:20" ht="18.75" customHeight="1" x14ac:dyDescent="0.35">
      <c r="T31608" s="246">
        <f t="shared" si="531"/>
        <v>0</v>
      </c>
    </row>
    <row r="31609" spans="20:20" ht="18.75" customHeight="1" x14ac:dyDescent="0.35">
      <c r="T31609" s="246">
        <f t="shared" si="531"/>
        <v>0</v>
      </c>
    </row>
    <row r="31610" spans="20:20" ht="18.75" customHeight="1" x14ac:dyDescent="0.35">
      <c r="T31610" s="246">
        <f t="shared" si="531"/>
        <v>0</v>
      </c>
    </row>
    <row r="31611" spans="20:20" ht="18.75" customHeight="1" x14ac:dyDescent="0.35">
      <c r="T31611" s="246">
        <f t="shared" si="531"/>
        <v>0</v>
      </c>
    </row>
    <row r="31612" spans="20:20" ht="18.75" customHeight="1" x14ac:dyDescent="0.35">
      <c r="T31612" s="246">
        <f t="shared" ref="T31612:T31675" si="532">R31612*0.01</f>
        <v>0</v>
      </c>
    </row>
    <row r="31613" spans="20:20" ht="18.75" customHeight="1" x14ac:dyDescent="0.35">
      <c r="T31613" s="246">
        <f t="shared" si="532"/>
        <v>0</v>
      </c>
    </row>
    <row r="31614" spans="20:20" ht="18.75" customHeight="1" x14ac:dyDescent="0.35">
      <c r="T31614" s="246">
        <f t="shared" si="532"/>
        <v>0</v>
      </c>
    </row>
    <row r="31615" spans="20:20" ht="18.75" customHeight="1" x14ac:dyDescent="0.35">
      <c r="T31615" s="246">
        <f t="shared" si="532"/>
        <v>0</v>
      </c>
    </row>
    <row r="31616" spans="20:20" ht="18.75" customHeight="1" x14ac:dyDescent="0.35">
      <c r="T31616" s="246">
        <f t="shared" si="532"/>
        <v>0</v>
      </c>
    </row>
    <row r="31617" spans="20:20" ht="18.75" customHeight="1" x14ac:dyDescent="0.35">
      <c r="T31617" s="246">
        <f t="shared" si="532"/>
        <v>0</v>
      </c>
    </row>
    <row r="31618" spans="20:20" ht="18.75" customHeight="1" x14ac:dyDescent="0.35">
      <c r="T31618" s="246">
        <f t="shared" si="532"/>
        <v>0</v>
      </c>
    </row>
    <row r="31619" spans="20:20" ht="18.75" customHeight="1" x14ac:dyDescent="0.35">
      <c r="T31619" s="246">
        <f t="shared" si="532"/>
        <v>0</v>
      </c>
    </row>
    <row r="31620" spans="20:20" ht="18.75" customHeight="1" x14ac:dyDescent="0.35">
      <c r="T31620" s="246">
        <f t="shared" si="532"/>
        <v>0</v>
      </c>
    </row>
    <row r="31621" spans="20:20" ht="18.75" customHeight="1" x14ac:dyDescent="0.35">
      <c r="T31621" s="246">
        <f t="shared" si="532"/>
        <v>0</v>
      </c>
    </row>
    <row r="31622" spans="20:20" ht="18.75" customHeight="1" x14ac:dyDescent="0.35">
      <c r="T31622" s="246">
        <f t="shared" si="532"/>
        <v>0</v>
      </c>
    </row>
    <row r="31623" spans="20:20" ht="18.75" customHeight="1" x14ac:dyDescent="0.35">
      <c r="T31623" s="246">
        <f t="shared" si="532"/>
        <v>0</v>
      </c>
    </row>
    <row r="31624" spans="20:20" ht="18.75" customHeight="1" x14ac:dyDescent="0.35">
      <c r="T31624" s="246">
        <f t="shared" si="532"/>
        <v>0</v>
      </c>
    </row>
    <row r="31625" spans="20:20" ht="18.75" customHeight="1" x14ac:dyDescent="0.35">
      <c r="T31625" s="246">
        <f t="shared" si="532"/>
        <v>0</v>
      </c>
    </row>
    <row r="31626" spans="20:20" ht="18.75" customHeight="1" x14ac:dyDescent="0.35">
      <c r="T31626" s="246">
        <f t="shared" si="532"/>
        <v>0</v>
      </c>
    </row>
    <row r="31627" spans="20:20" ht="18.75" customHeight="1" x14ac:dyDescent="0.35">
      <c r="T31627" s="246">
        <f t="shared" si="532"/>
        <v>0</v>
      </c>
    </row>
    <row r="31628" spans="20:20" ht="18.75" customHeight="1" x14ac:dyDescent="0.35">
      <c r="T31628" s="246">
        <f t="shared" si="532"/>
        <v>0</v>
      </c>
    </row>
    <row r="31629" spans="20:20" ht="18.75" customHeight="1" x14ac:dyDescent="0.35">
      <c r="T31629" s="246">
        <f t="shared" si="532"/>
        <v>0</v>
      </c>
    </row>
    <row r="31630" spans="20:20" ht="18.75" customHeight="1" x14ac:dyDescent="0.35">
      <c r="T31630" s="246">
        <f t="shared" si="532"/>
        <v>0</v>
      </c>
    </row>
    <row r="31631" spans="20:20" ht="18.75" customHeight="1" x14ac:dyDescent="0.35">
      <c r="T31631" s="246">
        <f t="shared" si="532"/>
        <v>0</v>
      </c>
    </row>
    <row r="31632" spans="20:20" ht="18.75" customHeight="1" x14ac:dyDescent="0.35">
      <c r="T31632" s="246">
        <f t="shared" si="532"/>
        <v>0</v>
      </c>
    </row>
    <row r="31633" spans="20:20" ht="18.75" customHeight="1" x14ac:dyDescent="0.35">
      <c r="T31633" s="246">
        <f t="shared" si="532"/>
        <v>0</v>
      </c>
    </row>
    <row r="31634" spans="20:20" ht="18.75" customHeight="1" x14ac:dyDescent="0.35">
      <c r="T31634" s="246">
        <f t="shared" si="532"/>
        <v>0</v>
      </c>
    </row>
    <row r="31635" spans="20:20" ht="18.75" customHeight="1" x14ac:dyDescent="0.35">
      <c r="T31635" s="246">
        <f t="shared" si="532"/>
        <v>0</v>
      </c>
    </row>
    <row r="31636" spans="20:20" ht="18.75" customHeight="1" x14ac:dyDescent="0.35">
      <c r="T31636" s="246">
        <f t="shared" si="532"/>
        <v>0</v>
      </c>
    </row>
    <row r="31637" spans="20:20" ht="18.75" customHeight="1" x14ac:dyDescent="0.35">
      <c r="T31637" s="246">
        <f t="shared" si="532"/>
        <v>0</v>
      </c>
    </row>
    <row r="31638" spans="20:20" ht="18.75" customHeight="1" x14ac:dyDescent="0.35">
      <c r="T31638" s="246">
        <f t="shared" si="532"/>
        <v>0</v>
      </c>
    </row>
    <row r="31639" spans="20:20" ht="18.75" customHeight="1" x14ac:dyDescent="0.35">
      <c r="T31639" s="246">
        <f t="shared" si="532"/>
        <v>0</v>
      </c>
    </row>
    <row r="31640" spans="20:20" ht="18.75" customHeight="1" x14ac:dyDescent="0.35">
      <c r="T31640" s="246">
        <f t="shared" si="532"/>
        <v>0</v>
      </c>
    </row>
    <row r="31641" spans="20:20" ht="18.75" customHeight="1" x14ac:dyDescent="0.35">
      <c r="T31641" s="246">
        <f t="shared" si="532"/>
        <v>0</v>
      </c>
    </row>
    <row r="31642" spans="20:20" ht="18.75" customHeight="1" x14ac:dyDescent="0.35">
      <c r="T31642" s="246">
        <f t="shared" si="532"/>
        <v>0</v>
      </c>
    </row>
    <row r="31643" spans="20:20" ht="18.75" customHeight="1" x14ac:dyDescent="0.35">
      <c r="T31643" s="246">
        <f t="shared" si="532"/>
        <v>0</v>
      </c>
    </row>
    <row r="31644" spans="20:20" ht="18.75" customHeight="1" x14ac:dyDescent="0.35">
      <c r="T31644" s="246">
        <f t="shared" si="532"/>
        <v>0</v>
      </c>
    </row>
    <row r="31645" spans="20:20" ht="18.75" customHeight="1" x14ac:dyDescent="0.35">
      <c r="T31645" s="246">
        <f t="shared" si="532"/>
        <v>0</v>
      </c>
    </row>
    <row r="31646" spans="20:20" ht="18.75" customHeight="1" x14ac:dyDescent="0.35">
      <c r="T31646" s="246">
        <f t="shared" si="532"/>
        <v>0</v>
      </c>
    </row>
    <row r="31647" spans="20:20" ht="18.75" customHeight="1" x14ac:dyDescent="0.35">
      <c r="T31647" s="246">
        <f t="shared" si="532"/>
        <v>0</v>
      </c>
    </row>
    <row r="31648" spans="20:20" ht="18.75" customHeight="1" x14ac:dyDescent="0.35">
      <c r="T31648" s="246">
        <f t="shared" si="532"/>
        <v>0</v>
      </c>
    </row>
    <row r="31649" spans="20:20" ht="18.75" customHeight="1" x14ac:dyDescent="0.35">
      <c r="T31649" s="246">
        <f t="shared" si="532"/>
        <v>0</v>
      </c>
    </row>
    <row r="31650" spans="20:20" ht="18.75" customHeight="1" x14ac:dyDescent="0.35">
      <c r="T31650" s="246">
        <f t="shared" si="532"/>
        <v>0</v>
      </c>
    </row>
    <row r="31651" spans="20:20" ht="18.75" customHeight="1" x14ac:dyDescent="0.35">
      <c r="T31651" s="246">
        <f t="shared" si="532"/>
        <v>0</v>
      </c>
    </row>
    <row r="31652" spans="20:20" ht="18.75" customHeight="1" x14ac:dyDescent="0.35">
      <c r="T31652" s="246">
        <f t="shared" si="532"/>
        <v>0</v>
      </c>
    </row>
    <row r="31653" spans="20:20" ht="18.75" customHeight="1" x14ac:dyDescent="0.35">
      <c r="T31653" s="246">
        <f t="shared" si="532"/>
        <v>0</v>
      </c>
    </row>
    <row r="31654" spans="20:20" ht="18.75" customHeight="1" x14ac:dyDescent="0.35">
      <c r="T31654" s="246">
        <f t="shared" si="532"/>
        <v>0</v>
      </c>
    </row>
    <row r="31655" spans="20:20" ht="18.75" customHeight="1" x14ac:dyDescent="0.35">
      <c r="T31655" s="246">
        <f t="shared" si="532"/>
        <v>0</v>
      </c>
    </row>
    <row r="31656" spans="20:20" ht="18.75" customHeight="1" x14ac:dyDescent="0.35">
      <c r="T31656" s="246">
        <f t="shared" si="532"/>
        <v>0</v>
      </c>
    </row>
    <row r="31657" spans="20:20" ht="18.75" customHeight="1" x14ac:dyDescent="0.35">
      <c r="T31657" s="246">
        <f t="shared" si="532"/>
        <v>0</v>
      </c>
    </row>
    <row r="31658" spans="20:20" ht="18.75" customHeight="1" x14ac:dyDescent="0.35">
      <c r="T31658" s="246">
        <f t="shared" si="532"/>
        <v>0</v>
      </c>
    </row>
    <row r="31659" spans="20:20" ht="18.75" customHeight="1" x14ac:dyDescent="0.35">
      <c r="T31659" s="246">
        <f t="shared" si="532"/>
        <v>0</v>
      </c>
    </row>
    <row r="31660" spans="20:20" ht="18.75" customHeight="1" x14ac:dyDescent="0.35">
      <c r="T31660" s="246">
        <f t="shared" si="532"/>
        <v>0</v>
      </c>
    </row>
    <row r="31661" spans="20:20" ht="18.75" customHeight="1" x14ac:dyDescent="0.35">
      <c r="T31661" s="246">
        <f t="shared" si="532"/>
        <v>0</v>
      </c>
    </row>
    <row r="31662" spans="20:20" ht="18.75" customHeight="1" x14ac:dyDescent="0.35">
      <c r="T31662" s="246">
        <f t="shared" si="532"/>
        <v>0</v>
      </c>
    </row>
    <row r="31663" spans="20:20" ht="18.75" customHeight="1" x14ac:dyDescent="0.35">
      <c r="T31663" s="246">
        <f t="shared" si="532"/>
        <v>0</v>
      </c>
    </row>
    <row r="31664" spans="20:20" ht="18.75" customHeight="1" x14ac:dyDescent="0.35">
      <c r="T31664" s="246">
        <f t="shared" si="532"/>
        <v>0</v>
      </c>
    </row>
    <row r="31665" spans="20:20" ht="18.75" customHeight="1" x14ac:dyDescent="0.35">
      <c r="T31665" s="246">
        <f t="shared" si="532"/>
        <v>0</v>
      </c>
    </row>
    <row r="31666" spans="20:20" ht="18.75" customHeight="1" x14ac:dyDescent="0.35">
      <c r="T31666" s="246">
        <f t="shared" si="532"/>
        <v>0</v>
      </c>
    </row>
    <row r="31667" spans="20:20" ht="18.75" customHeight="1" x14ac:dyDescent="0.35">
      <c r="T31667" s="246">
        <f t="shared" si="532"/>
        <v>0</v>
      </c>
    </row>
    <row r="31668" spans="20:20" ht="18.75" customHeight="1" x14ac:dyDescent="0.35">
      <c r="T31668" s="246">
        <f t="shared" si="532"/>
        <v>0</v>
      </c>
    </row>
    <row r="31669" spans="20:20" ht="18.75" customHeight="1" x14ac:dyDescent="0.35">
      <c r="T31669" s="246">
        <f t="shared" si="532"/>
        <v>0</v>
      </c>
    </row>
    <row r="31670" spans="20:20" ht="18.75" customHeight="1" x14ac:dyDescent="0.35">
      <c r="T31670" s="246">
        <f t="shared" si="532"/>
        <v>0</v>
      </c>
    </row>
    <row r="31671" spans="20:20" ht="18.75" customHeight="1" x14ac:dyDescent="0.35">
      <c r="T31671" s="246">
        <f t="shared" si="532"/>
        <v>0</v>
      </c>
    </row>
    <row r="31672" spans="20:20" ht="18.75" customHeight="1" x14ac:dyDescent="0.35">
      <c r="T31672" s="246">
        <f t="shared" si="532"/>
        <v>0</v>
      </c>
    </row>
    <row r="31673" spans="20:20" ht="18.75" customHeight="1" x14ac:dyDescent="0.35">
      <c r="T31673" s="246">
        <f t="shared" si="532"/>
        <v>0</v>
      </c>
    </row>
    <row r="31674" spans="20:20" ht="18.75" customHeight="1" x14ac:dyDescent="0.35">
      <c r="T31674" s="246">
        <f t="shared" si="532"/>
        <v>0</v>
      </c>
    </row>
    <row r="31675" spans="20:20" ht="18.75" customHeight="1" x14ac:dyDescent="0.35">
      <c r="T31675" s="246">
        <f t="shared" si="532"/>
        <v>0</v>
      </c>
    </row>
    <row r="31676" spans="20:20" ht="18.75" customHeight="1" x14ac:dyDescent="0.35">
      <c r="T31676" s="246">
        <f t="shared" ref="T31676:T31739" si="533">R31676*0.01</f>
        <v>0</v>
      </c>
    </row>
    <row r="31677" spans="20:20" ht="18.75" customHeight="1" x14ac:dyDescent="0.35">
      <c r="T31677" s="246">
        <f t="shared" si="533"/>
        <v>0</v>
      </c>
    </row>
    <row r="31678" spans="20:20" ht="18.75" customHeight="1" x14ac:dyDescent="0.35">
      <c r="T31678" s="246">
        <f t="shared" si="533"/>
        <v>0</v>
      </c>
    </row>
    <row r="31679" spans="20:20" ht="18.75" customHeight="1" x14ac:dyDescent="0.35">
      <c r="T31679" s="246">
        <f t="shared" si="533"/>
        <v>0</v>
      </c>
    </row>
    <row r="31680" spans="20:20" ht="18.75" customHeight="1" x14ac:dyDescent="0.35">
      <c r="T31680" s="246">
        <f t="shared" si="533"/>
        <v>0</v>
      </c>
    </row>
    <row r="31681" spans="20:20" ht="18.75" customHeight="1" x14ac:dyDescent="0.35">
      <c r="T31681" s="246">
        <f t="shared" si="533"/>
        <v>0</v>
      </c>
    </row>
    <row r="31682" spans="20:20" ht="18.75" customHeight="1" x14ac:dyDescent="0.35">
      <c r="T31682" s="246">
        <f t="shared" si="533"/>
        <v>0</v>
      </c>
    </row>
    <row r="31683" spans="20:20" ht="18.75" customHeight="1" x14ac:dyDescent="0.35">
      <c r="T31683" s="246">
        <f t="shared" si="533"/>
        <v>0</v>
      </c>
    </row>
    <row r="31684" spans="20:20" ht="18.75" customHeight="1" x14ac:dyDescent="0.35">
      <c r="T31684" s="246">
        <f t="shared" si="533"/>
        <v>0</v>
      </c>
    </row>
    <row r="31685" spans="20:20" ht="18.75" customHeight="1" x14ac:dyDescent="0.35">
      <c r="T31685" s="246">
        <f t="shared" si="533"/>
        <v>0</v>
      </c>
    </row>
    <row r="31686" spans="20:20" ht="18.75" customHeight="1" x14ac:dyDescent="0.35">
      <c r="T31686" s="246">
        <f t="shared" si="533"/>
        <v>0</v>
      </c>
    </row>
    <row r="31687" spans="20:20" ht="18.75" customHeight="1" x14ac:dyDescent="0.35">
      <c r="T31687" s="246">
        <f t="shared" si="533"/>
        <v>0</v>
      </c>
    </row>
    <row r="31688" spans="20:20" ht="18.75" customHeight="1" x14ac:dyDescent="0.35">
      <c r="T31688" s="246">
        <f t="shared" si="533"/>
        <v>0</v>
      </c>
    </row>
    <row r="31689" spans="20:20" ht="18.75" customHeight="1" x14ac:dyDescent="0.35">
      <c r="T31689" s="246">
        <f t="shared" si="533"/>
        <v>0</v>
      </c>
    </row>
    <row r="31690" spans="20:20" ht="18.75" customHeight="1" x14ac:dyDescent="0.35">
      <c r="T31690" s="246">
        <f t="shared" si="533"/>
        <v>0</v>
      </c>
    </row>
    <row r="31691" spans="20:20" ht="18.75" customHeight="1" x14ac:dyDescent="0.35">
      <c r="T31691" s="246">
        <f t="shared" si="533"/>
        <v>0</v>
      </c>
    </row>
    <row r="31692" spans="20:20" ht="18.75" customHeight="1" x14ac:dyDescent="0.35">
      <c r="T31692" s="246">
        <f t="shared" si="533"/>
        <v>0</v>
      </c>
    </row>
    <row r="31693" spans="20:20" ht="18.75" customHeight="1" x14ac:dyDescent="0.35">
      <c r="T31693" s="246">
        <f t="shared" si="533"/>
        <v>0</v>
      </c>
    </row>
    <row r="31694" spans="20:20" ht="18.75" customHeight="1" x14ac:dyDescent="0.35">
      <c r="T31694" s="246">
        <f t="shared" si="533"/>
        <v>0</v>
      </c>
    </row>
    <row r="31695" spans="20:20" ht="18.75" customHeight="1" x14ac:dyDescent="0.35">
      <c r="T31695" s="246">
        <f t="shared" si="533"/>
        <v>0</v>
      </c>
    </row>
    <row r="31696" spans="20:20" ht="18.75" customHeight="1" x14ac:dyDescent="0.35">
      <c r="T31696" s="246">
        <f t="shared" si="533"/>
        <v>0</v>
      </c>
    </row>
    <row r="31697" spans="20:20" ht="18.75" customHeight="1" x14ac:dyDescent="0.35">
      <c r="T31697" s="246">
        <f t="shared" si="533"/>
        <v>0</v>
      </c>
    </row>
    <row r="31698" spans="20:20" ht="18.75" customHeight="1" x14ac:dyDescent="0.35">
      <c r="T31698" s="246">
        <f t="shared" si="533"/>
        <v>0</v>
      </c>
    </row>
    <row r="31699" spans="20:20" ht="18.75" customHeight="1" x14ac:dyDescent="0.35">
      <c r="T31699" s="246">
        <f t="shared" si="533"/>
        <v>0</v>
      </c>
    </row>
    <row r="31700" spans="20:20" ht="18.75" customHeight="1" x14ac:dyDescent="0.35">
      <c r="T31700" s="246">
        <f t="shared" si="533"/>
        <v>0</v>
      </c>
    </row>
    <row r="31701" spans="20:20" ht="18.75" customHeight="1" x14ac:dyDescent="0.35">
      <c r="T31701" s="246">
        <f t="shared" si="533"/>
        <v>0</v>
      </c>
    </row>
    <row r="31702" spans="20:20" ht="18.75" customHeight="1" x14ac:dyDescent="0.35">
      <c r="T31702" s="246">
        <f t="shared" si="533"/>
        <v>0</v>
      </c>
    </row>
    <row r="31703" spans="20:20" ht="18.75" customHeight="1" x14ac:dyDescent="0.35">
      <c r="T31703" s="246">
        <f t="shared" si="533"/>
        <v>0</v>
      </c>
    </row>
    <row r="31704" spans="20:20" ht="18.75" customHeight="1" x14ac:dyDescent="0.35">
      <c r="T31704" s="246">
        <f t="shared" si="533"/>
        <v>0</v>
      </c>
    </row>
    <row r="31705" spans="20:20" ht="18.75" customHeight="1" x14ac:dyDescent="0.35">
      <c r="T31705" s="246">
        <f t="shared" si="533"/>
        <v>0</v>
      </c>
    </row>
    <row r="31706" spans="20:20" ht="18.75" customHeight="1" x14ac:dyDescent="0.35">
      <c r="T31706" s="246">
        <f t="shared" si="533"/>
        <v>0</v>
      </c>
    </row>
    <row r="31707" spans="20:20" ht="18.75" customHeight="1" x14ac:dyDescent="0.35">
      <c r="T31707" s="246">
        <f t="shared" si="533"/>
        <v>0</v>
      </c>
    </row>
    <row r="31708" spans="20:20" ht="18.75" customHeight="1" x14ac:dyDescent="0.35">
      <c r="T31708" s="246">
        <f t="shared" si="533"/>
        <v>0</v>
      </c>
    </row>
    <row r="31709" spans="20:20" ht="18.75" customHeight="1" x14ac:dyDescent="0.35">
      <c r="T31709" s="246">
        <f t="shared" si="533"/>
        <v>0</v>
      </c>
    </row>
    <row r="31710" spans="20:20" ht="18.75" customHeight="1" x14ac:dyDescent="0.35">
      <c r="T31710" s="246">
        <f t="shared" si="533"/>
        <v>0</v>
      </c>
    </row>
    <row r="31711" spans="20:20" ht="18.75" customHeight="1" x14ac:dyDescent="0.35">
      <c r="T31711" s="246">
        <f t="shared" si="533"/>
        <v>0</v>
      </c>
    </row>
    <row r="31712" spans="20:20" ht="18.75" customHeight="1" x14ac:dyDescent="0.35">
      <c r="T31712" s="246">
        <f t="shared" si="533"/>
        <v>0</v>
      </c>
    </row>
    <row r="31713" spans="20:20" ht="18.75" customHeight="1" x14ac:dyDescent="0.35">
      <c r="T31713" s="246">
        <f t="shared" si="533"/>
        <v>0</v>
      </c>
    </row>
    <row r="31714" spans="20:20" ht="18.75" customHeight="1" x14ac:dyDescent="0.35">
      <c r="T31714" s="246">
        <f t="shared" si="533"/>
        <v>0</v>
      </c>
    </row>
    <row r="31715" spans="20:20" ht="18.75" customHeight="1" x14ac:dyDescent="0.35">
      <c r="T31715" s="246">
        <f t="shared" si="533"/>
        <v>0</v>
      </c>
    </row>
    <row r="31716" spans="20:20" ht="18.75" customHeight="1" x14ac:dyDescent="0.35">
      <c r="T31716" s="246">
        <f t="shared" si="533"/>
        <v>0</v>
      </c>
    </row>
    <row r="31717" spans="20:20" ht="18.75" customHeight="1" x14ac:dyDescent="0.35">
      <c r="T31717" s="246">
        <f t="shared" si="533"/>
        <v>0</v>
      </c>
    </row>
    <row r="31718" spans="20:20" ht="18.75" customHeight="1" x14ac:dyDescent="0.35">
      <c r="T31718" s="246">
        <f t="shared" si="533"/>
        <v>0</v>
      </c>
    </row>
    <row r="31719" spans="20:20" ht="18.75" customHeight="1" x14ac:dyDescent="0.35">
      <c r="T31719" s="246">
        <f t="shared" si="533"/>
        <v>0</v>
      </c>
    </row>
    <row r="31720" spans="20:20" ht="18.75" customHeight="1" x14ac:dyDescent="0.35">
      <c r="T31720" s="246">
        <f t="shared" si="533"/>
        <v>0</v>
      </c>
    </row>
    <row r="31721" spans="20:20" ht="18.75" customHeight="1" x14ac:dyDescent="0.35">
      <c r="T31721" s="246">
        <f t="shared" si="533"/>
        <v>0</v>
      </c>
    </row>
    <row r="31722" spans="20:20" ht="18.75" customHeight="1" x14ac:dyDescent="0.35">
      <c r="T31722" s="246">
        <f t="shared" si="533"/>
        <v>0</v>
      </c>
    </row>
    <row r="31723" spans="20:20" ht="18.75" customHeight="1" x14ac:dyDescent="0.35">
      <c r="T31723" s="246">
        <f t="shared" si="533"/>
        <v>0</v>
      </c>
    </row>
    <row r="31724" spans="20:20" ht="18.75" customHeight="1" x14ac:dyDescent="0.35">
      <c r="T31724" s="246">
        <f t="shared" si="533"/>
        <v>0</v>
      </c>
    </row>
    <row r="31725" spans="20:20" ht="18.75" customHeight="1" x14ac:dyDescent="0.35">
      <c r="T31725" s="246">
        <f t="shared" si="533"/>
        <v>0</v>
      </c>
    </row>
    <row r="31726" spans="20:20" ht="18.75" customHeight="1" x14ac:dyDescent="0.35">
      <c r="T31726" s="246">
        <f t="shared" si="533"/>
        <v>0</v>
      </c>
    </row>
    <row r="31727" spans="20:20" ht="18.75" customHeight="1" x14ac:dyDescent="0.35">
      <c r="T31727" s="246">
        <f t="shared" si="533"/>
        <v>0</v>
      </c>
    </row>
    <row r="31728" spans="20:20" ht="18.75" customHeight="1" x14ac:dyDescent="0.35">
      <c r="T31728" s="246">
        <f t="shared" si="533"/>
        <v>0</v>
      </c>
    </row>
    <row r="31729" spans="20:20" ht="18.75" customHeight="1" x14ac:dyDescent="0.35">
      <c r="T31729" s="246">
        <f t="shared" si="533"/>
        <v>0</v>
      </c>
    </row>
    <row r="31730" spans="20:20" ht="18.75" customHeight="1" x14ac:dyDescent="0.35">
      <c r="T31730" s="246">
        <f t="shared" si="533"/>
        <v>0</v>
      </c>
    </row>
    <row r="31731" spans="20:20" ht="18.75" customHeight="1" x14ac:dyDescent="0.35">
      <c r="T31731" s="246">
        <f t="shared" si="533"/>
        <v>0</v>
      </c>
    </row>
    <row r="31732" spans="20:20" ht="18.75" customHeight="1" x14ac:dyDescent="0.35">
      <c r="T31732" s="246">
        <f t="shared" si="533"/>
        <v>0</v>
      </c>
    </row>
    <row r="31733" spans="20:20" ht="18.75" customHeight="1" x14ac:dyDescent="0.35">
      <c r="T31733" s="246">
        <f t="shared" si="533"/>
        <v>0</v>
      </c>
    </row>
    <row r="31734" spans="20:20" ht="18.75" customHeight="1" x14ac:dyDescent="0.35">
      <c r="T31734" s="246">
        <f t="shared" si="533"/>
        <v>0</v>
      </c>
    </row>
    <row r="31735" spans="20:20" ht="18.75" customHeight="1" x14ac:dyDescent="0.35">
      <c r="T31735" s="246">
        <f t="shared" si="533"/>
        <v>0</v>
      </c>
    </row>
    <row r="31736" spans="20:20" ht="18.75" customHeight="1" x14ac:dyDescent="0.35">
      <c r="T31736" s="246">
        <f t="shared" si="533"/>
        <v>0</v>
      </c>
    </row>
    <row r="31737" spans="20:20" ht="18.75" customHeight="1" x14ac:dyDescent="0.35">
      <c r="T31737" s="246">
        <f t="shared" si="533"/>
        <v>0</v>
      </c>
    </row>
    <row r="31738" spans="20:20" ht="18.75" customHeight="1" x14ac:dyDescent="0.35">
      <c r="T31738" s="246">
        <f t="shared" si="533"/>
        <v>0</v>
      </c>
    </row>
    <row r="31739" spans="20:20" ht="18.75" customHeight="1" x14ac:dyDescent="0.35">
      <c r="T31739" s="246">
        <f t="shared" si="533"/>
        <v>0</v>
      </c>
    </row>
    <row r="31740" spans="20:20" ht="18.75" customHeight="1" x14ac:dyDescent="0.35">
      <c r="T31740" s="246">
        <f t="shared" ref="T31740:T31803" si="534">R31740*0.01</f>
        <v>0</v>
      </c>
    </row>
    <row r="31741" spans="20:20" ht="18.75" customHeight="1" x14ac:dyDescent="0.35">
      <c r="T31741" s="246">
        <f t="shared" si="534"/>
        <v>0</v>
      </c>
    </row>
    <row r="31742" spans="20:20" ht="18.75" customHeight="1" x14ac:dyDescent="0.35">
      <c r="T31742" s="246">
        <f t="shared" si="534"/>
        <v>0</v>
      </c>
    </row>
    <row r="31743" spans="20:20" ht="18.75" customHeight="1" x14ac:dyDescent="0.35">
      <c r="T31743" s="246">
        <f t="shared" si="534"/>
        <v>0</v>
      </c>
    </row>
    <row r="31744" spans="20:20" ht="18.75" customHeight="1" x14ac:dyDescent="0.35">
      <c r="T31744" s="246">
        <f t="shared" si="534"/>
        <v>0</v>
      </c>
    </row>
    <row r="31745" spans="20:20" ht="18.75" customHeight="1" x14ac:dyDescent="0.35">
      <c r="T31745" s="246">
        <f t="shared" si="534"/>
        <v>0</v>
      </c>
    </row>
    <row r="31746" spans="20:20" ht="18.75" customHeight="1" x14ac:dyDescent="0.35">
      <c r="T31746" s="246">
        <f t="shared" si="534"/>
        <v>0</v>
      </c>
    </row>
    <row r="31747" spans="20:20" ht="18.75" customHeight="1" x14ac:dyDescent="0.35">
      <c r="T31747" s="246">
        <f t="shared" si="534"/>
        <v>0</v>
      </c>
    </row>
    <row r="31748" spans="20:20" ht="18.75" customHeight="1" x14ac:dyDescent="0.35">
      <c r="T31748" s="246">
        <f t="shared" si="534"/>
        <v>0</v>
      </c>
    </row>
    <row r="31749" spans="20:20" ht="18.75" customHeight="1" x14ac:dyDescent="0.35">
      <c r="T31749" s="246">
        <f t="shared" si="534"/>
        <v>0</v>
      </c>
    </row>
    <row r="31750" spans="20:20" ht="18.75" customHeight="1" x14ac:dyDescent="0.35">
      <c r="T31750" s="246">
        <f t="shared" si="534"/>
        <v>0</v>
      </c>
    </row>
    <row r="31751" spans="20:20" ht="18.75" customHeight="1" x14ac:dyDescent="0.35">
      <c r="T31751" s="246">
        <f t="shared" si="534"/>
        <v>0</v>
      </c>
    </row>
    <row r="31752" spans="20:20" ht="18.75" customHeight="1" x14ac:dyDescent="0.35">
      <c r="T31752" s="246">
        <f t="shared" si="534"/>
        <v>0</v>
      </c>
    </row>
    <row r="31753" spans="20:20" ht="18.75" customHeight="1" x14ac:dyDescent="0.35">
      <c r="T31753" s="246">
        <f t="shared" si="534"/>
        <v>0</v>
      </c>
    </row>
    <row r="31754" spans="20:20" ht="18.75" customHeight="1" x14ac:dyDescent="0.35">
      <c r="T31754" s="246">
        <f t="shared" si="534"/>
        <v>0</v>
      </c>
    </row>
    <row r="31755" spans="20:20" ht="18.75" customHeight="1" x14ac:dyDescent="0.35">
      <c r="T31755" s="246">
        <f t="shared" si="534"/>
        <v>0</v>
      </c>
    </row>
    <row r="31756" spans="20:20" ht="18.75" customHeight="1" x14ac:dyDescent="0.35">
      <c r="T31756" s="246">
        <f t="shared" si="534"/>
        <v>0</v>
      </c>
    </row>
    <row r="31757" spans="20:20" ht="18.75" customHeight="1" x14ac:dyDescent="0.35">
      <c r="T31757" s="246">
        <f t="shared" si="534"/>
        <v>0</v>
      </c>
    </row>
    <row r="31758" spans="20:20" ht="18.75" customHeight="1" x14ac:dyDescent="0.35">
      <c r="T31758" s="246">
        <f t="shared" si="534"/>
        <v>0</v>
      </c>
    </row>
    <row r="31759" spans="20:20" ht="18.75" customHeight="1" x14ac:dyDescent="0.35">
      <c r="T31759" s="246">
        <f t="shared" si="534"/>
        <v>0</v>
      </c>
    </row>
    <row r="31760" spans="20:20" ht="18.75" customHeight="1" x14ac:dyDescent="0.35">
      <c r="T31760" s="246">
        <f t="shared" si="534"/>
        <v>0</v>
      </c>
    </row>
    <row r="31761" spans="20:20" ht="18.75" customHeight="1" x14ac:dyDescent="0.35">
      <c r="T31761" s="246">
        <f t="shared" si="534"/>
        <v>0</v>
      </c>
    </row>
    <row r="31762" spans="20:20" ht="18.75" customHeight="1" x14ac:dyDescent="0.35">
      <c r="T31762" s="246">
        <f t="shared" si="534"/>
        <v>0</v>
      </c>
    </row>
    <row r="31763" spans="20:20" ht="18.75" customHeight="1" x14ac:dyDescent="0.35">
      <c r="T31763" s="246">
        <f t="shared" si="534"/>
        <v>0</v>
      </c>
    </row>
    <row r="31764" spans="20:20" ht="18.75" customHeight="1" x14ac:dyDescent="0.35">
      <c r="T31764" s="246">
        <f t="shared" si="534"/>
        <v>0</v>
      </c>
    </row>
    <row r="31765" spans="20:20" ht="18.75" customHeight="1" x14ac:dyDescent="0.35">
      <c r="T31765" s="246">
        <f t="shared" si="534"/>
        <v>0</v>
      </c>
    </row>
    <row r="31766" spans="20:20" ht="18.75" customHeight="1" x14ac:dyDescent="0.35">
      <c r="T31766" s="246">
        <f t="shared" si="534"/>
        <v>0</v>
      </c>
    </row>
    <row r="31767" spans="20:20" ht="18.75" customHeight="1" x14ac:dyDescent="0.35">
      <c r="T31767" s="246">
        <f t="shared" si="534"/>
        <v>0</v>
      </c>
    </row>
    <row r="31768" spans="20:20" ht="18.75" customHeight="1" x14ac:dyDescent="0.35">
      <c r="T31768" s="246">
        <f t="shared" si="534"/>
        <v>0</v>
      </c>
    </row>
    <row r="31769" spans="20:20" ht="18.75" customHeight="1" x14ac:dyDescent="0.35">
      <c r="T31769" s="246">
        <f t="shared" si="534"/>
        <v>0</v>
      </c>
    </row>
    <row r="31770" spans="20:20" ht="18.75" customHeight="1" x14ac:dyDescent="0.35">
      <c r="T31770" s="246">
        <f t="shared" si="534"/>
        <v>0</v>
      </c>
    </row>
    <row r="31771" spans="20:20" ht="18.75" customHeight="1" x14ac:dyDescent="0.35">
      <c r="T31771" s="246">
        <f t="shared" si="534"/>
        <v>0</v>
      </c>
    </row>
    <row r="31772" spans="20:20" ht="18.75" customHeight="1" x14ac:dyDescent="0.35">
      <c r="T31772" s="246">
        <f t="shared" si="534"/>
        <v>0</v>
      </c>
    </row>
    <row r="31773" spans="20:20" ht="18.75" customHeight="1" x14ac:dyDescent="0.35">
      <c r="T31773" s="246">
        <f t="shared" si="534"/>
        <v>0</v>
      </c>
    </row>
    <row r="31774" spans="20:20" ht="18.75" customHeight="1" x14ac:dyDescent="0.35">
      <c r="T31774" s="246">
        <f t="shared" si="534"/>
        <v>0</v>
      </c>
    </row>
    <row r="31775" spans="20:20" ht="18.75" customHeight="1" x14ac:dyDescent="0.35">
      <c r="T31775" s="246">
        <f t="shared" si="534"/>
        <v>0</v>
      </c>
    </row>
    <row r="31776" spans="20:20" ht="18.75" customHeight="1" x14ac:dyDescent="0.35">
      <c r="T31776" s="246">
        <f t="shared" si="534"/>
        <v>0</v>
      </c>
    </row>
    <row r="31777" spans="20:20" ht="18.75" customHeight="1" x14ac:dyDescent="0.35">
      <c r="T31777" s="246">
        <f t="shared" si="534"/>
        <v>0</v>
      </c>
    </row>
    <row r="31778" spans="20:20" ht="18.75" customHeight="1" x14ac:dyDescent="0.35">
      <c r="T31778" s="246">
        <f t="shared" si="534"/>
        <v>0</v>
      </c>
    </row>
    <row r="31779" spans="20:20" ht="18.75" customHeight="1" x14ac:dyDescent="0.35">
      <c r="T31779" s="246">
        <f t="shared" si="534"/>
        <v>0</v>
      </c>
    </row>
    <row r="31780" spans="20:20" ht="18.75" customHeight="1" x14ac:dyDescent="0.35">
      <c r="T31780" s="246">
        <f t="shared" si="534"/>
        <v>0</v>
      </c>
    </row>
    <row r="31781" spans="20:20" ht="18.75" customHeight="1" x14ac:dyDescent="0.35">
      <c r="T31781" s="246">
        <f t="shared" si="534"/>
        <v>0</v>
      </c>
    </row>
    <row r="31782" spans="20:20" ht="18.75" customHeight="1" x14ac:dyDescent="0.35">
      <c r="T31782" s="246">
        <f t="shared" si="534"/>
        <v>0</v>
      </c>
    </row>
    <row r="31783" spans="20:20" ht="18.75" customHeight="1" x14ac:dyDescent="0.35">
      <c r="T31783" s="246">
        <f t="shared" si="534"/>
        <v>0</v>
      </c>
    </row>
    <row r="31784" spans="20:20" ht="18.75" customHeight="1" x14ac:dyDescent="0.35">
      <c r="T31784" s="246">
        <f t="shared" si="534"/>
        <v>0</v>
      </c>
    </row>
    <row r="31785" spans="20:20" ht="18.75" customHeight="1" x14ac:dyDescent="0.35">
      <c r="T31785" s="246">
        <f t="shared" si="534"/>
        <v>0</v>
      </c>
    </row>
    <row r="31786" spans="20:20" ht="18.75" customHeight="1" x14ac:dyDescent="0.35">
      <c r="T31786" s="246">
        <f t="shared" si="534"/>
        <v>0</v>
      </c>
    </row>
    <row r="31787" spans="20:20" ht="18.75" customHeight="1" x14ac:dyDescent="0.35">
      <c r="T31787" s="246">
        <f t="shared" si="534"/>
        <v>0</v>
      </c>
    </row>
    <row r="31788" spans="20:20" ht="18.75" customHeight="1" x14ac:dyDescent="0.35">
      <c r="T31788" s="246">
        <f t="shared" si="534"/>
        <v>0</v>
      </c>
    </row>
    <row r="31789" spans="20:20" ht="18.75" customHeight="1" x14ac:dyDescent="0.35">
      <c r="T31789" s="246">
        <f t="shared" si="534"/>
        <v>0</v>
      </c>
    </row>
    <row r="31790" spans="20:20" ht="18.75" customHeight="1" x14ac:dyDescent="0.35">
      <c r="T31790" s="246">
        <f t="shared" si="534"/>
        <v>0</v>
      </c>
    </row>
    <row r="31791" spans="20:20" ht="18.75" customHeight="1" x14ac:dyDescent="0.35">
      <c r="T31791" s="246">
        <f t="shared" si="534"/>
        <v>0</v>
      </c>
    </row>
    <row r="31792" spans="20:20" ht="18.75" customHeight="1" x14ac:dyDescent="0.35">
      <c r="T31792" s="246">
        <f t="shared" si="534"/>
        <v>0</v>
      </c>
    </row>
    <row r="31793" spans="20:20" ht="18.75" customHeight="1" x14ac:dyDescent="0.35">
      <c r="T31793" s="246">
        <f t="shared" si="534"/>
        <v>0</v>
      </c>
    </row>
    <row r="31794" spans="20:20" ht="18.75" customHeight="1" x14ac:dyDescent="0.35">
      <c r="T31794" s="246">
        <f t="shared" si="534"/>
        <v>0</v>
      </c>
    </row>
    <row r="31795" spans="20:20" ht="18.75" customHeight="1" x14ac:dyDescent="0.35">
      <c r="T31795" s="246">
        <f t="shared" si="534"/>
        <v>0</v>
      </c>
    </row>
    <row r="31796" spans="20:20" ht="18.75" customHeight="1" x14ac:dyDescent="0.35">
      <c r="T31796" s="246">
        <f t="shared" si="534"/>
        <v>0</v>
      </c>
    </row>
    <row r="31797" spans="20:20" ht="18.75" customHeight="1" x14ac:dyDescent="0.35">
      <c r="T31797" s="246">
        <f t="shared" si="534"/>
        <v>0</v>
      </c>
    </row>
    <row r="31798" spans="20:20" ht="18.75" customHeight="1" x14ac:dyDescent="0.35">
      <c r="T31798" s="246">
        <f t="shared" si="534"/>
        <v>0</v>
      </c>
    </row>
    <row r="31799" spans="20:20" ht="18.75" customHeight="1" x14ac:dyDescent="0.35">
      <c r="T31799" s="246">
        <f t="shared" si="534"/>
        <v>0</v>
      </c>
    </row>
    <row r="31800" spans="20:20" ht="18.75" customHeight="1" x14ac:dyDescent="0.35">
      <c r="T31800" s="246">
        <f t="shared" si="534"/>
        <v>0</v>
      </c>
    </row>
    <row r="31801" spans="20:20" ht="18.75" customHeight="1" x14ac:dyDescent="0.35">
      <c r="T31801" s="246">
        <f t="shared" si="534"/>
        <v>0</v>
      </c>
    </row>
    <row r="31802" spans="20:20" ht="18.75" customHeight="1" x14ac:dyDescent="0.35">
      <c r="T31802" s="246">
        <f t="shared" si="534"/>
        <v>0</v>
      </c>
    </row>
    <row r="31803" spans="20:20" ht="18.75" customHeight="1" x14ac:dyDescent="0.35">
      <c r="T31803" s="246">
        <f t="shared" si="534"/>
        <v>0</v>
      </c>
    </row>
    <row r="31804" spans="20:20" ht="18.75" customHeight="1" x14ac:dyDescent="0.35">
      <c r="T31804" s="246">
        <f t="shared" ref="T31804:T31867" si="535">R31804*0.01</f>
        <v>0</v>
      </c>
    </row>
    <row r="31805" spans="20:20" ht="18.75" customHeight="1" x14ac:dyDescent="0.35">
      <c r="T31805" s="246">
        <f t="shared" si="535"/>
        <v>0</v>
      </c>
    </row>
    <row r="31806" spans="20:20" ht="18.75" customHeight="1" x14ac:dyDescent="0.35">
      <c r="T31806" s="246">
        <f t="shared" si="535"/>
        <v>0</v>
      </c>
    </row>
    <row r="31807" spans="20:20" ht="18.75" customHeight="1" x14ac:dyDescent="0.35">
      <c r="T31807" s="246">
        <f t="shared" si="535"/>
        <v>0</v>
      </c>
    </row>
    <row r="31808" spans="20:20" ht="18.75" customHeight="1" x14ac:dyDescent="0.35">
      <c r="T31808" s="246">
        <f t="shared" si="535"/>
        <v>0</v>
      </c>
    </row>
    <row r="31809" spans="20:20" ht="18.75" customHeight="1" x14ac:dyDescent="0.35">
      <c r="T31809" s="246">
        <f t="shared" si="535"/>
        <v>0</v>
      </c>
    </row>
    <row r="31810" spans="20:20" ht="18.75" customHeight="1" x14ac:dyDescent="0.35">
      <c r="T31810" s="246">
        <f t="shared" si="535"/>
        <v>0</v>
      </c>
    </row>
    <row r="31811" spans="20:20" ht="18.75" customHeight="1" x14ac:dyDescent="0.35">
      <c r="T31811" s="246">
        <f t="shared" si="535"/>
        <v>0</v>
      </c>
    </row>
    <row r="31812" spans="20:20" ht="18.75" customHeight="1" x14ac:dyDescent="0.35">
      <c r="T31812" s="246">
        <f t="shared" si="535"/>
        <v>0</v>
      </c>
    </row>
    <row r="31813" spans="20:20" ht="18.75" customHeight="1" x14ac:dyDescent="0.35">
      <c r="T31813" s="246">
        <f t="shared" si="535"/>
        <v>0</v>
      </c>
    </row>
    <row r="31814" spans="20:20" ht="18.75" customHeight="1" x14ac:dyDescent="0.35">
      <c r="T31814" s="246">
        <f t="shared" si="535"/>
        <v>0</v>
      </c>
    </row>
    <row r="31815" spans="20:20" ht="18.75" customHeight="1" x14ac:dyDescent="0.35">
      <c r="T31815" s="246">
        <f t="shared" si="535"/>
        <v>0</v>
      </c>
    </row>
    <row r="31816" spans="20:20" ht="18.75" customHeight="1" x14ac:dyDescent="0.35">
      <c r="T31816" s="246">
        <f t="shared" si="535"/>
        <v>0</v>
      </c>
    </row>
    <row r="31817" spans="20:20" ht="18.75" customHeight="1" x14ac:dyDescent="0.35">
      <c r="T31817" s="246">
        <f t="shared" si="535"/>
        <v>0</v>
      </c>
    </row>
    <row r="31818" spans="20:20" ht="18.75" customHeight="1" x14ac:dyDescent="0.35">
      <c r="T31818" s="246">
        <f t="shared" si="535"/>
        <v>0</v>
      </c>
    </row>
    <row r="31819" spans="20:20" ht="18.75" customHeight="1" x14ac:dyDescent="0.35">
      <c r="T31819" s="246">
        <f t="shared" si="535"/>
        <v>0</v>
      </c>
    </row>
    <row r="31820" spans="20:20" ht="18.75" customHeight="1" x14ac:dyDescent="0.35">
      <c r="T31820" s="246">
        <f t="shared" si="535"/>
        <v>0</v>
      </c>
    </row>
    <row r="31821" spans="20:20" ht="18.75" customHeight="1" x14ac:dyDescent="0.35">
      <c r="T31821" s="246">
        <f t="shared" si="535"/>
        <v>0</v>
      </c>
    </row>
    <row r="31822" spans="20:20" ht="18.75" customHeight="1" x14ac:dyDescent="0.35">
      <c r="T31822" s="246">
        <f t="shared" si="535"/>
        <v>0</v>
      </c>
    </row>
    <row r="31823" spans="20:20" ht="18.75" customHeight="1" x14ac:dyDescent="0.35">
      <c r="T31823" s="246">
        <f t="shared" si="535"/>
        <v>0</v>
      </c>
    </row>
    <row r="31824" spans="20:20" ht="18.75" customHeight="1" x14ac:dyDescent="0.35">
      <c r="T31824" s="246">
        <f t="shared" si="535"/>
        <v>0</v>
      </c>
    </row>
    <row r="31825" spans="20:20" ht="18.75" customHeight="1" x14ac:dyDescent="0.35">
      <c r="T31825" s="246">
        <f t="shared" si="535"/>
        <v>0</v>
      </c>
    </row>
    <row r="31826" spans="20:20" ht="18.75" customHeight="1" x14ac:dyDescent="0.35">
      <c r="T31826" s="246">
        <f t="shared" si="535"/>
        <v>0</v>
      </c>
    </row>
    <row r="31827" spans="20:20" ht="18.75" customHeight="1" x14ac:dyDescent="0.35">
      <c r="T31827" s="246">
        <f t="shared" si="535"/>
        <v>0</v>
      </c>
    </row>
    <row r="31828" spans="20:20" ht="18.75" customHeight="1" x14ac:dyDescent="0.35">
      <c r="T31828" s="246">
        <f t="shared" si="535"/>
        <v>0</v>
      </c>
    </row>
    <row r="31829" spans="20:20" ht="18.75" customHeight="1" x14ac:dyDescent="0.35">
      <c r="T31829" s="246">
        <f t="shared" si="535"/>
        <v>0</v>
      </c>
    </row>
    <row r="31830" spans="20:20" ht="18.75" customHeight="1" x14ac:dyDescent="0.35">
      <c r="T31830" s="246">
        <f t="shared" si="535"/>
        <v>0</v>
      </c>
    </row>
    <row r="31831" spans="20:20" ht="18.75" customHeight="1" x14ac:dyDescent="0.35">
      <c r="T31831" s="246">
        <f t="shared" si="535"/>
        <v>0</v>
      </c>
    </row>
    <row r="31832" spans="20:20" ht="18.75" customHeight="1" x14ac:dyDescent="0.35">
      <c r="T31832" s="246">
        <f t="shared" si="535"/>
        <v>0</v>
      </c>
    </row>
    <row r="31833" spans="20:20" ht="18.75" customHeight="1" x14ac:dyDescent="0.35">
      <c r="T31833" s="246">
        <f t="shared" si="535"/>
        <v>0</v>
      </c>
    </row>
    <row r="31834" spans="20:20" ht="18.75" customHeight="1" x14ac:dyDescent="0.35">
      <c r="T31834" s="246">
        <f t="shared" si="535"/>
        <v>0</v>
      </c>
    </row>
    <row r="31835" spans="20:20" ht="18.75" customHeight="1" x14ac:dyDescent="0.35">
      <c r="T31835" s="246">
        <f t="shared" si="535"/>
        <v>0</v>
      </c>
    </row>
    <row r="31836" spans="20:20" ht="18.75" customHeight="1" x14ac:dyDescent="0.35">
      <c r="T31836" s="246">
        <f t="shared" si="535"/>
        <v>0</v>
      </c>
    </row>
    <row r="31837" spans="20:20" ht="18.75" customHeight="1" x14ac:dyDescent="0.35">
      <c r="T31837" s="246">
        <f t="shared" si="535"/>
        <v>0</v>
      </c>
    </row>
    <row r="31838" spans="20:20" ht="18.75" customHeight="1" x14ac:dyDescent="0.35">
      <c r="T31838" s="246">
        <f t="shared" si="535"/>
        <v>0</v>
      </c>
    </row>
    <row r="31839" spans="20:20" ht="18.75" customHeight="1" x14ac:dyDescent="0.35">
      <c r="T31839" s="246">
        <f t="shared" si="535"/>
        <v>0</v>
      </c>
    </row>
    <row r="31840" spans="20:20" ht="18.75" customHeight="1" x14ac:dyDescent="0.35">
      <c r="T31840" s="246">
        <f t="shared" si="535"/>
        <v>0</v>
      </c>
    </row>
    <row r="31841" spans="20:20" ht="18.75" customHeight="1" x14ac:dyDescent="0.35">
      <c r="T31841" s="246">
        <f t="shared" si="535"/>
        <v>0</v>
      </c>
    </row>
    <row r="31842" spans="20:20" ht="18.75" customHeight="1" x14ac:dyDescent="0.35">
      <c r="T31842" s="246">
        <f t="shared" si="535"/>
        <v>0</v>
      </c>
    </row>
    <row r="31843" spans="20:20" ht="18.75" customHeight="1" x14ac:dyDescent="0.35">
      <c r="T31843" s="246">
        <f t="shared" si="535"/>
        <v>0</v>
      </c>
    </row>
    <row r="31844" spans="20:20" ht="18.75" customHeight="1" x14ac:dyDescent="0.35">
      <c r="T31844" s="246">
        <f t="shared" si="535"/>
        <v>0</v>
      </c>
    </row>
    <row r="31845" spans="20:20" ht="18.75" customHeight="1" x14ac:dyDescent="0.35">
      <c r="T31845" s="246">
        <f t="shared" si="535"/>
        <v>0</v>
      </c>
    </row>
    <row r="31846" spans="20:20" ht="18.75" customHeight="1" x14ac:dyDescent="0.35">
      <c r="T31846" s="246">
        <f t="shared" si="535"/>
        <v>0</v>
      </c>
    </row>
    <row r="31847" spans="20:20" ht="18.75" customHeight="1" x14ac:dyDescent="0.35">
      <c r="T31847" s="246">
        <f t="shared" si="535"/>
        <v>0</v>
      </c>
    </row>
    <row r="31848" spans="20:20" ht="18.75" customHeight="1" x14ac:dyDescent="0.35">
      <c r="T31848" s="246">
        <f t="shared" si="535"/>
        <v>0</v>
      </c>
    </row>
    <row r="31849" spans="20:20" ht="18.75" customHeight="1" x14ac:dyDescent="0.35">
      <c r="T31849" s="246">
        <f t="shared" si="535"/>
        <v>0</v>
      </c>
    </row>
    <row r="31850" spans="20:20" ht="18.75" customHeight="1" x14ac:dyDescent="0.35">
      <c r="T31850" s="246">
        <f t="shared" si="535"/>
        <v>0</v>
      </c>
    </row>
    <row r="31851" spans="20:20" ht="18.75" customHeight="1" x14ac:dyDescent="0.35">
      <c r="T31851" s="246">
        <f t="shared" si="535"/>
        <v>0</v>
      </c>
    </row>
    <row r="31852" spans="20:20" ht="18.75" customHeight="1" x14ac:dyDescent="0.35">
      <c r="T31852" s="246">
        <f t="shared" si="535"/>
        <v>0</v>
      </c>
    </row>
    <row r="31853" spans="20:20" ht="18.75" customHeight="1" x14ac:dyDescent="0.35">
      <c r="T31853" s="246">
        <f t="shared" si="535"/>
        <v>0</v>
      </c>
    </row>
    <row r="31854" spans="20:20" ht="18.75" customHeight="1" x14ac:dyDescent="0.35">
      <c r="T31854" s="246">
        <f t="shared" si="535"/>
        <v>0</v>
      </c>
    </row>
    <row r="31855" spans="20:20" ht="18.75" customHeight="1" x14ac:dyDescent="0.35">
      <c r="T31855" s="246">
        <f t="shared" si="535"/>
        <v>0</v>
      </c>
    </row>
    <row r="31856" spans="20:20" ht="18.75" customHeight="1" x14ac:dyDescent="0.35">
      <c r="T31856" s="246">
        <f t="shared" si="535"/>
        <v>0</v>
      </c>
    </row>
    <row r="31857" spans="20:20" ht="18.75" customHeight="1" x14ac:dyDescent="0.35">
      <c r="T31857" s="246">
        <f t="shared" si="535"/>
        <v>0</v>
      </c>
    </row>
    <row r="31858" spans="20:20" ht="18.75" customHeight="1" x14ac:dyDescent="0.35">
      <c r="T31858" s="246">
        <f t="shared" si="535"/>
        <v>0</v>
      </c>
    </row>
    <row r="31859" spans="20:20" ht="18.75" customHeight="1" x14ac:dyDescent="0.35">
      <c r="T31859" s="246">
        <f t="shared" si="535"/>
        <v>0</v>
      </c>
    </row>
    <row r="31860" spans="20:20" ht="18.75" customHeight="1" x14ac:dyDescent="0.35">
      <c r="T31860" s="246">
        <f t="shared" si="535"/>
        <v>0</v>
      </c>
    </row>
    <row r="31861" spans="20:20" ht="18.75" customHeight="1" x14ac:dyDescent="0.35">
      <c r="T31861" s="246">
        <f t="shared" si="535"/>
        <v>0</v>
      </c>
    </row>
    <row r="31862" spans="20:20" ht="18.75" customHeight="1" x14ac:dyDescent="0.35">
      <c r="T31862" s="246">
        <f t="shared" si="535"/>
        <v>0</v>
      </c>
    </row>
    <row r="31863" spans="20:20" ht="18.75" customHeight="1" x14ac:dyDescent="0.35">
      <c r="T31863" s="246">
        <f t="shared" si="535"/>
        <v>0</v>
      </c>
    </row>
    <row r="31864" spans="20:20" ht="18.75" customHeight="1" x14ac:dyDescent="0.35">
      <c r="T31864" s="246">
        <f t="shared" si="535"/>
        <v>0</v>
      </c>
    </row>
    <row r="31865" spans="20:20" ht="18.75" customHeight="1" x14ac:dyDescent="0.35">
      <c r="T31865" s="246">
        <f t="shared" si="535"/>
        <v>0</v>
      </c>
    </row>
    <row r="31866" spans="20:20" ht="18.75" customHeight="1" x14ac:dyDescent="0.35">
      <c r="T31866" s="246">
        <f t="shared" si="535"/>
        <v>0</v>
      </c>
    </row>
    <row r="31867" spans="20:20" ht="18.75" customHeight="1" x14ac:dyDescent="0.35">
      <c r="T31867" s="246">
        <f t="shared" si="535"/>
        <v>0</v>
      </c>
    </row>
    <row r="31868" spans="20:20" ht="18.75" customHeight="1" x14ac:dyDescent="0.35">
      <c r="T31868" s="246">
        <f t="shared" ref="T31868:T31931" si="536">R31868*0.01</f>
        <v>0</v>
      </c>
    </row>
    <row r="31869" spans="20:20" ht="18.75" customHeight="1" x14ac:dyDescent="0.35">
      <c r="T31869" s="246">
        <f t="shared" si="536"/>
        <v>0</v>
      </c>
    </row>
    <row r="31870" spans="20:20" ht="18.75" customHeight="1" x14ac:dyDescent="0.35">
      <c r="T31870" s="246">
        <f t="shared" si="536"/>
        <v>0</v>
      </c>
    </row>
    <row r="31871" spans="20:20" ht="18.75" customHeight="1" x14ac:dyDescent="0.35">
      <c r="T31871" s="246">
        <f t="shared" si="536"/>
        <v>0</v>
      </c>
    </row>
    <row r="31872" spans="20:20" ht="18.75" customHeight="1" x14ac:dyDescent="0.35">
      <c r="T31872" s="246">
        <f t="shared" si="536"/>
        <v>0</v>
      </c>
    </row>
    <row r="31873" spans="20:20" ht="18.75" customHeight="1" x14ac:dyDescent="0.35">
      <c r="T31873" s="246">
        <f t="shared" si="536"/>
        <v>0</v>
      </c>
    </row>
    <row r="31874" spans="20:20" ht="18.75" customHeight="1" x14ac:dyDescent="0.35">
      <c r="T31874" s="246">
        <f t="shared" si="536"/>
        <v>0</v>
      </c>
    </row>
    <row r="31875" spans="20:20" ht="18.75" customHeight="1" x14ac:dyDescent="0.35">
      <c r="T31875" s="246">
        <f t="shared" si="536"/>
        <v>0</v>
      </c>
    </row>
    <row r="31876" spans="20:20" ht="18.75" customHeight="1" x14ac:dyDescent="0.35">
      <c r="T31876" s="246">
        <f t="shared" si="536"/>
        <v>0</v>
      </c>
    </row>
    <row r="31877" spans="20:20" ht="18.75" customHeight="1" x14ac:dyDescent="0.35">
      <c r="T31877" s="246">
        <f t="shared" si="536"/>
        <v>0</v>
      </c>
    </row>
    <row r="31878" spans="20:20" ht="18.75" customHeight="1" x14ac:dyDescent="0.35">
      <c r="T31878" s="246">
        <f t="shared" si="536"/>
        <v>0</v>
      </c>
    </row>
    <row r="31879" spans="20:20" ht="18.75" customHeight="1" x14ac:dyDescent="0.35">
      <c r="T31879" s="246">
        <f t="shared" si="536"/>
        <v>0</v>
      </c>
    </row>
    <row r="31880" spans="20:20" ht="18.75" customHeight="1" x14ac:dyDescent="0.35">
      <c r="T31880" s="246">
        <f t="shared" si="536"/>
        <v>0</v>
      </c>
    </row>
    <row r="31881" spans="20:20" ht="18.75" customHeight="1" x14ac:dyDescent="0.35">
      <c r="T31881" s="246">
        <f t="shared" si="536"/>
        <v>0</v>
      </c>
    </row>
    <row r="31882" spans="20:20" ht="18.75" customHeight="1" x14ac:dyDescent="0.35">
      <c r="T31882" s="246">
        <f t="shared" si="536"/>
        <v>0</v>
      </c>
    </row>
    <row r="31883" spans="20:20" ht="18.75" customHeight="1" x14ac:dyDescent="0.35">
      <c r="T31883" s="246">
        <f t="shared" si="536"/>
        <v>0</v>
      </c>
    </row>
    <row r="31884" spans="20:20" ht="18.75" customHeight="1" x14ac:dyDescent="0.35">
      <c r="T31884" s="246">
        <f t="shared" si="536"/>
        <v>0</v>
      </c>
    </row>
    <row r="31885" spans="20:20" ht="18.75" customHeight="1" x14ac:dyDescent="0.35">
      <c r="T31885" s="246">
        <f t="shared" si="536"/>
        <v>0</v>
      </c>
    </row>
    <row r="31886" spans="20:20" ht="18.75" customHeight="1" x14ac:dyDescent="0.35">
      <c r="T31886" s="246">
        <f t="shared" si="536"/>
        <v>0</v>
      </c>
    </row>
    <row r="31887" spans="20:20" ht="18.75" customHeight="1" x14ac:dyDescent="0.35">
      <c r="T31887" s="246">
        <f t="shared" si="536"/>
        <v>0</v>
      </c>
    </row>
    <row r="31888" spans="20:20" ht="18.75" customHeight="1" x14ac:dyDescent="0.35">
      <c r="T31888" s="246">
        <f t="shared" si="536"/>
        <v>0</v>
      </c>
    </row>
    <row r="31889" spans="20:20" ht="18.75" customHeight="1" x14ac:dyDescent="0.35">
      <c r="T31889" s="246">
        <f t="shared" si="536"/>
        <v>0</v>
      </c>
    </row>
    <row r="31890" spans="20:20" ht="18.75" customHeight="1" x14ac:dyDescent="0.35">
      <c r="T31890" s="246">
        <f t="shared" si="536"/>
        <v>0</v>
      </c>
    </row>
    <row r="31891" spans="20:20" ht="18.75" customHeight="1" x14ac:dyDescent="0.35">
      <c r="T31891" s="246">
        <f t="shared" si="536"/>
        <v>0</v>
      </c>
    </row>
    <row r="31892" spans="20:20" ht="18.75" customHeight="1" x14ac:dyDescent="0.35">
      <c r="T31892" s="246">
        <f t="shared" si="536"/>
        <v>0</v>
      </c>
    </row>
    <row r="31893" spans="20:20" ht="18.75" customHeight="1" x14ac:dyDescent="0.35">
      <c r="T31893" s="246">
        <f t="shared" si="536"/>
        <v>0</v>
      </c>
    </row>
    <row r="31894" spans="20:20" ht="18.75" customHeight="1" x14ac:dyDescent="0.35">
      <c r="T31894" s="246">
        <f t="shared" si="536"/>
        <v>0</v>
      </c>
    </row>
    <row r="31895" spans="20:20" ht="18.75" customHeight="1" x14ac:dyDescent="0.35">
      <c r="T31895" s="246">
        <f t="shared" si="536"/>
        <v>0</v>
      </c>
    </row>
    <row r="31896" spans="20:20" ht="18.75" customHeight="1" x14ac:dyDescent="0.35">
      <c r="T31896" s="246">
        <f t="shared" si="536"/>
        <v>0</v>
      </c>
    </row>
    <row r="31897" spans="20:20" ht="18.75" customHeight="1" x14ac:dyDescent="0.35">
      <c r="T31897" s="246">
        <f t="shared" si="536"/>
        <v>0</v>
      </c>
    </row>
    <row r="31898" spans="20:20" ht="18.75" customHeight="1" x14ac:dyDescent="0.35">
      <c r="T31898" s="246">
        <f t="shared" si="536"/>
        <v>0</v>
      </c>
    </row>
    <row r="31899" spans="20:20" ht="18.75" customHeight="1" x14ac:dyDescent="0.35">
      <c r="T31899" s="246">
        <f t="shared" si="536"/>
        <v>0</v>
      </c>
    </row>
    <row r="31900" spans="20:20" ht="18.75" customHeight="1" x14ac:dyDescent="0.35">
      <c r="T31900" s="246">
        <f t="shared" si="536"/>
        <v>0</v>
      </c>
    </row>
    <row r="31901" spans="20:20" ht="18.75" customHeight="1" x14ac:dyDescent="0.35">
      <c r="T31901" s="246">
        <f t="shared" si="536"/>
        <v>0</v>
      </c>
    </row>
    <row r="31902" spans="20:20" ht="18.75" customHeight="1" x14ac:dyDescent="0.35">
      <c r="T31902" s="246">
        <f t="shared" si="536"/>
        <v>0</v>
      </c>
    </row>
    <row r="31903" spans="20:20" ht="18.75" customHeight="1" x14ac:dyDescent="0.35">
      <c r="T31903" s="246">
        <f t="shared" si="536"/>
        <v>0</v>
      </c>
    </row>
    <row r="31904" spans="20:20" ht="18.75" customHeight="1" x14ac:dyDescent="0.35">
      <c r="T31904" s="246">
        <f t="shared" si="536"/>
        <v>0</v>
      </c>
    </row>
    <row r="31905" spans="20:20" ht="18.75" customHeight="1" x14ac:dyDescent="0.35">
      <c r="T31905" s="246">
        <f t="shared" si="536"/>
        <v>0</v>
      </c>
    </row>
    <row r="31906" spans="20:20" ht="18.75" customHeight="1" x14ac:dyDescent="0.35">
      <c r="T31906" s="246">
        <f t="shared" si="536"/>
        <v>0</v>
      </c>
    </row>
    <row r="31907" spans="20:20" ht="18.75" customHeight="1" x14ac:dyDescent="0.35">
      <c r="T31907" s="246">
        <f t="shared" si="536"/>
        <v>0</v>
      </c>
    </row>
    <row r="31908" spans="20:20" ht="18.75" customHeight="1" x14ac:dyDescent="0.35">
      <c r="T31908" s="246">
        <f t="shared" si="536"/>
        <v>0</v>
      </c>
    </row>
    <row r="31909" spans="20:20" ht="18.75" customHeight="1" x14ac:dyDescent="0.35">
      <c r="T31909" s="246">
        <f t="shared" si="536"/>
        <v>0</v>
      </c>
    </row>
    <row r="31910" spans="20:20" ht="18.75" customHeight="1" x14ac:dyDescent="0.35">
      <c r="T31910" s="246">
        <f t="shared" si="536"/>
        <v>0</v>
      </c>
    </row>
    <row r="31911" spans="20:20" ht="18.75" customHeight="1" x14ac:dyDescent="0.35">
      <c r="T31911" s="246">
        <f t="shared" si="536"/>
        <v>0</v>
      </c>
    </row>
    <row r="31912" spans="20:20" ht="18.75" customHeight="1" x14ac:dyDescent="0.35">
      <c r="T31912" s="246">
        <f t="shared" si="536"/>
        <v>0</v>
      </c>
    </row>
    <row r="31913" spans="20:20" ht="18.75" customHeight="1" x14ac:dyDescent="0.35">
      <c r="T31913" s="246">
        <f t="shared" si="536"/>
        <v>0</v>
      </c>
    </row>
    <row r="31914" spans="20:20" ht="18.75" customHeight="1" x14ac:dyDescent="0.35">
      <c r="T31914" s="246">
        <f t="shared" si="536"/>
        <v>0</v>
      </c>
    </row>
    <row r="31915" spans="20:20" ht="18.75" customHeight="1" x14ac:dyDescent="0.35">
      <c r="T31915" s="246">
        <f t="shared" si="536"/>
        <v>0</v>
      </c>
    </row>
    <row r="31916" spans="20:20" ht="18.75" customHeight="1" x14ac:dyDescent="0.35">
      <c r="T31916" s="246">
        <f t="shared" si="536"/>
        <v>0</v>
      </c>
    </row>
    <row r="31917" spans="20:20" ht="18.75" customHeight="1" x14ac:dyDescent="0.35">
      <c r="T31917" s="246">
        <f t="shared" si="536"/>
        <v>0</v>
      </c>
    </row>
    <row r="31918" spans="20:20" ht="18.75" customHeight="1" x14ac:dyDescent="0.35">
      <c r="T31918" s="246">
        <f t="shared" si="536"/>
        <v>0</v>
      </c>
    </row>
    <row r="31919" spans="20:20" ht="18.75" customHeight="1" x14ac:dyDescent="0.35">
      <c r="T31919" s="246">
        <f t="shared" si="536"/>
        <v>0</v>
      </c>
    </row>
    <row r="31920" spans="20:20" ht="18.75" customHeight="1" x14ac:dyDescent="0.35">
      <c r="T31920" s="246">
        <f t="shared" si="536"/>
        <v>0</v>
      </c>
    </row>
    <row r="31921" spans="20:20" ht="18.75" customHeight="1" x14ac:dyDescent="0.35">
      <c r="T31921" s="246">
        <f t="shared" si="536"/>
        <v>0</v>
      </c>
    </row>
    <row r="31922" spans="20:20" ht="18.75" customHeight="1" x14ac:dyDescent="0.35">
      <c r="T31922" s="246">
        <f t="shared" si="536"/>
        <v>0</v>
      </c>
    </row>
    <row r="31923" spans="20:20" ht="18.75" customHeight="1" x14ac:dyDescent="0.35">
      <c r="T31923" s="246">
        <f t="shared" si="536"/>
        <v>0</v>
      </c>
    </row>
    <row r="31924" spans="20:20" ht="18.75" customHeight="1" x14ac:dyDescent="0.35">
      <c r="T31924" s="246">
        <f t="shared" si="536"/>
        <v>0</v>
      </c>
    </row>
    <row r="31925" spans="20:20" ht="18.75" customHeight="1" x14ac:dyDescent="0.35">
      <c r="T31925" s="246">
        <f t="shared" si="536"/>
        <v>0</v>
      </c>
    </row>
    <row r="31926" spans="20:20" ht="18.75" customHeight="1" x14ac:dyDescent="0.35">
      <c r="T31926" s="246">
        <f t="shared" si="536"/>
        <v>0</v>
      </c>
    </row>
    <row r="31927" spans="20:20" ht="18.75" customHeight="1" x14ac:dyDescent="0.35">
      <c r="T31927" s="246">
        <f t="shared" si="536"/>
        <v>0</v>
      </c>
    </row>
    <row r="31928" spans="20:20" ht="18.75" customHeight="1" x14ac:dyDescent="0.35">
      <c r="T31928" s="246">
        <f t="shared" si="536"/>
        <v>0</v>
      </c>
    </row>
    <row r="31929" spans="20:20" ht="18.75" customHeight="1" x14ac:dyDescent="0.35">
      <c r="T31929" s="246">
        <f t="shared" si="536"/>
        <v>0</v>
      </c>
    </row>
    <row r="31930" spans="20:20" ht="18.75" customHeight="1" x14ac:dyDescent="0.35">
      <c r="T31930" s="246">
        <f t="shared" si="536"/>
        <v>0</v>
      </c>
    </row>
    <row r="31931" spans="20:20" ht="18.75" customHeight="1" x14ac:dyDescent="0.35">
      <c r="T31931" s="246">
        <f t="shared" si="536"/>
        <v>0</v>
      </c>
    </row>
    <row r="31932" spans="20:20" ht="18.75" customHeight="1" x14ac:dyDescent="0.35">
      <c r="T31932" s="246">
        <f t="shared" ref="T31932:T31995" si="537">R31932*0.01</f>
        <v>0</v>
      </c>
    </row>
    <row r="31933" spans="20:20" ht="18.75" customHeight="1" x14ac:dyDescent="0.35">
      <c r="T31933" s="246">
        <f t="shared" si="537"/>
        <v>0</v>
      </c>
    </row>
    <row r="31934" spans="20:20" ht="18.75" customHeight="1" x14ac:dyDescent="0.35">
      <c r="T31934" s="246">
        <f t="shared" si="537"/>
        <v>0</v>
      </c>
    </row>
    <row r="31935" spans="20:20" ht="18.75" customHeight="1" x14ac:dyDescent="0.35">
      <c r="T31935" s="246">
        <f t="shared" si="537"/>
        <v>0</v>
      </c>
    </row>
    <row r="31936" spans="20:20" ht="18.75" customHeight="1" x14ac:dyDescent="0.35">
      <c r="T31936" s="246">
        <f t="shared" si="537"/>
        <v>0</v>
      </c>
    </row>
    <row r="31937" spans="20:20" ht="18.75" customHeight="1" x14ac:dyDescent="0.35">
      <c r="T31937" s="246">
        <f t="shared" si="537"/>
        <v>0</v>
      </c>
    </row>
    <row r="31938" spans="20:20" ht="18.75" customHeight="1" x14ac:dyDescent="0.35">
      <c r="T31938" s="246">
        <f t="shared" si="537"/>
        <v>0</v>
      </c>
    </row>
    <row r="31939" spans="20:20" ht="18.75" customHeight="1" x14ac:dyDescent="0.35">
      <c r="T31939" s="246">
        <f t="shared" si="537"/>
        <v>0</v>
      </c>
    </row>
    <row r="31940" spans="20:20" ht="18.75" customHeight="1" x14ac:dyDescent="0.35">
      <c r="T31940" s="246">
        <f t="shared" si="537"/>
        <v>0</v>
      </c>
    </row>
    <row r="31941" spans="20:20" ht="18.75" customHeight="1" x14ac:dyDescent="0.35">
      <c r="T31941" s="246">
        <f t="shared" si="537"/>
        <v>0</v>
      </c>
    </row>
    <row r="31942" spans="20:20" ht="18.75" customHeight="1" x14ac:dyDescent="0.35">
      <c r="T31942" s="246">
        <f t="shared" si="537"/>
        <v>0</v>
      </c>
    </row>
    <row r="31943" spans="20:20" ht="18.75" customHeight="1" x14ac:dyDescent="0.35">
      <c r="T31943" s="246">
        <f t="shared" si="537"/>
        <v>0</v>
      </c>
    </row>
    <row r="31944" spans="20:20" ht="18.75" customHeight="1" x14ac:dyDescent="0.35">
      <c r="T31944" s="246">
        <f t="shared" si="537"/>
        <v>0</v>
      </c>
    </row>
    <row r="31945" spans="20:20" ht="18.75" customHeight="1" x14ac:dyDescent="0.35">
      <c r="T31945" s="246">
        <f t="shared" si="537"/>
        <v>0</v>
      </c>
    </row>
    <row r="31946" spans="20:20" ht="18.75" customHeight="1" x14ac:dyDescent="0.35">
      <c r="T31946" s="246">
        <f t="shared" si="537"/>
        <v>0</v>
      </c>
    </row>
    <row r="31947" spans="20:20" ht="18.75" customHeight="1" x14ac:dyDescent="0.35">
      <c r="T31947" s="246">
        <f t="shared" si="537"/>
        <v>0</v>
      </c>
    </row>
    <row r="31948" spans="20:20" ht="18.75" customHeight="1" x14ac:dyDescent="0.35">
      <c r="T31948" s="246">
        <f t="shared" si="537"/>
        <v>0</v>
      </c>
    </row>
    <row r="31949" spans="20:20" ht="18.75" customHeight="1" x14ac:dyDescent="0.35">
      <c r="T31949" s="246">
        <f t="shared" si="537"/>
        <v>0</v>
      </c>
    </row>
    <row r="31950" spans="20:20" ht="18.75" customHeight="1" x14ac:dyDescent="0.35">
      <c r="T31950" s="246">
        <f t="shared" si="537"/>
        <v>0</v>
      </c>
    </row>
    <row r="31951" spans="20:20" ht="18.75" customHeight="1" x14ac:dyDescent="0.35">
      <c r="T31951" s="246">
        <f t="shared" si="537"/>
        <v>0</v>
      </c>
    </row>
    <row r="31952" spans="20:20" ht="18.75" customHeight="1" x14ac:dyDescent="0.35">
      <c r="T31952" s="246">
        <f t="shared" si="537"/>
        <v>0</v>
      </c>
    </row>
    <row r="31953" spans="20:20" ht="18.75" customHeight="1" x14ac:dyDescent="0.35">
      <c r="T31953" s="246">
        <f t="shared" si="537"/>
        <v>0</v>
      </c>
    </row>
    <row r="31954" spans="20:20" ht="18.75" customHeight="1" x14ac:dyDescent="0.35">
      <c r="T31954" s="246">
        <f t="shared" si="537"/>
        <v>0</v>
      </c>
    </row>
    <row r="31955" spans="20:20" ht="18.75" customHeight="1" x14ac:dyDescent="0.35">
      <c r="T31955" s="246">
        <f t="shared" si="537"/>
        <v>0</v>
      </c>
    </row>
    <row r="31956" spans="20:20" ht="18.75" customHeight="1" x14ac:dyDescent="0.35">
      <c r="T31956" s="246">
        <f t="shared" si="537"/>
        <v>0</v>
      </c>
    </row>
    <row r="31957" spans="20:20" ht="18.75" customHeight="1" x14ac:dyDescent="0.35">
      <c r="T31957" s="246">
        <f t="shared" si="537"/>
        <v>0</v>
      </c>
    </row>
    <row r="31958" spans="20:20" ht="18.75" customHeight="1" x14ac:dyDescent="0.35">
      <c r="T31958" s="246">
        <f t="shared" si="537"/>
        <v>0</v>
      </c>
    </row>
    <row r="31959" spans="20:20" ht="18.75" customHeight="1" x14ac:dyDescent="0.35">
      <c r="T31959" s="246">
        <f t="shared" si="537"/>
        <v>0</v>
      </c>
    </row>
    <row r="31960" spans="20:20" ht="18.75" customHeight="1" x14ac:dyDescent="0.35">
      <c r="T31960" s="246">
        <f t="shared" si="537"/>
        <v>0</v>
      </c>
    </row>
    <row r="31961" spans="20:20" ht="18.75" customHeight="1" x14ac:dyDescent="0.35">
      <c r="T31961" s="246">
        <f t="shared" si="537"/>
        <v>0</v>
      </c>
    </row>
    <row r="31962" spans="20:20" ht="18.75" customHeight="1" x14ac:dyDescent="0.35">
      <c r="T31962" s="246">
        <f t="shared" si="537"/>
        <v>0</v>
      </c>
    </row>
    <row r="31963" spans="20:20" ht="18.75" customHeight="1" x14ac:dyDescent="0.35">
      <c r="T31963" s="246">
        <f t="shared" si="537"/>
        <v>0</v>
      </c>
    </row>
    <row r="31964" spans="20:20" ht="18.75" customHeight="1" x14ac:dyDescent="0.35">
      <c r="T31964" s="246">
        <f t="shared" si="537"/>
        <v>0</v>
      </c>
    </row>
    <row r="31965" spans="20:20" ht="18.75" customHeight="1" x14ac:dyDescent="0.35">
      <c r="T31965" s="246">
        <f t="shared" si="537"/>
        <v>0</v>
      </c>
    </row>
    <row r="31966" spans="20:20" ht="18.75" customHeight="1" x14ac:dyDescent="0.35">
      <c r="T31966" s="246">
        <f t="shared" si="537"/>
        <v>0</v>
      </c>
    </row>
    <row r="31967" spans="20:20" ht="18.75" customHeight="1" x14ac:dyDescent="0.35">
      <c r="T31967" s="246">
        <f t="shared" si="537"/>
        <v>0</v>
      </c>
    </row>
    <row r="31968" spans="20:20" ht="18.75" customHeight="1" x14ac:dyDescent="0.35">
      <c r="T31968" s="246">
        <f t="shared" si="537"/>
        <v>0</v>
      </c>
    </row>
    <row r="31969" spans="20:20" ht="18.75" customHeight="1" x14ac:dyDescent="0.35">
      <c r="T31969" s="246">
        <f t="shared" si="537"/>
        <v>0</v>
      </c>
    </row>
    <row r="31970" spans="20:20" ht="18.75" customHeight="1" x14ac:dyDescent="0.35">
      <c r="T31970" s="246">
        <f t="shared" si="537"/>
        <v>0</v>
      </c>
    </row>
    <row r="31971" spans="20:20" ht="18.75" customHeight="1" x14ac:dyDescent="0.35">
      <c r="T31971" s="246">
        <f t="shared" si="537"/>
        <v>0</v>
      </c>
    </row>
    <row r="31972" spans="20:20" ht="18.75" customHeight="1" x14ac:dyDescent="0.35">
      <c r="T31972" s="246">
        <f t="shared" si="537"/>
        <v>0</v>
      </c>
    </row>
    <row r="31973" spans="20:20" ht="18.75" customHeight="1" x14ac:dyDescent="0.35">
      <c r="T31973" s="246">
        <f t="shared" si="537"/>
        <v>0</v>
      </c>
    </row>
    <row r="31974" spans="20:20" ht="18.75" customHeight="1" x14ac:dyDescent="0.35">
      <c r="T31974" s="246">
        <f t="shared" si="537"/>
        <v>0</v>
      </c>
    </row>
    <row r="31975" spans="20:20" ht="18.75" customHeight="1" x14ac:dyDescent="0.35">
      <c r="T31975" s="246">
        <f t="shared" si="537"/>
        <v>0</v>
      </c>
    </row>
    <row r="31976" spans="20:20" ht="18.75" customHeight="1" x14ac:dyDescent="0.35">
      <c r="T31976" s="246">
        <f t="shared" si="537"/>
        <v>0</v>
      </c>
    </row>
    <row r="31977" spans="20:20" ht="18.75" customHeight="1" x14ac:dyDescent="0.35">
      <c r="T31977" s="246">
        <f t="shared" si="537"/>
        <v>0</v>
      </c>
    </row>
    <row r="31978" spans="20:20" ht="18.75" customHeight="1" x14ac:dyDescent="0.35">
      <c r="T31978" s="246">
        <f t="shared" si="537"/>
        <v>0</v>
      </c>
    </row>
    <row r="31979" spans="20:20" ht="18.75" customHeight="1" x14ac:dyDescent="0.35">
      <c r="T31979" s="246">
        <f t="shared" si="537"/>
        <v>0</v>
      </c>
    </row>
    <row r="31980" spans="20:20" ht="18.75" customHeight="1" x14ac:dyDescent="0.35">
      <c r="T31980" s="246">
        <f t="shared" si="537"/>
        <v>0</v>
      </c>
    </row>
    <row r="31981" spans="20:20" ht="18.75" customHeight="1" x14ac:dyDescent="0.35">
      <c r="T31981" s="246">
        <f t="shared" si="537"/>
        <v>0</v>
      </c>
    </row>
    <row r="31982" spans="20:20" ht="18.75" customHeight="1" x14ac:dyDescent="0.35">
      <c r="T31982" s="246">
        <f t="shared" si="537"/>
        <v>0</v>
      </c>
    </row>
    <row r="31983" spans="20:20" ht="18.75" customHeight="1" x14ac:dyDescent="0.35">
      <c r="T31983" s="246">
        <f t="shared" si="537"/>
        <v>0</v>
      </c>
    </row>
    <row r="31984" spans="20:20" ht="18.75" customHeight="1" x14ac:dyDescent="0.35">
      <c r="T31984" s="246">
        <f t="shared" si="537"/>
        <v>0</v>
      </c>
    </row>
    <row r="31985" spans="20:20" ht="18.75" customHeight="1" x14ac:dyDescent="0.35">
      <c r="T31985" s="246">
        <f t="shared" si="537"/>
        <v>0</v>
      </c>
    </row>
    <row r="31986" spans="20:20" ht="18.75" customHeight="1" x14ac:dyDescent="0.35">
      <c r="T31986" s="246">
        <f t="shared" si="537"/>
        <v>0</v>
      </c>
    </row>
    <row r="31987" spans="20:20" ht="18.75" customHeight="1" x14ac:dyDescent="0.35">
      <c r="T31987" s="246">
        <f t="shared" si="537"/>
        <v>0</v>
      </c>
    </row>
    <row r="31988" spans="20:20" ht="18.75" customHeight="1" x14ac:dyDescent="0.35">
      <c r="T31988" s="246">
        <f t="shared" si="537"/>
        <v>0</v>
      </c>
    </row>
    <row r="31989" spans="20:20" ht="18.75" customHeight="1" x14ac:dyDescent="0.35">
      <c r="T31989" s="246">
        <f t="shared" si="537"/>
        <v>0</v>
      </c>
    </row>
    <row r="31990" spans="20:20" ht="18.75" customHeight="1" x14ac:dyDescent="0.35">
      <c r="T31990" s="246">
        <f t="shared" si="537"/>
        <v>0</v>
      </c>
    </row>
    <row r="31991" spans="20:20" ht="18.75" customHeight="1" x14ac:dyDescent="0.35">
      <c r="T31991" s="246">
        <f t="shared" si="537"/>
        <v>0</v>
      </c>
    </row>
    <row r="31992" spans="20:20" ht="18.75" customHeight="1" x14ac:dyDescent="0.35">
      <c r="T31992" s="246">
        <f t="shared" si="537"/>
        <v>0</v>
      </c>
    </row>
    <row r="31993" spans="20:20" ht="18.75" customHeight="1" x14ac:dyDescent="0.35">
      <c r="T31993" s="246">
        <f t="shared" si="537"/>
        <v>0</v>
      </c>
    </row>
    <row r="31994" spans="20:20" ht="18.75" customHeight="1" x14ac:dyDescent="0.35">
      <c r="T31994" s="246">
        <f t="shared" si="537"/>
        <v>0</v>
      </c>
    </row>
    <row r="31995" spans="20:20" ht="18.75" customHeight="1" x14ac:dyDescent="0.35">
      <c r="T31995" s="246">
        <f t="shared" si="537"/>
        <v>0</v>
      </c>
    </row>
    <row r="31996" spans="20:20" ht="18.75" customHeight="1" x14ac:dyDescent="0.35">
      <c r="T31996" s="246">
        <f t="shared" ref="T31996:T32059" si="538">R31996*0.01</f>
        <v>0</v>
      </c>
    </row>
    <row r="31997" spans="20:20" ht="18.75" customHeight="1" x14ac:dyDescent="0.35">
      <c r="T31997" s="246">
        <f t="shared" si="538"/>
        <v>0</v>
      </c>
    </row>
    <row r="31998" spans="20:20" ht="18.75" customHeight="1" x14ac:dyDescent="0.35">
      <c r="T31998" s="246">
        <f t="shared" si="538"/>
        <v>0</v>
      </c>
    </row>
    <row r="31999" spans="20:20" ht="18.75" customHeight="1" x14ac:dyDescent="0.35">
      <c r="T31999" s="246">
        <f t="shared" si="538"/>
        <v>0</v>
      </c>
    </row>
    <row r="32000" spans="20:20" ht="18.75" customHeight="1" x14ac:dyDescent="0.35">
      <c r="T32000" s="246">
        <f t="shared" si="538"/>
        <v>0</v>
      </c>
    </row>
    <row r="32001" spans="20:20" ht="18.75" customHeight="1" x14ac:dyDescent="0.35">
      <c r="T32001" s="246">
        <f t="shared" si="538"/>
        <v>0</v>
      </c>
    </row>
    <row r="32002" spans="20:20" ht="18.75" customHeight="1" x14ac:dyDescent="0.35">
      <c r="T32002" s="246">
        <f t="shared" si="538"/>
        <v>0</v>
      </c>
    </row>
    <row r="32003" spans="20:20" ht="18.75" customHeight="1" x14ac:dyDescent="0.35">
      <c r="T32003" s="246">
        <f t="shared" si="538"/>
        <v>0</v>
      </c>
    </row>
    <row r="32004" spans="20:20" ht="18.75" customHeight="1" x14ac:dyDescent="0.35">
      <c r="T32004" s="246">
        <f t="shared" si="538"/>
        <v>0</v>
      </c>
    </row>
    <row r="32005" spans="20:20" ht="18.75" customHeight="1" x14ac:dyDescent="0.35">
      <c r="T32005" s="246">
        <f t="shared" si="538"/>
        <v>0</v>
      </c>
    </row>
    <row r="32006" spans="20:20" ht="18.75" customHeight="1" x14ac:dyDescent="0.35">
      <c r="T32006" s="246">
        <f t="shared" si="538"/>
        <v>0</v>
      </c>
    </row>
    <row r="32007" spans="20:20" ht="18.75" customHeight="1" x14ac:dyDescent="0.35">
      <c r="T32007" s="246">
        <f t="shared" si="538"/>
        <v>0</v>
      </c>
    </row>
    <row r="32008" spans="20:20" ht="18.75" customHeight="1" x14ac:dyDescent="0.35">
      <c r="T32008" s="246">
        <f t="shared" si="538"/>
        <v>0</v>
      </c>
    </row>
    <row r="32009" spans="20:20" ht="18.75" customHeight="1" x14ac:dyDescent="0.35">
      <c r="T32009" s="246">
        <f t="shared" si="538"/>
        <v>0</v>
      </c>
    </row>
    <row r="32010" spans="20:20" ht="18.75" customHeight="1" x14ac:dyDescent="0.35">
      <c r="T32010" s="246">
        <f t="shared" si="538"/>
        <v>0</v>
      </c>
    </row>
    <row r="32011" spans="20:20" ht="18.75" customHeight="1" x14ac:dyDescent="0.35">
      <c r="T32011" s="246">
        <f t="shared" si="538"/>
        <v>0</v>
      </c>
    </row>
    <row r="32012" spans="20:20" ht="18.75" customHeight="1" x14ac:dyDescent="0.35">
      <c r="T32012" s="246">
        <f t="shared" si="538"/>
        <v>0</v>
      </c>
    </row>
    <row r="32013" spans="20:20" ht="18.75" customHeight="1" x14ac:dyDescent="0.35">
      <c r="T32013" s="246">
        <f t="shared" si="538"/>
        <v>0</v>
      </c>
    </row>
    <row r="32014" spans="20:20" ht="18.75" customHeight="1" x14ac:dyDescent="0.35">
      <c r="T32014" s="246">
        <f t="shared" si="538"/>
        <v>0</v>
      </c>
    </row>
    <row r="32015" spans="20:20" ht="18.75" customHeight="1" x14ac:dyDescent="0.35">
      <c r="T32015" s="246">
        <f t="shared" si="538"/>
        <v>0</v>
      </c>
    </row>
    <row r="32016" spans="20:20" ht="18.75" customHeight="1" x14ac:dyDescent="0.35">
      <c r="T32016" s="246">
        <f t="shared" si="538"/>
        <v>0</v>
      </c>
    </row>
    <row r="32017" spans="20:20" ht="18.75" customHeight="1" x14ac:dyDescent="0.35">
      <c r="T32017" s="246">
        <f t="shared" si="538"/>
        <v>0</v>
      </c>
    </row>
    <row r="32018" spans="20:20" ht="18.75" customHeight="1" x14ac:dyDescent="0.35">
      <c r="T32018" s="246">
        <f t="shared" si="538"/>
        <v>0</v>
      </c>
    </row>
    <row r="32019" spans="20:20" ht="18.75" customHeight="1" x14ac:dyDescent="0.35">
      <c r="T32019" s="246">
        <f t="shared" si="538"/>
        <v>0</v>
      </c>
    </row>
    <row r="32020" spans="20:20" ht="18.75" customHeight="1" x14ac:dyDescent="0.35">
      <c r="T32020" s="246">
        <f t="shared" si="538"/>
        <v>0</v>
      </c>
    </row>
    <row r="32021" spans="20:20" ht="18.75" customHeight="1" x14ac:dyDescent="0.35">
      <c r="T32021" s="246">
        <f t="shared" si="538"/>
        <v>0</v>
      </c>
    </row>
    <row r="32022" spans="20:20" ht="18.75" customHeight="1" x14ac:dyDescent="0.35">
      <c r="T32022" s="246">
        <f t="shared" si="538"/>
        <v>0</v>
      </c>
    </row>
    <row r="32023" spans="20:20" ht="18.75" customHeight="1" x14ac:dyDescent="0.35">
      <c r="T32023" s="246">
        <f t="shared" si="538"/>
        <v>0</v>
      </c>
    </row>
    <row r="32024" spans="20:20" ht="18.75" customHeight="1" x14ac:dyDescent="0.35">
      <c r="T32024" s="246">
        <f t="shared" si="538"/>
        <v>0</v>
      </c>
    </row>
    <row r="32025" spans="20:20" ht="18.75" customHeight="1" x14ac:dyDescent="0.35">
      <c r="T32025" s="246">
        <f t="shared" si="538"/>
        <v>0</v>
      </c>
    </row>
    <row r="32026" spans="20:20" ht="18.75" customHeight="1" x14ac:dyDescent="0.35">
      <c r="T32026" s="246">
        <f t="shared" si="538"/>
        <v>0</v>
      </c>
    </row>
    <row r="32027" spans="20:20" ht="18.75" customHeight="1" x14ac:dyDescent="0.35">
      <c r="T32027" s="246">
        <f t="shared" si="538"/>
        <v>0</v>
      </c>
    </row>
    <row r="32028" spans="20:20" ht="18.75" customHeight="1" x14ac:dyDescent="0.35">
      <c r="T32028" s="246">
        <f t="shared" si="538"/>
        <v>0</v>
      </c>
    </row>
    <row r="32029" spans="20:20" ht="18.75" customHeight="1" x14ac:dyDescent="0.35">
      <c r="T32029" s="246">
        <f t="shared" si="538"/>
        <v>0</v>
      </c>
    </row>
    <row r="32030" spans="20:20" ht="18.75" customHeight="1" x14ac:dyDescent="0.35">
      <c r="T32030" s="246">
        <f t="shared" si="538"/>
        <v>0</v>
      </c>
    </row>
    <row r="32031" spans="20:20" ht="18.75" customHeight="1" x14ac:dyDescent="0.35">
      <c r="T32031" s="246">
        <f t="shared" si="538"/>
        <v>0</v>
      </c>
    </row>
    <row r="32032" spans="20:20" ht="18.75" customHeight="1" x14ac:dyDescent="0.35">
      <c r="T32032" s="246">
        <f t="shared" si="538"/>
        <v>0</v>
      </c>
    </row>
    <row r="32033" spans="20:20" ht="18.75" customHeight="1" x14ac:dyDescent="0.35">
      <c r="T32033" s="246">
        <f t="shared" si="538"/>
        <v>0</v>
      </c>
    </row>
    <row r="32034" spans="20:20" ht="18.75" customHeight="1" x14ac:dyDescent="0.35">
      <c r="T32034" s="246">
        <f t="shared" si="538"/>
        <v>0</v>
      </c>
    </row>
    <row r="32035" spans="20:20" ht="18.75" customHeight="1" x14ac:dyDescent="0.35">
      <c r="T32035" s="246">
        <f t="shared" si="538"/>
        <v>0</v>
      </c>
    </row>
    <row r="32036" spans="20:20" ht="18.75" customHeight="1" x14ac:dyDescent="0.35">
      <c r="T32036" s="246">
        <f t="shared" si="538"/>
        <v>0</v>
      </c>
    </row>
    <row r="32037" spans="20:20" ht="18.75" customHeight="1" x14ac:dyDescent="0.35">
      <c r="T32037" s="246">
        <f t="shared" si="538"/>
        <v>0</v>
      </c>
    </row>
    <row r="32038" spans="20:20" ht="18.75" customHeight="1" x14ac:dyDescent="0.35">
      <c r="T32038" s="246">
        <f t="shared" si="538"/>
        <v>0</v>
      </c>
    </row>
    <row r="32039" spans="20:20" ht="18.75" customHeight="1" x14ac:dyDescent="0.35">
      <c r="T32039" s="246">
        <f t="shared" si="538"/>
        <v>0</v>
      </c>
    </row>
    <row r="32040" spans="20:20" ht="18.75" customHeight="1" x14ac:dyDescent="0.35">
      <c r="T32040" s="246">
        <f t="shared" si="538"/>
        <v>0</v>
      </c>
    </row>
    <row r="32041" spans="20:20" ht="18.75" customHeight="1" x14ac:dyDescent="0.35">
      <c r="T32041" s="246">
        <f t="shared" si="538"/>
        <v>0</v>
      </c>
    </row>
    <row r="32042" spans="20:20" ht="18.75" customHeight="1" x14ac:dyDescent="0.35">
      <c r="T32042" s="246">
        <f t="shared" si="538"/>
        <v>0</v>
      </c>
    </row>
    <row r="32043" spans="20:20" ht="18.75" customHeight="1" x14ac:dyDescent="0.35">
      <c r="T32043" s="246">
        <f t="shared" si="538"/>
        <v>0</v>
      </c>
    </row>
    <row r="32044" spans="20:20" ht="18.75" customHeight="1" x14ac:dyDescent="0.35">
      <c r="T32044" s="246">
        <f t="shared" si="538"/>
        <v>0</v>
      </c>
    </row>
    <row r="32045" spans="20:20" ht="18.75" customHeight="1" x14ac:dyDescent="0.35">
      <c r="T32045" s="246">
        <f t="shared" si="538"/>
        <v>0</v>
      </c>
    </row>
    <row r="32046" spans="20:20" ht="18.75" customHeight="1" x14ac:dyDescent="0.35">
      <c r="T32046" s="246">
        <f t="shared" si="538"/>
        <v>0</v>
      </c>
    </row>
    <row r="32047" spans="20:20" ht="18.75" customHeight="1" x14ac:dyDescent="0.35">
      <c r="T32047" s="246">
        <f t="shared" si="538"/>
        <v>0</v>
      </c>
    </row>
    <row r="32048" spans="20:20" ht="18.75" customHeight="1" x14ac:dyDescent="0.35">
      <c r="T32048" s="246">
        <f t="shared" si="538"/>
        <v>0</v>
      </c>
    </row>
    <row r="32049" spans="20:20" ht="18.75" customHeight="1" x14ac:dyDescent="0.35">
      <c r="T32049" s="246">
        <f t="shared" si="538"/>
        <v>0</v>
      </c>
    </row>
    <row r="32050" spans="20:20" ht="18.75" customHeight="1" x14ac:dyDescent="0.35">
      <c r="T32050" s="246">
        <f t="shared" si="538"/>
        <v>0</v>
      </c>
    </row>
    <row r="32051" spans="20:20" ht="18.75" customHeight="1" x14ac:dyDescent="0.35">
      <c r="T32051" s="246">
        <f t="shared" si="538"/>
        <v>0</v>
      </c>
    </row>
    <row r="32052" spans="20:20" ht="18.75" customHeight="1" x14ac:dyDescent="0.35">
      <c r="T32052" s="246">
        <f t="shared" si="538"/>
        <v>0</v>
      </c>
    </row>
    <row r="32053" spans="20:20" ht="18.75" customHeight="1" x14ac:dyDescent="0.35">
      <c r="T32053" s="246">
        <f t="shared" si="538"/>
        <v>0</v>
      </c>
    </row>
    <row r="32054" spans="20:20" ht="18.75" customHeight="1" x14ac:dyDescent="0.35">
      <c r="T32054" s="246">
        <f t="shared" si="538"/>
        <v>0</v>
      </c>
    </row>
    <row r="32055" spans="20:20" ht="18.75" customHeight="1" x14ac:dyDescent="0.35">
      <c r="T32055" s="246">
        <f t="shared" si="538"/>
        <v>0</v>
      </c>
    </row>
    <row r="32056" spans="20:20" ht="18.75" customHeight="1" x14ac:dyDescent="0.35">
      <c r="T32056" s="246">
        <f t="shared" si="538"/>
        <v>0</v>
      </c>
    </row>
    <row r="32057" spans="20:20" ht="18.75" customHeight="1" x14ac:dyDescent="0.35">
      <c r="T32057" s="246">
        <f t="shared" si="538"/>
        <v>0</v>
      </c>
    </row>
    <row r="32058" spans="20:20" ht="18.75" customHeight="1" x14ac:dyDescent="0.35">
      <c r="T32058" s="246">
        <f t="shared" si="538"/>
        <v>0</v>
      </c>
    </row>
    <row r="32059" spans="20:20" ht="18.75" customHeight="1" x14ac:dyDescent="0.35">
      <c r="T32059" s="246">
        <f t="shared" si="538"/>
        <v>0</v>
      </c>
    </row>
    <row r="32060" spans="20:20" ht="18.75" customHeight="1" x14ac:dyDescent="0.35">
      <c r="T32060" s="246">
        <f t="shared" ref="T32060:T32123" si="539">R32060*0.01</f>
        <v>0</v>
      </c>
    </row>
    <row r="32061" spans="20:20" ht="18.75" customHeight="1" x14ac:dyDescent="0.35">
      <c r="T32061" s="246">
        <f t="shared" si="539"/>
        <v>0</v>
      </c>
    </row>
    <row r="32062" spans="20:20" ht="18.75" customHeight="1" x14ac:dyDescent="0.35">
      <c r="T32062" s="246">
        <f t="shared" si="539"/>
        <v>0</v>
      </c>
    </row>
    <row r="32063" spans="20:20" ht="18.75" customHeight="1" x14ac:dyDescent="0.35">
      <c r="T32063" s="246">
        <f t="shared" si="539"/>
        <v>0</v>
      </c>
    </row>
    <row r="32064" spans="20:20" ht="18.75" customHeight="1" x14ac:dyDescent="0.35">
      <c r="T32064" s="246">
        <f t="shared" si="539"/>
        <v>0</v>
      </c>
    </row>
    <row r="32065" spans="20:20" ht="18.75" customHeight="1" x14ac:dyDescent="0.35">
      <c r="T32065" s="246">
        <f t="shared" si="539"/>
        <v>0</v>
      </c>
    </row>
    <row r="32066" spans="20:20" ht="18.75" customHeight="1" x14ac:dyDescent="0.35">
      <c r="T32066" s="246">
        <f t="shared" si="539"/>
        <v>0</v>
      </c>
    </row>
    <row r="32067" spans="20:20" ht="18.75" customHeight="1" x14ac:dyDescent="0.35">
      <c r="T32067" s="246">
        <f t="shared" si="539"/>
        <v>0</v>
      </c>
    </row>
    <row r="32068" spans="20:20" ht="18.75" customHeight="1" x14ac:dyDescent="0.35">
      <c r="T32068" s="246">
        <f t="shared" si="539"/>
        <v>0</v>
      </c>
    </row>
    <row r="32069" spans="20:20" ht="18.75" customHeight="1" x14ac:dyDescent="0.35">
      <c r="T32069" s="246">
        <f t="shared" si="539"/>
        <v>0</v>
      </c>
    </row>
    <row r="32070" spans="20:20" ht="18.75" customHeight="1" x14ac:dyDescent="0.35">
      <c r="T32070" s="246">
        <f t="shared" si="539"/>
        <v>0</v>
      </c>
    </row>
    <row r="32071" spans="20:20" ht="18.75" customHeight="1" x14ac:dyDescent="0.35">
      <c r="T32071" s="246">
        <f t="shared" si="539"/>
        <v>0</v>
      </c>
    </row>
    <row r="32072" spans="20:20" ht="18.75" customHeight="1" x14ac:dyDescent="0.35">
      <c r="T32072" s="246">
        <f t="shared" si="539"/>
        <v>0</v>
      </c>
    </row>
    <row r="32073" spans="20:20" ht="18.75" customHeight="1" x14ac:dyDescent="0.35">
      <c r="T32073" s="246">
        <f t="shared" si="539"/>
        <v>0</v>
      </c>
    </row>
    <row r="32074" spans="20:20" ht="18.75" customHeight="1" x14ac:dyDescent="0.35">
      <c r="T32074" s="246">
        <f t="shared" si="539"/>
        <v>0</v>
      </c>
    </row>
    <row r="32075" spans="20:20" ht="18.75" customHeight="1" x14ac:dyDescent="0.35">
      <c r="T32075" s="246">
        <f t="shared" si="539"/>
        <v>0</v>
      </c>
    </row>
    <row r="32076" spans="20:20" ht="18.75" customHeight="1" x14ac:dyDescent="0.35">
      <c r="T32076" s="246">
        <f t="shared" si="539"/>
        <v>0</v>
      </c>
    </row>
    <row r="32077" spans="20:20" ht="18.75" customHeight="1" x14ac:dyDescent="0.35">
      <c r="T32077" s="246">
        <f t="shared" si="539"/>
        <v>0</v>
      </c>
    </row>
    <row r="32078" spans="20:20" ht="18.75" customHeight="1" x14ac:dyDescent="0.35">
      <c r="T32078" s="246">
        <f t="shared" si="539"/>
        <v>0</v>
      </c>
    </row>
    <row r="32079" spans="20:20" ht="18.75" customHeight="1" x14ac:dyDescent="0.35">
      <c r="T32079" s="246">
        <f t="shared" si="539"/>
        <v>0</v>
      </c>
    </row>
    <row r="32080" spans="20:20" ht="18.75" customHeight="1" x14ac:dyDescent="0.35">
      <c r="T32080" s="246">
        <f t="shared" si="539"/>
        <v>0</v>
      </c>
    </row>
    <row r="32081" spans="20:20" ht="18.75" customHeight="1" x14ac:dyDescent="0.35">
      <c r="T32081" s="246">
        <f t="shared" si="539"/>
        <v>0</v>
      </c>
    </row>
    <row r="32082" spans="20:20" ht="18.75" customHeight="1" x14ac:dyDescent="0.35">
      <c r="T32082" s="246">
        <f t="shared" si="539"/>
        <v>0</v>
      </c>
    </row>
    <row r="32083" spans="20:20" ht="18.75" customHeight="1" x14ac:dyDescent="0.35">
      <c r="T32083" s="246">
        <f t="shared" si="539"/>
        <v>0</v>
      </c>
    </row>
    <row r="32084" spans="20:20" ht="18.75" customHeight="1" x14ac:dyDescent="0.35">
      <c r="T32084" s="246">
        <f t="shared" si="539"/>
        <v>0</v>
      </c>
    </row>
    <row r="32085" spans="20:20" ht="18.75" customHeight="1" x14ac:dyDescent="0.35">
      <c r="T32085" s="246">
        <f t="shared" si="539"/>
        <v>0</v>
      </c>
    </row>
    <row r="32086" spans="20:20" ht="18.75" customHeight="1" x14ac:dyDescent="0.35">
      <c r="T32086" s="246">
        <f t="shared" si="539"/>
        <v>0</v>
      </c>
    </row>
    <row r="32087" spans="20:20" ht="18.75" customHeight="1" x14ac:dyDescent="0.35">
      <c r="T32087" s="246">
        <f t="shared" si="539"/>
        <v>0</v>
      </c>
    </row>
    <row r="32088" spans="20:20" ht="18.75" customHeight="1" x14ac:dyDescent="0.35">
      <c r="T32088" s="246">
        <f t="shared" si="539"/>
        <v>0</v>
      </c>
    </row>
    <row r="32089" spans="20:20" ht="18.75" customHeight="1" x14ac:dyDescent="0.35">
      <c r="T32089" s="246">
        <f t="shared" si="539"/>
        <v>0</v>
      </c>
    </row>
    <row r="32090" spans="20:20" ht="18.75" customHeight="1" x14ac:dyDescent="0.35">
      <c r="T32090" s="246">
        <f t="shared" si="539"/>
        <v>0</v>
      </c>
    </row>
    <row r="32091" spans="20:20" ht="18.75" customHeight="1" x14ac:dyDescent="0.35">
      <c r="T32091" s="246">
        <f t="shared" si="539"/>
        <v>0</v>
      </c>
    </row>
    <row r="32092" spans="20:20" ht="18.75" customHeight="1" x14ac:dyDescent="0.35">
      <c r="T32092" s="246">
        <f t="shared" si="539"/>
        <v>0</v>
      </c>
    </row>
    <row r="32093" spans="20:20" ht="18.75" customHeight="1" x14ac:dyDescent="0.35">
      <c r="T32093" s="246">
        <f t="shared" si="539"/>
        <v>0</v>
      </c>
    </row>
    <row r="32094" spans="20:20" ht="18.75" customHeight="1" x14ac:dyDescent="0.35">
      <c r="T32094" s="246">
        <f t="shared" si="539"/>
        <v>0</v>
      </c>
    </row>
    <row r="32095" spans="20:20" ht="18.75" customHeight="1" x14ac:dyDescent="0.35">
      <c r="T32095" s="246">
        <f t="shared" si="539"/>
        <v>0</v>
      </c>
    </row>
    <row r="32096" spans="20:20" ht="18.75" customHeight="1" x14ac:dyDescent="0.35">
      <c r="T32096" s="246">
        <f t="shared" si="539"/>
        <v>0</v>
      </c>
    </row>
    <row r="32097" spans="20:20" ht="18.75" customHeight="1" x14ac:dyDescent="0.35">
      <c r="T32097" s="246">
        <f t="shared" si="539"/>
        <v>0</v>
      </c>
    </row>
    <row r="32098" spans="20:20" ht="18.75" customHeight="1" x14ac:dyDescent="0.35">
      <c r="T32098" s="246">
        <f t="shared" si="539"/>
        <v>0</v>
      </c>
    </row>
    <row r="32099" spans="20:20" ht="18.75" customHeight="1" x14ac:dyDescent="0.35">
      <c r="T32099" s="246">
        <f t="shared" si="539"/>
        <v>0</v>
      </c>
    </row>
    <row r="32100" spans="20:20" ht="18.75" customHeight="1" x14ac:dyDescent="0.35">
      <c r="T32100" s="246">
        <f t="shared" si="539"/>
        <v>0</v>
      </c>
    </row>
    <row r="32101" spans="20:20" ht="18.75" customHeight="1" x14ac:dyDescent="0.35">
      <c r="T32101" s="246">
        <f t="shared" si="539"/>
        <v>0</v>
      </c>
    </row>
    <row r="32102" spans="20:20" ht="18.75" customHeight="1" x14ac:dyDescent="0.35">
      <c r="T32102" s="246">
        <f t="shared" si="539"/>
        <v>0</v>
      </c>
    </row>
    <row r="32103" spans="20:20" ht="18.75" customHeight="1" x14ac:dyDescent="0.35">
      <c r="T32103" s="246">
        <f t="shared" si="539"/>
        <v>0</v>
      </c>
    </row>
    <row r="32104" spans="20:20" ht="18.75" customHeight="1" x14ac:dyDescent="0.35">
      <c r="T32104" s="246">
        <f t="shared" si="539"/>
        <v>0</v>
      </c>
    </row>
    <row r="32105" spans="20:20" ht="18.75" customHeight="1" x14ac:dyDescent="0.35">
      <c r="T32105" s="246">
        <f t="shared" si="539"/>
        <v>0</v>
      </c>
    </row>
    <row r="32106" spans="20:20" ht="18.75" customHeight="1" x14ac:dyDescent="0.35">
      <c r="T32106" s="246">
        <f t="shared" si="539"/>
        <v>0</v>
      </c>
    </row>
    <row r="32107" spans="20:20" ht="18.75" customHeight="1" x14ac:dyDescent="0.35">
      <c r="T32107" s="246">
        <f t="shared" si="539"/>
        <v>0</v>
      </c>
    </row>
    <row r="32108" spans="20:20" ht="18.75" customHeight="1" x14ac:dyDescent="0.35">
      <c r="T32108" s="246">
        <f t="shared" si="539"/>
        <v>0</v>
      </c>
    </row>
    <row r="32109" spans="20:20" ht="18.75" customHeight="1" x14ac:dyDescent="0.35">
      <c r="T32109" s="246">
        <f t="shared" si="539"/>
        <v>0</v>
      </c>
    </row>
    <row r="32110" spans="20:20" ht="18.75" customHeight="1" x14ac:dyDescent="0.35">
      <c r="T32110" s="246">
        <f t="shared" si="539"/>
        <v>0</v>
      </c>
    </row>
    <row r="32111" spans="20:20" ht="18.75" customHeight="1" x14ac:dyDescent="0.35">
      <c r="T32111" s="246">
        <f t="shared" si="539"/>
        <v>0</v>
      </c>
    </row>
    <row r="32112" spans="20:20" ht="18.75" customHeight="1" x14ac:dyDescent="0.35">
      <c r="T32112" s="246">
        <f t="shared" si="539"/>
        <v>0</v>
      </c>
    </row>
    <row r="32113" spans="20:20" ht="18.75" customHeight="1" x14ac:dyDescent="0.35">
      <c r="T32113" s="246">
        <f t="shared" si="539"/>
        <v>0</v>
      </c>
    </row>
    <row r="32114" spans="20:20" ht="18.75" customHeight="1" x14ac:dyDescent="0.35">
      <c r="T32114" s="246">
        <f t="shared" si="539"/>
        <v>0</v>
      </c>
    </row>
    <row r="32115" spans="20:20" ht="18.75" customHeight="1" x14ac:dyDescent="0.35">
      <c r="T32115" s="246">
        <f t="shared" si="539"/>
        <v>0</v>
      </c>
    </row>
    <row r="32116" spans="20:20" ht="18.75" customHeight="1" x14ac:dyDescent="0.35">
      <c r="T32116" s="246">
        <f t="shared" si="539"/>
        <v>0</v>
      </c>
    </row>
    <row r="32117" spans="20:20" ht="18.75" customHeight="1" x14ac:dyDescent="0.35">
      <c r="T32117" s="246">
        <f t="shared" si="539"/>
        <v>0</v>
      </c>
    </row>
    <row r="32118" spans="20:20" ht="18.75" customHeight="1" x14ac:dyDescent="0.35">
      <c r="T32118" s="246">
        <f t="shared" si="539"/>
        <v>0</v>
      </c>
    </row>
    <row r="32119" spans="20:20" ht="18.75" customHeight="1" x14ac:dyDescent="0.35">
      <c r="T32119" s="246">
        <f t="shared" si="539"/>
        <v>0</v>
      </c>
    </row>
    <row r="32120" spans="20:20" ht="18.75" customHeight="1" x14ac:dyDescent="0.35">
      <c r="T32120" s="246">
        <f t="shared" si="539"/>
        <v>0</v>
      </c>
    </row>
    <row r="32121" spans="20:20" ht="18.75" customHeight="1" x14ac:dyDescent="0.35">
      <c r="T32121" s="246">
        <f t="shared" si="539"/>
        <v>0</v>
      </c>
    </row>
    <row r="32122" spans="20:20" ht="18.75" customHeight="1" x14ac:dyDescent="0.35">
      <c r="T32122" s="246">
        <f t="shared" si="539"/>
        <v>0</v>
      </c>
    </row>
    <row r="32123" spans="20:20" ht="18.75" customHeight="1" x14ac:dyDescent="0.35">
      <c r="T32123" s="246">
        <f t="shared" si="539"/>
        <v>0</v>
      </c>
    </row>
    <row r="32124" spans="20:20" ht="18.75" customHeight="1" x14ac:dyDescent="0.35">
      <c r="T32124" s="246">
        <f t="shared" ref="T32124:T32187" si="540">R32124*0.01</f>
        <v>0</v>
      </c>
    </row>
    <row r="32125" spans="20:20" ht="18.75" customHeight="1" x14ac:dyDescent="0.35">
      <c r="T32125" s="246">
        <f t="shared" si="540"/>
        <v>0</v>
      </c>
    </row>
    <row r="32126" spans="20:20" ht="18.75" customHeight="1" x14ac:dyDescent="0.35">
      <c r="T32126" s="246">
        <f t="shared" si="540"/>
        <v>0</v>
      </c>
    </row>
    <row r="32127" spans="20:20" ht="18.75" customHeight="1" x14ac:dyDescent="0.35">
      <c r="T32127" s="246">
        <f t="shared" si="540"/>
        <v>0</v>
      </c>
    </row>
    <row r="32128" spans="20:20" ht="18.75" customHeight="1" x14ac:dyDescent="0.35">
      <c r="T32128" s="246">
        <f t="shared" si="540"/>
        <v>0</v>
      </c>
    </row>
    <row r="32129" spans="20:20" ht="18.75" customHeight="1" x14ac:dyDescent="0.35">
      <c r="T32129" s="246">
        <f t="shared" si="540"/>
        <v>0</v>
      </c>
    </row>
    <row r="32130" spans="20:20" ht="18.75" customHeight="1" x14ac:dyDescent="0.35">
      <c r="T32130" s="246">
        <f t="shared" si="540"/>
        <v>0</v>
      </c>
    </row>
    <row r="32131" spans="20:20" ht="18.75" customHeight="1" x14ac:dyDescent="0.35">
      <c r="T32131" s="246">
        <f t="shared" si="540"/>
        <v>0</v>
      </c>
    </row>
    <row r="32132" spans="20:20" ht="18.75" customHeight="1" x14ac:dyDescent="0.35">
      <c r="T32132" s="246">
        <f t="shared" si="540"/>
        <v>0</v>
      </c>
    </row>
    <row r="32133" spans="20:20" ht="18.75" customHeight="1" x14ac:dyDescent="0.35">
      <c r="T32133" s="246">
        <f t="shared" si="540"/>
        <v>0</v>
      </c>
    </row>
    <row r="32134" spans="20:20" ht="18.75" customHeight="1" x14ac:dyDescent="0.35">
      <c r="T32134" s="246">
        <f t="shared" si="540"/>
        <v>0</v>
      </c>
    </row>
    <row r="32135" spans="20:20" ht="18.75" customHeight="1" x14ac:dyDescent="0.35">
      <c r="T32135" s="246">
        <f t="shared" si="540"/>
        <v>0</v>
      </c>
    </row>
    <row r="32136" spans="20:20" ht="18.75" customHeight="1" x14ac:dyDescent="0.35">
      <c r="T32136" s="246">
        <f t="shared" si="540"/>
        <v>0</v>
      </c>
    </row>
    <row r="32137" spans="20:20" ht="18.75" customHeight="1" x14ac:dyDescent="0.35">
      <c r="T32137" s="246">
        <f t="shared" si="540"/>
        <v>0</v>
      </c>
    </row>
    <row r="32138" spans="20:20" ht="18.75" customHeight="1" x14ac:dyDescent="0.35">
      <c r="T32138" s="246">
        <f t="shared" si="540"/>
        <v>0</v>
      </c>
    </row>
    <row r="32139" spans="20:20" ht="18.75" customHeight="1" x14ac:dyDescent="0.35">
      <c r="T32139" s="246">
        <f t="shared" si="540"/>
        <v>0</v>
      </c>
    </row>
    <row r="32140" spans="20:20" ht="18.75" customHeight="1" x14ac:dyDescent="0.35">
      <c r="T32140" s="246">
        <f t="shared" si="540"/>
        <v>0</v>
      </c>
    </row>
    <row r="32141" spans="20:20" ht="18.75" customHeight="1" x14ac:dyDescent="0.35">
      <c r="T32141" s="246">
        <f t="shared" si="540"/>
        <v>0</v>
      </c>
    </row>
    <row r="32142" spans="20:20" ht="18.75" customHeight="1" x14ac:dyDescent="0.35">
      <c r="T32142" s="246">
        <f t="shared" si="540"/>
        <v>0</v>
      </c>
    </row>
    <row r="32143" spans="20:20" ht="18.75" customHeight="1" x14ac:dyDescent="0.35">
      <c r="T32143" s="246">
        <f t="shared" si="540"/>
        <v>0</v>
      </c>
    </row>
    <row r="32144" spans="20:20" ht="18.75" customHeight="1" x14ac:dyDescent="0.35">
      <c r="T32144" s="246">
        <f t="shared" si="540"/>
        <v>0</v>
      </c>
    </row>
    <row r="32145" spans="20:20" ht="18.75" customHeight="1" x14ac:dyDescent="0.35">
      <c r="T32145" s="246">
        <f t="shared" si="540"/>
        <v>0</v>
      </c>
    </row>
    <row r="32146" spans="20:20" ht="18.75" customHeight="1" x14ac:dyDescent="0.35">
      <c r="T32146" s="246">
        <f t="shared" si="540"/>
        <v>0</v>
      </c>
    </row>
    <row r="32147" spans="20:20" ht="18.75" customHeight="1" x14ac:dyDescent="0.35">
      <c r="T32147" s="246">
        <f t="shared" si="540"/>
        <v>0</v>
      </c>
    </row>
    <row r="32148" spans="20:20" ht="18.75" customHeight="1" x14ac:dyDescent="0.35">
      <c r="T32148" s="246">
        <f t="shared" si="540"/>
        <v>0</v>
      </c>
    </row>
    <row r="32149" spans="20:20" ht="18.75" customHeight="1" x14ac:dyDescent="0.35">
      <c r="T32149" s="246">
        <f t="shared" si="540"/>
        <v>0</v>
      </c>
    </row>
    <row r="32150" spans="20:20" ht="18.75" customHeight="1" x14ac:dyDescent="0.35">
      <c r="T32150" s="246">
        <f t="shared" si="540"/>
        <v>0</v>
      </c>
    </row>
    <row r="32151" spans="20:20" ht="18.75" customHeight="1" x14ac:dyDescent="0.35">
      <c r="T32151" s="246">
        <f t="shared" si="540"/>
        <v>0</v>
      </c>
    </row>
    <row r="32152" spans="20:20" ht="18.75" customHeight="1" x14ac:dyDescent="0.35">
      <c r="T32152" s="246">
        <f t="shared" si="540"/>
        <v>0</v>
      </c>
    </row>
    <row r="32153" spans="20:20" ht="18.75" customHeight="1" x14ac:dyDescent="0.35">
      <c r="T32153" s="246">
        <f t="shared" si="540"/>
        <v>0</v>
      </c>
    </row>
    <row r="32154" spans="20:20" ht="18.75" customHeight="1" x14ac:dyDescent="0.35">
      <c r="T32154" s="246">
        <f t="shared" si="540"/>
        <v>0</v>
      </c>
    </row>
    <row r="32155" spans="20:20" ht="18.75" customHeight="1" x14ac:dyDescent="0.35">
      <c r="T32155" s="246">
        <f t="shared" si="540"/>
        <v>0</v>
      </c>
    </row>
    <row r="32156" spans="20:20" ht="18.75" customHeight="1" x14ac:dyDescent="0.35">
      <c r="T32156" s="246">
        <f t="shared" si="540"/>
        <v>0</v>
      </c>
    </row>
    <row r="32157" spans="20:20" ht="18.75" customHeight="1" x14ac:dyDescent="0.35">
      <c r="T32157" s="246">
        <f t="shared" si="540"/>
        <v>0</v>
      </c>
    </row>
    <row r="32158" spans="20:20" ht="18.75" customHeight="1" x14ac:dyDescent="0.35">
      <c r="T32158" s="246">
        <f t="shared" si="540"/>
        <v>0</v>
      </c>
    </row>
    <row r="32159" spans="20:20" ht="18.75" customHeight="1" x14ac:dyDescent="0.35">
      <c r="T32159" s="246">
        <f t="shared" si="540"/>
        <v>0</v>
      </c>
    </row>
    <row r="32160" spans="20:20" ht="18.75" customHeight="1" x14ac:dyDescent="0.35">
      <c r="T32160" s="246">
        <f t="shared" si="540"/>
        <v>0</v>
      </c>
    </row>
    <row r="32161" spans="20:20" ht="18.75" customHeight="1" x14ac:dyDescent="0.35">
      <c r="T32161" s="246">
        <f t="shared" si="540"/>
        <v>0</v>
      </c>
    </row>
    <row r="32162" spans="20:20" ht="18.75" customHeight="1" x14ac:dyDescent="0.35">
      <c r="T32162" s="246">
        <f t="shared" si="540"/>
        <v>0</v>
      </c>
    </row>
    <row r="32163" spans="20:20" ht="18.75" customHeight="1" x14ac:dyDescent="0.35">
      <c r="T32163" s="246">
        <f t="shared" si="540"/>
        <v>0</v>
      </c>
    </row>
    <row r="32164" spans="20:20" ht="18.75" customHeight="1" x14ac:dyDescent="0.35">
      <c r="T32164" s="246">
        <f t="shared" si="540"/>
        <v>0</v>
      </c>
    </row>
    <row r="32165" spans="20:20" ht="18.75" customHeight="1" x14ac:dyDescent="0.35">
      <c r="T32165" s="246">
        <f t="shared" si="540"/>
        <v>0</v>
      </c>
    </row>
    <row r="32166" spans="20:20" ht="18.75" customHeight="1" x14ac:dyDescent="0.35">
      <c r="T32166" s="246">
        <f t="shared" si="540"/>
        <v>0</v>
      </c>
    </row>
    <row r="32167" spans="20:20" ht="18.75" customHeight="1" x14ac:dyDescent="0.35">
      <c r="T32167" s="246">
        <f t="shared" si="540"/>
        <v>0</v>
      </c>
    </row>
    <row r="32168" spans="20:20" ht="18.75" customHeight="1" x14ac:dyDescent="0.35">
      <c r="T32168" s="246">
        <f t="shared" si="540"/>
        <v>0</v>
      </c>
    </row>
    <row r="32169" spans="20:20" ht="18.75" customHeight="1" x14ac:dyDescent="0.35">
      <c r="T32169" s="246">
        <f t="shared" si="540"/>
        <v>0</v>
      </c>
    </row>
    <row r="32170" spans="20:20" ht="18.75" customHeight="1" x14ac:dyDescent="0.35">
      <c r="T32170" s="246">
        <f t="shared" si="540"/>
        <v>0</v>
      </c>
    </row>
    <row r="32171" spans="20:20" ht="18.75" customHeight="1" x14ac:dyDescent="0.35">
      <c r="T32171" s="246">
        <f t="shared" si="540"/>
        <v>0</v>
      </c>
    </row>
    <row r="32172" spans="20:20" ht="18.75" customHeight="1" x14ac:dyDescent="0.35">
      <c r="T32172" s="246">
        <f t="shared" si="540"/>
        <v>0</v>
      </c>
    </row>
    <row r="32173" spans="20:20" ht="18.75" customHeight="1" x14ac:dyDescent="0.35">
      <c r="T32173" s="246">
        <f t="shared" si="540"/>
        <v>0</v>
      </c>
    </row>
    <row r="32174" spans="20:20" ht="18.75" customHeight="1" x14ac:dyDescent="0.35">
      <c r="T32174" s="246">
        <f t="shared" si="540"/>
        <v>0</v>
      </c>
    </row>
    <row r="32175" spans="20:20" ht="18.75" customHeight="1" x14ac:dyDescent="0.35">
      <c r="T32175" s="246">
        <f t="shared" si="540"/>
        <v>0</v>
      </c>
    </row>
    <row r="32176" spans="20:20" ht="18.75" customHeight="1" x14ac:dyDescent="0.35">
      <c r="T32176" s="246">
        <f t="shared" si="540"/>
        <v>0</v>
      </c>
    </row>
    <row r="32177" spans="20:20" ht="18.75" customHeight="1" x14ac:dyDescent="0.35">
      <c r="T32177" s="246">
        <f t="shared" si="540"/>
        <v>0</v>
      </c>
    </row>
    <row r="32178" spans="20:20" ht="18.75" customHeight="1" x14ac:dyDescent="0.35">
      <c r="T32178" s="246">
        <f t="shared" si="540"/>
        <v>0</v>
      </c>
    </row>
    <row r="32179" spans="20:20" ht="18.75" customHeight="1" x14ac:dyDescent="0.35">
      <c r="T32179" s="246">
        <f t="shared" si="540"/>
        <v>0</v>
      </c>
    </row>
    <row r="32180" spans="20:20" ht="18.75" customHeight="1" x14ac:dyDescent="0.35">
      <c r="T32180" s="246">
        <f t="shared" si="540"/>
        <v>0</v>
      </c>
    </row>
    <row r="32181" spans="20:20" ht="18.75" customHeight="1" x14ac:dyDescent="0.35">
      <c r="T32181" s="246">
        <f t="shared" si="540"/>
        <v>0</v>
      </c>
    </row>
    <row r="32182" spans="20:20" ht="18.75" customHeight="1" x14ac:dyDescent="0.35">
      <c r="T32182" s="246">
        <f t="shared" si="540"/>
        <v>0</v>
      </c>
    </row>
    <row r="32183" spans="20:20" ht="18.75" customHeight="1" x14ac:dyDescent="0.35">
      <c r="T32183" s="246">
        <f t="shared" si="540"/>
        <v>0</v>
      </c>
    </row>
    <row r="32184" spans="20:20" ht="18.75" customHeight="1" x14ac:dyDescent="0.35">
      <c r="T32184" s="246">
        <f t="shared" si="540"/>
        <v>0</v>
      </c>
    </row>
    <row r="32185" spans="20:20" ht="18.75" customHeight="1" x14ac:dyDescent="0.35">
      <c r="T32185" s="246">
        <f t="shared" si="540"/>
        <v>0</v>
      </c>
    </row>
    <row r="32186" spans="20:20" ht="18.75" customHeight="1" x14ac:dyDescent="0.35">
      <c r="T32186" s="246">
        <f t="shared" si="540"/>
        <v>0</v>
      </c>
    </row>
    <row r="32187" spans="20:20" ht="18.75" customHeight="1" x14ac:dyDescent="0.35">
      <c r="T32187" s="246">
        <f t="shared" si="540"/>
        <v>0</v>
      </c>
    </row>
    <row r="32188" spans="20:20" ht="18.75" customHeight="1" x14ac:dyDescent="0.35">
      <c r="T32188" s="246">
        <f t="shared" ref="T32188:T32251" si="541">R32188*0.01</f>
        <v>0</v>
      </c>
    </row>
    <row r="32189" spans="20:20" ht="18.75" customHeight="1" x14ac:dyDescent="0.35">
      <c r="T32189" s="246">
        <f t="shared" si="541"/>
        <v>0</v>
      </c>
    </row>
    <row r="32190" spans="20:20" ht="18.75" customHeight="1" x14ac:dyDescent="0.35">
      <c r="T32190" s="246">
        <f t="shared" si="541"/>
        <v>0</v>
      </c>
    </row>
    <row r="32191" spans="20:20" ht="18.75" customHeight="1" x14ac:dyDescent="0.35">
      <c r="T32191" s="246">
        <f t="shared" si="541"/>
        <v>0</v>
      </c>
    </row>
    <row r="32192" spans="20:20" ht="18.75" customHeight="1" x14ac:dyDescent="0.35">
      <c r="T32192" s="246">
        <f t="shared" si="541"/>
        <v>0</v>
      </c>
    </row>
    <row r="32193" spans="20:20" ht="18.75" customHeight="1" x14ac:dyDescent="0.35">
      <c r="T32193" s="246">
        <f t="shared" si="541"/>
        <v>0</v>
      </c>
    </row>
    <row r="32194" spans="20:20" ht="18.75" customHeight="1" x14ac:dyDescent="0.35">
      <c r="T32194" s="246">
        <f t="shared" si="541"/>
        <v>0</v>
      </c>
    </row>
    <row r="32195" spans="20:20" ht="18.75" customHeight="1" x14ac:dyDescent="0.35">
      <c r="T32195" s="246">
        <f t="shared" si="541"/>
        <v>0</v>
      </c>
    </row>
    <row r="32196" spans="20:20" ht="18.75" customHeight="1" x14ac:dyDescent="0.35">
      <c r="T32196" s="246">
        <f t="shared" si="541"/>
        <v>0</v>
      </c>
    </row>
    <row r="32197" spans="20:20" ht="18.75" customHeight="1" x14ac:dyDescent="0.35">
      <c r="T32197" s="246">
        <f t="shared" si="541"/>
        <v>0</v>
      </c>
    </row>
    <row r="32198" spans="20:20" ht="18.75" customHeight="1" x14ac:dyDescent="0.35">
      <c r="T32198" s="246">
        <f t="shared" si="541"/>
        <v>0</v>
      </c>
    </row>
    <row r="32199" spans="20:20" ht="18.75" customHeight="1" x14ac:dyDescent="0.35">
      <c r="T32199" s="246">
        <f t="shared" si="541"/>
        <v>0</v>
      </c>
    </row>
    <row r="32200" spans="20:20" ht="18.75" customHeight="1" x14ac:dyDescent="0.35">
      <c r="T32200" s="246">
        <f t="shared" si="541"/>
        <v>0</v>
      </c>
    </row>
    <row r="32201" spans="20:20" ht="18.75" customHeight="1" x14ac:dyDescent="0.35">
      <c r="T32201" s="246">
        <f t="shared" si="541"/>
        <v>0</v>
      </c>
    </row>
    <row r="32202" spans="20:20" ht="18.75" customHeight="1" x14ac:dyDescent="0.35">
      <c r="T32202" s="246">
        <f t="shared" si="541"/>
        <v>0</v>
      </c>
    </row>
    <row r="32203" spans="20:20" ht="18.75" customHeight="1" x14ac:dyDescent="0.35">
      <c r="T32203" s="246">
        <f t="shared" si="541"/>
        <v>0</v>
      </c>
    </row>
    <row r="32204" spans="20:20" ht="18.75" customHeight="1" x14ac:dyDescent="0.35">
      <c r="T32204" s="246">
        <f t="shared" si="541"/>
        <v>0</v>
      </c>
    </row>
    <row r="32205" spans="20:20" ht="18.75" customHeight="1" x14ac:dyDescent="0.35">
      <c r="T32205" s="246">
        <f t="shared" si="541"/>
        <v>0</v>
      </c>
    </row>
    <row r="32206" spans="20:20" ht="18.75" customHeight="1" x14ac:dyDescent="0.35">
      <c r="T32206" s="246">
        <f t="shared" si="541"/>
        <v>0</v>
      </c>
    </row>
    <row r="32207" spans="20:20" ht="18.75" customHeight="1" x14ac:dyDescent="0.35">
      <c r="T32207" s="246">
        <f t="shared" si="541"/>
        <v>0</v>
      </c>
    </row>
    <row r="32208" spans="20:20" ht="18.75" customHeight="1" x14ac:dyDescent="0.35">
      <c r="T32208" s="246">
        <f t="shared" si="541"/>
        <v>0</v>
      </c>
    </row>
    <row r="32209" spans="20:20" ht="18.75" customHeight="1" x14ac:dyDescent="0.35">
      <c r="T32209" s="246">
        <f t="shared" si="541"/>
        <v>0</v>
      </c>
    </row>
    <row r="32210" spans="20:20" ht="18.75" customHeight="1" x14ac:dyDescent="0.35">
      <c r="T32210" s="246">
        <f t="shared" si="541"/>
        <v>0</v>
      </c>
    </row>
    <row r="32211" spans="20:20" ht="18.75" customHeight="1" x14ac:dyDescent="0.35">
      <c r="T32211" s="246">
        <f t="shared" si="541"/>
        <v>0</v>
      </c>
    </row>
    <row r="32212" spans="20:20" ht="18.75" customHeight="1" x14ac:dyDescent="0.35">
      <c r="T32212" s="246">
        <f t="shared" si="541"/>
        <v>0</v>
      </c>
    </row>
    <row r="32213" spans="20:20" ht="18.75" customHeight="1" x14ac:dyDescent="0.35">
      <c r="T32213" s="246">
        <f t="shared" si="541"/>
        <v>0</v>
      </c>
    </row>
    <row r="32214" spans="20:20" ht="18.75" customHeight="1" x14ac:dyDescent="0.35">
      <c r="T32214" s="246">
        <f t="shared" si="541"/>
        <v>0</v>
      </c>
    </row>
    <row r="32215" spans="20:20" ht="18.75" customHeight="1" x14ac:dyDescent="0.35">
      <c r="T32215" s="246">
        <f t="shared" si="541"/>
        <v>0</v>
      </c>
    </row>
    <row r="32216" spans="20:20" ht="18.75" customHeight="1" x14ac:dyDescent="0.35">
      <c r="T32216" s="246">
        <f t="shared" si="541"/>
        <v>0</v>
      </c>
    </row>
    <row r="32217" spans="20:20" ht="18.75" customHeight="1" x14ac:dyDescent="0.35">
      <c r="T32217" s="246">
        <f t="shared" si="541"/>
        <v>0</v>
      </c>
    </row>
    <row r="32218" spans="20:20" ht="18.75" customHeight="1" x14ac:dyDescent="0.35">
      <c r="T32218" s="246">
        <f t="shared" si="541"/>
        <v>0</v>
      </c>
    </row>
    <row r="32219" spans="20:20" ht="18.75" customHeight="1" x14ac:dyDescent="0.35">
      <c r="T32219" s="246">
        <f t="shared" si="541"/>
        <v>0</v>
      </c>
    </row>
    <row r="32220" spans="20:20" ht="18.75" customHeight="1" x14ac:dyDescent="0.35">
      <c r="T32220" s="246">
        <f t="shared" si="541"/>
        <v>0</v>
      </c>
    </row>
    <row r="32221" spans="20:20" ht="18.75" customHeight="1" x14ac:dyDescent="0.35">
      <c r="T32221" s="246">
        <f t="shared" si="541"/>
        <v>0</v>
      </c>
    </row>
    <row r="32222" spans="20:20" ht="18.75" customHeight="1" x14ac:dyDescent="0.35">
      <c r="T32222" s="246">
        <f t="shared" si="541"/>
        <v>0</v>
      </c>
    </row>
    <row r="32223" spans="20:20" ht="18.75" customHeight="1" x14ac:dyDescent="0.35">
      <c r="T32223" s="246">
        <f t="shared" si="541"/>
        <v>0</v>
      </c>
    </row>
    <row r="32224" spans="20:20" ht="18.75" customHeight="1" x14ac:dyDescent="0.35">
      <c r="T32224" s="246">
        <f t="shared" si="541"/>
        <v>0</v>
      </c>
    </row>
    <row r="32225" spans="20:20" ht="18.75" customHeight="1" x14ac:dyDescent="0.35">
      <c r="T32225" s="246">
        <f t="shared" si="541"/>
        <v>0</v>
      </c>
    </row>
    <row r="32226" spans="20:20" ht="18.75" customHeight="1" x14ac:dyDescent="0.35">
      <c r="T32226" s="246">
        <f t="shared" si="541"/>
        <v>0</v>
      </c>
    </row>
    <row r="32227" spans="20:20" ht="18.75" customHeight="1" x14ac:dyDescent="0.35">
      <c r="T32227" s="246">
        <f t="shared" si="541"/>
        <v>0</v>
      </c>
    </row>
    <row r="32228" spans="20:20" ht="18.75" customHeight="1" x14ac:dyDescent="0.35">
      <c r="T32228" s="246">
        <f t="shared" si="541"/>
        <v>0</v>
      </c>
    </row>
    <row r="32229" spans="20:20" ht="18.75" customHeight="1" x14ac:dyDescent="0.35">
      <c r="T32229" s="246">
        <f t="shared" si="541"/>
        <v>0</v>
      </c>
    </row>
    <row r="32230" spans="20:20" ht="18.75" customHeight="1" x14ac:dyDescent="0.35">
      <c r="T32230" s="246">
        <f t="shared" si="541"/>
        <v>0</v>
      </c>
    </row>
    <row r="32231" spans="20:20" ht="18.75" customHeight="1" x14ac:dyDescent="0.35">
      <c r="T32231" s="246">
        <f t="shared" si="541"/>
        <v>0</v>
      </c>
    </row>
    <row r="32232" spans="20:20" ht="18.75" customHeight="1" x14ac:dyDescent="0.35">
      <c r="T32232" s="246">
        <f t="shared" si="541"/>
        <v>0</v>
      </c>
    </row>
    <row r="32233" spans="20:20" ht="18.75" customHeight="1" x14ac:dyDescent="0.35">
      <c r="T32233" s="246">
        <f t="shared" si="541"/>
        <v>0</v>
      </c>
    </row>
    <row r="32234" spans="20:20" ht="18.75" customHeight="1" x14ac:dyDescent="0.35">
      <c r="T32234" s="246">
        <f t="shared" si="541"/>
        <v>0</v>
      </c>
    </row>
    <row r="32235" spans="20:20" ht="18.75" customHeight="1" x14ac:dyDescent="0.35">
      <c r="T32235" s="246">
        <f t="shared" si="541"/>
        <v>0</v>
      </c>
    </row>
    <row r="32236" spans="20:20" ht="18.75" customHeight="1" x14ac:dyDescent="0.35">
      <c r="T32236" s="246">
        <f t="shared" si="541"/>
        <v>0</v>
      </c>
    </row>
    <row r="32237" spans="20:20" ht="18.75" customHeight="1" x14ac:dyDescent="0.35">
      <c r="T32237" s="246">
        <f t="shared" si="541"/>
        <v>0</v>
      </c>
    </row>
    <row r="32238" spans="20:20" ht="18.75" customHeight="1" x14ac:dyDescent="0.35">
      <c r="T32238" s="246">
        <f t="shared" si="541"/>
        <v>0</v>
      </c>
    </row>
    <row r="32239" spans="20:20" ht="18.75" customHeight="1" x14ac:dyDescent="0.35">
      <c r="T32239" s="246">
        <f t="shared" si="541"/>
        <v>0</v>
      </c>
    </row>
    <row r="32240" spans="20:20" ht="18.75" customHeight="1" x14ac:dyDescent="0.35">
      <c r="T32240" s="246">
        <f t="shared" si="541"/>
        <v>0</v>
      </c>
    </row>
    <row r="32241" spans="20:20" ht="18.75" customHeight="1" x14ac:dyDescent="0.35">
      <c r="T32241" s="246">
        <f t="shared" si="541"/>
        <v>0</v>
      </c>
    </row>
    <row r="32242" spans="20:20" ht="18.75" customHeight="1" x14ac:dyDescent="0.35">
      <c r="T32242" s="246">
        <f t="shared" si="541"/>
        <v>0</v>
      </c>
    </row>
    <row r="32243" spans="20:20" ht="18.75" customHeight="1" x14ac:dyDescent="0.35">
      <c r="T32243" s="246">
        <f t="shared" si="541"/>
        <v>0</v>
      </c>
    </row>
    <row r="32244" spans="20:20" ht="18.75" customHeight="1" x14ac:dyDescent="0.35">
      <c r="T32244" s="246">
        <f t="shared" si="541"/>
        <v>0</v>
      </c>
    </row>
    <row r="32245" spans="20:20" ht="18.75" customHeight="1" x14ac:dyDescent="0.35">
      <c r="T32245" s="246">
        <f t="shared" si="541"/>
        <v>0</v>
      </c>
    </row>
    <row r="32246" spans="20:20" ht="18.75" customHeight="1" x14ac:dyDescent="0.35">
      <c r="T32246" s="246">
        <f t="shared" si="541"/>
        <v>0</v>
      </c>
    </row>
    <row r="32247" spans="20:20" ht="18.75" customHeight="1" x14ac:dyDescent="0.35">
      <c r="T32247" s="246">
        <f t="shared" si="541"/>
        <v>0</v>
      </c>
    </row>
    <row r="32248" spans="20:20" ht="18.75" customHeight="1" x14ac:dyDescent="0.35">
      <c r="T32248" s="246">
        <f t="shared" si="541"/>
        <v>0</v>
      </c>
    </row>
    <row r="32249" spans="20:20" ht="18.75" customHeight="1" x14ac:dyDescent="0.35">
      <c r="T32249" s="246">
        <f t="shared" si="541"/>
        <v>0</v>
      </c>
    </row>
    <row r="32250" spans="20:20" ht="18.75" customHeight="1" x14ac:dyDescent="0.35">
      <c r="T32250" s="246">
        <f t="shared" si="541"/>
        <v>0</v>
      </c>
    </row>
    <row r="32251" spans="20:20" ht="18.75" customHeight="1" x14ac:dyDescent="0.35">
      <c r="T32251" s="246">
        <f t="shared" si="541"/>
        <v>0</v>
      </c>
    </row>
    <row r="32252" spans="20:20" ht="18.75" customHeight="1" x14ac:dyDescent="0.35">
      <c r="T32252" s="246">
        <f t="shared" ref="T32252:T32315" si="542">R32252*0.01</f>
        <v>0</v>
      </c>
    </row>
    <row r="32253" spans="20:20" ht="18.75" customHeight="1" x14ac:dyDescent="0.35">
      <c r="T32253" s="246">
        <f t="shared" si="542"/>
        <v>0</v>
      </c>
    </row>
    <row r="32254" spans="20:20" ht="18.75" customHeight="1" x14ac:dyDescent="0.35">
      <c r="T32254" s="246">
        <f t="shared" si="542"/>
        <v>0</v>
      </c>
    </row>
    <row r="32255" spans="20:20" ht="18.75" customHeight="1" x14ac:dyDescent="0.35">
      <c r="T32255" s="246">
        <f t="shared" si="542"/>
        <v>0</v>
      </c>
    </row>
    <row r="32256" spans="20:20" ht="18.75" customHeight="1" x14ac:dyDescent="0.35">
      <c r="T32256" s="246">
        <f t="shared" si="542"/>
        <v>0</v>
      </c>
    </row>
    <row r="32257" spans="20:20" ht="18.75" customHeight="1" x14ac:dyDescent="0.35">
      <c r="T32257" s="246">
        <f t="shared" si="542"/>
        <v>0</v>
      </c>
    </row>
    <row r="32258" spans="20:20" ht="18.75" customHeight="1" x14ac:dyDescent="0.35">
      <c r="T32258" s="246">
        <f t="shared" si="542"/>
        <v>0</v>
      </c>
    </row>
    <row r="32259" spans="20:20" ht="18.75" customHeight="1" x14ac:dyDescent="0.35">
      <c r="T32259" s="246">
        <f t="shared" si="542"/>
        <v>0</v>
      </c>
    </row>
    <row r="32260" spans="20:20" ht="18.75" customHeight="1" x14ac:dyDescent="0.35">
      <c r="T32260" s="246">
        <f t="shared" si="542"/>
        <v>0</v>
      </c>
    </row>
    <row r="32261" spans="20:20" ht="18.75" customHeight="1" x14ac:dyDescent="0.35">
      <c r="T32261" s="246">
        <f t="shared" si="542"/>
        <v>0</v>
      </c>
    </row>
    <row r="32262" spans="20:20" ht="18.75" customHeight="1" x14ac:dyDescent="0.35">
      <c r="T32262" s="246">
        <f t="shared" si="542"/>
        <v>0</v>
      </c>
    </row>
    <row r="32263" spans="20:20" ht="18.75" customHeight="1" x14ac:dyDescent="0.35">
      <c r="T32263" s="246">
        <f t="shared" si="542"/>
        <v>0</v>
      </c>
    </row>
    <row r="32264" spans="20:20" ht="18.75" customHeight="1" x14ac:dyDescent="0.35">
      <c r="T32264" s="246">
        <f t="shared" si="542"/>
        <v>0</v>
      </c>
    </row>
    <row r="32265" spans="20:20" ht="18.75" customHeight="1" x14ac:dyDescent="0.35">
      <c r="T32265" s="246">
        <f t="shared" si="542"/>
        <v>0</v>
      </c>
    </row>
    <row r="32266" spans="20:20" ht="18.75" customHeight="1" x14ac:dyDescent="0.35">
      <c r="T32266" s="246">
        <f t="shared" si="542"/>
        <v>0</v>
      </c>
    </row>
    <row r="32267" spans="20:20" ht="18.75" customHeight="1" x14ac:dyDescent="0.35">
      <c r="T32267" s="246">
        <f t="shared" si="542"/>
        <v>0</v>
      </c>
    </row>
    <row r="32268" spans="20:20" ht="18.75" customHeight="1" x14ac:dyDescent="0.35">
      <c r="T32268" s="246">
        <f t="shared" si="542"/>
        <v>0</v>
      </c>
    </row>
    <row r="32269" spans="20:20" ht="18.75" customHeight="1" x14ac:dyDescent="0.35">
      <c r="T32269" s="246">
        <f t="shared" si="542"/>
        <v>0</v>
      </c>
    </row>
    <row r="32270" spans="20:20" ht="18.75" customHeight="1" x14ac:dyDescent="0.35">
      <c r="T32270" s="246">
        <f t="shared" si="542"/>
        <v>0</v>
      </c>
    </row>
    <row r="32271" spans="20:20" ht="18.75" customHeight="1" x14ac:dyDescent="0.35">
      <c r="T32271" s="246">
        <f t="shared" si="542"/>
        <v>0</v>
      </c>
    </row>
    <row r="32272" spans="20:20" ht="18.75" customHeight="1" x14ac:dyDescent="0.35">
      <c r="T32272" s="246">
        <f t="shared" si="542"/>
        <v>0</v>
      </c>
    </row>
    <row r="32273" spans="20:20" ht="18.75" customHeight="1" x14ac:dyDescent="0.35">
      <c r="T32273" s="246">
        <f t="shared" si="542"/>
        <v>0</v>
      </c>
    </row>
    <row r="32274" spans="20:20" ht="18.75" customHeight="1" x14ac:dyDescent="0.35">
      <c r="T32274" s="246">
        <f t="shared" si="542"/>
        <v>0</v>
      </c>
    </row>
    <row r="32275" spans="20:20" ht="18.75" customHeight="1" x14ac:dyDescent="0.35">
      <c r="T32275" s="246">
        <f t="shared" si="542"/>
        <v>0</v>
      </c>
    </row>
    <row r="32276" spans="20:20" ht="18.75" customHeight="1" x14ac:dyDescent="0.35">
      <c r="T32276" s="246">
        <f t="shared" si="542"/>
        <v>0</v>
      </c>
    </row>
    <row r="32277" spans="20:20" ht="18.75" customHeight="1" x14ac:dyDescent="0.35">
      <c r="T32277" s="246">
        <f t="shared" si="542"/>
        <v>0</v>
      </c>
    </row>
    <row r="32278" spans="20:20" ht="18.75" customHeight="1" x14ac:dyDescent="0.35">
      <c r="T32278" s="246">
        <f t="shared" si="542"/>
        <v>0</v>
      </c>
    </row>
    <row r="32279" spans="20:20" ht="18.75" customHeight="1" x14ac:dyDescent="0.35">
      <c r="T32279" s="246">
        <f t="shared" si="542"/>
        <v>0</v>
      </c>
    </row>
    <row r="32280" spans="20:20" ht="18.75" customHeight="1" x14ac:dyDescent="0.35">
      <c r="T32280" s="246">
        <f t="shared" si="542"/>
        <v>0</v>
      </c>
    </row>
    <row r="32281" spans="20:20" ht="18.75" customHeight="1" x14ac:dyDescent="0.35">
      <c r="T32281" s="246">
        <f t="shared" si="542"/>
        <v>0</v>
      </c>
    </row>
    <row r="32282" spans="20:20" ht="18.75" customHeight="1" x14ac:dyDescent="0.35">
      <c r="T32282" s="246">
        <f t="shared" si="542"/>
        <v>0</v>
      </c>
    </row>
    <row r="32283" spans="20:20" ht="18.75" customHeight="1" x14ac:dyDescent="0.35">
      <c r="T32283" s="246">
        <f t="shared" si="542"/>
        <v>0</v>
      </c>
    </row>
    <row r="32284" spans="20:20" ht="18.75" customHeight="1" x14ac:dyDescent="0.35">
      <c r="T32284" s="246">
        <f t="shared" si="542"/>
        <v>0</v>
      </c>
    </row>
    <row r="32285" spans="20:20" ht="18.75" customHeight="1" x14ac:dyDescent="0.35">
      <c r="T32285" s="246">
        <f t="shared" si="542"/>
        <v>0</v>
      </c>
    </row>
    <row r="32286" spans="20:20" ht="18.75" customHeight="1" x14ac:dyDescent="0.35">
      <c r="T32286" s="246">
        <f t="shared" si="542"/>
        <v>0</v>
      </c>
    </row>
    <row r="32287" spans="20:20" ht="18.75" customHeight="1" x14ac:dyDescent="0.35">
      <c r="T32287" s="246">
        <f t="shared" si="542"/>
        <v>0</v>
      </c>
    </row>
    <row r="32288" spans="20:20" ht="18.75" customHeight="1" x14ac:dyDescent="0.35">
      <c r="T32288" s="246">
        <f t="shared" si="542"/>
        <v>0</v>
      </c>
    </row>
    <row r="32289" spans="20:20" ht="18.75" customHeight="1" x14ac:dyDescent="0.35">
      <c r="T32289" s="246">
        <f t="shared" si="542"/>
        <v>0</v>
      </c>
    </row>
    <row r="32290" spans="20:20" ht="18.75" customHeight="1" x14ac:dyDescent="0.35">
      <c r="T32290" s="246">
        <f t="shared" si="542"/>
        <v>0</v>
      </c>
    </row>
    <row r="32291" spans="20:20" ht="18.75" customHeight="1" x14ac:dyDescent="0.35">
      <c r="T32291" s="246">
        <f t="shared" si="542"/>
        <v>0</v>
      </c>
    </row>
    <row r="32292" spans="20:20" ht="18.75" customHeight="1" x14ac:dyDescent="0.35">
      <c r="T32292" s="246">
        <f t="shared" si="542"/>
        <v>0</v>
      </c>
    </row>
    <row r="32293" spans="20:20" ht="18.75" customHeight="1" x14ac:dyDescent="0.35">
      <c r="T32293" s="246">
        <f t="shared" si="542"/>
        <v>0</v>
      </c>
    </row>
    <row r="32294" spans="20:20" ht="18.75" customHeight="1" x14ac:dyDescent="0.35">
      <c r="T32294" s="246">
        <f t="shared" si="542"/>
        <v>0</v>
      </c>
    </row>
    <row r="32295" spans="20:20" ht="18.75" customHeight="1" x14ac:dyDescent="0.35">
      <c r="T32295" s="246">
        <f t="shared" si="542"/>
        <v>0</v>
      </c>
    </row>
    <row r="32296" spans="20:20" ht="18.75" customHeight="1" x14ac:dyDescent="0.35">
      <c r="T32296" s="246">
        <f t="shared" si="542"/>
        <v>0</v>
      </c>
    </row>
    <row r="32297" spans="20:20" ht="18.75" customHeight="1" x14ac:dyDescent="0.35">
      <c r="T32297" s="246">
        <f t="shared" si="542"/>
        <v>0</v>
      </c>
    </row>
    <row r="32298" spans="20:20" ht="18.75" customHeight="1" x14ac:dyDescent="0.35">
      <c r="T32298" s="246">
        <f t="shared" si="542"/>
        <v>0</v>
      </c>
    </row>
    <row r="32299" spans="20:20" ht="18.75" customHeight="1" x14ac:dyDescent="0.35">
      <c r="T32299" s="246">
        <f t="shared" si="542"/>
        <v>0</v>
      </c>
    </row>
    <row r="32300" spans="20:20" ht="18.75" customHeight="1" x14ac:dyDescent="0.35">
      <c r="T32300" s="246">
        <f t="shared" si="542"/>
        <v>0</v>
      </c>
    </row>
    <row r="32301" spans="20:20" ht="18.75" customHeight="1" x14ac:dyDescent="0.35">
      <c r="T32301" s="246">
        <f t="shared" si="542"/>
        <v>0</v>
      </c>
    </row>
    <row r="32302" spans="20:20" ht="18.75" customHeight="1" x14ac:dyDescent="0.35">
      <c r="T32302" s="246">
        <f t="shared" si="542"/>
        <v>0</v>
      </c>
    </row>
    <row r="32303" spans="20:20" ht="18.75" customHeight="1" x14ac:dyDescent="0.35">
      <c r="T32303" s="246">
        <f t="shared" si="542"/>
        <v>0</v>
      </c>
    </row>
    <row r="32304" spans="20:20" ht="18.75" customHeight="1" x14ac:dyDescent="0.35">
      <c r="T32304" s="246">
        <f t="shared" si="542"/>
        <v>0</v>
      </c>
    </row>
    <row r="32305" spans="20:20" ht="18.75" customHeight="1" x14ac:dyDescent="0.35">
      <c r="T32305" s="246">
        <f t="shared" si="542"/>
        <v>0</v>
      </c>
    </row>
    <row r="32306" spans="20:20" ht="18.75" customHeight="1" x14ac:dyDescent="0.35">
      <c r="T32306" s="246">
        <f t="shared" si="542"/>
        <v>0</v>
      </c>
    </row>
    <row r="32307" spans="20:20" ht="18.75" customHeight="1" x14ac:dyDescent="0.35">
      <c r="T32307" s="246">
        <f t="shared" si="542"/>
        <v>0</v>
      </c>
    </row>
    <row r="32308" spans="20:20" ht="18.75" customHeight="1" x14ac:dyDescent="0.35">
      <c r="T32308" s="246">
        <f t="shared" si="542"/>
        <v>0</v>
      </c>
    </row>
    <row r="32309" spans="20:20" ht="18.75" customHeight="1" x14ac:dyDescent="0.35">
      <c r="T32309" s="246">
        <f t="shared" si="542"/>
        <v>0</v>
      </c>
    </row>
    <row r="32310" spans="20:20" ht="18.75" customHeight="1" x14ac:dyDescent="0.35">
      <c r="T32310" s="246">
        <f t="shared" si="542"/>
        <v>0</v>
      </c>
    </row>
    <row r="32311" spans="20:20" ht="18.75" customHeight="1" x14ac:dyDescent="0.35">
      <c r="T32311" s="246">
        <f t="shared" si="542"/>
        <v>0</v>
      </c>
    </row>
    <row r="32312" spans="20:20" ht="18.75" customHeight="1" x14ac:dyDescent="0.35">
      <c r="T32312" s="246">
        <f t="shared" si="542"/>
        <v>0</v>
      </c>
    </row>
    <row r="32313" spans="20:20" ht="18.75" customHeight="1" x14ac:dyDescent="0.35">
      <c r="T32313" s="246">
        <f t="shared" si="542"/>
        <v>0</v>
      </c>
    </row>
    <row r="32314" spans="20:20" ht="18.75" customHeight="1" x14ac:dyDescent="0.35">
      <c r="T32314" s="246">
        <f t="shared" si="542"/>
        <v>0</v>
      </c>
    </row>
    <row r="32315" spans="20:20" ht="18.75" customHeight="1" x14ac:dyDescent="0.35">
      <c r="T32315" s="246">
        <f t="shared" si="542"/>
        <v>0</v>
      </c>
    </row>
    <row r="32316" spans="20:20" ht="18.75" customHeight="1" x14ac:dyDescent="0.35">
      <c r="T32316" s="246">
        <f t="shared" ref="T32316:T32379" si="543">R32316*0.01</f>
        <v>0</v>
      </c>
    </row>
    <row r="32317" spans="20:20" ht="18.75" customHeight="1" x14ac:dyDescent="0.35">
      <c r="T32317" s="246">
        <f t="shared" si="543"/>
        <v>0</v>
      </c>
    </row>
    <row r="32318" spans="20:20" ht="18.75" customHeight="1" x14ac:dyDescent="0.35">
      <c r="T32318" s="246">
        <f t="shared" si="543"/>
        <v>0</v>
      </c>
    </row>
    <row r="32319" spans="20:20" ht="18.75" customHeight="1" x14ac:dyDescent="0.35">
      <c r="T32319" s="246">
        <f t="shared" si="543"/>
        <v>0</v>
      </c>
    </row>
    <row r="32320" spans="20:20" ht="18.75" customHeight="1" x14ac:dyDescent="0.35">
      <c r="T32320" s="246">
        <f t="shared" si="543"/>
        <v>0</v>
      </c>
    </row>
    <row r="32321" spans="20:20" ht="18.75" customHeight="1" x14ac:dyDescent="0.35">
      <c r="T32321" s="246">
        <f t="shared" si="543"/>
        <v>0</v>
      </c>
    </row>
    <row r="32322" spans="20:20" ht="18.75" customHeight="1" x14ac:dyDescent="0.35">
      <c r="T32322" s="246">
        <f t="shared" si="543"/>
        <v>0</v>
      </c>
    </row>
    <row r="32323" spans="20:20" ht="18.75" customHeight="1" x14ac:dyDescent="0.35">
      <c r="T32323" s="246">
        <f t="shared" si="543"/>
        <v>0</v>
      </c>
    </row>
    <row r="32324" spans="20:20" ht="18.75" customHeight="1" x14ac:dyDescent="0.35">
      <c r="T32324" s="246">
        <f t="shared" si="543"/>
        <v>0</v>
      </c>
    </row>
    <row r="32325" spans="20:20" ht="18.75" customHeight="1" x14ac:dyDescent="0.35">
      <c r="T32325" s="246">
        <f t="shared" si="543"/>
        <v>0</v>
      </c>
    </row>
    <row r="32326" spans="20:20" ht="18.75" customHeight="1" x14ac:dyDescent="0.35">
      <c r="T32326" s="246">
        <f t="shared" si="543"/>
        <v>0</v>
      </c>
    </row>
    <row r="32327" spans="20:20" ht="18.75" customHeight="1" x14ac:dyDescent="0.35">
      <c r="T32327" s="246">
        <f t="shared" si="543"/>
        <v>0</v>
      </c>
    </row>
    <row r="32328" spans="20:20" ht="18.75" customHeight="1" x14ac:dyDescent="0.35">
      <c r="T32328" s="246">
        <f t="shared" si="543"/>
        <v>0</v>
      </c>
    </row>
    <row r="32329" spans="20:20" ht="18.75" customHeight="1" x14ac:dyDescent="0.35">
      <c r="T32329" s="246">
        <f t="shared" si="543"/>
        <v>0</v>
      </c>
    </row>
    <row r="32330" spans="20:20" ht="18.75" customHeight="1" x14ac:dyDescent="0.35">
      <c r="T32330" s="246">
        <f t="shared" si="543"/>
        <v>0</v>
      </c>
    </row>
    <row r="32331" spans="20:20" ht="18.75" customHeight="1" x14ac:dyDescent="0.35">
      <c r="T32331" s="246">
        <f t="shared" si="543"/>
        <v>0</v>
      </c>
    </row>
    <row r="32332" spans="20:20" ht="18.75" customHeight="1" x14ac:dyDescent="0.35">
      <c r="T32332" s="246">
        <f t="shared" si="543"/>
        <v>0</v>
      </c>
    </row>
    <row r="32333" spans="20:20" ht="18.75" customHeight="1" x14ac:dyDescent="0.35">
      <c r="T32333" s="246">
        <f t="shared" si="543"/>
        <v>0</v>
      </c>
    </row>
    <row r="32334" spans="20:20" ht="18.75" customHeight="1" x14ac:dyDescent="0.35">
      <c r="T32334" s="246">
        <f t="shared" si="543"/>
        <v>0</v>
      </c>
    </row>
    <row r="32335" spans="20:20" ht="18.75" customHeight="1" x14ac:dyDescent="0.35">
      <c r="T32335" s="246">
        <f t="shared" si="543"/>
        <v>0</v>
      </c>
    </row>
    <row r="32336" spans="20:20" ht="18.75" customHeight="1" x14ac:dyDescent="0.35">
      <c r="T32336" s="246">
        <f t="shared" si="543"/>
        <v>0</v>
      </c>
    </row>
    <row r="32337" spans="20:20" ht="18.75" customHeight="1" x14ac:dyDescent="0.35">
      <c r="T32337" s="246">
        <f t="shared" si="543"/>
        <v>0</v>
      </c>
    </row>
    <row r="32338" spans="20:20" ht="18.75" customHeight="1" x14ac:dyDescent="0.35">
      <c r="T32338" s="246">
        <f t="shared" si="543"/>
        <v>0</v>
      </c>
    </row>
    <row r="32339" spans="20:20" ht="18.75" customHeight="1" x14ac:dyDescent="0.35">
      <c r="T32339" s="246">
        <f t="shared" si="543"/>
        <v>0</v>
      </c>
    </row>
    <row r="32340" spans="20:20" ht="18.75" customHeight="1" x14ac:dyDescent="0.35">
      <c r="T32340" s="246">
        <f t="shared" si="543"/>
        <v>0</v>
      </c>
    </row>
    <row r="32341" spans="20:20" ht="18.75" customHeight="1" x14ac:dyDescent="0.35">
      <c r="T32341" s="246">
        <f t="shared" si="543"/>
        <v>0</v>
      </c>
    </row>
    <row r="32342" spans="20:20" ht="18.75" customHeight="1" x14ac:dyDescent="0.35">
      <c r="T32342" s="246">
        <f t="shared" si="543"/>
        <v>0</v>
      </c>
    </row>
    <row r="32343" spans="20:20" ht="18.75" customHeight="1" x14ac:dyDescent="0.35">
      <c r="T32343" s="246">
        <f t="shared" si="543"/>
        <v>0</v>
      </c>
    </row>
    <row r="32344" spans="20:20" ht="18.75" customHeight="1" x14ac:dyDescent="0.35">
      <c r="T32344" s="246">
        <f t="shared" si="543"/>
        <v>0</v>
      </c>
    </row>
    <row r="32345" spans="20:20" ht="18.75" customHeight="1" x14ac:dyDescent="0.35">
      <c r="T32345" s="246">
        <f t="shared" si="543"/>
        <v>0</v>
      </c>
    </row>
    <row r="32346" spans="20:20" ht="18.75" customHeight="1" x14ac:dyDescent="0.35">
      <c r="T32346" s="246">
        <f t="shared" si="543"/>
        <v>0</v>
      </c>
    </row>
    <row r="32347" spans="20:20" ht="18.75" customHeight="1" x14ac:dyDescent="0.35">
      <c r="T32347" s="246">
        <f t="shared" si="543"/>
        <v>0</v>
      </c>
    </row>
    <row r="32348" spans="20:20" ht="18.75" customHeight="1" x14ac:dyDescent="0.35">
      <c r="T32348" s="246">
        <f t="shared" si="543"/>
        <v>0</v>
      </c>
    </row>
    <row r="32349" spans="20:20" ht="18.75" customHeight="1" x14ac:dyDescent="0.35">
      <c r="T32349" s="246">
        <f t="shared" si="543"/>
        <v>0</v>
      </c>
    </row>
    <row r="32350" spans="20:20" ht="18.75" customHeight="1" x14ac:dyDescent="0.35">
      <c r="T32350" s="246">
        <f t="shared" si="543"/>
        <v>0</v>
      </c>
    </row>
    <row r="32351" spans="20:20" ht="18.75" customHeight="1" x14ac:dyDescent="0.35">
      <c r="T32351" s="246">
        <f t="shared" si="543"/>
        <v>0</v>
      </c>
    </row>
    <row r="32352" spans="20:20" ht="18.75" customHeight="1" x14ac:dyDescent="0.35">
      <c r="T32352" s="246">
        <f t="shared" si="543"/>
        <v>0</v>
      </c>
    </row>
    <row r="32353" spans="20:20" ht="18.75" customHeight="1" x14ac:dyDescent="0.35">
      <c r="T32353" s="246">
        <f t="shared" si="543"/>
        <v>0</v>
      </c>
    </row>
    <row r="32354" spans="20:20" ht="18.75" customHeight="1" x14ac:dyDescent="0.35">
      <c r="T32354" s="246">
        <f t="shared" si="543"/>
        <v>0</v>
      </c>
    </row>
    <row r="32355" spans="20:20" ht="18.75" customHeight="1" x14ac:dyDescent="0.35">
      <c r="T32355" s="246">
        <f t="shared" si="543"/>
        <v>0</v>
      </c>
    </row>
    <row r="32356" spans="20:20" ht="18.75" customHeight="1" x14ac:dyDescent="0.35">
      <c r="T32356" s="246">
        <f t="shared" si="543"/>
        <v>0</v>
      </c>
    </row>
    <row r="32357" spans="20:20" ht="18.75" customHeight="1" x14ac:dyDescent="0.35">
      <c r="T32357" s="246">
        <f t="shared" si="543"/>
        <v>0</v>
      </c>
    </row>
    <row r="32358" spans="20:20" ht="18.75" customHeight="1" x14ac:dyDescent="0.35">
      <c r="T32358" s="246">
        <f t="shared" si="543"/>
        <v>0</v>
      </c>
    </row>
    <row r="32359" spans="20:20" ht="18.75" customHeight="1" x14ac:dyDescent="0.35">
      <c r="T32359" s="246">
        <f t="shared" si="543"/>
        <v>0</v>
      </c>
    </row>
    <row r="32360" spans="20:20" ht="18.75" customHeight="1" x14ac:dyDescent="0.35">
      <c r="T32360" s="246">
        <f t="shared" si="543"/>
        <v>0</v>
      </c>
    </row>
    <row r="32361" spans="20:20" ht="18.75" customHeight="1" x14ac:dyDescent="0.35">
      <c r="T32361" s="246">
        <f t="shared" si="543"/>
        <v>0</v>
      </c>
    </row>
    <row r="32362" spans="20:20" ht="18.75" customHeight="1" x14ac:dyDescent="0.35">
      <c r="T32362" s="246">
        <f t="shared" si="543"/>
        <v>0</v>
      </c>
    </row>
    <row r="32363" spans="20:20" ht="18.75" customHeight="1" x14ac:dyDescent="0.35">
      <c r="T32363" s="246">
        <f t="shared" si="543"/>
        <v>0</v>
      </c>
    </row>
    <row r="32364" spans="20:20" ht="18.75" customHeight="1" x14ac:dyDescent="0.35">
      <c r="T32364" s="246">
        <f t="shared" si="543"/>
        <v>0</v>
      </c>
    </row>
    <row r="32365" spans="20:20" ht="18.75" customHeight="1" x14ac:dyDescent="0.35">
      <c r="T32365" s="246">
        <f t="shared" si="543"/>
        <v>0</v>
      </c>
    </row>
    <row r="32366" spans="20:20" ht="18.75" customHeight="1" x14ac:dyDescent="0.35">
      <c r="T32366" s="246">
        <f t="shared" si="543"/>
        <v>0</v>
      </c>
    </row>
    <row r="32367" spans="20:20" ht="18.75" customHeight="1" x14ac:dyDescent="0.35">
      <c r="T32367" s="246">
        <f t="shared" si="543"/>
        <v>0</v>
      </c>
    </row>
    <row r="32368" spans="20:20" ht="18.75" customHeight="1" x14ac:dyDescent="0.35">
      <c r="T32368" s="246">
        <f t="shared" si="543"/>
        <v>0</v>
      </c>
    </row>
    <row r="32369" spans="20:20" ht="18.75" customHeight="1" x14ac:dyDescent="0.35">
      <c r="T32369" s="246">
        <f t="shared" si="543"/>
        <v>0</v>
      </c>
    </row>
    <row r="32370" spans="20:20" ht="18.75" customHeight="1" x14ac:dyDescent="0.35">
      <c r="T32370" s="246">
        <f t="shared" si="543"/>
        <v>0</v>
      </c>
    </row>
    <row r="32371" spans="20:20" ht="18.75" customHeight="1" x14ac:dyDescent="0.35">
      <c r="T32371" s="246">
        <f t="shared" si="543"/>
        <v>0</v>
      </c>
    </row>
    <row r="32372" spans="20:20" ht="18.75" customHeight="1" x14ac:dyDescent="0.35">
      <c r="T32372" s="246">
        <f t="shared" si="543"/>
        <v>0</v>
      </c>
    </row>
    <row r="32373" spans="20:20" ht="18.75" customHeight="1" x14ac:dyDescent="0.35">
      <c r="T32373" s="246">
        <f t="shared" si="543"/>
        <v>0</v>
      </c>
    </row>
    <row r="32374" spans="20:20" ht="18.75" customHeight="1" x14ac:dyDescent="0.35">
      <c r="T32374" s="246">
        <f t="shared" si="543"/>
        <v>0</v>
      </c>
    </row>
    <row r="32375" spans="20:20" ht="18.75" customHeight="1" x14ac:dyDescent="0.35">
      <c r="T32375" s="246">
        <f t="shared" si="543"/>
        <v>0</v>
      </c>
    </row>
    <row r="32376" spans="20:20" ht="18.75" customHeight="1" x14ac:dyDescent="0.35">
      <c r="T32376" s="246">
        <f t="shared" si="543"/>
        <v>0</v>
      </c>
    </row>
    <row r="32377" spans="20:20" ht="18.75" customHeight="1" x14ac:dyDescent="0.35">
      <c r="T32377" s="246">
        <f t="shared" si="543"/>
        <v>0</v>
      </c>
    </row>
    <row r="32378" spans="20:20" ht="18.75" customHeight="1" x14ac:dyDescent="0.35">
      <c r="T32378" s="246">
        <f t="shared" si="543"/>
        <v>0</v>
      </c>
    </row>
    <row r="32379" spans="20:20" ht="18.75" customHeight="1" x14ac:dyDescent="0.35">
      <c r="T32379" s="246">
        <f t="shared" si="543"/>
        <v>0</v>
      </c>
    </row>
    <row r="32380" spans="20:20" ht="18.75" customHeight="1" x14ac:dyDescent="0.35">
      <c r="T32380" s="246">
        <f t="shared" ref="T32380:T32443" si="544">R32380*0.01</f>
        <v>0</v>
      </c>
    </row>
    <row r="32381" spans="20:20" ht="18.75" customHeight="1" x14ac:dyDescent="0.35">
      <c r="T32381" s="246">
        <f t="shared" si="544"/>
        <v>0</v>
      </c>
    </row>
    <row r="32382" spans="20:20" ht="18.75" customHeight="1" x14ac:dyDescent="0.35">
      <c r="T32382" s="246">
        <f t="shared" si="544"/>
        <v>0</v>
      </c>
    </row>
    <row r="32383" spans="20:20" ht="18.75" customHeight="1" x14ac:dyDescent="0.35">
      <c r="T32383" s="246">
        <f t="shared" si="544"/>
        <v>0</v>
      </c>
    </row>
    <row r="32384" spans="20:20" ht="18.75" customHeight="1" x14ac:dyDescent="0.35">
      <c r="T32384" s="246">
        <f t="shared" si="544"/>
        <v>0</v>
      </c>
    </row>
    <row r="32385" spans="20:20" ht="18.75" customHeight="1" x14ac:dyDescent="0.35">
      <c r="T32385" s="246">
        <f t="shared" si="544"/>
        <v>0</v>
      </c>
    </row>
    <row r="32386" spans="20:20" ht="18.75" customHeight="1" x14ac:dyDescent="0.35">
      <c r="T32386" s="246">
        <f t="shared" si="544"/>
        <v>0</v>
      </c>
    </row>
    <row r="32387" spans="20:20" ht="18.75" customHeight="1" x14ac:dyDescent="0.35">
      <c r="T32387" s="246">
        <f t="shared" si="544"/>
        <v>0</v>
      </c>
    </row>
    <row r="32388" spans="20:20" ht="18.75" customHeight="1" x14ac:dyDescent="0.35">
      <c r="T32388" s="246">
        <f t="shared" si="544"/>
        <v>0</v>
      </c>
    </row>
    <row r="32389" spans="20:20" ht="18.75" customHeight="1" x14ac:dyDescent="0.35">
      <c r="T32389" s="246">
        <f t="shared" si="544"/>
        <v>0</v>
      </c>
    </row>
    <row r="32390" spans="20:20" ht="18.75" customHeight="1" x14ac:dyDescent="0.35">
      <c r="T32390" s="246">
        <f t="shared" si="544"/>
        <v>0</v>
      </c>
    </row>
    <row r="32391" spans="20:20" ht="18.75" customHeight="1" x14ac:dyDescent="0.35">
      <c r="T32391" s="246">
        <f t="shared" si="544"/>
        <v>0</v>
      </c>
    </row>
    <row r="32392" spans="20:20" ht="18.75" customHeight="1" x14ac:dyDescent="0.35">
      <c r="T32392" s="246">
        <f t="shared" si="544"/>
        <v>0</v>
      </c>
    </row>
    <row r="32393" spans="20:20" ht="18.75" customHeight="1" x14ac:dyDescent="0.35">
      <c r="T32393" s="246">
        <f t="shared" si="544"/>
        <v>0</v>
      </c>
    </row>
    <row r="32394" spans="20:20" ht="18.75" customHeight="1" x14ac:dyDescent="0.35">
      <c r="T32394" s="246">
        <f t="shared" si="544"/>
        <v>0</v>
      </c>
    </row>
    <row r="32395" spans="20:20" ht="18.75" customHeight="1" x14ac:dyDescent="0.35">
      <c r="T32395" s="246">
        <f t="shared" si="544"/>
        <v>0</v>
      </c>
    </row>
    <row r="32396" spans="20:20" ht="18.75" customHeight="1" x14ac:dyDescent="0.35">
      <c r="T32396" s="246">
        <f t="shared" si="544"/>
        <v>0</v>
      </c>
    </row>
    <row r="32397" spans="20:20" ht="18.75" customHeight="1" x14ac:dyDescent="0.35">
      <c r="T32397" s="246">
        <f t="shared" si="544"/>
        <v>0</v>
      </c>
    </row>
    <row r="32398" spans="20:20" ht="18.75" customHeight="1" x14ac:dyDescent="0.35">
      <c r="T32398" s="246">
        <f t="shared" si="544"/>
        <v>0</v>
      </c>
    </row>
    <row r="32399" spans="20:20" ht="18.75" customHeight="1" x14ac:dyDescent="0.35">
      <c r="T32399" s="246">
        <f t="shared" si="544"/>
        <v>0</v>
      </c>
    </row>
    <row r="32400" spans="20:20" ht="18.75" customHeight="1" x14ac:dyDescent="0.35">
      <c r="T32400" s="246">
        <f t="shared" si="544"/>
        <v>0</v>
      </c>
    </row>
    <row r="32401" spans="20:20" ht="18.75" customHeight="1" x14ac:dyDescent="0.35">
      <c r="T32401" s="246">
        <f t="shared" si="544"/>
        <v>0</v>
      </c>
    </row>
    <row r="32402" spans="20:20" ht="18.75" customHeight="1" x14ac:dyDescent="0.35">
      <c r="T32402" s="246">
        <f t="shared" si="544"/>
        <v>0</v>
      </c>
    </row>
    <row r="32403" spans="20:20" ht="18.75" customHeight="1" x14ac:dyDescent="0.35">
      <c r="T32403" s="246">
        <f t="shared" si="544"/>
        <v>0</v>
      </c>
    </row>
    <row r="32404" spans="20:20" ht="18.75" customHeight="1" x14ac:dyDescent="0.35">
      <c r="T32404" s="246">
        <f t="shared" si="544"/>
        <v>0</v>
      </c>
    </row>
    <row r="32405" spans="20:20" ht="18.75" customHeight="1" x14ac:dyDescent="0.35">
      <c r="T32405" s="246">
        <f t="shared" si="544"/>
        <v>0</v>
      </c>
    </row>
    <row r="32406" spans="20:20" ht="18.75" customHeight="1" x14ac:dyDescent="0.35">
      <c r="T32406" s="246">
        <f t="shared" si="544"/>
        <v>0</v>
      </c>
    </row>
    <row r="32407" spans="20:20" ht="18.75" customHeight="1" x14ac:dyDescent="0.35">
      <c r="T32407" s="246">
        <f t="shared" si="544"/>
        <v>0</v>
      </c>
    </row>
    <row r="32408" spans="20:20" ht="18.75" customHeight="1" x14ac:dyDescent="0.35">
      <c r="T32408" s="246">
        <f t="shared" si="544"/>
        <v>0</v>
      </c>
    </row>
    <row r="32409" spans="20:20" ht="18.75" customHeight="1" x14ac:dyDescent="0.35">
      <c r="T32409" s="246">
        <f t="shared" si="544"/>
        <v>0</v>
      </c>
    </row>
    <row r="32410" spans="20:20" ht="18.75" customHeight="1" x14ac:dyDescent="0.35">
      <c r="T32410" s="246">
        <f t="shared" si="544"/>
        <v>0</v>
      </c>
    </row>
    <row r="32411" spans="20:20" ht="18.75" customHeight="1" x14ac:dyDescent="0.35">
      <c r="T32411" s="246">
        <f t="shared" si="544"/>
        <v>0</v>
      </c>
    </row>
    <row r="32412" spans="20:20" ht="18.75" customHeight="1" x14ac:dyDescent="0.35">
      <c r="T32412" s="246">
        <f t="shared" si="544"/>
        <v>0</v>
      </c>
    </row>
    <row r="32413" spans="20:20" ht="18.75" customHeight="1" x14ac:dyDescent="0.35">
      <c r="T32413" s="246">
        <f t="shared" si="544"/>
        <v>0</v>
      </c>
    </row>
    <row r="32414" spans="20:20" ht="18.75" customHeight="1" x14ac:dyDescent="0.35">
      <c r="T32414" s="246">
        <f t="shared" si="544"/>
        <v>0</v>
      </c>
    </row>
    <row r="32415" spans="20:20" ht="18.75" customHeight="1" x14ac:dyDescent="0.35">
      <c r="T32415" s="246">
        <f t="shared" si="544"/>
        <v>0</v>
      </c>
    </row>
    <row r="32416" spans="20:20" ht="18.75" customHeight="1" x14ac:dyDescent="0.35">
      <c r="T32416" s="246">
        <f t="shared" si="544"/>
        <v>0</v>
      </c>
    </row>
    <row r="32417" spans="20:20" ht="18.75" customHeight="1" x14ac:dyDescent="0.35">
      <c r="T32417" s="246">
        <f t="shared" si="544"/>
        <v>0</v>
      </c>
    </row>
    <row r="32418" spans="20:20" ht="18.75" customHeight="1" x14ac:dyDescent="0.35">
      <c r="T32418" s="246">
        <f t="shared" si="544"/>
        <v>0</v>
      </c>
    </row>
    <row r="32419" spans="20:20" ht="18.75" customHeight="1" x14ac:dyDescent="0.35">
      <c r="T32419" s="246">
        <f t="shared" si="544"/>
        <v>0</v>
      </c>
    </row>
    <row r="32420" spans="20:20" ht="18.75" customHeight="1" x14ac:dyDescent="0.35">
      <c r="T32420" s="246">
        <f t="shared" si="544"/>
        <v>0</v>
      </c>
    </row>
    <row r="32421" spans="20:20" ht="18.75" customHeight="1" x14ac:dyDescent="0.35">
      <c r="T32421" s="246">
        <f t="shared" si="544"/>
        <v>0</v>
      </c>
    </row>
    <row r="32422" spans="20:20" ht="18.75" customHeight="1" x14ac:dyDescent="0.35">
      <c r="T32422" s="246">
        <f t="shared" si="544"/>
        <v>0</v>
      </c>
    </row>
    <row r="32423" spans="20:20" ht="18.75" customHeight="1" x14ac:dyDescent="0.35">
      <c r="T32423" s="246">
        <f t="shared" si="544"/>
        <v>0</v>
      </c>
    </row>
    <row r="32424" spans="20:20" ht="18.75" customHeight="1" x14ac:dyDescent="0.35">
      <c r="T32424" s="246">
        <f t="shared" si="544"/>
        <v>0</v>
      </c>
    </row>
    <row r="32425" spans="20:20" ht="18.75" customHeight="1" x14ac:dyDescent="0.35">
      <c r="T32425" s="246">
        <f t="shared" si="544"/>
        <v>0</v>
      </c>
    </row>
    <row r="32426" spans="20:20" ht="18.75" customHeight="1" x14ac:dyDescent="0.35">
      <c r="T32426" s="246">
        <f t="shared" si="544"/>
        <v>0</v>
      </c>
    </row>
    <row r="32427" spans="20:20" ht="18.75" customHeight="1" x14ac:dyDescent="0.35">
      <c r="T32427" s="246">
        <f t="shared" si="544"/>
        <v>0</v>
      </c>
    </row>
    <row r="32428" spans="20:20" ht="18.75" customHeight="1" x14ac:dyDescent="0.35">
      <c r="T32428" s="246">
        <f t="shared" si="544"/>
        <v>0</v>
      </c>
    </row>
    <row r="32429" spans="20:20" ht="18.75" customHeight="1" x14ac:dyDescent="0.35">
      <c r="T32429" s="246">
        <f t="shared" si="544"/>
        <v>0</v>
      </c>
    </row>
    <row r="32430" spans="20:20" ht="18.75" customHeight="1" x14ac:dyDescent="0.35">
      <c r="T32430" s="246">
        <f t="shared" si="544"/>
        <v>0</v>
      </c>
    </row>
    <row r="32431" spans="20:20" ht="18.75" customHeight="1" x14ac:dyDescent="0.35">
      <c r="T32431" s="246">
        <f t="shared" si="544"/>
        <v>0</v>
      </c>
    </row>
    <row r="32432" spans="20:20" ht="18.75" customHeight="1" x14ac:dyDescent="0.35">
      <c r="T32432" s="246">
        <f t="shared" si="544"/>
        <v>0</v>
      </c>
    </row>
    <row r="32433" spans="20:20" ht="18.75" customHeight="1" x14ac:dyDescent="0.35">
      <c r="T32433" s="246">
        <f t="shared" si="544"/>
        <v>0</v>
      </c>
    </row>
    <row r="32434" spans="20:20" ht="18.75" customHeight="1" x14ac:dyDescent="0.35">
      <c r="T32434" s="246">
        <f t="shared" si="544"/>
        <v>0</v>
      </c>
    </row>
    <row r="32435" spans="20:20" ht="18.75" customHeight="1" x14ac:dyDescent="0.35">
      <c r="T32435" s="246">
        <f t="shared" si="544"/>
        <v>0</v>
      </c>
    </row>
    <row r="32436" spans="20:20" ht="18.75" customHeight="1" x14ac:dyDescent="0.35">
      <c r="T32436" s="246">
        <f t="shared" si="544"/>
        <v>0</v>
      </c>
    </row>
    <row r="32437" spans="20:20" ht="18.75" customHeight="1" x14ac:dyDescent="0.35">
      <c r="T32437" s="246">
        <f t="shared" si="544"/>
        <v>0</v>
      </c>
    </row>
    <row r="32438" spans="20:20" ht="18.75" customHeight="1" x14ac:dyDescent="0.35">
      <c r="T32438" s="246">
        <f t="shared" si="544"/>
        <v>0</v>
      </c>
    </row>
    <row r="32439" spans="20:20" ht="18.75" customHeight="1" x14ac:dyDescent="0.35">
      <c r="T32439" s="246">
        <f t="shared" si="544"/>
        <v>0</v>
      </c>
    </row>
    <row r="32440" spans="20:20" ht="18.75" customHeight="1" x14ac:dyDescent="0.35">
      <c r="T32440" s="246">
        <f t="shared" si="544"/>
        <v>0</v>
      </c>
    </row>
    <row r="32441" spans="20:20" ht="18.75" customHeight="1" x14ac:dyDescent="0.35">
      <c r="T32441" s="246">
        <f t="shared" si="544"/>
        <v>0</v>
      </c>
    </row>
    <row r="32442" spans="20:20" ht="18.75" customHeight="1" x14ac:dyDescent="0.35">
      <c r="T32442" s="246">
        <f t="shared" si="544"/>
        <v>0</v>
      </c>
    </row>
    <row r="32443" spans="20:20" ht="18.75" customHeight="1" x14ac:dyDescent="0.35">
      <c r="T32443" s="246">
        <f t="shared" si="544"/>
        <v>0</v>
      </c>
    </row>
    <row r="32444" spans="20:20" ht="18.75" customHeight="1" x14ac:dyDescent="0.35">
      <c r="T32444" s="246">
        <f t="shared" ref="T32444:T32507" si="545">R32444*0.01</f>
        <v>0</v>
      </c>
    </row>
    <row r="32445" spans="20:20" ht="18.75" customHeight="1" x14ac:dyDescent="0.35">
      <c r="T32445" s="246">
        <f t="shared" si="545"/>
        <v>0</v>
      </c>
    </row>
    <row r="32446" spans="20:20" ht="18.75" customHeight="1" x14ac:dyDescent="0.35">
      <c r="T32446" s="246">
        <f t="shared" si="545"/>
        <v>0</v>
      </c>
    </row>
    <row r="32447" spans="20:20" ht="18.75" customHeight="1" x14ac:dyDescent="0.35">
      <c r="T32447" s="246">
        <f t="shared" si="545"/>
        <v>0</v>
      </c>
    </row>
    <row r="32448" spans="20:20" ht="18.75" customHeight="1" x14ac:dyDescent="0.35">
      <c r="T32448" s="246">
        <f t="shared" si="545"/>
        <v>0</v>
      </c>
    </row>
    <row r="32449" spans="20:20" ht="18.75" customHeight="1" x14ac:dyDescent="0.35">
      <c r="T32449" s="246">
        <f t="shared" si="545"/>
        <v>0</v>
      </c>
    </row>
    <row r="32450" spans="20:20" ht="18.75" customHeight="1" x14ac:dyDescent="0.35">
      <c r="T32450" s="246">
        <f t="shared" si="545"/>
        <v>0</v>
      </c>
    </row>
    <row r="32451" spans="20:20" ht="18.75" customHeight="1" x14ac:dyDescent="0.35">
      <c r="T32451" s="246">
        <f t="shared" si="545"/>
        <v>0</v>
      </c>
    </row>
    <row r="32452" spans="20:20" ht="18.75" customHeight="1" x14ac:dyDescent="0.35">
      <c r="T32452" s="246">
        <f t="shared" si="545"/>
        <v>0</v>
      </c>
    </row>
    <row r="32453" spans="20:20" ht="18.75" customHeight="1" x14ac:dyDescent="0.35">
      <c r="T32453" s="246">
        <f t="shared" si="545"/>
        <v>0</v>
      </c>
    </row>
    <row r="32454" spans="20:20" ht="18.75" customHeight="1" x14ac:dyDescent="0.35">
      <c r="T32454" s="246">
        <f t="shared" si="545"/>
        <v>0</v>
      </c>
    </row>
    <row r="32455" spans="20:20" ht="18.75" customHeight="1" x14ac:dyDescent="0.35">
      <c r="T32455" s="246">
        <f t="shared" si="545"/>
        <v>0</v>
      </c>
    </row>
    <row r="32456" spans="20:20" ht="18.75" customHeight="1" x14ac:dyDescent="0.35">
      <c r="T32456" s="246">
        <f t="shared" si="545"/>
        <v>0</v>
      </c>
    </row>
    <row r="32457" spans="20:20" ht="18.75" customHeight="1" x14ac:dyDescent="0.35">
      <c r="T32457" s="246">
        <f t="shared" si="545"/>
        <v>0</v>
      </c>
    </row>
    <row r="32458" spans="20:20" ht="18.75" customHeight="1" x14ac:dyDescent="0.35">
      <c r="T32458" s="246">
        <f t="shared" si="545"/>
        <v>0</v>
      </c>
    </row>
    <row r="32459" spans="20:20" ht="18.75" customHeight="1" x14ac:dyDescent="0.35">
      <c r="T32459" s="246">
        <f t="shared" si="545"/>
        <v>0</v>
      </c>
    </row>
    <row r="32460" spans="20:20" ht="18.75" customHeight="1" x14ac:dyDescent="0.35">
      <c r="T32460" s="246">
        <f t="shared" si="545"/>
        <v>0</v>
      </c>
    </row>
    <row r="32461" spans="20:20" ht="18.75" customHeight="1" x14ac:dyDescent="0.35">
      <c r="T32461" s="246">
        <f t="shared" si="545"/>
        <v>0</v>
      </c>
    </row>
    <row r="32462" spans="20:20" ht="18.75" customHeight="1" x14ac:dyDescent="0.35">
      <c r="T32462" s="246">
        <f t="shared" si="545"/>
        <v>0</v>
      </c>
    </row>
    <row r="32463" spans="20:20" ht="18.75" customHeight="1" x14ac:dyDescent="0.35">
      <c r="T32463" s="246">
        <f t="shared" si="545"/>
        <v>0</v>
      </c>
    </row>
    <row r="32464" spans="20:20" ht="18.75" customHeight="1" x14ac:dyDescent="0.35">
      <c r="T32464" s="246">
        <f t="shared" si="545"/>
        <v>0</v>
      </c>
    </row>
    <row r="32465" spans="20:20" ht="18.75" customHeight="1" x14ac:dyDescent="0.35">
      <c r="T32465" s="246">
        <f t="shared" si="545"/>
        <v>0</v>
      </c>
    </row>
    <row r="32466" spans="20:20" ht="18.75" customHeight="1" x14ac:dyDescent="0.35">
      <c r="T32466" s="246">
        <f t="shared" si="545"/>
        <v>0</v>
      </c>
    </row>
    <row r="32467" spans="20:20" ht="18.75" customHeight="1" x14ac:dyDescent="0.35">
      <c r="T32467" s="246">
        <f t="shared" si="545"/>
        <v>0</v>
      </c>
    </row>
    <row r="32468" spans="20:20" ht="18.75" customHeight="1" x14ac:dyDescent="0.35">
      <c r="T32468" s="246">
        <f t="shared" si="545"/>
        <v>0</v>
      </c>
    </row>
    <row r="32469" spans="20:20" ht="18.75" customHeight="1" x14ac:dyDescent="0.35">
      <c r="T32469" s="246">
        <f t="shared" si="545"/>
        <v>0</v>
      </c>
    </row>
    <row r="32470" spans="20:20" ht="18.75" customHeight="1" x14ac:dyDescent="0.35">
      <c r="T32470" s="246">
        <f t="shared" si="545"/>
        <v>0</v>
      </c>
    </row>
    <row r="32471" spans="20:20" ht="18.75" customHeight="1" x14ac:dyDescent="0.35">
      <c r="T32471" s="246">
        <f t="shared" si="545"/>
        <v>0</v>
      </c>
    </row>
    <row r="32472" spans="20:20" ht="18.75" customHeight="1" x14ac:dyDescent="0.35">
      <c r="T32472" s="246">
        <f t="shared" si="545"/>
        <v>0</v>
      </c>
    </row>
    <row r="32473" spans="20:20" ht="18.75" customHeight="1" x14ac:dyDescent="0.35">
      <c r="T32473" s="246">
        <f t="shared" si="545"/>
        <v>0</v>
      </c>
    </row>
    <row r="32474" spans="20:20" ht="18.75" customHeight="1" x14ac:dyDescent="0.35">
      <c r="T32474" s="246">
        <f t="shared" si="545"/>
        <v>0</v>
      </c>
    </row>
    <row r="32475" spans="20:20" ht="18.75" customHeight="1" x14ac:dyDescent="0.35">
      <c r="T32475" s="246">
        <f t="shared" si="545"/>
        <v>0</v>
      </c>
    </row>
    <row r="32476" spans="20:20" ht="18.75" customHeight="1" x14ac:dyDescent="0.35">
      <c r="T32476" s="246">
        <f t="shared" si="545"/>
        <v>0</v>
      </c>
    </row>
    <row r="32477" spans="20:20" ht="18.75" customHeight="1" x14ac:dyDescent="0.35">
      <c r="T32477" s="246">
        <f t="shared" si="545"/>
        <v>0</v>
      </c>
    </row>
    <row r="32478" spans="20:20" ht="18.75" customHeight="1" x14ac:dyDescent="0.35">
      <c r="T32478" s="246">
        <f t="shared" si="545"/>
        <v>0</v>
      </c>
    </row>
    <row r="32479" spans="20:20" ht="18.75" customHeight="1" x14ac:dyDescent="0.35">
      <c r="T32479" s="246">
        <f t="shared" si="545"/>
        <v>0</v>
      </c>
    </row>
    <row r="32480" spans="20:20" ht="18.75" customHeight="1" x14ac:dyDescent="0.35">
      <c r="T32480" s="246">
        <f t="shared" si="545"/>
        <v>0</v>
      </c>
    </row>
    <row r="32481" spans="20:20" ht="18.75" customHeight="1" x14ac:dyDescent="0.35">
      <c r="T32481" s="246">
        <f t="shared" si="545"/>
        <v>0</v>
      </c>
    </row>
    <row r="32482" spans="20:20" ht="18.75" customHeight="1" x14ac:dyDescent="0.35">
      <c r="T32482" s="246">
        <f t="shared" si="545"/>
        <v>0</v>
      </c>
    </row>
    <row r="32483" spans="20:20" ht="18.75" customHeight="1" x14ac:dyDescent="0.35">
      <c r="T32483" s="246">
        <f t="shared" si="545"/>
        <v>0</v>
      </c>
    </row>
    <row r="32484" spans="20:20" ht="18.75" customHeight="1" x14ac:dyDescent="0.35">
      <c r="T32484" s="246">
        <f t="shared" si="545"/>
        <v>0</v>
      </c>
    </row>
    <row r="32485" spans="20:20" ht="18.75" customHeight="1" x14ac:dyDescent="0.35">
      <c r="T32485" s="246">
        <f t="shared" si="545"/>
        <v>0</v>
      </c>
    </row>
    <row r="32486" spans="20:20" ht="18.75" customHeight="1" x14ac:dyDescent="0.35">
      <c r="T32486" s="246">
        <f t="shared" si="545"/>
        <v>0</v>
      </c>
    </row>
    <row r="32487" spans="20:20" ht="18.75" customHeight="1" x14ac:dyDescent="0.35">
      <c r="T32487" s="246">
        <f t="shared" si="545"/>
        <v>0</v>
      </c>
    </row>
    <row r="32488" spans="20:20" ht="18.75" customHeight="1" x14ac:dyDescent="0.35">
      <c r="T32488" s="246">
        <f t="shared" si="545"/>
        <v>0</v>
      </c>
    </row>
    <row r="32489" spans="20:20" ht="18.75" customHeight="1" x14ac:dyDescent="0.35">
      <c r="T32489" s="246">
        <f t="shared" si="545"/>
        <v>0</v>
      </c>
    </row>
    <row r="32490" spans="20:20" ht="18.75" customHeight="1" x14ac:dyDescent="0.35">
      <c r="T32490" s="246">
        <f t="shared" si="545"/>
        <v>0</v>
      </c>
    </row>
    <row r="32491" spans="20:20" ht="18.75" customHeight="1" x14ac:dyDescent="0.35">
      <c r="T32491" s="246">
        <f t="shared" si="545"/>
        <v>0</v>
      </c>
    </row>
    <row r="32492" spans="20:20" ht="18.75" customHeight="1" x14ac:dyDescent="0.35">
      <c r="T32492" s="246">
        <f t="shared" si="545"/>
        <v>0</v>
      </c>
    </row>
    <row r="32493" spans="20:20" ht="18.75" customHeight="1" x14ac:dyDescent="0.35">
      <c r="T32493" s="246">
        <f t="shared" si="545"/>
        <v>0</v>
      </c>
    </row>
    <row r="32494" spans="20:20" ht="18.75" customHeight="1" x14ac:dyDescent="0.35">
      <c r="T32494" s="246">
        <f t="shared" si="545"/>
        <v>0</v>
      </c>
    </row>
    <row r="32495" spans="20:20" ht="18.75" customHeight="1" x14ac:dyDescent="0.35">
      <c r="T32495" s="246">
        <f t="shared" si="545"/>
        <v>0</v>
      </c>
    </row>
    <row r="32496" spans="20:20" ht="18.75" customHeight="1" x14ac:dyDescent="0.35">
      <c r="T32496" s="246">
        <f t="shared" si="545"/>
        <v>0</v>
      </c>
    </row>
    <row r="32497" spans="20:20" ht="18.75" customHeight="1" x14ac:dyDescent="0.35">
      <c r="T32497" s="246">
        <f t="shared" si="545"/>
        <v>0</v>
      </c>
    </row>
    <row r="32498" spans="20:20" ht="18.75" customHeight="1" x14ac:dyDescent="0.35">
      <c r="T32498" s="246">
        <f t="shared" si="545"/>
        <v>0</v>
      </c>
    </row>
    <row r="32499" spans="20:20" ht="18.75" customHeight="1" x14ac:dyDescent="0.35">
      <c r="T32499" s="246">
        <f t="shared" si="545"/>
        <v>0</v>
      </c>
    </row>
    <row r="32500" spans="20:20" ht="18.75" customHeight="1" x14ac:dyDescent="0.35">
      <c r="T32500" s="246">
        <f t="shared" si="545"/>
        <v>0</v>
      </c>
    </row>
    <row r="32501" spans="20:20" ht="18.75" customHeight="1" x14ac:dyDescent="0.35">
      <c r="T32501" s="246">
        <f t="shared" si="545"/>
        <v>0</v>
      </c>
    </row>
    <row r="32502" spans="20:20" ht="18.75" customHeight="1" x14ac:dyDescent="0.35">
      <c r="T32502" s="246">
        <f t="shared" si="545"/>
        <v>0</v>
      </c>
    </row>
    <row r="32503" spans="20:20" ht="18.75" customHeight="1" x14ac:dyDescent="0.35">
      <c r="T32503" s="246">
        <f t="shared" si="545"/>
        <v>0</v>
      </c>
    </row>
    <row r="32504" spans="20:20" ht="18.75" customHeight="1" x14ac:dyDescent="0.35">
      <c r="T32504" s="246">
        <f t="shared" si="545"/>
        <v>0</v>
      </c>
    </row>
    <row r="32505" spans="20:20" ht="18.75" customHeight="1" x14ac:dyDescent="0.35">
      <c r="T32505" s="246">
        <f t="shared" si="545"/>
        <v>0</v>
      </c>
    </row>
    <row r="32506" spans="20:20" ht="18.75" customHeight="1" x14ac:dyDescent="0.35">
      <c r="T32506" s="246">
        <f t="shared" si="545"/>
        <v>0</v>
      </c>
    </row>
    <row r="32507" spans="20:20" ht="18.75" customHeight="1" x14ac:dyDescent="0.35">
      <c r="T32507" s="246">
        <f t="shared" si="545"/>
        <v>0</v>
      </c>
    </row>
    <row r="32508" spans="20:20" ht="18.75" customHeight="1" x14ac:dyDescent="0.35">
      <c r="T32508" s="246">
        <f t="shared" ref="T32508:T32571" si="546">R32508*0.01</f>
        <v>0</v>
      </c>
    </row>
    <row r="32509" spans="20:20" ht="18.75" customHeight="1" x14ac:dyDescent="0.35">
      <c r="T32509" s="246">
        <f t="shared" si="546"/>
        <v>0</v>
      </c>
    </row>
    <row r="32510" spans="20:20" ht="18.75" customHeight="1" x14ac:dyDescent="0.35">
      <c r="T32510" s="246">
        <f t="shared" si="546"/>
        <v>0</v>
      </c>
    </row>
    <row r="32511" spans="20:20" ht="18.75" customHeight="1" x14ac:dyDescent="0.35">
      <c r="T32511" s="246">
        <f t="shared" si="546"/>
        <v>0</v>
      </c>
    </row>
    <row r="32512" spans="20:20" ht="18.75" customHeight="1" x14ac:dyDescent="0.35">
      <c r="T32512" s="246">
        <f t="shared" si="546"/>
        <v>0</v>
      </c>
    </row>
    <row r="32513" spans="20:20" ht="18.75" customHeight="1" x14ac:dyDescent="0.35">
      <c r="T32513" s="246">
        <f t="shared" si="546"/>
        <v>0</v>
      </c>
    </row>
    <row r="32514" spans="20:20" ht="18.75" customHeight="1" x14ac:dyDescent="0.35">
      <c r="T32514" s="246">
        <f t="shared" si="546"/>
        <v>0</v>
      </c>
    </row>
    <row r="32515" spans="20:20" ht="18.75" customHeight="1" x14ac:dyDescent="0.35">
      <c r="T32515" s="246">
        <f t="shared" si="546"/>
        <v>0</v>
      </c>
    </row>
    <row r="32516" spans="20:20" ht="18.75" customHeight="1" x14ac:dyDescent="0.35">
      <c r="T32516" s="246">
        <f t="shared" si="546"/>
        <v>0</v>
      </c>
    </row>
    <row r="32517" spans="20:20" ht="18.75" customHeight="1" x14ac:dyDescent="0.35">
      <c r="T32517" s="246">
        <f t="shared" si="546"/>
        <v>0</v>
      </c>
    </row>
    <row r="32518" spans="20:20" ht="18.75" customHeight="1" x14ac:dyDescent="0.35">
      <c r="T32518" s="246">
        <f t="shared" si="546"/>
        <v>0</v>
      </c>
    </row>
    <row r="32519" spans="20:20" ht="18.75" customHeight="1" x14ac:dyDescent="0.35">
      <c r="T32519" s="246">
        <f t="shared" si="546"/>
        <v>0</v>
      </c>
    </row>
    <row r="32520" spans="20:20" ht="18.75" customHeight="1" x14ac:dyDescent="0.35">
      <c r="T32520" s="246">
        <f t="shared" si="546"/>
        <v>0</v>
      </c>
    </row>
    <row r="32521" spans="20:20" ht="18.75" customHeight="1" x14ac:dyDescent="0.35">
      <c r="T32521" s="246">
        <f t="shared" si="546"/>
        <v>0</v>
      </c>
    </row>
    <row r="32522" spans="20:20" ht="18.75" customHeight="1" x14ac:dyDescent="0.35">
      <c r="T32522" s="246">
        <f t="shared" si="546"/>
        <v>0</v>
      </c>
    </row>
    <row r="32523" spans="20:20" ht="18.75" customHeight="1" x14ac:dyDescent="0.35">
      <c r="T32523" s="246">
        <f t="shared" si="546"/>
        <v>0</v>
      </c>
    </row>
    <row r="32524" spans="20:20" ht="18.75" customHeight="1" x14ac:dyDescent="0.35">
      <c r="T32524" s="246">
        <f t="shared" si="546"/>
        <v>0</v>
      </c>
    </row>
    <row r="32525" spans="20:20" ht="18.75" customHeight="1" x14ac:dyDescent="0.35">
      <c r="T32525" s="246">
        <f t="shared" si="546"/>
        <v>0</v>
      </c>
    </row>
    <row r="32526" spans="20:20" ht="18.75" customHeight="1" x14ac:dyDescent="0.35">
      <c r="T32526" s="246">
        <f t="shared" si="546"/>
        <v>0</v>
      </c>
    </row>
    <row r="32527" spans="20:20" ht="18.75" customHeight="1" x14ac:dyDescent="0.35">
      <c r="T32527" s="246">
        <f t="shared" si="546"/>
        <v>0</v>
      </c>
    </row>
    <row r="32528" spans="20:20" ht="18.75" customHeight="1" x14ac:dyDescent="0.35">
      <c r="T32528" s="246">
        <f t="shared" si="546"/>
        <v>0</v>
      </c>
    </row>
    <row r="32529" spans="20:20" ht="18.75" customHeight="1" x14ac:dyDescent="0.35">
      <c r="T32529" s="246">
        <f t="shared" si="546"/>
        <v>0</v>
      </c>
    </row>
    <row r="32530" spans="20:20" ht="18.75" customHeight="1" x14ac:dyDescent="0.35">
      <c r="T32530" s="246">
        <f t="shared" si="546"/>
        <v>0</v>
      </c>
    </row>
    <row r="32531" spans="20:20" ht="18.75" customHeight="1" x14ac:dyDescent="0.35">
      <c r="T32531" s="246">
        <f t="shared" si="546"/>
        <v>0</v>
      </c>
    </row>
    <row r="32532" spans="20:20" ht="18.75" customHeight="1" x14ac:dyDescent="0.35">
      <c r="T32532" s="246">
        <f t="shared" si="546"/>
        <v>0</v>
      </c>
    </row>
    <row r="32533" spans="20:20" ht="18.75" customHeight="1" x14ac:dyDescent="0.35">
      <c r="T32533" s="246">
        <f t="shared" si="546"/>
        <v>0</v>
      </c>
    </row>
    <row r="32534" spans="20:20" ht="18.75" customHeight="1" x14ac:dyDescent="0.35">
      <c r="T32534" s="246">
        <f t="shared" si="546"/>
        <v>0</v>
      </c>
    </row>
    <row r="32535" spans="20:20" ht="18.75" customHeight="1" x14ac:dyDescent="0.35">
      <c r="T32535" s="246">
        <f t="shared" si="546"/>
        <v>0</v>
      </c>
    </row>
    <row r="32536" spans="20:20" ht="18.75" customHeight="1" x14ac:dyDescent="0.35">
      <c r="T32536" s="246">
        <f t="shared" si="546"/>
        <v>0</v>
      </c>
    </row>
    <row r="32537" spans="20:20" ht="18.75" customHeight="1" x14ac:dyDescent="0.35">
      <c r="T32537" s="246">
        <f t="shared" si="546"/>
        <v>0</v>
      </c>
    </row>
    <row r="32538" spans="20:20" ht="18.75" customHeight="1" x14ac:dyDescent="0.35">
      <c r="T32538" s="246">
        <f t="shared" si="546"/>
        <v>0</v>
      </c>
    </row>
    <row r="32539" spans="20:20" ht="18.75" customHeight="1" x14ac:dyDescent="0.35">
      <c r="T32539" s="246">
        <f t="shared" si="546"/>
        <v>0</v>
      </c>
    </row>
    <row r="32540" spans="20:20" ht="18.75" customHeight="1" x14ac:dyDescent="0.35">
      <c r="T32540" s="246">
        <f t="shared" si="546"/>
        <v>0</v>
      </c>
    </row>
    <row r="32541" spans="20:20" ht="18.75" customHeight="1" x14ac:dyDescent="0.35">
      <c r="T32541" s="246">
        <f t="shared" si="546"/>
        <v>0</v>
      </c>
    </row>
    <row r="32542" spans="20:20" ht="18.75" customHeight="1" x14ac:dyDescent="0.35">
      <c r="T32542" s="246">
        <f t="shared" si="546"/>
        <v>0</v>
      </c>
    </row>
    <row r="32543" spans="20:20" ht="18.75" customHeight="1" x14ac:dyDescent="0.35">
      <c r="T32543" s="246">
        <f t="shared" si="546"/>
        <v>0</v>
      </c>
    </row>
    <row r="32544" spans="20:20" ht="18.75" customHeight="1" x14ac:dyDescent="0.35">
      <c r="T32544" s="246">
        <f t="shared" si="546"/>
        <v>0</v>
      </c>
    </row>
    <row r="32545" spans="20:20" ht="18.75" customHeight="1" x14ac:dyDescent="0.35">
      <c r="T32545" s="246">
        <f t="shared" si="546"/>
        <v>0</v>
      </c>
    </row>
    <row r="32546" spans="20:20" ht="18.75" customHeight="1" x14ac:dyDescent="0.35">
      <c r="T32546" s="246">
        <f t="shared" si="546"/>
        <v>0</v>
      </c>
    </row>
    <row r="32547" spans="20:20" ht="18.75" customHeight="1" x14ac:dyDescent="0.35">
      <c r="T32547" s="246">
        <f t="shared" si="546"/>
        <v>0</v>
      </c>
    </row>
    <row r="32548" spans="20:20" ht="18.75" customHeight="1" x14ac:dyDescent="0.35">
      <c r="T32548" s="246">
        <f t="shared" si="546"/>
        <v>0</v>
      </c>
    </row>
    <row r="32549" spans="20:20" ht="18.75" customHeight="1" x14ac:dyDescent="0.35">
      <c r="T32549" s="246">
        <f t="shared" si="546"/>
        <v>0</v>
      </c>
    </row>
    <row r="32550" spans="20:20" ht="18.75" customHeight="1" x14ac:dyDescent="0.35">
      <c r="T32550" s="246">
        <f t="shared" si="546"/>
        <v>0</v>
      </c>
    </row>
    <row r="32551" spans="20:20" ht="18.75" customHeight="1" x14ac:dyDescent="0.35">
      <c r="T32551" s="246">
        <f t="shared" si="546"/>
        <v>0</v>
      </c>
    </row>
    <row r="32552" spans="20:20" ht="18.75" customHeight="1" x14ac:dyDescent="0.35">
      <c r="T32552" s="246">
        <f t="shared" si="546"/>
        <v>0</v>
      </c>
    </row>
    <row r="32553" spans="20:20" ht="18.75" customHeight="1" x14ac:dyDescent="0.35">
      <c r="T32553" s="246">
        <f t="shared" si="546"/>
        <v>0</v>
      </c>
    </row>
    <row r="32554" spans="20:20" ht="18.75" customHeight="1" x14ac:dyDescent="0.35">
      <c r="T32554" s="246">
        <f t="shared" si="546"/>
        <v>0</v>
      </c>
    </row>
    <row r="32555" spans="20:20" ht="18.75" customHeight="1" x14ac:dyDescent="0.35">
      <c r="T32555" s="246">
        <f t="shared" si="546"/>
        <v>0</v>
      </c>
    </row>
    <row r="32556" spans="20:20" ht="18.75" customHeight="1" x14ac:dyDescent="0.35">
      <c r="T32556" s="246">
        <f t="shared" si="546"/>
        <v>0</v>
      </c>
    </row>
    <row r="32557" spans="20:20" ht="18.75" customHeight="1" x14ac:dyDescent="0.35">
      <c r="T32557" s="246">
        <f t="shared" si="546"/>
        <v>0</v>
      </c>
    </row>
    <row r="32558" spans="20:20" ht="18.75" customHeight="1" x14ac:dyDescent="0.35">
      <c r="T32558" s="246">
        <f t="shared" si="546"/>
        <v>0</v>
      </c>
    </row>
    <row r="32559" spans="20:20" ht="18.75" customHeight="1" x14ac:dyDescent="0.35">
      <c r="T32559" s="246">
        <f t="shared" si="546"/>
        <v>0</v>
      </c>
    </row>
    <row r="32560" spans="20:20" ht="18.75" customHeight="1" x14ac:dyDescent="0.35">
      <c r="T32560" s="246">
        <f t="shared" si="546"/>
        <v>0</v>
      </c>
    </row>
    <row r="32561" spans="20:20" ht="18.75" customHeight="1" x14ac:dyDescent="0.35">
      <c r="T32561" s="246">
        <f t="shared" si="546"/>
        <v>0</v>
      </c>
    </row>
    <row r="32562" spans="20:20" ht="18.75" customHeight="1" x14ac:dyDescent="0.35">
      <c r="T32562" s="246">
        <f t="shared" si="546"/>
        <v>0</v>
      </c>
    </row>
    <row r="32563" spans="20:20" ht="18.75" customHeight="1" x14ac:dyDescent="0.35">
      <c r="T32563" s="246">
        <f t="shared" si="546"/>
        <v>0</v>
      </c>
    </row>
    <row r="32564" spans="20:20" ht="18.75" customHeight="1" x14ac:dyDescent="0.35">
      <c r="T32564" s="246">
        <f t="shared" si="546"/>
        <v>0</v>
      </c>
    </row>
    <row r="32565" spans="20:20" ht="18.75" customHeight="1" x14ac:dyDescent="0.35">
      <c r="T32565" s="246">
        <f t="shared" si="546"/>
        <v>0</v>
      </c>
    </row>
    <row r="32566" spans="20:20" ht="18.75" customHeight="1" x14ac:dyDescent="0.35">
      <c r="T32566" s="246">
        <f t="shared" si="546"/>
        <v>0</v>
      </c>
    </row>
    <row r="32567" spans="20:20" ht="18.75" customHeight="1" x14ac:dyDescent="0.35">
      <c r="T32567" s="246">
        <f t="shared" si="546"/>
        <v>0</v>
      </c>
    </row>
    <row r="32568" spans="20:20" ht="18.75" customHeight="1" x14ac:dyDescent="0.35">
      <c r="T32568" s="246">
        <f t="shared" si="546"/>
        <v>0</v>
      </c>
    </row>
    <row r="32569" spans="20:20" ht="18.75" customHeight="1" x14ac:dyDescent="0.35">
      <c r="T32569" s="246">
        <f t="shared" si="546"/>
        <v>0</v>
      </c>
    </row>
    <row r="32570" spans="20:20" ht="18.75" customHeight="1" x14ac:dyDescent="0.35">
      <c r="T32570" s="246">
        <f t="shared" si="546"/>
        <v>0</v>
      </c>
    </row>
    <row r="32571" spans="20:20" ht="18.75" customHeight="1" x14ac:dyDescent="0.35">
      <c r="T32571" s="246">
        <f t="shared" si="546"/>
        <v>0</v>
      </c>
    </row>
    <row r="32572" spans="20:20" ht="18.75" customHeight="1" x14ac:dyDescent="0.35">
      <c r="T32572" s="246">
        <f t="shared" ref="T32572:T32635" si="547">R32572*0.01</f>
        <v>0</v>
      </c>
    </row>
    <row r="32573" spans="20:20" ht="18.75" customHeight="1" x14ac:dyDescent="0.35">
      <c r="T32573" s="246">
        <f t="shared" si="547"/>
        <v>0</v>
      </c>
    </row>
    <row r="32574" spans="20:20" ht="18.75" customHeight="1" x14ac:dyDescent="0.35">
      <c r="T32574" s="246">
        <f t="shared" si="547"/>
        <v>0</v>
      </c>
    </row>
    <row r="32575" spans="20:20" ht="18.75" customHeight="1" x14ac:dyDescent="0.35">
      <c r="T32575" s="246">
        <f t="shared" si="547"/>
        <v>0</v>
      </c>
    </row>
    <row r="32576" spans="20:20" ht="18.75" customHeight="1" x14ac:dyDescent="0.35">
      <c r="T32576" s="246">
        <f t="shared" si="547"/>
        <v>0</v>
      </c>
    </row>
    <row r="32577" spans="20:20" ht="18.75" customHeight="1" x14ac:dyDescent="0.35">
      <c r="T32577" s="246">
        <f t="shared" si="547"/>
        <v>0</v>
      </c>
    </row>
    <row r="32578" spans="20:20" ht="18.75" customHeight="1" x14ac:dyDescent="0.35">
      <c r="T32578" s="246">
        <f t="shared" si="547"/>
        <v>0</v>
      </c>
    </row>
    <row r="32579" spans="20:20" ht="18.75" customHeight="1" x14ac:dyDescent="0.35">
      <c r="T32579" s="246">
        <f t="shared" si="547"/>
        <v>0</v>
      </c>
    </row>
    <row r="32580" spans="20:20" ht="18.75" customHeight="1" x14ac:dyDescent="0.35">
      <c r="T32580" s="246">
        <f t="shared" si="547"/>
        <v>0</v>
      </c>
    </row>
    <row r="32581" spans="20:20" ht="18.75" customHeight="1" x14ac:dyDescent="0.35">
      <c r="T32581" s="246">
        <f t="shared" si="547"/>
        <v>0</v>
      </c>
    </row>
    <row r="32582" spans="20:20" ht="18.75" customHeight="1" x14ac:dyDescent="0.35">
      <c r="T32582" s="246">
        <f t="shared" si="547"/>
        <v>0</v>
      </c>
    </row>
    <row r="32583" spans="20:20" ht="18.75" customHeight="1" x14ac:dyDescent="0.35">
      <c r="T32583" s="246">
        <f t="shared" si="547"/>
        <v>0</v>
      </c>
    </row>
    <row r="32584" spans="20:20" ht="18.75" customHeight="1" x14ac:dyDescent="0.35">
      <c r="T32584" s="246">
        <f t="shared" si="547"/>
        <v>0</v>
      </c>
    </row>
    <row r="32585" spans="20:20" ht="18.75" customHeight="1" x14ac:dyDescent="0.35">
      <c r="T32585" s="246">
        <f t="shared" si="547"/>
        <v>0</v>
      </c>
    </row>
    <row r="32586" spans="20:20" ht="18.75" customHeight="1" x14ac:dyDescent="0.35">
      <c r="T32586" s="246">
        <f t="shared" si="547"/>
        <v>0</v>
      </c>
    </row>
    <row r="32587" spans="20:20" ht="18.75" customHeight="1" x14ac:dyDescent="0.35">
      <c r="T32587" s="246">
        <f t="shared" si="547"/>
        <v>0</v>
      </c>
    </row>
    <row r="32588" spans="20:20" ht="18.75" customHeight="1" x14ac:dyDescent="0.35">
      <c r="T32588" s="246">
        <f t="shared" si="547"/>
        <v>0</v>
      </c>
    </row>
    <row r="32589" spans="20:20" ht="18.75" customHeight="1" x14ac:dyDescent="0.35">
      <c r="T32589" s="246">
        <f t="shared" si="547"/>
        <v>0</v>
      </c>
    </row>
    <row r="32590" spans="20:20" ht="18.75" customHeight="1" x14ac:dyDescent="0.35">
      <c r="T32590" s="246">
        <f t="shared" si="547"/>
        <v>0</v>
      </c>
    </row>
    <row r="32591" spans="20:20" ht="18.75" customHeight="1" x14ac:dyDescent="0.35">
      <c r="T32591" s="246">
        <f t="shared" si="547"/>
        <v>0</v>
      </c>
    </row>
    <row r="32592" spans="20:20" ht="18.75" customHeight="1" x14ac:dyDescent="0.35">
      <c r="T32592" s="246">
        <f t="shared" si="547"/>
        <v>0</v>
      </c>
    </row>
    <row r="32593" spans="20:20" ht="18.75" customHeight="1" x14ac:dyDescent="0.35">
      <c r="T32593" s="246">
        <f t="shared" si="547"/>
        <v>0</v>
      </c>
    </row>
    <row r="32594" spans="20:20" ht="18.75" customHeight="1" x14ac:dyDescent="0.35">
      <c r="T32594" s="246">
        <f t="shared" si="547"/>
        <v>0</v>
      </c>
    </row>
    <row r="32595" spans="20:20" ht="18.75" customHeight="1" x14ac:dyDescent="0.35">
      <c r="T32595" s="246">
        <f t="shared" si="547"/>
        <v>0</v>
      </c>
    </row>
    <row r="32596" spans="20:20" ht="18.75" customHeight="1" x14ac:dyDescent="0.35">
      <c r="T32596" s="246">
        <f t="shared" si="547"/>
        <v>0</v>
      </c>
    </row>
    <row r="32597" spans="20:20" ht="18.75" customHeight="1" x14ac:dyDescent="0.35">
      <c r="T32597" s="246">
        <f t="shared" si="547"/>
        <v>0</v>
      </c>
    </row>
    <row r="32598" spans="20:20" ht="18.75" customHeight="1" x14ac:dyDescent="0.35">
      <c r="T32598" s="246">
        <f t="shared" si="547"/>
        <v>0</v>
      </c>
    </row>
    <row r="32599" spans="20:20" ht="18.75" customHeight="1" x14ac:dyDescent="0.35">
      <c r="T32599" s="246">
        <f t="shared" si="547"/>
        <v>0</v>
      </c>
    </row>
    <row r="32600" spans="20:20" ht="18.75" customHeight="1" x14ac:dyDescent="0.35">
      <c r="T32600" s="246">
        <f t="shared" si="547"/>
        <v>0</v>
      </c>
    </row>
    <row r="32601" spans="20:20" ht="18.75" customHeight="1" x14ac:dyDescent="0.35">
      <c r="T32601" s="246">
        <f t="shared" si="547"/>
        <v>0</v>
      </c>
    </row>
    <row r="32602" spans="20:20" ht="18.75" customHeight="1" x14ac:dyDescent="0.35">
      <c r="T32602" s="246">
        <f t="shared" si="547"/>
        <v>0</v>
      </c>
    </row>
    <row r="32603" spans="20:20" ht="18.75" customHeight="1" x14ac:dyDescent="0.35">
      <c r="T32603" s="246">
        <f t="shared" si="547"/>
        <v>0</v>
      </c>
    </row>
    <row r="32604" spans="20:20" ht="18.75" customHeight="1" x14ac:dyDescent="0.35">
      <c r="T32604" s="246">
        <f t="shared" si="547"/>
        <v>0</v>
      </c>
    </row>
    <row r="32605" spans="20:20" ht="18.75" customHeight="1" x14ac:dyDescent="0.35">
      <c r="T32605" s="246">
        <f t="shared" si="547"/>
        <v>0</v>
      </c>
    </row>
    <row r="32606" spans="20:20" ht="18.75" customHeight="1" x14ac:dyDescent="0.35">
      <c r="T32606" s="246">
        <f t="shared" si="547"/>
        <v>0</v>
      </c>
    </row>
    <row r="32607" spans="20:20" ht="18.75" customHeight="1" x14ac:dyDescent="0.35">
      <c r="T32607" s="246">
        <f t="shared" si="547"/>
        <v>0</v>
      </c>
    </row>
    <row r="32608" spans="20:20" ht="18.75" customHeight="1" x14ac:dyDescent="0.35">
      <c r="T32608" s="246">
        <f t="shared" si="547"/>
        <v>0</v>
      </c>
    </row>
    <row r="32609" spans="20:20" ht="18.75" customHeight="1" x14ac:dyDescent="0.35">
      <c r="T32609" s="246">
        <f t="shared" si="547"/>
        <v>0</v>
      </c>
    </row>
    <row r="32610" spans="20:20" ht="18.75" customHeight="1" x14ac:dyDescent="0.35">
      <c r="T32610" s="246">
        <f t="shared" si="547"/>
        <v>0</v>
      </c>
    </row>
    <row r="32611" spans="20:20" ht="18.75" customHeight="1" x14ac:dyDescent="0.35">
      <c r="T32611" s="246">
        <f t="shared" si="547"/>
        <v>0</v>
      </c>
    </row>
    <row r="32612" spans="20:20" ht="18.75" customHeight="1" x14ac:dyDescent="0.35">
      <c r="T32612" s="246">
        <f t="shared" si="547"/>
        <v>0</v>
      </c>
    </row>
    <row r="32613" spans="20:20" ht="18.75" customHeight="1" x14ac:dyDescent="0.35">
      <c r="T32613" s="246">
        <f t="shared" si="547"/>
        <v>0</v>
      </c>
    </row>
    <row r="32614" spans="20:20" ht="18.75" customHeight="1" x14ac:dyDescent="0.35">
      <c r="T32614" s="246">
        <f t="shared" si="547"/>
        <v>0</v>
      </c>
    </row>
    <row r="32615" spans="20:20" ht="18.75" customHeight="1" x14ac:dyDescent="0.35">
      <c r="T32615" s="246">
        <f t="shared" si="547"/>
        <v>0</v>
      </c>
    </row>
    <row r="32616" spans="20:20" ht="18.75" customHeight="1" x14ac:dyDescent="0.35">
      <c r="T32616" s="246">
        <f t="shared" si="547"/>
        <v>0</v>
      </c>
    </row>
    <row r="32617" spans="20:20" ht="18.75" customHeight="1" x14ac:dyDescent="0.35">
      <c r="T32617" s="246">
        <f t="shared" si="547"/>
        <v>0</v>
      </c>
    </row>
    <row r="32618" spans="20:20" ht="18.75" customHeight="1" x14ac:dyDescent="0.35">
      <c r="T32618" s="246">
        <f t="shared" si="547"/>
        <v>0</v>
      </c>
    </row>
    <row r="32619" spans="20:20" ht="18.75" customHeight="1" x14ac:dyDescent="0.35">
      <c r="T32619" s="246">
        <f t="shared" si="547"/>
        <v>0</v>
      </c>
    </row>
    <row r="32620" spans="20:20" ht="18.75" customHeight="1" x14ac:dyDescent="0.35">
      <c r="T32620" s="246">
        <f t="shared" si="547"/>
        <v>0</v>
      </c>
    </row>
    <row r="32621" spans="20:20" ht="18.75" customHeight="1" x14ac:dyDescent="0.35">
      <c r="T32621" s="246">
        <f t="shared" si="547"/>
        <v>0</v>
      </c>
    </row>
    <row r="32622" spans="20:20" ht="18.75" customHeight="1" x14ac:dyDescent="0.35">
      <c r="T32622" s="246">
        <f t="shared" si="547"/>
        <v>0</v>
      </c>
    </row>
    <row r="32623" spans="20:20" ht="18.75" customHeight="1" x14ac:dyDescent="0.35">
      <c r="T32623" s="246">
        <f t="shared" si="547"/>
        <v>0</v>
      </c>
    </row>
    <row r="32624" spans="20:20" ht="18.75" customHeight="1" x14ac:dyDescent="0.35">
      <c r="T32624" s="246">
        <f t="shared" si="547"/>
        <v>0</v>
      </c>
    </row>
    <row r="32625" spans="20:20" ht="18.75" customHeight="1" x14ac:dyDescent="0.35">
      <c r="T32625" s="246">
        <f t="shared" si="547"/>
        <v>0</v>
      </c>
    </row>
    <row r="32626" spans="20:20" ht="18.75" customHeight="1" x14ac:dyDescent="0.35">
      <c r="T32626" s="246">
        <f t="shared" si="547"/>
        <v>0</v>
      </c>
    </row>
    <row r="32627" spans="20:20" ht="18.75" customHeight="1" x14ac:dyDescent="0.35">
      <c r="T32627" s="246">
        <f t="shared" si="547"/>
        <v>0</v>
      </c>
    </row>
    <row r="32628" spans="20:20" ht="18.75" customHeight="1" x14ac:dyDescent="0.35">
      <c r="T32628" s="246">
        <f t="shared" si="547"/>
        <v>0</v>
      </c>
    </row>
    <row r="32629" spans="20:20" ht="18.75" customHeight="1" x14ac:dyDescent="0.35">
      <c r="T32629" s="246">
        <f t="shared" si="547"/>
        <v>0</v>
      </c>
    </row>
    <row r="32630" spans="20:20" ht="18.75" customHeight="1" x14ac:dyDescent="0.35">
      <c r="T32630" s="246">
        <f t="shared" si="547"/>
        <v>0</v>
      </c>
    </row>
    <row r="32631" spans="20:20" ht="18.75" customHeight="1" x14ac:dyDescent="0.35">
      <c r="T32631" s="246">
        <f t="shared" si="547"/>
        <v>0</v>
      </c>
    </row>
    <row r="32632" spans="20:20" ht="18.75" customHeight="1" x14ac:dyDescent="0.35">
      <c r="T32632" s="246">
        <f t="shared" si="547"/>
        <v>0</v>
      </c>
    </row>
    <row r="32633" spans="20:20" ht="18.75" customHeight="1" x14ac:dyDescent="0.35">
      <c r="T32633" s="246">
        <f t="shared" si="547"/>
        <v>0</v>
      </c>
    </row>
    <row r="32634" spans="20:20" ht="18.75" customHeight="1" x14ac:dyDescent="0.35">
      <c r="T32634" s="246">
        <f t="shared" si="547"/>
        <v>0</v>
      </c>
    </row>
    <row r="32635" spans="20:20" ht="18.75" customHeight="1" x14ac:dyDescent="0.35">
      <c r="T32635" s="246">
        <f t="shared" si="547"/>
        <v>0</v>
      </c>
    </row>
    <row r="32636" spans="20:20" ht="18.75" customHeight="1" x14ac:dyDescent="0.35">
      <c r="T32636" s="246">
        <f t="shared" ref="T32636:T32699" si="548">R32636*0.01</f>
        <v>0</v>
      </c>
    </row>
    <row r="32637" spans="20:20" ht="18.75" customHeight="1" x14ac:dyDescent="0.35">
      <c r="T32637" s="246">
        <f t="shared" si="548"/>
        <v>0</v>
      </c>
    </row>
    <row r="32638" spans="20:20" ht="18.75" customHeight="1" x14ac:dyDescent="0.35">
      <c r="T32638" s="246">
        <f t="shared" si="548"/>
        <v>0</v>
      </c>
    </row>
    <row r="32639" spans="20:20" ht="18.75" customHeight="1" x14ac:dyDescent="0.35">
      <c r="T32639" s="246">
        <f t="shared" si="548"/>
        <v>0</v>
      </c>
    </row>
    <row r="32640" spans="20:20" ht="18.75" customHeight="1" x14ac:dyDescent="0.35">
      <c r="T32640" s="246">
        <f t="shared" si="548"/>
        <v>0</v>
      </c>
    </row>
    <row r="32641" spans="20:20" ht="18.75" customHeight="1" x14ac:dyDescent="0.35">
      <c r="T32641" s="246">
        <f t="shared" si="548"/>
        <v>0</v>
      </c>
    </row>
    <row r="32642" spans="20:20" ht="18.75" customHeight="1" x14ac:dyDescent="0.35">
      <c r="T32642" s="246">
        <f t="shared" si="548"/>
        <v>0</v>
      </c>
    </row>
    <row r="32643" spans="20:20" ht="18.75" customHeight="1" x14ac:dyDescent="0.35">
      <c r="T32643" s="246">
        <f t="shared" si="548"/>
        <v>0</v>
      </c>
    </row>
    <row r="32644" spans="20:20" ht="18.75" customHeight="1" x14ac:dyDescent="0.35">
      <c r="T32644" s="246">
        <f t="shared" si="548"/>
        <v>0</v>
      </c>
    </row>
    <row r="32645" spans="20:20" ht="18.75" customHeight="1" x14ac:dyDescent="0.35">
      <c r="T32645" s="246">
        <f t="shared" si="548"/>
        <v>0</v>
      </c>
    </row>
    <row r="32646" spans="20:20" ht="18.75" customHeight="1" x14ac:dyDescent="0.35">
      <c r="T32646" s="246">
        <f t="shared" si="548"/>
        <v>0</v>
      </c>
    </row>
    <row r="32647" spans="20:20" ht="18.75" customHeight="1" x14ac:dyDescent="0.35">
      <c r="T32647" s="246">
        <f t="shared" si="548"/>
        <v>0</v>
      </c>
    </row>
    <row r="32648" spans="20:20" ht="18.75" customHeight="1" x14ac:dyDescent="0.35">
      <c r="T32648" s="246">
        <f t="shared" si="548"/>
        <v>0</v>
      </c>
    </row>
    <row r="32649" spans="20:20" ht="18.75" customHeight="1" x14ac:dyDescent="0.35">
      <c r="T32649" s="246">
        <f t="shared" si="548"/>
        <v>0</v>
      </c>
    </row>
    <row r="32650" spans="20:20" ht="18.75" customHeight="1" x14ac:dyDescent="0.35">
      <c r="T32650" s="246">
        <f t="shared" si="548"/>
        <v>0</v>
      </c>
    </row>
    <row r="32651" spans="20:20" ht="18.75" customHeight="1" x14ac:dyDescent="0.35">
      <c r="T32651" s="246">
        <f t="shared" si="548"/>
        <v>0</v>
      </c>
    </row>
    <row r="32652" spans="20:20" ht="18.75" customHeight="1" x14ac:dyDescent="0.35">
      <c r="T32652" s="246">
        <f t="shared" si="548"/>
        <v>0</v>
      </c>
    </row>
    <row r="32653" spans="20:20" ht="18.75" customHeight="1" x14ac:dyDescent="0.35">
      <c r="T32653" s="246">
        <f t="shared" si="548"/>
        <v>0</v>
      </c>
    </row>
    <row r="32654" spans="20:20" ht="18.75" customHeight="1" x14ac:dyDescent="0.35">
      <c r="T32654" s="246">
        <f t="shared" si="548"/>
        <v>0</v>
      </c>
    </row>
    <row r="32655" spans="20:20" ht="18.75" customHeight="1" x14ac:dyDescent="0.35">
      <c r="T32655" s="246">
        <f t="shared" si="548"/>
        <v>0</v>
      </c>
    </row>
    <row r="32656" spans="20:20" ht="18.75" customHeight="1" x14ac:dyDescent="0.35">
      <c r="T32656" s="246">
        <f t="shared" si="548"/>
        <v>0</v>
      </c>
    </row>
    <row r="32657" spans="20:20" ht="18.75" customHeight="1" x14ac:dyDescent="0.35">
      <c r="T32657" s="246">
        <f t="shared" si="548"/>
        <v>0</v>
      </c>
    </row>
    <row r="32658" spans="20:20" ht="18.75" customHeight="1" x14ac:dyDescent="0.35">
      <c r="T32658" s="246">
        <f t="shared" si="548"/>
        <v>0</v>
      </c>
    </row>
    <row r="32659" spans="20:20" ht="18.75" customHeight="1" x14ac:dyDescent="0.35">
      <c r="T32659" s="246">
        <f t="shared" si="548"/>
        <v>0</v>
      </c>
    </row>
    <row r="32660" spans="20:20" ht="18.75" customHeight="1" x14ac:dyDescent="0.35">
      <c r="T32660" s="246">
        <f t="shared" si="548"/>
        <v>0</v>
      </c>
    </row>
    <row r="32661" spans="20:20" ht="18.75" customHeight="1" x14ac:dyDescent="0.35">
      <c r="T32661" s="246">
        <f t="shared" si="548"/>
        <v>0</v>
      </c>
    </row>
    <row r="32662" spans="20:20" ht="18.75" customHeight="1" x14ac:dyDescent="0.35">
      <c r="T32662" s="246">
        <f t="shared" si="548"/>
        <v>0</v>
      </c>
    </row>
    <row r="32663" spans="20:20" ht="18.75" customHeight="1" x14ac:dyDescent="0.35">
      <c r="T32663" s="246">
        <f t="shared" si="548"/>
        <v>0</v>
      </c>
    </row>
    <row r="32664" spans="20:20" ht="18.75" customHeight="1" x14ac:dyDescent="0.35">
      <c r="T32664" s="246">
        <f t="shared" si="548"/>
        <v>0</v>
      </c>
    </row>
    <row r="32665" spans="20:20" ht="18.75" customHeight="1" x14ac:dyDescent="0.35">
      <c r="T32665" s="246">
        <f t="shared" si="548"/>
        <v>0</v>
      </c>
    </row>
    <row r="32666" spans="20:20" ht="18.75" customHeight="1" x14ac:dyDescent="0.35">
      <c r="T32666" s="246">
        <f t="shared" si="548"/>
        <v>0</v>
      </c>
    </row>
    <row r="32667" spans="20:20" ht="18.75" customHeight="1" x14ac:dyDescent="0.35">
      <c r="T32667" s="246">
        <f t="shared" si="548"/>
        <v>0</v>
      </c>
    </row>
    <row r="32668" spans="20:20" ht="18.75" customHeight="1" x14ac:dyDescent="0.35">
      <c r="T32668" s="246">
        <f t="shared" si="548"/>
        <v>0</v>
      </c>
    </row>
    <row r="32669" spans="20:20" ht="18.75" customHeight="1" x14ac:dyDescent="0.35">
      <c r="T32669" s="246">
        <f t="shared" si="548"/>
        <v>0</v>
      </c>
    </row>
    <row r="32670" spans="20:20" ht="18.75" customHeight="1" x14ac:dyDescent="0.35">
      <c r="T32670" s="246">
        <f t="shared" si="548"/>
        <v>0</v>
      </c>
    </row>
    <row r="32671" spans="20:20" ht="18.75" customHeight="1" x14ac:dyDescent="0.35">
      <c r="T32671" s="246">
        <f t="shared" si="548"/>
        <v>0</v>
      </c>
    </row>
    <row r="32672" spans="20:20" ht="18.75" customHeight="1" x14ac:dyDescent="0.35">
      <c r="T32672" s="246">
        <f t="shared" si="548"/>
        <v>0</v>
      </c>
    </row>
    <row r="32673" spans="20:20" ht="18.75" customHeight="1" x14ac:dyDescent="0.35">
      <c r="T32673" s="246">
        <f t="shared" si="548"/>
        <v>0</v>
      </c>
    </row>
    <row r="32674" spans="20:20" ht="18.75" customHeight="1" x14ac:dyDescent="0.35">
      <c r="T32674" s="246">
        <f t="shared" si="548"/>
        <v>0</v>
      </c>
    </row>
    <row r="32675" spans="20:20" ht="18.75" customHeight="1" x14ac:dyDescent="0.35">
      <c r="T32675" s="246">
        <f t="shared" si="548"/>
        <v>0</v>
      </c>
    </row>
    <row r="32676" spans="20:20" ht="18.75" customHeight="1" x14ac:dyDescent="0.35">
      <c r="T32676" s="246">
        <f t="shared" si="548"/>
        <v>0</v>
      </c>
    </row>
    <row r="32677" spans="20:20" ht="18.75" customHeight="1" x14ac:dyDescent="0.35">
      <c r="T32677" s="246">
        <f t="shared" si="548"/>
        <v>0</v>
      </c>
    </row>
    <row r="32678" spans="20:20" ht="18.75" customHeight="1" x14ac:dyDescent="0.35">
      <c r="T32678" s="246">
        <f t="shared" si="548"/>
        <v>0</v>
      </c>
    </row>
    <row r="32679" spans="20:20" ht="18.75" customHeight="1" x14ac:dyDescent="0.35">
      <c r="T32679" s="246">
        <f t="shared" si="548"/>
        <v>0</v>
      </c>
    </row>
    <row r="32680" spans="20:20" ht="18.75" customHeight="1" x14ac:dyDescent="0.35">
      <c r="T32680" s="246">
        <f t="shared" si="548"/>
        <v>0</v>
      </c>
    </row>
    <row r="32681" spans="20:20" ht="18.75" customHeight="1" x14ac:dyDescent="0.35">
      <c r="T32681" s="246">
        <f t="shared" si="548"/>
        <v>0</v>
      </c>
    </row>
    <row r="32682" spans="20:20" ht="18.75" customHeight="1" x14ac:dyDescent="0.35">
      <c r="T32682" s="246">
        <f t="shared" si="548"/>
        <v>0</v>
      </c>
    </row>
    <row r="32683" spans="20:20" ht="18.75" customHeight="1" x14ac:dyDescent="0.35">
      <c r="T32683" s="246">
        <f t="shared" si="548"/>
        <v>0</v>
      </c>
    </row>
    <row r="32684" spans="20:20" ht="18.75" customHeight="1" x14ac:dyDescent="0.35">
      <c r="T32684" s="246">
        <f t="shared" si="548"/>
        <v>0</v>
      </c>
    </row>
    <row r="32685" spans="20:20" ht="18.75" customHeight="1" x14ac:dyDescent="0.35">
      <c r="T32685" s="246">
        <f t="shared" si="548"/>
        <v>0</v>
      </c>
    </row>
    <row r="32686" spans="20:20" ht="18.75" customHeight="1" x14ac:dyDescent="0.35">
      <c r="T32686" s="246">
        <f t="shared" si="548"/>
        <v>0</v>
      </c>
    </row>
    <row r="32687" spans="20:20" ht="18.75" customHeight="1" x14ac:dyDescent="0.35">
      <c r="T32687" s="246">
        <f t="shared" si="548"/>
        <v>0</v>
      </c>
    </row>
    <row r="32688" spans="20:20" ht="18.75" customHeight="1" x14ac:dyDescent="0.35">
      <c r="T32688" s="246">
        <f t="shared" si="548"/>
        <v>0</v>
      </c>
    </row>
    <row r="32689" spans="20:20" ht="18.75" customHeight="1" x14ac:dyDescent="0.35">
      <c r="T32689" s="246">
        <f t="shared" si="548"/>
        <v>0</v>
      </c>
    </row>
    <row r="32690" spans="20:20" ht="18.75" customHeight="1" x14ac:dyDescent="0.35">
      <c r="T32690" s="246">
        <f t="shared" si="548"/>
        <v>0</v>
      </c>
    </row>
    <row r="32691" spans="20:20" ht="18.75" customHeight="1" x14ac:dyDescent="0.35">
      <c r="T32691" s="246">
        <f t="shared" si="548"/>
        <v>0</v>
      </c>
    </row>
    <row r="32692" spans="20:20" ht="18.75" customHeight="1" x14ac:dyDescent="0.35">
      <c r="T32692" s="246">
        <f t="shared" si="548"/>
        <v>0</v>
      </c>
    </row>
    <row r="32693" spans="20:20" ht="18.75" customHeight="1" x14ac:dyDescent="0.35">
      <c r="T32693" s="246">
        <f t="shared" si="548"/>
        <v>0</v>
      </c>
    </row>
    <row r="32694" spans="20:20" ht="18.75" customHeight="1" x14ac:dyDescent="0.35">
      <c r="T32694" s="246">
        <f t="shared" si="548"/>
        <v>0</v>
      </c>
    </row>
    <row r="32695" spans="20:20" ht="18.75" customHeight="1" x14ac:dyDescent="0.35">
      <c r="T32695" s="246">
        <f t="shared" si="548"/>
        <v>0</v>
      </c>
    </row>
    <row r="32696" spans="20:20" ht="18.75" customHeight="1" x14ac:dyDescent="0.35">
      <c r="T32696" s="246">
        <f t="shared" si="548"/>
        <v>0</v>
      </c>
    </row>
    <row r="32697" spans="20:20" ht="18.75" customHeight="1" x14ac:dyDescent="0.35">
      <c r="T32697" s="246">
        <f t="shared" si="548"/>
        <v>0</v>
      </c>
    </row>
    <row r="32698" spans="20:20" ht="18.75" customHeight="1" x14ac:dyDescent="0.35">
      <c r="T32698" s="246">
        <f t="shared" si="548"/>
        <v>0</v>
      </c>
    </row>
    <row r="32699" spans="20:20" ht="18.75" customHeight="1" x14ac:dyDescent="0.35">
      <c r="T32699" s="246">
        <f t="shared" si="548"/>
        <v>0</v>
      </c>
    </row>
    <row r="32700" spans="20:20" ht="18.75" customHeight="1" x14ac:dyDescent="0.35">
      <c r="T32700" s="246">
        <f t="shared" ref="T32700:T32763" si="549">R32700*0.01</f>
        <v>0</v>
      </c>
    </row>
    <row r="32701" spans="20:20" ht="18.75" customHeight="1" x14ac:dyDescent="0.35">
      <c r="T32701" s="246">
        <f t="shared" si="549"/>
        <v>0</v>
      </c>
    </row>
    <row r="32702" spans="20:20" ht="18.75" customHeight="1" x14ac:dyDescent="0.35">
      <c r="T32702" s="246">
        <f t="shared" si="549"/>
        <v>0</v>
      </c>
    </row>
    <row r="32703" spans="20:20" ht="18.75" customHeight="1" x14ac:dyDescent="0.35">
      <c r="T32703" s="246">
        <f t="shared" si="549"/>
        <v>0</v>
      </c>
    </row>
    <row r="32704" spans="20:20" ht="18.75" customHeight="1" x14ac:dyDescent="0.35">
      <c r="T32704" s="246">
        <f t="shared" si="549"/>
        <v>0</v>
      </c>
    </row>
    <row r="32705" spans="20:20" ht="18.75" customHeight="1" x14ac:dyDescent="0.35">
      <c r="T32705" s="246">
        <f t="shared" si="549"/>
        <v>0</v>
      </c>
    </row>
    <row r="32706" spans="20:20" ht="18.75" customHeight="1" x14ac:dyDescent="0.35">
      <c r="T32706" s="246">
        <f t="shared" si="549"/>
        <v>0</v>
      </c>
    </row>
    <row r="32707" spans="20:20" ht="18.75" customHeight="1" x14ac:dyDescent="0.35">
      <c r="T32707" s="246">
        <f t="shared" si="549"/>
        <v>0</v>
      </c>
    </row>
    <row r="32708" spans="20:20" ht="18.75" customHeight="1" x14ac:dyDescent="0.35">
      <c r="T32708" s="246">
        <f t="shared" si="549"/>
        <v>0</v>
      </c>
    </row>
    <row r="32709" spans="20:20" ht="18.75" customHeight="1" x14ac:dyDescent="0.35">
      <c r="T32709" s="246">
        <f t="shared" si="549"/>
        <v>0</v>
      </c>
    </row>
    <row r="32710" spans="20:20" ht="18.75" customHeight="1" x14ac:dyDescent="0.35">
      <c r="T32710" s="246">
        <f t="shared" si="549"/>
        <v>0</v>
      </c>
    </row>
    <row r="32711" spans="20:20" ht="18.75" customHeight="1" x14ac:dyDescent="0.35">
      <c r="T32711" s="246">
        <f t="shared" si="549"/>
        <v>0</v>
      </c>
    </row>
    <row r="32712" spans="20:20" ht="18.75" customHeight="1" x14ac:dyDescent="0.35">
      <c r="T32712" s="246">
        <f t="shared" si="549"/>
        <v>0</v>
      </c>
    </row>
    <row r="32713" spans="20:20" ht="18.75" customHeight="1" x14ac:dyDescent="0.35">
      <c r="T32713" s="246">
        <f t="shared" si="549"/>
        <v>0</v>
      </c>
    </row>
    <row r="32714" spans="20:20" ht="18.75" customHeight="1" x14ac:dyDescent="0.35">
      <c r="T32714" s="246">
        <f t="shared" si="549"/>
        <v>0</v>
      </c>
    </row>
    <row r="32715" spans="20:20" ht="18.75" customHeight="1" x14ac:dyDescent="0.35">
      <c r="T32715" s="246">
        <f t="shared" si="549"/>
        <v>0</v>
      </c>
    </row>
    <row r="32716" spans="20:20" ht="18.75" customHeight="1" x14ac:dyDescent="0.35">
      <c r="T32716" s="246">
        <f t="shared" si="549"/>
        <v>0</v>
      </c>
    </row>
    <row r="32717" spans="20:20" ht="18.75" customHeight="1" x14ac:dyDescent="0.35">
      <c r="T32717" s="246">
        <f t="shared" si="549"/>
        <v>0</v>
      </c>
    </row>
    <row r="32718" spans="20:20" ht="18.75" customHeight="1" x14ac:dyDescent="0.35">
      <c r="T32718" s="246">
        <f t="shared" si="549"/>
        <v>0</v>
      </c>
    </row>
    <row r="32719" spans="20:20" ht="18.75" customHeight="1" x14ac:dyDescent="0.35">
      <c r="T32719" s="246">
        <f t="shared" si="549"/>
        <v>0</v>
      </c>
    </row>
    <row r="32720" spans="20:20" ht="18.75" customHeight="1" x14ac:dyDescent="0.35">
      <c r="T32720" s="246">
        <f t="shared" si="549"/>
        <v>0</v>
      </c>
    </row>
    <row r="32721" spans="20:20" ht="18.75" customHeight="1" x14ac:dyDescent="0.35">
      <c r="T32721" s="246">
        <f t="shared" si="549"/>
        <v>0</v>
      </c>
    </row>
    <row r="32722" spans="20:20" ht="18.75" customHeight="1" x14ac:dyDescent="0.35">
      <c r="T32722" s="246">
        <f t="shared" si="549"/>
        <v>0</v>
      </c>
    </row>
    <row r="32723" spans="20:20" ht="18.75" customHeight="1" x14ac:dyDescent="0.35">
      <c r="T32723" s="246">
        <f t="shared" si="549"/>
        <v>0</v>
      </c>
    </row>
    <row r="32724" spans="20:20" ht="18.75" customHeight="1" x14ac:dyDescent="0.35">
      <c r="T32724" s="246">
        <f t="shared" si="549"/>
        <v>0</v>
      </c>
    </row>
    <row r="32725" spans="20:20" ht="18.75" customHeight="1" x14ac:dyDescent="0.35">
      <c r="T32725" s="246">
        <f t="shared" si="549"/>
        <v>0</v>
      </c>
    </row>
    <row r="32726" spans="20:20" ht="18.75" customHeight="1" x14ac:dyDescent="0.35">
      <c r="T32726" s="246">
        <f t="shared" si="549"/>
        <v>0</v>
      </c>
    </row>
    <row r="32727" spans="20:20" ht="18.75" customHeight="1" x14ac:dyDescent="0.35">
      <c r="T32727" s="246">
        <f t="shared" si="549"/>
        <v>0</v>
      </c>
    </row>
    <row r="32728" spans="20:20" ht="18.75" customHeight="1" x14ac:dyDescent="0.35">
      <c r="T32728" s="246">
        <f t="shared" si="549"/>
        <v>0</v>
      </c>
    </row>
    <row r="32729" spans="20:20" ht="18.75" customHeight="1" x14ac:dyDescent="0.35">
      <c r="T32729" s="246">
        <f t="shared" si="549"/>
        <v>0</v>
      </c>
    </row>
    <row r="32730" spans="20:20" ht="18.75" customHeight="1" x14ac:dyDescent="0.35">
      <c r="T32730" s="246">
        <f t="shared" si="549"/>
        <v>0</v>
      </c>
    </row>
    <row r="32731" spans="20:20" ht="18.75" customHeight="1" x14ac:dyDescent="0.35">
      <c r="T32731" s="246">
        <f t="shared" si="549"/>
        <v>0</v>
      </c>
    </row>
    <row r="32732" spans="20:20" ht="18.75" customHeight="1" x14ac:dyDescent="0.35">
      <c r="T32732" s="246">
        <f t="shared" si="549"/>
        <v>0</v>
      </c>
    </row>
    <row r="32733" spans="20:20" ht="18.75" customHeight="1" x14ac:dyDescent="0.35">
      <c r="T32733" s="246">
        <f t="shared" si="549"/>
        <v>0</v>
      </c>
    </row>
    <row r="32734" spans="20:20" ht="18.75" customHeight="1" x14ac:dyDescent="0.35">
      <c r="T32734" s="246">
        <f t="shared" si="549"/>
        <v>0</v>
      </c>
    </row>
    <row r="32735" spans="20:20" ht="18.75" customHeight="1" x14ac:dyDescent="0.35">
      <c r="T32735" s="246">
        <f t="shared" si="549"/>
        <v>0</v>
      </c>
    </row>
    <row r="32736" spans="20:20" ht="18.75" customHeight="1" x14ac:dyDescent="0.35">
      <c r="T32736" s="246">
        <f t="shared" si="549"/>
        <v>0</v>
      </c>
    </row>
    <row r="32737" spans="20:20" ht="18.75" customHeight="1" x14ac:dyDescent="0.35">
      <c r="T32737" s="246">
        <f t="shared" si="549"/>
        <v>0</v>
      </c>
    </row>
    <row r="32738" spans="20:20" ht="18.75" customHeight="1" x14ac:dyDescent="0.35">
      <c r="T32738" s="246">
        <f t="shared" si="549"/>
        <v>0</v>
      </c>
    </row>
    <row r="32739" spans="20:20" ht="18.75" customHeight="1" x14ac:dyDescent="0.35">
      <c r="T32739" s="246">
        <f t="shared" si="549"/>
        <v>0</v>
      </c>
    </row>
    <row r="32740" spans="20:20" ht="18.75" customHeight="1" x14ac:dyDescent="0.35">
      <c r="T32740" s="246">
        <f t="shared" si="549"/>
        <v>0</v>
      </c>
    </row>
    <row r="32741" spans="20:20" ht="18.75" customHeight="1" x14ac:dyDescent="0.35">
      <c r="T32741" s="246">
        <f t="shared" si="549"/>
        <v>0</v>
      </c>
    </row>
    <row r="32742" spans="20:20" ht="18.75" customHeight="1" x14ac:dyDescent="0.35">
      <c r="T32742" s="246">
        <f t="shared" si="549"/>
        <v>0</v>
      </c>
    </row>
    <row r="32743" spans="20:20" ht="18.75" customHeight="1" x14ac:dyDescent="0.35">
      <c r="T32743" s="246">
        <f t="shared" si="549"/>
        <v>0</v>
      </c>
    </row>
    <row r="32744" spans="20:20" ht="18.75" customHeight="1" x14ac:dyDescent="0.35">
      <c r="T32744" s="246">
        <f t="shared" si="549"/>
        <v>0</v>
      </c>
    </row>
    <row r="32745" spans="20:20" ht="18.75" customHeight="1" x14ac:dyDescent="0.35">
      <c r="T32745" s="246">
        <f t="shared" si="549"/>
        <v>0</v>
      </c>
    </row>
    <row r="32746" spans="20:20" ht="18.75" customHeight="1" x14ac:dyDescent="0.35">
      <c r="T32746" s="246">
        <f t="shared" si="549"/>
        <v>0</v>
      </c>
    </row>
    <row r="32747" spans="20:20" ht="18.75" customHeight="1" x14ac:dyDescent="0.35">
      <c r="T32747" s="246">
        <f t="shared" si="549"/>
        <v>0</v>
      </c>
    </row>
    <row r="32748" spans="20:20" ht="18.75" customHeight="1" x14ac:dyDescent="0.35">
      <c r="T32748" s="246">
        <f t="shared" si="549"/>
        <v>0</v>
      </c>
    </row>
    <row r="32749" spans="20:20" ht="18.75" customHeight="1" x14ac:dyDescent="0.35">
      <c r="T32749" s="246">
        <f t="shared" si="549"/>
        <v>0</v>
      </c>
    </row>
    <row r="32750" spans="20:20" ht="18.75" customHeight="1" x14ac:dyDescent="0.35">
      <c r="T32750" s="246">
        <f t="shared" si="549"/>
        <v>0</v>
      </c>
    </row>
    <row r="32751" spans="20:20" ht="18.75" customHeight="1" x14ac:dyDescent="0.35">
      <c r="T32751" s="246">
        <f t="shared" si="549"/>
        <v>0</v>
      </c>
    </row>
    <row r="32752" spans="20:20" ht="18.75" customHeight="1" x14ac:dyDescent="0.35">
      <c r="T32752" s="246">
        <f t="shared" si="549"/>
        <v>0</v>
      </c>
    </row>
    <row r="32753" spans="20:20" ht="18.75" customHeight="1" x14ac:dyDescent="0.35">
      <c r="T32753" s="246">
        <f t="shared" si="549"/>
        <v>0</v>
      </c>
    </row>
    <row r="32754" spans="20:20" ht="18.75" customHeight="1" x14ac:dyDescent="0.35">
      <c r="T32754" s="246">
        <f t="shared" si="549"/>
        <v>0</v>
      </c>
    </row>
    <row r="32755" spans="20:20" ht="18.75" customHeight="1" x14ac:dyDescent="0.35">
      <c r="T32755" s="246">
        <f t="shared" si="549"/>
        <v>0</v>
      </c>
    </row>
    <row r="32756" spans="20:20" ht="18.75" customHeight="1" x14ac:dyDescent="0.35">
      <c r="T32756" s="246">
        <f t="shared" si="549"/>
        <v>0</v>
      </c>
    </row>
    <row r="32757" spans="20:20" ht="18.75" customHeight="1" x14ac:dyDescent="0.35">
      <c r="T32757" s="246">
        <f t="shared" si="549"/>
        <v>0</v>
      </c>
    </row>
    <row r="32758" spans="20:20" ht="18.75" customHeight="1" x14ac:dyDescent="0.35">
      <c r="T32758" s="246">
        <f t="shared" si="549"/>
        <v>0</v>
      </c>
    </row>
    <row r="32759" spans="20:20" ht="18.75" customHeight="1" x14ac:dyDescent="0.35">
      <c r="T32759" s="246">
        <f t="shared" si="549"/>
        <v>0</v>
      </c>
    </row>
    <row r="32760" spans="20:20" ht="18.75" customHeight="1" x14ac:dyDescent="0.35">
      <c r="T32760" s="246">
        <f t="shared" si="549"/>
        <v>0</v>
      </c>
    </row>
    <row r="32761" spans="20:20" ht="18.75" customHeight="1" x14ac:dyDescent="0.35">
      <c r="T32761" s="246">
        <f t="shared" si="549"/>
        <v>0</v>
      </c>
    </row>
    <row r="32762" spans="20:20" ht="18.75" customHeight="1" x14ac:dyDescent="0.35">
      <c r="T32762" s="246">
        <f t="shared" si="549"/>
        <v>0</v>
      </c>
    </row>
    <row r="32763" spans="20:20" ht="18.75" customHeight="1" x14ac:dyDescent="0.35">
      <c r="T32763" s="246">
        <f t="shared" si="549"/>
        <v>0</v>
      </c>
    </row>
    <row r="32764" spans="20:20" ht="18.75" customHeight="1" x14ac:dyDescent="0.35">
      <c r="T32764" s="246">
        <f t="shared" ref="T32764:T32827" si="550">R32764*0.01</f>
        <v>0</v>
      </c>
    </row>
    <row r="32765" spans="20:20" ht="18.75" customHeight="1" x14ac:dyDescent="0.35">
      <c r="T32765" s="246">
        <f t="shared" si="550"/>
        <v>0</v>
      </c>
    </row>
    <row r="32766" spans="20:20" ht="18.75" customHeight="1" x14ac:dyDescent="0.35">
      <c r="T32766" s="246">
        <f t="shared" si="550"/>
        <v>0</v>
      </c>
    </row>
    <row r="32767" spans="20:20" ht="18.75" customHeight="1" x14ac:dyDescent="0.35">
      <c r="T32767" s="246">
        <f t="shared" si="550"/>
        <v>0</v>
      </c>
    </row>
    <row r="32768" spans="20:20" ht="18.75" customHeight="1" x14ac:dyDescent="0.35">
      <c r="T32768" s="246">
        <f t="shared" si="550"/>
        <v>0</v>
      </c>
    </row>
    <row r="32769" spans="20:20" ht="18.75" customHeight="1" x14ac:dyDescent="0.35">
      <c r="T32769" s="246">
        <f t="shared" si="550"/>
        <v>0</v>
      </c>
    </row>
    <row r="32770" spans="20:20" ht="18.75" customHeight="1" x14ac:dyDescent="0.35">
      <c r="T32770" s="246">
        <f t="shared" si="550"/>
        <v>0</v>
      </c>
    </row>
    <row r="32771" spans="20:20" ht="18.75" customHeight="1" x14ac:dyDescent="0.35">
      <c r="T32771" s="246">
        <f t="shared" si="550"/>
        <v>0</v>
      </c>
    </row>
    <row r="32772" spans="20:20" ht="18.75" customHeight="1" x14ac:dyDescent="0.35">
      <c r="T32772" s="246">
        <f t="shared" si="550"/>
        <v>0</v>
      </c>
    </row>
    <row r="32773" spans="20:20" ht="18.75" customHeight="1" x14ac:dyDescent="0.35">
      <c r="T32773" s="246">
        <f t="shared" si="550"/>
        <v>0</v>
      </c>
    </row>
    <row r="32774" spans="20:20" ht="18.75" customHeight="1" x14ac:dyDescent="0.35">
      <c r="T32774" s="246">
        <f t="shared" si="550"/>
        <v>0</v>
      </c>
    </row>
    <row r="32775" spans="20:20" ht="18.75" customHeight="1" x14ac:dyDescent="0.35">
      <c r="T32775" s="246">
        <f t="shared" si="550"/>
        <v>0</v>
      </c>
    </row>
    <row r="32776" spans="20:20" ht="18.75" customHeight="1" x14ac:dyDescent="0.35">
      <c r="T32776" s="246">
        <f t="shared" si="550"/>
        <v>0</v>
      </c>
    </row>
    <row r="32777" spans="20:20" ht="18.75" customHeight="1" x14ac:dyDescent="0.35">
      <c r="T32777" s="246">
        <f t="shared" si="550"/>
        <v>0</v>
      </c>
    </row>
    <row r="32778" spans="20:20" ht="18.75" customHeight="1" x14ac:dyDescent="0.35">
      <c r="T32778" s="246">
        <f t="shared" si="550"/>
        <v>0</v>
      </c>
    </row>
    <row r="32779" spans="20:20" ht="18.75" customHeight="1" x14ac:dyDescent="0.35">
      <c r="T32779" s="246">
        <f t="shared" si="550"/>
        <v>0</v>
      </c>
    </row>
    <row r="32780" spans="20:20" ht="18.75" customHeight="1" x14ac:dyDescent="0.35">
      <c r="T32780" s="246">
        <f t="shared" si="550"/>
        <v>0</v>
      </c>
    </row>
    <row r="32781" spans="20:20" ht="18.75" customHeight="1" x14ac:dyDescent="0.35">
      <c r="T32781" s="246">
        <f t="shared" si="550"/>
        <v>0</v>
      </c>
    </row>
    <row r="32782" spans="20:20" ht="18.75" customHeight="1" x14ac:dyDescent="0.35">
      <c r="T32782" s="246">
        <f t="shared" si="550"/>
        <v>0</v>
      </c>
    </row>
    <row r="32783" spans="20:20" ht="18.75" customHeight="1" x14ac:dyDescent="0.35">
      <c r="T32783" s="246">
        <f t="shared" si="550"/>
        <v>0</v>
      </c>
    </row>
    <row r="32784" spans="20:20" ht="18.75" customHeight="1" x14ac:dyDescent="0.35">
      <c r="T32784" s="246">
        <f t="shared" si="550"/>
        <v>0</v>
      </c>
    </row>
    <row r="32785" spans="20:20" ht="18.75" customHeight="1" x14ac:dyDescent="0.35">
      <c r="T32785" s="246">
        <f t="shared" si="550"/>
        <v>0</v>
      </c>
    </row>
    <row r="32786" spans="20:20" ht="18.75" customHeight="1" x14ac:dyDescent="0.35">
      <c r="T32786" s="246">
        <f t="shared" si="550"/>
        <v>0</v>
      </c>
    </row>
    <row r="32787" spans="20:20" ht="18.75" customHeight="1" x14ac:dyDescent="0.35">
      <c r="T32787" s="246">
        <f t="shared" si="550"/>
        <v>0</v>
      </c>
    </row>
    <row r="32788" spans="20:20" ht="18.75" customHeight="1" x14ac:dyDescent="0.35">
      <c r="T32788" s="246">
        <f t="shared" si="550"/>
        <v>0</v>
      </c>
    </row>
    <row r="32789" spans="20:20" ht="18.75" customHeight="1" x14ac:dyDescent="0.35">
      <c r="T32789" s="246">
        <f t="shared" si="550"/>
        <v>0</v>
      </c>
    </row>
    <row r="32790" spans="20:20" ht="18.75" customHeight="1" x14ac:dyDescent="0.35">
      <c r="T32790" s="246">
        <f t="shared" si="550"/>
        <v>0</v>
      </c>
    </row>
    <row r="32791" spans="20:20" ht="18.75" customHeight="1" x14ac:dyDescent="0.35">
      <c r="T32791" s="246">
        <f t="shared" si="550"/>
        <v>0</v>
      </c>
    </row>
    <row r="32792" spans="20:20" ht="18.75" customHeight="1" x14ac:dyDescent="0.35">
      <c r="T32792" s="246">
        <f t="shared" si="550"/>
        <v>0</v>
      </c>
    </row>
    <row r="32793" spans="20:20" ht="18.75" customHeight="1" x14ac:dyDescent="0.35">
      <c r="T32793" s="246">
        <f t="shared" si="550"/>
        <v>0</v>
      </c>
    </row>
    <row r="32794" spans="20:20" ht="18.75" customHeight="1" x14ac:dyDescent="0.35">
      <c r="T32794" s="246">
        <f t="shared" si="550"/>
        <v>0</v>
      </c>
    </row>
    <row r="32795" spans="20:20" ht="18.75" customHeight="1" x14ac:dyDescent="0.35">
      <c r="T32795" s="246">
        <f t="shared" si="550"/>
        <v>0</v>
      </c>
    </row>
    <row r="32796" spans="20:20" ht="18.75" customHeight="1" x14ac:dyDescent="0.35">
      <c r="T32796" s="246">
        <f t="shared" si="550"/>
        <v>0</v>
      </c>
    </row>
    <row r="32797" spans="20:20" ht="18.75" customHeight="1" x14ac:dyDescent="0.35">
      <c r="T32797" s="246">
        <f t="shared" si="550"/>
        <v>0</v>
      </c>
    </row>
    <row r="32798" spans="20:20" ht="18.75" customHeight="1" x14ac:dyDescent="0.35">
      <c r="T32798" s="246">
        <f t="shared" si="550"/>
        <v>0</v>
      </c>
    </row>
    <row r="32799" spans="20:20" ht="18.75" customHeight="1" x14ac:dyDescent="0.35">
      <c r="T32799" s="246">
        <f t="shared" si="550"/>
        <v>0</v>
      </c>
    </row>
    <row r="32800" spans="20:20" ht="18.75" customHeight="1" x14ac:dyDescent="0.35">
      <c r="T32800" s="246">
        <f t="shared" si="550"/>
        <v>0</v>
      </c>
    </row>
    <row r="32801" spans="20:20" ht="18.75" customHeight="1" x14ac:dyDescent="0.35">
      <c r="T32801" s="246">
        <f t="shared" si="550"/>
        <v>0</v>
      </c>
    </row>
    <row r="32802" spans="20:20" ht="18.75" customHeight="1" x14ac:dyDescent="0.35">
      <c r="T32802" s="246">
        <f t="shared" si="550"/>
        <v>0</v>
      </c>
    </row>
    <row r="32803" spans="20:20" ht="18.75" customHeight="1" x14ac:dyDescent="0.35">
      <c r="T32803" s="246">
        <f t="shared" si="550"/>
        <v>0</v>
      </c>
    </row>
    <row r="32804" spans="20:20" ht="18.75" customHeight="1" x14ac:dyDescent="0.35">
      <c r="T32804" s="246">
        <f t="shared" si="550"/>
        <v>0</v>
      </c>
    </row>
    <row r="32805" spans="20:20" ht="18.75" customHeight="1" x14ac:dyDescent="0.35">
      <c r="T32805" s="246">
        <f t="shared" si="550"/>
        <v>0</v>
      </c>
    </row>
    <row r="32806" spans="20:20" ht="18.75" customHeight="1" x14ac:dyDescent="0.35">
      <c r="T32806" s="246">
        <f t="shared" si="550"/>
        <v>0</v>
      </c>
    </row>
    <row r="32807" spans="20:20" ht="18.75" customHeight="1" x14ac:dyDescent="0.35">
      <c r="T32807" s="246">
        <f t="shared" si="550"/>
        <v>0</v>
      </c>
    </row>
    <row r="32808" spans="20:20" ht="18.75" customHeight="1" x14ac:dyDescent="0.35">
      <c r="T32808" s="246">
        <f t="shared" si="550"/>
        <v>0</v>
      </c>
    </row>
    <row r="32809" spans="20:20" ht="18.75" customHeight="1" x14ac:dyDescent="0.35">
      <c r="T32809" s="246">
        <f t="shared" si="550"/>
        <v>0</v>
      </c>
    </row>
    <row r="32810" spans="20:20" ht="18.75" customHeight="1" x14ac:dyDescent="0.35">
      <c r="T32810" s="246">
        <f t="shared" si="550"/>
        <v>0</v>
      </c>
    </row>
    <row r="32811" spans="20:20" ht="18.75" customHeight="1" x14ac:dyDescent="0.35">
      <c r="T32811" s="246">
        <f t="shared" si="550"/>
        <v>0</v>
      </c>
    </row>
    <row r="32812" spans="20:20" ht="18.75" customHeight="1" x14ac:dyDescent="0.35">
      <c r="T32812" s="246">
        <f t="shared" si="550"/>
        <v>0</v>
      </c>
    </row>
    <row r="32813" spans="20:20" ht="18.75" customHeight="1" x14ac:dyDescent="0.35">
      <c r="T32813" s="246">
        <f t="shared" si="550"/>
        <v>0</v>
      </c>
    </row>
    <row r="32814" spans="20:20" ht="18.75" customHeight="1" x14ac:dyDescent="0.35">
      <c r="T32814" s="246">
        <f t="shared" si="550"/>
        <v>0</v>
      </c>
    </row>
    <row r="32815" spans="20:20" ht="18.75" customHeight="1" x14ac:dyDescent="0.35">
      <c r="T32815" s="246">
        <f t="shared" si="550"/>
        <v>0</v>
      </c>
    </row>
    <row r="32816" spans="20:20" ht="18.75" customHeight="1" x14ac:dyDescent="0.35">
      <c r="T32816" s="246">
        <f t="shared" si="550"/>
        <v>0</v>
      </c>
    </row>
    <row r="32817" spans="20:20" ht="18.75" customHeight="1" x14ac:dyDescent="0.35">
      <c r="T32817" s="246">
        <f t="shared" si="550"/>
        <v>0</v>
      </c>
    </row>
    <row r="32818" spans="20:20" ht="18.75" customHeight="1" x14ac:dyDescent="0.35">
      <c r="T32818" s="246">
        <f t="shared" si="550"/>
        <v>0</v>
      </c>
    </row>
    <row r="32819" spans="20:20" ht="18.75" customHeight="1" x14ac:dyDescent="0.35">
      <c r="T32819" s="246">
        <f t="shared" si="550"/>
        <v>0</v>
      </c>
    </row>
    <row r="32820" spans="20:20" ht="18.75" customHeight="1" x14ac:dyDescent="0.35">
      <c r="T32820" s="246">
        <f t="shared" si="550"/>
        <v>0</v>
      </c>
    </row>
    <row r="32821" spans="20:20" ht="18.75" customHeight="1" x14ac:dyDescent="0.35">
      <c r="T32821" s="246">
        <f t="shared" si="550"/>
        <v>0</v>
      </c>
    </row>
    <row r="32822" spans="20:20" ht="18.75" customHeight="1" x14ac:dyDescent="0.35">
      <c r="T32822" s="246">
        <f t="shared" si="550"/>
        <v>0</v>
      </c>
    </row>
    <row r="32823" spans="20:20" ht="18.75" customHeight="1" x14ac:dyDescent="0.35">
      <c r="T32823" s="246">
        <f t="shared" si="550"/>
        <v>0</v>
      </c>
    </row>
    <row r="32824" spans="20:20" ht="18.75" customHeight="1" x14ac:dyDescent="0.35">
      <c r="T32824" s="246">
        <f t="shared" si="550"/>
        <v>0</v>
      </c>
    </row>
    <row r="32825" spans="20:20" ht="18.75" customHeight="1" x14ac:dyDescent="0.35">
      <c r="T32825" s="246">
        <f t="shared" si="550"/>
        <v>0</v>
      </c>
    </row>
    <row r="32826" spans="20:20" ht="18.75" customHeight="1" x14ac:dyDescent="0.35">
      <c r="T32826" s="246">
        <f t="shared" si="550"/>
        <v>0</v>
      </c>
    </row>
    <row r="32827" spans="20:20" ht="18.75" customHeight="1" x14ac:dyDescent="0.35">
      <c r="T32827" s="246">
        <f t="shared" si="550"/>
        <v>0</v>
      </c>
    </row>
    <row r="32828" spans="20:20" ht="18.75" customHeight="1" x14ac:dyDescent="0.35">
      <c r="T32828" s="246">
        <f t="shared" ref="T32828:T32891" si="551">R32828*0.01</f>
        <v>0</v>
      </c>
    </row>
    <row r="32829" spans="20:20" ht="18.75" customHeight="1" x14ac:dyDescent="0.35">
      <c r="T32829" s="246">
        <f t="shared" si="551"/>
        <v>0</v>
      </c>
    </row>
    <row r="32830" spans="20:20" ht="18.75" customHeight="1" x14ac:dyDescent="0.35">
      <c r="T32830" s="246">
        <f t="shared" si="551"/>
        <v>0</v>
      </c>
    </row>
    <row r="32831" spans="20:20" ht="18.75" customHeight="1" x14ac:dyDescent="0.35">
      <c r="T32831" s="246">
        <f t="shared" si="551"/>
        <v>0</v>
      </c>
    </row>
    <row r="32832" spans="20:20" ht="18.75" customHeight="1" x14ac:dyDescent="0.35">
      <c r="T32832" s="246">
        <f t="shared" si="551"/>
        <v>0</v>
      </c>
    </row>
    <row r="32833" spans="20:20" ht="18.75" customHeight="1" x14ac:dyDescent="0.35">
      <c r="T32833" s="246">
        <f t="shared" si="551"/>
        <v>0</v>
      </c>
    </row>
    <row r="32834" spans="20:20" ht="18.75" customHeight="1" x14ac:dyDescent="0.35">
      <c r="T32834" s="246">
        <f t="shared" si="551"/>
        <v>0</v>
      </c>
    </row>
    <row r="32835" spans="20:20" ht="18.75" customHeight="1" x14ac:dyDescent="0.35">
      <c r="T32835" s="246">
        <f t="shared" si="551"/>
        <v>0</v>
      </c>
    </row>
    <row r="32836" spans="20:20" ht="18.75" customHeight="1" x14ac:dyDescent="0.35">
      <c r="T32836" s="246">
        <f t="shared" si="551"/>
        <v>0</v>
      </c>
    </row>
    <row r="32837" spans="20:20" ht="18.75" customHeight="1" x14ac:dyDescent="0.35">
      <c r="T32837" s="246">
        <f t="shared" si="551"/>
        <v>0</v>
      </c>
    </row>
    <row r="32838" spans="20:20" ht="18.75" customHeight="1" x14ac:dyDescent="0.35">
      <c r="T32838" s="246">
        <f t="shared" si="551"/>
        <v>0</v>
      </c>
    </row>
    <row r="32839" spans="20:20" ht="18.75" customHeight="1" x14ac:dyDescent="0.35">
      <c r="T32839" s="246">
        <f t="shared" si="551"/>
        <v>0</v>
      </c>
    </row>
    <row r="32840" spans="20:20" ht="18.75" customHeight="1" x14ac:dyDescent="0.35">
      <c r="T32840" s="246">
        <f t="shared" si="551"/>
        <v>0</v>
      </c>
    </row>
    <row r="32841" spans="20:20" ht="18.75" customHeight="1" x14ac:dyDescent="0.35">
      <c r="T32841" s="246">
        <f t="shared" si="551"/>
        <v>0</v>
      </c>
    </row>
    <row r="32842" spans="20:20" ht="18.75" customHeight="1" x14ac:dyDescent="0.35">
      <c r="T32842" s="246">
        <f t="shared" si="551"/>
        <v>0</v>
      </c>
    </row>
    <row r="32843" spans="20:20" ht="18.75" customHeight="1" x14ac:dyDescent="0.35">
      <c r="T32843" s="246">
        <f t="shared" si="551"/>
        <v>0</v>
      </c>
    </row>
    <row r="32844" spans="20:20" ht="18.75" customHeight="1" x14ac:dyDescent="0.35">
      <c r="T32844" s="246">
        <f t="shared" si="551"/>
        <v>0</v>
      </c>
    </row>
    <row r="32845" spans="20:20" ht="18.75" customHeight="1" x14ac:dyDescent="0.35">
      <c r="T32845" s="246">
        <f t="shared" si="551"/>
        <v>0</v>
      </c>
    </row>
    <row r="32846" spans="20:20" ht="18.75" customHeight="1" x14ac:dyDescent="0.35">
      <c r="T32846" s="246">
        <f t="shared" si="551"/>
        <v>0</v>
      </c>
    </row>
    <row r="32847" spans="20:20" ht="18.75" customHeight="1" x14ac:dyDescent="0.35">
      <c r="T32847" s="246">
        <f t="shared" si="551"/>
        <v>0</v>
      </c>
    </row>
    <row r="32848" spans="20:20" ht="18.75" customHeight="1" x14ac:dyDescent="0.35">
      <c r="T32848" s="246">
        <f t="shared" si="551"/>
        <v>0</v>
      </c>
    </row>
    <row r="32849" spans="20:20" ht="18.75" customHeight="1" x14ac:dyDescent="0.35">
      <c r="T32849" s="246">
        <f t="shared" si="551"/>
        <v>0</v>
      </c>
    </row>
    <row r="32850" spans="20:20" ht="18.75" customHeight="1" x14ac:dyDescent="0.35">
      <c r="T32850" s="246">
        <f t="shared" si="551"/>
        <v>0</v>
      </c>
    </row>
    <row r="32851" spans="20:20" ht="18.75" customHeight="1" x14ac:dyDescent="0.35">
      <c r="T32851" s="246">
        <f t="shared" si="551"/>
        <v>0</v>
      </c>
    </row>
    <row r="32852" spans="20:20" ht="18.75" customHeight="1" x14ac:dyDescent="0.35">
      <c r="T32852" s="246">
        <f t="shared" si="551"/>
        <v>0</v>
      </c>
    </row>
    <row r="32853" spans="20:20" ht="18.75" customHeight="1" x14ac:dyDescent="0.35">
      <c r="T32853" s="246">
        <f t="shared" si="551"/>
        <v>0</v>
      </c>
    </row>
    <row r="32854" spans="20:20" ht="18.75" customHeight="1" x14ac:dyDescent="0.35">
      <c r="T32854" s="246">
        <f t="shared" si="551"/>
        <v>0</v>
      </c>
    </row>
    <row r="32855" spans="20:20" ht="18.75" customHeight="1" x14ac:dyDescent="0.35">
      <c r="T32855" s="246">
        <f t="shared" si="551"/>
        <v>0</v>
      </c>
    </row>
    <row r="32856" spans="20:20" ht="18.75" customHeight="1" x14ac:dyDescent="0.35">
      <c r="T32856" s="246">
        <f t="shared" si="551"/>
        <v>0</v>
      </c>
    </row>
    <row r="32857" spans="20:20" ht="18.75" customHeight="1" x14ac:dyDescent="0.35">
      <c r="T32857" s="246">
        <f t="shared" si="551"/>
        <v>0</v>
      </c>
    </row>
    <row r="32858" spans="20:20" ht="18.75" customHeight="1" x14ac:dyDescent="0.35">
      <c r="T32858" s="246">
        <f t="shared" si="551"/>
        <v>0</v>
      </c>
    </row>
    <row r="32859" spans="20:20" ht="18.75" customHeight="1" x14ac:dyDescent="0.35">
      <c r="T32859" s="246">
        <f t="shared" si="551"/>
        <v>0</v>
      </c>
    </row>
    <row r="32860" spans="20:20" ht="18.75" customHeight="1" x14ac:dyDescent="0.35">
      <c r="T32860" s="246">
        <f t="shared" si="551"/>
        <v>0</v>
      </c>
    </row>
    <row r="32861" spans="20:20" ht="18.75" customHeight="1" x14ac:dyDescent="0.35">
      <c r="T32861" s="246">
        <f t="shared" si="551"/>
        <v>0</v>
      </c>
    </row>
    <row r="32862" spans="20:20" ht="18.75" customHeight="1" x14ac:dyDescent="0.35">
      <c r="T32862" s="246">
        <f t="shared" si="551"/>
        <v>0</v>
      </c>
    </row>
    <row r="32863" spans="20:20" ht="18.75" customHeight="1" x14ac:dyDescent="0.35">
      <c r="T32863" s="246">
        <f t="shared" si="551"/>
        <v>0</v>
      </c>
    </row>
    <row r="32864" spans="20:20" ht="18.75" customHeight="1" x14ac:dyDescent="0.35">
      <c r="T32864" s="246">
        <f t="shared" si="551"/>
        <v>0</v>
      </c>
    </row>
    <row r="32865" spans="20:20" ht="18.75" customHeight="1" x14ac:dyDescent="0.35">
      <c r="T32865" s="246">
        <f t="shared" si="551"/>
        <v>0</v>
      </c>
    </row>
    <row r="32866" spans="20:20" ht="18.75" customHeight="1" x14ac:dyDescent="0.35">
      <c r="T32866" s="246">
        <f t="shared" si="551"/>
        <v>0</v>
      </c>
    </row>
    <row r="32867" spans="20:20" ht="18.75" customHeight="1" x14ac:dyDescent="0.35">
      <c r="T32867" s="246">
        <f t="shared" si="551"/>
        <v>0</v>
      </c>
    </row>
    <row r="32868" spans="20:20" ht="18.75" customHeight="1" x14ac:dyDescent="0.35">
      <c r="T32868" s="246">
        <f t="shared" si="551"/>
        <v>0</v>
      </c>
    </row>
    <row r="32869" spans="20:20" ht="18.75" customHeight="1" x14ac:dyDescent="0.35">
      <c r="T32869" s="246">
        <f t="shared" si="551"/>
        <v>0</v>
      </c>
    </row>
    <row r="32870" spans="20:20" ht="18.75" customHeight="1" x14ac:dyDescent="0.35">
      <c r="T32870" s="246">
        <f t="shared" si="551"/>
        <v>0</v>
      </c>
    </row>
    <row r="32871" spans="20:20" ht="18.75" customHeight="1" x14ac:dyDescent="0.35">
      <c r="T32871" s="246">
        <f t="shared" si="551"/>
        <v>0</v>
      </c>
    </row>
    <row r="32872" spans="20:20" ht="18.75" customHeight="1" x14ac:dyDescent="0.35">
      <c r="T32872" s="246">
        <f t="shared" si="551"/>
        <v>0</v>
      </c>
    </row>
    <row r="32873" spans="20:20" ht="18.75" customHeight="1" x14ac:dyDescent="0.35">
      <c r="T32873" s="246">
        <f t="shared" si="551"/>
        <v>0</v>
      </c>
    </row>
    <row r="32874" spans="20:20" ht="18.75" customHeight="1" x14ac:dyDescent="0.35">
      <c r="T32874" s="246">
        <f t="shared" si="551"/>
        <v>0</v>
      </c>
    </row>
    <row r="32875" spans="20:20" ht="18.75" customHeight="1" x14ac:dyDescent="0.35">
      <c r="T32875" s="246">
        <f t="shared" si="551"/>
        <v>0</v>
      </c>
    </row>
    <row r="32876" spans="20:20" ht="18.75" customHeight="1" x14ac:dyDescent="0.35">
      <c r="T32876" s="246">
        <f t="shared" si="551"/>
        <v>0</v>
      </c>
    </row>
    <row r="32877" spans="20:20" ht="18.75" customHeight="1" x14ac:dyDescent="0.35">
      <c r="T32877" s="246">
        <f t="shared" si="551"/>
        <v>0</v>
      </c>
    </row>
    <row r="32878" spans="20:20" ht="18.75" customHeight="1" x14ac:dyDescent="0.35">
      <c r="T32878" s="246">
        <f t="shared" si="551"/>
        <v>0</v>
      </c>
    </row>
    <row r="32879" spans="20:20" ht="18.75" customHeight="1" x14ac:dyDescent="0.35">
      <c r="T32879" s="246">
        <f t="shared" si="551"/>
        <v>0</v>
      </c>
    </row>
    <row r="32880" spans="20:20" ht="18.75" customHeight="1" x14ac:dyDescent="0.35">
      <c r="T32880" s="246">
        <f t="shared" si="551"/>
        <v>0</v>
      </c>
    </row>
    <row r="32881" spans="20:20" ht="18.75" customHeight="1" x14ac:dyDescent="0.35">
      <c r="T32881" s="246">
        <f t="shared" si="551"/>
        <v>0</v>
      </c>
    </row>
    <row r="32882" spans="20:20" ht="18.75" customHeight="1" x14ac:dyDescent="0.35">
      <c r="T32882" s="246">
        <f t="shared" si="551"/>
        <v>0</v>
      </c>
    </row>
    <row r="32883" spans="20:20" ht="18.75" customHeight="1" x14ac:dyDescent="0.35">
      <c r="T32883" s="246">
        <f t="shared" si="551"/>
        <v>0</v>
      </c>
    </row>
    <row r="32884" spans="20:20" ht="18.75" customHeight="1" x14ac:dyDescent="0.35">
      <c r="T32884" s="246">
        <f t="shared" si="551"/>
        <v>0</v>
      </c>
    </row>
    <row r="32885" spans="20:20" ht="18.75" customHeight="1" x14ac:dyDescent="0.35">
      <c r="T32885" s="246">
        <f t="shared" si="551"/>
        <v>0</v>
      </c>
    </row>
    <row r="32886" spans="20:20" ht="18.75" customHeight="1" x14ac:dyDescent="0.35">
      <c r="T32886" s="246">
        <f t="shared" si="551"/>
        <v>0</v>
      </c>
    </row>
    <row r="32887" spans="20:20" ht="18.75" customHeight="1" x14ac:dyDescent="0.35">
      <c r="T32887" s="246">
        <f t="shared" si="551"/>
        <v>0</v>
      </c>
    </row>
    <row r="32888" spans="20:20" ht="18.75" customHeight="1" x14ac:dyDescent="0.35">
      <c r="T32888" s="246">
        <f t="shared" si="551"/>
        <v>0</v>
      </c>
    </row>
    <row r="32889" spans="20:20" ht="18.75" customHeight="1" x14ac:dyDescent="0.35">
      <c r="T32889" s="246">
        <f t="shared" si="551"/>
        <v>0</v>
      </c>
    </row>
    <row r="32890" spans="20:20" ht="18.75" customHeight="1" x14ac:dyDescent="0.35">
      <c r="T32890" s="246">
        <f t="shared" si="551"/>
        <v>0</v>
      </c>
    </row>
    <row r="32891" spans="20:20" ht="18.75" customHeight="1" x14ac:dyDescent="0.35">
      <c r="T32891" s="246">
        <f t="shared" si="551"/>
        <v>0</v>
      </c>
    </row>
    <row r="32892" spans="20:20" ht="18.75" customHeight="1" x14ac:dyDescent="0.35">
      <c r="T32892" s="246">
        <f t="shared" ref="T32892:T32955" si="552">R32892*0.01</f>
        <v>0</v>
      </c>
    </row>
    <row r="32893" spans="20:20" ht="18.75" customHeight="1" x14ac:dyDescent="0.35">
      <c r="T32893" s="246">
        <f t="shared" si="552"/>
        <v>0</v>
      </c>
    </row>
    <row r="32894" spans="20:20" ht="18.75" customHeight="1" x14ac:dyDescent="0.35">
      <c r="T32894" s="246">
        <f t="shared" si="552"/>
        <v>0</v>
      </c>
    </row>
    <row r="32895" spans="20:20" ht="18.75" customHeight="1" x14ac:dyDescent="0.35">
      <c r="T32895" s="246">
        <f t="shared" si="552"/>
        <v>0</v>
      </c>
    </row>
    <row r="32896" spans="20:20" ht="18.75" customHeight="1" x14ac:dyDescent="0.35">
      <c r="T32896" s="246">
        <f t="shared" si="552"/>
        <v>0</v>
      </c>
    </row>
    <row r="32897" spans="20:20" ht="18.75" customHeight="1" x14ac:dyDescent="0.35">
      <c r="T32897" s="246">
        <f t="shared" si="552"/>
        <v>0</v>
      </c>
    </row>
    <row r="32898" spans="20:20" ht="18.75" customHeight="1" x14ac:dyDescent="0.35">
      <c r="T32898" s="246">
        <f t="shared" si="552"/>
        <v>0</v>
      </c>
    </row>
    <row r="32899" spans="20:20" ht="18.75" customHeight="1" x14ac:dyDescent="0.35">
      <c r="T32899" s="246">
        <f t="shared" si="552"/>
        <v>0</v>
      </c>
    </row>
    <row r="32900" spans="20:20" ht="18.75" customHeight="1" x14ac:dyDescent="0.35">
      <c r="T32900" s="246">
        <f t="shared" si="552"/>
        <v>0</v>
      </c>
    </row>
    <row r="32901" spans="20:20" ht="18.75" customHeight="1" x14ac:dyDescent="0.35">
      <c r="T32901" s="246">
        <f t="shared" si="552"/>
        <v>0</v>
      </c>
    </row>
    <row r="32902" spans="20:20" ht="18.75" customHeight="1" x14ac:dyDescent="0.35">
      <c r="T32902" s="246">
        <f t="shared" si="552"/>
        <v>0</v>
      </c>
    </row>
    <row r="32903" spans="20:20" ht="18.75" customHeight="1" x14ac:dyDescent="0.35">
      <c r="T32903" s="246">
        <f t="shared" si="552"/>
        <v>0</v>
      </c>
    </row>
    <row r="32904" spans="20:20" ht="18.75" customHeight="1" x14ac:dyDescent="0.35">
      <c r="T32904" s="246">
        <f t="shared" si="552"/>
        <v>0</v>
      </c>
    </row>
    <row r="32905" spans="20:20" ht="18.75" customHeight="1" x14ac:dyDescent="0.35">
      <c r="T32905" s="246">
        <f t="shared" si="552"/>
        <v>0</v>
      </c>
    </row>
    <row r="32906" spans="20:20" ht="18.75" customHeight="1" x14ac:dyDescent="0.35">
      <c r="T32906" s="246">
        <f t="shared" si="552"/>
        <v>0</v>
      </c>
    </row>
    <row r="32907" spans="20:20" ht="18.75" customHeight="1" x14ac:dyDescent="0.35">
      <c r="T32907" s="246">
        <f t="shared" si="552"/>
        <v>0</v>
      </c>
    </row>
    <row r="32908" spans="20:20" ht="18.75" customHeight="1" x14ac:dyDescent="0.35">
      <c r="T32908" s="246">
        <f t="shared" si="552"/>
        <v>0</v>
      </c>
    </row>
    <row r="32909" spans="20:20" ht="18.75" customHeight="1" x14ac:dyDescent="0.35">
      <c r="T32909" s="246">
        <f t="shared" si="552"/>
        <v>0</v>
      </c>
    </row>
    <row r="32910" spans="20:20" ht="18.75" customHeight="1" x14ac:dyDescent="0.35">
      <c r="T32910" s="246">
        <f t="shared" si="552"/>
        <v>0</v>
      </c>
    </row>
    <row r="32911" spans="20:20" ht="18.75" customHeight="1" x14ac:dyDescent="0.35">
      <c r="T32911" s="246">
        <f t="shared" si="552"/>
        <v>0</v>
      </c>
    </row>
    <row r="32912" spans="20:20" ht="18.75" customHeight="1" x14ac:dyDescent="0.35">
      <c r="T32912" s="246">
        <f t="shared" si="552"/>
        <v>0</v>
      </c>
    </row>
    <row r="32913" spans="20:20" ht="18.75" customHeight="1" x14ac:dyDescent="0.35">
      <c r="T32913" s="246">
        <f t="shared" si="552"/>
        <v>0</v>
      </c>
    </row>
    <row r="32914" spans="20:20" ht="18.75" customHeight="1" x14ac:dyDescent="0.35">
      <c r="T32914" s="246">
        <f t="shared" si="552"/>
        <v>0</v>
      </c>
    </row>
    <row r="32915" spans="20:20" ht="18.75" customHeight="1" x14ac:dyDescent="0.35">
      <c r="T32915" s="246">
        <f t="shared" si="552"/>
        <v>0</v>
      </c>
    </row>
    <row r="32916" spans="20:20" ht="18.75" customHeight="1" x14ac:dyDescent="0.35">
      <c r="T32916" s="246">
        <f t="shared" si="552"/>
        <v>0</v>
      </c>
    </row>
    <row r="32917" spans="20:20" ht="18.75" customHeight="1" x14ac:dyDescent="0.35">
      <c r="T32917" s="246">
        <f t="shared" si="552"/>
        <v>0</v>
      </c>
    </row>
    <row r="32918" spans="20:20" ht="18.75" customHeight="1" x14ac:dyDescent="0.35">
      <c r="T32918" s="246">
        <f t="shared" si="552"/>
        <v>0</v>
      </c>
    </row>
    <row r="32919" spans="20:20" ht="18.75" customHeight="1" x14ac:dyDescent="0.35">
      <c r="T32919" s="246">
        <f t="shared" si="552"/>
        <v>0</v>
      </c>
    </row>
    <row r="32920" spans="20:20" ht="18.75" customHeight="1" x14ac:dyDescent="0.35">
      <c r="T32920" s="246">
        <f t="shared" si="552"/>
        <v>0</v>
      </c>
    </row>
    <row r="32921" spans="20:20" ht="18.75" customHeight="1" x14ac:dyDescent="0.35">
      <c r="T32921" s="246">
        <f t="shared" si="552"/>
        <v>0</v>
      </c>
    </row>
    <row r="32922" spans="20:20" ht="18.75" customHeight="1" x14ac:dyDescent="0.35">
      <c r="T32922" s="246">
        <f t="shared" si="552"/>
        <v>0</v>
      </c>
    </row>
    <row r="32923" spans="20:20" ht="18.75" customHeight="1" x14ac:dyDescent="0.35">
      <c r="T32923" s="246">
        <f t="shared" si="552"/>
        <v>0</v>
      </c>
    </row>
    <row r="32924" spans="20:20" ht="18.75" customHeight="1" x14ac:dyDescent="0.35">
      <c r="T32924" s="246">
        <f t="shared" si="552"/>
        <v>0</v>
      </c>
    </row>
    <row r="32925" spans="20:20" ht="18.75" customHeight="1" x14ac:dyDescent="0.35">
      <c r="T32925" s="246">
        <f t="shared" si="552"/>
        <v>0</v>
      </c>
    </row>
    <row r="32926" spans="20:20" ht="18.75" customHeight="1" x14ac:dyDescent="0.35">
      <c r="T32926" s="246">
        <f t="shared" si="552"/>
        <v>0</v>
      </c>
    </row>
    <row r="32927" spans="20:20" ht="18.75" customHeight="1" x14ac:dyDescent="0.35">
      <c r="T32927" s="246">
        <f t="shared" si="552"/>
        <v>0</v>
      </c>
    </row>
    <row r="32928" spans="20:20" ht="18.75" customHeight="1" x14ac:dyDescent="0.35">
      <c r="T32928" s="246">
        <f t="shared" si="552"/>
        <v>0</v>
      </c>
    </row>
    <row r="32929" spans="20:20" ht="18.75" customHeight="1" x14ac:dyDescent="0.35">
      <c r="T32929" s="246">
        <f t="shared" si="552"/>
        <v>0</v>
      </c>
    </row>
    <row r="32930" spans="20:20" ht="18.75" customHeight="1" x14ac:dyDescent="0.35">
      <c r="T32930" s="246">
        <f t="shared" si="552"/>
        <v>0</v>
      </c>
    </row>
    <row r="32931" spans="20:20" ht="18.75" customHeight="1" x14ac:dyDescent="0.35">
      <c r="T32931" s="246">
        <f t="shared" si="552"/>
        <v>0</v>
      </c>
    </row>
    <row r="32932" spans="20:20" ht="18.75" customHeight="1" x14ac:dyDescent="0.35">
      <c r="T32932" s="246">
        <f t="shared" si="552"/>
        <v>0</v>
      </c>
    </row>
    <row r="32933" spans="20:20" ht="18.75" customHeight="1" x14ac:dyDescent="0.35">
      <c r="T32933" s="246">
        <f t="shared" si="552"/>
        <v>0</v>
      </c>
    </row>
    <row r="32934" spans="20:20" ht="18.75" customHeight="1" x14ac:dyDescent="0.35">
      <c r="T32934" s="246">
        <f t="shared" si="552"/>
        <v>0</v>
      </c>
    </row>
    <row r="32935" spans="20:20" ht="18.75" customHeight="1" x14ac:dyDescent="0.35">
      <c r="T32935" s="246">
        <f t="shared" si="552"/>
        <v>0</v>
      </c>
    </row>
    <row r="32936" spans="20:20" ht="18.75" customHeight="1" x14ac:dyDescent="0.35">
      <c r="T32936" s="246">
        <f t="shared" si="552"/>
        <v>0</v>
      </c>
    </row>
    <row r="32937" spans="20:20" ht="18.75" customHeight="1" x14ac:dyDescent="0.35">
      <c r="T32937" s="246">
        <f t="shared" si="552"/>
        <v>0</v>
      </c>
    </row>
    <row r="32938" spans="20:20" ht="18.75" customHeight="1" x14ac:dyDescent="0.35">
      <c r="T32938" s="246">
        <f t="shared" si="552"/>
        <v>0</v>
      </c>
    </row>
    <row r="32939" spans="20:20" ht="18.75" customHeight="1" x14ac:dyDescent="0.35">
      <c r="T32939" s="246">
        <f t="shared" si="552"/>
        <v>0</v>
      </c>
    </row>
    <row r="32940" spans="20:20" ht="18.75" customHeight="1" x14ac:dyDescent="0.35">
      <c r="T32940" s="246">
        <f t="shared" si="552"/>
        <v>0</v>
      </c>
    </row>
    <row r="32941" spans="20:20" ht="18.75" customHeight="1" x14ac:dyDescent="0.35">
      <c r="T32941" s="246">
        <f t="shared" si="552"/>
        <v>0</v>
      </c>
    </row>
    <row r="32942" spans="20:20" ht="18.75" customHeight="1" x14ac:dyDescent="0.35">
      <c r="T32942" s="246">
        <f t="shared" si="552"/>
        <v>0</v>
      </c>
    </row>
    <row r="32943" spans="20:20" ht="18.75" customHeight="1" x14ac:dyDescent="0.35">
      <c r="T32943" s="246">
        <f t="shared" si="552"/>
        <v>0</v>
      </c>
    </row>
    <row r="32944" spans="20:20" ht="18.75" customHeight="1" x14ac:dyDescent="0.35">
      <c r="T32944" s="246">
        <f t="shared" si="552"/>
        <v>0</v>
      </c>
    </row>
    <row r="32945" spans="20:20" ht="18.75" customHeight="1" x14ac:dyDescent="0.35">
      <c r="T32945" s="246">
        <f t="shared" si="552"/>
        <v>0</v>
      </c>
    </row>
    <row r="32946" spans="20:20" ht="18.75" customHeight="1" x14ac:dyDescent="0.35">
      <c r="T32946" s="246">
        <f t="shared" si="552"/>
        <v>0</v>
      </c>
    </row>
    <row r="32947" spans="20:20" ht="18.75" customHeight="1" x14ac:dyDescent="0.35">
      <c r="T32947" s="246">
        <f t="shared" si="552"/>
        <v>0</v>
      </c>
    </row>
    <row r="32948" spans="20:20" ht="18.75" customHeight="1" x14ac:dyDescent="0.35">
      <c r="T32948" s="246">
        <f t="shared" si="552"/>
        <v>0</v>
      </c>
    </row>
    <row r="32949" spans="20:20" ht="18.75" customHeight="1" x14ac:dyDescent="0.35">
      <c r="T32949" s="246">
        <f t="shared" si="552"/>
        <v>0</v>
      </c>
    </row>
    <row r="32950" spans="20:20" ht="18.75" customHeight="1" x14ac:dyDescent="0.35">
      <c r="T32950" s="246">
        <f t="shared" si="552"/>
        <v>0</v>
      </c>
    </row>
    <row r="32951" spans="20:20" ht="18.75" customHeight="1" x14ac:dyDescent="0.35">
      <c r="T32951" s="246">
        <f t="shared" si="552"/>
        <v>0</v>
      </c>
    </row>
    <row r="32952" spans="20:20" ht="18.75" customHeight="1" x14ac:dyDescent="0.35">
      <c r="T32952" s="246">
        <f t="shared" si="552"/>
        <v>0</v>
      </c>
    </row>
    <row r="32953" spans="20:20" ht="18.75" customHeight="1" x14ac:dyDescent="0.35">
      <c r="T32953" s="246">
        <f t="shared" si="552"/>
        <v>0</v>
      </c>
    </row>
    <row r="32954" spans="20:20" ht="18.75" customHeight="1" x14ac:dyDescent="0.35">
      <c r="T32954" s="246">
        <f t="shared" si="552"/>
        <v>0</v>
      </c>
    </row>
    <row r="32955" spans="20:20" ht="18.75" customHeight="1" x14ac:dyDescent="0.35">
      <c r="T32955" s="246">
        <f t="shared" si="552"/>
        <v>0</v>
      </c>
    </row>
    <row r="32956" spans="20:20" ht="18.75" customHeight="1" x14ac:dyDescent="0.35">
      <c r="T32956" s="246">
        <f t="shared" ref="T32956:T33019" si="553">R32956*0.01</f>
        <v>0</v>
      </c>
    </row>
    <row r="32957" spans="20:20" ht="18.75" customHeight="1" x14ac:dyDescent="0.35">
      <c r="T32957" s="246">
        <f t="shared" si="553"/>
        <v>0</v>
      </c>
    </row>
    <row r="32958" spans="20:20" ht="18.75" customHeight="1" x14ac:dyDescent="0.35">
      <c r="T32958" s="246">
        <f t="shared" si="553"/>
        <v>0</v>
      </c>
    </row>
    <row r="32959" spans="20:20" ht="18.75" customHeight="1" x14ac:dyDescent="0.35">
      <c r="T32959" s="246">
        <f t="shared" si="553"/>
        <v>0</v>
      </c>
    </row>
    <row r="32960" spans="20:20" ht="18.75" customHeight="1" x14ac:dyDescent="0.35">
      <c r="T32960" s="246">
        <f t="shared" si="553"/>
        <v>0</v>
      </c>
    </row>
    <row r="32961" spans="20:20" ht="18.75" customHeight="1" x14ac:dyDescent="0.35">
      <c r="T32961" s="246">
        <f t="shared" si="553"/>
        <v>0</v>
      </c>
    </row>
    <row r="32962" spans="20:20" ht="18.75" customHeight="1" x14ac:dyDescent="0.35">
      <c r="T32962" s="246">
        <f t="shared" si="553"/>
        <v>0</v>
      </c>
    </row>
    <row r="32963" spans="20:20" ht="18.75" customHeight="1" x14ac:dyDescent="0.35">
      <c r="T32963" s="246">
        <f t="shared" si="553"/>
        <v>0</v>
      </c>
    </row>
    <row r="32964" spans="20:20" ht="18.75" customHeight="1" x14ac:dyDescent="0.35">
      <c r="T32964" s="246">
        <f t="shared" si="553"/>
        <v>0</v>
      </c>
    </row>
    <row r="32965" spans="20:20" ht="18.75" customHeight="1" x14ac:dyDescent="0.35">
      <c r="T32965" s="246">
        <f t="shared" si="553"/>
        <v>0</v>
      </c>
    </row>
    <row r="32966" spans="20:20" ht="18.75" customHeight="1" x14ac:dyDescent="0.35">
      <c r="T32966" s="246">
        <f t="shared" si="553"/>
        <v>0</v>
      </c>
    </row>
    <row r="32967" spans="20:20" ht="18.75" customHeight="1" x14ac:dyDescent="0.35">
      <c r="T32967" s="246">
        <f t="shared" si="553"/>
        <v>0</v>
      </c>
    </row>
    <row r="32968" spans="20:20" ht="18.75" customHeight="1" x14ac:dyDescent="0.35">
      <c r="T32968" s="246">
        <f t="shared" si="553"/>
        <v>0</v>
      </c>
    </row>
    <row r="32969" spans="20:20" ht="18.75" customHeight="1" x14ac:dyDescent="0.35">
      <c r="T32969" s="246">
        <f t="shared" si="553"/>
        <v>0</v>
      </c>
    </row>
    <row r="32970" spans="20:20" ht="18.75" customHeight="1" x14ac:dyDescent="0.35">
      <c r="T32970" s="246">
        <f t="shared" si="553"/>
        <v>0</v>
      </c>
    </row>
    <row r="32971" spans="20:20" ht="18.75" customHeight="1" x14ac:dyDescent="0.35">
      <c r="T32971" s="246">
        <f t="shared" si="553"/>
        <v>0</v>
      </c>
    </row>
    <row r="32972" spans="20:20" ht="18.75" customHeight="1" x14ac:dyDescent="0.35">
      <c r="T32972" s="246">
        <f t="shared" si="553"/>
        <v>0</v>
      </c>
    </row>
    <row r="32973" spans="20:20" ht="18.75" customHeight="1" x14ac:dyDescent="0.35">
      <c r="T32973" s="246">
        <f t="shared" si="553"/>
        <v>0</v>
      </c>
    </row>
    <row r="32974" spans="20:20" ht="18.75" customHeight="1" x14ac:dyDescent="0.35">
      <c r="T32974" s="246">
        <f t="shared" si="553"/>
        <v>0</v>
      </c>
    </row>
    <row r="32975" spans="20:20" ht="18.75" customHeight="1" x14ac:dyDescent="0.35">
      <c r="T32975" s="246">
        <f t="shared" si="553"/>
        <v>0</v>
      </c>
    </row>
    <row r="32976" spans="20:20" ht="18.75" customHeight="1" x14ac:dyDescent="0.35">
      <c r="T32976" s="246">
        <f t="shared" si="553"/>
        <v>0</v>
      </c>
    </row>
    <row r="32977" spans="20:20" ht="18.75" customHeight="1" x14ac:dyDescent="0.35">
      <c r="T32977" s="246">
        <f t="shared" si="553"/>
        <v>0</v>
      </c>
    </row>
    <row r="32978" spans="20:20" ht="18.75" customHeight="1" x14ac:dyDescent="0.35">
      <c r="T32978" s="246">
        <f t="shared" si="553"/>
        <v>0</v>
      </c>
    </row>
    <row r="32979" spans="20:20" ht="18.75" customHeight="1" x14ac:dyDescent="0.35">
      <c r="T32979" s="246">
        <f t="shared" si="553"/>
        <v>0</v>
      </c>
    </row>
    <row r="32980" spans="20:20" ht="18.75" customHeight="1" x14ac:dyDescent="0.35">
      <c r="T32980" s="246">
        <f t="shared" si="553"/>
        <v>0</v>
      </c>
    </row>
    <row r="32981" spans="20:20" ht="18.75" customHeight="1" x14ac:dyDescent="0.35">
      <c r="T32981" s="246">
        <f t="shared" si="553"/>
        <v>0</v>
      </c>
    </row>
    <row r="32982" spans="20:20" ht="18.75" customHeight="1" x14ac:dyDescent="0.35">
      <c r="T32982" s="246">
        <f t="shared" si="553"/>
        <v>0</v>
      </c>
    </row>
    <row r="32983" spans="20:20" ht="18.75" customHeight="1" x14ac:dyDescent="0.35">
      <c r="T32983" s="246">
        <f t="shared" si="553"/>
        <v>0</v>
      </c>
    </row>
    <row r="32984" spans="20:20" ht="18.75" customHeight="1" x14ac:dyDescent="0.35">
      <c r="T32984" s="246">
        <f t="shared" si="553"/>
        <v>0</v>
      </c>
    </row>
    <row r="32985" spans="20:20" ht="18.75" customHeight="1" x14ac:dyDescent="0.35">
      <c r="T32985" s="246">
        <f t="shared" si="553"/>
        <v>0</v>
      </c>
    </row>
    <row r="32986" spans="20:20" ht="18.75" customHeight="1" x14ac:dyDescent="0.35">
      <c r="T32986" s="246">
        <f t="shared" si="553"/>
        <v>0</v>
      </c>
    </row>
    <row r="32987" spans="20:20" ht="18.75" customHeight="1" x14ac:dyDescent="0.35">
      <c r="T32987" s="246">
        <f t="shared" si="553"/>
        <v>0</v>
      </c>
    </row>
    <row r="32988" spans="20:20" ht="18.75" customHeight="1" x14ac:dyDescent="0.35">
      <c r="T32988" s="246">
        <f t="shared" si="553"/>
        <v>0</v>
      </c>
    </row>
    <row r="32989" spans="20:20" ht="18.75" customHeight="1" x14ac:dyDescent="0.35">
      <c r="T32989" s="246">
        <f t="shared" si="553"/>
        <v>0</v>
      </c>
    </row>
    <row r="32990" spans="20:20" ht="18.75" customHeight="1" x14ac:dyDescent="0.35">
      <c r="T32990" s="246">
        <f t="shared" si="553"/>
        <v>0</v>
      </c>
    </row>
    <row r="32991" spans="20:20" ht="18.75" customHeight="1" x14ac:dyDescent="0.35">
      <c r="T32991" s="246">
        <f t="shared" si="553"/>
        <v>0</v>
      </c>
    </row>
    <row r="32992" spans="20:20" ht="18.75" customHeight="1" x14ac:dyDescent="0.35">
      <c r="T32992" s="246">
        <f t="shared" si="553"/>
        <v>0</v>
      </c>
    </row>
    <row r="32993" spans="20:20" ht="18.75" customHeight="1" x14ac:dyDescent="0.35">
      <c r="T32993" s="246">
        <f t="shared" si="553"/>
        <v>0</v>
      </c>
    </row>
    <row r="32994" spans="20:20" ht="18.75" customHeight="1" x14ac:dyDescent="0.35">
      <c r="T32994" s="246">
        <f t="shared" si="553"/>
        <v>0</v>
      </c>
    </row>
    <row r="32995" spans="20:20" ht="18.75" customHeight="1" x14ac:dyDescent="0.35">
      <c r="T32995" s="246">
        <f t="shared" si="553"/>
        <v>0</v>
      </c>
    </row>
    <row r="32996" spans="20:20" ht="18.75" customHeight="1" x14ac:dyDescent="0.35">
      <c r="T32996" s="246">
        <f t="shared" si="553"/>
        <v>0</v>
      </c>
    </row>
    <row r="32997" spans="20:20" ht="18.75" customHeight="1" x14ac:dyDescent="0.35">
      <c r="T32997" s="246">
        <f t="shared" si="553"/>
        <v>0</v>
      </c>
    </row>
    <row r="32998" spans="20:20" ht="18.75" customHeight="1" x14ac:dyDescent="0.35">
      <c r="T32998" s="246">
        <f t="shared" si="553"/>
        <v>0</v>
      </c>
    </row>
    <row r="32999" spans="20:20" ht="18.75" customHeight="1" x14ac:dyDescent="0.35">
      <c r="T32999" s="246">
        <f t="shared" si="553"/>
        <v>0</v>
      </c>
    </row>
    <row r="33000" spans="20:20" ht="18.75" customHeight="1" x14ac:dyDescent="0.35">
      <c r="T33000" s="246">
        <f t="shared" si="553"/>
        <v>0</v>
      </c>
    </row>
    <row r="33001" spans="20:20" ht="18.75" customHeight="1" x14ac:dyDescent="0.35">
      <c r="T33001" s="246">
        <f t="shared" si="553"/>
        <v>0</v>
      </c>
    </row>
    <row r="33002" spans="20:20" ht="18.75" customHeight="1" x14ac:dyDescent="0.35">
      <c r="T33002" s="246">
        <f t="shared" si="553"/>
        <v>0</v>
      </c>
    </row>
    <row r="33003" spans="20:20" ht="18.75" customHeight="1" x14ac:dyDescent="0.35">
      <c r="T33003" s="246">
        <f t="shared" si="553"/>
        <v>0</v>
      </c>
    </row>
    <row r="33004" spans="20:20" ht="18.75" customHeight="1" x14ac:dyDescent="0.35">
      <c r="T33004" s="246">
        <f t="shared" si="553"/>
        <v>0</v>
      </c>
    </row>
    <row r="33005" spans="20:20" ht="18.75" customHeight="1" x14ac:dyDescent="0.35">
      <c r="T33005" s="246">
        <f t="shared" si="553"/>
        <v>0</v>
      </c>
    </row>
    <row r="33006" spans="20:20" ht="18.75" customHeight="1" x14ac:dyDescent="0.35">
      <c r="T33006" s="246">
        <f t="shared" si="553"/>
        <v>0</v>
      </c>
    </row>
    <row r="33007" spans="20:20" ht="18.75" customHeight="1" x14ac:dyDescent="0.35">
      <c r="T33007" s="246">
        <f t="shared" si="553"/>
        <v>0</v>
      </c>
    </row>
    <row r="33008" spans="20:20" ht="18.75" customHeight="1" x14ac:dyDescent="0.35">
      <c r="T33008" s="246">
        <f t="shared" si="553"/>
        <v>0</v>
      </c>
    </row>
    <row r="33009" spans="20:20" ht="18.75" customHeight="1" x14ac:dyDescent="0.35">
      <c r="T33009" s="246">
        <f t="shared" si="553"/>
        <v>0</v>
      </c>
    </row>
    <row r="33010" spans="20:20" ht="18.75" customHeight="1" x14ac:dyDescent="0.35">
      <c r="T33010" s="246">
        <f t="shared" si="553"/>
        <v>0</v>
      </c>
    </row>
    <row r="33011" spans="20:20" ht="18.75" customHeight="1" x14ac:dyDescent="0.35">
      <c r="T33011" s="246">
        <f t="shared" si="553"/>
        <v>0</v>
      </c>
    </row>
    <row r="33012" spans="20:20" ht="18.75" customHeight="1" x14ac:dyDescent="0.35">
      <c r="T33012" s="246">
        <f t="shared" si="553"/>
        <v>0</v>
      </c>
    </row>
    <row r="33013" spans="20:20" ht="18.75" customHeight="1" x14ac:dyDescent="0.35">
      <c r="T33013" s="246">
        <f t="shared" si="553"/>
        <v>0</v>
      </c>
    </row>
    <row r="33014" spans="20:20" ht="18.75" customHeight="1" x14ac:dyDescent="0.35">
      <c r="T33014" s="246">
        <f t="shared" si="553"/>
        <v>0</v>
      </c>
    </row>
    <row r="33015" spans="20:20" ht="18.75" customHeight="1" x14ac:dyDescent="0.35">
      <c r="T33015" s="246">
        <f t="shared" si="553"/>
        <v>0</v>
      </c>
    </row>
    <row r="33016" spans="20:20" ht="18.75" customHeight="1" x14ac:dyDescent="0.35">
      <c r="T33016" s="246">
        <f t="shared" si="553"/>
        <v>0</v>
      </c>
    </row>
    <row r="33017" spans="20:20" ht="18.75" customHeight="1" x14ac:dyDescent="0.35">
      <c r="T33017" s="246">
        <f t="shared" si="553"/>
        <v>0</v>
      </c>
    </row>
    <row r="33018" spans="20:20" ht="18.75" customHeight="1" x14ac:dyDescent="0.35">
      <c r="T33018" s="246">
        <f t="shared" si="553"/>
        <v>0</v>
      </c>
    </row>
    <row r="33019" spans="20:20" ht="18.75" customHeight="1" x14ac:dyDescent="0.35">
      <c r="T33019" s="246">
        <f t="shared" si="553"/>
        <v>0</v>
      </c>
    </row>
    <row r="33020" spans="20:20" ht="18.75" customHeight="1" x14ac:dyDescent="0.35">
      <c r="T33020" s="246">
        <f t="shared" ref="T33020:T33083" si="554">R33020*0.01</f>
        <v>0</v>
      </c>
    </row>
    <row r="33021" spans="20:20" ht="18.75" customHeight="1" x14ac:dyDescent="0.35">
      <c r="T33021" s="246">
        <f t="shared" si="554"/>
        <v>0</v>
      </c>
    </row>
    <row r="33022" spans="20:20" ht="18.75" customHeight="1" x14ac:dyDescent="0.35">
      <c r="T33022" s="246">
        <f t="shared" si="554"/>
        <v>0</v>
      </c>
    </row>
    <row r="33023" spans="20:20" ht="18.75" customHeight="1" x14ac:dyDescent="0.35">
      <c r="T33023" s="246">
        <f t="shared" si="554"/>
        <v>0</v>
      </c>
    </row>
    <row r="33024" spans="20:20" ht="18.75" customHeight="1" x14ac:dyDescent="0.35">
      <c r="T33024" s="246">
        <f t="shared" si="554"/>
        <v>0</v>
      </c>
    </row>
    <row r="33025" spans="20:20" ht="18.75" customHeight="1" x14ac:dyDescent="0.35">
      <c r="T33025" s="246">
        <f t="shared" si="554"/>
        <v>0</v>
      </c>
    </row>
    <row r="33026" spans="20:20" ht="18.75" customHeight="1" x14ac:dyDescent="0.35">
      <c r="T33026" s="246">
        <f t="shared" si="554"/>
        <v>0</v>
      </c>
    </row>
    <row r="33027" spans="20:20" ht="18.75" customHeight="1" x14ac:dyDescent="0.35">
      <c r="T33027" s="246">
        <f t="shared" si="554"/>
        <v>0</v>
      </c>
    </row>
    <row r="33028" spans="20:20" ht="18.75" customHeight="1" x14ac:dyDescent="0.35">
      <c r="T33028" s="246">
        <f t="shared" si="554"/>
        <v>0</v>
      </c>
    </row>
    <row r="33029" spans="20:20" ht="18.75" customHeight="1" x14ac:dyDescent="0.35">
      <c r="T33029" s="246">
        <f t="shared" si="554"/>
        <v>0</v>
      </c>
    </row>
    <row r="33030" spans="20:20" ht="18.75" customHeight="1" x14ac:dyDescent="0.35">
      <c r="T33030" s="246">
        <f t="shared" si="554"/>
        <v>0</v>
      </c>
    </row>
    <row r="33031" spans="20:20" ht="18.75" customHeight="1" x14ac:dyDescent="0.35">
      <c r="T33031" s="246">
        <f t="shared" si="554"/>
        <v>0</v>
      </c>
    </row>
    <row r="33032" spans="20:20" ht="18.75" customHeight="1" x14ac:dyDescent="0.35">
      <c r="T33032" s="246">
        <f t="shared" si="554"/>
        <v>0</v>
      </c>
    </row>
    <row r="33033" spans="20:20" ht="18.75" customHeight="1" x14ac:dyDescent="0.35">
      <c r="T33033" s="246">
        <f t="shared" si="554"/>
        <v>0</v>
      </c>
    </row>
    <row r="33034" spans="20:20" ht="18.75" customHeight="1" x14ac:dyDescent="0.35">
      <c r="T33034" s="246">
        <f t="shared" si="554"/>
        <v>0</v>
      </c>
    </row>
    <row r="33035" spans="20:20" ht="18.75" customHeight="1" x14ac:dyDescent="0.35">
      <c r="T33035" s="246">
        <f t="shared" si="554"/>
        <v>0</v>
      </c>
    </row>
    <row r="33036" spans="20:20" ht="18.75" customHeight="1" x14ac:dyDescent="0.35">
      <c r="T33036" s="246">
        <f t="shared" si="554"/>
        <v>0</v>
      </c>
    </row>
    <row r="33037" spans="20:20" ht="18.75" customHeight="1" x14ac:dyDescent="0.35">
      <c r="T33037" s="246">
        <f t="shared" si="554"/>
        <v>0</v>
      </c>
    </row>
    <row r="33038" spans="20:20" ht="18.75" customHeight="1" x14ac:dyDescent="0.35">
      <c r="T33038" s="246">
        <f t="shared" si="554"/>
        <v>0</v>
      </c>
    </row>
    <row r="33039" spans="20:20" ht="18.75" customHeight="1" x14ac:dyDescent="0.35">
      <c r="T33039" s="246">
        <f t="shared" si="554"/>
        <v>0</v>
      </c>
    </row>
    <row r="33040" spans="20:20" ht="18.75" customHeight="1" x14ac:dyDescent="0.35">
      <c r="T33040" s="246">
        <f t="shared" si="554"/>
        <v>0</v>
      </c>
    </row>
    <row r="33041" spans="20:20" ht="18.75" customHeight="1" x14ac:dyDescent="0.35">
      <c r="T33041" s="246">
        <f t="shared" si="554"/>
        <v>0</v>
      </c>
    </row>
    <row r="33042" spans="20:20" ht="18.75" customHeight="1" x14ac:dyDescent="0.35">
      <c r="T33042" s="246">
        <f t="shared" si="554"/>
        <v>0</v>
      </c>
    </row>
    <row r="33043" spans="20:20" ht="18.75" customHeight="1" x14ac:dyDescent="0.35">
      <c r="T33043" s="246">
        <f t="shared" si="554"/>
        <v>0</v>
      </c>
    </row>
    <row r="33044" spans="20:20" ht="18.75" customHeight="1" x14ac:dyDescent="0.35">
      <c r="T33044" s="246">
        <f t="shared" si="554"/>
        <v>0</v>
      </c>
    </row>
    <row r="33045" spans="20:20" ht="18.75" customHeight="1" x14ac:dyDescent="0.35">
      <c r="T33045" s="246">
        <f t="shared" si="554"/>
        <v>0</v>
      </c>
    </row>
    <row r="33046" spans="20:20" ht="18.75" customHeight="1" x14ac:dyDescent="0.35">
      <c r="T33046" s="246">
        <f t="shared" si="554"/>
        <v>0</v>
      </c>
    </row>
    <row r="33047" spans="20:20" ht="18.75" customHeight="1" x14ac:dyDescent="0.35">
      <c r="T33047" s="246">
        <f t="shared" si="554"/>
        <v>0</v>
      </c>
    </row>
    <row r="33048" spans="20:20" ht="18.75" customHeight="1" x14ac:dyDescent="0.35">
      <c r="T33048" s="246">
        <f t="shared" si="554"/>
        <v>0</v>
      </c>
    </row>
    <row r="33049" spans="20:20" ht="18.75" customHeight="1" x14ac:dyDescent="0.35">
      <c r="T33049" s="246">
        <f t="shared" si="554"/>
        <v>0</v>
      </c>
    </row>
    <row r="33050" spans="20:20" ht="18.75" customHeight="1" x14ac:dyDescent="0.35">
      <c r="T33050" s="246">
        <f t="shared" si="554"/>
        <v>0</v>
      </c>
    </row>
    <row r="33051" spans="20:20" ht="18.75" customHeight="1" x14ac:dyDescent="0.35">
      <c r="T33051" s="246">
        <f t="shared" si="554"/>
        <v>0</v>
      </c>
    </row>
    <row r="33052" spans="20:20" ht="18.75" customHeight="1" x14ac:dyDescent="0.35">
      <c r="T33052" s="246">
        <f t="shared" si="554"/>
        <v>0</v>
      </c>
    </row>
    <row r="33053" spans="20:20" ht="18.75" customHeight="1" x14ac:dyDescent="0.35">
      <c r="T33053" s="246">
        <f t="shared" si="554"/>
        <v>0</v>
      </c>
    </row>
    <row r="33054" spans="20:20" ht="18.75" customHeight="1" x14ac:dyDescent="0.35">
      <c r="T33054" s="246">
        <f t="shared" si="554"/>
        <v>0</v>
      </c>
    </row>
    <row r="33055" spans="20:20" ht="18.75" customHeight="1" x14ac:dyDescent="0.35">
      <c r="T33055" s="246">
        <f t="shared" si="554"/>
        <v>0</v>
      </c>
    </row>
    <row r="33056" spans="20:20" ht="18.75" customHeight="1" x14ac:dyDescent="0.35">
      <c r="T33056" s="246">
        <f t="shared" si="554"/>
        <v>0</v>
      </c>
    </row>
    <row r="33057" spans="20:20" ht="18.75" customHeight="1" x14ac:dyDescent="0.35">
      <c r="T33057" s="246">
        <f t="shared" si="554"/>
        <v>0</v>
      </c>
    </row>
    <row r="33058" spans="20:20" ht="18.75" customHeight="1" x14ac:dyDescent="0.35">
      <c r="T33058" s="246">
        <f t="shared" si="554"/>
        <v>0</v>
      </c>
    </row>
    <row r="33059" spans="20:20" ht="18.75" customHeight="1" x14ac:dyDescent="0.35">
      <c r="T33059" s="246">
        <f t="shared" si="554"/>
        <v>0</v>
      </c>
    </row>
    <row r="33060" spans="20:20" ht="18.75" customHeight="1" x14ac:dyDescent="0.35">
      <c r="T33060" s="246">
        <f t="shared" si="554"/>
        <v>0</v>
      </c>
    </row>
    <row r="33061" spans="20:20" ht="18.75" customHeight="1" x14ac:dyDescent="0.35">
      <c r="T33061" s="246">
        <f t="shared" si="554"/>
        <v>0</v>
      </c>
    </row>
    <row r="33062" spans="20:20" ht="18.75" customHeight="1" x14ac:dyDescent="0.35">
      <c r="T33062" s="246">
        <f t="shared" si="554"/>
        <v>0</v>
      </c>
    </row>
    <row r="33063" spans="20:20" ht="18.75" customHeight="1" x14ac:dyDescent="0.35">
      <c r="T33063" s="246">
        <f t="shared" si="554"/>
        <v>0</v>
      </c>
    </row>
    <row r="33064" spans="20:20" ht="18.75" customHeight="1" x14ac:dyDescent="0.35">
      <c r="T33064" s="246">
        <f t="shared" si="554"/>
        <v>0</v>
      </c>
    </row>
    <row r="33065" spans="20:20" ht="18.75" customHeight="1" x14ac:dyDescent="0.35">
      <c r="T33065" s="246">
        <f t="shared" si="554"/>
        <v>0</v>
      </c>
    </row>
    <row r="33066" spans="20:20" ht="18.75" customHeight="1" x14ac:dyDescent="0.35">
      <c r="T33066" s="246">
        <f t="shared" si="554"/>
        <v>0</v>
      </c>
    </row>
    <row r="33067" spans="20:20" ht="18.75" customHeight="1" x14ac:dyDescent="0.35">
      <c r="T33067" s="246">
        <f t="shared" si="554"/>
        <v>0</v>
      </c>
    </row>
    <row r="33068" spans="20:20" ht="18.75" customHeight="1" x14ac:dyDescent="0.35">
      <c r="T33068" s="246">
        <f t="shared" si="554"/>
        <v>0</v>
      </c>
    </row>
    <row r="33069" spans="20:20" ht="18.75" customHeight="1" x14ac:dyDescent="0.35">
      <c r="T33069" s="246">
        <f t="shared" si="554"/>
        <v>0</v>
      </c>
    </row>
    <row r="33070" spans="20:20" ht="18.75" customHeight="1" x14ac:dyDescent="0.35">
      <c r="T33070" s="246">
        <f t="shared" si="554"/>
        <v>0</v>
      </c>
    </row>
    <row r="33071" spans="20:20" ht="18.75" customHeight="1" x14ac:dyDescent="0.35">
      <c r="T33071" s="246">
        <f t="shared" si="554"/>
        <v>0</v>
      </c>
    </row>
    <row r="33072" spans="20:20" ht="18.75" customHeight="1" x14ac:dyDescent="0.35">
      <c r="T33072" s="246">
        <f t="shared" si="554"/>
        <v>0</v>
      </c>
    </row>
    <row r="33073" spans="20:20" ht="18.75" customHeight="1" x14ac:dyDescent="0.35">
      <c r="T33073" s="246">
        <f t="shared" si="554"/>
        <v>0</v>
      </c>
    </row>
    <row r="33074" spans="20:20" ht="18.75" customHeight="1" x14ac:dyDescent="0.35">
      <c r="T33074" s="246">
        <f t="shared" si="554"/>
        <v>0</v>
      </c>
    </row>
    <row r="33075" spans="20:20" ht="18.75" customHeight="1" x14ac:dyDescent="0.35">
      <c r="T33075" s="246">
        <f t="shared" si="554"/>
        <v>0</v>
      </c>
    </row>
    <row r="33076" spans="20:20" ht="18.75" customHeight="1" x14ac:dyDescent="0.35">
      <c r="T33076" s="246">
        <f t="shared" si="554"/>
        <v>0</v>
      </c>
    </row>
    <row r="33077" spans="20:20" ht="18.75" customHeight="1" x14ac:dyDescent="0.35">
      <c r="T33077" s="246">
        <f t="shared" si="554"/>
        <v>0</v>
      </c>
    </row>
    <row r="33078" spans="20:20" ht="18.75" customHeight="1" x14ac:dyDescent="0.35">
      <c r="T33078" s="246">
        <f t="shared" si="554"/>
        <v>0</v>
      </c>
    </row>
    <row r="33079" spans="20:20" ht="18.75" customHeight="1" x14ac:dyDescent="0.35">
      <c r="T33079" s="246">
        <f t="shared" si="554"/>
        <v>0</v>
      </c>
    </row>
    <row r="33080" spans="20:20" ht="18.75" customHeight="1" x14ac:dyDescent="0.35">
      <c r="T33080" s="246">
        <f t="shared" si="554"/>
        <v>0</v>
      </c>
    </row>
    <row r="33081" spans="20:20" ht="18.75" customHeight="1" x14ac:dyDescent="0.35">
      <c r="T33081" s="246">
        <f t="shared" si="554"/>
        <v>0</v>
      </c>
    </row>
    <row r="33082" spans="20:20" ht="18.75" customHeight="1" x14ac:dyDescent="0.35">
      <c r="T33082" s="246">
        <f t="shared" si="554"/>
        <v>0</v>
      </c>
    </row>
    <row r="33083" spans="20:20" ht="18.75" customHeight="1" x14ac:dyDescent="0.35">
      <c r="T33083" s="246">
        <f t="shared" si="554"/>
        <v>0</v>
      </c>
    </row>
    <row r="33084" spans="20:20" ht="18.75" customHeight="1" x14ac:dyDescent="0.35">
      <c r="T33084" s="246">
        <f t="shared" ref="T33084:T33147" si="555">R33084*0.01</f>
        <v>0</v>
      </c>
    </row>
    <row r="33085" spans="20:20" ht="18.75" customHeight="1" x14ac:dyDescent="0.35">
      <c r="T33085" s="246">
        <f t="shared" si="555"/>
        <v>0</v>
      </c>
    </row>
    <row r="33086" spans="20:20" ht="18.75" customHeight="1" x14ac:dyDescent="0.35">
      <c r="T33086" s="246">
        <f t="shared" si="555"/>
        <v>0</v>
      </c>
    </row>
    <row r="33087" spans="20:20" ht="18.75" customHeight="1" x14ac:dyDescent="0.35">
      <c r="T33087" s="246">
        <f t="shared" si="555"/>
        <v>0</v>
      </c>
    </row>
    <row r="33088" spans="20:20" ht="18.75" customHeight="1" x14ac:dyDescent="0.35">
      <c r="T33088" s="246">
        <f t="shared" si="555"/>
        <v>0</v>
      </c>
    </row>
    <row r="33089" spans="20:20" ht="18.75" customHeight="1" x14ac:dyDescent="0.35">
      <c r="T33089" s="246">
        <f t="shared" si="555"/>
        <v>0</v>
      </c>
    </row>
    <row r="33090" spans="20:20" ht="18.75" customHeight="1" x14ac:dyDescent="0.35">
      <c r="T33090" s="246">
        <f t="shared" si="555"/>
        <v>0</v>
      </c>
    </row>
    <row r="33091" spans="20:20" ht="18.75" customHeight="1" x14ac:dyDescent="0.35">
      <c r="T33091" s="246">
        <f t="shared" si="555"/>
        <v>0</v>
      </c>
    </row>
    <row r="33092" spans="20:20" ht="18.75" customHeight="1" x14ac:dyDescent="0.35">
      <c r="T33092" s="246">
        <f t="shared" si="555"/>
        <v>0</v>
      </c>
    </row>
    <row r="33093" spans="20:20" ht="18.75" customHeight="1" x14ac:dyDescent="0.35">
      <c r="T33093" s="246">
        <f t="shared" si="555"/>
        <v>0</v>
      </c>
    </row>
    <row r="33094" spans="20:20" ht="18.75" customHeight="1" x14ac:dyDescent="0.35">
      <c r="T33094" s="246">
        <f t="shared" si="555"/>
        <v>0</v>
      </c>
    </row>
    <row r="33095" spans="20:20" ht="18.75" customHeight="1" x14ac:dyDescent="0.35">
      <c r="T33095" s="246">
        <f t="shared" si="555"/>
        <v>0</v>
      </c>
    </row>
    <row r="33096" spans="20:20" ht="18.75" customHeight="1" x14ac:dyDescent="0.35">
      <c r="T33096" s="246">
        <f t="shared" si="555"/>
        <v>0</v>
      </c>
    </row>
    <row r="33097" spans="20:20" ht="18.75" customHeight="1" x14ac:dyDescent="0.35">
      <c r="T33097" s="246">
        <f t="shared" si="555"/>
        <v>0</v>
      </c>
    </row>
    <row r="33098" spans="20:20" ht="18.75" customHeight="1" x14ac:dyDescent="0.35">
      <c r="T33098" s="246">
        <f t="shared" si="555"/>
        <v>0</v>
      </c>
    </row>
    <row r="33099" spans="20:20" ht="18.75" customHeight="1" x14ac:dyDescent="0.35">
      <c r="T33099" s="246">
        <f t="shared" si="555"/>
        <v>0</v>
      </c>
    </row>
    <row r="33100" spans="20:20" ht="18.75" customHeight="1" x14ac:dyDescent="0.35">
      <c r="T33100" s="246">
        <f t="shared" si="555"/>
        <v>0</v>
      </c>
    </row>
    <row r="33101" spans="20:20" ht="18.75" customHeight="1" x14ac:dyDescent="0.35">
      <c r="T33101" s="246">
        <f t="shared" si="555"/>
        <v>0</v>
      </c>
    </row>
    <row r="33102" spans="20:20" ht="18.75" customHeight="1" x14ac:dyDescent="0.35">
      <c r="T33102" s="246">
        <f t="shared" si="555"/>
        <v>0</v>
      </c>
    </row>
    <row r="33103" spans="20:20" ht="18.75" customHeight="1" x14ac:dyDescent="0.35">
      <c r="T33103" s="246">
        <f t="shared" si="555"/>
        <v>0</v>
      </c>
    </row>
    <row r="33104" spans="20:20" ht="18.75" customHeight="1" x14ac:dyDescent="0.35">
      <c r="T33104" s="246">
        <f t="shared" si="555"/>
        <v>0</v>
      </c>
    </row>
    <row r="33105" spans="20:20" ht="18.75" customHeight="1" x14ac:dyDescent="0.35">
      <c r="T33105" s="246">
        <f t="shared" si="555"/>
        <v>0</v>
      </c>
    </row>
    <row r="33106" spans="20:20" ht="18.75" customHeight="1" x14ac:dyDescent="0.35">
      <c r="T33106" s="246">
        <f t="shared" si="555"/>
        <v>0</v>
      </c>
    </row>
    <row r="33107" spans="20:20" ht="18.75" customHeight="1" x14ac:dyDescent="0.35">
      <c r="T33107" s="246">
        <f t="shared" si="555"/>
        <v>0</v>
      </c>
    </row>
    <row r="33108" spans="20:20" ht="18.75" customHeight="1" x14ac:dyDescent="0.35">
      <c r="T33108" s="246">
        <f t="shared" si="555"/>
        <v>0</v>
      </c>
    </row>
    <row r="33109" spans="20:20" ht="18.75" customHeight="1" x14ac:dyDescent="0.35">
      <c r="T33109" s="246">
        <f t="shared" si="555"/>
        <v>0</v>
      </c>
    </row>
    <row r="33110" spans="20:20" ht="18.75" customHeight="1" x14ac:dyDescent="0.35">
      <c r="T33110" s="246">
        <f t="shared" si="555"/>
        <v>0</v>
      </c>
    </row>
    <row r="33111" spans="20:20" ht="18.75" customHeight="1" x14ac:dyDescent="0.35">
      <c r="T33111" s="246">
        <f t="shared" si="555"/>
        <v>0</v>
      </c>
    </row>
    <row r="33112" spans="20:20" ht="18.75" customHeight="1" x14ac:dyDescent="0.35">
      <c r="T33112" s="246">
        <f t="shared" si="555"/>
        <v>0</v>
      </c>
    </row>
    <row r="33113" spans="20:20" ht="18.75" customHeight="1" x14ac:dyDescent="0.35">
      <c r="T33113" s="246">
        <f t="shared" si="555"/>
        <v>0</v>
      </c>
    </row>
    <row r="33114" spans="20:20" ht="18.75" customHeight="1" x14ac:dyDescent="0.35">
      <c r="T33114" s="246">
        <f t="shared" si="555"/>
        <v>0</v>
      </c>
    </row>
    <row r="33115" spans="20:20" ht="18.75" customHeight="1" x14ac:dyDescent="0.35">
      <c r="T33115" s="246">
        <f t="shared" si="555"/>
        <v>0</v>
      </c>
    </row>
    <row r="33116" spans="20:20" ht="18.75" customHeight="1" x14ac:dyDescent="0.35">
      <c r="T33116" s="246">
        <f t="shared" si="555"/>
        <v>0</v>
      </c>
    </row>
    <row r="33117" spans="20:20" ht="18.75" customHeight="1" x14ac:dyDescent="0.35">
      <c r="T33117" s="246">
        <f t="shared" si="555"/>
        <v>0</v>
      </c>
    </row>
    <row r="33118" spans="20:20" ht="18.75" customHeight="1" x14ac:dyDescent="0.35">
      <c r="T33118" s="246">
        <f t="shared" si="555"/>
        <v>0</v>
      </c>
    </row>
    <row r="33119" spans="20:20" ht="18.75" customHeight="1" x14ac:dyDescent="0.35">
      <c r="T33119" s="246">
        <f t="shared" si="555"/>
        <v>0</v>
      </c>
    </row>
    <row r="33120" spans="20:20" ht="18.75" customHeight="1" x14ac:dyDescent="0.35">
      <c r="T33120" s="246">
        <f t="shared" si="555"/>
        <v>0</v>
      </c>
    </row>
    <row r="33121" spans="20:20" ht="18.75" customHeight="1" x14ac:dyDescent="0.35">
      <c r="T33121" s="246">
        <f t="shared" si="555"/>
        <v>0</v>
      </c>
    </row>
    <row r="33122" spans="20:20" ht="18.75" customHeight="1" x14ac:dyDescent="0.35">
      <c r="T33122" s="246">
        <f t="shared" si="555"/>
        <v>0</v>
      </c>
    </row>
    <row r="33123" spans="20:20" ht="18.75" customHeight="1" x14ac:dyDescent="0.35">
      <c r="T33123" s="246">
        <f t="shared" si="555"/>
        <v>0</v>
      </c>
    </row>
    <row r="33124" spans="20:20" ht="18.75" customHeight="1" x14ac:dyDescent="0.35">
      <c r="T33124" s="246">
        <f t="shared" si="555"/>
        <v>0</v>
      </c>
    </row>
    <row r="33125" spans="20:20" ht="18.75" customHeight="1" x14ac:dyDescent="0.35">
      <c r="T33125" s="246">
        <f t="shared" si="555"/>
        <v>0</v>
      </c>
    </row>
    <row r="33126" spans="20:20" ht="18.75" customHeight="1" x14ac:dyDescent="0.35">
      <c r="T33126" s="246">
        <f t="shared" si="555"/>
        <v>0</v>
      </c>
    </row>
    <row r="33127" spans="20:20" ht="18.75" customHeight="1" x14ac:dyDescent="0.35">
      <c r="T33127" s="246">
        <f t="shared" si="555"/>
        <v>0</v>
      </c>
    </row>
    <row r="33128" spans="20:20" ht="18.75" customHeight="1" x14ac:dyDescent="0.35">
      <c r="T33128" s="246">
        <f t="shared" si="555"/>
        <v>0</v>
      </c>
    </row>
    <row r="33129" spans="20:20" ht="18.75" customHeight="1" x14ac:dyDescent="0.35">
      <c r="T33129" s="246">
        <f t="shared" si="555"/>
        <v>0</v>
      </c>
    </row>
    <row r="33130" spans="20:20" ht="18.75" customHeight="1" x14ac:dyDescent="0.35">
      <c r="T33130" s="246">
        <f t="shared" si="555"/>
        <v>0</v>
      </c>
    </row>
    <row r="33131" spans="20:20" ht="18.75" customHeight="1" x14ac:dyDescent="0.35">
      <c r="T33131" s="246">
        <f t="shared" si="555"/>
        <v>0</v>
      </c>
    </row>
    <row r="33132" spans="20:20" ht="18.75" customHeight="1" x14ac:dyDescent="0.35">
      <c r="T33132" s="246">
        <f t="shared" si="555"/>
        <v>0</v>
      </c>
    </row>
    <row r="33133" spans="20:20" ht="18.75" customHeight="1" x14ac:dyDescent="0.35">
      <c r="T33133" s="246">
        <f t="shared" si="555"/>
        <v>0</v>
      </c>
    </row>
    <row r="33134" spans="20:20" ht="18.75" customHeight="1" x14ac:dyDescent="0.35">
      <c r="T33134" s="246">
        <f t="shared" si="555"/>
        <v>0</v>
      </c>
    </row>
    <row r="33135" spans="20:20" ht="18.75" customHeight="1" x14ac:dyDescent="0.35">
      <c r="T33135" s="246">
        <f t="shared" si="555"/>
        <v>0</v>
      </c>
    </row>
    <row r="33136" spans="20:20" ht="18.75" customHeight="1" x14ac:dyDescent="0.35">
      <c r="T33136" s="246">
        <f t="shared" si="555"/>
        <v>0</v>
      </c>
    </row>
    <row r="33137" spans="20:20" ht="18.75" customHeight="1" x14ac:dyDescent="0.35">
      <c r="T33137" s="246">
        <f t="shared" si="555"/>
        <v>0</v>
      </c>
    </row>
    <row r="33138" spans="20:20" ht="18.75" customHeight="1" x14ac:dyDescent="0.35">
      <c r="T33138" s="246">
        <f t="shared" si="555"/>
        <v>0</v>
      </c>
    </row>
    <row r="33139" spans="20:20" ht="18.75" customHeight="1" x14ac:dyDescent="0.35">
      <c r="T33139" s="246">
        <f t="shared" si="555"/>
        <v>0</v>
      </c>
    </row>
    <row r="33140" spans="20:20" ht="18.75" customHeight="1" x14ac:dyDescent="0.35">
      <c r="T33140" s="246">
        <f t="shared" si="555"/>
        <v>0</v>
      </c>
    </row>
    <row r="33141" spans="20:20" ht="18.75" customHeight="1" x14ac:dyDescent="0.35">
      <c r="T33141" s="246">
        <f t="shared" si="555"/>
        <v>0</v>
      </c>
    </row>
    <row r="33142" spans="20:20" ht="18.75" customHeight="1" x14ac:dyDescent="0.35">
      <c r="T33142" s="246">
        <f t="shared" si="555"/>
        <v>0</v>
      </c>
    </row>
    <row r="33143" spans="20:20" ht="18.75" customHeight="1" x14ac:dyDescent="0.35">
      <c r="T33143" s="246">
        <f t="shared" si="555"/>
        <v>0</v>
      </c>
    </row>
    <row r="33144" spans="20:20" ht="18.75" customHeight="1" x14ac:dyDescent="0.35">
      <c r="T33144" s="246">
        <f t="shared" si="555"/>
        <v>0</v>
      </c>
    </row>
    <row r="33145" spans="20:20" ht="18.75" customHeight="1" x14ac:dyDescent="0.35">
      <c r="T33145" s="246">
        <f t="shared" si="555"/>
        <v>0</v>
      </c>
    </row>
    <row r="33146" spans="20:20" ht="18.75" customHeight="1" x14ac:dyDescent="0.35">
      <c r="T33146" s="246">
        <f t="shared" si="555"/>
        <v>0</v>
      </c>
    </row>
    <row r="33147" spans="20:20" ht="18.75" customHeight="1" x14ac:dyDescent="0.35">
      <c r="T33147" s="246">
        <f t="shared" si="555"/>
        <v>0</v>
      </c>
    </row>
    <row r="33148" spans="20:20" ht="18.75" customHeight="1" x14ac:dyDescent="0.35">
      <c r="T33148" s="246">
        <f t="shared" ref="T33148:T33211" si="556">R33148*0.01</f>
        <v>0</v>
      </c>
    </row>
    <row r="33149" spans="20:20" ht="18.75" customHeight="1" x14ac:dyDescent="0.35">
      <c r="T33149" s="246">
        <f t="shared" si="556"/>
        <v>0</v>
      </c>
    </row>
    <row r="33150" spans="20:20" ht="18.75" customHeight="1" x14ac:dyDescent="0.35">
      <c r="T33150" s="246">
        <f t="shared" si="556"/>
        <v>0</v>
      </c>
    </row>
    <row r="33151" spans="20:20" ht="18.75" customHeight="1" x14ac:dyDescent="0.35">
      <c r="T33151" s="246">
        <f t="shared" si="556"/>
        <v>0</v>
      </c>
    </row>
    <row r="33152" spans="20:20" ht="18.75" customHeight="1" x14ac:dyDescent="0.35">
      <c r="T33152" s="246">
        <f t="shared" si="556"/>
        <v>0</v>
      </c>
    </row>
    <row r="33153" spans="20:20" ht="18.75" customHeight="1" x14ac:dyDescent="0.35">
      <c r="T33153" s="246">
        <f t="shared" si="556"/>
        <v>0</v>
      </c>
    </row>
    <row r="33154" spans="20:20" ht="18.75" customHeight="1" x14ac:dyDescent="0.35">
      <c r="T33154" s="246">
        <f t="shared" si="556"/>
        <v>0</v>
      </c>
    </row>
    <row r="33155" spans="20:20" ht="18.75" customHeight="1" x14ac:dyDescent="0.35">
      <c r="T33155" s="246">
        <f t="shared" si="556"/>
        <v>0</v>
      </c>
    </row>
    <row r="33156" spans="20:20" ht="18.75" customHeight="1" x14ac:dyDescent="0.35">
      <c r="T33156" s="246">
        <f t="shared" si="556"/>
        <v>0</v>
      </c>
    </row>
    <row r="33157" spans="20:20" ht="18.75" customHeight="1" x14ac:dyDescent="0.35">
      <c r="T33157" s="246">
        <f t="shared" si="556"/>
        <v>0</v>
      </c>
    </row>
    <row r="33158" spans="20:20" ht="18.75" customHeight="1" x14ac:dyDescent="0.35">
      <c r="T33158" s="246">
        <f t="shared" si="556"/>
        <v>0</v>
      </c>
    </row>
    <row r="33159" spans="20:20" ht="18.75" customHeight="1" x14ac:dyDescent="0.35">
      <c r="T33159" s="246">
        <f t="shared" si="556"/>
        <v>0</v>
      </c>
    </row>
    <row r="33160" spans="20:20" ht="18.75" customHeight="1" x14ac:dyDescent="0.35">
      <c r="T33160" s="246">
        <f t="shared" si="556"/>
        <v>0</v>
      </c>
    </row>
    <row r="33161" spans="20:20" ht="18.75" customHeight="1" x14ac:dyDescent="0.35">
      <c r="T33161" s="246">
        <f t="shared" si="556"/>
        <v>0</v>
      </c>
    </row>
    <row r="33162" spans="20:20" ht="18.75" customHeight="1" x14ac:dyDescent="0.35">
      <c r="T33162" s="246">
        <f t="shared" si="556"/>
        <v>0</v>
      </c>
    </row>
    <row r="33163" spans="20:20" ht="18.75" customHeight="1" x14ac:dyDescent="0.35">
      <c r="T33163" s="246">
        <f t="shared" si="556"/>
        <v>0</v>
      </c>
    </row>
    <row r="33164" spans="20:20" ht="18.75" customHeight="1" x14ac:dyDescent="0.35">
      <c r="T33164" s="246">
        <f t="shared" si="556"/>
        <v>0</v>
      </c>
    </row>
    <row r="33165" spans="20:20" ht="18.75" customHeight="1" x14ac:dyDescent="0.35">
      <c r="T33165" s="246">
        <f t="shared" si="556"/>
        <v>0</v>
      </c>
    </row>
    <row r="33166" spans="20:20" ht="18.75" customHeight="1" x14ac:dyDescent="0.35">
      <c r="T33166" s="246">
        <f t="shared" si="556"/>
        <v>0</v>
      </c>
    </row>
    <row r="33167" spans="20:20" ht="18.75" customHeight="1" x14ac:dyDescent="0.35">
      <c r="T33167" s="246">
        <f t="shared" si="556"/>
        <v>0</v>
      </c>
    </row>
    <row r="33168" spans="20:20" ht="18.75" customHeight="1" x14ac:dyDescent="0.35">
      <c r="T33168" s="246">
        <f t="shared" si="556"/>
        <v>0</v>
      </c>
    </row>
    <row r="33169" spans="20:20" ht="18.75" customHeight="1" x14ac:dyDescent="0.35">
      <c r="T33169" s="246">
        <f t="shared" si="556"/>
        <v>0</v>
      </c>
    </row>
    <row r="33170" spans="20:20" ht="18.75" customHeight="1" x14ac:dyDescent="0.35">
      <c r="T33170" s="246">
        <f t="shared" si="556"/>
        <v>0</v>
      </c>
    </row>
    <row r="33171" spans="20:20" ht="18.75" customHeight="1" x14ac:dyDescent="0.35">
      <c r="T33171" s="246">
        <f t="shared" si="556"/>
        <v>0</v>
      </c>
    </row>
    <row r="33172" spans="20:20" ht="18.75" customHeight="1" x14ac:dyDescent="0.35">
      <c r="T33172" s="246">
        <f t="shared" si="556"/>
        <v>0</v>
      </c>
    </row>
    <row r="33173" spans="20:20" ht="18.75" customHeight="1" x14ac:dyDescent="0.35">
      <c r="T33173" s="246">
        <f t="shared" si="556"/>
        <v>0</v>
      </c>
    </row>
    <row r="33174" spans="20:20" ht="18.75" customHeight="1" x14ac:dyDescent="0.35">
      <c r="T33174" s="246">
        <f t="shared" si="556"/>
        <v>0</v>
      </c>
    </row>
    <row r="33175" spans="20:20" ht="18.75" customHeight="1" x14ac:dyDescent="0.35">
      <c r="T33175" s="246">
        <f t="shared" si="556"/>
        <v>0</v>
      </c>
    </row>
    <row r="33176" spans="20:20" ht="18.75" customHeight="1" x14ac:dyDescent="0.35">
      <c r="T33176" s="246">
        <f t="shared" si="556"/>
        <v>0</v>
      </c>
    </row>
    <row r="33177" spans="20:20" ht="18.75" customHeight="1" x14ac:dyDescent="0.35">
      <c r="T33177" s="246">
        <f t="shared" si="556"/>
        <v>0</v>
      </c>
    </row>
    <row r="33178" spans="20:20" ht="18.75" customHeight="1" x14ac:dyDescent="0.35">
      <c r="T33178" s="246">
        <f t="shared" si="556"/>
        <v>0</v>
      </c>
    </row>
    <row r="33179" spans="20:20" ht="18.75" customHeight="1" x14ac:dyDescent="0.35">
      <c r="T33179" s="246">
        <f t="shared" si="556"/>
        <v>0</v>
      </c>
    </row>
    <row r="33180" spans="20:20" ht="18.75" customHeight="1" x14ac:dyDescent="0.35">
      <c r="T33180" s="246">
        <f t="shared" si="556"/>
        <v>0</v>
      </c>
    </row>
    <row r="33181" spans="20:20" ht="18.75" customHeight="1" x14ac:dyDescent="0.35">
      <c r="T33181" s="246">
        <f t="shared" si="556"/>
        <v>0</v>
      </c>
    </row>
    <row r="33182" spans="20:20" ht="18.75" customHeight="1" x14ac:dyDescent="0.35">
      <c r="T33182" s="246">
        <f t="shared" si="556"/>
        <v>0</v>
      </c>
    </row>
    <row r="33183" spans="20:20" ht="18.75" customHeight="1" x14ac:dyDescent="0.35">
      <c r="T33183" s="246">
        <f t="shared" si="556"/>
        <v>0</v>
      </c>
    </row>
    <row r="33184" spans="20:20" ht="18.75" customHeight="1" x14ac:dyDescent="0.35">
      <c r="T33184" s="246">
        <f t="shared" si="556"/>
        <v>0</v>
      </c>
    </row>
    <row r="33185" spans="20:20" ht="18.75" customHeight="1" x14ac:dyDescent="0.35">
      <c r="T33185" s="246">
        <f t="shared" si="556"/>
        <v>0</v>
      </c>
    </row>
    <row r="33186" spans="20:20" ht="18.75" customHeight="1" x14ac:dyDescent="0.35">
      <c r="T33186" s="246">
        <f t="shared" si="556"/>
        <v>0</v>
      </c>
    </row>
    <row r="33187" spans="20:20" ht="18.75" customHeight="1" x14ac:dyDescent="0.35">
      <c r="T33187" s="246">
        <f t="shared" si="556"/>
        <v>0</v>
      </c>
    </row>
    <row r="33188" spans="20:20" ht="18.75" customHeight="1" x14ac:dyDescent="0.35">
      <c r="T33188" s="246">
        <f t="shared" si="556"/>
        <v>0</v>
      </c>
    </row>
    <row r="33189" spans="20:20" ht="18.75" customHeight="1" x14ac:dyDescent="0.35">
      <c r="T33189" s="246">
        <f t="shared" si="556"/>
        <v>0</v>
      </c>
    </row>
    <row r="33190" spans="20:20" ht="18.75" customHeight="1" x14ac:dyDescent="0.35">
      <c r="T33190" s="246">
        <f t="shared" si="556"/>
        <v>0</v>
      </c>
    </row>
    <row r="33191" spans="20:20" ht="18.75" customHeight="1" x14ac:dyDescent="0.35">
      <c r="T33191" s="246">
        <f t="shared" si="556"/>
        <v>0</v>
      </c>
    </row>
    <row r="33192" spans="20:20" ht="18.75" customHeight="1" x14ac:dyDescent="0.35">
      <c r="T33192" s="246">
        <f t="shared" si="556"/>
        <v>0</v>
      </c>
    </row>
    <row r="33193" spans="20:20" ht="18.75" customHeight="1" x14ac:dyDescent="0.35">
      <c r="T33193" s="246">
        <f t="shared" si="556"/>
        <v>0</v>
      </c>
    </row>
    <row r="33194" spans="20:20" ht="18.75" customHeight="1" x14ac:dyDescent="0.35">
      <c r="T33194" s="246">
        <f t="shared" si="556"/>
        <v>0</v>
      </c>
    </row>
    <row r="33195" spans="20:20" ht="18.75" customHeight="1" x14ac:dyDescent="0.35">
      <c r="T33195" s="246">
        <f t="shared" si="556"/>
        <v>0</v>
      </c>
    </row>
    <row r="33196" spans="20:20" ht="18.75" customHeight="1" x14ac:dyDescent="0.35">
      <c r="T33196" s="246">
        <f t="shared" si="556"/>
        <v>0</v>
      </c>
    </row>
    <row r="33197" spans="20:20" ht="18.75" customHeight="1" x14ac:dyDescent="0.35">
      <c r="T33197" s="246">
        <f t="shared" si="556"/>
        <v>0</v>
      </c>
    </row>
    <row r="33198" spans="20:20" ht="18.75" customHeight="1" x14ac:dyDescent="0.35">
      <c r="T33198" s="246">
        <f t="shared" si="556"/>
        <v>0</v>
      </c>
    </row>
    <row r="33199" spans="20:20" ht="18.75" customHeight="1" x14ac:dyDescent="0.35">
      <c r="T33199" s="246">
        <f t="shared" si="556"/>
        <v>0</v>
      </c>
    </row>
    <row r="33200" spans="20:20" ht="18.75" customHeight="1" x14ac:dyDescent="0.35">
      <c r="T33200" s="246">
        <f t="shared" si="556"/>
        <v>0</v>
      </c>
    </row>
    <row r="33201" spans="20:20" ht="18.75" customHeight="1" x14ac:dyDescent="0.35">
      <c r="T33201" s="246">
        <f t="shared" si="556"/>
        <v>0</v>
      </c>
    </row>
    <row r="33202" spans="20:20" ht="18.75" customHeight="1" x14ac:dyDescent="0.35">
      <c r="T33202" s="246">
        <f t="shared" si="556"/>
        <v>0</v>
      </c>
    </row>
    <row r="33203" spans="20:20" ht="18.75" customHeight="1" x14ac:dyDescent="0.35">
      <c r="T33203" s="246">
        <f t="shared" si="556"/>
        <v>0</v>
      </c>
    </row>
    <row r="33204" spans="20:20" ht="18.75" customHeight="1" x14ac:dyDescent="0.35">
      <c r="T33204" s="246">
        <f t="shared" si="556"/>
        <v>0</v>
      </c>
    </row>
    <row r="33205" spans="20:20" ht="18.75" customHeight="1" x14ac:dyDescent="0.35">
      <c r="T33205" s="246">
        <f t="shared" si="556"/>
        <v>0</v>
      </c>
    </row>
    <row r="33206" spans="20:20" ht="18.75" customHeight="1" x14ac:dyDescent="0.35">
      <c r="T33206" s="246">
        <f t="shared" si="556"/>
        <v>0</v>
      </c>
    </row>
    <row r="33207" spans="20:20" ht="18.75" customHeight="1" x14ac:dyDescent="0.35">
      <c r="T33207" s="246">
        <f t="shared" si="556"/>
        <v>0</v>
      </c>
    </row>
    <row r="33208" spans="20:20" ht="18.75" customHeight="1" x14ac:dyDescent="0.35">
      <c r="T33208" s="246">
        <f t="shared" si="556"/>
        <v>0</v>
      </c>
    </row>
    <row r="33209" spans="20:20" ht="18.75" customHeight="1" x14ac:dyDescent="0.35">
      <c r="T33209" s="246">
        <f t="shared" si="556"/>
        <v>0</v>
      </c>
    </row>
    <row r="33210" spans="20:20" ht="18.75" customHeight="1" x14ac:dyDescent="0.35">
      <c r="T33210" s="246">
        <f t="shared" si="556"/>
        <v>0</v>
      </c>
    </row>
    <row r="33211" spans="20:20" ht="18.75" customHeight="1" x14ac:dyDescent="0.35">
      <c r="T33211" s="246">
        <f t="shared" si="556"/>
        <v>0</v>
      </c>
    </row>
    <row r="33212" spans="20:20" ht="18.75" customHeight="1" x14ac:dyDescent="0.35">
      <c r="T33212" s="246">
        <f t="shared" ref="T33212:T33275" si="557">R33212*0.01</f>
        <v>0</v>
      </c>
    </row>
    <row r="33213" spans="20:20" ht="18.75" customHeight="1" x14ac:dyDescent="0.35">
      <c r="T33213" s="246">
        <f t="shared" si="557"/>
        <v>0</v>
      </c>
    </row>
    <row r="33214" spans="20:20" ht="18.75" customHeight="1" x14ac:dyDescent="0.35">
      <c r="T33214" s="246">
        <f t="shared" si="557"/>
        <v>0</v>
      </c>
    </row>
    <row r="33215" spans="20:20" ht="18.75" customHeight="1" x14ac:dyDescent="0.35">
      <c r="T33215" s="246">
        <f t="shared" si="557"/>
        <v>0</v>
      </c>
    </row>
    <row r="33216" spans="20:20" ht="18.75" customHeight="1" x14ac:dyDescent="0.35">
      <c r="T33216" s="246">
        <f t="shared" si="557"/>
        <v>0</v>
      </c>
    </row>
    <row r="33217" spans="20:20" ht="18.75" customHeight="1" x14ac:dyDescent="0.35">
      <c r="T33217" s="246">
        <f t="shared" si="557"/>
        <v>0</v>
      </c>
    </row>
    <row r="33218" spans="20:20" ht="18.75" customHeight="1" x14ac:dyDescent="0.35">
      <c r="T33218" s="246">
        <f t="shared" si="557"/>
        <v>0</v>
      </c>
    </row>
    <row r="33219" spans="20:20" ht="18.75" customHeight="1" x14ac:dyDescent="0.35">
      <c r="T33219" s="246">
        <f t="shared" si="557"/>
        <v>0</v>
      </c>
    </row>
    <row r="33220" spans="20:20" ht="18.75" customHeight="1" x14ac:dyDescent="0.35">
      <c r="T33220" s="246">
        <f t="shared" si="557"/>
        <v>0</v>
      </c>
    </row>
    <row r="33221" spans="20:20" ht="18.75" customHeight="1" x14ac:dyDescent="0.35">
      <c r="T33221" s="246">
        <f t="shared" si="557"/>
        <v>0</v>
      </c>
    </row>
    <row r="33222" spans="20:20" ht="18.75" customHeight="1" x14ac:dyDescent="0.35">
      <c r="T33222" s="246">
        <f t="shared" si="557"/>
        <v>0</v>
      </c>
    </row>
    <row r="33223" spans="20:20" ht="18.75" customHeight="1" x14ac:dyDescent="0.35">
      <c r="T33223" s="246">
        <f t="shared" si="557"/>
        <v>0</v>
      </c>
    </row>
    <row r="33224" spans="20:20" ht="18.75" customHeight="1" x14ac:dyDescent="0.35">
      <c r="T33224" s="246">
        <f t="shared" si="557"/>
        <v>0</v>
      </c>
    </row>
    <row r="33225" spans="20:20" ht="18.75" customHeight="1" x14ac:dyDescent="0.35">
      <c r="T33225" s="246">
        <f t="shared" si="557"/>
        <v>0</v>
      </c>
    </row>
    <row r="33226" spans="20:20" ht="18.75" customHeight="1" x14ac:dyDescent="0.35">
      <c r="T33226" s="246">
        <f t="shared" si="557"/>
        <v>0</v>
      </c>
    </row>
    <row r="33227" spans="20:20" ht="18.75" customHeight="1" x14ac:dyDescent="0.35">
      <c r="T33227" s="246">
        <f t="shared" si="557"/>
        <v>0</v>
      </c>
    </row>
    <row r="33228" spans="20:20" ht="18.75" customHeight="1" x14ac:dyDescent="0.35">
      <c r="T33228" s="246">
        <f t="shared" si="557"/>
        <v>0</v>
      </c>
    </row>
    <row r="33229" spans="20:20" ht="18.75" customHeight="1" x14ac:dyDescent="0.35">
      <c r="T33229" s="246">
        <f t="shared" si="557"/>
        <v>0</v>
      </c>
    </row>
    <row r="33230" spans="20:20" ht="18.75" customHeight="1" x14ac:dyDescent="0.35">
      <c r="T33230" s="246">
        <f t="shared" si="557"/>
        <v>0</v>
      </c>
    </row>
    <row r="33231" spans="20:20" ht="18.75" customHeight="1" x14ac:dyDescent="0.35">
      <c r="T33231" s="246">
        <f t="shared" si="557"/>
        <v>0</v>
      </c>
    </row>
    <row r="33232" spans="20:20" ht="18.75" customHeight="1" x14ac:dyDescent="0.35">
      <c r="T33232" s="246">
        <f t="shared" si="557"/>
        <v>0</v>
      </c>
    </row>
    <row r="33233" spans="20:20" ht="18.75" customHeight="1" x14ac:dyDescent="0.35">
      <c r="T33233" s="246">
        <f t="shared" si="557"/>
        <v>0</v>
      </c>
    </row>
    <row r="33234" spans="20:20" ht="18.75" customHeight="1" x14ac:dyDescent="0.35">
      <c r="T33234" s="246">
        <f t="shared" si="557"/>
        <v>0</v>
      </c>
    </row>
    <row r="33235" spans="20:20" ht="18.75" customHeight="1" x14ac:dyDescent="0.35">
      <c r="T33235" s="246">
        <f t="shared" si="557"/>
        <v>0</v>
      </c>
    </row>
    <row r="33236" spans="20:20" ht="18.75" customHeight="1" x14ac:dyDescent="0.35">
      <c r="T33236" s="246">
        <f t="shared" si="557"/>
        <v>0</v>
      </c>
    </row>
    <row r="33237" spans="20:20" ht="18.75" customHeight="1" x14ac:dyDescent="0.35">
      <c r="T33237" s="246">
        <f t="shared" si="557"/>
        <v>0</v>
      </c>
    </row>
    <row r="33238" spans="20:20" ht="18.75" customHeight="1" x14ac:dyDescent="0.35">
      <c r="T33238" s="246">
        <f t="shared" si="557"/>
        <v>0</v>
      </c>
    </row>
    <row r="33239" spans="20:20" ht="18.75" customHeight="1" x14ac:dyDescent="0.35">
      <c r="T33239" s="246">
        <f t="shared" si="557"/>
        <v>0</v>
      </c>
    </row>
    <row r="33240" spans="20:20" ht="18.75" customHeight="1" x14ac:dyDescent="0.35">
      <c r="T33240" s="246">
        <f t="shared" si="557"/>
        <v>0</v>
      </c>
    </row>
    <row r="33241" spans="20:20" ht="18.75" customHeight="1" x14ac:dyDescent="0.35">
      <c r="T33241" s="246">
        <f t="shared" si="557"/>
        <v>0</v>
      </c>
    </row>
    <row r="33242" spans="20:20" ht="18.75" customHeight="1" x14ac:dyDescent="0.35">
      <c r="T33242" s="246">
        <f t="shared" si="557"/>
        <v>0</v>
      </c>
    </row>
    <row r="33243" spans="20:20" ht="18.75" customHeight="1" x14ac:dyDescent="0.35">
      <c r="T33243" s="246">
        <f t="shared" si="557"/>
        <v>0</v>
      </c>
    </row>
    <row r="33244" spans="20:20" ht="18.75" customHeight="1" x14ac:dyDescent="0.35">
      <c r="T33244" s="246">
        <f t="shared" si="557"/>
        <v>0</v>
      </c>
    </row>
    <row r="33245" spans="20:20" ht="18.75" customHeight="1" x14ac:dyDescent="0.35">
      <c r="T33245" s="246">
        <f t="shared" si="557"/>
        <v>0</v>
      </c>
    </row>
    <row r="33246" spans="20:20" ht="18.75" customHeight="1" x14ac:dyDescent="0.35">
      <c r="T33246" s="246">
        <f t="shared" si="557"/>
        <v>0</v>
      </c>
    </row>
    <row r="33247" spans="20:20" ht="18.75" customHeight="1" x14ac:dyDescent="0.35">
      <c r="T33247" s="246">
        <f t="shared" si="557"/>
        <v>0</v>
      </c>
    </row>
    <row r="33248" spans="20:20" ht="18.75" customHeight="1" x14ac:dyDescent="0.35">
      <c r="T33248" s="246">
        <f t="shared" si="557"/>
        <v>0</v>
      </c>
    </row>
    <row r="33249" spans="20:20" ht="18.75" customHeight="1" x14ac:dyDescent="0.35">
      <c r="T33249" s="246">
        <f t="shared" si="557"/>
        <v>0</v>
      </c>
    </row>
    <row r="33250" spans="20:20" ht="18.75" customHeight="1" x14ac:dyDescent="0.35">
      <c r="T33250" s="246">
        <f t="shared" si="557"/>
        <v>0</v>
      </c>
    </row>
    <row r="33251" spans="20:20" ht="18.75" customHeight="1" x14ac:dyDescent="0.35">
      <c r="T33251" s="246">
        <f t="shared" si="557"/>
        <v>0</v>
      </c>
    </row>
    <row r="33252" spans="20:20" ht="18.75" customHeight="1" x14ac:dyDescent="0.35">
      <c r="T33252" s="246">
        <f t="shared" si="557"/>
        <v>0</v>
      </c>
    </row>
    <row r="33253" spans="20:20" ht="18.75" customHeight="1" x14ac:dyDescent="0.35">
      <c r="T33253" s="246">
        <f t="shared" si="557"/>
        <v>0</v>
      </c>
    </row>
    <row r="33254" spans="20:20" ht="18.75" customHeight="1" x14ac:dyDescent="0.35">
      <c r="T33254" s="246">
        <f t="shared" si="557"/>
        <v>0</v>
      </c>
    </row>
    <row r="33255" spans="20:20" ht="18.75" customHeight="1" x14ac:dyDescent="0.35">
      <c r="T33255" s="246">
        <f t="shared" si="557"/>
        <v>0</v>
      </c>
    </row>
    <row r="33256" spans="20:20" ht="18.75" customHeight="1" x14ac:dyDescent="0.35">
      <c r="T33256" s="246">
        <f t="shared" si="557"/>
        <v>0</v>
      </c>
    </row>
    <row r="33257" spans="20:20" ht="18.75" customHeight="1" x14ac:dyDescent="0.35">
      <c r="T33257" s="246">
        <f t="shared" si="557"/>
        <v>0</v>
      </c>
    </row>
    <row r="33258" spans="20:20" ht="18.75" customHeight="1" x14ac:dyDescent="0.35">
      <c r="T33258" s="246">
        <f t="shared" si="557"/>
        <v>0</v>
      </c>
    </row>
    <row r="33259" spans="20:20" ht="18.75" customHeight="1" x14ac:dyDescent="0.35">
      <c r="T33259" s="246">
        <f t="shared" si="557"/>
        <v>0</v>
      </c>
    </row>
    <row r="33260" spans="20:20" ht="18.75" customHeight="1" x14ac:dyDescent="0.35">
      <c r="T33260" s="246">
        <f t="shared" si="557"/>
        <v>0</v>
      </c>
    </row>
    <row r="33261" spans="20:20" ht="18.75" customHeight="1" x14ac:dyDescent="0.35">
      <c r="T33261" s="246">
        <f t="shared" si="557"/>
        <v>0</v>
      </c>
    </row>
    <row r="33262" spans="20:20" ht="18.75" customHeight="1" x14ac:dyDescent="0.35">
      <c r="T33262" s="246">
        <f t="shared" si="557"/>
        <v>0</v>
      </c>
    </row>
    <row r="33263" spans="20:20" ht="18.75" customHeight="1" x14ac:dyDescent="0.35">
      <c r="T33263" s="246">
        <f t="shared" si="557"/>
        <v>0</v>
      </c>
    </row>
    <row r="33264" spans="20:20" ht="18.75" customHeight="1" x14ac:dyDescent="0.35">
      <c r="T33264" s="246">
        <f t="shared" si="557"/>
        <v>0</v>
      </c>
    </row>
    <row r="33265" spans="20:20" ht="18.75" customHeight="1" x14ac:dyDescent="0.35">
      <c r="T33265" s="246">
        <f t="shared" si="557"/>
        <v>0</v>
      </c>
    </row>
    <row r="33266" spans="20:20" ht="18.75" customHeight="1" x14ac:dyDescent="0.35">
      <c r="T33266" s="246">
        <f t="shared" si="557"/>
        <v>0</v>
      </c>
    </row>
    <row r="33267" spans="20:20" ht="18.75" customHeight="1" x14ac:dyDescent="0.35">
      <c r="T33267" s="246">
        <f t="shared" si="557"/>
        <v>0</v>
      </c>
    </row>
    <row r="33268" spans="20:20" ht="18.75" customHeight="1" x14ac:dyDescent="0.35">
      <c r="T33268" s="246">
        <f t="shared" si="557"/>
        <v>0</v>
      </c>
    </row>
    <row r="33269" spans="20:20" ht="18.75" customHeight="1" x14ac:dyDescent="0.35">
      <c r="T33269" s="246">
        <f t="shared" si="557"/>
        <v>0</v>
      </c>
    </row>
    <row r="33270" spans="20:20" ht="18.75" customHeight="1" x14ac:dyDescent="0.35">
      <c r="T33270" s="246">
        <f t="shared" si="557"/>
        <v>0</v>
      </c>
    </row>
    <row r="33271" spans="20:20" ht="18.75" customHeight="1" x14ac:dyDescent="0.35">
      <c r="T33271" s="246">
        <f t="shared" si="557"/>
        <v>0</v>
      </c>
    </row>
    <row r="33272" spans="20:20" ht="18.75" customHeight="1" x14ac:dyDescent="0.35">
      <c r="T33272" s="246">
        <f t="shared" si="557"/>
        <v>0</v>
      </c>
    </row>
    <row r="33273" spans="20:20" ht="18.75" customHeight="1" x14ac:dyDescent="0.35">
      <c r="T33273" s="246">
        <f t="shared" si="557"/>
        <v>0</v>
      </c>
    </row>
    <row r="33274" spans="20:20" ht="18.75" customHeight="1" x14ac:dyDescent="0.35">
      <c r="T33274" s="246">
        <f t="shared" si="557"/>
        <v>0</v>
      </c>
    </row>
    <row r="33275" spans="20:20" ht="18.75" customHeight="1" x14ac:dyDescent="0.35">
      <c r="T33275" s="246">
        <f t="shared" si="557"/>
        <v>0</v>
      </c>
    </row>
    <row r="33276" spans="20:20" ht="18.75" customHeight="1" x14ac:dyDescent="0.35">
      <c r="T33276" s="246">
        <f t="shared" ref="T33276:T33339" si="558">R33276*0.01</f>
        <v>0</v>
      </c>
    </row>
    <row r="33277" spans="20:20" ht="18.75" customHeight="1" x14ac:dyDescent="0.35">
      <c r="T33277" s="246">
        <f t="shared" si="558"/>
        <v>0</v>
      </c>
    </row>
    <row r="33278" spans="20:20" ht="18.75" customHeight="1" x14ac:dyDescent="0.35">
      <c r="T33278" s="246">
        <f t="shared" si="558"/>
        <v>0</v>
      </c>
    </row>
    <row r="33279" spans="20:20" ht="18.75" customHeight="1" x14ac:dyDescent="0.35">
      <c r="T33279" s="246">
        <f t="shared" si="558"/>
        <v>0</v>
      </c>
    </row>
    <row r="33280" spans="20:20" ht="18.75" customHeight="1" x14ac:dyDescent="0.35">
      <c r="T33280" s="246">
        <f t="shared" si="558"/>
        <v>0</v>
      </c>
    </row>
    <row r="33281" spans="20:20" ht="18.75" customHeight="1" x14ac:dyDescent="0.35">
      <c r="T33281" s="246">
        <f t="shared" si="558"/>
        <v>0</v>
      </c>
    </row>
    <row r="33282" spans="20:20" ht="18.75" customHeight="1" x14ac:dyDescent="0.35">
      <c r="T33282" s="246">
        <f t="shared" si="558"/>
        <v>0</v>
      </c>
    </row>
    <row r="33283" spans="20:20" ht="18.75" customHeight="1" x14ac:dyDescent="0.35">
      <c r="T33283" s="246">
        <f t="shared" si="558"/>
        <v>0</v>
      </c>
    </row>
    <row r="33284" spans="20:20" ht="18.75" customHeight="1" x14ac:dyDescent="0.35">
      <c r="T33284" s="246">
        <f t="shared" si="558"/>
        <v>0</v>
      </c>
    </row>
    <row r="33285" spans="20:20" ht="18.75" customHeight="1" x14ac:dyDescent="0.35">
      <c r="T33285" s="246">
        <f t="shared" si="558"/>
        <v>0</v>
      </c>
    </row>
    <row r="33286" spans="20:20" ht="18.75" customHeight="1" x14ac:dyDescent="0.35">
      <c r="T33286" s="246">
        <f t="shared" si="558"/>
        <v>0</v>
      </c>
    </row>
    <row r="33287" spans="20:20" ht="18.75" customHeight="1" x14ac:dyDescent="0.35">
      <c r="T33287" s="246">
        <f t="shared" si="558"/>
        <v>0</v>
      </c>
    </row>
    <row r="33288" spans="20:20" ht="18.75" customHeight="1" x14ac:dyDescent="0.35">
      <c r="T33288" s="246">
        <f t="shared" si="558"/>
        <v>0</v>
      </c>
    </row>
    <row r="33289" spans="20:20" ht="18.75" customHeight="1" x14ac:dyDescent="0.35">
      <c r="T33289" s="246">
        <f t="shared" si="558"/>
        <v>0</v>
      </c>
    </row>
    <row r="33290" spans="20:20" ht="18.75" customHeight="1" x14ac:dyDescent="0.35">
      <c r="T33290" s="246">
        <f t="shared" si="558"/>
        <v>0</v>
      </c>
    </row>
    <row r="33291" spans="20:20" ht="18.75" customHeight="1" x14ac:dyDescent="0.35">
      <c r="T33291" s="246">
        <f t="shared" si="558"/>
        <v>0</v>
      </c>
    </row>
    <row r="33292" spans="20:20" ht="18.75" customHeight="1" x14ac:dyDescent="0.35">
      <c r="T33292" s="246">
        <f t="shared" si="558"/>
        <v>0</v>
      </c>
    </row>
    <row r="33293" spans="20:20" ht="18.75" customHeight="1" x14ac:dyDescent="0.35">
      <c r="T33293" s="246">
        <f t="shared" si="558"/>
        <v>0</v>
      </c>
    </row>
    <row r="33294" spans="20:20" ht="18.75" customHeight="1" x14ac:dyDescent="0.35">
      <c r="T33294" s="246">
        <f t="shared" si="558"/>
        <v>0</v>
      </c>
    </row>
    <row r="33295" spans="20:20" ht="18.75" customHeight="1" x14ac:dyDescent="0.35">
      <c r="T33295" s="246">
        <f t="shared" si="558"/>
        <v>0</v>
      </c>
    </row>
    <row r="33296" spans="20:20" ht="18.75" customHeight="1" x14ac:dyDescent="0.35">
      <c r="T33296" s="246">
        <f t="shared" si="558"/>
        <v>0</v>
      </c>
    </row>
    <row r="33297" spans="20:20" ht="18.75" customHeight="1" x14ac:dyDescent="0.35">
      <c r="T33297" s="246">
        <f t="shared" si="558"/>
        <v>0</v>
      </c>
    </row>
    <row r="33298" spans="20:20" ht="18.75" customHeight="1" x14ac:dyDescent="0.35">
      <c r="T33298" s="246">
        <f t="shared" si="558"/>
        <v>0</v>
      </c>
    </row>
    <row r="33299" spans="20:20" ht="18.75" customHeight="1" x14ac:dyDescent="0.35">
      <c r="T33299" s="246">
        <f t="shared" si="558"/>
        <v>0</v>
      </c>
    </row>
    <row r="33300" spans="20:20" ht="18.75" customHeight="1" x14ac:dyDescent="0.35">
      <c r="T33300" s="246">
        <f t="shared" si="558"/>
        <v>0</v>
      </c>
    </row>
    <row r="33301" spans="20:20" ht="18.75" customHeight="1" x14ac:dyDescent="0.35">
      <c r="T33301" s="246">
        <f t="shared" si="558"/>
        <v>0</v>
      </c>
    </row>
    <row r="33302" spans="20:20" ht="18.75" customHeight="1" x14ac:dyDescent="0.35">
      <c r="T33302" s="246">
        <f t="shared" si="558"/>
        <v>0</v>
      </c>
    </row>
    <row r="33303" spans="20:20" ht="18.75" customHeight="1" x14ac:dyDescent="0.35">
      <c r="T33303" s="246">
        <f t="shared" si="558"/>
        <v>0</v>
      </c>
    </row>
    <row r="33304" spans="20:20" ht="18.75" customHeight="1" x14ac:dyDescent="0.35">
      <c r="T33304" s="246">
        <f t="shared" si="558"/>
        <v>0</v>
      </c>
    </row>
    <row r="33305" spans="20:20" ht="18.75" customHeight="1" x14ac:dyDescent="0.35">
      <c r="T33305" s="246">
        <f t="shared" si="558"/>
        <v>0</v>
      </c>
    </row>
    <row r="33306" spans="20:20" ht="18.75" customHeight="1" x14ac:dyDescent="0.35">
      <c r="T33306" s="246">
        <f t="shared" si="558"/>
        <v>0</v>
      </c>
    </row>
    <row r="33307" spans="20:20" ht="18.75" customHeight="1" x14ac:dyDescent="0.35">
      <c r="T33307" s="246">
        <f t="shared" si="558"/>
        <v>0</v>
      </c>
    </row>
    <row r="33308" spans="20:20" ht="18.75" customHeight="1" x14ac:dyDescent="0.35">
      <c r="T33308" s="246">
        <f t="shared" si="558"/>
        <v>0</v>
      </c>
    </row>
    <row r="33309" spans="20:20" ht="18.75" customHeight="1" x14ac:dyDescent="0.35">
      <c r="T33309" s="246">
        <f t="shared" si="558"/>
        <v>0</v>
      </c>
    </row>
    <row r="33310" spans="20:20" ht="18.75" customHeight="1" x14ac:dyDescent="0.35">
      <c r="T33310" s="246">
        <f t="shared" si="558"/>
        <v>0</v>
      </c>
    </row>
    <row r="33311" spans="20:20" ht="18.75" customHeight="1" x14ac:dyDescent="0.35">
      <c r="T33311" s="246">
        <f t="shared" si="558"/>
        <v>0</v>
      </c>
    </row>
    <row r="33312" spans="20:20" ht="18.75" customHeight="1" x14ac:dyDescent="0.35">
      <c r="T33312" s="246">
        <f t="shared" si="558"/>
        <v>0</v>
      </c>
    </row>
    <row r="33313" spans="20:20" ht="18.75" customHeight="1" x14ac:dyDescent="0.35">
      <c r="T33313" s="246">
        <f t="shared" si="558"/>
        <v>0</v>
      </c>
    </row>
    <row r="33314" spans="20:20" ht="18.75" customHeight="1" x14ac:dyDescent="0.35">
      <c r="T33314" s="246">
        <f t="shared" si="558"/>
        <v>0</v>
      </c>
    </row>
    <row r="33315" spans="20:20" ht="18.75" customHeight="1" x14ac:dyDescent="0.35">
      <c r="T33315" s="246">
        <f t="shared" si="558"/>
        <v>0</v>
      </c>
    </row>
    <row r="33316" spans="20:20" ht="18.75" customHeight="1" x14ac:dyDescent="0.35">
      <c r="T33316" s="246">
        <f t="shared" si="558"/>
        <v>0</v>
      </c>
    </row>
    <row r="33317" spans="20:20" ht="18.75" customHeight="1" x14ac:dyDescent="0.35">
      <c r="T33317" s="246">
        <f t="shared" si="558"/>
        <v>0</v>
      </c>
    </row>
    <row r="33318" spans="20:20" ht="18.75" customHeight="1" x14ac:dyDescent="0.35">
      <c r="T33318" s="246">
        <f t="shared" si="558"/>
        <v>0</v>
      </c>
    </row>
    <row r="33319" spans="20:20" ht="18.75" customHeight="1" x14ac:dyDescent="0.35">
      <c r="T33319" s="246">
        <f t="shared" si="558"/>
        <v>0</v>
      </c>
    </row>
    <row r="33320" spans="20:20" ht="18.75" customHeight="1" x14ac:dyDescent="0.35">
      <c r="T33320" s="246">
        <f t="shared" si="558"/>
        <v>0</v>
      </c>
    </row>
    <row r="33321" spans="20:20" ht="18.75" customHeight="1" x14ac:dyDescent="0.35">
      <c r="T33321" s="246">
        <f t="shared" si="558"/>
        <v>0</v>
      </c>
    </row>
    <row r="33322" spans="20:20" ht="18.75" customHeight="1" x14ac:dyDescent="0.35">
      <c r="T33322" s="246">
        <f t="shared" si="558"/>
        <v>0</v>
      </c>
    </row>
    <row r="33323" spans="20:20" ht="18.75" customHeight="1" x14ac:dyDescent="0.35">
      <c r="T33323" s="246">
        <f t="shared" si="558"/>
        <v>0</v>
      </c>
    </row>
    <row r="33324" spans="20:20" ht="18.75" customHeight="1" x14ac:dyDescent="0.35">
      <c r="T33324" s="246">
        <f t="shared" si="558"/>
        <v>0</v>
      </c>
    </row>
    <row r="33325" spans="20:20" ht="18.75" customHeight="1" x14ac:dyDescent="0.35">
      <c r="T33325" s="246">
        <f t="shared" si="558"/>
        <v>0</v>
      </c>
    </row>
    <row r="33326" spans="20:20" ht="18.75" customHeight="1" x14ac:dyDescent="0.35">
      <c r="T33326" s="246">
        <f t="shared" si="558"/>
        <v>0</v>
      </c>
    </row>
    <row r="33327" spans="20:20" ht="18.75" customHeight="1" x14ac:dyDescent="0.35">
      <c r="T33327" s="246">
        <f t="shared" si="558"/>
        <v>0</v>
      </c>
    </row>
    <row r="33328" spans="20:20" ht="18.75" customHeight="1" x14ac:dyDescent="0.35">
      <c r="T33328" s="246">
        <f t="shared" si="558"/>
        <v>0</v>
      </c>
    </row>
    <row r="33329" spans="20:20" ht="18.75" customHeight="1" x14ac:dyDescent="0.35">
      <c r="T33329" s="246">
        <f t="shared" si="558"/>
        <v>0</v>
      </c>
    </row>
    <row r="33330" spans="20:20" ht="18.75" customHeight="1" x14ac:dyDescent="0.35">
      <c r="T33330" s="246">
        <f t="shared" si="558"/>
        <v>0</v>
      </c>
    </row>
    <row r="33331" spans="20:20" ht="18.75" customHeight="1" x14ac:dyDescent="0.35">
      <c r="T33331" s="246">
        <f t="shared" si="558"/>
        <v>0</v>
      </c>
    </row>
    <row r="33332" spans="20:20" ht="18.75" customHeight="1" x14ac:dyDescent="0.35">
      <c r="T33332" s="246">
        <f t="shared" si="558"/>
        <v>0</v>
      </c>
    </row>
    <row r="33333" spans="20:20" ht="18.75" customHeight="1" x14ac:dyDescent="0.35">
      <c r="T33333" s="246">
        <f t="shared" si="558"/>
        <v>0</v>
      </c>
    </row>
    <row r="33334" spans="20:20" ht="18.75" customHeight="1" x14ac:dyDescent="0.35">
      <c r="T33334" s="246">
        <f t="shared" si="558"/>
        <v>0</v>
      </c>
    </row>
    <row r="33335" spans="20:20" ht="18.75" customHeight="1" x14ac:dyDescent="0.35">
      <c r="T33335" s="246">
        <f t="shared" si="558"/>
        <v>0</v>
      </c>
    </row>
    <row r="33336" spans="20:20" ht="18.75" customHeight="1" x14ac:dyDescent="0.35">
      <c r="T33336" s="246">
        <f t="shared" si="558"/>
        <v>0</v>
      </c>
    </row>
    <row r="33337" spans="20:20" ht="18.75" customHeight="1" x14ac:dyDescent="0.35">
      <c r="T33337" s="246">
        <f t="shared" si="558"/>
        <v>0</v>
      </c>
    </row>
    <row r="33338" spans="20:20" ht="18.75" customHeight="1" x14ac:dyDescent="0.35">
      <c r="T33338" s="246">
        <f t="shared" si="558"/>
        <v>0</v>
      </c>
    </row>
    <row r="33339" spans="20:20" ht="18.75" customHeight="1" x14ac:dyDescent="0.35">
      <c r="T33339" s="246">
        <f t="shared" si="558"/>
        <v>0</v>
      </c>
    </row>
    <row r="33340" spans="20:20" ht="18.75" customHeight="1" x14ac:dyDescent="0.35">
      <c r="T33340" s="246">
        <f t="shared" ref="T33340:T33403" si="559">R33340*0.01</f>
        <v>0</v>
      </c>
    </row>
    <row r="33341" spans="20:20" ht="18.75" customHeight="1" x14ac:dyDescent="0.35">
      <c r="T33341" s="246">
        <f t="shared" si="559"/>
        <v>0</v>
      </c>
    </row>
    <row r="33342" spans="20:20" ht="18.75" customHeight="1" x14ac:dyDescent="0.35">
      <c r="T33342" s="246">
        <f t="shared" si="559"/>
        <v>0</v>
      </c>
    </row>
    <row r="33343" spans="20:20" ht="18.75" customHeight="1" x14ac:dyDescent="0.35">
      <c r="T33343" s="246">
        <f t="shared" si="559"/>
        <v>0</v>
      </c>
    </row>
    <row r="33344" spans="20:20" ht="18.75" customHeight="1" x14ac:dyDescent="0.35">
      <c r="T33344" s="246">
        <f t="shared" si="559"/>
        <v>0</v>
      </c>
    </row>
    <row r="33345" spans="20:20" ht="18.75" customHeight="1" x14ac:dyDescent="0.35">
      <c r="T33345" s="246">
        <f t="shared" si="559"/>
        <v>0</v>
      </c>
    </row>
    <row r="33346" spans="20:20" ht="18.75" customHeight="1" x14ac:dyDescent="0.35">
      <c r="T33346" s="246">
        <f t="shared" si="559"/>
        <v>0</v>
      </c>
    </row>
    <row r="33347" spans="20:20" ht="18.75" customHeight="1" x14ac:dyDescent="0.35">
      <c r="T33347" s="246">
        <f t="shared" si="559"/>
        <v>0</v>
      </c>
    </row>
    <row r="33348" spans="20:20" ht="18.75" customHeight="1" x14ac:dyDescent="0.35">
      <c r="T33348" s="246">
        <f t="shared" si="559"/>
        <v>0</v>
      </c>
    </row>
    <row r="33349" spans="20:20" ht="18.75" customHeight="1" x14ac:dyDescent="0.35">
      <c r="T33349" s="246">
        <f t="shared" si="559"/>
        <v>0</v>
      </c>
    </row>
    <row r="33350" spans="20:20" ht="18.75" customHeight="1" x14ac:dyDescent="0.35">
      <c r="T33350" s="246">
        <f t="shared" si="559"/>
        <v>0</v>
      </c>
    </row>
    <row r="33351" spans="20:20" ht="18.75" customHeight="1" x14ac:dyDescent="0.35">
      <c r="T33351" s="246">
        <f t="shared" si="559"/>
        <v>0</v>
      </c>
    </row>
    <row r="33352" spans="20:20" ht="18.75" customHeight="1" x14ac:dyDescent="0.35">
      <c r="T33352" s="246">
        <f t="shared" si="559"/>
        <v>0</v>
      </c>
    </row>
    <row r="33353" spans="20:20" ht="18.75" customHeight="1" x14ac:dyDescent="0.35">
      <c r="T33353" s="246">
        <f t="shared" si="559"/>
        <v>0</v>
      </c>
    </row>
    <row r="33354" spans="20:20" ht="18.75" customHeight="1" x14ac:dyDescent="0.35">
      <c r="T33354" s="246">
        <f t="shared" si="559"/>
        <v>0</v>
      </c>
    </row>
    <row r="33355" spans="20:20" ht="18.75" customHeight="1" x14ac:dyDescent="0.35">
      <c r="T33355" s="246">
        <f t="shared" si="559"/>
        <v>0</v>
      </c>
    </row>
    <row r="33356" spans="20:20" ht="18.75" customHeight="1" x14ac:dyDescent="0.35">
      <c r="T33356" s="246">
        <f t="shared" si="559"/>
        <v>0</v>
      </c>
    </row>
    <row r="33357" spans="20:20" ht="18.75" customHeight="1" x14ac:dyDescent="0.35">
      <c r="T33357" s="246">
        <f t="shared" si="559"/>
        <v>0</v>
      </c>
    </row>
    <row r="33358" spans="20:20" ht="18.75" customHeight="1" x14ac:dyDescent="0.35">
      <c r="T33358" s="246">
        <f t="shared" si="559"/>
        <v>0</v>
      </c>
    </row>
    <row r="33359" spans="20:20" ht="18.75" customHeight="1" x14ac:dyDescent="0.35">
      <c r="T33359" s="246">
        <f t="shared" si="559"/>
        <v>0</v>
      </c>
    </row>
    <row r="33360" spans="20:20" ht="18.75" customHeight="1" x14ac:dyDescent="0.35">
      <c r="T33360" s="246">
        <f t="shared" si="559"/>
        <v>0</v>
      </c>
    </row>
    <row r="33361" spans="20:20" ht="18.75" customHeight="1" x14ac:dyDescent="0.35">
      <c r="T33361" s="246">
        <f t="shared" si="559"/>
        <v>0</v>
      </c>
    </row>
    <row r="33362" spans="20:20" ht="18.75" customHeight="1" x14ac:dyDescent="0.35">
      <c r="T33362" s="246">
        <f t="shared" si="559"/>
        <v>0</v>
      </c>
    </row>
    <row r="33363" spans="20:20" ht="18.75" customHeight="1" x14ac:dyDescent="0.35">
      <c r="T33363" s="246">
        <f t="shared" si="559"/>
        <v>0</v>
      </c>
    </row>
    <row r="33364" spans="20:20" ht="18.75" customHeight="1" x14ac:dyDescent="0.35">
      <c r="T33364" s="246">
        <f t="shared" si="559"/>
        <v>0</v>
      </c>
    </row>
    <row r="33365" spans="20:20" ht="18.75" customHeight="1" x14ac:dyDescent="0.35">
      <c r="T33365" s="246">
        <f t="shared" si="559"/>
        <v>0</v>
      </c>
    </row>
    <row r="33366" spans="20:20" ht="18.75" customHeight="1" x14ac:dyDescent="0.35">
      <c r="T33366" s="246">
        <f t="shared" si="559"/>
        <v>0</v>
      </c>
    </row>
    <row r="33367" spans="20:20" ht="18.75" customHeight="1" x14ac:dyDescent="0.35">
      <c r="T33367" s="246">
        <f t="shared" si="559"/>
        <v>0</v>
      </c>
    </row>
    <row r="33368" spans="20:20" ht="18.75" customHeight="1" x14ac:dyDescent="0.35">
      <c r="T33368" s="246">
        <f t="shared" si="559"/>
        <v>0</v>
      </c>
    </row>
    <row r="33369" spans="20:20" ht="18.75" customHeight="1" x14ac:dyDescent="0.35">
      <c r="T33369" s="246">
        <f t="shared" si="559"/>
        <v>0</v>
      </c>
    </row>
    <row r="33370" spans="20:20" ht="18.75" customHeight="1" x14ac:dyDescent="0.35">
      <c r="T33370" s="246">
        <f t="shared" si="559"/>
        <v>0</v>
      </c>
    </row>
    <row r="33371" spans="20:20" ht="18.75" customHeight="1" x14ac:dyDescent="0.35">
      <c r="T33371" s="246">
        <f t="shared" si="559"/>
        <v>0</v>
      </c>
    </row>
    <row r="33372" spans="20:20" ht="18.75" customHeight="1" x14ac:dyDescent="0.35">
      <c r="T33372" s="246">
        <f t="shared" si="559"/>
        <v>0</v>
      </c>
    </row>
    <row r="33373" spans="20:20" ht="18.75" customHeight="1" x14ac:dyDescent="0.35">
      <c r="T33373" s="246">
        <f t="shared" si="559"/>
        <v>0</v>
      </c>
    </row>
    <row r="33374" spans="20:20" ht="18.75" customHeight="1" x14ac:dyDescent="0.35">
      <c r="T33374" s="246">
        <f t="shared" si="559"/>
        <v>0</v>
      </c>
    </row>
    <row r="33375" spans="20:20" ht="18.75" customHeight="1" x14ac:dyDescent="0.35">
      <c r="T33375" s="246">
        <f t="shared" si="559"/>
        <v>0</v>
      </c>
    </row>
    <row r="33376" spans="20:20" ht="18.75" customHeight="1" x14ac:dyDescent="0.35">
      <c r="T33376" s="246">
        <f t="shared" si="559"/>
        <v>0</v>
      </c>
    </row>
    <row r="33377" spans="20:20" ht="18.75" customHeight="1" x14ac:dyDescent="0.35">
      <c r="T33377" s="246">
        <f t="shared" si="559"/>
        <v>0</v>
      </c>
    </row>
    <row r="33378" spans="20:20" ht="18.75" customHeight="1" x14ac:dyDescent="0.35">
      <c r="T33378" s="246">
        <f t="shared" si="559"/>
        <v>0</v>
      </c>
    </row>
    <row r="33379" spans="20:20" ht="18.75" customHeight="1" x14ac:dyDescent="0.35">
      <c r="T33379" s="246">
        <f t="shared" si="559"/>
        <v>0</v>
      </c>
    </row>
    <row r="33380" spans="20:20" ht="18.75" customHeight="1" x14ac:dyDescent="0.35">
      <c r="T33380" s="246">
        <f t="shared" si="559"/>
        <v>0</v>
      </c>
    </row>
    <row r="33381" spans="20:20" ht="18.75" customHeight="1" x14ac:dyDescent="0.35">
      <c r="T33381" s="246">
        <f t="shared" si="559"/>
        <v>0</v>
      </c>
    </row>
    <row r="33382" spans="20:20" ht="18.75" customHeight="1" x14ac:dyDescent="0.35">
      <c r="T33382" s="246">
        <f t="shared" si="559"/>
        <v>0</v>
      </c>
    </row>
    <row r="33383" spans="20:20" ht="18.75" customHeight="1" x14ac:dyDescent="0.35">
      <c r="T33383" s="246">
        <f t="shared" si="559"/>
        <v>0</v>
      </c>
    </row>
    <row r="33384" spans="20:20" ht="18.75" customHeight="1" x14ac:dyDescent="0.35">
      <c r="T33384" s="246">
        <f t="shared" si="559"/>
        <v>0</v>
      </c>
    </row>
    <row r="33385" spans="20:20" ht="18.75" customHeight="1" x14ac:dyDescent="0.35">
      <c r="T33385" s="246">
        <f t="shared" si="559"/>
        <v>0</v>
      </c>
    </row>
    <row r="33386" spans="20:20" ht="18.75" customHeight="1" x14ac:dyDescent="0.35">
      <c r="T33386" s="246">
        <f t="shared" si="559"/>
        <v>0</v>
      </c>
    </row>
    <row r="33387" spans="20:20" ht="18.75" customHeight="1" x14ac:dyDescent="0.35">
      <c r="T33387" s="246">
        <f t="shared" si="559"/>
        <v>0</v>
      </c>
    </row>
    <row r="33388" spans="20:20" ht="18.75" customHeight="1" x14ac:dyDescent="0.35">
      <c r="T33388" s="246">
        <f t="shared" si="559"/>
        <v>0</v>
      </c>
    </row>
    <row r="33389" spans="20:20" ht="18.75" customHeight="1" x14ac:dyDescent="0.35">
      <c r="T33389" s="246">
        <f t="shared" si="559"/>
        <v>0</v>
      </c>
    </row>
    <row r="33390" spans="20:20" ht="18.75" customHeight="1" x14ac:dyDescent="0.35">
      <c r="T33390" s="246">
        <f t="shared" si="559"/>
        <v>0</v>
      </c>
    </row>
    <row r="33391" spans="20:20" ht="18.75" customHeight="1" x14ac:dyDescent="0.35">
      <c r="T33391" s="246">
        <f t="shared" si="559"/>
        <v>0</v>
      </c>
    </row>
    <row r="33392" spans="20:20" ht="18.75" customHeight="1" x14ac:dyDescent="0.35">
      <c r="T33392" s="246">
        <f t="shared" si="559"/>
        <v>0</v>
      </c>
    </row>
    <row r="33393" spans="20:20" ht="18.75" customHeight="1" x14ac:dyDescent="0.35">
      <c r="T33393" s="246">
        <f t="shared" si="559"/>
        <v>0</v>
      </c>
    </row>
    <row r="33394" spans="20:20" ht="18.75" customHeight="1" x14ac:dyDescent="0.35">
      <c r="T33394" s="246">
        <f t="shared" si="559"/>
        <v>0</v>
      </c>
    </row>
    <row r="33395" spans="20:20" ht="18.75" customHeight="1" x14ac:dyDescent="0.35">
      <c r="T33395" s="246">
        <f t="shared" si="559"/>
        <v>0</v>
      </c>
    </row>
    <row r="33396" spans="20:20" ht="18.75" customHeight="1" x14ac:dyDescent="0.35">
      <c r="T33396" s="246">
        <f t="shared" si="559"/>
        <v>0</v>
      </c>
    </row>
    <row r="33397" spans="20:20" ht="18.75" customHeight="1" x14ac:dyDescent="0.35">
      <c r="T33397" s="246">
        <f t="shared" si="559"/>
        <v>0</v>
      </c>
    </row>
    <row r="33398" spans="20:20" ht="18.75" customHeight="1" x14ac:dyDescent="0.35">
      <c r="T33398" s="246">
        <f t="shared" si="559"/>
        <v>0</v>
      </c>
    </row>
    <row r="33399" spans="20:20" ht="18.75" customHeight="1" x14ac:dyDescent="0.35">
      <c r="T33399" s="246">
        <f t="shared" si="559"/>
        <v>0</v>
      </c>
    </row>
    <row r="33400" spans="20:20" ht="18.75" customHeight="1" x14ac:dyDescent="0.35">
      <c r="T33400" s="246">
        <f t="shared" si="559"/>
        <v>0</v>
      </c>
    </row>
    <row r="33401" spans="20:20" ht="18.75" customHeight="1" x14ac:dyDescent="0.35">
      <c r="T33401" s="246">
        <f t="shared" si="559"/>
        <v>0</v>
      </c>
    </row>
    <row r="33402" spans="20:20" ht="18.75" customHeight="1" x14ac:dyDescent="0.35">
      <c r="T33402" s="246">
        <f t="shared" si="559"/>
        <v>0</v>
      </c>
    </row>
    <row r="33403" spans="20:20" ht="18.75" customHeight="1" x14ac:dyDescent="0.35">
      <c r="T33403" s="246">
        <f t="shared" si="559"/>
        <v>0</v>
      </c>
    </row>
    <row r="33404" spans="20:20" ht="18.75" customHeight="1" x14ac:dyDescent="0.35">
      <c r="T33404" s="246">
        <f t="shared" ref="T33404:T33467" si="560">R33404*0.01</f>
        <v>0</v>
      </c>
    </row>
    <row r="33405" spans="20:20" ht="18.75" customHeight="1" x14ac:dyDescent="0.35">
      <c r="T33405" s="246">
        <f t="shared" si="560"/>
        <v>0</v>
      </c>
    </row>
    <row r="33406" spans="20:20" ht="18.75" customHeight="1" x14ac:dyDescent="0.35">
      <c r="T33406" s="246">
        <f t="shared" si="560"/>
        <v>0</v>
      </c>
    </row>
    <row r="33407" spans="20:20" ht="18.75" customHeight="1" x14ac:dyDescent="0.35">
      <c r="T33407" s="246">
        <f t="shared" si="560"/>
        <v>0</v>
      </c>
    </row>
    <row r="33408" spans="20:20" ht="18.75" customHeight="1" x14ac:dyDescent="0.35">
      <c r="T33408" s="246">
        <f t="shared" si="560"/>
        <v>0</v>
      </c>
    </row>
    <row r="33409" spans="20:20" ht="18.75" customHeight="1" x14ac:dyDescent="0.35">
      <c r="T33409" s="246">
        <f t="shared" si="560"/>
        <v>0</v>
      </c>
    </row>
    <row r="33410" spans="20:20" ht="18.75" customHeight="1" x14ac:dyDescent="0.35">
      <c r="T33410" s="246">
        <f t="shared" si="560"/>
        <v>0</v>
      </c>
    </row>
    <row r="33411" spans="20:20" ht="18.75" customHeight="1" x14ac:dyDescent="0.35">
      <c r="T33411" s="246">
        <f t="shared" si="560"/>
        <v>0</v>
      </c>
    </row>
    <row r="33412" spans="20:20" ht="18.75" customHeight="1" x14ac:dyDescent="0.35">
      <c r="T33412" s="246">
        <f t="shared" si="560"/>
        <v>0</v>
      </c>
    </row>
    <row r="33413" spans="20:20" ht="18.75" customHeight="1" x14ac:dyDescent="0.35">
      <c r="T33413" s="246">
        <f t="shared" si="560"/>
        <v>0</v>
      </c>
    </row>
    <row r="33414" spans="20:20" ht="18.75" customHeight="1" x14ac:dyDescent="0.35">
      <c r="T33414" s="246">
        <f t="shared" si="560"/>
        <v>0</v>
      </c>
    </row>
    <row r="33415" spans="20:20" ht="18.75" customHeight="1" x14ac:dyDescent="0.35">
      <c r="T33415" s="246">
        <f t="shared" si="560"/>
        <v>0</v>
      </c>
    </row>
    <row r="33416" spans="20:20" ht="18.75" customHeight="1" x14ac:dyDescent="0.35">
      <c r="T33416" s="246">
        <f t="shared" si="560"/>
        <v>0</v>
      </c>
    </row>
    <row r="33417" spans="20:20" ht="18.75" customHeight="1" x14ac:dyDescent="0.35">
      <c r="T33417" s="246">
        <f t="shared" si="560"/>
        <v>0</v>
      </c>
    </row>
    <row r="33418" spans="20:20" ht="18.75" customHeight="1" x14ac:dyDescent="0.35">
      <c r="T33418" s="246">
        <f t="shared" si="560"/>
        <v>0</v>
      </c>
    </row>
    <row r="33419" spans="20:20" ht="18.75" customHeight="1" x14ac:dyDescent="0.35">
      <c r="T33419" s="246">
        <f t="shared" si="560"/>
        <v>0</v>
      </c>
    </row>
    <row r="33420" spans="20:20" ht="18.75" customHeight="1" x14ac:dyDescent="0.35">
      <c r="T33420" s="246">
        <f t="shared" si="560"/>
        <v>0</v>
      </c>
    </row>
    <row r="33421" spans="20:20" ht="18.75" customHeight="1" x14ac:dyDescent="0.35">
      <c r="T33421" s="246">
        <f t="shared" si="560"/>
        <v>0</v>
      </c>
    </row>
    <row r="33422" spans="20:20" ht="18.75" customHeight="1" x14ac:dyDescent="0.35">
      <c r="T33422" s="246">
        <f t="shared" si="560"/>
        <v>0</v>
      </c>
    </row>
    <row r="33423" spans="20:20" ht="18.75" customHeight="1" x14ac:dyDescent="0.35">
      <c r="T33423" s="246">
        <f t="shared" si="560"/>
        <v>0</v>
      </c>
    </row>
    <row r="33424" spans="20:20" ht="18.75" customHeight="1" x14ac:dyDescent="0.35">
      <c r="T33424" s="246">
        <f t="shared" si="560"/>
        <v>0</v>
      </c>
    </row>
    <row r="33425" spans="20:20" ht="18.75" customHeight="1" x14ac:dyDescent="0.35">
      <c r="T33425" s="246">
        <f t="shared" si="560"/>
        <v>0</v>
      </c>
    </row>
    <row r="33426" spans="20:20" ht="18.75" customHeight="1" x14ac:dyDescent="0.35">
      <c r="T33426" s="246">
        <f t="shared" si="560"/>
        <v>0</v>
      </c>
    </row>
    <row r="33427" spans="20:20" ht="18.75" customHeight="1" x14ac:dyDescent="0.35">
      <c r="T33427" s="246">
        <f t="shared" si="560"/>
        <v>0</v>
      </c>
    </row>
    <row r="33428" spans="20:20" ht="18.75" customHeight="1" x14ac:dyDescent="0.35">
      <c r="T33428" s="246">
        <f t="shared" si="560"/>
        <v>0</v>
      </c>
    </row>
    <row r="33429" spans="20:20" ht="18.75" customHeight="1" x14ac:dyDescent="0.35">
      <c r="T33429" s="246">
        <f t="shared" si="560"/>
        <v>0</v>
      </c>
    </row>
    <row r="33430" spans="20:20" ht="18.75" customHeight="1" x14ac:dyDescent="0.35">
      <c r="T33430" s="246">
        <f t="shared" si="560"/>
        <v>0</v>
      </c>
    </row>
    <row r="33431" spans="20:20" ht="18.75" customHeight="1" x14ac:dyDescent="0.35">
      <c r="T33431" s="246">
        <f t="shared" si="560"/>
        <v>0</v>
      </c>
    </row>
    <row r="33432" spans="20:20" ht="18.75" customHeight="1" x14ac:dyDescent="0.35">
      <c r="T33432" s="246">
        <f t="shared" si="560"/>
        <v>0</v>
      </c>
    </row>
    <row r="33433" spans="20:20" ht="18.75" customHeight="1" x14ac:dyDescent="0.35">
      <c r="T33433" s="246">
        <f t="shared" si="560"/>
        <v>0</v>
      </c>
    </row>
    <row r="33434" spans="20:20" ht="18.75" customHeight="1" x14ac:dyDescent="0.35">
      <c r="T33434" s="246">
        <f t="shared" si="560"/>
        <v>0</v>
      </c>
    </row>
    <row r="33435" spans="20:20" ht="18.75" customHeight="1" x14ac:dyDescent="0.35">
      <c r="T33435" s="246">
        <f t="shared" si="560"/>
        <v>0</v>
      </c>
    </row>
    <row r="33436" spans="20:20" ht="18.75" customHeight="1" x14ac:dyDescent="0.35">
      <c r="T33436" s="246">
        <f t="shared" si="560"/>
        <v>0</v>
      </c>
    </row>
    <row r="33437" spans="20:20" ht="18.75" customHeight="1" x14ac:dyDescent="0.35">
      <c r="T33437" s="246">
        <f t="shared" si="560"/>
        <v>0</v>
      </c>
    </row>
    <row r="33438" spans="20:20" ht="18.75" customHeight="1" x14ac:dyDescent="0.35">
      <c r="T33438" s="246">
        <f t="shared" si="560"/>
        <v>0</v>
      </c>
    </row>
    <row r="33439" spans="20:20" ht="18.75" customHeight="1" x14ac:dyDescent="0.35">
      <c r="T33439" s="246">
        <f t="shared" si="560"/>
        <v>0</v>
      </c>
    </row>
    <row r="33440" spans="20:20" ht="18.75" customHeight="1" x14ac:dyDescent="0.35">
      <c r="T33440" s="246">
        <f t="shared" si="560"/>
        <v>0</v>
      </c>
    </row>
    <row r="33441" spans="20:20" ht="18.75" customHeight="1" x14ac:dyDescent="0.35">
      <c r="T33441" s="246">
        <f t="shared" si="560"/>
        <v>0</v>
      </c>
    </row>
    <row r="33442" spans="20:20" ht="18.75" customHeight="1" x14ac:dyDescent="0.35">
      <c r="T33442" s="246">
        <f t="shared" si="560"/>
        <v>0</v>
      </c>
    </row>
    <row r="33443" spans="20:20" ht="18.75" customHeight="1" x14ac:dyDescent="0.35">
      <c r="T33443" s="246">
        <f t="shared" si="560"/>
        <v>0</v>
      </c>
    </row>
    <row r="33444" spans="20:20" ht="18.75" customHeight="1" x14ac:dyDescent="0.35">
      <c r="T33444" s="246">
        <f t="shared" si="560"/>
        <v>0</v>
      </c>
    </row>
    <row r="33445" spans="20:20" ht="18.75" customHeight="1" x14ac:dyDescent="0.35">
      <c r="T33445" s="246">
        <f t="shared" si="560"/>
        <v>0</v>
      </c>
    </row>
    <row r="33446" spans="20:20" ht="18.75" customHeight="1" x14ac:dyDescent="0.35">
      <c r="T33446" s="246">
        <f t="shared" si="560"/>
        <v>0</v>
      </c>
    </row>
    <row r="33447" spans="20:20" ht="18.75" customHeight="1" x14ac:dyDescent="0.35">
      <c r="T33447" s="246">
        <f t="shared" si="560"/>
        <v>0</v>
      </c>
    </row>
    <row r="33448" spans="20:20" ht="18.75" customHeight="1" x14ac:dyDescent="0.35">
      <c r="T33448" s="246">
        <f t="shared" si="560"/>
        <v>0</v>
      </c>
    </row>
    <row r="33449" spans="20:20" ht="18.75" customHeight="1" x14ac:dyDescent="0.35">
      <c r="T33449" s="246">
        <f t="shared" si="560"/>
        <v>0</v>
      </c>
    </row>
    <row r="33450" spans="20:20" ht="18.75" customHeight="1" x14ac:dyDescent="0.35">
      <c r="T33450" s="246">
        <f t="shared" si="560"/>
        <v>0</v>
      </c>
    </row>
    <row r="33451" spans="20:20" ht="18.75" customHeight="1" x14ac:dyDescent="0.35">
      <c r="T33451" s="246">
        <f t="shared" si="560"/>
        <v>0</v>
      </c>
    </row>
    <row r="33452" spans="20:20" ht="18.75" customHeight="1" x14ac:dyDescent="0.35">
      <c r="T33452" s="246">
        <f t="shared" si="560"/>
        <v>0</v>
      </c>
    </row>
    <row r="33453" spans="20:20" ht="18.75" customHeight="1" x14ac:dyDescent="0.35">
      <c r="T33453" s="246">
        <f t="shared" si="560"/>
        <v>0</v>
      </c>
    </row>
    <row r="33454" spans="20:20" ht="18.75" customHeight="1" x14ac:dyDescent="0.35">
      <c r="T33454" s="246">
        <f t="shared" si="560"/>
        <v>0</v>
      </c>
    </row>
    <row r="33455" spans="20:20" ht="18.75" customHeight="1" x14ac:dyDescent="0.35">
      <c r="T33455" s="246">
        <f t="shared" si="560"/>
        <v>0</v>
      </c>
    </row>
    <row r="33456" spans="20:20" ht="18.75" customHeight="1" x14ac:dyDescent="0.35">
      <c r="T33456" s="246">
        <f t="shared" si="560"/>
        <v>0</v>
      </c>
    </row>
    <row r="33457" spans="20:20" ht="18.75" customHeight="1" x14ac:dyDescent="0.35">
      <c r="T33457" s="246">
        <f t="shared" si="560"/>
        <v>0</v>
      </c>
    </row>
    <row r="33458" spans="20:20" ht="18.75" customHeight="1" x14ac:dyDescent="0.35">
      <c r="T33458" s="246">
        <f t="shared" si="560"/>
        <v>0</v>
      </c>
    </row>
    <row r="33459" spans="20:20" ht="18.75" customHeight="1" x14ac:dyDescent="0.35">
      <c r="T33459" s="246">
        <f t="shared" si="560"/>
        <v>0</v>
      </c>
    </row>
    <row r="33460" spans="20:20" ht="18.75" customHeight="1" x14ac:dyDescent="0.35">
      <c r="T33460" s="246">
        <f t="shared" si="560"/>
        <v>0</v>
      </c>
    </row>
    <row r="33461" spans="20:20" ht="18.75" customHeight="1" x14ac:dyDescent="0.35">
      <c r="T33461" s="246">
        <f t="shared" si="560"/>
        <v>0</v>
      </c>
    </row>
    <row r="33462" spans="20:20" ht="18.75" customHeight="1" x14ac:dyDescent="0.35">
      <c r="T33462" s="246">
        <f t="shared" si="560"/>
        <v>0</v>
      </c>
    </row>
    <row r="33463" spans="20:20" ht="18.75" customHeight="1" x14ac:dyDescent="0.35">
      <c r="T33463" s="246">
        <f t="shared" si="560"/>
        <v>0</v>
      </c>
    </row>
    <row r="33464" spans="20:20" ht="18.75" customHeight="1" x14ac:dyDescent="0.35">
      <c r="T33464" s="246">
        <f t="shared" si="560"/>
        <v>0</v>
      </c>
    </row>
    <row r="33465" spans="20:20" ht="18.75" customHeight="1" x14ac:dyDescent="0.35">
      <c r="T33465" s="246">
        <f t="shared" si="560"/>
        <v>0</v>
      </c>
    </row>
    <row r="33466" spans="20:20" ht="18.75" customHeight="1" x14ac:dyDescent="0.35">
      <c r="T33466" s="246">
        <f t="shared" si="560"/>
        <v>0</v>
      </c>
    </row>
    <row r="33467" spans="20:20" ht="18.75" customHeight="1" x14ac:dyDescent="0.35">
      <c r="T33467" s="246">
        <f t="shared" si="560"/>
        <v>0</v>
      </c>
    </row>
    <row r="33468" spans="20:20" ht="18.75" customHeight="1" x14ac:dyDescent="0.35">
      <c r="T33468" s="246">
        <f t="shared" ref="T33468:T33531" si="561">R33468*0.01</f>
        <v>0</v>
      </c>
    </row>
    <row r="33469" spans="20:20" ht="18.75" customHeight="1" x14ac:dyDescent="0.35">
      <c r="T33469" s="246">
        <f t="shared" si="561"/>
        <v>0</v>
      </c>
    </row>
    <row r="33470" spans="20:20" ht="18.75" customHeight="1" x14ac:dyDescent="0.35">
      <c r="T33470" s="246">
        <f t="shared" si="561"/>
        <v>0</v>
      </c>
    </row>
    <row r="33471" spans="20:20" ht="18.75" customHeight="1" x14ac:dyDescent="0.35">
      <c r="T33471" s="246">
        <f t="shared" si="561"/>
        <v>0</v>
      </c>
    </row>
    <row r="33472" spans="20:20" ht="18.75" customHeight="1" x14ac:dyDescent="0.35">
      <c r="T33472" s="246">
        <f t="shared" si="561"/>
        <v>0</v>
      </c>
    </row>
    <row r="33473" spans="20:20" ht="18.75" customHeight="1" x14ac:dyDescent="0.35">
      <c r="T33473" s="246">
        <f t="shared" si="561"/>
        <v>0</v>
      </c>
    </row>
    <row r="33474" spans="20:20" ht="18.75" customHeight="1" x14ac:dyDescent="0.35">
      <c r="T33474" s="246">
        <f t="shared" si="561"/>
        <v>0</v>
      </c>
    </row>
    <row r="33475" spans="20:20" ht="18.75" customHeight="1" x14ac:dyDescent="0.35">
      <c r="T33475" s="246">
        <f t="shared" si="561"/>
        <v>0</v>
      </c>
    </row>
    <row r="33476" spans="20:20" ht="18.75" customHeight="1" x14ac:dyDescent="0.35">
      <c r="T33476" s="246">
        <f t="shared" si="561"/>
        <v>0</v>
      </c>
    </row>
    <row r="33477" spans="20:20" ht="18.75" customHeight="1" x14ac:dyDescent="0.35">
      <c r="T33477" s="246">
        <f t="shared" si="561"/>
        <v>0</v>
      </c>
    </row>
    <row r="33478" spans="20:20" ht="18.75" customHeight="1" x14ac:dyDescent="0.35">
      <c r="T33478" s="246">
        <f t="shared" si="561"/>
        <v>0</v>
      </c>
    </row>
    <row r="33479" spans="20:20" ht="18.75" customHeight="1" x14ac:dyDescent="0.35">
      <c r="T33479" s="246">
        <f t="shared" si="561"/>
        <v>0</v>
      </c>
    </row>
    <row r="33480" spans="20:20" ht="18.75" customHeight="1" x14ac:dyDescent="0.35">
      <c r="T33480" s="246">
        <f t="shared" si="561"/>
        <v>0</v>
      </c>
    </row>
    <row r="33481" spans="20:20" ht="18.75" customHeight="1" x14ac:dyDescent="0.35">
      <c r="T33481" s="246">
        <f t="shared" si="561"/>
        <v>0</v>
      </c>
    </row>
    <row r="33482" spans="20:20" ht="18.75" customHeight="1" x14ac:dyDescent="0.35">
      <c r="T33482" s="246">
        <f t="shared" si="561"/>
        <v>0</v>
      </c>
    </row>
    <row r="33483" spans="20:20" ht="18.75" customHeight="1" x14ac:dyDescent="0.35">
      <c r="T33483" s="246">
        <f t="shared" si="561"/>
        <v>0</v>
      </c>
    </row>
    <row r="33484" spans="20:20" ht="18.75" customHeight="1" x14ac:dyDescent="0.35">
      <c r="T33484" s="246">
        <f t="shared" si="561"/>
        <v>0</v>
      </c>
    </row>
    <row r="33485" spans="20:20" ht="18.75" customHeight="1" x14ac:dyDescent="0.35">
      <c r="T33485" s="246">
        <f t="shared" si="561"/>
        <v>0</v>
      </c>
    </row>
    <row r="33486" spans="20:20" ht="18.75" customHeight="1" x14ac:dyDescent="0.35">
      <c r="T33486" s="246">
        <f t="shared" si="561"/>
        <v>0</v>
      </c>
    </row>
    <row r="33487" spans="20:20" ht="18.75" customHeight="1" x14ac:dyDescent="0.35">
      <c r="T33487" s="246">
        <f t="shared" si="561"/>
        <v>0</v>
      </c>
    </row>
    <row r="33488" spans="20:20" ht="18.75" customHeight="1" x14ac:dyDescent="0.35">
      <c r="T33488" s="246">
        <f t="shared" si="561"/>
        <v>0</v>
      </c>
    </row>
    <row r="33489" spans="20:20" ht="18.75" customHeight="1" x14ac:dyDescent="0.35">
      <c r="T33489" s="246">
        <f t="shared" si="561"/>
        <v>0</v>
      </c>
    </row>
    <row r="33490" spans="20:20" ht="18.75" customHeight="1" x14ac:dyDescent="0.35">
      <c r="T33490" s="246">
        <f t="shared" si="561"/>
        <v>0</v>
      </c>
    </row>
    <row r="33491" spans="20:20" ht="18.75" customHeight="1" x14ac:dyDescent="0.35">
      <c r="T33491" s="246">
        <f t="shared" si="561"/>
        <v>0</v>
      </c>
    </row>
    <row r="33492" spans="20:20" ht="18.75" customHeight="1" x14ac:dyDescent="0.35">
      <c r="T33492" s="246">
        <f t="shared" si="561"/>
        <v>0</v>
      </c>
    </row>
    <row r="33493" spans="20:20" ht="18.75" customHeight="1" x14ac:dyDescent="0.35">
      <c r="T33493" s="246">
        <f t="shared" si="561"/>
        <v>0</v>
      </c>
    </row>
    <row r="33494" spans="20:20" ht="18.75" customHeight="1" x14ac:dyDescent="0.35">
      <c r="T33494" s="246">
        <f t="shared" si="561"/>
        <v>0</v>
      </c>
    </row>
    <row r="33495" spans="20:20" ht="18.75" customHeight="1" x14ac:dyDescent="0.35">
      <c r="T33495" s="246">
        <f t="shared" si="561"/>
        <v>0</v>
      </c>
    </row>
    <row r="33496" spans="20:20" ht="18.75" customHeight="1" x14ac:dyDescent="0.35">
      <c r="T33496" s="246">
        <f t="shared" si="561"/>
        <v>0</v>
      </c>
    </row>
    <row r="33497" spans="20:20" ht="18.75" customHeight="1" x14ac:dyDescent="0.35">
      <c r="T33497" s="246">
        <f t="shared" si="561"/>
        <v>0</v>
      </c>
    </row>
    <row r="33498" spans="20:20" ht="18.75" customHeight="1" x14ac:dyDescent="0.35">
      <c r="T33498" s="246">
        <f t="shared" si="561"/>
        <v>0</v>
      </c>
    </row>
    <row r="33499" spans="20:20" ht="18.75" customHeight="1" x14ac:dyDescent="0.35">
      <c r="T33499" s="246">
        <f t="shared" si="561"/>
        <v>0</v>
      </c>
    </row>
    <row r="33500" spans="20:20" ht="18.75" customHeight="1" x14ac:dyDescent="0.35">
      <c r="T33500" s="246">
        <f t="shared" si="561"/>
        <v>0</v>
      </c>
    </row>
    <row r="33501" spans="20:20" ht="18.75" customHeight="1" x14ac:dyDescent="0.35">
      <c r="T33501" s="246">
        <f t="shared" si="561"/>
        <v>0</v>
      </c>
    </row>
    <row r="33502" spans="20:20" ht="18.75" customHeight="1" x14ac:dyDescent="0.35">
      <c r="T33502" s="246">
        <f t="shared" si="561"/>
        <v>0</v>
      </c>
    </row>
    <row r="33503" spans="20:20" ht="18.75" customHeight="1" x14ac:dyDescent="0.35">
      <c r="T33503" s="246">
        <f t="shared" si="561"/>
        <v>0</v>
      </c>
    </row>
    <row r="33504" spans="20:20" ht="18.75" customHeight="1" x14ac:dyDescent="0.35">
      <c r="T33504" s="246">
        <f t="shared" si="561"/>
        <v>0</v>
      </c>
    </row>
    <row r="33505" spans="20:20" ht="18.75" customHeight="1" x14ac:dyDescent="0.35">
      <c r="T33505" s="246">
        <f t="shared" si="561"/>
        <v>0</v>
      </c>
    </row>
    <row r="33506" spans="20:20" ht="18.75" customHeight="1" x14ac:dyDescent="0.35">
      <c r="T33506" s="246">
        <f t="shared" si="561"/>
        <v>0</v>
      </c>
    </row>
    <row r="33507" spans="20:20" ht="18.75" customHeight="1" x14ac:dyDescent="0.35">
      <c r="T33507" s="246">
        <f t="shared" si="561"/>
        <v>0</v>
      </c>
    </row>
    <row r="33508" spans="20:20" ht="18.75" customHeight="1" x14ac:dyDescent="0.35">
      <c r="T33508" s="246">
        <f t="shared" si="561"/>
        <v>0</v>
      </c>
    </row>
    <row r="33509" spans="20:20" ht="18.75" customHeight="1" x14ac:dyDescent="0.35">
      <c r="T33509" s="246">
        <f t="shared" si="561"/>
        <v>0</v>
      </c>
    </row>
    <row r="33510" spans="20:20" ht="18.75" customHeight="1" x14ac:dyDescent="0.35">
      <c r="T33510" s="246">
        <f t="shared" si="561"/>
        <v>0</v>
      </c>
    </row>
    <row r="33511" spans="20:20" ht="18.75" customHeight="1" x14ac:dyDescent="0.35">
      <c r="T33511" s="246">
        <f t="shared" si="561"/>
        <v>0</v>
      </c>
    </row>
    <row r="33512" spans="20:20" ht="18.75" customHeight="1" x14ac:dyDescent="0.35">
      <c r="T33512" s="246">
        <f t="shared" si="561"/>
        <v>0</v>
      </c>
    </row>
    <row r="33513" spans="20:20" ht="18.75" customHeight="1" x14ac:dyDescent="0.35">
      <c r="T33513" s="246">
        <f t="shared" si="561"/>
        <v>0</v>
      </c>
    </row>
    <row r="33514" spans="20:20" ht="18.75" customHeight="1" x14ac:dyDescent="0.35">
      <c r="T33514" s="246">
        <f t="shared" si="561"/>
        <v>0</v>
      </c>
    </row>
    <row r="33515" spans="20:20" ht="18.75" customHeight="1" x14ac:dyDescent="0.35">
      <c r="T33515" s="246">
        <f t="shared" si="561"/>
        <v>0</v>
      </c>
    </row>
    <row r="33516" spans="20:20" ht="18.75" customHeight="1" x14ac:dyDescent="0.35">
      <c r="T33516" s="246">
        <f t="shared" si="561"/>
        <v>0</v>
      </c>
    </row>
    <row r="33517" spans="20:20" ht="18.75" customHeight="1" x14ac:dyDescent="0.35">
      <c r="T33517" s="246">
        <f t="shared" si="561"/>
        <v>0</v>
      </c>
    </row>
    <row r="33518" spans="20:20" ht="18.75" customHeight="1" x14ac:dyDescent="0.35">
      <c r="T33518" s="246">
        <f t="shared" si="561"/>
        <v>0</v>
      </c>
    </row>
    <row r="33519" spans="20:20" ht="18.75" customHeight="1" x14ac:dyDescent="0.35">
      <c r="T33519" s="246">
        <f t="shared" si="561"/>
        <v>0</v>
      </c>
    </row>
    <row r="33520" spans="20:20" ht="18.75" customHeight="1" x14ac:dyDescent="0.35">
      <c r="T33520" s="246">
        <f t="shared" si="561"/>
        <v>0</v>
      </c>
    </row>
    <row r="33521" spans="20:20" ht="18.75" customHeight="1" x14ac:dyDescent="0.35">
      <c r="T33521" s="246">
        <f t="shared" si="561"/>
        <v>0</v>
      </c>
    </row>
    <row r="33522" spans="20:20" ht="18.75" customHeight="1" x14ac:dyDescent="0.35">
      <c r="T33522" s="246">
        <f t="shared" si="561"/>
        <v>0</v>
      </c>
    </row>
    <row r="33523" spans="20:20" ht="18.75" customHeight="1" x14ac:dyDescent="0.35">
      <c r="T33523" s="246">
        <f t="shared" si="561"/>
        <v>0</v>
      </c>
    </row>
    <row r="33524" spans="20:20" ht="18.75" customHeight="1" x14ac:dyDescent="0.35">
      <c r="T33524" s="246">
        <f t="shared" si="561"/>
        <v>0</v>
      </c>
    </row>
    <row r="33525" spans="20:20" ht="18.75" customHeight="1" x14ac:dyDescent="0.35">
      <c r="T33525" s="246">
        <f t="shared" si="561"/>
        <v>0</v>
      </c>
    </row>
    <row r="33526" spans="20:20" ht="18.75" customHeight="1" x14ac:dyDescent="0.35">
      <c r="T33526" s="246">
        <f t="shared" si="561"/>
        <v>0</v>
      </c>
    </row>
    <row r="33527" spans="20:20" ht="18.75" customHeight="1" x14ac:dyDescent="0.35">
      <c r="T33527" s="246">
        <f t="shared" si="561"/>
        <v>0</v>
      </c>
    </row>
    <row r="33528" spans="20:20" ht="18.75" customHeight="1" x14ac:dyDescent="0.35">
      <c r="T33528" s="246">
        <f t="shared" si="561"/>
        <v>0</v>
      </c>
    </row>
    <row r="33529" spans="20:20" ht="18.75" customHeight="1" x14ac:dyDescent="0.35">
      <c r="T33529" s="246">
        <f t="shared" si="561"/>
        <v>0</v>
      </c>
    </row>
    <row r="33530" spans="20:20" ht="18.75" customHeight="1" x14ac:dyDescent="0.35">
      <c r="T33530" s="246">
        <f t="shared" si="561"/>
        <v>0</v>
      </c>
    </row>
    <row r="33531" spans="20:20" ht="18.75" customHeight="1" x14ac:dyDescent="0.35">
      <c r="T33531" s="246">
        <f t="shared" si="561"/>
        <v>0</v>
      </c>
    </row>
    <row r="33532" spans="20:20" ht="18.75" customHeight="1" x14ac:dyDescent="0.35">
      <c r="T33532" s="246">
        <f t="shared" ref="T33532:T33595" si="562">R33532*0.01</f>
        <v>0</v>
      </c>
    </row>
    <row r="33533" spans="20:20" ht="18.75" customHeight="1" x14ac:dyDescent="0.35">
      <c r="T33533" s="246">
        <f t="shared" si="562"/>
        <v>0</v>
      </c>
    </row>
    <row r="33534" spans="20:20" ht="18.75" customHeight="1" x14ac:dyDescent="0.35">
      <c r="T33534" s="246">
        <f t="shared" si="562"/>
        <v>0</v>
      </c>
    </row>
    <row r="33535" spans="20:20" ht="18.75" customHeight="1" x14ac:dyDescent="0.35">
      <c r="T33535" s="246">
        <f t="shared" si="562"/>
        <v>0</v>
      </c>
    </row>
    <row r="33536" spans="20:20" ht="18.75" customHeight="1" x14ac:dyDescent="0.35">
      <c r="T33536" s="246">
        <f t="shared" si="562"/>
        <v>0</v>
      </c>
    </row>
    <row r="33537" spans="20:20" ht="18.75" customHeight="1" x14ac:dyDescent="0.35">
      <c r="T33537" s="246">
        <f t="shared" si="562"/>
        <v>0</v>
      </c>
    </row>
    <row r="33538" spans="20:20" ht="18.75" customHeight="1" x14ac:dyDescent="0.35">
      <c r="T33538" s="246">
        <f t="shared" si="562"/>
        <v>0</v>
      </c>
    </row>
    <row r="33539" spans="20:20" ht="18.75" customHeight="1" x14ac:dyDescent="0.35">
      <c r="T33539" s="246">
        <f t="shared" si="562"/>
        <v>0</v>
      </c>
    </row>
    <row r="33540" spans="20:20" ht="18.75" customHeight="1" x14ac:dyDescent="0.35">
      <c r="T33540" s="246">
        <f t="shared" si="562"/>
        <v>0</v>
      </c>
    </row>
    <row r="33541" spans="20:20" ht="18.75" customHeight="1" x14ac:dyDescent="0.35">
      <c r="T33541" s="246">
        <f t="shared" si="562"/>
        <v>0</v>
      </c>
    </row>
    <row r="33542" spans="20:20" ht="18.75" customHeight="1" x14ac:dyDescent="0.35">
      <c r="T33542" s="246">
        <f t="shared" si="562"/>
        <v>0</v>
      </c>
    </row>
    <row r="33543" spans="20:20" ht="18.75" customHeight="1" x14ac:dyDescent="0.35">
      <c r="T33543" s="246">
        <f t="shared" si="562"/>
        <v>0</v>
      </c>
    </row>
    <row r="33544" spans="20:20" ht="18.75" customHeight="1" x14ac:dyDescent="0.35">
      <c r="T33544" s="246">
        <f t="shared" si="562"/>
        <v>0</v>
      </c>
    </row>
    <row r="33545" spans="20:20" ht="18.75" customHeight="1" x14ac:dyDescent="0.35">
      <c r="T33545" s="246">
        <f t="shared" si="562"/>
        <v>0</v>
      </c>
    </row>
    <row r="33546" spans="20:20" ht="18.75" customHeight="1" x14ac:dyDescent="0.35">
      <c r="T33546" s="246">
        <f t="shared" si="562"/>
        <v>0</v>
      </c>
    </row>
    <row r="33547" spans="20:20" ht="18.75" customHeight="1" x14ac:dyDescent="0.35">
      <c r="T33547" s="246">
        <f t="shared" si="562"/>
        <v>0</v>
      </c>
    </row>
    <row r="33548" spans="20:20" ht="18.75" customHeight="1" x14ac:dyDescent="0.35">
      <c r="T33548" s="246">
        <f t="shared" si="562"/>
        <v>0</v>
      </c>
    </row>
    <row r="33549" spans="20:20" ht="18.75" customHeight="1" x14ac:dyDescent="0.35">
      <c r="T33549" s="246">
        <f t="shared" si="562"/>
        <v>0</v>
      </c>
    </row>
    <row r="33550" spans="20:20" ht="18.75" customHeight="1" x14ac:dyDescent="0.35">
      <c r="T33550" s="246">
        <f t="shared" si="562"/>
        <v>0</v>
      </c>
    </row>
    <row r="33551" spans="20:20" ht="18.75" customHeight="1" x14ac:dyDescent="0.35">
      <c r="T33551" s="246">
        <f t="shared" si="562"/>
        <v>0</v>
      </c>
    </row>
    <row r="33552" spans="20:20" ht="18.75" customHeight="1" x14ac:dyDescent="0.35">
      <c r="T33552" s="246">
        <f t="shared" si="562"/>
        <v>0</v>
      </c>
    </row>
    <row r="33553" spans="20:20" ht="18.75" customHeight="1" x14ac:dyDescent="0.35">
      <c r="T33553" s="246">
        <f t="shared" si="562"/>
        <v>0</v>
      </c>
    </row>
    <row r="33554" spans="20:20" ht="18.75" customHeight="1" x14ac:dyDescent="0.35">
      <c r="T33554" s="246">
        <f t="shared" si="562"/>
        <v>0</v>
      </c>
    </row>
    <row r="33555" spans="20:20" ht="18.75" customHeight="1" x14ac:dyDescent="0.35">
      <c r="T33555" s="246">
        <f t="shared" si="562"/>
        <v>0</v>
      </c>
    </row>
    <row r="33556" spans="20:20" ht="18.75" customHeight="1" x14ac:dyDescent="0.35">
      <c r="T33556" s="246">
        <f t="shared" si="562"/>
        <v>0</v>
      </c>
    </row>
    <row r="33557" spans="20:20" ht="18.75" customHeight="1" x14ac:dyDescent="0.35">
      <c r="T33557" s="246">
        <f t="shared" si="562"/>
        <v>0</v>
      </c>
    </row>
    <row r="33558" spans="20:20" ht="18.75" customHeight="1" x14ac:dyDescent="0.35">
      <c r="T33558" s="246">
        <f t="shared" si="562"/>
        <v>0</v>
      </c>
    </row>
    <row r="33559" spans="20:20" ht="18.75" customHeight="1" x14ac:dyDescent="0.35">
      <c r="T33559" s="246">
        <f t="shared" si="562"/>
        <v>0</v>
      </c>
    </row>
    <row r="33560" spans="20:20" ht="18.75" customHeight="1" x14ac:dyDescent="0.35">
      <c r="T33560" s="246">
        <f t="shared" si="562"/>
        <v>0</v>
      </c>
    </row>
    <row r="33561" spans="20:20" ht="18.75" customHeight="1" x14ac:dyDescent="0.35">
      <c r="T33561" s="246">
        <f t="shared" si="562"/>
        <v>0</v>
      </c>
    </row>
    <row r="33562" spans="20:20" ht="18.75" customHeight="1" x14ac:dyDescent="0.35">
      <c r="T33562" s="246">
        <f t="shared" si="562"/>
        <v>0</v>
      </c>
    </row>
    <row r="33563" spans="20:20" ht="18.75" customHeight="1" x14ac:dyDescent="0.35">
      <c r="T33563" s="246">
        <f t="shared" si="562"/>
        <v>0</v>
      </c>
    </row>
    <row r="33564" spans="20:20" ht="18.75" customHeight="1" x14ac:dyDescent="0.35">
      <c r="T33564" s="246">
        <f t="shared" si="562"/>
        <v>0</v>
      </c>
    </row>
    <row r="33565" spans="20:20" ht="18.75" customHeight="1" x14ac:dyDescent="0.35">
      <c r="T33565" s="246">
        <f t="shared" si="562"/>
        <v>0</v>
      </c>
    </row>
    <row r="33566" spans="20:20" ht="18.75" customHeight="1" x14ac:dyDescent="0.35">
      <c r="T33566" s="246">
        <f t="shared" si="562"/>
        <v>0</v>
      </c>
    </row>
    <row r="33567" spans="20:20" ht="18.75" customHeight="1" x14ac:dyDescent="0.35">
      <c r="T33567" s="246">
        <f t="shared" si="562"/>
        <v>0</v>
      </c>
    </row>
    <row r="33568" spans="20:20" ht="18.75" customHeight="1" x14ac:dyDescent="0.35">
      <c r="T33568" s="246">
        <f t="shared" si="562"/>
        <v>0</v>
      </c>
    </row>
    <row r="33569" spans="20:20" ht="18.75" customHeight="1" x14ac:dyDescent="0.35">
      <c r="T33569" s="246">
        <f t="shared" si="562"/>
        <v>0</v>
      </c>
    </row>
    <row r="33570" spans="20:20" ht="18.75" customHeight="1" x14ac:dyDescent="0.35">
      <c r="T33570" s="246">
        <f t="shared" si="562"/>
        <v>0</v>
      </c>
    </row>
    <row r="33571" spans="20:20" ht="18.75" customHeight="1" x14ac:dyDescent="0.35">
      <c r="T33571" s="246">
        <f t="shared" si="562"/>
        <v>0</v>
      </c>
    </row>
    <row r="33572" spans="20:20" ht="18.75" customHeight="1" x14ac:dyDescent="0.35">
      <c r="T33572" s="246">
        <f t="shared" si="562"/>
        <v>0</v>
      </c>
    </row>
    <row r="33573" spans="20:20" ht="18.75" customHeight="1" x14ac:dyDescent="0.35">
      <c r="T33573" s="246">
        <f t="shared" si="562"/>
        <v>0</v>
      </c>
    </row>
    <row r="33574" spans="20:20" ht="18.75" customHeight="1" x14ac:dyDescent="0.35">
      <c r="T33574" s="246">
        <f t="shared" si="562"/>
        <v>0</v>
      </c>
    </row>
    <row r="33575" spans="20:20" ht="18.75" customHeight="1" x14ac:dyDescent="0.35">
      <c r="T33575" s="246">
        <f t="shared" si="562"/>
        <v>0</v>
      </c>
    </row>
    <row r="33576" spans="20:20" ht="18.75" customHeight="1" x14ac:dyDescent="0.35">
      <c r="T33576" s="246">
        <f t="shared" si="562"/>
        <v>0</v>
      </c>
    </row>
    <row r="33577" spans="20:20" ht="18.75" customHeight="1" x14ac:dyDescent="0.35">
      <c r="T33577" s="246">
        <f t="shared" si="562"/>
        <v>0</v>
      </c>
    </row>
    <row r="33578" spans="20:20" ht="18.75" customHeight="1" x14ac:dyDescent="0.35">
      <c r="T33578" s="246">
        <f t="shared" si="562"/>
        <v>0</v>
      </c>
    </row>
    <row r="33579" spans="20:20" ht="18.75" customHeight="1" x14ac:dyDescent="0.35">
      <c r="T33579" s="246">
        <f t="shared" si="562"/>
        <v>0</v>
      </c>
    </row>
    <row r="33580" spans="20:20" ht="18.75" customHeight="1" x14ac:dyDescent="0.35">
      <c r="T33580" s="246">
        <f t="shared" si="562"/>
        <v>0</v>
      </c>
    </row>
    <row r="33581" spans="20:20" ht="18.75" customHeight="1" x14ac:dyDescent="0.35">
      <c r="T33581" s="246">
        <f t="shared" si="562"/>
        <v>0</v>
      </c>
    </row>
    <row r="33582" spans="20:20" ht="18.75" customHeight="1" x14ac:dyDescent="0.35">
      <c r="T33582" s="246">
        <f t="shared" si="562"/>
        <v>0</v>
      </c>
    </row>
    <row r="33583" spans="20:20" ht="18.75" customHeight="1" x14ac:dyDescent="0.35">
      <c r="T33583" s="246">
        <f t="shared" si="562"/>
        <v>0</v>
      </c>
    </row>
    <row r="33584" spans="20:20" ht="18.75" customHeight="1" x14ac:dyDescent="0.35">
      <c r="T33584" s="246">
        <f t="shared" si="562"/>
        <v>0</v>
      </c>
    </row>
    <row r="33585" spans="20:20" ht="18.75" customHeight="1" x14ac:dyDescent="0.35">
      <c r="T33585" s="246">
        <f t="shared" si="562"/>
        <v>0</v>
      </c>
    </row>
    <row r="33586" spans="20:20" ht="18.75" customHeight="1" x14ac:dyDescent="0.35">
      <c r="T33586" s="246">
        <f t="shared" si="562"/>
        <v>0</v>
      </c>
    </row>
    <row r="33587" spans="20:20" ht="18.75" customHeight="1" x14ac:dyDescent="0.35">
      <c r="T33587" s="246">
        <f t="shared" si="562"/>
        <v>0</v>
      </c>
    </row>
    <row r="33588" spans="20:20" ht="18.75" customHeight="1" x14ac:dyDescent="0.35">
      <c r="T33588" s="246">
        <f t="shared" si="562"/>
        <v>0</v>
      </c>
    </row>
    <row r="33589" spans="20:20" ht="18.75" customHeight="1" x14ac:dyDescent="0.35">
      <c r="T33589" s="246">
        <f t="shared" si="562"/>
        <v>0</v>
      </c>
    </row>
    <row r="33590" spans="20:20" ht="18.75" customHeight="1" x14ac:dyDescent="0.35">
      <c r="T33590" s="246">
        <f t="shared" si="562"/>
        <v>0</v>
      </c>
    </row>
    <row r="33591" spans="20:20" ht="18.75" customHeight="1" x14ac:dyDescent="0.35">
      <c r="T33591" s="246">
        <f t="shared" si="562"/>
        <v>0</v>
      </c>
    </row>
    <row r="33592" spans="20:20" ht="18.75" customHeight="1" x14ac:dyDescent="0.35">
      <c r="T33592" s="246">
        <f t="shared" si="562"/>
        <v>0</v>
      </c>
    </row>
    <row r="33593" spans="20:20" ht="18.75" customHeight="1" x14ac:dyDescent="0.35">
      <c r="T33593" s="246">
        <f t="shared" si="562"/>
        <v>0</v>
      </c>
    </row>
    <row r="33594" spans="20:20" ht="18.75" customHeight="1" x14ac:dyDescent="0.35">
      <c r="T33594" s="246">
        <f t="shared" si="562"/>
        <v>0</v>
      </c>
    </row>
    <row r="33595" spans="20:20" ht="18.75" customHeight="1" x14ac:dyDescent="0.35">
      <c r="T33595" s="246">
        <f t="shared" si="562"/>
        <v>0</v>
      </c>
    </row>
    <row r="33596" spans="20:20" ht="18.75" customHeight="1" x14ac:dyDescent="0.35">
      <c r="T33596" s="246">
        <f t="shared" ref="T33596:T33659" si="563">R33596*0.01</f>
        <v>0</v>
      </c>
    </row>
    <row r="33597" spans="20:20" ht="18.75" customHeight="1" x14ac:dyDescent="0.35">
      <c r="T33597" s="246">
        <f t="shared" si="563"/>
        <v>0</v>
      </c>
    </row>
    <row r="33598" spans="20:20" ht="18.75" customHeight="1" x14ac:dyDescent="0.35">
      <c r="T33598" s="246">
        <f t="shared" si="563"/>
        <v>0</v>
      </c>
    </row>
    <row r="33599" spans="20:20" ht="18.75" customHeight="1" x14ac:dyDescent="0.35">
      <c r="T33599" s="246">
        <f t="shared" si="563"/>
        <v>0</v>
      </c>
    </row>
    <row r="33600" spans="20:20" ht="18.75" customHeight="1" x14ac:dyDescent="0.35">
      <c r="T33600" s="246">
        <f t="shared" si="563"/>
        <v>0</v>
      </c>
    </row>
    <row r="33601" spans="20:20" ht="18.75" customHeight="1" x14ac:dyDescent="0.35">
      <c r="T33601" s="246">
        <f t="shared" si="563"/>
        <v>0</v>
      </c>
    </row>
    <row r="33602" spans="20:20" ht="18.75" customHeight="1" x14ac:dyDescent="0.35">
      <c r="T33602" s="246">
        <f t="shared" si="563"/>
        <v>0</v>
      </c>
    </row>
    <row r="33603" spans="20:20" ht="18.75" customHeight="1" x14ac:dyDescent="0.35">
      <c r="T33603" s="246">
        <f t="shared" si="563"/>
        <v>0</v>
      </c>
    </row>
    <row r="33604" spans="20:20" ht="18.75" customHeight="1" x14ac:dyDescent="0.35">
      <c r="T33604" s="246">
        <f t="shared" si="563"/>
        <v>0</v>
      </c>
    </row>
    <row r="33605" spans="20:20" ht="18.75" customHeight="1" x14ac:dyDescent="0.35">
      <c r="T33605" s="246">
        <f t="shared" si="563"/>
        <v>0</v>
      </c>
    </row>
    <row r="33606" spans="20:20" ht="18.75" customHeight="1" x14ac:dyDescent="0.35">
      <c r="T33606" s="246">
        <f t="shared" si="563"/>
        <v>0</v>
      </c>
    </row>
    <row r="33607" spans="20:20" ht="18.75" customHeight="1" x14ac:dyDescent="0.35">
      <c r="T33607" s="246">
        <f t="shared" si="563"/>
        <v>0</v>
      </c>
    </row>
    <row r="33608" spans="20:20" ht="18.75" customHeight="1" x14ac:dyDescent="0.35">
      <c r="T33608" s="246">
        <f t="shared" si="563"/>
        <v>0</v>
      </c>
    </row>
    <row r="33609" spans="20:20" ht="18.75" customHeight="1" x14ac:dyDescent="0.35">
      <c r="T33609" s="246">
        <f t="shared" si="563"/>
        <v>0</v>
      </c>
    </row>
    <row r="33610" spans="20:20" ht="18.75" customHeight="1" x14ac:dyDescent="0.35">
      <c r="T33610" s="246">
        <f t="shared" si="563"/>
        <v>0</v>
      </c>
    </row>
    <row r="33611" spans="20:20" ht="18.75" customHeight="1" x14ac:dyDescent="0.35">
      <c r="T33611" s="246">
        <f t="shared" si="563"/>
        <v>0</v>
      </c>
    </row>
    <row r="33612" spans="20:20" ht="18.75" customHeight="1" x14ac:dyDescent="0.35">
      <c r="T33612" s="246">
        <f t="shared" si="563"/>
        <v>0</v>
      </c>
    </row>
    <row r="33613" spans="20:20" ht="18.75" customHeight="1" x14ac:dyDescent="0.35">
      <c r="T33613" s="246">
        <f t="shared" si="563"/>
        <v>0</v>
      </c>
    </row>
    <row r="33614" spans="20:20" ht="18.75" customHeight="1" x14ac:dyDescent="0.35">
      <c r="T33614" s="246">
        <f t="shared" si="563"/>
        <v>0</v>
      </c>
    </row>
    <row r="33615" spans="20:20" ht="18.75" customHeight="1" x14ac:dyDescent="0.35">
      <c r="T33615" s="246">
        <f t="shared" si="563"/>
        <v>0</v>
      </c>
    </row>
    <row r="33616" spans="20:20" ht="18.75" customHeight="1" x14ac:dyDescent="0.35">
      <c r="T33616" s="246">
        <f t="shared" si="563"/>
        <v>0</v>
      </c>
    </row>
    <row r="33617" spans="20:20" ht="18.75" customHeight="1" x14ac:dyDescent="0.35">
      <c r="T33617" s="246">
        <f t="shared" si="563"/>
        <v>0</v>
      </c>
    </row>
    <row r="33618" spans="20:20" ht="18.75" customHeight="1" x14ac:dyDescent="0.35">
      <c r="T33618" s="246">
        <f t="shared" si="563"/>
        <v>0</v>
      </c>
    </row>
    <row r="33619" spans="20:20" ht="18.75" customHeight="1" x14ac:dyDescent="0.35">
      <c r="T33619" s="246">
        <f t="shared" si="563"/>
        <v>0</v>
      </c>
    </row>
    <row r="33620" spans="20:20" ht="18.75" customHeight="1" x14ac:dyDescent="0.35">
      <c r="T33620" s="246">
        <f t="shared" si="563"/>
        <v>0</v>
      </c>
    </row>
    <row r="33621" spans="20:20" ht="18.75" customHeight="1" x14ac:dyDescent="0.35">
      <c r="T33621" s="246">
        <f t="shared" si="563"/>
        <v>0</v>
      </c>
    </row>
    <row r="33622" spans="20:20" ht="18.75" customHeight="1" x14ac:dyDescent="0.35">
      <c r="T33622" s="246">
        <f t="shared" si="563"/>
        <v>0</v>
      </c>
    </row>
    <row r="33623" spans="20:20" ht="18.75" customHeight="1" x14ac:dyDescent="0.35">
      <c r="T33623" s="246">
        <f t="shared" si="563"/>
        <v>0</v>
      </c>
    </row>
    <row r="33624" spans="20:20" ht="18.75" customHeight="1" x14ac:dyDescent="0.35">
      <c r="T33624" s="246">
        <f t="shared" si="563"/>
        <v>0</v>
      </c>
    </row>
    <row r="33625" spans="20:20" ht="18.75" customHeight="1" x14ac:dyDescent="0.35">
      <c r="T33625" s="246">
        <f t="shared" si="563"/>
        <v>0</v>
      </c>
    </row>
    <row r="33626" spans="20:20" ht="18.75" customHeight="1" x14ac:dyDescent="0.35">
      <c r="T33626" s="246">
        <f t="shared" si="563"/>
        <v>0</v>
      </c>
    </row>
    <row r="33627" spans="20:20" ht="18.75" customHeight="1" x14ac:dyDescent="0.35">
      <c r="T33627" s="246">
        <f t="shared" si="563"/>
        <v>0</v>
      </c>
    </row>
    <row r="33628" spans="20:20" ht="18.75" customHeight="1" x14ac:dyDescent="0.35">
      <c r="T33628" s="246">
        <f t="shared" si="563"/>
        <v>0</v>
      </c>
    </row>
    <row r="33629" spans="20:20" ht="18.75" customHeight="1" x14ac:dyDescent="0.35">
      <c r="T33629" s="246">
        <f t="shared" si="563"/>
        <v>0</v>
      </c>
    </row>
    <row r="33630" spans="20:20" ht="18.75" customHeight="1" x14ac:dyDescent="0.35">
      <c r="T33630" s="246">
        <f t="shared" si="563"/>
        <v>0</v>
      </c>
    </row>
    <row r="33631" spans="20:20" ht="18.75" customHeight="1" x14ac:dyDescent="0.35">
      <c r="T33631" s="246">
        <f t="shared" si="563"/>
        <v>0</v>
      </c>
    </row>
    <row r="33632" spans="20:20" ht="18.75" customHeight="1" x14ac:dyDescent="0.35">
      <c r="T33632" s="246">
        <f t="shared" si="563"/>
        <v>0</v>
      </c>
    </row>
    <row r="33633" spans="20:20" ht="18.75" customHeight="1" x14ac:dyDescent="0.35">
      <c r="T33633" s="246">
        <f t="shared" si="563"/>
        <v>0</v>
      </c>
    </row>
    <row r="33634" spans="20:20" ht="18.75" customHeight="1" x14ac:dyDescent="0.35">
      <c r="T33634" s="246">
        <f t="shared" si="563"/>
        <v>0</v>
      </c>
    </row>
    <row r="33635" spans="20:20" ht="18.75" customHeight="1" x14ac:dyDescent="0.35">
      <c r="T33635" s="246">
        <f t="shared" si="563"/>
        <v>0</v>
      </c>
    </row>
    <row r="33636" spans="20:20" ht="18.75" customHeight="1" x14ac:dyDescent="0.35">
      <c r="T33636" s="246">
        <f t="shared" si="563"/>
        <v>0</v>
      </c>
    </row>
    <row r="33637" spans="20:20" ht="18.75" customHeight="1" x14ac:dyDescent="0.35">
      <c r="T33637" s="246">
        <f t="shared" si="563"/>
        <v>0</v>
      </c>
    </row>
    <row r="33638" spans="20:20" ht="18.75" customHeight="1" x14ac:dyDescent="0.35">
      <c r="T33638" s="246">
        <f t="shared" si="563"/>
        <v>0</v>
      </c>
    </row>
    <row r="33639" spans="20:20" ht="18.75" customHeight="1" x14ac:dyDescent="0.35">
      <c r="T33639" s="246">
        <f t="shared" si="563"/>
        <v>0</v>
      </c>
    </row>
    <row r="33640" spans="20:20" ht="18.75" customHeight="1" x14ac:dyDescent="0.35">
      <c r="T33640" s="246">
        <f t="shared" si="563"/>
        <v>0</v>
      </c>
    </row>
    <row r="33641" spans="20:20" ht="18.75" customHeight="1" x14ac:dyDescent="0.35">
      <c r="T33641" s="246">
        <f t="shared" si="563"/>
        <v>0</v>
      </c>
    </row>
    <row r="33642" spans="20:20" ht="18.75" customHeight="1" x14ac:dyDescent="0.35">
      <c r="T33642" s="246">
        <f t="shared" si="563"/>
        <v>0</v>
      </c>
    </row>
    <row r="33643" spans="20:20" ht="18.75" customHeight="1" x14ac:dyDescent="0.35">
      <c r="T33643" s="246">
        <f t="shared" si="563"/>
        <v>0</v>
      </c>
    </row>
    <row r="33644" spans="20:20" ht="18.75" customHeight="1" x14ac:dyDescent="0.35">
      <c r="T33644" s="246">
        <f t="shared" si="563"/>
        <v>0</v>
      </c>
    </row>
    <row r="33645" spans="20:20" ht="18.75" customHeight="1" x14ac:dyDescent="0.35">
      <c r="T33645" s="246">
        <f t="shared" si="563"/>
        <v>0</v>
      </c>
    </row>
    <row r="33646" spans="20:20" ht="18.75" customHeight="1" x14ac:dyDescent="0.35">
      <c r="T33646" s="246">
        <f t="shared" si="563"/>
        <v>0</v>
      </c>
    </row>
    <row r="33647" spans="20:20" ht="18.75" customHeight="1" x14ac:dyDescent="0.35">
      <c r="T33647" s="246">
        <f t="shared" si="563"/>
        <v>0</v>
      </c>
    </row>
    <row r="33648" spans="20:20" ht="18.75" customHeight="1" x14ac:dyDescent="0.35">
      <c r="T33648" s="246">
        <f t="shared" si="563"/>
        <v>0</v>
      </c>
    </row>
    <row r="33649" spans="20:20" ht="18.75" customHeight="1" x14ac:dyDescent="0.35">
      <c r="T33649" s="246">
        <f t="shared" si="563"/>
        <v>0</v>
      </c>
    </row>
    <row r="33650" spans="20:20" ht="18.75" customHeight="1" x14ac:dyDescent="0.35">
      <c r="T33650" s="246">
        <f t="shared" si="563"/>
        <v>0</v>
      </c>
    </row>
    <row r="33651" spans="20:20" ht="18.75" customHeight="1" x14ac:dyDescent="0.35">
      <c r="T33651" s="246">
        <f t="shared" si="563"/>
        <v>0</v>
      </c>
    </row>
    <row r="33652" spans="20:20" ht="18.75" customHeight="1" x14ac:dyDescent="0.35">
      <c r="T33652" s="246">
        <f t="shared" si="563"/>
        <v>0</v>
      </c>
    </row>
    <row r="33653" spans="20:20" ht="18.75" customHeight="1" x14ac:dyDescent="0.35">
      <c r="T33653" s="246">
        <f t="shared" si="563"/>
        <v>0</v>
      </c>
    </row>
    <row r="33654" spans="20:20" ht="18.75" customHeight="1" x14ac:dyDescent="0.35">
      <c r="T33654" s="246">
        <f t="shared" si="563"/>
        <v>0</v>
      </c>
    </row>
    <row r="33655" spans="20:20" ht="18.75" customHeight="1" x14ac:dyDescent="0.35">
      <c r="T33655" s="246">
        <f t="shared" si="563"/>
        <v>0</v>
      </c>
    </row>
    <row r="33656" spans="20:20" ht="18.75" customHeight="1" x14ac:dyDescent="0.35">
      <c r="T33656" s="246">
        <f t="shared" si="563"/>
        <v>0</v>
      </c>
    </row>
    <row r="33657" spans="20:20" ht="18.75" customHeight="1" x14ac:dyDescent="0.35">
      <c r="T33657" s="246">
        <f t="shared" si="563"/>
        <v>0</v>
      </c>
    </row>
    <row r="33658" spans="20:20" ht="18.75" customHeight="1" x14ac:dyDescent="0.35">
      <c r="T33658" s="246">
        <f t="shared" si="563"/>
        <v>0</v>
      </c>
    </row>
    <row r="33659" spans="20:20" ht="18.75" customHeight="1" x14ac:dyDescent="0.35">
      <c r="T33659" s="246">
        <f t="shared" si="563"/>
        <v>0</v>
      </c>
    </row>
    <row r="33660" spans="20:20" ht="18.75" customHeight="1" x14ac:dyDescent="0.35">
      <c r="T33660" s="246">
        <f t="shared" ref="T33660:T33723" si="564">R33660*0.01</f>
        <v>0</v>
      </c>
    </row>
    <row r="33661" spans="20:20" ht="18.75" customHeight="1" x14ac:dyDescent="0.35">
      <c r="T33661" s="246">
        <f t="shared" si="564"/>
        <v>0</v>
      </c>
    </row>
    <row r="33662" spans="20:20" ht="18.75" customHeight="1" x14ac:dyDescent="0.35">
      <c r="T33662" s="246">
        <f t="shared" si="564"/>
        <v>0</v>
      </c>
    </row>
    <row r="33663" spans="20:20" ht="18.75" customHeight="1" x14ac:dyDescent="0.35">
      <c r="T33663" s="246">
        <f t="shared" si="564"/>
        <v>0</v>
      </c>
    </row>
    <row r="33664" spans="20:20" ht="18.75" customHeight="1" x14ac:dyDescent="0.35">
      <c r="T33664" s="246">
        <f t="shared" si="564"/>
        <v>0</v>
      </c>
    </row>
    <row r="33665" spans="20:20" ht="18.75" customHeight="1" x14ac:dyDescent="0.35">
      <c r="T33665" s="246">
        <f t="shared" si="564"/>
        <v>0</v>
      </c>
    </row>
    <row r="33666" spans="20:20" ht="18.75" customHeight="1" x14ac:dyDescent="0.35">
      <c r="T33666" s="246">
        <f t="shared" si="564"/>
        <v>0</v>
      </c>
    </row>
    <row r="33667" spans="20:20" ht="18.75" customHeight="1" x14ac:dyDescent="0.35">
      <c r="T33667" s="246">
        <f t="shared" si="564"/>
        <v>0</v>
      </c>
    </row>
    <row r="33668" spans="20:20" ht="18.75" customHeight="1" x14ac:dyDescent="0.35">
      <c r="T33668" s="246">
        <f t="shared" si="564"/>
        <v>0</v>
      </c>
    </row>
    <row r="33669" spans="20:20" ht="18.75" customHeight="1" x14ac:dyDescent="0.35">
      <c r="T33669" s="246">
        <f t="shared" si="564"/>
        <v>0</v>
      </c>
    </row>
    <row r="33670" spans="20:20" ht="18.75" customHeight="1" x14ac:dyDescent="0.35">
      <c r="T33670" s="246">
        <f t="shared" si="564"/>
        <v>0</v>
      </c>
    </row>
    <row r="33671" spans="20:20" ht="18.75" customHeight="1" x14ac:dyDescent="0.35">
      <c r="T33671" s="246">
        <f t="shared" si="564"/>
        <v>0</v>
      </c>
    </row>
    <row r="33672" spans="20:20" ht="18.75" customHeight="1" x14ac:dyDescent="0.35">
      <c r="T33672" s="246">
        <f t="shared" si="564"/>
        <v>0</v>
      </c>
    </row>
    <row r="33673" spans="20:20" ht="18.75" customHeight="1" x14ac:dyDescent="0.35">
      <c r="T33673" s="246">
        <f t="shared" si="564"/>
        <v>0</v>
      </c>
    </row>
    <row r="33674" spans="20:20" ht="18.75" customHeight="1" x14ac:dyDescent="0.35">
      <c r="T33674" s="246">
        <f t="shared" si="564"/>
        <v>0</v>
      </c>
    </row>
    <row r="33675" spans="20:20" ht="18.75" customHeight="1" x14ac:dyDescent="0.35">
      <c r="T33675" s="246">
        <f t="shared" si="564"/>
        <v>0</v>
      </c>
    </row>
    <row r="33676" spans="20:20" ht="18.75" customHeight="1" x14ac:dyDescent="0.35">
      <c r="T33676" s="246">
        <f t="shared" si="564"/>
        <v>0</v>
      </c>
    </row>
    <row r="33677" spans="20:20" ht="18.75" customHeight="1" x14ac:dyDescent="0.35">
      <c r="T33677" s="246">
        <f t="shared" si="564"/>
        <v>0</v>
      </c>
    </row>
    <row r="33678" spans="20:20" ht="18.75" customHeight="1" x14ac:dyDescent="0.35">
      <c r="T33678" s="246">
        <f t="shared" si="564"/>
        <v>0</v>
      </c>
    </row>
    <row r="33679" spans="20:20" ht="18.75" customHeight="1" x14ac:dyDescent="0.35">
      <c r="T33679" s="246">
        <f t="shared" si="564"/>
        <v>0</v>
      </c>
    </row>
    <row r="33680" spans="20:20" ht="18.75" customHeight="1" x14ac:dyDescent="0.35">
      <c r="T33680" s="246">
        <f t="shared" si="564"/>
        <v>0</v>
      </c>
    </row>
    <row r="33681" spans="20:20" ht="18.75" customHeight="1" x14ac:dyDescent="0.35">
      <c r="T33681" s="246">
        <f t="shared" si="564"/>
        <v>0</v>
      </c>
    </row>
    <row r="33682" spans="20:20" ht="18.75" customHeight="1" x14ac:dyDescent="0.35">
      <c r="T33682" s="246">
        <f t="shared" si="564"/>
        <v>0</v>
      </c>
    </row>
    <row r="33683" spans="20:20" ht="18.75" customHeight="1" x14ac:dyDescent="0.35">
      <c r="T33683" s="246">
        <f t="shared" si="564"/>
        <v>0</v>
      </c>
    </row>
    <row r="33684" spans="20:20" ht="18.75" customHeight="1" x14ac:dyDescent="0.35">
      <c r="T33684" s="246">
        <f t="shared" si="564"/>
        <v>0</v>
      </c>
    </row>
    <row r="33685" spans="20:20" ht="18.75" customHeight="1" x14ac:dyDescent="0.35">
      <c r="T33685" s="246">
        <f t="shared" si="564"/>
        <v>0</v>
      </c>
    </row>
    <row r="33686" spans="20:20" ht="18.75" customHeight="1" x14ac:dyDescent="0.35">
      <c r="T33686" s="246">
        <f t="shared" si="564"/>
        <v>0</v>
      </c>
    </row>
    <row r="33687" spans="20:20" ht="18.75" customHeight="1" x14ac:dyDescent="0.35">
      <c r="T33687" s="246">
        <f t="shared" si="564"/>
        <v>0</v>
      </c>
    </row>
    <row r="33688" spans="20:20" ht="18.75" customHeight="1" x14ac:dyDescent="0.35">
      <c r="T33688" s="246">
        <f t="shared" si="564"/>
        <v>0</v>
      </c>
    </row>
    <row r="33689" spans="20:20" ht="18.75" customHeight="1" x14ac:dyDescent="0.35">
      <c r="T33689" s="246">
        <f t="shared" si="564"/>
        <v>0</v>
      </c>
    </row>
    <row r="33690" spans="20:20" ht="18.75" customHeight="1" x14ac:dyDescent="0.35">
      <c r="T33690" s="246">
        <f t="shared" si="564"/>
        <v>0</v>
      </c>
    </row>
    <row r="33691" spans="20:20" ht="18.75" customHeight="1" x14ac:dyDescent="0.35">
      <c r="T33691" s="246">
        <f t="shared" si="564"/>
        <v>0</v>
      </c>
    </row>
    <row r="33692" spans="20:20" ht="18.75" customHeight="1" x14ac:dyDescent="0.35">
      <c r="T33692" s="246">
        <f t="shared" si="564"/>
        <v>0</v>
      </c>
    </row>
    <row r="33693" spans="20:20" ht="18.75" customHeight="1" x14ac:dyDescent="0.35">
      <c r="T33693" s="246">
        <f t="shared" si="564"/>
        <v>0</v>
      </c>
    </row>
    <row r="33694" spans="20:20" ht="18.75" customHeight="1" x14ac:dyDescent="0.35">
      <c r="T33694" s="246">
        <f t="shared" si="564"/>
        <v>0</v>
      </c>
    </row>
    <row r="33695" spans="20:20" ht="18.75" customHeight="1" x14ac:dyDescent="0.35">
      <c r="T33695" s="246">
        <f t="shared" si="564"/>
        <v>0</v>
      </c>
    </row>
    <row r="33696" spans="20:20" ht="18.75" customHeight="1" x14ac:dyDescent="0.35">
      <c r="T33696" s="246">
        <f t="shared" si="564"/>
        <v>0</v>
      </c>
    </row>
    <row r="33697" spans="20:20" ht="18.75" customHeight="1" x14ac:dyDescent="0.35">
      <c r="T33697" s="246">
        <f t="shared" si="564"/>
        <v>0</v>
      </c>
    </row>
    <row r="33698" spans="20:20" ht="18.75" customHeight="1" x14ac:dyDescent="0.35">
      <c r="T33698" s="246">
        <f t="shared" si="564"/>
        <v>0</v>
      </c>
    </row>
    <row r="33699" spans="20:20" ht="18.75" customHeight="1" x14ac:dyDescent="0.35">
      <c r="T33699" s="246">
        <f t="shared" si="564"/>
        <v>0</v>
      </c>
    </row>
    <row r="33700" spans="20:20" ht="18.75" customHeight="1" x14ac:dyDescent="0.35">
      <c r="T33700" s="246">
        <f t="shared" si="564"/>
        <v>0</v>
      </c>
    </row>
    <row r="33701" spans="20:20" ht="18.75" customHeight="1" x14ac:dyDescent="0.35">
      <c r="T33701" s="246">
        <f t="shared" si="564"/>
        <v>0</v>
      </c>
    </row>
    <row r="33702" spans="20:20" ht="18.75" customHeight="1" x14ac:dyDescent="0.35">
      <c r="T33702" s="246">
        <f t="shared" si="564"/>
        <v>0</v>
      </c>
    </row>
    <row r="33703" spans="20:20" ht="18.75" customHeight="1" x14ac:dyDescent="0.35">
      <c r="T33703" s="246">
        <f t="shared" si="564"/>
        <v>0</v>
      </c>
    </row>
    <row r="33704" spans="20:20" ht="18.75" customHeight="1" x14ac:dyDescent="0.35">
      <c r="T33704" s="246">
        <f t="shared" si="564"/>
        <v>0</v>
      </c>
    </row>
    <row r="33705" spans="20:20" ht="18.75" customHeight="1" x14ac:dyDescent="0.35">
      <c r="T33705" s="246">
        <f t="shared" si="564"/>
        <v>0</v>
      </c>
    </row>
    <row r="33706" spans="20:20" ht="18.75" customHeight="1" x14ac:dyDescent="0.35">
      <c r="T33706" s="246">
        <f t="shared" si="564"/>
        <v>0</v>
      </c>
    </row>
    <row r="33707" spans="20:20" ht="18.75" customHeight="1" x14ac:dyDescent="0.35">
      <c r="T33707" s="246">
        <f t="shared" si="564"/>
        <v>0</v>
      </c>
    </row>
    <row r="33708" spans="20:20" ht="18.75" customHeight="1" x14ac:dyDescent="0.35">
      <c r="T33708" s="246">
        <f t="shared" si="564"/>
        <v>0</v>
      </c>
    </row>
    <row r="33709" spans="20:20" ht="18.75" customHeight="1" x14ac:dyDescent="0.35">
      <c r="T33709" s="246">
        <f t="shared" si="564"/>
        <v>0</v>
      </c>
    </row>
    <row r="33710" spans="20:20" ht="18.75" customHeight="1" x14ac:dyDescent="0.35">
      <c r="T33710" s="246">
        <f t="shared" si="564"/>
        <v>0</v>
      </c>
    </row>
    <row r="33711" spans="20:20" ht="18.75" customHeight="1" x14ac:dyDescent="0.35">
      <c r="T33711" s="246">
        <f t="shared" si="564"/>
        <v>0</v>
      </c>
    </row>
    <row r="33712" spans="20:20" ht="18.75" customHeight="1" x14ac:dyDescent="0.35">
      <c r="T33712" s="246">
        <f t="shared" si="564"/>
        <v>0</v>
      </c>
    </row>
    <row r="33713" spans="20:20" ht="18.75" customHeight="1" x14ac:dyDescent="0.35">
      <c r="T33713" s="246">
        <f t="shared" si="564"/>
        <v>0</v>
      </c>
    </row>
    <row r="33714" spans="20:20" ht="18.75" customHeight="1" x14ac:dyDescent="0.35">
      <c r="T33714" s="246">
        <f t="shared" si="564"/>
        <v>0</v>
      </c>
    </row>
    <row r="33715" spans="20:20" ht="18.75" customHeight="1" x14ac:dyDescent="0.35">
      <c r="T33715" s="246">
        <f t="shared" si="564"/>
        <v>0</v>
      </c>
    </row>
    <row r="33716" spans="20:20" ht="18.75" customHeight="1" x14ac:dyDescent="0.35">
      <c r="T33716" s="246">
        <f t="shared" si="564"/>
        <v>0</v>
      </c>
    </row>
    <row r="33717" spans="20:20" ht="18.75" customHeight="1" x14ac:dyDescent="0.35">
      <c r="T33717" s="246">
        <f t="shared" si="564"/>
        <v>0</v>
      </c>
    </row>
    <row r="33718" spans="20:20" ht="18.75" customHeight="1" x14ac:dyDescent="0.35">
      <c r="T33718" s="246">
        <f t="shared" si="564"/>
        <v>0</v>
      </c>
    </row>
    <row r="33719" spans="20:20" ht="18.75" customHeight="1" x14ac:dyDescent="0.35">
      <c r="T33719" s="246">
        <f t="shared" si="564"/>
        <v>0</v>
      </c>
    </row>
    <row r="33720" spans="20:20" ht="18.75" customHeight="1" x14ac:dyDescent="0.35">
      <c r="T33720" s="246">
        <f t="shared" si="564"/>
        <v>0</v>
      </c>
    </row>
    <row r="33721" spans="20:20" ht="18.75" customHeight="1" x14ac:dyDescent="0.35">
      <c r="T33721" s="246">
        <f t="shared" si="564"/>
        <v>0</v>
      </c>
    </row>
    <row r="33722" spans="20:20" ht="18.75" customHeight="1" x14ac:dyDescent="0.35">
      <c r="T33722" s="246">
        <f t="shared" si="564"/>
        <v>0</v>
      </c>
    </row>
    <row r="33723" spans="20:20" ht="18.75" customHeight="1" x14ac:dyDescent="0.35">
      <c r="T33723" s="246">
        <f t="shared" si="564"/>
        <v>0</v>
      </c>
    </row>
    <row r="33724" spans="20:20" ht="18.75" customHeight="1" x14ac:dyDescent="0.35">
      <c r="T33724" s="246">
        <f t="shared" ref="T33724:T33787" si="565">R33724*0.01</f>
        <v>0</v>
      </c>
    </row>
    <row r="33725" spans="20:20" ht="18.75" customHeight="1" x14ac:dyDescent="0.35">
      <c r="T33725" s="246">
        <f t="shared" si="565"/>
        <v>0</v>
      </c>
    </row>
    <row r="33726" spans="20:20" ht="18.75" customHeight="1" x14ac:dyDescent="0.35">
      <c r="T33726" s="246">
        <f t="shared" si="565"/>
        <v>0</v>
      </c>
    </row>
    <row r="33727" spans="20:20" ht="18.75" customHeight="1" x14ac:dyDescent="0.35">
      <c r="T33727" s="246">
        <f t="shared" si="565"/>
        <v>0</v>
      </c>
    </row>
    <row r="33728" spans="20:20" ht="18.75" customHeight="1" x14ac:dyDescent="0.35">
      <c r="T33728" s="246">
        <f t="shared" si="565"/>
        <v>0</v>
      </c>
    </row>
    <row r="33729" spans="20:20" ht="18.75" customHeight="1" x14ac:dyDescent="0.35">
      <c r="T33729" s="246">
        <f t="shared" si="565"/>
        <v>0</v>
      </c>
    </row>
    <row r="33730" spans="20:20" ht="18.75" customHeight="1" x14ac:dyDescent="0.35">
      <c r="T33730" s="246">
        <f t="shared" si="565"/>
        <v>0</v>
      </c>
    </row>
    <row r="33731" spans="20:20" ht="18.75" customHeight="1" x14ac:dyDescent="0.35">
      <c r="T33731" s="246">
        <f t="shared" si="565"/>
        <v>0</v>
      </c>
    </row>
    <row r="33732" spans="20:20" ht="18.75" customHeight="1" x14ac:dyDescent="0.35">
      <c r="T33732" s="246">
        <f t="shared" si="565"/>
        <v>0</v>
      </c>
    </row>
    <row r="33733" spans="20:20" ht="18.75" customHeight="1" x14ac:dyDescent="0.35">
      <c r="T33733" s="246">
        <f t="shared" si="565"/>
        <v>0</v>
      </c>
    </row>
    <row r="33734" spans="20:20" ht="18.75" customHeight="1" x14ac:dyDescent="0.35">
      <c r="T33734" s="246">
        <f t="shared" si="565"/>
        <v>0</v>
      </c>
    </row>
    <row r="33735" spans="20:20" ht="18.75" customHeight="1" x14ac:dyDescent="0.35">
      <c r="T33735" s="246">
        <f t="shared" si="565"/>
        <v>0</v>
      </c>
    </row>
    <row r="33736" spans="20:20" ht="18.75" customHeight="1" x14ac:dyDescent="0.35">
      <c r="T33736" s="246">
        <f t="shared" si="565"/>
        <v>0</v>
      </c>
    </row>
    <row r="33737" spans="20:20" ht="18.75" customHeight="1" x14ac:dyDescent="0.35">
      <c r="T33737" s="246">
        <f t="shared" si="565"/>
        <v>0</v>
      </c>
    </row>
    <row r="33738" spans="20:20" ht="18.75" customHeight="1" x14ac:dyDescent="0.35">
      <c r="T33738" s="246">
        <f t="shared" si="565"/>
        <v>0</v>
      </c>
    </row>
    <row r="33739" spans="20:20" ht="18.75" customHeight="1" x14ac:dyDescent="0.35">
      <c r="T33739" s="246">
        <f t="shared" si="565"/>
        <v>0</v>
      </c>
    </row>
    <row r="33740" spans="20:20" ht="18.75" customHeight="1" x14ac:dyDescent="0.35">
      <c r="T33740" s="246">
        <f t="shared" si="565"/>
        <v>0</v>
      </c>
    </row>
    <row r="33741" spans="20:20" ht="18.75" customHeight="1" x14ac:dyDescent="0.35">
      <c r="T33741" s="246">
        <f t="shared" si="565"/>
        <v>0</v>
      </c>
    </row>
    <row r="33742" spans="20:20" ht="18.75" customHeight="1" x14ac:dyDescent="0.35">
      <c r="T33742" s="246">
        <f t="shared" si="565"/>
        <v>0</v>
      </c>
    </row>
    <row r="33743" spans="20:20" ht="18.75" customHeight="1" x14ac:dyDescent="0.35">
      <c r="T33743" s="246">
        <f t="shared" si="565"/>
        <v>0</v>
      </c>
    </row>
    <row r="33744" spans="20:20" ht="18.75" customHeight="1" x14ac:dyDescent="0.35">
      <c r="T33744" s="246">
        <f t="shared" si="565"/>
        <v>0</v>
      </c>
    </row>
    <row r="33745" spans="20:20" ht="18.75" customHeight="1" x14ac:dyDescent="0.35">
      <c r="T33745" s="246">
        <f t="shared" si="565"/>
        <v>0</v>
      </c>
    </row>
    <row r="33746" spans="20:20" ht="18.75" customHeight="1" x14ac:dyDescent="0.35">
      <c r="T33746" s="246">
        <f t="shared" si="565"/>
        <v>0</v>
      </c>
    </row>
    <row r="33747" spans="20:20" ht="18.75" customHeight="1" x14ac:dyDescent="0.35">
      <c r="T33747" s="246">
        <f t="shared" si="565"/>
        <v>0</v>
      </c>
    </row>
    <row r="33748" spans="20:20" ht="18.75" customHeight="1" x14ac:dyDescent="0.35">
      <c r="T33748" s="246">
        <f t="shared" si="565"/>
        <v>0</v>
      </c>
    </row>
    <row r="33749" spans="20:20" ht="18.75" customHeight="1" x14ac:dyDescent="0.35">
      <c r="T33749" s="246">
        <f t="shared" si="565"/>
        <v>0</v>
      </c>
    </row>
    <row r="33750" spans="20:20" ht="18.75" customHeight="1" x14ac:dyDescent="0.35">
      <c r="T33750" s="246">
        <f t="shared" si="565"/>
        <v>0</v>
      </c>
    </row>
    <row r="33751" spans="20:20" ht="18.75" customHeight="1" x14ac:dyDescent="0.35">
      <c r="T33751" s="246">
        <f t="shared" si="565"/>
        <v>0</v>
      </c>
    </row>
    <row r="33752" spans="20:20" ht="18.75" customHeight="1" x14ac:dyDescent="0.35">
      <c r="T33752" s="246">
        <f t="shared" si="565"/>
        <v>0</v>
      </c>
    </row>
    <row r="33753" spans="20:20" ht="18.75" customHeight="1" x14ac:dyDescent="0.35">
      <c r="T33753" s="246">
        <f t="shared" si="565"/>
        <v>0</v>
      </c>
    </row>
    <row r="33754" spans="20:20" ht="18.75" customHeight="1" x14ac:dyDescent="0.35">
      <c r="T33754" s="246">
        <f t="shared" si="565"/>
        <v>0</v>
      </c>
    </row>
    <row r="33755" spans="20:20" ht="18.75" customHeight="1" x14ac:dyDescent="0.35">
      <c r="T33755" s="246">
        <f t="shared" si="565"/>
        <v>0</v>
      </c>
    </row>
    <row r="33756" spans="20:20" ht="18.75" customHeight="1" x14ac:dyDescent="0.35">
      <c r="T33756" s="246">
        <f t="shared" si="565"/>
        <v>0</v>
      </c>
    </row>
    <row r="33757" spans="20:20" ht="18.75" customHeight="1" x14ac:dyDescent="0.35">
      <c r="T33757" s="246">
        <f t="shared" si="565"/>
        <v>0</v>
      </c>
    </row>
    <row r="33758" spans="20:20" ht="18.75" customHeight="1" x14ac:dyDescent="0.35">
      <c r="T33758" s="246">
        <f t="shared" si="565"/>
        <v>0</v>
      </c>
    </row>
    <row r="33759" spans="20:20" ht="18.75" customHeight="1" x14ac:dyDescent="0.35">
      <c r="T33759" s="246">
        <f t="shared" si="565"/>
        <v>0</v>
      </c>
    </row>
    <row r="33760" spans="20:20" ht="18.75" customHeight="1" x14ac:dyDescent="0.35">
      <c r="T33760" s="246">
        <f t="shared" si="565"/>
        <v>0</v>
      </c>
    </row>
    <row r="33761" spans="20:20" ht="18.75" customHeight="1" x14ac:dyDescent="0.35">
      <c r="T33761" s="246">
        <f t="shared" si="565"/>
        <v>0</v>
      </c>
    </row>
    <row r="33762" spans="20:20" ht="18.75" customHeight="1" x14ac:dyDescent="0.35">
      <c r="T33762" s="246">
        <f t="shared" si="565"/>
        <v>0</v>
      </c>
    </row>
    <row r="33763" spans="20:20" ht="18.75" customHeight="1" x14ac:dyDescent="0.35">
      <c r="T33763" s="246">
        <f t="shared" si="565"/>
        <v>0</v>
      </c>
    </row>
    <row r="33764" spans="20:20" ht="18.75" customHeight="1" x14ac:dyDescent="0.35">
      <c r="T33764" s="246">
        <f t="shared" si="565"/>
        <v>0</v>
      </c>
    </row>
    <row r="33765" spans="20:20" ht="18.75" customHeight="1" x14ac:dyDescent="0.35">
      <c r="T33765" s="246">
        <f t="shared" si="565"/>
        <v>0</v>
      </c>
    </row>
    <row r="33766" spans="20:20" ht="18.75" customHeight="1" x14ac:dyDescent="0.35">
      <c r="T33766" s="246">
        <f t="shared" si="565"/>
        <v>0</v>
      </c>
    </row>
    <row r="33767" spans="20:20" ht="18.75" customHeight="1" x14ac:dyDescent="0.35">
      <c r="T33767" s="246">
        <f t="shared" si="565"/>
        <v>0</v>
      </c>
    </row>
    <row r="33768" spans="20:20" ht="18.75" customHeight="1" x14ac:dyDescent="0.35">
      <c r="T33768" s="246">
        <f t="shared" si="565"/>
        <v>0</v>
      </c>
    </row>
    <row r="33769" spans="20:20" ht="18.75" customHeight="1" x14ac:dyDescent="0.35">
      <c r="T33769" s="246">
        <f t="shared" si="565"/>
        <v>0</v>
      </c>
    </row>
    <row r="33770" spans="20:20" ht="18.75" customHeight="1" x14ac:dyDescent="0.35">
      <c r="T33770" s="246">
        <f t="shared" si="565"/>
        <v>0</v>
      </c>
    </row>
    <row r="33771" spans="20:20" ht="18.75" customHeight="1" x14ac:dyDescent="0.35">
      <c r="T33771" s="246">
        <f t="shared" si="565"/>
        <v>0</v>
      </c>
    </row>
    <row r="33772" spans="20:20" ht="18.75" customHeight="1" x14ac:dyDescent="0.35">
      <c r="T33772" s="246">
        <f t="shared" si="565"/>
        <v>0</v>
      </c>
    </row>
    <row r="33773" spans="20:20" ht="18.75" customHeight="1" x14ac:dyDescent="0.35">
      <c r="T33773" s="246">
        <f t="shared" si="565"/>
        <v>0</v>
      </c>
    </row>
    <row r="33774" spans="20:20" ht="18.75" customHeight="1" x14ac:dyDescent="0.35">
      <c r="T33774" s="246">
        <f t="shared" si="565"/>
        <v>0</v>
      </c>
    </row>
    <row r="33775" spans="20:20" ht="18.75" customHeight="1" x14ac:dyDescent="0.35">
      <c r="T33775" s="246">
        <f t="shared" si="565"/>
        <v>0</v>
      </c>
    </row>
    <row r="33776" spans="20:20" ht="18.75" customHeight="1" x14ac:dyDescent="0.35">
      <c r="T33776" s="246">
        <f t="shared" si="565"/>
        <v>0</v>
      </c>
    </row>
    <row r="33777" spans="20:20" ht="18.75" customHeight="1" x14ac:dyDescent="0.35">
      <c r="T33777" s="246">
        <f t="shared" si="565"/>
        <v>0</v>
      </c>
    </row>
    <row r="33778" spans="20:20" ht="18.75" customHeight="1" x14ac:dyDescent="0.35">
      <c r="T33778" s="246">
        <f t="shared" si="565"/>
        <v>0</v>
      </c>
    </row>
    <row r="33779" spans="20:20" ht="18.75" customHeight="1" x14ac:dyDescent="0.35">
      <c r="T33779" s="246">
        <f t="shared" si="565"/>
        <v>0</v>
      </c>
    </row>
    <row r="33780" spans="20:20" ht="18.75" customHeight="1" x14ac:dyDescent="0.35">
      <c r="T33780" s="246">
        <f t="shared" si="565"/>
        <v>0</v>
      </c>
    </row>
    <row r="33781" spans="20:20" ht="18.75" customHeight="1" x14ac:dyDescent="0.35">
      <c r="T33781" s="246">
        <f t="shared" si="565"/>
        <v>0</v>
      </c>
    </row>
    <row r="33782" spans="20:20" ht="18.75" customHeight="1" x14ac:dyDescent="0.35">
      <c r="T33782" s="246">
        <f t="shared" si="565"/>
        <v>0</v>
      </c>
    </row>
    <row r="33783" spans="20:20" ht="18.75" customHeight="1" x14ac:dyDescent="0.35">
      <c r="T33783" s="246">
        <f t="shared" si="565"/>
        <v>0</v>
      </c>
    </row>
    <row r="33784" spans="20:20" ht="18.75" customHeight="1" x14ac:dyDescent="0.35">
      <c r="T33784" s="246">
        <f t="shared" si="565"/>
        <v>0</v>
      </c>
    </row>
    <row r="33785" spans="20:20" ht="18.75" customHeight="1" x14ac:dyDescent="0.35">
      <c r="T33785" s="246">
        <f t="shared" si="565"/>
        <v>0</v>
      </c>
    </row>
    <row r="33786" spans="20:20" ht="18.75" customHeight="1" x14ac:dyDescent="0.35">
      <c r="T33786" s="246">
        <f t="shared" si="565"/>
        <v>0</v>
      </c>
    </row>
    <row r="33787" spans="20:20" ht="18.75" customHeight="1" x14ac:dyDescent="0.35">
      <c r="T33787" s="246">
        <f t="shared" si="565"/>
        <v>0</v>
      </c>
    </row>
    <row r="33788" spans="20:20" ht="18.75" customHeight="1" x14ac:dyDescent="0.35">
      <c r="T33788" s="246">
        <f t="shared" ref="T33788:T33851" si="566">R33788*0.01</f>
        <v>0</v>
      </c>
    </row>
    <row r="33789" spans="20:20" ht="18.75" customHeight="1" x14ac:dyDescent="0.35">
      <c r="T33789" s="246">
        <f t="shared" si="566"/>
        <v>0</v>
      </c>
    </row>
    <row r="33790" spans="20:20" ht="18.75" customHeight="1" x14ac:dyDescent="0.35">
      <c r="T33790" s="246">
        <f t="shared" si="566"/>
        <v>0</v>
      </c>
    </row>
    <row r="33791" spans="20:20" ht="18.75" customHeight="1" x14ac:dyDescent="0.35">
      <c r="T33791" s="246">
        <f t="shared" si="566"/>
        <v>0</v>
      </c>
    </row>
    <row r="33792" spans="20:20" ht="18.75" customHeight="1" x14ac:dyDescent="0.35">
      <c r="T33792" s="246">
        <f t="shared" si="566"/>
        <v>0</v>
      </c>
    </row>
    <row r="33793" spans="20:20" ht="18.75" customHeight="1" x14ac:dyDescent="0.35">
      <c r="T33793" s="246">
        <f t="shared" si="566"/>
        <v>0</v>
      </c>
    </row>
    <row r="33794" spans="20:20" ht="18.75" customHeight="1" x14ac:dyDescent="0.35">
      <c r="T33794" s="246">
        <f t="shared" si="566"/>
        <v>0</v>
      </c>
    </row>
    <row r="33795" spans="20:20" ht="18.75" customHeight="1" x14ac:dyDescent="0.35">
      <c r="T33795" s="246">
        <f t="shared" si="566"/>
        <v>0</v>
      </c>
    </row>
    <row r="33796" spans="20:20" ht="18.75" customHeight="1" x14ac:dyDescent="0.35">
      <c r="T33796" s="246">
        <f t="shared" si="566"/>
        <v>0</v>
      </c>
    </row>
    <row r="33797" spans="20:20" ht="18.75" customHeight="1" x14ac:dyDescent="0.35">
      <c r="T33797" s="246">
        <f t="shared" si="566"/>
        <v>0</v>
      </c>
    </row>
    <row r="33798" spans="20:20" ht="18.75" customHeight="1" x14ac:dyDescent="0.35">
      <c r="T33798" s="246">
        <f t="shared" si="566"/>
        <v>0</v>
      </c>
    </row>
    <row r="33799" spans="20:20" ht="18.75" customHeight="1" x14ac:dyDescent="0.35">
      <c r="T33799" s="246">
        <f t="shared" si="566"/>
        <v>0</v>
      </c>
    </row>
    <row r="33800" spans="20:20" ht="18.75" customHeight="1" x14ac:dyDescent="0.35">
      <c r="T33800" s="246">
        <f t="shared" si="566"/>
        <v>0</v>
      </c>
    </row>
    <row r="33801" spans="20:20" ht="18.75" customHeight="1" x14ac:dyDescent="0.35">
      <c r="T33801" s="246">
        <f t="shared" si="566"/>
        <v>0</v>
      </c>
    </row>
    <row r="33802" spans="20:20" ht="18.75" customHeight="1" x14ac:dyDescent="0.35">
      <c r="T33802" s="246">
        <f t="shared" si="566"/>
        <v>0</v>
      </c>
    </row>
    <row r="33803" spans="20:20" ht="18.75" customHeight="1" x14ac:dyDescent="0.35">
      <c r="T33803" s="246">
        <f t="shared" si="566"/>
        <v>0</v>
      </c>
    </row>
    <row r="33804" spans="20:20" ht="18.75" customHeight="1" x14ac:dyDescent="0.35">
      <c r="T33804" s="246">
        <f t="shared" si="566"/>
        <v>0</v>
      </c>
    </row>
    <row r="33805" spans="20:20" ht="18.75" customHeight="1" x14ac:dyDescent="0.35">
      <c r="T33805" s="246">
        <f t="shared" si="566"/>
        <v>0</v>
      </c>
    </row>
    <row r="33806" spans="20:20" ht="18.75" customHeight="1" x14ac:dyDescent="0.35">
      <c r="T33806" s="246">
        <f t="shared" si="566"/>
        <v>0</v>
      </c>
    </row>
    <row r="33807" spans="20:20" ht="18.75" customHeight="1" x14ac:dyDescent="0.35">
      <c r="T33807" s="246">
        <f t="shared" si="566"/>
        <v>0</v>
      </c>
    </row>
    <row r="33808" spans="20:20" ht="18.75" customHeight="1" x14ac:dyDescent="0.35">
      <c r="T33808" s="246">
        <f t="shared" si="566"/>
        <v>0</v>
      </c>
    </row>
    <row r="33809" spans="20:20" ht="18.75" customHeight="1" x14ac:dyDescent="0.35">
      <c r="T33809" s="246">
        <f t="shared" si="566"/>
        <v>0</v>
      </c>
    </row>
    <row r="33810" spans="20:20" ht="18.75" customHeight="1" x14ac:dyDescent="0.35">
      <c r="T33810" s="246">
        <f t="shared" si="566"/>
        <v>0</v>
      </c>
    </row>
    <row r="33811" spans="20:20" ht="18.75" customHeight="1" x14ac:dyDescent="0.35">
      <c r="T33811" s="246">
        <f t="shared" si="566"/>
        <v>0</v>
      </c>
    </row>
    <row r="33812" spans="20:20" ht="18.75" customHeight="1" x14ac:dyDescent="0.35">
      <c r="T33812" s="246">
        <f t="shared" si="566"/>
        <v>0</v>
      </c>
    </row>
    <row r="33813" spans="20:20" ht="18.75" customHeight="1" x14ac:dyDescent="0.35">
      <c r="T33813" s="246">
        <f t="shared" si="566"/>
        <v>0</v>
      </c>
    </row>
    <row r="33814" spans="20:20" ht="18.75" customHeight="1" x14ac:dyDescent="0.35">
      <c r="T33814" s="246">
        <f t="shared" si="566"/>
        <v>0</v>
      </c>
    </row>
    <row r="33815" spans="20:20" ht="18.75" customHeight="1" x14ac:dyDescent="0.35">
      <c r="T33815" s="246">
        <f t="shared" si="566"/>
        <v>0</v>
      </c>
    </row>
    <row r="33816" spans="20:20" ht="18.75" customHeight="1" x14ac:dyDescent="0.35">
      <c r="T33816" s="246">
        <f t="shared" si="566"/>
        <v>0</v>
      </c>
    </row>
    <row r="33817" spans="20:20" ht="18.75" customHeight="1" x14ac:dyDescent="0.35">
      <c r="T33817" s="246">
        <f t="shared" si="566"/>
        <v>0</v>
      </c>
    </row>
    <row r="33818" spans="20:20" ht="18.75" customHeight="1" x14ac:dyDescent="0.35">
      <c r="T33818" s="246">
        <f t="shared" si="566"/>
        <v>0</v>
      </c>
    </row>
    <row r="33819" spans="20:20" ht="18.75" customHeight="1" x14ac:dyDescent="0.35">
      <c r="T33819" s="246">
        <f t="shared" si="566"/>
        <v>0</v>
      </c>
    </row>
    <row r="33820" spans="20:20" ht="18.75" customHeight="1" x14ac:dyDescent="0.35">
      <c r="T33820" s="246">
        <f t="shared" si="566"/>
        <v>0</v>
      </c>
    </row>
    <row r="33821" spans="20:20" ht="18.75" customHeight="1" x14ac:dyDescent="0.35">
      <c r="T33821" s="246">
        <f t="shared" si="566"/>
        <v>0</v>
      </c>
    </row>
    <row r="33822" spans="20:20" ht="18.75" customHeight="1" x14ac:dyDescent="0.35">
      <c r="T33822" s="246">
        <f t="shared" si="566"/>
        <v>0</v>
      </c>
    </row>
    <row r="33823" spans="20:20" ht="18.75" customHeight="1" x14ac:dyDescent="0.35">
      <c r="T33823" s="246">
        <f t="shared" si="566"/>
        <v>0</v>
      </c>
    </row>
    <row r="33824" spans="20:20" ht="18.75" customHeight="1" x14ac:dyDescent="0.35">
      <c r="T33824" s="246">
        <f t="shared" si="566"/>
        <v>0</v>
      </c>
    </row>
    <row r="33825" spans="20:20" ht="18.75" customHeight="1" x14ac:dyDescent="0.35">
      <c r="T33825" s="246">
        <f t="shared" si="566"/>
        <v>0</v>
      </c>
    </row>
    <row r="33826" spans="20:20" ht="18.75" customHeight="1" x14ac:dyDescent="0.35">
      <c r="T33826" s="246">
        <f t="shared" si="566"/>
        <v>0</v>
      </c>
    </row>
    <row r="33827" spans="20:20" ht="18.75" customHeight="1" x14ac:dyDescent="0.35">
      <c r="T33827" s="246">
        <f t="shared" si="566"/>
        <v>0</v>
      </c>
    </row>
    <row r="33828" spans="20:20" ht="18.75" customHeight="1" x14ac:dyDescent="0.35">
      <c r="T33828" s="246">
        <f t="shared" si="566"/>
        <v>0</v>
      </c>
    </row>
    <row r="33829" spans="20:20" ht="18.75" customHeight="1" x14ac:dyDescent="0.35">
      <c r="T33829" s="246">
        <f t="shared" si="566"/>
        <v>0</v>
      </c>
    </row>
    <row r="33830" spans="20:20" ht="18.75" customHeight="1" x14ac:dyDescent="0.35">
      <c r="T33830" s="246">
        <f t="shared" si="566"/>
        <v>0</v>
      </c>
    </row>
    <row r="33831" spans="20:20" ht="18.75" customHeight="1" x14ac:dyDescent="0.35">
      <c r="T33831" s="246">
        <f t="shared" si="566"/>
        <v>0</v>
      </c>
    </row>
    <row r="33832" spans="20:20" ht="18.75" customHeight="1" x14ac:dyDescent="0.35">
      <c r="T33832" s="246">
        <f t="shared" si="566"/>
        <v>0</v>
      </c>
    </row>
    <row r="33833" spans="20:20" ht="18.75" customHeight="1" x14ac:dyDescent="0.35">
      <c r="T33833" s="246">
        <f t="shared" si="566"/>
        <v>0</v>
      </c>
    </row>
    <row r="33834" spans="20:20" ht="18.75" customHeight="1" x14ac:dyDescent="0.35">
      <c r="T33834" s="246">
        <f t="shared" si="566"/>
        <v>0</v>
      </c>
    </row>
    <row r="33835" spans="20:20" ht="18.75" customHeight="1" x14ac:dyDescent="0.35">
      <c r="T33835" s="246">
        <f t="shared" si="566"/>
        <v>0</v>
      </c>
    </row>
    <row r="33836" spans="20:20" ht="18.75" customHeight="1" x14ac:dyDescent="0.35">
      <c r="T33836" s="246">
        <f t="shared" si="566"/>
        <v>0</v>
      </c>
    </row>
    <row r="33837" spans="20:20" ht="18.75" customHeight="1" x14ac:dyDescent="0.35">
      <c r="T33837" s="246">
        <f t="shared" si="566"/>
        <v>0</v>
      </c>
    </row>
    <row r="33838" spans="20:20" ht="18.75" customHeight="1" x14ac:dyDescent="0.35">
      <c r="T33838" s="246">
        <f t="shared" si="566"/>
        <v>0</v>
      </c>
    </row>
    <row r="33839" spans="20:20" ht="18.75" customHeight="1" x14ac:dyDescent="0.35">
      <c r="T33839" s="246">
        <f t="shared" si="566"/>
        <v>0</v>
      </c>
    </row>
    <row r="33840" spans="20:20" ht="18.75" customHeight="1" x14ac:dyDescent="0.35">
      <c r="T33840" s="246">
        <f t="shared" si="566"/>
        <v>0</v>
      </c>
    </row>
    <row r="33841" spans="20:20" ht="18.75" customHeight="1" x14ac:dyDescent="0.35">
      <c r="T33841" s="246">
        <f t="shared" si="566"/>
        <v>0</v>
      </c>
    </row>
    <row r="33842" spans="20:20" ht="18.75" customHeight="1" x14ac:dyDescent="0.35">
      <c r="T33842" s="246">
        <f t="shared" si="566"/>
        <v>0</v>
      </c>
    </row>
    <row r="33843" spans="20:20" ht="18.75" customHeight="1" x14ac:dyDescent="0.35">
      <c r="T33843" s="246">
        <f t="shared" si="566"/>
        <v>0</v>
      </c>
    </row>
    <row r="33844" spans="20:20" ht="18.75" customHeight="1" x14ac:dyDescent="0.35">
      <c r="T33844" s="246">
        <f t="shared" si="566"/>
        <v>0</v>
      </c>
    </row>
    <row r="33845" spans="20:20" ht="18.75" customHeight="1" x14ac:dyDescent="0.35">
      <c r="T33845" s="246">
        <f t="shared" si="566"/>
        <v>0</v>
      </c>
    </row>
    <row r="33846" spans="20:20" ht="18.75" customHeight="1" x14ac:dyDescent="0.35">
      <c r="T33846" s="246">
        <f t="shared" si="566"/>
        <v>0</v>
      </c>
    </row>
    <row r="33847" spans="20:20" ht="18.75" customHeight="1" x14ac:dyDescent="0.35">
      <c r="T33847" s="246">
        <f t="shared" si="566"/>
        <v>0</v>
      </c>
    </row>
    <row r="33848" spans="20:20" ht="18.75" customHeight="1" x14ac:dyDescent="0.35">
      <c r="T33848" s="246">
        <f t="shared" si="566"/>
        <v>0</v>
      </c>
    </row>
    <row r="33849" spans="20:20" ht="18.75" customHeight="1" x14ac:dyDescent="0.35">
      <c r="T33849" s="246">
        <f t="shared" si="566"/>
        <v>0</v>
      </c>
    </row>
    <row r="33850" spans="20:20" ht="18.75" customHeight="1" x14ac:dyDescent="0.35">
      <c r="T33850" s="246">
        <f t="shared" si="566"/>
        <v>0</v>
      </c>
    </row>
    <row r="33851" spans="20:20" ht="18.75" customHeight="1" x14ac:dyDescent="0.35">
      <c r="T33851" s="246">
        <f t="shared" si="566"/>
        <v>0</v>
      </c>
    </row>
    <row r="33852" spans="20:20" ht="18.75" customHeight="1" x14ac:dyDescent="0.35">
      <c r="T33852" s="246">
        <f t="shared" ref="T33852:T33915" si="567">R33852*0.01</f>
        <v>0</v>
      </c>
    </row>
    <row r="33853" spans="20:20" ht="18.75" customHeight="1" x14ac:dyDescent="0.35">
      <c r="T33853" s="246">
        <f t="shared" si="567"/>
        <v>0</v>
      </c>
    </row>
    <row r="33854" spans="20:20" ht="18.75" customHeight="1" x14ac:dyDescent="0.35">
      <c r="T33854" s="246">
        <f t="shared" si="567"/>
        <v>0</v>
      </c>
    </row>
    <row r="33855" spans="20:20" ht="18.75" customHeight="1" x14ac:dyDescent="0.35">
      <c r="T33855" s="246">
        <f t="shared" si="567"/>
        <v>0</v>
      </c>
    </row>
    <row r="33856" spans="20:20" ht="18.75" customHeight="1" x14ac:dyDescent="0.35">
      <c r="T33856" s="246">
        <f t="shared" si="567"/>
        <v>0</v>
      </c>
    </row>
    <row r="33857" spans="20:20" ht="18.75" customHeight="1" x14ac:dyDescent="0.35">
      <c r="T33857" s="246">
        <f t="shared" si="567"/>
        <v>0</v>
      </c>
    </row>
    <row r="33858" spans="20:20" ht="18.75" customHeight="1" x14ac:dyDescent="0.35">
      <c r="T33858" s="246">
        <f t="shared" si="567"/>
        <v>0</v>
      </c>
    </row>
    <row r="33859" spans="20:20" ht="18.75" customHeight="1" x14ac:dyDescent="0.35">
      <c r="T33859" s="246">
        <f t="shared" si="567"/>
        <v>0</v>
      </c>
    </row>
    <row r="33860" spans="20:20" ht="18.75" customHeight="1" x14ac:dyDescent="0.35">
      <c r="T33860" s="246">
        <f t="shared" si="567"/>
        <v>0</v>
      </c>
    </row>
    <row r="33861" spans="20:20" ht="18.75" customHeight="1" x14ac:dyDescent="0.35">
      <c r="T33861" s="246">
        <f t="shared" si="567"/>
        <v>0</v>
      </c>
    </row>
    <row r="33862" spans="20:20" ht="18.75" customHeight="1" x14ac:dyDescent="0.35">
      <c r="T33862" s="246">
        <f t="shared" si="567"/>
        <v>0</v>
      </c>
    </row>
    <row r="33863" spans="20:20" ht="18.75" customHeight="1" x14ac:dyDescent="0.35">
      <c r="T33863" s="246">
        <f t="shared" si="567"/>
        <v>0</v>
      </c>
    </row>
    <row r="33864" spans="20:20" ht="18.75" customHeight="1" x14ac:dyDescent="0.35">
      <c r="T33864" s="246">
        <f t="shared" si="567"/>
        <v>0</v>
      </c>
    </row>
    <row r="33865" spans="20:20" ht="18.75" customHeight="1" x14ac:dyDescent="0.35">
      <c r="T33865" s="246">
        <f t="shared" si="567"/>
        <v>0</v>
      </c>
    </row>
    <row r="33866" spans="20:20" ht="18.75" customHeight="1" x14ac:dyDescent="0.35">
      <c r="T33866" s="246">
        <f t="shared" si="567"/>
        <v>0</v>
      </c>
    </row>
    <row r="33867" spans="20:20" ht="18.75" customHeight="1" x14ac:dyDescent="0.35">
      <c r="T33867" s="246">
        <f t="shared" si="567"/>
        <v>0</v>
      </c>
    </row>
    <row r="33868" spans="20:20" ht="18.75" customHeight="1" x14ac:dyDescent="0.35">
      <c r="T33868" s="246">
        <f t="shared" si="567"/>
        <v>0</v>
      </c>
    </row>
    <row r="33869" spans="20:20" ht="18.75" customHeight="1" x14ac:dyDescent="0.35">
      <c r="T33869" s="246">
        <f t="shared" si="567"/>
        <v>0</v>
      </c>
    </row>
    <row r="33870" spans="20:20" ht="18.75" customHeight="1" x14ac:dyDescent="0.35">
      <c r="T33870" s="246">
        <f t="shared" si="567"/>
        <v>0</v>
      </c>
    </row>
    <row r="33871" spans="20:20" ht="18.75" customHeight="1" x14ac:dyDescent="0.35">
      <c r="T33871" s="246">
        <f t="shared" si="567"/>
        <v>0</v>
      </c>
    </row>
    <row r="33872" spans="20:20" ht="18.75" customHeight="1" x14ac:dyDescent="0.35">
      <c r="T33872" s="246">
        <f t="shared" si="567"/>
        <v>0</v>
      </c>
    </row>
    <row r="33873" spans="20:20" ht="18.75" customHeight="1" x14ac:dyDescent="0.35">
      <c r="T33873" s="246">
        <f t="shared" si="567"/>
        <v>0</v>
      </c>
    </row>
    <row r="33874" spans="20:20" ht="18.75" customHeight="1" x14ac:dyDescent="0.35">
      <c r="T33874" s="246">
        <f t="shared" si="567"/>
        <v>0</v>
      </c>
    </row>
    <row r="33875" spans="20:20" ht="18.75" customHeight="1" x14ac:dyDescent="0.35">
      <c r="T33875" s="246">
        <f t="shared" si="567"/>
        <v>0</v>
      </c>
    </row>
    <row r="33876" spans="20:20" ht="18.75" customHeight="1" x14ac:dyDescent="0.35">
      <c r="T33876" s="246">
        <f t="shared" si="567"/>
        <v>0</v>
      </c>
    </row>
    <row r="33877" spans="20:20" ht="18.75" customHeight="1" x14ac:dyDescent="0.35">
      <c r="T33877" s="246">
        <f t="shared" si="567"/>
        <v>0</v>
      </c>
    </row>
    <row r="33878" spans="20:20" ht="18.75" customHeight="1" x14ac:dyDescent="0.35">
      <c r="T33878" s="246">
        <f t="shared" si="567"/>
        <v>0</v>
      </c>
    </row>
    <row r="33879" spans="20:20" ht="18.75" customHeight="1" x14ac:dyDescent="0.35">
      <c r="T33879" s="246">
        <f t="shared" si="567"/>
        <v>0</v>
      </c>
    </row>
    <row r="33880" spans="20:20" ht="18.75" customHeight="1" x14ac:dyDescent="0.35">
      <c r="T33880" s="246">
        <f t="shared" si="567"/>
        <v>0</v>
      </c>
    </row>
    <row r="33881" spans="20:20" ht="18.75" customHeight="1" x14ac:dyDescent="0.35">
      <c r="T33881" s="246">
        <f t="shared" si="567"/>
        <v>0</v>
      </c>
    </row>
    <row r="33882" spans="20:20" ht="18.75" customHeight="1" x14ac:dyDescent="0.35">
      <c r="T33882" s="246">
        <f t="shared" si="567"/>
        <v>0</v>
      </c>
    </row>
    <row r="33883" spans="20:20" ht="18.75" customHeight="1" x14ac:dyDescent="0.35">
      <c r="T33883" s="246">
        <f t="shared" si="567"/>
        <v>0</v>
      </c>
    </row>
    <row r="33884" spans="20:20" ht="18.75" customHeight="1" x14ac:dyDescent="0.35">
      <c r="T33884" s="246">
        <f t="shared" si="567"/>
        <v>0</v>
      </c>
    </row>
    <row r="33885" spans="20:20" ht="18.75" customHeight="1" x14ac:dyDescent="0.35">
      <c r="T33885" s="246">
        <f t="shared" si="567"/>
        <v>0</v>
      </c>
    </row>
    <row r="33886" spans="20:20" ht="18.75" customHeight="1" x14ac:dyDescent="0.35">
      <c r="T33886" s="246">
        <f t="shared" si="567"/>
        <v>0</v>
      </c>
    </row>
    <row r="33887" spans="20:20" ht="18.75" customHeight="1" x14ac:dyDescent="0.35">
      <c r="T33887" s="246">
        <f t="shared" si="567"/>
        <v>0</v>
      </c>
    </row>
    <row r="33888" spans="20:20" ht="18.75" customHeight="1" x14ac:dyDescent="0.35">
      <c r="T33888" s="246">
        <f t="shared" si="567"/>
        <v>0</v>
      </c>
    </row>
    <row r="33889" spans="20:20" ht="18.75" customHeight="1" x14ac:dyDescent="0.35">
      <c r="T33889" s="246">
        <f t="shared" si="567"/>
        <v>0</v>
      </c>
    </row>
    <row r="33890" spans="20:20" ht="18.75" customHeight="1" x14ac:dyDescent="0.35">
      <c r="T33890" s="246">
        <f t="shared" si="567"/>
        <v>0</v>
      </c>
    </row>
    <row r="33891" spans="20:20" ht="18.75" customHeight="1" x14ac:dyDescent="0.35">
      <c r="T33891" s="246">
        <f t="shared" si="567"/>
        <v>0</v>
      </c>
    </row>
    <row r="33892" spans="20:20" ht="18.75" customHeight="1" x14ac:dyDescent="0.35">
      <c r="T33892" s="246">
        <f t="shared" si="567"/>
        <v>0</v>
      </c>
    </row>
    <row r="33893" spans="20:20" ht="18.75" customHeight="1" x14ac:dyDescent="0.35">
      <c r="T33893" s="246">
        <f t="shared" si="567"/>
        <v>0</v>
      </c>
    </row>
    <row r="33894" spans="20:20" ht="18.75" customHeight="1" x14ac:dyDescent="0.35">
      <c r="T33894" s="246">
        <f t="shared" si="567"/>
        <v>0</v>
      </c>
    </row>
    <row r="33895" spans="20:20" ht="18.75" customHeight="1" x14ac:dyDescent="0.35">
      <c r="T33895" s="246">
        <f t="shared" si="567"/>
        <v>0</v>
      </c>
    </row>
    <row r="33896" spans="20:20" ht="18.75" customHeight="1" x14ac:dyDescent="0.35">
      <c r="T33896" s="246">
        <f t="shared" si="567"/>
        <v>0</v>
      </c>
    </row>
    <row r="33897" spans="20:20" ht="18.75" customHeight="1" x14ac:dyDescent="0.35">
      <c r="T33897" s="246">
        <f t="shared" si="567"/>
        <v>0</v>
      </c>
    </row>
    <row r="33898" spans="20:20" ht="18.75" customHeight="1" x14ac:dyDescent="0.35">
      <c r="T33898" s="246">
        <f t="shared" si="567"/>
        <v>0</v>
      </c>
    </row>
    <row r="33899" spans="20:20" ht="18.75" customHeight="1" x14ac:dyDescent="0.35">
      <c r="T33899" s="246">
        <f t="shared" si="567"/>
        <v>0</v>
      </c>
    </row>
    <row r="33900" spans="20:20" ht="18.75" customHeight="1" x14ac:dyDescent="0.35">
      <c r="T33900" s="246">
        <f t="shared" si="567"/>
        <v>0</v>
      </c>
    </row>
    <row r="33901" spans="20:20" ht="18.75" customHeight="1" x14ac:dyDescent="0.35">
      <c r="T33901" s="246">
        <f t="shared" si="567"/>
        <v>0</v>
      </c>
    </row>
    <row r="33902" spans="20:20" ht="18.75" customHeight="1" x14ac:dyDescent="0.35">
      <c r="T33902" s="246">
        <f t="shared" si="567"/>
        <v>0</v>
      </c>
    </row>
    <row r="33903" spans="20:20" ht="18.75" customHeight="1" x14ac:dyDescent="0.35">
      <c r="T33903" s="246">
        <f t="shared" si="567"/>
        <v>0</v>
      </c>
    </row>
    <row r="33904" spans="20:20" ht="18.75" customHeight="1" x14ac:dyDescent="0.35">
      <c r="T33904" s="246">
        <f t="shared" si="567"/>
        <v>0</v>
      </c>
    </row>
    <row r="33905" spans="20:20" ht="18.75" customHeight="1" x14ac:dyDescent="0.35">
      <c r="T33905" s="246">
        <f t="shared" si="567"/>
        <v>0</v>
      </c>
    </row>
    <row r="33906" spans="20:20" ht="18.75" customHeight="1" x14ac:dyDescent="0.35">
      <c r="T33906" s="246">
        <f t="shared" si="567"/>
        <v>0</v>
      </c>
    </row>
    <row r="33907" spans="20:20" ht="18.75" customHeight="1" x14ac:dyDescent="0.35">
      <c r="T33907" s="246">
        <f t="shared" si="567"/>
        <v>0</v>
      </c>
    </row>
    <row r="33908" spans="20:20" ht="18.75" customHeight="1" x14ac:dyDescent="0.35">
      <c r="T33908" s="246">
        <f t="shared" si="567"/>
        <v>0</v>
      </c>
    </row>
    <row r="33909" spans="20:20" ht="18.75" customHeight="1" x14ac:dyDescent="0.35">
      <c r="T33909" s="246">
        <f t="shared" si="567"/>
        <v>0</v>
      </c>
    </row>
    <row r="33910" spans="20:20" ht="18.75" customHeight="1" x14ac:dyDescent="0.35">
      <c r="T33910" s="246">
        <f t="shared" si="567"/>
        <v>0</v>
      </c>
    </row>
    <row r="33911" spans="20:20" ht="18.75" customHeight="1" x14ac:dyDescent="0.35">
      <c r="T33911" s="246">
        <f t="shared" si="567"/>
        <v>0</v>
      </c>
    </row>
    <row r="33912" spans="20:20" ht="18.75" customHeight="1" x14ac:dyDescent="0.35">
      <c r="T33912" s="246">
        <f t="shared" si="567"/>
        <v>0</v>
      </c>
    </row>
    <row r="33913" spans="20:20" ht="18.75" customHeight="1" x14ac:dyDescent="0.35">
      <c r="T33913" s="246">
        <f t="shared" si="567"/>
        <v>0</v>
      </c>
    </row>
    <row r="33914" spans="20:20" ht="18.75" customHeight="1" x14ac:dyDescent="0.35">
      <c r="T33914" s="246">
        <f t="shared" si="567"/>
        <v>0</v>
      </c>
    </row>
    <row r="33915" spans="20:20" ht="18.75" customHeight="1" x14ac:dyDescent="0.35">
      <c r="T33915" s="246">
        <f t="shared" si="567"/>
        <v>0</v>
      </c>
    </row>
    <row r="33916" spans="20:20" ht="18.75" customHeight="1" x14ac:dyDescent="0.35">
      <c r="T33916" s="246">
        <f t="shared" ref="T33916:T33979" si="568">R33916*0.01</f>
        <v>0</v>
      </c>
    </row>
    <row r="33917" spans="20:20" ht="18.75" customHeight="1" x14ac:dyDescent="0.35">
      <c r="T33917" s="246">
        <f t="shared" si="568"/>
        <v>0</v>
      </c>
    </row>
    <row r="33918" spans="20:20" ht="18.75" customHeight="1" x14ac:dyDescent="0.35">
      <c r="T33918" s="246">
        <f t="shared" si="568"/>
        <v>0</v>
      </c>
    </row>
    <row r="33919" spans="20:20" ht="18.75" customHeight="1" x14ac:dyDescent="0.35">
      <c r="T33919" s="246">
        <f t="shared" si="568"/>
        <v>0</v>
      </c>
    </row>
    <row r="33920" spans="20:20" ht="18.75" customHeight="1" x14ac:dyDescent="0.35">
      <c r="T33920" s="246">
        <f t="shared" si="568"/>
        <v>0</v>
      </c>
    </row>
    <row r="33921" spans="20:20" ht="18.75" customHeight="1" x14ac:dyDescent="0.35">
      <c r="T33921" s="246">
        <f t="shared" si="568"/>
        <v>0</v>
      </c>
    </row>
    <row r="33922" spans="20:20" ht="18.75" customHeight="1" x14ac:dyDescent="0.35">
      <c r="T33922" s="246">
        <f t="shared" si="568"/>
        <v>0</v>
      </c>
    </row>
    <row r="33923" spans="20:20" ht="18.75" customHeight="1" x14ac:dyDescent="0.35">
      <c r="T33923" s="246">
        <f t="shared" si="568"/>
        <v>0</v>
      </c>
    </row>
    <row r="33924" spans="20:20" ht="18.75" customHeight="1" x14ac:dyDescent="0.35">
      <c r="T33924" s="246">
        <f t="shared" si="568"/>
        <v>0</v>
      </c>
    </row>
    <row r="33925" spans="20:20" ht="18.75" customHeight="1" x14ac:dyDescent="0.35">
      <c r="T33925" s="246">
        <f t="shared" si="568"/>
        <v>0</v>
      </c>
    </row>
    <row r="33926" spans="20:20" ht="18.75" customHeight="1" x14ac:dyDescent="0.35">
      <c r="T33926" s="246">
        <f t="shared" si="568"/>
        <v>0</v>
      </c>
    </row>
    <row r="33927" spans="20:20" ht="18.75" customHeight="1" x14ac:dyDescent="0.35">
      <c r="T33927" s="246">
        <f t="shared" si="568"/>
        <v>0</v>
      </c>
    </row>
    <row r="33928" spans="20:20" ht="18.75" customHeight="1" x14ac:dyDescent="0.35">
      <c r="T33928" s="246">
        <f t="shared" si="568"/>
        <v>0</v>
      </c>
    </row>
    <row r="33929" spans="20:20" ht="18.75" customHeight="1" x14ac:dyDescent="0.35">
      <c r="T33929" s="246">
        <f t="shared" si="568"/>
        <v>0</v>
      </c>
    </row>
    <row r="33930" spans="20:20" ht="18.75" customHeight="1" x14ac:dyDescent="0.35">
      <c r="T33930" s="246">
        <f t="shared" si="568"/>
        <v>0</v>
      </c>
    </row>
    <row r="33931" spans="20:20" ht="18.75" customHeight="1" x14ac:dyDescent="0.35">
      <c r="T33931" s="246">
        <f t="shared" si="568"/>
        <v>0</v>
      </c>
    </row>
    <row r="33932" spans="20:20" ht="18.75" customHeight="1" x14ac:dyDescent="0.35">
      <c r="T33932" s="246">
        <f t="shared" si="568"/>
        <v>0</v>
      </c>
    </row>
    <row r="33933" spans="20:20" ht="18.75" customHeight="1" x14ac:dyDescent="0.35">
      <c r="T33933" s="246">
        <f t="shared" si="568"/>
        <v>0</v>
      </c>
    </row>
    <row r="33934" spans="20:20" ht="18.75" customHeight="1" x14ac:dyDescent="0.35">
      <c r="T33934" s="246">
        <f t="shared" si="568"/>
        <v>0</v>
      </c>
    </row>
    <row r="33935" spans="20:20" ht="18.75" customHeight="1" x14ac:dyDescent="0.35">
      <c r="T33935" s="246">
        <f t="shared" si="568"/>
        <v>0</v>
      </c>
    </row>
    <row r="33936" spans="20:20" ht="18.75" customHeight="1" x14ac:dyDescent="0.35">
      <c r="T33936" s="246">
        <f t="shared" si="568"/>
        <v>0</v>
      </c>
    </row>
    <row r="33937" spans="20:20" ht="18.75" customHeight="1" x14ac:dyDescent="0.35">
      <c r="T33937" s="246">
        <f t="shared" si="568"/>
        <v>0</v>
      </c>
    </row>
    <row r="33938" spans="20:20" ht="18.75" customHeight="1" x14ac:dyDescent="0.35">
      <c r="T33938" s="246">
        <f t="shared" si="568"/>
        <v>0</v>
      </c>
    </row>
    <row r="33939" spans="20:20" ht="18.75" customHeight="1" x14ac:dyDescent="0.35">
      <c r="T33939" s="246">
        <f t="shared" si="568"/>
        <v>0</v>
      </c>
    </row>
    <row r="33940" spans="20:20" ht="18.75" customHeight="1" x14ac:dyDescent="0.35">
      <c r="T33940" s="246">
        <f t="shared" si="568"/>
        <v>0</v>
      </c>
    </row>
    <row r="33941" spans="20:20" ht="18.75" customHeight="1" x14ac:dyDescent="0.35">
      <c r="T33941" s="246">
        <f t="shared" si="568"/>
        <v>0</v>
      </c>
    </row>
    <row r="33942" spans="20:20" ht="18.75" customHeight="1" x14ac:dyDescent="0.35">
      <c r="T33942" s="246">
        <f t="shared" si="568"/>
        <v>0</v>
      </c>
    </row>
    <row r="33943" spans="20:20" ht="18.75" customHeight="1" x14ac:dyDescent="0.35">
      <c r="T33943" s="246">
        <f t="shared" si="568"/>
        <v>0</v>
      </c>
    </row>
    <row r="33944" spans="20:20" ht="18.75" customHeight="1" x14ac:dyDescent="0.35">
      <c r="T33944" s="246">
        <f t="shared" si="568"/>
        <v>0</v>
      </c>
    </row>
    <row r="33945" spans="20:20" ht="18.75" customHeight="1" x14ac:dyDescent="0.35">
      <c r="T33945" s="246">
        <f t="shared" si="568"/>
        <v>0</v>
      </c>
    </row>
    <row r="33946" spans="20:20" ht="18.75" customHeight="1" x14ac:dyDescent="0.35">
      <c r="T33946" s="246">
        <f t="shared" si="568"/>
        <v>0</v>
      </c>
    </row>
    <row r="33947" spans="20:20" ht="18.75" customHeight="1" x14ac:dyDescent="0.35">
      <c r="T33947" s="246">
        <f t="shared" si="568"/>
        <v>0</v>
      </c>
    </row>
    <row r="33948" spans="20:20" ht="18.75" customHeight="1" x14ac:dyDescent="0.35">
      <c r="T33948" s="246">
        <f t="shared" si="568"/>
        <v>0</v>
      </c>
    </row>
    <row r="33949" spans="20:20" ht="18.75" customHeight="1" x14ac:dyDescent="0.35">
      <c r="T33949" s="246">
        <f t="shared" si="568"/>
        <v>0</v>
      </c>
    </row>
    <row r="33950" spans="20:20" ht="18.75" customHeight="1" x14ac:dyDescent="0.35">
      <c r="T33950" s="246">
        <f t="shared" si="568"/>
        <v>0</v>
      </c>
    </row>
    <row r="33951" spans="20:20" ht="18.75" customHeight="1" x14ac:dyDescent="0.35">
      <c r="T33951" s="246">
        <f t="shared" si="568"/>
        <v>0</v>
      </c>
    </row>
    <row r="33952" spans="20:20" ht="18.75" customHeight="1" x14ac:dyDescent="0.35">
      <c r="T33952" s="246">
        <f t="shared" si="568"/>
        <v>0</v>
      </c>
    </row>
    <row r="33953" spans="20:20" ht="18.75" customHeight="1" x14ac:dyDescent="0.35">
      <c r="T33953" s="246">
        <f t="shared" si="568"/>
        <v>0</v>
      </c>
    </row>
    <row r="33954" spans="20:20" ht="18.75" customHeight="1" x14ac:dyDescent="0.35">
      <c r="T33954" s="246">
        <f t="shared" si="568"/>
        <v>0</v>
      </c>
    </row>
    <row r="33955" spans="20:20" ht="18.75" customHeight="1" x14ac:dyDescent="0.35">
      <c r="T33955" s="246">
        <f t="shared" si="568"/>
        <v>0</v>
      </c>
    </row>
    <row r="33956" spans="20:20" ht="18.75" customHeight="1" x14ac:dyDescent="0.35">
      <c r="T33956" s="246">
        <f t="shared" si="568"/>
        <v>0</v>
      </c>
    </row>
    <row r="33957" spans="20:20" ht="18.75" customHeight="1" x14ac:dyDescent="0.35">
      <c r="T33957" s="246">
        <f t="shared" si="568"/>
        <v>0</v>
      </c>
    </row>
    <row r="33958" spans="20:20" ht="18.75" customHeight="1" x14ac:dyDescent="0.35">
      <c r="T33958" s="246">
        <f t="shared" si="568"/>
        <v>0</v>
      </c>
    </row>
    <row r="33959" spans="20:20" ht="18.75" customHeight="1" x14ac:dyDescent="0.35">
      <c r="T33959" s="246">
        <f t="shared" si="568"/>
        <v>0</v>
      </c>
    </row>
    <row r="33960" spans="20:20" ht="18.75" customHeight="1" x14ac:dyDescent="0.35">
      <c r="T33960" s="246">
        <f t="shared" si="568"/>
        <v>0</v>
      </c>
    </row>
    <row r="33961" spans="20:20" ht="18.75" customHeight="1" x14ac:dyDescent="0.35">
      <c r="T33961" s="246">
        <f t="shared" si="568"/>
        <v>0</v>
      </c>
    </row>
    <row r="33962" spans="20:20" ht="18.75" customHeight="1" x14ac:dyDescent="0.35">
      <c r="T33962" s="246">
        <f t="shared" si="568"/>
        <v>0</v>
      </c>
    </row>
    <row r="33963" spans="20:20" ht="18.75" customHeight="1" x14ac:dyDescent="0.35">
      <c r="T33963" s="246">
        <f t="shared" si="568"/>
        <v>0</v>
      </c>
    </row>
    <row r="33964" spans="20:20" ht="18.75" customHeight="1" x14ac:dyDescent="0.35">
      <c r="T33964" s="246">
        <f t="shared" si="568"/>
        <v>0</v>
      </c>
    </row>
    <row r="33965" spans="20:20" ht="18.75" customHeight="1" x14ac:dyDescent="0.35">
      <c r="T33965" s="246">
        <f t="shared" si="568"/>
        <v>0</v>
      </c>
    </row>
    <row r="33966" spans="20:20" ht="18.75" customHeight="1" x14ac:dyDescent="0.35">
      <c r="T33966" s="246">
        <f t="shared" si="568"/>
        <v>0</v>
      </c>
    </row>
    <row r="33967" spans="20:20" ht="18.75" customHeight="1" x14ac:dyDescent="0.35">
      <c r="T33967" s="246">
        <f t="shared" si="568"/>
        <v>0</v>
      </c>
    </row>
    <row r="33968" spans="20:20" ht="18.75" customHeight="1" x14ac:dyDescent="0.35">
      <c r="T33968" s="246">
        <f t="shared" si="568"/>
        <v>0</v>
      </c>
    </row>
    <row r="33969" spans="20:20" ht="18.75" customHeight="1" x14ac:dyDescent="0.35">
      <c r="T33969" s="246">
        <f t="shared" si="568"/>
        <v>0</v>
      </c>
    </row>
    <row r="33970" spans="20:20" ht="18.75" customHeight="1" x14ac:dyDescent="0.35">
      <c r="T33970" s="246">
        <f t="shared" si="568"/>
        <v>0</v>
      </c>
    </row>
    <row r="33971" spans="20:20" ht="18.75" customHeight="1" x14ac:dyDescent="0.35">
      <c r="T33971" s="246">
        <f t="shared" si="568"/>
        <v>0</v>
      </c>
    </row>
    <row r="33972" spans="20:20" ht="18.75" customHeight="1" x14ac:dyDescent="0.35">
      <c r="T33972" s="246">
        <f t="shared" si="568"/>
        <v>0</v>
      </c>
    </row>
    <row r="33973" spans="20:20" ht="18.75" customHeight="1" x14ac:dyDescent="0.35">
      <c r="T33973" s="246">
        <f t="shared" si="568"/>
        <v>0</v>
      </c>
    </row>
    <row r="33974" spans="20:20" ht="18.75" customHeight="1" x14ac:dyDescent="0.35">
      <c r="T33974" s="246">
        <f t="shared" si="568"/>
        <v>0</v>
      </c>
    </row>
    <row r="33975" spans="20:20" ht="18.75" customHeight="1" x14ac:dyDescent="0.35">
      <c r="T33975" s="246">
        <f t="shared" si="568"/>
        <v>0</v>
      </c>
    </row>
    <row r="33976" spans="20:20" ht="18.75" customHeight="1" x14ac:dyDescent="0.35">
      <c r="T33976" s="246">
        <f t="shared" si="568"/>
        <v>0</v>
      </c>
    </row>
    <row r="33977" spans="20:20" ht="18.75" customHeight="1" x14ac:dyDescent="0.35">
      <c r="T33977" s="246">
        <f t="shared" si="568"/>
        <v>0</v>
      </c>
    </row>
    <row r="33978" spans="20:20" ht="18.75" customHeight="1" x14ac:dyDescent="0.35">
      <c r="T33978" s="246">
        <f t="shared" si="568"/>
        <v>0</v>
      </c>
    </row>
    <row r="33979" spans="20:20" ht="18.75" customHeight="1" x14ac:dyDescent="0.35">
      <c r="T33979" s="246">
        <f t="shared" si="568"/>
        <v>0</v>
      </c>
    </row>
    <row r="33980" spans="20:20" ht="18.75" customHeight="1" x14ac:dyDescent="0.35">
      <c r="T33980" s="246">
        <f t="shared" ref="T33980:T34043" si="569">R33980*0.01</f>
        <v>0</v>
      </c>
    </row>
    <row r="33981" spans="20:20" ht="18.75" customHeight="1" x14ac:dyDescent="0.35">
      <c r="T33981" s="246">
        <f t="shared" si="569"/>
        <v>0</v>
      </c>
    </row>
    <row r="33982" spans="20:20" ht="18.75" customHeight="1" x14ac:dyDescent="0.35">
      <c r="T33982" s="246">
        <f t="shared" si="569"/>
        <v>0</v>
      </c>
    </row>
    <row r="33983" spans="20:20" ht="18.75" customHeight="1" x14ac:dyDescent="0.35">
      <c r="T33983" s="246">
        <f t="shared" si="569"/>
        <v>0</v>
      </c>
    </row>
    <row r="33984" spans="20:20" ht="18.75" customHeight="1" x14ac:dyDescent="0.35">
      <c r="T33984" s="246">
        <f t="shared" si="569"/>
        <v>0</v>
      </c>
    </row>
    <row r="33985" spans="20:20" ht="18.75" customHeight="1" x14ac:dyDescent="0.35">
      <c r="T33985" s="246">
        <f t="shared" si="569"/>
        <v>0</v>
      </c>
    </row>
    <row r="33986" spans="20:20" ht="18.75" customHeight="1" x14ac:dyDescent="0.35">
      <c r="T33986" s="246">
        <f t="shared" si="569"/>
        <v>0</v>
      </c>
    </row>
    <row r="33987" spans="20:20" ht="18.75" customHeight="1" x14ac:dyDescent="0.35">
      <c r="T33987" s="246">
        <f t="shared" si="569"/>
        <v>0</v>
      </c>
    </row>
    <row r="33988" spans="20:20" ht="18.75" customHeight="1" x14ac:dyDescent="0.35">
      <c r="T33988" s="246">
        <f t="shared" si="569"/>
        <v>0</v>
      </c>
    </row>
    <row r="33989" spans="20:20" ht="18.75" customHeight="1" x14ac:dyDescent="0.35">
      <c r="T33989" s="246">
        <f t="shared" si="569"/>
        <v>0</v>
      </c>
    </row>
    <row r="33990" spans="20:20" ht="18.75" customHeight="1" x14ac:dyDescent="0.35">
      <c r="T33990" s="246">
        <f t="shared" si="569"/>
        <v>0</v>
      </c>
    </row>
    <row r="33991" spans="20:20" ht="18.75" customHeight="1" x14ac:dyDescent="0.35">
      <c r="T33991" s="246">
        <f t="shared" si="569"/>
        <v>0</v>
      </c>
    </row>
    <row r="33992" spans="20:20" ht="18.75" customHeight="1" x14ac:dyDescent="0.35">
      <c r="T33992" s="246">
        <f t="shared" si="569"/>
        <v>0</v>
      </c>
    </row>
    <row r="33993" spans="20:20" ht="18.75" customHeight="1" x14ac:dyDescent="0.35">
      <c r="T33993" s="246">
        <f t="shared" si="569"/>
        <v>0</v>
      </c>
    </row>
    <row r="33994" spans="20:20" ht="18.75" customHeight="1" x14ac:dyDescent="0.35">
      <c r="T33994" s="246">
        <f t="shared" si="569"/>
        <v>0</v>
      </c>
    </row>
    <row r="33995" spans="20:20" ht="18.75" customHeight="1" x14ac:dyDescent="0.35">
      <c r="T33995" s="246">
        <f t="shared" si="569"/>
        <v>0</v>
      </c>
    </row>
    <row r="33996" spans="20:20" ht="18.75" customHeight="1" x14ac:dyDescent="0.35">
      <c r="T33996" s="246">
        <f t="shared" si="569"/>
        <v>0</v>
      </c>
    </row>
    <row r="33997" spans="20:20" ht="18.75" customHeight="1" x14ac:dyDescent="0.35">
      <c r="T33997" s="246">
        <f t="shared" si="569"/>
        <v>0</v>
      </c>
    </row>
    <row r="33998" spans="20:20" ht="18.75" customHeight="1" x14ac:dyDescent="0.35">
      <c r="T33998" s="246">
        <f t="shared" si="569"/>
        <v>0</v>
      </c>
    </row>
    <row r="33999" spans="20:20" ht="18.75" customHeight="1" x14ac:dyDescent="0.35">
      <c r="T33999" s="246">
        <f t="shared" si="569"/>
        <v>0</v>
      </c>
    </row>
    <row r="34000" spans="20:20" ht="18.75" customHeight="1" x14ac:dyDescent="0.35">
      <c r="T34000" s="246">
        <f t="shared" si="569"/>
        <v>0</v>
      </c>
    </row>
    <row r="34001" spans="20:20" ht="18.75" customHeight="1" x14ac:dyDescent="0.35">
      <c r="T34001" s="246">
        <f t="shared" si="569"/>
        <v>0</v>
      </c>
    </row>
    <row r="34002" spans="20:20" ht="18.75" customHeight="1" x14ac:dyDescent="0.35">
      <c r="T34002" s="246">
        <f t="shared" si="569"/>
        <v>0</v>
      </c>
    </row>
    <row r="34003" spans="20:20" ht="18.75" customHeight="1" x14ac:dyDescent="0.35">
      <c r="T34003" s="246">
        <f t="shared" si="569"/>
        <v>0</v>
      </c>
    </row>
    <row r="34004" spans="20:20" ht="18.75" customHeight="1" x14ac:dyDescent="0.35">
      <c r="T34004" s="246">
        <f t="shared" si="569"/>
        <v>0</v>
      </c>
    </row>
    <row r="34005" spans="20:20" ht="18.75" customHeight="1" x14ac:dyDescent="0.35">
      <c r="T34005" s="246">
        <f t="shared" si="569"/>
        <v>0</v>
      </c>
    </row>
    <row r="34006" spans="20:20" ht="18.75" customHeight="1" x14ac:dyDescent="0.35">
      <c r="T34006" s="246">
        <f t="shared" si="569"/>
        <v>0</v>
      </c>
    </row>
    <row r="34007" spans="20:20" ht="18.75" customHeight="1" x14ac:dyDescent="0.35">
      <c r="T34007" s="246">
        <f t="shared" si="569"/>
        <v>0</v>
      </c>
    </row>
    <row r="34008" spans="20:20" ht="18.75" customHeight="1" x14ac:dyDescent="0.35">
      <c r="T34008" s="246">
        <f t="shared" si="569"/>
        <v>0</v>
      </c>
    </row>
    <row r="34009" spans="20:20" ht="18.75" customHeight="1" x14ac:dyDescent="0.35">
      <c r="T34009" s="246">
        <f t="shared" si="569"/>
        <v>0</v>
      </c>
    </row>
    <row r="34010" spans="20:20" ht="18.75" customHeight="1" x14ac:dyDescent="0.35">
      <c r="T34010" s="246">
        <f t="shared" si="569"/>
        <v>0</v>
      </c>
    </row>
    <row r="34011" spans="20:20" ht="18.75" customHeight="1" x14ac:dyDescent="0.35">
      <c r="T34011" s="246">
        <f t="shared" si="569"/>
        <v>0</v>
      </c>
    </row>
    <row r="34012" spans="20:20" ht="18.75" customHeight="1" x14ac:dyDescent="0.35">
      <c r="T34012" s="246">
        <f t="shared" si="569"/>
        <v>0</v>
      </c>
    </row>
    <row r="34013" spans="20:20" ht="18.75" customHeight="1" x14ac:dyDescent="0.35">
      <c r="T34013" s="246">
        <f t="shared" si="569"/>
        <v>0</v>
      </c>
    </row>
    <row r="34014" spans="20:20" ht="18.75" customHeight="1" x14ac:dyDescent="0.35">
      <c r="T34014" s="246">
        <f t="shared" si="569"/>
        <v>0</v>
      </c>
    </row>
    <row r="34015" spans="20:20" ht="18.75" customHeight="1" x14ac:dyDescent="0.35">
      <c r="T34015" s="246">
        <f t="shared" si="569"/>
        <v>0</v>
      </c>
    </row>
    <row r="34016" spans="20:20" ht="18.75" customHeight="1" x14ac:dyDescent="0.35">
      <c r="T34016" s="246">
        <f t="shared" si="569"/>
        <v>0</v>
      </c>
    </row>
    <row r="34017" spans="20:20" ht="18.75" customHeight="1" x14ac:dyDescent="0.35">
      <c r="T34017" s="246">
        <f t="shared" si="569"/>
        <v>0</v>
      </c>
    </row>
    <row r="34018" spans="20:20" ht="18.75" customHeight="1" x14ac:dyDescent="0.35">
      <c r="T34018" s="246">
        <f t="shared" si="569"/>
        <v>0</v>
      </c>
    </row>
    <row r="34019" spans="20:20" ht="18.75" customHeight="1" x14ac:dyDescent="0.35">
      <c r="T34019" s="246">
        <f t="shared" si="569"/>
        <v>0</v>
      </c>
    </row>
    <row r="34020" spans="20:20" ht="18.75" customHeight="1" x14ac:dyDescent="0.35">
      <c r="T34020" s="246">
        <f t="shared" si="569"/>
        <v>0</v>
      </c>
    </row>
    <row r="34021" spans="20:20" ht="18.75" customHeight="1" x14ac:dyDescent="0.35">
      <c r="T34021" s="246">
        <f t="shared" si="569"/>
        <v>0</v>
      </c>
    </row>
    <row r="34022" spans="20:20" ht="18.75" customHeight="1" x14ac:dyDescent="0.35">
      <c r="T34022" s="246">
        <f t="shared" si="569"/>
        <v>0</v>
      </c>
    </row>
    <row r="34023" spans="20:20" ht="18.75" customHeight="1" x14ac:dyDescent="0.35">
      <c r="T34023" s="246">
        <f t="shared" si="569"/>
        <v>0</v>
      </c>
    </row>
    <row r="34024" spans="20:20" ht="18.75" customHeight="1" x14ac:dyDescent="0.35">
      <c r="T34024" s="246">
        <f t="shared" si="569"/>
        <v>0</v>
      </c>
    </row>
    <row r="34025" spans="20:20" ht="18.75" customHeight="1" x14ac:dyDescent="0.35">
      <c r="T34025" s="246">
        <f t="shared" si="569"/>
        <v>0</v>
      </c>
    </row>
    <row r="34026" spans="20:20" ht="18.75" customHeight="1" x14ac:dyDescent="0.35">
      <c r="T34026" s="246">
        <f t="shared" si="569"/>
        <v>0</v>
      </c>
    </row>
    <row r="34027" spans="20:20" ht="18.75" customHeight="1" x14ac:dyDescent="0.35">
      <c r="T34027" s="246">
        <f t="shared" si="569"/>
        <v>0</v>
      </c>
    </row>
    <row r="34028" spans="20:20" ht="18.75" customHeight="1" x14ac:dyDescent="0.35">
      <c r="T34028" s="246">
        <f t="shared" si="569"/>
        <v>0</v>
      </c>
    </row>
    <row r="34029" spans="20:20" ht="18.75" customHeight="1" x14ac:dyDescent="0.35">
      <c r="T34029" s="246">
        <f t="shared" si="569"/>
        <v>0</v>
      </c>
    </row>
    <row r="34030" spans="20:20" ht="18.75" customHeight="1" x14ac:dyDescent="0.35">
      <c r="T34030" s="246">
        <f t="shared" si="569"/>
        <v>0</v>
      </c>
    </row>
    <row r="34031" spans="20:20" ht="18.75" customHeight="1" x14ac:dyDescent="0.35">
      <c r="T34031" s="246">
        <f t="shared" si="569"/>
        <v>0</v>
      </c>
    </row>
    <row r="34032" spans="20:20" ht="18.75" customHeight="1" x14ac:dyDescent="0.35">
      <c r="T34032" s="246">
        <f t="shared" si="569"/>
        <v>0</v>
      </c>
    </row>
    <row r="34033" spans="20:20" ht="18.75" customHeight="1" x14ac:dyDescent="0.35">
      <c r="T34033" s="246">
        <f t="shared" si="569"/>
        <v>0</v>
      </c>
    </row>
    <row r="34034" spans="20:20" ht="18.75" customHeight="1" x14ac:dyDescent="0.35">
      <c r="T34034" s="246">
        <f t="shared" si="569"/>
        <v>0</v>
      </c>
    </row>
    <row r="34035" spans="20:20" ht="18.75" customHeight="1" x14ac:dyDescent="0.35">
      <c r="T34035" s="246">
        <f t="shared" si="569"/>
        <v>0</v>
      </c>
    </row>
    <row r="34036" spans="20:20" ht="18.75" customHeight="1" x14ac:dyDescent="0.35">
      <c r="T34036" s="246">
        <f t="shared" si="569"/>
        <v>0</v>
      </c>
    </row>
    <row r="34037" spans="20:20" ht="18.75" customHeight="1" x14ac:dyDescent="0.35">
      <c r="T34037" s="246">
        <f t="shared" si="569"/>
        <v>0</v>
      </c>
    </row>
    <row r="34038" spans="20:20" ht="18.75" customHeight="1" x14ac:dyDescent="0.35">
      <c r="T34038" s="246">
        <f t="shared" si="569"/>
        <v>0</v>
      </c>
    </row>
    <row r="34039" spans="20:20" ht="18.75" customHeight="1" x14ac:dyDescent="0.35">
      <c r="T34039" s="246">
        <f t="shared" si="569"/>
        <v>0</v>
      </c>
    </row>
    <row r="34040" spans="20:20" ht="18.75" customHeight="1" x14ac:dyDescent="0.35">
      <c r="T34040" s="246">
        <f t="shared" si="569"/>
        <v>0</v>
      </c>
    </row>
    <row r="34041" spans="20:20" ht="18.75" customHeight="1" x14ac:dyDescent="0.35">
      <c r="T34041" s="246">
        <f t="shared" si="569"/>
        <v>0</v>
      </c>
    </row>
    <row r="34042" spans="20:20" ht="18.75" customHeight="1" x14ac:dyDescent="0.35">
      <c r="T34042" s="246">
        <f t="shared" si="569"/>
        <v>0</v>
      </c>
    </row>
    <row r="34043" spans="20:20" ht="18.75" customHeight="1" x14ac:dyDescent="0.35">
      <c r="T34043" s="246">
        <f t="shared" si="569"/>
        <v>0</v>
      </c>
    </row>
    <row r="34044" spans="20:20" ht="18.75" customHeight="1" x14ac:dyDescent="0.35">
      <c r="T34044" s="246">
        <f t="shared" ref="T34044:T34107" si="570">R34044*0.01</f>
        <v>0</v>
      </c>
    </row>
    <row r="34045" spans="20:20" ht="18.75" customHeight="1" x14ac:dyDescent="0.35">
      <c r="T34045" s="246">
        <f t="shared" si="570"/>
        <v>0</v>
      </c>
    </row>
    <row r="34046" spans="20:20" ht="18.75" customHeight="1" x14ac:dyDescent="0.35">
      <c r="T34046" s="246">
        <f t="shared" si="570"/>
        <v>0</v>
      </c>
    </row>
    <row r="34047" spans="20:20" ht="18.75" customHeight="1" x14ac:dyDescent="0.35">
      <c r="T34047" s="246">
        <f t="shared" si="570"/>
        <v>0</v>
      </c>
    </row>
    <row r="34048" spans="20:20" ht="18.75" customHeight="1" x14ac:dyDescent="0.35">
      <c r="T34048" s="246">
        <f t="shared" si="570"/>
        <v>0</v>
      </c>
    </row>
    <row r="34049" spans="20:20" ht="18.75" customHeight="1" x14ac:dyDescent="0.35">
      <c r="T34049" s="246">
        <f t="shared" si="570"/>
        <v>0</v>
      </c>
    </row>
    <row r="34050" spans="20:20" ht="18.75" customHeight="1" x14ac:dyDescent="0.35">
      <c r="T34050" s="246">
        <f t="shared" si="570"/>
        <v>0</v>
      </c>
    </row>
    <row r="34051" spans="20:20" ht="18.75" customHeight="1" x14ac:dyDescent="0.35">
      <c r="T34051" s="246">
        <f t="shared" si="570"/>
        <v>0</v>
      </c>
    </row>
    <row r="34052" spans="20:20" ht="18.75" customHeight="1" x14ac:dyDescent="0.35">
      <c r="T34052" s="246">
        <f t="shared" si="570"/>
        <v>0</v>
      </c>
    </row>
    <row r="34053" spans="20:20" ht="18.75" customHeight="1" x14ac:dyDescent="0.35">
      <c r="T34053" s="246">
        <f t="shared" si="570"/>
        <v>0</v>
      </c>
    </row>
    <row r="34054" spans="20:20" ht="18.75" customHeight="1" x14ac:dyDescent="0.35">
      <c r="T34054" s="246">
        <f t="shared" si="570"/>
        <v>0</v>
      </c>
    </row>
    <row r="34055" spans="20:20" ht="18.75" customHeight="1" x14ac:dyDescent="0.35">
      <c r="T34055" s="246">
        <f t="shared" si="570"/>
        <v>0</v>
      </c>
    </row>
    <row r="34056" spans="20:20" ht="18.75" customHeight="1" x14ac:dyDescent="0.35">
      <c r="T34056" s="246">
        <f t="shared" si="570"/>
        <v>0</v>
      </c>
    </row>
    <row r="34057" spans="20:20" ht="18.75" customHeight="1" x14ac:dyDescent="0.35">
      <c r="T34057" s="246">
        <f t="shared" si="570"/>
        <v>0</v>
      </c>
    </row>
    <row r="34058" spans="20:20" ht="18.75" customHeight="1" x14ac:dyDescent="0.35">
      <c r="T34058" s="246">
        <f t="shared" si="570"/>
        <v>0</v>
      </c>
    </row>
    <row r="34059" spans="20:20" ht="18.75" customHeight="1" x14ac:dyDescent="0.35">
      <c r="T34059" s="246">
        <f t="shared" si="570"/>
        <v>0</v>
      </c>
    </row>
    <row r="34060" spans="20:20" ht="18.75" customHeight="1" x14ac:dyDescent="0.35">
      <c r="T34060" s="246">
        <f t="shared" si="570"/>
        <v>0</v>
      </c>
    </row>
    <row r="34061" spans="20:20" ht="18.75" customHeight="1" x14ac:dyDescent="0.35">
      <c r="T34061" s="246">
        <f t="shared" si="570"/>
        <v>0</v>
      </c>
    </row>
    <row r="34062" spans="20:20" ht="18.75" customHeight="1" x14ac:dyDescent="0.35">
      <c r="T34062" s="246">
        <f t="shared" si="570"/>
        <v>0</v>
      </c>
    </row>
    <row r="34063" spans="20:20" ht="18.75" customHeight="1" x14ac:dyDescent="0.35">
      <c r="T34063" s="246">
        <f t="shared" si="570"/>
        <v>0</v>
      </c>
    </row>
    <row r="34064" spans="20:20" ht="18.75" customHeight="1" x14ac:dyDescent="0.35">
      <c r="T34064" s="246">
        <f t="shared" si="570"/>
        <v>0</v>
      </c>
    </row>
    <row r="34065" spans="20:20" ht="18.75" customHeight="1" x14ac:dyDescent="0.35">
      <c r="T34065" s="246">
        <f t="shared" si="570"/>
        <v>0</v>
      </c>
    </row>
    <row r="34066" spans="20:20" ht="18.75" customHeight="1" x14ac:dyDescent="0.35">
      <c r="T34066" s="246">
        <f t="shared" si="570"/>
        <v>0</v>
      </c>
    </row>
    <row r="34067" spans="20:20" ht="18.75" customHeight="1" x14ac:dyDescent="0.35">
      <c r="T34067" s="246">
        <f t="shared" si="570"/>
        <v>0</v>
      </c>
    </row>
    <row r="34068" spans="20:20" ht="18.75" customHeight="1" x14ac:dyDescent="0.35">
      <c r="T34068" s="246">
        <f t="shared" si="570"/>
        <v>0</v>
      </c>
    </row>
    <row r="34069" spans="20:20" ht="18.75" customHeight="1" x14ac:dyDescent="0.35">
      <c r="T34069" s="246">
        <f t="shared" si="570"/>
        <v>0</v>
      </c>
    </row>
    <row r="34070" spans="20:20" ht="18.75" customHeight="1" x14ac:dyDescent="0.35">
      <c r="T34070" s="246">
        <f t="shared" si="570"/>
        <v>0</v>
      </c>
    </row>
    <row r="34071" spans="20:20" ht="18.75" customHeight="1" x14ac:dyDescent="0.35">
      <c r="T34071" s="246">
        <f t="shared" si="570"/>
        <v>0</v>
      </c>
    </row>
    <row r="34072" spans="20:20" ht="18.75" customHeight="1" x14ac:dyDescent="0.35">
      <c r="T34072" s="246">
        <f t="shared" si="570"/>
        <v>0</v>
      </c>
    </row>
    <row r="34073" spans="20:20" ht="18.75" customHeight="1" x14ac:dyDescent="0.35">
      <c r="T34073" s="246">
        <f t="shared" si="570"/>
        <v>0</v>
      </c>
    </row>
    <row r="34074" spans="20:20" ht="18.75" customHeight="1" x14ac:dyDescent="0.35">
      <c r="T34074" s="246">
        <f t="shared" si="570"/>
        <v>0</v>
      </c>
    </row>
    <row r="34075" spans="20:20" ht="18.75" customHeight="1" x14ac:dyDescent="0.35">
      <c r="T34075" s="246">
        <f t="shared" si="570"/>
        <v>0</v>
      </c>
    </row>
    <row r="34076" spans="20:20" ht="18.75" customHeight="1" x14ac:dyDescent="0.35">
      <c r="T34076" s="246">
        <f t="shared" si="570"/>
        <v>0</v>
      </c>
    </row>
    <row r="34077" spans="20:20" ht="18.75" customHeight="1" x14ac:dyDescent="0.35">
      <c r="T34077" s="246">
        <f t="shared" si="570"/>
        <v>0</v>
      </c>
    </row>
    <row r="34078" spans="20:20" ht="18.75" customHeight="1" x14ac:dyDescent="0.35">
      <c r="T34078" s="246">
        <f t="shared" si="570"/>
        <v>0</v>
      </c>
    </row>
    <row r="34079" spans="20:20" ht="18.75" customHeight="1" x14ac:dyDescent="0.35">
      <c r="T34079" s="246">
        <f t="shared" si="570"/>
        <v>0</v>
      </c>
    </row>
    <row r="34080" spans="20:20" ht="18.75" customHeight="1" x14ac:dyDescent="0.35">
      <c r="T34080" s="246">
        <f t="shared" si="570"/>
        <v>0</v>
      </c>
    </row>
    <row r="34081" spans="20:20" ht="18.75" customHeight="1" x14ac:dyDescent="0.35">
      <c r="T34081" s="246">
        <f t="shared" si="570"/>
        <v>0</v>
      </c>
    </row>
    <row r="34082" spans="20:20" ht="18.75" customHeight="1" x14ac:dyDescent="0.35">
      <c r="T34082" s="246">
        <f t="shared" si="570"/>
        <v>0</v>
      </c>
    </row>
    <row r="34083" spans="20:20" ht="18.75" customHeight="1" x14ac:dyDescent="0.35">
      <c r="T34083" s="246">
        <f t="shared" si="570"/>
        <v>0</v>
      </c>
    </row>
    <row r="34084" spans="20:20" ht="18.75" customHeight="1" x14ac:dyDescent="0.35">
      <c r="T34084" s="246">
        <f t="shared" si="570"/>
        <v>0</v>
      </c>
    </row>
    <row r="34085" spans="20:20" ht="18.75" customHeight="1" x14ac:dyDescent="0.35">
      <c r="T34085" s="246">
        <f t="shared" si="570"/>
        <v>0</v>
      </c>
    </row>
    <row r="34086" spans="20:20" ht="18.75" customHeight="1" x14ac:dyDescent="0.35">
      <c r="T34086" s="246">
        <f t="shared" si="570"/>
        <v>0</v>
      </c>
    </row>
    <row r="34087" spans="20:20" ht="18.75" customHeight="1" x14ac:dyDescent="0.35">
      <c r="T34087" s="246">
        <f t="shared" si="570"/>
        <v>0</v>
      </c>
    </row>
    <row r="34088" spans="20:20" ht="18.75" customHeight="1" x14ac:dyDescent="0.35">
      <c r="T34088" s="246">
        <f t="shared" si="570"/>
        <v>0</v>
      </c>
    </row>
    <row r="34089" spans="20:20" ht="18.75" customHeight="1" x14ac:dyDescent="0.35">
      <c r="T34089" s="246">
        <f t="shared" si="570"/>
        <v>0</v>
      </c>
    </row>
    <row r="34090" spans="20:20" ht="18.75" customHeight="1" x14ac:dyDescent="0.35">
      <c r="T34090" s="246">
        <f t="shared" si="570"/>
        <v>0</v>
      </c>
    </row>
    <row r="34091" spans="20:20" ht="18.75" customHeight="1" x14ac:dyDescent="0.35">
      <c r="T34091" s="246">
        <f t="shared" si="570"/>
        <v>0</v>
      </c>
    </row>
    <row r="34092" spans="20:20" ht="18.75" customHeight="1" x14ac:dyDescent="0.35">
      <c r="T34092" s="246">
        <f t="shared" si="570"/>
        <v>0</v>
      </c>
    </row>
    <row r="34093" spans="20:20" ht="18.75" customHeight="1" x14ac:dyDescent="0.35">
      <c r="T34093" s="246">
        <f t="shared" si="570"/>
        <v>0</v>
      </c>
    </row>
    <row r="34094" spans="20:20" ht="18.75" customHeight="1" x14ac:dyDescent="0.35">
      <c r="T34094" s="246">
        <f t="shared" si="570"/>
        <v>0</v>
      </c>
    </row>
    <row r="34095" spans="20:20" ht="18.75" customHeight="1" x14ac:dyDescent="0.35">
      <c r="T34095" s="246">
        <f t="shared" si="570"/>
        <v>0</v>
      </c>
    </row>
    <row r="34096" spans="20:20" ht="18.75" customHeight="1" x14ac:dyDescent="0.35">
      <c r="T34096" s="246">
        <f t="shared" si="570"/>
        <v>0</v>
      </c>
    </row>
    <row r="34097" spans="20:20" ht="18.75" customHeight="1" x14ac:dyDescent="0.35">
      <c r="T34097" s="246">
        <f t="shared" si="570"/>
        <v>0</v>
      </c>
    </row>
    <row r="34098" spans="20:20" ht="18.75" customHeight="1" x14ac:dyDescent="0.35">
      <c r="T34098" s="246">
        <f t="shared" si="570"/>
        <v>0</v>
      </c>
    </row>
    <row r="34099" spans="20:20" ht="18.75" customHeight="1" x14ac:dyDescent="0.35">
      <c r="T34099" s="246">
        <f t="shared" si="570"/>
        <v>0</v>
      </c>
    </row>
    <row r="34100" spans="20:20" ht="18.75" customHeight="1" x14ac:dyDescent="0.35">
      <c r="T34100" s="246">
        <f t="shared" si="570"/>
        <v>0</v>
      </c>
    </row>
    <row r="34101" spans="20:20" ht="18.75" customHeight="1" x14ac:dyDescent="0.35">
      <c r="T34101" s="246">
        <f t="shared" si="570"/>
        <v>0</v>
      </c>
    </row>
    <row r="34102" spans="20:20" ht="18.75" customHeight="1" x14ac:dyDescent="0.35">
      <c r="T34102" s="246">
        <f t="shared" si="570"/>
        <v>0</v>
      </c>
    </row>
    <row r="34103" spans="20:20" ht="18.75" customHeight="1" x14ac:dyDescent="0.35">
      <c r="T34103" s="246">
        <f t="shared" si="570"/>
        <v>0</v>
      </c>
    </row>
    <row r="34104" spans="20:20" ht="18.75" customHeight="1" x14ac:dyDescent="0.35">
      <c r="T34104" s="246">
        <f t="shared" si="570"/>
        <v>0</v>
      </c>
    </row>
    <row r="34105" spans="20:20" ht="18.75" customHeight="1" x14ac:dyDescent="0.35">
      <c r="T34105" s="246">
        <f t="shared" si="570"/>
        <v>0</v>
      </c>
    </row>
    <row r="34106" spans="20:20" ht="18.75" customHeight="1" x14ac:dyDescent="0.35">
      <c r="T34106" s="246">
        <f t="shared" si="570"/>
        <v>0</v>
      </c>
    </row>
    <row r="34107" spans="20:20" ht="18.75" customHeight="1" x14ac:dyDescent="0.35">
      <c r="T34107" s="246">
        <f t="shared" si="570"/>
        <v>0</v>
      </c>
    </row>
    <row r="34108" spans="20:20" ht="18.75" customHeight="1" x14ac:dyDescent="0.35">
      <c r="T34108" s="246">
        <f t="shared" ref="T34108:T34171" si="571">R34108*0.01</f>
        <v>0</v>
      </c>
    </row>
    <row r="34109" spans="20:20" ht="18.75" customHeight="1" x14ac:dyDescent="0.35">
      <c r="T34109" s="246">
        <f t="shared" si="571"/>
        <v>0</v>
      </c>
    </row>
    <row r="34110" spans="20:20" ht="18.75" customHeight="1" x14ac:dyDescent="0.35">
      <c r="T34110" s="246">
        <f t="shared" si="571"/>
        <v>0</v>
      </c>
    </row>
    <row r="34111" spans="20:20" ht="18.75" customHeight="1" x14ac:dyDescent="0.35">
      <c r="T34111" s="246">
        <f t="shared" si="571"/>
        <v>0</v>
      </c>
    </row>
    <row r="34112" spans="20:20" ht="18.75" customHeight="1" x14ac:dyDescent="0.35">
      <c r="T34112" s="246">
        <f t="shared" si="571"/>
        <v>0</v>
      </c>
    </row>
    <row r="34113" spans="20:20" ht="18.75" customHeight="1" x14ac:dyDescent="0.35">
      <c r="T34113" s="246">
        <f t="shared" si="571"/>
        <v>0</v>
      </c>
    </row>
    <row r="34114" spans="20:20" ht="18.75" customHeight="1" x14ac:dyDescent="0.35">
      <c r="T34114" s="246">
        <f t="shared" si="571"/>
        <v>0</v>
      </c>
    </row>
    <row r="34115" spans="20:20" ht="18.75" customHeight="1" x14ac:dyDescent="0.35">
      <c r="T34115" s="246">
        <f t="shared" si="571"/>
        <v>0</v>
      </c>
    </row>
    <row r="34116" spans="20:20" ht="18.75" customHeight="1" x14ac:dyDescent="0.35">
      <c r="T34116" s="246">
        <f t="shared" si="571"/>
        <v>0</v>
      </c>
    </row>
    <row r="34117" spans="20:20" ht="18.75" customHeight="1" x14ac:dyDescent="0.35">
      <c r="T34117" s="246">
        <f t="shared" si="571"/>
        <v>0</v>
      </c>
    </row>
    <row r="34118" spans="20:20" ht="18.75" customHeight="1" x14ac:dyDescent="0.35">
      <c r="T34118" s="246">
        <f t="shared" si="571"/>
        <v>0</v>
      </c>
    </row>
    <row r="34119" spans="20:20" ht="18.75" customHeight="1" x14ac:dyDescent="0.35">
      <c r="T34119" s="246">
        <f t="shared" si="571"/>
        <v>0</v>
      </c>
    </row>
    <row r="34120" spans="20:20" ht="18.75" customHeight="1" x14ac:dyDescent="0.35">
      <c r="T34120" s="246">
        <f t="shared" si="571"/>
        <v>0</v>
      </c>
    </row>
    <row r="34121" spans="20:20" ht="18.75" customHeight="1" x14ac:dyDescent="0.35">
      <c r="T34121" s="246">
        <f t="shared" si="571"/>
        <v>0</v>
      </c>
    </row>
    <row r="34122" spans="20:20" ht="18.75" customHeight="1" x14ac:dyDescent="0.35">
      <c r="T34122" s="246">
        <f t="shared" si="571"/>
        <v>0</v>
      </c>
    </row>
    <row r="34123" spans="20:20" ht="18.75" customHeight="1" x14ac:dyDescent="0.35">
      <c r="T34123" s="246">
        <f t="shared" si="571"/>
        <v>0</v>
      </c>
    </row>
    <row r="34124" spans="20:20" ht="18.75" customHeight="1" x14ac:dyDescent="0.35">
      <c r="T34124" s="246">
        <f t="shared" si="571"/>
        <v>0</v>
      </c>
    </row>
    <row r="34125" spans="20:20" ht="18.75" customHeight="1" x14ac:dyDescent="0.35">
      <c r="T34125" s="246">
        <f t="shared" si="571"/>
        <v>0</v>
      </c>
    </row>
    <row r="34126" spans="20:20" ht="18.75" customHeight="1" x14ac:dyDescent="0.35">
      <c r="T34126" s="246">
        <f t="shared" si="571"/>
        <v>0</v>
      </c>
    </row>
    <row r="34127" spans="20:20" ht="18.75" customHeight="1" x14ac:dyDescent="0.35">
      <c r="T34127" s="246">
        <f t="shared" si="571"/>
        <v>0</v>
      </c>
    </row>
    <row r="34128" spans="20:20" ht="18.75" customHeight="1" x14ac:dyDescent="0.35">
      <c r="T34128" s="246">
        <f t="shared" si="571"/>
        <v>0</v>
      </c>
    </row>
    <row r="34129" spans="20:20" ht="18.75" customHeight="1" x14ac:dyDescent="0.35">
      <c r="T34129" s="246">
        <f t="shared" si="571"/>
        <v>0</v>
      </c>
    </row>
    <row r="34130" spans="20:20" ht="18.75" customHeight="1" x14ac:dyDescent="0.35">
      <c r="T34130" s="246">
        <f t="shared" si="571"/>
        <v>0</v>
      </c>
    </row>
    <row r="34131" spans="20:20" ht="18.75" customHeight="1" x14ac:dyDescent="0.35">
      <c r="T34131" s="246">
        <f t="shared" si="571"/>
        <v>0</v>
      </c>
    </row>
    <row r="34132" spans="20:20" ht="18.75" customHeight="1" x14ac:dyDescent="0.35">
      <c r="T34132" s="246">
        <f t="shared" si="571"/>
        <v>0</v>
      </c>
    </row>
    <row r="34133" spans="20:20" ht="18.75" customHeight="1" x14ac:dyDescent="0.35">
      <c r="T34133" s="246">
        <f t="shared" si="571"/>
        <v>0</v>
      </c>
    </row>
    <row r="34134" spans="20:20" ht="18.75" customHeight="1" x14ac:dyDescent="0.35">
      <c r="T34134" s="246">
        <f t="shared" si="571"/>
        <v>0</v>
      </c>
    </row>
    <row r="34135" spans="20:20" ht="18.75" customHeight="1" x14ac:dyDescent="0.35">
      <c r="T34135" s="246">
        <f t="shared" si="571"/>
        <v>0</v>
      </c>
    </row>
    <row r="34136" spans="20:20" ht="18.75" customHeight="1" x14ac:dyDescent="0.35">
      <c r="T34136" s="246">
        <f t="shared" si="571"/>
        <v>0</v>
      </c>
    </row>
    <row r="34137" spans="20:20" ht="18.75" customHeight="1" x14ac:dyDescent="0.35">
      <c r="T34137" s="246">
        <f t="shared" si="571"/>
        <v>0</v>
      </c>
    </row>
    <row r="34138" spans="20:20" ht="18.75" customHeight="1" x14ac:dyDescent="0.35">
      <c r="T34138" s="246">
        <f t="shared" si="571"/>
        <v>0</v>
      </c>
    </row>
    <row r="34139" spans="20:20" ht="18.75" customHeight="1" x14ac:dyDescent="0.35">
      <c r="T34139" s="246">
        <f t="shared" si="571"/>
        <v>0</v>
      </c>
    </row>
    <row r="34140" spans="20:20" ht="18.75" customHeight="1" x14ac:dyDescent="0.35">
      <c r="T34140" s="246">
        <f t="shared" si="571"/>
        <v>0</v>
      </c>
    </row>
    <row r="34141" spans="20:20" ht="18.75" customHeight="1" x14ac:dyDescent="0.35">
      <c r="T34141" s="246">
        <f t="shared" si="571"/>
        <v>0</v>
      </c>
    </row>
    <row r="34142" spans="20:20" ht="18.75" customHeight="1" x14ac:dyDescent="0.35">
      <c r="T34142" s="246">
        <f t="shared" si="571"/>
        <v>0</v>
      </c>
    </row>
    <row r="34143" spans="20:20" ht="18.75" customHeight="1" x14ac:dyDescent="0.35">
      <c r="T34143" s="246">
        <f t="shared" si="571"/>
        <v>0</v>
      </c>
    </row>
    <row r="34144" spans="20:20" ht="18.75" customHeight="1" x14ac:dyDescent="0.35">
      <c r="T34144" s="246">
        <f t="shared" si="571"/>
        <v>0</v>
      </c>
    </row>
    <row r="34145" spans="20:20" ht="18.75" customHeight="1" x14ac:dyDescent="0.35">
      <c r="T34145" s="246">
        <f t="shared" si="571"/>
        <v>0</v>
      </c>
    </row>
    <row r="34146" spans="20:20" ht="18.75" customHeight="1" x14ac:dyDescent="0.35">
      <c r="T34146" s="246">
        <f t="shared" si="571"/>
        <v>0</v>
      </c>
    </row>
    <row r="34147" spans="20:20" ht="18.75" customHeight="1" x14ac:dyDescent="0.35">
      <c r="T34147" s="246">
        <f t="shared" si="571"/>
        <v>0</v>
      </c>
    </row>
    <row r="34148" spans="20:20" ht="18.75" customHeight="1" x14ac:dyDescent="0.35">
      <c r="T34148" s="246">
        <f t="shared" si="571"/>
        <v>0</v>
      </c>
    </row>
    <row r="34149" spans="20:20" ht="18.75" customHeight="1" x14ac:dyDescent="0.35">
      <c r="T34149" s="246">
        <f t="shared" si="571"/>
        <v>0</v>
      </c>
    </row>
    <row r="34150" spans="20:20" ht="18.75" customHeight="1" x14ac:dyDescent="0.35">
      <c r="T34150" s="246">
        <f t="shared" si="571"/>
        <v>0</v>
      </c>
    </row>
    <row r="34151" spans="20:20" ht="18.75" customHeight="1" x14ac:dyDescent="0.35">
      <c r="T34151" s="246">
        <f t="shared" si="571"/>
        <v>0</v>
      </c>
    </row>
    <row r="34152" spans="20:20" ht="18.75" customHeight="1" x14ac:dyDescent="0.35">
      <c r="T34152" s="246">
        <f t="shared" si="571"/>
        <v>0</v>
      </c>
    </row>
    <row r="34153" spans="20:20" ht="18.75" customHeight="1" x14ac:dyDescent="0.35">
      <c r="T34153" s="246">
        <f t="shared" si="571"/>
        <v>0</v>
      </c>
    </row>
    <row r="34154" spans="20:20" ht="18.75" customHeight="1" x14ac:dyDescent="0.35">
      <c r="T34154" s="246">
        <f t="shared" si="571"/>
        <v>0</v>
      </c>
    </row>
    <row r="34155" spans="20:20" ht="18.75" customHeight="1" x14ac:dyDescent="0.35">
      <c r="T34155" s="246">
        <f t="shared" si="571"/>
        <v>0</v>
      </c>
    </row>
    <row r="34156" spans="20:20" ht="18.75" customHeight="1" x14ac:dyDescent="0.35">
      <c r="T34156" s="246">
        <f t="shared" si="571"/>
        <v>0</v>
      </c>
    </row>
    <row r="34157" spans="20:20" ht="18.75" customHeight="1" x14ac:dyDescent="0.35">
      <c r="T34157" s="246">
        <f t="shared" si="571"/>
        <v>0</v>
      </c>
    </row>
    <row r="34158" spans="20:20" ht="18.75" customHeight="1" x14ac:dyDescent="0.35">
      <c r="T34158" s="246">
        <f t="shared" si="571"/>
        <v>0</v>
      </c>
    </row>
    <row r="34159" spans="20:20" ht="18.75" customHeight="1" x14ac:dyDescent="0.35">
      <c r="T34159" s="246">
        <f t="shared" si="571"/>
        <v>0</v>
      </c>
    </row>
    <row r="34160" spans="20:20" ht="18.75" customHeight="1" x14ac:dyDescent="0.35">
      <c r="T34160" s="246">
        <f t="shared" si="571"/>
        <v>0</v>
      </c>
    </row>
    <row r="34161" spans="20:20" ht="18.75" customHeight="1" x14ac:dyDescent="0.35">
      <c r="T34161" s="246">
        <f t="shared" si="571"/>
        <v>0</v>
      </c>
    </row>
    <row r="34162" spans="20:20" ht="18.75" customHeight="1" x14ac:dyDescent="0.35">
      <c r="T34162" s="246">
        <f t="shared" si="571"/>
        <v>0</v>
      </c>
    </row>
    <row r="34163" spans="20:20" ht="18.75" customHeight="1" x14ac:dyDescent="0.35">
      <c r="T34163" s="246">
        <f t="shared" si="571"/>
        <v>0</v>
      </c>
    </row>
    <row r="34164" spans="20:20" ht="18.75" customHeight="1" x14ac:dyDescent="0.35">
      <c r="T34164" s="246">
        <f t="shared" si="571"/>
        <v>0</v>
      </c>
    </row>
    <row r="34165" spans="20:20" ht="18.75" customHeight="1" x14ac:dyDescent="0.35">
      <c r="T34165" s="246">
        <f t="shared" si="571"/>
        <v>0</v>
      </c>
    </row>
    <row r="34166" spans="20:20" ht="18.75" customHeight="1" x14ac:dyDescent="0.35">
      <c r="T34166" s="246">
        <f t="shared" si="571"/>
        <v>0</v>
      </c>
    </row>
    <row r="34167" spans="20:20" ht="18.75" customHeight="1" x14ac:dyDescent="0.35">
      <c r="T34167" s="246">
        <f t="shared" si="571"/>
        <v>0</v>
      </c>
    </row>
    <row r="34168" spans="20:20" ht="18.75" customHeight="1" x14ac:dyDescent="0.35">
      <c r="T34168" s="246">
        <f t="shared" si="571"/>
        <v>0</v>
      </c>
    </row>
    <row r="34169" spans="20:20" ht="18.75" customHeight="1" x14ac:dyDescent="0.35">
      <c r="T34169" s="246">
        <f t="shared" si="571"/>
        <v>0</v>
      </c>
    </row>
    <row r="34170" spans="20:20" ht="18.75" customHeight="1" x14ac:dyDescent="0.35">
      <c r="T34170" s="246">
        <f t="shared" si="571"/>
        <v>0</v>
      </c>
    </row>
    <row r="34171" spans="20:20" ht="18.75" customHeight="1" x14ac:dyDescent="0.35">
      <c r="T34171" s="246">
        <f t="shared" si="571"/>
        <v>0</v>
      </c>
    </row>
    <row r="34172" spans="20:20" ht="18.75" customHeight="1" x14ac:dyDescent="0.35">
      <c r="T34172" s="246">
        <f t="shared" ref="T34172:T34235" si="572">R34172*0.01</f>
        <v>0</v>
      </c>
    </row>
    <row r="34173" spans="20:20" ht="18.75" customHeight="1" x14ac:dyDescent="0.35">
      <c r="T34173" s="246">
        <f t="shared" si="572"/>
        <v>0</v>
      </c>
    </row>
    <row r="34174" spans="20:20" ht="18.75" customHeight="1" x14ac:dyDescent="0.35">
      <c r="T34174" s="246">
        <f t="shared" si="572"/>
        <v>0</v>
      </c>
    </row>
    <row r="34175" spans="20:20" ht="18.75" customHeight="1" x14ac:dyDescent="0.35">
      <c r="T34175" s="246">
        <f t="shared" si="572"/>
        <v>0</v>
      </c>
    </row>
    <row r="34176" spans="20:20" ht="18.75" customHeight="1" x14ac:dyDescent="0.35">
      <c r="T34176" s="246">
        <f t="shared" si="572"/>
        <v>0</v>
      </c>
    </row>
    <row r="34177" spans="20:20" ht="18.75" customHeight="1" x14ac:dyDescent="0.35">
      <c r="T34177" s="246">
        <f t="shared" si="572"/>
        <v>0</v>
      </c>
    </row>
    <row r="34178" spans="20:20" ht="18.75" customHeight="1" x14ac:dyDescent="0.35">
      <c r="T34178" s="246">
        <f t="shared" si="572"/>
        <v>0</v>
      </c>
    </row>
    <row r="34179" spans="20:20" ht="18.75" customHeight="1" x14ac:dyDescent="0.35">
      <c r="T34179" s="246">
        <f t="shared" si="572"/>
        <v>0</v>
      </c>
    </row>
    <row r="34180" spans="20:20" ht="18.75" customHeight="1" x14ac:dyDescent="0.35">
      <c r="T34180" s="246">
        <f t="shared" si="572"/>
        <v>0</v>
      </c>
    </row>
    <row r="34181" spans="20:20" ht="18.75" customHeight="1" x14ac:dyDescent="0.35">
      <c r="T34181" s="246">
        <f t="shared" si="572"/>
        <v>0</v>
      </c>
    </row>
    <row r="34182" spans="20:20" ht="18.75" customHeight="1" x14ac:dyDescent="0.35">
      <c r="T34182" s="246">
        <f t="shared" si="572"/>
        <v>0</v>
      </c>
    </row>
    <row r="34183" spans="20:20" ht="18.75" customHeight="1" x14ac:dyDescent="0.35">
      <c r="T34183" s="246">
        <f t="shared" si="572"/>
        <v>0</v>
      </c>
    </row>
    <row r="34184" spans="20:20" ht="18.75" customHeight="1" x14ac:dyDescent="0.35">
      <c r="T34184" s="246">
        <f t="shared" si="572"/>
        <v>0</v>
      </c>
    </row>
    <row r="34185" spans="20:20" ht="18.75" customHeight="1" x14ac:dyDescent="0.35">
      <c r="T34185" s="246">
        <f t="shared" si="572"/>
        <v>0</v>
      </c>
    </row>
    <row r="34186" spans="20:20" ht="18.75" customHeight="1" x14ac:dyDescent="0.35">
      <c r="T34186" s="246">
        <f t="shared" si="572"/>
        <v>0</v>
      </c>
    </row>
    <row r="34187" spans="20:20" ht="18.75" customHeight="1" x14ac:dyDescent="0.35">
      <c r="T34187" s="246">
        <f t="shared" si="572"/>
        <v>0</v>
      </c>
    </row>
    <row r="34188" spans="20:20" ht="18.75" customHeight="1" x14ac:dyDescent="0.35">
      <c r="T34188" s="246">
        <f t="shared" si="572"/>
        <v>0</v>
      </c>
    </row>
    <row r="34189" spans="20:20" ht="18.75" customHeight="1" x14ac:dyDescent="0.35">
      <c r="T34189" s="246">
        <f t="shared" si="572"/>
        <v>0</v>
      </c>
    </row>
    <row r="34190" spans="20:20" ht="18.75" customHeight="1" x14ac:dyDescent="0.35">
      <c r="T34190" s="246">
        <f t="shared" si="572"/>
        <v>0</v>
      </c>
    </row>
    <row r="34191" spans="20:20" ht="18.75" customHeight="1" x14ac:dyDescent="0.35">
      <c r="T34191" s="246">
        <f t="shared" si="572"/>
        <v>0</v>
      </c>
    </row>
    <row r="34192" spans="20:20" ht="18.75" customHeight="1" x14ac:dyDescent="0.35">
      <c r="T34192" s="246">
        <f t="shared" si="572"/>
        <v>0</v>
      </c>
    </row>
    <row r="34193" spans="20:20" ht="18.75" customHeight="1" x14ac:dyDescent="0.35">
      <c r="T34193" s="246">
        <f t="shared" si="572"/>
        <v>0</v>
      </c>
    </row>
    <row r="34194" spans="20:20" ht="18.75" customHeight="1" x14ac:dyDescent="0.35">
      <c r="T34194" s="246">
        <f t="shared" si="572"/>
        <v>0</v>
      </c>
    </row>
    <row r="34195" spans="20:20" ht="18.75" customHeight="1" x14ac:dyDescent="0.35">
      <c r="T34195" s="246">
        <f t="shared" si="572"/>
        <v>0</v>
      </c>
    </row>
    <row r="34196" spans="20:20" ht="18.75" customHeight="1" x14ac:dyDescent="0.35">
      <c r="T34196" s="246">
        <f t="shared" si="572"/>
        <v>0</v>
      </c>
    </row>
    <row r="34197" spans="20:20" ht="18.75" customHeight="1" x14ac:dyDescent="0.35">
      <c r="T34197" s="246">
        <f t="shared" si="572"/>
        <v>0</v>
      </c>
    </row>
    <row r="34198" spans="20:20" ht="18.75" customHeight="1" x14ac:dyDescent="0.35">
      <c r="T34198" s="246">
        <f t="shared" si="572"/>
        <v>0</v>
      </c>
    </row>
    <row r="34199" spans="20:20" ht="18.75" customHeight="1" x14ac:dyDescent="0.35">
      <c r="T34199" s="246">
        <f t="shared" si="572"/>
        <v>0</v>
      </c>
    </row>
    <row r="34200" spans="20:20" ht="18.75" customHeight="1" x14ac:dyDescent="0.35">
      <c r="T34200" s="246">
        <f t="shared" si="572"/>
        <v>0</v>
      </c>
    </row>
    <row r="34201" spans="20:20" ht="18.75" customHeight="1" x14ac:dyDescent="0.35">
      <c r="T34201" s="246">
        <f t="shared" si="572"/>
        <v>0</v>
      </c>
    </row>
    <row r="34202" spans="20:20" ht="18.75" customHeight="1" x14ac:dyDescent="0.35">
      <c r="T34202" s="246">
        <f t="shared" si="572"/>
        <v>0</v>
      </c>
    </row>
    <row r="34203" spans="20:20" ht="18.75" customHeight="1" x14ac:dyDescent="0.35">
      <c r="T34203" s="246">
        <f t="shared" si="572"/>
        <v>0</v>
      </c>
    </row>
    <row r="34204" spans="20:20" ht="18.75" customHeight="1" x14ac:dyDescent="0.35">
      <c r="T34204" s="246">
        <f t="shared" si="572"/>
        <v>0</v>
      </c>
    </row>
    <row r="34205" spans="20:20" ht="18.75" customHeight="1" x14ac:dyDescent="0.35">
      <c r="T34205" s="246">
        <f t="shared" si="572"/>
        <v>0</v>
      </c>
    </row>
    <row r="34206" spans="20:20" ht="18.75" customHeight="1" x14ac:dyDescent="0.35">
      <c r="T34206" s="246">
        <f t="shared" si="572"/>
        <v>0</v>
      </c>
    </row>
    <row r="34207" spans="20:20" ht="18.75" customHeight="1" x14ac:dyDescent="0.35">
      <c r="T34207" s="246">
        <f t="shared" si="572"/>
        <v>0</v>
      </c>
    </row>
    <row r="34208" spans="20:20" ht="18.75" customHeight="1" x14ac:dyDescent="0.35">
      <c r="T34208" s="246">
        <f t="shared" si="572"/>
        <v>0</v>
      </c>
    </row>
    <row r="34209" spans="20:20" ht="18.75" customHeight="1" x14ac:dyDescent="0.35">
      <c r="T34209" s="246">
        <f t="shared" si="572"/>
        <v>0</v>
      </c>
    </row>
    <row r="34210" spans="20:20" ht="18.75" customHeight="1" x14ac:dyDescent="0.35">
      <c r="T34210" s="246">
        <f t="shared" si="572"/>
        <v>0</v>
      </c>
    </row>
    <row r="34211" spans="20:20" ht="18.75" customHeight="1" x14ac:dyDescent="0.35">
      <c r="T34211" s="246">
        <f t="shared" si="572"/>
        <v>0</v>
      </c>
    </row>
    <row r="34212" spans="20:20" ht="18.75" customHeight="1" x14ac:dyDescent="0.35">
      <c r="T34212" s="246">
        <f t="shared" si="572"/>
        <v>0</v>
      </c>
    </row>
    <row r="34213" spans="20:20" ht="18.75" customHeight="1" x14ac:dyDescent="0.35">
      <c r="T34213" s="246">
        <f t="shared" si="572"/>
        <v>0</v>
      </c>
    </row>
    <row r="34214" spans="20:20" ht="18.75" customHeight="1" x14ac:dyDescent="0.35">
      <c r="T34214" s="246">
        <f t="shared" si="572"/>
        <v>0</v>
      </c>
    </row>
    <row r="34215" spans="20:20" ht="18.75" customHeight="1" x14ac:dyDescent="0.35">
      <c r="T34215" s="246">
        <f t="shared" si="572"/>
        <v>0</v>
      </c>
    </row>
    <row r="34216" spans="20:20" ht="18.75" customHeight="1" x14ac:dyDescent="0.35">
      <c r="T34216" s="246">
        <f t="shared" si="572"/>
        <v>0</v>
      </c>
    </row>
    <row r="34217" spans="20:20" ht="18.75" customHeight="1" x14ac:dyDescent="0.35">
      <c r="T34217" s="246">
        <f t="shared" si="572"/>
        <v>0</v>
      </c>
    </row>
    <row r="34218" spans="20:20" ht="18.75" customHeight="1" x14ac:dyDescent="0.35">
      <c r="T34218" s="246">
        <f t="shared" si="572"/>
        <v>0</v>
      </c>
    </row>
    <row r="34219" spans="20:20" ht="18.75" customHeight="1" x14ac:dyDescent="0.35">
      <c r="T34219" s="246">
        <f t="shared" si="572"/>
        <v>0</v>
      </c>
    </row>
    <row r="34220" spans="20:20" ht="18.75" customHeight="1" x14ac:dyDescent="0.35">
      <c r="T34220" s="246">
        <f t="shared" si="572"/>
        <v>0</v>
      </c>
    </row>
    <row r="34221" spans="20:20" ht="18.75" customHeight="1" x14ac:dyDescent="0.35">
      <c r="T34221" s="246">
        <f t="shared" si="572"/>
        <v>0</v>
      </c>
    </row>
    <row r="34222" spans="20:20" ht="18.75" customHeight="1" x14ac:dyDescent="0.35">
      <c r="T34222" s="246">
        <f t="shared" si="572"/>
        <v>0</v>
      </c>
    </row>
    <row r="34223" spans="20:20" ht="18.75" customHeight="1" x14ac:dyDescent="0.35">
      <c r="T34223" s="246">
        <f t="shared" si="572"/>
        <v>0</v>
      </c>
    </row>
    <row r="34224" spans="20:20" ht="18.75" customHeight="1" x14ac:dyDescent="0.35">
      <c r="T34224" s="246">
        <f t="shared" si="572"/>
        <v>0</v>
      </c>
    </row>
    <row r="34225" spans="20:20" ht="18.75" customHeight="1" x14ac:dyDescent="0.35">
      <c r="T34225" s="246">
        <f t="shared" si="572"/>
        <v>0</v>
      </c>
    </row>
    <row r="34226" spans="20:20" ht="18.75" customHeight="1" x14ac:dyDescent="0.35">
      <c r="T34226" s="246">
        <f t="shared" si="572"/>
        <v>0</v>
      </c>
    </row>
    <row r="34227" spans="20:20" ht="18.75" customHeight="1" x14ac:dyDescent="0.35">
      <c r="T34227" s="246">
        <f t="shared" si="572"/>
        <v>0</v>
      </c>
    </row>
    <row r="34228" spans="20:20" ht="18.75" customHeight="1" x14ac:dyDescent="0.35">
      <c r="T34228" s="246">
        <f t="shared" si="572"/>
        <v>0</v>
      </c>
    </row>
    <row r="34229" spans="20:20" ht="18.75" customHeight="1" x14ac:dyDescent="0.35">
      <c r="T34229" s="246">
        <f t="shared" si="572"/>
        <v>0</v>
      </c>
    </row>
    <row r="34230" spans="20:20" ht="18.75" customHeight="1" x14ac:dyDescent="0.35">
      <c r="T34230" s="246">
        <f t="shared" si="572"/>
        <v>0</v>
      </c>
    </row>
    <row r="34231" spans="20:20" ht="18.75" customHeight="1" x14ac:dyDescent="0.35">
      <c r="T34231" s="246">
        <f t="shared" si="572"/>
        <v>0</v>
      </c>
    </row>
    <row r="34232" spans="20:20" ht="18.75" customHeight="1" x14ac:dyDescent="0.35">
      <c r="T34232" s="246">
        <f t="shared" si="572"/>
        <v>0</v>
      </c>
    </row>
    <row r="34233" spans="20:20" ht="18.75" customHeight="1" x14ac:dyDescent="0.35">
      <c r="T34233" s="246">
        <f t="shared" si="572"/>
        <v>0</v>
      </c>
    </row>
    <row r="34234" spans="20:20" ht="18.75" customHeight="1" x14ac:dyDescent="0.35">
      <c r="T34234" s="246">
        <f t="shared" si="572"/>
        <v>0</v>
      </c>
    </row>
    <row r="34235" spans="20:20" ht="18.75" customHeight="1" x14ac:dyDescent="0.35">
      <c r="T34235" s="246">
        <f t="shared" si="572"/>
        <v>0</v>
      </c>
    </row>
    <row r="34236" spans="20:20" ht="18.75" customHeight="1" x14ac:dyDescent="0.35">
      <c r="T34236" s="246">
        <f t="shared" ref="T34236:T34299" si="573">R34236*0.01</f>
        <v>0</v>
      </c>
    </row>
    <row r="34237" spans="20:20" ht="18.75" customHeight="1" x14ac:dyDescent="0.35">
      <c r="T34237" s="246">
        <f t="shared" si="573"/>
        <v>0</v>
      </c>
    </row>
    <row r="34238" spans="20:20" ht="18.75" customHeight="1" x14ac:dyDescent="0.35">
      <c r="T34238" s="246">
        <f t="shared" si="573"/>
        <v>0</v>
      </c>
    </row>
    <row r="34239" spans="20:20" ht="18.75" customHeight="1" x14ac:dyDescent="0.35">
      <c r="T34239" s="246">
        <f t="shared" si="573"/>
        <v>0</v>
      </c>
    </row>
    <row r="34240" spans="20:20" ht="18.75" customHeight="1" x14ac:dyDescent="0.35">
      <c r="T34240" s="246">
        <f t="shared" si="573"/>
        <v>0</v>
      </c>
    </row>
    <row r="34241" spans="20:20" ht="18.75" customHeight="1" x14ac:dyDescent="0.35">
      <c r="T34241" s="246">
        <f t="shared" si="573"/>
        <v>0</v>
      </c>
    </row>
    <row r="34242" spans="20:20" ht="18.75" customHeight="1" x14ac:dyDescent="0.35">
      <c r="T34242" s="246">
        <f t="shared" si="573"/>
        <v>0</v>
      </c>
    </row>
    <row r="34243" spans="20:20" ht="18.75" customHeight="1" x14ac:dyDescent="0.35">
      <c r="T34243" s="246">
        <f t="shared" si="573"/>
        <v>0</v>
      </c>
    </row>
    <row r="34244" spans="20:20" ht="18.75" customHeight="1" x14ac:dyDescent="0.35">
      <c r="T34244" s="246">
        <f t="shared" si="573"/>
        <v>0</v>
      </c>
    </row>
    <row r="34245" spans="20:20" ht="18.75" customHeight="1" x14ac:dyDescent="0.35">
      <c r="T34245" s="246">
        <f t="shared" si="573"/>
        <v>0</v>
      </c>
    </row>
    <row r="34246" spans="20:20" ht="18.75" customHeight="1" x14ac:dyDescent="0.35">
      <c r="T34246" s="246">
        <f t="shared" si="573"/>
        <v>0</v>
      </c>
    </row>
    <row r="34247" spans="20:20" ht="18.75" customHeight="1" x14ac:dyDescent="0.35">
      <c r="T34247" s="246">
        <f t="shared" si="573"/>
        <v>0</v>
      </c>
    </row>
    <row r="34248" spans="20:20" ht="18.75" customHeight="1" x14ac:dyDescent="0.35">
      <c r="T34248" s="246">
        <f t="shared" si="573"/>
        <v>0</v>
      </c>
    </row>
    <row r="34249" spans="20:20" ht="18.75" customHeight="1" x14ac:dyDescent="0.35">
      <c r="T34249" s="246">
        <f t="shared" si="573"/>
        <v>0</v>
      </c>
    </row>
    <row r="34250" spans="20:20" ht="18.75" customHeight="1" x14ac:dyDescent="0.35">
      <c r="T34250" s="246">
        <f t="shared" si="573"/>
        <v>0</v>
      </c>
    </row>
    <row r="34251" spans="20:20" ht="18.75" customHeight="1" x14ac:dyDescent="0.35">
      <c r="T34251" s="246">
        <f t="shared" si="573"/>
        <v>0</v>
      </c>
    </row>
    <row r="34252" spans="20:20" ht="18.75" customHeight="1" x14ac:dyDescent="0.35">
      <c r="T34252" s="246">
        <f t="shared" si="573"/>
        <v>0</v>
      </c>
    </row>
    <row r="34253" spans="20:20" ht="18.75" customHeight="1" x14ac:dyDescent="0.35">
      <c r="T34253" s="246">
        <f t="shared" si="573"/>
        <v>0</v>
      </c>
    </row>
    <row r="34254" spans="20:20" ht="18.75" customHeight="1" x14ac:dyDescent="0.35">
      <c r="T34254" s="246">
        <f t="shared" si="573"/>
        <v>0</v>
      </c>
    </row>
    <row r="34255" spans="20:20" ht="18.75" customHeight="1" x14ac:dyDescent="0.35">
      <c r="T34255" s="246">
        <f t="shared" si="573"/>
        <v>0</v>
      </c>
    </row>
    <row r="34256" spans="20:20" ht="18.75" customHeight="1" x14ac:dyDescent="0.35">
      <c r="T34256" s="246">
        <f t="shared" si="573"/>
        <v>0</v>
      </c>
    </row>
    <row r="34257" spans="20:20" ht="18.75" customHeight="1" x14ac:dyDescent="0.35">
      <c r="T34257" s="246">
        <f t="shared" si="573"/>
        <v>0</v>
      </c>
    </row>
    <row r="34258" spans="20:20" ht="18.75" customHeight="1" x14ac:dyDescent="0.35">
      <c r="T34258" s="246">
        <f t="shared" si="573"/>
        <v>0</v>
      </c>
    </row>
    <row r="34259" spans="20:20" ht="18.75" customHeight="1" x14ac:dyDescent="0.35">
      <c r="T34259" s="246">
        <f t="shared" si="573"/>
        <v>0</v>
      </c>
    </row>
    <row r="34260" spans="20:20" ht="18.75" customHeight="1" x14ac:dyDescent="0.35">
      <c r="T34260" s="246">
        <f t="shared" si="573"/>
        <v>0</v>
      </c>
    </row>
    <row r="34261" spans="20:20" ht="18.75" customHeight="1" x14ac:dyDescent="0.35">
      <c r="T34261" s="246">
        <f t="shared" si="573"/>
        <v>0</v>
      </c>
    </row>
    <row r="34262" spans="20:20" ht="18.75" customHeight="1" x14ac:dyDescent="0.35">
      <c r="T34262" s="246">
        <f t="shared" si="573"/>
        <v>0</v>
      </c>
    </row>
    <row r="34263" spans="20:20" ht="18.75" customHeight="1" x14ac:dyDescent="0.35">
      <c r="T34263" s="246">
        <f t="shared" si="573"/>
        <v>0</v>
      </c>
    </row>
    <row r="34264" spans="20:20" ht="18.75" customHeight="1" x14ac:dyDescent="0.35">
      <c r="T34264" s="246">
        <f t="shared" si="573"/>
        <v>0</v>
      </c>
    </row>
    <row r="34265" spans="20:20" ht="18.75" customHeight="1" x14ac:dyDescent="0.35">
      <c r="T34265" s="246">
        <f t="shared" si="573"/>
        <v>0</v>
      </c>
    </row>
    <row r="34266" spans="20:20" ht="18.75" customHeight="1" x14ac:dyDescent="0.35">
      <c r="T34266" s="246">
        <f t="shared" si="573"/>
        <v>0</v>
      </c>
    </row>
    <row r="34267" spans="20:20" ht="18.75" customHeight="1" x14ac:dyDescent="0.35">
      <c r="T34267" s="246">
        <f t="shared" si="573"/>
        <v>0</v>
      </c>
    </row>
    <row r="34268" spans="20:20" ht="18.75" customHeight="1" x14ac:dyDescent="0.35">
      <c r="T34268" s="246">
        <f t="shared" si="573"/>
        <v>0</v>
      </c>
    </row>
    <row r="34269" spans="20:20" ht="18.75" customHeight="1" x14ac:dyDescent="0.35">
      <c r="T34269" s="246">
        <f t="shared" si="573"/>
        <v>0</v>
      </c>
    </row>
    <row r="34270" spans="20:20" ht="18.75" customHeight="1" x14ac:dyDescent="0.35">
      <c r="T34270" s="246">
        <f t="shared" si="573"/>
        <v>0</v>
      </c>
    </row>
    <row r="34271" spans="20:20" ht="18.75" customHeight="1" x14ac:dyDescent="0.35">
      <c r="T34271" s="246">
        <f t="shared" si="573"/>
        <v>0</v>
      </c>
    </row>
    <row r="34272" spans="20:20" ht="18.75" customHeight="1" x14ac:dyDescent="0.35">
      <c r="T34272" s="246">
        <f t="shared" si="573"/>
        <v>0</v>
      </c>
    </row>
    <row r="34273" spans="20:20" ht="18.75" customHeight="1" x14ac:dyDescent="0.35">
      <c r="T34273" s="246">
        <f t="shared" si="573"/>
        <v>0</v>
      </c>
    </row>
    <row r="34274" spans="20:20" ht="18.75" customHeight="1" x14ac:dyDescent="0.35">
      <c r="T34274" s="246">
        <f t="shared" si="573"/>
        <v>0</v>
      </c>
    </row>
    <row r="34275" spans="20:20" ht="18.75" customHeight="1" x14ac:dyDescent="0.35">
      <c r="T34275" s="246">
        <f t="shared" si="573"/>
        <v>0</v>
      </c>
    </row>
    <row r="34276" spans="20:20" ht="18.75" customHeight="1" x14ac:dyDescent="0.35">
      <c r="T34276" s="246">
        <f t="shared" si="573"/>
        <v>0</v>
      </c>
    </row>
    <row r="34277" spans="20:20" ht="18.75" customHeight="1" x14ac:dyDescent="0.35">
      <c r="T34277" s="246">
        <f t="shared" si="573"/>
        <v>0</v>
      </c>
    </row>
    <row r="34278" spans="20:20" ht="18.75" customHeight="1" x14ac:dyDescent="0.35">
      <c r="T34278" s="246">
        <f t="shared" si="573"/>
        <v>0</v>
      </c>
    </row>
    <row r="34279" spans="20:20" ht="18.75" customHeight="1" x14ac:dyDescent="0.35">
      <c r="T34279" s="246">
        <f t="shared" si="573"/>
        <v>0</v>
      </c>
    </row>
    <row r="34280" spans="20:20" ht="18.75" customHeight="1" x14ac:dyDescent="0.35">
      <c r="T34280" s="246">
        <f t="shared" si="573"/>
        <v>0</v>
      </c>
    </row>
    <row r="34281" spans="20:20" ht="18.75" customHeight="1" x14ac:dyDescent="0.35">
      <c r="T34281" s="246">
        <f t="shared" si="573"/>
        <v>0</v>
      </c>
    </row>
    <row r="34282" spans="20:20" ht="18.75" customHeight="1" x14ac:dyDescent="0.35">
      <c r="T34282" s="246">
        <f t="shared" si="573"/>
        <v>0</v>
      </c>
    </row>
    <row r="34283" spans="20:20" ht="18.75" customHeight="1" x14ac:dyDescent="0.35">
      <c r="T34283" s="246">
        <f t="shared" si="573"/>
        <v>0</v>
      </c>
    </row>
    <row r="34284" spans="20:20" ht="18.75" customHeight="1" x14ac:dyDescent="0.35">
      <c r="T34284" s="246">
        <f t="shared" si="573"/>
        <v>0</v>
      </c>
    </row>
    <row r="34285" spans="20:20" ht="18.75" customHeight="1" x14ac:dyDescent="0.35">
      <c r="T34285" s="246">
        <f t="shared" si="573"/>
        <v>0</v>
      </c>
    </row>
    <row r="34286" spans="20:20" ht="18.75" customHeight="1" x14ac:dyDescent="0.35">
      <c r="T34286" s="246">
        <f t="shared" si="573"/>
        <v>0</v>
      </c>
    </row>
    <row r="34287" spans="20:20" ht="18.75" customHeight="1" x14ac:dyDescent="0.35">
      <c r="T34287" s="246">
        <f t="shared" si="573"/>
        <v>0</v>
      </c>
    </row>
    <row r="34288" spans="20:20" ht="18.75" customHeight="1" x14ac:dyDescent="0.35">
      <c r="T34288" s="246">
        <f t="shared" si="573"/>
        <v>0</v>
      </c>
    </row>
    <row r="34289" spans="20:20" ht="18.75" customHeight="1" x14ac:dyDescent="0.35">
      <c r="T34289" s="246">
        <f t="shared" si="573"/>
        <v>0</v>
      </c>
    </row>
    <row r="34290" spans="20:20" ht="18.75" customHeight="1" x14ac:dyDescent="0.35">
      <c r="T34290" s="246">
        <f t="shared" si="573"/>
        <v>0</v>
      </c>
    </row>
    <row r="34291" spans="20:20" ht="18.75" customHeight="1" x14ac:dyDescent="0.35">
      <c r="T34291" s="246">
        <f t="shared" si="573"/>
        <v>0</v>
      </c>
    </row>
    <row r="34292" spans="20:20" ht="18.75" customHeight="1" x14ac:dyDescent="0.35">
      <c r="T34292" s="246">
        <f t="shared" si="573"/>
        <v>0</v>
      </c>
    </row>
    <row r="34293" spans="20:20" ht="18.75" customHeight="1" x14ac:dyDescent="0.35">
      <c r="T34293" s="246">
        <f t="shared" si="573"/>
        <v>0</v>
      </c>
    </row>
    <row r="34294" spans="20:20" ht="18.75" customHeight="1" x14ac:dyDescent="0.35">
      <c r="T34294" s="246">
        <f t="shared" si="573"/>
        <v>0</v>
      </c>
    </row>
    <row r="34295" spans="20:20" ht="18.75" customHeight="1" x14ac:dyDescent="0.35">
      <c r="T34295" s="246">
        <f t="shared" si="573"/>
        <v>0</v>
      </c>
    </row>
    <row r="34296" spans="20:20" ht="18.75" customHeight="1" x14ac:dyDescent="0.35">
      <c r="T34296" s="246">
        <f t="shared" si="573"/>
        <v>0</v>
      </c>
    </row>
    <row r="34297" spans="20:20" ht="18.75" customHeight="1" x14ac:dyDescent="0.35">
      <c r="T34297" s="246">
        <f t="shared" si="573"/>
        <v>0</v>
      </c>
    </row>
    <row r="34298" spans="20:20" ht="18.75" customHeight="1" x14ac:dyDescent="0.35">
      <c r="T34298" s="246">
        <f t="shared" si="573"/>
        <v>0</v>
      </c>
    </row>
    <row r="34299" spans="20:20" ht="18.75" customHeight="1" x14ac:dyDescent="0.35">
      <c r="T34299" s="246">
        <f t="shared" si="573"/>
        <v>0</v>
      </c>
    </row>
    <row r="34300" spans="20:20" ht="18.75" customHeight="1" x14ac:dyDescent="0.35">
      <c r="T34300" s="246">
        <f t="shared" ref="T34300:T34363" si="574">R34300*0.01</f>
        <v>0</v>
      </c>
    </row>
    <row r="34301" spans="20:20" ht="18.75" customHeight="1" x14ac:dyDescent="0.35">
      <c r="T34301" s="246">
        <f t="shared" si="574"/>
        <v>0</v>
      </c>
    </row>
    <row r="34302" spans="20:20" ht="18.75" customHeight="1" x14ac:dyDescent="0.35">
      <c r="T34302" s="246">
        <f t="shared" si="574"/>
        <v>0</v>
      </c>
    </row>
    <row r="34303" spans="20:20" ht="18.75" customHeight="1" x14ac:dyDescent="0.35">
      <c r="T34303" s="246">
        <f t="shared" si="574"/>
        <v>0</v>
      </c>
    </row>
    <row r="34304" spans="20:20" ht="18.75" customHeight="1" x14ac:dyDescent="0.35">
      <c r="T34304" s="246">
        <f t="shared" si="574"/>
        <v>0</v>
      </c>
    </row>
    <row r="34305" spans="20:20" ht="18.75" customHeight="1" x14ac:dyDescent="0.35">
      <c r="T34305" s="246">
        <f t="shared" si="574"/>
        <v>0</v>
      </c>
    </row>
    <row r="34306" spans="20:20" ht="18.75" customHeight="1" x14ac:dyDescent="0.35">
      <c r="T34306" s="246">
        <f t="shared" si="574"/>
        <v>0</v>
      </c>
    </row>
    <row r="34307" spans="20:20" ht="18.75" customHeight="1" x14ac:dyDescent="0.35">
      <c r="T34307" s="246">
        <f t="shared" si="574"/>
        <v>0</v>
      </c>
    </row>
    <row r="34308" spans="20:20" ht="18.75" customHeight="1" x14ac:dyDescent="0.35">
      <c r="T34308" s="246">
        <f t="shared" si="574"/>
        <v>0</v>
      </c>
    </row>
    <row r="34309" spans="20:20" ht="18.75" customHeight="1" x14ac:dyDescent="0.35">
      <c r="T34309" s="246">
        <f t="shared" si="574"/>
        <v>0</v>
      </c>
    </row>
    <row r="34310" spans="20:20" ht="18.75" customHeight="1" x14ac:dyDescent="0.35">
      <c r="T34310" s="246">
        <f t="shared" si="574"/>
        <v>0</v>
      </c>
    </row>
    <row r="34311" spans="20:20" ht="18.75" customHeight="1" x14ac:dyDescent="0.35">
      <c r="T34311" s="246">
        <f t="shared" si="574"/>
        <v>0</v>
      </c>
    </row>
    <row r="34312" spans="20:20" ht="18.75" customHeight="1" x14ac:dyDescent="0.35">
      <c r="T34312" s="246">
        <f t="shared" si="574"/>
        <v>0</v>
      </c>
    </row>
    <row r="34313" spans="20:20" ht="18.75" customHeight="1" x14ac:dyDescent="0.35">
      <c r="T34313" s="246">
        <f t="shared" si="574"/>
        <v>0</v>
      </c>
    </row>
    <row r="34314" spans="20:20" ht="18.75" customHeight="1" x14ac:dyDescent="0.35">
      <c r="T34314" s="246">
        <f t="shared" si="574"/>
        <v>0</v>
      </c>
    </row>
    <row r="34315" spans="20:20" ht="18.75" customHeight="1" x14ac:dyDescent="0.35">
      <c r="T34315" s="246">
        <f t="shared" si="574"/>
        <v>0</v>
      </c>
    </row>
    <row r="34316" spans="20:20" ht="18.75" customHeight="1" x14ac:dyDescent="0.35">
      <c r="T34316" s="246">
        <f t="shared" si="574"/>
        <v>0</v>
      </c>
    </row>
    <row r="34317" spans="20:20" ht="18.75" customHeight="1" x14ac:dyDescent="0.35">
      <c r="T34317" s="246">
        <f t="shared" si="574"/>
        <v>0</v>
      </c>
    </row>
    <row r="34318" spans="20:20" ht="18.75" customHeight="1" x14ac:dyDescent="0.35">
      <c r="T34318" s="246">
        <f t="shared" si="574"/>
        <v>0</v>
      </c>
    </row>
    <row r="34319" spans="20:20" ht="18.75" customHeight="1" x14ac:dyDescent="0.35">
      <c r="T34319" s="246">
        <f t="shared" si="574"/>
        <v>0</v>
      </c>
    </row>
    <row r="34320" spans="20:20" ht="18.75" customHeight="1" x14ac:dyDescent="0.35">
      <c r="T34320" s="246">
        <f t="shared" si="574"/>
        <v>0</v>
      </c>
    </row>
    <row r="34321" spans="20:20" ht="18.75" customHeight="1" x14ac:dyDescent="0.35">
      <c r="T34321" s="246">
        <f t="shared" si="574"/>
        <v>0</v>
      </c>
    </row>
    <row r="34322" spans="20:20" ht="18.75" customHeight="1" x14ac:dyDescent="0.35">
      <c r="T34322" s="246">
        <f t="shared" si="574"/>
        <v>0</v>
      </c>
    </row>
    <row r="34323" spans="20:20" ht="18.75" customHeight="1" x14ac:dyDescent="0.35">
      <c r="T34323" s="246">
        <f t="shared" si="574"/>
        <v>0</v>
      </c>
    </row>
    <row r="34324" spans="20:20" ht="18.75" customHeight="1" x14ac:dyDescent="0.35">
      <c r="T34324" s="246">
        <f t="shared" si="574"/>
        <v>0</v>
      </c>
    </row>
    <row r="34325" spans="20:20" ht="18.75" customHeight="1" x14ac:dyDescent="0.35">
      <c r="T34325" s="246">
        <f t="shared" si="574"/>
        <v>0</v>
      </c>
    </row>
    <row r="34326" spans="20:20" ht="18.75" customHeight="1" x14ac:dyDescent="0.35">
      <c r="T34326" s="246">
        <f t="shared" si="574"/>
        <v>0</v>
      </c>
    </row>
    <row r="34327" spans="20:20" ht="18.75" customHeight="1" x14ac:dyDescent="0.35">
      <c r="T34327" s="246">
        <f t="shared" si="574"/>
        <v>0</v>
      </c>
    </row>
    <row r="34328" spans="20:20" ht="18.75" customHeight="1" x14ac:dyDescent="0.35">
      <c r="T34328" s="246">
        <f t="shared" si="574"/>
        <v>0</v>
      </c>
    </row>
    <row r="34329" spans="20:20" ht="18.75" customHeight="1" x14ac:dyDescent="0.35">
      <c r="T34329" s="246">
        <f t="shared" si="574"/>
        <v>0</v>
      </c>
    </row>
    <row r="34330" spans="20:20" ht="18.75" customHeight="1" x14ac:dyDescent="0.35">
      <c r="T34330" s="246">
        <f t="shared" si="574"/>
        <v>0</v>
      </c>
    </row>
    <row r="34331" spans="20:20" ht="18.75" customHeight="1" x14ac:dyDescent="0.35">
      <c r="T34331" s="246">
        <f t="shared" si="574"/>
        <v>0</v>
      </c>
    </row>
    <row r="34332" spans="20:20" ht="18.75" customHeight="1" x14ac:dyDescent="0.35">
      <c r="T34332" s="246">
        <f t="shared" si="574"/>
        <v>0</v>
      </c>
    </row>
    <row r="34333" spans="20:20" ht="18.75" customHeight="1" x14ac:dyDescent="0.35">
      <c r="T34333" s="246">
        <f t="shared" si="574"/>
        <v>0</v>
      </c>
    </row>
    <row r="34334" spans="20:20" ht="18.75" customHeight="1" x14ac:dyDescent="0.35">
      <c r="T34334" s="246">
        <f t="shared" si="574"/>
        <v>0</v>
      </c>
    </row>
    <row r="34335" spans="20:20" ht="18.75" customHeight="1" x14ac:dyDescent="0.35">
      <c r="T34335" s="246">
        <f t="shared" si="574"/>
        <v>0</v>
      </c>
    </row>
    <row r="34336" spans="20:20" ht="18.75" customHeight="1" x14ac:dyDescent="0.35">
      <c r="T34336" s="246">
        <f t="shared" si="574"/>
        <v>0</v>
      </c>
    </row>
    <row r="34337" spans="20:20" ht="18.75" customHeight="1" x14ac:dyDescent="0.35">
      <c r="T34337" s="246">
        <f t="shared" si="574"/>
        <v>0</v>
      </c>
    </row>
    <row r="34338" spans="20:20" ht="18.75" customHeight="1" x14ac:dyDescent="0.35">
      <c r="T34338" s="246">
        <f t="shared" si="574"/>
        <v>0</v>
      </c>
    </row>
    <row r="34339" spans="20:20" ht="18.75" customHeight="1" x14ac:dyDescent="0.35">
      <c r="T34339" s="246">
        <f t="shared" si="574"/>
        <v>0</v>
      </c>
    </row>
    <row r="34340" spans="20:20" ht="18.75" customHeight="1" x14ac:dyDescent="0.35">
      <c r="T34340" s="246">
        <f t="shared" si="574"/>
        <v>0</v>
      </c>
    </row>
    <row r="34341" spans="20:20" ht="18.75" customHeight="1" x14ac:dyDescent="0.35">
      <c r="T34341" s="246">
        <f t="shared" si="574"/>
        <v>0</v>
      </c>
    </row>
    <row r="34342" spans="20:20" ht="18.75" customHeight="1" x14ac:dyDescent="0.35">
      <c r="T34342" s="246">
        <f t="shared" si="574"/>
        <v>0</v>
      </c>
    </row>
    <row r="34343" spans="20:20" ht="18.75" customHeight="1" x14ac:dyDescent="0.35">
      <c r="T34343" s="246">
        <f t="shared" si="574"/>
        <v>0</v>
      </c>
    </row>
    <row r="34344" spans="20:20" ht="18.75" customHeight="1" x14ac:dyDescent="0.35">
      <c r="T34344" s="246">
        <f t="shared" si="574"/>
        <v>0</v>
      </c>
    </row>
    <row r="34345" spans="20:20" ht="18.75" customHeight="1" x14ac:dyDescent="0.35">
      <c r="T34345" s="246">
        <f t="shared" si="574"/>
        <v>0</v>
      </c>
    </row>
    <row r="34346" spans="20:20" ht="18.75" customHeight="1" x14ac:dyDescent="0.35">
      <c r="T34346" s="246">
        <f t="shared" si="574"/>
        <v>0</v>
      </c>
    </row>
    <row r="34347" spans="20:20" ht="18.75" customHeight="1" x14ac:dyDescent="0.35">
      <c r="T34347" s="246">
        <f t="shared" si="574"/>
        <v>0</v>
      </c>
    </row>
    <row r="34348" spans="20:20" ht="18.75" customHeight="1" x14ac:dyDescent="0.35">
      <c r="T34348" s="246">
        <f t="shared" si="574"/>
        <v>0</v>
      </c>
    </row>
    <row r="34349" spans="20:20" ht="18.75" customHeight="1" x14ac:dyDescent="0.35">
      <c r="T34349" s="246">
        <f t="shared" si="574"/>
        <v>0</v>
      </c>
    </row>
    <row r="34350" spans="20:20" ht="18.75" customHeight="1" x14ac:dyDescent="0.35">
      <c r="T34350" s="246">
        <f t="shared" si="574"/>
        <v>0</v>
      </c>
    </row>
    <row r="34351" spans="20:20" ht="18.75" customHeight="1" x14ac:dyDescent="0.35">
      <c r="T34351" s="246">
        <f t="shared" si="574"/>
        <v>0</v>
      </c>
    </row>
    <row r="34352" spans="20:20" ht="18.75" customHeight="1" x14ac:dyDescent="0.35">
      <c r="T34352" s="246">
        <f t="shared" si="574"/>
        <v>0</v>
      </c>
    </row>
    <row r="34353" spans="20:20" ht="18.75" customHeight="1" x14ac:dyDescent="0.35">
      <c r="T34353" s="246">
        <f t="shared" si="574"/>
        <v>0</v>
      </c>
    </row>
    <row r="34354" spans="20:20" ht="18.75" customHeight="1" x14ac:dyDescent="0.35">
      <c r="T34354" s="246">
        <f t="shared" si="574"/>
        <v>0</v>
      </c>
    </row>
    <row r="34355" spans="20:20" ht="18.75" customHeight="1" x14ac:dyDescent="0.35">
      <c r="T34355" s="246">
        <f t="shared" si="574"/>
        <v>0</v>
      </c>
    </row>
    <row r="34356" spans="20:20" ht="18.75" customHeight="1" x14ac:dyDescent="0.35">
      <c r="T34356" s="246">
        <f t="shared" si="574"/>
        <v>0</v>
      </c>
    </row>
    <row r="34357" spans="20:20" ht="18.75" customHeight="1" x14ac:dyDescent="0.35">
      <c r="T34357" s="246">
        <f t="shared" si="574"/>
        <v>0</v>
      </c>
    </row>
    <row r="34358" spans="20:20" ht="18.75" customHeight="1" x14ac:dyDescent="0.35">
      <c r="T34358" s="246">
        <f t="shared" si="574"/>
        <v>0</v>
      </c>
    </row>
    <row r="34359" spans="20:20" ht="18.75" customHeight="1" x14ac:dyDescent="0.35">
      <c r="T34359" s="246">
        <f t="shared" si="574"/>
        <v>0</v>
      </c>
    </row>
    <row r="34360" spans="20:20" ht="18.75" customHeight="1" x14ac:dyDescent="0.35">
      <c r="T34360" s="246">
        <f t="shared" si="574"/>
        <v>0</v>
      </c>
    </row>
    <row r="34361" spans="20:20" ht="18.75" customHeight="1" x14ac:dyDescent="0.35">
      <c r="T34361" s="246">
        <f t="shared" si="574"/>
        <v>0</v>
      </c>
    </row>
    <row r="34362" spans="20:20" ht="18.75" customHeight="1" x14ac:dyDescent="0.35">
      <c r="T34362" s="246">
        <f t="shared" si="574"/>
        <v>0</v>
      </c>
    </row>
    <row r="34363" spans="20:20" ht="18.75" customHeight="1" x14ac:dyDescent="0.35">
      <c r="T34363" s="246">
        <f t="shared" si="574"/>
        <v>0</v>
      </c>
    </row>
    <row r="34364" spans="20:20" ht="18.75" customHeight="1" x14ac:dyDescent="0.35">
      <c r="T34364" s="246">
        <f t="shared" ref="T34364:T34427" si="575">R34364*0.01</f>
        <v>0</v>
      </c>
    </row>
    <row r="34365" spans="20:20" ht="18.75" customHeight="1" x14ac:dyDescent="0.35">
      <c r="T34365" s="246">
        <f t="shared" si="575"/>
        <v>0</v>
      </c>
    </row>
    <row r="34366" spans="20:20" ht="18.75" customHeight="1" x14ac:dyDescent="0.35">
      <c r="T34366" s="246">
        <f t="shared" si="575"/>
        <v>0</v>
      </c>
    </row>
    <row r="34367" spans="20:20" ht="18.75" customHeight="1" x14ac:dyDescent="0.35">
      <c r="T34367" s="246">
        <f t="shared" si="575"/>
        <v>0</v>
      </c>
    </row>
    <row r="34368" spans="20:20" ht="18.75" customHeight="1" x14ac:dyDescent="0.35">
      <c r="T34368" s="246">
        <f t="shared" si="575"/>
        <v>0</v>
      </c>
    </row>
    <row r="34369" spans="20:20" ht="18.75" customHeight="1" x14ac:dyDescent="0.35">
      <c r="T34369" s="246">
        <f t="shared" si="575"/>
        <v>0</v>
      </c>
    </row>
    <row r="34370" spans="20:20" ht="18.75" customHeight="1" x14ac:dyDescent="0.35">
      <c r="T34370" s="246">
        <f t="shared" si="575"/>
        <v>0</v>
      </c>
    </row>
    <row r="34371" spans="20:20" ht="18.75" customHeight="1" x14ac:dyDescent="0.35">
      <c r="T34371" s="246">
        <f t="shared" si="575"/>
        <v>0</v>
      </c>
    </row>
    <row r="34372" spans="20:20" ht="18.75" customHeight="1" x14ac:dyDescent="0.35">
      <c r="T34372" s="246">
        <f t="shared" si="575"/>
        <v>0</v>
      </c>
    </row>
    <row r="34373" spans="20:20" ht="18.75" customHeight="1" x14ac:dyDescent="0.35">
      <c r="T34373" s="246">
        <f t="shared" si="575"/>
        <v>0</v>
      </c>
    </row>
    <row r="34374" spans="20:20" ht="18.75" customHeight="1" x14ac:dyDescent="0.35">
      <c r="T34374" s="246">
        <f t="shared" si="575"/>
        <v>0</v>
      </c>
    </row>
    <row r="34375" spans="20:20" ht="18.75" customHeight="1" x14ac:dyDescent="0.35">
      <c r="T34375" s="246">
        <f t="shared" si="575"/>
        <v>0</v>
      </c>
    </row>
    <row r="34376" spans="20:20" ht="18.75" customHeight="1" x14ac:dyDescent="0.35">
      <c r="T34376" s="246">
        <f t="shared" si="575"/>
        <v>0</v>
      </c>
    </row>
    <row r="34377" spans="20:20" ht="18.75" customHeight="1" x14ac:dyDescent="0.35">
      <c r="T34377" s="246">
        <f t="shared" si="575"/>
        <v>0</v>
      </c>
    </row>
    <row r="34378" spans="20:20" ht="18.75" customHeight="1" x14ac:dyDescent="0.35">
      <c r="T34378" s="246">
        <f t="shared" si="575"/>
        <v>0</v>
      </c>
    </row>
    <row r="34379" spans="20:20" ht="18.75" customHeight="1" x14ac:dyDescent="0.35">
      <c r="T34379" s="246">
        <f t="shared" si="575"/>
        <v>0</v>
      </c>
    </row>
    <row r="34380" spans="20:20" ht="18.75" customHeight="1" x14ac:dyDescent="0.35">
      <c r="T34380" s="246">
        <f t="shared" si="575"/>
        <v>0</v>
      </c>
    </row>
    <row r="34381" spans="20:20" ht="18.75" customHeight="1" x14ac:dyDescent="0.35">
      <c r="T34381" s="246">
        <f t="shared" si="575"/>
        <v>0</v>
      </c>
    </row>
    <row r="34382" spans="20:20" ht="18.75" customHeight="1" x14ac:dyDescent="0.35">
      <c r="T34382" s="246">
        <f t="shared" si="575"/>
        <v>0</v>
      </c>
    </row>
    <row r="34383" spans="20:20" ht="18.75" customHeight="1" x14ac:dyDescent="0.35">
      <c r="T34383" s="246">
        <f t="shared" si="575"/>
        <v>0</v>
      </c>
    </row>
    <row r="34384" spans="20:20" ht="18.75" customHeight="1" x14ac:dyDescent="0.35">
      <c r="T34384" s="246">
        <f t="shared" si="575"/>
        <v>0</v>
      </c>
    </row>
    <row r="34385" spans="20:20" ht="18.75" customHeight="1" x14ac:dyDescent="0.35">
      <c r="T34385" s="246">
        <f t="shared" si="575"/>
        <v>0</v>
      </c>
    </row>
    <row r="34386" spans="20:20" ht="18.75" customHeight="1" x14ac:dyDescent="0.35">
      <c r="T34386" s="246">
        <f t="shared" si="575"/>
        <v>0</v>
      </c>
    </row>
    <row r="34387" spans="20:20" ht="18.75" customHeight="1" x14ac:dyDescent="0.35">
      <c r="T34387" s="246">
        <f t="shared" si="575"/>
        <v>0</v>
      </c>
    </row>
    <row r="34388" spans="20:20" ht="18.75" customHeight="1" x14ac:dyDescent="0.35">
      <c r="T34388" s="246">
        <f t="shared" si="575"/>
        <v>0</v>
      </c>
    </row>
    <row r="34389" spans="20:20" ht="18.75" customHeight="1" x14ac:dyDescent="0.35">
      <c r="T34389" s="246">
        <f t="shared" si="575"/>
        <v>0</v>
      </c>
    </row>
    <row r="34390" spans="20:20" ht="18.75" customHeight="1" x14ac:dyDescent="0.35">
      <c r="T34390" s="246">
        <f t="shared" si="575"/>
        <v>0</v>
      </c>
    </row>
    <row r="34391" spans="20:20" ht="18.75" customHeight="1" x14ac:dyDescent="0.35">
      <c r="T34391" s="246">
        <f t="shared" si="575"/>
        <v>0</v>
      </c>
    </row>
    <row r="34392" spans="20:20" ht="18.75" customHeight="1" x14ac:dyDescent="0.35">
      <c r="T34392" s="246">
        <f t="shared" si="575"/>
        <v>0</v>
      </c>
    </row>
    <row r="34393" spans="20:20" ht="18.75" customHeight="1" x14ac:dyDescent="0.35">
      <c r="T34393" s="246">
        <f t="shared" si="575"/>
        <v>0</v>
      </c>
    </row>
    <row r="34394" spans="20:20" ht="18.75" customHeight="1" x14ac:dyDescent="0.35">
      <c r="T34394" s="246">
        <f t="shared" si="575"/>
        <v>0</v>
      </c>
    </row>
    <row r="34395" spans="20:20" ht="18.75" customHeight="1" x14ac:dyDescent="0.35">
      <c r="T34395" s="246">
        <f t="shared" si="575"/>
        <v>0</v>
      </c>
    </row>
    <row r="34396" spans="20:20" ht="18.75" customHeight="1" x14ac:dyDescent="0.35">
      <c r="T34396" s="246">
        <f t="shared" si="575"/>
        <v>0</v>
      </c>
    </row>
    <row r="34397" spans="20:20" ht="18.75" customHeight="1" x14ac:dyDescent="0.35">
      <c r="T34397" s="246">
        <f t="shared" si="575"/>
        <v>0</v>
      </c>
    </row>
    <row r="34398" spans="20:20" ht="18.75" customHeight="1" x14ac:dyDescent="0.35">
      <c r="T34398" s="246">
        <f t="shared" si="575"/>
        <v>0</v>
      </c>
    </row>
    <row r="34399" spans="20:20" ht="18.75" customHeight="1" x14ac:dyDescent="0.35">
      <c r="T34399" s="246">
        <f t="shared" si="575"/>
        <v>0</v>
      </c>
    </row>
    <row r="34400" spans="20:20" ht="18.75" customHeight="1" x14ac:dyDescent="0.35">
      <c r="T34400" s="246">
        <f t="shared" si="575"/>
        <v>0</v>
      </c>
    </row>
    <row r="34401" spans="20:20" ht="18.75" customHeight="1" x14ac:dyDescent="0.35">
      <c r="T34401" s="246">
        <f t="shared" si="575"/>
        <v>0</v>
      </c>
    </row>
    <row r="34402" spans="20:20" ht="18.75" customHeight="1" x14ac:dyDescent="0.35">
      <c r="T34402" s="246">
        <f t="shared" si="575"/>
        <v>0</v>
      </c>
    </row>
    <row r="34403" spans="20:20" ht="18.75" customHeight="1" x14ac:dyDescent="0.35">
      <c r="T34403" s="246">
        <f t="shared" si="575"/>
        <v>0</v>
      </c>
    </row>
    <row r="34404" spans="20:20" ht="18.75" customHeight="1" x14ac:dyDescent="0.35">
      <c r="T34404" s="246">
        <f t="shared" si="575"/>
        <v>0</v>
      </c>
    </row>
    <row r="34405" spans="20:20" ht="18.75" customHeight="1" x14ac:dyDescent="0.35">
      <c r="T34405" s="246">
        <f t="shared" si="575"/>
        <v>0</v>
      </c>
    </row>
    <row r="34406" spans="20:20" ht="18.75" customHeight="1" x14ac:dyDescent="0.35">
      <c r="T34406" s="246">
        <f t="shared" si="575"/>
        <v>0</v>
      </c>
    </row>
    <row r="34407" spans="20:20" ht="18.75" customHeight="1" x14ac:dyDescent="0.35">
      <c r="T34407" s="246">
        <f t="shared" si="575"/>
        <v>0</v>
      </c>
    </row>
    <row r="34408" spans="20:20" ht="18.75" customHeight="1" x14ac:dyDescent="0.35">
      <c r="T34408" s="246">
        <f t="shared" si="575"/>
        <v>0</v>
      </c>
    </row>
    <row r="34409" spans="20:20" ht="18.75" customHeight="1" x14ac:dyDescent="0.35">
      <c r="T34409" s="246">
        <f t="shared" si="575"/>
        <v>0</v>
      </c>
    </row>
    <row r="34410" spans="20:20" ht="18.75" customHeight="1" x14ac:dyDescent="0.35">
      <c r="T34410" s="246">
        <f t="shared" si="575"/>
        <v>0</v>
      </c>
    </row>
    <row r="34411" spans="20:20" ht="18.75" customHeight="1" x14ac:dyDescent="0.35">
      <c r="T34411" s="246">
        <f t="shared" si="575"/>
        <v>0</v>
      </c>
    </row>
    <row r="34412" spans="20:20" ht="18.75" customHeight="1" x14ac:dyDescent="0.35">
      <c r="T34412" s="246">
        <f t="shared" si="575"/>
        <v>0</v>
      </c>
    </row>
    <row r="34413" spans="20:20" ht="18.75" customHeight="1" x14ac:dyDescent="0.35">
      <c r="T34413" s="246">
        <f t="shared" si="575"/>
        <v>0</v>
      </c>
    </row>
    <row r="34414" spans="20:20" ht="18.75" customHeight="1" x14ac:dyDescent="0.35">
      <c r="T34414" s="246">
        <f t="shared" si="575"/>
        <v>0</v>
      </c>
    </row>
    <row r="34415" spans="20:20" ht="18.75" customHeight="1" x14ac:dyDescent="0.35">
      <c r="T34415" s="246">
        <f t="shared" si="575"/>
        <v>0</v>
      </c>
    </row>
    <row r="34416" spans="20:20" ht="18.75" customHeight="1" x14ac:dyDescent="0.35">
      <c r="T34416" s="246">
        <f t="shared" si="575"/>
        <v>0</v>
      </c>
    </row>
    <row r="34417" spans="20:20" ht="18.75" customHeight="1" x14ac:dyDescent="0.35">
      <c r="T34417" s="246">
        <f t="shared" si="575"/>
        <v>0</v>
      </c>
    </row>
    <row r="34418" spans="20:20" ht="18.75" customHeight="1" x14ac:dyDescent="0.35">
      <c r="T34418" s="246">
        <f t="shared" si="575"/>
        <v>0</v>
      </c>
    </row>
    <row r="34419" spans="20:20" ht="18.75" customHeight="1" x14ac:dyDescent="0.35">
      <c r="T34419" s="246">
        <f t="shared" si="575"/>
        <v>0</v>
      </c>
    </row>
    <row r="34420" spans="20:20" ht="18.75" customHeight="1" x14ac:dyDescent="0.35">
      <c r="T34420" s="246">
        <f t="shared" si="575"/>
        <v>0</v>
      </c>
    </row>
    <row r="34421" spans="20:20" ht="18.75" customHeight="1" x14ac:dyDescent="0.35">
      <c r="T34421" s="246">
        <f t="shared" si="575"/>
        <v>0</v>
      </c>
    </row>
    <row r="34422" spans="20:20" ht="18.75" customHeight="1" x14ac:dyDescent="0.35">
      <c r="T34422" s="246">
        <f t="shared" si="575"/>
        <v>0</v>
      </c>
    </row>
    <row r="34423" spans="20:20" ht="18.75" customHeight="1" x14ac:dyDescent="0.35">
      <c r="T34423" s="246">
        <f t="shared" si="575"/>
        <v>0</v>
      </c>
    </row>
    <row r="34424" spans="20:20" ht="18.75" customHeight="1" x14ac:dyDescent="0.35">
      <c r="T34424" s="246">
        <f t="shared" si="575"/>
        <v>0</v>
      </c>
    </row>
    <row r="34425" spans="20:20" ht="18.75" customHeight="1" x14ac:dyDescent="0.35">
      <c r="T34425" s="246">
        <f t="shared" si="575"/>
        <v>0</v>
      </c>
    </row>
    <row r="34426" spans="20:20" ht="18.75" customHeight="1" x14ac:dyDescent="0.35">
      <c r="T34426" s="246">
        <f t="shared" si="575"/>
        <v>0</v>
      </c>
    </row>
    <row r="34427" spans="20:20" ht="18.75" customHeight="1" x14ac:dyDescent="0.35">
      <c r="T34427" s="246">
        <f t="shared" si="575"/>
        <v>0</v>
      </c>
    </row>
    <row r="34428" spans="20:20" ht="18.75" customHeight="1" x14ac:dyDescent="0.35">
      <c r="T34428" s="246">
        <f t="shared" ref="T34428:T34491" si="576">R34428*0.01</f>
        <v>0</v>
      </c>
    </row>
    <row r="34429" spans="20:20" ht="18.75" customHeight="1" x14ac:dyDescent="0.35">
      <c r="T34429" s="246">
        <f t="shared" si="576"/>
        <v>0</v>
      </c>
    </row>
    <row r="34430" spans="20:20" ht="18.75" customHeight="1" x14ac:dyDescent="0.35">
      <c r="T34430" s="246">
        <f t="shared" si="576"/>
        <v>0</v>
      </c>
    </row>
    <row r="34431" spans="20:20" ht="18.75" customHeight="1" x14ac:dyDescent="0.35">
      <c r="T34431" s="246">
        <f t="shared" si="576"/>
        <v>0</v>
      </c>
    </row>
    <row r="34432" spans="20:20" ht="18.75" customHeight="1" x14ac:dyDescent="0.35">
      <c r="T34432" s="246">
        <f t="shared" si="576"/>
        <v>0</v>
      </c>
    </row>
    <row r="34433" spans="20:20" ht="18.75" customHeight="1" x14ac:dyDescent="0.35">
      <c r="T34433" s="246">
        <f t="shared" si="576"/>
        <v>0</v>
      </c>
    </row>
    <row r="34434" spans="20:20" ht="18.75" customHeight="1" x14ac:dyDescent="0.35">
      <c r="T34434" s="246">
        <f t="shared" si="576"/>
        <v>0</v>
      </c>
    </row>
    <row r="34435" spans="20:20" ht="18.75" customHeight="1" x14ac:dyDescent="0.35">
      <c r="T34435" s="246">
        <f t="shared" si="576"/>
        <v>0</v>
      </c>
    </row>
    <row r="34436" spans="20:20" ht="18.75" customHeight="1" x14ac:dyDescent="0.35">
      <c r="T34436" s="246">
        <f t="shared" si="576"/>
        <v>0</v>
      </c>
    </row>
    <row r="34437" spans="20:20" ht="18.75" customHeight="1" x14ac:dyDescent="0.35">
      <c r="T34437" s="246">
        <f t="shared" si="576"/>
        <v>0</v>
      </c>
    </row>
    <row r="34438" spans="20:20" ht="18.75" customHeight="1" x14ac:dyDescent="0.35">
      <c r="T34438" s="246">
        <f t="shared" si="576"/>
        <v>0</v>
      </c>
    </row>
    <row r="34439" spans="20:20" ht="18.75" customHeight="1" x14ac:dyDescent="0.35">
      <c r="T34439" s="246">
        <f t="shared" si="576"/>
        <v>0</v>
      </c>
    </row>
    <row r="34440" spans="20:20" ht="18.75" customHeight="1" x14ac:dyDescent="0.35">
      <c r="T34440" s="246">
        <f t="shared" si="576"/>
        <v>0</v>
      </c>
    </row>
    <row r="34441" spans="20:20" ht="18.75" customHeight="1" x14ac:dyDescent="0.35">
      <c r="T34441" s="246">
        <f t="shared" si="576"/>
        <v>0</v>
      </c>
    </row>
    <row r="34442" spans="20:20" ht="18.75" customHeight="1" x14ac:dyDescent="0.35">
      <c r="T34442" s="246">
        <f t="shared" si="576"/>
        <v>0</v>
      </c>
    </row>
    <row r="34443" spans="20:20" ht="18.75" customHeight="1" x14ac:dyDescent="0.35">
      <c r="T34443" s="246">
        <f t="shared" si="576"/>
        <v>0</v>
      </c>
    </row>
    <row r="34444" spans="20:20" ht="18.75" customHeight="1" x14ac:dyDescent="0.35">
      <c r="T34444" s="246">
        <f t="shared" si="576"/>
        <v>0</v>
      </c>
    </row>
    <row r="34445" spans="20:20" ht="18.75" customHeight="1" x14ac:dyDescent="0.35">
      <c r="T34445" s="246">
        <f t="shared" si="576"/>
        <v>0</v>
      </c>
    </row>
    <row r="34446" spans="20:20" ht="18.75" customHeight="1" x14ac:dyDescent="0.35">
      <c r="T34446" s="246">
        <f t="shared" si="576"/>
        <v>0</v>
      </c>
    </row>
    <row r="34447" spans="20:20" ht="18.75" customHeight="1" x14ac:dyDescent="0.35">
      <c r="T34447" s="246">
        <f t="shared" si="576"/>
        <v>0</v>
      </c>
    </row>
    <row r="34448" spans="20:20" ht="18.75" customHeight="1" x14ac:dyDescent="0.35">
      <c r="T34448" s="246">
        <f t="shared" si="576"/>
        <v>0</v>
      </c>
    </row>
    <row r="34449" spans="20:20" ht="18.75" customHeight="1" x14ac:dyDescent="0.35">
      <c r="T34449" s="246">
        <f t="shared" si="576"/>
        <v>0</v>
      </c>
    </row>
    <row r="34450" spans="20:20" ht="18.75" customHeight="1" x14ac:dyDescent="0.35">
      <c r="T34450" s="246">
        <f t="shared" si="576"/>
        <v>0</v>
      </c>
    </row>
    <row r="34451" spans="20:20" ht="18.75" customHeight="1" x14ac:dyDescent="0.35">
      <c r="T34451" s="246">
        <f t="shared" si="576"/>
        <v>0</v>
      </c>
    </row>
    <row r="34452" spans="20:20" ht="18.75" customHeight="1" x14ac:dyDescent="0.35">
      <c r="T34452" s="246">
        <f t="shared" si="576"/>
        <v>0</v>
      </c>
    </row>
    <row r="34453" spans="20:20" ht="18.75" customHeight="1" x14ac:dyDescent="0.35">
      <c r="T34453" s="246">
        <f t="shared" si="576"/>
        <v>0</v>
      </c>
    </row>
    <row r="34454" spans="20:20" ht="18.75" customHeight="1" x14ac:dyDescent="0.35">
      <c r="T34454" s="246">
        <f t="shared" si="576"/>
        <v>0</v>
      </c>
    </row>
    <row r="34455" spans="20:20" ht="18.75" customHeight="1" x14ac:dyDescent="0.35">
      <c r="T34455" s="246">
        <f t="shared" si="576"/>
        <v>0</v>
      </c>
    </row>
    <row r="34456" spans="20:20" ht="18.75" customHeight="1" x14ac:dyDescent="0.35">
      <c r="T34456" s="246">
        <f t="shared" si="576"/>
        <v>0</v>
      </c>
    </row>
    <row r="34457" spans="20:20" ht="18.75" customHeight="1" x14ac:dyDescent="0.35">
      <c r="T34457" s="246">
        <f t="shared" si="576"/>
        <v>0</v>
      </c>
    </row>
    <row r="34458" spans="20:20" ht="18.75" customHeight="1" x14ac:dyDescent="0.35">
      <c r="T34458" s="246">
        <f t="shared" si="576"/>
        <v>0</v>
      </c>
    </row>
    <row r="34459" spans="20:20" ht="18.75" customHeight="1" x14ac:dyDescent="0.35">
      <c r="T34459" s="246">
        <f t="shared" si="576"/>
        <v>0</v>
      </c>
    </row>
    <row r="34460" spans="20:20" ht="18.75" customHeight="1" x14ac:dyDescent="0.35">
      <c r="T34460" s="246">
        <f t="shared" si="576"/>
        <v>0</v>
      </c>
    </row>
    <row r="34461" spans="20:20" ht="18.75" customHeight="1" x14ac:dyDescent="0.35">
      <c r="T34461" s="246">
        <f t="shared" si="576"/>
        <v>0</v>
      </c>
    </row>
    <row r="34462" spans="20:20" ht="18.75" customHeight="1" x14ac:dyDescent="0.35">
      <c r="T34462" s="246">
        <f t="shared" si="576"/>
        <v>0</v>
      </c>
    </row>
    <row r="34463" spans="20:20" ht="18.75" customHeight="1" x14ac:dyDescent="0.35">
      <c r="T34463" s="246">
        <f t="shared" si="576"/>
        <v>0</v>
      </c>
    </row>
    <row r="34464" spans="20:20" ht="18.75" customHeight="1" x14ac:dyDescent="0.35">
      <c r="T34464" s="246">
        <f t="shared" si="576"/>
        <v>0</v>
      </c>
    </row>
    <row r="34465" spans="20:20" ht="18.75" customHeight="1" x14ac:dyDescent="0.35">
      <c r="T34465" s="246">
        <f t="shared" si="576"/>
        <v>0</v>
      </c>
    </row>
    <row r="34466" spans="20:20" ht="18.75" customHeight="1" x14ac:dyDescent="0.35">
      <c r="T34466" s="246">
        <f t="shared" si="576"/>
        <v>0</v>
      </c>
    </row>
    <row r="34467" spans="20:20" ht="18.75" customHeight="1" x14ac:dyDescent="0.35">
      <c r="T34467" s="246">
        <f t="shared" si="576"/>
        <v>0</v>
      </c>
    </row>
    <row r="34468" spans="20:20" ht="18.75" customHeight="1" x14ac:dyDescent="0.35">
      <c r="T34468" s="246">
        <f t="shared" si="576"/>
        <v>0</v>
      </c>
    </row>
    <row r="34469" spans="20:20" ht="18.75" customHeight="1" x14ac:dyDescent="0.35">
      <c r="T34469" s="246">
        <f t="shared" si="576"/>
        <v>0</v>
      </c>
    </row>
    <row r="34470" spans="20:20" ht="18.75" customHeight="1" x14ac:dyDescent="0.35">
      <c r="T34470" s="246">
        <f t="shared" si="576"/>
        <v>0</v>
      </c>
    </row>
    <row r="34471" spans="20:20" ht="18.75" customHeight="1" x14ac:dyDescent="0.35">
      <c r="T34471" s="246">
        <f t="shared" si="576"/>
        <v>0</v>
      </c>
    </row>
    <row r="34472" spans="20:20" ht="18.75" customHeight="1" x14ac:dyDescent="0.35">
      <c r="T34472" s="246">
        <f t="shared" si="576"/>
        <v>0</v>
      </c>
    </row>
    <row r="34473" spans="20:20" ht="18.75" customHeight="1" x14ac:dyDescent="0.35">
      <c r="T34473" s="246">
        <f t="shared" si="576"/>
        <v>0</v>
      </c>
    </row>
    <row r="34474" spans="20:20" ht="18.75" customHeight="1" x14ac:dyDescent="0.35">
      <c r="T34474" s="246">
        <f t="shared" si="576"/>
        <v>0</v>
      </c>
    </row>
    <row r="34475" spans="20:20" ht="18.75" customHeight="1" x14ac:dyDescent="0.35">
      <c r="T34475" s="246">
        <f t="shared" si="576"/>
        <v>0</v>
      </c>
    </row>
    <row r="34476" spans="20:20" ht="18.75" customHeight="1" x14ac:dyDescent="0.35">
      <c r="T34476" s="246">
        <f t="shared" si="576"/>
        <v>0</v>
      </c>
    </row>
    <row r="34477" spans="20:20" ht="18.75" customHeight="1" x14ac:dyDescent="0.35">
      <c r="T34477" s="246">
        <f t="shared" si="576"/>
        <v>0</v>
      </c>
    </row>
    <row r="34478" spans="20:20" ht="18.75" customHeight="1" x14ac:dyDescent="0.35">
      <c r="T34478" s="246">
        <f t="shared" si="576"/>
        <v>0</v>
      </c>
    </row>
    <row r="34479" spans="20:20" ht="18.75" customHeight="1" x14ac:dyDescent="0.35">
      <c r="T34479" s="246">
        <f t="shared" si="576"/>
        <v>0</v>
      </c>
    </row>
    <row r="34480" spans="20:20" ht="18.75" customHeight="1" x14ac:dyDescent="0.35">
      <c r="T34480" s="246">
        <f t="shared" si="576"/>
        <v>0</v>
      </c>
    </row>
    <row r="34481" spans="20:20" ht="18.75" customHeight="1" x14ac:dyDescent="0.35">
      <c r="T34481" s="246">
        <f t="shared" si="576"/>
        <v>0</v>
      </c>
    </row>
    <row r="34482" spans="20:20" ht="18.75" customHeight="1" x14ac:dyDescent="0.35">
      <c r="T34482" s="246">
        <f t="shared" si="576"/>
        <v>0</v>
      </c>
    </row>
    <row r="34483" spans="20:20" ht="18.75" customHeight="1" x14ac:dyDescent="0.35">
      <c r="T34483" s="246">
        <f t="shared" si="576"/>
        <v>0</v>
      </c>
    </row>
    <row r="34484" spans="20:20" ht="18.75" customHeight="1" x14ac:dyDescent="0.35">
      <c r="T34484" s="246">
        <f t="shared" si="576"/>
        <v>0</v>
      </c>
    </row>
    <row r="34485" spans="20:20" ht="18.75" customHeight="1" x14ac:dyDescent="0.35">
      <c r="T34485" s="246">
        <f t="shared" si="576"/>
        <v>0</v>
      </c>
    </row>
    <row r="34486" spans="20:20" ht="18.75" customHeight="1" x14ac:dyDescent="0.35">
      <c r="T34486" s="246">
        <f t="shared" si="576"/>
        <v>0</v>
      </c>
    </row>
    <row r="34487" spans="20:20" ht="18.75" customHeight="1" x14ac:dyDescent="0.35">
      <c r="T34487" s="246">
        <f t="shared" si="576"/>
        <v>0</v>
      </c>
    </row>
    <row r="34488" spans="20:20" ht="18.75" customHeight="1" x14ac:dyDescent="0.35">
      <c r="T34488" s="246">
        <f t="shared" si="576"/>
        <v>0</v>
      </c>
    </row>
    <row r="34489" spans="20:20" ht="18.75" customHeight="1" x14ac:dyDescent="0.35">
      <c r="T34489" s="246">
        <f t="shared" si="576"/>
        <v>0</v>
      </c>
    </row>
    <row r="34490" spans="20:20" ht="18.75" customHeight="1" x14ac:dyDescent="0.35">
      <c r="T34490" s="246">
        <f t="shared" si="576"/>
        <v>0</v>
      </c>
    </row>
    <row r="34491" spans="20:20" ht="18.75" customHeight="1" x14ac:dyDescent="0.35">
      <c r="T34491" s="246">
        <f t="shared" si="576"/>
        <v>0</v>
      </c>
    </row>
    <row r="34492" spans="20:20" ht="18.75" customHeight="1" x14ac:dyDescent="0.35">
      <c r="T34492" s="246">
        <f t="shared" ref="T34492:T34555" si="577">R34492*0.01</f>
        <v>0</v>
      </c>
    </row>
    <row r="34493" spans="20:20" ht="18.75" customHeight="1" x14ac:dyDescent="0.35">
      <c r="T34493" s="246">
        <f t="shared" si="577"/>
        <v>0</v>
      </c>
    </row>
    <row r="34494" spans="20:20" ht="18.75" customHeight="1" x14ac:dyDescent="0.35">
      <c r="T34494" s="246">
        <f t="shared" si="577"/>
        <v>0</v>
      </c>
    </row>
    <row r="34495" spans="20:20" ht="18.75" customHeight="1" x14ac:dyDescent="0.35">
      <c r="T34495" s="246">
        <f t="shared" si="577"/>
        <v>0</v>
      </c>
    </row>
    <row r="34496" spans="20:20" ht="18.75" customHeight="1" x14ac:dyDescent="0.35">
      <c r="T34496" s="246">
        <f t="shared" si="577"/>
        <v>0</v>
      </c>
    </row>
    <row r="34497" spans="20:20" ht="18.75" customHeight="1" x14ac:dyDescent="0.35">
      <c r="T34497" s="246">
        <f t="shared" si="577"/>
        <v>0</v>
      </c>
    </row>
    <row r="34498" spans="20:20" ht="18.75" customHeight="1" x14ac:dyDescent="0.35">
      <c r="T34498" s="246">
        <f t="shared" si="577"/>
        <v>0</v>
      </c>
    </row>
    <row r="34499" spans="20:20" ht="18.75" customHeight="1" x14ac:dyDescent="0.35">
      <c r="T34499" s="246">
        <f t="shared" si="577"/>
        <v>0</v>
      </c>
    </row>
    <row r="34500" spans="20:20" ht="18.75" customHeight="1" x14ac:dyDescent="0.35">
      <c r="T34500" s="246">
        <f t="shared" si="577"/>
        <v>0</v>
      </c>
    </row>
    <row r="34501" spans="20:20" ht="18.75" customHeight="1" x14ac:dyDescent="0.35">
      <c r="T34501" s="246">
        <f t="shared" si="577"/>
        <v>0</v>
      </c>
    </row>
    <row r="34502" spans="20:20" ht="18.75" customHeight="1" x14ac:dyDescent="0.35">
      <c r="T34502" s="246">
        <f t="shared" si="577"/>
        <v>0</v>
      </c>
    </row>
    <row r="34503" spans="20:20" ht="18.75" customHeight="1" x14ac:dyDescent="0.35">
      <c r="T34503" s="246">
        <f t="shared" si="577"/>
        <v>0</v>
      </c>
    </row>
    <row r="34504" spans="20:20" ht="18.75" customHeight="1" x14ac:dyDescent="0.35">
      <c r="T34504" s="246">
        <f t="shared" si="577"/>
        <v>0</v>
      </c>
    </row>
    <row r="34505" spans="20:20" ht="18.75" customHeight="1" x14ac:dyDescent="0.35">
      <c r="T34505" s="246">
        <f t="shared" si="577"/>
        <v>0</v>
      </c>
    </row>
    <row r="34506" spans="20:20" ht="18.75" customHeight="1" x14ac:dyDescent="0.35">
      <c r="T34506" s="246">
        <f t="shared" si="577"/>
        <v>0</v>
      </c>
    </row>
    <row r="34507" spans="20:20" ht="18.75" customHeight="1" x14ac:dyDescent="0.35">
      <c r="T34507" s="246">
        <f t="shared" si="577"/>
        <v>0</v>
      </c>
    </row>
    <row r="34508" spans="20:20" ht="18.75" customHeight="1" x14ac:dyDescent="0.35">
      <c r="T34508" s="246">
        <f t="shared" si="577"/>
        <v>0</v>
      </c>
    </row>
    <row r="34509" spans="20:20" ht="18.75" customHeight="1" x14ac:dyDescent="0.35">
      <c r="T34509" s="246">
        <f t="shared" si="577"/>
        <v>0</v>
      </c>
    </row>
    <row r="34510" spans="20:20" ht="18.75" customHeight="1" x14ac:dyDescent="0.35">
      <c r="T34510" s="246">
        <f t="shared" si="577"/>
        <v>0</v>
      </c>
    </row>
    <row r="34511" spans="20:20" ht="18.75" customHeight="1" x14ac:dyDescent="0.35">
      <c r="T34511" s="246">
        <f t="shared" si="577"/>
        <v>0</v>
      </c>
    </row>
    <row r="34512" spans="20:20" ht="18.75" customHeight="1" x14ac:dyDescent="0.35">
      <c r="T34512" s="246">
        <f t="shared" si="577"/>
        <v>0</v>
      </c>
    </row>
    <row r="34513" spans="20:20" ht="18.75" customHeight="1" x14ac:dyDescent="0.35">
      <c r="T34513" s="246">
        <f t="shared" si="577"/>
        <v>0</v>
      </c>
    </row>
    <row r="34514" spans="20:20" ht="18.75" customHeight="1" x14ac:dyDescent="0.35">
      <c r="T34514" s="246">
        <f t="shared" si="577"/>
        <v>0</v>
      </c>
    </row>
    <row r="34515" spans="20:20" ht="18.75" customHeight="1" x14ac:dyDescent="0.35">
      <c r="T34515" s="246">
        <f t="shared" si="577"/>
        <v>0</v>
      </c>
    </row>
    <row r="34516" spans="20:20" ht="18.75" customHeight="1" x14ac:dyDescent="0.35">
      <c r="T34516" s="246">
        <f t="shared" si="577"/>
        <v>0</v>
      </c>
    </row>
    <row r="34517" spans="20:20" ht="18.75" customHeight="1" x14ac:dyDescent="0.35">
      <c r="T34517" s="246">
        <f t="shared" si="577"/>
        <v>0</v>
      </c>
    </row>
    <row r="34518" spans="20:20" ht="18.75" customHeight="1" x14ac:dyDescent="0.35">
      <c r="T34518" s="246">
        <f t="shared" si="577"/>
        <v>0</v>
      </c>
    </row>
    <row r="34519" spans="20:20" ht="18.75" customHeight="1" x14ac:dyDescent="0.35">
      <c r="T34519" s="246">
        <f t="shared" si="577"/>
        <v>0</v>
      </c>
    </row>
    <row r="34520" spans="20:20" ht="18.75" customHeight="1" x14ac:dyDescent="0.35">
      <c r="T34520" s="246">
        <f t="shared" si="577"/>
        <v>0</v>
      </c>
    </row>
    <row r="34521" spans="20:20" ht="18.75" customHeight="1" x14ac:dyDescent="0.35">
      <c r="T34521" s="246">
        <f t="shared" si="577"/>
        <v>0</v>
      </c>
    </row>
    <row r="34522" spans="20:20" ht="18.75" customHeight="1" x14ac:dyDescent="0.35">
      <c r="T34522" s="246">
        <f t="shared" si="577"/>
        <v>0</v>
      </c>
    </row>
    <row r="34523" spans="20:20" ht="18.75" customHeight="1" x14ac:dyDescent="0.35">
      <c r="T34523" s="246">
        <f t="shared" si="577"/>
        <v>0</v>
      </c>
    </row>
    <row r="34524" spans="20:20" ht="18.75" customHeight="1" x14ac:dyDescent="0.35">
      <c r="T34524" s="246">
        <f t="shared" si="577"/>
        <v>0</v>
      </c>
    </row>
    <row r="34525" spans="20:20" ht="18.75" customHeight="1" x14ac:dyDescent="0.35">
      <c r="T34525" s="246">
        <f t="shared" si="577"/>
        <v>0</v>
      </c>
    </row>
    <row r="34526" spans="20:20" ht="18.75" customHeight="1" x14ac:dyDescent="0.35">
      <c r="T34526" s="246">
        <f t="shared" si="577"/>
        <v>0</v>
      </c>
    </row>
    <row r="34527" spans="20:20" ht="18.75" customHeight="1" x14ac:dyDescent="0.35">
      <c r="T34527" s="246">
        <f t="shared" si="577"/>
        <v>0</v>
      </c>
    </row>
    <row r="34528" spans="20:20" ht="18.75" customHeight="1" x14ac:dyDescent="0.35">
      <c r="T34528" s="246">
        <f t="shared" si="577"/>
        <v>0</v>
      </c>
    </row>
    <row r="34529" spans="20:20" ht="18.75" customHeight="1" x14ac:dyDescent="0.35">
      <c r="T34529" s="246">
        <f t="shared" si="577"/>
        <v>0</v>
      </c>
    </row>
    <row r="34530" spans="20:20" ht="18.75" customHeight="1" x14ac:dyDescent="0.35">
      <c r="T34530" s="246">
        <f t="shared" si="577"/>
        <v>0</v>
      </c>
    </row>
    <row r="34531" spans="20:20" ht="18.75" customHeight="1" x14ac:dyDescent="0.35">
      <c r="T34531" s="246">
        <f t="shared" si="577"/>
        <v>0</v>
      </c>
    </row>
    <row r="34532" spans="20:20" ht="18.75" customHeight="1" x14ac:dyDescent="0.35">
      <c r="T34532" s="246">
        <f t="shared" si="577"/>
        <v>0</v>
      </c>
    </row>
    <row r="34533" spans="20:20" ht="18.75" customHeight="1" x14ac:dyDescent="0.35">
      <c r="T34533" s="246">
        <f t="shared" si="577"/>
        <v>0</v>
      </c>
    </row>
    <row r="34534" spans="20:20" ht="18.75" customHeight="1" x14ac:dyDescent="0.35">
      <c r="T34534" s="246">
        <f t="shared" si="577"/>
        <v>0</v>
      </c>
    </row>
    <row r="34535" spans="20:20" ht="18.75" customHeight="1" x14ac:dyDescent="0.35">
      <c r="T34535" s="246">
        <f t="shared" si="577"/>
        <v>0</v>
      </c>
    </row>
    <row r="34536" spans="20:20" ht="18.75" customHeight="1" x14ac:dyDescent="0.35">
      <c r="T34536" s="246">
        <f t="shared" si="577"/>
        <v>0</v>
      </c>
    </row>
    <row r="34537" spans="20:20" ht="18.75" customHeight="1" x14ac:dyDescent="0.35">
      <c r="T34537" s="246">
        <f t="shared" si="577"/>
        <v>0</v>
      </c>
    </row>
    <row r="34538" spans="20:20" ht="18.75" customHeight="1" x14ac:dyDescent="0.35">
      <c r="T34538" s="246">
        <f t="shared" si="577"/>
        <v>0</v>
      </c>
    </row>
    <row r="34539" spans="20:20" ht="18.75" customHeight="1" x14ac:dyDescent="0.35">
      <c r="T34539" s="246">
        <f t="shared" si="577"/>
        <v>0</v>
      </c>
    </row>
    <row r="34540" spans="20:20" ht="18.75" customHeight="1" x14ac:dyDescent="0.35">
      <c r="T34540" s="246">
        <f t="shared" si="577"/>
        <v>0</v>
      </c>
    </row>
    <row r="34541" spans="20:20" ht="18.75" customHeight="1" x14ac:dyDescent="0.35">
      <c r="T34541" s="246">
        <f t="shared" si="577"/>
        <v>0</v>
      </c>
    </row>
    <row r="34542" spans="20:20" ht="18.75" customHeight="1" x14ac:dyDescent="0.35">
      <c r="T34542" s="246">
        <f t="shared" si="577"/>
        <v>0</v>
      </c>
    </row>
    <row r="34543" spans="20:20" ht="18.75" customHeight="1" x14ac:dyDescent="0.35">
      <c r="T34543" s="246">
        <f t="shared" si="577"/>
        <v>0</v>
      </c>
    </row>
    <row r="34544" spans="20:20" ht="18.75" customHeight="1" x14ac:dyDescent="0.35">
      <c r="T34544" s="246">
        <f t="shared" si="577"/>
        <v>0</v>
      </c>
    </row>
    <row r="34545" spans="20:20" ht="18.75" customHeight="1" x14ac:dyDescent="0.35">
      <c r="T34545" s="246">
        <f t="shared" si="577"/>
        <v>0</v>
      </c>
    </row>
    <row r="34546" spans="20:20" ht="18.75" customHeight="1" x14ac:dyDescent="0.35">
      <c r="T34546" s="246">
        <f t="shared" si="577"/>
        <v>0</v>
      </c>
    </row>
    <row r="34547" spans="20:20" ht="18.75" customHeight="1" x14ac:dyDescent="0.35">
      <c r="T34547" s="246">
        <f t="shared" si="577"/>
        <v>0</v>
      </c>
    </row>
    <row r="34548" spans="20:20" ht="18.75" customHeight="1" x14ac:dyDescent="0.35">
      <c r="T34548" s="246">
        <f t="shared" si="577"/>
        <v>0</v>
      </c>
    </row>
    <row r="34549" spans="20:20" ht="18.75" customHeight="1" x14ac:dyDescent="0.35">
      <c r="T34549" s="246">
        <f t="shared" si="577"/>
        <v>0</v>
      </c>
    </row>
    <row r="34550" spans="20:20" ht="18.75" customHeight="1" x14ac:dyDescent="0.35">
      <c r="T34550" s="246">
        <f t="shared" si="577"/>
        <v>0</v>
      </c>
    </row>
    <row r="34551" spans="20:20" ht="18.75" customHeight="1" x14ac:dyDescent="0.35">
      <c r="T34551" s="246">
        <f t="shared" si="577"/>
        <v>0</v>
      </c>
    </row>
    <row r="34552" spans="20:20" ht="18.75" customHeight="1" x14ac:dyDescent="0.35">
      <c r="T34552" s="246">
        <f t="shared" si="577"/>
        <v>0</v>
      </c>
    </row>
    <row r="34553" spans="20:20" ht="18.75" customHeight="1" x14ac:dyDescent="0.35">
      <c r="T34553" s="246">
        <f t="shared" si="577"/>
        <v>0</v>
      </c>
    </row>
    <row r="34554" spans="20:20" ht="18.75" customHeight="1" x14ac:dyDescent="0.35">
      <c r="T34554" s="246">
        <f t="shared" si="577"/>
        <v>0</v>
      </c>
    </row>
    <row r="34555" spans="20:20" ht="18.75" customHeight="1" x14ac:dyDescent="0.35">
      <c r="T34555" s="246">
        <f t="shared" si="577"/>
        <v>0</v>
      </c>
    </row>
    <row r="34556" spans="20:20" ht="18.75" customHeight="1" x14ac:dyDescent="0.35">
      <c r="T34556" s="246">
        <f t="shared" ref="T34556:T34619" si="578">R34556*0.01</f>
        <v>0</v>
      </c>
    </row>
    <row r="34557" spans="20:20" ht="18.75" customHeight="1" x14ac:dyDescent="0.35">
      <c r="T34557" s="246">
        <f t="shared" si="578"/>
        <v>0</v>
      </c>
    </row>
    <row r="34558" spans="20:20" ht="18.75" customHeight="1" x14ac:dyDescent="0.35">
      <c r="T34558" s="246">
        <f t="shared" si="578"/>
        <v>0</v>
      </c>
    </row>
    <row r="34559" spans="20:20" ht="18.75" customHeight="1" x14ac:dyDescent="0.35">
      <c r="T34559" s="246">
        <f t="shared" si="578"/>
        <v>0</v>
      </c>
    </row>
    <row r="34560" spans="20:20" ht="18.75" customHeight="1" x14ac:dyDescent="0.35">
      <c r="T34560" s="246">
        <f t="shared" si="578"/>
        <v>0</v>
      </c>
    </row>
    <row r="34561" spans="20:20" ht="18.75" customHeight="1" x14ac:dyDescent="0.35">
      <c r="T34561" s="246">
        <f t="shared" si="578"/>
        <v>0</v>
      </c>
    </row>
    <row r="34562" spans="20:20" ht="18.75" customHeight="1" x14ac:dyDescent="0.35">
      <c r="T34562" s="246">
        <f t="shared" si="578"/>
        <v>0</v>
      </c>
    </row>
    <row r="34563" spans="20:20" ht="18.75" customHeight="1" x14ac:dyDescent="0.35">
      <c r="T34563" s="246">
        <f t="shared" si="578"/>
        <v>0</v>
      </c>
    </row>
    <row r="34564" spans="20:20" ht="18.75" customHeight="1" x14ac:dyDescent="0.35">
      <c r="T34564" s="246">
        <f t="shared" si="578"/>
        <v>0</v>
      </c>
    </row>
    <row r="34565" spans="20:20" ht="18.75" customHeight="1" x14ac:dyDescent="0.35">
      <c r="T34565" s="246">
        <f t="shared" si="578"/>
        <v>0</v>
      </c>
    </row>
    <row r="34566" spans="20:20" ht="18.75" customHeight="1" x14ac:dyDescent="0.35">
      <c r="T34566" s="246">
        <f t="shared" si="578"/>
        <v>0</v>
      </c>
    </row>
    <row r="34567" spans="20:20" ht="18.75" customHeight="1" x14ac:dyDescent="0.35">
      <c r="T34567" s="246">
        <f t="shared" si="578"/>
        <v>0</v>
      </c>
    </row>
    <row r="34568" spans="20:20" ht="18.75" customHeight="1" x14ac:dyDescent="0.35">
      <c r="T34568" s="246">
        <f t="shared" si="578"/>
        <v>0</v>
      </c>
    </row>
    <row r="34569" spans="20:20" ht="18.75" customHeight="1" x14ac:dyDescent="0.35">
      <c r="T34569" s="246">
        <f t="shared" si="578"/>
        <v>0</v>
      </c>
    </row>
    <row r="34570" spans="20:20" ht="18.75" customHeight="1" x14ac:dyDescent="0.35">
      <c r="T34570" s="246">
        <f t="shared" si="578"/>
        <v>0</v>
      </c>
    </row>
    <row r="34571" spans="20:20" ht="18.75" customHeight="1" x14ac:dyDescent="0.35">
      <c r="T34571" s="246">
        <f t="shared" si="578"/>
        <v>0</v>
      </c>
    </row>
    <row r="34572" spans="20:20" ht="18.75" customHeight="1" x14ac:dyDescent="0.35">
      <c r="T34572" s="246">
        <f t="shared" si="578"/>
        <v>0</v>
      </c>
    </row>
    <row r="34573" spans="20:20" ht="18.75" customHeight="1" x14ac:dyDescent="0.35">
      <c r="T34573" s="246">
        <f t="shared" si="578"/>
        <v>0</v>
      </c>
    </row>
    <row r="34574" spans="20:20" ht="18.75" customHeight="1" x14ac:dyDescent="0.35">
      <c r="T34574" s="246">
        <f t="shared" si="578"/>
        <v>0</v>
      </c>
    </row>
    <row r="34575" spans="20:20" ht="18.75" customHeight="1" x14ac:dyDescent="0.35">
      <c r="T34575" s="246">
        <f t="shared" si="578"/>
        <v>0</v>
      </c>
    </row>
    <row r="34576" spans="20:20" ht="18.75" customHeight="1" x14ac:dyDescent="0.35">
      <c r="T34576" s="246">
        <f t="shared" si="578"/>
        <v>0</v>
      </c>
    </row>
    <row r="34577" spans="20:20" ht="18.75" customHeight="1" x14ac:dyDescent="0.35">
      <c r="T34577" s="246">
        <f t="shared" si="578"/>
        <v>0</v>
      </c>
    </row>
    <row r="34578" spans="20:20" ht="18.75" customHeight="1" x14ac:dyDescent="0.35">
      <c r="T34578" s="246">
        <f t="shared" si="578"/>
        <v>0</v>
      </c>
    </row>
    <row r="34579" spans="20:20" ht="18.75" customHeight="1" x14ac:dyDescent="0.35">
      <c r="T34579" s="246">
        <f t="shared" si="578"/>
        <v>0</v>
      </c>
    </row>
    <row r="34580" spans="20:20" ht="18.75" customHeight="1" x14ac:dyDescent="0.35">
      <c r="T34580" s="246">
        <f t="shared" si="578"/>
        <v>0</v>
      </c>
    </row>
    <row r="34581" spans="20:20" ht="18.75" customHeight="1" x14ac:dyDescent="0.35">
      <c r="T34581" s="246">
        <f t="shared" si="578"/>
        <v>0</v>
      </c>
    </row>
    <row r="34582" spans="20:20" ht="18.75" customHeight="1" x14ac:dyDescent="0.35">
      <c r="T34582" s="246">
        <f t="shared" si="578"/>
        <v>0</v>
      </c>
    </row>
    <row r="34583" spans="20:20" ht="18.75" customHeight="1" x14ac:dyDescent="0.35">
      <c r="T34583" s="246">
        <f t="shared" si="578"/>
        <v>0</v>
      </c>
    </row>
    <row r="34584" spans="20:20" ht="18.75" customHeight="1" x14ac:dyDescent="0.35">
      <c r="T34584" s="246">
        <f t="shared" si="578"/>
        <v>0</v>
      </c>
    </row>
    <row r="34585" spans="20:20" ht="18.75" customHeight="1" x14ac:dyDescent="0.35">
      <c r="T34585" s="246">
        <f t="shared" si="578"/>
        <v>0</v>
      </c>
    </row>
    <row r="34586" spans="20:20" ht="18.75" customHeight="1" x14ac:dyDescent="0.35">
      <c r="T34586" s="246">
        <f t="shared" si="578"/>
        <v>0</v>
      </c>
    </row>
    <row r="34587" spans="20:20" ht="18.75" customHeight="1" x14ac:dyDescent="0.35">
      <c r="T34587" s="246">
        <f t="shared" si="578"/>
        <v>0</v>
      </c>
    </row>
    <row r="34588" spans="20:20" ht="18.75" customHeight="1" x14ac:dyDescent="0.35">
      <c r="T34588" s="246">
        <f t="shared" si="578"/>
        <v>0</v>
      </c>
    </row>
    <row r="34589" spans="20:20" ht="18.75" customHeight="1" x14ac:dyDescent="0.35">
      <c r="T34589" s="246">
        <f t="shared" si="578"/>
        <v>0</v>
      </c>
    </row>
    <row r="34590" spans="20:20" ht="18.75" customHeight="1" x14ac:dyDescent="0.35">
      <c r="T34590" s="246">
        <f t="shared" si="578"/>
        <v>0</v>
      </c>
    </row>
    <row r="34591" spans="20:20" ht="18.75" customHeight="1" x14ac:dyDescent="0.35">
      <c r="T34591" s="246">
        <f t="shared" si="578"/>
        <v>0</v>
      </c>
    </row>
    <row r="34592" spans="20:20" ht="18.75" customHeight="1" x14ac:dyDescent="0.35">
      <c r="T34592" s="246">
        <f t="shared" si="578"/>
        <v>0</v>
      </c>
    </row>
    <row r="34593" spans="20:20" ht="18.75" customHeight="1" x14ac:dyDescent="0.35">
      <c r="T34593" s="246">
        <f t="shared" si="578"/>
        <v>0</v>
      </c>
    </row>
    <row r="34594" spans="20:20" ht="18.75" customHeight="1" x14ac:dyDescent="0.35">
      <c r="T34594" s="246">
        <f t="shared" si="578"/>
        <v>0</v>
      </c>
    </row>
    <row r="34595" spans="20:20" ht="18.75" customHeight="1" x14ac:dyDescent="0.35">
      <c r="T34595" s="246">
        <f t="shared" si="578"/>
        <v>0</v>
      </c>
    </row>
    <row r="34596" spans="20:20" ht="18.75" customHeight="1" x14ac:dyDescent="0.35">
      <c r="T34596" s="246">
        <f t="shared" si="578"/>
        <v>0</v>
      </c>
    </row>
    <row r="34597" spans="20:20" ht="18.75" customHeight="1" x14ac:dyDescent="0.35">
      <c r="T34597" s="246">
        <f t="shared" si="578"/>
        <v>0</v>
      </c>
    </row>
    <row r="34598" spans="20:20" ht="18.75" customHeight="1" x14ac:dyDescent="0.35">
      <c r="T34598" s="246">
        <f t="shared" si="578"/>
        <v>0</v>
      </c>
    </row>
    <row r="34599" spans="20:20" ht="18.75" customHeight="1" x14ac:dyDescent="0.35">
      <c r="T34599" s="246">
        <f t="shared" si="578"/>
        <v>0</v>
      </c>
    </row>
    <row r="34600" spans="20:20" ht="18.75" customHeight="1" x14ac:dyDescent="0.35">
      <c r="T34600" s="246">
        <f t="shared" si="578"/>
        <v>0</v>
      </c>
    </row>
    <row r="34601" spans="20:20" ht="18.75" customHeight="1" x14ac:dyDescent="0.35">
      <c r="T34601" s="246">
        <f t="shared" si="578"/>
        <v>0</v>
      </c>
    </row>
    <row r="34602" spans="20:20" ht="18.75" customHeight="1" x14ac:dyDescent="0.35">
      <c r="T34602" s="246">
        <f t="shared" si="578"/>
        <v>0</v>
      </c>
    </row>
    <row r="34603" spans="20:20" ht="18.75" customHeight="1" x14ac:dyDescent="0.35">
      <c r="T34603" s="246">
        <f t="shared" si="578"/>
        <v>0</v>
      </c>
    </row>
    <row r="34604" spans="20:20" ht="18.75" customHeight="1" x14ac:dyDescent="0.35">
      <c r="T34604" s="246">
        <f t="shared" si="578"/>
        <v>0</v>
      </c>
    </row>
    <row r="34605" spans="20:20" ht="18.75" customHeight="1" x14ac:dyDescent="0.35">
      <c r="T34605" s="246">
        <f t="shared" si="578"/>
        <v>0</v>
      </c>
    </row>
    <row r="34606" spans="20:20" ht="18.75" customHeight="1" x14ac:dyDescent="0.35">
      <c r="T34606" s="246">
        <f t="shared" si="578"/>
        <v>0</v>
      </c>
    </row>
    <row r="34607" spans="20:20" ht="18.75" customHeight="1" x14ac:dyDescent="0.35">
      <c r="T34607" s="246">
        <f t="shared" si="578"/>
        <v>0</v>
      </c>
    </row>
    <row r="34608" spans="20:20" ht="18.75" customHeight="1" x14ac:dyDescent="0.35">
      <c r="T34608" s="246">
        <f t="shared" si="578"/>
        <v>0</v>
      </c>
    </row>
    <row r="34609" spans="20:20" ht="18.75" customHeight="1" x14ac:dyDescent="0.35">
      <c r="T34609" s="246">
        <f t="shared" si="578"/>
        <v>0</v>
      </c>
    </row>
    <row r="34610" spans="20:20" ht="18.75" customHeight="1" x14ac:dyDescent="0.35">
      <c r="T34610" s="246">
        <f t="shared" si="578"/>
        <v>0</v>
      </c>
    </row>
    <row r="34611" spans="20:20" ht="18.75" customHeight="1" x14ac:dyDescent="0.35">
      <c r="T34611" s="246">
        <f t="shared" si="578"/>
        <v>0</v>
      </c>
    </row>
    <row r="34612" spans="20:20" ht="18.75" customHeight="1" x14ac:dyDescent="0.35">
      <c r="T34612" s="246">
        <f t="shared" si="578"/>
        <v>0</v>
      </c>
    </row>
    <row r="34613" spans="20:20" ht="18.75" customHeight="1" x14ac:dyDescent="0.35">
      <c r="T34613" s="246">
        <f t="shared" si="578"/>
        <v>0</v>
      </c>
    </row>
    <row r="34614" spans="20:20" ht="18.75" customHeight="1" x14ac:dyDescent="0.35">
      <c r="T34614" s="246">
        <f t="shared" si="578"/>
        <v>0</v>
      </c>
    </row>
    <row r="34615" spans="20:20" ht="18.75" customHeight="1" x14ac:dyDescent="0.35">
      <c r="T34615" s="246">
        <f t="shared" si="578"/>
        <v>0</v>
      </c>
    </row>
    <row r="34616" spans="20:20" ht="18.75" customHeight="1" x14ac:dyDescent="0.35">
      <c r="T34616" s="246">
        <f t="shared" si="578"/>
        <v>0</v>
      </c>
    </row>
    <row r="34617" spans="20:20" ht="18.75" customHeight="1" x14ac:dyDescent="0.35">
      <c r="T34617" s="246">
        <f t="shared" si="578"/>
        <v>0</v>
      </c>
    </row>
    <row r="34618" spans="20:20" ht="18.75" customHeight="1" x14ac:dyDescent="0.35">
      <c r="T34618" s="246">
        <f t="shared" si="578"/>
        <v>0</v>
      </c>
    </row>
    <row r="34619" spans="20:20" ht="18.75" customHeight="1" x14ac:dyDescent="0.35">
      <c r="T34619" s="246">
        <f t="shared" si="578"/>
        <v>0</v>
      </c>
    </row>
    <row r="34620" spans="20:20" ht="18.75" customHeight="1" x14ac:dyDescent="0.35">
      <c r="T34620" s="246">
        <f t="shared" ref="T34620:T34683" si="579">R34620*0.01</f>
        <v>0</v>
      </c>
    </row>
    <row r="34621" spans="20:20" ht="18.75" customHeight="1" x14ac:dyDescent="0.35">
      <c r="T34621" s="246">
        <f t="shared" si="579"/>
        <v>0</v>
      </c>
    </row>
    <row r="34622" spans="20:20" ht="18.75" customHeight="1" x14ac:dyDescent="0.35">
      <c r="T34622" s="246">
        <f t="shared" si="579"/>
        <v>0</v>
      </c>
    </row>
    <row r="34623" spans="20:20" ht="18.75" customHeight="1" x14ac:dyDescent="0.35">
      <c r="T34623" s="246">
        <f t="shared" si="579"/>
        <v>0</v>
      </c>
    </row>
    <row r="34624" spans="20:20" ht="18.75" customHeight="1" x14ac:dyDescent="0.35">
      <c r="T34624" s="246">
        <f t="shared" si="579"/>
        <v>0</v>
      </c>
    </row>
    <row r="34625" spans="20:20" ht="18.75" customHeight="1" x14ac:dyDescent="0.35">
      <c r="T34625" s="246">
        <f t="shared" si="579"/>
        <v>0</v>
      </c>
    </row>
    <row r="34626" spans="20:20" ht="18.75" customHeight="1" x14ac:dyDescent="0.35">
      <c r="T34626" s="246">
        <f t="shared" si="579"/>
        <v>0</v>
      </c>
    </row>
    <row r="34627" spans="20:20" ht="18.75" customHeight="1" x14ac:dyDescent="0.35">
      <c r="T34627" s="246">
        <f t="shared" si="579"/>
        <v>0</v>
      </c>
    </row>
    <row r="34628" spans="20:20" ht="18.75" customHeight="1" x14ac:dyDescent="0.35">
      <c r="T34628" s="246">
        <f t="shared" si="579"/>
        <v>0</v>
      </c>
    </row>
    <row r="34629" spans="20:20" ht="18.75" customHeight="1" x14ac:dyDescent="0.35">
      <c r="T34629" s="246">
        <f t="shared" si="579"/>
        <v>0</v>
      </c>
    </row>
    <row r="34630" spans="20:20" ht="18.75" customHeight="1" x14ac:dyDescent="0.35">
      <c r="T34630" s="246">
        <f t="shared" si="579"/>
        <v>0</v>
      </c>
    </row>
    <row r="34631" spans="20:20" ht="18.75" customHeight="1" x14ac:dyDescent="0.35">
      <c r="T34631" s="246">
        <f t="shared" si="579"/>
        <v>0</v>
      </c>
    </row>
    <row r="34632" spans="20:20" ht="18.75" customHeight="1" x14ac:dyDescent="0.35">
      <c r="T34632" s="246">
        <f t="shared" si="579"/>
        <v>0</v>
      </c>
    </row>
    <row r="34633" spans="20:20" ht="18.75" customHeight="1" x14ac:dyDescent="0.35">
      <c r="T34633" s="246">
        <f t="shared" si="579"/>
        <v>0</v>
      </c>
    </row>
    <row r="34634" spans="20:20" ht="18.75" customHeight="1" x14ac:dyDescent="0.35">
      <c r="T34634" s="246">
        <f t="shared" si="579"/>
        <v>0</v>
      </c>
    </row>
    <row r="34635" spans="20:20" ht="18.75" customHeight="1" x14ac:dyDescent="0.35">
      <c r="T34635" s="246">
        <f t="shared" si="579"/>
        <v>0</v>
      </c>
    </row>
    <row r="34636" spans="20:20" ht="18.75" customHeight="1" x14ac:dyDescent="0.35">
      <c r="T34636" s="246">
        <f t="shared" si="579"/>
        <v>0</v>
      </c>
    </row>
    <row r="34637" spans="20:20" ht="18.75" customHeight="1" x14ac:dyDescent="0.35">
      <c r="T34637" s="246">
        <f t="shared" si="579"/>
        <v>0</v>
      </c>
    </row>
    <row r="34638" spans="20:20" ht="18.75" customHeight="1" x14ac:dyDescent="0.35">
      <c r="T34638" s="246">
        <f t="shared" si="579"/>
        <v>0</v>
      </c>
    </row>
    <row r="34639" spans="20:20" ht="18.75" customHeight="1" x14ac:dyDescent="0.35">
      <c r="T34639" s="246">
        <f t="shared" si="579"/>
        <v>0</v>
      </c>
    </row>
    <row r="34640" spans="20:20" ht="18.75" customHeight="1" x14ac:dyDescent="0.35">
      <c r="T34640" s="246">
        <f t="shared" si="579"/>
        <v>0</v>
      </c>
    </row>
    <row r="34641" spans="20:20" ht="18.75" customHeight="1" x14ac:dyDescent="0.35">
      <c r="T34641" s="246">
        <f t="shared" si="579"/>
        <v>0</v>
      </c>
    </row>
    <row r="34642" spans="20:20" ht="18.75" customHeight="1" x14ac:dyDescent="0.35">
      <c r="T34642" s="246">
        <f t="shared" si="579"/>
        <v>0</v>
      </c>
    </row>
    <row r="34643" spans="20:20" ht="18.75" customHeight="1" x14ac:dyDescent="0.35">
      <c r="T34643" s="246">
        <f t="shared" si="579"/>
        <v>0</v>
      </c>
    </row>
    <row r="34644" spans="20:20" ht="18.75" customHeight="1" x14ac:dyDescent="0.35">
      <c r="T34644" s="246">
        <f t="shared" si="579"/>
        <v>0</v>
      </c>
    </row>
    <row r="34645" spans="20:20" ht="18.75" customHeight="1" x14ac:dyDescent="0.35">
      <c r="T34645" s="246">
        <f t="shared" si="579"/>
        <v>0</v>
      </c>
    </row>
    <row r="34646" spans="20:20" ht="18.75" customHeight="1" x14ac:dyDescent="0.35">
      <c r="T34646" s="246">
        <f t="shared" si="579"/>
        <v>0</v>
      </c>
    </row>
    <row r="34647" spans="20:20" ht="18.75" customHeight="1" x14ac:dyDescent="0.35">
      <c r="T34647" s="246">
        <f t="shared" si="579"/>
        <v>0</v>
      </c>
    </row>
    <row r="34648" spans="20:20" ht="18.75" customHeight="1" x14ac:dyDescent="0.35">
      <c r="T34648" s="246">
        <f t="shared" si="579"/>
        <v>0</v>
      </c>
    </row>
    <row r="34649" spans="20:20" ht="18.75" customHeight="1" x14ac:dyDescent="0.35">
      <c r="T34649" s="246">
        <f t="shared" si="579"/>
        <v>0</v>
      </c>
    </row>
    <row r="34650" spans="20:20" ht="18.75" customHeight="1" x14ac:dyDescent="0.35">
      <c r="T34650" s="246">
        <f t="shared" si="579"/>
        <v>0</v>
      </c>
    </row>
    <row r="34651" spans="20:20" ht="18.75" customHeight="1" x14ac:dyDescent="0.35">
      <c r="T34651" s="246">
        <f t="shared" si="579"/>
        <v>0</v>
      </c>
    </row>
    <row r="34652" spans="20:20" ht="18.75" customHeight="1" x14ac:dyDescent="0.35">
      <c r="T34652" s="246">
        <f t="shared" si="579"/>
        <v>0</v>
      </c>
    </row>
    <row r="34653" spans="20:20" ht="18.75" customHeight="1" x14ac:dyDescent="0.35">
      <c r="T34653" s="246">
        <f t="shared" si="579"/>
        <v>0</v>
      </c>
    </row>
    <row r="34654" spans="20:20" ht="18.75" customHeight="1" x14ac:dyDescent="0.35">
      <c r="T34654" s="246">
        <f t="shared" si="579"/>
        <v>0</v>
      </c>
    </row>
    <row r="34655" spans="20:20" ht="18.75" customHeight="1" x14ac:dyDescent="0.35">
      <c r="T34655" s="246">
        <f t="shared" si="579"/>
        <v>0</v>
      </c>
    </row>
    <row r="34656" spans="20:20" ht="18.75" customHeight="1" x14ac:dyDescent="0.35">
      <c r="T34656" s="246">
        <f t="shared" si="579"/>
        <v>0</v>
      </c>
    </row>
    <row r="34657" spans="20:20" ht="18.75" customHeight="1" x14ac:dyDescent="0.35">
      <c r="T34657" s="246">
        <f t="shared" si="579"/>
        <v>0</v>
      </c>
    </row>
    <row r="34658" spans="20:20" ht="18.75" customHeight="1" x14ac:dyDescent="0.35">
      <c r="T34658" s="246">
        <f t="shared" si="579"/>
        <v>0</v>
      </c>
    </row>
    <row r="34659" spans="20:20" ht="18.75" customHeight="1" x14ac:dyDescent="0.35">
      <c r="T34659" s="246">
        <f t="shared" si="579"/>
        <v>0</v>
      </c>
    </row>
    <row r="34660" spans="20:20" ht="18.75" customHeight="1" x14ac:dyDescent="0.35">
      <c r="T34660" s="246">
        <f t="shared" si="579"/>
        <v>0</v>
      </c>
    </row>
    <row r="34661" spans="20:20" ht="18.75" customHeight="1" x14ac:dyDescent="0.35">
      <c r="T34661" s="246">
        <f t="shared" si="579"/>
        <v>0</v>
      </c>
    </row>
    <row r="34662" spans="20:20" ht="18.75" customHeight="1" x14ac:dyDescent="0.35">
      <c r="T34662" s="246">
        <f t="shared" si="579"/>
        <v>0</v>
      </c>
    </row>
    <row r="34663" spans="20:20" ht="18.75" customHeight="1" x14ac:dyDescent="0.35">
      <c r="T34663" s="246">
        <f t="shared" si="579"/>
        <v>0</v>
      </c>
    </row>
    <row r="34664" spans="20:20" ht="18.75" customHeight="1" x14ac:dyDescent="0.35">
      <c r="T34664" s="246">
        <f t="shared" si="579"/>
        <v>0</v>
      </c>
    </row>
    <row r="34665" spans="20:20" ht="18.75" customHeight="1" x14ac:dyDescent="0.35">
      <c r="T34665" s="246">
        <f t="shared" si="579"/>
        <v>0</v>
      </c>
    </row>
    <row r="34666" spans="20:20" ht="18.75" customHeight="1" x14ac:dyDescent="0.35">
      <c r="T34666" s="246">
        <f t="shared" si="579"/>
        <v>0</v>
      </c>
    </row>
    <row r="34667" spans="20:20" ht="18.75" customHeight="1" x14ac:dyDescent="0.35">
      <c r="T34667" s="246">
        <f t="shared" si="579"/>
        <v>0</v>
      </c>
    </row>
    <row r="34668" spans="20:20" ht="18.75" customHeight="1" x14ac:dyDescent="0.35">
      <c r="T34668" s="246">
        <f t="shared" si="579"/>
        <v>0</v>
      </c>
    </row>
    <row r="34669" spans="20:20" ht="18.75" customHeight="1" x14ac:dyDescent="0.35">
      <c r="T34669" s="246">
        <f t="shared" si="579"/>
        <v>0</v>
      </c>
    </row>
    <row r="34670" spans="20:20" ht="18.75" customHeight="1" x14ac:dyDescent="0.35">
      <c r="T34670" s="246">
        <f t="shared" si="579"/>
        <v>0</v>
      </c>
    </row>
    <row r="34671" spans="20:20" ht="18.75" customHeight="1" x14ac:dyDescent="0.35">
      <c r="T34671" s="246">
        <f t="shared" si="579"/>
        <v>0</v>
      </c>
    </row>
    <row r="34672" spans="20:20" ht="18.75" customHeight="1" x14ac:dyDescent="0.35">
      <c r="T34672" s="246">
        <f t="shared" si="579"/>
        <v>0</v>
      </c>
    </row>
    <row r="34673" spans="20:20" ht="18.75" customHeight="1" x14ac:dyDescent="0.35">
      <c r="T34673" s="246">
        <f t="shared" si="579"/>
        <v>0</v>
      </c>
    </row>
    <row r="34674" spans="20:20" ht="18.75" customHeight="1" x14ac:dyDescent="0.35">
      <c r="T34674" s="246">
        <f t="shared" si="579"/>
        <v>0</v>
      </c>
    </row>
    <row r="34675" spans="20:20" ht="18.75" customHeight="1" x14ac:dyDescent="0.35">
      <c r="T34675" s="246">
        <f t="shared" si="579"/>
        <v>0</v>
      </c>
    </row>
    <row r="34676" spans="20:20" ht="18.75" customHeight="1" x14ac:dyDescent="0.35">
      <c r="T34676" s="246">
        <f t="shared" si="579"/>
        <v>0</v>
      </c>
    </row>
    <row r="34677" spans="20:20" ht="18.75" customHeight="1" x14ac:dyDescent="0.35">
      <c r="T34677" s="246">
        <f t="shared" si="579"/>
        <v>0</v>
      </c>
    </row>
    <row r="34678" spans="20:20" ht="18.75" customHeight="1" x14ac:dyDescent="0.35">
      <c r="T34678" s="246">
        <f t="shared" si="579"/>
        <v>0</v>
      </c>
    </row>
    <row r="34679" spans="20:20" ht="18.75" customHeight="1" x14ac:dyDescent="0.35">
      <c r="T34679" s="246">
        <f t="shared" si="579"/>
        <v>0</v>
      </c>
    </row>
    <row r="34680" spans="20:20" ht="18.75" customHeight="1" x14ac:dyDescent="0.35">
      <c r="T34680" s="246">
        <f t="shared" si="579"/>
        <v>0</v>
      </c>
    </row>
    <row r="34681" spans="20:20" ht="18.75" customHeight="1" x14ac:dyDescent="0.35">
      <c r="T34681" s="246">
        <f t="shared" si="579"/>
        <v>0</v>
      </c>
    </row>
    <row r="34682" spans="20:20" ht="18.75" customHeight="1" x14ac:dyDescent="0.35">
      <c r="T34682" s="246">
        <f t="shared" si="579"/>
        <v>0</v>
      </c>
    </row>
    <row r="34683" spans="20:20" ht="18.75" customHeight="1" x14ac:dyDescent="0.35">
      <c r="T34683" s="246">
        <f t="shared" si="579"/>
        <v>0</v>
      </c>
    </row>
    <row r="34684" spans="20:20" ht="18.75" customHeight="1" x14ac:dyDescent="0.35">
      <c r="T34684" s="246">
        <f t="shared" ref="T34684:T34747" si="580">R34684*0.01</f>
        <v>0</v>
      </c>
    </row>
    <row r="34685" spans="20:20" ht="18.75" customHeight="1" x14ac:dyDescent="0.35">
      <c r="T34685" s="246">
        <f t="shared" si="580"/>
        <v>0</v>
      </c>
    </row>
    <row r="34686" spans="20:20" ht="18.75" customHeight="1" x14ac:dyDescent="0.35">
      <c r="T34686" s="246">
        <f t="shared" si="580"/>
        <v>0</v>
      </c>
    </row>
    <row r="34687" spans="20:20" ht="18.75" customHeight="1" x14ac:dyDescent="0.35">
      <c r="T34687" s="246">
        <f t="shared" si="580"/>
        <v>0</v>
      </c>
    </row>
    <row r="34688" spans="20:20" ht="18.75" customHeight="1" x14ac:dyDescent="0.35">
      <c r="T34688" s="246">
        <f t="shared" si="580"/>
        <v>0</v>
      </c>
    </row>
    <row r="34689" spans="20:20" ht="18.75" customHeight="1" x14ac:dyDescent="0.35">
      <c r="T34689" s="246">
        <f t="shared" si="580"/>
        <v>0</v>
      </c>
    </row>
    <row r="34690" spans="20:20" ht="18.75" customHeight="1" x14ac:dyDescent="0.35">
      <c r="T34690" s="246">
        <f t="shared" si="580"/>
        <v>0</v>
      </c>
    </row>
    <row r="34691" spans="20:20" ht="18.75" customHeight="1" x14ac:dyDescent="0.35">
      <c r="T34691" s="246">
        <f t="shared" si="580"/>
        <v>0</v>
      </c>
    </row>
    <row r="34692" spans="20:20" ht="18.75" customHeight="1" x14ac:dyDescent="0.35">
      <c r="T34692" s="246">
        <f t="shared" si="580"/>
        <v>0</v>
      </c>
    </row>
    <row r="34693" spans="20:20" ht="18.75" customHeight="1" x14ac:dyDescent="0.35">
      <c r="T34693" s="246">
        <f t="shared" si="580"/>
        <v>0</v>
      </c>
    </row>
    <row r="34694" spans="20:20" ht="18.75" customHeight="1" x14ac:dyDescent="0.35">
      <c r="T34694" s="246">
        <f t="shared" si="580"/>
        <v>0</v>
      </c>
    </row>
    <row r="34695" spans="20:20" ht="18.75" customHeight="1" x14ac:dyDescent="0.35">
      <c r="T34695" s="246">
        <f t="shared" si="580"/>
        <v>0</v>
      </c>
    </row>
    <row r="34696" spans="20:20" ht="18.75" customHeight="1" x14ac:dyDescent="0.35">
      <c r="T34696" s="246">
        <f t="shared" si="580"/>
        <v>0</v>
      </c>
    </row>
    <row r="34697" spans="20:20" ht="18.75" customHeight="1" x14ac:dyDescent="0.35">
      <c r="T34697" s="246">
        <f t="shared" si="580"/>
        <v>0</v>
      </c>
    </row>
    <row r="34698" spans="20:20" ht="18.75" customHeight="1" x14ac:dyDescent="0.35">
      <c r="T34698" s="246">
        <f t="shared" si="580"/>
        <v>0</v>
      </c>
    </row>
    <row r="34699" spans="20:20" ht="18.75" customHeight="1" x14ac:dyDescent="0.35">
      <c r="T34699" s="246">
        <f t="shared" si="580"/>
        <v>0</v>
      </c>
    </row>
    <row r="34700" spans="20:20" ht="18.75" customHeight="1" x14ac:dyDescent="0.35">
      <c r="T34700" s="246">
        <f t="shared" si="580"/>
        <v>0</v>
      </c>
    </row>
    <row r="34701" spans="20:20" ht="18.75" customHeight="1" x14ac:dyDescent="0.35">
      <c r="T34701" s="246">
        <f t="shared" si="580"/>
        <v>0</v>
      </c>
    </row>
    <row r="34702" spans="20:20" ht="18.75" customHeight="1" x14ac:dyDescent="0.35">
      <c r="T34702" s="246">
        <f t="shared" si="580"/>
        <v>0</v>
      </c>
    </row>
    <row r="34703" spans="20:20" ht="18.75" customHeight="1" x14ac:dyDescent="0.35">
      <c r="T34703" s="246">
        <f t="shared" si="580"/>
        <v>0</v>
      </c>
    </row>
    <row r="34704" spans="20:20" ht="18.75" customHeight="1" x14ac:dyDescent="0.35">
      <c r="T34704" s="246">
        <f t="shared" si="580"/>
        <v>0</v>
      </c>
    </row>
    <row r="34705" spans="20:20" ht="18.75" customHeight="1" x14ac:dyDescent="0.35">
      <c r="T34705" s="246">
        <f t="shared" si="580"/>
        <v>0</v>
      </c>
    </row>
    <row r="34706" spans="20:20" ht="18.75" customHeight="1" x14ac:dyDescent="0.35">
      <c r="T34706" s="246">
        <f t="shared" si="580"/>
        <v>0</v>
      </c>
    </row>
    <row r="34707" spans="20:20" ht="18.75" customHeight="1" x14ac:dyDescent="0.35">
      <c r="T34707" s="246">
        <f t="shared" si="580"/>
        <v>0</v>
      </c>
    </row>
    <row r="34708" spans="20:20" ht="18.75" customHeight="1" x14ac:dyDescent="0.35">
      <c r="T34708" s="246">
        <f t="shared" si="580"/>
        <v>0</v>
      </c>
    </row>
    <row r="34709" spans="20:20" ht="18.75" customHeight="1" x14ac:dyDescent="0.35">
      <c r="T34709" s="246">
        <f t="shared" si="580"/>
        <v>0</v>
      </c>
    </row>
    <row r="34710" spans="20:20" ht="18.75" customHeight="1" x14ac:dyDescent="0.35">
      <c r="T34710" s="246">
        <f t="shared" si="580"/>
        <v>0</v>
      </c>
    </row>
    <row r="34711" spans="20:20" ht="18.75" customHeight="1" x14ac:dyDescent="0.35">
      <c r="T34711" s="246">
        <f t="shared" si="580"/>
        <v>0</v>
      </c>
    </row>
    <row r="34712" spans="20:20" ht="18.75" customHeight="1" x14ac:dyDescent="0.35">
      <c r="T34712" s="246">
        <f t="shared" si="580"/>
        <v>0</v>
      </c>
    </row>
    <row r="34713" spans="20:20" ht="18.75" customHeight="1" x14ac:dyDescent="0.35">
      <c r="T34713" s="246">
        <f t="shared" si="580"/>
        <v>0</v>
      </c>
    </row>
    <row r="34714" spans="20:20" ht="18.75" customHeight="1" x14ac:dyDescent="0.35">
      <c r="T34714" s="246">
        <f t="shared" si="580"/>
        <v>0</v>
      </c>
    </row>
    <row r="34715" spans="20:20" ht="18.75" customHeight="1" x14ac:dyDescent="0.35">
      <c r="T34715" s="246">
        <f t="shared" si="580"/>
        <v>0</v>
      </c>
    </row>
    <row r="34716" spans="20:20" ht="18.75" customHeight="1" x14ac:dyDescent="0.35">
      <c r="T34716" s="246">
        <f t="shared" si="580"/>
        <v>0</v>
      </c>
    </row>
    <row r="34717" spans="20:20" ht="18.75" customHeight="1" x14ac:dyDescent="0.35">
      <c r="T34717" s="246">
        <f t="shared" si="580"/>
        <v>0</v>
      </c>
    </row>
    <row r="34718" spans="20:20" ht="18.75" customHeight="1" x14ac:dyDescent="0.35">
      <c r="T34718" s="246">
        <f t="shared" si="580"/>
        <v>0</v>
      </c>
    </row>
    <row r="34719" spans="20:20" ht="18.75" customHeight="1" x14ac:dyDescent="0.35">
      <c r="T34719" s="246">
        <f t="shared" si="580"/>
        <v>0</v>
      </c>
    </row>
    <row r="34720" spans="20:20" ht="18.75" customHeight="1" x14ac:dyDescent="0.35">
      <c r="T34720" s="246">
        <f t="shared" si="580"/>
        <v>0</v>
      </c>
    </row>
    <row r="34721" spans="20:20" ht="18.75" customHeight="1" x14ac:dyDescent="0.35">
      <c r="T34721" s="246">
        <f t="shared" si="580"/>
        <v>0</v>
      </c>
    </row>
    <row r="34722" spans="20:20" ht="18.75" customHeight="1" x14ac:dyDescent="0.35">
      <c r="T34722" s="246">
        <f t="shared" si="580"/>
        <v>0</v>
      </c>
    </row>
    <row r="34723" spans="20:20" ht="18.75" customHeight="1" x14ac:dyDescent="0.35">
      <c r="T34723" s="246">
        <f t="shared" si="580"/>
        <v>0</v>
      </c>
    </row>
    <row r="34724" spans="20:20" ht="18.75" customHeight="1" x14ac:dyDescent="0.35">
      <c r="T34724" s="246">
        <f t="shared" si="580"/>
        <v>0</v>
      </c>
    </row>
    <row r="34725" spans="20:20" ht="18.75" customHeight="1" x14ac:dyDescent="0.35">
      <c r="T34725" s="246">
        <f t="shared" si="580"/>
        <v>0</v>
      </c>
    </row>
    <row r="34726" spans="20:20" ht="18.75" customHeight="1" x14ac:dyDescent="0.35">
      <c r="T34726" s="246">
        <f t="shared" si="580"/>
        <v>0</v>
      </c>
    </row>
    <row r="34727" spans="20:20" ht="18.75" customHeight="1" x14ac:dyDescent="0.35">
      <c r="T34727" s="246">
        <f t="shared" si="580"/>
        <v>0</v>
      </c>
    </row>
    <row r="34728" spans="20:20" ht="18.75" customHeight="1" x14ac:dyDescent="0.35">
      <c r="T34728" s="246">
        <f t="shared" si="580"/>
        <v>0</v>
      </c>
    </row>
    <row r="34729" spans="20:20" ht="18.75" customHeight="1" x14ac:dyDescent="0.35">
      <c r="T34729" s="246">
        <f t="shared" si="580"/>
        <v>0</v>
      </c>
    </row>
    <row r="34730" spans="20:20" ht="18.75" customHeight="1" x14ac:dyDescent="0.35">
      <c r="T34730" s="246">
        <f t="shared" si="580"/>
        <v>0</v>
      </c>
    </row>
    <row r="34731" spans="20:20" ht="18.75" customHeight="1" x14ac:dyDescent="0.35">
      <c r="T34731" s="246">
        <f t="shared" si="580"/>
        <v>0</v>
      </c>
    </row>
    <row r="34732" spans="20:20" ht="18.75" customHeight="1" x14ac:dyDescent="0.35">
      <c r="T34732" s="246">
        <f t="shared" si="580"/>
        <v>0</v>
      </c>
    </row>
    <row r="34733" spans="20:20" ht="18.75" customHeight="1" x14ac:dyDescent="0.35">
      <c r="T34733" s="246">
        <f t="shared" si="580"/>
        <v>0</v>
      </c>
    </row>
    <row r="34734" spans="20:20" ht="18.75" customHeight="1" x14ac:dyDescent="0.35">
      <c r="T34734" s="246">
        <f t="shared" si="580"/>
        <v>0</v>
      </c>
    </row>
    <row r="34735" spans="20:20" ht="18.75" customHeight="1" x14ac:dyDescent="0.35">
      <c r="T34735" s="246">
        <f t="shared" si="580"/>
        <v>0</v>
      </c>
    </row>
    <row r="34736" spans="20:20" ht="18.75" customHeight="1" x14ac:dyDescent="0.35">
      <c r="T34736" s="246">
        <f t="shared" si="580"/>
        <v>0</v>
      </c>
    </row>
    <row r="34737" spans="20:20" ht="18.75" customHeight="1" x14ac:dyDescent="0.35">
      <c r="T34737" s="246">
        <f t="shared" si="580"/>
        <v>0</v>
      </c>
    </row>
    <row r="34738" spans="20:20" ht="18.75" customHeight="1" x14ac:dyDescent="0.35">
      <c r="T34738" s="246">
        <f t="shared" si="580"/>
        <v>0</v>
      </c>
    </row>
    <row r="34739" spans="20:20" ht="18.75" customHeight="1" x14ac:dyDescent="0.35">
      <c r="T34739" s="246">
        <f t="shared" si="580"/>
        <v>0</v>
      </c>
    </row>
    <row r="34740" spans="20:20" ht="18.75" customHeight="1" x14ac:dyDescent="0.35">
      <c r="T34740" s="246">
        <f t="shared" si="580"/>
        <v>0</v>
      </c>
    </row>
    <row r="34741" spans="20:20" ht="18.75" customHeight="1" x14ac:dyDescent="0.35">
      <c r="T34741" s="246">
        <f t="shared" si="580"/>
        <v>0</v>
      </c>
    </row>
    <row r="34742" spans="20:20" ht="18.75" customHeight="1" x14ac:dyDescent="0.35">
      <c r="T34742" s="246">
        <f t="shared" si="580"/>
        <v>0</v>
      </c>
    </row>
    <row r="34743" spans="20:20" ht="18.75" customHeight="1" x14ac:dyDescent="0.35">
      <c r="T34743" s="246">
        <f t="shared" si="580"/>
        <v>0</v>
      </c>
    </row>
    <row r="34744" spans="20:20" ht="18.75" customHeight="1" x14ac:dyDescent="0.35">
      <c r="T34744" s="246">
        <f t="shared" si="580"/>
        <v>0</v>
      </c>
    </row>
    <row r="34745" spans="20:20" ht="18.75" customHeight="1" x14ac:dyDescent="0.35">
      <c r="T34745" s="246">
        <f t="shared" si="580"/>
        <v>0</v>
      </c>
    </row>
    <row r="34746" spans="20:20" ht="18.75" customHeight="1" x14ac:dyDescent="0.35">
      <c r="T34746" s="246">
        <f t="shared" si="580"/>
        <v>0</v>
      </c>
    </row>
    <row r="34747" spans="20:20" ht="18.75" customHeight="1" x14ac:dyDescent="0.35">
      <c r="T34747" s="246">
        <f t="shared" si="580"/>
        <v>0</v>
      </c>
    </row>
    <row r="34748" spans="20:20" ht="18.75" customHeight="1" x14ac:dyDescent="0.35">
      <c r="T34748" s="246">
        <f t="shared" ref="T34748:T34811" si="581">R34748*0.01</f>
        <v>0</v>
      </c>
    </row>
    <row r="34749" spans="20:20" ht="18.75" customHeight="1" x14ac:dyDescent="0.35">
      <c r="T34749" s="246">
        <f t="shared" si="581"/>
        <v>0</v>
      </c>
    </row>
    <row r="34750" spans="20:20" ht="18.75" customHeight="1" x14ac:dyDescent="0.35">
      <c r="T34750" s="246">
        <f t="shared" si="581"/>
        <v>0</v>
      </c>
    </row>
    <row r="34751" spans="20:20" ht="18.75" customHeight="1" x14ac:dyDescent="0.35">
      <c r="T34751" s="246">
        <f t="shared" si="581"/>
        <v>0</v>
      </c>
    </row>
    <row r="34752" spans="20:20" ht="18.75" customHeight="1" x14ac:dyDescent="0.35">
      <c r="T34752" s="246">
        <f t="shared" si="581"/>
        <v>0</v>
      </c>
    </row>
    <row r="34753" spans="20:20" ht="18.75" customHeight="1" x14ac:dyDescent="0.35">
      <c r="T34753" s="246">
        <f t="shared" si="581"/>
        <v>0</v>
      </c>
    </row>
    <row r="34754" spans="20:20" ht="18.75" customHeight="1" x14ac:dyDescent="0.35">
      <c r="T34754" s="246">
        <f t="shared" si="581"/>
        <v>0</v>
      </c>
    </row>
    <row r="34755" spans="20:20" ht="18.75" customHeight="1" x14ac:dyDescent="0.35">
      <c r="T34755" s="246">
        <f t="shared" si="581"/>
        <v>0</v>
      </c>
    </row>
    <row r="34756" spans="20:20" ht="18.75" customHeight="1" x14ac:dyDescent="0.35">
      <c r="T34756" s="246">
        <f t="shared" si="581"/>
        <v>0</v>
      </c>
    </row>
    <row r="34757" spans="20:20" ht="18.75" customHeight="1" x14ac:dyDescent="0.35">
      <c r="T34757" s="246">
        <f t="shared" si="581"/>
        <v>0</v>
      </c>
    </row>
    <row r="34758" spans="20:20" ht="18.75" customHeight="1" x14ac:dyDescent="0.35">
      <c r="T34758" s="246">
        <f t="shared" si="581"/>
        <v>0</v>
      </c>
    </row>
    <row r="34759" spans="20:20" ht="18.75" customHeight="1" x14ac:dyDescent="0.35">
      <c r="T34759" s="246">
        <f t="shared" si="581"/>
        <v>0</v>
      </c>
    </row>
    <row r="34760" spans="20:20" ht="18.75" customHeight="1" x14ac:dyDescent="0.35">
      <c r="T34760" s="246">
        <f t="shared" si="581"/>
        <v>0</v>
      </c>
    </row>
    <row r="34761" spans="20:20" ht="18.75" customHeight="1" x14ac:dyDescent="0.35">
      <c r="T34761" s="246">
        <f t="shared" si="581"/>
        <v>0</v>
      </c>
    </row>
    <row r="34762" spans="20:20" ht="18.75" customHeight="1" x14ac:dyDescent="0.35">
      <c r="T34762" s="246">
        <f t="shared" si="581"/>
        <v>0</v>
      </c>
    </row>
    <row r="34763" spans="20:20" ht="18.75" customHeight="1" x14ac:dyDescent="0.35">
      <c r="T34763" s="246">
        <f t="shared" si="581"/>
        <v>0</v>
      </c>
    </row>
    <row r="34764" spans="20:20" ht="18.75" customHeight="1" x14ac:dyDescent="0.35">
      <c r="T34764" s="246">
        <f t="shared" si="581"/>
        <v>0</v>
      </c>
    </row>
    <row r="34765" spans="20:20" ht="18.75" customHeight="1" x14ac:dyDescent="0.35">
      <c r="T34765" s="246">
        <f t="shared" si="581"/>
        <v>0</v>
      </c>
    </row>
    <row r="34766" spans="20:20" ht="18.75" customHeight="1" x14ac:dyDescent="0.35">
      <c r="T34766" s="246">
        <f t="shared" si="581"/>
        <v>0</v>
      </c>
    </row>
    <row r="34767" spans="20:20" ht="18.75" customHeight="1" x14ac:dyDescent="0.35">
      <c r="T34767" s="246">
        <f t="shared" si="581"/>
        <v>0</v>
      </c>
    </row>
    <row r="34768" spans="20:20" ht="18.75" customHeight="1" x14ac:dyDescent="0.35">
      <c r="T34768" s="246">
        <f t="shared" si="581"/>
        <v>0</v>
      </c>
    </row>
    <row r="34769" spans="20:20" ht="18.75" customHeight="1" x14ac:dyDescent="0.35">
      <c r="T34769" s="246">
        <f t="shared" si="581"/>
        <v>0</v>
      </c>
    </row>
    <row r="34770" spans="20:20" ht="18.75" customHeight="1" x14ac:dyDescent="0.35">
      <c r="T34770" s="246">
        <f t="shared" si="581"/>
        <v>0</v>
      </c>
    </row>
    <row r="34771" spans="20:20" ht="18.75" customHeight="1" x14ac:dyDescent="0.35">
      <c r="T34771" s="246">
        <f t="shared" si="581"/>
        <v>0</v>
      </c>
    </row>
    <row r="34772" spans="20:20" ht="18.75" customHeight="1" x14ac:dyDescent="0.35">
      <c r="T34772" s="246">
        <f t="shared" si="581"/>
        <v>0</v>
      </c>
    </row>
    <row r="34773" spans="20:20" ht="18.75" customHeight="1" x14ac:dyDescent="0.35">
      <c r="T34773" s="246">
        <f t="shared" si="581"/>
        <v>0</v>
      </c>
    </row>
    <row r="34774" spans="20:20" ht="18.75" customHeight="1" x14ac:dyDescent="0.35">
      <c r="T34774" s="246">
        <f t="shared" si="581"/>
        <v>0</v>
      </c>
    </row>
    <row r="34775" spans="20:20" ht="18.75" customHeight="1" x14ac:dyDescent="0.35">
      <c r="T34775" s="246">
        <f t="shared" si="581"/>
        <v>0</v>
      </c>
    </row>
    <row r="34776" spans="20:20" ht="18.75" customHeight="1" x14ac:dyDescent="0.35">
      <c r="T34776" s="246">
        <f t="shared" si="581"/>
        <v>0</v>
      </c>
    </row>
    <row r="34777" spans="20:20" ht="18.75" customHeight="1" x14ac:dyDescent="0.35">
      <c r="T34777" s="246">
        <f t="shared" si="581"/>
        <v>0</v>
      </c>
    </row>
    <row r="34778" spans="20:20" ht="18.75" customHeight="1" x14ac:dyDescent="0.35">
      <c r="T34778" s="246">
        <f t="shared" si="581"/>
        <v>0</v>
      </c>
    </row>
    <row r="34779" spans="20:20" ht="18.75" customHeight="1" x14ac:dyDescent="0.35">
      <c r="T34779" s="246">
        <f t="shared" si="581"/>
        <v>0</v>
      </c>
    </row>
    <row r="34780" spans="20:20" ht="18.75" customHeight="1" x14ac:dyDescent="0.35">
      <c r="T34780" s="246">
        <f t="shared" si="581"/>
        <v>0</v>
      </c>
    </row>
    <row r="34781" spans="20:20" ht="18.75" customHeight="1" x14ac:dyDescent="0.35">
      <c r="T34781" s="246">
        <f t="shared" si="581"/>
        <v>0</v>
      </c>
    </row>
    <row r="34782" spans="20:20" ht="18.75" customHeight="1" x14ac:dyDescent="0.35">
      <c r="T34782" s="246">
        <f t="shared" si="581"/>
        <v>0</v>
      </c>
    </row>
    <row r="34783" spans="20:20" ht="18.75" customHeight="1" x14ac:dyDescent="0.35">
      <c r="T34783" s="246">
        <f t="shared" si="581"/>
        <v>0</v>
      </c>
    </row>
    <row r="34784" spans="20:20" ht="18.75" customHeight="1" x14ac:dyDescent="0.35">
      <c r="T34784" s="246">
        <f t="shared" si="581"/>
        <v>0</v>
      </c>
    </row>
    <row r="34785" spans="20:20" ht="18.75" customHeight="1" x14ac:dyDescent="0.35">
      <c r="T34785" s="246">
        <f t="shared" si="581"/>
        <v>0</v>
      </c>
    </row>
    <row r="34786" spans="20:20" ht="18.75" customHeight="1" x14ac:dyDescent="0.35">
      <c r="T34786" s="246">
        <f t="shared" si="581"/>
        <v>0</v>
      </c>
    </row>
    <row r="34787" spans="20:20" ht="18.75" customHeight="1" x14ac:dyDescent="0.35">
      <c r="T34787" s="246">
        <f t="shared" si="581"/>
        <v>0</v>
      </c>
    </row>
    <row r="34788" spans="20:20" ht="18.75" customHeight="1" x14ac:dyDescent="0.35">
      <c r="T34788" s="246">
        <f t="shared" si="581"/>
        <v>0</v>
      </c>
    </row>
    <row r="34789" spans="20:20" ht="18.75" customHeight="1" x14ac:dyDescent="0.35">
      <c r="T34789" s="246">
        <f t="shared" si="581"/>
        <v>0</v>
      </c>
    </row>
    <row r="34790" spans="20:20" ht="18.75" customHeight="1" x14ac:dyDescent="0.35">
      <c r="T34790" s="246">
        <f t="shared" si="581"/>
        <v>0</v>
      </c>
    </row>
    <row r="34791" spans="20:20" ht="18.75" customHeight="1" x14ac:dyDescent="0.35">
      <c r="T34791" s="246">
        <f t="shared" si="581"/>
        <v>0</v>
      </c>
    </row>
    <row r="34792" spans="20:20" ht="18.75" customHeight="1" x14ac:dyDescent="0.35">
      <c r="T34792" s="246">
        <f t="shared" si="581"/>
        <v>0</v>
      </c>
    </row>
    <row r="34793" spans="20:20" ht="18.75" customHeight="1" x14ac:dyDescent="0.35">
      <c r="T34793" s="246">
        <f t="shared" si="581"/>
        <v>0</v>
      </c>
    </row>
    <row r="34794" spans="20:20" ht="18.75" customHeight="1" x14ac:dyDescent="0.35">
      <c r="T34794" s="246">
        <f t="shared" si="581"/>
        <v>0</v>
      </c>
    </row>
    <row r="34795" spans="20:20" ht="18.75" customHeight="1" x14ac:dyDescent="0.35">
      <c r="T34795" s="246">
        <f t="shared" si="581"/>
        <v>0</v>
      </c>
    </row>
    <row r="34796" spans="20:20" ht="18.75" customHeight="1" x14ac:dyDescent="0.35">
      <c r="T34796" s="246">
        <f t="shared" si="581"/>
        <v>0</v>
      </c>
    </row>
    <row r="34797" spans="20:20" ht="18.75" customHeight="1" x14ac:dyDescent="0.35">
      <c r="T34797" s="246">
        <f t="shared" si="581"/>
        <v>0</v>
      </c>
    </row>
    <row r="34798" spans="20:20" ht="18.75" customHeight="1" x14ac:dyDescent="0.35">
      <c r="T34798" s="246">
        <f t="shared" si="581"/>
        <v>0</v>
      </c>
    </row>
    <row r="34799" spans="20:20" ht="18.75" customHeight="1" x14ac:dyDescent="0.35">
      <c r="T34799" s="246">
        <f t="shared" si="581"/>
        <v>0</v>
      </c>
    </row>
    <row r="34800" spans="20:20" ht="18.75" customHeight="1" x14ac:dyDescent="0.35">
      <c r="T34800" s="246">
        <f t="shared" si="581"/>
        <v>0</v>
      </c>
    </row>
    <row r="34801" spans="20:20" ht="18.75" customHeight="1" x14ac:dyDescent="0.35">
      <c r="T34801" s="246">
        <f t="shared" si="581"/>
        <v>0</v>
      </c>
    </row>
    <row r="34802" spans="20:20" ht="18.75" customHeight="1" x14ac:dyDescent="0.35">
      <c r="T34802" s="246">
        <f t="shared" si="581"/>
        <v>0</v>
      </c>
    </row>
    <row r="34803" spans="20:20" ht="18.75" customHeight="1" x14ac:dyDescent="0.35">
      <c r="T34803" s="246">
        <f t="shared" si="581"/>
        <v>0</v>
      </c>
    </row>
    <row r="34804" spans="20:20" ht="18.75" customHeight="1" x14ac:dyDescent="0.35">
      <c r="T34804" s="246">
        <f t="shared" si="581"/>
        <v>0</v>
      </c>
    </row>
    <row r="34805" spans="20:20" ht="18.75" customHeight="1" x14ac:dyDescent="0.35">
      <c r="T34805" s="246">
        <f t="shared" si="581"/>
        <v>0</v>
      </c>
    </row>
    <row r="34806" spans="20:20" ht="18.75" customHeight="1" x14ac:dyDescent="0.35">
      <c r="T34806" s="246">
        <f t="shared" si="581"/>
        <v>0</v>
      </c>
    </row>
    <row r="34807" spans="20:20" ht="18.75" customHeight="1" x14ac:dyDescent="0.35">
      <c r="T34807" s="246">
        <f t="shared" si="581"/>
        <v>0</v>
      </c>
    </row>
    <row r="34808" spans="20:20" ht="18.75" customHeight="1" x14ac:dyDescent="0.35">
      <c r="T34808" s="246">
        <f t="shared" si="581"/>
        <v>0</v>
      </c>
    </row>
    <row r="34809" spans="20:20" ht="18.75" customHeight="1" x14ac:dyDescent="0.35">
      <c r="T34809" s="246">
        <f t="shared" si="581"/>
        <v>0</v>
      </c>
    </row>
    <row r="34810" spans="20:20" ht="18.75" customHeight="1" x14ac:dyDescent="0.35">
      <c r="T34810" s="246">
        <f t="shared" si="581"/>
        <v>0</v>
      </c>
    </row>
    <row r="34811" spans="20:20" ht="18.75" customHeight="1" x14ac:dyDescent="0.35">
      <c r="T34811" s="246">
        <f t="shared" si="581"/>
        <v>0</v>
      </c>
    </row>
    <row r="34812" spans="20:20" ht="18.75" customHeight="1" x14ac:dyDescent="0.35">
      <c r="T34812" s="246">
        <f t="shared" ref="T34812:T34875" si="582">R34812*0.01</f>
        <v>0</v>
      </c>
    </row>
    <row r="34813" spans="20:20" ht="18.75" customHeight="1" x14ac:dyDescent="0.35">
      <c r="T34813" s="246">
        <f t="shared" si="582"/>
        <v>0</v>
      </c>
    </row>
    <row r="34814" spans="20:20" ht="18.75" customHeight="1" x14ac:dyDescent="0.35">
      <c r="T34814" s="246">
        <f t="shared" si="582"/>
        <v>0</v>
      </c>
    </row>
    <row r="34815" spans="20:20" ht="18.75" customHeight="1" x14ac:dyDescent="0.35">
      <c r="T34815" s="246">
        <f t="shared" si="582"/>
        <v>0</v>
      </c>
    </row>
    <row r="34816" spans="20:20" ht="18.75" customHeight="1" x14ac:dyDescent="0.35">
      <c r="T34816" s="246">
        <f t="shared" si="582"/>
        <v>0</v>
      </c>
    </row>
    <row r="34817" spans="20:20" ht="18.75" customHeight="1" x14ac:dyDescent="0.35">
      <c r="T34817" s="246">
        <f t="shared" si="582"/>
        <v>0</v>
      </c>
    </row>
    <row r="34818" spans="20:20" ht="18.75" customHeight="1" x14ac:dyDescent="0.35">
      <c r="T34818" s="246">
        <f t="shared" si="582"/>
        <v>0</v>
      </c>
    </row>
    <row r="34819" spans="20:20" ht="18.75" customHeight="1" x14ac:dyDescent="0.35">
      <c r="T34819" s="246">
        <f t="shared" si="582"/>
        <v>0</v>
      </c>
    </row>
    <row r="34820" spans="20:20" ht="18.75" customHeight="1" x14ac:dyDescent="0.35">
      <c r="T34820" s="246">
        <f t="shared" si="582"/>
        <v>0</v>
      </c>
    </row>
    <row r="34821" spans="20:20" ht="18.75" customHeight="1" x14ac:dyDescent="0.35">
      <c r="T34821" s="246">
        <f t="shared" si="582"/>
        <v>0</v>
      </c>
    </row>
    <row r="34822" spans="20:20" ht="18.75" customHeight="1" x14ac:dyDescent="0.35">
      <c r="T34822" s="246">
        <f t="shared" si="582"/>
        <v>0</v>
      </c>
    </row>
    <row r="34823" spans="20:20" ht="18.75" customHeight="1" x14ac:dyDescent="0.35">
      <c r="T34823" s="246">
        <f t="shared" si="582"/>
        <v>0</v>
      </c>
    </row>
    <row r="34824" spans="20:20" ht="18.75" customHeight="1" x14ac:dyDescent="0.35">
      <c r="T34824" s="246">
        <f t="shared" si="582"/>
        <v>0</v>
      </c>
    </row>
    <row r="34825" spans="20:20" ht="18.75" customHeight="1" x14ac:dyDescent="0.35">
      <c r="T34825" s="246">
        <f t="shared" si="582"/>
        <v>0</v>
      </c>
    </row>
    <row r="34826" spans="20:20" ht="18.75" customHeight="1" x14ac:dyDescent="0.35">
      <c r="T34826" s="246">
        <f t="shared" si="582"/>
        <v>0</v>
      </c>
    </row>
    <row r="34827" spans="20:20" ht="18.75" customHeight="1" x14ac:dyDescent="0.35">
      <c r="T34827" s="246">
        <f t="shared" si="582"/>
        <v>0</v>
      </c>
    </row>
    <row r="34828" spans="20:20" ht="18.75" customHeight="1" x14ac:dyDescent="0.35">
      <c r="T34828" s="246">
        <f t="shared" si="582"/>
        <v>0</v>
      </c>
    </row>
    <row r="34829" spans="20:20" ht="18.75" customHeight="1" x14ac:dyDescent="0.35">
      <c r="T34829" s="246">
        <f t="shared" si="582"/>
        <v>0</v>
      </c>
    </row>
    <row r="34830" spans="20:20" ht="18.75" customHeight="1" x14ac:dyDescent="0.35">
      <c r="T34830" s="246">
        <f t="shared" si="582"/>
        <v>0</v>
      </c>
    </row>
    <row r="34831" spans="20:20" ht="18.75" customHeight="1" x14ac:dyDescent="0.35">
      <c r="T34831" s="246">
        <f t="shared" si="582"/>
        <v>0</v>
      </c>
    </row>
    <row r="34832" spans="20:20" ht="18.75" customHeight="1" x14ac:dyDescent="0.35">
      <c r="T34832" s="246">
        <f t="shared" si="582"/>
        <v>0</v>
      </c>
    </row>
    <row r="34833" spans="20:20" ht="18.75" customHeight="1" x14ac:dyDescent="0.35">
      <c r="T34833" s="246">
        <f t="shared" si="582"/>
        <v>0</v>
      </c>
    </row>
    <row r="34834" spans="20:20" ht="18.75" customHeight="1" x14ac:dyDescent="0.35">
      <c r="T34834" s="246">
        <f t="shared" si="582"/>
        <v>0</v>
      </c>
    </row>
    <row r="34835" spans="20:20" ht="18.75" customHeight="1" x14ac:dyDescent="0.35">
      <c r="T34835" s="246">
        <f t="shared" si="582"/>
        <v>0</v>
      </c>
    </row>
    <row r="34836" spans="20:20" ht="18.75" customHeight="1" x14ac:dyDescent="0.35">
      <c r="T34836" s="246">
        <f t="shared" si="582"/>
        <v>0</v>
      </c>
    </row>
    <row r="34837" spans="20:20" ht="18.75" customHeight="1" x14ac:dyDescent="0.35">
      <c r="T34837" s="246">
        <f t="shared" si="582"/>
        <v>0</v>
      </c>
    </row>
    <row r="34838" spans="20:20" ht="18.75" customHeight="1" x14ac:dyDescent="0.35">
      <c r="T34838" s="246">
        <f t="shared" si="582"/>
        <v>0</v>
      </c>
    </row>
    <row r="34839" spans="20:20" ht="18.75" customHeight="1" x14ac:dyDescent="0.35">
      <c r="T34839" s="246">
        <f t="shared" si="582"/>
        <v>0</v>
      </c>
    </row>
    <row r="34840" spans="20:20" ht="18.75" customHeight="1" x14ac:dyDescent="0.35">
      <c r="T34840" s="246">
        <f t="shared" si="582"/>
        <v>0</v>
      </c>
    </row>
    <row r="34841" spans="20:20" ht="18.75" customHeight="1" x14ac:dyDescent="0.35">
      <c r="T34841" s="246">
        <f t="shared" si="582"/>
        <v>0</v>
      </c>
    </row>
    <row r="34842" spans="20:20" ht="18.75" customHeight="1" x14ac:dyDescent="0.35">
      <c r="T34842" s="246">
        <f t="shared" si="582"/>
        <v>0</v>
      </c>
    </row>
    <row r="34843" spans="20:20" ht="18.75" customHeight="1" x14ac:dyDescent="0.35">
      <c r="T34843" s="246">
        <f t="shared" si="582"/>
        <v>0</v>
      </c>
    </row>
    <row r="34844" spans="20:20" ht="18.75" customHeight="1" x14ac:dyDescent="0.35">
      <c r="T34844" s="246">
        <f t="shared" si="582"/>
        <v>0</v>
      </c>
    </row>
    <row r="34845" spans="20:20" ht="18.75" customHeight="1" x14ac:dyDescent="0.35">
      <c r="T34845" s="246">
        <f t="shared" si="582"/>
        <v>0</v>
      </c>
    </row>
    <row r="34846" spans="20:20" ht="18.75" customHeight="1" x14ac:dyDescent="0.35">
      <c r="T34846" s="246">
        <f t="shared" si="582"/>
        <v>0</v>
      </c>
    </row>
    <row r="34847" spans="20:20" ht="18.75" customHeight="1" x14ac:dyDescent="0.35">
      <c r="T34847" s="246">
        <f t="shared" si="582"/>
        <v>0</v>
      </c>
    </row>
    <row r="34848" spans="20:20" ht="18.75" customHeight="1" x14ac:dyDescent="0.35">
      <c r="T34848" s="246">
        <f t="shared" si="582"/>
        <v>0</v>
      </c>
    </row>
    <row r="34849" spans="20:20" ht="18.75" customHeight="1" x14ac:dyDescent="0.35">
      <c r="T34849" s="246">
        <f t="shared" si="582"/>
        <v>0</v>
      </c>
    </row>
    <row r="34850" spans="20:20" ht="18.75" customHeight="1" x14ac:dyDescent="0.35">
      <c r="T34850" s="246">
        <f t="shared" si="582"/>
        <v>0</v>
      </c>
    </row>
    <row r="34851" spans="20:20" ht="18.75" customHeight="1" x14ac:dyDescent="0.35">
      <c r="T34851" s="246">
        <f t="shared" si="582"/>
        <v>0</v>
      </c>
    </row>
    <row r="34852" spans="20:20" ht="18.75" customHeight="1" x14ac:dyDescent="0.35">
      <c r="T34852" s="246">
        <f t="shared" si="582"/>
        <v>0</v>
      </c>
    </row>
    <row r="34853" spans="20:20" ht="18.75" customHeight="1" x14ac:dyDescent="0.35">
      <c r="T34853" s="246">
        <f t="shared" si="582"/>
        <v>0</v>
      </c>
    </row>
    <row r="34854" spans="20:20" ht="18.75" customHeight="1" x14ac:dyDescent="0.35">
      <c r="T34854" s="246">
        <f t="shared" si="582"/>
        <v>0</v>
      </c>
    </row>
    <row r="34855" spans="20:20" ht="18.75" customHeight="1" x14ac:dyDescent="0.35">
      <c r="T34855" s="246">
        <f t="shared" si="582"/>
        <v>0</v>
      </c>
    </row>
    <row r="34856" spans="20:20" ht="18.75" customHeight="1" x14ac:dyDescent="0.35">
      <c r="T34856" s="246">
        <f t="shared" si="582"/>
        <v>0</v>
      </c>
    </row>
    <row r="34857" spans="20:20" ht="18.75" customHeight="1" x14ac:dyDescent="0.35">
      <c r="T34857" s="246">
        <f t="shared" si="582"/>
        <v>0</v>
      </c>
    </row>
    <row r="34858" spans="20:20" ht="18.75" customHeight="1" x14ac:dyDescent="0.35">
      <c r="T34858" s="246">
        <f t="shared" si="582"/>
        <v>0</v>
      </c>
    </row>
    <row r="34859" spans="20:20" ht="18.75" customHeight="1" x14ac:dyDescent="0.35">
      <c r="T34859" s="246">
        <f t="shared" si="582"/>
        <v>0</v>
      </c>
    </row>
    <row r="34860" spans="20:20" ht="18.75" customHeight="1" x14ac:dyDescent="0.35">
      <c r="T34860" s="246">
        <f t="shared" si="582"/>
        <v>0</v>
      </c>
    </row>
    <row r="34861" spans="20:20" ht="18.75" customHeight="1" x14ac:dyDescent="0.35">
      <c r="T34861" s="246">
        <f t="shared" si="582"/>
        <v>0</v>
      </c>
    </row>
    <row r="34862" spans="20:20" ht="18.75" customHeight="1" x14ac:dyDescent="0.35">
      <c r="T34862" s="246">
        <f t="shared" si="582"/>
        <v>0</v>
      </c>
    </row>
    <row r="34863" spans="20:20" ht="18.75" customHeight="1" x14ac:dyDescent="0.35">
      <c r="T34863" s="246">
        <f t="shared" si="582"/>
        <v>0</v>
      </c>
    </row>
    <row r="34864" spans="20:20" ht="18.75" customHeight="1" x14ac:dyDescent="0.35">
      <c r="T34864" s="246">
        <f t="shared" si="582"/>
        <v>0</v>
      </c>
    </row>
    <row r="34865" spans="20:20" ht="18.75" customHeight="1" x14ac:dyDescent="0.35">
      <c r="T34865" s="246">
        <f t="shared" si="582"/>
        <v>0</v>
      </c>
    </row>
    <row r="34866" spans="20:20" ht="18.75" customHeight="1" x14ac:dyDescent="0.35">
      <c r="T34866" s="246">
        <f t="shared" si="582"/>
        <v>0</v>
      </c>
    </row>
    <row r="34867" spans="20:20" ht="18.75" customHeight="1" x14ac:dyDescent="0.35">
      <c r="T34867" s="246">
        <f t="shared" si="582"/>
        <v>0</v>
      </c>
    </row>
    <row r="34868" spans="20:20" ht="18.75" customHeight="1" x14ac:dyDescent="0.35">
      <c r="T34868" s="246">
        <f t="shared" si="582"/>
        <v>0</v>
      </c>
    </row>
    <row r="34869" spans="20:20" ht="18.75" customHeight="1" x14ac:dyDescent="0.35">
      <c r="T34869" s="246">
        <f t="shared" si="582"/>
        <v>0</v>
      </c>
    </row>
    <row r="34870" spans="20:20" ht="18.75" customHeight="1" x14ac:dyDescent="0.35">
      <c r="T34870" s="246">
        <f t="shared" si="582"/>
        <v>0</v>
      </c>
    </row>
    <row r="34871" spans="20:20" ht="18.75" customHeight="1" x14ac:dyDescent="0.35">
      <c r="T34871" s="246">
        <f t="shared" si="582"/>
        <v>0</v>
      </c>
    </row>
    <row r="34872" spans="20:20" ht="18.75" customHeight="1" x14ac:dyDescent="0.35">
      <c r="T34872" s="246">
        <f t="shared" si="582"/>
        <v>0</v>
      </c>
    </row>
    <row r="34873" spans="20:20" ht="18.75" customHeight="1" x14ac:dyDescent="0.35">
      <c r="T34873" s="246">
        <f t="shared" si="582"/>
        <v>0</v>
      </c>
    </row>
    <row r="34874" spans="20:20" ht="18.75" customHeight="1" x14ac:dyDescent="0.35">
      <c r="T34874" s="246">
        <f t="shared" si="582"/>
        <v>0</v>
      </c>
    </row>
    <row r="34875" spans="20:20" ht="18.75" customHeight="1" x14ac:dyDescent="0.35">
      <c r="T34875" s="246">
        <f t="shared" si="582"/>
        <v>0</v>
      </c>
    </row>
    <row r="34876" spans="20:20" ht="18.75" customHeight="1" x14ac:dyDescent="0.35">
      <c r="T34876" s="246">
        <f t="shared" ref="T34876:T34939" si="583">R34876*0.01</f>
        <v>0</v>
      </c>
    </row>
    <row r="34877" spans="20:20" ht="18.75" customHeight="1" x14ac:dyDescent="0.35">
      <c r="T34877" s="246">
        <f t="shared" si="583"/>
        <v>0</v>
      </c>
    </row>
    <row r="34878" spans="20:20" ht="18.75" customHeight="1" x14ac:dyDescent="0.35">
      <c r="T34878" s="246">
        <f t="shared" si="583"/>
        <v>0</v>
      </c>
    </row>
    <row r="34879" spans="20:20" ht="18.75" customHeight="1" x14ac:dyDescent="0.35">
      <c r="T34879" s="246">
        <f t="shared" si="583"/>
        <v>0</v>
      </c>
    </row>
    <row r="34880" spans="20:20" ht="18.75" customHeight="1" x14ac:dyDescent="0.35">
      <c r="T34880" s="246">
        <f t="shared" si="583"/>
        <v>0</v>
      </c>
    </row>
    <row r="34881" spans="20:20" ht="18.75" customHeight="1" x14ac:dyDescent="0.35">
      <c r="T34881" s="246">
        <f t="shared" si="583"/>
        <v>0</v>
      </c>
    </row>
    <row r="34882" spans="20:20" ht="18.75" customHeight="1" x14ac:dyDescent="0.35">
      <c r="T34882" s="246">
        <f t="shared" si="583"/>
        <v>0</v>
      </c>
    </row>
    <row r="34883" spans="20:20" ht="18.75" customHeight="1" x14ac:dyDescent="0.35">
      <c r="T34883" s="246">
        <f t="shared" si="583"/>
        <v>0</v>
      </c>
    </row>
    <row r="34884" spans="20:20" ht="18.75" customHeight="1" x14ac:dyDescent="0.35">
      <c r="T34884" s="246">
        <f t="shared" si="583"/>
        <v>0</v>
      </c>
    </row>
    <row r="34885" spans="20:20" ht="18.75" customHeight="1" x14ac:dyDescent="0.35">
      <c r="T34885" s="246">
        <f t="shared" si="583"/>
        <v>0</v>
      </c>
    </row>
    <row r="34886" spans="20:20" ht="18.75" customHeight="1" x14ac:dyDescent="0.35">
      <c r="T34886" s="246">
        <f t="shared" si="583"/>
        <v>0</v>
      </c>
    </row>
    <row r="34887" spans="20:20" ht="18.75" customHeight="1" x14ac:dyDescent="0.35">
      <c r="T34887" s="246">
        <f t="shared" si="583"/>
        <v>0</v>
      </c>
    </row>
    <row r="34888" spans="20:20" ht="18.75" customHeight="1" x14ac:dyDescent="0.35">
      <c r="T34888" s="246">
        <f t="shared" si="583"/>
        <v>0</v>
      </c>
    </row>
    <row r="34889" spans="20:20" ht="18.75" customHeight="1" x14ac:dyDescent="0.35">
      <c r="T34889" s="246">
        <f t="shared" si="583"/>
        <v>0</v>
      </c>
    </row>
    <row r="34890" spans="20:20" ht="18.75" customHeight="1" x14ac:dyDescent="0.35">
      <c r="T34890" s="246">
        <f t="shared" si="583"/>
        <v>0</v>
      </c>
    </row>
    <row r="34891" spans="20:20" ht="18.75" customHeight="1" x14ac:dyDescent="0.35">
      <c r="T34891" s="246">
        <f t="shared" si="583"/>
        <v>0</v>
      </c>
    </row>
    <row r="34892" spans="20:20" ht="18.75" customHeight="1" x14ac:dyDescent="0.35">
      <c r="T34892" s="246">
        <f t="shared" si="583"/>
        <v>0</v>
      </c>
    </row>
    <row r="34893" spans="20:20" ht="18.75" customHeight="1" x14ac:dyDescent="0.35">
      <c r="T34893" s="246">
        <f t="shared" si="583"/>
        <v>0</v>
      </c>
    </row>
    <row r="34894" spans="20:20" ht="18.75" customHeight="1" x14ac:dyDescent="0.35">
      <c r="T34894" s="246">
        <f t="shared" si="583"/>
        <v>0</v>
      </c>
    </row>
    <row r="34895" spans="20:20" ht="18.75" customHeight="1" x14ac:dyDescent="0.35">
      <c r="T34895" s="246">
        <f t="shared" si="583"/>
        <v>0</v>
      </c>
    </row>
    <row r="34896" spans="20:20" ht="18.75" customHeight="1" x14ac:dyDescent="0.35">
      <c r="T34896" s="246">
        <f t="shared" si="583"/>
        <v>0</v>
      </c>
    </row>
    <row r="34897" spans="20:20" ht="18.75" customHeight="1" x14ac:dyDescent="0.35">
      <c r="T34897" s="246">
        <f t="shared" si="583"/>
        <v>0</v>
      </c>
    </row>
    <row r="34898" spans="20:20" ht="18.75" customHeight="1" x14ac:dyDescent="0.35">
      <c r="T34898" s="246">
        <f t="shared" si="583"/>
        <v>0</v>
      </c>
    </row>
    <row r="34899" spans="20:20" ht="18.75" customHeight="1" x14ac:dyDescent="0.35">
      <c r="T34899" s="246">
        <f t="shared" si="583"/>
        <v>0</v>
      </c>
    </row>
    <row r="34900" spans="20:20" ht="18.75" customHeight="1" x14ac:dyDescent="0.35">
      <c r="T34900" s="246">
        <f t="shared" si="583"/>
        <v>0</v>
      </c>
    </row>
    <row r="34901" spans="20:20" ht="18.75" customHeight="1" x14ac:dyDescent="0.35">
      <c r="T34901" s="246">
        <f t="shared" si="583"/>
        <v>0</v>
      </c>
    </row>
    <row r="34902" spans="20:20" ht="18.75" customHeight="1" x14ac:dyDescent="0.35">
      <c r="T34902" s="246">
        <f t="shared" si="583"/>
        <v>0</v>
      </c>
    </row>
    <row r="34903" spans="20:20" ht="18.75" customHeight="1" x14ac:dyDescent="0.35">
      <c r="T34903" s="246">
        <f t="shared" si="583"/>
        <v>0</v>
      </c>
    </row>
    <row r="34904" spans="20:20" ht="18.75" customHeight="1" x14ac:dyDescent="0.35">
      <c r="T34904" s="246">
        <f t="shared" si="583"/>
        <v>0</v>
      </c>
    </row>
    <row r="34905" spans="20:20" ht="18.75" customHeight="1" x14ac:dyDescent="0.35">
      <c r="T34905" s="246">
        <f t="shared" si="583"/>
        <v>0</v>
      </c>
    </row>
    <row r="34906" spans="20:20" ht="18.75" customHeight="1" x14ac:dyDescent="0.35">
      <c r="T34906" s="246">
        <f t="shared" si="583"/>
        <v>0</v>
      </c>
    </row>
    <row r="34907" spans="20:20" ht="18.75" customHeight="1" x14ac:dyDescent="0.35">
      <c r="T34907" s="246">
        <f t="shared" si="583"/>
        <v>0</v>
      </c>
    </row>
    <row r="34908" spans="20:20" ht="18.75" customHeight="1" x14ac:dyDescent="0.35">
      <c r="T34908" s="246">
        <f t="shared" si="583"/>
        <v>0</v>
      </c>
    </row>
    <row r="34909" spans="20:20" ht="18.75" customHeight="1" x14ac:dyDescent="0.35">
      <c r="T34909" s="246">
        <f t="shared" si="583"/>
        <v>0</v>
      </c>
    </row>
    <row r="34910" spans="20:20" ht="18.75" customHeight="1" x14ac:dyDescent="0.35">
      <c r="T34910" s="246">
        <f t="shared" si="583"/>
        <v>0</v>
      </c>
    </row>
    <row r="34911" spans="20:20" ht="18.75" customHeight="1" x14ac:dyDescent="0.35">
      <c r="T34911" s="246">
        <f t="shared" si="583"/>
        <v>0</v>
      </c>
    </row>
    <row r="34912" spans="20:20" ht="18.75" customHeight="1" x14ac:dyDescent="0.35">
      <c r="T34912" s="246">
        <f t="shared" si="583"/>
        <v>0</v>
      </c>
    </row>
    <row r="34913" spans="20:20" ht="18.75" customHeight="1" x14ac:dyDescent="0.35">
      <c r="T34913" s="246">
        <f t="shared" si="583"/>
        <v>0</v>
      </c>
    </row>
    <row r="34914" spans="20:20" ht="18.75" customHeight="1" x14ac:dyDescent="0.35">
      <c r="T34914" s="246">
        <f t="shared" si="583"/>
        <v>0</v>
      </c>
    </row>
    <row r="34915" spans="20:20" ht="18.75" customHeight="1" x14ac:dyDescent="0.35">
      <c r="T34915" s="246">
        <f t="shared" si="583"/>
        <v>0</v>
      </c>
    </row>
    <row r="34916" spans="20:20" ht="18.75" customHeight="1" x14ac:dyDescent="0.35">
      <c r="T34916" s="246">
        <f t="shared" si="583"/>
        <v>0</v>
      </c>
    </row>
    <row r="34917" spans="20:20" ht="18.75" customHeight="1" x14ac:dyDescent="0.35">
      <c r="T34917" s="246">
        <f t="shared" si="583"/>
        <v>0</v>
      </c>
    </row>
    <row r="34918" spans="20:20" ht="18.75" customHeight="1" x14ac:dyDescent="0.35">
      <c r="T34918" s="246">
        <f t="shared" si="583"/>
        <v>0</v>
      </c>
    </row>
    <row r="34919" spans="20:20" ht="18.75" customHeight="1" x14ac:dyDescent="0.35">
      <c r="T34919" s="246">
        <f t="shared" si="583"/>
        <v>0</v>
      </c>
    </row>
    <row r="34920" spans="20:20" ht="18.75" customHeight="1" x14ac:dyDescent="0.35">
      <c r="T34920" s="246">
        <f t="shared" si="583"/>
        <v>0</v>
      </c>
    </row>
    <row r="34921" spans="20:20" ht="18.75" customHeight="1" x14ac:dyDescent="0.35">
      <c r="T34921" s="246">
        <f t="shared" si="583"/>
        <v>0</v>
      </c>
    </row>
    <row r="34922" spans="20:20" ht="18.75" customHeight="1" x14ac:dyDescent="0.35">
      <c r="T34922" s="246">
        <f t="shared" si="583"/>
        <v>0</v>
      </c>
    </row>
    <row r="34923" spans="20:20" ht="18.75" customHeight="1" x14ac:dyDescent="0.35">
      <c r="T34923" s="246">
        <f t="shared" si="583"/>
        <v>0</v>
      </c>
    </row>
    <row r="34924" spans="20:20" ht="18.75" customHeight="1" x14ac:dyDescent="0.35">
      <c r="T34924" s="246">
        <f t="shared" si="583"/>
        <v>0</v>
      </c>
    </row>
    <row r="34925" spans="20:20" ht="18.75" customHeight="1" x14ac:dyDescent="0.35">
      <c r="T34925" s="246">
        <f t="shared" si="583"/>
        <v>0</v>
      </c>
    </row>
    <row r="34926" spans="20:20" ht="18.75" customHeight="1" x14ac:dyDescent="0.35">
      <c r="T34926" s="246">
        <f t="shared" si="583"/>
        <v>0</v>
      </c>
    </row>
    <row r="34927" spans="20:20" ht="18.75" customHeight="1" x14ac:dyDescent="0.35">
      <c r="T34927" s="246">
        <f t="shared" si="583"/>
        <v>0</v>
      </c>
    </row>
    <row r="34928" spans="20:20" ht="18.75" customHeight="1" x14ac:dyDescent="0.35">
      <c r="T34928" s="246">
        <f t="shared" si="583"/>
        <v>0</v>
      </c>
    </row>
    <row r="34929" spans="20:20" ht="18.75" customHeight="1" x14ac:dyDescent="0.35">
      <c r="T34929" s="246">
        <f t="shared" si="583"/>
        <v>0</v>
      </c>
    </row>
    <row r="34930" spans="20:20" ht="18.75" customHeight="1" x14ac:dyDescent="0.35">
      <c r="T34930" s="246">
        <f t="shared" si="583"/>
        <v>0</v>
      </c>
    </row>
    <row r="34931" spans="20:20" ht="18.75" customHeight="1" x14ac:dyDescent="0.35">
      <c r="T34931" s="246">
        <f t="shared" si="583"/>
        <v>0</v>
      </c>
    </row>
    <row r="34932" spans="20:20" ht="18.75" customHeight="1" x14ac:dyDescent="0.35">
      <c r="T34932" s="246">
        <f t="shared" si="583"/>
        <v>0</v>
      </c>
    </row>
    <row r="34933" spans="20:20" ht="18.75" customHeight="1" x14ac:dyDescent="0.35">
      <c r="T34933" s="246">
        <f t="shared" si="583"/>
        <v>0</v>
      </c>
    </row>
    <row r="34934" spans="20:20" ht="18.75" customHeight="1" x14ac:dyDescent="0.35">
      <c r="T34934" s="246">
        <f t="shared" si="583"/>
        <v>0</v>
      </c>
    </row>
    <row r="34935" spans="20:20" ht="18.75" customHeight="1" x14ac:dyDescent="0.35">
      <c r="T34935" s="246">
        <f t="shared" si="583"/>
        <v>0</v>
      </c>
    </row>
    <row r="34936" spans="20:20" ht="18.75" customHeight="1" x14ac:dyDescent="0.35">
      <c r="T34936" s="246">
        <f t="shared" si="583"/>
        <v>0</v>
      </c>
    </row>
    <row r="34937" spans="20:20" ht="18.75" customHeight="1" x14ac:dyDescent="0.35">
      <c r="T34937" s="246">
        <f t="shared" si="583"/>
        <v>0</v>
      </c>
    </row>
    <row r="34938" spans="20:20" ht="18.75" customHeight="1" x14ac:dyDescent="0.35">
      <c r="T34938" s="246">
        <f t="shared" si="583"/>
        <v>0</v>
      </c>
    </row>
    <row r="34939" spans="20:20" ht="18.75" customHeight="1" x14ac:dyDescent="0.35">
      <c r="T34939" s="246">
        <f t="shared" si="583"/>
        <v>0</v>
      </c>
    </row>
    <row r="34940" spans="20:20" ht="18.75" customHeight="1" x14ac:dyDescent="0.35">
      <c r="T34940" s="246">
        <f t="shared" ref="T34940:T35003" si="584">R34940*0.01</f>
        <v>0</v>
      </c>
    </row>
    <row r="34941" spans="20:20" ht="18.75" customHeight="1" x14ac:dyDescent="0.35">
      <c r="T34941" s="246">
        <f t="shared" si="584"/>
        <v>0</v>
      </c>
    </row>
    <row r="34942" spans="20:20" ht="18.75" customHeight="1" x14ac:dyDescent="0.35">
      <c r="T34942" s="246">
        <f t="shared" si="584"/>
        <v>0</v>
      </c>
    </row>
    <row r="34943" spans="20:20" ht="18.75" customHeight="1" x14ac:dyDescent="0.35">
      <c r="T34943" s="246">
        <f t="shared" si="584"/>
        <v>0</v>
      </c>
    </row>
    <row r="34944" spans="20:20" ht="18.75" customHeight="1" x14ac:dyDescent="0.35">
      <c r="T34944" s="246">
        <f t="shared" si="584"/>
        <v>0</v>
      </c>
    </row>
    <row r="34945" spans="20:20" ht="18.75" customHeight="1" x14ac:dyDescent="0.35">
      <c r="T34945" s="246">
        <f t="shared" si="584"/>
        <v>0</v>
      </c>
    </row>
    <row r="34946" spans="20:20" ht="18.75" customHeight="1" x14ac:dyDescent="0.35">
      <c r="T34946" s="246">
        <f t="shared" si="584"/>
        <v>0</v>
      </c>
    </row>
    <row r="34947" spans="20:20" ht="18.75" customHeight="1" x14ac:dyDescent="0.35">
      <c r="T34947" s="246">
        <f t="shared" si="584"/>
        <v>0</v>
      </c>
    </row>
    <row r="34948" spans="20:20" ht="18.75" customHeight="1" x14ac:dyDescent="0.35">
      <c r="T34948" s="246">
        <f t="shared" si="584"/>
        <v>0</v>
      </c>
    </row>
    <row r="34949" spans="20:20" ht="18.75" customHeight="1" x14ac:dyDescent="0.35">
      <c r="T34949" s="246">
        <f t="shared" si="584"/>
        <v>0</v>
      </c>
    </row>
    <row r="34950" spans="20:20" ht="18.75" customHeight="1" x14ac:dyDescent="0.35">
      <c r="T34950" s="246">
        <f t="shared" si="584"/>
        <v>0</v>
      </c>
    </row>
    <row r="34951" spans="20:20" ht="18.75" customHeight="1" x14ac:dyDescent="0.35">
      <c r="T34951" s="246">
        <f t="shared" si="584"/>
        <v>0</v>
      </c>
    </row>
    <row r="34952" spans="20:20" ht="18.75" customHeight="1" x14ac:dyDescent="0.35">
      <c r="T34952" s="246">
        <f t="shared" si="584"/>
        <v>0</v>
      </c>
    </row>
    <row r="34953" spans="20:20" ht="18.75" customHeight="1" x14ac:dyDescent="0.35">
      <c r="T34953" s="246">
        <f t="shared" si="584"/>
        <v>0</v>
      </c>
    </row>
    <row r="34954" spans="20:20" ht="18.75" customHeight="1" x14ac:dyDescent="0.35">
      <c r="T34954" s="246">
        <f t="shared" si="584"/>
        <v>0</v>
      </c>
    </row>
    <row r="34955" spans="20:20" ht="18.75" customHeight="1" x14ac:dyDescent="0.35">
      <c r="T34955" s="246">
        <f t="shared" si="584"/>
        <v>0</v>
      </c>
    </row>
    <row r="34956" spans="20:20" ht="18.75" customHeight="1" x14ac:dyDescent="0.35">
      <c r="T34956" s="246">
        <f t="shared" si="584"/>
        <v>0</v>
      </c>
    </row>
    <row r="34957" spans="20:20" ht="18.75" customHeight="1" x14ac:dyDescent="0.35">
      <c r="T34957" s="246">
        <f t="shared" si="584"/>
        <v>0</v>
      </c>
    </row>
    <row r="34958" spans="20:20" ht="18.75" customHeight="1" x14ac:dyDescent="0.35">
      <c r="T34958" s="246">
        <f t="shared" si="584"/>
        <v>0</v>
      </c>
    </row>
    <row r="34959" spans="20:20" ht="18.75" customHeight="1" x14ac:dyDescent="0.35">
      <c r="T34959" s="246">
        <f t="shared" si="584"/>
        <v>0</v>
      </c>
    </row>
    <row r="34960" spans="20:20" ht="18.75" customHeight="1" x14ac:dyDescent="0.35">
      <c r="T34960" s="246">
        <f t="shared" si="584"/>
        <v>0</v>
      </c>
    </row>
    <row r="34961" spans="20:20" ht="18.75" customHeight="1" x14ac:dyDescent="0.35">
      <c r="T34961" s="246">
        <f t="shared" si="584"/>
        <v>0</v>
      </c>
    </row>
    <row r="34962" spans="20:20" ht="18.75" customHeight="1" x14ac:dyDescent="0.35">
      <c r="T34962" s="246">
        <f t="shared" si="584"/>
        <v>0</v>
      </c>
    </row>
    <row r="34963" spans="20:20" ht="18.75" customHeight="1" x14ac:dyDescent="0.35">
      <c r="T34963" s="246">
        <f t="shared" si="584"/>
        <v>0</v>
      </c>
    </row>
    <row r="34964" spans="20:20" ht="18.75" customHeight="1" x14ac:dyDescent="0.35">
      <c r="T34964" s="246">
        <f t="shared" si="584"/>
        <v>0</v>
      </c>
    </row>
    <row r="34965" spans="20:20" ht="18.75" customHeight="1" x14ac:dyDescent="0.35">
      <c r="T34965" s="246">
        <f t="shared" si="584"/>
        <v>0</v>
      </c>
    </row>
    <row r="34966" spans="20:20" ht="18.75" customHeight="1" x14ac:dyDescent="0.35">
      <c r="T34966" s="246">
        <f t="shared" si="584"/>
        <v>0</v>
      </c>
    </row>
    <row r="34967" spans="20:20" ht="18.75" customHeight="1" x14ac:dyDescent="0.35">
      <c r="T34967" s="246">
        <f t="shared" si="584"/>
        <v>0</v>
      </c>
    </row>
    <row r="34968" spans="20:20" ht="18.75" customHeight="1" x14ac:dyDescent="0.35">
      <c r="T34968" s="246">
        <f t="shared" si="584"/>
        <v>0</v>
      </c>
    </row>
    <row r="34969" spans="20:20" ht="18.75" customHeight="1" x14ac:dyDescent="0.35">
      <c r="T34969" s="246">
        <f t="shared" si="584"/>
        <v>0</v>
      </c>
    </row>
    <row r="34970" spans="20:20" ht="18.75" customHeight="1" x14ac:dyDescent="0.35">
      <c r="T34970" s="246">
        <f t="shared" si="584"/>
        <v>0</v>
      </c>
    </row>
    <row r="34971" spans="20:20" ht="18.75" customHeight="1" x14ac:dyDescent="0.35">
      <c r="T34971" s="246">
        <f t="shared" si="584"/>
        <v>0</v>
      </c>
    </row>
    <row r="34972" spans="20:20" ht="18.75" customHeight="1" x14ac:dyDescent="0.35">
      <c r="T34972" s="246">
        <f t="shared" si="584"/>
        <v>0</v>
      </c>
    </row>
    <row r="34973" spans="20:20" ht="18.75" customHeight="1" x14ac:dyDescent="0.35">
      <c r="T34973" s="246">
        <f t="shared" si="584"/>
        <v>0</v>
      </c>
    </row>
    <row r="34974" spans="20:20" ht="18.75" customHeight="1" x14ac:dyDescent="0.35">
      <c r="T34974" s="246">
        <f t="shared" si="584"/>
        <v>0</v>
      </c>
    </row>
    <row r="34975" spans="20:20" ht="18.75" customHeight="1" x14ac:dyDescent="0.35">
      <c r="T34975" s="246">
        <f t="shared" si="584"/>
        <v>0</v>
      </c>
    </row>
    <row r="34976" spans="20:20" ht="18.75" customHeight="1" x14ac:dyDescent="0.35">
      <c r="T34976" s="246">
        <f t="shared" si="584"/>
        <v>0</v>
      </c>
    </row>
    <row r="34977" spans="20:20" ht="18.75" customHeight="1" x14ac:dyDescent="0.35">
      <c r="T34977" s="246">
        <f t="shared" si="584"/>
        <v>0</v>
      </c>
    </row>
    <row r="34978" spans="20:20" ht="18.75" customHeight="1" x14ac:dyDescent="0.35">
      <c r="T34978" s="246">
        <f t="shared" si="584"/>
        <v>0</v>
      </c>
    </row>
    <row r="34979" spans="20:20" ht="18.75" customHeight="1" x14ac:dyDescent="0.35">
      <c r="T34979" s="246">
        <f t="shared" si="584"/>
        <v>0</v>
      </c>
    </row>
    <row r="34980" spans="20:20" ht="18.75" customHeight="1" x14ac:dyDescent="0.35">
      <c r="T34980" s="246">
        <f t="shared" si="584"/>
        <v>0</v>
      </c>
    </row>
    <row r="34981" spans="20:20" ht="18.75" customHeight="1" x14ac:dyDescent="0.35">
      <c r="T34981" s="246">
        <f t="shared" si="584"/>
        <v>0</v>
      </c>
    </row>
    <row r="34982" spans="20:20" ht="18.75" customHeight="1" x14ac:dyDescent="0.35">
      <c r="T34982" s="246">
        <f t="shared" si="584"/>
        <v>0</v>
      </c>
    </row>
    <row r="34983" spans="20:20" ht="18.75" customHeight="1" x14ac:dyDescent="0.35">
      <c r="T34983" s="246">
        <f t="shared" si="584"/>
        <v>0</v>
      </c>
    </row>
    <row r="34984" spans="20:20" ht="18.75" customHeight="1" x14ac:dyDescent="0.35">
      <c r="T34984" s="246">
        <f t="shared" si="584"/>
        <v>0</v>
      </c>
    </row>
    <row r="34985" spans="20:20" ht="18.75" customHeight="1" x14ac:dyDescent="0.35">
      <c r="T34985" s="246">
        <f t="shared" si="584"/>
        <v>0</v>
      </c>
    </row>
    <row r="34986" spans="20:20" ht="18.75" customHeight="1" x14ac:dyDescent="0.35">
      <c r="T34986" s="246">
        <f t="shared" si="584"/>
        <v>0</v>
      </c>
    </row>
    <row r="34987" spans="20:20" ht="18.75" customHeight="1" x14ac:dyDescent="0.35">
      <c r="T34987" s="246">
        <f t="shared" si="584"/>
        <v>0</v>
      </c>
    </row>
    <row r="34988" spans="20:20" ht="18.75" customHeight="1" x14ac:dyDescent="0.35">
      <c r="T34988" s="246">
        <f t="shared" si="584"/>
        <v>0</v>
      </c>
    </row>
    <row r="34989" spans="20:20" ht="18.75" customHeight="1" x14ac:dyDescent="0.35">
      <c r="T34989" s="246">
        <f t="shared" si="584"/>
        <v>0</v>
      </c>
    </row>
    <row r="34990" spans="20:20" ht="18.75" customHeight="1" x14ac:dyDescent="0.35">
      <c r="T34990" s="246">
        <f t="shared" si="584"/>
        <v>0</v>
      </c>
    </row>
    <row r="34991" spans="20:20" ht="18.75" customHeight="1" x14ac:dyDescent="0.35">
      <c r="T34991" s="246">
        <f t="shared" si="584"/>
        <v>0</v>
      </c>
    </row>
    <row r="34992" spans="20:20" ht="18.75" customHeight="1" x14ac:dyDescent="0.35">
      <c r="T34992" s="246">
        <f t="shared" si="584"/>
        <v>0</v>
      </c>
    </row>
    <row r="34993" spans="20:20" ht="18.75" customHeight="1" x14ac:dyDescent="0.35">
      <c r="T34993" s="246">
        <f t="shared" si="584"/>
        <v>0</v>
      </c>
    </row>
    <row r="34994" spans="20:20" ht="18.75" customHeight="1" x14ac:dyDescent="0.35">
      <c r="T34994" s="246">
        <f t="shared" si="584"/>
        <v>0</v>
      </c>
    </row>
    <row r="34995" spans="20:20" ht="18.75" customHeight="1" x14ac:dyDescent="0.35">
      <c r="T34995" s="246">
        <f t="shared" si="584"/>
        <v>0</v>
      </c>
    </row>
    <row r="34996" spans="20:20" ht="18.75" customHeight="1" x14ac:dyDescent="0.35">
      <c r="T34996" s="246">
        <f t="shared" si="584"/>
        <v>0</v>
      </c>
    </row>
    <row r="34997" spans="20:20" ht="18.75" customHeight="1" x14ac:dyDescent="0.35">
      <c r="T34997" s="246">
        <f t="shared" si="584"/>
        <v>0</v>
      </c>
    </row>
    <row r="34998" spans="20:20" ht="18.75" customHeight="1" x14ac:dyDescent="0.35">
      <c r="T34998" s="246">
        <f t="shared" si="584"/>
        <v>0</v>
      </c>
    </row>
    <row r="34999" spans="20:20" ht="18.75" customHeight="1" x14ac:dyDescent="0.35">
      <c r="T34999" s="246">
        <f t="shared" si="584"/>
        <v>0</v>
      </c>
    </row>
    <row r="35000" spans="20:20" ht="18.75" customHeight="1" x14ac:dyDescent="0.35">
      <c r="T35000" s="246">
        <f t="shared" si="584"/>
        <v>0</v>
      </c>
    </row>
    <row r="35001" spans="20:20" ht="18.75" customHeight="1" x14ac:dyDescent="0.35">
      <c r="T35001" s="246">
        <f t="shared" si="584"/>
        <v>0</v>
      </c>
    </row>
    <row r="35002" spans="20:20" ht="18.75" customHeight="1" x14ac:dyDescent="0.35">
      <c r="T35002" s="246">
        <f t="shared" si="584"/>
        <v>0</v>
      </c>
    </row>
    <row r="35003" spans="20:20" ht="18.75" customHeight="1" x14ac:dyDescent="0.35">
      <c r="T35003" s="246">
        <f t="shared" si="584"/>
        <v>0</v>
      </c>
    </row>
    <row r="35004" spans="20:20" ht="18.75" customHeight="1" x14ac:dyDescent="0.35">
      <c r="T35004" s="246">
        <f t="shared" ref="T35004:T35067" si="585">R35004*0.01</f>
        <v>0</v>
      </c>
    </row>
    <row r="35005" spans="20:20" ht="18.75" customHeight="1" x14ac:dyDescent="0.35">
      <c r="T35005" s="246">
        <f t="shared" si="585"/>
        <v>0</v>
      </c>
    </row>
    <row r="35006" spans="20:20" ht="18.75" customHeight="1" x14ac:dyDescent="0.35">
      <c r="T35006" s="246">
        <f t="shared" si="585"/>
        <v>0</v>
      </c>
    </row>
    <row r="35007" spans="20:20" ht="18.75" customHeight="1" x14ac:dyDescent="0.35">
      <c r="T35007" s="246">
        <f t="shared" si="585"/>
        <v>0</v>
      </c>
    </row>
    <row r="35008" spans="20:20" ht="18.75" customHeight="1" x14ac:dyDescent="0.35">
      <c r="T35008" s="246">
        <f t="shared" si="585"/>
        <v>0</v>
      </c>
    </row>
    <row r="35009" spans="20:20" ht="18.75" customHeight="1" x14ac:dyDescent="0.35">
      <c r="T35009" s="246">
        <f t="shared" si="585"/>
        <v>0</v>
      </c>
    </row>
    <row r="35010" spans="20:20" ht="18.75" customHeight="1" x14ac:dyDescent="0.35">
      <c r="T35010" s="246">
        <f t="shared" si="585"/>
        <v>0</v>
      </c>
    </row>
    <row r="35011" spans="20:20" ht="18.75" customHeight="1" x14ac:dyDescent="0.35">
      <c r="T35011" s="246">
        <f t="shared" si="585"/>
        <v>0</v>
      </c>
    </row>
    <row r="35012" spans="20:20" ht="18.75" customHeight="1" x14ac:dyDescent="0.35">
      <c r="T35012" s="246">
        <f t="shared" si="585"/>
        <v>0</v>
      </c>
    </row>
    <row r="35013" spans="20:20" ht="18.75" customHeight="1" x14ac:dyDescent="0.35">
      <c r="T35013" s="246">
        <f t="shared" si="585"/>
        <v>0</v>
      </c>
    </row>
    <row r="35014" spans="20:20" ht="18.75" customHeight="1" x14ac:dyDescent="0.35">
      <c r="T35014" s="246">
        <f t="shared" si="585"/>
        <v>0</v>
      </c>
    </row>
    <row r="35015" spans="20:20" ht="18.75" customHeight="1" x14ac:dyDescent="0.35">
      <c r="T35015" s="246">
        <f t="shared" si="585"/>
        <v>0</v>
      </c>
    </row>
    <row r="35016" spans="20:20" ht="18.75" customHeight="1" x14ac:dyDescent="0.35">
      <c r="T35016" s="246">
        <f t="shared" si="585"/>
        <v>0</v>
      </c>
    </row>
    <row r="35017" spans="20:20" ht="18.75" customHeight="1" x14ac:dyDescent="0.35">
      <c r="T35017" s="246">
        <f t="shared" si="585"/>
        <v>0</v>
      </c>
    </row>
    <row r="35018" spans="20:20" ht="18.75" customHeight="1" x14ac:dyDescent="0.35">
      <c r="T35018" s="246">
        <f t="shared" si="585"/>
        <v>0</v>
      </c>
    </row>
    <row r="35019" spans="20:20" ht="18.75" customHeight="1" x14ac:dyDescent="0.35">
      <c r="T35019" s="246">
        <f t="shared" si="585"/>
        <v>0</v>
      </c>
    </row>
    <row r="35020" spans="20:20" ht="18.75" customHeight="1" x14ac:dyDescent="0.35">
      <c r="T35020" s="246">
        <f t="shared" si="585"/>
        <v>0</v>
      </c>
    </row>
    <row r="35021" spans="20:20" ht="18.75" customHeight="1" x14ac:dyDescent="0.35">
      <c r="T35021" s="246">
        <f t="shared" si="585"/>
        <v>0</v>
      </c>
    </row>
    <row r="35022" spans="20:20" ht="18.75" customHeight="1" x14ac:dyDescent="0.35">
      <c r="T35022" s="246">
        <f t="shared" si="585"/>
        <v>0</v>
      </c>
    </row>
    <row r="35023" spans="20:20" ht="18.75" customHeight="1" x14ac:dyDescent="0.35">
      <c r="T35023" s="246">
        <f t="shared" si="585"/>
        <v>0</v>
      </c>
    </row>
    <row r="35024" spans="20:20" ht="18.75" customHeight="1" x14ac:dyDescent="0.35">
      <c r="T35024" s="246">
        <f t="shared" si="585"/>
        <v>0</v>
      </c>
    </row>
    <row r="35025" spans="20:20" ht="18.75" customHeight="1" x14ac:dyDescent="0.35">
      <c r="T35025" s="246">
        <f t="shared" si="585"/>
        <v>0</v>
      </c>
    </row>
    <row r="35026" spans="20:20" ht="18.75" customHeight="1" x14ac:dyDescent="0.35">
      <c r="T35026" s="246">
        <f t="shared" si="585"/>
        <v>0</v>
      </c>
    </row>
    <row r="35027" spans="20:20" ht="18.75" customHeight="1" x14ac:dyDescent="0.35">
      <c r="T35027" s="246">
        <f t="shared" si="585"/>
        <v>0</v>
      </c>
    </row>
    <row r="35028" spans="20:20" ht="18.75" customHeight="1" x14ac:dyDescent="0.35">
      <c r="T35028" s="246">
        <f t="shared" si="585"/>
        <v>0</v>
      </c>
    </row>
    <row r="35029" spans="20:20" ht="18.75" customHeight="1" x14ac:dyDescent="0.35">
      <c r="T35029" s="246">
        <f t="shared" si="585"/>
        <v>0</v>
      </c>
    </row>
    <row r="35030" spans="20:20" ht="18.75" customHeight="1" x14ac:dyDescent="0.35">
      <c r="T35030" s="246">
        <f t="shared" si="585"/>
        <v>0</v>
      </c>
    </row>
    <row r="35031" spans="20:20" ht="18.75" customHeight="1" x14ac:dyDescent="0.35">
      <c r="T35031" s="246">
        <f t="shared" si="585"/>
        <v>0</v>
      </c>
    </row>
    <row r="35032" spans="20:20" ht="18.75" customHeight="1" x14ac:dyDescent="0.35">
      <c r="T35032" s="246">
        <f t="shared" si="585"/>
        <v>0</v>
      </c>
    </row>
    <row r="35033" spans="20:20" ht="18.75" customHeight="1" x14ac:dyDescent="0.35">
      <c r="T35033" s="246">
        <f t="shared" si="585"/>
        <v>0</v>
      </c>
    </row>
    <row r="35034" spans="20:20" ht="18.75" customHeight="1" x14ac:dyDescent="0.35">
      <c r="T35034" s="246">
        <f t="shared" si="585"/>
        <v>0</v>
      </c>
    </row>
    <row r="35035" spans="20:20" ht="18.75" customHeight="1" x14ac:dyDescent="0.35">
      <c r="T35035" s="246">
        <f t="shared" si="585"/>
        <v>0</v>
      </c>
    </row>
    <row r="35036" spans="20:20" ht="18.75" customHeight="1" x14ac:dyDescent="0.35">
      <c r="T35036" s="246">
        <f t="shared" si="585"/>
        <v>0</v>
      </c>
    </row>
    <row r="35037" spans="20:20" ht="18.75" customHeight="1" x14ac:dyDescent="0.35">
      <c r="T35037" s="246">
        <f t="shared" si="585"/>
        <v>0</v>
      </c>
    </row>
    <row r="35038" spans="20:20" ht="18.75" customHeight="1" x14ac:dyDescent="0.35">
      <c r="T35038" s="246">
        <f t="shared" si="585"/>
        <v>0</v>
      </c>
    </row>
    <row r="35039" spans="20:20" ht="18.75" customHeight="1" x14ac:dyDescent="0.35">
      <c r="T35039" s="246">
        <f t="shared" si="585"/>
        <v>0</v>
      </c>
    </row>
    <row r="35040" spans="20:20" ht="18.75" customHeight="1" x14ac:dyDescent="0.35">
      <c r="T35040" s="246">
        <f t="shared" si="585"/>
        <v>0</v>
      </c>
    </row>
    <row r="35041" spans="20:20" ht="18.75" customHeight="1" x14ac:dyDescent="0.35">
      <c r="T35041" s="246">
        <f t="shared" si="585"/>
        <v>0</v>
      </c>
    </row>
    <row r="35042" spans="20:20" ht="18.75" customHeight="1" x14ac:dyDescent="0.35">
      <c r="T35042" s="246">
        <f t="shared" si="585"/>
        <v>0</v>
      </c>
    </row>
    <row r="35043" spans="20:20" ht="18.75" customHeight="1" x14ac:dyDescent="0.35">
      <c r="T35043" s="246">
        <f t="shared" si="585"/>
        <v>0</v>
      </c>
    </row>
    <row r="35044" spans="20:20" ht="18.75" customHeight="1" x14ac:dyDescent="0.35">
      <c r="T35044" s="246">
        <f t="shared" si="585"/>
        <v>0</v>
      </c>
    </row>
    <row r="35045" spans="20:20" ht="18.75" customHeight="1" x14ac:dyDescent="0.35">
      <c r="T35045" s="246">
        <f t="shared" si="585"/>
        <v>0</v>
      </c>
    </row>
    <row r="35046" spans="20:20" ht="18.75" customHeight="1" x14ac:dyDescent="0.35">
      <c r="T35046" s="246">
        <f t="shared" si="585"/>
        <v>0</v>
      </c>
    </row>
    <row r="35047" spans="20:20" ht="18.75" customHeight="1" x14ac:dyDescent="0.35">
      <c r="T35047" s="246">
        <f t="shared" si="585"/>
        <v>0</v>
      </c>
    </row>
    <row r="35048" spans="20:20" ht="18.75" customHeight="1" x14ac:dyDescent="0.35">
      <c r="T35048" s="246">
        <f t="shared" si="585"/>
        <v>0</v>
      </c>
    </row>
    <row r="35049" spans="20:20" ht="18.75" customHeight="1" x14ac:dyDescent="0.35">
      <c r="T35049" s="246">
        <f t="shared" si="585"/>
        <v>0</v>
      </c>
    </row>
    <row r="35050" spans="20:20" ht="18.75" customHeight="1" x14ac:dyDescent="0.35">
      <c r="T35050" s="246">
        <f t="shared" si="585"/>
        <v>0</v>
      </c>
    </row>
    <row r="35051" spans="20:20" ht="18.75" customHeight="1" x14ac:dyDescent="0.35">
      <c r="T35051" s="246">
        <f t="shared" si="585"/>
        <v>0</v>
      </c>
    </row>
    <row r="35052" spans="20:20" ht="18.75" customHeight="1" x14ac:dyDescent="0.35">
      <c r="T35052" s="246">
        <f t="shared" si="585"/>
        <v>0</v>
      </c>
    </row>
    <row r="35053" spans="20:20" ht="18.75" customHeight="1" x14ac:dyDescent="0.35">
      <c r="T35053" s="246">
        <f t="shared" si="585"/>
        <v>0</v>
      </c>
    </row>
    <row r="35054" spans="20:20" ht="18.75" customHeight="1" x14ac:dyDescent="0.35">
      <c r="T35054" s="246">
        <f t="shared" si="585"/>
        <v>0</v>
      </c>
    </row>
    <row r="35055" spans="20:20" ht="18.75" customHeight="1" x14ac:dyDescent="0.35">
      <c r="T35055" s="246">
        <f t="shared" si="585"/>
        <v>0</v>
      </c>
    </row>
    <row r="35056" spans="20:20" ht="18.75" customHeight="1" x14ac:dyDescent="0.35">
      <c r="T35056" s="246">
        <f t="shared" si="585"/>
        <v>0</v>
      </c>
    </row>
    <row r="35057" spans="20:20" ht="18.75" customHeight="1" x14ac:dyDescent="0.35">
      <c r="T35057" s="246">
        <f t="shared" si="585"/>
        <v>0</v>
      </c>
    </row>
    <row r="35058" spans="20:20" ht="18.75" customHeight="1" x14ac:dyDescent="0.35">
      <c r="T35058" s="246">
        <f t="shared" si="585"/>
        <v>0</v>
      </c>
    </row>
    <row r="35059" spans="20:20" ht="18.75" customHeight="1" x14ac:dyDescent="0.35">
      <c r="T35059" s="246">
        <f t="shared" si="585"/>
        <v>0</v>
      </c>
    </row>
    <row r="35060" spans="20:20" ht="18.75" customHeight="1" x14ac:dyDescent="0.35">
      <c r="T35060" s="246">
        <f t="shared" si="585"/>
        <v>0</v>
      </c>
    </row>
    <row r="35061" spans="20:20" ht="18.75" customHeight="1" x14ac:dyDescent="0.35">
      <c r="T35061" s="246">
        <f t="shared" si="585"/>
        <v>0</v>
      </c>
    </row>
    <row r="35062" spans="20:20" ht="18.75" customHeight="1" x14ac:dyDescent="0.35">
      <c r="T35062" s="246">
        <f t="shared" si="585"/>
        <v>0</v>
      </c>
    </row>
    <row r="35063" spans="20:20" ht="18.75" customHeight="1" x14ac:dyDescent="0.35">
      <c r="T35063" s="246">
        <f t="shared" si="585"/>
        <v>0</v>
      </c>
    </row>
    <row r="35064" spans="20:20" ht="18.75" customHeight="1" x14ac:dyDescent="0.35">
      <c r="T35064" s="246">
        <f t="shared" si="585"/>
        <v>0</v>
      </c>
    </row>
    <row r="35065" spans="20:20" ht="18.75" customHeight="1" x14ac:dyDescent="0.35">
      <c r="T35065" s="246">
        <f t="shared" si="585"/>
        <v>0</v>
      </c>
    </row>
    <row r="35066" spans="20:20" ht="18.75" customHeight="1" x14ac:dyDescent="0.35">
      <c r="T35066" s="246">
        <f t="shared" si="585"/>
        <v>0</v>
      </c>
    </row>
    <row r="35067" spans="20:20" ht="18.75" customHeight="1" x14ac:dyDescent="0.35">
      <c r="T35067" s="246">
        <f t="shared" si="585"/>
        <v>0</v>
      </c>
    </row>
    <row r="35068" spans="20:20" ht="18.75" customHeight="1" x14ac:dyDescent="0.35">
      <c r="T35068" s="246">
        <f t="shared" ref="T35068:T35131" si="586">R35068*0.01</f>
        <v>0</v>
      </c>
    </row>
    <row r="35069" spans="20:20" ht="18.75" customHeight="1" x14ac:dyDescent="0.35">
      <c r="T35069" s="246">
        <f t="shared" si="586"/>
        <v>0</v>
      </c>
    </row>
    <row r="35070" spans="20:20" ht="18.75" customHeight="1" x14ac:dyDescent="0.35">
      <c r="T35070" s="246">
        <f t="shared" si="586"/>
        <v>0</v>
      </c>
    </row>
    <row r="35071" spans="20:20" ht="18.75" customHeight="1" x14ac:dyDescent="0.35">
      <c r="T35071" s="246">
        <f t="shared" si="586"/>
        <v>0</v>
      </c>
    </row>
    <row r="35072" spans="20:20" ht="18.75" customHeight="1" x14ac:dyDescent="0.35">
      <c r="T35072" s="246">
        <f t="shared" si="586"/>
        <v>0</v>
      </c>
    </row>
    <row r="35073" spans="20:20" ht="18.75" customHeight="1" x14ac:dyDescent="0.35">
      <c r="T35073" s="246">
        <f t="shared" si="586"/>
        <v>0</v>
      </c>
    </row>
    <row r="35074" spans="20:20" ht="18.75" customHeight="1" x14ac:dyDescent="0.35">
      <c r="T35074" s="246">
        <f t="shared" si="586"/>
        <v>0</v>
      </c>
    </row>
    <row r="35075" spans="20:20" ht="18.75" customHeight="1" x14ac:dyDescent="0.35">
      <c r="T35075" s="246">
        <f t="shared" si="586"/>
        <v>0</v>
      </c>
    </row>
    <row r="35076" spans="20:20" ht="18.75" customHeight="1" x14ac:dyDescent="0.35">
      <c r="T35076" s="246">
        <f t="shared" si="586"/>
        <v>0</v>
      </c>
    </row>
    <row r="35077" spans="20:20" ht="18.75" customHeight="1" x14ac:dyDescent="0.35">
      <c r="T35077" s="246">
        <f t="shared" si="586"/>
        <v>0</v>
      </c>
    </row>
    <row r="35078" spans="20:20" ht="18.75" customHeight="1" x14ac:dyDescent="0.35">
      <c r="T35078" s="246">
        <f t="shared" si="586"/>
        <v>0</v>
      </c>
    </row>
    <row r="35079" spans="20:20" ht="18.75" customHeight="1" x14ac:dyDescent="0.35">
      <c r="T35079" s="246">
        <f t="shared" si="586"/>
        <v>0</v>
      </c>
    </row>
    <row r="35080" spans="20:20" ht="18.75" customHeight="1" x14ac:dyDescent="0.35">
      <c r="T35080" s="246">
        <f t="shared" si="586"/>
        <v>0</v>
      </c>
    </row>
    <row r="35081" spans="20:20" ht="18.75" customHeight="1" x14ac:dyDescent="0.35">
      <c r="T35081" s="246">
        <f t="shared" si="586"/>
        <v>0</v>
      </c>
    </row>
    <row r="35082" spans="20:20" ht="18.75" customHeight="1" x14ac:dyDescent="0.35">
      <c r="T35082" s="246">
        <f t="shared" si="586"/>
        <v>0</v>
      </c>
    </row>
    <row r="35083" spans="20:20" ht="18.75" customHeight="1" x14ac:dyDescent="0.35">
      <c r="T35083" s="246">
        <f t="shared" si="586"/>
        <v>0</v>
      </c>
    </row>
    <row r="35084" spans="20:20" ht="18.75" customHeight="1" x14ac:dyDescent="0.35">
      <c r="T35084" s="246">
        <f t="shared" si="586"/>
        <v>0</v>
      </c>
    </row>
    <row r="35085" spans="20:20" ht="18.75" customHeight="1" x14ac:dyDescent="0.35">
      <c r="T35085" s="246">
        <f t="shared" si="586"/>
        <v>0</v>
      </c>
    </row>
    <row r="35086" spans="20:20" ht="18.75" customHeight="1" x14ac:dyDescent="0.35">
      <c r="T35086" s="246">
        <f t="shared" si="586"/>
        <v>0</v>
      </c>
    </row>
    <row r="35087" spans="20:20" ht="18.75" customHeight="1" x14ac:dyDescent="0.35">
      <c r="T35087" s="246">
        <f t="shared" si="586"/>
        <v>0</v>
      </c>
    </row>
    <row r="35088" spans="20:20" ht="18.75" customHeight="1" x14ac:dyDescent="0.35">
      <c r="T35088" s="246">
        <f t="shared" si="586"/>
        <v>0</v>
      </c>
    </row>
    <row r="35089" spans="20:20" ht="18.75" customHeight="1" x14ac:dyDescent="0.35">
      <c r="T35089" s="246">
        <f t="shared" si="586"/>
        <v>0</v>
      </c>
    </row>
    <row r="35090" spans="20:20" ht="18.75" customHeight="1" x14ac:dyDescent="0.35">
      <c r="T35090" s="246">
        <f t="shared" si="586"/>
        <v>0</v>
      </c>
    </row>
    <row r="35091" spans="20:20" ht="18.75" customHeight="1" x14ac:dyDescent="0.35">
      <c r="T35091" s="246">
        <f t="shared" si="586"/>
        <v>0</v>
      </c>
    </row>
    <row r="35092" spans="20:20" ht="18.75" customHeight="1" x14ac:dyDescent="0.35">
      <c r="T35092" s="246">
        <f t="shared" si="586"/>
        <v>0</v>
      </c>
    </row>
    <row r="35093" spans="20:20" ht="18.75" customHeight="1" x14ac:dyDescent="0.35">
      <c r="T35093" s="246">
        <f t="shared" si="586"/>
        <v>0</v>
      </c>
    </row>
    <row r="35094" spans="20:20" ht="18.75" customHeight="1" x14ac:dyDescent="0.35">
      <c r="T35094" s="246">
        <f t="shared" si="586"/>
        <v>0</v>
      </c>
    </row>
    <row r="35095" spans="20:20" ht="18.75" customHeight="1" x14ac:dyDescent="0.35">
      <c r="T35095" s="246">
        <f t="shared" si="586"/>
        <v>0</v>
      </c>
    </row>
    <row r="35096" spans="20:20" ht="18.75" customHeight="1" x14ac:dyDescent="0.35">
      <c r="T35096" s="246">
        <f t="shared" si="586"/>
        <v>0</v>
      </c>
    </row>
    <row r="35097" spans="20:20" ht="18.75" customHeight="1" x14ac:dyDescent="0.35">
      <c r="T35097" s="246">
        <f t="shared" si="586"/>
        <v>0</v>
      </c>
    </row>
    <row r="35098" spans="20:20" ht="18.75" customHeight="1" x14ac:dyDescent="0.35">
      <c r="T35098" s="246">
        <f t="shared" si="586"/>
        <v>0</v>
      </c>
    </row>
    <row r="35099" spans="20:20" ht="18.75" customHeight="1" x14ac:dyDescent="0.35">
      <c r="T35099" s="246">
        <f t="shared" si="586"/>
        <v>0</v>
      </c>
    </row>
    <row r="35100" spans="20:20" ht="18.75" customHeight="1" x14ac:dyDescent="0.35">
      <c r="T35100" s="246">
        <f t="shared" si="586"/>
        <v>0</v>
      </c>
    </row>
    <row r="35101" spans="20:20" ht="18.75" customHeight="1" x14ac:dyDescent="0.35">
      <c r="T35101" s="246">
        <f t="shared" si="586"/>
        <v>0</v>
      </c>
    </row>
    <row r="35102" spans="20:20" ht="18.75" customHeight="1" x14ac:dyDescent="0.35">
      <c r="T35102" s="246">
        <f t="shared" si="586"/>
        <v>0</v>
      </c>
    </row>
    <row r="35103" spans="20:20" ht="18.75" customHeight="1" x14ac:dyDescent="0.35">
      <c r="T35103" s="246">
        <f t="shared" si="586"/>
        <v>0</v>
      </c>
    </row>
    <row r="35104" spans="20:20" ht="18.75" customHeight="1" x14ac:dyDescent="0.35">
      <c r="T35104" s="246">
        <f t="shared" si="586"/>
        <v>0</v>
      </c>
    </row>
    <row r="35105" spans="20:20" ht="18.75" customHeight="1" x14ac:dyDescent="0.35">
      <c r="T35105" s="246">
        <f t="shared" si="586"/>
        <v>0</v>
      </c>
    </row>
    <row r="35106" spans="20:20" ht="18.75" customHeight="1" x14ac:dyDescent="0.35">
      <c r="T35106" s="246">
        <f t="shared" si="586"/>
        <v>0</v>
      </c>
    </row>
    <row r="35107" spans="20:20" ht="18.75" customHeight="1" x14ac:dyDescent="0.35">
      <c r="T35107" s="246">
        <f t="shared" si="586"/>
        <v>0</v>
      </c>
    </row>
    <row r="35108" spans="20:20" ht="18.75" customHeight="1" x14ac:dyDescent="0.35">
      <c r="T35108" s="246">
        <f t="shared" si="586"/>
        <v>0</v>
      </c>
    </row>
    <row r="35109" spans="20:20" ht="18.75" customHeight="1" x14ac:dyDescent="0.35">
      <c r="T35109" s="246">
        <f t="shared" si="586"/>
        <v>0</v>
      </c>
    </row>
    <row r="35110" spans="20:20" ht="18.75" customHeight="1" x14ac:dyDescent="0.35">
      <c r="T35110" s="246">
        <f t="shared" si="586"/>
        <v>0</v>
      </c>
    </row>
    <row r="35111" spans="20:20" ht="18.75" customHeight="1" x14ac:dyDescent="0.35">
      <c r="T35111" s="246">
        <f t="shared" si="586"/>
        <v>0</v>
      </c>
    </row>
    <row r="35112" spans="20:20" ht="18.75" customHeight="1" x14ac:dyDescent="0.35">
      <c r="T35112" s="246">
        <f t="shared" si="586"/>
        <v>0</v>
      </c>
    </row>
    <row r="35113" spans="20:20" ht="18.75" customHeight="1" x14ac:dyDescent="0.35">
      <c r="T35113" s="246">
        <f t="shared" si="586"/>
        <v>0</v>
      </c>
    </row>
    <row r="35114" spans="20:20" ht="18.75" customHeight="1" x14ac:dyDescent="0.35">
      <c r="T35114" s="246">
        <f t="shared" si="586"/>
        <v>0</v>
      </c>
    </row>
    <row r="35115" spans="20:20" ht="18.75" customHeight="1" x14ac:dyDescent="0.35">
      <c r="T35115" s="246">
        <f t="shared" si="586"/>
        <v>0</v>
      </c>
    </row>
    <row r="35116" spans="20:20" ht="18.75" customHeight="1" x14ac:dyDescent="0.35">
      <c r="T35116" s="246">
        <f t="shared" si="586"/>
        <v>0</v>
      </c>
    </row>
    <row r="35117" spans="20:20" ht="18.75" customHeight="1" x14ac:dyDescent="0.35">
      <c r="T35117" s="246">
        <f t="shared" si="586"/>
        <v>0</v>
      </c>
    </row>
    <row r="35118" spans="20:20" ht="18.75" customHeight="1" x14ac:dyDescent="0.35">
      <c r="T35118" s="246">
        <f t="shared" si="586"/>
        <v>0</v>
      </c>
    </row>
    <row r="35119" spans="20:20" ht="18.75" customHeight="1" x14ac:dyDescent="0.35">
      <c r="T35119" s="246">
        <f t="shared" si="586"/>
        <v>0</v>
      </c>
    </row>
    <row r="35120" spans="20:20" ht="18.75" customHeight="1" x14ac:dyDescent="0.35">
      <c r="T35120" s="246">
        <f t="shared" si="586"/>
        <v>0</v>
      </c>
    </row>
    <row r="35121" spans="20:20" ht="18.75" customHeight="1" x14ac:dyDescent="0.35">
      <c r="T35121" s="246">
        <f t="shared" si="586"/>
        <v>0</v>
      </c>
    </row>
    <row r="35122" spans="20:20" ht="18.75" customHeight="1" x14ac:dyDescent="0.35">
      <c r="T35122" s="246">
        <f t="shared" si="586"/>
        <v>0</v>
      </c>
    </row>
    <row r="35123" spans="20:20" ht="18.75" customHeight="1" x14ac:dyDescent="0.35">
      <c r="T35123" s="246">
        <f t="shared" si="586"/>
        <v>0</v>
      </c>
    </row>
    <row r="35124" spans="20:20" ht="18.75" customHeight="1" x14ac:dyDescent="0.35">
      <c r="T35124" s="246">
        <f t="shared" si="586"/>
        <v>0</v>
      </c>
    </row>
    <row r="35125" spans="20:20" ht="18.75" customHeight="1" x14ac:dyDescent="0.35">
      <c r="T35125" s="246">
        <f t="shared" si="586"/>
        <v>0</v>
      </c>
    </row>
    <row r="35126" spans="20:20" ht="18.75" customHeight="1" x14ac:dyDescent="0.35">
      <c r="T35126" s="246">
        <f t="shared" si="586"/>
        <v>0</v>
      </c>
    </row>
    <row r="35127" spans="20:20" ht="18.75" customHeight="1" x14ac:dyDescent="0.35">
      <c r="T35127" s="246">
        <f t="shared" si="586"/>
        <v>0</v>
      </c>
    </row>
    <row r="35128" spans="20:20" ht="18.75" customHeight="1" x14ac:dyDescent="0.35">
      <c r="T35128" s="246">
        <f t="shared" si="586"/>
        <v>0</v>
      </c>
    </row>
    <row r="35129" spans="20:20" ht="18.75" customHeight="1" x14ac:dyDescent="0.35">
      <c r="T35129" s="246">
        <f t="shared" si="586"/>
        <v>0</v>
      </c>
    </row>
    <row r="35130" spans="20:20" ht="18.75" customHeight="1" x14ac:dyDescent="0.35">
      <c r="T35130" s="246">
        <f t="shared" si="586"/>
        <v>0</v>
      </c>
    </row>
    <row r="35131" spans="20:20" ht="18.75" customHeight="1" x14ac:dyDescent="0.35">
      <c r="T35131" s="246">
        <f t="shared" si="586"/>
        <v>0</v>
      </c>
    </row>
    <row r="35132" spans="20:20" ht="18.75" customHeight="1" x14ac:dyDescent="0.35">
      <c r="T35132" s="246">
        <f t="shared" ref="T35132:T35195" si="587">R35132*0.01</f>
        <v>0</v>
      </c>
    </row>
    <row r="35133" spans="20:20" ht="18.75" customHeight="1" x14ac:dyDescent="0.35">
      <c r="T35133" s="246">
        <f t="shared" si="587"/>
        <v>0</v>
      </c>
    </row>
    <row r="35134" spans="20:20" ht="18.75" customHeight="1" x14ac:dyDescent="0.35">
      <c r="T35134" s="246">
        <f t="shared" si="587"/>
        <v>0</v>
      </c>
    </row>
    <row r="35135" spans="20:20" ht="18.75" customHeight="1" x14ac:dyDescent="0.35">
      <c r="T35135" s="246">
        <f t="shared" si="587"/>
        <v>0</v>
      </c>
    </row>
    <row r="35136" spans="20:20" ht="18.75" customHeight="1" x14ac:dyDescent="0.35">
      <c r="T35136" s="246">
        <f t="shared" si="587"/>
        <v>0</v>
      </c>
    </row>
    <row r="35137" spans="20:20" ht="18.75" customHeight="1" x14ac:dyDescent="0.35">
      <c r="T35137" s="246">
        <f t="shared" si="587"/>
        <v>0</v>
      </c>
    </row>
    <row r="35138" spans="20:20" ht="18.75" customHeight="1" x14ac:dyDescent="0.35">
      <c r="T35138" s="246">
        <f t="shared" si="587"/>
        <v>0</v>
      </c>
    </row>
    <row r="35139" spans="20:20" ht="18.75" customHeight="1" x14ac:dyDescent="0.35">
      <c r="T35139" s="246">
        <f t="shared" si="587"/>
        <v>0</v>
      </c>
    </row>
    <row r="35140" spans="20:20" ht="18.75" customHeight="1" x14ac:dyDescent="0.35">
      <c r="T35140" s="246">
        <f t="shared" si="587"/>
        <v>0</v>
      </c>
    </row>
    <row r="35141" spans="20:20" ht="18.75" customHeight="1" x14ac:dyDescent="0.35">
      <c r="T35141" s="246">
        <f t="shared" si="587"/>
        <v>0</v>
      </c>
    </row>
    <row r="35142" spans="20:20" ht="18.75" customHeight="1" x14ac:dyDescent="0.35">
      <c r="T35142" s="246">
        <f t="shared" si="587"/>
        <v>0</v>
      </c>
    </row>
    <row r="35143" spans="20:20" ht="18.75" customHeight="1" x14ac:dyDescent="0.35">
      <c r="T35143" s="246">
        <f t="shared" si="587"/>
        <v>0</v>
      </c>
    </row>
    <row r="35144" spans="20:20" ht="18.75" customHeight="1" x14ac:dyDescent="0.35">
      <c r="T35144" s="246">
        <f t="shared" si="587"/>
        <v>0</v>
      </c>
    </row>
    <row r="35145" spans="20:20" ht="18.75" customHeight="1" x14ac:dyDescent="0.35">
      <c r="T35145" s="246">
        <f t="shared" si="587"/>
        <v>0</v>
      </c>
    </row>
    <row r="35146" spans="20:20" ht="18.75" customHeight="1" x14ac:dyDescent="0.35">
      <c r="T35146" s="246">
        <f t="shared" si="587"/>
        <v>0</v>
      </c>
    </row>
    <row r="35147" spans="20:20" ht="18.75" customHeight="1" x14ac:dyDescent="0.35">
      <c r="T35147" s="246">
        <f t="shared" si="587"/>
        <v>0</v>
      </c>
    </row>
    <row r="35148" spans="20:20" ht="18.75" customHeight="1" x14ac:dyDescent="0.35">
      <c r="T35148" s="246">
        <f t="shared" si="587"/>
        <v>0</v>
      </c>
    </row>
    <row r="35149" spans="20:20" ht="18.75" customHeight="1" x14ac:dyDescent="0.35">
      <c r="T35149" s="246">
        <f t="shared" si="587"/>
        <v>0</v>
      </c>
    </row>
    <row r="35150" spans="20:20" ht="18.75" customHeight="1" x14ac:dyDescent="0.35">
      <c r="T35150" s="246">
        <f t="shared" si="587"/>
        <v>0</v>
      </c>
    </row>
    <row r="35151" spans="20:20" ht="18.75" customHeight="1" x14ac:dyDescent="0.35">
      <c r="T35151" s="246">
        <f t="shared" si="587"/>
        <v>0</v>
      </c>
    </row>
    <row r="35152" spans="20:20" ht="18.75" customHeight="1" x14ac:dyDescent="0.35">
      <c r="T35152" s="246">
        <f t="shared" si="587"/>
        <v>0</v>
      </c>
    </row>
    <row r="35153" spans="20:20" ht="18.75" customHeight="1" x14ac:dyDescent="0.35">
      <c r="T35153" s="246">
        <f t="shared" si="587"/>
        <v>0</v>
      </c>
    </row>
    <row r="35154" spans="20:20" ht="18.75" customHeight="1" x14ac:dyDescent="0.35">
      <c r="T35154" s="246">
        <f t="shared" si="587"/>
        <v>0</v>
      </c>
    </row>
    <row r="35155" spans="20:20" ht="18.75" customHeight="1" x14ac:dyDescent="0.35">
      <c r="T35155" s="246">
        <f t="shared" si="587"/>
        <v>0</v>
      </c>
    </row>
    <row r="35156" spans="20:20" ht="18.75" customHeight="1" x14ac:dyDescent="0.35">
      <c r="T35156" s="246">
        <f t="shared" si="587"/>
        <v>0</v>
      </c>
    </row>
    <row r="35157" spans="20:20" ht="18.75" customHeight="1" x14ac:dyDescent="0.35">
      <c r="T35157" s="246">
        <f t="shared" si="587"/>
        <v>0</v>
      </c>
    </row>
    <row r="35158" spans="20:20" ht="18.75" customHeight="1" x14ac:dyDescent="0.35">
      <c r="T35158" s="246">
        <f t="shared" si="587"/>
        <v>0</v>
      </c>
    </row>
    <row r="35159" spans="20:20" ht="18.75" customHeight="1" x14ac:dyDescent="0.35">
      <c r="T35159" s="246">
        <f t="shared" si="587"/>
        <v>0</v>
      </c>
    </row>
    <row r="35160" spans="20:20" ht="18.75" customHeight="1" x14ac:dyDescent="0.35">
      <c r="T35160" s="246">
        <f t="shared" si="587"/>
        <v>0</v>
      </c>
    </row>
    <row r="35161" spans="20:20" ht="18.75" customHeight="1" x14ac:dyDescent="0.35">
      <c r="T35161" s="246">
        <f t="shared" si="587"/>
        <v>0</v>
      </c>
    </row>
    <row r="35162" spans="20:20" ht="18.75" customHeight="1" x14ac:dyDescent="0.35">
      <c r="T35162" s="246">
        <f t="shared" si="587"/>
        <v>0</v>
      </c>
    </row>
    <row r="35163" spans="20:20" ht="18.75" customHeight="1" x14ac:dyDescent="0.35">
      <c r="T35163" s="246">
        <f t="shared" si="587"/>
        <v>0</v>
      </c>
    </row>
    <row r="35164" spans="20:20" ht="18.75" customHeight="1" x14ac:dyDescent="0.35">
      <c r="T35164" s="246">
        <f t="shared" si="587"/>
        <v>0</v>
      </c>
    </row>
    <row r="35165" spans="20:20" ht="18.75" customHeight="1" x14ac:dyDescent="0.35">
      <c r="T35165" s="246">
        <f t="shared" si="587"/>
        <v>0</v>
      </c>
    </row>
    <row r="35166" spans="20:20" ht="18.75" customHeight="1" x14ac:dyDescent="0.35">
      <c r="T35166" s="246">
        <f t="shared" si="587"/>
        <v>0</v>
      </c>
    </row>
    <row r="35167" spans="20:20" ht="18.75" customHeight="1" x14ac:dyDescent="0.35">
      <c r="T35167" s="246">
        <f t="shared" si="587"/>
        <v>0</v>
      </c>
    </row>
    <row r="35168" spans="20:20" ht="18.75" customHeight="1" x14ac:dyDescent="0.35">
      <c r="T35168" s="246">
        <f t="shared" si="587"/>
        <v>0</v>
      </c>
    </row>
    <row r="35169" spans="20:20" ht="18.75" customHeight="1" x14ac:dyDescent="0.35">
      <c r="T35169" s="246">
        <f t="shared" si="587"/>
        <v>0</v>
      </c>
    </row>
    <row r="35170" spans="20:20" ht="18.75" customHeight="1" x14ac:dyDescent="0.35">
      <c r="T35170" s="246">
        <f t="shared" si="587"/>
        <v>0</v>
      </c>
    </row>
    <row r="35171" spans="20:20" ht="18.75" customHeight="1" x14ac:dyDescent="0.35">
      <c r="T35171" s="246">
        <f t="shared" si="587"/>
        <v>0</v>
      </c>
    </row>
    <row r="35172" spans="20:20" ht="18.75" customHeight="1" x14ac:dyDescent="0.35">
      <c r="T35172" s="246">
        <f t="shared" si="587"/>
        <v>0</v>
      </c>
    </row>
    <row r="35173" spans="20:20" ht="18.75" customHeight="1" x14ac:dyDescent="0.35">
      <c r="T35173" s="246">
        <f t="shared" si="587"/>
        <v>0</v>
      </c>
    </row>
    <row r="35174" spans="20:20" ht="18.75" customHeight="1" x14ac:dyDescent="0.35">
      <c r="T35174" s="246">
        <f t="shared" si="587"/>
        <v>0</v>
      </c>
    </row>
    <row r="35175" spans="20:20" ht="18.75" customHeight="1" x14ac:dyDescent="0.35">
      <c r="T35175" s="246">
        <f t="shared" si="587"/>
        <v>0</v>
      </c>
    </row>
    <row r="35176" spans="20:20" ht="18.75" customHeight="1" x14ac:dyDescent="0.35">
      <c r="T35176" s="246">
        <f t="shared" si="587"/>
        <v>0</v>
      </c>
    </row>
    <row r="35177" spans="20:20" ht="18.75" customHeight="1" x14ac:dyDescent="0.35">
      <c r="T35177" s="246">
        <f t="shared" si="587"/>
        <v>0</v>
      </c>
    </row>
    <row r="35178" spans="20:20" ht="18.75" customHeight="1" x14ac:dyDescent="0.35">
      <c r="T35178" s="246">
        <f t="shared" si="587"/>
        <v>0</v>
      </c>
    </row>
    <row r="35179" spans="20:20" ht="18.75" customHeight="1" x14ac:dyDescent="0.35">
      <c r="T35179" s="246">
        <f t="shared" si="587"/>
        <v>0</v>
      </c>
    </row>
    <row r="35180" spans="20:20" ht="18.75" customHeight="1" x14ac:dyDescent="0.35">
      <c r="T35180" s="246">
        <f t="shared" si="587"/>
        <v>0</v>
      </c>
    </row>
    <row r="35181" spans="20:20" ht="18.75" customHeight="1" x14ac:dyDescent="0.35">
      <c r="T35181" s="246">
        <f t="shared" si="587"/>
        <v>0</v>
      </c>
    </row>
    <row r="35182" spans="20:20" ht="18.75" customHeight="1" x14ac:dyDescent="0.35">
      <c r="T35182" s="246">
        <f t="shared" si="587"/>
        <v>0</v>
      </c>
    </row>
    <row r="35183" spans="20:20" ht="18.75" customHeight="1" x14ac:dyDescent="0.35">
      <c r="T35183" s="246">
        <f t="shared" si="587"/>
        <v>0</v>
      </c>
    </row>
    <row r="35184" spans="20:20" ht="18.75" customHeight="1" x14ac:dyDescent="0.35">
      <c r="T35184" s="246">
        <f t="shared" si="587"/>
        <v>0</v>
      </c>
    </row>
    <row r="35185" spans="20:20" ht="18.75" customHeight="1" x14ac:dyDescent="0.35">
      <c r="T35185" s="246">
        <f t="shared" si="587"/>
        <v>0</v>
      </c>
    </row>
    <row r="35186" spans="20:20" ht="18.75" customHeight="1" x14ac:dyDescent="0.35">
      <c r="T35186" s="246">
        <f t="shared" si="587"/>
        <v>0</v>
      </c>
    </row>
    <row r="35187" spans="20:20" ht="18.75" customHeight="1" x14ac:dyDescent="0.35">
      <c r="T35187" s="246">
        <f t="shared" si="587"/>
        <v>0</v>
      </c>
    </row>
    <row r="35188" spans="20:20" ht="18.75" customHeight="1" x14ac:dyDescent="0.35">
      <c r="T35188" s="246">
        <f t="shared" si="587"/>
        <v>0</v>
      </c>
    </row>
    <row r="35189" spans="20:20" ht="18.75" customHeight="1" x14ac:dyDescent="0.35">
      <c r="T35189" s="246">
        <f t="shared" si="587"/>
        <v>0</v>
      </c>
    </row>
    <row r="35190" spans="20:20" ht="18.75" customHeight="1" x14ac:dyDescent="0.35">
      <c r="T35190" s="246">
        <f t="shared" si="587"/>
        <v>0</v>
      </c>
    </row>
    <row r="35191" spans="20:20" ht="18.75" customHeight="1" x14ac:dyDescent="0.35">
      <c r="T35191" s="246">
        <f t="shared" si="587"/>
        <v>0</v>
      </c>
    </row>
    <row r="35192" spans="20:20" ht="18.75" customHeight="1" x14ac:dyDescent="0.35">
      <c r="T35192" s="246">
        <f t="shared" si="587"/>
        <v>0</v>
      </c>
    </row>
    <row r="35193" spans="20:20" ht="18.75" customHeight="1" x14ac:dyDescent="0.35">
      <c r="T35193" s="246">
        <f t="shared" si="587"/>
        <v>0</v>
      </c>
    </row>
    <row r="35194" spans="20:20" ht="18.75" customHeight="1" x14ac:dyDescent="0.35">
      <c r="T35194" s="246">
        <f t="shared" si="587"/>
        <v>0</v>
      </c>
    </row>
    <row r="35195" spans="20:20" ht="18.75" customHeight="1" x14ac:dyDescent="0.35">
      <c r="T35195" s="246">
        <f t="shared" si="587"/>
        <v>0</v>
      </c>
    </row>
    <row r="35196" spans="20:20" ht="18.75" customHeight="1" x14ac:dyDescent="0.35">
      <c r="T35196" s="246">
        <f t="shared" ref="T35196:T35259" si="588">R35196*0.01</f>
        <v>0</v>
      </c>
    </row>
    <row r="35197" spans="20:20" ht="18.75" customHeight="1" x14ac:dyDescent="0.35">
      <c r="T35197" s="246">
        <f t="shared" si="588"/>
        <v>0</v>
      </c>
    </row>
    <row r="35198" spans="20:20" ht="18.75" customHeight="1" x14ac:dyDescent="0.35">
      <c r="T35198" s="246">
        <f t="shared" si="588"/>
        <v>0</v>
      </c>
    </row>
    <row r="35199" spans="20:20" ht="18.75" customHeight="1" x14ac:dyDescent="0.35">
      <c r="T35199" s="246">
        <f t="shared" si="588"/>
        <v>0</v>
      </c>
    </row>
    <row r="35200" spans="20:20" ht="18.75" customHeight="1" x14ac:dyDescent="0.35">
      <c r="T35200" s="246">
        <f t="shared" si="588"/>
        <v>0</v>
      </c>
    </row>
    <row r="35201" spans="20:20" ht="18.75" customHeight="1" x14ac:dyDescent="0.35">
      <c r="T35201" s="246">
        <f t="shared" si="588"/>
        <v>0</v>
      </c>
    </row>
    <row r="35202" spans="20:20" ht="18.75" customHeight="1" x14ac:dyDescent="0.35">
      <c r="T35202" s="246">
        <f t="shared" si="588"/>
        <v>0</v>
      </c>
    </row>
    <row r="35203" spans="20:20" ht="18.75" customHeight="1" x14ac:dyDescent="0.35">
      <c r="T35203" s="246">
        <f t="shared" si="588"/>
        <v>0</v>
      </c>
    </row>
    <row r="35204" spans="20:20" ht="18.75" customHeight="1" x14ac:dyDescent="0.35">
      <c r="T35204" s="246">
        <f t="shared" si="588"/>
        <v>0</v>
      </c>
    </row>
    <row r="35205" spans="20:20" ht="18.75" customHeight="1" x14ac:dyDescent="0.35">
      <c r="T35205" s="246">
        <f t="shared" si="588"/>
        <v>0</v>
      </c>
    </row>
    <row r="35206" spans="20:20" ht="18.75" customHeight="1" x14ac:dyDescent="0.35">
      <c r="T35206" s="246">
        <f t="shared" si="588"/>
        <v>0</v>
      </c>
    </row>
    <row r="35207" spans="20:20" ht="18.75" customHeight="1" x14ac:dyDescent="0.35">
      <c r="T35207" s="246">
        <f t="shared" si="588"/>
        <v>0</v>
      </c>
    </row>
    <row r="35208" spans="20:20" ht="18.75" customHeight="1" x14ac:dyDescent="0.35">
      <c r="T35208" s="246">
        <f t="shared" si="588"/>
        <v>0</v>
      </c>
    </row>
    <row r="35209" spans="20:20" ht="18.75" customHeight="1" x14ac:dyDescent="0.35">
      <c r="T35209" s="246">
        <f t="shared" si="588"/>
        <v>0</v>
      </c>
    </row>
    <row r="35210" spans="20:20" ht="18.75" customHeight="1" x14ac:dyDescent="0.35">
      <c r="T35210" s="246">
        <f t="shared" si="588"/>
        <v>0</v>
      </c>
    </row>
    <row r="35211" spans="20:20" ht="18.75" customHeight="1" x14ac:dyDescent="0.35">
      <c r="T35211" s="246">
        <f t="shared" si="588"/>
        <v>0</v>
      </c>
    </row>
    <row r="35212" spans="20:20" ht="18.75" customHeight="1" x14ac:dyDescent="0.35">
      <c r="T35212" s="246">
        <f t="shared" si="588"/>
        <v>0</v>
      </c>
    </row>
    <row r="35213" spans="20:20" ht="18.75" customHeight="1" x14ac:dyDescent="0.35">
      <c r="T35213" s="246">
        <f t="shared" si="588"/>
        <v>0</v>
      </c>
    </row>
    <row r="35214" spans="20:20" ht="18.75" customHeight="1" x14ac:dyDescent="0.35">
      <c r="T35214" s="246">
        <f t="shared" si="588"/>
        <v>0</v>
      </c>
    </row>
    <row r="35215" spans="20:20" ht="18.75" customHeight="1" x14ac:dyDescent="0.35">
      <c r="T35215" s="246">
        <f t="shared" si="588"/>
        <v>0</v>
      </c>
    </row>
    <row r="35216" spans="20:20" ht="18.75" customHeight="1" x14ac:dyDescent="0.35">
      <c r="T35216" s="246">
        <f t="shared" si="588"/>
        <v>0</v>
      </c>
    </row>
    <row r="35217" spans="20:20" ht="18.75" customHeight="1" x14ac:dyDescent="0.35">
      <c r="T35217" s="246">
        <f t="shared" si="588"/>
        <v>0</v>
      </c>
    </row>
    <row r="35218" spans="20:20" ht="18.75" customHeight="1" x14ac:dyDescent="0.35">
      <c r="T35218" s="246">
        <f t="shared" si="588"/>
        <v>0</v>
      </c>
    </row>
    <row r="35219" spans="20:20" ht="18.75" customHeight="1" x14ac:dyDescent="0.35">
      <c r="T35219" s="246">
        <f t="shared" si="588"/>
        <v>0</v>
      </c>
    </row>
    <row r="35220" spans="20:20" ht="18.75" customHeight="1" x14ac:dyDescent="0.35">
      <c r="T35220" s="246">
        <f t="shared" si="588"/>
        <v>0</v>
      </c>
    </row>
    <row r="35221" spans="20:20" ht="18.75" customHeight="1" x14ac:dyDescent="0.35">
      <c r="T35221" s="246">
        <f t="shared" si="588"/>
        <v>0</v>
      </c>
    </row>
    <row r="35222" spans="20:20" ht="18.75" customHeight="1" x14ac:dyDescent="0.35">
      <c r="T35222" s="246">
        <f t="shared" si="588"/>
        <v>0</v>
      </c>
    </row>
    <row r="35223" spans="20:20" ht="18.75" customHeight="1" x14ac:dyDescent="0.35">
      <c r="T35223" s="246">
        <f t="shared" si="588"/>
        <v>0</v>
      </c>
    </row>
    <row r="35224" spans="20:20" ht="18.75" customHeight="1" x14ac:dyDescent="0.35">
      <c r="T35224" s="246">
        <f t="shared" si="588"/>
        <v>0</v>
      </c>
    </row>
    <row r="35225" spans="20:20" ht="18.75" customHeight="1" x14ac:dyDescent="0.35">
      <c r="T35225" s="246">
        <f t="shared" si="588"/>
        <v>0</v>
      </c>
    </row>
    <row r="35226" spans="20:20" ht="18.75" customHeight="1" x14ac:dyDescent="0.35">
      <c r="T35226" s="246">
        <f t="shared" si="588"/>
        <v>0</v>
      </c>
    </row>
    <row r="35227" spans="20:20" ht="18.75" customHeight="1" x14ac:dyDescent="0.35">
      <c r="T35227" s="246">
        <f t="shared" si="588"/>
        <v>0</v>
      </c>
    </row>
    <row r="35228" spans="20:20" ht="18.75" customHeight="1" x14ac:dyDescent="0.35">
      <c r="T35228" s="246">
        <f t="shared" si="588"/>
        <v>0</v>
      </c>
    </row>
    <row r="35229" spans="20:20" ht="18.75" customHeight="1" x14ac:dyDescent="0.35">
      <c r="T35229" s="246">
        <f t="shared" si="588"/>
        <v>0</v>
      </c>
    </row>
    <row r="35230" spans="20:20" ht="18.75" customHeight="1" x14ac:dyDescent="0.35">
      <c r="T35230" s="246">
        <f t="shared" si="588"/>
        <v>0</v>
      </c>
    </row>
    <row r="35231" spans="20:20" ht="18.75" customHeight="1" x14ac:dyDescent="0.35">
      <c r="T35231" s="246">
        <f t="shared" si="588"/>
        <v>0</v>
      </c>
    </row>
    <row r="35232" spans="20:20" ht="18.75" customHeight="1" x14ac:dyDescent="0.35">
      <c r="T35232" s="246">
        <f t="shared" si="588"/>
        <v>0</v>
      </c>
    </row>
    <row r="35233" spans="20:20" ht="18.75" customHeight="1" x14ac:dyDescent="0.35">
      <c r="T35233" s="246">
        <f t="shared" si="588"/>
        <v>0</v>
      </c>
    </row>
    <row r="35234" spans="20:20" ht="18.75" customHeight="1" x14ac:dyDescent="0.35">
      <c r="T35234" s="246">
        <f t="shared" si="588"/>
        <v>0</v>
      </c>
    </row>
    <row r="35235" spans="20:20" ht="18.75" customHeight="1" x14ac:dyDescent="0.35">
      <c r="T35235" s="246">
        <f t="shared" si="588"/>
        <v>0</v>
      </c>
    </row>
    <row r="35236" spans="20:20" ht="18.75" customHeight="1" x14ac:dyDescent="0.35">
      <c r="T35236" s="246">
        <f t="shared" si="588"/>
        <v>0</v>
      </c>
    </row>
    <row r="35237" spans="20:20" ht="18.75" customHeight="1" x14ac:dyDescent="0.35">
      <c r="T35237" s="246">
        <f t="shared" si="588"/>
        <v>0</v>
      </c>
    </row>
    <row r="35238" spans="20:20" ht="18.75" customHeight="1" x14ac:dyDescent="0.35">
      <c r="T35238" s="246">
        <f t="shared" si="588"/>
        <v>0</v>
      </c>
    </row>
    <row r="35239" spans="20:20" ht="18.75" customHeight="1" x14ac:dyDescent="0.35">
      <c r="T35239" s="246">
        <f t="shared" si="588"/>
        <v>0</v>
      </c>
    </row>
    <row r="35240" spans="20:20" ht="18.75" customHeight="1" x14ac:dyDescent="0.35">
      <c r="T35240" s="246">
        <f t="shared" si="588"/>
        <v>0</v>
      </c>
    </row>
    <row r="35241" spans="20:20" ht="18.75" customHeight="1" x14ac:dyDescent="0.35">
      <c r="T35241" s="246">
        <f t="shared" si="588"/>
        <v>0</v>
      </c>
    </row>
    <row r="35242" spans="20:20" ht="18.75" customHeight="1" x14ac:dyDescent="0.35">
      <c r="T35242" s="246">
        <f t="shared" si="588"/>
        <v>0</v>
      </c>
    </row>
    <row r="35243" spans="20:20" ht="18.75" customHeight="1" x14ac:dyDescent="0.35">
      <c r="T35243" s="246">
        <f t="shared" si="588"/>
        <v>0</v>
      </c>
    </row>
    <row r="35244" spans="20:20" ht="18.75" customHeight="1" x14ac:dyDescent="0.35">
      <c r="T35244" s="246">
        <f t="shared" si="588"/>
        <v>0</v>
      </c>
    </row>
    <row r="35245" spans="20:20" ht="18.75" customHeight="1" x14ac:dyDescent="0.35">
      <c r="T35245" s="246">
        <f t="shared" si="588"/>
        <v>0</v>
      </c>
    </row>
    <row r="35246" spans="20:20" ht="18.75" customHeight="1" x14ac:dyDescent="0.35">
      <c r="T35246" s="246">
        <f t="shared" si="588"/>
        <v>0</v>
      </c>
    </row>
    <row r="35247" spans="20:20" ht="18.75" customHeight="1" x14ac:dyDescent="0.35">
      <c r="T35247" s="246">
        <f t="shared" si="588"/>
        <v>0</v>
      </c>
    </row>
    <row r="35248" spans="20:20" ht="18.75" customHeight="1" x14ac:dyDescent="0.35">
      <c r="T35248" s="246">
        <f t="shared" si="588"/>
        <v>0</v>
      </c>
    </row>
    <row r="35249" spans="20:20" ht="18.75" customHeight="1" x14ac:dyDescent="0.35">
      <c r="T35249" s="246">
        <f t="shared" si="588"/>
        <v>0</v>
      </c>
    </row>
    <row r="35250" spans="20:20" ht="18.75" customHeight="1" x14ac:dyDescent="0.35">
      <c r="T35250" s="246">
        <f t="shared" si="588"/>
        <v>0</v>
      </c>
    </row>
    <row r="35251" spans="20:20" ht="18.75" customHeight="1" x14ac:dyDescent="0.35">
      <c r="T35251" s="246">
        <f t="shared" si="588"/>
        <v>0</v>
      </c>
    </row>
    <row r="35252" spans="20:20" ht="18.75" customHeight="1" x14ac:dyDescent="0.35">
      <c r="T35252" s="246">
        <f t="shared" si="588"/>
        <v>0</v>
      </c>
    </row>
    <row r="35253" spans="20:20" ht="18.75" customHeight="1" x14ac:dyDescent="0.35">
      <c r="T35253" s="246">
        <f t="shared" si="588"/>
        <v>0</v>
      </c>
    </row>
    <row r="35254" spans="20:20" ht="18.75" customHeight="1" x14ac:dyDescent="0.35">
      <c r="T35254" s="246">
        <f t="shared" si="588"/>
        <v>0</v>
      </c>
    </row>
    <row r="35255" spans="20:20" ht="18.75" customHeight="1" x14ac:dyDescent="0.35">
      <c r="T35255" s="246">
        <f t="shared" si="588"/>
        <v>0</v>
      </c>
    </row>
    <row r="35256" spans="20:20" ht="18.75" customHeight="1" x14ac:dyDescent="0.35">
      <c r="T35256" s="246">
        <f t="shared" si="588"/>
        <v>0</v>
      </c>
    </row>
    <row r="35257" spans="20:20" ht="18.75" customHeight="1" x14ac:dyDescent="0.35">
      <c r="T35257" s="246">
        <f t="shared" si="588"/>
        <v>0</v>
      </c>
    </row>
    <row r="35258" spans="20:20" ht="18.75" customHeight="1" x14ac:dyDescent="0.35">
      <c r="T35258" s="246">
        <f t="shared" si="588"/>
        <v>0</v>
      </c>
    </row>
    <row r="35259" spans="20:20" ht="18.75" customHeight="1" x14ac:dyDescent="0.35">
      <c r="T35259" s="246">
        <f t="shared" si="588"/>
        <v>0</v>
      </c>
    </row>
    <row r="35260" spans="20:20" ht="18.75" customHeight="1" x14ac:dyDescent="0.35">
      <c r="T35260" s="246">
        <f t="shared" ref="T35260:T35323" si="589">R35260*0.01</f>
        <v>0</v>
      </c>
    </row>
    <row r="35261" spans="20:20" ht="18.75" customHeight="1" x14ac:dyDescent="0.35">
      <c r="T35261" s="246">
        <f t="shared" si="589"/>
        <v>0</v>
      </c>
    </row>
    <row r="35262" spans="20:20" ht="18.75" customHeight="1" x14ac:dyDescent="0.35">
      <c r="T35262" s="246">
        <f t="shared" si="589"/>
        <v>0</v>
      </c>
    </row>
    <row r="35263" spans="20:20" ht="18.75" customHeight="1" x14ac:dyDescent="0.35">
      <c r="T35263" s="246">
        <f t="shared" si="589"/>
        <v>0</v>
      </c>
    </row>
    <row r="35264" spans="20:20" ht="18.75" customHeight="1" x14ac:dyDescent="0.35">
      <c r="T35264" s="246">
        <f t="shared" si="589"/>
        <v>0</v>
      </c>
    </row>
    <row r="35265" spans="20:20" ht="18.75" customHeight="1" x14ac:dyDescent="0.35">
      <c r="T35265" s="246">
        <f t="shared" si="589"/>
        <v>0</v>
      </c>
    </row>
    <row r="35266" spans="20:20" ht="18.75" customHeight="1" x14ac:dyDescent="0.35">
      <c r="T35266" s="246">
        <f t="shared" si="589"/>
        <v>0</v>
      </c>
    </row>
    <row r="35267" spans="20:20" ht="18.75" customHeight="1" x14ac:dyDescent="0.35">
      <c r="T35267" s="246">
        <f t="shared" si="589"/>
        <v>0</v>
      </c>
    </row>
    <row r="35268" spans="20:20" ht="18.75" customHeight="1" x14ac:dyDescent="0.35">
      <c r="T35268" s="246">
        <f t="shared" si="589"/>
        <v>0</v>
      </c>
    </row>
    <row r="35269" spans="20:20" ht="18.75" customHeight="1" x14ac:dyDescent="0.35">
      <c r="T35269" s="246">
        <f t="shared" si="589"/>
        <v>0</v>
      </c>
    </row>
    <row r="35270" spans="20:20" ht="18.75" customHeight="1" x14ac:dyDescent="0.35">
      <c r="T35270" s="246">
        <f t="shared" si="589"/>
        <v>0</v>
      </c>
    </row>
    <row r="35271" spans="20:20" ht="18.75" customHeight="1" x14ac:dyDescent="0.35">
      <c r="T35271" s="246">
        <f t="shared" si="589"/>
        <v>0</v>
      </c>
    </row>
    <row r="35272" spans="20:20" ht="18.75" customHeight="1" x14ac:dyDescent="0.35">
      <c r="T35272" s="246">
        <f t="shared" si="589"/>
        <v>0</v>
      </c>
    </row>
    <row r="35273" spans="20:20" ht="18.75" customHeight="1" x14ac:dyDescent="0.35">
      <c r="T35273" s="246">
        <f t="shared" si="589"/>
        <v>0</v>
      </c>
    </row>
    <row r="35274" spans="20:20" ht="18.75" customHeight="1" x14ac:dyDescent="0.35">
      <c r="T35274" s="246">
        <f t="shared" si="589"/>
        <v>0</v>
      </c>
    </row>
    <row r="35275" spans="20:20" ht="18.75" customHeight="1" x14ac:dyDescent="0.35">
      <c r="T35275" s="246">
        <f t="shared" si="589"/>
        <v>0</v>
      </c>
    </row>
    <row r="35276" spans="20:20" ht="18.75" customHeight="1" x14ac:dyDescent="0.35">
      <c r="T35276" s="246">
        <f t="shared" si="589"/>
        <v>0</v>
      </c>
    </row>
    <row r="35277" spans="20:20" ht="18.75" customHeight="1" x14ac:dyDescent="0.35">
      <c r="T35277" s="246">
        <f t="shared" si="589"/>
        <v>0</v>
      </c>
    </row>
    <row r="35278" spans="20:20" ht="18.75" customHeight="1" x14ac:dyDescent="0.35">
      <c r="T35278" s="246">
        <f t="shared" si="589"/>
        <v>0</v>
      </c>
    </row>
    <row r="35279" spans="20:20" ht="18.75" customHeight="1" x14ac:dyDescent="0.35">
      <c r="T35279" s="246">
        <f t="shared" si="589"/>
        <v>0</v>
      </c>
    </row>
    <row r="35280" spans="20:20" ht="18.75" customHeight="1" x14ac:dyDescent="0.35">
      <c r="T35280" s="246">
        <f t="shared" si="589"/>
        <v>0</v>
      </c>
    </row>
    <row r="35281" spans="20:20" ht="18.75" customHeight="1" x14ac:dyDescent="0.35">
      <c r="T35281" s="246">
        <f t="shared" si="589"/>
        <v>0</v>
      </c>
    </row>
    <row r="35282" spans="20:20" ht="18.75" customHeight="1" x14ac:dyDescent="0.35">
      <c r="T35282" s="246">
        <f t="shared" si="589"/>
        <v>0</v>
      </c>
    </row>
    <row r="35283" spans="20:20" ht="18.75" customHeight="1" x14ac:dyDescent="0.35">
      <c r="T35283" s="246">
        <f t="shared" si="589"/>
        <v>0</v>
      </c>
    </row>
    <row r="35284" spans="20:20" ht="18.75" customHeight="1" x14ac:dyDescent="0.35">
      <c r="T35284" s="246">
        <f t="shared" si="589"/>
        <v>0</v>
      </c>
    </row>
    <row r="35285" spans="20:20" ht="18.75" customHeight="1" x14ac:dyDescent="0.35">
      <c r="T35285" s="246">
        <f t="shared" si="589"/>
        <v>0</v>
      </c>
    </row>
    <row r="35286" spans="20:20" ht="18.75" customHeight="1" x14ac:dyDescent="0.35">
      <c r="T35286" s="246">
        <f t="shared" si="589"/>
        <v>0</v>
      </c>
    </row>
    <row r="35287" spans="20:20" ht="18.75" customHeight="1" x14ac:dyDescent="0.35">
      <c r="T35287" s="246">
        <f t="shared" si="589"/>
        <v>0</v>
      </c>
    </row>
    <row r="35288" spans="20:20" ht="18.75" customHeight="1" x14ac:dyDescent="0.35">
      <c r="T35288" s="246">
        <f t="shared" si="589"/>
        <v>0</v>
      </c>
    </row>
    <row r="35289" spans="20:20" ht="18.75" customHeight="1" x14ac:dyDescent="0.35">
      <c r="T35289" s="246">
        <f t="shared" si="589"/>
        <v>0</v>
      </c>
    </row>
    <row r="35290" spans="20:20" ht="18.75" customHeight="1" x14ac:dyDescent="0.35">
      <c r="T35290" s="246">
        <f t="shared" si="589"/>
        <v>0</v>
      </c>
    </row>
    <row r="35291" spans="20:20" ht="18.75" customHeight="1" x14ac:dyDescent="0.35">
      <c r="T35291" s="246">
        <f t="shared" si="589"/>
        <v>0</v>
      </c>
    </row>
    <row r="35292" spans="20:20" ht="18.75" customHeight="1" x14ac:dyDescent="0.35">
      <c r="T35292" s="246">
        <f t="shared" si="589"/>
        <v>0</v>
      </c>
    </row>
    <row r="35293" spans="20:20" ht="18.75" customHeight="1" x14ac:dyDescent="0.35">
      <c r="T35293" s="246">
        <f t="shared" si="589"/>
        <v>0</v>
      </c>
    </row>
    <row r="35294" spans="20:20" ht="18.75" customHeight="1" x14ac:dyDescent="0.35">
      <c r="T35294" s="246">
        <f t="shared" si="589"/>
        <v>0</v>
      </c>
    </row>
    <row r="35295" spans="20:20" ht="18.75" customHeight="1" x14ac:dyDescent="0.35">
      <c r="T35295" s="246">
        <f t="shared" si="589"/>
        <v>0</v>
      </c>
    </row>
    <row r="35296" spans="20:20" ht="18.75" customHeight="1" x14ac:dyDescent="0.35">
      <c r="T35296" s="246">
        <f t="shared" si="589"/>
        <v>0</v>
      </c>
    </row>
    <row r="35297" spans="20:20" ht="18.75" customHeight="1" x14ac:dyDescent="0.35">
      <c r="T35297" s="246">
        <f t="shared" si="589"/>
        <v>0</v>
      </c>
    </row>
    <row r="35298" spans="20:20" ht="18.75" customHeight="1" x14ac:dyDescent="0.35">
      <c r="T35298" s="246">
        <f t="shared" si="589"/>
        <v>0</v>
      </c>
    </row>
    <row r="35299" spans="20:20" ht="18.75" customHeight="1" x14ac:dyDescent="0.35">
      <c r="T35299" s="246">
        <f t="shared" si="589"/>
        <v>0</v>
      </c>
    </row>
    <row r="35300" spans="20:20" ht="18.75" customHeight="1" x14ac:dyDescent="0.35">
      <c r="T35300" s="246">
        <f t="shared" si="589"/>
        <v>0</v>
      </c>
    </row>
    <row r="35301" spans="20:20" ht="18.75" customHeight="1" x14ac:dyDescent="0.35">
      <c r="T35301" s="246">
        <f t="shared" si="589"/>
        <v>0</v>
      </c>
    </row>
    <row r="35302" spans="20:20" ht="18.75" customHeight="1" x14ac:dyDescent="0.35">
      <c r="T35302" s="246">
        <f t="shared" si="589"/>
        <v>0</v>
      </c>
    </row>
    <row r="35303" spans="20:20" ht="18.75" customHeight="1" x14ac:dyDescent="0.35">
      <c r="T35303" s="246">
        <f t="shared" si="589"/>
        <v>0</v>
      </c>
    </row>
    <row r="35304" spans="20:20" ht="18.75" customHeight="1" x14ac:dyDescent="0.35">
      <c r="T35304" s="246">
        <f t="shared" si="589"/>
        <v>0</v>
      </c>
    </row>
    <row r="35305" spans="20:20" ht="18.75" customHeight="1" x14ac:dyDescent="0.35">
      <c r="T35305" s="246">
        <f t="shared" si="589"/>
        <v>0</v>
      </c>
    </row>
    <row r="35306" spans="20:20" ht="18.75" customHeight="1" x14ac:dyDescent="0.35">
      <c r="T35306" s="246">
        <f t="shared" si="589"/>
        <v>0</v>
      </c>
    </row>
    <row r="35307" spans="20:20" ht="18.75" customHeight="1" x14ac:dyDescent="0.35">
      <c r="T35307" s="246">
        <f t="shared" si="589"/>
        <v>0</v>
      </c>
    </row>
    <row r="35308" spans="20:20" ht="18.75" customHeight="1" x14ac:dyDescent="0.35">
      <c r="T35308" s="246">
        <f t="shared" si="589"/>
        <v>0</v>
      </c>
    </row>
    <row r="35309" spans="20:20" ht="18.75" customHeight="1" x14ac:dyDescent="0.35">
      <c r="T35309" s="246">
        <f t="shared" si="589"/>
        <v>0</v>
      </c>
    </row>
    <row r="35310" spans="20:20" ht="18.75" customHeight="1" x14ac:dyDescent="0.35">
      <c r="T35310" s="246">
        <f t="shared" si="589"/>
        <v>0</v>
      </c>
    </row>
    <row r="35311" spans="20:20" ht="18.75" customHeight="1" x14ac:dyDescent="0.35">
      <c r="T35311" s="246">
        <f t="shared" si="589"/>
        <v>0</v>
      </c>
    </row>
    <row r="35312" spans="20:20" ht="18.75" customHeight="1" x14ac:dyDescent="0.35">
      <c r="T35312" s="246">
        <f t="shared" si="589"/>
        <v>0</v>
      </c>
    </row>
    <row r="35313" spans="20:20" ht="18.75" customHeight="1" x14ac:dyDescent="0.35">
      <c r="T35313" s="246">
        <f t="shared" si="589"/>
        <v>0</v>
      </c>
    </row>
    <row r="35314" spans="20:20" ht="18.75" customHeight="1" x14ac:dyDescent="0.35">
      <c r="T35314" s="246">
        <f t="shared" si="589"/>
        <v>0</v>
      </c>
    </row>
    <row r="35315" spans="20:20" ht="18.75" customHeight="1" x14ac:dyDescent="0.35">
      <c r="T35315" s="246">
        <f t="shared" si="589"/>
        <v>0</v>
      </c>
    </row>
    <row r="35316" spans="20:20" ht="18.75" customHeight="1" x14ac:dyDescent="0.35">
      <c r="T35316" s="246">
        <f t="shared" si="589"/>
        <v>0</v>
      </c>
    </row>
    <row r="35317" spans="20:20" ht="18.75" customHeight="1" x14ac:dyDescent="0.35">
      <c r="T35317" s="246">
        <f t="shared" si="589"/>
        <v>0</v>
      </c>
    </row>
    <row r="35318" spans="20:20" ht="18.75" customHeight="1" x14ac:dyDescent="0.35">
      <c r="T35318" s="246">
        <f t="shared" si="589"/>
        <v>0</v>
      </c>
    </row>
    <row r="35319" spans="20:20" ht="18.75" customHeight="1" x14ac:dyDescent="0.35">
      <c r="T35319" s="246">
        <f t="shared" si="589"/>
        <v>0</v>
      </c>
    </row>
    <row r="35320" spans="20:20" ht="18.75" customHeight="1" x14ac:dyDescent="0.35">
      <c r="T35320" s="246">
        <f t="shared" si="589"/>
        <v>0</v>
      </c>
    </row>
    <row r="35321" spans="20:20" ht="18.75" customHeight="1" x14ac:dyDescent="0.35">
      <c r="T35321" s="246">
        <f t="shared" si="589"/>
        <v>0</v>
      </c>
    </row>
    <row r="35322" spans="20:20" ht="18.75" customHeight="1" x14ac:dyDescent="0.35">
      <c r="T35322" s="246">
        <f t="shared" si="589"/>
        <v>0</v>
      </c>
    </row>
    <row r="35323" spans="20:20" ht="18.75" customHeight="1" x14ac:dyDescent="0.35">
      <c r="T35323" s="246">
        <f t="shared" si="589"/>
        <v>0</v>
      </c>
    </row>
    <row r="35324" spans="20:20" ht="18.75" customHeight="1" x14ac:dyDescent="0.35">
      <c r="T35324" s="246">
        <f t="shared" ref="T35324:T35387" si="590">R35324*0.01</f>
        <v>0</v>
      </c>
    </row>
    <row r="35325" spans="20:20" ht="18.75" customHeight="1" x14ac:dyDescent="0.35">
      <c r="T35325" s="246">
        <f t="shared" si="590"/>
        <v>0</v>
      </c>
    </row>
    <row r="35326" spans="20:20" ht="18.75" customHeight="1" x14ac:dyDescent="0.35">
      <c r="T35326" s="246">
        <f t="shared" si="590"/>
        <v>0</v>
      </c>
    </row>
    <row r="35327" spans="20:20" ht="18.75" customHeight="1" x14ac:dyDescent="0.35">
      <c r="T35327" s="246">
        <f t="shared" si="590"/>
        <v>0</v>
      </c>
    </row>
    <row r="35328" spans="20:20" ht="18.75" customHeight="1" x14ac:dyDescent="0.35">
      <c r="T35328" s="246">
        <f t="shared" si="590"/>
        <v>0</v>
      </c>
    </row>
    <row r="35329" spans="20:20" ht="18.75" customHeight="1" x14ac:dyDescent="0.35">
      <c r="T35329" s="246">
        <f t="shared" si="590"/>
        <v>0</v>
      </c>
    </row>
    <row r="35330" spans="20:20" ht="18.75" customHeight="1" x14ac:dyDescent="0.35">
      <c r="T35330" s="246">
        <f t="shared" si="590"/>
        <v>0</v>
      </c>
    </row>
    <row r="35331" spans="20:20" ht="18.75" customHeight="1" x14ac:dyDescent="0.35">
      <c r="T35331" s="246">
        <f t="shared" si="590"/>
        <v>0</v>
      </c>
    </row>
    <row r="35332" spans="20:20" ht="18.75" customHeight="1" x14ac:dyDescent="0.35">
      <c r="T35332" s="246">
        <f t="shared" si="590"/>
        <v>0</v>
      </c>
    </row>
    <row r="35333" spans="20:20" ht="18.75" customHeight="1" x14ac:dyDescent="0.35">
      <c r="T35333" s="246">
        <f t="shared" si="590"/>
        <v>0</v>
      </c>
    </row>
    <row r="35334" spans="20:20" ht="18.75" customHeight="1" x14ac:dyDescent="0.35">
      <c r="T35334" s="246">
        <f t="shared" si="590"/>
        <v>0</v>
      </c>
    </row>
    <row r="35335" spans="20:20" ht="18.75" customHeight="1" x14ac:dyDescent="0.35">
      <c r="T35335" s="246">
        <f t="shared" si="590"/>
        <v>0</v>
      </c>
    </row>
    <row r="35336" spans="20:20" ht="18.75" customHeight="1" x14ac:dyDescent="0.35">
      <c r="T35336" s="246">
        <f t="shared" si="590"/>
        <v>0</v>
      </c>
    </row>
    <row r="35337" spans="20:20" ht="18.75" customHeight="1" x14ac:dyDescent="0.35">
      <c r="T35337" s="246">
        <f t="shared" si="590"/>
        <v>0</v>
      </c>
    </row>
    <row r="35338" spans="20:20" ht="18.75" customHeight="1" x14ac:dyDescent="0.35">
      <c r="T35338" s="246">
        <f t="shared" si="590"/>
        <v>0</v>
      </c>
    </row>
    <row r="35339" spans="20:20" ht="18.75" customHeight="1" x14ac:dyDescent="0.35">
      <c r="T35339" s="246">
        <f t="shared" si="590"/>
        <v>0</v>
      </c>
    </row>
    <row r="35340" spans="20:20" ht="18.75" customHeight="1" x14ac:dyDescent="0.35">
      <c r="T35340" s="246">
        <f t="shared" si="590"/>
        <v>0</v>
      </c>
    </row>
    <row r="35341" spans="20:20" ht="18.75" customHeight="1" x14ac:dyDescent="0.35">
      <c r="T35341" s="246">
        <f t="shared" si="590"/>
        <v>0</v>
      </c>
    </row>
    <row r="35342" spans="20:20" ht="18.75" customHeight="1" x14ac:dyDescent="0.35">
      <c r="T35342" s="246">
        <f t="shared" si="590"/>
        <v>0</v>
      </c>
    </row>
    <row r="35343" spans="20:20" ht="18.75" customHeight="1" x14ac:dyDescent="0.35">
      <c r="T35343" s="246">
        <f t="shared" si="590"/>
        <v>0</v>
      </c>
    </row>
    <row r="35344" spans="20:20" ht="18.75" customHeight="1" x14ac:dyDescent="0.35">
      <c r="T35344" s="246">
        <f t="shared" si="590"/>
        <v>0</v>
      </c>
    </row>
    <row r="35345" spans="20:20" ht="18.75" customHeight="1" x14ac:dyDescent="0.35">
      <c r="T35345" s="246">
        <f t="shared" si="590"/>
        <v>0</v>
      </c>
    </row>
    <row r="35346" spans="20:20" ht="18.75" customHeight="1" x14ac:dyDescent="0.35">
      <c r="T35346" s="246">
        <f t="shared" si="590"/>
        <v>0</v>
      </c>
    </row>
    <row r="35347" spans="20:20" ht="18.75" customHeight="1" x14ac:dyDescent="0.35">
      <c r="T35347" s="246">
        <f t="shared" si="590"/>
        <v>0</v>
      </c>
    </row>
    <row r="35348" spans="20:20" ht="18.75" customHeight="1" x14ac:dyDescent="0.35">
      <c r="T35348" s="246">
        <f t="shared" si="590"/>
        <v>0</v>
      </c>
    </row>
    <row r="35349" spans="20:20" ht="18.75" customHeight="1" x14ac:dyDescent="0.35">
      <c r="T35349" s="246">
        <f t="shared" si="590"/>
        <v>0</v>
      </c>
    </row>
    <row r="35350" spans="20:20" ht="18.75" customHeight="1" x14ac:dyDescent="0.35">
      <c r="T35350" s="246">
        <f t="shared" si="590"/>
        <v>0</v>
      </c>
    </row>
    <row r="35351" spans="20:20" ht="18.75" customHeight="1" x14ac:dyDescent="0.35">
      <c r="T35351" s="246">
        <f t="shared" si="590"/>
        <v>0</v>
      </c>
    </row>
    <row r="35352" spans="20:20" ht="18.75" customHeight="1" x14ac:dyDescent="0.35">
      <c r="T35352" s="246">
        <f t="shared" si="590"/>
        <v>0</v>
      </c>
    </row>
    <row r="35353" spans="20:20" ht="18.75" customHeight="1" x14ac:dyDescent="0.35">
      <c r="T35353" s="246">
        <f t="shared" si="590"/>
        <v>0</v>
      </c>
    </row>
    <row r="35354" spans="20:20" ht="18.75" customHeight="1" x14ac:dyDescent="0.35">
      <c r="T35354" s="246">
        <f t="shared" si="590"/>
        <v>0</v>
      </c>
    </row>
    <row r="35355" spans="20:20" ht="18.75" customHeight="1" x14ac:dyDescent="0.35">
      <c r="T35355" s="246">
        <f t="shared" si="590"/>
        <v>0</v>
      </c>
    </row>
    <row r="35356" spans="20:20" ht="18.75" customHeight="1" x14ac:dyDescent="0.35">
      <c r="T35356" s="246">
        <f t="shared" si="590"/>
        <v>0</v>
      </c>
    </row>
    <row r="35357" spans="20:20" ht="18.75" customHeight="1" x14ac:dyDescent="0.35">
      <c r="T35357" s="246">
        <f t="shared" si="590"/>
        <v>0</v>
      </c>
    </row>
    <row r="35358" spans="20:20" ht="18.75" customHeight="1" x14ac:dyDescent="0.35">
      <c r="T35358" s="246">
        <f t="shared" si="590"/>
        <v>0</v>
      </c>
    </row>
    <row r="35359" spans="20:20" ht="18.75" customHeight="1" x14ac:dyDescent="0.35">
      <c r="T35359" s="246">
        <f t="shared" si="590"/>
        <v>0</v>
      </c>
    </row>
    <row r="35360" spans="20:20" ht="18.75" customHeight="1" x14ac:dyDescent="0.35">
      <c r="T35360" s="246">
        <f t="shared" si="590"/>
        <v>0</v>
      </c>
    </row>
    <row r="35361" spans="20:20" ht="18.75" customHeight="1" x14ac:dyDescent="0.35">
      <c r="T35361" s="246">
        <f t="shared" si="590"/>
        <v>0</v>
      </c>
    </row>
    <row r="35362" spans="20:20" ht="18.75" customHeight="1" x14ac:dyDescent="0.35">
      <c r="T35362" s="246">
        <f t="shared" si="590"/>
        <v>0</v>
      </c>
    </row>
    <row r="35363" spans="20:20" ht="18.75" customHeight="1" x14ac:dyDescent="0.35">
      <c r="T35363" s="246">
        <f t="shared" si="590"/>
        <v>0</v>
      </c>
    </row>
    <row r="35364" spans="20:20" ht="18.75" customHeight="1" x14ac:dyDescent="0.35">
      <c r="T35364" s="246">
        <f t="shared" si="590"/>
        <v>0</v>
      </c>
    </row>
    <row r="35365" spans="20:20" ht="18.75" customHeight="1" x14ac:dyDescent="0.35">
      <c r="T35365" s="246">
        <f t="shared" si="590"/>
        <v>0</v>
      </c>
    </row>
    <row r="35366" spans="20:20" ht="18.75" customHeight="1" x14ac:dyDescent="0.35">
      <c r="T35366" s="246">
        <f t="shared" si="590"/>
        <v>0</v>
      </c>
    </row>
    <row r="35367" spans="20:20" ht="18.75" customHeight="1" x14ac:dyDescent="0.35">
      <c r="T35367" s="246">
        <f t="shared" si="590"/>
        <v>0</v>
      </c>
    </row>
    <row r="35368" spans="20:20" ht="18.75" customHeight="1" x14ac:dyDescent="0.35">
      <c r="T35368" s="246">
        <f t="shared" si="590"/>
        <v>0</v>
      </c>
    </row>
    <row r="35369" spans="20:20" ht="18.75" customHeight="1" x14ac:dyDescent="0.35">
      <c r="T35369" s="246">
        <f t="shared" si="590"/>
        <v>0</v>
      </c>
    </row>
    <row r="35370" spans="20:20" ht="18.75" customHeight="1" x14ac:dyDescent="0.35">
      <c r="T35370" s="246">
        <f t="shared" si="590"/>
        <v>0</v>
      </c>
    </row>
    <row r="35371" spans="20:20" ht="18.75" customHeight="1" x14ac:dyDescent="0.35">
      <c r="T35371" s="246">
        <f t="shared" si="590"/>
        <v>0</v>
      </c>
    </row>
    <row r="35372" spans="20:20" ht="18.75" customHeight="1" x14ac:dyDescent="0.35">
      <c r="T35372" s="246">
        <f t="shared" si="590"/>
        <v>0</v>
      </c>
    </row>
    <row r="35373" spans="20:20" ht="18.75" customHeight="1" x14ac:dyDescent="0.35">
      <c r="T35373" s="246">
        <f t="shared" si="590"/>
        <v>0</v>
      </c>
    </row>
    <row r="35374" spans="20:20" ht="18.75" customHeight="1" x14ac:dyDescent="0.35">
      <c r="T35374" s="246">
        <f t="shared" si="590"/>
        <v>0</v>
      </c>
    </row>
    <row r="35375" spans="20:20" ht="18.75" customHeight="1" x14ac:dyDescent="0.35">
      <c r="T35375" s="246">
        <f t="shared" si="590"/>
        <v>0</v>
      </c>
    </row>
    <row r="35376" spans="20:20" ht="18.75" customHeight="1" x14ac:dyDescent="0.35">
      <c r="T35376" s="246">
        <f t="shared" si="590"/>
        <v>0</v>
      </c>
    </row>
    <row r="35377" spans="20:20" ht="18.75" customHeight="1" x14ac:dyDescent="0.35">
      <c r="T35377" s="246">
        <f t="shared" si="590"/>
        <v>0</v>
      </c>
    </row>
    <row r="35378" spans="20:20" ht="18.75" customHeight="1" x14ac:dyDescent="0.35">
      <c r="T35378" s="246">
        <f t="shared" si="590"/>
        <v>0</v>
      </c>
    </row>
    <row r="35379" spans="20:20" ht="18.75" customHeight="1" x14ac:dyDescent="0.35">
      <c r="T35379" s="246">
        <f t="shared" si="590"/>
        <v>0</v>
      </c>
    </row>
    <row r="35380" spans="20:20" ht="18.75" customHeight="1" x14ac:dyDescent="0.35">
      <c r="T35380" s="246">
        <f t="shared" si="590"/>
        <v>0</v>
      </c>
    </row>
    <row r="35381" spans="20:20" ht="18.75" customHeight="1" x14ac:dyDescent="0.35">
      <c r="T35381" s="246">
        <f t="shared" si="590"/>
        <v>0</v>
      </c>
    </row>
    <row r="35382" spans="20:20" ht="18.75" customHeight="1" x14ac:dyDescent="0.35">
      <c r="T35382" s="246">
        <f t="shared" si="590"/>
        <v>0</v>
      </c>
    </row>
    <row r="35383" spans="20:20" ht="18.75" customHeight="1" x14ac:dyDescent="0.35">
      <c r="T35383" s="246">
        <f t="shared" si="590"/>
        <v>0</v>
      </c>
    </row>
    <row r="35384" spans="20:20" ht="18.75" customHeight="1" x14ac:dyDescent="0.35">
      <c r="T35384" s="246">
        <f t="shared" si="590"/>
        <v>0</v>
      </c>
    </row>
    <row r="35385" spans="20:20" ht="18.75" customHeight="1" x14ac:dyDescent="0.35">
      <c r="T35385" s="246">
        <f t="shared" si="590"/>
        <v>0</v>
      </c>
    </row>
    <row r="35386" spans="20:20" ht="18.75" customHeight="1" x14ac:dyDescent="0.35">
      <c r="T35386" s="246">
        <f t="shared" si="590"/>
        <v>0</v>
      </c>
    </row>
    <row r="35387" spans="20:20" ht="18.75" customHeight="1" x14ac:dyDescent="0.35">
      <c r="T35387" s="246">
        <f t="shared" si="590"/>
        <v>0</v>
      </c>
    </row>
    <row r="35388" spans="20:20" ht="18.75" customHeight="1" x14ac:dyDescent="0.35">
      <c r="T35388" s="246">
        <f t="shared" ref="T35388:T35451" si="591">R35388*0.01</f>
        <v>0</v>
      </c>
    </row>
    <row r="35389" spans="20:20" ht="18.75" customHeight="1" x14ac:dyDescent="0.35">
      <c r="T35389" s="246">
        <f t="shared" si="591"/>
        <v>0</v>
      </c>
    </row>
    <row r="35390" spans="20:20" ht="18.75" customHeight="1" x14ac:dyDescent="0.35">
      <c r="T35390" s="246">
        <f t="shared" si="591"/>
        <v>0</v>
      </c>
    </row>
    <row r="35391" spans="20:20" ht="18.75" customHeight="1" x14ac:dyDescent="0.35">
      <c r="T35391" s="246">
        <f t="shared" si="591"/>
        <v>0</v>
      </c>
    </row>
    <row r="35392" spans="20:20" ht="18.75" customHeight="1" x14ac:dyDescent="0.35">
      <c r="T35392" s="246">
        <f t="shared" si="591"/>
        <v>0</v>
      </c>
    </row>
    <row r="35393" spans="20:20" ht="18.75" customHeight="1" x14ac:dyDescent="0.35">
      <c r="T35393" s="246">
        <f t="shared" si="591"/>
        <v>0</v>
      </c>
    </row>
    <row r="35394" spans="20:20" ht="18.75" customHeight="1" x14ac:dyDescent="0.35">
      <c r="T35394" s="246">
        <f t="shared" si="591"/>
        <v>0</v>
      </c>
    </row>
    <row r="35395" spans="20:20" ht="18.75" customHeight="1" x14ac:dyDescent="0.35">
      <c r="T35395" s="246">
        <f t="shared" si="591"/>
        <v>0</v>
      </c>
    </row>
    <row r="35396" spans="20:20" ht="18.75" customHeight="1" x14ac:dyDescent="0.35">
      <c r="T35396" s="246">
        <f t="shared" si="591"/>
        <v>0</v>
      </c>
    </row>
    <row r="35397" spans="20:20" ht="18.75" customHeight="1" x14ac:dyDescent="0.35">
      <c r="T35397" s="246">
        <f t="shared" si="591"/>
        <v>0</v>
      </c>
    </row>
    <row r="35398" spans="20:20" ht="18.75" customHeight="1" x14ac:dyDescent="0.35">
      <c r="T35398" s="246">
        <f t="shared" si="591"/>
        <v>0</v>
      </c>
    </row>
    <row r="35399" spans="20:20" ht="18.75" customHeight="1" x14ac:dyDescent="0.35">
      <c r="T35399" s="246">
        <f t="shared" si="591"/>
        <v>0</v>
      </c>
    </row>
    <row r="35400" spans="20:20" ht="18.75" customHeight="1" x14ac:dyDescent="0.35">
      <c r="T35400" s="246">
        <f t="shared" si="591"/>
        <v>0</v>
      </c>
    </row>
    <row r="35401" spans="20:20" ht="18.75" customHeight="1" x14ac:dyDescent="0.35">
      <c r="T35401" s="246">
        <f t="shared" si="591"/>
        <v>0</v>
      </c>
    </row>
    <row r="35402" spans="20:20" ht="18.75" customHeight="1" x14ac:dyDescent="0.35">
      <c r="T35402" s="246">
        <f t="shared" si="591"/>
        <v>0</v>
      </c>
    </row>
    <row r="35403" spans="20:20" ht="18.75" customHeight="1" x14ac:dyDescent="0.35">
      <c r="T35403" s="246">
        <f t="shared" si="591"/>
        <v>0</v>
      </c>
    </row>
    <row r="35404" spans="20:20" ht="18.75" customHeight="1" x14ac:dyDescent="0.35">
      <c r="T35404" s="246">
        <f t="shared" si="591"/>
        <v>0</v>
      </c>
    </row>
    <row r="35405" spans="20:20" ht="18.75" customHeight="1" x14ac:dyDescent="0.35">
      <c r="T35405" s="246">
        <f t="shared" si="591"/>
        <v>0</v>
      </c>
    </row>
    <row r="35406" spans="20:20" ht="18.75" customHeight="1" x14ac:dyDescent="0.35">
      <c r="T35406" s="246">
        <f t="shared" si="591"/>
        <v>0</v>
      </c>
    </row>
    <row r="35407" spans="20:20" ht="18.75" customHeight="1" x14ac:dyDescent="0.35">
      <c r="T35407" s="246">
        <f t="shared" si="591"/>
        <v>0</v>
      </c>
    </row>
    <row r="35408" spans="20:20" ht="18.75" customHeight="1" x14ac:dyDescent="0.35">
      <c r="T35408" s="246">
        <f t="shared" si="591"/>
        <v>0</v>
      </c>
    </row>
    <row r="35409" spans="20:20" ht="18.75" customHeight="1" x14ac:dyDescent="0.35">
      <c r="T35409" s="246">
        <f t="shared" si="591"/>
        <v>0</v>
      </c>
    </row>
    <row r="35410" spans="20:20" ht="18.75" customHeight="1" x14ac:dyDescent="0.35">
      <c r="T35410" s="246">
        <f t="shared" si="591"/>
        <v>0</v>
      </c>
    </row>
    <row r="35411" spans="20:20" ht="18.75" customHeight="1" x14ac:dyDescent="0.35">
      <c r="T35411" s="246">
        <f t="shared" si="591"/>
        <v>0</v>
      </c>
    </row>
    <row r="35412" spans="20:20" ht="18.75" customHeight="1" x14ac:dyDescent="0.35">
      <c r="T35412" s="246">
        <f t="shared" si="591"/>
        <v>0</v>
      </c>
    </row>
    <row r="35413" spans="20:20" ht="18.75" customHeight="1" x14ac:dyDescent="0.35">
      <c r="T35413" s="246">
        <f t="shared" si="591"/>
        <v>0</v>
      </c>
    </row>
    <row r="35414" spans="20:20" ht="18.75" customHeight="1" x14ac:dyDescent="0.35">
      <c r="T35414" s="246">
        <f t="shared" si="591"/>
        <v>0</v>
      </c>
    </row>
    <row r="35415" spans="20:20" ht="18.75" customHeight="1" x14ac:dyDescent="0.35">
      <c r="T35415" s="246">
        <f t="shared" si="591"/>
        <v>0</v>
      </c>
    </row>
    <row r="35416" spans="20:20" ht="18.75" customHeight="1" x14ac:dyDescent="0.35">
      <c r="T35416" s="246">
        <f t="shared" si="591"/>
        <v>0</v>
      </c>
    </row>
    <row r="35417" spans="20:20" ht="18.75" customHeight="1" x14ac:dyDescent="0.35">
      <c r="T35417" s="246">
        <f t="shared" si="591"/>
        <v>0</v>
      </c>
    </row>
    <row r="35418" spans="20:20" ht="18.75" customHeight="1" x14ac:dyDescent="0.35">
      <c r="T35418" s="246">
        <f t="shared" si="591"/>
        <v>0</v>
      </c>
    </row>
    <row r="35419" spans="20:20" ht="18.75" customHeight="1" x14ac:dyDescent="0.35">
      <c r="T35419" s="246">
        <f t="shared" si="591"/>
        <v>0</v>
      </c>
    </row>
    <row r="35420" spans="20:20" ht="18.75" customHeight="1" x14ac:dyDescent="0.35">
      <c r="T35420" s="246">
        <f t="shared" si="591"/>
        <v>0</v>
      </c>
    </row>
    <row r="35421" spans="20:20" ht="18.75" customHeight="1" x14ac:dyDescent="0.35">
      <c r="T35421" s="246">
        <f t="shared" si="591"/>
        <v>0</v>
      </c>
    </row>
    <row r="35422" spans="20:20" ht="18.75" customHeight="1" x14ac:dyDescent="0.35">
      <c r="T35422" s="246">
        <f t="shared" si="591"/>
        <v>0</v>
      </c>
    </row>
    <row r="35423" spans="20:20" ht="18.75" customHeight="1" x14ac:dyDescent="0.35">
      <c r="T35423" s="246">
        <f t="shared" si="591"/>
        <v>0</v>
      </c>
    </row>
    <row r="35424" spans="20:20" ht="18.75" customHeight="1" x14ac:dyDescent="0.35">
      <c r="T35424" s="246">
        <f t="shared" si="591"/>
        <v>0</v>
      </c>
    </row>
    <row r="35425" spans="20:20" ht="18.75" customHeight="1" x14ac:dyDescent="0.35">
      <c r="T35425" s="246">
        <f t="shared" si="591"/>
        <v>0</v>
      </c>
    </row>
    <row r="35426" spans="20:20" ht="18.75" customHeight="1" x14ac:dyDescent="0.35">
      <c r="T35426" s="246">
        <f t="shared" si="591"/>
        <v>0</v>
      </c>
    </row>
    <row r="35427" spans="20:20" ht="18.75" customHeight="1" x14ac:dyDescent="0.35">
      <c r="T35427" s="246">
        <f t="shared" si="591"/>
        <v>0</v>
      </c>
    </row>
    <row r="35428" spans="20:20" ht="18.75" customHeight="1" x14ac:dyDescent="0.35">
      <c r="T35428" s="246">
        <f t="shared" si="591"/>
        <v>0</v>
      </c>
    </row>
    <row r="35429" spans="20:20" ht="18.75" customHeight="1" x14ac:dyDescent="0.35">
      <c r="T35429" s="246">
        <f t="shared" si="591"/>
        <v>0</v>
      </c>
    </row>
    <row r="35430" spans="20:20" ht="18.75" customHeight="1" x14ac:dyDescent="0.35">
      <c r="T35430" s="246">
        <f t="shared" si="591"/>
        <v>0</v>
      </c>
    </row>
    <row r="35431" spans="20:20" ht="18.75" customHeight="1" x14ac:dyDescent="0.35">
      <c r="T35431" s="246">
        <f t="shared" si="591"/>
        <v>0</v>
      </c>
    </row>
    <row r="35432" spans="20:20" ht="18.75" customHeight="1" x14ac:dyDescent="0.35">
      <c r="T35432" s="246">
        <f t="shared" si="591"/>
        <v>0</v>
      </c>
    </row>
    <row r="35433" spans="20:20" ht="18.75" customHeight="1" x14ac:dyDescent="0.35">
      <c r="T35433" s="246">
        <f t="shared" si="591"/>
        <v>0</v>
      </c>
    </row>
    <row r="35434" spans="20:20" ht="18.75" customHeight="1" x14ac:dyDescent="0.35">
      <c r="T35434" s="246">
        <f t="shared" si="591"/>
        <v>0</v>
      </c>
    </row>
    <row r="35435" spans="20:20" ht="18.75" customHeight="1" x14ac:dyDescent="0.35">
      <c r="T35435" s="246">
        <f t="shared" si="591"/>
        <v>0</v>
      </c>
    </row>
    <row r="35436" spans="20:20" ht="18.75" customHeight="1" x14ac:dyDescent="0.35">
      <c r="T35436" s="246">
        <f t="shared" si="591"/>
        <v>0</v>
      </c>
    </row>
    <row r="35437" spans="20:20" ht="18.75" customHeight="1" x14ac:dyDescent="0.35">
      <c r="T35437" s="246">
        <f t="shared" si="591"/>
        <v>0</v>
      </c>
    </row>
    <row r="35438" spans="20:20" ht="18.75" customHeight="1" x14ac:dyDescent="0.35">
      <c r="T35438" s="246">
        <f t="shared" si="591"/>
        <v>0</v>
      </c>
    </row>
    <row r="35439" spans="20:20" ht="18.75" customHeight="1" x14ac:dyDescent="0.35">
      <c r="T35439" s="246">
        <f t="shared" si="591"/>
        <v>0</v>
      </c>
    </row>
    <row r="35440" spans="20:20" ht="18.75" customHeight="1" x14ac:dyDescent="0.35">
      <c r="T35440" s="246">
        <f t="shared" si="591"/>
        <v>0</v>
      </c>
    </row>
    <row r="35441" spans="20:20" ht="18.75" customHeight="1" x14ac:dyDescent="0.35">
      <c r="T35441" s="246">
        <f t="shared" si="591"/>
        <v>0</v>
      </c>
    </row>
    <row r="35442" spans="20:20" ht="18.75" customHeight="1" x14ac:dyDescent="0.35">
      <c r="T35442" s="246">
        <f t="shared" si="591"/>
        <v>0</v>
      </c>
    </row>
    <row r="35443" spans="20:20" ht="18.75" customHeight="1" x14ac:dyDescent="0.35">
      <c r="T35443" s="246">
        <f t="shared" si="591"/>
        <v>0</v>
      </c>
    </row>
    <row r="35444" spans="20:20" ht="18.75" customHeight="1" x14ac:dyDescent="0.35">
      <c r="T35444" s="246">
        <f t="shared" si="591"/>
        <v>0</v>
      </c>
    </row>
    <row r="35445" spans="20:20" ht="18.75" customHeight="1" x14ac:dyDescent="0.35">
      <c r="T35445" s="246">
        <f t="shared" si="591"/>
        <v>0</v>
      </c>
    </row>
    <row r="35446" spans="20:20" ht="18.75" customHeight="1" x14ac:dyDescent="0.35">
      <c r="T35446" s="246">
        <f t="shared" si="591"/>
        <v>0</v>
      </c>
    </row>
    <row r="35447" spans="20:20" ht="18.75" customHeight="1" x14ac:dyDescent="0.35">
      <c r="T35447" s="246">
        <f t="shared" si="591"/>
        <v>0</v>
      </c>
    </row>
    <row r="35448" spans="20:20" ht="18.75" customHeight="1" x14ac:dyDescent="0.35">
      <c r="T35448" s="246">
        <f t="shared" si="591"/>
        <v>0</v>
      </c>
    </row>
    <row r="35449" spans="20:20" ht="18.75" customHeight="1" x14ac:dyDescent="0.35">
      <c r="T35449" s="246">
        <f t="shared" si="591"/>
        <v>0</v>
      </c>
    </row>
    <row r="35450" spans="20:20" ht="18.75" customHeight="1" x14ac:dyDescent="0.35">
      <c r="T35450" s="246">
        <f t="shared" si="591"/>
        <v>0</v>
      </c>
    </row>
    <row r="35451" spans="20:20" ht="18.75" customHeight="1" x14ac:dyDescent="0.35">
      <c r="T35451" s="246">
        <f t="shared" si="591"/>
        <v>0</v>
      </c>
    </row>
    <row r="35452" spans="20:20" ht="18.75" customHeight="1" x14ac:dyDescent="0.35">
      <c r="T35452" s="246">
        <f t="shared" ref="T35452:T35515" si="592">R35452*0.01</f>
        <v>0</v>
      </c>
    </row>
    <row r="35453" spans="20:20" ht="18.75" customHeight="1" x14ac:dyDescent="0.35">
      <c r="T35453" s="246">
        <f t="shared" si="592"/>
        <v>0</v>
      </c>
    </row>
    <row r="35454" spans="20:20" ht="18.75" customHeight="1" x14ac:dyDescent="0.35">
      <c r="T35454" s="246">
        <f t="shared" si="592"/>
        <v>0</v>
      </c>
    </row>
    <row r="35455" spans="20:20" ht="18.75" customHeight="1" x14ac:dyDescent="0.35">
      <c r="T35455" s="246">
        <f t="shared" si="592"/>
        <v>0</v>
      </c>
    </row>
    <row r="35456" spans="20:20" ht="18.75" customHeight="1" x14ac:dyDescent="0.35">
      <c r="T35456" s="246">
        <f t="shared" si="592"/>
        <v>0</v>
      </c>
    </row>
    <row r="35457" spans="20:20" ht="18.75" customHeight="1" x14ac:dyDescent="0.35">
      <c r="T35457" s="246">
        <f t="shared" si="592"/>
        <v>0</v>
      </c>
    </row>
    <row r="35458" spans="20:20" ht="18.75" customHeight="1" x14ac:dyDescent="0.35">
      <c r="T35458" s="246">
        <f t="shared" si="592"/>
        <v>0</v>
      </c>
    </row>
    <row r="35459" spans="20:20" ht="18.75" customHeight="1" x14ac:dyDescent="0.35">
      <c r="T35459" s="246">
        <f t="shared" si="592"/>
        <v>0</v>
      </c>
    </row>
    <row r="35460" spans="20:20" ht="18.75" customHeight="1" x14ac:dyDescent="0.35">
      <c r="T35460" s="246">
        <f t="shared" si="592"/>
        <v>0</v>
      </c>
    </row>
    <row r="35461" spans="20:20" ht="18.75" customHeight="1" x14ac:dyDescent="0.35">
      <c r="T35461" s="246">
        <f t="shared" si="592"/>
        <v>0</v>
      </c>
    </row>
    <row r="35462" spans="20:20" ht="18.75" customHeight="1" x14ac:dyDescent="0.35">
      <c r="T35462" s="246">
        <f t="shared" si="592"/>
        <v>0</v>
      </c>
    </row>
    <row r="35463" spans="20:20" ht="18.75" customHeight="1" x14ac:dyDescent="0.35">
      <c r="T35463" s="246">
        <f t="shared" si="592"/>
        <v>0</v>
      </c>
    </row>
    <row r="35464" spans="20:20" ht="18.75" customHeight="1" x14ac:dyDescent="0.35">
      <c r="T35464" s="246">
        <f t="shared" si="592"/>
        <v>0</v>
      </c>
    </row>
    <row r="35465" spans="20:20" ht="18.75" customHeight="1" x14ac:dyDescent="0.35">
      <c r="T35465" s="246">
        <f t="shared" si="592"/>
        <v>0</v>
      </c>
    </row>
    <row r="35466" spans="20:20" ht="18.75" customHeight="1" x14ac:dyDescent="0.35">
      <c r="T35466" s="246">
        <f t="shared" si="592"/>
        <v>0</v>
      </c>
    </row>
    <row r="35467" spans="20:20" ht="18.75" customHeight="1" x14ac:dyDescent="0.35">
      <c r="T35467" s="246">
        <f t="shared" si="592"/>
        <v>0</v>
      </c>
    </row>
    <row r="35468" spans="20:20" ht="18.75" customHeight="1" x14ac:dyDescent="0.35">
      <c r="T35468" s="246">
        <f t="shared" si="592"/>
        <v>0</v>
      </c>
    </row>
    <row r="35469" spans="20:20" ht="18.75" customHeight="1" x14ac:dyDescent="0.35">
      <c r="T35469" s="246">
        <f t="shared" si="592"/>
        <v>0</v>
      </c>
    </row>
    <row r="35470" spans="20:20" ht="18.75" customHeight="1" x14ac:dyDescent="0.35">
      <c r="T35470" s="246">
        <f t="shared" si="592"/>
        <v>0</v>
      </c>
    </row>
    <row r="35471" spans="20:20" ht="18.75" customHeight="1" x14ac:dyDescent="0.35">
      <c r="T35471" s="246">
        <f t="shared" si="592"/>
        <v>0</v>
      </c>
    </row>
    <row r="35472" spans="20:20" ht="18.75" customHeight="1" x14ac:dyDescent="0.35">
      <c r="T35472" s="246">
        <f t="shared" si="592"/>
        <v>0</v>
      </c>
    </row>
    <row r="35473" spans="20:20" ht="18.75" customHeight="1" x14ac:dyDescent="0.35">
      <c r="T35473" s="246">
        <f t="shared" si="592"/>
        <v>0</v>
      </c>
    </row>
    <row r="35474" spans="20:20" ht="18.75" customHeight="1" x14ac:dyDescent="0.35">
      <c r="T35474" s="246">
        <f t="shared" si="592"/>
        <v>0</v>
      </c>
    </row>
    <row r="35475" spans="20:20" ht="18.75" customHeight="1" x14ac:dyDescent="0.35">
      <c r="T35475" s="246">
        <f t="shared" si="592"/>
        <v>0</v>
      </c>
    </row>
    <row r="35476" spans="20:20" ht="18.75" customHeight="1" x14ac:dyDescent="0.35">
      <c r="T35476" s="246">
        <f t="shared" si="592"/>
        <v>0</v>
      </c>
    </row>
    <row r="35477" spans="20:20" ht="18.75" customHeight="1" x14ac:dyDescent="0.35">
      <c r="T35477" s="246">
        <f t="shared" si="592"/>
        <v>0</v>
      </c>
    </row>
    <row r="35478" spans="20:20" ht="18.75" customHeight="1" x14ac:dyDescent="0.35">
      <c r="T35478" s="246">
        <f t="shared" si="592"/>
        <v>0</v>
      </c>
    </row>
    <row r="35479" spans="20:20" ht="18.75" customHeight="1" x14ac:dyDescent="0.35">
      <c r="T35479" s="246">
        <f t="shared" si="592"/>
        <v>0</v>
      </c>
    </row>
    <row r="35480" spans="20:20" ht="18.75" customHeight="1" x14ac:dyDescent="0.35">
      <c r="T35480" s="246">
        <f t="shared" si="592"/>
        <v>0</v>
      </c>
    </row>
    <row r="35481" spans="20:20" ht="18.75" customHeight="1" x14ac:dyDescent="0.35">
      <c r="T35481" s="246">
        <f t="shared" si="592"/>
        <v>0</v>
      </c>
    </row>
    <row r="35482" spans="20:20" ht="18.75" customHeight="1" x14ac:dyDescent="0.35">
      <c r="T35482" s="246">
        <f t="shared" si="592"/>
        <v>0</v>
      </c>
    </row>
    <row r="35483" spans="20:20" ht="18.75" customHeight="1" x14ac:dyDescent="0.35">
      <c r="T35483" s="246">
        <f t="shared" si="592"/>
        <v>0</v>
      </c>
    </row>
    <row r="35484" spans="20:20" ht="18.75" customHeight="1" x14ac:dyDescent="0.35">
      <c r="T35484" s="246">
        <f t="shared" si="592"/>
        <v>0</v>
      </c>
    </row>
    <row r="35485" spans="20:20" ht="18.75" customHeight="1" x14ac:dyDescent="0.35">
      <c r="T35485" s="246">
        <f t="shared" si="592"/>
        <v>0</v>
      </c>
    </row>
    <row r="35486" spans="20:20" ht="18.75" customHeight="1" x14ac:dyDescent="0.35">
      <c r="T35486" s="246">
        <f t="shared" si="592"/>
        <v>0</v>
      </c>
    </row>
    <row r="35487" spans="20:20" ht="18.75" customHeight="1" x14ac:dyDescent="0.35">
      <c r="T35487" s="246">
        <f t="shared" si="592"/>
        <v>0</v>
      </c>
    </row>
    <row r="35488" spans="20:20" ht="18.75" customHeight="1" x14ac:dyDescent="0.35">
      <c r="T35488" s="246">
        <f t="shared" si="592"/>
        <v>0</v>
      </c>
    </row>
    <row r="35489" spans="20:20" ht="18.75" customHeight="1" x14ac:dyDescent="0.35">
      <c r="T35489" s="246">
        <f t="shared" si="592"/>
        <v>0</v>
      </c>
    </row>
    <row r="35490" spans="20:20" ht="18.75" customHeight="1" x14ac:dyDescent="0.35">
      <c r="T35490" s="246">
        <f t="shared" si="592"/>
        <v>0</v>
      </c>
    </row>
    <row r="35491" spans="20:20" ht="18.75" customHeight="1" x14ac:dyDescent="0.35">
      <c r="T35491" s="246">
        <f t="shared" si="592"/>
        <v>0</v>
      </c>
    </row>
    <row r="35492" spans="20:20" ht="18.75" customHeight="1" x14ac:dyDescent="0.35">
      <c r="T35492" s="246">
        <f t="shared" si="592"/>
        <v>0</v>
      </c>
    </row>
    <row r="35493" spans="20:20" ht="18.75" customHeight="1" x14ac:dyDescent="0.35">
      <c r="T35493" s="246">
        <f t="shared" si="592"/>
        <v>0</v>
      </c>
    </row>
    <row r="35494" spans="20:20" ht="18.75" customHeight="1" x14ac:dyDescent="0.35">
      <c r="T35494" s="246">
        <f t="shared" si="592"/>
        <v>0</v>
      </c>
    </row>
    <row r="35495" spans="20:20" ht="18.75" customHeight="1" x14ac:dyDescent="0.35">
      <c r="T35495" s="246">
        <f t="shared" si="592"/>
        <v>0</v>
      </c>
    </row>
    <row r="35496" spans="20:20" ht="18.75" customHeight="1" x14ac:dyDescent="0.35">
      <c r="T35496" s="246">
        <f t="shared" si="592"/>
        <v>0</v>
      </c>
    </row>
    <row r="35497" spans="20:20" ht="18.75" customHeight="1" x14ac:dyDescent="0.35">
      <c r="T35497" s="246">
        <f t="shared" si="592"/>
        <v>0</v>
      </c>
    </row>
    <row r="35498" spans="20:20" ht="18.75" customHeight="1" x14ac:dyDescent="0.35">
      <c r="T35498" s="246">
        <f t="shared" si="592"/>
        <v>0</v>
      </c>
    </row>
    <row r="35499" spans="20:20" ht="18.75" customHeight="1" x14ac:dyDescent="0.35">
      <c r="T35499" s="246">
        <f t="shared" si="592"/>
        <v>0</v>
      </c>
    </row>
    <row r="35500" spans="20:20" ht="18.75" customHeight="1" x14ac:dyDescent="0.35">
      <c r="T35500" s="246">
        <f t="shared" si="592"/>
        <v>0</v>
      </c>
    </row>
    <row r="35501" spans="20:20" ht="18.75" customHeight="1" x14ac:dyDescent="0.35">
      <c r="T35501" s="246">
        <f t="shared" si="592"/>
        <v>0</v>
      </c>
    </row>
    <row r="35502" spans="20:20" ht="18.75" customHeight="1" x14ac:dyDescent="0.35">
      <c r="T35502" s="246">
        <f t="shared" si="592"/>
        <v>0</v>
      </c>
    </row>
    <row r="35503" spans="20:20" ht="18.75" customHeight="1" x14ac:dyDescent="0.35">
      <c r="T35503" s="246">
        <f t="shared" si="592"/>
        <v>0</v>
      </c>
    </row>
    <row r="35504" spans="20:20" ht="18.75" customHeight="1" x14ac:dyDescent="0.35">
      <c r="T35504" s="246">
        <f t="shared" si="592"/>
        <v>0</v>
      </c>
    </row>
    <row r="35505" spans="20:20" ht="18.75" customHeight="1" x14ac:dyDescent="0.35">
      <c r="T35505" s="246">
        <f t="shared" si="592"/>
        <v>0</v>
      </c>
    </row>
    <row r="35506" spans="20:20" ht="18.75" customHeight="1" x14ac:dyDescent="0.35">
      <c r="T35506" s="246">
        <f t="shared" si="592"/>
        <v>0</v>
      </c>
    </row>
    <row r="35507" spans="20:20" ht="18.75" customHeight="1" x14ac:dyDescent="0.35">
      <c r="T35507" s="246">
        <f t="shared" si="592"/>
        <v>0</v>
      </c>
    </row>
    <row r="35508" spans="20:20" ht="18.75" customHeight="1" x14ac:dyDescent="0.35">
      <c r="T35508" s="246">
        <f t="shared" si="592"/>
        <v>0</v>
      </c>
    </row>
    <row r="35509" spans="20:20" ht="18.75" customHeight="1" x14ac:dyDescent="0.35">
      <c r="T35509" s="246">
        <f t="shared" si="592"/>
        <v>0</v>
      </c>
    </row>
    <row r="35510" spans="20:20" ht="18.75" customHeight="1" x14ac:dyDescent="0.35">
      <c r="T35510" s="246">
        <f t="shared" si="592"/>
        <v>0</v>
      </c>
    </row>
    <row r="35511" spans="20:20" ht="18.75" customHeight="1" x14ac:dyDescent="0.35">
      <c r="T35511" s="246">
        <f t="shared" si="592"/>
        <v>0</v>
      </c>
    </row>
    <row r="35512" spans="20:20" ht="18.75" customHeight="1" x14ac:dyDescent="0.35">
      <c r="T35512" s="246">
        <f t="shared" si="592"/>
        <v>0</v>
      </c>
    </row>
    <row r="35513" spans="20:20" ht="18.75" customHeight="1" x14ac:dyDescent="0.35">
      <c r="T35513" s="246">
        <f t="shared" si="592"/>
        <v>0</v>
      </c>
    </row>
    <row r="35514" spans="20:20" ht="18.75" customHeight="1" x14ac:dyDescent="0.35">
      <c r="T35514" s="246">
        <f t="shared" si="592"/>
        <v>0</v>
      </c>
    </row>
    <row r="35515" spans="20:20" ht="18.75" customHeight="1" x14ac:dyDescent="0.35">
      <c r="T35515" s="246">
        <f t="shared" si="592"/>
        <v>0</v>
      </c>
    </row>
    <row r="35516" spans="20:20" ht="18.75" customHeight="1" x14ac:dyDescent="0.35">
      <c r="T35516" s="246">
        <f t="shared" ref="T35516:T35579" si="593">R35516*0.01</f>
        <v>0</v>
      </c>
    </row>
    <row r="35517" spans="20:20" ht="18.75" customHeight="1" x14ac:dyDescent="0.35">
      <c r="T35517" s="246">
        <f t="shared" si="593"/>
        <v>0</v>
      </c>
    </row>
    <row r="35518" spans="20:20" ht="18.75" customHeight="1" x14ac:dyDescent="0.35">
      <c r="T35518" s="246">
        <f t="shared" si="593"/>
        <v>0</v>
      </c>
    </row>
    <row r="35519" spans="20:20" ht="18.75" customHeight="1" x14ac:dyDescent="0.35">
      <c r="T35519" s="246">
        <f t="shared" si="593"/>
        <v>0</v>
      </c>
    </row>
    <row r="35520" spans="20:20" ht="18.75" customHeight="1" x14ac:dyDescent="0.35">
      <c r="T35520" s="246">
        <f t="shared" si="593"/>
        <v>0</v>
      </c>
    </row>
    <row r="35521" spans="20:20" ht="18.75" customHeight="1" x14ac:dyDescent="0.35">
      <c r="T35521" s="246">
        <f t="shared" si="593"/>
        <v>0</v>
      </c>
    </row>
    <row r="35522" spans="20:20" ht="18.75" customHeight="1" x14ac:dyDescent="0.35">
      <c r="T35522" s="246">
        <f t="shared" si="593"/>
        <v>0</v>
      </c>
    </row>
    <row r="35523" spans="20:20" ht="18.75" customHeight="1" x14ac:dyDescent="0.35">
      <c r="T35523" s="246">
        <f t="shared" si="593"/>
        <v>0</v>
      </c>
    </row>
    <row r="35524" spans="20:20" ht="18.75" customHeight="1" x14ac:dyDescent="0.35">
      <c r="T35524" s="246">
        <f t="shared" si="593"/>
        <v>0</v>
      </c>
    </row>
    <row r="35525" spans="20:20" ht="18.75" customHeight="1" x14ac:dyDescent="0.35">
      <c r="T35525" s="246">
        <f t="shared" si="593"/>
        <v>0</v>
      </c>
    </row>
    <row r="35526" spans="20:20" ht="18.75" customHeight="1" x14ac:dyDescent="0.35">
      <c r="T35526" s="246">
        <f t="shared" si="593"/>
        <v>0</v>
      </c>
    </row>
    <row r="35527" spans="20:20" ht="18.75" customHeight="1" x14ac:dyDescent="0.35">
      <c r="T35527" s="246">
        <f t="shared" si="593"/>
        <v>0</v>
      </c>
    </row>
    <row r="35528" spans="20:20" ht="18.75" customHeight="1" x14ac:dyDescent="0.35">
      <c r="T35528" s="246">
        <f t="shared" si="593"/>
        <v>0</v>
      </c>
    </row>
    <row r="35529" spans="20:20" ht="18.75" customHeight="1" x14ac:dyDescent="0.35">
      <c r="T35529" s="246">
        <f t="shared" si="593"/>
        <v>0</v>
      </c>
    </row>
    <row r="35530" spans="20:20" ht="18.75" customHeight="1" x14ac:dyDescent="0.35">
      <c r="T35530" s="246">
        <f t="shared" si="593"/>
        <v>0</v>
      </c>
    </row>
    <row r="35531" spans="20:20" ht="18.75" customHeight="1" x14ac:dyDescent="0.35">
      <c r="T35531" s="246">
        <f t="shared" si="593"/>
        <v>0</v>
      </c>
    </row>
    <row r="35532" spans="20:20" ht="18.75" customHeight="1" x14ac:dyDescent="0.35">
      <c r="T35532" s="246">
        <f t="shared" si="593"/>
        <v>0</v>
      </c>
    </row>
    <row r="35533" spans="20:20" ht="18.75" customHeight="1" x14ac:dyDescent="0.35">
      <c r="T35533" s="246">
        <f t="shared" si="593"/>
        <v>0</v>
      </c>
    </row>
    <row r="35534" spans="20:20" ht="18.75" customHeight="1" x14ac:dyDescent="0.35">
      <c r="T35534" s="246">
        <f t="shared" si="593"/>
        <v>0</v>
      </c>
    </row>
    <row r="35535" spans="20:20" ht="18.75" customHeight="1" x14ac:dyDescent="0.35">
      <c r="T35535" s="246">
        <f t="shared" si="593"/>
        <v>0</v>
      </c>
    </row>
    <row r="35536" spans="20:20" ht="18.75" customHeight="1" x14ac:dyDescent="0.35">
      <c r="T35536" s="246">
        <f t="shared" si="593"/>
        <v>0</v>
      </c>
    </row>
    <row r="35537" spans="20:20" ht="18.75" customHeight="1" x14ac:dyDescent="0.35">
      <c r="T35537" s="246">
        <f t="shared" si="593"/>
        <v>0</v>
      </c>
    </row>
    <row r="35538" spans="20:20" ht="18.75" customHeight="1" x14ac:dyDescent="0.35">
      <c r="T35538" s="246">
        <f t="shared" si="593"/>
        <v>0</v>
      </c>
    </row>
    <row r="35539" spans="20:20" ht="18.75" customHeight="1" x14ac:dyDescent="0.35">
      <c r="T35539" s="246">
        <f t="shared" si="593"/>
        <v>0</v>
      </c>
    </row>
    <row r="35540" spans="20:20" ht="18.75" customHeight="1" x14ac:dyDescent="0.35">
      <c r="T35540" s="246">
        <f t="shared" si="593"/>
        <v>0</v>
      </c>
    </row>
    <row r="35541" spans="20:20" ht="18.75" customHeight="1" x14ac:dyDescent="0.35">
      <c r="T35541" s="246">
        <f t="shared" si="593"/>
        <v>0</v>
      </c>
    </row>
    <row r="35542" spans="20:20" ht="18.75" customHeight="1" x14ac:dyDescent="0.35">
      <c r="T35542" s="246">
        <f t="shared" si="593"/>
        <v>0</v>
      </c>
    </row>
    <row r="35543" spans="20:20" ht="18.75" customHeight="1" x14ac:dyDescent="0.35">
      <c r="T35543" s="246">
        <f t="shared" si="593"/>
        <v>0</v>
      </c>
    </row>
    <row r="35544" spans="20:20" ht="18.75" customHeight="1" x14ac:dyDescent="0.35">
      <c r="T35544" s="246">
        <f t="shared" si="593"/>
        <v>0</v>
      </c>
    </row>
    <row r="35545" spans="20:20" ht="18.75" customHeight="1" x14ac:dyDescent="0.35">
      <c r="T35545" s="246">
        <f t="shared" si="593"/>
        <v>0</v>
      </c>
    </row>
    <row r="35546" spans="20:20" ht="18.75" customHeight="1" x14ac:dyDescent="0.35">
      <c r="T35546" s="246">
        <f t="shared" si="593"/>
        <v>0</v>
      </c>
    </row>
    <row r="35547" spans="20:20" ht="18.75" customHeight="1" x14ac:dyDescent="0.35">
      <c r="T35547" s="246">
        <f t="shared" si="593"/>
        <v>0</v>
      </c>
    </row>
    <row r="35548" spans="20:20" ht="18.75" customHeight="1" x14ac:dyDescent="0.35">
      <c r="T35548" s="246">
        <f t="shared" si="593"/>
        <v>0</v>
      </c>
    </row>
    <row r="35549" spans="20:20" ht="18.75" customHeight="1" x14ac:dyDescent="0.35">
      <c r="T35549" s="246">
        <f t="shared" si="593"/>
        <v>0</v>
      </c>
    </row>
    <row r="35550" spans="20:20" ht="18.75" customHeight="1" x14ac:dyDescent="0.35">
      <c r="T35550" s="246">
        <f t="shared" si="593"/>
        <v>0</v>
      </c>
    </row>
    <row r="35551" spans="20:20" ht="18.75" customHeight="1" x14ac:dyDescent="0.35">
      <c r="T35551" s="246">
        <f t="shared" si="593"/>
        <v>0</v>
      </c>
    </row>
    <row r="35552" spans="20:20" ht="18.75" customHeight="1" x14ac:dyDescent="0.35">
      <c r="T35552" s="246">
        <f t="shared" si="593"/>
        <v>0</v>
      </c>
    </row>
    <row r="35553" spans="20:20" ht="18.75" customHeight="1" x14ac:dyDescent="0.35">
      <c r="T35553" s="246">
        <f t="shared" si="593"/>
        <v>0</v>
      </c>
    </row>
    <row r="35554" spans="20:20" ht="18.75" customHeight="1" x14ac:dyDescent="0.35">
      <c r="T35554" s="246">
        <f t="shared" si="593"/>
        <v>0</v>
      </c>
    </row>
    <row r="35555" spans="20:20" ht="18.75" customHeight="1" x14ac:dyDescent="0.35">
      <c r="T35555" s="246">
        <f t="shared" si="593"/>
        <v>0</v>
      </c>
    </row>
    <row r="35556" spans="20:20" ht="18.75" customHeight="1" x14ac:dyDescent="0.35">
      <c r="T35556" s="246">
        <f t="shared" si="593"/>
        <v>0</v>
      </c>
    </row>
    <row r="35557" spans="20:20" ht="18.75" customHeight="1" x14ac:dyDescent="0.35">
      <c r="T35557" s="246">
        <f t="shared" si="593"/>
        <v>0</v>
      </c>
    </row>
    <row r="35558" spans="20:20" ht="18.75" customHeight="1" x14ac:dyDescent="0.35">
      <c r="T35558" s="246">
        <f t="shared" si="593"/>
        <v>0</v>
      </c>
    </row>
    <row r="35559" spans="20:20" ht="18.75" customHeight="1" x14ac:dyDescent="0.35">
      <c r="T35559" s="246">
        <f t="shared" si="593"/>
        <v>0</v>
      </c>
    </row>
    <row r="35560" spans="20:20" ht="18.75" customHeight="1" x14ac:dyDescent="0.35">
      <c r="T35560" s="246">
        <f t="shared" si="593"/>
        <v>0</v>
      </c>
    </row>
    <row r="35561" spans="20:20" ht="18.75" customHeight="1" x14ac:dyDescent="0.35">
      <c r="T35561" s="246">
        <f t="shared" si="593"/>
        <v>0</v>
      </c>
    </row>
    <row r="35562" spans="20:20" ht="18.75" customHeight="1" x14ac:dyDescent="0.35">
      <c r="T35562" s="246">
        <f t="shared" si="593"/>
        <v>0</v>
      </c>
    </row>
    <row r="35563" spans="20:20" ht="18.75" customHeight="1" x14ac:dyDescent="0.35">
      <c r="T35563" s="246">
        <f t="shared" si="593"/>
        <v>0</v>
      </c>
    </row>
    <row r="35564" spans="20:20" ht="18.75" customHeight="1" x14ac:dyDescent="0.35">
      <c r="T35564" s="246">
        <f t="shared" si="593"/>
        <v>0</v>
      </c>
    </row>
    <row r="35565" spans="20:20" ht="18.75" customHeight="1" x14ac:dyDescent="0.35">
      <c r="T35565" s="246">
        <f t="shared" si="593"/>
        <v>0</v>
      </c>
    </row>
    <row r="35566" spans="20:20" ht="18.75" customHeight="1" x14ac:dyDescent="0.35">
      <c r="T35566" s="246">
        <f t="shared" si="593"/>
        <v>0</v>
      </c>
    </row>
    <row r="35567" spans="20:20" ht="18.75" customHeight="1" x14ac:dyDescent="0.35">
      <c r="T35567" s="246">
        <f t="shared" si="593"/>
        <v>0</v>
      </c>
    </row>
    <row r="35568" spans="20:20" ht="18.75" customHeight="1" x14ac:dyDescent="0.35">
      <c r="T35568" s="246">
        <f t="shared" si="593"/>
        <v>0</v>
      </c>
    </row>
    <row r="35569" spans="20:20" ht="18.75" customHeight="1" x14ac:dyDescent="0.35">
      <c r="T35569" s="246">
        <f t="shared" si="593"/>
        <v>0</v>
      </c>
    </row>
    <row r="35570" spans="20:20" ht="18.75" customHeight="1" x14ac:dyDescent="0.35">
      <c r="T35570" s="246">
        <f t="shared" si="593"/>
        <v>0</v>
      </c>
    </row>
    <row r="35571" spans="20:20" ht="18.75" customHeight="1" x14ac:dyDescent="0.35">
      <c r="T35571" s="246">
        <f t="shared" si="593"/>
        <v>0</v>
      </c>
    </row>
    <row r="35572" spans="20:20" ht="18.75" customHeight="1" x14ac:dyDescent="0.35">
      <c r="T35572" s="246">
        <f t="shared" si="593"/>
        <v>0</v>
      </c>
    </row>
    <row r="35573" spans="20:20" ht="18.75" customHeight="1" x14ac:dyDescent="0.35">
      <c r="T35573" s="246">
        <f t="shared" si="593"/>
        <v>0</v>
      </c>
    </row>
    <row r="35574" spans="20:20" ht="18.75" customHeight="1" x14ac:dyDescent="0.35">
      <c r="T35574" s="246">
        <f t="shared" si="593"/>
        <v>0</v>
      </c>
    </row>
    <row r="35575" spans="20:20" ht="18.75" customHeight="1" x14ac:dyDescent="0.35">
      <c r="T35575" s="246">
        <f t="shared" si="593"/>
        <v>0</v>
      </c>
    </row>
    <row r="35576" spans="20:20" ht="18.75" customHeight="1" x14ac:dyDescent="0.35">
      <c r="T35576" s="246">
        <f t="shared" si="593"/>
        <v>0</v>
      </c>
    </row>
    <row r="35577" spans="20:20" ht="18.75" customHeight="1" x14ac:dyDescent="0.35">
      <c r="T35577" s="246">
        <f t="shared" si="593"/>
        <v>0</v>
      </c>
    </row>
    <row r="35578" spans="20:20" ht="18.75" customHeight="1" x14ac:dyDescent="0.35">
      <c r="T35578" s="246">
        <f t="shared" si="593"/>
        <v>0</v>
      </c>
    </row>
    <row r="35579" spans="20:20" ht="18.75" customHeight="1" x14ac:dyDescent="0.35">
      <c r="T35579" s="246">
        <f t="shared" si="593"/>
        <v>0</v>
      </c>
    </row>
    <row r="35580" spans="20:20" ht="18.75" customHeight="1" x14ac:dyDescent="0.35">
      <c r="T35580" s="246">
        <f t="shared" ref="T35580:T35643" si="594">R35580*0.01</f>
        <v>0</v>
      </c>
    </row>
    <row r="35581" spans="20:20" ht="18.75" customHeight="1" x14ac:dyDescent="0.35">
      <c r="T35581" s="246">
        <f t="shared" si="594"/>
        <v>0</v>
      </c>
    </row>
    <row r="35582" spans="20:20" ht="18.75" customHeight="1" x14ac:dyDescent="0.35">
      <c r="T35582" s="246">
        <f t="shared" si="594"/>
        <v>0</v>
      </c>
    </row>
    <row r="35583" spans="20:20" ht="18.75" customHeight="1" x14ac:dyDescent="0.35">
      <c r="T35583" s="246">
        <f t="shared" si="594"/>
        <v>0</v>
      </c>
    </row>
    <row r="35584" spans="20:20" ht="18.75" customHeight="1" x14ac:dyDescent="0.35">
      <c r="T35584" s="246">
        <f t="shared" si="594"/>
        <v>0</v>
      </c>
    </row>
    <row r="35585" spans="20:20" ht="18.75" customHeight="1" x14ac:dyDescent="0.35">
      <c r="T35585" s="246">
        <f t="shared" si="594"/>
        <v>0</v>
      </c>
    </row>
    <row r="35586" spans="20:20" ht="18.75" customHeight="1" x14ac:dyDescent="0.35">
      <c r="T35586" s="246">
        <f t="shared" si="594"/>
        <v>0</v>
      </c>
    </row>
    <row r="35587" spans="20:20" ht="18.75" customHeight="1" x14ac:dyDescent="0.35">
      <c r="T35587" s="246">
        <f t="shared" si="594"/>
        <v>0</v>
      </c>
    </row>
    <row r="35588" spans="20:20" ht="18.75" customHeight="1" x14ac:dyDescent="0.35">
      <c r="T35588" s="246">
        <f t="shared" si="594"/>
        <v>0</v>
      </c>
    </row>
    <row r="35589" spans="20:20" ht="18.75" customHeight="1" x14ac:dyDescent="0.35">
      <c r="T35589" s="246">
        <f t="shared" si="594"/>
        <v>0</v>
      </c>
    </row>
    <row r="35590" spans="20:20" ht="18.75" customHeight="1" x14ac:dyDescent="0.35">
      <c r="T35590" s="246">
        <f t="shared" si="594"/>
        <v>0</v>
      </c>
    </row>
    <row r="35591" spans="20:20" ht="18.75" customHeight="1" x14ac:dyDescent="0.35">
      <c r="T35591" s="246">
        <f t="shared" si="594"/>
        <v>0</v>
      </c>
    </row>
    <row r="35592" spans="20:20" ht="18.75" customHeight="1" x14ac:dyDescent="0.35">
      <c r="T35592" s="246">
        <f t="shared" si="594"/>
        <v>0</v>
      </c>
    </row>
    <row r="35593" spans="20:20" ht="18.75" customHeight="1" x14ac:dyDescent="0.35">
      <c r="T35593" s="246">
        <f t="shared" si="594"/>
        <v>0</v>
      </c>
    </row>
    <row r="35594" spans="20:20" ht="18.75" customHeight="1" x14ac:dyDescent="0.35">
      <c r="T35594" s="246">
        <f t="shared" si="594"/>
        <v>0</v>
      </c>
    </row>
    <row r="35595" spans="20:20" ht="18.75" customHeight="1" x14ac:dyDescent="0.35">
      <c r="T35595" s="246">
        <f t="shared" si="594"/>
        <v>0</v>
      </c>
    </row>
    <row r="35596" spans="20:20" ht="18.75" customHeight="1" x14ac:dyDescent="0.35">
      <c r="T35596" s="246">
        <f t="shared" si="594"/>
        <v>0</v>
      </c>
    </row>
    <row r="35597" spans="20:20" ht="18.75" customHeight="1" x14ac:dyDescent="0.35">
      <c r="T35597" s="246">
        <f t="shared" si="594"/>
        <v>0</v>
      </c>
    </row>
    <row r="35598" spans="20:20" ht="18.75" customHeight="1" x14ac:dyDescent="0.35">
      <c r="T35598" s="246">
        <f t="shared" si="594"/>
        <v>0</v>
      </c>
    </row>
    <row r="35599" spans="20:20" ht="18.75" customHeight="1" x14ac:dyDescent="0.35">
      <c r="T35599" s="246">
        <f t="shared" si="594"/>
        <v>0</v>
      </c>
    </row>
    <row r="35600" spans="20:20" ht="18.75" customHeight="1" x14ac:dyDescent="0.35">
      <c r="T35600" s="246">
        <f t="shared" si="594"/>
        <v>0</v>
      </c>
    </row>
    <row r="35601" spans="20:20" ht="18.75" customHeight="1" x14ac:dyDescent="0.35">
      <c r="T35601" s="246">
        <f t="shared" si="594"/>
        <v>0</v>
      </c>
    </row>
    <row r="35602" spans="20:20" ht="18.75" customHeight="1" x14ac:dyDescent="0.35">
      <c r="T35602" s="246">
        <f t="shared" si="594"/>
        <v>0</v>
      </c>
    </row>
    <row r="35603" spans="20:20" ht="18.75" customHeight="1" x14ac:dyDescent="0.35">
      <c r="T35603" s="246">
        <f t="shared" si="594"/>
        <v>0</v>
      </c>
    </row>
    <row r="35604" spans="20:20" ht="18.75" customHeight="1" x14ac:dyDescent="0.35">
      <c r="T35604" s="246">
        <f t="shared" si="594"/>
        <v>0</v>
      </c>
    </row>
    <row r="35605" spans="20:20" ht="18.75" customHeight="1" x14ac:dyDescent="0.35">
      <c r="T35605" s="246">
        <f t="shared" si="594"/>
        <v>0</v>
      </c>
    </row>
    <row r="35606" spans="20:20" ht="18.75" customHeight="1" x14ac:dyDescent="0.35">
      <c r="T35606" s="246">
        <f t="shared" si="594"/>
        <v>0</v>
      </c>
    </row>
    <row r="35607" spans="20:20" ht="18.75" customHeight="1" x14ac:dyDescent="0.35">
      <c r="T35607" s="246">
        <f t="shared" si="594"/>
        <v>0</v>
      </c>
    </row>
    <row r="35608" spans="20:20" ht="18.75" customHeight="1" x14ac:dyDescent="0.35">
      <c r="T35608" s="246">
        <f t="shared" si="594"/>
        <v>0</v>
      </c>
    </row>
    <row r="35609" spans="20:20" ht="18.75" customHeight="1" x14ac:dyDescent="0.35">
      <c r="T35609" s="246">
        <f t="shared" si="594"/>
        <v>0</v>
      </c>
    </row>
    <row r="35610" spans="20:20" ht="18.75" customHeight="1" x14ac:dyDescent="0.35">
      <c r="T35610" s="246">
        <f t="shared" si="594"/>
        <v>0</v>
      </c>
    </row>
    <row r="35611" spans="20:20" ht="18.75" customHeight="1" x14ac:dyDescent="0.35">
      <c r="T35611" s="246">
        <f t="shared" si="594"/>
        <v>0</v>
      </c>
    </row>
    <row r="35612" spans="20:20" ht="18.75" customHeight="1" x14ac:dyDescent="0.35">
      <c r="T35612" s="246">
        <f t="shared" si="594"/>
        <v>0</v>
      </c>
    </row>
    <row r="35613" spans="20:20" ht="18.75" customHeight="1" x14ac:dyDescent="0.35">
      <c r="T35613" s="246">
        <f t="shared" si="594"/>
        <v>0</v>
      </c>
    </row>
    <row r="35614" spans="20:20" ht="18.75" customHeight="1" x14ac:dyDescent="0.35">
      <c r="T35614" s="246">
        <f t="shared" si="594"/>
        <v>0</v>
      </c>
    </row>
    <row r="35615" spans="20:20" ht="18.75" customHeight="1" x14ac:dyDescent="0.35">
      <c r="T35615" s="246">
        <f t="shared" si="594"/>
        <v>0</v>
      </c>
    </row>
    <row r="35616" spans="20:20" ht="18.75" customHeight="1" x14ac:dyDescent="0.35">
      <c r="T35616" s="246">
        <f t="shared" si="594"/>
        <v>0</v>
      </c>
    </row>
    <row r="35617" spans="20:20" ht="18.75" customHeight="1" x14ac:dyDescent="0.35">
      <c r="T35617" s="246">
        <f t="shared" si="594"/>
        <v>0</v>
      </c>
    </row>
    <row r="35618" spans="20:20" ht="18.75" customHeight="1" x14ac:dyDescent="0.35">
      <c r="T35618" s="246">
        <f t="shared" si="594"/>
        <v>0</v>
      </c>
    </row>
    <row r="35619" spans="20:20" ht="18.75" customHeight="1" x14ac:dyDescent="0.35">
      <c r="T35619" s="246">
        <f t="shared" si="594"/>
        <v>0</v>
      </c>
    </row>
    <row r="35620" spans="20:20" ht="18.75" customHeight="1" x14ac:dyDescent="0.35">
      <c r="T35620" s="246">
        <f t="shared" si="594"/>
        <v>0</v>
      </c>
    </row>
    <row r="35621" spans="20:20" ht="18.75" customHeight="1" x14ac:dyDescent="0.35">
      <c r="T35621" s="246">
        <f t="shared" si="594"/>
        <v>0</v>
      </c>
    </row>
    <row r="35622" spans="20:20" ht="18.75" customHeight="1" x14ac:dyDescent="0.35">
      <c r="T35622" s="246">
        <f t="shared" si="594"/>
        <v>0</v>
      </c>
    </row>
    <row r="35623" spans="20:20" ht="18.75" customHeight="1" x14ac:dyDescent="0.35">
      <c r="T35623" s="246">
        <f t="shared" si="594"/>
        <v>0</v>
      </c>
    </row>
    <row r="35624" spans="20:20" ht="18.75" customHeight="1" x14ac:dyDescent="0.35">
      <c r="T35624" s="246">
        <f t="shared" si="594"/>
        <v>0</v>
      </c>
    </row>
    <row r="35625" spans="20:20" ht="18.75" customHeight="1" x14ac:dyDescent="0.35">
      <c r="T35625" s="246">
        <f t="shared" si="594"/>
        <v>0</v>
      </c>
    </row>
    <row r="35626" spans="20:20" ht="18.75" customHeight="1" x14ac:dyDescent="0.35">
      <c r="T35626" s="246">
        <f t="shared" si="594"/>
        <v>0</v>
      </c>
    </row>
    <row r="35627" spans="20:20" ht="18.75" customHeight="1" x14ac:dyDescent="0.35">
      <c r="T35627" s="246">
        <f t="shared" si="594"/>
        <v>0</v>
      </c>
    </row>
    <row r="35628" spans="20:20" ht="18.75" customHeight="1" x14ac:dyDescent="0.35">
      <c r="T35628" s="246">
        <f t="shared" si="594"/>
        <v>0</v>
      </c>
    </row>
    <row r="35629" spans="20:20" ht="18.75" customHeight="1" x14ac:dyDescent="0.35">
      <c r="T35629" s="246">
        <f t="shared" si="594"/>
        <v>0</v>
      </c>
    </row>
    <row r="35630" spans="20:20" ht="18.75" customHeight="1" x14ac:dyDescent="0.35">
      <c r="T35630" s="246">
        <f t="shared" si="594"/>
        <v>0</v>
      </c>
    </row>
    <row r="35631" spans="20:20" ht="18.75" customHeight="1" x14ac:dyDescent="0.35">
      <c r="T35631" s="246">
        <f t="shared" si="594"/>
        <v>0</v>
      </c>
    </row>
    <row r="35632" spans="20:20" ht="18.75" customHeight="1" x14ac:dyDescent="0.35">
      <c r="T35632" s="246">
        <f t="shared" si="594"/>
        <v>0</v>
      </c>
    </row>
    <row r="35633" spans="20:20" ht="18.75" customHeight="1" x14ac:dyDescent="0.35">
      <c r="T35633" s="246">
        <f t="shared" si="594"/>
        <v>0</v>
      </c>
    </row>
    <row r="35634" spans="20:20" ht="18.75" customHeight="1" x14ac:dyDescent="0.35">
      <c r="T35634" s="246">
        <f t="shared" si="594"/>
        <v>0</v>
      </c>
    </row>
    <row r="35635" spans="20:20" ht="18.75" customHeight="1" x14ac:dyDescent="0.35">
      <c r="T35635" s="246">
        <f t="shared" si="594"/>
        <v>0</v>
      </c>
    </row>
    <row r="35636" spans="20:20" ht="18.75" customHeight="1" x14ac:dyDescent="0.35">
      <c r="T35636" s="246">
        <f t="shared" si="594"/>
        <v>0</v>
      </c>
    </row>
    <row r="35637" spans="20:20" ht="18.75" customHeight="1" x14ac:dyDescent="0.35">
      <c r="T35637" s="246">
        <f t="shared" si="594"/>
        <v>0</v>
      </c>
    </row>
    <row r="35638" spans="20:20" ht="18.75" customHeight="1" x14ac:dyDescent="0.35">
      <c r="T35638" s="246">
        <f t="shared" si="594"/>
        <v>0</v>
      </c>
    </row>
    <row r="35639" spans="20:20" ht="18.75" customHeight="1" x14ac:dyDescent="0.35">
      <c r="T35639" s="246">
        <f t="shared" si="594"/>
        <v>0</v>
      </c>
    </row>
    <row r="35640" spans="20:20" ht="18.75" customHeight="1" x14ac:dyDescent="0.35">
      <c r="T35640" s="246">
        <f t="shared" si="594"/>
        <v>0</v>
      </c>
    </row>
    <row r="35641" spans="20:20" ht="18.75" customHeight="1" x14ac:dyDescent="0.35">
      <c r="T35641" s="246">
        <f t="shared" si="594"/>
        <v>0</v>
      </c>
    </row>
    <row r="35642" spans="20:20" ht="18.75" customHeight="1" x14ac:dyDescent="0.35">
      <c r="T35642" s="246">
        <f t="shared" si="594"/>
        <v>0</v>
      </c>
    </row>
    <row r="35643" spans="20:20" ht="18.75" customHeight="1" x14ac:dyDescent="0.35">
      <c r="T35643" s="246">
        <f t="shared" si="594"/>
        <v>0</v>
      </c>
    </row>
    <row r="35644" spans="20:20" ht="18.75" customHeight="1" x14ac:dyDescent="0.35">
      <c r="T35644" s="246">
        <f t="shared" ref="T35644:T35707" si="595">R35644*0.01</f>
        <v>0</v>
      </c>
    </row>
    <row r="35645" spans="20:20" ht="18.75" customHeight="1" x14ac:dyDescent="0.35">
      <c r="T35645" s="246">
        <f t="shared" si="595"/>
        <v>0</v>
      </c>
    </row>
    <row r="35646" spans="20:20" ht="18.75" customHeight="1" x14ac:dyDescent="0.35">
      <c r="T35646" s="246">
        <f t="shared" si="595"/>
        <v>0</v>
      </c>
    </row>
    <row r="35647" spans="20:20" ht="18.75" customHeight="1" x14ac:dyDescent="0.35">
      <c r="T35647" s="246">
        <f t="shared" si="595"/>
        <v>0</v>
      </c>
    </row>
    <row r="35648" spans="20:20" ht="18.75" customHeight="1" x14ac:dyDescent="0.35">
      <c r="T35648" s="246">
        <f t="shared" si="595"/>
        <v>0</v>
      </c>
    </row>
    <row r="35649" spans="20:20" ht="18.75" customHeight="1" x14ac:dyDescent="0.35">
      <c r="T35649" s="246">
        <f t="shared" si="595"/>
        <v>0</v>
      </c>
    </row>
    <row r="35650" spans="20:20" ht="18.75" customHeight="1" x14ac:dyDescent="0.35">
      <c r="T35650" s="246">
        <f t="shared" si="595"/>
        <v>0</v>
      </c>
    </row>
    <row r="35651" spans="20:20" ht="18.75" customHeight="1" x14ac:dyDescent="0.35">
      <c r="T35651" s="246">
        <f t="shared" si="595"/>
        <v>0</v>
      </c>
    </row>
    <row r="35652" spans="20:20" ht="18.75" customHeight="1" x14ac:dyDescent="0.35">
      <c r="T35652" s="246">
        <f t="shared" si="595"/>
        <v>0</v>
      </c>
    </row>
    <row r="35653" spans="20:20" ht="18.75" customHeight="1" x14ac:dyDescent="0.35">
      <c r="T35653" s="246">
        <f t="shared" si="595"/>
        <v>0</v>
      </c>
    </row>
    <row r="35654" spans="20:20" ht="18.75" customHeight="1" x14ac:dyDescent="0.35">
      <c r="T35654" s="246">
        <f t="shared" si="595"/>
        <v>0</v>
      </c>
    </row>
    <row r="35655" spans="20:20" ht="18.75" customHeight="1" x14ac:dyDescent="0.35">
      <c r="T35655" s="246">
        <f t="shared" si="595"/>
        <v>0</v>
      </c>
    </row>
    <row r="35656" spans="20:20" ht="18.75" customHeight="1" x14ac:dyDescent="0.35">
      <c r="T35656" s="246">
        <f t="shared" si="595"/>
        <v>0</v>
      </c>
    </row>
    <row r="35657" spans="20:20" ht="18.75" customHeight="1" x14ac:dyDescent="0.35">
      <c r="T35657" s="246">
        <f t="shared" si="595"/>
        <v>0</v>
      </c>
    </row>
    <row r="35658" spans="20:20" ht="18.75" customHeight="1" x14ac:dyDescent="0.35">
      <c r="T35658" s="246">
        <f t="shared" si="595"/>
        <v>0</v>
      </c>
    </row>
    <row r="35659" spans="20:20" ht="18.75" customHeight="1" x14ac:dyDescent="0.35">
      <c r="T35659" s="246">
        <f t="shared" si="595"/>
        <v>0</v>
      </c>
    </row>
    <row r="35660" spans="20:20" ht="18.75" customHeight="1" x14ac:dyDescent="0.35">
      <c r="T35660" s="246">
        <f t="shared" si="595"/>
        <v>0</v>
      </c>
    </row>
    <row r="35661" spans="20:20" ht="18.75" customHeight="1" x14ac:dyDescent="0.35">
      <c r="T35661" s="246">
        <f t="shared" si="595"/>
        <v>0</v>
      </c>
    </row>
    <row r="35662" spans="20:20" ht="18.75" customHeight="1" x14ac:dyDescent="0.35">
      <c r="T35662" s="246">
        <f t="shared" si="595"/>
        <v>0</v>
      </c>
    </row>
    <row r="35663" spans="20:20" ht="18.75" customHeight="1" x14ac:dyDescent="0.35">
      <c r="T35663" s="246">
        <f t="shared" si="595"/>
        <v>0</v>
      </c>
    </row>
    <row r="35664" spans="20:20" ht="18.75" customHeight="1" x14ac:dyDescent="0.35">
      <c r="T35664" s="246">
        <f t="shared" si="595"/>
        <v>0</v>
      </c>
    </row>
    <row r="35665" spans="20:20" ht="18.75" customHeight="1" x14ac:dyDescent="0.35">
      <c r="T35665" s="246">
        <f t="shared" si="595"/>
        <v>0</v>
      </c>
    </row>
    <row r="35666" spans="20:20" ht="18.75" customHeight="1" x14ac:dyDescent="0.35">
      <c r="T35666" s="246">
        <f t="shared" si="595"/>
        <v>0</v>
      </c>
    </row>
    <row r="35667" spans="20:20" ht="18.75" customHeight="1" x14ac:dyDescent="0.35">
      <c r="T35667" s="246">
        <f t="shared" si="595"/>
        <v>0</v>
      </c>
    </row>
    <row r="35668" spans="20:20" ht="18.75" customHeight="1" x14ac:dyDescent="0.35">
      <c r="T35668" s="246">
        <f t="shared" si="595"/>
        <v>0</v>
      </c>
    </row>
    <row r="35669" spans="20:20" ht="18.75" customHeight="1" x14ac:dyDescent="0.35">
      <c r="T35669" s="246">
        <f t="shared" si="595"/>
        <v>0</v>
      </c>
    </row>
    <row r="35670" spans="20:20" ht="18.75" customHeight="1" x14ac:dyDescent="0.35">
      <c r="T35670" s="246">
        <f t="shared" si="595"/>
        <v>0</v>
      </c>
    </row>
    <row r="35671" spans="20:20" ht="18.75" customHeight="1" x14ac:dyDescent="0.35">
      <c r="T35671" s="246">
        <f t="shared" si="595"/>
        <v>0</v>
      </c>
    </row>
    <row r="35672" spans="20:20" ht="18.75" customHeight="1" x14ac:dyDescent="0.35">
      <c r="T35672" s="246">
        <f t="shared" si="595"/>
        <v>0</v>
      </c>
    </row>
    <row r="35673" spans="20:20" ht="18.75" customHeight="1" x14ac:dyDescent="0.35">
      <c r="T35673" s="246">
        <f t="shared" si="595"/>
        <v>0</v>
      </c>
    </row>
    <row r="35674" spans="20:20" ht="18.75" customHeight="1" x14ac:dyDescent="0.35">
      <c r="T35674" s="246">
        <f t="shared" si="595"/>
        <v>0</v>
      </c>
    </row>
    <row r="35675" spans="20:20" ht="18.75" customHeight="1" x14ac:dyDescent="0.35">
      <c r="T35675" s="246">
        <f t="shared" si="595"/>
        <v>0</v>
      </c>
    </row>
    <row r="35676" spans="20:20" ht="18.75" customHeight="1" x14ac:dyDescent="0.35">
      <c r="T35676" s="246">
        <f t="shared" si="595"/>
        <v>0</v>
      </c>
    </row>
    <row r="35677" spans="20:20" ht="18.75" customHeight="1" x14ac:dyDescent="0.35">
      <c r="T35677" s="246">
        <f t="shared" si="595"/>
        <v>0</v>
      </c>
    </row>
    <row r="35678" spans="20:20" ht="18.75" customHeight="1" x14ac:dyDescent="0.35">
      <c r="T35678" s="246">
        <f t="shared" si="595"/>
        <v>0</v>
      </c>
    </row>
    <row r="35679" spans="20:20" ht="18.75" customHeight="1" x14ac:dyDescent="0.35">
      <c r="T35679" s="246">
        <f t="shared" si="595"/>
        <v>0</v>
      </c>
    </row>
    <row r="35680" spans="20:20" ht="18.75" customHeight="1" x14ac:dyDescent="0.35">
      <c r="T35680" s="246">
        <f t="shared" si="595"/>
        <v>0</v>
      </c>
    </row>
    <row r="35681" spans="20:20" ht="18.75" customHeight="1" x14ac:dyDescent="0.35">
      <c r="T35681" s="246">
        <f t="shared" si="595"/>
        <v>0</v>
      </c>
    </row>
    <row r="35682" spans="20:20" ht="18.75" customHeight="1" x14ac:dyDescent="0.35">
      <c r="T35682" s="246">
        <f t="shared" si="595"/>
        <v>0</v>
      </c>
    </row>
    <row r="35683" spans="20:20" ht="18.75" customHeight="1" x14ac:dyDescent="0.35">
      <c r="T35683" s="246">
        <f t="shared" si="595"/>
        <v>0</v>
      </c>
    </row>
    <row r="35684" spans="20:20" ht="18.75" customHeight="1" x14ac:dyDescent="0.35">
      <c r="T35684" s="246">
        <f t="shared" si="595"/>
        <v>0</v>
      </c>
    </row>
    <row r="35685" spans="20:20" ht="18.75" customHeight="1" x14ac:dyDescent="0.35">
      <c r="T35685" s="246">
        <f t="shared" si="595"/>
        <v>0</v>
      </c>
    </row>
    <row r="35686" spans="20:20" ht="18.75" customHeight="1" x14ac:dyDescent="0.35">
      <c r="T35686" s="246">
        <f t="shared" si="595"/>
        <v>0</v>
      </c>
    </row>
    <row r="35687" spans="20:20" ht="18.75" customHeight="1" x14ac:dyDescent="0.35">
      <c r="T35687" s="246">
        <f t="shared" si="595"/>
        <v>0</v>
      </c>
    </row>
    <row r="35688" spans="20:20" ht="18.75" customHeight="1" x14ac:dyDescent="0.35">
      <c r="T35688" s="246">
        <f t="shared" si="595"/>
        <v>0</v>
      </c>
    </row>
    <row r="35689" spans="20:20" ht="18.75" customHeight="1" x14ac:dyDescent="0.35">
      <c r="T35689" s="246">
        <f t="shared" si="595"/>
        <v>0</v>
      </c>
    </row>
    <row r="35690" spans="20:20" ht="18.75" customHeight="1" x14ac:dyDescent="0.35">
      <c r="T35690" s="246">
        <f t="shared" si="595"/>
        <v>0</v>
      </c>
    </row>
    <row r="35691" spans="20:20" ht="18.75" customHeight="1" x14ac:dyDescent="0.35">
      <c r="T35691" s="246">
        <f t="shared" si="595"/>
        <v>0</v>
      </c>
    </row>
    <row r="35692" spans="20:20" ht="18.75" customHeight="1" x14ac:dyDescent="0.35">
      <c r="T35692" s="246">
        <f t="shared" si="595"/>
        <v>0</v>
      </c>
    </row>
    <row r="35693" spans="20:20" ht="18.75" customHeight="1" x14ac:dyDescent="0.35">
      <c r="T35693" s="246">
        <f t="shared" si="595"/>
        <v>0</v>
      </c>
    </row>
    <row r="35694" spans="20:20" ht="18.75" customHeight="1" x14ac:dyDescent="0.35">
      <c r="T35694" s="246">
        <f t="shared" si="595"/>
        <v>0</v>
      </c>
    </row>
    <row r="35695" spans="20:20" ht="18.75" customHeight="1" x14ac:dyDescent="0.35">
      <c r="T35695" s="246">
        <f t="shared" si="595"/>
        <v>0</v>
      </c>
    </row>
    <row r="35696" spans="20:20" ht="18.75" customHeight="1" x14ac:dyDescent="0.35">
      <c r="T35696" s="246">
        <f t="shared" si="595"/>
        <v>0</v>
      </c>
    </row>
    <row r="35697" spans="20:20" ht="18.75" customHeight="1" x14ac:dyDescent="0.35">
      <c r="T35697" s="246">
        <f t="shared" si="595"/>
        <v>0</v>
      </c>
    </row>
    <row r="35698" spans="20:20" ht="18.75" customHeight="1" x14ac:dyDescent="0.35">
      <c r="T35698" s="246">
        <f t="shared" si="595"/>
        <v>0</v>
      </c>
    </row>
    <row r="35699" spans="20:20" ht="18.75" customHeight="1" x14ac:dyDescent="0.35">
      <c r="T35699" s="246">
        <f t="shared" si="595"/>
        <v>0</v>
      </c>
    </row>
    <row r="35700" spans="20:20" ht="18.75" customHeight="1" x14ac:dyDescent="0.35">
      <c r="T35700" s="246">
        <f t="shared" si="595"/>
        <v>0</v>
      </c>
    </row>
    <row r="35701" spans="20:20" ht="18.75" customHeight="1" x14ac:dyDescent="0.35">
      <c r="T35701" s="246">
        <f t="shared" si="595"/>
        <v>0</v>
      </c>
    </row>
    <row r="35702" spans="20:20" ht="18.75" customHeight="1" x14ac:dyDescent="0.35">
      <c r="T35702" s="246">
        <f t="shared" si="595"/>
        <v>0</v>
      </c>
    </row>
    <row r="35703" spans="20:20" ht="18.75" customHeight="1" x14ac:dyDescent="0.35">
      <c r="T35703" s="246">
        <f t="shared" si="595"/>
        <v>0</v>
      </c>
    </row>
    <row r="35704" spans="20:20" ht="18.75" customHeight="1" x14ac:dyDescent="0.35">
      <c r="T35704" s="246">
        <f t="shared" si="595"/>
        <v>0</v>
      </c>
    </row>
    <row r="35705" spans="20:20" ht="18.75" customHeight="1" x14ac:dyDescent="0.35">
      <c r="T35705" s="246">
        <f t="shared" si="595"/>
        <v>0</v>
      </c>
    </row>
    <row r="35706" spans="20:20" ht="18.75" customHeight="1" x14ac:dyDescent="0.35">
      <c r="T35706" s="246">
        <f t="shared" si="595"/>
        <v>0</v>
      </c>
    </row>
    <row r="35707" spans="20:20" ht="18.75" customHeight="1" x14ac:dyDescent="0.35">
      <c r="T35707" s="246">
        <f t="shared" si="595"/>
        <v>0</v>
      </c>
    </row>
    <row r="35708" spans="20:20" ht="18.75" customHeight="1" x14ac:dyDescent="0.35">
      <c r="T35708" s="246">
        <f t="shared" ref="T35708:T35771" si="596">R35708*0.01</f>
        <v>0</v>
      </c>
    </row>
    <row r="35709" spans="20:20" ht="18.75" customHeight="1" x14ac:dyDescent="0.35">
      <c r="T35709" s="246">
        <f t="shared" si="596"/>
        <v>0</v>
      </c>
    </row>
    <row r="35710" spans="20:20" ht="18.75" customHeight="1" x14ac:dyDescent="0.35">
      <c r="T35710" s="246">
        <f t="shared" si="596"/>
        <v>0</v>
      </c>
    </row>
    <row r="35711" spans="20:20" ht="18.75" customHeight="1" x14ac:dyDescent="0.35">
      <c r="T35711" s="246">
        <f t="shared" si="596"/>
        <v>0</v>
      </c>
    </row>
    <row r="35712" spans="20:20" ht="18.75" customHeight="1" x14ac:dyDescent="0.35">
      <c r="T35712" s="246">
        <f t="shared" si="596"/>
        <v>0</v>
      </c>
    </row>
    <row r="35713" spans="20:20" ht="18.75" customHeight="1" x14ac:dyDescent="0.35">
      <c r="T35713" s="246">
        <f t="shared" si="596"/>
        <v>0</v>
      </c>
    </row>
    <row r="35714" spans="20:20" ht="18.75" customHeight="1" x14ac:dyDescent="0.35">
      <c r="T35714" s="246">
        <f t="shared" si="596"/>
        <v>0</v>
      </c>
    </row>
    <row r="35715" spans="20:20" ht="18.75" customHeight="1" x14ac:dyDescent="0.35">
      <c r="T35715" s="246">
        <f t="shared" si="596"/>
        <v>0</v>
      </c>
    </row>
    <row r="35716" spans="20:20" ht="18.75" customHeight="1" x14ac:dyDescent="0.35">
      <c r="T35716" s="246">
        <f t="shared" si="596"/>
        <v>0</v>
      </c>
    </row>
    <row r="35717" spans="20:20" ht="18.75" customHeight="1" x14ac:dyDescent="0.35">
      <c r="T35717" s="246">
        <f t="shared" si="596"/>
        <v>0</v>
      </c>
    </row>
    <row r="35718" spans="20:20" ht="18.75" customHeight="1" x14ac:dyDescent="0.35">
      <c r="T35718" s="246">
        <f t="shared" si="596"/>
        <v>0</v>
      </c>
    </row>
    <row r="35719" spans="20:20" ht="18.75" customHeight="1" x14ac:dyDescent="0.35">
      <c r="T35719" s="246">
        <f t="shared" si="596"/>
        <v>0</v>
      </c>
    </row>
    <row r="35720" spans="20:20" ht="18.75" customHeight="1" x14ac:dyDescent="0.35">
      <c r="T35720" s="246">
        <f t="shared" si="596"/>
        <v>0</v>
      </c>
    </row>
    <row r="35721" spans="20:20" ht="18.75" customHeight="1" x14ac:dyDescent="0.35">
      <c r="T35721" s="246">
        <f t="shared" si="596"/>
        <v>0</v>
      </c>
    </row>
    <row r="35722" spans="20:20" ht="18.75" customHeight="1" x14ac:dyDescent="0.35">
      <c r="T35722" s="246">
        <f t="shared" si="596"/>
        <v>0</v>
      </c>
    </row>
    <row r="35723" spans="20:20" ht="18.75" customHeight="1" x14ac:dyDescent="0.35">
      <c r="T35723" s="246">
        <f t="shared" si="596"/>
        <v>0</v>
      </c>
    </row>
    <row r="35724" spans="20:20" ht="18.75" customHeight="1" x14ac:dyDescent="0.35">
      <c r="T35724" s="246">
        <f t="shared" si="596"/>
        <v>0</v>
      </c>
    </row>
    <row r="35725" spans="20:20" ht="18.75" customHeight="1" x14ac:dyDescent="0.35">
      <c r="T35725" s="246">
        <f t="shared" si="596"/>
        <v>0</v>
      </c>
    </row>
    <row r="35726" spans="20:20" ht="18.75" customHeight="1" x14ac:dyDescent="0.35">
      <c r="T35726" s="246">
        <f t="shared" si="596"/>
        <v>0</v>
      </c>
    </row>
    <row r="35727" spans="20:20" ht="18.75" customHeight="1" x14ac:dyDescent="0.35">
      <c r="T35727" s="246">
        <f t="shared" si="596"/>
        <v>0</v>
      </c>
    </row>
    <row r="35728" spans="20:20" ht="18.75" customHeight="1" x14ac:dyDescent="0.35">
      <c r="T35728" s="246">
        <f t="shared" si="596"/>
        <v>0</v>
      </c>
    </row>
    <row r="35729" spans="20:20" ht="18.75" customHeight="1" x14ac:dyDescent="0.35">
      <c r="T35729" s="246">
        <f t="shared" si="596"/>
        <v>0</v>
      </c>
    </row>
    <row r="35730" spans="20:20" ht="18.75" customHeight="1" x14ac:dyDescent="0.35">
      <c r="T35730" s="246">
        <f t="shared" si="596"/>
        <v>0</v>
      </c>
    </row>
    <row r="35731" spans="20:20" ht="18.75" customHeight="1" x14ac:dyDescent="0.35">
      <c r="T35731" s="246">
        <f t="shared" si="596"/>
        <v>0</v>
      </c>
    </row>
    <row r="35732" spans="20:20" ht="18.75" customHeight="1" x14ac:dyDescent="0.35">
      <c r="T35732" s="246">
        <f t="shared" si="596"/>
        <v>0</v>
      </c>
    </row>
    <row r="35733" spans="20:20" ht="18.75" customHeight="1" x14ac:dyDescent="0.35">
      <c r="T35733" s="246">
        <f t="shared" si="596"/>
        <v>0</v>
      </c>
    </row>
    <row r="35734" spans="20:20" ht="18.75" customHeight="1" x14ac:dyDescent="0.35">
      <c r="T35734" s="246">
        <f t="shared" si="596"/>
        <v>0</v>
      </c>
    </row>
    <row r="35735" spans="20:20" ht="18.75" customHeight="1" x14ac:dyDescent="0.35">
      <c r="T35735" s="246">
        <f t="shared" si="596"/>
        <v>0</v>
      </c>
    </row>
    <row r="35736" spans="20:20" ht="18.75" customHeight="1" x14ac:dyDescent="0.35">
      <c r="T35736" s="246">
        <f t="shared" si="596"/>
        <v>0</v>
      </c>
    </row>
    <row r="35737" spans="20:20" ht="18.75" customHeight="1" x14ac:dyDescent="0.35">
      <c r="T35737" s="246">
        <f t="shared" si="596"/>
        <v>0</v>
      </c>
    </row>
    <row r="35738" spans="20:20" ht="18.75" customHeight="1" x14ac:dyDescent="0.35">
      <c r="T35738" s="246">
        <f t="shared" si="596"/>
        <v>0</v>
      </c>
    </row>
    <row r="35739" spans="20:20" ht="18.75" customHeight="1" x14ac:dyDescent="0.35">
      <c r="T35739" s="246">
        <f t="shared" si="596"/>
        <v>0</v>
      </c>
    </row>
    <row r="35740" spans="20:20" ht="18.75" customHeight="1" x14ac:dyDescent="0.35">
      <c r="T35740" s="246">
        <f t="shared" si="596"/>
        <v>0</v>
      </c>
    </row>
    <row r="35741" spans="20:20" ht="18.75" customHeight="1" x14ac:dyDescent="0.35">
      <c r="T35741" s="246">
        <f t="shared" si="596"/>
        <v>0</v>
      </c>
    </row>
    <row r="35742" spans="20:20" ht="18.75" customHeight="1" x14ac:dyDescent="0.35">
      <c r="T35742" s="246">
        <f t="shared" si="596"/>
        <v>0</v>
      </c>
    </row>
    <row r="35743" spans="20:20" ht="18.75" customHeight="1" x14ac:dyDescent="0.35">
      <c r="T35743" s="246">
        <f t="shared" si="596"/>
        <v>0</v>
      </c>
    </row>
    <row r="35744" spans="20:20" ht="18.75" customHeight="1" x14ac:dyDescent="0.35">
      <c r="T35744" s="246">
        <f t="shared" si="596"/>
        <v>0</v>
      </c>
    </row>
    <row r="35745" spans="20:20" ht="18.75" customHeight="1" x14ac:dyDescent="0.35">
      <c r="T35745" s="246">
        <f t="shared" si="596"/>
        <v>0</v>
      </c>
    </row>
    <row r="35746" spans="20:20" ht="18.75" customHeight="1" x14ac:dyDescent="0.35">
      <c r="T35746" s="246">
        <f t="shared" si="596"/>
        <v>0</v>
      </c>
    </row>
    <row r="35747" spans="20:20" ht="18.75" customHeight="1" x14ac:dyDescent="0.35">
      <c r="T35747" s="246">
        <f t="shared" si="596"/>
        <v>0</v>
      </c>
    </row>
    <row r="35748" spans="20:20" ht="18.75" customHeight="1" x14ac:dyDescent="0.35">
      <c r="T35748" s="246">
        <f t="shared" si="596"/>
        <v>0</v>
      </c>
    </row>
    <row r="35749" spans="20:20" ht="18.75" customHeight="1" x14ac:dyDescent="0.35">
      <c r="T35749" s="246">
        <f t="shared" si="596"/>
        <v>0</v>
      </c>
    </row>
    <row r="35750" spans="20:20" ht="18.75" customHeight="1" x14ac:dyDescent="0.35">
      <c r="T35750" s="246">
        <f t="shared" si="596"/>
        <v>0</v>
      </c>
    </row>
    <row r="35751" spans="20:20" ht="18.75" customHeight="1" x14ac:dyDescent="0.35">
      <c r="T35751" s="246">
        <f t="shared" si="596"/>
        <v>0</v>
      </c>
    </row>
    <row r="35752" spans="20:20" ht="18.75" customHeight="1" x14ac:dyDescent="0.35">
      <c r="T35752" s="246">
        <f t="shared" si="596"/>
        <v>0</v>
      </c>
    </row>
    <row r="35753" spans="20:20" ht="18.75" customHeight="1" x14ac:dyDescent="0.35">
      <c r="T35753" s="246">
        <f t="shared" si="596"/>
        <v>0</v>
      </c>
    </row>
    <row r="35754" spans="20:20" ht="18.75" customHeight="1" x14ac:dyDescent="0.35">
      <c r="T35754" s="246">
        <f t="shared" si="596"/>
        <v>0</v>
      </c>
    </row>
    <row r="35755" spans="20:20" ht="18.75" customHeight="1" x14ac:dyDescent="0.35">
      <c r="T35755" s="246">
        <f t="shared" si="596"/>
        <v>0</v>
      </c>
    </row>
    <row r="35756" spans="20:20" ht="18.75" customHeight="1" x14ac:dyDescent="0.35">
      <c r="T35756" s="246">
        <f t="shared" si="596"/>
        <v>0</v>
      </c>
    </row>
    <row r="35757" spans="20:20" ht="18.75" customHeight="1" x14ac:dyDescent="0.35">
      <c r="T35757" s="246">
        <f t="shared" si="596"/>
        <v>0</v>
      </c>
    </row>
    <row r="35758" spans="20:20" ht="18.75" customHeight="1" x14ac:dyDescent="0.35">
      <c r="T35758" s="246">
        <f t="shared" si="596"/>
        <v>0</v>
      </c>
    </row>
    <row r="35759" spans="20:20" ht="18.75" customHeight="1" x14ac:dyDescent="0.35">
      <c r="T35759" s="246">
        <f t="shared" si="596"/>
        <v>0</v>
      </c>
    </row>
    <row r="35760" spans="20:20" ht="18.75" customHeight="1" x14ac:dyDescent="0.35">
      <c r="T35760" s="246">
        <f t="shared" si="596"/>
        <v>0</v>
      </c>
    </row>
    <row r="35761" spans="20:20" ht="18.75" customHeight="1" x14ac:dyDescent="0.35">
      <c r="T35761" s="246">
        <f t="shared" si="596"/>
        <v>0</v>
      </c>
    </row>
    <row r="35762" spans="20:20" ht="18.75" customHeight="1" x14ac:dyDescent="0.35">
      <c r="T35762" s="246">
        <f t="shared" si="596"/>
        <v>0</v>
      </c>
    </row>
    <row r="35763" spans="20:20" ht="18.75" customHeight="1" x14ac:dyDescent="0.35">
      <c r="T35763" s="246">
        <f t="shared" si="596"/>
        <v>0</v>
      </c>
    </row>
    <row r="35764" spans="20:20" ht="18.75" customHeight="1" x14ac:dyDescent="0.35">
      <c r="T35764" s="246">
        <f t="shared" si="596"/>
        <v>0</v>
      </c>
    </row>
    <row r="35765" spans="20:20" ht="18.75" customHeight="1" x14ac:dyDescent="0.35">
      <c r="T35765" s="246">
        <f t="shared" si="596"/>
        <v>0</v>
      </c>
    </row>
    <row r="35766" spans="20:20" ht="18.75" customHeight="1" x14ac:dyDescent="0.35">
      <c r="T35766" s="246">
        <f t="shared" si="596"/>
        <v>0</v>
      </c>
    </row>
    <row r="35767" spans="20:20" ht="18.75" customHeight="1" x14ac:dyDescent="0.35">
      <c r="T35767" s="246">
        <f t="shared" si="596"/>
        <v>0</v>
      </c>
    </row>
    <row r="35768" spans="20:20" ht="18.75" customHeight="1" x14ac:dyDescent="0.35">
      <c r="T35768" s="246">
        <f t="shared" si="596"/>
        <v>0</v>
      </c>
    </row>
    <row r="35769" spans="20:20" ht="18.75" customHeight="1" x14ac:dyDescent="0.35">
      <c r="T35769" s="246">
        <f t="shared" si="596"/>
        <v>0</v>
      </c>
    </row>
    <row r="35770" spans="20:20" ht="18.75" customHeight="1" x14ac:dyDescent="0.35">
      <c r="T35770" s="246">
        <f t="shared" si="596"/>
        <v>0</v>
      </c>
    </row>
    <row r="35771" spans="20:20" ht="18.75" customHeight="1" x14ac:dyDescent="0.35">
      <c r="T35771" s="246">
        <f t="shared" si="596"/>
        <v>0</v>
      </c>
    </row>
    <row r="35772" spans="20:20" ht="18.75" customHeight="1" x14ac:dyDescent="0.35">
      <c r="T35772" s="246">
        <f t="shared" ref="T35772:T35835" si="597">R35772*0.01</f>
        <v>0</v>
      </c>
    </row>
    <row r="35773" spans="20:20" ht="18.75" customHeight="1" x14ac:dyDescent="0.35">
      <c r="T35773" s="246">
        <f t="shared" si="597"/>
        <v>0</v>
      </c>
    </row>
    <row r="35774" spans="20:20" ht="18.75" customHeight="1" x14ac:dyDescent="0.35">
      <c r="T35774" s="246">
        <f t="shared" si="597"/>
        <v>0</v>
      </c>
    </row>
    <row r="35775" spans="20:20" ht="18.75" customHeight="1" x14ac:dyDescent="0.35">
      <c r="T35775" s="246">
        <f t="shared" si="597"/>
        <v>0</v>
      </c>
    </row>
    <row r="35776" spans="20:20" ht="18.75" customHeight="1" x14ac:dyDescent="0.35">
      <c r="T35776" s="246">
        <f t="shared" si="597"/>
        <v>0</v>
      </c>
    </row>
    <row r="35777" spans="20:20" ht="18.75" customHeight="1" x14ac:dyDescent="0.35">
      <c r="T35777" s="246">
        <f t="shared" si="597"/>
        <v>0</v>
      </c>
    </row>
    <row r="35778" spans="20:20" ht="18.75" customHeight="1" x14ac:dyDescent="0.35">
      <c r="T35778" s="246">
        <f t="shared" si="597"/>
        <v>0</v>
      </c>
    </row>
    <row r="35779" spans="20:20" ht="18.75" customHeight="1" x14ac:dyDescent="0.35">
      <c r="T35779" s="246">
        <f t="shared" si="597"/>
        <v>0</v>
      </c>
    </row>
    <row r="35780" spans="20:20" ht="18.75" customHeight="1" x14ac:dyDescent="0.35">
      <c r="T35780" s="246">
        <f t="shared" si="597"/>
        <v>0</v>
      </c>
    </row>
    <row r="35781" spans="20:20" ht="18.75" customHeight="1" x14ac:dyDescent="0.35">
      <c r="T35781" s="246">
        <f t="shared" si="597"/>
        <v>0</v>
      </c>
    </row>
    <row r="35782" spans="20:20" ht="18.75" customHeight="1" x14ac:dyDescent="0.35">
      <c r="T35782" s="246">
        <f t="shared" si="597"/>
        <v>0</v>
      </c>
    </row>
    <row r="35783" spans="20:20" ht="18.75" customHeight="1" x14ac:dyDescent="0.35">
      <c r="T35783" s="246">
        <f t="shared" si="597"/>
        <v>0</v>
      </c>
    </row>
    <row r="35784" spans="20:20" ht="18.75" customHeight="1" x14ac:dyDescent="0.35">
      <c r="T35784" s="246">
        <f t="shared" si="597"/>
        <v>0</v>
      </c>
    </row>
    <row r="35785" spans="20:20" ht="18.75" customHeight="1" x14ac:dyDescent="0.35">
      <c r="T35785" s="246">
        <f t="shared" si="597"/>
        <v>0</v>
      </c>
    </row>
    <row r="35786" spans="20:20" ht="18.75" customHeight="1" x14ac:dyDescent="0.35">
      <c r="T35786" s="246">
        <f t="shared" si="597"/>
        <v>0</v>
      </c>
    </row>
    <row r="35787" spans="20:20" ht="18.75" customHeight="1" x14ac:dyDescent="0.35">
      <c r="T35787" s="246">
        <f t="shared" si="597"/>
        <v>0</v>
      </c>
    </row>
    <row r="35788" spans="20:20" ht="18.75" customHeight="1" x14ac:dyDescent="0.35">
      <c r="T35788" s="246">
        <f t="shared" si="597"/>
        <v>0</v>
      </c>
    </row>
    <row r="35789" spans="20:20" ht="18.75" customHeight="1" x14ac:dyDescent="0.35">
      <c r="T35789" s="246">
        <f t="shared" si="597"/>
        <v>0</v>
      </c>
    </row>
    <row r="35790" spans="20:20" ht="18.75" customHeight="1" x14ac:dyDescent="0.35">
      <c r="T35790" s="246">
        <f t="shared" si="597"/>
        <v>0</v>
      </c>
    </row>
    <row r="35791" spans="20:20" ht="18.75" customHeight="1" x14ac:dyDescent="0.35">
      <c r="T35791" s="246">
        <f t="shared" si="597"/>
        <v>0</v>
      </c>
    </row>
    <row r="35792" spans="20:20" ht="18.75" customHeight="1" x14ac:dyDescent="0.35">
      <c r="T35792" s="246">
        <f t="shared" si="597"/>
        <v>0</v>
      </c>
    </row>
    <row r="35793" spans="20:20" ht="18.75" customHeight="1" x14ac:dyDescent="0.35">
      <c r="T35793" s="246">
        <f t="shared" si="597"/>
        <v>0</v>
      </c>
    </row>
    <row r="35794" spans="20:20" ht="18.75" customHeight="1" x14ac:dyDescent="0.35">
      <c r="T35794" s="246">
        <f t="shared" si="597"/>
        <v>0</v>
      </c>
    </row>
    <row r="35795" spans="20:20" ht="18.75" customHeight="1" x14ac:dyDescent="0.35">
      <c r="T35795" s="246">
        <f t="shared" si="597"/>
        <v>0</v>
      </c>
    </row>
    <row r="35796" spans="20:20" ht="18.75" customHeight="1" x14ac:dyDescent="0.35">
      <c r="T35796" s="246">
        <f t="shared" si="597"/>
        <v>0</v>
      </c>
    </row>
    <row r="35797" spans="20:20" ht="18.75" customHeight="1" x14ac:dyDescent="0.35">
      <c r="T35797" s="246">
        <f t="shared" si="597"/>
        <v>0</v>
      </c>
    </row>
    <row r="35798" spans="20:20" ht="18.75" customHeight="1" x14ac:dyDescent="0.35">
      <c r="T35798" s="246">
        <f t="shared" si="597"/>
        <v>0</v>
      </c>
    </row>
    <row r="35799" spans="20:20" ht="18.75" customHeight="1" x14ac:dyDescent="0.35">
      <c r="T35799" s="246">
        <f t="shared" si="597"/>
        <v>0</v>
      </c>
    </row>
    <row r="35800" spans="20:20" ht="18.75" customHeight="1" x14ac:dyDescent="0.35">
      <c r="T35800" s="246">
        <f t="shared" si="597"/>
        <v>0</v>
      </c>
    </row>
    <row r="35801" spans="20:20" ht="18.75" customHeight="1" x14ac:dyDescent="0.35">
      <c r="T35801" s="246">
        <f t="shared" si="597"/>
        <v>0</v>
      </c>
    </row>
    <row r="35802" spans="20:20" ht="18.75" customHeight="1" x14ac:dyDescent="0.35">
      <c r="T35802" s="246">
        <f t="shared" si="597"/>
        <v>0</v>
      </c>
    </row>
    <row r="35803" spans="20:20" ht="18.75" customHeight="1" x14ac:dyDescent="0.35">
      <c r="T35803" s="246">
        <f t="shared" si="597"/>
        <v>0</v>
      </c>
    </row>
    <row r="35804" spans="20:20" ht="18.75" customHeight="1" x14ac:dyDescent="0.35">
      <c r="T35804" s="246">
        <f t="shared" si="597"/>
        <v>0</v>
      </c>
    </row>
    <row r="35805" spans="20:20" ht="18.75" customHeight="1" x14ac:dyDescent="0.35">
      <c r="T35805" s="246">
        <f t="shared" si="597"/>
        <v>0</v>
      </c>
    </row>
    <row r="35806" spans="20:20" ht="18.75" customHeight="1" x14ac:dyDescent="0.35">
      <c r="T35806" s="246">
        <f t="shared" si="597"/>
        <v>0</v>
      </c>
    </row>
    <row r="35807" spans="20:20" ht="18.75" customHeight="1" x14ac:dyDescent="0.35">
      <c r="T35807" s="246">
        <f t="shared" si="597"/>
        <v>0</v>
      </c>
    </row>
    <row r="35808" spans="20:20" ht="18.75" customHeight="1" x14ac:dyDescent="0.35">
      <c r="T35808" s="246">
        <f t="shared" si="597"/>
        <v>0</v>
      </c>
    </row>
    <row r="35809" spans="20:20" ht="18.75" customHeight="1" x14ac:dyDescent="0.35">
      <c r="T35809" s="246">
        <f t="shared" si="597"/>
        <v>0</v>
      </c>
    </row>
    <row r="35810" spans="20:20" ht="18.75" customHeight="1" x14ac:dyDescent="0.35">
      <c r="T35810" s="246">
        <f t="shared" si="597"/>
        <v>0</v>
      </c>
    </row>
    <row r="35811" spans="20:20" ht="18.75" customHeight="1" x14ac:dyDescent="0.35">
      <c r="T35811" s="246">
        <f t="shared" si="597"/>
        <v>0</v>
      </c>
    </row>
    <row r="35812" spans="20:20" ht="18.75" customHeight="1" x14ac:dyDescent="0.35">
      <c r="T35812" s="246">
        <f t="shared" si="597"/>
        <v>0</v>
      </c>
    </row>
    <row r="35813" spans="20:20" ht="18.75" customHeight="1" x14ac:dyDescent="0.35">
      <c r="T35813" s="246">
        <f t="shared" si="597"/>
        <v>0</v>
      </c>
    </row>
    <row r="35814" spans="20:20" ht="18.75" customHeight="1" x14ac:dyDescent="0.35">
      <c r="T35814" s="246">
        <f t="shared" si="597"/>
        <v>0</v>
      </c>
    </row>
    <row r="35815" spans="20:20" ht="18.75" customHeight="1" x14ac:dyDescent="0.35">
      <c r="T35815" s="246">
        <f t="shared" si="597"/>
        <v>0</v>
      </c>
    </row>
    <row r="35816" spans="20:20" ht="18.75" customHeight="1" x14ac:dyDescent="0.35">
      <c r="T35816" s="246">
        <f t="shared" si="597"/>
        <v>0</v>
      </c>
    </row>
    <row r="35817" spans="20:20" ht="18.75" customHeight="1" x14ac:dyDescent="0.35">
      <c r="T35817" s="246">
        <f t="shared" si="597"/>
        <v>0</v>
      </c>
    </row>
    <row r="35818" spans="20:20" ht="18.75" customHeight="1" x14ac:dyDescent="0.35">
      <c r="T35818" s="246">
        <f t="shared" si="597"/>
        <v>0</v>
      </c>
    </row>
    <row r="35819" spans="20:20" ht="18.75" customHeight="1" x14ac:dyDescent="0.35">
      <c r="T35819" s="246">
        <f t="shared" si="597"/>
        <v>0</v>
      </c>
    </row>
    <row r="35820" spans="20:20" ht="18.75" customHeight="1" x14ac:dyDescent="0.35">
      <c r="T35820" s="246">
        <f t="shared" si="597"/>
        <v>0</v>
      </c>
    </row>
    <row r="35821" spans="20:20" ht="18.75" customHeight="1" x14ac:dyDescent="0.35">
      <c r="T35821" s="246">
        <f t="shared" si="597"/>
        <v>0</v>
      </c>
    </row>
    <row r="35822" spans="20:20" ht="18.75" customHeight="1" x14ac:dyDescent="0.35">
      <c r="T35822" s="246">
        <f t="shared" si="597"/>
        <v>0</v>
      </c>
    </row>
    <row r="35823" spans="20:20" ht="18.75" customHeight="1" x14ac:dyDescent="0.35">
      <c r="T35823" s="246">
        <f t="shared" si="597"/>
        <v>0</v>
      </c>
    </row>
    <row r="35824" spans="20:20" ht="18.75" customHeight="1" x14ac:dyDescent="0.35">
      <c r="T35824" s="246">
        <f t="shared" si="597"/>
        <v>0</v>
      </c>
    </row>
    <row r="35825" spans="20:20" ht="18.75" customHeight="1" x14ac:dyDescent="0.35">
      <c r="T35825" s="246">
        <f t="shared" si="597"/>
        <v>0</v>
      </c>
    </row>
    <row r="35826" spans="20:20" ht="18.75" customHeight="1" x14ac:dyDescent="0.35">
      <c r="T35826" s="246">
        <f t="shared" si="597"/>
        <v>0</v>
      </c>
    </row>
    <row r="35827" spans="20:20" ht="18.75" customHeight="1" x14ac:dyDescent="0.35">
      <c r="T35827" s="246">
        <f t="shared" si="597"/>
        <v>0</v>
      </c>
    </row>
    <row r="35828" spans="20:20" ht="18.75" customHeight="1" x14ac:dyDescent="0.35">
      <c r="T35828" s="246">
        <f t="shared" si="597"/>
        <v>0</v>
      </c>
    </row>
    <row r="35829" spans="20:20" ht="18.75" customHeight="1" x14ac:dyDescent="0.35">
      <c r="T35829" s="246">
        <f t="shared" si="597"/>
        <v>0</v>
      </c>
    </row>
    <row r="35830" spans="20:20" ht="18.75" customHeight="1" x14ac:dyDescent="0.35">
      <c r="T35830" s="246">
        <f t="shared" si="597"/>
        <v>0</v>
      </c>
    </row>
    <row r="35831" spans="20:20" ht="18.75" customHeight="1" x14ac:dyDescent="0.35">
      <c r="T35831" s="246">
        <f t="shared" si="597"/>
        <v>0</v>
      </c>
    </row>
    <row r="35832" spans="20:20" ht="18.75" customHeight="1" x14ac:dyDescent="0.35">
      <c r="T35832" s="246">
        <f t="shared" si="597"/>
        <v>0</v>
      </c>
    </row>
    <row r="35833" spans="20:20" ht="18.75" customHeight="1" x14ac:dyDescent="0.35">
      <c r="T35833" s="246">
        <f t="shared" si="597"/>
        <v>0</v>
      </c>
    </row>
    <row r="35834" spans="20:20" ht="18.75" customHeight="1" x14ac:dyDescent="0.35">
      <c r="T35834" s="246">
        <f t="shared" si="597"/>
        <v>0</v>
      </c>
    </row>
    <row r="35835" spans="20:20" ht="18.75" customHeight="1" x14ac:dyDescent="0.35">
      <c r="T35835" s="246">
        <f t="shared" si="597"/>
        <v>0</v>
      </c>
    </row>
    <row r="35836" spans="20:20" ht="18.75" customHeight="1" x14ac:dyDescent="0.35">
      <c r="T35836" s="246">
        <f t="shared" ref="T35836:T35899" si="598">R35836*0.01</f>
        <v>0</v>
      </c>
    </row>
    <row r="35837" spans="20:20" ht="18.75" customHeight="1" x14ac:dyDescent="0.35">
      <c r="T35837" s="246">
        <f t="shared" si="598"/>
        <v>0</v>
      </c>
    </row>
    <row r="35838" spans="20:20" ht="18.75" customHeight="1" x14ac:dyDescent="0.35">
      <c r="T35838" s="246">
        <f t="shared" si="598"/>
        <v>0</v>
      </c>
    </row>
    <row r="35839" spans="20:20" ht="18.75" customHeight="1" x14ac:dyDescent="0.35">
      <c r="T35839" s="246">
        <f t="shared" si="598"/>
        <v>0</v>
      </c>
    </row>
    <row r="35840" spans="20:20" ht="18.75" customHeight="1" x14ac:dyDescent="0.35">
      <c r="T35840" s="246">
        <f t="shared" si="598"/>
        <v>0</v>
      </c>
    </row>
    <row r="35841" spans="20:20" ht="18.75" customHeight="1" x14ac:dyDescent="0.35">
      <c r="T35841" s="246">
        <f t="shared" si="598"/>
        <v>0</v>
      </c>
    </row>
    <row r="35842" spans="20:20" ht="18.75" customHeight="1" x14ac:dyDescent="0.35">
      <c r="T35842" s="246">
        <f t="shared" si="598"/>
        <v>0</v>
      </c>
    </row>
    <row r="35843" spans="20:20" ht="18.75" customHeight="1" x14ac:dyDescent="0.35">
      <c r="T35843" s="246">
        <f t="shared" si="598"/>
        <v>0</v>
      </c>
    </row>
    <row r="35844" spans="20:20" ht="18.75" customHeight="1" x14ac:dyDescent="0.35">
      <c r="T35844" s="246">
        <f t="shared" si="598"/>
        <v>0</v>
      </c>
    </row>
    <row r="35845" spans="20:20" ht="18.75" customHeight="1" x14ac:dyDescent="0.35">
      <c r="T35845" s="246">
        <f t="shared" si="598"/>
        <v>0</v>
      </c>
    </row>
    <row r="35846" spans="20:20" ht="18.75" customHeight="1" x14ac:dyDescent="0.35">
      <c r="T35846" s="246">
        <f t="shared" si="598"/>
        <v>0</v>
      </c>
    </row>
    <row r="35847" spans="20:20" ht="18.75" customHeight="1" x14ac:dyDescent="0.35">
      <c r="T35847" s="246">
        <f t="shared" si="598"/>
        <v>0</v>
      </c>
    </row>
    <row r="35848" spans="20:20" ht="18.75" customHeight="1" x14ac:dyDescent="0.35">
      <c r="T35848" s="246">
        <f t="shared" si="598"/>
        <v>0</v>
      </c>
    </row>
    <row r="35849" spans="20:20" ht="18.75" customHeight="1" x14ac:dyDescent="0.35">
      <c r="T35849" s="246">
        <f t="shared" si="598"/>
        <v>0</v>
      </c>
    </row>
    <row r="35850" spans="20:20" ht="18.75" customHeight="1" x14ac:dyDescent="0.35">
      <c r="T35850" s="246">
        <f t="shared" si="598"/>
        <v>0</v>
      </c>
    </row>
    <row r="35851" spans="20:20" ht="18.75" customHeight="1" x14ac:dyDescent="0.35">
      <c r="T35851" s="246">
        <f t="shared" si="598"/>
        <v>0</v>
      </c>
    </row>
    <row r="35852" spans="20:20" ht="18.75" customHeight="1" x14ac:dyDescent="0.35">
      <c r="T35852" s="246">
        <f t="shared" si="598"/>
        <v>0</v>
      </c>
    </row>
    <row r="35853" spans="20:20" ht="18.75" customHeight="1" x14ac:dyDescent="0.35">
      <c r="T35853" s="246">
        <f t="shared" si="598"/>
        <v>0</v>
      </c>
    </row>
    <row r="35854" spans="20:20" ht="18.75" customHeight="1" x14ac:dyDescent="0.35">
      <c r="T35854" s="246">
        <f t="shared" si="598"/>
        <v>0</v>
      </c>
    </row>
    <row r="35855" spans="20:20" ht="18.75" customHeight="1" x14ac:dyDescent="0.35">
      <c r="T35855" s="246">
        <f t="shared" si="598"/>
        <v>0</v>
      </c>
    </row>
    <row r="35856" spans="20:20" ht="18.75" customHeight="1" x14ac:dyDescent="0.35">
      <c r="T35856" s="246">
        <f t="shared" si="598"/>
        <v>0</v>
      </c>
    </row>
    <row r="35857" spans="20:20" ht="18.75" customHeight="1" x14ac:dyDescent="0.35">
      <c r="T35857" s="246">
        <f t="shared" si="598"/>
        <v>0</v>
      </c>
    </row>
    <row r="35858" spans="20:20" ht="18.75" customHeight="1" x14ac:dyDescent="0.35">
      <c r="T35858" s="246">
        <f t="shared" si="598"/>
        <v>0</v>
      </c>
    </row>
    <row r="35859" spans="20:20" ht="18.75" customHeight="1" x14ac:dyDescent="0.35">
      <c r="T35859" s="246">
        <f t="shared" si="598"/>
        <v>0</v>
      </c>
    </row>
    <row r="35860" spans="20:20" ht="18.75" customHeight="1" x14ac:dyDescent="0.35">
      <c r="T35860" s="246">
        <f t="shared" si="598"/>
        <v>0</v>
      </c>
    </row>
    <row r="35861" spans="20:20" ht="18.75" customHeight="1" x14ac:dyDescent="0.35">
      <c r="T35861" s="246">
        <f t="shared" si="598"/>
        <v>0</v>
      </c>
    </row>
    <row r="35862" spans="20:20" ht="18.75" customHeight="1" x14ac:dyDescent="0.35">
      <c r="T35862" s="246">
        <f t="shared" si="598"/>
        <v>0</v>
      </c>
    </row>
    <row r="35863" spans="20:20" ht="18.75" customHeight="1" x14ac:dyDescent="0.35">
      <c r="T35863" s="246">
        <f t="shared" si="598"/>
        <v>0</v>
      </c>
    </row>
    <row r="35864" spans="20:20" ht="18.75" customHeight="1" x14ac:dyDescent="0.35">
      <c r="T35864" s="246">
        <f t="shared" si="598"/>
        <v>0</v>
      </c>
    </row>
    <row r="35865" spans="20:20" ht="18.75" customHeight="1" x14ac:dyDescent="0.35">
      <c r="T35865" s="246">
        <f t="shared" si="598"/>
        <v>0</v>
      </c>
    </row>
    <row r="35866" spans="20:20" ht="18.75" customHeight="1" x14ac:dyDescent="0.35">
      <c r="T35866" s="246">
        <f t="shared" si="598"/>
        <v>0</v>
      </c>
    </row>
    <row r="35867" spans="20:20" ht="18.75" customHeight="1" x14ac:dyDescent="0.35">
      <c r="T35867" s="246">
        <f t="shared" si="598"/>
        <v>0</v>
      </c>
    </row>
    <row r="35868" spans="20:20" ht="18.75" customHeight="1" x14ac:dyDescent="0.35">
      <c r="T35868" s="246">
        <f t="shared" si="598"/>
        <v>0</v>
      </c>
    </row>
    <row r="35869" spans="20:20" ht="18.75" customHeight="1" x14ac:dyDescent="0.35">
      <c r="T35869" s="246">
        <f t="shared" si="598"/>
        <v>0</v>
      </c>
    </row>
    <row r="35870" spans="20:20" ht="18.75" customHeight="1" x14ac:dyDescent="0.35">
      <c r="T35870" s="246">
        <f t="shared" si="598"/>
        <v>0</v>
      </c>
    </row>
    <row r="35871" spans="20:20" ht="18.75" customHeight="1" x14ac:dyDescent="0.35">
      <c r="T35871" s="246">
        <f t="shared" si="598"/>
        <v>0</v>
      </c>
    </row>
    <row r="35872" spans="20:20" ht="18.75" customHeight="1" x14ac:dyDescent="0.35">
      <c r="T35872" s="246">
        <f t="shared" si="598"/>
        <v>0</v>
      </c>
    </row>
    <row r="35873" spans="20:20" ht="18.75" customHeight="1" x14ac:dyDescent="0.35">
      <c r="T35873" s="246">
        <f t="shared" si="598"/>
        <v>0</v>
      </c>
    </row>
    <row r="35874" spans="20:20" ht="18.75" customHeight="1" x14ac:dyDescent="0.35">
      <c r="T35874" s="246">
        <f t="shared" si="598"/>
        <v>0</v>
      </c>
    </row>
    <row r="35875" spans="20:20" ht="18.75" customHeight="1" x14ac:dyDescent="0.35">
      <c r="T35875" s="246">
        <f t="shared" si="598"/>
        <v>0</v>
      </c>
    </row>
    <row r="35876" spans="20:20" ht="18.75" customHeight="1" x14ac:dyDescent="0.35">
      <c r="T35876" s="246">
        <f t="shared" si="598"/>
        <v>0</v>
      </c>
    </row>
    <row r="35877" spans="20:20" ht="18.75" customHeight="1" x14ac:dyDescent="0.35">
      <c r="T35877" s="246">
        <f t="shared" si="598"/>
        <v>0</v>
      </c>
    </row>
    <row r="35878" spans="20:20" ht="18.75" customHeight="1" x14ac:dyDescent="0.35">
      <c r="T35878" s="246">
        <f t="shared" si="598"/>
        <v>0</v>
      </c>
    </row>
    <row r="35879" spans="20:20" ht="18.75" customHeight="1" x14ac:dyDescent="0.35">
      <c r="T35879" s="246">
        <f t="shared" si="598"/>
        <v>0</v>
      </c>
    </row>
    <row r="35880" spans="20:20" ht="18.75" customHeight="1" x14ac:dyDescent="0.35">
      <c r="T35880" s="246">
        <f t="shared" si="598"/>
        <v>0</v>
      </c>
    </row>
    <row r="35881" spans="20:20" ht="18.75" customHeight="1" x14ac:dyDescent="0.35">
      <c r="T35881" s="246">
        <f t="shared" si="598"/>
        <v>0</v>
      </c>
    </row>
    <row r="35882" spans="20:20" ht="18.75" customHeight="1" x14ac:dyDescent="0.35">
      <c r="T35882" s="246">
        <f t="shared" si="598"/>
        <v>0</v>
      </c>
    </row>
    <row r="35883" spans="20:20" ht="18.75" customHeight="1" x14ac:dyDescent="0.35">
      <c r="T35883" s="246">
        <f t="shared" si="598"/>
        <v>0</v>
      </c>
    </row>
    <row r="35884" spans="20:20" ht="18.75" customHeight="1" x14ac:dyDescent="0.35">
      <c r="T35884" s="246">
        <f t="shared" si="598"/>
        <v>0</v>
      </c>
    </row>
    <row r="35885" spans="20:20" ht="18.75" customHeight="1" x14ac:dyDescent="0.35">
      <c r="T35885" s="246">
        <f t="shared" si="598"/>
        <v>0</v>
      </c>
    </row>
    <row r="35886" spans="20:20" ht="18.75" customHeight="1" x14ac:dyDescent="0.35">
      <c r="T35886" s="246">
        <f t="shared" si="598"/>
        <v>0</v>
      </c>
    </row>
    <row r="35887" spans="20:20" ht="18.75" customHeight="1" x14ac:dyDescent="0.35">
      <c r="T35887" s="246">
        <f t="shared" si="598"/>
        <v>0</v>
      </c>
    </row>
    <row r="35888" spans="20:20" ht="18.75" customHeight="1" x14ac:dyDescent="0.35">
      <c r="T35888" s="246">
        <f t="shared" si="598"/>
        <v>0</v>
      </c>
    </row>
    <row r="35889" spans="20:20" ht="18.75" customHeight="1" x14ac:dyDescent="0.35">
      <c r="T35889" s="246">
        <f t="shared" si="598"/>
        <v>0</v>
      </c>
    </row>
    <row r="35890" spans="20:20" ht="18.75" customHeight="1" x14ac:dyDescent="0.35">
      <c r="T35890" s="246">
        <f t="shared" si="598"/>
        <v>0</v>
      </c>
    </row>
    <row r="35891" spans="20:20" ht="18.75" customHeight="1" x14ac:dyDescent="0.35">
      <c r="T35891" s="246">
        <f t="shared" si="598"/>
        <v>0</v>
      </c>
    </row>
    <row r="35892" spans="20:20" ht="18.75" customHeight="1" x14ac:dyDescent="0.35">
      <c r="T35892" s="246">
        <f t="shared" si="598"/>
        <v>0</v>
      </c>
    </row>
    <row r="35893" spans="20:20" ht="18.75" customHeight="1" x14ac:dyDescent="0.35">
      <c r="T35893" s="246">
        <f t="shared" si="598"/>
        <v>0</v>
      </c>
    </row>
    <row r="35894" spans="20:20" ht="18.75" customHeight="1" x14ac:dyDescent="0.35">
      <c r="T35894" s="246">
        <f t="shared" si="598"/>
        <v>0</v>
      </c>
    </row>
    <row r="35895" spans="20:20" ht="18.75" customHeight="1" x14ac:dyDescent="0.35">
      <c r="T35895" s="246">
        <f t="shared" si="598"/>
        <v>0</v>
      </c>
    </row>
    <row r="35896" spans="20:20" ht="18.75" customHeight="1" x14ac:dyDescent="0.35">
      <c r="T35896" s="246">
        <f t="shared" si="598"/>
        <v>0</v>
      </c>
    </row>
    <row r="35897" spans="20:20" ht="18.75" customHeight="1" x14ac:dyDescent="0.35">
      <c r="T35897" s="246">
        <f t="shared" si="598"/>
        <v>0</v>
      </c>
    </row>
    <row r="35898" spans="20:20" ht="18.75" customHeight="1" x14ac:dyDescent="0.35">
      <c r="T35898" s="246">
        <f t="shared" si="598"/>
        <v>0</v>
      </c>
    </row>
    <row r="35899" spans="20:20" ht="18.75" customHeight="1" x14ac:dyDescent="0.35">
      <c r="T35899" s="246">
        <f t="shared" si="598"/>
        <v>0</v>
      </c>
    </row>
    <row r="35900" spans="20:20" ht="18.75" customHeight="1" x14ac:dyDescent="0.35">
      <c r="T35900" s="246">
        <f t="shared" ref="T35900:T35963" si="599">R35900*0.01</f>
        <v>0</v>
      </c>
    </row>
    <row r="35901" spans="20:20" ht="18.75" customHeight="1" x14ac:dyDescent="0.35">
      <c r="T35901" s="246">
        <f t="shared" si="599"/>
        <v>0</v>
      </c>
    </row>
    <row r="35902" spans="20:20" ht="18.75" customHeight="1" x14ac:dyDescent="0.35">
      <c r="T35902" s="246">
        <f t="shared" si="599"/>
        <v>0</v>
      </c>
    </row>
    <row r="35903" spans="20:20" ht="18.75" customHeight="1" x14ac:dyDescent="0.35">
      <c r="T35903" s="246">
        <f t="shared" si="599"/>
        <v>0</v>
      </c>
    </row>
    <row r="35904" spans="20:20" ht="18.75" customHeight="1" x14ac:dyDescent="0.35">
      <c r="T35904" s="246">
        <f t="shared" si="599"/>
        <v>0</v>
      </c>
    </row>
    <row r="35905" spans="20:20" ht="18.75" customHeight="1" x14ac:dyDescent="0.35">
      <c r="T35905" s="246">
        <f t="shared" si="599"/>
        <v>0</v>
      </c>
    </row>
    <row r="35906" spans="20:20" ht="18.75" customHeight="1" x14ac:dyDescent="0.35">
      <c r="T35906" s="246">
        <f t="shared" si="599"/>
        <v>0</v>
      </c>
    </row>
    <row r="35907" spans="20:20" ht="18.75" customHeight="1" x14ac:dyDescent="0.35">
      <c r="T35907" s="246">
        <f t="shared" si="599"/>
        <v>0</v>
      </c>
    </row>
    <row r="35908" spans="20:20" ht="18.75" customHeight="1" x14ac:dyDescent="0.35">
      <c r="T35908" s="246">
        <f t="shared" si="599"/>
        <v>0</v>
      </c>
    </row>
    <row r="35909" spans="20:20" ht="18.75" customHeight="1" x14ac:dyDescent="0.35">
      <c r="T35909" s="246">
        <f t="shared" si="599"/>
        <v>0</v>
      </c>
    </row>
    <row r="35910" spans="20:20" ht="18.75" customHeight="1" x14ac:dyDescent="0.35">
      <c r="T35910" s="246">
        <f t="shared" si="599"/>
        <v>0</v>
      </c>
    </row>
    <row r="35911" spans="20:20" ht="18.75" customHeight="1" x14ac:dyDescent="0.35">
      <c r="T35911" s="246">
        <f t="shared" si="599"/>
        <v>0</v>
      </c>
    </row>
    <row r="35912" spans="20:20" ht="18.75" customHeight="1" x14ac:dyDescent="0.35">
      <c r="T35912" s="246">
        <f t="shared" si="599"/>
        <v>0</v>
      </c>
    </row>
    <row r="35913" spans="20:20" ht="18.75" customHeight="1" x14ac:dyDescent="0.35">
      <c r="T35913" s="246">
        <f t="shared" si="599"/>
        <v>0</v>
      </c>
    </row>
    <row r="35914" spans="20:20" ht="18.75" customHeight="1" x14ac:dyDescent="0.35">
      <c r="T35914" s="246">
        <f t="shared" si="599"/>
        <v>0</v>
      </c>
    </row>
    <row r="35915" spans="20:20" ht="18.75" customHeight="1" x14ac:dyDescent="0.35">
      <c r="T35915" s="246">
        <f t="shared" si="599"/>
        <v>0</v>
      </c>
    </row>
    <row r="35916" spans="20:20" ht="18.75" customHeight="1" x14ac:dyDescent="0.35">
      <c r="T35916" s="246">
        <f t="shared" si="599"/>
        <v>0</v>
      </c>
    </row>
    <row r="35917" spans="20:20" ht="18.75" customHeight="1" x14ac:dyDescent="0.35">
      <c r="T35917" s="246">
        <f t="shared" si="599"/>
        <v>0</v>
      </c>
    </row>
    <row r="35918" spans="20:20" ht="18.75" customHeight="1" x14ac:dyDescent="0.35">
      <c r="T35918" s="246">
        <f t="shared" si="599"/>
        <v>0</v>
      </c>
    </row>
    <row r="35919" spans="20:20" ht="18.75" customHeight="1" x14ac:dyDescent="0.35">
      <c r="T35919" s="246">
        <f t="shared" si="599"/>
        <v>0</v>
      </c>
    </row>
    <row r="35920" spans="20:20" ht="18.75" customHeight="1" x14ac:dyDescent="0.35">
      <c r="T35920" s="246">
        <f t="shared" si="599"/>
        <v>0</v>
      </c>
    </row>
    <row r="35921" spans="20:20" ht="18.75" customHeight="1" x14ac:dyDescent="0.35">
      <c r="T35921" s="246">
        <f t="shared" si="599"/>
        <v>0</v>
      </c>
    </row>
    <row r="35922" spans="20:20" ht="18.75" customHeight="1" x14ac:dyDescent="0.35">
      <c r="T35922" s="246">
        <f t="shared" si="599"/>
        <v>0</v>
      </c>
    </row>
    <row r="35923" spans="20:20" ht="18.75" customHeight="1" x14ac:dyDescent="0.35">
      <c r="T35923" s="246">
        <f t="shared" si="599"/>
        <v>0</v>
      </c>
    </row>
    <row r="35924" spans="20:20" ht="18.75" customHeight="1" x14ac:dyDescent="0.35">
      <c r="T35924" s="246">
        <f t="shared" si="599"/>
        <v>0</v>
      </c>
    </row>
    <row r="35925" spans="20:20" ht="18.75" customHeight="1" x14ac:dyDescent="0.35">
      <c r="T35925" s="246">
        <f t="shared" si="599"/>
        <v>0</v>
      </c>
    </row>
    <row r="35926" spans="20:20" ht="18.75" customHeight="1" x14ac:dyDescent="0.35">
      <c r="T35926" s="246">
        <f t="shared" si="599"/>
        <v>0</v>
      </c>
    </row>
    <row r="35927" spans="20:20" ht="18.75" customHeight="1" x14ac:dyDescent="0.35">
      <c r="T35927" s="246">
        <f t="shared" si="599"/>
        <v>0</v>
      </c>
    </row>
    <row r="35928" spans="20:20" ht="18.75" customHeight="1" x14ac:dyDescent="0.35">
      <c r="T35928" s="246">
        <f t="shared" si="599"/>
        <v>0</v>
      </c>
    </row>
    <row r="35929" spans="20:20" ht="18.75" customHeight="1" x14ac:dyDescent="0.35">
      <c r="T35929" s="246">
        <f t="shared" si="599"/>
        <v>0</v>
      </c>
    </row>
    <row r="35930" spans="20:20" ht="18.75" customHeight="1" x14ac:dyDescent="0.35">
      <c r="T35930" s="246">
        <f t="shared" si="599"/>
        <v>0</v>
      </c>
    </row>
    <row r="35931" spans="20:20" ht="18.75" customHeight="1" x14ac:dyDescent="0.35">
      <c r="T35931" s="246">
        <f t="shared" si="599"/>
        <v>0</v>
      </c>
    </row>
    <row r="35932" spans="20:20" ht="18.75" customHeight="1" x14ac:dyDescent="0.35">
      <c r="T35932" s="246">
        <f t="shared" si="599"/>
        <v>0</v>
      </c>
    </row>
    <row r="35933" spans="20:20" ht="18.75" customHeight="1" x14ac:dyDescent="0.35">
      <c r="T35933" s="246">
        <f t="shared" si="599"/>
        <v>0</v>
      </c>
    </row>
    <row r="35934" spans="20:20" ht="18.75" customHeight="1" x14ac:dyDescent="0.35">
      <c r="T35934" s="246">
        <f t="shared" si="599"/>
        <v>0</v>
      </c>
    </row>
    <row r="35935" spans="20:20" ht="18.75" customHeight="1" x14ac:dyDescent="0.35">
      <c r="T35935" s="246">
        <f t="shared" si="599"/>
        <v>0</v>
      </c>
    </row>
    <row r="35936" spans="20:20" ht="18.75" customHeight="1" x14ac:dyDescent="0.35">
      <c r="T35936" s="246">
        <f t="shared" si="599"/>
        <v>0</v>
      </c>
    </row>
    <row r="35937" spans="20:20" ht="18.75" customHeight="1" x14ac:dyDescent="0.35">
      <c r="T35937" s="246">
        <f t="shared" si="599"/>
        <v>0</v>
      </c>
    </row>
    <row r="35938" spans="20:20" ht="18.75" customHeight="1" x14ac:dyDescent="0.35">
      <c r="T35938" s="246">
        <f t="shared" si="599"/>
        <v>0</v>
      </c>
    </row>
    <row r="35939" spans="20:20" ht="18.75" customHeight="1" x14ac:dyDescent="0.35">
      <c r="T35939" s="246">
        <f t="shared" si="599"/>
        <v>0</v>
      </c>
    </row>
    <row r="35940" spans="20:20" ht="18.75" customHeight="1" x14ac:dyDescent="0.35">
      <c r="T35940" s="246">
        <f t="shared" si="599"/>
        <v>0</v>
      </c>
    </row>
    <row r="35941" spans="20:20" ht="18.75" customHeight="1" x14ac:dyDescent="0.35">
      <c r="T35941" s="246">
        <f t="shared" si="599"/>
        <v>0</v>
      </c>
    </row>
    <row r="35942" spans="20:20" ht="18.75" customHeight="1" x14ac:dyDescent="0.35">
      <c r="T35942" s="246">
        <f t="shared" si="599"/>
        <v>0</v>
      </c>
    </row>
    <row r="35943" spans="20:20" ht="18.75" customHeight="1" x14ac:dyDescent="0.35">
      <c r="T35943" s="246">
        <f t="shared" si="599"/>
        <v>0</v>
      </c>
    </row>
    <row r="35944" spans="20:20" ht="18.75" customHeight="1" x14ac:dyDescent="0.35">
      <c r="T35944" s="246">
        <f t="shared" si="599"/>
        <v>0</v>
      </c>
    </row>
    <row r="35945" spans="20:20" ht="18.75" customHeight="1" x14ac:dyDescent="0.35">
      <c r="T35945" s="246">
        <f t="shared" si="599"/>
        <v>0</v>
      </c>
    </row>
    <row r="35946" spans="20:20" ht="18.75" customHeight="1" x14ac:dyDescent="0.35">
      <c r="T35946" s="246">
        <f t="shared" si="599"/>
        <v>0</v>
      </c>
    </row>
    <row r="35947" spans="20:20" ht="18.75" customHeight="1" x14ac:dyDescent="0.35">
      <c r="T35947" s="246">
        <f t="shared" si="599"/>
        <v>0</v>
      </c>
    </row>
    <row r="35948" spans="20:20" ht="18.75" customHeight="1" x14ac:dyDescent="0.35">
      <c r="T35948" s="246">
        <f t="shared" si="599"/>
        <v>0</v>
      </c>
    </row>
    <row r="35949" spans="20:20" ht="18.75" customHeight="1" x14ac:dyDescent="0.35">
      <c r="T35949" s="246">
        <f t="shared" si="599"/>
        <v>0</v>
      </c>
    </row>
    <row r="35950" spans="20:20" ht="18.75" customHeight="1" x14ac:dyDescent="0.35">
      <c r="T35950" s="246">
        <f t="shared" si="599"/>
        <v>0</v>
      </c>
    </row>
    <row r="35951" spans="20:20" ht="18.75" customHeight="1" x14ac:dyDescent="0.35">
      <c r="T35951" s="246">
        <f t="shared" si="599"/>
        <v>0</v>
      </c>
    </row>
    <row r="35952" spans="20:20" ht="18.75" customHeight="1" x14ac:dyDescent="0.35">
      <c r="T35952" s="246">
        <f t="shared" si="599"/>
        <v>0</v>
      </c>
    </row>
    <row r="35953" spans="20:20" ht="18.75" customHeight="1" x14ac:dyDescent="0.35">
      <c r="T35953" s="246">
        <f t="shared" si="599"/>
        <v>0</v>
      </c>
    </row>
    <row r="35954" spans="20:20" ht="18.75" customHeight="1" x14ac:dyDescent="0.35">
      <c r="T35954" s="246">
        <f t="shared" si="599"/>
        <v>0</v>
      </c>
    </row>
    <row r="35955" spans="20:20" ht="18.75" customHeight="1" x14ac:dyDescent="0.35">
      <c r="T35955" s="246">
        <f t="shared" si="599"/>
        <v>0</v>
      </c>
    </row>
    <row r="35956" spans="20:20" ht="18.75" customHeight="1" x14ac:dyDescent="0.35">
      <c r="T35956" s="246">
        <f t="shared" si="599"/>
        <v>0</v>
      </c>
    </row>
    <row r="35957" spans="20:20" ht="18.75" customHeight="1" x14ac:dyDescent="0.35">
      <c r="T35957" s="246">
        <f t="shared" si="599"/>
        <v>0</v>
      </c>
    </row>
    <row r="35958" spans="20:20" ht="18.75" customHeight="1" x14ac:dyDescent="0.35">
      <c r="T35958" s="246">
        <f t="shared" si="599"/>
        <v>0</v>
      </c>
    </row>
    <row r="35959" spans="20:20" ht="18.75" customHeight="1" x14ac:dyDescent="0.35">
      <c r="T35959" s="246">
        <f t="shared" si="599"/>
        <v>0</v>
      </c>
    </row>
    <row r="35960" spans="20:20" ht="18.75" customHeight="1" x14ac:dyDescent="0.35">
      <c r="T35960" s="246">
        <f t="shared" si="599"/>
        <v>0</v>
      </c>
    </row>
    <row r="35961" spans="20:20" ht="18.75" customHeight="1" x14ac:dyDescent="0.35">
      <c r="T35961" s="246">
        <f t="shared" si="599"/>
        <v>0</v>
      </c>
    </row>
    <row r="35962" spans="20:20" ht="18.75" customHeight="1" x14ac:dyDescent="0.35">
      <c r="T35962" s="246">
        <f t="shared" si="599"/>
        <v>0</v>
      </c>
    </row>
    <row r="35963" spans="20:20" ht="18.75" customHeight="1" x14ac:dyDescent="0.35">
      <c r="T35963" s="246">
        <f t="shared" si="599"/>
        <v>0</v>
      </c>
    </row>
    <row r="35964" spans="20:20" ht="18.75" customHeight="1" x14ac:dyDescent="0.35">
      <c r="T35964" s="246">
        <f t="shared" ref="T35964:T36027" si="600">R35964*0.01</f>
        <v>0</v>
      </c>
    </row>
    <row r="35965" spans="20:20" ht="18.75" customHeight="1" x14ac:dyDescent="0.35">
      <c r="T35965" s="246">
        <f t="shared" si="600"/>
        <v>0</v>
      </c>
    </row>
    <row r="35966" spans="20:20" ht="18.75" customHeight="1" x14ac:dyDescent="0.35">
      <c r="T35966" s="246">
        <f t="shared" si="600"/>
        <v>0</v>
      </c>
    </row>
    <row r="35967" spans="20:20" ht="18.75" customHeight="1" x14ac:dyDescent="0.35">
      <c r="T35967" s="246">
        <f t="shared" si="600"/>
        <v>0</v>
      </c>
    </row>
    <row r="35968" spans="20:20" ht="18.75" customHeight="1" x14ac:dyDescent="0.35">
      <c r="T35968" s="246">
        <f t="shared" si="600"/>
        <v>0</v>
      </c>
    </row>
    <row r="35969" spans="20:20" ht="18.75" customHeight="1" x14ac:dyDescent="0.35">
      <c r="T35969" s="246">
        <f t="shared" si="600"/>
        <v>0</v>
      </c>
    </row>
    <row r="35970" spans="20:20" ht="18.75" customHeight="1" x14ac:dyDescent="0.35">
      <c r="T35970" s="246">
        <f t="shared" si="600"/>
        <v>0</v>
      </c>
    </row>
    <row r="35971" spans="20:20" ht="18.75" customHeight="1" x14ac:dyDescent="0.35">
      <c r="T35971" s="246">
        <f t="shared" si="600"/>
        <v>0</v>
      </c>
    </row>
    <row r="35972" spans="20:20" ht="18.75" customHeight="1" x14ac:dyDescent="0.35">
      <c r="T35972" s="246">
        <f t="shared" si="600"/>
        <v>0</v>
      </c>
    </row>
    <row r="35973" spans="20:20" ht="18.75" customHeight="1" x14ac:dyDescent="0.35">
      <c r="T35973" s="246">
        <f t="shared" si="600"/>
        <v>0</v>
      </c>
    </row>
    <row r="35974" spans="20:20" ht="18.75" customHeight="1" x14ac:dyDescent="0.35">
      <c r="T35974" s="246">
        <f t="shared" si="600"/>
        <v>0</v>
      </c>
    </row>
    <row r="35975" spans="20:20" ht="18.75" customHeight="1" x14ac:dyDescent="0.35">
      <c r="T35975" s="246">
        <f t="shared" si="600"/>
        <v>0</v>
      </c>
    </row>
    <row r="35976" spans="20:20" ht="18.75" customHeight="1" x14ac:dyDescent="0.35">
      <c r="T35976" s="246">
        <f t="shared" si="600"/>
        <v>0</v>
      </c>
    </row>
    <row r="35977" spans="20:20" ht="18.75" customHeight="1" x14ac:dyDescent="0.35">
      <c r="T35977" s="246">
        <f t="shared" si="600"/>
        <v>0</v>
      </c>
    </row>
    <row r="35978" spans="20:20" ht="18.75" customHeight="1" x14ac:dyDescent="0.35">
      <c r="T35978" s="246">
        <f t="shared" si="600"/>
        <v>0</v>
      </c>
    </row>
    <row r="35979" spans="20:20" ht="18.75" customHeight="1" x14ac:dyDescent="0.35">
      <c r="T35979" s="246">
        <f t="shared" si="600"/>
        <v>0</v>
      </c>
    </row>
    <row r="35980" spans="20:20" ht="18.75" customHeight="1" x14ac:dyDescent="0.35">
      <c r="T35980" s="246">
        <f t="shared" si="600"/>
        <v>0</v>
      </c>
    </row>
    <row r="35981" spans="20:20" ht="18.75" customHeight="1" x14ac:dyDescent="0.35">
      <c r="T35981" s="246">
        <f t="shared" si="600"/>
        <v>0</v>
      </c>
    </row>
    <row r="35982" spans="20:20" ht="18.75" customHeight="1" x14ac:dyDescent="0.35">
      <c r="T35982" s="246">
        <f t="shared" si="600"/>
        <v>0</v>
      </c>
    </row>
    <row r="35983" spans="20:20" ht="18.75" customHeight="1" x14ac:dyDescent="0.35">
      <c r="T35983" s="246">
        <f t="shared" si="600"/>
        <v>0</v>
      </c>
    </row>
    <row r="35984" spans="20:20" ht="18.75" customHeight="1" x14ac:dyDescent="0.35">
      <c r="T35984" s="246">
        <f t="shared" si="600"/>
        <v>0</v>
      </c>
    </row>
    <row r="35985" spans="20:20" ht="18.75" customHeight="1" x14ac:dyDescent="0.35">
      <c r="T35985" s="246">
        <f t="shared" si="600"/>
        <v>0</v>
      </c>
    </row>
    <row r="35986" spans="20:20" ht="18.75" customHeight="1" x14ac:dyDescent="0.35">
      <c r="T35986" s="246">
        <f t="shared" si="600"/>
        <v>0</v>
      </c>
    </row>
    <row r="35987" spans="20:20" ht="18.75" customHeight="1" x14ac:dyDescent="0.35">
      <c r="T35987" s="246">
        <f t="shared" si="600"/>
        <v>0</v>
      </c>
    </row>
    <row r="35988" spans="20:20" ht="18.75" customHeight="1" x14ac:dyDescent="0.35">
      <c r="T35988" s="246">
        <f t="shared" si="600"/>
        <v>0</v>
      </c>
    </row>
    <row r="35989" spans="20:20" ht="18.75" customHeight="1" x14ac:dyDescent="0.35">
      <c r="T35989" s="246">
        <f t="shared" si="600"/>
        <v>0</v>
      </c>
    </row>
    <row r="35990" spans="20:20" ht="18.75" customHeight="1" x14ac:dyDescent="0.35">
      <c r="T35990" s="246">
        <f t="shared" si="600"/>
        <v>0</v>
      </c>
    </row>
    <row r="35991" spans="20:20" ht="18.75" customHeight="1" x14ac:dyDescent="0.35">
      <c r="T35991" s="246">
        <f t="shared" si="600"/>
        <v>0</v>
      </c>
    </row>
    <row r="35992" spans="20:20" ht="18.75" customHeight="1" x14ac:dyDescent="0.35">
      <c r="T35992" s="246">
        <f t="shared" si="600"/>
        <v>0</v>
      </c>
    </row>
    <row r="35993" spans="20:20" ht="18.75" customHeight="1" x14ac:dyDescent="0.35">
      <c r="T35993" s="246">
        <f t="shared" si="600"/>
        <v>0</v>
      </c>
    </row>
    <row r="35994" spans="20:20" ht="18.75" customHeight="1" x14ac:dyDescent="0.35">
      <c r="T35994" s="246">
        <f t="shared" si="600"/>
        <v>0</v>
      </c>
    </row>
    <row r="35995" spans="20:20" ht="18.75" customHeight="1" x14ac:dyDescent="0.35">
      <c r="T35995" s="246">
        <f t="shared" si="600"/>
        <v>0</v>
      </c>
    </row>
    <row r="35996" spans="20:20" ht="18.75" customHeight="1" x14ac:dyDescent="0.35">
      <c r="T35996" s="246">
        <f t="shared" si="600"/>
        <v>0</v>
      </c>
    </row>
    <row r="35997" spans="20:20" ht="18.75" customHeight="1" x14ac:dyDescent="0.35">
      <c r="T35997" s="246">
        <f t="shared" si="600"/>
        <v>0</v>
      </c>
    </row>
    <row r="35998" spans="20:20" ht="18.75" customHeight="1" x14ac:dyDescent="0.35">
      <c r="T35998" s="246">
        <f t="shared" si="600"/>
        <v>0</v>
      </c>
    </row>
    <row r="35999" spans="20:20" ht="18.75" customHeight="1" x14ac:dyDescent="0.35">
      <c r="T35999" s="246">
        <f t="shared" si="600"/>
        <v>0</v>
      </c>
    </row>
    <row r="36000" spans="20:20" ht="18.75" customHeight="1" x14ac:dyDescent="0.35">
      <c r="T36000" s="246">
        <f t="shared" si="600"/>
        <v>0</v>
      </c>
    </row>
    <row r="36001" spans="20:20" ht="18.75" customHeight="1" x14ac:dyDescent="0.35">
      <c r="T36001" s="246">
        <f t="shared" si="600"/>
        <v>0</v>
      </c>
    </row>
    <row r="36002" spans="20:20" ht="18.75" customHeight="1" x14ac:dyDescent="0.35">
      <c r="T36002" s="246">
        <f t="shared" si="600"/>
        <v>0</v>
      </c>
    </row>
    <row r="36003" spans="20:20" ht="18.75" customHeight="1" x14ac:dyDescent="0.35">
      <c r="T36003" s="246">
        <f t="shared" si="600"/>
        <v>0</v>
      </c>
    </row>
    <row r="36004" spans="20:20" ht="18.75" customHeight="1" x14ac:dyDescent="0.35">
      <c r="T36004" s="246">
        <f t="shared" si="600"/>
        <v>0</v>
      </c>
    </row>
    <row r="36005" spans="20:20" ht="18.75" customHeight="1" x14ac:dyDescent="0.35">
      <c r="T36005" s="246">
        <f t="shared" si="600"/>
        <v>0</v>
      </c>
    </row>
    <row r="36006" spans="20:20" ht="18.75" customHeight="1" x14ac:dyDescent="0.35">
      <c r="T36006" s="246">
        <f t="shared" si="600"/>
        <v>0</v>
      </c>
    </row>
    <row r="36007" spans="20:20" ht="18.75" customHeight="1" x14ac:dyDescent="0.35">
      <c r="T36007" s="246">
        <f t="shared" si="600"/>
        <v>0</v>
      </c>
    </row>
    <row r="36008" spans="20:20" ht="18.75" customHeight="1" x14ac:dyDescent="0.35">
      <c r="T36008" s="246">
        <f t="shared" si="600"/>
        <v>0</v>
      </c>
    </row>
    <row r="36009" spans="20:20" ht="18.75" customHeight="1" x14ac:dyDescent="0.35">
      <c r="T36009" s="246">
        <f t="shared" si="600"/>
        <v>0</v>
      </c>
    </row>
    <row r="36010" spans="20:20" ht="18.75" customHeight="1" x14ac:dyDescent="0.35">
      <c r="T36010" s="246">
        <f t="shared" si="600"/>
        <v>0</v>
      </c>
    </row>
    <row r="36011" spans="20:20" ht="18.75" customHeight="1" x14ac:dyDescent="0.35">
      <c r="T36011" s="246">
        <f t="shared" si="600"/>
        <v>0</v>
      </c>
    </row>
    <row r="36012" spans="20:20" ht="18.75" customHeight="1" x14ac:dyDescent="0.35">
      <c r="T36012" s="246">
        <f t="shared" si="600"/>
        <v>0</v>
      </c>
    </row>
    <row r="36013" spans="20:20" ht="18.75" customHeight="1" x14ac:dyDescent="0.35">
      <c r="T36013" s="246">
        <f t="shared" si="600"/>
        <v>0</v>
      </c>
    </row>
    <row r="36014" spans="20:20" ht="18.75" customHeight="1" x14ac:dyDescent="0.35">
      <c r="T36014" s="246">
        <f t="shared" si="600"/>
        <v>0</v>
      </c>
    </row>
    <row r="36015" spans="20:20" ht="18.75" customHeight="1" x14ac:dyDescent="0.35">
      <c r="T36015" s="246">
        <f t="shared" si="600"/>
        <v>0</v>
      </c>
    </row>
    <row r="36016" spans="20:20" ht="18.75" customHeight="1" x14ac:dyDescent="0.35">
      <c r="T36016" s="246">
        <f t="shared" si="600"/>
        <v>0</v>
      </c>
    </row>
    <row r="36017" spans="20:20" ht="18.75" customHeight="1" x14ac:dyDescent="0.35">
      <c r="T36017" s="246">
        <f t="shared" si="600"/>
        <v>0</v>
      </c>
    </row>
    <row r="36018" spans="20:20" ht="18.75" customHeight="1" x14ac:dyDescent="0.35">
      <c r="T36018" s="246">
        <f t="shared" si="600"/>
        <v>0</v>
      </c>
    </row>
    <row r="36019" spans="20:20" ht="18.75" customHeight="1" x14ac:dyDescent="0.35">
      <c r="T36019" s="246">
        <f t="shared" si="600"/>
        <v>0</v>
      </c>
    </row>
    <row r="36020" spans="20:20" ht="18.75" customHeight="1" x14ac:dyDescent="0.35">
      <c r="T36020" s="246">
        <f t="shared" si="600"/>
        <v>0</v>
      </c>
    </row>
    <row r="36021" spans="20:20" ht="18.75" customHeight="1" x14ac:dyDescent="0.35">
      <c r="T36021" s="246">
        <f t="shared" si="600"/>
        <v>0</v>
      </c>
    </row>
    <row r="36022" spans="20:20" ht="18.75" customHeight="1" x14ac:dyDescent="0.35">
      <c r="T36022" s="246">
        <f t="shared" si="600"/>
        <v>0</v>
      </c>
    </row>
    <row r="36023" spans="20:20" ht="18.75" customHeight="1" x14ac:dyDescent="0.35">
      <c r="T36023" s="246">
        <f t="shared" si="600"/>
        <v>0</v>
      </c>
    </row>
    <row r="36024" spans="20:20" ht="18.75" customHeight="1" x14ac:dyDescent="0.35">
      <c r="T36024" s="246">
        <f t="shared" si="600"/>
        <v>0</v>
      </c>
    </row>
    <row r="36025" spans="20:20" ht="18.75" customHeight="1" x14ac:dyDescent="0.35">
      <c r="T36025" s="246">
        <f t="shared" si="600"/>
        <v>0</v>
      </c>
    </row>
    <row r="36026" spans="20:20" ht="18.75" customHeight="1" x14ac:dyDescent="0.35">
      <c r="T36026" s="246">
        <f t="shared" si="600"/>
        <v>0</v>
      </c>
    </row>
    <row r="36027" spans="20:20" ht="18.75" customHeight="1" x14ac:dyDescent="0.35">
      <c r="T36027" s="246">
        <f t="shared" si="600"/>
        <v>0</v>
      </c>
    </row>
    <row r="36028" spans="20:20" ht="18.75" customHeight="1" x14ac:dyDescent="0.35">
      <c r="T36028" s="246">
        <f t="shared" ref="T36028:T36091" si="601">R36028*0.01</f>
        <v>0</v>
      </c>
    </row>
    <row r="36029" spans="20:20" ht="18.75" customHeight="1" x14ac:dyDescent="0.35">
      <c r="T36029" s="246">
        <f t="shared" si="601"/>
        <v>0</v>
      </c>
    </row>
    <row r="36030" spans="20:20" ht="18.75" customHeight="1" x14ac:dyDescent="0.35">
      <c r="T36030" s="246">
        <f t="shared" si="601"/>
        <v>0</v>
      </c>
    </row>
    <row r="36031" spans="20:20" ht="18.75" customHeight="1" x14ac:dyDescent="0.35">
      <c r="T36031" s="246">
        <f t="shared" si="601"/>
        <v>0</v>
      </c>
    </row>
    <row r="36032" spans="20:20" ht="18.75" customHeight="1" x14ac:dyDescent="0.35">
      <c r="T36032" s="246">
        <f t="shared" si="601"/>
        <v>0</v>
      </c>
    </row>
    <row r="36033" spans="20:20" ht="18.75" customHeight="1" x14ac:dyDescent="0.35">
      <c r="T36033" s="246">
        <f t="shared" si="601"/>
        <v>0</v>
      </c>
    </row>
    <row r="36034" spans="20:20" ht="18.75" customHeight="1" x14ac:dyDescent="0.35">
      <c r="T36034" s="246">
        <f t="shared" si="601"/>
        <v>0</v>
      </c>
    </row>
    <row r="36035" spans="20:20" ht="18.75" customHeight="1" x14ac:dyDescent="0.35">
      <c r="T36035" s="246">
        <f t="shared" si="601"/>
        <v>0</v>
      </c>
    </row>
    <row r="36036" spans="20:20" ht="18.75" customHeight="1" x14ac:dyDescent="0.35">
      <c r="T36036" s="246">
        <f t="shared" si="601"/>
        <v>0</v>
      </c>
    </row>
    <row r="36037" spans="20:20" ht="18.75" customHeight="1" x14ac:dyDescent="0.35">
      <c r="T36037" s="246">
        <f t="shared" si="601"/>
        <v>0</v>
      </c>
    </row>
    <row r="36038" spans="20:20" ht="18.75" customHeight="1" x14ac:dyDescent="0.35">
      <c r="T36038" s="246">
        <f t="shared" si="601"/>
        <v>0</v>
      </c>
    </row>
    <row r="36039" spans="20:20" ht="18.75" customHeight="1" x14ac:dyDescent="0.35">
      <c r="T36039" s="246">
        <f t="shared" si="601"/>
        <v>0</v>
      </c>
    </row>
    <row r="36040" spans="20:20" ht="18.75" customHeight="1" x14ac:dyDescent="0.35">
      <c r="T36040" s="246">
        <f t="shared" si="601"/>
        <v>0</v>
      </c>
    </row>
    <row r="36041" spans="20:20" ht="18.75" customHeight="1" x14ac:dyDescent="0.35">
      <c r="T36041" s="246">
        <f t="shared" si="601"/>
        <v>0</v>
      </c>
    </row>
    <row r="36042" spans="20:20" ht="18.75" customHeight="1" x14ac:dyDescent="0.35">
      <c r="T36042" s="246">
        <f t="shared" si="601"/>
        <v>0</v>
      </c>
    </row>
    <row r="36043" spans="20:20" ht="18.75" customHeight="1" x14ac:dyDescent="0.35">
      <c r="T36043" s="246">
        <f t="shared" si="601"/>
        <v>0</v>
      </c>
    </row>
    <row r="36044" spans="20:20" ht="18.75" customHeight="1" x14ac:dyDescent="0.35">
      <c r="T36044" s="246">
        <f t="shared" si="601"/>
        <v>0</v>
      </c>
    </row>
    <row r="36045" spans="20:20" ht="18.75" customHeight="1" x14ac:dyDescent="0.35">
      <c r="T36045" s="246">
        <f t="shared" si="601"/>
        <v>0</v>
      </c>
    </row>
    <row r="36046" spans="20:20" ht="18.75" customHeight="1" x14ac:dyDescent="0.35">
      <c r="T36046" s="246">
        <f t="shared" si="601"/>
        <v>0</v>
      </c>
    </row>
    <row r="36047" spans="20:20" ht="18.75" customHeight="1" x14ac:dyDescent="0.35">
      <c r="T36047" s="246">
        <f t="shared" si="601"/>
        <v>0</v>
      </c>
    </row>
    <row r="36048" spans="20:20" ht="18.75" customHeight="1" x14ac:dyDescent="0.35">
      <c r="T36048" s="246">
        <f t="shared" si="601"/>
        <v>0</v>
      </c>
    </row>
    <row r="36049" spans="20:20" ht="18.75" customHeight="1" x14ac:dyDescent="0.35">
      <c r="T36049" s="246">
        <f t="shared" si="601"/>
        <v>0</v>
      </c>
    </row>
    <row r="36050" spans="20:20" ht="18.75" customHeight="1" x14ac:dyDescent="0.35">
      <c r="T36050" s="246">
        <f t="shared" si="601"/>
        <v>0</v>
      </c>
    </row>
    <row r="36051" spans="20:20" ht="18.75" customHeight="1" x14ac:dyDescent="0.35">
      <c r="T36051" s="246">
        <f t="shared" si="601"/>
        <v>0</v>
      </c>
    </row>
    <row r="36052" spans="20:20" ht="18.75" customHeight="1" x14ac:dyDescent="0.35">
      <c r="T36052" s="246">
        <f t="shared" si="601"/>
        <v>0</v>
      </c>
    </row>
    <row r="36053" spans="20:20" ht="18.75" customHeight="1" x14ac:dyDescent="0.35">
      <c r="T36053" s="246">
        <f t="shared" si="601"/>
        <v>0</v>
      </c>
    </row>
    <row r="36054" spans="20:20" ht="18.75" customHeight="1" x14ac:dyDescent="0.35">
      <c r="T36054" s="246">
        <f t="shared" si="601"/>
        <v>0</v>
      </c>
    </row>
    <row r="36055" spans="20:20" ht="18.75" customHeight="1" x14ac:dyDescent="0.35">
      <c r="T36055" s="246">
        <f t="shared" si="601"/>
        <v>0</v>
      </c>
    </row>
    <row r="36056" spans="20:20" ht="18.75" customHeight="1" x14ac:dyDescent="0.35">
      <c r="T36056" s="246">
        <f t="shared" si="601"/>
        <v>0</v>
      </c>
    </row>
    <row r="36057" spans="20:20" ht="18.75" customHeight="1" x14ac:dyDescent="0.35">
      <c r="T36057" s="246">
        <f t="shared" si="601"/>
        <v>0</v>
      </c>
    </row>
    <row r="36058" spans="20:20" ht="18.75" customHeight="1" x14ac:dyDescent="0.35">
      <c r="T36058" s="246">
        <f t="shared" si="601"/>
        <v>0</v>
      </c>
    </row>
    <row r="36059" spans="20:20" ht="18.75" customHeight="1" x14ac:dyDescent="0.35">
      <c r="T36059" s="246">
        <f t="shared" si="601"/>
        <v>0</v>
      </c>
    </row>
    <row r="36060" spans="20:20" ht="18.75" customHeight="1" x14ac:dyDescent="0.35">
      <c r="T36060" s="246">
        <f t="shared" si="601"/>
        <v>0</v>
      </c>
    </row>
    <row r="36061" spans="20:20" ht="18.75" customHeight="1" x14ac:dyDescent="0.35">
      <c r="T36061" s="246">
        <f t="shared" si="601"/>
        <v>0</v>
      </c>
    </row>
    <row r="36062" spans="20:20" ht="18.75" customHeight="1" x14ac:dyDescent="0.35">
      <c r="T36062" s="246">
        <f t="shared" si="601"/>
        <v>0</v>
      </c>
    </row>
    <row r="36063" spans="20:20" ht="18.75" customHeight="1" x14ac:dyDescent="0.35">
      <c r="T36063" s="246">
        <f t="shared" si="601"/>
        <v>0</v>
      </c>
    </row>
    <row r="36064" spans="20:20" ht="18.75" customHeight="1" x14ac:dyDescent="0.35">
      <c r="T36064" s="246">
        <f t="shared" si="601"/>
        <v>0</v>
      </c>
    </row>
    <row r="36065" spans="20:20" ht="18.75" customHeight="1" x14ac:dyDescent="0.35">
      <c r="T36065" s="246">
        <f t="shared" si="601"/>
        <v>0</v>
      </c>
    </row>
    <row r="36066" spans="20:20" ht="18.75" customHeight="1" x14ac:dyDescent="0.35">
      <c r="T36066" s="246">
        <f t="shared" si="601"/>
        <v>0</v>
      </c>
    </row>
    <row r="36067" spans="20:20" ht="18.75" customHeight="1" x14ac:dyDescent="0.35">
      <c r="T36067" s="246">
        <f t="shared" si="601"/>
        <v>0</v>
      </c>
    </row>
    <row r="36068" spans="20:20" ht="18.75" customHeight="1" x14ac:dyDescent="0.35">
      <c r="T36068" s="246">
        <f t="shared" si="601"/>
        <v>0</v>
      </c>
    </row>
    <row r="36069" spans="20:20" ht="18.75" customHeight="1" x14ac:dyDescent="0.35">
      <c r="T36069" s="246">
        <f t="shared" si="601"/>
        <v>0</v>
      </c>
    </row>
    <row r="36070" spans="20:20" ht="18.75" customHeight="1" x14ac:dyDescent="0.35">
      <c r="T36070" s="246">
        <f t="shared" si="601"/>
        <v>0</v>
      </c>
    </row>
    <row r="36071" spans="20:20" ht="18.75" customHeight="1" x14ac:dyDescent="0.35">
      <c r="T36071" s="246">
        <f t="shared" si="601"/>
        <v>0</v>
      </c>
    </row>
    <row r="36072" spans="20:20" ht="18.75" customHeight="1" x14ac:dyDescent="0.35">
      <c r="T36072" s="246">
        <f t="shared" si="601"/>
        <v>0</v>
      </c>
    </row>
    <row r="36073" spans="20:20" ht="18.75" customHeight="1" x14ac:dyDescent="0.35">
      <c r="T36073" s="246">
        <f t="shared" si="601"/>
        <v>0</v>
      </c>
    </row>
    <row r="36074" spans="20:20" ht="18.75" customHeight="1" x14ac:dyDescent="0.35">
      <c r="T36074" s="246">
        <f t="shared" si="601"/>
        <v>0</v>
      </c>
    </row>
    <row r="36075" spans="20:20" ht="18.75" customHeight="1" x14ac:dyDescent="0.35">
      <c r="T36075" s="246">
        <f t="shared" si="601"/>
        <v>0</v>
      </c>
    </row>
    <row r="36076" spans="20:20" ht="18.75" customHeight="1" x14ac:dyDescent="0.35">
      <c r="T36076" s="246">
        <f t="shared" si="601"/>
        <v>0</v>
      </c>
    </row>
    <row r="36077" spans="20:20" ht="18.75" customHeight="1" x14ac:dyDescent="0.35">
      <c r="T36077" s="246">
        <f t="shared" si="601"/>
        <v>0</v>
      </c>
    </row>
    <row r="36078" spans="20:20" ht="18.75" customHeight="1" x14ac:dyDescent="0.35">
      <c r="T36078" s="246">
        <f t="shared" si="601"/>
        <v>0</v>
      </c>
    </row>
    <row r="36079" spans="20:20" ht="18.75" customHeight="1" x14ac:dyDescent="0.35">
      <c r="T36079" s="246">
        <f t="shared" si="601"/>
        <v>0</v>
      </c>
    </row>
    <row r="36080" spans="20:20" ht="18.75" customHeight="1" x14ac:dyDescent="0.35">
      <c r="T36080" s="246">
        <f t="shared" si="601"/>
        <v>0</v>
      </c>
    </row>
    <row r="36081" spans="20:20" ht="18.75" customHeight="1" x14ac:dyDescent="0.35">
      <c r="T36081" s="246">
        <f t="shared" si="601"/>
        <v>0</v>
      </c>
    </row>
    <row r="36082" spans="20:20" ht="18.75" customHeight="1" x14ac:dyDescent="0.35">
      <c r="T36082" s="246">
        <f t="shared" si="601"/>
        <v>0</v>
      </c>
    </row>
    <row r="36083" spans="20:20" ht="18.75" customHeight="1" x14ac:dyDescent="0.35">
      <c r="T36083" s="246">
        <f t="shared" si="601"/>
        <v>0</v>
      </c>
    </row>
    <row r="36084" spans="20:20" ht="18.75" customHeight="1" x14ac:dyDescent="0.35">
      <c r="T36084" s="246">
        <f t="shared" si="601"/>
        <v>0</v>
      </c>
    </row>
    <row r="36085" spans="20:20" ht="18.75" customHeight="1" x14ac:dyDescent="0.35">
      <c r="T36085" s="246">
        <f t="shared" si="601"/>
        <v>0</v>
      </c>
    </row>
    <row r="36086" spans="20:20" ht="18.75" customHeight="1" x14ac:dyDescent="0.35">
      <c r="T36086" s="246">
        <f t="shared" si="601"/>
        <v>0</v>
      </c>
    </row>
    <row r="36087" spans="20:20" ht="18.75" customHeight="1" x14ac:dyDescent="0.35">
      <c r="T36087" s="246">
        <f t="shared" si="601"/>
        <v>0</v>
      </c>
    </row>
    <row r="36088" spans="20:20" ht="18.75" customHeight="1" x14ac:dyDescent="0.35">
      <c r="T36088" s="246">
        <f t="shared" si="601"/>
        <v>0</v>
      </c>
    </row>
    <row r="36089" spans="20:20" ht="18.75" customHeight="1" x14ac:dyDescent="0.35">
      <c r="T36089" s="246">
        <f t="shared" si="601"/>
        <v>0</v>
      </c>
    </row>
    <row r="36090" spans="20:20" ht="18.75" customHeight="1" x14ac:dyDescent="0.35">
      <c r="T36090" s="246">
        <f t="shared" si="601"/>
        <v>0</v>
      </c>
    </row>
    <row r="36091" spans="20:20" ht="18.75" customHeight="1" x14ac:dyDescent="0.35">
      <c r="T36091" s="246">
        <f t="shared" si="601"/>
        <v>0</v>
      </c>
    </row>
    <row r="36092" spans="20:20" ht="18.75" customHeight="1" x14ac:dyDescent="0.35">
      <c r="T36092" s="246">
        <f t="shared" ref="T36092:T36155" si="602">R36092*0.01</f>
        <v>0</v>
      </c>
    </row>
    <row r="36093" spans="20:20" ht="18.75" customHeight="1" x14ac:dyDescent="0.35">
      <c r="T36093" s="246">
        <f t="shared" si="602"/>
        <v>0</v>
      </c>
    </row>
    <row r="36094" spans="20:20" ht="18.75" customHeight="1" x14ac:dyDescent="0.35">
      <c r="T36094" s="246">
        <f t="shared" si="602"/>
        <v>0</v>
      </c>
    </row>
    <row r="36095" spans="20:20" ht="18.75" customHeight="1" x14ac:dyDescent="0.35">
      <c r="T36095" s="246">
        <f t="shared" si="602"/>
        <v>0</v>
      </c>
    </row>
    <row r="36096" spans="20:20" ht="18.75" customHeight="1" x14ac:dyDescent="0.35">
      <c r="T36096" s="246">
        <f t="shared" si="602"/>
        <v>0</v>
      </c>
    </row>
    <row r="36097" spans="20:20" ht="18.75" customHeight="1" x14ac:dyDescent="0.35">
      <c r="T36097" s="246">
        <f t="shared" si="602"/>
        <v>0</v>
      </c>
    </row>
    <row r="36098" spans="20:20" ht="18.75" customHeight="1" x14ac:dyDescent="0.35">
      <c r="T36098" s="246">
        <f t="shared" si="602"/>
        <v>0</v>
      </c>
    </row>
    <row r="36099" spans="20:20" ht="18.75" customHeight="1" x14ac:dyDescent="0.35">
      <c r="T36099" s="246">
        <f t="shared" si="602"/>
        <v>0</v>
      </c>
    </row>
    <row r="36100" spans="20:20" ht="18.75" customHeight="1" x14ac:dyDescent="0.35">
      <c r="T36100" s="246">
        <f t="shared" si="602"/>
        <v>0</v>
      </c>
    </row>
    <row r="36101" spans="20:20" ht="18.75" customHeight="1" x14ac:dyDescent="0.35">
      <c r="T36101" s="246">
        <f t="shared" si="602"/>
        <v>0</v>
      </c>
    </row>
    <row r="36102" spans="20:20" ht="18.75" customHeight="1" x14ac:dyDescent="0.35">
      <c r="T36102" s="246">
        <f t="shared" si="602"/>
        <v>0</v>
      </c>
    </row>
    <row r="36103" spans="20:20" ht="18.75" customHeight="1" x14ac:dyDescent="0.35">
      <c r="T36103" s="246">
        <f t="shared" si="602"/>
        <v>0</v>
      </c>
    </row>
    <row r="36104" spans="20:20" ht="18.75" customHeight="1" x14ac:dyDescent="0.35">
      <c r="T36104" s="246">
        <f t="shared" si="602"/>
        <v>0</v>
      </c>
    </row>
    <row r="36105" spans="20:20" ht="18.75" customHeight="1" x14ac:dyDescent="0.35">
      <c r="T36105" s="246">
        <f t="shared" si="602"/>
        <v>0</v>
      </c>
    </row>
    <row r="36106" spans="20:20" ht="18.75" customHeight="1" x14ac:dyDescent="0.35">
      <c r="T36106" s="246">
        <f t="shared" si="602"/>
        <v>0</v>
      </c>
    </row>
    <row r="36107" spans="20:20" ht="18.75" customHeight="1" x14ac:dyDescent="0.35">
      <c r="T36107" s="246">
        <f t="shared" si="602"/>
        <v>0</v>
      </c>
    </row>
    <row r="36108" spans="20:20" ht="18.75" customHeight="1" x14ac:dyDescent="0.35">
      <c r="T36108" s="246">
        <f t="shared" si="602"/>
        <v>0</v>
      </c>
    </row>
    <row r="36109" spans="20:20" ht="18.75" customHeight="1" x14ac:dyDescent="0.35">
      <c r="T36109" s="246">
        <f t="shared" si="602"/>
        <v>0</v>
      </c>
    </row>
    <row r="36110" spans="20:20" ht="18.75" customHeight="1" x14ac:dyDescent="0.35">
      <c r="T36110" s="246">
        <f t="shared" si="602"/>
        <v>0</v>
      </c>
    </row>
    <row r="36111" spans="20:20" ht="18.75" customHeight="1" x14ac:dyDescent="0.35">
      <c r="T36111" s="246">
        <f t="shared" si="602"/>
        <v>0</v>
      </c>
    </row>
    <row r="36112" spans="20:20" ht="18.75" customHeight="1" x14ac:dyDescent="0.35">
      <c r="T36112" s="246">
        <f t="shared" si="602"/>
        <v>0</v>
      </c>
    </row>
    <row r="36113" spans="20:20" ht="18.75" customHeight="1" x14ac:dyDescent="0.35">
      <c r="T36113" s="246">
        <f t="shared" si="602"/>
        <v>0</v>
      </c>
    </row>
    <row r="36114" spans="20:20" ht="18.75" customHeight="1" x14ac:dyDescent="0.35">
      <c r="T36114" s="246">
        <f t="shared" si="602"/>
        <v>0</v>
      </c>
    </row>
    <row r="36115" spans="20:20" ht="18.75" customHeight="1" x14ac:dyDescent="0.35">
      <c r="T36115" s="246">
        <f t="shared" si="602"/>
        <v>0</v>
      </c>
    </row>
    <row r="36116" spans="20:20" ht="18.75" customHeight="1" x14ac:dyDescent="0.35">
      <c r="T36116" s="246">
        <f t="shared" si="602"/>
        <v>0</v>
      </c>
    </row>
    <row r="36117" spans="20:20" ht="18.75" customHeight="1" x14ac:dyDescent="0.35">
      <c r="T36117" s="246">
        <f t="shared" si="602"/>
        <v>0</v>
      </c>
    </row>
    <row r="36118" spans="20:20" ht="18.75" customHeight="1" x14ac:dyDescent="0.35">
      <c r="T36118" s="246">
        <f t="shared" si="602"/>
        <v>0</v>
      </c>
    </row>
    <row r="36119" spans="20:20" ht="18.75" customHeight="1" x14ac:dyDescent="0.35">
      <c r="T36119" s="246">
        <f t="shared" si="602"/>
        <v>0</v>
      </c>
    </row>
    <row r="36120" spans="20:20" ht="18.75" customHeight="1" x14ac:dyDescent="0.35">
      <c r="T36120" s="246">
        <f t="shared" si="602"/>
        <v>0</v>
      </c>
    </row>
    <row r="36121" spans="20:20" ht="18.75" customHeight="1" x14ac:dyDescent="0.35">
      <c r="T36121" s="246">
        <f t="shared" si="602"/>
        <v>0</v>
      </c>
    </row>
    <row r="36122" spans="20:20" ht="18.75" customHeight="1" x14ac:dyDescent="0.35">
      <c r="T36122" s="246">
        <f t="shared" si="602"/>
        <v>0</v>
      </c>
    </row>
    <row r="36123" spans="20:20" ht="18.75" customHeight="1" x14ac:dyDescent="0.35">
      <c r="T36123" s="246">
        <f t="shared" si="602"/>
        <v>0</v>
      </c>
    </row>
    <row r="36124" spans="20:20" ht="18.75" customHeight="1" x14ac:dyDescent="0.35">
      <c r="T36124" s="246">
        <f t="shared" si="602"/>
        <v>0</v>
      </c>
    </row>
    <row r="36125" spans="20:20" ht="18.75" customHeight="1" x14ac:dyDescent="0.35">
      <c r="T36125" s="246">
        <f t="shared" si="602"/>
        <v>0</v>
      </c>
    </row>
    <row r="36126" spans="20:20" ht="18.75" customHeight="1" x14ac:dyDescent="0.35">
      <c r="T36126" s="246">
        <f t="shared" si="602"/>
        <v>0</v>
      </c>
    </row>
    <row r="36127" spans="20:20" ht="18.75" customHeight="1" x14ac:dyDescent="0.35">
      <c r="T36127" s="246">
        <f t="shared" si="602"/>
        <v>0</v>
      </c>
    </row>
    <row r="36128" spans="20:20" ht="18.75" customHeight="1" x14ac:dyDescent="0.35">
      <c r="T36128" s="246">
        <f t="shared" si="602"/>
        <v>0</v>
      </c>
    </row>
    <row r="36129" spans="20:20" ht="18.75" customHeight="1" x14ac:dyDescent="0.35">
      <c r="T36129" s="246">
        <f t="shared" si="602"/>
        <v>0</v>
      </c>
    </row>
    <row r="36130" spans="20:20" ht="18.75" customHeight="1" x14ac:dyDescent="0.35">
      <c r="T36130" s="246">
        <f t="shared" si="602"/>
        <v>0</v>
      </c>
    </row>
    <row r="36131" spans="20:20" ht="18.75" customHeight="1" x14ac:dyDescent="0.35">
      <c r="T36131" s="246">
        <f t="shared" si="602"/>
        <v>0</v>
      </c>
    </row>
    <row r="36132" spans="20:20" ht="18.75" customHeight="1" x14ac:dyDescent="0.35">
      <c r="T36132" s="246">
        <f t="shared" si="602"/>
        <v>0</v>
      </c>
    </row>
    <row r="36133" spans="20:20" ht="18.75" customHeight="1" x14ac:dyDescent="0.35">
      <c r="T36133" s="246">
        <f t="shared" si="602"/>
        <v>0</v>
      </c>
    </row>
    <row r="36134" spans="20:20" ht="18.75" customHeight="1" x14ac:dyDescent="0.35">
      <c r="T36134" s="246">
        <f t="shared" si="602"/>
        <v>0</v>
      </c>
    </row>
    <row r="36135" spans="20:20" ht="18.75" customHeight="1" x14ac:dyDescent="0.35">
      <c r="T36135" s="246">
        <f t="shared" si="602"/>
        <v>0</v>
      </c>
    </row>
    <row r="36136" spans="20:20" ht="18.75" customHeight="1" x14ac:dyDescent="0.35">
      <c r="T36136" s="246">
        <f t="shared" si="602"/>
        <v>0</v>
      </c>
    </row>
    <row r="36137" spans="20:20" ht="18.75" customHeight="1" x14ac:dyDescent="0.35">
      <c r="T36137" s="246">
        <f t="shared" si="602"/>
        <v>0</v>
      </c>
    </row>
    <row r="36138" spans="20:20" ht="18.75" customHeight="1" x14ac:dyDescent="0.35">
      <c r="T36138" s="246">
        <f t="shared" si="602"/>
        <v>0</v>
      </c>
    </row>
    <row r="36139" spans="20:20" ht="18.75" customHeight="1" x14ac:dyDescent="0.35">
      <c r="T36139" s="246">
        <f t="shared" si="602"/>
        <v>0</v>
      </c>
    </row>
    <row r="36140" spans="20:20" ht="18.75" customHeight="1" x14ac:dyDescent="0.35">
      <c r="T36140" s="246">
        <f t="shared" si="602"/>
        <v>0</v>
      </c>
    </row>
    <row r="36141" spans="20:20" ht="18.75" customHeight="1" x14ac:dyDescent="0.35">
      <c r="T36141" s="246">
        <f t="shared" si="602"/>
        <v>0</v>
      </c>
    </row>
    <row r="36142" spans="20:20" ht="18.75" customHeight="1" x14ac:dyDescent="0.35">
      <c r="T36142" s="246">
        <f t="shared" si="602"/>
        <v>0</v>
      </c>
    </row>
    <row r="36143" spans="20:20" ht="18.75" customHeight="1" x14ac:dyDescent="0.35">
      <c r="T36143" s="246">
        <f t="shared" si="602"/>
        <v>0</v>
      </c>
    </row>
    <row r="36144" spans="20:20" ht="18.75" customHeight="1" x14ac:dyDescent="0.35">
      <c r="T36144" s="246">
        <f t="shared" si="602"/>
        <v>0</v>
      </c>
    </row>
    <row r="36145" spans="20:20" ht="18.75" customHeight="1" x14ac:dyDescent="0.35">
      <c r="T36145" s="246">
        <f t="shared" si="602"/>
        <v>0</v>
      </c>
    </row>
    <row r="36146" spans="20:20" ht="18.75" customHeight="1" x14ac:dyDescent="0.35">
      <c r="T36146" s="246">
        <f t="shared" si="602"/>
        <v>0</v>
      </c>
    </row>
    <row r="36147" spans="20:20" ht="18.75" customHeight="1" x14ac:dyDescent="0.35">
      <c r="T36147" s="246">
        <f t="shared" si="602"/>
        <v>0</v>
      </c>
    </row>
    <row r="36148" spans="20:20" ht="18.75" customHeight="1" x14ac:dyDescent="0.35">
      <c r="T36148" s="246">
        <f t="shared" si="602"/>
        <v>0</v>
      </c>
    </row>
    <row r="36149" spans="20:20" ht="18.75" customHeight="1" x14ac:dyDescent="0.35">
      <c r="T36149" s="246">
        <f t="shared" si="602"/>
        <v>0</v>
      </c>
    </row>
    <row r="36150" spans="20:20" ht="18.75" customHeight="1" x14ac:dyDescent="0.35">
      <c r="T36150" s="246">
        <f t="shared" si="602"/>
        <v>0</v>
      </c>
    </row>
    <row r="36151" spans="20:20" ht="18.75" customHeight="1" x14ac:dyDescent="0.35">
      <c r="T36151" s="246">
        <f t="shared" si="602"/>
        <v>0</v>
      </c>
    </row>
    <row r="36152" spans="20:20" ht="18.75" customHeight="1" x14ac:dyDescent="0.35">
      <c r="T36152" s="246">
        <f t="shared" si="602"/>
        <v>0</v>
      </c>
    </row>
    <row r="36153" spans="20:20" ht="18.75" customHeight="1" x14ac:dyDescent="0.35">
      <c r="T36153" s="246">
        <f t="shared" si="602"/>
        <v>0</v>
      </c>
    </row>
    <row r="36154" spans="20:20" ht="18.75" customHeight="1" x14ac:dyDescent="0.35">
      <c r="T36154" s="246">
        <f t="shared" si="602"/>
        <v>0</v>
      </c>
    </row>
    <row r="36155" spans="20:20" ht="18.75" customHeight="1" x14ac:dyDescent="0.35">
      <c r="T36155" s="246">
        <f t="shared" si="602"/>
        <v>0</v>
      </c>
    </row>
    <row r="36156" spans="20:20" ht="18.75" customHeight="1" x14ac:dyDescent="0.35">
      <c r="T36156" s="246">
        <f t="shared" ref="T36156:T36219" si="603">R36156*0.01</f>
        <v>0</v>
      </c>
    </row>
    <row r="36157" spans="20:20" ht="18.75" customHeight="1" x14ac:dyDescent="0.35">
      <c r="T36157" s="246">
        <f t="shared" si="603"/>
        <v>0</v>
      </c>
    </row>
    <row r="36158" spans="20:20" ht="18.75" customHeight="1" x14ac:dyDescent="0.35">
      <c r="T36158" s="246">
        <f t="shared" si="603"/>
        <v>0</v>
      </c>
    </row>
    <row r="36159" spans="20:20" ht="18.75" customHeight="1" x14ac:dyDescent="0.35">
      <c r="T36159" s="246">
        <f t="shared" si="603"/>
        <v>0</v>
      </c>
    </row>
    <row r="36160" spans="20:20" ht="18.75" customHeight="1" x14ac:dyDescent="0.35">
      <c r="T36160" s="246">
        <f t="shared" si="603"/>
        <v>0</v>
      </c>
    </row>
    <row r="36161" spans="20:20" ht="18.75" customHeight="1" x14ac:dyDescent="0.35">
      <c r="T36161" s="246">
        <f t="shared" si="603"/>
        <v>0</v>
      </c>
    </row>
    <row r="36162" spans="20:20" ht="18.75" customHeight="1" x14ac:dyDescent="0.35">
      <c r="T36162" s="246">
        <f t="shared" si="603"/>
        <v>0</v>
      </c>
    </row>
    <row r="36163" spans="20:20" ht="18.75" customHeight="1" x14ac:dyDescent="0.35">
      <c r="T36163" s="246">
        <f t="shared" si="603"/>
        <v>0</v>
      </c>
    </row>
    <row r="36164" spans="20:20" ht="18.75" customHeight="1" x14ac:dyDescent="0.35">
      <c r="T36164" s="246">
        <f t="shared" si="603"/>
        <v>0</v>
      </c>
    </row>
    <row r="36165" spans="20:20" ht="18.75" customHeight="1" x14ac:dyDescent="0.35">
      <c r="T36165" s="246">
        <f t="shared" si="603"/>
        <v>0</v>
      </c>
    </row>
    <row r="36166" spans="20:20" ht="18.75" customHeight="1" x14ac:dyDescent="0.35">
      <c r="T36166" s="246">
        <f t="shared" si="603"/>
        <v>0</v>
      </c>
    </row>
    <row r="36167" spans="20:20" ht="18.75" customHeight="1" x14ac:dyDescent="0.35">
      <c r="T36167" s="246">
        <f t="shared" si="603"/>
        <v>0</v>
      </c>
    </row>
    <row r="36168" spans="20:20" ht="18.75" customHeight="1" x14ac:dyDescent="0.35">
      <c r="T36168" s="246">
        <f t="shared" si="603"/>
        <v>0</v>
      </c>
    </row>
    <row r="36169" spans="20:20" ht="18.75" customHeight="1" x14ac:dyDescent="0.35">
      <c r="T36169" s="246">
        <f t="shared" si="603"/>
        <v>0</v>
      </c>
    </row>
    <row r="36170" spans="20:20" ht="18.75" customHeight="1" x14ac:dyDescent="0.35">
      <c r="T36170" s="246">
        <f t="shared" si="603"/>
        <v>0</v>
      </c>
    </row>
    <row r="36171" spans="20:20" ht="18.75" customHeight="1" x14ac:dyDescent="0.35">
      <c r="T36171" s="246">
        <f t="shared" si="603"/>
        <v>0</v>
      </c>
    </row>
    <row r="36172" spans="20:20" ht="18.75" customHeight="1" x14ac:dyDescent="0.35">
      <c r="T36172" s="246">
        <f t="shared" si="603"/>
        <v>0</v>
      </c>
    </row>
    <row r="36173" spans="20:20" ht="18.75" customHeight="1" x14ac:dyDescent="0.35">
      <c r="T36173" s="246">
        <f t="shared" si="603"/>
        <v>0</v>
      </c>
    </row>
    <row r="36174" spans="20:20" ht="18.75" customHeight="1" x14ac:dyDescent="0.35">
      <c r="T36174" s="246">
        <f t="shared" si="603"/>
        <v>0</v>
      </c>
    </row>
    <row r="36175" spans="20:20" ht="18.75" customHeight="1" x14ac:dyDescent="0.35">
      <c r="T36175" s="246">
        <f t="shared" si="603"/>
        <v>0</v>
      </c>
    </row>
    <row r="36176" spans="20:20" ht="18.75" customHeight="1" x14ac:dyDescent="0.35">
      <c r="T36176" s="246">
        <f t="shared" si="603"/>
        <v>0</v>
      </c>
    </row>
    <row r="36177" spans="20:20" ht="18.75" customHeight="1" x14ac:dyDescent="0.35">
      <c r="T36177" s="246">
        <f t="shared" si="603"/>
        <v>0</v>
      </c>
    </row>
    <row r="36178" spans="20:20" ht="18.75" customHeight="1" x14ac:dyDescent="0.35">
      <c r="T36178" s="246">
        <f t="shared" si="603"/>
        <v>0</v>
      </c>
    </row>
    <row r="36179" spans="20:20" ht="18.75" customHeight="1" x14ac:dyDescent="0.35">
      <c r="T36179" s="246">
        <f t="shared" si="603"/>
        <v>0</v>
      </c>
    </row>
    <row r="36180" spans="20:20" ht="18.75" customHeight="1" x14ac:dyDescent="0.35">
      <c r="T36180" s="246">
        <f t="shared" si="603"/>
        <v>0</v>
      </c>
    </row>
    <row r="36181" spans="20:20" ht="18.75" customHeight="1" x14ac:dyDescent="0.35">
      <c r="T36181" s="246">
        <f t="shared" si="603"/>
        <v>0</v>
      </c>
    </row>
    <row r="36182" spans="20:20" ht="18.75" customHeight="1" x14ac:dyDescent="0.35">
      <c r="T36182" s="246">
        <f t="shared" si="603"/>
        <v>0</v>
      </c>
    </row>
    <row r="36183" spans="20:20" ht="18.75" customHeight="1" x14ac:dyDescent="0.35">
      <c r="T36183" s="246">
        <f t="shared" si="603"/>
        <v>0</v>
      </c>
    </row>
    <row r="36184" spans="20:20" ht="18.75" customHeight="1" x14ac:dyDescent="0.35">
      <c r="T36184" s="246">
        <f t="shared" si="603"/>
        <v>0</v>
      </c>
    </row>
    <row r="36185" spans="20:20" ht="18.75" customHeight="1" x14ac:dyDescent="0.35">
      <c r="T36185" s="246">
        <f t="shared" si="603"/>
        <v>0</v>
      </c>
    </row>
    <row r="36186" spans="20:20" ht="18.75" customHeight="1" x14ac:dyDescent="0.35">
      <c r="T36186" s="246">
        <f t="shared" si="603"/>
        <v>0</v>
      </c>
    </row>
    <row r="36187" spans="20:20" ht="18.75" customHeight="1" x14ac:dyDescent="0.35">
      <c r="T36187" s="246">
        <f t="shared" si="603"/>
        <v>0</v>
      </c>
    </row>
    <row r="36188" spans="20:20" ht="18.75" customHeight="1" x14ac:dyDescent="0.35">
      <c r="T36188" s="246">
        <f t="shared" si="603"/>
        <v>0</v>
      </c>
    </row>
    <row r="36189" spans="20:20" ht="18.75" customHeight="1" x14ac:dyDescent="0.35">
      <c r="T36189" s="246">
        <f t="shared" si="603"/>
        <v>0</v>
      </c>
    </row>
    <row r="36190" spans="20:20" ht="18.75" customHeight="1" x14ac:dyDescent="0.35">
      <c r="T36190" s="246">
        <f t="shared" si="603"/>
        <v>0</v>
      </c>
    </row>
    <row r="36191" spans="20:20" ht="18.75" customHeight="1" x14ac:dyDescent="0.35">
      <c r="T36191" s="246">
        <f t="shared" si="603"/>
        <v>0</v>
      </c>
    </row>
    <row r="36192" spans="20:20" ht="18.75" customHeight="1" x14ac:dyDescent="0.35">
      <c r="T36192" s="246">
        <f t="shared" si="603"/>
        <v>0</v>
      </c>
    </row>
    <row r="36193" spans="20:20" ht="18.75" customHeight="1" x14ac:dyDescent="0.35">
      <c r="T36193" s="246">
        <f t="shared" si="603"/>
        <v>0</v>
      </c>
    </row>
    <row r="36194" spans="20:20" ht="18.75" customHeight="1" x14ac:dyDescent="0.35">
      <c r="T36194" s="246">
        <f t="shared" si="603"/>
        <v>0</v>
      </c>
    </row>
    <row r="36195" spans="20:20" ht="18.75" customHeight="1" x14ac:dyDescent="0.35">
      <c r="T36195" s="246">
        <f t="shared" si="603"/>
        <v>0</v>
      </c>
    </row>
    <row r="36196" spans="20:20" ht="18.75" customHeight="1" x14ac:dyDescent="0.35">
      <c r="T36196" s="246">
        <f t="shared" si="603"/>
        <v>0</v>
      </c>
    </row>
    <row r="36197" spans="20:20" ht="18.75" customHeight="1" x14ac:dyDescent="0.35">
      <c r="T36197" s="246">
        <f t="shared" si="603"/>
        <v>0</v>
      </c>
    </row>
    <row r="36198" spans="20:20" ht="18.75" customHeight="1" x14ac:dyDescent="0.35">
      <c r="T36198" s="246">
        <f t="shared" si="603"/>
        <v>0</v>
      </c>
    </row>
    <row r="36199" spans="20:20" ht="18.75" customHeight="1" x14ac:dyDescent="0.35">
      <c r="T36199" s="246">
        <f t="shared" si="603"/>
        <v>0</v>
      </c>
    </row>
    <row r="36200" spans="20:20" ht="18.75" customHeight="1" x14ac:dyDescent="0.35">
      <c r="T36200" s="246">
        <f t="shared" si="603"/>
        <v>0</v>
      </c>
    </row>
    <row r="36201" spans="20:20" ht="18.75" customHeight="1" x14ac:dyDescent="0.35">
      <c r="T36201" s="246">
        <f t="shared" si="603"/>
        <v>0</v>
      </c>
    </row>
    <row r="36202" spans="20:20" ht="18.75" customHeight="1" x14ac:dyDescent="0.35">
      <c r="T36202" s="246">
        <f t="shared" si="603"/>
        <v>0</v>
      </c>
    </row>
    <row r="36203" spans="20:20" ht="18.75" customHeight="1" x14ac:dyDescent="0.35">
      <c r="T36203" s="246">
        <f t="shared" si="603"/>
        <v>0</v>
      </c>
    </row>
    <row r="36204" spans="20:20" ht="18.75" customHeight="1" x14ac:dyDescent="0.35">
      <c r="T36204" s="246">
        <f t="shared" si="603"/>
        <v>0</v>
      </c>
    </row>
    <row r="36205" spans="20:20" ht="18.75" customHeight="1" x14ac:dyDescent="0.35">
      <c r="T36205" s="246">
        <f t="shared" si="603"/>
        <v>0</v>
      </c>
    </row>
    <row r="36206" spans="20:20" ht="18.75" customHeight="1" x14ac:dyDescent="0.35">
      <c r="T36206" s="246">
        <f t="shared" si="603"/>
        <v>0</v>
      </c>
    </row>
    <row r="36207" spans="20:20" ht="18.75" customHeight="1" x14ac:dyDescent="0.35">
      <c r="T36207" s="246">
        <f t="shared" si="603"/>
        <v>0</v>
      </c>
    </row>
    <row r="36208" spans="20:20" ht="18.75" customHeight="1" x14ac:dyDescent="0.35">
      <c r="T36208" s="246">
        <f t="shared" si="603"/>
        <v>0</v>
      </c>
    </row>
    <row r="36209" spans="20:20" ht="18.75" customHeight="1" x14ac:dyDescent="0.35">
      <c r="T36209" s="246">
        <f t="shared" si="603"/>
        <v>0</v>
      </c>
    </row>
    <row r="36210" spans="20:20" ht="18.75" customHeight="1" x14ac:dyDescent="0.35">
      <c r="T36210" s="246">
        <f t="shared" si="603"/>
        <v>0</v>
      </c>
    </row>
    <row r="36211" spans="20:20" ht="18.75" customHeight="1" x14ac:dyDescent="0.35">
      <c r="T36211" s="246">
        <f t="shared" si="603"/>
        <v>0</v>
      </c>
    </row>
    <row r="36212" spans="20:20" ht="18.75" customHeight="1" x14ac:dyDescent="0.35">
      <c r="T36212" s="246">
        <f t="shared" si="603"/>
        <v>0</v>
      </c>
    </row>
    <row r="36213" spans="20:20" ht="18.75" customHeight="1" x14ac:dyDescent="0.35">
      <c r="T36213" s="246">
        <f t="shared" si="603"/>
        <v>0</v>
      </c>
    </row>
    <row r="36214" spans="20:20" ht="18.75" customHeight="1" x14ac:dyDescent="0.35">
      <c r="T36214" s="246">
        <f t="shared" si="603"/>
        <v>0</v>
      </c>
    </row>
    <row r="36215" spans="20:20" ht="18.75" customHeight="1" x14ac:dyDescent="0.35">
      <c r="T36215" s="246">
        <f t="shared" si="603"/>
        <v>0</v>
      </c>
    </row>
    <row r="36216" spans="20:20" ht="18.75" customHeight="1" x14ac:dyDescent="0.35">
      <c r="T36216" s="246">
        <f t="shared" si="603"/>
        <v>0</v>
      </c>
    </row>
    <row r="36217" spans="20:20" ht="18.75" customHeight="1" x14ac:dyDescent="0.35">
      <c r="T36217" s="246">
        <f t="shared" si="603"/>
        <v>0</v>
      </c>
    </row>
    <row r="36218" spans="20:20" ht="18.75" customHeight="1" x14ac:dyDescent="0.35">
      <c r="T36218" s="246">
        <f t="shared" si="603"/>
        <v>0</v>
      </c>
    </row>
    <row r="36219" spans="20:20" ht="18.75" customHeight="1" x14ac:dyDescent="0.35">
      <c r="T36219" s="246">
        <f t="shared" si="603"/>
        <v>0</v>
      </c>
    </row>
    <row r="36220" spans="20:20" ht="18.75" customHeight="1" x14ac:dyDescent="0.35">
      <c r="T36220" s="246">
        <f t="shared" ref="T36220:T36283" si="604">R36220*0.01</f>
        <v>0</v>
      </c>
    </row>
    <row r="36221" spans="20:20" ht="18.75" customHeight="1" x14ac:dyDescent="0.35">
      <c r="T36221" s="246">
        <f t="shared" si="604"/>
        <v>0</v>
      </c>
    </row>
    <row r="36222" spans="20:20" ht="18.75" customHeight="1" x14ac:dyDescent="0.35">
      <c r="T36222" s="246">
        <f t="shared" si="604"/>
        <v>0</v>
      </c>
    </row>
    <row r="36223" spans="20:20" ht="18.75" customHeight="1" x14ac:dyDescent="0.35">
      <c r="T36223" s="246">
        <f t="shared" si="604"/>
        <v>0</v>
      </c>
    </row>
    <row r="36224" spans="20:20" ht="18.75" customHeight="1" x14ac:dyDescent="0.35">
      <c r="T36224" s="246">
        <f t="shared" si="604"/>
        <v>0</v>
      </c>
    </row>
    <row r="36225" spans="20:20" ht="18.75" customHeight="1" x14ac:dyDescent="0.35">
      <c r="T36225" s="246">
        <f t="shared" si="604"/>
        <v>0</v>
      </c>
    </row>
    <row r="36226" spans="20:20" ht="18.75" customHeight="1" x14ac:dyDescent="0.35">
      <c r="T36226" s="246">
        <f t="shared" si="604"/>
        <v>0</v>
      </c>
    </row>
    <row r="36227" spans="20:20" ht="18.75" customHeight="1" x14ac:dyDescent="0.35">
      <c r="T36227" s="246">
        <f t="shared" si="604"/>
        <v>0</v>
      </c>
    </row>
    <row r="36228" spans="20:20" ht="18.75" customHeight="1" x14ac:dyDescent="0.35">
      <c r="T36228" s="246">
        <f t="shared" si="604"/>
        <v>0</v>
      </c>
    </row>
    <row r="36229" spans="20:20" ht="18.75" customHeight="1" x14ac:dyDescent="0.35">
      <c r="T36229" s="246">
        <f t="shared" si="604"/>
        <v>0</v>
      </c>
    </row>
    <row r="36230" spans="20:20" ht="18.75" customHeight="1" x14ac:dyDescent="0.35">
      <c r="T36230" s="246">
        <f t="shared" si="604"/>
        <v>0</v>
      </c>
    </row>
    <row r="36231" spans="20:20" ht="18.75" customHeight="1" x14ac:dyDescent="0.35">
      <c r="T36231" s="246">
        <f t="shared" si="604"/>
        <v>0</v>
      </c>
    </row>
    <row r="36232" spans="20:20" ht="18.75" customHeight="1" x14ac:dyDescent="0.35">
      <c r="T36232" s="246">
        <f t="shared" si="604"/>
        <v>0</v>
      </c>
    </row>
    <row r="36233" spans="20:20" ht="18.75" customHeight="1" x14ac:dyDescent="0.35">
      <c r="T36233" s="246">
        <f t="shared" si="604"/>
        <v>0</v>
      </c>
    </row>
    <row r="36234" spans="20:20" ht="18.75" customHeight="1" x14ac:dyDescent="0.35">
      <c r="T36234" s="246">
        <f t="shared" si="604"/>
        <v>0</v>
      </c>
    </row>
    <row r="36235" spans="20:20" ht="18.75" customHeight="1" x14ac:dyDescent="0.35">
      <c r="T36235" s="246">
        <f t="shared" si="604"/>
        <v>0</v>
      </c>
    </row>
    <row r="36236" spans="20:20" ht="18.75" customHeight="1" x14ac:dyDescent="0.35">
      <c r="T36236" s="246">
        <f t="shared" si="604"/>
        <v>0</v>
      </c>
    </row>
    <row r="36237" spans="20:20" ht="18.75" customHeight="1" x14ac:dyDescent="0.35">
      <c r="T36237" s="246">
        <f t="shared" si="604"/>
        <v>0</v>
      </c>
    </row>
    <row r="36238" spans="20:20" ht="18.75" customHeight="1" x14ac:dyDescent="0.35">
      <c r="T36238" s="246">
        <f t="shared" si="604"/>
        <v>0</v>
      </c>
    </row>
    <row r="36239" spans="20:20" ht="18.75" customHeight="1" x14ac:dyDescent="0.35">
      <c r="T36239" s="246">
        <f t="shared" si="604"/>
        <v>0</v>
      </c>
    </row>
    <row r="36240" spans="20:20" ht="18.75" customHeight="1" x14ac:dyDescent="0.35">
      <c r="T36240" s="246">
        <f t="shared" si="604"/>
        <v>0</v>
      </c>
    </row>
    <row r="36241" spans="20:20" ht="18.75" customHeight="1" x14ac:dyDescent="0.35">
      <c r="T36241" s="246">
        <f t="shared" si="604"/>
        <v>0</v>
      </c>
    </row>
    <row r="36242" spans="20:20" ht="18.75" customHeight="1" x14ac:dyDescent="0.35">
      <c r="T36242" s="246">
        <f t="shared" si="604"/>
        <v>0</v>
      </c>
    </row>
    <row r="36243" spans="20:20" ht="18.75" customHeight="1" x14ac:dyDescent="0.35">
      <c r="T36243" s="246">
        <f t="shared" si="604"/>
        <v>0</v>
      </c>
    </row>
    <row r="36244" spans="20:20" ht="18.75" customHeight="1" x14ac:dyDescent="0.35">
      <c r="T36244" s="246">
        <f t="shared" si="604"/>
        <v>0</v>
      </c>
    </row>
    <row r="36245" spans="20:20" ht="18.75" customHeight="1" x14ac:dyDescent="0.35">
      <c r="T36245" s="246">
        <f t="shared" si="604"/>
        <v>0</v>
      </c>
    </row>
    <row r="36246" spans="20:20" ht="18.75" customHeight="1" x14ac:dyDescent="0.35">
      <c r="T36246" s="246">
        <f t="shared" si="604"/>
        <v>0</v>
      </c>
    </row>
    <row r="36247" spans="20:20" ht="18.75" customHeight="1" x14ac:dyDescent="0.35">
      <c r="T36247" s="246">
        <f t="shared" si="604"/>
        <v>0</v>
      </c>
    </row>
    <row r="36248" spans="20:20" ht="18.75" customHeight="1" x14ac:dyDescent="0.35">
      <c r="T36248" s="246">
        <f t="shared" si="604"/>
        <v>0</v>
      </c>
    </row>
    <row r="36249" spans="20:20" ht="18.75" customHeight="1" x14ac:dyDescent="0.35">
      <c r="T36249" s="246">
        <f t="shared" si="604"/>
        <v>0</v>
      </c>
    </row>
    <row r="36250" spans="20:20" ht="18.75" customHeight="1" x14ac:dyDescent="0.35">
      <c r="T36250" s="246">
        <f t="shared" si="604"/>
        <v>0</v>
      </c>
    </row>
    <row r="36251" spans="20:20" ht="18.75" customHeight="1" x14ac:dyDescent="0.35">
      <c r="T36251" s="246">
        <f t="shared" si="604"/>
        <v>0</v>
      </c>
    </row>
    <row r="36252" spans="20:20" ht="18.75" customHeight="1" x14ac:dyDescent="0.35">
      <c r="T36252" s="246">
        <f t="shared" si="604"/>
        <v>0</v>
      </c>
    </row>
    <row r="36253" spans="20:20" ht="18.75" customHeight="1" x14ac:dyDescent="0.35">
      <c r="T36253" s="246">
        <f t="shared" si="604"/>
        <v>0</v>
      </c>
    </row>
    <row r="36254" spans="20:20" ht="18.75" customHeight="1" x14ac:dyDescent="0.35">
      <c r="T36254" s="246">
        <f t="shared" si="604"/>
        <v>0</v>
      </c>
    </row>
    <row r="36255" spans="20:20" ht="18.75" customHeight="1" x14ac:dyDescent="0.35">
      <c r="T36255" s="246">
        <f t="shared" si="604"/>
        <v>0</v>
      </c>
    </row>
    <row r="36256" spans="20:20" ht="18.75" customHeight="1" x14ac:dyDescent="0.35">
      <c r="T36256" s="246">
        <f t="shared" si="604"/>
        <v>0</v>
      </c>
    </row>
    <row r="36257" spans="20:20" ht="18.75" customHeight="1" x14ac:dyDescent="0.35">
      <c r="T36257" s="246">
        <f t="shared" si="604"/>
        <v>0</v>
      </c>
    </row>
    <row r="36258" spans="20:20" ht="18.75" customHeight="1" x14ac:dyDescent="0.35">
      <c r="T36258" s="246">
        <f t="shared" si="604"/>
        <v>0</v>
      </c>
    </row>
    <row r="36259" spans="20:20" ht="18.75" customHeight="1" x14ac:dyDescent="0.35">
      <c r="T36259" s="246">
        <f t="shared" si="604"/>
        <v>0</v>
      </c>
    </row>
    <row r="36260" spans="20:20" ht="18.75" customHeight="1" x14ac:dyDescent="0.35">
      <c r="T36260" s="246">
        <f t="shared" si="604"/>
        <v>0</v>
      </c>
    </row>
    <row r="36261" spans="20:20" ht="18.75" customHeight="1" x14ac:dyDescent="0.35">
      <c r="T36261" s="246">
        <f t="shared" si="604"/>
        <v>0</v>
      </c>
    </row>
    <row r="36262" spans="20:20" ht="18.75" customHeight="1" x14ac:dyDescent="0.35">
      <c r="T36262" s="246">
        <f t="shared" si="604"/>
        <v>0</v>
      </c>
    </row>
    <row r="36263" spans="20:20" ht="18.75" customHeight="1" x14ac:dyDescent="0.35">
      <c r="T36263" s="246">
        <f t="shared" si="604"/>
        <v>0</v>
      </c>
    </row>
    <row r="36264" spans="20:20" ht="18.75" customHeight="1" x14ac:dyDescent="0.35">
      <c r="T36264" s="246">
        <f t="shared" si="604"/>
        <v>0</v>
      </c>
    </row>
    <row r="36265" spans="20:20" ht="18.75" customHeight="1" x14ac:dyDescent="0.35">
      <c r="T36265" s="246">
        <f t="shared" si="604"/>
        <v>0</v>
      </c>
    </row>
    <row r="36266" spans="20:20" ht="18.75" customHeight="1" x14ac:dyDescent="0.35">
      <c r="T36266" s="246">
        <f t="shared" si="604"/>
        <v>0</v>
      </c>
    </row>
    <row r="36267" spans="20:20" ht="18.75" customHeight="1" x14ac:dyDescent="0.35">
      <c r="T36267" s="246">
        <f t="shared" si="604"/>
        <v>0</v>
      </c>
    </row>
    <row r="36268" spans="20:20" ht="18.75" customHeight="1" x14ac:dyDescent="0.35">
      <c r="T36268" s="246">
        <f t="shared" si="604"/>
        <v>0</v>
      </c>
    </row>
    <row r="36269" spans="20:20" ht="18.75" customHeight="1" x14ac:dyDescent="0.35">
      <c r="T36269" s="246">
        <f t="shared" si="604"/>
        <v>0</v>
      </c>
    </row>
    <row r="36270" spans="20:20" ht="18.75" customHeight="1" x14ac:dyDescent="0.35">
      <c r="T36270" s="246">
        <f t="shared" si="604"/>
        <v>0</v>
      </c>
    </row>
    <row r="36271" spans="20:20" ht="18.75" customHeight="1" x14ac:dyDescent="0.35">
      <c r="T36271" s="246">
        <f t="shared" si="604"/>
        <v>0</v>
      </c>
    </row>
    <row r="36272" spans="20:20" ht="18.75" customHeight="1" x14ac:dyDescent="0.35">
      <c r="T36272" s="246">
        <f t="shared" si="604"/>
        <v>0</v>
      </c>
    </row>
    <row r="36273" spans="20:20" ht="18.75" customHeight="1" x14ac:dyDescent="0.35">
      <c r="T36273" s="246">
        <f t="shared" si="604"/>
        <v>0</v>
      </c>
    </row>
    <row r="36274" spans="20:20" ht="18.75" customHeight="1" x14ac:dyDescent="0.35">
      <c r="T36274" s="246">
        <f t="shared" si="604"/>
        <v>0</v>
      </c>
    </row>
    <row r="36275" spans="20:20" ht="18.75" customHeight="1" x14ac:dyDescent="0.35">
      <c r="T36275" s="246">
        <f t="shared" si="604"/>
        <v>0</v>
      </c>
    </row>
    <row r="36276" spans="20:20" ht="18.75" customHeight="1" x14ac:dyDescent="0.35">
      <c r="T36276" s="246">
        <f t="shared" si="604"/>
        <v>0</v>
      </c>
    </row>
    <row r="36277" spans="20:20" ht="18.75" customHeight="1" x14ac:dyDescent="0.35">
      <c r="T36277" s="246">
        <f t="shared" si="604"/>
        <v>0</v>
      </c>
    </row>
    <row r="36278" spans="20:20" ht="18.75" customHeight="1" x14ac:dyDescent="0.35">
      <c r="T36278" s="246">
        <f t="shared" si="604"/>
        <v>0</v>
      </c>
    </row>
    <row r="36279" spans="20:20" ht="18.75" customHeight="1" x14ac:dyDescent="0.35">
      <c r="T36279" s="246">
        <f t="shared" si="604"/>
        <v>0</v>
      </c>
    </row>
    <row r="36280" spans="20:20" ht="18.75" customHeight="1" x14ac:dyDescent="0.35">
      <c r="T36280" s="246">
        <f t="shared" si="604"/>
        <v>0</v>
      </c>
    </row>
    <row r="36281" spans="20:20" ht="18.75" customHeight="1" x14ac:dyDescent="0.35">
      <c r="T36281" s="246">
        <f t="shared" si="604"/>
        <v>0</v>
      </c>
    </row>
    <row r="36282" spans="20:20" ht="18.75" customHeight="1" x14ac:dyDescent="0.35">
      <c r="T36282" s="246">
        <f t="shared" si="604"/>
        <v>0</v>
      </c>
    </row>
    <row r="36283" spans="20:20" ht="18.75" customHeight="1" x14ac:dyDescent="0.35">
      <c r="T36283" s="246">
        <f t="shared" si="604"/>
        <v>0</v>
      </c>
    </row>
    <row r="36284" spans="20:20" ht="18.75" customHeight="1" x14ac:dyDescent="0.35">
      <c r="T36284" s="246">
        <f t="shared" ref="T36284:T36347" si="605">R36284*0.01</f>
        <v>0</v>
      </c>
    </row>
    <row r="36285" spans="20:20" ht="18.75" customHeight="1" x14ac:dyDescent="0.35">
      <c r="T36285" s="246">
        <f t="shared" si="605"/>
        <v>0</v>
      </c>
    </row>
    <row r="36286" spans="20:20" ht="18.75" customHeight="1" x14ac:dyDescent="0.35">
      <c r="T36286" s="246">
        <f t="shared" si="605"/>
        <v>0</v>
      </c>
    </row>
    <row r="36287" spans="20:20" ht="18.75" customHeight="1" x14ac:dyDescent="0.35">
      <c r="T36287" s="246">
        <f t="shared" si="605"/>
        <v>0</v>
      </c>
    </row>
    <row r="36288" spans="20:20" ht="18.75" customHeight="1" x14ac:dyDescent="0.35">
      <c r="T36288" s="246">
        <f t="shared" si="605"/>
        <v>0</v>
      </c>
    </row>
    <row r="36289" spans="20:20" ht="18.75" customHeight="1" x14ac:dyDescent="0.35">
      <c r="T36289" s="246">
        <f t="shared" si="605"/>
        <v>0</v>
      </c>
    </row>
    <row r="36290" spans="20:20" ht="18.75" customHeight="1" x14ac:dyDescent="0.35">
      <c r="T36290" s="246">
        <f t="shared" si="605"/>
        <v>0</v>
      </c>
    </row>
    <row r="36291" spans="20:20" ht="18.75" customHeight="1" x14ac:dyDescent="0.35">
      <c r="T36291" s="246">
        <f t="shared" si="605"/>
        <v>0</v>
      </c>
    </row>
    <row r="36292" spans="20:20" ht="18.75" customHeight="1" x14ac:dyDescent="0.35">
      <c r="T36292" s="246">
        <f t="shared" si="605"/>
        <v>0</v>
      </c>
    </row>
    <row r="36293" spans="20:20" ht="18.75" customHeight="1" x14ac:dyDescent="0.35">
      <c r="T36293" s="246">
        <f t="shared" si="605"/>
        <v>0</v>
      </c>
    </row>
    <row r="36294" spans="20:20" ht="18.75" customHeight="1" x14ac:dyDescent="0.35">
      <c r="T36294" s="246">
        <f t="shared" si="605"/>
        <v>0</v>
      </c>
    </row>
    <row r="36295" spans="20:20" ht="18.75" customHeight="1" x14ac:dyDescent="0.35">
      <c r="T36295" s="246">
        <f t="shared" si="605"/>
        <v>0</v>
      </c>
    </row>
    <row r="36296" spans="20:20" ht="18.75" customHeight="1" x14ac:dyDescent="0.35">
      <c r="T36296" s="246">
        <f t="shared" si="605"/>
        <v>0</v>
      </c>
    </row>
    <row r="36297" spans="20:20" ht="18.75" customHeight="1" x14ac:dyDescent="0.35">
      <c r="T36297" s="246">
        <f t="shared" si="605"/>
        <v>0</v>
      </c>
    </row>
    <row r="36298" spans="20:20" ht="18.75" customHeight="1" x14ac:dyDescent="0.35">
      <c r="T36298" s="246">
        <f t="shared" si="605"/>
        <v>0</v>
      </c>
    </row>
    <row r="36299" spans="20:20" ht="18.75" customHeight="1" x14ac:dyDescent="0.35">
      <c r="T36299" s="246">
        <f t="shared" si="605"/>
        <v>0</v>
      </c>
    </row>
    <row r="36300" spans="20:20" ht="18.75" customHeight="1" x14ac:dyDescent="0.35">
      <c r="T36300" s="246">
        <f t="shared" si="605"/>
        <v>0</v>
      </c>
    </row>
    <row r="36301" spans="20:20" ht="18.75" customHeight="1" x14ac:dyDescent="0.35">
      <c r="T36301" s="246">
        <f t="shared" si="605"/>
        <v>0</v>
      </c>
    </row>
    <row r="36302" spans="20:20" ht="18.75" customHeight="1" x14ac:dyDescent="0.35">
      <c r="T36302" s="246">
        <f t="shared" si="605"/>
        <v>0</v>
      </c>
    </row>
    <row r="36303" spans="20:20" ht="18.75" customHeight="1" x14ac:dyDescent="0.35">
      <c r="T36303" s="246">
        <f t="shared" si="605"/>
        <v>0</v>
      </c>
    </row>
    <row r="36304" spans="20:20" ht="18.75" customHeight="1" x14ac:dyDescent="0.35">
      <c r="T36304" s="246">
        <f t="shared" si="605"/>
        <v>0</v>
      </c>
    </row>
    <row r="36305" spans="20:20" ht="18.75" customHeight="1" x14ac:dyDescent="0.35">
      <c r="T36305" s="246">
        <f t="shared" si="605"/>
        <v>0</v>
      </c>
    </row>
    <row r="36306" spans="20:20" ht="18.75" customHeight="1" x14ac:dyDescent="0.35">
      <c r="T36306" s="246">
        <f t="shared" si="605"/>
        <v>0</v>
      </c>
    </row>
    <row r="36307" spans="20:20" ht="18.75" customHeight="1" x14ac:dyDescent="0.35">
      <c r="T36307" s="246">
        <f t="shared" si="605"/>
        <v>0</v>
      </c>
    </row>
    <row r="36308" spans="20:20" ht="18.75" customHeight="1" x14ac:dyDescent="0.35">
      <c r="T36308" s="246">
        <f t="shared" si="605"/>
        <v>0</v>
      </c>
    </row>
    <row r="36309" spans="20:20" ht="18.75" customHeight="1" x14ac:dyDescent="0.35">
      <c r="T36309" s="246">
        <f t="shared" si="605"/>
        <v>0</v>
      </c>
    </row>
    <row r="36310" spans="20:20" ht="18.75" customHeight="1" x14ac:dyDescent="0.35">
      <c r="T36310" s="246">
        <f t="shared" si="605"/>
        <v>0</v>
      </c>
    </row>
    <row r="36311" spans="20:20" ht="18.75" customHeight="1" x14ac:dyDescent="0.35">
      <c r="T36311" s="246">
        <f t="shared" si="605"/>
        <v>0</v>
      </c>
    </row>
    <row r="36312" spans="20:20" ht="18.75" customHeight="1" x14ac:dyDescent="0.35">
      <c r="T36312" s="246">
        <f t="shared" si="605"/>
        <v>0</v>
      </c>
    </row>
    <row r="36313" spans="20:20" ht="18.75" customHeight="1" x14ac:dyDescent="0.35">
      <c r="T36313" s="246">
        <f t="shared" si="605"/>
        <v>0</v>
      </c>
    </row>
    <row r="36314" spans="20:20" ht="18.75" customHeight="1" x14ac:dyDescent="0.35">
      <c r="T36314" s="246">
        <f t="shared" si="605"/>
        <v>0</v>
      </c>
    </row>
    <row r="36315" spans="20:20" ht="18.75" customHeight="1" x14ac:dyDescent="0.35">
      <c r="T36315" s="246">
        <f t="shared" si="605"/>
        <v>0</v>
      </c>
    </row>
    <row r="36316" spans="20:20" ht="18.75" customHeight="1" x14ac:dyDescent="0.35">
      <c r="T36316" s="246">
        <f t="shared" si="605"/>
        <v>0</v>
      </c>
    </row>
    <row r="36317" spans="20:20" ht="18.75" customHeight="1" x14ac:dyDescent="0.35">
      <c r="T36317" s="246">
        <f t="shared" si="605"/>
        <v>0</v>
      </c>
    </row>
    <row r="36318" spans="20:20" ht="18.75" customHeight="1" x14ac:dyDescent="0.35">
      <c r="T36318" s="246">
        <f t="shared" si="605"/>
        <v>0</v>
      </c>
    </row>
    <row r="36319" spans="20:20" ht="18.75" customHeight="1" x14ac:dyDescent="0.35">
      <c r="T36319" s="246">
        <f t="shared" si="605"/>
        <v>0</v>
      </c>
    </row>
    <row r="36320" spans="20:20" ht="18.75" customHeight="1" x14ac:dyDescent="0.35">
      <c r="T36320" s="246">
        <f t="shared" si="605"/>
        <v>0</v>
      </c>
    </row>
    <row r="36321" spans="20:20" ht="18.75" customHeight="1" x14ac:dyDescent="0.35">
      <c r="T36321" s="246">
        <f t="shared" si="605"/>
        <v>0</v>
      </c>
    </row>
    <row r="36322" spans="20:20" ht="18.75" customHeight="1" x14ac:dyDescent="0.35">
      <c r="T36322" s="246">
        <f t="shared" si="605"/>
        <v>0</v>
      </c>
    </row>
    <row r="36323" spans="20:20" ht="18.75" customHeight="1" x14ac:dyDescent="0.35">
      <c r="T36323" s="246">
        <f t="shared" si="605"/>
        <v>0</v>
      </c>
    </row>
    <row r="36324" spans="20:20" ht="18.75" customHeight="1" x14ac:dyDescent="0.35">
      <c r="T36324" s="246">
        <f t="shared" si="605"/>
        <v>0</v>
      </c>
    </row>
    <row r="36325" spans="20:20" ht="18.75" customHeight="1" x14ac:dyDescent="0.35">
      <c r="T36325" s="246">
        <f t="shared" si="605"/>
        <v>0</v>
      </c>
    </row>
    <row r="36326" spans="20:20" ht="18.75" customHeight="1" x14ac:dyDescent="0.35">
      <c r="T36326" s="246">
        <f t="shared" si="605"/>
        <v>0</v>
      </c>
    </row>
    <row r="36327" spans="20:20" ht="18.75" customHeight="1" x14ac:dyDescent="0.35">
      <c r="T36327" s="246">
        <f t="shared" si="605"/>
        <v>0</v>
      </c>
    </row>
    <row r="36328" spans="20:20" ht="18.75" customHeight="1" x14ac:dyDescent="0.35">
      <c r="T36328" s="246">
        <f t="shared" si="605"/>
        <v>0</v>
      </c>
    </row>
    <row r="36329" spans="20:20" ht="18.75" customHeight="1" x14ac:dyDescent="0.35">
      <c r="T36329" s="246">
        <f t="shared" si="605"/>
        <v>0</v>
      </c>
    </row>
    <row r="36330" spans="20:20" ht="18.75" customHeight="1" x14ac:dyDescent="0.35">
      <c r="T36330" s="246">
        <f t="shared" si="605"/>
        <v>0</v>
      </c>
    </row>
    <row r="36331" spans="20:20" ht="18.75" customHeight="1" x14ac:dyDescent="0.35">
      <c r="T36331" s="246">
        <f t="shared" si="605"/>
        <v>0</v>
      </c>
    </row>
    <row r="36332" spans="20:20" ht="18.75" customHeight="1" x14ac:dyDescent="0.35">
      <c r="T36332" s="246">
        <f t="shared" si="605"/>
        <v>0</v>
      </c>
    </row>
    <row r="36333" spans="20:20" ht="18.75" customHeight="1" x14ac:dyDescent="0.35">
      <c r="T36333" s="246">
        <f t="shared" si="605"/>
        <v>0</v>
      </c>
    </row>
    <row r="36334" spans="20:20" ht="18.75" customHeight="1" x14ac:dyDescent="0.35">
      <c r="T36334" s="246">
        <f t="shared" si="605"/>
        <v>0</v>
      </c>
    </row>
    <row r="36335" spans="20:20" ht="18.75" customHeight="1" x14ac:dyDescent="0.35">
      <c r="T36335" s="246">
        <f t="shared" si="605"/>
        <v>0</v>
      </c>
    </row>
    <row r="36336" spans="20:20" ht="18.75" customHeight="1" x14ac:dyDescent="0.35">
      <c r="T36336" s="246">
        <f t="shared" si="605"/>
        <v>0</v>
      </c>
    </row>
    <row r="36337" spans="20:20" ht="18.75" customHeight="1" x14ac:dyDescent="0.35">
      <c r="T36337" s="246">
        <f t="shared" si="605"/>
        <v>0</v>
      </c>
    </row>
    <row r="36338" spans="20:20" ht="18.75" customHeight="1" x14ac:dyDescent="0.35">
      <c r="T36338" s="246">
        <f t="shared" si="605"/>
        <v>0</v>
      </c>
    </row>
    <row r="36339" spans="20:20" ht="18.75" customHeight="1" x14ac:dyDescent="0.35">
      <c r="T36339" s="246">
        <f t="shared" si="605"/>
        <v>0</v>
      </c>
    </row>
    <row r="36340" spans="20:20" ht="18.75" customHeight="1" x14ac:dyDescent="0.35">
      <c r="T36340" s="246">
        <f t="shared" si="605"/>
        <v>0</v>
      </c>
    </row>
    <row r="36341" spans="20:20" ht="18.75" customHeight="1" x14ac:dyDescent="0.35">
      <c r="T36341" s="246">
        <f t="shared" si="605"/>
        <v>0</v>
      </c>
    </row>
    <row r="36342" spans="20:20" ht="18.75" customHeight="1" x14ac:dyDescent="0.35">
      <c r="T36342" s="246">
        <f t="shared" si="605"/>
        <v>0</v>
      </c>
    </row>
    <row r="36343" spans="20:20" ht="18.75" customHeight="1" x14ac:dyDescent="0.35">
      <c r="T36343" s="246">
        <f t="shared" si="605"/>
        <v>0</v>
      </c>
    </row>
    <row r="36344" spans="20:20" ht="18.75" customHeight="1" x14ac:dyDescent="0.35">
      <c r="T36344" s="246">
        <f t="shared" si="605"/>
        <v>0</v>
      </c>
    </row>
    <row r="36345" spans="20:20" ht="18.75" customHeight="1" x14ac:dyDescent="0.35">
      <c r="T36345" s="246">
        <f t="shared" si="605"/>
        <v>0</v>
      </c>
    </row>
    <row r="36346" spans="20:20" ht="18.75" customHeight="1" x14ac:dyDescent="0.35">
      <c r="T36346" s="246">
        <f t="shared" si="605"/>
        <v>0</v>
      </c>
    </row>
    <row r="36347" spans="20:20" ht="18.75" customHeight="1" x14ac:dyDescent="0.35">
      <c r="T36347" s="246">
        <f t="shared" si="605"/>
        <v>0</v>
      </c>
    </row>
    <row r="36348" spans="20:20" ht="18.75" customHeight="1" x14ac:dyDescent="0.35">
      <c r="T36348" s="246">
        <f t="shared" ref="T36348:T36411" si="606">R36348*0.01</f>
        <v>0</v>
      </c>
    </row>
    <row r="36349" spans="20:20" ht="18.75" customHeight="1" x14ac:dyDescent="0.35">
      <c r="T36349" s="246">
        <f t="shared" si="606"/>
        <v>0</v>
      </c>
    </row>
    <row r="36350" spans="20:20" ht="18.75" customHeight="1" x14ac:dyDescent="0.35">
      <c r="T36350" s="246">
        <f t="shared" si="606"/>
        <v>0</v>
      </c>
    </row>
    <row r="36351" spans="20:20" ht="18.75" customHeight="1" x14ac:dyDescent="0.35">
      <c r="T36351" s="246">
        <f t="shared" si="606"/>
        <v>0</v>
      </c>
    </row>
    <row r="36352" spans="20:20" ht="18.75" customHeight="1" x14ac:dyDescent="0.35">
      <c r="T36352" s="246">
        <f t="shared" si="606"/>
        <v>0</v>
      </c>
    </row>
    <row r="36353" spans="20:20" ht="18.75" customHeight="1" x14ac:dyDescent="0.35">
      <c r="T36353" s="246">
        <f t="shared" si="606"/>
        <v>0</v>
      </c>
    </row>
    <row r="36354" spans="20:20" ht="18.75" customHeight="1" x14ac:dyDescent="0.35">
      <c r="T36354" s="246">
        <f t="shared" si="606"/>
        <v>0</v>
      </c>
    </row>
    <row r="36355" spans="20:20" ht="18.75" customHeight="1" x14ac:dyDescent="0.35">
      <c r="T36355" s="246">
        <f t="shared" si="606"/>
        <v>0</v>
      </c>
    </row>
    <row r="36356" spans="20:20" ht="18.75" customHeight="1" x14ac:dyDescent="0.35">
      <c r="T36356" s="246">
        <f t="shared" si="606"/>
        <v>0</v>
      </c>
    </row>
    <row r="36357" spans="20:20" ht="18.75" customHeight="1" x14ac:dyDescent="0.35">
      <c r="T36357" s="246">
        <f t="shared" si="606"/>
        <v>0</v>
      </c>
    </row>
    <row r="36358" spans="20:20" ht="18.75" customHeight="1" x14ac:dyDescent="0.35">
      <c r="T36358" s="246">
        <f t="shared" si="606"/>
        <v>0</v>
      </c>
    </row>
    <row r="36359" spans="20:20" ht="18.75" customHeight="1" x14ac:dyDescent="0.35">
      <c r="T36359" s="246">
        <f t="shared" si="606"/>
        <v>0</v>
      </c>
    </row>
    <row r="36360" spans="20:20" ht="18.75" customHeight="1" x14ac:dyDescent="0.35">
      <c r="T36360" s="246">
        <f t="shared" si="606"/>
        <v>0</v>
      </c>
    </row>
    <row r="36361" spans="20:20" ht="18.75" customHeight="1" x14ac:dyDescent="0.35">
      <c r="T36361" s="246">
        <f t="shared" si="606"/>
        <v>0</v>
      </c>
    </row>
    <row r="36362" spans="20:20" ht="18.75" customHeight="1" x14ac:dyDescent="0.35">
      <c r="T36362" s="246">
        <f t="shared" si="606"/>
        <v>0</v>
      </c>
    </row>
    <row r="36363" spans="20:20" ht="18.75" customHeight="1" x14ac:dyDescent="0.35">
      <c r="T36363" s="246">
        <f t="shared" si="606"/>
        <v>0</v>
      </c>
    </row>
    <row r="36364" spans="20:20" ht="18.75" customHeight="1" x14ac:dyDescent="0.35">
      <c r="T36364" s="246">
        <f t="shared" si="606"/>
        <v>0</v>
      </c>
    </row>
    <row r="36365" spans="20:20" ht="18.75" customHeight="1" x14ac:dyDescent="0.35">
      <c r="T36365" s="246">
        <f t="shared" si="606"/>
        <v>0</v>
      </c>
    </row>
    <row r="36366" spans="20:20" ht="18.75" customHeight="1" x14ac:dyDescent="0.35">
      <c r="T36366" s="246">
        <f t="shared" si="606"/>
        <v>0</v>
      </c>
    </row>
    <row r="36367" spans="20:20" ht="18.75" customHeight="1" x14ac:dyDescent="0.35">
      <c r="T36367" s="246">
        <f t="shared" si="606"/>
        <v>0</v>
      </c>
    </row>
    <row r="36368" spans="20:20" ht="18.75" customHeight="1" x14ac:dyDescent="0.35">
      <c r="T36368" s="246">
        <f t="shared" si="606"/>
        <v>0</v>
      </c>
    </row>
    <row r="36369" spans="20:20" ht="18.75" customHeight="1" x14ac:dyDescent="0.35">
      <c r="T36369" s="246">
        <f t="shared" si="606"/>
        <v>0</v>
      </c>
    </row>
    <row r="36370" spans="20:20" ht="18.75" customHeight="1" x14ac:dyDescent="0.35">
      <c r="T36370" s="246">
        <f t="shared" si="606"/>
        <v>0</v>
      </c>
    </row>
    <row r="36371" spans="20:20" ht="18.75" customHeight="1" x14ac:dyDescent="0.35">
      <c r="T36371" s="246">
        <f t="shared" si="606"/>
        <v>0</v>
      </c>
    </row>
    <row r="36372" spans="20:20" ht="18.75" customHeight="1" x14ac:dyDescent="0.35">
      <c r="T36372" s="246">
        <f t="shared" si="606"/>
        <v>0</v>
      </c>
    </row>
    <row r="36373" spans="20:20" ht="18.75" customHeight="1" x14ac:dyDescent="0.35">
      <c r="T36373" s="246">
        <f t="shared" si="606"/>
        <v>0</v>
      </c>
    </row>
    <row r="36374" spans="20:20" ht="18.75" customHeight="1" x14ac:dyDescent="0.35">
      <c r="T36374" s="246">
        <f t="shared" si="606"/>
        <v>0</v>
      </c>
    </row>
    <row r="36375" spans="20:20" ht="18.75" customHeight="1" x14ac:dyDescent="0.35">
      <c r="T36375" s="246">
        <f t="shared" si="606"/>
        <v>0</v>
      </c>
    </row>
    <row r="36376" spans="20:20" ht="18.75" customHeight="1" x14ac:dyDescent="0.35">
      <c r="T36376" s="246">
        <f t="shared" si="606"/>
        <v>0</v>
      </c>
    </row>
    <row r="36377" spans="20:20" ht="18.75" customHeight="1" x14ac:dyDescent="0.35">
      <c r="T36377" s="246">
        <f t="shared" si="606"/>
        <v>0</v>
      </c>
    </row>
    <row r="36378" spans="20:20" ht="18.75" customHeight="1" x14ac:dyDescent="0.35">
      <c r="T36378" s="246">
        <f t="shared" si="606"/>
        <v>0</v>
      </c>
    </row>
    <row r="36379" spans="20:20" ht="18.75" customHeight="1" x14ac:dyDescent="0.35">
      <c r="T36379" s="246">
        <f t="shared" si="606"/>
        <v>0</v>
      </c>
    </row>
    <row r="36380" spans="20:20" ht="18.75" customHeight="1" x14ac:dyDescent="0.35">
      <c r="T36380" s="246">
        <f t="shared" si="606"/>
        <v>0</v>
      </c>
    </row>
    <row r="36381" spans="20:20" ht="18.75" customHeight="1" x14ac:dyDescent="0.35">
      <c r="T36381" s="246">
        <f t="shared" si="606"/>
        <v>0</v>
      </c>
    </row>
    <row r="36382" spans="20:20" ht="18.75" customHeight="1" x14ac:dyDescent="0.35">
      <c r="T36382" s="246">
        <f t="shared" si="606"/>
        <v>0</v>
      </c>
    </row>
    <row r="36383" spans="20:20" ht="18.75" customHeight="1" x14ac:dyDescent="0.35">
      <c r="T36383" s="246">
        <f t="shared" si="606"/>
        <v>0</v>
      </c>
    </row>
    <row r="36384" spans="20:20" ht="18.75" customHeight="1" x14ac:dyDescent="0.35">
      <c r="T36384" s="246">
        <f t="shared" si="606"/>
        <v>0</v>
      </c>
    </row>
    <row r="36385" spans="20:20" ht="18.75" customHeight="1" x14ac:dyDescent="0.35">
      <c r="T36385" s="246">
        <f t="shared" si="606"/>
        <v>0</v>
      </c>
    </row>
    <row r="36386" spans="20:20" ht="18.75" customHeight="1" x14ac:dyDescent="0.35">
      <c r="T36386" s="246">
        <f t="shared" si="606"/>
        <v>0</v>
      </c>
    </row>
    <row r="36387" spans="20:20" ht="18.75" customHeight="1" x14ac:dyDescent="0.35">
      <c r="T36387" s="246">
        <f t="shared" si="606"/>
        <v>0</v>
      </c>
    </row>
    <row r="36388" spans="20:20" ht="18.75" customHeight="1" x14ac:dyDescent="0.35">
      <c r="T36388" s="246">
        <f t="shared" si="606"/>
        <v>0</v>
      </c>
    </row>
    <row r="36389" spans="20:20" ht="18.75" customHeight="1" x14ac:dyDescent="0.35">
      <c r="T36389" s="246">
        <f t="shared" si="606"/>
        <v>0</v>
      </c>
    </row>
    <row r="36390" spans="20:20" ht="18.75" customHeight="1" x14ac:dyDescent="0.35">
      <c r="T36390" s="246">
        <f t="shared" si="606"/>
        <v>0</v>
      </c>
    </row>
    <row r="36391" spans="20:20" ht="18.75" customHeight="1" x14ac:dyDescent="0.35">
      <c r="T36391" s="246">
        <f t="shared" si="606"/>
        <v>0</v>
      </c>
    </row>
    <row r="36392" spans="20:20" ht="18.75" customHeight="1" x14ac:dyDescent="0.35">
      <c r="T36392" s="246">
        <f t="shared" si="606"/>
        <v>0</v>
      </c>
    </row>
    <row r="36393" spans="20:20" ht="18.75" customHeight="1" x14ac:dyDescent="0.35">
      <c r="T36393" s="246">
        <f t="shared" si="606"/>
        <v>0</v>
      </c>
    </row>
    <row r="36394" spans="20:20" ht="18.75" customHeight="1" x14ac:dyDescent="0.35">
      <c r="T36394" s="246">
        <f t="shared" si="606"/>
        <v>0</v>
      </c>
    </row>
    <row r="36395" spans="20:20" ht="18.75" customHeight="1" x14ac:dyDescent="0.35">
      <c r="T36395" s="246">
        <f t="shared" si="606"/>
        <v>0</v>
      </c>
    </row>
    <row r="36396" spans="20:20" ht="18.75" customHeight="1" x14ac:dyDescent="0.35">
      <c r="T36396" s="246">
        <f t="shared" si="606"/>
        <v>0</v>
      </c>
    </row>
    <row r="36397" spans="20:20" ht="18.75" customHeight="1" x14ac:dyDescent="0.35">
      <c r="T36397" s="246">
        <f t="shared" si="606"/>
        <v>0</v>
      </c>
    </row>
    <row r="36398" spans="20:20" ht="18.75" customHeight="1" x14ac:dyDescent="0.35">
      <c r="T36398" s="246">
        <f t="shared" si="606"/>
        <v>0</v>
      </c>
    </row>
    <row r="36399" spans="20:20" ht="18.75" customHeight="1" x14ac:dyDescent="0.35">
      <c r="T36399" s="246">
        <f t="shared" si="606"/>
        <v>0</v>
      </c>
    </row>
    <row r="36400" spans="20:20" ht="18.75" customHeight="1" x14ac:dyDescent="0.35">
      <c r="T36400" s="246">
        <f t="shared" si="606"/>
        <v>0</v>
      </c>
    </row>
    <row r="36401" spans="20:20" ht="18.75" customHeight="1" x14ac:dyDescent="0.35">
      <c r="T36401" s="246">
        <f t="shared" si="606"/>
        <v>0</v>
      </c>
    </row>
    <row r="36402" spans="20:20" ht="18.75" customHeight="1" x14ac:dyDescent="0.35">
      <c r="T36402" s="246">
        <f t="shared" si="606"/>
        <v>0</v>
      </c>
    </row>
    <row r="36403" spans="20:20" ht="18.75" customHeight="1" x14ac:dyDescent="0.35">
      <c r="T36403" s="246">
        <f t="shared" si="606"/>
        <v>0</v>
      </c>
    </row>
    <row r="36404" spans="20:20" ht="18.75" customHeight="1" x14ac:dyDescent="0.35">
      <c r="T36404" s="246">
        <f t="shared" si="606"/>
        <v>0</v>
      </c>
    </row>
    <row r="36405" spans="20:20" ht="18.75" customHeight="1" x14ac:dyDescent="0.35">
      <c r="T36405" s="246">
        <f t="shared" si="606"/>
        <v>0</v>
      </c>
    </row>
    <row r="36406" spans="20:20" ht="18.75" customHeight="1" x14ac:dyDescent="0.35">
      <c r="T36406" s="246">
        <f t="shared" si="606"/>
        <v>0</v>
      </c>
    </row>
    <row r="36407" spans="20:20" ht="18.75" customHeight="1" x14ac:dyDescent="0.35">
      <c r="T36407" s="246">
        <f t="shared" si="606"/>
        <v>0</v>
      </c>
    </row>
    <row r="36408" spans="20:20" ht="18.75" customHeight="1" x14ac:dyDescent="0.35">
      <c r="T36408" s="246">
        <f t="shared" si="606"/>
        <v>0</v>
      </c>
    </row>
    <row r="36409" spans="20:20" ht="18.75" customHeight="1" x14ac:dyDescent="0.35">
      <c r="T36409" s="246">
        <f t="shared" si="606"/>
        <v>0</v>
      </c>
    </row>
    <row r="36410" spans="20:20" ht="18.75" customHeight="1" x14ac:dyDescent="0.35">
      <c r="T36410" s="246">
        <f t="shared" si="606"/>
        <v>0</v>
      </c>
    </row>
    <row r="36411" spans="20:20" ht="18.75" customHeight="1" x14ac:dyDescent="0.35">
      <c r="T36411" s="246">
        <f t="shared" si="606"/>
        <v>0</v>
      </c>
    </row>
    <row r="36412" spans="20:20" ht="18.75" customHeight="1" x14ac:dyDescent="0.35">
      <c r="T36412" s="246">
        <f t="shared" ref="T36412:T36475" si="607">R36412*0.01</f>
        <v>0</v>
      </c>
    </row>
    <row r="36413" spans="20:20" ht="18.75" customHeight="1" x14ac:dyDescent="0.35">
      <c r="T36413" s="246">
        <f t="shared" si="607"/>
        <v>0</v>
      </c>
    </row>
    <row r="36414" spans="20:20" ht="18.75" customHeight="1" x14ac:dyDescent="0.35">
      <c r="T36414" s="246">
        <f t="shared" si="607"/>
        <v>0</v>
      </c>
    </row>
    <row r="36415" spans="20:20" ht="18.75" customHeight="1" x14ac:dyDescent="0.35">
      <c r="T36415" s="246">
        <f t="shared" si="607"/>
        <v>0</v>
      </c>
    </row>
    <row r="36416" spans="20:20" ht="18.75" customHeight="1" x14ac:dyDescent="0.35">
      <c r="T36416" s="246">
        <f t="shared" si="607"/>
        <v>0</v>
      </c>
    </row>
    <row r="36417" spans="20:20" ht="18.75" customHeight="1" x14ac:dyDescent="0.35">
      <c r="T36417" s="246">
        <f t="shared" si="607"/>
        <v>0</v>
      </c>
    </row>
    <row r="36418" spans="20:20" ht="18.75" customHeight="1" x14ac:dyDescent="0.35">
      <c r="T36418" s="246">
        <f t="shared" si="607"/>
        <v>0</v>
      </c>
    </row>
    <row r="36419" spans="20:20" ht="18.75" customHeight="1" x14ac:dyDescent="0.35">
      <c r="T36419" s="246">
        <f t="shared" si="607"/>
        <v>0</v>
      </c>
    </row>
    <row r="36420" spans="20:20" ht="18.75" customHeight="1" x14ac:dyDescent="0.35">
      <c r="T36420" s="246">
        <f t="shared" si="607"/>
        <v>0</v>
      </c>
    </row>
    <row r="36421" spans="20:20" ht="18.75" customHeight="1" x14ac:dyDescent="0.35">
      <c r="T36421" s="246">
        <f t="shared" si="607"/>
        <v>0</v>
      </c>
    </row>
    <row r="36422" spans="20:20" ht="18.75" customHeight="1" x14ac:dyDescent="0.35">
      <c r="T36422" s="246">
        <f t="shared" si="607"/>
        <v>0</v>
      </c>
    </row>
    <row r="36423" spans="20:20" ht="18.75" customHeight="1" x14ac:dyDescent="0.35">
      <c r="T36423" s="246">
        <f t="shared" si="607"/>
        <v>0</v>
      </c>
    </row>
    <row r="36424" spans="20:20" ht="18.75" customHeight="1" x14ac:dyDescent="0.35">
      <c r="T36424" s="246">
        <f t="shared" si="607"/>
        <v>0</v>
      </c>
    </row>
    <row r="36425" spans="20:20" ht="18.75" customHeight="1" x14ac:dyDescent="0.35">
      <c r="T36425" s="246">
        <f t="shared" si="607"/>
        <v>0</v>
      </c>
    </row>
    <row r="36426" spans="20:20" ht="18.75" customHeight="1" x14ac:dyDescent="0.35">
      <c r="T36426" s="246">
        <f t="shared" si="607"/>
        <v>0</v>
      </c>
    </row>
    <row r="36427" spans="20:20" ht="18.75" customHeight="1" x14ac:dyDescent="0.35">
      <c r="T36427" s="246">
        <f t="shared" si="607"/>
        <v>0</v>
      </c>
    </row>
    <row r="36428" spans="20:20" ht="18.75" customHeight="1" x14ac:dyDescent="0.35">
      <c r="T36428" s="246">
        <f t="shared" si="607"/>
        <v>0</v>
      </c>
    </row>
    <row r="36429" spans="20:20" ht="18.75" customHeight="1" x14ac:dyDescent="0.35">
      <c r="T36429" s="246">
        <f t="shared" si="607"/>
        <v>0</v>
      </c>
    </row>
    <row r="36430" spans="20:20" ht="18.75" customHeight="1" x14ac:dyDescent="0.35">
      <c r="T36430" s="246">
        <f t="shared" si="607"/>
        <v>0</v>
      </c>
    </row>
    <row r="36431" spans="20:20" ht="18.75" customHeight="1" x14ac:dyDescent="0.35">
      <c r="T36431" s="246">
        <f t="shared" si="607"/>
        <v>0</v>
      </c>
    </row>
    <row r="36432" spans="20:20" ht="18.75" customHeight="1" x14ac:dyDescent="0.35">
      <c r="T36432" s="246">
        <f t="shared" si="607"/>
        <v>0</v>
      </c>
    </row>
    <row r="36433" spans="20:20" ht="18.75" customHeight="1" x14ac:dyDescent="0.35">
      <c r="T36433" s="246">
        <f t="shared" si="607"/>
        <v>0</v>
      </c>
    </row>
    <row r="36434" spans="20:20" ht="18.75" customHeight="1" x14ac:dyDescent="0.35">
      <c r="T36434" s="246">
        <f t="shared" si="607"/>
        <v>0</v>
      </c>
    </row>
    <row r="36435" spans="20:20" ht="18.75" customHeight="1" x14ac:dyDescent="0.35">
      <c r="T36435" s="246">
        <f t="shared" si="607"/>
        <v>0</v>
      </c>
    </row>
    <row r="36436" spans="20:20" ht="18.75" customHeight="1" x14ac:dyDescent="0.35">
      <c r="T36436" s="246">
        <f t="shared" si="607"/>
        <v>0</v>
      </c>
    </row>
    <row r="36437" spans="20:20" ht="18.75" customHeight="1" x14ac:dyDescent="0.35">
      <c r="T36437" s="246">
        <f t="shared" si="607"/>
        <v>0</v>
      </c>
    </row>
    <row r="36438" spans="20:20" ht="18.75" customHeight="1" x14ac:dyDescent="0.35">
      <c r="T36438" s="246">
        <f t="shared" si="607"/>
        <v>0</v>
      </c>
    </row>
    <row r="36439" spans="20:20" ht="18.75" customHeight="1" x14ac:dyDescent="0.35">
      <c r="T36439" s="246">
        <f t="shared" si="607"/>
        <v>0</v>
      </c>
    </row>
    <row r="36440" spans="20:20" ht="18.75" customHeight="1" x14ac:dyDescent="0.35">
      <c r="T36440" s="246">
        <f t="shared" si="607"/>
        <v>0</v>
      </c>
    </row>
    <row r="36441" spans="20:20" ht="18.75" customHeight="1" x14ac:dyDescent="0.35">
      <c r="T36441" s="246">
        <f t="shared" si="607"/>
        <v>0</v>
      </c>
    </row>
    <row r="36442" spans="20:20" ht="18.75" customHeight="1" x14ac:dyDescent="0.35">
      <c r="T36442" s="246">
        <f t="shared" si="607"/>
        <v>0</v>
      </c>
    </row>
    <row r="36443" spans="20:20" ht="18.75" customHeight="1" x14ac:dyDescent="0.35">
      <c r="T36443" s="246">
        <f t="shared" si="607"/>
        <v>0</v>
      </c>
    </row>
    <row r="36444" spans="20:20" ht="18.75" customHeight="1" x14ac:dyDescent="0.35">
      <c r="T36444" s="246">
        <f t="shared" si="607"/>
        <v>0</v>
      </c>
    </row>
    <row r="36445" spans="20:20" ht="18.75" customHeight="1" x14ac:dyDescent="0.35">
      <c r="T36445" s="246">
        <f t="shared" si="607"/>
        <v>0</v>
      </c>
    </row>
    <row r="36446" spans="20:20" ht="18.75" customHeight="1" x14ac:dyDescent="0.35">
      <c r="T36446" s="246">
        <f t="shared" si="607"/>
        <v>0</v>
      </c>
    </row>
    <row r="36447" spans="20:20" ht="18.75" customHeight="1" x14ac:dyDescent="0.35">
      <c r="T36447" s="246">
        <f t="shared" si="607"/>
        <v>0</v>
      </c>
    </row>
    <row r="36448" spans="20:20" ht="18.75" customHeight="1" x14ac:dyDescent="0.35">
      <c r="T36448" s="246">
        <f t="shared" si="607"/>
        <v>0</v>
      </c>
    </row>
    <row r="36449" spans="20:20" ht="18.75" customHeight="1" x14ac:dyDescent="0.35">
      <c r="T36449" s="246">
        <f t="shared" si="607"/>
        <v>0</v>
      </c>
    </row>
    <row r="36450" spans="20:20" ht="18.75" customHeight="1" x14ac:dyDescent="0.35">
      <c r="T36450" s="246">
        <f t="shared" si="607"/>
        <v>0</v>
      </c>
    </row>
    <row r="36451" spans="20:20" ht="18.75" customHeight="1" x14ac:dyDescent="0.35">
      <c r="T36451" s="246">
        <f t="shared" si="607"/>
        <v>0</v>
      </c>
    </row>
    <row r="36452" spans="20:20" ht="18.75" customHeight="1" x14ac:dyDescent="0.35">
      <c r="T36452" s="246">
        <f t="shared" si="607"/>
        <v>0</v>
      </c>
    </row>
    <row r="36453" spans="20:20" ht="18.75" customHeight="1" x14ac:dyDescent="0.35">
      <c r="T36453" s="246">
        <f t="shared" si="607"/>
        <v>0</v>
      </c>
    </row>
    <row r="36454" spans="20:20" ht="18.75" customHeight="1" x14ac:dyDescent="0.35">
      <c r="T36454" s="246">
        <f t="shared" si="607"/>
        <v>0</v>
      </c>
    </row>
    <row r="36455" spans="20:20" ht="18.75" customHeight="1" x14ac:dyDescent="0.35">
      <c r="T36455" s="246">
        <f t="shared" si="607"/>
        <v>0</v>
      </c>
    </row>
    <row r="36456" spans="20:20" ht="18.75" customHeight="1" x14ac:dyDescent="0.35">
      <c r="T36456" s="246">
        <f t="shared" si="607"/>
        <v>0</v>
      </c>
    </row>
    <row r="36457" spans="20:20" ht="18.75" customHeight="1" x14ac:dyDescent="0.35">
      <c r="T36457" s="246">
        <f t="shared" si="607"/>
        <v>0</v>
      </c>
    </row>
    <row r="36458" spans="20:20" ht="18.75" customHeight="1" x14ac:dyDescent="0.35">
      <c r="T36458" s="246">
        <f t="shared" si="607"/>
        <v>0</v>
      </c>
    </row>
    <row r="36459" spans="20:20" ht="18.75" customHeight="1" x14ac:dyDescent="0.35">
      <c r="T36459" s="246">
        <f t="shared" si="607"/>
        <v>0</v>
      </c>
    </row>
    <row r="36460" spans="20:20" ht="18.75" customHeight="1" x14ac:dyDescent="0.35">
      <c r="T36460" s="246">
        <f t="shared" si="607"/>
        <v>0</v>
      </c>
    </row>
    <row r="36461" spans="20:20" ht="18.75" customHeight="1" x14ac:dyDescent="0.35">
      <c r="T36461" s="246">
        <f t="shared" si="607"/>
        <v>0</v>
      </c>
    </row>
    <row r="36462" spans="20:20" ht="18.75" customHeight="1" x14ac:dyDescent="0.35">
      <c r="T36462" s="246">
        <f t="shared" si="607"/>
        <v>0</v>
      </c>
    </row>
    <row r="36463" spans="20:20" ht="18.75" customHeight="1" x14ac:dyDescent="0.35">
      <c r="T36463" s="246">
        <f t="shared" si="607"/>
        <v>0</v>
      </c>
    </row>
    <row r="36464" spans="20:20" ht="18.75" customHeight="1" x14ac:dyDescent="0.35">
      <c r="T36464" s="246">
        <f t="shared" si="607"/>
        <v>0</v>
      </c>
    </row>
    <row r="36465" spans="20:20" ht="18.75" customHeight="1" x14ac:dyDescent="0.35">
      <c r="T36465" s="246">
        <f t="shared" si="607"/>
        <v>0</v>
      </c>
    </row>
    <row r="36466" spans="20:20" ht="18.75" customHeight="1" x14ac:dyDescent="0.35">
      <c r="T36466" s="246">
        <f t="shared" si="607"/>
        <v>0</v>
      </c>
    </row>
    <row r="36467" spans="20:20" ht="18.75" customHeight="1" x14ac:dyDescent="0.35">
      <c r="T36467" s="246">
        <f t="shared" si="607"/>
        <v>0</v>
      </c>
    </row>
    <row r="36468" spans="20:20" ht="18.75" customHeight="1" x14ac:dyDescent="0.35">
      <c r="T36468" s="246">
        <f t="shared" si="607"/>
        <v>0</v>
      </c>
    </row>
    <row r="36469" spans="20:20" ht="18.75" customHeight="1" x14ac:dyDescent="0.35">
      <c r="T36469" s="246">
        <f t="shared" si="607"/>
        <v>0</v>
      </c>
    </row>
    <row r="36470" spans="20:20" ht="18.75" customHeight="1" x14ac:dyDescent="0.35">
      <c r="T36470" s="246">
        <f t="shared" si="607"/>
        <v>0</v>
      </c>
    </row>
    <row r="36471" spans="20:20" ht="18.75" customHeight="1" x14ac:dyDescent="0.35">
      <c r="T36471" s="246">
        <f t="shared" si="607"/>
        <v>0</v>
      </c>
    </row>
    <row r="36472" spans="20:20" ht="18.75" customHeight="1" x14ac:dyDescent="0.35">
      <c r="T36472" s="246">
        <f t="shared" si="607"/>
        <v>0</v>
      </c>
    </row>
    <row r="36473" spans="20:20" ht="18.75" customHeight="1" x14ac:dyDescent="0.35">
      <c r="T36473" s="246">
        <f t="shared" si="607"/>
        <v>0</v>
      </c>
    </row>
    <row r="36474" spans="20:20" ht="18.75" customHeight="1" x14ac:dyDescent="0.35">
      <c r="T36474" s="246">
        <f t="shared" si="607"/>
        <v>0</v>
      </c>
    </row>
    <row r="36475" spans="20:20" ht="18.75" customHeight="1" x14ac:dyDescent="0.35">
      <c r="T36475" s="246">
        <f t="shared" si="607"/>
        <v>0</v>
      </c>
    </row>
    <row r="36476" spans="20:20" ht="18.75" customHeight="1" x14ac:dyDescent="0.35">
      <c r="T36476" s="246">
        <f t="shared" ref="T36476:T36539" si="608">R36476*0.01</f>
        <v>0</v>
      </c>
    </row>
    <row r="36477" spans="20:20" ht="18.75" customHeight="1" x14ac:dyDescent="0.35">
      <c r="T36477" s="246">
        <f t="shared" si="608"/>
        <v>0</v>
      </c>
    </row>
    <row r="36478" spans="20:20" ht="18.75" customHeight="1" x14ac:dyDescent="0.35">
      <c r="T36478" s="246">
        <f t="shared" si="608"/>
        <v>0</v>
      </c>
    </row>
    <row r="36479" spans="20:20" ht="18.75" customHeight="1" x14ac:dyDescent="0.35">
      <c r="T36479" s="246">
        <f t="shared" si="608"/>
        <v>0</v>
      </c>
    </row>
    <row r="36480" spans="20:20" ht="18.75" customHeight="1" x14ac:dyDescent="0.35">
      <c r="T36480" s="246">
        <f t="shared" si="608"/>
        <v>0</v>
      </c>
    </row>
    <row r="36481" spans="20:20" ht="18.75" customHeight="1" x14ac:dyDescent="0.35">
      <c r="T36481" s="246">
        <f t="shared" si="608"/>
        <v>0</v>
      </c>
    </row>
    <row r="36482" spans="20:20" ht="18.75" customHeight="1" x14ac:dyDescent="0.35">
      <c r="T36482" s="246">
        <f t="shared" si="608"/>
        <v>0</v>
      </c>
    </row>
    <row r="36483" spans="20:20" ht="18.75" customHeight="1" x14ac:dyDescent="0.35">
      <c r="T36483" s="246">
        <f t="shared" si="608"/>
        <v>0</v>
      </c>
    </row>
    <row r="36484" spans="20:20" ht="18.75" customHeight="1" x14ac:dyDescent="0.35">
      <c r="T36484" s="246">
        <f t="shared" si="608"/>
        <v>0</v>
      </c>
    </row>
    <row r="36485" spans="20:20" ht="18.75" customHeight="1" x14ac:dyDescent="0.35">
      <c r="T36485" s="246">
        <f t="shared" si="608"/>
        <v>0</v>
      </c>
    </row>
    <row r="36486" spans="20:20" ht="18.75" customHeight="1" x14ac:dyDescent="0.35">
      <c r="T36486" s="246">
        <f t="shared" si="608"/>
        <v>0</v>
      </c>
    </row>
    <row r="36487" spans="20:20" ht="18.75" customHeight="1" x14ac:dyDescent="0.35">
      <c r="T36487" s="246">
        <f t="shared" si="608"/>
        <v>0</v>
      </c>
    </row>
    <row r="36488" spans="20:20" ht="18.75" customHeight="1" x14ac:dyDescent="0.35">
      <c r="T36488" s="246">
        <f t="shared" si="608"/>
        <v>0</v>
      </c>
    </row>
    <row r="36489" spans="20:20" ht="18.75" customHeight="1" x14ac:dyDescent="0.35">
      <c r="T36489" s="246">
        <f t="shared" si="608"/>
        <v>0</v>
      </c>
    </row>
    <row r="36490" spans="20:20" ht="18.75" customHeight="1" x14ac:dyDescent="0.35">
      <c r="T36490" s="246">
        <f t="shared" si="608"/>
        <v>0</v>
      </c>
    </row>
    <row r="36491" spans="20:20" ht="18.75" customHeight="1" x14ac:dyDescent="0.35">
      <c r="T36491" s="246">
        <f t="shared" si="608"/>
        <v>0</v>
      </c>
    </row>
    <row r="36492" spans="20:20" ht="18.75" customHeight="1" x14ac:dyDescent="0.35">
      <c r="T36492" s="246">
        <f t="shared" si="608"/>
        <v>0</v>
      </c>
    </row>
    <row r="36493" spans="20:20" ht="18.75" customHeight="1" x14ac:dyDescent="0.35">
      <c r="T36493" s="246">
        <f t="shared" si="608"/>
        <v>0</v>
      </c>
    </row>
    <row r="36494" spans="20:20" ht="18.75" customHeight="1" x14ac:dyDescent="0.35">
      <c r="T36494" s="246">
        <f t="shared" si="608"/>
        <v>0</v>
      </c>
    </row>
    <row r="36495" spans="20:20" ht="18.75" customHeight="1" x14ac:dyDescent="0.35">
      <c r="T36495" s="246">
        <f t="shared" si="608"/>
        <v>0</v>
      </c>
    </row>
    <row r="36496" spans="20:20" ht="18.75" customHeight="1" x14ac:dyDescent="0.35">
      <c r="T36496" s="246">
        <f t="shared" si="608"/>
        <v>0</v>
      </c>
    </row>
    <row r="36497" spans="20:20" ht="18.75" customHeight="1" x14ac:dyDescent="0.35">
      <c r="T36497" s="246">
        <f t="shared" si="608"/>
        <v>0</v>
      </c>
    </row>
    <row r="36498" spans="20:20" ht="18.75" customHeight="1" x14ac:dyDescent="0.35">
      <c r="T36498" s="246">
        <f t="shared" si="608"/>
        <v>0</v>
      </c>
    </row>
    <row r="36499" spans="20:20" ht="18.75" customHeight="1" x14ac:dyDescent="0.35">
      <c r="T36499" s="246">
        <f t="shared" si="608"/>
        <v>0</v>
      </c>
    </row>
    <row r="36500" spans="20:20" ht="18.75" customHeight="1" x14ac:dyDescent="0.35">
      <c r="T36500" s="246">
        <f t="shared" si="608"/>
        <v>0</v>
      </c>
    </row>
    <row r="36501" spans="20:20" ht="18.75" customHeight="1" x14ac:dyDescent="0.35">
      <c r="T36501" s="246">
        <f t="shared" si="608"/>
        <v>0</v>
      </c>
    </row>
    <row r="36502" spans="20:20" ht="18.75" customHeight="1" x14ac:dyDescent="0.35">
      <c r="T36502" s="246">
        <f t="shared" si="608"/>
        <v>0</v>
      </c>
    </row>
    <row r="36503" spans="20:20" ht="18.75" customHeight="1" x14ac:dyDescent="0.35">
      <c r="T36503" s="246">
        <f t="shared" si="608"/>
        <v>0</v>
      </c>
    </row>
    <row r="36504" spans="20:20" ht="18.75" customHeight="1" x14ac:dyDescent="0.35">
      <c r="T36504" s="246">
        <f t="shared" si="608"/>
        <v>0</v>
      </c>
    </row>
    <row r="36505" spans="20:20" ht="18.75" customHeight="1" x14ac:dyDescent="0.35">
      <c r="T36505" s="246">
        <f t="shared" si="608"/>
        <v>0</v>
      </c>
    </row>
    <row r="36506" spans="20:20" ht="18.75" customHeight="1" x14ac:dyDescent="0.35">
      <c r="T36506" s="246">
        <f t="shared" si="608"/>
        <v>0</v>
      </c>
    </row>
    <row r="36507" spans="20:20" ht="18.75" customHeight="1" x14ac:dyDescent="0.35">
      <c r="T36507" s="246">
        <f t="shared" si="608"/>
        <v>0</v>
      </c>
    </row>
    <row r="36508" spans="20:20" ht="18.75" customHeight="1" x14ac:dyDescent="0.35">
      <c r="T36508" s="246">
        <f t="shared" si="608"/>
        <v>0</v>
      </c>
    </row>
    <row r="36509" spans="20:20" ht="18.75" customHeight="1" x14ac:dyDescent="0.35">
      <c r="T36509" s="246">
        <f t="shared" si="608"/>
        <v>0</v>
      </c>
    </row>
    <row r="36510" spans="20:20" ht="18.75" customHeight="1" x14ac:dyDescent="0.35">
      <c r="T36510" s="246">
        <f t="shared" si="608"/>
        <v>0</v>
      </c>
    </row>
    <row r="36511" spans="20:20" ht="18.75" customHeight="1" x14ac:dyDescent="0.35">
      <c r="T36511" s="246">
        <f t="shared" si="608"/>
        <v>0</v>
      </c>
    </row>
    <row r="36512" spans="20:20" ht="18.75" customHeight="1" x14ac:dyDescent="0.35">
      <c r="T36512" s="246">
        <f t="shared" si="608"/>
        <v>0</v>
      </c>
    </row>
    <row r="36513" spans="20:20" ht="18.75" customHeight="1" x14ac:dyDescent="0.35">
      <c r="T36513" s="246">
        <f t="shared" si="608"/>
        <v>0</v>
      </c>
    </row>
    <row r="36514" spans="20:20" ht="18.75" customHeight="1" x14ac:dyDescent="0.35">
      <c r="T36514" s="246">
        <f t="shared" si="608"/>
        <v>0</v>
      </c>
    </row>
    <row r="36515" spans="20:20" ht="18.75" customHeight="1" x14ac:dyDescent="0.35">
      <c r="T36515" s="246">
        <f t="shared" si="608"/>
        <v>0</v>
      </c>
    </row>
    <row r="36516" spans="20:20" ht="18.75" customHeight="1" x14ac:dyDescent="0.35">
      <c r="T36516" s="246">
        <f t="shared" si="608"/>
        <v>0</v>
      </c>
    </row>
    <row r="36517" spans="20:20" ht="18.75" customHeight="1" x14ac:dyDescent="0.35">
      <c r="T36517" s="246">
        <f t="shared" si="608"/>
        <v>0</v>
      </c>
    </row>
    <row r="36518" spans="20:20" ht="18.75" customHeight="1" x14ac:dyDescent="0.35">
      <c r="T36518" s="246">
        <f t="shared" si="608"/>
        <v>0</v>
      </c>
    </row>
    <row r="36519" spans="20:20" ht="18.75" customHeight="1" x14ac:dyDescent="0.35">
      <c r="T36519" s="246">
        <f t="shared" si="608"/>
        <v>0</v>
      </c>
    </row>
    <row r="36520" spans="20:20" ht="18.75" customHeight="1" x14ac:dyDescent="0.35">
      <c r="T36520" s="246">
        <f t="shared" si="608"/>
        <v>0</v>
      </c>
    </row>
    <row r="36521" spans="20:20" ht="18.75" customHeight="1" x14ac:dyDescent="0.35">
      <c r="T36521" s="246">
        <f t="shared" si="608"/>
        <v>0</v>
      </c>
    </row>
    <row r="36522" spans="20:20" ht="18.75" customHeight="1" x14ac:dyDescent="0.35">
      <c r="T36522" s="246">
        <f t="shared" si="608"/>
        <v>0</v>
      </c>
    </row>
    <row r="36523" spans="20:20" ht="18.75" customHeight="1" x14ac:dyDescent="0.35">
      <c r="T36523" s="246">
        <f t="shared" si="608"/>
        <v>0</v>
      </c>
    </row>
    <row r="36524" spans="20:20" ht="18.75" customHeight="1" x14ac:dyDescent="0.35">
      <c r="T36524" s="246">
        <f t="shared" si="608"/>
        <v>0</v>
      </c>
    </row>
    <row r="36525" spans="20:20" ht="18.75" customHeight="1" x14ac:dyDescent="0.35">
      <c r="T36525" s="246">
        <f t="shared" si="608"/>
        <v>0</v>
      </c>
    </row>
    <row r="36526" spans="20:20" ht="18.75" customHeight="1" x14ac:dyDescent="0.35">
      <c r="T36526" s="246">
        <f t="shared" si="608"/>
        <v>0</v>
      </c>
    </row>
    <row r="36527" spans="20:20" ht="18.75" customHeight="1" x14ac:dyDescent="0.35">
      <c r="T36527" s="246">
        <f t="shared" si="608"/>
        <v>0</v>
      </c>
    </row>
    <row r="36528" spans="20:20" ht="18.75" customHeight="1" x14ac:dyDescent="0.35">
      <c r="T36528" s="246">
        <f t="shared" si="608"/>
        <v>0</v>
      </c>
    </row>
    <row r="36529" spans="20:20" ht="18.75" customHeight="1" x14ac:dyDescent="0.35">
      <c r="T36529" s="246">
        <f t="shared" si="608"/>
        <v>0</v>
      </c>
    </row>
    <row r="36530" spans="20:20" ht="18.75" customHeight="1" x14ac:dyDescent="0.35">
      <c r="T36530" s="246">
        <f t="shared" si="608"/>
        <v>0</v>
      </c>
    </row>
    <row r="36531" spans="20:20" ht="18.75" customHeight="1" x14ac:dyDescent="0.35">
      <c r="T36531" s="246">
        <f t="shared" si="608"/>
        <v>0</v>
      </c>
    </row>
    <row r="36532" spans="20:20" ht="18.75" customHeight="1" x14ac:dyDescent="0.35">
      <c r="T36532" s="246">
        <f t="shared" si="608"/>
        <v>0</v>
      </c>
    </row>
    <row r="36533" spans="20:20" ht="18.75" customHeight="1" x14ac:dyDescent="0.35">
      <c r="T36533" s="246">
        <f t="shared" si="608"/>
        <v>0</v>
      </c>
    </row>
    <row r="36534" spans="20:20" ht="18.75" customHeight="1" x14ac:dyDescent="0.35">
      <c r="T36534" s="246">
        <f t="shared" si="608"/>
        <v>0</v>
      </c>
    </row>
    <row r="36535" spans="20:20" ht="18.75" customHeight="1" x14ac:dyDescent="0.35">
      <c r="T36535" s="246">
        <f t="shared" si="608"/>
        <v>0</v>
      </c>
    </row>
    <row r="36536" spans="20:20" ht="18.75" customHeight="1" x14ac:dyDescent="0.35">
      <c r="T36536" s="246">
        <f t="shared" si="608"/>
        <v>0</v>
      </c>
    </row>
    <row r="36537" spans="20:20" ht="18.75" customHeight="1" x14ac:dyDescent="0.35">
      <c r="T36537" s="246">
        <f t="shared" si="608"/>
        <v>0</v>
      </c>
    </row>
    <row r="36538" spans="20:20" ht="18.75" customHeight="1" x14ac:dyDescent="0.35">
      <c r="T36538" s="246">
        <f t="shared" si="608"/>
        <v>0</v>
      </c>
    </row>
    <row r="36539" spans="20:20" ht="18.75" customHeight="1" x14ac:dyDescent="0.35">
      <c r="T36539" s="246">
        <f t="shared" si="608"/>
        <v>0</v>
      </c>
    </row>
    <row r="36540" spans="20:20" ht="18.75" customHeight="1" x14ac:dyDescent="0.35">
      <c r="T36540" s="246">
        <f t="shared" ref="T36540:T36603" si="609">R36540*0.01</f>
        <v>0</v>
      </c>
    </row>
    <row r="36541" spans="20:20" ht="18.75" customHeight="1" x14ac:dyDescent="0.35">
      <c r="T36541" s="246">
        <f t="shared" si="609"/>
        <v>0</v>
      </c>
    </row>
    <row r="36542" spans="20:20" ht="18.75" customHeight="1" x14ac:dyDescent="0.35">
      <c r="T36542" s="246">
        <f t="shared" si="609"/>
        <v>0</v>
      </c>
    </row>
    <row r="36543" spans="20:20" ht="18.75" customHeight="1" x14ac:dyDescent="0.35">
      <c r="T36543" s="246">
        <f t="shared" si="609"/>
        <v>0</v>
      </c>
    </row>
    <row r="36544" spans="20:20" ht="18.75" customHeight="1" x14ac:dyDescent="0.35">
      <c r="T36544" s="246">
        <f t="shared" si="609"/>
        <v>0</v>
      </c>
    </row>
    <row r="36545" spans="20:20" ht="18.75" customHeight="1" x14ac:dyDescent="0.35">
      <c r="T36545" s="246">
        <f t="shared" si="609"/>
        <v>0</v>
      </c>
    </row>
    <row r="36546" spans="20:20" ht="18.75" customHeight="1" x14ac:dyDescent="0.35">
      <c r="T36546" s="246">
        <f t="shared" si="609"/>
        <v>0</v>
      </c>
    </row>
    <row r="36547" spans="20:20" ht="18.75" customHeight="1" x14ac:dyDescent="0.35">
      <c r="T36547" s="246">
        <f t="shared" si="609"/>
        <v>0</v>
      </c>
    </row>
    <row r="36548" spans="20:20" ht="18.75" customHeight="1" x14ac:dyDescent="0.35">
      <c r="T36548" s="246">
        <f t="shared" si="609"/>
        <v>0</v>
      </c>
    </row>
    <row r="36549" spans="20:20" ht="18.75" customHeight="1" x14ac:dyDescent="0.35">
      <c r="T36549" s="246">
        <f t="shared" si="609"/>
        <v>0</v>
      </c>
    </row>
    <row r="36550" spans="20:20" ht="18.75" customHeight="1" x14ac:dyDescent="0.35">
      <c r="T36550" s="246">
        <f t="shared" si="609"/>
        <v>0</v>
      </c>
    </row>
    <row r="36551" spans="20:20" ht="18.75" customHeight="1" x14ac:dyDescent="0.35">
      <c r="T36551" s="246">
        <f t="shared" si="609"/>
        <v>0</v>
      </c>
    </row>
    <row r="36552" spans="20:20" ht="18.75" customHeight="1" x14ac:dyDescent="0.35">
      <c r="T36552" s="246">
        <f t="shared" si="609"/>
        <v>0</v>
      </c>
    </row>
    <row r="36553" spans="20:20" ht="18.75" customHeight="1" x14ac:dyDescent="0.35">
      <c r="T36553" s="246">
        <f t="shared" si="609"/>
        <v>0</v>
      </c>
    </row>
    <row r="36554" spans="20:20" ht="18.75" customHeight="1" x14ac:dyDescent="0.35">
      <c r="T36554" s="246">
        <f t="shared" si="609"/>
        <v>0</v>
      </c>
    </row>
    <row r="36555" spans="20:20" ht="18.75" customHeight="1" x14ac:dyDescent="0.35">
      <c r="T36555" s="246">
        <f t="shared" si="609"/>
        <v>0</v>
      </c>
    </row>
    <row r="36556" spans="20:20" ht="18.75" customHeight="1" x14ac:dyDescent="0.35">
      <c r="T36556" s="246">
        <f t="shared" si="609"/>
        <v>0</v>
      </c>
    </row>
    <row r="36557" spans="20:20" ht="18.75" customHeight="1" x14ac:dyDescent="0.35">
      <c r="T36557" s="246">
        <f t="shared" si="609"/>
        <v>0</v>
      </c>
    </row>
    <row r="36558" spans="20:20" ht="18.75" customHeight="1" x14ac:dyDescent="0.35">
      <c r="T36558" s="246">
        <f t="shared" si="609"/>
        <v>0</v>
      </c>
    </row>
    <row r="36559" spans="20:20" ht="18.75" customHeight="1" x14ac:dyDescent="0.35">
      <c r="T36559" s="246">
        <f t="shared" si="609"/>
        <v>0</v>
      </c>
    </row>
    <row r="36560" spans="20:20" ht="18.75" customHeight="1" x14ac:dyDescent="0.35">
      <c r="T36560" s="246">
        <f t="shared" si="609"/>
        <v>0</v>
      </c>
    </row>
    <row r="36561" spans="20:20" ht="18.75" customHeight="1" x14ac:dyDescent="0.35">
      <c r="T36561" s="246">
        <f t="shared" si="609"/>
        <v>0</v>
      </c>
    </row>
    <row r="36562" spans="20:20" ht="18.75" customHeight="1" x14ac:dyDescent="0.35">
      <c r="T36562" s="246">
        <f t="shared" si="609"/>
        <v>0</v>
      </c>
    </row>
    <row r="36563" spans="20:20" ht="18.75" customHeight="1" x14ac:dyDescent="0.35">
      <c r="T36563" s="246">
        <f t="shared" si="609"/>
        <v>0</v>
      </c>
    </row>
    <row r="36564" spans="20:20" ht="18.75" customHeight="1" x14ac:dyDescent="0.35">
      <c r="T36564" s="246">
        <f t="shared" si="609"/>
        <v>0</v>
      </c>
    </row>
    <row r="36565" spans="20:20" ht="18.75" customHeight="1" x14ac:dyDescent="0.35">
      <c r="T36565" s="246">
        <f t="shared" si="609"/>
        <v>0</v>
      </c>
    </row>
    <row r="36566" spans="20:20" ht="18.75" customHeight="1" x14ac:dyDescent="0.35">
      <c r="T36566" s="246">
        <f t="shared" si="609"/>
        <v>0</v>
      </c>
    </row>
    <row r="36567" spans="20:20" ht="18.75" customHeight="1" x14ac:dyDescent="0.35">
      <c r="T36567" s="246">
        <f t="shared" si="609"/>
        <v>0</v>
      </c>
    </row>
    <row r="36568" spans="20:20" ht="18.75" customHeight="1" x14ac:dyDescent="0.35">
      <c r="T36568" s="246">
        <f t="shared" si="609"/>
        <v>0</v>
      </c>
    </row>
    <row r="36569" spans="20:20" ht="18.75" customHeight="1" x14ac:dyDescent="0.35">
      <c r="T36569" s="246">
        <f t="shared" si="609"/>
        <v>0</v>
      </c>
    </row>
    <row r="36570" spans="20:20" ht="18.75" customHeight="1" x14ac:dyDescent="0.35">
      <c r="T36570" s="246">
        <f t="shared" si="609"/>
        <v>0</v>
      </c>
    </row>
    <row r="36571" spans="20:20" ht="18.75" customHeight="1" x14ac:dyDescent="0.35">
      <c r="T36571" s="246">
        <f t="shared" si="609"/>
        <v>0</v>
      </c>
    </row>
    <row r="36572" spans="20:20" ht="18.75" customHeight="1" x14ac:dyDescent="0.35">
      <c r="T36572" s="246">
        <f t="shared" si="609"/>
        <v>0</v>
      </c>
    </row>
    <row r="36573" spans="20:20" ht="18.75" customHeight="1" x14ac:dyDescent="0.35">
      <c r="T36573" s="246">
        <f t="shared" si="609"/>
        <v>0</v>
      </c>
    </row>
    <row r="36574" spans="20:20" ht="18.75" customHeight="1" x14ac:dyDescent="0.35">
      <c r="T36574" s="246">
        <f t="shared" si="609"/>
        <v>0</v>
      </c>
    </row>
    <row r="36575" spans="20:20" ht="18.75" customHeight="1" x14ac:dyDescent="0.35">
      <c r="T36575" s="246">
        <f t="shared" si="609"/>
        <v>0</v>
      </c>
    </row>
    <row r="36576" spans="20:20" ht="18.75" customHeight="1" x14ac:dyDescent="0.35">
      <c r="T36576" s="246">
        <f t="shared" si="609"/>
        <v>0</v>
      </c>
    </row>
    <row r="36577" spans="20:20" ht="18.75" customHeight="1" x14ac:dyDescent="0.35">
      <c r="T36577" s="246">
        <f t="shared" si="609"/>
        <v>0</v>
      </c>
    </row>
    <row r="36578" spans="20:20" ht="18.75" customHeight="1" x14ac:dyDescent="0.35">
      <c r="T36578" s="246">
        <f t="shared" si="609"/>
        <v>0</v>
      </c>
    </row>
    <row r="36579" spans="20:20" ht="18.75" customHeight="1" x14ac:dyDescent="0.35">
      <c r="T36579" s="246">
        <f t="shared" si="609"/>
        <v>0</v>
      </c>
    </row>
    <row r="36580" spans="20:20" ht="18.75" customHeight="1" x14ac:dyDescent="0.35">
      <c r="T36580" s="246">
        <f t="shared" si="609"/>
        <v>0</v>
      </c>
    </row>
    <row r="36581" spans="20:20" ht="18.75" customHeight="1" x14ac:dyDescent="0.35">
      <c r="T36581" s="246">
        <f t="shared" si="609"/>
        <v>0</v>
      </c>
    </row>
    <row r="36582" spans="20:20" ht="18.75" customHeight="1" x14ac:dyDescent="0.35">
      <c r="T36582" s="246">
        <f t="shared" si="609"/>
        <v>0</v>
      </c>
    </row>
    <row r="36583" spans="20:20" ht="18.75" customHeight="1" x14ac:dyDescent="0.35">
      <c r="T36583" s="246">
        <f t="shared" si="609"/>
        <v>0</v>
      </c>
    </row>
    <row r="36584" spans="20:20" ht="18.75" customHeight="1" x14ac:dyDescent="0.35">
      <c r="T36584" s="246">
        <f t="shared" si="609"/>
        <v>0</v>
      </c>
    </row>
    <row r="36585" spans="20:20" ht="18.75" customHeight="1" x14ac:dyDescent="0.35">
      <c r="T36585" s="246">
        <f t="shared" si="609"/>
        <v>0</v>
      </c>
    </row>
    <row r="36586" spans="20:20" ht="18.75" customHeight="1" x14ac:dyDescent="0.35">
      <c r="T36586" s="246">
        <f t="shared" si="609"/>
        <v>0</v>
      </c>
    </row>
    <row r="36587" spans="20:20" ht="18.75" customHeight="1" x14ac:dyDescent="0.35">
      <c r="T36587" s="246">
        <f t="shared" si="609"/>
        <v>0</v>
      </c>
    </row>
    <row r="36588" spans="20:20" ht="18.75" customHeight="1" x14ac:dyDescent="0.35">
      <c r="T36588" s="246">
        <f t="shared" si="609"/>
        <v>0</v>
      </c>
    </row>
    <row r="36589" spans="20:20" ht="18.75" customHeight="1" x14ac:dyDescent="0.35">
      <c r="T36589" s="246">
        <f t="shared" si="609"/>
        <v>0</v>
      </c>
    </row>
    <row r="36590" spans="20:20" ht="18.75" customHeight="1" x14ac:dyDescent="0.35">
      <c r="T36590" s="246">
        <f t="shared" si="609"/>
        <v>0</v>
      </c>
    </row>
    <row r="36591" spans="20:20" ht="18.75" customHeight="1" x14ac:dyDescent="0.35">
      <c r="T36591" s="246">
        <f t="shared" si="609"/>
        <v>0</v>
      </c>
    </row>
    <row r="36592" spans="20:20" ht="18.75" customHeight="1" x14ac:dyDescent="0.35">
      <c r="T36592" s="246">
        <f t="shared" si="609"/>
        <v>0</v>
      </c>
    </row>
    <row r="36593" spans="20:20" ht="18.75" customHeight="1" x14ac:dyDescent="0.35">
      <c r="T36593" s="246">
        <f t="shared" si="609"/>
        <v>0</v>
      </c>
    </row>
    <row r="36594" spans="20:20" ht="18.75" customHeight="1" x14ac:dyDescent="0.35">
      <c r="T36594" s="246">
        <f t="shared" si="609"/>
        <v>0</v>
      </c>
    </row>
    <row r="36595" spans="20:20" ht="18.75" customHeight="1" x14ac:dyDescent="0.35">
      <c r="T36595" s="246">
        <f t="shared" si="609"/>
        <v>0</v>
      </c>
    </row>
    <row r="36596" spans="20:20" ht="18.75" customHeight="1" x14ac:dyDescent="0.35">
      <c r="T36596" s="246">
        <f t="shared" si="609"/>
        <v>0</v>
      </c>
    </row>
    <row r="36597" spans="20:20" ht="18.75" customHeight="1" x14ac:dyDescent="0.35">
      <c r="T36597" s="246">
        <f t="shared" si="609"/>
        <v>0</v>
      </c>
    </row>
    <row r="36598" spans="20:20" ht="18.75" customHeight="1" x14ac:dyDescent="0.35">
      <c r="T36598" s="246">
        <f t="shared" si="609"/>
        <v>0</v>
      </c>
    </row>
    <row r="36599" spans="20:20" ht="18.75" customHeight="1" x14ac:dyDescent="0.35">
      <c r="T36599" s="246">
        <f t="shared" si="609"/>
        <v>0</v>
      </c>
    </row>
    <row r="36600" spans="20:20" ht="18.75" customHeight="1" x14ac:dyDescent="0.35">
      <c r="T36600" s="246">
        <f t="shared" si="609"/>
        <v>0</v>
      </c>
    </row>
    <row r="36601" spans="20:20" ht="18.75" customHeight="1" x14ac:dyDescent="0.35">
      <c r="T36601" s="246">
        <f t="shared" si="609"/>
        <v>0</v>
      </c>
    </row>
    <row r="36602" spans="20:20" ht="18.75" customHeight="1" x14ac:dyDescent="0.35">
      <c r="T36602" s="246">
        <f t="shared" si="609"/>
        <v>0</v>
      </c>
    </row>
    <row r="36603" spans="20:20" ht="18.75" customHeight="1" x14ac:dyDescent="0.35">
      <c r="T36603" s="246">
        <f t="shared" si="609"/>
        <v>0</v>
      </c>
    </row>
    <row r="36604" spans="20:20" ht="18.75" customHeight="1" x14ac:dyDescent="0.35">
      <c r="T36604" s="246">
        <f t="shared" ref="T36604:T36667" si="610">R36604*0.01</f>
        <v>0</v>
      </c>
    </row>
    <row r="36605" spans="20:20" ht="18.75" customHeight="1" x14ac:dyDescent="0.35">
      <c r="T36605" s="246">
        <f t="shared" si="610"/>
        <v>0</v>
      </c>
    </row>
    <row r="36606" spans="20:20" ht="18.75" customHeight="1" x14ac:dyDescent="0.35">
      <c r="T36606" s="246">
        <f t="shared" si="610"/>
        <v>0</v>
      </c>
    </row>
    <row r="36607" spans="20:20" ht="18.75" customHeight="1" x14ac:dyDescent="0.35">
      <c r="T36607" s="246">
        <f t="shared" si="610"/>
        <v>0</v>
      </c>
    </row>
    <row r="36608" spans="20:20" ht="18.75" customHeight="1" x14ac:dyDescent="0.35">
      <c r="T36608" s="246">
        <f t="shared" si="610"/>
        <v>0</v>
      </c>
    </row>
    <row r="36609" spans="20:20" ht="18.75" customHeight="1" x14ac:dyDescent="0.35">
      <c r="T36609" s="246">
        <f t="shared" si="610"/>
        <v>0</v>
      </c>
    </row>
    <row r="36610" spans="20:20" ht="18.75" customHeight="1" x14ac:dyDescent="0.35">
      <c r="T36610" s="246">
        <f t="shared" si="610"/>
        <v>0</v>
      </c>
    </row>
    <row r="36611" spans="20:20" ht="18.75" customHeight="1" x14ac:dyDescent="0.35">
      <c r="T36611" s="246">
        <f t="shared" si="610"/>
        <v>0</v>
      </c>
    </row>
    <row r="36612" spans="20:20" ht="18.75" customHeight="1" x14ac:dyDescent="0.35">
      <c r="T36612" s="246">
        <f t="shared" si="610"/>
        <v>0</v>
      </c>
    </row>
    <row r="36613" spans="20:20" ht="18.75" customHeight="1" x14ac:dyDescent="0.35">
      <c r="T36613" s="246">
        <f t="shared" si="610"/>
        <v>0</v>
      </c>
    </row>
    <row r="36614" spans="20:20" ht="18.75" customHeight="1" x14ac:dyDescent="0.35">
      <c r="T36614" s="246">
        <f t="shared" si="610"/>
        <v>0</v>
      </c>
    </row>
    <row r="36615" spans="20:20" ht="18.75" customHeight="1" x14ac:dyDescent="0.35">
      <c r="T36615" s="246">
        <f t="shared" si="610"/>
        <v>0</v>
      </c>
    </row>
    <row r="36616" spans="20:20" ht="18.75" customHeight="1" x14ac:dyDescent="0.35">
      <c r="T36616" s="246">
        <f t="shared" si="610"/>
        <v>0</v>
      </c>
    </row>
    <row r="36617" spans="20:20" ht="18.75" customHeight="1" x14ac:dyDescent="0.35">
      <c r="T36617" s="246">
        <f t="shared" si="610"/>
        <v>0</v>
      </c>
    </row>
    <row r="36618" spans="20:20" ht="18.75" customHeight="1" x14ac:dyDescent="0.35">
      <c r="T36618" s="246">
        <f t="shared" si="610"/>
        <v>0</v>
      </c>
    </row>
    <row r="36619" spans="20:20" ht="18.75" customHeight="1" x14ac:dyDescent="0.35">
      <c r="T36619" s="246">
        <f t="shared" si="610"/>
        <v>0</v>
      </c>
    </row>
    <row r="36620" spans="20:20" ht="18.75" customHeight="1" x14ac:dyDescent="0.35">
      <c r="T36620" s="246">
        <f t="shared" si="610"/>
        <v>0</v>
      </c>
    </row>
    <row r="36621" spans="20:20" ht="18.75" customHeight="1" x14ac:dyDescent="0.35">
      <c r="T36621" s="246">
        <f t="shared" si="610"/>
        <v>0</v>
      </c>
    </row>
    <row r="36622" spans="20:20" ht="18.75" customHeight="1" x14ac:dyDescent="0.35">
      <c r="T36622" s="246">
        <f t="shared" si="610"/>
        <v>0</v>
      </c>
    </row>
    <row r="36623" spans="20:20" ht="18.75" customHeight="1" x14ac:dyDescent="0.35">
      <c r="T36623" s="246">
        <f t="shared" si="610"/>
        <v>0</v>
      </c>
    </row>
    <row r="36624" spans="20:20" ht="18.75" customHeight="1" x14ac:dyDescent="0.35">
      <c r="T36624" s="246">
        <f t="shared" si="610"/>
        <v>0</v>
      </c>
    </row>
    <row r="36625" spans="20:20" ht="18.75" customHeight="1" x14ac:dyDescent="0.35">
      <c r="T36625" s="246">
        <f t="shared" si="610"/>
        <v>0</v>
      </c>
    </row>
    <row r="36626" spans="20:20" ht="18.75" customHeight="1" x14ac:dyDescent="0.35">
      <c r="T36626" s="246">
        <f t="shared" si="610"/>
        <v>0</v>
      </c>
    </row>
    <row r="36627" spans="20:20" ht="18.75" customHeight="1" x14ac:dyDescent="0.35">
      <c r="T36627" s="246">
        <f t="shared" si="610"/>
        <v>0</v>
      </c>
    </row>
    <row r="36628" spans="20:20" ht="18.75" customHeight="1" x14ac:dyDescent="0.35">
      <c r="T36628" s="246">
        <f t="shared" si="610"/>
        <v>0</v>
      </c>
    </row>
    <row r="36629" spans="20:20" ht="18.75" customHeight="1" x14ac:dyDescent="0.35">
      <c r="T36629" s="246">
        <f t="shared" si="610"/>
        <v>0</v>
      </c>
    </row>
    <row r="36630" spans="20:20" ht="18.75" customHeight="1" x14ac:dyDescent="0.35">
      <c r="T36630" s="246">
        <f t="shared" si="610"/>
        <v>0</v>
      </c>
    </row>
    <row r="36631" spans="20:20" ht="18.75" customHeight="1" x14ac:dyDescent="0.35">
      <c r="T36631" s="246">
        <f t="shared" si="610"/>
        <v>0</v>
      </c>
    </row>
    <row r="36632" spans="20:20" ht="18.75" customHeight="1" x14ac:dyDescent="0.35">
      <c r="T36632" s="246">
        <f t="shared" si="610"/>
        <v>0</v>
      </c>
    </row>
    <row r="36633" spans="20:20" ht="18.75" customHeight="1" x14ac:dyDescent="0.35">
      <c r="T36633" s="246">
        <f t="shared" si="610"/>
        <v>0</v>
      </c>
    </row>
    <row r="36634" spans="20:20" ht="18.75" customHeight="1" x14ac:dyDescent="0.35">
      <c r="T36634" s="246">
        <f t="shared" si="610"/>
        <v>0</v>
      </c>
    </row>
    <row r="36635" spans="20:20" ht="18.75" customHeight="1" x14ac:dyDescent="0.35">
      <c r="T36635" s="246">
        <f t="shared" si="610"/>
        <v>0</v>
      </c>
    </row>
    <row r="36636" spans="20:20" ht="18.75" customHeight="1" x14ac:dyDescent="0.35">
      <c r="T36636" s="246">
        <f t="shared" si="610"/>
        <v>0</v>
      </c>
    </row>
    <row r="36637" spans="20:20" ht="18.75" customHeight="1" x14ac:dyDescent="0.35">
      <c r="T36637" s="246">
        <f t="shared" si="610"/>
        <v>0</v>
      </c>
    </row>
    <row r="36638" spans="20:20" ht="18.75" customHeight="1" x14ac:dyDescent="0.35">
      <c r="T36638" s="246">
        <f t="shared" si="610"/>
        <v>0</v>
      </c>
    </row>
    <row r="36639" spans="20:20" ht="18.75" customHeight="1" x14ac:dyDescent="0.35">
      <c r="T36639" s="246">
        <f t="shared" si="610"/>
        <v>0</v>
      </c>
    </row>
    <row r="36640" spans="20:20" ht="18.75" customHeight="1" x14ac:dyDescent="0.35">
      <c r="T36640" s="246">
        <f t="shared" si="610"/>
        <v>0</v>
      </c>
    </row>
    <row r="36641" spans="20:20" ht="18.75" customHeight="1" x14ac:dyDescent="0.35">
      <c r="T36641" s="246">
        <f t="shared" si="610"/>
        <v>0</v>
      </c>
    </row>
    <row r="36642" spans="20:20" ht="18.75" customHeight="1" x14ac:dyDescent="0.35">
      <c r="T36642" s="246">
        <f t="shared" si="610"/>
        <v>0</v>
      </c>
    </row>
    <row r="36643" spans="20:20" ht="18.75" customHeight="1" x14ac:dyDescent="0.35">
      <c r="T36643" s="246">
        <f t="shared" si="610"/>
        <v>0</v>
      </c>
    </row>
    <row r="36644" spans="20:20" ht="18.75" customHeight="1" x14ac:dyDescent="0.35">
      <c r="T36644" s="246">
        <f t="shared" si="610"/>
        <v>0</v>
      </c>
    </row>
    <row r="36645" spans="20:20" ht="18.75" customHeight="1" x14ac:dyDescent="0.35">
      <c r="T36645" s="246">
        <f t="shared" si="610"/>
        <v>0</v>
      </c>
    </row>
    <row r="36646" spans="20:20" ht="18.75" customHeight="1" x14ac:dyDescent="0.35">
      <c r="T36646" s="246">
        <f t="shared" si="610"/>
        <v>0</v>
      </c>
    </row>
    <row r="36647" spans="20:20" ht="18.75" customHeight="1" x14ac:dyDescent="0.35">
      <c r="T36647" s="246">
        <f t="shared" si="610"/>
        <v>0</v>
      </c>
    </row>
    <row r="36648" spans="20:20" ht="18.75" customHeight="1" x14ac:dyDescent="0.35">
      <c r="T36648" s="246">
        <f t="shared" si="610"/>
        <v>0</v>
      </c>
    </row>
    <row r="36649" spans="20:20" ht="18.75" customHeight="1" x14ac:dyDescent="0.35">
      <c r="T36649" s="246">
        <f t="shared" si="610"/>
        <v>0</v>
      </c>
    </row>
    <row r="36650" spans="20:20" ht="18.75" customHeight="1" x14ac:dyDescent="0.35">
      <c r="T36650" s="246">
        <f t="shared" si="610"/>
        <v>0</v>
      </c>
    </row>
    <row r="36651" spans="20:20" ht="18.75" customHeight="1" x14ac:dyDescent="0.35">
      <c r="T36651" s="246">
        <f t="shared" si="610"/>
        <v>0</v>
      </c>
    </row>
    <row r="36652" spans="20:20" ht="18.75" customHeight="1" x14ac:dyDescent="0.35">
      <c r="T36652" s="246">
        <f t="shared" si="610"/>
        <v>0</v>
      </c>
    </row>
    <row r="36653" spans="20:20" ht="18.75" customHeight="1" x14ac:dyDescent="0.35">
      <c r="T36653" s="246">
        <f t="shared" si="610"/>
        <v>0</v>
      </c>
    </row>
    <row r="36654" spans="20:20" ht="18.75" customHeight="1" x14ac:dyDescent="0.35">
      <c r="T36654" s="246">
        <f t="shared" si="610"/>
        <v>0</v>
      </c>
    </row>
    <row r="36655" spans="20:20" ht="18.75" customHeight="1" x14ac:dyDescent="0.35">
      <c r="T36655" s="246">
        <f t="shared" si="610"/>
        <v>0</v>
      </c>
    </row>
    <row r="36656" spans="20:20" ht="18.75" customHeight="1" x14ac:dyDescent="0.35">
      <c r="T36656" s="246">
        <f t="shared" si="610"/>
        <v>0</v>
      </c>
    </row>
    <row r="36657" spans="20:20" ht="18.75" customHeight="1" x14ac:dyDescent="0.35">
      <c r="T36657" s="246">
        <f t="shared" si="610"/>
        <v>0</v>
      </c>
    </row>
    <row r="36658" spans="20:20" ht="18.75" customHeight="1" x14ac:dyDescent="0.35">
      <c r="T36658" s="246">
        <f t="shared" si="610"/>
        <v>0</v>
      </c>
    </row>
    <row r="36659" spans="20:20" ht="18.75" customHeight="1" x14ac:dyDescent="0.35">
      <c r="T36659" s="246">
        <f t="shared" si="610"/>
        <v>0</v>
      </c>
    </row>
    <row r="36660" spans="20:20" ht="18.75" customHeight="1" x14ac:dyDescent="0.35">
      <c r="T36660" s="246">
        <f t="shared" si="610"/>
        <v>0</v>
      </c>
    </row>
    <row r="36661" spans="20:20" ht="18.75" customHeight="1" x14ac:dyDescent="0.35">
      <c r="T36661" s="246">
        <f t="shared" si="610"/>
        <v>0</v>
      </c>
    </row>
    <row r="36662" spans="20:20" ht="18.75" customHeight="1" x14ac:dyDescent="0.35">
      <c r="T36662" s="246">
        <f t="shared" si="610"/>
        <v>0</v>
      </c>
    </row>
    <row r="36663" spans="20:20" ht="18.75" customHeight="1" x14ac:dyDescent="0.35">
      <c r="T36663" s="246">
        <f t="shared" si="610"/>
        <v>0</v>
      </c>
    </row>
    <row r="36664" spans="20:20" ht="18.75" customHeight="1" x14ac:dyDescent="0.35">
      <c r="T36664" s="246">
        <f t="shared" si="610"/>
        <v>0</v>
      </c>
    </row>
    <row r="36665" spans="20:20" ht="18.75" customHeight="1" x14ac:dyDescent="0.35">
      <c r="T36665" s="246">
        <f t="shared" si="610"/>
        <v>0</v>
      </c>
    </row>
    <row r="36666" spans="20:20" ht="18.75" customHeight="1" x14ac:dyDescent="0.35">
      <c r="T36666" s="246">
        <f t="shared" si="610"/>
        <v>0</v>
      </c>
    </row>
    <row r="36667" spans="20:20" ht="18.75" customHeight="1" x14ac:dyDescent="0.35">
      <c r="T36667" s="246">
        <f t="shared" si="610"/>
        <v>0</v>
      </c>
    </row>
    <row r="36668" spans="20:20" ht="18.75" customHeight="1" x14ac:dyDescent="0.35">
      <c r="T36668" s="246">
        <f t="shared" ref="T36668:T36731" si="611">R36668*0.01</f>
        <v>0</v>
      </c>
    </row>
    <row r="36669" spans="20:20" ht="18.75" customHeight="1" x14ac:dyDescent="0.35">
      <c r="T36669" s="246">
        <f t="shared" si="611"/>
        <v>0</v>
      </c>
    </row>
    <row r="36670" spans="20:20" ht="18.75" customHeight="1" x14ac:dyDescent="0.35">
      <c r="T36670" s="246">
        <f t="shared" si="611"/>
        <v>0</v>
      </c>
    </row>
    <row r="36671" spans="20:20" ht="18.75" customHeight="1" x14ac:dyDescent="0.35">
      <c r="T36671" s="246">
        <f t="shared" si="611"/>
        <v>0</v>
      </c>
    </row>
    <row r="36672" spans="20:20" ht="18.75" customHeight="1" x14ac:dyDescent="0.35">
      <c r="T36672" s="246">
        <f t="shared" si="611"/>
        <v>0</v>
      </c>
    </row>
    <row r="36673" spans="20:20" ht="18.75" customHeight="1" x14ac:dyDescent="0.35">
      <c r="T36673" s="246">
        <f t="shared" si="611"/>
        <v>0</v>
      </c>
    </row>
    <row r="36674" spans="20:20" ht="18.75" customHeight="1" x14ac:dyDescent="0.35">
      <c r="T36674" s="246">
        <f t="shared" si="611"/>
        <v>0</v>
      </c>
    </row>
    <row r="36675" spans="20:20" ht="18.75" customHeight="1" x14ac:dyDescent="0.35">
      <c r="T36675" s="246">
        <f t="shared" si="611"/>
        <v>0</v>
      </c>
    </row>
    <row r="36676" spans="20:20" ht="18.75" customHeight="1" x14ac:dyDescent="0.35">
      <c r="T36676" s="246">
        <f t="shared" si="611"/>
        <v>0</v>
      </c>
    </row>
    <row r="36677" spans="20:20" ht="18.75" customHeight="1" x14ac:dyDescent="0.35">
      <c r="T36677" s="246">
        <f t="shared" si="611"/>
        <v>0</v>
      </c>
    </row>
    <row r="36678" spans="20:20" ht="18.75" customHeight="1" x14ac:dyDescent="0.35">
      <c r="T36678" s="246">
        <f t="shared" si="611"/>
        <v>0</v>
      </c>
    </row>
    <row r="36679" spans="20:20" ht="18.75" customHeight="1" x14ac:dyDescent="0.35">
      <c r="T36679" s="246">
        <f t="shared" si="611"/>
        <v>0</v>
      </c>
    </row>
    <row r="36680" spans="20:20" ht="18.75" customHeight="1" x14ac:dyDescent="0.35">
      <c r="T36680" s="246">
        <f t="shared" si="611"/>
        <v>0</v>
      </c>
    </row>
    <row r="36681" spans="20:20" ht="18.75" customHeight="1" x14ac:dyDescent="0.35">
      <c r="T36681" s="246">
        <f t="shared" si="611"/>
        <v>0</v>
      </c>
    </row>
    <row r="36682" spans="20:20" ht="18.75" customHeight="1" x14ac:dyDescent="0.35">
      <c r="T36682" s="246">
        <f t="shared" si="611"/>
        <v>0</v>
      </c>
    </row>
    <row r="36683" spans="20:20" ht="18.75" customHeight="1" x14ac:dyDescent="0.35">
      <c r="T36683" s="246">
        <f t="shared" si="611"/>
        <v>0</v>
      </c>
    </row>
    <row r="36684" spans="20:20" ht="18.75" customHeight="1" x14ac:dyDescent="0.35">
      <c r="T36684" s="246">
        <f t="shared" si="611"/>
        <v>0</v>
      </c>
    </row>
    <row r="36685" spans="20:20" ht="18.75" customHeight="1" x14ac:dyDescent="0.35">
      <c r="T36685" s="246">
        <f t="shared" si="611"/>
        <v>0</v>
      </c>
    </row>
    <row r="36686" spans="20:20" ht="18.75" customHeight="1" x14ac:dyDescent="0.35">
      <c r="T36686" s="246">
        <f t="shared" si="611"/>
        <v>0</v>
      </c>
    </row>
    <row r="36687" spans="20:20" ht="18.75" customHeight="1" x14ac:dyDescent="0.35">
      <c r="T36687" s="246">
        <f t="shared" si="611"/>
        <v>0</v>
      </c>
    </row>
    <row r="36688" spans="20:20" ht="18.75" customHeight="1" x14ac:dyDescent="0.35">
      <c r="T36688" s="246">
        <f t="shared" si="611"/>
        <v>0</v>
      </c>
    </row>
    <row r="36689" spans="20:20" ht="18.75" customHeight="1" x14ac:dyDescent="0.35">
      <c r="T36689" s="246">
        <f t="shared" si="611"/>
        <v>0</v>
      </c>
    </row>
    <row r="36690" spans="20:20" ht="18.75" customHeight="1" x14ac:dyDescent="0.35">
      <c r="T36690" s="246">
        <f t="shared" si="611"/>
        <v>0</v>
      </c>
    </row>
    <row r="36691" spans="20:20" ht="18.75" customHeight="1" x14ac:dyDescent="0.35">
      <c r="T36691" s="246">
        <f t="shared" si="611"/>
        <v>0</v>
      </c>
    </row>
    <row r="36692" spans="20:20" ht="18.75" customHeight="1" x14ac:dyDescent="0.35">
      <c r="T36692" s="246">
        <f t="shared" si="611"/>
        <v>0</v>
      </c>
    </row>
    <row r="36693" spans="20:20" ht="18.75" customHeight="1" x14ac:dyDescent="0.35">
      <c r="T36693" s="246">
        <f t="shared" si="611"/>
        <v>0</v>
      </c>
    </row>
    <row r="36694" spans="20:20" ht="18.75" customHeight="1" x14ac:dyDescent="0.35">
      <c r="T36694" s="246">
        <f t="shared" si="611"/>
        <v>0</v>
      </c>
    </row>
    <row r="36695" spans="20:20" ht="18.75" customHeight="1" x14ac:dyDescent="0.35">
      <c r="T36695" s="246">
        <f t="shared" si="611"/>
        <v>0</v>
      </c>
    </row>
    <row r="36696" spans="20:20" ht="18.75" customHeight="1" x14ac:dyDescent="0.35">
      <c r="T36696" s="246">
        <f t="shared" si="611"/>
        <v>0</v>
      </c>
    </row>
    <row r="36697" spans="20:20" ht="18.75" customHeight="1" x14ac:dyDescent="0.35">
      <c r="T36697" s="246">
        <f t="shared" si="611"/>
        <v>0</v>
      </c>
    </row>
    <row r="36698" spans="20:20" ht="18.75" customHeight="1" x14ac:dyDescent="0.35">
      <c r="T36698" s="246">
        <f t="shared" si="611"/>
        <v>0</v>
      </c>
    </row>
    <row r="36699" spans="20:20" ht="18.75" customHeight="1" x14ac:dyDescent="0.35">
      <c r="T36699" s="246">
        <f t="shared" si="611"/>
        <v>0</v>
      </c>
    </row>
    <row r="36700" spans="20:20" ht="18.75" customHeight="1" x14ac:dyDescent="0.35">
      <c r="T36700" s="246">
        <f t="shared" si="611"/>
        <v>0</v>
      </c>
    </row>
    <row r="36701" spans="20:20" ht="18.75" customHeight="1" x14ac:dyDescent="0.35">
      <c r="T36701" s="246">
        <f t="shared" si="611"/>
        <v>0</v>
      </c>
    </row>
    <row r="36702" spans="20:20" ht="18.75" customHeight="1" x14ac:dyDescent="0.35">
      <c r="T36702" s="246">
        <f t="shared" si="611"/>
        <v>0</v>
      </c>
    </row>
    <row r="36703" spans="20:20" ht="18.75" customHeight="1" x14ac:dyDescent="0.35">
      <c r="T36703" s="246">
        <f t="shared" si="611"/>
        <v>0</v>
      </c>
    </row>
    <row r="36704" spans="20:20" ht="18.75" customHeight="1" x14ac:dyDescent="0.35">
      <c r="T36704" s="246">
        <f t="shared" si="611"/>
        <v>0</v>
      </c>
    </row>
    <row r="36705" spans="20:20" ht="18.75" customHeight="1" x14ac:dyDescent="0.35">
      <c r="T36705" s="246">
        <f t="shared" si="611"/>
        <v>0</v>
      </c>
    </row>
    <row r="36706" spans="20:20" ht="18.75" customHeight="1" x14ac:dyDescent="0.35">
      <c r="T36706" s="246">
        <f t="shared" si="611"/>
        <v>0</v>
      </c>
    </row>
    <row r="36707" spans="20:20" ht="18.75" customHeight="1" x14ac:dyDescent="0.35">
      <c r="T36707" s="246">
        <f t="shared" si="611"/>
        <v>0</v>
      </c>
    </row>
    <row r="36708" spans="20:20" ht="18.75" customHeight="1" x14ac:dyDescent="0.35">
      <c r="T36708" s="246">
        <f t="shared" si="611"/>
        <v>0</v>
      </c>
    </row>
    <row r="36709" spans="20:20" ht="18.75" customHeight="1" x14ac:dyDescent="0.35">
      <c r="T36709" s="246">
        <f t="shared" si="611"/>
        <v>0</v>
      </c>
    </row>
    <row r="36710" spans="20:20" ht="18.75" customHeight="1" x14ac:dyDescent="0.35">
      <c r="T36710" s="246">
        <f t="shared" si="611"/>
        <v>0</v>
      </c>
    </row>
    <row r="36711" spans="20:20" ht="18.75" customHeight="1" x14ac:dyDescent="0.35">
      <c r="T36711" s="246">
        <f t="shared" si="611"/>
        <v>0</v>
      </c>
    </row>
    <row r="36712" spans="20:20" ht="18.75" customHeight="1" x14ac:dyDescent="0.35">
      <c r="T36712" s="246">
        <f t="shared" si="611"/>
        <v>0</v>
      </c>
    </row>
    <row r="36713" spans="20:20" ht="18.75" customHeight="1" x14ac:dyDescent="0.35">
      <c r="T36713" s="246">
        <f t="shared" si="611"/>
        <v>0</v>
      </c>
    </row>
    <row r="36714" spans="20:20" ht="18.75" customHeight="1" x14ac:dyDescent="0.35">
      <c r="T36714" s="246">
        <f t="shared" si="611"/>
        <v>0</v>
      </c>
    </row>
    <row r="36715" spans="20:20" ht="18.75" customHeight="1" x14ac:dyDescent="0.35">
      <c r="T36715" s="246">
        <f t="shared" si="611"/>
        <v>0</v>
      </c>
    </row>
    <row r="36716" spans="20:20" ht="18.75" customHeight="1" x14ac:dyDescent="0.35">
      <c r="T36716" s="246">
        <f t="shared" si="611"/>
        <v>0</v>
      </c>
    </row>
    <row r="36717" spans="20:20" ht="18.75" customHeight="1" x14ac:dyDescent="0.35">
      <c r="T36717" s="246">
        <f t="shared" si="611"/>
        <v>0</v>
      </c>
    </row>
    <row r="36718" spans="20:20" ht="18.75" customHeight="1" x14ac:dyDescent="0.35">
      <c r="T36718" s="246">
        <f t="shared" si="611"/>
        <v>0</v>
      </c>
    </row>
    <row r="36719" spans="20:20" ht="18.75" customHeight="1" x14ac:dyDescent="0.35">
      <c r="T36719" s="246">
        <f t="shared" si="611"/>
        <v>0</v>
      </c>
    </row>
    <row r="36720" spans="20:20" ht="18.75" customHeight="1" x14ac:dyDescent="0.35">
      <c r="T36720" s="246">
        <f t="shared" si="611"/>
        <v>0</v>
      </c>
    </row>
    <row r="36721" spans="20:20" ht="18.75" customHeight="1" x14ac:dyDescent="0.35">
      <c r="T36721" s="246">
        <f t="shared" si="611"/>
        <v>0</v>
      </c>
    </row>
    <row r="36722" spans="20:20" ht="18.75" customHeight="1" x14ac:dyDescent="0.35">
      <c r="T36722" s="246">
        <f t="shared" si="611"/>
        <v>0</v>
      </c>
    </row>
    <row r="36723" spans="20:20" ht="18.75" customHeight="1" x14ac:dyDescent="0.35">
      <c r="T36723" s="246">
        <f t="shared" si="611"/>
        <v>0</v>
      </c>
    </row>
    <row r="36724" spans="20:20" ht="18.75" customHeight="1" x14ac:dyDescent="0.35">
      <c r="T36724" s="246">
        <f t="shared" si="611"/>
        <v>0</v>
      </c>
    </row>
    <row r="36725" spans="20:20" ht="18.75" customHeight="1" x14ac:dyDescent="0.35">
      <c r="T36725" s="246">
        <f t="shared" si="611"/>
        <v>0</v>
      </c>
    </row>
    <row r="36726" spans="20:20" ht="18.75" customHeight="1" x14ac:dyDescent="0.35">
      <c r="T36726" s="246">
        <f t="shared" si="611"/>
        <v>0</v>
      </c>
    </row>
    <row r="36727" spans="20:20" ht="18.75" customHeight="1" x14ac:dyDescent="0.35">
      <c r="T36727" s="246">
        <f t="shared" si="611"/>
        <v>0</v>
      </c>
    </row>
    <row r="36728" spans="20:20" ht="18.75" customHeight="1" x14ac:dyDescent="0.35">
      <c r="T36728" s="246">
        <f t="shared" si="611"/>
        <v>0</v>
      </c>
    </row>
    <row r="36729" spans="20:20" ht="18.75" customHeight="1" x14ac:dyDescent="0.35">
      <c r="T36729" s="246">
        <f t="shared" si="611"/>
        <v>0</v>
      </c>
    </row>
    <row r="36730" spans="20:20" ht="18.75" customHeight="1" x14ac:dyDescent="0.35">
      <c r="T36730" s="246">
        <f t="shared" si="611"/>
        <v>0</v>
      </c>
    </row>
    <row r="36731" spans="20:20" ht="18.75" customHeight="1" x14ac:dyDescent="0.35">
      <c r="T36731" s="246">
        <f t="shared" si="611"/>
        <v>0</v>
      </c>
    </row>
    <row r="36732" spans="20:20" ht="18.75" customHeight="1" x14ac:dyDescent="0.35">
      <c r="T36732" s="246">
        <f t="shared" ref="T36732:T36795" si="612">R36732*0.01</f>
        <v>0</v>
      </c>
    </row>
    <row r="36733" spans="20:20" ht="18.75" customHeight="1" x14ac:dyDescent="0.35">
      <c r="T36733" s="246">
        <f t="shared" si="612"/>
        <v>0</v>
      </c>
    </row>
    <row r="36734" spans="20:20" ht="18.75" customHeight="1" x14ac:dyDescent="0.35">
      <c r="T36734" s="246">
        <f t="shared" si="612"/>
        <v>0</v>
      </c>
    </row>
    <row r="36735" spans="20:20" ht="18.75" customHeight="1" x14ac:dyDescent="0.35">
      <c r="T36735" s="246">
        <f t="shared" si="612"/>
        <v>0</v>
      </c>
    </row>
    <row r="36736" spans="20:20" ht="18.75" customHeight="1" x14ac:dyDescent="0.35">
      <c r="T36736" s="246">
        <f t="shared" si="612"/>
        <v>0</v>
      </c>
    </row>
    <row r="36737" spans="20:20" ht="18.75" customHeight="1" x14ac:dyDescent="0.35">
      <c r="T36737" s="246">
        <f t="shared" si="612"/>
        <v>0</v>
      </c>
    </row>
    <row r="36738" spans="20:20" ht="18.75" customHeight="1" x14ac:dyDescent="0.35">
      <c r="T36738" s="246">
        <f t="shared" si="612"/>
        <v>0</v>
      </c>
    </row>
    <row r="36739" spans="20:20" ht="18.75" customHeight="1" x14ac:dyDescent="0.35">
      <c r="T36739" s="246">
        <f t="shared" si="612"/>
        <v>0</v>
      </c>
    </row>
    <row r="36740" spans="20:20" ht="18.75" customHeight="1" x14ac:dyDescent="0.35">
      <c r="T36740" s="246">
        <f t="shared" si="612"/>
        <v>0</v>
      </c>
    </row>
    <row r="36741" spans="20:20" ht="18.75" customHeight="1" x14ac:dyDescent="0.35">
      <c r="T36741" s="246">
        <f t="shared" si="612"/>
        <v>0</v>
      </c>
    </row>
    <row r="36742" spans="20:20" ht="18.75" customHeight="1" x14ac:dyDescent="0.35">
      <c r="T36742" s="246">
        <f t="shared" si="612"/>
        <v>0</v>
      </c>
    </row>
    <row r="36743" spans="20:20" ht="18.75" customHeight="1" x14ac:dyDescent="0.35">
      <c r="T36743" s="246">
        <f t="shared" si="612"/>
        <v>0</v>
      </c>
    </row>
    <row r="36744" spans="20:20" ht="18.75" customHeight="1" x14ac:dyDescent="0.35">
      <c r="T36744" s="246">
        <f t="shared" si="612"/>
        <v>0</v>
      </c>
    </row>
    <row r="36745" spans="20:20" ht="18.75" customHeight="1" x14ac:dyDescent="0.35">
      <c r="T36745" s="246">
        <f t="shared" si="612"/>
        <v>0</v>
      </c>
    </row>
    <row r="36746" spans="20:20" ht="18.75" customHeight="1" x14ac:dyDescent="0.35">
      <c r="T36746" s="246">
        <f t="shared" si="612"/>
        <v>0</v>
      </c>
    </row>
    <row r="36747" spans="20:20" ht="18.75" customHeight="1" x14ac:dyDescent="0.35">
      <c r="T36747" s="246">
        <f t="shared" si="612"/>
        <v>0</v>
      </c>
    </row>
    <row r="36748" spans="20:20" ht="18.75" customHeight="1" x14ac:dyDescent="0.35">
      <c r="T36748" s="246">
        <f t="shared" si="612"/>
        <v>0</v>
      </c>
    </row>
    <row r="36749" spans="20:20" ht="18.75" customHeight="1" x14ac:dyDescent="0.35">
      <c r="T36749" s="246">
        <f t="shared" si="612"/>
        <v>0</v>
      </c>
    </row>
    <row r="36750" spans="20:20" ht="18.75" customHeight="1" x14ac:dyDescent="0.35">
      <c r="T36750" s="246">
        <f t="shared" si="612"/>
        <v>0</v>
      </c>
    </row>
    <row r="36751" spans="20:20" ht="18.75" customHeight="1" x14ac:dyDescent="0.35">
      <c r="T36751" s="246">
        <f t="shared" si="612"/>
        <v>0</v>
      </c>
    </row>
    <row r="36752" spans="20:20" ht="18.75" customHeight="1" x14ac:dyDescent="0.35">
      <c r="T36752" s="246">
        <f t="shared" si="612"/>
        <v>0</v>
      </c>
    </row>
    <row r="36753" spans="20:20" ht="18.75" customHeight="1" x14ac:dyDescent="0.35">
      <c r="T36753" s="246">
        <f t="shared" si="612"/>
        <v>0</v>
      </c>
    </row>
    <row r="36754" spans="20:20" ht="18.75" customHeight="1" x14ac:dyDescent="0.35">
      <c r="T36754" s="246">
        <f t="shared" si="612"/>
        <v>0</v>
      </c>
    </row>
    <row r="36755" spans="20:20" ht="18.75" customHeight="1" x14ac:dyDescent="0.35">
      <c r="T36755" s="246">
        <f t="shared" si="612"/>
        <v>0</v>
      </c>
    </row>
    <row r="36756" spans="20:20" ht="18.75" customHeight="1" x14ac:dyDescent="0.35">
      <c r="T36756" s="246">
        <f t="shared" si="612"/>
        <v>0</v>
      </c>
    </row>
    <row r="36757" spans="20:20" ht="18.75" customHeight="1" x14ac:dyDescent="0.35">
      <c r="T36757" s="246">
        <f t="shared" si="612"/>
        <v>0</v>
      </c>
    </row>
    <row r="36758" spans="20:20" ht="18.75" customHeight="1" x14ac:dyDescent="0.35">
      <c r="T36758" s="246">
        <f t="shared" si="612"/>
        <v>0</v>
      </c>
    </row>
    <row r="36759" spans="20:20" ht="18.75" customHeight="1" x14ac:dyDescent="0.35">
      <c r="T36759" s="246">
        <f t="shared" si="612"/>
        <v>0</v>
      </c>
    </row>
    <row r="36760" spans="20:20" ht="18.75" customHeight="1" x14ac:dyDescent="0.35">
      <c r="T36760" s="246">
        <f t="shared" si="612"/>
        <v>0</v>
      </c>
    </row>
    <row r="36761" spans="20:20" ht="18.75" customHeight="1" x14ac:dyDescent="0.35">
      <c r="T36761" s="246">
        <f t="shared" si="612"/>
        <v>0</v>
      </c>
    </row>
    <row r="36762" spans="20:20" ht="18.75" customHeight="1" x14ac:dyDescent="0.35">
      <c r="T36762" s="246">
        <f t="shared" si="612"/>
        <v>0</v>
      </c>
    </row>
    <row r="36763" spans="20:20" ht="18.75" customHeight="1" x14ac:dyDescent="0.35">
      <c r="T36763" s="246">
        <f t="shared" si="612"/>
        <v>0</v>
      </c>
    </row>
    <row r="36764" spans="20:20" ht="18.75" customHeight="1" x14ac:dyDescent="0.35">
      <c r="T36764" s="246">
        <f t="shared" si="612"/>
        <v>0</v>
      </c>
    </row>
    <row r="36765" spans="20:20" ht="18.75" customHeight="1" x14ac:dyDescent="0.35">
      <c r="T36765" s="246">
        <f t="shared" si="612"/>
        <v>0</v>
      </c>
    </row>
    <row r="36766" spans="20:20" ht="18.75" customHeight="1" x14ac:dyDescent="0.35">
      <c r="T36766" s="246">
        <f t="shared" si="612"/>
        <v>0</v>
      </c>
    </row>
    <row r="36767" spans="20:20" ht="18.75" customHeight="1" x14ac:dyDescent="0.35">
      <c r="T36767" s="246">
        <f t="shared" si="612"/>
        <v>0</v>
      </c>
    </row>
    <row r="36768" spans="20:20" ht="18.75" customHeight="1" x14ac:dyDescent="0.35">
      <c r="T36768" s="246">
        <f t="shared" si="612"/>
        <v>0</v>
      </c>
    </row>
    <row r="36769" spans="20:20" ht="18.75" customHeight="1" x14ac:dyDescent="0.35">
      <c r="T36769" s="246">
        <f t="shared" si="612"/>
        <v>0</v>
      </c>
    </row>
    <row r="36770" spans="20:20" ht="18.75" customHeight="1" x14ac:dyDescent="0.35">
      <c r="T36770" s="246">
        <f t="shared" si="612"/>
        <v>0</v>
      </c>
    </row>
    <row r="36771" spans="20:20" ht="18.75" customHeight="1" x14ac:dyDescent="0.35">
      <c r="T36771" s="246">
        <f t="shared" si="612"/>
        <v>0</v>
      </c>
    </row>
    <row r="36772" spans="20:20" ht="18.75" customHeight="1" x14ac:dyDescent="0.35">
      <c r="T36772" s="246">
        <f t="shared" si="612"/>
        <v>0</v>
      </c>
    </row>
    <row r="36773" spans="20:20" ht="18.75" customHeight="1" x14ac:dyDescent="0.35">
      <c r="T36773" s="246">
        <f t="shared" si="612"/>
        <v>0</v>
      </c>
    </row>
    <row r="36774" spans="20:20" ht="18.75" customHeight="1" x14ac:dyDescent="0.35">
      <c r="T36774" s="246">
        <f t="shared" si="612"/>
        <v>0</v>
      </c>
    </row>
    <row r="36775" spans="20:20" ht="18.75" customHeight="1" x14ac:dyDescent="0.35">
      <c r="T36775" s="246">
        <f t="shared" si="612"/>
        <v>0</v>
      </c>
    </row>
    <row r="36776" spans="20:20" ht="18.75" customHeight="1" x14ac:dyDescent="0.35">
      <c r="T36776" s="246">
        <f t="shared" si="612"/>
        <v>0</v>
      </c>
    </row>
    <row r="36777" spans="20:20" ht="18.75" customHeight="1" x14ac:dyDescent="0.35">
      <c r="T36777" s="246">
        <f t="shared" si="612"/>
        <v>0</v>
      </c>
    </row>
    <row r="36778" spans="20:20" ht="18.75" customHeight="1" x14ac:dyDescent="0.35">
      <c r="T36778" s="246">
        <f t="shared" si="612"/>
        <v>0</v>
      </c>
    </row>
    <row r="36779" spans="20:20" ht="18.75" customHeight="1" x14ac:dyDescent="0.35">
      <c r="T36779" s="246">
        <f t="shared" si="612"/>
        <v>0</v>
      </c>
    </row>
    <row r="36780" spans="20:20" ht="18.75" customHeight="1" x14ac:dyDescent="0.35">
      <c r="T36780" s="246">
        <f t="shared" si="612"/>
        <v>0</v>
      </c>
    </row>
    <row r="36781" spans="20:20" ht="18.75" customHeight="1" x14ac:dyDescent="0.35">
      <c r="T36781" s="246">
        <f t="shared" si="612"/>
        <v>0</v>
      </c>
    </row>
    <row r="36782" spans="20:20" ht="18.75" customHeight="1" x14ac:dyDescent="0.35">
      <c r="T36782" s="246">
        <f t="shared" si="612"/>
        <v>0</v>
      </c>
    </row>
    <row r="36783" spans="20:20" ht="18.75" customHeight="1" x14ac:dyDescent="0.35">
      <c r="T36783" s="246">
        <f t="shared" si="612"/>
        <v>0</v>
      </c>
    </row>
    <row r="36784" spans="20:20" ht="18.75" customHeight="1" x14ac:dyDescent="0.35">
      <c r="T36784" s="246">
        <f t="shared" si="612"/>
        <v>0</v>
      </c>
    </row>
    <row r="36785" spans="20:20" ht="18.75" customHeight="1" x14ac:dyDescent="0.35">
      <c r="T36785" s="246">
        <f t="shared" si="612"/>
        <v>0</v>
      </c>
    </row>
    <row r="36786" spans="20:20" ht="18.75" customHeight="1" x14ac:dyDescent="0.35">
      <c r="T36786" s="246">
        <f t="shared" si="612"/>
        <v>0</v>
      </c>
    </row>
    <row r="36787" spans="20:20" ht="18.75" customHeight="1" x14ac:dyDescent="0.35">
      <c r="T36787" s="246">
        <f t="shared" si="612"/>
        <v>0</v>
      </c>
    </row>
    <row r="36788" spans="20:20" ht="18.75" customHeight="1" x14ac:dyDescent="0.35">
      <c r="T36788" s="246">
        <f t="shared" si="612"/>
        <v>0</v>
      </c>
    </row>
    <row r="36789" spans="20:20" ht="18.75" customHeight="1" x14ac:dyDescent="0.35">
      <c r="T36789" s="246">
        <f t="shared" si="612"/>
        <v>0</v>
      </c>
    </row>
    <row r="36790" spans="20:20" ht="18.75" customHeight="1" x14ac:dyDescent="0.35">
      <c r="T36790" s="246">
        <f t="shared" si="612"/>
        <v>0</v>
      </c>
    </row>
    <row r="36791" spans="20:20" ht="18.75" customHeight="1" x14ac:dyDescent="0.35">
      <c r="T36791" s="246">
        <f t="shared" si="612"/>
        <v>0</v>
      </c>
    </row>
    <row r="36792" spans="20:20" ht="18.75" customHeight="1" x14ac:dyDescent="0.35">
      <c r="T36792" s="246">
        <f t="shared" si="612"/>
        <v>0</v>
      </c>
    </row>
    <row r="36793" spans="20:20" ht="18.75" customHeight="1" x14ac:dyDescent="0.35">
      <c r="T36793" s="246">
        <f t="shared" si="612"/>
        <v>0</v>
      </c>
    </row>
    <row r="36794" spans="20:20" ht="18.75" customHeight="1" x14ac:dyDescent="0.35">
      <c r="T36794" s="246">
        <f t="shared" si="612"/>
        <v>0</v>
      </c>
    </row>
    <row r="36795" spans="20:20" ht="18.75" customHeight="1" x14ac:dyDescent="0.35">
      <c r="T36795" s="246">
        <f t="shared" si="612"/>
        <v>0</v>
      </c>
    </row>
    <row r="36796" spans="20:20" ht="18.75" customHeight="1" x14ac:dyDescent="0.35">
      <c r="T36796" s="246">
        <f t="shared" ref="T36796:T36859" si="613">R36796*0.01</f>
        <v>0</v>
      </c>
    </row>
    <row r="36797" spans="20:20" ht="18.75" customHeight="1" x14ac:dyDescent="0.35">
      <c r="T36797" s="246">
        <f t="shared" si="613"/>
        <v>0</v>
      </c>
    </row>
    <row r="36798" spans="20:20" ht="18.75" customHeight="1" x14ac:dyDescent="0.35">
      <c r="T36798" s="246">
        <f t="shared" si="613"/>
        <v>0</v>
      </c>
    </row>
    <row r="36799" spans="20:20" ht="18.75" customHeight="1" x14ac:dyDescent="0.35">
      <c r="T36799" s="246">
        <f t="shared" si="613"/>
        <v>0</v>
      </c>
    </row>
    <row r="36800" spans="20:20" ht="18.75" customHeight="1" x14ac:dyDescent="0.35">
      <c r="T36800" s="246">
        <f t="shared" si="613"/>
        <v>0</v>
      </c>
    </row>
    <row r="36801" spans="20:20" ht="18.75" customHeight="1" x14ac:dyDescent="0.35">
      <c r="T36801" s="246">
        <f t="shared" si="613"/>
        <v>0</v>
      </c>
    </row>
    <row r="36802" spans="20:20" ht="18.75" customHeight="1" x14ac:dyDescent="0.35">
      <c r="T36802" s="246">
        <f t="shared" si="613"/>
        <v>0</v>
      </c>
    </row>
    <row r="36803" spans="20:20" ht="18.75" customHeight="1" x14ac:dyDescent="0.35">
      <c r="T36803" s="246">
        <f t="shared" si="613"/>
        <v>0</v>
      </c>
    </row>
    <row r="36804" spans="20:20" ht="18.75" customHeight="1" x14ac:dyDescent="0.35">
      <c r="T36804" s="246">
        <f t="shared" si="613"/>
        <v>0</v>
      </c>
    </row>
    <row r="36805" spans="20:20" ht="18.75" customHeight="1" x14ac:dyDescent="0.35">
      <c r="T36805" s="246">
        <f t="shared" si="613"/>
        <v>0</v>
      </c>
    </row>
    <row r="36806" spans="20:20" ht="18.75" customHeight="1" x14ac:dyDescent="0.35">
      <c r="T36806" s="246">
        <f t="shared" si="613"/>
        <v>0</v>
      </c>
    </row>
    <row r="36807" spans="20:20" ht="18.75" customHeight="1" x14ac:dyDescent="0.35">
      <c r="T36807" s="246">
        <f t="shared" si="613"/>
        <v>0</v>
      </c>
    </row>
    <row r="36808" spans="20:20" ht="18.75" customHeight="1" x14ac:dyDescent="0.35">
      <c r="T36808" s="246">
        <f t="shared" si="613"/>
        <v>0</v>
      </c>
    </row>
    <row r="36809" spans="20:20" ht="18.75" customHeight="1" x14ac:dyDescent="0.35">
      <c r="T36809" s="246">
        <f t="shared" si="613"/>
        <v>0</v>
      </c>
    </row>
    <row r="36810" spans="20:20" ht="18.75" customHeight="1" x14ac:dyDescent="0.35">
      <c r="T36810" s="246">
        <f t="shared" si="613"/>
        <v>0</v>
      </c>
    </row>
    <row r="36811" spans="20:20" ht="18.75" customHeight="1" x14ac:dyDescent="0.35">
      <c r="T36811" s="246">
        <f t="shared" si="613"/>
        <v>0</v>
      </c>
    </row>
    <row r="36812" spans="20:20" ht="18.75" customHeight="1" x14ac:dyDescent="0.35">
      <c r="T36812" s="246">
        <f t="shared" si="613"/>
        <v>0</v>
      </c>
    </row>
    <row r="36813" spans="20:20" ht="18.75" customHeight="1" x14ac:dyDescent="0.35">
      <c r="T36813" s="246">
        <f t="shared" si="613"/>
        <v>0</v>
      </c>
    </row>
    <row r="36814" spans="20:20" ht="18.75" customHeight="1" x14ac:dyDescent="0.35">
      <c r="T36814" s="246">
        <f t="shared" si="613"/>
        <v>0</v>
      </c>
    </row>
    <row r="36815" spans="20:20" ht="18.75" customHeight="1" x14ac:dyDescent="0.35">
      <c r="T36815" s="246">
        <f t="shared" si="613"/>
        <v>0</v>
      </c>
    </row>
    <row r="36816" spans="20:20" ht="18.75" customHeight="1" x14ac:dyDescent="0.35">
      <c r="T36816" s="246">
        <f t="shared" si="613"/>
        <v>0</v>
      </c>
    </row>
    <row r="36817" spans="20:20" ht="18.75" customHeight="1" x14ac:dyDescent="0.35">
      <c r="T36817" s="246">
        <f t="shared" si="613"/>
        <v>0</v>
      </c>
    </row>
    <row r="36818" spans="20:20" ht="18.75" customHeight="1" x14ac:dyDescent="0.35">
      <c r="T36818" s="246">
        <f t="shared" si="613"/>
        <v>0</v>
      </c>
    </row>
    <row r="36819" spans="20:20" ht="18.75" customHeight="1" x14ac:dyDescent="0.35">
      <c r="T36819" s="246">
        <f t="shared" si="613"/>
        <v>0</v>
      </c>
    </row>
    <row r="36820" spans="20:20" ht="18.75" customHeight="1" x14ac:dyDescent="0.35">
      <c r="T36820" s="246">
        <f t="shared" si="613"/>
        <v>0</v>
      </c>
    </row>
    <row r="36821" spans="20:20" ht="18.75" customHeight="1" x14ac:dyDescent="0.35">
      <c r="T36821" s="246">
        <f t="shared" si="613"/>
        <v>0</v>
      </c>
    </row>
    <row r="36822" spans="20:20" ht="18.75" customHeight="1" x14ac:dyDescent="0.35">
      <c r="T36822" s="246">
        <f t="shared" si="613"/>
        <v>0</v>
      </c>
    </row>
    <row r="36823" spans="20:20" ht="18.75" customHeight="1" x14ac:dyDescent="0.35">
      <c r="T36823" s="246">
        <f t="shared" si="613"/>
        <v>0</v>
      </c>
    </row>
    <row r="36824" spans="20:20" ht="18.75" customHeight="1" x14ac:dyDescent="0.35">
      <c r="T36824" s="246">
        <f t="shared" si="613"/>
        <v>0</v>
      </c>
    </row>
    <row r="36825" spans="20:20" ht="18.75" customHeight="1" x14ac:dyDescent="0.35">
      <c r="T36825" s="246">
        <f t="shared" si="613"/>
        <v>0</v>
      </c>
    </row>
    <row r="36826" spans="20:20" ht="18.75" customHeight="1" x14ac:dyDescent="0.35">
      <c r="T36826" s="246">
        <f t="shared" si="613"/>
        <v>0</v>
      </c>
    </row>
    <row r="36827" spans="20:20" ht="18.75" customHeight="1" x14ac:dyDescent="0.35">
      <c r="T36827" s="246">
        <f t="shared" si="613"/>
        <v>0</v>
      </c>
    </row>
    <row r="36828" spans="20:20" ht="18.75" customHeight="1" x14ac:dyDescent="0.35">
      <c r="T36828" s="246">
        <f t="shared" si="613"/>
        <v>0</v>
      </c>
    </row>
    <row r="36829" spans="20:20" ht="18.75" customHeight="1" x14ac:dyDescent="0.35">
      <c r="T36829" s="246">
        <f t="shared" si="613"/>
        <v>0</v>
      </c>
    </row>
    <row r="36830" spans="20:20" ht="18.75" customHeight="1" x14ac:dyDescent="0.35">
      <c r="T36830" s="246">
        <f t="shared" si="613"/>
        <v>0</v>
      </c>
    </row>
    <row r="36831" spans="20:20" ht="18.75" customHeight="1" x14ac:dyDescent="0.35">
      <c r="T36831" s="246">
        <f t="shared" si="613"/>
        <v>0</v>
      </c>
    </row>
    <row r="36832" spans="20:20" ht="18.75" customHeight="1" x14ac:dyDescent="0.35">
      <c r="T36832" s="246">
        <f t="shared" si="613"/>
        <v>0</v>
      </c>
    </row>
    <row r="36833" spans="20:20" ht="18.75" customHeight="1" x14ac:dyDescent="0.35">
      <c r="T36833" s="246">
        <f t="shared" si="613"/>
        <v>0</v>
      </c>
    </row>
    <row r="36834" spans="20:20" ht="18.75" customHeight="1" x14ac:dyDescent="0.35">
      <c r="T36834" s="246">
        <f t="shared" si="613"/>
        <v>0</v>
      </c>
    </row>
    <row r="36835" spans="20:20" ht="18.75" customHeight="1" x14ac:dyDescent="0.35">
      <c r="T36835" s="246">
        <f t="shared" si="613"/>
        <v>0</v>
      </c>
    </row>
    <row r="36836" spans="20:20" ht="18.75" customHeight="1" x14ac:dyDescent="0.35">
      <c r="T36836" s="246">
        <f t="shared" si="613"/>
        <v>0</v>
      </c>
    </row>
    <row r="36837" spans="20:20" ht="18.75" customHeight="1" x14ac:dyDescent="0.35">
      <c r="T36837" s="246">
        <f t="shared" si="613"/>
        <v>0</v>
      </c>
    </row>
    <row r="36838" spans="20:20" ht="18.75" customHeight="1" x14ac:dyDescent="0.35">
      <c r="T36838" s="246">
        <f t="shared" si="613"/>
        <v>0</v>
      </c>
    </row>
    <row r="36839" spans="20:20" ht="18.75" customHeight="1" x14ac:dyDescent="0.35">
      <c r="T36839" s="246">
        <f t="shared" si="613"/>
        <v>0</v>
      </c>
    </row>
    <row r="36840" spans="20:20" ht="18.75" customHeight="1" x14ac:dyDescent="0.35">
      <c r="T36840" s="246">
        <f t="shared" si="613"/>
        <v>0</v>
      </c>
    </row>
    <row r="36841" spans="20:20" ht="18.75" customHeight="1" x14ac:dyDescent="0.35">
      <c r="T36841" s="246">
        <f t="shared" si="613"/>
        <v>0</v>
      </c>
    </row>
    <row r="36842" spans="20:20" ht="18.75" customHeight="1" x14ac:dyDescent="0.35">
      <c r="T36842" s="246">
        <f t="shared" si="613"/>
        <v>0</v>
      </c>
    </row>
    <row r="36843" spans="20:20" ht="18.75" customHeight="1" x14ac:dyDescent="0.35">
      <c r="T36843" s="246">
        <f t="shared" si="613"/>
        <v>0</v>
      </c>
    </row>
    <row r="36844" spans="20:20" ht="18.75" customHeight="1" x14ac:dyDescent="0.35">
      <c r="T36844" s="246">
        <f t="shared" si="613"/>
        <v>0</v>
      </c>
    </row>
    <row r="36845" spans="20:20" ht="18.75" customHeight="1" x14ac:dyDescent="0.35">
      <c r="T36845" s="246">
        <f t="shared" si="613"/>
        <v>0</v>
      </c>
    </row>
    <row r="36846" spans="20:20" ht="18.75" customHeight="1" x14ac:dyDescent="0.35">
      <c r="T36846" s="246">
        <f t="shared" si="613"/>
        <v>0</v>
      </c>
    </row>
    <row r="36847" spans="20:20" ht="18.75" customHeight="1" x14ac:dyDescent="0.35">
      <c r="T36847" s="246">
        <f t="shared" si="613"/>
        <v>0</v>
      </c>
    </row>
    <row r="36848" spans="20:20" ht="18.75" customHeight="1" x14ac:dyDescent="0.35">
      <c r="T36848" s="246">
        <f t="shared" si="613"/>
        <v>0</v>
      </c>
    </row>
    <row r="36849" spans="20:20" ht="18.75" customHeight="1" x14ac:dyDescent="0.35">
      <c r="T36849" s="246">
        <f t="shared" si="613"/>
        <v>0</v>
      </c>
    </row>
    <row r="36850" spans="20:20" ht="18.75" customHeight="1" x14ac:dyDescent="0.35">
      <c r="T36850" s="246">
        <f t="shared" si="613"/>
        <v>0</v>
      </c>
    </row>
    <row r="36851" spans="20:20" ht="18.75" customHeight="1" x14ac:dyDescent="0.35">
      <c r="T36851" s="246">
        <f t="shared" si="613"/>
        <v>0</v>
      </c>
    </row>
    <row r="36852" spans="20:20" ht="18.75" customHeight="1" x14ac:dyDescent="0.35">
      <c r="T36852" s="246">
        <f t="shared" si="613"/>
        <v>0</v>
      </c>
    </row>
    <row r="36853" spans="20:20" ht="18.75" customHeight="1" x14ac:dyDescent="0.35">
      <c r="T36853" s="246">
        <f t="shared" si="613"/>
        <v>0</v>
      </c>
    </row>
    <row r="36854" spans="20:20" ht="18.75" customHeight="1" x14ac:dyDescent="0.35">
      <c r="T36854" s="246">
        <f t="shared" si="613"/>
        <v>0</v>
      </c>
    </row>
    <row r="36855" spans="20:20" ht="18.75" customHeight="1" x14ac:dyDescent="0.35">
      <c r="T36855" s="246">
        <f t="shared" si="613"/>
        <v>0</v>
      </c>
    </row>
    <row r="36856" spans="20:20" ht="18.75" customHeight="1" x14ac:dyDescent="0.35">
      <c r="T36856" s="246">
        <f t="shared" si="613"/>
        <v>0</v>
      </c>
    </row>
    <row r="36857" spans="20:20" ht="18.75" customHeight="1" x14ac:dyDescent="0.35">
      <c r="T36857" s="246">
        <f t="shared" si="613"/>
        <v>0</v>
      </c>
    </row>
    <row r="36858" spans="20:20" ht="18.75" customHeight="1" x14ac:dyDescent="0.35">
      <c r="T36858" s="246">
        <f t="shared" si="613"/>
        <v>0</v>
      </c>
    </row>
    <row r="36859" spans="20:20" ht="18.75" customHeight="1" x14ac:dyDescent="0.35">
      <c r="T36859" s="246">
        <f t="shared" si="613"/>
        <v>0</v>
      </c>
    </row>
    <row r="36860" spans="20:20" ht="18.75" customHeight="1" x14ac:dyDescent="0.35">
      <c r="T36860" s="246">
        <f t="shared" ref="T36860:T36923" si="614">R36860*0.01</f>
        <v>0</v>
      </c>
    </row>
    <row r="36861" spans="20:20" ht="18.75" customHeight="1" x14ac:dyDescent="0.35">
      <c r="T36861" s="246">
        <f t="shared" si="614"/>
        <v>0</v>
      </c>
    </row>
    <row r="36862" spans="20:20" ht="18.75" customHeight="1" x14ac:dyDescent="0.35">
      <c r="T36862" s="246">
        <f t="shared" si="614"/>
        <v>0</v>
      </c>
    </row>
    <row r="36863" spans="20:20" ht="18.75" customHeight="1" x14ac:dyDescent="0.35">
      <c r="T36863" s="246">
        <f t="shared" si="614"/>
        <v>0</v>
      </c>
    </row>
    <row r="36864" spans="20:20" ht="18.75" customHeight="1" x14ac:dyDescent="0.35">
      <c r="T36864" s="246">
        <f t="shared" si="614"/>
        <v>0</v>
      </c>
    </row>
    <row r="36865" spans="20:20" ht="18.75" customHeight="1" x14ac:dyDescent="0.35">
      <c r="T36865" s="246">
        <f t="shared" si="614"/>
        <v>0</v>
      </c>
    </row>
    <row r="36866" spans="20:20" ht="18.75" customHeight="1" x14ac:dyDescent="0.35">
      <c r="T36866" s="246">
        <f t="shared" si="614"/>
        <v>0</v>
      </c>
    </row>
    <row r="36867" spans="20:20" ht="18.75" customHeight="1" x14ac:dyDescent="0.35">
      <c r="T36867" s="246">
        <f t="shared" si="614"/>
        <v>0</v>
      </c>
    </row>
    <row r="36868" spans="20:20" ht="18.75" customHeight="1" x14ac:dyDescent="0.35">
      <c r="T36868" s="246">
        <f t="shared" si="614"/>
        <v>0</v>
      </c>
    </row>
    <row r="36869" spans="20:20" ht="18.75" customHeight="1" x14ac:dyDescent="0.35">
      <c r="T36869" s="246">
        <f t="shared" si="614"/>
        <v>0</v>
      </c>
    </row>
    <row r="36870" spans="20:20" ht="18.75" customHeight="1" x14ac:dyDescent="0.35">
      <c r="T36870" s="246">
        <f t="shared" si="614"/>
        <v>0</v>
      </c>
    </row>
    <row r="36871" spans="20:20" ht="18.75" customHeight="1" x14ac:dyDescent="0.35">
      <c r="T36871" s="246">
        <f t="shared" si="614"/>
        <v>0</v>
      </c>
    </row>
    <row r="36872" spans="20:20" ht="18.75" customHeight="1" x14ac:dyDescent="0.35">
      <c r="T36872" s="246">
        <f t="shared" si="614"/>
        <v>0</v>
      </c>
    </row>
    <row r="36873" spans="20:20" ht="18.75" customHeight="1" x14ac:dyDescent="0.35">
      <c r="T36873" s="246">
        <f t="shared" si="614"/>
        <v>0</v>
      </c>
    </row>
    <row r="36874" spans="20:20" ht="18.75" customHeight="1" x14ac:dyDescent="0.35">
      <c r="T36874" s="246">
        <f t="shared" si="614"/>
        <v>0</v>
      </c>
    </row>
    <row r="36875" spans="20:20" ht="18.75" customHeight="1" x14ac:dyDescent="0.35">
      <c r="T36875" s="246">
        <f t="shared" si="614"/>
        <v>0</v>
      </c>
    </row>
    <row r="36876" spans="20:20" ht="18.75" customHeight="1" x14ac:dyDescent="0.35">
      <c r="T36876" s="246">
        <f t="shared" si="614"/>
        <v>0</v>
      </c>
    </row>
    <row r="36877" spans="20:20" ht="18.75" customHeight="1" x14ac:dyDescent="0.35">
      <c r="T36877" s="246">
        <f t="shared" si="614"/>
        <v>0</v>
      </c>
    </row>
    <row r="36878" spans="20:20" ht="18.75" customHeight="1" x14ac:dyDescent="0.35">
      <c r="T36878" s="246">
        <f t="shared" si="614"/>
        <v>0</v>
      </c>
    </row>
    <row r="36879" spans="20:20" ht="18.75" customHeight="1" x14ac:dyDescent="0.35">
      <c r="T36879" s="246">
        <f t="shared" si="614"/>
        <v>0</v>
      </c>
    </row>
    <row r="36880" spans="20:20" ht="18.75" customHeight="1" x14ac:dyDescent="0.35">
      <c r="T36880" s="246">
        <f t="shared" si="614"/>
        <v>0</v>
      </c>
    </row>
    <row r="36881" spans="20:20" ht="18.75" customHeight="1" x14ac:dyDescent="0.35">
      <c r="T36881" s="246">
        <f t="shared" si="614"/>
        <v>0</v>
      </c>
    </row>
    <row r="36882" spans="20:20" ht="18.75" customHeight="1" x14ac:dyDescent="0.35">
      <c r="T36882" s="246">
        <f t="shared" si="614"/>
        <v>0</v>
      </c>
    </row>
    <row r="36883" spans="20:20" ht="18.75" customHeight="1" x14ac:dyDescent="0.35">
      <c r="T36883" s="246">
        <f t="shared" si="614"/>
        <v>0</v>
      </c>
    </row>
    <row r="36884" spans="20:20" ht="18.75" customHeight="1" x14ac:dyDescent="0.35">
      <c r="T36884" s="246">
        <f t="shared" si="614"/>
        <v>0</v>
      </c>
    </row>
    <row r="36885" spans="20:20" ht="18.75" customHeight="1" x14ac:dyDescent="0.35">
      <c r="T36885" s="246">
        <f t="shared" si="614"/>
        <v>0</v>
      </c>
    </row>
    <row r="36886" spans="20:20" ht="18.75" customHeight="1" x14ac:dyDescent="0.35">
      <c r="T36886" s="246">
        <f t="shared" si="614"/>
        <v>0</v>
      </c>
    </row>
    <row r="36887" spans="20:20" ht="18.75" customHeight="1" x14ac:dyDescent="0.35">
      <c r="T36887" s="246">
        <f t="shared" si="614"/>
        <v>0</v>
      </c>
    </row>
    <row r="36888" spans="20:20" ht="18.75" customHeight="1" x14ac:dyDescent="0.35">
      <c r="T36888" s="246">
        <f t="shared" si="614"/>
        <v>0</v>
      </c>
    </row>
    <row r="36889" spans="20:20" ht="18.75" customHeight="1" x14ac:dyDescent="0.35">
      <c r="T36889" s="246">
        <f t="shared" si="614"/>
        <v>0</v>
      </c>
    </row>
    <row r="36890" spans="20:20" ht="18.75" customHeight="1" x14ac:dyDescent="0.35">
      <c r="T36890" s="246">
        <f t="shared" si="614"/>
        <v>0</v>
      </c>
    </row>
    <row r="36891" spans="20:20" ht="18.75" customHeight="1" x14ac:dyDescent="0.35">
      <c r="T36891" s="246">
        <f t="shared" si="614"/>
        <v>0</v>
      </c>
    </row>
    <row r="36892" spans="20:20" ht="18.75" customHeight="1" x14ac:dyDescent="0.35">
      <c r="T36892" s="246">
        <f t="shared" si="614"/>
        <v>0</v>
      </c>
    </row>
    <row r="36893" spans="20:20" ht="18.75" customHeight="1" x14ac:dyDescent="0.35">
      <c r="T36893" s="246">
        <f t="shared" si="614"/>
        <v>0</v>
      </c>
    </row>
    <row r="36894" spans="20:20" ht="18.75" customHeight="1" x14ac:dyDescent="0.35">
      <c r="T36894" s="246">
        <f t="shared" si="614"/>
        <v>0</v>
      </c>
    </row>
    <row r="36895" spans="20:20" ht="18.75" customHeight="1" x14ac:dyDescent="0.35">
      <c r="T36895" s="246">
        <f t="shared" si="614"/>
        <v>0</v>
      </c>
    </row>
    <row r="36896" spans="20:20" ht="18.75" customHeight="1" x14ac:dyDescent="0.35">
      <c r="T36896" s="246">
        <f t="shared" si="614"/>
        <v>0</v>
      </c>
    </row>
    <row r="36897" spans="20:20" ht="18.75" customHeight="1" x14ac:dyDescent="0.35">
      <c r="T36897" s="246">
        <f t="shared" si="614"/>
        <v>0</v>
      </c>
    </row>
    <row r="36898" spans="20:20" ht="18.75" customHeight="1" x14ac:dyDescent="0.35">
      <c r="T36898" s="246">
        <f t="shared" si="614"/>
        <v>0</v>
      </c>
    </row>
    <row r="36899" spans="20:20" ht="18.75" customHeight="1" x14ac:dyDescent="0.35">
      <c r="T36899" s="246">
        <f t="shared" si="614"/>
        <v>0</v>
      </c>
    </row>
    <row r="36900" spans="20:20" ht="18.75" customHeight="1" x14ac:dyDescent="0.35">
      <c r="T36900" s="246">
        <f t="shared" si="614"/>
        <v>0</v>
      </c>
    </row>
    <row r="36901" spans="20:20" ht="18.75" customHeight="1" x14ac:dyDescent="0.35">
      <c r="T36901" s="246">
        <f t="shared" si="614"/>
        <v>0</v>
      </c>
    </row>
    <row r="36902" spans="20:20" ht="18.75" customHeight="1" x14ac:dyDescent="0.35">
      <c r="T36902" s="246">
        <f t="shared" si="614"/>
        <v>0</v>
      </c>
    </row>
    <row r="36903" spans="20:20" ht="18.75" customHeight="1" x14ac:dyDescent="0.35">
      <c r="T36903" s="246">
        <f t="shared" si="614"/>
        <v>0</v>
      </c>
    </row>
    <row r="36904" spans="20:20" ht="18.75" customHeight="1" x14ac:dyDescent="0.35">
      <c r="T36904" s="246">
        <f t="shared" si="614"/>
        <v>0</v>
      </c>
    </row>
    <row r="36905" spans="20:20" ht="18.75" customHeight="1" x14ac:dyDescent="0.35">
      <c r="T36905" s="246">
        <f t="shared" si="614"/>
        <v>0</v>
      </c>
    </row>
    <row r="36906" spans="20:20" ht="18.75" customHeight="1" x14ac:dyDescent="0.35">
      <c r="T36906" s="246">
        <f t="shared" si="614"/>
        <v>0</v>
      </c>
    </row>
    <row r="36907" spans="20:20" ht="18.75" customHeight="1" x14ac:dyDescent="0.35">
      <c r="T36907" s="246">
        <f t="shared" si="614"/>
        <v>0</v>
      </c>
    </row>
    <row r="36908" spans="20:20" ht="18.75" customHeight="1" x14ac:dyDescent="0.35">
      <c r="T36908" s="246">
        <f t="shared" si="614"/>
        <v>0</v>
      </c>
    </row>
    <row r="36909" spans="20:20" ht="18.75" customHeight="1" x14ac:dyDescent="0.35">
      <c r="T36909" s="246">
        <f t="shared" si="614"/>
        <v>0</v>
      </c>
    </row>
    <row r="36910" spans="20:20" ht="18.75" customHeight="1" x14ac:dyDescent="0.35">
      <c r="T36910" s="246">
        <f t="shared" si="614"/>
        <v>0</v>
      </c>
    </row>
    <row r="36911" spans="20:20" ht="18.75" customHeight="1" x14ac:dyDescent="0.35">
      <c r="T36911" s="246">
        <f t="shared" si="614"/>
        <v>0</v>
      </c>
    </row>
    <row r="36912" spans="20:20" ht="18.75" customHeight="1" x14ac:dyDescent="0.35">
      <c r="T36912" s="246">
        <f t="shared" si="614"/>
        <v>0</v>
      </c>
    </row>
    <row r="36913" spans="20:20" ht="18.75" customHeight="1" x14ac:dyDescent="0.35">
      <c r="T36913" s="246">
        <f t="shared" si="614"/>
        <v>0</v>
      </c>
    </row>
    <row r="36914" spans="20:20" ht="18.75" customHeight="1" x14ac:dyDescent="0.35">
      <c r="T36914" s="246">
        <f t="shared" si="614"/>
        <v>0</v>
      </c>
    </row>
    <row r="36915" spans="20:20" ht="18.75" customHeight="1" x14ac:dyDescent="0.35">
      <c r="T36915" s="246">
        <f t="shared" si="614"/>
        <v>0</v>
      </c>
    </row>
    <row r="36916" spans="20:20" ht="18.75" customHeight="1" x14ac:dyDescent="0.35">
      <c r="T36916" s="246">
        <f t="shared" si="614"/>
        <v>0</v>
      </c>
    </row>
    <row r="36917" spans="20:20" ht="18.75" customHeight="1" x14ac:dyDescent="0.35">
      <c r="T36917" s="246">
        <f t="shared" si="614"/>
        <v>0</v>
      </c>
    </row>
    <row r="36918" spans="20:20" ht="18.75" customHeight="1" x14ac:dyDescent="0.35">
      <c r="T36918" s="246">
        <f t="shared" si="614"/>
        <v>0</v>
      </c>
    </row>
    <row r="36919" spans="20:20" ht="18.75" customHeight="1" x14ac:dyDescent="0.35">
      <c r="T36919" s="246">
        <f t="shared" si="614"/>
        <v>0</v>
      </c>
    </row>
    <row r="36920" spans="20:20" ht="18.75" customHeight="1" x14ac:dyDescent="0.35">
      <c r="T36920" s="246">
        <f t="shared" si="614"/>
        <v>0</v>
      </c>
    </row>
    <row r="36921" spans="20:20" ht="18.75" customHeight="1" x14ac:dyDescent="0.35">
      <c r="T36921" s="246">
        <f t="shared" si="614"/>
        <v>0</v>
      </c>
    </row>
    <row r="36922" spans="20:20" ht="18.75" customHeight="1" x14ac:dyDescent="0.35">
      <c r="T36922" s="246">
        <f t="shared" si="614"/>
        <v>0</v>
      </c>
    </row>
    <row r="36923" spans="20:20" ht="18.75" customHeight="1" x14ac:dyDescent="0.35">
      <c r="T36923" s="246">
        <f t="shared" si="614"/>
        <v>0</v>
      </c>
    </row>
    <row r="36924" spans="20:20" ht="18.75" customHeight="1" x14ac:dyDescent="0.35">
      <c r="T36924" s="246">
        <f t="shared" ref="T36924:T36987" si="615">R36924*0.01</f>
        <v>0</v>
      </c>
    </row>
    <row r="36925" spans="20:20" ht="18.75" customHeight="1" x14ac:dyDescent="0.35">
      <c r="T36925" s="246">
        <f t="shared" si="615"/>
        <v>0</v>
      </c>
    </row>
    <row r="36926" spans="20:20" ht="18.75" customHeight="1" x14ac:dyDescent="0.35">
      <c r="T36926" s="246">
        <f t="shared" si="615"/>
        <v>0</v>
      </c>
    </row>
    <row r="36927" spans="20:20" ht="18.75" customHeight="1" x14ac:dyDescent="0.35">
      <c r="T36927" s="246">
        <f t="shared" si="615"/>
        <v>0</v>
      </c>
    </row>
    <row r="36928" spans="20:20" ht="18.75" customHeight="1" x14ac:dyDescent="0.35">
      <c r="T36928" s="246">
        <f t="shared" si="615"/>
        <v>0</v>
      </c>
    </row>
    <row r="36929" spans="20:20" ht="18.75" customHeight="1" x14ac:dyDescent="0.35">
      <c r="T36929" s="246">
        <f t="shared" si="615"/>
        <v>0</v>
      </c>
    </row>
    <row r="36930" spans="20:20" ht="18.75" customHeight="1" x14ac:dyDescent="0.35">
      <c r="T36930" s="246">
        <f t="shared" si="615"/>
        <v>0</v>
      </c>
    </row>
    <row r="36931" spans="20:20" ht="18.75" customHeight="1" x14ac:dyDescent="0.35">
      <c r="T36931" s="246">
        <f t="shared" si="615"/>
        <v>0</v>
      </c>
    </row>
    <row r="36932" spans="20:20" ht="18.75" customHeight="1" x14ac:dyDescent="0.35">
      <c r="T36932" s="246">
        <f t="shared" si="615"/>
        <v>0</v>
      </c>
    </row>
    <row r="36933" spans="20:20" ht="18.75" customHeight="1" x14ac:dyDescent="0.35">
      <c r="T36933" s="246">
        <f t="shared" si="615"/>
        <v>0</v>
      </c>
    </row>
    <row r="36934" spans="20:20" ht="18.75" customHeight="1" x14ac:dyDescent="0.35">
      <c r="T36934" s="246">
        <f t="shared" si="615"/>
        <v>0</v>
      </c>
    </row>
    <row r="36935" spans="20:20" ht="18.75" customHeight="1" x14ac:dyDescent="0.35">
      <c r="T36935" s="246">
        <f t="shared" si="615"/>
        <v>0</v>
      </c>
    </row>
    <row r="36936" spans="20:20" ht="18.75" customHeight="1" x14ac:dyDescent="0.35">
      <c r="T36936" s="246">
        <f t="shared" si="615"/>
        <v>0</v>
      </c>
    </row>
    <row r="36937" spans="20:20" ht="18.75" customHeight="1" x14ac:dyDescent="0.35">
      <c r="T36937" s="246">
        <f t="shared" si="615"/>
        <v>0</v>
      </c>
    </row>
    <row r="36938" spans="20:20" ht="18.75" customHeight="1" x14ac:dyDescent="0.35">
      <c r="T36938" s="246">
        <f t="shared" si="615"/>
        <v>0</v>
      </c>
    </row>
    <row r="36939" spans="20:20" ht="18.75" customHeight="1" x14ac:dyDescent="0.35">
      <c r="T36939" s="246">
        <f t="shared" si="615"/>
        <v>0</v>
      </c>
    </row>
    <row r="36940" spans="20:20" ht="18.75" customHeight="1" x14ac:dyDescent="0.35">
      <c r="T36940" s="246">
        <f t="shared" si="615"/>
        <v>0</v>
      </c>
    </row>
    <row r="36941" spans="20:20" ht="18.75" customHeight="1" x14ac:dyDescent="0.35">
      <c r="T36941" s="246">
        <f t="shared" si="615"/>
        <v>0</v>
      </c>
    </row>
    <row r="36942" spans="20:20" ht="18.75" customHeight="1" x14ac:dyDescent="0.35">
      <c r="T36942" s="246">
        <f t="shared" si="615"/>
        <v>0</v>
      </c>
    </row>
    <row r="36943" spans="20:20" ht="18.75" customHeight="1" x14ac:dyDescent="0.35">
      <c r="T36943" s="246">
        <f t="shared" si="615"/>
        <v>0</v>
      </c>
    </row>
    <row r="36944" spans="20:20" ht="18.75" customHeight="1" x14ac:dyDescent="0.35">
      <c r="T36944" s="246">
        <f t="shared" si="615"/>
        <v>0</v>
      </c>
    </row>
    <row r="36945" spans="20:20" ht="18.75" customHeight="1" x14ac:dyDescent="0.35">
      <c r="T36945" s="246">
        <f t="shared" si="615"/>
        <v>0</v>
      </c>
    </row>
    <row r="36946" spans="20:20" ht="18.75" customHeight="1" x14ac:dyDescent="0.35">
      <c r="T36946" s="246">
        <f t="shared" si="615"/>
        <v>0</v>
      </c>
    </row>
    <row r="36947" spans="20:20" ht="18.75" customHeight="1" x14ac:dyDescent="0.35">
      <c r="T36947" s="246">
        <f t="shared" si="615"/>
        <v>0</v>
      </c>
    </row>
    <row r="36948" spans="20:20" ht="18.75" customHeight="1" x14ac:dyDescent="0.35">
      <c r="T36948" s="246">
        <f t="shared" si="615"/>
        <v>0</v>
      </c>
    </row>
    <row r="36949" spans="20:20" ht="18.75" customHeight="1" x14ac:dyDescent="0.35">
      <c r="T36949" s="246">
        <f t="shared" si="615"/>
        <v>0</v>
      </c>
    </row>
    <row r="36950" spans="20:20" ht="18.75" customHeight="1" x14ac:dyDescent="0.35">
      <c r="T36950" s="246">
        <f t="shared" si="615"/>
        <v>0</v>
      </c>
    </row>
    <row r="36951" spans="20:20" ht="18.75" customHeight="1" x14ac:dyDescent="0.35">
      <c r="T36951" s="246">
        <f t="shared" si="615"/>
        <v>0</v>
      </c>
    </row>
    <row r="36952" spans="20:20" ht="18.75" customHeight="1" x14ac:dyDescent="0.35">
      <c r="T36952" s="246">
        <f t="shared" si="615"/>
        <v>0</v>
      </c>
    </row>
    <row r="36953" spans="20:20" ht="18.75" customHeight="1" x14ac:dyDescent="0.35">
      <c r="T36953" s="246">
        <f t="shared" si="615"/>
        <v>0</v>
      </c>
    </row>
    <row r="36954" spans="20:20" ht="18.75" customHeight="1" x14ac:dyDescent="0.35">
      <c r="T36954" s="246">
        <f t="shared" si="615"/>
        <v>0</v>
      </c>
    </row>
    <row r="36955" spans="20:20" ht="18.75" customHeight="1" x14ac:dyDescent="0.35">
      <c r="T36955" s="246">
        <f t="shared" si="615"/>
        <v>0</v>
      </c>
    </row>
    <row r="36956" spans="20:20" ht="18.75" customHeight="1" x14ac:dyDescent="0.35">
      <c r="T36956" s="246">
        <f t="shared" si="615"/>
        <v>0</v>
      </c>
    </row>
    <row r="36957" spans="20:20" ht="18.75" customHeight="1" x14ac:dyDescent="0.35">
      <c r="T36957" s="246">
        <f t="shared" si="615"/>
        <v>0</v>
      </c>
    </row>
    <row r="36958" spans="20:20" ht="18.75" customHeight="1" x14ac:dyDescent="0.35">
      <c r="T36958" s="246">
        <f t="shared" si="615"/>
        <v>0</v>
      </c>
    </row>
    <row r="36959" spans="20:20" ht="18.75" customHeight="1" x14ac:dyDescent="0.35">
      <c r="T36959" s="246">
        <f t="shared" si="615"/>
        <v>0</v>
      </c>
    </row>
    <row r="36960" spans="20:20" ht="18.75" customHeight="1" x14ac:dyDescent="0.35">
      <c r="T36960" s="246">
        <f t="shared" si="615"/>
        <v>0</v>
      </c>
    </row>
    <row r="36961" spans="20:20" ht="18.75" customHeight="1" x14ac:dyDescent="0.35">
      <c r="T36961" s="246">
        <f t="shared" si="615"/>
        <v>0</v>
      </c>
    </row>
    <row r="36962" spans="20:20" ht="18.75" customHeight="1" x14ac:dyDescent="0.35">
      <c r="T36962" s="246">
        <f t="shared" si="615"/>
        <v>0</v>
      </c>
    </row>
    <row r="36963" spans="20:20" ht="18.75" customHeight="1" x14ac:dyDescent="0.35">
      <c r="T36963" s="246">
        <f t="shared" si="615"/>
        <v>0</v>
      </c>
    </row>
    <row r="36964" spans="20:20" ht="18.75" customHeight="1" x14ac:dyDescent="0.35">
      <c r="T36964" s="246">
        <f t="shared" si="615"/>
        <v>0</v>
      </c>
    </row>
    <row r="36965" spans="20:20" ht="18.75" customHeight="1" x14ac:dyDescent="0.35">
      <c r="T36965" s="246">
        <f t="shared" si="615"/>
        <v>0</v>
      </c>
    </row>
    <row r="36966" spans="20:20" ht="18.75" customHeight="1" x14ac:dyDescent="0.35">
      <c r="T36966" s="246">
        <f t="shared" si="615"/>
        <v>0</v>
      </c>
    </row>
    <row r="36967" spans="20:20" ht="18.75" customHeight="1" x14ac:dyDescent="0.35">
      <c r="T36967" s="246">
        <f t="shared" si="615"/>
        <v>0</v>
      </c>
    </row>
    <row r="36968" spans="20:20" ht="18.75" customHeight="1" x14ac:dyDescent="0.35">
      <c r="T36968" s="246">
        <f t="shared" si="615"/>
        <v>0</v>
      </c>
    </row>
    <row r="36969" spans="20:20" ht="18.75" customHeight="1" x14ac:dyDescent="0.35">
      <c r="T36969" s="246">
        <f t="shared" si="615"/>
        <v>0</v>
      </c>
    </row>
    <row r="36970" spans="20:20" ht="18.75" customHeight="1" x14ac:dyDescent="0.35">
      <c r="T36970" s="246">
        <f t="shared" si="615"/>
        <v>0</v>
      </c>
    </row>
    <row r="36971" spans="20:20" ht="18.75" customHeight="1" x14ac:dyDescent="0.35">
      <c r="T36971" s="246">
        <f t="shared" si="615"/>
        <v>0</v>
      </c>
    </row>
    <row r="36972" spans="20:20" ht="18.75" customHeight="1" x14ac:dyDescent="0.35">
      <c r="T36972" s="246">
        <f t="shared" si="615"/>
        <v>0</v>
      </c>
    </row>
    <row r="36973" spans="20:20" ht="18.75" customHeight="1" x14ac:dyDescent="0.35">
      <c r="T36973" s="246">
        <f t="shared" si="615"/>
        <v>0</v>
      </c>
    </row>
    <row r="36974" spans="20:20" ht="18.75" customHeight="1" x14ac:dyDescent="0.35">
      <c r="T36974" s="246">
        <f t="shared" si="615"/>
        <v>0</v>
      </c>
    </row>
    <row r="36975" spans="20:20" ht="18.75" customHeight="1" x14ac:dyDescent="0.35">
      <c r="T36975" s="246">
        <f t="shared" si="615"/>
        <v>0</v>
      </c>
    </row>
    <row r="36976" spans="20:20" ht="18.75" customHeight="1" x14ac:dyDescent="0.35">
      <c r="T36976" s="246">
        <f t="shared" si="615"/>
        <v>0</v>
      </c>
    </row>
    <row r="36977" spans="20:20" ht="18.75" customHeight="1" x14ac:dyDescent="0.35">
      <c r="T36977" s="246">
        <f t="shared" si="615"/>
        <v>0</v>
      </c>
    </row>
    <row r="36978" spans="20:20" ht="18.75" customHeight="1" x14ac:dyDescent="0.35">
      <c r="T36978" s="246">
        <f t="shared" si="615"/>
        <v>0</v>
      </c>
    </row>
    <row r="36979" spans="20:20" ht="18.75" customHeight="1" x14ac:dyDescent="0.35">
      <c r="T36979" s="246">
        <f t="shared" si="615"/>
        <v>0</v>
      </c>
    </row>
    <row r="36980" spans="20:20" ht="18.75" customHeight="1" x14ac:dyDescent="0.35">
      <c r="T36980" s="246">
        <f t="shared" si="615"/>
        <v>0</v>
      </c>
    </row>
    <row r="36981" spans="20:20" ht="18.75" customHeight="1" x14ac:dyDescent="0.35">
      <c r="T36981" s="246">
        <f t="shared" si="615"/>
        <v>0</v>
      </c>
    </row>
    <row r="36982" spans="20:20" ht="18.75" customHeight="1" x14ac:dyDescent="0.35">
      <c r="T36982" s="246">
        <f t="shared" si="615"/>
        <v>0</v>
      </c>
    </row>
    <row r="36983" spans="20:20" ht="18.75" customHeight="1" x14ac:dyDescent="0.35">
      <c r="T36983" s="246">
        <f t="shared" si="615"/>
        <v>0</v>
      </c>
    </row>
    <row r="36984" spans="20:20" ht="18.75" customHeight="1" x14ac:dyDescent="0.35">
      <c r="T36984" s="246">
        <f t="shared" si="615"/>
        <v>0</v>
      </c>
    </row>
    <row r="36985" spans="20:20" ht="18.75" customHeight="1" x14ac:dyDescent="0.35">
      <c r="T36985" s="246">
        <f t="shared" si="615"/>
        <v>0</v>
      </c>
    </row>
    <row r="36986" spans="20:20" ht="18.75" customHeight="1" x14ac:dyDescent="0.35">
      <c r="T36986" s="246">
        <f t="shared" si="615"/>
        <v>0</v>
      </c>
    </row>
    <row r="36987" spans="20:20" ht="18.75" customHeight="1" x14ac:dyDescent="0.35">
      <c r="T36987" s="246">
        <f t="shared" si="615"/>
        <v>0</v>
      </c>
    </row>
    <row r="36988" spans="20:20" ht="18.75" customHeight="1" x14ac:dyDescent="0.35">
      <c r="T36988" s="246">
        <f t="shared" ref="T36988:T37051" si="616">R36988*0.01</f>
        <v>0</v>
      </c>
    </row>
    <row r="36989" spans="20:20" ht="18.75" customHeight="1" x14ac:dyDescent="0.35">
      <c r="T36989" s="246">
        <f t="shared" si="616"/>
        <v>0</v>
      </c>
    </row>
    <row r="36990" spans="20:20" ht="18.75" customHeight="1" x14ac:dyDescent="0.35">
      <c r="T36990" s="246">
        <f t="shared" si="616"/>
        <v>0</v>
      </c>
    </row>
    <row r="36991" spans="20:20" ht="18.75" customHeight="1" x14ac:dyDescent="0.35">
      <c r="T36991" s="246">
        <f t="shared" si="616"/>
        <v>0</v>
      </c>
    </row>
    <row r="36992" spans="20:20" ht="18.75" customHeight="1" x14ac:dyDescent="0.35">
      <c r="T36992" s="246">
        <f t="shared" si="616"/>
        <v>0</v>
      </c>
    </row>
    <row r="36993" spans="20:20" ht="18.75" customHeight="1" x14ac:dyDescent="0.35">
      <c r="T36993" s="246">
        <f t="shared" si="616"/>
        <v>0</v>
      </c>
    </row>
    <row r="36994" spans="20:20" ht="18.75" customHeight="1" x14ac:dyDescent="0.35">
      <c r="T36994" s="246">
        <f t="shared" si="616"/>
        <v>0</v>
      </c>
    </row>
    <row r="36995" spans="20:20" ht="18.75" customHeight="1" x14ac:dyDescent="0.35">
      <c r="T36995" s="246">
        <f t="shared" si="616"/>
        <v>0</v>
      </c>
    </row>
    <row r="36996" spans="20:20" ht="18.75" customHeight="1" x14ac:dyDescent="0.35">
      <c r="T36996" s="246">
        <f t="shared" si="616"/>
        <v>0</v>
      </c>
    </row>
    <row r="36997" spans="20:20" ht="18.75" customHeight="1" x14ac:dyDescent="0.35">
      <c r="T36997" s="246">
        <f t="shared" si="616"/>
        <v>0</v>
      </c>
    </row>
    <row r="36998" spans="20:20" ht="18.75" customHeight="1" x14ac:dyDescent="0.35">
      <c r="T36998" s="246">
        <f t="shared" si="616"/>
        <v>0</v>
      </c>
    </row>
    <row r="36999" spans="20:20" ht="18.75" customHeight="1" x14ac:dyDescent="0.35">
      <c r="T36999" s="246">
        <f t="shared" si="616"/>
        <v>0</v>
      </c>
    </row>
    <row r="37000" spans="20:20" ht="18.75" customHeight="1" x14ac:dyDescent="0.35">
      <c r="T37000" s="246">
        <f t="shared" si="616"/>
        <v>0</v>
      </c>
    </row>
    <row r="37001" spans="20:20" ht="18.75" customHeight="1" x14ac:dyDescent="0.35">
      <c r="T37001" s="246">
        <f t="shared" si="616"/>
        <v>0</v>
      </c>
    </row>
    <row r="37002" spans="20:20" ht="18.75" customHeight="1" x14ac:dyDescent="0.35">
      <c r="T37002" s="246">
        <f t="shared" si="616"/>
        <v>0</v>
      </c>
    </row>
    <row r="37003" spans="20:20" ht="18.75" customHeight="1" x14ac:dyDescent="0.35">
      <c r="T37003" s="246">
        <f t="shared" si="616"/>
        <v>0</v>
      </c>
    </row>
    <row r="37004" spans="20:20" ht="18.75" customHeight="1" x14ac:dyDescent="0.35">
      <c r="T37004" s="246">
        <f t="shared" si="616"/>
        <v>0</v>
      </c>
    </row>
    <row r="37005" spans="20:20" ht="18.75" customHeight="1" x14ac:dyDescent="0.35">
      <c r="T37005" s="246">
        <f t="shared" si="616"/>
        <v>0</v>
      </c>
    </row>
    <row r="37006" spans="20:20" ht="18.75" customHeight="1" x14ac:dyDescent="0.35">
      <c r="T37006" s="246">
        <f t="shared" si="616"/>
        <v>0</v>
      </c>
    </row>
    <row r="37007" spans="20:20" ht="18.75" customHeight="1" x14ac:dyDescent="0.35">
      <c r="T37007" s="246">
        <f t="shared" si="616"/>
        <v>0</v>
      </c>
    </row>
    <row r="37008" spans="20:20" ht="18.75" customHeight="1" x14ac:dyDescent="0.35">
      <c r="T37008" s="246">
        <f t="shared" si="616"/>
        <v>0</v>
      </c>
    </row>
    <row r="37009" spans="20:20" ht="18.75" customHeight="1" x14ac:dyDescent="0.35">
      <c r="T37009" s="246">
        <f t="shared" si="616"/>
        <v>0</v>
      </c>
    </row>
    <row r="37010" spans="20:20" ht="18.75" customHeight="1" x14ac:dyDescent="0.35">
      <c r="T37010" s="246">
        <f t="shared" si="616"/>
        <v>0</v>
      </c>
    </row>
    <row r="37011" spans="20:20" ht="18.75" customHeight="1" x14ac:dyDescent="0.35">
      <c r="T37011" s="246">
        <f t="shared" si="616"/>
        <v>0</v>
      </c>
    </row>
    <row r="37012" spans="20:20" ht="18.75" customHeight="1" x14ac:dyDescent="0.35">
      <c r="T37012" s="246">
        <f t="shared" si="616"/>
        <v>0</v>
      </c>
    </row>
    <row r="37013" spans="20:20" ht="18.75" customHeight="1" x14ac:dyDescent="0.35">
      <c r="T37013" s="246">
        <f t="shared" si="616"/>
        <v>0</v>
      </c>
    </row>
    <row r="37014" spans="20:20" ht="18.75" customHeight="1" x14ac:dyDescent="0.35">
      <c r="T37014" s="246">
        <f t="shared" si="616"/>
        <v>0</v>
      </c>
    </row>
    <row r="37015" spans="20:20" ht="18.75" customHeight="1" x14ac:dyDescent="0.35">
      <c r="T37015" s="246">
        <f t="shared" si="616"/>
        <v>0</v>
      </c>
    </row>
    <row r="37016" spans="20:20" ht="18.75" customHeight="1" x14ac:dyDescent="0.35">
      <c r="T37016" s="246">
        <f t="shared" si="616"/>
        <v>0</v>
      </c>
    </row>
    <row r="37017" spans="20:20" ht="18.75" customHeight="1" x14ac:dyDescent="0.35">
      <c r="T37017" s="246">
        <f t="shared" si="616"/>
        <v>0</v>
      </c>
    </row>
    <row r="37018" spans="20:20" ht="18.75" customHeight="1" x14ac:dyDescent="0.35">
      <c r="T37018" s="246">
        <f t="shared" si="616"/>
        <v>0</v>
      </c>
    </row>
    <row r="37019" spans="20:20" ht="18.75" customHeight="1" x14ac:dyDescent="0.35">
      <c r="T37019" s="246">
        <f t="shared" si="616"/>
        <v>0</v>
      </c>
    </row>
    <row r="37020" spans="20:20" ht="18.75" customHeight="1" x14ac:dyDescent="0.35">
      <c r="T37020" s="246">
        <f t="shared" si="616"/>
        <v>0</v>
      </c>
    </row>
    <row r="37021" spans="20:20" ht="18.75" customHeight="1" x14ac:dyDescent="0.35">
      <c r="T37021" s="246">
        <f t="shared" si="616"/>
        <v>0</v>
      </c>
    </row>
    <row r="37022" spans="20:20" ht="18.75" customHeight="1" x14ac:dyDescent="0.35">
      <c r="T37022" s="246">
        <f t="shared" si="616"/>
        <v>0</v>
      </c>
    </row>
    <row r="37023" spans="20:20" ht="18.75" customHeight="1" x14ac:dyDescent="0.35">
      <c r="T37023" s="246">
        <f t="shared" si="616"/>
        <v>0</v>
      </c>
    </row>
    <row r="37024" spans="20:20" ht="18.75" customHeight="1" x14ac:dyDescent="0.35">
      <c r="T37024" s="246">
        <f t="shared" si="616"/>
        <v>0</v>
      </c>
    </row>
    <row r="37025" spans="20:20" ht="18.75" customHeight="1" x14ac:dyDescent="0.35">
      <c r="T37025" s="246">
        <f t="shared" si="616"/>
        <v>0</v>
      </c>
    </row>
    <row r="37026" spans="20:20" ht="18.75" customHeight="1" x14ac:dyDescent="0.35">
      <c r="T37026" s="246">
        <f t="shared" si="616"/>
        <v>0</v>
      </c>
    </row>
    <row r="37027" spans="20:20" ht="18.75" customHeight="1" x14ac:dyDescent="0.35">
      <c r="T37027" s="246">
        <f t="shared" si="616"/>
        <v>0</v>
      </c>
    </row>
    <row r="37028" spans="20:20" ht="18.75" customHeight="1" x14ac:dyDescent="0.35">
      <c r="T37028" s="246">
        <f t="shared" si="616"/>
        <v>0</v>
      </c>
    </row>
    <row r="37029" spans="20:20" ht="18.75" customHeight="1" x14ac:dyDescent="0.35">
      <c r="T37029" s="246">
        <f t="shared" si="616"/>
        <v>0</v>
      </c>
    </row>
    <row r="37030" spans="20:20" ht="18.75" customHeight="1" x14ac:dyDescent="0.35">
      <c r="T37030" s="246">
        <f t="shared" si="616"/>
        <v>0</v>
      </c>
    </row>
    <row r="37031" spans="20:20" ht="18.75" customHeight="1" x14ac:dyDescent="0.35">
      <c r="T37031" s="246">
        <f t="shared" si="616"/>
        <v>0</v>
      </c>
    </row>
    <row r="37032" spans="20:20" ht="18.75" customHeight="1" x14ac:dyDescent="0.35">
      <c r="T37032" s="246">
        <f t="shared" si="616"/>
        <v>0</v>
      </c>
    </row>
    <row r="37033" spans="20:20" ht="18.75" customHeight="1" x14ac:dyDescent="0.35">
      <c r="T37033" s="246">
        <f t="shared" si="616"/>
        <v>0</v>
      </c>
    </row>
    <row r="37034" spans="20:20" ht="18.75" customHeight="1" x14ac:dyDescent="0.35">
      <c r="T37034" s="246">
        <f t="shared" si="616"/>
        <v>0</v>
      </c>
    </row>
    <row r="37035" spans="20:20" ht="18.75" customHeight="1" x14ac:dyDescent="0.35">
      <c r="T37035" s="246">
        <f t="shared" si="616"/>
        <v>0</v>
      </c>
    </row>
    <row r="37036" spans="20:20" ht="18.75" customHeight="1" x14ac:dyDescent="0.35">
      <c r="T37036" s="246">
        <f t="shared" si="616"/>
        <v>0</v>
      </c>
    </row>
    <row r="37037" spans="20:20" ht="18.75" customHeight="1" x14ac:dyDescent="0.35">
      <c r="T37037" s="246">
        <f t="shared" si="616"/>
        <v>0</v>
      </c>
    </row>
    <row r="37038" spans="20:20" ht="18.75" customHeight="1" x14ac:dyDescent="0.35">
      <c r="T37038" s="246">
        <f t="shared" si="616"/>
        <v>0</v>
      </c>
    </row>
    <row r="37039" spans="20:20" ht="18.75" customHeight="1" x14ac:dyDescent="0.35">
      <c r="T37039" s="246">
        <f t="shared" si="616"/>
        <v>0</v>
      </c>
    </row>
    <row r="37040" spans="20:20" ht="18.75" customHeight="1" x14ac:dyDescent="0.35">
      <c r="T37040" s="246">
        <f t="shared" si="616"/>
        <v>0</v>
      </c>
    </row>
    <row r="37041" spans="20:20" ht="18.75" customHeight="1" x14ac:dyDescent="0.35">
      <c r="T37041" s="246">
        <f t="shared" si="616"/>
        <v>0</v>
      </c>
    </row>
    <row r="37042" spans="20:20" ht="18.75" customHeight="1" x14ac:dyDescent="0.35">
      <c r="T37042" s="246">
        <f t="shared" si="616"/>
        <v>0</v>
      </c>
    </row>
    <row r="37043" spans="20:20" ht="18.75" customHeight="1" x14ac:dyDescent="0.35">
      <c r="T37043" s="246">
        <f t="shared" si="616"/>
        <v>0</v>
      </c>
    </row>
    <row r="37044" spans="20:20" ht="18.75" customHeight="1" x14ac:dyDescent="0.35">
      <c r="T37044" s="246">
        <f t="shared" si="616"/>
        <v>0</v>
      </c>
    </row>
    <row r="37045" spans="20:20" ht="18.75" customHeight="1" x14ac:dyDescent="0.35">
      <c r="T37045" s="246">
        <f t="shared" si="616"/>
        <v>0</v>
      </c>
    </row>
    <row r="37046" spans="20:20" ht="18.75" customHeight="1" x14ac:dyDescent="0.35">
      <c r="T37046" s="246">
        <f t="shared" si="616"/>
        <v>0</v>
      </c>
    </row>
    <row r="37047" spans="20:20" ht="18.75" customHeight="1" x14ac:dyDescent="0.35">
      <c r="T37047" s="246">
        <f t="shared" si="616"/>
        <v>0</v>
      </c>
    </row>
    <row r="37048" spans="20:20" ht="18.75" customHeight="1" x14ac:dyDescent="0.35">
      <c r="T37048" s="246">
        <f t="shared" si="616"/>
        <v>0</v>
      </c>
    </row>
    <row r="37049" spans="20:20" ht="18.75" customHeight="1" x14ac:dyDescent="0.35">
      <c r="T37049" s="246">
        <f t="shared" si="616"/>
        <v>0</v>
      </c>
    </row>
    <row r="37050" spans="20:20" ht="18.75" customHeight="1" x14ac:dyDescent="0.35">
      <c r="T37050" s="246">
        <f t="shared" si="616"/>
        <v>0</v>
      </c>
    </row>
    <row r="37051" spans="20:20" ht="18.75" customHeight="1" x14ac:dyDescent="0.35">
      <c r="T37051" s="246">
        <f t="shared" si="616"/>
        <v>0</v>
      </c>
    </row>
    <row r="37052" spans="20:20" ht="18.75" customHeight="1" x14ac:dyDescent="0.35">
      <c r="T37052" s="246">
        <f t="shared" ref="T37052:T37115" si="617">R37052*0.01</f>
        <v>0</v>
      </c>
    </row>
    <row r="37053" spans="20:20" ht="18.75" customHeight="1" x14ac:dyDescent="0.35">
      <c r="T37053" s="246">
        <f t="shared" si="617"/>
        <v>0</v>
      </c>
    </row>
    <row r="37054" spans="20:20" ht="18.75" customHeight="1" x14ac:dyDescent="0.35">
      <c r="T37054" s="246">
        <f t="shared" si="617"/>
        <v>0</v>
      </c>
    </row>
    <row r="37055" spans="20:20" ht="18.75" customHeight="1" x14ac:dyDescent="0.35">
      <c r="T37055" s="246">
        <f t="shared" si="617"/>
        <v>0</v>
      </c>
    </row>
    <row r="37056" spans="20:20" ht="18.75" customHeight="1" x14ac:dyDescent="0.35">
      <c r="T37056" s="246">
        <f t="shared" si="617"/>
        <v>0</v>
      </c>
    </row>
    <row r="37057" spans="20:20" ht="18.75" customHeight="1" x14ac:dyDescent="0.35">
      <c r="T37057" s="246">
        <f t="shared" si="617"/>
        <v>0</v>
      </c>
    </row>
    <row r="37058" spans="20:20" ht="18.75" customHeight="1" x14ac:dyDescent="0.35">
      <c r="T37058" s="246">
        <f t="shared" si="617"/>
        <v>0</v>
      </c>
    </row>
    <row r="37059" spans="20:20" ht="18.75" customHeight="1" x14ac:dyDescent="0.35">
      <c r="T37059" s="246">
        <f t="shared" si="617"/>
        <v>0</v>
      </c>
    </row>
    <row r="37060" spans="20:20" ht="18.75" customHeight="1" x14ac:dyDescent="0.35">
      <c r="T37060" s="246">
        <f t="shared" si="617"/>
        <v>0</v>
      </c>
    </row>
    <row r="37061" spans="20:20" ht="18.75" customHeight="1" x14ac:dyDescent="0.35">
      <c r="T37061" s="246">
        <f t="shared" si="617"/>
        <v>0</v>
      </c>
    </row>
    <row r="37062" spans="20:20" ht="18.75" customHeight="1" x14ac:dyDescent="0.35">
      <c r="T37062" s="246">
        <f t="shared" si="617"/>
        <v>0</v>
      </c>
    </row>
    <row r="37063" spans="20:20" ht="18.75" customHeight="1" x14ac:dyDescent="0.35">
      <c r="T37063" s="246">
        <f t="shared" si="617"/>
        <v>0</v>
      </c>
    </row>
    <row r="37064" spans="20:20" ht="18.75" customHeight="1" x14ac:dyDescent="0.35">
      <c r="T37064" s="246">
        <f t="shared" si="617"/>
        <v>0</v>
      </c>
    </row>
    <row r="37065" spans="20:20" ht="18.75" customHeight="1" x14ac:dyDescent="0.35">
      <c r="T37065" s="246">
        <f t="shared" si="617"/>
        <v>0</v>
      </c>
    </row>
    <row r="37066" spans="20:20" ht="18.75" customHeight="1" x14ac:dyDescent="0.35">
      <c r="T37066" s="246">
        <f t="shared" si="617"/>
        <v>0</v>
      </c>
    </row>
    <row r="37067" spans="20:20" ht="18.75" customHeight="1" x14ac:dyDescent="0.35">
      <c r="T37067" s="246">
        <f t="shared" si="617"/>
        <v>0</v>
      </c>
    </row>
    <row r="37068" spans="20:20" ht="18.75" customHeight="1" x14ac:dyDescent="0.35">
      <c r="T37068" s="246">
        <f t="shared" si="617"/>
        <v>0</v>
      </c>
    </row>
    <row r="37069" spans="20:20" ht="18.75" customHeight="1" x14ac:dyDescent="0.35">
      <c r="T37069" s="246">
        <f t="shared" si="617"/>
        <v>0</v>
      </c>
    </row>
    <row r="37070" spans="20:20" ht="18.75" customHeight="1" x14ac:dyDescent="0.35">
      <c r="T37070" s="246">
        <f t="shared" si="617"/>
        <v>0</v>
      </c>
    </row>
    <row r="37071" spans="20:20" ht="18.75" customHeight="1" x14ac:dyDescent="0.35">
      <c r="T37071" s="246">
        <f t="shared" si="617"/>
        <v>0</v>
      </c>
    </row>
    <row r="37072" spans="20:20" ht="18.75" customHeight="1" x14ac:dyDescent="0.35">
      <c r="T37072" s="246">
        <f t="shared" si="617"/>
        <v>0</v>
      </c>
    </row>
    <row r="37073" spans="20:20" ht="18.75" customHeight="1" x14ac:dyDescent="0.35">
      <c r="T37073" s="246">
        <f t="shared" si="617"/>
        <v>0</v>
      </c>
    </row>
    <row r="37074" spans="20:20" ht="18.75" customHeight="1" x14ac:dyDescent="0.35">
      <c r="T37074" s="246">
        <f t="shared" si="617"/>
        <v>0</v>
      </c>
    </row>
    <row r="37075" spans="20:20" ht="18.75" customHeight="1" x14ac:dyDescent="0.35">
      <c r="T37075" s="246">
        <f t="shared" si="617"/>
        <v>0</v>
      </c>
    </row>
    <row r="37076" spans="20:20" ht="18.75" customHeight="1" x14ac:dyDescent="0.35">
      <c r="T37076" s="246">
        <f t="shared" si="617"/>
        <v>0</v>
      </c>
    </row>
    <row r="37077" spans="20:20" ht="18.75" customHeight="1" x14ac:dyDescent="0.35">
      <c r="T37077" s="246">
        <f t="shared" si="617"/>
        <v>0</v>
      </c>
    </row>
    <row r="37078" spans="20:20" ht="18.75" customHeight="1" x14ac:dyDescent="0.35">
      <c r="T37078" s="246">
        <f t="shared" si="617"/>
        <v>0</v>
      </c>
    </row>
    <row r="37079" spans="20:20" ht="18.75" customHeight="1" x14ac:dyDescent="0.35">
      <c r="T37079" s="246">
        <f t="shared" si="617"/>
        <v>0</v>
      </c>
    </row>
    <row r="37080" spans="20:20" ht="18.75" customHeight="1" x14ac:dyDescent="0.35">
      <c r="T37080" s="246">
        <f t="shared" si="617"/>
        <v>0</v>
      </c>
    </row>
    <row r="37081" spans="20:20" ht="18.75" customHeight="1" x14ac:dyDescent="0.35">
      <c r="T37081" s="246">
        <f t="shared" si="617"/>
        <v>0</v>
      </c>
    </row>
    <row r="37082" spans="20:20" ht="18.75" customHeight="1" x14ac:dyDescent="0.35">
      <c r="T37082" s="246">
        <f t="shared" si="617"/>
        <v>0</v>
      </c>
    </row>
    <row r="37083" spans="20:20" ht="18.75" customHeight="1" x14ac:dyDescent="0.35">
      <c r="T37083" s="246">
        <f t="shared" si="617"/>
        <v>0</v>
      </c>
    </row>
    <row r="37084" spans="20:20" ht="18.75" customHeight="1" x14ac:dyDescent="0.35">
      <c r="T37084" s="246">
        <f t="shared" si="617"/>
        <v>0</v>
      </c>
    </row>
    <row r="37085" spans="20:20" ht="18.75" customHeight="1" x14ac:dyDescent="0.35">
      <c r="T37085" s="246">
        <f t="shared" si="617"/>
        <v>0</v>
      </c>
    </row>
    <row r="37086" spans="20:20" ht="18.75" customHeight="1" x14ac:dyDescent="0.35">
      <c r="T37086" s="246">
        <f t="shared" si="617"/>
        <v>0</v>
      </c>
    </row>
    <row r="37087" spans="20:20" ht="18.75" customHeight="1" x14ac:dyDescent="0.35">
      <c r="T37087" s="246">
        <f t="shared" si="617"/>
        <v>0</v>
      </c>
    </row>
    <row r="37088" spans="20:20" ht="18.75" customHeight="1" x14ac:dyDescent="0.35">
      <c r="T37088" s="246">
        <f t="shared" si="617"/>
        <v>0</v>
      </c>
    </row>
    <row r="37089" spans="20:20" ht="18.75" customHeight="1" x14ac:dyDescent="0.35">
      <c r="T37089" s="246">
        <f t="shared" si="617"/>
        <v>0</v>
      </c>
    </row>
    <row r="37090" spans="20:20" ht="18.75" customHeight="1" x14ac:dyDescent="0.35">
      <c r="T37090" s="246">
        <f t="shared" si="617"/>
        <v>0</v>
      </c>
    </row>
    <row r="37091" spans="20:20" ht="18.75" customHeight="1" x14ac:dyDescent="0.35">
      <c r="T37091" s="246">
        <f t="shared" si="617"/>
        <v>0</v>
      </c>
    </row>
    <row r="37092" spans="20:20" ht="18.75" customHeight="1" x14ac:dyDescent="0.35">
      <c r="T37092" s="246">
        <f t="shared" si="617"/>
        <v>0</v>
      </c>
    </row>
    <row r="37093" spans="20:20" ht="18.75" customHeight="1" x14ac:dyDescent="0.35">
      <c r="T37093" s="246">
        <f t="shared" si="617"/>
        <v>0</v>
      </c>
    </row>
    <row r="37094" spans="20:20" ht="18.75" customHeight="1" x14ac:dyDescent="0.35">
      <c r="T37094" s="246">
        <f t="shared" si="617"/>
        <v>0</v>
      </c>
    </row>
    <row r="37095" spans="20:20" ht="18.75" customHeight="1" x14ac:dyDescent="0.35">
      <c r="T37095" s="246">
        <f t="shared" si="617"/>
        <v>0</v>
      </c>
    </row>
    <row r="37096" spans="20:20" ht="18.75" customHeight="1" x14ac:dyDescent="0.35">
      <c r="T37096" s="246">
        <f t="shared" si="617"/>
        <v>0</v>
      </c>
    </row>
    <row r="37097" spans="20:20" ht="18.75" customHeight="1" x14ac:dyDescent="0.35">
      <c r="T37097" s="246">
        <f t="shared" si="617"/>
        <v>0</v>
      </c>
    </row>
    <row r="37098" spans="20:20" ht="18.75" customHeight="1" x14ac:dyDescent="0.35">
      <c r="T37098" s="246">
        <f t="shared" si="617"/>
        <v>0</v>
      </c>
    </row>
    <row r="37099" spans="20:20" ht="18.75" customHeight="1" x14ac:dyDescent="0.35">
      <c r="T37099" s="246">
        <f t="shared" si="617"/>
        <v>0</v>
      </c>
    </row>
    <row r="37100" spans="20:20" ht="18.75" customHeight="1" x14ac:dyDescent="0.35">
      <c r="T37100" s="246">
        <f t="shared" si="617"/>
        <v>0</v>
      </c>
    </row>
    <row r="37101" spans="20:20" ht="18.75" customHeight="1" x14ac:dyDescent="0.35">
      <c r="T37101" s="246">
        <f t="shared" si="617"/>
        <v>0</v>
      </c>
    </row>
    <row r="37102" spans="20:20" ht="18.75" customHeight="1" x14ac:dyDescent="0.35">
      <c r="T37102" s="246">
        <f t="shared" si="617"/>
        <v>0</v>
      </c>
    </row>
    <row r="37103" spans="20:20" ht="18.75" customHeight="1" x14ac:dyDescent="0.35">
      <c r="T37103" s="246">
        <f t="shared" si="617"/>
        <v>0</v>
      </c>
    </row>
    <row r="37104" spans="20:20" ht="18.75" customHeight="1" x14ac:dyDescent="0.35">
      <c r="T37104" s="246">
        <f t="shared" si="617"/>
        <v>0</v>
      </c>
    </row>
    <row r="37105" spans="20:20" ht="18.75" customHeight="1" x14ac:dyDescent="0.35">
      <c r="T37105" s="246">
        <f t="shared" si="617"/>
        <v>0</v>
      </c>
    </row>
    <row r="37106" spans="20:20" ht="18.75" customHeight="1" x14ac:dyDescent="0.35">
      <c r="T37106" s="246">
        <f t="shared" si="617"/>
        <v>0</v>
      </c>
    </row>
    <row r="37107" spans="20:20" ht="18.75" customHeight="1" x14ac:dyDescent="0.35">
      <c r="T37107" s="246">
        <f t="shared" si="617"/>
        <v>0</v>
      </c>
    </row>
    <row r="37108" spans="20:20" ht="18.75" customHeight="1" x14ac:dyDescent="0.35">
      <c r="T37108" s="246">
        <f t="shared" si="617"/>
        <v>0</v>
      </c>
    </row>
    <row r="37109" spans="20:20" ht="18.75" customHeight="1" x14ac:dyDescent="0.35">
      <c r="T37109" s="246">
        <f t="shared" si="617"/>
        <v>0</v>
      </c>
    </row>
    <row r="37110" spans="20:20" ht="18.75" customHeight="1" x14ac:dyDescent="0.35">
      <c r="T37110" s="246">
        <f t="shared" si="617"/>
        <v>0</v>
      </c>
    </row>
    <row r="37111" spans="20:20" ht="18.75" customHeight="1" x14ac:dyDescent="0.35">
      <c r="T37111" s="246">
        <f t="shared" si="617"/>
        <v>0</v>
      </c>
    </row>
    <row r="37112" spans="20:20" ht="18.75" customHeight="1" x14ac:dyDescent="0.35">
      <c r="T37112" s="246">
        <f t="shared" si="617"/>
        <v>0</v>
      </c>
    </row>
    <row r="37113" spans="20:20" ht="18.75" customHeight="1" x14ac:dyDescent="0.35">
      <c r="T37113" s="246">
        <f t="shared" si="617"/>
        <v>0</v>
      </c>
    </row>
    <row r="37114" spans="20:20" ht="18.75" customHeight="1" x14ac:dyDescent="0.35">
      <c r="T37114" s="246">
        <f t="shared" si="617"/>
        <v>0</v>
      </c>
    </row>
    <row r="37115" spans="20:20" ht="18.75" customHeight="1" x14ac:dyDescent="0.35">
      <c r="T37115" s="246">
        <f t="shared" si="617"/>
        <v>0</v>
      </c>
    </row>
    <row r="37116" spans="20:20" ht="18.75" customHeight="1" x14ac:dyDescent="0.35">
      <c r="T37116" s="246">
        <f t="shared" ref="T37116:T37179" si="618">R37116*0.01</f>
        <v>0</v>
      </c>
    </row>
    <row r="37117" spans="20:20" ht="18.75" customHeight="1" x14ac:dyDescent="0.35">
      <c r="T37117" s="246">
        <f t="shared" si="618"/>
        <v>0</v>
      </c>
    </row>
    <row r="37118" spans="20:20" ht="18.75" customHeight="1" x14ac:dyDescent="0.35">
      <c r="T37118" s="246">
        <f t="shared" si="618"/>
        <v>0</v>
      </c>
    </row>
    <row r="37119" spans="20:20" ht="18.75" customHeight="1" x14ac:dyDescent="0.35">
      <c r="T37119" s="246">
        <f t="shared" si="618"/>
        <v>0</v>
      </c>
    </row>
    <row r="37120" spans="20:20" ht="18.75" customHeight="1" x14ac:dyDescent="0.35">
      <c r="T37120" s="246">
        <f t="shared" si="618"/>
        <v>0</v>
      </c>
    </row>
    <row r="37121" spans="20:20" ht="18.75" customHeight="1" x14ac:dyDescent="0.35">
      <c r="T37121" s="246">
        <f t="shared" si="618"/>
        <v>0</v>
      </c>
    </row>
    <row r="37122" spans="20:20" ht="18.75" customHeight="1" x14ac:dyDescent="0.35">
      <c r="T37122" s="246">
        <f t="shared" si="618"/>
        <v>0</v>
      </c>
    </row>
    <row r="37123" spans="20:20" ht="18.75" customHeight="1" x14ac:dyDescent="0.35">
      <c r="T37123" s="246">
        <f t="shared" si="618"/>
        <v>0</v>
      </c>
    </row>
    <row r="37124" spans="20:20" ht="18.75" customHeight="1" x14ac:dyDescent="0.35">
      <c r="T37124" s="246">
        <f t="shared" si="618"/>
        <v>0</v>
      </c>
    </row>
    <row r="37125" spans="20:20" ht="18.75" customHeight="1" x14ac:dyDescent="0.35">
      <c r="T37125" s="246">
        <f t="shared" si="618"/>
        <v>0</v>
      </c>
    </row>
    <row r="37126" spans="20:20" ht="18.75" customHeight="1" x14ac:dyDescent="0.35">
      <c r="T37126" s="246">
        <f t="shared" si="618"/>
        <v>0</v>
      </c>
    </row>
    <row r="37127" spans="20:20" ht="18.75" customHeight="1" x14ac:dyDescent="0.35">
      <c r="T37127" s="246">
        <f t="shared" si="618"/>
        <v>0</v>
      </c>
    </row>
    <row r="37128" spans="20:20" ht="18.75" customHeight="1" x14ac:dyDescent="0.35">
      <c r="T37128" s="246">
        <f t="shared" si="618"/>
        <v>0</v>
      </c>
    </row>
    <row r="37129" spans="20:20" ht="18.75" customHeight="1" x14ac:dyDescent="0.35">
      <c r="T37129" s="246">
        <f t="shared" si="618"/>
        <v>0</v>
      </c>
    </row>
    <row r="37130" spans="20:20" ht="18.75" customHeight="1" x14ac:dyDescent="0.35">
      <c r="T37130" s="246">
        <f t="shared" si="618"/>
        <v>0</v>
      </c>
    </row>
    <row r="37131" spans="20:20" ht="18.75" customHeight="1" x14ac:dyDescent="0.35">
      <c r="T37131" s="246">
        <f t="shared" si="618"/>
        <v>0</v>
      </c>
    </row>
    <row r="37132" spans="20:20" ht="18.75" customHeight="1" x14ac:dyDescent="0.35">
      <c r="T37132" s="246">
        <f t="shared" si="618"/>
        <v>0</v>
      </c>
    </row>
    <row r="37133" spans="20:20" ht="18.75" customHeight="1" x14ac:dyDescent="0.35">
      <c r="T37133" s="246">
        <f t="shared" si="618"/>
        <v>0</v>
      </c>
    </row>
    <row r="37134" spans="20:20" ht="18.75" customHeight="1" x14ac:dyDescent="0.35">
      <c r="T37134" s="246">
        <f t="shared" si="618"/>
        <v>0</v>
      </c>
    </row>
    <row r="37135" spans="20:20" ht="18.75" customHeight="1" x14ac:dyDescent="0.35">
      <c r="T37135" s="246">
        <f t="shared" si="618"/>
        <v>0</v>
      </c>
    </row>
    <row r="37136" spans="20:20" ht="18.75" customHeight="1" x14ac:dyDescent="0.35">
      <c r="T37136" s="246">
        <f t="shared" si="618"/>
        <v>0</v>
      </c>
    </row>
    <row r="37137" spans="20:20" ht="18.75" customHeight="1" x14ac:dyDescent="0.35">
      <c r="T37137" s="246">
        <f t="shared" si="618"/>
        <v>0</v>
      </c>
    </row>
    <row r="37138" spans="20:20" ht="18.75" customHeight="1" x14ac:dyDescent="0.35">
      <c r="T37138" s="246">
        <f t="shared" si="618"/>
        <v>0</v>
      </c>
    </row>
    <row r="37139" spans="20:20" ht="18.75" customHeight="1" x14ac:dyDescent="0.35">
      <c r="T37139" s="246">
        <f t="shared" si="618"/>
        <v>0</v>
      </c>
    </row>
    <row r="37140" spans="20:20" ht="18.75" customHeight="1" x14ac:dyDescent="0.35">
      <c r="T37140" s="246">
        <f t="shared" si="618"/>
        <v>0</v>
      </c>
    </row>
    <row r="37141" spans="20:20" ht="18.75" customHeight="1" x14ac:dyDescent="0.35">
      <c r="T37141" s="246">
        <f t="shared" si="618"/>
        <v>0</v>
      </c>
    </row>
    <row r="37142" spans="20:20" ht="18.75" customHeight="1" x14ac:dyDescent="0.35">
      <c r="T37142" s="246">
        <f t="shared" si="618"/>
        <v>0</v>
      </c>
    </row>
    <row r="37143" spans="20:20" ht="18.75" customHeight="1" x14ac:dyDescent="0.35">
      <c r="T37143" s="246">
        <f t="shared" si="618"/>
        <v>0</v>
      </c>
    </row>
    <row r="37144" spans="20:20" ht="18.75" customHeight="1" x14ac:dyDescent="0.35">
      <c r="T37144" s="246">
        <f t="shared" si="618"/>
        <v>0</v>
      </c>
    </row>
    <row r="37145" spans="20:20" ht="18.75" customHeight="1" x14ac:dyDescent="0.35">
      <c r="T37145" s="246">
        <f t="shared" si="618"/>
        <v>0</v>
      </c>
    </row>
    <row r="37146" spans="20:20" ht="18.75" customHeight="1" x14ac:dyDescent="0.35">
      <c r="T37146" s="246">
        <f t="shared" si="618"/>
        <v>0</v>
      </c>
    </row>
    <row r="37147" spans="20:20" ht="18.75" customHeight="1" x14ac:dyDescent="0.35">
      <c r="T37147" s="246">
        <f t="shared" si="618"/>
        <v>0</v>
      </c>
    </row>
    <row r="37148" spans="20:20" ht="18.75" customHeight="1" x14ac:dyDescent="0.35">
      <c r="T37148" s="246">
        <f t="shared" si="618"/>
        <v>0</v>
      </c>
    </row>
    <row r="37149" spans="20:20" ht="18.75" customHeight="1" x14ac:dyDescent="0.35">
      <c r="T37149" s="246">
        <f t="shared" si="618"/>
        <v>0</v>
      </c>
    </row>
    <row r="37150" spans="20:20" ht="18.75" customHeight="1" x14ac:dyDescent="0.35">
      <c r="T37150" s="246">
        <f t="shared" si="618"/>
        <v>0</v>
      </c>
    </row>
    <row r="37151" spans="20:20" ht="18.75" customHeight="1" x14ac:dyDescent="0.35">
      <c r="T37151" s="246">
        <f t="shared" si="618"/>
        <v>0</v>
      </c>
    </row>
    <row r="37152" spans="20:20" ht="18.75" customHeight="1" x14ac:dyDescent="0.35">
      <c r="T37152" s="246">
        <f t="shared" si="618"/>
        <v>0</v>
      </c>
    </row>
    <row r="37153" spans="20:20" ht="18.75" customHeight="1" x14ac:dyDescent="0.35">
      <c r="T37153" s="246">
        <f t="shared" si="618"/>
        <v>0</v>
      </c>
    </row>
    <row r="37154" spans="20:20" ht="18.75" customHeight="1" x14ac:dyDescent="0.35">
      <c r="T37154" s="246">
        <f t="shared" si="618"/>
        <v>0</v>
      </c>
    </row>
    <row r="37155" spans="20:20" ht="18.75" customHeight="1" x14ac:dyDescent="0.35">
      <c r="T37155" s="246">
        <f t="shared" si="618"/>
        <v>0</v>
      </c>
    </row>
    <row r="37156" spans="20:20" ht="18.75" customHeight="1" x14ac:dyDescent="0.35">
      <c r="T37156" s="246">
        <f t="shared" si="618"/>
        <v>0</v>
      </c>
    </row>
    <row r="37157" spans="20:20" ht="18.75" customHeight="1" x14ac:dyDescent="0.35">
      <c r="T37157" s="246">
        <f t="shared" si="618"/>
        <v>0</v>
      </c>
    </row>
    <row r="37158" spans="20:20" ht="18.75" customHeight="1" x14ac:dyDescent="0.35">
      <c r="T37158" s="246">
        <f t="shared" si="618"/>
        <v>0</v>
      </c>
    </row>
    <row r="37159" spans="20:20" ht="18.75" customHeight="1" x14ac:dyDescent="0.35">
      <c r="T37159" s="246">
        <f t="shared" si="618"/>
        <v>0</v>
      </c>
    </row>
    <row r="37160" spans="20:20" ht="18.75" customHeight="1" x14ac:dyDescent="0.35">
      <c r="T37160" s="246">
        <f t="shared" si="618"/>
        <v>0</v>
      </c>
    </row>
    <row r="37161" spans="20:20" ht="18.75" customHeight="1" x14ac:dyDescent="0.35">
      <c r="T37161" s="246">
        <f t="shared" si="618"/>
        <v>0</v>
      </c>
    </row>
    <row r="37162" spans="20:20" ht="18.75" customHeight="1" x14ac:dyDescent="0.35">
      <c r="T37162" s="246">
        <f t="shared" si="618"/>
        <v>0</v>
      </c>
    </row>
    <row r="37163" spans="20:20" ht="18.75" customHeight="1" x14ac:dyDescent="0.35">
      <c r="T37163" s="246">
        <f t="shared" si="618"/>
        <v>0</v>
      </c>
    </row>
    <row r="37164" spans="20:20" ht="18.75" customHeight="1" x14ac:dyDescent="0.35">
      <c r="T37164" s="246">
        <f t="shared" si="618"/>
        <v>0</v>
      </c>
    </row>
    <row r="37165" spans="20:20" ht="18.75" customHeight="1" x14ac:dyDescent="0.35">
      <c r="T37165" s="246">
        <f t="shared" si="618"/>
        <v>0</v>
      </c>
    </row>
    <row r="37166" spans="20:20" ht="18.75" customHeight="1" x14ac:dyDescent="0.35">
      <c r="T37166" s="246">
        <f t="shared" si="618"/>
        <v>0</v>
      </c>
    </row>
    <row r="37167" spans="20:20" ht="18.75" customHeight="1" x14ac:dyDescent="0.35">
      <c r="T37167" s="246">
        <f t="shared" si="618"/>
        <v>0</v>
      </c>
    </row>
    <row r="37168" spans="20:20" ht="18.75" customHeight="1" x14ac:dyDescent="0.35">
      <c r="T37168" s="246">
        <f t="shared" si="618"/>
        <v>0</v>
      </c>
    </row>
    <row r="37169" spans="20:20" ht="18.75" customHeight="1" x14ac:dyDescent="0.35">
      <c r="T37169" s="246">
        <f t="shared" si="618"/>
        <v>0</v>
      </c>
    </row>
    <row r="37170" spans="20:20" ht="18.75" customHeight="1" x14ac:dyDescent="0.35">
      <c r="T37170" s="246">
        <f t="shared" si="618"/>
        <v>0</v>
      </c>
    </row>
    <row r="37171" spans="20:20" ht="18.75" customHeight="1" x14ac:dyDescent="0.35">
      <c r="T37171" s="246">
        <f t="shared" si="618"/>
        <v>0</v>
      </c>
    </row>
    <row r="37172" spans="20:20" ht="18.75" customHeight="1" x14ac:dyDescent="0.35">
      <c r="T37172" s="246">
        <f t="shared" si="618"/>
        <v>0</v>
      </c>
    </row>
    <row r="37173" spans="20:20" ht="18.75" customHeight="1" x14ac:dyDescent="0.35">
      <c r="T37173" s="246">
        <f t="shared" si="618"/>
        <v>0</v>
      </c>
    </row>
    <row r="37174" spans="20:20" ht="18.75" customHeight="1" x14ac:dyDescent="0.35">
      <c r="T37174" s="246">
        <f t="shared" si="618"/>
        <v>0</v>
      </c>
    </row>
    <row r="37175" spans="20:20" ht="18.75" customHeight="1" x14ac:dyDescent="0.35">
      <c r="T37175" s="246">
        <f t="shared" si="618"/>
        <v>0</v>
      </c>
    </row>
    <row r="37176" spans="20:20" ht="18.75" customHeight="1" x14ac:dyDescent="0.35">
      <c r="T37176" s="246">
        <f t="shared" si="618"/>
        <v>0</v>
      </c>
    </row>
    <row r="37177" spans="20:20" ht="18.75" customHeight="1" x14ac:dyDescent="0.35">
      <c r="T37177" s="246">
        <f t="shared" si="618"/>
        <v>0</v>
      </c>
    </row>
    <row r="37178" spans="20:20" ht="18.75" customHeight="1" x14ac:dyDescent="0.35">
      <c r="T37178" s="246">
        <f t="shared" si="618"/>
        <v>0</v>
      </c>
    </row>
    <row r="37179" spans="20:20" ht="18.75" customHeight="1" x14ac:dyDescent="0.35">
      <c r="T37179" s="246">
        <f t="shared" si="618"/>
        <v>0</v>
      </c>
    </row>
    <row r="37180" spans="20:20" ht="18.75" customHeight="1" x14ac:dyDescent="0.35">
      <c r="T37180" s="246">
        <f t="shared" ref="T37180:T37243" si="619">R37180*0.01</f>
        <v>0</v>
      </c>
    </row>
    <row r="37181" spans="20:20" ht="18.75" customHeight="1" x14ac:dyDescent="0.35">
      <c r="T37181" s="246">
        <f t="shared" si="619"/>
        <v>0</v>
      </c>
    </row>
    <row r="37182" spans="20:20" ht="18.75" customHeight="1" x14ac:dyDescent="0.35">
      <c r="T37182" s="246">
        <f t="shared" si="619"/>
        <v>0</v>
      </c>
    </row>
    <row r="37183" spans="20:20" ht="18.75" customHeight="1" x14ac:dyDescent="0.35">
      <c r="T37183" s="246">
        <f t="shared" si="619"/>
        <v>0</v>
      </c>
    </row>
    <row r="37184" spans="20:20" ht="18.75" customHeight="1" x14ac:dyDescent="0.35">
      <c r="T37184" s="246">
        <f t="shared" si="619"/>
        <v>0</v>
      </c>
    </row>
    <row r="37185" spans="20:20" ht="18.75" customHeight="1" x14ac:dyDescent="0.35">
      <c r="T37185" s="246">
        <f t="shared" si="619"/>
        <v>0</v>
      </c>
    </row>
    <row r="37186" spans="20:20" ht="18.75" customHeight="1" x14ac:dyDescent="0.35">
      <c r="T37186" s="246">
        <f t="shared" si="619"/>
        <v>0</v>
      </c>
    </row>
    <row r="37187" spans="20:20" ht="18.75" customHeight="1" x14ac:dyDescent="0.35">
      <c r="T37187" s="246">
        <f t="shared" si="619"/>
        <v>0</v>
      </c>
    </row>
    <row r="37188" spans="20:20" ht="18.75" customHeight="1" x14ac:dyDescent="0.35">
      <c r="T37188" s="246">
        <f t="shared" si="619"/>
        <v>0</v>
      </c>
    </row>
    <row r="37189" spans="20:20" ht="18.75" customHeight="1" x14ac:dyDescent="0.35">
      <c r="T37189" s="246">
        <f t="shared" si="619"/>
        <v>0</v>
      </c>
    </row>
    <row r="37190" spans="20:20" ht="18.75" customHeight="1" x14ac:dyDescent="0.35">
      <c r="T37190" s="246">
        <f t="shared" si="619"/>
        <v>0</v>
      </c>
    </row>
    <row r="37191" spans="20:20" ht="18.75" customHeight="1" x14ac:dyDescent="0.35">
      <c r="T37191" s="246">
        <f t="shared" si="619"/>
        <v>0</v>
      </c>
    </row>
    <row r="37192" spans="20:20" ht="18.75" customHeight="1" x14ac:dyDescent="0.35">
      <c r="T37192" s="246">
        <f t="shared" si="619"/>
        <v>0</v>
      </c>
    </row>
    <row r="37193" spans="20:20" ht="18.75" customHeight="1" x14ac:dyDescent="0.35">
      <c r="T37193" s="246">
        <f t="shared" si="619"/>
        <v>0</v>
      </c>
    </row>
    <row r="37194" spans="20:20" ht="18.75" customHeight="1" x14ac:dyDescent="0.35">
      <c r="T37194" s="246">
        <f t="shared" si="619"/>
        <v>0</v>
      </c>
    </row>
    <row r="37195" spans="20:20" ht="18.75" customHeight="1" x14ac:dyDescent="0.35">
      <c r="T37195" s="246">
        <f t="shared" si="619"/>
        <v>0</v>
      </c>
    </row>
    <row r="37196" spans="20:20" ht="18.75" customHeight="1" x14ac:dyDescent="0.35">
      <c r="T37196" s="246">
        <f t="shared" si="619"/>
        <v>0</v>
      </c>
    </row>
    <row r="37197" spans="20:20" ht="18.75" customHeight="1" x14ac:dyDescent="0.35">
      <c r="T37197" s="246">
        <f t="shared" si="619"/>
        <v>0</v>
      </c>
    </row>
    <row r="37198" spans="20:20" ht="18.75" customHeight="1" x14ac:dyDescent="0.35">
      <c r="T37198" s="246">
        <f t="shared" si="619"/>
        <v>0</v>
      </c>
    </row>
    <row r="37199" spans="20:20" ht="18.75" customHeight="1" x14ac:dyDescent="0.35">
      <c r="T37199" s="246">
        <f t="shared" si="619"/>
        <v>0</v>
      </c>
    </row>
    <row r="37200" spans="20:20" ht="18.75" customHeight="1" x14ac:dyDescent="0.35">
      <c r="T37200" s="246">
        <f t="shared" si="619"/>
        <v>0</v>
      </c>
    </row>
    <row r="37201" spans="20:20" ht="18.75" customHeight="1" x14ac:dyDescent="0.35">
      <c r="T37201" s="246">
        <f t="shared" si="619"/>
        <v>0</v>
      </c>
    </row>
    <row r="37202" spans="20:20" ht="18.75" customHeight="1" x14ac:dyDescent="0.35">
      <c r="T37202" s="246">
        <f t="shared" si="619"/>
        <v>0</v>
      </c>
    </row>
    <row r="37203" spans="20:20" ht="18.75" customHeight="1" x14ac:dyDescent="0.35">
      <c r="T37203" s="246">
        <f t="shared" si="619"/>
        <v>0</v>
      </c>
    </row>
    <row r="37204" spans="20:20" ht="18.75" customHeight="1" x14ac:dyDescent="0.35">
      <c r="T37204" s="246">
        <f t="shared" si="619"/>
        <v>0</v>
      </c>
    </row>
    <row r="37205" spans="20:20" ht="18.75" customHeight="1" x14ac:dyDescent="0.35">
      <c r="T37205" s="246">
        <f t="shared" si="619"/>
        <v>0</v>
      </c>
    </row>
    <row r="37206" spans="20:20" ht="18.75" customHeight="1" x14ac:dyDescent="0.35">
      <c r="T37206" s="246">
        <f t="shared" si="619"/>
        <v>0</v>
      </c>
    </row>
    <row r="37207" spans="20:20" ht="18.75" customHeight="1" x14ac:dyDescent="0.35">
      <c r="T37207" s="246">
        <f t="shared" si="619"/>
        <v>0</v>
      </c>
    </row>
    <row r="37208" spans="20:20" ht="18.75" customHeight="1" x14ac:dyDescent="0.35">
      <c r="T37208" s="246">
        <f t="shared" si="619"/>
        <v>0</v>
      </c>
    </row>
    <row r="37209" spans="20:20" ht="18.75" customHeight="1" x14ac:dyDescent="0.35">
      <c r="T37209" s="246">
        <f t="shared" si="619"/>
        <v>0</v>
      </c>
    </row>
    <row r="37210" spans="20:20" ht="18.75" customHeight="1" x14ac:dyDescent="0.35">
      <c r="T37210" s="246">
        <f t="shared" si="619"/>
        <v>0</v>
      </c>
    </row>
    <row r="37211" spans="20:20" ht="18.75" customHeight="1" x14ac:dyDescent="0.35">
      <c r="T37211" s="246">
        <f t="shared" si="619"/>
        <v>0</v>
      </c>
    </row>
    <row r="37212" spans="20:20" ht="18.75" customHeight="1" x14ac:dyDescent="0.35">
      <c r="T37212" s="246">
        <f t="shared" si="619"/>
        <v>0</v>
      </c>
    </row>
    <row r="37213" spans="20:20" ht="18.75" customHeight="1" x14ac:dyDescent="0.35">
      <c r="T37213" s="246">
        <f t="shared" si="619"/>
        <v>0</v>
      </c>
    </row>
    <row r="37214" spans="20:20" ht="18.75" customHeight="1" x14ac:dyDescent="0.35">
      <c r="T37214" s="246">
        <f t="shared" si="619"/>
        <v>0</v>
      </c>
    </row>
    <row r="37215" spans="20:20" ht="18.75" customHeight="1" x14ac:dyDescent="0.35">
      <c r="T37215" s="246">
        <f t="shared" si="619"/>
        <v>0</v>
      </c>
    </row>
    <row r="37216" spans="20:20" ht="18.75" customHeight="1" x14ac:dyDescent="0.35">
      <c r="T37216" s="246">
        <f t="shared" si="619"/>
        <v>0</v>
      </c>
    </row>
    <row r="37217" spans="20:20" ht="18.75" customHeight="1" x14ac:dyDescent="0.35">
      <c r="T37217" s="246">
        <f t="shared" si="619"/>
        <v>0</v>
      </c>
    </row>
    <row r="37218" spans="20:20" ht="18.75" customHeight="1" x14ac:dyDescent="0.35">
      <c r="T37218" s="246">
        <f t="shared" si="619"/>
        <v>0</v>
      </c>
    </row>
    <row r="37219" spans="20:20" ht="18.75" customHeight="1" x14ac:dyDescent="0.35">
      <c r="T37219" s="246">
        <f t="shared" si="619"/>
        <v>0</v>
      </c>
    </row>
    <row r="37220" spans="20:20" ht="18.75" customHeight="1" x14ac:dyDescent="0.35">
      <c r="T37220" s="246">
        <f t="shared" si="619"/>
        <v>0</v>
      </c>
    </row>
    <row r="37221" spans="20:20" ht="18.75" customHeight="1" x14ac:dyDescent="0.35">
      <c r="T37221" s="246">
        <f t="shared" si="619"/>
        <v>0</v>
      </c>
    </row>
    <row r="37222" spans="20:20" ht="18.75" customHeight="1" x14ac:dyDescent="0.35">
      <c r="T37222" s="246">
        <f t="shared" si="619"/>
        <v>0</v>
      </c>
    </row>
    <row r="37223" spans="20:20" ht="18.75" customHeight="1" x14ac:dyDescent="0.35">
      <c r="T37223" s="246">
        <f t="shared" si="619"/>
        <v>0</v>
      </c>
    </row>
    <row r="37224" spans="20:20" ht="18.75" customHeight="1" x14ac:dyDescent="0.35">
      <c r="T37224" s="246">
        <f t="shared" si="619"/>
        <v>0</v>
      </c>
    </row>
    <row r="37225" spans="20:20" ht="18.75" customHeight="1" x14ac:dyDescent="0.35">
      <c r="T37225" s="246">
        <f t="shared" si="619"/>
        <v>0</v>
      </c>
    </row>
    <row r="37226" spans="20:20" ht="18.75" customHeight="1" x14ac:dyDescent="0.35">
      <c r="T37226" s="246">
        <f t="shared" si="619"/>
        <v>0</v>
      </c>
    </row>
    <row r="37227" spans="20:20" ht="18.75" customHeight="1" x14ac:dyDescent="0.35">
      <c r="T37227" s="246">
        <f t="shared" si="619"/>
        <v>0</v>
      </c>
    </row>
    <row r="37228" spans="20:20" ht="18.75" customHeight="1" x14ac:dyDescent="0.35">
      <c r="T37228" s="246">
        <f t="shared" si="619"/>
        <v>0</v>
      </c>
    </row>
    <row r="37229" spans="20:20" ht="18.75" customHeight="1" x14ac:dyDescent="0.35">
      <c r="T37229" s="246">
        <f t="shared" si="619"/>
        <v>0</v>
      </c>
    </row>
    <row r="37230" spans="20:20" ht="18.75" customHeight="1" x14ac:dyDescent="0.35">
      <c r="T37230" s="246">
        <f t="shared" si="619"/>
        <v>0</v>
      </c>
    </row>
    <row r="37231" spans="20:20" ht="18.75" customHeight="1" x14ac:dyDescent="0.35">
      <c r="T37231" s="246">
        <f t="shared" si="619"/>
        <v>0</v>
      </c>
    </row>
    <row r="37232" spans="20:20" ht="18.75" customHeight="1" x14ac:dyDescent="0.35">
      <c r="T37232" s="246">
        <f t="shared" si="619"/>
        <v>0</v>
      </c>
    </row>
    <row r="37233" spans="20:20" ht="18.75" customHeight="1" x14ac:dyDescent="0.35">
      <c r="T37233" s="246">
        <f t="shared" si="619"/>
        <v>0</v>
      </c>
    </row>
    <row r="37234" spans="20:20" ht="18.75" customHeight="1" x14ac:dyDescent="0.35">
      <c r="T37234" s="246">
        <f t="shared" si="619"/>
        <v>0</v>
      </c>
    </row>
    <row r="37235" spans="20:20" ht="18.75" customHeight="1" x14ac:dyDescent="0.35">
      <c r="T37235" s="246">
        <f t="shared" si="619"/>
        <v>0</v>
      </c>
    </row>
    <row r="37236" spans="20:20" ht="18.75" customHeight="1" x14ac:dyDescent="0.35">
      <c r="T37236" s="246">
        <f t="shared" si="619"/>
        <v>0</v>
      </c>
    </row>
    <row r="37237" spans="20:20" ht="18.75" customHeight="1" x14ac:dyDescent="0.35">
      <c r="T37237" s="246">
        <f t="shared" si="619"/>
        <v>0</v>
      </c>
    </row>
    <row r="37238" spans="20:20" ht="18.75" customHeight="1" x14ac:dyDescent="0.35">
      <c r="T37238" s="246">
        <f t="shared" si="619"/>
        <v>0</v>
      </c>
    </row>
    <row r="37239" spans="20:20" ht="18.75" customHeight="1" x14ac:dyDescent="0.35">
      <c r="T37239" s="246">
        <f t="shared" si="619"/>
        <v>0</v>
      </c>
    </row>
    <row r="37240" spans="20:20" ht="18.75" customHeight="1" x14ac:dyDescent="0.35">
      <c r="T37240" s="246">
        <f t="shared" si="619"/>
        <v>0</v>
      </c>
    </row>
    <row r="37241" spans="20:20" ht="18.75" customHeight="1" x14ac:dyDescent="0.35">
      <c r="T37241" s="246">
        <f t="shared" si="619"/>
        <v>0</v>
      </c>
    </row>
    <row r="37242" spans="20:20" ht="18.75" customHeight="1" x14ac:dyDescent="0.35">
      <c r="T37242" s="246">
        <f t="shared" si="619"/>
        <v>0</v>
      </c>
    </row>
    <row r="37243" spans="20:20" ht="18.75" customHeight="1" x14ac:dyDescent="0.35">
      <c r="T37243" s="246">
        <f t="shared" si="619"/>
        <v>0</v>
      </c>
    </row>
    <row r="37244" spans="20:20" ht="18.75" customHeight="1" x14ac:dyDescent="0.35">
      <c r="T37244" s="246">
        <f t="shared" ref="T37244:T37307" si="620">R37244*0.01</f>
        <v>0</v>
      </c>
    </row>
    <row r="37245" spans="20:20" ht="18.75" customHeight="1" x14ac:dyDescent="0.35">
      <c r="T37245" s="246">
        <f t="shared" si="620"/>
        <v>0</v>
      </c>
    </row>
    <row r="37246" spans="20:20" ht="18.75" customHeight="1" x14ac:dyDescent="0.35">
      <c r="T37246" s="246">
        <f t="shared" si="620"/>
        <v>0</v>
      </c>
    </row>
    <row r="37247" spans="20:20" ht="18.75" customHeight="1" x14ac:dyDescent="0.35">
      <c r="T37247" s="246">
        <f t="shared" si="620"/>
        <v>0</v>
      </c>
    </row>
    <row r="37248" spans="20:20" ht="18.75" customHeight="1" x14ac:dyDescent="0.35">
      <c r="T37248" s="246">
        <f t="shared" si="620"/>
        <v>0</v>
      </c>
    </row>
    <row r="37249" spans="20:20" ht="18.75" customHeight="1" x14ac:dyDescent="0.35">
      <c r="T37249" s="246">
        <f t="shared" si="620"/>
        <v>0</v>
      </c>
    </row>
    <row r="37250" spans="20:20" ht="18.75" customHeight="1" x14ac:dyDescent="0.35">
      <c r="T37250" s="246">
        <f t="shared" si="620"/>
        <v>0</v>
      </c>
    </row>
    <row r="37251" spans="20:20" ht="18.75" customHeight="1" x14ac:dyDescent="0.35">
      <c r="T37251" s="246">
        <f t="shared" si="620"/>
        <v>0</v>
      </c>
    </row>
    <row r="37252" spans="20:20" ht="18.75" customHeight="1" x14ac:dyDescent="0.35">
      <c r="T37252" s="246">
        <f t="shared" si="620"/>
        <v>0</v>
      </c>
    </row>
    <row r="37253" spans="20:20" ht="18.75" customHeight="1" x14ac:dyDescent="0.35">
      <c r="T37253" s="246">
        <f t="shared" si="620"/>
        <v>0</v>
      </c>
    </row>
    <row r="37254" spans="20:20" ht="18.75" customHeight="1" x14ac:dyDescent="0.35">
      <c r="T37254" s="246">
        <f t="shared" si="620"/>
        <v>0</v>
      </c>
    </row>
    <row r="37255" spans="20:20" ht="18.75" customHeight="1" x14ac:dyDescent="0.35">
      <c r="T37255" s="246">
        <f t="shared" si="620"/>
        <v>0</v>
      </c>
    </row>
    <row r="37256" spans="20:20" ht="18.75" customHeight="1" x14ac:dyDescent="0.35">
      <c r="T37256" s="246">
        <f t="shared" si="620"/>
        <v>0</v>
      </c>
    </row>
    <row r="37257" spans="20:20" ht="18.75" customHeight="1" x14ac:dyDescent="0.35">
      <c r="T37257" s="246">
        <f t="shared" si="620"/>
        <v>0</v>
      </c>
    </row>
    <row r="37258" spans="20:20" ht="18.75" customHeight="1" x14ac:dyDescent="0.35">
      <c r="T37258" s="246">
        <f t="shared" si="620"/>
        <v>0</v>
      </c>
    </row>
    <row r="37259" spans="20:20" ht="18.75" customHeight="1" x14ac:dyDescent="0.35">
      <c r="T37259" s="246">
        <f t="shared" si="620"/>
        <v>0</v>
      </c>
    </row>
    <row r="37260" spans="20:20" ht="18.75" customHeight="1" x14ac:dyDescent="0.35">
      <c r="T37260" s="246">
        <f t="shared" si="620"/>
        <v>0</v>
      </c>
    </row>
    <row r="37261" spans="20:20" ht="18.75" customHeight="1" x14ac:dyDescent="0.35">
      <c r="T37261" s="246">
        <f t="shared" si="620"/>
        <v>0</v>
      </c>
    </row>
    <row r="37262" spans="20:20" ht="18.75" customHeight="1" x14ac:dyDescent="0.35">
      <c r="T37262" s="246">
        <f t="shared" si="620"/>
        <v>0</v>
      </c>
    </row>
    <row r="37263" spans="20:20" ht="18.75" customHeight="1" x14ac:dyDescent="0.35">
      <c r="T37263" s="246">
        <f t="shared" si="620"/>
        <v>0</v>
      </c>
    </row>
    <row r="37264" spans="20:20" ht="18.75" customHeight="1" x14ac:dyDescent="0.35">
      <c r="T37264" s="246">
        <f t="shared" si="620"/>
        <v>0</v>
      </c>
    </row>
    <row r="37265" spans="20:20" ht="18.75" customHeight="1" x14ac:dyDescent="0.35">
      <c r="T37265" s="246">
        <f t="shared" si="620"/>
        <v>0</v>
      </c>
    </row>
    <row r="37266" spans="20:20" ht="18.75" customHeight="1" x14ac:dyDescent="0.35">
      <c r="T37266" s="246">
        <f t="shared" si="620"/>
        <v>0</v>
      </c>
    </row>
    <row r="37267" spans="20:20" ht="18.75" customHeight="1" x14ac:dyDescent="0.35">
      <c r="T37267" s="246">
        <f t="shared" si="620"/>
        <v>0</v>
      </c>
    </row>
    <row r="37268" spans="20:20" ht="18.75" customHeight="1" x14ac:dyDescent="0.35">
      <c r="T37268" s="246">
        <f t="shared" si="620"/>
        <v>0</v>
      </c>
    </row>
    <row r="37269" spans="20:20" ht="18.75" customHeight="1" x14ac:dyDescent="0.35">
      <c r="T37269" s="246">
        <f t="shared" si="620"/>
        <v>0</v>
      </c>
    </row>
    <row r="37270" spans="20:20" ht="18.75" customHeight="1" x14ac:dyDescent="0.35">
      <c r="T37270" s="246">
        <f t="shared" si="620"/>
        <v>0</v>
      </c>
    </row>
    <row r="37271" spans="20:20" ht="18.75" customHeight="1" x14ac:dyDescent="0.35">
      <c r="T37271" s="246">
        <f t="shared" si="620"/>
        <v>0</v>
      </c>
    </row>
    <row r="37272" spans="20:20" ht="18.75" customHeight="1" x14ac:dyDescent="0.35">
      <c r="T37272" s="246">
        <f t="shared" si="620"/>
        <v>0</v>
      </c>
    </row>
    <row r="37273" spans="20:20" ht="18.75" customHeight="1" x14ac:dyDescent="0.35">
      <c r="T37273" s="246">
        <f t="shared" si="620"/>
        <v>0</v>
      </c>
    </row>
    <row r="37274" spans="20:20" ht="18.75" customHeight="1" x14ac:dyDescent="0.35">
      <c r="T37274" s="246">
        <f t="shared" si="620"/>
        <v>0</v>
      </c>
    </row>
    <row r="37275" spans="20:20" ht="18.75" customHeight="1" x14ac:dyDescent="0.35">
      <c r="T37275" s="246">
        <f t="shared" si="620"/>
        <v>0</v>
      </c>
    </row>
    <row r="37276" spans="20:20" ht="18.75" customHeight="1" x14ac:dyDescent="0.35">
      <c r="T37276" s="246">
        <f t="shared" si="620"/>
        <v>0</v>
      </c>
    </row>
    <row r="37277" spans="20:20" ht="18.75" customHeight="1" x14ac:dyDescent="0.35">
      <c r="T37277" s="246">
        <f t="shared" si="620"/>
        <v>0</v>
      </c>
    </row>
    <row r="37278" spans="20:20" ht="18.75" customHeight="1" x14ac:dyDescent="0.35">
      <c r="T37278" s="246">
        <f t="shared" si="620"/>
        <v>0</v>
      </c>
    </row>
    <row r="37279" spans="20:20" ht="18.75" customHeight="1" x14ac:dyDescent="0.35">
      <c r="T37279" s="246">
        <f t="shared" si="620"/>
        <v>0</v>
      </c>
    </row>
    <row r="37280" spans="20:20" ht="18.75" customHeight="1" x14ac:dyDescent="0.35">
      <c r="T37280" s="246">
        <f t="shared" si="620"/>
        <v>0</v>
      </c>
    </row>
    <row r="37281" spans="20:20" ht="18.75" customHeight="1" x14ac:dyDescent="0.35">
      <c r="T37281" s="246">
        <f t="shared" si="620"/>
        <v>0</v>
      </c>
    </row>
    <row r="37282" spans="20:20" ht="18.75" customHeight="1" x14ac:dyDescent="0.35">
      <c r="T37282" s="246">
        <f t="shared" si="620"/>
        <v>0</v>
      </c>
    </row>
    <row r="37283" spans="20:20" ht="18.75" customHeight="1" x14ac:dyDescent="0.35">
      <c r="T37283" s="246">
        <f t="shared" si="620"/>
        <v>0</v>
      </c>
    </row>
    <row r="37284" spans="20:20" ht="18.75" customHeight="1" x14ac:dyDescent="0.35">
      <c r="T37284" s="246">
        <f t="shared" si="620"/>
        <v>0</v>
      </c>
    </row>
    <row r="37285" spans="20:20" ht="18.75" customHeight="1" x14ac:dyDescent="0.35">
      <c r="T37285" s="246">
        <f t="shared" si="620"/>
        <v>0</v>
      </c>
    </row>
    <row r="37286" spans="20:20" ht="18.75" customHeight="1" x14ac:dyDescent="0.35">
      <c r="T37286" s="246">
        <f t="shared" si="620"/>
        <v>0</v>
      </c>
    </row>
    <row r="37287" spans="20:20" ht="18.75" customHeight="1" x14ac:dyDescent="0.35">
      <c r="T37287" s="246">
        <f t="shared" si="620"/>
        <v>0</v>
      </c>
    </row>
    <row r="37288" spans="20:20" ht="18.75" customHeight="1" x14ac:dyDescent="0.35">
      <c r="T37288" s="246">
        <f t="shared" si="620"/>
        <v>0</v>
      </c>
    </row>
    <row r="37289" spans="20:20" ht="18.75" customHeight="1" x14ac:dyDescent="0.35">
      <c r="T37289" s="246">
        <f t="shared" si="620"/>
        <v>0</v>
      </c>
    </row>
    <row r="37290" spans="20:20" ht="18.75" customHeight="1" x14ac:dyDescent="0.35">
      <c r="T37290" s="246">
        <f t="shared" si="620"/>
        <v>0</v>
      </c>
    </row>
    <row r="37291" spans="20:20" ht="18.75" customHeight="1" x14ac:dyDescent="0.35">
      <c r="T37291" s="246">
        <f t="shared" si="620"/>
        <v>0</v>
      </c>
    </row>
    <row r="37292" spans="20:20" ht="18.75" customHeight="1" x14ac:dyDescent="0.35">
      <c r="T37292" s="246">
        <f t="shared" si="620"/>
        <v>0</v>
      </c>
    </row>
    <row r="37293" spans="20:20" ht="18.75" customHeight="1" x14ac:dyDescent="0.35">
      <c r="T37293" s="246">
        <f t="shared" si="620"/>
        <v>0</v>
      </c>
    </row>
    <row r="37294" spans="20:20" ht="18.75" customHeight="1" x14ac:dyDescent="0.35">
      <c r="T37294" s="246">
        <f t="shared" si="620"/>
        <v>0</v>
      </c>
    </row>
    <row r="37295" spans="20:20" ht="18.75" customHeight="1" x14ac:dyDescent="0.35">
      <c r="T37295" s="246">
        <f t="shared" si="620"/>
        <v>0</v>
      </c>
    </row>
    <row r="37296" spans="20:20" ht="18.75" customHeight="1" x14ac:dyDescent="0.35">
      <c r="T37296" s="246">
        <f t="shared" si="620"/>
        <v>0</v>
      </c>
    </row>
    <row r="37297" spans="20:20" ht="18.75" customHeight="1" x14ac:dyDescent="0.35">
      <c r="T37297" s="246">
        <f t="shared" si="620"/>
        <v>0</v>
      </c>
    </row>
    <row r="37298" spans="20:20" ht="18.75" customHeight="1" x14ac:dyDescent="0.35">
      <c r="T37298" s="246">
        <f t="shared" si="620"/>
        <v>0</v>
      </c>
    </row>
    <row r="37299" spans="20:20" ht="18.75" customHeight="1" x14ac:dyDescent="0.35">
      <c r="T37299" s="246">
        <f t="shared" si="620"/>
        <v>0</v>
      </c>
    </row>
    <row r="37300" spans="20:20" ht="18.75" customHeight="1" x14ac:dyDescent="0.35">
      <c r="T37300" s="246">
        <f t="shared" si="620"/>
        <v>0</v>
      </c>
    </row>
    <row r="37301" spans="20:20" ht="18.75" customHeight="1" x14ac:dyDescent="0.35">
      <c r="T37301" s="246">
        <f t="shared" si="620"/>
        <v>0</v>
      </c>
    </row>
    <row r="37302" spans="20:20" ht="18.75" customHeight="1" x14ac:dyDescent="0.35">
      <c r="T37302" s="246">
        <f t="shared" si="620"/>
        <v>0</v>
      </c>
    </row>
    <row r="37303" spans="20:20" ht="18.75" customHeight="1" x14ac:dyDescent="0.35">
      <c r="T37303" s="246">
        <f t="shared" si="620"/>
        <v>0</v>
      </c>
    </row>
    <row r="37304" spans="20:20" ht="18.75" customHeight="1" x14ac:dyDescent="0.35">
      <c r="T37304" s="246">
        <f t="shared" si="620"/>
        <v>0</v>
      </c>
    </row>
    <row r="37305" spans="20:20" ht="18.75" customHeight="1" x14ac:dyDescent="0.35">
      <c r="T37305" s="246">
        <f t="shared" si="620"/>
        <v>0</v>
      </c>
    </row>
    <row r="37306" spans="20:20" ht="18.75" customHeight="1" x14ac:dyDescent="0.35">
      <c r="T37306" s="246">
        <f t="shared" si="620"/>
        <v>0</v>
      </c>
    </row>
    <row r="37307" spans="20:20" ht="18.75" customHeight="1" x14ac:dyDescent="0.35">
      <c r="T37307" s="246">
        <f t="shared" si="620"/>
        <v>0</v>
      </c>
    </row>
    <row r="37308" spans="20:20" ht="18.75" customHeight="1" x14ac:dyDescent="0.35">
      <c r="T37308" s="246">
        <f t="shared" ref="T37308:T37371" si="621">R37308*0.01</f>
        <v>0</v>
      </c>
    </row>
    <row r="37309" spans="20:20" ht="18.75" customHeight="1" x14ac:dyDescent="0.35">
      <c r="T37309" s="246">
        <f t="shared" si="621"/>
        <v>0</v>
      </c>
    </row>
    <row r="37310" spans="20:20" ht="18.75" customHeight="1" x14ac:dyDescent="0.35">
      <c r="T37310" s="246">
        <f t="shared" si="621"/>
        <v>0</v>
      </c>
    </row>
    <row r="37311" spans="20:20" ht="18.75" customHeight="1" x14ac:dyDescent="0.35">
      <c r="T37311" s="246">
        <f t="shared" si="621"/>
        <v>0</v>
      </c>
    </row>
    <row r="37312" spans="20:20" ht="18.75" customHeight="1" x14ac:dyDescent="0.35">
      <c r="T37312" s="246">
        <f t="shared" si="621"/>
        <v>0</v>
      </c>
    </row>
    <row r="37313" spans="20:20" ht="18.75" customHeight="1" x14ac:dyDescent="0.35">
      <c r="T37313" s="246">
        <f t="shared" si="621"/>
        <v>0</v>
      </c>
    </row>
    <row r="37314" spans="20:20" ht="18.75" customHeight="1" x14ac:dyDescent="0.35">
      <c r="T37314" s="246">
        <f t="shared" si="621"/>
        <v>0</v>
      </c>
    </row>
    <row r="37315" spans="20:20" ht="18.75" customHeight="1" x14ac:dyDescent="0.35">
      <c r="T37315" s="246">
        <f t="shared" si="621"/>
        <v>0</v>
      </c>
    </row>
    <row r="37316" spans="20:20" ht="18.75" customHeight="1" x14ac:dyDescent="0.35">
      <c r="T37316" s="246">
        <f t="shared" si="621"/>
        <v>0</v>
      </c>
    </row>
    <row r="37317" spans="20:20" ht="18.75" customHeight="1" x14ac:dyDescent="0.35">
      <c r="T37317" s="246">
        <f t="shared" si="621"/>
        <v>0</v>
      </c>
    </row>
    <row r="37318" spans="20:20" ht="18.75" customHeight="1" x14ac:dyDescent="0.35">
      <c r="T37318" s="246">
        <f t="shared" si="621"/>
        <v>0</v>
      </c>
    </row>
    <row r="37319" spans="20:20" ht="18.75" customHeight="1" x14ac:dyDescent="0.35">
      <c r="T37319" s="246">
        <f t="shared" si="621"/>
        <v>0</v>
      </c>
    </row>
    <row r="37320" spans="20:20" ht="18.75" customHeight="1" x14ac:dyDescent="0.35">
      <c r="T37320" s="246">
        <f t="shared" si="621"/>
        <v>0</v>
      </c>
    </row>
    <row r="37321" spans="20:20" ht="18.75" customHeight="1" x14ac:dyDescent="0.35">
      <c r="T37321" s="246">
        <f t="shared" si="621"/>
        <v>0</v>
      </c>
    </row>
    <row r="37322" spans="20:20" ht="18.75" customHeight="1" x14ac:dyDescent="0.35">
      <c r="T37322" s="246">
        <f t="shared" si="621"/>
        <v>0</v>
      </c>
    </row>
    <row r="37323" spans="20:20" ht="18.75" customHeight="1" x14ac:dyDescent="0.35">
      <c r="T37323" s="246">
        <f t="shared" si="621"/>
        <v>0</v>
      </c>
    </row>
    <row r="37324" spans="20:20" ht="18.75" customHeight="1" x14ac:dyDescent="0.35">
      <c r="T37324" s="246">
        <f t="shared" si="621"/>
        <v>0</v>
      </c>
    </row>
    <row r="37325" spans="20:20" ht="18.75" customHeight="1" x14ac:dyDescent="0.35">
      <c r="T37325" s="246">
        <f t="shared" si="621"/>
        <v>0</v>
      </c>
    </row>
    <row r="37326" spans="20:20" ht="18.75" customHeight="1" x14ac:dyDescent="0.35">
      <c r="T37326" s="246">
        <f t="shared" si="621"/>
        <v>0</v>
      </c>
    </row>
    <row r="37327" spans="20:20" ht="18.75" customHeight="1" x14ac:dyDescent="0.35">
      <c r="T37327" s="246">
        <f t="shared" si="621"/>
        <v>0</v>
      </c>
    </row>
    <row r="37328" spans="20:20" ht="18.75" customHeight="1" x14ac:dyDescent="0.35">
      <c r="T37328" s="246">
        <f t="shared" si="621"/>
        <v>0</v>
      </c>
    </row>
    <row r="37329" spans="20:20" ht="18.75" customHeight="1" x14ac:dyDescent="0.35">
      <c r="T37329" s="246">
        <f t="shared" si="621"/>
        <v>0</v>
      </c>
    </row>
    <row r="37330" spans="20:20" ht="18.75" customHeight="1" x14ac:dyDescent="0.35">
      <c r="T37330" s="246">
        <f t="shared" si="621"/>
        <v>0</v>
      </c>
    </row>
    <row r="37331" spans="20:20" ht="18.75" customHeight="1" x14ac:dyDescent="0.35">
      <c r="T37331" s="246">
        <f t="shared" si="621"/>
        <v>0</v>
      </c>
    </row>
    <row r="37332" spans="20:20" ht="18.75" customHeight="1" x14ac:dyDescent="0.35">
      <c r="T37332" s="246">
        <f t="shared" si="621"/>
        <v>0</v>
      </c>
    </row>
    <row r="37333" spans="20:20" ht="18.75" customHeight="1" x14ac:dyDescent="0.35">
      <c r="T37333" s="246">
        <f t="shared" si="621"/>
        <v>0</v>
      </c>
    </row>
    <row r="37334" spans="20:20" ht="18.75" customHeight="1" x14ac:dyDescent="0.35">
      <c r="T37334" s="246">
        <f t="shared" si="621"/>
        <v>0</v>
      </c>
    </row>
    <row r="37335" spans="20:20" ht="18.75" customHeight="1" x14ac:dyDescent="0.35">
      <c r="T37335" s="246">
        <f t="shared" si="621"/>
        <v>0</v>
      </c>
    </row>
    <row r="37336" spans="20:20" ht="18.75" customHeight="1" x14ac:dyDescent="0.35">
      <c r="T37336" s="246">
        <f t="shared" si="621"/>
        <v>0</v>
      </c>
    </row>
    <row r="37337" spans="20:20" ht="18.75" customHeight="1" x14ac:dyDescent="0.35">
      <c r="T37337" s="246">
        <f t="shared" si="621"/>
        <v>0</v>
      </c>
    </row>
    <row r="37338" spans="20:20" ht="18.75" customHeight="1" x14ac:dyDescent="0.35">
      <c r="T37338" s="246">
        <f t="shared" si="621"/>
        <v>0</v>
      </c>
    </row>
    <row r="37339" spans="20:20" ht="18.75" customHeight="1" x14ac:dyDescent="0.35">
      <c r="T37339" s="246">
        <f t="shared" si="621"/>
        <v>0</v>
      </c>
    </row>
    <row r="37340" spans="20:20" ht="18.75" customHeight="1" x14ac:dyDescent="0.35">
      <c r="T37340" s="246">
        <f t="shared" si="621"/>
        <v>0</v>
      </c>
    </row>
    <row r="37341" spans="20:20" ht="18.75" customHeight="1" x14ac:dyDescent="0.35">
      <c r="T37341" s="246">
        <f t="shared" si="621"/>
        <v>0</v>
      </c>
    </row>
    <row r="37342" spans="20:20" ht="18.75" customHeight="1" x14ac:dyDescent="0.35">
      <c r="T37342" s="246">
        <f t="shared" si="621"/>
        <v>0</v>
      </c>
    </row>
    <row r="37343" spans="20:20" ht="18.75" customHeight="1" x14ac:dyDescent="0.35">
      <c r="T37343" s="246">
        <f t="shared" si="621"/>
        <v>0</v>
      </c>
    </row>
    <row r="37344" spans="20:20" ht="18.75" customHeight="1" x14ac:dyDescent="0.35">
      <c r="T37344" s="246">
        <f t="shared" si="621"/>
        <v>0</v>
      </c>
    </row>
    <row r="37345" spans="20:20" ht="18.75" customHeight="1" x14ac:dyDescent="0.35">
      <c r="T37345" s="246">
        <f t="shared" si="621"/>
        <v>0</v>
      </c>
    </row>
    <row r="37346" spans="20:20" ht="18.75" customHeight="1" x14ac:dyDescent="0.35">
      <c r="T37346" s="246">
        <f t="shared" si="621"/>
        <v>0</v>
      </c>
    </row>
    <row r="37347" spans="20:20" ht="18.75" customHeight="1" x14ac:dyDescent="0.35">
      <c r="T37347" s="246">
        <f t="shared" si="621"/>
        <v>0</v>
      </c>
    </row>
    <row r="37348" spans="20:20" ht="18.75" customHeight="1" x14ac:dyDescent="0.35">
      <c r="T37348" s="246">
        <f t="shared" si="621"/>
        <v>0</v>
      </c>
    </row>
    <row r="37349" spans="20:20" ht="18.75" customHeight="1" x14ac:dyDescent="0.35">
      <c r="T37349" s="246">
        <f t="shared" si="621"/>
        <v>0</v>
      </c>
    </row>
    <row r="37350" spans="20:20" ht="18.75" customHeight="1" x14ac:dyDescent="0.35">
      <c r="T37350" s="246">
        <f t="shared" si="621"/>
        <v>0</v>
      </c>
    </row>
    <row r="37351" spans="20:20" ht="18.75" customHeight="1" x14ac:dyDescent="0.35">
      <c r="T37351" s="246">
        <f t="shared" si="621"/>
        <v>0</v>
      </c>
    </row>
    <row r="37352" spans="20:20" ht="18.75" customHeight="1" x14ac:dyDescent="0.35">
      <c r="T37352" s="246">
        <f t="shared" si="621"/>
        <v>0</v>
      </c>
    </row>
    <row r="37353" spans="20:20" ht="18.75" customHeight="1" x14ac:dyDescent="0.35">
      <c r="T37353" s="246">
        <f t="shared" si="621"/>
        <v>0</v>
      </c>
    </row>
    <row r="37354" spans="20:20" ht="18.75" customHeight="1" x14ac:dyDescent="0.35">
      <c r="T37354" s="246">
        <f t="shared" si="621"/>
        <v>0</v>
      </c>
    </row>
    <row r="37355" spans="20:20" ht="18.75" customHeight="1" x14ac:dyDescent="0.35">
      <c r="T37355" s="246">
        <f t="shared" si="621"/>
        <v>0</v>
      </c>
    </row>
    <row r="37356" spans="20:20" ht="18.75" customHeight="1" x14ac:dyDescent="0.35">
      <c r="T37356" s="246">
        <f t="shared" si="621"/>
        <v>0</v>
      </c>
    </row>
    <row r="37357" spans="20:20" ht="18.75" customHeight="1" x14ac:dyDescent="0.35">
      <c r="T37357" s="246">
        <f t="shared" si="621"/>
        <v>0</v>
      </c>
    </row>
    <row r="37358" spans="20:20" ht="18.75" customHeight="1" x14ac:dyDescent="0.35">
      <c r="T37358" s="246">
        <f t="shared" si="621"/>
        <v>0</v>
      </c>
    </row>
    <row r="37359" spans="20:20" ht="18.75" customHeight="1" x14ac:dyDescent="0.35">
      <c r="T37359" s="246">
        <f t="shared" si="621"/>
        <v>0</v>
      </c>
    </row>
    <row r="37360" spans="20:20" ht="18.75" customHeight="1" x14ac:dyDescent="0.35">
      <c r="T37360" s="246">
        <f t="shared" si="621"/>
        <v>0</v>
      </c>
    </row>
    <row r="37361" spans="20:20" ht="18.75" customHeight="1" x14ac:dyDescent="0.35">
      <c r="T37361" s="246">
        <f t="shared" si="621"/>
        <v>0</v>
      </c>
    </row>
    <row r="37362" spans="20:20" ht="18.75" customHeight="1" x14ac:dyDescent="0.35">
      <c r="T37362" s="246">
        <f t="shared" si="621"/>
        <v>0</v>
      </c>
    </row>
    <row r="37363" spans="20:20" ht="18.75" customHeight="1" x14ac:dyDescent="0.35">
      <c r="T37363" s="246">
        <f t="shared" si="621"/>
        <v>0</v>
      </c>
    </row>
    <row r="37364" spans="20:20" ht="18.75" customHeight="1" x14ac:dyDescent="0.35">
      <c r="T37364" s="246">
        <f t="shared" si="621"/>
        <v>0</v>
      </c>
    </row>
    <row r="37365" spans="20:20" ht="18.75" customHeight="1" x14ac:dyDescent="0.35">
      <c r="T37365" s="246">
        <f t="shared" si="621"/>
        <v>0</v>
      </c>
    </row>
    <row r="37366" spans="20:20" ht="18.75" customHeight="1" x14ac:dyDescent="0.35">
      <c r="T37366" s="246">
        <f t="shared" si="621"/>
        <v>0</v>
      </c>
    </row>
    <row r="37367" spans="20:20" ht="18.75" customHeight="1" x14ac:dyDescent="0.35">
      <c r="T37367" s="246">
        <f t="shared" si="621"/>
        <v>0</v>
      </c>
    </row>
    <row r="37368" spans="20:20" ht="18.75" customHeight="1" x14ac:dyDescent="0.35">
      <c r="T37368" s="246">
        <f t="shared" si="621"/>
        <v>0</v>
      </c>
    </row>
    <row r="37369" spans="20:20" ht="18.75" customHeight="1" x14ac:dyDescent="0.35">
      <c r="T37369" s="246">
        <f t="shared" si="621"/>
        <v>0</v>
      </c>
    </row>
    <row r="37370" spans="20:20" ht="18.75" customHeight="1" x14ac:dyDescent="0.35">
      <c r="T37370" s="246">
        <f t="shared" si="621"/>
        <v>0</v>
      </c>
    </row>
    <row r="37371" spans="20:20" ht="18.75" customHeight="1" x14ac:dyDescent="0.35">
      <c r="T37371" s="246">
        <f t="shared" si="621"/>
        <v>0</v>
      </c>
    </row>
    <row r="37372" spans="20:20" ht="18.75" customHeight="1" x14ac:dyDescent="0.35">
      <c r="T37372" s="246">
        <f t="shared" ref="T37372:T37435" si="622">R37372*0.01</f>
        <v>0</v>
      </c>
    </row>
    <row r="37373" spans="20:20" ht="18.75" customHeight="1" x14ac:dyDescent="0.35">
      <c r="T37373" s="246">
        <f t="shared" si="622"/>
        <v>0</v>
      </c>
    </row>
    <row r="37374" spans="20:20" ht="18.75" customHeight="1" x14ac:dyDescent="0.35">
      <c r="T37374" s="246">
        <f t="shared" si="622"/>
        <v>0</v>
      </c>
    </row>
    <row r="37375" spans="20:20" ht="18.75" customHeight="1" x14ac:dyDescent="0.35">
      <c r="T37375" s="246">
        <f t="shared" si="622"/>
        <v>0</v>
      </c>
    </row>
    <row r="37376" spans="20:20" ht="18.75" customHeight="1" x14ac:dyDescent="0.35">
      <c r="T37376" s="246">
        <f t="shared" si="622"/>
        <v>0</v>
      </c>
    </row>
    <row r="37377" spans="20:20" ht="18.75" customHeight="1" x14ac:dyDescent="0.35">
      <c r="T37377" s="246">
        <f t="shared" si="622"/>
        <v>0</v>
      </c>
    </row>
    <row r="37378" spans="20:20" ht="18.75" customHeight="1" x14ac:dyDescent="0.35">
      <c r="T37378" s="246">
        <f t="shared" si="622"/>
        <v>0</v>
      </c>
    </row>
    <row r="37379" spans="20:20" ht="18.75" customHeight="1" x14ac:dyDescent="0.35">
      <c r="T37379" s="246">
        <f t="shared" si="622"/>
        <v>0</v>
      </c>
    </row>
    <row r="37380" spans="20:20" ht="18.75" customHeight="1" x14ac:dyDescent="0.35">
      <c r="T37380" s="246">
        <f t="shared" si="622"/>
        <v>0</v>
      </c>
    </row>
    <row r="37381" spans="20:20" ht="18.75" customHeight="1" x14ac:dyDescent="0.35">
      <c r="T37381" s="246">
        <f t="shared" si="622"/>
        <v>0</v>
      </c>
    </row>
    <row r="37382" spans="20:20" ht="18.75" customHeight="1" x14ac:dyDescent="0.35">
      <c r="T37382" s="246">
        <f t="shared" si="622"/>
        <v>0</v>
      </c>
    </row>
    <row r="37383" spans="20:20" ht="18.75" customHeight="1" x14ac:dyDescent="0.35">
      <c r="T37383" s="246">
        <f t="shared" si="622"/>
        <v>0</v>
      </c>
    </row>
    <row r="37384" spans="20:20" ht="18.75" customHeight="1" x14ac:dyDescent="0.35">
      <c r="T37384" s="246">
        <f t="shared" si="622"/>
        <v>0</v>
      </c>
    </row>
    <row r="37385" spans="20:20" ht="18.75" customHeight="1" x14ac:dyDescent="0.35">
      <c r="T37385" s="246">
        <f t="shared" si="622"/>
        <v>0</v>
      </c>
    </row>
    <row r="37386" spans="20:20" ht="18.75" customHeight="1" x14ac:dyDescent="0.35">
      <c r="T37386" s="246">
        <f t="shared" si="622"/>
        <v>0</v>
      </c>
    </row>
    <row r="37387" spans="20:20" ht="18.75" customHeight="1" x14ac:dyDescent="0.35">
      <c r="T37387" s="246">
        <f t="shared" si="622"/>
        <v>0</v>
      </c>
    </row>
    <row r="37388" spans="20:20" ht="18.75" customHeight="1" x14ac:dyDescent="0.35">
      <c r="T37388" s="246">
        <f t="shared" si="622"/>
        <v>0</v>
      </c>
    </row>
    <row r="37389" spans="20:20" ht="18.75" customHeight="1" x14ac:dyDescent="0.35">
      <c r="T37389" s="246">
        <f t="shared" si="622"/>
        <v>0</v>
      </c>
    </row>
    <row r="37390" spans="20:20" ht="18.75" customHeight="1" x14ac:dyDescent="0.35">
      <c r="T37390" s="246">
        <f t="shared" si="622"/>
        <v>0</v>
      </c>
    </row>
    <row r="37391" spans="20:20" ht="18.75" customHeight="1" x14ac:dyDescent="0.35">
      <c r="T37391" s="246">
        <f t="shared" si="622"/>
        <v>0</v>
      </c>
    </row>
    <row r="37392" spans="20:20" ht="18.75" customHeight="1" x14ac:dyDescent="0.35">
      <c r="T37392" s="246">
        <f t="shared" si="622"/>
        <v>0</v>
      </c>
    </row>
    <row r="37393" spans="20:20" ht="18.75" customHeight="1" x14ac:dyDescent="0.35">
      <c r="T37393" s="246">
        <f t="shared" si="622"/>
        <v>0</v>
      </c>
    </row>
    <row r="37394" spans="20:20" ht="18.75" customHeight="1" x14ac:dyDescent="0.35">
      <c r="T37394" s="246">
        <f t="shared" si="622"/>
        <v>0</v>
      </c>
    </row>
    <row r="37395" spans="20:20" ht="18.75" customHeight="1" x14ac:dyDescent="0.35">
      <c r="T37395" s="246">
        <f t="shared" si="622"/>
        <v>0</v>
      </c>
    </row>
    <row r="37396" spans="20:20" ht="18.75" customHeight="1" x14ac:dyDescent="0.35">
      <c r="T37396" s="246">
        <f t="shared" si="622"/>
        <v>0</v>
      </c>
    </row>
    <row r="37397" spans="20:20" ht="18.75" customHeight="1" x14ac:dyDescent="0.35">
      <c r="T37397" s="246">
        <f t="shared" si="622"/>
        <v>0</v>
      </c>
    </row>
    <row r="37398" spans="20:20" ht="18.75" customHeight="1" x14ac:dyDescent="0.35">
      <c r="T37398" s="246">
        <f t="shared" si="622"/>
        <v>0</v>
      </c>
    </row>
    <row r="37399" spans="20:20" ht="18.75" customHeight="1" x14ac:dyDescent="0.35">
      <c r="T37399" s="246">
        <f t="shared" si="622"/>
        <v>0</v>
      </c>
    </row>
    <row r="37400" spans="20:20" ht="18.75" customHeight="1" x14ac:dyDescent="0.35">
      <c r="T37400" s="246">
        <f t="shared" si="622"/>
        <v>0</v>
      </c>
    </row>
    <row r="37401" spans="20:20" ht="18.75" customHeight="1" x14ac:dyDescent="0.35">
      <c r="T37401" s="246">
        <f t="shared" si="622"/>
        <v>0</v>
      </c>
    </row>
    <row r="37402" spans="20:20" ht="18.75" customHeight="1" x14ac:dyDescent="0.35">
      <c r="T37402" s="246">
        <f t="shared" si="622"/>
        <v>0</v>
      </c>
    </row>
    <row r="37403" spans="20:20" ht="18.75" customHeight="1" x14ac:dyDescent="0.35">
      <c r="T37403" s="246">
        <f t="shared" si="622"/>
        <v>0</v>
      </c>
    </row>
    <row r="37404" spans="20:20" ht="18.75" customHeight="1" x14ac:dyDescent="0.35">
      <c r="T37404" s="246">
        <f t="shared" si="622"/>
        <v>0</v>
      </c>
    </row>
    <row r="37405" spans="20:20" ht="18.75" customHeight="1" x14ac:dyDescent="0.35">
      <c r="T37405" s="246">
        <f t="shared" si="622"/>
        <v>0</v>
      </c>
    </row>
    <row r="37406" spans="20:20" ht="18.75" customHeight="1" x14ac:dyDescent="0.35">
      <c r="T37406" s="246">
        <f t="shared" si="622"/>
        <v>0</v>
      </c>
    </row>
    <row r="37407" spans="20:20" ht="18.75" customHeight="1" x14ac:dyDescent="0.35">
      <c r="T37407" s="246">
        <f t="shared" si="622"/>
        <v>0</v>
      </c>
    </row>
    <row r="37408" spans="20:20" ht="18.75" customHeight="1" x14ac:dyDescent="0.35">
      <c r="T37408" s="246">
        <f t="shared" si="622"/>
        <v>0</v>
      </c>
    </row>
    <row r="37409" spans="20:20" ht="18.75" customHeight="1" x14ac:dyDescent="0.35">
      <c r="T37409" s="246">
        <f t="shared" si="622"/>
        <v>0</v>
      </c>
    </row>
    <row r="37410" spans="20:20" ht="18.75" customHeight="1" x14ac:dyDescent="0.35">
      <c r="T37410" s="246">
        <f t="shared" si="622"/>
        <v>0</v>
      </c>
    </row>
    <row r="37411" spans="20:20" ht="18.75" customHeight="1" x14ac:dyDescent="0.35">
      <c r="T37411" s="246">
        <f t="shared" si="622"/>
        <v>0</v>
      </c>
    </row>
    <row r="37412" spans="20:20" ht="18.75" customHeight="1" x14ac:dyDescent="0.35">
      <c r="T37412" s="246">
        <f t="shared" si="622"/>
        <v>0</v>
      </c>
    </row>
    <row r="37413" spans="20:20" ht="18.75" customHeight="1" x14ac:dyDescent="0.35">
      <c r="T37413" s="246">
        <f t="shared" si="622"/>
        <v>0</v>
      </c>
    </row>
    <row r="37414" spans="20:20" ht="18.75" customHeight="1" x14ac:dyDescent="0.35">
      <c r="T37414" s="246">
        <f t="shared" si="622"/>
        <v>0</v>
      </c>
    </row>
    <row r="37415" spans="20:20" ht="18.75" customHeight="1" x14ac:dyDescent="0.35">
      <c r="T37415" s="246">
        <f t="shared" si="622"/>
        <v>0</v>
      </c>
    </row>
    <row r="37416" spans="20:20" ht="18.75" customHeight="1" x14ac:dyDescent="0.35">
      <c r="T37416" s="246">
        <f t="shared" si="622"/>
        <v>0</v>
      </c>
    </row>
    <row r="37417" spans="20:20" ht="18.75" customHeight="1" x14ac:dyDescent="0.35">
      <c r="T37417" s="246">
        <f t="shared" si="622"/>
        <v>0</v>
      </c>
    </row>
    <row r="37418" spans="20:20" ht="18.75" customHeight="1" x14ac:dyDescent="0.35">
      <c r="T37418" s="246">
        <f t="shared" si="622"/>
        <v>0</v>
      </c>
    </row>
    <row r="37419" spans="20:20" ht="18.75" customHeight="1" x14ac:dyDescent="0.35">
      <c r="T37419" s="246">
        <f t="shared" si="622"/>
        <v>0</v>
      </c>
    </row>
    <row r="37420" spans="20:20" ht="18.75" customHeight="1" x14ac:dyDescent="0.35">
      <c r="T37420" s="246">
        <f t="shared" si="622"/>
        <v>0</v>
      </c>
    </row>
    <row r="37421" spans="20:20" ht="18.75" customHeight="1" x14ac:dyDescent="0.35">
      <c r="T37421" s="246">
        <f t="shared" si="622"/>
        <v>0</v>
      </c>
    </row>
    <row r="37422" spans="20:20" ht="18.75" customHeight="1" x14ac:dyDescent="0.35">
      <c r="T37422" s="246">
        <f t="shared" si="622"/>
        <v>0</v>
      </c>
    </row>
    <row r="37423" spans="20:20" ht="18.75" customHeight="1" x14ac:dyDescent="0.35">
      <c r="T37423" s="246">
        <f t="shared" si="622"/>
        <v>0</v>
      </c>
    </row>
    <row r="37424" spans="20:20" ht="18.75" customHeight="1" x14ac:dyDescent="0.35">
      <c r="T37424" s="246">
        <f t="shared" si="622"/>
        <v>0</v>
      </c>
    </row>
    <row r="37425" spans="20:20" ht="18.75" customHeight="1" x14ac:dyDescent="0.35">
      <c r="T37425" s="246">
        <f t="shared" si="622"/>
        <v>0</v>
      </c>
    </row>
    <row r="37426" spans="20:20" ht="18.75" customHeight="1" x14ac:dyDescent="0.35">
      <c r="T37426" s="246">
        <f t="shared" si="622"/>
        <v>0</v>
      </c>
    </row>
    <row r="37427" spans="20:20" ht="18.75" customHeight="1" x14ac:dyDescent="0.35">
      <c r="T37427" s="246">
        <f t="shared" si="622"/>
        <v>0</v>
      </c>
    </row>
    <row r="37428" spans="20:20" ht="18.75" customHeight="1" x14ac:dyDescent="0.35">
      <c r="T37428" s="246">
        <f t="shared" si="622"/>
        <v>0</v>
      </c>
    </row>
    <row r="37429" spans="20:20" ht="18.75" customHeight="1" x14ac:dyDescent="0.35">
      <c r="T37429" s="246">
        <f t="shared" si="622"/>
        <v>0</v>
      </c>
    </row>
    <row r="37430" spans="20:20" ht="18.75" customHeight="1" x14ac:dyDescent="0.35">
      <c r="T37430" s="246">
        <f t="shared" si="622"/>
        <v>0</v>
      </c>
    </row>
    <row r="37431" spans="20:20" ht="18.75" customHeight="1" x14ac:dyDescent="0.35">
      <c r="T37431" s="246">
        <f t="shared" si="622"/>
        <v>0</v>
      </c>
    </row>
    <row r="37432" spans="20:20" ht="18.75" customHeight="1" x14ac:dyDescent="0.35">
      <c r="T37432" s="246">
        <f t="shared" si="622"/>
        <v>0</v>
      </c>
    </row>
    <row r="37433" spans="20:20" ht="18.75" customHeight="1" x14ac:dyDescent="0.35">
      <c r="T37433" s="246">
        <f t="shared" si="622"/>
        <v>0</v>
      </c>
    </row>
    <row r="37434" spans="20:20" ht="18.75" customHeight="1" x14ac:dyDescent="0.35">
      <c r="T37434" s="246">
        <f t="shared" si="622"/>
        <v>0</v>
      </c>
    </row>
    <row r="37435" spans="20:20" ht="18.75" customHeight="1" x14ac:dyDescent="0.35">
      <c r="T37435" s="246">
        <f t="shared" si="622"/>
        <v>0</v>
      </c>
    </row>
    <row r="37436" spans="20:20" ht="18.75" customHeight="1" x14ac:dyDescent="0.35">
      <c r="T37436" s="246">
        <f t="shared" ref="T37436:T37499" si="623">R37436*0.01</f>
        <v>0</v>
      </c>
    </row>
    <row r="37437" spans="20:20" ht="18.75" customHeight="1" x14ac:dyDescent="0.35">
      <c r="T37437" s="246">
        <f t="shared" si="623"/>
        <v>0</v>
      </c>
    </row>
    <row r="37438" spans="20:20" ht="18.75" customHeight="1" x14ac:dyDescent="0.35">
      <c r="T37438" s="246">
        <f t="shared" si="623"/>
        <v>0</v>
      </c>
    </row>
    <row r="37439" spans="20:20" ht="18.75" customHeight="1" x14ac:dyDescent="0.35">
      <c r="T37439" s="246">
        <f t="shared" si="623"/>
        <v>0</v>
      </c>
    </row>
    <row r="37440" spans="20:20" ht="18.75" customHeight="1" x14ac:dyDescent="0.35">
      <c r="T37440" s="246">
        <f t="shared" si="623"/>
        <v>0</v>
      </c>
    </row>
    <row r="37441" spans="20:20" ht="18.75" customHeight="1" x14ac:dyDescent="0.35">
      <c r="T37441" s="246">
        <f t="shared" si="623"/>
        <v>0</v>
      </c>
    </row>
    <row r="37442" spans="20:20" ht="18.75" customHeight="1" x14ac:dyDescent="0.35">
      <c r="T37442" s="246">
        <f t="shared" si="623"/>
        <v>0</v>
      </c>
    </row>
    <row r="37443" spans="20:20" ht="18.75" customHeight="1" x14ac:dyDescent="0.35">
      <c r="T37443" s="246">
        <f t="shared" si="623"/>
        <v>0</v>
      </c>
    </row>
    <row r="37444" spans="20:20" ht="18.75" customHeight="1" x14ac:dyDescent="0.35">
      <c r="T37444" s="246">
        <f t="shared" si="623"/>
        <v>0</v>
      </c>
    </row>
    <row r="37445" spans="20:20" ht="18.75" customHeight="1" x14ac:dyDescent="0.35">
      <c r="T37445" s="246">
        <f t="shared" si="623"/>
        <v>0</v>
      </c>
    </row>
    <row r="37446" spans="20:20" ht="18.75" customHeight="1" x14ac:dyDescent="0.35">
      <c r="T37446" s="246">
        <f t="shared" si="623"/>
        <v>0</v>
      </c>
    </row>
    <row r="37447" spans="20:20" ht="18.75" customHeight="1" x14ac:dyDescent="0.35">
      <c r="T37447" s="246">
        <f t="shared" si="623"/>
        <v>0</v>
      </c>
    </row>
    <row r="37448" spans="20:20" ht="18.75" customHeight="1" x14ac:dyDescent="0.35">
      <c r="T37448" s="246">
        <f t="shared" si="623"/>
        <v>0</v>
      </c>
    </row>
    <row r="37449" spans="20:20" ht="18.75" customHeight="1" x14ac:dyDescent="0.35">
      <c r="T37449" s="246">
        <f t="shared" si="623"/>
        <v>0</v>
      </c>
    </row>
    <row r="37450" spans="20:20" ht="18.75" customHeight="1" x14ac:dyDescent="0.35">
      <c r="T37450" s="246">
        <f t="shared" si="623"/>
        <v>0</v>
      </c>
    </row>
    <row r="37451" spans="20:20" ht="18.75" customHeight="1" x14ac:dyDescent="0.35">
      <c r="T37451" s="246">
        <f t="shared" si="623"/>
        <v>0</v>
      </c>
    </row>
    <row r="37452" spans="20:20" ht="18.75" customHeight="1" x14ac:dyDescent="0.35">
      <c r="T37452" s="246">
        <f t="shared" si="623"/>
        <v>0</v>
      </c>
    </row>
    <row r="37453" spans="20:20" ht="18.75" customHeight="1" x14ac:dyDescent="0.35">
      <c r="T37453" s="246">
        <f t="shared" si="623"/>
        <v>0</v>
      </c>
    </row>
    <row r="37454" spans="20:20" ht="18.75" customHeight="1" x14ac:dyDescent="0.35">
      <c r="T37454" s="246">
        <f t="shared" si="623"/>
        <v>0</v>
      </c>
    </row>
    <row r="37455" spans="20:20" ht="18.75" customHeight="1" x14ac:dyDescent="0.35">
      <c r="T37455" s="246">
        <f t="shared" si="623"/>
        <v>0</v>
      </c>
    </row>
    <row r="37456" spans="20:20" ht="18.75" customHeight="1" x14ac:dyDescent="0.35">
      <c r="T37456" s="246">
        <f t="shared" si="623"/>
        <v>0</v>
      </c>
    </row>
    <row r="37457" spans="20:20" ht="18.75" customHeight="1" x14ac:dyDescent="0.35">
      <c r="T37457" s="246">
        <f t="shared" si="623"/>
        <v>0</v>
      </c>
    </row>
    <row r="37458" spans="20:20" ht="18.75" customHeight="1" x14ac:dyDescent="0.35">
      <c r="T37458" s="246">
        <f t="shared" si="623"/>
        <v>0</v>
      </c>
    </row>
    <row r="37459" spans="20:20" ht="18.75" customHeight="1" x14ac:dyDescent="0.35">
      <c r="T37459" s="246">
        <f t="shared" si="623"/>
        <v>0</v>
      </c>
    </row>
    <row r="37460" spans="20:20" ht="18.75" customHeight="1" x14ac:dyDescent="0.35">
      <c r="T37460" s="246">
        <f t="shared" si="623"/>
        <v>0</v>
      </c>
    </row>
    <row r="37461" spans="20:20" ht="18.75" customHeight="1" x14ac:dyDescent="0.35">
      <c r="T37461" s="246">
        <f t="shared" si="623"/>
        <v>0</v>
      </c>
    </row>
    <row r="37462" spans="20:20" ht="18.75" customHeight="1" x14ac:dyDescent="0.35">
      <c r="T37462" s="246">
        <f t="shared" si="623"/>
        <v>0</v>
      </c>
    </row>
    <row r="37463" spans="20:20" ht="18.75" customHeight="1" x14ac:dyDescent="0.35">
      <c r="T37463" s="246">
        <f t="shared" si="623"/>
        <v>0</v>
      </c>
    </row>
    <row r="37464" spans="20:20" ht="18.75" customHeight="1" x14ac:dyDescent="0.35">
      <c r="T37464" s="246">
        <f t="shared" si="623"/>
        <v>0</v>
      </c>
    </row>
    <row r="37465" spans="20:20" ht="18.75" customHeight="1" x14ac:dyDescent="0.35">
      <c r="T37465" s="246">
        <f t="shared" si="623"/>
        <v>0</v>
      </c>
    </row>
    <row r="37466" spans="20:20" ht="18.75" customHeight="1" x14ac:dyDescent="0.35">
      <c r="T37466" s="246">
        <f t="shared" si="623"/>
        <v>0</v>
      </c>
    </row>
    <row r="37467" spans="20:20" ht="18.75" customHeight="1" x14ac:dyDescent="0.35">
      <c r="T37467" s="246">
        <f t="shared" si="623"/>
        <v>0</v>
      </c>
    </row>
    <row r="37468" spans="20:20" ht="18.75" customHeight="1" x14ac:dyDescent="0.35">
      <c r="T37468" s="246">
        <f t="shared" si="623"/>
        <v>0</v>
      </c>
    </row>
    <row r="37469" spans="20:20" ht="18.75" customHeight="1" x14ac:dyDescent="0.35">
      <c r="T37469" s="246">
        <f t="shared" si="623"/>
        <v>0</v>
      </c>
    </row>
    <row r="37470" spans="20:20" ht="18.75" customHeight="1" x14ac:dyDescent="0.35">
      <c r="T37470" s="246">
        <f t="shared" si="623"/>
        <v>0</v>
      </c>
    </row>
    <row r="37471" spans="20:20" ht="18.75" customHeight="1" x14ac:dyDescent="0.35">
      <c r="T37471" s="246">
        <f t="shared" si="623"/>
        <v>0</v>
      </c>
    </row>
    <row r="37472" spans="20:20" ht="18.75" customHeight="1" x14ac:dyDescent="0.35">
      <c r="T37472" s="246">
        <f t="shared" si="623"/>
        <v>0</v>
      </c>
    </row>
    <row r="37473" spans="20:20" ht="18.75" customHeight="1" x14ac:dyDescent="0.35">
      <c r="T37473" s="246">
        <f t="shared" si="623"/>
        <v>0</v>
      </c>
    </row>
    <row r="37474" spans="20:20" ht="18.75" customHeight="1" x14ac:dyDescent="0.35">
      <c r="T37474" s="246">
        <f t="shared" si="623"/>
        <v>0</v>
      </c>
    </row>
    <row r="37475" spans="20:20" ht="18.75" customHeight="1" x14ac:dyDescent="0.35">
      <c r="T37475" s="246">
        <f t="shared" si="623"/>
        <v>0</v>
      </c>
    </row>
    <row r="37476" spans="20:20" ht="18.75" customHeight="1" x14ac:dyDescent="0.35">
      <c r="T37476" s="246">
        <f t="shared" si="623"/>
        <v>0</v>
      </c>
    </row>
    <row r="37477" spans="20:20" ht="18.75" customHeight="1" x14ac:dyDescent="0.35">
      <c r="T37477" s="246">
        <f t="shared" si="623"/>
        <v>0</v>
      </c>
    </row>
    <row r="37478" spans="20:20" ht="18.75" customHeight="1" x14ac:dyDescent="0.35">
      <c r="T37478" s="246">
        <f t="shared" si="623"/>
        <v>0</v>
      </c>
    </row>
    <row r="37479" spans="20:20" ht="18.75" customHeight="1" x14ac:dyDescent="0.35">
      <c r="T37479" s="246">
        <f t="shared" si="623"/>
        <v>0</v>
      </c>
    </row>
    <row r="37480" spans="20:20" ht="18.75" customHeight="1" x14ac:dyDescent="0.35">
      <c r="T37480" s="246">
        <f t="shared" si="623"/>
        <v>0</v>
      </c>
    </row>
    <row r="37481" spans="20:20" ht="18.75" customHeight="1" x14ac:dyDescent="0.35">
      <c r="T37481" s="246">
        <f t="shared" si="623"/>
        <v>0</v>
      </c>
    </row>
    <row r="37482" spans="20:20" ht="18.75" customHeight="1" x14ac:dyDescent="0.35">
      <c r="T37482" s="246">
        <f t="shared" si="623"/>
        <v>0</v>
      </c>
    </row>
    <row r="37483" spans="20:20" ht="18.75" customHeight="1" x14ac:dyDescent="0.35">
      <c r="T37483" s="246">
        <f t="shared" si="623"/>
        <v>0</v>
      </c>
    </row>
    <row r="37484" spans="20:20" ht="18.75" customHeight="1" x14ac:dyDescent="0.35">
      <c r="T37484" s="246">
        <f t="shared" si="623"/>
        <v>0</v>
      </c>
    </row>
    <row r="37485" spans="20:20" ht="18.75" customHeight="1" x14ac:dyDescent="0.35">
      <c r="T37485" s="246">
        <f t="shared" si="623"/>
        <v>0</v>
      </c>
    </row>
    <row r="37486" spans="20:20" ht="18.75" customHeight="1" x14ac:dyDescent="0.35">
      <c r="T37486" s="246">
        <f t="shared" si="623"/>
        <v>0</v>
      </c>
    </row>
    <row r="37487" spans="20:20" ht="18.75" customHeight="1" x14ac:dyDescent="0.35">
      <c r="T37487" s="246">
        <f t="shared" si="623"/>
        <v>0</v>
      </c>
    </row>
    <row r="37488" spans="20:20" ht="18.75" customHeight="1" x14ac:dyDescent="0.35">
      <c r="T37488" s="246">
        <f t="shared" si="623"/>
        <v>0</v>
      </c>
    </row>
    <row r="37489" spans="20:20" ht="18.75" customHeight="1" x14ac:dyDescent="0.35">
      <c r="T37489" s="246">
        <f t="shared" si="623"/>
        <v>0</v>
      </c>
    </row>
    <row r="37490" spans="20:20" ht="18.75" customHeight="1" x14ac:dyDescent="0.35">
      <c r="T37490" s="246">
        <f t="shared" si="623"/>
        <v>0</v>
      </c>
    </row>
    <row r="37491" spans="20:20" ht="18.75" customHeight="1" x14ac:dyDescent="0.35">
      <c r="T37491" s="246">
        <f t="shared" si="623"/>
        <v>0</v>
      </c>
    </row>
    <row r="37492" spans="20:20" ht="18.75" customHeight="1" x14ac:dyDescent="0.35">
      <c r="T37492" s="246">
        <f t="shared" si="623"/>
        <v>0</v>
      </c>
    </row>
    <row r="37493" spans="20:20" ht="18.75" customHeight="1" x14ac:dyDescent="0.35">
      <c r="T37493" s="246">
        <f t="shared" si="623"/>
        <v>0</v>
      </c>
    </row>
    <row r="37494" spans="20:20" ht="18.75" customHeight="1" x14ac:dyDescent="0.35">
      <c r="T37494" s="246">
        <f t="shared" si="623"/>
        <v>0</v>
      </c>
    </row>
    <row r="37495" spans="20:20" ht="18.75" customHeight="1" x14ac:dyDescent="0.35">
      <c r="T37495" s="246">
        <f t="shared" si="623"/>
        <v>0</v>
      </c>
    </row>
    <row r="37496" spans="20:20" ht="18.75" customHeight="1" x14ac:dyDescent="0.35">
      <c r="T37496" s="246">
        <f t="shared" si="623"/>
        <v>0</v>
      </c>
    </row>
    <row r="37497" spans="20:20" ht="18.75" customHeight="1" x14ac:dyDescent="0.35">
      <c r="T37497" s="246">
        <f t="shared" si="623"/>
        <v>0</v>
      </c>
    </row>
    <row r="37498" spans="20:20" ht="18.75" customHeight="1" x14ac:dyDescent="0.35">
      <c r="T37498" s="246">
        <f t="shared" si="623"/>
        <v>0</v>
      </c>
    </row>
    <row r="37499" spans="20:20" ht="18.75" customHeight="1" x14ac:dyDescent="0.35">
      <c r="T37499" s="246">
        <f t="shared" si="623"/>
        <v>0</v>
      </c>
    </row>
    <row r="37500" spans="20:20" ht="18.75" customHeight="1" x14ac:dyDescent="0.35">
      <c r="T37500" s="246">
        <f t="shared" ref="T37500:T37563" si="624">R37500*0.01</f>
        <v>0</v>
      </c>
    </row>
    <row r="37501" spans="20:20" ht="18.75" customHeight="1" x14ac:dyDescent="0.35">
      <c r="T37501" s="246">
        <f t="shared" si="624"/>
        <v>0</v>
      </c>
    </row>
    <row r="37502" spans="20:20" ht="18.75" customHeight="1" x14ac:dyDescent="0.35">
      <c r="T37502" s="246">
        <f t="shared" si="624"/>
        <v>0</v>
      </c>
    </row>
    <row r="37503" spans="20:20" ht="18.75" customHeight="1" x14ac:dyDescent="0.35">
      <c r="T37503" s="246">
        <f t="shared" si="624"/>
        <v>0</v>
      </c>
    </row>
    <row r="37504" spans="20:20" ht="18.75" customHeight="1" x14ac:dyDescent="0.35">
      <c r="T37504" s="246">
        <f t="shared" si="624"/>
        <v>0</v>
      </c>
    </row>
    <row r="37505" spans="20:20" ht="18.75" customHeight="1" x14ac:dyDescent="0.35">
      <c r="T37505" s="246">
        <f t="shared" si="624"/>
        <v>0</v>
      </c>
    </row>
    <row r="37506" spans="20:20" ht="18.75" customHeight="1" x14ac:dyDescent="0.35">
      <c r="T37506" s="246">
        <f t="shared" si="624"/>
        <v>0</v>
      </c>
    </row>
    <row r="37507" spans="20:20" ht="18.75" customHeight="1" x14ac:dyDescent="0.35">
      <c r="T37507" s="246">
        <f t="shared" si="624"/>
        <v>0</v>
      </c>
    </row>
    <row r="37508" spans="20:20" ht="18.75" customHeight="1" x14ac:dyDescent="0.35">
      <c r="T37508" s="246">
        <f t="shared" si="624"/>
        <v>0</v>
      </c>
    </row>
    <row r="37509" spans="20:20" ht="18.75" customHeight="1" x14ac:dyDescent="0.35">
      <c r="T37509" s="246">
        <f t="shared" si="624"/>
        <v>0</v>
      </c>
    </row>
    <row r="37510" spans="20:20" ht="18.75" customHeight="1" x14ac:dyDescent="0.35">
      <c r="T37510" s="246">
        <f t="shared" si="624"/>
        <v>0</v>
      </c>
    </row>
    <row r="37511" spans="20:20" ht="18.75" customHeight="1" x14ac:dyDescent="0.35">
      <c r="T37511" s="246">
        <f t="shared" si="624"/>
        <v>0</v>
      </c>
    </row>
    <row r="37512" spans="20:20" ht="18.75" customHeight="1" x14ac:dyDescent="0.35">
      <c r="T37512" s="246">
        <f t="shared" si="624"/>
        <v>0</v>
      </c>
    </row>
    <row r="37513" spans="20:20" ht="18.75" customHeight="1" x14ac:dyDescent="0.35">
      <c r="T37513" s="246">
        <f t="shared" si="624"/>
        <v>0</v>
      </c>
    </row>
    <row r="37514" spans="20:20" ht="18.75" customHeight="1" x14ac:dyDescent="0.35">
      <c r="T37514" s="246">
        <f t="shared" si="624"/>
        <v>0</v>
      </c>
    </row>
    <row r="37515" spans="20:20" ht="18.75" customHeight="1" x14ac:dyDescent="0.35">
      <c r="T37515" s="246">
        <f t="shared" si="624"/>
        <v>0</v>
      </c>
    </row>
    <row r="37516" spans="20:20" ht="18.75" customHeight="1" x14ac:dyDescent="0.35">
      <c r="T37516" s="246">
        <f t="shared" si="624"/>
        <v>0</v>
      </c>
    </row>
    <row r="37517" spans="20:20" ht="18.75" customHeight="1" x14ac:dyDescent="0.35">
      <c r="T37517" s="246">
        <f t="shared" si="624"/>
        <v>0</v>
      </c>
    </row>
    <row r="37518" spans="20:20" ht="18.75" customHeight="1" x14ac:dyDescent="0.35">
      <c r="T37518" s="246">
        <f t="shared" si="624"/>
        <v>0</v>
      </c>
    </row>
    <row r="37519" spans="20:20" ht="18.75" customHeight="1" x14ac:dyDescent="0.35">
      <c r="T37519" s="246">
        <f t="shared" si="624"/>
        <v>0</v>
      </c>
    </row>
    <row r="37520" spans="20:20" ht="18.75" customHeight="1" x14ac:dyDescent="0.35">
      <c r="T37520" s="246">
        <f t="shared" si="624"/>
        <v>0</v>
      </c>
    </row>
    <row r="37521" spans="20:20" ht="18.75" customHeight="1" x14ac:dyDescent="0.35">
      <c r="T37521" s="246">
        <f t="shared" si="624"/>
        <v>0</v>
      </c>
    </row>
    <row r="37522" spans="20:20" ht="18.75" customHeight="1" x14ac:dyDescent="0.35">
      <c r="T37522" s="246">
        <f t="shared" si="624"/>
        <v>0</v>
      </c>
    </row>
    <row r="37523" spans="20:20" ht="18.75" customHeight="1" x14ac:dyDescent="0.35">
      <c r="T37523" s="246">
        <f t="shared" si="624"/>
        <v>0</v>
      </c>
    </row>
    <row r="37524" spans="20:20" ht="18.75" customHeight="1" x14ac:dyDescent="0.35">
      <c r="T37524" s="246">
        <f t="shared" si="624"/>
        <v>0</v>
      </c>
    </row>
    <row r="37525" spans="20:20" ht="18.75" customHeight="1" x14ac:dyDescent="0.35">
      <c r="T37525" s="246">
        <f t="shared" si="624"/>
        <v>0</v>
      </c>
    </row>
    <row r="37526" spans="20:20" ht="18.75" customHeight="1" x14ac:dyDescent="0.35">
      <c r="T37526" s="246">
        <f t="shared" si="624"/>
        <v>0</v>
      </c>
    </row>
    <row r="37527" spans="20:20" ht="18.75" customHeight="1" x14ac:dyDescent="0.35">
      <c r="T37527" s="246">
        <f t="shared" si="624"/>
        <v>0</v>
      </c>
    </row>
    <row r="37528" spans="20:20" ht="18.75" customHeight="1" x14ac:dyDescent="0.35">
      <c r="T37528" s="246">
        <f t="shared" si="624"/>
        <v>0</v>
      </c>
    </row>
    <row r="37529" spans="20:20" ht="18.75" customHeight="1" x14ac:dyDescent="0.35">
      <c r="T37529" s="246">
        <f t="shared" si="624"/>
        <v>0</v>
      </c>
    </row>
    <row r="37530" spans="20:20" ht="18.75" customHeight="1" x14ac:dyDescent="0.35">
      <c r="T37530" s="246">
        <f t="shared" si="624"/>
        <v>0</v>
      </c>
    </row>
    <row r="37531" spans="20:20" ht="18.75" customHeight="1" x14ac:dyDescent="0.35">
      <c r="T37531" s="246">
        <f t="shared" si="624"/>
        <v>0</v>
      </c>
    </row>
    <row r="37532" spans="20:20" ht="18.75" customHeight="1" x14ac:dyDescent="0.35">
      <c r="T37532" s="246">
        <f t="shared" si="624"/>
        <v>0</v>
      </c>
    </row>
    <row r="37533" spans="20:20" ht="18.75" customHeight="1" x14ac:dyDescent="0.35">
      <c r="T37533" s="246">
        <f t="shared" si="624"/>
        <v>0</v>
      </c>
    </row>
    <row r="37534" spans="20:20" ht="18.75" customHeight="1" x14ac:dyDescent="0.35">
      <c r="T37534" s="246">
        <f t="shared" si="624"/>
        <v>0</v>
      </c>
    </row>
    <row r="37535" spans="20:20" ht="18.75" customHeight="1" x14ac:dyDescent="0.35">
      <c r="T37535" s="246">
        <f t="shared" si="624"/>
        <v>0</v>
      </c>
    </row>
    <row r="37536" spans="20:20" ht="18.75" customHeight="1" x14ac:dyDescent="0.35">
      <c r="T37536" s="246">
        <f t="shared" si="624"/>
        <v>0</v>
      </c>
    </row>
    <row r="37537" spans="20:20" ht="18.75" customHeight="1" x14ac:dyDescent="0.35">
      <c r="T37537" s="246">
        <f t="shared" si="624"/>
        <v>0</v>
      </c>
    </row>
    <row r="37538" spans="20:20" ht="18.75" customHeight="1" x14ac:dyDescent="0.35">
      <c r="T37538" s="246">
        <f t="shared" si="624"/>
        <v>0</v>
      </c>
    </row>
    <row r="37539" spans="20:20" ht="18.75" customHeight="1" x14ac:dyDescent="0.35">
      <c r="T37539" s="246">
        <f t="shared" si="624"/>
        <v>0</v>
      </c>
    </row>
    <row r="37540" spans="20:20" ht="18.75" customHeight="1" x14ac:dyDescent="0.35">
      <c r="T37540" s="246">
        <f t="shared" si="624"/>
        <v>0</v>
      </c>
    </row>
    <row r="37541" spans="20:20" ht="18.75" customHeight="1" x14ac:dyDescent="0.35">
      <c r="T37541" s="246">
        <f t="shared" si="624"/>
        <v>0</v>
      </c>
    </row>
    <row r="37542" spans="20:20" ht="18.75" customHeight="1" x14ac:dyDescent="0.35">
      <c r="T37542" s="246">
        <f t="shared" si="624"/>
        <v>0</v>
      </c>
    </row>
    <row r="37543" spans="20:20" ht="18.75" customHeight="1" x14ac:dyDescent="0.35">
      <c r="T37543" s="246">
        <f t="shared" si="624"/>
        <v>0</v>
      </c>
    </row>
    <row r="37544" spans="20:20" ht="18.75" customHeight="1" x14ac:dyDescent="0.35">
      <c r="T37544" s="246">
        <f t="shared" si="624"/>
        <v>0</v>
      </c>
    </row>
    <row r="37545" spans="20:20" ht="18.75" customHeight="1" x14ac:dyDescent="0.35">
      <c r="T37545" s="246">
        <f t="shared" si="624"/>
        <v>0</v>
      </c>
    </row>
    <row r="37546" spans="20:20" ht="18.75" customHeight="1" x14ac:dyDescent="0.35">
      <c r="T37546" s="246">
        <f t="shared" si="624"/>
        <v>0</v>
      </c>
    </row>
    <row r="37547" spans="20:20" ht="18.75" customHeight="1" x14ac:dyDescent="0.35">
      <c r="T37547" s="246">
        <f t="shared" si="624"/>
        <v>0</v>
      </c>
    </row>
    <row r="37548" spans="20:20" ht="18.75" customHeight="1" x14ac:dyDescent="0.35">
      <c r="T37548" s="246">
        <f t="shared" si="624"/>
        <v>0</v>
      </c>
    </row>
    <row r="37549" spans="20:20" ht="18.75" customHeight="1" x14ac:dyDescent="0.35">
      <c r="T37549" s="246">
        <f t="shared" si="624"/>
        <v>0</v>
      </c>
    </row>
    <row r="37550" spans="20:20" ht="18.75" customHeight="1" x14ac:dyDescent="0.35">
      <c r="T37550" s="246">
        <f t="shared" si="624"/>
        <v>0</v>
      </c>
    </row>
    <row r="37551" spans="20:20" ht="18.75" customHeight="1" x14ac:dyDescent="0.35">
      <c r="T37551" s="246">
        <f t="shared" si="624"/>
        <v>0</v>
      </c>
    </row>
    <row r="37552" spans="20:20" ht="18.75" customHeight="1" x14ac:dyDescent="0.35">
      <c r="T37552" s="246">
        <f t="shared" si="624"/>
        <v>0</v>
      </c>
    </row>
    <row r="37553" spans="20:20" ht="18.75" customHeight="1" x14ac:dyDescent="0.35">
      <c r="T37553" s="246">
        <f t="shared" si="624"/>
        <v>0</v>
      </c>
    </row>
    <row r="37554" spans="20:20" ht="18.75" customHeight="1" x14ac:dyDescent="0.35">
      <c r="T37554" s="246">
        <f t="shared" si="624"/>
        <v>0</v>
      </c>
    </row>
    <row r="37555" spans="20:20" ht="18.75" customHeight="1" x14ac:dyDescent="0.35">
      <c r="T37555" s="246">
        <f t="shared" si="624"/>
        <v>0</v>
      </c>
    </row>
    <row r="37556" spans="20:20" ht="18.75" customHeight="1" x14ac:dyDescent="0.35">
      <c r="T37556" s="246">
        <f t="shared" si="624"/>
        <v>0</v>
      </c>
    </row>
    <row r="37557" spans="20:20" ht="18.75" customHeight="1" x14ac:dyDescent="0.35">
      <c r="T37557" s="246">
        <f t="shared" si="624"/>
        <v>0</v>
      </c>
    </row>
    <row r="37558" spans="20:20" ht="18.75" customHeight="1" x14ac:dyDescent="0.35">
      <c r="T37558" s="246">
        <f t="shared" si="624"/>
        <v>0</v>
      </c>
    </row>
    <row r="37559" spans="20:20" ht="18.75" customHeight="1" x14ac:dyDescent="0.35">
      <c r="T37559" s="246">
        <f t="shared" si="624"/>
        <v>0</v>
      </c>
    </row>
    <row r="37560" spans="20:20" ht="18.75" customHeight="1" x14ac:dyDescent="0.35">
      <c r="T37560" s="246">
        <f t="shared" si="624"/>
        <v>0</v>
      </c>
    </row>
    <row r="37561" spans="20:20" ht="18.75" customHeight="1" x14ac:dyDescent="0.35">
      <c r="T37561" s="246">
        <f t="shared" si="624"/>
        <v>0</v>
      </c>
    </row>
    <row r="37562" spans="20:20" ht="18.75" customHeight="1" x14ac:dyDescent="0.35">
      <c r="T37562" s="246">
        <f t="shared" si="624"/>
        <v>0</v>
      </c>
    </row>
    <row r="37563" spans="20:20" ht="18.75" customHeight="1" x14ac:dyDescent="0.35">
      <c r="T37563" s="246">
        <f t="shared" si="624"/>
        <v>0</v>
      </c>
    </row>
    <row r="37564" spans="20:20" ht="18.75" customHeight="1" x14ac:dyDescent="0.35">
      <c r="T37564" s="246">
        <f t="shared" ref="T37564:T37627" si="625">R37564*0.01</f>
        <v>0</v>
      </c>
    </row>
    <row r="37565" spans="20:20" ht="18.75" customHeight="1" x14ac:dyDescent="0.35">
      <c r="T37565" s="246">
        <f t="shared" si="625"/>
        <v>0</v>
      </c>
    </row>
    <row r="37566" spans="20:20" ht="18.75" customHeight="1" x14ac:dyDescent="0.35">
      <c r="T37566" s="246">
        <f t="shared" si="625"/>
        <v>0</v>
      </c>
    </row>
    <row r="37567" spans="20:20" ht="18.75" customHeight="1" x14ac:dyDescent="0.35">
      <c r="T37567" s="246">
        <f t="shared" si="625"/>
        <v>0</v>
      </c>
    </row>
    <row r="37568" spans="20:20" ht="18.75" customHeight="1" x14ac:dyDescent="0.35">
      <c r="T37568" s="246">
        <f t="shared" si="625"/>
        <v>0</v>
      </c>
    </row>
    <row r="37569" spans="20:20" ht="18.75" customHeight="1" x14ac:dyDescent="0.35">
      <c r="T37569" s="246">
        <f t="shared" si="625"/>
        <v>0</v>
      </c>
    </row>
    <row r="37570" spans="20:20" ht="18.75" customHeight="1" x14ac:dyDescent="0.35">
      <c r="T37570" s="246">
        <f t="shared" si="625"/>
        <v>0</v>
      </c>
    </row>
    <row r="37571" spans="20:20" ht="18.75" customHeight="1" x14ac:dyDescent="0.35">
      <c r="T37571" s="246">
        <f t="shared" si="625"/>
        <v>0</v>
      </c>
    </row>
    <row r="37572" spans="20:20" ht="18.75" customHeight="1" x14ac:dyDescent="0.35">
      <c r="T37572" s="246">
        <f t="shared" si="625"/>
        <v>0</v>
      </c>
    </row>
    <row r="37573" spans="20:20" ht="18.75" customHeight="1" x14ac:dyDescent="0.35">
      <c r="T37573" s="246">
        <f t="shared" si="625"/>
        <v>0</v>
      </c>
    </row>
    <row r="37574" spans="20:20" ht="18.75" customHeight="1" x14ac:dyDescent="0.35">
      <c r="T37574" s="246">
        <f t="shared" si="625"/>
        <v>0</v>
      </c>
    </row>
    <row r="37575" spans="20:20" ht="18.75" customHeight="1" x14ac:dyDescent="0.35">
      <c r="T37575" s="246">
        <f t="shared" si="625"/>
        <v>0</v>
      </c>
    </row>
    <row r="37576" spans="20:20" ht="18.75" customHeight="1" x14ac:dyDescent="0.35">
      <c r="T37576" s="246">
        <f t="shared" si="625"/>
        <v>0</v>
      </c>
    </row>
    <row r="37577" spans="20:20" ht="18.75" customHeight="1" x14ac:dyDescent="0.35">
      <c r="T37577" s="246">
        <f t="shared" si="625"/>
        <v>0</v>
      </c>
    </row>
    <row r="37578" spans="20:20" ht="18.75" customHeight="1" x14ac:dyDescent="0.35">
      <c r="T37578" s="246">
        <f t="shared" si="625"/>
        <v>0</v>
      </c>
    </row>
    <row r="37579" spans="20:20" ht="18.75" customHeight="1" x14ac:dyDescent="0.35">
      <c r="T37579" s="246">
        <f t="shared" si="625"/>
        <v>0</v>
      </c>
    </row>
    <row r="37580" spans="20:20" ht="18.75" customHeight="1" x14ac:dyDescent="0.35">
      <c r="T37580" s="246">
        <f t="shared" si="625"/>
        <v>0</v>
      </c>
    </row>
    <row r="37581" spans="20:20" ht="18.75" customHeight="1" x14ac:dyDescent="0.35">
      <c r="T37581" s="246">
        <f t="shared" si="625"/>
        <v>0</v>
      </c>
    </row>
    <row r="37582" spans="20:20" ht="18.75" customHeight="1" x14ac:dyDescent="0.35">
      <c r="T37582" s="246">
        <f t="shared" si="625"/>
        <v>0</v>
      </c>
    </row>
    <row r="37583" spans="20:20" ht="18.75" customHeight="1" x14ac:dyDescent="0.35">
      <c r="T37583" s="246">
        <f t="shared" si="625"/>
        <v>0</v>
      </c>
    </row>
    <row r="37584" spans="20:20" ht="18.75" customHeight="1" x14ac:dyDescent="0.35">
      <c r="T37584" s="246">
        <f t="shared" si="625"/>
        <v>0</v>
      </c>
    </row>
    <row r="37585" spans="20:20" ht="18.75" customHeight="1" x14ac:dyDescent="0.35">
      <c r="T37585" s="246">
        <f t="shared" si="625"/>
        <v>0</v>
      </c>
    </row>
    <row r="37586" spans="20:20" ht="18.75" customHeight="1" x14ac:dyDescent="0.35">
      <c r="T37586" s="246">
        <f t="shared" si="625"/>
        <v>0</v>
      </c>
    </row>
    <row r="37587" spans="20:20" ht="18.75" customHeight="1" x14ac:dyDescent="0.35">
      <c r="T37587" s="246">
        <f t="shared" si="625"/>
        <v>0</v>
      </c>
    </row>
    <row r="37588" spans="20:20" ht="18.75" customHeight="1" x14ac:dyDescent="0.35">
      <c r="T37588" s="246">
        <f t="shared" si="625"/>
        <v>0</v>
      </c>
    </row>
    <row r="37589" spans="20:20" ht="18.75" customHeight="1" x14ac:dyDescent="0.35">
      <c r="T37589" s="246">
        <f t="shared" si="625"/>
        <v>0</v>
      </c>
    </row>
    <row r="37590" spans="20:20" ht="18.75" customHeight="1" x14ac:dyDescent="0.35">
      <c r="T37590" s="246">
        <f t="shared" si="625"/>
        <v>0</v>
      </c>
    </row>
    <row r="37591" spans="20:20" ht="18.75" customHeight="1" x14ac:dyDescent="0.35">
      <c r="T37591" s="246">
        <f t="shared" si="625"/>
        <v>0</v>
      </c>
    </row>
    <row r="37592" spans="20:20" ht="18.75" customHeight="1" x14ac:dyDescent="0.35">
      <c r="T37592" s="246">
        <f t="shared" si="625"/>
        <v>0</v>
      </c>
    </row>
    <row r="37593" spans="20:20" ht="18.75" customHeight="1" x14ac:dyDescent="0.35">
      <c r="T37593" s="246">
        <f t="shared" si="625"/>
        <v>0</v>
      </c>
    </row>
    <row r="37594" spans="20:20" ht="18.75" customHeight="1" x14ac:dyDescent="0.35">
      <c r="T37594" s="246">
        <f t="shared" si="625"/>
        <v>0</v>
      </c>
    </row>
    <row r="37595" spans="20:20" ht="18.75" customHeight="1" x14ac:dyDescent="0.35">
      <c r="T37595" s="246">
        <f t="shared" si="625"/>
        <v>0</v>
      </c>
    </row>
    <row r="37596" spans="20:20" ht="18.75" customHeight="1" x14ac:dyDescent="0.35">
      <c r="T37596" s="246">
        <f t="shared" si="625"/>
        <v>0</v>
      </c>
    </row>
    <row r="37597" spans="20:20" ht="18.75" customHeight="1" x14ac:dyDescent="0.35">
      <c r="T37597" s="246">
        <f t="shared" si="625"/>
        <v>0</v>
      </c>
    </row>
    <row r="37598" spans="20:20" ht="18.75" customHeight="1" x14ac:dyDescent="0.35">
      <c r="T37598" s="246">
        <f t="shared" si="625"/>
        <v>0</v>
      </c>
    </row>
    <row r="37599" spans="20:20" ht="18.75" customHeight="1" x14ac:dyDescent="0.35">
      <c r="T37599" s="246">
        <f t="shared" si="625"/>
        <v>0</v>
      </c>
    </row>
    <row r="37600" spans="20:20" ht="18.75" customHeight="1" x14ac:dyDescent="0.35">
      <c r="T37600" s="246">
        <f t="shared" si="625"/>
        <v>0</v>
      </c>
    </row>
    <row r="37601" spans="20:20" ht="18.75" customHeight="1" x14ac:dyDescent="0.35">
      <c r="T37601" s="246">
        <f t="shared" si="625"/>
        <v>0</v>
      </c>
    </row>
    <row r="37602" spans="20:20" ht="18.75" customHeight="1" x14ac:dyDescent="0.35">
      <c r="T37602" s="246">
        <f t="shared" si="625"/>
        <v>0</v>
      </c>
    </row>
    <row r="37603" spans="20:20" ht="18.75" customHeight="1" x14ac:dyDescent="0.35">
      <c r="T37603" s="246">
        <f t="shared" si="625"/>
        <v>0</v>
      </c>
    </row>
    <row r="37604" spans="20:20" ht="18.75" customHeight="1" x14ac:dyDescent="0.35">
      <c r="T37604" s="246">
        <f t="shared" si="625"/>
        <v>0</v>
      </c>
    </row>
    <row r="37605" spans="20:20" ht="18.75" customHeight="1" x14ac:dyDescent="0.35">
      <c r="T37605" s="246">
        <f t="shared" si="625"/>
        <v>0</v>
      </c>
    </row>
    <row r="37606" spans="20:20" ht="18.75" customHeight="1" x14ac:dyDescent="0.35">
      <c r="T37606" s="246">
        <f t="shared" si="625"/>
        <v>0</v>
      </c>
    </row>
    <row r="37607" spans="20:20" ht="18.75" customHeight="1" x14ac:dyDescent="0.35">
      <c r="T37607" s="246">
        <f t="shared" si="625"/>
        <v>0</v>
      </c>
    </row>
    <row r="37608" spans="20:20" ht="18.75" customHeight="1" x14ac:dyDescent="0.35">
      <c r="T37608" s="246">
        <f t="shared" si="625"/>
        <v>0</v>
      </c>
    </row>
    <row r="37609" spans="20:20" ht="18.75" customHeight="1" x14ac:dyDescent="0.35">
      <c r="T37609" s="246">
        <f t="shared" si="625"/>
        <v>0</v>
      </c>
    </row>
    <row r="37610" spans="20:20" ht="18.75" customHeight="1" x14ac:dyDescent="0.35">
      <c r="T37610" s="246">
        <f t="shared" si="625"/>
        <v>0</v>
      </c>
    </row>
    <row r="37611" spans="20:20" ht="18.75" customHeight="1" x14ac:dyDescent="0.35">
      <c r="T37611" s="246">
        <f t="shared" si="625"/>
        <v>0</v>
      </c>
    </row>
    <row r="37612" spans="20:20" ht="18.75" customHeight="1" x14ac:dyDescent="0.35">
      <c r="T37612" s="246">
        <f t="shared" si="625"/>
        <v>0</v>
      </c>
    </row>
    <row r="37613" spans="20:20" ht="18.75" customHeight="1" x14ac:dyDescent="0.35">
      <c r="T37613" s="246">
        <f t="shared" si="625"/>
        <v>0</v>
      </c>
    </row>
    <row r="37614" spans="20:20" ht="18.75" customHeight="1" x14ac:dyDescent="0.35">
      <c r="T37614" s="246">
        <f t="shared" si="625"/>
        <v>0</v>
      </c>
    </row>
    <row r="37615" spans="20:20" ht="18.75" customHeight="1" x14ac:dyDescent="0.35">
      <c r="T37615" s="246">
        <f t="shared" si="625"/>
        <v>0</v>
      </c>
    </row>
    <row r="37616" spans="20:20" ht="18.75" customHeight="1" x14ac:dyDescent="0.35">
      <c r="T37616" s="246">
        <f t="shared" si="625"/>
        <v>0</v>
      </c>
    </row>
    <row r="37617" spans="20:20" ht="18.75" customHeight="1" x14ac:dyDescent="0.35">
      <c r="T37617" s="246">
        <f t="shared" si="625"/>
        <v>0</v>
      </c>
    </row>
    <row r="37618" spans="20:20" ht="18.75" customHeight="1" x14ac:dyDescent="0.35">
      <c r="T37618" s="246">
        <f t="shared" si="625"/>
        <v>0</v>
      </c>
    </row>
    <row r="37619" spans="20:20" ht="18.75" customHeight="1" x14ac:dyDescent="0.35">
      <c r="T37619" s="246">
        <f t="shared" si="625"/>
        <v>0</v>
      </c>
    </row>
    <row r="37620" spans="20:20" ht="18.75" customHeight="1" x14ac:dyDescent="0.35">
      <c r="T37620" s="246">
        <f t="shared" si="625"/>
        <v>0</v>
      </c>
    </row>
    <row r="37621" spans="20:20" ht="18.75" customHeight="1" x14ac:dyDescent="0.35">
      <c r="T37621" s="246">
        <f t="shared" si="625"/>
        <v>0</v>
      </c>
    </row>
    <row r="37622" spans="20:20" ht="18.75" customHeight="1" x14ac:dyDescent="0.35">
      <c r="T37622" s="246">
        <f t="shared" si="625"/>
        <v>0</v>
      </c>
    </row>
    <row r="37623" spans="20:20" ht="18.75" customHeight="1" x14ac:dyDescent="0.35">
      <c r="T37623" s="246">
        <f t="shared" si="625"/>
        <v>0</v>
      </c>
    </row>
    <row r="37624" spans="20:20" ht="18.75" customHeight="1" x14ac:dyDescent="0.35">
      <c r="T37624" s="246">
        <f t="shared" si="625"/>
        <v>0</v>
      </c>
    </row>
    <row r="37625" spans="20:20" ht="18.75" customHeight="1" x14ac:dyDescent="0.35">
      <c r="T37625" s="246">
        <f t="shared" si="625"/>
        <v>0</v>
      </c>
    </row>
    <row r="37626" spans="20:20" ht="18.75" customHeight="1" x14ac:dyDescent="0.35">
      <c r="T37626" s="246">
        <f t="shared" si="625"/>
        <v>0</v>
      </c>
    </row>
    <row r="37627" spans="20:20" ht="18.75" customHeight="1" x14ac:dyDescent="0.35">
      <c r="T37627" s="246">
        <f t="shared" si="625"/>
        <v>0</v>
      </c>
    </row>
    <row r="37628" spans="20:20" ht="18.75" customHeight="1" x14ac:dyDescent="0.35">
      <c r="T37628" s="246">
        <f t="shared" ref="T37628:T37691" si="626">R37628*0.01</f>
        <v>0</v>
      </c>
    </row>
    <row r="37629" spans="20:20" ht="18.75" customHeight="1" x14ac:dyDescent="0.35">
      <c r="T37629" s="246">
        <f t="shared" si="626"/>
        <v>0</v>
      </c>
    </row>
    <row r="37630" spans="20:20" ht="18.75" customHeight="1" x14ac:dyDescent="0.35">
      <c r="T37630" s="246">
        <f t="shared" si="626"/>
        <v>0</v>
      </c>
    </row>
    <row r="37631" spans="20:20" ht="18.75" customHeight="1" x14ac:dyDescent="0.35">
      <c r="T37631" s="246">
        <f t="shared" si="626"/>
        <v>0</v>
      </c>
    </row>
    <row r="37632" spans="20:20" ht="18.75" customHeight="1" x14ac:dyDescent="0.35">
      <c r="T37632" s="246">
        <f t="shared" si="626"/>
        <v>0</v>
      </c>
    </row>
    <row r="37633" spans="20:20" ht="18.75" customHeight="1" x14ac:dyDescent="0.35">
      <c r="T37633" s="246">
        <f t="shared" si="626"/>
        <v>0</v>
      </c>
    </row>
    <row r="37634" spans="20:20" ht="18.75" customHeight="1" x14ac:dyDescent="0.35">
      <c r="T37634" s="246">
        <f t="shared" si="626"/>
        <v>0</v>
      </c>
    </row>
    <row r="37635" spans="20:20" ht="18.75" customHeight="1" x14ac:dyDescent="0.35">
      <c r="T37635" s="246">
        <f t="shared" si="626"/>
        <v>0</v>
      </c>
    </row>
    <row r="37636" spans="20:20" ht="18.75" customHeight="1" x14ac:dyDescent="0.35">
      <c r="T37636" s="246">
        <f t="shared" si="626"/>
        <v>0</v>
      </c>
    </row>
    <row r="37637" spans="20:20" ht="18.75" customHeight="1" x14ac:dyDescent="0.35">
      <c r="T37637" s="246">
        <f t="shared" si="626"/>
        <v>0</v>
      </c>
    </row>
    <row r="37638" spans="20:20" ht="18.75" customHeight="1" x14ac:dyDescent="0.35">
      <c r="T37638" s="246">
        <f t="shared" si="626"/>
        <v>0</v>
      </c>
    </row>
    <row r="37639" spans="20:20" ht="18.75" customHeight="1" x14ac:dyDescent="0.35">
      <c r="T37639" s="246">
        <f t="shared" si="626"/>
        <v>0</v>
      </c>
    </row>
    <row r="37640" spans="20:20" ht="18.75" customHeight="1" x14ac:dyDescent="0.35">
      <c r="T37640" s="246">
        <f t="shared" si="626"/>
        <v>0</v>
      </c>
    </row>
    <row r="37641" spans="20:20" ht="18.75" customHeight="1" x14ac:dyDescent="0.35">
      <c r="T37641" s="246">
        <f t="shared" si="626"/>
        <v>0</v>
      </c>
    </row>
    <row r="37642" spans="20:20" ht="18.75" customHeight="1" x14ac:dyDescent="0.35">
      <c r="T37642" s="246">
        <f t="shared" si="626"/>
        <v>0</v>
      </c>
    </row>
    <row r="37643" spans="20:20" ht="18.75" customHeight="1" x14ac:dyDescent="0.35">
      <c r="T37643" s="246">
        <f t="shared" si="626"/>
        <v>0</v>
      </c>
    </row>
    <row r="37644" spans="20:20" ht="18.75" customHeight="1" x14ac:dyDescent="0.35">
      <c r="T37644" s="246">
        <f t="shared" si="626"/>
        <v>0</v>
      </c>
    </row>
    <row r="37645" spans="20:20" ht="18.75" customHeight="1" x14ac:dyDescent="0.35">
      <c r="T37645" s="246">
        <f t="shared" si="626"/>
        <v>0</v>
      </c>
    </row>
    <row r="37646" spans="20:20" ht="18.75" customHeight="1" x14ac:dyDescent="0.35">
      <c r="T37646" s="246">
        <f t="shared" si="626"/>
        <v>0</v>
      </c>
    </row>
    <row r="37647" spans="20:20" ht="18.75" customHeight="1" x14ac:dyDescent="0.35">
      <c r="T37647" s="246">
        <f t="shared" si="626"/>
        <v>0</v>
      </c>
    </row>
    <row r="37648" spans="20:20" ht="18.75" customHeight="1" x14ac:dyDescent="0.35">
      <c r="T37648" s="246">
        <f t="shared" si="626"/>
        <v>0</v>
      </c>
    </row>
    <row r="37649" spans="20:20" ht="18.75" customHeight="1" x14ac:dyDescent="0.35">
      <c r="T37649" s="246">
        <f t="shared" si="626"/>
        <v>0</v>
      </c>
    </row>
    <row r="37650" spans="20:20" ht="18.75" customHeight="1" x14ac:dyDescent="0.35">
      <c r="T37650" s="246">
        <f t="shared" si="626"/>
        <v>0</v>
      </c>
    </row>
    <row r="37651" spans="20:20" ht="18.75" customHeight="1" x14ac:dyDescent="0.35">
      <c r="T37651" s="246">
        <f t="shared" si="626"/>
        <v>0</v>
      </c>
    </row>
    <row r="37652" spans="20:20" ht="18.75" customHeight="1" x14ac:dyDescent="0.35">
      <c r="T37652" s="246">
        <f t="shared" si="626"/>
        <v>0</v>
      </c>
    </row>
    <row r="37653" spans="20:20" ht="18.75" customHeight="1" x14ac:dyDescent="0.35">
      <c r="T37653" s="246">
        <f t="shared" si="626"/>
        <v>0</v>
      </c>
    </row>
    <row r="37654" spans="20:20" ht="18.75" customHeight="1" x14ac:dyDescent="0.35">
      <c r="T37654" s="246">
        <f t="shared" si="626"/>
        <v>0</v>
      </c>
    </row>
    <row r="37655" spans="20:20" ht="18.75" customHeight="1" x14ac:dyDescent="0.35">
      <c r="T37655" s="246">
        <f t="shared" si="626"/>
        <v>0</v>
      </c>
    </row>
    <row r="37656" spans="20:20" ht="18.75" customHeight="1" x14ac:dyDescent="0.35">
      <c r="T37656" s="246">
        <f t="shared" si="626"/>
        <v>0</v>
      </c>
    </row>
    <row r="37657" spans="20:20" ht="18.75" customHeight="1" x14ac:dyDescent="0.35">
      <c r="T37657" s="246">
        <f t="shared" si="626"/>
        <v>0</v>
      </c>
    </row>
    <row r="37658" spans="20:20" ht="18.75" customHeight="1" x14ac:dyDescent="0.35">
      <c r="T37658" s="246">
        <f t="shared" si="626"/>
        <v>0</v>
      </c>
    </row>
    <row r="37659" spans="20:20" ht="18.75" customHeight="1" x14ac:dyDescent="0.35">
      <c r="T37659" s="246">
        <f t="shared" si="626"/>
        <v>0</v>
      </c>
    </row>
    <row r="37660" spans="20:20" ht="18.75" customHeight="1" x14ac:dyDescent="0.35">
      <c r="T37660" s="246">
        <f t="shared" si="626"/>
        <v>0</v>
      </c>
    </row>
    <row r="37661" spans="20:20" ht="18.75" customHeight="1" x14ac:dyDescent="0.35">
      <c r="T37661" s="246">
        <f t="shared" si="626"/>
        <v>0</v>
      </c>
    </row>
    <row r="37662" spans="20:20" ht="18.75" customHeight="1" x14ac:dyDescent="0.35">
      <c r="T37662" s="246">
        <f t="shared" si="626"/>
        <v>0</v>
      </c>
    </row>
    <row r="37663" spans="20:20" ht="18.75" customHeight="1" x14ac:dyDescent="0.35">
      <c r="T37663" s="246">
        <f t="shared" si="626"/>
        <v>0</v>
      </c>
    </row>
    <row r="37664" spans="20:20" ht="18.75" customHeight="1" x14ac:dyDescent="0.35">
      <c r="T37664" s="246">
        <f t="shared" si="626"/>
        <v>0</v>
      </c>
    </row>
    <row r="37665" spans="20:20" ht="18.75" customHeight="1" x14ac:dyDescent="0.35">
      <c r="T37665" s="246">
        <f t="shared" si="626"/>
        <v>0</v>
      </c>
    </row>
    <row r="37666" spans="20:20" ht="18.75" customHeight="1" x14ac:dyDescent="0.35">
      <c r="T37666" s="246">
        <f t="shared" si="626"/>
        <v>0</v>
      </c>
    </row>
    <row r="37667" spans="20:20" ht="18.75" customHeight="1" x14ac:dyDescent="0.35">
      <c r="T37667" s="246">
        <f t="shared" si="626"/>
        <v>0</v>
      </c>
    </row>
    <row r="37668" spans="20:20" ht="18.75" customHeight="1" x14ac:dyDescent="0.35">
      <c r="T37668" s="246">
        <f t="shared" si="626"/>
        <v>0</v>
      </c>
    </row>
    <row r="37669" spans="20:20" ht="18.75" customHeight="1" x14ac:dyDescent="0.35">
      <c r="T37669" s="246">
        <f t="shared" si="626"/>
        <v>0</v>
      </c>
    </row>
    <row r="37670" spans="20:20" ht="18.75" customHeight="1" x14ac:dyDescent="0.35">
      <c r="T37670" s="246">
        <f t="shared" si="626"/>
        <v>0</v>
      </c>
    </row>
    <row r="37671" spans="20:20" ht="18.75" customHeight="1" x14ac:dyDescent="0.35">
      <c r="T37671" s="246">
        <f t="shared" si="626"/>
        <v>0</v>
      </c>
    </row>
    <row r="37672" spans="20:20" ht="18.75" customHeight="1" x14ac:dyDescent="0.35">
      <c r="T37672" s="246">
        <f t="shared" si="626"/>
        <v>0</v>
      </c>
    </row>
    <row r="37673" spans="20:20" ht="18.75" customHeight="1" x14ac:dyDescent="0.35">
      <c r="T37673" s="246">
        <f t="shared" si="626"/>
        <v>0</v>
      </c>
    </row>
    <row r="37674" spans="20:20" ht="18.75" customHeight="1" x14ac:dyDescent="0.35">
      <c r="T37674" s="246">
        <f t="shared" si="626"/>
        <v>0</v>
      </c>
    </row>
    <row r="37675" spans="20:20" ht="18.75" customHeight="1" x14ac:dyDescent="0.35">
      <c r="T37675" s="246">
        <f t="shared" si="626"/>
        <v>0</v>
      </c>
    </row>
    <row r="37676" spans="20:20" ht="18.75" customHeight="1" x14ac:dyDescent="0.35">
      <c r="T37676" s="246">
        <f t="shared" si="626"/>
        <v>0</v>
      </c>
    </row>
    <row r="37677" spans="20:20" ht="18.75" customHeight="1" x14ac:dyDescent="0.35">
      <c r="T37677" s="246">
        <f t="shared" si="626"/>
        <v>0</v>
      </c>
    </row>
    <row r="37678" spans="20:20" ht="18.75" customHeight="1" x14ac:dyDescent="0.35">
      <c r="T37678" s="246">
        <f t="shared" si="626"/>
        <v>0</v>
      </c>
    </row>
    <row r="37679" spans="20:20" ht="18.75" customHeight="1" x14ac:dyDescent="0.35">
      <c r="T37679" s="246">
        <f t="shared" si="626"/>
        <v>0</v>
      </c>
    </row>
    <row r="37680" spans="20:20" ht="18.75" customHeight="1" x14ac:dyDescent="0.35">
      <c r="T37680" s="246">
        <f t="shared" si="626"/>
        <v>0</v>
      </c>
    </row>
    <row r="37681" spans="20:20" ht="18.75" customHeight="1" x14ac:dyDescent="0.35">
      <c r="T37681" s="246">
        <f t="shared" si="626"/>
        <v>0</v>
      </c>
    </row>
    <row r="37682" spans="20:20" ht="18.75" customHeight="1" x14ac:dyDescent="0.35">
      <c r="T37682" s="246">
        <f t="shared" si="626"/>
        <v>0</v>
      </c>
    </row>
    <row r="37683" spans="20:20" ht="18.75" customHeight="1" x14ac:dyDescent="0.35">
      <c r="T37683" s="246">
        <f t="shared" si="626"/>
        <v>0</v>
      </c>
    </row>
    <row r="37684" spans="20:20" ht="18.75" customHeight="1" x14ac:dyDescent="0.35">
      <c r="T37684" s="246">
        <f t="shared" si="626"/>
        <v>0</v>
      </c>
    </row>
    <row r="37685" spans="20:20" ht="18.75" customHeight="1" x14ac:dyDescent="0.35">
      <c r="T37685" s="246">
        <f t="shared" si="626"/>
        <v>0</v>
      </c>
    </row>
    <row r="37686" spans="20:20" ht="18.75" customHeight="1" x14ac:dyDescent="0.35">
      <c r="T37686" s="246">
        <f t="shared" si="626"/>
        <v>0</v>
      </c>
    </row>
    <row r="37687" spans="20:20" ht="18.75" customHeight="1" x14ac:dyDescent="0.35">
      <c r="T37687" s="246">
        <f t="shared" si="626"/>
        <v>0</v>
      </c>
    </row>
    <row r="37688" spans="20:20" ht="18.75" customHeight="1" x14ac:dyDescent="0.35">
      <c r="T37688" s="246">
        <f t="shared" si="626"/>
        <v>0</v>
      </c>
    </row>
    <row r="37689" spans="20:20" ht="18.75" customHeight="1" x14ac:dyDescent="0.35">
      <c r="T37689" s="246">
        <f t="shared" si="626"/>
        <v>0</v>
      </c>
    </row>
    <row r="37690" spans="20:20" ht="18.75" customHeight="1" x14ac:dyDescent="0.35">
      <c r="T37690" s="246">
        <f t="shared" si="626"/>
        <v>0</v>
      </c>
    </row>
    <row r="37691" spans="20:20" ht="18.75" customHeight="1" x14ac:dyDescent="0.35">
      <c r="T37691" s="246">
        <f t="shared" si="626"/>
        <v>0</v>
      </c>
    </row>
    <row r="37692" spans="20:20" ht="18.75" customHeight="1" x14ac:dyDescent="0.35">
      <c r="T37692" s="246">
        <f t="shared" ref="T37692:T37755" si="627">R37692*0.01</f>
        <v>0</v>
      </c>
    </row>
    <row r="37693" spans="20:20" ht="18.75" customHeight="1" x14ac:dyDescent="0.35">
      <c r="T37693" s="246">
        <f t="shared" si="627"/>
        <v>0</v>
      </c>
    </row>
    <row r="37694" spans="20:20" ht="18.75" customHeight="1" x14ac:dyDescent="0.35">
      <c r="T37694" s="246">
        <f t="shared" si="627"/>
        <v>0</v>
      </c>
    </row>
    <row r="37695" spans="20:20" ht="18.75" customHeight="1" x14ac:dyDescent="0.35">
      <c r="T37695" s="246">
        <f t="shared" si="627"/>
        <v>0</v>
      </c>
    </row>
    <row r="37696" spans="20:20" ht="18.75" customHeight="1" x14ac:dyDescent="0.35">
      <c r="T37696" s="246">
        <f t="shared" si="627"/>
        <v>0</v>
      </c>
    </row>
    <row r="37697" spans="20:20" ht="18.75" customHeight="1" x14ac:dyDescent="0.35">
      <c r="T37697" s="246">
        <f t="shared" si="627"/>
        <v>0</v>
      </c>
    </row>
    <row r="37698" spans="20:20" ht="18.75" customHeight="1" x14ac:dyDescent="0.35">
      <c r="T37698" s="246">
        <f t="shared" si="627"/>
        <v>0</v>
      </c>
    </row>
    <row r="37699" spans="20:20" ht="18.75" customHeight="1" x14ac:dyDescent="0.35">
      <c r="T37699" s="246">
        <f t="shared" si="627"/>
        <v>0</v>
      </c>
    </row>
    <row r="37700" spans="20:20" ht="18.75" customHeight="1" x14ac:dyDescent="0.35">
      <c r="T37700" s="246">
        <f t="shared" si="627"/>
        <v>0</v>
      </c>
    </row>
    <row r="37701" spans="20:20" ht="18.75" customHeight="1" x14ac:dyDescent="0.35">
      <c r="T37701" s="246">
        <f t="shared" si="627"/>
        <v>0</v>
      </c>
    </row>
    <row r="37702" spans="20:20" ht="18.75" customHeight="1" x14ac:dyDescent="0.35">
      <c r="T37702" s="246">
        <f t="shared" si="627"/>
        <v>0</v>
      </c>
    </row>
    <row r="37703" spans="20:20" ht="18.75" customHeight="1" x14ac:dyDescent="0.35">
      <c r="T37703" s="246">
        <f t="shared" si="627"/>
        <v>0</v>
      </c>
    </row>
    <row r="37704" spans="20:20" ht="18.75" customHeight="1" x14ac:dyDescent="0.35">
      <c r="T37704" s="246">
        <f t="shared" si="627"/>
        <v>0</v>
      </c>
    </row>
    <row r="37705" spans="20:20" ht="18.75" customHeight="1" x14ac:dyDescent="0.35">
      <c r="T37705" s="246">
        <f t="shared" si="627"/>
        <v>0</v>
      </c>
    </row>
    <row r="37706" spans="20:20" ht="18.75" customHeight="1" x14ac:dyDescent="0.35">
      <c r="T37706" s="246">
        <f t="shared" si="627"/>
        <v>0</v>
      </c>
    </row>
    <row r="37707" spans="20:20" ht="18.75" customHeight="1" x14ac:dyDescent="0.35">
      <c r="T37707" s="246">
        <f t="shared" si="627"/>
        <v>0</v>
      </c>
    </row>
    <row r="37708" spans="20:20" ht="18.75" customHeight="1" x14ac:dyDescent="0.35">
      <c r="T37708" s="246">
        <f t="shared" si="627"/>
        <v>0</v>
      </c>
    </row>
    <row r="37709" spans="20:20" ht="18.75" customHeight="1" x14ac:dyDescent="0.35">
      <c r="T37709" s="246">
        <f t="shared" si="627"/>
        <v>0</v>
      </c>
    </row>
    <row r="37710" spans="20:20" ht="18.75" customHeight="1" x14ac:dyDescent="0.35">
      <c r="T37710" s="246">
        <f t="shared" si="627"/>
        <v>0</v>
      </c>
    </row>
    <row r="37711" spans="20:20" ht="18.75" customHeight="1" x14ac:dyDescent="0.35">
      <c r="T37711" s="246">
        <f t="shared" si="627"/>
        <v>0</v>
      </c>
    </row>
    <row r="37712" spans="20:20" ht="18.75" customHeight="1" x14ac:dyDescent="0.35">
      <c r="T37712" s="246">
        <f t="shared" si="627"/>
        <v>0</v>
      </c>
    </row>
    <row r="37713" spans="20:20" ht="18.75" customHeight="1" x14ac:dyDescent="0.35">
      <c r="T37713" s="246">
        <f t="shared" si="627"/>
        <v>0</v>
      </c>
    </row>
    <row r="37714" spans="20:20" ht="18.75" customHeight="1" x14ac:dyDescent="0.35">
      <c r="T37714" s="246">
        <f t="shared" si="627"/>
        <v>0</v>
      </c>
    </row>
    <row r="37715" spans="20:20" ht="18.75" customHeight="1" x14ac:dyDescent="0.35">
      <c r="T37715" s="246">
        <f t="shared" si="627"/>
        <v>0</v>
      </c>
    </row>
    <row r="37716" spans="20:20" ht="18.75" customHeight="1" x14ac:dyDescent="0.35">
      <c r="T37716" s="246">
        <f t="shared" si="627"/>
        <v>0</v>
      </c>
    </row>
    <row r="37717" spans="20:20" ht="18.75" customHeight="1" x14ac:dyDescent="0.35">
      <c r="T37717" s="246">
        <f t="shared" si="627"/>
        <v>0</v>
      </c>
    </row>
    <row r="37718" spans="20:20" ht="18.75" customHeight="1" x14ac:dyDescent="0.35">
      <c r="T37718" s="246">
        <f t="shared" si="627"/>
        <v>0</v>
      </c>
    </row>
    <row r="37719" spans="20:20" ht="18.75" customHeight="1" x14ac:dyDescent="0.35">
      <c r="T37719" s="246">
        <f t="shared" si="627"/>
        <v>0</v>
      </c>
    </row>
    <row r="37720" spans="20:20" ht="18.75" customHeight="1" x14ac:dyDescent="0.35">
      <c r="T37720" s="246">
        <f t="shared" si="627"/>
        <v>0</v>
      </c>
    </row>
    <row r="37721" spans="20:20" ht="18.75" customHeight="1" x14ac:dyDescent="0.35">
      <c r="T37721" s="246">
        <f t="shared" si="627"/>
        <v>0</v>
      </c>
    </row>
    <row r="37722" spans="20:20" ht="18.75" customHeight="1" x14ac:dyDescent="0.35">
      <c r="T37722" s="246">
        <f t="shared" si="627"/>
        <v>0</v>
      </c>
    </row>
    <row r="37723" spans="20:20" ht="18.75" customHeight="1" x14ac:dyDescent="0.35">
      <c r="T37723" s="246">
        <f t="shared" si="627"/>
        <v>0</v>
      </c>
    </row>
    <row r="37724" spans="20:20" ht="18.75" customHeight="1" x14ac:dyDescent="0.35">
      <c r="T37724" s="246">
        <f t="shared" si="627"/>
        <v>0</v>
      </c>
    </row>
    <row r="37725" spans="20:20" ht="18.75" customHeight="1" x14ac:dyDescent="0.35">
      <c r="T37725" s="246">
        <f t="shared" si="627"/>
        <v>0</v>
      </c>
    </row>
    <row r="37726" spans="20:20" ht="18.75" customHeight="1" x14ac:dyDescent="0.35">
      <c r="T37726" s="246">
        <f t="shared" si="627"/>
        <v>0</v>
      </c>
    </row>
    <row r="37727" spans="20:20" ht="18.75" customHeight="1" x14ac:dyDescent="0.35">
      <c r="T37727" s="246">
        <f t="shared" si="627"/>
        <v>0</v>
      </c>
    </row>
    <row r="37728" spans="20:20" ht="18.75" customHeight="1" x14ac:dyDescent="0.35">
      <c r="T37728" s="246">
        <f t="shared" si="627"/>
        <v>0</v>
      </c>
    </row>
    <row r="37729" spans="20:20" ht="18.75" customHeight="1" x14ac:dyDescent="0.35">
      <c r="T37729" s="246">
        <f t="shared" si="627"/>
        <v>0</v>
      </c>
    </row>
    <row r="37730" spans="20:20" ht="18.75" customHeight="1" x14ac:dyDescent="0.35">
      <c r="T37730" s="246">
        <f t="shared" si="627"/>
        <v>0</v>
      </c>
    </row>
    <row r="37731" spans="20:20" ht="18.75" customHeight="1" x14ac:dyDescent="0.35">
      <c r="T37731" s="246">
        <f t="shared" si="627"/>
        <v>0</v>
      </c>
    </row>
    <row r="37732" spans="20:20" ht="18.75" customHeight="1" x14ac:dyDescent="0.35">
      <c r="T37732" s="246">
        <f t="shared" si="627"/>
        <v>0</v>
      </c>
    </row>
    <row r="37733" spans="20:20" ht="18.75" customHeight="1" x14ac:dyDescent="0.35">
      <c r="T37733" s="246">
        <f t="shared" si="627"/>
        <v>0</v>
      </c>
    </row>
    <row r="37734" spans="20:20" ht="18.75" customHeight="1" x14ac:dyDescent="0.35">
      <c r="T37734" s="246">
        <f t="shared" si="627"/>
        <v>0</v>
      </c>
    </row>
    <row r="37735" spans="20:20" ht="18.75" customHeight="1" x14ac:dyDescent="0.35">
      <c r="T37735" s="246">
        <f t="shared" si="627"/>
        <v>0</v>
      </c>
    </row>
    <row r="37736" spans="20:20" ht="18.75" customHeight="1" x14ac:dyDescent="0.35">
      <c r="T37736" s="246">
        <f t="shared" si="627"/>
        <v>0</v>
      </c>
    </row>
    <row r="37737" spans="20:20" ht="18.75" customHeight="1" x14ac:dyDescent="0.35">
      <c r="T37737" s="246">
        <f t="shared" si="627"/>
        <v>0</v>
      </c>
    </row>
    <row r="37738" spans="20:20" ht="18.75" customHeight="1" x14ac:dyDescent="0.35">
      <c r="T37738" s="246">
        <f t="shared" si="627"/>
        <v>0</v>
      </c>
    </row>
    <row r="37739" spans="20:20" ht="18.75" customHeight="1" x14ac:dyDescent="0.35">
      <c r="T37739" s="246">
        <f t="shared" si="627"/>
        <v>0</v>
      </c>
    </row>
    <row r="37740" spans="20:20" ht="18.75" customHeight="1" x14ac:dyDescent="0.35">
      <c r="T37740" s="246">
        <f t="shared" si="627"/>
        <v>0</v>
      </c>
    </row>
    <row r="37741" spans="20:20" ht="18.75" customHeight="1" x14ac:dyDescent="0.35">
      <c r="T37741" s="246">
        <f t="shared" si="627"/>
        <v>0</v>
      </c>
    </row>
    <row r="37742" spans="20:20" ht="18.75" customHeight="1" x14ac:dyDescent="0.35">
      <c r="T37742" s="246">
        <f t="shared" si="627"/>
        <v>0</v>
      </c>
    </row>
    <row r="37743" spans="20:20" ht="18.75" customHeight="1" x14ac:dyDescent="0.35">
      <c r="T37743" s="246">
        <f t="shared" si="627"/>
        <v>0</v>
      </c>
    </row>
    <row r="37744" spans="20:20" ht="18.75" customHeight="1" x14ac:dyDescent="0.35">
      <c r="T37744" s="246">
        <f t="shared" si="627"/>
        <v>0</v>
      </c>
    </row>
    <row r="37745" spans="20:20" ht="18.75" customHeight="1" x14ac:dyDescent="0.35">
      <c r="T37745" s="246">
        <f t="shared" si="627"/>
        <v>0</v>
      </c>
    </row>
    <row r="37746" spans="20:20" ht="18.75" customHeight="1" x14ac:dyDescent="0.35">
      <c r="T37746" s="246">
        <f t="shared" si="627"/>
        <v>0</v>
      </c>
    </row>
    <row r="37747" spans="20:20" ht="18.75" customHeight="1" x14ac:dyDescent="0.35">
      <c r="T37747" s="246">
        <f t="shared" si="627"/>
        <v>0</v>
      </c>
    </row>
    <row r="37748" spans="20:20" ht="18.75" customHeight="1" x14ac:dyDescent="0.35">
      <c r="T37748" s="246">
        <f t="shared" si="627"/>
        <v>0</v>
      </c>
    </row>
    <row r="37749" spans="20:20" ht="18.75" customHeight="1" x14ac:dyDescent="0.35">
      <c r="T37749" s="246">
        <f t="shared" si="627"/>
        <v>0</v>
      </c>
    </row>
    <row r="37750" spans="20:20" ht="18.75" customHeight="1" x14ac:dyDescent="0.35">
      <c r="T37750" s="246">
        <f t="shared" si="627"/>
        <v>0</v>
      </c>
    </row>
    <row r="37751" spans="20:20" ht="18.75" customHeight="1" x14ac:dyDescent="0.35">
      <c r="T37751" s="246">
        <f t="shared" si="627"/>
        <v>0</v>
      </c>
    </row>
    <row r="37752" spans="20:20" ht="18.75" customHeight="1" x14ac:dyDescent="0.35">
      <c r="T37752" s="246">
        <f t="shared" si="627"/>
        <v>0</v>
      </c>
    </row>
    <row r="37753" spans="20:20" ht="18.75" customHeight="1" x14ac:dyDescent="0.35">
      <c r="T37753" s="246">
        <f t="shared" si="627"/>
        <v>0</v>
      </c>
    </row>
    <row r="37754" spans="20:20" ht="18.75" customHeight="1" x14ac:dyDescent="0.35">
      <c r="T37754" s="246">
        <f t="shared" si="627"/>
        <v>0</v>
      </c>
    </row>
    <row r="37755" spans="20:20" ht="18.75" customHeight="1" x14ac:dyDescent="0.35">
      <c r="T37755" s="246">
        <f t="shared" si="627"/>
        <v>0</v>
      </c>
    </row>
    <row r="37756" spans="20:20" ht="18.75" customHeight="1" x14ac:dyDescent="0.35">
      <c r="T37756" s="246">
        <f t="shared" ref="T37756:T37819" si="628">R37756*0.01</f>
        <v>0</v>
      </c>
    </row>
    <row r="37757" spans="20:20" ht="18.75" customHeight="1" x14ac:dyDescent="0.35">
      <c r="T37757" s="246">
        <f t="shared" si="628"/>
        <v>0</v>
      </c>
    </row>
    <row r="37758" spans="20:20" ht="18.75" customHeight="1" x14ac:dyDescent="0.35">
      <c r="T37758" s="246">
        <f t="shared" si="628"/>
        <v>0</v>
      </c>
    </row>
    <row r="37759" spans="20:20" ht="18.75" customHeight="1" x14ac:dyDescent="0.35">
      <c r="T37759" s="246">
        <f t="shared" si="628"/>
        <v>0</v>
      </c>
    </row>
    <row r="37760" spans="20:20" ht="18.75" customHeight="1" x14ac:dyDescent="0.35">
      <c r="T37760" s="246">
        <f t="shared" si="628"/>
        <v>0</v>
      </c>
    </row>
    <row r="37761" spans="20:20" ht="18.75" customHeight="1" x14ac:dyDescent="0.35">
      <c r="T37761" s="246">
        <f t="shared" si="628"/>
        <v>0</v>
      </c>
    </row>
    <row r="37762" spans="20:20" ht="18.75" customHeight="1" x14ac:dyDescent="0.35">
      <c r="T37762" s="246">
        <f t="shared" si="628"/>
        <v>0</v>
      </c>
    </row>
    <row r="37763" spans="20:20" ht="18.75" customHeight="1" x14ac:dyDescent="0.35">
      <c r="T37763" s="246">
        <f t="shared" si="628"/>
        <v>0</v>
      </c>
    </row>
    <row r="37764" spans="20:20" ht="18.75" customHeight="1" x14ac:dyDescent="0.35">
      <c r="T37764" s="246">
        <f t="shared" si="628"/>
        <v>0</v>
      </c>
    </row>
    <row r="37765" spans="20:20" ht="18.75" customHeight="1" x14ac:dyDescent="0.35">
      <c r="T37765" s="246">
        <f t="shared" si="628"/>
        <v>0</v>
      </c>
    </row>
    <row r="37766" spans="20:20" ht="18.75" customHeight="1" x14ac:dyDescent="0.35">
      <c r="T37766" s="246">
        <f t="shared" si="628"/>
        <v>0</v>
      </c>
    </row>
    <row r="37767" spans="20:20" ht="18.75" customHeight="1" x14ac:dyDescent="0.35">
      <c r="T37767" s="246">
        <f t="shared" si="628"/>
        <v>0</v>
      </c>
    </row>
    <row r="37768" spans="20:20" ht="18.75" customHeight="1" x14ac:dyDescent="0.35">
      <c r="T37768" s="246">
        <f t="shared" si="628"/>
        <v>0</v>
      </c>
    </row>
    <row r="37769" spans="20:20" ht="18.75" customHeight="1" x14ac:dyDescent="0.35">
      <c r="T37769" s="246">
        <f t="shared" si="628"/>
        <v>0</v>
      </c>
    </row>
    <row r="37770" spans="20:20" ht="18.75" customHeight="1" x14ac:dyDescent="0.35">
      <c r="T37770" s="246">
        <f t="shared" si="628"/>
        <v>0</v>
      </c>
    </row>
    <row r="37771" spans="20:20" ht="18.75" customHeight="1" x14ac:dyDescent="0.35">
      <c r="T37771" s="246">
        <f t="shared" si="628"/>
        <v>0</v>
      </c>
    </row>
    <row r="37772" spans="20:20" ht="18.75" customHeight="1" x14ac:dyDescent="0.35">
      <c r="T37772" s="246">
        <f t="shared" si="628"/>
        <v>0</v>
      </c>
    </row>
    <row r="37773" spans="20:20" ht="18.75" customHeight="1" x14ac:dyDescent="0.35">
      <c r="T37773" s="246">
        <f t="shared" si="628"/>
        <v>0</v>
      </c>
    </row>
    <row r="37774" spans="20:20" ht="18.75" customHeight="1" x14ac:dyDescent="0.35">
      <c r="T37774" s="246">
        <f t="shared" si="628"/>
        <v>0</v>
      </c>
    </row>
    <row r="37775" spans="20:20" ht="18.75" customHeight="1" x14ac:dyDescent="0.35">
      <c r="T37775" s="246">
        <f t="shared" si="628"/>
        <v>0</v>
      </c>
    </row>
    <row r="37776" spans="20:20" ht="18.75" customHeight="1" x14ac:dyDescent="0.35">
      <c r="T37776" s="246">
        <f t="shared" si="628"/>
        <v>0</v>
      </c>
    </row>
    <row r="37777" spans="20:20" ht="18.75" customHeight="1" x14ac:dyDescent="0.35">
      <c r="T37777" s="246">
        <f t="shared" si="628"/>
        <v>0</v>
      </c>
    </row>
    <row r="37778" spans="20:20" ht="18.75" customHeight="1" x14ac:dyDescent="0.35">
      <c r="T37778" s="246">
        <f t="shared" si="628"/>
        <v>0</v>
      </c>
    </row>
    <row r="37779" spans="20:20" ht="18.75" customHeight="1" x14ac:dyDescent="0.35">
      <c r="T37779" s="246">
        <f t="shared" si="628"/>
        <v>0</v>
      </c>
    </row>
    <row r="37780" spans="20:20" ht="18.75" customHeight="1" x14ac:dyDescent="0.35">
      <c r="T37780" s="246">
        <f t="shared" si="628"/>
        <v>0</v>
      </c>
    </row>
    <row r="37781" spans="20:20" ht="18.75" customHeight="1" x14ac:dyDescent="0.35">
      <c r="T37781" s="246">
        <f t="shared" si="628"/>
        <v>0</v>
      </c>
    </row>
    <row r="37782" spans="20:20" ht="18.75" customHeight="1" x14ac:dyDescent="0.35">
      <c r="T37782" s="246">
        <f t="shared" si="628"/>
        <v>0</v>
      </c>
    </row>
    <row r="37783" spans="20:20" ht="18.75" customHeight="1" x14ac:dyDescent="0.35">
      <c r="T37783" s="246">
        <f t="shared" si="628"/>
        <v>0</v>
      </c>
    </row>
    <row r="37784" spans="20:20" ht="18.75" customHeight="1" x14ac:dyDescent="0.35">
      <c r="T37784" s="246">
        <f t="shared" si="628"/>
        <v>0</v>
      </c>
    </row>
    <row r="37785" spans="20:20" ht="18.75" customHeight="1" x14ac:dyDescent="0.35">
      <c r="T37785" s="246">
        <f t="shared" si="628"/>
        <v>0</v>
      </c>
    </row>
    <row r="37786" spans="20:20" ht="18.75" customHeight="1" x14ac:dyDescent="0.35">
      <c r="T37786" s="246">
        <f t="shared" si="628"/>
        <v>0</v>
      </c>
    </row>
    <row r="37787" spans="20:20" ht="18.75" customHeight="1" x14ac:dyDescent="0.35">
      <c r="T37787" s="246">
        <f t="shared" si="628"/>
        <v>0</v>
      </c>
    </row>
    <row r="37788" spans="20:20" ht="18.75" customHeight="1" x14ac:dyDescent="0.35">
      <c r="T37788" s="246">
        <f t="shared" si="628"/>
        <v>0</v>
      </c>
    </row>
    <row r="37789" spans="20:20" ht="18.75" customHeight="1" x14ac:dyDescent="0.35">
      <c r="T37789" s="246">
        <f t="shared" si="628"/>
        <v>0</v>
      </c>
    </row>
    <row r="37790" spans="20:20" ht="18.75" customHeight="1" x14ac:dyDescent="0.35">
      <c r="T37790" s="246">
        <f t="shared" si="628"/>
        <v>0</v>
      </c>
    </row>
    <row r="37791" spans="20:20" ht="18.75" customHeight="1" x14ac:dyDescent="0.35">
      <c r="T37791" s="246">
        <f t="shared" si="628"/>
        <v>0</v>
      </c>
    </row>
    <row r="37792" spans="20:20" ht="18.75" customHeight="1" x14ac:dyDescent="0.35">
      <c r="T37792" s="246">
        <f t="shared" si="628"/>
        <v>0</v>
      </c>
    </row>
    <row r="37793" spans="20:20" ht="18.75" customHeight="1" x14ac:dyDescent="0.35">
      <c r="T37793" s="246">
        <f t="shared" si="628"/>
        <v>0</v>
      </c>
    </row>
    <row r="37794" spans="20:20" ht="18.75" customHeight="1" x14ac:dyDescent="0.35">
      <c r="T37794" s="246">
        <f t="shared" si="628"/>
        <v>0</v>
      </c>
    </row>
    <row r="37795" spans="20:20" ht="18.75" customHeight="1" x14ac:dyDescent="0.35">
      <c r="T37795" s="246">
        <f t="shared" si="628"/>
        <v>0</v>
      </c>
    </row>
    <row r="37796" spans="20:20" ht="18.75" customHeight="1" x14ac:dyDescent="0.35">
      <c r="T37796" s="246">
        <f t="shared" si="628"/>
        <v>0</v>
      </c>
    </row>
    <row r="37797" spans="20:20" ht="18.75" customHeight="1" x14ac:dyDescent="0.35">
      <c r="T37797" s="246">
        <f t="shared" si="628"/>
        <v>0</v>
      </c>
    </row>
    <row r="37798" spans="20:20" ht="18.75" customHeight="1" x14ac:dyDescent="0.35">
      <c r="T37798" s="246">
        <f t="shared" si="628"/>
        <v>0</v>
      </c>
    </row>
    <row r="37799" spans="20:20" ht="18.75" customHeight="1" x14ac:dyDescent="0.35">
      <c r="T37799" s="246">
        <f t="shared" si="628"/>
        <v>0</v>
      </c>
    </row>
    <row r="37800" spans="20:20" ht="18.75" customHeight="1" x14ac:dyDescent="0.35">
      <c r="T37800" s="246">
        <f t="shared" si="628"/>
        <v>0</v>
      </c>
    </row>
    <row r="37801" spans="20:20" ht="18.75" customHeight="1" x14ac:dyDescent="0.35">
      <c r="T37801" s="246">
        <f t="shared" si="628"/>
        <v>0</v>
      </c>
    </row>
    <row r="37802" spans="20:20" ht="18.75" customHeight="1" x14ac:dyDescent="0.35">
      <c r="T37802" s="246">
        <f t="shared" si="628"/>
        <v>0</v>
      </c>
    </row>
    <row r="37803" spans="20:20" ht="18.75" customHeight="1" x14ac:dyDescent="0.35">
      <c r="T37803" s="246">
        <f t="shared" si="628"/>
        <v>0</v>
      </c>
    </row>
    <row r="37804" spans="20:20" ht="18.75" customHeight="1" x14ac:dyDescent="0.35">
      <c r="T37804" s="246">
        <f t="shared" si="628"/>
        <v>0</v>
      </c>
    </row>
    <row r="37805" spans="20:20" ht="18.75" customHeight="1" x14ac:dyDescent="0.35">
      <c r="T37805" s="246">
        <f t="shared" si="628"/>
        <v>0</v>
      </c>
    </row>
    <row r="37806" spans="20:20" ht="18.75" customHeight="1" x14ac:dyDescent="0.35">
      <c r="T37806" s="246">
        <f t="shared" si="628"/>
        <v>0</v>
      </c>
    </row>
    <row r="37807" spans="20:20" ht="18.75" customHeight="1" x14ac:dyDescent="0.35">
      <c r="T37807" s="246">
        <f t="shared" si="628"/>
        <v>0</v>
      </c>
    </row>
    <row r="37808" spans="20:20" ht="18.75" customHeight="1" x14ac:dyDescent="0.35">
      <c r="T37808" s="246">
        <f t="shared" si="628"/>
        <v>0</v>
      </c>
    </row>
    <row r="37809" spans="20:20" ht="18.75" customHeight="1" x14ac:dyDescent="0.35">
      <c r="T37809" s="246">
        <f t="shared" si="628"/>
        <v>0</v>
      </c>
    </row>
    <row r="37810" spans="20:20" ht="18.75" customHeight="1" x14ac:dyDescent="0.35">
      <c r="T37810" s="246">
        <f t="shared" si="628"/>
        <v>0</v>
      </c>
    </row>
    <row r="37811" spans="20:20" ht="18.75" customHeight="1" x14ac:dyDescent="0.35">
      <c r="T37811" s="246">
        <f t="shared" si="628"/>
        <v>0</v>
      </c>
    </row>
    <row r="37812" spans="20:20" ht="18.75" customHeight="1" x14ac:dyDescent="0.35">
      <c r="T37812" s="246">
        <f t="shared" si="628"/>
        <v>0</v>
      </c>
    </row>
    <row r="37813" spans="20:20" ht="18.75" customHeight="1" x14ac:dyDescent="0.35">
      <c r="T37813" s="246">
        <f t="shared" si="628"/>
        <v>0</v>
      </c>
    </row>
    <row r="37814" spans="20:20" ht="18.75" customHeight="1" x14ac:dyDescent="0.35">
      <c r="T37814" s="246">
        <f t="shared" si="628"/>
        <v>0</v>
      </c>
    </row>
    <row r="37815" spans="20:20" ht="18.75" customHeight="1" x14ac:dyDescent="0.35">
      <c r="T37815" s="246">
        <f t="shared" si="628"/>
        <v>0</v>
      </c>
    </row>
    <row r="37816" spans="20:20" ht="18.75" customHeight="1" x14ac:dyDescent="0.35">
      <c r="T37816" s="246">
        <f t="shared" si="628"/>
        <v>0</v>
      </c>
    </row>
    <row r="37817" spans="20:20" ht="18.75" customHeight="1" x14ac:dyDescent="0.35">
      <c r="T37817" s="246">
        <f t="shared" si="628"/>
        <v>0</v>
      </c>
    </row>
    <row r="37818" spans="20:20" ht="18.75" customHeight="1" x14ac:dyDescent="0.35">
      <c r="T37818" s="246">
        <f t="shared" si="628"/>
        <v>0</v>
      </c>
    </row>
    <row r="37819" spans="20:20" ht="18.75" customHeight="1" x14ac:dyDescent="0.35">
      <c r="T37819" s="246">
        <f t="shared" si="628"/>
        <v>0</v>
      </c>
    </row>
    <row r="37820" spans="20:20" ht="18.75" customHeight="1" x14ac:dyDescent="0.35">
      <c r="T37820" s="246">
        <f t="shared" ref="T37820:T37883" si="629">R37820*0.01</f>
        <v>0</v>
      </c>
    </row>
    <row r="37821" spans="20:20" ht="18.75" customHeight="1" x14ac:dyDescent="0.35">
      <c r="T37821" s="246">
        <f t="shared" si="629"/>
        <v>0</v>
      </c>
    </row>
    <row r="37822" spans="20:20" ht="18.75" customHeight="1" x14ac:dyDescent="0.35">
      <c r="T37822" s="246">
        <f t="shared" si="629"/>
        <v>0</v>
      </c>
    </row>
    <row r="37823" spans="20:20" ht="18.75" customHeight="1" x14ac:dyDescent="0.35">
      <c r="T37823" s="246">
        <f t="shared" si="629"/>
        <v>0</v>
      </c>
    </row>
    <row r="37824" spans="20:20" ht="18.75" customHeight="1" x14ac:dyDescent="0.35">
      <c r="T37824" s="246">
        <f t="shared" si="629"/>
        <v>0</v>
      </c>
    </row>
    <row r="37825" spans="20:20" ht="18.75" customHeight="1" x14ac:dyDescent="0.35">
      <c r="T37825" s="246">
        <f t="shared" si="629"/>
        <v>0</v>
      </c>
    </row>
    <row r="37826" spans="20:20" ht="18.75" customHeight="1" x14ac:dyDescent="0.35">
      <c r="T37826" s="246">
        <f t="shared" si="629"/>
        <v>0</v>
      </c>
    </row>
    <row r="37827" spans="20:20" ht="18.75" customHeight="1" x14ac:dyDescent="0.35">
      <c r="T37827" s="246">
        <f t="shared" si="629"/>
        <v>0</v>
      </c>
    </row>
    <row r="37828" spans="20:20" ht="18.75" customHeight="1" x14ac:dyDescent="0.35">
      <c r="T37828" s="246">
        <f t="shared" si="629"/>
        <v>0</v>
      </c>
    </row>
    <row r="37829" spans="20:20" ht="18.75" customHeight="1" x14ac:dyDescent="0.35">
      <c r="T37829" s="246">
        <f t="shared" si="629"/>
        <v>0</v>
      </c>
    </row>
    <row r="37830" spans="20:20" ht="18.75" customHeight="1" x14ac:dyDescent="0.35">
      <c r="T37830" s="246">
        <f t="shared" si="629"/>
        <v>0</v>
      </c>
    </row>
    <row r="37831" spans="20:20" ht="18.75" customHeight="1" x14ac:dyDescent="0.35">
      <c r="T37831" s="246">
        <f t="shared" si="629"/>
        <v>0</v>
      </c>
    </row>
    <row r="37832" spans="20:20" ht="18.75" customHeight="1" x14ac:dyDescent="0.35">
      <c r="T37832" s="246">
        <f t="shared" si="629"/>
        <v>0</v>
      </c>
    </row>
    <row r="37833" spans="20:20" ht="18.75" customHeight="1" x14ac:dyDescent="0.35">
      <c r="T37833" s="246">
        <f t="shared" si="629"/>
        <v>0</v>
      </c>
    </row>
    <row r="37834" spans="20:20" ht="18.75" customHeight="1" x14ac:dyDescent="0.35">
      <c r="T37834" s="246">
        <f t="shared" si="629"/>
        <v>0</v>
      </c>
    </row>
    <row r="37835" spans="20:20" ht="18.75" customHeight="1" x14ac:dyDescent="0.35">
      <c r="T37835" s="246">
        <f t="shared" si="629"/>
        <v>0</v>
      </c>
    </row>
    <row r="37836" spans="20:20" ht="18.75" customHeight="1" x14ac:dyDescent="0.35">
      <c r="T37836" s="246">
        <f t="shared" si="629"/>
        <v>0</v>
      </c>
    </row>
    <row r="37837" spans="20:20" ht="18.75" customHeight="1" x14ac:dyDescent="0.35">
      <c r="T37837" s="246">
        <f t="shared" si="629"/>
        <v>0</v>
      </c>
    </row>
    <row r="37838" spans="20:20" ht="18.75" customHeight="1" x14ac:dyDescent="0.35">
      <c r="T37838" s="246">
        <f t="shared" si="629"/>
        <v>0</v>
      </c>
    </row>
    <row r="37839" spans="20:20" ht="18.75" customHeight="1" x14ac:dyDescent="0.35">
      <c r="T37839" s="246">
        <f t="shared" si="629"/>
        <v>0</v>
      </c>
    </row>
    <row r="37840" spans="20:20" ht="18.75" customHeight="1" x14ac:dyDescent="0.35">
      <c r="T37840" s="246">
        <f t="shared" si="629"/>
        <v>0</v>
      </c>
    </row>
    <row r="37841" spans="20:20" ht="18.75" customHeight="1" x14ac:dyDescent="0.35">
      <c r="T37841" s="246">
        <f t="shared" si="629"/>
        <v>0</v>
      </c>
    </row>
    <row r="37842" spans="20:20" ht="18.75" customHeight="1" x14ac:dyDescent="0.35">
      <c r="T37842" s="246">
        <f t="shared" si="629"/>
        <v>0</v>
      </c>
    </row>
    <row r="37843" spans="20:20" ht="18.75" customHeight="1" x14ac:dyDescent="0.35">
      <c r="T37843" s="246">
        <f t="shared" si="629"/>
        <v>0</v>
      </c>
    </row>
    <row r="37844" spans="20:20" ht="18.75" customHeight="1" x14ac:dyDescent="0.35">
      <c r="T37844" s="246">
        <f t="shared" si="629"/>
        <v>0</v>
      </c>
    </row>
    <row r="37845" spans="20:20" ht="18.75" customHeight="1" x14ac:dyDescent="0.35">
      <c r="T37845" s="246">
        <f t="shared" si="629"/>
        <v>0</v>
      </c>
    </row>
    <row r="37846" spans="20:20" ht="18.75" customHeight="1" x14ac:dyDescent="0.35">
      <c r="T37846" s="246">
        <f t="shared" si="629"/>
        <v>0</v>
      </c>
    </row>
    <row r="37847" spans="20:20" ht="18.75" customHeight="1" x14ac:dyDescent="0.35">
      <c r="T37847" s="246">
        <f t="shared" si="629"/>
        <v>0</v>
      </c>
    </row>
    <row r="37848" spans="20:20" ht="18.75" customHeight="1" x14ac:dyDescent="0.35">
      <c r="T37848" s="246">
        <f t="shared" si="629"/>
        <v>0</v>
      </c>
    </row>
    <row r="37849" spans="20:20" ht="18.75" customHeight="1" x14ac:dyDescent="0.35">
      <c r="T37849" s="246">
        <f t="shared" si="629"/>
        <v>0</v>
      </c>
    </row>
    <row r="37850" spans="20:20" ht="18.75" customHeight="1" x14ac:dyDescent="0.35">
      <c r="T37850" s="246">
        <f t="shared" si="629"/>
        <v>0</v>
      </c>
    </row>
    <row r="37851" spans="20:20" ht="18.75" customHeight="1" x14ac:dyDescent="0.35">
      <c r="T37851" s="246">
        <f t="shared" si="629"/>
        <v>0</v>
      </c>
    </row>
    <row r="37852" spans="20:20" ht="18.75" customHeight="1" x14ac:dyDescent="0.35">
      <c r="T37852" s="246">
        <f t="shared" si="629"/>
        <v>0</v>
      </c>
    </row>
    <row r="37853" spans="20:20" ht="18.75" customHeight="1" x14ac:dyDescent="0.35">
      <c r="T37853" s="246">
        <f t="shared" si="629"/>
        <v>0</v>
      </c>
    </row>
    <row r="37854" spans="20:20" ht="18.75" customHeight="1" x14ac:dyDescent="0.35">
      <c r="T37854" s="246">
        <f t="shared" si="629"/>
        <v>0</v>
      </c>
    </row>
    <row r="37855" spans="20:20" ht="18.75" customHeight="1" x14ac:dyDescent="0.35">
      <c r="T37855" s="246">
        <f t="shared" si="629"/>
        <v>0</v>
      </c>
    </row>
    <row r="37856" spans="20:20" ht="18.75" customHeight="1" x14ac:dyDescent="0.35">
      <c r="T37856" s="246">
        <f t="shared" si="629"/>
        <v>0</v>
      </c>
    </row>
    <row r="37857" spans="20:20" ht="18.75" customHeight="1" x14ac:dyDescent="0.35">
      <c r="T37857" s="246">
        <f t="shared" si="629"/>
        <v>0</v>
      </c>
    </row>
    <row r="37858" spans="20:20" ht="18.75" customHeight="1" x14ac:dyDescent="0.35">
      <c r="T37858" s="246">
        <f t="shared" si="629"/>
        <v>0</v>
      </c>
    </row>
    <row r="37859" spans="20:20" ht="18.75" customHeight="1" x14ac:dyDescent="0.35">
      <c r="T37859" s="246">
        <f t="shared" si="629"/>
        <v>0</v>
      </c>
    </row>
    <row r="37860" spans="20:20" ht="18.75" customHeight="1" x14ac:dyDescent="0.35">
      <c r="T37860" s="246">
        <f t="shared" si="629"/>
        <v>0</v>
      </c>
    </row>
    <row r="37861" spans="20:20" ht="18.75" customHeight="1" x14ac:dyDescent="0.35">
      <c r="T37861" s="246">
        <f t="shared" si="629"/>
        <v>0</v>
      </c>
    </row>
    <row r="37862" spans="20:20" ht="18.75" customHeight="1" x14ac:dyDescent="0.35">
      <c r="T37862" s="246">
        <f t="shared" si="629"/>
        <v>0</v>
      </c>
    </row>
    <row r="37863" spans="20:20" ht="18.75" customHeight="1" x14ac:dyDescent="0.35">
      <c r="T37863" s="246">
        <f t="shared" si="629"/>
        <v>0</v>
      </c>
    </row>
    <row r="37864" spans="20:20" ht="18.75" customHeight="1" x14ac:dyDescent="0.35">
      <c r="T37864" s="246">
        <f t="shared" si="629"/>
        <v>0</v>
      </c>
    </row>
    <row r="37865" spans="20:20" ht="18.75" customHeight="1" x14ac:dyDescent="0.35">
      <c r="T37865" s="246">
        <f t="shared" si="629"/>
        <v>0</v>
      </c>
    </row>
    <row r="37866" spans="20:20" ht="18.75" customHeight="1" x14ac:dyDescent="0.35">
      <c r="T37866" s="246">
        <f t="shared" si="629"/>
        <v>0</v>
      </c>
    </row>
    <row r="37867" spans="20:20" ht="18.75" customHeight="1" x14ac:dyDescent="0.35">
      <c r="T37867" s="246">
        <f t="shared" si="629"/>
        <v>0</v>
      </c>
    </row>
    <row r="37868" spans="20:20" ht="18.75" customHeight="1" x14ac:dyDescent="0.35">
      <c r="T37868" s="246">
        <f t="shared" si="629"/>
        <v>0</v>
      </c>
    </row>
    <row r="37869" spans="20:20" ht="18.75" customHeight="1" x14ac:dyDescent="0.35">
      <c r="T37869" s="246">
        <f t="shared" si="629"/>
        <v>0</v>
      </c>
    </row>
    <row r="37870" spans="20:20" ht="18.75" customHeight="1" x14ac:dyDescent="0.35">
      <c r="T37870" s="246">
        <f t="shared" si="629"/>
        <v>0</v>
      </c>
    </row>
    <row r="37871" spans="20:20" ht="18.75" customHeight="1" x14ac:dyDescent="0.35">
      <c r="T37871" s="246">
        <f t="shared" si="629"/>
        <v>0</v>
      </c>
    </row>
    <row r="37872" spans="20:20" ht="18.75" customHeight="1" x14ac:dyDescent="0.35">
      <c r="T37872" s="246">
        <f t="shared" si="629"/>
        <v>0</v>
      </c>
    </row>
    <row r="37873" spans="20:20" ht="18.75" customHeight="1" x14ac:dyDescent="0.35">
      <c r="T37873" s="246">
        <f t="shared" si="629"/>
        <v>0</v>
      </c>
    </row>
    <row r="37874" spans="20:20" ht="18.75" customHeight="1" x14ac:dyDescent="0.35">
      <c r="T37874" s="246">
        <f t="shared" si="629"/>
        <v>0</v>
      </c>
    </row>
    <row r="37875" spans="20:20" ht="18.75" customHeight="1" x14ac:dyDescent="0.35">
      <c r="T37875" s="246">
        <f t="shared" si="629"/>
        <v>0</v>
      </c>
    </row>
    <row r="37876" spans="20:20" ht="18.75" customHeight="1" x14ac:dyDescent="0.35">
      <c r="T37876" s="246">
        <f t="shared" si="629"/>
        <v>0</v>
      </c>
    </row>
    <row r="37877" spans="20:20" ht="18.75" customHeight="1" x14ac:dyDescent="0.35">
      <c r="T37877" s="246">
        <f t="shared" si="629"/>
        <v>0</v>
      </c>
    </row>
    <row r="37878" spans="20:20" ht="18.75" customHeight="1" x14ac:dyDescent="0.35">
      <c r="T37878" s="246">
        <f t="shared" si="629"/>
        <v>0</v>
      </c>
    </row>
    <row r="37879" spans="20:20" ht="18.75" customHeight="1" x14ac:dyDescent="0.35">
      <c r="T37879" s="246">
        <f t="shared" si="629"/>
        <v>0</v>
      </c>
    </row>
    <row r="37880" spans="20:20" ht="18.75" customHeight="1" x14ac:dyDescent="0.35">
      <c r="T37880" s="246">
        <f t="shared" si="629"/>
        <v>0</v>
      </c>
    </row>
    <row r="37881" spans="20:20" ht="18.75" customHeight="1" x14ac:dyDescent="0.35">
      <c r="T37881" s="246">
        <f t="shared" si="629"/>
        <v>0</v>
      </c>
    </row>
    <row r="37882" spans="20:20" ht="18.75" customHeight="1" x14ac:dyDescent="0.35">
      <c r="T37882" s="246">
        <f t="shared" si="629"/>
        <v>0</v>
      </c>
    </row>
    <row r="37883" spans="20:20" ht="18.75" customHeight="1" x14ac:dyDescent="0.35">
      <c r="T37883" s="246">
        <f t="shared" si="629"/>
        <v>0</v>
      </c>
    </row>
    <row r="37884" spans="20:20" ht="18.75" customHeight="1" x14ac:dyDescent="0.35">
      <c r="T37884" s="246">
        <f t="shared" ref="T37884:T37947" si="630">R37884*0.01</f>
        <v>0</v>
      </c>
    </row>
    <row r="37885" spans="20:20" ht="18.75" customHeight="1" x14ac:dyDescent="0.35">
      <c r="T37885" s="246">
        <f t="shared" si="630"/>
        <v>0</v>
      </c>
    </row>
    <row r="37886" spans="20:20" ht="18.75" customHeight="1" x14ac:dyDescent="0.35">
      <c r="T37886" s="246">
        <f t="shared" si="630"/>
        <v>0</v>
      </c>
    </row>
    <row r="37887" spans="20:20" ht="18.75" customHeight="1" x14ac:dyDescent="0.35">
      <c r="T37887" s="246">
        <f t="shared" si="630"/>
        <v>0</v>
      </c>
    </row>
    <row r="37888" spans="20:20" ht="18.75" customHeight="1" x14ac:dyDescent="0.35">
      <c r="T37888" s="246">
        <f t="shared" si="630"/>
        <v>0</v>
      </c>
    </row>
    <row r="37889" spans="20:20" ht="18.75" customHeight="1" x14ac:dyDescent="0.35">
      <c r="T37889" s="246">
        <f t="shared" si="630"/>
        <v>0</v>
      </c>
    </row>
    <row r="37890" spans="20:20" ht="18.75" customHeight="1" x14ac:dyDescent="0.35">
      <c r="T37890" s="246">
        <f t="shared" si="630"/>
        <v>0</v>
      </c>
    </row>
    <row r="37891" spans="20:20" ht="18.75" customHeight="1" x14ac:dyDescent="0.35">
      <c r="T37891" s="246">
        <f t="shared" si="630"/>
        <v>0</v>
      </c>
    </row>
    <row r="37892" spans="20:20" ht="18.75" customHeight="1" x14ac:dyDescent="0.35">
      <c r="T37892" s="246">
        <f t="shared" si="630"/>
        <v>0</v>
      </c>
    </row>
    <row r="37893" spans="20:20" ht="18.75" customHeight="1" x14ac:dyDescent="0.35">
      <c r="T37893" s="246">
        <f t="shared" si="630"/>
        <v>0</v>
      </c>
    </row>
    <row r="37894" spans="20:20" ht="18.75" customHeight="1" x14ac:dyDescent="0.35">
      <c r="T37894" s="246">
        <f t="shared" si="630"/>
        <v>0</v>
      </c>
    </row>
    <row r="37895" spans="20:20" ht="18.75" customHeight="1" x14ac:dyDescent="0.35">
      <c r="T37895" s="246">
        <f t="shared" si="630"/>
        <v>0</v>
      </c>
    </row>
    <row r="37896" spans="20:20" ht="18.75" customHeight="1" x14ac:dyDescent="0.35">
      <c r="T37896" s="246">
        <f t="shared" si="630"/>
        <v>0</v>
      </c>
    </row>
    <row r="37897" spans="20:20" ht="18.75" customHeight="1" x14ac:dyDescent="0.35">
      <c r="T37897" s="246">
        <f t="shared" si="630"/>
        <v>0</v>
      </c>
    </row>
    <row r="37898" spans="20:20" ht="18.75" customHeight="1" x14ac:dyDescent="0.35">
      <c r="T37898" s="246">
        <f t="shared" si="630"/>
        <v>0</v>
      </c>
    </row>
    <row r="37899" spans="20:20" ht="18.75" customHeight="1" x14ac:dyDescent="0.35">
      <c r="T37899" s="246">
        <f t="shared" si="630"/>
        <v>0</v>
      </c>
    </row>
    <row r="37900" spans="20:20" ht="18.75" customHeight="1" x14ac:dyDescent="0.35">
      <c r="T37900" s="246">
        <f t="shared" si="630"/>
        <v>0</v>
      </c>
    </row>
    <row r="37901" spans="20:20" ht="18.75" customHeight="1" x14ac:dyDescent="0.35">
      <c r="T37901" s="246">
        <f t="shared" si="630"/>
        <v>0</v>
      </c>
    </row>
    <row r="37902" spans="20:20" ht="18.75" customHeight="1" x14ac:dyDescent="0.35">
      <c r="T37902" s="246">
        <f t="shared" si="630"/>
        <v>0</v>
      </c>
    </row>
    <row r="37903" spans="20:20" ht="18.75" customHeight="1" x14ac:dyDescent="0.35">
      <c r="T37903" s="246">
        <f t="shared" si="630"/>
        <v>0</v>
      </c>
    </row>
    <row r="37904" spans="20:20" ht="18.75" customHeight="1" x14ac:dyDescent="0.35">
      <c r="T37904" s="246">
        <f t="shared" si="630"/>
        <v>0</v>
      </c>
    </row>
    <row r="37905" spans="20:20" ht="18.75" customHeight="1" x14ac:dyDescent="0.35">
      <c r="T37905" s="246">
        <f t="shared" si="630"/>
        <v>0</v>
      </c>
    </row>
    <row r="37906" spans="20:20" ht="18.75" customHeight="1" x14ac:dyDescent="0.35">
      <c r="T37906" s="246">
        <f t="shared" si="630"/>
        <v>0</v>
      </c>
    </row>
    <row r="37907" spans="20:20" ht="18.75" customHeight="1" x14ac:dyDescent="0.35">
      <c r="T37907" s="246">
        <f t="shared" si="630"/>
        <v>0</v>
      </c>
    </row>
    <row r="37908" spans="20:20" ht="18.75" customHeight="1" x14ac:dyDescent="0.35">
      <c r="T37908" s="246">
        <f t="shared" si="630"/>
        <v>0</v>
      </c>
    </row>
    <row r="37909" spans="20:20" ht="18.75" customHeight="1" x14ac:dyDescent="0.35">
      <c r="T37909" s="246">
        <f t="shared" si="630"/>
        <v>0</v>
      </c>
    </row>
    <row r="37910" spans="20:20" ht="18.75" customHeight="1" x14ac:dyDescent="0.35">
      <c r="T37910" s="246">
        <f t="shared" si="630"/>
        <v>0</v>
      </c>
    </row>
    <row r="37911" spans="20:20" ht="18.75" customHeight="1" x14ac:dyDescent="0.35">
      <c r="T37911" s="246">
        <f t="shared" si="630"/>
        <v>0</v>
      </c>
    </row>
    <row r="37912" spans="20:20" ht="18.75" customHeight="1" x14ac:dyDescent="0.35">
      <c r="T37912" s="246">
        <f t="shared" si="630"/>
        <v>0</v>
      </c>
    </row>
    <row r="37913" spans="20:20" ht="18.75" customHeight="1" x14ac:dyDescent="0.35">
      <c r="T37913" s="246">
        <f t="shared" si="630"/>
        <v>0</v>
      </c>
    </row>
    <row r="37914" spans="20:20" ht="18.75" customHeight="1" x14ac:dyDescent="0.35">
      <c r="T37914" s="246">
        <f t="shared" si="630"/>
        <v>0</v>
      </c>
    </row>
    <row r="37915" spans="20:20" ht="18.75" customHeight="1" x14ac:dyDescent="0.35">
      <c r="T37915" s="246">
        <f t="shared" si="630"/>
        <v>0</v>
      </c>
    </row>
    <row r="37916" spans="20:20" ht="18.75" customHeight="1" x14ac:dyDescent="0.35">
      <c r="T37916" s="246">
        <f t="shared" si="630"/>
        <v>0</v>
      </c>
    </row>
    <row r="37917" spans="20:20" ht="18.75" customHeight="1" x14ac:dyDescent="0.35">
      <c r="T37917" s="246">
        <f t="shared" si="630"/>
        <v>0</v>
      </c>
    </row>
    <row r="37918" spans="20:20" ht="18.75" customHeight="1" x14ac:dyDescent="0.35">
      <c r="T37918" s="246">
        <f t="shared" si="630"/>
        <v>0</v>
      </c>
    </row>
    <row r="37919" spans="20:20" ht="18.75" customHeight="1" x14ac:dyDescent="0.35">
      <c r="T37919" s="246">
        <f t="shared" si="630"/>
        <v>0</v>
      </c>
    </row>
    <row r="37920" spans="20:20" ht="18.75" customHeight="1" x14ac:dyDescent="0.35">
      <c r="T37920" s="246">
        <f t="shared" si="630"/>
        <v>0</v>
      </c>
    </row>
    <row r="37921" spans="20:20" ht="18.75" customHeight="1" x14ac:dyDescent="0.35">
      <c r="T37921" s="246">
        <f t="shared" si="630"/>
        <v>0</v>
      </c>
    </row>
    <row r="37922" spans="20:20" ht="18.75" customHeight="1" x14ac:dyDescent="0.35">
      <c r="T37922" s="246">
        <f t="shared" si="630"/>
        <v>0</v>
      </c>
    </row>
    <row r="37923" spans="20:20" ht="18.75" customHeight="1" x14ac:dyDescent="0.35">
      <c r="T37923" s="246">
        <f t="shared" si="630"/>
        <v>0</v>
      </c>
    </row>
    <row r="37924" spans="20:20" ht="18.75" customHeight="1" x14ac:dyDescent="0.35">
      <c r="T37924" s="246">
        <f t="shared" si="630"/>
        <v>0</v>
      </c>
    </row>
    <row r="37925" spans="20:20" ht="18.75" customHeight="1" x14ac:dyDescent="0.35">
      <c r="T37925" s="246">
        <f t="shared" si="630"/>
        <v>0</v>
      </c>
    </row>
    <row r="37926" spans="20:20" ht="18.75" customHeight="1" x14ac:dyDescent="0.35">
      <c r="T37926" s="246">
        <f t="shared" si="630"/>
        <v>0</v>
      </c>
    </row>
    <row r="37927" spans="20:20" ht="18.75" customHeight="1" x14ac:dyDescent="0.35">
      <c r="T37927" s="246">
        <f t="shared" si="630"/>
        <v>0</v>
      </c>
    </row>
    <row r="37928" spans="20:20" ht="18.75" customHeight="1" x14ac:dyDescent="0.35">
      <c r="T37928" s="246">
        <f t="shared" si="630"/>
        <v>0</v>
      </c>
    </row>
    <row r="37929" spans="20:20" ht="18.75" customHeight="1" x14ac:dyDescent="0.35">
      <c r="T37929" s="246">
        <f t="shared" si="630"/>
        <v>0</v>
      </c>
    </row>
    <row r="37930" spans="20:20" ht="18.75" customHeight="1" x14ac:dyDescent="0.35">
      <c r="T37930" s="246">
        <f t="shared" si="630"/>
        <v>0</v>
      </c>
    </row>
    <row r="37931" spans="20:20" ht="18.75" customHeight="1" x14ac:dyDescent="0.35">
      <c r="T37931" s="246">
        <f t="shared" si="630"/>
        <v>0</v>
      </c>
    </row>
    <row r="37932" spans="20:20" ht="18.75" customHeight="1" x14ac:dyDescent="0.35">
      <c r="T37932" s="246">
        <f t="shared" si="630"/>
        <v>0</v>
      </c>
    </row>
    <row r="37933" spans="20:20" ht="18.75" customHeight="1" x14ac:dyDescent="0.35">
      <c r="T37933" s="246">
        <f t="shared" si="630"/>
        <v>0</v>
      </c>
    </row>
    <row r="37934" spans="20:20" ht="18.75" customHeight="1" x14ac:dyDescent="0.35">
      <c r="T37934" s="246">
        <f t="shared" si="630"/>
        <v>0</v>
      </c>
    </row>
    <row r="37935" spans="20:20" ht="18.75" customHeight="1" x14ac:dyDescent="0.35">
      <c r="T37935" s="246">
        <f t="shared" si="630"/>
        <v>0</v>
      </c>
    </row>
    <row r="37936" spans="20:20" ht="18.75" customHeight="1" x14ac:dyDescent="0.35">
      <c r="T37936" s="246">
        <f t="shared" si="630"/>
        <v>0</v>
      </c>
    </row>
    <row r="37937" spans="20:20" ht="18.75" customHeight="1" x14ac:dyDescent="0.35">
      <c r="T37937" s="246">
        <f t="shared" si="630"/>
        <v>0</v>
      </c>
    </row>
    <row r="37938" spans="20:20" ht="18.75" customHeight="1" x14ac:dyDescent="0.35">
      <c r="T37938" s="246">
        <f t="shared" si="630"/>
        <v>0</v>
      </c>
    </row>
    <row r="37939" spans="20:20" ht="18.75" customHeight="1" x14ac:dyDescent="0.35">
      <c r="T37939" s="246">
        <f t="shared" si="630"/>
        <v>0</v>
      </c>
    </row>
    <row r="37940" spans="20:20" ht="18.75" customHeight="1" x14ac:dyDescent="0.35">
      <c r="T37940" s="246">
        <f t="shared" si="630"/>
        <v>0</v>
      </c>
    </row>
    <row r="37941" spans="20:20" ht="18.75" customHeight="1" x14ac:dyDescent="0.35">
      <c r="T37941" s="246">
        <f t="shared" si="630"/>
        <v>0</v>
      </c>
    </row>
    <row r="37942" spans="20:20" ht="18.75" customHeight="1" x14ac:dyDescent="0.35">
      <c r="T37942" s="246">
        <f t="shared" si="630"/>
        <v>0</v>
      </c>
    </row>
    <row r="37943" spans="20:20" ht="18.75" customHeight="1" x14ac:dyDescent="0.35">
      <c r="T37943" s="246">
        <f t="shared" si="630"/>
        <v>0</v>
      </c>
    </row>
    <row r="37944" spans="20:20" ht="18.75" customHeight="1" x14ac:dyDescent="0.35">
      <c r="T37944" s="246">
        <f t="shared" si="630"/>
        <v>0</v>
      </c>
    </row>
    <row r="37945" spans="20:20" ht="18.75" customHeight="1" x14ac:dyDescent="0.35">
      <c r="T37945" s="246">
        <f t="shared" si="630"/>
        <v>0</v>
      </c>
    </row>
    <row r="37946" spans="20:20" ht="18.75" customHeight="1" x14ac:dyDescent="0.35">
      <c r="T37946" s="246">
        <f t="shared" si="630"/>
        <v>0</v>
      </c>
    </row>
    <row r="37947" spans="20:20" ht="18.75" customHeight="1" x14ac:dyDescent="0.35">
      <c r="T37947" s="246">
        <f t="shared" si="630"/>
        <v>0</v>
      </c>
    </row>
    <row r="37948" spans="20:20" ht="18.75" customHeight="1" x14ac:dyDescent="0.35">
      <c r="T37948" s="246">
        <f t="shared" ref="T37948:T38011" si="631">R37948*0.01</f>
        <v>0</v>
      </c>
    </row>
    <row r="37949" spans="20:20" ht="18.75" customHeight="1" x14ac:dyDescent="0.35">
      <c r="T37949" s="246">
        <f t="shared" si="631"/>
        <v>0</v>
      </c>
    </row>
    <row r="37950" spans="20:20" ht="18.75" customHeight="1" x14ac:dyDescent="0.35">
      <c r="T37950" s="246">
        <f t="shared" si="631"/>
        <v>0</v>
      </c>
    </row>
    <row r="37951" spans="20:20" ht="18.75" customHeight="1" x14ac:dyDescent="0.35">
      <c r="T37951" s="246">
        <f t="shared" si="631"/>
        <v>0</v>
      </c>
    </row>
    <row r="37952" spans="20:20" ht="18.75" customHeight="1" x14ac:dyDescent="0.35">
      <c r="T37952" s="246">
        <f t="shared" si="631"/>
        <v>0</v>
      </c>
    </row>
    <row r="37953" spans="20:20" ht="18.75" customHeight="1" x14ac:dyDescent="0.35">
      <c r="T37953" s="246">
        <f t="shared" si="631"/>
        <v>0</v>
      </c>
    </row>
    <row r="37954" spans="20:20" ht="18.75" customHeight="1" x14ac:dyDescent="0.35">
      <c r="T37954" s="246">
        <f t="shared" si="631"/>
        <v>0</v>
      </c>
    </row>
    <row r="37955" spans="20:20" ht="18.75" customHeight="1" x14ac:dyDescent="0.35">
      <c r="T37955" s="246">
        <f t="shared" si="631"/>
        <v>0</v>
      </c>
    </row>
    <row r="37956" spans="20:20" ht="18.75" customHeight="1" x14ac:dyDescent="0.35">
      <c r="T37956" s="246">
        <f t="shared" si="631"/>
        <v>0</v>
      </c>
    </row>
    <row r="37957" spans="20:20" ht="18.75" customHeight="1" x14ac:dyDescent="0.35">
      <c r="T37957" s="246">
        <f t="shared" si="631"/>
        <v>0</v>
      </c>
    </row>
    <row r="37958" spans="20:20" ht="18.75" customHeight="1" x14ac:dyDescent="0.35">
      <c r="T37958" s="246">
        <f t="shared" si="631"/>
        <v>0</v>
      </c>
    </row>
    <row r="37959" spans="20:20" ht="18.75" customHeight="1" x14ac:dyDescent="0.35">
      <c r="T37959" s="246">
        <f t="shared" si="631"/>
        <v>0</v>
      </c>
    </row>
    <row r="37960" spans="20:20" ht="18.75" customHeight="1" x14ac:dyDescent="0.35">
      <c r="T37960" s="246">
        <f t="shared" si="631"/>
        <v>0</v>
      </c>
    </row>
    <row r="37961" spans="20:20" ht="18.75" customHeight="1" x14ac:dyDescent="0.35">
      <c r="T37961" s="246">
        <f t="shared" si="631"/>
        <v>0</v>
      </c>
    </row>
    <row r="37962" spans="20:20" ht="18.75" customHeight="1" x14ac:dyDescent="0.35">
      <c r="T37962" s="246">
        <f t="shared" si="631"/>
        <v>0</v>
      </c>
    </row>
    <row r="37963" spans="20:20" ht="18.75" customHeight="1" x14ac:dyDescent="0.35">
      <c r="T37963" s="246">
        <f t="shared" si="631"/>
        <v>0</v>
      </c>
    </row>
    <row r="37964" spans="20:20" ht="18.75" customHeight="1" x14ac:dyDescent="0.35">
      <c r="T37964" s="246">
        <f t="shared" si="631"/>
        <v>0</v>
      </c>
    </row>
    <row r="37965" spans="20:20" ht="18.75" customHeight="1" x14ac:dyDescent="0.35">
      <c r="T37965" s="246">
        <f t="shared" si="631"/>
        <v>0</v>
      </c>
    </row>
    <row r="37966" spans="20:20" ht="18.75" customHeight="1" x14ac:dyDescent="0.35">
      <c r="T37966" s="246">
        <f t="shared" si="631"/>
        <v>0</v>
      </c>
    </row>
    <row r="37967" spans="20:20" ht="18.75" customHeight="1" x14ac:dyDescent="0.35">
      <c r="T37967" s="246">
        <f t="shared" si="631"/>
        <v>0</v>
      </c>
    </row>
    <row r="37968" spans="20:20" ht="18.75" customHeight="1" x14ac:dyDescent="0.35">
      <c r="T37968" s="246">
        <f t="shared" si="631"/>
        <v>0</v>
      </c>
    </row>
    <row r="37969" spans="20:20" ht="18.75" customHeight="1" x14ac:dyDescent="0.35">
      <c r="T37969" s="246">
        <f t="shared" si="631"/>
        <v>0</v>
      </c>
    </row>
    <row r="37970" spans="20:20" ht="18.75" customHeight="1" x14ac:dyDescent="0.35">
      <c r="T37970" s="246">
        <f t="shared" si="631"/>
        <v>0</v>
      </c>
    </row>
    <row r="37971" spans="20:20" ht="18.75" customHeight="1" x14ac:dyDescent="0.35">
      <c r="T37971" s="246">
        <f t="shared" si="631"/>
        <v>0</v>
      </c>
    </row>
    <row r="37972" spans="20:20" ht="18.75" customHeight="1" x14ac:dyDescent="0.35">
      <c r="T37972" s="246">
        <f t="shared" si="631"/>
        <v>0</v>
      </c>
    </row>
    <row r="37973" spans="20:20" ht="18.75" customHeight="1" x14ac:dyDescent="0.35">
      <c r="T37973" s="246">
        <f t="shared" si="631"/>
        <v>0</v>
      </c>
    </row>
    <row r="37974" spans="20:20" ht="18.75" customHeight="1" x14ac:dyDescent="0.35">
      <c r="T37974" s="246">
        <f t="shared" si="631"/>
        <v>0</v>
      </c>
    </row>
    <row r="37975" spans="20:20" ht="18.75" customHeight="1" x14ac:dyDescent="0.35">
      <c r="T37975" s="246">
        <f t="shared" si="631"/>
        <v>0</v>
      </c>
    </row>
    <row r="37976" spans="20:20" ht="18.75" customHeight="1" x14ac:dyDescent="0.35">
      <c r="T37976" s="246">
        <f t="shared" si="631"/>
        <v>0</v>
      </c>
    </row>
    <row r="37977" spans="20:20" ht="18.75" customHeight="1" x14ac:dyDescent="0.35">
      <c r="T37977" s="246">
        <f t="shared" si="631"/>
        <v>0</v>
      </c>
    </row>
    <row r="37978" spans="20:20" ht="18.75" customHeight="1" x14ac:dyDescent="0.35">
      <c r="T37978" s="246">
        <f t="shared" si="631"/>
        <v>0</v>
      </c>
    </row>
    <row r="37979" spans="20:20" ht="18.75" customHeight="1" x14ac:dyDescent="0.35">
      <c r="T37979" s="246">
        <f t="shared" si="631"/>
        <v>0</v>
      </c>
    </row>
    <row r="37980" spans="20:20" ht="18.75" customHeight="1" x14ac:dyDescent="0.35">
      <c r="T37980" s="246">
        <f t="shared" si="631"/>
        <v>0</v>
      </c>
    </row>
    <row r="37981" spans="20:20" ht="18.75" customHeight="1" x14ac:dyDescent="0.35">
      <c r="T37981" s="246">
        <f t="shared" si="631"/>
        <v>0</v>
      </c>
    </row>
    <row r="37982" spans="20:20" ht="18.75" customHeight="1" x14ac:dyDescent="0.35">
      <c r="T37982" s="246">
        <f t="shared" si="631"/>
        <v>0</v>
      </c>
    </row>
    <row r="37983" spans="20:20" ht="18.75" customHeight="1" x14ac:dyDescent="0.35">
      <c r="T37983" s="246">
        <f t="shared" si="631"/>
        <v>0</v>
      </c>
    </row>
    <row r="37984" spans="20:20" ht="18.75" customHeight="1" x14ac:dyDescent="0.35">
      <c r="T37984" s="246">
        <f t="shared" si="631"/>
        <v>0</v>
      </c>
    </row>
    <row r="37985" spans="20:20" ht="18.75" customHeight="1" x14ac:dyDescent="0.35">
      <c r="T37985" s="246">
        <f t="shared" si="631"/>
        <v>0</v>
      </c>
    </row>
    <row r="37986" spans="20:20" ht="18.75" customHeight="1" x14ac:dyDescent="0.35">
      <c r="T37986" s="246">
        <f t="shared" si="631"/>
        <v>0</v>
      </c>
    </row>
    <row r="37987" spans="20:20" ht="18.75" customHeight="1" x14ac:dyDescent="0.35">
      <c r="T37987" s="246">
        <f t="shared" si="631"/>
        <v>0</v>
      </c>
    </row>
    <row r="37988" spans="20:20" ht="18.75" customHeight="1" x14ac:dyDescent="0.35">
      <c r="T37988" s="246">
        <f t="shared" si="631"/>
        <v>0</v>
      </c>
    </row>
    <row r="37989" spans="20:20" ht="18.75" customHeight="1" x14ac:dyDescent="0.35">
      <c r="T37989" s="246">
        <f t="shared" si="631"/>
        <v>0</v>
      </c>
    </row>
    <row r="37990" spans="20:20" ht="18.75" customHeight="1" x14ac:dyDescent="0.35">
      <c r="T37990" s="246">
        <f t="shared" si="631"/>
        <v>0</v>
      </c>
    </row>
    <row r="37991" spans="20:20" ht="18.75" customHeight="1" x14ac:dyDescent="0.35">
      <c r="T37991" s="246">
        <f t="shared" si="631"/>
        <v>0</v>
      </c>
    </row>
    <row r="37992" spans="20:20" ht="18.75" customHeight="1" x14ac:dyDescent="0.35">
      <c r="T37992" s="246">
        <f t="shared" si="631"/>
        <v>0</v>
      </c>
    </row>
    <row r="37993" spans="20:20" ht="18.75" customHeight="1" x14ac:dyDescent="0.35">
      <c r="T37993" s="246">
        <f t="shared" si="631"/>
        <v>0</v>
      </c>
    </row>
    <row r="37994" spans="20:20" ht="18.75" customHeight="1" x14ac:dyDescent="0.35">
      <c r="T37994" s="246">
        <f t="shared" si="631"/>
        <v>0</v>
      </c>
    </row>
    <row r="37995" spans="20:20" ht="18.75" customHeight="1" x14ac:dyDescent="0.35">
      <c r="T37995" s="246">
        <f t="shared" si="631"/>
        <v>0</v>
      </c>
    </row>
    <row r="37996" spans="20:20" ht="18.75" customHeight="1" x14ac:dyDescent="0.35">
      <c r="T37996" s="246">
        <f t="shared" si="631"/>
        <v>0</v>
      </c>
    </row>
    <row r="37997" spans="20:20" ht="18.75" customHeight="1" x14ac:dyDescent="0.35">
      <c r="T37997" s="246">
        <f t="shared" si="631"/>
        <v>0</v>
      </c>
    </row>
    <row r="37998" spans="20:20" ht="18.75" customHeight="1" x14ac:dyDescent="0.35">
      <c r="T37998" s="246">
        <f t="shared" si="631"/>
        <v>0</v>
      </c>
    </row>
    <row r="37999" spans="20:20" ht="18.75" customHeight="1" x14ac:dyDescent="0.35">
      <c r="T37999" s="246">
        <f t="shared" si="631"/>
        <v>0</v>
      </c>
    </row>
    <row r="38000" spans="20:20" ht="18.75" customHeight="1" x14ac:dyDescent="0.35">
      <c r="T38000" s="246">
        <f t="shared" si="631"/>
        <v>0</v>
      </c>
    </row>
    <row r="38001" spans="20:20" ht="18.75" customHeight="1" x14ac:dyDescent="0.35">
      <c r="T38001" s="246">
        <f t="shared" si="631"/>
        <v>0</v>
      </c>
    </row>
    <row r="38002" spans="20:20" ht="18.75" customHeight="1" x14ac:dyDescent="0.35">
      <c r="T38002" s="246">
        <f t="shared" si="631"/>
        <v>0</v>
      </c>
    </row>
    <row r="38003" spans="20:20" ht="18.75" customHeight="1" x14ac:dyDescent="0.35">
      <c r="T38003" s="246">
        <f t="shared" si="631"/>
        <v>0</v>
      </c>
    </row>
    <row r="38004" spans="20:20" ht="18.75" customHeight="1" x14ac:dyDescent="0.35">
      <c r="T38004" s="246">
        <f t="shared" si="631"/>
        <v>0</v>
      </c>
    </row>
    <row r="38005" spans="20:20" ht="18.75" customHeight="1" x14ac:dyDescent="0.35">
      <c r="T38005" s="246">
        <f t="shared" si="631"/>
        <v>0</v>
      </c>
    </row>
    <row r="38006" spans="20:20" ht="18.75" customHeight="1" x14ac:dyDescent="0.35">
      <c r="T38006" s="246">
        <f t="shared" si="631"/>
        <v>0</v>
      </c>
    </row>
    <row r="38007" spans="20:20" ht="18.75" customHeight="1" x14ac:dyDescent="0.35">
      <c r="T38007" s="246">
        <f t="shared" si="631"/>
        <v>0</v>
      </c>
    </row>
    <row r="38008" spans="20:20" ht="18.75" customHeight="1" x14ac:dyDescent="0.35">
      <c r="T38008" s="246">
        <f t="shared" si="631"/>
        <v>0</v>
      </c>
    </row>
    <row r="38009" spans="20:20" ht="18.75" customHeight="1" x14ac:dyDescent="0.35">
      <c r="T38009" s="246">
        <f t="shared" si="631"/>
        <v>0</v>
      </c>
    </row>
    <row r="38010" spans="20:20" ht="18.75" customHeight="1" x14ac:dyDescent="0.35">
      <c r="T38010" s="246">
        <f t="shared" si="631"/>
        <v>0</v>
      </c>
    </row>
    <row r="38011" spans="20:20" ht="18.75" customHeight="1" x14ac:dyDescent="0.35">
      <c r="T38011" s="246">
        <f t="shared" si="631"/>
        <v>0</v>
      </c>
    </row>
    <row r="38012" spans="20:20" ht="18.75" customHeight="1" x14ac:dyDescent="0.35">
      <c r="T38012" s="246">
        <f t="shared" ref="T38012:T38075" si="632">R38012*0.01</f>
        <v>0</v>
      </c>
    </row>
    <row r="38013" spans="20:20" ht="18.75" customHeight="1" x14ac:dyDescent="0.35">
      <c r="T38013" s="246">
        <f t="shared" si="632"/>
        <v>0</v>
      </c>
    </row>
    <row r="38014" spans="20:20" ht="18.75" customHeight="1" x14ac:dyDescent="0.35">
      <c r="T38014" s="246">
        <f t="shared" si="632"/>
        <v>0</v>
      </c>
    </row>
    <row r="38015" spans="20:20" ht="18.75" customHeight="1" x14ac:dyDescent="0.35">
      <c r="T38015" s="246">
        <f t="shared" si="632"/>
        <v>0</v>
      </c>
    </row>
    <row r="38016" spans="20:20" ht="18.75" customHeight="1" x14ac:dyDescent="0.35">
      <c r="T38016" s="246">
        <f t="shared" si="632"/>
        <v>0</v>
      </c>
    </row>
    <row r="38017" spans="20:20" ht="18.75" customHeight="1" x14ac:dyDescent="0.35">
      <c r="T38017" s="246">
        <f t="shared" si="632"/>
        <v>0</v>
      </c>
    </row>
    <row r="38018" spans="20:20" ht="18.75" customHeight="1" x14ac:dyDescent="0.35">
      <c r="T38018" s="246">
        <f t="shared" si="632"/>
        <v>0</v>
      </c>
    </row>
    <row r="38019" spans="20:20" ht="18.75" customHeight="1" x14ac:dyDescent="0.35">
      <c r="T38019" s="246">
        <f t="shared" si="632"/>
        <v>0</v>
      </c>
    </row>
    <row r="38020" spans="20:20" ht="18.75" customHeight="1" x14ac:dyDescent="0.35">
      <c r="T38020" s="246">
        <f t="shared" si="632"/>
        <v>0</v>
      </c>
    </row>
    <row r="38021" spans="20:20" ht="18.75" customHeight="1" x14ac:dyDescent="0.35">
      <c r="T38021" s="246">
        <f t="shared" si="632"/>
        <v>0</v>
      </c>
    </row>
    <row r="38022" spans="20:20" ht="18.75" customHeight="1" x14ac:dyDescent="0.35">
      <c r="T38022" s="246">
        <f t="shared" si="632"/>
        <v>0</v>
      </c>
    </row>
    <row r="38023" spans="20:20" ht="18.75" customHeight="1" x14ac:dyDescent="0.35">
      <c r="T38023" s="246">
        <f t="shared" si="632"/>
        <v>0</v>
      </c>
    </row>
    <row r="38024" spans="20:20" ht="18.75" customHeight="1" x14ac:dyDescent="0.35">
      <c r="T38024" s="246">
        <f t="shared" si="632"/>
        <v>0</v>
      </c>
    </row>
    <row r="38025" spans="20:20" ht="18.75" customHeight="1" x14ac:dyDescent="0.35">
      <c r="T38025" s="246">
        <f t="shared" si="632"/>
        <v>0</v>
      </c>
    </row>
    <row r="38026" spans="20:20" ht="18.75" customHeight="1" x14ac:dyDescent="0.35">
      <c r="T38026" s="246">
        <f t="shared" si="632"/>
        <v>0</v>
      </c>
    </row>
    <row r="38027" spans="20:20" ht="18.75" customHeight="1" x14ac:dyDescent="0.35">
      <c r="T38027" s="246">
        <f t="shared" si="632"/>
        <v>0</v>
      </c>
    </row>
    <row r="38028" spans="20:20" ht="18.75" customHeight="1" x14ac:dyDescent="0.35">
      <c r="T38028" s="246">
        <f t="shared" si="632"/>
        <v>0</v>
      </c>
    </row>
    <row r="38029" spans="20:20" ht="18.75" customHeight="1" x14ac:dyDescent="0.35">
      <c r="T38029" s="246">
        <f t="shared" si="632"/>
        <v>0</v>
      </c>
    </row>
    <row r="38030" spans="20:20" ht="18.75" customHeight="1" x14ac:dyDescent="0.35">
      <c r="T38030" s="246">
        <f t="shared" si="632"/>
        <v>0</v>
      </c>
    </row>
    <row r="38031" spans="20:20" ht="18.75" customHeight="1" x14ac:dyDescent="0.35">
      <c r="T38031" s="246">
        <f t="shared" si="632"/>
        <v>0</v>
      </c>
    </row>
    <row r="38032" spans="20:20" ht="18.75" customHeight="1" x14ac:dyDescent="0.35">
      <c r="T38032" s="246">
        <f t="shared" si="632"/>
        <v>0</v>
      </c>
    </row>
    <row r="38033" spans="20:20" ht="18.75" customHeight="1" x14ac:dyDescent="0.35">
      <c r="T38033" s="246">
        <f t="shared" si="632"/>
        <v>0</v>
      </c>
    </row>
    <row r="38034" spans="20:20" ht="18.75" customHeight="1" x14ac:dyDescent="0.35">
      <c r="T38034" s="246">
        <f t="shared" si="632"/>
        <v>0</v>
      </c>
    </row>
    <row r="38035" spans="20:20" ht="18.75" customHeight="1" x14ac:dyDescent="0.35">
      <c r="T38035" s="246">
        <f t="shared" si="632"/>
        <v>0</v>
      </c>
    </row>
    <row r="38036" spans="20:20" ht="18.75" customHeight="1" x14ac:dyDescent="0.35">
      <c r="T38036" s="246">
        <f t="shared" si="632"/>
        <v>0</v>
      </c>
    </row>
    <row r="38037" spans="20:20" ht="18.75" customHeight="1" x14ac:dyDescent="0.35">
      <c r="T38037" s="246">
        <f t="shared" si="632"/>
        <v>0</v>
      </c>
    </row>
    <row r="38038" spans="20:20" ht="18.75" customHeight="1" x14ac:dyDescent="0.35">
      <c r="T38038" s="246">
        <f t="shared" si="632"/>
        <v>0</v>
      </c>
    </row>
    <row r="38039" spans="20:20" ht="18.75" customHeight="1" x14ac:dyDescent="0.35">
      <c r="T38039" s="246">
        <f t="shared" si="632"/>
        <v>0</v>
      </c>
    </row>
    <row r="38040" spans="20:20" ht="18.75" customHeight="1" x14ac:dyDescent="0.35">
      <c r="T38040" s="246">
        <f t="shared" si="632"/>
        <v>0</v>
      </c>
    </row>
    <row r="38041" spans="20:20" ht="18.75" customHeight="1" x14ac:dyDescent="0.35">
      <c r="T38041" s="246">
        <f t="shared" si="632"/>
        <v>0</v>
      </c>
    </row>
    <row r="38042" spans="20:20" ht="18.75" customHeight="1" x14ac:dyDescent="0.35">
      <c r="T38042" s="246">
        <f t="shared" si="632"/>
        <v>0</v>
      </c>
    </row>
    <row r="38043" spans="20:20" ht="18.75" customHeight="1" x14ac:dyDescent="0.35">
      <c r="T38043" s="246">
        <f t="shared" si="632"/>
        <v>0</v>
      </c>
    </row>
    <row r="38044" spans="20:20" ht="18.75" customHeight="1" x14ac:dyDescent="0.35">
      <c r="T38044" s="246">
        <f t="shared" si="632"/>
        <v>0</v>
      </c>
    </row>
    <row r="38045" spans="20:20" ht="18.75" customHeight="1" x14ac:dyDescent="0.35">
      <c r="T38045" s="246">
        <f t="shared" si="632"/>
        <v>0</v>
      </c>
    </row>
    <row r="38046" spans="20:20" ht="18.75" customHeight="1" x14ac:dyDescent="0.35">
      <c r="T38046" s="246">
        <f t="shared" si="632"/>
        <v>0</v>
      </c>
    </row>
    <row r="38047" spans="20:20" ht="18.75" customHeight="1" x14ac:dyDescent="0.35">
      <c r="T38047" s="246">
        <f t="shared" si="632"/>
        <v>0</v>
      </c>
    </row>
    <row r="38048" spans="20:20" ht="18.75" customHeight="1" x14ac:dyDescent="0.35">
      <c r="T38048" s="246">
        <f t="shared" si="632"/>
        <v>0</v>
      </c>
    </row>
    <row r="38049" spans="20:20" ht="18.75" customHeight="1" x14ac:dyDescent="0.35">
      <c r="T38049" s="246">
        <f t="shared" si="632"/>
        <v>0</v>
      </c>
    </row>
    <row r="38050" spans="20:20" ht="18.75" customHeight="1" x14ac:dyDescent="0.35">
      <c r="T38050" s="246">
        <f t="shared" si="632"/>
        <v>0</v>
      </c>
    </row>
    <row r="38051" spans="20:20" ht="18.75" customHeight="1" x14ac:dyDescent="0.35">
      <c r="T38051" s="246">
        <f t="shared" si="632"/>
        <v>0</v>
      </c>
    </row>
    <row r="38052" spans="20:20" ht="18.75" customHeight="1" x14ac:dyDescent="0.35">
      <c r="T38052" s="246">
        <f t="shared" si="632"/>
        <v>0</v>
      </c>
    </row>
    <row r="38053" spans="20:20" ht="18.75" customHeight="1" x14ac:dyDescent="0.35">
      <c r="T38053" s="246">
        <f t="shared" si="632"/>
        <v>0</v>
      </c>
    </row>
    <row r="38054" spans="20:20" ht="18.75" customHeight="1" x14ac:dyDescent="0.35">
      <c r="T38054" s="246">
        <f t="shared" si="632"/>
        <v>0</v>
      </c>
    </row>
    <row r="38055" spans="20:20" ht="18.75" customHeight="1" x14ac:dyDescent="0.35">
      <c r="T38055" s="246">
        <f t="shared" si="632"/>
        <v>0</v>
      </c>
    </row>
    <row r="38056" spans="20:20" ht="18.75" customHeight="1" x14ac:dyDescent="0.35">
      <c r="T38056" s="246">
        <f t="shared" si="632"/>
        <v>0</v>
      </c>
    </row>
    <row r="38057" spans="20:20" ht="18.75" customHeight="1" x14ac:dyDescent="0.35">
      <c r="T38057" s="246">
        <f t="shared" si="632"/>
        <v>0</v>
      </c>
    </row>
    <row r="38058" spans="20:20" ht="18.75" customHeight="1" x14ac:dyDescent="0.35">
      <c r="T38058" s="246">
        <f t="shared" si="632"/>
        <v>0</v>
      </c>
    </row>
    <row r="38059" spans="20:20" ht="18.75" customHeight="1" x14ac:dyDescent="0.35">
      <c r="T38059" s="246">
        <f t="shared" si="632"/>
        <v>0</v>
      </c>
    </row>
    <row r="38060" spans="20:20" ht="18.75" customHeight="1" x14ac:dyDescent="0.35">
      <c r="T38060" s="246">
        <f t="shared" si="632"/>
        <v>0</v>
      </c>
    </row>
    <row r="38061" spans="20:20" ht="18.75" customHeight="1" x14ac:dyDescent="0.35">
      <c r="T38061" s="246">
        <f t="shared" si="632"/>
        <v>0</v>
      </c>
    </row>
    <row r="38062" spans="20:20" ht="18.75" customHeight="1" x14ac:dyDescent="0.35">
      <c r="T38062" s="246">
        <f t="shared" si="632"/>
        <v>0</v>
      </c>
    </row>
    <row r="38063" spans="20:20" ht="18.75" customHeight="1" x14ac:dyDescent="0.35">
      <c r="T38063" s="246">
        <f t="shared" si="632"/>
        <v>0</v>
      </c>
    </row>
    <row r="38064" spans="20:20" ht="18.75" customHeight="1" x14ac:dyDescent="0.35">
      <c r="T38064" s="246">
        <f t="shared" si="632"/>
        <v>0</v>
      </c>
    </row>
    <row r="38065" spans="20:20" ht="18.75" customHeight="1" x14ac:dyDescent="0.35">
      <c r="T38065" s="246">
        <f t="shared" si="632"/>
        <v>0</v>
      </c>
    </row>
    <row r="38066" spans="20:20" ht="18.75" customHeight="1" x14ac:dyDescent="0.35">
      <c r="T38066" s="246">
        <f t="shared" si="632"/>
        <v>0</v>
      </c>
    </row>
    <row r="38067" spans="20:20" ht="18.75" customHeight="1" x14ac:dyDescent="0.35">
      <c r="T38067" s="246">
        <f t="shared" si="632"/>
        <v>0</v>
      </c>
    </row>
    <row r="38068" spans="20:20" ht="18.75" customHeight="1" x14ac:dyDescent="0.35">
      <c r="T38068" s="246">
        <f t="shared" si="632"/>
        <v>0</v>
      </c>
    </row>
    <row r="38069" spans="20:20" ht="18.75" customHeight="1" x14ac:dyDescent="0.35">
      <c r="T38069" s="246">
        <f t="shared" si="632"/>
        <v>0</v>
      </c>
    </row>
    <row r="38070" spans="20:20" ht="18.75" customHeight="1" x14ac:dyDescent="0.35">
      <c r="T38070" s="246">
        <f t="shared" si="632"/>
        <v>0</v>
      </c>
    </row>
    <row r="38071" spans="20:20" ht="18.75" customHeight="1" x14ac:dyDescent="0.35">
      <c r="T38071" s="246">
        <f t="shared" si="632"/>
        <v>0</v>
      </c>
    </row>
    <row r="38072" spans="20:20" ht="18.75" customHeight="1" x14ac:dyDescent="0.35">
      <c r="T38072" s="246">
        <f t="shared" si="632"/>
        <v>0</v>
      </c>
    </row>
    <row r="38073" spans="20:20" ht="18.75" customHeight="1" x14ac:dyDescent="0.35">
      <c r="T38073" s="246">
        <f t="shared" si="632"/>
        <v>0</v>
      </c>
    </row>
    <row r="38074" spans="20:20" ht="18.75" customHeight="1" x14ac:dyDescent="0.35">
      <c r="T38074" s="246">
        <f t="shared" si="632"/>
        <v>0</v>
      </c>
    </row>
    <row r="38075" spans="20:20" ht="18.75" customHeight="1" x14ac:dyDescent="0.35">
      <c r="T38075" s="246">
        <f t="shared" si="632"/>
        <v>0</v>
      </c>
    </row>
    <row r="38076" spans="20:20" ht="18.75" customHeight="1" x14ac:dyDescent="0.35">
      <c r="T38076" s="246">
        <f t="shared" ref="T38076:T38139" si="633">R38076*0.01</f>
        <v>0</v>
      </c>
    </row>
    <row r="38077" spans="20:20" ht="18.75" customHeight="1" x14ac:dyDescent="0.35">
      <c r="T38077" s="246">
        <f t="shared" si="633"/>
        <v>0</v>
      </c>
    </row>
    <row r="38078" spans="20:20" ht="18.75" customHeight="1" x14ac:dyDescent="0.35">
      <c r="T38078" s="246">
        <f t="shared" si="633"/>
        <v>0</v>
      </c>
    </row>
    <row r="38079" spans="20:20" ht="18.75" customHeight="1" x14ac:dyDescent="0.35">
      <c r="T38079" s="246">
        <f t="shared" si="633"/>
        <v>0</v>
      </c>
    </row>
    <row r="38080" spans="20:20" ht="18.75" customHeight="1" x14ac:dyDescent="0.35">
      <c r="T38080" s="246">
        <f t="shared" si="633"/>
        <v>0</v>
      </c>
    </row>
    <row r="38081" spans="20:20" ht="18.75" customHeight="1" x14ac:dyDescent="0.35">
      <c r="T38081" s="246">
        <f t="shared" si="633"/>
        <v>0</v>
      </c>
    </row>
    <row r="38082" spans="20:20" ht="18.75" customHeight="1" x14ac:dyDescent="0.35">
      <c r="T38082" s="246">
        <f t="shared" si="633"/>
        <v>0</v>
      </c>
    </row>
    <row r="38083" spans="20:20" ht="18.75" customHeight="1" x14ac:dyDescent="0.35">
      <c r="T38083" s="246">
        <f t="shared" si="633"/>
        <v>0</v>
      </c>
    </row>
    <row r="38084" spans="20:20" ht="18.75" customHeight="1" x14ac:dyDescent="0.35">
      <c r="T38084" s="246">
        <f t="shared" si="633"/>
        <v>0</v>
      </c>
    </row>
    <row r="38085" spans="20:20" ht="18.75" customHeight="1" x14ac:dyDescent="0.35">
      <c r="T38085" s="246">
        <f t="shared" si="633"/>
        <v>0</v>
      </c>
    </row>
    <row r="38086" spans="20:20" ht="18.75" customHeight="1" x14ac:dyDescent="0.35">
      <c r="T38086" s="246">
        <f t="shared" si="633"/>
        <v>0</v>
      </c>
    </row>
    <row r="38087" spans="20:20" ht="18.75" customHeight="1" x14ac:dyDescent="0.35">
      <c r="T38087" s="246">
        <f t="shared" si="633"/>
        <v>0</v>
      </c>
    </row>
    <row r="38088" spans="20:20" ht="18.75" customHeight="1" x14ac:dyDescent="0.35">
      <c r="T38088" s="246">
        <f t="shared" si="633"/>
        <v>0</v>
      </c>
    </row>
    <row r="38089" spans="20:20" ht="18.75" customHeight="1" x14ac:dyDescent="0.35">
      <c r="T38089" s="246">
        <f t="shared" si="633"/>
        <v>0</v>
      </c>
    </row>
    <row r="38090" spans="20:20" ht="18.75" customHeight="1" x14ac:dyDescent="0.35">
      <c r="T38090" s="246">
        <f t="shared" si="633"/>
        <v>0</v>
      </c>
    </row>
    <row r="38091" spans="20:20" ht="18.75" customHeight="1" x14ac:dyDescent="0.35">
      <c r="T38091" s="246">
        <f t="shared" si="633"/>
        <v>0</v>
      </c>
    </row>
    <row r="38092" spans="20:20" ht="18.75" customHeight="1" x14ac:dyDescent="0.35">
      <c r="T38092" s="246">
        <f t="shared" si="633"/>
        <v>0</v>
      </c>
    </row>
    <row r="38093" spans="20:20" ht="18.75" customHeight="1" x14ac:dyDescent="0.35">
      <c r="T38093" s="246">
        <f t="shared" si="633"/>
        <v>0</v>
      </c>
    </row>
    <row r="38094" spans="20:20" ht="18.75" customHeight="1" x14ac:dyDescent="0.35">
      <c r="T38094" s="246">
        <f t="shared" si="633"/>
        <v>0</v>
      </c>
    </row>
    <row r="38095" spans="20:20" ht="18.75" customHeight="1" x14ac:dyDescent="0.35">
      <c r="T38095" s="246">
        <f t="shared" si="633"/>
        <v>0</v>
      </c>
    </row>
    <row r="38096" spans="20:20" ht="18.75" customHeight="1" x14ac:dyDescent="0.35">
      <c r="T38096" s="246">
        <f t="shared" si="633"/>
        <v>0</v>
      </c>
    </row>
    <row r="38097" spans="20:20" ht="18.75" customHeight="1" x14ac:dyDescent="0.35">
      <c r="T38097" s="246">
        <f t="shared" si="633"/>
        <v>0</v>
      </c>
    </row>
    <row r="38098" spans="20:20" ht="18.75" customHeight="1" x14ac:dyDescent="0.35">
      <c r="T38098" s="246">
        <f t="shared" si="633"/>
        <v>0</v>
      </c>
    </row>
    <row r="38099" spans="20:20" ht="18.75" customHeight="1" x14ac:dyDescent="0.35">
      <c r="T38099" s="246">
        <f t="shared" si="633"/>
        <v>0</v>
      </c>
    </row>
    <row r="38100" spans="20:20" ht="18.75" customHeight="1" x14ac:dyDescent="0.35">
      <c r="T38100" s="246">
        <f t="shared" si="633"/>
        <v>0</v>
      </c>
    </row>
    <row r="38101" spans="20:20" ht="18.75" customHeight="1" x14ac:dyDescent="0.35">
      <c r="T38101" s="246">
        <f t="shared" si="633"/>
        <v>0</v>
      </c>
    </row>
    <row r="38102" spans="20:20" ht="18.75" customHeight="1" x14ac:dyDescent="0.35">
      <c r="T38102" s="246">
        <f t="shared" si="633"/>
        <v>0</v>
      </c>
    </row>
    <row r="38103" spans="20:20" ht="18.75" customHeight="1" x14ac:dyDescent="0.35">
      <c r="T38103" s="246">
        <f t="shared" si="633"/>
        <v>0</v>
      </c>
    </row>
    <row r="38104" spans="20:20" ht="18.75" customHeight="1" x14ac:dyDescent="0.35">
      <c r="T38104" s="246">
        <f t="shared" si="633"/>
        <v>0</v>
      </c>
    </row>
    <row r="38105" spans="20:20" ht="18.75" customHeight="1" x14ac:dyDescent="0.35">
      <c r="T38105" s="246">
        <f t="shared" si="633"/>
        <v>0</v>
      </c>
    </row>
    <row r="38106" spans="20:20" ht="18.75" customHeight="1" x14ac:dyDescent="0.35">
      <c r="T38106" s="246">
        <f t="shared" si="633"/>
        <v>0</v>
      </c>
    </row>
    <row r="38107" spans="20:20" ht="18.75" customHeight="1" x14ac:dyDescent="0.35">
      <c r="T38107" s="246">
        <f t="shared" si="633"/>
        <v>0</v>
      </c>
    </row>
    <row r="38108" spans="20:20" ht="18.75" customHeight="1" x14ac:dyDescent="0.35">
      <c r="T38108" s="246">
        <f t="shared" si="633"/>
        <v>0</v>
      </c>
    </row>
    <row r="38109" spans="20:20" ht="18.75" customHeight="1" x14ac:dyDescent="0.35">
      <c r="T38109" s="246">
        <f t="shared" si="633"/>
        <v>0</v>
      </c>
    </row>
    <row r="38110" spans="20:20" ht="18.75" customHeight="1" x14ac:dyDescent="0.35">
      <c r="T38110" s="246">
        <f t="shared" si="633"/>
        <v>0</v>
      </c>
    </row>
    <row r="38111" spans="20:20" ht="18.75" customHeight="1" x14ac:dyDescent="0.35">
      <c r="T38111" s="246">
        <f t="shared" si="633"/>
        <v>0</v>
      </c>
    </row>
    <row r="38112" spans="20:20" ht="18.75" customHeight="1" x14ac:dyDescent="0.35">
      <c r="T38112" s="246">
        <f t="shared" si="633"/>
        <v>0</v>
      </c>
    </row>
    <row r="38113" spans="20:20" ht="18.75" customHeight="1" x14ac:dyDescent="0.35">
      <c r="T38113" s="246">
        <f t="shared" si="633"/>
        <v>0</v>
      </c>
    </row>
    <row r="38114" spans="20:20" ht="18.75" customHeight="1" x14ac:dyDescent="0.35">
      <c r="T38114" s="246">
        <f t="shared" si="633"/>
        <v>0</v>
      </c>
    </row>
    <row r="38115" spans="20:20" ht="18.75" customHeight="1" x14ac:dyDescent="0.35">
      <c r="T38115" s="246">
        <f t="shared" si="633"/>
        <v>0</v>
      </c>
    </row>
    <row r="38116" spans="20:20" ht="18.75" customHeight="1" x14ac:dyDescent="0.35">
      <c r="T38116" s="246">
        <f t="shared" si="633"/>
        <v>0</v>
      </c>
    </row>
    <row r="38117" spans="20:20" ht="18.75" customHeight="1" x14ac:dyDescent="0.35">
      <c r="T38117" s="246">
        <f t="shared" si="633"/>
        <v>0</v>
      </c>
    </row>
    <row r="38118" spans="20:20" ht="18.75" customHeight="1" x14ac:dyDescent="0.35">
      <c r="T38118" s="246">
        <f t="shared" si="633"/>
        <v>0</v>
      </c>
    </row>
    <row r="38119" spans="20:20" ht="18.75" customHeight="1" x14ac:dyDescent="0.35">
      <c r="T38119" s="246">
        <f t="shared" si="633"/>
        <v>0</v>
      </c>
    </row>
    <row r="38120" spans="20:20" ht="18.75" customHeight="1" x14ac:dyDescent="0.35">
      <c r="T38120" s="246">
        <f t="shared" si="633"/>
        <v>0</v>
      </c>
    </row>
    <row r="38121" spans="20:20" ht="18.75" customHeight="1" x14ac:dyDescent="0.35">
      <c r="T38121" s="246">
        <f t="shared" si="633"/>
        <v>0</v>
      </c>
    </row>
    <row r="38122" spans="20:20" ht="18.75" customHeight="1" x14ac:dyDescent="0.35">
      <c r="T38122" s="246">
        <f t="shared" si="633"/>
        <v>0</v>
      </c>
    </row>
    <row r="38123" spans="20:20" ht="18.75" customHeight="1" x14ac:dyDescent="0.35">
      <c r="T38123" s="246">
        <f t="shared" si="633"/>
        <v>0</v>
      </c>
    </row>
    <row r="38124" spans="20:20" ht="18.75" customHeight="1" x14ac:dyDescent="0.35">
      <c r="T38124" s="246">
        <f t="shared" si="633"/>
        <v>0</v>
      </c>
    </row>
    <row r="38125" spans="20:20" ht="18.75" customHeight="1" x14ac:dyDescent="0.35">
      <c r="T38125" s="246">
        <f t="shared" si="633"/>
        <v>0</v>
      </c>
    </row>
    <row r="38126" spans="20:20" ht="18.75" customHeight="1" x14ac:dyDescent="0.35">
      <c r="T38126" s="246">
        <f t="shared" si="633"/>
        <v>0</v>
      </c>
    </row>
    <row r="38127" spans="20:20" ht="18.75" customHeight="1" x14ac:dyDescent="0.35">
      <c r="T38127" s="246">
        <f t="shared" si="633"/>
        <v>0</v>
      </c>
    </row>
    <row r="38128" spans="20:20" ht="18.75" customHeight="1" x14ac:dyDescent="0.35">
      <c r="T38128" s="246">
        <f t="shared" si="633"/>
        <v>0</v>
      </c>
    </row>
    <row r="38129" spans="20:20" ht="18.75" customHeight="1" x14ac:dyDescent="0.35">
      <c r="T38129" s="246">
        <f t="shared" si="633"/>
        <v>0</v>
      </c>
    </row>
    <row r="38130" spans="20:20" ht="18.75" customHeight="1" x14ac:dyDescent="0.35">
      <c r="T38130" s="246">
        <f t="shared" si="633"/>
        <v>0</v>
      </c>
    </row>
    <row r="38131" spans="20:20" ht="18.75" customHeight="1" x14ac:dyDescent="0.35">
      <c r="T38131" s="246">
        <f t="shared" si="633"/>
        <v>0</v>
      </c>
    </row>
    <row r="38132" spans="20:20" ht="18.75" customHeight="1" x14ac:dyDescent="0.35">
      <c r="T38132" s="246">
        <f t="shared" si="633"/>
        <v>0</v>
      </c>
    </row>
    <row r="38133" spans="20:20" ht="18.75" customHeight="1" x14ac:dyDescent="0.35">
      <c r="T38133" s="246">
        <f t="shared" si="633"/>
        <v>0</v>
      </c>
    </row>
    <row r="38134" spans="20:20" ht="18.75" customHeight="1" x14ac:dyDescent="0.35">
      <c r="T38134" s="246">
        <f t="shared" si="633"/>
        <v>0</v>
      </c>
    </row>
    <row r="38135" spans="20:20" ht="18.75" customHeight="1" x14ac:dyDescent="0.35">
      <c r="T38135" s="246">
        <f t="shared" si="633"/>
        <v>0</v>
      </c>
    </row>
    <row r="38136" spans="20:20" ht="18.75" customHeight="1" x14ac:dyDescent="0.35">
      <c r="T38136" s="246">
        <f t="shared" si="633"/>
        <v>0</v>
      </c>
    </row>
    <row r="38137" spans="20:20" ht="18.75" customHeight="1" x14ac:dyDescent="0.35">
      <c r="T38137" s="246">
        <f t="shared" si="633"/>
        <v>0</v>
      </c>
    </row>
    <row r="38138" spans="20:20" ht="18.75" customHeight="1" x14ac:dyDescent="0.35">
      <c r="T38138" s="246">
        <f t="shared" si="633"/>
        <v>0</v>
      </c>
    </row>
    <row r="38139" spans="20:20" ht="18.75" customHeight="1" x14ac:dyDescent="0.35">
      <c r="T38139" s="246">
        <f t="shared" si="633"/>
        <v>0</v>
      </c>
    </row>
    <row r="38140" spans="20:20" ht="18.75" customHeight="1" x14ac:dyDescent="0.35">
      <c r="T38140" s="246">
        <f t="shared" ref="T38140:T38203" si="634">R38140*0.01</f>
        <v>0</v>
      </c>
    </row>
    <row r="38141" spans="20:20" ht="18.75" customHeight="1" x14ac:dyDescent="0.35">
      <c r="T38141" s="246">
        <f t="shared" si="634"/>
        <v>0</v>
      </c>
    </row>
    <row r="38142" spans="20:20" ht="18.75" customHeight="1" x14ac:dyDescent="0.35">
      <c r="T38142" s="246">
        <f t="shared" si="634"/>
        <v>0</v>
      </c>
    </row>
    <row r="38143" spans="20:20" ht="18.75" customHeight="1" x14ac:dyDescent="0.35">
      <c r="T38143" s="246">
        <f t="shared" si="634"/>
        <v>0</v>
      </c>
    </row>
    <row r="38144" spans="20:20" ht="18.75" customHeight="1" x14ac:dyDescent="0.35">
      <c r="T38144" s="246">
        <f t="shared" si="634"/>
        <v>0</v>
      </c>
    </row>
    <row r="38145" spans="20:20" ht="18.75" customHeight="1" x14ac:dyDescent="0.35">
      <c r="T38145" s="246">
        <f t="shared" si="634"/>
        <v>0</v>
      </c>
    </row>
    <row r="38146" spans="20:20" ht="18.75" customHeight="1" x14ac:dyDescent="0.35">
      <c r="T38146" s="246">
        <f t="shared" si="634"/>
        <v>0</v>
      </c>
    </row>
    <row r="38147" spans="20:20" ht="18.75" customHeight="1" x14ac:dyDescent="0.35">
      <c r="T38147" s="246">
        <f t="shared" si="634"/>
        <v>0</v>
      </c>
    </row>
    <row r="38148" spans="20:20" ht="18.75" customHeight="1" x14ac:dyDescent="0.35">
      <c r="T38148" s="246">
        <f t="shared" si="634"/>
        <v>0</v>
      </c>
    </row>
    <row r="38149" spans="20:20" ht="18.75" customHeight="1" x14ac:dyDescent="0.35">
      <c r="T38149" s="246">
        <f t="shared" si="634"/>
        <v>0</v>
      </c>
    </row>
    <row r="38150" spans="20:20" ht="18.75" customHeight="1" x14ac:dyDescent="0.35">
      <c r="T38150" s="246">
        <f t="shared" si="634"/>
        <v>0</v>
      </c>
    </row>
    <row r="38151" spans="20:20" ht="18.75" customHeight="1" x14ac:dyDescent="0.35">
      <c r="T38151" s="246">
        <f t="shared" si="634"/>
        <v>0</v>
      </c>
    </row>
    <row r="38152" spans="20:20" ht="18.75" customHeight="1" x14ac:dyDescent="0.35">
      <c r="T38152" s="246">
        <f t="shared" si="634"/>
        <v>0</v>
      </c>
    </row>
    <row r="38153" spans="20:20" ht="18.75" customHeight="1" x14ac:dyDescent="0.35">
      <c r="T38153" s="246">
        <f t="shared" si="634"/>
        <v>0</v>
      </c>
    </row>
    <row r="38154" spans="20:20" ht="18.75" customHeight="1" x14ac:dyDescent="0.35">
      <c r="T38154" s="246">
        <f t="shared" si="634"/>
        <v>0</v>
      </c>
    </row>
    <row r="38155" spans="20:20" ht="18.75" customHeight="1" x14ac:dyDescent="0.35">
      <c r="T38155" s="246">
        <f t="shared" si="634"/>
        <v>0</v>
      </c>
    </row>
    <row r="38156" spans="20:20" ht="18.75" customHeight="1" x14ac:dyDescent="0.35">
      <c r="T38156" s="246">
        <f t="shared" si="634"/>
        <v>0</v>
      </c>
    </row>
    <row r="38157" spans="20:20" ht="18.75" customHeight="1" x14ac:dyDescent="0.35">
      <c r="T38157" s="246">
        <f t="shared" si="634"/>
        <v>0</v>
      </c>
    </row>
    <row r="38158" spans="20:20" ht="18.75" customHeight="1" x14ac:dyDescent="0.35">
      <c r="T38158" s="246">
        <f t="shared" si="634"/>
        <v>0</v>
      </c>
    </row>
    <row r="38159" spans="20:20" ht="18.75" customHeight="1" x14ac:dyDescent="0.35">
      <c r="T38159" s="246">
        <f t="shared" si="634"/>
        <v>0</v>
      </c>
    </row>
    <row r="38160" spans="20:20" ht="18.75" customHeight="1" x14ac:dyDescent="0.35">
      <c r="T38160" s="246">
        <f t="shared" si="634"/>
        <v>0</v>
      </c>
    </row>
    <row r="38161" spans="20:20" ht="18.75" customHeight="1" x14ac:dyDescent="0.35">
      <c r="T38161" s="246">
        <f t="shared" si="634"/>
        <v>0</v>
      </c>
    </row>
    <row r="38162" spans="20:20" ht="18.75" customHeight="1" x14ac:dyDescent="0.35">
      <c r="T38162" s="246">
        <f t="shared" si="634"/>
        <v>0</v>
      </c>
    </row>
    <row r="38163" spans="20:20" ht="18.75" customHeight="1" x14ac:dyDescent="0.35">
      <c r="T38163" s="246">
        <f t="shared" si="634"/>
        <v>0</v>
      </c>
    </row>
    <row r="38164" spans="20:20" ht="18.75" customHeight="1" x14ac:dyDescent="0.35">
      <c r="T38164" s="246">
        <f t="shared" si="634"/>
        <v>0</v>
      </c>
    </row>
    <row r="38165" spans="20:20" ht="18.75" customHeight="1" x14ac:dyDescent="0.35">
      <c r="T38165" s="246">
        <f t="shared" si="634"/>
        <v>0</v>
      </c>
    </row>
    <row r="38166" spans="20:20" ht="18.75" customHeight="1" x14ac:dyDescent="0.35">
      <c r="T38166" s="246">
        <f t="shared" si="634"/>
        <v>0</v>
      </c>
    </row>
    <row r="38167" spans="20:20" ht="18.75" customHeight="1" x14ac:dyDescent="0.35">
      <c r="T38167" s="246">
        <f t="shared" si="634"/>
        <v>0</v>
      </c>
    </row>
    <row r="38168" spans="20:20" ht="18.75" customHeight="1" x14ac:dyDescent="0.35">
      <c r="T38168" s="246">
        <f t="shared" si="634"/>
        <v>0</v>
      </c>
    </row>
    <row r="38169" spans="20:20" ht="18.75" customHeight="1" x14ac:dyDescent="0.35">
      <c r="T38169" s="246">
        <f t="shared" si="634"/>
        <v>0</v>
      </c>
    </row>
    <row r="38170" spans="20:20" ht="18.75" customHeight="1" x14ac:dyDescent="0.35">
      <c r="T38170" s="246">
        <f t="shared" si="634"/>
        <v>0</v>
      </c>
    </row>
    <row r="38171" spans="20:20" ht="18.75" customHeight="1" x14ac:dyDescent="0.35">
      <c r="T38171" s="246">
        <f t="shared" si="634"/>
        <v>0</v>
      </c>
    </row>
    <row r="38172" spans="20:20" ht="18.75" customHeight="1" x14ac:dyDescent="0.35">
      <c r="T38172" s="246">
        <f t="shared" si="634"/>
        <v>0</v>
      </c>
    </row>
    <row r="38173" spans="20:20" ht="18.75" customHeight="1" x14ac:dyDescent="0.35">
      <c r="T38173" s="246">
        <f t="shared" si="634"/>
        <v>0</v>
      </c>
    </row>
    <row r="38174" spans="20:20" ht="18.75" customHeight="1" x14ac:dyDescent="0.35">
      <c r="T38174" s="246">
        <f t="shared" si="634"/>
        <v>0</v>
      </c>
    </row>
    <row r="38175" spans="20:20" ht="18.75" customHeight="1" x14ac:dyDescent="0.35">
      <c r="T38175" s="246">
        <f t="shared" si="634"/>
        <v>0</v>
      </c>
    </row>
    <row r="38176" spans="20:20" ht="18.75" customHeight="1" x14ac:dyDescent="0.35">
      <c r="T38176" s="246">
        <f t="shared" si="634"/>
        <v>0</v>
      </c>
    </row>
    <row r="38177" spans="20:20" ht="18.75" customHeight="1" x14ac:dyDescent="0.35">
      <c r="T38177" s="246">
        <f t="shared" si="634"/>
        <v>0</v>
      </c>
    </row>
    <row r="38178" spans="20:20" ht="18.75" customHeight="1" x14ac:dyDescent="0.35">
      <c r="T38178" s="246">
        <f t="shared" si="634"/>
        <v>0</v>
      </c>
    </row>
    <row r="38179" spans="20:20" ht="18.75" customHeight="1" x14ac:dyDescent="0.35">
      <c r="T38179" s="246">
        <f t="shared" si="634"/>
        <v>0</v>
      </c>
    </row>
    <row r="38180" spans="20:20" ht="18.75" customHeight="1" x14ac:dyDescent="0.35">
      <c r="T38180" s="246">
        <f t="shared" si="634"/>
        <v>0</v>
      </c>
    </row>
    <row r="38181" spans="20:20" ht="18.75" customHeight="1" x14ac:dyDescent="0.35">
      <c r="T38181" s="246">
        <f t="shared" si="634"/>
        <v>0</v>
      </c>
    </row>
    <row r="38182" spans="20:20" ht="18.75" customHeight="1" x14ac:dyDescent="0.35">
      <c r="T38182" s="246">
        <f t="shared" si="634"/>
        <v>0</v>
      </c>
    </row>
    <row r="38183" spans="20:20" ht="18.75" customHeight="1" x14ac:dyDescent="0.35">
      <c r="T38183" s="246">
        <f t="shared" si="634"/>
        <v>0</v>
      </c>
    </row>
    <row r="38184" spans="20:20" ht="18.75" customHeight="1" x14ac:dyDescent="0.35">
      <c r="T38184" s="246">
        <f t="shared" si="634"/>
        <v>0</v>
      </c>
    </row>
    <row r="38185" spans="20:20" ht="18.75" customHeight="1" x14ac:dyDescent="0.35">
      <c r="T38185" s="246">
        <f t="shared" si="634"/>
        <v>0</v>
      </c>
    </row>
    <row r="38186" spans="20:20" ht="18.75" customHeight="1" x14ac:dyDescent="0.35">
      <c r="T38186" s="246">
        <f t="shared" si="634"/>
        <v>0</v>
      </c>
    </row>
    <row r="38187" spans="20:20" ht="18.75" customHeight="1" x14ac:dyDescent="0.35">
      <c r="T38187" s="246">
        <f t="shared" si="634"/>
        <v>0</v>
      </c>
    </row>
    <row r="38188" spans="20:20" ht="18.75" customHeight="1" x14ac:dyDescent="0.35">
      <c r="T38188" s="246">
        <f t="shared" si="634"/>
        <v>0</v>
      </c>
    </row>
    <row r="38189" spans="20:20" ht="18.75" customHeight="1" x14ac:dyDescent="0.35">
      <c r="T38189" s="246">
        <f t="shared" si="634"/>
        <v>0</v>
      </c>
    </row>
    <row r="38190" spans="20:20" ht="18.75" customHeight="1" x14ac:dyDescent="0.35">
      <c r="T38190" s="246">
        <f t="shared" si="634"/>
        <v>0</v>
      </c>
    </row>
    <row r="38191" spans="20:20" ht="18.75" customHeight="1" x14ac:dyDescent="0.35">
      <c r="T38191" s="246">
        <f t="shared" si="634"/>
        <v>0</v>
      </c>
    </row>
    <row r="38192" spans="20:20" ht="18.75" customHeight="1" x14ac:dyDescent="0.35">
      <c r="T38192" s="246">
        <f t="shared" si="634"/>
        <v>0</v>
      </c>
    </row>
    <row r="38193" spans="20:20" ht="18.75" customHeight="1" x14ac:dyDescent="0.35">
      <c r="T38193" s="246">
        <f t="shared" si="634"/>
        <v>0</v>
      </c>
    </row>
    <row r="38194" spans="20:20" ht="18.75" customHeight="1" x14ac:dyDescent="0.35">
      <c r="T38194" s="246">
        <f t="shared" si="634"/>
        <v>0</v>
      </c>
    </row>
    <row r="38195" spans="20:20" ht="18.75" customHeight="1" x14ac:dyDescent="0.35">
      <c r="T38195" s="246">
        <f t="shared" si="634"/>
        <v>0</v>
      </c>
    </row>
    <row r="38196" spans="20:20" ht="18.75" customHeight="1" x14ac:dyDescent="0.35">
      <c r="T38196" s="246">
        <f t="shared" si="634"/>
        <v>0</v>
      </c>
    </row>
    <row r="38197" spans="20:20" ht="18.75" customHeight="1" x14ac:dyDescent="0.35">
      <c r="T38197" s="246">
        <f t="shared" si="634"/>
        <v>0</v>
      </c>
    </row>
    <row r="38198" spans="20:20" ht="18.75" customHeight="1" x14ac:dyDescent="0.35">
      <c r="T38198" s="246">
        <f t="shared" si="634"/>
        <v>0</v>
      </c>
    </row>
    <row r="38199" spans="20:20" ht="18.75" customHeight="1" x14ac:dyDescent="0.35">
      <c r="T38199" s="246">
        <f t="shared" si="634"/>
        <v>0</v>
      </c>
    </row>
    <row r="38200" spans="20:20" ht="18.75" customHeight="1" x14ac:dyDescent="0.35">
      <c r="T38200" s="246">
        <f t="shared" si="634"/>
        <v>0</v>
      </c>
    </row>
    <row r="38201" spans="20:20" ht="18.75" customHeight="1" x14ac:dyDescent="0.35">
      <c r="T38201" s="246">
        <f t="shared" si="634"/>
        <v>0</v>
      </c>
    </row>
    <row r="38202" spans="20:20" ht="18.75" customHeight="1" x14ac:dyDescent="0.35">
      <c r="T38202" s="246">
        <f t="shared" si="634"/>
        <v>0</v>
      </c>
    </row>
    <row r="38203" spans="20:20" ht="18.75" customHeight="1" x14ac:dyDescent="0.35">
      <c r="T38203" s="246">
        <f t="shared" si="634"/>
        <v>0</v>
      </c>
    </row>
    <row r="38204" spans="20:20" ht="18.75" customHeight="1" x14ac:dyDescent="0.35">
      <c r="T38204" s="246">
        <f t="shared" ref="T38204:T38267" si="635">R38204*0.01</f>
        <v>0</v>
      </c>
    </row>
    <row r="38205" spans="20:20" ht="18.75" customHeight="1" x14ac:dyDescent="0.35">
      <c r="T38205" s="246">
        <f t="shared" si="635"/>
        <v>0</v>
      </c>
    </row>
    <row r="38206" spans="20:20" ht="18.75" customHeight="1" x14ac:dyDescent="0.35">
      <c r="T38206" s="246">
        <f t="shared" si="635"/>
        <v>0</v>
      </c>
    </row>
    <row r="38207" spans="20:20" ht="18.75" customHeight="1" x14ac:dyDescent="0.35">
      <c r="T38207" s="246">
        <f t="shared" si="635"/>
        <v>0</v>
      </c>
    </row>
    <row r="38208" spans="20:20" ht="18.75" customHeight="1" x14ac:dyDescent="0.35">
      <c r="T38208" s="246">
        <f t="shared" si="635"/>
        <v>0</v>
      </c>
    </row>
    <row r="38209" spans="20:20" ht="18.75" customHeight="1" x14ac:dyDescent="0.35">
      <c r="T38209" s="246">
        <f t="shared" si="635"/>
        <v>0</v>
      </c>
    </row>
    <row r="38210" spans="20:20" ht="18.75" customHeight="1" x14ac:dyDescent="0.35">
      <c r="T38210" s="246">
        <f t="shared" si="635"/>
        <v>0</v>
      </c>
    </row>
    <row r="38211" spans="20:20" ht="18.75" customHeight="1" x14ac:dyDescent="0.35">
      <c r="T38211" s="246">
        <f t="shared" si="635"/>
        <v>0</v>
      </c>
    </row>
    <row r="38212" spans="20:20" ht="18.75" customHeight="1" x14ac:dyDescent="0.35">
      <c r="T38212" s="246">
        <f t="shared" si="635"/>
        <v>0</v>
      </c>
    </row>
    <row r="38213" spans="20:20" ht="18.75" customHeight="1" x14ac:dyDescent="0.35">
      <c r="T38213" s="246">
        <f t="shared" si="635"/>
        <v>0</v>
      </c>
    </row>
    <row r="38214" spans="20:20" ht="18.75" customHeight="1" x14ac:dyDescent="0.35">
      <c r="T38214" s="246">
        <f t="shared" si="635"/>
        <v>0</v>
      </c>
    </row>
    <row r="38215" spans="20:20" ht="18.75" customHeight="1" x14ac:dyDescent="0.35">
      <c r="T38215" s="246">
        <f t="shared" si="635"/>
        <v>0</v>
      </c>
    </row>
    <row r="38216" spans="20:20" ht="18.75" customHeight="1" x14ac:dyDescent="0.35">
      <c r="T38216" s="246">
        <f t="shared" si="635"/>
        <v>0</v>
      </c>
    </row>
    <row r="38217" spans="20:20" ht="18.75" customHeight="1" x14ac:dyDescent="0.35">
      <c r="T38217" s="246">
        <f t="shared" si="635"/>
        <v>0</v>
      </c>
    </row>
    <row r="38218" spans="20:20" ht="18.75" customHeight="1" x14ac:dyDescent="0.35">
      <c r="T38218" s="246">
        <f t="shared" si="635"/>
        <v>0</v>
      </c>
    </row>
    <row r="38219" spans="20:20" ht="18.75" customHeight="1" x14ac:dyDescent="0.35">
      <c r="T38219" s="246">
        <f t="shared" si="635"/>
        <v>0</v>
      </c>
    </row>
    <row r="38220" spans="20:20" ht="18.75" customHeight="1" x14ac:dyDescent="0.35">
      <c r="T38220" s="246">
        <f t="shared" si="635"/>
        <v>0</v>
      </c>
    </row>
    <row r="38221" spans="20:20" ht="18.75" customHeight="1" x14ac:dyDescent="0.35">
      <c r="T38221" s="246">
        <f t="shared" si="635"/>
        <v>0</v>
      </c>
    </row>
    <row r="38222" spans="20:20" ht="18.75" customHeight="1" x14ac:dyDescent="0.35">
      <c r="T38222" s="246">
        <f t="shared" si="635"/>
        <v>0</v>
      </c>
    </row>
    <row r="38223" spans="20:20" ht="18.75" customHeight="1" x14ac:dyDescent="0.35">
      <c r="T38223" s="246">
        <f t="shared" si="635"/>
        <v>0</v>
      </c>
    </row>
    <row r="38224" spans="20:20" ht="18.75" customHeight="1" x14ac:dyDescent="0.35">
      <c r="T38224" s="246">
        <f t="shared" si="635"/>
        <v>0</v>
      </c>
    </row>
    <row r="38225" spans="20:20" ht="18.75" customHeight="1" x14ac:dyDescent="0.35">
      <c r="T38225" s="246">
        <f t="shared" si="635"/>
        <v>0</v>
      </c>
    </row>
    <row r="38226" spans="20:20" ht="18.75" customHeight="1" x14ac:dyDescent="0.35">
      <c r="T38226" s="246">
        <f t="shared" si="635"/>
        <v>0</v>
      </c>
    </row>
    <row r="38227" spans="20:20" ht="18.75" customHeight="1" x14ac:dyDescent="0.35">
      <c r="T38227" s="246">
        <f t="shared" si="635"/>
        <v>0</v>
      </c>
    </row>
    <row r="38228" spans="20:20" ht="18.75" customHeight="1" x14ac:dyDescent="0.35">
      <c r="T38228" s="246">
        <f t="shared" si="635"/>
        <v>0</v>
      </c>
    </row>
    <row r="38229" spans="20:20" ht="18.75" customHeight="1" x14ac:dyDescent="0.35">
      <c r="T38229" s="246">
        <f t="shared" si="635"/>
        <v>0</v>
      </c>
    </row>
    <row r="38230" spans="20:20" ht="18.75" customHeight="1" x14ac:dyDescent="0.35">
      <c r="T38230" s="246">
        <f t="shared" si="635"/>
        <v>0</v>
      </c>
    </row>
    <row r="38231" spans="20:20" ht="18.75" customHeight="1" x14ac:dyDescent="0.35">
      <c r="T38231" s="246">
        <f t="shared" si="635"/>
        <v>0</v>
      </c>
    </row>
    <row r="38232" spans="20:20" ht="18.75" customHeight="1" x14ac:dyDescent="0.35">
      <c r="T38232" s="246">
        <f t="shared" si="635"/>
        <v>0</v>
      </c>
    </row>
    <row r="38233" spans="20:20" ht="18.75" customHeight="1" x14ac:dyDescent="0.35">
      <c r="T38233" s="246">
        <f t="shared" si="635"/>
        <v>0</v>
      </c>
    </row>
    <row r="38234" spans="20:20" ht="18.75" customHeight="1" x14ac:dyDescent="0.35">
      <c r="T38234" s="246">
        <f t="shared" si="635"/>
        <v>0</v>
      </c>
    </row>
    <row r="38235" spans="20:20" ht="18.75" customHeight="1" x14ac:dyDescent="0.35">
      <c r="T38235" s="246">
        <f t="shared" si="635"/>
        <v>0</v>
      </c>
    </row>
    <row r="38236" spans="20:20" ht="18.75" customHeight="1" x14ac:dyDescent="0.35">
      <c r="T38236" s="246">
        <f t="shared" si="635"/>
        <v>0</v>
      </c>
    </row>
    <row r="38237" spans="20:20" ht="18.75" customHeight="1" x14ac:dyDescent="0.35">
      <c r="T38237" s="246">
        <f t="shared" si="635"/>
        <v>0</v>
      </c>
    </row>
    <row r="38238" spans="20:20" ht="18.75" customHeight="1" x14ac:dyDescent="0.35">
      <c r="T38238" s="246">
        <f t="shared" si="635"/>
        <v>0</v>
      </c>
    </row>
    <row r="38239" spans="20:20" ht="18.75" customHeight="1" x14ac:dyDescent="0.35">
      <c r="T38239" s="246">
        <f t="shared" si="635"/>
        <v>0</v>
      </c>
    </row>
    <row r="38240" spans="20:20" ht="18.75" customHeight="1" x14ac:dyDescent="0.35">
      <c r="T38240" s="246">
        <f t="shared" si="635"/>
        <v>0</v>
      </c>
    </row>
    <row r="38241" spans="20:20" ht="18.75" customHeight="1" x14ac:dyDescent="0.35">
      <c r="T38241" s="246">
        <f t="shared" si="635"/>
        <v>0</v>
      </c>
    </row>
    <row r="38242" spans="20:20" ht="18.75" customHeight="1" x14ac:dyDescent="0.35">
      <c r="T38242" s="246">
        <f t="shared" si="635"/>
        <v>0</v>
      </c>
    </row>
    <row r="38243" spans="20:20" ht="18.75" customHeight="1" x14ac:dyDescent="0.35">
      <c r="T38243" s="246">
        <f t="shared" si="635"/>
        <v>0</v>
      </c>
    </row>
    <row r="38244" spans="20:20" ht="18.75" customHeight="1" x14ac:dyDescent="0.35">
      <c r="T38244" s="246">
        <f t="shared" si="635"/>
        <v>0</v>
      </c>
    </row>
    <row r="38245" spans="20:20" ht="18.75" customHeight="1" x14ac:dyDescent="0.35">
      <c r="T38245" s="246">
        <f t="shared" si="635"/>
        <v>0</v>
      </c>
    </row>
    <row r="38246" spans="20:20" ht="18.75" customHeight="1" x14ac:dyDescent="0.35">
      <c r="T38246" s="246">
        <f t="shared" si="635"/>
        <v>0</v>
      </c>
    </row>
    <row r="38247" spans="20:20" ht="18.75" customHeight="1" x14ac:dyDescent="0.35">
      <c r="T38247" s="246">
        <f t="shared" si="635"/>
        <v>0</v>
      </c>
    </row>
    <row r="38248" spans="20:20" ht="18.75" customHeight="1" x14ac:dyDescent="0.35">
      <c r="T38248" s="246">
        <f t="shared" si="635"/>
        <v>0</v>
      </c>
    </row>
    <row r="38249" spans="20:20" ht="18.75" customHeight="1" x14ac:dyDescent="0.35">
      <c r="T38249" s="246">
        <f t="shared" si="635"/>
        <v>0</v>
      </c>
    </row>
    <row r="38250" spans="20:20" ht="18.75" customHeight="1" x14ac:dyDescent="0.35">
      <c r="T38250" s="246">
        <f t="shared" si="635"/>
        <v>0</v>
      </c>
    </row>
    <row r="38251" spans="20:20" ht="18.75" customHeight="1" x14ac:dyDescent="0.35">
      <c r="T38251" s="246">
        <f t="shared" si="635"/>
        <v>0</v>
      </c>
    </row>
    <row r="38252" spans="20:20" ht="18.75" customHeight="1" x14ac:dyDescent="0.35">
      <c r="T38252" s="246">
        <f t="shared" si="635"/>
        <v>0</v>
      </c>
    </row>
    <row r="38253" spans="20:20" ht="18.75" customHeight="1" x14ac:dyDescent="0.35">
      <c r="T38253" s="246">
        <f t="shared" si="635"/>
        <v>0</v>
      </c>
    </row>
    <row r="38254" spans="20:20" ht="18.75" customHeight="1" x14ac:dyDescent="0.35">
      <c r="T38254" s="246">
        <f t="shared" si="635"/>
        <v>0</v>
      </c>
    </row>
    <row r="38255" spans="20:20" ht="18.75" customHeight="1" x14ac:dyDescent="0.35">
      <c r="T38255" s="246">
        <f t="shared" si="635"/>
        <v>0</v>
      </c>
    </row>
    <row r="38256" spans="20:20" ht="18.75" customHeight="1" x14ac:dyDescent="0.35">
      <c r="T38256" s="246">
        <f t="shared" si="635"/>
        <v>0</v>
      </c>
    </row>
    <row r="38257" spans="20:20" ht="18.75" customHeight="1" x14ac:dyDescent="0.35">
      <c r="T38257" s="246">
        <f t="shared" si="635"/>
        <v>0</v>
      </c>
    </row>
    <row r="38258" spans="20:20" ht="18.75" customHeight="1" x14ac:dyDescent="0.35">
      <c r="T38258" s="246">
        <f t="shared" si="635"/>
        <v>0</v>
      </c>
    </row>
    <row r="38259" spans="20:20" ht="18.75" customHeight="1" x14ac:dyDescent="0.35">
      <c r="T38259" s="246">
        <f t="shared" si="635"/>
        <v>0</v>
      </c>
    </row>
    <row r="38260" spans="20:20" ht="18.75" customHeight="1" x14ac:dyDescent="0.35">
      <c r="T38260" s="246">
        <f t="shared" si="635"/>
        <v>0</v>
      </c>
    </row>
    <row r="38261" spans="20:20" ht="18.75" customHeight="1" x14ac:dyDescent="0.35">
      <c r="T38261" s="246">
        <f t="shared" si="635"/>
        <v>0</v>
      </c>
    </row>
    <row r="38262" spans="20:20" ht="18.75" customHeight="1" x14ac:dyDescent="0.35">
      <c r="T38262" s="246">
        <f t="shared" si="635"/>
        <v>0</v>
      </c>
    </row>
    <row r="38263" spans="20:20" ht="18.75" customHeight="1" x14ac:dyDescent="0.35">
      <c r="T38263" s="246">
        <f t="shared" si="635"/>
        <v>0</v>
      </c>
    </row>
    <row r="38264" spans="20:20" ht="18.75" customHeight="1" x14ac:dyDescent="0.35">
      <c r="T38264" s="246">
        <f t="shared" si="635"/>
        <v>0</v>
      </c>
    </row>
    <row r="38265" spans="20:20" ht="18.75" customHeight="1" x14ac:dyDescent="0.35">
      <c r="T38265" s="246">
        <f t="shared" si="635"/>
        <v>0</v>
      </c>
    </row>
    <row r="38266" spans="20:20" ht="18.75" customHeight="1" x14ac:dyDescent="0.35">
      <c r="T38266" s="246">
        <f t="shared" si="635"/>
        <v>0</v>
      </c>
    </row>
    <row r="38267" spans="20:20" ht="18.75" customHeight="1" x14ac:dyDescent="0.35">
      <c r="T38267" s="246">
        <f t="shared" si="635"/>
        <v>0</v>
      </c>
    </row>
    <row r="38268" spans="20:20" ht="18.75" customHeight="1" x14ac:dyDescent="0.35">
      <c r="T38268" s="246">
        <f t="shared" ref="T38268:T38331" si="636">R38268*0.01</f>
        <v>0</v>
      </c>
    </row>
    <row r="38269" spans="20:20" ht="18.75" customHeight="1" x14ac:dyDescent="0.35">
      <c r="T38269" s="246">
        <f t="shared" si="636"/>
        <v>0</v>
      </c>
    </row>
    <row r="38270" spans="20:20" ht="18.75" customHeight="1" x14ac:dyDescent="0.35">
      <c r="T38270" s="246">
        <f t="shared" si="636"/>
        <v>0</v>
      </c>
    </row>
    <row r="38271" spans="20:20" ht="18.75" customHeight="1" x14ac:dyDescent="0.35">
      <c r="T38271" s="246">
        <f t="shared" si="636"/>
        <v>0</v>
      </c>
    </row>
    <row r="38272" spans="20:20" ht="18.75" customHeight="1" x14ac:dyDescent="0.35">
      <c r="T38272" s="246">
        <f t="shared" si="636"/>
        <v>0</v>
      </c>
    </row>
    <row r="38273" spans="20:20" ht="18.75" customHeight="1" x14ac:dyDescent="0.35">
      <c r="T38273" s="246">
        <f t="shared" si="636"/>
        <v>0</v>
      </c>
    </row>
    <row r="38274" spans="20:20" ht="18.75" customHeight="1" x14ac:dyDescent="0.35">
      <c r="T38274" s="246">
        <f t="shared" si="636"/>
        <v>0</v>
      </c>
    </row>
    <row r="38275" spans="20:20" ht="18.75" customHeight="1" x14ac:dyDescent="0.35">
      <c r="T38275" s="246">
        <f t="shared" si="636"/>
        <v>0</v>
      </c>
    </row>
    <row r="38276" spans="20:20" ht="18.75" customHeight="1" x14ac:dyDescent="0.35">
      <c r="T38276" s="246">
        <f t="shared" si="636"/>
        <v>0</v>
      </c>
    </row>
    <row r="38277" spans="20:20" ht="18.75" customHeight="1" x14ac:dyDescent="0.35">
      <c r="T38277" s="246">
        <f t="shared" si="636"/>
        <v>0</v>
      </c>
    </row>
    <row r="38278" spans="20:20" ht="18.75" customHeight="1" x14ac:dyDescent="0.35">
      <c r="T38278" s="246">
        <f t="shared" si="636"/>
        <v>0</v>
      </c>
    </row>
    <row r="38279" spans="20:20" ht="18.75" customHeight="1" x14ac:dyDescent="0.35">
      <c r="T38279" s="246">
        <f t="shared" si="636"/>
        <v>0</v>
      </c>
    </row>
    <row r="38280" spans="20:20" ht="18.75" customHeight="1" x14ac:dyDescent="0.35">
      <c r="T38280" s="246">
        <f t="shared" si="636"/>
        <v>0</v>
      </c>
    </row>
    <row r="38281" spans="20:20" ht="18.75" customHeight="1" x14ac:dyDescent="0.35">
      <c r="T38281" s="246">
        <f t="shared" si="636"/>
        <v>0</v>
      </c>
    </row>
    <row r="38282" spans="20:20" ht="18.75" customHeight="1" x14ac:dyDescent="0.35">
      <c r="T38282" s="246">
        <f t="shared" si="636"/>
        <v>0</v>
      </c>
    </row>
    <row r="38283" spans="20:20" ht="18.75" customHeight="1" x14ac:dyDescent="0.35">
      <c r="T38283" s="246">
        <f t="shared" si="636"/>
        <v>0</v>
      </c>
    </row>
    <row r="38284" spans="20:20" ht="18.75" customHeight="1" x14ac:dyDescent="0.35">
      <c r="T38284" s="246">
        <f t="shared" si="636"/>
        <v>0</v>
      </c>
    </row>
    <row r="38285" spans="20:20" ht="18.75" customHeight="1" x14ac:dyDescent="0.35">
      <c r="T38285" s="246">
        <f t="shared" si="636"/>
        <v>0</v>
      </c>
    </row>
    <row r="38286" spans="20:20" ht="18.75" customHeight="1" x14ac:dyDescent="0.35">
      <c r="T38286" s="246">
        <f t="shared" si="636"/>
        <v>0</v>
      </c>
    </row>
    <row r="38287" spans="20:20" ht="18.75" customHeight="1" x14ac:dyDescent="0.35">
      <c r="T38287" s="246">
        <f t="shared" si="636"/>
        <v>0</v>
      </c>
    </row>
    <row r="38288" spans="20:20" ht="18.75" customHeight="1" x14ac:dyDescent="0.35">
      <c r="T38288" s="246">
        <f t="shared" si="636"/>
        <v>0</v>
      </c>
    </row>
    <row r="38289" spans="20:20" ht="18.75" customHeight="1" x14ac:dyDescent="0.35">
      <c r="T38289" s="246">
        <f t="shared" si="636"/>
        <v>0</v>
      </c>
    </row>
    <row r="38290" spans="20:20" ht="18.75" customHeight="1" x14ac:dyDescent="0.35">
      <c r="T38290" s="246">
        <f t="shared" si="636"/>
        <v>0</v>
      </c>
    </row>
    <row r="38291" spans="20:20" ht="18.75" customHeight="1" x14ac:dyDescent="0.35">
      <c r="T38291" s="246">
        <f t="shared" si="636"/>
        <v>0</v>
      </c>
    </row>
    <row r="38292" spans="20:20" ht="18.75" customHeight="1" x14ac:dyDescent="0.35">
      <c r="T38292" s="246">
        <f t="shared" si="636"/>
        <v>0</v>
      </c>
    </row>
    <row r="38293" spans="20:20" ht="18.75" customHeight="1" x14ac:dyDescent="0.35">
      <c r="T38293" s="246">
        <f t="shared" si="636"/>
        <v>0</v>
      </c>
    </row>
    <row r="38294" spans="20:20" ht="18.75" customHeight="1" x14ac:dyDescent="0.35">
      <c r="T38294" s="246">
        <f t="shared" si="636"/>
        <v>0</v>
      </c>
    </row>
    <row r="38295" spans="20:20" ht="18.75" customHeight="1" x14ac:dyDescent="0.35">
      <c r="T38295" s="246">
        <f t="shared" si="636"/>
        <v>0</v>
      </c>
    </row>
    <row r="38296" spans="20:20" ht="18.75" customHeight="1" x14ac:dyDescent="0.35">
      <c r="T38296" s="246">
        <f t="shared" si="636"/>
        <v>0</v>
      </c>
    </row>
    <row r="38297" spans="20:20" ht="18.75" customHeight="1" x14ac:dyDescent="0.35">
      <c r="T38297" s="246">
        <f t="shared" si="636"/>
        <v>0</v>
      </c>
    </row>
    <row r="38298" spans="20:20" ht="18.75" customHeight="1" x14ac:dyDescent="0.35">
      <c r="T38298" s="246">
        <f t="shared" si="636"/>
        <v>0</v>
      </c>
    </row>
    <row r="38299" spans="20:20" ht="18.75" customHeight="1" x14ac:dyDescent="0.35">
      <c r="T38299" s="246">
        <f t="shared" si="636"/>
        <v>0</v>
      </c>
    </row>
    <row r="38300" spans="20:20" ht="18.75" customHeight="1" x14ac:dyDescent="0.35">
      <c r="T38300" s="246">
        <f t="shared" si="636"/>
        <v>0</v>
      </c>
    </row>
    <row r="38301" spans="20:20" ht="18.75" customHeight="1" x14ac:dyDescent="0.35">
      <c r="T38301" s="246">
        <f t="shared" si="636"/>
        <v>0</v>
      </c>
    </row>
    <row r="38302" spans="20:20" ht="18.75" customHeight="1" x14ac:dyDescent="0.35">
      <c r="T38302" s="246">
        <f t="shared" si="636"/>
        <v>0</v>
      </c>
    </row>
    <row r="38303" spans="20:20" ht="18.75" customHeight="1" x14ac:dyDescent="0.35">
      <c r="T38303" s="246">
        <f t="shared" si="636"/>
        <v>0</v>
      </c>
    </row>
    <row r="38304" spans="20:20" ht="18.75" customHeight="1" x14ac:dyDescent="0.35">
      <c r="T38304" s="246">
        <f t="shared" si="636"/>
        <v>0</v>
      </c>
    </row>
    <row r="38305" spans="20:20" ht="18.75" customHeight="1" x14ac:dyDescent="0.35">
      <c r="T38305" s="246">
        <f t="shared" si="636"/>
        <v>0</v>
      </c>
    </row>
    <row r="38306" spans="20:20" ht="18.75" customHeight="1" x14ac:dyDescent="0.35">
      <c r="T38306" s="246">
        <f t="shared" si="636"/>
        <v>0</v>
      </c>
    </row>
    <row r="38307" spans="20:20" ht="18.75" customHeight="1" x14ac:dyDescent="0.35">
      <c r="T38307" s="246">
        <f t="shared" si="636"/>
        <v>0</v>
      </c>
    </row>
    <row r="38308" spans="20:20" ht="18.75" customHeight="1" x14ac:dyDescent="0.35">
      <c r="T38308" s="246">
        <f t="shared" si="636"/>
        <v>0</v>
      </c>
    </row>
    <row r="38309" spans="20:20" ht="18.75" customHeight="1" x14ac:dyDescent="0.35">
      <c r="T38309" s="246">
        <f t="shared" si="636"/>
        <v>0</v>
      </c>
    </row>
    <row r="38310" spans="20:20" ht="18.75" customHeight="1" x14ac:dyDescent="0.35">
      <c r="T38310" s="246">
        <f t="shared" si="636"/>
        <v>0</v>
      </c>
    </row>
    <row r="38311" spans="20:20" ht="18.75" customHeight="1" x14ac:dyDescent="0.35">
      <c r="T38311" s="246">
        <f t="shared" si="636"/>
        <v>0</v>
      </c>
    </row>
    <row r="38312" spans="20:20" ht="18.75" customHeight="1" x14ac:dyDescent="0.35">
      <c r="T38312" s="246">
        <f t="shared" si="636"/>
        <v>0</v>
      </c>
    </row>
    <row r="38313" spans="20:20" ht="18.75" customHeight="1" x14ac:dyDescent="0.35">
      <c r="T38313" s="246">
        <f t="shared" si="636"/>
        <v>0</v>
      </c>
    </row>
    <row r="38314" spans="20:20" ht="18.75" customHeight="1" x14ac:dyDescent="0.35">
      <c r="T38314" s="246">
        <f t="shared" si="636"/>
        <v>0</v>
      </c>
    </row>
    <row r="38315" spans="20:20" ht="18.75" customHeight="1" x14ac:dyDescent="0.35">
      <c r="T38315" s="246">
        <f t="shared" si="636"/>
        <v>0</v>
      </c>
    </row>
    <row r="38316" spans="20:20" ht="18.75" customHeight="1" x14ac:dyDescent="0.35">
      <c r="T38316" s="246">
        <f t="shared" si="636"/>
        <v>0</v>
      </c>
    </row>
    <row r="38317" spans="20:20" ht="18.75" customHeight="1" x14ac:dyDescent="0.35">
      <c r="T38317" s="246">
        <f t="shared" si="636"/>
        <v>0</v>
      </c>
    </row>
    <row r="38318" spans="20:20" ht="18.75" customHeight="1" x14ac:dyDescent="0.35">
      <c r="T38318" s="246">
        <f t="shared" si="636"/>
        <v>0</v>
      </c>
    </row>
    <row r="38319" spans="20:20" ht="18.75" customHeight="1" x14ac:dyDescent="0.35">
      <c r="T38319" s="246">
        <f t="shared" si="636"/>
        <v>0</v>
      </c>
    </row>
    <row r="38320" spans="20:20" ht="18.75" customHeight="1" x14ac:dyDescent="0.35">
      <c r="T38320" s="246">
        <f t="shared" si="636"/>
        <v>0</v>
      </c>
    </row>
    <row r="38321" spans="20:20" ht="18.75" customHeight="1" x14ac:dyDescent="0.35">
      <c r="T38321" s="246">
        <f t="shared" si="636"/>
        <v>0</v>
      </c>
    </row>
    <row r="38322" spans="20:20" ht="18.75" customHeight="1" x14ac:dyDescent="0.35">
      <c r="T38322" s="246">
        <f t="shared" si="636"/>
        <v>0</v>
      </c>
    </row>
    <row r="38323" spans="20:20" ht="18.75" customHeight="1" x14ac:dyDescent="0.35">
      <c r="T38323" s="246">
        <f t="shared" si="636"/>
        <v>0</v>
      </c>
    </row>
    <row r="38324" spans="20:20" ht="18.75" customHeight="1" x14ac:dyDescent="0.35">
      <c r="T38324" s="246">
        <f t="shared" si="636"/>
        <v>0</v>
      </c>
    </row>
    <row r="38325" spans="20:20" ht="18.75" customHeight="1" x14ac:dyDescent="0.35">
      <c r="T38325" s="246">
        <f t="shared" si="636"/>
        <v>0</v>
      </c>
    </row>
    <row r="38326" spans="20:20" ht="18.75" customHeight="1" x14ac:dyDescent="0.35">
      <c r="T38326" s="246">
        <f t="shared" si="636"/>
        <v>0</v>
      </c>
    </row>
    <row r="38327" spans="20:20" ht="18.75" customHeight="1" x14ac:dyDescent="0.35">
      <c r="T38327" s="246">
        <f t="shared" si="636"/>
        <v>0</v>
      </c>
    </row>
    <row r="38328" spans="20:20" ht="18.75" customHeight="1" x14ac:dyDescent="0.35">
      <c r="T38328" s="246">
        <f t="shared" si="636"/>
        <v>0</v>
      </c>
    </row>
    <row r="38329" spans="20:20" ht="18.75" customHeight="1" x14ac:dyDescent="0.35">
      <c r="T38329" s="246">
        <f t="shared" si="636"/>
        <v>0</v>
      </c>
    </row>
    <row r="38330" spans="20:20" ht="18.75" customHeight="1" x14ac:dyDescent="0.35">
      <c r="T38330" s="246">
        <f t="shared" si="636"/>
        <v>0</v>
      </c>
    </row>
    <row r="38331" spans="20:20" ht="18.75" customHeight="1" x14ac:dyDescent="0.35">
      <c r="T38331" s="246">
        <f t="shared" si="636"/>
        <v>0</v>
      </c>
    </row>
    <row r="38332" spans="20:20" ht="18.75" customHeight="1" x14ac:dyDescent="0.35">
      <c r="T38332" s="246">
        <f t="shared" ref="T38332:T38395" si="637">R38332*0.01</f>
        <v>0</v>
      </c>
    </row>
    <row r="38333" spans="20:20" ht="18.75" customHeight="1" x14ac:dyDescent="0.35">
      <c r="T38333" s="246">
        <f t="shared" si="637"/>
        <v>0</v>
      </c>
    </row>
    <row r="38334" spans="20:20" ht="18.75" customHeight="1" x14ac:dyDescent="0.35">
      <c r="T38334" s="246">
        <f t="shared" si="637"/>
        <v>0</v>
      </c>
    </row>
    <row r="38335" spans="20:20" ht="18.75" customHeight="1" x14ac:dyDescent="0.35">
      <c r="T38335" s="246">
        <f t="shared" si="637"/>
        <v>0</v>
      </c>
    </row>
    <row r="38336" spans="20:20" ht="18.75" customHeight="1" x14ac:dyDescent="0.35">
      <c r="T38336" s="246">
        <f t="shared" si="637"/>
        <v>0</v>
      </c>
    </row>
    <row r="38337" spans="20:20" ht="18.75" customHeight="1" x14ac:dyDescent="0.35">
      <c r="T38337" s="246">
        <f t="shared" si="637"/>
        <v>0</v>
      </c>
    </row>
    <row r="38338" spans="20:20" ht="18.75" customHeight="1" x14ac:dyDescent="0.35">
      <c r="T38338" s="246">
        <f t="shared" si="637"/>
        <v>0</v>
      </c>
    </row>
    <row r="38339" spans="20:20" ht="18.75" customHeight="1" x14ac:dyDescent="0.35">
      <c r="T38339" s="246">
        <f t="shared" si="637"/>
        <v>0</v>
      </c>
    </row>
    <row r="38340" spans="20:20" ht="18.75" customHeight="1" x14ac:dyDescent="0.35">
      <c r="T38340" s="246">
        <f t="shared" si="637"/>
        <v>0</v>
      </c>
    </row>
    <row r="38341" spans="20:20" ht="18.75" customHeight="1" x14ac:dyDescent="0.35">
      <c r="T38341" s="246">
        <f t="shared" si="637"/>
        <v>0</v>
      </c>
    </row>
    <row r="38342" spans="20:20" ht="18.75" customHeight="1" x14ac:dyDescent="0.35">
      <c r="T38342" s="246">
        <f t="shared" si="637"/>
        <v>0</v>
      </c>
    </row>
    <row r="38343" spans="20:20" ht="18.75" customHeight="1" x14ac:dyDescent="0.35">
      <c r="T38343" s="246">
        <f t="shared" si="637"/>
        <v>0</v>
      </c>
    </row>
    <row r="38344" spans="20:20" ht="18.75" customHeight="1" x14ac:dyDescent="0.35">
      <c r="T38344" s="246">
        <f t="shared" si="637"/>
        <v>0</v>
      </c>
    </row>
    <row r="38345" spans="20:20" ht="18.75" customHeight="1" x14ac:dyDescent="0.35">
      <c r="T38345" s="246">
        <f t="shared" si="637"/>
        <v>0</v>
      </c>
    </row>
    <row r="38346" spans="20:20" ht="18.75" customHeight="1" x14ac:dyDescent="0.35">
      <c r="T38346" s="246">
        <f t="shared" si="637"/>
        <v>0</v>
      </c>
    </row>
    <row r="38347" spans="20:20" ht="18.75" customHeight="1" x14ac:dyDescent="0.35">
      <c r="T38347" s="246">
        <f t="shared" si="637"/>
        <v>0</v>
      </c>
    </row>
    <row r="38348" spans="20:20" ht="18.75" customHeight="1" x14ac:dyDescent="0.35">
      <c r="T38348" s="246">
        <f t="shared" si="637"/>
        <v>0</v>
      </c>
    </row>
    <row r="38349" spans="20:20" ht="18.75" customHeight="1" x14ac:dyDescent="0.35">
      <c r="T38349" s="246">
        <f t="shared" si="637"/>
        <v>0</v>
      </c>
    </row>
    <row r="38350" spans="20:20" ht="18.75" customHeight="1" x14ac:dyDescent="0.35">
      <c r="T38350" s="246">
        <f t="shared" si="637"/>
        <v>0</v>
      </c>
    </row>
    <row r="38351" spans="20:20" ht="18.75" customHeight="1" x14ac:dyDescent="0.35">
      <c r="T38351" s="246">
        <f t="shared" si="637"/>
        <v>0</v>
      </c>
    </row>
    <row r="38352" spans="20:20" ht="18.75" customHeight="1" x14ac:dyDescent="0.35">
      <c r="T38352" s="246">
        <f t="shared" si="637"/>
        <v>0</v>
      </c>
    </row>
    <row r="38353" spans="20:20" ht="18.75" customHeight="1" x14ac:dyDescent="0.35">
      <c r="T38353" s="246">
        <f t="shared" si="637"/>
        <v>0</v>
      </c>
    </row>
    <row r="38354" spans="20:20" ht="18.75" customHeight="1" x14ac:dyDescent="0.35">
      <c r="T38354" s="246">
        <f t="shared" si="637"/>
        <v>0</v>
      </c>
    </row>
    <row r="38355" spans="20:20" ht="18.75" customHeight="1" x14ac:dyDescent="0.35">
      <c r="T38355" s="246">
        <f t="shared" si="637"/>
        <v>0</v>
      </c>
    </row>
    <row r="38356" spans="20:20" ht="18.75" customHeight="1" x14ac:dyDescent="0.35">
      <c r="T38356" s="246">
        <f t="shared" si="637"/>
        <v>0</v>
      </c>
    </row>
    <row r="38357" spans="20:20" ht="18.75" customHeight="1" x14ac:dyDescent="0.35">
      <c r="T38357" s="246">
        <f t="shared" si="637"/>
        <v>0</v>
      </c>
    </row>
    <row r="38358" spans="20:20" ht="18.75" customHeight="1" x14ac:dyDescent="0.35">
      <c r="T38358" s="246">
        <f t="shared" si="637"/>
        <v>0</v>
      </c>
    </row>
    <row r="38359" spans="20:20" ht="18.75" customHeight="1" x14ac:dyDescent="0.35">
      <c r="T38359" s="246">
        <f t="shared" si="637"/>
        <v>0</v>
      </c>
    </row>
    <row r="38360" spans="20:20" ht="18.75" customHeight="1" x14ac:dyDescent="0.35">
      <c r="T38360" s="246">
        <f t="shared" si="637"/>
        <v>0</v>
      </c>
    </row>
    <row r="38361" spans="20:20" ht="18.75" customHeight="1" x14ac:dyDescent="0.35">
      <c r="T38361" s="246">
        <f t="shared" si="637"/>
        <v>0</v>
      </c>
    </row>
    <row r="38362" spans="20:20" ht="18.75" customHeight="1" x14ac:dyDescent="0.35">
      <c r="T38362" s="246">
        <f t="shared" si="637"/>
        <v>0</v>
      </c>
    </row>
    <row r="38363" spans="20:20" ht="18.75" customHeight="1" x14ac:dyDescent="0.35">
      <c r="T38363" s="246">
        <f t="shared" si="637"/>
        <v>0</v>
      </c>
    </row>
    <row r="38364" spans="20:20" ht="18.75" customHeight="1" x14ac:dyDescent="0.35">
      <c r="T38364" s="246">
        <f t="shared" si="637"/>
        <v>0</v>
      </c>
    </row>
    <row r="38365" spans="20:20" ht="18.75" customHeight="1" x14ac:dyDescent="0.35">
      <c r="T38365" s="246">
        <f t="shared" si="637"/>
        <v>0</v>
      </c>
    </row>
    <row r="38366" spans="20:20" ht="18.75" customHeight="1" x14ac:dyDescent="0.35">
      <c r="T38366" s="246">
        <f t="shared" si="637"/>
        <v>0</v>
      </c>
    </row>
    <row r="38367" spans="20:20" ht="18.75" customHeight="1" x14ac:dyDescent="0.35">
      <c r="T38367" s="246">
        <f t="shared" si="637"/>
        <v>0</v>
      </c>
    </row>
    <row r="38368" spans="20:20" ht="18.75" customHeight="1" x14ac:dyDescent="0.35">
      <c r="T38368" s="246">
        <f t="shared" si="637"/>
        <v>0</v>
      </c>
    </row>
    <row r="38369" spans="20:20" ht="18.75" customHeight="1" x14ac:dyDescent="0.35">
      <c r="T38369" s="246">
        <f t="shared" si="637"/>
        <v>0</v>
      </c>
    </row>
    <row r="38370" spans="20:20" ht="18.75" customHeight="1" x14ac:dyDescent="0.35">
      <c r="T38370" s="246">
        <f t="shared" si="637"/>
        <v>0</v>
      </c>
    </row>
    <row r="38371" spans="20:20" ht="18.75" customHeight="1" x14ac:dyDescent="0.35">
      <c r="T38371" s="246">
        <f t="shared" si="637"/>
        <v>0</v>
      </c>
    </row>
    <row r="38372" spans="20:20" ht="18.75" customHeight="1" x14ac:dyDescent="0.35">
      <c r="T38372" s="246">
        <f t="shared" si="637"/>
        <v>0</v>
      </c>
    </row>
    <row r="38373" spans="20:20" ht="18.75" customHeight="1" x14ac:dyDescent="0.35">
      <c r="T38373" s="246">
        <f t="shared" si="637"/>
        <v>0</v>
      </c>
    </row>
    <row r="38374" spans="20:20" ht="18.75" customHeight="1" x14ac:dyDescent="0.35">
      <c r="T38374" s="246">
        <f t="shared" si="637"/>
        <v>0</v>
      </c>
    </row>
    <row r="38375" spans="20:20" ht="18.75" customHeight="1" x14ac:dyDescent="0.35">
      <c r="T38375" s="246">
        <f t="shared" si="637"/>
        <v>0</v>
      </c>
    </row>
    <row r="38376" spans="20:20" ht="18.75" customHeight="1" x14ac:dyDescent="0.35">
      <c r="T38376" s="246">
        <f t="shared" si="637"/>
        <v>0</v>
      </c>
    </row>
    <row r="38377" spans="20:20" ht="18.75" customHeight="1" x14ac:dyDescent="0.35">
      <c r="T38377" s="246">
        <f t="shared" si="637"/>
        <v>0</v>
      </c>
    </row>
    <row r="38378" spans="20:20" ht="18.75" customHeight="1" x14ac:dyDescent="0.35">
      <c r="T38378" s="246">
        <f t="shared" si="637"/>
        <v>0</v>
      </c>
    </row>
    <row r="38379" spans="20:20" ht="18.75" customHeight="1" x14ac:dyDescent="0.35">
      <c r="T38379" s="246">
        <f t="shared" si="637"/>
        <v>0</v>
      </c>
    </row>
    <row r="38380" spans="20:20" ht="18.75" customHeight="1" x14ac:dyDescent="0.35">
      <c r="T38380" s="246">
        <f t="shared" si="637"/>
        <v>0</v>
      </c>
    </row>
    <row r="38381" spans="20:20" ht="18.75" customHeight="1" x14ac:dyDescent="0.35">
      <c r="T38381" s="246">
        <f t="shared" si="637"/>
        <v>0</v>
      </c>
    </row>
    <row r="38382" spans="20:20" ht="18.75" customHeight="1" x14ac:dyDescent="0.35">
      <c r="T38382" s="246">
        <f t="shared" si="637"/>
        <v>0</v>
      </c>
    </row>
    <row r="38383" spans="20:20" ht="18.75" customHeight="1" x14ac:dyDescent="0.35">
      <c r="T38383" s="246">
        <f t="shared" si="637"/>
        <v>0</v>
      </c>
    </row>
    <row r="38384" spans="20:20" ht="18.75" customHeight="1" x14ac:dyDescent="0.35">
      <c r="T38384" s="246">
        <f t="shared" si="637"/>
        <v>0</v>
      </c>
    </row>
    <row r="38385" spans="20:20" ht="18.75" customHeight="1" x14ac:dyDescent="0.35">
      <c r="T38385" s="246">
        <f t="shared" si="637"/>
        <v>0</v>
      </c>
    </row>
    <row r="38386" spans="20:20" ht="18.75" customHeight="1" x14ac:dyDescent="0.35">
      <c r="T38386" s="246">
        <f t="shared" si="637"/>
        <v>0</v>
      </c>
    </row>
    <row r="38387" spans="20:20" ht="18.75" customHeight="1" x14ac:dyDescent="0.35">
      <c r="T38387" s="246">
        <f t="shared" si="637"/>
        <v>0</v>
      </c>
    </row>
    <row r="38388" spans="20:20" ht="18.75" customHeight="1" x14ac:dyDescent="0.35">
      <c r="T38388" s="246">
        <f t="shared" si="637"/>
        <v>0</v>
      </c>
    </row>
    <row r="38389" spans="20:20" ht="18.75" customHeight="1" x14ac:dyDescent="0.35">
      <c r="T38389" s="246">
        <f t="shared" si="637"/>
        <v>0</v>
      </c>
    </row>
    <row r="38390" spans="20:20" ht="18.75" customHeight="1" x14ac:dyDescent="0.35">
      <c r="T38390" s="246">
        <f t="shared" si="637"/>
        <v>0</v>
      </c>
    </row>
    <row r="38391" spans="20:20" ht="18.75" customHeight="1" x14ac:dyDescent="0.35">
      <c r="T38391" s="246">
        <f t="shared" si="637"/>
        <v>0</v>
      </c>
    </row>
    <row r="38392" spans="20:20" ht="18.75" customHeight="1" x14ac:dyDescent="0.35">
      <c r="T38392" s="246">
        <f t="shared" si="637"/>
        <v>0</v>
      </c>
    </row>
    <row r="38393" spans="20:20" ht="18.75" customHeight="1" x14ac:dyDescent="0.35">
      <c r="T38393" s="246">
        <f t="shared" si="637"/>
        <v>0</v>
      </c>
    </row>
    <row r="38394" spans="20:20" ht="18.75" customHeight="1" x14ac:dyDescent="0.35">
      <c r="T38394" s="246">
        <f t="shared" si="637"/>
        <v>0</v>
      </c>
    </row>
    <row r="38395" spans="20:20" ht="18.75" customHeight="1" x14ac:dyDescent="0.35">
      <c r="T38395" s="246">
        <f t="shared" si="637"/>
        <v>0</v>
      </c>
    </row>
    <row r="38396" spans="20:20" ht="18.75" customHeight="1" x14ac:dyDescent="0.35">
      <c r="T38396" s="246">
        <f t="shared" ref="T38396:T38459" si="638">R38396*0.01</f>
        <v>0</v>
      </c>
    </row>
    <row r="38397" spans="20:20" ht="18.75" customHeight="1" x14ac:dyDescent="0.35">
      <c r="T38397" s="246">
        <f t="shared" si="638"/>
        <v>0</v>
      </c>
    </row>
    <row r="38398" spans="20:20" ht="18.75" customHeight="1" x14ac:dyDescent="0.35">
      <c r="T38398" s="246">
        <f t="shared" si="638"/>
        <v>0</v>
      </c>
    </row>
    <row r="38399" spans="20:20" ht="18.75" customHeight="1" x14ac:dyDescent="0.35">
      <c r="T38399" s="246">
        <f t="shared" si="638"/>
        <v>0</v>
      </c>
    </row>
    <row r="38400" spans="20:20" ht="18.75" customHeight="1" x14ac:dyDescent="0.35">
      <c r="T38400" s="246">
        <f t="shared" si="638"/>
        <v>0</v>
      </c>
    </row>
    <row r="38401" spans="20:20" ht="18.75" customHeight="1" x14ac:dyDescent="0.35">
      <c r="T38401" s="246">
        <f t="shared" si="638"/>
        <v>0</v>
      </c>
    </row>
    <row r="38402" spans="20:20" ht="18.75" customHeight="1" x14ac:dyDescent="0.35">
      <c r="T38402" s="246">
        <f t="shared" si="638"/>
        <v>0</v>
      </c>
    </row>
    <row r="38403" spans="20:20" ht="18.75" customHeight="1" x14ac:dyDescent="0.35">
      <c r="T38403" s="246">
        <f t="shared" si="638"/>
        <v>0</v>
      </c>
    </row>
    <row r="38404" spans="20:20" ht="18.75" customHeight="1" x14ac:dyDescent="0.35">
      <c r="T38404" s="246">
        <f t="shared" si="638"/>
        <v>0</v>
      </c>
    </row>
    <row r="38405" spans="20:20" ht="18.75" customHeight="1" x14ac:dyDescent="0.35">
      <c r="T38405" s="246">
        <f t="shared" si="638"/>
        <v>0</v>
      </c>
    </row>
    <row r="38406" spans="20:20" ht="18.75" customHeight="1" x14ac:dyDescent="0.35">
      <c r="T38406" s="246">
        <f t="shared" si="638"/>
        <v>0</v>
      </c>
    </row>
    <row r="38407" spans="20:20" ht="18.75" customHeight="1" x14ac:dyDescent="0.35">
      <c r="T38407" s="246">
        <f t="shared" si="638"/>
        <v>0</v>
      </c>
    </row>
    <row r="38408" spans="20:20" ht="18.75" customHeight="1" x14ac:dyDescent="0.35">
      <c r="T38408" s="246">
        <f t="shared" si="638"/>
        <v>0</v>
      </c>
    </row>
    <row r="38409" spans="20:20" ht="18.75" customHeight="1" x14ac:dyDescent="0.35">
      <c r="T38409" s="246">
        <f t="shared" si="638"/>
        <v>0</v>
      </c>
    </row>
    <row r="38410" spans="20:20" ht="18.75" customHeight="1" x14ac:dyDescent="0.35">
      <c r="T38410" s="246">
        <f t="shared" si="638"/>
        <v>0</v>
      </c>
    </row>
    <row r="38411" spans="20:20" ht="18.75" customHeight="1" x14ac:dyDescent="0.35">
      <c r="T38411" s="246">
        <f t="shared" si="638"/>
        <v>0</v>
      </c>
    </row>
    <row r="38412" spans="20:20" ht="18.75" customHeight="1" x14ac:dyDescent="0.35">
      <c r="T38412" s="246">
        <f t="shared" si="638"/>
        <v>0</v>
      </c>
    </row>
    <row r="38413" spans="20:20" ht="18.75" customHeight="1" x14ac:dyDescent="0.35">
      <c r="T38413" s="246">
        <f t="shared" si="638"/>
        <v>0</v>
      </c>
    </row>
    <row r="38414" spans="20:20" ht="18.75" customHeight="1" x14ac:dyDescent="0.35">
      <c r="T38414" s="246">
        <f t="shared" si="638"/>
        <v>0</v>
      </c>
    </row>
    <row r="38415" spans="20:20" ht="18.75" customHeight="1" x14ac:dyDescent="0.35">
      <c r="T38415" s="246">
        <f t="shared" si="638"/>
        <v>0</v>
      </c>
    </row>
    <row r="38416" spans="20:20" ht="18.75" customHeight="1" x14ac:dyDescent="0.35">
      <c r="T38416" s="246">
        <f t="shared" si="638"/>
        <v>0</v>
      </c>
    </row>
    <row r="38417" spans="20:20" ht="18.75" customHeight="1" x14ac:dyDescent="0.35">
      <c r="T38417" s="246">
        <f t="shared" si="638"/>
        <v>0</v>
      </c>
    </row>
    <row r="38418" spans="20:20" ht="18.75" customHeight="1" x14ac:dyDescent="0.35">
      <c r="T38418" s="246">
        <f t="shared" si="638"/>
        <v>0</v>
      </c>
    </row>
    <row r="38419" spans="20:20" ht="18.75" customHeight="1" x14ac:dyDescent="0.35">
      <c r="T38419" s="246">
        <f t="shared" si="638"/>
        <v>0</v>
      </c>
    </row>
    <row r="38420" spans="20:20" ht="18.75" customHeight="1" x14ac:dyDescent="0.35">
      <c r="T38420" s="246">
        <f t="shared" si="638"/>
        <v>0</v>
      </c>
    </row>
    <row r="38421" spans="20:20" ht="18.75" customHeight="1" x14ac:dyDescent="0.35">
      <c r="T38421" s="246">
        <f t="shared" si="638"/>
        <v>0</v>
      </c>
    </row>
    <row r="38422" spans="20:20" ht="18.75" customHeight="1" x14ac:dyDescent="0.35">
      <c r="T38422" s="246">
        <f t="shared" si="638"/>
        <v>0</v>
      </c>
    </row>
    <row r="38423" spans="20:20" ht="18.75" customHeight="1" x14ac:dyDescent="0.35">
      <c r="T38423" s="246">
        <f t="shared" si="638"/>
        <v>0</v>
      </c>
    </row>
    <row r="38424" spans="20:20" ht="18.75" customHeight="1" x14ac:dyDescent="0.35">
      <c r="T38424" s="246">
        <f t="shared" si="638"/>
        <v>0</v>
      </c>
    </row>
    <row r="38425" spans="20:20" ht="18.75" customHeight="1" x14ac:dyDescent="0.35">
      <c r="T38425" s="246">
        <f t="shared" si="638"/>
        <v>0</v>
      </c>
    </row>
    <row r="38426" spans="20:20" ht="18.75" customHeight="1" x14ac:dyDescent="0.35">
      <c r="T38426" s="246">
        <f t="shared" si="638"/>
        <v>0</v>
      </c>
    </row>
    <row r="38427" spans="20:20" ht="18.75" customHeight="1" x14ac:dyDescent="0.35">
      <c r="T38427" s="246">
        <f t="shared" si="638"/>
        <v>0</v>
      </c>
    </row>
    <row r="38428" spans="20:20" ht="18.75" customHeight="1" x14ac:dyDescent="0.35">
      <c r="T38428" s="246">
        <f t="shared" si="638"/>
        <v>0</v>
      </c>
    </row>
    <row r="38429" spans="20:20" ht="18.75" customHeight="1" x14ac:dyDescent="0.35">
      <c r="T38429" s="246">
        <f t="shared" si="638"/>
        <v>0</v>
      </c>
    </row>
    <row r="38430" spans="20:20" ht="18.75" customHeight="1" x14ac:dyDescent="0.35">
      <c r="T38430" s="246">
        <f t="shared" si="638"/>
        <v>0</v>
      </c>
    </row>
    <row r="38431" spans="20:20" ht="18.75" customHeight="1" x14ac:dyDescent="0.35">
      <c r="T38431" s="246">
        <f t="shared" si="638"/>
        <v>0</v>
      </c>
    </row>
    <row r="38432" spans="20:20" ht="18.75" customHeight="1" x14ac:dyDescent="0.35">
      <c r="T38432" s="246">
        <f t="shared" si="638"/>
        <v>0</v>
      </c>
    </row>
    <row r="38433" spans="20:20" ht="18.75" customHeight="1" x14ac:dyDescent="0.35">
      <c r="T38433" s="246">
        <f t="shared" si="638"/>
        <v>0</v>
      </c>
    </row>
    <row r="38434" spans="20:20" ht="18.75" customHeight="1" x14ac:dyDescent="0.35">
      <c r="T38434" s="246">
        <f t="shared" si="638"/>
        <v>0</v>
      </c>
    </row>
    <row r="38435" spans="20:20" ht="18.75" customHeight="1" x14ac:dyDescent="0.35">
      <c r="T38435" s="246">
        <f t="shared" si="638"/>
        <v>0</v>
      </c>
    </row>
    <row r="38436" spans="20:20" ht="18.75" customHeight="1" x14ac:dyDescent="0.35">
      <c r="T38436" s="246">
        <f t="shared" si="638"/>
        <v>0</v>
      </c>
    </row>
    <row r="38437" spans="20:20" ht="18.75" customHeight="1" x14ac:dyDescent="0.35">
      <c r="T38437" s="246">
        <f t="shared" si="638"/>
        <v>0</v>
      </c>
    </row>
    <row r="38438" spans="20:20" ht="18.75" customHeight="1" x14ac:dyDescent="0.35">
      <c r="T38438" s="246">
        <f t="shared" si="638"/>
        <v>0</v>
      </c>
    </row>
    <row r="38439" spans="20:20" ht="18.75" customHeight="1" x14ac:dyDescent="0.35">
      <c r="T38439" s="246">
        <f t="shared" si="638"/>
        <v>0</v>
      </c>
    </row>
    <row r="38440" spans="20:20" ht="18.75" customHeight="1" x14ac:dyDescent="0.35">
      <c r="T38440" s="246">
        <f t="shared" si="638"/>
        <v>0</v>
      </c>
    </row>
    <row r="38441" spans="20:20" ht="18.75" customHeight="1" x14ac:dyDescent="0.35">
      <c r="T38441" s="246">
        <f t="shared" si="638"/>
        <v>0</v>
      </c>
    </row>
    <row r="38442" spans="20:20" ht="18.75" customHeight="1" x14ac:dyDescent="0.35">
      <c r="T38442" s="246">
        <f t="shared" si="638"/>
        <v>0</v>
      </c>
    </row>
    <row r="38443" spans="20:20" ht="18.75" customHeight="1" x14ac:dyDescent="0.35">
      <c r="T38443" s="246">
        <f t="shared" si="638"/>
        <v>0</v>
      </c>
    </row>
    <row r="38444" spans="20:20" ht="18.75" customHeight="1" x14ac:dyDescent="0.35">
      <c r="T38444" s="246">
        <f t="shared" si="638"/>
        <v>0</v>
      </c>
    </row>
    <row r="38445" spans="20:20" ht="18.75" customHeight="1" x14ac:dyDescent="0.35">
      <c r="T38445" s="246">
        <f t="shared" si="638"/>
        <v>0</v>
      </c>
    </row>
    <row r="38446" spans="20:20" ht="18.75" customHeight="1" x14ac:dyDescent="0.35">
      <c r="T38446" s="246">
        <f t="shared" si="638"/>
        <v>0</v>
      </c>
    </row>
    <row r="38447" spans="20:20" ht="18.75" customHeight="1" x14ac:dyDescent="0.35">
      <c r="T38447" s="246">
        <f t="shared" si="638"/>
        <v>0</v>
      </c>
    </row>
    <row r="38448" spans="20:20" ht="18.75" customHeight="1" x14ac:dyDescent="0.35">
      <c r="T38448" s="246">
        <f t="shared" si="638"/>
        <v>0</v>
      </c>
    </row>
    <row r="38449" spans="20:20" ht="18.75" customHeight="1" x14ac:dyDescent="0.35">
      <c r="T38449" s="246">
        <f t="shared" si="638"/>
        <v>0</v>
      </c>
    </row>
    <row r="38450" spans="20:20" ht="18.75" customHeight="1" x14ac:dyDescent="0.35">
      <c r="T38450" s="246">
        <f t="shared" si="638"/>
        <v>0</v>
      </c>
    </row>
    <row r="38451" spans="20:20" ht="18.75" customHeight="1" x14ac:dyDescent="0.35">
      <c r="T38451" s="246">
        <f t="shared" si="638"/>
        <v>0</v>
      </c>
    </row>
    <row r="38452" spans="20:20" ht="18.75" customHeight="1" x14ac:dyDescent="0.35">
      <c r="T38452" s="246">
        <f t="shared" si="638"/>
        <v>0</v>
      </c>
    </row>
    <row r="38453" spans="20:20" ht="18.75" customHeight="1" x14ac:dyDescent="0.35">
      <c r="T38453" s="246">
        <f t="shared" si="638"/>
        <v>0</v>
      </c>
    </row>
    <row r="38454" spans="20:20" ht="18.75" customHeight="1" x14ac:dyDescent="0.35">
      <c r="T38454" s="246">
        <f t="shared" si="638"/>
        <v>0</v>
      </c>
    </row>
    <row r="38455" spans="20:20" ht="18.75" customHeight="1" x14ac:dyDescent="0.35">
      <c r="T38455" s="246">
        <f t="shared" si="638"/>
        <v>0</v>
      </c>
    </row>
    <row r="38456" spans="20:20" ht="18.75" customHeight="1" x14ac:dyDescent="0.35">
      <c r="T38456" s="246">
        <f t="shared" si="638"/>
        <v>0</v>
      </c>
    </row>
    <row r="38457" spans="20:20" ht="18.75" customHeight="1" x14ac:dyDescent="0.35">
      <c r="T38457" s="246">
        <f t="shared" si="638"/>
        <v>0</v>
      </c>
    </row>
    <row r="38458" spans="20:20" ht="18.75" customHeight="1" x14ac:dyDescent="0.35">
      <c r="T38458" s="246">
        <f t="shared" si="638"/>
        <v>0</v>
      </c>
    </row>
    <row r="38459" spans="20:20" ht="18.75" customHeight="1" x14ac:dyDescent="0.35">
      <c r="T38459" s="246">
        <f t="shared" si="638"/>
        <v>0</v>
      </c>
    </row>
    <row r="38460" spans="20:20" ht="18.75" customHeight="1" x14ac:dyDescent="0.35">
      <c r="T38460" s="246">
        <f t="shared" ref="T38460:T38523" si="639">R38460*0.01</f>
        <v>0</v>
      </c>
    </row>
    <row r="38461" spans="20:20" ht="18.75" customHeight="1" x14ac:dyDescent="0.35">
      <c r="T38461" s="246">
        <f t="shared" si="639"/>
        <v>0</v>
      </c>
    </row>
    <row r="38462" spans="20:20" ht="18.75" customHeight="1" x14ac:dyDescent="0.35">
      <c r="T38462" s="246">
        <f t="shared" si="639"/>
        <v>0</v>
      </c>
    </row>
    <row r="38463" spans="20:20" ht="18.75" customHeight="1" x14ac:dyDescent="0.35">
      <c r="T38463" s="246">
        <f t="shared" si="639"/>
        <v>0</v>
      </c>
    </row>
    <row r="38464" spans="20:20" ht="18.75" customHeight="1" x14ac:dyDescent="0.35">
      <c r="T38464" s="246">
        <f t="shared" si="639"/>
        <v>0</v>
      </c>
    </row>
    <row r="38465" spans="20:20" ht="18.75" customHeight="1" x14ac:dyDescent="0.35">
      <c r="T38465" s="246">
        <f t="shared" si="639"/>
        <v>0</v>
      </c>
    </row>
    <row r="38466" spans="20:20" ht="18.75" customHeight="1" x14ac:dyDescent="0.35">
      <c r="T38466" s="246">
        <f t="shared" si="639"/>
        <v>0</v>
      </c>
    </row>
    <row r="38467" spans="20:20" ht="18.75" customHeight="1" x14ac:dyDescent="0.35">
      <c r="T38467" s="246">
        <f t="shared" si="639"/>
        <v>0</v>
      </c>
    </row>
    <row r="38468" spans="20:20" ht="18.75" customHeight="1" x14ac:dyDescent="0.35">
      <c r="T38468" s="246">
        <f t="shared" si="639"/>
        <v>0</v>
      </c>
    </row>
    <row r="38469" spans="20:20" ht="18.75" customHeight="1" x14ac:dyDescent="0.35">
      <c r="T38469" s="246">
        <f t="shared" si="639"/>
        <v>0</v>
      </c>
    </row>
    <row r="38470" spans="20:20" ht="18.75" customHeight="1" x14ac:dyDescent="0.35">
      <c r="T38470" s="246">
        <f t="shared" si="639"/>
        <v>0</v>
      </c>
    </row>
    <row r="38471" spans="20:20" ht="18.75" customHeight="1" x14ac:dyDescent="0.35">
      <c r="T38471" s="246">
        <f t="shared" si="639"/>
        <v>0</v>
      </c>
    </row>
    <row r="38472" spans="20:20" ht="18.75" customHeight="1" x14ac:dyDescent="0.35">
      <c r="T38472" s="246">
        <f t="shared" si="639"/>
        <v>0</v>
      </c>
    </row>
    <row r="38473" spans="20:20" ht="18.75" customHeight="1" x14ac:dyDescent="0.35">
      <c r="T38473" s="246">
        <f t="shared" si="639"/>
        <v>0</v>
      </c>
    </row>
    <row r="38474" spans="20:20" ht="18.75" customHeight="1" x14ac:dyDescent="0.35">
      <c r="T38474" s="246">
        <f t="shared" si="639"/>
        <v>0</v>
      </c>
    </row>
    <row r="38475" spans="20:20" ht="18.75" customHeight="1" x14ac:dyDescent="0.35">
      <c r="T38475" s="246">
        <f t="shared" si="639"/>
        <v>0</v>
      </c>
    </row>
    <row r="38476" spans="20:20" ht="18.75" customHeight="1" x14ac:dyDescent="0.35">
      <c r="T38476" s="246">
        <f t="shared" si="639"/>
        <v>0</v>
      </c>
    </row>
    <row r="38477" spans="20:20" ht="18.75" customHeight="1" x14ac:dyDescent="0.35">
      <c r="T38477" s="246">
        <f t="shared" si="639"/>
        <v>0</v>
      </c>
    </row>
    <row r="38478" spans="20:20" ht="18.75" customHeight="1" x14ac:dyDescent="0.35">
      <c r="T38478" s="246">
        <f t="shared" si="639"/>
        <v>0</v>
      </c>
    </row>
    <row r="38479" spans="20:20" ht="18.75" customHeight="1" x14ac:dyDescent="0.35">
      <c r="T38479" s="246">
        <f t="shared" si="639"/>
        <v>0</v>
      </c>
    </row>
    <row r="38480" spans="20:20" ht="18.75" customHeight="1" x14ac:dyDescent="0.35">
      <c r="T38480" s="246">
        <f t="shared" si="639"/>
        <v>0</v>
      </c>
    </row>
    <row r="38481" spans="20:20" ht="18.75" customHeight="1" x14ac:dyDescent="0.35">
      <c r="T38481" s="246">
        <f t="shared" si="639"/>
        <v>0</v>
      </c>
    </row>
    <row r="38482" spans="20:20" ht="18.75" customHeight="1" x14ac:dyDescent="0.35">
      <c r="T38482" s="246">
        <f t="shared" si="639"/>
        <v>0</v>
      </c>
    </row>
    <row r="38483" spans="20:20" ht="18.75" customHeight="1" x14ac:dyDescent="0.35">
      <c r="T38483" s="246">
        <f t="shared" si="639"/>
        <v>0</v>
      </c>
    </row>
    <row r="38484" spans="20:20" ht="18.75" customHeight="1" x14ac:dyDescent="0.35">
      <c r="T38484" s="246">
        <f t="shared" si="639"/>
        <v>0</v>
      </c>
    </row>
    <row r="38485" spans="20:20" ht="18.75" customHeight="1" x14ac:dyDescent="0.35">
      <c r="T38485" s="246">
        <f t="shared" si="639"/>
        <v>0</v>
      </c>
    </row>
    <row r="38486" spans="20:20" ht="18.75" customHeight="1" x14ac:dyDescent="0.35">
      <c r="T38486" s="246">
        <f t="shared" si="639"/>
        <v>0</v>
      </c>
    </row>
    <row r="38487" spans="20:20" ht="18.75" customHeight="1" x14ac:dyDescent="0.35">
      <c r="T38487" s="246">
        <f t="shared" si="639"/>
        <v>0</v>
      </c>
    </row>
    <row r="38488" spans="20:20" ht="18.75" customHeight="1" x14ac:dyDescent="0.35">
      <c r="T38488" s="246">
        <f t="shared" si="639"/>
        <v>0</v>
      </c>
    </row>
    <row r="38489" spans="20:20" ht="18.75" customHeight="1" x14ac:dyDescent="0.35">
      <c r="T38489" s="246">
        <f t="shared" si="639"/>
        <v>0</v>
      </c>
    </row>
    <row r="38490" spans="20:20" ht="18.75" customHeight="1" x14ac:dyDescent="0.35">
      <c r="T38490" s="246">
        <f t="shared" si="639"/>
        <v>0</v>
      </c>
    </row>
    <row r="38491" spans="20:20" ht="18.75" customHeight="1" x14ac:dyDescent="0.35">
      <c r="T38491" s="246">
        <f t="shared" si="639"/>
        <v>0</v>
      </c>
    </row>
    <row r="38492" spans="20:20" ht="18.75" customHeight="1" x14ac:dyDescent="0.35">
      <c r="T38492" s="246">
        <f t="shared" si="639"/>
        <v>0</v>
      </c>
    </row>
    <row r="38493" spans="20:20" ht="18.75" customHeight="1" x14ac:dyDescent="0.35">
      <c r="T38493" s="246">
        <f t="shared" si="639"/>
        <v>0</v>
      </c>
    </row>
    <row r="38494" spans="20:20" ht="18.75" customHeight="1" x14ac:dyDescent="0.35">
      <c r="T38494" s="246">
        <f t="shared" si="639"/>
        <v>0</v>
      </c>
    </row>
    <row r="38495" spans="20:20" ht="18.75" customHeight="1" x14ac:dyDescent="0.35">
      <c r="T38495" s="246">
        <f t="shared" si="639"/>
        <v>0</v>
      </c>
    </row>
    <row r="38496" spans="20:20" ht="18.75" customHeight="1" x14ac:dyDescent="0.35">
      <c r="T38496" s="246">
        <f t="shared" si="639"/>
        <v>0</v>
      </c>
    </row>
    <row r="38497" spans="20:20" ht="18.75" customHeight="1" x14ac:dyDescent="0.35">
      <c r="T38497" s="246">
        <f t="shared" si="639"/>
        <v>0</v>
      </c>
    </row>
    <row r="38498" spans="20:20" ht="18.75" customHeight="1" x14ac:dyDescent="0.35">
      <c r="T38498" s="246">
        <f t="shared" si="639"/>
        <v>0</v>
      </c>
    </row>
    <row r="38499" spans="20:20" ht="18.75" customHeight="1" x14ac:dyDescent="0.35">
      <c r="T38499" s="246">
        <f t="shared" si="639"/>
        <v>0</v>
      </c>
    </row>
    <row r="38500" spans="20:20" ht="18.75" customHeight="1" x14ac:dyDescent="0.35">
      <c r="T38500" s="246">
        <f t="shared" si="639"/>
        <v>0</v>
      </c>
    </row>
    <row r="38501" spans="20:20" ht="18.75" customHeight="1" x14ac:dyDescent="0.35">
      <c r="T38501" s="246">
        <f t="shared" si="639"/>
        <v>0</v>
      </c>
    </row>
    <row r="38502" spans="20:20" ht="18.75" customHeight="1" x14ac:dyDescent="0.35">
      <c r="T38502" s="246">
        <f t="shared" si="639"/>
        <v>0</v>
      </c>
    </row>
    <row r="38503" spans="20:20" ht="18.75" customHeight="1" x14ac:dyDescent="0.35">
      <c r="T38503" s="246">
        <f t="shared" si="639"/>
        <v>0</v>
      </c>
    </row>
    <row r="38504" spans="20:20" ht="18.75" customHeight="1" x14ac:dyDescent="0.35">
      <c r="T38504" s="246">
        <f t="shared" si="639"/>
        <v>0</v>
      </c>
    </row>
    <row r="38505" spans="20:20" ht="18.75" customHeight="1" x14ac:dyDescent="0.35">
      <c r="T38505" s="246">
        <f t="shared" si="639"/>
        <v>0</v>
      </c>
    </row>
    <row r="38506" spans="20:20" ht="18.75" customHeight="1" x14ac:dyDescent="0.35">
      <c r="T38506" s="246">
        <f t="shared" si="639"/>
        <v>0</v>
      </c>
    </row>
    <row r="38507" spans="20:20" ht="18.75" customHeight="1" x14ac:dyDescent="0.35">
      <c r="T38507" s="246">
        <f t="shared" si="639"/>
        <v>0</v>
      </c>
    </row>
    <row r="38508" spans="20:20" ht="18.75" customHeight="1" x14ac:dyDescent="0.35">
      <c r="T38508" s="246">
        <f t="shared" si="639"/>
        <v>0</v>
      </c>
    </row>
    <row r="38509" spans="20:20" ht="18.75" customHeight="1" x14ac:dyDescent="0.35">
      <c r="T38509" s="246">
        <f t="shared" si="639"/>
        <v>0</v>
      </c>
    </row>
    <row r="38510" spans="20:20" ht="18.75" customHeight="1" x14ac:dyDescent="0.35">
      <c r="T38510" s="246">
        <f t="shared" si="639"/>
        <v>0</v>
      </c>
    </row>
    <row r="38511" spans="20:20" ht="18.75" customHeight="1" x14ac:dyDescent="0.35">
      <c r="T38511" s="246">
        <f t="shared" si="639"/>
        <v>0</v>
      </c>
    </row>
    <row r="38512" spans="20:20" ht="18.75" customHeight="1" x14ac:dyDescent="0.35">
      <c r="T38512" s="246">
        <f t="shared" si="639"/>
        <v>0</v>
      </c>
    </row>
    <row r="38513" spans="20:20" ht="18.75" customHeight="1" x14ac:dyDescent="0.35">
      <c r="T38513" s="246">
        <f t="shared" si="639"/>
        <v>0</v>
      </c>
    </row>
    <row r="38514" spans="20:20" ht="18.75" customHeight="1" x14ac:dyDescent="0.35">
      <c r="T38514" s="246">
        <f t="shared" si="639"/>
        <v>0</v>
      </c>
    </row>
    <row r="38515" spans="20:20" ht="18.75" customHeight="1" x14ac:dyDescent="0.35">
      <c r="T38515" s="246">
        <f t="shared" si="639"/>
        <v>0</v>
      </c>
    </row>
    <row r="38516" spans="20:20" ht="18.75" customHeight="1" x14ac:dyDescent="0.35">
      <c r="T38516" s="246">
        <f t="shared" si="639"/>
        <v>0</v>
      </c>
    </row>
    <row r="38517" spans="20:20" ht="18.75" customHeight="1" x14ac:dyDescent="0.35">
      <c r="T38517" s="246">
        <f t="shared" si="639"/>
        <v>0</v>
      </c>
    </row>
    <row r="38518" spans="20:20" ht="18.75" customHeight="1" x14ac:dyDescent="0.35">
      <c r="T38518" s="246">
        <f t="shared" si="639"/>
        <v>0</v>
      </c>
    </row>
    <row r="38519" spans="20:20" ht="18.75" customHeight="1" x14ac:dyDescent="0.35">
      <c r="T38519" s="246">
        <f t="shared" si="639"/>
        <v>0</v>
      </c>
    </row>
    <row r="38520" spans="20:20" ht="18.75" customHeight="1" x14ac:dyDescent="0.35">
      <c r="T38520" s="246">
        <f t="shared" si="639"/>
        <v>0</v>
      </c>
    </row>
    <row r="38521" spans="20:20" ht="18.75" customHeight="1" x14ac:dyDescent="0.35">
      <c r="T38521" s="246">
        <f t="shared" si="639"/>
        <v>0</v>
      </c>
    </row>
    <row r="38522" spans="20:20" ht="18.75" customHeight="1" x14ac:dyDescent="0.35">
      <c r="T38522" s="246">
        <f t="shared" si="639"/>
        <v>0</v>
      </c>
    </row>
    <row r="38523" spans="20:20" ht="18.75" customHeight="1" x14ac:dyDescent="0.35">
      <c r="T38523" s="246">
        <f t="shared" si="639"/>
        <v>0</v>
      </c>
    </row>
    <row r="38524" spans="20:20" ht="18.75" customHeight="1" x14ac:dyDescent="0.35">
      <c r="T38524" s="246">
        <f t="shared" ref="T38524:T38587" si="640">R38524*0.01</f>
        <v>0</v>
      </c>
    </row>
    <row r="38525" spans="20:20" ht="18.75" customHeight="1" x14ac:dyDescent="0.35">
      <c r="T38525" s="246">
        <f t="shared" si="640"/>
        <v>0</v>
      </c>
    </row>
    <row r="38526" spans="20:20" ht="18.75" customHeight="1" x14ac:dyDescent="0.35">
      <c r="T38526" s="246">
        <f t="shared" si="640"/>
        <v>0</v>
      </c>
    </row>
    <row r="38527" spans="20:20" ht="18.75" customHeight="1" x14ac:dyDescent="0.35">
      <c r="T38527" s="246">
        <f t="shared" si="640"/>
        <v>0</v>
      </c>
    </row>
    <row r="38528" spans="20:20" ht="18.75" customHeight="1" x14ac:dyDescent="0.35">
      <c r="T38528" s="246">
        <f t="shared" si="640"/>
        <v>0</v>
      </c>
    </row>
    <row r="38529" spans="20:20" ht="18.75" customHeight="1" x14ac:dyDescent="0.35">
      <c r="T38529" s="246">
        <f t="shared" si="640"/>
        <v>0</v>
      </c>
    </row>
    <row r="38530" spans="20:20" ht="18.75" customHeight="1" x14ac:dyDescent="0.35">
      <c r="T38530" s="246">
        <f t="shared" si="640"/>
        <v>0</v>
      </c>
    </row>
    <row r="38531" spans="20:20" ht="18.75" customHeight="1" x14ac:dyDescent="0.35">
      <c r="T38531" s="246">
        <f t="shared" si="640"/>
        <v>0</v>
      </c>
    </row>
    <row r="38532" spans="20:20" ht="18.75" customHeight="1" x14ac:dyDescent="0.35">
      <c r="T38532" s="246">
        <f t="shared" si="640"/>
        <v>0</v>
      </c>
    </row>
    <row r="38533" spans="20:20" ht="18.75" customHeight="1" x14ac:dyDescent="0.35">
      <c r="T38533" s="246">
        <f t="shared" si="640"/>
        <v>0</v>
      </c>
    </row>
    <row r="38534" spans="20:20" ht="18.75" customHeight="1" x14ac:dyDescent="0.35">
      <c r="T38534" s="246">
        <f t="shared" si="640"/>
        <v>0</v>
      </c>
    </row>
    <row r="38535" spans="20:20" ht="18.75" customHeight="1" x14ac:dyDescent="0.35">
      <c r="T38535" s="246">
        <f t="shared" si="640"/>
        <v>0</v>
      </c>
    </row>
    <row r="38536" spans="20:20" ht="18.75" customHeight="1" x14ac:dyDescent="0.35">
      <c r="T38536" s="246">
        <f t="shared" si="640"/>
        <v>0</v>
      </c>
    </row>
    <row r="38537" spans="20:20" ht="18.75" customHeight="1" x14ac:dyDescent="0.35">
      <c r="T38537" s="246">
        <f t="shared" si="640"/>
        <v>0</v>
      </c>
    </row>
    <row r="38538" spans="20:20" ht="18.75" customHeight="1" x14ac:dyDescent="0.35">
      <c r="T38538" s="246">
        <f t="shared" si="640"/>
        <v>0</v>
      </c>
    </row>
    <row r="38539" spans="20:20" ht="18.75" customHeight="1" x14ac:dyDescent="0.35">
      <c r="T38539" s="246">
        <f t="shared" si="640"/>
        <v>0</v>
      </c>
    </row>
    <row r="38540" spans="20:20" ht="18.75" customHeight="1" x14ac:dyDescent="0.35">
      <c r="T38540" s="246">
        <f t="shared" si="640"/>
        <v>0</v>
      </c>
    </row>
    <row r="38541" spans="20:20" ht="18.75" customHeight="1" x14ac:dyDescent="0.35">
      <c r="T38541" s="246">
        <f t="shared" si="640"/>
        <v>0</v>
      </c>
    </row>
    <row r="38542" spans="20:20" ht="18.75" customHeight="1" x14ac:dyDescent="0.35">
      <c r="T38542" s="246">
        <f t="shared" si="640"/>
        <v>0</v>
      </c>
    </row>
    <row r="38543" spans="20:20" ht="18.75" customHeight="1" x14ac:dyDescent="0.35">
      <c r="T38543" s="246">
        <f t="shared" si="640"/>
        <v>0</v>
      </c>
    </row>
    <row r="38544" spans="20:20" ht="18.75" customHeight="1" x14ac:dyDescent="0.35">
      <c r="T38544" s="246">
        <f t="shared" si="640"/>
        <v>0</v>
      </c>
    </row>
    <row r="38545" spans="20:20" ht="18.75" customHeight="1" x14ac:dyDescent="0.35">
      <c r="T38545" s="246">
        <f t="shared" si="640"/>
        <v>0</v>
      </c>
    </row>
    <row r="38546" spans="20:20" ht="18.75" customHeight="1" x14ac:dyDescent="0.35">
      <c r="T38546" s="246">
        <f t="shared" si="640"/>
        <v>0</v>
      </c>
    </row>
    <row r="38547" spans="20:20" ht="18.75" customHeight="1" x14ac:dyDescent="0.35">
      <c r="T38547" s="246">
        <f t="shared" si="640"/>
        <v>0</v>
      </c>
    </row>
    <row r="38548" spans="20:20" ht="18.75" customHeight="1" x14ac:dyDescent="0.35">
      <c r="T38548" s="246">
        <f t="shared" si="640"/>
        <v>0</v>
      </c>
    </row>
    <row r="38549" spans="20:20" ht="18.75" customHeight="1" x14ac:dyDescent="0.35">
      <c r="T38549" s="246">
        <f t="shared" si="640"/>
        <v>0</v>
      </c>
    </row>
    <row r="38550" spans="20:20" ht="18.75" customHeight="1" x14ac:dyDescent="0.35">
      <c r="T38550" s="246">
        <f t="shared" si="640"/>
        <v>0</v>
      </c>
    </row>
    <row r="38551" spans="20:20" ht="18.75" customHeight="1" x14ac:dyDescent="0.35">
      <c r="T38551" s="246">
        <f t="shared" si="640"/>
        <v>0</v>
      </c>
    </row>
    <row r="38552" spans="20:20" ht="18.75" customHeight="1" x14ac:dyDescent="0.35">
      <c r="T38552" s="246">
        <f t="shared" si="640"/>
        <v>0</v>
      </c>
    </row>
    <row r="38553" spans="20:20" ht="18.75" customHeight="1" x14ac:dyDescent="0.35">
      <c r="T38553" s="246">
        <f t="shared" si="640"/>
        <v>0</v>
      </c>
    </row>
    <row r="38554" spans="20:20" ht="18.75" customHeight="1" x14ac:dyDescent="0.35">
      <c r="T38554" s="246">
        <f t="shared" si="640"/>
        <v>0</v>
      </c>
    </row>
    <row r="38555" spans="20:20" ht="18.75" customHeight="1" x14ac:dyDescent="0.35">
      <c r="T38555" s="246">
        <f t="shared" si="640"/>
        <v>0</v>
      </c>
    </row>
    <row r="38556" spans="20:20" ht="18.75" customHeight="1" x14ac:dyDescent="0.35">
      <c r="T38556" s="246">
        <f t="shared" si="640"/>
        <v>0</v>
      </c>
    </row>
    <row r="38557" spans="20:20" ht="18.75" customHeight="1" x14ac:dyDescent="0.35">
      <c r="T38557" s="246">
        <f t="shared" si="640"/>
        <v>0</v>
      </c>
    </row>
    <row r="38558" spans="20:20" ht="18.75" customHeight="1" x14ac:dyDescent="0.35">
      <c r="T38558" s="246">
        <f t="shared" si="640"/>
        <v>0</v>
      </c>
    </row>
    <row r="38559" spans="20:20" ht="18.75" customHeight="1" x14ac:dyDescent="0.35">
      <c r="T38559" s="246">
        <f t="shared" si="640"/>
        <v>0</v>
      </c>
    </row>
    <row r="38560" spans="20:20" ht="18.75" customHeight="1" x14ac:dyDescent="0.35">
      <c r="T38560" s="246">
        <f t="shared" si="640"/>
        <v>0</v>
      </c>
    </row>
    <row r="38561" spans="20:20" ht="18.75" customHeight="1" x14ac:dyDescent="0.35">
      <c r="T38561" s="246">
        <f t="shared" si="640"/>
        <v>0</v>
      </c>
    </row>
    <row r="38562" spans="20:20" ht="18.75" customHeight="1" x14ac:dyDescent="0.35">
      <c r="T38562" s="246">
        <f t="shared" si="640"/>
        <v>0</v>
      </c>
    </row>
    <row r="38563" spans="20:20" ht="18.75" customHeight="1" x14ac:dyDescent="0.35">
      <c r="T38563" s="246">
        <f t="shared" si="640"/>
        <v>0</v>
      </c>
    </row>
    <row r="38564" spans="20:20" ht="18.75" customHeight="1" x14ac:dyDescent="0.35">
      <c r="T38564" s="246">
        <f t="shared" si="640"/>
        <v>0</v>
      </c>
    </row>
    <row r="38565" spans="20:20" ht="18.75" customHeight="1" x14ac:dyDescent="0.35">
      <c r="T38565" s="246">
        <f t="shared" si="640"/>
        <v>0</v>
      </c>
    </row>
    <row r="38566" spans="20:20" ht="18.75" customHeight="1" x14ac:dyDescent="0.35">
      <c r="T38566" s="246">
        <f t="shared" si="640"/>
        <v>0</v>
      </c>
    </row>
    <row r="38567" spans="20:20" ht="18.75" customHeight="1" x14ac:dyDescent="0.35">
      <c r="T38567" s="246">
        <f t="shared" si="640"/>
        <v>0</v>
      </c>
    </row>
    <row r="38568" spans="20:20" ht="18.75" customHeight="1" x14ac:dyDescent="0.35">
      <c r="T38568" s="246">
        <f t="shared" si="640"/>
        <v>0</v>
      </c>
    </row>
    <row r="38569" spans="20:20" ht="18.75" customHeight="1" x14ac:dyDescent="0.35">
      <c r="T38569" s="246">
        <f t="shared" si="640"/>
        <v>0</v>
      </c>
    </row>
    <row r="38570" spans="20:20" ht="18.75" customHeight="1" x14ac:dyDescent="0.35">
      <c r="T38570" s="246">
        <f t="shared" si="640"/>
        <v>0</v>
      </c>
    </row>
    <row r="38571" spans="20:20" ht="18.75" customHeight="1" x14ac:dyDescent="0.35">
      <c r="T38571" s="246">
        <f t="shared" si="640"/>
        <v>0</v>
      </c>
    </row>
    <row r="38572" spans="20:20" ht="18.75" customHeight="1" x14ac:dyDescent="0.35">
      <c r="T38572" s="246">
        <f t="shared" si="640"/>
        <v>0</v>
      </c>
    </row>
    <row r="38573" spans="20:20" ht="18.75" customHeight="1" x14ac:dyDescent="0.35">
      <c r="T38573" s="246">
        <f t="shared" si="640"/>
        <v>0</v>
      </c>
    </row>
    <row r="38574" spans="20:20" ht="18.75" customHeight="1" x14ac:dyDescent="0.35">
      <c r="T38574" s="246">
        <f t="shared" si="640"/>
        <v>0</v>
      </c>
    </row>
    <row r="38575" spans="20:20" ht="18.75" customHeight="1" x14ac:dyDescent="0.35">
      <c r="T38575" s="246">
        <f t="shared" si="640"/>
        <v>0</v>
      </c>
    </row>
    <row r="38576" spans="20:20" ht="18.75" customHeight="1" x14ac:dyDescent="0.35">
      <c r="T38576" s="246">
        <f t="shared" si="640"/>
        <v>0</v>
      </c>
    </row>
    <row r="38577" spans="20:20" ht="18.75" customHeight="1" x14ac:dyDescent="0.35">
      <c r="T38577" s="246">
        <f t="shared" si="640"/>
        <v>0</v>
      </c>
    </row>
    <row r="38578" spans="20:20" ht="18.75" customHeight="1" x14ac:dyDescent="0.35">
      <c r="T38578" s="246">
        <f t="shared" si="640"/>
        <v>0</v>
      </c>
    </row>
    <row r="38579" spans="20:20" ht="18.75" customHeight="1" x14ac:dyDescent="0.35">
      <c r="T38579" s="246">
        <f t="shared" si="640"/>
        <v>0</v>
      </c>
    </row>
    <row r="38580" spans="20:20" ht="18.75" customHeight="1" x14ac:dyDescent="0.35">
      <c r="T38580" s="246">
        <f t="shared" si="640"/>
        <v>0</v>
      </c>
    </row>
    <row r="38581" spans="20:20" ht="18.75" customHeight="1" x14ac:dyDescent="0.35">
      <c r="T38581" s="246">
        <f t="shared" si="640"/>
        <v>0</v>
      </c>
    </row>
    <row r="38582" spans="20:20" ht="18.75" customHeight="1" x14ac:dyDescent="0.35">
      <c r="T38582" s="246">
        <f t="shared" si="640"/>
        <v>0</v>
      </c>
    </row>
    <row r="38583" spans="20:20" ht="18.75" customHeight="1" x14ac:dyDescent="0.35">
      <c r="T38583" s="246">
        <f t="shared" si="640"/>
        <v>0</v>
      </c>
    </row>
    <row r="38584" spans="20:20" ht="18.75" customHeight="1" x14ac:dyDescent="0.35">
      <c r="T38584" s="246">
        <f t="shared" si="640"/>
        <v>0</v>
      </c>
    </row>
    <row r="38585" spans="20:20" ht="18.75" customHeight="1" x14ac:dyDescent="0.35">
      <c r="T38585" s="246">
        <f t="shared" si="640"/>
        <v>0</v>
      </c>
    </row>
    <row r="38586" spans="20:20" ht="18.75" customHeight="1" x14ac:dyDescent="0.35">
      <c r="T38586" s="246">
        <f t="shared" si="640"/>
        <v>0</v>
      </c>
    </row>
    <row r="38587" spans="20:20" ht="18.75" customHeight="1" x14ac:dyDescent="0.35">
      <c r="T38587" s="246">
        <f t="shared" si="640"/>
        <v>0</v>
      </c>
    </row>
    <row r="38588" spans="20:20" ht="18.75" customHeight="1" x14ac:dyDescent="0.35">
      <c r="T38588" s="246">
        <f t="shared" ref="T38588:T38651" si="641">R38588*0.01</f>
        <v>0</v>
      </c>
    </row>
    <row r="38589" spans="20:20" ht="18.75" customHeight="1" x14ac:dyDescent="0.35">
      <c r="T38589" s="246">
        <f t="shared" si="641"/>
        <v>0</v>
      </c>
    </row>
    <row r="38590" spans="20:20" ht="18.75" customHeight="1" x14ac:dyDescent="0.35">
      <c r="T38590" s="246">
        <f t="shared" si="641"/>
        <v>0</v>
      </c>
    </row>
    <row r="38591" spans="20:20" ht="18.75" customHeight="1" x14ac:dyDescent="0.35">
      <c r="T38591" s="246">
        <f t="shared" si="641"/>
        <v>0</v>
      </c>
    </row>
    <row r="38592" spans="20:20" ht="18.75" customHeight="1" x14ac:dyDescent="0.35">
      <c r="T38592" s="246">
        <f t="shared" si="641"/>
        <v>0</v>
      </c>
    </row>
    <row r="38593" spans="20:20" ht="18.75" customHeight="1" x14ac:dyDescent="0.35">
      <c r="T38593" s="246">
        <f t="shared" si="641"/>
        <v>0</v>
      </c>
    </row>
    <row r="38594" spans="20:20" ht="18.75" customHeight="1" x14ac:dyDescent="0.35">
      <c r="T38594" s="246">
        <f t="shared" si="641"/>
        <v>0</v>
      </c>
    </row>
    <row r="38595" spans="20:20" ht="18.75" customHeight="1" x14ac:dyDescent="0.35">
      <c r="T38595" s="246">
        <f t="shared" si="641"/>
        <v>0</v>
      </c>
    </row>
    <row r="38596" spans="20:20" ht="18.75" customHeight="1" x14ac:dyDescent="0.35">
      <c r="T38596" s="246">
        <f t="shared" si="641"/>
        <v>0</v>
      </c>
    </row>
    <row r="38597" spans="20:20" ht="18.75" customHeight="1" x14ac:dyDescent="0.35">
      <c r="T38597" s="246">
        <f t="shared" si="641"/>
        <v>0</v>
      </c>
    </row>
    <row r="38598" spans="20:20" ht="18.75" customHeight="1" x14ac:dyDescent="0.35">
      <c r="T38598" s="246">
        <f t="shared" si="641"/>
        <v>0</v>
      </c>
    </row>
    <row r="38599" spans="20:20" ht="18.75" customHeight="1" x14ac:dyDescent="0.35">
      <c r="T38599" s="246">
        <f t="shared" si="641"/>
        <v>0</v>
      </c>
    </row>
    <row r="38600" spans="20:20" ht="18.75" customHeight="1" x14ac:dyDescent="0.35">
      <c r="T38600" s="246">
        <f t="shared" si="641"/>
        <v>0</v>
      </c>
    </row>
    <row r="38601" spans="20:20" ht="18.75" customHeight="1" x14ac:dyDescent="0.35">
      <c r="T38601" s="246">
        <f t="shared" si="641"/>
        <v>0</v>
      </c>
    </row>
    <row r="38602" spans="20:20" ht="18.75" customHeight="1" x14ac:dyDescent="0.35">
      <c r="T38602" s="246">
        <f t="shared" si="641"/>
        <v>0</v>
      </c>
    </row>
    <row r="38603" spans="20:20" ht="18.75" customHeight="1" x14ac:dyDescent="0.35">
      <c r="T38603" s="246">
        <f t="shared" si="641"/>
        <v>0</v>
      </c>
    </row>
    <row r="38604" spans="20:20" ht="18.75" customHeight="1" x14ac:dyDescent="0.35">
      <c r="T38604" s="246">
        <f t="shared" si="641"/>
        <v>0</v>
      </c>
    </row>
    <row r="38605" spans="20:20" ht="18.75" customHeight="1" x14ac:dyDescent="0.35">
      <c r="T38605" s="246">
        <f t="shared" si="641"/>
        <v>0</v>
      </c>
    </row>
    <row r="38606" spans="20:20" ht="18.75" customHeight="1" x14ac:dyDescent="0.35">
      <c r="T38606" s="246">
        <f t="shared" si="641"/>
        <v>0</v>
      </c>
    </row>
    <row r="38607" spans="20:20" ht="18.75" customHeight="1" x14ac:dyDescent="0.35">
      <c r="T38607" s="246">
        <f t="shared" si="641"/>
        <v>0</v>
      </c>
    </row>
    <row r="38608" spans="20:20" ht="18.75" customHeight="1" x14ac:dyDescent="0.35">
      <c r="T38608" s="246">
        <f t="shared" si="641"/>
        <v>0</v>
      </c>
    </row>
    <row r="38609" spans="20:20" ht="18.75" customHeight="1" x14ac:dyDescent="0.35">
      <c r="T38609" s="246">
        <f t="shared" si="641"/>
        <v>0</v>
      </c>
    </row>
    <row r="38610" spans="20:20" ht="18.75" customHeight="1" x14ac:dyDescent="0.35">
      <c r="T38610" s="246">
        <f t="shared" si="641"/>
        <v>0</v>
      </c>
    </row>
    <row r="38611" spans="20:20" ht="18.75" customHeight="1" x14ac:dyDescent="0.35">
      <c r="T38611" s="246">
        <f t="shared" si="641"/>
        <v>0</v>
      </c>
    </row>
    <row r="38612" spans="20:20" ht="18.75" customHeight="1" x14ac:dyDescent="0.35">
      <c r="T38612" s="246">
        <f t="shared" si="641"/>
        <v>0</v>
      </c>
    </row>
    <row r="38613" spans="20:20" ht="18.75" customHeight="1" x14ac:dyDescent="0.35">
      <c r="T38613" s="246">
        <f t="shared" si="641"/>
        <v>0</v>
      </c>
    </row>
    <row r="38614" spans="20:20" ht="18.75" customHeight="1" x14ac:dyDescent="0.35">
      <c r="T38614" s="246">
        <f t="shared" si="641"/>
        <v>0</v>
      </c>
    </row>
    <row r="38615" spans="20:20" ht="18.75" customHeight="1" x14ac:dyDescent="0.35">
      <c r="T38615" s="246">
        <f t="shared" si="641"/>
        <v>0</v>
      </c>
    </row>
    <row r="38616" spans="20:20" ht="18.75" customHeight="1" x14ac:dyDescent="0.35">
      <c r="T38616" s="246">
        <f t="shared" si="641"/>
        <v>0</v>
      </c>
    </row>
    <row r="38617" spans="20:20" ht="18.75" customHeight="1" x14ac:dyDescent="0.35">
      <c r="T38617" s="246">
        <f t="shared" si="641"/>
        <v>0</v>
      </c>
    </row>
    <row r="38618" spans="20:20" ht="18.75" customHeight="1" x14ac:dyDescent="0.35">
      <c r="T38618" s="246">
        <f t="shared" si="641"/>
        <v>0</v>
      </c>
    </row>
    <row r="38619" spans="20:20" ht="18.75" customHeight="1" x14ac:dyDescent="0.35">
      <c r="T38619" s="246">
        <f t="shared" si="641"/>
        <v>0</v>
      </c>
    </row>
    <row r="38620" spans="20:20" ht="18.75" customHeight="1" x14ac:dyDescent="0.35">
      <c r="T38620" s="246">
        <f t="shared" si="641"/>
        <v>0</v>
      </c>
    </row>
    <row r="38621" spans="20:20" ht="18.75" customHeight="1" x14ac:dyDescent="0.35">
      <c r="T38621" s="246">
        <f t="shared" si="641"/>
        <v>0</v>
      </c>
    </row>
    <row r="38622" spans="20:20" ht="18.75" customHeight="1" x14ac:dyDescent="0.35">
      <c r="T38622" s="246">
        <f t="shared" si="641"/>
        <v>0</v>
      </c>
    </row>
    <row r="38623" spans="20:20" ht="18.75" customHeight="1" x14ac:dyDescent="0.35">
      <c r="T38623" s="246">
        <f t="shared" si="641"/>
        <v>0</v>
      </c>
    </row>
    <row r="38624" spans="20:20" ht="18.75" customHeight="1" x14ac:dyDescent="0.35">
      <c r="T38624" s="246">
        <f t="shared" si="641"/>
        <v>0</v>
      </c>
    </row>
    <row r="38625" spans="20:20" ht="18.75" customHeight="1" x14ac:dyDescent="0.35">
      <c r="T38625" s="246">
        <f t="shared" si="641"/>
        <v>0</v>
      </c>
    </row>
    <row r="38626" spans="20:20" ht="18.75" customHeight="1" x14ac:dyDescent="0.35">
      <c r="T38626" s="246">
        <f t="shared" si="641"/>
        <v>0</v>
      </c>
    </row>
    <row r="38627" spans="20:20" ht="18.75" customHeight="1" x14ac:dyDescent="0.35">
      <c r="T38627" s="246">
        <f t="shared" si="641"/>
        <v>0</v>
      </c>
    </row>
    <row r="38628" spans="20:20" ht="18.75" customHeight="1" x14ac:dyDescent="0.35">
      <c r="T38628" s="246">
        <f t="shared" si="641"/>
        <v>0</v>
      </c>
    </row>
    <row r="38629" spans="20:20" ht="18.75" customHeight="1" x14ac:dyDescent="0.35">
      <c r="T38629" s="246">
        <f t="shared" si="641"/>
        <v>0</v>
      </c>
    </row>
    <row r="38630" spans="20:20" ht="18.75" customHeight="1" x14ac:dyDescent="0.35">
      <c r="T38630" s="246">
        <f t="shared" si="641"/>
        <v>0</v>
      </c>
    </row>
    <row r="38631" spans="20:20" ht="18.75" customHeight="1" x14ac:dyDescent="0.35">
      <c r="T38631" s="246">
        <f t="shared" si="641"/>
        <v>0</v>
      </c>
    </row>
    <row r="38632" spans="20:20" ht="18.75" customHeight="1" x14ac:dyDescent="0.35">
      <c r="T38632" s="246">
        <f t="shared" si="641"/>
        <v>0</v>
      </c>
    </row>
    <row r="38633" spans="20:20" ht="18.75" customHeight="1" x14ac:dyDescent="0.35">
      <c r="T38633" s="246">
        <f t="shared" si="641"/>
        <v>0</v>
      </c>
    </row>
    <row r="38634" spans="20:20" ht="18.75" customHeight="1" x14ac:dyDescent="0.35">
      <c r="T38634" s="246">
        <f t="shared" si="641"/>
        <v>0</v>
      </c>
    </row>
    <row r="38635" spans="20:20" ht="18.75" customHeight="1" x14ac:dyDescent="0.35">
      <c r="T38635" s="246">
        <f t="shared" si="641"/>
        <v>0</v>
      </c>
    </row>
    <row r="38636" spans="20:20" ht="18.75" customHeight="1" x14ac:dyDescent="0.35">
      <c r="T38636" s="246">
        <f t="shared" si="641"/>
        <v>0</v>
      </c>
    </row>
    <row r="38637" spans="20:20" ht="18.75" customHeight="1" x14ac:dyDescent="0.35">
      <c r="T38637" s="246">
        <f t="shared" si="641"/>
        <v>0</v>
      </c>
    </row>
    <row r="38638" spans="20:20" ht="18.75" customHeight="1" x14ac:dyDescent="0.35">
      <c r="T38638" s="246">
        <f t="shared" si="641"/>
        <v>0</v>
      </c>
    </row>
    <row r="38639" spans="20:20" ht="18.75" customHeight="1" x14ac:dyDescent="0.35">
      <c r="T38639" s="246">
        <f t="shared" si="641"/>
        <v>0</v>
      </c>
    </row>
    <row r="38640" spans="20:20" ht="18.75" customHeight="1" x14ac:dyDescent="0.35">
      <c r="T38640" s="246">
        <f t="shared" si="641"/>
        <v>0</v>
      </c>
    </row>
    <row r="38641" spans="20:20" ht="18.75" customHeight="1" x14ac:dyDescent="0.35">
      <c r="T38641" s="246">
        <f t="shared" si="641"/>
        <v>0</v>
      </c>
    </row>
    <row r="38642" spans="20:20" ht="18.75" customHeight="1" x14ac:dyDescent="0.35">
      <c r="T38642" s="246">
        <f t="shared" si="641"/>
        <v>0</v>
      </c>
    </row>
    <row r="38643" spans="20:20" ht="18.75" customHeight="1" x14ac:dyDescent="0.35">
      <c r="T38643" s="246">
        <f t="shared" si="641"/>
        <v>0</v>
      </c>
    </row>
    <row r="38644" spans="20:20" ht="18.75" customHeight="1" x14ac:dyDescent="0.35">
      <c r="T38644" s="246">
        <f t="shared" si="641"/>
        <v>0</v>
      </c>
    </row>
    <row r="38645" spans="20:20" ht="18.75" customHeight="1" x14ac:dyDescent="0.35">
      <c r="T38645" s="246">
        <f t="shared" si="641"/>
        <v>0</v>
      </c>
    </row>
    <row r="38646" spans="20:20" ht="18.75" customHeight="1" x14ac:dyDescent="0.35">
      <c r="T38646" s="246">
        <f t="shared" si="641"/>
        <v>0</v>
      </c>
    </row>
    <row r="38647" spans="20:20" ht="18.75" customHeight="1" x14ac:dyDescent="0.35">
      <c r="T38647" s="246">
        <f t="shared" si="641"/>
        <v>0</v>
      </c>
    </row>
    <row r="38648" spans="20:20" ht="18.75" customHeight="1" x14ac:dyDescent="0.35">
      <c r="T38648" s="246">
        <f t="shared" si="641"/>
        <v>0</v>
      </c>
    </row>
    <row r="38649" spans="20:20" ht="18.75" customHeight="1" x14ac:dyDescent="0.35">
      <c r="T38649" s="246">
        <f t="shared" si="641"/>
        <v>0</v>
      </c>
    </row>
    <row r="38650" spans="20:20" ht="18.75" customHeight="1" x14ac:dyDescent="0.35">
      <c r="T38650" s="246">
        <f t="shared" si="641"/>
        <v>0</v>
      </c>
    </row>
    <row r="38651" spans="20:20" ht="18.75" customHeight="1" x14ac:dyDescent="0.35">
      <c r="T38651" s="246">
        <f t="shared" si="641"/>
        <v>0</v>
      </c>
    </row>
    <row r="38652" spans="20:20" ht="18.75" customHeight="1" x14ac:dyDescent="0.35">
      <c r="T38652" s="246">
        <f t="shared" ref="T38652:T38715" si="642">R38652*0.01</f>
        <v>0</v>
      </c>
    </row>
    <row r="38653" spans="20:20" ht="18.75" customHeight="1" x14ac:dyDescent="0.35">
      <c r="T38653" s="246">
        <f t="shared" si="642"/>
        <v>0</v>
      </c>
    </row>
    <row r="38654" spans="20:20" ht="18.75" customHeight="1" x14ac:dyDescent="0.35">
      <c r="T38654" s="246">
        <f t="shared" si="642"/>
        <v>0</v>
      </c>
    </row>
    <row r="38655" spans="20:20" ht="18.75" customHeight="1" x14ac:dyDescent="0.35">
      <c r="T38655" s="246">
        <f t="shared" si="642"/>
        <v>0</v>
      </c>
    </row>
    <row r="38656" spans="20:20" ht="18.75" customHeight="1" x14ac:dyDescent="0.35">
      <c r="T38656" s="246">
        <f t="shared" si="642"/>
        <v>0</v>
      </c>
    </row>
    <row r="38657" spans="20:20" ht="18.75" customHeight="1" x14ac:dyDescent="0.35">
      <c r="T38657" s="246">
        <f t="shared" si="642"/>
        <v>0</v>
      </c>
    </row>
    <row r="38658" spans="20:20" ht="18.75" customHeight="1" x14ac:dyDescent="0.35">
      <c r="T38658" s="246">
        <f t="shared" si="642"/>
        <v>0</v>
      </c>
    </row>
    <row r="38659" spans="20:20" ht="18.75" customHeight="1" x14ac:dyDescent="0.35">
      <c r="T38659" s="246">
        <f t="shared" si="642"/>
        <v>0</v>
      </c>
    </row>
    <row r="38660" spans="20:20" ht="18.75" customHeight="1" x14ac:dyDescent="0.35">
      <c r="T38660" s="246">
        <f t="shared" si="642"/>
        <v>0</v>
      </c>
    </row>
    <row r="38661" spans="20:20" ht="18.75" customHeight="1" x14ac:dyDescent="0.35">
      <c r="T38661" s="246">
        <f t="shared" si="642"/>
        <v>0</v>
      </c>
    </row>
    <row r="38662" spans="20:20" ht="18.75" customHeight="1" x14ac:dyDescent="0.35">
      <c r="T38662" s="246">
        <f t="shared" si="642"/>
        <v>0</v>
      </c>
    </row>
    <row r="38663" spans="20:20" ht="18.75" customHeight="1" x14ac:dyDescent="0.35">
      <c r="T38663" s="246">
        <f t="shared" si="642"/>
        <v>0</v>
      </c>
    </row>
    <row r="38664" spans="20:20" ht="18.75" customHeight="1" x14ac:dyDescent="0.35">
      <c r="T38664" s="246">
        <f t="shared" si="642"/>
        <v>0</v>
      </c>
    </row>
    <row r="38665" spans="20:20" ht="18.75" customHeight="1" x14ac:dyDescent="0.35">
      <c r="T38665" s="246">
        <f t="shared" si="642"/>
        <v>0</v>
      </c>
    </row>
    <row r="38666" spans="20:20" ht="18.75" customHeight="1" x14ac:dyDescent="0.35">
      <c r="T38666" s="246">
        <f t="shared" si="642"/>
        <v>0</v>
      </c>
    </row>
    <row r="38667" spans="20:20" ht="18.75" customHeight="1" x14ac:dyDescent="0.35">
      <c r="T38667" s="246">
        <f t="shared" si="642"/>
        <v>0</v>
      </c>
    </row>
    <row r="38668" spans="20:20" ht="18.75" customHeight="1" x14ac:dyDescent="0.35">
      <c r="T38668" s="246">
        <f t="shared" si="642"/>
        <v>0</v>
      </c>
    </row>
    <row r="38669" spans="20:20" ht="18.75" customHeight="1" x14ac:dyDescent="0.35">
      <c r="T38669" s="246">
        <f t="shared" si="642"/>
        <v>0</v>
      </c>
    </row>
    <row r="38670" spans="20:20" ht="18.75" customHeight="1" x14ac:dyDescent="0.35">
      <c r="T38670" s="246">
        <f t="shared" si="642"/>
        <v>0</v>
      </c>
    </row>
    <row r="38671" spans="20:20" ht="18.75" customHeight="1" x14ac:dyDescent="0.35">
      <c r="T38671" s="246">
        <f t="shared" si="642"/>
        <v>0</v>
      </c>
    </row>
    <row r="38672" spans="20:20" ht="18.75" customHeight="1" x14ac:dyDescent="0.35">
      <c r="T38672" s="246">
        <f t="shared" si="642"/>
        <v>0</v>
      </c>
    </row>
    <row r="38673" spans="20:20" ht="18.75" customHeight="1" x14ac:dyDescent="0.35">
      <c r="T38673" s="246">
        <f t="shared" si="642"/>
        <v>0</v>
      </c>
    </row>
    <row r="38674" spans="20:20" ht="18.75" customHeight="1" x14ac:dyDescent="0.35">
      <c r="T38674" s="246">
        <f t="shared" si="642"/>
        <v>0</v>
      </c>
    </row>
    <row r="38675" spans="20:20" ht="18.75" customHeight="1" x14ac:dyDescent="0.35">
      <c r="T38675" s="246">
        <f t="shared" si="642"/>
        <v>0</v>
      </c>
    </row>
    <row r="38676" spans="20:20" ht="18.75" customHeight="1" x14ac:dyDescent="0.35">
      <c r="T38676" s="246">
        <f t="shared" si="642"/>
        <v>0</v>
      </c>
    </row>
    <row r="38677" spans="20:20" ht="18.75" customHeight="1" x14ac:dyDescent="0.35">
      <c r="T38677" s="246">
        <f t="shared" si="642"/>
        <v>0</v>
      </c>
    </row>
    <row r="38678" spans="20:20" ht="18.75" customHeight="1" x14ac:dyDescent="0.35">
      <c r="T38678" s="246">
        <f t="shared" si="642"/>
        <v>0</v>
      </c>
    </row>
    <row r="38679" spans="20:20" ht="18.75" customHeight="1" x14ac:dyDescent="0.35">
      <c r="T38679" s="246">
        <f t="shared" si="642"/>
        <v>0</v>
      </c>
    </row>
    <row r="38680" spans="20:20" ht="18.75" customHeight="1" x14ac:dyDescent="0.35">
      <c r="T38680" s="246">
        <f t="shared" si="642"/>
        <v>0</v>
      </c>
    </row>
    <row r="38681" spans="20:20" ht="18.75" customHeight="1" x14ac:dyDescent="0.35">
      <c r="T38681" s="246">
        <f t="shared" si="642"/>
        <v>0</v>
      </c>
    </row>
    <row r="38682" spans="20:20" ht="18.75" customHeight="1" x14ac:dyDescent="0.35">
      <c r="T38682" s="246">
        <f t="shared" si="642"/>
        <v>0</v>
      </c>
    </row>
    <row r="38683" spans="20:20" ht="18.75" customHeight="1" x14ac:dyDescent="0.35">
      <c r="T38683" s="246">
        <f t="shared" si="642"/>
        <v>0</v>
      </c>
    </row>
    <row r="38684" spans="20:20" ht="18.75" customHeight="1" x14ac:dyDescent="0.35">
      <c r="T38684" s="246">
        <f t="shared" si="642"/>
        <v>0</v>
      </c>
    </row>
    <row r="38685" spans="20:20" ht="18.75" customHeight="1" x14ac:dyDescent="0.35">
      <c r="T38685" s="246">
        <f t="shared" si="642"/>
        <v>0</v>
      </c>
    </row>
    <row r="38686" spans="20:20" ht="18.75" customHeight="1" x14ac:dyDescent="0.35">
      <c r="T38686" s="246">
        <f t="shared" si="642"/>
        <v>0</v>
      </c>
    </row>
    <row r="38687" spans="20:20" ht="18.75" customHeight="1" x14ac:dyDescent="0.35">
      <c r="T38687" s="246">
        <f t="shared" si="642"/>
        <v>0</v>
      </c>
    </row>
    <row r="38688" spans="20:20" ht="18.75" customHeight="1" x14ac:dyDescent="0.35">
      <c r="T38688" s="246">
        <f t="shared" si="642"/>
        <v>0</v>
      </c>
    </row>
    <row r="38689" spans="20:20" ht="18.75" customHeight="1" x14ac:dyDescent="0.35">
      <c r="T38689" s="246">
        <f t="shared" si="642"/>
        <v>0</v>
      </c>
    </row>
    <row r="38690" spans="20:20" ht="18.75" customHeight="1" x14ac:dyDescent="0.35">
      <c r="T38690" s="246">
        <f t="shared" si="642"/>
        <v>0</v>
      </c>
    </row>
    <row r="38691" spans="20:20" ht="18.75" customHeight="1" x14ac:dyDescent="0.35">
      <c r="T38691" s="246">
        <f t="shared" si="642"/>
        <v>0</v>
      </c>
    </row>
    <row r="38692" spans="20:20" ht="18.75" customHeight="1" x14ac:dyDescent="0.35">
      <c r="T38692" s="246">
        <f t="shared" si="642"/>
        <v>0</v>
      </c>
    </row>
    <row r="38693" spans="20:20" ht="18.75" customHeight="1" x14ac:dyDescent="0.35">
      <c r="T38693" s="246">
        <f t="shared" si="642"/>
        <v>0</v>
      </c>
    </row>
    <row r="38694" spans="20:20" ht="18.75" customHeight="1" x14ac:dyDescent="0.35">
      <c r="T38694" s="246">
        <f t="shared" si="642"/>
        <v>0</v>
      </c>
    </row>
    <row r="38695" spans="20:20" ht="18.75" customHeight="1" x14ac:dyDescent="0.35">
      <c r="T38695" s="246">
        <f t="shared" si="642"/>
        <v>0</v>
      </c>
    </row>
    <row r="38696" spans="20:20" ht="18.75" customHeight="1" x14ac:dyDescent="0.35">
      <c r="T38696" s="246">
        <f t="shared" si="642"/>
        <v>0</v>
      </c>
    </row>
    <row r="38697" spans="20:20" ht="18.75" customHeight="1" x14ac:dyDescent="0.35">
      <c r="T38697" s="246">
        <f t="shared" si="642"/>
        <v>0</v>
      </c>
    </row>
    <row r="38698" spans="20:20" ht="18.75" customHeight="1" x14ac:dyDescent="0.35">
      <c r="T38698" s="246">
        <f t="shared" si="642"/>
        <v>0</v>
      </c>
    </row>
    <row r="38699" spans="20:20" ht="18.75" customHeight="1" x14ac:dyDescent="0.35">
      <c r="T38699" s="246">
        <f t="shared" si="642"/>
        <v>0</v>
      </c>
    </row>
    <row r="38700" spans="20:20" ht="18.75" customHeight="1" x14ac:dyDescent="0.35">
      <c r="T38700" s="246">
        <f t="shared" si="642"/>
        <v>0</v>
      </c>
    </row>
    <row r="38701" spans="20:20" ht="18.75" customHeight="1" x14ac:dyDescent="0.35">
      <c r="T38701" s="246">
        <f t="shared" si="642"/>
        <v>0</v>
      </c>
    </row>
    <row r="38702" spans="20:20" ht="18.75" customHeight="1" x14ac:dyDescent="0.35">
      <c r="T38702" s="246">
        <f t="shared" si="642"/>
        <v>0</v>
      </c>
    </row>
    <row r="38703" spans="20:20" ht="18.75" customHeight="1" x14ac:dyDescent="0.35">
      <c r="T38703" s="246">
        <f t="shared" si="642"/>
        <v>0</v>
      </c>
    </row>
    <row r="38704" spans="20:20" ht="18.75" customHeight="1" x14ac:dyDescent="0.35">
      <c r="T38704" s="246">
        <f t="shared" si="642"/>
        <v>0</v>
      </c>
    </row>
    <row r="38705" spans="20:20" ht="18.75" customHeight="1" x14ac:dyDescent="0.35">
      <c r="T38705" s="246">
        <f t="shared" si="642"/>
        <v>0</v>
      </c>
    </row>
    <row r="38706" spans="20:20" ht="18.75" customHeight="1" x14ac:dyDescent="0.35">
      <c r="T38706" s="246">
        <f t="shared" si="642"/>
        <v>0</v>
      </c>
    </row>
    <row r="38707" spans="20:20" ht="18.75" customHeight="1" x14ac:dyDescent="0.35">
      <c r="T38707" s="246">
        <f t="shared" si="642"/>
        <v>0</v>
      </c>
    </row>
    <row r="38708" spans="20:20" ht="18.75" customHeight="1" x14ac:dyDescent="0.35">
      <c r="T38708" s="246">
        <f t="shared" si="642"/>
        <v>0</v>
      </c>
    </row>
    <row r="38709" spans="20:20" ht="18.75" customHeight="1" x14ac:dyDescent="0.35">
      <c r="T38709" s="246">
        <f t="shared" si="642"/>
        <v>0</v>
      </c>
    </row>
    <row r="38710" spans="20:20" ht="18.75" customHeight="1" x14ac:dyDescent="0.35">
      <c r="T38710" s="246">
        <f t="shared" si="642"/>
        <v>0</v>
      </c>
    </row>
    <row r="38711" spans="20:20" ht="18.75" customHeight="1" x14ac:dyDescent="0.35">
      <c r="T38711" s="246">
        <f t="shared" si="642"/>
        <v>0</v>
      </c>
    </row>
    <row r="38712" spans="20:20" ht="18.75" customHeight="1" x14ac:dyDescent="0.35">
      <c r="T38712" s="246">
        <f t="shared" si="642"/>
        <v>0</v>
      </c>
    </row>
    <row r="38713" spans="20:20" ht="18.75" customHeight="1" x14ac:dyDescent="0.35">
      <c r="T38713" s="246">
        <f t="shared" si="642"/>
        <v>0</v>
      </c>
    </row>
    <row r="38714" spans="20:20" ht="18.75" customHeight="1" x14ac:dyDescent="0.35">
      <c r="T38714" s="246">
        <f t="shared" si="642"/>
        <v>0</v>
      </c>
    </row>
    <row r="38715" spans="20:20" ht="18.75" customHeight="1" x14ac:dyDescent="0.35">
      <c r="T38715" s="246">
        <f t="shared" si="642"/>
        <v>0</v>
      </c>
    </row>
    <row r="38716" spans="20:20" ht="18.75" customHeight="1" x14ac:dyDescent="0.35">
      <c r="T38716" s="246">
        <f t="shared" ref="T38716:T38779" si="643">R38716*0.01</f>
        <v>0</v>
      </c>
    </row>
    <row r="38717" spans="20:20" ht="18.75" customHeight="1" x14ac:dyDescent="0.35">
      <c r="T38717" s="246">
        <f t="shared" si="643"/>
        <v>0</v>
      </c>
    </row>
    <row r="38718" spans="20:20" ht="18.75" customHeight="1" x14ac:dyDescent="0.35">
      <c r="T38718" s="246">
        <f t="shared" si="643"/>
        <v>0</v>
      </c>
    </row>
    <row r="38719" spans="20:20" ht="18.75" customHeight="1" x14ac:dyDescent="0.35">
      <c r="T38719" s="246">
        <f t="shared" si="643"/>
        <v>0</v>
      </c>
    </row>
    <row r="38720" spans="20:20" ht="18.75" customHeight="1" x14ac:dyDescent="0.35">
      <c r="T38720" s="246">
        <f t="shared" si="643"/>
        <v>0</v>
      </c>
    </row>
    <row r="38721" spans="20:20" ht="18.75" customHeight="1" x14ac:dyDescent="0.35">
      <c r="T38721" s="246">
        <f t="shared" si="643"/>
        <v>0</v>
      </c>
    </row>
    <row r="38722" spans="20:20" ht="18.75" customHeight="1" x14ac:dyDescent="0.35">
      <c r="T38722" s="246">
        <f t="shared" si="643"/>
        <v>0</v>
      </c>
    </row>
    <row r="38723" spans="20:20" ht="18.75" customHeight="1" x14ac:dyDescent="0.35">
      <c r="T38723" s="246">
        <f t="shared" si="643"/>
        <v>0</v>
      </c>
    </row>
    <row r="38724" spans="20:20" ht="18.75" customHeight="1" x14ac:dyDescent="0.35">
      <c r="T38724" s="246">
        <f t="shared" si="643"/>
        <v>0</v>
      </c>
    </row>
    <row r="38725" spans="20:20" ht="18.75" customHeight="1" x14ac:dyDescent="0.35">
      <c r="T38725" s="246">
        <f t="shared" si="643"/>
        <v>0</v>
      </c>
    </row>
    <row r="38726" spans="20:20" ht="18.75" customHeight="1" x14ac:dyDescent="0.35">
      <c r="T38726" s="246">
        <f t="shared" si="643"/>
        <v>0</v>
      </c>
    </row>
    <row r="38727" spans="20:20" ht="18.75" customHeight="1" x14ac:dyDescent="0.35">
      <c r="T38727" s="246">
        <f t="shared" si="643"/>
        <v>0</v>
      </c>
    </row>
    <row r="38728" spans="20:20" ht="18.75" customHeight="1" x14ac:dyDescent="0.35">
      <c r="T38728" s="246">
        <f t="shared" si="643"/>
        <v>0</v>
      </c>
    </row>
    <row r="38729" spans="20:20" ht="18.75" customHeight="1" x14ac:dyDescent="0.35">
      <c r="T38729" s="246">
        <f t="shared" si="643"/>
        <v>0</v>
      </c>
    </row>
    <row r="38730" spans="20:20" ht="18.75" customHeight="1" x14ac:dyDescent="0.35">
      <c r="T38730" s="246">
        <f t="shared" si="643"/>
        <v>0</v>
      </c>
    </row>
    <row r="38731" spans="20:20" ht="18.75" customHeight="1" x14ac:dyDescent="0.35">
      <c r="T38731" s="246">
        <f t="shared" si="643"/>
        <v>0</v>
      </c>
    </row>
    <row r="38732" spans="20:20" ht="18.75" customHeight="1" x14ac:dyDescent="0.35">
      <c r="T38732" s="246">
        <f t="shared" si="643"/>
        <v>0</v>
      </c>
    </row>
    <row r="38733" spans="20:20" ht="18.75" customHeight="1" x14ac:dyDescent="0.35">
      <c r="T38733" s="246">
        <f t="shared" si="643"/>
        <v>0</v>
      </c>
    </row>
    <row r="38734" spans="20:20" ht="18.75" customHeight="1" x14ac:dyDescent="0.35">
      <c r="T38734" s="246">
        <f t="shared" si="643"/>
        <v>0</v>
      </c>
    </row>
    <row r="38735" spans="20:20" ht="18.75" customHeight="1" x14ac:dyDescent="0.35">
      <c r="T38735" s="246">
        <f t="shared" si="643"/>
        <v>0</v>
      </c>
    </row>
    <row r="38736" spans="20:20" ht="18.75" customHeight="1" x14ac:dyDescent="0.35">
      <c r="T38736" s="246">
        <f t="shared" si="643"/>
        <v>0</v>
      </c>
    </row>
    <row r="38737" spans="20:20" ht="18.75" customHeight="1" x14ac:dyDescent="0.35">
      <c r="T38737" s="246">
        <f t="shared" si="643"/>
        <v>0</v>
      </c>
    </row>
    <row r="38738" spans="20:20" ht="18.75" customHeight="1" x14ac:dyDescent="0.35">
      <c r="T38738" s="246">
        <f t="shared" si="643"/>
        <v>0</v>
      </c>
    </row>
    <row r="38739" spans="20:20" ht="18.75" customHeight="1" x14ac:dyDescent="0.35">
      <c r="T38739" s="246">
        <f t="shared" si="643"/>
        <v>0</v>
      </c>
    </row>
    <row r="38740" spans="20:20" ht="18.75" customHeight="1" x14ac:dyDescent="0.35">
      <c r="T38740" s="246">
        <f t="shared" si="643"/>
        <v>0</v>
      </c>
    </row>
    <row r="38741" spans="20:20" ht="18.75" customHeight="1" x14ac:dyDescent="0.35">
      <c r="T38741" s="246">
        <f t="shared" si="643"/>
        <v>0</v>
      </c>
    </row>
    <row r="38742" spans="20:20" ht="18.75" customHeight="1" x14ac:dyDescent="0.35">
      <c r="T38742" s="246">
        <f t="shared" si="643"/>
        <v>0</v>
      </c>
    </row>
    <row r="38743" spans="20:20" ht="18.75" customHeight="1" x14ac:dyDescent="0.35">
      <c r="T38743" s="246">
        <f t="shared" si="643"/>
        <v>0</v>
      </c>
    </row>
    <row r="38744" spans="20:20" ht="18.75" customHeight="1" x14ac:dyDescent="0.35">
      <c r="T38744" s="246">
        <f t="shared" si="643"/>
        <v>0</v>
      </c>
    </row>
    <row r="38745" spans="20:20" ht="18.75" customHeight="1" x14ac:dyDescent="0.35">
      <c r="T38745" s="246">
        <f t="shared" si="643"/>
        <v>0</v>
      </c>
    </row>
    <row r="38746" spans="20:20" ht="18.75" customHeight="1" x14ac:dyDescent="0.35">
      <c r="T38746" s="246">
        <f t="shared" si="643"/>
        <v>0</v>
      </c>
    </row>
    <row r="38747" spans="20:20" ht="18.75" customHeight="1" x14ac:dyDescent="0.35">
      <c r="T38747" s="246">
        <f t="shared" si="643"/>
        <v>0</v>
      </c>
    </row>
    <row r="38748" spans="20:20" ht="18.75" customHeight="1" x14ac:dyDescent="0.35">
      <c r="T38748" s="246">
        <f t="shared" si="643"/>
        <v>0</v>
      </c>
    </row>
    <row r="38749" spans="20:20" ht="18.75" customHeight="1" x14ac:dyDescent="0.35">
      <c r="T38749" s="246">
        <f t="shared" si="643"/>
        <v>0</v>
      </c>
    </row>
    <row r="38750" spans="20:20" ht="18.75" customHeight="1" x14ac:dyDescent="0.35">
      <c r="T38750" s="246">
        <f t="shared" si="643"/>
        <v>0</v>
      </c>
    </row>
    <row r="38751" spans="20:20" ht="18.75" customHeight="1" x14ac:dyDescent="0.35">
      <c r="T38751" s="246">
        <f t="shared" si="643"/>
        <v>0</v>
      </c>
    </row>
    <row r="38752" spans="20:20" ht="18.75" customHeight="1" x14ac:dyDescent="0.35">
      <c r="T38752" s="246">
        <f t="shared" si="643"/>
        <v>0</v>
      </c>
    </row>
    <row r="38753" spans="20:20" ht="18.75" customHeight="1" x14ac:dyDescent="0.35">
      <c r="T38753" s="246">
        <f t="shared" si="643"/>
        <v>0</v>
      </c>
    </row>
    <row r="38754" spans="20:20" ht="18.75" customHeight="1" x14ac:dyDescent="0.35">
      <c r="T38754" s="246">
        <f t="shared" si="643"/>
        <v>0</v>
      </c>
    </row>
    <row r="38755" spans="20:20" ht="18.75" customHeight="1" x14ac:dyDescent="0.35">
      <c r="T38755" s="246">
        <f t="shared" si="643"/>
        <v>0</v>
      </c>
    </row>
    <row r="38756" spans="20:20" ht="18.75" customHeight="1" x14ac:dyDescent="0.35">
      <c r="T38756" s="246">
        <f t="shared" si="643"/>
        <v>0</v>
      </c>
    </row>
    <row r="38757" spans="20:20" ht="18.75" customHeight="1" x14ac:dyDescent="0.35">
      <c r="T38757" s="246">
        <f t="shared" si="643"/>
        <v>0</v>
      </c>
    </row>
    <row r="38758" spans="20:20" ht="18.75" customHeight="1" x14ac:dyDescent="0.35">
      <c r="T38758" s="246">
        <f t="shared" si="643"/>
        <v>0</v>
      </c>
    </row>
    <row r="38759" spans="20:20" ht="18.75" customHeight="1" x14ac:dyDescent="0.35">
      <c r="T38759" s="246">
        <f t="shared" si="643"/>
        <v>0</v>
      </c>
    </row>
    <row r="38760" spans="20:20" ht="18.75" customHeight="1" x14ac:dyDescent="0.35">
      <c r="T38760" s="246">
        <f t="shared" si="643"/>
        <v>0</v>
      </c>
    </row>
    <row r="38761" spans="20:20" ht="18.75" customHeight="1" x14ac:dyDescent="0.35">
      <c r="T38761" s="246">
        <f t="shared" si="643"/>
        <v>0</v>
      </c>
    </row>
    <row r="38762" spans="20:20" ht="18.75" customHeight="1" x14ac:dyDescent="0.35">
      <c r="T38762" s="246">
        <f t="shared" si="643"/>
        <v>0</v>
      </c>
    </row>
    <row r="38763" spans="20:20" ht="18.75" customHeight="1" x14ac:dyDescent="0.35">
      <c r="T38763" s="246">
        <f t="shared" si="643"/>
        <v>0</v>
      </c>
    </row>
    <row r="38764" spans="20:20" ht="18.75" customHeight="1" x14ac:dyDescent="0.35">
      <c r="T38764" s="246">
        <f t="shared" si="643"/>
        <v>0</v>
      </c>
    </row>
    <row r="38765" spans="20:20" ht="18.75" customHeight="1" x14ac:dyDescent="0.35">
      <c r="T38765" s="246">
        <f t="shared" si="643"/>
        <v>0</v>
      </c>
    </row>
    <row r="38766" spans="20:20" ht="18.75" customHeight="1" x14ac:dyDescent="0.35">
      <c r="T38766" s="246">
        <f t="shared" si="643"/>
        <v>0</v>
      </c>
    </row>
    <row r="38767" spans="20:20" ht="18.75" customHeight="1" x14ac:dyDescent="0.35">
      <c r="T38767" s="246">
        <f t="shared" si="643"/>
        <v>0</v>
      </c>
    </row>
    <row r="38768" spans="20:20" ht="18.75" customHeight="1" x14ac:dyDescent="0.35">
      <c r="T38768" s="246">
        <f t="shared" si="643"/>
        <v>0</v>
      </c>
    </row>
    <row r="38769" spans="20:20" ht="18.75" customHeight="1" x14ac:dyDescent="0.35">
      <c r="T38769" s="246">
        <f t="shared" si="643"/>
        <v>0</v>
      </c>
    </row>
    <row r="38770" spans="20:20" ht="18.75" customHeight="1" x14ac:dyDescent="0.35">
      <c r="T38770" s="246">
        <f t="shared" si="643"/>
        <v>0</v>
      </c>
    </row>
    <row r="38771" spans="20:20" ht="18.75" customHeight="1" x14ac:dyDescent="0.35">
      <c r="T38771" s="246">
        <f t="shared" si="643"/>
        <v>0</v>
      </c>
    </row>
    <row r="38772" spans="20:20" ht="18.75" customHeight="1" x14ac:dyDescent="0.35">
      <c r="T38772" s="246">
        <f t="shared" si="643"/>
        <v>0</v>
      </c>
    </row>
    <row r="38773" spans="20:20" ht="18.75" customHeight="1" x14ac:dyDescent="0.35">
      <c r="T38773" s="246">
        <f t="shared" si="643"/>
        <v>0</v>
      </c>
    </row>
    <row r="38774" spans="20:20" ht="18.75" customHeight="1" x14ac:dyDescent="0.35">
      <c r="T38774" s="246">
        <f t="shared" si="643"/>
        <v>0</v>
      </c>
    </row>
    <row r="38775" spans="20:20" ht="18.75" customHeight="1" x14ac:dyDescent="0.35">
      <c r="T38775" s="246">
        <f t="shared" si="643"/>
        <v>0</v>
      </c>
    </row>
    <row r="38776" spans="20:20" ht="18.75" customHeight="1" x14ac:dyDescent="0.35">
      <c r="T38776" s="246">
        <f t="shared" si="643"/>
        <v>0</v>
      </c>
    </row>
    <row r="38777" spans="20:20" ht="18.75" customHeight="1" x14ac:dyDescent="0.35">
      <c r="T38777" s="246">
        <f t="shared" si="643"/>
        <v>0</v>
      </c>
    </row>
    <row r="38778" spans="20:20" ht="18.75" customHeight="1" x14ac:dyDescent="0.35">
      <c r="T38778" s="246">
        <f t="shared" si="643"/>
        <v>0</v>
      </c>
    </row>
    <row r="38779" spans="20:20" ht="18.75" customHeight="1" x14ac:dyDescent="0.35">
      <c r="T38779" s="246">
        <f t="shared" si="643"/>
        <v>0</v>
      </c>
    </row>
    <row r="38780" spans="20:20" ht="18.75" customHeight="1" x14ac:dyDescent="0.35">
      <c r="T38780" s="246">
        <f t="shared" ref="T38780:T38843" si="644">R38780*0.01</f>
        <v>0</v>
      </c>
    </row>
    <row r="38781" spans="20:20" ht="18.75" customHeight="1" x14ac:dyDescent="0.35">
      <c r="T38781" s="246">
        <f t="shared" si="644"/>
        <v>0</v>
      </c>
    </row>
    <row r="38782" spans="20:20" ht="18.75" customHeight="1" x14ac:dyDescent="0.35">
      <c r="T38782" s="246">
        <f t="shared" si="644"/>
        <v>0</v>
      </c>
    </row>
    <row r="38783" spans="20:20" ht="18.75" customHeight="1" x14ac:dyDescent="0.35">
      <c r="T38783" s="246">
        <f t="shared" si="644"/>
        <v>0</v>
      </c>
    </row>
    <row r="38784" spans="20:20" ht="18.75" customHeight="1" x14ac:dyDescent="0.35">
      <c r="T38784" s="246">
        <f t="shared" si="644"/>
        <v>0</v>
      </c>
    </row>
    <row r="38785" spans="20:20" ht="18.75" customHeight="1" x14ac:dyDescent="0.35">
      <c r="T38785" s="246">
        <f t="shared" si="644"/>
        <v>0</v>
      </c>
    </row>
    <row r="38786" spans="20:20" ht="18.75" customHeight="1" x14ac:dyDescent="0.35">
      <c r="T38786" s="246">
        <f t="shared" si="644"/>
        <v>0</v>
      </c>
    </row>
    <row r="38787" spans="20:20" ht="18.75" customHeight="1" x14ac:dyDescent="0.35">
      <c r="T38787" s="246">
        <f t="shared" si="644"/>
        <v>0</v>
      </c>
    </row>
    <row r="38788" spans="20:20" ht="18.75" customHeight="1" x14ac:dyDescent="0.35">
      <c r="T38788" s="246">
        <f t="shared" si="644"/>
        <v>0</v>
      </c>
    </row>
    <row r="38789" spans="20:20" ht="18.75" customHeight="1" x14ac:dyDescent="0.35">
      <c r="T38789" s="246">
        <f t="shared" si="644"/>
        <v>0</v>
      </c>
    </row>
    <row r="38790" spans="20:20" ht="18.75" customHeight="1" x14ac:dyDescent="0.35">
      <c r="T38790" s="246">
        <f t="shared" si="644"/>
        <v>0</v>
      </c>
    </row>
    <row r="38791" spans="20:20" ht="18.75" customHeight="1" x14ac:dyDescent="0.35">
      <c r="T38791" s="246">
        <f t="shared" si="644"/>
        <v>0</v>
      </c>
    </row>
    <row r="38792" spans="20:20" ht="18.75" customHeight="1" x14ac:dyDescent="0.35">
      <c r="T38792" s="246">
        <f t="shared" si="644"/>
        <v>0</v>
      </c>
    </row>
    <row r="38793" spans="20:20" ht="18.75" customHeight="1" x14ac:dyDescent="0.35">
      <c r="T38793" s="246">
        <f t="shared" si="644"/>
        <v>0</v>
      </c>
    </row>
    <row r="38794" spans="20:20" ht="18.75" customHeight="1" x14ac:dyDescent="0.35">
      <c r="T38794" s="246">
        <f t="shared" si="644"/>
        <v>0</v>
      </c>
    </row>
    <row r="38795" spans="20:20" ht="18.75" customHeight="1" x14ac:dyDescent="0.35">
      <c r="T38795" s="246">
        <f t="shared" si="644"/>
        <v>0</v>
      </c>
    </row>
    <row r="38796" spans="20:20" ht="18.75" customHeight="1" x14ac:dyDescent="0.35">
      <c r="T38796" s="246">
        <f t="shared" si="644"/>
        <v>0</v>
      </c>
    </row>
    <row r="38797" spans="20:20" ht="18.75" customHeight="1" x14ac:dyDescent="0.35">
      <c r="T38797" s="246">
        <f t="shared" si="644"/>
        <v>0</v>
      </c>
    </row>
    <row r="38798" spans="20:20" ht="18.75" customHeight="1" x14ac:dyDescent="0.35">
      <c r="T38798" s="246">
        <f t="shared" si="644"/>
        <v>0</v>
      </c>
    </row>
    <row r="38799" spans="20:20" ht="18.75" customHeight="1" x14ac:dyDescent="0.35">
      <c r="T38799" s="246">
        <f t="shared" si="644"/>
        <v>0</v>
      </c>
    </row>
    <row r="38800" spans="20:20" ht="18.75" customHeight="1" x14ac:dyDescent="0.35">
      <c r="T38800" s="246">
        <f t="shared" si="644"/>
        <v>0</v>
      </c>
    </row>
    <row r="38801" spans="20:20" ht="18.75" customHeight="1" x14ac:dyDescent="0.35">
      <c r="T38801" s="246">
        <f t="shared" si="644"/>
        <v>0</v>
      </c>
    </row>
    <row r="38802" spans="20:20" ht="18.75" customHeight="1" x14ac:dyDescent="0.35">
      <c r="T38802" s="246">
        <f t="shared" si="644"/>
        <v>0</v>
      </c>
    </row>
    <row r="38803" spans="20:20" ht="18.75" customHeight="1" x14ac:dyDescent="0.35">
      <c r="T38803" s="246">
        <f t="shared" si="644"/>
        <v>0</v>
      </c>
    </row>
    <row r="38804" spans="20:20" ht="18.75" customHeight="1" x14ac:dyDescent="0.35">
      <c r="T38804" s="246">
        <f t="shared" si="644"/>
        <v>0</v>
      </c>
    </row>
    <row r="38805" spans="20:20" ht="18.75" customHeight="1" x14ac:dyDescent="0.35">
      <c r="T38805" s="246">
        <f t="shared" si="644"/>
        <v>0</v>
      </c>
    </row>
    <row r="38806" spans="20:20" ht="18.75" customHeight="1" x14ac:dyDescent="0.35">
      <c r="T38806" s="246">
        <f t="shared" si="644"/>
        <v>0</v>
      </c>
    </row>
    <row r="38807" spans="20:20" ht="18.75" customHeight="1" x14ac:dyDescent="0.35">
      <c r="T38807" s="246">
        <f t="shared" si="644"/>
        <v>0</v>
      </c>
    </row>
    <row r="38808" spans="20:20" ht="18.75" customHeight="1" x14ac:dyDescent="0.35">
      <c r="T38808" s="246">
        <f t="shared" si="644"/>
        <v>0</v>
      </c>
    </row>
    <row r="38809" spans="20:20" ht="18.75" customHeight="1" x14ac:dyDescent="0.35">
      <c r="T38809" s="246">
        <f t="shared" si="644"/>
        <v>0</v>
      </c>
    </row>
    <row r="38810" spans="20:20" ht="18.75" customHeight="1" x14ac:dyDescent="0.35">
      <c r="T38810" s="246">
        <f t="shared" si="644"/>
        <v>0</v>
      </c>
    </row>
    <row r="38811" spans="20:20" ht="18.75" customHeight="1" x14ac:dyDescent="0.35">
      <c r="T38811" s="246">
        <f t="shared" si="644"/>
        <v>0</v>
      </c>
    </row>
    <row r="38812" spans="20:20" ht="18.75" customHeight="1" x14ac:dyDescent="0.35">
      <c r="T38812" s="246">
        <f t="shared" si="644"/>
        <v>0</v>
      </c>
    </row>
    <row r="38813" spans="20:20" ht="18.75" customHeight="1" x14ac:dyDescent="0.35">
      <c r="T38813" s="246">
        <f t="shared" si="644"/>
        <v>0</v>
      </c>
    </row>
    <row r="38814" spans="20:20" ht="18.75" customHeight="1" x14ac:dyDescent="0.35">
      <c r="T38814" s="246">
        <f t="shared" si="644"/>
        <v>0</v>
      </c>
    </row>
    <row r="38815" spans="20:20" ht="18.75" customHeight="1" x14ac:dyDescent="0.35">
      <c r="T38815" s="246">
        <f t="shared" si="644"/>
        <v>0</v>
      </c>
    </row>
    <row r="38816" spans="20:20" ht="18.75" customHeight="1" x14ac:dyDescent="0.35">
      <c r="T38816" s="246">
        <f t="shared" si="644"/>
        <v>0</v>
      </c>
    </row>
    <row r="38817" spans="20:20" ht="18.75" customHeight="1" x14ac:dyDescent="0.35">
      <c r="T38817" s="246">
        <f t="shared" si="644"/>
        <v>0</v>
      </c>
    </row>
    <row r="38818" spans="20:20" ht="18.75" customHeight="1" x14ac:dyDescent="0.35">
      <c r="T38818" s="246">
        <f t="shared" si="644"/>
        <v>0</v>
      </c>
    </row>
    <row r="38819" spans="20:20" ht="18.75" customHeight="1" x14ac:dyDescent="0.35">
      <c r="T38819" s="246">
        <f t="shared" si="644"/>
        <v>0</v>
      </c>
    </row>
    <row r="38820" spans="20:20" ht="18.75" customHeight="1" x14ac:dyDescent="0.35">
      <c r="T38820" s="246">
        <f t="shared" si="644"/>
        <v>0</v>
      </c>
    </row>
    <row r="38821" spans="20:20" ht="18.75" customHeight="1" x14ac:dyDescent="0.35">
      <c r="T38821" s="246">
        <f t="shared" si="644"/>
        <v>0</v>
      </c>
    </row>
    <row r="38822" spans="20:20" ht="18.75" customHeight="1" x14ac:dyDescent="0.35">
      <c r="T38822" s="246">
        <f t="shared" si="644"/>
        <v>0</v>
      </c>
    </row>
    <row r="38823" spans="20:20" ht="18.75" customHeight="1" x14ac:dyDescent="0.35">
      <c r="T38823" s="246">
        <f t="shared" si="644"/>
        <v>0</v>
      </c>
    </row>
    <row r="38824" spans="20:20" ht="18.75" customHeight="1" x14ac:dyDescent="0.35">
      <c r="T38824" s="246">
        <f t="shared" si="644"/>
        <v>0</v>
      </c>
    </row>
    <row r="38825" spans="20:20" ht="18.75" customHeight="1" x14ac:dyDescent="0.35">
      <c r="T38825" s="246">
        <f t="shared" si="644"/>
        <v>0</v>
      </c>
    </row>
    <row r="38826" spans="20:20" ht="18.75" customHeight="1" x14ac:dyDescent="0.35">
      <c r="T38826" s="246">
        <f t="shared" si="644"/>
        <v>0</v>
      </c>
    </row>
    <row r="38827" spans="20:20" ht="18.75" customHeight="1" x14ac:dyDescent="0.35">
      <c r="T38827" s="246">
        <f t="shared" si="644"/>
        <v>0</v>
      </c>
    </row>
    <row r="38828" spans="20:20" ht="18.75" customHeight="1" x14ac:dyDescent="0.35">
      <c r="T38828" s="246">
        <f t="shared" si="644"/>
        <v>0</v>
      </c>
    </row>
    <row r="38829" spans="20:20" ht="18.75" customHeight="1" x14ac:dyDescent="0.35">
      <c r="T38829" s="246">
        <f t="shared" si="644"/>
        <v>0</v>
      </c>
    </row>
    <row r="38830" spans="20:20" ht="18.75" customHeight="1" x14ac:dyDescent="0.35">
      <c r="T38830" s="246">
        <f t="shared" si="644"/>
        <v>0</v>
      </c>
    </row>
    <row r="38831" spans="20:20" ht="18.75" customHeight="1" x14ac:dyDescent="0.35">
      <c r="T38831" s="246">
        <f t="shared" si="644"/>
        <v>0</v>
      </c>
    </row>
    <row r="38832" spans="20:20" ht="18.75" customHeight="1" x14ac:dyDescent="0.35">
      <c r="T38832" s="246">
        <f t="shared" si="644"/>
        <v>0</v>
      </c>
    </row>
    <row r="38833" spans="20:20" ht="18.75" customHeight="1" x14ac:dyDescent="0.35">
      <c r="T38833" s="246">
        <f t="shared" si="644"/>
        <v>0</v>
      </c>
    </row>
    <row r="38834" spans="20:20" ht="18.75" customHeight="1" x14ac:dyDescent="0.35">
      <c r="T38834" s="246">
        <f t="shared" si="644"/>
        <v>0</v>
      </c>
    </row>
    <row r="38835" spans="20:20" ht="18.75" customHeight="1" x14ac:dyDescent="0.35">
      <c r="T38835" s="246">
        <f t="shared" si="644"/>
        <v>0</v>
      </c>
    </row>
    <row r="38836" spans="20:20" ht="18.75" customHeight="1" x14ac:dyDescent="0.35">
      <c r="T38836" s="246">
        <f t="shared" si="644"/>
        <v>0</v>
      </c>
    </row>
    <row r="38837" spans="20:20" ht="18.75" customHeight="1" x14ac:dyDescent="0.35">
      <c r="T38837" s="246">
        <f t="shared" si="644"/>
        <v>0</v>
      </c>
    </row>
    <row r="38838" spans="20:20" ht="18.75" customHeight="1" x14ac:dyDescent="0.35">
      <c r="T38838" s="246">
        <f t="shared" si="644"/>
        <v>0</v>
      </c>
    </row>
    <row r="38839" spans="20:20" ht="18.75" customHeight="1" x14ac:dyDescent="0.35">
      <c r="T38839" s="246">
        <f t="shared" si="644"/>
        <v>0</v>
      </c>
    </row>
    <row r="38840" spans="20:20" ht="18.75" customHeight="1" x14ac:dyDescent="0.35">
      <c r="T38840" s="246">
        <f t="shared" si="644"/>
        <v>0</v>
      </c>
    </row>
    <row r="38841" spans="20:20" ht="18.75" customHeight="1" x14ac:dyDescent="0.35">
      <c r="T38841" s="246">
        <f t="shared" si="644"/>
        <v>0</v>
      </c>
    </row>
    <row r="38842" spans="20:20" ht="18.75" customHeight="1" x14ac:dyDescent="0.35">
      <c r="T38842" s="246">
        <f t="shared" si="644"/>
        <v>0</v>
      </c>
    </row>
    <row r="38843" spans="20:20" ht="18.75" customHeight="1" x14ac:dyDescent="0.35">
      <c r="T38843" s="246">
        <f t="shared" si="644"/>
        <v>0</v>
      </c>
    </row>
    <row r="38844" spans="20:20" ht="18.75" customHeight="1" x14ac:dyDescent="0.35">
      <c r="T38844" s="246">
        <f t="shared" ref="T38844:T38907" si="645">R38844*0.01</f>
        <v>0</v>
      </c>
    </row>
    <row r="38845" spans="20:20" ht="18.75" customHeight="1" x14ac:dyDescent="0.35">
      <c r="T38845" s="246">
        <f t="shared" si="645"/>
        <v>0</v>
      </c>
    </row>
    <row r="38846" spans="20:20" ht="18.75" customHeight="1" x14ac:dyDescent="0.35">
      <c r="T38846" s="246">
        <f t="shared" si="645"/>
        <v>0</v>
      </c>
    </row>
    <row r="38847" spans="20:20" ht="18.75" customHeight="1" x14ac:dyDescent="0.35">
      <c r="T38847" s="246">
        <f t="shared" si="645"/>
        <v>0</v>
      </c>
    </row>
    <row r="38848" spans="20:20" ht="18.75" customHeight="1" x14ac:dyDescent="0.35">
      <c r="T38848" s="246">
        <f t="shared" si="645"/>
        <v>0</v>
      </c>
    </row>
    <row r="38849" spans="20:20" ht="18.75" customHeight="1" x14ac:dyDescent="0.35">
      <c r="T38849" s="246">
        <f t="shared" si="645"/>
        <v>0</v>
      </c>
    </row>
    <row r="38850" spans="20:20" ht="18.75" customHeight="1" x14ac:dyDescent="0.35">
      <c r="T38850" s="246">
        <f t="shared" si="645"/>
        <v>0</v>
      </c>
    </row>
    <row r="38851" spans="20:20" ht="18.75" customHeight="1" x14ac:dyDescent="0.35">
      <c r="T38851" s="246">
        <f t="shared" si="645"/>
        <v>0</v>
      </c>
    </row>
    <row r="38852" spans="20:20" ht="18.75" customHeight="1" x14ac:dyDescent="0.35">
      <c r="T38852" s="246">
        <f t="shared" si="645"/>
        <v>0</v>
      </c>
    </row>
    <row r="38853" spans="20:20" ht="18.75" customHeight="1" x14ac:dyDescent="0.35">
      <c r="T38853" s="246">
        <f t="shared" si="645"/>
        <v>0</v>
      </c>
    </row>
    <row r="38854" spans="20:20" ht="18.75" customHeight="1" x14ac:dyDescent="0.35">
      <c r="T38854" s="246">
        <f t="shared" si="645"/>
        <v>0</v>
      </c>
    </row>
    <row r="38855" spans="20:20" ht="18.75" customHeight="1" x14ac:dyDescent="0.35">
      <c r="T38855" s="246">
        <f t="shared" si="645"/>
        <v>0</v>
      </c>
    </row>
    <row r="38856" spans="20:20" ht="18.75" customHeight="1" x14ac:dyDescent="0.35">
      <c r="T38856" s="246">
        <f t="shared" si="645"/>
        <v>0</v>
      </c>
    </row>
    <row r="38857" spans="20:20" ht="18.75" customHeight="1" x14ac:dyDescent="0.35">
      <c r="T38857" s="246">
        <f t="shared" si="645"/>
        <v>0</v>
      </c>
    </row>
    <row r="38858" spans="20:20" ht="18.75" customHeight="1" x14ac:dyDescent="0.35">
      <c r="T38858" s="246">
        <f t="shared" si="645"/>
        <v>0</v>
      </c>
    </row>
    <row r="38859" spans="20:20" ht="18.75" customHeight="1" x14ac:dyDescent="0.35">
      <c r="T38859" s="246">
        <f t="shared" si="645"/>
        <v>0</v>
      </c>
    </row>
    <row r="38860" spans="20:20" ht="18.75" customHeight="1" x14ac:dyDescent="0.35">
      <c r="T38860" s="246">
        <f t="shared" si="645"/>
        <v>0</v>
      </c>
    </row>
    <row r="38861" spans="20:20" ht="18.75" customHeight="1" x14ac:dyDescent="0.35">
      <c r="T38861" s="246">
        <f t="shared" si="645"/>
        <v>0</v>
      </c>
    </row>
    <row r="38862" spans="20:20" ht="18.75" customHeight="1" x14ac:dyDescent="0.35">
      <c r="T38862" s="246">
        <f t="shared" si="645"/>
        <v>0</v>
      </c>
    </row>
    <row r="38863" spans="20:20" ht="18.75" customHeight="1" x14ac:dyDescent="0.35">
      <c r="T38863" s="246">
        <f t="shared" si="645"/>
        <v>0</v>
      </c>
    </row>
    <row r="38864" spans="20:20" ht="18.75" customHeight="1" x14ac:dyDescent="0.35">
      <c r="T38864" s="246">
        <f t="shared" si="645"/>
        <v>0</v>
      </c>
    </row>
    <row r="38865" spans="20:20" ht="18.75" customHeight="1" x14ac:dyDescent="0.35">
      <c r="T38865" s="246">
        <f t="shared" si="645"/>
        <v>0</v>
      </c>
    </row>
    <row r="38866" spans="20:20" ht="18.75" customHeight="1" x14ac:dyDescent="0.35">
      <c r="T38866" s="246">
        <f t="shared" si="645"/>
        <v>0</v>
      </c>
    </row>
    <row r="38867" spans="20:20" ht="18.75" customHeight="1" x14ac:dyDescent="0.35">
      <c r="T38867" s="246">
        <f t="shared" si="645"/>
        <v>0</v>
      </c>
    </row>
    <row r="38868" spans="20:20" ht="18.75" customHeight="1" x14ac:dyDescent="0.35">
      <c r="T38868" s="246">
        <f t="shared" si="645"/>
        <v>0</v>
      </c>
    </row>
    <row r="38869" spans="20:20" ht="18.75" customHeight="1" x14ac:dyDescent="0.35">
      <c r="T38869" s="246">
        <f t="shared" si="645"/>
        <v>0</v>
      </c>
    </row>
    <row r="38870" spans="20:20" ht="18.75" customHeight="1" x14ac:dyDescent="0.35">
      <c r="T38870" s="246">
        <f t="shared" si="645"/>
        <v>0</v>
      </c>
    </row>
    <row r="38871" spans="20:20" ht="18.75" customHeight="1" x14ac:dyDescent="0.35">
      <c r="T38871" s="246">
        <f t="shared" si="645"/>
        <v>0</v>
      </c>
    </row>
    <row r="38872" spans="20:20" ht="18.75" customHeight="1" x14ac:dyDescent="0.35">
      <c r="T38872" s="246">
        <f t="shared" si="645"/>
        <v>0</v>
      </c>
    </row>
    <row r="38873" spans="20:20" ht="18.75" customHeight="1" x14ac:dyDescent="0.35">
      <c r="T38873" s="246">
        <f t="shared" si="645"/>
        <v>0</v>
      </c>
    </row>
    <row r="38874" spans="20:20" ht="18.75" customHeight="1" x14ac:dyDescent="0.35">
      <c r="T38874" s="246">
        <f t="shared" si="645"/>
        <v>0</v>
      </c>
    </row>
    <row r="38875" spans="20:20" ht="18.75" customHeight="1" x14ac:dyDescent="0.35">
      <c r="T38875" s="246">
        <f t="shared" si="645"/>
        <v>0</v>
      </c>
    </row>
    <row r="38876" spans="20:20" ht="18.75" customHeight="1" x14ac:dyDescent="0.35">
      <c r="T38876" s="246">
        <f t="shared" si="645"/>
        <v>0</v>
      </c>
    </row>
    <row r="38877" spans="20:20" ht="18.75" customHeight="1" x14ac:dyDescent="0.35">
      <c r="T38877" s="246">
        <f t="shared" si="645"/>
        <v>0</v>
      </c>
    </row>
    <row r="38878" spans="20:20" ht="18.75" customHeight="1" x14ac:dyDescent="0.35">
      <c r="T38878" s="246">
        <f t="shared" si="645"/>
        <v>0</v>
      </c>
    </row>
    <row r="38879" spans="20:20" ht="18.75" customHeight="1" x14ac:dyDescent="0.35">
      <c r="T38879" s="246">
        <f t="shared" si="645"/>
        <v>0</v>
      </c>
    </row>
    <row r="38880" spans="20:20" ht="18.75" customHeight="1" x14ac:dyDescent="0.35">
      <c r="T38880" s="246">
        <f t="shared" si="645"/>
        <v>0</v>
      </c>
    </row>
    <row r="38881" spans="20:20" ht="18.75" customHeight="1" x14ac:dyDescent="0.35">
      <c r="T38881" s="246">
        <f t="shared" si="645"/>
        <v>0</v>
      </c>
    </row>
    <row r="38882" spans="20:20" ht="18.75" customHeight="1" x14ac:dyDescent="0.35">
      <c r="T38882" s="246">
        <f t="shared" si="645"/>
        <v>0</v>
      </c>
    </row>
    <row r="38883" spans="20:20" ht="18.75" customHeight="1" x14ac:dyDescent="0.35">
      <c r="T38883" s="246">
        <f t="shared" si="645"/>
        <v>0</v>
      </c>
    </row>
    <row r="38884" spans="20:20" ht="18.75" customHeight="1" x14ac:dyDescent="0.35">
      <c r="T38884" s="246">
        <f t="shared" si="645"/>
        <v>0</v>
      </c>
    </row>
    <row r="38885" spans="20:20" ht="18.75" customHeight="1" x14ac:dyDescent="0.35">
      <c r="T38885" s="246">
        <f t="shared" si="645"/>
        <v>0</v>
      </c>
    </row>
    <row r="38886" spans="20:20" ht="18.75" customHeight="1" x14ac:dyDescent="0.35">
      <c r="T38886" s="246">
        <f t="shared" si="645"/>
        <v>0</v>
      </c>
    </row>
    <row r="38887" spans="20:20" ht="18.75" customHeight="1" x14ac:dyDescent="0.35">
      <c r="T38887" s="246">
        <f t="shared" si="645"/>
        <v>0</v>
      </c>
    </row>
    <row r="38888" spans="20:20" ht="18.75" customHeight="1" x14ac:dyDescent="0.35">
      <c r="T38888" s="246">
        <f t="shared" si="645"/>
        <v>0</v>
      </c>
    </row>
    <row r="38889" spans="20:20" ht="18.75" customHeight="1" x14ac:dyDescent="0.35">
      <c r="T38889" s="246">
        <f t="shared" si="645"/>
        <v>0</v>
      </c>
    </row>
    <row r="38890" spans="20:20" ht="18.75" customHeight="1" x14ac:dyDescent="0.35">
      <c r="T38890" s="246">
        <f t="shared" si="645"/>
        <v>0</v>
      </c>
    </row>
    <row r="38891" spans="20:20" ht="18.75" customHeight="1" x14ac:dyDescent="0.35">
      <c r="T38891" s="246">
        <f t="shared" si="645"/>
        <v>0</v>
      </c>
    </row>
    <row r="38892" spans="20:20" ht="18.75" customHeight="1" x14ac:dyDescent="0.35">
      <c r="T38892" s="246">
        <f t="shared" si="645"/>
        <v>0</v>
      </c>
    </row>
    <row r="38893" spans="20:20" ht="18.75" customHeight="1" x14ac:dyDescent="0.35">
      <c r="T38893" s="246">
        <f t="shared" si="645"/>
        <v>0</v>
      </c>
    </row>
    <row r="38894" spans="20:20" ht="18.75" customHeight="1" x14ac:dyDescent="0.35">
      <c r="T38894" s="246">
        <f t="shared" si="645"/>
        <v>0</v>
      </c>
    </row>
    <row r="38895" spans="20:20" ht="18.75" customHeight="1" x14ac:dyDescent="0.35">
      <c r="T38895" s="246">
        <f t="shared" si="645"/>
        <v>0</v>
      </c>
    </row>
    <row r="38896" spans="20:20" ht="18.75" customHeight="1" x14ac:dyDescent="0.35">
      <c r="T38896" s="246">
        <f t="shared" si="645"/>
        <v>0</v>
      </c>
    </row>
    <row r="38897" spans="20:20" ht="18.75" customHeight="1" x14ac:dyDescent="0.35">
      <c r="T38897" s="246">
        <f t="shared" si="645"/>
        <v>0</v>
      </c>
    </row>
    <row r="38898" spans="20:20" ht="18.75" customHeight="1" x14ac:dyDescent="0.35">
      <c r="T38898" s="246">
        <f t="shared" si="645"/>
        <v>0</v>
      </c>
    </row>
    <row r="38899" spans="20:20" ht="18.75" customHeight="1" x14ac:dyDescent="0.35">
      <c r="T38899" s="246">
        <f t="shared" si="645"/>
        <v>0</v>
      </c>
    </row>
    <row r="38900" spans="20:20" ht="18.75" customHeight="1" x14ac:dyDescent="0.35">
      <c r="T38900" s="246">
        <f t="shared" si="645"/>
        <v>0</v>
      </c>
    </row>
    <row r="38901" spans="20:20" ht="18.75" customHeight="1" x14ac:dyDescent="0.35">
      <c r="T38901" s="246">
        <f t="shared" si="645"/>
        <v>0</v>
      </c>
    </row>
    <row r="38902" spans="20:20" ht="18.75" customHeight="1" x14ac:dyDescent="0.35">
      <c r="T38902" s="246">
        <f t="shared" si="645"/>
        <v>0</v>
      </c>
    </row>
    <row r="38903" spans="20:20" ht="18.75" customHeight="1" x14ac:dyDescent="0.35">
      <c r="T38903" s="246">
        <f t="shared" si="645"/>
        <v>0</v>
      </c>
    </row>
    <row r="38904" spans="20:20" ht="18.75" customHeight="1" x14ac:dyDescent="0.35">
      <c r="T38904" s="246">
        <f t="shared" si="645"/>
        <v>0</v>
      </c>
    </row>
    <row r="38905" spans="20:20" ht="18.75" customHeight="1" x14ac:dyDescent="0.35">
      <c r="T38905" s="246">
        <f t="shared" si="645"/>
        <v>0</v>
      </c>
    </row>
    <row r="38906" spans="20:20" ht="18.75" customHeight="1" x14ac:dyDescent="0.35">
      <c r="T38906" s="246">
        <f t="shared" si="645"/>
        <v>0</v>
      </c>
    </row>
    <row r="38907" spans="20:20" ht="18.75" customHeight="1" x14ac:dyDescent="0.35">
      <c r="T38907" s="246">
        <f t="shared" si="645"/>
        <v>0</v>
      </c>
    </row>
    <row r="38908" spans="20:20" ht="18.75" customHeight="1" x14ac:dyDescent="0.35">
      <c r="T38908" s="246">
        <f t="shared" ref="T38908:T38971" si="646">R38908*0.01</f>
        <v>0</v>
      </c>
    </row>
    <row r="38909" spans="20:20" ht="18.75" customHeight="1" x14ac:dyDescent="0.35">
      <c r="T38909" s="246">
        <f t="shared" si="646"/>
        <v>0</v>
      </c>
    </row>
    <row r="38910" spans="20:20" ht="18.75" customHeight="1" x14ac:dyDescent="0.35">
      <c r="T38910" s="246">
        <f t="shared" si="646"/>
        <v>0</v>
      </c>
    </row>
    <row r="38911" spans="20:20" ht="18.75" customHeight="1" x14ac:dyDescent="0.35">
      <c r="T38911" s="246">
        <f t="shared" si="646"/>
        <v>0</v>
      </c>
    </row>
    <row r="38912" spans="20:20" ht="18.75" customHeight="1" x14ac:dyDescent="0.35">
      <c r="T38912" s="246">
        <f t="shared" si="646"/>
        <v>0</v>
      </c>
    </row>
    <row r="38913" spans="20:20" ht="18.75" customHeight="1" x14ac:dyDescent="0.35">
      <c r="T38913" s="246">
        <f t="shared" si="646"/>
        <v>0</v>
      </c>
    </row>
    <row r="38914" spans="20:20" ht="18.75" customHeight="1" x14ac:dyDescent="0.35">
      <c r="T38914" s="246">
        <f t="shared" si="646"/>
        <v>0</v>
      </c>
    </row>
    <row r="38915" spans="20:20" ht="18.75" customHeight="1" x14ac:dyDescent="0.35">
      <c r="T38915" s="246">
        <f t="shared" si="646"/>
        <v>0</v>
      </c>
    </row>
    <row r="38916" spans="20:20" ht="18.75" customHeight="1" x14ac:dyDescent="0.35">
      <c r="T38916" s="246">
        <f t="shared" si="646"/>
        <v>0</v>
      </c>
    </row>
    <row r="38917" spans="20:20" ht="18.75" customHeight="1" x14ac:dyDescent="0.35">
      <c r="T38917" s="246">
        <f t="shared" si="646"/>
        <v>0</v>
      </c>
    </row>
    <row r="38918" spans="20:20" ht="18.75" customHeight="1" x14ac:dyDescent="0.35">
      <c r="T38918" s="246">
        <f t="shared" si="646"/>
        <v>0</v>
      </c>
    </row>
    <row r="38919" spans="20:20" ht="18.75" customHeight="1" x14ac:dyDescent="0.35">
      <c r="T38919" s="246">
        <f t="shared" si="646"/>
        <v>0</v>
      </c>
    </row>
    <row r="38920" spans="20:20" ht="18.75" customHeight="1" x14ac:dyDescent="0.35">
      <c r="T38920" s="246">
        <f t="shared" si="646"/>
        <v>0</v>
      </c>
    </row>
    <row r="38921" spans="20:20" ht="18.75" customHeight="1" x14ac:dyDescent="0.35">
      <c r="T38921" s="246">
        <f t="shared" si="646"/>
        <v>0</v>
      </c>
    </row>
    <row r="38922" spans="20:20" ht="18.75" customHeight="1" x14ac:dyDescent="0.35">
      <c r="T38922" s="246">
        <f t="shared" si="646"/>
        <v>0</v>
      </c>
    </row>
    <row r="38923" spans="20:20" ht="18.75" customHeight="1" x14ac:dyDescent="0.35">
      <c r="T38923" s="246">
        <f t="shared" si="646"/>
        <v>0</v>
      </c>
    </row>
    <row r="38924" spans="20:20" ht="18.75" customHeight="1" x14ac:dyDescent="0.35">
      <c r="T38924" s="246">
        <f t="shared" si="646"/>
        <v>0</v>
      </c>
    </row>
    <row r="38925" spans="20:20" ht="18.75" customHeight="1" x14ac:dyDescent="0.35">
      <c r="T38925" s="246">
        <f t="shared" si="646"/>
        <v>0</v>
      </c>
    </row>
    <row r="38926" spans="20:20" ht="18.75" customHeight="1" x14ac:dyDescent="0.35">
      <c r="T38926" s="246">
        <f t="shared" si="646"/>
        <v>0</v>
      </c>
    </row>
    <row r="38927" spans="20:20" ht="18.75" customHeight="1" x14ac:dyDescent="0.35">
      <c r="T38927" s="246">
        <f t="shared" si="646"/>
        <v>0</v>
      </c>
    </row>
    <row r="38928" spans="20:20" ht="18.75" customHeight="1" x14ac:dyDescent="0.35">
      <c r="T38928" s="246">
        <f t="shared" si="646"/>
        <v>0</v>
      </c>
    </row>
    <row r="38929" spans="20:20" ht="18.75" customHeight="1" x14ac:dyDescent="0.35">
      <c r="T38929" s="246">
        <f t="shared" si="646"/>
        <v>0</v>
      </c>
    </row>
    <row r="38930" spans="20:20" ht="18.75" customHeight="1" x14ac:dyDescent="0.35">
      <c r="T38930" s="246">
        <f t="shared" si="646"/>
        <v>0</v>
      </c>
    </row>
    <row r="38931" spans="20:20" ht="18.75" customHeight="1" x14ac:dyDescent="0.35">
      <c r="T38931" s="246">
        <f t="shared" si="646"/>
        <v>0</v>
      </c>
    </row>
    <row r="38932" spans="20:20" ht="18.75" customHeight="1" x14ac:dyDescent="0.35">
      <c r="T38932" s="246">
        <f t="shared" si="646"/>
        <v>0</v>
      </c>
    </row>
    <row r="38933" spans="20:20" ht="18.75" customHeight="1" x14ac:dyDescent="0.35">
      <c r="T38933" s="246">
        <f t="shared" si="646"/>
        <v>0</v>
      </c>
    </row>
    <row r="38934" spans="20:20" ht="18.75" customHeight="1" x14ac:dyDescent="0.35">
      <c r="T38934" s="246">
        <f t="shared" si="646"/>
        <v>0</v>
      </c>
    </row>
    <row r="38935" spans="20:20" ht="18.75" customHeight="1" x14ac:dyDescent="0.35">
      <c r="T38935" s="246">
        <f t="shared" si="646"/>
        <v>0</v>
      </c>
    </row>
    <row r="38936" spans="20:20" ht="18.75" customHeight="1" x14ac:dyDescent="0.35">
      <c r="T38936" s="246">
        <f t="shared" si="646"/>
        <v>0</v>
      </c>
    </row>
    <row r="38937" spans="20:20" ht="18.75" customHeight="1" x14ac:dyDescent="0.35">
      <c r="T38937" s="246">
        <f t="shared" si="646"/>
        <v>0</v>
      </c>
    </row>
    <row r="38938" spans="20:20" ht="18.75" customHeight="1" x14ac:dyDescent="0.35">
      <c r="T38938" s="246">
        <f t="shared" si="646"/>
        <v>0</v>
      </c>
    </row>
    <row r="38939" spans="20:20" ht="18.75" customHeight="1" x14ac:dyDescent="0.35">
      <c r="T38939" s="246">
        <f t="shared" si="646"/>
        <v>0</v>
      </c>
    </row>
    <row r="38940" spans="20:20" ht="18.75" customHeight="1" x14ac:dyDescent="0.35">
      <c r="T38940" s="246">
        <f t="shared" si="646"/>
        <v>0</v>
      </c>
    </row>
    <row r="38941" spans="20:20" ht="18.75" customHeight="1" x14ac:dyDescent="0.35">
      <c r="T38941" s="246">
        <f t="shared" si="646"/>
        <v>0</v>
      </c>
    </row>
    <row r="38942" spans="20:20" ht="18.75" customHeight="1" x14ac:dyDescent="0.35">
      <c r="T38942" s="246">
        <f t="shared" si="646"/>
        <v>0</v>
      </c>
    </row>
    <row r="38943" spans="20:20" ht="18.75" customHeight="1" x14ac:dyDescent="0.35">
      <c r="T38943" s="246">
        <f t="shared" si="646"/>
        <v>0</v>
      </c>
    </row>
    <row r="38944" spans="20:20" ht="18.75" customHeight="1" x14ac:dyDescent="0.35">
      <c r="T38944" s="246">
        <f t="shared" si="646"/>
        <v>0</v>
      </c>
    </row>
    <row r="38945" spans="20:20" ht="18.75" customHeight="1" x14ac:dyDescent="0.35">
      <c r="T38945" s="246">
        <f t="shared" si="646"/>
        <v>0</v>
      </c>
    </row>
    <row r="38946" spans="20:20" ht="18.75" customHeight="1" x14ac:dyDescent="0.35">
      <c r="T38946" s="246">
        <f t="shared" si="646"/>
        <v>0</v>
      </c>
    </row>
    <row r="38947" spans="20:20" ht="18.75" customHeight="1" x14ac:dyDescent="0.35">
      <c r="T38947" s="246">
        <f t="shared" si="646"/>
        <v>0</v>
      </c>
    </row>
    <row r="38948" spans="20:20" ht="18.75" customHeight="1" x14ac:dyDescent="0.35">
      <c r="T38948" s="246">
        <f t="shared" si="646"/>
        <v>0</v>
      </c>
    </row>
    <row r="38949" spans="20:20" ht="18.75" customHeight="1" x14ac:dyDescent="0.35">
      <c r="T38949" s="246">
        <f t="shared" si="646"/>
        <v>0</v>
      </c>
    </row>
    <row r="38950" spans="20:20" ht="18.75" customHeight="1" x14ac:dyDescent="0.35">
      <c r="T38950" s="246">
        <f t="shared" si="646"/>
        <v>0</v>
      </c>
    </row>
    <row r="38951" spans="20:20" ht="18.75" customHeight="1" x14ac:dyDescent="0.35">
      <c r="T38951" s="246">
        <f t="shared" si="646"/>
        <v>0</v>
      </c>
    </row>
    <row r="38952" spans="20:20" ht="18.75" customHeight="1" x14ac:dyDescent="0.35">
      <c r="T38952" s="246">
        <f t="shared" si="646"/>
        <v>0</v>
      </c>
    </row>
    <row r="38953" spans="20:20" ht="18.75" customHeight="1" x14ac:dyDescent="0.35">
      <c r="T38953" s="246">
        <f t="shared" si="646"/>
        <v>0</v>
      </c>
    </row>
    <row r="38954" spans="20:20" ht="18.75" customHeight="1" x14ac:dyDescent="0.35">
      <c r="T38954" s="246">
        <f t="shared" si="646"/>
        <v>0</v>
      </c>
    </row>
    <row r="38955" spans="20:20" ht="18.75" customHeight="1" x14ac:dyDescent="0.35">
      <c r="T38955" s="246">
        <f t="shared" si="646"/>
        <v>0</v>
      </c>
    </row>
    <row r="38956" spans="20:20" ht="18.75" customHeight="1" x14ac:dyDescent="0.35">
      <c r="T38956" s="246">
        <f t="shared" si="646"/>
        <v>0</v>
      </c>
    </row>
    <row r="38957" spans="20:20" ht="18.75" customHeight="1" x14ac:dyDescent="0.35">
      <c r="T38957" s="246">
        <f t="shared" si="646"/>
        <v>0</v>
      </c>
    </row>
    <row r="38958" spans="20:20" ht="18.75" customHeight="1" x14ac:dyDescent="0.35">
      <c r="T38958" s="246">
        <f t="shared" si="646"/>
        <v>0</v>
      </c>
    </row>
    <row r="38959" spans="20:20" ht="18.75" customHeight="1" x14ac:dyDescent="0.35">
      <c r="T38959" s="246">
        <f t="shared" si="646"/>
        <v>0</v>
      </c>
    </row>
    <row r="38960" spans="20:20" ht="18.75" customHeight="1" x14ac:dyDescent="0.35">
      <c r="T38960" s="246">
        <f t="shared" si="646"/>
        <v>0</v>
      </c>
    </row>
    <row r="38961" spans="20:20" ht="18.75" customHeight="1" x14ac:dyDescent="0.35">
      <c r="T38961" s="246">
        <f t="shared" si="646"/>
        <v>0</v>
      </c>
    </row>
    <row r="38962" spans="20:20" ht="18.75" customHeight="1" x14ac:dyDescent="0.35">
      <c r="T38962" s="246">
        <f t="shared" si="646"/>
        <v>0</v>
      </c>
    </row>
    <row r="38963" spans="20:20" ht="18.75" customHeight="1" x14ac:dyDescent="0.35">
      <c r="T38963" s="246">
        <f t="shared" si="646"/>
        <v>0</v>
      </c>
    </row>
    <row r="38964" spans="20:20" ht="18.75" customHeight="1" x14ac:dyDescent="0.35">
      <c r="T38964" s="246">
        <f t="shared" si="646"/>
        <v>0</v>
      </c>
    </row>
    <row r="38965" spans="20:20" ht="18.75" customHeight="1" x14ac:dyDescent="0.35">
      <c r="T38965" s="246">
        <f t="shared" si="646"/>
        <v>0</v>
      </c>
    </row>
    <row r="38966" spans="20:20" ht="18.75" customHeight="1" x14ac:dyDescent="0.35">
      <c r="T38966" s="246">
        <f t="shared" si="646"/>
        <v>0</v>
      </c>
    </row>
    <row r="38967" spans="20:20" ht="18.75" customHeight="1" x14ac:dyDescent="0.35">
      <c r="T38967" s="246">
        <f t="shared" si="646"/>
        <v>0</v>
      </c>
    </row>
    <row r="38968" spans="20:20" ht="18.75" customHeight="1" x14ac:dyDescent="0.35">
      <c r="T38968" s="246">
        <f t="shared" si="646"/>
        <v>0</v>
      </c>
    </row>
    <row r="38969" spans="20:20" ht="18.75" customHeight="1" x14ac:dyDescent="0.35">
      <c r="T38969" s="246">
        <f t="shared" si="646"/>
        <v>0</v>
      </c>
    </row>
    <row r="38970" spans="20:20" ht="18.75" customHeight="1" x14ac:dyDescent="0.35">
      <c r="T38970" s="246">
        <f t="shared" si="646"/>
        <v>0</v>
      </c>
    </row>
    <row r="38971" spans="20:20" ht="18.75" customHeight="1" x14ac:dyDescent="0.35">
      <c r="T38971" s="246">
        <f t="shared" si="646"/>
        <v>0</v>
      </c>
    </row>
    <row r="38972" spans="20:20" ht="18.75" customHeight="1" x14ac:dyDescent="0.35">
      <c r="T38972" s="246">
        <f t="shared" ref="T38972:T39035" si="647">R38972*0.01</f>
        <v>0</v>
      </c>
    </row>
    <row r="38973" spans="20:20" ht="18.75" customHeight="1" x14ac:dyDescent="0.35">
      <c r="T38973" s="246">
        <f t="shared" si="647"/>
        <v>0</v>
      </c>
    </row>
    <row r="38974" spans="20:20" ht="18.75" customHeight="1" x14ac:dyDescent="0.35">
      <c r="T38974" s="246">
        <f t="shared" si="647"/>
        <v>0</v>
      </c>
    </row>
    <row r="38975" spans="20:20" ht="18.75" customHeight="1" x14ac:dyDescent="0.35">
      <c r="T38975" s="246">
        <f t="shared" si="647"/>
        <v>0</v>
      </c>
    </row>
    <row r="38976" spans="20:20" ht="18.75" customHeight="1" x14ac:dyDescent="0.35">
      <c r="T38976" s="246">
        <f t="shared" si="647"/>
        <v>0</v>
      </c>
    </row>
    <row r="38977" spans="20:20" ht="18.75" customHeight="1" x14ac:dyDescent="0.35">
      <c r="T38977" s="246">
        <f t="shared" si="647"/>
        <v>0</v>
      </c>
    </row>
    <row r="38978" spans="20:20" ht="18.75" customHeight="1" x14ac:dyDescent="0.35">
      <c r="T38978" s="246">
        <f t="shared" si="647"/>
        <v>0</v>
      </c>
    </row>
    <row r="38979" spans="20:20" ht="18.75" customHeight="1" x14ac:dyDescent="0.35">
      <c r="T38979" s="246">
        <f t="shared" si="647"/>
        <v>0</v>
      </c>
    </row>
    <row r="38980" spans="20:20" ht="18.75" customHeight="1" x14ac:dyDescent="0.35">
      <c r="T38980" s="246">
        <f t="shared" si="647"/>
        <v>0</v>
      </c>
    </row>
    <row r="38981" spans="20:20" ht="18.75" customHeight="1" x14ac:dyDescent="0.35">
      <c r="T38981" s="246">
        <f t="shared" si="647"/>
        <v>0</v>
      </c>
    </row>
    <row r="38982" spans="20:20" ht="18.75" customHeight="1" x14ac:dyDescent="0.35">
      <c r="T38982" s="246">
        <f t="shared" si="647"/>
        <v>0</v>
      </c>
    </row>
    <row r="38983" spans="20:20" ht="18.75" customHeight="1" x14ac:dyDescent="0.35">
      <c r="T38983" s="246">
        <f t="shared" si="647"/>
        <v>0</v>
      </c>
    </row>
    <row r="38984" spans="20:20" ht="18.75" customHeight="1" x14ac:dyDescent="0.35">
      <c r="T38984" s="246">
        <f t="shared" si="647"/>
        <v>0</v>
      </c>
    </row>
    <row r="38985" spans="20:20" ht="18.75" customHeight="1" x14ac:dyDescent="0.35">
      <c r="T38985" s="246">
        <f t="shared" si="647"/>
        <v>0</v>
      </c>
    </row>
    <row r="38986" spans="20:20" ht="18.75" customHeight="1" x14ac:dyDescent="0.35">
      <c r="T38986" s="246">
        <f t="shared" si="647"/>
        <v>0</v>
      </c>
    </row>
    <row r="38987" spans="20:20" ht="18.75" customHeight="1" x14ac:dyDescent="0.35">
      <c r="T38987" s="246">
        <f t="shared" si="647"/>
        <v>0</v>
      </c>
    </row>
    <row r="38988" spans="20:20" ht="18.75" customHeight="1" x14ac:dyDescent="0.35">
      <c r="T38988" s="246">
        <f t="shared" si="647"/>
        <v>0</v>
      </c>
    </row>
    <row r="38989" spans="20:20" ht="18.75" customHeight="1" x14ac:dyDescent="0.35">
      <c r="T38989" s="246">
        <f t="shared" si="647"/>
        <v>0</v>
      </c>
    </row>
    <row r="38990" spans="20:20" ht="18.75" customHeight="1" x14ac:dyDescent="0.35">
      <c r="T38990" s="246">
        <f t="shared" si="647"/>
        <v>0</v>
      </c>
    </row>
    <row r="38991" spans="20:20" ht="18.75" customHeight="1" x14ac:dyDescent="0.35">
      <c r="T38991" s="246">
        <f t="shared" si="647"/>
        <v>0</v>
      </c>
    </row>
    <row r="38992" spans="20:20" ht="18.75" customHeight="1" x14ac:dyDescent="0.35">
      <c r="T38992" s="246">
        <f t="shared" si="647"/>
        <v>0</v>
      </c>
    </row>
    <row r="38993" spans="20:20" ht="18.75" customHeight="1" x14ac:dyDescent="0.35">
      <c r="T38993" s="246">
        <f t="shared" si="647"/>
        <v>0</v>
      </c>
    </row>
    <row r="38994" spans="20:20" ht="18.75" customHeight="1" x14ac:dyDescent="0.35">
      <c r="T38994" s="246">
        <f t="shared" si="647"/>
        <v>0</v>
      </c>
    </row>
    <row r="38995" spans="20:20" ht="18.75" customHeight="1" x14ac:dyDescent="0.35">
      <c r="T38995" s="246">
        <f t="shared" si="647"/>
        <v>0</v>
      </c>
    </row>
    <row r="38996" spans="20:20" ht="18.75" customHeight="1" x14ac:dyDescent="0.35">
      <c r="T38996" s="246">
        <f t="shared" si="647"/>
        <v>0</v>
      </c>
    </row>
    <row r="38997" spans="20:20" ht="18.75" customHeight="1" x14ac:dyDescent="0.35">
      <c r="T38997" s="246">
        <f t="shared" si="647"/>
        <v>0</v>
      </c>
    </row>
    <row r="38998" spans="20:20" ht="18.75" customHeight="1" x14ac:dyDescent="0.35">
      <c r="T38998" s="246">
        <f t="shared" si="647"/>
        <v>0</v>
      </c>
    </row>
    <row r="38999" spans="20:20" ht="18.75" customHeight="1" x14ac:dyDescent="0.35">
      <c r="T38999" s="246">
        <f t="shared" si="647"/>
        <v>0</v>
      </c>
    </row>
    <row r="39000" spans="20:20" ht="18.75" customHeight="1" x14ac:dyDescent="0.35">
      <c r="T39000" s="246">
        <f t="shared" si="647"/>
        <v>0</v>
      </c>
    </row>
    <row r="39001" spans="20:20" ht="18.75" customHeight="1" x14ac:dyDescent="0.35">
      <c r="T39001" s="246">
        <f t="shared" si="647"/>
        <v>0</v>
      </c>
    </row>
    <row r="39002" spans="20:20" ht="18.75" customHeight="1" x14ac:dyDescent="0.35">
      <c r="T39002" s="246">
        <f t="shared" si="647"/>
        <v>0</v>
      </c>
    </row>
    <row r="39003" spans="20:20" ht="18.75" customHeight="1" x14ac:dyDescent="0.35">
      <c r="T39003" s="246">
        <f t="shared" si="647"/>
        <v>0</v>
      </c>
    </row>
    <row r="39004" spans="20:20" ht="18.75" customHeight="1" x14ac:dyDescent="0.35">
      <c r="T39004" s="246">
        <f t="shared" si="647"/>
        <v>0</v>
      </c>
    </row>
    <row r="39005" spans="20:20" ht="18.75" customHeight="1" x14ac:dyDescent="0.35">
      <c r="T39005" s="246">
        <f t="shared" si="647"/>
        <v>0</v>
      </c>
    </row>
    <row r="39006" spans="20:20" ht="18.75" customHeight="1" x14ac:dyDescent="0.35">
      <c r="T39006" s="246">
        <f t="shared" si="647"/>
        <v>0</v>
      </c>
    </row>
    <row r="39007" spans="20:20" ht="18.75" customHeight="1" x14ac:dyDescent="0.35">
      <c r="T39007" s="246">
        <f t="shared" si="647"/>
        <v>0</v>
      </c>
    </row>
    <row r="39008" spans="20:20" ht="18.75" customHeight="1" x14ac:dyDescent="0.35">
      <c r="T39008" s="246">
        <f t="shared" si="647"/>
        <v>0</v>
      </c>
    </row>
    <row r="39009" spans="20:20" ht="18.75" customHeight="1" x14ac:dyDescent="0.35">
      <c r="T39009" s="246">
        <f t="shared" si="647"/>
        <v>0</v>
      </c>
    </row>
    <row r="39010" spans="20:20" ht="18.75" customHeight="1" x14ac:dyDescent="0.35">
      <c r="T39010" s="246">
        <f t="shared" si="647"/>
        <v>0</v>
      </c>
    </row>
    <row r="39011" spans="20:20" ht="18.75" customHeight="1" x14ac:dyDescent="0.35">
      <c r="T39011" s="246">
        <f t="shared" si="647"/>
        <v>0</v>
      </c>
    </row>
    <row r="39012" spans="20:20" ht="18.75" customHeight="1" x14ac:dyDescent="0.35">
      <c r="T39012" s="246">
        <f t="shared" si="647"/>
        <v>0</v>
      </c>
    </row>
    <row r="39013" spans="20:20" ht="18.75" customHeight="1" x14ac:dyDescent="0.35">
      <c r="T39013" s="246">
        <f t="shared" si="647"/>
        <v>0</v>
      </c>
    </row>
    <row r="39014" spans="20:20" ht="18.75" customHeight="1" x14ac:dyDescent="0.35">
      <c r="T39014" s="246">
        <f t="shared" si="647"/>
        <v>0</v>
      </c>
    </row>
    <row r="39015" spans="20:20" ht="18.75" customHeight="1" x14ac:dyDescent="0.35">
      <c r="T39015" s="246">
        <f t="shared" si="647"/>
        <v>0</v>
      </c>
    </row>
    <row r="39016" spans="20:20" ht="18.75" customHeight="1" x14ac:dyDescent="0.35">
      <c r="T39016" s="246">
        <f t="shared" si="647"/>
        <v>0</v>
      </c>
    </row>
    <row r="39017" spans="20:20" ht="18.75" customHeight="1" x14ac:dyDescent="0.35">
      <c r="T39017" s="246">
        <f t="shared" si="647"/>
        <v>0</v>
      </c>
    </row>
    <row r="39018" spans="20:20" ht="18.75" customHeight="1" x14ac:dyDescent="0.35">
      <c r="T39018" s="246">
        <f t="shared" si="647"/>
        <v>0</v>
      </c>
    </row>
    <row r="39019" spans="20:20" ht="18.75" customHeight="1" x14ac:dyDescent="0.35">
      <c r="T39019" s="246">
        <f t="shared" si="647"/>
        <v>0</v>
      </c>
    </row>
    <row r="39020" spans="20:20" ht="18.75" customHeight="1" x14ac:dyDescent="0.35">
      <c r="T39020" s="246">
        <f t="shared" si="647"/>
        <v>0</v>
      </c>
    </row>
    <row r="39021" spans="20:20" ht="18.75" customHeight="1" x14ac:dyDescent="0.35">
      <c r="T39021" s="246">
        <f t="shared" si="647"/>
        <v>0</v>
      </c>
    </row>
    <row r="39022" spans="20:20" ht="18.75" customHeight="1" x14ac:dyDescent="0.35">
      <c r="T39022" s="246">
        <f t="shared" si="647"/>
        <v>0</v>
      </c>
    </row>
    <row r="39023" spans="20:20" ht="18.75" customHeight="1" x14ac:dyDescent="0.35">
      <c r="T39023" s="246">
        <f t="shared" si="647"/>
        <v>0</v>
      </c>
    </row>
    <row r="39024" spans="20:20" ht="18.75" customHeight="1" x14ac:dyDescent="0.35">
      <c r="T39024" s="246">
        <f t="shared" si="647"/>
        <v>0</v>
      </c>
    </row>
    <row r="39025" spans="20:20" ht="18.75" customHeight="1" x14ac:dyDescent="0.35">
      <c r="T39025" s="246">
        <f t="shared" si="647"/>
        <v>0</v>
      </c>
    </row>
    <row r="39026" spans="20:20" ht="18.75" customHeight="1" x14ac:dyDescent="0.35">
      <c r="T39026" s="246">
        <f t="shared" si="647"/>
        <v>0</v>
      </c>
    </row>
    <row r="39027" spans="20:20" ht="18.75" customHeight="1" x14ac:dyDescent="0.35">
      <c r="T39027" s="246">
        <f t="shared" si="647"/>
        <v>0</v>
      </c>
    </row>
    <row r="39028" spans="20:20" ht="18.75" customHeight="1" x14ac:dyDescent="0.35">
      <c r="T39028" s="246">
        <f t="shared" si="647"/>
        <v>0</v>
      </c>
    </row>
    <row r="39029" spans="20:20" ht="18.75" customHeight="1" x14ac:dyDescent="0.35">
      <c r="T39029" s="246">
        <f t="shared" si="647"/>
        <v>0</v>
      </c>
    </row>
    <row r="39030" spans="20:20" ht="18.75" customHeight="1" x14ac:dyDescent="0.35">
      <c r="T39030" s="246">
        <f t="shared" si="647"/>
        <v>0</v>
      </c>
    </row>
    <row r="39031" spans="20:20" ht="18.75" customHeight="1" x14ac:dyDescent="0.35">
      <c r="T39031" s="246">
        <f t="shared" si="647"/>
        <v>0</v>
      </c>
    </row>
    <row r="39032" spans="20:20" ht="18.75" customHeight="1" x14ac:dyDescent="0.35">
      <c r="T39032" s="246">
        <f t="shared" si="647"/>
        <v>0</v>
      </c>
    </row>
    <row r="39033" spans="20:20" ht="18.75" customHeight="1" x14ac:dyDescent="0.35">
      <c r="T39033" s="246">
        <f t="shared" si="647"/>
        <v>0</v>
      </c>
    </row>
    <row r="39034" spans="20:20" ht="18.75" customHeight="1" x14ac:dyDescent="0.35">
      <c r="T39034" s="246">
        <f t="shared" si="647"/>
        <v>0</v>
      </c>
    </row>
    <row r="39035" spans="20:20" ht="18.75" customHeight="1" x14ac:dyDescent="0.35">
      <c r="T39035" s="246">
        <f t="shared" si="647"/>
        <v>0</v>
      </c>
    </row>
    <row r="39036" spans="20:20" ht="18.75" customHeight="1" x14ac:dyDescent="0.35">
      <c r="T39036" s="246">
        <f t="shared" ref="T39036:T39099" si="648">R39036*0.01</f>
        <v>0</v>
      </c>
    </row>
    <row r="39037" spans="20:20" ht="18.75" customHeight="1" x14ac:dyDescent="0.35">
      <c r="T39037" s="246">
        <f t="shared" si="648"/>
        <v>0</v>
      </c>
    </row>
    <row r="39038" spans="20:20" ht="18.75" customHeight="1" x14ac:dyDescent="0.35">
      <c r="T39038" s="246">
        <f t="shared" si="648"/>
        <v>0</v>
      </c>
    </row>
    <row r="39039" spans="20:20" ht="18.75" customHeight="1" x14ac:dyDescent="0.35">
      <c r="T39039" s="246">
        <f t="shared" si="648"/>
        <v>0</v>
      </c>
    </row>
    <row r="39040" spans="20:20" ht="18.75" customHeight="1" x14ac:dyDescent="0.35">
      <c r="T39040" s="246">
        <f t="shared" si="648"/>
        <v>0</v>
      </c>
    </row>
    <row r="39041" spans="20:20" ht="18.75" customHeight="1" x14ac:dyDescent="0.35">
      <c r="T39041" s="246">
        <f t="shared" si="648"/>
        <v>0</v>
      </c>
    </row>
    <row r="39042" spans="20:20" ht="18.75" customHeight="1" x14ac:dyDescent="0.35">
      <c r="T39042" s="246">
        <f t="shared" si="648"/>
        <v>0</v>
      </c>
    </row>
    <row r="39043" spans="20:20" ht="18.75" customHeight="1" x14ac:dyDescent="0.35">
      <c r="T39043" s="246">
        <f t="shared" si="648"/>
        <v>0</v>
      </c>
    </row>
    <row r="39044" spans="20:20" ht="18.75" customHeight="1" x14ac:dyDescent="0.35">
      <c r="T39044" s="246">
        <f t="shared" si="648"/>
        <v>0</v>
      </c>
    </row>
    <row r="39045" spans="20:20" ht="18.75" customHeight="1" x14ac:dyDescent="0.35">
      <c r="T39045" s="246">
        <f t="shared" si="648"/>
        <v>0</v>
      </c>
    </row>
    <row r="39046" spans="20:20" ht="18.75" customHeight="1" x14ac:dyDescent="0.35">
      <c r="T39046" s="246">
        <f t="shared" si="648"/>
        <v>0</v>
      </c>
    </row>
    <row r="39047" spans="20:20" ht="18.75" customHeight="1" x14ac:dyDescent="0.35">
      <c r="T39047" s="246">
        <f t="shared" si="648"/>
        <v>0</v>
      </c>
    </row>
    <row r="39048" spans="20:20" ht="18.75" customHeight="1" x14ac:dyDescent="0.35">
      <c r="T39048" s="246">
        <f t="shared" si="648"/>
        <v>0</v>
      </c>
    </row>
    <row r="39049" spans="20:20" ht="18.75" customHeight="1" x14ac:dyDescent="0.35">
      <c r="T39049" s="246">
        <f t="shared" si="648"/>
        <v>0</v>
      </c>
    </row>
    <row r="39050" spans="20:20" ht="18.75" customHeight="1" x14ac:dyDescent="0.35">
      <c r="T39050" s="246">
        <f t="shared" si="648"/>
        <v>0</v>
      </c>
    </row>
    <row r="39051" spans="20:20" ht="18.75" customHeight="1" x14ac:dyDescent="0.35">
      <c r="T39051" s="246">
        <f t="shared" si="648"/>
        <v>0</v>
      </c>
    </row>
    <row r="39052" spans="20:20" ht="18.75" customHeight="1" x14ac:dyDescent="0.35">
      <c r="T39052" s="246">
        <f t="shared" si="648"/>
        <v>0</v>
      </c>
    </row>
    <row r="39053" spans="20:20" ht="18.75" customHeight="1" x14ac:dyDescent="0.35">
      <c r="T39053" s="246">
        <f t="shared" si="648"/>
        <v>0</v>
      </c>
    </row>
    <row r="39054" spans="20:20" ht="18.75" customHeight="1" x14ac:dyDescent="0.35">
      <c r="T39054" s="246">
        <f t="shared" si="648"/>
        <v>0</v>
      </c>
    </row>
    <row r="39055" spans="20:20" ht="18.75" customHeight="1" x14ac:dyDescent="0.35">
      <c r="T39055" s="246">
        <f t="shared" si="648"/>
        <v>0</v>
      </c>
    </row>
    <row r="39056" spans="20:20" ht="18.75" customHeight="1" x14ac:dyDescent="0.35">
      <c r="T39056" s="246">
        <f t="shared" si="648"/>
        <v>0</v>
      </c>
    </row>
    <row r="39057" spans="20:20" ht="18.75" customHeight="1" x14ac:dyDescent="0.35">
      <c r="T39057" s="246">
        <f t="shared" si="648"/>
        <v>0</v>
      </c>
    </row>
    <row r="39058" spans="20:20" ht="18.75" customHeight="1" x14ac:dyDescent="0.35">
      <c r="T39058" s="246">
        <f t="shared" si="648"/>
        <v>0</v>
      </c>
    </row>
    <row r="39059" spans="20:20" ht="18.75" customHeight="1" x14ac:dyDescent="0.35">
      <c r="T39059" s="246">
        <f t="shared" si="648"/>
        <v>0</v>
      </c>
    </row>
    <row r="39060" spans="20:20" ht="18.75" customHeight="1" x14ac:dyDescent="0.35">
      <c r="T39060" s="246">
        <f t="shared" si="648"/>
        <v>0</v>
      </c>
    </row>
    <row r="39061" spans="20:20" ht="18.75" customHeight="1" x14ac:dyDescent="0.35">
      <c r="T39061" s="246">
        <f t="shared" si="648"/>
        <v>0</v>
      </c>
    </row>
    <row r="39062" spans="20:20" ht="18.75" customHeight="1" x14ac:dyDescent="0.35">
      <c r="T39062" s="246">
        <f t="shared" si="648"/>
        <v>0</v>
      </c>
    </row>
    <row r="39063" spans="20:20" ht="18.75" customHeight="1" x14ac:dyDescent="0.35">
      <c r="T39063" s="246">
        <f t="shared" si="648"/>
        <v>0</v>
      </c>
    </row>
    <row r="39064" spans="20:20" ht="18.75" customHeight="1" x14ac:dyDescent="0.35">
      <c r="T39064" s="246">
        <f t="shared" si="648"/>
        <v>0</v>
      </c>
    </row>
    <row r="39065" spans="20:20" ht="18.75" customHeight="1" x14ac:dyDescent="0.35">
      <c r="T39065" s="246">
        <f t="shared" si="648"/>
        <v>0</v>
      </c>
    </row>
    <row r="39066" spans="20:20" ht="18.75" customHeight="1" x14ac:dyDescent="0.35">
      <c r="T39066" s="246">
        <f t="shared" si="648"/>
        <v>0</v>
      </c>
    </row>
    <row r="39067" spans="20:20" ht="18.75" customHeight="1" x14ac:dyDescent="0.35">
      <c r="T39067" s="246">
        <f t="shared" si="648"/>
        <v>0</v>
      </c>
    </row>
    <row r="39068" spans="20:20" ht="18.75" customHeight="1" x14ac:dyDescent="0.35">
      <c r="T39068" s="246">
        <f t="shared" si="648"/>
        <v>0</v>
      </c>
    </row>
    <row r="39069" spans="20:20" ht="18.75" customHeight="1" x14ac:dyDescent="0.35">
      <c r="T39069" s="246">
        <f t="shared" si="648"/>
        <v>0</v>
      </c>
    </row>
    <row r="39070" spans="20:20" ht="18.75" customHeight="1" x14ac:dyDescent="0.35">
      <c r="T39070" s="246">
        <f t="shared" si="648"/>
        <v>0</v>
      </c>
    </row>
    <row r="39071" spans="20:20" ht="18.75" customHeight="1" x14ac:dyDescent="0.35">
      <c r="T39071" s="246">
        <f t="shared" si="648"/>
        <v>0</v>
      </c>
    </row>
    <row r="39072" spans="20:20" ht="18.75" customHeight="1" x14ac:dyDescent="0.35">
      <c r="T39072" s="246">
        <f t="shared" si="648"/>
        <v>0</v>
      </c>
    </row>
    <row r="39073" spans="20:20" ht="18.75" customHeight="1" x14ac:dyDescent="0.35">
      <c r="T39073" s="246">
        <f t="shared" si="648"/>
        <v>0</v>
      </c>
    </row>
    <row r="39074" spans="20:20" ht="18.75" customHeight="1" x14ac:dyDescent="0.35">
      <c r="T39074" s="246">
        <f t="shared" si="648"/>
        <v>0</v>
      </c>
    </row>
    <row r="39075" spans="20:20" ht="18.75" customHeight="1" x14ac:dyDescent="0.35">
      <c r="T39075" s="246">
        <f t="shared" si="648"/>
        <v>0</v>
      </c>
    </row>
    <row r="39076" spans="20:20" ht="18.75" customHeight="1" x14ac:dyDescent="0.35">
      <c r="T39076" s="246">
        <f t="shared" si="648"/>
        <v>0</v>
      </c>
    </row>
    <row r="39077" spans="20:20" ht="18.75" customHeight="1" x14ac:dyDescent="0.35">
      <c r="T39077" s="246">
        <f t="shared" si="648"/>
        <v>0</v>
      </c>
    </row>
    <row r="39078" spans="20:20" ht="18.75" customHeight="1" x14ac:dyDescent="0.35">
      <c r="T39078" s="246">
        <f t="shared" si="648"/>
        <v>0</v>
      </c>
    </row>
    <row r="39079" spans="20:20" ht="18.75" customHeight="1" x14ac:dyDescent="0.35">
      <c r="T39079" s="246">
        <f t="shared" si="648"/>
        <v>0</v>
      </c>
    </row>
    <row r="39080" spans="20:20" ht="18.75" customHeight="1" x14ac:dyDescent="0.35">
      <c r="T39080" s="246">
        <f t="shared" si="648"/>
        <v>0</v>
      </c>
    </row>
    <row r="39081" spans="20:20" ht="18.75" customHeight="1" x14ac:dyDescent="0.35">
      <c r="T39081" s="246">
        <f t="shared" si="648"/>
        <v>0</v>
      </c>
    </row>
    <row r="39082" spans="20:20" ht="18.75" customHeight="1" x14ac:dyDescent="0.35">
      <c r="T39082" s="246">
        <f t="shared" si="648"/>
        <v>0</v>
      </c>
    </row>
    <row r="39083" spans="20:20" ht="18.75" customHeight="1" x14ac:dyDescent="0.35">
      <c r="T39083" s="246">
        <f t="shared" si="648"/>
        <v>0</v>
      </c>
    </row>
    <row r="39084" spans="20:20" ht="18.75" customHeight="1" x14ac:dyDescent="0.35">
      <c r="T39084" s="246">
        <f t="shared" si="648"/>
        <v>0</v>
      </c>
    </row>
    <row r="39085" spans="20:20" ht="18.75" customHeight="1" x14ac:dyDescent="0.35">
      <c r="T39085" s="246">
        <f t="shared" si="648"/>
        <v>0</v>
      </c>
    </row>
    <row r="39086" spans="20:20" ht="18.75" customHeight="1" x14ac:dyDescent="0.35">
      <c r="T39086" s="246">
        <f t="shared" si="648"/>
        <v>0</v>
      </c>
    </row>
    <row r="39087" spans="20:20" ht="18.75" customHeight="1" x14ac:dyDescent="0.35">
      <c r="T39087" s="246">
        <f t="shared" si="648"/>
        <v>0</v>
      </c>
    </row>
    <row r="39088" spans="20:20" ht="18.75" customHeight="1" x14ac:dyDescent="0.35">
      <c r="T39088" s="246">
        <f t="shared" si="648"/>
        <v>0</v>
      </c>
    </row>
    <row r="39089" spans="20:20" ht="18.75" customHeight="1" x14ac:dyDescent="0.35">
      <c r="T39089" s="246">
        <f t="shared" si="648"/>
        <v>0</v>
      </c>
    </row>
    <row r="39090" spans="20:20" ht="18.75" customHeight="1" x14ac:dyDescent="0.35">
      <c r="T39090" s="246">
        <f t="shared" si="648"/>
        <v>0</v>
      </c>
    </row>
    <row r="39091" spans="20:20" ht="18.75" customHeight="1" x14ac:dyDescent="0.35">
      <c r="T39091" s="246">
        <f t="shared" si="648"/>
        <v>0</v>
      </c>
    </row>
    <row r="39092" spans="20:20" ht="18.75" customHeight="1" x14ac:dyDescent="0.35">
      <c r="T39092" s="246">
        <f t="shared" si="648"/>
        <v>0</v>
      </c>
    </row>
    <row r="39093" spans="20:20" ht="18.75" customHeight="1" x14ac:dyDescent="0.35">
      <c r="T39093" s="246">
        <f t="shared" si="648"/>
        <v>0</v>
      </c>
    </row>
    <row r="39094" spans="20:20" ht="18.75" customHeight="1" x14ac:dyDescent="0.35">
      <c r="T39094" s="246">
        <f t="shared" si="648"/>
        <v>0</v>
      </c>
    </row>
    <row r="39095" spans="20:20" ht="18.75" customHeight="1" x14ac:dyDescent="0.35">
      <c r="T39095" s="246">
        <f t="shared" si="648"/>
        <v>0</v>
      </c>
    </row>
    <row r="39096" spans="20:20" ht="18.75" customHeight="1" x14ac:dyDescent="0.35">
      <c r="T39096" s="246">
        <f t="shared" si="648"/>
        <v>0</v>
      </c>
    </row>
    <row r="39097" spans="20:20" ht="18.75" customHeight="1" x14ac:dyDescent="0.35">
      <c r="T39097" s="246">
        <f t="shared" si="648"/>
        <v>0</v>
      </c>
    </row>
    <row r="39098" spans="20:20" ht="18.75" customHeight="1" x14ac:dyDescent="0.35">
      <c r="T39098" s="246">
        <f t="shared" si="648"/>
        <v>0</v>
      </c>
    </row>
    <row r="39099" spans="20:20" ht="18.75" customHeight="1" x14ac:dyDescent="0.35">
      <c r="T39099" s="246">
        <f t="shared" si="648"/>
        <v>0</v>
      </c>
    </row>
    <row r="39100" spans="20:20" ht="18.75" customHeight="1" x14ac:dyDescent="0.35">
      <c r="T39100" s="246">
        <f t="shared" ref="T39100:T39163" si="649">R39100*0.01</f>
        <v>0</v>
      </c>
    </row>
    <row r="39101" spans="20:20" ht="18.75" customHeight="1" x14ac:dyDescent="0.35">
      <c r="T39101" s="246">
        <f t="shared" si="649"/>
        <v>0</v>
      </c>
    </row>
    <row r="39102" spans="20:20" ht="18.75" customHeight="1" x14ac:dyDescent="0.35">
      <c r="T39102" s="246">
        <f t="shared" si="649"/>
        <v>0</v>
      </c>
    </row>
    <row r="39103" spans="20:20" ht="18.75" customHeight="1" x14ac:dyDescent="0.35">
      <c r="T39103" s="246">
        <f t="shared" si="649"/>
        <v>0</v>
      </c>
    </row>
    <row r="39104" spans="20:20" ht="18.75" customHeight="1" x14ac:dyDescent="0.35">
      <c r="T39104" s="246">
        <f t="shared" si="649"/>
        <v>0</v>
      </c>
    </row>
    <row r="39105" spans="20:20" ht="18.75" customHeight="1" x14ac:dyDescent="0.35">
      <c r="T39105" s="246">
        <f t="shared" si="649"/>
        <v>0</v>
      </c>
    </row>
    <row r="39106" spans="20:20" ht="18.75" customHeight="1" x14ac:dyDescent="0.35">
      <c r="T39106" s="246">
        <f t="shared" si="649"/>
        <v>0</v>
      </c>
    </row>
    <row r="39107" spans="20:20" ht="18.75" customHeight="1" x14ac:dyDescent="0.35">
      <c r="T39107" s="246">
        <f t="shared" si="649"/>
        <v>0</v>
      </c>
    </row>
    <row r="39108" spans="20:20" ht="18.75" customHeight="1" x14ac:dyDescent="0.35">
      <c r="T39108" s="246">
        <f t="shared" si="649"/>
        <v>0</v>
      </c>
    </row>
    <row r="39109" spans="20:20" ht="18.75" customHeight="1" x14ac:dyDescent="0.35">
      <c r="T39109" s="246">
        <f t="shared" si="649"/>
        <v>0</v>
      </c>
    </row>
    <row r="39110" spans="20:20" ht="18.75" customHeight="1" x14ac:dyDescent="0.35">
      <c r="T39110" s="246">
        <f t="shared" si="649"/>
        <v>0</v>
      </c>
    </row>
    <row r="39111" spans="20:20" ht="18.75" customHeight="1" x14ac:dyDescent="0.35">
      <c r="T39111" s="246">
        <f t="shared" si="649"/>
        <v>0</v>
      </c>
    </row>
    <row r="39112" spans="20:20" ht="18.75" customHeight="1" x14ac:dyDescent="0.35">
      <c r="T39112" s="246">
        <f t="shared" si="649"/>
        <v>0</v>
      </c>
    </row>
    <row r="39113" spans="20:20" ht="18.75" customHeight="1" x14ac:dyDescent="0.35">
      <c r="T39113" s="246">
        <f t="shared" si="649"/>
        <v>0</v>
      </c>
    </row>
    <row r="39114" spans="20:20" ht="18.75" customHeight="1" x14ac:dyDescent="0.35">
      <c r="T39114" s="246">
        <f t="shared" si="649"/>
        <v>0</v>
      </c>
    </row>
    <row r="39115" spans="20:20" ht="18.75" customHeight="1" x14ac:dyDescent="0.35">
      <c r="T39115" s="246">
        <f t="shared" si="649"/>
        <v>0</v>
      </c>
    </row>
    <row r="39116" spans="20:20" ht="18.75" customHeight="1" x14ac:dyDescent="0.35">
      <c r="T39116" s="246">
        <f t="shared" si="649"/>
        <v>0</v>
      </c>
    </row>
    <row r="39117" spans="20:20" ht="18.75" customHeight="1" x14ac:dyDescent="0.35">
      <c r="T39117" s="246">
        <f t="shared" si="649"/>
        <v>0</v>
      </c>
    </row>
    <row r="39118" spans="20:20" ht="18.75" customHeight="1" x14ac:dyDescent="0.35">
      <c r="T39118" s="246">
        <f t="shared" si="649"/>
        <v>0</v>
      </c>
    </row>
    <row r="39119" spans="20:20" ht="18.75" customHeight="1" x14ac:dyDescent="0.35">
      <c r="T39119" s="246">
        <f t="shared" si="649"/>
        <v>0</v>
      </c>
    </row>
    <row r="39120" spans="20:20" ht="18.75" customHeight="1" x14ac:dyDescent="0.35">
      <c r="T39120" s="246">
        <f t="shared" si="649"/>
        <v>0</v>
      </c>
    </row>
    <row r="39121" spans="20:20" ht="18.75" customHeight="1" x14ac:dyDescent="0.35">
      <c r="T39121" s="246">
        <f t="shared" si="649"/>
        <v>0</v>
      </c>
    </row>
    <row r="39122" spans="20:20" ht="18.75" customHeight="1" x14ac:dyDescent="0.35">
      <c r="T39122" s="246">
        <f t="shared" si="649"/>
        <v>0</v>
      </c>
    </row>
    <row r="39123" spans="20:20" ht="18.75" customHeight="1" x14ac:dyDescent="0.35">
      <c r="T39123" s="246">
        <f t="shared" si="649"/>
        <v>0</v>
      </c>
    </row>
    <row r="39124" spans="20:20" ht="18.75" customHeight="1" x14ac:dyDescent="0.35">
      <c r="T39124" s="246">
        <f t="shared" si="649"/>
        <v>0</v>
      </c>
    </row>
    <row r="39125" spans="20:20" ht="18.75" customHeight="1" x14ac:dyDescent="0.35">
      <c r="T39125" s="246">
        <f t="shared" si="649"/>
        <v>0</v>
      </c>
    </row>
    <row r="39126" spans="20:20" ht="18.75" customHeight="1" x14ac:dyDescent="0.35">
      <c r="T39126" s="246">
        <f t="shared" si="649"/>
        <v>0</v>
      </c>
    </row>
    <row r="39127" spans="20:20" ht="18.75" customHeight="1" x14ac:dyDescent="0.35">
      <c r="T39127" s="246">
        <f t="shared" si="649"/>
        <v>0</v>
      </c>
    </row>
    <row r="39128" spans="20:20" ht="18.75" customHeight="1" x14ac:dyDescent="0.35">
      <c r="T39128" s="246">
        <f t="shared" si="649"/>
        <v>0</v>
      </c>
    </row>
    <row r="39129" spans="20:20" ht="18.75" customHeight="1" x14ac:dyDescent="0.35">
      <c r="T39129" s="246">
        <f t="shared" si="649"/>
        <v>0</v>
      </c>
    </row>
    <row r="39130" spans="20:20" ht="18.75" customHeight="1" x14ac:dyDescent="0.35">
      <c r="T39130" s="246">
        <f t="shared" si="649"/>
        <v>0</v>
      </c>
    </row>
    <row r="39131" spans="20:20" ht="18.75" customHeight="1" x14ac:dyDescent="0.35">
      <c r="T39131" s="246">
        <f t="shared" si="649"/>
        <v>0</v>
      </c>
    </row>
    <row r="39132" spans="20:20" ht="18.75" customHeight="1" x14ac:dyDescent="0.35">
      <c r="T39132" s="246">
        <f t="shared" si="649"/>
        <v>0</v>
      </c>
    </row>
    <row r="39133" spans="20:20" ht="18.75" customHeight="1" x14ac:dyDescent="0.35">
      <c r="T39133" s="246">
        <f t="shared" si="649"/>
        <v>0</v>
      </c>
    </row>
    <row r="39134" spans="20:20" ht="18.75" customHeight="1" x14ac:dyDescent="0.35">
      <c r="T39134" s="246">
        <f t="shared" si="649"/>
        <v>0</v>
      </c>
    </row>
    <row r="39135" spans="20:20" ht="18.75" customHeight="1" x14ac:dyDescent="0.35">
      <c r="T39135" s="246">
        <f t="shared" si="649"/>
        <v>0</v>
      </c>
    </row>
    <row r="39136" spans="20:20" ht="18.75" customHeight="1" x14ac:dyDescent="0.35">
      <c r="T39136" s="246">
        <f t="shared" si="649"/>
        <v>0</v>
      </c>
    </row>
    <row r="39137" spans="20:20" ht="18.75" customHeight="1" x14ac:dyDescent="0.35">
      <c r="T39137" s="246">
        <f t="shared" si="649"/>
        <v>0</v>
      </c>
    </row>
    <row r="39138" spans="20:20" ht="18.75" customHeight="1" x14ac:dyDescent="0.35">
      <c r="T39138" s="246">
        <f t="shared" si="649"/>
        <v>0</v>
      </c>
    </row>
    <row r="39139" spans="20:20" ht="18.75" customHeight="1" x14ac:dyDescent="0.35">
      <c r="T39139" s="246">
        <f t="shared" si="649"/>
        <v>0</v>
      </c>
    </row>
    <row r="39140" spans="20:20" ht="18.75" customHeight="1" x14ac:dyDescent="0.35">
      <c r="T39140" s="246">
        <f t="shared" si="649"/>
        <v>0</v>
      </c>
    </row>
    <row r="39141" spans="20:20" ht="18.75" customHeight="1" x14ac:dyDescent="0.35">
      <c r="T39141" s="246">
        <f t="shared" si="649"/>
        <v>0</v>
      </c>
    </row>
    <row r="39142" spans="20:20" ht="18.75" customHeight="1" x14ac:dyDescent="0.35">
      <c r="T39142" s="246">
        <f t="shared" si="649"/>
        <v>0</v>
      </c>
    </row>
    <row r="39143" spans="20:20" ht="18.75" customHeight="1" x14ac:dyDescent="0.35">
      <c r="T39143" s="246">
        <f t="shared" si="649"/>
        <v>0</v>
      </c>
    </row>
    <row r="39144" spans="20:20" ht="18.75" customHeight="1" x14ac:dyDescent="0.35">
      <c r="T39144" s="246">
        <f t="shared" si="649"/>
        <v>0</v>
      </c>
    </row>
    <row r="39145" spans="20:20" ht="18.75" customHeight="1" x14ac:dyDescent="0.35">
      <c r="T39145" s="246">
        <f t="shared" si="649"/>
        <v>0</v>
      </c>
    </row>
    <row r="39146" spans="20:20" ht="18.75" customHeight="1" x14ac:dyDescent="0.35">
      <c r="T39146" s="246">
        <f t="shared" si="649"/>
        <v>0</v>
      </c>
    </row>
    <row r="39147" spans="20:20" ht="18.75" customHeight="1" x14ac:dyDescent="0.35">
      <c r="T39147" s="246">
        <f t="shared" si="649"/>
        <v>0</v>
      </c>
    </row>
    <row r="39148" spans="20:20" ht="18.75" customHeight="1" x14ac:dyDescent="0.35">
      <c r="T39148" s="246">
        <f t="shared" si="649"/>
        <v>0</v>
      </c>
    </row>
    <row r="39149" spans="20:20" ht="18.75" customHeight="1" x14ac:dyDescent="0.35">
      <c r="T39149" s="246">
        <f t="shared" si="649"/>
        <v>0</v>
      </c>
    </row>
    <row r="39150" spans="20:20" ht="18.75" customHeight="1" x14ac:dyDescent="0.35">
      <c r="T39150" s="246">
        <f t="shared" si="649"/>
        <v>0</v>
      </c>
    </row>
    <row r="39151" spans="20:20" ht="18.75" customHeight="1" x14ac:dyDescent="0.35">
      <c r="T39151" s="246">
        <f t="shared" si="649"/>
        <v>0</v>
      </c>
    </row>
    <row r="39152" spans="20:20" ht="18.75" customHeight="1" x14ac:dyDescent="0.35">
      <c r="T39152" s="246">
        <f t="shared" si="649"/>
        <v>0</v>
      </c>
    </row>
    <row r="39153" spans="20:20" ht="18.75" customHeight="1" x14ac:dyDescent="0.35">
      <c r="T39153" s="246">
        <f t="shared" si="649"/>
        <v>0</v>
      </c>
    </row>
    <row r="39154" spans="20:20" ht="18.75" customHeight="1" x14ac:dyDescent="0.35">
      <c r="T39154" s="246">
        <f t="shared" si="649"/>
        <v>0</v>
      </c>
    </row>
    <row r="39155" spans="20:20" ht="18.75" customHeight="1" x14ac:dyDescent="0.35">
      <c r="T39155" s="246">
        <f t="shared" si="649"/>
        <v>0</v>
      </c>
    </row>
    <row r="39156" spans="20:20" ht="18.75" customHeight="1" x14ac:dyDescent="0.35">
      <c r="T39156" s="246">
        <f t="shared" si="649"/>
        <v>0</v>
      </c>
    </row>
    <row r="39157" spans="20:20" ht="18.75" customHeight="1" x14ac:dyDescent="0.35">
      <c r="T39157" s="246">
        <f t="shared" si="649"/>
        <v>0</v>
      </c>
    </row>
    <row r="39158" spans="20:20" ht="18.75" customHeight="1" x14ac:dyDescent="0.35">
      <c r="T39158" s="246">
        <f t="shared" si="649"/>
        <v>0</v>
      </c>
    </row>
    <row r="39159" spans="20:20" ht="18.75" customHeight="1" x14ac:dyDescent="0.35">
      <c r="T39159" s="246">
        <f t="shared" si="649"/>
        <v>0</v>
      </c>
    </row>
    <row r="39160" spans="20:20" ht="18.75" customHeight="1" x14ac:dyDescent="0.35">
      <c r="T39160" s="246">
        <f t="shared" si="649"/>
        <v>0</v>
      </c>
    </row>
    <row r="39161" spans="20:20" ht="18.75" customHeight="1" x14ac:dyDescent="0.35">
      <c r="T39161" s="246">
        <f t="shared" si="649"/>
        <v>0</v>
      </c>
    </row>
    <row r="39162" spans="20:20" ht="18.75" customHeight="1" x14ac:dyDescent="0.35">
      <c r="T39162" s="246">
        <f t="shared" si="649"/>
        <v>0</v>
      </c>
    </row>
    <row r="39163" spans="20:20" ht="18.75" customHeight="1" x14ac:dyDescent="0.35">
      <c r="T39163" s="246">
        <f t="shared" si="649"/>
        <v>0</v>
      </c>
    </row>
    <row r="39164" spans="20:20" ht="18.75" customHeight="1" x14ac:dyDescent="0.35">
      <c r="T39164" s="246">
        <f t="shared" ref="T39164:T39227" si="650">R39164*0.01</f>
        <v>0</v>
      </c>
    </row>
    <row r="39165" spans="20:20" ht="18.75" customHeight="1" x14ac:dyDescent="0.35">
      <c r="T39165" s="246">
        <f t="shared" si="650"/>
        <v>0</v>
      </c>
    </row>
    <row r="39166" spans="20:20" ht="18.75" customHeight="1" x14ac:dyDescent="0.35">
      <c r="T39166" s="246">
        <f t="shared" si="650"/>
        <v>0</v>
      </c>
    </row>
    <row r="39167" spans="20:20" ht="18.75" customHeight="1" x14ac:dyDescent="0.35">
      <c r="T39167" s="246">
        <f t="shared" si="650"/>
        <v>0</v>
      </c>
    </row>
    <row r="39168" spans="20:20" ht="18.75" customHeight="1" x14ac:dyDescent="0.35">
      <c r="T39168" s="246">
        <f t="shared" si="650"/>
        <v>0</v>
      </c>
    </row>
    <row r="39169" spans="20:20" ht="18.75" customHeight="1" x14ac:dyDescent="0.35">
      <c r="T39169" s="246">
        <f t="shared" si="650"/>
        <v>0</v>
      </c>
    </row>
    <row r="39170" spans="20:20" ht="18.75" customHeight="1" x14ac:dyDescent="0.35">
      <c r="T39170" s="246">
        <f t="shared" si="650"/>
        <v>0</v>
      </c>
    </row>
    <row r="39171" spans="20:20" ht="18.75" customHeight="1" x14ac:dyDescent="0.35">
      <c r="T39171" s="246">
        <f t="shared" si="650"/>
        <v>0</v>
      </c>
    </row>
    <row r="39172" spans="20:20" ht="18.75" customHeight="1" x14ac:dyDescent="0.35">
      <c r="T39172" s="246">
        <f t="shared" si="650"/>
        <v>0</v>
      </c>
    </row>
    <row r="39173" spans="20:20" ht="18.75" customHeight="1" x14ac:dyDescent="0.35">
      <c r="T39173" s="246">
        <f t="shared" si="650"/>
        <v>0</v>
      </c>
    </row>
    <row r="39174" spans="20:20" ht="18.75" customHeight="1" x14ac:dyDescent="0.35">
      <c r="T39174" s="246">
        <f t="shared" si="650"/>
        <v>0</v>
      </c>
    </row>
    <row r="39175" spans="20:20" ht="18.75" customHeight="1" x14ac:dyDescent="0.35">
      <c r="T39175" s="246">
        <f t="shared" si="650"/>
        <v>0</v>
      </c>
    </row>
    <row r="39176" spans="20:20" ht="18.75" customHeight="1" x14ac:dyDescent="0.35">
      <c r="T39176" s="246">
        <f t="shared" si="650"/>
        <v>0</v>
      </c>
    </row>
    <row r="39177" spans="20:20" ht="18.75" customHeight="1" x14ac:dyDescent="0.35">
      <c r="T39177" s="246">
        <f t="shared" si="650"/>
        <v>0</v>
      </c>
    </row>
    <row r="39178" spans="20:20" ht="18.75" customHeight="1" x14ac:dyDescent="0.35">
      <c r="T39178" s="246">
        <f t="shared" si="650"/>
        <v>0</v>
      </c>
    </row>
    <row r="39179" spans="20:20" ht="18.75" customHeight="1" x14ac:dyDescent="0.35">
      <c r="T39179" s="246">
        <f t="shared" si="650"/>
        <v>0</v>
      </c>
    </row>
    <row r="39180" spans="20:20" ht="18.75" customHeight="1" x14ac:dyDescent="0.35">
      <c r="T39180" s="246">
        <f t="shared" si="650"/>
        <v>0</v>
      </c>
    </row>
    <row r="39181" spans="20:20" ht="18.75" customHeight="1" x14ac:dyDescent="0.35">
      <c r="T39181" s="246">
        <f t="shared" si="650"/>
        <v>0</v>
      </c>
    </row>
    <row r="39182" spans="20:20" ht="18.75" customHeight="1" x14ac:dyDescent="0.35">
      <c r="T39182" s="246">
        <f t="shared" si="650"/>
        <v>0</v>
      </c>
    </row>
    <row r="39183" spans="20:20" ht="18.75" customHeight="1" x14ac:dyDescent="0.35">
      <c r="T39183" s="246">
        <f t="shared" si="650"/>
        <v>0</v>
      </c>
    </row>
    <row r="39184" spans="20:20" ht="18.75" customHeight="1" x14ac:dyDescent="0.35">
      <c r="T39184" s="246">
        <f t="shared" si="650"/>
        <v>0</v>
      </c>
    </row>
    <row r="39185" spans="20:20" ht="18.75" customHeight="1" x14ac:dyDescent="0.35">
      <c r="T39185" s="246">
        <f t="shared" si="650"/>
        <v>0</v>
      </c>
    </row>
    <row r="39186" spans="20:20" ht="18.75" customHeight="1" x14ac:dyDescent="0.35">
      <c r="T39186" s="246">
        <f t="shared" si="650"/>
        <v>0</v>
      </c>
    </row>
    <row r="39187" spans="20:20" ht="18.75" customHeight="1" x14ac:dyDescent="0.35">
      <c r="T39187" s="246">
        <f t="shared" si="650"/>
        <v>0</v>
      </c>
    </row>
    <row r="39188" spans="20:20" ht="18.75" customHeight="1" x14ac:dyDescent="0.35">
      <c r="T39188" s="246">
        <f t="shared" si="650"/>
        <v>0</v>
      </c>
    </row>
    <row r="39189" spans="20:20" ht="18.75" customHeight="1" x14ac:dyDescent="0.35">
      <c r="T39189" s="246">
        <f t="shared" si="650"/>
        <v>0</v>
      </c>
    </row>
    <row r="39190" spans="20:20" ht="18.75" customHeight="1" x14ac:dyDescent="0.35">
      <c r="T39190" s="246">
        <f t="shared" si="650"/>
        <v>0</v>
      </c>
    </row>
    <row r="39191" spans="20:20" ht="18.75" customHeight="1" x14ac:dyDescent="0.35">
      <c r="T39191" s="246">
        <f t="shared" si="650"/>
        <v>0</v>
      </c>
    </row>
    <row r="39192" spans="20:20" ht="18.75" customHeight="1" x14ac:dyDescent="0.35">
      <c r="T39192" s="246">
        <f t="shared" si="650"/>
        <v>0</v>
      </c>
    </row>
    <row r="39193" spans="20:20" ht="18.75" customHeight="1" x14ac:dyDescent="0.35">
      <c r="T39193" s="246">
        <f t="shared" si="650"/>
        <v>0</v>
      </c>
    </row>
    <row r="39194" spans="20:20" ht="18.75" customHeight="1" x14ac:dyDescent="0.35">
      <c r="T39194" s="246">
        <f t="shared" si="650"/>
        <v>0</v>
      </c>
    </row>
    <row r="39195" spans="20:20" ht="18.75" customHeight="1" x14ac:dyDescent="0.35">
      <c r="T39195" s="246">
        <f t="shared" si="650"/>
        <v>0</v>
      </c>
    </row>
    <row r="39196" spans="20:20" ht="18.75" customHeight="1" x14ac:dyDescent="0.35">
      <c r="T39196" s="246">
        <f t="shared" si="650"/>
        <v>0</v>
      </c>
    </row>
    <row r="39197" spans="20:20" ht="18.75" customHeight="1" x14ac:dyDescent="0.35">
      <c r="T39197" s="246">
        <f t="shared" si="650"/>
        <v>0</v>
      </c>
    </row>
    <row r="39198" spans="20:20" ht="18.75" customHeight="1" x14ac:dyDescent="0.35">
      <c r="T39198" s="246">
        <f t="shared" si="650"/>
        <v>0</v>
      </c>
    </row>
    <row r="39199" spans="20:20" ht="18.75" customHeight="1" x14ac:dyDescent="0.35">
      <c r="T39199" s="246">
        <f t="shared" si="650"/>
        <v>0</v>
      </c>
    </row>
    <row r="39200" spans="20:20" ht="18.75" customHeight="1" x14ac:dyDescent="0.35">
      <c r="T39200" s="246">
        <f t="shared" si="650"/>
        <v>0</v>
      </c>
    </row>
    <row r="39201" spans="20:20" ht="18.75" customHeight="1" x14ac:dyDescent="0.35">
      <c r="T39201" s="246">
        <f t="shared" si="650"/>
        <v>0</v>
      </c>
    </row>
    <row r="39202" spans="20:20" ht="18.75" customHeight="1" x14ac:dyDescent="0.35">
      <c r="T39202" s="246">
        <f t="shared" si="650"/>
        <v>0</v>
      </c>
    </row>
    <row r="39203" spans="20:20" ht="18.75" customHeight="1" x14ac:dyDescent="0.35">
      <c r="T39203" s="246">
        <f t="shared" si="650"/>
        <v>0</v>
      </c>
    </row>
    <row r="39204" spans="20:20" ht="18.75" customHeight="1" x14ac:dyDescent="0.35">
      <c r="T39204" s="246">
        <f t="shared" si="650"/>
        <v>0</v>
      </c>
    </row>
    <row r="39205" spans="20:20" ht="18.75" customHeight="1" x14ac:dyDescent="0.35">
      <c r="T39205" s="246">
        <f t="shared" si="650"/>
        <v>0</v>
      </c>
    </row>
    <row r="39206" spans="20:20" ht="18.75" customHeight="1" x14ac:dyDescent="0.35">
      <c r="T39206" s="246">
        <f t="shared" si="650"/>
        <v>0</v>
      </c>
    </row>
    <row r="39207" spans="20:20" ht="18.75" customHeight="1" x14ac:dyDescent="0.35">
      <c r="T39207" s="246">
        <f t="shared" si="650"/>
        <v>0</v>
      </c>
    </row>
    <row r="39208" spans="20:20" ht="18.75" customHeight="1" x14ac:dyDescent="0.35">
      <c r="T39208" s="246">
        <f t="shared" si="650"/>
        <v>0</v>
      </c>
    </row>
    <row r="39209" spans="20:20" ht="18.75" customHeight="1" x14ac:dyDescent="0.35">
      <c r="T39209" s="246">
        <f t="shared" si="650"/>
        <v>0</v>
      </c>
    </row>
    <row r="39210" spans="20:20" ht="18.75" customHeight="1" x14ac:dyDescent="0.35">
      <c r="T39210" s="246">
        <f t="shared" si="650"/>
        <v>0</v>
      </c>
    </row>
    <row r="39211" spans="20:20" ht="18.75" customHeight="1" x14ac:dyDescent="0.35">
      <c r="T39211" s="246">
        <f t="shared" si="650"/>
        <v>0</v>
      </c>
    </row>
    <row r="39212" spans="20:20" ht="18.75" customHeight="1" x14ac:dyDescent="0.35">
      <c r="T39212" s="246">
        <f t="shared" si="650"/>
        <v>0</v>
      </c>
    </row>
    <row r="39213" spans="20:20" ht="18.75" customHeight="1" x14ac:dyDescent="0.35">
      <c r="T39213" s="246">
        <f t="shared" si="650"/>
        <v>0</v>
      </c>
    </row>
    <row r="39214" spans="20:20" ht="18.75" customHeight="1" x14ac:dyDescent="0.35">
      <c r="T39214" s="246">
        <f t="shared" si="650"/>
        <v>0</v>
      </c>
    </row>
    <row r="39215" spans="20:20" ht="18.75" customHeight="1" x14ac:dyDescent="0.35">
      <c r="T39215" s="246">
        <f t="shared" si="650"/>
        <v>0</v>
      </c>
    </row>
    <row r="39216" spans="20:20" ht="18.75" customHeight="1" x14ac:dyDescent="0.35">
      <c r="T39216" s="246">
        <f t="shared" si="650"/>
        <v>0</v>
      </c>
    </row>
    <row r="39217" spans="20:20" ht="18.75" customHeight="1" x14ac:dyDescent="0.35">
      <c r="T39217" s="246">
        <f t="shared" si="650"/>
        <v>0</v>
      </c>
    </row>
    <row r="39218" spans="20:20" ht="18.75" customHeight="1" x14ac:dyDescent="0.35">
      <c r="T39218" s="246">
        <f t="shared" si="650"/>
        <v>0</v>
      </c>
    </row>
    <row r="39219" spans="20:20" ht="18.75" customHeight="1" x14ac:dyDescent="0.35">
      <c r="T39219" s="246">
        <f t="shared" si="650"/>
        <v>0</v>
      </c>
    </row>
    <row r="39220" spans="20:20" ht="18.75" customHeight="1" x14ac:dyDescent="0.35">
      <c r="T39220" s="246">
        <f t="shared" si="650"/>
        <v>0</v>
      </c>
    </row>
    <row r="39221" spans="20:20" ht="18.75" customHeight="1" x14ac:dyDescent="0.35">
      <c r="T39221" s="246">
        <f t="shared" si="650"/>
        <v>0</v>
      </c>
    </row>
    <row r="39222" spans="20:20" ht="18.75" customHeight="1" x14ac:dyDescent="0.35">
      <c r="T39222" s="246">
        <f t="shared" si="650"/>
        <v>0</v>
      </c>
    </row>
    <row r="39223" spans="20:20" ht="18.75" customHeight="1" x14ac:dyDescent="0.35">
      <c r="T39223" s="246">
        <f t="shared" si="650"/>
        <v>0</v>
      </c>
    </row>
    <row r="39224" spans="20:20" ht="18.75" customHeight="1" x14ac:dyDescent="0.35">
      <c r="T39224" s="246">
        <f t="shared" si="650"/>
        <v>0</v>
      </c>
    </row>
    <row r="39225" spans="20:20" ht="18.75" customHeight="1" x14ac:dyDescent="0.35">
      <c r="T39225" s="246">
        <f t="shared" si="650"/>
        <v>0</v>
      </c>
    </row>
    <row r="39226" spans="20:20" ht="18.75" customHeight="1" x14ac:dyDescent="0.35">
      <c r="T39226" s="246">
        <f t="shared" si="650"/>
        <v>0</v>
      </c>
    </row>
    <row r="39227" spans="20:20" ht="18.75" customHeight="1" x14ac:dyDescent="0.35">
      <c r="T39227" s="246">
        <f t="shared" si="650"/>
        <v>0</v>
      </c>
    </row>
    <row r="39228" spans="20:20" ht="18.75" customHeight="1" x14ac:dyDescent="0.35">
      <c r="T39228" s="246">
        <f t="shared" ref="T39228:T39291" si="651">R39228*0.01</f>
        <v>0</v>
      </c>
    </row>
    <row r="39229" spans="20:20" ht="18.75" customHeight="1" x14ac:dyDescent="0.35">
      <c r="T39229" s="246">
        <f t="shared" si="651"/>
        <v>0</v>
      </c>
    </row>
    <row r="39230" spans="20:20" ht="18.75" customHeight="1" x14ac:dyDescent="0.35">
      <c r="T39230" s="246">
        <f t="shared" si="651"/>
        <v>0</v>
      </c>
    </row>
    <row r="39231" spans="20:20" ht="18.75" customHeight="1" x14ac:dyDescent="0.35">
      <c r="T39231" s="246">
        <f t="shared" si="651"/>
        <v>0</v>
      </c>
    </row>
    <row r="39232" spans="20:20" ht="18.75" customHeight="1" x14ac:dyDescent="0.35">
      <c r="T39232" s="246">
        <f t="shared" si="651"/>
        <v>0</v>
      </c>
    </row>
    <row r="39233" spans="20:20" ht="18.75" customHeight="1" x14ac:dyDescent="0.35">
      <c r="T39233" s="246">
        <f t="shared" si="651"/>
        <v>0</v>
      </c>
    </row>
    <row r="39234" spans="20:20" ht="18.75" customHeight="1" x14ac:dyDescent="0.35">
      <c r="T39234" s="246">
        <f t="shared" si="651"/>
        <v>0</v>
      </c>
    </row>
    <row r="39235" spans="20:20" ht="18.75" customHeight="1" x14ac:dyDescent="0.35">
      <c r="T39235" s="246">
        <f t="shared" si="651"/>
        <v>0</v>
      </c>
    </row>
    <row r="39236" spans="20:20" ht="18.75" customHeight="1" x14ac:dyDescent="0.35">
      <c r="T39236" s="246">
        <f t="shared" si="651"/>
        <v>0</v>
      </c>
    </row>
    <row r="39237" spans="20:20" ht="18.75" customHeight="1" x14ac:dyDescent="0.35">
      <c r="T39237" s="246">
        <f t="shared" si="651"/>
        <v>0</v>
      </c>
    </row>
    <row r="39238" spans="20:20" ht="18.75" customHeight="1" x14ac:dyDescent="0.35">
      <c r="T39238" s="246">
        <f t="shared" si="651"/>
        <v>0</v>
      </c>
    </row>
    <row r="39239" spans="20:20" ht="18.75" customHeight="1" x14ac:dyDescent="0.35">
      <c r="T39239" s="246">
        <f t="shared" si="651"/>
        <v>0</v>
      </c>
    </row>
    <row r="39240" spans="20:20" ht="18.75" customHeight="1" x14ac:dyDescent="0.35">
      <c r="T39240" s="246">
        <f t="shared" si="651"/>
        <v>0</v>
      </c>
    </row>
    <row r="39241" spans="20:20" ht="18.75" customHeight="1" x14ac:dyDescent="0.35">
      <c r="T39241" s="246">
        <f t="shared" si="651"/>
        <v>0</v>
      </c>
    </row>
    <row r="39242" spans="20:20" ht="18.75" customHeight="1" x14ac:dyDescent="0.35">
      <c r="T39242" s="246">
        <f t="shared" si="651"/>
        <v>0</v>
      </c>
    </row>
    <row r="39243" spans="20:20" ht="18.75" customHeight="1" x14ac:dyDescent="0.35">
      <c r="T39243" s="246">
        <f t="shared" si="651"/>
        <v>0</v>
      </c>
    </row>
    <row r="39244" spans="20:20" ht="18.75" customHeight="1" x14ac:dyDescent="0.35">
      <c r="T39244" s="246">
        <f t="shared" si="651"/>
        <v>0</v>
      </c>
    </row>
    <row r="39245" spans="20:20" ht="18.75" customHeight="1" x14ac:dyDescent="0.35">
      <c r="T39245" s="246">
        <f t="shared" si="651"/>
        <v>0</v>
      </c>
    </row>
    <row r="39246" spans="20:20" ht="18.75" customHeight="1" x14ac:dyDescent="0.35">
      <c r="T39246" s="246">
        <f t="shared" si="651"/>
        <v>0</v>
      </c>
    </row>
    <row r="39247" spans="20:20" ht="18.75" customHeight="1" x14ac:dyDescent="0.35">
      <c r="T39247" s="246">
        <f t="shared" si="651"/>
        <v>0</v>
      </c>
    </row>
    <row r="39248" spans="20:20" ht="18.75" customHeight="1" x14ac:dyDescent="0.35">
      <c r="T39248" s="246">
        <f t="shared" si="651"/>
        <v>0</v>
      </c>
    </row>
    <row r="39249" spans="20:20" ht="18.75" customHeight="1" x14ac:dyDescent="0.35">
      <c r="T39249" s="246">
        <f t="shared" si="651"/>
        <v>0</v>
      </c>
    </row>
    <row r="39250" spans="20:20" ht="18.75" customHeight="1" x14ac:dyDescent="0.35">
      <c r="T39250" s="246">
        <f t="shared" si="651"/>
        <v>0</v>
      </c>
    </row>
    <row r="39251" spans="20:20" ht="18.75" customHeight="1" x14ac:dyDescent="0.35">
      <c r="T39251" s="246">
        <f t="shared" si="651"/>
        <v>0</v>
      </c>
    </row>
    <row r="39252" spans="20:20" ht="18.75" customHeight="1" x14ac:dyDescent="0.35">
      <c r="T39252" s="246">
        <f t="shared" si="651"/>
        <v>0</v>
      </c>
    </row>
    <row r="39253" spans="20:20" ht="18.75" customHeight="1" x14ac:dyDescent="0.35">
      <c r="T39253" s="246">
        <f t="shared" si="651"/>
        <v>0</v>
      </c>
    </row>
    <row r="39254" spans="20:20" ht="18.75" customHeight="1" x14ac:dyDescent="0.35">
      <c r="T39254" s="246">
        <f t="shared" si="651"/>
        <v>0</v>
      </c>
    </row>
    <row r="39255" spans="20:20" ht="18.75" customHeight="1" x14ac:dyDescent="0.35">
      <c r="T39255" s="246">
        <f t="shared" si="651"/>
        <v>0</v>
      </c>
    </row>
    <row r="39256" spans="20:20" ht="18.75" customHeight="1" x14ac:dyDescent="0.35">
      <c r="T39256" s="246">
        <f t="shared" si="651"/>
        <v>0</v>
      </c>
    </row>
    <row r="39257" spans="20:20" ht="18.75" customHeight="1" x14ac:dyDescent="0.35">
      <c r="T39257" s="246">
        <f t="shared" si="651"/>
        <v>0</v>
      </c>
    </row>
    <row r="39258" spans="20:20" ht="18.75" customHeight="1" x14ac:dyDescent="0.35">
      <c r="T39258" s="246">
        <f t="shared" si="651"/>
        <v>0</v>
      </c>
    </row>
    <row r="39259" spans="20:20" ht="18.75" customHeight="1" x14ac:dyDescent="0.35">
      <c r="T39259" s="246">
        <f t="shared" si="651"/>
        <v>0</v>
      </c>
    </row>
    <row r="39260" spans="20:20" ht="18.75" customHeight="1" x14ac:dyDescent="0.35">
      <c r="T39260" s="246">
        <f t="shared" si="651"/>
        <v>0</v>
      </c>
    </row>
    <row r="39261" spans="20:20" ht="18.75" customHeight="1" x14ac:dyDescent="0.35">
      <c r="T39261" s="246">
        <f t="shared" si="651"/>
        <v>0</v>
      </c>
    </row>
    <row r="39262" spans="20:20" ht="18.75" customHeight="1" x14ac:dyDescent="0.35">
      <c r="T39262" s="246">
        <f t="shared" si="651"/>
        <v>0</v>
      </c>
    </row>
    <row r="39263" spans="20:20" ht="18.75" customHeight="1" x14ac:dyDescent="0.35">
      <c r="T39263" s="246">
        <f t="shared" si="651"/>
        <v>0</v>
      </c>
    </row>
    <row r="39264" spans="20:20" ht="18.75" customHeight="1" x14ac:dyDescent="0.35">
      <c r="T39264" s="246">
        <f t="shared" si="651"/>
        <v>0</v>
      </c>
    </row>
    <row r="39265" spans="20:20" ht="18.75" customHeight="1" x14ac:dyDescent="0.35">
      <c r="T39265" s="246">
        <f t="shared" si="651"/>
        <v>0</v>
      </c>
    </row>
    <row r="39266" spans="20:20" ht="18.75" customHeight="1" x14ac:dyDescent="0.35">
      <c r="T39266" s="246">
        <f t="shared" si="651"/>
        <v>0</v>
      </c>
    </row>
    <row r="39267" spans="20:20" ht="18.75" customHeight="1" x14ac:dyDescent="0.35">
      <c r="T39267" s="246">
        <f t="shared" si="651"/>
        <v>0</v>
      </c>
    </row>
    <row r="39268" spans="20:20" ht="18.75" customHeight="1" x14ac:dyDescent="0.35">
      <c r="T39268" s="246">
        <f t="shared" si="651"/>
        <v>0</v>
      </c>
    </row>
    <row r="39269" spans="20:20" ht="18.75" customHeight="1" x14ac:dyDescent="0.35">
      <c r="T39269" s="246">
        <f t="shared" si="651"/>
        <v>0</v>
      </c>
    </row>
    <row r="39270" spans="20:20" ht="18.75" customHeight="1" x14ac:dyDescent="0.35">
      <c r="T39270" s="246">
        <f t="shared" si="651"/>
        <v>0</v>
      </c>
    </row>
    <row r="39271" spans="20:20" ht="18.75" customHeight="1" x14ac:dyDescent="0.35">
      <c r="T39271" s="246">
        <f t="shared" si="651"/>
        <v>0</v>
      </c>
    </row>
    <row r="39272" spans="20:20" ht="18.75" customHeight="1" x14ac:dyDescent="0.35">
      <c r="T39272" s="246">
        <f t="shared" si="651"/>
        <v>0</v>
      </c>
    </row>
    <row r="39273" spans="20:20" ht="18.75" customHeight="1" x14ac:dyDescent="0.35">
      <c r="T39273" s="246">
        <f t="shared" si="651"/>
        <v>0</v>
      </c>
    </row>
    <row r="39274" spans="20:20" ht="18.75" customHeight="1" x14ac:dyDescent="0.35">
      <c r="T39274" s="246">
        <f t="shared" si="651"/>
        <v>0</v>
      </c>
    </row>
    <row r="39275" spans="20:20" ht="18.75" customHeight="1" x14ac:dyDescent="0.35">
      <c r="T39275" s="246">
        <f t="shared" si="651"/>
        <v>0</v>
      </c>
    </row>
    <row r="39276" spans="20:20" ht="18.75" customHeight="1" x14ac:dyDescent="0.35">
      <c r="T39276" s="246">
        <f t="shared" si="651"/>
        <v>0</v>
      </c>
    </row>
    <row r="39277" spans="20:20" ht="18.75" customHeight="1" x14ac:dyDescent="0.35">
      <c r="T39277" s="246">
        <f t="shared" si="651"/>
        <v>0</v>
      </c>
    </row>
    <row r="39278" spans="20:20" ht="18.75" customHeight="1" x14ac:dyDescent="0.35">
      <c r="T39278" s="246">
        <f t="shared" si="651"/>
        <v>0</v>
      </c>
    </row>
    <row r="39279" spans="20:20" ht="18.75" customHeight="1" x14ac:dyDescent="0.35">
      <c r="T39279" s="246">
        <f t="shared" si="651"/>
        <v>0</v>
      </c>
    </row>
    <row r="39280" spans="20:20" ht="18.75" customHeight="1" x14ac:dyDescent="0.35">
      <c r="T39280" s="246">
        <f t="shared" si="651"/>
        <v>0</v>
      </c>
    </row>
    <row r="39281" spans="20:20" ht="18.75" customHeight="1" x14ac:dyDescent="0.35">
      <c r="T39281" s="246">
        <f t="shared" si="651"/>
        <v>0</v>
      </c>
    </row>
    <row r="39282" spans="20:20" ht="18.75" customHeight="1" x14ac:dyDescent="0.35">
      <c r="T39282" s="246">
        <f t="shared" si="651"/>
        <v>0</v>
      </c>
    </row>
    <row r="39283" spans="20:20" ht="18.75" customHeight="1" x14ac:dyDescent="0.35">
      <c r="T39283" s="246">
        <f t="shared" si="651"/>
        <v>0</v>
      </c>
    </row>
    <row r="39284" spans="20:20" ht="18.75" customHeight="1" x14ac:dyDescent="0.35">
      <c r="T39284" s="246">
        <f t="shared" si="651"/>
        <v>0</v>
      </c>
    </row>
    <row r="39285" spans="20:20" ht="18.75" customHeight="1" x14ac:dyDescent="0.35">
      <c r="T39285" s="246">
        <f t="shared" si="651"/>
        <v>0</v>
      </c>
    </row>
    <row r="39286" spans="20:20" ht="18.75" customHeight="1" x14ac:dyDescent="0.35">
      <c r="T39286" s="246">
        <f t="shared" si="651"/>
        <v>0</v>
      </c>
    </row>
    <row r="39287" spans="20:20" ht="18.75" customHeight="1" x14ac:dyDescent="0.35">
      <c r="T39287" s="246">
        <f t="shared" si="651"/>
        <v>0</v>
      </c>
    </row>
    <row r="39288" spans="20:20" ht="18.75" customHeight="1" x14ac:dyDescent="0.35">
      <c r="T39288" s="246">
        <f t="shared" si="651"/>
        <v>0</v>
      </c>
    </row>
    <row r="39289" spans="20:20" ht="18.75" customHeight="1" x14ac:dyDescent="0.35">
      <c r="T39289" s="246">
        <f t="shared" si="651"/>
        <v>0</v>
      </c>
    </row>
    <row r="39290" spans="20:20" ht="18.75" customHeight="1" x14ac:dyDescent="0.35">
      <c r="T39290" s="246">
        <f t="shared" si="651"/>
        <v>0</v>
      </c>
    </row>
    <row r="39291" spans="20:20" ht="18.75" customHeight="1" x14ac:dyDescent="0.35">
      <c r="T39291" s="246">
        <f t="shared" si="651"/>
        <v>0</v>
      </c>
    </row>
    <row r="39292" spans="20:20" ht="18.75" customHeight="1" x14ac:dyDescent="0.35">
      <c r="T39292" s="246">
        <f t="shared" ref="T39292:T39355" si="652">R39292*0.01</f>
        <v>0</v>
      </c>
    </row>
    <row r="39293" spans="20:20" ht="18.75" customHeight="1" x14ac:dyDescent="0.35">
      <c r="T39293" s="246">
        <f t="shared" si="652"/>
        <v>0</v>
      </c>
    </row>
    <row r="39294" spans="20:20" ht="18.75" customHeight="1" x14ac:dyDescent="0.35">
      <c r="T39294" s="246">
        <f t="shared" si="652"/>
        <v>0</v>
      </c>
    </row>
    <row r="39295" spans="20:20" ht="18.75" customHeight="1" x14ac:dyDescent="0.35">
      <c r="T39295" s="246">
        <f t="shared" si="652"/>
        <v>0</v>
      </c>
    </row>
    <row r="39296" spans="20:20" ht="18.75" customHeight="1" x14ac:dyDescent="0.35">
      <c r="T39296" s="246">
        <f t="shared" si="652"/>
        <v>0</v>
      </c>
    </row>
    <row r="39297" spans="20:20" ht="18.75" customHeight="1" x14ac:dyDescent="0.35">
      <c r="T39297" s="246">
        <f t="shared" si="652"/>
        <v>0</v>
      </c>
    </row>
    <row r="39298" spans="20:20" ht="18.75" customHeight="1" x14ac:dyDescent="0.35">
      <c r="T39298" s="246">
        <f t="shared" si="652"/>
        <v>0</v>
      </c>
    </row>
    <row r="39299" spans="20:20" ht="18.75" customHeight="1" x14ac:dyDescent="0.35">
      <c r="T39299" s="246">
        <f t="shared" si="652"/>
        <v>0</v>
      </c>
    </row>
    <row r="39300" spans="20:20" ht="18.75" customHeight="1" x14ac:dyDescent="0.35">
      <c r="T39300" s="246">
        <f t="shared" si="652"/>
        <v>0</v>
      </c>
    </row>
    <row r="39301" spans="20:20" ht="18.75" customHeight="1" x14ac:dyDescent="0.35">
      <c r="T39301" s="246">
        <f t="shared" si="652"/>
        <v>0</v>
      </c>
    </row>
    <row r="39302" spans="20:20" ht="18.75" customHeight="1" x14ac:dyDescent="0.35">
      <c r="T39302" s="246">
        <f t="shared" si="652"/>
        <v>0</v>
      </c>
    </row>
    <row r="39303" spans="20:20" ht="18.75" customHeight="1" x14ac:dyDescent="0.35">
      <c r="T39303" s="246">
        <f t="shared" si="652"/>
        <v>0</v>
      </c>
    </row>
    <row r="39304" spans="20:20" ht="18.75" customHeight="1" x14ac:dyDescent="0.35">
      <c r="T39304" s="246">
        <f t="shared" si="652"/>
        <v>0</v>
      </c>
    </row>
    <row r="39305" spans="20:20" ht="18.75" customHeight="1" x14ac:dyDescent="0.35">
      <c r="T39305" s="246">
        <f t="shared" si="652"/>
        <v>0</v>
      </c>
    </row>
    <row r="39306" spans="20:20" ht="18.75" customHeight="1" x14ac:dyDescent="0.35">
      <c r="T39306" s="246">
        <f t="shared" si="652"/>
        <v>0</v>
      </c>
    </row>
    <row r="39307" spans="20:20" ht="18.75" customHeight="1" x14ac:dyDescent="0.35">
      <c r="T39307" s="246">
        <f t="shared" si="652"/>
        <v>0</v>
      </c>
    </row>
    <row r="39308" spans="20:20" ht="18.75" customHeight="1" x14ac:dyDescent="0.35">
      <c r="T39308" s="246">
        <f t="shared" si="652"/>
        <v>0</v>
      </c>
    </row>
    <row r="39309" spans="20:20" ht="18.75" customHeight="1" x14ac:dyDescent="0.35">
      <c r="T39309" s="246">
        <f t="shared" si="652"/>
        <v>0</v>
      </c>
    </row>
    <row r="39310" spans="20:20" ht="18.75" customHeight="1" x14ac:dyDescent="0.35">
      <c r="T39310" s="246">
        <f t="shared" si="652"/>
        <v>0</v>
      </c>
    </row>
    <row r="39311" spans="20:20" ht="18.75" customHeight="1" x14ac:dyDescent="0.35">
      <c r="T39311" s="246">
        <f t="shared" si="652"/>
        <v>0</v>
      </c>
    </row>
    <row r="39312" spans="20:20" ht="18.75" customHeight="1" x14ac:dyDescent="0.35">
      <c r="T39312" s="246">
        <f t="shared" si="652"/>
        <v>0</v>
      </c>
    </row>
    <row r="39313" spans="20:20" ht="18.75" customHeight="1" x14ac:dyDescent="0.35">
      <c r="T39313" s="246">
        <f t="shared" si="652"/>
        <v>0</v>
      </c>
    </row>
    <row r="39314" spans="20:20" ht="18.75" customHeight="1" x14ac:dyDescent="0.35">
      <c r="T39314" s="246">
        <f t="shared" si="652"/>
        <v>0</v>
      </c>
    </row>
    <row r="39315" spans="20:20" ht="18.75" customHeight="1" x14ac:dyDescent="0.35">
      <c r="T39315" s="246">
        <f t="shared" si="652"/>
        <v>0</v>
      </c>
    </row>
    <row r="39316" spans="20:20" ht="18.75" customHeight="1" x14ac:dyDescent="0.35">
      <c r="T39316" s="246">
        <f t="shared" si="652"/>
        <v>0</v>
      </c>
    </row>
    <row r="39317" spans="20:20" ht="18.75" customHeight="1" x14ac:dyDescent="0.35">
      <c r="T39317" s="246">
        <f t="shared" si="652"/>
        <v>0</v>
      </c>
    </row>
    <row r="39318" spans="20:20" ht="18.75" customHeight="1" x14ac:dyDescent="0.35">
      <c r="T39318" s="246">
        <f t="shared" si="652"/>
        <v>0</v>
      </c>
    </row>
    <row r="39319" spans="20:20" ht="18.75" customHeight="1" x14ac:dyDescent="0.35">
      <c r="T39319" s="246">
        <f t="shared" si="652"/>
        <v>0</v>
      </c>
    </row>
    <row r="39320" spans="20:20" ht="18.75" customHeight="1" x14ac:dyDescent="0.35">
      <c r="T39320" s="246">
        <f t="shared" si="652"/>
        <v>0</v>
      </c>
    </row>
    <row r="39321" spans="20:20" ht="18.75" customHeight="1" x14ac:dyDescent="0.35">
      <c r="T39321" s="246">
        <f t="shared" si="652"/>
        <v>0</v>
      </c>
    </row>
    <row r="39322" spans="20:20" ht="18.75" customHeight="1" x14ac:dyDescent="0.35">
      <c r="T39322" s="246">
        <f t="shared" si="652"/>
        <v>0</v>
      </c>
    </row>
    <row r="39323" spans="20:20" ht="18.75" customHeight="1" x14ac:dyDescent="0.35">
      <c r="T39323" s="246">
        <f t="shared" si="652"/>
        <v>0</v>
      </c>
    </row>
    <row r="39324" spans="20:20" ht="18.75" customHeight="1" x14ac:dyDescent="0.35">
      <c r="T39324" s="246">
        <f t="shared" si="652"/>
        <v>0</v>
      </c>
    </row>
    <row r="39325" spans="20:20" ht="18.75" customHeight="1" x14ac:dyDescent="0.35">
      <c r="T39325" s="246">
        <f t="shared" si="652"/>
        <v>0</v>
      </c>
    </row>
    <row r="39326" spans="20:20" ht="18.75" customHeight="1" x14ac:dyDescent="0.35">
      <c r="T39326" s="246">
        <f t="shared" si="652"/>
        <v>0</v>
      </c>
    </row>
    <row r="39327" spans="20:20" ht="18.75" customHeight="1" x14ac:dyDescent="0.35">
      <c r="T39327" s="246">
        <f t="shared" si="652"/>
        <v>0</v>
      </c>
    </row>
    <row r="39328" spans="20:20" ht="18.75" customHeight="1" x14ac:dyDescent="0.35">
      <c r="T39328" s="246">
        <f t="shared" si="652"/>
        <v>0</v>
      </c>
    </row>
    <row r="39329" spans="20:20" ht="18.75" customHeight="1" x14ac:dyDescent="0.35">
      <c r="T39329" s="246">
        <f t="shared" si="652"/>
        <v>0</v>
      </c>
    </row>
    <row r="39330" spans="20:20" ht="18.75" customHeight="1" x14ac:dyDescent="0.35">
      <c r="T39330" s="246">
        <f t="shared" si="652"/>
        <v>0</v>
      </c>
    </row>
    <row r="39331" spans="20:20" ht="18.75" customHeight="1" x14ac:dyDescent="0.35">
      <c r="T39331" s="246">
        <f t="shared" si="652"/>
        <v>0</v>
      </c>
    </row>
    <row r="39332" spans="20:20" ht="18.75" customHeight="1" x14ac:dyDescent="0.35">
      <c r="T39332" s="246">
        <f t="shared" si="652"/>
        <v>0</v>
      </c>
    </row>
    <row r="39333" spans="20:20" ht="18.75" customHeight="1" x14ac:dyDescent="0.35">
      <c r="T39333" s="246">
        <f t="shared" si="652"/>
        <v>0</v>
      </c>
    </row>
    <row r="39334" spans="20:20" ht="18.75" customHeight="1" x14ac:dyDescent="0.35">
      <c r="T39334" s="246">
        <f t="shared" si="652"/>
        <v>0</v>
      </c>
    </row>
    <row r="39335" spans="20:20" ht="18.75" customHeight="1" x14ac:dyDescent="0.35">
      <c r="T39335" s="246">
        <f t="shared" si="652"/>
        <v>0</v>
      </c>
    </row>
    <row r="39336" spans="20:20" ht="18.75" customHeight="1" x14ac:dyDescent="0.35">
      <c r="T39336" s="246">
        <f t="shared" si="652"/>
        <v>0</v>
      </c>
    </row>
    <row r="39337" spans="20:20" ht="18.75" customHeight="1" x14ac:dyDescent="0.35">
      <c r="T39337" s="246">
        <f t="shared" si="652"/>
        <v>0</v>
      </c>
    </row>
    <row r="39338" spans="20:20" ht="18.75" customHeight="1" x14ac:dyDescent="0.35">
      <c r="T39338" s="246">
        <f t="shared" si="652"/>
        <v>0</v>
      </c>
    </row>
    <row r="39339" spans="20:20" ht="18.75" customHeight="1" x14ac:dyDescent="0.35">
      <c r="T39339" s="246">
        <f t="shared" si="652"/>
        <v>0</v>
      </c>
    </row>
    <row r="39340" spans="20:20" ht="18.75" customHeight="1" x14ac:dyDescent="0.35">
      <c r="T39340" s="246">
        <f t="shared" si="652"/>
        <v>0</v>
      </c>
    </row>
    <row r="39341" spans="20:20" ht="18.75" customHeight="1" x14ac:dyDescent="0.35">
      <c r="T39341" s="246">
        <f t="shared" si="652"/>
        <v>0</v>
      </c>
    </row>
    <row r="39342" spans="20:20" ht="18.75" customHeight="1" x14ac:dyDescent="0.35">
      <c r="T39342" s="246">
        <f t="shared" si="652"/>
        <v>0</v>
      </c>
    </row>
    <row r="39343" spans="20:20" ht="18.75" customHeight="1" x14ac:dyDescent="0.35">
      <c r="T39343" s="246">
        <f t="shared" si="652"/>
        <v>0</v>
      </c>
    </row>
    <row r="39344" spans="20:20" ht="18.75" customHeight="1" x14ac:dyDescent="0.35">
      <c r="T39344" s="246">
        <f t="shared" si="652"/>
        <v>0</v>
      </c>
    </row>
    <row r="39345" spans="20:20" ht="18.75" customHeight="1" x14ac:dyDescent="0.35">
      <c r="T39345" s="246">
        <f t="shared" si="652"/>
        <v>0</v>
      </c>
    </row>
    <row r="39346" spans="20:20" ht="18.75" customHeight="1" x14ac:dyDescent="0.35">
      <c r="T39346" s="246">
        <f t="shared" si="652"/>
        <v>0</v>
      </c>
    </row>
    <row r="39347" spans="20:20" ht="18.75" customHeight="1" x14ac:dyDescent="0.35">
      <c r="T39347" s="246">
        <f t="shared" si="652"/>
        <v>0</v>
      </c>
    </row>
    <row r="39348" spans="20:20" ht="18.75" customHeight="1" x14ac:dyDescent="0.35">
      <c r="T39348" s="246">
        <f t="shared" si="652"/>
        <v>0</v>
      </c>
    </row>
    <row r="39349" spans="20:20" ht="18.75" customHeight="1" x14ac:dyDescent="0.35">
      <c r="T39349" s="246">
        <f t="shared" si="652"/>
        <v>0</v>
      </c>
    </row>
    <row r="39350" spans="20:20" ht="18.75" customHeight="1" x14ac:dyDescent="0.35">
      <c r="T39350" s="246">
        <f t="shared" si="652"/>
        <v>0</v>
      </c>
    </row>
    <row r="39351" spans="20:20" ht="18.75" customHeight="1" x14ac:dyDescent="0.35">
      <c r="T39351" s="246">
        <f t="shared" si="652"/>
        <v>0</v>
      </c>
    </row>
    <row r="39352" spans="20:20" ht="18.75" customHeight="1" x14ac:dyDescent="0.35">
      <c r="T39352" s="246">
        <f t="shared" si="652"/>
        <v>0</v>
      </c>
    </row>
    <row r="39353" spans="20:20" ht="18.75" customHeight="1" x14ac:dyDescent="0.35">
      <c r="T39353" s="246">
        <f t="shared" si="652"/>
        <v>0</v>
      </c>
    </row>
    <row r="39354" spans="20:20" ht="18.75" customHeight="1" x14ac:dyDescent="0.35">
      <c r="T39354" s="246">
        <f t="shared" si="652"/>
        <v>0</v>
      </c>
    </row>
    <row r="39355" spans="20:20" ht="18.75" customHeight="1" x14ac:dyDescent="0.35">
      <c r="T39355" s="246">
        <f t="shared" si="652"/>
        <v>0</v>
      </c>
    </row>
    <row r="39356" spans="20:20" ht="18.75" customHeight="1" x14ac:dyDescent="0.35">
      <c r="T39356" s="246">
        <f t="shared" ref="T39356:T39419" si="653">R39356*0.01</f>
        <v>0</v>
      </c>
    </row>
    <row r="39357" spans="20:20" ht="18.75" customHeight="1" x14ac:dyDescent="0.35">
      <c r="T39357" s="246">
        <f t="shared" si="653"/>
        <v>0</v>
      </c>
    </row>
    <row r="39358" spans="20:20" ht="18.75" customHeight="1" x14ac:dyDescent="0.35">
      <c r="T39358" s="246">
        <f t="shared" si="653"/>
        <v>0</v>
      </c>
    </row>
    <row r="39359" spans="20:20" ht="18.75" customHeight="1" x14ac:dyDescent="0.35">
      <c r="T39359" s="246">
        <f t="shared" si="653"/>
        <v>0</v>
      </c>
    </row>
    <row r="39360" spans="20:20" ht="18.75" customHeight="1" x14ac:dyDescent="0.35">
      <c r="T39360" s="246">
        <f t="shared" si="653"/>
        <v>0</v>
      </c>
    </row>
    <row r="39361" spans="20:20" ht="18.75" customHeight="1" x14ac:dyDescent="0.35">
      <c r="T39361" s="246">
        <f t="shared" si="653"/>
        <v>0</v>
      </c>
    </row>
    <row r="39362" spans="20:20" ht="18.75" customHeight="1" x14ac:dyDescent="0.35">
      <c r="T39362" s="246">
        <f t="shared" si="653"/>
        <v>0</v>
      </c>
    </row>
    <row r="39363" spans="20:20" ht="18.75" customHeight="1" x14ac:dyDescent="0.35">
      <c r="T39363" s="246">
        <f t="shared" si="653"/>
        <v>0</v>
      </c>
    </row>
    <row r="39364" spans="20:20" ht="18.75" customHeight="1" x14ac:dyDescent="0.35">
      <c r="T39364" s="246">
        <f t="shared" si="653"/>
        <v>0</v>
      </c>
    </row>
    <row r="39365" spans="20:20" ht="18.75" customHeight="1" x14ac:dyDescent="0.35">
      <c r="T39365" s="246">
        <f t="shared" si="653"/>
        <v>0</v>
      </c>
    </row>
    <row r="39366" spans="20:20" ht="18.75" customHeight="1" x14ac:dyDescent="0.35">
      <c r="T39366" s="246">
        <f t="shared" si="653"/>
        <v>0</v>
      </c>
    </row>
    <row r="39367" spans="20:20" ht="18.75" customHeight="1" x14ac:dyDescent="0.35">
      <c r="T39367" s="246">
        <f t="shared" si="653"/>
        <v>0</v>
      </c>
    </row>
    <row r="39368" spans="20:20" ht="18.75" customHeight="1" x14ac:dyDescent="0.35">
      <c r="T39368" s="246">
        <f t="shared" si="653"/>
        <v>0</v>
      </c>
    </row>
    <row r="39369" spans="20:20" ht="18.75" customHeight="1" x14ac:dyDescent="0.35">
      <c r="T39369" s="246">
        <f t="shared" si="653"/>
        <v>0</v>
      </c>
    </row>
    <row r="39370" spans="20:20" ht="18.75" customHeight="1" x14ac:dyDescent="0.35">
      <c r="T39370" s="246">
        <f t="shared" si="653"/>
        <v>0</v>
      </c>
    </row>
    <row r="39371" spans="20:20" ht="18.75" customHeight="1" x14ac:dyDescent="0.35">
      <c r="T39371" s="246">
        <f t="shared" si="653"/>
        <v>0</v>
      </c>
    </row>
    <row r="39372" spans="20:20" ht="18.75" customHeight="1" x14ac:dyDescent="0.35">
      <c r="T39372" s="246">
        <f t="shared" si="653"/>
        <v>0</v>
      </c>
    </row>
    <row r="39373" spans="20:20" ht="18.75" customHeight="1" x14ac:dyDescent="0.35">
      <c r="T39373" s="246">
        <f t="shared" si="653"/>
        <v>0</v>
      </c>
    </row>
    <row r="39374" spans="20:20" ht="18.75" customHeight="1" x14ac:dyDescent="0.35">
      <c r="T39374" s="246">
        <f t="shared" si="653"/>
        <v>0</v>
      </c>
    </row>
    <row r="39375" spans="20:20" ht="18.75" customHeight="1" x14ac:dyDescent="0.35">
      <c r="T39375" s="246">
        <f t="shared" si="653"/>
        <v>0</v>
      </c>
    </row>
    <row r="39376" spans="20:20" ht="18.75" customHeight="1" x14ac:dyDescent="0.35">
      <c r="T39376" s="246">
        <f t="shared" si="653"/>
        <v>0</v>
      </c>
    </row>
    <row r="39377" spans="20:20" ht="18.75" customHeight="1" x14ac:dyDescent="0.35">
      <c r="T39377" s="246">
        <f t="shared" si="653"/>
        <v>0</v>
      </c>
    </row>
    <row r="39378" spans="20:20" ht="18.75" customHeight="1" x14ac:dyDescent="0.35">
      <c r="T39378" s="246">
        <f t="shared" si="653"/>
        <v>0</v>
      </c>
    </row>
    <row r="39379" spans="20:20" ht="18.75" customHeight="1" x14ac:dyDescent="0.35">
      <c r="T39379" s="246">
        <f t="shared" si="653"/>
        <v>0</v>
      </c>
    </row>
    <row r="39380" spans="20:20" ht="18.75" customHeight="1" x14ac:dyDescent="0.35">
      <c r="T39380" s="246">
        <f t="shared" si="653"/>
        <v>0</v>
      </c>
    </row>
    <row r="39381" spans="20:20" ht="18.75" customHeight="1" x14ac:dyDescent="0.35">
      <c r="T39381" s="246">
        <f t="shared" si="653"/>
        <v>0</v>
      </c>
    </row>
    <row r="39382" spans="20:20" ht="18.75" customHeight="1" x14ac:dyDescent="0.35">
      <c r="T39382" s="246">
        <f t="shared" si="653"/>
        <v>0</v>
      </c>
    </row>
    <row r="39383" spans="20:20" ht="18.75" customHeight="1" x14ac:dyDescent="0.35">
      <c r="T39383" s="246">
        <f t="shared" si="653"/>
        <v>0</v>
      </c>
    </row>
    <row r="39384" spans="20:20" ht="18.75" customHeight="1" x14ac:dyDescent="0.35">
      <c r="T39384" s="246">
        <f t="shared" si="653"/>
        <v>0</v>
      </c>
    </row>
    <row r="39385" spans="20:20" ht="18.75" customHeight="1" x14ac:dyDescent="0.35">
      <c r="T39385" s="246">
        <f t="shared" si="653"/>
        <v>0</v>
      </c>
    </row>
    <row r="39386" spans="20:20" ht="18.75" customHeight="1" x14ac:dyDescent="0.35">
      <c r="T39386" s="246">
        <f t="shared" si="653"/>
        <v>0</v>
      </c>
    </row>
    <row r="39387" spans="20:20" ht="18.75" customHeight="1" x14ac:dyDescent="0.35">
      <c r="T39387" s="246">
        <f t="shared" si="653"/>
        <v>0</v>
      </c>
    </row>
    <row r="39388" spans="20:20" ht="18.75" customHeight="1" x14ac:dyDescent="0.35">
      <c r="T39388" s="246">
        <f t="shared" si="653"/>
        <v>0</v>
      </c>
    </row>
    <row r="39389" spans="20:20" ht="18.75" customHeight="1" x14ac:dyDescent="0.35">
      <c r="T39389" s="246">
        <f t="shared" si="653"/>
        <v>0</v>
      </c>
    </row>
    <row r="39390" spans="20:20" ht="18.75" customHeight="1" x14ac:dyDescent="0.35">
      <c r="T39390" s="246">
        <f t="shared" si="653"/>
        <v>0</v>
      </c>
    </row>
    <row r="39391" spans="20:20" ht="18.75" customHeight="1" x14ac:dyDescent="0.35">
      <c r="T39391" s="246">
        <f t="shared" si="653"/>
        <v>0</v>
      </c>
    </row>
    <row r="39392" spans="20:20" ht="18.75" customHeight="1" x14ac:dyDescent="0.35">
      <c r="T39392" s="246">
        <f t="shared" si="653"/>
        <v>0</v>
      </c>
    </row>
    <row r="39393" spans="20:20" ht="18.75" customHeight="1" x14ac:dyDescent="0.35">
      <c r="T39393" s="246">
        <f t="shared" si="653"/>
        <v>0</v>
      </c>
    </row>
    <row r="39394" spans="20:20" ht="18.75" customHeight="1" x14ac:dyDescent="0.35">
      <c r="T39394" s="246">
        <f t="shared" si="653"/>
        <v>0</v>
      </c>
    </row>
    <row r="39395" spans="20:20" ht="18.75" customHeight="1" x14ac:dyDescent="0.35">
      <c r="T39395" s="246">
        <f t="shared" si="653"/>
        <v>0</v>
      </c>
    </row>
    <row r="39396" spans="20:20" ht="18.75" customHeight="1" x14ac:dyDescent="0.35">
      <c r="T39396" s="246">
        <f t="shared" si="653"/>
        <v>0</v>
      </c>
    </row>
    <row r="39397" spans="20:20" ht="18.75" customHeight="1" x14ac:dyDescent="0.35">
      <c r="T39397" s="246">
        <f t="shared" si="653"/>
        <v>0</v>
      </c>
    </row>
    <row r="39398" spans="20:20" ht="18.75" customHeight="1" x14ac:dyDescent="0.35">
      <c r="T39398" s="246">
        <f t="shared" si="653"/>
        <v>0</v>
      </c>
    </row>
    <row r="39399" spans="20:20" ht="18.75" customHeight="1" x14ac:dyDescent="0.35">
      <c r="T39399" s="246">
        <f t="shared" si="653"/>
        <v>0</v>
      </c>
    </row>
    <row r="39400" spans="20:20" ht="18.75" customHeight="1" x14ac:dyDescent="0.35">
      <c r="T39400" s="246">
        <f t="shared" si="653"/>
        <v>0</v>
      </c>
    </row>
    <row r="39401" spans="20:20" ht="18.75" customHeight="1" x14ac:dyDescent="0.35">
      <c r="T39401" s="246">
        <f t="shared" si="653"/>
        <v>0</v>
      </c>
    </row>
    <row r="39402" spans="20:20" ht="18.75" customHeight="1" x14ac:dyDescent="0.35">
      <c r="T39402" s="246">
        <f t="shared" si="653"/>
        <v>0</v>
      </c>
    </row>
    <row r="39403" spans="20:20" ht="18.75" customHeight="1" x14ac:dyDescent="0.35">
      <c r="T39403" s="246">
        <f t="shared" si="653"/>
        <v>0</v>
      </c>
    </row>
    <row r="39404" spans="20:20" ht="18.75" customHeight="1" x14ac:dyDescent="0.35">
      <c r="T39404" s="246">
        <f t="shared" si="653"/>
        <v>0</v>
      </c>
    </row>
    <row r="39405" spans="20:20" ht="18.75" customHeight="1" x14ac:dyDescent="0.35">
      <c r="T39405" s="246">
        <f t="shared" si="653"/>
        <v>0</v>
      </c>
    </row>
    <row r="39406" spans="20:20" ht="18.75" customHeight="1" x14ac:dyDescent="0.35">
      <c r="T39406" s="246">
        <f t="shared" si="653"/>
        <v>0</v>
      </c>
    </row>
    <row r="39407" spans="20:20" ht="18.75" customHeight="1" x14ac:dyDescent="0.35">
      <c r="T39407" s="246">
        <f t="shared" si="653"/>
        <v>0</v>
      </c>
    </row>
    <row r="39408" spans="20:20" ht="18.75" customHeight="1" x14ac:dyDescent="0.35">
      <c r="T39408" s="246">
        <f t="shared" si="653"/>
        <v>0</v>
      </c>
    </row>
    <row r="39409" spans="20:20" ht="18.75" customHeight="1" x14ac:dyDescent="0.35">
      <c r="T39409" s="246">
        <f t="shared" si="653"/>
        <v>0</v>
      </c>
    </row>
    <row r="39410" spans="20:20" ht="18.75" customHeight="1" x14ac:dyDescent="0.35">
      <c r="T39410" s="246">
        <f t="shared" si="653"/>
        <v>0</v>
      </c>
    </row>
    <row r="39411" spans="20:20" ht="18.75" customHeight="1" x14ac:dyDescent="0.35">
      <c r="T39411" s="246">
        <f t="shared" si="653"/>
        <v>0</v>
      </c>
    </row>
    <row r="39412" spans="20:20" ht="18.75" customHeight="1" x14ac:dyDescent="0.35">
      <c r="T39412" s="246">
        <f t="shared" si="653"/>
        <v>0</v>
      </c>
    </row>
    <row r="39413" spans="20:20" ht="18.75" customHeight="1" x14ac:dyDescent="0.35">
      <c r="T39413" s="246">
        <f t="shared" si="653"/>
        <v>0</v>
      </c>
    </row>
    <row r="39414" spans="20:20" ht="18.75" customHeight="1" x14ac:dyDescent="0.35">
      <c r="T39414" s="246">
        <f t="shared" si="653"/>
        <v>0</v>
      </c>
    </row>
    <row r="39415" spans="20:20" ht="18.75" customHeight="1" x14ac:dyDescent="0.35">
      <c r="T39415" s="246">
        <f t="shared" si="653"/>
        <v>0</v>
      </c>
    </row>
    <row r="39416" spans="20:20" ht="18.75" customHeight="1" x14ac:dyDescent="0.35">
      <c r="T39416" s="246">
        <f t="shared" si="653"/>
        <v>0</v>
      </c>
    </row>
    <row r="39417" spans="20:20" ht="18.75" customHeight="1" x14ac:dyDescent="0.35">
      <c r="T39417" s="246">
        <f t="shared" si="653"/>
        <v>0</v>
      </c>
    </row>
    <row r="39418" spans="20:20" ht="18.75" customHeight="1" x14ac:dyDescent="0.35">
      <c r="T39418" s="246">
        <f t="shared" si="653"/>
        <v>0</v>
      </c>
    </row>
    <row r="39419" spans="20:20" ht="18.75" customHeight="1" x14ac:dyDescent="0.35">
      <c r="T39419" s="246">
        <f t="shared" si="653"/>
        <v>0</v>
      </c>
    </row>
    <row r="39420" spans="20:20" ht="18.75" customHeight="1" x14ac:dyDescent="0.35">
      <c r="T39420" s="246">
        <f t="shared" ref="T39420:T39483" si="654">R39420*0.01</f>
        <v>0</v>
      </c>
    </row>
    <row r="39421" spans="20:20" ht="18.75" customHeight="1" x14ac:dyDescent="0.35">
      <c r="T39421" s="246">
        <f t="shared" si="654"/>
        <v>0</v>
      </c>
    </row>
    <row r="39422" spans="20:20" ht="18.75" customHeight="1" x14ac:dyDescent="0.35">
      <c r="T39422" s="246">
        <f t="shared" si="654"/>
        <v>0</v>
      </c>
    </row>
    <row r="39423" spans="20:20" ht="18.75" customHeight="1" x14ac:dyDescent="0.35">
      <c r="T39423" s="246">
        <f t="shared" si="654"/>
        <v>0</v>
      </c>
    </row>
    <row r="39424" spans="20:20" ht="18.75" customHeight="1" x14ac:dyDescent="0.35">
      <c r="T39424" s="246">
        <f t="shared" si="654"/>
        <v>0</v>
      </c>
    </row>
    <row r="39425" spans="20:20" ht="18.75" customHeight="1" x14ac:dyDescent="0.35">
      <c r="T39425" s="246">
        <f t="shared" si="654"/>
        <v>0</v>
      </c>
    </row>
    <row r="39426" spans="20:20" ht="18.75" customHeight="1" x14ac:dyDescent="0.35">
      <c r="T39426" s="246">
        <f t="shared" si="654"/>
        <v>0</v>
      </c>
    </row>
    <row r="39427" spans="20:20" ht="18.75" customHeight="1" x14ac:dyDescent="0.35">
      <c r="T39427" s="246">
        <f t="shared" si="654"/>
        <v>0</v>
      </c>
    </row>
    <row r="39428" spans="20:20" ht="18.75" customHeight="1" x14ac:dyDescent="0.35">
      <c r="T39428" s="246">
        <f t="shared" si="654"/>
        <v>0</v>
      </c>
    </row>
    <row r="39429" spans="20:20" ht="18.75" customHeight="1" x14ac:dyDescent="0.35">
      <c r="T39429" s="246">
        <f t="shared" si="654"/>
        <v>0</v>
      </c>
    </row>
    <row r="39430" spans="20:20" ht="18.75" customHeight="1" x14ac:dyDescent="0.35">
      <c r="T39430" s="246">
        <f t="shared" si="654"/>
        <v>0</v>
      </c>
    </row>
    <row r="39431" spans="20:20" ht="18.75" customHeight="1" x14ac:dyDescent="0.35">
      <c r="T39431" s="246">
        <f t="shared" si="654"/>
        <v>0</v>
      </c>
    </row>
    <row r="39432" spans="20:20" ht="18.75" customHeight="1" x14ac:dyDescent="0.35">
      <c r="T39432" s="246">
        <f t="shared" si="654"/>
        <v>0</v>
      </c>
    </row>
    <row r="39433" spans="20:20" ht="18.75" customHeight="1" x14ac:dyDescent="0.35">
      <c r="T39433" s="246">
        <f t="shared" si="654"/>
        <v>0</v>
      </c>
    </row>
    <row r="39434" spans="20:20" ht="18.75" customHeight="1" x14ac:dyDescent="0.35">
      <c r="T39434" s="246">
        <f t="shared" si="654"/>
        <v>0</v>
      </c>
    </row>
    <row r="39435" spans="20:20" ht="18.75" customHeight="1" x14ac:dyDescent="0.35">
      <c r="T39435" s="246">
        <f t="shared" si="654"/>
        <v>0</v>
      </c>
    </row>
    <row r="39436" spans="20:20" ht="18.75" customHeight="1" x14ac:dyDescent="0.35">
      <c r="T39436" s="246">
        <f t="shared" si="654"/>
        <v>0</v>
      </c>
    </row>
    <row r="39437" spans="20:20" ht="18.75" customHeight="1" x14ac:dyDescent="0.35">
      <c r="T39437" s="246">
        <f t="shared" si="654"/>
        <v>0</v>
      </c>
    </row>
    <row r="39438" spans="20:20" ht="18.75" customHeight="1" x14ac:dyDescent="0.35">
      <c r="T39438" s="246">
        <f t="shared" si="654"/>
        <v>0</v>
      </c>
    </row>
    <row r="39439" spans="20:20" ht="18.75" customHeight="1" x14ac:dyDescent="0.35">
      <c r="T39439" s="246">
        <f t="shared" si="654"/>
        <v>0</v>
      </c>
    </row>
    <row r="39440" spans="20:20" ht="18.75" customHeight="1" x14ac:dyDescent="0.35">
      <c r="T39440" s="246">
        <f t="shared" si="654"/>
        <v>0</v>
      </c>
    </row>
    <row r="39441" spans="20:20" ht="18.75" customHeight="1" x14ac:dyDescent="0.35">
      <c r="T39441" s="246">
        <f t="shared" si="654"/>
        <v>0</v>
      </c>
    </row>
    <row r="39442" spans="20:20" ht="18.75" customHeight="1" x14ac:dyDescent="0.35">
      <c r="T39442" s="246">
        <f t="shared" si="654"/>
        <v>0</v>
      </c>
    </row>
    <row r="39443" spans="20:20" ht="18.75" customHeight="1" x14ac:dyDescent="0.35">
      <c r="T39443" s="246">
        <f t="shared" si="654"/>
        <v>0</v>
      </c>
    </row>
    <row r="39444" spans="20:20" ht="18.75" customHeight="1" x14ac:dyDescent="0.35">
      <c r="T39444" s="246">
        <f t="shared" si="654"/>
        <v>0</v>
      </c>
    </row>
    <row r="39445" spans="20:20" ht="18.75" customHeight="1" x14ac:dyDescent="0.35">
      <c r="T39445" s="246">
        <f t="shared" si="654"/>
        <v>0</v>
      </c>
    </row>
    <row r="39446" spans="20:20" ht="18.75" customHeight="1" x14ac:dyDescent="0.35">
      <c r="T39446" s="246">
        <f t="shared" si="654"/>
        <v>0</v>
      </c>
    </row>
    <row r="39447" spans="20:20" ht="18.75" customHeight="1" x14ac:dyDescent="0.35">
      <c r="T39447" s="246">
        <f t="shared" si="654"/>
        <v>0</v>
      </c>
    </row>
    <row r="39448" spans="20:20" ht="18.75" customHeight="1" x14ac:dyDescent="0.35">
      <c r="T39448" s="246">
        <f t="shared" si="654"/>
        <v>0</v>
      </c>
    </row>
    <row r="39449" spans="20:20" ht="18.75" customHeight="1" x14ac:dyDescent="0.35">
      <c r="T39449" s="246">
        <f t="shared" si="654"/>
        <v>0</v>
      </c>
    </row>
    <row r="39450" spans="20:20" ht="18.75" customHeight="1" x14ac:dyDescent="0.35">
      <c r="T39450" s="246">
        <f t="shared" si="654"/>
        <v>0</v>
      </c>
    </row>
    <row r="39451" spans="20:20" ht="18.75" customHeight="1" x14ac:dyDescent="0.35">
      <c r="T39451" s="246">
        <f t="shared" si="654"/>
        <v>0</v>
      </c>
    </row>
    <row r="39452" spans="20:20" ht="18.75" customHeight="1" x14ac:dyDescent="0.35">
      <c r="T39452" s="246">
        <f t="shared" si="654"/>
        <v>0</v>
      </c>
    </row>
    <row r="39453" spans="20:20" ht="18.75" customHeight="1" x14ac:dyDescent="0.35">
      <c r="T39453" s="246">
        <f t="shared" si="654"/>
        <v>0</v>
      </c>
    </row>
    <row r="39454" spans="20:20" ht="18.75" customHeight="1" x14ac:dyDescent="0.35">
      <c r="T39454" s="246">
        <f t="shared" si="654"/>
        <v>0</v>
      </c>
    </row>
    <row r="39455" spans="20:20" ht="18.75" customHeight="1" x14ac:dyDescent="0.35">
      <c r="T39455" s="246">
        <f t="shared" si="654"/>
        <v>0</v>
      </c>
    </row>
    <row r="39456" spans="20:20" ht="18.75" customHeight="1" x14ac:dyDescent="0.35">
      <c r="T39456" s="246">
        <f t="shared" si="654"/>
        <v>0</v>
      </c>
    </row>
    <row r="39457" spans="20:20" ht="18.75" customHeight="1" x14ac:dyDescent="0.35">
      <c r="T39457" s="246">
        <f t="shared" si="654"/>
        <v>0</v>
      </c>
    </row>
    <row r="39458" spans="20:20" ht="18.75" customHeight="1" x14ac:dyDescent="0.35">
      <c r="T39458" s="246">
        <f t="shared" si="654"/>
        <v>0</v>
      </c>
    </row>
    <row r="39459" spans="20:20" ht="18.75" customHeight="1" x14ac:dyDescent="0.35">
      <c r="T39459" s="246">
        <f t="shared" si="654"/>
        <v>0</v>
      </c>
    </row>
    <row r="39460" spans="20:20" ht="18.75" customHeight="1" x14ac:dyDescent="0.35">
      <c r="T39460" s="246">
        <f t="shared" si="654"/>
        <v>0</v>
      </c>
    </row>
    <row r="39461" spans="20:20" ht="18.75" customHeight="1" x14ac:dyDescent="0.35">
      <c r="T39461" s="246">
        <f t="shared" si="654"/>
        <v>0</v>
      </c>
    </row>
    <row r="39462" spans="20:20" ht="18.75" customHeight="1" x14ac:dyDescent="0.35">
      <c r="T39462" s="246">
        <f t="shared" si="654"/>
        <v>0</v>
      </c>
    </row>
    <row r="39463" spans="20:20" ht="18.75" customHeight="1" x14ac:dyDescent="0.35">
      <c r="T39463" s="246">
        <f t="shared" si="654"/>
        <v>0</v>
      </c>
    </row>
    <row r="39464" spans="20:20" ht="18.75" customHeight="1" x14ac:dyDescent="0.35">
      <c r="T39464" s="246">
        <f t="shared" si="654"/>
        <v>0</v>
      </c>
    </row>
    <row r="39465" spans="20:20" ht="18.75" customHeight="1" x14ac:dyDescent="0.35">
      <c r="T39465" s="246">
        <f t="shared" si="654"/>
        <v>0</v>
      </c>
    </row>
    <row r="39466" spans="20:20" ht="18.75" customHeight="1" x14ac:dyDescent="0.35">
      <c r="T39466" s="246">
        <f t="shared" si="654"/>
        <v>0</v>
      </c>
    </row>
    <row r="39467" spans="20:20" ht="18.75" customHeight="1" x14ac:dyDescent="0.35">
      <c r="T39467" s="246">
        <f t="shared" si="654"/>
        <v>0</v>
      </c>
    </row>
    <row r="39468" spans="20:20" ht="18.75" customHeight="1" x14ac:dyDescent="0.35">
      <c r="T39468" s="246">
        <f t="shared" si="654"/>
        <v>0</v>
      </c>
    </row>
    <row r="39469" spans="20:20" ht="18.75" customHeight="1" x14ac:dyDescent="0.35">
      <c r="T39469" s="246">
        <f t="shared" si="654"/>
        <v>0</v>
      </c>
    </row>
    <row r="39470" spans="20:20" ht="18.75" customHeight="1" x14ac:dyDescent="0.35">
      <c r="T39470" s="246">
        <f t="shared" si="654"/>
        <v>0</v>
      </c>
    </row>
    <row r="39471" spans="20:20" ht="18.75" customHeight="1" x14ac:dyDescent="0.35">
      <c r="T39471" s="246">
        <f t="shared" si="654"/>
        <v>0</v>
      </c>
    </row>
    <row r="39472" spans="20:20" ht="18.75" customHeight="1" x14ac:dyDescent="0.35">
      <c r="T39472" s="246">
        <f t="shared" si="654"/>
        <v>0</v>
      </c>
    </row>
    <row r="39473" spans="20:20" ht="18.75" customHeight="1" x14ac:dyDescent="0.35">
      <c r="T39473" s="246">
        <f t="shared" si="654"/>
        <v>0</v>
      </c>
    </row>
    <row r="39474" spans="20:20" ht="18.75" customHeight="1" x14ac:dyDescent="0.35">
      <c r="T39474" s="246">
        <f t="shared" si="654"/>
        <v>0</v>
      </c>
    </row>
    <row r="39475" spans="20:20" ht="18.75" customHeight="1" x14ac:dyDescent="0.35">
      <c r="T39475" s="246">
        <f t="shared" si="654"/>
        <v>0</v>
      </c>
    </row>
    <row r="39476" spans="20:20" ht="18.75" customHeight="1" x14ac:dyDescent="0.35">
      <c r="T39476" s="246">
        <f t="shared" si="654"/>
        <v>0</v>
      </c>
    </row>
    <row r="39477" spans="20:20" ht="18.75" customHeight="1" x14ac:dyDescent="0.35">
      <c r="T39477" s="246">
        <f t="shared" si="654"/>
        <v>0</v>
      </c>
    </row>
    <row r="39478" spans="20:20" ht="18.75" customHeight="1" x14ac:dyDescent="0.35">
      <c r="T39478" s="246">
        <f t="shared" si="654"/>
        <v>0</v>
      </c>
    </row>
    <row r="39479" spans="20:20" ht="18.75" customHeight="1" x14ac:dyDescent="0.35">
      <c r="T39479" s="246">
        <f t="shared" si="654"/>
        <v>0</v>
      </c>
    </row>
    <row r="39480" spans="20:20" ht="18.75" customHeight="1" x14ac:dyDescent="0.35">
      <c r="T39480" s="246">
        <f t="shared" si="654"/>
        <v>0</v>
      </c>
    </row>
    <row r="39481" spans="20:20" ht="18.75" customHeight="1" x14ac:dyDescent="0.35">
      <c r="T39481" s="246">
        <f t="shared" si="654"/>
        <v>0</v>
      </c>
    </row>
    <row r="39482" spans="20:20" ht="18.75" customHeight="1" x14ac:dyDescent="0.35">
      <c r="T39482" s="246">
        <f t="shared" si="654"/>
        <v>0</v>
      </c>
    </row>
    <row r="39483" spans="20:20" ht="18.75" customHeight="1" x14ac:dyDescent="0.35">
      <c r="T39483" s="246">
        <f t="shared" si="654"/>
        <v>0</v>
      </c>
    </row>
    <row r="39484" spans="20:20" ht="18.75" customHeight="1" x14ac:dyDescent="0.35">
      <c r="T39484" s="246">
        <f t="shared" ref="T39484:T39547" si="655">R39484*0.01</f>
        <v>0</v>
      </c>
    </row>
    <row r="39485" spans="20:20" ht="18.75" customHeight="1" x14ac:dyDescent="0.35">
      <c r="T39485" s="246">
        <f t="shared" si="655"/>
        <v>0</v>
      </c>
    </row>
    <row r="39486" spans="20:20" ht="18.75" customHeight="1" x14ac:dyDescent="0.35">
      <c r="T39486" s="246">
        <f t="shared" si="655"/>
        <v>0</v>
      </c>
    </row>
    <row r="39487" spans="20:20" ht="18.75" customHeight="1" x14ac:dyDescent="0.35">
      <c r="T39487" s="246">
        <f t="shared" si="655"/>
        <v>0</v>
      </c>
    </row>
    <row r="39488" spans="20:20" ht="18.75" customHeight="1" x14ac:dyDescent="0.35">
      <c r="T39488" s="246">
        <f t="shared" si="655"/>
        <v>0</v>
      </c>
    </row>
    <row r="39489" spans="20:20" ht="18.75" customHeight="1" x14ac:dyDescent="0.35">
      <c r="T39489" s="246">
        <f t="shared" si="655"/>
        <v>0</v>
      </c>
    </row>
    <row r="39490" spans="20:20" ht="18.75" customHeight="1" x14ac:dyDescent="0.35">
      <c r="T39490" s="246">
        <f t="shared" si="655"/>
        <v>0</v>
      </c>
    </row>
    <row r="39491" spans="20:20" ht="18.75" customHeight="1" x14ac:dyDescent="0.35">
      <c r="T39491" s="246">
        <f t="shared" si="655"/>
        <v>0</v>
      </c>
    </row>
    <row r="39492" spans="20:20" ht="18.75" customHeight="1" x14ac:dyDescent="0.35">
      <c r="T39492" s="246">
        <f t="shared" si="655"/>
        <v>0</v>
      </c>
    </row>
    <row r="39493" spans="20:20" ht="18.75" customHeight="1" x14ac:dyDescent="0.35">
      <c r="T39493" s="246">
        <f t="shared" si="655"/>
        <v>0</v>
      </c>
    </row>
    <row r="39494" spans="20:20" ht="18.75" customHeight="1" x14ac:dyDescent="0.35">
      <c r="T39494" s="246">
        <f t="shared" si="655"/>
        <v>0</v>
      </c>
    </row>
    <row r="39495" spans="20:20" ht="18.75" customHeight="1" x14ac:dyDescent="0.35">
      <c r="T39495" s="246">
        <f t="shared" si="655"/>
        <v>0</v>
      </c>
    </row>
    <row r="39496" spans="20:20" ht="18.75" customHeight="1" x14ac:dyDescent="0.35">
      <c r="T39496" s="246">
        <f t="shared" si="655"/>
        <v>0</v>
      </c>
    </row>
    <row r="39497" spans="20:20" ht="18.75" customHeight="1" x14ac:dyDescent="0.35">
      <c r="T39497" s="246">
        <f t="shared" si="655"/>
        <v>0</v>
      </c>
    </row>
    <row r="39498" spans="20:20" ht="18.75" customHeight="1" x14ac:dyDescent="0.35">
      <c r="T39498" s="246">
        <f t="shared" si="655"/>
        <v>0</v>
      </c>
    </row>
    <row r="39499" spans="20:20" ht="18.75" customHeight="1" x14ac:dyDescent="0.35">
      <c r="T39499" s="246">
        <f t="shared" si="655"/>
        <v>0</v>
      </c>
    </row>
    <row r="39500" spans="20:20" ht="18.75" customHeight="1" x14ac:dyDescent="0.35">
      <c r="T39500" s="246">
        <f t="shared" si="655"/>
        <v>0</v>
      </c>
    </row>
    <row r="39501" spans="20:20" ht="18.75" customHeight="1" x14ac:dyDescent="0.35">
      <c r="T39501" s="246">
        <f t="shared" si="655"/>
        <v>0</v>
      </c>
    </row>
    <row r="39502" spans="20:20" ht="18.75" customHeight="1" x14ac:dyDescent="0.35">
      <c r="T39502" s="246">
        <f t="shared" si="655"/>
        <v>0</v>
      </c>
    </row>
    <row r="39503" spans="20:20" ht="18.75" customHeight="1" x14ac:dyDescent="0.35">
      <c r="T39503" s="246">
        <f t="shared" si="655"/>
        <v>0</v>
      </c>
    </row>
    <row r="39504" spans="20:20" ht="18.75" customHeight="1" x14ac:dyDescent="0.35">
      <c r="T39504" s="246">
        <f t="shared" si="655"/>
        <v>0</v>
      </c>
    </row>
    <row r="39505" spans="20:20" ht="18.75" customHeight="1" x14ac:dyDescent="0.35">
      <c r="T39505" s="246">
        <f t="shared" si="655"/>
        <v>0</v>
      </c>
    </row>
    <row r="39506" spans="20:20" ht="18.75" customHeight="1" x14ac:dyDescent="0.35">
      <c r="T39506" s="246">
        <f t="shared" si="655"/>
        <v>0</v>
      </c>
    </row>
    <row r="39507" spans="20:20" ht="18.75" customHeight="1" x14ac:dyDescent="0.35">
      <c r="T39507" s="246">
        <f t="shared" si="655"/>
        <v>0</v>
      </c>
    </row>
    <row r="39508" spans="20:20" ht="18.75" customHeight="1" x14ac:dyDescent="0.35">
      <c r="T39508" s="246">
        <f t="shared" si="655"/>
        <v>0</v>
      </c>
    </row>
    <row r="39509" spans="20:20" ht="18.75" customHeight="1" x14ac:dyDescent="0.35">
      <c r="T39509" s="246">
        <f t="shared" si="655"/>
        <v>0</v>
      </c>
    </row>
    <row r="39510" spans="20:20" ht="18.75" customHeight="1" x14ac:dyDescent="0.35">
      <c r="T39510" s="246">
        <f t="shared" si="655"/>
        <v>0</v>
      </c>
    </row>
    <row r="39511" spans="20:20" ht="18.75" customHeight="1" x14ac:dyDescent="0.35">
      <c r="T39511" s="246">
        <f t="shared" si="655"/>
        <v>0</v>
      </c>
    </row>
    <row r="39512" spans="20:20" ht="18.75" customHeight="1" x14ac:dyDescent="0.35">
      <c r="T39512" s="246">
        <f t="shared" si="655"/>
        <v>0</v>
      </c>
    </row>
    <row r="39513" spans="20:20" ht="18.75" customHeight="1" x14ac:dyDescent="0.35">
      <c r="T39513" s="246">
        <f t="shared" si="655"/>
        <v>0</v>
      </c>
    </row>
    <row r="39514" spans="20:20" ht="18.75" customHeight="1" x14ac:dyDescent="0.35">
      <c r="T39514" s="246">
        <f t="shared" si="655"/>
        <v>0</v>
      </c>
    </row>
    <row r="39515" spans="20:20" ht="18.75" customHeight="1" x14ac:dyDescent="0.35">
      <c r="T39515" s="246">
        <f t="shared" si="655"/>
        <v>0</v>
      </c>
    </row>
    <row r="39516" spans="20:20" ht="18.75" customHeight="1" x14ac:dyDescent="0.35">
      <c r="T39516" s="246">
        <f t="shared" si="655"/>
        <v>0</v>
      </c>
    </row>
    <row r="39517" spans="20:20" ht="18.75" customHeight="1" x14ac:dyDescent="0.35">
      <c r="T39517" s="246">
        <f t="shared" si="655"/>
        <v>0</v>
      </c>
    </row>
    <row r="39518" spans="20:20" ht="18.75" customHeight="1" x14ac:dyDescent="0.35">
      <c r="T39518" s="246">
        <f t="shared" si="655"/>
        <v>0</v>
      </c>
    </row>
    <row r="39519" spans="20:20" ht="18.75" customHeight="1" x14ac:dyDescent="0.35">
      <c r="T39519" s="246">
        <f t="shared" si="655"/>
        <v>0</v>
      </c>
    </row>
    <row r="39520" spans="20:20" ht="18.75" customHeight="1" x14ac:dyDescent="0.35">
      <c r="T39520" s="246">
        <f t="shared" si="655"/>
        <v>0</v>
      </c>
    </row>
    <row r="39521" spans="20:20" ht="18.75" customHeight="1" x14ac:dyDescent="0.35">
      <c r="T39521" s="246">
        <f t="shared" si="655"/>
        <v>0</v>
      </c>
    </row>
    <row r="39522" spans="20:20" ht="18.75" customHeight="1" x14ac:dyDescent="0.35">
      <c r="T39522" s="246">
        <f t="shared" si="655"/>
        <v>0</v>
      </c>
    </row>
    <row r="39523" spans="20:20" ht="18.75" customHeight="1" x14ac:dyDescent="0.35">
      <c r="T39523" s="246">
        <f t="shared" si="655"/>
        <v>0</v>
      </c>
    </row>
    <row r="39524" spans="20:20" ht="18.75" customHeight="1" x14ac:dyDescent="0.35">
      <c r="T39524" s="246">
        <f t="shared" si="655"/>
        <v>0</v>
      </c>
    </row>
    <row r="39525" spans="20:20" ht="18.75" customHeight="1" x14ac:dyDescent="0.35">
      <c r="T39525" s="246">
        <f t="shared" si="655"/>
        <v>0</v>
      </c>
    </row>
    <row r="39526" spans="20:20" ht="18.75" customHeight="1" x14ac:dyDescent="0.35">
      <c r="T39526" s="246">
        <f t="shared" si="655"/>
        <v>0</v>
      </c>
    </row>
    <row r="39527" spans="20:20" ht="18.75" customHeight="1" x14ac:dyDescent="0.35">
      <c r="T39527" s="246">
        <f t="shared" si="655"/>
        <v>0</v>
      </c>
    </row>
    <row r="39528" spans="20:20" ht="18.75" customHeight="1" x14ac:dyDescent="0.35">
      <c r="T39528" s="246">
        <f t="shared" si="655"/>
        <v>0</v>
      </c>
    </row>
    <row r="39529" spans="20:20" ht="18.75" customHeight="1" x14ac:dyDescent="0.35">
      <c r="T39529" s="246">
        <f t="shared" si="655"/>
        <v>0</v>
      </c>
    </row>
    <row r="39530" spans="20:20" ht="18.75" customHeight="1" x14ac:dyDescent="0.35">
      <c r="T39530" s="246">
        <f t="shared" si="655"/>
        <v>0</v>
      </c>
    </row>
    <row r="39531" spans="20:20" ht="18.75" customHeight="1" x14ac:dyDescent="0.35">
      <c r="T39531" s="246">
        <f t="shared" si="655"/>
        <v>0</v>
      </c>
    </row>
    <row r="39532" spans="20:20" ht="18.75" customHeight="1" x14ac:dyDescent="0.35">
      <c r="T39532" s="246">
        <f t="shared" si="655"/>
        <v>0</v>
      </c>
    </row>
    <row r="39533" spans="20:20" ht="18.75" customHeight="1" x14ac:dyDescent="0.35">
      <c r="T39533" s="246">
        <f t="shared" si="655"/>
        <v>0</v>
      </c>
    </row>
    <row r="39534" spans="20:20" ht="18.75" customHeight="1" x14ac:dyDescent="0.35">
      <c r="T39534" s="246">
        <f t="shared" si="655"/>
        <v>0</v>
      </c>
    </row>
    <row r="39535" spans="20:20" ht="18.75" customHeight="1" x14ac:dyDescent="0.35">
      <c r="T39535" s="246">
        <f t="shared" si="655"/>
        <v>0</v>
      </c>
    </row>
    <row r="39536" spans="20:20" ht="18.75" customHeight="1" x14ac:dyDescent="0.35">
      <c r="T39536" s="246">
        <f t="shared" si="655"/>
        <v>0</v>
      </c>
    </row>
    <row r="39537" spans="20:20" ht="18.75" customHeight="1" x14ac:dyDescent="0.35">
      <c r="T39537" s="246">
        <f t="shared" si="655"/>
        <v>0</v>
      </c>
    </row>
    <row r="39538" spans="20:20" ht="18.75" customHeight="1" x14ac:dyDescent="0.35">
      <c r="T39538" s="246">
        <f t="shared" si="655"/>
        <v>0</v>
      </c>
    </row>
    <row r="39539" spans="20:20" ht="18.75" customHeight="1" x14ac:dyDescent="0.35">
      <c r="T39539" s="246">
        <f t="shared" si="655"/>
        <v>0</v>
      </c>
    </row>
    <row r="39540" spans="20:20" ht="18.75" customHeight="1" x14ac:dyDescent="0.35">
      <c r="T39540" s="246">
        <f t="shared" si="655"/>
        <v>0</v>
      </c>
    </row>
    <row r="39541" spans="20:20" ht="18.75" customHeight="1" x14ac:dyDescent="0.35">
      <c r="T39541" s="246">
        <f t="shared" si="655"/>
        <v>0</v>
      </c>
    </row>
    <row r="39542" spans="20:20" ht="18.75" customHeight="1" x14ac:dyDescent="0.35">
      <c r="T39542" s="246">
        <f t="shared" si="655"/>
        <v>0</v>
      </c>
    </row>
    <row r="39543" spans="20:20" ht="18.75" customHeight="1" x14ac:dyDescent="0.35">
      <c r="T39543" s="246">
        <f t="shared" si="655"/>
        <v>0</v>
      </c>
    </row>
    <row r="39544" spans="20:20" ht="18.75" customHeight="1" x14ac:dyDescent="0.35">
      <c r="T39544" s="246">
        <f t="shared" si="655"/>
        <v>0</v>
      </c>
    </row>
    <row r="39545" spans="20:20" ht="18.75" customHeight="1" x14ac:dyDescent="0.35">
      <c r="T39545" s="246">
        <f t="shared" si="655"/>
        <v>0</v>
      </c>
    </row>
    <row r="39546" spans="20:20" ht="18.75" customHeight="1" x14ac:dyDescent="0.35">
      <c r="T39546" s="246">
        <f t="shared" si="655"/>
        <v>0</v>
      </c>
    </row>
    <row r="39547" spans="20:20" ht="18.75" customHeight="1" x14ac:dyDescent="0.35">
      <c r="T39547" s="246">
        <f t="shared" si="655"/>
        <v>0</v>
      </c>
    </row>
    <row r="39548" spans="20:20" ht="18.75" customHeight="1" x14ac:dyDescent="0.35">
      <c r="T39548" s="246">
        <f t="shared" ref="T39548:T39611" si="656">R39548*0.01</f>
        <v>0</v>
      </c>
    </row>
    <row r="39549" spans="20:20" ht="18.75" customHeight="1" x14ac:dyDescent="0.35">
      <c r="T39549" s="246">
        <f t="shared" si="656"/>
        <v>0</v>
      </c>
    </row>
    <row r="39550" spans="20:20" ht="18.75" customHeight="1" x14ac:dyDescent="0.35">
      <c r="T39550" s="246">
        <f t="shared" si="656"/>
        <v>0</v>
      </c>
    </row>
    <row r="39551" spans="20:20" ht="18.75" customHeight="1" x14ac:dyDescent="0.35">
      <c r="T39551" s="246">
        <f t="shared" si="656"/>
        <v>0</v>
      </c>
    </row>
    <row r="39552" spans="20:20" ht="18.75" customHeight="1" x14ac:dyDescent="0.35">
      <c r="T39552" s="246">
        <f t="shared" si="656"/>
        <v>0</v>
      </c>
    </row>
    <row r="39553" spans="20:20" ht="18.75" customHeight="1" x14ac:dyDescent="0.35">
      <c r="T39553" s="246">
        <f t="shared" si="656"/>
        <v>0</v>
      </c>
    </row>
    <row r="39554" spans="20:20" ht="18.75" customHeight="1" x14ac:dyDescent="0.35">
      <c r="T39554" s="246">
        <f t="shared" si="656"/>
        <v>0</v>
      </c>
    </row>
    <row r="39555" spans="20:20" ht="18.75" customHeight="1" x14ac:dyDescent="0.35">
      <c r="T39555" s="246">
        <f t="shared" si="656"/>
        <v>0</v>
      </c>
    </row>
    <row r="39556" spans="20:20" ht="18.75" customHeight="1" x14ac:dyDescent="0.35">
      <c r="T39556" s="246">
        <f t="shared" si="656"/>
        <v>0</v>
      </c>
    </row>
    <row r="39557" spans="20:20" ht="18.75" customHeight="1" x14ac:dyDescent="0.35">
      <c r="T39557" s="246">
        <f t="shared" si="656"/>
        <v>0</v>
      </c>
    </row>
    <row r="39558" spans="20:20" ht="18.75" customHeight="1" x14ac:dyDescent="0.35">
      <c r="T39558" s="246">
        <f t="shared" si="656"/>
        <v>0</v>
      </c>
    </row>
    <row r="39559" spans="20:20" ht="18.75" customHeight="1" x14ac:dyDescent="0.35">
      <c r="T39559" s="246">
        <f t="shared" si="656"/>
        <v>0</v>
      </c>
    </row>
    <row r="39560" spans="20:20" ht="18.75" customHeight="1" x14ac:dyDescent="0.35">
      <c r="T39560" s="246">
        <f t="shared" si="656"/>
        <v>0</v>
      </c>
    </row>
    <row r="39561" spans="20:20" ht="18.75" customHeight="1" x14ac:dyDescent="0.35">
      <c r="T39561" s="246">
        <f t="shared" si="656"/>
        <v>0</v>
      </c>
    </row>
    <row r="39562" spans="20:20" ht="18.75" customHeight="1" x14ac:dyDescent="0.35">
      <c r="T39562" s="246">
        <f t="shared" si="656"/>
        <v>0</v>
      </c>
    </row>
    <row r="39563" spans="20:20" ht="18.75" customHeight="1" x14ac:dyDescent="0.35">
      <c r="T39563" s="246">
        <f t="shared" si="656"/>
        <v>0</v>
      </c>
    </row>
    <row r="39564" spans="20:20" ht="18.75" customHeight="1" x14ac:dyDescent="0.35">
      <c r="T39564" s="246">
        <f t="shared" si="656"/>
        <v>0</v>
      </c>
    </row>
    <row r="39565" spans="20:20" ht="18.75" customHeight="1" x14ac:dyDescent="0.35">
      <c r="T39565" s="246">
        <f t="shared" si="656"/>
        <v>0</v>
      </c>
    </row>
    <row r="39566" spans="20:20" ht="18.75" customHeight="1" x14ac:dyDescent="0.35">
      <c r="T39566" s="246">
        <f t="shared" si="656"/>
        <v>0</v>
      </c>
    </row>
    <row r="39567" spans="20:20" ht="18.75" customHeight="1" x14ac:dyDescent="0.35">
      <c r="T39567" s="246">
        <f t="shared" si="656"/>
        <v>0</v>
      </c>
    </row>
    <row r="39568" spans="20:20" ht="18.75" customHeight="1" x14ac:dyDescent="0.35">
      <c r="T39568" s="246">
        <f t="shared" si="656"/>
        <v>0</v>
      </c>
    </row>
    <row r="39569" spans="20:20" ht="18.75" customHeight="1" x14ac:dyDescent="0.35">
      <c r="T39569" s="246">
        <f t="shared" si="656"/>
        <v>0</v>
      </c>
    </row>
    <row r="39570" spans="20:20" ht="18.75" customHeight="1" x14ac:dyDescent="0.35">
      <c r="T39570" s="246">
        <f t="shared" si="656"/>
        <v>0</v>
      </c>
    </row>
    <row r="39571" spans="20:20" ht="18.75" customHeight="1" x14ac:dyDescent="0.35">
      <c r="T39571" s="246">
        <f t="shared" si="656"/>
        <v>0</v>
      </c>
    </row>
    <row r="39572" spans="20:20" ht="18.75" customHeight="1" x14ac:dyDescent="0.35">
      <c r="T39572" s="246">
        <f t="shared" si="656"/>
        <v>0</v>
      </c>
    </row>
    <row r="39573" spans="20:20" ht="18.75" customHeight="1" x14ac:dyDescent="0.35">
      <c r="T39573" s="246">
        <f t="shared" si="656"/>
        <v>0</v>
      </c>
    </row>
    <row r="39574" spans="20:20" ht="18.75" customHeight="1" x14ac:dyDescent="0.35">
      <c r="T39574" s="246">
        <f t="shared" si="656"/>
        <v>0</v>
      </c>
    </row>
    <row r="39575" spans="20:20" ht="18.75" customHeight="1" x14ac:dyDescent="0.35">
      <c r="T39575" s="246">
        <f t="shared" si="656"/>
        <v>0</v>
      </c>
    </row>
    <row r="39576" spans="20:20" ht="18.75" customHeight="1" x14ac:dyDescent="0.35">
      <c r="T39576" s="246">
        <f t="shared" si="656"/>
        <v>0</v>
      </c>
    </row>
    <row r="39577" spans="20:20" ht="18.75" customHeight="1" x14ac:dyDescent="0.35">
      <c r="T39577" s="246">
        <f t="shared" si="656"/>
        <v>0</v>
      </c>
    </row>
    <row r="39578" spans="20:20" ht="18.75" customHeight="1" x14ac:dyDescent="0.35">
      <c r="T39578" s="246">
        <f t="shared" si="656"/>
        <v>0</v>
      </c>
    </row>
    <row r="39579" spans="20:20" ht="18.75" customHeight="1" x14ac:dyDescent="0.35">
      <c r="T39579" s="246">
        <f t="shared" si="656"/>
        <v>0</v>
      </c>
    </row>
    <row r="39580" spans="20:20" ht="18.75" customHeight="1" x14ac:dyDescent="0.35">
      <c r="T39580" s="246">
        <f t="shared" si="656"/>
        <v>0</v>
      </c>
    </row>
    <row r="39581" spans="20:20" ht="18.75" customHeight="1" x14ac:dyDescent="0.35">
      <c r="T39581" s="246">
        <f t="shared" si="656"/>
        <v>0</v>
      </c>
    </row>
    <row r="39582" spans="20:20" ht="18.75" customHeight="1" x14ac:dyDescent="0.35">
      <c r="T39582" s="246">
        <f t="shared" si="656"/>
        <v>0</v>
      </c>
    </row>
    <row r="39583" spans="20:20" ht="18.75" customHeight="1" x14ac:dyDescent="0.35">
      <c r="T39583" s="246">
        <f t="shared" si="656"/>
        <v>0</v>
      </c>
    </row>
    <row r="39584" spans="20:20" ht="18.75" customHeight="1" x14ac:dyDescent="0.35">
      <c r="T39584" s="246">
        <f t="shared" si="656"/>
        <v>0</v>
      </c>
    </row>
    <row r="39585" spans="20:20" ht="18.75" customHeight="1" x14ac:dyDescent="0.35">
      <c r="T39585" s="246">
        <f t="shared" si="656"/>
        <v>0</v>
      </c>
    </row>
    <row r="39586" spans="20:20" ht="18.75" customHeight="1" x14ac:dyDescent="0.35">
      <c r="T39586" s="246">
        <f t="shared" si="656"/>
        <v>0</v>
      </c>
    </row>
    <row r="39587" spans="20:20" ht="18.75" customHeight="1" x14ac:dyDescent="0.35">
      <c r="T39587" s="246">
        <f t="shared" si="656"/>
        <v>0</v>
      </c>
    </row>
    <row r="39588" spans="20:20" ht="18.75" customHeight="1" x14ac:dyDescent="0.35">
      <c r="T39588" s="246">
        <f t="shared" si="656"/>
        <v>0</v>
      </c>
    </row>
    <row r="39589" spans="20:20" ht="18.75" customHeight="1" x14ac:dyDescent="0.35">
      <c r="T39589" s="246">
        <f t="shared" si="656"/>
        <v>0</v>
      </c>
    </row>
    <row r="39590" spans="20:20" ht="18.75" customHeight="1" x14ac:dyDescent="0.35">
      <c r="T39590" s="246">
        <f t="shared" si="656"/>
        <v>0</v>
      </c>
    </row>
    <row r="39591" spans="20:20" ht="18.75" customHeight="1" x14ac:dyDescent="0.35">
      <c r="T39591" s="246">
        <f t="shared" si="656"/>
        <v>0</v>
      </c>
    </row>
    <row r="39592" spans="20:20" ht="18.75" customHeight="1" x14ac:dyDescent="0.35">
      <c r="T39592" s="246">
        <f t="shared" si="656"/>
        <v>0</v>
      </c>
    </row>
    <row r="39593" spans="20:20" ht="18.75" customHeight="1" x14ac:dyDescent="0.35">
      <c r="T39593" s="246">
        <f t="shared" si="656"/>
        <v>0</v>
      </c>
    </row>
    <row r="39594" spans="20:20" ht="18.75" customHeight="1" x14ac:dyDescent="0.35">
      <c r="T39594" s="246">
        <f t="shared" si="656"/>
        <v>0</v>
      </c>
    </row>
    <row r="39595" spans="20:20" ht="18.75" customHeight="1" x14ac:dyDescent="0.35">
      <c r="T39595" s="246">
        <f t="shared" si="656"/>
        <v>0</v>
      </c>
    </row>
    <row r="39596" spans="20:20" ht="18.75" customHeight="1" x14ac:dyDescent="0.35">
      <c r="T39596" s="246">
        <f t="shared" si="656"/>
        <v>0</v>
      </c>
    </row>
    <row r="39597" spans="20:20" ht="18.75" customHeight="1" x14ac:dyDescent="0.35">
      <c r="T39597" s="246">
        <f t="shared" si="656"/>
        <v>0</v>
      </c>
    </row>
    <row r="39598" spans="20:20" ht="18.75" customHeight="1" x14ac:dyDescent="0.35">
      <c r="T39598" s="246">
        <f t="shared" si="656"/>
        <v>0</v>
      </c>
    </row>
    <row r="39599" spans="20:20" ht="18.75" customHeight="1" x14ac:dyDescent="0.35">
      <c r="T39599" s="246">
        <f t="shared" si="656"/>
        <v>0</v>
      </c>
    </row>
    <row r="39600" spans="20:20" ht="18.75" customHeight="1" x14ac:dyDescent="0.35">
      <c r="T39600" s="246">
        <f t="shared" si="656"/>
        <v>0</v>
      </c>
    </row>
    <row r="39601" spans="20:20" ht="18.75" customHeight="1" x14ac:dyDescent="0.35">
      <c r="T39601" s="246">
        <f t="shared" si="656"/>
        <v>0</v>
      </c>
    </row>
    <row r="39602" spans="20:20" ht="18.75" customHeight="1" x14ac:dyDescent="0.35">
      <c r="T39602" s="246">
        <f t="shared" si="656"/>
        <v>0</v>
      </c>
    </row>
    <row r="39603" spans="20:20" ht="18.75" customHeight="1" x14ac:dyDescent="0.35">
      <c r="T39603" s="246">
        <f t="shared" si="656"/>
        <v>0</v>
      </c>
    </row>
    <row r="39604" spans="20:20" ht="18.75" customHeight="1" x14ac:dyDescent="0.35">
      <c r="T39604" s="246">
        <f t="shared" si="656"/>
        <v>0</v>
      </c>
    </row>
    <row r="39605" spans="20:20" ht="18.75" customHeight="1" x14ac:dyDescent="0.35">
      <c r="T39605" s="246">
        <f t="shared" si="656"/>
        <v>0</v>
      </c>
    </row>
    <row r="39606" spans="20:20" ht="18.75" customHeight="1" x14ac:dyDescent="0.35">
      <c r="T39606" s="246">
        <f t="shared" si="656"/>
        <v>0</v>
      </c>
    </row>
    <row r="39607" spans="20:20" ht="18.75" customHeight="1" x14ac:dyDescent="0.35">
      <c r="T39607" s="246">
        <f t="shared" si="656"/>
        <v>0</v>
      </c>
    </row>
    <row r="39608" spans="20:20" ht="18.75" customHeight="1" x14ac:dyDescent="0.35">
      <c r="T39608" s="246">
        <f t="shared" si="656"/>
        <v>0</v>
      </c>
    </row>
    <row r="39609" spans="20:20" ht="18.75" customHeight="1" x14ac:dyDescent="0.35">
      <c r="T39609" s="246">
        <f t="shared" si="656"/>
        <v>0</v>
      </c>
    </row>
    <row r="39610" spans="20:20" ht="18.75" customHeight="1" x14ac:dyDescent="0.35">
      <c r="T39610" s="246">
        <f t="shared" si="656"/>
        <v>0</v>
      </c>
    </row>
    <row r="39611" spans="20:20" ht="18.75" customHeight="1" x14ac:dyDescent="0.35">
      <c r="T39611" s="246">
        <f t="shared" si="656"/>
        <v>0</v>
      </c>
    </row>
    <row r="39612" spans="20:20" ht="18.75" customHeight="1" x14ac:dyDescent="0.35">
      <c r="T39612" s="246">
        <f t="shared" ref="T39612:T39675" si="657">R39612*0.01</f>
        <v>0</v>
      </c>
    </row>
    <row r="39613" spans="20:20" ht="18.75" customHeight="1" x14ac:dyDescent="0.35">
      <c r="T39613" s="246">
        <f t="shared" si="657"/>
        <v>0</v>
      </c>
    </row>
    <row r="39614" spans="20:20" ht="18.75" customHeight="1" x14ac:dyDescent="0.35">
      <c r="T39614" s="246">
        <f t="shared" si="657"/>
        <v>0</v>
      </c>
    </row>
    <row r="39615" spans="20:20" ht="18.75" customHeight="1" x14ac:dyDescent="0.35">
      <c r="T39615" s="246">
        <f t="shared" si="657"/>
        <v>0</v>
      </c>
    </row>
    <row r="39616" spans="20:20" ht="18.75" customHeight="1" x14ac:dyDescent="0.35">
      <c r="T39616" s="246">
        <f t="shared" si="657"/>
        <v>0</v>
      </c>
    </row>
    <row r="39617" spans="20:20" ht="18.75" customHeight="1" x14ac:dyDescent="0.35">
      <c r="T39617" s="246">
        <f t="shared" si="657"/>
        <v>0</v>
      </c>
    </row>
    <row r="39618" spans="20:20" ht="18.75" customHeight="1" x14ac:dyDescent="0.35">
      <c r="T39618" s="246">
        <f t="shared" si="657"/>
        <v>0</v>
      </c>
    </row>
    <row r="39619" spans="20:20" ht="18.75" customHeight="1" x14ac:dyDescent="0.35">
      <c r="T39619" s="246">
        <f t="shared" si="657"/>
        <v>0</v>
      </c>
    </row>
    <row r="39620" spans="20:20" ht="18.75" customHeight="1" x14ac:dyDescent="0.35">
      <c r="T39620" s="246">
        <f t="shared" si="657"/>
        <v>0</v>
      </c>
    </row>
    <row r="39621" spans="20:20" ht="18.75" customHeight="1" x14ac:dyDescent="0.35">
      <c r="T39621" s="246">
        <f t="shared" si="657"/>
        <v>0</v>
      </c>
    </row>
    <row r="39622" spans="20:20" ht="18.75" customHeight="1" x14ac:dyDescent="0.35">
      <c r="T39622" s="246">
        <f t="shared" si="657"/>
        <v>0</v>
      </c>
    </row>
    <row r="39623" spans="20:20" ht="18.75" customHeight="1" x14ac:dyDescent="0.35">
      <c r="T39623" s="246">
        <f t="shared" si="657"/>
        <v>0</v>
      </c>
    </row>
    <row r="39624" spans="20:20" ht="18.75" customHeight="1" x14ac:dyDescent="0.35">
      <c r="T39624" s="246">
        <f t="shared" si="657"/>
        <v>0</v>
      </c>
    </row>
    <row r="39625" spans="20:20" ht="18.75" customHeight="1" x14ac:dyDescent="0.35">
      <c r="T39625" s="246">
        <f t="shared" si="657"/>
        <v>0</v>
      </c>
    </row>
    <row r="39626" spans="20:20" ht="18.75" customHeight="1" x14ac:dyDescent="0.35">
      <c r="T39626" s="246">
        <f t="shared" si="657"/>
        <v>0</v>
      </c>
    </row>
    <row r="39627" spans="20:20" ht="18.75" customHeight="1" x14ac:dyDescent="0.35">
      <c r="T39627" s="246">
        <f t="shared" si="657"/>
        <v>0</v>
      </c>
    </row>
    <row r="39628" spans="20:20" ht="18.75" customHeight="1" x14ac:dyDescent="0.35">
      <c r="T39628" s="246">
        <f t="shared" si="657"/>
        <v>0</v>
      </c>
    </row>
    <row r="39629" spans="20:20" ht="18.75" customHeight="1" x14ac:dyDescent="0.35">
      <c r="T39629" s="246">
        <f t="shared" si="657"/>
        <v>0</v>
      </c>
    </row>
    <row r="39630" spans="20:20" ht="18.75" customHeight="1" x14ac:dyDescent="0.35">
      <c r="T39630" s="246">
        <f t="shared" si="657"/>
        <v>0</v>
      </c>
    </row>
    <row r="39631" spans="20:20" ht="18.75" customHeight="1" x14ac:dyDescent="0.35">
      <c r="T39631" s="246">
        <f t="shared" si="657"/>
        <v>0</v>
      </c>
    </row>
    <row r="39632" spans="20:20" ht="18.75" customHeight="1" x14ac:dyDescent="0.35">
      <c r="T39632" s="246">
        <f t="shared" si="657"/>
        <v>0</v>
      </c>
    </row>
    <row r="39633" spans="20:20" ht="18.75" customHeight="1" x14ac:dyDescent="0.35">
      <c r="T39633" s="246">
        <f t="shared" si="657"/>
        <v>0</v>
      </c>
    </row>
    <row r="39634" spans="20:20" ht="18.75" customHeight="1" x14ac:dyDescent="0.35">
      <c r="T39634" s="246">
        <f t="shared" si="657"/>
        <v>0</v>
      </c>
    </row>
    <row r="39635" spans="20:20" ht="18.75" customHeight="1" x14ac:dyDescent="0.35">
      <c r="T39635" s="246">
        <f t="shared" si="657"/>
        <v>0</v>
      </c>
    </row>
    <row r="39636" spans="20:20" ht="18.75" customHeight="1" x14ac:dyDescent="0.35">
      <c r="T39636" s="246">
        <f t="shared" si="657"/>
        <v>0</v>
      </c>
    </row>
    <row r="39637" spans="20:20" ht="18.75" customHeight="1" x14ac:dyDescent="0.35">
      <c r="T39637" s="246">
        <f t="shared" si="657"/>
        <v>0</v>
      </c>
    </row>
    <row r="39638" spans="20:20" ht="18.75" customHeight="1" x14ac:dyDescent="0.35">
      <c r="T39638" s="246">
        <f t="shared" si="657"/>
        <v>0</v>
      </c>
    </row>
    <row r="39639" spans="20:20" ht="18.75" customHeight="1" x14ac:dyDescent="0.35">
      <c r="T39639" s="246">
        <f t="shared" si="657"/>
        <v>0</v>
      </c>
    </row>
    <row r="39640" spans="20:20" ht="18.75" customHeight="1" x14ac:dyDescent="0.35">
      <c r="T39640" s="246">
        <f t="shared" si="657"/>
        <v>0</v>
      </c>
    </row>
    <row r="39641" spans="20:20" ht="18.75" customHeight="1" x14ac:dyDescent="0.35">
      <c r="T39641" s="246">
        <f t="shared" si="657"/>
        <v>0</v>
      </c>
    </row>
    <row r="39642" spans="20:20" ht="18.75" customHeight="1" x14ac:dyDescent="0.35">
      <c r="T39642" s="246">
        <f t="shared" si="657"/>
        <v>0</v>
      </c>
    </row>
    <row r="39643" spans="20:20" ht="18.75" customHeight="1" x14ac:dyDescent="0.35">
      <c r="T39643" s="246">
        <f t="shared" si="657"/>
        <v>0</v>
      </c>
    </row>
    <row r="39644" spans="20:20" ht="18.75" customHeight="1" x14ac:dyDescent="0.35">
      <c r="T39644" s="246">
        <f t="shared" si="657"/>
        <v>0</v>
      </c>
    </row>
    <row r="39645" spans="20:20" ht="18.75" customHeight="1" x14ac:dyDescent="0.35">
      <c r="T39645" s="246">
        <f t="shared" si="657"/>
        <v>0</v>
      </c>
    </row>
    <row r="39646" spans="20:20" ht="18.75" customHeight="1" x14ac:dyDescent="0.35">
      <c r="T39646" s="246">
        <f t="shared" si="657"/>
        <v>0</v>
      </c>
    </row>
    <row r="39647" spans="20:20" ht="18.75" customHeight="1" x14ac:dyDescent="0.35">
      <c r="T39647" s="246">
        <f t="shared" si="657"/>
        <v>0</v>
      </c>
    </row>
    <row r="39648" spans="20:20" ht="18.75" customHeight="1" x14ac:dyDescent="0.35">
      <c r="T39648" s="246">
        <f t="shared" si="657"/>
        <v>0</v>
      </c>
    </row>
    <row r="39649" spans="20:20" ht="18.75" customHeight="1" x14ac:dyDescent="0.35">
      <c r="T39649" s="246">
        <f t="shared" si="657"/>
        <v>0</v>
      </c>
    </row>
    <row r="39650" spans="20:20" ht="18.75" customHeight="1" x14ac:dyDescent="0.35">
      <c r="T39650" s="246">
        <f t="shared" si="657"/>
        <v>0</v>
      </c>
    </row>
    <row r="39651" spans="20:20" ht="18.75" customHeight="1" x14ac:dyDescent="0.35">
      <c r="T39651" s="246">
        <f t="shared" si="657"/>
        <v>0</v>
      </c>
    </row>
    <row r="39652" spans="20:20" ht="18.75" customHeight="1" x14ac:dyDescent="0.35">
      <c r="T39652" s="246">
        <f t="shared" si="657"/>
        <v>0</v>
      </c>
    </row>
    <row r="39653" spans="20:20" ht="18.75" customHeight="1" x14ac:dyDescent="0.35">
      <c r="T39653" s="246">
        <f t="shared" si="657"/>
        <v>0</v>
      </c>
    </row>
    <row r="39654" spans="20:20" ht="18.75" customHeight="1" x14ac:dyDescent="0.35">
      <c r="T39654" s="246">
        <f t="shared" si="657"/>
        <v>0</v>
      </c>
    </row>
    <row r="39655" spans="20:20" ht="18.75" customHeight="1" x14ac:dyDescent="0.35">
      <c r="T39655" s="246">
        <f t="shared" si="657"/>
        <v>0</v>
      </c>
    </row>
    <row r="39656" spans="20:20" ht="18.75" customHeight="1" x14ac:dyDescent="0.35">
      <c r="T39656" s="246">
        <f t="shared" si="657"/>
        <v>0</v>
      </c>
    </row>
    <row r="39657" spans="20:20" ht="18.75" customHeight="1" x14ac:dyDescent="0.35">
      <c r="T39657" s="246">
        <f t="shared" si="657"/>
        <v>0</v>
      </c>
    </row>
    <row r="39658" spans="20:20" ht="18.75" customHeight="1" x14ac:dyDescent="0.35">
      <c r="T39658" s="246">
        <f t="shared" si="657"/>
        <v>0</v>
      </c>
    </row>
    <row r="39659" spans="20:20" ht="18.75" customHeight="1" x14ac:dyDescent="0.35">
      <c r="T39659" s="246">
        <f t="shared" si="657"/>
        <v>0</v>
      </c>
    </row>
    <row r="39660" spans="20:20" ht="18.75" customHeight="1" x14ac:dyDescent="0.35">
      <c r="T39660" s="246">
        <f t="shared" si="657"/>
        <v>0</v>
      </c>
    </row>
    <row r="39661" spans="20:20" ht="18.75" customHeight="1" x14ac:dyDescent="0.35">
      <c r="T39661" s="246">
        <f t="shared" si="657"/>
        <v>0</v>
      </c>
    </row>
    <row r="39662" spans="20:20" ht="18.75" customHeight="1" x14ac:dyDescent="0.35">
      <c r="T39662" s="246">
        <f t="shared" si="657"/>
        <v>0</v>
      </c>
    </row>
    <row r="39663" spans="20:20" ht="18.75" customHeight="1" x14ac:dyDescent="0.35">
      <c r="T39663" s="246">
        <f t="shared" si="657"/>
        <v>0</v>
      </c>
    </row>
    <row r="39664" spans="20:20" ht="18.75" customHeight="1" x14ac:dyDescent="0.35">
      <c r="T39664" s="246">
        <f t="shared" si="657"/>
        <v>0</v>
      </c>
    </row>
    <row r="39665" spans="20:20" ht="18.75" customHeight="1" x14ac:dyDescent="0.35">
      <c r="T39665" s="246">
        <f t="shared" si="657"/>
        <v>0</v>
      </c>
    </row>
    <row r="39666" spans="20:20" ht="18.75" customHeight="1" x14ac:dyDescent="0.35">
      <c r="T39666" s="246">
        <f t="shared" si="657"/>
        <v>0</v>
      </c>
    </row>
    <row r="39667" spans="20:20" ht="18.75" customHeight="1" x14ac:dyDescent="0.35">
      <c r="T39667" s="246">
        <f t="shared" si="657"/>
        <v>0</v>
      </c>
    </row>
    <row r="39668" spans="20:20" ht="18.75" customHeight="1" x14ac:dyDescent="0.35">
      <c r="T39668" s="246">
        <f t="shared" si="657"/>
        <v>0</v>
      </c>
    </row>
    <row r="39669" spans="20:20" ht="18.75" customHeight="1" x14ac:dyDescent="0.35">
      <c r="T39669" s="246">
        <f t="shared" si="657"/>
        <v>0</v>
      </c>
    </row>
    <row r="39670" spans="20:20" ht="18.75" customHeight="1" x14ac:dyDescent="0.35">
      <c r="T39670" s="246">
        <f t="shared" si="657"/>
        <v>0</v>
      </c>
    </row>
    <row r="39671" spans="20:20" ht="18.75" customHeight="1" x14ac:dyDescent="0.35">
      <c r="T39671" s="246">
        <f t="shared" si="657"/>
        <v>0</v>
      </c>
    </row>
    <row r="39672" spans="20:20" ht="18.75" customHeight="1" x14ac:dyDescent="0.35">
      <c r="T39672" s="246">
        <f t="shared" si="657"/>
        <v>0</v>
      </c>
    </row>
    <row r="39673" spans="20:20" ht="18.75" customHeight="1" x14ac:dyDescent="0.35">
      <c r="T39673" s="246">
        <f t="shared" si="657"/>
        <v>0</v>
      </c>
    </row>
    <row r="39674" spans="20:20" ht="18.75" customHeight="1" x14ac:dyDescent="0.35">
      <c r="T39674" s="246">
        <f t="shared" si="657"/>
        <v>0</v>
      </c>
    </row>
    <row r="39675" spans="20:20" ht="18.75" customHeight="1" x14ac:dyDescent="0.35">
      <c r="T39675" s="246">
        <f t="shared" si="657"/>
        <v>0</v>
      </c>
    </row>
    <row r="39676" spans="20:20" ht="18.75" customHeight="1" x14ac:dyDescent="0.35">
      <c r="T39676" s="246">
        <f t="shared" ref="T39676:T39739" si="658">R39676*0.01</f>
        <v>0</v>
      </c>
    </row>
    <row r="39677" spans="20:20" ht="18.75" customHeight="1" x14ac:dyDescent="0.35">
      <c r="T39677" s="246">
        <f t="shared" si="658"/>
        <v>0</v>
      </c>
    </row>
    <row r="39678" spans="20:20" ht="18.75" customHeight="1" x14ac:dyDescent="0.35">
      <c r="T39678" s="246">
        <f t="shared" si="658"/>
        <v>0</v>
      </c>
    </row>
    <row r="39679" spans="20:20" ht="18.75" customHeight="1" x14ac:dyDescent="0.35">
      <c r="T39679" s="246">
        <f t="shared" si="658"/>
        <v>0</v>
      </c>
    </row>
    <row r="39680" spans="20:20" ht="18.75" customHeight="1" x14ac:dyDescent="0.35">
      <c r="T39680" s="246">
        <f t="shared" si="658"/>
        <v>0</v>
      </c>
    </row>
    <row r="39681" spans="20:20" ht="18.75" customHeight="1" x14ac:dyDescent="0.35">
      <c r="T39681" s="246">
        <f t="shared" si="658"/>
        <v>0</v>
      </c>
    </row>
    <row r="39682" spans="20:20" ht="18.75" customHeight="1" x14ac:dyDescent="0.35">
      <c r="T39682" s="246">
        <f t="shared" si="658"/>
        <v>0</v>
      </c>
    </row>
    <row r="39683" spans="20:20" ht="18.75" customHeight="1" x14ac:dyDescent="0.35">
      <c r="T39683" s="246">
        <f t="shared" si="658"/>
        <v>0</v>
      </c>
    </row>
    <row r="39684" spans="20:20" ht="18.75" customHeight="1" x14ac:dyDescent="0.35">
      <c r="T39684" s="246">
        <f t="shared" si="658"/>
        <v>0</v>
      </c>
    </row>
    <row r="39685" spans="20:20" ht="18.75" customHeight="1" x14ac:dyDescent="0.35">
      <c r="T39685" s="246">
        <f t="shared" si="658"/>
        <v>0</v>
      </c>
    </row>
    <row r="39686" spans="20:20" ht="18.75" customHeight="1" x14ac:dyDescent="0.35">
      <c r="T39686" s="246">
        <f t="shared" si="658"/>
        <v>0</v>
      </c>
    </row>
    <row r="39687" spans="20:20" ht="18.75" customHeight="1" x14ac:dyDescent="0.35">
      <c r="T39687" s="246">
        <f t="shared" si="658"/>
        <v>0</v>
      </c>
    </row>
    <row r="39688" spans="20:20" ht="18.75" customHeight="1" x14ac:dyDescent="0.35">
      <c r="T39688" s="246">
        <f t="shared" si="658"/>
        <v>0</v>
      </c>
    </row>
    <row r="39689" spans="20:20" ht="18.75" customHeight="1" x14ac:dyDescent="0.35">
      <c r="T39689" s="246">
        <f t="shared" si="658"/>
        <v>0</v>
      </c>
    </row>
    <row r="39690" spans="20:20" ht="18.75" customHeight="1" x14ac:dyDescent="0.35">
      <c r="T39690" s="246">
        <f t="shared" si="658"/>
        <v>0</v>
      </c>
    </row>
    <row r="39691" spans="20:20" ht="18.75" customHeight="1" x14ac:dyDescent="0.35">
      <c r="T39691" s="246">
        <f t="shared" si="658"/>
        <v>0</v>
      </c>
    </row>
    <row r="39692" spans="20:20" ht="18.75" customHeight="1" x14ac:dyDescent="0.35">
      <c r="T39692" s="246">
        <f t="shared" si="658"/>
        <v>0</v>
      </c>
    </row>
    <row r="39693" spans="20:20" ht="18.75" customHeight="1" x14ac:dyDescent="0.35">
      <c r="T39693" s="246">
        <f t="shared" si="658"/>
        <v>0</v>
      </c>
    </row>
    <row r="39694" spans="20:20" ht="18.75" customHeight="1" x14ac:dyDescent="0.35">
      <c r="T39694" s="246">
        <f t="shared" si="658"/>
        <v>0</v>
      </c>
    </row>
    <row r="39695" spans="20:20" ht="18.75" customHeight="1" x14ac:dyDescent="0.35">
      <c r="T39695" s="246">
        <f t="shared" si="658"/>
        <v>0</v>
      </c>
    </row>
    <row r="39696" spans="20:20" ht="18.75" customHeight="1" x14ac:dyDescent="0.35">
      <c r="T39696" s="246">
        <f t="shared" si="658"/>
        <v>0</v>
      </c>
    </row>
    <row r="39697" spans="20:20" ht="18.75" customHeight="1" x14ac:dyDescent="0.35">
      <c r="T39697" s="246">
        <f t="shared" si="658"/>
        <v>0</v>
      </c>
    </row>
    <row r="39698" spans="20:20" ht="18.75" customHeight="1" x14ac:dyDescent="0.35">
      <c r="T39698" s="246">
        <f t="shared" si="658"/>
        <v>0</v>
      </c>
    </row>
    <row r="39699" spans="20:20" ht="18.75" customHeight="1" x14ac:dyDescent="0.35">
      <c r="T39699" s="246">
        <f t="shared" si="658"/>
        <v>0</v>
      </c>
    </row>
    <row r="39700" spans="20:20" ht="18.75" customHeight="1" x14ac:dyDescent="0.35">
      <c r="T39700" s="246">
        <f t="shared" si="658"/>
        <v>0</v>
      </c>
    </row>
    <row r="39701" spans="20:20" ht="18.75" customHeight="1" x14ac:dyDescent="0.35">
      <c r="T39701" s="246">
        <f t="shared" si="658"/>
        <v>0</v>
      </c>
    </row>
    <row r="39702" spans="20:20" ht="18.75" customHeight="1" x14ac:dyDescent="0.35">
      <c r="T39702" s="246">
        <f t="shared" si="658"/>
        <v>0</v>
      </c>
    </row>
    <row r="39703" spans="20:20" ht="18.75" customHeight="1" x14ac:dyDescent="0.35">
      <c r="T39703" s="246">
        <f t="shared" si="658"/>
        <v>0</v>
      </c>
    </row>
    <row r="39704" spans="20:20" ht="18.75" customHeight="1" x14ac:dyDescent="0.35">
      <c r="T39704" s="246">
        <f t="shared" si="658"/>
        <v>0</v>
      </c>
    </row>
    <row r="39705" spans="20:20" ht="18.75" customHeight="1" x14ac:dyDescent="0.35">
      <c r="T39705" s="246">
        <f t="shared" si="658"/>
        <v>0</v>
      </c>
    </row>
    <row r="39706" spans="20:20" ht="18.75" customHeight="1" x14ac:dyDescent="0.35">
      <c r="T39706" s="246">
        <f t="shared" si="658"/>
        <v>0</v>
      </c>
    </row>
    <row r="39707" spans="20:20" ht="18.75" customHeight="1" x14ac:dyDescent="0.35">
      <c r="T39707" s="246">
        <f t="shared" si="658"/>
        <v>0</v>
      </c>
    </row>
    <row r="39708" spans="20:20" ht="18.75" customHeight="1" x14ac:dyDescent="0.35">
      <c r="T39708" s="246">
        <f t="shared" si="658"/>
        <v>0</v>
      </c>
    </row>
    <row r="39709" spans="20:20" ht="18.75" customHeight="1" x14ac:dyDescent="0.35">
      <c r="T39709" s="246">
        <f t="shared" si="658"/>
        <v>0</v>
      </c>
    </row>
    <row r="39710" spans="20:20" ht="18.75" customHeight="1" x14ac:dyDescent="0.35">
      <c r="T39710" s="246">
        <f t="shared" si="658"/>
        <v>0</v>
      </c>
    </row>
    <row r="39711" spans="20:20" ht="18.75" customHeight="1" x14ac:dyDescent="0.35">
      <c r="T39711" s="246">
        <f t="shared" si="658"/>
        <v>0</v>
      </c>
    </row>
    <row r="39712" spans="20:20" ht="18.75" customHeight="1" x14ac:dyDescent="0.35">
      <c r="T39712" s="246">
        <f t="shared" si="658"/>
        <v>0</v>
      </c>
    </row>
    <row r="39713" spans="20:20" ht="18.75" customHeight="1" x14ac:dyDescent="0.35">
      <c r="T39713" s="246">
        <f t="shared" si="658"/>
        <v>0</v>
      </c>
    </row>
    <row r="39714" spans="20:20" ht="18.75" customHeight="1" x14ac:dyDescent="0.35">
      <c r="T39714" s="246">
        <f t="shared" si="658"/>
        <v>0</v>
      </c>
    </row>
    <row r="39715" spans="20:20" ht="18.75" customHeight="1" x14ac:dyDescent="0.35">
      <c r="T39715" s="246">
        <f t="shared" si="658"/>
        <v>0</v>
      </c>
    </row>
    <row r="39716" spans="20:20" ht="18.75" customHeight="1" x14ac:dyDescent="0.35">
      <c r="T39716" s="246">
        <f t="shared" si="658"/>
        <v>0</v>
      </c>
    </row>
    <row r="39717" spans="20:20" ht="18.75" customHeight="1" x14ac:dyDescent="0.35">
      <c r="T39717" s="246">
        <f t="shared" si="658"/>
        <v>0</v>
      </c>
    </row>
    <row r="39718" spans="20:20" ht="18.75" customHeight="1" x14ac:dyDescent="0.35">
      <c r="T39718" s="246">
        <f t="shared" si="658"/>
        <v>0</v>
      </c>
    </row>
    <row r="39719" spans="20:20" ht="18.75" customHeight="1" x14ac:dyDescent="0.35">
      <c r="T39719" s="246">
        <f t="shared" si="658"/>
        <v>0</v>
      </c>
    </row>
    <row r="39720" spans="20:20" ht="18.75" customHeight="1" x14ac:dyDescent="0.35">
      <c r="T39720" s="246">
        <f t="shared" si="658"/>
        <v>0</v>
      </c>
    </row>
    <row r="39721" spans="20:20" ht="18.75" customHeight="1" x14ac:dyDescent="0.35">
      <c r="T39721" s="246">
        <f t="shared" si="658"/>
        <v>0</v>
      </c>
    </row>
    <row r="39722" spans="20:20" ht="18.75" customHeight="1" x14ac:dyDescent="0.35">
      <c r="T39722" s="246">
        <f t="shared" si="658"/>
        <v>0</v>
      </c>
    </row>
    <row r="39723" spans="20:20" ht="18.75" customHeight="1" x14ac:dyDescent="0.35">
      <c r="T39723" s="246">
        <f t="shared" si="658"/>
        <v>0</v>
      </c>
    </row>
    <row r="39724" spans="20:20" ht="18.75" customHeight="1" x14ac:dyDescent="0.35">
      <c r="T39724" s="246">
        <f t="shared" si="658"/>
        <v>0</v>
      </c>
    </row>
    <row r="39725" spans="20:20" ht="18.75" customHeight="1" x14ac:dyDescent="0.35">
      <c r="T39725" s="246">
        <f t="shared" si="658"/>
        <v>0</v>
      </c>
    </row>
    <row r="39726" spans="20:20" ht="18.75" customHeight="1" x14ac:dyDescent="0.35">
      <c r="T39726" s="246">
        <f t="shared" si="658"/>
        <v>0</v>
      </c>
    </row>
    <row r="39727" spans="20:20" ht="18.75" customHeight="1" x14ac:dyDescent="0.35">
      <c r="T39727" s="246">
        <f t="shared" si="658"/>
        <v>0</v>
      </c>
    </row>
    <row r="39728" spans="20:20" ht="18.75" customHeight="1" x14ac:dyDescent="0.35">
      <c r="T39728" s="246">
        <f t="shared" si="658"/>
        <v>0</v>
      </c>
    </row>
    <row r="39729" spans="20:20" ht="18.75" customHeight="1" x14ac:dyDescent="0.35">
      <c r="T39729" s="246">
        <f t="shared" si="658"/>
        <v>0</v>
      </c>
    </row>
    <row r="39730" spans="20:20" ht="18.75" customHeight="1" x14ac:dyDescent="0.35">
      <c r="T39730" s="246">
        <f t="shared" si="658"/>
        <v>0</v>
      </c>
    </row>
    <row r="39731" spans="20:20" ht="18.75" customHeight="1" x14ac:dyDescent="0.35">
      <c r="T39731" s="246">
        <f t="shared" si="658"/>
        <v>0</v>
      </c>
    </row>
    <row r="39732" spans="20:20" ht="18.75" customHeight="1" x14ac:dyDescent="0.35">
      <c r="T39732" s="246">
        <f t="shared" si="658"/>
        <v>0</v>
      </c>
    </row>
    <row r="39733" spans="20:20" ht="18.75" customHeight="1" x14ac:dyDescent="0.35">
      <c r="T39733" s="246">
        <f t="shared" si="658"/>
        <v>0</v>
      </c>
    </row>
    <row r="39734" spans="20:20" ht="18.75" customHeight="1" x14ac:dyDescent="0.35">
      <c r="T39734" s="246">
        <f t="shared" si="658"/>
        <v>0</v>
      </c>
    </row>
    <row r="39735" spans="20:20" ht="18.75" customHeight="1" x14ac:dyDescent="0.35">
      <c r="T39735" s="246">
        <f t="shared" si="658"/>
        <v>0</v>
      </c>
    </row>
    <row r="39736" spans="20:20" ht="18.75" customHeight="1" x14ac:dyDescent="0.35">
      <c r="T39736" s="246">
        <f t="shared" si="658"/>
        <v>0</v>
      </c>
    </row>
    <row r="39737" spans="20:20" ht="18.75" customHeight="1" x14ac:dyDescent="0.35">
      <c r="T39737" s="246">
        <f t="shared" si="658"/>
        <v>0</v>
      </c>
    </row>
    <row r="39738" spans="20:20" ht="18.75" customHeight="1" x14ac:dyDescent="0.35">
      <c r="T39738" s="246">
        <f t="shared" si="658"/>
        <v>0</v>
      </c>
    </row>
    <row r="39739" spans="20:20" ht="18.75" customHeight="1" x14ac:dyDescent="0.35">
      <c r="T39739" s="246">
        <f t="shared" si="658"/>
        <v>0</v>
      </c>
    </row>
    <row r="39740" spans="20:20" ht="18.75" customHeight="1" x14ac:dyDescent="0.35">
      <c r="T39740" s="246">
        <f t="shared" ref="T39740:T39803" si="659">R39740*0.01</f>
        <v>0</v>
      </c>
    </row>
    <row r="39741" spans="20:20" ht="18.75" customHeight="1" x14ac:dyDescent="0.35">
      <c r="T39741" s="246">
        <f t="shared" si="659"/>
        <v>0</v>
      </c>
    </row>
    <row r="39742" spans="20:20" ht="18.75" customHeight="1" x14ac:dyDescent="0.35">
      <c r="T39742" s="246">
        <f t="shared" si="659"/>
        <v>0</v>
      </c>
    </row>
    <row r="39743" spans="20:20" ht="18.75" customHeight="1" x14ac:dyDescent="0.35">
      <c r="T39743" s="246">
        <f t="shared" si="659"/>
        <v>0</v>
      </c>
    </row>
    <row r="39744" spans="20:20" ht="18.75" customHeight="1" x14ac:dyDescent="0.35">
      <c r="T39744" s="246">
        <f t="shared" si="659"/>
        <v>0</v>
      </c>
    </row>
    <row r="39745" spans="20:20" ht="18.75" customHeight="1" x14ac:dyDescent="0.35">
      <c r="T39745" s="246">
        <f t="shared" si="659"/>
        <v>0</v>
      </c>
    </row>
    <row r="39746" spans="20:20" ht="18.75" customHeight="1" x14ac:dyDescent="0.35">
      <c r="T39746" s="246">
        <f t="shared" si="659"/>
        <v>0</v>
      </c>
    </row>
    <row r="39747" spans="20:20" ht="18.75" customHeight="1" x14ac:dyDescent="0.35">
      <c r="T39747" s="246">
        <f t="shared" si="659"/>
        <v>0</v>
      </c>
    </row>
    <row r="39748" spans="20:20" ht="18.75" customHeight="1" x14ac:dyDescent="0.35">
      <c r="T39748" s="246">
        <f t="shared" si="659"/>
        <v>0</v>
      </c>
    </row>
    <row r="39749" spans="20:20" ht="18.75" customHeight="1" x14ac:dyDescent="0.35">
      <c r="T39749" s="246">
        <f t="shared" si="659"/>
        <v>0</v>
      </c>
    </row>
    <row r="39750" spans="20:20" ht="18.75" customHeight="1" x14ac:dyDescent="0.35">
      <c r="T39750" s="246">
        <f t="shared" si="659"/>
        <v>0</v>
      </c>
    </row>
    <row r="39751" spans="20:20" ht="18.75" customHeight="1" x14ac:dyDescent="0.35">
      <c r="T39751" s="246">
        <f t="shared" si="659"/>
        <v>0</v>
      </c>
    </row>
    <row r="39752" spans="20:20" ht="18.75" customHeight="1" x14ac:dyDescent="0.35">
      <c r="T39752" s="246">
        <f t="shared" si="659"/>
        <v>0</v>
      </c>
    </row>
    <row r="39753" spans="20:20" ht="18.75" customHeight="1" x14ac:dyDescent="0.35">
      <c r="T39753" s="246">
        <f t="shared" si="659"/>
        <v>0</v>
      </c>
    </row>
    <row r="39754" spans="20:20" ht="18.75" customHeight="1" x14ac:dyDescent="0.35">
      <c r="T39754" s="246">
        <f t="shared" si="659"/>
        <v>0</v>
      </c>
    </row>
    <row r="39755" spans="20:20" ht="18.75" customHeight="1" x14ac:dyDescent="0.35">
      <c r="T39755" s="246">
        <f t="shared" si="659"/>
        <v>0</v>
      </c>
    </row>
    <row r="39756" spans="20:20" ht="18.75" customHeight="1" x14ac:dyDescent="0.35">
      <c r="T39756" s="246">
        <f t="shared" si="659"/>
        <v>0</v>
      </c>
    </row>
    <row r="39757" spans="20:20" ht="18.75" customHeight="1" x14ac:dyDescent="0.35">
      <c r="T39757" s="246">
        <f t="shared" si="659"/>
        <v>0</v>
      </c>
    </row>
    <row r="39758" spans="20:20" ht="18.75" customHeight="1" x14ac:dyDescent="0.35">
      <c r="T39758" s="246">
        <f t="shared" si="659"/>
        <v>0</v>
      </c>
    </row>
    <row r="39759" spans="20:20" ht="18.75" customHeight="1" x14ac:dyDescent="0.35">
      <c r="T39759" s="246">
        <f t="shared" si="659"/>
        <v>0</v>
      </c>
    </row>
    <row r="39760" spans="20:20" ht="18.75" customHeight="1" x14ac:dyDescent="0.35">
      <c r="T39760" s="246">
        <f t="shared" si="659"/>
        <v>0</v>
      </c>
    </row>
    <row r="39761" spans="20:20" ht="18.75" customHeight="1" x14ac:dyDescent="0.35">
      <c r="T39761" s="246">
        <f t="shared" si="659"/>
        <v>0</v>
      </c>
    </row>
    <row r="39762" spans="20:20" ht="18.75" customHeight="1" x14ac:dyDescent="0.35">
      <c r="T39762" s="246">
        <f t="shared" si="659"/>
        <v>0</v>
      </c>
    </row>
    <row r="39763" spans="20:20" ht="18.75" customHeight="1" x14ac:dyDescent="0.35">
      <c r="T39763" s="246">
        <f t="shared" si="659"/>
        <v>0</v>
      </c>
    </row>
    <row r="39764" spans="20:20" ht="18.75" customHeight="1" x14ac:dyDescent="0.35">
      <c r="T39764" s="246">
        <f t="shared" si="659"/>
        <v>0</v>
      </c>
    </row>
    <row r="39765" spans="20:20" ht="18.75" customHeight="1" x14ac:dyDescent="0.35">
      <c r="T39765" s="246">
        <f t="shared" si="659"/>
        <v>0</v>
      </c>
    </row>
    <row r="39766" spans="20:20" ht="18.75" customHeight="1" x14ac:dyDescent="0.35">
      <c r="T39766" s="246">
        <f t="shared" si="659"/>
        <v>0</v>
      </c>
    </row>
    <row r="39767" spans="20:20" ht="18.75" customHeight="1" x14ac:dyDescent="0.35">
      <c r="T39767" s="246">
        <f t="shared" si="659"/>
        <v>0</v>
      </c>
    </row>
    <row r="39768" spans="20:20" ht="18.75" customHeight="1" x14ac:dyDescent="0.35">
      <c r="T39768" s="246">
        <f t="shared" si="659"/>
        <v>0</v>
      </c>
    </row>
    <row r="39769" spans="20:20" ht="18.75" customHeight="1" x14ac:dyDescent="0.35">
      <c r="T39769" s="246">
        <f t="shared" si="659"/>
        <v>0</v>
      </c>
    </row>
    <row r="39770" spans="20:20" ht="18.75" customHeight="1" x14ac:dyDescent="0.35">
      <c r="T39770" s="246">
        <f t="shared" si="659"/>
        <v>0</v>
      </c>
    </row>
    <row r="39771" spans="20:20" ht="18.75" customHeight="1" x14ac:dyDescent="0.35">
      <c r="T39771" s="246">
        <f t="shared" si="659"/>
        <v>0</v>
      </c>
    </row>
    <row r="39772" spans="20:20" ht="18.75" customHeight="1" x14ac:dyDescent="0.35">
      <c r="T39772" s="246">
        <f t="shared" si="659"/>
        <v>0</v>
      </c>
    </row>
    <row r="39773" spans="20:20" ht="18.75" customHeight="1" x14ac:dyDescent="0.35">
      <c r="T39773" s="246">
        <f t="shared" si="659"/>
        <v>0</v>
      </c>
    </row>
    <row r="39774" spans="20:20" ht="18.75" customHeight="1" x14ac:dyDescent="0.35">
      <c r="T39774" s="246">
        <f t="shared" si="659"/>
        <v>0</v>
      </c>
    </row>
    <row r="39775" spans="20:20" ht="18.75" customHeight="1" x14ac:dyDescent="0.35">
      <c r="T39775" s="246">
        <f t="shared" si="659"/>
        <v>0</v>
      </c>
    </row>
    <row r="39776" spans="20:20" ht="18.75" customHeight="1" x14ac:dyDescent="0.35">
      <c r="T39776" s="246">
        <f t="shared" si="659"/>
        <v>0</v>
      </c>
    </row>
    <row r="39777" spans="20:20" ht="18.75" customHeight="1" x14ac:dyDescent="0.35">
      <c r="T39777" s="246">
        <f t="shared" si="659"/>
        <v>0</v>
      </c>
    </row>
    <row r="39778" spans="20:20" ht="18.75" customHeight="1" x14ac:dyDescent="0.35">
      <c r="T39778" s="246">
        <f t="shared" si="659"/>
        <v>0</v>
      </c>
    </row>
    <row r="39779" spans="20:20" ht="18.75" customHeight="1" x14ac:dyDescent="0.35">
      <c r="T39779" s="246">
        <f t="shared" si="659"/>
        <v>0</v>
      </c>
    </row>
    <row r="39780" spans="20:20" ht="18.75" customHeight="1" x14ac:dyDescent="0.35">
      <c r="T39780" s="246">
        <f t="shared" si="659"/>
        <v>0</v>
      </c>
    </row>
    <row r="39781" spans="20:20" ht="18.75" customHeight="1" x14ac:dyDescent="0.35">
      <c r="T39781" s="246">
        <f t="shared" si="659"/>
        <v>0</v>
      </c>
    </row>
    <row r="39782" spans="20:20" ht="18.75" customHeight="1" x14ac:dyDescent="0.35">
      <c r="T39782" s="246">
        <f t="shared" si="659"/>
        <v>0</v>
      </c>
    </row>
    <row r="39783" spans="20:20" ht="18.75" customHeight="1" x14ac:dyDescent="0.35">
      <c r="T39783" s="246">
        <f t="shared" si="659"/>
        <v>0</v>
      </c>
    </row>
    <row r="39784" spans="20:20" ht="18.75" customHeight="1" x14ac:dyDescent="0.35">
      <c r="T39784" s="246">
        <f t="shared" si="659"/>
        <v>0</v>
      </c>
    </row>
    <row r="39785" spans="20:20" ht="18.75" customHeight="1" x14ac:dyDescent="0.35">
      <c r="T39785" s="246">
        <f t="shared" si="659"/>
        <v>0</v>
      </c>
    </row>
    <row r="39786" spans="20:20" ht="18.75" customHeight="1" x14ac:dyDescent="0.35">
      <c r="T39786" s="246">
        <f t="shared" si="659"/>
        <v>0</v>
      </c>
    </row>
    <row r="39787" spans="20:20" ht="18.75" customHeight="1" x14ac:dyDescent="0.35">
      <c r="T39787" s="246">
        <f t="shared" si="659"/>
        <v>0</v>
      </c>
    </row>
    <row r="39788" spans="20:20" ht="18.75" customHeight="1" x14ac:dyDescent="0.35">
      <c r="T39788" s="246">
        <f t="shared" si="659"/>
        <v>0</v>
      </c>
    </row>
    <row r="39789" spans="20:20" ht="18.75" customHeight="1" x14ac:dyDescent="0.35">
      <c r="T39789" s="246">
        <f t="shared" si="659"/>
        <v>0</v>
      </c>
    </row>
    <row r="39790" spans="20:20" ht="18.75" customHeight="1" x14ac:dyDescent="0.35">
      <c r="T39790" s="246">
        <f t="shared" si="659"/>
        <v>0</v>
      </c>
    </row>
    <row r="39791" spans="20:20" ht="18.75" customHeight="1" x14ac:dyDescent="0.35">
      <c r="T39791" s="246">
        <f t="shared" si="659"/>
        <v>0</v>
      </c>
    </row>
    <row r="39792" spans="20:20" ht="18.75" customHeight="1" x14ac:dyDescent="0.35">
      <c r="T39792" s="246">
        <f t="shared" si="659"/>
        <v>0</v>
      </c>
    </row>
    <row r="39793" spans="20:20" ht="18.75" customHeight="1" x14ac:dyDescent="0.35">
      <c r="T39793" s="246">
        <f t="shared" si="659"/>
        <v>0</v>
      </c>
    </row>
    <row r="39794" spans="20:20" ht="18.75" customHeight="1" x14ac:dyDescent="0.35">
      <c r="T39794" s="246">
        <f t="shared" si="659"/>
        <v>0</v>
      </c>
    </row>
    <row r="39795" spans="20:20" ht="18.75" customHeight="1" x14ac:dyDescent="0.35">
      <c r="T39795" s="246">
        <f t="shared" si="659"/>
        <v>0</v>
      </c>
    </row>
    <row r="39796" spans="20:20" ht="18.75" customHeight="1" x14ac:dyDescent="0.35">
      <c r="T39796" s="246">
        <f t="shared" si="659"/>
        <v>0</v>
      </c>
    </row>
    <row r="39797" spans="20:20" ht="18.75" customHeight="1" x14ac:dyDescent="0.35">
      <c r="T39797" s="246">
        <f t="shared" si="659"/>
        <v>0</v>
      </c>
    </row>
    <row r="39798" spans="20:20" ht="18.75" customHeight="1" x14ac:dyDescent="0.35">
      <c r="T39798" s="246">
        <f t="shared" si="659"/>
        <v>0</v>
      </c>
    </row>
    <row r="39799" spans="20:20" ht="18.75" customHeight="1" x14ac:dyDescent="0.35">
      <c r="T39799" s="246">
        <f t="shared" si="659"/>
        <v>0</v>
      </c>
    </row>
    <row r="39800" spans="20:20" ht="18.75" customHeight="1" x14ac:dyDescent="0.35">
      <c r="T39800" s="246">
        <f t="shared" si="659"/>
        <v>0</v>
      </c>
    </row>
    <row r="39801" spans="20:20" ht="18.75" customHeight="1" x14ac:dyDescent="0.35">
      <c r="T39801" s="246">
        <f t="shared" si="659"/>
        <v>0</v>
      </c>
    </row>
    <row r="39802" spans="20:20" ht="18.75" customHeight="1" x14ac:dyDescent="0.35">
      <c r="T39802" s="246">
        <f t="shared" si="659"/>
        <v>0</v>
      </c>
    </row>
    <row r="39803" spans="20:20" ht="18.75" customHeight="1" x14ac:dyDescent="0.35">
      <c r="T39803" s="246">
        <f t="shared" si="659"/>
        <v>0</v>
      </c>
    </row>
    <row r="39804" spans="20:20" ht="18.75" customHeight="1" x14ac:dyDescent="0.35">
      <c r="T39804" s="246">
        <f t="shared" ref="T39804:T39867" si="660">R39804*0.01</f>
        <v>0</v>
      </c>
    </row>
    <row r="39805" spans="20:20" ht="18.75" customHeight="1" x14ac:dyDescent="0.35">
      <c r="T39805" s="246">
        <f t="shared" si="660"/>
        <v>0</v>
      </c>
    </row>
    <row r="39806" spans="20:20" ht="18.75" customHeight="1" x14ac:dyDescent="0.35">
      <c r="T39806" s="246">
        <f t="shared" si="660"/>
        <v>0</v>
      </c>
    </row>
    <row r="39807" spans="20:20" ht="18.75" customHeight="1" x14ac:dyDescent="0.35">
      <c r="T39807" s="246">
        <f t="shared" si="660"/>
        <v>0</v>
      </c>
    </row>
    <row r="39808" spans="20:20" ht="18.75" customHeight="1" x14ac:dyDescent="0.35">
      <c r="T39808" s="246">
        <f t="shared" si="660"/>
        <v>0</v>
      </c>
    </row>
    <row r="39809" spans="20:20" ht="18.75" customHeight="1" x14ac:dyDescent="0.35">
      <c r="T39809" s="246">
        <f t="shared" si="660"/>
        <v>0</v>
      </c>
    </row>
    <row r="39810" spans="20:20" ht="18.75" customHeight="1" x14ac:dyDescent="0.35">
      <c r="T39810" s="246">
        <f t="shared" si="660"/>
        <v>0</v>
      </c>
    </row>
    <row r="39811" spans="20:20" ht="18.75" customHeight="1" x14ac:dyDescent="0.35">
      <c r="T39811" s="246">
        <f t="shared" si="660"/>
        <v>0</v>
      </c>
    </row>
    <row r="39812" spans="20:20" ht="18.75" customHeight="1" x14ac:dyDescent="0.35">
      <c r="T39812" s="246">
        <f t="shared" si="660"/>
        <v>0</v>
      </c>
    </row>
    <row r="39813" spans="20:20" ht="18.75" customHeight="1" x14ac:dyDescent="0.35">
      <c r="T39813" s="246">
        <f t="shared" si="660"/>
        <v>0</v>
      </c>
    </row>
    <row r="39814" spans="20:20" ht="18.75" customHeight="1" x14ac:dyDescent="0.35">
      <c r="T39814" s="246">
        <f t="shared" si="660"/>
        <v>0</v>
      </c>
    </row>
    <row r="39815" spans="20:20" ht="18.75" customHeight="1" x14ac:dyDescent="0.35">
      <c r="T39815" s="246">
        <f t="shared" si="660"/>
        <v>0</v>
      </c>
    </row>
    <row r="39816" spans="20:20" ht="18.75" customHeight="1" x14ac:dyDescent="0.35">
      <c r="T39816" s="246">
        <f t="shared" si="660"/>
        <v>0</v>
      </c>
    </row>
    <row r="39817" spans="20:20" ht="18.75" customHeight="1" x14ac:dyDescent="0.35">
      <c r="T39817" s="246">
        <f t="shared" si="660"/>
        <v>0</v>
      </c>
    </row>
    <row r="39818" spans="20:20" ht="18.75" customHeight="1" x14ac:dyDescent="0.35">
      <c r="T39818" s="246">
        <f t="shared" si="660"/>
        <v>0</v>
      </c>
    </row>
    <row r="39819" spans="20:20" ht="18.75" customHeight="1" x14ac:dyDescent="0.35">
      <c r="T39819" s="246">
        <f t="shared" si="660"/>
        <v>0</v>
      </c>
    </row>
    <row r="39820" spans="20:20" ht="18.75" customHeight="1" x14ac:dyDescent="0.35">
      <c r="T39820" s="246">
        <f t="shared" si="660"/>
        <v>0</v>
      </c>
    </row>
    <row r="39821" spans="20:20" ht="18.75" customHeight="1" x14ac:dyDescent="0.35">
      <c r="T39821" s="246">
        <f t="shared" si="660"/>
        <v>0</v>
      </c>
    </row>
    <row r="39822" spans="20:20" ht="18.75" customHeight="1" x14ac:dyDescent="0.35">
      <c r="T39822" s="246">
        <f t="shared" si="660"/>
        <v>0</v>
      </c>
    </row>
    <row r="39823" spans="20:20" ht="18.75" customHeight="1" x14ac:dyDescent="0.35">
      <c r="T39823" s="246">
        <f t="shared" si="660"/>
        <v>0</v>
      </c>
    </row>
    <row r="39824" spans="20:20" ht="18.75" customHeight="1" x14ac:dyDescent="0.35">
      <c r="T39824" s="246">
        <f t="shared" si="660"/>
        <v>0</v>
      </c>
    </row>
    <row r="39825" spans="20:20" ht="18.75" customHeight="1" x14ac:dyDescent="0.35">
      <c r="T39825" s="246">
        <f t="shared" si="660"/>
        <v>0</v>
      </c>
    </row>
    <row r="39826" spans="20:20" ht="18.75" customHeight="1" x14ac:dyDescent="0.35">
      <c r="T39826" s="246">
        <f t="shared" si="660"/>
        <v>0</v>
      </c>
    </row>
    <row r="39827" spans="20:20" ht="18.75" customHeight="1" x14ac:dyDescent="0.35">
      <c r="T39827" s="246">
        <f t="shared" si="660"/>
        <v>0</v>
      </c>
    </row>
    <row r="39828" spans="20:20" ht="18.75" customHeight="1" x14ac:dyDescent="0.35">
      <c r="T39828" s="246">
        <f t="shared" si="660"/>
        <v>0</v>
      </c>
    </row>
    <row r="39829" spans="20:20" ht="18.75" customHeight="1" x14ac:dyDescent="0.35">
      <c r="T39829" s="246">
        <f t="shared" si="660"/>
        <v>0</v>
      </c>
    </row>
    <row r="39830" spans="20:20" ht="18.75" customHeight="1" x14ac:dyDescent="0.35">
      <c r="T39830" s="246">
        <f t="shared" si="660"/>
        <v>0</v>
      </c>
    </row>
    <row r="39831" spans="20:20" ht="18.75" customHeight="1" x14ac:dyDescent="0.35">
      <c r="T39831" s="246">
        <f t="shared" si="660"/>
        <v>0</v>
      </c>
    </row>
    <row r="39832" spans="20:20" ht="18.75" customHeight="1" x14ac:dyDescent="0.35">
      <c r="T39832" s="246">
        <f t="shared" si="660"/>
        <v>0</v>
      </c>
    </row>
    <row r="39833" spans="20:20" ht="18.75" customHeight="1" x14ac:dyDescent="0.35">
      <c r="T39833" s="246">
        <f t="shared" si="660"/>
        <v>0</v>
      </c>
    </row>
    <row r="39834" spans="20:20" ht="18.75" customHeight="1" x14ac:dyDescent="0.35">
      <c r="T39834" s="246">
        <f t="shared" si="660"/>
        <v>0</v>
      </c>
    </row>
    <row r="39835" spans="20:20" ht="18.75" customHeight="1" x14ac:dyDescent="0.35">
      <c r="T39835" s="246">
        <f t="shared" si="660"/>
        <v>0</v>
      </c>
    </row>
    <row r="39836" spans="20:20" ht="18.75" customHeight="1" x14ac:dyDescent="0.35">
      <c r="T39836" s="246">
        <f t="shared" si="660"/>
        <v>0</v>
      </c>
    </row>
    <row r="39837" spans="20:20" ht="18.75" customHeight="1" x14ac:dyDescent="0.35">
      <c r="T39837" s="246">
        <f t="shared" si="660"/>
        <v>0</v>
      </c>
    </row>
    <row r="39838" spans="20:20" ht="18.75" customHeight="1" x14ac:dyDescent="0.35">
      <c r="T39838" s="246">
        <f t="shared" si="660"/>
        <v>0</v>
      </c>
    </row>
    <row r="39839" spans="20:20" ht="18.75" customHeight="1" x14ac:dyDescent="0.35">
      <c r="T39839" s="246">
        <f t="shared" si="660"/>
        <v>0</v>
      </c>
    </row>
    <row r="39840" spans="20:20" ht="18.75" customHeight="1" x14ac:dyDescent="0.35">
      <c r="T39840" s="246">
        <f t="shared" si="660"/>
        <v>0</v>
      </c>
    </row>
    <row r="39841" spans="20:20" ht="18.75" customHeight="1" x14ac:dyDescent="0.35">
      <c r="T39841" s="246">
        <f t="shared" si="660"/>
        <v>0</v>
      </c>
    </row>
    <row r="39842" spans="20:20" ht="18.75" customHeight="1" x14ac:dyDescent="0.35">
      <c r="T39842" s="246">
        <f t="shared" si="660"/>
        <v>0</v>
      </c>
    </row>
    <row r="39843" spans="20:20" ht="18.75" customHeight="1" x14ac:dyDescent="0.35">
      <c r="T39843" s="246">
        <f t="shared" si="660"/>
        <v>0</v>
      </c>
    </row>
    <row r="39844" spans="20:20" ht="18.75" customHeight="1" x14ac:dyDescent="0.35">
      <c r="T39844" s="246">
        <f t="shared" si="660"/>
        <v>0</v>
      </c>
    </row>
    <row r="39845" spans="20:20" ht="18.75" customHeight="1" x14ac:dyDescent="0.35">
      <c r="T39845" s="246">
        <f t="shared" si="660"/>
        <v>0</v>
      </c>
    </row>
    <row r="39846" spans="20:20" ht="18.75" customHeight="1" x14ac:dyDescent="0.35">
      <c r="T39846" s="246">
        <f t="shared" si="660"/>
        <v>0</v>
      </c>
    </row>
    <row r="39847" spans="20:20" ht="18.75" customHeight="1" x14ac:dyDescent="0.35">
      <c r="T39847" s="246">
        <f t="shared" si="660"/>
        <v>0</v>
      </c>
    </row>
    <row r="39848" spans="20:20" ht="18.75" customHeight="1" x14ac:dyDescent="0.35">
      <c r="T39848" s="246">
        <f t="shared" si="660"/>
        <v>0</v>
      </c>
    </row>
    <row r="39849" spans="20:20" ht="18.75" customHeight="1" x14ac:dyDescent="0.35">
      <c r="T39849" s="246">
        <f t="shared" si="660"/>
        <v>0</v>
      </c>
    </row>
    <row r="39850" spans="20:20" ht="18.75" customHeight="1" x14ac:dyDescent="0.35">
      <c r="T39850" s="246">
        <f t="shared" si="660"/>
        <v>0</v>
      </c>
    </row>
    <row r="39851" spans="20:20" ht="18.75" customHeight="1" x14ac:dyDescent="0.35">
      <c r="T39851" s="246">
        <f t="shared" si="660"/>
        <v>0</v>
      </c>
    </row>
    <row r="39852" spans="20:20" ht="18.75" customHeight="1" x14ac:dyDescent="0.35">
      <c r="T39852" s="246">
        <f t="shared" si="660"/>
        <v>0</v>
      </c>
    </row>
    <row r="39853" spans="20:20" ht="18.75" customHeight="1" x14ac:dyDescent="0.35">
      <c r="T39853" s="246">
        <f t="shared" si="660"/>
        <v>0</v>
      </c>
    </row>
    <row r="39854" spans="20:20" ht="18.75" customHeight="1" x14ac:dyDescent="0.35">
      <c r="T39854" s="246">
        <f t="shared" si="660"/>
        <v>0</v>
      </c>
    </row>
    <row r="39855" spans="20:20" ht="18.75" customHeight="1" x14ac:dyDescent="0.35">
      <c r="T39855" s="246">
        <f t="shared" si="660"/>
        <v>0</v>
      </c>
    </row>
    <row r="39856" spans="20:20" ht="18.75" customHeight="1" x14ac:dyDescent="0.35">
      <c r="T39856" s="246">
        <f t="shared" si="660"/>
        <v>0</v>
      </c>
    </row>
    <row r="39857" spans="20:20" ht="18.75" customHeight="1" x14ac:dyDescent="0.35">
      <c r="T39857" s="246">
        <f t="shared" si="660"/>
        <v>0</v>
      </c>
    </row>
    <row r="39858" spans="20:20" ht="18.75" customHeight="1" x14ac:dyDescent="0.35">
      <c r="T39858" s="246">
        <f t="shared" si="660"/>
        <v>0</v>
      </c>
    </row>
    <row r="39859" spans="20:20" ht="18.75" customHeight="1" x14ac:dyDescent="0.35">
      <c r="T39859" s="246">
        <f t="shared" si="660"/>
        <v>0</v>
      </c>
    </row>
    <row r="39860" spans="20:20" ht="18.75" customHeight="1" x14ac:dyDescent="0.35">
      <c r="T39860" s="246">
        <f t="shared" si="660"/>
        <v>0</v>
      </c>
    </row>
    <row r="39861" spans="20:20" ht="18.75" customHeight="1" x14ac:dyDescent="0.35">
      <c r="T39861" s="246">
        <f t="shared" si="660"/>
        <v>0</v>
      </c>
    </row>
    <row r="39862" spans="20:20" ht="18.75" customHeight="1" x14ac:dyDescent="0.35">
      <c r="T39862" s="246">
        <f t="shared" si="660"/>
        <v>0</v>
      </c>
    </row>
    <row r="39863" spans="20:20" ht="18.75" customHeight="1" x14ac:dyDescent="0.35">
      <c r="T39863" s="246">
        <f t="shared" si="660"/>
        <v>0</v>
      </c>
    </row>
    <row r="39864" spans="20:20" ht="18.75" customHeight="1" x14ac:dyDescent="0.35">
      <c r="T39864" s="246">
        <f t="shared" si="660"/>
        <v>0</v>
      </c>
    </row>
    <row r="39865" spans="20:20" ht="18.75" customHeight="1" x14ac:dyDescent="0.35">
      <c r="T39865" s="246">
        <f t="shared" si="660"/>
        <v>0</v>
      </c>
    </row>
    <row r="39866" spans="20:20" ht="18.75" customHeight="1" x14ac:dyDescent="0.35">
      <c r="T39866" s="246">
        <f t="shared" si="660"/>
        <v>0</v>
      </c>
    </row>
    <row r="39867" spans="20:20" ht="18.75" customHeight="1" x14ac:dyDescent="0.35">
      <c r="T39867" s="246">
        <f t="shared" si="660"/>
        <v>0</v>
      </c>
    </row>
    <row r="39868" spans="20:20" ht="18.75" customHeight="1" x14ac:dyDescent="0.35">
      <c r="T39868" s="246">
        <f t="shared" ref="T39868:T39931" si="661">R39868*0.01</f>
        <v>0</v>
      </c>
    </row>
    <row r="39869" spans="20:20" ht="18.75" customHeight="1" x14ac:dyDescent="0.35">
      <c r="T39869" s="246">
        <f t="shared" si="661"/>
        <v>0</v>
      </c>
    </row>
    <row r="39870" spans="20:20" ht="18.75" customHeight="1" x14ac:dyDescent="0.35">
      <c r="T39870" s="246">
        <f t="shared" si="661"/>
        <v>0</v>
      </c>
    </row>
    <row r="39871" spans="20:20" ht="18.75" customHeight="1" x14ac:dyDescent="0.35">
      <c r="T39871" s="246">
        <f t="shared" si="661"/>
        <v>0</v>
      </c>
    </row>
    <row r="39872" spans="20:20" ht="18.75" customHeight="1" x14ac:dyDescent="0.35">
      <c r="T39872" s="246">
        <f t="shared" si="661"/>
        <v>0</v>
      </c>
    </row>
    <row r="39873" spans="20:20" ht="18.75" customHeight="1" x14ac:dyDescent="0.35">
      <c r="T39873" s="246">
        <f t="shared" si="661"/>
        <v>0</v>
      </c>
    </row>
    <row r="39874" spans="20:20" ht="18.75" customHeight="1" x14ac:dyDescent="0.35">
      <c r="T39874" s="246">
        <f t="shared" si="661"/>
        <v>0</v>
      </c>
    </row>
    <row r="39875" spans="20:20" ht="18.75" customHeight="1" x14ac:dyDescent="0.35">
      <c r="T39875" s="246">
        <f t="shared" si="661"/>
        <v>0</v>
      </c>
    </row>
    <row r="39876" spans="20:20" ht="18.75" customHeight="1" x14ac:dyDescent="0.35">
      <c r="T39876" s="246">
        <f t="shared" si="661"/>
        <v>0</v>
      </c>
    </row>
    <row r="39877" spans="20:20" ht="18.75" customHeight="1" x14ac:dyDescent="0.35">
      <c r="T39877" s="246">
        <f t="shared" si="661"/>
        <v>0</v>
      </c>
    </row>
    <row r="39878" spans="20:20" ht="18.75" customHeight="1" x14ac:dyDescent="0.35">
      <c r="T39878" s="246">
        <f t="shared" si="661"/>
        <v>0</v>
      </c>
    </row>
    <row r="39879" spans="20:20" ht="18.75" customHeight="1" x14ac:dyDescent="0.35">
      <c r="T39879" s="246">
        <f t="shared" si="661"/>
        <v>0</v>
      </c>
    </row>
    <row r="39880" spans="20:20" ht="18.75" customHeight="1" x14ac:dyDescent="0.35">
      <c r="T39880" s="246">
        <f t="shared" si="661"/>
        <v>0</v>
      </c>
    </row>
    <row r="39881" spans="20:20" ht="18.75" customHeight="1" x14ac:dyDescent="0.35">
      <c r="T39881" s="246">
        <f t="shared" si="661"/>
        <v>0</v>
      </c>
    </row>
    <row r="39882" spans="20:20" ht="18.75" customHeight="1" x14ac:dyDescent="0.35">
      <c r="T39882" s="246">
        <f t="shared" si="661"/>
        <v>0</v>
      </c>
    </row>
    <row r="39883" spans="20:20" ht="18.75" customHeight="1" x14ac:dyDescent="0.35">
      <c r="T39883" s="246">
        <f t="shared" si="661"/>
        <v>0</v>
      </c>
    </row>
    <row r="39884" spans="20:20" ht="18.75" customHeight="1" x14ac:dyDescent="0.35">
      <c r="T39884" s="246">
        <f t="shared" si="661"/>
        <v>0</v>
      </c>
    </row>
    <row r="39885" spans="20:20" ht="18.75" customHeight="1" x14ac:dyDescent="0.35">
      <c r="T39885" s="246">
        <f t="shared" si="661"/>
        <v>0</v>
      </c>
    </row>
    <row r="39886" spans="20:20" ht="18.75" customHeight="1" x14ac:dyDescent="0.35">
      <c r="T39886" s="246">
        <f t="shared" si="661"/>
        <v>0</v>
      </c>
    </row>
    <row r="39887" spans="20:20" ht="18.75" customHeight="1" x14ac:dyDescent="0.35">
      <c r="T39887" s="246">
        <f t="shared" si="661"/>
        <v>0</v>
      </c>
    </row>
    <row r="39888" spans="20:20" ht="18.75" customHeight="1" x14ac:dyDescent="0.35">
      <c r="T39888" s="246">
        <f t="shared" si="661"/>
        <v>0</v>
      </c>
    </row>
    <row r="39889" spans="20:20" ht="18.75" customHeight="1" x14ac:dyDescent="0.35">
      <c r="T39889" s="246">
        <f t="shared" si="661"/>
        <v>0</v>
      </c>
    </row>
    <row r="39890" spans="20:20" ht="18.75" customHeight="1" x14ac:dyDescent="0.35">
      <c r="T39890" s="246">
        <f t="shared" si="661"/>
        <v>0</v>
      </c>
    </row>
    <row r="39891" spans="20:20" ht="18.75" customHeight="1" x14ac:dyDescent="0.35">
      <c r="T39891" s="246">
        <f t="shared" si="661"/>
        <v>0</v>
      </c>
    </row>
    <row r="39892" spans="20:20" ht="18.75" customHeight="1" x14ac:dyDescent="0.35">
      <c r="T39892" s="246">
        <f t="shared" si="661"/>
        <v>0</v>
      </c>
    </row>
    <row r="39893" spans="20:20" ht="18.75" customHeight="1" x14ac:dyDescent="0.35">
      <c r="T39893" s="246">
        <f t="shared" si="661"/>
        <v>0</v>
      </c>
    </row>
    <row r="39894" spans="20:20" ht="18.75" customHeight="1" x14ac:dyDescent="0.35">
      <c r="T39894" s="246">
        <f t="shared" si="661"/>
        <v>0</v>
      </c>
    </row>
    <row r="39895" spans="20:20" ht="18.75" customHeight="1" x14ac:dyDescent="0.35">
      <c r="T39895" s="246">
        <f t="shared" si="661"/>
        <v>0</v>
      </c>
    </row>
    <row r="39896" spans="20:20" ht="18.75" customHeight="1" x14ac:dyDescent="0.35">
      <c r="T39896" s="246">
        <f t="shared" si="661"/>
        <v>0</v>
      </c>
    </row>
    <row r="39897" spans="20:20" ht="18.75" customHeight="1" x14ac:dyDescent="0.35">
      <c r="T39897" s="246">
        <f t="shared" si="661"/>
        <v>0</v>
      </c>
    </row>
    <row r="39898" spans="20:20" ht="18.75" customHeight="1" x14ac:dyDescent="0.35">
      <c r="T39898" s="246">
        <f t="shared" si="661"/>
        <v>0</v>
      </c>
    </row>
    <row r="39899" spans="20:20" ht="18.75" customHeight="1" x14ac:dyDescent="0.35">
      <c r="T39899" s="246">
        <f t="shared" si="661"/>
        <v>0</v>
      </c>
    </row>
    <row r="39900" spans="20:20" ht="18.75" customHeight="1" x14ac:dyDescent="0.35">
      <c r="T39900" s="246">
        <f t="shared" si="661"/>
        <v>0</v>
      </c>
    </row>
    <row r="39901" spans="20:20" ht="18.75" customHeight="1" x14ac:dyDescent="0.35">
      <c r="T39901" s="246">
        <f t="shared" si="661"/>
        <v>0</v>
      </c>
    </row>
    <row r="39902" spans="20:20" ht="18.75" customHeight="1" x14ac:dyDescent="0.35">
      <c r="T39902" s="246">
        <f t="shared" si="661"/>
        <v>0</v>
      </c>
    </row>
    <row r="39903" spans="20:20" ht="18.75" customHeight="1" x14ac:dyDescent="0.35">
      <c r="T39903" s="246">
        <f t="shared" si="661"/>
        <v>0</v>
      </c>
    </row>
    <row r="39904" spans="20:20" ht="18.75" customHeight="1" x14ac:dyDescent="0.35">
      <c r="T39904" s="246">
        <f t="shared" si="661"/>
        <v>0</v>
      </c>
    </row>
    <row r="39905" spans="20:20" ht="18.75" customHeight="1" x14ac:dyDescent="0.35">
      <c r="T39905" s="246">
        <f t="shared" si="661"/>
        <v>0</v>
      </c>
    </row>
    <row r="39906" spans="20:20" ht="18.75" customHeight="1" x14ac:dyDescent="0.35">
      <c r="T39906" s="246">
        <f t="shared" si="661"/>
        <v>0</v>
      </c>
    </row>
    <row r="39907" spans="20:20" ht="18.75" customHeight="1" x14ac:dyDescent="0.35">
      <c r="T39907" s="246">
        <f t="shared" si="661"/>
        <v>0</v>
      </c>
    </row>
    <row r="39908" spans="20:20" ht="18.75" customHeight="1" x14ac:dyDescent="0.35">
      <c r="T39908" s="246">
        <f t="shared" si="661"/>
        <v>0</v>
      </c>
    </row>
    <row r="39909" spans="20:20" ht="18.75" customHeight="1" x14ac:dyDescent="0.35">
      <c r="T39909" s="246">
        <f t="shared" si="661"/>
        <v>0</v>
      </c>
    </row>
    <row r="39910" spans="20:20" ht="18.75" customHeight="1" x14ac:dyDescent="0.35">
      <c r="T39910" s="246">
        <f t="shared" si="661"/>
        <v>0</v>
      </c>
    </row>
    <row r="39911" spans="20:20" ht="18.75" customHeight="1" x14ac:dyDescent="0.35">
      <c r="T39911" s="246">
        <f t="shared" si="661"/>
        <v>0</v>
      </c>
    </row>
    <row r="39912" spans="20:20" ht="18.75" customHeight="1" x14ac:dyDescent="0.35">
      <c r="T39912" s="246">
        <f t="shared" si="661"/>
        <v>0</v>
      </c>
    </row>
    <row r="39913" spans="20:20" ht="18.75" customHeight="1" x14ac:dyDescent="0.35">
      <c r="T39913" s="246">
        <f t="shared" si="661"/>
        <v>0</v>
      </c>
    </row>
    <row r="39914" spans="20:20" ht="18.75" customHeight="1" x14ac:dyDescent="0.35">
      <c r="T39914" s="246">
        <f t="shared" si="661"/>
        <v>0</v>
      </c>
    </row>
    <row r="39915" spans="20:20" ht="18.75" customHeight="1" x14ac:dyDescent="0.35">
      <c r="T39915" s="246">
        <f t="shared" si="661"/>
        <v>0</v>
      </c>
    </row>
    <row r="39916" spans="20:20" ht="18.75" customHeight="1" x14ac:dyDescent="0.35">
      <c r="T39916" s="246">
        <f t="shared" si="661"/>
        <v>0</v>
      </c>
    </row>
    <row r="39917" spans="20:20" ht="18.75" customHeight="1" x14ac:dyDescent="0.35">
      <c r="T39917" s="246">
        <f t="shared" si="661"/>
        <v>0</v>
      </c>
    </row>
    <row r="39918" spans="20:20" ht="18.75" customHeight="1" x14ac:dyDescent="0.35">
      <c r="T39918" s="246">
        <f t="shared" si="661"/>
        <v>0</v>
      </c>
    </row>
    <row r="39919" spans="20:20" ht="18.75" customHeight="1" x14ac:dyDescent="0.35">
      <c r="T39919" s="246">
        <f t="shared" si="661"/>
        <v>0</v>
      </c>
    </row>
    <row r="39920" spans="20:20" ht="18.75" customHeight="1" x14ac:dyDescent="0.35">
      <c r="T39920" s="246">
        <f t="shared" si="661"/>
        <v>0</v>
      </c>
    </row>
    <row r="39921" spans="20:20" ht="18.75" customHeight="1" x14ac:dyDescent="0.35">
      <c r="T39921" s="246">
        <f t="shared" si="661"/>
        <v>0</v>
      </c>
    </row>
    <row r="39922" spans="20:20" ht="18.75" customHeight="1" x14ac:dyDescent="0.35">
      <c r="T39922" s="246">
        <f t="shared" si="661"/>
        <v>0</v>
      </c>
    </row>
    <row r="39923" spans="20:20" ht="18.75" customHeight="1" x14ac:dyDescent="0.35">
      <c r="T39923" s="246">
        <f t="shared" si="661"/>
        <v>0</v>
      </c>
    </row>
    <row r="39924" spans="20:20" ht="18.75" customHeight="1" x14ac:dyDescent="0.35">
      <c r="T39924" s="246">
        <f t="shared" si="661"/>
        <v>0</v>
      </c>
    </row>
    <row r="39925" spans="20:20" ht="18.75" customHeight="1" x14ac:dyDescent="0.35">
      <c r="T39925" s="246">
        <f t="shared" si="661"/>
        <v>0</v>
      </c>
    </row>
    <row r="39926" spans="20:20" ht="18.75" customHeight="1" x14ac:dyDescent="0.35">
      <c r="T39926" s="246">
        <f t="shared" si="661"/>
        <v>0</v>
      </c>
    </row>
    <row r="39927" spans="20:20" ht="18.75" customHeight="1" x14ac:dyDescent="0.35">
      <c r="T39927" s="246">
        <f t="shared" si="661"/>
        <v>0</v>
      </c>
    </row>
    <row r="39928" spans="20:20" ht="18.75" customHeight="1" x14ac:dyDescent="0.35">
      <c r="T39928" s="246">
        <f t="shared" si="661"/>
        <v>0</v>
      </c>
    </row>
    <row r="39929" spans="20:20" ht="18.75" customHeight="1" x14ac:dyDescent="0.35">
      <c r="T39929" s="246">
        <f t="shared" si="661"/>
        <v>0</v>
      </c>
    </row>
    <row r="39930" spans="20:20" ht="18.75" customHeight="1" x14ac:dyDescent="0.35">
      <c r="T39930" s="246">
        <f t="shared" si="661"/>
        <v>0</v>
      </c>
    </row>
    <row r="39931" spans="20:20" ht="18.75" customHeight="1" x14ac:dyDescent="0.35">
      <c r="T39931" s="246">
        <f t="shared" si="661"/>
        <v>0</v>
      </c>
    </row>
    <row r="39932" spans="20:20" ht="18.75" customHeight="1" x14ac:dyDescent="0.35">
      <c r="T39932" s="246">
        <f t="shared" ref="T39932:T39995" si="662">R39932*0.01</f>
        <v>0</v>
      </c>
    </row>
    <row r="39933" spans="20:20" ht="18.75" customHeight="1" x14ac:dyDescent="0.35">
      <c r="T39933" s="246">
        <f t="shared" si="662"/>
        <v>0</v>
      </c>
    </row>
    <row r="39934" spans="20:20" ht="18.75" customHeight="1" x14ac:dyDescent="0.35">
      <c r="T39934" s="246">
        <f t="shared" si="662"/>
        <v>0</v>
      </c>
    </row>
    <row r="39935" spans="20:20" ht="18.75" customHeight="1" x14ac:dyDescent="0.35">
      <c r="T39935" s="246">
        <f t="shared" si="662"/>
        <v>0</v>
      </c>
    </row>
    <row r="39936" spans="20:20" ht="18.75" customHeight="1" x14ac:dyDescent="0.35">
      <c r="T39936" s="246">
        <f t="shared" si="662"/>
        <v>0</v>
      </c>
    </row>
    <row r="39937" spans="20:20" ht="18.75" customHeight="1" x14ac:dyDescent="0.35">
      <c r="T39937" s="246">
        <f t="shared" si="662"/>
        <v>0</v>
      </c>
    </row>
    <row r="39938" spans="20:20" ht="18.75" customHeight="1" x14ac:dyDescent="0.35">
      <c r="T39938" s="246">
        <f t="shared" si="662"/>
        <v>0</v>
      </c>
    </row>
    <row r="39939" spans="20:20" ht="18.75" customHeight="1" x14ac:dyDescent="0.35">
      <c r="T39939" s="246">
        <f t="shared" si="662"/>
        <v>0</v>
      </c>
    </row>
    <row r="39940" spans="20:20" ht="18.75" customHeight="1" x14ac:dyDescent="0.35">
      <c r="T39940" s="246">
        <f t="shared" si="662"/>
        <v>0</v>
      </c>
    </row>
    <row r="39941" spans="20:20" ht="18.75" customHeight="1" x14ac:dyDescent="0.35">
      <c r="T39941" s="246">
        <f t="shared" si="662"/>
        <v>0</v>
      </c>
    </row>
    <row r="39942" spans="20:20" ht="18.75" customHeight="1" x14ac:dyDescent="0.35">
      <c r="T39942" s="246">
        <f t="shared" si="662"/>
        <v>0</v>
      </c>
    </row>
    <row r="39943" spans="20:20" ht="18.75" customHeight="1" x14ac:dyDescent="0.35">
      <c r="T39943" s="246">
        <f t="shared" si="662"/>
        <v>0</v>
      </c>
    </row>
    <row r="39944" spans="20:20" ht="18.75" customHeight="1" x14ac:dyDescent="0.35">
      <c r="T39944" s="246">
        <f t="shared" si="662"/>
        <v>0</v>
      </c>
    </row>
    <row r="39945" spans="20:20" ht="18.75" customHeight="1" x14ac:dyDescent="0.35">
      <c r="T39945" s="246">
        <f t="shared" si="662"/>
        <v>0</v>
      </c>
    </row>
    <row r="39946" spans="20:20" ht="18.75" customHeight="1" x14ac:dyDescent="0.35">
      <c r="T39946" s="246">
        <f t="shared" si="662"/>
        <v>0</v>
      </c>
    </row>
    <row r="39947" spans="20:20" ht="18.75" customHeight="1" x14ac:dyDescent="0.35">
      <c r="T39947" s="246">
        <f t="shared" si="662"/>
        <v>0</v>
      </c>
    </row>
    <row r="39948" spans="20:20" ht="18.75" customHeight="1" x14ac:dyDescent="0.35">
      <c r="T39948" s="246">
        <f t="shared" si="662"/>
        <v>0</v>
      </c>
    </row>
    <row r="39949" spans="20:20" ht="18.75" customHeight="1" x14ac:dyDescent="0.35">
      <c r="T39949" s="246">
        <f t="shared" si="662"/>
        <v>0</v>
      </c>
    </row>
    <row r="39950" spans="20:20" ht="18.75" customHeight="1" x14ac:dyDescent="0.35">
      <c r="T39950" s="246">
        <f t="shared" si="662"/>
        <v>0</v>
      </c>
    </row>
    <row r="39951" spans="20:20" ht="18.75" customHeight="1" x14ac:dyDescent="0.35">
      <c r="T39951" s="246">
        <f t="shared" si="662"/>
        <v>0</v>
      </c>
    </row>
    <row r="39952" spans="20:20" ht="18.75" customHeight="1" x14ac:dyDescent="0.35">
      <c r="T39952" s="246">
        <f t="shared" si="662"/>
        <v>0</v>
      </c>
    </row>
    <row r="39953" spans="20:20" ht="18.75" customHeight="1" x14ac:dyDescent="0.35">
      <c r="T39953" s="246">
        <f t="shared" si="662"/>
        <v>0</v>
      </c>
    </row>
    <row r="39954" spans="20:20" ht="18.75" customHeight="1" x14ac:dyDescent="0.35">
      <c r="T39954" s="246">
        <f t="shared" si="662"/>
        <v>0</v>
      </c>
    </row>
    <row r="39955" spans="20:20" ht="18.75" customHeight="1" x14ac:dyDescent="0.35">
      <c r="T39955" s="246">
        <f t="shared" si="662"/>
        <v>0</v>
      </c>
    </row>
    <row r="39956" spans="20:20" ht="18.75" customHeight="1" x14ac:dyDescent="0.35">
      <c r="T39956" s="246">
        <f t="shared" si="662"/>
        <v>0</v>
      </c>
    </row>
    <row r="39957" spans="20:20" ht="18.75" customHeight="1" x14ac:dyDescent="0.35">
      <c r="T39957" s="246">
        <f t="shared" si="662"/>
        <v>0</v>
      </c>
    </row>
    <row r="39958" spans="20:20" ht="18.75" customHeight="1" x14ac:dyDescent="0.35">
      <c r="T39958" s="246">
        <f t="shared" si="662"/>
        <v>0</v>
      </c>
    </row>
    <row r="39959" spans="20:20" ht="18.75" customHeight="1" x14ac:dyDescent="0.35">
      <c r="T39959" s="246">
        <f t="shared" si="662"/>
        <v>0</v>
      </c>
    </row>
    <row r="39960" spans="20:20" ht="18.75" customHeight="1" x14ac:dyDescent="0.35">
      <c r="T39960" s="246">
        <f t="shared" si="662"/>
        <v>0</v>
      </c>
    </row>
    <row r="39961" spans="20:20" ht="18.75" customHeight="1" x14ac:dyDescent="0.35">
      <c r="T39961" s="246">
        <f t="shared" si="662"/>
        <v>0</v>
      </c>
    </row>
    <row r="39962" spans="20:20" ht="18.75" customHeight="1" x14ac:dyDescent="0.35">
      <c r="T39962" s="246">
        <f t="shared" si="662"/>
        <v>0</v>
      </c>
    </row>
    <row r="39963" spans="20:20" ht="18.75" customHeight="1" x14ac:dyDescent="0.35">
      <c r="T39963" s="246">
        <f t="shared" si="662"/>
        <v>0</v>
      </c>
    </row>
    <row r="39964" spans="20:20" ht="18.75" customHeight="1" x14ac:dyDescent="0.35">
      <c r="T39964" s="246">
        <f t="shared" si="662"/>
        <v>0</v>
      </c>
    </row>
    <row r="39965" spans="20:20" ht="18.75" customHeight="1" x14ac:dyDescent="0.35">
      <c r="T39965" s="246">
        <f t="shared" si="662"/>
        <v>0</v>
      </c>
    </row>
    <row r="39966" spans="20:20" ht="18.75" customHeight="1" x14ac:dyDescent="0.35">
      <c r="T39966" s="246">
        <f t="shared" si="662"/>
        <v>0</v>
      </c>
    </row>
    <row r="39967" spans="20:20" ht="18.75" customHeight="1" x14ac:dyDescent="0.35">
      <c r="T39967" s="246">
        <f t="shared" si="662"/>
        <v>0</v>
      </c>
    </row>
    <row r="39968" spans="20:20" ht="18.75" customHeight="1" x14ac:dyDescent="0.35">
      <c r="T39968" s="246">
        <f t="shared" si="662"/>
        <v>0</v>
      </c>
    </row>
    <row r="39969" spans="20:20" ht="18.75" customHeight="1" x14ac:dyDescent="0.35">
      <c r="T39969" s="246">
        <f t="shared" si="662"/>
        <v>0</v>
      </c>
    </row>
    <row r="39970" spans="20:20" ht="18.75" customHeight="1" x14ac:dyDescent="0.35">
      <c r="T39970" s="246">
        <f t="shared" si="662"/>
        <v>0</v>
      </c>
    </row>
    <row r="39971" spans="20:20" ht="18.75" customHeight="1" x14ac:dyDescent="0.35">
      <c r="T39971" s="246">
        <f t="shared" si="662"/>
        <v>0</v>
      </c>
    </row>
    <row r="39972" spans="20:20" ht="18.75" customHeight="1" x14ac:dyDescent="0.35">
      <c r="T39972" s="246">
        <f t="shared" si="662"/>
        <v>0</v>
      </c>
    </row>
    <row r="39973" spans="20:20" ht="18.75" customHeight="1" x14ac:dyDescent="0.35">
      <c r="T39973" s="246">
        <f t="shared" si="662"/>
        <v>0</v>
      </c>
    </row>
    <row r="39974" spans="20:20" ht="18.75" customHeight="1" x14ac:dyDescent="0.35">
      <c r="T39974" s="246">
        <f t="shared" si="662"/>
        <v>0</v>
      </c>
    </row>
    <row r="39975" spans="20:20" ht="18.75" customHeight="1" x14ac:dyDescent="0.35">
      <c r="T39975" s="246">
        <f t="shared" si="662"/>
        <v>0</v>
      </c>
    </row>
    <row r="39976" spans="20:20" ht="18.75" customHeight="1" x14ac:dyDescent="0.35">
      <c r="T39976" s="246">
        <f t="shared" si="662"/>
        <v>0</v>
      </c>
    </row>
    <row r="39977" spans="20:20" ht="18.75" customHeight="1" x14ac:dyDescent="0.35">
      <c r="T39977" s="246">
        <f t="shared" si="662"/>
        <v>0</v>
      </c>
    </row>
    <row r="39978" spans="20:20" ht="18.75" customHeight="1" x14ac:dyDescent="0.35">
      <c r="T39978" s="246">
        <f t="shared" si="662"/>
        <v>0</v>
      </c>
    </row>
    <row r="39979" spans="20:20" ht="18.75" customHeight="1" x14ac:dyDescent="0.35">
      <c r="T39979" s="246">
        <f t="shared" si="662"/>
        <v>0</v>
      </c>
    </row>
    <row r="39980" spans="20:20" ht="18.75" customHeight="1" x14ac:dyDescent="0.35">
      <c r="T39980" s="246">
        <f t="shared" si="662"/>
        <v>0</v>
      </c>
    </row>
    <row r="39981" spans="20:20" ht="18.75" customHeight="1" x14ac:dyDescent="0.35">
      <c r="T39981" s="246">
        <f t="shared" si="662"/>
        <v>0</v>
      </c>
    </row>
    <row r="39982" spans="20:20" ht="18.75" customHeight="1" x14ac:dyDescent="0.35">
      <c r="T39982" s="246">
        <f t="shared" si="662"/>
        <v>0</v>
      </c>
    </row>
    <row r="39983" spans="20:20" ht="18.75" customHeight="1" x14ac:dyDescent="0.35">
      <c r="T39983" s="246">
        <f t="shared" si="662"/>
        <v>0</v>
      </c>
    </row>
    <row r="39984" spans="20:20" ht="18.75" customHeight="1" x14ac:dyDescent="0.35">
      <c r="T39984" s="246">
        <f t="shared" si="662"/>
        <v>0</v>
      </c>
    </row>
    <row r="39985" spans="20:20" ht="18.75" customHeight="1" x14ac:dyDescent="0.35">
      <c r="T39985" s="246">
        <f t="shared" si="662"/>
        <v>0</v>
      </c>
    </row>
    <row r="39986" spans="20:20" ht="18.75" customHeight="1" x14ac:dyDescent="0.35">
      <c r="T39986" s="246">
        <f t="shared" si="662"/>
        <v>0</v>
      </c>
    </row>
    <row r="39987" spans="20:20" ht="18.75" customHeight="1" x14ac:dyDescent="0.35">
      <c r="T39987" s="246">
        <f t="shared" si="662"/>
        <v>0</v>
      </c>
    </row>
    <row r="39988" spans="20:20" ht="18.75" customHeight="1" x14ac:dyDescent="0.35">
      <c r="T39988" s="246">
        <f t="shared" si="662"/>
        <v>0</v>
      </c>
    </row>
    <row r="39989" spans="20:20" ht="18.75" customHeight="1" x14ac:dyDescent="0.35">
      <c r="T39989" s="246">
        <f t="shared" si="662"/>
        <v>0</v>
      </c>
    </row>
    <row r="39990" spans="20:20" ht="18.75" customHeight="1" x14ac:dyDescent="0.35">
      <c r="T39990" s="246">
        <f t="shared" si="662"/>
        <v>0</v>
      </c>
    </row>
    <row r="39991" spans="20:20" ht="18.75" customHeight="1" x14ac:dyDescent="0.35">
      <c r="T39991" s="246">
        <f t="shared" si="662"/>
        <v>0</v>
      </c>
    </row>
    <row r="39992" spans="20:20" ht="18.75" customHeight="1" x14ac:dyDescent="0.35">
      <c r="T39992" s="246">
        <f t="shared" si="662"/>
        <v>0</v>
      </c>
    </row>
    <row r="39993" spans="20:20" ht="18.75" customHeight="1" x14ac:dyDescent="0.35">
      <c r="T39993" s="246">
        <f t="shared" si="662"/>
        <v>0</v>
      </c>
    </row>
    <row r="39994" spans="20:20" ht="18.75" customHeight="1" x14ac:dyDescent="0.35">
      <c r="T39994" s="246">
        <f t="shared" si="662"/>
        <v>0</v>
      </c>
    </row>
    <row r="39995" spans="20:20" ht="18.75" customHeight="1" x14ac:dyDescent="0.35">
      <c r="T39995" s="246">
        <f t="shared" si="662"/>
        <v>0</v>
      </c>
    </row>
    <row r="39996" spans="20:20" ht="18.75" customHeight="1" x14ac:dyDescent="0.35">
      <c r="T39996" s="246">
        <f t="shared" ref="T39996:T40059" si="663">R39996*0.01</f>
        <v>0</v>
      </c>
    </row>
    <row r="39997" spans="20:20" ht="18.75" customHeight="1" x14ac:dyDescent="0.35">
      <c r="T39997" s="246">
        <f t="shared" si="663"/>
        <v>0</v>
      </c>
    </row>
    <row r="39998" spans="20:20" ht="18.75" customHeight="1" x14ac:dyDescent="0.35">
      <c r="T39998" s="246">
        <f t="shared" si="663"/>
        <v>0</v>
      </c>
    </row>
    <row r="39999" spans="20:20" ht="18.75" customHeight="1" x14ac:dyDescent="0.35">
      <c r="T39999" s="246">
        <f t="shared" si="663"/>
        <v>0</v>
      </c>
    </row>
    <row r="40000" spans="20:20" ht="18.75" customHeight="1" x14ac:dyDescent="0.35">
      <c r="T40000" s="246">
        <f t="shared" si="663"/>
        <v>0</v>
      </c>
    </row>
    <row r="40001" spans="20:20" ht="18.75" customHeight="1" x14ac:dyDescent="0.35">
      <c r="T40001" s="246">
        <f t="shared" si="663"/>
        <v>0</v>
      </c>
    </row>
    <row r="40002" spans="20:20" ht="18.75" customHeight="1" x14ac:dyDescent="0.35">
      <c r="T40002" s="246">
        <f t="shared" si="663"/>
        <v>0</v>
      </c>
    </row>
    <row r="40003" spans="20:20" ht="18.75" customHeight="1" x14ac:dyDescent="0.35">
      <c r="T40003" s="246">
        <f t="shared" si="663"/>
        <v>0</v>
      </c>
    </row>
    <row r="40004" spans="20:20" ht="18.75" customHeight="1" x14ac:dyDescent="0.35">
      <c r="T40004" s="246">
        <f t="shared" si="663"/>
        <v>0</v>
      </c>
    </row>
    <row r="40005" spans="20:20" ht="18.75" customHeight="1" x14ac:dyDescent="0.35">
      <c r="T40005" s="246">
        <f t="shared" si="663"/>
        <v>0</v>
      </c>
    </row>
    <row r="40006" spans="20:20" ht="18.75" customHeight="1" x14ac:dyDescent="0.35">
      <c r="T40006" s="246">
        <f t="shared" si="663"/>
        <v>0</v>
      </c>
    </row>
    <row r="40007" spans="20:20" ht="18.75" customHeight="1" x14ac:dyDescent="0.35">
      <c r="T40007" s="246">
        <f t="shared" si="663"/>
        <v>0</v>
      </c>
    </row>
    <row r="40008" spans="20:20" ht="18.75" customHeight="1" x14ac:dyDescent="0.35">
      <c r="T40008" s="246">
        <f t="shared" si="663"/>
        <v>0</v>
      </c>
    </row>
    <row r="40009" spans="20:20" ht="18.75" customHeight="1" x14ac:dyDescent="0.35">
      <c r="T40009" s="246">
        <f t="shared" si="663"/>
        <v>0</v>
      </c>
    </row>
    <row r="40010" spans="20:20" ht="18.75" customHeight="1" x14ac:dyDescent="0.35">
      <c r="T40010" s="246">
        <f t="shared" si="663"/>
        <v>0</v>
      </c>
    </row>
    <row r="40011" spans="20:20" ht="18.75" customHeight="1" x14ac:dyDescent="0.35">
      <c r="T40011" s="246">
        <f t="shared" si="663"/>
        <v>0</v>
      </c>
    </row>
    <row r="40012" spans="20:20" ht="18.75" customHeight="1" x14ac:dyDescent="0.35">
      <c r="T40012" s="246">
        <f t="shared" si="663"/>
        <v>0</v>
      </c>
    </row>
    <row r="40013" spans="20:20" ht="18.75" customHeight="1" x14ac:dyDescent="0.35">
      <c r="T40013" s="246">
        <f t="shared" si="663"/>
        <v>0</v>
      </c>
    </row>
    <row r="40014" spans="20:20" ht="18.75" customHeight="1" x14ac:dyDescent="0.35">
      <c r="T40014" s="246">
        <f t="shared" si="663"/>
        <v>0</v>
      </c>
    </row>
    <row r="40015" spans="20:20" ht="18.75" customHeight="1" x14ac:dyDescent="0.35">
      <c r="T40015" s="246">
        <f t="shared" si="663"/>
        <v>0</v>
      </c>
    </row>
    <row r="40016" spans="20:20" ht="18.75" customHeight="1" x14ac:dyDescent="0.35">
      <c r="T40016" s="246">
        <f t="shared" si="663"/>
        <v>0</v>
      </c>
    </row>
    <row r="40017" spans="20:20" ht="18.75" customHeight="1" x14ac:dyDescent="0.35">
      <c r="T40017" s="246">
        <f t="shared" si="663"/>
        <v>0</v>
      </c>
    </row>
    <row r="40018" spans="20:20" ht="18.75" customHeight="1" x14ac:dyDescent="0.35">
      <c r="T40018" s="246">
        <f t="shared" si="663"/>
        <v>0</v>
      </c>
    </row>
    <row r="40019" spans="20:20" ht="18.75" customHeight="1" x14ac:dyDescent="0.35">
      <c r="T40019" s="246">
        <f t="shared" si="663"/>
        <v>0</v>
      </c>
    </row>
    <row r="40020" spans="20:20" ht="18.75" customHeight="1" x14ac:dyDescent="0.35">
      <c r="T40020" s="246">
        <f t="shared" si="663"/>
        <v>0</v>
      </c>
    </row>
    <row r="40021" spans="20:20" ht="18.75" customHeight="1" x14ac:dyDescent="0.35">
      <c r="T40021" s="246">
        <f t="shared" si="663"/>
        <v>0</v>
      </c>
    </row>
    <row r="40022" spans="20:20" ht="18.75" customHeight="1" x14ac:dyDescent="0.35">
      <c r="T40022" s="246">
        <f t="shared" si="663"/>
        <v>0</v>
      </c>
    </row>
    <row r="40023" spans="20:20" ht="18.75" customHeight="1" x14ac:dyDescent="0.35">
      <c r="T40023" s="246">
        <f t="shared" si="663"/>
        <v>0</v>
      </c>
    </row>
    <row r="40024" spans="20:20" ht="18.75" customHeight="1" x14ac:dyDescent="0.35">
      <c r="T40024" s="246">
        <f t="shared" si="663"/>
        <v>0</v>
      </c>
    </row>
    <row r="40025" spans="20:20" ht="18.75" customHeight="1" x14ac:dyDescent="0.35">
      <c r="T40025" s="246">
        <f t="shared" si="663"/>
        <v>0</v>
      </c>
    </row>
    <row r="40026" spans="20:20" ht="18.75" customHeight="1" x14ac:dyDescent="0.35">
      <c r="T40026" s="246">
        <f t="shared" si="663"/>
        <v>0</v>
      </c>
    </row>
    <row r="40027" spans="20:20" ht="18.75" customHeight="1" x14ac:dyDescent="0.35">
      <c r="T40027" s="246">
        <f t="shared" si="663"/>
        <v>0</v>
      </c>
    </row>
    <row r="40028" spans="20:20" ht="18.75" customHeight="1" x14ac:dyDescent="0.35">
      <c r="T40028" s="246">
        <f t="shared" si="663"/>
        <v>0</v>
      </c>
    </row>
    <row r="40029" spans="20:20" ht="18.75" customHeight="1" x14ac:dyDescent="0.35">
      <c r="T40029" s="246">
        <f t="shared" si="663"/>
        <v>0</v>
      </c>
    </row>
    <row r="40030" spans="20:20" ht="18.75" customHeight="1" x14ac:dyDescent="0.35">
      <c r="T40030" s="246">
        <f t="shared" si="663"/>
        <v>0</v>
      </c>
    </row>
    <row r="40031" spans="20:20" ht="18.75" customHeight="1" x14ac:dyDescent="0.35">
      <c r="T40031" s="246">
        <f t="shared" si="663"/>
        <v>0</v>
      </c>
    </row>
    <row r="40032" spans="20:20" ht="18.75" customHeight="1" x14ac:dyDescent="0.35">
      <c r="T40032" s="246">
        <f t="shared" si="663"/>
        <v>0</v>
      </c>
    </row>
    <row r="40033" spans="20:20" ht="18.75" customHeight="1" x14ac:dyDescent="0.35">
      <c r="T40033" s="246">
        <f t="shared" si="663"/>
        <v>0</v>
      </c>
    </row>
    <row r="40034" spans="20:20" ht="18.75" customHeight="1" x14ac:dyDescent="0.35">
      <c r="T40034" s="246">
        <f t="shared" si="663"/>
        <v>0</v>
      </c>
    </row>
    <row r="40035" spans="20:20" ht="18.75" customHeight="1" x14ac:dyDescent="0.35">
      <c r="T40035" s="246">
        <f t="shared" si="663"/>
        <v>0</v>
      </c>
    </row>
    <row r="40036" spans="20:20" ht="18.75" customHeight="1" x14ac:dyDescent="0.35">
      <c r="T40036" s="246">
        <f t="shared" si="663"/>
        <v>0</v>
      </c>
    </row>
    <row r="40037" spans="20:20" ht="18.75" customHeight="1" x14ac:dyDescent="0.35">
      <c r="T40037" s="246">
        <f t="shared" si="663"/>
        <v>0</v>
      </c>
    </row>
    <row r="40038" spans="20:20" ht="18.75" customHeight="1" x14ac:dyDescent="0.35">
      <c r="T40038" s="246">
        <f t="shared" si="663"/>
        <v>0</v>
      </c>
    </row>
    <row r="40039" spans="20:20" ht="18.75" customHeight="1" x14ac:dyDescent="0.35">
      <c r="T40039" s="246">
        <f t="shared" si="663"/>
        <v>0</v>
      </c>
    </row>
    <row r="40040" spans="20:20" ht="18.75" customHeight="1" x14ac:dyDescent="0.35">
      <c r="T40040" s="246">
        <f t="shared" si="663"/>
        <v>0</v>
      </c>
    </row>
    <row r="40041" spans="20:20" ht="18.75" customHeight="1" x14ac:dyDescent="0.35">
      <c r="T40041" s="246">
        <f t="shared" si="663"/>
        <v>0</v>
      </c>
    </row>
    <row r="40042" spans="20:20" ht="18.75" customHeight="1" x14ac:dyDescent="0.35">
      <c r="T40042" s="246">
        <f t="shared" si="663"/>
        <v>0</v>
      </c>
    </row>
    <row r="40043" spans="20:20" ht="18.75" customHeight="1" x14ac:dyDescent="0.35">
      <c r="T40043" s="246">
        <f t="shared" si="663"/>
        <v>0</v>
      </c>
    </row>
    <row r="40044" spans="20:20" ht="18.75" customHeight="1" x14ac:dyDescent="0.35">
      <c r="T40044" s="246">
        <f t="shared" si="663"/>
        <v>0</v>
      </c>
    </row>
    <row r="40045" spans="20:20" ht="18.75" customHeight="1" x14ac:dyDescent="0.35">
      <c r="T40045" s="246">
        <f t="shared" si="663"/>
        <v>0</v>
      </c>
    </row>
    <row r="40046" spans="20:20" ht="18.75" customHeight="1" x14ac:dyDescent="0.35">
      <c r="T40046" s="246">
        <f t="shared" si="663"/>
        <v>0</v>
      </c>
    </row>
    <row r="40047" spans="20:20" ht="18.75" customHeight="1" x14ac:dyDescent="0.35">
      <c r="T40047" s="246">
        <f t="shared" si="663"/>
        <v>0</v>
      </c>
    </row>
    <row r="40048" spans="20:20" ht="18.75" customHeight="1" x14ac:dyDescent="0.35">
      <c r="T40048" s="246">
        <f t="shared" si="663"/>
        <v>0</v>
      </c>
    </row>
    <row r="40049" spans="20:20" ht="18.75" customHeight="1" x14ac:dyDescent="0.35">
      <c r="T40049" s="246">
        <f t="shared" si="663"/>
        <v>0</v>
      </c>
    </row>
    <row r="40050" spans="20:20" ht="18.75" customHeight="1" x14ac:dyDescent="0.35">
      <c r="T40050" s="246">
        <f t="shared" si="663"/>
        <v>0</v>
      </c>
    </row>
    <row r="40051" spans="20:20" ht="18.75" customHeight="1" x14ac:dyDescent="0.35">
      <c r="T40051" s="246">
        <f t="shared" si="663"/>
        <v>0</v>
      </c>
    </row>
    <row r="40052" spans="20:20" ht="18.75" customHeight="1" x14ac:dyDescent="0.35">
      <c r="T40052" s="246">
        <f t="shared" si="663"/>
        <v>0</v>
      </c>
    </row>
    <row r="40053" spans="20:20" ht="18.75" customHeight="1" x14ac:dyDescent="0.35">
      <c r="T40053" s="246">
        <f t="shared" si="663"/>
        <v>0</v>
      </c>
    </row>
    <row r="40054" spans="20:20" ht="18.75" customHeight="1" x14ac:dyDescent="0.35">
      <c r="T40054" s="246">
        <f t="shared" si="663"/>
        <v>0</v>
      </c>
    </row>
    <row r="40055" spans="20:20" ht="18.75" customHeight="1" x14ac:dyDescent="0.35">
      <c r="T40055" s="246">
        <f t="shared" si="663"/>
        <v>0</v>
      </c>
    </row>
    <row r="40056" spans="20:20" ht="18.75" customHeight="1" x14ac:dyDescent="0.35">
      <c r="T40056" s="246">
        <f t="shared" si="663"/>
        <v>0</v>
      </c>
    </row>
    <row r="40057" spans="20:20" ht="18.75" customHeight="1" x14ac:dyDescent="0.35">
      <c r="T40057" s="246">
        <f t="shared" si="663"/>
        <v>0</v>
      </c>
    </row>
    <row r="40058" spans="20:20" ht="18.75" customHeight="1" x14ac:dyDescent="0.35">
      <c r="T40058" s="246">
        <f t="shared" si="663"/>
        <v>0</v>
      </c>
    </row>
    <row r="40059" spans="20:20" ht="18.75" customHeight="1" x14ac:dyDescent="0.35">
      <c r="T40059" s="246">
        <f t="shared" si="663"/>
        <v>0</v>
      </c>
    </row>
    <row r="40060" spans="20:20" ht="18.75" customHeight="1" x14ac:dyDescent="0.35">
      <c r="T40060" s="246">
        <f t="shared" ref="T40060:T40123" si="664">R40060*0.01</f>
        <v>0</v>
      </c>
    </row>
    <row r="40061" spans="20:20" ht="18.75" customHeight="1" x14ac:dyDescent="0.35">
      <c r="T40061" s="246">
        <f t="shared" si="664"/>
        <v>0</v>
      </c>
    </row>
    <row r="40062" spans="20:20" ht="18.75" customHeight="1" x14ac:dyDescent="0.35">
      <c r="T40062" s="246">
        <f t="shared" si="664"/>
        <v>0</v>
      </c>
    </row>
    <row r="40063" spans="20:20" ht="18.75" customHeight="1" x14ac:dyDescent="0.35">
      <c r="T40063" s="246">
        <f t="shared" si="664"/>
        <v>0</v>
      </c>
    </row>
    <row r="40064" spans="20:20" ht="18.75" customHeight="1" x14ac:dyDescent="0.35">
      <c r="T40064" s="246">
        <f t="shared" si="664"/>
        <v>0</v>
      </c>
    </row>
    <row r="40065" spans="20:20" ht="18.75" customHeight="1" x14ac:dyDescent="0.35">
      <c r="T40065" s="246">
        <f t="shared" si="664"/>
        <v>0</v>
      </c>
    </row>
    <row r="40066" spans="20:20" ht="18.75" customHeight="1" x14ac:dyDescent="0.35">
      <c r="T40066" s="246">
        <f t="shared" si="664"/>
        <v>0</v>
      </c>
    </row>
    <row r="40067" spans="20:20" ht="18.75" customHeight="1" x14ac:dyDescent="0.35">
      <c r="T40067" s="246">
        <f t="shared" si="664"/>
        <v>0</v>
      </c>
    </row>
    <row r="40068" spans="20:20" ht="18.75" customHeight="1" x14ac:dyDescent="0.35">
      <c r="T40068" s="246">
        <f t="shared" si="664"/>
        <v>0</v>
      </c>
    </row>
    <row r="40069" spans="20:20" ht="18.75" customHeight="1" x14ac:dyDescent="0.35">
      <c r="T40069" s="246">
        <f t="shared" si="664"/>
        <v>0</v>
      </c>
    </row>
    <row r="40070" spans="20:20" ht="18.75" customHeight="1" x14ac:dyDescent="0.35">
      <c r="T40070" s="246">
        <f t="shared" si="664"/>
        <v>0</v>
      </c>
    </row>
    <row r="40071" spans="20:20" ht="18.75" customHeight="1" x14ac:dyDescent="0.35">
      <c r="T40071" s="246">
        <f t="shared" si="664"/>
        <v>0</v>
      </c>
    </row>
    <row r="40072" spans="20:20" ht="18.75" customHeight="1" x14ac:dyDescent="0.35">
      <c r="T40072" s="246">
        <f t="shared" si="664"/>
        <v>0</v>
      </c>
    </row>
    <row r="40073" spans="20:20" ht="18.75" customHeight="1" x14ac:dyDescent="0.35">
      <c r="T40073" s="246">
        <f t="shared" si="664"/>
        <v>0</v>
      </c>
    </row>
    <row r="40074" spans="20:20" ht="18.75" customHeight="1" x14ac:dyDescent="0.35">
      <c r="T40074" s="246">
        <f t="shared" si="664"/>
        <v>0</v>
      </c>
    </row>
    <row r="40075" spans="20:20" ht="18.75" customHeight="1" x14ac:dyDescent="0.35">
      <c r="T40075" s="246">
        <f t="shared" si="664"/>
        <v>0</v>
      </c>
    </row>
    <row r="40076" spans="20:20" ht="18.75" customHeight="1" x14ac:dyDescent="0.35">
      <c r="T40076" s="246">
        <f t="shared" si="664"/>
        <v>0</v>
      </c>
    </row>
    <row r="40077" spans="20:20" ht="18.75" customHeight="1" x14ac:dyDescent="0.35">
      <c r="T40077" s="246">
        <f t="shared" si="664"/>
        <v>0</v>
      </c>
    </row>
    <row r="40078" spans="20:20" ht="18.75" customHeight="1" x14ac:dyDescent="0.35">
      <c r="T40078" s="246">
        <f t="shared" si="664"/>
        <v>0</v>
      </c>
    </row>
    <row r="40079" spans="20:20" ht="18.75" customHeight="1" x14ac:dyDescent="0.35">
      <c r="T40079" s="246">
        <f t="shared" si="664"/>
        <v>0</v>
      </c>
    </row>
    <row r="40080" spans="20:20" ht="18.75" customHeight="1" x14ac:dyDescent="0.35">
      <c r="T40080" s="246">
        <f t="shared" si="664"/>
        <v>0</v>
      </c>
    </row>
    <row r="40081" spans="20:20" ht="18.75" customHeight="1" x14ac:dyDescent="0.35">
      <c r="T40081" s="246">
        <f t="shared" si="664"/>
        <v>0</v>
      </c>
    </row>
    <row r="40082" spans="20:20" ht="18.75" customHeight="1" x14ac:dyDescent="0.35">
      <c r="T40082" s="246">
        <f t="shared" si="664"/>
        <v>0</v>
      </c>
    </row>
    <row r="40083" spans="20:20" ht="18.75" customHeight="1" x14ac:dyDescent="0.35">
      <c r="T40083" s="246">
        <f t="shared" si="664"/>
        <v>0</v>
      </c>
    </row>
    <row r="40084" spans="20:20" ht="18.75" customHeight="1" x14ac:dyDescent="0.35">
      <c r="T40084" s="246">
        <f t="shared" si="664"/>
        <v>0</v>
      </c>
    </row>
    <row r="40085" spans="20:20" ht="18.75" customHeight="1" x14ac:dyDescent="0.35">
      <c r="T40085" s="246">
        <f t="shared" si="664"/>
        <v>0</v>
      </c>
    </row>
    <row r="40086" spans="20:20" ht="18.75" customHeight="1" x14ac:dyDescent="0.35">
      <c r="T40086" s="246">
        <f t="shared" si="664"/>
        <v>0</v>
      </c>
    </row>
    <row r="40087" spans="20:20" ht="18.75" customHeight="1" x14ac:dyDescent="0.35">
      <c r="T40087" s="246">
        <f t="shared" si="664"/>
        <v>0</v>
      </c>
    </row>
    <row r="40088" spans="20:20" ht="18.75" customHeight="1" x14ac:dyDescent="0.35">
      <c r="T40088" s="246">
        <f t="shared" si="664"/>
        <v>0</v>
      </c>
    </row>
    <row r="40089" spans="20:20" ht="18.75" customHeight="1" x14ac:dyDescent="0.35">
      <c r="T40089" s="246">
        <f t="shared" si="664"/>
        <v>0</v>
      </c>
    </row>
    <row r="40090" spans="20:20" ht="18.75" customHeight="1" x14ac:dyDescent="0.35">
      <c r="T40090" s="246">
        <f t="shared" si="664"/>
        <v>0</v>
      </c>
    </row>
    <row r="40091" spans="20:20" ht="18.75" customHeight="1" x14ac:dyDescent="0.35">
      <c r="T40091" s="246">
        <f t="shared" si="664"/>
        <v>0</v>
      </c>
    </row>
    <row r="40092" spans="20:20" ht="18.75" customHeight="1" x14ac:dyDescent="0.35">
      <c r="T40092" s="246">
        <f t="shared" si="664"/>
        <v>0</v>
      </c>
    </row>
    <row r="40093" spans="20:20" ht="18.75" customHeight="1" x14ac:dyDescent="0.35">
      <c r="T40093" s="246">
        <f t="shared" si="664"/>
        <v>0</v>
      </c>
    </row>
    <row r="40094" spans="20:20" ht="18.75" customHeight="1" x14ac:dyDescent="0.35">
      <c r="T40094" s="246">
        <f t="shared" si="664"/>
        <v>0</v>
      </c>
    </row>
    <row r="40095" spans="20:20" ht="18.75" customHeight="1" x14ac:dyDescent="0.35">
      <c r="T40095" s="246">
        <f t="shared" si="664"/>
        <v>0</v>
      </c>
    </row>
    <row r="40096" spans="20:20" ht="18.75" customHeight="1" x14ac:dyDescent="0.35">
      <c r="T40096" s="246">
        <f t="shared" si="664"/>
        <v>0</v>
      </c>
    </row>
    <row r="40097" spans="20:20" ht="18.75" customHeight="1" x14ac:dyDescent="0.35">
      <c r="T40097" s="246">
        <f t="shared" si="664"/>
        <v>0</v>
      </c>
    </row>
    <row r="40098" spans="20:20" ht="18.75" customHeight="1" x14ac:dyDescent="0.35">
      <c r="T40098" s="246">
        <f t="shared" si="664"/>
        <v>0</v>
      </c>
    </row>
    <row r="40099" spans="20:20" ht="18.75" customHeight="1" x14ac:dyDescent="0.35">
      <c r="T40099" s="246">
        <f t="shared" si="664"/>
        <v>0</v>
      </c>
    </row>
    <row r="40100" spans="20:20" ht="18.75" customHeight="1" x14ac:dyDescent="0.35">
      <c r="T40100" s="246">
        <f t="shared" si="664"/>
        <v>0</v>
      </c>
    </row>
    <row r="40101" spans="20:20" ht="18.75" customHeight="1" x14ac:dyDescent="0.35">
      <c r="T40101" s="246">
        <f t="shared" si="664"/>
        <v>0</v>
      </c>
    </row>
    <row r="40102" spans="20:20" ht="18.75" customHeight="1" x14ac:dyDescent="0.35">
      <c r="T40102" s="246">
        <f t="shared" si="664"/>
        <v>0</v>
      </c>
    </row>
    <row r="40103" spans="20:20" ht="18.75" customHeight="1" x14ac:dyDescent="0.35">
      <c r="T40103" s="246">
        <f t="shared" si="664"/>
        <v>0</v>
      </c>
    </row>
    <row r="40104" spans="20:20" ht="18.75" customHeight="1" x14ac:dyDescent="0.35">
      <c r="T40104" s="246">
        <f t="shared" si="664"/>
        <v>0</v>
      </c>
    </row>
    <row r="40105" spans="20:20" ht="18.75" customHeight="1" x14ac:dyDescent="0.35">
      <c r="T40105" s="246">
        <f t="shared" si="664"/>
        <v>0</v>
      </c>
    </row>
    <row r="40106" spans="20:20" ht="18.75" customHeight="1" x14ac:dyDescent="0.35">
      <c r="T40106" s="246">
        <f t="shared" si="664"/>
        <v>0</v>
      </c>
    </row>
    <row r="40107" spans="20:20" ht="18.75" customHeight="1" x14ac:dyDescent="0.35">
      <c r="T40107" s="246">
        <f t="shared" si="664"/>
        <v>0</v>
      </c>
    </row>
    <row r="40108" spans="20:20" ht="18.75" customHeight="1" x14ac:dyDescent="0.35">
      <c r="T40108" s="246">
        <f t="shared" si="664"/>
        <v>0</v>
      </c>
    </row>
    <row r="40109" spans="20:20" ht="18.75" customHeight="1" x14ac:dyDescent="0.35">
      <c r="T40109" s="246">
        <f t="shared" si="664"/>
        <v>0</v>
      </c>
    </row>
    <row r="40110" spans="20:20" ht="18.75" customHeight="1" x14ac:dyDescent="0.35">
      <c r="T40110" s="246">
        <f t="shared" si="664"/>
        <v>0</v>
      </c>
    </row>
    <row r="40111" spans="20:20" ht="18.75" customHeight="1" x14ac:dyDescent="0.35">
      <c r="T40111" s="246">
        <f t="shared" si="664"/>
        <v>0</v>
      </c>
    </row>
    <row r="40112" spans="20:20" ht="18.75" customHeight="1" x14ac:dyDescent="0.35">
      <c r="T40112" s="246">
        <f t="shared" si="664"/>
        <v>0</v>
      </c>
    </row>
    <row r="40113" spans="20:20" ht="18.75" customHeight="1" x14ac:dyDescent="0.35">
      <c r="T40113" s="246">
        <f t="shared" si="664"/>
        <v>0</v>
      </c>
    </row>
    <row r="40114" spans="20:20" ht="18.75" customHeight="1" x14ac:dyDescent="0.35">
      <c r="T40114" s="246">
        <f t="shared" si="664"/>
        <v>0</v>
      </c>
    </row>
    <row r="40115" spans="20:20" ht="18.75" customHeight="1" x14ac:dyDescent="0.35">
      <c r="T40115" s="246">
        <f t="shared" si="664"/>
        <v>0</v>
      </c>
    </row>
    <row r="40116" spans="20:20" ht="18.75" customHeight="1" x14ac:dyDescent="0.35">
      <c r="T40116" s="246">
        <f t="shared" si="664"/>
        <v>0</v>
      </c>
    </row>
    <row r="40117" spans="20:20" ht="18.75" customHeight="1" x14ac:dyDescent="0.35">
      <c r="T40117" s="246">
        <f t="shared" si="664"/>
        <v>0</v>
      </c>
    </row>
    <row r="40118" spans="20:20" ht="18.75" customHeight="1" x14ac:dyDescent="0.35">
      <c r="T40118" s="246">
        <f t="shared" si="664"/>
        <v>0</v>
      </c>
    </row>
    <row r="40119" spans="20:20" ht="18.75" customHeight="1" x14ac:dyDescent="0.35">
      <c r="T40119" s="246">
        <f t="shared" si="664"/>
        <v>0</v>
      </c>
    </row>
    <row r="40120" spans="20:20" ht="18.75" customHeight="1" x14ac:dyDescent="0.35">
      <c r="T40120" s="246">
        <f t="shared" si="664"/>
        <v>0</v>
      </c>
    </row>
    <row r="40121" spans="20:20" ht="18.75" customHeight="1" x14ac:dyDescent="0.35">
      <c r="T40121" s="246">
        <f t="shared" si="664"/>
        <v>0</v>
      </c>
    </row>
    <row r="40122" spans="20:20" ht="18.75" customHeight="1" x14ac:dyDescent="0.35">
      <c r="T40122" s="246">
        <f t="shared" si="664"/>
        <v>0</v>
      </c>
    </row>
    <row r="40123" spans="20:20" ht="18.75" customHeight="1" x14ac:dyDescent="0.35">
      <c r="T40123" s="246">
        <f t="shared" si="664"/>
        <v>0</v>
      </c>
    </row>
    <row r="40124" spans="20:20" ht="18.75" customHeight="1" x14ac:dyDescent="0.35">
      <c r="T40124" s="246">
        <f t="shared" ref="T40124:T40187" si="665">R40124*0.01</f>
        <v>0</v>
      </c>
    </row>
    <row r="40125" spans="20:20" ht="18.75" customHeight="1" x14ac:dyDescent="0.35">
      <c r="T40125" s="246">
        <f t="shared" si="665"/>
        <v>0</v>
      </c>
    </row>
    <row r="40126" spans="20:20" ht="18.75" customHeight="1" x14ac:dyDescent="0.35">
      <c r="T40126" s="246">
        <f t="shared" si="665"/>
        <v>0</v>
      </c>
    </row>
    <row r="40127" spans="20:20" ht="18.75" customHeight="1" x14ac:dyDescent="0.35">
      <c r="T40127" s="246">
        <f t="shared" si="665"/>
        <v>0</v>
      </c>
    </row>
    <row r="40128" spans="20:20" ht="18.75" customHeight="1" x14ac:dyDescent="0.35">
      <c r="T40128" s="246">
        <f t="shared" si="665"/>
        <v>0</v>
      </c>
    </row>
    <row r="40129" spans="20:20" ht="18.75" customHeight="1" x14ac:dyDescent="0.35">
      <c r="T40129" s="246">
        <f t="shared" si="665"/>
        <v>0</v>
      </c>
    </row>
    <row r="40130" spans="20:20" ht="18.75" customHeight="1" x14ac:dyDescent="0.35">
      <c r="T40130" s="246">
        <f t="shared" si="665"/>
        <v>0</v>
      </c>
    </row>
    <row r="40131" spans="20:20" ht="18.75" customHeight="1" x14ac:dyDescent="0.35">
      <c r="T40131" s="246">
        <f t="shared" si="665"/>
        <v>0</v>
      </c>
    </row>
    <row r="40132" spans="20:20" ht="18.75" customHeight="1" x14ac:dyDescent="0.35">
      <c r="T40132" s="246">
        <f t="shared" si="665"/>
        <v>0</v>
      </c>
    </row>
    <row r="40133" spans="20:20" ht="18.75" customHeight="1" x14ac:dyDescent="0.35">
      <c r="T40133" s="246">
        <f t="shared" si="665"/>
        <v>0</v>
      </c>
    </row>
    <row r="40134" spans="20:20" ht="18.75" customHeight="1" x14ac:dyDescent="0.35">
      <c r="T40134" s="246">
        <f t="shared" si="665"/>
        <v>0</v>
      </c>
    </row>
    <row r="40135" spans="20:20" ht="18.75" customHeight="1" x14ac:dyDescent="0.35">
      <c r="T40135" s="246">
        <f t="shared" si="665"/>
        <v>0</v>
      </c>
    </row>
    <row r="40136" spans="20:20" ht="18.75" customHeight="1" x14ac:dyDescent="0.35">
      <c r="T40136" s="246">
        <f t="shared" si="665"/>
        <v>0</v>
      </c>
    </row>
    <row r="40137" spans="20:20" ht="18.75" customHeight="1" x14ac:dyDescent="0.35">
      <c r="T40137" s="246">
        <f t="shared" si="665"/>
        <v>0</v>
      </c>
    </row>
    <row r="40138" spans="20:20" ht="18.75" customHeight="1" x14ac:dyDescent="0.35">
      <c r="T40138" s="246">
        <f t="shared" si="665"/>
        <v>0</v>
      </c>
    </row>
    <row r="40139" spans="20:20" ht="18.75" customHeight="1" x14ac:dyDescent="0.35">
      <c r="T40139" s="246">
        <f t="shared" si="665"/>
        <v>0</v>
      </c>
    </row>
    <row r="40140" spans="20:20" ht="18.75" customHeight="1" x14ac:dyDescent="0.35">
      <c r="T40140" s="246">
        <f t="shared" si="665"/>
        <v>0</v>
      </c>
    </row>
    <row r="40141" spans="20:20" ht="18.75" customHeight="1" x14ac:dyDescent="0.35">
      <c r="T40141" s="246">
        <f t="shared" si="665"/>
        <v>0</v>
      </c>
    </row>
    <row r="40142" spans="20:20" ht="18.75" customHeight="1" x14ac:dyDescent="0.35">
      <c r="T40142" s="246">
        <f t="shared" si="665"/>
        <v>0</v>
      </c>
    </row>
    <row r="40143" spans="20:20" ht="18.75" customHeight="1" x14ac:dyDescent="0.35">
      <c r="T40143" s="246">
        <f t="shared" si="665"/>
        <v>0</v>
      </c>
    </row>
    <row r="40144" spans="20:20" ht="18.75" customHeight="1" x14ac:dyDescent="0.35">
      <c r="T40144" s="246">
        <f t="shared" si="665"/>
        <v>0</v>
      </c>
    </row>
    <row r="40145" spans="20:20" ht="18.75" customHeight="1" x14ac:dyDescent="0.35">
      <c r="T40145" s="246">
        <f t="shared" si="665"/>
        <v>0</v>
      </c>
    </row>
    <row r="40146" spans="20:20" ht="18.75" customHeight="1" x14ac:dyDescent="0.35">
      <c r="T40146" s="246">
        <f t="shared" si="665"/>
        <v>0</v>
      </c>
    </row>
    <row r="40147" spans="20:20" ht="18.75" customHeight="1" x14ac:dyDescent="0.35">
      <c r="T40147" s="246">
        <f t="shared" si="665"/>
        <v>0</v>
      </c>
    </row>
    <row r="40148" spans="20:20" ht="18.75" customHeight="1" x14ac:dyDescent="0.35">
      <c r="T40148" s="246">
        <f t="shared" si="665"/>
        <v>0</v>
      </c>
    </row>
    <row r="40149" spans="20:20" ht="18.75" customHeight="1" x14ac:dyDescent="0.35">
      <c r="T40149" s="246">
        <f t="shared" si="665"/>
        <v>0</v>
      </c>
    </row>
    <row r="40150" spans="20:20" ht="18.75" customHeight="1" x14ac:dyDescent="0.35">
      <c r="T40150" s="246">
        <f t="shared" si="665"/>
        <v>0</v>
      </c>
    </row>
    <row r="40151" spans="20:20" ht="18.75" customHeight="1" x14ac:dyDescent="0.35">
      <c r="T40151" s="246">
        <f t="shared" si="665"/>
        <v>0</v>
      </c>
    </row>
    <row r="40152" spans="20:20" ht="18.75" customHeight="1" x14ac:dyDescent="0.35">
      <c r="T40152" s="246">
        <f t="shared" si="665"/>
        <v>0</v>
      </c>
    </row>
    <row r="40153" spans="20:20" ht="18.75" customHeight="1" x14ac:dyDescent="0.35">
      <c r="T40153" s="246">
        <f t="shared" si="665"/>
        <v>0</v>
      </c>
    </row>
    <row r="40154" spans="20:20" ht="18.75" customHeight="1" x14ac:dyDescent="0.35">
      <c r="T40154" s="246">
        <f t="shared" si="665"/>
        <v>0</v>
      </c>
    </row>
    <row r="40155" spans="20:20" ht="18.75" customHeight="1" x14ac:dyDescent="0.35">
      <c r="T40155" s="246">
        <f t="shared" si="665"/>
        <v>0</v>
      </c>
    </row>
    <row r="40156" spans="20:20" ht="18.75" customHeight="1" x14ac:dyDescent="0.35">
      <c r="T40156" s="246">
        <f t="shared" si="665"/>
        <v>0</v>
      </c>
    </row>
    <row r="40157" spans="20:20" ht="18.75" customHeight="1" x14ac:dyDescent="0.35">
      <c r="T40157" s="246">
        <f t="shared" si="665"/>
        <v>0</v>
      </c>
    </row>
    <row r="40158" spans="20:20" ht="18.75" customHeight="1" x14ac:dyDescent="0.35">
      <c r="T40158" s="246">
        <f t="shared" si="665"/>
        <v>0</v>
      </c>
    </row>
    <row r="40159" spans="20:20" ht="18.75" customHeight="1" x14ac:dyDescent="0.35">
      <c r="T40159" s="246">
        <f t="shared" si="665"/>
        <v>0</v>
      </c>
    </row>
    <row r="40160" spans="20:20" ht="18.75" customHeight="1" x14ac:dyDescent="0.35">
      <c r="T40160" s="246">
        <f t="shared" si="665"/>
        <v>0</v>
      </c>
    </row>
    <row r="40161" spans="20:20" ht="18.75" customHeight="1" x14ac:dyDescent="0.35">
      <c r="T40161" s="246">
        <f t="shared" si="665"/>
        <v>0</v>
      </c>
    </row>
    <row r="40162" spans="20:20" ht="18.75" customHeight="1" x14ac:dyDescent="0.35">
      <c r="T40162" s="246">
        <f t="shared" si="665"/>
        <v>0</v>
      </c>
    </row>
    <row r="40163" spans="20:20" ht="18.75" customHeight="1" x14ac:dyDescent="0.35">
      <c r="T40163" s="246">
        <f t="shared" si="665"/>
        <v>0</v>
      </c>
    </row>
    <row r="40164" spans="20:20" ht="18.75" customHeight="1" x14ac:dyDescent="0.35">
      <c r="T40164" s="246">
        <f t="shared" si="665"/>
        <v>0</v>
      </c>
    </row>
    <row r="40165" spans="20:20" ht="18.75" customHeight="1" x14ac:dyDescent="0.35">
      <c r="T40165" s="246">
        <f t="shared" si="665"/>
        <v>0</v>
      </c>
    </row>
    <row r="40166" spans="20:20" ht="18.75" customHeight="1" x14ac:dyDescent="0.35">
      <c r="T40166" s="246">
        <f t="shared" si="665"/>
        <v>0</v>
      </c>
    </row>
    <row r="40167" spans="20:20" ht="18.75" customHeight="1" x14ac:dyDescent="0.35">
      <c r="T40167" s="246">
        <f t="shared" si="665"/>
        <v>0</v>
      </c>
    </row>
    <row r="40168" spans="20:20" ht="18.75" customHeight="1" x14ac:dyDescent="0.35">
      <c r="T40168" s="246">
        <f t="shared" si="665"/>
        <v>0</v>
      </c>
    </row>
    <row r="40169" spans="20:20" ht="18.75" customHeight="1" x14ac:dyDescent="0.35">
      <c r="T40169" s="246">
        <f t="shared" si="665"/>
        <v>0</v>
      </c>
    </row>
    <row r="40170" spans="20:20" ht="18.75" customHeight="1" x14ac:dyDescent="0.35">
      <c r="T40170" s="246">
        <f t="shared" si="665"/>
        <v>0</v>
      </c>
    </row>
    <row r="40171" spans="20:20" ht="18.75" customHeight="1" x14ac:dyDescent="0.35">
      <c r="T40171" s="246">
        <f t="shared" si="665"/>
        <v>0</v>
      </c>
    </row>
    <row r="40172" spans="20:20" ht="18.75" customHeight="1" x14ac:dyDescent="0.35">
      <c r="T40172" s="246">
        <f t="shared" si="665"/>
        <v>0</v>
      </c>
    </row>
    <row r="40173" spans="20:20" ht="18.75" customHeight="1" x14ac:dyDescent="0.35">
      <c r="T40173" s="246">
        <f t="shared" si="665"/>
        <v>0</v>
      </c>
    </row>
    <row r="40174" spans="20:20" ht="18.75" customHeight="1" x14ac:dyDescent="0.35">
      <c r="T40174" s="246">
        <f t="shared" si="665"/>
        <v>0</v>
      </c>
    </row>
    <row r="40175" spans="20:20" ht="18.75" customHeight="1" x14ac:dyDescent="0.35">
      <c r="T40175" s="246">
        <f t="shared" si="665"/>
        <v>0</v>
      </c>
    </row>
    <row r="40176" spans="20:20" ht="18.75" customHeight="1" x14ac:dyDescent="0.35">
      <c r="T40176" s="246">
        <f t="shared" si="665"/>
        <v>0</v>
      </c>
    </row>
    <row r="40177" spans="20:20" ht="18.75" customHeight="1" x14ac:dyDescent="0.35">
      <c r="T40177" s="246">
        <f t="shared" si="665"/>
        <v>0</v>
      </c>
    </row>
    <row r="40178" spans="20:20" ht="18.75" customHeight="1" x14ac:dyDescent="0.35">
      <c r="T40178" s="246">
        <f t="shared" si="665"/>
        <v>0</v>
      </c>
    </row>
    <row r="40179" spans="20:20" ht="18.75" customHeight="1" x14ac:dyDescent="0.35">
      <c r="T40179" s="246">
        <f t="shared" si="665"/>
        <v>0</v>
      </c>
    </row>
    <row r="40180" spans="20:20" ht="18.75" customHeight="1" x14ac:dyDescent="0.35">
      <c r="T40180" s="246">
        <f t="shared" si="665"/>
        <v>0</v>
      </c>
    </row>
    <row r="40181" spans="20:20" ht="18.75" customHeight="1" x14ac:dyDescent="0.35">
      <c r="T40181" s="246">
        <f t="shared" si="665"/>
        <v>0</v>
      </c>
    </row>
    <row r="40182" spans="20:20" ht="18.75" customHeight="1" x14ac:dyDescent="0.35">
      <c r="T40182" s="246">
        <f t="shared" si="665"/>
        <v>0</v>
      </c>
    </row>
    <row r="40183" spans="20:20" ht="18.75" customHeight="1" x14ac:dyDescent="0.35">
      <c r="T40183" s="246">
        <f t="shared" si="665"/>
        <v>0</v>
      </c>
    </row>
    <row r="40184" spans="20:20" ht="18.75" customHeight="1" x14ac:dyDescent="0.35">
      <c r="T40184" s="246">
        <f t="shared" si="665"/>
        <v>0</v>
      </c>
    </row>
    <row r="40185" spans="20:20" ht="18.75" customHeight="1" x14ac:dyDescent="0.35">
      <c r="T40185" s="246">
        <f t="shared" si="665"/>
        <v>0</v>
      </c>
    </row>
    <row r="40186" spans="20:20" ht="18.75" customHeight="1" x14ac:dyDescent="0.35">
      <c r="T40186" s="246">
        <f t="shared" si="665"/>
        <v>0</v>
      </c>
    </row>
    <row r="40187" spans="20:20" ht="18.75" customHeight="1" x14ac:dyDescent="0.35">
      <c r="T40187" s="246">
        <f t="shared" si="665"/>
        <v>0</v>
      </c>
    </row>
    <row r="40188" spans="20:20" ht="18.75" customHeight="1" x14ac:dyDescent="0.35">
      <c r="T40188" s="246">
        <f t="shared" ref="T40188:T40251" si="666">R40188*0.01</f>
        <v>0</v>
      </c>
    </row>
    <row r="40189" spans="20:20" ht="18.75" customHeight="1" x14ac:dyDescent="0.35">
      <c r="T40189" s="246">
        <f t="shared" si="666"/>
        <v>0</v>
      </c>
    </row>
    <row r="40190" spans="20:20" ht="18.75" customHeight="1" x14ac:dyDescent="0.35">
      <c r="T40190" s="246">
        <f t="shared" si="666"/>
        <v>0</v>
      </c>
    </row>
    <row r="40191" spans="20:20" ht="18.75" customHeight="1" x14ac:dyDescent="0.35">
      <c r="T40191" s="246">
        <f t="shared" si="666"/>
        <v>0</v>
      </c>
    </row>
    <row r="40192" spans="20:20" ht="18.75" customHeight="1" x14ac:dyDescent="0.35">
      <c r="T40192" s="246">
        <f t="shared" si="666"/>
        <v>0</v>
      </c>
    </row>
    <row r="40193" spans="20:20" ht="18.75" customHeight="1" x14ac:dyDescent="0.35">
      <c r="T40193" s="246">
        <f t="shared" si="666"/>
        <v>0</v>
      </c>
    </row>
    <row r="40194" spans="20:20" ht="18.75" customHeight="1" x14ac:dyDescent="0.35">
      <c r="T40194" s="246">
        <f t="shared" si="666"/>
        <v>0</v>
      </c>
    </row>
    <row r="40195" spans="20:20" ht="18.75" customHeight="1" x14ac:dyDescent="0.35">
      <c r="T40195" s="246">
        <f t="shared" si="666"/>
        <v>0</v>
      </c>
    </row>
    <row r="40196" spans="20:20" ht="18.75" customHeight="1" x14ac:dyDescent="0.35">
      <c r="T40196" s="246">
        <f t="shared" si="666"/>
        <v>0</v>
      </c>
    </row>
    <row r="40197" spans="20:20" ht="18.75" customHeight="1" x14ac:dyDescent="0.35">
      <c r="T40197" s="246">
        <f t="shared" si="666"/>
        <v>0</v>
      </c>
    </row>
    <row r="40198" spans="20:20" ht="18.75" customHeight="1" x14ac:dyDescent="0.35">
      <c r="T40198" s="246">
        <f t="shared" si="666"/>
        <v>0</v>
      </c>
    </row>
    <row r="40199" spans="20:20" ht="18.75" customHeight="1" x14ac:dyDescent="0.35">
      <c r="T40199" s="246">
        <f t="shared" si="666"/>
        <v>0</v>
      </c>
    </row>
    <row r="40200" spans="20:20" ht="18.75" customHeight="1" x14ac:dyDescent="0.35">
      <c r="T40200" s="246">
        <f t="shared" si="666"/>
        <v>0</v>
      </c>
    </row>
    <row r="40201" spans="20:20" ht="18.75" customHeight="1" x14ac:dyDescent="0.35">
      <c r="T40201" s="246">
        <f t="shared" si="666"/>
        <v>0</v>
      </c>
    </row>
    <row r="40202" spans="20:20" ht="18.75" customHeight="1" x14ac:dyDescent="0.35">
      <c r="T40202" s="246">
        <f t="shared" si="666"/>
        <v>0</v>
      </c>
    </row>
    <row r="40203" spans="20:20" ht="18.75" customHeight="1" x14ac:dyDescent="0.35">
      <c r="T40203" s="246">
        <f t="shared" si="666"/>
        <v>0</v>
      </c>
    </row>
    <row r="40204" spans="20:20" ht="18.75" customHeight="1" x14ac:dyDescent="0.35">
      <c r="T40204" s="246">
        <f t="shared" si="666"/>
        <v>0</v>
      </c>
    </row>
    <row r="40205" spans="20:20" ht="18.75" customHeight="1" x14ac:dyDescent="0.35">
      <c r="T40205" s="246">
        <f t="shared" si="666"/>
        <v>0</v>
      </c>
    </row>
    <row r="40206" spans="20:20" ht="18.75" customHeight="1" x14ac:dyDescent="0.35">
      <c r="T40206" s="246">
        <f t="shared" si="666"/>
        <v>0</v>
      </c>
    </row>
    <row r="40207" spans="20:20" ht="18.75" customHeight="1" x14ac:dyDescent="0.35">
      <c r="T40207" s="246">
        <f t="shared" si="666"/>
        <v>0</v>
      </c>
    </row>
    <row r="40208" spans="20:20" ht="18.75" customHeight="1" x14ac:dyDescent="0.35">
      <c r="T40208" s="246">
        <f t="shared" si="666"/>
        <v>0</v>
      </c>
    </row>
    <row r="40209" spans="20:20" ht="18.75" customHeight="1" x14ac:dyDescent="0.35">
      <c r="T40209" s="246">
        <f t="shared" si="666"/>
        <v>0</v>
      </c>
    </row>
    <row r="40210" spans="20:20" ht="18.75" customHeight="1" x14ac:dyDescent="0.35">
      <c r="T40210" s="246">
        <f t="shared" si="666"/>
        <v>0</v>
      </c>
    </row>
    <row r="40211" spans="20:20" ht="18.75" customHeight="1" x14ac:dyDescent="0.35">
      <c r="T40211" s="246">
        <f t="shared" si="666"/>
        <v>0</v>
      </c>
    </row>
    <row r="40212" spans="20:20" ht="18.75" customHeight="1" x14ac:dyDescent="0.35">
      <c r="T40212" s="246">
        <f t="shared" si="666"/>
        <v>0</v>
      </c>
    </row>
    <row r="40213" spans="20:20" ht="18.75" customHeight="1" x14ac:dyDescent="0.35">
      <c r="T40213" s="246">
        <f t="shared" si="666"/>
        <v>0</v>
      </c>
    </row>
    <row r="40214" spans="20:20" ht="18.75" customHeight="1" x14ac:dyDescent="0.35">
      <c r="T40214" s="246">
        <f t="shared" si="666"/>
        <v>0</v>
      </c>
    </row>
    <row r="40215" spans="20:20" ht="18.75" customHeight="1" x14ac:dyDescent="0.35">
      <c r="T40215" s="246">
        <f t="shared" si="666"/>
        <v>0</v>
      </c>
    </row>
    <row r="40216" spans="20:20" ht="18.75" customHeight="1" x14ac:dyDescent="0.35">
      <c r="T40216" s="246">
        <f t="shared" si="666"/>
        <v>0</v>
      </c>
    </row>
    <row r="40217" spans="20:20" ht="18.75" customHeight="1" x14ac:dyDescent="0.35">
      <c r="T40217" s="246">
        <f t="shared" si="666"/>
        <v>0</v>
      </c>
    </row>
    <row r="40218" spans="20:20" ht="18.75" customHeight="1" x14ac:dyDescent="0.35">
      <c r="T40218" s="246">
        <f t="shared" si="666"/>
        <v>0</v>
      </c>
    </row>
    <row r="40219" spans="20:20" ht="18.75" customHeight="1" x14ac:dyDescent="0.35">
      <c r="T40219" s="246">
        <f t="shared" si="666"/>
        <v>0</v>
      </c>
    </row>
    <row r="40220" spans="20:20" ht="18.75" customHeight="1" x14ac:dyDescent="0.35">
      <c r="T40220" s="246">
        <f t="shared" si="666"/>
        <v>0</v>
      </c>
    </row>
    <row r="40221" spans="20:20" ht="18.75" customHeight="1" x14ac:dyDescent="0.35">
      <c r="T40221" s="246">
        <f t="shared" si="666"/>
        <v>0</v>
      </c>
    </row>
    <row r="40222" spans="20:20" ht="18.75" customHeight="1" x14ac:dyDescent="0.35">
      <c r="T40222" s="246">
        <f t="shared" si="666"/>
        <v>0</v>
      </c>
    </row>
    <row r="40223" spans="20:20" ht="18.75" customHeight="1" x14ac:dyDescent="0.35">
      <c r="T40223" s="246">
        <f t="shared" si="666"/>
        <v>0</v>
      </c>
    </row>
    <row r="40224" spans="20:20" ht="18.75" customHeight="1" x14ac:dyDescent="0.35">
      <c r="T40224" s="246">
        <f t="shared" si="666"/>
        <v>0</v>
      </c>
    </row>
    <row r="40225" spans="20:20" ht="18.75" customHeight="1" x14ac:dyDescent="0.35">
      <c r="T40225" s="246">
        <f t="shared" si="666"/>
        <v>0</v>
      </c>
    </row>
    <row r="40226" spans="20:20" ht="18.75" customHeight="1" x14ac:dyDescent="0.35">
      <c r="T40226" s="246">
        <f t="shared" si="666"/>
        <v>0</v>
      </c>
    </row>
    <row r="40227" spans="20:20" ht="18.75" customHeight="1" x14ac:dyDescent="0.35">
      <c r="T40227" s="246">
        <f t="shared" si="666"/>
        <v>0</v>
      </c>
    </row>
    <row r="40228" spans="20:20" ht="18.75" customHeight="1" x14ac:dyDescent="0.35">
      <c r="T40228" s="246">
        <f t="shared" si="666"/>
        <v>0</v>
      </c>
    </row>
    <row r="40229" spans="20:20" ht="18.75" customHeight="1" x14ac:dyDescent="0.35">
      <c r="T40229" s="246">
        <f t="shared" si="666"/>
        <v>0</v>
      </c>
    </row>
    <row r="40230" spans="20:20" ht="18.75" customHeight="1" x14ac:dyDescent="0.35">
      <c r="T40230" s="246">
        <f t="shared" si="666"/>
        <v>0</v>
      </c>
    </row>
    <row r="40231" spans="20:20" ht="18.75" customHeight="1" x14ac:dyDescent="0.35">
      <c r="T40231" s="246">
        <f t="shared" si="666"/>
        <v>0</v>
      </c>
    </row>
    <row r="40232" spans="20:20" ht="18.75" customHeight="1" x14ac:dyDescent="0.35">
      <c r="T40232" s="246">
        <f t="shared" si="666"/>
        <v>0</v>
      </c>
    </row>
    <row r="40233" spans="20:20" ht="18.75" customHeight="1" x14ac:dyDescent="0.35">
      <c r="T40233" s="246">
        <f t="shared" si="666"/>
        <v>0</v>
      </c>
    </row>
    <row r="40234" spans="20:20" ht="18.75" customHeight="1" x14ac:dyDescent="0.35">
      <c r="T40234" s="246">
        <f t="shared" si="666"/>
        <v>0</v>
      </c>
    </row>
    <row r="40235" spans="20:20" ht="18.75" customHeight="1" x14ac:dyDescent="0.35">
      <c r="T40235" s="246">
        <f t="shared" si="666"/>
        <v>0</v>
      </c>
    </row>
    <row r="40236" spans="20:20" ht="18.75" customHeight="1" x14ac:dyDescent="0.35">
      <c r="T40236" s="246">
        <f t="shared" si="666"/>
        <v>0</v>
      </c>
    </row>
    <row r="40237" spans="20:20" ht="18.75" customHeight="1" x14ac:dyDescent="0.35">
      <c r="T40237" s="246">
        <f t="shared" si="666"/>
        <v>0</v>
      </c>
    </row>
    <row r="40238" spans="20:20" ht="18.75" customHeight="1" x14ac:dyDescent="0.35">
      <c r="T40238" s="246">
        <f t="shared" si="666"/>
        <v>0</v>
      </c>
    </row>
    <row r="40239" spans="20:20" ht="18.75" customHeight="1" x14ac:dyDescent="0.35">
      <c r="T40239" s="246">
        <f t="shared" si="666"/>
        <v>0</v>
      </c>
    </row>
    <row r="40240" spans="20:20" ht="18.75" customHeight="1" x14ac:dyDescent="0.35">
      <c r="T40240" s="246">
        <f t="shared" si="666"/>
        <v>0</v>
      </c>
    </row>
    <row r="40241" spans="20:20" ht="18.75" customHeight="1" x14ac:dyDescent="0.35">
      <c r="T40241" s="246">
        <f t="shared" si="666"/>
        <v>0</v>
      </c>
    </row>
    <row r="40242" spans="20:20" ht="18.75" customHeight="1" x14ac:dyDescent="0.35">
      <c r="T40242" s="246">
        <f t="shared" si="666"/>
        <v>0</v>
      </c>
    </row>
    <row r="40243" spans="20:20" ht="18.75" customHeight="1" x14ac:dyDescent="0.35">
      <c r="T40243" s="246">
        <f t="shared" si="666"/>
        <v>0</v>
      </c>
    </row>
    <row r="40244" spans="20:20" ht="18.75" customHeight="1" x14ac:dyDescent="0.35">
      <c r="T40244" s="246">
        <f t="shared" si="666"/>
        <v>0</v>
      </c>
    </row>
    <row r="40245" spans="20:20" ht="18.75" customHeight="1" x14ac:dyDescent="0.35">
      <c r="T40245" s="246">
        <f t="shared" si="666"/>
        <v>0</v>
      </c>
    </row>
    <row r="40246" spans="20:20" ht="18.75" customHeight="1" x14ac:dyDescent="0.35">
      <c r="T40246" s="246">
        <f t="shared" si="666"/>
        <v>0</v>
      </c>
    </row>
    <row r="40247" spans="20:20" ht="18.75" customHeight="1" x14ac:dyDescent="0.35">
      <c r="T40247" s="246">
        <f t="shared" si="666"/>
        <v>0</v>
      </c>
    </row>
    <row r="40248" spans="20:20" ht="18.75" customHeight="1" x14ac:dyDescent="0.35">
      <c r="T40248" s="246">
        <f t="shared" si="666"/>
        <v>0</v>
      </c>
    </row>
    <row r="40249" spans="20:20" ht="18.75" customHeight="1" x14ac:dyDescent="0.35">
      <c r="T40249" s="246">
        <f t="shared" si="666"/>
        <v>0</v>
      </c>
    </row>
    <row r="40250" spans="20:20" ht="18.75" customHeight="1" x14ac:dyDescent="0.35">
      <c r="T40250" s="246">
        <f t="shared" si="666"/>
        <v>0</v>
      </c>
    </row>
    <row r="40251" spans="20:20" ht="18.75" customHeight="1" x14ac:dyDescent="0.35">
      <c r="T40251" s="246">
        <f t="shared" si="666"/>
        <v>0</v>
      </c>
    </row>
    <row r="40252" spans="20:20" ht="18.75" customHeight="1" x14ac:dyDescent="0.35">
      <c r="T40252" s="246">
        <f t="shared" ref="T40252:T40315" si="667">R40252*0.01</f>
        <v>0</v>
      </c>
    </row>
    <row r="40253" spans="20:20" ht="18.75" customHeight="1" x14ac:dyDescent="0.35">
      <c r="T40253" s="246">
        <f t="shared" si="667"/>
        <v>0</v>
      </c>
    </row>
    <row r="40254" spans="20:20" ht="18.75" customHeight="1" x14ac:dyDescent="0.35">
      <c r="T40254" s="246">
        <f t="shared" si="667"/>
        <v>0</v>
      </c>
    </row>
    <row r="40255" spans="20:20" ht="18.75" customHeight="1" x14ac:dyDescent="0.35">
      <c r="T40255" s="246">
        <f t="shared" si="667"/>
        <v>0</v>
      </c>
    </row>
    <row r="40256" spans="20:20" ht="18.75" customHeight="1" x14ac:dyDescent="0.35">
      <c r="T40256" s="246">
        <f t="shared" si="667"/>
        <v>0</v>
      </c>
    </row>
    <row r="40257" spans="20:20" ht="18.75" customHeight="1" x14ac:dyDescent="0.35">
      <c r="T40257" s="246">
        <f t="shared" si="667"/>
        <v>0</v>
      </c>
    </row>
    <row r="40258" spans="20:20" ht="18.75" customHeight="1" x14ac:dyDescent="0.35">
      <c r="T40258" s="246">
        <f t="shared" si="667"/>
        <v>0</v>
      </c>
    </row>
    <row r="40259" spans="20:20" ht="18.75" customHeight="1" x14ac:dyDescent="0.35">
      <c r="T40259" s="246">
        <f t="shared" si="667"/>
        <v>0</v>
      </c>
    </row>
    <row r="40260" spans="20:20" ht="18.75" customHeight="1" x14ac:dyDescent="0.35">
      <c r="T40260" s="246">
        <f t="shared" si="667"/>
        <v>0</v>
      </c>
    </row>
    <row r="40261" spans="20:20" ht="18.75" customHeight="1" x14ac:dyDescent="0.35">
      <c r="T40261" s="246">
        <f t="shared" si="667"/>
        <v>0</v>
      </c>
    </row>
    <row r="40262" spans="20:20" ht="18.75" customHeight="1" x14ac:dyDescent="0.35">
      <c r="T40262" s="246">
        <f t="shared" si="667"/>
        <v>0</v>
      </c>
    </row>
    <row r="40263" spans="20:20" ht="18.75" customHeight="1" x14ac:dyDescent="0.35">
      <c r="T40263" s="246">
        <f t="shared" si="667"/>
        <v>0</v>
      </c>
    </row>
    <row r="40264" spans="20:20" ht="18.75" customHeight="1" x14ac:dyDescent="0.35">
      <c r="T40264" s="246">
        <f t="shared" si="667"/>
        <v>0</v>
      </c>
    </row>
    <row r="40265" spans="20:20" ht="18.75" customHeight="1" x14ac:dyDescent="0.35">
      <c r="T40265" s="246">
        <f t="shared" si="667"/>
        <v>0</v>
      </c>
    </row>
    <row r="40266" spans="20:20" ht="18.75" customHeight="1" x14ac:dyDescent="0.35">
      <c r="T40266" s="246">
        <f t="shared" si="667"/>
        <v>0</v>
      </c>
    </row>
    <row r="40267" spans="20:20" ht="18.75" customHeight="1" x14ac:dyDescent="0.35">
      <c r="T40267" s="246">
        <f t="shared" si="667"/>
        <v>0</v>
      </c>
    </row>
    <row r="40268" spans="20:20" ht="18.75" customHeight="1" x14ac:dyDescent="0.35">
      <c r="T40268" s="246">
        <f t="shared" si="667"/>
        <v>0</v>
      </c>
    </row>
    <row r="40269" spans="20:20" ht="18.75" customHeight="1" x14ac:dyDescent="0.35">
      <c r="T40269" s="246">
        <f t="shared" si="667"/>
        <v>0</v>
      </c>
    </row>
    <row r="40270" spans="20:20" ht="18.75" customHeight="1" x14ac:dyDescent="0.35">
      <c r="T40270" s="246">
        <f t="shared" si="667"/>
        <v>0</v>
      </c>
    </row>
    <row r="40271" spans="20:20" ht="18.75" customHeight="1" x14ac:dyDescent="0.35">
      <c r="T40271" s="246">
        <f t="shared" si="667"/>
        <v>0</v>
      </c>
    </row>
    <row r="40272" spans="20:20" ht="18.75" customHeight="1" x14ac:dyDescent="0.35">
      <c r="T40272" s="246">
        <f t="shared" si="667"/>
        <v>0</v>
      </c>
    </row>
    <row r="40273" spans="20:20" ht="18.75" customHeight="1" x14ac:dyDescent="0.35">
      <c r="T40273" s="246">
        <f t="shared" si="667"/>
        <v>0</v>
      </c>
    </row>
    <row r="40274" spans="20:20" ht="18.75" customHeight="1" x14ac:dyDescent="0.35">
      <c r="T40274" s="246">
        <f t="shared" si="667"/>
        <v>0</v>
      </c>
    </row>
    <row r="40275" spans="20:20" ht="18.75" customHeight="1" x14ac:dyDescent="0.35">
      <c r="T40275" s="246">
        <f t="shared" si="667"/>
        <v>0</v>
      </c>
    </row>
    <row r="40276" spans="20:20" ht="18.75" customHeight="1" x14ac:dyDescent="0.35">
      <c r="T40276" s="246">
        <f t="shared" si="667"/>
        <v>0</v>
      </c>
    </row>
    <row r="40277" spans="20:20" ht="18.75" customHeight="1" x14ac:dyDescent="0.35">
      <c r="T40277" s="246">
        <f t="shared" si="667"/>
        <v>0</v>
      </c>
    </row>
    <row r="40278" spans="20:20" ht="18.75" customHeight="1" x14ac:dyDescent="0.35">
      <c r="T40278" s="246">
        <f t="shared" si="667"/>
        <v>0</v>
      </c>
    </row>
    <row r="40279" spans="20:20" ht="18.75" customHeight="1" x14ac:dyDescent="0.35">
      <c r="T40279" s="246">
        <f t="shared" si="667"/>
        <v>0</v>
      </c>
    </row>
    <row r="40280" spans="20:20" ht="18.75" customHeight="1" x14ac:dyDescent="0.35">
      <c r="T40280" s="246">
        <f t="shared" si="667"/>
        <v>0</v>
      </c>
    </row>
    <row r="40281" spans="20:20" ht="18.75" customHeight="1" x14ac:dyDescent="0.35">
      <c r="T40281" s="246">
        <f t="shared" si="667"/>
        <v>0</v>
      </c>
    </row>
    <row r="40282" spans="20:20" ht="18.75" customHeight="1" x14ac:dyDescent="0.35">
      <c r="T40282" s="246">
        <f t="shared" si="667"/>
        <v>0</v>
      </c>
    </row>
    <row r="40283" spans="20:20" ht="18.75" customHeight="1" x14ac:dyDescent="0.35">
      <c r="T40283" s="246">
        <f t="shared" si="667"/>
        <v>0</v>
      </c>
    </row>
    <row r="40284" spans="20:20" ht="18.75" customHeight="1" x14ac:dyDescent="0.35">
      <c r="T40284" s="246">
        <f t="shared" si="667"/>
        <v>0</v>
      </c>
    </row>
    <row r="40285" spans="20:20" ht="18.75" customHeight="1" x14ac:dyDescent="0.35">
      <c r="T40285" s="246">
        <f t="shared" si="667"/>
        <v>0</v>
      </c>
    </row>
    <row r="40286" spans="20:20" ht="18.75" customHeight="1" x14ac:dyDescent="0.35">
      <c r="T40286" s="246">
        <f t="shared" si="667"/>
        <v>0</v>
      </c>
    </row>
    <row r="40287" spans="20:20" ht="18.75" customHeight="1" x14ac:dyDescent="0.35">
      <c r="T40287" s="246">
        <f t="shared" si="667"/>
        <v>0</v>
      </c>
    </row>
    <row r="40288" spans="20:20" ht="18.75" customHeight="1" x14ac:dyDescent="0.35">
      <c r="T40288" s="246">
        <f t="shared" si="667"/>
        <v>0</v>
      </c>
    </row>
    <row r="40289" spans="20:20" ht="18.75" customHeight="1" x14ac:dyDescent="0.35">
      <c r="T40289" s="246">
        <f t="shared" si="667"/>
        <v>0</v>
      </c>
    </row>
    <row r="40290" spans="20:20" ht="18.75" customHeight="1" x14ac:dyDescent="0.35">
      <c r="T40290" s="246">
        <f t="shared" si="667"/>
        <v>0</v>
      </c>
    </row>
    <row r="40291" spans="20:20" ht="18.75" customHeight="1" x14ac:dyDescent="0.35">
      <c r="T40291" s="246">
        <f t="shared" si="667"/>
        <v>0</v>
      </c>
    </row>
    <row r="40292" spans="20:20" ht="18.75" customHeight="1" x14ac:dyDescent="0.35">
      <c r="T40292" s="246">
        <f t="shared" si="667"/>
        <v>0</v>
      </c>
    </row>
    <row r="40293" spans="20:20" ht="18.75" customHeight="1" x14ac:dyDescent="0.35">
      <c r="T40293" s="246">
        <f t="shared" si="667"/>
        <v>0</v>
      </c>
    </row>
    <row r="40294" spans="20:20" ht="18.75" customHeight="1" x14ac:dyDescent="0.35">
      <c r="T40294" s="246">
        <f t="shared" si="667"/>
        <v>0</v>
      </c>
    </row>
    <row r="40295" spans="20:20" ht="18.75" customHeight="1" x14ac:dyDescent="0.35">
      <c r="T40295" s="246">
        <f t="shared" si="667"/>
        <v>0</v>
      </c>
    </row>
    <row r="40296" spans="20:20" ht="18.75" customHeight="1" x14ac:dyDescent="0.35">
      <c r="T40296" s="246">
        <f t="shared" si="667"/>
        <v>0</v>
      </c>
    </row>
    <row r="40297" spans="20:20" ht="18.75" customHeight="1" x14ac:dyDescent="0.35">
      <c r="T40297" s="246">
        <f t="shared" si="667"/>
        <v>0</v>
      </c>
    </row>
    <row r="40298" spans="20:20" ht="18.75" customHeight="1" x14ac:dyDescent="0.35">
      <c r="T40298" s="246">
        <f t="shared" si="667"/>
        <v>0</v>
      </c>
    </row>
    <row r="40299" spans="20:20" ht="18.75" customHeight="1" x14ac:dyDescent="0.35">
      <c r="T40299" s="246">
        <f t="shared" si="667"/>
        <v>0</v>
      </c>
    </row>
    <row r="40300" spans="20:20" ht="18.75" customHeight="1" x14ac:dyDescent="0.35">
      <c r="T40300" s="246">
        <f t="shared" si="667"/>
        <v>0</v>
      </c>
    </row>
    <row r="40301" spans="20:20" ht="18.75" customHeight="1" x14ac:dyDescent="0.35">
      <c r="T40301" s="246">
        <f t="shared" si="667"/>
        <v>0</v>
      </c>
    </row>
    <row r="40302" spans="20:20" ht="18.75" customHeight="1" x14ac:dyDescent="0.35">
      <c r="T40302" s="246">
        <f t="shared" si="667"/>
        <v>0</v>
      </c>
    </row>
    <row r="40303" spans="20:20" ht="18.75" customHeight="1" x14ac:dyDescent="0.35">
      <c r="T40303" s="246">
        <f t="shared" si="667"/>
        <v>0</v>
      </c>
    </row>
    <row r="40304" spans="20:20" ht="18.75" customHeight="1" x14ac:dyDescent="0.35">
      <c r="T40304" s="246">
        <f t="shared" si="667"/>
        <v>0</v>
      </c>
    </row>
    <row r="40305" spans="20:20" ht="18.75" customHeight="1" x14ac:dyDescent="0.35">
      <c r="T40305" s="246">
        <f t="shared" si="667"/>
        <v>0</v>
      </c>
    </row>
    <row r="40306" spans="20:20" ht="18.75" customHeight="1" x14ac:dyDescent="0.35">
      <c r="T40306" s="246">
        <f t="shared" si="667"/>
        <v>0</v>
      </c>
    </row>
    <row r="40307" spans="20:20" ht="18.75" customHeight="1" x14ac:dyDescent="0.35">
      <c r="T40307" s="246">
        <f t="shared" si="667"/>
        <v>0</v>
      </c>
    </row>
    <row r="40308" spans="20:20" ht="18.75" customHeight="1" x14ac:dyDescent="0.35">
      <c r="T40308" s="246">
        <f t="shared" si="667"/>
        <v>0</v>
      </c>
    </row>
    <row r="40309" spans="20:20" ht="18.75" customHeight="1" x14ac:dyDescent="0.35">
      <c r="T40309" s="246">
        <f t="shared" si="667"/>
        <v>0</v>
      </c>
    </row>
    <row r="40310" spans="20:20" ht="18.75" customHeight="1" x14ac:dyDescent="0.35">
      <c r="T40310" s="246">
        <f t="shared" si="667"/>
        <v>0</v>
      </c>
    </row>
    <row r="40311" spans="20:20" ht="18.75" customHeight="1" x14ac:dyDescent="0.35">
      <c r="T40311" s="246">
        <f t="shared" si="667"/>
        <v>0</v>
      </c>
    </row>
    <row r="40312" spans="20:20" ht="18.75" customHeight="1" x14ac:dyDescent="0.35">
      <c r="T40312" s="246">
        <f t="shared" si="667"/>
        <v>0</v>
      </c>
    </row>
    <row r="40313" spans="20:20" ht="18.75" customHeight="1" x14ac:dyDescent="0.35">
      <c r="T40313" s="246">
        <f t="shared" si="667"/>
        <v>0</v>
      </c>
    </row>
    <row r="40314" spans="20:20" ht="18.75" customHeight="1" x14ac:dyDescent="0.35">
      <c r="T40314" s="246">
        <f t="shared" si="667"/>
        <v>0</v>
      </c>
    </row>
    <row r="40315" spans="20:20" ht="18.75" customHeight="1" x14ac:dyDescent="0.35">
      <c r="T40315" s="246">
        <f t="shared" si="667"/>
        <v>0</v>
      </c>
    </row>
    <row r="40316" spans="20:20" ht="18.75" customHeight="1" x14ac:dyDescent="0.35">
      <c r="T40316" s="246">
        <f t="shared" ref="T40316:T40379" si="668">R40316*0.01</f>
        <v>0</v>
      </c>
    </row>
    <row r="40317" spans="20:20" ht="18.75" customHeight="1" x14ac:dyDescent="0.35">
      <c r="T40317" s="246">
        <f t="shared" si="668"/>
        <v>0</v>
      </c>
    </row>
    <row r="40318" spans="20:20" ht="18.75" customHeight="1" x14ac:dyDescent="0.35">
      <c r="T40318" s="246">
        <f t="shared" si="668"/>
        <v>0</v>
      </c>
    </row>
    <row r="40319" spans="20:20" ht="18.75" customHeight="1" x14ac:dyDescent="0.35">
      <c r="T40319" s="246">
        <f t="shared" si="668"/>
        <v>0</v>
      </c>
    </row>
    <row r="40320" spans="20:20" ht="18.75" customHeight="1" x14ac:dyDescent="0.35">
      <c r="T40320" s="246">
        <f t="shared" si="668"/>
        <v>0</v>
      </c>
    </row>
    <row r="40321" spans="20:20" ht="18.75" customHeight="1" x14ac:dyDescent="0.35">
      <c r="T40321" s="246">
        <f t="shared" si="668"/>
        <v>0</v>
      </c>
    </row>
    <row r="40322" spans="20:20" ht="18.75" customHeight="1" x14ac:dyDescent="0.35">
      <c r="T40322" s="246">
        <f t="shared" si="668"/>
        <v>0</v>
      </c>
    </row>
    <row r="40323" spans="20:20" ht="18.75" customHeight="1" x14ac:dyDescent="0.35">
      <c r="T40323" s="246">
        <f t="shared" si="668"/>
        <v>0</v>
      </c>
    </row>
    <row r="40324" spans="20:20" ht="18.75" customHeight="1" x14ac:dyDescent="0.35">
      <c r="T40324" s="246">
        <f t="shared" si="668"/>
        <v>0</v>
      </c>
    </row>
    <row r="40325" spans="20:20" ht="18.75" customHeight="1" x14ac:dyDescent="0.35">
      <c r="T40325" s="246">
        <f t="shared" si="668"/>
        <v>0</v>
      </c>
    </row>
    <row r="40326" spans="20:20" ht="18.75" customHeight="1" x14ac:dyDescent="0.35">
      <c r="T40326" s="246">
        <f t="shared" si="668"/>
        <v>0</v>
      </c>
    </row>
    <row r="40327" spans="20:20" ht="18.75" customHeight="1" x14ac:dyDescent="0.35">
      <c r="T40327" s="246">
        <f t="shared" si="668"/>
        <v>0</v>
      </c>
    </row>
    <row r="40328" spans="20:20" ht="18.75" customHeight="1" x14ac:dyDescent="0.35">
      <c r="T40328" s="246">
        <f t="shared" si="668"/>
        <v>0</v>
      </c>
    </row>
    <row r="40329" spans="20:20" ht="18.75" customHeight="1" x14ac:dyDescent="0.35">
      <c r="T40329" s="246">
        <f t="shared" si="668"/>
        <v>0</v>
      </c>
    </row>
    <row r="40330" spans="20:20" ht="18.75" customHeight="1" x14ac:dyDescent="0.35">
      <c r="T40330" s="246">
        <f t="shared" si="668"/>
        <v>0</v>
      </c>
    </row>
    <row r="40331" spans="20:20" ht="18.75" customHeight="1" x14ac:dyDescent="0.35">
      <c r="T40331" s="246">
        <f t="shared" si="668"/>
        <v>0</v>
      </c>
    </row>
    <row r="40332" spans="20:20" ht="18.75" customHeight="1" x14ac:dyDescent="0.35">
      <c r="T40332" s="246">
        <f t="shared" si="668"/>
        <v>0</v>
      </c>
    </row>
    <row r="40333" spans="20:20" ht="18.75" customHeight="1" x14ac:dyDescent="0.35">
      <c r="T40333" s="246">
        <f t="shared" si="668"/>
        <v>0</v>
      </c>
    </row>
    <row r="40334" spans="20:20" ht="18.75" customHeight="1" x14ac:dyDescent="0.35">
      <c r="T40334" s="246">
        <f t="shared" si="668"/>
        <v>0</v>
      </c>
    </row>
    <row r="40335" spans="20:20" ht="18.75" customHeight="1" x14ac:dyDescent="0.35">
      <c r="T40335" s="246">
        <f t="shared" si="668"/>
        <v>0</v>
      </c>
    </row>
    <row r="40336" spans="20:20" ht="18.75" customHeight="1" x14ac:dyDescent="0.35">
      <c r="T40336" s="246">
        <f t="shared" si="668"/>
        <v>0</v>
      </c>
    </row>
    <row r="40337" spans="20:20" ht="18.75" customHeight="1" x14ac:dyDescent="0.35">
      <c r="T40337" s="246">
        <f t="shared" si="668"/>
        <v>0</v>
      </c>
    </row>
    <row r="40338" spans="20:20" ht="18.75" customHeight="1" x14ac:dyDescent="0.35">
      <c r="T40338" s="246">
        <f t="shared" si="668"/>
        <v>0</v>
      </c>
    </row>
    <row r="40339" spans="20:20" ht="18.75" customHeight="1" x14ac:dyDescent="0.35">
      <c r="T40339" s="246">
        <f t="shared" si="668"/>
        <v>0</v>
      </c>
    </row>
    <row r="40340" spans="20:20" ht="18.75" customHeight="1" x14ac:dyDescent="0.35">
      <c r="T40340" s="246">
        <f t="shared" si="668"/>
        <v>0</v>
      </c>
    </row>
    <row r="40341" spans="20:20" ht="18.75" customHeight="1" x14ac:dyDescent="0.35">
      <c r="T40341" s="246">
        <f t="shared" si="668"/>
        <v>0</v>
      </c>
    </row>
    <row r="40342" spans="20:20" ht="18.75" customHeight="1" x14ac:dyDescent="0.35">
      <c r="T40342" s="246">
        <f t="shared" si="668"/>
        <v>0</v>
      </c>
    </row>
    <row r="40343" spans="20:20" ht="18.75" customHeight="1" x14ac:dyDescent="0.35">
      <c r="T40343" s="246">
        <f t="shared" si="668"/>
        <v>0</v>
      </c>
    </row>
    <row r="40344" spans="20:20" ht="18.75" customHeight="1" x14ac:dyDescent="0.35">
      <c r="T40344" s="246">
        <f t="shared" si="668"/>
        <v>0</v>
      </c>
    </row>
    <row r="40345" spans="20:20" ht="18.75" customHeight="1" x14ac:dyDescent="0.35">
      <c r="T40345" s="246">
        <f t="shared" si="668"/>
        <v>0</v>
      </c>
    </row>
    <row r="40346" spans="20:20" ht="18.75" customHeight="1" x14ac:dyDescent="0.35">
      <c r="T40346" s="246">
        <f t="shared" si="668"/>
        <v>0</v>
      </c>
    </row>
    <row r="40347" spans="20:20" ht="18.75" customHeight="1" x14ac:dyDescent="0.35">
      <c r="T40347" s="246">
        <f t="shared" si="668"/>
        <v>0</v>
      </c>
    </row>
    <row r="40348" spans="20:20" ht="18.75" customHeight="1" x14ac:dyDescent="0.35">
      <c r="T40348" s="246">
        <f t="shared" si="668"/>
        <v>0</v>
      </c>
    </row>
    <row r="40349" spans="20:20" ht="18.75" customHeight="1" x14ac:dyDescent="0.35">
      <c r="T40349" s="246">
        <f t="shared" si="668"/>
        <v>0</v>
      </c>
    </row>
    <row r="40350" spans="20:20" ht="18.75" customHeight="1" x14ac:dyDescent="0.35">
      <c r="T40350" s="246">
        <f t="shared" si="668"/>
        <v>0</v>
      </c>
    </row>
    <row r="40351" spans="20:20" ht="18.75" customHeight="1" x14ac:dyDescent="0.35">
      <c r="T40351" s="246">
        <f t="shared" si="668"/>
        <v>0</v>
      </c>
    </row>
    <row r="40352" spans="20:20" ht="18.75" customHeight="1" x14ac:dyDescent="0.35">
      <c r="T40352" s="246">
        <f t="shared" si="668"/>
        <v>0</v>
      </c>
    </row>
    <row r="40353" spans="20:20" ht="18.75" customHeight="1" x14ac:dyDescent="0.35">
      <c r="T40353" s="246">
        <f t="shared" si="668"/>
        <v>0</v>
      </c>
    </row>
    <row r="40354" spans="20:20" ht="18.75" customHeight="1" x14ac:dyDescent="0.35">
      <c r="T40354" s="246">
        <f t="shared" si="668"/>
        <v>0</v>
      </c>
    </row>
    <row r="40355" spans="20:20" ht="18.75" customHeight="1" x14ac:dyDescent="0.35">
      <c r="T40355" s="246">
        <f t="shared" si="668"/>
        <v>0</v>
      </c>
    </row>
    <row r="40356" spans="20:20" ht="18.75" customHeight="1" x14ac:dyDescent="0.35">
      <c r="T40356" s="246">
        <f t="shared" si="668"/>
        <v>0</v>
      </c>
    </row>
    <row r="40357" spans="20:20" ht="18.75" customHeight="1" x14ac:dyDescent="0.35">
      <c r="T40357" s="246">
        <f t="shared" si="668"/>
        <v>0</v>
      </c>
    </row>
    <row r="40358" spans="20:20" ht="18.75" customHeight="1" x14ac:dyDescent="0.35">
      <c r="T40358" s="246">
        <f t="shared" si="668"/>
        <v>0</v>
      </c>
    </row>
    <row r="40359" spans="20:20" ht="18.75" customHeight="1" x14ac:dyDescent="0.35">
      <c r="T40359" s="246">
        <f t="shared" si="668"/>
        <v>0</v>
      </c>
    </row>
    <row r="40360" spans="20:20" ht="18.75" customHeight="1" x14ac:dyDescent="0.35">
      <c r="T40360" s="246">
        <f t="shared" si="668"/>
        <v>0</v>
      </c>
    </row>
    <row r="40361" spans="20:20" ht="18.75" customHeight="1" x14ac:dyDescent="0.35">
      <c r="T40361" s="246">
        <f t="shared" si="668"/>
        <v>0</v>
      </c>
    </row>
    <row r="40362" spans="20:20" ht="18.75" customHeight="1" x14ac:dyDescent="0.35">
      <c r="T40362" s="246">
        <f t="shared" si="668"/>
        <v>0</v>
      </c>
    </row>
    <row r="40363" spans="20:20" ht="18.75" customHeight="1" x14ac:dyDescent="0.35">
      <c r="T40363" s="246">
        <f t="shared" si="668"/>
        <v>0</v>
      </c>
    </row>
    <row r="40364" spans="20:20" ht="18.75" customHeight="1" x14ac:dyDescent="0.35">
      <c r="T40364" s="246">
        <f t="shared" si="668"/>
        <v>0</v>
      </c>
    </row>
    <row r="40365" spans="20:20" ht="18.75" customHeight="1" x14ac:dyDescent="0.35">
      <c r="T40365" s="246">
        <f t="shared" si="668"/>
        <v>0</v>
      </c>
    </row>
    <row r="40366" spans="20:20" ht="18.75" customHeight="1" x14ac:dyDescent="0.35">
      <c r="T40366" s="246">
        <f t="shared" si="668"/>
        <v>0</v>
      </c>
    </row>
    <row r="40367" spans="20:20" ht="18.75" customHeight="1" x14ac:dyDescent="0.35">
      <c r="T40367" s="246">
        <f t="shared" si="668"/>
        <v>0</v>
      </c>
    </row>
    <row r="40368" spans="20:20" ht="18.75" customHeight="1" x14ac:dyDescent="0.35">
      <c r="T40368" s="246">
        <f t="shared" si="668"/>
        <v>0</v>
      </c>
    </row>
    <row r="40369" spans="20:20" ht="18.75" customHeight="1" x14ac:dyDescent="0.35">
      <c r="T40369" s="246">
        <f t="shared" si="668"/>
        <v>0</v>
      </c>
    </row>
    <row r="40370" spans="20:20" ht="18.75" customHeight="1" x14ac:dyDescent="0.35">
      <c r="T40370" s="246">
        <f t="shared" si="668"/>
        <v>0</v>
      </c>
    </row>
    <row r="40371" spans="20:20" ht="18.75" customHeight="1" x14ac:dyDescent="0.35">
      <c r="T40371" s="246">
        <f t="shared" si="668"/>
        <v>0</v>
      </c>
    </row>
    <row r="40372" spans="20:20" ht="18.75" customHeight="1" x14ac:dyDescent="0.35">
      <c r="T40372" s="246">
        <f t="shared" si="668"/>
        <v>0</v>
      </c>
    </row>
    <row r="40373" spans="20:20" ht="18.75" customHeight="1" x14ac:dyDescent="0.35">
      <c r="T40373" s="246">
        <f t="shared" si="668"/>
        <v>0</v>
      </c>
    </row>
    <row r="40374" spans="20:20" ht="18.75" customHeight="1" x14ac:dyDescent="0.35">
      <c r="T40374" s="246">
        <f t="shared" si="668"/>
        <v>0</v>
      </c>
    </row>
    <row r="40375" spans="20:20" ht="18.75" customHeight="1" x14ac:dyDescent="0.35">
      <c r="T40375" s="246">
        <f t="shared" si="668"/>
        <v>0</v>
      </c>
    </row>
    <row r="40376" spans="20:20" ht="18.75" customHeight="1" x14ac:dyDescent="0.35">
      <c r="T40376" s="246">
        <f t="shared" si="668"/>
        <v>0</v>
      </c>
    </row>
    <row r="40377" spans="20:20" ht="18.75" customHeight="1" x14ac:dyDescent="0.35">
      <c r="T40377" s="246">
        <f t="shared" si="668"/>
        <v>0</v>
      </c>
    </row>
    <row r="40378" spans="20:20" ht="18.75" customHeight="1" x14ac:dyDescent="0.35">
      <c r="T40378" s="246">
        <f t="shared" si="668"/>
        <v>0</v>
      </c>
    </row>
    <row r="40379" spans="20:20" ht="18.75" customHeight="1" x14ac:dyDescent="0.35">
      <c r="T40379" s="246">
        <f t="shared" si="668"/>
        <v>0</v>
      </c>
    </row>
    <row r="40380" spans="20:20" ht="18.75" customHeight="1" x14ac:dyDescent="0.35">
      <c r="T40380" s="246">
        <f t="shared" ref="T40380:T40443" si="669">R40380*0.01</f>
        <v>0</v>
      </c>
    </row>
    <row r="40381" spans="20:20" ht="18.75" customHeight="1" x14ac:dyDescent="0.35">
      <c r="T40381" s="246">
        <f t="shared" si="669"/>
        <v>0</v>
      </c>
    </row>
    <row r="40382" spans="20:20" ht="18.75" customHeight="1" x14ac:dyDescent="0.35">
      <c r="T40382" s="246">
        <f t="shared" si="669"/>
        <v>0</v>
      </c>
    </row>
    <row r="40383" spans="20:20" ht="18.75" customHeight="1" x14ac:dyDescent="0.35">
      <c r="T40383" s="246">
        <f t="shared" si="669"/>
        <v>0</v>
      </c>
    </row>
    <row r="40384" spans="20:20" ht="18.75" customHeight="1" x14ac:dyDescent="0.35">
      <c r="T40384" s="246">
        <f t="shared" si="669"/>
        <v>0</v>
      </c>
    </row>
    <row r="40385" spans="20:20" ht="18.75" customHeight="1" x14ac:dyDescent="0.35">
      <c r="T40385" s="246">
        <f t="shared" si="669"/>
        <v>0</v>
      </c>
    </row>
    <row r="40386" spans="20:20" ht="18.75" customHeight="1" x14ac:dyDescent="0.35">
      <c r="T40386" s="246">
        <f t="shared" si="669"/>
        <v>0</v>
      </c>
    </row>
    <row r="40387" spans="20:20" ht="18.75" customHeight="1" x14ac:dyDescent="0.35">
      <c r="T40387" s="246">
        <f t="shared" si="669"/>
        <v>0</v>
      </c>
    </row>
    <row r="40388" spans="20:20" ht="18.75" customHeight="1" x14ac:dyDescent="0.35">
      <c r="T40388" s="246">
        <f t="shared" si="669"/>
        <v>0</v>
      </c>
    </row>
    <row r="40389" spans="20:20" ht="18.75" customHeight="1" x14ac:dyDescent="0.35">
      <c r="T40389" s="246">
        <f t="shared" si="669"/>
        <v>0</v>
      </c>
    </row>
    <row r="40390" spans="20:20" ht="18.75" customHeight="1" x14ac:dyDescent="0.35">
      <c r="T40390" s="246">
        <f t="shared" si="669"/>
        <v>0</v>
      </c>
    </row>
    <row r="40391" spans="20:20" ht="18.75" customHeight="1" x14ac:dyDescent="0.35">
      <c r="T40391" s="246">
        <f t="shared" si="669"/>
        <v>0</v>
      </c>
    </row>
    <row r="40392" spans="20:20" ht="18.75" customHeight="1" x14ac:dyDescent="0.35">
      <c r="T40392" s="246">
        <f t="shared" si="669"/>
        <v>0</v>
      </c>
    </row>
    <row r="40393" spans="20:20" ht="18.75" customHeight="1" x14ac:dyDescent="0.35">
      <c r="T40393" s="246">
        <f t="shared" si="669"/>
        <v>0</v>
      </c>
    </row>
    <row r="40394" spans="20:20" ht="18.75" customHeight="1" x14ac:dyDescent="0.35">
      <c r="T40394" s="246">
        <f t="shared" si="669"/>
        <v>0</v>
      </c>
    </row>
    <row r="40395" spans="20:20" ht="18.75" customHeight="1" x14ac:dyDescent="0.35">
      <c r="T40395" s="246">
        <f t="shared" si="669"/>
        <v>0</v>
      </c>
    </row>
    <row r="40396" spans="20:20" ht="18.75" customHeight="1" x14ac:dyDescent="0.35">
      <c r="T40396" s="246">
        <f t="shared" si="669"/>
        <v>0</v>
      </c>
    </row>
    <row r="40397" spans="20:20" ht="18.75" customHeight="1" x14ac:dyDescent="0.35">
      <c r="T40397" s="246">
        <f t="shared" si="669"/>
        <v>0</v>
      </c>
    </row>
    <row r="40398" spans="20:20" ht="18.75" customHeight="1" x14ac:dyDescent="0.35">
      <c r="T40398" s="246">
        <f t="shared" si="669"/>
        <v>0</v>
      </c>
    </row>
    <row r="40399" spans="20:20" ht="18.75" customHeight="1" x14ac:dyDescent="0.35">
      <c r="T40399" s="246">
        <f t="shared" si="669"/>
        <v>0</v>
      </c>
    </row>
    <row r="40400" spans="20:20" ht="18.75" customHeight="1" x14ac:dyDescent="0.35">
      <c r="T40400" s="246">
        <f t="shared" si="669"/>
        <v>0</v>
      </c>
    </row>
    <row r="40401" spans="20:20" ht="18.75" customHeight="1" x14ac:dyDescent="0.35">
      <c r="T40401" s="246">
        <f t="shared" si="669"/>
        <v>0</v>
      </c>
    </row>
    <row r="40402" spans="20:20" ht="18.75" customHeight="1" x14ac:dyDescent="0.35">
      <c r="T40402" s="246">
        <f t="shared" si="669"/>
        <v>0</v>
      </c>
    </row>
    <row r="40403" spans="20:20" ht="18.75" customHeight="1" x14ac:dyDescent="0.35">
      <c r="T40403" s="246">
        <f t="shared" si="669"/>
        <v>0</v>
      </c>
    </row>
    <row r="40404" spans="20:20" ht="18.75" customHeight="1" x14ac:dyDescent="0.35">
      <c r="T40404" s="246">
        <f t="shared" si="669"/>
        <v>0</v>
      </c>
    </row>
    <row r="40405" spans="20:20" ht="18.75" customHeight="1" x14ac:dyDescent="0.35">
      <c r="T40405" s="246">
        <f t="shared" si="669"/>
        <v>0</v>
      </c>
    </row>
    <row r="40406" spans="20:20" ht="18.75" customHeight="1" x14ac:dyDescent="0.35">
      <c r="T40406" s="246">
        <f t="shared" si="669"/>
        <v>0</v>
      </c>
    </row>
    <row r="40407" spans="20:20" ht="18.75" customHeight="1" x14ac:dyDescent="0.35">
      <c r="T40407" s="246">
        <f t="shared" si="669"/>
        <v>0</v>
      </c>
    </row>
    <row r="40408" spans="20:20" ht="18.75" customHeight="1" x14ac:dyDescent="0.35">
      <c r="T40408" s="246">
        <f t="shared" si="669"/>
        <v>0</v>
      </c>
    </row>
    <row r="40409" spans="20:20" ht="18.75" customHeight="1" x14ac:dyDescent="0.35">
      <c r="T40409" s="246">
        <f t="shared" si="669"/>
        <v>0</v>
      </c>
    </row>
    <row r="40410" spans="20:20" ht="18.75" customHeight="1" x14ac:dyDescent="0.35">
      <c r="T40410" s="246">
        <f t="shared" si="669"/>
        <v>0</v>
      </c>
    </row>
    <row r="40411" spans="20:20" ht="18.75" customHeight="1" x14ac:dyDescent="0.35">
      <c r="T40411" s="246">
        <f t="shared" si="669"/>
        <v>0</v>
      </c>
    </row>
    <row r="40412" spans="20:20" ht="18.75" customHeight="1" x14ac:dyDescent="0.35">
      <c r="T40412" s="246">
        <f t="shared" si="669"/>
        <v>0</v>
      </c>
    </row>
    <row r="40413" spans="20:20" ht="18.75" customHeight="1" x14ac:dyDescent="0.35">
      <c r="T40413" s="246">
        <f t="shared" si="669"/>
        <v>0</v>
      </c>
    </row>
    <row r="40414" spans="20:20" ht="18.75" customHeight="1" x14ac:dyDescent="0.35">
      <c r="T40414" s="246">
        <f t="shared" si="669"/>
        <v>0</v>
      </c>
    </row>
    <row r="40415" spans="20:20" ht="18.75" customHeight="1" x14ac:dyDescent="0.35">
      <c r="T40415" s="246">
        <f t="shared" si="669"/>
        <v>0</v>
      </c>
    </row>
    <row r="40416" spans="20:20" ht="18.75" customHeight="1" x14ac:dyDescent="0.35">
      <c r="T40416" s="246">
        <f t="shared" si="669"/>
        <v>0</v>
      </c>
    </row>
    <row r="40417" spans="20:20" ht="18.75" customHeight="1" x14ac:dyDescent="0.35">
      <c r="T40417" s="246">
        <f t="shared" si="669"/>
        <v>0</v>
      </c>
    </row>
    <row r="40418" spans="20:20" ht="18.75" customHeight="1" x14ac:dyDescent="0.35">
      <c r="T40418" s="246">
        <f t="shared" si="669"/>
        <v>0</v>
      </c>
    </row>
    <row r="40419" spans="20:20" ht="18.75" customHeight="1" x14ac:dyDescent="0.35">
      <c r="T40419" s="246">
        <f t="shared" si="669"/>
        <v>0</v>
      </c>
    </row>
    <row r="40420" spans="20:20" ht="18.75" customHeight="1" x14ac:dyDescent="0.35">
      <c r="T40420" s="246">
        <f t="shared" si="669"/>
        <v>0</v>
      </c>
    </row>
    <row r="40421" spans="20:20" ht="18.75" customHeight="1" x14ac:dyDescent="0.35">
      <c r="T40421" s="246">
        <f t="shared" si="669"/>
        <v>0</v>
      </c>
    </row>
    <row r="40422" spans="20:20" ht="18.75" customHeight="1" x14ac:dyDescent="0.35">
      <c r="T40422" s="246">
        <f t="shared" si="669"/>
        <v>0</v>
      </c>
    </row>
    <row r="40423" spans="20:20" ht="18.75" customHeight="1" x14ac:dyDescent="0.35">
      <c r="T40423" s="246">
        <f t="shared" si="669"/>
        <v>0</v>
      </c>
    </row>
    <row r="40424" spans="20:20" ht="18.75" customHeight="1" x14ac:dyDescent="0.35">
      <c r="T40424" s="246">
        <f t="shared" si="669"/>
        <v>0</v>
      </c>
    </row>
    <row r="40425" spans="20:20" ht="18.75" customHeight="1" x14ac:dyDescent="0.35">
      <c r="T40425" s="246">
        <f t="shared" si="669"/>
        <v>0</v>
      </c>
    </row>
    <row r="40426" spans="20:20" ht="18.75" customHeight="1" x14ac:dyDescent="0.35">
      <c r="T40426" s="246">
        <f t="shared" si="669"/>
        <v>0</v>
      </c>
    </row>
    <row r="40427" spans="20:20" ht="18.75" customHeight="1" x14ac:dyDescent="0.35">
      <c r="T40427" s="246">
        <f t="shared" si="669"/>
        <v>0</v>
      </c>
    </row>
    <row r="40428" spans="20:20" ht="18.75" customHeight="1" x14ac:dyDescent="0.35">
      <c r="T40428" s="246">
        <f t="shared" si="669"/>
        <v>0</v>
      </c>
    </row>
    <row r="40429" spans="20:20" ht="18.75" customHeight="1" x14ac:dyDescent="0.35">
      <c r="T40429" s="246">
        <f t="shared" si="669"/>
        <v>0</v>
      </c>
    </row>
    <row r="40430" spans="20:20" ht="18.75" customHeight="1" x14ac:dyDescent="0.35">
      <c r="T40430" s="246">
        <f t="shared" si="669"/>
        <v>0</v>
      </c>
    </row>
    <row r="40431" spans="20:20" ht="18.75" customHeight="1" x14ac:dyDescent="0.35">
      <c r="T40431" s="246">
        <f t="shared" si="669"/>
        <v>0</v>
      </c>
    </row>
    <row r="40432" spans="20:20" ht="18.75" customHeight="1" x14ac:dyDescent="0.35">
      <c r="T40432" s="246">
        <f t="shared" si="669"/>
        <v>0</v>
      </c>
    </row>
    <row r="40433" spans="20:20" ht="18.75" customHeight="1" x14ac:dyDescent="0.35">
      <c r="T40433" s="246">
        <f t="shared" si="669"/>
        <v>0</v>
      </c>
    </row>
    <row r="40434" spans="20:20" ht="18.75" customHeight="1" x14ac:dyDescent="0.35">
      <c r="T40434" s="246">
        <f t="shared" si="669"/>
        <v>0</v>
      </c>
    </row>
    <row r="40435" spans="20:20" ht="18.75" customHeight="1" x14ac:dyDescent="0.35">
      <c r="T40435" s="246">
        <f t="shared" si="669"/>
        <v>0</v>
      </c>
    </row>
    <row r="40436" spans="20:20" ht="18.75" customHeight="1" x14ac:dyDescent="0.35">
      <c r="T40436" s="246">
        <f t="shared" si="669"/>
        <v>0</v>
      </c>
    </row>
    <row r="40437" spans="20:20" ht="18.75" customHeight="1" x14ac:dyDescent="0.35">
      <c r="T40437" s="246">
        <f t="shared" si="669"/>
        <v>0</v>
      </c>
    </row>
    <row r="40438" spans="20:20" ht="18.75" customHeight="1" x14ac:dyDescent="0.35">
      <c r="T40438" s="246">
        <f t="shared" si="669"/>
        <v>0</v>
      </c>
    </row>
    <row r="40439" spans="20:20" ht="18.75" customHeight="1" x14ac:dyDescent="0.35">
      <c r="T40439" s="246">
        <f t="shared" si="669"/>
        <v>0</v>
      </c>
    </row>
    <row r="40440" spans="20:20" ht="18.75" customHeight="1" x14ac:dyDescent="0.35">
      <c r="T40440" s="246">
        <f t="shared" si="669"/>
        <v>0</v>
      </c>
    </row>
    <row r="40441" spans="20:20" ht="18.75" customHeight="1" x14ac:dyDescent="0.35">
      <c r="T40441" s="246">
        <f t="shared" si="669"/>
        <v>0</v>
      </c>
    </row>
    <row r="40442" spans="20:20" ht="18.75" customHeight="1" x14ac:dyDescent="0.35">
      <c r="T40442" s="246">
        <f t="shared" si="669"/>
        <v>0</v>
      </c>
    </row>
    <row r="40443" spans="20:20" ht="18.75" customHeight="1" x14ac:dyDescent="0.35">
      <c r="T40443" s="246">
        <f t="shared" si="669"/>
        <v>0</v>
      </c>
    </row>
    <row r="40444" spans="20:20" ht="18.75" customHeight="1" x14ac:dyDescent="0.35">
      <c r="T40444" s="246">
        <f t="shared" ref="T40444:T40507" si="670">R40444*0.01</f>
        <v>0</v>
      </c>
    </row>
    <row r="40445" spans="20:20" ht="18.75" customHeight="1" x14ac:dyDescent="0.35">
      <c r="T40445" s="246">
        <f t="shared" si="670"/>
        <v>0</v>
      </c>
    </row>
    <row r="40446" spans="20:20" ht="18.75" customHeight="1" x14ac:dyDescent="0.35">
      <c r="T40446" s="246">
        <f t="shared" si="670"/>
        <v>0</v>
      </c>
    </row>
    <row r="40447" spans="20:20" ht="18.75" customHeight="1" x14ac:dyDescent="0.35">
      <c r="T40447" s="246">
        <f t="shared" si="670"/>
        <v>0</v>
      </c>
    </row>
    <row r="40448" spans="20:20" ht="18.75" customHeight="1" x14ac:dyDescent="0.35">
      <c r="T40448" s="246">
        <f t="shared" si="670"/>
        <v>0</v>
      </c>
    </row>
    <row r="40449" spans="20:20" ht="18.75" customHeight="1" x14ac:dyDescent="0.35">
      <c r="T40449" s="246">
        <f t="shared" si="670"/>
        <v>0</v>
      </c>
    </row>
    <row r="40450" spans="20:20" ht="18.75" customHeight="1" x14ac:dyDescent="0.35">
      <c r="T40450" s="246">
        <f t="shared" si="670"/>
        <v>0</v>
      </c>
    </row>
    <row r="40451" spans="20:20" ht="18.75" customHeight="1" x14ac:dyDescent="0.35">
      <c r="T40451" s="246">
        <f t="shared" si="670"/>
        <v>0</v>
      </c>
    </row>
    <row r="40452" spans="20:20" ht="18.75" customHeight="1" x14ac:dyDescent="0.35">
      <c r="T40452" s="246">
        <f t="shared" si="670"/>
        <v>0</v>
      </c>
    </row>
    <row r="40453" spans="20:20" ht="18.75" customHeight="1" x14ac:dyDescent="0.35">
      <c r="T40453" s="246">
        <f t="shared" si="670"/>
        <v>0</v>
      </c>
    </row>
    <row r="40454" spans="20:20" ht="18.75" customHeight="1" x14ac:dyDescent="0.35">
      <c r="T40454" s="246">
        <f t="shared" si="670"/>
        <v>0</v>
      </c>
    </row>
    <row r="40455" spans="20:20" ht="18.75" customHeight="1" x14ac:dyDescent="0.35">
      <c r="T40455" s="246">
        <f t="shared" si="670"/>
        <v>0</v>
      </c>
    </row>
    <row r="40456" spans="20:20" ht="18.75" customHeight="1" x14ac:dyDescent="0.35">
      <c r="T40456" s="246">
        <f t="shared" si="670"/>
        <v>0</v>
      </c>
    </row>
    <row r="40457" spans="20:20" ht="18.75" customHeight="1" x14ac:dyDescent="0.35">
      <c r="T40457" s="246">
        <f t="shared" si="670"/>
        <v>0</v>
      </c>
    </row>
    <row r="40458" spans="20:20" ht="18.75" customHeight="1" x14ac:dyDescent="0.35">
      <c r="T40458" s="246">
        <f t="shared" si="670"/>
        <v>0</v>
      </c>
    </row>
    <row r="40459" spans="20:20" ht="18.75" customHeight="1" x14ac:dyDescent="0.35">
      <c r="T40459" s="246">
        <f t="shared" si="670"/>
        <v>0</v>
      </c>
    </row>
    <row r="40460" spans="20:20" ht="18.75" customHeight="1" x14ac:dyDescent="0.35">
      <c r="T40460" s="246">
        <f t="shared" si="670"/>
        <v>0</v>
      </c>
    </row>
    <row r="40461" spans="20:20" ht="18.75" customHeight="1" x14ac:dyDescent="0.35">
      <c r="T40461" s="246">
        <f t="shared" si="670"/>
        <v>0</v>
      </c>
    </row>
    <row r="40462" spans="20:20" ht="18.75" customHeight="1" x14ac:dyDescent="0.35">
      <c r="T40462" s="246">
        <f t="shared" si="670"/>
        <v>0</v>
      </c>
    </row>
    <row r="40463" spans="20:20" ht="18.75" customHeight="1" x14ac:dyDescent="0.35">
      <c r="T40463" s="246">
        <f t="shared" si="670"/>
        <v>0</v>
      </c>
    </row>
    <row r="40464" spans="20:20" ht="18.75" customHeight="1" x14ac:dyDescent="0.35">
      <c r="T40464" s="246">
        <f t="shared" si="670"/>
        <v>0</v>
      </c>
    </row>
    <row r="40465" spans="20:20" ht="18.75" customHeight="1" x14ac:dyDescent="0.35">
      <c r="T40465" s="246">
        <f t="shared" si="670"/>
        <v>0</v>
      </c>
    </row>
    <row r="40466" spans="20:20" ht="18.75" customHeight="1" x14ac:dyDescent="0.35">
      <c r="T40466" s="246">
        <f t="shared" si="670"/>
        <v>0</v>
      </c>
    </row>
    <row r="40467" spans="20:20" ht="18.75" customHeight="1" x14ac:dyDescent="0.35">
      <c r="T40467" s="246">
        <f t="shared" si="670"/>
        <v>0</v>
      </c>
    </row>
    <row r="40468" spans="20:20" ht="18.75" customHeight="1" x14ac:dyDescent="0.35">
      <c r="T40468" s="246">
        <f t="shared" si="670"/>
        <v>0</v>
      </c>
    </row>
    <row r="40469" spans="20:20" ht="18.75" customHeight="1" x14ac:dyDescent="0.35">
      <c r="T40469" s="246">
        <f t="shared" si="670"/>
        <v>0</v>
      </c>
    </row>
    <row r="40470" spans="20:20" ht="18.75" customHeight="1" x14ac:dyDescent="0.35">
      <c r="T40470" s="246">
        <f t="shared" si="670"/>
        <v>0</v>
      </c>
    </row>
    <row r="40471" spans="20:20" ht="18.75" customHeight="1" x14ac:dyDescent="0.35">
      <c r="T40471" s="246">
        <f t="shared" si="670"/>
        <v>0</v>
      </c>
    </row>
    <row r="40472" spans="20:20" ht="18.75" customHeight="1" x14ac:dyDescent="0.35">
      <c r="T40472" s="246">
        <f t="shared" si="670"/>
        <v>0</v>
      </c>
    </row>
    <row r="40473" spans="20:20" ht="18.75" customHeight="1" x14ac:dyDescent="0.35">
      <c r="T40473" s="246">
        <f t="shared" si="670"/>
        <v>0</v>
      </c>
    </row>
    <row r="40474" spans="20:20" ht="18.75" customHeight="1" x14ac:dyDescent="0.35">
      <c r="T40474" s="246">
        <f t="shared" si="670"/>
        <v>0</v>
      </c>
    </row>
    <row r="40475" spans="20:20" ht="18.75" customHeight="1" x14ac:dyDescent="0.35">
      <c r="T40475" s="246">
        <f t="shared" si="670"/>
        <v>0</v>
      </c>
    </row>
    <row r="40476" spans="20:20" ht="18.75" customHeight="1" x14ac:dyDescent="0.35">
      <c r="T40476" s="246">
        <f t="shared" si="670"/>
        <v>0</v>
      </c>
    </row>
    <row r="40477" spans="20:20" ht="18.75" customHeight="1" x14ac:dyDescent="0.35">
      <c r="T40477" s="246">
        <f t="shared" si="670"/>
        <v>0</v>
      </c>
    </row>
    <row r="40478" spans="20:20" ht="18.75" customHeight="1" x14ac:dyDescent="0.35">
      <c r="T40478" s="246">
        <f t="shared" si="670"/>
        <v>0</v>
      </c>
    </row>
    <row r="40479" spans="20:20" ht="18.75" customHeight="1" x14ac:dyDescent="0.35">
      <c r="T40479" s="246">
        <f t="shared" si="670"/>
        <v>0</v>
      </c>
    </row>
    <row r="40480" spans="20:20" ht="18.75" customHeight="1" x14ac:dyDescent="0.35">
      <c r="T40480" s="246">
        <f t="shared" si="670"/>
        <v>0</v>
      </c>
    </row>
    <row r="40481" spans="20:20" ht="18.75" customHeight="1" x14ac:dyDescent="0.35">
      <c r="T40481" s="246">
        <f t="shared" si="670"/>
        <v>0</v>
      </c>
    </row>
    <row r="40482" spans="20:20" ht="18.75" customHeight="1" x14ac:dyDescent="0.35">
      <c r="T40482" s="246">
        <f t="shared" si="670"/>
        <v>0</v>
      </c>
    </row>
    <row r="40483" spans="20:20" ht="18.75" customHeight="1" x14ac:dyDescent="0.35">
      <c r="T40483" s="246">
        <f t="shared" si="670"/>
        <v>0</v>
      </c>
    </row>
    <row r="40484" spans="20:20" ht="18.75" customHeight="1" x14ac:dyDescent="0.35">
      <c r="T40484" s="246">
        <f t="shared" si="670"/>
        <v>0</v>
      </c>
    </row>
    <row r="40485" spans="20:20" ht="18.75" customHeight="1" x14ac:dyDescent="0.35">
      <c r="T40485" s="246">
        <f t="shared" si="670"/>
        <v>0</v>
      </c>
    </row>
    <row r="40486" spans="20:20" ht="18.75" customHeight="1" x14ac:dyDescent="0.35">
      <c r="T40486" s="246">
        <f t="shared" si="670"/>
        <v>0</v>
      </c>
    </row>
    <row r="40487" spans="20:20" ht="18.75" customHeight="1" x14ac:dyDescent="0.35">
      <c r="T40487" s="246">
        <f t="shared" si="670"/>
        <v>0</v>
      </c>
    </row>
    <row r="40488" spans="20:20" ht="18.75" customHeight="1" x14ac:dyDescent="0.35">
      <c r="T40488" s="246">
        <f t="shared" si="670"/>
        <v>0</v>
      </c>
    </row>
    <row r="40489" spans="20:20" ht="18.75" customHeight="1" x14ac:dyDescent="0.35">
      <c r="T40489" s="246">
        <f t="shared" si="670"/>
        <v>0</v>
      </c>
    </row>
    <row r="40490" spans="20:20" ht="18.75" customHeight="1" x14ac:dyDescent="0.35">
      <c r="T40490" s="246">
        <f t="shared" si="670"/>
        <v>0</v>
      </c>
    </row>
    <row r="40491" spans="20:20" ht="18.75" customHeight="1" x14ac:dyDescent="0.35">
      <c r="T40491" s="246">
        <f t="shared" si="670"/>
        <v>0</v>
      </c>
    </row>
    <row r="40492" spans="20:20" ht="18.75" customHeight="1" x14ac:dyDescent="0.35">
      <c r="T40492" s="246">
        <f t="shared" si="670"/>
        <v>0</v>
      </c>
    </row>
    <row r="40493" spans="20:20" ht="18.75" customHeight="1" x14ac:dyDescent="0.35">
      <c r="T40493" s="246">
        <f t="shared" si="670"/>
        <v>0</v>
      </c>
    </row>
    <row r="40494" spans="20:20" ht="18.75" customHeight="1" x14ac:dyDescent="0.35">
      <c r="T40494" s="246">
        <f t="shared" si="670"/>
        <v>0</v>
      </c>
    </row>
    <row r="40495" spans="20:20" ht="18.75" customHeight="1" x14ac:dyDescent="0.35">
      <c r="T40495" s="246">
        <f t="shared" si="670"/>
        <v>0</v>
      </c>
    </row>
    <row r="40496" spans="20:20" ht="18.75" customHeight="1" x14ac:dyDescent="0.35">
      <c r="T40496" s="246">
        <f t="shared" si="670"/>
        <v>0</v>
      </c>
    </row>
    <row r="40497" spans="20:20" ht="18.75" customHeight="1" x14ac:dyDescent="0.35">
      <c r="T40497" s="246">
        <f t="shared" si="670"/>
        <v>0</v>
      </c>
    </row>
    <row r="40498" spans="20:20" ht="18.75" customHeight="1" x14ac:dyDescent="0.35">
      <c r="T40498" s="246">
        <f t="shared" si="670"/>
        <v>0</v>
      </c>
    </row>
    <row r="40499" spans="20:20" ht="18.75" customHeight="1" x14ac:dyDescent="0.35">
      <c r="T40499" s="246">
        <f t="shared" si="670"/>
        <v>0</v>
      </c>
    </row>
    <row r="40500" spans="20:20" ht="18.75" customHeight="1" x14ac:dyDescent="0.35">
      <c r="T40500" s="246">
        <f t="shared" si="670"/>
        <v>0</v>
      </c>
    </row>
    <row r="40501" spans="20:20" ht="18.75" customHeight="1" x14ac:dyDescent="0.35">
      <c r="T40501" s="246">
        <f t="shared" si="670"/>
        <v>0</v>
      </c>
    </row>
    <row r="40502" spans="20:20" ht="18.75" customHeight="1" x14ac:dyDescent="0.35">
      <c r="T40502" s="246">
        <f t="shared" si="670"/>
        <v>0</v>
      </c>
    </row>
    <row r="40503" spans="20:20" ht="18.75" customHeight="1" x14ac:dyDescent="0.35">
      <c r="T40503" s="246">
        <f t="shared" si="670"/>
        <v>0</v>
      </c>
    </row>
    <row r="40504" spans="20:20" ht="18.75" customHeight="1" x14ac:dyDescent="0.35">
      <c r="T40504" s="246">
        <f t="shared" si="670"/>
        <v>0</v>
      </c>
    </row>
    <row r="40505" spans="20:20" ht="18.75" customHeight="1" x14ac:dyDescent="0.35">
      <c r="T40505" s="246">
        <f t="shared" si="670"/>
        <v>0</v>
      </c>
    </row>
    <row r="40506" spans="20:20" ht="18.75" customHeight="1" x14ac:dyDescent="0.35">
      <c r="T40506" s="246">
        <f t="shared" si="670"/>
        <v>0</v>
      </c>
    </row>
    <row r="40507" spans="20:20" ht="18.75" customHeight="1" x14ac:dyDescent="0.35">
      <c r="T40507" s="246">
        <f t="shared" si="670"/>
        <v>0</v>
      </c>
    </row>
    <row r="40508" spans="20:20" ht="18.75" customHeight="1" x14ac:dyDescent="0.35">
      <c r="T40508" s="246">
        <f t="shared" ref="T40508:T40571" si="671">R40508*0.01</f>
        <v>0</v>
      </c>
    </row>
    <row r="40509" spans="20:20" ht="18.75" customHeight="1" x14ac:dyDescent="0.35">
      <c r="T40509" s="246">
        <f t="shared" si="671"/>
        <v>0</v>
      </c>
    </row>
    <row r="40510" spans="20:20" ht="18.75" customHeight="1" x14ac:dyDescent="0.35">
      <c r="T40510" s="246">
        <f t="shared" si="671"/>
        <v>0</v>
      </c>
    </row>
    <row r="40511" spans="20:20" ht="18.75" customHeight="1" x14ac:dyDescent="0.35">
      <c r="T40511" s="246">
        <f t="shared" si="671"/>
        <v>0</v>
      </c>
    </row>
    <row r="40512" spans="20:20" ht="18.75" customHeight="1" x14ac:dyDescent="0.35">
      <c r="T40512" s="246">
        <f t="shared" si="671"/>
        <v>0</v>
      </c>
    </row>
    <row r="40513" spans="20:20" ht="18.75" customHeight="1" x14ac:dyDescent="0.35">
      <c r="T40513" s="246">
        <f t="shared" si="671"/>
        <v>0</v>
      </c>
    </row>
    <row r="40514" spans="20:20" ht="18.75" customHeight="1" x14ac:dyDescent="0.35">
      <c r="T40514" s="246">
        <f t="shared" si="671"/>
        <v>0</v>
      </c>
    </row>
    <row r="40515" spans="20:20" ht="18.75" customHeight="1" x14ac:dyDescent="0.35">
      <c r="T40515" s="246">
        <f t="shared" si="671"/>
        <v>0</v>
      </c>
    </row>
    <row r="40516" spans="20:20" ht="18.75" customHeight="1" x14ac:dyDescent="0.35">
      <c r="T40516" s="246">
        <f t="shared" si="671"/>
        <v>0</v>
      </c>
    </row>
    <row r="40517" spans="20:20" ht="18.75" customHeight="1" x14ac:dyDescent="0.35">
      <c r="T40517" s="246">
        <f t="shared" si="671"/>
        <v>0</v>
      </c>
    </row>
    <row r="40518" spans="20:20" ht="18.75" customHeight="1" x14ac:dyDescent="0.35">
      <c r="T40518" s="246">
        <f t="shared" si="671"/>
        <v>0</v>
      </c>
    </row>
    <row r="40519" spans="20:20" ht="18.75" customHeight="1" x14ac:dyDescent="0.35">
      <c r="T40519" s="246">
        <f t="shared" si="671"/>
        <v>0</v>
      </c>
    </row>
    <row r="40520" spans="20:20" ht="18.75" customHeight="1" x14ac:dyDescent="0.35">
      <c r="T40520" s="246">
        <f t="shared" si="671"/>
        <v>0</v>
      </c>
    </row>
    <row r="40521" spans="20:20" ht="18.75" customHeight="1" x14ac:dyDescent="0.35">
      <c r="T40521" s="246">
        <f t="shared" si="671"/>
        <v>0</v>
      </c>
    </row>
    <row r="40522" spans="20:20" ht="18.75" customHeight="1" x14ac:dyDescent="0.35">
      <c r="T40522" s="246">
        <f t="shared" si="671"/>
        <v>0</v>
      </c>
    </row>
    <row r="40523" spans="20:20" ht="18.75" customHeight="1" x14ac:dyDescent="0.35">
      <c r="T40523" s="246">
        <f t="shared" si="671"/>
        <v>0</v>
      </c>
    </row>
    <row r="40524" spans="20:20" ht="18.75" customHeight="1" x14ac:dyDescent="0.35">
      <c r="T40524" s="246">
        <f t="shared" si="671"/>
        <v>0</v>
      </c>
    </row>
    <row r="40525" spans="20:20" ht="18.75" customHeight="1" x14ac:dyDescent="0.35">
      <c r="T40525" s="246">
        <f t="shared" si="671"/>
        <v>0</v>
      </c>
    </row>
    <row r="40526" spans="20:20" ht="18.75" customHeight="1" x14ac:dyDescent="0.35">
      <c r="T40526" s="246">
        <f t="shared" si="671"/>
        <v>0</v>
      </c>
    </row>
    <row r="40527" spans="20:20" ht="18.75" customHeight="1" x14ac:dyDescent="0.35">
      <c r="T40527" s="246">
        <f t="shared" si="671"/>
        <v>0</v>
      </c>
    </row>
    <row r="40528" spans="20:20" ht="18.75" customHeight="1" x14ac:dyDescent="0.35">
      <c r="T40528" s="246">
        <f t="shared" si="671"/>
        <v>0</v>
      </c>
    </row>
    <row r="40529" spans="20:20" ht="18.75" customHeight="1" x14ac:dyDescent="0.35">
      <c r="T40529" s="246">
        <f t="shared" si="671"/>
        <v>0</v>
      </c>
    </row>
    <row r="40530" spans="20:20" ht="18.75" customHeight="1" x14ac:dyDescent="0.35">
      <c r="T40530" s="246">
        <f t="shared" si="671"/>
        <v>0</v>
      </c>
    </row>
    <row r="40531" spans="20:20" ht="18.75" customHeight="1" x14ac:dyDescent="0.35">
      <c r="T40531" s="246">
        <f t="shared" si="671"/>
        <v>0</v>
      </c>
    </row>
    <row r="40532" spans="20:20" ht="18.75" customHeight="1" x14ac:dyDescent="0.35">
      <c r="T40532" s="246">
        <f t="shared" si="671"/>
        <v>0</v>
      </c>
    </row>
    <row r="40533" spans="20:20" ht="18.75" customHeight="1" x14ac:dyDescent="0.35">
      <c r="T40533" s="246">
        <f t="shared" si="671"/>
        <v>0</v>
      </c>
    </row>
    <row r="40534" spans="20:20" ht="18.75" customHeight="1" x14ac:dyDescent="0.35">
      <c r="T40534" s="246">
        <f t="shared" si="671"/>
        <v>0</v>
      </c>
    </row>
    <row r="40535" spans="20:20" ht="18.75" customHeight="1" x14ac:dyDescent="0.35">
      <c r="T40535" s="246">
        <f t="shared" si="671"/>
        <v>0</v>
      </c>
    </row>
    <row r="40536" spans="20:20" ht="18.75" customHeight="1" x14ac:dyDescent="0.35">
      <c r="T40536" s="246">
        <f t="shared" si="671"/>
        <v>0</v>
      </c>
    </row>
    <row r="40537" spans="20:20" ht="18.75" customHeight="1" x14ac:dyDescent="0.35">
      <c r="T40537" s="246">
        <f t="shared" si="671"/>
        <v>0</v>
      </c>
    </row>
    <row r="40538" spans="20:20" ht="18.75" customHeight="1" x14ac:dyDescent="0.35">
      <c r="T40538" s="246">
        <f t="shared" si="671"/>
        <v>0</v>
      </c>
    </row>
    <row r="40539" spans="20:20" ht="18.75" customHeight="1" x14ac:dyDescent="0.35">
      <c r="T40539" s="246">
        <f t="shared" si="671"/>
        <v>0</v>
      </c>
    </row>
    <row r="40540" spans="20:20" ht="18.75" customHeight="1" x14ac:dyDescent="0.35">
      <c r="T40540" s="246">
        <f t="shared" si="671"/>
        <v>0</v>
      </c>
    </row>
    <row r="40541" spans="20:20" ht="18.75" customHeight="1" x14ac:dyDescent="0.35">
      <c r="T40541" s="246">
        <f t="shared" si="671"/>
        <v>0</v>
      </c>
    </row>
    <row r="40542" spans="20:20" ht="18.75" customHeight="1" x14ac:dyDescent="0.35">
      <c r="T40542" s="246">
        <f t="shared" si="671"/>
        <v>0</v>
      </c>
    </row>
    <row r="40543" spans="20:20" ht="18.75" customHeight="1" x14ac:dyDescent="0.35">
      <c r="T40543" s="246">
        <f t="shared" si="671"/>
        <v>0</v>
      </c>
    </row>
    <row r="40544" spans="20:20" ht="18.75" customHeight="1" x14ac:dyDescent="0.35">
      <c r="T40544" s="246">
        <f t="shared" si="671"/>
        <v>0</v>
      </c>
    </row>
    <row r="40545" spans="20:20" ht="18.75" customHeight="1" x14ac:dyDescent="0.35">
      <c r="T40545" s="246">
        <f t="shared" si="671"/>
        <v>0</v>
      </c>
    </row>
    <row r="40546" spans="20:20" ht="18.75" customHeight="1" x14ac:dyDescent="0.35">
      <c r="T40546" s="246">
        <f t="shared" si="671"/>
        <v>0</v>
      </c>
    </row>
    <row r="40547" spans="20:20" ht="18.75" customHeight="1" x14ac:dyDescent="0.35">
      <c r="T40547" s="246">
        <f t="shared" si="671"/>
        <v>0</v>
      </c>
    </row>
    <row r="40548" spans="20:20" ht="18.75" customHeight="1" x14ac:dyDescent="0.35">
      <c r="T40548" s="246">
        <f t="shared" si="671"/>
        <v>0</v>
      </c>
    </row>
    <row r="40549" spans="20:20" ht="18.75" customHeight="1" x14ac:dyDescent="0.35">
      <c r="T40549" s="246">
        <f t="shared" si="671"/>
        <v>0</v>
      </c>
    </row>
    <row r="40550" spans="20:20" ht="18.75" customHeight="1" x14ac:dyDescent="0.35">
      <c r="T40550" s="246">
        <f t="shared" si="671"/>
        <v>0</v>
      </c>
    </row>
    <row r="40551" spans="20:20" ht="18.75" customHeight="1" x14ac:dyDescent="0.35">
      <c r="T40551" s="246">
        <f t="shared" si="671"/>
        <v>0</v>
      </c>
    </row>
    <row r="40552" spans="20:20" ht="18.75" customHeight="1" x14ac:dyDescent="0.35">
      <c r="T40552" s="246">
        <f t="shared" si="671"/>
        <v>0</v>
      </c>
    </row>
    <row r="40553" spans="20:20" ht="18.75" customHeight="1" x14ac:dyDescent="0.35">
      <c r="T40553" s="246">
        <f t="shared" si="671"/>
        <v>0</v>
      </c>
    </row>
    <row r="40554" spans="20:20" ht="18.75" customHeight="1" x14ac:dyDescent="0.35">
      <c r="T40554" s="246">
        <f t="shared" si="671"/>
        <v>0</v>
      </c>
    </row>
    <row r="40555" spans="20:20" ht="18.75" customHeight="1" x14ac:dyDescent="0.35">
      <c r="T40555" s="246">
        <f t="shared" si="671"/>
        <v>0</v>
      </c>
    </row>
    <row r="40556" spans="20:20" ht="18.75" customHeight="1" x14ac:dyDescent="0.35">
      <c r="T40556" s="246">
        <f t="shared" si="671"/>
        <v>0</v>
      </c>
    </row>
    <row r="40557" spans="20:20" ht="18.75" customHeight="1" x14ac:dyDescent="0.35">
      <c r="T40557" s="246">
        <f t="shared" si="671"/>
        <v>0</v>
      </c>
    </row>
    <row r="40558" spans="20:20" ht="18.75" customHeight="1" x14ac:dyDescent="0.35">
      <c r="T40558" s="246">
        <f t="shared" si="671"/>
        <v>0</v>
      </c>
    </row>
    <row r="40559" spans="20:20" ht="18.75" customHeight="1" x14ac:dyDescent="0.35">
      <c r="T40559" s="246">
        <f t="shared" si="671"/>
        <v>0</v>
      </c>
    </row>
    <row r="40560" spans="20:20" ht="18.75" customHeight="1" x14ac:dyDescent="0.35">
      <c r="T40560" s="246">
        <f t="shared" si="671"/>
        <v>0</v>
      </c>
    </row>
    <row r="40561" spans="20:20" ht="18.75" customHeight="1" x14ac:dyDescent="0.35">
      <c r="T40561" s="246">
        <f t="shared" si="671"/>
        <v>0</v>
      </c>
    </row>
    <row r="40562" spans="20:20" ht="18.75" customHeight="1" x14ac:dyDescent="0.35">
      <c r="T40562" s="246">
        <f t="shared" si="671"/>
        <v>0</v>
      </c>
    </row>
    <row r="40563" spans="20:20" ht="18.75" customHeight="1" x14ac:dyDescent="0.35">
      <c r="T40563" s="246">
        <f t="shared" si="671"/>
        <v>0</v>
      </c>
    </row>
    <row r="40564" spans="20:20" ht="18.75" customHeight="1" x14ac:dyDescent="0.35">
      <c r="T40564" s="246">
        <f t="shared" si="671"/>
        <v>0</v>
      </c>
    </row>
    <row r="40565" spans="20:20" ht="18.75" customHeight="1" x14ac:dyDescent="0.35">
      <c r="T40565" s="246">
        <f t="shared" si="671"/>
        <v>0</v>
      </c>
    </row>
    <row r="40566" spans="20:20" ht="18.75" customHeight="1" x14ac:dyDescent="0.35">
      <c r="T40566" s="246">
        <f t="shared" si="671"/>
        <v>0</v>
      </c>
    </row>
    <row r="40567" spans="20:20" ht="18.75" customHeight="1" x14ac:dyDescent="0.35">
      <c r="T40567" s="246">
        <f t="shared" si="671"/>
        <v>0</v>
      </c>
    </row>
    <row r="40568" spans="20:20" ht="18.75" customHeight="1" x14ac:dyDescent="0.35">
      <c r="T40568" s="246">
        <f t="shared" si="671"/>
        <v>0</v>
      </c>
    </row>
    <row r="40569" spans="20:20" ht="18.75" customHeight="1" x14ac:dyDescent="0.35">
      <c r="T40569" s="246">
        <f t="shared" si="671"/>
        <v>0</v>
      </c>
    </row>
    <row r="40570" spans="20:20" ht="18.75" customHeight="1" x14ac:dyDescent="0.35">
      <c r="T40570" s="246">
        <f t="shared" si="671"/>
        <v>0</v>
      </c>
    </row>
    <row r="40571" spans="20:20" ht="18.75" customHeight="1" x14ac:dyDescent="0.35">
      <c r="T40571" s="246">
        <f t="shared" si="671"/>
        <v>0</v>
      </c>
    </row>
    <row r="40572" spans="20:20" ht="18.75" customHeight="1" x14ac:dyDescent="0.35">
      <c r="T40572" s="246">
        <f t="shared" ref="T40572:T40635" si="672">R40572*0.01</f>
        <v>0</v>
      </c>
    </row>
    <row r="40573" spans="20:20" ht="18.75" customHeight="1" x14ac:dyDescent="0.35">
      <c r="T40573" s="246">
        <f t="shared" si="672"/>
        <v>0</v>
      </c>
    </row>
    <row r="40574" spans="20:20" ht="18.75" customHeight="1" x14ac:dyDescent="0.35">
      <c r="T40574" s="246">
        <f t="shared" si="672"/>
        <v>0</v>
      </c>
    </row>
    <row r="40575" spans="20:20" ht="18.75" customHeight="1" x14ac:dyDescent="0.35">
      <c r="T40575" s="246">
        <f t="shared" si="672"/>
        <v>0</v>
      </c>
    </row>
    <row r="40576" spans="20:20" ht="18.75" customHeight="1" x14ac:dyDescent="0.35">
      <c r="T40576" s="246">
        <f t="shared" si="672"/>
        <v>0</v>
      </c>
    </row>
    <row r="40577" spans="20:20" ht="18.75" customHeight="1" x14ac:dyDescent="0.35">
      <c r="T40577" s="246">
        <f t="shared" si="672"/>
        <v>0</v>
      </c>
    </row>
    <row r="40578" spans="20:20" ht="18.75" customHeight="1" x14ac:dyDescent="0.35">
      <c r="T40578" s="246">
        <f t="shared" si="672"/>
        <v>0</v>
      </c>
    </row>
    <row r="40579" spans="20:20" ht="18.75" customHeight="1" x14ac:dyDescent="0.35">
      <c r="T40579" s="246">
        <f t="shared" si="672"/>
        <v>0</v>
      </c>
    </row>
    <row r="40580" spans="20:20" ht="18.75" customHeight="1" x14ac:dyDescent="0.35">
      <c r="T40580" s="246">
        <f t="shared" si="672"/>
        <v>0</v>
      </c>
    </row>
    <row r="40581" spans="20:20" ht="18.75" customHeight="1" x14ac:dyDescent="0.35">
      <c r="T40581" s="246">
        <f t="shared" si="672"/>
        <v>0</v>
      </c>
    </row>
    <row r="40582" spans="20:20" ht="18.75" customHeight="1" x14ac:dyDescent="0.35">
      <c r="T40582" s="246">
        <f t="shared" si="672"/>
        <v>0</v>
      </c>
    </row>
    <row r="40583" spans="20:20" ht="18.75" customHeight="1" x14ac:dyDescent="0.35">
      <c r="T40583" s="246">
        <f t="shared" si="672"/>
        <v>0</v>
      </c>
    </row>
    <row r="40584" spans="20:20" ht="18.75" customHeight="1" x14ac:dyDescent="0.35">
      <c r="T40584" s="246">
        <f t="shared" si="672"/>
        <v>0</v>
      </c>
    </row>
    <row r="40585" spans="20:20" ht="18.75" customHeight="1" x14ac:dyDescent="0.35">
      <c r="T40585" s="246">
        <f t="shared" si="672"/>
        <v>0</v>
      </c>
    </row>
    <row r="40586" spans="20:20" ht="18.75" customHeight="1" x14ac:dyDescent="0.35">
      <c r="T40586" s="246">
        <f t="shared" si="672"/>
        <v>0</v>
      </c>
    </row>
    <row r="40587" spans="20:20" ht="18.75" customHeight="1" x14ac:dyDescent="0.35">
      <c r="T40587" s="246">
        <f t="shared" si="672"/>
        <v>0</v>
      </c>
    </row>
    <row r="40588" spans="20:20" ht="18.75" customHeight="1" x14ac:dyDescent="0.35">
      <c r="T40588" s="246">
        <f t="shared" si="672"/>
        <v>0</v>
      </c>
    </row>
    <row r="40589" spans="20:20" ht="18.75" customHeight="1" x14ac:dyDescent="0.35">
      <c r="T40589" s="246">
        <f t="shared" si="672"/>
        <v>0</v>
      </c>
    </row>
    <row r="40590" spans="20:20" ht="18.75" customHeight="1" x14ac:dyDescent="0.35">
      <c r="T40590" s="246">
        <f t="shared" si="672"/>
        <v>0</v>
      </c>
    </row>
    <row r="40591" spans="20:20" ht="18.75" customHeight="1" x14ac:dyDescent="0.35">
      <c r="T40591" s="246">
        <f t="shared" si="672"/>
        <v>0</v>
      </c>
    </row>
    <row r="40592" spans="20:20" ht="18.75" customHeight="1" x14ac:dyDescent="0.35">
      <c r="T40592" s="246">
        <f t="shared" si="672"/>
        <v>0</v>
      </c>
    </row>
    <row r="40593" spans="20:20" ht="18.75" customHeight="1" x14ac:dyDescent="0.35">
      <c r="T40593" s="246">
        <f t="shared" si="672"/>
        <v>0</v>
      </c>
    </row>
    <row r="40594" spans="20:20" ht="18.75" customHeight="1" x14ac:dyDescent="0.35">
      <c r="T40594" s="246">
        <f t="shared" si="672"/>
        <v>0</v>
      </c>
    </row>
    <row r="40595" spans="20:20" ht="18.75" customHeight="1" x14ac:dyDescent="0.35">
      <c r="T40595" s="246">
        <f t="shared" si="672"/>
        <v>0</v>
      </c>
    </row>
    <row r="40596" spans="20:20" ht="18.75" customHeight="1" x14ac:dyDescent="0.35">
      <c r="T40596" s="246">
        <f t="shared" si="672"/>
        <v>0</v>
      </c>
    </row>
    <row r="40597" spans="20:20" ht="18.75" customHeight="1" x14ac:dyDescent="0.35">
      <c r="T40597" s="246">
        <f t="shared" si="672"/>
        <v>0</v>
      </c>
    </row>
    <row r="40598" spans="20:20" ht="18.75" customHeight="1" x14ac:dyDescent="0.35">
      <c r="T40598" s="246">
        <f t="shared" si="672"/>
        <v>0</v>
      </c>
    </row>
    <row r="40599" spans="20:20" ht="18.75" customHeight="1" x14ac:dyDescent="0.35">
      <c r="T40599" s="246">
        <f t="shared" si="672"/>
        <v>0</v>
      </c>
    </row>
    <row r="40600" spans="20:20" ht="18.75" customHeight="1" x14ac:dyDescent="0.35">
      <c r="T40600" s="246">
        <f t="shared" si="672"/>
        <v>0</v>
      </c>
    </row>
    <row r="40601" spans="20:20" ht="18.75" customHeight="1" x14ac:dyDescent="0.35">
      <c r="T40601" s="246">
        <f t="shared" si="672"/>
        <v>0</v>
      </c>
    </row>
    <row r="40602" spans="20:20" ht="18.75" customHeight="1" x14ac:dyDescent="0.35">
      <c r="T40602" s="246">
        <f t="shared" si="672"/>
        <v>0</v>
      </c>
    </row>
    <row r="40603" spans="20:20" ht="18.75" customHeight="1" x14ac:dyDescent="0.35">
      <c r="T40603" s="246">
        <f t="shared" si="672"/>
        <v>0</v>
      </c>
    </row>
    <row r="40604" spans="20:20" ht="18.75" customHeight="1" x14ac:dyDescent="0.35">
      <c r="T40604" s="246">
        <f t="shared" si="672"/>
        <v>0</v>
      </c>
    </row>
    <row r="40605" spans="20:20" ht="18.75" customHeight="1" x14ac:dyDescent="0.35">
      <c r="T40605" s="246">
        <f t="shared" si="672"/>
        <v>0</v>
      </c>
    </row>
    <row r="40606" spans="20:20" ht="18.75" customHeight="1" x14ac:dyDescent="0.35">
      <c r="T40606" s="246">
        <f t="shared" si="672"/>
        <v>0</v>
      </c>
    </row>
    <row r="40607" spans="20:20" ht="18.75" customHeight="1" x14ac:dyDescent="0.35">
      <c r="T40607" s="246">
        <f t="shared" si="672"/>
        <v>0</v>
      </c>
    </row>
    <row r="40608" spans="20:20" ht="18.75" customHeight="1" x14ac:dyDescent="0.35">
      <c r="T40608" s="246">
        <f t="shared" si="672"/>
        <v>0</v>
      </c>
    </row>
    <row r="40609" spans="20:20" ht="18.75" customHeight="1" x14ac:dyDescent="0.35">
      <c r="T40609" s="246">
        <f t="shared" si="672"/>
        <v>0</v>
      </c>
    </row>
    <row r="40610" spans="20:20" ht="18.75" customHeight="1" x14ac:dyDescent="0.35">
      <c r="T40610" s="246">
        <f t="shared" si="672"/>
        <v>0</v>
      </c>
    </row>
    <row r="40611" spans="20:20" ht="18.75" customHeight="1" x14ac:dyDescent="0.35">
      <c r="T40611" s="246">
        <f t="shared" si="672"/>
        <v>0</v>
      </c>
    </row>
    <row r="40612" spans="20:20" ht="18.75" customHeight="1" x14ac:dyDescent="0.35">
      <c r="T40612" s="246">
        <f t="shared" si="672"/>
        <v>0</v>
      </c>
    </row>
    <row r="40613" spans="20:20" ht="18.75" customHeight="1" x14ac:dyDescent="0.35">
      <c r="T40613" s="246">
        <f t="shared" si="672"/>
        <v>0</v>
      </c>
    </row>
    <row r="40614" spans="20:20" ht="18.75" customHeight="1" x14ac:dyDescent="0.35">
      <c r="T40614" s="246">
        <f t="shared" si="672"/>
        <v>0</v>
      </c>
    </row>
    <row r="40615" spans="20:20" ht="18.75" customHeight="1" x14ac:dyDescent="0.35">
      <c r="T40615" s="246">
        <f t="shared" si="672"/>
        <v>0</v>
      </c>
    </row>
    <row r="40616" spans="20:20" ht="18.75" customHeight="1" x14ac:dyDescent="0.35">
      <c r="T40616" s="246">
        <f t="shared" si="672"/>
        <v>0</v>
      </c>
    </row>
    <row r="40617" spans="20:20" ht="18.75" customHeight="1" x14ac:dyDescent="0.35">
      <c r="T40617" s="246">
        <f t="shared" si="672"/>
        <v>0</v>
      </c>
    </row>
    <row r="40618" spans="20:20" ht="18.75" customHeight="1" x14ac:dyDescent="0.35">
      <c r="T40618" s="246">
        <f t="shared" si="672"/>
        <v>0</v>
      </c>
    </row>
    <row r="40619" spans="20:20" ht="18.75" customHeight="1" x14ac:dyDescent="0.35">
      <c r="T40619" s="246">
        <f t="shared" si="672"/>
        <v>0</v>
      </c>
    </row>
    <row r="40620" spans="20:20" ht="18.75" customHeight="1" x14ac:dyDescent="0.35">
      <c r="T40620" s="246">
        <f t="shared" si="672"/>
        <v>0</v>
      </c>
    </row>
    <row r="40621" spans="20:20" ht="18.75" customHeight="1" x14ac:dyDescent="0.35">
      <c r="T40621" s="246">
        <f t="shared" si="672"/>
        <v>0</v>
      </c>
    </row>
    <row r="40622" spans="20:20" ht="18.75" customHeight="1" x14ac:dyDescent="0.35">
      <c r="T40622" s="246">
        <f t="shared" si="672"/>
        <v>0</v>
      </c>
    </row>
    <row r="40623" spans="20:20" ht="18.75" customHeight="1" x14ac:dyDescent="0.35">
      <c r="T40623" s="246">
        <f t="shared" si="672"/>
        <v>0</v>
      </c>
    </row>
    <row r="40624" spans="20:20" ht="18.75" customHeight="1" x14ac:dyDescent="0.35">
      <c r="T40624" s="246">
        <f t="shared" si="672"/>
        <v>0</v>
      </c>
    </row>
    <row r="40625" spans="20:20" ht="18.75" customHeight="1" x14ac:dyDescent="0.35">
      <c r="T40625" s="246">
        <f t="shared" si="672"/>
        <v>0</v>
      </c>
    </row>
    <row r="40626" spans="20:20" ht="18.75" customHeight="1" x14ac:dyDescent="0.35">
      <c r="T40626" s="246">
        <f t="shared" si="672"/>
        <v>0</v>
      </c>
    </row>
    <row r="40627" spans="20:20" ht="18.75" customHeight="1" x14ac:dyDescent="0.35">
      <c r="T40627" s="246">
        <f t="shared" si="672"/>
        <v>0</v>
      </c>
    </row>
    <row r="40628" spans="20:20" ht="18.75" customHeight="1" x14ac:dyDescent="0.35">
      <c r="T40628" s="246">
        <f t="shared" si="672"/>
        <v>0</v>
      </c>
    </row>
    <row r="40629" spans="20:20" ht="18.75" customHeight="1" x14ac:dyDescent="0.35">
      <c r="T40629" s="246">
        <f t="shared" si="672"/>
        <v>0</v>
      </c>
    </row>
    <row r="40630" spans="20:20" ht="18.75" customHeight="1" x14ac:dyDescent="0.35">
      <c r="T40630" s="246">
        <f t="shared" si="672"/>
        <v>0</v>
      </c>
    </row>
    <row r="40631" spans="20:20" ht="18.75" customHeight="1" x14ac:dyDescent="0.35">
      <c r="T40631" s="246">
        <f t="shared" si="672"/>
        <v>0</v>
      </c>
    </row>
    <row r="40632" spans="20:20" ht="18.75" customHeight="1" x14ac:dyDescent="0.35">
      <c r="T40632" s="246">
        <f t="shared" si="672"/>
        <v>0</v>
      </c>
    </row>
    <row r="40633" spans="20:20" ht="18.75" customHeight="1" x14ac:dyDescent="0.35">
      <c r="T40633" s="246">
        <f t="shared" si="672"/>
        <v>0</v>
      </c>
    </row>
    <row r="40634" spans="20:20" ht="18.75" customHeight="1" x14ac:dyDescent="0.35">
      <c r="T40634" s="246">
        <f t="shared" si="672"/>
        <v>0</v>
      </c>
    </row>
    <row r="40635" spans="20:20" ht="18.75" customHeight="1" x14ac:dyDescent="0.35">
      <c r="T40635" s="246">
        <f t="shared" si="672"/>
        <v>0</v>
      </c>
    </row>
    <row r="40636" spans="20:20" ht="18.75" customHeight="1" x14ac:dyDescent="0.35">
      <c r="T40636" s="246">
        <f t="shared" ref="T40636:T40699" si="673">R40636*0.01</f>
        <v>0</v>
      </c>
    </row>
    <row r="40637" spans="20:20" ht="18.75" customHeight="1" x14ac:dyDescent="0.35">
      <c r="T40637" s="246">
        <f t="shared" si="673"/>
        <v>0</v>
      </c>
    </row>
    <row r="40638" spans="20:20" ht="18.75" customHeight="1" x14ac:dyDescent="0.35">
      <c r="T40638" s="246">
        <f t="shared" si="673"/>
        <v>0</v>
      </c>
    </row>
    <row r="40639" spans="20:20" ht="18.75" customHeight="1" x14ac:dyDescent="0.35">
      <c r="T40639" s="246">
        <f t="shared" si="673"/>
        <v>0</v>
      </c>
    </row>
    <row r="40640" spans="20:20" ht="18.75" customHeight="1" x14ac:dyDescent="0.35">
      <c r="T40640" s="246">
        <f t="shared" si="673"/>
        <v>0</v>
      </c>
    </row>
    <row r="40641" spans="20:20" ht="18.75" customHeight="1" x14ac:dyDescent="0.35">
      <c r="T40641" s="246">
        <f t="shared" si="673"/>
        <v>0</v>
      </c>
    </row>
    <row r="40642" spans="20:20" ht="18.75" customHeight="1" x14ac:dyDescent="0.35">
      <c r="T40642" s="246">
        <f t="shared" si="673"/>
        <v>0</v>
      </c>
    </row>
    <row r="40643" spans="20:20" ht="18.75" customHeight="1" x14ac:dyDescent="0.35">
      <c r="T40643" s="246">
        <f t="shared" si="673"/>
        <v>0</v>
      </c>
    </row>
    <row r="40644" spans="20:20" ht="18.75" customHeight="1" x14ac:dyDescent="0.35">
      <c r="T40644" s="246">
        <f t="shared" si="673"/>
        <v>0</v>
      </c>
    </row>
    <row r="40645" spans="20:20" ht="18.75" customHeight="1" x14ac:dyDescent="0.35">
      <c r="T40645" s="246">
        <f t="shared" si="673"/>
        <v>0</v>
      </c>
    </row>
    <row r="40646" spans="20:20" ht="18.75" customHeight="1" x14ac:dyDescent="0.35">
      <c r="T40646" s="246">
        <f t="shared" si="673"/>
        <v>0</v>
      </c>
    </row>
    <row r="40647" spans="20:20" ht="18.75" customHeight="1" x14ac:dyDescent="0.35">
      <c r="T40647" s="246">
        <f t="shared" si="673"/>
        <v>0</v>
      </c>
    </row>
    <row r="40648" spans="20:20" ht="18.75" customHeight="1" x14ac:dyDescent="0.35">
      <c r="T40648" s="246">
        <f t="shared" si="673"/>
        <v>0</v>
      </c>
    </row>
    <row r="40649" spans="20:20" ht="18.75" customHeight="1" x14ac:dyDescent="0.35">
      <c r="T40649" s="246">
        <f t="shared" si="673"/>
        <v>0</v>
      </c>
    </row>
    <row r="40650" spans="20:20" ht="18.75" customHeight="1" x14ac:dyDescent="0.35">
      <c r="T40650" s="246">
        <f t="shared" si="673"/>
        <v>0</v>
      </c>
    </row>
    <row r="40651" spans="20:20" ht="18.75" customHeight="1" x14ac:dyDescent="0.35">
      <c r="T40651" s="246">
        <f t="shared" si="673"/>
        <v>0</v>
      </c>
    </row>
    <row r="40652" spans="20:20" ht="18.75" customHeight="1" x14ac:dyDescent="0.35">
      <c r="T40652" s="246">
        <f t="shared" si="673"/>
        <v>0</v>
      </c>
    </row>
    <row r="40653" spans="20:20" ht="18.75" customHeight="1" x14ac:dyDescent="0.35">
      <c r="T40653" s="246">
        <f t="shared" si="673"/>
        <v>0</v>
      </c>
    </row>
    <row r="40654" spans="20:20" ht="18.75" customHeight="1" x14ac:dyDescent="0.35">
      <c r="T40654" s="246">
        <f t="shared" si="673"/>
        <v>0</v>
      </c>
    </row>
    <row r="40655" spans="20:20" ht="18.75" customHeight="1" x14ac:dyDescent="0.35">
      <c r="T40655" s="246">
        <f t="shared" si="673"/>
        <v>0</v>
      </c>
    </row>
    <row r="40656" spans="20:20" ht="18.75" customHeight="1" x14ac:dyDescent="0.35">
      <c r="T40656" s="246">
        <f t="shared" si="673"/>
        <v>0</v>
      </c>
    </row>
    <row r="40657" spans="20:20" ht="18.75" customHeight="1" x14ac:dyDescent="0.35">
      <c r="T40657" s="246">
        <f t="shared" si="673"/>
        <v>0</v>
      </c>
    </row>
    <row r="40658" spans="20:20" ht="18.75" customHeight="1" x14ac:dyDescent="0.35">
      <c r="T40658" s="246">
        <f t="shared" si="673"/>
        <v>0</v>
      </c>
    </row>
    <row r="40659" spans="20:20" ht="18.75" customHeight="1" x14ac:dyDescent="0.35">
      <c r="T40659" s="246">
        <f t="shared" si="673"/>
        <v>0</v>
      </c>
    </row>
    <row r="40660" spans="20:20" ht="18.75" customHeight="1" x14ac:dyDescent="0.35">
      <c r="T40660" s="246">
        <f t="shared" si="673"/>
        <v>0</v>
      </c>
    </row>
    <row r="40661" spans="20:20" ht="18.75" customHeight="1" x14ac:dyDescent="0.35">
      <c r="T40661" s="246">
        <f t="shared" si="673"/>
        <v>0</v>
      </c>
    </row>
    <row r="40662" spans="20:20" ht="18.75" customHeight="1" x14ac:dyDescent="0.35">
      <c r="T40662" s="246">
        <f t="shared" si="673"/>
        <v>0</v>
      </c>
    </row>
    <row r="40663" spans="20:20" ht="18.75" customHeight="1" x14ac:dyDescent="0.35">
      <c r="T40663" s="246">
        <f t="shared" si="673"/>
        <v>0</v>
      </c>
    </row>
    <row r="40664" spans="20:20" ht="18.75" customHeight="1" x14ac:dyDescent="0.35">
      <c r="T40664" s="246">
        <f t="shared" si="673"/>
        <v>0</v>
      </c>
    </row>
    <row r="40665" spans="20:20" ht="18.75" customHeight="1" x14ac:dyDescent="0.35">
      <c r="T40665" s="246">
        <f t="shared" si="673"/>
        <v>0</v>
      </c>
    </row>
    <row r="40666" spans="20:20" ht="18.75" customHeight="1" x14ac:dyDescent="0.35">
      <c r="T40666" s="246">
        <f t="shared" si="673"/>
        <v>0</v>
      </c>
    </row>
    <row r="40667" spans="20:20" ht="18.75" customHeight="1" x14ac:dyDescent="0.35">
      <c r="T40667" s="246">
        <f t="shared" si="673"/>
        <v>0</v>
      </c>
    </row>
    <row r="40668" spans="20:20" ht="18.75" customHeight="1" x14ac:dyDescent="0.35">
      <c r="T40668" s="246">
        <f t="shared" si="673"/>
        <v>0</v>
      </c>
    </row>
    <row r="40669" spans="20:20" ht="18.75" customHeight="1" x14ac:dyDescent="0.35">
      <c r="T40669" s="246">
        <f t="shared" si="673"/>
        <v>0</v>
      </c>
    </row>
    <row r="40670" spans="20:20" ht="18.75" customHeight="1" x14ac:dyDescent="0.35">
      <c r="T40670" s="246">
        <f t="shared" si="673"/>
        <v>0</v>
      </c>
    </row>
    <row r="40671" spans="20:20" ht="18.75" customHeight="1" x14ac:dyDescent="0.35">
      <c r="T40671" s="246">
        <f t="shared" si="673"/>
        <v>0</v>
      </c>
    </row>
    <row r="40672" spans="20:20" ht="18.75" customHeight="1" x14ac:dyDescent="0.35">
      <c r="T40672" s="246">
        <f t="shared" si="673"/>
        <v>0</v>
      </c>
    </row>
    <row r="40673" spans="20:20" ht="18.75" customHeight="1" x14ac:dyDescent="0.35">
      <c r="T40673" s="246">
        <f t="shared" si="673"/>
        <v>0</v>
      </c>
    </row>
    <row r="40674" spans="20:20" ht="18.75" customHeight="1" x14ac:dyDescent="0.35">
      <c r="T40674" s="246">
        <f t="shared" si="673"/>
        <v>0</v>
      </c>
    </row>
    <row r="40675" spans="20:20" ht="18.75" customHeight="1" x14ac:dyDescent="0.35">
      <c r="T40675" s="246">
        <f t="shared" si="673"/>
        <v>0</v>
      </c>
    </row>
    <row r="40676" spans="20:20" ht="18.75" customHeight="1" x14ac:dyDescent="0.35">
      <c r="T40676" s="246">
        <f t="shared" si="673"/>
        <v>0</v>
      </c>
    </row>
    <row r="40677" spans="20:20" ht="18.75" customHeight="1" x14ac:dyDescent="0.35">
      <c r="T40677" s="246">
        <f t="shared" si="673"/>
        <v>0</v>
      </c>
    </row>
    <row r="40678" spans="20:20" ht="18.75" customHeight="1" x14ac:dyDescent="0.35">
      <c r="T40678" s="246">
        <f t="shared" si="673"/>
        <v>0</v>
      </c>
    </row>
    <row r="40679" spans="20:20" ht="18.75" customHeight="1" x14ac:dyDescent="0.35">
      <c r="T40679" s="246">
        <f t="shared" si="673"/>
        <v>0</v>
      </c>
    </row>
    <row r="40680" spans="20:20" ht="18.75" customHeight="1" x14ac:dyDescent="0.35">
      <c r="T40680" s="246">
        <f t="shared" si="673"/>
        <v>0</v>
      </c>
    </row>
    <row r="40681" spans="20:20" ht="18.75" customHeight="1" x14ac:dyDescent="0.35">
      <c r="T40681" s="246">
        <f t="shared" si="673"/>
        <v>0</v>
      </c>
    </row>
    <row r="40682" spans="20:20" ht="18.75" customHeight="1" x14ac:dyDescent="0.35">
      <c r="T40682" s="246">
        <f t="shared" si="673"/>
        <v>0</v>
      </c>
    </row>
    <row r="40683" spans="20:20" ht="18.75" customHeight="1" x14ac:dyDescent="0.35">
      <c r="T40683" s="246">
        <f t="shared" si="673"/>
        <v>0</v>
      </c>
    </row>
    <row r="40684" spans="20:20" ht="18.75" customHeight="1" x14ac:dyDescent="0.35">
      <c r="T40684" s="246">
        <f t="shared" si="673"/>
        <v>0</v>
      </c>
    </row>
    <row r="40685" spans="20:20" ht="18.75" customHeight="1" x14ac:dyDescent="0.35">
      <c r="T40685" s="246">
        <f t="shared" si="673"/>
        <v>0</v>
      </c>
    </row>
    <row r="40686" spans="20:20" ht="18.75" customHeight="1" x14ac:dyDescent="0.35">
      <c r="T40686" s="246">
        <f t="shared" si="673"/>
        <v>0</v>
      </c>
    </row>
    <row r="40687" spans="20:20" ht="18.75" customHeight="1" x14ac:dyDescent="0.35">
      <c r="T40687" s="246">
        <f t="shared" si="673"/>
        <v>0</v>
      </c>
    </row>
    <row r="40688" spans="20:20" ht="18.75" customHeight="1" x14ac:dyDescent="0.35">
      <c r="T40688" s="246">
        <f t="shared" si="673"/>
        <v>0</v>
      </c>
    </row>
    <row r="40689" spans="20:20" ht="18.75" customHeight="1" x14ac:dyDescent="0.35">
      <c r="T40689" s="246">
        <f t="shared" si="673"/>
        <v>0</v>
      </c>
    </row>
    <row r="40690" spans="20:20" ht="18.75" customHeight="1" x14ac:dyDescent="0.35">
      <c r="T40690" s="246">
        <f t="shared" si="673"/>
        <v>0</v>
      </c>
    </row>
    <row r="40691" spans="20:20" ht="18.75" customHeight="1" x14ac:dyDescent="0.35">
      <c r="T40691" s="246">
        <f t="shared" si="673"/>
        <v>0</v>
      </c>
    </row>
    <row r="40692" spans="20:20" ht="18.75" customHeight="1" x14ac:dyDescent="0.35">
      <c r="T40692" s="246">
        <f t="shared" si="673"/>
        <v>0</v>
      </c>
    </row>
    <row r="40693" spans="20:20" ht="18.75" customHeight="1" x14ac:dyDescent="0.35">
      <c r="T40693" s="246">
        <f t="shared" si="673"/>
        <v>0</v>
      </c>
    </row>
    <row r="40694" spans="20:20" ht="18.75" customHeight="1" x14ac:dyDescent="0.35">
      <c r="T40694" s="246">
        <f t="shared" si="673"/>
        <v>0</v>
      </c>
    </row>
    <row r="40695" spans="20:20" ht="18.75" customHeight="1" x14ac:dyDescent="0.35">
      <c r="T40695" s="246">
        <f t="shared" si="673"/>
        <v>0</v>
      </c>
    </row>
    <row r="40696" spans="20:20" ht="18.75" customHeight="1" x14ac:dyDescent="0.35">
      <c r="T40696" s="246">
        <f t="shared" si="673"/>
        <v>0</v>
      </c>
    </row>
    <row r="40697" spans="20:20" ht="18.75" customHeight="1" x14ac:dyDescent="0.35">
      <c r="T40697" s="246">
        <f t="shared" si="673"/>
        <v>0</v>
      </c>
    </row>
    <row r="40698" spans="20:20" ht="18.75" customHeight="1" x14ac:dyDescent="0.35">
      <c r="T40698" s="246">
        <f t="shared" si="673"/>
        <v>0</v>
      </c>
    </row>
    <row r="40699" spans="20:20" ht="18.75" customHeight="1" x14ac:dyDescent="0.35">
      <c r="T40699" s="246">
        <f t="shared" si="673"/>
        <v>0</v>
      </c>
    </row>
    <row r="40700" spans="20:20" ht="18.75" customHeight="1" x14ac:dyDescent="0.35">
      <c r="T40700" s="246">
        <f t="shared" ref="T40700:T40763" si="674">R40700*0.01</f>
        <v>0</v>
      </c>
    </row>
    <row r="40701" spans="20:20" ht="18.75" customHeight="1" x14ac:dyDescent="0.35">
      <c r="T40701" s="246">
        <f t="shared" si="674"/>
        <v>0</v>
      </c>
    </row>
    <row r="40702" spans="20:20" ht="18.75" customHeight="1" x14ac:dyDescent="0.35">
      <c r="T40702" s="246">
        <f t="shared" si="674"/>
        <v>0</v>
      </c>
    </row>
    <row r="40703" spans="20:20" ht="18.75" customHeight="1" x14ac:dyDescent="0.35">
      <c r="T40703" s="246">
        <f t="shared" si="674"/>
        <v>0</v>
      </c>
    </row>
    <row r="40704" spans="20:20" ht="18.75" customHeight="1" x14ac:dyDescent="0.35">
      <c r="T40704" s="246">
        <f t="shared" si="674"/>
        <v>0</v>
      </c>
    </row>
    <row r="40705" spans="20:20" ht="18.75" customHeight="1" x14ac:dyDescent="0.35">
      <c r="T40705" s="246">
        <f t="shared" si="674"/>
        <v>0</v>
      </c>
    </row>
    <row r="40706" spans="20:20" ht="18.75" customHeight="1" x14ac:dyDescent="0.35">
      <c r="T40706" s="246">
        <f t="shared" si="674"/>
        <v>0</v>
      </c>
    </row>
    <row r="40707" spans="20:20" ht="18.75" customHeight="1" x14ac:dyDescent="0.35">
      <c r="T40707" s="246">
        <f t="shared" si="674"/>
        <v>0</v>
      </c>
    </row>
    <row r="40708" spans="20:20" ht="18.75" customHeight="1" x14ac:dyDescent="0.35">
      <c r="T40708" s="246">
        <f t="shared" si="674"/>
        <v>0</v>
      </c>
    </row>
    <row r="40709" spans="20:20" ht="18.75" customHeight="1" x14ac:dyDescent="0.35">
      <c r="T40709" s="246">
        <f t="shared" si="674"/>
        <v>0</v>
      </c>
    </row>
    <row r="40710" spans="20:20" ht="18.75" customHeight="1" x14ac:dyDescent="0.35">
      <c r="T40710" s="246">
        <f t="shared" si="674"/>
        <v>0</v>
      </c>
    </row>
    <row r="40711" spans="20:20" ht="18.75" customHeight="1" x14ac:dyDescent="0.35">
      <c r="T40711" s="246">
        <f t="shared" si="674"/>
        <v>0</v>
      </c>
    </row>
    <row r="40712" spans="20:20" ht="18.75" customHeight="1" x14ac:dyDescent="0.35">
      <c r="T40712" s="246">
        <f t="shared" si="674"/>
        <v>0</v>
      </c>
    </row>
    <row r="40713" spans="20:20" ht="18.75" customHeight="1" x14ac:dyDescent="0.35">
      <c r="T40713" s="246">
        <f t="shared" si="674"/>
        <v>0</v>
      </c>
    </row>
    <row r="40714" spans="20:20" ht="18.75" customHeight="1" x14ac:dyDescent="0.35">
      <c r="T40714" s="246">
        <f t="shared" si="674"/>
        <v>0</v>
      </c>
    </row>
    <row r="40715" spans="20:20" ht="18.75" customHeight="1" x14ac:dyDescent="0.35">
      <c r="T40715" s="246">
        <f t="shared" si="674"/>
        <v>0</v>
      </c>
    </row>
    <row r="40716" spans="20:20" ht="18.75" customHeight="1" x14ac:dyDescent="0.35">
      <c r="T40716" s="246">
        <f t="shared" si="674"/>
        <v>0</v>
      </c>
    </row>
    <row r="40717" spans="20:20" ht="18.75" customHeight="1" x14ac:dyDescent="0.35">
      <c r="T40717" s="246">
        <f t="shared" si="674"/>
        <v>0</v>
      </c>
    </row>
    <row r="40718" spans="20:20" ht="18.75" customHeight="1" x14ac:dyDescent="0.35">
      <c r="T40718" s="246">
        <f t="shared" si="674"/>
        <v>0</v>
      </c>
    </row>
    <row r="40719" spans="20:20" ht="18.75" customHeight="1" x14ac:dyDescent="0.35">
      <c r="T40719" s="246">
        <f t="shared" si="674"/>
        <v>0</v>
      </c>
    </row>
    <row r="40720" spans="20:20" ht="18.75" customHeight="1" x14ac:dyDescent="0.35">
      <c r="T40720" s="246">
        <f t="shared" si="674"/>
        <v>0</v>
      </c>
    </row>
    <row r="40721" spans="20:20" ht="18.75" customHeight="1" x14ac:dyDescent="0.35">
      <c r="T40721" s="246">
        <f t="shared" si="674"/>
        <v>0</v>
      </c>
    </row>
    <row r="40722" spans="20:20" ht="18.75" customHeight="1" x14ac:dyDescent="0.35">
      <c r="T40722" s="246">
        <f t="shared" si="674"/>
        <v>0</v>
      </c>
    </row>
    <row r="40723" spans="20:20" ht="18.75" customHeight="1" x14ac:dyDescent="0.35">
      <c r="T40723" s="246">
        <f t="shared" si="674"/>
        <v>0</v>
      </c>
    </row>
    <row r="40724" spans="20:20" ht="18.75" customHeight="1" x14ac:dyDescent="0.35">
      <c r="T40724" s="246">
        <f t="shared" si="674"/>
        <v>0</v>
      </c>
    </row>
    <row r="40725" spans="20:20" ht="18.75" customHeight="1" x14ac:dyDescent="0.35">
      <c r="T40725" s="246">
        <f t="shared" si="674"/>
        <v>0</v>
      </c>
    </row>
    <row r="40726" spans="20:20" ht="18.75" customHeight="1" x14ac:dyDescent="0.35">
      <c r="T40726" s="246">
        <f t="shared" si="674"/>
        <v>0</v>
      </c>
    </row>
    <row r="40727" spans="20:20" ht="18.75" customHeight="1" x14ac:dyDescent="0.35">
      <c r="T40727" s="246">
        <f t="shared" si="674"/>
        <v>0</v>
      </c>
    </row>
    <row r="40728" spans="20:20" ht="18.75" customHeight="1" x14ac:dyDescent="0.35">
      <c r="T40728" s="246">
        <f t="shared" si="674"/>
        <v>0</v>
      </c>
    </row>
    <row r="40729" spans="20:20" ht="18.75" customHeight="1" x14ac:dyDescent="0.35">
      <c r="T40729" s="246">
        <f t="shared" si="674"/>
        <v>0</v>
      </c>
    </row>
    <row r="40730" spans="20:20" ht="18.75" customHeight="1" x14ac:dyDescent="0.35">
      <c r="T40730" s="246">
        <f t="shared" si="674"/>
        <v>0</v>
      </c>
    </row>
    <row r="40731" spans="20:20" ht="18.75" customHeight="1" x14ac:dyDescent="0.35">
      <c r="T40731" s="246">
        <f t="shared" si="674"/>
        <v>0</v>
      </c>
    </row>
    <row r="40732" spans="20:20" ht="18.75" customHeight="1" x14ac:dyDescent="0.35">
      <c r="T40732" s="246">
        <f t="shared" si="674"/>
        <v>0</v>
      </c>
    </row>
    <row r="40733" spans="20:20" ht="18.75" customHeight="1" x14ac:dyDescent="0.35">
      <c r="T40733" s="246">
        <f t="shared" si="674"/>
        <v>0</v>
      </c>
    </row>
    <row r="40734" spans="20:20" ht="18.75" customHeight="1" x14ac:dyDescent="0.35">
      <c r="T40734" s="246">
        <f t="shared" si="674"/>
        <v>0</v>
      </c>
    </row>
    <row r="40735" spans="20:20" ht="18.75" customHeight="1" x14ac:dyDescent="0.35">
      <c r="T40735" s="246">
        <f t="shared" si="674"/>
        <v>0</v>
      </c>
    </row>
    <row r="40736" spans="20:20" ht="18.75" customHeight="1" x14ac:dyDescent="0.35">
      <c r="T40736" s="246">
        <f t="shared" si="674"/>
        <v>0</v>
      </c>
    </row>
    <row r="40737" spans="20:20" ht="18.75" customHeight="1" x14ac:dyDescent="0.35">
      <c r="T40737" s="246">
        <f t="shared" si="674"/>
        <v>0</v>
      </c>
    </row>
    <row r="40738" spans="20:20" ht="18.75" customHeight="1" x14ac:dyDescent="0.35">
      <c r="T40738" s="246">
        <f t="shared" si="674"/>
        <v>0</v>
      </c>
    </row>
    <row r="40739" spans="20:20" ht="18.75" customHeight="1" x14ac:dyDescent="0.35">
      <c r="T40739" s="246">
        <f t="shared" si="674"/>
        <v>0</v>
      </c>
    </row>
    <row r="40740" spans="20:20" ht="18.75" customHeight="1" x14ac:dyDescent="0.35">
      <c r="T40740" s="246">
        <f t="shared" si="674"/>
        <v>0</v>
      </c>
    </row>
    <row r="40741" spans="20:20" ht="18.75" customHeight="1" x14ac:dyDescent="0.35">
      <c r="T40741" s="246">
        <f t="shared" si="674"/>
        <v>0</v>
      </c>
    </row>
    <row r="40742" spans="20:20" ht="18.75" customHeight="1" x14ac:dyDescent="0.35">
      <c r="T40742" s="246">
        <f t="shared" si="674"/>
        <v>0</v>
      </c>
    </row>
    <row r="40743" spans="20:20" ht="18.75" customHeight="1" x14ac:dyDescent="0.35">
      <c r="T40743" s="246">
        <f t="shared" si="674"/>
        <v>0</v>
      </c>
    </row>
    <row r="40744" spans="20:20" ht="18.75" customHeight="1" x14ac:dyDescent="0.35">
      <c r="T40744" s="246">
        <f t="shared" si="674"/>
        <v>0</v>
      </c>
    </row>
    <row r="40745" spans="20:20" ht="18.75" customHeight="1" x14ac:dyDescent="0.35">
      <c r="T40745" s="246">
        <f t="shared" si="674"/>
        <v>0</v>
      </c>
    </row>
    <row r="40746" spans="20:20" ht="18.75" customHeight="1" x14ac:dyDescent="0.35">
      <c r="T40746" s="246">
        <f t="shared" si="674"/>
        <v>0</v>
      </c>
    </row>
    <row r="40747" spans="20:20" ht="18.75" customHeight="1" x14ac:dyDescent="0.35">
      <c r="T40747" s="246">
        <f t="shared" si="674"/>
        <v>0</v>
      </c>
    </row>
    <row r="40748" spans="20:20" ht="18.75" customHeight="1" x14ac:dyDescent="0.35">
      <c r="T40748" s="246">
        <f t="shared" si="674"/>
        <v>0</v>
      </c>
    </row>
    <row r="40749" spans="20:20" ht="18.75" customHeight="1" x14ac:dyDescent="0.35">
      <c r="T40749" s="246">
        <f t="shared" si="674"/>
        <v>0</v>
      </c>
    </row>
    <row r="40750" spans="20:20" ht="18.75" customHeight="1" x14ac:dyDescent="0.35">
      <c r="T40750" s="246">
        <f t="shared" si="674"/>
        <v>0</v>
      </c>
    </row>
    <row r="40751" spans="20:20" ht="18.75" customHeight="1" x14ac:dyDescent="0.35">
      <c r="T40751" s="246">
        <f t="shared" si="674"/>
        <v>0</v>
      </c>
    </row>
    <row r="40752" spans="20:20" ht="18.75" customHeight="1" x14ac:dyDescent="0.35">
      <c r="T40752" s="246">
        <f t="shared" si="674"/>
        <v>0</v>
      </c>
    </row>
    <row r="40753" spans="20:20" ht="18.75" customHeight="1" x14ac:dyDescent="0.35">
      <c r="T40753" s="246">
        <f t="shared" si="674"/>
        <v>0</v>
      </c>
    </row>
    <row r="40754" spans="20:20" ht="18.75" customHeight="1" x14ac:dyDescent="0.35">
      <c r="T40754" s="246">
        <f t="shared" si="674"/>
        <v>0</v>
      </c>
    </row>
    <row r="40755" spans="20:20" ht="18.75" customHeight="1" x14ac:dyDescent="0.35">
      <c r="T40755" s="246">
        <f t="shared" si="674"/>
        <v>0</v>
      </c>
    </row>
    <row r="40756" spans="20:20" ht="18.75" customHeight="1" x14ac:dyDescent="0.35">
      <c r="T40756" s="246">
        <f t="shared" si="674"/>
        <v>0</v>
      </c>
    </row>
    <row r="40757" spans="20:20" ht="18.75" customHeight="1" x14ac:dyDescent="0.35">
      <c r="T40757" s="246">
        <f t="shared" si="674"/>
        <v>0</v>
      </c>
    </row>
    <row r="40758" spans="20:20" ht="18.75" customHeight="1" x14ac:dyDescent="0.35">
      <c r="T40758" s="246">
        <f t="shared" si="674"/>
        <v>0</v>
      </c>
    </row>
    <row r="40759" spans="20:20" ht="18.75" customHeight="1" x14ac:dyDescent="0.35">
      <c r="T40759" s="246">
        <f t="shared" si="674"/>
        <v>0</v>
      </c>
    </row>
    <row r="40760" spans="20:20" ht="18.75" customHeight="1" x14ac:dyDescent="0.35">
      <c r="T40760" s="246">
        <f t="shared" si="674"/>
        <v>0</v>
      </c>
    </row>
    <row r="40761" spans="20:20" ht="18.75" customHeight="1" x14ac:dyDescent="0.35">
      <c r="T40761" s="246">
        <f t="shared" si="674"/>
        <v>0</v>
      </c>
    </row>
    <row r="40762" spans="20:20" ht="18.75" customHeight="1" x14ac:dyDescent="0.35">
      <c r="T40762" s="246">
        <f t="shared" si="674"/>
        <v>0</v>
      </c>
    </row>
    <row r="40763" spans="20:20" ht="18.75" customHeight="1" x14ac:dyDescent="0.35">
      <c r="T40763" s="246">
        <f t="shared" si="674"/>
        <v>0</v>
      </c>
    </row>
    <row r="40764" spans="20:20" ht="18.75" customHeight="1" x14ac:dyDescent="0.35">
      <c r="T40764" s="246">
        <f t="shared" ref="T40764:T40827" si="675">R40764*0.01</f>
        <v>0</v>
      </c>
    </row>
    <row r="40765" spans="20:20" ht="18.75" customHeight="1" x14ac:dyDescent="0.35">
      <c r="T40765" s="246">
        <f t="shared" si="675"/>
        <v>0</v>
      </c>
    </row>
    <row r="40766" spans="20:20" ht="18.75" customHeight="1" x14ac:dyDescent="0.35">
      <c r="T40766" s="246">
        <f t="shared" si="675"/>
        <v>0</v>
      </c>
    </row>
    <row r="40767" spans="20:20" ht="18.75" customHeight="1" x14ac:dyDescent="0.35">
      <c r="T40767" s="246">
        <f t="shared" si="675"/>
        <v>0</v>
      </c>
    </row>
    <row r="40768" spans="20:20" ht="18.75" customHeight="1" x14ac:dyDescent="0.35">
      <c r="T40768" s="246">
        <f t="shared" si="675"/>
        <v>0</v>
      </c>
    </row>
    <row r="40769" spans="20:20" ht="18.75" customHeight="1" x14ac:dyDescent="0.35">
      <c r="T40769" s="246">
        <f t="shared" si="675"/>
        <v>0</v>
      </c>
    </row>
    <row r="40770" spans="20:20" ht="18.75" customHeight="1" x14ac:dyDescent="0.35">
      <c r="T40770" s="246">
        <f t="shared" si="675"/>
        <v>0</v>
      </c>
    </row>
    <row r="40771" spans="20:20" ht="18.75" customHeight="1" x14ac:dyDescent="0.35">
      <c r="T40771" s="246">
        <f t="shared" si="675"/>
        <v>0</v>
      </c>
    </row>
    <row r="40772" spans="20:20" ht="18.75" customHeight="1" x14ac:dyDescent="0.35">
      <c r="T40772" s="246">
        <f t="shared" si="675"/>
        <v>0</v>
      </c>
    </row>
    <row r="40773" spans="20:20" ht="18.75" customHeight="1" x14ac:dyDescent="0.35">
      <c r="T40773" s="246">
        <f t="shared" si="675"/>
        <v>0</v>
      </c>
    </row>
    <row r="40774" spans="20:20" ht="18.75" customHeight="1" x14ac:dyDescent="0.35">
      <c r="T40774" s="246">
        <f t="shared" si="675"/>
        <v>0</v>
      </c>
    </row>
    <row r="40775" spans="20:20" ht="18.75" customHeight="1" x14ac:dyDescent="0.35">
      <c r="T40775" s="246">
        <f t="shared" si="675"/>
        <v>0</v>
      </c>
    </row>
    <row r="40776" spans="20:20" ht="18.75" customHeight="1" x14ac:dyDescent="0.35">
      <c r="T40776" s="246">
        <f t="shared" si="675"/>
        <v>0</v>
      </c>
    </row>
    <row r="40777" spans="20:20" ht="18.75" customHeight="1" x14ac:dyDescent="0.35">
      <c r="T40777" s="246">
        <f t="shared" si="675"/>
        <v>0</v>
      </c>
    </row>
    <row r="40778" spans="20:20" ht="18.75" customHeight="1" x14ac:dyDescent="0.35">
      <c r="T40778" s="246">
        <f t="shared" si="675"/>
        <v>0</v>
      </c>
    </row>
    <row r="40779" spans="20:20" ht="18.75" customHeight="1" x14ac:dyDescent="0.35">
      <c r="T40779" s="246">
        <f t="shared" si="675"/>
        <v>0</v>
      </c>
    </row>
    <row r="40780" spans="20:20" ht="18.75" customHeight="1" x14ac:dyDescent="0.35">
      <c r="T40780" s="246">
        <f t="shared" si="675"/>
        <v>0</v>
      </c>
    </row>
    <row r="40781" spans="20:20" ht="18.75" customHeight="1" x14ac:dyDescent="0.35">
      <c r="T40781" s="246">
        <f t="shared" si="675"/>
        <v>0</v>
      </c>
    </row>
    <row r="40782" spans="20:20" ht="18.75" customHeight="1" x14ac:dyDescent="0.35">
      <c r="T40782" s="246">
        <f t="shared" si="675"/>
        <v>0</v>
      </c>
    </row>
    <row r="40783" spans="20:20" ht="18.75" customHeight="1" x14ac:dyDescent="0.35">
      <c r="T40783" s="246">
        <f t="shared" si="675"/>
        <v>0</v>
      </c>
    </row>
    <row r="40784" spans="20:20" ht="18.75" customHeight="1" x14ac:dyDescent="0.35">
      <c r="T40784" s="246">
        <f t="shared" si="675"/>
        <v>0</v>
      </c>
    </row>
    <row r="40785" spans="20:20" ht="18.75" customHeight="1" x14ac:dyDescent="0.35">
      <c r="T40785" s="246">
        <f t="shared" si="675"/>
        <v>0</v>
      </c>
    </row>
    <row r="40786" spans="20:20" ht="18.75" customHeight="1" x14ac:dyDescent="0.35">
      <c r="T40786" s="246">
        <f t="shared" si="675"/>
        <v>0</v>
      </c>
    </row>
    <row r="40787" spans="20:20" ht="18.75" customHeight="1" x14ac:dyDescent="0.35">
      <c r="T40787" s="246">
        <f t="shared" si="675"/>
        <v>0</v>
      </c>
    </row>
    <row r="40788" spans="20:20" ht="18.75" customHeight="1" x14ac:dyDescent="0.35">
      <c r="T40788" s="246">
        <f t="shared" si="675"/>
        <v>0</v>
      </c>
    </row>
    <row r="40789" spans="20:20" ht="18.75" customHeight="1" x14ac:dyDescent="0.35">
      <c r="T40789" s="246">
        <f t="shared" si="675"/>
        <v>0</v>
      </c>
    </row>
    <row r="40790" spans="20:20" ht="18.75" customHeight="1" x14ac:dyDescent="0.35">
      <c r="T40790" s="246">
        <f t="shared" si="675"/>
        <v>0</v>
      </c>
    </row>
    <row r="40791" spans="20:20" ht="18.75" customHeight="1" x14ac:dyDescent="0.35">
      <c r="T40791" s="246">
        <f t="shared" si="675"/>
        <v>0</v>
      </c>
    </row>
    <row r="40792" spans="20:20" ht="18.75" customHeight="1" x14ac:dyDescent="0.35">
      <c r="T40792" s="246">
        <f t="shared" si="675"/>
        <v>0</v>
      </c>
    </row>
    <row r="40793" spans="20:20" ht="18.75" customHeight="1" x14ac:dyDescent="0.35">
      <c r="T40793" s="246">
        <f t="shared" si="675"/>
        <v>0</v>
      </c>
    </row>
    <row r="40794" spans="20:20" ht="18.75" customHeight="1" x14ac:dyDescent="0.35">
      <c r="T40794" s="246">
        <f t="shared" si="675"/>
        <v>0</v>
      </c>
    </row>
    <row r="40795" spans="20:20" ht="18.75" customHeight="1" x14ac:dyDescent="0.35">
      <c r="T40795" s="246">
        <f t="shared" si="675"/>
        <v>0</v>
      </c>
    </row>
    <row r="40796" spans="20:20" ht="18.75" customHeight="1" x14ac:dyDescent="0.35">
      <c r="T40796" s="246">
        <f t="shared" si="675"/>
        <v>0</v>
      </c>
    </row>
    <row r="40797" spans="20:20" ht="18.75" customHeight="1" x14ac:dyDescent="0.35">
      <c r="T40797" s="246">
        <f t="shared" si="675"/>
        <v>0</v>
      </c>
    </row>
    <row r="40798" spans="20:20" ht="18.75" customHeight="1" x14ac:dyDescent="0.35">
      <c r="T40798" s="246">
        <f t="shared" si="675"/>
        <v>0</v>
      </c>
    </row>
    <row r="40799" spans="20:20" ht="18.75" customHeight="1" x14ac:dyDescent="0.35">
      <c r="T40799" s="246">
        <f t="shared" si="675"/>
        <v>0</v>
      </c>
    </row>
    <row r="40800" spans="20:20" ht="18.75" customHeight="1" x14ac:dyDescent="0.35">
      <c r="T40800" s="246">
        <f t="shared" si="675"/>
        <v>0</v>
      </c>
    </row>
    <row r="40801" spans="20:20" ht="18.75" customHeight="1" x14ac:dyDescent="0.35">
      <c r="T40801" s="246">
        <f t="shared" si="675"/>
        <v>0</v>
      </c>
    </row>
    <row r="40802" spans="20:20" ht="18.75" customHeight="1" x14ac:dyDescent="0.35">
      <c r="T40802" s="246">
        <f t="shared" si="675"/>
        <v>0</v>
      </c>
    </row>
    <row r="40803" spans="20:20" ht="18.75" customHeight="1" x14ac:dyDescent="0.35">
      <c r="T40803" s="246">
        <f t="shared" si="675"/>
        <v>0</v>
      </c>
    </row>
    <row r="40804" spans="20:20" ht="18.75" customHeight="1" x14ac:dyDescent="0.35">
      <c r="T40804" s="246">
        <f t="shared" si="675"/>
        <v>0</v>
      </c>
    </row>
    <row r="40805" spans="20:20" ht="18.75" customHeight="1" x14ac:dyDescent="0.35">
      <c r="T40805" s="246">
        <f t="shared" si="675"/>
        <v>0</v>
      </c>
    </row>
    <row r="40806" spans="20:20" ht="18.75" customHeight="1" x14ac:dyDescent="0.35">
      <c r="T40806" s="246">
        <f t="shared" si="675"/>
        <v>0</v>
      </c>
    </row>
    <row r="40807" spans="20:20" ht="18.75" customHeight="1" x14ac:dyDescent="0.35">
      <c r="T40807" s="246">
        <f t="shared" si="675"/>
        <v>0</v>
      </c>
    </row>
    <row r="40808" spans="20:20" ht="18.75" customHeight="1" x14ac:dyDescent="0.35">
      <c r="T40808" s="246">
        <f t="shared" si="675"/>
        <v>0</v>
      </c>
    </row>
    <row r="40809" spans="20:20" ht="18.75" customHeight="1" x14ac:dyDescent="0.35">
      <c r="T40809" s="246">
        <f t="shared" si="675"/>
        <v>0</v>
      </c>
    </row>
    <row r="40810" spans="20:20" ht="18.75" customHeight="1" x14ac:dyDescent="0.35">
      <c r="T40810" s="246">
        <f t="shared" si="675"/>
        <v>0</v>
      </c>
    </row>
    <row r="40811" spans="20:20" ht="18.75" customHeight="1" x14ac:dyDescent="0.35">
      <c r="T40811" s="246">
        <f t="shared" si="675"/>
        <v>0</v>
      </c>
    </row>
    <row r="40812" spans="20:20" ht="18.75" customHeight="1" x14ac:dyDescent="0.35">
      <c r="T40812" s="246">
        <f t="shared" si="675"/>
        <v>0</v>
      </c>
    </row>
    <row r="40813" spans="20:20" ht="18.75" customHeight="1" x14ac:dyDescent="0.35">
      <c r="T40813" s="246">
        <f t="shared" si="675"/>
        <v>0</v>
      </c>
    </row>
    <row r="40814" spans="20:20" ht="18.75" customHeight="1" x14ac:dyDescent="0.35">
      <c r="T40814" s="246">
        <f t="shared" si="675"/>
        <v>0</v>
      </c>
    </row>
    <row r="40815" spans="20:20" ht="18.75" customHeight="1" x14ac:dyDescent="0.35">
      <c r="T40815" s="246">
        <f t="shared" si="675"/>
        <v>0</v>
      </c>
    </row>
    <row r="40816" spans="20:20" ht="18.75" customHeight="1" x14ac:dyDescent="0.35">
      <c r="T40816" s="246">
        <f t="shared" si="675"/>
        <v>0</v>
      </c>
    </row>
    <row r="40817" spans="20:20" ht="18.75" customHeight="1" x14ac:dyDescent="0.35">
      <c r="T40817" s="246">
        <f t="shared" si="675"/>
        <v>0</v>
      </c>
    </row>
    <row r="40818" spans="20:20" ht="18.75" customHeight="1" x14ac:dyDescent="0.35">
      <c r="T40818" s="246">
        <f t="shared" si="675"/>
        <v>0</v>
      </c>
    </row>
    <row r="40819" spans="20:20" ht="18.75" customHeight="1" x14ac:dyDescent="0.35">
      <c r="T40819" s="246">
        <f t="shared" si="675"/>
        <v>0</v>
      </c>
    </row>
    <row r="40820" spans="20:20" ht="18.75" customHeight="1" x14ac:dyDescent="0.35">
      <c r="T40820" s="246">
        <f t="shared" si="675"/>
        <v>0</v>
      </c>
    </row>
    <row r="40821" spans="20:20" ht="18.75" customHeight="1" x14ac:dyDescent="0.35">
      <c r="T40821" s="246">
        <f t="shared" si="675"/>
        <v>0</v>
      </c>
    </row>
    <row r="40822" spans="20:20" ht="18.75" customHeight="1" x14ac:dyDescent="0.35">
      <c r="T40822" s="246">
        <f t="shared" si="675"/>
        <v>0</v>
      </c>
    </row>
    <row r="40823" spans="20:20" ht="18.75" customHeight="1" x14ac:dyDescent="0.35">
      <c r="T40823" s="246">
        <f t="shared" si="675"/>
        <v>0</v>
      </c>
    </row>
    <row r="40824" spans="20:20" ht="18.75" customHeight="1" x14ac:dyDescent="0.35">
      <c r="T40824" s="246">
        <f t="shared" si="675"/>
        <v>0</v>
      </c>
    </row>
    <row r="40825" spans="20:20" ht="18.75" customHeight="1" x14ac:dyDescent="0.35">
      <c r="T40825" s="246">
        <f t="shared" si="675"/>
        <v>0</v>
      </c>
    </row>
    <row r="40826" spans="20:20" ht="18.75" customHeight="1" x14ac:dyDescent="0.35">
      <c r="T40826" s="246">
        <f t="shared" si="675"/>
        <v>0</v>
      </c>
    </row>
    <row r="40827" spans="20:20" ht="18.75" customHeight="1" x14ac:dyDescent="0.35">
      <c r="T40827" s="246">
        <f t="shared" si="675"/>
        <v>0</v>
      </c>
    </row>
    <row r="40828" spans="20:20" ht="18.75" customHeight="1" x14ac:dyDescent="0.35">
      <c r="T40828" s="246">
        <f t="shared" ref="T40828:T40891" si="676">R40828*0.01</f>
        <v>0</v>
      </c>
    </row>
    <row r="40829" spans="20:20" ht="18.75" customHeight="1" x14ac:dyDescent="0.35">
      <c r="T40829" s="246">
        <f t="shared" si="676"/>
        <v>0</v>
      </c>
    </row>
    <row r="40830" spans="20:20" ht="18.75" customHeight="1" x14ac:dyDescent="0.35">
      <c r="T40830" s="246">
        <f t="shared" si="676"/>
        <v>0</v>
      </c>
    </row>
    <row r="40831" spans="20:20" ht="18.75" customHeight="1" x14ac:dyDescent="0.35">
      <c r="T40831" s="246">
        <f t="shared" si="676"/>
        <v>0</v>
      </c>
    </row>
    <row r="40832" spans="20:20" ht="18.75" customHeight="1" x14ac:dyDescent="0.35">
      <c r="T40832" s="246">
        <f t="shared" si="676"/>
        <v>0</v>
      </c>
    </row>
    <row r="40833" spans="20:20" ht="18.75" customHeight="1" x14ac:dyDescent="0.35">
      <c r="T40833" s="246">
        <f t="shared" si="676"/>
        <v>0</v>
      </c>
    </row>
    <row r="40834" spans="20:20" ht="18.75" customHeight="1" x14ac:dyDescent="0.35">
      <c r="T40834" s="246">
        <f t="shared" si="676"/>
        <v>0</v>
      </c>
    </row>
    <row r="40835" spans="20:20" ht="18.75" customHeight="1" x14ac:dyDescent="0.35">
      <c r="T40835" s="246">
        <f t="shared" si="676"/>
        <v>0</v>
      </c>
    </row>
    <row r="40836" spans="20:20" ht="18.75" customHeight="1" x14ac:dyDescent="0.35">
      <c r="T40836" s="246">
        <f t="shared" si="676"/>
        <v>0</v>
      </c>
    </row>
    <row r="40837" spans="20:20" ht="18.75" customHeight="1" x14ac:dyDescent="0.35">
      <c r="T40837" s="246">
        <f t="shared" si="676"/>
        <v>0</v>
      </c>
    </row>
    <row r="40838" spans="20:20" ht="18.75" customHeight="1" x14ac:dyDescent="0.35">
      <c r="T40838" s="246">
        <f t="shared" si="676"/>
        <v>0</v>
      </c>
    </row>
    <row r="40839" spans="20:20" ht="18.75" customHeight="1" x14ac:dyDescent="0.35">
      <c r="T40839" s="246">
        <f t="shared" si="676"/>
        <v>0</v>
      </c>
    </row>
    <row r="40840" spans="20:20" ht="18.75" customHeight="1" x14ac:dyDescent="0.35">
      <c r="T40840" s="246">
        <f t="shared" si="676"/>
        <v>0</v>
      </c>
    </row>
    <row r="40841" spans="20:20" ht="18.75" customHeight="1" x14ac:dyDescent="0.35">
      <c r="T40841" s="246">
        <f t="shared" si="676"/>
        <v>0</v>
      </c>
    </row>
    <row r="40842" spans="20:20" ht="18.75" customHeight="1" x14ac:dyDescent="0.35">
      <c r="T40842" s="246">
        <f t="shared" si="676"/>
        <v>0</v>
      </c>
    </row>
    <row r="40843" spans="20:20" ht="18.75" customHeight="1" x14ac:dyDescent="0.35">
      <c r="T40843" s="246">
        <f t="shared" si="676"/>
        <v>0</v>
      </c>
    </row>
    <row r="40844" spans="20:20" ht="18.75" customHeight="1" x14ac:dyDescent="0.35">
      <c r="T40844" s="246">
        <f t="shared" si="676"/>
        <v>0</v>
      </c>
    </row>
    <row r="40845" spans="20:20" ht="18.75" customHeight="1" x14ac:dyDescent="0.35">
      <c r="T40845" s="246">
        <f t="shared" si="676"/>
        <v>0</v>
      </c>
    </row>
    <row r="40846" spans="20:20" ht="18.75" customHeight="1" x14ac:dyDescent="0.35">
      <c r="T40846" s="246">
        <f t="shared" si="676"/>
        <v>0</v>
      </c>
    </row>
    <row r="40847" spans="20:20" ht="18.75" customHeight="1" x14ac:dyDescent="0.35">
      <c r="T40847" s="246">
        <f t="shared" si="676"/>
        <v>0</v>
      </c>
    </row>
    <row r="40848" spans="20:20" ht="18.75" customHeight="1" x14ac:dyDescent="0.35">
      <c r="T40848" s="246">
        <f t="shared" si="676"/>
        <v>0</v>
      </c>
    </row>
    <row r="40849" spans="20:20" ht="18.75" customHeight="1" x14ac:dyDescent="0.35">
      <c r="T40849" s="246">
        <f t="shared" si="676"/>
        <v>0</v>
      </c>
    </row>
    <row r="40850" spans="20:20" ht="18.75" customHeight="1" x14ac:dyDescent="0.35">
      <c r="T40850" s="246">
        <f t="shared" si="676"/>
        <v>0</v>
      </c>
    </row>
    <row r="40851" spans="20:20" ht="18.75" customHeight="1" x14ac:dyDescent="0.35">
      <c r="T40851" s="246">
        <f t="shared" si="676"/>
        <v>0</v>
      </c>
    </row>
    <row r="40852" spans="20:20" ht="18.75" customHeight="1" x14ac:dyDescent="0.35">
      <c r="T40852" s="246">
        <f t="shared" si="676"/>
        <v>0</v>
      </c>
    </row>
    <row r="40853" spans="20:20" ht="18.75" customHeight="1" x14ac:dyDescent="0.35">
      <c r="T40853" s="246">
        <f t="shared" si="676"/>
        <v>0</v>
      </c>
    </row>
    <row r="40854" spans="20:20" ht="18.75" customHeight="1" x14ac:dyDescent="0.35">
      <c r="T40854" s="246">
        <f t="shared" si="676"/>
        <v>0</v>
      </c>
    </row>
    <row r="40855" spans="20:20" ht="18.75" customHeight="1" x14ac:dyDescent="0.35">
      <c r="T40855" s="246">
        <f t="shared" si="676"/>
        <v>0</v>
      </c>
    </row>
    <row r="40856" spans="20:20" ht="18.75" customHeight="1" x14ac:dyDescent="0.35">
      <c r="T40856" s="246">
        <f t="shared" si="676"/>
        <v>0</v>
      </c>
    </row>
    <row r="40857" spans="20:20" ht="18.75" customHeight="1" x14ac:dyDescent="0.35">
      <c r="T40857" s="246">
        <f t="shared" si="676"/>
        <v>0</v>
      </c>
    </row>
    <row r="40858" spans="20:20" ht="18.75" customHeight="1" x14ac:dyDescent="0.35">
      <c r="T40858" s="246">
        <f t="shared" si="676"/>
        <v>0</v>
      </c>
    </row>
    <row r="40859" spans="20:20" ht="18.75" customHeight="1" x14ac:dyDescent="0.35">
      <c r="T40859" s="246">
        <f t="shared" si="676"/>
        <v>0</v>
      </c>
    </row>
    <row r="40860" spans="20:20" ht="18.75" customHeight="1" x14ac:dyDescent="0.35">
      <c r="T40860" s="246">
        <f t="shared" si="676"/>
        <v>0</v>
      </c>
    </row>
    <row r="40861" spans="20:20" ht="18.75" customHeight="1" x14ac:dyDescent="0.35">
      <c r="T40861" s="246">
        <f t="shared" si="676"/>
        <v>0</v>
      </c>
    </row>
    <row r="40862" spans="20:20" ht="18.75" customHeight="1" x14ac:dyDescent="0.35">
      <c r="T40862" s="246">
        <f t="shared" si="676"/>
        <v>0</v>
      </c>
    </row>
    <row r="40863" spans="20:20" ht="18.75" customHeight="1" x14ac:dyDescent="0.35">
      <c r="T40863" s="246">
        <f t="shared" si="676"/>
        <v>0</v>
      </c>
    </row>
    <row r="40864" spans="20:20" ht="18.75" customHeight="1" x14ac:dyDescent="0.35">
      <c r="T40864" s="246">
        <f t="shared" si="676"/>
        <v>0</v>
      </c>
    </row>
    <row r="40865" spans="20:20" ht="18.75" customHeight="1" x14ac:dyDescent="0.35">
      <c r="T40865" s="246">
        <f t="shared" si="676"/>
        <v>0</v>
      </c>
    </row>
    <row r="40866" spans="20:20" ht="18.75" customHeight="1" x14ac:dyDescent="0.35">
      <c r="T40866" s="246">
        <f t="shared" si="676"/>
        <v>0</v>
      </c>
    </row>
    <row r="40867" spans="20:20" ht="18.75" customHeight="1" x14ac:dyDescent="0.35">
      <c r="T40867" s="246">
        <f t="shared" si="676"/>
        <v>0</v>
      </c>
    </row>
    <row r="40868" spans="20:20" ht="18.75" customHeight="1" x14ac:dyDescent="0.35">
      <c r="T40868" s="246">
        <f t="shared" si="676"/>
        <v>0</v>
      </c>
    </row>
    <row r="40869" spans="20:20" ht="18.75" customHeight="1" x14ac:dyDescent="0.35">
      <c r="T40869" s="246">
        <f t="shared" si="676"/>
        <v>0</v>
      </c>
    </row>
    <row r="40870" spans="20:20" ht="18.75" customHeight="1" x14ac:dyDescent="0.35">
      <c r="T40870" s="246">
        <f t="shared" si="676"/>
        <v>0</v>
      </c>
    </row>
    <row r="40871" spans="20:20" ht="18.75" customHeight="1" x14ac:dyDescent="0.35">
      <c r="T40871" s="246">
        <f t="shared" si="676"/>
        <v>0</v>
      </c>
    </row>
    <row r="40872" spans="20:20" ht="18.75" customHeight="1" x14ac:dyDescent="0.35">
      <c r="T40872" s="246">
        <f t="shared" si="676"/>
        <v>0</v>
      </c>
    </row>
    <row r="40873" spans="20:20" ht="18.75" customHeight="1" x14ac:dyDescent="0.35">
      <c r="T40873" s="246">
        <f t="shared" si="676"/>
        <v>0</v>
      </c>
    </row>
    <row r="40874" spans="20:20" ht="18.75" customHeight="1" x14ac:dyDescent="0.35">
      <c r="T40874" s="246">
        <f t="shared" si="676"/>
        <v>0</v>
      </c>
    </row>
    <row r="40875" spans="20:20" ht="18.75" customHeight="1" x14ac:dyDescent="0.35">
      <c r="T40875" s="246">
        <f t="shared" si="676"/>
        <v>0</v>
      </c>
    </row>
    <row r="40876" spans="20:20" ht="18.75" customHeight="1" x14ac:dyDescent="0.35">
      <c r="T40876" s="246">
        <f t="shared" si="676"/>
        <v>0</v>
      </c>
    </row>
    <row r="40877" spans="20:20" ht="18.75" customHeight="1" x14ac:dyDescent="0.35">
      <c r="T40877" s="246">
        <f t="shared" si="676"/>
        <v>0</v>
      </c>
    </row>
    <row r="40878" spans="20:20" ht="18.75" customHeight="1" x14ac:dyDescent="0.35">
      <c r="T40878" s="246">
        <f t="shared" si="676"/>
        <v>0</v>
      </c>
    </row>
    <row r="40879" spans="20:20" ht="18.75" customHeight="1" x14ac:dyDescent="0.35">
      <c r="T40879" s="246">
        <f t="shared" si="676"/>
        <v>0</v>
      </c>
    </row>
    <row r="40880" spans="20:20" ht="18.75" customHeight="1" x14ac:dyDescent="0.35">
      <c r="T40880" s="246">
        <f t="shared" si="676"/>
        <v>0</v>
      </c>
    </row>
    <row r="40881" spans="20:20" ht="18.75" customHeight="1" x14ac:dyDescent="0.35">
      <c r="T40881" s="246">
        <f t="shared" si="676"/>
        <v>0</v>
      </c>
    </row>
    <row r="40882" spans="20:20" ht="18.75" customHeight="1" x14ac:dyDescent="0.35">
      <c r="T40882" s="246">
        <f t="shared" si="676"/>
        <v>0</v>
      </c>
    </row>
    <row r="40883" spans="20:20" ht="18.75" customHeight="1" x14ac:dyDescent="0.35">
      <c r="T40883" s="246">
        <f t="shared" si="676"/>
        <v>0</v>
      </c>
    </row>
    <row r="40884" spans="20:20" ht="18.75" customHeight="1" x14ac:dyDescent="0.35">
      <c r="T40884" s="246">
        <f t="shared" si="676"/>
        <v>0</v>
      </c>
    </row>
    <row r="40885" spans="20:20" ht="18.75" customHeight="1" x14ac:dyDescent="0.35">
      <c r="T40885" s="246">
        <f t="shared" si="676"/>
        <v>0</v>
      </c>
    </row>
    <row r="40886" spans="20:20" ht="18.75" customHeight="1" x14ac:dyDescent="0.35">
      <c r="T40886" s="246">
        <f t="shared" si="676"/>
        <v>0</v>
      </c>
    </row>
    <row r="40887" spans="20:20" ht="18.75" customHeight="1" x14ac:dyDescent="0.35">
      <c r="T40887" s="246">
        <f t="shared" si="676"/>
        <v>0</v>
      </c>
    </row>
    <row r="40888" spans="20:20" ht="18.75" customHeight="1" x14ac:dyDescent="0.35">
      <c r="T40888" s="246">
        <f t="shared" si="676"/>
        <v>0</v>
      </c>
    </row>
    <row r="40889" spans="20:20" ht="18.75" customHeight="1" x14ac:dyDescent="0.35">
      <c r="T40889" s="246">
        <f t="shared" si="676"/>
        <v>0</v>
      </c>
    </row>
    <row r="40890" spans="20:20" ht="18.75" customHeight="1" x14ac:dyDescent="0.35">
      <c r="T40890" s="246">
        <f t="shared" si="676"/>
        <v>0</v>
      </c>
    </row>
    <row r="40891" spans="20:20" ht="18.75" customHeight="1" x14ac:dyDescent="0.35">
      <c r="T40891" s="246">
        <f t="shared" si="676"/>
        <v>0</v>
      </c>
    </row>
    <row r="40892" spans="20:20" ht="18.75" customHeight="1" x14ac:dyDescent="0.35">
      <c r="T40892" s="246">
        <f t="shared" ref="T40892:T40955" si="677">R40892*0.01</f>
        <v>0</v>
      </c>
    </row>
    <row r="40893" spans="20:20" ht="18.75" customHeight="1" x14ac:dyDescent="0.35">
      <c r="T40893" s="246">
        <f t="shared" si="677"/>
        <v>0</v>
      </c>
    </row>
    <row r="40894" spans="20:20" ht="18.75" customHeight="1" x14ac:dyDescent="0.35">
      <c r="T40894" s="246">
        <f t="shared" si="677"/>
        <v>0</v>
      </c>
    </row>
    <row r="40895" spans="20:20" ht="18.75" customHeight="1" x14ac:dyDescent="0.35">
      <c r="T40895" s="246">
        <f t="shared" si="677"/>
        <v>0</v>
      </c>
    </row>
    <row r="40896" spans="20:20" ht="18.75" customHeight="1" x14ac:dyDescent="0.35">
      <c r="T40896" s="246">
        <f t="shared" si="677"/>
        <v>0</v>
      </c>
    </row>
    <row r="40897" spans="20:20" ht="18.75" customHeight="1" x14ac:dyDescent="0.35">
      <c r="T40897" s="246">
        <f t="shared" si="677"/>
        <v>0</v>
      </c>
    </row>
    <row r="40898" spans="20:20" ht="18.75" customHeight="1" x14ac:dyDescent="0.35">
      <c r="T40898" s="246">
        <f t="shared" si="677"/>
        <v>0</v>
      </c>
    </row>
    <row r="40899" spans="20:20" ht="18.75" customHeight="1" x14ac:dyDescent="0.35">
      <c r="T40899" s="246">
        <f t="shared" si="677"/>
        <v>0</v>
      </c>
    </row>
    <row r="40900" spans="20:20" ht="18.75" customHeight="1" x14ac:dyDescent="0.35">
      <c r="T40900" s="246">
        <f t="shared" si="677"/>
        <v>0</v>
      </c>
    </row>
    <row r="40901" spans="20:20" ht="18.75" customHeight="1" x14ac:dyDescent="0.35">
      <c r="T40901" s="246">
        <f t="shared" si="677"/>
        <v>0</v>
      </c>
    </row>
    <row r="40902" spans="20:20" ht="18.75" customHeight="1" x14ac:dyDescent="0.35">
      <c r="T40902" s="246">
        <f t="shared" si="677"/>
        <v>0</v>
      </c>
    </row>
    <row r="40903" spans="20:20" ht="18.75" customHeight="1" x14ac:dyDescent="0.35">
      <c r="T40903" s="246">
        <f t="shared" si="677"/>
        <v>0</v>
      </c>
    </row>
    <row r="40904" spans="20:20" ht="18.75" customHeight="1" x14ac:dyDescent="0.35">
      <c r="T40904" s="246">
        <f t="shared" si="677"/>
        <v>0</v>
      </c>
    </row>
    <row r="40905" spans="20:20" ht="18.75" customHeight="1" x14ac:dyDescent="0.35">
      <c r="T40905" s="246">
        <f t="shared" si="677"/>
        <v>0</v>
      </c>
    </row>
    <row r="40906" spans="20:20" ht="18.75" customHeight="1" x14ac:dyDescent="0.35">
      <c r="T40906" s="246">
        <f t="shared" si="677"/>
        <v>0</v>
      </c>
    </row>
    <row r="40907" spans="20:20" ht="18.75" customHeight="1" x14ac:dyDescent="0.35">
      <c r="T40907" s="246">
        <f t="shared" si="677"/>
        <v>0</v>
      </c>
    </row>
    <row r="40908" spans="20:20" ht="18.75" customHeight="1" x14ac:dyDescent="0.35">
      <c r="T40908" s="246">
        <f t="shared" si="677"/>
        <v>0</v>
      </c>
    </row>
    <row r="40909" spans="20:20" ht="18.75" customHeight="1" x14ac:dyDescent="0.35">
      <c r="T40909" s="246">
        <f t="shared" si="677"/>
        <v>0</v>
      </c>
    </row>
    <row r="40910" spans="20:20" ht="18.75" customHeight="1" x14ac:dyDescent="0.35">
      <c r="T40910" s="246">
        <f t="shared" si="677"/>
        <v>0</v>
      </c>
    </row>
    <row r="40911" spans="20:20" ht="18.75" customHeight="1" x14ac:dyDescent="0.35">
      <c r="T40911" s="246">
        <f t="shared" si="677"/>
        <v>0</v>
      </c>
    </row>
    <row r="40912" spans="20:20" ht="18.75" customHeight="1" x14ac:dyDescent="0.35">
      <c r="T40912" s="246">
        <f t="shared" si="677"/>
        <v>0</v>
      </c>
    </row>
    <row r="40913" spans="20:20" ht="18.75" customHeight="1" x14ac:dyDescent="0.35">
      <c r="T40913" s="246">
        <f t="shared" si="677"/>
        <v>0</v>
      </c>
    </row>
    <row r="40914" spans="20:20" ht="18.75" customHeight="1" x14ac:dyDescent="0.35">
      <c r="T40914" s="246">
        <f t="shared" si="677"/>
        <v>0</v>
      </c>
    </row>
    <row r="40915" spans="20:20" ht="18.75" customHeight="1" x14ac:dyDescent="0.35">
      <c r="T40915" s="246">
        <f t="shared" si="677"/>
        <v>0</v>
      </c>
    </row>
    <row r="40916" spans="20:20" ht="18.75" customHeight="1" x14ac:dyDescent="0.35">
      <c r="T40916" s="246">
        <f t="shared" si="677"/>
        <v>0</v>
      </c>
    </row>
    <row r="40917" spans="20:20" ht="18.75" customHeight="1" x14ac:dyDescent="0.35">
      <c r="T40917" s="246">
        <f t="shared" si="677"/>
        <v>0</v>
      </c>
    </row>
    <row r="40918" spans="20:20" ht="18.75" customHeight="1" x14ac:dyDescent="0.35">
      <c r="T40918" s="246">
        <f t="shared" si="677"/>
        <v>0</v>
      </c>
    </row>
    <row r="40919" spans="20:20" ht="18.75" customHeight="1" x14ac:dyDescent="0.35">
      <c r="T40919" s="246">
        <f t="shared" si="677"/>
        <v>0</v>
      </c>
    </row>
    <row r="40920" spans="20:20" ht="18.75" customHeight="1" x14ac:dyDescent="0.35">
      <c r="T40920" s="246">
        <f t="shared" si="677"/>
        <v>0</v>
      </c>
    </row>
    <row r="40921" spans="20:20" ht="18.75" customHeight="1" x14ac:dyDescent="0.35">
      <c r="T40921" s="246">
        <f t="shared" si="677"/>
        <v>0</v>
      </c>
    </row>
    <row r="40922" spans="20:20" ht="18.75" customHeight="1" x14ac:dyDescent="0.35">
      <c r="T40922" s="246">
        <f t="shared" si="677"/>
        <v>0</v>
      </c>
    </row>
    <row r="40923" spans="20:20" ht="18.75" customHeight="1" x14ac:dyDescent="0.35">
      <c r="T40923" s="246">
        <f t="shared" si="677"/>
        <v>0</v>
      </c>
    </row>
    <row r="40924" spans="20:20" ht="18.75" customHeight="1" x14ac:dyDescent="0.35">
      <c r="T40924" s="246">
        <f t="shared" si="677"/>
        <v>0</v>
      </c>
    </row>
    <row r="40925" spans="20:20" ht="18.75" customHeight="1" x14ac:dyDescent="0.35">
      <c r="T40925" s="246">
        <f t="shared" si="677"/>
        <v>0</v>
      </c>
    </row>
    <row r="40926" spans="20:20" ht="18.75" customHeight="1" x14ac:dyDescent="0.35">
      <c r="T40926" s="246">
        <f t="shared" si="677"/>
        <v>0</v>
      </c>
    </row>
    <row r="40927" spans="20:20" ht="18.75" customHeight="1" x14ac:dyDescent="0.35">
      <c r="T40927" s="246">
        <f t="shared" si="677"/>
        <v>0</v>
      </c>
    </row>
    <row r="40928" spans="20:20" ht="18.75" customHeight="1" x14ac:dyDescent="0.35">
      <c r="T40928" s="246">
        <f t="shared" si="677"/>
        <v>0</v>
      </c>
    </row>
    <row r="40929" spans="20:20" ht="18.75" customHeight="1" x14ac:dyDescent="0.35">
      <c r="T40929" s="246">
        <f t="shared" si="677"/>
        <v>0</v>
      </c>
    </row>
    <row r="40930" spans="20:20" ht="18.75" customHeight="1" x14ac:dyDescent="0.35">
      <c r="T40930" s="246">
        <f t="shared" si="677"/>
        <v>0</v>
      </c>
    </row>
    <row r="40931" spans="20:20" ht="18.75" customHeight="1" x14ac:dyDescent="0.35">
      <c r="T40931" s="246">
        <f t="shared" si="677"/>
        <v>0</v>
      </c>
    </row>
    <row r="40932" spans="20:20" ht="18.75" customHeight="1" x14ac:dyDescent="0.35">
      <c r="T40932" s="246">
        <f t="shared" si="677"/>
        <v>0</v>
      </c>
    </row>
    <row r="40933" spans="20:20" ht="18.75" customHeight="1" x14ac:dyDescent="0.35">
      <c r="T40933" s="246">
        <f t="shared" si="677"/>
        <v>0</v>
      </c>
    </row>
    <row r="40934" spans="20:20" ht="18.75" customHeight="1" x14ac:dyDescent="0.35">
      <c r="T40934" s="246">
        <f t="shared" si="677"/>
        <v>0</v>
      </c>
    </row>
    <row r="40935" spans="20:20" ht="18.75" customHeight="1" x14ac:dyDescent="0.35">
      <c r="T40935" s="246">
        <f t="shared" si="677"/>
        <v>0</v>
      </c>
    </row>
    <row r="40936" spans="20:20" ht="18.75" customHeight="1" x14ac:dyDescent="0.35">
      <c r="T40936" s="246">
        <f t="shared" si="677"/>
        <v>0</v>
      </c>
    </row>
    <row r="40937" spans="20:20" ht="18.75" customHeight="1" x14ac:dyDescent="0.35">
      <c r="T40937" s="246">
        <f t="shared" si="677"/>
        <v>0</v>
      </c>
    </row>
    <row r="40938" spans="20:20" ht="18.75" customHeight="1" x14ac:dyDescent="0.35">
      <c r="T40938" s="246">
        <f t="shared" si="677"/>
        <v>0</v>
      </c>
    </row>
    <row r="40939" spans="20:20" ht="18.75" customHeight="1" x14ac:dyDescent="0.35">
      <c r="T40939" s="246">
        <f t="shared" si="677"/>
        <v>0</v>
      </c>
    </row>
    <row r="40940" spans="20:20" ht="18.75" customHeight="1" x14ac:dyDescent="0.35">
      <c r="T40940" s="246">
        <f t="shared" si="677"/>
        <v>0</v>
      </c>
    </row>
    <row r="40941" spans="20:20" ht="18.75" customHeight="1" x14ac:dyDescent="0.35">
      <c r="T40941" s="246">
        <f t="shared" si="677"/>
        <v>0</v>
      </c>
    </row>
    <row r="40942" spans="20:20" ht="18.75" customHeight="1" x14ac:dyDescent="0.35">
      <c r="T40942" s="246">
        <f t="shared" si="677"/>
        <v>0</v>
      </c>
    </row>
    <row r="40943" spans="20:20" ht="18.75" customHeight="1" x14ac:dyDescent="0.35">
      <c r="T40943" s="246">
        <f t="shared" si="677"/>
        <v>0</v>
      </c>
    </row>
    <row r="40944" spans="20:20" ht="18.75" customHeight="1" x14ac:dyDescent="0.35">
      <c r="T40944" s="246">
        <f t="shared" si="677"/>
        <v>0</v>
      </c>
    </row>
    <row r="40945" spans="20:20" ht="18.75" customHeight="1" x14ac:dyDescent="0.35">
      <c r="T40945" s="246">
        <f t="shared" si="677"/>
        <v>0</v>
      </c>
    </row>
    <row r="40946" spans="20:20" ht="18.75" customHeight="1" x14ac:dyDescent="0.35">
      <c r="T40946" s="246">
        <f t="shared" si="677"/>
        <v>0</v>
      </c>
    </row>
    <row r="40947" spans="20:20" ht="18.75" customHeight="1" x14ac:dyDescent="0.35">
      <c r="T40947" s="246">
        <f t="shared" si="677"/>
        <v>0</v>
      </c>
    </row>
    <row r="40948" spans="20:20" ht="18.75" customHeight="1" x14ac:dyDescent="0.35">
      <c r="T40948" s="246">
        <f t="shared" si="677"/>
        <v>0</v>
      </c>
    </row>
    <row r="40949" spans="20:20" ht="18.75" customHeight="1" x14ac:dyDescent="0.35">
      <c r="T40949" s="246">
        <f t="shared" si="677"/>
        <v>0</v>
      </c>
    </row>
    <row r="40950" spans="20:20" ht="18.75" customHeight="1" x14ac:dyDescent="0.35">
      <c r="T40950" s="246">
        <f t="shared" si="677"/>
        <v>0</v>
      </c>
    </row>
    <row r="40951" spans="20:20" ht="18.75" customHeight="1" x14ac:dyDescent="0.35">
      <c r="T40951" s="246">
        <f t="shared" si="677"/>
        <v>0</v>
      </c>
    </row>
    <row r="40952" spans="20:20" ht="18.75" customHeight="1" x14ac:dyDescent="0.35">
      <c r="T40952" s="246">
        <f t="shared" si="677"/>
        <v>0</v>
      </c>
    </row>
    <row r="40953" spans="20:20" ht="18.75" customHeight="1" x14ac:dyDescent="0.35">
      <c r="T40953" s="246">
        <f t="shared" si="677"/>
        <v>0</v>
      </c>
    </row>
    <row r="40954" spans="20:20" ht="18.75" customHeight="1" x14ac:dyDescent="0.35">
      <c r="T40954" s="246">
        <f t="shared" si="677"/>
        <v>0</v>
      </c>
    </row>
    <row r="40955" spans="20:20" ht="18.75" customHeight="1" x14ac:dyDescent="0.35">
      <c r="T40955" s="246">
        <f t="shared" si="677"/>
        <v>0</v>
      </c>
    </row>
    <row r="40956" spans="20:20" ht="18.75" customHeight="1" x14ac:dyDescent="0.35">
      <c r="T40956" s="246">
        <f t="shared" ref="T40956:T41019" si="678">R40956*0.01</f>
        <v>0</v>
      </c>
    </row>
    <row r="40957" spans="20:20" ht="18.75" customHeight="1" x14ac:dyDescent="0.35">
      <c r="T40957" s="246">
        <f t="shared" si="678"/>
        <v>0</v>
      </c>
    </row>
    <row r="40958" spans="20:20" ht="18.75" customHeight="1" x14ac:dyDescent="0.35">
      <c r="T40958" s="246">
        <f t="shared" si="678"/>
        <v>0</v>
      </c>
    </row>
    <row r="40959" spans="20:20" ht="18.75" customHeight="1" x14ac:dyDescent="0.35">
      <c r="T40959" s="246">
        <f t="shared" si="678"/>
        <v>0</v>
      </c>
    </row>
    <row r="40960" spans="20:20" ht="18.75" customHeight="1" x14ac:dyDescent="0.35">
      <c r="T40960" s="246">
        <f t="shared" si="678"/>
        <v>0</v>
      </c>
    </row>
    <row r="40961" spans="20:20" ht="18.75" customHeight="1" x14ac:dyDescent="0.35">
      <c r="T40961" s="246">
        <f t="shared" si="678"/>
        <v>0</v>
      </c>
    </row>
    <row r="40962" spans="20:20" ht="18.75" customHeight="1" x14ac:dyDescent="0.35">
      <c r="T40962" s="246">
        <f t="shared" si="678"/>
        <v>0</v>
      </c>
    </row>
    <row r="40963" spans="20:20" ht="18.75" customHeight="1" x14ac:dyDescent="0.35">
      <c r="T40963" s="246">
        <f t="shared" si="678"/>
        <v>0</v>
      </c>
    </row>
    <row r="40964" spans="20:20" ht="18.75" customHeight="1" x14ac:dyDescent="0.35">
      <c r="T40964" s="246">
        <f t="shared" si="678"/>
        <v>0</v>
      </c>
    </row>
    <row r="40965" spans="20:20" ht="18.75" customHeight="1" x14ac:dyDescent="0.35">
      <c r="T40965" s="246">
        <f t="shared" si="678"/>
        <v>0</v>
      </c>
    </row>
    <row r="40966" spans="20:20" ht="18.75" customHeight="1" x14ac:dyDescent="0.35">
      <c r="T40966" s="246">
        <f t="shared" si="678"/>
        <v>0</v>
      </c>
    </row>
    <row r="40967" spans="20:20" ht="18.75" customHeight="1" x14ac:dyDescent="0.35">
      <c r="T40967" s="246">
        <f t="shared" si="678"/>
        <v>0</v>
      </c>
    </row>
    <row r="40968" spans="20:20" ht="18.75" customHeight="1" x14ac:dyDescent="0.35">
      <c r="T40968" s="246">
        <f t="shared" si="678"/>
        <v>0</v>
      </c>
    </row>
    <row r="40969" spans="20:20" ht="18.75" customHeight="1" x14ac:dyDescent="0.35">
      <c r="T40969" s="246">
        <f t="shared" si="678"/>
        <v>0</v>
      </c>
    </row>
    <row r="40970" spans="20:20" ht="18.75" customHeight="1" x14ac:dyDescent="0.35">
      <c r="T40970" s="246">
        <f t="shared" si="678"/>
        <v>0</v>
      </c>
    </row>
    <row r="40971" spans="20:20" ht="18.75" customHeight="1" x14ac:dyDescent="0.35">
      <c r="T40971" s="246">
        <f t="shared" si="678"/>
        <v>0</v>
      </c>
    </row>
    <row r="40972" spans="20:20" ht="18.75" customHeight="1" x14ac:dyDescent="0.35">
      <c r="T40972" s="246">
        <f t="shared" si="678"/>
        <v>0</v>
      </c>
    </row>
    <row r="40973" spans="20:20" ht="18.75" customHeight="1" x14ac:dyDescent="0.35">
      <c r="T40973" s="246">
        <f t="shared" si="678"/>
        <v>0</v>
      </c>
    </row>
    <row r="40974" spans="20:20" ht="18.75" customHeight="1" x14ac:dyDescent="0.35">
      <c r="T40974" s="246">
        <f t="shared" si="678"/>
        <v>0</v>
      </c>
    </row>
    <row r="40975" spans="20:20" ht="18.75" customHeight="1" x14ac:dyDescent="0.35">
      <c r="T40975" s="246">
        <f t="shared" si="678"/>
        <v>0</v>
      </c>
    </row>
    <row r="40976" spans="20:20" ht="18.75" customHeight="1" x14ac:dyDescent="0.35">
      <c r="T40976" s="246">
        <f t="shared" si="678"/>
        <v>0</v>
      </c>
    </row>
    <row r="40977" spans="20:20" ht="18.75" customHeight="1" x14ac:dyDescent="0.35">
      <c r="T40977" s="246">
        <f t="shared" si="678"/>
        <v>0</v>
      </c>
    </row>
    <row r="40978" spans="20:20" ht="18.75" customHeight="1" x14ac:dyDescent="0.35">
      <c r="T40978" s="246">
        <f t="shared" si="678"/>
        <v>0</v>
      </c>
    </row>
    <row r="40979" spans="20:20" ht="18.75" customHeight="1" x14ac:dyDescent="0.35">
      <c r="T40979" s="246">
        <f t="shared" si="678"/>
        <v>0</v>
      </c>
    </row>
    <row r="40980" spans="20:20" ht="18.75" customHeight="1" x14ac:dyDescent="0.35">
      <c r="T40980" s="246">
        <f t="shared" si="678"/>
        <v>0</v>
      </c>
    </row>
    <row r="40981" spans="20:20" ht="18.75" customHeight="1" x14ac:dyDescent="0.35">
      <c r="T40981" s="246">
        <f t="shared" si="678"/>
        <v>0</v>
      </c>
    </row>
    <row r="40982" spans="20:20" ht="18.75" customHeight="1" x14ac:dyDescent="0.35">
      <c r="T40982" s="246">
        <f t="shared" si="678"/>
        <v>0</v>
      </c>
    </row>
    <row r="40983" spans="20:20" ht="18.75" customHeight="1" x14ac:dyDescent="0.35">
      <c r="T40983" s="246">
        <f t="shared" si="678"/>
        <v>0</v>
      </c>
    </row>
    <row r="40984" spans="20:20" ht="18.75" customHeight="1" x14ac:dyDescent="0.35">
      <c r="T40984" s="246">
        <f t="shared" si="678"/>
        <v>0</v>
      </c>
    </row>
    <row r="40985" spans="20:20" ht="18.75" customHeight="1" x14ac:dyDescent="0.35">
      <c r="T40985" s="246">
        <f t="shared" si="678"/>
        <v>0</v>
      </c>
    </row>
    <row r="40986" spans="20:20" ht="18.75" customHeight="1" x14ac:dyDescent="0.35">
      <c r="T40986" s="246">
        <f t="shared" si="678"/>
        <v>0</v>
      </c>
    </row>
    <row r="40987" spans="20:20" ht="18.75" customHeight="1" x14ac:dyDescent="0.35">
      <c r="T40987" s="246">
        <f t="shared" si="678"/>
        <v>0</v>
      </c>
    </row>
    <row r="40988" spans="20:20" ht="18.75" customHeight="1" x14ac:dyDescent="0.35">
      <c r="T40988" s="246">
        <f t="shared" si="678"/>
        <v>0</v>
      </c>
    </row>
    <row r="40989" spans="20:20" ht="18.75" customHeight="1" x14ac:dyDescent="0.35">
      <c r="T40989" s="246">
        <f t="shared" si="678"/>
        <v>0</v>
      </c>
    </row>
    <row r="40990" spans="20:20" ht="18.75" customHeight="1" x14ac:dyDescent="0.35">
      <c r="T40990" s="246">
        <f t="shared" si="678"/>
        <v>0</v>
      </c>
    </row>
    <row r="40991" spans="20:20" ht="18.75" customHeight="1" x14ac:dyDescent="0.35">
      <c r="T40991" s="246">
        <f t="shared" si="678"/>
        <v>0</v>
      </c>
    </row>
    <row r="40992" spans="20:20" ht="18.75" customHeight="1" x14ac:dyDescent="0.35">
      <c r="T40992" s="246">
        <f t="shared" si="678"/>
        <v>0</v>
      </c>
    </row>
    <row r="40993" spans="20:20" ht="18.75" customHeight="1" x14ac:dyDescent="0.35">
      <c r="T40993" s="246">
        <f t="shared" si="678"/>
        <v>0</v>
      </c>
    </row>
    <row r="40994" spans="20:20" ht="18.75" customHeight="1" x14ac:dyDescent="0.35">
      <c r="T40994" s="246">
        <f t="shared" si="678"/>
        <v>0</v>
      </c>
    </row>
    <row r="40995" spans="20:20" ht="18.75" customHeight="1" x14ac:dyDescent="0.35">
      <c r="T40995" s="246">
        <f t="shared" si="678"/>
        <v>0</v>
      </c>
    </row>
    <row r="40996" spans="20:20" ht="18.75" customHeight="1" x14ac:dyDescent="0.35">
      <c r="T40996" s="246">
        <f t="shared" si="678"/>
        <v>0</v>
      </c>
    </row>
    <row r="40997" spans="20:20" ht="18.75" customHeight="1" x14ac:dyDescent="0.35">
      <c r="T40997" s="246">
        <f t="shared" si="678"/>
        <v>0</v>
      </c>
    </row>
    <row r="40998" spans="20:20" ht="18.75" customHeight="1" x14ac:dyDescent="0.35">
      <c r="T40998" s="246">
        <f t="shared" si="678"/>
        <v>0</v>
      </c>
    </row>
    <row r="40999" spans="20:20" ht="18.75" customHeight="1" x14ac:dyDescent="0.35">
      <c r="T40999" s="246">
        <f t="shared" si="678"/>
        <v>0</v>
      </c>
    </row>
    <row r="41000" spans="20:20" ht="18.75" customHeight="1" x14ac:dyDescent="0.35">
      <c r="T41000" s="246">
        <f t="shared" si="678"/>
        <v>0</v>
      </c>
    </row>
    <row r="41001" spans="20:20" ht="18.75" customHeight="1" x14ac:dyDescent="0.35">
      <c r="T41001" s="246">
        <f t="shared" si="678"/>
        <v>0</v>
      </c>
    </row>
    <row r="41002" spans="20:20" ht="18.75" customHeight="1" x14ac:dyDescent="0.35">
      <c r="T41002" s="246">
        <f t="shared" si="678"/>
        <v>0</v>
      </c>
    </row>
    <row r="41003" spans="20:20" ht="18.75" customHeight="1" x14ac:dyDescent="0.35">
      <c r="T41003" s="246">
        <f t="shared" si="678"/>
        <v>0</v>
      </c>
    </row>
    <row r="41004" spans="20:20" ht="18.75" customHeight="1" x14ac:dyDescent="0.35">
      <c r="T41004" s="246">
        <f t="shared" si="678"/>
        <v>0</v>
      </c>
    </row>
    <row r="41005" spans="20:20" ht="18.75" customHeight="1" x14ac:dyDescent="0.35">
      <c r="T41005" s="246">
        <f t="shared" si="678"/>
        <v>0</v>
      </c>
    </row>
    <row r="41006" spans="20:20" ht="18.75" customHeight="1" x14ac:dyDescent="0.35">
      <c r="T41006" s="246">
        <f t="shared" si="678"/>
        <v>0</v>
      </c>
    </row>
    <row r="41007" spans="20:20" ht="18.75" customHeight="1" x14ac:dyDescent="0.35">
      <c r="T41007" s="246">
        <f t="shared" si="678"/>
        <v>0</v>
      </c>
    </row>
    <row r="41008" spans="20:20" ht="18.75" customHeight="1" x14ac:dyDescent="0.35">
      <c r="T41008" s="246">
        <f t="shared" si="678"/>
        <v>0</v>
      </c>
    </row>
    <row r="41009" spans="20:20" ht="18.75" customHeight="1" x14ac:dyDescent="0.35">
      <c r="T41009" s="246">
        <f t="shared" si="678"/>
        <v>0</v>
      </c>
    </row>
    <row r="41010" spans="20:20" ht="18.75" customHeight="1" x14ac:dyDescent="0.35">
      <c r="T41010" s="246">
        <f t="shared" si="678"/>
        <v>0</v>
      </c>
    </row>
    <row r="41011" spans="20:20" ht="18.75" customHeight="1" x14ac:dyDescent="0.35">
      <c r="T41011" s="246">
        <f t="shared" si="678"/>
        <v>0</v>
      </c>
    </row>
    <row r="41012" spans="20:20" ht="18.75" customHeight="1" x14ac:dyDescent="0.35">
      <c r="T41012" s="246">
        <f t="shared" si="678"/>
        <v>0</v>
      </c>
    </row>
    <row r="41013" spans="20:20" ht="18.75" customHeight="1" x14ac:dyDescent="0.35">
      <c r="T41013" s="246">
        <f t="shared" si="678"/>
        <v>0</v>
      </c>
    </row>
    <row r="41014" spans="20:20" ht="18.75" customHeight="1" x14ac:dyDescent="0.35">
      <c r="T41014" s="246">
        <f t="shared" si="678"/>
        <v>0</v>
      </c>
    </row>
    <row r="41015" spans="20:20" ht="18.75" customHeight="1" x14ac:dyDescent="0.35">
      <c r="T41015" s="246">
        <f t="shared" si="678"/>
        <v>0</v>
      </c>
    </row>
    <row r="41016" spans="20:20" ht="18.75" customHeight="1" x14ac:dyDescent="0.35">
      <c r="T41016" s="246">
        <f t="shared" si="678"/>
        <v>0</v>
      </c>
    </row>
    <row r="41017" spans="20:20" ht="18.75" customHeight="1" x14ac:dyDescent="0.35">
      <c r="T41017" s="246">
        <f t="shared" si="678"/>
        <v>0</v>
      </c>
    </row>
    <row r="41018" spans="20:20" ht="18.75" customHeight="1" x14ac:dyDescent="0.35">
      <c r="T41018" s="246">
        <f t="shared" si="678"/>
        <v>0</v>
      </c>
    </row>
    <row r="41019" spans="20:20" ht="18.75" customHeight="1" x14ac:dyDescent="0.35">
      <c r="T41019" s="246">
        <f t="shared" si="678"/>
        <v>0</v>
      </c>
    </row>
    <row r="41020" spans="20:20" ht="18.75" customHeight="1" x14ac:dyDescent="0.35">
      <c r="T41020" s="246">
        <f t="shared" ref="T41020:T41083" si="679">R41020*0.01</f>
        <v>0</v>
      </c>
    </row>
    <row r="41021" spans="20:20" ht="18.75" customHeight="1" x14ac:dyDescent="0.35">
      <c r="T41021" s="246">
        <f t="shared" si="679"/>
        <v>0</v>
      </c>
    </row>
    <row r="41022" spans="20:20" ht="18.75" customHeight="1" x14ac:dyDescent="0.35">
      <c r="T41022" s="246">
        <f t="shared" si="679"/>
        <v>0</v>
      </c>
    </row>
    <row r="41023" spans="20:20" ht="18.75" customHeight="1" x14ac:dyDescent="0.35">
      <c r="T41023" s="246">
        <f t="shared" si="679"/>
        <v>0</v>
      </c>
    </row>
    <row r="41024" spans="20:20" ht="18.75" customHeight="1" x14ac:dyDescent="0.35">
      <c r="T41024" s="246">
        <f t="shared" si="679"/>
        <v>0</v>
      </c>
    </row>
    <row r="41025" spans="20:20" ht="18.75" customHeight="1" x14ac:dyDescent="0.35">
      <c r="T41025" s="246">
        <f t="shared" si="679"/>
        <v>0</v>
      </c>
    </row>
    <row r="41026" spans="20:20" ht="18.75" customHeight="1" x14ac:dyDescent="0.35">
      <c r="T41026" s="246">
        <f t="shared" si="679"/>
        <v>0</v>
      </c>
    </row>
    <row r="41027" spans="20:20" ht="18.75" customHeight="1" x14ac:dyDescent="0.35">
      <c r="T41027" s="246">
        <f t="shared" si="679"/>
        <v>0</v>
      </c>
    </row>
    <row r="41028" spans="20:20" ht="18.75" customHeight="1" x14ac:dyDescent="0.35">
      <c r="T41028" s="246">
        <f t="shared" si="679"/>
        <v>0</v>
      </c>
    </row>
    <row r="41029" spans="20:20" ht="18.75" customHeight="1" x14ac:dyDescent="0.35">
      <c r="T41029" s="246">
        <f t="shared" si="679"/>
        <v>0</v>
      </c>
    </row>
    <row r="41030" spans="20:20" ht="18.75" customHeight="1" x14ac:dyDescent="0.35">
      <c r="T41030" s="246">
        <f t="shared" si="679"/>
        <v>0</v>
      </c>
    </row>
    <row r="41031" spans="20:20" ht="18.75" customHeight="1" x14ac:dyDescent="0.35">
      <c r="T41031" s="246">
        <f t="shared" si="679"/>
        <v>0</v>
      </c>
    </row>
    <row r="41032" spans="20:20" ht="18.75" customHeight="1" x14ac:dyDescent="0.35">
      <c r="T41032" s="246">
        <f t="shared" si="679"/>
        <v>0</v>
      </c>
    </row>
    <row r="41033" spans="20:20" ht="18.75" customHeight="1" x14ac:dyDescent="0.35">
      <c r="T41033" s="246">
        <f t="shared" si="679"/>
        <v>0</v>
      </c>
    </row>
    <row r="41034" spans="20:20" ht="18.75" customHeight="1" x14ac:dyDescent="0.35">
      <c r="T41034" s="246">
        <f t="shared" si="679"/>
        <v>0</v>
      </c>
    </row>
    <row r="41035" spans="20:20" ht="18.75" customHeight="1" x14ac:dyDescent="0.35">
      <c r="T41035" s="246">
        <f t="shared" si="679"/>
        <v>0</v>
      </c>
    </row>
    <row r="41036" spans="20:20" ht="18.75" customHeight="1" x14ac:dyDescent="0.35">
      <c r="T41036" s="246">
        <f t="shared" si="679"/>
        <v>0</v>
      </c>
    </row>
    <row r="41037" spans="20:20" ht="18.75" customHeight="1" x14ac:dyDescent="0.35">
      <c r="T41037" s="246">
        <f t="shared" si="679"/>
        <v>0</v>
      </c>
    </row>
    <row r="41038" spans="20:20" ht="18.75" customHeight="1" x14ac:dyDescent="0.35">
      <c r="T41038" s="246">
        <f t="shared" si="679"/>
        <v>0</v>
      </c>
    </row>
    <row r="41039" spans="20:20" ht="18.75" customHeight="1" x14ac:dyDescent="0.35">
      <c r="T41039" s="246">
        <f t="shared" si="679"/>
        <v>0</v>
      </c>
    </row>
    <row r="41040" spans="20:20" ht="18.75" customHeight="1" x14ac:dyDescent="0.35">
      <c r="T41040" s="246">
        <f t="shared" si="679"/>
        <v>0</v>
      </c>
    </row>
    <row r="41041" spans="20:20" ht="18.75" customHeight="1" x14ac:dyDescent="0.35">
      <c r="T41041" s="246">
        <f t="shared" si="679"/>
        <v>0</v>
      </c>
    </row>
    <row r="41042" spans="20:20" ht="18.75" customHeight="1" x14ac:dyDescent="0.35">
      <c r="T41042" s="246">
        <f t="shared" si="679"/>
        <v>0</v>
      </c>
    </row>
    <row r="41043" spans="20:20" ht="18.75" customHeight="1" x14ac:dyDescent="0.35">
      <c r="T41043" s="246">
        <f t="shared" si="679"/>
        <v>0</v>
      </c>
    </row>
    <row r="41044" spans="20:20" ht="18.75" customHeight="1" x14ac:dyDescent="0.35">
      <c r="T41044" s="246">
        <f t="shared" si="679"/>
        <v>0</v>
      </c>
    </row>
    <row r="41045" spans="20:20" ht="18.75" customHeight="1" x14ac:dyDescent="0.35">
      <c r="T41045" s="246">
        <f t="shared" si="679"/>
        <v>0</v>
      </c>
    </row>
    <row r="41046" spans="20:20" ht="18.75" customHeight="1" x14ac:dyDescent="0.35">
      <c r="T41046" s="246">
        <f t="shared" si="679"/>
        <v>0</v>
      </c>
    </row>
    <row r="41047" spans="20:20" ht="18.75" customHeight="1" x14ac:dyDescent="0.35">
      <c r="T41047" s="246">
        <f t="shared" si="679"/>
        <v>0</v>
      </c>
    </row>
    <row r="41048" spans="20:20" ht="18.75" customHeight="1" x14ac:dyDescent="0.35">
      <c r="T41048" s="246">
        <f t="shared" si="679"/>
        <v>0</v>
      </c>
    </row>
    <row r="41049" spans="20:20" ht="18.75" customHeight="1" x14ac:dyDescent="0.35">
      <c r="T41049" s="246">
        <f t="shared" si="679"/>
        <v>0</v>
      </c>
    </row>
    <row r="41050" spans="20:20" ht="18.75" customHeight="1" x14ac:dyDescent="0.35">
      <c r="T41050" s="246">
        <f t="shared" si="679"/>
        <v>0</v>
      </c>
    </row>
    <row r="41051" spans="20:20" ht="18.75" customHeight="1" x14ac:dyDescent="0.35">
      <c r="T41051" s="246">
        <f t="shared" si="679"/>
        <v>0</v>
      </c>
    </row>
    <row r="41052" spans="20:20" ht="18.75" customHeight="1" x14ac:dyDescent="0.35">
      <c r="T41052" s="246">
        <f t="shared" si="679"/>
        <v>0</v>
      </c>
    </row>
    <row r="41053" spans="20:20" ht="18.75" customHeight="1" x14ac:dyDescent="0.35">
      <c r="T41053" s="246">
        <f t="shared" si="679"/>
        <v>0</v>
      </c>
    </row>
    <row r="41054" spans="20:20" ht="18.75" customHeight="1" x14ac:dyDescent="0.35">
      <c r="T41054" s="246">
        <f t="shared" si="679"/>
        <v>0</v>
      </c>
    </row>
    <row r="41055" spans="20:20" ht="18.75" customHeight="1" x14ac:dyDescent="0.35">
      <c r="T41055" s="246">
        <f t="shared" si="679"/>
        <v>0</v>
      </c>
    </row>
    <row r="41056" spans="20:20" ht="18.75" customHeight="1" x14ac:dyDescent="0.35">
      <c r="T41056" s="246">
        <f t="shared" si="679"/>
        <v>0</v>
      </c>
    </row>
    <row r="41057" spans="20:20" ht="18.75" customHeight="1" x14ac:dyDescent="0.35">
      <c r="T41057" s="246">
        <f t="shared" si="679"/>
        <v>0</v>
      </c>
    </row>
    <row r="41058" spans="20:20" ht="18.75" customHeight="1" x14ac:dyDescent="0.35">
      <c r="T41058" s="246">
        <f t="shared" si="679"/>
        <v>0</v>
      </c>
    </row>
    <row r="41059" spans="20:20" ht="18.75" customHeight="1" x14ac:dyDescent="0.35">
      <c r="T41059" s="246">
        <f t="shared" si="679"/>
        <v>0</v>
      </c>
    </row>
    <row r="41060" spans="20:20" ht="18.75" customHeight="1" x14ac:dyDescent="0.35">
      <c r="T41060" s="246">
        <f t="shared" si="679"/>
        <v>0</v>
      </c>
    </row>
    <row r="41061" spans="20:20" ht="18.75" customHeight="1" x14ac:dyDescent="0.35">
      <c r="T41061" s="246">
        <f t="shared" si="679"/>
        <v>0</v>
      </c>
    </row>
    <row r="41062" spans="20:20" ht="18.75" customHeight="1" x14ac:dyDescent="0.35">
      <c r="T41062" s="246">
        <f t="shared" si="679"/>
        <v>0</v>
      </c>
    </row>
    <row r="41063" spans="20:20" ht="18.75" customHeight="1" x14ac:dyDescent="0.35">
      <c r="T41063" s="246">
        <f t="shared" si="679"/>
        <v>0</v>
      </c>
    </row>
    <row r="41064" spans="20:20" ht="18.75" customHeight="1" x14ac:dyDescent="0.35">
      <c r="T41064" s="246">
        <f t="shared" si="679"/>
        <v>0</v>
      </c>
    </row>
    <row r="41065" spans="20:20" ht="18.75" customHeight="1" x14ac:dyDescent="0.35">
      <c r="T41065" s="246">
        <f t="shared" si="679"/>
        <v>0</v>
      </c>
    </row>
    <row r="41066" spans="20:20" ht="18.75" customHeight="1" x14ac:dyDescent="0.35">
      <c r="T41066" s="246">
        <f t="shared" si="679"/>
        <v>0</v>
      </c>
    </row>
    <row r="41067" spans="20:20" ht="18.75" customHeight="1" x14ac:dyDescent="0.35">
      <c r="T41067" s="246">
        <f t="shared" si="679"/>
        <v>0</v>
      </c>
    </row>
    <row r="41068" spans="20:20" ht="18.75" customHeight="1" x14ac:dyDescent="0.35">
      <c r="T41068" s="246">
        <f t="shared" si="679"/>
        <v>0</v>
      </c>
    </row>
    <row r="41069" spans="20:20" ht="18.75" customHeight="1" x14ac:dyDescent="0.35">
      <c r="T41069" s="246">
        <f t="shared" si="679"/>
        <v>0</v>
      </c>
    </row>
    <row r="41070" spans="20:20" ht="18.75" customHeight="1" x14ac:dyDescent="0.35">
      <c r="T41070" s="246">
        <f t="shared" si="679"/>
        <v>0</v>
      </c>
    </row>
    <row r="41071" spans="20:20" ht="18.75" customHeight="1" x14ac:dyDescent="0.35">
      <c r="T41071" s="246">
        <f t="shared" si="679"/>
        <v>0</v>
      </c>
    </row>
    <row r="41072" spans="20:20" ht="18.75" customHeight="1" x14ac:dyDescent="0.35">
      <c r="T41072" s="246">
        <f t="shared" si="679"/>
        <v>0</v>
      </c>
    </row>
    <row r="41073" spans="20:20" ht="18.75" customHeight="1" x14ac:dyDescent="0.35">
      <c r="T41073" s="246">
        <f t="shared" si="679"/>
        <v>0</v>
      </c>
    </row>
    <row r="41074" spans="20:20" ht="18.75" customHeight="1" x14ac:dyDescent="0.35">
      <c r="T41074" s="246">
        <f t="shared" si="679"/>
        <v>0</v>
      </c>
    </row>
    <row r="41075" spans="20:20" ht="18.75" customHeight="1" x14ac:dyDescent="0.35">
      <c r="T41075" s="246">
        <f t="shared" si="679"/>
        <v>0</v>
      </c>
    </row>
    <row r="41076" spans="20:20" ht="18.75" customHeight="1" x14ac:dyDescent="0.35">
      <c r="T41076" s="246">
        <f t="shared" si="679"/>
        <v>0</v>
      </c>
    </row>
    <row r="41077" spans="20:20" ht="18.75" customHeight="1" x14ac:dyDescent="0.35">
      <c r="T41077" s="246">
        <f t="shared" si="679"/>
        <v>0</v>
      </c>
    </row>
    <row r="41078" spans="20:20" ht="18.75" customHeight="1" x14ac:dyDescent="0.35">
      <c r="T41078" s="246">
        <f t="shared" si="679"/>
        <v>0</v>
      </c>
    </row>
    <row r="41079" spans="20:20" ht="18.75" customHeight="1" x14ac:dyDescent="0.35">
      <c r="T41079" s="246">
        <f t="shared" si="679"/>
        <v>0</v>
      </c>
    </row>
    <row r="41080" spans="20:20" ht="18.75" customHeight="1" x14ac:dyDescent="0.35">
      <c r="T41080" s="246">
        <f t="shared" si="679"/>
        <v>0</v>
      </c>
    </row>
    <row r="41081" spans="20:20" ht="18.75" customHeight="1" x14ac:dyDescent="0.35">
      <c r="T41081" s="246">
        <f t="shared" si="679"/>
        <v>0</v>
      </c>
    </row>
    <row r="41082" spans="20:20" ht="18.75" customHeight="1" x14ac:dyDescent="0.35">
      <c r="T41082" s="246">
        <f t="shared" si="679"/>
        <v>0</v>
      </c>
    </row>
    <row r="41083" spans="20:20" ht="18.75" customHeight="1" x14ac:dyDescent="0.35">
      <c r="T41083" s="246">
        <f t="shared" si="679"/>
        <v>0</v>
      </c>
    </row>
    <row r="41084" spans="20:20" ht="18.75" customHeight="1" x14ac:dyDescent="0.35">
      <c r="T41084" s="246">
        <f t="shared" ref="T41084:T41147" si="680">R41084*0.01</f>
        <v>0</v>
      </c>
    </row>
    <row r="41085" spans="20:20" ht="18.75" customHeight="1" x14ac:dyDescent="0.35">
      <c r="T41085" s="246">
        <f t="shared" si="680"/>
        <v>0</v>
      </c>
    </row>
    <row r="41086" spans="20:20" ht="18.75" customHeight="1" x14ac:dyDescent="0.35">
      <c r="T41086" s="246">
        <f t="shared" si="680"/>
        <v>0</v>
      </c>
    </row>
    <row r="41087" spans="20:20" ht="18.75" customHeight="1" x14ac:dyDescent="0.35">
      <c r="T41087" s="246">
        <f t="shared" si="680"/>
        <v>0</v>
      </c>
    </row>
    <row r="41088" spans="20:20" ht="18.75" customHeight="1" x14ac:dyDescent="0.35">
      <c r="T41088" s="246">
        <f t="shared" si="680"/>
        <v>0</v>
      </c>
    </row>
    <row r="41089" spans="20:20" ht="18.75" customHeight="1" x14ac:dyDescent="0.35">
      <c r="T41089" s="246">
        <f t="shared" si="680"/>
        <v>0</v>
      </c>
    </row>
    <row r="41090" spans="20:20" ht="18.75" customHeight="1" x14ac:dyDescent="0.35">
      <c r="T41090" s="246">
        <f t="shared" si="680"/>
        <v>0</v>
      </c>
    </row>
    <row r="41091" spans="20:20" ht="18.75" customHeight="1" x14ac:dyDescent="0.35">
      <c r="T41091" s="246">
        <f t="shared" si="680"/>
        <v>0</v>
      </c>
    </row>
    <row r="41092" spans="20:20" ht="18.75" customHeight="1" x14ac:dyDescent="0.35">
      <c r="T41092" s="246">
        <f t="shared" si="680"/>
        <v>0</v>
      </c>
    </row>
    <row r="41093" spans="20:20" ht="18.75" customHeight="1" x14ac:dyDescent="0.35">
      <c r="T41093" s="246">
        <f t="shared" si="680"/>
        <v>0</v>
      </c>
    </row>
    <row r="41094" spans="20:20" ht="18.75" customHeight="1" x14ac:dyDescent="0.35">
      <c r="T41094" s="246">
        <f t="shared" si="680"/>
        <v>0</v>
      </c>
    </row>
    <row r="41095" spans="20:20" ht="18.75" customHeight="1" x14ac:dyDescent="0.35">
      <c r="T41095" s="246">
        <f t="shared" si="680"/>
        <v>0</v>
      </c>
    </row>
    <row r="41096" spans="20:20" ht="18.75" customHeight="1" x14ac:dyDescent="0.35">
      <c r="T41096" s="246">
        <f t="shared" si="680"/>
        <v>0</v>
      </c>
    </row>
    <row r="41097" spans="20:20" ht="18.75" customHeight="1" x14ac:dyDescent="0.35">
      <c r="T41097" s="246">
        <f t="shared" si="680"/>
        <v>0</v>
      </c>
    </row>
    <row r="41098" spans="20:20" ht="18.75" customHeight="1" x14ac:dyDescent="0.35">
      <c r="T41098" s="246">
        <f t="shared" si="680"/>
        <v>0</v>
      </c>
    </row>
    <row r="41099" spans="20:20" ht="18.75" customHeight="1" x14ac:dyDescent="0.35">
      <c r="T41099" s="246">
        <f t="shared" si="680"/>
        <v>0</v>
      </c>
    </row>
    <row r="41100" spans="20:20" ht="18.75" customHeight="1" x14ac:dyDescent="0.35">
      <c r="T41100" s="246">
        <f t="shared" si="680"/>
        <v>0</v>
      </c>
    </row>
    <row r="41101" spans="20:20" ht="18.75" customHeight="1" x14ac:dyDescent="0.35">
      <c r="T41101" s="246">
        <f t="shared" si="680"/>
        <v>0</v>
      </c>
    </row>
    <row r="41102" spans="20:20" ht="18.75" customHeight="1" x14ac:dyDescent="0.35">
      <c r="T41102" s="246">
        <f t="shared" si="680"/>
        <v>0</v>
      </c>
    </row>
    <row r="41103" spans="20:20" ht="18.75" customHeight="1" x14ac:dyDescent="0.35">
      <c r="T41103" s="246">
        <f t="shared" si="680"/>
        <v>0</v>
      </c>
    </row>
    <row r="41104" spans="20:20" ht="18.75" customHeight="1" x14ac:dyDescent="0.35">
      <c r="T41104" s="246">
        <f t="shared" si="680"/>
        <v>0</v>
      </c>
    </row>
    <row r="41105" spans="20:20" ht="18.75" customHeight="1" x14ac:dyDescent="0.35">
      <c r="T41105" s="246">
        <f t="shared" si="680"/>
        <v>0</v>
      </c>
    </row>
    <row r="41106" spans="20:20" ht="18.75" customHeight="1" x14ac:dyDescent="0.35">
      <c r="T41106" s="246">
        <f t="shared" si="680"/>
        <v>0</v>
      </c>
    </row>
    <row r="41107" spans="20:20" ht="18.75" customHeight="1" x14ac:dyDescent="0.35">
      <c r="T41107" s="246">
        <f t="shared" si="680"/>
        <v>0</v>
      </c>
    </row>
    <row r="41108" spans="20:20" ht="18.75" customHeight="1" x14ac:dyDescent="0.35">
      <c r="T41108" s="246">
        <f t="shared" si="680"/>
        <v>0</v>
      </c>
    </row>
    <row r="41109" spans="20:20" ht="18.75" customHeight="1" x14ac:dyDescent="0.35">
      <c r="T41109" s="246">
        <f t="shared" si="680"/>
        <v>0</v>
      </c>
    </row>
    <row r="41110" spans="20:20" ht="18.75" customHeight="1" x14ac:dyDescent="0.35">
      <c r="T41110" s="246">
        <f t="shared" si="680"/>
        <v>0</v>
      </c>
    </row>
    <row r="41111" spans="20:20" ht="18.75" customHeight="1" x14ac:dyDescent="0.35">
      <c r="T41111" s="246">
        <f t="shared" si="680"/>
        <v>0</v>
      </c>
    </row>
    <row r="41112" spans="20:20" ht="18.75" customHeight="1" x14ac:dyDescent="0.35">
      <c r="T41112" s="246">
        <f t="shared" si="680"/>
        <v>0</v>
      </c>
    </row>
    <row r="41113" spans="20:20" ht="18.75" customHeight="1" x14ac:dyDescent="0.35">
      <c r="T41113" s="246">
        <f t="shared" si="680"/>
        <v>0</v>
      </c>
    </row>
    <row r="41114" spans="20:20" ht="18.75" customHeight="1" x14ac:dyDescent="0.35">
      <c r="T41114" s="246">
        <f t="shared" si="680"/>
        <v>0</v>
      </c>
    </row>
    <row r="41115" spans="20:20" ht="18.75" customHeight="1" x14ac:dyDescent="0.35">
      <c r="T41115" s="246">
        <f t="shared" si="680"/>
        <v>0</v>
      </c>
    </row>
    <row r="41116" spans="20:20" ht="18.75" customHeight="1" x14ac:dyDescent="0.35">
      <c r="T41116" s="246">
        <f t="shared" si="680"/>
        <v>0</v>
      </c>
    </row>
    <row r="41117" spans="20:20" ht="18.75" customHeight="1" x14ac:dyDescent="0.35">
      <c r="T41117" s="246">
        <f t="shared" si="680"/>
        <v>0</v>
      </c>
    </row>
    <row r="41118" spans="20:20" ht="18.75" customHeight="1" x14ac:dyDescent="0.35">
      <c r="T41118" s="246">
        <f t="shared" si="680"/>
        <v>0</v>
      </c>
    </row>
    <row r="41119" spans="20:20" ht="18.75" customHeight="1" x14ac:dyDescent="0.35">
      <c r="T41119" s="246">
        <f t="shared" si="680"/>
        <v>0</v>
      </c>
    </row>
    <row r="41120" spans="20:20" ht="18.75" customHeight="1" x14ac:dyDescent="0.35">
      <c r="T41120" s="246">
        <f t="shared" si="680"/>
        <v>0</v>
      </c>
    </row>
    <row r="41121" spans="20:20" ht="18.75" customHeight="1" x14ac:dyDescent="0.35">
      <c r="T41121" s="246">
        <f t="shared" si="680"/>
        <v>0</v>
      </c>
    </row>
    <row r="41122" spans="20:20" ht="18.75" customHeight="1" x14ac:dyDescent="0.35">
      <c r="T41122" s="246">
        <f t="shared" si="680"/>
        <v>0</v>
      </c>
    </row>
    <row r="41123" spans="20:20" ht="18.75" customHeight="1" x14ac:dyDescent="0.35">
      <c r="T41123" s="246">
        <f t="shared" si="680"/>
        <v>0</v>
      </c>
    </row>
    <row r="41124" spans="20:20" ht="18.75" customHeight="1" x14ac:dyDescent="0.35">
      <c r="T41124" s="246">
        <f t="shared" si="680"/>
        <v>0</v>
      </c>
    </row>
    <row r="41125" spans="20:20" ht="18.75" customHeight="1" x14ac:dyDescent="0.35">
      <c r="T41125" s="246">
        <f t="shared" si="680"/>
        <v>0</v>
      </c>
    </row>
    <row r="41126" spans="20:20" ht="18.75" customHeight="1" x14ac:dyDescent="0.35">
      <c r="T41126" s="246">
        <f t="shared" si="680"/>
        <v>0</v>
      </c>
    </row>
    <row r="41127" spans="20:20" ht="18.75" customHeight="1" x14ac:dyDescent="0.35">
      <c r="T41127" s="246">
        <f t="shared" si="680"/>
        <v>0</v>
      </c>
    </row>
    <row r="41128" spans="20:20" ht="18.75" customHeight="1" x14ac:dyDescent="0.35">
      <c r="T41128" s="246">
        <f t="shared" si="680"/>
        <v>0</v>
      </c>
    </row>
    <row r="41129" spans="20:20" ht="18.75" customHeight="1" x14ac:dyDescent="0.35">
      <c r="T41129" s="246">
        <f t="shared" si="680"/>
        <v>0</v>
      </c>
    </row>
    <row r="41130" spans="20:20" ht="18.75" customHeight="1" x14ac:dyDescent="0.35">
      <c r="T41130" s="246">
        <f t="shared" si="680"/>
        <v>0</v>
      </c>
    </row>
    <row r="41131" spans="20:20" ht="18.75" customHeight="1" x14ac:dyDescent="0.35">
      <c r="T41131" s="246">
        <f t="shared" si="680"/>
        <v>0</v>
      </c>
    </row>
    <row r="41132" spans="20:20" ht="18.75" customHeight="1" x14ac:dyDescent="0.35">
      <c r="T41132" s="246">
        <f t="shared" si="680"/>
        <v>0</v>
      </c>
    </row>
    <row r="41133" spans="20:20" ht="18.75" customHeight="1" x14ac:dyDescent="0.35">
      <c r="T41133" s="246">
        <f t="shared" si="680"/>
        <v>0</v>
      </c>
    </row>
    <row r="41134" spans="20:20" ht="18.75" customHeight="1" x14ac:dyDescent="0.35">
      <c r="T41134" s="246">
        <f t="shared" si="680"/>
        <v>0</v>
      </c>
    </row>
    <row r="41135" spans="20:20" ht="18.75" customHeight="1" x14ac:dyDescent="0.35">
      <c r="T41135" s="246">
        <f t="shared" si="680"/>
        <v>0</v>
      </c>
    </row>
    <row r="41136" spans="20:20" ht="18.75" customHeight="1" x14ac:dyDescent="0.35">
      <c r="T41136" s="246">
        <f t="shared" si="680"/>
        <v>0</v>
      </c>
    </row>
    <row r="41137" spans="20:20" ht="18.75" customHeight="1" x14ac:dyDescent="0.35">
      <c r="T41137" s="246">
        <f t="shared" si="680"/>
        <v>0</v>
      </c>
    </row>
    <row r="41138" spans="20:20" ht="18.75" customHeight="1" x14ac:dyDescent="0.35">
      <c r="T41138" s="246">
        <f t="shared" si="680"/>
        <v>0</v>
      </c>
    </row>
    <row r="41139" spans="20:20" ht="18.75" customHeight="1" x14ac:dyDescent="0.35">
      <c r="T41139" s="246">
        <f t="shared" si="680"/>
        <v>0</v>
      </c>
    </row>
    <row r="41140" spans="20:20" ht="18.75" customHeight="1" x14ac:dyDescent="0.35">
      <c r="T41140" s="246">
        <f t="shared" si="680"/>
        <v>0</v>
      </c>
    </row>
    <row r="41141" spans="20:20" ht="18.75" customHeight="1" x14ac:dyDescent="0.35">
      <c r="T41141" s="246">
        <f t="shared" si="680"/>
        <v>0</v>
      </c>
    </row>
    <row r="41142" spans="20:20" ht="18.75" customHeight="1" x14ac:dyDescent="0.35">
      <c r="T41142" s="246">
        <f t="shared" si="680"/>
        <v>0</v>
      </c>
    </row>
    <row r="41143" spans="20:20" ht="18.75" customHeight="1" x14ac:dyDescent="0.35">
      <c r="T41143" s="246">
        <f t="shared" si="680"/>
        <v>0</v>
      </c>
    </row>
    <row r="41144" spans="20:20" ht="18.75" customHeight="1" x14ac:dyDescent="0.35">
      <c r="T41144" s="246">
        <f t="shared" si="680"/>
        <v>0</v>
      </c>
    </row>
    <row r="41145" spans="20:20" ht="18.75" customHeight="1" x14ac:dyDescent="0.35">
      <c r="T41145" s="246">
        <f t="shared" si="680"/>
        <v>0</v>
      </c>
    </row>
    <row r="41146" spans="20:20" ht="18.75" customHeight="1" x14ac:dyDescent="0.35">
      <c r="T41146" s="246">
        <f t="shared" si="680"/>
        <v>0</v>
      </c>
    </row>
    <row r="41147" spans="20:20" ht="18.75" customHeight="1" x14ac:dyDescent="0.35">
      <c r="T41147" s="246">
        <f t="shared" si="680"/>
        <v>0</v>
      </c>
    </row>
    <row r="41148" spans="20:20" ht="18.75" customHeight="1" x14ac:dyDescent="0.35">
      <c r="T41148" s="246">
        <f t="shared" ref="T41148:T41211" si="681">R41148*0.01</f>
        <v>0</v>
      </c>
    </row>
    <row r="41149" spans="20:20" ht="18.75" customHeight="1" x14ac:dyDescent="0.35">
      <c r="T41149" s="246">
        <f t="shared" si="681"/>
        <v>0</v>
      </c>
    </row>
    <row r="41150" spans="20:20" ht="18.75" customHeight="1" x14ac:dyDescent="0.35">
      <c r="T41150" s="246">
        <f t="shared" si="681"/>
        <v>0</v>
      </c>
    </row>
    <row r="41151" spans="20:20" ht="18.75" customHeight="1" x14ac:dyDescent="0.35">
      <c r="T41151" s="246">
        <f t="shared" si="681"/>
        <v>0</v>
      </c>
    </row>
    <row r="41152" spans="20:20" ht="18.75" customHeight="1" x14ac:dyDescent="0.35">
      <c r="T41152" s="246">
        <f t="shared" si="681"/>
        <v>0</v>
      </c>
    </row>
    <row r="41153" spans="20:20" ht="18.75" customHeight="1" x14ac:dyDescent="0.35">
      <c r="T41153" s="246">
        <f t="shared" si="681"/>
        <v>0</v>
      </c>
    </row>
    <row r="41154" spans="20:20" ht="18.75" customHeight="1" x14ac:dyDescent="0.35">
      <c r="T41154" s="246">
        <f t="shared" si="681"/>
        <v>0</v>
      </c>
    </row>
    <row r="41155" spans="20:20" ht="18.75" customHeight="1" x14ac:dyDescent="0.35">
      <c r="T41155" s="246">
        <f t="shared" si="681"/>
        <v>0</v>
      </c>
    </row>
    <row r="41156" spans="20:20" ht="18.75" customHeight="1" x14ac:dyDescent="0.35">
      <c r="T41156" s="246">
        <f t="shared" si="681"/>
        <v>0</v>
      </c>
    </row>
    <row r="41157" spans="20:20" ht="18.75" customHeight="1" x14ac:dyDescent="0.35">
      <c r="T41157" s="246">
        <f t="shared" si="681"/>
        <v>0</v>
      </c>
    </row>
    <row r="41158" spans="20:20" ht="18.75" customHeight="1" x14ac:dyDescent="0.35">
      <c r="T41158" s="246">
        <f t="shared" si="681"/>
        <v>0</v>
      </c>
    </row>
    <row r="41159" spans="20:20" ht="18.75" customHeight="1" x14ac:dyDescent="0.35">
      <c r="T41159" s="246">
        <f t="shared" si="681"/>
        <v>0</v>
      </c>
    </row>
    <row r="41160" spans="20:20" ht="18.75" customHeight="1" x14ac:dyDescent="0.35">
      <c r="T41160" s="246">
        <f t="shared" si="681"/>
        <v>0</v>
      </c>
    </row>
    <row r="41161" spans="20:20" ht="18.75" customHeight="1" x14ac:dyDescent="0.35">
      <c r="T41161" s="246">
        <f t="shared" si="681"/>
        <v>0</v>
      </c>
    </row>
    <row r="41162" spans="20:20" ht="18.75" customHeight="1" x14ac:dyDescent="0.35">
      <c r="T41162" s="246">
        <f t="shared" si="681"/>
        <v>0</v>
      </c>
    </row>
    <row r="41163" spans="20:20" ht="18.75" customHeight="1" x14ac:dyDescent="0.35">
      <c r="T41163" s="246">
        <f t="shared" si="681"/>
        <v>0</v>
      </c>
    </row>
    <row r="41164" spans="20:20" ht="18.75" customHeight="1" x14ac:dyDescent="0.35">
      <c r="T41164" s="246">
        <f t="shared" si="681"/>
        <v>0</v>
      </c>
    </row>
    <row r="41165" spans="20:20" ht="18.75" customHeight="1" x14ac:dyDescent="0.35">
      <c r="T41165" s="246">
        <f t="shared" si="681"/>
        <v>0</v>
      </c>
    </row>
    <row r="41166" spans="20:20" ht="18.75" customHeight="1" x14ac:dyDescent="0.35">
      <c r="T41166" s="246">
        <f t="shared" si="681"/>
        <v>0</v>
      </c>
    </row>
    <row r="41167" spans="20:20" ht="18.75" customHeight="1" x14ac:dyDescent="0.35">
      <c r="T41167" s="246">
        <f t="shared" si="681"/>
        <v>0</v>
      </c>
    </row>
    <row r="41168" spans="20:20" ht="18.75" customHeight="1" x14ac:dyDescent="0.35">
      <c r="T41168" s="246">
        <f t="shared" si="681"/>
        <v>0</v>
      </c>
    </row>
    <row r="41169" spans="20:20" ht="18.75" customHeight="1" x14ac:dyDescent="0.35">
      <c r="T41169" s="246">
        <f t="shared" si="681"/>
        <v>0</v>
      </c>
    </row>
    <row r="41170" spans="20:20" ht="18.75" customHeight="1" x14ac:dyDescent="0.35">
      <c r="T41170" s="246">
        <f t="shared" si="681"/>
        <v>0</v>
      </c>
    </row>
    <row r="41171" spans="20:20" ht="18.75" customHeight="1" x14ac:dyDescent="0.35">
      <c r="T41171" s="246">
        <f t="shared" si="681"/>
        <v>0</v>
      </c>
    </row>
    <row r="41172" spans="20:20" ht="18.75" customHeight="1" x14ac:dyDescent="0.35">
      <c r="T41172" s="246">
        <f t="shared" si="681"/>
        <v>0</v>
      </c>
    </row>
    <row r="41173" spans="20:20" ht="18.75" customHeight="1" x14ac:dyDescent="0.35">
      <c r="T41173" s="246">
        <f t="shared" si="681"/>
        <v>0</v>
      </c>
    </row>
    <row r="41174" spans="20:20" ht="18.75" customHeight="1" x14ac:dyDescent="0.35">
      <c r="T41174" s="246">
        <f t="shared" si="681"/>
        <v>0</v>
      </c>
    </row>
    <row r="41175" spans="20:20" ht="18.75" customHeight="1" x14ac:dyDescent="0.35">
      <c r="T41175" s="246">
        <f t="shared" si="681"/>
        <v>0</v>
      </c>
    </row>
    <row r="41176" spans="20:20" ht="18.75" customHeight="1" x14ac:dyDescent="0.35">
      <c r="T41176" s="246">
        <f t="shared" si="681"/>
        <v>0</v>
      </c>
    </row>
    <row r="41177" spans="20:20" ht="18.75" customHeight="1" x14ac:dyDescent="0.35">
      <c r="T41177" s="246">
        <f t="shared" si="681"/>
        <v>0</v>
      </c>
    </row>
    <row r="41178" spans="20:20" ht="18.75" customHeight="1" x14ac:dyDescent="0.35">
      <c r="T41178" s="246">
        <f t="shared" si="681"/>
        <v>0</v>
      </c>
    </row>
    <row r="41179" spans="20:20" ht="18.75" customHeight="1" x14ac:dyDescent="0.35">
      <c r="T41179" s="246">
        <f t="shared" si="681"/>
        <v>0</v>
      </c>
    </row>
    <row r="41180" spans="20:20" ht="18.75" customHeight="1" x14ac:dyDescent="0.35">
      <c r="T41180" s="246">
        <f t="shared" si="681"/>
        <v>0</v>
      </c>
    </row>
    <row r="41181" spans="20:20" ht="18.75" customHeight="1" x14ac:dyDescent="0.35">
      <c r="T41181" s="246">
        <f t="shared" si="681"/>
        <v>0</v>
      </c>
    </row>
    <row r="41182" spans="20:20" ht="18.75" customHeight="1" x14ac:dyDescent="0.35">
      <c r="T41182" s="246">
        <f t="shared" si="681"/>
        <v>0</v>
      </c>
    </row>
    <row r="41183" spans="20:20" ht="18.75" customHeight="1" x14ac:dyDescent="0.35">
      <c r="T41183" s="246">
        <f t="shared" si="681"/>
        <v>0</v>
      </c>
    </row>
    <row r="41184" spans="20:20" ht="18.75" customHeight="1" x14ac:dyDescent="0.35">
      <c r="T41184" s="246">
        <f t="shared" si="681"/>
        <v>0</v>
      </c>
    </row>
    <row r="41185" spans="20:20" ht="18.75" customHeight="1" x14ac:dyDescent="0.35">
      <c r="T41185" s="246">
        <f t="shared" si="681"/>
        <v>0</v>
      </c>
    </row>
    <row r="41186" spans="20:20" ht="18.75" customHeight="1" x14ac:dyDescent="0.35">
      <c r="T41186" s="246">
        <f t="shared" si="681"/>
        <v>0</v>
      </c>
    </row>
    <row r="41187" spans="20:20" ht="18.75" customHeight="1" x14ac:dyDescent="0.35">
      <c r="T41187" s="246">
        <f t="shared" si="681"/>
        <v>0</v>
      </c>
    </row>
    <row r="41188" spans="20:20" ht="18.75" customHeight="1" x14ac:dyDescent="0.35">
      <c r="T41188" s="246">
        <f t="shared" si="681"/>
        <v>0</v>
      </c>
    </row>
    <row r="41189" spans="20:20" ht="18.75" customHeight="1" x14ac:dyDescent="0.35">
      <c r="T41189" s="246">
        <f t="shared" si="681"/>
        <v>0</v>
      </c>
    </row>
    <row r="41190" spans="20:20" ht="18.75" customHeight="1" x14ac:dyDescent="0.35">
      <c r="T41190" s="246">
        <f t="shared" si="681"/>
        <v>0</v>
      </c>
    </row>
    <row r="41191" spans="20:20" ht="18.75" customHeight="1" x14ac:dyDescent="0.35">
      <c r="T41191" s="246">
        <f t="shared" si="681"/>
        <v>0</v>
      </c>
    </row>
    <row r="41192" spans="20:20" ht="18.75" customHeight="1" x14ac:dyDescent="0.35">
      <c r="T41192" s="246">
        <f t="shared" si="681"/>
        <v>0</v>
      </c>
    </row>
    <row r="41193" spans="20:20" ht="18.75" customHeight="1" x14ac:dyDescent="0.35">
      <c r="T41193" s="246">
        <f t="shared" si="681"/>
        <v>0</v>
      </c>
    </row>
    <row r="41194" spans="20:20" ht="18.75" customHeight="1" x14ac:dyDescent="0.35">
      <c r="T41194" s="246">
        <f t="shared" si="681"/>
        <v>0</v>
      </c>
    </row>
    <row r="41195" spans="20:20" ht="18.75" customHeight="1" x14ac:dyDescent="0.35">
      <c r="T41195" s="246">
        <f t="shared" si="681"/>
        <v>0</v>
      </c>
    </row>
    <row r="41196" spans="20:20" ht="18.75" customHeight="1" x14ac:dyDescent="0.35">
      <c r="T41196" s="246">
        <f t="shared" si="681"/>
        <v>0</v>
      </c>
    </row>
    <row r="41197" spans="20:20" ht="18.75" customHeight="1" x14ac:dyDescent="0.35">
      <c r="T41197" s="246">
        <f t="shared" si="681"/>
        <v>0</v>
      </c>
    </row>
    <row r="41198" spans="20:20" ht="18.75" customHeight="1" x14ac:dyDescent="0.35">
      <c r="T41198" s="246">
        <f t="shared" si="681"/>
        <v>0</v>
      </c>
    </row>
    <row r="41199" spans="20:20" ht="18.75" customHeight="1" x14ac:dyDescent="0.35">
      <c r="T41199" s="246">
        <f t="shared" si="681"/>
        <v>0</v>
      </c>
    </row>
    <row r="41200" spans="20:20" ht="18.75" customHeight="1" x14ac:dyDescent="0.35">
      <c r="T41200" s="246">
        <f t="shared" si="681"/>
        <v>0</v>
      </c>
    </row>
    <row r="41201" spans="20:20" ht="18.75" customHeight="1" x14ac:dyDescent="0.35">
      <c r="T41201" s="246">
        <f t="shared" si="681"/>
        <v>0</v>
      </c>
    </row>
    <row r="41202" spans="20:20" ht="18.75" customHeight="1" x14ac:dyDescent="0.35">
      <c r="T41202" s="246">
        <f t="shared" si="681"/>
        <v>0</v>
      </c>
    </row>
    <row r="41203" spans="20:20" ht="18.75" customHeight="1" x14ac:dyDescent="0.35">
      <c r="T41203" s="246">
        <f t="shared" si="681"/>
        <v>0</v>
      </c>
    </row>
    <row r="41204" spans="20:20" ht="18.75" customHeight="1" x14ac:dyDescent="0.35">
      <c r="T41204" s="246">
        <f t="shared" si="681"/>
        <v>0</v>
      </c>
    </row>
    <row r="41205" spans="20:20" ht="18.75" customHeight="1" x14ac:dyDescent="0.35">
      <c r="T41205" s="246">
        <f t="shared" si="681"/>
        <v>0</v>
      </c>
    </row>
    <row r="41206" spans="20:20" ht="18.75" customHeight="1" x14ac:dyDescent="0.35">
      <c r="T41206" s="246">
        <f t="shared" si="681"/>
        <v>0</v>
      </c>
    </row>
    <row r="41207" spans="20:20" ht="18.75" customHeight="1" x14ac:dyDescent="0.35">
      <c r="T41207" s="246">
        <f t="shared" si="681"/>
        <v>0</v>
      </c>
    </row>
    <row r="41208" spans="20:20" ht="18.75" customHeight="1" x14ac:dyDescent="0.35">
      <c r="T41208" s="246">
        <f t="shared" si="681"/>
        <v>0</v>
      </c>
    </row>
    <row r="41209" spans="20:20" ht="18.75" customHeight="1" x14ac:dyDescent="0.35">
      <c r="T41209" s="246">
        <f t="shared" si="681"/>
        <v>0</v>
      </c>
    </row>
    <row r="41210" spans="20:20" ht="18.75" customHeight="1" x14ac:dyDescent="0.35">
      <c r="T41210" s="246">
        <f t="shared" si="681"/>
        <v>0</v>
      </c>
    </row>
    <row r="41211" spans="20:20" ht="18.75" customHeight="1" x14ac:dyDescent="0.35">
      <c r="T41211" s="246">
        <f t="shared" si="681"/>
        <v>0</v>
      </c>
    </row>
    <row r="41212" spans="20:20" ht="18.75" customHeight="1" x14ac:dyDescent="0.35">
      <c r="T41212" s="246">
        <f t="shared" ref="T41212:T41275" si="682">R41212*0.01</f>
        <v>0</v>
      </c>
    </row>
    <row r="41213" spans="20:20" ht="18.75" customHeight="1" x14ac:dyDescent="0.35">
      <c r="T41213" s="246">
        <f t="shared" si="682"/>
        <v>0</v>
      </c>
    </row>
    <row r="41214" spans="20:20" ht="18.75" customHeight="1" x14ac:dyDescent="0.35">
      <c r="T41214" s="246">
        <f t="shared" si="682"/>
        <v>0</v>
      </c>
    </row>
    <row r="41215" spans="20:20" ht="18.75" customHeight="1" x14ac:dyDescent="0.35">
      <c r="T41215" s="246">
        <f t="shared" si="682"/>
        <v>0</v>
      </c>
    </row>
    <row r="41216" spans="20:20" ht="18.75" customHeight="1" x14ac:dyDescent="0.35">
      <c r="T41216" s="246">
        <f t="shared" si="682"/>
        <v>0</v>
      </c>
    </row>
    <row r="41217" spans="20:20" ht="18.75" customHeight="1" x14ac:dyDescent="0.35">
      <c r="T41217" s="246">
        <f t="shared" si="682"/>
        <v>0</v>
      </c>
    </row>
    <row r="41218" spans="20:20" ht="18.75" customHeight="1" x14ac:dyDescent="0.35">
      <c r="T41218" s="246">
        <f t="shared" si="682"/>
        <v>0</v>
      </c>
    </row>
    <row r="41219" spans="20:20" ht="18.75" customHeight="1" x14ac:dyDescent="0.35">
      <c r="T41219" s="246">
        <f t="shared" si="682"/>
        <v>0</v>
      </c>
    </row>
    <row r="41220" spans="20:20" ht="18.75" customHeight="1" x14ac:dyDescent="0.35">
      <c r="T41220" s="246">
        <f t="shared" si="682"/>
        <v>0</v>
      </c>
    </row>
    <row r="41221" spans="20:20" ht="18.75" customHeight="1" x14ac:dyDescent="0.35">
      <c r="T41221" s="246">
        <f t="shared" si="682"/>
        <v>0</v>
      </c>
    </row>
    <row r="41222" spans="20:20" ht="18.75" customHeight="1" x14ac:dyDescent="0.35">
      <c r="T41222" s="246">
        <f t="shared" si="682"/>
        <v>0</v>
      </c>
    </row>
    <row r="41223" spans="20:20" ht="18.75" customHeight="1" x14ac:dyDescent="0.35">
      <c r="T41223" s="246">
        <f t="shared" si="682"/>
        <v>0</v>
      </c>
    </row>
    <row r="41224" spans="20:20" ht="18.75" customHeight="1" x14ac:dyDescent="0.35">
      <c r="T41224" s="246">
        <f t="shared" si="682"/>
        <v>0</v>
      </c>
    </row>
    <row r="41225" spans="20:20" ht="18.75" customHeight="1" x14ac:dyDescent="0.35">
      <c r="T41225" s="246">
        <f t="shared" si="682"/>
        <v>0</v>
      </c>
    </row>
    <row r="41226" spans="20:20" ht="18.75" customHeight="1" x14ac:dyDescent="0.35">
      <c r="T41226" s="246">
        <f t="shared" si="682"/>
        <v>0</v>
      </c>
    </row>
    <row r="41227" spans="20:20" ht="18.75" customHeight="1" x14ac:dyDescent="0.35">
      <c r="T41227" s="246">
        <f t="shared" si="682"/>
        <v>0</v>
      </c>
    </row>
    <row r="41228" spans="20:20" ht="18.75" customHeight="1" x14ac:dyDescent="0.35">
      <c r="T41228" s="246">
        <f t="shared" si="682"/>
        <v>0</v>
      </c>
    </row>
    <row r="41229" spans="20:20" ht="18.75" customHeight="1" x14ac:dyDescent="0.35">
      <c r="T41229" s="246">
        <f t="shared" si="682"/>
        <v>0</v>
      </c>
    </row>
    <row r="41230" spans="20:20" ht="18.75" customHeight="1" x14ac:dyDescent="0.35">
      <c r="T41230" s="246">
        <f t="shared" si="682"/>
        <v>0</v>
      </c>
    </row>
    <row r="41231" spans="20:20" ht="18.75" customHeight="1" x14ac:dyDescent="0.35">
      <c r="T41231" s="246">
        <f t="shared" si="682"/>
        <v>0</v>
      </c>
    </row>
    <row r="41232" spans="20:20" ht="18.75" customHeight="1" x14ac:dyDescent="0.35">
      <c r="T41232" s="246">
        <f t="shared" si="682"/>
        <v>0</v>
      </c>
    </row>
    <row r="41233" spans="20:20" ht="18.75" customHeight="1" x14ac:dyDescent="0.35">
      <c r="T41233" s="246">
        <f t="shared" si="682"/>
        <v>0</v>
      </c>
    </row>
    <row r="41234" spans="20:20" ht="18.75" customHeight="1" x14ac:dyDescent="0.35">
      <c r="T41234" s="246">
        <f t="shared" si="682"/>
        <v>0</v>
      </c>
    </row>
    <row r="41235" spans="20:20" ht="18.75" customHeight="1" x14ac:dyDescent="0.35">
      <c r="T41235" s="246">
        <f t="shared" si="682"/>
        <v>0</v>
      </c>
    </row>
    <row r="41236" spans="20:20" ht="18.75" customHeight="1" x14ac:dyDescent="0.35">
      <c r="T41236" s="246">
        <f t="shared" si="682"/>
        <v>0</v>
      </c>
    </row>
    <row r="41237" spans="20:20" ht="18.75" customHeight="1" x14ac:dyDescent="0.35">
      <c r="T41237" s="246">
        <f t="shared" si="682"/>
        <v>0</v>
      </c>
    </row>
    <row r="41238" spans="20:20" ht="18.75" customHeight="1" x14ac:dyDescent="0.35">
      <c r="T41238" s="246">
        <f t="shared" si="682"/>
        <v>0</v>
      </c>
    </row>
    <row r="41239" spans="20:20" ht="18.75" customHeight="1" x14ac:dyDescent="0.35">
      <c r="T41239" s="246">
        <f t="shared" si="682"/>
        <v>0</v>
      </c>
    </row>
    <row r="41240" spans="20:20" ht="18.75" customHeight="1" x14ac:dyDescent="0.35">
      <c r="T41240" s="246">
        <f t="shared" si="682"/>
        <v>0</v>
      </c>
    </row>
    <row r="41241" spans="20:20" ht="18.75" customHeight="1" x14ac:dyDescent="0.35">
      <c r="T41241" s="246">
        <f t="shared" si="682"/>
        <v>0</v>
      </c>
    </row>
    <row r="41242" spans="20:20" ht="18.75" customHeight="1" x14ac:dyDescent="0.35">
      <c r="T41242" s="246">
        <f t="shared" si="682"/>
        <v>0</v>
      </c>
    </row>
    <row r="41243" spans="20:20" ht="18.75" customHeight="1" x14ac:dyDescent="0.35">
      <c r="T41243" s="246">
        <f t="shared" si="682"/>
        <v>0</v>
      </c>
    </row>
    <row r="41244" spans="20:20" ht="18.75" customHeight="1" x14ac:dyDescent="0.35">
      <c r="T41244" s="246">
        <f t="shared" si="682"/>
        <v>0</v>
      </c>
    </row>
    <row r="41245" spans="20:20" ht="18.75" customHeight="1" x14ac:dyDescent="0.35">
      <c r="T41245" s="246">
        <f t="shared" si="682"/>
        <v>0</v>
      </c>
    </row>
    <row r="41246" spans="20:20" ht="18.75" customHeight="1" x14ac:dyDescent="0.35">
      <c r="T41246" s="246">
        <f t="shared" si="682"/>
        <v>0</v>
      </c>
    </row>
    <row r="41247" spans="20:20" ht="18.75" customHeight="1" x14ac:dyDescent="0.35">
      <c r="T41247" s="246">
        <f t="shared" si="682"/>
        <v>0</v>
      </c>
    </row>
    <row r="41248" spans="20:20" ht="18.75" customHeight="1" x14ac:dyDescent="0.35">
      <c r="T41248" s="246">
        <f t="shared" si="682"/>
        <v>0</v>
      </c>
    </row>
    <row r="41249" spans="20:20" ht="18.75" customHeight="1" x14ac:dyDescent="0.35">
      <c r="T41249" s="246">
        <f t="shared" si="682"/>
        <v>0</v>
      </c>
    </row>
    <row r="41250" spans="20:20" ht="18.75" customHeight="1" x14ac:dyDescent="0.35">
      <c r="T41250" s="246">
        <f t="shared" si="682"/>
        <v>0</v>
      </c>
    </row>
    <row r="41251" spans="20:20" ht="18.75" customHeight="1" x14ac:dyDescent="0.35">
      <c r="T41251" s="246">
        <f t="shared" si="682"/>
        <v>0</v>
      </c>
    </row>
    <row r="41252" spans="20:20" ht="18.75" customHeight="1" x14ac:dyDescent="0.35">
      <c r="T41252" s="246">
        <f t="shared" si="682"/>
        <v>0</v>
      </c>
    </row>
    <row r="41253" spans="20:20" ht="18.75" customHeight="1" x14ac:dyDescent="0.35">
      <c r="T41253" s="246">
        <f t="shared" si="682"/>
        <v>0</v>
      </c>
    </row>
    <row r="41254" spans="20:20" ht="18.75" customHeight="1" x14ac:dyDescent="0.35">
      <c r="T41254" s="246">
        <f t="shared" si="682"/>
        <v>0</v>
      </c>
    </row>
    <row r="41255" spans="20:20" ht="18.75" customHeight="1" x14ac:dyDescent="0.35">
      <c r="T41255" s="246">
        <f t="shared" si="682"/>
        <v>0</v>
      </c>
    </row>
    <row r="41256" spans="20:20" ht="18.75" customHeight="1" x14ac:dyDescent="0.35">
      <c r="T41256" s="246">
        <f t="shared" si="682"/>
        <v>0</v>
      </c>
    </row>
    <row r="41257" spans="20:20" ht="18.75" customHeight="1" x14ac:dyDescent="0.35">
      <c r="T41257" s="246">
        <f t="shared" si="682"/>
        <v>0</v>
      </c>
    </row>
    <row r="41258" spans="20:20" ht="18.75" customHeight="1" x14ac:dyDescent="0.35">
      <c r="T41258" s="246">
        <f t="shared" si="682"/>
        <v>0</v>
      </c>
    </row>
    <row r="41259" spans="20:20" ht="18.75" customHeight="1" x14ac:dyDescent="0.35">
      <c r="T41259" s="246">
        <f t="shared" si="682"/>
        <v>0</v>
      </c>
    </row>
    <row r="41260" spans="20:20" ht="18.75" customHeight="1" x14ac:dyDescent="0.35">
      <c r="T41260" s="246">
        <f t="shared" si="682"/>
        <v>0</v>
      </c>
    </row>
    <row r="41261" spans="20:20" ht="18.75" customHeight="1" x14ac:dyDescent="0.35">
      <c r="T41261" s="246">
        <f t="shared" si="682"/>
        <v>0</v>
      </c>
    </row>
    <row r="41262" spans="20:20" ht="18.75" customHeight="1" x14ac:dyDescent="0.35">
      <c r="T41262" s="246">
        <f t="shared" si="682"/>
        <v>0</v>
      </c>
    </row>
    <row r="41263" spans="20:20" ht="18.75" customHeight="1" x14ac:dyDescent="0.35">
      <c r="T41263" s="246">
        <f t="shared" si="682"/>
        <v>0</v>
      </c>
    </row>
    <row r="41264" spans="20:20" ht="18.75" customHeight="1" x14ac:dyDescent="0.35">
      <c r="T41264" s="246">
        <f t="shared" si="682"/>
        <v>0</v>
      </c>
    </row>
    <row r="41265" spans="20:20" ht="18.75" customHeight="1" x14ac:dyDescent="0.35">
      <c r="T41265" s="246">
        <f t="shared" si="682"/>
        <v>0</v>
      </c>
    </row>
    <row r="41266" spans="20:20" ht="18.75" customHeight="1" x14ac:dyDescent="0.35">
      <c r="T41266" s="246">
        <f t="shared" si="682"/>
        <v>0</v>
      </c>
    </row>
    <row r="41267" spans="20:20" ht="18.75" customHeight="1" x14ac:dyDescent="0.35">
      <c r="T41267" s="246">
        <f t="shared" si="682"/>
        <v>0</v>
      </c>
    </row>
    <row r="41268" spans="20:20" ht="18.75" customHeight="1" x14ac:dyDescent="0.35">
      <c r="T41268" s="246">
        <f t="shared" si="682"/>
        <v>0</v>
      </c>
    </row>
    <row r="41269" spans="20:20" ht="18.75" customHeight="1" x14ac:dyDescent="0.35">
      <c r="T41269" s="246">
        <f t="shared" si="682"/>
        <v>0</v>
      </c>
    </row>
    <row r="41270" spans="20:20" ht="18.75" customHeight="1" x14ac:dyDescent="0.35">
      <c r="T41270" s="246">
        <f t="shared" si="682"/>
        <v>0</v>
      </c>
    </row>
    <row r="41271" spans="20:20" ht="18.75" customHeight="1" x14ac:dyDescent="0.35">
      <c r="T41271" s="246">
        <f t="shared" si="682"/>
        <v>0</v>
      </c>
    </row>
    <row r="41272" spans="20:20" ht="18.75" customHeight="1" x14ac:dyDescent="0.35">
      <c r="T41272" s="246">
        <f t="shared" si="682"/>
        <v>0</v>
      </c>
    </row>
    <row r="41273" spans="20:20" ht="18.75" customHeight="1" x14ac:dyDescent="0.35">
      <c r="T41273" s="246">
        <f t="shared" si="682"/>
        <v>0</v>
      </c>
    </row>
    <row r="41274" spans="20:20" ht="18.75" customHeight="1" x14ac:dyDescent="0.35">
      <c r="T41274" s="246">
        <f t="shared" si="682"/>
        <v>0</v>
      </c>
    </row>
    <row r="41275" spans="20:20" ht="18.75" customHeight="1" x14ac:dyDescent="0.35">
      <c r="T41275" s="246">
        <f t="shared" si="682"/>
        <v>0</v>
      </c>
    </row>
    <row r="41276" spans="20:20" ht="18.75" customHeight="1" x14ac:dyDescent="0.35">
      <c r="T41276" s="246">
        <f t="shared" ref="T41276:T41339" si="683">R41276*0.01</f>
        <v>0</v>
      </c>
    </row>
    <row r="41277" spans="20:20" ht="18.75" customHeight="1" x14ac:dyDescent="0.35">
      <c r="T41277" s="246">
        <f t="shared" si="683"/>
        <v>0</v>
      </c>
    </row>
    <row r="41278" spans="20:20" ht="18.75" customHeight="1" x14ac:dyDescent="0.35">
      <c r="T41278" s="246">
        <f t="shared" si="683"/>
        <v>0</v>
      </c>
    </row>
    <row r="41279" spans="20:20" ht="18.75" customHeight="1" x14ac:dyDescent="0.35">
      <c r="T41279" s="246">
        <f t="shared" si="683"/>
        <v>0</v>
      </c>
    </row>
    <row r="41280" spans="20:20" ht="18.75" customHeight="1" x14ac:dyDescent="0.35">
      <c r="T41280" s="246">
        <f t="shared" si="683"/>
        <v>0</v>
      </c>
    </row>
    <row r="41281" spans="20:20" ht="18.75" customHeight="1" x14ac:dyDescent="0.35">
      <c r="T41281" s="246">
        <f t="shared" si="683"/>
        <v>0</v>
      </c>
    </row>
    <row r="41282" spans="20:20" ht="18.75" customHeight="1" x14ac:dyDescent="0.35">
      <c r="T41282" s="246">
        <f t="shared" si="683"/>
        <v>0</v>
      </c>
    </row>
    <row r="41283" spans="20:20" ht="18.75" customHeight="1" x14ac:dyDescent="0.35">
      <c r="T41283" s="246">
        <f t="shared" si="683"/>
        <v>0</v>
      </c>
    </row>
    <row r="41284" spans="20:20" ht="18.75" customHeight="1" x14ac:dyDescent="0.35">
      <c r="T41284" s="246">
        <f t="shared" si="683"/>
        <v>0</v>
      </c>
    </row>
    <row r="41285" spans="20:20" ht="18.75" customHeight="1" x14ac:dyDescent="0.35">
      <c r="T41285" s="246">
        <f t="shared" si="683"/>
        <v>0</v>
      </c>
    </row>
    <row r="41286" spans="20:20" ht="18.75" customHeight="1" x14ac:dyDescent="0.35">
      <c r="T41286" s="246">
        <f t="shared" si="683"/>
        <v>0</v>
      </c>
    </row>
    <row r="41287" spans="20:20" ht="18.75" customHeight="1" x14ac:dyDescent="0.35">
      <c r="T41287" s="246">
        <f t="shared" si="683"/>
        <v>0</v>
      </c>
    </row>
    <row r="41288" spans="20:20" ht="18.75" customHeight="1" x14ac:dyDescent="0.35">
      <c r="T41288" s="246">
        <f t="shared" si="683"/>
        <v>0</v>
      </c>
    </row>
    <row r="41289" spans="20:20" ht="18.75" customHeight="1" x14ac:dyDescent="0.35">
      <c r="T41289" s="246">
        <f t="shared" si="683"/>
        <v>0</v>
      </c>
    </row>
    <row r="41290" spans="20:20" ht="18.75" customHeight="1" x14ac:dyDescent="0.35">
      <c r="T41290" s="246">
        <f t="shared" si="683"/>
        <v>0</v>
      </c>
    </row>
    <row r="41291" spans="20:20" ht="18.75" customHeight="1" x14ac:dyDescent="0.35">
      <c r="T41291" s="246">
        <f t="shared" si="683"/>
        <v>0</v>
      </c>
    </row>
    <row r="41292" spans="20:20" ht="18.75" customHeight="1" x14ac:dyDescent="0.35">
      <c r="T41292" s="246">
        <f t="shared" si="683"/>
        <v>0</v>
      </c>
    </row>
    <row r="41293" spans="20:20" ht="18.75" customHeight="1" x14ac:dyDescent="0.35">
      <c r="T41293" s="246">
        <f t="shared" si="683"/>
        <v>0</v>
      </c>
    </row>
    <row r="41294" spans="20:20" ht="18.75" customHeight="1" x14ac:dyDescent="0.35">
      <c r="T41294" s="246">
        <f t="shared" si="683"/>
        <v>0</v>
      </c>
    </row>
    <row r="41295" spans="20:20" ht="18.75" customHeight="1" x14ac:dyDescent="0.35">
      <c r="T41295" s="246">
        <f t="shared" si="683"/>
        <v>0</v>
      </c>
    </row>
    <row r="41296" spans="20:20" ht="18.75" customHeight="1" x14ac:dyDescent="0.35">
      <c r="T41296" s="246">
        <f t="shared" si="683"/>
        <v>0</v>
      </c>
    </row>
    <row r="41297" spans="20:20" ht="18.75" customHeight="1" x14ac:dyDescent="0.35">
      <c r="T41297" s="246">
        <f t="shared" si="683"/>
        <v>0</v>
      </c>
    </row>
    <row r="41298" spans="20:20" ht="18.75" customHeight="1" x14ac:dyDescent="0.35">
      <c r="T41298" s="246">
        <f t="shared" si="683"/>
        <v>0</v>
      </c>
    </row>
    <row r="41299" spans="20:20" ht="18.75" customHeight="1" x14ac:dyDescent="0.35">
      <c r="T41299" s="246">
        <f t="shared" si="683"/>
        <v>0</v>
      </c>
    </row>
    <row r="41300" spans="20:20" ht="18.75" customHeight="1" x14ac:dyDescent="0.35">
      <c r="T41300" s="246">
        <f t="shared" si="683"/>
        <v>0</v>
      </c>
    </row>
    <row r="41301" spans="20:20" ht="18.75" customHeight="1" x14ac:dyDescent="0.35">
      <c r="T41301" s="246">
        <f t="shared" si="683"/>
        <v>0</v>
      </c>
    </row>
    <row r="41302" spans="20:20" ht="18.75" customHeight="1" x14ac:dyDescent="0.35">
      <c r="T41302" s="246">
        <f t="shared" si="683"/>
        <v>0</v>
      </c>
    </row>
    <row r="41303" spans="20:20" ht="18.75" customHeight="1" x14ac:dyDescent="0.35">
      <c r="T41303" s="246">
        <f t="shared" si="683"/>
        <v>0</v>
      </c>
    </row>
    <row r="41304" spans="20:20" ht="18.75" customHeight="1" x14ac:dyDescent="0.35">
      <c r="T41304" s="246">
        <f t="shared" si="683"/>
        <v>0</v>
      </c>
    </row>
    <row r="41305" spans="20:20" ht="18.75" customHeight="1" x14ac:dyDescent="0.35">
      <c r="T41305" s="246">
        <f t="shared" si="683"/>
        <v>0</v>
      </c>
    </row>
    <row r="41306" spans="20:20" ht="18.75" customHeight="1" x14ac:dyDescent="0.35">
      <c r="T41306" s="246">
        <f t="shared" si="683"/>
        <v>0</v>
      </c>
    </row>
    <row r="41307" spans="20:20" ht="18.75" customHeight="1" x14ac:dyDescent="0.35">
      <c r="T41307" s="246">
        <f t="shared" si="683"/>
        <v>0</v>
      </c>
    </row>
    <row r="41308" spans="20:20" ht="18.75" customHeight="1" x14ac:dyDescent="0.35">
      <c r="T41308" s="246">
        <f t="shared" si="683"/>
        <v>0</v>
      </c>
    </row>
    <row r="41309" spans="20:20" ht="18.75" customHeight="1" x14ac:dyDescent="0.35">
      <c r="T41309" s="246">
        <f t="shared" si="683"/>
        <v>0</v>
      </c>
    </row>
    <row r="41310" spans="20:20" ht="18.75" customHeight="1" x14ac:dyDescent="0.35">
      <c r="T41310" s="246">
        <f t="shared" si="683"/>
        <v>0</v>
      </c>
    </row>
    <row r="41311" spans="20:20" ht="18.75" customHeight="1" x14ac:dyDescent="0.35">
      <c r="T41311" s="246">
        <f t="shared" si="683"/>
        <v>0</v>
      </c>
    </row>
    <row r="41312" spans="20:20" ht="18.75" customHeight="1" x14ac:dyDescent="0.35">
      <c r="T41312" s="246">
        <f t="shared" si="683"/>
        <v>0</v>
      </c>
    </row>
    <row r="41313" spans="20:20" ht="18.75" customHeight="1" x14ac:dyDescent="0.35">
      <c r="T41313" s="246">
        <f t="shared" si="683"/>
        <v>0</v>
      </c>
    </row>
    <row r="41314" spans="20:20" ht="18.75" customHeight="1" x14ac:dyDescent="0.35">
      <c r="T41314" s="246">
        <f t="shared" si="683"/>
        <v>0</v>
      </c>
    </row>
    <row r="41315" spans="20:20" ht="18.75" customHeight="1" x14ac:dyDescent="0.35">
      <c r="T41315" s="246">
        <f t="shared" si="683"/>
        <v>0</v>
      </c>
    </row>
    <row r="41316" spans="20:20" ht="18.75" customHeight="1" x14ac:dyDescent="0.35">
      <c r="T41316" s="246">
        <f t="shared" si="683"/>
        <v>0</v>
      </c>
    </row>
    <row r="41317" spans="20:20" ht="18.75" customHeight="1" x14ac:dyDescent="0.35">
      <c r="T41317" s="246">
        <f t="shared" si="683"/>
        <v>0</v>
      </c>
    </row>
    <row r="41318" spans="20:20" ht="18.75" customHeight="1" x14ac:dyDescent="0.35">
      <c r="T41318" s="246">
        <f t="shared" si="683"/>
        <v>0</v>
      </c>
    </row>
    <row r="41319" spans="20:20" ht="18.75" customHeight="1" x14ac:dyDescent="0.35">
      <c r="T41319" s="246">
        <f t="shared" si="683"/>
        <v>0</v>
      </c>
    </row>
    <row r="41320" spans="20:20" ht="18.75" customHeight="1" x14ac:dyDescent="0.35">
      <c r="T41320" s="246">
        <f t="shared" si="683"/>
        <v>0</v>
      </c>
    </row>
    <row r="41321" spans="20:20" ht="18.75" customHeight="1" x14ac:dyDescent="0.35">
      <c r="T41321" s="246">
        <f t="shared" si="683"/>
        <v>0</v>
      </c>
    </row>
    <row r="41322" spans="20:20" ht="18.75" customHeight="1" x14ac:dyDescent="0.35">
      <c r="T41322" s="246">
        <f t="shared" si="683"/>
        <v>0</v>
      </c>
    </row>
    <row r="41323" spans="20:20" ht="18.75" customHeight="1" x14ac:dyDescent="0.35">
      <c r="T41323" s="246">
        <f t="shared" si="683"/>
        <v>0</v>
      </c>
    </row>
    <row r="41324" spans="20:20" ht="18.75" customHeight="1" x14ac:dyDescent="0.35">
      <c r="T41324" s="246">
        <f t="shared" si="683"/>
        <v>0</v>
      </c>
    </row>
    <row r="41325" spans="20:20" ht="18.75" customHeight="1" x14ac:dyDescent="0.35">
      <c r="T41325" s="246">
        <f t="shared" si="683"/>
        <v>0</v>
      </c>
    </row>
    <row r="41326" spans="20:20" ht="18.75" customHeight="1" x14ac:dyDescent="0.35">
      <c r="T41326" s="246">
        <f t="shared" si="683"/>
        <v>0</v>
      </c>
    </row>
    <row r="41327" spans="20:20" ht="18.75" customHeight="1" x14ac:dyDescent="0.35">
      <c r="T41327" s="246">
        <f t="shared" si="683"/>
        <v>0</v>
      </c>
    </row>
    <row r="41328" spans="20:20" ht="18.75" customHeight="1" x14ac:dyDescent="0.35">
      <c r="T41328" s="246">
        <f t="shared" si="683"/>
        <v>0</v>
      </c>
    </row>
    <row r="41329" spans="20:20" ht="18.75" customHeight="1" x14ac:dyDescent="0.35">
      <c r="T41329" s="246">
        <f t="shared" si="683"/>
        <v>0</v>
      </c>
    </row>
    <row r="41330" spans="20:20" ht="18.75" customHeight="1" x14ac:dyDescent="0.35">
      <c r="T41330" s="246">
        <f t="shared" si="683"/>
        <v>0</v>
      </c>
    </row>
    <row r="41331" spans="20:20" ht="18.75" customHeight="1" x14ac:dyDescent="0.35">
      <c r="T41331" s="246">
        <f t="shared" si="683"/>
        <v>0</v>
      </c>
    </row>
    <row r="41332" spans="20:20" ht="18.75" customHeight="1" x14ac:dyDescent="0.35">
      <c r="T41332" s="246">
        <f t="shared" si="683"/>
        <v>0</v>
      </c>
    </row>
    <row r="41333" spans="20:20" ht="18.75" customHeight="1" x14ac:dyDescent="0.35">
      <c r="T41333" s="246">
        <f t="shared" si="683"/>
        <v>0</v>
      </c>
    </row>
    <row r="41334" spans="20:20" ht="18.75" customHeight="1" x14ac:dyDescent="0.35">
      <c r="T41334" s="246">
        <f t="shared" si="683"/>
        <v>0</v>
      </c>
    </row>
    <row r="41335" spans="20:20" ht="18.75" customHeight="1" x14ac:dyDescent="0.35">
      <c r="T41335" s="246">
        <f t="shared" si="683"/>
        <v>0</v>
      </c>
    </row>
    <row r="41336" spans="20:20" ht="18.75" customHeight="1" x14ac:dyDescent="0.35">
      <c r="T41336" s="246">
        <f t="shared" si="683"/>
        <v>0</v>
      </c>
    </row>
    <row r="41337" spans="20:20" ht="18.75" customHeight="1" x14ac:dyDescent="0.35">
      <c r="T41337" s="246">
        <f t="shared" si="683"/>
        <v>0</v>
      </c>
    </row>
    <row r="41338" spans="20:20" ht="18.75" customHeight="1" x14ac:dyDescent="0.35">
      <c r="T41338" s="246">
        <f t="shared" si="683"/>
        <v>0</v>
      </c>
    </row>
    <row r="41339" spans="20:20" ht="18.75" customHeight="1" x14ac:dyDescent="0.35">
      <c r="T41339" s="246">
        <f t="shared" si="683"/>
        <v>0</v>
      </c>
    </row>
    <row r="41340" spans="20:20" ht="18.75" customHeight="1" x14ac:dyDescent="0.35">
      <c r="T41340" s="246">
        <f t="shared" ref="T41340:T41403" si="684">R41340*0.01</f>
        <v>0</v>
      </c>
    </row>
    <row r="41341" spans="20:20" ht="18.75" customHeight="1" x14ac:dyDescent="0.35">
      <c r="T41341" s="246">
        <f t="shared" si="684"/>
        <v>0</v>
      </c>
    </row>
    <row r="41342" spans="20:20" ht="18.75" customHeight="1" x14ac:dyDescent="0.35">
      <c r="T41342" s="246">
        <f t="shared" si="684"/>
        <v>0</v>
      </c>
    </row>
    <row r="41343" spans="20:20" ht="18.75" customHeight="1" x14ac:dyDescent="0.35">
      <c r="T41343" s="246">
        <f t="shared" si="684"/>
        <v>0</v>
      </c>
    </row>
    <row r="41344" spans="20:20" ht="18.75" customHeight="1" x14ac:dyDescent="0.35">
      <c r="T41344" s="246">
        <f t="shared" si="684"/>
        <v>0</v>
      </c>
    </row>
    <row r="41345" spans="20:20" ht="18.75" customHeight="1" x14ac:dyDescent="0.35">
      <c r="T41345" s="246">
        <f t="shared" si="684"/>
        <v>0</v>
      </c>
    </row>
    <row r="41346" spans="20:20" ht="18.75" customHeight="1" x14ac:dyDescent="0.35">
      <c r="T41346" s="246">
        <f t="shared" si="684"/>
        <v>0</v>
      </c>
    </row>
    <row r="41347" spans="20:20" ht="18.75" customHeight="1" x14ac:dyDescent="0.35">
      <c r="T41347" s="246">
        <f t="shared" si="684"/>
        <v>0</v>
      </c>
    </row>
    <row r="41348" spans="20:20" ht="18.75" customHeight="1" x14ac:dyDescent="0.35">
      <c r="T41348" s="246">
        <f t="shared" si="684"/>
        <v>0</v>
      </c>
    </row>
    <row r="41349" spans="20:20" ht="18.75" customHeight="1" x14ac:dyDescent="0.35">
      <c r="T41349" s="246">
        <f t="shared" si="684"/>
        <v>0</v>
      </c>
    </row>
    <row r="41350" spans="20:20" ht="18.75" customHeight="1" x14ac:dyDescent="0.35">
      <c r="T41350" s="246">
        <f t="shared" si="684"/>
        <v>0</v>
      </c>
    </row>
    <row r="41351" spans="20:20" ht="18.75" customHeight="1" x14ac:dyDescent="0.35">
      <c r="T41351" s="246">
        <f t="shared" si="684"/>
        <v>0</v>
      </c>
    </row>
    <row r="41352" spans="20:20" ht="18.75" customHeight="1" x14ac:dyDescent="0.35">
      <c r="T41352" s="246">
        <f t="shared" si="684"/>
        <v>0</v>
      </c>
    </row>
    <row r="41353" spans="20:20" ht="18.75" customHeight="1" x14ac:dyDescent="0.35">
      <c r="T41353" s="246">
        <f t="shared" si="684"/>
        <v>0</v>
      </c>
    </row>
    <row r="41354" spans="20:20" ht="18.75" customHeight="1" x14ac:dyDescent="0.35">
      <c r="T41354" s="246">
        <f t="shared" si="684"/>
        <v>0</v>
      </c>
    </row>
    <row r="41355" spans="20:20" ht="18.75" customHeight="1" x14ac:dyDescent="0.35">
      <c r="T41355" s="246">
        <f t="shared" si="684"/>
        <v>0</v>
      </c>
    </row>
    <row r="41356" spans="20:20" ht="18.75" customHeight="1" x14ac:dyDescent="0.35">
      <c r="T41356" s="246">
        <f t="shared" si="684"/>
        <v>0</v>
      </c>
    </row>
    <row r="41357" spans="20:20" ht="18.75" customHeight="1" x14ac:dyDescent="0.35">
      <c r="T41357" s="246">
        <f t="shared" si="684"/>
        <v>0</v>
      </c>
    </row>
    <row r="41358" spans="20:20" ht="18.75" customHeight="1" x14ac:dyDescent="0.35">
      <c r="T41358" s="246">
        <f t="shared" si="684"/>
        <v>0</v>
      </c>
    </row>
    <row r="41359" spans="20:20" ht="18.75" customHeight="1" x14ac:dyDescent="0.35">
      <c r="T41359" s="246">
        <f t="shared" si="684"/>
        <v>0</v>
      </c>
    </row>
    <row r="41360" spans="20:20" ht="18.75" customHeight="1" x14ac:dyDescent="0.35">
      <c r="T41360" s="246">
        <f t="shared" si="684"/>
        <v>0</v>
      </c>
    </row>
    <row r="41361" spans="20:20" ht="18.75" customHeight="1" x14ac:dyDescent="0.35">
      <c r="T41361" s="246">
        <f t="shared" si="684"/>
        <v>0</v>
      </c>
    </row>
    <row r="41362" spans="20:20" ht="18.75" customHeight="1" x14ac:dyDescent="0.35">
      <c r="T41362" s="246">
        <f t="shared" si="684"/>
        <v>0</v>
      </c>
    </row>
    <row r="41363" spans="20:20" ht="18.75" customHeight="1" x14ac:dyDescent="0.35">
      <c r="T41363" s="246">
        <f t="shared" si="684"/>
        <v>0</v>
      </c>
    </row>
    <row r="41364" spans="20:20" ht="18.75" customHeight="1" x14ac:dyDescent="0.35">
      <c r="T41364" s="246">
        <f t="shared" si="684"/>
        <v>0</v>
      </c>
    </row>
    <row r="41365" spans="20:20" ht="18.75" customHeight="1" x14ac:dyDescent="0.35">
      <c r="T41365" s="246">
        <f t="shared" si="684"/>
        <v>0</v>
      </c>
    </row>
    <row r="41366" spans="20:20" ht="18.75" customHeight="1" x14ac:dyDescent="0.35">
      <c r="T41366" s="246">
        <f t="shared" si="684"/>
        <v>0</v>
      </c>
    </row>
    <row r="41367" spans="20:20" ht="18.75" customHeight="1" x14ac:dyDescent="0.35">
      <c r="T41367" s="246">
        <f t="shared" si="684"/>
        <v>0</v>
      </c>
    </row>
    <row r="41368" spans="20:20" ht="18.75" customHeight="1" x14ac:dyDescent="0.35">
      <c r="T41368" s="246">
        <f t="shared" si="684"/>
        <v>0</v>
      </c>
    </row>
    <row r="41369" spans="20:20" ht="18.75" customHeight="1" x14ac:dyDescent="0.35">
      <c r="T41369" s="246">
        <f t="shared" si="684"/>
        <v>0</v>
      </c>
    </row>
    <row r="41370" spans="20:20" ht="18.75" customHeight="1" x14ac:dyDescent="0.35">
      <c r="T41370" s="246">
        <f t="shared" si="684"/>
        <v>0</v>
      </c>
    </row>
    <row r="41371" spans="20:20" ht="18.75" customHeight="1" x14ac:dyDescent="0.35">
      <c r="T41371" s="246">
        <f t="shared" si="684"/>
        <v>0</v>
      </c>
    </row>
    <row r="41372" spans="20:20" ht="18.75" customHeight="1" x14ac:dyDescent="0.35">
      <c r="T41372" s="246">
        <f t="shared" si="684"/>
        <v>0</v>
      </c>
    </row>
    <row r="41373" spans="20:20" ht="18.75" customHeight="1" x14ac:dyDescent="0.35">
      <c r="T41373" s="246">
        <f t="shared" si="684"/>
        <v>0</v>
      </c>
    </row>
    <row r="41374" spans="20:20" ht="18.75" customHeight="1" x14ac:dyDescent="0.35">
      <c r="T41374" s="246">
        <f t="shared" si="684"/>
        <v>0</v>
      </c>
    </row>
    <row r="41375" spans="20:20" ht="18.75" customHeight="1" x14ac:dyDescent="0.35">
      <c r="T41375" s="246">
        <f t="shared" si="684"/>
        <v>0</v>
      </c>
    </row>
    <row r="41376" spans="20:20" ht="18.75" customHeight="1" x14ac:dyDescent="0.35">
      <c r="T41376" s="246">
        <f t="shared" si="684"/>
        <v>0</v>
      </c>
    </row>
    <row r="41377" spans="20:20" ht="18.75" customHeight="1" x14ac:dyDescent="0.35">
      <c r="T41377" s="246">
        <f t="shared" si="684"/>
        <v>0</v>
      </c>
    </row>
    <row r="41378" spans="20:20" ht="18.75" customHeight="1" x14ac:dyDescent="0.35">
      <c r="T41378" s="246">
        <f t="shared" si="684"/>
        <v>0</v>
      </c>
    </row>
    <row r="41379" spans="20:20" ht="18.75" customHeight="1" x14ac:dyDescent="0.35">
      <c r="T41379" s="246">
        <f t="shared" si="684"/>
        <v>0</v>
      </c>
    </row>
    <row r="41380" spans="20:20" ht="18.75" customHeight="1" x14ac:dyDescent="0.35">
      <c r="T41380" s="246">
        <f t="shared" si="684"/>
        <v>0</v>
      </c>
    </row>
    <row r="41381" spans="20:20" ht="18.75" customHeight="1" x14ac:dyDescent="0.35">
      <c r="T41381" s="246">
        <f t="shared" si="684"/>
        <v>0</v>
      </c>
    </row>
    <row r="41382" spans="20:20" ht="18.75" customHeight="1" x14ac:dyDescent="0.35">
      <c r="T41382" s="246">
        <f t="shared" si="684"/>
        <v>0</v>
      </c>
    </row>
    <row r="41383" spans="20:20" ht="18.75" customHeight="1" x14ac:dyDescent="0.35">
      <c r="T41383" s="246">
        <f t="shared" si="684"/>
        <v>0</v>
      </c>
    </row>
    <row r="41384" spans="20:20" ht="18.75" customHeight="1" x14ac:dyDescent="0.35">
      <c r="T41384" s="246">
        <f t="shared" si="684"/>
        <v>0</v>
      </c>
    </row>
    <row r="41385" spans="20:20" ht="18.75" customHeight="1" x14ac:dyDescent="0.35">
      <c r="T41385" s="246">
        <f t="shared" si="684"/>
        <v>0</v>
      </c>
    </row>
    <row r="41386" spans="20:20" ht="18.75" customHeight="1" x14ac:dyDescent="0.35">
      <c r="T41386" s="246">
        <f t="shared" si="684"/>
        <v>0</v>
      </c>
    </row>
    <row r="41387" spans="20:20" ht="18.75" customHeight="1" x14ac:dyDescent="0.35">
      <c r="T41387" s="246">
        <f t="shared" si="684"/>
        <v>0</v>
      </c>
    </row>
    <row r="41388" spans="20:20" ht="18.75" customHeight="1" x14ac:dyDescent="0.35">
      <c r="T41388" s="246">
        <f t="shared" si="684"/>
        <v>0</v>
      </c>
    </row>
    <row r="41389" spans="20:20" ht="18.75" customHeight="1" x14ac:dyDescent="0.35">
      <c r="T41389" s="246">
        <f t="shared" si="684"/>
        <v>0</v>
      </c>
    </row>
    <row r="41390" spans="20:20" ht="18.75" customHeight="1" x14ac:dyDescent="0.35">
      <c r="T41390" s="246">
        <f t="shared" si="684"/>
        <v>0</v>
      </c>
    </row>
    <row r="41391" spans="20:20" ht="18.75" customHeight="1" x14ac:dyDescent="0.35">
      <c r="T41391" s="246">
        <f t="shared" si="684"/>
        <v>0</v>
      </c>
    </row>
    <row r="41392" spans="20:20" ht="18.75" customHeight="1" x14ac:dyDescent="0.35">
      <c r="T41392" s="246">
        <f t="shared" si="684"/>
        <v>0</v>
      </c>
    </row>
    <row r="41393" spans="20:20" ht="18.75" customHeight="1" x14ac:dyDescent="0.35">
      <c r="T41393" s="246">
        <f t="shared" si="684"/>
        <v>0</v>
      </c>
    </row>
    <row r="41394" spans="20:20" ht="18.75" customHeight="1" x14ac:dyDescent="0.35">
      <c r="T41394" s="246">
        <f t="shared" si="684"/>
        <v>0</v>
      </c>
    </row>
    <row r="41395" spans="20:20" ht="18.75" customHeight="1" x14ac:dyDescent="0.35">
      <c r="T41395" s="246">
        <f t="shared" si="684"/>
        <v>0</v>
      </c>
    </row>
    <row r="41396" spans="20:20" ht="18.75" customHeight="1" x14ac:dyDescent="0.35">
      <c r="T41396" s="246">
        <f t="shared" si="684"/>
        <v>0</v>
      </c>
    </row>
    <row r="41397" spans="20:20" ht="18.75" customHeight="1" x14ac:dyDescent="0.35">
      <c r="T41397" s="246">
        <f t="shared" si="684"/>
        <v>0</v>
      </c>
    </row>
    <row r="41398" spans="20:20" ht="18.75" customHeight="1" x14ac:dyDescent="0.35">
      <c r="T41398" s="246">
        <f t="shared" si="684"/>
        <v>0</v>
      </c>
    </row>
    <row r="41399" spans="20:20" ht="18.75" customHeight="1" x14ac:dyDescent="0.35">
      <c r="T41399" s="246">
        <f t="shared" si="684"/>
        <v>0</v>
      </c>
    </row>
    <row r="41400" spans="20:20" ht="18.75" customHeight="1" x14ac:dyDescent="0.35">
      <c r="T41400" s="246">
        <f t="shared" si="684"/>
        <v>0</v>
      </c>
    </row>
    <row r="41401" spans="20:20" ht="18.75" customHeight="1" x14ac:dyDescent="0.35">
      <c r="T41401" s="246">
        <f t="shared" si="684"/>
        <v>0</v>
      </c>
    </row>
    <row r="41402" spans="20:20" ht="18.75" customHeight="1" x14ac:dyDescent="0.35">
      <c r="T41402" s="246">
        <f t="shared" si="684"/>
        <v>0</v>
      </c>
    </row>
    <row r="41403" spans="20:20" ht="18.75" customHeight="1" x14ac:dyDescent="0.35">
      <c r="T41403" s="246">
        <f t="shared" si="684"/>
        <v>0</v>
      </c>
    </row>
    <row r="41404" spans="20:20" ht="18.75" customHeight="1" x14ac:dyDescent="0.35">
      <c r="T41404" s="246">
        <f t="shared" ref="T41404:T41467" si="685">R41404*0.01</f>
        <v>0</v>
      </c>
    </row>
    <row r="41405" spans="20:20" ht="18.75" customHeight="1" x14ac:dyDescent="0.35">
      <c r="T41405" s="246">
        <f t="shared" si="685"/>
        <v>0</v>
      </c>
    </row>
    <row r="41406" spans="20:20" ht="18.75" customHeight="1" x14ac:dyDescent="0.35">
      <c r="T41406" s="246">
        <f t="shared" si="685"/>
        <v>0</v>
      </c>
    </row>
    <row r="41407" spans="20:20" ht="18.75" customHeight="1" x14ac:dyDescent="0.35">
      <c r="T41407" s="246">
        <f t="shared" si="685"/>
        <v>0</v>
      </c>
    </row>
    <row r="41408" spans="20:20" ht="18.75" customHeight="1" x14ac:dyDescent="0.35">
      <c r="T41408" s="246">
        <f t="shared" si="685"/>
        <v>0</v>
      </c>
    </row>
    <row r="41409" spans="20:20" ht="18.75" customHeight="1" x14ac:dyDescent="0.35">
      <c r="T41409" s="246">
        <f t="shared" si="685"/>
        <v>0</v>
      </c>
    </row>
    <row r="41410" spans="20:20" ht="18.75" customHeight="1" x14ac:dyDescent="0.35">
      <c r="T41410" s="246">
        <f t="shared" si="685"/>
        <v>0</v>
      </c>
    </row>
    <row r="41411" spans="20:20" ht="18.75" customHeight="1" x14ac:dyDescent="0.35">
      <c r="T41411" s="246">
        <f t="shared" si="685"/>
        <v>0</v>
      </c>
    </row>
    <row r="41412" spans="20:20" ht="18.75" customHeight="1" x14ac:dyDescent="0.35">
      <c r="T41412" s="246">
        <f t="shared" si="685"/>
        <v>0</v>
      </c>
    </row>
    <row r="41413" spans="20:20" ht="18.75" customHeight="1" x14ac:dyDescent="0.35">
      <c r="T41413" s="246">
        <f t="shared" si="685"/>
        <v>0</v>
      </c>
    </row>
    <row r="41414" spans="20:20" ht="18.75" customHeight="1" x14ac:dyDescent="0.35">
      <c r="T41414" s="246">
        <f t="shared" si="685"/>
        <v>0</v>
      </c>
    </row>
    <row r="41415" spans="20:20" ht="18.75" customHeight="1" x14ac:dyDescent="0.35">
      <c r="T41415" s="246">
        <f t="shared" si="685"/>
        <v>0</v>
      </c>
    </row>
    <row r="41416" spans="20:20" ht="18.75" customHeight="1" x14ac:dyDescent="0.35">
      <c r="T41416" s="246">
        <f t="shared" si="685"/>
        <v>0</v>
      </c>
    </row>
    <row r="41417" spans="20:20" ht="18.75" customHeight="1" x14ac:dyDescent="0.35">
      <c r="T41417" s="246">
        <f t="shared" si="685"/>
        <v>0</v>
      </c>
    </row>
    <row r="41418" spans="20:20" ht="18.75" customHeight="1" x14ac:dyDescent="0.35">
      <c r="T41418" s="246">
        <f t="shared" si="685"/>
        <v>0</v>
      </c>
    </row>
    <row r="41419" spans="20:20" ht="18.75" customHeight="1" x14ac:dyDescent="0.35">
      <c r="T41419" s="246">
        <f t="shared" si="685"/>
        <v>0</v>
      </c>
    </row>
    <row r="41420" spans="20:20" ht="18.75" customHeight="1" x14ac:dyDescent="0.35">
      <c r="T41420" s="246">
        <f t="shared" si="685"/>
        <v>0</v>
      </c>
    </row>
    <row r="41421" spans="20:20" ht="18.75" customHeight="1" x14ac:dyDescent="0.35">
      <c r="T41421" s="246">
        <f t="shared" si="685"/>
        <v>0</v>
      </c>
    </row>
    <row r="41422" spans="20:20" ht="18.75" customHeight="1" x14ac:dyDescent="0.35">
      <c r="T41422" s="246">
        <f t="shared" si="685"/>
        <v>0</v>
      </c>
    </row>
    <row r="41423" spans="20:20" ht="18.75" customHeight="1" x14ac:dyDescent="0.35">
      <c r="T41423" s="246">
        <f t="shared" si="685"/>
        <v>0</v>
      </c>
    </row>
    <row r="41424" spans="20:20" ht="18.75" customHeight="1" x14ac:dyDescent="0.35">
      <c r="T41424" s="246">
        <f t="shared" si="685"/>
        <v>0</v>
      </c>
    </row>
    <row r="41425" spans="20:20" ht="18.75" customHeight="1" x14ac:dyDescent="0.35">
      <c r="T41425" s="246">
        <f t="shared" si="685"/>
        <v>0</v>
      </c>
    </row>
    <row r="41426" spans="20:20" ht="18.75" customHeight="1" x14ac:dyDescent="0.35">
      <c r="T41426" s="246">
        <f t="shared" si="685"/>
        <v>0</v>
      </c>
    </row>
    <row r="41427" spans="20:20" ht="18.75" customHeight="1" x14ac:dyDescent="0.35">
      <c r="T41427" s="246">
        <f t="shared" si="685"/>
        <v>0</v>
      </c>
    </row>
    <row r="41428" spans="20:20" ht="18.75" customHeight="1" x14ac:dyDescent="0.35">
      <c r="T41428" s="246">
        <f t="shared" si="685"/>
        <v>0</v>
      </c>
    </row>
    <row r="41429" spans="20:20" ht="18.75" customHeight="1" x14ac:dyDescent="0.35">
      <c r="T41429" s="246">
        <f t="shared" si="685"/>
        <v>0</v>
      </c>
    </row>
    <row r="41430" spans="20:20" ht="18.75" customHeight="1" x14ac:dyDescent="0.35">
      <c r="T41430" s="246">
        <f t="shared" si="685"/>
        <v>0</v>
      </c>
    </row>
    <row r="41431" spans="20:20" ht="18.75" customHeight="1" x14ac:dyDescent="0.35">
      <c r="T41431" s="246">
        <f t="shared" si="685"/>
        <v>0</v>
      </c>
    </row>
    <row r="41432" spans="20:20" ht="18.75" customHeight="1" x14ac:dyDescent="0.35">
      <c r="T41432" s="246">
        <f t="shared" si="685"/>
        <v>0</v>
      </c>
    </row>
    <row r="41433" spans="20:20" ht="18.75" customHeight="1" x14ac:dyDescent="0.35">
      <c r="T41433" s="246">
        <f t="shared" si="685"/>
        <v>0</v>
      </c>
    </row>
    <row r="41434" spans="20:20" ht="18.75" customHeight="1" x14ac:dyDescent="0.35">
      <c r="T41434" s="246">
        <f t="shared" si="685"/>
        <v>0</v>
      </c>
    </row>
    <row r="41435" spans="20:20" ht="18.75" customHeight="1" x14ac:dyDescent="0.35">
      <c r="T41435" s="246">
        <f t="shared" si="685"/>
        <v>0</v>
      </c>
    </row>
    <row r="41436" spans="20:20" ht="18.75" customHeight="1" x14ac:dyDescent="0.35">
      <c r="T41436" s="246">
        <f t="shared" si="685"/>
        <v>0</v>
      </c>
    </row>
    <row r="41437" spans="20:20" ht="18.75" customHeight="1" x14ac:dyDescent="0.35">
      <c r="T41437" s="246">
        <f t="shared" si="685"/>
        <v>0</v>
      </c>
    </row>
    <row r="41438" spans="20:20" ht="18.75" customHeight="1" x14ac:dyDescent="0.35">
      <c r="T41438" s="246">
        <f t="shared" si="685"/>
        <v>0</v>
      </c>
    </row>
    <row r="41439" spans="20:20" ht="18.75" customHeight="1" x14ac:dyDescent="0.35">
      <c r="T41439" s="246">
        <f t="shared" si="685"/>
        <v>0</v>
      </c>
    </row>
    <row r="41440" spans="20:20" ht="18.75" customHeight="1" x14ac:dyDescent="0.35">
      <c r="T41440" s="246">
        <f t="shared" si="685"/>
        <v>0</v>
      </c>
    </row>
    <row r="41441" spans="20:20" ht="18.75" customHeight="1" x14ac:dyDescent="0.35">
      <c r="T41441" s="246">
        <f t="shared" si="685"/>
        <v>0</v>
      </c>
    </row>
    <row r="41442" spans="20:20" ht="18.75" customHeight="1" x14ac:dyDescent="0.35">
      <c r="T41442" s="246">
        <f t="shared" si="685"/>
        <v>0</v>
      </c>
    </row>
    <row r="41443" spans="20:20" ht="18.75" customHeight="1" x14ac:dyDescent="0.35">
      <c r="T41443" s="246">
        <f t="shared" si="685"/>
        <v>0</v>
      </c>
    </row>
    <row r="41444" spans="20:20" ht="18.75" customHeight="1" x14ac:dyDescent="0.35">
      <c r="T41444" s="246">
        <f t="shared" si="685"/>
        <v>0</v>
      </c>
    </row>
    <row r="41445" spans="20:20" ht="18.75" customHeight="1" x14ac:dyDescent="0.35">
      <c r="T41445" s="246">
        <f t="shared" si="685"/>
        <v>0</v>
      </c>
    </row>
    <row r="41446" spans="20:20" ht="18.75" customHeight="1" x14ac:dyDescent="0.35">
      <c r="T41446" s="246">
        <f t="shared" si="685"/>
        <v>0</v>
      </c>
    </row>
    <row r="41447" spans="20:20" ht="18.75" customHeight="1" x14ac:dyDescent="0.35">
      <c r="T41447" s="246">
        <f t="shared" si="685"/>
        <v>0</v>
      </c>
    </row>
    <row r="41448" spans="20:20" ht="18.75" customHeight="1" x14ac:dyDescent="0.35">
      <c r="T41448" s="246">
        <f t="shared" si="685"/>
        <v>0</v>
      </c>
    </row>
    <row r="41449" spans="20:20" ht="18.75" customHeight="1" x14ac:dyDescent="0.35">
      <c r="T41449" s="246">
        <f t="shared" si="685"/>
        <v>0</v>
      </c>
    </row>
    <row r="41450" spans="20:20" ht="18.75" customHeight="1" x14ac:dyDescent="0.35">
      <c r="T41450" s="246">
        <f t="shared" si="685"/>
        <v>0</v>
      </c>
    </row>
    <row r="41451" spans="20:20" ht="18.75" customHeight="1" x14ac:dyDescent="0.35">
      <c r="T41451" s="246">
        <f t="shared" si="685"/>
        <v>0</v>
      </c>
    </row>
    <row r="41452" spans="20:20" ht="18.75" customHeight="1" x14ac:dyDescent="0.35">
      <c r="T41452" s="246">
        <f t="shared" si="685"/>
        <v>0</v>
      </c>
    </row>
    <row r="41453" spans="20:20" ht="18.75" customHeight="1" x14ac:dyDescent="0.35">
      <c r="T41453" s="246">
        <f t="shared" si="685"/>
        <v>0</v>
      </c>
    </row>
    <row r="41454" spans="20:20" ht="18.75" customHeight="1" x14ac:dyDescent="0.35">
      <c r="T41454" s="246">
        <f t="shared" si="685"/>
        <v>0</v>
      </c>
    </row>
    <row r="41455" spans="20:20" ht="18.75" customHeight="1" x14ac:dyDescent="0.35">
      <c r="T41455" s="246">
        <f t="shared" si="685"/>
        <v>0</v>
      </c>
    </row>
    <row r="41456" spans="20:20" ht="18.75" customHeight="1" x14ac:dyDescent="0.35">
      <c r="T41456" s="246">
        <f t="shared" si="685"/>
        <v>0</v>
      </c>
    </row>
    <row r="41457" spans="20:20" ht="18.75" customHeight="1" x14ac:dyDescent="0.35">
      <c r="T41457" s="246">
        <f t="shared" si="685"/>
        <v>0</v>
      </c>
    </row>
    <row r="41458" spans="20:20" ht="18.75" customHeight="1" x14ac:dyDescent="0.35">
      <c r="T41458" s="246">
        <f t="shared" si="685"/>
        <v>0</v>
      </c>
    </row>
    <row r="41459" spans="20:20" ht="18.75" customHeight="1" x14ac:dyDescent="0.35">
      <c r="T41459" s="246">
        <f t="shared" si="685"/>
        <v>0</v>
      </c>
    </row>
    <row r="41460" spans="20:20" ht="18.75" customHeight="1" x14ac:dyDescent="0.35">
      <c r="T41460" s="246">
        <f t="shared" si="685"/>
        <v>0</v>
      </c>
    </row>
    <row r="41461" spans="20:20" ht="18.75" customHeight="1" x14ac:dyDescent="0.35">
      <c r="T41461" s="246">
        <f t="shared" si="685"/>
        <v>0</v>
      </c>
    </row>
    <row r="41462" spans="20:20" ht="18.75" customHeight="1" x14ac:dyDescent="0.35">
      <c r="T41462" s="246">
        <f t="shared" si="685"/>
        <v>0</v>
      </c>
    </row>
    <row r="41463" spans="20:20" ht="18.75" customHeight="1" x14ac:dyDescent="0.35">
      <c r="T41463" s="246">
        <f t="shared" si="685"/>
        <v>0</v>
      </c>
    </row>
    <row r="41464" spans="20:20" ht="18.75" customHeight="1" x14ac:dyDescent="0.35">
      <c r="T41464" s="246">
        <f t="shared" si="685"/>
        <v>0</v>
      </c>
    </row>
    <row r="41465" spans="20:20" ht="18.75" customHeight="1" x14ac:dyDescent="0.35">
      <c r="T41465" s="246">
        <f t="shared" si="685"/>
        <v>0</v>
      </c>
    </row>
    <row r="41466" spans="20:20" ht="18.75" customHeight="1" x14ac:dyDescent="0.35">
      <c r="T41466" s="246">
        <f t="shared" si="685"/>
        <v>0</v>
      </c>
    </row>
    <row r="41467" spans="20:20" ht="18.75" customHeight="1" x14ac:dyDescent="0.35">
      <c r="T41467" s="246">
        <f t="shared" si="685"/>
        <v>0</v>
      </c>
    </row>
    <row r="41468" spans="20:20" ht="18.75" customHeight="1" x14ac:dyDescent="0.35">
      <c r="T41468" s="246">
        <f t="shared" ref="T41468:T41531" si="686">R41468*0.01</f>
        <v>0</v>
      </c>
    </row>
    <row r="41469" spans="20:20" ht="18.75" customHeight="1" x14ac:dyDescent="0.35">
      <c r="T41469" s="246">
        <f t="shared" si="686"/>
        <v>0</v>
      </c>
    </row>
    <row r="41470" spans="20:20" ht="18.75" customHeight="1" x14ac:dyDescent="0.35">
      <c r="T41470" s="246">
        <f t="shared" si="686"/>
        <v>0</v>
      </c>
    </row>
    <row r="41471" spans="20:20" ht="18.75" customHeight="1" x14ac:dyDescent="0.35">
      <c r="T41471" s="246">
        <f t="shared" si="686"/>
        <v>0</v>
      </c>
    </row>
    <row r="41472" spans="20:20" ht="18.75" customHeight="1" x14ac:dyDescent="0.35">
      <c r="T41472" s="246">
        <f t="shared" si="686"/>
        <v>0</v>
      </c>
    </row>
    <row r="41473" spans="20:20" ht="18.75" customHeight="1" x14ac:dyDescent="0.35">
      <c r="T41473" s="246">
        <f t="shared" si="686"/>
        <v>0</v>
      </c>
    </row>
    <row r="41474" spans="20:20" ht="18.75" customHeight="1" x14ac:dyDescent="0.35">
      <c r="T41474" s="246">
        <f t="shared" si="686"/>
        <v>0</v>
      </c>
    </row>
    <row r="41475" spans="20:20" ht="18.75" customHeight="1" x14ac:dyDescent="0.35">
      <c r="T41475" s="246">
        <f t="shared" si="686"/>
        <v>0</v>
      </c>
    </row>
    <row r="41476" spans="20:20" ht="18.75" customHeight="1" x14ac:dyDescent="0.35">
      <c r="T41476" s="246">
        <f t="shared" si="686"/>
        <v>0</v>
      </c>
    </row>
    <row r="41477" spans="20:20" ht="18.75" customHeight="1" x14ac:dyDescent="0.35">
      <c r="T41477" s="246">
        <f t="shared" si="686"/>
        <v>0</v>
      </c>
    </row>
    <row r="41478" spans="20:20" ht="18.75" customHeight="1" x14ac:dyDescent="0.35">
      <c r="T41478" s="246">
        <f t="shared" si="686"/>
        <v>0</v>
      </c>
    </row>
    <row r="41479" spans="20:20" ht="18.75" customHeight="1" x14ac:dyDescent="0.35">
      <c r="T41479" s="246">
        <f t="shared" si="686"/>
        <v>0</v>
      </c>
    </row>
    <row r="41480" spans="20:20" ht="18.75" customHeight="1" x14ac:dyDescent="0.35">
      <c r="T41480" s="246">
        <f t="shared" si="686"/>
        <v>0</v>
      </c>
    </row>
    <row r="41481" spans="20:20" ht="18.75" customHeight="1" x14ac:dyDescent="0.35">
      <c r="T41481" s="246">
        <f t="shared" si="686"/>
        <v>0</v>
      </c>
    </row>
    <row r="41482" spans="20:20" ht="18.75" customHeight="1" x14ac:dyDescent="0.35">
      <c r="T41482" s="246">
        <f t="shared" si="686"/>
        <v>0</v>
      </c>
    </row>
    <row r="41483" spans="20:20" ht="18.75" customHeight="1" x14ac:dyDescent="0.35">
      <c r="T41483" s="246">
        <f t="shared" si="686"/>
        <v>0</v>
      </c>
    </row>
    <row r="41484" spans="20:20" ht="18.75" customHeight="1" x14ac:dyDescent="0.35">
      <c r="T41484" s="246">
        <f t="shared" si="686"/>
        <v>0</v>
      </c>
    </row>
    <row r="41485" spans="20:20" ht="18.75" customHeight="1" x14ac:dyDescent="0.35">
      <c r="T41485" s="246">
        <f t="shared" si="686"/>
        <v>0</v>
      </c>
    </row>
    <row r="41486" spans="20:20" ht="18.75" customHeight="1" x14ac:dyDescent="0.35">
      <c r="T41486" s="246">
        <f t="shared" si="686"/>
        <v>0</v>
      </c>
    </row>
    <row r="41487" spans="20:20" ht="18.75" customHeight="1" x14ac:dyDescent="0.35">
      <c r="T41487" s="246">
        <f t="shared" si="686"/>
        <v>0</v>
      </c>
    </row>
    <row r="41488" spans="20:20" ht="18.75" customHeight="1" x14ac:dyDescent="0.35">
      <c r="T41488" s="246">
        <f t="shared" si="686"/>
        <v>0</v>
      </c>
    </row>
    <row r="41489" spans="20:20" ht="18.75" customHeight="1" x14ac:dyDescent="0.35">
      <c r="T41489" s="246">
        <f t="shared" si="686"/>
        <v>0</v>
      </c>
    </row>
    <row r="41490" spans="20:20" ht="18.75" customHeight="1" x14ac:dyDescent="0.35">
      <c r="T41490" s="246">
        <f t="shared" si="686"/>
        <v>0</v>
      </c>
    </row>
    <row r="41491" spans="20:20" ht="18.75" customHeight="1" x14ac:dyDescent="0.35">
      <c r="T41491" s="246">
        <f t="shared" si="686"/>
        <v>0</v>
      </c>
    </row>
    <row r="41492" spans="20:20" ht="18.75" customHeight="1" x14ac:dyDescent="0.35">
      <c r="T41492" s="246">
        <f t="shared" si="686"/>
        <v>0</v>
      </c>
    </row>
    <row r="41493" spans="20:20" ht="18.75" customHeight="1" x14ac:dyDescent="0.35">
      <c r="T41493" s="246">
        <f t="shared" si="686"/>
        <v>0</v>
      </c>
    </row>
    <row r="41494" spans="20:20" ht="18.75" customHeight="1" x14ac:dyDescent="0.35">
      <c r="T41494" s="246">
        <f t="shared" si="686"/>
        <v>0</v>
      </c>
    </row>
    <row r="41495" spans="20:20" ht="18.75" customHeight="1" x14ac:dyDescent="0.35">
      <c r="T41495" s="246">
        <f t="shared" si="686"/>
        <v>0</v>
      </c>
    </row>
    <row r="41496" spans="20:20" ht="18.75" customHeight="1" x14ac:dyDescent="0.35">
      <c r="T41496" s="246">
        <f t="shared" si="686"/>
        <v>0</v>
      </c>
    </row>
    <row r="41497" spans="20:20" ht="18.75" customHeight="1" x14ac:dyDescent="0.35">
      <c r="T41497" s="246">
        <f t="shared" si="686"/>
        <v>0</v>
      </c>
    </row>
    <row r="41498" spans="20:20" ht="18.75" customHeight="1" x14ac:dyDescent="0.35">
      <c r="T41498" s="246">
        <f t="shared" si="686"/>
        <v>0</v>
      </c>
    </row>
    <row r="41499" spans="20:20" ht="18.75" customHeight="1" x14ac:dyDescent="0.35">
      <c r="T41499" s="246">
        <f t="shared" si="686"/>
        <v>0</v>
      </c>
    </row>
    <row r="41500" spans="20:20" ht="18.75" customHeight="1" x14ac:dyDescent="0.35">
      <c r="T41500" s="246">
        <f t="shared" si="686"/>
        <v>0</v>
      </c>
    </row>
    <row r="41501" spans="20:20" ht="18.75" customHeight="1" x14ac:dyDescent="0.35">
      <c r="T41501" s="246">
        <f t="shared" si="686"/>
        <v>0</v>
      </c>
    </row>
    <row r="41502" spans="20:20" ht="18.75" customHeight="1" x14ac:dyDescent="0.35">
      <c r="T41502" s="246">
        <f t="shared" si="686"/>
        <v>0</v>
      </c>
    </row>
    <row r="41503" spans="20:20" ht="18.75" customHeight="1" x14ac:dyDescent="0.35">
      <c r="T41503" s="246">
        <f t="shared" si="686"/>
        <v>0</v>
      </c>
    </row>
    <row r="41504" spans="20:20" ht="18.75" customHeight="1" x14ac:dyDescent="0.35">
      <c r="T41504" s="246">
        <f t="shared" si="686"/>
        <v>0</v>
      </c>
    </row>
    <row r="41505" spans="20:20" ht="18.75" customHeight="1" x14ac:dyDescent="0.35">
      <c r="T41505" s="246">
        <f t="shared" si="686"/>
        <v>0</v>
      </c>
    </row>
    <row r="41506" spans="20:20" ht="18.75" customHeight="1" x14ac:dyDescent="0.35">
      <c r="T41506" s="246">
        <f t="shared" si="686"/>
        <v>0</v>
      </c>
    </row>
    <row r="41507" spans="20:20" ht="18.75" customHeight="1" x14ac:dyDescent="0.35">
      <c r="T41507" s="246">
        <f t="shared" si="686"/>
        <v>0</v>
      </c>
    </row>
    <row r="41508" spans="20:20" ht="18.75" customHeight="1" x14ac:dyDescent="0.35">
      <c r="T41508" s="246">
        <f t="shared" si="686"/>
        <v>0</v>
      </c>
    </row>
    <row r="41509" spans="20:20" ht="18.75" customHeight="1" x14ac:dyDescent="0.35">
      <c r="T41509" s="246">
        <f t="shared" si="686"/>
        <v>0</v>
      </c>
    </row>
    <row r="41510" spans="20:20" ht="18.75" customHeight="1" x14ac:dyDescent="0.35">
      <c r="T41510" s="246">
        <f t="shared" si="686"/>
        <v>0</v>
      </c>
    </row>
    <row r="41511" spans="20:20" ht="18.75" customHeight="1" x14ac:dyDescent="0.35">
      <c r="T41511" s="246">
        <f t="shared" si="686"/>
        <v>0</v>
      </c>
    </row>
    <row r="41512" spans="20:20" ht="18.75" customHeight="1" x14ac:dyDescent="0.35">
      <c r="T41512" s="246">
        <f t="shared" si="686"/>
        <v>0</v>
      </c>
    </row>
    <row r="41513" spans="20:20" ht="18.75" customHeight="1" x14ac:dyDescent="0.35">
      <c r="T41513" s="246">
        <f t="shared" si="686"/>
        <v>0</v>
      </c>
    </row>
    <row r="41514" spans="20:20" ht="18.75" customHeight="1" x14ac:dyDescent="0.35">
      <c r="T41514" s="246">
        <f t="shared" si="686"/>
        <v>0</v>
      </c>
    </row>
    <row r="41515" spans="20:20" ht="18.75" customHeight="1" x14ac:dyDescent="0.35">
      <c r="T41515" s="246">
        <f t="shared" si="686"/>
        <v>0</v>
      </c>
    </row>
    <row r="41516" spans="20:20" ht="18.75" customHeight="1" x14ac:dyDescent="0.35">
      <c r="T41516" s="246">
        <f t="shared" si="686"/>
        <v>0</v>
      </c>
    </row>
    <row r="41517" spans="20:20" ht="18.75" customHeight="1" x14ac:dyDescent="0.35">
      <c r="T41517" s="246">
        <f t="shared" si="686"/>
        <v>0</v>
      </c>
    </row>
    <row r="41518" spans="20:20" ht="18.75" customHeight="1" x14ac:dyDescent="0.35">
      <c r="T41518" s="246">
        <f t="shared" si="686"/>
        <v>0</v>
      </c>
    </row>
    <row r="41519" spans="20:20" ht="18.75" customHeight="1" x14ac:dyDescent="0.35">
      <c r="T41519" s="246">
        <f t="shared" si="686"/>
        <v>0</v>
      </c>
    </row>
    <row r="41520" spans="20:20" ht="18.75" customHeight="1" x14ac:dyDescent="0.35">
      <c r="T41520" s="246">
        <f t="shared" si="686"/>
        <v>0</v>
      </c>
    </row>
    <row r="41521" spans="20:20" ht="18.75" customHeight="1" x14ac:dyDescent="0.35">
      <c r="T41521" s="246">
        <f t="shared" si="686"/>
        <v>0</v>
      </c>
    </row>
    <row r="41522" spans="20:20" ht="18.75" customHeight="1" x14ac:dyDescent="0.35">
      <c r="T41522" s="246">
        <f t="shared" si="686"/>
        <v>0</v>
      </c>
    </row>
    <row r="41523" spans="20:20" ht="18.75" customHeight="1" x14ac:dyDescent="0.35">
      <c r="T41523" s="246">
        <f t="shared" si="686"/>
        <v>0</v>
      </c>
    </row>
    <row r="41524" spans="20:20" ht="18.75" customHeight="1" x14ac:dyDescent="0.35">
      <c r="T41524" s="246">
        <f t="shared" si="686"/>
        <v>0</v>
      </c>
    </row>
    <row r="41525" spans="20:20" ht="18.75" customHeight="1" x14ac:dyDescent="0.35">
      <c r="T41525" s="246">
        <f t="shared" si="686"/>
        <v>0</v>
      </c>
    </row>
    <row r="41526" spans="20:20" ht="18.75" customHeight="1" x14ac:dyDescent="0.35">
      <c r="T41526" s="246">
        <f t="shared" si="686"/>
        <v>0</v>
      </c>
    </row>
    <row r="41527" spans="20:20" ht="18.75" customHeight="1" x14ac:dyDescent="0.35">
      <c r="T41527" s="246">
        <f t="shared" si="686"/>
        <v>0</v>
      </c>
    </row>
    <row r="41528" spans="20:20" ht="18.75" customHeight="1" x14ac:dyDescent="0.35">
      <c r="T41528" s="246">
        <f t="shared" si="686"/>
        <v>0</v>
      </c>
    </row>
    <row r="41529" spans="20:20" ht="18.75" customHeight="1" x14ac:dyDescent="0.35">
      <c r="T41529" s="246">
        <f t="shared" si="686"/>
        <v>0</v>
      </c>
    </row>
    <row r="41530" spans="20:20" ht="18.75" customHeight="1" x14ac:dyDescent="0.35">
      <c r="T41530" s="246">
        <f t="shared" si="686"/>
        <v>0</v>
      </c>
    </row>
    <row r="41531" spans="20:20" ht="18.75" customHeight="1" x14ac:dyDescent="0.35">
      <c r="T41531" s="246">
        <f t="shared" si="686"/>
        <v>0</v>
      </c>
    </row>
    <row r="41532" spans="20:20" ht="18.75" customHeight="1" x14ac:dyDescent="0.35">
      <c r="T41532" s="246">
        <f t="shared" ref="T41532:T41595" si="687">R41532*0.01</f>
        <v>0</v>
      </c>
    </row>
    <row r="41533" spans="20:20" ht="18.75" customHeight="1" x14ac:dyDescent="0.35">
      <c r="T41533" s="246">
        <f t="shared" si="687"/>
        <v>0</v>
      </c>
    </row>
    <row r="41534" spans="20:20" ht="18.75" customHeight="1" x14ac:dyDescent="0.35">
      <c r="T41534" s="246">
        <f t="shared" si="687"/>
        <v>0</v>
      </c>
    </row>
    <row r="41535" spans="20:20" ht="18.75" customHeight="1" x14ac:dyDescent="0.35">
      <c r="T41535" s="246">
        <f t="shared" si="687"/>
        <v>0</v>
      </c>
    </row>
    <row r="41536" spans="20:20" ht="18.75" customHeight="1" x14ac:dyDescent="0.35">
      <c r="T41536" s="246">
        <f t="shared" si="687"/>
        <v>0</v>
      </c>
    </row>
    <row r="41537" spans="20:20" ht="18.75" customHeight="1" x14ac:dyDescent="0.35">
      <c r="T41537" s="246">
        <f t="shared" si="687"/>
        <v>0</v>
      </c>
    </row>
    <row r="41538" spans="20:20" ht="18.75" customHeight="1" x14ac:dyDescent="0.35">
      <c r="T41538" s="246">
        <f t="shared" si="687"/>
        <v>0</v>
      </c>
    </row>
    <row r="41539" spans="20:20" ht="18.75" customHeight="1" x14ac:dyDescent="0.35">
      <c r="T41539" s="246">
        <f t="shared" si="687"/>
        <v>0</v>
      </c>
    </row>
    <row r="41540" spans="20:20" ht="18.75" customHeight="1" x14ac:dyDescent="0.35">
      <c r="T41540" s="246">
        <f t="shared" si="687"/>
        <v>0</v>
      </c>
    </row>
    <row r="41541" spans="20:20" ht="18.75" customHeight="1" x14ac:dyDescent="0.35">
      <c r="T41541" s="246">
        <f t="shared" si="687"/>
        <v>0</v>
      </c>
    </row>
    <row r="41542" spans="20:20" ht="18.75" customHeight="1" x14ac:dyDescent="0.35">
      <c r="T41542" s="246">
        <f t="shared" si="687"/>
        <v>0</v>
      </c>
    </row>
    <row r="41543" spans="20:20" ht="18.75" customHeight="1" x14ac:dyDescent="0.35">
      <c r="T41543" s="246">
        <f t="shared" si="687"/>
        <v>0</v>
      </c>
    </row>
    <row r="41544" spans="20:20" ht="18.75" customHeight="1" x14ac:dyDescent="0.35">
      <c r="T41544" s="246">
        <f t="shared" si="687"/>
        <v>0</v>
      </c>
    </row>
    <row r="41545" spans="20:20" ht="18.75" customHeight="1" x14ac:dyDescent="0.35">
      <c r="T41545" s="246">
        <f t="shared" si="687"/>
        <v>0</v>
      </c>
    </row>
    <row r="41546" spans="20:20" ht="18.75" customHeight="1" x14ac:dyDescent="0.35">
      <c r="T41546" s="246">
        <f t="shared" si="687"/>
        <v>0</v>
      </c>
    </row>
    <row r="41547" spans="20:20" ht="18.75" customHeight="1" x14ac:dyDescent="0.35">
      <c r="T41547" s="246">
        <f t="shared" si="687"/>
        <v>0</v>
      </c>
    </row>
    <row r="41548" spans="20:20" ht="18.75" customHeight="1" x14ac:dyDescent="0.35">
      <c r="T41548" s="246">
        <f t="shared" si="687"/>
        <v>0</v>
      </c>
    </row>
    <row r="41549" spans="20:20" ht="18.75" customHeight="1" x14ac:dyDescent="0.35">
      <c r="T41549" s="246">
        <f t="shared" si="687"/>
        <v>0</v>
      </c>
    </row>
    <row r="41550" spans="20:20" ht="18.75" customHeight="1" x14ac:dyDescent="0.35">
      <c r="T41550" s="246">
        <f t="shared" si="687"/>
        <v>0</v>
      </c>
    </row>
    <row r="41551" spans="20:20" ht="18.75" customHeight="1" x14ac:dyDescent="0.35">
      <c r="T41551" s="246">
        <f t="shared" si="687"/>
        <v>0</v>
      </c>
    </row>
    <row r="41552" spans="20:20" ht="18.75" customHeight="1" x14ac:dyDescent="0.35">
      <c r="T41552" s="246">
        <f t="shared" si="687"/>
        <v>0</v>
      </c>
    </row>
    <row r="41553" spans="20:20" ht="18.75" customHeight="1" x14ac:dyDescent="0.35">
      <c r="T41553" s="246">
        <f t="shared" si="687"/>
        <v>0</v>
      </c>
    </row>
    <row r="41554" spans="20:20" ht="18.75" customHeight="1" x14ac:dyDescent="0.35">
      <c r="T41554" s="246">
        <f t="shared" si="687"/>
        <v>0</v>
      </c>
    </row>
    <row r="41555" spans="20:20" ht="18.75" customHeight="1" x14ac:dyDescent="0.35">
      <c r="T41555" s="246">
        <f t="shared" si="687"/>
        <v>0</v>
      </c>
    </row>
    <row r="41556" spans="20:20" ht="18.75" customHeight="1" x14ac:dyDescent="0.35">
      <c r="T41556" s="246">
        <f t="shared" si="687"/>
        <v>0</v>
      </c>
    </row>
    <row r="41557" spans="20:20" ht="18.75" customHeight="1" x14ac:dyDescent="0.35">
      <c r="T41557" s="246">
        <f t="shared" si="687"/>
        <v>0</v>
      </c>
    </row>
    <row r="41558" spans="20:20" ht="18.75" customHeight="1" x14ac:dyDescent="0.35">
      <c r="T41558" s="246">
        <f t="shared" si="687"/>
        <v>0</v>
      </c>
    </row>
    <row r="41559" spans="20:20" ht="18.75" customHeight="1" x14ac:dyDescent="0.35">
      <c r="T41559" s="246">
        <f t="shared" si="687"/>
        <v>0</v>
      </c>
    </row>
    <row r="41560" spans="20:20" ht="18.75" customHeight="1" x14ac:dyDescent="0.35">
      <c r="T41560" s="246">
        <f t="shared" si="687"/>
        <v>0</v>
      </c>
    </row>
    <row r="41561" spans="20:20" ht="18.75" customHeight="1" x14ac:dyDescent="0.35">
      <c r="T41561" s="246">
        <f t="shared" si="687"/>
        <v>0</v>
      </c>
    </row>
    <row r="41562" spans="20:20" ht="18.75" customHeight="1" x14ac:dyDescent="0.35">
      <c r="T41562" s="246">
        <f t="shared" si="687"/>
        <v>0</v>
      </c>
    </row>
    <row r="41563" spans="20:20" ht="18.75" customHeight="1" x14ac:dyDescent="0.35">
      <c r="T41563" s="246">
        <f t="shared" si="687"/>
        <v>0</v>
      </c>
    </row>
    <row r="41564" spans="20:20" ht="18.75" customHeight="1" x14ac:dyDescent="0.35">
      <c r="T41564" s="246">
        <f t="shared" si="687"/>
        <v>0</v>
      </c>
    </row>
    <row r="41565" spans="20:20" ht="18.75" customHeight="1" x14ac:dyDescent="0.35">
      <c r="T41565" s="246">
        <f t="shared" si="687"/>
        <v>0</v>
      </c>
    </row>
    <row r="41566" spans="20:20" ht="18.75" customHeight="1" x14ac:dyDescent="0.35">
      <c r="T41566" s="246">
        <f t="shared" si="687"/>
        <v>0</v>
      </c>
    </row>
    <row r="41567" spans="20:20" ht="18.75" customHeight="1" x14ac:dyDescent="0.35">
      <c r="T41567" s="246">
        <f t="shared" si="687"/>
        <v>0</v>
      </c>
    </row>
    <row r="41568" spans="20:20" ht="18.75" customHeight="1" x14ac:dyDescent="0.35">
      <c r="T41568" s="246">
        <f t="shared" si="687"/>
        <v>0</v>
      </c>
    </row>
    <row r="41569" spans="20:20" ht="18.75" customHeight="1" x14ac:dyDescent="0.35">
      <c r="T41569" s="246">
        <f t="shared" si="687"/>
        <v>0</v>
      </c>
    </row>
    <row r="41570" spans="20:20" ht="18.75" customHeight="1" x14ac:dyDescent="0.35">
      <c r="T41570" s="246">
        <f t="shared" si="687"/>
        <v>0</v>
      </c>
    </row>
    <row r="41571" spans="20:20" ht="18.75" customHeight="1" x14ac:dyDescent="0.35">
      <c r="T41571" s="246">
        <f t="shared" si="687"/>
        <v>0</v>
      </c>
    </row>
    <row r="41572" spans="20:20" ht="18.75" customHeight="1" x14ac:dyDescent="0.35">
      <c r="T41572" s="246">
        <f t="shared" si="687"/>
        <v>0</v>
      </c>
    </row>
    <row r="41573" spans="20:20" ht="18.75" customHeight="1" x14ac:dyDescent="0.35">
      <c r="T41573" s="246">
        <f t="shared" si="687"/>
        <v>0</v>
      </c>
    </row>
    <row r="41574" spans="20:20" ht="18.75" customHeight="1" x14ac:dyDescent="0.35">
      <c r="T41574" s="246">
        <f t="shared" si="687"/>
        <v>0</v>
      </c>
    </row>
    <row r="41575" spans="20:20" ht="18.75" customHeight="1" x14ac:dyDescent="0.35">
      <c r="T41575" s="246">
        <f t="shared" si="687"/>
        <v>0</v>
      </c>
    </row>
    <row r="41576" spans="20:20" ht="18.75" customHeight="1" x14ac:dyDescent="0.35">
      <c r="T41576" s="246">
        <f t="shared" si="687"/>
        <v>0</v>
      </c>
    </row>
    <row r="41577" spans="20:20" ht="18.75" customHeight="1" x14ac:dyDescent="0.35">
      <c r="T41577" s="246">
        <f t="shared" si="687"/>
        <v>0</v>
      </c>
    </row>
    <row r="41578" spans="20:20" ht="18.75" customHeight="1" x14ac:dyDescent="0.35">
      <c r="T41578" s="246">
        <f t="shared" si="687"/>
        <v>0</v>
      </c>
    </row>
    <row r="41579" spans="20:20" ht="18.75" customHeight="1" x14ac:dyDescent="0.35">
      <c r="T41579" s="246">
        <f t="shared" si="687"/>
        <v>0</v>
      </c>
    </row>
    <row r="41580" spans="20:20" ht="18.75" customHeight="1" x14ac:dyDescent="0.35">
      <c r="T41580" s="246">
        <f t="shared" si="687"/>
        <v>0</v>
      </c>
    </row>
    <row r="41581" spans="20:20" ht="18.75" customHeight="1" x14ac:dyDescent="0.35">
      <c r="T41581" s="246">
        <f t="shared" si="687"/>
        <v>0</v>
      </c>
    </row>
    <row r="41582" spans="20:20" ht="18.75" customHeight="1" x14ac:dyDescent="0.35">
      <c r="T41582" s="246">
        <f t="shared" si="687"/>
        <v>0</v>
      </c>
    </row>
    <row r="41583" spans="20:20" ht="18.75" customHeight="1" x14ac:dyDescent="0.35">
      <c r="T41583" s="246">
        <f t="shared" si="687"/>
        <v>0</v>
      </c>
    </row>
    <row r="41584" spans="20:20" ht="18.75" customHeight="1" x14ac:dyDescent="0.35">
      <c r="T41584" s="246">
        <f t="shared" si="687"/>
        <v>0</v>
      </c>
    </row>
    <row r="41585" spans="20:20" ht="18.75" customHeight="1" x14ac:dyDescent="0.35">
      <c r="T41585" s="246">
        <f t="shared" si="687"/>
        <v>0</v>
      </c>
    </row>
    <row r="41586" spans="20:20" ht="18.75" customHeight="1" x14ac:dyDescent="0.35">
      <c r="T41586" s="246">
        <f t="shared" si="687"/>
        <v>0</v>
      </c>
    </row>
    <row r="41587" spans="20:20" ht="18.75" customHeight="1" x14ac:dyDescent="0.35">
      <c r="T41587" s="246">
        <f t="shared" si="687"/>
        <v>0</v>
      </c>
    </row>
    <row r="41588" spans="20:20" ht="18.75" customHeight="1" x14ac:dyDescent="0.35">
      <c r="T41588" s="246">
        <f t="shared" si="687"/>
        <v>0</v>
      </c>
    </row>
    <row r="41589" spans="20:20" ht="18.75" customHeight="1" x14ac:dyDescent="0.35">
      <c r="T41589" s="246">
        <f t="shared" si="687"/>
        <v>0</v>
      </c>
    </row>
    <row r="41590" spans="20:20" ht="18.75" customHeight="1" x14ac:dyDescent="0.35">
      <c r="T41590" s="246">
        <f t="shared" si="687"/>
        <v>0</v>
      </c>
    </row>
    <row r="41591" spans="20:20" ht="18.75" customHeight="1" x14ac:dyDescent="0.35">
      <c r="T41591" s="246">
        <f t="shared" si="687"/>
        <v>0</v>
      </c>
    </row>
    <row r="41592" spans="20:20" ht="18.75" customHeight="1" x14ac:dyDescent="0.35">
      <c r="T41592" s="246">
        <f t="shared" si="687"/>
        <v>0</v>
      </c>
    </row>
    <row r="41593" spans="20:20" ht="18.75" customHeight="1" x14ac:dyDescent="0.35">
      <c r="T41593" s="246">
        <f t="shared" si="687"/>
        <v>0</v>
      </c>
    </row>
    <row r="41594" spans="20:20" ht="18.75" customHeight="1" x14ac:dyDescent="0.35">
      <c r="T41594" s="246">
        <f t="shared" si="687"/>
        <v>0</v>
      </c>
    </row>
    <row r="41595" spans="20:20" ht="18.75" customHeight="1" x14ac:dyDescent="0.35">
      <c r="T41595" s="246">
        <f t="shared" si="687"/>
        <v>0</v>
      </c>
    </row>
    <row r="41596" spans="20:20" ht="18.75" customHeight="1" x14ac:dyDescent="0.35">
      <c r="T41596" s="246">
        <f t="shared" ref="T41596:T41659" si="688">R41596*0.01</f>
        <v>0</v>
      </c>
    </row>
    <row r="41597" spans="20:20" ht="18.75" customHeight="1" x14ac:dyDescent="0.35">
      <c r="T41597" s="246">
        <f t="shared" si="688"/>
        <v>0</v>
      </c>
    </row>
    <row r="41598" spans="20:20" ht="18.75" customHeight="1" x14ac:dyDescent="0.35">
      <c r="T41598" s="246">
        <f t="shared" si="688"/>
        <v>0</v>
      </c>
    </row>
    <row r="41599" spans="20:20" ht="18.75" customHeight="1" x14ac:dyDescent="0.35">
      <c r="T41599" s="246">
        <f t="shared" si="688"/>
        <v>0</v>
      </c>
    </row>
    <row r="41600" spans="20:20" ht="18.75" customHeight="1" x14ac:dyDescent="0.35">
      <c r="T41600" s="246">
        <f t="shared" si="688"/>
        <v>0</v>
      </c>
    </row>
    <row r="41601" spans="20:20" ht="18.75" customHeight="1" x14ac:dyDescent="0.35">
      <c r="T41601" s="246">
        <f t="shared" si="688"/>
        <v>0</v>
      </c>
    </row>
    <row r="41602" spans="20:20" ht="18.75" customHeight="1" x14ac:dyDescent="0.35">
      <c r="T41602" s="246">
        <f t="shared" si="688"/>
        <v>0</v>
      </c>
    </row>
    <row r="41603" spans="20:20" ht="18.75" customHeight="1" x14ac:dyDescent="0.35">
      <c r="T41603" s="246">
        <f t="shared" si="688"/>
        <v>0</v>
      </c>
    </row>
    <row r="41604" spans="20:20" ht="18.75" customHeight="1" x14ac:dyDescent="0.35">
      <c r="T41604" s="246">
        <f t="shared" si="688"/>
        <v>0</v>
      </c>
    </row>
    <row r="41605" spans="20:20" ht="18.75" customHeight="1" x14ac:dyDescent="0.35">
      <c r="T41605" s="246">
        <f t="shared" si="688"/>
        <v>0</v>
      </c>
    </row>
    <row r="41606" spans="20:20" ht="18.75" customHeight="1" x14ac:dyDescent="0.35">
      <c r="T41606" s="246">
        <f t="shared" si="688"/>
        <v>0</v>
      </c>
    </row>
    <row r="41607" spans="20:20" ht="18.75" customHeight="1" x14ac:dyDescent="0.35">
      <c r="T41607" s="246">
        <f t="shared" si="688"/>
        <v>0</v>
      </c>
    </row>
    <row r="41608" spans="20:20" ht="18.75" customHeight="1" x14ac:dyDescent="0.35">
      <c r="T41608" s="246">
        <f t="shared" si="688"/>
        <v>0</v>
      </c>
    </row>
    <row r="41609" spans="20:20" ht="18.75" customHeight="1" x14ac:dyDescent="0.35">
      <c r="T41609" s="246">
        <f t="shared" si="688"/>
        <v>0</v>
      </c>
    </row>
    <row r="41610" spans="20:20" ht="18.75" customHeight="1" x14ac:dyDescent="0.35">
      <c r="T41610" s="246">
        <f t="shared" si="688"/>
        <v>0</v>
      </c>
    </row>
    <row r="41611" spans="20:20" ht="18.75" customHeight="1" x14ac:dyDescent="0.35">
      <c r="T41611" s="246">
        <f t="shared" si="688"/>
        <v>0</v>
      </c>
    </row>
    <row r="41612" spans="20:20" ht="18.75" customHeight="1" x14ac:dyDescent="0.35">
      <c r="T41612" s="246">
        <f t="shared" si="688"/>
        <v>0</v>
      </c>
    </row>
    <row r="41613" spans="20:20" ht="18.75" customHeight="1" x14ac:dyDescent="0.35">
      <c r="T41613" s="246">
        <f t="shared" si="688"/>
        <v>0</v>
      </c>
    </row>
    <row r="41614" spans="20:20" ht="18.75" customHeight="1" x14ac:dyDescent="0.35">
      <c r="T41614" s="246">
        <f t="shared" si="688"/>
        <v>0</v>
      </c>
    </row>
    <row r="41615" spans="20:20" ht="18.75" customHeight="1" x14ac:dyDescent="0.35">
      <c r="T41615" s="246">
        <f t="shared" si="688"/>
        <v>0</v>
      </c>
    </row>
    <row r="41616" spans="20:20" ht="18.75" customHeight="1" x14ac:dyDescent="0.35">
      <c r="T41616" s="246">
        <f t="shared" si="688"/>
        <v>0</v>
      </c>
    </row>
    <row r="41617" spans="20:20" ht="18.75" customHeight="1" x14ac:dyDescent="0.35">
      <c r="T41617" s="246">
        <f t="shared" si="688"/>
        <v>0</v>
      </c>
    </row>
    <row r="41618" spans="20:20" ht="18.75" customHeight="1" x14ac:dyDescent="0.35">
      <c r="T41618" s="246">
        <f t="shared" si="688"/>
        <v>0</v>
      </c>
    </row>
    <row r="41619" spans="20:20" ht="18.75" customHeight="1" x14ac:dyDescent="0.35">
      <c r="T41619" s="246">
        <f t="shared" si="688"/>
        <v>0</v>
      </c>
    </row>
    <row r="41620" spans="20:20" ht="18.75" customHeight="1" x14ac:dyDescent="0.35">
      <c r="T41620" s="246">
        <f t="shared" si="688"/>
        <v>0</v>
      </c>
    </row>
    <row r="41621" spans="20:20" ht="18.75" customHeight="1" x14ac:dyDescent="0.35">
      <c r="T41621" s="246">
        <f t="shared" si="688"/>
        <v>0</v>
      </c>
    </row>
    <row r="41622" spans="20:20" ht="18.75" customHeight="1" x14ac:dyDescent="0.35">
      <c r="T41622" s="246">
        <f t="shared" si="688"/>
        <v>0</v>
      </c>
    </row>
    <row r="41623" spans="20:20" ht="18.75" customHeight="1" x14ac:dyDescent="0.35">
      <c r="T41623" s="246">
        <f t="shared" si="688"/>
        <v>0</v>
      </c>
    </row>
    <row r="41624" spans="20:20" ht="18.75" customHeight="1" x14ac:dyDescent="0.35">
      <c r="T41624" s="246">
        <f t="shared" si="688"/>
        <v>0</v>
      </c>
    </row>
    <row r="41625" spans="20:20" ht="18.75" customHeight="1" x14ac:dyDescent="0.35">
      <c r="T41625" s="246">
        <f t="shared" si="688"/>
        <v>0</v>
      </c>
    </row>
    <row r="41626" spans="20:20" ht="18.75" customHeight="1" x14ac:dyDescent="0.35">
      <c r="T41626" s="246">
        <f t="shared" si="688"/>
        <v>0</v>
      </c>
    </row>
    <row r="41627" spans="20:20" ht="18.75" customHeight="1" x14ac:dyDescent="0.35">
      <c r="T41627" s="246">
        <f t="shared" si="688"/>
        <v>0</v>
      </c>
    </row>
    <row r="41628" spans="20:20" ht="18.75" customHeight="1" x14ac:dyDescent="0.35">
      <c r="T41628" s="246">
        <f t="shared" si="688"/>
        <v>0</v>
      </c>
    </row>
    <row r="41629" spans="20:20" ht="18.75" customHeight="1" x14ac:dyDescent="0.35">
      <c r="T41629" s="246">
        <f t="shared" si="688"/>
        <v>0</v>
      </c>
    </row>
    <row r="41630" spans="20:20" ht="18.75" customHeight="1" x14ac:dyDescent="0.35">
      <c r="T41630" s="246">
        <f t="shared" si="688"/>
        <v>0</v>
      </c>
    </row>
    <row r="41631" spans="20:20" ht="18.75" customHeight="1" x14ac:dyDescent="0.35">
      <c r="T41631" s="246">
        <f t="shared" si="688"/>
        <v>0</v>
      </c>
    </row>
    <row r="41632" spans="20:20" ht="18.75" customHeight="1" x14ac:dyDescent="0.35">
      <c r="T41632" s="246">
        <f t="shared" si="688"/>
        <v>0</v>
      </c>
    </row>
    <row r="41633" spans="20:20" ht="18.75" customHeight="1" x14ac:dyDescent="0.35">
      <c r="T41633" s="246">
        <f t="shared" si="688"/>
        <v>0</v>
      </c>
    </row>
    <row r="41634" spans="20:20" ht="18.75" customHeight="1" x14ac:dyDescent="0.35">
      <c r="T41634" s="246">
        <f t="shared" si="688"/>
        <v>0</v>
      </c>
    </row>
    <row r="41635" spans="20:20" ht="18.75" customHeight="1" x14ac:dyDescent="0.35">
      <c r="T41635" s="246">
        <f t="shared" si="688"/>
        <v>0</v>
      </c>
    </row>
    <row r="41636" spans="20:20" ht="18.75" customHeight="1" x14ac:dyDescent="0.35">
      <c r="T41636" s="246">
        <f t="shared" si="688"/>
        <v>0</v>
      </c>
    </row>
    <row r="41637" spans="20:20" ht="18.75" customHeight="1" x14ac:dyDescent="0.35">
      <c r="T41637" s="246">
        <f t="shared" si="688"/>
        <v>0</v>
      </c>
    </row>
    <row r="41638" spans="20:20" ht="18.75" customHeight="1" x14ac:dyDescent="0.35">
      <c r="T41638" s="246">
        <f t="shared" si="688"/>
        <v>0</v>
      </c>
    </row>
    <row r="41639" spans="20:20" ht="18.75" customHeight="1" x14ac:dyDescent="0.35">
      <c r="T41639" s="246">
        <f t="shared" si="688"/>
        <v>0</v>
      </c>
    </row>
    <row r="41640" spans="20:20" ht="18.75" customHeight="1" x14ac:dyDescent="0.35">
      <c r="T41640" s="246">
        <f t="shared" si="688"/>
        <v>0</v>
      </c>
    </row>
    <row r="41641" spans="20:20" ht="18.75" customHeight="1" x14ac:dyDescent="0.35">
      <c r="T41641" s="246">
        <f t="shared" si="688"/>
        <v>0</v>
      </c>
    </row>
    <row r="41642" spans="20:20" ht="18.75" customHeight="1" x14ac:dyDescent="0.35">
      <c r="T41642" s="246">
        <f t="shared" si="688"/>
        <v>0</v>
      </c>
    </row>
    <row r="41643" spans="20:20" ht="18.75" customHeight="1" x14ac:dyDescent="0.35">
      <c r="T41643" s="246">
        <f t="shared" si="688"/>
        <v>0</v>
      </c>
    </row>
    <row r="41644" spans="20:20" ht="18.75" customHeight="1" x14ac:dyDescent="0.35">
      <c r="T41644" s="246">
        <f t="shared" si="688"/>
        <v>0</v>
      </c>
    </row>
    <row r="41645" spans="20:20" ht="18.75" customHeight="1" x14ac:dyDescent="0.35">
      <c r="T41645" s="246">
        <f t="shared" si="688"/>
        <v>0</v>
      </c>
    </row>
    <row r="41646" spans="20:20" ht="18.75" customHeight="1" x14ac:dyDescent="0.35">
      <c r="T41646" s="246">
        <f t="shared" si="688"/>
        <v>0</v>
      </c>
    </row>
    <row r="41647" spans="20:20" ht="18.75" customHeight="1" x14ac:dyDescent="0.35">
      <c r="T41647" s="246">
        <f t="shared" si="688"/>
        <v>0</v>
      </c>
    </row>
    <row r="41648" spans="20:20" ht="18.75" customHeight="1" x14ac:dyDescent="0.35">
      <c r="T41648" s="246">
        <f t="shared" si="688"/>
        <v>0</v>
      </c>
    </row>
    <row r="41649" spans="20:20" ht="18.75" customHeight="1" x14ac:dyDescent="0.35">
      <c r="T41649" s="246">
        <f t="shared" si="688"/>
        <v>0</v>
      </c>
    </row>
    <row r="41650" spans="20:20" ht="18.75" customHeight="1" x14ac:dyDescent="0.35">
      <c r="T41650" s="246">
        <f t="shared" si="688"/>
        <v>0</v>
      </c>
    </row>
    <row r="41651" spans="20:20" ht="18.75" customHeight="1" x14ac:dyDescent="0.35">
      <c r="T41651" s="246">
        <f t="shared" si="688"/>
        <v>0</v>
      </c>
    </row>
    <row r="41652" spans="20:20" ht="18.75" customHeight="1" x14ac:dyDescent="0.35">
      <c r="T41652" s="246">
        <f t="shared" si="688"/>
        <v>0</v>
      </c>
    </row>
    <row r="41653" spans="20:20" ht="18.75" customHeight="1" x14ac:dyDescent="0.35">
      <c r="T41653" s="246">
        <f t="shared" si="688"/>
        <v>0</v>
      </c>
    </row>
    <row r="41654" spans="20:20" ht="18.75" customHeight="1" x14ac:dyDescent="0.35">
      <c r="T41654" s="246">
        <f t="shared" si="688"/>
        <v>0</v>
      </c>
    </row>
    <row r="41655" spans="20:20" ht="18.75" customHeight="1" x14ac:dyDescent="0.35">
      <c r="T41655" s="246">
        <f t="shared" si="688"/>
        <v>0</v>
      </c>
    </row>
    <row r="41656" spans="20:20" ht="18.75" customHeight="1" x14ac:dyDescent="0.35">
      <c r="T41656" s="246">
        <f t="shared" si="688"/>
        <v>0</v>
      </c>
    </row>
    <row r="41657" spans="20:20" ht="18.75" customHeight="1" x14ac:dyDescent="0.35">
      <c r="T41657" s="246">
        <f t="shared" si="688"/>
        <v>0</v>
      </c>
    </row>
    <row r="41658" spans="20:20" ht="18.75" customHeight="1" x14ac:dyDescent="0.35">
      <c r="T41658" s="246">
        <f t="shared" si="688"/>
        <v>0</v>
      </c>
    </row>
    <row r="41659" spans="20:20" ht="18.75" customHeight="1" x14ac:dyDescent="0.35">
      <c r="T41659" s="246">
        <f t="shared" si="688"/>
        <v>0</v>
      </c>
    </row>
    <row r="41660" spans="20:20" ht="18.75" customHeight="1" x14ac:dyDescent="0.35">
      <c r="T41660" s="246">
        <f t="shared" ref="T41660:T41723" si="689">R41660*0.01</f>
        <v>0</v>
      </c>
    </row>
    <row r="41661" spans="20:20" ht="18.75" customHeight="1" x14ac:dyDescent="0.35">
      <c r="T41661" s="246">
        <f t="shared" si="689"/>
        <v>0</v>
      </c>
    </row>
    <row r="41662" spans="20:20" ht="18.75" customHeight="1" x14ac:dyDescent="0.35">
      <c r="T41662" s="246">
        <f t="shared" si="689"/>
        <v>0</v>
      </c>
    </row>
    <row r="41663" spans="20:20" ht="18.75" customHeight="1" x14ac:dyDescent="0.35">
      <c r="T41663" s="246">
        <f t="shared" si="689"/>
        <v>0</v>
      </c>
    </row>
    <row r="41664" spans="20:20" ht="18.75" customHeight="1" x14ac:dyDescent="0.35">
      <c r="T41664" s="246">
        <f t="shared" si="689"/>
        <v>0</v>
      </c>
    </row>
    <row r="41665" spans="20:20" ht="18.75" customHeight="1" x14ac:dyDescent="0.35">
      <c r="T41665" s="246">
        <f t="shared" si="689"/>
        <v>0</v>
      </c>
    </row>
    <row r="41666" spans="20:20" ht="18.75" customHeight="1" x14ac:dyDescent="0.35">
      <c r="T41666" s="246">
        <f t="shared" si="689"/>
        <v>0</v>
      </c>
    </row>
    <row r="41667" spans="20:20" ht="18.75" customHeight="1" x14ac:dyDescent="0.35">
      <c r="T41667" s="246">
        <f t="shared" si="689"/>
        <v>0</v>
      </c>
    </row>
    <row r="41668" spans="20:20" ht="18.75" customHeight="1" x14ac:dyDescent="0.35">
      <c r="T41668" s="246">
        <f t="shared" si="689"/>
        <v>0</v>
      </c>
    </row>
    <row r="41669" spans="20:20" ht="18.75" customHeight="1" x14ac:dyDescent="0.35">
      <c r="T41669" s="246">
        <f t="shared" si="689"/>
        <v>0</v>
      </c>
    </row>
    <row r="41670" spans="20:20" ht="18.75" customHeight="1" x14ac:dyDescent="0.35">
      <c r="T41670" s="246">
        <f t="shared" si="689"/>
        <v>0</v>
      </c>
    </row>
    <row r="41671" spans="20:20" ht="18.75" customHeight="1" x14ac:dyDescent="0.35">
      <c r="T41671" s="246">
        <f t="shared" si="689"/>
        <v>0</v>
      </c>
    </row>
    <row r="41672" spans="20:20" ht="18.75" customHeight="1" x14ac:dyDescent="0.35">
      <c r="T41672" s="246">
        <f t="shared" si="689"/>
        <v>0</v>
      </c>
    </row>
    <row r="41673" spans="20:20" ht="18.75" customHeight="1" x14ac:dyDescent="0.35">
      <c r="T41673" s="246">
        <f t="shared" si="689"/>
        <v>0</v>
      </c>
    </row>
    <row r="41674" spans="20:20" ht="18.75" customHeight="1" x14ac:dyDescent="0.35">
      <c r="T41674" s="246">
        <f t="shared" si="689"/>
        <v>0</v>
      </c>
    </row>
    <row r="41675" spans="20:20" ht="18.75" customHeight="1" x14ac:dyDescent="0.35">
      <c r="T41675" s="246">
        <f t="shared" si="689"/>
        <v>0</v>
      </c>
    </row>
    <row r="41676" spans="20:20" ht="18.75" customHeight="1" x14ac:dyDescent="0.35">
      <c r="T41676" s="246">
        <f t="shared" si="689"/>
        <v>0</v>
      </c>
    </row>
    <row r="41677" spans="20:20" ht="18.75" customHeight="1" x14ac:dyDescent="0.35">
      <c r="T41677" s="246">
        <f t="shared" si="689"/>
        <v>0</v>
      </c>
    </row>
    <row r="41678" spans="20:20" ht="18.75" customHeight="1" x14ac:dyDescent="0.35">
      <c r="T41678" s="246">
        <f t="shared" si="689"/>
        <v>0</v>
      </c>
    </row>
    <row r="41679" spans="20:20" ht="18.75" customHeight="1" x14ac:dyDescent="0.35">
      <c r="T41679" s="246">
        <f t="shared" si="689"/>
        <v>0</v>
      </c>
    </row>
    <row r="41680" spans="20:20" ht="18.75" customHeight="1" x14ac:dyDescent="0.35">
      <c r="T41680" s="246">
        <f t="shared" si="689"/>
        <v>0</v>
      </c>
    </row>
    <row r="41681" spans="20:20" ht="18.75" customHeight="1" x14ac:dyDescent="0.35">
      <c r="T41681" s="246">
        <f t="shared" si="689"/>
        <v>0</v>
      </c>
    </row>
    <row r="41682" spans="20:20" ht="18.75" customHeight="1" x14ac:dyDescent="0.35">
      <c r="T41682" s="246">
        <f t="shared" si="689"/>
        <v>0</v>
      </c>
    </row>
    <row r="41683" spans="20:20" ht="18.75" customHeight="1" x14ac:dyDescent="0.35">
      <c r="T41683" s="246">
        <f t="shared" si="689"/>
        <v>0</v>
      </c>
    </row>
    <row r="41684" spans="20:20" ht="18.75" customHeight="1" x14ac:dyDescent="0.35">
      <c r="T41684" s="246">
        <f t="shared" si="689"/>
        <v>0</v>
      </c>
    </row>
    <row r="41685" spans="20:20" ht="18.75" customHeight="1" x14ac:dyDescent="0.35">
      <c r="T41685" s="246">
        <f t="shared" si="689"/>
        <v>0</v>
      </c>
    </row>
    <row r="41686" spans="20:20" ht="18.75" customHeight="1" x14ac:dyDescent="0.35">
      <c r="T41686" s="246">
        <f t="shared" si="689"/>
        <v>0</v>
      </c>
    </row>
    <row r="41687" spans="20:20" ht="18.75" customHeight="1" x14ac:dyDescent="0.35">
      <c r="T41687" s="246">
        <f t="shared" si="689"/>
        <v>0</v>
      </c>
    </row>
    <row r="41688" spans="20:20" ht="18.75" customHeight="1" x14ac:dyDescent="0.35">
      <c r="T41688" s="246">
        <f t="shared" si="689"/>
        <v>0</v>
      </c>
    </row>
    <row r="41689" spans="20:20" ht="18.75" customHeight="1" x14ac:dyDescent="0.35">
      <c r="T41689" s="246">
        <f t="shared" si="689"/>
        <v>0</v>
      </c>
    </row>
    <row r="41690" spans="20:20" ht="18.75" customHeight="1" x14ac:dyDescent="0.35">
      <c r="T41690" s="246">
        <f t="shared" si="689"/>
        <v>0</v>
      </c>
    </row>
    <row r="41691" spans="20:20" ht="18.75" customHeight="1" x14ac:dyDescent="0.35">
      <c r="T41691" s="246">
        <f t="shared" si="689"/>
        <v>0</v>
      </c>
    </row>
    <row r="41692" spans="20:20" ht="18.75" customHeight="1" x14ac:dyDescent="0.35">
      <c r="T41692" s="246">
        <f t="shared" si="689"/>
        <v>0</v>
      </c>
    </row>
    <row r="41693" spans="20:20" ht="18.75" customHeight="1" x14ac:dyDescent="0.35">
      <c r="T41693" s="246">
        <f t="shared" si="689"/>
        <v>0</v>
      </c>
    </row>
    <row r="41694" spans="20:20" ht="18.75" customHeight="1" x14ac:dyDescent="0.35">
      <c r="T41694" s="246">
        <f t="shared" si="689"/>
        <v>0</v>
      </c>
    </row>
    <row r="41695" spans="20:20" ht="18.75" customHeight="1" x14ac:dyDescent="0.35">
      <c r="T41695" s="246">
        <f t="shared" si="689"/>
        <v>0</v>
      </c>
    </row>
    <row r="41696" spans="20:20" ht="18.75" customHeight="1" x14ac:dyDescent="0.35">
      <c r="T41696" s="246">
        <f t="shared" si="689"/>
        <v>0</v>
      </c>
    </row>
    <row r="41697" spans="20:20" ht="18.75" customHeight="1" x14ac:dyDescent="0.35">
      <c r="T41697" s="246">
        <f t="shared" si="689"/>
        <v>0</v>
      </c>
    </row>
    <row r="41698" spans="20:20" ht="18.75" customHeight="1" x14ac:dyDescent="0.35">
      <c r="T41698" s="246">
        <f t="shared" si="689"/>
        <v>0</v>
      </c>
    </row>
    <row r="41699" spans="20:20" ht="18.75" customHeight="1" x14ac:dyDescent="0.35">
      <c r="T41699" s="246">
        <f t="shared" si="689"/>
        <v>0</v>
      </c>
    </row>
    <row r="41700" spans="20:20" ht="18.75" customHeight="1" x14ac:dyDescent="0.35">
      <c r="T41700" s="246">
        <f t="shared" si="689"/>
        <v>0</v>
      </c>
    </row>
    <row r="41701" spans="20:20" ht="18.75" customHeight="1" x14ac:dyDescent="0.35">
      <c r="T41701" s="246">
        <f t="shared" si="689"/>
        <v>0</v>
      </c>
    </row>
    <row r="41702" spans="20:20" ht="18.75" customHeight="1" x14ac:dyDescent="0.35">
      <c r="T41702" s="246">
        <f t="shared" si="689"/>
        <v>0</v>
      </c>
    </row>
    <row r="41703" spans="20:20" ht="18.75" customHeight="1" x14ac:dyDescent="0.35">
      <c r="T41703" s="246">
        <f t="shared" si="689"/>
        <v>0</v>
      </c>
    </row>
    <row r="41704" spans="20:20" ht="18.75" customHeight="1" x14ac:dyDescent="0.35">
      <c r="T41704" s="246">
        <f t="shared" si="689"/>
        <v>0</v>
      </c>
    </row>
    <row r="41705" spans="20:20" ht="18.75" customHeight="1" x14ac:dyDescent="0.35">
      <c r="T41705" s="246">
        <f t="shared" si="689"/>
        <v>0</v>
      </c>
    </row>
    <row r="41706" spans="20:20" ht="18.75" customHeight="1" x14ac:dyDescent="0.35">
      <c r="T41706" s="246">
        <f t="shared" si="689"/>
        <v>0</v>
      </c>
    </row>
    <row r="41707" spans="20:20" ht="18.75" customHeight="1" x14ac:dyDescent="0.35">
      <c r="T41707" s="246">
        <f t="shared" si="689"/>
        <v>0</v>
      </c>
    </row>
    <row r="41708" spans="20:20" ht="18.75" customHeight="1" x14ac:dyDescent="0.35">
      <c r="T41708" s="246">
        <f t="shared" si="689"/>
        <v>0</v>
      </c>
    </row>
    <row r="41709" spans="20:20" ht="18.75" customHeight="1" x14ac:dyDescent="0.35">
      <c r="T41709" s="246">
        <f t="shared" si="689"/>
        <v>0</v>
      </c>
    </row>
    <row r="41710" spans="20:20" ht="18.75" customHeight="1" x14ac:dyDescent="0.35">
      <c r="T41710" s="246">
        <f t="shared" si="689"/>
        <v>0</v>
      </c>
    </row>
    <row r="41711" spans="20:20" ht="18.75" customHeight="1" x14ac:dyDescent="0.35">
      <c r="T41711" s="246">
        <f t="shared" si="689"/>
        <v>0</v>
      </c>
    </row>
    <row r="41712" spans="20:20" ht="18.75" customHeight="1" x14ac:dyDescent="0.35">
      <c r="T41712" s="246">
        <f t="shared" si="689"/>
        <v>0</v>
      </c>
    </row>
    <row r="41713" spans="20:20" ht="18.75" customHeight="1" x14ac:dyDescent="0.35">
      <c r="T41713" s="246">
        <f t="shared" si="689"/>
        <v>0</v>
      </c>
    </row>
    <row r="41714" spans="20:20" ht="18.75" customHeight="1" x14ac:dyDescent="0.35">
      <c r="T41714" s="246">
        <f t="shared" si="689"/>
        <v>0</v>
      </c>
    </row>
    <row r="41715" spans="20:20" ht="18.75" customHeight="1" x14ac:dyDescent="0.35">
      <c r="T41715" s="246">
        <f t="shared" si="689"/>
        <v>0</v>
      </c>
    </row>
    <row r="41716" spans="20:20" ht="18.75" customHeight="1" x14ac:dyDescent="0.35">
      <c r="T41716" s="246">
        <f t="shared" si="689"/>
        <v>0</v>
      </c>
    </row>
    <row r="41717" spans="20:20" ht="18.75" customHeight="1" x14ac:dyDescent="0.35">
      <c r="T41717" s="246">
        <f t="shared" si="689"/>
        <v>0</v>
      </c>
    </row>
    <row r="41718" spans="20:20" ht="18.75" customHeight="1" x14ac:dyDescent="0.35">
      <c r="T41718" s="246">
        <f t="shared" si="689"/>
        <v>0</v>
      </c>
    </row>
    <row r="41719" spans="20:20" ht="18.75" customHeight="1" x14ac:dyDescent="0.35">
      <c r="T41719" s="246">
        <f t="shared" si="689"/>
        <v>0</v>
      </c>
    </row>
    <row r="41720" spans="20:20" ht="18.75" customHeight="1" x14ac:dyDescent="0.35">
      <c r="T41720" s="246">
        <f t="shared" si="689"/>
        <v>0</v>
      </c>
    </row>
    <row r="41721" spans="20:20" ht="18.75" customHeight="1" x14ac:dyDescent="0.35">
      <c r="T41721" s="246">
        <f t="shared" si="689"/>
        <v>0</v>
      </c>
    </row>
    <row r="41722" spans="20:20" ht="18.75" customHeight="1" x14ac:dyDescent="0.35">
      <c r="T41722" s="246">
        <f t="shared" si="689"/>
        <v>0</v>
      </c>
    </row>
    <row r="41723" spans="20:20" ht="18.75" customHeight="1" x14ac:dyDescent="0.35">
      <c r="T41723" s="246">
        <f t="shared" si="689"/>
        <v>0</v>
      </c>
    </row>
    <row r="41724" spans="20:20" ht="18.75" customHeight="1" x14ac:dyDescent="0.35">
      <c r="T41724" s="246">
        <f t="shared" ref="T41724:T41787" si="690">R41724*0.01</f>
        <v>0</v>
      </c>
    </row>
    <row r="41725" spans="20:20" ht="18.75" customHeight="1" x14ac:dyDescent="0.35">
      <c r="T41725" s="246">
        <f t="shared" si="690"/>
        <v>0</v>
      </c>
    </row>
    <row r="41726" spans="20:20" ht="18.75" customHeight="1" x14ac:dyDescent="0.35">
      <c r="T41726" s="246">
        <f t="shared" si="690"/>
        <v>0</v>
      </c>
    </row>
    <row r="41727" spans="20:20" ht="18.75" customHeight="1" x14ac:dyDescent="0.35">
      <c r="T41727" s="246">
        <f t="shared" si="690"/>
        <v>0</v>
      </c>
    </row>
    <row r="41728" spans="20:20" ht="18.75" customHeight="1" x14ac:dyDescent="0.35">
      <c r="T41728" s="246">
        <f t="shared" si="690"/>
        <v>0</v>
      </c>
    </row>
    <row r="41729" spans="20:20" ht="18.75" customHeight="1" x14ac:dyDescent="0.35">
      <c r="T41729" s="246">
        <f t="shared" si="690"/>
        <v>0</v>
      </c>
    </row>
    <row r="41730" spans="20:20" ht="18.75" customHeight="1" x14ac:dyDescent="0.35">
      <c r="T41730" s="246">
        <f t="shared" si="690"/>
        <v>0</v>
      </c>
    </row>
    <row r="41731" spans="20:20" ht="18.75" customHeight="1" x14ac:dyDescent="0.35">
      <c r="T41731" s="246">
        <f t="shared" si="690"/>
        <v>0</v>
      </c>
    </row>
    <row r="41732" spans="20:20" ht="18.75" customHeight="1" x14ac:dyDescent="0.35">
      <c r="T41732" s="246">
        <f t="shared" si="690"/>
        <v>0</v>
      </c>
    </row>
    <row r="41733" spans="20:20" ht="18.75" customHeight="1" x14ac:dyDescent="0.35">
      <c r="T41733" s="246">
        <f t="shared" si="690"/>
        <v>0</v>
      </c>
    </row>
    <row r="41734" spans="20:20" ht="18.75" customHeight="1" x14ac:dyDescent="0.35">
      <c r="T41734" s="246">
        <f t="shared" si="690"/>
        <v>0</v>
      </c>
    </row>
    <row r="41735" spans="20:20" ht="18.75" customHeight="1" x14ac:dyDescent="0.35">
      <c r="T41735" s="246">
        <f t="shared" si="690"/>
        <v>0</v>
      </c>
    </row>
    <row r="41736" spans="20:20" ht="18.75" customHeight="1" x14ac:dyDescent="0.35">
      <c r="T41736" s="246">
        <f t="shared" si="690"/>
        <v>0</v>
      </c>
    </row>
    <row r="41737" spans="20:20" ht="18.75" customHeight="1" x14ac:dyDescent="0.35">
      <c r="T41737" s="246">
        <f t="shared" si="690"/>
        <v>0</v>
      </c>
    </row>
    <row r="41738" spans="20:20" ht="18.75" customHeight="1" x14ac:dyDescent="0.35">
      <c r="T41738" s="246">
        <f t="shared" si="690"/>
        <v>0</v>
      </c>
    </row>
    <row r="41739" spans="20:20" ht="18.75" customHeight="1" x14ac:dyDescent="0.35">
      <c r="T41739" s="246">
        <f t="shared" si="690"/>
        <v>0</v>
      </c>
    </row>
    <row r="41740" spans="20:20" ht="18.75" customHeight="1" x14ac:dyDescent="0.35">
      <c r="T41740" s="246">
        <f t="shared" si="690"/>
        <v>0</v>
      </c>
    </row>
    <row r="41741" spans="20:20" ht="18.75" customHeight="1" x14ac:dyDescent="0.35">
      <c r="T41741" s="246">
        <f t="shared" si="690"/>
        <v>0</v>
      </c>
    </row>
    <row r="41742" spans="20:20" ht="18.75" customHeight="1" x14ac:dyDescent="0.35">
      <c r="T41742" s="246">
        <f t="shared" si="690"/>
        <v>0</v>
      </c>
    </row>
    <row r="41743" spans="20:20" ht="18.75" customHeight="1" x14ac:dyDescent="0.35">
      <c r="T41743" s="246">
        <f t="shared" si="690"/>
        <v>0</v>
      </c>
    </row>
    <row r="41744" spans="20:20" ht="18.75" customHeight="1" x14ac:dyDescent="0.35">
      <c r="T41744" s="246">
        <f t="shared" si="690"/>
        <v>0</v>
      </c>
    </row>
    <row r="41745" spans="20:20" ht="18.75" customHeight="1" x14ac:dyDescent="0.35">
      <c r="T41745" s="246">
        <f t="shared" si="690"/>
        <v>0</v>
      </c>
    </row>
    <row r="41746" spans="20:20" ht="18.75" customHeight="1" x14ac:dyDescent="0.35">
      <c r="T41746" s="246">
        <f t="shared" si="690"/>
        <v>0</v>
      </c>
    </row>
    <row r="41747" spans="20:20" ht="18.75" customHeight="1" x14ac:dyDescent="0.35">
      <c r="T41747" s="246">
        <f t="shared" si="690"/>
        <v>0</v>
      </c>
    </row>
    <row r="41748" spans="20:20" ht="18.75" customHeight="1" x14ac:dyDescent="0.35">
      <c r="T41748" s="246">
        <f t="shared" si="690"/>
        <v>0</v>
      </c>
    </row>
    <row r="41749" spans="20:20" ht="18.75" customHeight="1" x14ac:dyDescent="0.35">
      <c r="T41749" s="246">
        <f t="shared" si="690"/>
        <v>0</v>
      </c>
    </row>
    <row r="41750" spans="20:20" ht="18.75" customHeight="1" x14ac:dyDescent="0.35">
      <c r="T41750" s="246">
        <f t="shared" si="690"/>
        <v>0</v>
      </c>
    </row>
    <row r="41751" spans="20:20" ht="18.75" customHeight="1" x14ac:dyDescent="0.35">
      <c r="T41751" s="246">
        <f t="shared" si="690"/>
        <v>0</v>
      </c>
    </row>
    <row r="41752" spans="20:20" ht="18.75" customHeight="1" x14ac:dyDescent="0.35">
      <c r="T41752" s="246">
        <f t="shared" si="690"/>
        <v>0</v>
      </c>
    </row>
    <row r="41753" spans="20:20" ht="18.75" customHeight="1" x14ac:dyDescent="0.35">
      <c r="T41753" s="246">
        <f t="shared" si="690"/>
        <v>0</v>
      </c>
    </row>
    <row r="41754" spans="20:20" ht="18.75" customHeight="1" x14ac:dyDescent="0.35">
      <c r="T41754" s="246">
        <f t="shared" si="690"/>
        <v>0</v>
      </c>
    </row>
    <row r="41755" spans="20:20" ht="18.75" customHeight="1" x14ac:dyDescent="0.35">
      <c r="T41755" s="246">
        <f t="shared" si="690"/>
        <v>0</v>
      </c>
    </row>
    <row r="41756" spans="20:20" ht="18.75" customHeight="1" x14ac:dyDescent="0.35">
      <c r="T41756" s="246">
        <f t="shared" si="690"/>
        <v>0</v>
      </c>
    </row>
    <row r="41757" spans="20:20" ht="18.75" customHeight="1" x14ac:dyDescent="0.35">
      <c r="T41757" s="246">
        <f t="shared" si="690"/>
        <v>0</v>
      </c>
    </row>
    <row r="41758" spans="20:20" ht="18.75" customHeight="1" x14ac:dyDescent="0.35">
      <c r="T41758" s="246">
        <f t="shared" si="690"/>
        <v>0</v>
      </c>
    </row>
    <row r="41759" spans="20:20" ht="18.75" customHeight="1" x14ac:dyDescent="0.35">
      <c r="T41759" s="246">
        <f t="shared" si="690"/>
        <v>0</v>
      </c>
    </row>
    <row r="41760" spans="20:20" ht="18.75" customHeight="1" x14ac:dyDescent="0.35">
      <c r="T41760" s="246">
        <f t="shared" si="690"/>
        <v>0</v>
      </c>
    </row>
    <row r="41761" spans="20:20" ht="18.75" customHeight="1" x14ac:dyDescent="0.35">
      <c r="T41761" s="246">
        <f t="shared" si="690"/>
        <v>0</v>
      </c>
    </row>
    <row r="41762" spans="20:20" ht="18.75" customHeight="1" x14ac:dyDescent="0.35">
      <c r="T41762" s="246">
        <f t="shared" si="690"/>
        <v>0</v>
      </c>
    </row>
    <row r="41763" spans="20:20" ht="18.75" customHeight="1" x14ac:dyDescent="0.35">
      <c r="T41763" s="246">
        <f t="shared" si="690"/>
        <v>0</v>
      </c>
    </row>
    <row r="41764" spans="20:20" ht="18.75" customHeight="1" x14ac:dyDescent="0.35">
      <c r="T41764" s="246">
        <f t="shared" si="690"/>
        <v>0</v>
      </c>
    </row>
    <row r="41765" spans="20:20" ht="18.75" customHeight="1" x14ac:dyDescent="0.35">
      <c r="T41765" s="246">
        <f t="shared" si="690"/>
        <v>0</v>
      </c>
    </row>
    <row r="41766" spans="20:20" ht="18.75" customHeight="1" x14ac:dyDescent="0.35">
      <c r="T41766" s="246">
        <f t="shared" si="690"/>
        <v>0</v>
      </c>
    </row>
    <row r="41767" spans="20:20" ht="18.75" customHeight="1" x14ac:dyDescent="0.35">
      <c r="T41767" s="246">
        <f t="shared" si="690"/>
        <v>0</v>
      </c>
    </row>
    <row r="41768" spans="20:20" ht="18.75" customHeight="1" x14ac:dyDescent="0.35">
      <c r="T41768" s="246">
        <f t="shared" si="690"/>
        <v>0</v>
      </c>
    </row>
    <row r="41769" spans="20:20" ht="18.75" customHeight="1" x14ac:dyDescent="0.35">
      <c r="T41769" s="246">
        <f t="shared" si="690"/>
        <v>0</v>
      </c>
    </row>
    <row r="41770" spans="20:20" ht="18.75" customHeight="1" x14ac:dyDescent="0.35">
      <c r="T41770" s="246">
        <f t="shared" si="690"/>
        <v>0</v>
      </c>
    </row>
    <row r="41771" spans="20:20" ht="18.75" customHeight="1" x14ac:dyDescent="0.35">
      <c r="T41771" s="246">
        <f t="shared" si="690"/>
        <v>0</v>
      </c>
    </row>
    <row r="41772" spans="20:20" ht="18.75" customHeight="1" x14ac:dyDescent="0.35">
      <c r="T41772" s="246">
        <f t="shared" si="690"/>
        <v>0</v>
      </c>
    </row>
    <row r="41773" spans="20:20" ht="18.75" customHeight="1" x14ac:dyDescent="0.35">
      <c r="T41773" s="246">
        <f t="shared" si="690"/>
        <v>0</v>
      </c>
    </row>
    <row r="41774" spans="20:20" ht="18.75" customHeight="1" x14ac:dyDescent="0.35">
      <c r="T41774" s="246">
        <f t="shared" si="690"/>
        <v>0</v>
      </c>
    </row>
    <row r="41775" spans="20:20" ht="18.75" customHeight="1" x14ac:dyDescent="0.35">
      <c r="T41775" s="246">
        <f t="shared" si="690"/>
        <v>0</v>
      </c>
    </row>
    <row r="41776" spans="20:20" ht="18.75" customHeight="1" x14ac:dyDescent="0.35">
      <c r="T41776" s="246">
        <f t="shared" si="690"/>
        <v>0</v>
      </c>
    </row>
    <row r="41777" spans="20:20" ht="18.75" customHeight="1" x14ac:dyDescent="0.35">
      <c r="T41777" s="246">
        <f t="shared" si="690"/>
        <v>0</v>
      </c>
    </row>
    <row r="41778" spans="20:20" ht="18.75" customHeight="1" x14ac:dyDescent="0.35">
      <c r="T41778" s="246">
        <f t="shared" si="690"/>
        <v>0</v>
      </c>
    </row>
    <row r="41779" spans="20:20" ht="18.75" customHeight="1" x14ac:dyDescent="0.35">
      <c r="T41779" s="246">
        <f t="shared" si="690"/>
        <v>0</v>
      </c>
    </row>
    <row r="41780" spans="20:20" ht="18.75" customHeight="1" x14ac:dyDescent="0.35">
      <c r="T41780" s="246">
        <f t="shared" si="690"/>
        <v>0</v>
      </c>
    </row>
    <row r="41781" spans="20:20" ht="18.75" customHeight="1" x14ac:dyDescent="0.35">
      <c r="T41781" s="246">
        <f t="shared" si="690"/>
        <v>0</v>
      </c>
    </row>
    <row r="41782" spans="20:20" ht="18.75" customHeight="1" x14ac:dyDescent="0.35">
      <c r="T41782" s="246">
        <f t="shared" si="690"/>
        <v>0</v>
      </c>
    </row>
    <row r="41783" spans="20:20" ht="18.75" customHeight="1" x14ac:dyDescent="0.35">
      <c r="T41783" s="246">
        <f t="shared" si="690"/>
        <v>0</v>
      </c>
    </row>
    <row r="41784" spans="20:20" ht="18.75" customHeight="1" x14ac:dyDescent="0.35">
      <c r="T41784" s="246">
        <f t="shared" si="690"/>
        <v>0</v>
      </c>
    </row>
    <row r="41785" spans="20:20" ht="18.75" customHeight="1" x14ac:dyDescent="0.35">
      <c r="T41785" s="246">
        <f t="shared" si="690"/>
        <v>0</v>
      </c>
    </row>
    <row r="41786" spans="20:20" ht="18.75" customHeight="1" x14ac:dyDescent="0.35">
      <c r="T41786" s="246">
        <f t="shared" si="690"/>
        <v>0</v>
      </c>
    </row>
    <row r="41787" spans="20:20" ht="18.75" customHeight="1" x14ac:dyDescent="0.35">
      <c r="T41787" s="246">
        <f t="shared" si="690"/>
        <v>0</v>
      </c>
    </row>
    <row r="41788" spans="20:20" ht="18.75" customHeight="1" x14ac:dyDescent="0.35">
      <c r="T41788" s="246">
        <f t="shared" ref="T41788:T41851" si="691">R41788*0.01</f>
        <v>0</v>
      </c>
    </row>
    <row r="41789" spans="20:20" ht="18.75" customHeight="1" x14ac:dyDescent="0.35">
      <c r="T41789" s="246">
        <f t="shared" si="691"/>
        <v>0</v>
      </c>
    </row>
    <row r="41790" spans="20:20" ht="18.75" customHeight="1" x14ac:dyDescent="0.35">
      <c r="T41790" s="246">
        <f t="shared" si="691"/>
        <v>0</v>
      </c>
    </row>
    <row r="41791" spans="20:20" ht="18.75" customHeight="1" x14ac:dyDescent="0.35">
      <c r="T41791" s="246">
        <f t="shared" si="691"/>
        <v>0</v>
      </c>
    </row>
    <row r="41792" spans="20:20" ht="18.75" customHeight="1" x14ac:dyDescent="0.35">
      <c r="T41792" s="246">
        <f t="shared" si="691"/>
        <v>0</v>
      </c>
    </row>
    <row r="41793" spans="20:20" ht="18.75" customHeight="1" x14ac:dyDescent="0.35">
      <c r="T41793" s="246">
        <f t="shared" si="691"/>
        <v>0</v>
      </c>
    </row>
    <row r="41794" spans="20:20" ht="18.75" customHeight="1" x14ac:dyDescent="0.35">
      <c r="T41794" s="246">
        <f t="shared" si="691"/>
        <v>0</v>
      </c>
    </row>
    <row r="41795" spans="20:20" ht="18.75" customHeight="1" x14ac:dyDescent="0.35">
      <c r="T41795" s="246">
        <f t="shared" si="691"/>
        <v>0</v>
      </c>
    </row>
    <row r="41796" spans="20:20" ht="18.75" customHeight="1" x14ac:dyDescent="0.35">
      <c r="T41796" s="246">
        <f t="shared" si="691"/>
        <v>0</v>
      </c>
    </row>
    <row r="41797" spans="20:20" ht="18.75" customHeight="1" x14ac:dyDescent="0.35">
      <c r="T41797" s="246">
        <f t="shared" si="691"/>
        <v>0</v>
      </c>
    </row>
    <row r="41798" spans="20:20" ht="18.75" customHeight="1" x14ac:dyDescent="0.35">
      <c r="T41798" s="246">
        <f t="shared" si="691"/>
        <v>0</v>
      </c>
    </row>
    <row r="41799" spans="20:20" ht="18.75" customHeight="1" x14ac:dyDescent="0.35">
      <c r="T41799" s="246">
        <f t="shared" si="691"/>
        <v>0</v>
      </c>
    </row>
    <row r="41800" spans="20:20" ht="18.75" customHeight="1" x14ac:dyDescent="0.35">
      <c r="T41800" s="246">
        <f t="shared" si="691"/>
        <v>0</v>
      </c>
    </row>
    <row r="41801" spans="20:20" ht="18.75" customHeight="1" x14ac:dyDescent="0.35">
      <c r="T41801" s="246">
        <f t="shared" si="691"/>
        <v>0</v>
      </c>
    </row>
    <row r="41802" spans="20:20" ht="18.75" customHeight="1" x14ac:dyDescent="0.35">
      <c r="T41802" s="246">
        <f t="shared" si="691"/>
        <v>0</v>
      </c>
    </row>
    <row r="41803" spans="20:20" ht="18.75" customHeight="1" x14ac:dyDescent="0.35">
      <c r="T41803" s="246">
        <f t="shared" si="691"/>
        <v>0</v>
      </c>
    </row>
    <row r="41804" spans="20:20" ht="18.75" customHeight="1" x14ac:dyDescent="0.35">
      <c r="T41804" s="246">
        <f t="shared" si="691"/>
        <v>0</v>
      </c>
    </row>
    <row r="41805" spans="20:20" ht="18.75" customHeight="1" x14ac:dyDescent="0.35">
      <c r="T41805" s="246">
        <f t="shared" si="691"/>
        <v>0</v>
      </c>
    </row>
    <row r="41806" spans="20:20" ht="18.75" customHeight="1" x14ac:dyDescent="0.35">
      <c r="T41806" s="246">
        <f t="shared" si="691"/>
        <v>0</v>
      </c>
    </row>
    <row r="41807" spans="20:20" ht="18.75" customHeight="1" x14ac:dyDescent="0.35">
      <c r="T41807" s="246">
        <f t="shared" si="691"/>
        <v>0</v>
      </c>
    </row>
    <row r="41808" spans="20:20" ht="18.75" customHeight="1" x14ac:dyDescent="0.35">
      <c r="T41808" s="246">
        <f t="shared" si="691"/>
        <v>0</v>
      </c>
    </row>
    <row r="41809" spans="20:20" ht="18.75" customHeight="1" x14ac:dyDescent="0.35">
      <c r="T41809" s="246">
        <f t="shared" si="691"/>
        <v>0</v>
      </c>
    </row>
    <row r="41810" spans="20:20" ht="18.75" customHeight="1" x14ac:dyDescent="0.35">
      <c r="T41810" s="246">
        <f t="shared" si="691"/>
        <v>0</v>
      </c>
    </row>
    <row r="41811" spans="20:20" ht="18.75" customHeight="1" x14ac:dyDescent="0.35">
      <c r="T41811" s="246">
        <f t="shared" si="691"/>
        <v>0</v>
      </c>
    </row>
    <row r="41812" spans="20:20" ht="18.75" customHeight="1" x14ac:dyDescent="0.35">
      <c r="T41812" s="246">
        <f t="shared" si="691"/>
        <v>0</v>
      </c>
    </row>
    <row r="41813" spans="20:20" ht="18.75" customHeight="1" x14ac:dyDescent="0.35">
      <c r="T41813" s="246">
        <f t="shared" si="691"/>
        <v>0</v>
      </c>
    </row>
    <row r="41814" spans="20:20" ht="18.75" customHeight="1" x14ac:dyDescent="0.35">
      <c r="T41814" s="246">
        <f t="shared" si="691"/>
        <v>0</v>
      </c>
    </row>
    <row r="41815" spans="20:20" ht="18.75" customHeight="1" x14ac:dyDescent="0.35">
      <c r="T41815" s="246">
        <f t="shared" si="691"/>
        <v>0</v>
      </c>
    </row>
    <row r="41816" spans="20:20" ht="18.75" customHeight="1" x14ac:dyDescent="0.35">
      <c r="T41816" s="246">
        <f t="shared" si="691"/>
        <v>0</v>
      </c>
    </row>
    <row r="41817" spans="20:20" ht="18.75" customHeight="1" x14ac:dyDescent="0.35">
      <c r="T41817" s="246">
        <f t="shared" si="691"/>
        <v>0</v>
      </c>
    </row>
    <row r="41818" spans="20:20" ht="18.75" customHeight="1" x14ac:dyDescent="0.35">
      <c r="T41818" s="246">
        <f t="shared" si="691"/>
        <v>0</v>
      </c>
    </row>
    <row r="41819" spans="20:20" ht="18.75" customHeight="1" x14ac:dyDescent="0.35">
      <c r="T41819" s="246">
        <f t="shared" si="691"/>
        <v>0</v>
      </c>
    </row>
    <row r="41820" spans="20:20" ht="18.75" customHeight="1" x14ac:dyDescent="0.35">
      <c r="T41820" s="246">
        <f t="shared" si="691"/>
        <v>0</v>
      </c>
    </row>
    <row r="41821" spans="20:20" ht="18.75" customHeight="1" x14ac:dyDescent="0.35">
      <c r="T41821" s="246">
        <f t="shared" si="691"/>
        <v>0</v>
      </c>
    </row>
    <row r="41822" spans="20:20" ht="18.75" customHeight="1" x14ac:dyDescent="0.35">
      <c r="T41822" s="246">
        <f t="shared" si="691"/>
        <v>0</v>
      </c>
    </row>
    <row r="41823" spans="20:20" ht="18.75" customHeight="1" x14ac:dyDescent="0.35">
      <c r="T41823" s="246">
        <f t="shared" si="691"/>
        <v>0</v>
      </c>
    </row>
    <row r="41824" spans="20:20" ht="18.75" customHeight="1" x14ac:dyDescent="0.35">
      <c r="T41824" s="246">
        <f t="shared" si="691"/>
        <v>0</v>
      </c>
    </row>
    <row r="41825" spans="20:20" ht="18.75" customHeight="1" x14ac:dyDescent="0.35">
      <c r="T41825" s="246">
        <f t="shared" si="691"/>
        <v>0</v>
      </c>
    </row>
    <row r="41826" spans="20:20" ht="18.75" customHeight="1" x14ac:dyDescent="0.35">
      <c r="T41826" s="246">
        <f t="shared" si="691"/>
        <v>0</v>
      </c>
    </row>
    <row r="41827" spans="20:20" ht="18.75" customHeight="1" x14ac:dyDescent="0.35">
      <c r="T41827" s="246">
        <f t="shared" si="691"/>
        <v>0</v>
      </c>
    </row>
    <row r="41828" spans="20:20" ht="18.75" customHeight="1" x14ac:dyDescent="0.35">
      <c r="T41828" s="246">
        <f t="shared" si="691"/>
        <v>0</v>
      </c>
    </row>
    <row r="41829" spans="20:20" ht="18.75" customHeight="1" x14ac:dyDescent="0.35">
      <c r="T41829" s="246">
        <f t="shared" si="691"/>
        <v>0</v>
      </c>
    </row>
    <row r="41830" spans="20:20" ht="18.75" customHeight="1" x14ac:dyDescent="0.35">
      <c r="T41830" s="246">
        <f t="shared" si="691"/>
        <v>0</v>
      </c>
    </row>
    <row r="41831" spans="20:20" ht="18.75" customHeight="1" x14ac:dyDescent="0.35">
      <c r="T41831" s="246">
        <f t="shared" si="691"/>
        <v>0</v>
      </c>
    </row>
    <row r="41832" spans="20:20" ht="18.75" customHeight="1" x14ac:dyDescent="0.35">
      <c r="T41832" s="246">
        <f t="shared" si="691"/>
        <v>0</v>
      </c>
    </row>
    <row r="41833" spans="20:20" ht="18.75" customHeight="1" x14ac:dyDescent="0.35">
      <c r="T41833" s="246">
        <f t="shared" si="691"/>
        <v>0</v>
      </c>
    </row>
    <row r="41834" spans="20:20" ht="18.75" customHeight="1" x14ac:dyDescent="0.35">
      <c r="T41834" s="246">
        <f t="shared" si="691"/>
        <v>0</v>
      </c>
    </row>
    <row r="41835" spans="20:20" ht="18.75" customHeight="1" x14ac:dyDescent="0.35">
      <c r="T41835" s="246">
        <f t="shared" si="691"/>
        <v>0</v>
      </c>
    </row>
    <row r="41836" spans="20:20" ht="18.75" customHeight="1" x14ac:dyDescent="0.35">
      <c r="T41836" s="246">
        <f t="shared" si="691"/>
        <v>0</v>
      </c>
    </row>
    <row r="41837" spans="20:20" ht="18.75" customHeight="1" x14ac:dyDescent="0.35">
      <c r="T41837" s="246">
        <f t="shared" si="691"/>
        <v>0</v>
      </c>
    </row>
    <row r="41838" spans="20:20" ht="18.75" customHeight="1" x14ac:dyDescent="0.35">
      <c r="T41838" s="246">
        <f t="shared" si="691"/>
        <v>0</v>
      </c>
    </row>
    <row r="41839" spans="20:20" ht="18.75" customHeight="1" x14ac:dyDescent="0.35">
      <c r="T41839" s="246">
        <f t="shared" si="691"/>
        <v>0</v>
      </c>
    </row>
    <row r="41840" spans="20:20" ht="18.75" customHeight="1" x14ac:dyDescent="0.35">
      <c r="T41840" s="246">
        <f t="shared" si="691"/>
        <v>0</v>
      </c>
    </row>
    <row r="41841" spans="20:20" ht="18.75" customHeight="1" x14ac:dyDescent="0.35">
      <c r="T41841" s="246">
        <f t="shared" si="691"/>
        <v>0</v>
      </c>
    </row>
    <row r="41842" spans="20:20" ht="18.75" customHeight="1" x14ac:dyDescent="0.35">
      <c r="T41842" s="246">
        <f t="shared" si="691"/>
        <v>0</v>
      </c>
    </row>
    <row r="41843" spans="20:20" ht="18.75" customHeight="1" x14ac:dyDescent="0.35">
      <c r="T41843" s="246">
        <f t="shared" si="691"/>
        <v>0</v>
      </c>
    </row>
    <row r="41844" spans="20:20" ht="18.75" customHeight="1" x14ac:dyDescent="0.35">
      <c r="T41844" s="246">
        <f t="shared" si="691"/>
        <v>0</v>
      </c>
    </row>
    <row r="41845" spans="20:20" ht="18.75" customHeight="1" x14ac:dyDescent="0.35">
      <c r="T41845" s="246">
        <f t="shared" si="691"/>
        <v>0</v>
      </c>
    </row>
    <row r="41846" spans="20:20" ht="18.75" customHeight="1" x14ac:dyDescent="0.35">
      <c r="T41846" s="246">
        <f t="shared" si="691"/>
        <v>0</v>
      </c>
    </row>
    <row r="41847" spans="20:20" ht="18.75" customHeight="1" x14ac:dyDescent="0.35">
      <c r="T41847" s="246">
        <f t="shared" si="691"/>
        <v>0</v>
      </c>
    </row>
    <row r="41848" spans="20:20" ht="18.75" customHeight="1" x14ac:dyDescent="0.35">
      <c r="T41848" s="246">
        <f t="shared" si="691"/>
        <v>0</v>
      </c>
    </row>
    <row r="41849" spans="20:20" ht="18.75" customHeight="1" x14ac:dyDescent="0.35">
      <c r="T41849" s="246">
        <f t="shared" si="691"/>
        <v>0</v>
      </c>
    </row>
    <row r="41850" spans="20:20" ht="18.75" customHeight="1" x14ac:dyDescent="0.35">
      <c r="T41850" s="246">
        <f t="shared" si="691"/>
        <v>0</v>
      </c>
    </row>
    <row r="41851" spans="20:20" ht="18.75" customHeight="1" x14ac:dyDescent="0.35">
      <c r="T41851" s="246">
        <f t="shared" si="691"/>
        <v>0</v>
      </c>
    </row>
    <row r="41852" spans="20:20" ht="18.75" customHeight="1" x14ac:dyDescent="0.35">
      <c r="T41852" s="246">
        <f t="shared" ref="T41852:T41915" si="692">R41852*0.01</f>
        <v>0</v>
      </c>
    </row>
    <row r="41853" spans="20:20" ht="18.75" customHeight="1" x14ac:dyDescent="0.35">
      <c r="T41853" s="246">
        <f t="shared" si="692"/>
        <v>0</v>
      </c>
    </row>
    <row r="41854" spans="20:20" ht="18.75" customHeight="1" x14ac:dyDescent="0.35">
      <c r="T41854" s="246">
        <f t="shared" si="692"/>
        <v>0</v>
      </c>
    </row>
    <row r="41855" spans="20:20" ht="18.75" customHeight="1" x14ac:dyDescent="0.35">
      <c r="T41855" s="246">
        <f t="shared" si="692"/>
        <v>0</v>
      </c>
    </row>
    <row r="41856" spans="20:20" ht="18.75" customHeight="1" x14ac:dyDescent="0.35">
      <c r="T41856" s="246">
        <f t="shared" si="692"/>
        <v>0</v>
      </c>
    </row>
    <row r="41857" spans="20:20" ht="18.75" customHeight="1" x14ac:dyDescent="0.35">
      <c r="T41857" s="246">
        <f t="shared" si="692"/>
        <v>0</v>
      </c>
    </row>
    <row r="41858" spans="20:20" ht="18.75" customHeight="1" x14ac:dyDescent="0.35">
      <c r="T41858" s="246">
        <f t="shared" si="692"/>
        <v>0</v>
      </c>
    </row>
    <row r="41859" spans="20:20" ht="18.75" customHeight="1" x14ac:dyDescent="0.35">
      <c r="T41859" s="246">
        <f t="shared" si="692"/>
        <v>0</v>
      </c>
    </row>
    <row r="41860" spans="20:20" ht="18.75" customHeight="1" x14ac:dyDescent="0.35">
      <c r="T41860" s="246">
        <f t="shared" si="692"/>
        <v>0</v>
      </c>
    </row>
    <row r="41861" spans="20:20" ht="18.75" customHeight="1" x14ac:dyDescent="0.35">
      <c r="T41861" s="246">
        <f t="shared" si="692"/>
        <v>0</v>
      </c>
    </row>
    <row r="41862" spans="20:20" ht="18.75" customHeight="1" x14ac:dyDescent="0.35">
      <c r="T41862" s="246">
        <f t="shared" si="692"/>
        <v>0</v>
      </c>
    </row>
    <row r="41863" spans="20:20" ht="18.75" customHeight="1" x14ac:dyDescent="0.35">
      <c r="T41863" s="246">
        <f t="shared" si="692"/>
        <v>0</v>
      </c>
    </row>
    <row r="41864" spans="20:20" ht="18.75" customHeight="1" x14ac:dyDescent="0.35">
      <c r="T41864" s="246">
        <f t="shared" si="692"/>
        <v>0</v>
      </c>
    </row>
    <row r="41865" spans="20:20" ht="18.75" customHeight="1" x14ac:dyDescent="0.35">
      <c r="T41865" s="246">
        <f t="shared" si="692"/>
        <v>0</v>
      </c>
    </row>
    <row r="41866" spans="20:20" ht="18.75" customHeight="1" x14ac:dyDescent="0.35">
      <c r="T41866" s="246">
        <f t="shared" si="692"/>
        <v>0</v>
      </c>
    </row>
    <row r="41867" spans="20:20" ht="18.75" customHeight="1" x14ac:dyDescent="0.35">
      <c r="T41867" s="246">
        <f t="shared" si="692"/>
        <v>0</v>
      </c>
    </row>
    <row r="41868" spans="20:20" ht="18.75" customHeight="1" x14ac:dyDescent="0.35">
      <c r="T41868" s="246">
        <f t="shared" si="692"/>
        <v>0</v>
      </c>
    </row>
    <row r="41869" spans="20:20" ht="18.75" customHeight="1" x14ac:dyDescent="0.35">
      <c r="T41869" s="246">
        <f t="shared" si="692"/>
        <v>0</v>
      </c>
    </row>
    <row r="41870" spans="20:20" ht="18.75" customHeight="1" x14ac:dyDescent="0.35">
      <c r="T41870" s="246">
        <f t="shared" si="692"/>
        <v>0</v>
      </c>
    </row>
    <row r="41871" spans="20:20" ht="18.75" customHeight="1" x14ac:dyDescent="0.35">
      <c r="T41871" s="246">
        <f t="shared" si="692"/>
        <v>0</v>
      </c>
    </row>
    <row r="41872" spans="20:20" ht="18.75" customHeight="1" x14ac:dyDescent="0.35">
      <c r="T41872" s="246">
        <f t="shared" si="692"/>
        <v>0</v>
      </c>
    </row>
    <row r="41873" spans="20:20" ht="18.75" customHeight="1" x14ac:dyDescent="0.35">
      <c r="T41873" s="246">
        <f t="shared" si="692"/>
        <v>0</v>
      </c>
    </row>
    <row r="41874" spans="20:20" ht="18.75" customHeight="1" x14ac:dyDescent="0.35">
      <c r="T41874" s="246">
        <f t="shared" si="692"/>
        <v>0</v>
      </c>
    </row>
    <row r="41875" spans="20:20" ht="18.75" customHeight="1" x14ac:dyDescent="0.35">
      <c r="T41875" s="246">
        <f t="shared" si="692"/>
        <v>0</v>
      </c>
    </row>
    <row r="41876" spans="20:20" ht="18.75" customHeight="1" x14ac:dyDescent="0.35">
      <c r="T41876" s="246">
        <f t="shared" si="692"/>
        <v>0</v>
      </c>
    </row>
    <row r="41877" spans="20:20" ht="18.75" customHeight="1" x14ac:dyDescent="0.35">
      <c r="T41877" s="246">
        <f t="shared" si="692"/>
        <v>0</v>
      </c>
    </row>
    <row r="41878" spans="20:20" ht="18.75" customHeight="1" x14ac:dyDescent="0.35">
      <c r="T41878" s="246">
        <f t="shared" si="692"/>
        <v>0</v>
      </c>
    </row>
    <row r="41879" spans="20:20" ht="18.75" customHeight="1" x14ac:dyDescent="0.35">
      <c r="T41879" s="246">
        <f t="shared" si="692"/>
        <v>0</v>
      </c>
    </row>
    <row r="41880" spans="20:20" ht="18.75" customHeight="1" x14ac:dyDescent="0.35">
      <c r="T41880" s="246">
        <f t="shared" si="692"/>
        <v>0</v>
      </c>
    </row>
    <row r="41881" spans="20:20" ht="18.75" customHeight="1" x14ac:dyDescent="0.35">
      <c r="T41881" s="246">
        <f t="shared" si="692"/>
        <v>0</v>
      </c>
    </row>
    <row r="41882" spans="20:20" ht="18.75" customHeight="1" x14ac:dyDescent="0.35">
      <c r="T41882" s="246">
        <f t="shared" si="692"/>
        <v>0</v>
      </c>
    </row>
    <row r="41883" spans="20:20" ht="18.75" customHeight="1" x14ac:dyDescent="0.35">
      <c r="T41883" s="246">
        <f t="shared" si="692"/>
        <v>0</v>
      </c>
    </row>
    <row r="41884" spans="20:20" ht="18.75" customHeight="1" x14ac:dyDescent="0.35">
      <c r="T41884" s="246">
        <f t="shared" si="692"/>
        <v>0</v>
      </c>
    </row>
    <row r="41885" spans="20:20" ht="18.75" customHeight="1" x14ac:dyDescent="0.35">
      <c r="T41885" s="246">
        <f t="shared" si="692"/>
        <v>0</v>
      </c>
    </row>
    <row r="41886" spans="20:20" ht="18.75" customHeight="1" x14ac:dyDescent="0.35">
      <c r="T41886" s="246">
        <f t="shared" si="692"/>
        <v>0</v>
      </c>
    </row>
    <row r="41887" spans="20:20" ht="18.75" customHeight="1" x14ac:dyDescent="0.35">
      <c r="T41887" s="246">
        <f t="shared" si="692"/>
        <v>0</v>
      </c>
    </row>
    <row r="41888" spans="20:20" ht="18.75" customHeight="1" x14ac:dyDescent="0.35">
      <c r="T41888" s="246">
        <f t="shared" si="692"/>
        <v>0</v>
      </c>
    </row>
    <row r="41889" spans="20:20" ht="18.75" customHeight="1" x14ac:dyDescent="0.35">
      <c r="T41889" s="246">
        <f t="shared" si="692"/>
        <v>0</v>
      </c>
    </row>
    <row r="41890" spans="20:20" ht="18.75" customHeight="1" x14ac:dyDescent="0.35">
      <c r="T41890" s="246">
        <f t="shared" si="692"/>
        <v>0</v>
      </c>
    </row>
    <row r="41891" spans="20:20" ht="18.75" customHeight="1" x14ac:dyDescent="0.35">
      <c r="T41891" s="246">
        <f t="shared" si="692"/>
        <v>0</v>
      </c>
    </row>
    <row r="41892" spans="20:20" ht="18.75" customHeight="1" x14ac:dyDescent="0.35">
      <c r="T41892" s="246">
        <f t="shared" si="692"/>
        <v>0</v>
      </c>
    </row>
    <row r="41893" spans="20:20" ht="18.75" customHeight="1" x14ac:dyDescent="0.35">
      <c r="T41893" s="246">
        <f t="shared" si="692"/>
        <v>0</v>
      </c>
    </row>
    <row r="41894" spans="20:20" ht="18.75" customHeight="1" x14ac:dyDescent="0.35">
      <c r="T41894" s="246">
        <f t="shared" si="692"/>
        <v>0</v>
      </c>
    </row>
    <row r="41895" spans="20:20" ht="18.75" customHeight="1" x14ac:dyDescent="0.35">
      <c r="T41895" s="246">
        <f t="shared" si="692"/>
        <v>0</v>
      </c>
    </row>
    <row r="41896" spans="20:20" ht="18.75" customHeight="1" x14ac:dyDescent="0.35">
      <c r="T41896" s="246">
        <f t="shared" si="692"/>
        <v>0</v>
      </c>
    </row>
    <row r="41897" spans="20:20" ht="18.75" customHeight="1" x14ac:dyDescent="0.35">
      <c r="T41897" s="246">
        <f t="shared" si="692"/>
        <v>0</v>
      </c>
    </row>
    <row r="41898" spans="20:20" ht="18.75" customHeight="1" x14ac:dyDescent="0.35">
      <c r="T41898" s="246">
        <f t="shared" si="692"/>
        <v>0</v>
      </c>
    </row>
    <row r="41899" spans="20:20" ht="18.75" customHeight="1" x14ac:dyDescent="0.35">
      <c r="T41899" s="246">
        <f t="shared" si="692"/>
        <v>0</v>
      </c>
    </row>
    <row r="41900" spans="20:20" ht="18.75" customHeight="1" x14ac:dyDescent="0.35">
      <c r="T41900" s="246">
        <f t="shared" si="692"/>
        <v>0</v>
      </c>
    </row>
    <row r="41901" spans="20:20" ht="18.75" customHeight="1" x14ac:dyDescent="0.35">
      <c r="T41901" s="246">
        <f t="shared" si="692"/>
        <v>0</v>
      </c>
    </row>
    <row r="41902" spans="20:20" ht="18.75" customHeight="1" x14ac:dyDescent="0.35">
      <c r="T41902" s="246">
        <f t="shared" si="692"/>
        <v>0</v>
      </c>
    </row>
    <row r="41903" spans="20:20" ht="18.75" customHeight="1" x14ac:dyDescent="0.35">
      <c r="T41903" s="246">
        <f t="shared" si="692"/>
        <v>0</v>
      </c>
    </row>
    <row r="41904" spans="20:20" ht="18.75" customHeight="1" x14ac:dyDescent="0.35">
      <c r="T41904" s="246">
        <f t="shared" si="692"/>
        <v>0</v>
      </c>
    </row>
    <row r="41905" spans="20:20" ht="18.75" customHeight="1" x14ac:dyDescent="0.35">
      <c r="T41905" s="246">
        <f t="shared" si="692"/>
        <v>0</v>
      </c>
    </row>
    <row r="41906" spans="20:20" ht="18.75" customHeight="1" x14ac:dyDescent="0.35">
      <c r="T41906" s="246">
        <f t="shared" si="692"/>
        <v>0</v>
      </c>
    </row>
    <row r="41907" spans="20:20" ht="18.75" customHeight="1" x14ac:dyDescent="0.35">
      <c r="T41907" s="246">
        <f t="shared" si="692"/>
        <v>0</v>
      </c>
    </row>
    <row r="41908" spans="20:20" ht="18.75" customHeight="1" x14ac:dyDescent="0.35">
      <c r="T41908" s="246">
        <f t="shared" si="692"/>
        <v>0</v>
      </c>
    </row>
    <row r="41909" spans="20:20" ht="18.75" customHeight="1" x14ac:dyDescent="0.35">
      <c r="T41909" s="246">
        <f t="shared" si="692"/>
        <v>0</v>
      </c>
    </row>
    <row r="41910" spans="20:20" ht="18.75" customHeight="1" x14ac:dyDescent="0.35">
      <c r="T41910" s="246">
        <f t="shared" si="692"/>
        <v>0</v>
      </c>
    </row>
    <row r="41911" spans="20:20" ht="18.75" customHeight="1" x14ac:dyDescent="0.35">
      <c r="T41911" s="246">
        <f t="shared" si="692"/>
        <v>0</v>
      </c>
    </row>
    <row r="41912" spans="20:20" ht="18.75" customHeight="1" x14ac:dyDescent="0.35">
      <c r="T41912" s="246">
        <f t="shared" si="692"/>
        <v>0</v>
      </c>
    </row>
    <row r="41913" spans="20:20" ht="18.75" customHeight="1" x14ac:dyDescent="0.35">
      <c r="T41913" s="246">
        <f t="shared" si="692"/>
        <v>0</v>
      </c>
    </row>
    <row r="41914" spans="20:20" ht="18.75" customHeight="1" x14ac:dyDescent="0.35">
      <c r="T41914" s="246">
        <f t="shared" si="692"/>
        <v>0</v>
      </c>
    </row>
    <row r="41915" spans="20:20" ht="18.75" customHeight="1" x14ac:dyDescent="0.35">
      <c r="T41915" s="246">
        <f t="shared" si="692"/>
        <v>0</v>
      </c>
    </row>
    <row r="41916" spans="20:20" ht="18.75" customHeight="1" x14ac:dyDescent="0.35">
      <c r="T41916" s="246">
        <f t="shared" ref="T41916:T41979" si="693">R41916*0.01</f>
        <v>0</v>
      </c>
    </row>
    <row r="41917" spans="20:20" ht="18.75" customHeight="1" x14ac:dyDescent="0.35">
      <c r="T41917" s="246">
        <f t="shared" si="693"/>
        <v>0</v>
      </c>
    </row>
    <row r="41918" spans="20:20" ht="18.75" customHeight="1" x14ac:dyDescent="0.35">
      <c r="T41918" s="246">
        <f t="shared" si="693"/>
        <v>0</v>
      </c>
    </row>
    <row r="41919" spans="20:20" ht="18.75" customHeight="1" x14ac:dyDescent="0.35">
      <c r="T41919" s="246">
        <f t="shared" si="693"/>
        <v>0</v>
      </c>
    </row>
    <row r="41920" spans="20:20" ht="18.75" customHeight="1" x14ac:dyDescent="0.35">
      <c r="T41920" s="246">
        <f t="shared" si="693"/>
        <v>0</v>
      </c>
    </row>
    <row r="41921" spans="20:20" ht="18.75" customHeight="1" x14ac:dyDescent="0.35">
      <c r="T41921" s="246">
        <f t="shared" si="693"/>
        <v>0</v>
      </c>
    </row>
    <row r="41922" spans="20:20" ht="18.75" customHeight="1" x14ac:dyDescent="0.35">
      <c r="T41922" s="246">
        <f t="shared" si="693"/>
        <v>0</v>
      </c>
    </row>
    <row r="41923" spans="20:20" ht="18.75" customHeight="1" x14ac:dyDescent="0.35">
      <c r="T41923" s="246">
        <f t="shared" si="693"/>
        <v>0</v>
      </c>
    </row>
    <row r="41924" spans="20:20" ht="18.75" customHeight="1" x14ac:dyDescent="0.35">
      <c r="T41924" s="246">
        <f t="shared" si="693"/>
        <v>0</v>
      </c>
    </row>
    <row r="41925" spans="20:20" ht="18.75" customHeight="1" x14ac:dyDescent="0.35">
      <c r="T41925" s="246">
        <f t="shared" si="693"/>
        <v>0</v>
      </c>
    </row>
    <row r="41926" spans="20:20" ht="18.75" customHeight="1" x14ac:dyDescent="0.35">
      <c r="T41926" s="246">
        <f t="shared" si="693"/>
        <v>0</v>
      </c>
    </row>
    <row r="41927" spans="20:20" ht="18.75" customHeight="1" x14ac:dyDescent="0.35">
      <c r="T41927" s="246">
        <f t="shared" si="693"/>
        <v>0</v>
      </c>
    </row>
    <row r="41928" spans="20:20" ht="18.75" customHeight="1" x14ac:dyDescent="0.35">
      <c r="T41928" s="246">
        <f t="shared" si="693"/>
        <v>0</v>
      </c>
    </row>
    <row r="41929" spans="20:20" ht="18.75" customHeight="1" x14ac:dyDescent="0.35">
      <c r="T41929" s="246">
        <f t="shared" si="693"/>
        <v>0</v>
      </c>
    </row>
    <row r="41930" spans="20:20" ht="18.75" customHeight="1" x14ac:dyDescent="0.35">
      <c r="T41930" s="246">
        <f t="shared" si="693"/>
        <v>0</v>
      </c>
    </row>
    <row r="41931" spans="20:20" ht="18.75" customHeight="1" x14ac:dyDescent="0.35">
      <c r="T41931" s="246">
        <f t="shared" si="693"/>
        <v>0</v>
      </c>
    </row>
    <row r="41932" spans="20:20" ht="18.75" customHeight="1" x14ac:dyDescent="0.35">
      <c r="T41932" s="246">
        <f t="shared" si="693"/>
        <v>0</v>
      </c>
    </row>
    <row r="41933" spans="20:20" ht="18.75" customHeight="1" x14ac:dyDescent="0.35">
      <c r="T41933" s="246">
        <f t="shared" si="693"/>
        <v>0</v>
      </c>
    </row>
    <row r="41934" spans="20:20" ht="18.75" customHeight="1" x14ac:dyDescent="0.35">
      <c r="T41934" s="246">
        <f t="shared" si="693"/>
        <v>0</v>
      </c>
    </row>
    <row r="41935" spans="20:20" ht="18.75" customHeight="1" x14ac:dyDescent="0.35">
      <c r="T41935" s="246">
        <f t="shared" si="693"/>
        <v>0</v>
      </c>
    </row>
    <row r="41936" spans="20:20" ht="18.75" customHeight="1" x14ac:dyDescent="0.35">
      <c r="T41936" s="246">
        <f t="shared" si="693"/>
        <v>0</v>
      </c>
    </row>
    <row r="41937" spans="20:20" ht="18.75" customHeight="1" x14ac:dyDescent="0.35">
      <c r="T41937" s="246">
        <f t="shared" si="693"/>
        <v>0</v>
      </c>
    </row>
    <row r="41938" spans="20:20" ht="18.75" customHeight="1" x14ac:dyDescent="0.35">
      <c r="T41938" s="246">
        <f t="shared" si="693"/>
        <v>0</v>
      </c>
    </row>
    <row r="41939" spans="20:20" ht="18.75" customHeight="1" x14ac:dyDescent="0.35">
      <c r="T41939" s="246">
        <f t="shared" si="693"/>
        <v>0</v>
      </c>
    </row>
    <row r="41940" spans="20:20" ht="18.75" customHeight="1" x14ac:dyDescent="0.35">
      <c r="T41940" s="246">
        <f t="shared" si="693"/>
        <v>0</v>
      </c>
    </row>
    <row r="41941" spans="20:20" ht="18.75" customHeight="1" x14ac:dyDescent="0.35">
      <c r="T41941" s="246">
        <f t="shared" si="693"/>
        <v>0</v>
      </c>
    </row>
    <row r="41942" spans="20:20" ht="18.75" customHeight="1" x14ac:dyDescent="0.35">
      <c r="T41942" s="246">
        <f t="shared" si="693"/>
        <v>0</v>
      </c>
    </row>
    <row r="41943" spans="20:20" ht="18.75" customHeight="1" x14ac:dyDescent="0.35">
      <c r="T41943" s="246">
        <f t="shared" si="693"/>
        <v>0</v>
      </c>
    </row>
    <row r="41944" spans="20:20" ht="18.75" customHeight="1" x14ac:dyDescent="0.35">
      <c r="T41944" s="246">
        <f t="shared" si="693"/>
        <v>0</v>
      </c>
    </row>
    <row r="41945" spans="20:20" ht="18.75" customHeight="1" x14ac:dyDescent="0.35">
      <c r="T41945" s="246">
        <f t="shared" si="693"/>
        <v>0</v>
      </c>
    </row>
    <row r="41946" spans="20:20" ht="18.75" customHeight="1" x14ac:dyDescent="0.35">
      <c r="T41946" s="246">
        <f t="shared" si="693"/>
        <v>0</v>
      </c>
    </row>
    <row r="41947" spans="20:20" ht="18.75" customHeight="1" x14ac:dyDescent="0.35">
      <c r="T41947" s="246">
        <f t="shared" si="693"/>
        <v>0</v>
      </c>
    </row>
    <row r="41948" spans="20:20" ht="18.75" customHeight="1" x14ac:dyDescent="0.35">
      <c r="T41948" s="246">
        <f t="shared" si="693"/>
        <v>0</v>
      </c>
    </row>
    <row r="41949" spans="20:20" ht="18.75" customHeight="1" x14ac:dyDescent="0.35">
      <c r="T41949" s="246">
        <f t="shared" si="693"/>
        <v>0</v>
      </c>
    </row>
    <row r="41950" spans="20:20" ht="18.75" customHeight="1" x14ac:dyDescent="0.35">
      <c r="T41950" s="246">
        <f t="shared" si="693"/>
        <v>0</v>
      </c>
    </row>
    <row r="41951" spans="20:20" ht="18.75" customHeight="1" x14ac:dyDescent="0.35">
      <c r="T41951" s="246">
        <f t="shared" si="693"/>
        <v>0</v>
      </c>
    </row>
    <row r="41952" spans="20:20" ht="18.75" customHeight="1" x14ac:dyDescent="0.35">
      <c r="T41952" s="246">
        <f t="shared" si="693"/>
        <v>0</v>
      </c>
    </row>
    <row r="41953" spans="20:20" ht="18.75" customHeight="1" x14ac:dyDescent="0.35">
      <c r="T41953" s="246">
        <f t="shared" si="693"/>
        <v>0</v>
      </c>
    </row>
    <row r="41954" spans="20:20" ht="18.75" customHeight="1" x14ac:dyDescent="0.35">
      <c r="T41954" s="246">
        <f t="shared" si="693"/>
        <v>0</v>
      </c>
    </row>
    <row r="41955" spans="20:20" ht="18.75" customHeight="1" x14ac:dyDescent="0.35">
      <c r="T41955" s="246">
        <f t="shared" si="693"/>
        <v>0</v>
      </c>
    </row>
    <row r="41956" spans="20:20" ht="18.75" customHeight="1" x14ac:dyDescent="0.35">
      <c r="T41956" s="246">
        <f t="shared" si="693"/>
        <v>0</v>
      </c>
    </row>
    <row r="41957" spans="20:20" ht="18.75" customHeight="1" x14ac:dyDescent="0.35">
      <c r="T41957" s="246">
        <f t="shared" si="693"/>
        <v>0</v>
      </c>
    </row>
    <row r="41958" spans="20:20" ht="18.75" customHeight="1" x14ac:dyDescent="0.35">
      <c r="T41958" s="246">
        <f t="shared" si="693"/>
        <v>0</v>
      </c>
    </row>
    <row r="41959" spans="20:20" ht="18.75" customHeight="1" x14ac:dyDescent="0.35">
      <c r="T41959" s="246">
        <f t="shared" si="693"/>
        <v>0</v>
      </c>
    </row>
    <row r="41960" spans="20:20" ht="18.75" customHeight="1" x14ac:dyDescent="0.35">
      <c r="T41960" s="246">
        <f t="shared" si="693"/>
        <v>0</v>
      </c>
    </row>
    <row r="41961" spans="20:20" ht="18.75" customHeight="1" x14ac:dyDescent="0.35">
      <c r="T41961" s="246">
        <f t="shared" si="693"/>
        <v>0</v>
      </c>
    </row>
    <row r="41962" spans="20:20" ht="18.75" customHeight="1" x14ac:dyDescent="0.35">
      <c r="T41962" s="246">
        <f t="shared" si="693"/>
        <v>0</v>
      </c>
    </row>
    <row r="41963" spans="20:20" ht="18.75" customHeight="1" x14ac:dyDescent="0.35">
      <c r="T41963" s="246">
        <f t="shared" si="693"/>
        <v>0</v>
      </c>
    </row>
    <row r="41964" spans="20:20" ht="18.75" customHeight="1" x14ac:dyDescent="0.35">
      <c r="T41964" s="246">
        <f t="shared" si="693"/>
        <v>0</v>
      </c>
    </row>
    <row r="41965" spans="20:20" ht="18.75" customHeight="1" x14ac:dyDescent="0.35">
      <c r="T41965" s="246">
        <f t="shared" si="693"/>
        <v>0</v>
      </c>
    </row>
    <row r="41966" spans="20:20" ht="18.75" customHeight="1" x14ac:dyDescent="0.35">
      <c r="T41966" s="246">
        <f t="shared" si="693"/>
        <v>0</v>
      </c>
    </row>
    <row r="41967" spans="20:20" ht="18.75" customHeight="1" x14ac:dyDescent="0.35">
      <c r="T41967" s="246">
        <f t="shared" si="693"/>
        <v>0</v>
      </c>
    </row>
    <row r="41968" spans="20:20" ht="18.75" customHeight="1" x14ac:dyDescent="0.35">
      <c r="T41968" s="246">
        <f t="shared" si="693"/>
        <v>0</v>
      </c>
    </row>
    <row r="41969" spans="20:20" ht="18.75" customHeight="1" x14ac:dyDescent="0.35">
      <c r="T41969" s="246">
        <f t="shared" si="693"/>
        <v>0</v>
      </c>
    </row>
    <row r="41970" spans="20:20" ht="18.75" customHeight="1" x14ac:dyDescent="0.35">
      <c r="T41970" s="246">
        <f t="shared" si="693"/>
        <v>0</v>
      </c>
    </row>
    <row r="41971" spans="20:20" ht="18.75" customHeight="1" x14ac:dyDescent="0.35">
      <c r="T41971" s="246">
        <f t="shared" si="693"/>
        <v>0</v>
      </c>
    </row>
    <row r="41972" spans="20:20" ht="18.75" customHeight="1" x14ac:dyDescent="0.35">
      <c r="T41972" s="246">
        <f t="shared" si="693"/>
        <v>0</v>
      </c>
    </row>
    <row r="41973" spans="20:20" ht="18.75" customHeight="1" x14ac:dyDescent="0.35">
      <c r="T41973" s="246">
        <f t="shared" si="693"/>
        <v>0</v>
      </c>
    </row>
    <row r="41974" spans="20:20" ht="18.75" customHeight="1" x14ac:dyDescent="0.35">
      <c r="T41974" s="246">
        <f t="shared" si="693"/>
        <v>0</v>
      </c>
    </row>
    <row r="41975" spans="20:20" ht="18.75" customHeight="1" x14ac:dyDescent="0.35">
      <c r="T41975" s="246">
        <f t="shared" si="693"/>
        <v>0</v>
      </c>
    </row>
    <row r="41976" spans="20:20" ht="18.75" customHeight="1" x14ac:dyDescent="0.35">
      <c r="T41976" s="246">
        <f t="shared" si="693"/>
        <v>0</v>
      </c>
    </row>
    <row r="41977" spans="20:20" ht="18.75" customHeight="1" x14ac:dyDescent="0.35">
      <c r="T41977" s="246">
        <f t="shared" si="693"/>
        <v>0</v>
      </c>
    </row>
    <row r="41978" spans="20:20" ht="18.75" customHeight="1" x14ac:dyDescent="0.35">
      <c r="T41978" s="246">
        <f t="shared" si="693"/>
        <v>0</v>
      </c>
    </row>
    <row r="41979" spans="20:20" ht="18.75" customHeight="1" x14ac:dyDescent="0.35">
      <c r="T41979" s="246">
        <f t="shared" si="693"/>
        <v>0</v>
      </c>
    </row>
    <row r="41980" spans="20:20" ht="18.75" customHeight="1" x14ac:dyDescent="0.35">
      <c r="T41980" s="246">
        <f t="shared" ref="T41980:T42043" si="694">R41980*0.01</f>
        <v>0</v>
      </c>
    </row>
    <row r="41981" spans="20:20" ht="18.75" customHeight="1" x14ac:dyDescent="0.35">
      <c r="T41981" s="246">
        <f t="shared" si="694"/>
        <v>0</v>
      </c>
    </row>
    <row r="41982" spans="20:20" ht="18.75" customHeight="1" x14ac:dyDescent="0.35">
      <c r="T41982" s="246">
        <f t="shared" si="694"/>
        <v>0</v>
      </c>
    </row>
    <row r="41983" spans="20:20" ht="18.75" customHeight="1" x14ac:dyDescent="0.35">
      <c r="T41983" s="246">
        <f t="shared" si="694"/>
        <v>0</v>
      </c>
    </row>
    <row r="41984" spans="20:20" ht="18.75" customHeight="1" x14ac:dyDescent="0.35">
      <c r="T41984" s="246">
        <f t="shared" si="694"/>
        <v>0</v>
      </c>
    </row>
    <row r="41985" spans="20:20" ht="18.75" customHeight="1" x14ac:dyDescent="0.35">
      <c r="T41985" s="246">
        <f t="shared" si="694"/>
        <v>0</v>
      </c>
    </row>
    <row r="41986" spans="20:20" ht="18.75" customHeight="1" x14ac:dyDescent="0.35">
      <c r="T41986" s="246">
        <f t="shared" si="694"/>
        <v>0</v>
      </c>
    </row>
    <row r="41987" spans="20:20" ht="18.75" customHeight="1" x14ac:dyDescent="0.35">
      <c r="T41987" s="246">
        <f t="shared" si="694"/>
        <v>0</v>
      </c>
    </row>
    <row r="41988" spans="20:20" ht="18.75" customHeight="1" x14ac:dyDescent="0.35">
      <c r="T41988" s="246">
        <f t="shared" si="694"/>
        <v>0</v>
      </c>
    </row>
    <row r="41989" spans="20:20" ht="18.75" customHeight="1" x14ac:dyDescent="0.35">
      <c r="T41989" s="246">
        <f t="shared" si="694"/>
        <v>0</v>
      </c>
    </row>
    <row r="41990" spans="20:20" ht="18.75" customHeight="1" x14ac:dyDescent="0.35">
      <c r="T41990" s="246">
        <f t="shared" si="694"/>
        <v>0</v>
      </c>
    </row>
    <row r="41991" spans="20:20" ht="18.75" customHeight="1" x14ac:dyDescent="0.35">
      <c r="T41991" s="246">
        <f t="shared" si="694"/>
        <v>0</v>
      </c>
    </row>
    <row r="41992" spans="20:20" ht="18.75" customHeight="1" x14ac:dyDescent="0.35">
      <c r="T41992" s="246">
        <f t="shared" si="694"/>
        <v>0</v>
      </c>
    </row>
    <row r="41993" spans="20:20" ht="18.75" customHeight="1" x14ac:dyDescent="0.35">
      <c r="T41993" s="246">
        <f t="shared" si="694"/>
        <v>0</v>
      </c>
    </row>
    <row r="41994" spans="20:20" ht="18.75" customHeight="1" x14ac:dyDescent="0.35">
      <c r="T41994" s="246">
        <f t="shared" si="694"/>
        <v>0</v>
      </c>
    </row>
    <row r="41995" spans="20:20" ht="18.75" customHeight="1" x14ac:dyDescent="0.35">
      <c r="T41995" s="246">
        <f t="shared" si="694"/>
        <v>0</v>
      </c>
    </row>
    <row r="41996" spans="20:20" ht="18.75" customHeight="1" x14ac:dyDescent="0.35">
      <c r="T41996" s="246">
        <f t="shared" si="694"/>
        <v>0</v>
      </c>
    </row>
    <row r="41997" spans="20:20" ht="18.75" customHeight="1" x14ac:dyDescent="0.35">
      <c r="T41997" s="246">
        <f t="shared" si="694"/>
        <v>0</v>
      </c>
    </row>
    <row r="41998" spans="20:20" ht="18.75" customHeight="1" x14ac:dyDescent="0.35">
      <c r="T41998" s="246">
        <f t="shared" si="694"/>
        <v>0</v>
      </c>
    </row>
    <row r="41999" spans="20:20" ht="18.75" customHeight="1" x14ac:dyDescent="0.35">
      <c r="T41999" s="246">
        <f t="shared" si="694"/>
        <v>0</v>
      </c>
    </row>
    <row r="42000" spans="20:20" ht="18.75" customHeight="1" x14ac:dyDescent="0.35">
      <c r="T42000" s="246">
        <f t="shared" si="694"/>
        <v>0</v>
      </c>
    </row>
    <row r="42001" spans="20:20" ht="18.75" customHeight="1" x14ac:dyDescent="0.35">
      <c r="T42001" s="246">
        <f t="shared" si="694"/>
        <v>0</v>
      </c>
    </row>
    <row r="42002" spans="20:20" ht="18.75" customHeight="1" x14ac:dyDescent="0.35">
      <c r="T42002" s="246">
        <f t="shared" si="694"/>
        <v>0</v>
      </c>
    </row>
    <row r="42003" spans="20:20" ht="18.75" customHeight="1" x14ac:dyDescent="0.35">
      <c r="T42003" s="246">
        <f t="shared" si="694"/>
        <v>0</v>
      </c>
    </row>
    <row r="42004" spans="20:20" ht="18.75" customHeight="1" x14ac:dyDescent="0.35">
      <c r="T42004" s="246">
        <f t="shared" si="694"/>
        <v>0</v>
      </c>
    </row>
    <row r="42005" spans="20:20" ht="18.75" customHeight="1" x14ac:dyDescent="0.35">
      <c r="T42005" s="246">
        <f t="shared" si="694"/>
        <v>0</v>
      </c>
    </row>
    <row r="42006" spans="20:20" ht="18.75" customHeight="1" x14ac:dyDescent="0.35">
      <c r="T42006" s="246">
        <f t="shared" si="694"/>
        <v>0</v>
      </c>
    </row>
    <row r="42007" spans="20:20" ht="18.75" customHeight="1" x14ac:dyDescent="0.35">
      <c r="T42007" s="246">
        <f t="shared" si="694"/>
        <v>0</v>
      </c>
    </row>
    <row r="42008" spans="20:20" ht="18.75" customHeight="1" x14ac:dyDescent="0.35">
      <c r="T42008" s="246">
        <f t="shared" si="694"/>
        <v>0</v>
      </c>
    </row>
    <row r="42009" spans="20:20" ht="18.75" customHeight="1" x14ac:dyDescent="0.35">
      <c r="T42009" s="246">
        <f t="shared" si="694"/>
        <v>0</v>
      </c>
    </row>
    <row r="42010" spans="20:20" ht="18.75" customHeight="1" x14ac:dyDescent="0.35">
      <c r="T42010" s="246">
        <f t="shared" si="694"/>
        <v>0</v>
      </c>
    </row>
    <row r="42011" spans="20:20" ht="18.75" customHeight="1" x14ac:dyDescent="0.35">
      <c r="T42011" s="246">
        <f t="shared" si="694"/>
        <v>0</v>
      </c>
    </row>
    <row r="42012" spans="20:20" ht="18.75" customHeight="1" x14ac:dyDescent="0.35">
      <c r="T42012" s="246">
        <f t="shared" si="694"/>
        <v>0</v>
      </c>
    </row>
    <row r="42013" spans="20:20" ht="18.75" customHeight="1" x14ac:dyDescent="0.35">
      <c r="T42013" s="246">
        <f t="shared" si="694"/>
        <v>0</v>
      </c>
    </row>
    <row r="42014" spans="20:20" ht="18.75" customHeight="1" x14ac:dyDescent="0.35">
      <c r="T42014" s="246">
        <f t="shared" si="694"/>
        <v>0</v>
      </c>
    </row>
    <row r="42015" spans="20:20" ht="18.75" customHeight="1" x14ac:dyDescent="0.35">
      <c r="T42015" s="246">
        <f t="shared" si="694"/>
        <v>0</v>
      </c>
    </row>
    <row r="42016" spans="20:20" ht="18.75" customHeight="1" x14ac:dyDescent="0.35">
      <c r="T42016" s="246">
        <f t="shared" si="694"/>
        <v>0</v>
      </c>
    </row>
    <row r="42017" spans="20:20" ht="18.75" customHeight="1" x14ac:dyDescent="0.35">
      <c r="T42017" s="246">
        <f t="shared" si="694"/>
        <v>0</v>
      </c>
    </row>
    <row r="42018" spans="20:20" ht="18.75" customHeight="1" x14ac:dyDescent="0.35">
      <c r="T42018" s="246">
        <f t="shared" si="694"/>
        <v>0</v>
      </c>
    </row>
    <row r="42019" spans="20:20" ht="18.75" customHeight="1" x14ac:dyDescent="0.35">
      <c r="T42019" s="246">
        <f t="shared" si="694"/>
        <v>0</v>
      </c>
    </row>
    <row r="42020" spans="20:20" ht="18.75" customHeight="1" x14ac:dyDescent="0.35">
      <c r="T42020" s="246">
        <f t="shared" si="694"/>
        <v>0</v>
      </c>
    </row>
    <row r="42021" spans="20:20" ht="18.75" customHeight="1" x14ac:dyDescent="0.35">
      <c r="T42021" s="246">
        <f t="shared" si="694"/>
        <v>0</v>
      </c>
    </row>
    <row r="42022" spans="20:20" ht="18.75" customHeight="1" x14ac:dyDescent="0.35">
      <c r="T42022" s="246">
        <f t="shared" si="694"/>
        <v>0</v>
      </c>
    </row>
    <row r="42023" spans="20:20" ht="18.75" customHeight="1" x14ac:dyDescent="0.35">
      <c r="T42023" s="246">
        <f t="shared" si="694"/>
        <v>0</v>
      </c>
    </row>
    <row r="42024" spans="20:20" ht="18.75" customHeight="1" x14ac:dyDescent="0.35">
      <c r="T42024" s="246">
        <f t="shared" si="694"/>
        <v>0</v>
      </c>
    </row>
    <row r="42025" spans="20:20" ht="18.75" customHeight="1" x14ac:dyDescent="0.35">
      <c r="T42025" s="246">
        <f t="shared" si="694"/>
        <v>0</v>
      </c>
    </row>
    <row r="42026" spans="20:20" ht="18.75" customHeight="1" x14ac:dyDescent="0.35">
      <c r="T42026" s="246">
        <f t="shared" si="694"/>
        <v>0</v>
      </c>
    </row>
    <row r="42027" spans="20:20" ht="18.75" customHeight="1" x14ac:dyDescent="0.35">
      <c r="T42027" s="246">
        <f t="shared" si="694"/>
        <v>0</v>
      </c>
    </row>
    <row r="42028" spans="20:20" ht="18.75" customHeight="1" x14ac:dyDescent="0.35">
      <c r="T42028" s="246">
        <f t="shared" si="694"/>
        <v>0</v>
      </c>
    </row>
    <row r="42029" spans="20:20" ht="18.75" customHeight="1" x14ac:dyDescent="0.35">
      <c r="T42029" s="246">
        <f t="shared" si="694"/>
        <v>0</v>
      </c>
    </row>
    <row r="42030" spans="20:20" ht="18.75" customHeight="1" x14ac:dyDescent="0.35">
      <c r="T42030" s="246">
        <f t="shared" si="694"/>
        <v>0</v>
      </c>
    </row>
    <row r="42031" spans="20:20" ht="18.75" customHeight="1" x14ac:dyDescent="0.35">
      <c r="T42031" s="246">
        <f t="shared" si="694"/>
        <v>0</v>
      </c>
    </row>
    <row r="42032" spans="20:20" ht="18.75" customHeight="1" x14ac:dyDescent="0.35">
      <c r="T42032" s="246">
        <f t="shared" si="694"/>
        <v>0</v>
      </c>
    </row>
    <row r="42033" spans="20:20" ht="18.75" customHeight="1" x14ac:dyDescent="0.35">
      <c r="T42033" s="246">
        <f t="shared" si="694"/>
        <v>0</v>
      </c>
    </row>
    <row r="42034" spans="20:20" ht="18.75" customHeight="1" x14ac:dyDescent="0.35">
      <c r="T42034" s="246">
        <f t="shared" si="694"/>
        <v>0</v>
      </c>
    </row>
    <row r="42035" spans="20:20" ht="18.75" customHeight="1" x14ac:dyDescent="0.35">
      <c r="T42035" s="246">
        <f t="shared" si="694"/>
        <v>0</v>
      </c>
    </row>
    <row r="42036" spans="20:20" ht="18.75" customHeight="1" x14ac:dyDescent="0.35">
      <c r="T42036" s="246">
        <f t="shared" si="694"/>
        <v>0</v>
      </c>
    </row>
    <row r="42037" spans="20:20" ht="18.75" customHeight="1" x14ac:dyDescent="0.35">
      <c r="T42037" s="246">
        <f t="shared" si="694"/>
        <v>0</v>
      </c>
    </row>
    <row r="42038" spans="20:20" ht="18.75" customHeight="1" x14ac:dyDescent="0.35">
      <c r="T42038" s="246">
        <f t="shared" si="694"/>
        <v>0</v>
      </c>
    </row>
    <row r="42039" spans="20:20" ht="18.75" customHeight="1" x14ac:dyDescent="0.35">
      <c r="T42039" s="246">
        <f t="shared" si="694"/>
        <v>0</v>
      </c>
    </row>
    <row r="42040" spans="20:20" ht="18.75" customHeight="1" x14ac:dyDescent="0.35">
      <c r="T42040" s="246">
        <f t="shared" si="694"/>
        <v>0</v>
      </c>
    </row>
    <row r="42041" spans="20:20" ht="18.75" customHeight="1" x14ac:dyDescent="0.35">
      <c r="T42041" s="246">
        <f t="shared" si="694"/>
        <v>0</v>
      </c>
    </row>
    <row r="42042" spans="20:20" ht="18.75" customHeight="1" x14ac:dyDescent="0.35">
      <c r="T42042" s="246">
        <f t="shared" si="694"/>
        <v>0</v>
      </c>
    </row>
    <row r="42043" spans="20:20" ht="18.75" customHeight="1" x14ac:dyDescent="0.35">
      <c r="T42043" s="246">
        <f t="shared" si="694"/>
        <v>0</v>
      </c>
    </row>
    <row r="42044" spans="20:20" ht="18.75" customHeight="1" x14ac:dyDescent="0.35">
      <c r="T42044" s="246">
        <f t="shared" ref="T42044:T42107" si="695">R42044*0.01</f>
        <v>0</v>
      </c>
    </row>
    <row r="42045" spans="20:20" ht="18.75" customHeight="1" x14ac:dyDescent="0.35">
      <c r="T42045" s="246">
        <f t="shared" si="695"/>
        <v>0</v>
      </c>
    </row>
    <row r="42046" spans="20:20" ht="18.75" customHeight="1" x14ac:dyDescent="0.35">
      <c r="T42046" s="246">
        <f t="shared" si="695"/>
        <v>0</v>
      </c>
    </row>
    <row r="42047" spans="20:20" ht="18.75" customHeight="1" x14ac:dyDescent="0.35">
      <c r="T42047" s="246">
        <f t="shared" si="695"/>
        <v>0</v>
      </c>
    </row>
    <row r="42048" spans="20:20" ht="18.75" customHeight="1" x14ac:dyDescent="0.35">
      <c r="T42048" s="246">
        <f t="shared" si="695"/>
        <v>0</v>
      </c>
    </row>
    <row r="42049" spans="20:20" ht="18.75" customHeight="1" x14ac:dyDescent="0.35">
      <c r="T42049" s="246">
        <f t="shared" si="695"/>
        <v>0</v>
      </c>
    </row>
    <row r="42050" spans="20:20" ht="18.75" customHeight="1" x14ac:dyDescent="0.35">
      <c r="T42050" s="246">
        <f t="shared" si="695"/>
        <v>0</v>
      </c>
    </row>
    <row r="42051" spans="20:20" ht="18.75" customHeight="1" x14ac:dyDescent="0.35">
      <c r="T42051" s="246">
        <f t="shared" si="695"/>
        <v>0</v>
      </c>
    </row>
    <row r="42052" spans="20:20" ht="18.75" customHeight="1" x14ac:dyDescent="0.35">
      <c r="T42052" s="246">
        <f t="shared" si="695"/>
        <v>0</v>
      </c>
    </row>
    <row r="42053" spans="20:20" ht="18.75" customHeight="1" x14ac:dyDescent="0.35">
      <c r="T42053" s="246">
        <f t="shared" si="695"/>
        <v>0</v>
      </c>
    </row>
    <row r="42054" spans="20:20" ht="18.75" customHeight="1" x14ac:dyDescent="0.35">
      <c r="T42054" s="246">
        <f t="shared" si="695"/>
        <v>0</v>
      </c>
    </row>
    <row r="42055" spans="20:20" ht="18.75" customHeight="1" x14ac:dyDescent="0.35">
      <c r="T42055" s="246">
        <f t="shared" si="695"/>
        <v>0</v>
      </c>
    </row>
    <row r="42056" spans="20:20" ht="18.75" customHeight="1" x14ac:dyDescent="0.35">
      <c r="T42056" s="246">
        <f t="shared" si="695"/>
        <v>0</v>
      </c>
    </row>
    <row r="42057" spans="20:20" ht="18.75" customHeight="1" x14ac:dyDescent="0.35">
      <c r="T42057" s="246">
        <f t="shared" si="695"/>
        <v>0</v>
      </c>
    </row>
    <row r="42058" spans="20:20" ht="18.75" customHeight="1" x14ac:dyDescent="0.35">
      <c r="T42058" s="246">
        <f t="shared" si="695"/>
        <v>0</v>
      </c>
    </row>
    <row r="42059" spans="20:20" ht="18.75" customHeight="1" x14ac:dyDescent="0.35">
      <c r="T42059" s="246">
        <f t="shared" si="695"/>
        <v>0</v>
      </c>
    </row>
    <row r="42060" spans="20:20" ht="18.75" customHeight="1" x14ac:dyDescent="0.35">
      <c r="T42060" s="246">
        <f t="shared" si="695"/>
        <v>0</v>
      </c>
    </row>
    <row r="42061" spans="20:20" ht="18.75" customHeight="1" x14ac:dyDescent="0.35">
      <c r="T42061" s="246">
        <f t="shared" si="695"/>
        <v>0</v>
      </c>
    </row>
    <row r="42062" spans="20:20" ht="18.75" customHeight="1" x14ac:dyDescent="0.35">
      <c r="T42062" s="246">
        <f t="shared" si="695"/>
        <v>0</v>
      </c>
    </row>
    <row r="42063" spans="20:20" ht="18.75" customHeight="1" x14ac:dyDescent="0.35">
      <c r="T42063" s="246">
        <f t="shared" si="695"/>
        <v>0</v>
      </c>
    </row>
    <row r="42064" spans="20:20" ht="18.75" customHeight="1" x14ac:dyDescent="0.35">
      <c r="T42064" s="246">
        <f t="shared" si="695"/>
        <v>0</v>
      </c>
    </row>
    <row r="42065" spans="20:20" ht="18.75" customHeight="1" x14ac:dyDescent="0.35">
      <c r="T42065" s="246">
        <f t="shared" si="695"/>
        <v>0</v>
      </c>
    </row>
    <row r="42066" spans="20:20" ht="18.75" customHeight="1" x14ac:dyDescent="0.35">
      <c r="T42066" s="246">
        <f t="shared" si="695"/>
        <v>0</v>
      </c>
    </row>
    <row r="42067" spans="20:20" ht="18.75" customHeight="1" x14ac:dyDescent="0.35">
      <c r="T42067" s="246">
        <f t="shared" si="695"/>
        <v>0</v>
      </c>
    </row>
    <row r="42068" spans="20:20" ht="18.75" customHeight="1" x14ac:dyDescent="0.35">
      <c r="T42068" s="246">
        <f t="shared" si="695"/>
        <v>0</v>
      </c>
    </row>
    <row r="42069" spans="20:20" ht="18.75" customHeight="1" x14ac:dyDescent="0.35">
      <c r="T42069" s="246">
        <f t="shared" si="695"/>
        <v>0</v>
      </c>
    </row>
    <row r="42070" spans="20:20" ht="18.75" customHeight="1" x14ac:dyDescent="0.35">
      <c r="T42070" s="246">
        <f t="shared" si="695"/>
        <v>0</v>
      </c>
    </row>
    <row r="42071" spans="20:20" ht="18.75" customHeight="1" x14ac:dyDescent="0.35">
      <c r="T42071" s="246">
        <f t="shared" si="695"/>
        <v>0</v>
      </c>
    </row>
    <row r="42072" spans="20:20" ht="18.75" customHeight="1" x14ac:dyDescent="0.35">
      <c r="T42072" s="246">
        <f t="shared" si="695"/>
        <v>0</v>
      </c>
    </row>
    <row r="42073" spans="20:20" ht="18.75" customHeight="1" x14ac:dyDescent="0.35">
      <c r="T42073" s="246">
        <f t="shared" si="695"/>
        <v>0</v>
      </c>
    </row>
    <row r="42074" spans="20:20" ht="18.75" customHeight="1" x14ac:dyDescent="0.35">
      <c r="T42074" s="246">
        <f t="shared" si="695"/>
        <v>0</v>
      </c>
    </row>
    <row r="42075" spans="20:20" ht="18.75" customHeight="1" x14ac:dyDescent="0.35">
      <c r="T42075" s="246">
        <f t="shared" si="695"/>
        <v>0</v>
      </c>
    </row>
    <row r="42076" spans="20:20" ht="18.75" customHeight="1" x14ac:dyDescent="0.35">
      <c r="T42076" s="246">
        <f t="shared" si="695"/>
        <v>0</v>
      </c>
    </row>
    <row r="42077" spans="20:20" ht="18.75" customHeight="1" x14ac:dyDescent="0.35">
      <c r="T42077" s="246">
        <f t="shared" si="695"/>
        <v>0</v>
      </c>
    </row>
    <row r="42078" spans="20:20" ht="18.75" customHeight="1" x14ac:dyDescent="0.35">
      <c r="T42078" s="246">
        <f t="shared" si="695"/>
        <v>0</v>
      </c>
    </row>
    <row r="42079" spans="20:20" ht="18.75" customHeight="1" x14ac:dyDescent="0.35">
      <c r="T42079" s="246">
        <f t="shared" si="695"/>
        <v>0</v>
      </c>
    </row>
    <row r="42080" spans="20:20" ht="18.75" customHeight="1" x14ac:dyDescent="0.35">
      <c r="T42080" s="246">
        <f t="shared" si="695"/>
        <v>0</v>
      </c>
    </row>
    <row r="42081" spans="20:20" ht="18.75" customHeight="1" x14ac:dyDescent="0.35">
      <c r="T42081" s="246">
        <f t="shared" si="695"/>
        <v>0</v>
      </c>
    </row>
    <row r="42082" spans="20:20" ht="18.75" customHeight="1" x14ac:dyDescent="0.35">
      <c r="T42082" s="246">
        <f t="shared" si="695"/>
        <v>0</v>
      </c>
    </row>
    <row r="42083" spans="20:20" ht="18.75" customHeight="1" x14ac:dyDescent="0.35">
      <c r="T42083" s="246">
        <f t="shared" si="695"/>
        <v>0</v>
      </c>
    </row>
    <row r="42084" spans="20:20" ht="18.75" customHeight="1" x14ac:dyDescent="0.35">
      <c r="T42084" s="246">
        <f t="shared" si="695"/>
        <v>0</v>
      </c>
    </row>
    <row r="42085" spans="20:20" ht="18.75" customHeight="1" x14ac:dyDescent="0.35">
      <c r="T42085" s="246">
        <f t="shared" si="695"/>
        <v>0</v>
      </c>
    </row>
    <row r="42086" spans="20:20" ht="18.75" customHeight="1" x14ac:dyDescent="0.35">
      <c r="T42086" s="246">
        <f t="shared" si="695"/>
        <v>0</v>
      </c>
    </row>
    <row r="42087" spans="20:20" ht="18.75" customHeight="1" x14ac:dyDescent="0.35">
      <c r="T42087" s="246">
        <f t="shared" si="695"/>
        <v>0</v>
      </c>
    </row>
    <row r="42088" spans="20:20" ht="18.75" customHeight="1" x14ac:dyDescent="0.35">
      <c r="T42088" s="246">
        <f t="shared" si="695"/>
        <v>0</v>
      </c>
    </row>
    <row r="42089" spans="20:20" ht="18.75" customHeight="1" x14ac:dyDescent="0.35">
      <c r="T42089" s="246">
        <f t="shared" si="695"/>
        <v>0</v>
      </c>
    </row>
    <row r="42090" spans="20:20" ht="18.75" customHeight="1" x14ac:dyDescent="0.35">
      <c r="T42090" s="246">
        <f t="shared" si="695"/>
        <v>0</v>
      </c>
    </row>
    <row r="42091" spans="20:20" ht="18.75" customHeight="1" x14ac:dyDescent="0.35">
      <c r="T42091" s="246">
        <f t="shared" si="695"/>
        <v>0</v>
      </c>
    </row>
    <row r="42092" spans="20:20" ht="18.75" customHeight="1" x14ac:dyDescent="0.35">
      <c r="T42092" s="246">
        <f t="shared" si="695"/>
        <v>0</v>
      </c>
    </row>
    <row r="42093" spans="20:20" ht="18.75" customHeight="1" x14ac:dyDescent="0.35">
      <c r="T42093" s="246">
        <f t="shared" si="695"/>
        <v>0</v>
      </c>
    </row>
    <row r="42094" spans="20:20" ht="18.75" customHeight="1" x14ac:dyDescent="0.35">
      <c r="T42094" s="246">
        <f t="shared" si="695"/>
        <v>0</v>
      </c>
    </row>
    <row r="42095" spans="20:20" ht="18.75" customHeight="1" x14ac:dyDescent="0.35">
      <c r="T42095" s="246">
        <f t="shared" si="695"/>
        <v>0</v>
      </c>
    </row>
    <row r="42096" spans="20:20" ht="18.75" customHeight="1" x14ac:dyDescent="0.35">
      <c r="T42096" s="246">
        <f t="shared" si="695"/>
        <v>0</v>
      </c>
    </row>
    <row r="42097" spans="20:20" ht="18.75" customHeight="1" x14ac:dyDescent="0.35">
      <c r="T42097" s="246">
        <f t="shared" si="695"/>
        <v>0</v>
      </c>
    </row>
    <row r="42098" spans="20:20" ht="18.75" customHeight="1" x14ac:dyDescent="0.35">
      <c r="T42098" s="246">
        <f t="shared" si="695"/>
        <v>0</v>
      </c>
    </row>
    <row r="42099" spans="20:20" ht="18.75" customHeight="1" x14ac:dyDescent="0.35">
      <c r="T42099" s="246">
        <f t="shared" si="695"/>
        <v>0</v>
      </c>
    </row>
    <row r="42100" spans="20:20" ht="18.75" customHeight="1" x14ac:dyDescent="0.35">
      <c r="T42100" s="246">
        <f t="shared" si="695"/>
        <v>0</v>
      </c>
    </row>
    <row r="42101" spans="20:20" ht="18.75" customHeight="1" x14ac:dyDescent="0.35">
      <c r="T42101" s="246">
        <f t="shared" si="695"/>
        <v>0</v>
      </c>
    </row>
    <row r="42102" spans="20:20" ht="18.75" customHeight="1" x14ac:dyDescent="0.35">
      <c r="T42102" s="246">
        <f t="shared" si="695"/>
        <v>0</v>
      </c>
    </row>
    <row r="42103" spans="20:20" ht="18.75" customHeight="1" x14ac:dyDescent="0.35">
      <c r="T42103" s="246">
        <f t="shared" si="695"/>
        <v>0</v>
      </c>
    </row>
    <row r="42104" spans="20:20" ht="18.75" customHeight="1" x14ac:dyDescent="0.35">
      <c r="T42104" s="246">
        <f t="shared" si="695"/>
        <v>0</v>
      </c>
    </row>
    <row r="42105" spans="20:20" ht="18.75" customHeight="1" x14ac:dyDescent="0.35">
      <c r="T42105" s="246">
        <f t="shared" si="695"/>
        <v>0</v>
      </c>
    </row>
    <row r="42106" spans="20:20" ht="18.75" customHeight="1" x14ac:dyDescent="0.35">
      <c r="T42106" s="246">
        <f t="shared" si="695"/>
        <v>0</v>
      </c>
    </row>
    <row r="42107" spans="20:20" ht="18.75" customHeight="1" x14ac:dyDescent="0.35">
      <c r="T42107" s="246">
        <f t="shared" si="695"/>
        <v>0</v>
      </c>
    </row>
    <row r="42108" spans="20:20" ht="18.75" customHeight="1" x14ac:dyDescent="0.35">
      <c r="T42108" s="246">
        <f t="shared" ref="T42108:T42171" si="696">R42108*0.01</f>
        <v>0</v>
      </c>
    </row>
    <row r="42109" spans="20:20" ht="18.75" customHeight="1" x14ac:dyDescent="0.35">
      <c r="T42109" s="246">
        <f t="shared" si="696"/>
        <v>0</v>
      </c>
    </row>
    <row r="42110" spans="20:20" ht="18.75" customHeight="1" x14ac:dyDescent="0.35">
      <c r="T42110" s="246">
        <f t="shared" si="696"/>
        <v>0</v>
      </c>
    </row>
    <row r="42111" spans="20:20" ht="18.75" customHeight="1" x14ac:dyDescent="0.35">
      <c r="T42111" s="246">
        <f t="shared" si="696"/>
        <v>0</v>
      </c>
    </row>
    <row r="42112" spans="20:20" ht="18.75" customHeight="1" x14ac:dyDescent="0.35">
      <c r="T42112" s="246">
        <f t="shared" si="696"/>
        <v>0</v>
      </c>
    </row>
    <row r="42113" spans="20:20" ht="18.75" customHeight="1" x14ac:dyDescent="0.35">
      <c r="T42113" s="246">
        <f t="shared" si="696"/>
        <v>0</v>
      </c>
    </row>
    <row r="42114" spans="20:20" ht="18.75" customHeight="1" x14ac:dyDescent="0.35">
      <c r="T42114" s="246">
        <f t="shared" si="696"/>
        <v>0</v>
      </c>
    </row>
    <row r="42115" spans="20:20" ht="18.75" customHeight="1" x14ac:dyDescent="0.35">
      <c r="T42115" s="246">
        <f t="shared" si="696"/>
        <v>0</v>
      </c>
    </row>
    <row r="42116" spans="20:20" ht="18.75" customHeight="1" x14ac:dyDescent="0.35">
      <c r="T42116" s="246">
        <f t="shared" si="696"/>
        <v>0</v>
      </c>
    </row>
    <row r="42117" spans="20:20" ht="18.75" customHeight="1" x14ac:dyDescent="0.35">
      <c r="T42117" s="246">
        <f t="shared" si="696"/>
        <v>0</v>
      </c>
    </row>
    <row r="42118" spans="20:20" ht="18.75" customHeight="1" x14ac:dyDescent="0.35">
      <c r="T42118" s="246">
        <f t="shared" si="696"/>
        <v>0</v>
      </c>
    </row>
    <row r="42119" spans="20:20" ht="18.75" customHeight="1" x14ac:dyDescent="0.35">
      <c r="T42119" s="246">
        <f t="shared" si="696"/>
        <v>0</v>
      </c>
    </row>
    <row r="42120" spans="20:20" ht="18.75" customHeight="1" x14ac:dyDescent="0.35">
      <c r="T42120" s="246">
        <f t="shared" si="696"/>
        <v>0</v>
      </c>
    </row>
    <row r="42121" spans="20:20" ht="18.75" customHeight="1" x14ac:dyDescent="0.35">
      <c r="T42121" s="246">
        <f t="shared" si="696"/>
        <v>0</v>
      </c>
    </row>
    <row r="42122" spans="20:20" ht="18.75" customHeight="1" x14ac:dyDescent="0.35">
      <c r="T42122" s="246">
        <f t="shared" si="696"/>
        <v>0</v>
      </c>
    </row>
    <row r="42123" spans="20:20" ht="18.75" customHeight="1" x14ac:dyDescent="0.35">
      <c r="T42123" s="246">
        <f t="shared" si="696"/>
        <v>0</v>
      </c>
    </row>
    <row r="42124" spans="20:20" ht="18.75" customHeight="1" x14ac:dyDescent="0.35">
      <c r="T42124" s="246">
        <f t="shared" si="696"/>
        <v>0</v>
      </c>
    </row>
    <row r="42125" spans="20:20" ht="18.75" customHeight="1" x14ac:dyDescent="0.35">
      <c r="T42125" s="246">
        <f t="shared" si="696"/>
        <v>0</v>
      </c>
    </row>
    <row r="42126" spans="20:20" ht="18.75" customHeight="1" x14ac:dyDescent="0.35">
      <c r="T42126" s="246">
        <f t="shared" si="696"/>
        <v>0</v>
      </c>
    </row>
    <row r="42127" spans="20:20" ht="18.75" customHeight="1" x14ac:dyDescent="0.35">
      <c r="T42127" s="246">
        <f t="shared" si="696"/>
        <v>0</v>
      </c>
    </row>
    <row r="42128" spans="20:20" ht="18.75" customHeight="1" x14ac:dyDescent="0.35">
      <c r="T42128" s="246">
        <f t="shared" si="696"/>
        <v>0</v>
      </c>
    </row>
    <row r="42129" spans="20:20" ht="18.75" customHeight="1" x14ac:dyDescent="0.35">
      <c r="T42129" s="246">
        <f t="shared" si="696"/>
        <v>0</v>
      </c>
    </row>
    <row r="42130" spans="20:20" ht="18.75" customHeight="1" x14ac:dyDescent="0.35">
      <c r="T42130" s="246">
        <f t="shared" si="696"/>
        <v>0</v>
      </c>
    </row>
    <row r="42131" spans="20:20" ht="18.75" customHeight="1" x14ac:dyDescent="0.35">
      <c r="T42131" s="246">
        <f t="shared" si="696"/>
        <v>0</v>
      </c>
    </row>
    <row r="42132" spans="20:20" ht="18.75" customHeight="1" x14ac:dyDescent="0.35">
      <c r="T42132" s="246">
        <f t="shared" si="696"/>
        <v>0</v>
      </c>
    </row>
    <row r="42133" spans="20:20" ht="18.75" customHeight="1" x14ac:dyDescent="0.35">
      <c r="T42133" s="246">
        <f t="shared" si="696"/>
        <v>0</v>
      </c>
    </row>
    <row r="42134" spans="20:20" ht="18.75" customHeight="1" x14ac:dyDescent="0.35">
      <c r="T42134" s="246">
        <f t="shared" si="696"/>
        <v>0</v>
      </c>
    </row>
    <row r="42135" spans="20:20" ht="18.75" customHeight="1" x14ac:dyDescent="0.35">
      <c r="T42135" s="246">
        <f t="shared" si="696"/>
        <v>0</v>
      </c>
    </row>
    <row r="42136" spans="20:20" ht="18.75" customHeight="1" x14ac:dyDescent="0.35">
      <c r="T42136" s="246">
        <f t="shared" si="696"/>
        <v>0</v>
      </c>
    </row>
    <row r="42137" spans="20:20" ht="18.75" customHeight="1" x14ac:dyDescent="0.35">
      <c r="T42137" s="246">
        <f t="shared" si="696"/>
        <v>0</v>
      </c>
    </row>
    <row r="42138" spans="20:20" ht="18.75" customHeight="1" x14ac:dyDescent="0.35">
      <c r="T42138" s="246">
        <f t="shared" si="696"/>
        <v>0</v>
      </c>
    </row>
    <row r="42139" spans="20:20" ht="18.75" customHeight="1" x14ac:dyDescent="0.35">
      <c r="T42139" s="246">
        <f t="shared" si="696"/>
        <v>0</v>
      </c>
    </row>
    <row r="42140" spans="20:20" ht="18.75" customHeight="1" x14ac:dyDescent="0.35">
      <c r="T42140" s="246">
        <f t="shared" si="696"/>
        <v>0</v>
      </c>
    </row>
    <row r="42141" spans="20:20" ht="18.75" customHeight="1" x14ac:dyDescent="0.35">
      <c r="T42141" s="246">
        <f t="shared" si="696"/>
        <v>0</v>
      </c>
    </row>
    <row r="42142" spans="20:20" ht="18.75" customHeight="1" x14ac:dyDescent="0.35">
      <c r="T42142" s="246">
        <f t="shared" si="696"/>
        <v>0</v>
      </c>
    </row>
    <row r="42143" spans="20:20" ht="18.75" customHeight="1" x14ac:dyDescent="0.35">
      <c r="T42143" s="246">
        <f t="shared" si="696"/>
        <v>0</v>
      </c>
    </row>
    <row r="42144" spans="20:20" ht="18.75" customHeight="1" x14ac:dyDescent="0.35">
      <c r="T42144" s="246">
        <f t="shared" si="696"/>
        <v>0</v>
      </c>
    </row>
    <row r="42145" spans="20:20" ht="18.75" customHeight="1" x14ac:dyDescent="0.35">
      <c r="T42145" s="246">
        <f t="shared" si="696"/>
        <v>0</v>
      </c>
    </row>
    <row r="42146" spans="20:20" ht="18.75" customHeight="1" x14ac:dyDescent="0.35">
      <c r="T42146" s="246">
        <f t="shared" si="696"/>
        <v>0</v>
      </c>
    </row>
    <row r="42147" spans="20:20" ht="18.75" customHeight="1" x14ac:dyDescent="0.35">
      <c r="T42147" s="246">
        <f t="shared" si="696"/>
        <v>0</v>
      </c>
    </row>
    <row r="42148" spans="20:20" ht="18.75" customHeight="1" x14ac:dyDescent="0.35">
      <c r="T42148" s="246">
        <f t="shared" si="696"/>
        <v>0</v>
      </c>
    </row>
    <row r="42149" spans="20:20" ht="18.75" customHeight="1" x14ac:dyDescent="0.35">
      <c r="T42149" s="246">
        <f t="shared" si="696"/>
        <v>0</v>
      </c>
    </row>
    <row r="42150" spans="20:20" ht="18.75" customHeight="1" x14ac:dyDescent="0.35">
      <c r="T42150" s="246">
        <f t="shared" si="696"/>
        <v>0</v>
      </c>
    </row>
    <row r="42151" spans="20:20" ht="18.75" customHeight="1" x14ac:dyDescent="0.35">
      <c r="T42151" s="246">
        <f t="shared" si="696"/>
        <v>0</v>
      </c>
    </row>
    <row r="42152" spans="20:20" ht="18.75" customHeight="1" x14ac:dyDescent="0.35">
      <c r="T42152" s="246">
        <f t="shared" si="696"/>
        <v>0</v>
      </c>
    </row>
    <row r="42153" spans="20:20" ht="18.75" customHeight="1" x14ac:dyDescent="0.35">
      <c r="T42153" s="246">
        <f t="shared" si="696"/>
        <v>0</v>
      </c>
    </row>
    <row r="42154" spans="20:20" ht="18.75" customHeight="1" x14ac:dyDescent="0.35">
      <c r="T42154" s="246">
        <f t="shared" si="696"/>
        <v>0</v>
      </c>
    </row>
    <row r="42155" spans="20:20" ht="18.75" customHeight="1" x14ac:dyDescent="0.35">
      <c r="T42155" s="246">
        <f t="shared" si="696"/>
        <v>0</v>
      </c>
    </row>
    <row r="42156" spans="20:20" ht="18.75" customHeight="1" x14ac:dyDescent="0.35">
      <c r="T42156" s="246">
        <f t="shared" si="696"/>
        <v>0</v>
      </c>
    </row>
    <row r="42157" spans="20:20" ht="18.75" customHeight="1" x14ac:dyDescent="0.35">
      <c r="T42157" s="246">
        <f t="shared" si="696"/>
        <v>0</v>
      </c>
    </row>
    <row r="42158" spans="20:20" ht="18.75" customHeight="1" x14ac:dyDescent="0.35">
      <c r="T42158" s="246">
        <f t="shared" si="696"/>
        <v>0</v>
      </c>
    </row>
    <row r="42159" spans="20:20" ht="18.75" customHeight="1" x14ac:dyDescent="0.35">
      <c r="T42159" s="246">
        <f t="shared" si="696"/>
        <v>0</v>
      </c>
    </row>
    <row r="42160" spans="20:20" ht="18.75" customHeight="1" x14ac:dyDescent="0.35">
      <c r="T42160" s="246">
        <f t="shared" si="696"/>
        <v>0</v>
      </c>
    </row>
    <row r="42161" spans="20:20" ht="18.75" customHeight="1" x14ac:dyDescent="0.35">
      <c r="T42161" s="246">
        <f t="shared" si="696"/>
        <v>0</v>
      </c>
    </row>
    <row r="42162" spans="20:20" ht="18.75" customHeight="1" x14ac:dyDescent="0.35">
      <c r="T42162" s="246">
        <f t="shared" si="696"/>
        <v>0</v>
      </c>
    </row>
    <row r="42163" spans="20:20" ht="18.75" customHeight="1" x14ac:dyDescent="0.35">
      <c r="T42163" s="246">
        <f t="shared" si="696"/>
        <v>0</v>
      </c>
    </row>
    <row r="42164" spans="20:20" ht="18.75" customHeight="1" x14ac:dyDescent="0.35">
      <c r="T42164" s="246">
        <f t="shared" si="696"/>
        <v>0</v>
      </c>
    </row>
    <row r="42165" spans="20:20" ht="18.75" customHeight="1" x14ac:dyDescent="0.35">
      <c r="T42165" s="246">
        <f t="shared" si="696"/>
        <v>0</v>
      </c>
    </row>
    <row r="42166" spans="20:20" ht="18.75" customHeight="1" x14ac:dyDescent="0.35">
      <c r="T42166" s="246">
        <f t="shared" si="696"/>
        <v>0</v>
      </c>
    </row>
    <row r="42167" spans="20:20" ht="18.75" customHeight="1" x14ac:dyDescent="0.35">
      <c r="T42167" s="246">
        <f t="shared" si="696"/>
        <v>0</v>
      </c>
    </row>
    <row r="42168" spans="20:20" ht="18.75" customHeight="1" x14ac:dyDescent="0.35">
      <c r="T42168" s="246">
        <f t="shared" si="696"/>
        <v>0</v>
      </c>
    </row>
    <row r="42169" spans="20:20" ht="18.75" customHeight="1" x14ac:dyDescent="0.35">
      <c r="T42169" s="246">
        <f t="shared" si="696"/>
        <v>0</v>
      </c>
    </row>
    <row r="42170" spans="20:20" ht="18.75" customHeight="1" x14ac:dyDescent="0.35">
      <c r="T42170" s="246">
        <f t="shared" si="696"/>
        <v>0</v>
      </c>
    </row>
    <row r="42171" spans="20:20" ht="18.75" customHeight="1" x14ac:dyDescent="0.35">
      <c r="T42171" s="246">
        <f t="shared" si="696"/>
        <v>0</v>
      </c>
    </row>
    <row r="42172" spans="20:20" ht="18.75" customHeight="1" x14ac:dyDescent="0.35">
      <c r="T42172" s="246">
        <f t="shared" ref="T42172:T42235" si="697">R42172*0.01</f>
        <v>0</v>
      </c>
    </row>
    <row r="42173" spans="20:20" ht="18.75" customHeight="1" x14ac:dyDescent="0.35">
      <c r="T42173" s="246">
        <f t="shared" si="697"/>
        <v>0</v>
      </c>
    </row>
    <row r="42174" spans="20:20" ht="18.75" customHeight="1" x14ac:dyDescent="0.35">
      <c r="T42174" s="246">
        <f t="shared" si="697"/>
        <v>0</v>
      </c>
    </row>
    <row r="42175" spans="20:20" ht="18.75" customHeight="1" x14ac:dyDescent="0.35">
      <c r="T42175" s="246">
        <f t="shared" si="697"/>
        <v>0</v>
      </c>
    </row>
    <row r="42176" spans="20:20" ht="18.75" customHeight="1" x14ac:dyDescent="0.35">
      <c r="T42176" s="246">
        <f t="shared" si="697"/>
        <v>0</v>
      </c>
    </row>
    <row r="42177" spans="20:20" ht="18.75" customHeight="1" x14ac:dyDescent="0.35">
      <c r="T42177" s="246">
        <f t="shared" si="697"/>
        <v>0</v>
      </c>
    </row>
    <row r="42178" spans="20:20" ht="18.75" customHeight="1" x14ac:dyDescent="0.35">
      <c r="T42178" s="246">
        <f t="shared" si="697"/>
        <v>0</v>
      </c>
    </row>
    <row r="42179" spans="20:20" ht="18.75" customHeight="1" x14ac:dyDescent="0.35">
      <c r="T42179" s="246">
        <f t="shared" si="697"/>
        <v>0</v>
      </c>
    </row>
    <row r="42180" spans="20:20" ht="18.75" customHeight="1" x14ac:dyDescent="0.35">
      <c r="T42180" s="246">
        <f t="shared" si="697"/>
        <v>0</v>
      </c>
    </row>
    <row r="42181" spans="20:20" ht="18.75" customHeight="1" x14ac:dyDescent="0.35">
      <c r="T42181" s="246">
        <f t="shared" si="697"/>
        <v>0</v>
      </c>
    </row>
    <row r="42182" spans="20:20" ht="18.75" customHeight="1" x14ac:dyDescent="0.35">
      <c r="T42182" s="246">
        <f t="shared" si="697"/>
        <v>0</v>
      </c>
    </row>
    <row r="42183" spans="20:20" ht="18.75" customHeight="1" x14ac:dyDescent="0.35">
      <c r="T42183" s="246">
        <f t="shared" si="697"/>
        <v>0</v>
      </c>
    </row>
    <row r="42184" spans="20:20" ht="18.75" customHeight="1" x14ac:dyDescent="0.35">
      <c r="T42184" s="246">
        <f t="shared" si="697"/>
        <v>0</v>
      </c>
    </row>
    <row r="42185" spans="20:20" ht="18.75" customHeight="1" x14ac:dyDescent="0.35">
      <c r="T42185" s="246">
        <f t="shared" si="697"/>
        <v>0</v>
      </c>
    </row>
    <row r="42186" spans="20:20" ht="18.75" customHeight="1" x14ac:dyDescent="0.35">
      <c r="T42186" s="246">
        <f t="shared" si="697"/>
        <v>0</v>
      </c>
    </row>
    <row r="42187" spans="20:20" ht="18.75" customHeight="1" x14ac:dyDescent="0.35">
      <c r="T42187" s="246">
        <f t="shared" si="697"/>
        <v>0</v>
      </c>
    </row>
    <row r="42188" spans="20:20" ht="18.75" customHeight="1" x14ac:dyDescent="0.35">
      <c r="T42188" s="246">
        <f t="shared" si="697"/>
        <v>0</v>
      </c>
    </row>
    <row r="42189" spans="20:20" ht="18.75" customHeight="1" x14ac:dyDescent="0.35">
      <c r="T42189" s="246">
        <f t="shared" si="697"/>
        <v>0</v>
      </c>
    </row>
    <row r="42190" spans="20:20" ht="18.75" customHeight="1" x14ac:dyDescent="0.35">
      <c r="T42190" s="246">
        <f t="shared" si="697"/>
        <v>0</v>
      </c>
    </row>
    <row r="42191" spans="20:20" ht="18.75" customHeight="1" x14ac:dyDescent="0.35">
      <c r="T42191" s="246">
        <f t="shared" si="697"/>
        <v>0</v>
      </c>
    </row>
    <row r="42192" spans="20:20" ht="18.75" customHeight="1" x14ac:dyDescent="0.35">
      <c r="T42192" s="246">
        <f t="shared" si="697"/>
        <v>0</v>
      </c>
    </row>
    <row r="42193" spans="20:20" ht="18.75" customHeight="1" x14ac:dyDescent="0.35">
      <c r="T42193" s="246">
        <f t="shared" si="697"/>
        <v>0</v>
      </c>
    </row>
    <row r="42194" spans="20:20" ht="18.75" customHeight="1" x14ac:dyDescent="0.35">
      <c r="T42194" s="246">
        <f t="shared" si="697"/>
        <v>0</v>
      </c>
    </row>
    <row r="42195" spans="20:20" ht="18.75" customHeight="1" x14ac:dyDescent="0.35">
      <c r="T42195" s="246">
        <f t="shared" si="697"/>
        <v>0</v>
      </c>
    </row>
    <row r="42196" spans="20:20" ht="18.75" customHeight="1" x14ac:dyDescent="0.35">
      <c r="T42196" s="246">
        <f t="shared" si="697"/>
        <v>0</v>
      </c>
    </row>
    <row r="42197" spans="20:20" ht="18.75" customHeight="1" x14ac:dyDescent="0.35">
      <c r="T42197" s="246">
        <f t="shared" si="697"/>
        <v>0</v>
      </c>
    </row>
    <row r="42198" spans="20:20" ht="18.75" customHeight="1" x14ac:dyDescent="0.35">
      <c r="T42198" s="246">
        <f t="shared" si="697"/>
        <v>0</v>
      </c>
    </row>
    <row r="42199" spans="20:20" ht="18.75" customHeight="1" x14ac:dyDescent="0.35">
      <c r="T42199" s="246">
        <f t="shared" si="697"/>
        <v>0</v>
      </c>
    </row>
    <row r="42200" spans="20:20" ht="18.75" customHeight="1" x14ac:dyDescent="0.35">
      <c r="T42200" s="246">
        <f t="shared" si="697"/>
        <v>0</v>
      </c>
    </row>
    <row r="42201" spans="20:20" ht="18.75" customHeight="1" x14ac:dyDescent="0.35">
      <c r="T42201" s="246">
        <f t="shared" si="697"/>
        <v>0</v>
      </c>
    </row>
    <row r="42202" spans="20:20" ht="18.75" customHeight="1" x14ac:dyDescent="0.35">
      <c r="T42202" s="246">
        <f t="shared" si="697"/>
        <v>0</v>
      </c>
    </row>
    <row r="42203" spans="20:20" ht="18.75" customHeight="1" x14ac:dyDescent="0.35">
      <c r="T42203" s="246">
        <f t="shared" si="697"/>
        <v>0</v>
      </c>
    </row>
    <row r="42204" spans="20:20" ht="18.75" customHeight="1" x14ac:dyDescent="0.35">
      <c r="T42204" s="246">
        <f t="shared" si="697"/>
        <v>0</v>
      </c>
    </row>
    <row r="42205" spans="20:20" ht="18.75" customHeight="1" x14ac:dyDescent="0.35">
      <c r="T42205" s="246">
        <f t="shared" si="697"/>
        <v>0</v>
      </c>
    </row>
    <row r="42206" spans="20:20" ht="18.75" customHeight="1" x14ac:dyDescent="0.35">
      <c r="T42206" s="246">
        <f t="shared" si="697"/>
        <v>0</v>
      </c>
    </row>
    <row r="42207" spans="20:20" ht="18.75" customHeight="1" x14ac:dyDescent="0.35">
      <c r="T42207" s="246">
        <f t="shared" si="697"/>
        <v>0</v>
      </c>
    </row>
    <row r="42208" spans="20:20" ht="18.75" customHeight="1" x14ac:dyDescent="0.35">
      <c r="T42208" s="246">
        <f t="shared" si="697"/>
        <v>0</v>
      </c>
    </row>
    <row r="42209" spans="20:20" ht="18.75" customHeight="1" x14ac:dyDescent="0.35">
      <c r="T42209" s="246">
        <f t="shared" si="697"/>
        <v>0</v>
      </c>
    </row>
    <row r="42210" spans="20:20" ht="18.75" customHeight="1" x14ac:dyDescent="0.35">
      <c r="T42210" s="246">
        <f t="shared" si="697"/>
        <v>0</v>
      </c>
    </row>
    <row r="42211" spans="20:20" ht="18.75" customHeight="1" x14ac:dyDescent="0.35">
      <c r="T42211" s="246">
        <f t="shared" si="697"/>
        <v>0</v>
      </c>
    </row>
    <row r="42212" spans="20:20" ht="18.75" customHeight="1" x14ac:dyDescent="0.35">
      <c r="T42212" s="246">
        <f t="shared" si="697"/>
        <v>0</v>
      </c>
    </row>
    <row r="42213" spans="20:20" ht="18.75" customHeight="1" x14ac:dyDescent="0.35">
      <c r="T42213" s="246">
        <f t="shared" si="697"/>
        <v>0</v>
      </c>
    </row>
    <row r="42214" spans="20:20" ht="18.75" customHeight="1" x14ac:dyDescent="0.35">
      <c r="T42214" s="246">
        <f t="shared" si="697"/>
        <v>0</v>
      </c>
    </row>
    <row r="42215" spans="20:20" ht="18.75" customHeight="1" x14ac:dyDescent="0.35">
      <c r="T42215" s="246">
        <f t="shared" si="697"/>
        <v>0</v>
      </c>
    </row>
    <row r="42216" spans="20:20" ht="18.75" customHeight="1" x14ac:dyDescent="0.35">
      <c r="T42216" s="246">
        <f t="shared" si="697"/>
        <v>0</v>
      </c>
    </row>
    <row r="42217" spans="20:20" ht="18.75" customHeight="1" x14ac:dyDescent="0.35">
      <c r="T42217" s="246">
        <f t="shared" si="697"/>
        <v>0</v>
      </c>
    </row>
    <row r="42218" spans="20:20" ht="18.75" customHeight="1" x14ac:dyDescent="0.35">
      <c r="T42218" s="246">
        <f t="shared" si="697"/>
        <v>0</v>
      </c>
    </row>
    <row r="42219" spans="20:20" ht="18.75" customHeight="1" x14ac:dyDescent="0.35">
      <c r="T42219" s="246">
        <f t="shared" si="697"/>
        <v>0</v>
      </c>
    </row>
    <row r="42220" spans="20:20" ht="18.75" customHeight="1" x14ac:dyDescent="0.35">
      <c r="T42220" s="246">
        <f t="shared" si="697"/>
        <v>0</v>
      </c>
    </row>
    <row r="42221" spans="20:20" ht="18.75" customHeight="1" x14ac:dyDescent="0.35">
      <c r="T42221" s="246">
        <f t="shared" si="697"/>
        <v>0</v>
      </c>
    </row>
    <row r="42222" spans="20:20" ht="18.75" customHeight="1" x14ac:dyDescent="0.35">
      <c r="T42222" s="246">
        <f t="shared" si="697"/>
        <v>0</v>
      </c>
    </row>
    <row r="42223" spans="20:20" ht="18.75" customHeight="1" x14ac:dyDescent="0.35">
      <c r="T42223" s="246">
        <f t="shared" si="697"/>
        <v>0</v>
      </c>
    </row>
    <row r="42224" spans="20:20" ht="18.75" customHeight="1" x14ac:dyDescent="0.35">
      <c r="T42224" s="246">
        <f t="shared" si="697"/>
        <v>0</v>
      </c>
    </row>
    <row r="42225" spans="20:20" ht="18.75" customHeight="1" x14ac:dyDescent="0.35">
      <c r="T42225" s="246">
        <f t="shared" si="697"/>
        <v>0</v>
      </c>
    </row>
    <row r="42226" spans="20:20" ht="18.75" customHeight="1" x14ac:dyDescent="0.35">
      <c r="T42226" s="246">
        <f t="shared" si="697"/>
        <v>0</v>
      </c>
    </row>
    <row r="42227" spans="20:20" ht="18.75" customHeight="1" x14ac:dyDescent="0.35">
      <c r="T42227" s="246">
        <f t="shared" si="697"/>
        <v>0</v>
      </c>
    </row>
    <row r="42228" spans="20:20" ht="18.75" customHeight="1" x14ac:dyDescent="0.35">
      <c r="T42228" s="246">
        <f t="shared" si="697"/>
        <v>0</v>
      </c>
    </row>
    <row r="42229" spans="20:20" ht="18.75" customHeight="1" x14ac:dyDescent="0.35">
      <c r="T42229" s="246">
        <f t="shared" si="697"/>
        <v>0</v>
      </c>
    </row>
    <row r="42230" spans="20:20" ht="18.75" customHeight="1" x14ac:dyDescent="0.35">
      <c r="T42230" s="246">
        <f t="shared" si="697"/>
        <v>0</v>
      </c>
    </row>
    <row r="42231" spans="20:20" ht="18.75" customHeight="1" x14ac:dyDescent="0.35">
      <c r="T42231" s="246">
        <f t="shared" si="697"/>
        <v>0</v>
      </c>
    </row>
    <row r="42232" spans="20:20" ht="18.75" customHeight="1" x14ac:dyDescent="0.35">
      <c r="T42232" s="246">
        <f t="shared" si="697"/>
        <v>0</v>
      </c>
    </row>
    <row r="42233" spans="20:20" ht="18.75" customHeight="1" x14ac:dyDescent="0.35">
      <c r="T42233" s="246">
        <f t="shared" si="697"/>
        <v>0</v>
      </c>
    </row>
    <row r="42234" spans="20:20" ht="18.75" customHeight="1" x14ac:dyDescent="0.35">
      <c r="T42234" s="246">
        <f t="shared" si="697"/>
        <v>0</v>
      </c>
    </row>
    <row r="42235" spans="20:20" ht="18.75" customHeight="1" x14ac:dyDescent="0.35">
      <c r="T42235" s="246">
        <f t="shared" si="697"/>
        <v>0</v>
      </c>
    </row>
    <row r="42236" spans="20:20" ht="18.75" customHeight="1" x14ac:dyDescent="0.35">
      <c r="T42236" s="246">
        <f t="shared" ref="T42236:T42299" si="698">R42236*0.01</f>
        <v>0</v>
      </c>
    </row>
    <row r="42237" spans="20:20" ht="18.75" customHeight="1" x14ac:dyDescent="0.35">
      <c r="T42237" s="246">
        <f t="shared" si="698"/>
        <v>0</v>
      </c>
    </row>
    <row r="42238" spans="20:20" ht="18.75" customHeight="1" x14ac:dyDescent="0.35">
      <c r="T42238" s="246">
        <f t="shared" si="698"/>
        <v>0</v>
      </c>
    </row>
    <row r="42239" spans="20:20" ht="18.75" customHeight="1" x14ac:dyDescent="0.35">
      <c r="T42239" s="246">
        <f t="shared" si="698"/>
        <v>0</v>
      </c>
    </row>
    <row r="42240" spans="20:20" ht="18.75" customHeight="1" x14ac:dyDescent="0.35">
      <c r="T42240" s="246">
        <f t="shared" si="698"/>
        <v>0</v>
      </c>
    </row>
    <row r="42241" spans="20:20" ht="18.75" customHeight="1" x14ac:dyDescent="0.35">
      <c r="T42241" s="246">
        <f t="shared" si="698"/>
        <v>0</v>
      </c>
    </row>
    <row r="42242" spans="20:20" ht="18.75" customHeight="1" x14ac:dyDescent="0.35">
      <c r="T42242" s="246">
        <f t="shared" si="698"/>
        <v>0</v>
      </c>
    </row>
    <row r="42243" spans="20:20" ht="18.75" customHeight="1" x14ac:dyDescent="0.35">
      <c r="T42243" s="246">
        <f t="shared" si="698"/>
        <v>0</v>
      </c>
    </row>
    <row r="42244" spans="20:20" ht="18.75" customHeight="1" x14ac:dyDescent="0.35">
      <c r="T42244" s="246">
        <f t="shared" si="698"/>
        <v>0</v>
      </c>
    </row>
    <row r="42245" spans="20:20" ht="18.75" customHeight="1" x14ac:dyDescent="0.35">
      <c r="T42245" s="246">
        <f t="shared" si="698"/>
        <v>0</v>
      </c>
    </row>
    <row r="42246" spans="20:20" ht="18.75" customHeight="1" x14ac:dyDescent="0.35">
      <c r="T42246" s="246">
        <f t="shared" si="698"/>
        <v>0</v>
      </c>
    </row>
    <row r="42247" spans="20:20" ht="18.75" customHeight="1" x14ac:dyDescent="0.35">
      <c r="T42247" s="246">
        <f t="shared" si="698"/>
        <v>0</v>
      </c>
    </row>
    <row r="42248" spans="20:20" ht="18.75" customHeight="1" x14ac:dyDescent="0.35">
      <c r="T42248" s="246">
        <f t="shared" si="698"/>
        <v>0</v>
      </c>
    </row>
    <row r="42249" spans="20:20" ht="18.75" customHeight="1" x14ac:dyDescent="0.35">
      <c r="T42249" s="246">
        <f t="shared" si="698"/>
        <v>0</v>
      </c>
    </row>
    <row r="42250" spans="20:20" ht="18.75" customHeight="1" x14ac:dyDescent="0.35">
      <c r="T42250" s="246">
        <f t="shared" si="698"/>
        <v>0</v>
      </c>
    </row>
    <row r="42251" spans="20:20" ht="18.75" customHeight="1" x14ac:dyDescent="0.35">
      <c r="T42251" s="246">
        <f t="shared" si="698"/>
        <v>0</v>
      </c>
    </row>
    <row r="42252" spans="20:20" ht="18.75" customHeight="1" x14ac:dyDescent="0.35">
      <c r="T42252" s="246">
        <f t="shared" si="698"/>
        <v>0</v>
      </c>
    </row>
    <row r="42253" spans="20:20" ht="18.75" customHeight="1" x14ac:dyDescent="0.35">
      <c r="T42253" s="246">
        <f t="shared" si="698"/>
        <v>0</v>
      </c>
    </row>
    <row r="42254" spans="20:20" ht="18.75" customHeight="1" x14ac:dyDescent="0.35">
      <c r="T42254" s="246">
        <f t="shared" si="698"/>
        <v>0</v>
      </c>
    </row>
    <row r="42255" spans="20:20" ht="18.75" customHeight="1" x14ac:dyDescent="0.35">
      <c r="T42255" s="246">
        <f t="shared" si="698"/>
        <v>0</v>
      </c>
    </row>
    <row r="42256" spans="20:20" ht="18.75" customHeight="1" x14ac:dyDescent="0.35">
      <c r="T42256" s="246">
        <f t="shared" si="698"/>
        <v>0</v>
      </c>
    </row>
    <row r="42257" spans="20:20" ht="18.75" customHeight="1" x14ac:dyDescent="0.35">
      <c r="T42257" s="246">
        <f t="shared" si="698"/>
        <v>0</v>
      </c>
    </row>
    <row r="42258" spans="20:20" ht="18.75" customHeight="1" x14ac:dyDescent="0.35">
      <c r="T42258" s="246">
        <f t="shared" si="698"/>
        <v>0</v>
      </c>
    </row>
    <row r="42259" spans="20:20" ht="18.75" customHeight="1" x14ac:dyDescent="0.35">
      <c r="T42259" s="246">
        <f t="shared" si="698"/>
        <v>0</v>
      </c>
    </row>
    <row r="42260" spans="20:20" ht="18.75" customHeight="1" x14ac:dyDescent="0.35">
      <c r="T42260" s="246">
        <f t="shared" si="698"/>
        <v>0</v>
      </c>
    </row>
    <row r="42261" spans="20:20" ht="18.75" customHeight="1" x14ac:dyDescent="0.35">
      <c r="T42261" s="246">
        <f t="shared" si="698"/>
        <v>0</v>
      </c>
    </row>
    <row r="42262" spans="20:20" ht="18.75" customHeight="1" x14ac:dyDescent="0.35">
      <c r="T42262" s="246">
        <f t="shared" si="698"/>
        <v>0</v>
      </c>
    </row>
    <row r="42263" spans="20:20" ht="18.75" customHeight="1" x14ac:dyDescent="0.35">
      <c r="T42263" s="246">
        <f t="shared" si="698"/>
        <v>0</v>
      </c>
    </row>
    <row r="42264" spans="20:20" ht="18.75" customHeight="1" x14ac:dyDescent="0.35">
      <c r="T42264" s="246">
        <f t="shared" si="698"/>
        <v>0</v>
      </c>
    </row>
    <row r="42265" spans="20:20" ht="18.75" customHeight="1" x14ac:dyDescent="0.35">
      <c r="T42265" s="246">
        <f t="shared" si="698"/>
        <v>0</v>
      </c>
    </row>
    <row r="42266" spans="20:20" ht="18.75" customHeight="1" x14ac:dyDescent="0.35">
      <c r="T42266" s="246">
        <f t="shared" si="698"/>
        <v>0</v>
      </c>
    </row>
    <row r="42267" spans="20:20" ht="18.75" customHeight="1" x14ac:dyDescent="0.35">
      <c r="T42267" s="246">
        <f t="shared" si="698"/>
        <v>0</v>
      </c>
    </row>
    <row r="42268" spans="20:20" ht="18.75" customHeight="1" x14ac:dyDescent="0.35">
      <c r="T42268" s="246">
        <f t="shared" si="698"/>
        <v>0</v>
      </c>
    </row>
    <row r="42269" spans="20:20" ht="18.75" customHeight="1" x14ac:dyDescent="0.35">
      <c r="T42269" s="246">
        <f t="shared" si="698"/>
        <v>0</v>
      </c>
    </row>
    <row r="42270" spans="20:20" ht="18.75" customHeight="1" x14ac:dyDescent="0.35">
      <c r="T42270" s="246">
        <f t="shared" si="698"/>
        <v>0</v>
      </c>
    </row>
    <row r="42271" spans="20:20" ht="18.75" customHeight="1" x14ac:dyDescent="0.35">
      <c r="T42271" s="246">
        <f t="shared" si="698"/>
        <v>0</v>
      </c>
    </row>
    <row r="42272" spans="20:20" ht="18.75" customHeight="1" x14ac:dyDescent="0.35">
      <c r="T42272" s="246">
        <f t="shared" si="698"/>
        <v>0</v>
      </c>
    </row>
    <row r="42273" spans="20:20" ht="18.75" customHeight="1" x14ac:dyDescent="0.35">
      <c r="T42273" s="246">
        <f t="shared" si="698"/>
        <v>0</v>
      </c>
    </row>
    <row r="42274" spans="20:20" ht="18.75" customHeight="1" x14ac:dyDescent="0.35">
      <c r="T42274" s="246">
        <f t="shared" si="698"/>
        <v>0</v>
      </c>
    </row>
    <row r="42275" spans="20:20" ht="18.75" customHeight="1" x14ac:dyDescent="0.35">
      <c r="T42275" s="246">
        <f t="shared" si="698"/>
        <v>0</v>
      </c>
    </row>
    <row r="42276" spans="20:20" ht="18.75" customHeight="1" x14ac:dyDescent="0.35">
      <c r="T42276" s="246">
        <f t="shared" si="698"/>
        <v>0</v>
      </c>
    </row>
    <row r="42277" spans="20:20" ht="18.75" customHeight="1" x14ac:dyDescent="0.35">
      <c r="T42277" s="246">
        <f t="shared" si="698"/>
        <v>0</v>
      </c>
    </row>
    <row r="42278" spans="20:20" ht="18.75" customHeight="1" x14ac:dyDescent="0.35">
      <c r="T42278" s="246">
        <f t="shared" si="698"/>
        <v>0</v>
      </c>
    </row>
    <row r="42279" spans="20:20" ht="18.75" customHeight="1" x14ac:dyDescent="0.35">
      <c r="T42279" s="246">
        <f t="shared" si="698"/>
        <v>0</v>
      </c>
    </row>
    <row r="42280" spans="20:20" ht="18.75" customHeight="1" x14ac:dyDescent="0.35">
      <c r="T42280" s="246">
        <f t="shared" si="698"/>
        <v>0</v>
      </c>
    </row>
    <row r="42281" spans="20:20" ht="18.75" customHeight="1" x14ac:dyDescent="0.35">
      <c r="T42281" s="246">
        <f t="shared" si="698"/>
        <v>0</v>
      </c>
    </row>
    <row r="42282" spans="20:20" ht="18.75" customHeight="1" x14ac:dyDescent="0.35">
      <c r="T42282" s="246">
        <f t="shared" si="698"/>
        <v>0</v>
      </c>
    </row>
    <row r="42283" spans="20:20" ht="18.75" customHeight="1" x14ac:dyDescent="0.35">
      <c r="T42283" s="246">
        <f t="shared" si="698"/>
        <v>0</v>
      </c>
    </row>
    <row r="42284" spans="20:20" ht="18.75" customHeight="1" x14ac:dyDescent="0.35">
      <c r="T42284" s="246">
        <f t="shared" si="698"/>
        <v>0</v>
      </c>
    </row>
    <row r="42285" spans="20:20" ht="18.75" customHeight="1" x14ac:dyDescent="0.35">
      <c r="T42285" s="246">
        <f t="shared" si="698"/>
        <v>0</v>
      </c>
    </row>
    <row r="42286" spans="20:20" ht="18.75" customHeight="1" x14ac:dyDescent="0.35">
      <c r="T42286" s="246">
        <f t="shared" si="698"/>
        <v>0</v>
      </c>
    </row>
    <row r="42287" spans="20:20" ht="18.75" customHeight="1" x14ac:dyDescent="0.35">
      <c r="T42287" s="246">
        <f t="shared" si="698"/>
        <v>0</v>
      </c>
    </row>
    <row r="42288" spans="20:20" ht="18.75" customHeight="1" x14ac:dyDescent="0.35">
      <c r="T42288" s="246">
        <f t="shared" si="698"/>
        <v>0</v>
      </c>
    </row>
    <row r="42289" spans="20:20" ht="18.75" customHeight="1" x14ac:dyDescent="0.35">
      <c r="T42289" s="246">
        <f t="shared" si="698"/>
        <v>0</v>
      </c>
    </row>
    <row r="42290" spans="20:20" ht="18.75" customHeight="1" x14ac:dyDescent="0.35">
      <c r="T42290" s="246">
        <f t="shared" si="698"/>
        <v>0</v>
      </c>
    </row>
    <row r="42291" spans="20:20" ht="18.75" customHeight="1" x14ac:dyDescent="0.35">
      <c r="T42291" s="246">
        <f t="shared" si="698"/>
        <v>0</v>
      </c>
    </row>
    <row r="42292" spans="20:20" ht="18.75" customHeight="1" x14ac:dyDescent="0.35">
      <c r="T42292" s="246">
        <f t="shared" si="698"/>
        <v>0</v>
      </c>
    </row>
    <row r="42293" spans="20:20" ht="18.75" customHeight="1" x14ac:dyDescent="0.35">
      <c r="T42293" s="246">
        <f t="shared" si="698"/>
        <v>0</v>
      </c>
    </row>
    <row r="42294" spans="20:20" ht="18.75" customHeight="1" x14ac:dyDescent="0.35">
      <c r="T42294" s="246">
        <f t="shared" si="698"/>
        <v>0</v>
      </c>
    </row>
    <row r="42295" spans="20:20" ht="18.75" customHeight="1" x14ac:dyDescent="0.35">
      <c r="T42295" s="246">
        <f t="shared" si="698"/>
        <v>0</v>
      </c>
    </row>
    <row r="42296" spans="20:20" ht="18.75" customHeight="1" x14ac:dyDescent="0.35">
      <c r="T42296" s="246">
        <f t="shared" si="698"/>
        <v>0</v>
      </c>
    </row>
    <row r="42297" spans="20:20" ht="18.75" customHeight="1" x14ac:dyDescent="0.35">
      <c r="T42297" s="246">
        <f t="shared" si="698"/>
        <v>0</v>
      </c>
    </row>
    <row r="42298" spans="20:20" ht="18.75" customHeight="1" x14ac:dyDescent="0.35">
      <c r="T42298" s="246">
        <f t="shared" si="698"/>
        <v>0</v>
      </c>
    </row>
    <row r="42299" spans="20:20" ht="18.75" customHeight="1" x14ac:dyDescent="0.35">
      <c r="T42299" s="246">
        <f t="shared" si="698"/>
        <v>0</v>
      </c>
    </row>
    <row r="42300" spans="20:20" ht="18.75" customHeight="1" x14ac:dyDescent="0.35">
      <c r="T42300" s="246">
        <f t="shared" ref="T42300:T42363" si="699">R42300*0.01</f>
        <v>0</v>
      </c>
    </row>
    <row r="42301" spans="20:20" ht="18.75" customHeight="1" x14ac:dyDescent="0.35">
      <c r="T42301" s="246">
        <f t="shared" si="699"/>
        <v>0</v>
      </c>
    </row>
    <row r="42302" spans="20:20" ht="18.75" customHeight="1" x14ac:dyDescent="0.35">
      <c r="T42302" s="246">
        <f t="shared" si="699"/>
        <v>0</v>
      </c>
    </row>
    <row r="42303" spans="20:20" ht="18.75" customHeight="1" x14ac:dyDescent="0.35">
      <c r="T42303" s="246">
        <f t="shared" si="699"/>
        <v>0</v>
      </c>
    </row>
    <row r="42304" spans="20:20" ht="18.75" customHeight="1" x14ac:dyDescent="0.35">
      <c r="T42304" s="246">
        <f t="shared" si="699"/>
        <v>0</v>
      </c>
    </row>
    <row r="42305" spans="20:20" ht="18.75" customHeight="1" x14ac:dyDescent="0.35">
      <c r="T42305" s="246">
        <f t="shared" si="699"/>
        <v>0</v>
      </c>
    </row>
    <row r="42306" spans="20:20" ht="18.75" customHeight="1" x14ac:dyDescent="0.35">
      <c r="T42306" s="246">
        <f t="shared" si="699"/>
        <v>0</v>
      </c>
    </row>
    <row r="42307" spans="20:20" ht="18.75" customHeight="1" x14ac:dyDescent="0.35">
      <c r="T42307" s="246">
        <f t="shared" si="699"/>
        <v>0</v>
      </c>
    </row>
    <row r="42308" spans="20:20" ht="18.75" customHeight="1" x14ac:dyDescent="0.35">
      <c r="T42308" s="246">
        <f t="shared" si="699"/>
        <v>0</v>
      </c>
    </row>
    <row r="42309" spans="20:20" ht="18.75" customHeight="1" x14ac:dyDescent="0.35">
      <c r="T42309" s="246">
        <f t="shared" si="699"/>
        <v>0</v>
      </c>
    </row>
    <row r="42310" spans="20:20" ht="18.75" customHeight="1" x14ac:dyDescent="0.35">
      <c r="T42310" s="246">
        <f t="shared" si="699"/>
        <v>0</v>
      </c>
    </row>
    <row r="42311" spans="20:20" ht="18.75" customHeight="1" x14ac:dyDescent="0.35">
      <c r="T42311" s="246">
        <f t="shared" si="699"/>
        <v>0</v>
      </c>
    </row>
    <row r="42312" spans="20:20" ht="18.75" customHeight="1" x14ac:dyDescent="0.35">
      <c r="T42312" s="246">
        <f t="shared" si="699"/>
        <v>0</v>
      </c>
    </row>
    <row r="42313" spans="20:20" ht="18.75" customHeight="1" x14ac:dyDescent="0.35">
      <c r="T42313" s="246">
        <f t="shared" si="699"/>
        <v>0</v>
      </c>
    </row>
    <row r="42314" spans="20:20" ht="18.75" customHeight="1" x14ac:dyDescent="0.35">
      <c r="T42314" s="246">
        <f t="shared" si="699"/>
        <v>0</v>
      </c>
    </row>
    <row r="42315" spans="20:20" ht="18.75" customHeight="1" x14ac:dyDescent="0.35">
      <c r="T42315" s="246">
        <f t="shared" si="699"/>
        <v>0</v>
      </c>
    </row>
    <row r="42316" spans="20:20" ht="18.75" customHeight="1" x14ac:dyDescent="0.35">
      <c r="T42316" s="246">
        <f t="shared" si="699"/>
        <v>0</v>
      </c>
    </row>
    <row r="42317" spans="20:20" ht="18.75" customHeight="1" x14ac:dyDescent="0.35">
      <c r="T42317" s="246">
        <f t="shared" si="699"/>
        <v>0</v>
      </c>
    </row>
    <row r="42318" spans="20:20" ht="18.75" customHeight="1" x14ac:dyDescent="0.35">
      <c r="T42318" s="246">
        <f t="shared" si="699"/>
        <v>0</v>
      </c>
    </row>
    <row r="42319" spans="20:20" ht="18.75" customHeight="1" x14ac:dyDescent="0.35">
      <c r="T42319" s="246">
        <f t="shared" si="699"/>
        <v>0</v>
      </c>
    </row>
    <row r="42320" spans="20:20" ht="18.75" customHeight="1" x14ac:dyDescent="0.35">
      <c r="T42320" s="246">
        <f t="shared" si="699"/>
        <v>0</v>
      </c>
    </row>
    <row r="42321" spans="20:20" ht="18.75" customHeight="1" x14ac:dyDescent="0.35">
      <c r="T42321" s="246">
        <f t="shared" si="699"/>
        <v>0</v>
      </c>
    </row>
    <row r="42322" spans="20:20" ht="18.75" customHeight="1" x14ac:dyDescent="0.35">
      <c r="T42322" s="246">
        <f t="shared" si="699"/>
        <v>0</v>
      </c>
    </row>
    <row r="42323" spans="20:20" ht="18.75" customHeight="1" x14ac:dyDescent="0.35">
      <c r="T42323" s="246">
        <f t="shared" si="699"/>
        <v>0</v>
      </c>
    </row>
    <row r="42324" spans="20:20" ht="18.75" customHeight="1" x14ac:dyDescent="0.35">
      <c r="T42324" s="246">
        <f t="shared" si="699"/>
        <v>0</v>
      </c>
    </row>
    <row r="42325" spans="20:20" ht="18.75" customHeight="1" x14ac:dyDescent="0.35">
      <c r="T42325" s="246">
        <f t="shared" si="699"/>
        <v>0</v>
      </c>
    </row>
    <row r="42326" spans="20:20" ht="18.75" customHeight="1" x14ac:dyDescent="0.35">
      <c r="T42326" s="246">
        <f t="shared" si="699"/>
        <v>0</v>
      </c>
    </row>
    <row r="42327" spans="20:20" ht="18.75" customHeight="1" x14ac:dyDescent="0.35">
      <c r="T42327" s="246">
        <f t="shared" si="699"/>
        <v>0</v>
      </c>
    </row>
    <row r="42328" spans="20:20" ht="18.75" customHeight="1" x14ac:dyDescent="0.35">
      <c r="T42328" s="246">
        <f t="shared" si="699"/>
        <v>0</v>
      </c>
    </row>
    <row r="42329" spans="20:20" ht="18.75" customHeight="1" x14ac:dyDescent="0.35">
      <c r="T42329" s="246">
        <f t="shared" si="699"/>
        <v>0</v>
      </c>
    </row>
    <row r="42330" spans="20:20" ht="18.75" customHeight="1" x14ac:dyDescent="0.35">
      <c r="T42330" s="246">
        <f t="shared" si="699"/>
        <v>0</v>
      </c>
    </row>
    <row r="42331" spans="20:20" ht="18.75" customHeight="1" x14ac:dyDescent="0.35">
      <c r="T42331" s="246">
        <f t="shared" si="699"/>
        <v>0</v>
      </c>
    </row>
    <row r="42332" spans="20:20" ht="18.75" customHeight="1" x14ac:dyDescent="0.35">
      <c r="T42332" s="246">
        <f t="shared" si="699"/>
        <v>0</v>
      </c>
    </row>
    <row r="42333" spans="20:20" ht="18.75" customHeight="1" x14ac:dyDescent="0.35">
      <c r="T42333" s="246">
        <f t="shared" si="699"/>
        <v>0</v>
      </c>
    </row>
    <row r="42334" spans="20:20" ht="18.75" customHeight="1" x14ac:dyDescent="0.35">
      <c r="T42334" s="246">
        <f t="shared" si="699"/>
        <v>0</v>
      </c>
    </row>
    <row r="42335" spans="20:20" ht="18.75" customHeight="1" x14ac:dyDescent="0.35">
      <c r="T42335" s="246">
        <f t="shared" si="699"/>
        <v>0</v>
      </c>
    </row>
    <row r="42336" spans="20:20" ht="18.75" customHeight="1" x14ac:dyDescent="0.35">
      <c r="T42336" s="246">
        <f t="shared" si="699"/>
        <v>0</v>
      </c>
    </row>
    <row r="42337" spans="20:20" ht="18.75" customHeight="1" x14ac:dyDescent="0.35">
      <c r="T42337" s="246">
        <f t="shared" si="699"/>
        <v>0</v>
      </c>
    </row>
    <row r="42338" spans="20:20" ht="18.75" customHeight="1" x14ac:dyDescent="0.35">
      <c r="T42338" s="246">
        <f t="shared" si="699"/>
        <v>0</v>
      </c>
    </row>
    <row r="42339" spans="20:20" ht="18.75" customHeight="1" x14ac:dyDescent="0.35">
      <c r="T42339" s="246">
        <f t="shared" si="699"/>
        <v>0</v>
      </c>
    </row>
    <row r="42340" spans="20:20" ht="18.75" customHeight="1" x14ac:dyDescent="0.35">
      <c r="T42340" s="246">
        <f t="shared" si="699"/>
        <v>0</v>
      </c>
    </row>
    <row r="42341" spans="20:20" ht="18.75" customHeight="1" x14ac:dyDescent="0.35">
      <c r="T42341" s="246">
        <f t="shared" si="699"/>
        <v>0</v>
      </c>
    </row>
    <row r="42342" spans="20:20" ht="18.75" customHeight="1" x14ac:dyDescent="0.35">
      <c r="T42342" s="246">
        <f t="shared" si="699"/>
        <v>0</v>
      </c>
    </row>
    <row r="42343" spans="20:20" ht="18.75" customHeight="1" x14ac:dyDescent="0.35">
      <c r="T42343" s="246">
        <f t="shared" si="699"/>
        <v>0</v>
      </c>
    </row>
    <row r="42344" spans="20:20" ht="18.75" customHeight="1" x14ac:dyDescent="0.35">
      <c r="T42344" s="246">
        <f t="shared" si="699"/>
        <v>0</v>
      </c>
    </row>
    <row r="42345" spans="20:20" ht="18.75" customHeight="1" x14ac:dyDescent="0.35">
      <c r="T42345" s="246">
        <f t="shared" si="699"/>
        <v>0</v>
      </c>
    </row>
    <row r="42346" spans="20:20" ht="18.75" customHeight="1" x14ac:dyDescent="0.35">
      <c r="T42346" s="246">
        <f t="shared" si="699"/>
        <v>0</v>
      </c>
    </row>
    <row r="42347" spans="20:20" ht="18.75" customHeight="1" x14ac:dyDescent="0.35">
      <c r="T42347" s="246">
        <f t="shared" si="699"/>
        <v>0</v>
      </c>
    </row>
    <row r="42348" spans="20:20" ht="18.75" customHeight="1" x14ac:dyDescent="0.35">
      <c r="T42348" s="246">
        <f t="shared" si="699"/>
        <v>0</v>
      </c>
    </row>
    <row r="42349" spans="20:20" ht="18.75" customHeight="1" x14ac:dyDescent="0.35">
      <c r="T42349" s="246">
        <f t="shared" si="699"/>
        <v>0</v>
      </c>
    </row>
    <row r="42350" spans="20:20" ht="18.75" customHeight="1" x14ac:dyDescent="0.35">
      <c r="T42350" s="246">
        <f t="shared" si="699"/>
        <v>0</v>
      </c>
    </row>
    <row r="42351" spans="20:20" ht="18.75" customHeight="1" x14ac:dyDescent="0.35">
      <c r="T42351" s="246">
        <f t="shared" si="699"/>
        <v>0</v>
      </c>
    </row>
    <row r="42352" spans="20:20" ht="18.75" customHeight="1" x14ac:dyDescent="0.35">
      <c r="T42352" s="246">
        <f t="shared" si="699"/>
        <v>0</v>
      </c>
    </row>
    <row r="42353" spans="20:20" ht="18.75" customHeight="1" x14ac:dyDescent="0.35">
      <c r="T42353" s="246">
        <f t="shared" si="699"/>
        <v>0</v>
      </c>
    </row>
    <row r="42354" spans="20:20" ht="18.75" customHeight="1" x14ac:dyDescent="0.35">
      <c r="T42354" s="246">
        <f t="shared" si="699"/>
        <v>0</v>
      </c>
    </row>
    <row r="42355" spans="20:20" ht="18.75" customHeight="1" x14ac:dyDescent="0.35">
      <c r="T42355" s="246">
        <f t="shared" si="699"/>
        <v>0</v>
      </c>
    </row>
    <row r="42356" spans="20:20" ht="18.75" customHeight="1" x14ac:dyDescent="0.35">
      <c r="T42356" s="246">
        <f t="shared" si="699"/>
        <v>0</v>
      </c>
    </row>
    <row r="42357" spans="20:20" ht="18.75" customHeight="1" x14ac:dyDescent="0.35">
      <c r="T42357" s="246">
        <f t="shared" si="699"/>
        <v>0</v>
      </c>
    </row>
    <row r="42358" spans="20:20" ht="18.75" customHeight="1" x14ac:dyDescent="0.35">
      <c r="T42358" s="246">
        <f t="shared" si="699"/>
        <v>0</v>
      </c>
    </row>
    <row r="42359" spans="20:20" ht="18.75" customHeight="1" x14ac:dyDescent="0.35">
      <c r="T42359" s="246">
        <f t="shared" si="699"/>
        <v>0</v>
      </c>
    </row>
    <row r="42360" spans="20:20" ht="18.75" customHeight="1" x14ac:dyDescent="0.35">
      <c r="T42360" s="246">
        <f t="shared" si="699"/>
        <v>0</v>
      </c>
    </row>
    <row r="42361" spans="20:20" ht="18.75" customHeight="1" x14ac:dyDescent="0.35">
      <c r="T42361" s="246">
        <f t="shared" si="699"/>
        <v>0</v>
      </c>
    </row>
    <row r="42362" spans="20:20" ht="18.75" customHeight="1" x14ac:dyDescent="0.35">
      <c r="T42362" s="246">
        <f t="shared" si="699"/>
        <v>0</v>
      </c>
    </row>
    <row r="42363" spans="20:20" ht="18.75" customHeight="1" x14ac:dyDescent="0.35">
      <c r="T42363" s="246">
        <f t="shared" si="699"/>
        <v>0</v>
      </c>
    </row>
    <row r="42364" spans="20:20" ht="18.75" customHeight="1" x14ac:dyDescent="0.35">
      <c r="T42364" s="246">
        <f t="shared" ref="T42364:T42427" si="700">R42364*0.01</f>
        <v>0</v>
      </c>
    </row>
    <row r="42365" spans="20:20" ht="18.75" customHeight="1" x14ac:dyDescent="0.35">
      <c r="T42365" s="246">
        <f t="shared" si="700"/>
        <v>0</v>
      </c>
    </row>
    <row r="42366" spans="20:20" ht="18.75" customHeight="1" x14ac:dyDescent="0.35">
      <c r="T42366" s="246">
        <f t="shared" si="700"/>
        <v>0</v>
      </c>
    </row>
    <row r="42367" spans="20:20" ht="18.75" customHeight="1" x14ac:dyDescent="0.35">
      <c r="T42367" s="246">
        <f t="shared" si="700"/>
        <v>0</v>
      </c>
    </row>
    <row r="42368" spans="20:20" ht="18.75" customHeight="1" x14ac:dyDescent="0.35">
      <c r="T42368" s="246">
        <f t="shared" si="700"/>
        <v>0</v>
      </c>
    </row>
    <row r="42369" spans="20:20" ht="18.75" customHeight="1" x14ac:dyDescent="0.35">
      <c r="T42369" s="246">
        <f t="shared" si="700"/>
        <v>0</v>
      </c>
    </row>
    <row r="42370" spans="20:20" ht="18.75" customHeight="1" x14ac:dyDescent="0.35">
      <c r="T42370" s="246">
        <f t="shared" si="700"/>
        <v>0</v>
      </c>
    </row>
    <row r="42371" spans="20:20" ht="18.75" customHeight="1" x14ac:dyDescent="0.35">
      <c r="T42371" s="246">
        <f t="shared" si="700"/>
        <v>0</v>
      </c>
    </row>
    <row r="42372" spans="20:20" ht="18.75" customHeight="1" x14ac:dyDescent="0.35">
      <c r="T42372" s="246">
        <f t="shared" si="700"/>
        <v>0</v>
      </c>
    </row>
    <row r="42373" spans="20:20" ht="18.75" customHeight="1" x14ac:dyDescent="0.35">
      <c r="T42373" s="246">
        <f t="shared" si="700"/>
        <v>0</v>
      </c>
    </row>
    <row r="42374" spans="20:20" ht="18.75" customHeight="1" x14ac:dyDescent="0.35">
      <c r="T42374" s="246">
        <f t="shared" si="700"/>
        <v>0</v>
      </c>
    </row>
    <row r="42375" spans="20:20" ht="18.75" customHeight="1" x14ac:dyDescent="0.35">
      <c r="T42375" s="246">
        <f t="shared" si="700"/>
        <v>0</v>
      </c>
    </row>
    <row r="42376" spans="20:20" ht="18.75" customHeight="1" x14ac:dyDescent="0.35">
      <c r="T42376" s="246">
        <f t="shared" si="700"/>
        <v>0</v>
      </c>
    </row>
    <row r="42377" spans="20:20" ht="18.75" customHeight="1" x14ac:dyDescent="0.35">
      <c r="T42377" s="246">
        <f t="shared" si="700"/>
        <v>0</v>
      </c>
    </row>
    <row r="42378" spans="20:20" ht="18.75" customHeight="1" x14ac:dyDescent="0.35">
      <c r="T42378" s="246">
        <f t="shared" si="700"/>
        <v>0</v>
      </c>
    </row>
    <row r="42379" spans="20:20" ht="18.75" customHeight="1" x14ac:dyDescent="0.35">
      <c r="T42379" s="246">
        <f t="shared" si="700"/>
        <v>0</v>
      </c>
    </row>
    <row r="42380" spans="20:20" ht="18.75" customHeight="1" x14ac:dyDescent="0.35">
      <c r="T42380" s="246">
        <f t="shared" si="700"/>
        <v>0</v>
      </c>
    </row>
    <row r="42381" spans="20:20" ht="18.75" customHeight="1" x14ac:dyDescent="0.35">
      <c r="T42381" s="246">
        <f t="shared" si="700"/>
        <v>0</v>
      </c>
    </row>
    <row r="42382" spans="20:20" ht="18.75" customHeight="1" x14ac:dyDescent="0.35">
      <c r="T42382" s="246">
        <f t="shared" si="700"/>
        <v>0</v>
      </c>
    </row>
    <row r="42383" spans="20:20" ht="18.75" customHeight="1" x14ac:dyDescent="0.35">
      <c r="T42383" s="246">
        <f t="shared" si="700"/>
        <v>0</v>
      </c>
    </row>
    <row r="42384" spans="20:20" ht="18.75" customHeight="1" x14ac:dyDescent="0.35">
      <c r="T42384" s="246">
        <f t="shared" si="700"/>
        <v>0</v>
      </c>
    </row>
    <row r="42385" spans="20:20" ht="18.75" customHeight="1" x14ac:dyDescent="0.35">
      <c r="T42385" s="246">
        <f t="shared" si="700"/>
        <v>0</v>
      </c>
    </row>
    <row r="42386" spans="20:20" ht="18.75" customHeight="1" x14ac:dyDescent="0.35">
      <c r="T42386" s="246">
        <f t="shared" si="700"/>
        <v>0</v>
      </c>
    </row>
    <row r="42387" spans="20:20" ht="18.75" customHeight="1" x14ac:dyDescent="0.35">
      <c r="T42387" s="246">
        <f t="shared" si="700"/>
        <v>0</v>
      </c>
    </row>
    <row r="42388" spans="20:20" ht="18.75" customHeight="1" x14ac:dyDescent="0.35">
      <c r="T42388" s="246">
        <f t="shared" si="700"/>
        <v>0</v>
      </c>
    </row>
    <row r="42389" spans="20:20" ht="18.75" customHeight="1" x14ac:dyDescent="0.35">
      <c r="T42389" s="246">
        <f t="shared" si="700"/>
        <v>0</v>
      </c>
    </row>
    <row r="42390" spans="20:20" ht="18.75" customHeight="1" x14ac:dyDescent="0.35">
      <c r="T42390" s="246">
        <f t="shared" si="700"/>
        <v>0</v>
      </c>
    </row>
    <row r="42391" spans="20:20" ht="18.75" customHeight="1" x14ac:dyDescent="0.35">
      <c r="T42391" s="246">
        <f t="shared" si="700"/>
        <v>0</v>
      </c>
    </row>
    <row r="42392" spans="20:20" ht="18.75" customHeight="1" x14ac:dyDescent="0.35">
      <c r="T42392" s="246">
        <f t="shared" si="700"/>
        <v>0</v>
      </c>
    </row>
    <row r="42393" spans="20:20" ht="18.75" customHeight="1" x14ac:dyDescent="0.35">
      <c r="T42393" s="246">
        <f t="shared" si="700"/>
        <v>0</v>
      </c>
    </row>
    <row r="42394" spans="20:20" ht="18.75" customHeight="1" x14ac:dyDescent="0.35">
      <c r="T42394" s="246">
        <f t="shared" si="700"/>
        <v>0</v>
      </c>
    </row>
    <row r="42395" spans="20:20" ht="18.75" customHeight="1" x14ac:dyDescent="0.35">
      <c r="T42395" s="246">
        <f t="shared" si="700"/>
        <v>0</v>
      </c>
    </row>
    <row r="42396" spans="20:20" ht="18.75" customHeight="1" x14ac:dyDescent="0.35">
      <c r="T42396" s="246">
        <f t="shared" si="700"/>
        <v>0</v>
      </c>
    </row>
    <row r="42397" spans="20:20" ht="18.75" customHeight="1" x14ac:dyDescent="0.35">
      <c r="T42397" s="246">
        <f t="shared" si="700"/>
        <v>0</v>
      </c>
    </row>
    <row r="42398" spans="20:20" ht="18.75" customHeight="1" x14ac:dyDescent="0.35">
      <c r="T42398" s="246">
        <f t="shared" si="700"/>
        <v>0</v>
      </c>
    </row>
    <row r="42399" spans="20:20" ht="18.75" customHeight="1" x14ac:dyDescent="0.35">
      <c r="T42399" s="246">
        <f t="shared" si="700"/>
        <v>0</v>
      </c>
    </row>
    <row r="42400" spans="20:20" ht="18.75" customHeight="1" x14ac:dyDescent="0.35">
      <c r="T42400" s="246">
        <f t="shared" si="700"/>
        <v>0</v>
      </c>
    </row>
    <row r="42401" spans="20:20" ht="18.75" customHeight="1" x14ac:dyDescent="0.35">
      <c r="T42401" s="246">
        <f t="shared" si="700"/>
        <v>0</v>
      </c>
    </row>
    <row r="42402" spans="20:20" ht="18.75" customHeight="1" x14ac:dyDescent="0.35">
      <c r="T42402" s="246">
        <f t="shared" si="700"/>
        <v>0</v>
      </c>
    </row>
    <row r="42403" spans="20:20" ht="18.75" customHeight="1" x14ac:dyDescent="0.35">
      <c r="T42403" s="246">
        <f t="shared" si="700"/>
        <v>0</v>
      </c>
    </row>
    <row r="42404" spans="20:20" ht="18.75" customHeight="1" x14ac:dyDescent="0.35">
      <c r="T42404" s="246">
        <f t="shared" si="700"/>
        <v>0</v>
      </c>
    </row>
    <row r="42405" spans="20:20" ht="18.75" customHeight="1" x14ac:dyDescent="0.35">
      <c r="T42405" s="246">
        <f t="shared" si="700"/>
        <v>0</v>
      </c>
    </row>
    <row r="42406" spans="20:20" ht="18.75" customHeight="1" x14ac:dyDescent="0.35">
      <c r="T42406" s="246">
        <f t="shared" si="700"/>
        <v>0</v>
      </c>
    </row>
    <row r="42407" spans="20:20" ht="18.75" customHeight="1" x14ac:dyDescent="0.35">
      <c r="T42407" s="246">
        <f t="shared" si="700"/>
        <v>0</v>
      </c>
    </row>
    <row r="42408" spans="20:20" ht="18.75" customHeight="1" x14ac:dyDescent="0.35">
      <c r="T42408" s="246">
        <f t="shared" si="700"/>
        <v>0</v>
      </c>
    </row>
    <row r="42409" spans="20:20" ht="18.75" customHeight="1" x14ac:dyDescent="0.35">
      <c r="T42409" s="246">
        <f t="shared" si="700"/>
        <v>0</v>
      </c>
    </row>
    <row r="42410" spans="20:20" ht="18.75" customHeight="1" x14ac:dyDescent="0.35">
      <c r="T42410" s="246">
        <f t="shared" si="700"/>
        <v>0</v>
      </c>
    </row>
    <row r="42411" spans="20:20" ht="18.75" customHeight="1" x14ac:dyDescent="0.35">
      <c r="T42411" s="246">
        <f t="shared" si="700"/>
        <v>0</v>
      </c>
    </row>
    <row r="42412" spans="20:20" ht="18.75" customHeight="1" x14ac:dyDescent="0.35">
      <c r="T42412" s="246">
        <f t="shared" si="700"/>
        <v>0</v>
      </c>
    </row>
    <row r="42413" spans="20:20" ht="18.75" customHeight="1" x14ac:dyDescent="0.35">
      <c r="T42413" s="246">
        <f t="shared" si="700"/>
        <v>0</v>
      </c>
    </row>
    <row r="42414" spans="20:20" ht="18.75" customHeight="1" x14ac:dyDescent="0.35">
      <c r="T42414" s="246">
        <f t="shared" si="700"/>
        <v>0</v>
      </c>
    </row>
    <row r="42415" spans="20:20" ht="18.75" customHeight="1" x14ac:dyDescent="0.35">
      <c r="T42415" s="246">
        <f t="shared" si="700"/>
        <v>0</v>
      </c>
    </row>
    <row r="42416" spans="20:20" ht="18.75" customHeight="1" x14ac:dyDescent="0.35">
      <c r="T42416" s="246">
        <f t="shared" si="700"/>
        <v>0</v>
      </c>
    </row>
    <row r="42417" spans="20:20" ht="18.75" customHeight="1" x14ac:dyDescent="0.35">
      <c r="T42417" s="246">
        <f t="shared" si="700"/>
        <v>0</v>
      </c>
    </row>
    <row r="42418" spans="20:20" ht="18.75" customHeight="1" x14ac:dyDescent="0.35">
      <c r="T42418" s="246">
        <f t="shared" si="700"/>
        <v>0</v>
      </c>
    </row>
    <row r="42419" spans="20:20" ht="18.75" customHeight="1" x14ac:dyDescent="0.35">
      <c r="T42419" s="246">
        <f t="shared" si="700"/>
        <v>0</v>
      </c>
    </row>
    <row r="42420" spans="20:20" ht="18.75" customHeight="1" x14ac:dyDescent="0.35">
      <c r="T42420" s="246">
        <f t="shared" si="700"/>
        <v>0</v>
      </c>
    </row>
    <row r="42421" spans="20:20" ht="18.75" customHeight="1" x14ac:dyDescent="0.35">
      <c r="T42421" s="246">
        <f t="shared" si="700"/>
        <v>0</v>
      </c>
    </row>
    <row r="42422" spans="20:20" ht="18.75" customHeight="1" x14ac:dyDescent="0.35">
      <c r="T42422" s="246">
        <f t="shared" si="700"/>
        <v>0</v>
      </c>
    </row>
    <row r="42423" spans="20:20" ht="18.75" customHeight="1" x14ac:dyDescent="0.35">
      <c r="T42423" s="246">
        <f t="shared" si="700"/>
        <v>0</v>
      </c>
    </row>
    <row r="42424" spans="20:20" ht="18.75" customHeight="1" x14ac:dyDescent="0.35">
      <c r="T42424" s="246">
        <f t="shared" si="700"/>
        <v>0</v>
      </c>
    </row>
    <row r="42425" spans="20:20" ht="18.75" customHeight="1" x14ac:dyDescent="0.35">
      <c r="T42425" s="246">
        <f t="shared" si="700"/>
        <v>0</v>
      </c>
    </row>
    <row r="42426" spans="20:20" ht="18.75" customHeight="1" x14ac:dyDescent="0.35">
      <c r="T42426" s="246">
        <f t="shared" si="700"/>
        <v>0</v>
      </c>
    </row>
    <row r="42427" spans="20:20" ht="18.75" customHeight="1" x14ac:dyDescent="0.35">
      <c r="T42427" s="246">
        <f t="shared" si="700"/>
        <v>0</v>
      </c>
    </row>
    <row r="42428" spans="20:20" ht="18.75" customHeight="1" x14ac:dyDescent="0.35">
      <c r="T42428" s="246">
        <f t="shared" ref="T42428:T42491" si="701">R42428*0.01</f>
        <v>0</v>
      </c>
    </row>
    <row r="42429" spans="20:20" ht="18.75" customHeight="1" x14ac:dyDescent="0.35">
      <c r="T42429" s="246">
        <f t="shared" si="701"/>
        <v>0</v>
      </c>
    </row>
    <row r="42430" spans="20:20" ht="18.75" customHeight="1" x14ac:dyDescent="0.35">
      <c r="T42430" s="246">
        <f t="shared" si="701"/>
        <v>0</v>
      </c>
    </row>
    <row r="42431" spans="20:20" ht="18.75" customHeight="1" x14ac:dyDescent="0.35">
      <c r="T42431" s="246">
        <f t="shared" si="701"/>
        <v>0</v>
      </c>
    </row>
    <row r="42432" spans="20:20" ht="18.75" customHeight="1" x14ac:dyDescent="0.35">
      <c r="T42432" s="246">
        <f t="shared" si="701"/>
        <v>0</v>
      </c>
    </row>
    <row r="42433" spans="20:20" ht="18.75" customHeight="1" x14ac:dyDescent="0.35">
      <c r="T42433" s="246">
        <f t="shared" si="701"/>
        <v>0</v>
      </c>
    </row>
    <row r="42434" spans="20:20" ht="18.75" customHeight="1" x14ac:dyDescent="0.35">
      <c r="T42434" s="246">
        <f t="shared" si="701"/>
        <v>0</v>
      </c>
    </row>
    <row r="42435" spans="20:20" ht="18.75" customHeight="1" x14ac:dyDescent="0.35">
      <c r="T42435" s="246">
        <f t="shared" si="701"/>
        <v>0</v>
      </c>
    </row>
    <row r="42436" spans="20:20" ht="18.75" customHeight="1" x14ac:dyDescent="0.35">
      <c r="T42436" s="246">
        <f t="shared" si="701"/>
        <v>0</v>
      </c>
    </row>
    <row r="42437" spans="20:20" ht="18.75" customHeight="1" x14ac:dyDescent="0.35">
      <c r="T42437" s="246">
        <f t="shared" si="701"/>
        <v>0</v>
      </c>
    </row>
    <row r="42438" spans="20:20" ht="18.75" customHeight="1" x14ac:dyDescent="0.35">
      <c r="T42438" s="246">
        <f t="shared" si="701"/>
        <v>0</v>
      </c>
    </row>
    <row r="42439" spans="20:20" ht="18.75" customHeight="1" x14ac:dyDescent="0.35">
      <c r="T42439" s="246">
        <f t="shared" si="701"/>
        <v>0</v>
      </c>
    </row>
    <row r="42440" spans="20:20" ht="18.75" customHeight="1" x14ac:dyDescent="0.35">
      <c r="T42440" s="246">
        <f t="shared" si="701"/>
        <v>0</v>
      </c>
    </row>
    <row r="42441" spans="20:20" ht="18.75" customHeight="1" x14ac:dyDescent="0.35">
      <c r="T42441" s="246">
        <f t="shared" si="701"/>
        <v>0</v>
      </c>
    </row>
    <row r="42442" spans="20:20" ht="18.75" customHeight="1" x14ac:dyDescent="0.35">
      <c r="T42442" s="246">
        <f t="shared" si="701"/>
        <v>0</v>
      </c>
    </row>
    <row r="42443" spans="20:20" ht="18.75" customHeight="1" x14ac:dyDescent="0.35">
      <c r="T42443" s="246">
        <f t="shared" si="701"/>
        <v>0</v>
      </c>
    </row>
    <row r="42444" spans="20:20" ht="18.75" customHeight="1" x14ac:dyDescent="0.35">
      <c r="T42444" s="246">
        <f t="shared" si="701"/>
        <v>0</v>
      </c>
    </row>
    <row r="42445" spans="20:20" ht="18.75" customHeight="1" x14ac:dyDescent="0.35">
      <c r="T42445" s="246">
        <f t="shared" si="701"/>
        <v>0</v>
      </c>
    </row>
    <row r="42446" spans="20:20" ht="18.75" customHeight="1" x14ac:dyDescent="0.35">
      <c r="T42446" s="246">
        <f t="shared" si="701"/>
        <v>0</v>
      </c>
    </row>
    <row r="42447" spans="20:20" ht="18.75" customHeight="1" x14ac:dyDescent="0.35">
      <c r="T42447" s="246">
        <f t="shared" si="701"/>
        <v>0</v>
      </c>
    </row>
    <row r="42448" spans="20:20" ht="18.75" customHeight="1" x14ac:dyDescent="0.35">
      <c r="T42448" s="246">
        <f t="shared" si="701"/>
        <v>0</v>
      </c>
    </row>
    <row r="42449" spans="20:20" ht="18.75" customHeight="1" x14ac:dyDescent="0.35">
      <c r="T42449" s="246">
        <f t="shared" si="701"/>
        <v>0</v>
      </c>
    </row>
    <row r="42450" spans="20:20" ht="18.75" customHeight="1" x14ac:dyDescent="0.35">
      <c r="T42450" s="246">
        <f t="shared" si="701"/>
        <v>0</v>
      </c>
    </row>
    <row r="42451" spans="20:20" ht="18.75" customHeight="1" x14ac:dyDescent="0.35">
      <c r="T42451" s="246">
        <f t="shared" si="701"/>
        <v>0</v>
      </c>
    </row>
    <row r="42452" spans="20:20" ht="18.75" customHeight="1" x14ac:dyDescent="0.35">
      <c r="T42452" s="246">
        <f t="shared" si="701"/>
        <v>0</v>
      </c>
    </row>
    <row r="42453" spans="20:20" ht="18.75" customHeight="1" x14ac:dyDescent="0.35">
      <c r="T42453" s="246">
        <f t="shared" si="701"/>
        <v>0</v>
      </c>
    </row>
    <row r="42454" spans="20:20" ht="18.75" customHeight="1" x14ac:dyDescent="0.35">
      <c r="T42454" s="246">
        <f t="shared" si="701"/>
        <v>0</v>
      </c>
    </row>
    <row r="42455" spans="20:20" ht="18.75" customHeight="1" x14ac:dyDescent="0.35">
      <c r="T42455" s="246">
        <f t="shared" si="701"/>
        <v>0</v>
      </c>
    </row>
    <row r="42456" spans="20:20" ht="18.75" customHeight="1" x14ac:dyDescent="0.35">
      <c r="T42456" s="246">
        <f t="shared" si="701"/>
        <v>0</v>
      </c>
    </row>
    <row r="42457" spans="20:20" ht="18.75" customHeight="1" x14ac:dyDescent="0.35">
      <c r="T42457" s="246">
        <f t="shared" si="701"/>
        <v>0</v>
      </c>
    </row>
    <row r="42458" spans="20:20" ht="18.75" customHeight="1" x14ac:dyDescent="0.35">
      <c r="T42458" s="246">
        <f t="shared" si="701"/>
        <v>0</v>
      </c>
    </row>
    <row r="42459" spans="20:20" ht="18.75" customHeight="1" x14ac:dyDescent="0.35">
      <c r="T42459" s="246">
        <f t="shared" si="701"/>
        <v>0</v>
      </c>
    </row>
    <row r="42460" spans="20:20" ht="18.75" customHeight="1" x14ac:dyDescent="0.35">
      <c r="T42460" s="246">
        <f t="shared" si="701"/>
        <v>0</v>
      </c>
    </row>
    <row r="42461" spans="20:20" ht="18.75" customHeight="1" x14ac:dyDescent="0.35">
      <c r="T42461" s="246">
        <f t="shared" si="701"/>
        <v>0</v>
      </c>
    </row>
    <row r="42462" spans="20:20" ht="18.75" customHeight="1" x14ac:dyDescent="0.35">
      <c r="T42462" s="246">
        <f t="shared" si="701"/>
        <v>0</v>
      </c>
    </row>
    <row r="42463" spans="20:20" ht="18.75" customHeight="1" x14ac:dyDescent="0.35">
      <c r="T42463" s="246">
        <f t="shared" si="701"/>
        <v>0</v>
      </c>
    </row>
    <row r="42464" spans="20:20" ht="18.75" customHeight="1" x14ac:dyDescent="0.35">
      <c r="T42464" s="246">
        <f t="shared" si="701"/>
        <v>0</v>
      </c>
    </row>
    <row r="42465" spans="20:20" ht="18.75" customHeight="1" x14ac:dyDescent="0.35">
      <c r="T42465" s="246">
        <f t="shared" si="701"/>
        <v>0</v>
      </c>
    </row>
    <row r="42466" spans="20:20" ht="18.75" customHeight="1" x14ac:dyDescent="0.35">
      <c r="T42466" s="246">
        <f t="shared" si="701"/>
        <v>0</v>
      </c>
    </row>
    <row r="42467" spans="20:20" ht="18.75" customHeight="1" x14ac:dyDescent="0.35">
      <c r="T42467" s="246">
        <f t="shared" si="701"/>
        <v>0</v>
      </c>
    </row>
    <row r="42468" spans="20:20" ht="18.75" customHeight="1" x14ac:dyDescent="0.35">
      <c r="T42468" s="246">
        <f t="shared" si="701"/>
        <v>0</v>
      </c>
    </row>
    <row r="42469" spans="20:20" ht="18.75" customHeight="1" x14ac:dyDescent="0.35">
      <c r="T42469" s="246">
        <f t="shared" si="701"/>
        <v>0</v>
      </c>
    </row>
    <row r="42470" spans="20:20" ht="18.75" customHeight="1" x14ac:dyDescent="0.35">
      <c r="T42470" s="246">
        <f t="shared" si="701"/>
        <v>0</v>
      </c>
    </row>
    <row r="42471" spans="20:20" ht="18.75" customHeight="1" x14ac:dyDescent="0.35">
      <c r="T42471" s="246">
        <f t="shared" si="701"/>
        <v>0</v>
      </c>
    </row>
    <row r="42472" spans="20:20" ht="18.75" customHeight="1" x14ac:dyDescent="0.35">
      <c r="T42472" s="246">
        <f t="shared" si="701"/>
        <v>0</v>
      </c>
    </row>
    <row r="42473" spans="20:20" ht="18.75" customHeight="1" x14ac:dyDescent="0.35">
      <c r="T42473" s="246">
        <f t="shared" si="701"/>
        <v>0</v>
      </c>
    </row>
    <row r="42474" spans="20:20" ht="18.75" customHeight="1" x14ac:dyDescent="0.35">
      <c r="T42474" s="246">
        <f t="shared" si="701"/>
        <v>0</v>
      </c>
    </row>
    <row r="42475" spans="20:20" ht="18.75" customHeight="1" x14ac:dyDescent="0.35">
      <c r="T42475" s="246">
        <f t="shared" si="701"/>
        <v>0</v>
      </c>
    </row>
    <row r="42476" spans="20:20" ht="18.75" customHeight="1" x14ac:dyDescent="0.35">
      <c r="T42476" s="246">
        <f t="shared" si="701"/>
        <v>0</v>
      </c>
    </row>
    <row r="42477" spans="20:20" ht="18.75" customHeight="1" x14ac:dyDescent="0.35">
      <c r="T42477" s="246">
        <f t="shared" si="701"/>
        <v>0</v>
      </c>
    </row>
    <row r="42478" spans="20:20" ht="18.75" customHeight="1" x14ac:dyDescent="0.35">
      <c r="T42478" s="246">
        <f t="shared" si="701"/>
        <v>0</v>
      </c>
    </row>
    <row r="42479" spans="20:20" ht="18.75" customHeight="1" x14ac:dyDescent="0.35">
      <c r="T42479" s="246">
        <f t="shared" si="701"/>
        <v>0</v>
      </c>
    </row>
    <row r="42480" spans="20:20" ht="18.75" customHeight="1" x14ac:dyDescent="0.35">
      <c r="T42480" s="246">
        <f t="shared" si="701"/>
        <v>0</v>
      </c>
    </row>
    <row r="42481" spans="20:20" ht="18.75" customHeight="1" x14ac:dyDescent="0.35">
      <c r="T42481" s="246">
        <f t="shared" si="701"/>
        <v>0</v>
      </c>
    </row>
    <row r="42482" spans="20:20" ht="18.75" customHeight="1" x14ac:dyDescent="0.35">
      <c r="T42482" s="246">
        <f t="shared" si="701"/>
        <v>0</v>
      </c>
    </row>
    <row r="42483" spans="20:20" ht="18.75" customHeight="1" x14ac:dyDescent="0.35">
      <c r="T42483" s="246">
        <f t="shared" si="701"/>
        <v>0</v>
      </c>
    </row>
    <row r="42484" spans="20:20" ht="18.75" customHeight="1" x14ac:dyDescent="0.35">
      <c r="T42484" s="246">
        <f t="shared" si="701"/>
        <v>0</v>
      </c>
    </row>
    <row r="42485" spans="20:20" ht="18.75" customHeight="1" x14ac:dyDescent="0.35">
      <c r="T42485" s="246">
        <f t="shared" si="701"/>
        <v>0</v>
      </c>
    </row>
    <row r="42486" spans="20:20" ht="18.75" customHeight="1" x14ac:dyDescent="0.35">
      <c r="T42486" s="246">
        <f t="shared" si="701"/>
        <v>0</v>
      </c>
    </row>
    <row r="42487" spans="20:20" ht="18.75" customHeight="1" x14ac:dyDescent="0.35">
      <c r="T42487" s="246">
        <f t="shared" si="701"/>
        <v>0</v>
      </c>
    </row>
    <row r="42488" spans="20:20" ht="18.75" customHeight="1" x14ac:dyDescent="0.35">
      <c r="T42488" s="246">
        <f t="shared" si="701"/>
        <v>0</v>
      </c>
    </row>
    <row r="42489" spans="20:20" ht="18.75" customHeight="1" x14ac:dyDescent="0.35">
      <c r="T42489" s="246">
        <f t="shared" si="701"/>
        <v>0</v>
      </c>
    </row>
    <row r="42490" spans="20:20" ht="18.75" customHeight="1" x14ac:dyDescent="0.35">
      <c r="T42490" s="246">
        <f t="shared" si="701"/>
        <v>0</v>
      </c>
    </row>
    <row r="42491" spans="20:20" ht="18.75" customHeight="1" x14ac:dyDescent="0.35">
      <c r="T42491" s="246">
        <f t="shared" si="701"/>
        <v>0</v>
      </c>
    </row>
    <row r="42492" spans="20:20" ht="18.75" customHeight="1" x14ac:dyDescent="0.35">
      <c r="T42492" s="246">
        <f t="shared" ref="T42492:T42555" si="702">R42492*0.01</f>
        <v>0</v>
      </c>
    </row>
    <row r="42493" spans="20:20" ht="18.75" customHeight="1" x14ac:dyDescent="0.35">
      <c r="T42493" s="246">
        <f t="shared" si="702"/>
        <v>0</v>
      </c>
    </row>
    <row r="42494" spans="20:20" ht="18.75" customHeight="1" x14ac:dyDescent="0.35">
      <c r="T42494" s="246">
        <f t="shared" si="702"/>
        <v>0</v>
      </c>
    </row>
    <row r="42495" spans="20:20" ht="18.75" customHeight="1" x14ac:dyDescent="0.35">
      <c r="T42495" s="246">
        <f t="shared" si="702"/>
        <v>0</v>
      </c>
    </row>
    <row r="42496" spans="20:20" ht="18.75" customHeight="1" x14ac:dyDescent="0.35">
      <c r="T42496" s="246">
        <f t="shared" si="702"/>
        <v>0</v>
      </c>
    </row>
    <row r="42497" spans="20:20" ht="18.75" customHeight="1" x14ac:dyDescent="0.35">
      <c r="T42497" s="246">
        <f t="shared" si="702"/>
        <v>0</v>
      </c>
    </row>
    <row r="42498" spans="20:20" ht="18.75" customHeight="1" x14ac:dyDescent="0.35">
      <c r="T42498" s="246">
        <f t="shared" si="702"/>
        <v>0</v>
      </c>
    </row>
    <row r="42499" spans="20:20" ht="18.75" customHeight="1" x14ac:dyDescent="0.35">
      <c r="T42499" s="246">
        <f t="shared" si="702"/>
        <v>0</v>
      </c>
    </row>
    <row r="42500" spans="20:20" ht="18.75" customHeight="1" x14ac:dyDescent="0.35">
      <c r="T42500" s="246">
        <f t="shared" si="702"/>
        <v>0</v>
      </c>
    </row>
    <row r="42501" spans="20:20" ht="18.75" customHeight="1" x14ac:dyDescent="0.35">
      <c r="T42501" s="246">
        <f t="shared" si="702"/>
        <v>0</v>
      </c>
    </row>
    <row r="42502" spans="20:20" ht="18.75" customHeight="1" x14ac:dyDescent="0.35">
      <c r="T42502" s="246">
        <f t="shared" si="702"/>
        <v>0</v>
      </c>
    </row>
    <row r="42503" spans="20:20" ht="18.75" customHeight="1" x14ac:dyDescent="0.35">
      <c r="T42503" s="246">
        <f t="shared" si="702"/>
        <v>0</v>
      </c>
    </row>
    <row r="42504" spans="20:20" ht="18.75" customHeight="1" x14ac:dyDescent="0.35">
      <c r="T42504" s="246">
        <f t="shared" si="702"/>
        <v>0</v>
      </c>
    </row>
    <row r="42505" spans="20:20" ht="18.75" customHeight="1" x14ac:dyDescent="0.35">
      <c r="T42505" s="246">
        <f t="shared" si="702"/>
        <v>0</v>
      </c>
    </row>
    <row r="42506" spans="20:20" ht="18.75" customHeight="1" x14ac:dyDescent="0.35">
      <c r="T42506" s="246">
        <f t="shared" si="702"/>
        <v>0</v>
      </c>
    </row>
    <row r="42507" spans="20:20" ht="18.75" customHeight="1" x14ac:dyDescent="0.35">
      <c r="T42507" s="246">
        <f t="shared" si="702"/>
        <v>0</v>
      </c>
    </row>
    <row r="42508" spans="20:20" ht="18.75" customHeight="1" x14ac:dyDescent="0.35">
      <c r="T42508" s="246">
        <f t="shared" si="702"/>
        <v>0</v>
      </c>
    </row>
    <row r="42509" spans="20:20" ht="18.75" customHeight="1" x14ac:dyDescent="0.35">
      <c r="T42509" s="246">
        <f t="shared" si="702"/>
        <v>0</v>
      </c>
    </row>
    <row r="42510" spans="20:20" ht="18.75" customHeight="1" x14ac:dyDescent="0.35">
      <c r="T42510" s="246">
        <f t="shared" si="702"/>
        <v>0</v>
      </c>
    </row>
    <row r="42511" spans="20:20" ht="18.75" customHeight="1" x14ac:dyDescent="0.35">
      <c r="T42511" s="246">
        <f t="shared" si="702"/>
        <v>0</v>
      </c>
    </row>
    <row r="42512" spans="20:20" ht="18.75" customHeight="1" x14ac:dyDescent="0.35">
      <c r="T42512" s="246">
        <f t="shared" si="702"/>
        <v>0</v>
      </c>
    </row>
    <row r="42513" spans="20:20" ht="18.75" customHeight="1" x14ac:dyDescent="0.35">
      <c r="T42513" s="246">
        <f t="shared" si="702"/>
        <v>0</v>
      </c>
    </row>
    <row r="42514" spans="20:20" ht="18.75" customHeight="1" x14ac:dyDescent="0.35">
      <c r="T42514" s="246">
        <f t="shared" si="702"/>
        <v>0</v>
      </c>
    </row>
    <row r="42515" spans="20:20" ht="18.75" customHeight="1" x14ac:dyDescent="0.35">
      <c r="T42515" s="246">
        <f t="shared" si="702"/>
        <v>0</v>
      </c>
    </row>
    <row r="42516" spans="20:20" ht="18.75" customHeight="1" x14ac:dyDescent="0.35">
      <c r="T42516" s="246">
        <f t="shared" si="702"/>
        <v>0</v>
      </c>
    </row>
    <row r="42517" spans="20:20" ht="18.75" customHeight="1" x14ac:dyDescent="0.35">
      <c r="T42517" s="246">
        <f t="shared" si="702"/>
        <v>0</v>
      </c>
    </row>
    <row r="42518" spans="20:20" ht="18.75" customHeight="1" x14ac:dyDescent="0.35">
      <c r="T42518" s="246">
        <f t="shared" si="702"/>
        <v>0</v>
      </c>
    </row>
    <row r="42519" spans="20:20" ht="18.75" customHeight="1" x14ac:dyDescent="0.35">
      <c r="T42519" s="246">
        <f t="shared" si="702"/>
        <v>0</v>
      </c>
    </row>
    <row r="42520" spans="20:20" ht="18.75" customHeight="1" x14ac:dyDescent="0.35">
      <c r="T42520" s="246">
        <f t="shared" si="702"/>
        <v>0</v>
      </c>
    </row>
    <row r="42521" spans="20:20" ht="18.75" customHeight="1" x14ac:dyDescent="0.35">
      <c r="T42521" s="246">
        <f t="shared" si="702"/>
        <v>0</v>
      </c>
    </row>
    <row r="42522" spans="20:20" ht="18.75" customHeight="1" x14ac:dyDescent="0.35">
      <c r="T42522" s="246">
        <f t="shared" si="702"/>
        <v>0</v>
      </c>
    </row>
    <row r="42523" spans="20:20" ht="18.75" customHeight="1" x14ac:dyDescent="0.35">
      <c r="T42523" s="246">
        <f t="shared" si="702"/>
        <v>0</v>
      </c>
    </row>
    <row r="42524" spans="20:20" ht="18.75" customHeight="1" x14ac:dyDescent="0.35">
      <c r="T42524" s="246">
        <f t="shared" si="702"/>
        <v>0</v>
      </c>
    </row>
    <row r="42525" spans="20:20" ht="18.75" customHeight="1" x14ac:dyDescent="0.35">
      <c r="T42525" s="246">
        <f t="shared" si="702"/>
        <v>0</v>
      </c>
    </row>
    <row r="42526" spans="20:20" ht="18.75" customHeight="1" x14ac:dyDescent="0.35">
      <c r="T42526" s="246">
        <f t="shared" si="702"/>
        <v>0</v>
      </c>
    </row>
    <row r="42527" spans="20:20" ht="18.75" customHeight="1" x14ac:dyDescent="0.35">
      <c r="T42527" s="246">
        <f t="shared" si="702"/>
        <v>0</v>
      </c>
    </row>
    <row r="42528" spans="20:20" ht="18.75" customHeight="1" x14ac:dyDescent="0.35">
      <c r="T42528" s="246">
        <f t="shared" si="702"/>
        <v>0</v>
      </c>
    </row>
    <row r="42529" spans="20:20" ht="18.75" customHeight="1" x14ac:dyDescent="0.35">
      <c r="T42529" s="246">
        <f t="shared" si="702"/>
        <v>0</v>
      </c>
    </row>
    <row r="42530" spans="20:20" ht="18.75" customHeight="1" x14ac:dyDescent="0.35">
      <c r="T42530" s="246">
        <f t="shared" si="702"/>
        <v>0</v>
      </c>
    </row>
    <row r="42531" spans="20:20" ht="18.75" customHeight="1" x14ac:dyDescent="0.35">
      <c r="T42531" s="246">
        <f t="shared" si="702"/>
        <v>0</v>
      </c>
    </row>
    <row r="42532" spans="20:20" ht="18.75" customHeight="1" x14ac:dyDescent="0.35">
      <c r="T42532" s="246">
        <f t="shared" si="702"/>
        <v>0</v>
      </c>
    </row>
    <row r="42533" spans="20:20" ht="18.75" customHeight="1" x14ac:dyDescent="0.35">
      <c r="T42533" s="246">
        <f t="shared" si="702"/>
        <v>0</v>
      </c>
    </row>
    <row r="42534" spans="20:20" ht="18.75" customHeight="1" x14ac:dyDescent="0.35">
      <c r="T42534" s="246">
        <f t="shared" si="702"/>
        <v>0</v>
      </c>
    </row>
    <row r="42535" spans="20:20" ht="18.75" customHeight="1" x14ac:dyDescent="0.35">
      <c r="T42535" s="246">
        <f t="shared" si="702"/>
        <v>0</v>
      </c>
    </row>
    <row r="42536" spans="20:20" ht="18.75" customHeight="1" x14ac:dyDescent="0.35">
      <c r="T42536" s="246">
        <f t="shared" si="702"/>
        <v>0</v>
      </c>
    </row>
    <row r="42537" spans="20:20" ht="18.75" customHeight="1" x14ac:dyDescent="0.35">
      <c r="T42537" s="246">
        <f t="shared" si="702"/>
        <v>0</v>
      </c>
    </row>
    <row r="42538" spans="20:20" ht="18.75" customHeight="1" x14ac:dyDescent="0.35">
      <c r="T42538" s="246">
        <f t="shared" si="702"/>
        <v>0</v>
      </c>
    </row>
    <row r="42539" spans="20:20" ht="18.75" customHeight="1" x14ac:dyDescent="0.35">
      <c r="T42539" s="246">
        <f t="shared" si="702"/>
        <v>0</v>
      </c>
    </row>
    <row r="42540" spans="20:20" ht="18.75" customHeight="1" x14ac:dyDescent="0.35">
      <c r="T42540" s="246">
        <f t="shared" si="702"/>
        <v>0</v>
      </c>
    </row>
    <row r="42541" spans="20:20" ht="18.75" customHeight="1" x14ac:dyDescent="0.35">
      <c r="T42541" s="246">
        <f t="shared" si="702"/>
        <v>0</v>
      </c>
    </row>
    <row r="42542" spans="20:20" ht="18.75" customHeight="1" x14ac:dyDescent="0.35">
      <c r="T42542" s="246">
        <f t="shared" si="702"/>
        <v>0</v>
      </c>
    </row>
    <row r="42543" spans="20:20" ht="18.75" customHeight="1" x14ac:dyDescent="0.35">
      <c r="T42543" s="246">
        <f t="shared" si="702"/>
        <v>0</v>
      </c>
    </row>
    <row r="42544" spans="20:20" ht="18.75" customHeight="1" x14ac:dyDescent="0.35">
      <c r="T42544" s="246">
        <f t="shared" si="702"/>
        <v>0</v>
      </c>
    </row>
    <row r="42545" spans="20:20" ht="18.75" customHeight="1" x14ac:dyDescent="0.35">
      <c r="T42545" s="246">
        <f t="shared" si="702"/>
        <v>0</v>
      </c>
    </row>
    <row r="42546" spans="20:20" ht="18.75" customHeight="1" x14ac:dyDescent="0.35">
      <c r="T42546" s="246">
        <f t="shared" si="702"/>
        <v>0</v>
      </c>
    </row>
    <row r="42547" spans="20:20" ht="18.75" customHeight="1" x14ac:dyDescent="0.35">
      <c r="T42547" s="246">
        <f t="shared" si="702"/>
        <v>0</v>
      </c>
    </row>
    <row r="42548" spans="20:20" ht="18.75" customHeight="1" x14ac:dyDescent="0.35">
      <c r="T42548" s="246">
        <f t="shared" si="702"/>
        <v>0</v>
      </c>
    </row>
    <row r="42549" spans="20:20" ht="18.75" customHeight="1" x14ac:dyDescent="0.35">
      <c r="T42549" s="246">
        <f t="shared" si="702"/>
        <v>0</v>
      </c>
    </row>
    <row r="42550" spans="20:20" ht="18.75" customHeight="1" x14ac:dyDescent="0.35">
      <c r="T42550" s="246">
        <f t="shared" si="702"/>
        <v>0</v>
      </c>
    </row>
    <row r="42551" spans="20:20" ht="18.75" customHeight="1" x14ac:dyDescent="0.35">
      <c r="T42551" s="246">
        <f t="shared" si="702"/>
        <v>0</v>
      </c>
    </row>
    <row r="42552" spans="20:20" ht="18.75" customHeight="1" x14ac:dyDescent="0.35">
      <c r="T42552" s="246">
        <f t="shared" si="702"/>
        <v>0</v>
      </c>
    </row>
    <row r="42553" spans="20:20" ht="18.75" customHeight="1" x14ac:dyDescent="0.35">
      <c r="T42553" s="246">
        <f t="shared" si="702"/>
        <v>0</v>
      </c>
    </row>
    <row r="42554" spans="20:20" ht="18.75" customHeight="1" x14ac:dyDescent="0.35">
      <c r="T42554" s="246">
        <f t="shared" si="702"/>
        <v>0</v>
      </c>
    </row>
    <row r="42555" spans="20:20" ht="18.75" customHeight="1" x14ac:dyDescent="0.35">
      <c r="T42555" s="246">
        <f t="shared" si="702"/>
        <v>0</v>
      </c>
    </row>
    <row r="42556" spans="20:20" ht="18.75" customHeight="1" x14ac:dyDescent="0.35">
      <c r="T42556" s="246">
        <f t="shared" ref="T42556:T42619" si="703">R42556*0.01</f>
        <v>0</v>
      </c>
    </row>
    <row r="42557" spans="20:20" ht="18.75" customHeight="1" x14ac:dyDescent="0.35">
      <c r="T42557" s="246">
        <f t="shared" si="703"/>
        <v>0</v>
      </c>
    </row>
    <row r="42558" spans="20:20" ht="18.75" customHeight="1" x14ac:dyDescent="0.35">
      <c r="T42558" s="246">
        <f t="shared" si="703"/>
        <v>0</v>
      </c>
    </row>
    <row r="42559" spans="20:20" ht="18.75" customHeight="1" x14ac:dyDescent="0.35">
      <c r="T42559" s="246">
        <f t="shared" si="703"/>
        <v>0</v>
      </c>
    </row>
    <row r="42560" spans="20:20" ht="18.75" customHeight="1" x14ac:dyDescent="0.35">
      <c r="T42560" s="246">
        <f t="shared" si="703"/>
        <v>0</v>
      </c>
    </row>
    <row r="42561" spans="20:20" ht="18.75" customHeight="1" x14ac:dyDescent="0.35">
      <c r="T42561" s="246">
        <f t="shared" si="703"/>
        <v>0</v>
      </c>
    </row>
    <row r="42562" spans="20:20" ht="18.75" customHeight="1" x14ac:dyDescent="0.35">
      <c r="T42562" s="246">
        <f t="shared" si="703"/>
        <v>0</v>
      </c>
    </row>
    <row r="42563" spans="20:20" ht="18.75" customHeight="1" x14ac:dyDescent="0.35">
      <c r="T42563" s="246">
        <f t="shared" si="703"/>
        <v>0</v>
      </c>
    </row>
    <row r="42564" spans="20:20" ht="18.75" customHeight="1" x14ac:dyDescent="0.35">
      <c r="T42564" s="246">
        <f t="shared" si="703"/>
        <v>0</v>
      </c>
    </row>
    <row r="42565" spans="20:20" ht="18.75" customHeight="1" x14ac:dyDescent="0.35">
      <c r="T42565" s="246">
        <f t="shared" si="703"/>
        <v>0</v>
      </c>
    </row>
    <row r="42566" spans="20:20" ht="18.75" customHeight="1" x14ac:dyDescent="0.35">
      <c r="T42566" s="246">
        <f t="shared" si="703"/>
        <v>0</v>
      </c>
    </row>
    <row r="42567" spans="20:20" ht="18.75" customHeight="1" x14ac:dyDescent="0.35">
      <c r="T42567" s="246">
        <f t="shared" si="703"/>
        <v>0</v>
      </c>
    </row>
    <row r="42568" spans="20:20" ht="18.75" customHeight="1" x14ac:dyDescent="0.35">
      <c r="T42568" s="246">
        <f t="shared" si="703"/>
        <v>0</v>
      </c>
    </row>
    <row r="42569" spans="20:20" ht="18.75" customHeight="1" x14ac:dyDescent="0.35">
      <c r="T42569" s="246">
        <f t="shared" si="703"/>
        <v>0</v>
      </c>
    </row>
    <row r="42570" spans="20:20" ht="18.75" customHeight="1" x14ac:dyDescent="0.35">
      <c r="T42570" s="246">
        <f t="shared" si="703"/>
        <v>0</v>
      </c>
    </row>
    <row r="42571" spans="20:20" ht="18.75" customHeight="1" x14ac:dyDescent="0.35">
      <c r="T42571" s="246">
        <f t="shared" si="703"/>
        <v>0</v>
      </c>
    </row>
    <row r="42572" spans="20:20" ht="18.75" customHeight="1" x14ac:dyDescent="0.35">
      <c r="T42572" s="246">
        <f t="shared" si="703"/>
        <v>0</v>
      </c>
    </row>
    <row r="42573" spans="20:20" ht="18.75" customHeight="1" x14ac:dyDescent="0.35">
      <c r="T42573" s="246">
        <f t="shared" si="703"/>
        <v>0</v>
      </c>
    </row>
    <row r="42574" spans="20:20" ht="18.75" customHeight="1" x14ac:dyDescent="0.35">
      <c r="T42574" s="246">
        <f t="shared" si="703"/>
        <v>0</v>
      </c>
    </row>
    <row r="42575" spans="20:20" ht="18.75" customHeight="1" x14ac:dyDescent="0.35">
      <c r="T42575" s="246">
        <f t="shared" si="703"/>
        <v>0</v>
      </c>
    </row>
    <row r="42576" spans="20:20" ht="18.75" customHeight="1" x14ac:dyDescent="0.35">
      <c r="T42576" s="246">
        <f t="shared" si="703"/>
        <v>0</v>
      </c>
    </row>
    <row r="42577" spans="20:20" ht="18.75" customHeight="1" x14ac:dyDescent="0.35">
      <c r="T42577" s="246">
        <f t="shared" si="703"/>
        <v>0</v>
      </c>
    </row>
    <row r="42578" spans="20:20" ht="18.75" customHeight="1" x14ac:dyDescent="0.35">
      <c r="T42578" s="246">
        <f t="shared" si="703"/>
        <v>0</v>
      </c>
    </row>
    <row r="42579" spans="20:20" ht="18.75" customHeight="1" x14ac:dyDescent="0.35">
      <c r="T42579" s="246">
        <f t="shared" si="703"/>
        <v>0</v>
      </c>
    </row>
    <row r="42580" spans="20:20" ht="18.75" customHeight="1" x14ac:dyDescent="0.35">
      <c r="T42580" s="246">
        <f t="shared" si="703"/>
        <v>0</v>
      </c>
    </row>
    <row r="42581" spans="20:20" ht="18.75" customHeight="1" x14ac:dyDescent="0.35">
      <c r="T42581" s="246">
        <f t="shared" si="703"/>
        <v>0</v>
      </c>
    </row>
    <row r="42582" spans="20:20" ht="18.75" customHeight="1" x14ac:dyDescent="0.35">
      <c r="T42582" s="246">
        <f t="shared" si="703"/>
        <v>0</v>
      </c>
    </row>
    <row r="42583" spans="20:20" ht="18.75" customHeight="1" x14ac:dyDescent="0.35">
      <c r="T42583" s="246">
        <f t="shared" si="703"/>
        <v>0</v>
      </c>
    </row>
    <row r="42584" spans="20:20" ht="18.75" customHeight="1" x14ac:dyDescent="0.35">
      <c r="T42584" s="246">
        <f t="shared" si="703"/>
        <v>0</v>
      </c>
    </row>
    <row r="42585" spans="20:20" ht="18.75" customHeight="1" x14ac:dyDescent="0.35">
      <c r="T42585" s="246">
        <f t="shared" si="703"/>
        <v>0</v>
      </c>
    </row>
    <row r="42586" spans="20:20" ht="18.75" customHeight="1" x14ac:dyDescent="0.35">
      <c r="T42586" s="246">
        <f t="shared" si="703"/>
        <v>0</v>
      </c>
    </row>
    <row r="42587" spans="20:20" ht="18.75" customHeight="1" x14ac:dyDescent="0.35">
      <c r="T42587" s="246">
        <f t="shared" si="703"/>
        <v>0</v>
      </c>
    </row>
    <row r="42588" spans="20:20" ht="18.75" customHeight="1" x14ac:dyDescent="0.35">
      <c r="T42588" s="246">
        <f t="shared" si="703"/>
        <v>0</v>
      </c>
    </row>
    <row r="42589" spans="20:20" ht="18.75" customHeight="1" x14ac:dyDescent="0.35">
      <c r="T42589" s="246">
        <f t="shared" si="703"/>
        <v>0</v>
      </c>
    </row>
    <row r="42590" spans="20:20" ht="18.75" customHeight="1" x14ac:dyDescent="0.35">
      <c r="T42590" s="246">
        <f t="shared" si="703"/>
        <v>0</v>
      </c>
    </row>
    <row r="42591" spans="20:20" ht="18.75" customHeight="1" x14ac:dyDescent="0.35">
      <c r="T42591" s="246">
        <f t="shared" si="703"/>
        <v>0</v>
      </c>
    </row>
    <row r="42592" spans="20:20" ht="18.75" customHeight="1" x14ac:dyDescent="0.35">
      <c r="T42592" s="246">
        <f t="shared" si="703"/>
        <v>0</v>
      </c>
    </row>
    <row r="42593" spans="20:20" ht="18.75" customHeight="1" x14ac:dyDescent="0.35">
      <c r="T42593" s="246">
        <f t="shared" si="703"/>
        <v>0</v>
      </c>
    </row>
    <row r="42594" spans="20:20" ht="18.75" customHeight="1" x14ac:dyDescent="0.35">
      <c r="T42594" s="246">
        <f t="shared" si="703"/>
        <v>0</v>
      </c>
    </row>
    <row r="42595" spans="20:20" ht="18.75" customHeight="1" x14ac:dyDescent="0.35">
      <c r="T42595" s="246">
        <f t="shared" si="703"/>
        <v>0</v>
      </c>
    </row>
    <row r="42596" spans="20:20" ht="18.75" customHeight="1" x14ac:dyDescent="0.35">
      <c r="T42596" s="246">
        <f t="shared" si="703"/>
        <v>0</v>
      </c>
    </row>
    <row r="42597" spans="20:20" ht="18.75" customHeight="1" x14ac:dyDescent="0.35">
      <c r="T42597" s="246">
        <f t="shared" si="703"/>
        <v>0</v>
      </c>
    </row>
    <row r="42598" spans="20:20" ht="18.75" customHeight="1" x14ac:dyDescent="0.35">
      <c r="T42598" s="246">
        <f t="shared" si="703"/>
        <v>0</v>
      </c>
    </row>
    <row r="42599" spans="20:20" ht="18.75" customHeight="1" x14ac:dyDescent="0.35">
      <c r="T42599" s="246">
        <f t="shared" si="703"/>
        <v>0</v>
      </c>
    </row>
    <row r="42600" spans="20:20" ht="18.75" customHeight="1" x14ac:dyDescent="0.35">
      <c r="T42600" s="246">
        <f t="shared" si="703"/>
        <v>0</v>
      </c>
    </row>
    <row r="42601" spans="20:20" ht="18.75" customHeight="1" x14ac:dyDescent="0.35">
      <c r="T42601" s="246">
        <f t="shared" si="703"/>
        <v>0</v>
      </c>
    </row>
    <row r="42602" spans="20:20" ht="18.75" customHeight="1" x14ac:dyDescent="0.35">
      <c r="T42602" s="246">
        <f t="shared" si="703"/>
        <v>0</v>
      </c>
    </row>
    <row r="42603" spans="20:20" ht="18.75" customHeight="1" x14ac:dyDescent="0.35">
      <c r="T42603" s="246">
        <f t="shared" si="703"/>
        <v>0</v>
      </c>
    </row>
    <row r="42604" spans="20:20" ht="18.75" customHeight="1" x14ac:dyDescent="0.35">
      <c r="T42604" s="246">
        <f t="shared" si="703"/>
        <v>0</v>
      </c>
    </row>
    <row r="42605" spans="20:20" ht="18.75" customHeight="1" x14ac:dyDescent="0.35">
      <c r="T42605" s="246">
        <f t="shared" si="703"/>
        <v>0</v>
      </c>
    </row>
    <row r="42606" spans="20:20" ht="18.75" customHeight="1" x14ac:dyDescent="0.35">
      <c r="T42606" s="246">
        <f t="shared" si="703"/>
        <v>0</v>
      </c>
    </row>
    <row r="42607" spans="20:20" ht="18.75" customHeight="1" x14ac:dyDescent="0.35">
      <c r="T42607" s="246">
        <f t="shared" si="703"/>
        <v>0</v>
      </c>
    </row>
    <row r="42608" spans="20:20" ht="18.75" customHeight="1" x14ac:dyDescent="0.35">
      <c r="T42608" s="246">
        <f t="shared" si="703"/>
        <v>0</v>
      </c>
    </row>
    <row r="42609" spans="20:20" ht="18.75" customHeight="1" x14ac:dyDescent="0.35">
      <c r="T42609" s="246">
        <f t="shared" si="703"/>
        <v>0</v>
      </c>
    </row>
    <row r="42610" spans="20:20" ht="18.75" customHeight="1" x14ac:dyDescent="0.35">
      <c r="T42610" s="246">
        <f t="shared" si="703"/>
        <v>0</v>
      </c>
    </row>
    <row r="42611" spans="20:20" ht="18.75" customHeight="1" x14ac:dyDescent="0.35">
      <c r="T42611" s="246">
        <f t="shared" si="703"/>
        <v>0</v>
      </c>
    </row>
    <row r="42612" spans="20:20" ht="18.75" customHeight="1" x14ac:dyDescent="0.35">
      <c r="T42612" s="246">
        <f t="shared" si="703"/>
        <v>0</v>
      </c>
    </row>
    <row r="42613" spans="20:20" ht="18.75" customHeight="1" x14ac:dyDescent="0.35">
      <c r="T42613" s="246">
        <f t="shared" si="703"/>
        <v>0</v>
      </c>
    </row>
    <row r="42614" spans="20:20" ht="18.75" customHeight="1" x14ac:dyDescent="0.35">
      <c r="T42614" s="246">
        <f t="shared" si="703"/>
        <v>0</v>
      </c>
    </row>
    <row r="42615" spans="20:20" ht="18.75" customHeight="1" x14ac:dyDescent="0.35">
      <c r="T42615" s="246">
        <f t="shared" si="703"/>
        <v>0</v>
      </c>
    </row>
    <row r="42616" spans="20:20" ht="18.75" customHeight="1" x14ac:dyDescent="0.35">
      <c r="T42616" s="246">
        <f t="shared" si="703"/>
        <v>0</v>
      </c>
    </row>
    <row r="42617" spans="20:20" ht="18.75" customHeight="1" x14ac:dyDescent="0.35">
      <c r="T42617" s="246">
        <f t="shared" si="703"/>
        <v>0</v>
      </c>
    </row>
    <row r="42618" spans="20:20" ht="18.75" customHeight="1" x14ac:dyDescent="0.35">
      <c r="T42618" s="246">
        <f t="shared" si="703"/>
        <v>0</v>
      </c>
    </row>
    <row r="42619" spans="20:20" ht="18.75" customHeight="1" x14ac:dyDescent="0.35">
      <c r="T42619" s="246">
        <f t="shared" si="703"/>
        <v>0</v>
      </c>
    </row>
    <row r="42620" spans="20:20" ht="18.75" customHeight="1" x14ac:dyDescent="0.35">
      <c r="T42620" s="246">
        <f t="shared" ref="T42620:T42683" si="704">R42620*0.01</f>
        <v>0</v>
      </c>
    </row>
    <row r="42621" spans="20:20" ht="18.75" customHeight="1" x14ac:dyDescent="0.35">
      <c r="T42621" s="246">
        <f t="shared" si="704"/>
        <v>0</v>
      </c>
    </row>
    <row r="42622" spans="20:20" ht="18.75" customHeight="1" x14ac:dyDescent="0.35">
      <c r="T42622" s="246">
        <f t="shared" si="704"/>
        <v>0</v>
      </c>
    </row>
    <row r="42623" spans="20:20" ht="18.75" customHeight="1" x14ac:dyDescent="0.35">
      <c r="T42623" s="246">
        <f t="shared" si="704"/>
        <v>0</v>
      </c>
    </row>
    <row r="42624" spans="20:20" ht="18.75" customHeight="1" x14ac:dyDescent="0.35">
      <c r="T42624" s="246">
        <f t="shared" si="704"/>
        <v>0</v>
      </c>
    </row>
    <row r="42625" spans="20:20" ht="18.75" customHeight="1" x14ac:dyDescent="0.35">
      <c r="T42625" s="246">
        <f t="shared" si="704"/>
        <v>0</v>
      </c>
    </row>
    <row r="42626" spans="20:20" ht="18.75" customHeight="1" x14ac:dyDescent="0.35">
      <c r="T42626" s="246">
        <f t="shared" si="704"/>
        <v>0</v>
      </c>
    </row>
    <row r="42627" spans="20:20" ht="18.75" customHeight="1" x14ac:dyDescent="0.35">
      <c r="T42627" s="246">
        <f t="shared" si="704"/>
        <v>0</v>
      </c>
    </row>
    <row r="42628" spans="20:20" ht="18.75" customHeight="1" x14ac:dyDescent="0.35">
      <c r="T42628" s="246">
        <f t="shared" si="704"/>
        <v>0</v>
      </c>
    </row>
    <row r="42629" spans="20:20" ht="18.75" customHeight="1" x14ac:dyDescent="0.35">
      <c r="T42629" s="246">
        <f t="shared" si="704"/>
        <v>0</v>
      </c>
    </row>
    <row r="42630" spans="20:20" ht="18.75" customHeight="1" x14ac:dyDescent="0.35">
      <c r="T42630" s="246">
        <f t="shared" si="704"/>
        <v>0</v>
      </c>
    </row>
    <row r="42631" spans="20:20" ht="18.75" customHeight="1" x14ac:dyDescent="0.35">
      <c r="T42631" s="246">
        <f t="shared" si="704"/>
        <v>0</v>
      </c>
    </row>
    <row r="42632" spans="20:20" ht="18.75" customHeight="1" x14ac:dyDescent="0.35">
      <c r="T42632" s="246">
        <f t="shared" si="704"/>
        <v>0</v>
      </c>
    </row>
    <row r="42633" spans="20:20" ht="18.75" customHeight="1" x14ac:dyDescent="0.35">
      <c r="T42633" s="246">
        <f t="shared" si="704"/>
        <v>0</v>
      </c>
    </row>
    <row r="42634" spans="20:20" ht="18.75" customHeight="1" x14ac:dyDescent="0.35">
      <c r="T42634" s="246">
        <f t="shared" si="704"/>
        <v>0</v>
      </c>
    </row>
    <row r="42635" spans="20:20" ht="18.75" customHeight="1" x14ac:dyDescent="0.35">
      <c r="T42635" s="246">
        <f t="shared" si="704"/>
        <v>0</v>
      </c>
    </row>
    <row r="42636" spans="20:20" ht="18.75" customHeight="1" x14ac:dyDescent="0.35">
      <c r="T42636" s="246">
        <f t="shared" si="704"/>
        <v>0</v>
      </c>
    </row>
    <row r="42637" spans="20:20" ht="18.75" customHeight="1" x14ac:dyDescent="0.35">
      <c r="T42637" s="246">
        <f t="shared" si="704"/>
        <v>0</v>
      </c>
    </row>
    <row r="42638" spans="20:20" ht="18.75" customHeight="1" x14ac:dyDescent="0.35">
      <c r="T42638" s="246">
        <f t="shared" si="704"/>
        <v>0</v>
      </c>
    </row>
    <row r="42639" spans="20:20" ht="18.75" customHeight="1" x14ac:dyDescent="0.35">
      <c r="T42639" s="246">
        <f t="shared" si="704"/>
        <v>0</v>
      </c>
    </row>
    <row r="42640" spans="20:20" ht="18.75" customHeight="1" x14ac:dyDescent="0.35">
      <c r="T42640" s="246">
        <f t="shared" si="704"/>
        <v>0</v>
      </c>
    </row>
    <row r="42641" spans="20:20" ht="18.75" customHeight="1" x14ac:dyDescent="0.35">
      <c r="T42641" s="246">
        <f t="shared" si="704"/>
        <v>0</v>
      </c>
    </row>
    <row r="42642" spans="20:20" ht="18.75" customHeight="1" x14ac:dyDescent="0.35">
      <c r="T42642" s="246">
        <f t="shared" si="704"/>
        <v>0</v>
      </c>
    </row>
    <row r="42643" spans="20:20" ht="18.75" customHeight="1" x14ac:dyDescent="0.35">
      <c r="T42643" s="246">
        <f t="shared" si="704"/>
        <v>0</v>
      </c>
    </row>
    <row r="42644" spans="20:20" ht="18.75" customHeight="1" x14ac:dyDescent="0.35">
      <c r="T42644" s="246">
        <f t="shared" si="704"/>
        <v>0</v>
      </c>
    </row>
    <row r="42645" spans="20:20" ht="18.75" customHeight="1" x14ac:dyDescent="0.35">
      <c r="T42645" s="246">
        <f t="shared" si="704"/>
        <v>0</v>
      </c>
    </row>
    <row r="42646" spans="20:20" ht="18.75" customHeight="1" x14ac:dyDescent="0.35">
      <c r="T42646" s="246">
        <f t="shared" si="704"/>
        <v>0</v>
      </c>
    </row>
    <row r="42647" spans="20:20" ht="18.75" customHeight="1" x14ac:dyDescent="0.35">
      <c r="T42647" s="246">
        <f t="shared" si="704"/>
        <v>0</v>
      </c>
    </row>
    <row r="42648" spans="20:20" ht="18.75" customHeight="1" x14ac:dyDescent="0.35">
      <c r="T42648" s="246">
        <f t="shared" si="704"/>
        <v>0</v>
      </c>
    </row>
    <row r="42649" spans="20:20" ht="18.75" customHeight="1" x14ac:dyDescent="0.35">
      <c r="T42649" s="246">
        <f t="shared" si="704"/>
        <v>0</v>
      </c>
    </row>
    <row r="42650" spans="20:20" ht="18.75" customHeight="1" x14ac:dyDescent="0.35">
      <c r="T42650" s="246">
        <f t="shared" si="704"/>
        <v>0</v>
      </c>
    </row>
    <row r="42651" spans="20:20" ht="18.75" customHeight="1" x14ac:dyDescent="0.35">
      <c r="T42651" s="246">
        <f t="shared" si="704"/>
        <v>0</v>
      </c>
    </row>
    <row r="42652" spans="20:20" ht="18.75" customHeight="1" x14ac:dyDescent="0.35">
      <c r="T42652" s="246">
        <f t="shared" si="704"/>
        <v>0</v>
      </c>
    </row>
    <row r="42653" spans="20:20" ht="18.75" customHeight="1" x14ac:dyDescent="0.35">
      <c r="T42653" s="246">
        <f t="shared" si="704"/>
        <v>0</v>
      </c>
    </row>
    <row r="42654" spans="20:20" ht="18.75" customHeight="1" x14ac:dyDescent="0.35">
      <c r="T42654" s="246">
        <f t="shared" si="704"/>
        <v>0</v>
      </c>
    </row>
    <row r="42655" spans="20:20" ht="18.75" customHeight="1" x14ac:dyDescent="0.35">
      <c r="T42655" s="246">
        <f t="shared" si="704"/>
        <v>0</v>
      </c>
    </row>
    <row r="42656" spans="20:20" ht="18.75" customHeight="1" x14ac:dyDescent="0.35">
      <c r="T42656" s="246">
        <f t="shared" si="704"/>
        <v>0</v>
      </c>
    </row>
    <row r="42657" spans="20:20" ht="18.75" customHeight="1" x14ac:dyDescent="0.35">
      <c r="T42657" s="246">
        <f t="shared" si="704"/>
        <v>0</v>
      </c>
    </row>
    <row r="42658" spans="20:20" ht="18.75" customHeight="1" x14ac:dyDescent="0.35">
      <c r="T42658" s="246">
        <f t="shared" si="704"/>
        <v>0</v>
      </c>
    </row>
    <row r="42659" spans="20:20" ht="18.75" customHeight="1" x14ac:dyDescent="0.35">
      <c r="T42659" s="246">
        <f t="shared" si="704"/>
        <v>0</v>
      </c>
    </row>
    <row r="42660" spans="20:20" ht="18.75" customHeight="1" x14ac:dyDescent="0.35">
      <c r="T42660" s="246">
        <f t="shared" si="704"/>
        <v>0</v>
      </c>
    </row>
    <row r="42661" spans="20:20" ht="18.75" customHeight="1" x14ac:dyDescent="0.35">
      <c r="T42661" s="246">
        <f t="shared" si="704"/>
        <v>0</v>
      </c>
    </row>
    <row r="42662" spans="20:20" ht="18.75" customHeight="1" x14ac:dyDescent="0.35">
      <c r="T42662" s="246">
        <f t="shared" si="704"/>
        <v>0</v>
      </c>
    </row>
    <row r="42663" spans="20:20" ht="18.75" customHeight="1" x14ac:dyDescent="0.35">
      <c r="T42663" s="246">
        <f t="shared" si="704"/>
        <v>0</v>
      </c>
    </row>
    <row r="42664" spans="20:20" ht="18.75" customHeight="1" x14ac:dyDescent="0.35">
      <c r="T42664" s="246">
        <f t="shared" si="704"/>
        <v>0</v>
      </c>
    </row>
    <row r="42665" spans="20:20" ht="18.75" customHeight="1" x14ac:dyDescent="0.35">
      <c r="T42665" s="246">
        <f t="shared" si="704"/>
        <v>0</v>
      </c>
    </row>
    <row r="42666" spans="20:20" ht="18.75" customHeight="1" x14ac:dyDescent="0.35">
      <c r="T42666" s="246">
        <f t="shared" si="704"/>
        <v>0</v>
      </c>
    </row>
    <row r="42667" spans="20:20" ht="18.75" customHeight="1" x14ac:dyDescent="0.35">
      <c r="T42667" s="246">
        <f t="shared" si="704"/>
        <v>0</v>
      </c>
    </row>
    <row r="42668" spans="20:20" ht="18.75" customHeight="1" x14ac:dyDescent="0.35">
      <c r="T42668" s="246">
        <f t="shared" si="704"/>
        <v>0</v>
      </c>
    </row>
    <row r="42669" spans="20:20" ht="18.75" customHeight="1" x14ac:dyDescent="0.35">
      <c r="T42669" s="246">
        <f t="shared" si="704"/>
        <v>0</v>
      </c>
    </row>
    <row r="42670" spans="20:20" ht="18.75" customHeight="1" x14ac:dyDescent="0.35">
      <c r="T42670" s="246">
        <f t="shared" si="704"/>
        <v>0</v>
      </c>
    </row>
    <row r="42671" spans="20:20" ht="18.75" customHeight="1" x14ac:dyDescent="0.35">
      <c r="T42671" s="246">
        <f t="shared" si="704"/>
        <v>0</v>
      </c>
    </row>
    <row r="42672" spans="20:20" ht="18.75" customHeight="1" x14ac:dyDescent="0.35">
      <c r="T42672" s="246">
        <f t="shared" si="704"/>
        <v>0</v>
      </c>
    </row>
    <row r="42673" spans="20:20" ht="18.75" customHeight="1" x14ac:dyDescent="0.35">
      <c r="T42673" s="246">
        <f t="shared" si="704"/>
        <v>0</v>
      </c>
    </row>
    <row r="42674" spans="20:20" ht="18.75" customHeight="1" x14ac:dyDescent="0.35">
      <c r="T42674" s="246">
        <f t="shared" si="704"/>
        <v>0</v>
      </c>
    </row>
    <row r="42675" spans="20:20" ht="18.75" customHeight="1" x14ac:dyDescent="0.35">
      <c r="T42675" s="246">
        <f t="shared" si="704"/>
        <v>0</v>
      </c>
    </row>
    <row r="42676" spans="20:20" ht="18.75" customHeight="1" x14ac:dyDescent="0.35">
      <c r="T42676" s="246">
        <f t="shared" si="704"/>
        <v>0</v>
      </c>
    </row>
    <row r="42677" spans="20:20" ht="18.75" customHeight="1" x14ac:dyDescent="0.35">
      <c r="T42677" s="246">
        <f t="shared" si="704"/>
        <v>0</v>
      </c>
    </row>
    <row r="42678" spans="20:20" ht="18.75" customHeight="1" x14ac:dyDescent="0.35">
      <c r="T42678" s="246">
        <f t="shared" si="704"/>
        <v>0</v>
      </c>
    </row>
    <row r="42679" spans="20:20" ht="18.75" customHeight="1" x14ac:dyDescent="0.35">
      <c r="T42679" s="246">
        <f t="shared" si="704"/>
        <v>0</v>
      </c>
    </row>
    <row r="42680" spans="20:20" ht="18.75" customHeight="1" x14ac:dyDescent="0.35">
      <c r="T42680" s="246">
        <f t="shared" si="704"/>
        <v>0</v>
      </c>
    </row>
    <row r="42681" spans="20:20" ht="18.75" customHeight="1" x14ac:dyDescent="0.35">
      <c r="T42681" s="246">
        <f t="shared" si="704"/>
        <v>0</v>
      </c>
    </row>
    <row r="42682" spans="20:20" ht="18.75" customHeight="1" x14ac:dyDescent="0.35">
      <c r="T42682" s="246">
        <f t="shared" si="704"/>
        <v>0</v>
      </c>
    </row>
    <row r="42683" spans="20:20" ht="18.75" customHeight="1" x14ac:dyDescent="0.35">
      <c r="T42683" s="246">
        <f t="shared" si="704"/>
        <v>0</v>
      </c>
    </row>
    <row r="42684" spans="20:20" ht="18.75" customHeight="1" x14ac:dyDescent="0.35">
      <c r="T42684" s="246">
        <f t="shared" ref="T42684:T42747" si="705">R42684*0.01</f>
        <v>0</v>
      </c>
    </row>
    <row r="42685" spans="20:20" ht="18.75" customHeight="1" x14ac:dyDescent="0.35">
      <c r="T42685" s="246">
        <f t="shared" si="705"/>
        <v>0</v>
      </c>
    </row>
    <row r="42686" spans="20:20" ht="18.75" customHeight="1" x14ac:dyDescent="0.35">
      <c r="T42686" s="246">
        <f t="shared" si="705"/>
        <v>0</v>
      </c>
    </row>
    <row r="42687" spans="20:20" ht="18.75" customHeight="1" x14ac:dyDescent="0.35">
      <c r="T42687" s="246">
        <f t="shared" si="705"/>
        <v>0</v>
      </c>
    </row>
    <row r="42688" spans="20:20" ht="18.75" customHeight="1" x14ac:dyDescent="0.35">
      <c r="T42688" s="246">
        <f t="shared" si="705"/>
        <v>0</v>
      </c>
    </row>
    <row r="42689" spans="20:20" ht="18.75" customHeight="1" x14ac:dyDescent="0.35">
      <c r="T42689" s="246">
        <f t="shared" si="705"/>
        <v>0</v>
      </c>
    </row>
    <row r="42690" spans="20:20" ht="18.75" customHeight="1" x14ac:dyDescent="0.35">
      <c r="T42690" s="246">
        <f t="shared" si="705"/>
        <v>0</v>
      </c>
    </row>
    <row r="42691" spans="20:20" ht="18.75" customHeight="1" x14ac:dyDescent="0.35">
      <c r="T42691" s="246">
        <f t="shared" si="705"/>
        <v>0</v>
      </c>
    </row>
    <row r="42692" spans="20:20" ht="18.75" customHeight="1" x14ac:dyDescent="0.35">
      <c r="T42692" s="246">
        <f t="shared" si="705"/>
        <v>0</v>
      </c>
    </row>
    <row r="42693" spans="20:20" ht="18.75" customHeight="1" x14ac:dyDescent="0.35">
      <c r="T42693" s="246">
        <f t="shared" si="705"/>
        <v>0</v>
      </c>
    </row>
    <row r="42694" spans="20:20" ht="18.75" customHeight="1" x14ac:dyDescent="0.35">
      <c r="T42694" s="246">
        <f t="shared" si="705"/>
        <v>0</v>
      </c>
    </row>
    <row r="42695" spans="20:20" ht="18.75" customHeight="1" x14ac:dyDescent="0.35">
      <c r="T42695" s="246">
        <f t="shared" si="705"/>
        <v>0</v>
      </c>
    </row>
    <row r="42696" spans="20:20" ht="18.75" customHeight="1" x14ac:dyDescent="0.35">
      <c r="T42696" s="246">
        <f t="shared" si="705"/>
        <v>0</v>
      </c>
    </row>
    <row r="42697" spans="20:20" ht="18.75" customHeight="1" x14ac:dyDescent="0.35">
      <c r="T42697" s="246">
        <f t="shared" si="705"/>
        <v>0</v>
      </c>
    </row>
    <row r="42698" spans="20:20" ht="18.75" customHeight="1" x14ac:dyDescent="0.35">
      <c r="T42698" s="246">
        <f t="shared" si="705"/>
        <v>0</v>
      </c>
    </row>
    <row r="42699" spans="20:20" ht="18.75" customHeight="1" x14ac:dyDescent="0.35">
      <c r="T42699" s="246">
        <f t="shared" si="705"/>
        <v>0</v>
      </c>
    </row>
    <row r="42700" spans="20:20" ht="18.75" customHeight="1" x14ac:dyDescent="0.35">
      <c r="T42700" s="246">
        <f t="shared" si="705"/>
        <v>0</v>
      </c>
    </row>
    <row r="42701" spans="20:20" ht="18.75" customHeight="1" x14ac:dyDescent="0.35">
      <c r="T42701" s="246">
        <f t="shared" si="705"/>
        <v>0</v>
      </c>
    </row>
    <row r="42702" spans="20:20" ht="18.75" customHeight="1" x14ac:dyDescent="0.35">
      <c r="T42702" s="246">
        <f t="shared" si="705"/>
        <v>0</v>
      </c>
    </row>
    <row r="42703" spans="20:20" ht="18.75" customHeight="1" x14ac:dyDescent="0.35">
      <c r="T42703" s="246">
        <f t="shared" si="705"/>
        <v>0</v>
      </c>
    </row>
    <row r="42704" spans="20:20" ht="18.75" customHeight="1" x14ac:dyDescent="0.35">
      <c r="T42704" s="246">
        <f t="shared" si="705"/>
        <v>0</v>
      </c>
    </row>
    <row r="42705" spans="20:20" ht="18.75" customHeight="1" x14ac:dyDescent="0.35">
      <c r="T42705" s="246">
        <f t="shared" si="705"/>
        <v>0</v>
      </c>
    </row>
    <row r="42706" spans="20:20" ht="18.75" customHeight="1" x14ac:dyDescent="0.35">
      <c r="T42706" s="246">
        <f t="shared" si="705"/>
        <v>0</v>
      </c>
    </row>
    <row r="42707" spans="20:20" ht="18.75" customHeight="1" x14ac:dyDescent="0.35">
      <c r="T42707" s="246">
        <f t="shared" si="705"/>
        <v>0</v>
      </c>
    </row>
    <row r="42708" spans="20:20" ht="18.75" customHeight="1" x14ac:dyDescent="0.35">
      <c r="T42708" s="246">
        <f t="shared" si="705"/>
        <v>0</v>
      </c>
    </row>
    <row r="42709" spans="20:20" ht="18.75" customHeight="1" x14ac:dyDescent="0.35">
      <c r="T42709" s="246">
        <f t="shared" si="705"/>
        <v>0</v>
      </c>
    </row>
    <row r="42710" spans="20:20" ht="18.75" customHeight="1" x14ac:dyDescent="0.35">
      <c r="T42710" s="246">
        <f t="shared" si="705"/>
        <v>0</v>
      </c>
    </row>
    <row r="42711" spans="20:20" ht="18.75" customHeight="1" x14ac:dyDescent="0.35">
      <c r="T42711" s="246">
        <f t="shared" si="705"/>
        <v>0</v>
      </c>
    </row>
    <row r="42712" spans="20:20" ht="18.75" customHeight="1" x14ac:dyDescent="0.35">
      <c r="T42712" s="246">
        <f t="shared" si="705"/>
        <v>0</v>
      </c>
    </row>
    <row r="42713" spans="20:20" ht="18.75" customHeight="1" x14ac:dyDescent="0.35">
      <c r="T42713" s="246">
        <f t="shared" si="705"/>
        <v>0</v>
      </c>
    </row>
    <row r="42714" spans="20:20" ht="18.75" customHeight="1" x14ac:dyDescent="0.35">
      <c r="T42714" s="246">
        <f t="shared" si="705"/>
        <v>0</v>
      </c>
    </row>
    <row r="42715" spans="20:20" ht="18.75" customHeight="1" x14ac:dyDescent="0.35">
      <c r="T42715" s="246">
        <f t="shared" si="705"/>
        <v>0</v>
      </c>
    </row>
    <row r="42716" spans="20:20" ht="18.75" customHeight="1" x14ac:dyDescent="0.35">
      <c r="T42716" s="246">
        <f t="shared" si="705"/>
        <v>0</v>
      </c>
    </row>
    <row r="42717" spans="20:20" ht="18.75" customHeight="1" x14ac:dyDescent="0.35">
      <c r="T42717" s="246">
        <f t="shared" si="705"/>
        <v>0</v>
      </c>
    </row>
    <row r="42718" spans="20:20" ht="18.75" customHeight="1" x14ac:dyDescent="0.35">
      <c r="T42718" s="246">
        <f t="shared" si="705"/>
        <v>0</v>
      </c>
    </row>
    <row r="42719" spans="20:20" ht="18.75" customHeight="1" x14ac:dyDescent="0.35">
      <c r="T42719" s="246">
        <f t="shared" si="705"/>
        <v>0</v>
      </c>
    </row>
    <row r="42720" spans="20:20" ht="18.75" customHeight="1" x14ac:dyDescent="0.35">
      <c r="T42720" s="246">
        <f t="shared" si="705"/>
        <v>0</v>
      </c>
    </row>
    <row r="42721" spans="20:20" ht="18.75" customHeight="1" x14ac:dyDescent="0.35">
      <c r="T42721" s="246">
        <f t="shared" si="705"/>
        <v>0</v>
      </c>
    </row>
    <row r="42722" spans="20:20" ht="18.75" customHeight="1" x14ac:dyDescent="0.35">
      <c r="T42722" s="246">
        <f t="shared" si="705"/>
        <v>0</v>
      </c>
    </row>
    <row r="42723" spans="20:20" ht="18.75" customHeight="1" x14ac:dyDescent="0.35">
      <c r="T42723" s="246">
        <f t="shared" si="705"/>
        <v>0</v>
      </c>
    </row>
    <row r="42724" spans="20:20" ht="18.75" customHeight="1" x14ac:dyDescent="0.35">
      <c r="T42724" s="246">
        <f t="shared" si="705"/>
        <v>0</v>
      </c>
    </row>
    <row r="42725" spans="20:20" ht="18.75" customHeight="1" x14ac:dyDescent="0.35">
      <c r="T42725" s="246">
        <f t="shared" si="705"/>
        <v>0</v>
      </c>
    </row>
    <row r="42726" spans="20:20" ht="18.75" customHeight="1" x14ac:dyDescent="0.35">
      <c r="T42726" s="246">
        <f t="shared" si="705"/>
        <v>0</v>
      </c>
    </row>
    <row r="42727" spans="20:20" ht="18.75" customHeight="1" x14ac:dyDescent="0.35">
      <c r="T42727" s="246">
        <f t="shared" si="705"/>
        <v>0</v>
      </c>
    </row>
    <row r="42728" spans="20:20" ht="18.75" customHeight="1" x14ac:dyDescent="0.35">
      <c r="T42728" s="246">
        <f t="shared" si="705"/>
        <v>0</v>
      </c>
    </row>
    <row r="42729" spans="20:20" ht="18.75" customHeight="1" x14ac:dyDescent="0.35">
      <c r="T42729" s="246">
        <f t="shared" si="705"/>
        <v>0</v>
      </c>
    </row>
    <row r="42730" spans="20:20" ht="18.75" customHeight="1" x14ac:dyDescent="0.35">
      <c r="T42730" s="246">
        <f t="shared" si="705"/>
        <v>0</v>
      </c>
    </row>
    <row r="42731" spans="20:20" ht="18.75" customHeight="1" x14ac:dyDescent="0.35">
      <c r="T42731" s="246">
        <f t="shared" si="705"/>
        <v>0</v>
      </c>
    </row>
    <row r="42732" spans="20:20" ht="18.75" customHeight="1" x14ac:dyDescent="0.35">
      <c r="T42732" s="246">
        <f t="shared" si="705"/>
        <v>0</v>
      </c>
    </row>
    <row r="42733" spans="20:20" ht="18.75" customHeight="1" x14ac:dyDescent="0.35">
      <c r="T42733" s="246">
        <f t="shared" si="705"/>
        <v>0</v>
      </c>
    </row>
    <row r="42734" spans="20:20" ht="18.75" customHeight="1" x14ac:dyDescent="0.35">
      <c r="T42734" s="246">
        <f t="shared" si="705"/>
        <v>0</v>
      </c>
    </row>
    <row r="42735" spans="20:20" ht="18.75" customHeight="1" x14ac:dyDescent="0.35">
      <c r="T42735" s="246">
        <f t="shared" si="705"/>
        <v>0</v>
      </c>
    </row>
    <row r="42736" spans="20:20" ht="18.75" customHeight="1" x14ac:dyDescent="0.35">
      <c r="T42736" s="246">
        <f t="shared" si="705"/>
        <v>0</v>
      </c>
    </row>
    <row r="42737" spans="20:20" ht="18.75" customHeight="1" x14ac:dyDescent="0.35">
      <c r="T42737" s="246">
        <f t="shared" si="705"/>
        <v>0</v>
      </c>
    </row>
    <row r="42738" spans="20:20" ht="18.75" customHeight="1" x14ac:dyDescent="0.35">
      <c r="T42738" s="246">
        <f t="shared" si="705"/>
        <v>0</v>
      </c>
    </row>
    <row r="42739" spans="20:20" ht="18.75" customHeight="1" x14ac:dyDescent="0.35">
      <c r="T42739" s="246">
        <f t="shared" si="705"/>
        <v>0</v>
      </c>
    </row>
    <row r="42740" spans="20:20" ht="18.75" customHeight="1" x14ac:dyDescent="0.35">
      <c r="T42740" s="246">
        <f t="shared" si="705"/>
        <v>0</v>
      </c>
    </row>
    <row r="42741" spans="20:20" ht="18.75" customHeight="1" x14ac:dyDescent="0.35">
      <c r="T42741" s="246">
        <f t="shared" si="705"/>
        <v>0</v>
      </c>
    </row>
    <row r="42742" spans="20:20" ht="18.75" customHeight="1" x14ac:dyDescent="0.35">
      <c r="T42742" s="246">
        <f t="shared" si="705"/>
        <v>0</v>
      </c>
    </row>
    <row r="42743" spans="20:20" ht="18.75" customHeight="1" x14ac:dyDescent="0.35">
      <c r="T42743" s="246">
        <f t="shared" si="705"/>
        <v>0</v>
      </c>
    </row>
    <row r="42744" spans="20:20" ht="18.75" customHeight="1" x14ac:dyDescent="0.35">
      <c r="T42744" s="246">
        <f t="shared" si="705"/>
        <v>0</v>
      </c>
    </row>
    <row r="42745" spans="20:20" ht="18.75" customHeight="1" x14ac:dyDescent="0.35">
      <c r="T42745" s="246">
        <f t="shared" si="705"/>
        <v>0</v>
      </c>
    </row>
    <row r="42746" spans="20:20" ht="18.75" customHeight="1" x14ac:dyDescent="0.35">
      <c r="T42746" s="246">
        <f t="shared" si="705"/>
        <v>0</v>
      </c>
    </row>
    <row r="42747" spans="20:20" ht="18.75" customHeight="1" x14ac:dyDescent="0.35">
      <c r="T42747" s="246">
        <f t="shared" si="705"/>
        <v>0</v>
      </c>
    </row>
    <row r="42748" spans="20:20" ht="18.75" customHeight="1" x14ac:dyDescent="0.35">
      <c r="T42748" s="246">
        <f t="shared" ref="T42748:T42811" si="706">R42748*0.01</f>
        <v>0</v>
      </c>
    </row>
    <row r="42749" spans="20:20" ht="18.75" customHeight="1" x14ac:dyDescent="0.35">
      <c r="T42749" s="246">
        <f t="shared" si="706"/>
        <v>0</v>
      </c>
    </row>
    <row r="42750" spans="20:20" ht="18.75" customHeight="1" x14ac:dyDescent="0.35">
      <c r="T42750" s="246">
        <f t="shared" si="706"/>
        <v>0</v>
      </c>
    </row>
    <row r="42751" spans="20:20" ht="18.75" customHeight="1" x14ac:dyDescent="0.35">
      <c r="T42751" s="246">
        <f t="shared" si="706"/>
        <v>0</v>
      </c>
    </row>
    <row r="42752" spans="20:20" ht="18.75" customHeight="1" x14ac:dyDescent="0.35">
      <c r="T42752" s="246">
        <f t="shared" si="706"/>
        <v>0</v>
      </c>
    </row>
    <row r="42753" spans="20:20" ht="18.75" customHeight="1" x14ac:dyDescent="0.35">
      <c r="T42753" s="246">
        <f t="shared" si="706"/>
        <v>0</v>
      </c>
    </row>
    <row r="42754" spans="20:20" ht="18.75" customHeight="1" x14ac:dyDescent="0.35">
      <c r="T42754" s="246">
        <f t="shared" si="706"/>
        <v>0</v>
      </c>
    </row>
    <row r="42755" spans="20:20" ht="18.75" customHeight="1" x14ac:dyDescent="0.35">
      <c r="T42755" s="246">
        <f t="shared" si="706"/>
        <v>0</v>
      </c>
    </row>
    <row r="42756" spans="20:20" ht="18.75" customHeight="1" x14ac:dyDescent="0.35">
      <c r="T42756" s="246">
        <f t="shared" si="706"/>
        <v>0</v>
      </c>
    </row>
    <row r="42757" spans="20:20" ht="18.75" customHeight="1" x14ac:dyDescent="0.35">
      <c r="T42757" s="246">
        <f t="shared" si="706"/>
        <v>0</v>
      </c>
    </row>
    <row r="42758" spans="20:20" ht="18.75" customHeight="1" x14ac:dyDescent="0.35">
      <c r="T42758" s="246">
        <f t="shared" si="706"/>
        <v>0</v>
      </c>
    </row>
    <row r="42759" spans="20:20" ht="18.75" customHeight="1" x14ac:dyDescent="0.35">
      <c r="T42759" s="246">
        <f t="shared" si="706"/>
        <v>0</v>
      </c>
    </row>
    <row r="42760" spans="20:20" ht="18.75" customHeight="1" x14ac:dyDescent="0.35">
      <c r="T42760" s="246">
        <f t="shared" si="706"/>
        <v>0</v>
      </c>
    </row>
    <row r="42761" spans="20:20" ht="18.75" customHeight="1" x14ac:dyDescent="0.35">
      <c r="T42761" s="246">
        <f t="shared" si="706"/>
        <v>0</v>
      </c>
    </row>
    <row r="42762" spans="20:20" ht="18.75" customHeight="1" x14ac:dyDescent="0.35">
      <c r="T42762" s="246">
        <f t="shared" si="706"/>
        <v>0</v>
      </c>
    </row>
    <row r="42763" spans="20:20" ht="18.75" customHeight="1" x14ac:dyDescent="0.35">
      <c r="T42763" s="246">
        <f t="shared" si="706"/>
        <v>0</v>
      </c>
    </row>
    <row r="42764" spans="20:20" ht="18.75" customHeight="1" x14ac:dyDescent="0.35">
      <c r="T42764" s="246">
        <f t="shared" si="706"/>
        <v>0</v>
      </c>
    </row>
    <row r="42765" spans="20:20" ht="18.75" customHeight="1" x14ac:dyDescent="0.35">
      <c r="T42765" s="246">
        <f t="shared" si="706"/>
        <v>0</v>
      </c>
    </row>
    <row r="42766" spans="20:20" ht="18.75" customHeight="1" x14ac:dyDescent="0.35">
      <c r="T42766" s="246">
        <f t="shared" si="706"/>
        <v>0</v>
      </c>
    </row>
    <row r="42767" spans="20:20" ht="18.75" customHeight="1" x14ac:dyDescent="0.35">
      <c r="T42767" s="246">
        <f t="shared" si="706"/>
        <v>0</v>
      </c>
    </row>
    <row r="42768" spans="20:20" ht="18.75" customHeight="1" x14ac:dyDescent="0.35">
      <c r="T42768" s="246">
        <f t="shared" si="706"/>
        <v>0</v>
      </c>
    </row>
    <row r="42769" spans="20:20" ht="18.75" customHeight="1" x14ac:dyDescent="0.35">
      <c r="T42769" s="246">
        <f t="shared" si="706"/>
        <v>0</v>
      </c>
    </row>
    <row r="42770" spans="20:20" ht="18.75" customHeight="1" x14ac:dyDescent="0.35">
      <c r="T42770" s="246">
        <f t="shared" si="706"/>
        <v>0</v>
      </c>
    </row>
    <row r="42771" spans="20:20" ht="18.75" customHeight="1" x14ac:dyDescent="0.35">
      <c r="T42771" s="246">
        <f t="shared" si="706"/>
        <v>0</v>
      </c>
    </row>
    <row r="42772" spans="20:20" ht="18.75" customHeight="1" x14ac:dyDescent="0.35">
      <c r="T42772" s="246">
        <f t="shared" si="706"/>
        <v>0</v>
      </c>
    </row>
    <row r="42773" spans="20:20" ht="18.75" customHeight="1" x14ac:dyDescent="0.35">
      <c r="T42773" s="246">
        <f t="shared" si="706"/>
        <v>0</v>
      </c>
    </row>
    <row r="42774" spans="20:20" ht="18.75" customHeight="1" x14ac:dyDescent="0.35">
      <c r="T42774" s="246">
        <f t="shared" si="706"/>
        <v>0</v>
      </c>
    </row>
    <row r="42775" spans="20:20" ht="18.75" customHeight="1" x14ac:dyDescent="0.35">
      <c r="T42775" s="246">
        <f t="shared" si="706"/>
        <v>0</v>
      </c>
    </row>
    <row r="42776" spans="20:20" ht="18.75" customHeight="1" x14ac:dyDescent="0.35">
      <c r="T42776" s="246">
        <f t="shared" si="706"/>
        <v>0</v>
      </c>
    </row>
    <row r="42777" spans="20:20" ht="18.75" customHeight="1" x14ac:dyDescent="0.35">
      <c r="T42777" s="246">
        <f t="shared" si="706"/>
        <v>0</v>
      </c>
    </row>
    <row r="42778" spans="20:20" ht="18.75" customHeight="1" x14ac:dyDescent="0.35">
      <c r="T42778" s="246">
        <f t="shared" si="706"/>
        <v>0</v>
      </c>
    </row>
    <row r="42779" spans="20:20" ht="18.75" customHeight="1" x14ac:dyDescent="0.35">
      <c r="T42779" s="246">
        <f t="shared" si="706"/>
        <v>0</v>
      </c>
    </row>
    <row r="42780" spans="20:20" ht="18.75" customHeight="1" x14ac:dyDescent="0.35">
      <c r="T42780" s="246">
        <f t="shared" si="706"/>
        <v>0</v>
      </c>
    </row>
    <row r="42781" spans="20:20" ht="18.75" customHeight="1" x14ac:dyDescent="0.35">
      <c r="T42781" s="246">
        <f t="shared" si="706"/>
        <v>0</v>
      </c>
    </row>
    <row r="42782" spans="20:20" ht="18.75" customHeight="1" x14ac:dyDescent="0.35">
      <c r="T42782" s="246">
        <f t="shared" si="706"/>
        <v>0</v>
      </c>
    </row>
    <row r="42783" spans="20:20" ht="18.75" customHeight="1" x14ac:dyDescent="0.35">
      <c r="T42783" s="246">
        <f t="shared" si="706"/>
        <v>0</v>
      </c>
    </row>
    <row r="42784" spans="20:20" ht="18.75" customHeight="1" x14ac:dyDescent="0.35">
      <c r="T42784" s="246">
        <f t="shared" si="706"/>
        <v>0</v>
      </c>
    </row>
    <row r="42785" spans="20:20" ht="18.75" customHeight="1" x14ac:dyDescent="0.35">
      <c r="T42785" s="246">
        <f t="shared" si="706"/>
        <v>0</v>
      </c>
    </row>
    <row r="42786" spans="20:20" ht="18.75" customHeight="1" x14ac:dyDescent="0.35">
      <c r="T42786" s="246">
        <f t="shared" si="706"/>
        <v>0</v>
      </c>
    </row>
    <row r="42787" spans="20:20" ht="18.75" customHeight="1" x14ac:dyDescent="0.35">
      <c r="T42787" s="246">
        <f t="shared" si="706"/>
        <v>0</v>
      </c>
    </row>
    <row r="42788" spans="20:20" ht="18.75" customHeight="1" x14ac:dyDescent="0.35">
      <c r="T42788" s="246">
        <f t="shared" si="706"/>
        <v>0</v>
      </c>
    </row>
    <row r="42789" spans="20:20" ht="18.75" customHeight="1" x14ac:dyDescent="0.35">
      <c r="T42789" s="246">
        <f t="shared" si="706"/>
        <v>0</v>
      </c>
    </row>
    <row r="42790" spans="20:20" ht="18.75" customHeight="1" x14ac:dyDescent="0.35">
      <c r="T42790" s="246">
        <f t="shared" si="706"/>
        <v>0</v>
      </c>
    </row>
    <row r="42791" spans="20:20" ht="18.75" customHeight="1" x14ac:dyDescent="0.35">
      <c r="T42791" s="246">
        <f t="shared" si="706"/>
        <v>0</v>
      </c>
    </row>
    <row r="42792" spans="20:20" ht="18.75" customHeight="1" x14ac:dyDescent="0.35">
      <c r="T42792" s="246">
        <f t="shared" si="706"/>
        <v>0</v>
      </c>
    </row>
    <row r="42793" spans="20:20" ht="18.75" customHeight="1" x14ac:dyDescent="0.35">
      <c r="T42793" s="246">
        <f t="shared" si="706"/>
        <v>0</v>
      </c>
    </row>
    <row r="42794" spans="20:20" ht="18.75" customHeight="1" x14ac:dyDescent="0.35">
      <c r="T42794" s="246">
        <f t="shared" si="706"/>
        <v>0</v>
      </c>
    </row>
    <row r="42795" spans="20:20" ht="18.75" customHeight="1" x14ac:dyDescent="0.35">
      <c r="T42795" s="246">
        <f t="shared" si="706"/>
        <v>0</v>
      </c>
    </row>
    <row r="42796" spans="20:20" ht="18.75" customHeight="1" x14ac:dyDescent="0.35">
      <c r="T42796" s="246">
        <f t="shared" si="706"/>
        <v>0</v>
      </c>
    </row>
    <row r="42797" spans="20:20" ht="18.75" customHeight="1" x14ac:dyDescent="0.35">
      <c r="T42797" s="246">
        <f t="shared" si="706"/>
        <v>0</v>
      </c>
    </row>
    <row r="42798" spans="20:20" ht="18.75" customHeight="1" x14ac:dyDescent="0.35">
      <c r="T42798" s="246">
        <f t="shared" si="706"/>
        <v>0</v>
      </c>
    </row>
    <row r="42799" spans="20:20" ht="18.75" customHeight="1" x14ac:dyDescent="0.35">
      <c r="T42799" s="246">
        <f t="shared" si="706"/>
        <v>0</v>
      </c>
    </row>
    <row r="42800" spans="20:20" ht="18.75" customHeight="1" x14ac:dyDescent="0.35">
      <c r="T42800" s="246">
        <f t="shared" si="706"/>
        <v>0</v>
      </c>
    </row>
    <row r="42801" spans="20:20" ht="18.75" customHeight="1" x14ac:dyDescent="0.35">
      <c r="T42801" s="246">
        <f t="shared" si="706"/>
        <v>0</v>
      </c>
    </row>
    <row r="42802" spans="20:20" ht="18.75" customHeight="1" x14ac:dyDescent="0.35">
      <c r="T42802" s="246">
        <f t="shared" si="706"/>
        <v>0</v>
      </c>
    </row>
    <row r="42803" spans="20:20" ht="18.75" customHeight="1" x14ac:dyDescent="0.35">
      <c r="T42803" s="246">
        <f t="shared" si="706"/>
        <v>0</v>
      </c>
    </row>
    <row r="42804" spans="20:20" ht="18.75" customHeight="1" x14ac:dyDescent="0.35">
      <c r="T42804" s="246">
        <f t="shared" si="706"/>
        <v>0</v>
      </c>
    </row>
    <row r="42805" spans="20:20" ht="18.75" customHeight="1" x14ac:dyDescent="0.35">
      <c r="T42805" s="246">
        <f t="shared" si="706"/>
        <v>0</v>
      </c>
    </row>
    <row r="42806" spans="20:20" ht="18.75" customHeight="1" x14ac:dyDescent="0.35">
      <c r="T42806" s="246">
        <f t="shared" si="706"/>
        <v>0</v>
      </c>
    </row>
    <row r="42807" spans="20:20" ht="18.75" customHeight="1" x14ac:dyDescent="0.35">
      <c r="T42807" s="246">
        <f t="shared" si="706"/>
        <v>0</v>
      </c>
    </row>
    <row r="42808" spans="20:20" ht="18.75" customHeight="1" x14ac:dyDescent="0.35">
      <c r="T42808" s="246">
        <f t="shared" si="706"/>
        <v>0</v>
      </c>
    </row>
    <row r="42809" spans="20:20" ht="18.75" customHeight="1" x14ac:dyDescent="0.35">
      <c r="T42809" s="246">
        <f t="shared" si="706"/>
        <v>0</v>
      </c>
    </row>
    <row r="42810" spans="20:20" ht="18.75" customHeight="1" x14ac:dyDescent="0.35">
      <c r="T42810" s="246">
        <f t="shared" si="706"/>
        <v>0</v>
      </c>
    </row>
    <row r="42811" spans="20:20" ht="18.75" customHeight="1" x14ac:dyDescent="0.35">
      <c r="T42811" s="246">
        <f t="shared" si="706"/>
        <v>0</v>
      </c>
    </row>
    <row r="42812" spans="20:20" ht="18.75" customHeight="1" x14ac:dyDescent="0.35">
      <c r="T42812" s="246">
        <f t="shared" ref="T42812:T42875" si="707">R42812*0.01</f>
        <v>0</v>
      </c>
    </row>
    <row r="42813" spans="20:20" ht="18.75" customHeight="1" x14ac:dyDescent="0.35">
      <c r="T42813" s="246">
        <f t="shared" si="707"/>
        <v>0</v>
      </c>
    </row>
    <row r="42814" spans="20:20" ht="18.75" customHeight="1" x14ac:dyDescent="0.35">
      <c r="T42814" s="246">
        <f t="shared" si="707"/>
        <v>0</v>
      </c>
    </row>
    <row r="42815" spans="20:20" ht="18.75" customHeight="1" x14ac:dyDescent="0.35">
      <c r="T42815" s="246">
        <f t="shared" si="707"/>
        <v>0</v>
      </c>
    </row>
    <row r="42816" spans="20:20" ht="18.75" customHeight="1" x14ac:dyDescent="0.35">
      <c r="T42816" s="246">
        <f t="shared" si="707"/>
        <v>0</v>
      </c>
    </row>
    <row r="42817" spans="20:20" ht="18.75" customHeight="1" x14ac:dyDescent="0.35">
      <c r="T42817" s="246">
        <f t="shared" si="707"/>
        <v>0</v>
      </c>
    </row>
    <row r="42818" spans="20:20" ht="18.75" customHeight="1" x14ac:dyDescent="0.35">
      <c r="T42818" s="246">
        <f t="shared" si="707"/>
        <v>0</v>
      </c>
    </row>
    <row r="42819" spans="20:20" ht="18.75" customHeight="1" x14ac:dyDescent="0.35">
      <c r="T42819" s="246">
        <f t="shared" si="707"/>
        <v>0</v>
      </c>
    </row>
    <row r="42820" spans="20:20" ht="18.75" customHeight="1" x14ac:dyDescent="0.35">
      <c r="T42820" s="246">
        <f t="shared" si="707"/>
        <v>0</v>
      </c>
    </row>
    <row r="42821" spans="20:20" ht="18.75" customHeight="1" x14ac:dyDescent="0.35">
      <c r="T42821" s="246">
        <f t="shared" si="707"/>
        <v>0</v>
      </c>
    </row>
    <row r="42822" spans="20:20" ht="18.75" customHeight="1" x14ac:dyDescent="0.35">
      <c r="T42822" s="246">
        <f t="shared" si="707"/>
        <v>0</v>
      </c>
    </row>
    <row r="42823" spans="20:20" ht="18.75" customHeight="1" x14ac:dyDescent="0.35">
      <c r="T42823" s="246">
        <f t="shared" si="707"/>
        <v>0</v>
      </c>
    </row>
    <row r="42824" spans="20:20" ht="18.75" customHeight="1" x14ac:dyDescent="0.35">
      <c r="T42824" s="246">
        <f t="shared" si="707"/>
        <v>0</v>
      </c>
    </row>
    <row r="42825" spans="20:20" ht="18.75" customHeight="1" x14ac:dyDescent="0.35">
      <c r="T42825" s="246">
        <f t="shared" si="707"/>
        <v>0</v>
      </c>
    </row>
    <row r="42826" spans="20:20" ht="18.75" customHeight="1" x14ac:dyDescent="0.35">
      <c r="T42826" s="246">
        <f t="shared" si="707"/>
        <v>0</v>
      </c>
    </row>
    <row r="42827" spans="20:20" ht="18.75" customHeight="1" x14ac:dyDescent="0.35">
      <c r="T42827" s="246">
        <f t="shared" si="707"/>
        <v>0</v>
      </c>
    </row>
    <row r="42828" spans="20:20" ht="18.75" customHeight="1" x14ac:dyDescent="0.35">
      <c r="T42828" s="246">
        <f t="shared" si="707"/>
        <v>0</v>
      </c>
    </row>
    <row r="42829" spans="20:20" ht="18.75" customHeight="1" x14ac:dyDescent="0.35">
      <c r="T42829" s="246">
        <f t="shared" si="707"/>
        <v>0</v>
      </c>
    </row>
    <row r="42830" spans="20:20" ht="18.75" customHeight="1" x14ac:dyDescent="0.35">
      <c r="T42830" s="246">
        <f t="shared" si="707"/>
        <v>0</v>
      </c>
    </row>
    <row r="42831" spans="20:20" ht="18.75" customHeight="1" x14ac:dyDescent="0.35">
      <c r="T42831" s="246">
        <f t="shared" si="707"/>
        <v>0</v>
      </c>
    </row>
    <row r="42832" spans="20:20" ht="18.75" customHeight="1" x14ac:dyDescent="0.35">
      <c r="T42832" s="246">
        <f t="shared" si="707"/>
        <v>0</v>
      </c>
    </row>
    <row r="42833" spans="20:20" ht="18.75" customHeight="1" x14ac:dyDescent="0.35">
      <c r="T42833" s="246">
        <f t="shared" si="707"/>
        <v>0</v>
      </c>
    </row>
    <row r="42834" spans="20:20" ht="18.75" customHeight="1" x14ac:dyDescent="0.35">
      <c r="T42834" s="246">
        <f t="shared" si="707"/>
        <v>0</v>
      </c>
    </row>
    <row r="42835" spans="20:20" ht="18.75" customHeight="1" x14ac:dyDescent="0.35">
      <c r="T42835" s="246">
        <f t="shared" si="707"/>
        <v>0</v>
      </c>
    </row>
    <row r="42836" spans="20:20" ht="18.75" customHeight="1" x14ac:dyDescent="0.35">
      <c r="T42836" s="246">
        <f t="shared" si="707"/>
        <v>0</v>
      </c>
    </row>
    <row r="42837" spans="20:20" ht="18.75" customHeight="1" x14ac:dyDescent="0.35">
      <c r="T42837" s="246">
        <f t="shared" si="707"/>
        <v>0</v>
      </c>
    </row>
    <row r="42838" spans="20:20" ht="18.75" customHeight="1" x14ac:dyDescent="0.35">
      <c r="T42838" s="246">
        <f t="shared" si="707"/>
        <v>0</v>
      </c>
    </row>
    <row r="42839" spans="20:20" ht="18.75" customHeight="1" x14ac:dyDescent="0.35">
      <c r="T42839" s="246">
        <f t="shared" si="707"/>
        <v>0</v>
      </c>
    </row>
    <row r="42840" spans="20:20" ht="18.75" customHeight="1" x14ac:dyDescent="0.35">
      <c r="T42840" s="246">
        <f t="shared" si="707"/>
        <v>0</v>
      </c>
    </row>
    <row r="42841" spans="20:20" ht="18.75" customHeight="1" x14ac:dyDescent="0.35">
      <c r="T42841" s="246">
        <f t="shared" si="707"/>
        <v>0</v>
      </c>
    </row>
    <row r="42842" spans="20:20" ht="18.75" customHeight="1" x14ac:dyDescent="0.35">
      <c r="T42842" s="246">
        <f t="shared" si="707"/>
        <v>0</v>
      </c>
    </row>
    <row r="42843" spans="20:20" ht="18.75" customHeight="1" x14ac:dyDescent="0.35">
      <c r="T42843" s="246">
        <f t="shared" si="707"/>
        <v>0</v>
      </c>
    </row>
    <row r="42844" spans="20:20" ht="18.75" customHeight="1" x14ac:dyDescent="0.35">
      <c r="T42844" s="246">
        <f t="shared" si="707"/>
        <v>0</v>
      </c>
    </row>
    <row r="42845" spans="20:20" ht="18.75" customHeight="1" x14ac:dyDescent="0.35">
      <c r="T42845" s="246">
        <f t="shared" si="707"/>
        <v>0</v>
      </c>
    </row>
    <row r="42846" spans="20:20" ht="18.75" customHeight="1" x14ac:dyDescent="0.35">
      <c r="T42846" s="246">
        <f t="shared" si="707"/>
        <v>0</v>
      </c>
    </row>
    <row r="42847" spans="20:20" ht="18.75" customHeight="1" x14ac:dyDescent="0.35">
      <c r="T42847" s="246">
        <f t="shared" si="707"/>
        <v>0</v>
      </c>
    </row>
    <row r="42848" spans="20:20" ht="18.75" customHeight="1" x14ac:dyDescent="0.35">
      <c r="T42848" s="246">
        <f t="shared" si="707"/>
        <v>0</v>
      </c>
    </row>
    <row r="42849" spans="20:20" ht="18.75" customHeight="1" x14ac:dyDescent="0.35">
      <c r="T42849" s="246">
        <f t="shared" si="707"/>
        <v>0</v>
      </c>
    </row>
    <row r="42850" spans="20:20" ht="18.75" customHeight="1" x14ac:dyDescent="0.35">
      <c r="T42850" s="246">
        <f t="shared" si="707"/>
        <v>0</v>
      </c>
    </row>
    <row r="42851" spans="20:20" ht="18.75" customHeight="1" x14ac:dyDescent="0.35">
      <c r="T42851" s="246">
        <f t="shared" si="707"/>
        <v>0</v>
      </c>
    </row>
    <row r="42852" spans="20:20" ht="18.75" customHeight="1" x14ac:dyDescent="0.35">
      <c r="T42852" s="246">
        <f t="shared" si="707"/>
        <v>0</v>
      </c>
    </row>
    <row r="42853" spans="20:20" ht="18.75" customHeight="1" x14ac:dyDescent="0.35">
      <c r="T42853" s="246">
        <f t="shared" si="707"/>
        <v>0</v>
      </c>
    </row>
    <row r="42854" spans="20:20" ht="18.75" customHeight="1" x14ac:dyDescent="0.35">
      <c r="T42854" s="246">
        <f t="shared" si="707"/>
        <v>0</v>
      </c>
    </row>
    <row r="42855" spans="20:20" ht="18.75" customHeight="1" x14ac:dyDescent="0.35">
      <c r="T42855" s="246">
        <f t="shared" si="707"/>
        <v>0</v>
      </c>
    </row>
    <row r="42856" spans="20:20" ht="18.75" customHeight="1" x14ac:dyDescent="0.35">
      <c r="T42856" s="246">
        <f t="shared" si="707"/>
        <v>0</v>
      </c>
    </row>
    <row r="42857" spans="20:20" ht="18.75" customHeight="1" x14ac:dyDescent="0.35">
      <c r="T42857" s="246">
        <f t="shared" si="707"/>
        <v>0</v>
      </c>
    </row>
    <row r="42858" spans="20:20" ht="18.75" customHeight="1" x14ac:dyDescent="0.35">
      <c r="T42858" s="246">
        <f t="shared" si="707"/>
        <v>0</v>
      </c>
    </row>
    <row r="42859" spans="20:20" ht="18.75" customHeight="1" x14ac:dyDescent="0.35">
      <c r="T42859" s="246">
        <f t="shared" si="707"/>
        <v>0</v>
      </c>
    </row>
    <row r="42860" spans="20:20" ht="18.75" customHeight="1" x14ac:dyDescent="0.35">
      <c r="T42860" s="246">
        <f t="shared" si="707"/>
        <v>0</v>
      </c>
    </row>
    <row r="42861" spans="20:20" ht="18.75" customHeight="1" x14ac:dyDescent="0.35">
      <c r="T42861" s="246">
        <f t="shared" si="707"/>
        <v>0</v>
      </c>
    </row>
    <row r="42862" spans="20:20" ht="18.75" customHeight="1" x14ac:dyDescent="0.35">
      <c r="T42862" s="246">
        <f t="shared" si="707"/>
        <v>0</v>
      </c>
    </row>
    <row r="42863" spans="20:20" ht="18.75" customHeight="1" x14ac:dyDescent="0.35">
      <c r="T42863" s="246">
        <f t="shared" si="707"/>
        <v>0</v>
      </c>
    </row>
    <row r="42864" spans="20:20" ht="18.75" customHeight="1" x14ac:dyDescent="0.35">
      <c r="T42864" s="246">
        <f t="shared" si="707"/>
        <v>0</v>
      </c>
    </row>
    <row r="42865" spans="20:20" ht="18.75" customHeight="1" x14ac:dyDescent="0.35">
      <c r="T42865" s="246">
        <f t="shared" si="707"/>
        <v>0</v>
      </c>
    </row>
    <row r="42866" spans="20:20" ht="18.75" customHeight="1" x14ac:dyDescent="0.35">
      <c r="T42866" s="246">
        <f t="shared" si="707"/>
        <v>0</v>
      </c>
    </row>
    <row r="42867" spans="20:20" ht="18.75" customHeight="1" x14ac:dyDescent="0.35">
      <c r="T42867" s="246">
        <f t="shared" si="707"/>
        <v>0</v>
      </c>
    </row>
    <row r="42868" spans="20:20" ht="18.75" customHeight="1" x14ac:dyDescent="0.35">
      <c r="T42868" s="246">
        <f t="shared" si="707"/>
        <v>0</v>
      </c>
    </row>
    <row r="42869" spans="20:20" ht="18.75" customHeight="1" x14ac:dyDescent="0.35">
      <c r="T42869" s="246">
        <f t="shared" si="707"/>
        <v>0</v>
      </c>
    </row>
    <row r="42870" spans="20:20" ht="18.75" customHeight="1" x14ac:dyDescent="0.35">
      <c r="T42870" s="246">
        <f t="shared" si="707"/>
        <v>0</v>
      </c>
    </row>
    <row r="42871" spans="20:20" ht="18.75" customHeight="1" x14ac:dyDescent="0.35">
      <c r="T42871" s="246">
        <f t="shared" si="707"/>
        <v>0</v>
      </c>
    </row>
    <row r="42872" spans="20:20" ht="18.75" customHeight="1" x14ac:dyDescent="0.35">
      <c r="T42872" s="246">
        <f t="shared" si="707"/>
        <v>0</v>
      </c>
    </row>
    <row r="42873" spans="20:20" ht="18.75" customHeight="1" x14ac:dyDescent="0.35">
      <c r="T42873" s="246">
        <f t="shared" si="707"/>
        <v>0</v>
      </c>
    </row>
    <row r="42874" spans="20:20" ht="18.75" customHeight="1" x14ac:dyDescent="0.35">
      <c r="T42874" s="246">
        <f t="shared" si="707"/>
        <v>0</v>
      </c>
    </row>
    <row r="42875" spans="20:20" ht="18.75" customHeight="1" x14ac:dyDescent="0.35">
      <c r="T42875" s="246">
        <f t="shared" si="707"/>
        <v>0</v>
      </c>
    </row>
    <row r="42876" spans="20:20" ht="18.75" customHeight="1" x14ac:dyDescent="0.35">
      <c r="T42876" s="246">
        <f t="shared" ref="T42876:T42939" si="708">R42876*0.01</f>
        <v>0</v>
      </c>
    </row>
    <row r="42877" spans="20:20" ht="18.75" customHeight="1" x14ac:dyDescent="0.35">
      <c r="T42877" s="246">
        <f t="shared" si="708"/>
        <v>0</v>
      </c>
    </row>
    <row r="42878" spans="20:20" ht="18.75" customHeight="1" x14ac:dyDescent="0.35">
      <c r="T42878" s="246">
        <f t="shared" si="708"/>
        <v>0</v>
      </c>
    </row>
    <row r="42879" spans="20:20" ht="18.75" customHeight="1" x14ac:dyDescent="0.35">
      <c r="T42879" s="246">
        <f t="shared" si="708"/>
        <v>0</v>
      </c>
    </row>
    <row r="42880" spans="20:20" ht="18.75" customHeight="1" x14ac:dyDescent="0.35">
      <c r="T42880" s="246">
        <f t="shared" si="708"/>
        <v>0</v>
      </c>
    </row>
    <row r="42881" spans="20:20" ht="18.75" customHeight="1" x14ac:dyDescent="0.35">
      <c r="T42881" s="246">
        <f t="shared" si="708"/>
        <v>0</v>
      </c>
    </row>
    <row r="42882" spans="20:20" ht="18.75" customHeight="1" x14ac:dyDescent="0.35">
      <c r="T42882" s="246">
        <f t="shared" si="708"/>
        <v>0</v>
      </c>
    </row>
    <row r="42883" spans="20:20" ht="18.75" customHeight="1" x14ac:dyDescent="0.35">
      <c r="T42883" s="246">
        <f t="shared" si="708"/>
        <v>0</v>
      </c>
    </row>
    <row r="42884" spans="20:20" ht="18.75" customHeight="1" x14ac:dyDescent="0.35">
      <c r="T42884" s="246">
        <f t="shared" si="708"/>
        <v>0</v>
      </c>
    </row>
    <row r="42885" spans="20:20" ht="18.75" customHeight="1" x14ac:dyDescent="0.35">
      <c r="T42885" s="246">
        <f t="shared" si="708"/>
        <v>0</v>
      </c>
    </row>
    <row r="42886" spans="20:20" ht="18.75" customHeight="1" x14ac:dyDescent="0.35">
      <c r="T42886" s="246">
        <f t="shared" si="708"/>
        <v>0</v>
      </c>
    </row>
    <row r="42887" spans="20:20" ht="18.75" customHeight="1" x14ac:dyDescent="0.35">
      <c r="T42887" s="246">
        <f t="shared" si="708"/>
        <v>0</v>
      </c>
    </row>
    <row r="42888" spans="20:20" ht="18.75" customHeight="1" x14ac:dyDescent="0.35">
      <c r="T42888" s="246">
        <f t="shared" si="708"/>
        <v>0</v>
      </c>
    </row>
    <row r="42889" spans="20:20" ht="18.75" customHeight="1" x14ac:dyDescent="0.35">
      <c r="T42889" s="246">
        <f t="shared" si="708"/>
        <v>0</v>
      </c>
    </row>
    <row r="42890" spans="20:20" ht="18.75" customHeight="1" x14ac:dyDescent="0.35">
      <c r="T42890" s="246">
        <f t="shared" si="708"/>
        <v>0</v>
      </c>
    </row>
    <row r="42891" spans="20:20" ht="18.75" customHeight="1" x14ac:dyDescent="0.35">
      <c r="T42891" s="246">
        <f t="shared" si="708"/>
        <v>0</v>
      </c>
    </row>
    <row r="42892" spans="20:20" ht="18.75" customHeight="1" x14ac:dyDescent="0.35">
      <c r="T42892" s="246">
        <f t="shared" si="708"/>
        <v>0</v>
      </c>
    </row>
    <row r="42893" spans="20:20" ht="18.75" customHeight="1" x14ac:dyDescent="0.35">
      <c r="T42893" s="246">
        <f t="shared" si="708"/>
        <v>0</v>
      </c>
    </row>
    <row r="42894" spans="20:20" ht="18.75" customHeight="1" x14ac:dyDescent="0.35">
      <c r="T42894" s="246">
        <f t="shared" si="708"/>
        <v>0</v>
      </c>
    </row>
    <row r="42895" spans="20:20" ht="18.75" customHeight="1" x14ac:dyDescent="0.35">
      <c r="T42895" s="246">
        <f t="shared" si="708"/>
        <v>0</v>
      </c>
    </row>
    <row r="42896" spans="20:20" ht="18.75" customHeight="1" x14ac:dyDescent="0.35">
      <c r="T42896" s="246">
        <f t="shared" si="708"/>
        <v>0</v>
      </c>
    </row>
    <row r="42897" spans="20:20" ht="18.75" customHeight="1" x14ac:dyDescent="0.35">
      <c r="T42897" s="246">
        <f t="shared" si="708"/>
        <v>0</v>
      </c>
    </row>
    <row r="42898" spans="20:20" ht="18.75" customHeight="1" x14ac:dyDescent="0.35">
      <c r="T42898" s="246">
        <f t="shared" si="708"/>
        <v>0</v>
      </c>
    </row>
    <row r="42899" spans="20:20" ht="18.75" customHeight="1" x14ac:dyDescent="0.35">
      <c r="T42899" s="246">
        <f t="shared" si="708"/>
        <v>0</v>
      </c>
    </row>
    <row r="42900" spans="20:20" ht="18.75" customHeight="1" x14ac:dyDescent="0.35">
      <c r="T42900" s="246">
        <f t="shared" si="708"/>
        <v>0</v>
      </c>
    </row>
    <row r="42901" spans="20:20" ht="18.75" customHeight="1" x14ac:dyDescent="0.35">
      <c r="T42901" s="246">
        <f t="shared" si="708"/>
        <v>0</v>
      </c>
    </row>
    <row r="42902" spans="20:20" ht="18.75" customHeight="1" x14ac:dyDescent="0.35">
      <c r="T42902" s="246">
        <f t="shared" si="708"/>
        <v>0</v>
      </c>
    </row>
    <row r="42903" spans="20:20" ht="18.75" customHeight="1" x14ac:dyDescent="0.35">
      <c r="T42903" s="246">
        <f t="shared" si="708"/>
        <v>0</v>
      </c>
    </row>
    <row r="42904" spans="20:20" ht="18.75" customHeight="1" x14ac:dyDescent="0.35">
      <c r="T42904" s="246">
        <f t="shared" si="708"/>
        <v>0</v>
      </c>
    </row>
    <row r="42905" spans="20:20" ht="18.75" customHeight="1" x14ac:dyDescent="0.35">
      <c r="T42905" s="246">
        <f t="shared" si="708"/>
        <v>0</v>
      </c>
    </row>
    <row r="42906" spans="20:20" ht="18.75" customHeight="1" x14ac:dyDescent="0.35">
      <c r="T42906" s="246">
        <f t="shared" si="708"/>
        <v>0</v>
      </c>
    </row>
    <row r="42907" spans="20:20" ht="18.75" customHeight="1" x14ac:dyDescent="0.35">
      <c r="T42907" s="246">
        <f t="shared" si="708"/>
        <v>0</v>
      </c>
    </row>
    <row r="42908" spans="20:20" ht="18.75" customHeight="1" x14ac:dyDescent="0.35">
      <c r="T42908" s="246">
        <f t="shared" si="708"/>
        <v>0</v>
      </c>
    </row>
    <row r="42909" spans="20:20" ht="18.75" customHeight="1" x14ac:dyDescent="0.35">
      <c r="T42909" s="246">
        <f t="shared" si="708"/>
        <v>0</v>
      </c>
    </row>
    <row r="42910" spans="20:20" ht="18.75" customHeight="1" x14ac:dyDescent="0.35">
      <c r="T42910" s="246">
        <f t="shared" si="708"/>
        <v>0</v>
      </c>
    </row>
    <row r="42911" spans="20:20" ht="18.75" customHeight="1" x14ac:dyDescent="0.35">
      <c r="T42911" s="246">
        <f t="shared" si="708"/>
        <v>0</v>
      </c>
    </row>
    <row r="42912" spans="20:20" ht="18.75" customHeight="1" x14ac:dyDescent="0.35">
      <c r="T42912" s="246">
        <f t="shared" si="708"/>
        <v>0</v>
      </c>
    </row>
    <row r="42913" spans="20:20" ht="18.75" customHeight="1" x14ac:dyDescent="0.35">
      <c r="T42913" s="246">
        <f t="shared" si="708"/>
        <v>0</v>
      </c>
    </row>
    <row r="42914" spans="20:20" ht="18.75" customHeight="1" x14ac:dyDescent="0.35">
      <c r="T42914" s="246">
        <f t="shared" si="708"/>
        <v>0</v>
      </c>
    </row>
    <row r="42915" spans="20:20" ht="18.75" customHeight="1" x14ac:dyDescent="0.35">
      <c r="T42915" s="246">
        <f t="shared" si="708"/>
        <v>0</v>
      </c>
    </row>
    <row r="42916" spans="20:20" ht="18.75" customHeight="1" x14ac:dyDescent="0.35">
      <c r="T42916" s="246">
        <f t="shared" si="708"/>
        <v>0</v>
      </c>
    </row>
    <row r="42917" spans="20:20" ht="18.75" customHeight="1" x14ac:dyDescent="0.35">
      <c r="T42917" s="246">
        <f t="shared" si="708"/>
        <v>0</v>
      </c>
    </row>
    <row r="42918" spans="20:20" ht="18.75" customHeight="1" x14ac:dyDescent="0.35">
      <c r="T42918" s="246">
        <f t="shared" si="708"/>
        <v>0</v>
      </c>
    </row>
    <row r="42919" spans="20:20" ht="18.75" customHeight="1" x14ac:dyDescent="0.35">
      <c r="T42919" s="246">
        <f t="shared" si="708"/>
        <v>0</v>
      </c>
    </row>
    <row r="42920" spans="20:20" ht="18.75" customHeight="1" x14ac:dyDescent="0.35">
      <c r="T42920" s="246">
        <f t="shared" si="708"/>
        <v>0</v>
      </c>
    </row>
    <row r="42921" spans="20:20" ht="18.75" customHeight="1" x14ac:dyDescent="0.35">
      <c r="T42921" s="246">
        <f t="shared" si="708"/>
        <v>0</v>
      </c>
    </row>
    <row r="42922" spans="20:20" ht="18.75" customHeight="1" x14ac:dyDescent="0.35">
      <c r="T42922" s="246">
        <f t="shared" si="708"/>
        <v>0</v>
      </c>
    </row>
    <row r="42923" spans="20:20" ht="18.75" customHeight="1" x14ac:dyDescent="0.35">
      <c r="T42923" s="246">
        <f t="shared" si="708"/>
        <v>0</v>
      </c>
    </row>
    <row r="42924" spans="20:20" ht="18.75" customHeight="1" x14ac:dyDescent="0.35">
      <c r="T42924" s="246">
        <f t="shared" si="708"/>
        <v>0</v>
      </c>
    </row>
    <row r="42925" spans="20:20" ht="18.75" customHeight="1" x14ac:dyDescent="0.35">
      <c r="T42925" s="246">
        <f t="shared" si="708"/>
        <v>0</v>
      </c>
    </row>
    <row r="42926" spans="20:20" ht="18.75" customHeight="1" x14ac:dyDescent="0.35">
      <c r="T42926" s="246">
        <f t="shared" si="708"/>
        <v>0</v>
      </c>
    </row>
    <row r="42927" spans="20:20" ht="18.75" customHeight="1" x14ac:dyDescent="0.35">
      <c r="T42927" s="246">
        <f t="shared" si="708"/>
        <v>0</v>
      </c>
    </row>
    <row r="42928" spans="20:20" ht="18.75" customHeight="1" x14ac:dyDescent="0.35">
      <c r="T42928" s="246">
        <f t="shared" si="708"/>
        <v>0</v>
      </c>
    </row>
    <row r="42929" spans="20:20" ht="18.75" customHeight="1" x14ac:dyDescent="0.35">
      <c r="T42929" s="246">
        <f t="shared" si="708"/>
        <v>0</v>
      </c>
    </row>
    <row r="42930" spans="20:20" ht="18.75" customHeight="1" x14ac:dyDescent="0.35">
      <c r="T42930" s="246">
        <f t="shared" si="708"/>
        <v>0</v>
      </c>
    </row>
    <row r="42931" spans="20:20" ht="18.75" customHeight="1" x14ac:dyDescent="0.35">
      <c r="T42931" s="246">
        <f t="shared" si="708"/>
        <v>0</v>
      </c>
    </row>
    <row r="42932" spans="20:20" ht="18.75" customHeight="1" x14ac:dyDescent="0.35">
      <c r="T42932" s="246">
        <f t="shared" si="708"/>
        <v>0</v>
      </c>
    </row>
    <row r="42933" spans="20:20" ht="18.75" customHeight="1" x14ac:dyDescent="0.35">
      <c r="T42933" s="246">
        <f t="shared" si="708"/>
        <v>0</v>
      </c>
    </row>
    <row r="42934" spans="20:20" ht="18.75" customHeight="1" x14ac:dyDescent="0.35">
      <c r="T42934" s="246">
        <f t="shared" si="708"/>
        <v>0</v>
      </c>
    </row>
    <row r="42935" spans="20:20" ht="18.75" customHeight="1" x14ac:dyDescent="0.35">
      <c r="T42935" s="246">
        <f t="shared" si="708"/>
        <v>0</v>
      </c>
    </row>
    <row r="42936" spans="20:20" ht="18.75" customHeight="1" x14ac:dyDescent="0.35">
      <c r="T42936" s="246">
        <f t="shared" si="708"/>
        <v>0</v>
      </c>
    </row>
    <row r="42937" spans="20:20" ht="18.75" customHeight="1" x14ac:dyDescent="0.35">
      <c r="T42937" s="246">
        <f t="shared" si="708"/>
        <v>0</v>
      </c>
    </row>
    <row r="42938" spans="20:20" ht="18.75" customHeight="1" x14ac:dyDescent="0.35">
      <c r="T42938" s="246">
        <f t="shared" si="708"/>
        <v>0</v>
      </c>
    </row>
    <row r="42939" spans="20:20" ht="18.75" customHeight="1" x14ac:dyDescent="0.35">
      <c r="T42939" s="246">
        <f t="shared" si="708"/>
        <v>0</v>
      </c>
    </row>
    <row r="42940" spans="20:20" ht="18.75" customHeight="1" x14ac:dyDescent="0.35">
      <c r="T42940" s="246">
        <f t="shared" ref="T42940:T43003" si="709">R42940*0.01</f>
        <v>0</v>
      </c>
    </row>
    <row r="42941" spans="20:20" ht="18.75" customHeight="1" x14ac:dyDescent="0.35">
      <c r="T42941" s="246">
        <f t="shared" si="709"/>
        <v>0</v>
      </c>
    </row>
    <row r="42942" spans="20:20" ht="18.75" customHeight="1" x14ac:dyDescent="0.35">
      <c r="T42942" s="246">
        <f t="shared" si="709"/>
        <v>0</v>
      </c>
    </row>
    <row r="42943" spans="20:20" ht="18.75" customHeight="1" x14ac:dyDescent="0.35">
      <c r="T42943" s="246">
        <f t="shared" si="709"/>
        <v>0</v>
      </c>
    </row>
    <row r="42944" spans="20:20" ht="18.75" customHeight="1" x14ac:dyDescent="0.35">
      <c r="T42944" s="246">
        <f t="shared" si="709"/>
        <v>0</v>
      </c>
    </row>
    <row r="42945" spans="20:20" ht="18.75" customHeight="1" x14ac:dyDescent="0.35">
      <c r="T42945" s="246">
        <f t="shared" si="709"/>
        <v>0</v>
      </c>
    </row>
    <row r="42946" spans="20:20" ht="18.75" customHeight="1" x14ac:dyDescent="0.35">
      <c r="T42946" s="246">
        <f t="shared" si="709"/>
        <v>0</v>
      </c>
    </row>
    <row r="42947" spans="20:20" ht="18.75" customHeight="1" x14ac:dyDescent="0.35">
      <c r="T42947" s="246">
        <f t="shared" si="709"/>
        <v>0</v>
      </c>
    </row>
    <row r="42948" spans="20:20" ht="18.75" customHeight="1" x14ac:dyDescent="0.35">
      <c r="T42948" s="246">
        <f t="shared" si="709"/>
        <v>0</v>
      </c>
    </row>
    <row r="42949" spans="20:20" ht="18.75" customHeight="1" x14ac:dyDescent="0.35">
      <c r="T42949" s="246">
        <f t="shared" si="709"/>
        <v>0</v>
      </c>
    </row>
    <row r="42950" spans="20:20" ht="18.75" customHeight="1" x14ac:dyDescent="0.35">
      <c r="T42950" s="246">
        <f t="shared" si="709"/>
        <v>0</v>
      </c>
    </row>
    <row r="42951" spans="20:20" ht="18.75" customHeight="1" x14ac:dyDescent="0.35">
      <c r="T42951" s="246">
        <f t="shared" si="709"/>
        <v>0</v>
      </c>
    </row>
    <row r="42952" spans="20:20" ht="18.75" customHeight="1" x14ac:dyDescent="0.35">
      <c r="T42952" s="246">
        <f t="shared" si="709"/>
        <v>0</v>
      </c>
    </row>
    <row r="42953" spans="20:20" ht="18.75" customHeight="1" x14ac:dyDescent="0.35">
      <c r="T42953" s="246">
        <f t="shared" si="709"/>
        <v>0</v>
      </c>
    </row>
    <row r="42954" spans="20:20" ht="18.75" customHeight="1" x14ac:dyDescent="0.35">
      <c r="T42954" s="246">
        <f t="shared" si="709"/>
        <v>0</v>
      </c>
    </row>
    <row r="42955" spans="20:20" ht="18.75" customHeight="1" x14ac:dyDescent="0.35">
      <c r="T42955" s="246">
        <f t="shared" si="709"/>
        <v>0</v>
      </c>
    </row>
    <row r="42956" spans="20:20" ht="18.75" customHeight="1" x14ac:dyDescent="0.35">
      <c r="T42956" s="246">
        <f t="shared" si="709"/>
        <v>0</v>
      </c>
    </row>
    <row r="42957" spans="20:20" ht="18.75" customHeight="1" x14ac:dyDescent="0.35">
      <c r="T42957" s="246">
        <f t="shared" si="709"/>
        <v>0</v>
      </c>
    </row>
    <row r="42958" spans="20:20" ht="18.75" customHeight="1" x14ac:dyDescent="0.35">
      <c r="T42958" s="246">
        <f t="shared" si="709"/>
        <v>0</v>
      </c>
    </row>
    <row r="42959" spans="20:20" ht="18.75" customHeight="1" x14ac:dyDescent="0.35">
      <c r="T42959" s="246">
        <f t="shared" si="709"/>
        <v>0</v>
      </c>
    </row>
    <row r="42960" spans="20:20" ht="18.75" customHeight="1" x14ac:dyDescent="0.35">
      <c r="T42960" s="246">
        <f t="shared" si="709"/>
        <v>0</v>
      </c>
    </row>
    <row r="42961" spans="20:20" ht="18.75" customHeight="1" x14ac:dyDescent="0.35">
      <c r="T42961" s="246">
        <f t="shared" si="709"/>
        <v>0</v>
      </c>
    </row>
    <row r="42962" spans="20:20" ht="18.75" customHeight="1" x14ac:dyDescent="0.35">
      <c r="T42962" s="246">
        <f t="shared" si="709"/>
        <v>0</v>
      </c>
    </row>
    <row r="42963" spans="20:20" ht="18.75" customHeight="1" x14ac:dyDescent="0.35">
      <c r="T42963" s="246">
        <f t="shared" si="709"/>
        <v>0</v>
      </c>
    </row>
    <row r="42964" spans="20:20" ht="18.75" customHeight="1" x14ac:dyDescent="0.35">
      <c r="T42964" s="246">
        <f t="shared" si="709"/>
        <v>0</v>
      </c>
    </row>
    <row r="42965" spans="20:20" ht="18.75" customHeight="1" x14ac:dyDescent="0.35">
      <c r="T42965" s="246">
        <f t="shared" si="709"/>
        <v>0</v>
      </c>
    </row>
    <row r="42966" spans="20:20" ht="18.75" customHeight="1" x14ac:dyDescent="0.35">
      <c r="T42966" s="246">
        <f t="shared" si="709"/>
        <v>0</v>
      </c>
    </row>
    <row r="42967" spans="20:20" ht="18.75" customHeight="1" x14ac:dyDescent="0.35">
      <c r="T42967" s="246">
        <f t="shared" si="709"/>
        <v>0</v>
      </c>
    </row>
    <row r="42968" spans="20:20" ht="18.75" customHeight="1" x14ac:dyDescent="0.35">
      <c r="T42968" s="246">
        <f t="shared" si="709"/>
        <v>0</v>
      </c>
    </row>
    <row r="42969" spans="20:20" ht="18.75" customHeight="1" x14ac:dyDescent="0.35">
      <c r="T42969" s="246">
        <f t="shared" si="709"/>
        <v>0</v>
      </c>
    </row>
    <row r="42970" spans="20:20" ht="18.75" customHeight="1" x14ac:dyDescent="0.35">
      <c r="T42970" s="246">
        <f t="shared" si="709"/>
        <v>0</v>
      </c>
    </row>
    <row r="42971" spans="20:20" ht="18.75" customHeight="1" x14ac:dyDescent="0.35">
      <c r="T42971" s="246">
        <f t="shared" si="709"/>
        <v>0</v>
      </c>
    </row>
    <row r="42972" spans="20:20" ht="18.75" customHeight="1" x14ac:dyDescent="0.35">
      <c r="T42972" s="246">
        <f t="shared" si="709"/>
        <v>0</v>
      </c>
    </row>
    <row r="42973" spans="20:20" ht="18.75" customHeight="1" x14ac:dyDescent="0.35">
      <c r="T42973" s="246">
        <f t="shared" si="709"/>
        <v>0</v>
      </c>
    </row>
    <row r="42974" spans="20:20" ht="18.75" customHeight="1" x14ac:dyDescent="0.35">
      <c r="T42974" s="246">
        <f t="shared" si="709"/>
        <v>0</v>
      </c>
    </row>
    <row r="42975" spans="20:20" ht="18.75" customHeight="1" x14ac:dyDescent="0.35">
      <c r="T42975" s="246">
        <f t="shared" si="709"/>
        <v>0</v>
      </c>
    </row>
    <row r="42976" spans="20:20" ht="18.75" customHeight="1" x14ac:dyDescent="0.35">
      <c r="T42976" s="246">
        <f t="shared" si="709"/>
        <v>0</v>
      </c>
    </row>
    <row r="42977" spans="20:20" ht="18.75" customHeight="1" x14ac:dyDescent="0.35">
      <c r="T42977" s="246">
        <f t="shared" si="709"/>
        <v>0</v>
      </c>
    </row>
    <row r="42978" spans="20:20" ht="18.75" customHeight="1" x14ac:dyDescent="0.35">
      <c r="T42978" s="246">
        <f t="shared" si="709"/>
        <v>0</v>
      </c>
    </row>
    <row r="42979" spans="20:20" ht="18.75" customHeight="1" x14ac:dyDescent="0.35">
      <c r="T42979" s="246">
        <f t="shared" si="709"/>
        <v>0</v>
      </c>
    </row>
    <row r="42980" spans="20:20" ht="18.75" customHeight="1" x14ac:dyDescent="0.35">
      <c r="T42980" s="246">
        <f t="shared" si="709"/>
        <v>0</v>
      </c>
    </row>
    <row r="42981" spans="20:20" ht="18.75" customHeight="1" x14ac:dyDescent="0.35">
      <c r="T42981" s="246">
        <f t="shared" si="709"/>
        <v>0</v>
      </c>
    </row>
    <row r="42982" spans="20:20" ht="18.75" customHeight="1" x14ac:dyDescent="0.35">
      <c r="T42982" s="246">
        <f t="shared" si="709"/>
        <v>0</v>
      </c>
    </row>
    <row r="42983" spans="20:20" ht="18.75" customHeight="1" x14ac:dyDescent="0.35">
      <c r="T42983" s="246">
        <f t="shared" si="709"/>
        <v>0</v>
      </c>
    </row>
    <row r="42984" spans="20:20" ht="18.75" customHeight="1" x14ac:dyDescent="0.35">
      <c r="T42984" s="246">
        <f t="shared" si="709"/>
        <v>0</v>
      </c>
    </row>
    <row r="42985" spans="20:20" ht="18.75" customHeight="1" x14ac:dyDescent="0.35">
      <c r="T42985" s="246">
        <f t="shared" si="709"/>
        <v>0</v>
      </c>
    </row>
    <row r="42986" spans="20:20" ht="18.75" customHeight="1" x14ac:dyDescent="0.35">
      <c r="T42986" s="246">
        <f t="shared" si="709"/>
        <v>0</v>
      </c>
    </row>
    <row r="42987" spans="20:20" ht="18.75" customHeight="1" x14ac:dyDescent="0.35">
      <c r="T42987" s="246">
        <f t="shared" si="709"/>
        <v>0</v>
      </c>
    </row>
    <row r="42988" spans="20:20" ht="18.75" customHeight="1" x14ac:dyDescent="0.35">
      <c r="T42988" s="246">
        <f t="shared" si="709"/>
        <v>0</v>
      </c>
    </row>
    <row r="42989" spans="20:20" ht="18.75" customHeight="1" x14ac:dyDescent="0.35">
      <c r="T42989" s="246">
        <f t="shared" si="709"/>
        <v>0</v>
      </c>
    </row>
    <row r="42990" spans="20:20" ht="18.75" customHeight="1" x14ac:dyDescent="0.35">
      <c r="T42990" s="246">
        <f t="shared" si="709"/>
        <v>0</v>
      </c>
    </row>
    <row r="42991" spans="20:20" ht="18.75" customHeight="1" x14ac:dyDescent="0.35">
      <c r="T42991" s="246">
        <f t="shared" si="709"/>
        <v>0</v>
      </c>
    </row>
    <row r="42992" spans="20:20" ht="18.75" customHeight="1" x14ac:dyDescent="0.35">
      <c r="T42992" s="246">
        <f t="shared" si="709"/>
        <v>0</v>
      </c>
    </row>
    <row r="42993" spans="20:20" ht="18.75" customHeight="1" x14ac:dyDescent="0.35">
      <c r="T42993" s="246">
        <f t="shared" si="709"/>
        <v>0</v>
      </c>
    </row>
    <row r="42994" spans="20:20" ht="18.75" customHeight="1" x14ac:dyDescent="0.35">
      <c r="T42994" s="246">
        <f t="shared" si="709"/>
        <v>0</v>
      </c>
    </row>
    <row r="42995" spans="20:20" ht="18.75" customHeight="1" x14ac:dyDescent="0.35">
      <c r="T42995" s="246">
        <f t="shared" si="709"/>
        <v>0</v>
      </c>
    </row>
    <row r="42996" spans="20:20" ht="18.75" customHeight="1" x14ac:dyDescent="0.35">
      <c r="T42996" s="246">
        <f t="shared" si="709"/>
        <v>0</v>
      </c>
    </row>
    <row r="42997" spans="20:20" ht="18.75" customHeight="1" x14ac:dyDescent="0.35">
      <c r="T42997" s="246">
        <f t="shared" si="709"/>
        <v>0</v>
      </c>
    </row>
    <row r="42998" spans="20:20" ht="18.75" customHeight="1" x14ac:dyDescent="0.35">
      <c r="T42998" s="246">
        <f t="shared" si="709"/>
        <v>0</v>
      </c>
    </row>
    <row r="42999" spans="20:20" ht="18.75" customHeight="1" x14ac:dyDescent="0.35">
      <c r="T42999" s="246">
        <f t="shared" si="709"/>
        <v>0</v>
      </c>
    </row>
    <row r="43000" spans="20:20" ht="18.75" customHeight="1" x14ac:dyDescent="0.35">
      <c r="T43000" s="246">
        <f t="shared" si="709"/>
        <v>0</v>
      </c>
    </row>
    <row r="43001" spans="20:20" ht="18.75" customHeight="1" x14ac:dyDescent="0.35">
      <c r="T43001" s="246">
        <f t="shared" si="709"/>
        <v>0</v>
      </c>
    </row>
    <row r="43002" spans="20:20" ht="18.75" customHeight="1" x14ac:dyDescent="0.35">
      <c r="T43002" s="246">
        <f t="shared" si="709"/>
        <v>0</v>
      </c>
    </row>
    <row r="43003" spans="20:20" ht="18.75" customHeight="1" x14ac:dyDescent="0.35">
      <c r="T43003" s="246">
        <f t="shared" si="709"/>
        <v>0</v>
      </c>
    </row>
    <row r="43004" spans="20:20" ht="18.75" customHeight="1" x14ac:dyDescent="0.35">
      <c r="T43004" s="246">
        <f t="shared" ref="T43004:T43067" si="710">R43004*0.01</f>
        <v>0</v>
      </c>
    </row>
    <row r="43005" spans="20:20" ht="18.75" customHeight="1" x14ac:dyDescent="0.35">
      <c r="T43005" s="246">
        <f t="shared" si="710"/>
        <v>0</v>
      </c>
    </row>
    <row r="43006" spans="20:20" ht="18.75" customHeight="1" x14ac:dyDescent="0.35">
      <c r="T43006" s="246">
        <f t="shared" si="710"/>
        <v>0</v>
      </c>
    </row>
    <row r="43007" spans="20:20" ht="18.75" customHeight="1" x14ac:dyDescent="0.35">
      <c r="T43007" s="246">
        <f t="shared" si="710"/>
        <v>0</v>
      </c>
    </row>
    <row r="43008" spans="20:20" ht="18.75" customHeight="1" x14ac:dyDescent="0.35">
      <c r="T43008" s="246">
        <f t="shared" si="710"/>
        <v>0</v>
      </c>
    </row>
    <row r="43009" spans="20:20" ht="18.75" customHeight="1" x14ac:dyDescent="0.35">
      <c r="T43009" s="246">
        <f t="shared" si="710"/>
        <v>0</v>
      </c>
    </row>
    <row r="43010" spans="20:20" ht="18.75" customHeight="1" x14ac:dyDescent="0.35">
      <c r="T43010" s="246">
        <f t="shared" si="710"/>
        <v>0</v>
      </c>
    </row>
    <row r="43011" spans="20:20" ht="18.75" customHeight="1" x14ac:dyDescent="0.35">
      <c r="T43011" s="246">
        <f t="shared" si="710"/>
        <v>0</v>
      </c>
    </row>
    <row r="43012" spans="20:20" ht="18.75" customHeight="1" x14ac:dyDescent="0.35">
      <c r="T43012" s="246">
        <f t="shared" si="710"/>
        <v>0</v>
      </c>
    </row>
    <row r="43013" spans="20:20" ht="18.75" customHeight="1" x14ac:dyDescent="0.35">
      <c r="T43013" s="246">
        <f t="shared" si="710"/>
        <v>0</v>
      </c>
    </row>
    <row r="43014" spans="20:20" ht="18.75" customHeight="1" x14ac:dyDescent="0.35">
      <c r="T43014" s="246">
        <f t="shared" si="710"/>
        <v>0</v>
      </c>
    </row>
    <row r="43015" spans="20:20" ht="18.75" customHeight="1" x14ac:dyDescent="0.35">
      <c r="T43015" s="246">
        <f t="shared" si="710"/>
        <v>0</v>
      </c>
    </row>
    <row r="43016" spans="20:20" ht="18.75" customHeight="1" x14ac:dyDescent="0.35">
      <c r="T43016" s="246">
        <f t="shared" si="710"/>
        <v>0</v>
      </c>
    </row>
    <row r="43017" spans="20:20" ht="18.75" customHeight="1" x14ac:dyDescent="0.35">
      <c r="T43017" s="246">
        <f t="shared" si="710"/>
        <v>0</v>
      </c>
    </row>
    <row r="43018" spans="20:20" ht="18.75" customHeight="1" x14ac:dyDescent="0.35">
      <c r="T43018" s="246">
        <f t="shared" si="710"/>
        <v>0</v>
      </c>
    </row>
    <row r="43019" spans="20:20" ht="18.75" customHeight="1" x14ac:dyDescent="0.35">
      <c r="T43019" s="246">
        <f t="shared" si="710"/>
        <v>0</v>
      </c>
    </row>
    <row r="43020" spans="20:20" ht="18.75" customHeight="1" x14ac:dyDescent="0.35">
      <c r="T43020" s="246">
        <f t="shared" si="710"/>
        <v>0</v>
      </c>
    </row>
    <row r="43021" spans="20:20" ht="18.75" customHeight="1" x14ac:dyDescent="0.35">
      <c r="T43021" s="246">
        <f t="shared" si="710"/>
        <v>0</v>
      </c>
    </row>
    <row r="43022" spans="20:20" ht="18.75" customHeight="1" x14ac:dyDescent="0.35">
      <c r="T43022" s="246">
        <f t="shared" si="710"/>
        <v>0</v>
      </c>
    </row>
    <row r="43023" spans="20:20" ht="18.75" customHeight="1" x14ac:dyDescent="0.35">
      <c r="T43023" s="246">
        <f t="shared" si="710"/>
        <v>0</v>
      </c>
    </row>
    <row r="43024" spans="20:20" ht="18.75" customHeight="1" x14ac:dyDescent="0.35">
      <c r="T43024" s="246">
        <f t="shared" si="710"/>
        <v>0</v>
      </c>
    </row>
    <row r="43025" spans="20:20" ht="18.75" customHeight="1" x14ac:dyDescent="0.35">
      <c r="T43025" s="246">
        <f t="shared" si="710"/>
        <v>0</v>
      </c>
    </row>
    <row r="43026" spans="20:20" ht="18.75" customHeight="1" x14ac:dyDescent="0.35">
      <c r="T43026" s="246">
        <f t="shared" si="710"/>
        <v>0</v>
      </c>
    </row>
    <row r="43027" spans="20:20" ht="18.75" customHeight="1" x14ac:dyDescent="0.35">
      <c r="T43027" s="246">
        <f t="shared" si="710"/>
        <v>0</v>
      </c>
    </row>
    <row r="43028" spans="20:20" ht="18.75" customHeight="1" x14ac:dyDescent="0.35">
      <c r="T43028" s="246">
        <f t="shared" si="710"/>
        <v>0</v>
      </c>
    </row>
    <row r="43029" spans="20:20" ht="18.75" customHeight="1" x14ac:dyDescent="0.35">
      <c r="T43029" s="246">
        <f t="shared" si="710"/>
        <v>0</v>
      </c>
    </row>
    <row r="43030" spans="20:20" ht="18.75" customHeight="1" x14ac:dyDescent="0.35">
      <c r="T43030" s="246">
        <f t="shared" si="710"/>
        <v>0</v>
      </c>
    </row>
    <row r="43031" spans="20:20" ht="18.75" customHeight="1" x14ac:dyDescent="0.35">
      <c r="T43031" s="246">
        <f t="shared" si="710"/>
        <v>0</v>
      </c>
    </row>
    <row r="43032" spans="20:20" ht="18.75" customHeight="1" x14ac:dyDescent="0.35">
      <c r="T43032" s="246">
        <f t="shared" si="710"/>
        <v>0</v>
      </c>
    </row>
    <row r="43033" spans="20:20" ht="18.75" customHeight="1" x14ac:dyDescent="0.35">
      <c r="T43033" s="246">
        <f t="shared" si="710"/>
        <v>0</v>
      </c>
    </row>
    <row r="43034" spans="20:20" ht="18.75" customHeight="1" x14ac:dyDescent="0.35">
      <c r="T43034" s="246">
        <f t="shared" si="710"/>
        <v>0</v>
      </c>
    </row>
    <row r="43035" spans="20:20" ht="18.75" customHeight="1" x14ac:dyDescent="0.35">
      <c r="T43035" s="246">
        <f t="shared" si="710"/>
        <v>0</v>
      </c>
    </row>
    <row r="43036" spans="20:20" ht="18.75" customHeight="1" x14ac:dyDescent="0.35">
      <c r="T43036" s="246">
        <f t="shared" si="710"/>
        <v>0</v>
      </c>
    </row>
    <row r="43037" spans="20:20" ht="18.75" customHeight="1" x14ac:dyDescent="0.35">
      <c r="T43037" s="246">
        <f t="shared" si="710"/>
        <v>0</v>
      </c>
    </row>
    <row r="43038" spans="20:20" ht="18.75" customHeight="1" x14ac:dyDescent="0.35">
      <c r="T43038" s="246">
        <f t="shared" si="710"/>
        <v>0</v>
      </c>
    </row>
    <row r="43039" spans="20:20" ht="18.75" customHeight="1" x14ac:dyDescent="0.35">
      <c r="T43039" s="246">
        <f t="shared" si="710"/>
        <v>0</v>
      </c>
    </row>
    <row r="43040" spans="20:20" ht="18.75" customHeight="1" x14ac:dyDescent="0.35">
      <c r="T43040" s="246">
        <f t="shared" si="710"/>
        <v>0</v>
      </c>
    </row>
    <row r="43041" spans="20:20" ht="18.75" customHeight="1" x14ac:dyDescent="0.35">
      <c r="T43041" s="246">
        <f t="shared" si="710"/>
        <v>0</v>
      </c>
    </row>
    <row r="43042" spans="20:20" ht="18.75" customHeight="1" x14ac:dyDescent="0.35">
      <c r="T43042" s="246">
        <f t="shared" si="710"/>
        <v>0</v>
      </c>
    </row>
    <row r="43043" spans="20:20" ht="18.75" customHeight="1" x14ac:dyDescent="0.35">
      <c r="T43043" s="246">
        <f t="shared" si="710"/>
        <v>0</v>
      </c>
    </row>
    <row r="43044" spans="20:20" ht="18.75" customHeight="1" x14ac:dyDescent="0.35">
      <c r="T43044" s="246">
        <f t="shared" si="710"/>
        <v>0</v>
      </c>
    </row>
    <row r="43045" spans="20:20" ht="18.75" customHeight="1" x14ac:dyDescent="0.35">
      <c r="T43045" s="246">
        <f t="shared" si="710"/>
        <v>0</v>
      </c>
    </row>
    <row r="43046" spans="20:20" ht="18.75" customHeight="1" x14ac:dyDescent="0.35">
      <c r="T43046" s="246">
        <f t="shared" si="710"/>
        <v>0</v>
      </c>
    </row>
    <row r="43047" spans="20:20" ht="18.75" customHeight="1" x14ac:dyDescent="0.35">
      <c r="T43047" s="246">
        <f t="shared" si="710"/>
        <v>0</v>
      </c>
    </row>
    <row r="43048" spans="20:20" ht="18.75" customHeight="1" x14ac:dyDescent="0.35">
      <c r="T43048" s="246">
        <f t="shared" si="710"/>
        <v>0</v>
      </c>
    </row>
    <row r="43049" spans="20:20" ht="18.75" customHeight="1" x14ac:dyDescent="0.35">
      <c r="T43049" s="246">
        <f t="shared" si="710"/>
        <v>0</v>
      </c>
    </row>
    <row r="43050" spans="20:20" ht="18.75" customHeight="1" x14ac:dyDescent="0.35">
      <c r="T43050" s="246">
        <f t="shared" si="710"/>
        <v>0</v>
      </c>
    </row>
    <row r="43051" spans="20:20" ht="18.75" customHeight="1" x14ac:dyDescent="0.35">
      <c r="T43051" s="246">
        <f t="shared" si="710"/>
        <v>0</v>
      </c>
    </row>
    <row r="43052" spans="20:20" ht="18.75" customHeight="1" x14ac:dyDescent="0.35">
      <c r="T43052" s="246">
        <f t="shared" si="710"/>
        <v>0</v>
      </c>
    </row>
    <row r="43053" spans="20:20" ht="18.75" customHeight="1" x14ac:dyDescent="0.35">
      <c r="T43053" s="246">
        <f t="shared" si="710"/>
        <v>0</v>
      </c>
    </row>
    <row r="43054" spans="20:20" ht="18.75" customHeight="1" x14ac:dyDescent="0.35">
      <c r="T43054" s="246">
        <f t="shared" si="710"/>
        <v>0</v>
      </c>
    </row>
    <row r="43055" spans="20:20" ht="18.75" customHeight="1" x14ac:dyDescent="0.35">
      <c r="T43055" s="246">
        <f t="shared" si="710"/>
        <v>0</v>
      </c>
    </row>
    <row r="43056" spans="20:20" ht="18.75" customHeight="1" x14ac:dyDescent="0.35">
      <c r="T43056" s="246">
        <f t="shared" si="710"/>
        <v>0</v>
      </c>
    </row>
    <row r="43057" spans="20:20" ht="18.75" customHeight="1" x14ac:dyDescent="0.35">
      <c r="T43057" s="246">
        <f t="shared" si="710"/>
        <v>0</v>
      </c>
    </row>
    <row r="43058" spans="20:20" ht="18.75" customHeight="1" x14ac:dyDescent="0.35">
      <c r="T43058" s="246">
        <f t="shared" si="710"/>
        <v>0</v>
      </c>
    </row>
    <row r="43059" spans="20:20" ht="18.75" customHeight="1" x14ac:dyDescent="0.35">
      <c r="T43059" s="246">
        <f t="shared" si="710"/>
        <v>0</v>
      </c>
    </row>
    <row r="43060" spans="20:20" ht="18.75" customHeight="1" x14ac:dyDescent="0.35">
      <c r="T43060" s="246">
        <f t="shared" si="710"/>
        <v>0</v>
      </c>
    </row>
    <row r="43061" spans="20:20" ht="18.75" customHeight="1" x14ac:dyDescent="0.35">
      <c r="T43061" s="246">
        <f t="shared" si="710"/>
        <v>0</v>
      </c>
    </row>
    <row r="43062" spans="20:20" ht="18.75" customHeight="1" x14ac:dyDescent="0.35">
      <c r="T43062" s="246">
        <f t="shared" si="710"/>
        <v>0</v>
      </c>
    </row>
    <row r="43063" spans="20:20" ht="18.75" customHeight="1" x14ac:dyDescent="0.35">
      <c r="T43063" s="246">
        <f t="shared" si="710"/>
        <v>0</v>
      </c>
    </row>
    <row r="43064" spans="20:20" ht="18.75" customHeight="1" x14ac:dyDescent="0.35">
      <c r="T43064" s="246">
        <f t="shared" si="710"/>
        <v>0</v>
      </c>
    </row>
    <row r="43065" spans="20:20" ht="18.75" customHeight="1" x14ac:dyDescent="0.35">
      <c r="T43065" s="246">
        <f t="shared" si="710"/>
        <v>0</v>
      </c>
    </row>
    <row r="43066" spans="20:20" ht="18.75" customHeight="1" x14ac:dyDescent="0.35">
      <c r="T43066" s="246">
        <f t="shared" si="710"/>
        <v>0</v>
      </c>
    </row>
    <row r="43067" spans="20:20" ht="18.75" customHeight="1" x14ac:dyDescent="0.35">
      <c r="T43067" s="246">
        <f t="shared" si="710"/>
        <v>0</v>
      </c>
    </row>
    <row r="43068" spans="20:20" ht="18.75" customHeight="1" x14ac:dyDescent="0.35">
      <c r="T43068" s="246">
        <f t="shared" ref="T43068:T43131" si="711">R43068*0.01</f>
        <v>0</v>
      </c>
    </row>
    <row r="43069" spans="20:20" ht="18.75" customHeight="1" x14ac:dyDescent="0.35">
      <c r="T43069" s="246">
        <f t="shared" si="711"/>
        <v>0</v>
      </c>
    </row>
    <row r="43070" spans="20:20" ht="18.75" customHeight="1" x14ac:dyDescent="0.35">
      <c r="T43070" s="246">
        <f t="shared" si="711"/>
        <v>0</v>
      </c>
    </row>
    <row r="43071" spans="20:20" ht="18.75" customHeight="1" x14ac:dyDescent="0.35">
      <c r="T43071" s="246">
        <f t="shared" si="711"/>
        <v>0</v>
      </c>
    </row>
    <row r="43072" spans="20:20" ht="18.75" customHeight="1" x14ac:dyDescent="0.35">
      <c r="T43072" s="246">
        <f t="shared" si="711"/>
        <v>0</v>
      </c>
    </row>
    <row r="43073" spans="20:20" ht="18.75" customHeight="1" x14ac:dyDescent="0.35">
      <c r="T43073" s="246">
        <f t="shared" si="711"/>
        <v>0</v>
      </c>
    </row>
    <row r="43074" spans="20:20" ht="18.75" customHeight="1" x14ac:dyDescent="0.35">
      <c r="T43074" s="246">
        <f t="shared" si="711"/>
        <v>0</v>
      </c>
    </row>
    <row r="43075" spans="20:20" ht="18.75" customHeight="1" x14ac:dyDescent="0.35">
      <c r="T43075" s="246">
        <f t="shared" si="711"/>
        <v>0</v>
      </c>
    </row>
    <row r="43076" spans="20:20" ht="18.75" customHeight="1" x14ac:dyDescent="0.35">
      <c r="T43076" s="246">
        <f t="shared" si="711"/>
        <v>0</v>
      </c>
    </row>
    <row r="43077" spans="20:20" ht="18.75" customHeight="1" x14ac:dyDescent="0.35">
      <c r="T43077" s="246">
        <f t="shared" si="711"/>
        <v>0</v>
      </c>
    </row>
    <row r="43078" spans="20:20" ht="18.75" customHeight="1" x14ac:dyDescent="0.35">
      <c r="T43078" s="246">
        <f t="shared" si="711"/>
        <v>0</v>
      </c>
    </row>
    <row r="43079" spans="20:20" ht="18.75" customHeight="1" x14ac:dyDescent="0.35">
      <c r="T43079" s="246">
        <f t="shared" si="711"/>
        <v>0</v>
      </c>
    </row>
    <row r="43080" spans="20:20" ht="18.75" customHeight="1" x14ac:dyDescent="0.35">
      <c r="T43080" s="246">
        <f t="shared" si="711"/>
        <v>0</v>
      </c>
    </row>
    <row r="43081" spans="20:20" ht="18.75" customHeight="1" x14ac:dyDescent="0.35">
      <c r="T43081" s="246">
        <f t="shared" si="711"/>
        <v>0</v>
      </c>
    </row>
    <row r="43082" spans="20:20" ht="18.75" customHeight="1" x14ac:dyDescent="0.35">
      <c r="T43082" s="246">
        <f t="shared" si="711"/>
        <v>0</v>
      </c>
    </row>
    <row r="43083" spans="20:20" ht="18.75" customHeight="1" x14ac:dyDescent="0.35">
      <c r="T43083" s="246">
        <f t="shared" si="711"/>
        <v>0</v>
      </c>
    </row>
    <row r="43084" spans="20:20" ht="18.75" customHeight="1" x14ac:dyDescent="0.35">
      <c r="T43084" s="246">
        <f t="shared" si="711"/>
        <v>0</v>
      </c>
    </row>
    <row r="43085" spans="20:20" ht="18.75" customHeight="1" x14ac:dyDescent="0.35">
      <c r="T43085" s="246">
        <f t="shared" si="711"/>
        <v>0</v>
      </c>
    </row>
    <row r="43086" spans="20:20" ht="18.75" customHeight="1" x14ac:dyDescent="0.35">
      <c r="T43086" s="246">
        <f t="shared" si="711"/>
        <v>0</v>
      </c>
    </row>
    <row r="43087" spans="20:20" ht="18.75" customHeight="1" x14ac:dyDescent="0.35">
      <c r="T43087" s="246">
        <f t="shared" si="711"/>
        <v>0</v>
      </c>
    </row>
    <row r="43088" spans="20:20" ht="18.75" customHeight="1" x14ac:dyDescent="0.35">
      <c r="T43088" s="246">
        <f t="shared" si="711"/>
        <v>0</v>
      </c>
    </row>
    <row r="43089" spans="20:20" ht="18.75" customHeight="1" x14ac:dyDescent="0.35">
      <c r="T43089" s="246">
        <f t="shared" si="711"/>
        <v>0</v>
      </c>
    </row>
    <row r="43090" spans="20:20" ht="18.75" customHeight="1" x14ac:dyDescent="0.35">
      <c r="T43090" s="246">
        <f t="shared" si="711"/>
        <v>0</v>
      </c>
    </row>
    <row r="43091" spans="20:20" ht="18.75" customHeight="1" x14ac:dyDescent="0.35">
      <c r="T43091" s="246">
        <f t="shared" si="711"/>
        <v>0</v>
      </c>
    </row>
    <row r="43092" spans="20:20" ht="18.75" customHeight="1" x14ac:dyDescent="0.35">
      <c r="T43092" s="246">
        <f t="shared" si="711"/>
        <v>0</v>
      </c>
    </row>
    <row r="43093" spans="20:20" ht="18.75" customHeight="1" x14ac:dyDescent="0.35">
      <c r="T43093" s="246">
        <f t="shared" si="711"/>
        <v>0</v>
      </c>
    </row>
    <row r="43094" spans="20:20" ht="18.75" customHeight="1" x14ac:dyDescent="0.35">
      <c r="T43094" s="246">
        <f t="shared" si="711"/>
        <v>0</v>
      </c>
    </row>
    <row r="43095" spans="20:20" ht="18.75" customHeight="1" x14ac:dyDescent="0.35">
      <c r="T43095" s="246">
        <f t="shared" si="711"/>
        <v>0</v>
      </c>
    </row>
    <row r="43096" spans="20:20" ht="18.75" customHeight="1" x14ac:dyDescent="0.35">
      <c r="T43096" s="246">
        <f t="shared" si="711"/>
        <v>0</v>
      </c>
    </row>
    <row r="43097" spans="20:20" ht="18.75" customHeight="1" x14ac:dyDescent="0.35">
      <c r="T43097" s="246">
        <f t="shared" si="711"/>
        <v>0</v>
      </c>
    </row>
    <row r="43098" spans="20:20" ht="18.75" customHeight="1" x14ac:dyDescent="0.35">
      <c r="T43098" s="246">
        <f t="shared" si="711"/>
        <v>0</v>
      </c>
    </row>
    <row r="43099" spans="20:20" ht="18.75" customHeight="1" x14ac:dyDescent="0.35">
      <c r="T43099" s="246">
        <f t="shared" si="711"/>
        <v>0</v>
      </c>
    </row>
    <row r="43100" spans="20:20" ht="18.75" customHeight="1" x14ac:dyDescent="0.35">
      <c r="T43100" s="246">
        <f t="shared" si="711"/>
        <v>0</v>
      </c>
    </row>
    <row r="43101" spans="20:20" ht="18.75" customHeight="1" x14ac:dyDescent="0.35">
      <c r="T43101" s="246">
        <f t="shared" si="711"/>
        <v>0</v>
      </c>
    </row>
    <row r="43102" spans="20:20" ht="18.75" customHeight="1" x14ac:dyDescent="0.35">
      <c r="T43102" s="246">
        <f t="shared" si="711"/>
        <v>0</v>
      </c>
    </row>
    <row r="43103" spans="20:20" ht="18.75" customHeight="1" x14ac:dyDescent="0.35">
      <c r="T43103" s="246">
        <f t="shared" si="711"/>
        <v>0</v>
      </c>
    </row>
    <row r="43104" spans="20:20" ht="18.75" customHeight="1" x14ac:dyDescent="0.35">
      <c r="T43104" s="246">
        <f t="shared" si="711"/>
        <v>0</v>
      </c>
    </row>
    <row r="43105" spans="20:20" ht="18.75" customHeight="1" x14ac:dyDescent="0.35">
      <c r="T43105" s="246">
        <f t="shared" si="711"/>
        <v>0</v>
      </c>
    </row>
    <row r="43106" spans="20:20" ht="18.75" customHeight="1" x14ac:dyDescent="0.35">
      <c r="T43106" s="246">
        <f t="shared" si="711"/>
        <v>0</v>
      </c>
    </row>
    <row r="43107" spans="20:20" ht="18.75" customHeight="1" x14ac:dyDescent="0.35">
      <c r="T43107" s="246">
        <f t="shared" si="711"/>
        <v>0</v>
      </c>
    </row>
    <row r="43108" spans="20:20" ht="18.75" customHeight="1" x14ac:dyDescent="0.35">
      <c r="T43108" s="246">
        <f t="shared" si="711"/>
        <v>0</v>
      </c>
    </row>
    <row r="43109" spans="20:20" ht="18.75" customHeight="1" x14ac:dyDescent="0.35">
      <c r="T43109" s="246">
        <f t="shared" si="711"/>
        <v>0</v>
      </c>
    </row>
    <row r="43110" spans="20:20" ht="18.75" customHeight="1" x14ac:dyDescent="0.35">
      <c r="T43110" s="246">
        <f t="shared" si="711"/>
        <v>0</v>
      </c>
    </row>
    <row r="43111" spans="20:20" ht="18.75" customHeight="1" x14ac:dyDescent="0.35">
      <c r="T43111" s="246">
        <f t="shared" si="711"/>
        <v>0</v>
      </c>
    </row>
    <row r="43112" spans="20:20" ht="18.75" customHeight="1" x14ac:dyDescent="0.35">
      <c r="T43112" s="246">
        <f t="shared" si="711"/>
        <v>0</v>
      </c>
    </row>
    <row r="43113" spans="20:20" ht="18.75" customHeight="1" x14ac:dyDescent="0.35">
      <c r="T43113" s="246">
        <f t="shared" si="711"/>
        <v>0</v>
      </c>
    </row>
    <row r="43114" spans="20:20" ht="18.75" customHeight="1" x14ac:dyDescent="0.35">
      <c r="T43114" s="246">
        <f t="shared" si="711"/>
        <v>0</v>
      </c>
    </row>
    <row r="43115" spans="20:20" ht="18.75" customHeight="1" x14ac:dyDescent="0.35">
      <c r="T43115" s="246">
        <f t="shared" si="711"/>
        <v>0</v>
      </c>
    </row>
    <row r="43116" spans="20:20" ht="18.75" customHeight="1" x14ac:dyDescent="0.35">
      <c r="T43116" s="246">
        <f t="shared" si="711"/>
        <v>0</v>
      </c>
    </row>
    <row r="43117" spans="20:20" ht="18.75" customHeight="1" x14ac:dyDescent="0.35">
      <c r="T43117" s="246">
        <f t="shared" si="711"/>
        <v>0</v>
      </c>
    </row>
    <row r="43118" spans="20:20" ht="18.75" customHeight="1" x14ac:dyDescent="0.35">
      <c r="T43118" s="246">
        <f t="shared" si="711"/>
        <v>0</v>
      </c>
    </row>
    <row r="43119" spans="20:20" ht="18.75" customHeight="1" x14ac:dyDescent="0.35">
      <c r="T43119" s="246">
        <f t="shared" si="711"/>
        <v>0</v>
      </c>
    </row>
    <row r="43120" spans="20:20" ht="18.75" customHeight="1" x14ac:dyDescent="0.35">
      <c r="T43120" s="246">
        <f t="shared" si="711"/>
        <v>0</v>
      </c>
    </row>
    <row r="43121" spans="20:20" ht="18.75" customHeight="1" x14ac:dyDescent="0.35">
      <c r="T43121" s="246">
        <f t="shared" si="711"/>
        <v>0</v>
      </c>
    </row>
    <row r="43122" spans="20:20" ht="18.75" customHeight="1" x14ac:dyDescent="0.35">
      <c r="T43122" s="246">
        <f t="shared" si="711"/>
        <v>0</v>
      </c>
    </row>
    <row r="43123" spans="20:20" ht="18.75" customHeight="1" x14ac:dyDescent="0.35">
      <c r="T43123" s="246">
        <f t="shared" si="711"/>
        <v>0</v>
      </c>
    </row>
    <row r="43124" spans="20:20" ht="18.75" customHeight="1" x14ac:dyDescent="0.35">
      <c r="T43124" s="246">
        <f t="shared" si="711"/>
        <v>0</v>
      </c>
    </row>
    <row r="43125" spans="20:20" ht="18.75" customHeight="1" x14ac:dyDescent="0.35">
      <c r="T43125" s="246">
        <f t="shared" si="711"/>
        <v>0</v>
      </c>
    </row>
    <row r="43126" spans="20:20" ht="18.75" customHeight="1" x14ac:dyDescent="0.35">
      <c r="T43126" s="246">
        <f t="shared" si="711"/>
        <v>0</v>
      </c>
    </row>
    <row r="43127" spans="20:20" ht="18.75" customHeight="1" x14ac:dyDescent="0.35">
      <c r="T43127" s="246">
        <f t="shared" si="711"/>
        <v>0</v>
      </c>
    </row>
    <row r="43128" spans="20:20" ht="18.75" customHeight="1" x14ac:dyDescent="0.35">
      <c r="T43128" s="246">
        <f t="shared" si="711"/>
        <v>0</v>
      </c>
    </row>
    <row r="43129" spans="20:20" ht="18.75" customHeight="1" x14ac:dyDescent="0.35">
      <c r="T43129" s="246">
        <f t="shared" si="711"/>
        <v>0</v>
      </c>
    </row>
    <row r="43130" spans="20:20" ht="18.75" customHeight="1" x14ac:dyDescent="0.35">
      <c r="T43130" s="246">
        <f t="shared" si="711"/>
        <v>0</v>
      </c>
    </row>
    <row r="43131" spans="20:20" ht="18.75" customHeight="1" x14ac:dyDescent="0.35">
      <c r="T43131" s="246">
        <f t="shared" si="711"/>
        <v>0</v>
      </c>
    </row>
    <row r="43132" spans="20:20" ht="18.75" customHeight="1" x14ac:dyDescent="0.35">
      <c r="T43132" s="246">
        <f t="shared" ref="T43132:T43195" si="712">R43132*0.01</f>
        <v>0</v>
      </c>
    </row>
    <row r="43133" spans="20:20" ht="18.75" customHeight="1" x14ac:dyDescent="0.35">
      <c r="T43133" s="246">
        <f t="shared" si="712"/>
        <v>0</v>
      </c>
    </row>
    <row r="43134" spans="20:20" ht="18.75" customHeight="1" x14ac:dyDescent="0.35">
      <c r="T43134" s="246">
        <f t="shared" si="712"/>
        <v>0</v>
      </c>
    </row>
    <row r="43135" spans="20:20" ht="18.75" customHeight="1" x14ac:dyDescent="0.35">
      <c r="T43135" s="246">
        <f t="shared" si="712"/>
        <v>0</v>
      </c>
    </row>
    <row r="43136" spans="20:20" ht="18.75" customHeight="1" x14ac:dyDescent="0.35">
      <c r="T43136" s="246">
        <f t="shared" si="712"/>
        <v>0</v>
      </c>
    </row>
    <row r="43137" spans="20:20" ht="18.75" customHeight="1" x14ac:dyDescent="0.35">
      <c r="T43137" s="246">
        <f t="shared" si="712"/>
        <v>0</v>
      </c>
    </row>
    <row r="43138" spans="20:20" ht="18.75" customHeight="1" x14ac:dyDescent="0.35">
      <c r="T43138" s="246">
        <f t="shared" si="712"/>
        <v>0</v>
      </c>
    </row>
    <row r="43139" spans="20:20" ht="18.75" customHeight="1" x14ac:dyDescent="0.35">
      <c r="T43139" s="246">
        <f t="shared" si="712"/>
        <v>0</v>
      </c>
    </row>
    <row r="43140" spans="20:20" ht="18.75" customHeight="1" x14ac:dyDescent="0.35">
      <c r="T43140" s="246">
        <f t="shared" si="712"/>
        <v>0</v>
      </c>
    </row>
    <row r="43141" spans="20:20" ht="18.75" customHeight="1" x14ac:dyDescent="0.35">
      <c r="T43141" s="246">
        <f t="shared" si="712"/>
        <v>0</v>
      </c>
    </row>
    <row r="43142" spans="20:20" ht="18.75" customHeight="1" x14ac:dyDescent="0.35">
      <c r="T43142" s="246">
        <f t="shared" si="712"/>
        <v>0</v>
      </c>
    </row>
    <row r="43143" spans="20:20" ht="18.75" customHeight="1" x14ac:dyDescent="0.35">
      <c r="T43143" s="246">
        <f t="shared" si="712"/>
        <v>0</v>
      </c>
    </row>
    <row r="43144" spans="20:20" ht="18.75" customHeight="1" x14ac:dyDescent="0.35">
      <c r="T43144" s="246">
        <f t="shared" si="712"/>
        <v>0</v>
      </c>
    </row>
    <row r="43145" spans="20:20" ht="18.75" customHeight="1" x14ac:dyDescent="0.35">
      <c r="T43145" s="246">
        <f t="shared" si="712"/>
        <v>0</v>
      </c>
    </row>
    <row r="43146" spans="20:20" ht="18.75" customHeight="1" x14ac:dyDescent="0.35">
      <c r="T43146" s="246">
        <f t="shared" si="712"/>
        <v>0</v>
      </c>
    </row>
    <row r="43147" spans="20:20" ht="18.75" customHeight="1" x14ac:dyDescent="0.35">
      <c r="T43147" s="246">
        <f t="shared" si="712"/>
        <v>0</v>
      </c>
    </row>
    <row r="43148" spans="20:20" ht="18.75" customHeight="1" x14ac:dyDescent="0.35">
      <c r="T43148" s="246">
        <f t="shared" si="712"/>
        <v>0</v>
      </c>
    </row>
    <row r="43149" spans="20:20" ht="18.75" customHeight="1" x14ac:dyDescent="0.35">
      <c r="T43149" s="246">
        <f t="shared" si="712"/>
        <v>0</v>
      </c>
    </row>
    <row r="43150" spans="20:20" ht="18.75" customHeight="1" x14ac:dyDescent="0.35">
      <c r="T43150" s="246">
        <f t="shared" si="712"/>
        <v>0</v>
      </c>
    </row>
    <row r="43151" spans="20:20" ht="18.75" customHeight="1" x14ac:dyDescent="0.35">
      <c r="T43151" s="246">
        <f t="shared" si="712"/>
        <v>0</v>
      </c>
    </row>
    <row r="43152" spans="20:20" ht="18.75" customHeight="1" x14ac:dyDescent="0.35">
      <c r="T43152" s="246">
        <f t="shared" si="712"/>
        <v>0</v>
      </c>
    </row>
    <row r="43153" spans="20:20" ht="18.75" customHeight="1" x14ac:dyDescent="0.35">
      <c r="T43153" s="246">
        <f t="shared" si="712"/>
        <v>0</v>
      </c>
    </row>
    <row r="43154" spans="20:20" ht="18.75" customHeight="1" x14ac:dyDescent="0.35">
      <c r="T43154" s="246">
        <f t="shared" si="712"/>
        <v>0</v>
      </c>
    </row>
    <row r="43155" spans="20:20" ht="18.75" customHeight="1" x14ac:dyDescent="0.35">
      <c r="T43155" s="246">
        <f t="shared" si="712"/>
        <v>0</v>
      </c>
    </row>
    <row r="43156" spans="20:20" ht="18.75" customHeight="1" x14ac:dyDescent="0.35">
      <c r="T43156" s="246">
        <f t="shared" si="712"/>
        <v>0</v>
      </c>
    </row>
    <row r="43157" spans="20:20" ht="18.75" customHeight="1" x14ac:dyDescent="0.35">
      <c r="T43157" s="246">
        <f t="shared" si="712"/>
        <v>0</v>
      </c>
    </row>
    <row r="43158" spans="20:20" ht="18.75" customHeight="1" x14ac:dyDescent="0.35">
      <c r="T43158" s="246">
        <f t="shared" si="712"/>
        <v>0</v>
      </c>
    </row>
    <row r="43159" spans="20:20" ht="18.75" customHeight="1" x14ac:dyDescent="0.35">
      <c r="T43159" s="246">
        <f t="shared" si="712"/>
        <v>0</v>
      </c>
    </row>
    <row r="43160" spans="20:20" ht="18.75" customHeight="1" x14ac:dyDescent="0.35">
      <c r="T43160" s="246">
        <f t="shared" si="712"/>
        <v>0</v>
      </c>
    </row>
    <row r="43161" spans="20:20" ht="18.75" customHeight="1" x14ac:dyDescent="0.35">
      <c r="T43161" s="246">
        <f t="shared" si="712"/>
        <v>0</v>
      </c>
    </row>
    <row r="43162" spans="20:20" ht="18.75" customHeight="1" x14ac:dyDescent="0.35">
      <c r="T43162" s="246">
        <f t="shared" si="712"/>
        <v>0</v>
      </c>
    </row>
    <row r="43163" spans="20:20" ht="18.75" customHeight="1" x14ac:dyDescent="0.35">
      <c r="T43163" s="246">
        <f t="shared" si="712"/>
        <v>0</v>
      </c>
    </row>
    <row r="43164" spans="20:20" ht="18.75" customHeight="1" x14ac:dyDescent="0.35">
      <c r="T43164" s="246">
        <f t="shared" si="712"/>
        <v>0</v>
      </c>
    </row>
    <row r="43165" spans="20:20" ht="18.75" customHeight="1" x14ac:dyDescent="0.35">
      <c r="T43165" s="246">
        <f t="shared" si="712"/>
        <v>0</v>
      </c>
    </row>
    <row r="43166" spans="20:20" ht="18.75" customHeight="1" x14ac:dyDescent="0.35">
      <c r="T43166" s="246">
        <f t="shared" si="712"/>
        <v>0</v>
      </c>
    </row>
    <row r="43167" spans="20:20" ht="18.75" customHeight="1" x14ac:dyDescent="0.35">
      <c r="T43167" s="246">
        <f t="shared" si="712"/>
        <v>0</v>
      </c>
    </row>
    <row r="43168" spans="20:20" ht="18.75" customHeight="1" x14ac:dyDescent="0.35">
      <c r="T43168" s="246">
        <f t="shared" si="712"/>
        <v>0</v>
      </c>
    </row>
    <row r="43169" spans="20:20" ht="18.75" customHeight="1" x14ac:dyDescent="0.35">
      <c r="T43169" s="246">
        <f t="shared" si="712"/>
        <v>0</v>
      </c>
    </row>
    <row r="43170" spans="20:20" ht="18.75" customHeight="1" x14ac:dyDescent="0.35">
      <c r="T43170" s="246">
        <f t="shared" si="712"/>
        <v>0</v>
      </c>
    </row>
    <row r="43171" spans="20:20" ht="18.75" customHeight="1" x14ac:dyDescent="0.35">
      <c r="T43171" s="246">
        <f t="shared" si="712"/>
        <v>0</v>
      </c>
    </row>
    <row r="43172" spans="20:20" ht="18.75" customHeight="1" x14ac:dyDescent="0.35">
      <c r="T43172" s="246">
        <f t="shared" si="712"/>
        <v>0</v>
      </c>
    </row>
    <row r="43173" spans="20:20" ht="18.75" customHeight="1" x14ac:dyDescent="0.35">
      <c r="T43173" s="246">
        <f t="shared" si="712"/>
        <v>0</v>
      </c>
    </row>
    <row r="43174" spans="20:20" ht="18.75" customHeight="1" x14ac:dyDescent="0.35">
      <c r="T43174" s="246">
        <f t="shared" si="712"/>
        <v>0</v>
      </c>
    </row>
    <row r="43175" spans="20:20" ht="18.75" customHeight="1" x14ac:dyDescent="0.35">
      <c r="T43175" s="246">
        <f t="shared" si="712"/>
        <v>0</v>
      </c>
    </row>
    <row r="43176" spans="20:20" ht="18.75" customHeight="1" x14ac:dyDescent="0.35">
      <c r="T43176" s="246">
        <f t="shared" si="712"/>
        <v>0</v>
      </c>
    </row>
    <row r="43177" spans="20:20" ht="18.75" customHeight="1" x14ac:dyDescent="0.35">
      <c r="T43177" s="246">
        <f t="shared" si="712"/>
        <v>0</v>
      </c>
    </row>
    <row r="43178" spans="20:20" ht="18.75" customHeight="1" x14ac:dyDescent="0.35">
      <c r="T43178" s="246">
        <f t="shared" si="712"/>
        <v>0</v>
      </c>
    </row>
    <row r="43179" spans="20:20" ht="18.75" customHeight="1" x14ac:dyDescent="0.35">
      <c r="T43179" s="246">
        <f t="shared" si="712"/>
        <v>0</v>
      </c>
    </row>
    <row r="43180" spans="20:20" ht="18.75" customHeight="1" x14ac:dyDescent="0.35">
      <c r="T43180" s="246">
        <f t="shared" si="712"/>
        <v>0</v>
      </c>
    </row>
    <row r="43181" spans="20:20" ht="18.75" customHeight="1" x14ac:dyDescent="0.35">
      <c r="T43181" s="246">
        <f t="shared" si="712"/>
        <v>0</v>
      </c>
    </row>
    <row r="43182" spans="20:20" ht="18.75" customHeight="1" x14ac:dyDescent="0.35">
      <c r="T43182" s="246">
        <f t="shared" si="712"/>
        <v>0</v>
      </c>
    </row>
    <row r="43183" spans="20:20" ht="18.75" customHeight="1" x14ac:dyDescent="0.35">
      <c r="T43183" s="246">
        <f t="shared" si="712"/>
        <v>0</v>
      </c>
    </row>
    <row r="43184" spans="20:20" ht="18.75" customHeight="1" x14ac:dyDescent="0.35">
      <c r="T43184" s="246">
        <f t="shared" si="712"/>
        <v>0</v>
      </c>
    </row>
    <row r="43185" spans="20:20" ht="18.75" customHeight="1" x14ac:dyDescent="0.35">
      <c r="T43185" s="246">
        <f t="shared" si="712"/>
        <v>0</v>
      </c>
    </row>
    <row r="43186" spans="20:20" ht="18.75" customHeight="1" x14ac:dyDescent="0.35">
      <c r="T43186" s="246">
        <f t="shared" si="712"/>
        <v>0</v>
      </c>
    </row>
    <row r="43187" spans="20:20" ht="18.75" customHeight="1" x14ac:dyDescent="0.35">
      <c r="T43187" s="246">
        <f t="shared" si="712"/>
        <v>0</v>
      </c>
    </row>
    <row r="43188" spans="20:20" ht="18.75" customHeight="1" x14ac:dyDescent="0.35">
      <c r="T43188" s="246">
        <f t="shared" si="712"/>
        <v>0</v>
      </c>
    </row>
    <row r="43189" spans="20:20" ht="18.75" customHeight="1" x14ac:dyDescent="0.35">
      <c r="T43189" s="246">
        <f t="shared" si="712"/>
        <v>0</v>
      </c>
    </row>
    <row r="43190" spans="20:20" ht="18.75" customHeight="1" x14ac:dyDescent="0.35">
      <c r="T43190" s="246">
        <f t="shared" si="712"/>
        <v>0</v>
      </c>
    </row>
    <row r="43191" spans="20:20" ht="18.75" customHeight="1" x14ac:dyDescent="0.35">
      <c r="T43191" s="246">
        <f t="shared" si="712"/>
        <v>0</v>
      </c>
    </row>
    <row r="43192" spans="20:20" ht="18.75" customHeight="1" x14ac:dyDescent="0.35">
      <c r="T43192" s="246">
        <f t="shared" si="712"/>
        <v>0</v>
      </c>
    </row>
    <row r="43193" spans="20:20" ht="18.75" customHeight="1" x14ac:dyDescent="0.35">
      <c r="T43193" s="246">
        <f t="shared" si="712"/>
        <v>0</v>
      </c>
    </row>
    <row r="43194" spans="20:20" ht="18.75" customHeight="1" x14ac:dyDescent="0.35">
      <c r="T43194" s="246">
        <f t="shared" si="712"/>
        <v>0</v>
      </c>
    </row>
    <row r="43195" spans="20:20" ht="18.75" customHeight="1" x14ac:dyDescent="0.35">
      <c r="T43195" s="246">
        <f t="shared" si="712"/>
        <v>0</v>
      </c>
    </row>
    <row r="43196" spans="20:20" ht="18.75" customHeight="1" x14ac:dyDescent="0.35">
      <c r="T43196" s="246">
        <f t="shared" ref="T43196:T43259" si="713">R43196*0.01</f>
        <v>0</v>
      </c>
    </row>
    <row r="43197" spans="20:20" ht="18.75" customHeight="1" x14ac:dyDescent="0.35">
      <c r="T43197" s="246">
        <f t="shared" si="713"/>
        <v>0</v>
      </c>
    </row>
    <row r="43198" spans="20:20" ht="18.75" customHeight="1" x14ac:dyDescent="0.35">
      <c r="T43198" s="246">
        <f t="shared" si="713"/>
        <v>0</v>
      </c>
    </row>
    <row r="43199" spans="20:20" ht="18.75" customHeight="1" x14ac:dyDescent="0.35">
      <c r="T43199" s="246">
        <f t="shared" si="713"/>
        <v>0</v>
      </c>
    </row>
    <row r="43200" spans="20:20" ht="18.75" customHeight="1" x14ac:dyDescent="0.35">
      <c r="T43200" s="246">
        <f t="shared" si="713"/>
        <v>0</v>
      </c>
    </row>
    <row r="43201" spans="20:20" ht="18.75" customHeight="1" x14ac:dyDescent="0.35">
      <c r="T43201" s="246">
        <f t="shared" si="713"/>
        <v>0</v>
      </c>
    </row>
    <row r="43202" spans="20:20" ht="18.75" customHeight="1" x14ac:dyDescent="0.35">
      <c r="T43202" s="246">
        <f t="shared" si="713"/>
        <v>0</v>
      </c>
    </row>
    <row r="43203" spans="20:20" ht="18.75" customHeight="1" x14ac:dyDescent="0.35">
      <c r="T43203" s="246">
        <f t="shared" si="713"/>
        <v>0</v>
      </c>
    </row>
    <row r="43204" spans="20:20" ht="18.75" customHeight="1" x14ac:dyDescent="0.35">
      <c r="T43204" s="246">
        <f t="shared" si="713"/>
        <v>0</v>
      </c>
    </row>
    <row r="43205" spans="20:20" ht="18.75" customHeight="1" x14ac:dyDescent="0.35">
      <c r="T43205" s="246">
        <f t="shared" si="713"/>
        <v>0</v>
      </c>
    </row>
    <row r="43206" spans="20:20" ht="18.75" customHeight="1" x14ac:dyDescent="0.35">
      <c r="T43206" s="246">
        <f t="shared" si="713"/>
        <v>0</v>
      </c>
    </row>
    <row r="43207" spans="20:20" ht="18.75" customHeight="1" x14ac:dyDescent="0.35">
      <c r="T43207" s="246">
        <f t="shared" si="713"/>
        <v>0</v>
      </c>
    </row>
    <row r="43208" spans="20:20" ht="18.75" customHeight="1" x14ac:dyDescent="0.35">
      <c r="T43208" s="246">
        <f t="shared" si="713"/>
        <v>0</v>
      </c>
    </row>
    <row r="43209" spans="20:20" ht="18.75" customHeight="1" x14ac:dyDescent="0.35">
      <c r="T43209" s="246">
        <f t="shared" si="713"/>
        <v>0</v>
      </c>
    </row>
    <row r="43210" spans="20:20" ht="18.75" customHeight="1" x14ac:dyDescent="0.35">
      <c r="T43210" s="246">
        <f t="shared" si="713"/>
        <v>0</v>
      </c>
    </row>
    <row r="43211" spans="20:20" ht="18.75" customHeight="1" x14ac:dyDescent="0.35">
      <c r="T43211" s="246">
        <f t="shared" si="713"/>
        <v>0</v>
      </c>
    </row>
    <row r="43212" spans="20:20" ht="18.75" customHeight="1" x14ac:dyDescent="0.35">
      <c r="T43212" s="246">
        <f t="shared" si="713"/>
        <v>0</v>
      </c>
    </row>
    <row r="43213" spans="20:20" ht="18.75" customHeight="1" x14ac:dyDescent="0.35">
      <c r="T43213" s="246">
        <f t="shared" si="713"/>
        <v>0</v>
      </c>
    </row>
    <row r="43214" spans="20:20" ht="18.75" customHeight="1" x14ac:dyDescent="0.35">
      <c r="T43214" s="246">
        <f t="shared" si="713"/>
        <v>0</v>
      </c>
    </row>
    <row r="43215" spans="20:20" ht="18.75" customHeight="1" x14ac:dyDescent="0.35">
      <c r="T43215" s="246">
        <f t="shared" si="713"/>
        <v>0</v>
      </c>
    </row>
    <row r="43216" spans="20:20" ht="18.75" customHeight="1" x14ac:dyDescent="0.35">
      <c r="T43216" s="246">
        <f t="shared" si="713"/>
        <v>0</v>
      </c>
    </row>
    <row r="43217" spans="20:20" ht="18.75" customHeight="1" x14ac:dyDescent="0.35">
      <c r="T43217" s="246">
        <f t="shared" si="713"/>
        <v>0</v>
      </c>
    </row>
    <row r="43218" spans="20:20" ht="18.75" customHeight="1" x14ac:dyDescent="0.35">
      <c r="T43218" s="246">
        <f t="shared" si="713"/>
        <v>0</v>
      </c>
    </row>
    <row r="43219" spans="20:20" ht="18.75" customHeight="1" x14ac:dyDescent="0.35">
      <c r="T43219" s="246">
        <f t="shared" si="713"/>
        <v>0</v>
      </c>
    </row>
    <row r="43220" spans="20:20" ht="18.75" customHeight="1" x14ac:dyDescent="0.35">
      <c r="T43220" s="246">
        <f t="shared" si="713"/>
        <v>0</v>
      </c>
    </row>
    <row r="43221" spans="20:20" ht="18.75" customHeight="1" x14ac:dyDescent="0.35">
      <c r="T43221" s="246">
        <f t="shared" si="713"/>
        <v>0</v>
      </c>
    </row>
    <row r="43222" spans="20:20" ht="18.75" customHeight="1" x14ac:dyDescent="0.35">
      <c r="T43222" s="246">
        <f t="shared" si="713"/>
        <v>0</v>
      </c>
    </row>
    <row r="43223" spans="20:20" ht="18.75" customHeight="1" x14ac:dyDescent="0.35">
      <c r="T43223" s="246">
        <f t="shared" si="713"/>
        <v>0</v>
      </c>
    </row>
    <row r="43224" spans="20:20" ht="18.75" customHeight="1" x14ac:dyDescent="0.35">
      <c r="T43224" s="246">
        <f t="shared" si="713"/>
        <v>0</v>
      </c>
    </row>
    <row r="43225" spans="20:20" ht="18.75" customHeight="1" x14ac:dyDescent="0.35">
      <c r="T43225" s="246">
        <f t="shared" si="713"/>
        <v>0</v>
      </c>
    </row>
    <row r="43226" spans="20:20" ht="18.75" customHeight="1" x14ac:dyDescent="0.35">
      <c r="T43226" s="246">
        <f t="shared" si="713"/>
        <v>0</v>
      </c>
    </row>
    <row r="43227" spans="20:20" ht="18.75" customHeight="1" x14ac:dyDescent="0.35">
      <c r="T43227" s="246">
        <f t="shared" si="713"/>
        <v>0</v>
      </c>
    </row>
    <row r="43228" spans="20:20" ht="18.75" customHeight="1" x14ac:dyDescent="0.35">
      <c r="T43228" s="246">
        <f t="shared" si="713"/>
        <v>0</v>
      </c>
    </row>
    <row r="43229" spans="20:20" ht="18.75" customHeight="1" x14ac:dyDescent="0.35">
      <c r="T43229" s="246">
        <f t="shared" si="713"/>
        <v>0</v>
      </c>
    </row>
    <row r="43230" spans="20:20" ht="18.75" customHeight="1" x14ac:dyDescent="0.35">
      <c r="T43230" s="246">
        <f t="shared" si="713"/>
        <v>0</v>
      </c>
    </row>
    <row r="43231" spans="20:20" ht="18.75" customHeight="1" x14ac:dyDescent="0.35">
      <c r="T43231" s="246">
        <f t="shared" si="713"/>
        <v>0</v>
      </c>
    </row>
    <row r="43232" spans="20:20" ht="18.75" customHeight="1" x14ac:dyDescent="0.35">
      <c r="T43232" s="246">
        <f t="shared" si="713"/>
        <v>0</v>
      </c>
    </row>
    <row r="43233" spans="20:20" ht="18.75" customHeight="1" x14ac:dyDescent="0.35">
      <c r="T43233" s="246">
        <f t="shared" si="713"/>
        <v>0</v>
      </c>
    </row>
    <row r="43234" spans="20:20" ht="18.75" customHeight="1" x14ac:dyDescent="0.35">
      <c r="T43234" s="246">
        <f t="shared" si="713"/>
        <v>0</v>
      </c>
    </row>
    <row r="43235" spans="20:20" ht="18.75" customHeight="1" x14ac:dyDescent="0.35">
      <c r="T43235" s="246">
        <f t="shared" si="713"/>
        <v>0</v>
      </c>
    </row>
    <row r="43236" spans="20:20" ht="18.75" customHeight="1" x14ac:dyDescent="0.35">
      <c r="T43236" s="246">
        <f t="shared" si="713"/>
        <v>0</v>
      </c>
    </row>
    <row r="43237" spans="20:20" ht="18.75" customHeight="1" x14ac:dyDescent="0.35">
      <c r="T43237" s="246">
        <f t="shared" si="713"/>
        <v>0</v>
      </c>
    </row>
    <row r="43238" spans="20:20" ht="18.75" customHeight="1" x14ac:dyDescent="0.35">
      <c r="T43238" s="246">
        <f t="shared" si="713"/>
        <v>0</v>
      </c>
    </row>
    <row r="43239" spans="20:20" ht="18.75" customHeight="1" x14ac:dyDescent="0.35">
      <c r="T43239" s="246">
        <f t="shared" si="713"/>
        <v>0</v>
      </c>
    </row>
    <row r="43240" spans="20:20" ht="18.75" customHeight="1" x14ac:dyDescent="0.35">
      <c r="T43240" s="246">
        <f t="shared" si="713"/>
        <v>0</v>
      </c>
    </row>
    <row r="43241" spans="20:20" ht="18.75" customHeight="1" x14ac:dyDescent="0.35">
      <c r="T43241" s="246">
        <f t="shared" si="713"/>
        <v>0</v>
      </c>
    </row>
    <row r="43242" spans="20:20" ht="18.75" customHeight="1" x14ac:dyDescent="0.35">
      <c r="T43242" s="246">
        <f t="shared" si="713"/>
        <v>0</v>
      </c>
    </row>
    <row r="43243" spans="20:20" ht="18.75" customHeight="1" x14ac:dyDescent="0.35">
      <c r="T43243" s="246">
        <f t="shared" si="713"/>
        <v>0</v>
      </c>
    </row>
    <row r="43244" spans="20:20" ht="18.75" customHeight="1" x14ac:dyDescent="0.35">
      <c r="T43244" s="246">
        <f t="shared" si="713"/>
        <v>0</v>
      </c>
    </row>
    <row r="43245" spans="20:20" ht="18.75" customHeight="1" x14ac:dyDescent="0.35">
      <c r="T43245" s="246">
        <f t="shared" si="713"/>
        <v>0</v>
      </c>
    </row>
    <row r="43246" spans="20:20" ht="18.75" customHeight="1" x14ac:dyDescent="0.35">
      <c r="T43246" s="246">
        <f t="shared" si="713"/>
        <v>0</v>
      </c>
    </row>
    <row r="43247" spans="20:20" ht="18.75" customHeight="1" x14ac:dyDescent="0.35">
      <c r="T43247" s="246">
        <f t="shared" si="713"/>
        <v>0</v>
      </c>
    </row>
    <row r="43248" spans="20:20" ht="18.75" customHeight="1" x14ac:dyDescent="0.35">
      <c r="T43248" s="246">
        <f t="shared" si="713"/>
        <v>0</v>
      </c>
    </row>
    <row r="43249" spans="20:20" ht="18.75" customHeight="1" x14ac:dyDescent="0.35">
      <c r="T43249" s="246">
        <f t="shared" si="713"/>
        <v>0</v>
      </c>
    </row>
    <row r="43250" spans="20:20" ht="18.75" customHeight="1" x14ac:dyDescent="0.35">
      <c r="T43250" s="246">
        <f t="shared" si="713"/>
        <v>0</v>
      </c>
    </row>
    <row r="43251" spans="20:20" ht="18.75" customHeight="1" x14ac:dyDescent="0.35">
      <c r="T43251" s="246">
        <f t="shared" si="713"/>
        <v>0</v>
      </c>
    </row>
    <row r="43252" spans="20:20" ht="18.75" customHeight="1" x14ac:dyDescent="0.35">
      <c r="T43252" s="246">
        <f t="shared" si="713"/>
        <v>0</v>
      </c>
    </row>
    <row r="43253" spans="20:20" ht="18.75" customHeight="1" x14ac:dyDescent="0.35">
      <c r="T43253" s="246">
        <f t="shared" si="713"/>
        <v>0</v>
      </c>
    </row>
    <row r="43254" spans="20:20" ht="18.75" customHeight="1" x14ac:dyDescent="0.35">
      <c r="T43254" s="246">
        <f t="shared" si="713"/>
        <v>0</v>
      </c>
    </row>
    <row r="43255" spans="20:20" ht="18.75" customHeight="1" x14ac:dyDescent="0.35">
      <c r="T43255" s="246">
        <f t="shared" si="713"/>
        <v>0</v>
      </c>
    </row>
    <row r="43256" spans="20:20" ht="18.75" customHeight="1" x14ac:dyDescent="0.35">
      <c r="T43256" s="246">
        <f t="shared" si="713"/>
        <v>0</v>
      </c>
    </row>
    <row r="43257" spans="20:20" ht="18.75" customHeight="1" x14ac:dyDescent="0.35">
      <c r="T43257" s="246">
        <f t="shared" si="713"/>
        <v>0</v>
      </c>
    </row>
    <row r="43258" spans="20:20" ht="18.75" customHeight="1" x14ac:dyDescent="0.35">
      <c r="T43258" s="246">
        <f t="shared" si="713"/>
        <v>0</v>
      </c>
    </row>
    <row r="43259" spans="20:20" ht="18.75" customHeight="1" x14ac:dyDescent="0.35">
      <c r="T43259" s="246">
        <f t="shared" si="713"/>
        <v>0</v>
      </c>
    </row>
    <row r="43260" spans="20:20" ht="18.75" customHeight="1" x14ac:dyDescent="0.35">
      <c r="T43260" s="246">
        <f t="shared" ref="T43260:T43323" si="714">R43260*0.01</f>
        <v>0</v>
      </c>
    </row>
    <row r="43261" spans="20:20" ht="18.75" customHeight="1" x14ac:dyDescent="0.35">
      <c r="T43261" s="246">
        <f t="shared" si="714"/>
        <v>0</v>
      </c>
    </row>
    <row r="43262" spans="20:20" ht="18.75" customHeight="1" x14ac:dyDescent="0.35">
      <c r="T43262" s="246">
        <f t="shared" si="714"/>
        <v>0</v>
      </c>
    </row>
    <row r="43263" spans="20:20" ht="18.75" customHeight="1" x14ac:dyDescent="0.35">
      <c r="T43263" s="246">
        <f t="shared" si="714"/>
        <v>0</v>
      </c>
    </row>
    <row r="43264" spans="20:20" ht="18.75" customHeight="1" x14ac:dyDescent="0.35">
      <c r="T43264" s="246">
        <f t="shared" si="714"/>
        <v>0</v>
      </c>
    </row>
    <row r="43265" spans="20:20" ht="18.75" customHeight="1" x14ac:dyDescent="0.35">
      <c r="T43265" s="246">
        <f t="shared" si="714"/>
        <v>0</v>
      </c>
    </row>
    <row r="43266" spans="20:20" ht="18.75" customHeight="1" x14ac:dyDescent="0.35">
      <c r="T43266" s="246">
        <f t="shared" si="714"/>
        <v>0</v>
      </c>
    </row>
    <row r="43267" spans="20:20" ht="18.75" customHeight="1" x14ac:dyDescent="0.35">
      <c r="T43267" s="246">
        <f t="shared" si="714"/>
        <v>0</v>
      </c>
    </row>
    <row r="43268" spans="20:20" ht="18.75" customHeight="1" x14ac:dyDescent="0.35">
      <c r="T43268" s="246">
        <f t="shared" si="714"/>
        <v>0</v>
      </c>
    </row>
    <row r="43269" spans="20:20" ht="18.75" customHeight="1" x14ac:dyDescent="0.35">
      <c r="T43269" s="246">
        <f t="shared" si="714"/>
        <v>0</v>
      </c>
    </row>
    <row r="43270" spans="20:20" ht="18.75" customHeight="1" x14ac:dyDescent="0.35">
      <c r="T43270" s="246">
        <f t="shared" si="714"/>
        <v>0</v>
      </c>
    </row>
    <row r="43271" spans="20:20" ht="18.75" customHeight="1" x14ac:dyDescent="0.35">
      <c r="T43271" s="246">
        <f t="shared" si="714"/>
        <v>0</v>
      </c>
    </row>
    <row r="43272" spans="20:20" ht="18.75" customHeight="1" x14ac:dyDescent="0.35">
      <c r="T43272" s="246">
        <f t="shared" si="714"/>
        <v>0</v>
      </c>
    </row>
    <row r="43273" spans="20:20" ht="18.75" customHeight="1" x14ac:dyDescent="0.35">
      <c r="T43273" s="246">
        <f t="shared" si="714"/>
        <v>0</v>
      </c>
    </row>
    <row r="43274" spans="20:20" ht="18.75" customHeight="1" x14ac:dyDescent="0.35">
      <c r="T43274" s="246">
        <f t="shared" si="714"/>
        <v>0</v>
      </c>
    </row>
    <row r="43275" spans="20:20" ht="18.75" customHeight="1" x14ac:dyDescent="0.35">
      <c r="T43275" s="246">
        <f t="shared" si="714"/>
        <v>0</v>
      </c>
    </row>
    <row r="43276" spans="20:20" ht="18.75" customHeight="1" x14ac:dyDescent="0.35">
      <c r="T43276" s="246">
        <f t="shared" si="714"/>
        <v>0</v>
      </c>
    </row>
    <row r="43277" spans="20:20" ht="18.75" customHeight="1" x14ac:dyDescent="0.35">
      <c r="T43277" s="246">
        <f t="shared" si="714"/>
        <v>0</v>
      </c>
    </row>
    <row r="43278" spans="20:20" ht="18.75" customHeight="1" x14ac:dyDescent="0.35">
      <c r="T43278" s="246">
        <f t="shared" si="714"/>
        <v>0</v>
      </c>
    </row>
    <row r="43279" spans="20:20" ht="18.75" customHeight="1" x14ac:dyDescent="0.35">
      <c r="T43279" s="246">
        <f t="shared" si="714"/>
        <v>0</v>
      </c>
    </row>
    <row r="43280" spans="20:20" ht="18.75" customHeight="1" x14ac:dyDescent="0.35">
      <c r="T43280" s="246">
        <f t="shared" si="714"/>
        <v>0</v>
      </c>
    </row>
    <row r="43281" spans="20:20" ht="18.75" customHeight="1" x14ac:dyDescent="0.35">
      <c r="T43281" s="246">
        <f t="shared" si="714"/>
        <v>0</v>
      </c>
    </row>
    <row r="43282" spans="20:20" ht="18.75" customHeight="1" x14ac:dyDescent="0.35">
      <c r="T43282" s="246">
        <f t="shared" si="714"/>
        <v>0</v>
      </c>
    </row>
    <row r="43283" spans="20:20" ht="18.75" customHeight="1" x14ac:dyDescent="0.35">
      <c r="T43283" s="246">
        <f t="shared" si="714"/>
        <v>0</v>
      </c>
    </row>
    <row r="43284" spans="20:20" ht="18.75" customHeight="1" x14ac:dyDescent="0.35">
      <c r="T43284" s="246">
        <f t="shared" si="714"/>
        <v>0</v>
      </c>
    </row>
    <row r="43285" spans="20:20" ht="18.75" customHeight="1" x14ac:dyDescent="0.35">
      <c r="T43285" s="246">
        <f t="shared" si="714"/>
        <v>0</v>
      </c>
    </row>
    <row r="43286" spans="20:20" ht="18.75" customHeight="1" x14ac:dyDescent="0.35">
      <c r="T43286" s="246">
        <f t="shared" si="714"/>
        <v>0</v>
      </c>
    </row>
    <row r="43287" spans="20:20" ht="18.75" customHeight="1" x14ac:dyDescent="0.35">
      <c r="T43287" s="246">
        <f t="shared" si="714"/>
        <v>0</v>
      </c>
    </row>
    <row r="43288" spans="20:20" ht="18.75" customHeight="1" x14ac:dyDescent="0.35">
      <c r="T43288" s="246">
        <f t="shared" si="714"/>
        <v>0</v>
      </c>
    </row>
    <row r="43289" spans="20:20" ht="18.75" customHeight="1" x14ac:dyDescent="0.35">
      <c r="T43289" s="246">
        <f t="shared" si="714"/>
        <v>0</v>
      </c>
    </row>
    <row r="43290" spans="20:20" ht="18.75" customHeight="1" x14ac:dyDescent="0.35">
      <c r="T43290" s="246">
        <f t="shared" si="714"/>
        <v>0</v>
      </c>
    </row>
    <row r="43291" spans="20:20" ht="18.75" customHeight="1" x14ac:dyDescent="0.35">
      <c r="T43291" s="246">
        <f t="shared" si="714"/>
        <v>0</v>
      </c>
    </row>
    <row r="43292" spans="20:20" ht="18.75" customHeight="1" x14ac:dyDescent="0.35">
      <c r="T43292" s="246">
        <f t="shared" si="714"/>
        <v>0</v>
      </c>
    </row>
    <row r="43293" spans="20:20" ht="18.75" customHeight="1" x14ac:dyDescent="0.35">
      <c r="T43293" s="246">
        <f t="shared" si="714"/>
        <v>0</v>
      </c>
    </row>
    <row r="43294" spans="20:20" ht="18.75" customHeight="1" x14ac:dyDescent="0.35">
      <c r="T43294" s="246">
        <f t="shared" si="714"/>
        <v>0</v>
      </c>
    </row>
    <row r="43295" spans="20:20" ht="18.75" customHeight="1" x14ac:dyDescent="0.35">
      <c r="T43295" s="246">
        <f t="shared" si="714"/>
        <v>0</v>
      </c>
    </row>
    <row r="43296" spans="20:20" ht="18.75" customHeight="1" x14ac:dyDescent="0.35">
      <c r="T43296" s="246">
        <f t="shared" si="714"/>
        <v>0</v>
      </c>
    </row>
    <row r="43297" spans="20:20" ht="18.75" customHeight="1" x14ac:dyDescent="0.35">
      <c r="T43297" s="246">
        <f t="shared" si="714"/>
        <v>0</v>
      </c>
    </row>
    <row r="43298" spans="20:20" ht="18.75" customHeight="1" x14ac:dyDescent="0.35">
      <c r="T43298" s="246">
        <f t="shared" si="714"/>
        <v>0</v>
      </c>
    </row>
    <row r="43299" spans="20:20" ht="18.75" customHeight="1" x14ac:dyDescent="0.35">
      <c r="T43299" s="246">
        <f t="shared" si="714"/>
        <v>0</v>
      </c>
    </row>
    <row r="43300" spans="20:20" ht="18.75" customHeight="1" x14ac:dyDescent="0.35">
      <c r="T43300" s="246">
        <f t="shared" si="714"/>
        <v>0</v>
      </c>
    </row>
    <row r="43301" spans="20:20" ht="18.75" customHeight="1" x14ac:dyDescent="0.35">
      <c r="T43301" s="246">
        <f t="shared" si="714"/>
        <v>0</v>
      </c>
    </row>
    <row r="43302" spans="20:20" ht="18.75" customHeight="1" x14ac:dyDescent="0.35">
      <c r="T43302" s="246">
        <f t="shared" si="714"/>
        <v>0</v>
      </c>
    </row>
    <row r="43303" spans="20:20" ht="18.75" customHeight="1" x14ac:dyDescent="0.35">
      <c r="T43303" s="246">
        <f t="shared" si="714"/>
        <v>0</v>
      </c>
    </row>
    <row r="43304" spans="20:20" ht="18.75" customHeight="1" x14ac:dyDescent="0.35">
      <c r="T43304" s="246">
        <f t="shared" si="714"/>
        <v>0</v>
      </c>
    </row>
    <row r="43305" spans="20:20" ht="18.75" customHeight="1" x14ac:dyDescent="0.35">
      <c r="T43305" s="246">
        <f t="shared" si="714"/>
        <v>0</v>
      </c>
    </row>
    <row r="43306" spans="20:20" ht="18.75" customHeight="1" x14ac:dyDescent="0.35">
      <c r="T43306" s="246">
        <f t="shared" si="714"/>
        <v>0</v>
      </c>
    </row>
    <row r="43307" spans="20:20" ht="18.75" customHeight="1" x14ac:dyDescent="0.35">
      <c r="T43307" s="246">
        <f t="shared" si="714"/>
        <v>0</v>
      </c>
    </row>
    <row r="43308" spans="20:20" ht="18.75" customHeight="1" x14ac:dyDescent="0.35">
      <c r="T43308" s="246">
        <f t="shared" si="714"/>
        <v>0</v>
      </c>
    </row>
    <row r="43309" spans="20:20" ht="18.75" customHeight="1" x14ac:dyDescent="0.35">
      <c r="T43309" s="246">
        <f t="shared" si="714"/>
        <v>0</v>
      </c>
    </row>
    <row r="43310" spans="20:20" ht="18.75" customHeight="1" x14ac:dyDescent="0.35">
      <c r="T43310" s="246">
        <f t="shared" si="714"/>
        <v>0</v>
      </c>
    </row>
    <row r="43311" spans="20:20" ht="18.75" customHeight="1" x14ac:dyDescent="0.35">
      <c r="T43311" s="246">
        <f t="shared" si="714"/>
        <v>0</v>
      </c>
    </row>
    <row r="43312" spans="20:20" ht="18.75" customHeight="1" x14ac:dyDescent="0.35">
      <c r="T43312" s="246">
        <f t="shared" si="714"/>
        <v>0</v>
      </c>
    </row>
    <row r="43313" spans="20:20" ht="18.75" customHeight="1" x14ac:dyDescent="0.35">
      <c r="T43313" s="246">
        <f t="shared" si="714"/>
        <v>0</v>
      </c>
    </row>
    <row r="43314" spans="20:20" ht="18.75" customHeight="1" x14ac:dyDescent="0.35">
      <c r="T43314" s="246">
        <f t="shared" si="714"/>
        <v>0</v>
      </c>
    </row>
    <row r="43315" spans="20:20" ht="18.75" customHeight="1" x14ac:dyDescent="0.35">
      <c r="T43315" s="246">
        <f t="shared" si="714"/>
        <v>0</v>
      </c>
    </row>
    <row r="43316" spans="20:20" ht="18.75" customHeight="1" x14ac:dyDescent="0.35">
      <c r="T43316" s="246">
        <f t="shared" si="714"/>
        <v>0</v>
      </c>
    </row>
    <row r="43317" spans="20:20" ht="18.75" customHeight="1" x14ac:dyDescent="0.35">
      <c r="T43317" s="246">
        <f t="shared" si="714"/>
        <v>0</v>
      </c>
    </row>
    <row r="43318" spans="20:20" ht="18.75" customHeight="1" x14ac:dyDescent="0.35">
      <c r="T43318" s="246">
        <f t="shared" si="714"/>
        <v>0</v>
      </c>
    </row>
    <row r="43319" spans="20:20" ht="18.75" customHeight="1" x14ac:dyDescent="0.35">
      <c r="T43319" s="246">
        <f t="shared" si="714"/>
        <v>0</v>
      </c>
    </row>
    <row r="43320" spans="20:20" ht="18.75" customHeight="1" x14ac:dyDescent="0.35">
      <c r="T43320" s="246">
        <f t="shared" si="714"/>
        <v>0</v>
      </c>
    </row>
    <row r="43321" spans="20:20" ht="18.75" customHeight="1" x14ac:dyDescent="0.35">
      <c r="T43321" s="246">
        <f t="shared" si="714"/>
        <v>0</v>
      </c>
    </row>
    <row r="43322" spans="20:20" ht="18.75" customHeight="1" x14ac:dyDescent="0.35">
      <c r="T43322" s="246">
        <f t="shared" si="714"/>
        <v>0</v>
      </c>
    </row>
    <row r="43323" spans="20:20" ht="18.75" customHeight="1" x14ac:dyDescent="0.35">
      <c r="T43323" s="246">
        <f t="shared" si="714"/>
        <v>0</v>
      </c>
    </row>
    <row r="43324" spans="20:20" ht="18.75" customHeight="1" x14ac:dyDescent="0.35">
      <c r="T43324" s="246">
        <f t="shared" ref="T43324:T43387" si="715">R43324*0.01</f>
        <v>0</v>
      </c>
    </row>
    <row r="43325" spans="20:20" ht="18.75" customHeight="1" x14ac:dyDescent="0.35">
      <c r="T43325" s="246">
        <f t="shared" si="715"/>
        <v>0</v>
      </c>
    </row>
    <row r="43326" spans="20:20" ht="18.75" customHeight="1" x14ac:dyDescent="0.35">
      <c r="T43326" s="246">
        <f t="shared" si="715"/>
        <v>0</v>
      </c>
    </row>
    <row r="43327" spans="20:20" ht="18.75" customHeight="1" x14ac:dyDescent="0.35">
      <c r="T43327" s="246">
        <f t="shared" si="715"/>
        <v>0</v>
      </c>
    </row>
    <row r="43328" spans="20:20" ht="18.75" customHeight="1" x14ac:dyDescent="0.35">
      <c r="T43328" s="246">
        <f t="shared" si="715"/>
        <v>0</v>
      </c>
    </row>
    <row r="43329" spans="20:20" ht="18.75" customHeight="1" x14ac:dyDescent="0.35">
      <c r="T43329" s="246">
        <f t="shared" si="715"/>
        <v>0</v>
      </c>
    </row>
    <row r="43330" spans="20:20" ht="18.75" customHeight="1" x14ac:dyDescent="0.35">
      <c r="T43330" s="246">
        <f t="shared" si="715"/>
        <v>0</v>
      </c>
    </row>
    <row r="43331" spans="20:20" ht="18.75" customHeight="1" x14ac:dyDescent="0.35">
      <c r="T43331" s="246">
        <f t="shared" si="715"/>
        <v>0</v>
      </c>
    </row>
    <row r="43332" spans="20:20" ht="18.75" customHeight="1" x14ac:dyDescent="0.35">
      <c r="T43332" s="246">
        <f t="shared" si="715"/>
        <v>0</v>
      </c>
    </row>
    <row r="43333" spans="20:20" ht="18.75" customHeight="1" x14ac:dyDescent="0.35">
      <c r="T43333" s="246">
        <f t="shared" si="715"/>
        <v>0</v>
      </c>
    </row>
    <row r="43334" spans="20:20" ht="18.75" customHeight="1" x14ac:dyDescent="0.35">
      <c r="T43334" s="246">
        <f t="shared" si="715"/>
        <v>0</v>
      </c>
    </row>
    <row r="43335" spans="20:20" ht="18.75" customHeight="1" x14ac:dyDescent="0.35">
      <c r="T43335" s="246">
        <f t="shared" si="715"/>
        <v>0</v>
      </c>
    </row>
    <row r="43336" spans="20:20" ht="18.75" customHeight="1" x14ac:dyDescent="0.35">
      <c r="T43336" s="246">
        <f t="shared" si="715"/>
        <v>0</v>
      </c>
    </row>
    <row r="43337" spans="20:20" ht="18.75" customHeight="1" x14ac:dyDescent="0.35">
      <c r="T43337" s="246">
        <f t="shared" si="715"/>
        <v>0</v>
      </c>
    </row>
    <row r="43338" spans="20:20" ht="18.75" customHeight="1" x14ac:dyDescent="0.35">
      <c r="T43338" s="246">
        <f t="shared" si="715"/>
        <v>0</v>
      </c>
    </row>
    <row r="43339" spans="20:20" ht="18.75" customHeight="1" x14ac:dyDescent="0.35">
      <c r="T43339" s="246">
        <f t="shared" si="715"/>
        <v>0</v>
      </c>
    </row>
    <row r="43340" spans="20:20" ht="18.75" customHeight="1" x14ac:dyDescent="0.35">
      <c r="T43340" s="246">
        <f t="shared" si="715"/>
        <v>0</v>
      </c>
    </row>
    <row r="43341" spans="20:20" ht="18.75" customHeight="1" x14ac:dyDescent="0.35">
      <c r="T43341" s="246">
        <f t="shared" si="715"/>
        <v>0</v>
      </c>
    </row>
    <row r="43342" spans="20:20" ht="18.75" customHeight="1" x14ac:dyDescent="0.35">
      <c r="T43342" s="246">
        <f t="shared" si="715"/>
        <v>0</v>
      </c>
    </row>
    <row r="43343" spans="20:20" ht="18.75" customHeight="1" x14ac:dyDescent="0.35">
      <c r="T43343" s="246">
        <f t="shared" si="715"/>
        <v>0</v>
      </c>
    </row>
    <row r="43344" spans="20:20" ht="18.75" customHeight="1" x14ac:dyDescent="0.35">
      <c r="T43344" s="246">
        <f t="shared" si="715"/>
        <v>0</v>
      </c>
    </row>
    <row r="43345" spans="20:20" ht="18.75" customHeight="1" x14ac:dyDescent="0.35">
      <c r="T43345" s="246">
        <f t="shared" si="715"/>
        <v>0</v>
      </c>
    </row>
    <row r="43346" spans="20:20" ht="18.75" customHeight="1" x14ac:dyDescent="0.35">
      <c r="T43346" s="246">
        <f t="shared" si="715"/>
        <v>0</v>
      </c>
    </row>
    <row r="43347" spans="20:20" ht="18.75" customHeight="1" x14ac:dyDescent="0.35">
      <c r="T43347" s="246">
        <f t="shared" si="715"/>
        <v>0</v>
      </c>
    </row>
    <row r="43348" spans="20:20" ht="18.75" customHeight="1" x14ac:dyDescent="0.35">
      <c r="T43348" s="246">
        <f t="shared" si="715"/>
        <v>0</v>
      </c>
    </row>
    <row r="43349" spans="20:20" ht="18.75" customHeight="1" x14ac:dyDescent="0.35">
      <c r="T43349" s="246">
        <f t="shared" si="715"/>
        <v>0</v>
      </c>
    </row>
    <row r="43350" spans="20:20" ht="18.75" customHeight="1" x14ac:dyDescent="0.35">
      <c r="T43350" s="246">
        <f t="shared" si="715"/>
        <v>0</v>
      </c>
    </row>
    <row r="43351" spans="20:20" ht="18.75" customHeight="1" x14ac:dyDescent="0.35">
      <c r="T43351" s="246">
        <f t="shared" si="715"/>
        <v>0</v>
      </c>
    </row>
    <row r="43352" spans="20:20" ht="18.75" customHeight="1" x14ac:dyDescent="0.35">
      <c r="T43352" s="246">
        <f t="shared" si="715"/>
        <v>0</v>
      </c>
    </row>
    <row r="43353" spans="20:20" ht="18.75" customHeight="1" x14ac:dyDescent="0.35">
      <c r="T43353" s="246">
        <f t="shared" si="715"/>
        <v>0</v>
      </c>
    </row>
    <row r="43354" spans="20:20" ht="18.75" customHeight="1" x14ac:dyDescent="0.35">
      <c r="T43354" s="246">
        <f t="shared" si="715"/>
        <v>0</v>
      </c>
    </row>
    <row r="43355" spans="20:20" ht="18.75" customHeight="1" x14ac:dyDescent="0.35">
      <c r="T43355" s="246">
        <f t="shared" si="715"/>
        <v>0</v>
      </c>
    </row>
    <row r="43356" spans="20:20" ht="18.75" customHeight="1" x14ac:dyDescent="0.35">
      <c r="T43356" s="246">
        <f t="shared" si="715"/>
        <v>0</v>
      </c>
    </row>
    <row r="43357" spans="20:20" ht="18.75" customHeight="1" x14ac:dyDescent="0.35">
      <c r="T43357" s="246">
        <f t="shared" si="715"/>
        <v>0</v>
      </c>
    </row>
    <row r="43358" spans="20:20" ht="18.75" customHeight="1" x14ac:dyDescent="0.35">
      <c r="T43358" s="246">
        <f t="shared" si="715"/>
        <v>0</v>
      </c>
    </row>
    <row r="43359" spans="20:20" ht="18.75" customHeight="1" x14ac:dyDescent="0.35">
      <c r="T43359" s="246">
        <f t="shared" si="715"/>
        <v>0</v>
      </c>
    </row>
    <row r="43360" spans="20:20" ht="18.75" customHeight="1" x14ac:dyDescent="0.35">
      <c r="T43360" s="246">
        <f t="shared" si="715"/>
        <v>0</v>
      </c>
    </row>
    <row r="43361" spans="20:20" ht="18.75" customHeight="1" x14ac:dyDescent="0.35">
      <c r="T43361" s="246">
        <f t="shared" si="715"/>
        <v>0</v>
      </c>
    </row>
    <row r="43362" spans="20:20" ht="18.75" customHeight="1" x14ac:dyDescent="0.35">
      <c r="T43362" s="246">
        <f t="shared" si="715"/>
        <v>0</v>
      </c>
    </row>
    <row r="43363" spans="20:20" ht="18.75" customHeight="1" x14ac:dyDescent="0.35">
      <c r="T43363" s="246">
        <f t="shared" si="715"/>
        <v>0</v>
      </c>
    </row>
    <row r="43364" spans="20:20" ht="18.75" customHeight="1" x14ac:dyDescent="0.35">
      <c r="T43364" s="246">
        <f t="shared" si="715"/>
        <v>0</v>
      </c>
    </row>
    <row r="43365" spans="20:20" ht="18.75" customHeight="1" x14ac:dyDescent="0.35">
      <c r="T43365" s="246">
        <f t="shared" si="715"/>
        <v>0</v>
      </c>
    </row>
    <row r="43366" spans="20:20" ht="18.75" customHeight="1" x14ac:dyDescent="0.35">
      <c r="T43366" s="246">
        <f t="shared" si="715"/>
        <v>0</v>
      </c>
    </row>
    <row r="43367" spans="20:20" ht="18.75" customHeight="1" x14ac:dyDescent="0.35">
      <c r="T43367" s="246">
        <f t="shared" si="715"/>
        <v>0</v>
      </c>
    </row>
    <row r="43368" spans="20:20" ht="18.75" customHeight="1" x14ac:dyDescent="0.35">
      <c r="T43368" s="246">
        <f t="shared" si="715"/>
        <v>0</v>
      </c>
    </row>
    <row r="43369" spans="20:20" ht="18.75" customHeight="1" x14ac:dyDescent="0.35">
      <c r="T43369" s="246">
        <f t="shared" si="715"/>
        <v>0</v>
      </c>
    </row>
    <row r="43370" spans="20:20" ht="18.75" customHeight="1" x14ac:dyDescent="0.35">
      <c r="T43370" s="246">
        <f t="shared" si="715"/>
        <v>0</v>
      </c>
    </row>
    <row r="43371" spans="20:20" ht="18.75" customHeight="1" x14ac:dyDescent="0.35">
      <c r="T43371" s="246">
        <f t="shared" si="715"/>
        <v>0</v>
      </c>
    </row>
    <row r="43372" spans="20:20" ht="18.75" customHeight="1" x14ac:dyDescent="0.35">
      <c r="T43372" s="246">
        <f t="shared" si="715"/>
        <v>0</v>
      </c>
    </row>
    <row r="43373" spans="20:20" ht="18.75" customHeight="1" x14ac:dyDescent="0.35">
      <c r="T43373" s="246">
        <f t="shared" si="715"/>
        <v>0</v>
      </c>
    </row>
    <row r="43374" spans="20:20" ht="18.75" customHeight="1" x14ac:dyDescent="0.35">
      <c r="T43374" s="246">
        <f t="shared" si="715"/>
        <v>0</v>
      </c>
    </row>
    <row r="43375" spans="20:20" ht="18.75" customHeight="1" x14ac:dyDescent="0.35">
      <c r="T43375" s="246">
        <f t="shared" si="715"/>
        <v>0</v>
      </c>
    </row>
    <row r="43376" spans="20:20" ht="18.75" customHeight="1" x14ac:dyDescent="0.35">
      <c r="T43376" s="246">
        <f t="shared" si="715"/>
        <v>0</v>
      </c>
    </row>
    <row r="43377" spans="20:20" ht="18.75" customHeight="1" x14ac:dyDescent="0.35">
      <c r="T43377" s="246">
        <f t="shared" si="715"/>
        <v>0</v>
      </c>
    </row>
    <row r="43378" spans="20:20" ht="18.75" customHeight="1" x14ac:dyDescent="0.35">
      <c r="T43378" s="246">
        <f t="shared" si="715"/>
        <v>0</v>
      </c>
    </row>
    <row r="43379" spans="20:20" ht="18.75" customHeight="1" x14ac:dyDescent="0.35">
      <c r="T43379" s="246">
        <f t="shared" si="715"/>
        <v>0</v>
      </c>
    </row>
    <row r="43380" spans="20:20" ht="18.75" customHeight="1" x14ac:dyDescent="0.35">
      <c r="T43380" s="246">
        <f t="shared" si="715"/>
        <v>0</v>
      </c>
    </row>
    <row r="43381" spans="20:20" ht="18.75" customHeight="1" x14ac:dyDescent="0.35">
      <c r="T43381" s="246">
        <f t="shared" si="715"/>
        <v>0</v>
      </c>
    </row>
    <row r="43382" spans="20:20" ht="18.75" customHeight="1" x14ac:dyDescent="0.35">
      <c r="T43382" s="246">
        <f t="shared" si="715"/>
        <v>0</v>
      </c>
    </row>
    <row r="43383" spans="20:20" ht="18.75" customHeight="1" x14ac:dyDescent="0.35">
      <c r="T43383" s="246">
        <f t="shared" si="715"/>
        <v>0</v>
      </c>
    </row>
    <row r="43384" spans="20:20" ht="18.75" customHeight="1" x14ac:dyDescent="0.35">
      <c r="T43384" s="246">
        <f t="shared" si="715"/>
        <v>0</v>
      </c>
    </row>
    <row r="43385" spans="20:20" ht="18.75" customHeight="1" x14ac:dyDescent="0.35">
      <c r="T43385" s="246">
        <f t="shared" si="715"/>
        <v>0</v>
      </c>
    </row>
    <row r="43386" spans="20:20" ht="18.75" customHeight="1" x14ac:dyDescent="0.35">
      <c r="T43386" s="246">
        <f t="shared" si="715"/>
        <v>0</v>
      </c>
    </row>
    <row r="43387" spans="20:20" ht="18.75" customHeight="1" x14ac:dyDescent="0.35">
      <c r="T43387" s="246">
        <f t="shared" si="715"/>
        <v>0</v>
      </c>
    </row>
    <row r="43388" spans="20:20" ht="18.75" customHeight="1" x14ac:dyDescent="0.35">
      <c r="T43388" s="246">
        <f t="shared" ref="T43388:T43451" si="716">R43388*0.01</f>
        <v>0</v>
      </c>
    </row>
    <row r="43389" spans="20:20" ht="18.75" customHeight="1" x14ac:dyDescent="0.35">
      <c r="T43389" s="246">
        <f t="shared" si="716"/>
        <v>0</v>
      </c>
    </row>
    <row r="43390" spans="20:20" ht="18.75" customHeight="1" x14ac:dyDescent="0.35">
      <c r="T43390" s="246">
        <f t="shared" si="716"/>
        <v>0</v>
      </c>
    </row>
    <row r="43391" spans="20:20" ht="18.75" customHeight="1" x14ac:dyDescent="0.35">
      <c r="T43391" s="246">
        <f t="shared" si="716"/>
        <v>0</v>
      </c>
    </row>
    <row r="43392" spans="20:20" ht="18.75" customHeight="1" x14ac:dyDescent="0.35">
      <c r="T43392" s="246">
        <f t="shared" si="716"/>
        <v>0</v>
      </c>
    </row>
    <row r="43393" spans="20:20" ht="18.75" customHeight="1" x14ac:dyDescent="0.35">
      <c r="T43393" s="246">
        <f t="shared" si="716"/>
        <v>0</v>
      </c>
    </row>
    <row r="43394" spans="20:20" ht="18.75" customHeight="1" x14ac:dyDescent="0.35">
      <c r="T43394" s="246">
        <f t="shared" si="716"/>
        <v>0</v>
      </c>
    </row>
    <row r="43395" spans="20:20" ht="18.75" customHeight="1" x14ac:dyDescent="0.35">
      <c r="T43395" s="246">
        <f t="shared" si="716"/>
        <v>0</v>
      </c>
    </row>
    <row r="43396" spans="20:20" ht="18.75" customHeight="1" x14ac:dyDescent="0.35">
      <c r="T43396" s="246">
        <f t="shared" si="716"/>
        <v>0</v>
      </c>
    </row>
    <row r="43397" spans="20:20" ht="18.75" customHeight="1" x14ac:dyDescent="0.35">
      <c r="T43397" s="246">
        <f t="shared" si="716"/>
        <v>0</v>
      </c>
    </row>
    <row r="43398" spans="20:20" ht="18.75" customHeight="1" x14ac:dyDescent="0.35">
      <c r="T43398" s="246">
        <f t="shared" si="716"/>
        <v>0</v>
      </c>
    </row>
    <row r="43399" spans="20:20" ht="18.75" customHeight="1" x14ac:dyDescent="0.35">
      <c r="T43399" s="246">
        <f t="shared" si="716"/>
        <v>0</v>
      </c>
    </row>
    <row r="43400" spans="20:20" ht="18.75" customHeight="1" x14ac:dyDescent="0.35">
      <c r="T43400" s="246">
        <f t="shared" si="716"/>
        <v>0</v>
      </c>
    </row>
    <row r="43401" spans="20:20" ht="18.75" customHeight="1" x14ac:dyDescent="0.35">
      <c r="T43401" s="246">
        <f t="shared" si="716"/>
        <v>0</v>
      </c>
    </row>
    <row r="43402" spans="20:20" ht="18.75" customHeight="1" x14ac:dyDescent="0.35">
      <c r="T43402" s="246">
        <f t="shared" si="716"/>
        <v>0</v>
      </c>
    </row>
    <row r="43403" spans="20:20" ht="18.75" customHeight="1" x14ac:dyDescent="0.35">
      <c r="T43403" s="246">
        <f t="shared" si="716"/>
        <v>0</v>
      </c>
    </row>
    <row r="43404" spans="20:20" ht="18.75" customHeight="1" x14ac:dyDescent="0.35">
      <c r="T43404" s="246">
        <f t="shared" si="716"/>
        <v>0</v>
      </c>
    </row>
    <row r="43405" spans="20:20" ht="18.75" customHeight="1" x14ac:dyDescent="0.35">
      <c r="T43405" s="246">
        <f t="shared" si="716"/>
        <v>0</v>
      </c>
    </row>
    <row r="43406" spans="20:20" ht="18.75" customHeight="1" x14ac:dyDescent="0.35">
      <c r="T43406" s="246">
        <f t="shared" si="716"/>
        <v>0</v>
      </c>
    </row>
    <row r="43407" spans="20:20" ht="18.75" customHeight="1" x14ac:dyDescent="0.35">
      <c r="T43407" s="246">
        <f t="shared" si="716"/>
        <v>0</v>
      </c>
    </row>
    <row r="43408" spans="20:20" ht="18.75" customHeight="1" x14ac:dyDescent="0.35">
      <c r="T43408" s="246">
        <f t="shared" si="716"/>
        <v>0</v>
      </c>
    </row>
    <row r="43409" spans="20:20" ht="18.75" customHeight="1" x14ac:dyDescent="0.35">
      <c r="T43409" s="246">
        <f t="shared" si="716"/>
        <v>0</v>
      </c>
    </row>
    <row r="43410" spans="20:20" ht="18.75" customHeight="1" x14ac:dyDescent="0.35">
      <c r="T43410" s="246">
        <f t="shared" si="716"/>
        <v>0</v>
      </c>
    </row>
    <row r="43411" spans="20:20" ht="18.75" customHeight="1" x14ac:dyDescent="0.35">
      <c r="T43411" s="246">
        <f t="shared" si="716"/>
        <v>0</v>
      </c>
    </row>
    <row r="43412" spans="20:20" ht="18.75" customHeight="1" x14ac:dyDescent="0.35">
      <c r="T43412" s="246">
        <f t="shared" si="716"/>
        <v>0</v>
      </c>
    </row>
    <row r="43413" spans="20:20" ht="18.75" customHeight="1" x14ac:dyDescent="0.35">
      <c r="T43413" s="246">
        <f t="shared" si="716"/>
        <v>0</v>
      </c>
    </row>
    <row r="43414" spans="20:20" ht="18.75" customHeight="1" x14ac:dyDescent="0.35">
      <c r="T43414" s="246">
        <f t="shared" si="716"/>
        <v>0</v>
      </c>
    </row>
    <row r="43415" spans="20:20" ht="18.75" customHeight="1" x14ac:dyDescent="0.35">
      <c r="T43415" s="246">
        <f t="shared" si="716"/>
        <v>0</v>
      </c>
    </row>
    <row r="43416" spans="20:20" ht="18.75" customHeight="1" x14ac:dyDescent="0.35">
      <c r="T43416" s="246">
        <f t="shared" si="716"/>
        <v>0</v>
      </c>
    </row>
    <row r="43417" spans="20:20" ht="18.75" customHeight="1" x14ac:dyDescent="0.35">
      <c r="T43417" s="246">
        <f t="shared" si="716"/>
        <v>0</v>
      </c>
    </row>
    <row r="43418" spans="20:20" ht="18.75" customHeight="1" x14ac:dyDescent="0.35">
      <c r="T43418" s="246">
        <f t="shared" si="716"/>
        <v>0</v>
      </c>
    </row>
    <row r="43419" spans="20:20" ht="18.75" customHeight="1" x14ac:dyDescent="0.35">
      <c r="T43419" s="246">
        <f t="shared" si="716"/>
        <v>0</v>
      </c>
    </row>
    <row r="43420" spans="20:20" ht="18.75" customHeight="1" x14ac:dyDescent="0.35">
      <c r="T43420" s="246">
        <f t="shared" si="716"/>
        <v>0</v>
      </c>
    </row>
    <row r="43421" spans="20:20" ht="18.75" customHeight="1" x14ac:dyDescent="0.35">
      <c r="T43421" s="246">
        <f t="shared" si="716"/>
        <v>0</v>
      </c>
    </row>
    <row r="43422" spans="20:20" ht="18.75" customHeight="1" x14ac:dyDescent="0.35">
      <c r="T43422" s="246">
        <f t="shared" si="716"/>
        <v>0</v>
      </c>
    </row>
    <row r="43423" spans="20:20" ht="18.75" customHeight="1" x14ac:dyDescent="0.35">
      <c r="T43423" s="246">
        <f t="shared" si="716"/>
        <v>0</v>
      </c>
    </row>
    <row r="43424" spans="20:20" ht="18.75" customHeight="1" x14ac:dyDescent="0.35">
      <c r="T43424" s="246">
        <f t="shared" si="716"/>
        <v>0</v>
      </c>
    </row>
    <row r="43425" spans="20:20" ht="18.75" customHeight="1" x14ac:dyDescent="0.35">
      <c r="T43425" s="246">
        <f t="shared" si="716"/>
        <v>0</v>
      </c>
    </row>
    <row r="43426" spans="20:20" ht="18.75" customHeight="1" x14ac:dyDescent="0.35">
      <c r="T43426" s="246">
        <f t="shared" si="716"/>
        <v>0</v>
      </c>
    </row>
    <row r="43427" spans="20:20" ht="18.75" customHeight="1" x14ac:dyDescent="0.35">
      <c r="T43427" s="246">
        <f t="shared" si="716"/>
        <v>0</v>
      </c>
    </row>
    <row r="43428" spans="20:20" ht="18.75" customHeight="1" x14ac:dyDescent="0.35">
      <c r="T43428" s="246">
        <f t="shared" si="716"/>
        <v>0</v>
      </c>
    </row>
    <row r="43429" spans="20:20" ht="18.75" customHeight="1" x14ac:dyDescent="0.35">
      <c r="T43429" s="246">
        <f t="shared" si="716"/>
        <v>0</v>
      </c>
    </row>
    <row r="43430" spans="20:20" ht="18.75" customHeight="1" x14ac:dyDescent="0.35">
      <c r="T43430" s="246">
        <f t="shared" si="716"/>
        <v>0</v>
      </c>
    </row>
    <row r="43431" spans="20:20" ht="18.75" customHeight="1" x14ac:dyDescent="0.35">
      <c r="T43431" s="246">
        <f t="shared" si="716"/>
        <v>0</v>
      </c>
    </row>
    <row r="43432" spans="20:20" ht="18.75" customHeight="1" x14ac:dyDescent="0.35">
      <c r="T43432" s="246">
        <f t="shared" si="716"/>
        <v>0</v>
      </c>
    </row>
    <row r="43433" spans="20:20" ht="18.75" customHeight="1" x14ac:dyDescent="0.35">
      <c r="T43433" s="246">
        <f t="shared" si="716"/>
        <v>0</v>
      </c>
    </row>
    <row r="43434" spans="20:20" ht="18.75" customHeight="1" x14ac:dyDescent="0.35">
      <c r="T43434" s="246">
        <f t="shared" si="716"/>
        <v>0</v>
      </c>
    </row>
    <row r="43435" spans="20:20" ht="18.75" customHeight="1" x14ac:dyDescent="0.35">
      <c r="T43435" s="246">
        <f t="shared" si="716"/>
        <v>0</v>
      </c>
    </row>
    <row r="43436" spans="20:20" ht="18.75" customHeight="1" x14ac:dyDescent="0.35">
      <c r="T43436" s="246">
        <f t="shared" si="716"/>
        <v>0</v>
      </c>
    </row>
    <row r="43437" spans="20:20" ht="18.75" customHeight="1" x14ac:dyDescent="0.35">
      <c r="T43437" s="246">
        <f t="shared" si="716"/>
        <v>0</v>
      </c>
    </row>
    <row r="43438" spans="20:20" ht="18.75" customHeight="1" x14ac:dyDescent="0.35">
      <c r="T43438" s="246">
        <f t="shared" si="716"/>
        <v>0</v>
      </c>
    </row>
    <row r="43439" spans="20:20" ht="18.75" customHeight="1" x14ac:dyDescent="0.35">
      <c r="T43439" s="246">
        <f t="shared" si="716"/>
        <v>0</v>
      </c>
    </row>
    <row r="43440" spans="20:20" ht="18.75" customHeight="1" x14ac:dyDescent="0.35">
      <c r="T43440" s="246">
        <f t="shared" si="716"/>
        <v>0</v>
      </c>
    </row>
    <row r="43441" spans="20:20" ht="18.75" customHeight="1" x14ac:dyDescent="0.35">
      <c r="T43441" s="246">
        <f t="shared" si="716"/>
        <v>0</v>
      </c>
    </row>
    <row r="43442" spans="20:20" ht="18.75" customHeight="1" x14ac:dyDescent="0.35">
      <c r="T43442" s="246">
        <f t="shared" si="716"/>
        <v>0</v>
      </c>
    </row>
    <row r="43443" spans="20:20" ht="18.75" customHeight="1" x14ac:dyDescent="0.35">
      <c r="T43443" s="246">
        <f t="shared" si="716"/>
        <v>0</v>
      </c>
    </row>
    <row r="43444" spans="20:20" ht="18.75" customHeight="1" x14ac:dyDescent="0.35">
      <c r="T43444" s="246">
        <f t="shared" si="716"/>
        <v>0</v>
      </c>
    </row>
    <row r="43445" spans="20:20" ht="18.75" customHeight="1" x14ac:dyDescent="0.35">
      <c r="T43445" s="246">
        <f t="shared" si="716"/>
        <v>0</v>
      </c>
    </row>
    <row r="43446" spans="20:20" ht="18.75" customHeight="1" x14ac:dyDescent="0.35">
      <c r="T43446" s="246">
        <f t="shared" si="716"/>
        <v>0</v>
      </c>
    </row>
    <row r="43447" spans="20:20" ht="18.75" customHeight="1" x14ac:dyDescent="0.35">
      <c r="T43447" s="246">
        <f t="shared" si="716"/>
        <v>0</v>
      </c>
    </row>
    <row r="43448" spans="20:20" ht="18.75" customHeight="1" x14ac:dyDescent="0.35">
      <c r="T43448" s="246">
        <f t="shared" si="716"/>
        <v>0</v>
      </c>
    </row>
    <row r="43449" spans="20:20" ht="18.75" customHeight="1" x14ac:dyDescent="0.35">
      <c r="T43449" s="246">
        <f t="shared" si="716"/>
        <v>0</v>
      </c>
    </row>
    <row r="43450" spans="20:20" ht="18.75" customHeight="1" x14ac:dyDescent="0.35">
      <c r="T43450" s="246">
        <f t="shared" si="716"/>
        <v>0</v>
      </c>
    </row>
    <row r="43451" spans="20:20" ht="18.75" customHeight="1" x14ac:dyDescent="0.35">
      <c r="T43451" s="246">
        <f t="shared" si="716"/>
        <v>0</v>
      </c>
    </row>
    <row r="43452" spans="20:20" ht="18.75" customHeight="1" x14ac:dyDescent="0.35">
      <c r="T43452" s="246">
        <f t="shared" ref="T43452:T43515" si="717">R43452*0.01</f>
        <v>0</v>
      </c>
    </row>
    <row r="43453" spans="20:20" ht="18.75" customHeight="1" x14ac:dyDescent="0.35">
      <c r="T43453" s="246">
        <f t="shared" si="717"/>
        <v>0</v>
      </c>
    </row>
    <row r="43454" spans="20:20" ht="18.75" customHeight="1" x14ac:dyDescent="0.35">
      <c r="T43454" s="246">
        <f t="shared" si="717"/>
        <v>0</v>
      </c>
    </row>
    <row r="43455" spans="20:20" ht="18.75" customHeight="1" x14ac:dyDescent="0.35">
      <c r="T43455" s="246">
        <f t="shared" si="717"/>
        <v>0</v>
      </c>
    </row>
    <row r="43456" spans="20:20" ht="18.75" customHeight="1" x14ac:dyDescent="0.35">
      <c r="T43456" s="246">
        <f t="shared" si="717"/>
        <v>0</v>
      </c>
    </row>
    <row r="43457" spans="20:20" ht="18.75" customHeight="1" x14ac:dyDescent="0.35">
      <c r="T43457" s="246">
        <f t="shared" si="717"/>
        <v>0</v>
      </c>
    </row>
    <row r="43458" spans="20:20" ht="18.75" customHeight="1" x14ac:dyDescent="0.35">
      <c r="T43458" s="246">
        <f t="shared" si="717"/>
        <v>0</v>
      </c>
    </row>
    <row r="43459" spans="20:20" ht="18.75" customHeight="1" x14ac:dyDescent="0.35">
      <c r="T43459" s="246">
        <f t="shared" si="717"/>
        <v>0</v>
      </c>
    </row>
    <row r="43460" spans="20:20" ht="18.75" customHeight="1" x14ac:dyDescent="0.35">
      <c r="T43460" s="246">
        <f t="shared" si="717"/>
        <v>0</v>
      </c>
    </row>
    <row r="43461" spans="20:20" ht="18.75" customHeight="1" x14ac:dyDescent="0.35">
      <c r="T43461" s="246">
        <f t="shared" si="717"/>
        <v>0</v>
      </c>
    </row>
    <row r="43462" spans="20:20" ht="18.75" customHeight="1" x14ac:dyDescent="0.35">
      <c r="T43462" s="246">
        <f t="shared" si="717"/>
        <v>0</v>
      </c>
    </row>
    <row r="43463" spans="20:20" ht="18.75" customHeight="1" x14ac:dyDescent="0.35">
      <c r="T43463" s="246">
        <f t="shared" si="717"/>
        <v>0</v>
      </c>
    </row>
    <row r="43464" spans="20:20" ht="18.75" customHeight="1" x14ac:dyDescent="0.35">
      <c r="T43464" s="246">
        <f t="shared" si="717"/>
        <v>0</v>
      </c>
    </row>
    <row r="43465" spans="20:20" ht="18.75" customHeight="1" x14ac:dyDescent="0.35">
      <c r="T43465" s="246">
        <f t="shared" si="717"/>
        <v>0</v>
      </c>
    </row>
    <row r="43466" spans="20:20" ht="18.75" customHeight="1" x14ac:dyDescent="0.35">
      <c r="T43466" s="246">
        <f t="shared" si="717"/>
        <v>0</v>
      </c>
    </row>
    <row r="43467" spans="20:20" ht="18.75" customHeight="1" x14ac:dyDescent="0.35">
      <c r="T43467" s="246">
        <f t="shared" si="717"/>
        <v>0</v>
      </c>
    </row>
    <row r="43468" spans="20:20" ht="18.75" customHeight="1" x14ac:dyDescent="0.35">
      <c r="T43468" s="246">
        <f t="shared" si="717"/>
        <v>0</v>
      </c>
    </row>
    <row r="43469" spans="20:20" ht="18.75" customHeight="1" x14ac:dyDescent="0.35">
      <c r="T43469" s="246">
        <f t="shared" si="717"/>
        <v>0</v>
      </c>
    </row>
    <row r="43470" spans="20:20" ht="18.75" customHeight="1" x14ac:dyDescent="0.35">
      <c r="T43470" s="246">
        <f t="shared" si="717"/>
        <v>0</v>
      </c>
    </row>
    <row r="43471" spans="20:20" ht="18.75" customHeight="1" x14ac:dyDescent="0.35">
      <c r="T43471" s="246">
        <f t="shared" si="717"/>
        <v>0</v>
      </c>
    </row>
    <row r="43472" spans="20:20" ht="18.75" customHeight="1" x14ac:dyDescent="0.35">
      <c r="T43472" s="246">
        <f t="shared" si="717"/>
        <v>0</v>
      </c>
    </row>
    <row r="43473" spans="20:20" ht="18.75" customHeight="1" x14ac:dyDescent="0.35">
      <c r="T43473" s="246">
        <f t="shared" si="717"/>
        <v>0</v>
      </c>
    </row>
    <row r="43474" spans="20:20" ht="18.75" customHeight="1" x14ac:dyDescent="0.35">
      <c r="T43474" s="246">
        <f t="shared" si="717"/>
        <v>0</v>
      </c>
    </row>
    <row r="43475" spans="20:20" ht="18.75" customHeight="1" x14ac:dyDescent="0.35">
      <c r="T43475" s="246">
        <f t="shared" si="717"/>
        <v>0</v>
      </c>
    </row>
    <row r="43476" spans="20:20" ht="18.75" customHeight="1" x14ac:dyDescent="0.35">
      <c r="T43476" s="246">
        <f t="shared" si="717"/>
        <v>0</v>
      </c>
    </row>
    <row r="43477" spans="20:20" ht="18.75" customHeight="1" x14ac:dyDescent="0.35">
      <c r="T43477" s="246">
        <f t="shared" si="717"/>
        <v>0</v>
      </c>
    </row>
    <row r="43478" spans="20:20" ht="18.75" customHeight="1" x14ac:dyDescent="0.35">
      <c r="T43478" s="246">
        <f t="shared" si="717"/>
        <v>0</v>
      </c>
    </row>
    <row r="43479" spans="20:20" ht="18.75" customHeight="1" x14ac:dyDescent="0.35">
      <c r="T43479" s="246">
        <f t="shared" si="717"/>
        <v>0</v>
      </c>
    </row>
    <row r="43480" spans="20:20" ht="18.75" customHeight="1" x14ac:dyDescent="0.35">
      <c r="T43480" s="246">
        <f t="shared" si="717"/>
        <v>0</v>
      </c>
    </row>
    <row r="43481" spans="20:20" ht="18.75" customHeight="1" x14ac:dyDescent="0.35">
      <c r="T43481" s="246">
        <f t="shared" si="717"/>
        <v>0</v>
      </c>
    </row>
    <row r="43482" spans="20:20" ht="18.75" customHeight="1" x14ac:dyDescent="0.35">
      <c r="T43482" s="246">
        <f t="shared" si="717"/>
        <v>0</v>
      </c>
    </row>
    <row r="43483" spans="20:20" ht="18.75" customHeight="1" x14ac:dyDescent="0.35">
      <c r="T43483" s="246">
        <f t="shared" si="717"/>
        <v>0</v>
      </c>
    </row>
    <row r="43484" spans="20:20" ht="18.75" customHeight="1" x14ac:dyDescent="0.35">
      <c r="T43484" s="246">
        <f t="shared" si="717"/>
        <v>0</v>
      </c>
    </row>
    <row r="43485" spans="20:20" ht="18.75" customHeight="1" x14ac:dyDescent="0.35">
      <c r="T43485" s="246">
        <f t="shared" si="717"/>
        <v>0</v>
      </c>
    </row>
    <row r="43486" spans="20:20" ht="18.75" customHeight="1" x14ac:dyDescent="0.35">
      <c r="T43486" s="246">
        <f t="shared" si="717"/>
        <v>0</v>
      </c>
    </row>
    <row r="43487" spans="20:20" ht="18.75" customHeight="1" x14ac:dyDescent="0.35">
      <c r="T43487" s="246">
        <f t="shared" si="717"/>
        <v>0</v>
      </c>
    </row>
    <row r="43488" spans="20:20" ht="18.75" customHeight="1" x14ac:dyDescent="0.35">
      <c r="T43488" s="246">
        <f t="shared" si="717"/>
        <v>0</v>
      </c>
    </row>
    <row r="43489" spans="20:20" ht="18.75" customHeight="1" x14ac:dyDescent="0.35">
      <c r="T43489" s="246">
        <f t="shared" si="717"/>
        <v>0</v>
      </c>
    </row>
    <row r="43490" spans="20:20" ht="18.75" customHeight="1" x14ac:dyDescent="0.35">
      <c r="T43490" s="246">
        <f t="shared" si="717"/>
        <v>0</v>
      </c>
    </row>
    <row r="43491" spans="20:20" ht="18.75" customHeight="1" x14ac:dyDescent="0.35">
      <c r="T43491" s="246">
        <f t="shared" si="717"/>
        <v>0</v>
      </c>
    </row>
    <row r="43492" spans="20:20" ht="18.75" customHeight="1" x14ac:dyDescent="0.35">
      <c r="T43492" s="246">
        <f t="shared" si="717"/>
        <v>0</v>
      </c>
    </row>
    <row r="43493" spans="20:20" ht="18.75" customHeight="1" x14ac:dyDescent="0.35">
      <c r="T43493" s="246">
        <f t="shared" si="717"/>
        <v>0</v>
      </c>
    </row>
    <row r="43494" spans="20:20" ht="18.75" customHeight="1" x14ac:dyDescent="0.35">
      <c r="T43494" s="246">
        <f t="shared" si="717"/>
        <v>0</v>
      </c>
    </row>
    <row r="43495" spans="20:20" ht="18.75" customHeight="1" x14ac:dyDescent="0.35">
      <c r="T43495" s="246">
        <f t="shared" si="717"/>
        <v>0</v>
      </c>
    </row>
    <row r="43496" spans="20:20" ht="18.75" customHeight="1" x14ac:dyDescent="0.35">
      <c r="T43496" s="246">
        <f t="shared" si="717"/>
        <v>0</v>
      </c>
    </row>
    <row r="43497" spans="20:20" ht="18.75" customHeight="1" x14ac:dyDescent="0.35">
      <c r="T43497" s="246">
        <f t="shared" si="717"/>
        <v>0</v>
      </c>
    </row>
    <row r="43498" spans="20:20" ht="18.75" customHeight="1" x14ac:dyDescent="0.35">
      <c r="T43498" s="246">
        <f t="shared" si="717"/>
        <v>0</v>
      </c>
    </row>
    <row r="43499" spans="20:20" ht="18.75" customHeight="1" x14ac:dyDescent="0.35">
      <c r="T43499" s="246">
        <f t="shared" si="717"/>
        <v>0</v>
      </c>
    </row>
    <row r="43500" spans="20:20" ht="18.75" customHeight="1" x14ac:dyDescent="0.35">
      <c r="T43500" s="246">
        <f t="shared" si="717"/>
        <v>0</v>
      </c>
    </row>
    <row r="43501" spans="20:20" ht="18.75" customHeight="1" x14ac:dyDescent="0.35">
      <c r="T43501" s="246">
        <f t="shared" si="717"/>
        <v>0</v>
      </c>
    </row>
    <row r="43502" spans="20:20" ht="18.75" customHeight="1" x14ac:dyDescent="0.35">
      <c r="T43502" s="246">
        <f t="shared" si="717"/>
        <v>0</v>
      </c>
    </row>
    <row r="43503" spans="20:20" ht="18.75" customHeight="1" x14ac:dyDescent="0.35">
      <c r="T43503" s="246">
        <f t="shared" si="717"/>
        <v>0</v>
      </c>
    </row>
    <row r="43504" spans="20:20" ht="18.75" customHeight="1" x14ac:dyDescent="0.35">
      <c r="T43504" s="246">
        <f t="shared" si="717"/>
        <v>0</v>
      </c>
    </row>
    <row r="43505" spans="20:20" ht="18.75" customHeight="1" x14ac:dyDescent="0.35">
      <c r="T43505" s="246">
        <f t="shared" si="717"/>
        <v>0</v>
      </c>
    </row>
    <row r="43506" spans="20:20" ht="18.75" customHeight="1" x14ac:dyDescent="0.35">
      <c r="T43506" s="246">
        <f t="shared" si="717"/>
        <v>0</v>
      </c>
    </row>
    <row r="43507" spans="20:20" ht="18.75" customHeight="1" x14ac:dyDescent="0.35">
      <c r="T43507" s="246">
        <f t="shared" si="717"/>
        <v>0</v>
      </c>
    </row>
    <row r="43508" spans="20:20" ht="18.75" customHeight="1" x14ac:dyDescent="0.35">
      <c r="T43508" s="246">
        <f t="shared" si="717"/>
        <v>0</v>
      </c>
    </row>
    <row r="43509" spans="20:20" ht="18.75" customHeight="1" x14ac:dyDescent="0.35">
      <c r="T43509" s="246">
        <f t="shared" si="717"/>
        <v>0</v>
      </c>
    </row>
    <row r="43510" spans="20:20" ht="18.75" customHeight="1" x14ac:dyDescent="0.35">
      <c r="T43510" s="246">
        <f t="shared" si="717"/>
        <v>0</v>
      </c>
    </row>
    <row r="43511" spans="20:20" ht="18.75" customHeight="1" x14ac:dyDescent="0.35">
      <c r="T43511" s="246">
        <f t="shared" si="717"/>
        <v>0</v>
      </c>
    </row>
    <row r="43512" spans="20:20" ht="18.75" customHeight="1" x14ac:dyDescent="0.35">
      <c r="T43512" s="246">
        <f t="shared" si="717"/>
        <v>0</v>
      </c>
    </row>
    <row r="43513" spans="20:20" ht="18.75" customHeight="1" x14ac:dyDescent="0.35">
      <c r="T43513" s="246">
        <f t="shared" si="717"/>
        <v>0</v>
      </c>
    </row>
    <row r="43514" spans="20:20" ht="18.75" customHeight="1" x14ac:dyDescent="0.35">
      <c r="T43514" s="246">
        <f t="shared" si="717"/>
        <v>0</v>
      </c>
    </row>
    <row r="43515" spans="20:20" ht="18.75" customHeight="1" x14ac:dyDescent="0.35">
      <c r="T43515" s="246">
        <f t="shared" si="717"/>
        <v>0</v>
      </c>
    </row>
    <row r="43516" spans="20:20" ht="18.75" customHeight="1" x14ac:dyDescent="0.35">
      <c r="T43516" s="246">
        <f t="shared" ref="T43516:T43579" si="718">R43516*0.01</f>
        <v>0</v>
      </c>
    </row>
    <row r="43517" spans="20:20" ht="18.75" customHeight="1" x14ac:dyDescent="0.35">
      <c r="T43517" s="246">
        <f t="shared" si="718"/>
        <v>0</v>
      </c>
    </row>
    <row r="43518" spans="20:20" ht="18.75" customHeight="1" x14ac:dyDescent="0.35">
      <c r="T43518" s="246">
        <f t="shared" si="718"/>
        <v>0</v>
      </c>
    </row>
    <row r="43519" spans="20:20" ht="18.75" customHeight="1" x14ac:dyDescent="0.35">
      <c r="T43519" s="246">
        <f t="shared" si="718"/>
        <v>0</v>
      </c>
    </row>
    <row r="43520" spans="20:20" ht="18.75" customHeight="1" x14ac:dyDescent="0.35">
      <c r="T43520" s="246">
        <f t="shared" si="718"/>
        <v>0</v>
      </c>
    </row>
    <row r="43521" spans="20:20" ht="18.75" customHeight="1" x14ac:dyDescent="0.35">
      <c r="T43521" s="246">
        <f t="shared" si="718"/>
        <v>0</v>
      </c>
    </row>
    <row r="43522" spans="20:20" ht="18.75" customHeight="1" x14ac:dyDescent="0.35">
      <c r="T43522" s="246">
        <f t="shared" si="718"/>
        <v>0</v>
      </c>
    </row>
    <row r="43523" spans="20:20" ht="18.75" customHeight="1" x14ac:dyDescent="0.35">
      <c r="T43523" s="246">
        <f t="shared" si="718"/>
        <v>0</v>
      </c>
    </row>
    <row r="43524" spans="20:20" ht="18.75" customHeight="1" x14ac:dyDescent="0.35">
      <c r="T43524" s="246">
        <f t="shared" si="718"/>
        <v>0</v>
      </c>
    </row>
    <row r="43525" spans="20:20" ht="18.75" customHeight="1" x14ac:dyDescent="0.35">
      <c r="T43525" s="246">
        <f t="shared" si="718"/>
        <v>0</v>
      </c>
    </row>
    <row r="43526" spans="20:20" ht="18.75" customHeight="1" x14ac:dyDescent="0.35">
      <c r="T43526" s="246">
        <f t="shared" si="718"/>
        <v>0</v>
      </c>
    </row>
    <row r="43527" spans="20:20" ht="18.75" customHeight="1" x14ac:dyDescent="0.35">
      <c r="T43527" s="246">
        <f t="shared" si="718"/>
        <v>0</v>
      </c>
    </row>
    <row r="43528" spans="20:20" ht="18.75" customHeight="1" x14ac:dyDescent="0.35">
      <c r="T43528" s="246">
        <f t="shared" si="718"/>
        <v>0</v>
      </c>
    </row>
    <row r="43529" spans="20:20" ht="18.75" customHeight="1" x14ac:dyDescent="0.35">
      <c r="T43529" s="246">
        <f t="shared" si="718"/>
        <v>0</v>
      </c>
    </row>
    <row r="43530" spans="20:20" ht="18.75" customHeight="1" x14ac:dyDescent="0.35">
      <c r="T43530" s="246">
        <f t="shared" si="718"/>
        <v>0</v>
      </c>
    </row>
    <row r="43531" spans="20:20" ht="18.75" customHeight="1" x14ac:dyDescent="0.35">
      <c r="T43531" s="246">
        <f t="shared" si="718"/>
        <v>0</v>
      </c>
    </row>
    <row r="43532" spans="20:20" ht="18.75" customHeight="1" x14ac:dyDescent="0.35">
      <c r="T43532" s="246">
        <f t="shared" si="718"/>
        <v>0</v>
      </c>
    </row>
    <row r="43533" spans="20:20" ht="18.75" customHeight="1" x14ac:dyDescent="0.35">
      <c r="T43533" s="246">
        <f t="shared" si="718"/>
        <v>0</v>
      </c>
    </row>
    <row r="43534" spans="20:20" ht="18.75" customHeight="1" x14ac:dyDescent="0.35">
      <c r="T43534" s="246">
        <f t="shared" si="718"/>
        <v>0</v>
      </c>
    </row>
    <row r="43535" spans="20:20" ht="18.75" customHeight="1" x14ac:dyDescent="0.35">
      <c r="T43535" s="246">
        <f t="shared" si="718"/>
        <v>0</v>
      </c>
    </row>
    <row r="43536" spans="20:20" ht="18.75" customHeight="1" x14ac:dyDescent="0.35">
      <c r="T43536" s="246">
        <f t="shared" si="718"/>
        <v>0</v>
      </c>
    </row>
    <row r="43537" spans="20:20" ht="18.75" customHeight="1" x14ac:dyDescent="0.35">
      <c r="T43537" s="246">
        <f t="shared" si="718"/>
        <v>0</v>
      </c>
    </row>
    <row r="43538" spans="20:20" ht="18.75" customHeight="1" x14ac:dyDescent="0.35">
      <c r="T43538" s="246">
        <f t="shared" si="718"/>
        <v>0</v>
      </c>
    </row>
    <row r="43539" spans="20:20" ht="18.75" customHeight="1" x14ac:dyDescent="0.35">
      <c r="T43539" s="246">
        <f t="shared" si="718"/>
        <v>0</v>
      </c>
    </row>
    <row r="43540" spans="20:20" ht="18.75" customHeight="1" x14ac:dyDescent="0.35">
      <c r="T43540" s="246">
        <f t="shared" si="718"/>
        <v>0</v>
      </c>
    </row>
    <row r="43541" spans="20:20" ht="18.75" customHeight="1" x14ac:dyDescent="0.35">
      <c r="T43541" s="246">
        <f t="shared" si="718"/>
        <v>0</v>
      </c>
    </row>
    <row r="43542" spans="20:20" ht="18.75" customHeight="1" x14ac:dyDescent="0.35">
      <c r="T43542" s="246">
        <f t="shared" si="718"/>
        <v>0</v>
      </c>
    </row>
    <row r="43543" spans="20:20" ht="18.75" customHeight="1" x14ac:dyDescent="0.35">
      <c r="T43543" s="246">
        <f t="shared" si="718"/>
        <v>0</v>
      </c>
    </row>
    <row r="43544" spans="20:20" ht="18.75" customHeight="1" x14ac:dyDescent="0.35">
      <c r="T43544" s="246">
        <f t="shared" si="718"/>
        <v>0</v>
      </c>
    </row>
    <row r="43545" spans="20:20" ht="18.75" customHeight="1" x14ac:dyDescent="0.35">
      <c r="T43545" s="246">
        <f t="shared" si="718"/>
        <v>0</v>
      </c>
    </row>
    <row r="43546" spans="20:20" ht="18.75" customHeight="1" x14ac:dyDescent="0.35">
      <c r="T43546" s="246">
        <f t="shared" si="718"/>
        <v>0</v>
      </c>
    </row>
    <row r="43547" spans="20:20" ht="18.75" customHeight="1" x14ac:dyDescent="0.35">
      <c r="T43547" s="246">
        <f t="shared" si="718"/>
        <v>0</v>
      </c>
    </row>
    <row r="43548" spans="20:20" ht="18.75" customHeight="1" x14ac:dyDescent="0.35">
      <c r="T43548" s="246">
        <f t="shared" si="718"/>
        <v>0</v>
      </c>
    </row>
    <row r="43549" spans="20:20" ht="18.75" customHeight="1" x14ac:dyDescent="0.35">
      <c r="T43549" s="246">
        <f t="shared" si="718"/>
        <v>0</v>
      </c>
    </row>
    <row r="43550" spans="20:20" ht="18.75" customHeight="1" x14ac:dyDescent="0.35">
      <c r="T43550" s="246">
        <f t="shared" si="718"/>
        <v>0</v>
      </c>
    </row>
    <row r="43551" spans="20:20" ht="18.75" customHeight="1" x14ac:dyDescent="0.35">
      <c r="T43551" s="246">
        <f t="shared" si="718"/>
        <v>0</v>
      </c>
    </row>
    <row r="43552" spans="20:20" ht="18.75" customHeight="1" x14ac:dyDescent="0.35">
      <c r="T43552" s="246">
        <f t="shared" si="718"/>
        <v>0</v>
      </c>
    </row>
    <row r="43553" spans="20:20" ht="18.75" customHeight="1" x14ac:dyDescent="0.35">
      <c r="T43553" s="246">
        <f t="shared" si="718"/>
        <v>0</v>
      </c>
    </row>
    <row r="43554" spans="20:20" ht="18.75" customHeight="1" x14ac:dyDescent="0.35">
      <c r="T43554" s="246">
        <f t="shared" si="718"/>
        <v>0</v>
      </c>
    </row>
    <row r="43555" spans="20:20" ht="18.75" customHeight="1" x14ac:dyDescent="0.35">
      <c r="T43555" s="246">
        <f t="shared" si="718"/>
        <v>0</v>
      </c>
    </row>
    <row r="43556" spans="20:20" ht="18.75" customHeight="1" x14ac:dyDescent="0.35">
      <c r="T43556" s="246">
        <f t="shared" si="718"/>
        <v>0</v>
      </c>
    </row>
    <row r="43557" spans="20:20" ht="18.75" customHeight="1" x14ac:dyDescent="0.35">
      <c r="T43557" s="246">
        <f t="shared" si="718"/>
        <v>0</v>
      </c>
    </row>
    <row r="43558" spans="20:20" ht="18.75" customHeight="1" x14ac:dyDescent="0.35">
      <c r="T43558" s="246">
        <f t="shared" si="718"/>
        <v>0</v>
      </c>
    </row>
    <row r="43559" spans="20:20" ht="18.75" customHeight="1" x14ac:dyDescent="0.35">
      <c r="T43559" s="246">
        <f t="shared" si="718"/>
        <v>0</v>
      </c>
    </row>
    <row r="43560" spans="20:20" ht="18.75" customHeight="1" x14ac:dyDescent="0.35">
      <c r="T43560" s="246">
        <f t="shared" si="718"/>
        <v>0</v>
      </c>
    </row>
    <row r="43561" spans="20:20" ht="18.75" customHeight="1" x14ac:dyDescent="0.35">
      <c r="T43561" s="246">
        <f t="shared" si="718"/>
        <v>0</v>
      </c>
    </row>
    <row r="43562" spans="20:20" ht="18.75" customHeight="1" x14ac:dyDescent="0.35">
      <c r="T43562" s="246">
        <f t="shared" si="718"/>
        <v>0</v>
      </c>
    </row>
    <row r="43563" spans="20:20" ht="18.75" customHeight="1" x14ac:dyDescent="0.35">
      <c r="T43563" s="246">
        <f t="shared" si="718"/>
        <v>0</v>
      </c>
    </row>
    <row r="43564" spans="20:20" ht="18.75" customHeight="1" x14ac:dyDescent="0.35">
      <c r="T43564" s="246">
        <f t="shared" si="718"/>
        <v>0</v>
      </c>
    </row>
    <row r="43565" spans="20:20" ht="18.75" customHeight="1" x14ac:dyDescent="0.35">
      <c r="T43565" s="246">
        <f t="shared" si="718"/>
        <v>0</v>
      </c>
    </row>
    <row r="43566" spans="20:20" ht="18.75" customHeight="1" x14ac:dyDescent="0.35">
      <c r="T43566" s="246">
        <f t="shared" si="718"/>
        <v>0</v>
      </c>
    </row>
    <row r="43567" spans="20:20" ht="18.75" customHeight="1" x14ac:dyDescent="0.35">
      <c r="T43567" s="246">
        <f t="shared" si="718"/>
        <v>0</v>
      </c>
    </row>
    <row r="43568" spans="20:20" ht="18.75" customHeight="1" x14ac:dyDescent="0.35">
      <c r="T43568" s="246">
        <f t="shared" si="718"/>
        <v>0</v>
      </c>
    </row>
    <row r="43569" spans="20:20" ht="18.75" customHeight="1" x14ac:dyDescent="0.35">
      <c r="T43569" s="246">
        <f t="shared" si="718"/>
        <v>0</v>
      </c>
    </row>
    <row r="43570" spans="20:20" ht="18.75" customHeight="1" x14ac:dyDescent="0.35">
      <c r="T43570" s="246">
        <f t="shared" si="718"/>
        <v>0</v>
      </c>
    </row>
    <row r="43571" spans="20:20" ht="18.75" customHeight="1" x14ac:dyDescent="0.35">
      <c r="T43571" s="246">
        <f t="shared" si="718"/>
        <v>0</v>
      </c>
    </row>
    <row r="43572" spans="20:20" ht="18.75" customHeight="1" x14ac:dyDescent="0.35">
      <c r="T43572" s="246">
        <f t="shared" si="718"/>
        <v>0</v>
      </c>
    </row>
    <row r="43573" spans="20:20" ht="18.75" customHeight="1" x14ac:dyDescent="0.35">
      <c r="T43573" s="246">
        <f t="shared" si="718"/>
        <v>0</v>
      </c>
    </row>
    <row r="43574" spans="20:20" ht="18.75" customHeight="1" x14ac:dyDescent="0.35">
      <c r="T43574" s="246">
        <f t="shared" si="718"/>
        <v>0</v>
      </c>
    </row>
    <row r="43575" spans="20:20" ht="18.75" customHeight="1" x14ac:dyDescent="0.35">
      <c r="T43575" s="246">
        <f t="shared" si="718"/>
        <v>0</v>
      </c>
    </row>
    <row r="43576" spans="20:20" ht="18.75" customHeight="1" x14ac:dyDescent="0.35">
      <c r="T43576" s="246">
        <f t="shared" si="718"/>
        <v>0</v>
      </c>
    </row>
    <row r="43577" spans="20:20" ht="18.75" customHeight="1" x14ac:dyDescent="0.35">
      <c r="T43577" s="246">
        <f t="shared" si="718"/>
        <v>0</v>
      </c>
    </row>
    <row r="43578" spans="20:20" ht="18.75" customHeight="1" x14ac:dyDescent="0.35">
      <c r="T43578" s="246">
        <f t="shared" si="718"/>
        <v>0</v>
      </c>
    </row>
    <row r="43579" spans="20:20" ht="18.75" customHeight="1" x14ac:dyDescent="0.35">
      <c r="T43579" s="246">
        <f t="shared" si="718"/>
        <v>0</v>
      </c>
    </row>
    <row r="43580" spans="20:20" ht="18.75" customHeight="1" x14ac:dyDescent="0.35">
      <c r="T43580" s="246">
        <f t="shared" ref="T43580:T43643" si="719">R43580*0.01</f>
        <v>0</v>
      </c>
    </row>
    <row r="43581" spans="20:20" ht="18.75" customHeight="1" x14ac:dyDescent="0.35">
      <c r="T43581" s="246">
        <f t="shared" si="719"/>
        <v>0</v>
      </c>
    </row>
    <row r="43582" spans="20:20" ht="18.75" customHeight="1" x14ac:dyDescent="0.35">
      <c r="T43582" s="246">
        <f t="shared" si="719"/>
        <v>0</v>
      </c>
    </row>
    <row r="43583" spans="20:20" ht="18.75" customHeight="1" x14ac:dyDescent="0.35">
      <c r="T43583" s="246">
        <f t="shared" si="719"/>
        <v>0</v>
      </c>
    </row>
    <row r="43584" spans="20:20" ht="18.75" customHeight="1" x14ac:dyDescent="0.35">
      <c r="T43584" s="246">
        <f t="shared" si="719"/>
        <v>0</v>
      </c>
    </row>
    <row r="43585" spans="20:20" ht="18.75" customHeight="1" x14ac:dyDescent="0.35">
      <c r="T43585" s="246">
        <f t="shared" si="719"/>
        <v>0</v>
      </c>
    </row>
    <row r="43586" spans="20:20" ht="18.75" customHeight="1" x14ac:dyDescent="0.35">
      <c r="T43586" s="246">
        <f t="shared" si="719"/>
        <v>0</v>
      </c>
    </row>
    <row r="43587" spans="20:20" ht="18.75" customHeight="1" x14ac:dyDescent="0.35">
      <c r="T43587" s="246">
        <f t="shared" si="719"/>
        <v>0</v>
      </c>
    </row>
    <row r="43588" spans="20:20" ht="18.75" customHeight="1" x14ac:dyDescent="0.35">
      <c r="T43588" s="246">
        <f t="shared" si="719"/>
        <v>0</v>
      </c>
    </row>
    <row r="43589" spans="20:20" ht="18.75" customHeight="1" x14ac:dyDescent="0.35">
      <c r="T43589" s="246">
        <f t="shared" si="719"/>
        <v>0</v>
      </c>
    </row>
    <row r="43590" spans="20:20" ht="18.75" customHeight="1" x14ac:dyDescent="0.35">
      <c r="T43590" s="246">
        <f t="shared" si="719"/>
        <v>0</v>
      </c>
    </row>
    <row r="43591" spans="20:20" ht="18.75" customHeight="1" x14ac:dyDescent="0.35">
      <c r="T43591" s="246">
        <f t="shared" si="719"/>
        <v>0</v>
      </c>
    </row>
    <row r="43592" spans="20:20" ht="18.75" customHeight="1" x14ac:dyDescent="0.35">
      <c r="T43592" s="246">
        <f t="shared" si="719"/>
        <v>0</v>
      </c>
    </row>
    <row r="43593" spans="20:20" ht="18.75" customHeight="1" x14ac:dyDescent="0.35">
      <c r="T43593" s="246">
        <f t="shared" si="719"/>
        <v>0</v>
      </c>
    </row>
    <row r="43594" spans="20:20" ht="18.75" customHeight="1" x14ac:dyDescent="0.35">
      <c r="T43594" s="246">
        <f t="shared" si="719"/>
        <v>0</v>
      </c>
    </row>
    <row r="43595" spans="20:20" ht="18.75" customHeight="1" x14ac:dyDescent="0.35">
      <c r="T43595" s="246">
        <f t="shared" si="719"/>
        <v>0</v>
      </c>
    </row>
    <row r="43596" spans="20:20" ht="18.75" customHeight="1" x14ac:dyDescent="0.35">
      <c r="T43596" s="246">
        <f t="shared" si="719"/>
        <v>0</v>
      </c>
    </row>
    <row r="43597" spans="20:20" ht="18.75" customHeight="1" x14ac:dyDescent="0.35">
      <c r="T43597" s="246">
        <f t="shared" si="719"/>
        <v>0</v>
      </c>
    </row>
    <row r="43598" spans="20:20" ht="18.75" customHeight="1" x14ac:dyDescent="0.35">
      <c r="T43598" s="246">
        <f t="shared" si="719"/>
        <v>0</v>
      </c>
    </row>
    <row r="43599" spans="20:20" ht="18.75" customHeight="1" x14ac:dyDescent="0.35">
      <c r="T43599" s="246">
        <f t="shared" si="719"/>
        <v>0</v>
      </c>
    </row>
    <row r="43600" spans="20:20" ht="18.75" customHeight="1" x14ac:dyDescent="0.35">
      <c r="T43600" s="246">
        <f t="shared" si="719"/>
        <v>0</v>
      </c>
    </row>
    <row r="43601" spans="20:20" ht="18.75" customHeight="1" x14ac:dyDescent="0.35">
      <c r="T43601" s="246">
        <f t="shared" si="719"/>
        <v>0</v>
      </c>
    </row>
    <row r="43602" spans="20:20" ht="18.75" customHeight="1" x14ac:dyDescent="0.35">
      <c r="T43602" s="246">
        <f t="shared" si="719"/>
        <v>0</v>
      </c>
    </row>
    <row r="43603" spans="20:20" ht="18.75" customHeight="1" x14ac:dyDescent="0.35">
      <c r="T43603" s="246">
        <f t="shared" si="719"/>
        <v>0</v>
      </c>
    </row>
    <row r="43604" spans="20:20" ht="18.75" customHeight="1" x14ac:dyDescent="0.35">
      <c r="T43604" s="246">
        <f t="shared" si="719"/>
        <v>0</v>
      </c>
    </row>
    <row r="43605" spans="20:20" ht="18.75" customHeight="1" x14ac:dyDescent="0.35">
      <c r="T43605" s="246">
        <f t="shared" si="719"/>
        <v>0</v>
      </c>
    </row>
    <row r="43606" spans="20:20" ht="18.75" customHeight="1" x14ac:dyDescent="0.35">
      <c r="T43606" s="246">
        <f t="shared" si="719"/>
        <v>0</v>
      </c>
    </row>
    <row r="43607" spans="20:20" ht="18.75" customHeight="1" x14ac:dyDescent="0.35">
      <c r="T43607" s="246">
        <f t="shared" si="719"/>
        <v>0</v>
      </c>
    </row>
    <row r="43608" spans="20:20" ht="18.75" customHeight="1" x14ac:dyDescent="0.35">
      <c r="T43608" s="246">
        <f t="shared" si="719"/>
        <v>0</v>
      </c>
    </row>
    <row r="43609" spans="20:20" ht="18.75" customHeight="1" x14ac:dyDescent="0.35">
      <c r="T43609" s="246">
        <f t="shared" si="719"/>
        <v>0</v>
      </c>
    </row>
    <row r="43610" spans="20:20" ht="18.75" customHeight="1" x14ac:dyDescent="0.35">
      <c r="T43610" s="246">
        <f t="shared" si="719"/>
        <v>0</v>
      </c>
    </row>
    <row r="43611" spans="20:20" ht="18.75" customHeight="1" x14ac:dyDescent="0.35">
      <c r="T43611" s="246">
        <f t="shared" si="719"/>
        <v>0</v>
      </c>
    </row>
    <row r="43612" spans="20:20" ht="18.75" customHeight="1" x14ac:dyDescent="0.35">
      <c r="T43612" s="246">
        <f t="shared" si="719"/>
        <v>0</v>
      </c>
    </row>
    <row r="43613" spans="20:20" ht="18.75" customHeight="1" x14ac:dyDescent="0.35">
      <c r="T43613" s="246">
        <f t="shared" si="719"/>
        <v>0</v>
      </c>
    </row>
    <row r="43614" spans="20:20" ht="18.75" customHeight="1" x14ac:dyDescent="0.35">
      <c r="T43614" s="246">
        <f t="shared" si="719"/>
        <v>0</v>
      </c>
    </row>
    <row r="43615" spans="20:20" ht="18.75" customHeight="1" x14ac:dyDescent="0.35">
      <c r="T43615" s="246">
        <f t="shared" si="719"/>
        <v>0</v>
      </c>
    </row>
    <row r="43616" spans="20:20" ht="18.75" customHeight="1" x14ac:dyDescent="0.35">
      <c r="T43616" s="246">
        <f t="shared" si="719"/>
        <v>0</v>
      </c>
    </row>
    <row r="43617" spans="20:20" ht="18.75" customHeight="1" x14ac:dyDescent="0.35">
      <c r="T43617" s="246">
        <f t="shared" si="719"/>
        <v>0</v>
      </c>
    </row>
    <row r="43618" spans="20:20" ht="18.75" customHeight="1" x14ac:dyDescent="0.35">
      <c r="T43618" s="246">
        <f t="shared" si="719"/>
        <v>0</v>
      </c>
    </row>
    <row r="43619" spans="20:20" ht="18.75" customHeight="1" x14ac:dyDescent="0.35">
      <c r="T43619" s="246">
        <f t="shared" si="719"/>
        <v>0</v>
      </c>
    </row>
    <row r="43620" spans="20:20" ht="18.75" customHeight="1" x14ac:dyDescent="0.35">
      <c r="T43620" s="246">
        <f t="shared" si="719"/>
        <v>0</v>
      </c>
    </row>
    <row r="43621" spans="20:20" ht="18.75" customHeight="1" x14ac:dyDescent="0.35">
      <c r="T43621" s="246">
        <f t="shared" si="719"/>
        <v>0</v>
      </c>
    </row>
    <row r="43622" spans="20:20" ht="18.75" customHeight="1" x14ac:dyDescent="0.35">
      <c r="T43622" s="246">
        <f t="shared" si="719"/>
        <v>0</v>
      </c>
    </row>
    <row r="43623" spans="20:20" ht="18.75" customHeight="1" x14ac:dyDescent="0.35">
      <c r="T43623" s="246">
        <f t="shared" si="719"/>
        <v>0</v>
      </c>
    </row>
    <row r="43624" spans="20:20" ht="18.75" customHeight="1" x14ac:dyDescent="0.35">
      <c r="T43624" s="246">
        <f t="shared" si="719"/>
        <v>0</v>
      </c>
    </row>
    <row r="43625" spans="20:20" ht="18.75" customHeight="1" x14ac:dyDescent="0.35">
      <c r="T43625" s="246">
        <f t="shared" si="719"/>
        <v>0</v>
      </c>
    </row>
    <row r="43626" spans="20:20" ht="18.75" customHeight="1" x14ac:dyDescent="0.35">
      <c r="T43626" s="246">
        <f t="shared" si="719"/>
        <v>0</v>
      </c>
    </row>
    <row r="43627" spans="20:20" ht="18.75" customHeight="1" x14ac:dyDescent="0.35">
      <c r="T43627" s="246">
        <f t="shared" si="719"/>
        <v>0</v>
      </c>
    </row>
    <row r="43628" spans="20:20" ht="18.75" customHeight="1" x14ac:dyDescent="0.35">
      <c r="T43628" s="246">
        <f t="shared" si="719"/>
        <v>0</v>
      </c>
    </row>
    <row r="43629" spans="20:20" ht="18.75" customHeight="1" x14ac:dyDescent="0.35">
      <c r="T43629" s="246">
        <f t="shared" si="719"/>
        <v>0</v>
      </c>
    </row>
    <row r="43630" spans="20:20" ht="18.75" customHeight="1" x14ac:dyDescent="0.35">
      <c r="T43630" s="246">
        <f t="shared" si="719"/>
        <v>0</v>
      </c>
    </row>
    <row r="43631" spans="20:20" ht="18.75" customHeight="1" x14ac:dyDescent="0.35">
      <c r="T43631" s="246">
        <f t="shared" si="719"/>
        <v>0</v>
      </c>
    </row>
    <row r="43632" spans="20:20" ht="18.75" customHeight="1" x14ac:dyDescent="0.35">
      <c r="T43632" s="246">
        <f t="shared" si="719"/>
        <v>0</v>
      </c>
    </row>
    <row r="43633" spans="20:20" ht="18.75" customHeight="1" x14ac:dyDescent="0.35">
      <c r="T43633" s="246">
        <f t="shared" si="719"/>
        <v>0</v>
      </c>
    </row>
    <row r="43634" spans="20:20" ht="18.75" customHeight="1" x14ac:dyDescent="0.35">
      <c r="T43634" s="246">
        <f t="shared" si="719"/>
        <v>0</v>
      </c>
    </row>
    <row r="43635" spans="20:20" ht="18.75" customHeight="1" x14ac:dyDescent="0.35">
      <c r="T43635" s="246">
        <f t="shared" si="719"/>
        <v>0</v>
      </c>
    </row>
    <row r="43636" spans="20:20" ht="18.75" customHeight="1" x14ac:dyDescent="0.35">
      <c r="T43636" s="246">
        <f t="shared" si="719"/>
        <v>0</v>
      </c>
    </row>
    <row r="43637" spans="20:20" ht="18.75" customHeight="1" x14ac:dyDescent="0.35">
      <c r="T43637" s="246">
        <f t="shared" si="719"/>
        <v>0</v>
      </c>
    </row>
    <row r="43638" spans="20:20" ht="18.75" customHeight="1" x14ac:dyDescent="0.35">
      <c r="T43638" s="246">
        <f t="shared" si="719"/>
        <v>0</v>
      </c>
    </row>
    <row r="43639" spans="20:20" ht="18.75" customHeight="1" x14ac:dyDescent="0.35">
      <c r="T43639" s="246">
        <f t="shared" si="719"/>
        <v>0</v>
      </c>
    </row>
    <row r="43640" spans="20:20" ht="18.75" customHeight="1" x14ac:dyDescent="0.35">
      <c r="T43640" s="246">
        <f t="shared" si="719"/>
        <v>0</v>
      </c>
    </row>
    <row r="43641" spans="20:20" ht="18.75" customHeight="1" x14ac:dyDescent="0.35">
      <c r="T43641" s="246">
        <f t="shared" si="719"/>
        <v>0</v>
      </c>
    </row>
    <row r="43642" spans="20:20" ht="18.75" customHeight="1" x14ac:dyDescent="0.35">
      <c r="T43642" s="246">
        <f t="shared" si="719"/>
        <v>0</v>
      </c>
    </row>
    <row r="43643" spans="20:20" ht="18.75" customHeight="1" x14ac:dyDescent="0.35">
      <c r="T43643" s="246">
        <f t="shared" si="719"/>
        <v>0</v>
      </c>
    </row>
    <row r="43644" spans="20:20" ht="18.75" customHeight="1" x14ac:dyDescent="0.35">
      <c r="T43644" s="246">
        <f t="shared" ref="T43644:T43707" si="720">R43644*0.01</f>
        <v>0</v>
      </c>
    </row>
    <row r="43645" spans="20:20" ht="18.75" customHeight="1" x14ac:dyDescent="0.35">
      <c r="T43645" s="246">
        <f t="shared" si="720"/>
        <v>0</v>
      </c>
    </row>
    <row r="43646" spans="20:20" ht="18.75" customHeight="1" x14ac:dyDescent="0.35">
      <c r="T43646" s="246">
        <f t="shared" si="720"/>
        <v>0</v>
      </c>
    </row>
    <row r="43647" spans="20:20" ht="18.75" customHeight="1" x14ac:dyDescent="0.35">
      <c r="T43647" s="246">
        <f t="shared" si="720"/>
        <v>0</v>
      </c>
    </row>
    <row r="43648" spans="20:20" ht="18.75" customHeight="1" x14ac:dyDescent="0.35">
      <c r="T43648" s="246">
        <f t="shared" si="720"/>
        <v>0</v>
      </c>
    </row>
    <row r="43649" spans="20:20" ht="18.75" customHeight="1" x14ac:dyDescent="0.35">
      <c r="T43649" s="246">
        <f t="shared" si="720"/>
        <v>0</v>
      </c>
    </row>
    <row r="43650" spans="20:20" ht="18.75" customHeight="1" x14ac:dyDescent="0.35">
      <c r="T43650" s="246">
        <f t="shared" si="720"/>
        <v>0</v>
      </c>
    </row>
    <row r="43651" spans="20:20" ht="18.75" customHeight="1" x14ac:dyDescent="0.35">
      <c r="T43651" s="246">
        <f t="shared" si="720"/>
        <v>0</v>
      </c>
    </row>
    <row r="43652" spans="20:20" ht="18.75" customHeight="1" x14ac:dyDescent="0.35">
      <c r="T43652" s="246">
        <f t="shared" si="720"/>
        <v>0</v>
      </c>
    </row>
    <row r="43653" spans="20:20" ht="18.75" customHeight="1" x14ac:dyDescent="0.35">
      <c r="T43653" s="246">
        <f t="shared" si="720"/>
        <v>0</v>
      </c>
    </row>
    <row r="43654" spans="20:20" ht="18.75" customHeight="1" x14ac:dyDescent="0.35">
      <c r="T43654" s="246">
        <f t="shared" si="720"/>
        <v>0</v>
      </c>
    </row>
    <row r="43655" spans="20:20" ht="18.75" customHeight="1" x14ac:dyDescent="0.35">
      <c r="T43655" s="246">
        <f t="shared" si="720"/>
        <v>0</v>
      </c>
    </row>
    <row r="43656" spans="20:20" ht="18.75" customHeight="1" x14ac:dyDescent="0.35">
      <c r="T43656" s="246">
        <f t="shared" si="720"/>
        <v>0</v>
      </c>
    </row>
    <row r="43657" spans="20:20" ht="18.75" customHeight="1" x14ac:dyDescent="0.35">
      <c r="T43657" s="246">
        <f t="shared" si="720"/>
        <v>0</v>
      </c>
    </row>
    <row r="43658" spans="20:20" ht="18.75" customHeight="1" x14ac:dyDescent="0.35">
      <c r="T43658" s="246">
        <f t="shared" si="720"/>
        <v>0</v>
      </c>
    </row>
    <row r="43659" spans="20:20" ht="18.75" customHeight="1" x14ac:dyDescent="0.35">
      <c r="T43659" s="246">
        <f t="shared" si="720"/>
        <v>0</v>
      </c>
    </row>
    <row r="43660" spans="20:20" ht="18.75" customHeight="1" x14ac:dyDescent="0.35">
      <c r="T43660" s="246">
        <f t="shared" si="720"/>
        <v>0</v>
      </c>
    </row>
    <row r="43661" spans="20:20" ht="18.75" customHeight="1" x14ac:dyDescent="0.35">
      <c r="T43661" s="246">
        <f t="shared" si="720"/>
        <v>0</v>
      </c>
    </row>
    <row r="43662" spans="20:20" ht="18.75" customHeight="1" x14ac:dyDescent="0.35">
      <c r="T43662" s="246">
        <f t="shared" si="720"/>
        <v>0</v>
      </c>
    </row>
    <row r="43663" spans="20:20" ht="18.75" customHeight="1" x14ac:dyDescent="0.35">
      <c r="T43663" s="246">
        <f t="shared" si="720"/>
        <v>0</v>
      </c>
    </row>
    <row r="43664" spans="20:20" ht="18.75" customHeight="1" x14ac:dyDescent="0.35">
      <c r="T43664" s="246">
        <f t="shared" si="720"/>
        <v>0</v>
      </c>
    </row>
    <row r="43665" spans="20:20" ht="18.75" customHeight="1" x14ac:dyDescent="0.35">
      <c r="T43665" s="246">
        <f t="shared" si="720"/>
        <v>0</v>
      </c>
    </row>
    <row r="43666" spans="20:20" ht="18.75" customHeight="1" x14ac:dyDescent="0.35">
      <c r="T43666" s="246">
        <f t="shared" si="720"/>
        <v>0</v>
      </c>
    </row>
    <row r="43667" spans="20:20" ht="18.75" customHeight="1" x14ac:dyDescent="0.35">
      <c r="T43667" s="246">
        <f t="shared" si="720"/>
        <v>0</v>
      </c>
    </row>
    <row r="43668" spans="20:20" ht="18.75" customHeight="1" x14ac:dyDescent="0.35">
      <c r="T43668" s="246">
        <f t="shared" si="720"/>
        <v>0</v>
      </c>
    </row>
    <row r="43669" spans="20:20" ht="18.75" customHeight="1" x14ac:dyDescent="0.35">
      <c r="T43669" s="246">
        <f t="shared" si="720"/>
        <v>0</v>
      </c>
    </row>
    <row r="43670" spans="20:20" ht="18.75" customHeight="1" x14ac:dyDescent="0.35">
      <c r="T43670" s="246">
        <f t="shared" si="720"/>
        <v>0</v>
      </c>
    </row>
    <row r="43671" spans="20:20" ht="18.75" customHeight="1" x14ac:dyDescent="0.35">
      <c r="T43671" s="246">
        <f t="shared" si="720"/>
        <v>0</v>
      </c>
    </row>
    <row r="43672" spans="20:20" ht="18.75" customHeight="1" x14ac:dyDescent="0.35">
      <c r="T43672" s="246">
        <f t="shared" si="720"/>
        <v>0</v>
      </c>
    </row>
    <row r="43673" spans="20:20" ht="18.75" customHeight="1" x14ac:dyDescent="0.35">
      <c r="T43673" s="246">
        <f t="shared" si="720"/>
        <v>0</v>
      </c>
    </row>
    <row r="43674" spans="20:20" ht="18.75" customHeight="1" x14ac:dyDescent="0.35">
      <c r="T43674" s="246">
        <f t="shared" si="720"/>
        <v>0</v>
      </c>
    </row>
    <row r="43675" spans="20:20" ht="18.75" customHeight="1" x14ac:dyDescent="0.35">
      <c r="T43675" s="246">
        <f t="shared" si="720"/>
        <v>0</v>
      </c>
    </row>
    <row r="43676" spans="20:20" ht="18.75" customHeight="1" x14ac:dyDescent="0.35">
      <c r="T43676" s="246">
        <f t="shared" si="720"/>
        <v>0</v>
      </c>
    </row>
    <row r="43677" spans="20:20" ht="18.75" customHeight="1" x14ac:dyDescent="0.35">
      <c r="T43677" s="246">
        <f t="shared" si="720"/>
        <v>0</v>
      </c>
    </row>
    <row r="43678" spans="20:20" ht="18.75" customHeight="1" x14ac:dyDescent="0.35">
      <c r="T43678" s="246">
        <f t="shared" si="720"/>
        <v>0</v>
      </c>
    </row>
    <row r="43679" spans="20:20" ht="18.75" customHeight="1" x14ac:dyDescent="0.35">
      <c r="T43679" s="246">
        <f t="shared" si="720"/>
        <v>0</v>
      </c>
    </row>
    <row r="43680" spans="20:20" ht="18.75" customHeight="1" x14ac:dyDescent="0.35">
      <c r="T43680" s="246">
        <f t="shared" si="720"/>
        <v>0</v>
      </c>
    </row>
    <row r="43681" spans="20:20" ht="18.75" customHeight="1" x14ac:dyDescent="0.35">
      <c r="T43681" s="246">
        <f t="shared" si="720"/>
        <v>0</v>
      </c>
    </row>
    <row r="43682" spans="20:20" ht="18.75" customHeight="1" x14ac:dyDescent="0.35">
      <c r="T43682" s="246">
        <f t="shared" si="720"/>
        <v>0</v>
      </c>
    </row>
    <row r="43683" spans="20:20" ht="18.75" customHeight="1" x14ac:dyDescent="0.35">
      <c r="T43683" s="246">
        <f t="shared" si="720"/>
        <v>0</v>
      </c>
    </row>
    <row r="43684" spans="20:20" ht="18.75" customHeight="1" x14ac:dyDescent="0.35">
      <c r="T43684" s="246">
        <f t="shared" si="720"/>
        <v>0</v>
      </c>
    </row>
    <row r="43685" spans="20:20" ht="18.75" customHeight="1" x14ac:dyDescent="0.35">
      <c r="T43685" s="246">
        <f t="shared" si="720"/>
        <v>0</v>
      </c>
    </row>
    <row r="43686" spans="20:20" ht="18.75" customHeight="1" x14ac:dyDescent="0.35">
      <c r="T43686" s="246">
        <f t="shared" si="720"/>
        <v>0</v>
      </c>
    </row>
    <row r="43687" spans="20:20" ht="18.75" customHeight="1" x14ac:dyDescent="0.35">
      <c r="T43687" s="246">
        <f t="shared" si="720"/>
        <v>0</v>
      </c>
    </row>
    <row r="43688" spans="20:20" ht="18.75" customHeight="1" x14ac:dyDescent="0.35">
      <c r="T43688" s="246">
        <f t="shared" si="720"/>
        <v>0</v>
      </c>
    </row>
    <row r="43689" spans="20:20" ht="18.75" customHeight="1" x14ac:dyDescent="0.35">
      <c r="T43689" s="246">
        <f t="shared" si="720"/>
        <v>0</v>
      </c>
    </row>
    <row r="43690" spans="20:20" ht="18.75" customHeight="1" x14ac:dyDescent="0.35">
      <c r="T43690" s="246">
        <f t="shared" si="720"/>
        <v>0</v>
      </c>
    </row>
    <row r="43691" spans="20:20" ht="18.75" customHeight="1" x14ac:dyDescent="0.35">
      <c r="T43691" s="246">
        <f t="shared" si="720"/>
        <v>0</v>
      </c>
    </row>
    <row r="43692" spans="20:20" ht="18.75" customHeight="1" x14ac:dyDescent="0.35">
      <c r="T43692" s="246">
        <f t="shared" si="720"/>
        <v>0</v>
      </c>
    </row>
    <row r="43693" spans="20:20" ht="18.75" customHeight="1" x14ac:dyDescent="0.35">
      <c r="T43693" s="246">
        <f t="shared" si="720"/>
        <v>0</v>
      </c>
    </row>
    <row r="43694" spans="20:20" ht="18.75" customHeight="1" x14ac:dyDescent="0.35">
      <c r="T43694" s="246">
        <f t="shared" si="720"/>
        <v>0</v>
      </c>
    </row>
    <row r="43695" spans="20:20" ht="18.75" customHeight="1" x14ac:dyDescent="0.35">
      <c r="T43695" s="246">
        <f t="shared" si="720"/>
        <v>0</v>
      </c>
    </row>
    <row r="43696" spans="20:20" ht="18.75" customHeight="1" x14ac:dyDescent="0.35">
      <c r="T43696" s="246">
        <f t="shared" si="720"/>
        <v>0</v>
      </c>
    </row>
    <row r="43697" spans="20:20" ht="18.75" customHeight="1" x14ac:dyDescent="0.35">
      <c r="T43697" s="246">
        <f t="shared" si="720"/>
        <v>0</v>
      </c>
    </row>
    <row r="43698" spans="20:20" ht="18.75" customHeight="1" x14ac:dyDescent="0.35">
      <c r="T43698" s="246">
        <f t="shared" si="720"/>
        <v>0</v>
      </c>
    </row>
    <row r="43699" spans="20:20" ht="18.75" customHeight="1" x14ac:dyDescent="0.35">
      <c r="T43699" s="246">
        <f t="shared" si="720"/>
        <v>0</v>
      </c>
    </row>
    <row r="43700" spans="20:20" ht="18.75" customHeight="1" x14ac:dyDescent="0.35">
      <c r="T43700" s="246">
        <f t="shared" si="720"/>
        <v>0</v>
      </c>
    </row>
    <row r="43701" spans="20:20" ht="18.75" customHeight="1" x14ac:dyDescent="0.35">
      <c r="T43701" s="246">
        <f t="shared" si="720"/>
        <v>0</v>
      </c>
    </row>
    <row r="43702" spans="20:20" ht="18.75" customHeight="1" x14ac:dyDescent="0.35">
      <c r="T43702" s="246">
        <f t="shared" si="720"/>
        <v>0</v>
      </c>
    </row>
    <row r="43703" spans="20:20" ht="18.75" customHeight="1" x14ac:dyDescent="0.35">
      <c r="T43703" s="246">
        <f t="shared" si="720"/>
        <v>0</v>
      </c>
    </row>
    <row r="43704" spans="20:20" ht="18.75" customHeight="1" x14ac:dyDescent="0.35">
      <c r="T43704" s="246">
        <f t="shared" si="720"/>
        <v>0</v>
      </c>
    </row>
    <row r="43705" spans="20:20" ht="18.75" customHeight="1" x14ac:dyDescent="0.35">
      <c r="T43705" s="246">
        <f t="shared" si="720"/>
        <v>0</v>
      </c>
    </row>
    <row r="43706" spans="20:20" ht="18.75" customHeight="1" x14ac:dyDescent="0.35">
      <c r="T43706" s="246">
        <f t="shared" si="720"/>
        <v>0</v>
      </c>
    </row>
    <row r="43707" spans="20:20" ht="18.75" customHeight="1" x14ac:dyDescent="0.35">
      <c r="T43707" s="246">
        <f t="shared" si="720"/>
        <v>0</v>
      </c>
    </row>
    <row r="43708" spans="20:20" ht="18.75" customHeight="1" x14ac:dyDescent="0.35">
      <c r="T43708" s="246">
        <f t="shared" ref="T43708:T43771" si="721">R43708*0.01</f>
        <v>0</v>
      </c>
    </row>
    <row r="43709" spans="20:20" ht="18.75" customHeight="1" x14ac:dyDescent="0.35">
      <c r="T43709" s="246">
        <f t="shared" si="721"/>
        <v>0</v>
      </c>
    </row>
    <row r="43710" spans="20:20" ht="18.75" customHeight="1" x14ac:dyDescent="0.35">
      <c r="T43710" s="246">
        <f t="shared" si="721"/>
        <v>0</v>
      </c>
    </row>
    <row r="43711" spans="20:20" ht="18.75" customHeight="1" x14ac:dyDescent="0.35">
      <c r="T43711" s="246">
        <f t="shared" si="721"/>
        <v>0</v>
      </c>
    </row>
    <row r="43712" spans="20:20" ht="18.75" customHeight="1" x14ac:dyDescent="0.35">
      <c r="T43712" s="246">
        <f t="shared" si="721"/>
        <v>0</v>
      </c>
    </row>
    <row r="43713" spans="20:20" ht="18.75" customHeight="1" x14ac:dyDescent="0.35">
      <c r="T43713" s="246">
        <f t="shared" si="721"/>
        <v>0</v>
      </c>
    </row>
    <row r="43714" spans="20:20" ht="18.75" customHeight="1" x14ac:dyDescent="0.35">
      <c r="T43714" s="246">
        <f t="shared" si="721"/>
        <v>0</v>
      </c>
    </row>
    <row r="43715" spans="20:20" ht="18.75" customHeight="1" x14ac:dyDescent="0.35">
      <c r="T43715" s="246">
        <f t="shared" si="721"/>
        <v>0</v>
      </c>
    </row>
    <row r="43716" spans="20:20" ht="18.75" customHeight="1" x14ac:dyDescent="0.35">
      <c r="T43716" s="246">
        <f t="shared" si="721"/>
        <v>0</v>
      </c>
    </row>
    <row r="43717" spans="20:20" ht="18.75" customHeight="1" x14ac:dyDescent="0.35">
      <c r="T43717" s="246">
        <f t="shared" si="721"/>
        <v>0</v>
      </c>
    </row>
    <row r="43718" spans="20:20" ht="18.75" customHeight="1" x14ac:dyDescent="0.35">
      <c r="T43718" s="246">
        <f t="shared" si="721"/>
        <v>0</v>
      </c>
    </row>
    <row r="43719" spans="20:20" ht="18.75" customHeight="1" x14ac:dyDescent="0.35">
      <c r="T43719" s="246">
        <f t="shared" si="721"/>
        <v>0</v>
      </c>
    </row>
    <row r="43720" spans="20:20" ht="18.75" customHeight="1" x14ac:dyDescent="0.35">
      <c r="T43720" s="246">
        <f t="shared" si="721"/>
        <v>0</v>
      </c>
    </row>
    <row r="43721" spans="20:20" ht="18.75" customHeight="1" x14ac:dyDescent="0.35">
      <c r="T43721" s="246">
        <f t="shared" si="721"/>
        <v>0</v>
      </c>
    </row>
    <row r="43722" spans="20:20" ht="18.75" customHeight="1" x14ac:dyDescent="0.35">
      <c r="T43722" s="246">
        <f t="shared" si="721"/>
        <v>0</v>
      </c>
    </row>
    <row r="43723" spans="20:20" ht="18.75" customHeight="1" x14ac:dyDescent="0.35">
      <c r="T43723" s="246">
        <f t="shared" si="721"/>
        <v>0</v>
      </c>
    </row>
    <row r="43724" spans="20:20" ht="18.75" customHeight="1" x14ac:dyDescent="0.35">
      <c r="T43724" s="246">
        <f t="shared" si="721"/>
        <v>0</v>
      </c>
    </row>
    <row r="43725" spans="20:20" ht="18.75" customHeight="1" x14ac:dyDescent="0.35">
      <c r="T43725" s="246">
        <f t="shared" si="721"/>
        <v>0</v>
      </c>
    </row>
    <row r="43726" spans="20:20" ht="18.75" customHeight="1" x14ac:dyDescent="0.35">
      <c r="T43726" s="246">
        <f t="shared" si="721"/>
        <v>0</v>
      </c>
    </row>
    <row r="43727" spans="20:20" ht="18.75" customHeight="1" x14ac:dyDescent="0.35">
      <c r="T43727" s="246">
        <f t="shared" si="721"/>
        <v>0</v>
      </c>
    </row>
    <row r="43728" spans="20:20" ht="18.75" customHeight="1" x14ac:dyDescent="0.35">
      <c r="T43728" s="246">
        <f t="shared" si="721"/>
        <v>0</v>
      </c>
    </row>
    <row r="43729" spans="20:20" ht="18.75" customHeight="1" x14ac:dyDescent="0.35">
      <c r="T43729" s="246">
        <f t="shared" si="721"/>
        <v>0</v>
      </c>
    </row>
    <row r="43730" spans="20:20" ht="18.75" customHeight="1" x14ac:dyDescent="0.35">
      <c r="T43730" s="246">
        <f t="shared" si="721"/>
        <v>0</v>
      </c>
    </row>
    <row r="43731" spans="20:20" ht="18.75" customHeight="1" x14ac:dyDescent="0.35">
      <c r="T43731" s="246">
        <f t="shared" si="721"/>
        <v>0</v>
      </c>
    </row>
    <row r="43732" spans="20:20" ht="18.75" customHeight="1" x14ac:dyDescent="0.35">
      <c r="T43732" s="246">
        <f t="shared" si="721"/>
        <v>0</v>
      </c>
    </row>
    <row r="43733" spans="20:20" ht="18.75" customHeight="1" x14ac:dyDescent="0.35">
      <c r="T43733" s="246">
        <f t="shared" si="721"/>
        <v>0</v>
      </c>
    </row>
    <row r="43734" spans="20:20" ht="18.75" customHeight="1" x14ac:dyDescent="0.35">
      <c r="T43734" s="246">
        <f t="shared" si="721"/>
        <v>0</v>
      </c>
    </row>
    <row r="43735" spans="20:20" ht="18.75" customHeight="1" x14ac:dyDescent="0.35">
      <c r="T43735" s="246">
        <f t="shared" si="721"/>
        <v>0</v>
      </c>
    </row>
    <row r="43736" spans="20:20" ht="18.75" customHeight="1" x14ac:dyDescent="0.35">
      <c r="T43736" s="246">
        <f t="shared" si="721"/>
        <v>0</v>
      </c>
    </row>
    <row r="43737" spans="20:20" ht="18.75" customHeight="1" x14ac:dyDescent="0.35">
      <c r="T43737" s="246">
        <f t="shared" si="721"/>
        <v>0</v>
      </c>
    </row>
    <row r="43738" spans="20:20" ht="18.75" customHeight="1" x14ac:dyDescent="0.35">
      <c r="T43738" s="246">
        <f t="shared" si="721"/>
        <v>0</v>
      </c>
    </row>
    <row r="43739" spans="20:20" ht="18.75" customHeight="1" x14ac:dyDescent="0.35">
      <c r="T43739" s="246">
        <f t="shared" si="721"/>
        <v>0</v>
      </c>
    </row>
    <row r="43740" spans="20:20" ht="18.75" customHeight="1" x14ac:dyDescent="0.35">
      <c r="T43740" s="246">
        <f t="shared" si="721"/>
        <v>0</v>
      </c>
    </row>
    <row r="43741" spans="20:20" ht="18.75" customHeight="1" x14ac:dyDescent="0.35">
      <c r="T43741" s="246">
        <f t="shared" si="721"/>
        <v>0</v>
      </c>
    </row>
    <row r="43742" spans="20:20" ht="18.75" customHeight="1" x14ac:dyDescent="0.35">
      <c r="T43742" s="246">
        <f t="shared" si="721"/>
        <v>0</v>
      </c>
    </row>
    <row r="43743" spans="20:20" ht="18.75" customHeight="1" x14ac:dyDescent="0.35">
      <c r="T43743" s="246">
        <f t="shared" si="721"/>
        <v>0</v>
      </c>
    </row>
    <row r="43744" spans="20:20" ht="18.75" customHeight="1" x14ac:dyDescent="0.35">
      <c r="T43744" s="246">
        <f t="shared" si="721"/>
        <v>0</v>
      </c>
    </row>
    <row r="43745" spans="20:20" ht="18.75" customHeight="1" x14ac:dyDescent="0.35">
      <c r="T43745" s="246">
        <f t="shared" si="721"/>
        <v>0</v>
      </c>
    </row>
    <row r="43746" spans="20:20" ht="18.75" customHeight="1" x14ac:dyDescent="0.35">
      <c r="T43746" s="246">
        <f t="shared" si="721"/>
        <v>0</v>
      </c>
    </row>
    <row r="43747" spans="20:20" ht="18.75" customHeight="1" x14ac:dyDescent="0.35">
      <c r="T43747" s="246">
        <f t="shared" si="721"/>
        <v>0</v>
      </c>
    </row>
    <row r="43748" spans="20:20" ht="18.75" customHeight="1" x14ac:dyDescent="0.35">
      <c r="T43748" s="246">
        <f t="shared" si="721"/>
        <v>0</v>
      </c>
    </row>
    <row r="43749" spans="20:20" ht="18.75" customHeight="1" x14ac:dyDescent="0.35">
      <c r="T43749" s="246">
        <f t="shared" si="721"/>
        <v>0</v>
      </c>
    </row>
    <row r="43750" spans="20:20" ht="18.75" customHeight="1" x14ac:dyDescent="0.35">
      <c r="T43750" s="246">
        <f t="shared" si="721"/>
        <v>0</v>
      </c>
    </row>
    <row r="43751" spans="20:20" ht="18.75" customHeight="1" x14ac:dyDescent="0.35">
      <c r="T43751" s="246">
        <f t="shared" si="721"/>
        <v>0</v>
      </c>
    </row>
    <row r="43752" spans="20:20" ht="18.75" customHeight="1" x14ac:dyDescent="0.35">
      <c r="T43752" s="246">
        <f t="shared" si="721"/>
        <v>0</v>
      </c>
    </row>
    <row r="43753" spans="20:20" ht="18.75" customHeight="1" x14ac:dyDescent="0.35">
      <c r="T43753" s="246">
        <f t="shared" si="721"/>
        <v>0</v>
      </c>
    </row>
    <row r="43754" spans="20:20" ht="18.75" customHeight="1" x14ac:dyDescent="0.35">
      <c r="T43754" s="246">
        <f t="shared" si="721"/>
        <v>0</v>
      </c>
    </row>
    <row r="43755" spans="20:20" ht="18.75" customHeight="1" x14ac:dyDescent="0.35">
      <c r="T43755" s="246">
        <f t="shared" si="721"/>
        <v>0</v>
      </c>
    </row>
    <row r="43756" spans="20:20" ht="18.75" customHeight="1" x14ac:dyDescent="0.35">
      <c r="T43756" s="246">
        <f t="shared" si="721"/>
        <v>0</v>
      </c>
    </row>
    <row r="43757" spans="20:20" ht="18.75" customHeight="1" x14ac:dyDescent="0.35">
      <c r="T43757" s="246">
        <f t="shared" si="721"/>
        <v>0</v>
      </c>
    </row>
    <row r="43758" spans="20:20" ht="18.75" customHeight="1" x14ac:dyDescent="0.35">
      <c r="T43758" s="246">
        <f t="shared" si="721"/>
        <v>0</v>
      </c>
    </row>
    <row r="43759" spans="20:20" ht="18.75" customHeight="1" x14ac:dyDescent="0.35">
      <c r="T43759" s="246">
        <f t="shared" si="721"/>
        <v>0</v>
      </c>
    </row>
    <row r="43760" spans="20:20" ht="18.75" customHeight="1" x14ac:dyDescent="0.35">
      <c r="T43760" s="246">
        <f t="shared" si="721"/>
        <v>0</v>
      </c>
    </row>
    <row r="43761" spans="20:20" ht="18.75" customHeight="1" x14ac:dyDescent="0.35">
      <c r="T43761" s="246">
        <f t="shared" si="721"/>
        <v>0</v>
      </c>
    </row>
    <row r="43762" spans="20:20" ht="18.75" customHeight="1" x14ac:dyDescent="0.35">
      <c r="T43762" s="246">
        <f t="shared" si="721"/>
        <v>0</v>
      </c>
    </row>
    <row r="43763" spans="20:20" ht="18.75" customHeight="1" x14ac:dyDescent="0.35">
      <c r="T43763" s="246">
        <f t="shared" si="721"/>
        <v>0</v>
      </c>
    </row>
    <row r="43764" spans="20:20" ht="18.75" customHeight="1" x14ac:dyDescent="0.35">
      <c r="T43764" s="246">
        <f t="shared" si="721"/>
        <v>0</v>
      </c>
    </row>
    <row r="43765" spans="20:20" ht="18.75" customHeight="1" x14ac:dyDescent="0.35">
      <c r="T43765" s="246">
        <f t="shared" si="721"/>
        <v>0</v>
      </c>
    </row>
    <row r="43766" spans="20:20" ht="18.75" customHeight="1" x14ac:dyDescent="0.35">
      <c r="T43766" s="246">
        <f t="shared" si="721"/>
        <v>0</v>
      </c>
    </row>
    <row r="43767" spans="20:20" ht="18.75" customHeight="1" x14ac:dyDescent="0.35">
      <c r="T43767" s="246">
        <f t="shared" si="721"/>
        <v>0</v>
      </c>
    </row>
    <row r="43768" spans="20:20" ht="18.75" customHeight="1" x14ac:dyDescent="0.35">
      <c r="T43768" s="246">
        <f t="shared" si="721"/>
        <v>0</v>
      </c>
    </row>
    <row r="43769" spans="20:20" ht="18.75" customHeight="1" x14ac:dyDescent="0.35">
      <c r="T43769" s="246">
        <f t="shared" si="721"/>
        <v>0</v>
      </c>
    </row>
    <row r="43770" spans="20:20" ht="18.75" customHeight="1" x14ac:dyDescent="0.35">
      <c r="T43770" s="246">
        <f t="shared" si="721"/>
        <v>0</v>
      </c>
    </row>
    <row r="43771" spans="20:20" ht="18.75" customHeight="1" x14ac:dyDescent="0.35">
      <c r="T43771" s="246">
        <f t="shared" si="721"/>
        <v>0</v>
      </c>
    </row>
    <row r="43772" spans="20:20" ht="18.75" customHeight="1" x14ac:dyDescent="0.35">
      <c r="T43772" s="246">
        <f t="shared" ref="T43772:T43835" si="722">R43772*0.01</f>
        <v>0</v>
      </c>
    </row>
    <row r="43773" spans="20:20" ht="18.75" customHeight="1" x14ac:dyDescent="0.35">
      <c r="T43773" s="246">
        <f t="shared" si="722"/>
        <v>0</v>
      </c>
    </row>
    <row r="43774" spans="20:20" ht="18.75" customHeight="1" x14ac:dyDescent="0.35">
      <c r="T43774" s="246">
        <f t="shared" si="722"/>
        <v>0</v>
      </c>
    </row>
    <row r="43775" spans="20:20" ht="18.75" customHeight="1" x14ac:dyDescent="0.35">
      <c r="T43775" s="246">
        <f t="shared" si="722"/>
        <v>0</v>
      </c>
    </row>
    <row r="43776" spans="20:20" ht="18.75" customHeight="1" x14ac:dyDescent="0.35">
      <c r="T43776" s="246">
        <f t="shared" si="722"/>
        <v>0</v>
      </c>
    </row>
    <row r="43777" spans="20:20" ht="18.75" customHeight="1" x14ac:dyDescent="0.35">
      <c r="T43777" s="246">
        <f t="shared" si="722"/>
        <v>0</v>
      </c>
    </row>
    <row r="43778" spans="20:20" ht="18.75" customHeight="1" x14ac:dyDescent="0.35">
      <c r="T43778" s="246">
        <f t="shared" si="722"/>
        <v>0</v>
      </c>
    </row>
    <row r="43779" spans="20:20" ht="18.75" customHeight="1" x14ac:dyDescent="0.35">
      <c r="T43779" s="246">
        <f t="shared" si="722"/>
        <v>0</v>
      </c>
    </row>
    <row r="43780" spans="20:20" ht="18.75" customHeight="1" x14ac:dyDescent="0.35">
      <c r="T43780" s="246">
        <f t="shared" si="722"/>
        <v>0</v>
      </c>
    </row>
    <row r="43781" spans="20:20" ht="18.75" customHeight="1" x14ac:dyDescent="0.35">
      <c r="T43781" s="246">
        <f t="shared" si="722"/>
        <v>0</v>
      </c>
    </row>
    <row r="43782" spans="20:20" ht="18.75" customHeight="1" x14ac:dyDescent="0.35">
      <c r="T43782" s="246">
        <f t="shared" si="722"/>
        <v>0</v>
      </c>
    </row>
    <row r="43783" spans="20:20" ht="18.75" customHeight="1" x14ac:dyDescent="0.35">
      <c r="T43783" s="246">
        <f t="shared" si="722"/>
        <v>0</v>
      </c>
    </row>
    <row r="43784" spans="20:20" ht="18.75" customHeight="1" x14ac:dyDescent="0.35">
      <c r="T43784" s="246">
        <f t="shared" si="722"/>
        <v>0</v>
      </c>
    </row>
    <row r="43785" spans="20:20" ht="18.75" customHeight="1" x14ac:dyDescent="0.35">
      <c r="T43785" s="246">
        <f t="shared" si="722"/>
        <v>0</v>
      </c>
    </row>
    <row r="43786" spans="20:20" ht="18.75" customHeight="1" x14ac:dyDescent="0.35">
      <c r="T43786" s="246">
        <f t="shared" si="722"/>
        <v>0</v>
      </c>
    </row>
    <row r="43787" spans="20:20" ht="18.75" customHeight="1" x14ac:dyDescent="0.35">
      <c r="T43787" s="246">
        <f t="shared" si="722"/>
        <v>0</v>
      </c>
    </row>
    <row r="43788" spans="20:20" ht="18.75" customHeight="1" x14ac:dyDescent="0.35">
      <c r="T43788" s="246">
        <f t="shared" si="722"/>
        <v>0</v>
      </c>
    </row>
    <row r="43789" spans="20:20" ht="18.75" customHeight="1" x14ac:dyDescent="0.35">
      <c r="T43789" s="246">
        <f t="shared" si="722"/>
        <v>0</v>
      </c>
    </row>
    <row r="43790" spans="20:20" ht="18.75" customHeight="1" x14ac:dyDescent="0.35">
      <c r="T43790" s="246">
        <f t="shared" si="722"/>
        <v>0</v>
      </c>
    </row>
    <row r="43791" spans="20:20" ht="18.75" customHeight="1" x14ac:dyDescent="0.35">
      <c r="T43791" s="246">
        <f t="shared" si="722"/>
        <v>0</v>
      </c>
    </row>
    <row r="43792" spans="20:20" ht="18.75" customHeight="1" x14ac:dyDescent="0.35">
      <c r="T43792" s="246">
        <f t="shared" si="722"/>
        <v>0</v>
      </c>
    </row>
    <row r="43793" spans="20:20" ht="18.75" customHeight="1" x14ac:dyDescent="0.35">
      <c r="T43793" s="246">
        <f t="shared" si="722"/>
        <v>0</v>
      </c>
    </row>
    <row r="43794" spans="20:20" ht="18.75" customHeight="1" x14ac:dyDescent="0.35">
      <c r="T43794" s="246">
        <f t="shared" si="722"/>
        <v>0</v>
      </c>
    </row>
    <row r="43795" spans="20:20" ht="18.75" customHeight="1" x14ac:dyDescent="0.35">
      <c r="T43795" s="246">
        <f t="shared" si="722"/>
        <v>0</v>
      </c>
    </row>
    <row r="43796" spans="20:20" ht="18.75" customHeight="1" x14ac:dyDescent="0.35">
      <c r="T43796" s="246">
        <f t="shared" si="722"/>
        <v>0</v>
      </c>
    </row>
    <row r="43797" spans="20:20" ht="18.75" customHeight="1" x14ac:dyDescent="0.35">
      <c r="T43797" s="246">
        <f t="shared" si="722"/>
        <v>0</v>
      </c>
    </row>
    <row r="43798" spans="20:20" ht="18.75" customHeight="1" x14ac:dyDescent="0.35">
      <c r="T43798" s="246">
        <f t="shared" si="722"/>
        <v>0</v>
      </c>
    </row>
    <row r="43799" spans="20:20" ht="18.75" customHeight="1" x14ac:dyDescent="0.35">
      <c r="T43799" s="246">
        <f t="shared" si="722"/>
        <v>0</v>
      </c>
    </row>
    <row r="43800" spans="20:20" ht="18.75" customHeight="1" x14ac:dyDescent="0.35">
      <c r="T43800" s="246">
        <f t="shared" si="722"/>
        <v>0</v>
      </c>
    </row>
    <row r="43801" spans="20:20" ht="18.75" customHeight="1" x14ac:dyDescent="0.35">
      <c r="T43801" s="246">
        <f t="shared" si="722"/>
        <v>0</v>
      </c>
    </row>
    <row r="43802" spans="20:20" ht="18.75" customHeight="1" x14ac:dyDescent="0.35">
      <c r="T43802" s="246">
        <f t="shared" si="722"/>
        <v>0</v>
      </c>
    </row>
    <row r="43803" spans="20:20" ht="18.75" customHeight="1" x14ac:dyDescent="0.35">
      <c r="T43803" s="246">
        <f t="shared" si="722"/>
        <v>0</v>
      </c>
    </row>
    <row r="43804" spans="20:20" ht="18.75" customHeight="1" x14ac:dyDescent="0.35">
      <c r="T43804" s="246">
        <f t="shared" si="722"/>
        <v>0</v>
      </c>
    </row>
    <row r="43805" spans="20:20" ht="18.75" customHeight="1" x14ac:dyDescent="0.35">
      <c r="T43805" s="246">
        <f t="shared" si="722"/>
        <v>0</v>
      </c>
    </row>
    <row r="43806" spans="20:20" ht="18.75" customHeight="1" x14ac:dyDescent="0.35">
      <c r="T43806" s="246">
        <f t="shared" si="722"/>
        <v>0</v>
      </c>
    </row>
    <row r="43807" spans="20:20" ht="18.75" customHeight="1" x14ac:dyDescent="0.35">
      <c r="T43807" s="246">
        <f t="shared" si="722"/>
        <v>0</v>
      </c>
    </row>
    <row r="43808" spans="20:20" ht="18.75" customHeight="1" x14ac:dyDescent="0.35">
      <c r="T43808" s="246">
        <f t="shared" si="722"/>
        <v>0</v>
      </c>
    </row>
    <row r="43809" spans="20:20" ht="18.75" customHeight="1" x14ac:dyDescent="0.35">
      <c r="T43809" s="246">
        <f t="shared" si="722"/>
        <v>0</v>
      </c>
    </row>
    <row r="43810" spans="20:20" ht="18.75" customHeight="1" x14ac:dyDescent="0.35">
      <c r="T43810" s="246">
        <f t="shared" si="722"/>
        <v>0</v>
      </c>
    </row>
    <row r="43811" spans="20:20" ht="18.75" customHeight="1" x14ac:dyDescent="0.35">
      <c r="T43811" s="246">
        <f t="shared" si="722"/>
        <v>0</v>
      </c>
    </row>
    <row r="43812" spans="20:20" ht="18.75" customHeight="1" x14ac:dyDescent="0.35">
      <c r="T43812" s="246">
        <f t="shared" si="722"/>
        <v>0</v>
      </c>
    </row>
    <row r="43813" spans="20:20" ht="18.75" customHeight="1" x14ac:dyDescent="0.35">
      <c r="T43813" s="246">
        <f t="shared" si="722"/>
        <v>0</v>
      </c>
    </row>
    <row r="43814" spans="20:20" ht="18.75" customHeight="1" x14ac:dyDescent="0.35">
      <c r="T43814" s="246">
        <f t="shared" si="722"/>
        <v>0</v>
      </c>
    </row>
    <row r="43815" spans="20:20" ht="18.75" customHeight="1" x14ac:dyDescent="0.35">
      <c r="T43815" s="246">
        <f t="shared" si="722"/>
        <v>0</v>
      </c>
    </row>
    <row r="43816" spans="20:20" ht="18.75" customHeight="1" x14ac:dyDescent="0.35">
      <c r="T43816" s="246">
        <f t="shared" si="722"/>
        <v>0</v>
      </c>
    </row>
    <row r="43817" spans="20:20" ht="18.75" customHeight="1" x14ac:dyDescent="0.35">
      <c r="T43817" s="246">
        <f t="shared" si="722"/>
        <v>0</v>
      </c>
    </row>
    <row r="43818" spans="20:20" ht="18.75" customHeight="1" x14ac:dyDescent="0.35">
      <c r="T43818" s="246">
        <f t="shared" si="722"/>
        <v>0</v>
      </c>
    </row>
    <row r="43819" spans="20:20" ht="18.75" customHeight="1" x14ac:dyDescent="0.35">
      <c r="T43819" s="246">
        <f t="shared" si="722"/>
        <v>0</v>
      </c>
    </row>
    <row r="43820" spans="20:20" ht="18.75" customHeight="1" x14ac:dyDescent="0.35">
      <c r="T43820" s="246">
        <f t="shared" si="722"/>
        <v>0</v>
      </c>
    </row>
    <row r="43821" spans="20:20" ht="18.75" customHeight="1" x14ac:dyDescent="0.35">
      <c r="T43821" s="246">
        <f t="shared" si="722"/>
        <v>0</v>
      </c>
    </row>
    <row r="43822" spans="20:20" ht="18.75" customHeight="1" x14ac:dyDescent="0.35">
      <c r="T43822" s="246">
        <f t="shared" si="722"/>
        <v>0</v>
      </c>
    </row>
    <row r="43823" spans="20:20" ht="18.75" customHeight="1" x14ac:dyDescent="0.35">
      <c r="T43823" s="246">
        <f t="shared" si="722"/>
        <v>0</v>
      </c>
    </row>
    <row r="43824" spans="20:20" ht="18.75" customHeight="1" x14ac:dyDescent="0.35">
      <c r="T43824" s="246">
        <f t="shared" si="722"/>
        <v>0</v>
      </c>
    </row>
    <row r="43825" spans="20:20" ht="18.75" customHeight="1" x14ac:dyDescent="0.35">
      <c r="T43825" s="246">
        <f t="shared" si="722"/>
        <v>0</v>
      </c>
    </row>
    <row r="43826" spans="20:20" ht="18.75" customHeight="1" x14ac:dyDescent="0.35">
      <c r="T43826" s="246">
        <f t="shared" si="722"/>
        <v>0</v>
      </c>
    </row>
    <row r="43827" spans="20:20" ht="18.75" customHeight="1" x14ac:dyDescent="0.35">
      <c r="T43827" s="246">
        <f t="shared" si="722"/>
        <v>0</v>
      </c>
    </row>
    <row r="43828" spans="20:20" ht="18.75" customHeight="1" x14ac:dyDescent="0.35">
      <c r="T43828" s="246">
        <f t="shared" si="722"/>
        <v>0</v>
      </c>
    </row>
    <row r="43829" spans="20:20" ht="18.75" customHeight="1" x14ac:dyDescent="0.35">
      <c r="T43829" s="246">
        <f t="shared" si="722"/>
        <v>0</v>
      </c>
    </row>
    <row r="43830" spans="20:20" ht="18.75" customHeight="1" x14ac:dyDescent="0.35">
      <c r="T43830" s="246">
        <f t="shared" si="722"/>
        <v>0</v>
      </c>
    </row>
    <row r="43831" spans="20:20" ht="18.75" customHeight="1" x14ac:dyDescent="0.35">
      <c r="T43831" s="246">
        <f t="shared" si="722"/>
        <v>0</v>
      </c>
    </row>
    <row r="43832" spans="20:20" ht="18.75" customHeight="1" x14ac:dyDescent="0.35">
      <c r="T43832" s="246">
        <f t="shared" si="722"/>
        <v>0</v>
      </c>
    </row>
    <row r="43833" spans="20:20" ht="18.75" customHeight="1" x14ac:dyDescent="0.35">
      <c r="T43833" s="246">
        <f t="shared" si="722"/>
        <v>0</v>
      </c>
    </row>
    <row r="43834" spans="20:20" ht="18.75" customHeight="1" x14ac:dyDescent="0.35">
      <c r="T43834" s="246">
        <f t="shared" si="722"/>
        <v>0</v>
      </c>
    </row>
    <row r="43835" spans="20:20" ht="18.75" customHeight="1" x14ac:dyDescent="0.35">
      <c r="T43835" s="246">
        <f t="shared" si="722"/>
        <v>0</v>
      </c>
    </row>
    <row r="43836" spans="20:20" ht="18.75" customHeight="1" x14ac:dyDescent="0.35">
      <c r="T43836" s="246">
        <f t="shared" ref="T43836:T43899" si="723">R43836*0.01</f>
        <v>0</v>
      </c>
    </row>
    <row r="43837" spans="20:20" ht="18.75" customHeight="1" x14ac:dyDescent="0.35">
      <c r="T43837" s="246">
        <f t="shared" si="723"/>
        <v>0</v>
      </c>
    </row>
    <row r="43838" spans="20:20" ht="18.75" customHeight="1" x14ac:dyDescent="0.35">
      <c r="T43838" s="246">
        <f t="shared" si="723"/>
        <v>0</v>
      </c>
    </row>
    <row r="43839" spans="20:20" ht="18.75" customHeight="1" x14ac:dyDescent="0.35">
      <c r="T43839" s="246">
        <f t="shared" si="723"/>
        <v>0</v>
      </c>
    </row>
    <row r="43840" spans="20:20" ht="18.75" customHeight="1" x14ac:dyDescent="0.35">
      <c r="T43840" s="246">
        <f t="shared" si="723"/>
        <v>0</v>
      </c>
    </row>
    <row r="43841" spans="20:20" ht="18.75" customHeight="1" x14ac:dyDescent="0.35">
      <c r="T43841" s="246">
        <f t="shared" si="723"/>
        <v>0</v>
      </c>
    </row>
    <row r="43842" spans="20:20" ht="18.75" customHeight="1" x14ac:dyDescent="0.35">
      <c r="T43842" s="246">
        <f t="shared" si="723"/>
        <v>0</v>
      </c>
    </row>
    <row r="43843" spans="20:20" ht="18.75" customHeight="1" x14ac:dyDescent="0.35">
      <c r="T43843" s="246">
        <f t="shared" si="723"/>
        <v>0</v>
      </c>
    </row>
    <row r="43844" spans="20:20" ht="18.75" customHeight="1" x14ac:dyDescent="0.35">
      <c r="T43844" s="246">
        <f t="shared" si="723"/>
        <v>0</v>
      </c>
    </row>
    <row r="43845" spans="20:20" ht="18.75" customHeight="1" x14ac:dyDescent="0.35">
      <c r="T43845" s="246">
        <f t="shared" si="723"/>
        <v>0</v>
      </c>
    </row>
    <row r="43846" spans="20:20" ht="18.75" customHeight="1" x14ac:dyDescent="0.35">
      <c r="T43846" s="246">
        <f t="shared" si="723"/>
        <v>0</v>
      </c>
    </row>
    <row r="43847" spans="20:20" ht="18.75" customHeight="1" x14ac:dyDescent="0.35">
      <c r="T43847" s="246">
        <f t="shared" si="723"/>
        <v>0</v>
      </c>
    </row>
    <row r="43848" spans="20:20" ht="18.75" customHeight="1" x14ac:dyDescent="0.35">
      <c r="T43848" s="246">
        <f t="shared" si="723"/>
        <v>0</v>
      </c>
    </row>
    <row r="43849" spans="20:20" ht="18.75" customHeight="1" x14ac:dyDescent="0.35">
      <c r="T43849" s="246">
        <f t="shared" si="723"/>
        <v>0</v>
      </c>
    </row>
    <row r="43850" spans="20:20" ht="18.75" customHeight="1" x14ac:dyDescent="0.35">
      <c r="T43850" s="246">
        <f t="shared" si="723"/>
        <v>0</v>
      </c>
    </row>
    <row r="43851" spans="20:20" ht="18.75" customHeight="1" x14ac:dyDescent="0.35">
      <c r="T43851" s="246">
        <f t="shared" si="723"/>
        <v>0</v>
      </c>
    </row>
    <row r="43852" spans="20:20" ht="18.75" customHeight="1" x14ac:dyDescent="0.35">
      <c r="T43852" s="246">
        <f t="shared" si="723"/>
        <v>0</v>
      </c>
    </row>
    <row r="43853" spans="20:20" ht="18.75" customHeight="1" x14ac:dyDescent="0.35">
      <c r="T43853" s="246">
        <f t="shared" si="723"/>
        <v>0</v>
      </c>
    </row>
    <row r="43854" spans="20:20" ht="18.75" customHeight="1" x14ac:dyDescent="0.35">
      <c r="T43854" s="246">
        <f t="shared" si="723"/>
        <v>0</v>
      </c>
    </row>
    <row r="43855" spans="20:20" ht="18.75" customHeight="1" x14ac:dyDescent="0.35">
      <c r="T43855" s="246">
        <f t="shared" si="723"/>
        <v>0</v>
      </c>
    </row>
    <row r="43856" spans="20:20" ht="18.75" customHeight="1" x14ac:dyDescent="0.35">
      <c r="T43856" s="246">
        <f t="shared" si="723"/>
        <v>0</v>
      </c>
    </row>
    <row r="43857" spans="20:20" ht="18.75" customHeight="1" x14ac:dyDescent="0.35">
      <c r="T43857" s="246">
        <f t="shared" si="723"/>
        <v>0</v>
      </c>
    </row>
    <row r="43858" spans="20:20" ht="18.75" customHeight="1" x14ac:dyDescent="0.35">
      <c r="T43858" s="246">
        <f t="shared" si="723"/>
        <v>0</v>
      </c>
    </row>
    <row r="43859" spans="20:20" ht="18.75" customHeight="1" x14ac:dyDescent="0.35">
      <c r="T43859" s="246">
        <f t="shared" si="723"/>
        <v>0</v>
      </c>
    </row>
    <row r="43860" spans="20:20" ht="18.75" customHeight="1" x14ac:dyDescent="0.35">
      <c r="T43860" s="246">
        <f t="shared" si="723"/>
        <v>0</v>
      </c>
    </row>
    <row r="43861" spans="20:20" ht="18.75" customHeight="1" x14ac:dyDescent="0.35">
      <c r="T43861" s="246">
        <f t="shared" si="723"/>
        <v>0</v>
      </c>
    </row>
    <row r="43862" spans="20:20" ht="18.75" customHeight="1" x14ac:dyDescent="0.35">
      <c r="T43862" s="246">
        <f t="shared" si="723"/>
        <v>0</v>
      </c>
    </row>
    <row r="43863" spans="20:20" ht="18.75" customHeight="1" x14ac:dyDescent="0.35">
      <c r="T43863" s="246">
        <f t="shared" si="723"/>
        <v>0</v>
      </c>
    </row>
    <row r="43864" spans="20:20" ht="18.75" customHeight="1" x14ac:dyDescent="0.35">
      <c r="T43864" s="246">
        <f t="shared" si="723"/>
        <v>0</v>
      </c>
    </row>
    <row r="43865" spans="20:20" ht="18.75" customHeight="1" x14ac:dyDescent="0.35">
      <c r="T43865" s="246">
        <f t="shared" si="723"/>
        <v>0</v>
      </c>
    </row>
    <row r="43866" spans="20:20" ht="18.75" customHeight="1" x14ac:dyDescent="0.35">
      <c r="T43866" s="246">
        <f t="shared" si="723"/>
        <v>0</v>
      </c>
    </row>
    <row r="43867" spans="20:20" ht="18.75" customHeight="1" x14ac:dyDescent="0.35">
      <c r="T43867" s="246">
        <f t="shared" si="723"/>
        <v>0</v>
      </c>
    </row>
    <row r="43868" spans="20:20" ht="18.75" customHeight="1" x14ac:dyDescent="0.35">
      <c r="T43868" s="246">
        <f t="shared" si="723"/>
        <v>0</v>
      </c>
    </row>
    <row r="43869" spans="20:20" ht="18.75" customHeight="1" x14ac:dyDescent="0.35">
      <c r="T43869" s="246">
        <f t="shared" si="723"/>
        <v>0</v>
      </c>
    </row>
    <row r="43870" spans="20:20" ht="18.75" customHeight="1" x14ac:dyDescent="0.35">
      <c r="T43870" s="246">
        <f t="shared" si="723"/>
        <v>0</v>
      </c>
    </row>
    <row r="43871" spans="20:20" ht="18.75" customHeight="1" x14ac:dyDescent="0.35">
      <c r="T43871" s="246">
        <f t="shared" si="723"/>
        <v>0</v>
      </c>
    </row>
    <row r="43872" spans="20:20" ht="18.75" customHeight="1" x14ac:dyDescent="0.35">
      <c r="T43872" s="246">
        <f t="shared" si="723"/>
        <v>0</v>
      </c>
    </row>
    <row r="43873" spans="20:20" ht="18.75" customHeight="1" x14ac:dyDescent="0.35">
      <c r="T43873" s="246">
        <f t="shared" si="723"/>
        <v>0</v>
      </c>
    </row>
    <row r="43874" spans="20:20" ht="18.75" customHeight="1" x14ac:dyDescent="0.35">
      <c r="T43874" s="246">
        <f t="shared" si="723"/>
        <v>0</v>
      </c>
    </row>
    <row r="43875" spans="20:20" ht="18.75" customHeight="1" x14ac:dyDescent="0.35">
      <c r="T43875" s="246">
        <f t="shared" si="723"/>
        <v>0</v>
      </c>
    </row>
    <row r="43876" spans="20:20" ht="18.75" customHeight="1" x14ac:dyDescent="0.35">
      <c r="T43876" s="246">
        <f t="shared" si="723"/>
        <v>0</v>
      </c>
    </row>
    <row r="43877" spans="20:20" ht="18.75" customHeight="1" x14ac:dyDescent="0.35">
      <c r="T43877" s="246">
        <f t="shared" si="723"/>
        <v>0</v>
      </c>
    </row>
    <row r="43878" spans="20:20" ht="18.75" customHeight="1" x14ac:dyDescent="0.35">
      <c r="T43878" s="246">
        <f t="shared" si="723"/>
        <v>0</v>
      </c>
    </row>
    <row r="43879" spans="20:20" ht="18.75" customHeight="1" x14ac:dyDescent="0.35">
      <c r="T43879" s="246">
        <f t="shared" si="723"/>
        <v>0</v>
      </c>
    </row>
    <row r="43880" spans="20:20" ht="18.75" customHeight="1" x14ac:dyDescent="0.35">
      <c r="T43880" s="246">
        <f t="shared" si="723"/>
        <v>0</v>
      </c>
    </row>
    <row r="43881" spans="20:20" ht="18.75" customHeight="1" x14ac:dyDescent="0.35">
      <c r="T43881" s="246">
        <f t="shared" si="723"/>
        <v>0</v>
      </c>
    </row>
    <row r="43882" spans="20:20" ht="18.75" customHeight="1" x14ac:dyDescent="0.35">
      <c r="T43882" s="246">
        <f t="shared" si="723"/>
        <v>0</v>
      </c>
    </row>
    <row r="43883" spans="20:20" ht="18.75" customHeight="1" x14ac:dyDescent="0.35">
      <c r="T43883" s="246">
        <f t="shared" si="723"/>
        <v>0</v>
      </c>
    </row>
    <row r="43884" spans="20:20" ht="18.75" customHeight="1" x14ac:dyDescent="0.35">
      <c r="T43884" s="246">
        <f t="shared" si="723"/>
        <v>0</v>
      </c>
    </row>
    <row r="43885" spans="20:20" ht="18.75" customHeight="1" x14ac:dyDescent="0.35">
      <c r="T43885" s="246">
        <f t="shared" si="723"/>
        <v>0</v>
      </c>
    </row>
    <row r="43886" spans="20:20" ht="18.75" customHeight="1" x14ac:dyDescent="0.35">
      <c r="T43886" s="246">
        <f t="shared" si="723"/>
        <v>0</v>
      </c>
    </row>
    <row r="43887" spans="20:20" ht="18.75" customHeight="1" x14ac:dyDescent="0.35">
      <c r="T43887" s="246">
        <f t="shared" si="723"/>
        <v>0</v>
      </c>
    </row>
    <row r="43888" spans="20:20" ht="18.75" customHeight="1" x14ac:dyDescent="0.35">
      <c r="T43888" s="246">
        <f t="shared" si="723"/>
        <v>0</v>
      </c>
    </row>
    <row r="43889" spans="20:20" ht="18.75" customHeight="1" x14ac:dyDescent="0.35">
      <c r="T43889" s="246">
        <f t="shared" si="723"/>
        <v>0</v>
      </c>
    </row>
    <row r="43890" spans="20:20" ht="18.75" customHeight="1" x14ac:dyDescent="0.35">
      <c r="T43890" s="246">
        <f t="shared" si="723"/>
        <v>0</v>
      </c>
    </row>
    <row r="43891" spans="20:20" ht="18.75" customHeight="1" x14ac:dyDescent="0.35">
      <c r="T43891" s="246">
        <f t="shared" si="723"/>
        <v>0</v>
      </c>
    </row>
    <row r="43892" spans="20:20" ht="18.75" customHeight="1" x14ac:dyDescent="0.35">
      <c r="T43892" s="246">
        <f t="shared" si="723"/>
        <v>0</v>
      </c>
    </row>
    <row r="43893" spans="20:20" ht="18.75" customHeight="1" x14ac:dyDescent="0.35">
      <c r="T43893" s="246">
        <f t="shared" si="723"/>
        <v>0</v>
      </c>
    </row>
    <row r="43894" spans="20:20" ht="18.75" customHeight="1" x14ac:dyDescent="0.35">
      <c r="T43894" s="246">
        <f t="shared" si="723"/>
        <v>0</v>
      </c>
    </row>
    <row r="43895" spans="20:20" ht="18.75" customHeight="1" x14ac:dyDescent="0.35">
      <c r="T43895" s="246">
        <f t="shared" si="723"/>
        <v>0</v>
      </c>
    </row>
    <row r="43896" spans="20:20" ht="18.75" customHeight="1" x14ac:dyDescent="0.35">
      <c r="T43896" s="246">
        <f t="shared" si="723"/>
        <v>0</v>
      </c>
    </row>
    <row r="43897" spans="20:20" ht="18.75" customHeight="1" x14ac:dyDescent="0.35">
      <c r="T43897" s="246">
        <f t="shared" si="723"/>
        <v>0</v>
      </c>
    </row>
    <row r="43898" spans="20:20" ht="18.75" customHeight="1" x14ac:dyDescent="0.35">
      <c r="T43898" s="246">
        <f t="shared" si="723"/>
        <v>0</v>
      </c>
    </row>
    <row r="43899" spans="20:20" ht="18.75" customHeight="1" x14ac:dyDescent="0.35">
      <c r="T43899" s="246">
        <f t="shared" si="723"/>
        <v>0</v>
      </c>
    </row>
    <row r="43900" spans="20:20" ht="18.75" customHeight="1" x14ac:dyDescent="0.35">
      <c r="T43900" s="246">
        <f t="shared" ref="T43900:T43963" si="724">R43900*0.01</f>
        <v>0</v>
      </c>
    </row>
    <row r="43901" spans="20:20" ht="18.75" customHeight="1" x14ac:dyDescent="0.35">
      <c r="T43901" s="246">
        <f t="shared" si="724"/>
        <v>0</v>
      </c>
    </row>
    <row r="43902" spans="20:20" ht="18.75" customHeight="1" x14ac:dyDescent="0.35">
      <c r="T43902" s="246">
        <f t="shared" si="724"/>
        <v>0</v>
      </c>
    </row>
    <row r="43903" spans="20:20" ht="18.75" customHeight="1" x14ac:dyDescent="0.35">
      <c r="T43903" s="246">
        <f t="shared" si="724"/>
        <v>0</v>
      </c>
    </row>
    <row r="43904" spans="20:20" ht="18.75" customHeight="1" x14ac:dyDescent="0.35">
      <c r="T43904" s="246">
        <f t="shared" si="724"/>
        <v>0</v>
      </c>
    </row>
    <row r="43905" spans="20:20" ht="18.75" customHeight="1" x14ac:dyDescent="0.35">
      <c r="T43905" s="246">
        <f t="shared" si="724"/>
        <v>0</v>
      </c>
    </row>
    <row r="43906" spans="20:20" ht="18.75" customHeight="1" x14ac:dyDescent="0.35">
      <c r="T43906" s="246">
        <f t="shared" si="724"/>
        <v>0</v>
      </c>
    </row>
    <row r="43907" spans="20:20" ht="18.75" customHeight="1" x14ac:dyDescent="0.35">
      <c r="T43907" s="246">
        <f t="shared" si="724"/>
        <v>0</v>
      </c>
    </row>
    <row r="43908" spans="20:20" ht="18.75" customHeight="1" x14ac:dyDescent="0.35">
      <c r="T43908" s="246">
        <f t="shared" si="724"/>
        <v>0</v>
      </c>
    </row>
    <row r="43909" spans="20:20" ht="18.75" customHeight="1" x14ac:dyDescent="0.35">
      <c r="T43909" s="246">
        <f t="shared" si="724"/>
        <v>0</v>
      </c>
    </row>
    <row r="43910" spans="20:20" ht="18.75" customHeight="1" x14ac:dyDescent="0.35">
      <c r="T43910" s="246">
        <f t="shared" si="724"/>
        <v>0</v>
      </c>
    </row>
    <row r="43911" spans="20:20" ht="18.75" customHeight="1" x14ac:dyDescent="0.35">
      <c r="T43911" s="246">
        <f t="shared" si="724"/>
        <v>0</v>
      </c>
    </row>
    <row r="43912" spans="20:20" ht="18.75" customHeight="1" x14ac:dyDescent="0.35">
      <c r="T43912" s="246">
        <f t="shared" si="724"/>
        <v>0</v>
      </c>
    </row>
    <row r="43913" spans="20:20" ht="18.75" customHeight="1" x14ac:dyDescent="0.35">
      <c r="T43913" s="246">
        <f t="shared" si="724"/>
        <v>0</v>
      </c>
    </row>
    <row r="43914" spans="20:20" ht="18.75" customHeight="1" x14ac:dyDescent="0.35">
      <c r="T43914" s="246">
        <f t="shared" si="724"/>
        <v>0</v>
      </c>
    </row>
    <row r="43915" spans="20:20" ht="18.75" customHeight="1" x14ac:dyDescent="0.35">
      <c r="T43915" s="246">
        <f t="shared" si="724"/>
        <v>0</v>
      </c>
    </row>
    <row r="43916" spans="20:20" ht="18.75" customHeight="1" x14ac:dyDescent="0.35">
      <c r="T43916" s="246">
        <f t="shared" si="724"/>
        <v>0</v>
      </c>
    </row>
    <row r="43917" spans="20:20" ht="18.75" customHeight="1" x14ac:dyDescent="0.35">
      <c r="T43917" s="246">
        <f t="shared" si="724"/>
        <v>0</v>
      </c>
    </row>
    <row r="43918" spans="20:20" ht="18.75" customHeight="1" x14ac:dyDescent="0.35">
      <c r="T43918" s="246">
        <f t="shared" si="724"/>
        <v>0</v>
      </c>
    </row>
    <row r="43919" spans="20:20" ht="18.75" customHeight="1" x14ac:dyDescent="0.35">
      <c r="T43919" s="246">
        <f t="shared" si="724"/>
        <v>0</v>
      </c>
    </row>
    <row r="43920" spans="20:20" ht="18.75" customHeight="1" x14ac:dyDescent="0.35">
      <c r="T43920" s="246">
        <f t="shared" si="724"/>
        <v>0</v>
      </c>
    </row>
    <row r="43921" spans="20:20" ht="18.75" customHeight="1" x14ac:dyDescent="0.35">
      <c r="T43921" s="246">
        <f t="shared" si="724"/>
        <v>0</v>
      </c>
    </row>
    <row r="43922" spans="20:20" ht="18.75" customHeight="1" x14ac:dyDescent="0.35">
      <c r="T43922" s="246">
        <f t="shared" si="724"/>
        <v>0</v>
      </c>
    </row>
    <row r="43923" spans="20:20" ht="18.75" customHeight="1" x14ac:dyDescent="0.35">
      <c r="T43923" s="246">
        <f t="shared" si="724"/>
        <v>0</v>
      </c>
    </row>
    <row r="43924" spans="20:20" ht="18.75" customHeight="1" x14ac:dyDescent="0.35">
      <c r="T43924" s="246">
        <f t="shared" si="724"/>
        <v>0</v>
      </c>
    </row>
    <row r="43925" spans="20:20" ht="18.75" customHeight="1" x14ac:dyDescent="0.35">
      <c r="T43925" s="246">
        <f t="shared" si="724"/>
        <v>0</v>
      </c>
    </row>
    <row r="43926" spans="20:20" ht="18.75" customHeight="1" x14ac:dyDescent="0.35">
      <c r="T43926" s="246">
        <f t="shared" si="724"/>
        <v>0</v>
      </c>
    </row>
    <row r="43927" spans="20:20" ht="18.75" customHeight="1" x14ac:dyDescent="0.35">
      <c r="T43927" s="246">
        <f t="shared" si="724"/>
        <v>0</v>
      </c>
    </row>
    <row r="43928" spans="20:20" ht="18.75" customHeight="1" x14ac:dyDescent="0.35">
      <c r="T43928" s="246">
        <f t="shared" si="724"/>
        <v>0</v>
      </c>
    </row>
    <row r="43929" spans="20:20" ht="18.75" customHeight="1" x14ac:dyDescent="0.35">
      <c r="T43929" s="246">
        <f t="shared" si="724"/>
        <v>0</v>
      </c>
    </row>
    <row r="43930" spans="20:20" ht="18.75" customHeight="1" x14ac:dyDescent="0.35">
      <c r="T43930" s="246">
        <f t="shared" si="724"/>
        <v>0</v>
      </c>
    </row>
    <row r="43931" spans="20:20" ht="18.75" customHeight="1" x14ac:dyDescent="0.35">
      <c r="T43931" s="246">
        <f t="shared" si="724"/>
        <v>0</v>
      </c>
    </row>
    <row r="43932" spans="20:20" ht="18.75" customHeight="1" x14ac:dyDescent="0.35">
      <c r="T43932" s="246">
        <f t="shared" si="724"/>
        <v>0</v>
      </c>
    </row>
    <row r="43933" spans="20:20" ht="18.75" customHeight="1" x14ac:dyDescent="0.35">
      <c r="T43933" s="246">
        <f t="shared" si="724"/>
        <v>0</v>
      </c>
    </row>
    <row r="43934" spans="20:20" ht="18.75" customHeight="1" x14ac:dyDescent="0.35">
      <c r="T43934" s="246">
        <f t="shared" si="724"/>
        <v>0</v>
      </c>
    </row>
    <row r="43935" spans="20:20" ht="18.75" customHeight="1" x14ac:dyDescent="0.35">
      <c r="T43935" s="246">
        <f t="shared" si="724"/>
        <v>0</v>
      </c>
    </row>
    <row r="43936" spans="20:20" ht="18.75" customHeight="1" x14ac:dyDescent="0.35">
      <c r="T43936" s="246">
        <f t="shared" si="724"/>
        <v>0</v>
      </c>
    </row>
    <row r="43937" spans="20:20" ht="18.75" customHeight="1" x14ac:dyDescent="0.35">
      <c r="T43937" s="246">
        <f t="shared" si="724"/>
        <v>0</v>
      </c>
    </row>
    <row r="43938" spans="20:20" ht="18.75" customHeight="1" x14ac:dyDescent="0.35">
      <c r="T43938" s="246">
        <f t="shared" si="724"/>
        <v>0</v>
      </c>
    </row>
    <row r="43939" spans="20:20" ht="18.75" customHeight="1" x14ac:dyDescent="0.35">
      <c r="T43939" s="246">
        <f t="shared" si="724"/>
        <v>0</v>
      </c>
    </row>
    <row r="43940" spans="20:20" ht="18.75" customHeight="1" x14ac:dyDescent="0.35">
      <c r="T43940" s="246">
        <f t="shared" si="724"/>
        <v>0</v>
      </c>
    </row>
    <row r="43941" spans="20:20" ht="18.75" customHeight="1" x14ac:dyDescent="0.35">
      <c r="T43941" s="246">
        <f t="shared" si="724"/>
        <v>0</v>
      </c>
    </row>
    <row r="43942" spans="20:20" ht="18.75" customHeight="1" x14ac:dyDescent="0.35">
      <c r="T43942" s="246">
        <f t="shared" si="724"/>
        <v>0</v>
      </c>
    </row>
    <row r="43943" spans="20:20" ht="18.75" customHeight="1" x14ac:dyDescent="0.35">
      <c r="T43943" s="246">
        <f t="shared" si="724"/>
        <v>0</v>
      </c>
    </row>
    <row r="43944" spans="20:20" ht="18.75" customHeight="1" x14ac:dyDescent="0.35">
      <c r="T43944" s="246">
        <f t="shared" si="724"/>
        <v>0</v>
      </c>
    </row>
    <row r="43945" spans="20:20" ht="18.75" customHeight="1" x14ac:dyDescent="0.35">
      <c r="T43945" s="246">
        <f t="shared" si="724"/>
        <v>0</v>
      </c>
    </row>
    <row r="43946" spans="20:20" ht="18.75" customHeight="1" x14ac:dyDescent="0.35">
      <c r="T43946" s="246">
        <f t="shared" si="724"/>
        <v>0</v>
      </c>
    </row>
    <row r="43947" spans="20:20" ht="18.75" customHeight="1" x14ac:dyDescent="0.35">
      <c r="T43947" s="246">
        <f t="shared" si="724"/>
        <v>0</v>
      </c>
    </row>
    <row r="43948" spans="20:20" ht="18.75" customHeight="1" x14ac:dyDescent="0.35">
      <c r="T43948" s="246">
        <f t="shared" si="724"/>
        <v>0</v>
      </c>
    </row>
    <row r="43949" spans="20:20" ht="18.75" customHeight="1" x14ac:dyDescent="0.35">
      <c r="T43949" s="246">
        <f t="shared" si="724"/>
        <v>0</v>
      </c>
    </row>
    <row r="43950" spans="20:20" ht="18.75" customHeight="1" x14ac:dyDescent="0.35">
      <c r="T43950" s="246">
        <f t="shared" si="724"/>
        <v>0</v>
      </c>
    </row>
    <row r="43951" spans="20:20" ht="18.75" customHeight="1" x14ac:dyDescent="0.35">
      <c r="T43951" s="246">
        <f t="shared" si="724"/>
        <v>0</v>
      </c>
    </row>
    <row r="43952" spans="20:20" ht="18.75" customHeight="1" x14ac:dyDescent="0.35">
      <c r="T43952" s="246">
        <f t="shared" si="724"/>
        <v>0</v>
      </c>
    </row>
    <row r="43953" spans="20:20" ht="18.75" customHeight="1" x14ac:dyDescent="0.35">
      <c r="T43953" s="246">
        <f t="shared" si="724"/>
        <v>0</v>
      </c>
    </row>
    <row r="43954" spans="20:20" ht="18.75" customHeight="1" x14ac:dyDescent="0.35">
      <c r="T43954" s="246">
        <f t="shared" si="724"/>
        <v>0</v>
      </c>
    </row>
    <row r="43955" spans="20:20" ht="18.75" customHeight="1" x14ac:dyDescent="0.35">
      <c r="T43955" s="246">
        <f t="shared" si="724"/>
        <v>0</v>
      </c>
    </row>
    <row r="43956" spans="20:20" ht="18.75" customHeight="1" x14ac:dyDescent="0.35">
      <c r="T43956" s="246">
        <f t="shared" si="724"/>
        <v>0</v>
      </c>
    </row>
    <row r="43957" spans="20:20" ht="18.75" customHeight="1" x14ac:dyDescent="0.35">
      <c r="T43957" s="246">
        <f t="shared" si="724"/>
        <v>0</v>
      </c>
    </row>
    <row r="43958" spans="20:20" ht="18.75" customHeight="1" x14ac:dyDescent="0.35">
      <c r="T43958" s="246">
        <f t="shared" si="724"/>
        <v>0</v>
      </c>
    </row>
    <row r="43959" spans="20:20" ht="18.75" customHeight="1" x14ac:dyDescent="0.35">
      <c r="T43959" s="246">
        <f t="shared" si="724"/>
        <v>0</v>
      </c>
    </row>
    <row r="43960" spans="20:20" ht="18.75" customHeight="1" x14ac:dyDescent="0.35">
      <c r="T43960" s="246">
        <f t="shared" si="724"/>
        <v>0</v>
      </c>
    </row>
    <row r="43961" spans="20:20" ht="18.75" customHeight="1" x14ac:dyDescent="0.35">
      <c r="T43961" s="246">
        <f t="shared" si="724"/>
        <v>0</v>
      </c>
    </row>
    <row r="43962" spans="20:20" ht="18.75" customHeight="1" x14ac:dyDescent="0.35">
      <c r="T43962" s="246">
        <f t="shared" si="724"/>
        <v>0</v>
      </c>
    </row>
    <row r="43963" spans="20:20" ht="18.75" customHeight="1" x14ac:dyDescent="0.35">
      <c r="T43963" s="246">
        <f t="shared" si="724"/>
        <v>0</v>
      </c>
    </row>
    <row r="43964" spans="20:20" ht="18.75" customHeight="1" x14ac:dyDescent="0.35">
      <c r="T43964" s="246">
        <f t="shared" ref="T43964:T44027" si="725">R43964*0.01</f>
        <v>0</v>
      </c>
    </row>
    <row r="43965" spans="20:20" ht="18.75" customHeight="1" x14ac:dyDescent="0.35">
      <c r="T43965" s="246">
        <f t="shared" si="725"/>
        <v>0</v>
      </c>
    </row>
    <row r="43966" spans="20:20" ht="18.75" customHeight="1" x14ac:dyDescent="0.35">
      <c r="T43966" s="246">
        <f t="shared" si="725"/>
        <v>0</v>
      </c>
    </row>
    <row r="43967" spans="20:20" ht="18.75" customHeight="1" x14ac:dyDescent="0.35">
      <c r="T43967" s="246">
        <f t="shared" si="725"/>
        <v>0</v>
      </c>
    </row>
    <row r="43968" spans="20:20" ht="18.75" customHeight="1" x14ac:dyDescent="0.35">
      <c r="T43968" s="246">
        <f t="shared" si="725"/>
        <v>0</v>
      </c>
    </row>
    <row r="43969" spans="20:20" ht="18.75" customHeight="1" x14ac:dyDescent="0.35">
      <c r="T43969" s="246">
        <f t="shared" si="725"/>
        <v>0</v>
      </c>
    </row>
    <row r="43970" spans="20:20" ht="18.75" customHeight="1" x14ac:dyDescent="0.35">
      <c r="T43970" s="246">
        <f t="shared" si="725"/>
        <v>0</v>
      </c>
    </row>
    <row r="43971" spans="20:20" ht="18.75" customHeight="1" x14ac:dyDescent="0.35">
      <c r="T43971" s="246">
        <f t="shared" si="725"/>
        <v>0</v>
      </c>
    </row>
    <row r="43972" spans="20:20" ht="18.75" customHeight="1" x14ac:dyDescent="0.35">
      <c r="T43972" s="246">
        <f t="shared" si="725"/>
        <v>0</v>
      </c>
    </row>
    <row r="43973" spans="20:20" ht="18.75" customHeight="1" x14ac:dyDescent="0.35">
      <c r="T43973" s="246">
        <f t="shared" si="725"/>
        <v>0</v>
      </c>
    </row>
    <row r="43974" spans="20:20" ht="18.75" customHeight="1" x14ac:dyDescent="0.35">
      <c r="T43974" s="246">
        <f t="shared" si="725"/>
        <v>0</v>
      </c>
    </row>
    <row r="43975" spans="20:20" ht="18.75" customHeight="1" x14ac:dyDescent="0.35">
      <c r="T43975" s="246">
        <f t="shared" si="725"/>
        <v>0</v>
      </c>
    </row>
    <row r="43976" spans="20:20" ht="18.75" customHeight="1" x14ac:dyDescent="0.35">
      <c r="T43976" s="246">
        <f t="shared" si="725"/>
        <v>0</v>
      </c>
    </row>
    <row r="43977" spans="20:20" ht="18.75" customHeight="1" x14ac:dyDescent="0.35">
      <c r="T43977" s="246">
        <f t="shared" si="725"/>
        <v>0</v>
      </c>
    </row>
    <row r="43978" spans="20:20" ht="18.75" customHeight="1" x14ac:dyDescent="0.35">
      <c r="T43978" s="246">
        <f t="shared" si="725"/>
        <v>0</v>
      </c>
    </row>
    <row r="43979" spans="20:20" ht="18.75" customHeight="1" x14ac:dyDescent="0.35">
      <c r="T43979" s="246">
        <f t="shared" si="725"/>
        <v>0</v>
      </c>
    </row>
    <row r="43980" spans="20:20" ht="18.75" customHeight="1" x14ac:dyDescent="0.35">
      <c r="T43980" s="246">
        <f t="shared" si="725"/>
        <v>0</v>
      </c>
    </row>
    <row r="43981" spans="20:20" ht="18.75" customHeight="1" x14ac:dyDescent="0.35">
      <c r="T43981" s="246">
        <f t="shared" si="725"/>
        <v>0</v>
      </c>
    </row>
    <row r="43982" spans="20:20" ht="18.75" customHeight="1" x14ac:dyDescent="0.35">
      <c r="T43982" s="246">
        <f t="shared" si="725"/>
        <v>0</v>
      </c>
    </row>
    <row r="43983" spans="20:20" ht="18.75" customHeight="1" x14ac:dyDescent="0.35">
      <c r="T43983" s="246">
        <f t="shared" si="725"/>
        <v>0</v>
      </c>
    </row>
    <row r="43984" spans="20:20" ht="18.75" customHeight="1" x14ac:dyDescent="0.35">
      <c r="T43984" s="246">
        <f t="shared" si="725"/>
        <v>0</v>
      </c>
    </row>
    <row r="43985" spans="20:20" ht="18.75" customHeight="1" x14ac:dyDescent="0.35">
      <c r="T43985" s="246">
        <f t="shared" si="725"/>
        <v>0</v>
      </c>
    </row>
    <row r="43986" spans="20:20" ht="18.75" customHeight="1" x14ac:dyDescent="0.35">
      <c r="T43986" s="246">
        <f t="shared" si="725"/>
        <v>0</v>
      </c>
    </row>
    <row r="43987" spans="20:20" ht="18.75" customHeight="1" x14ac:dyDescent="0.35">
      <c r="T43987" s="246">
        <f t="shared" si="725"/>
        <v>0</v>
      </c>
    </row>
    <row r="43988" spans="20:20" ht="18.75" customHeight="1" x14ac:dyDescent="0.35">
      <c r="T43988" s="246">
        <f t="shared" si="725"/>
        <v>0</v>
      </c>
    </row>
    <row r="43989" spans="20:20" ht="18.75" customHeight="1" x14ac:dyDescent="0.35">
      <c r="T43989" s="246">
        <f t="shared" si="725"/>
        <v>0</v>
      </c>
    </row>
    <row r="43990" spans="20:20" ht="18.75" customHeight="1" x14ac:dyDescent="0.35">
      <c r="T43990" s="246">
        <f t="shared" si="725"/>
        <v>0</v>
      </c>
    </row>
    <row r="43991" spans="20:20" ht="18.75" customHeight="1" x14ac:dyDescent="0.35">
      <c r="T43991" s="246">
        <f t="shared" si="725"/>
        <v>0</v>
      </c>
    </row>
    <row r="43992" spans="20:20" ht="18.75" customHeight="1" x14ac:dyDescent="0.35">
      <c r="T43992" s="246">
        <f t="shared" si="725"/>
        <v>0</v>
      </c>
    </row>
    <row r="43993" spans="20:20" ht="18.75" customHeight="1" x14ac:dyDescent="0.35">
      <c r="T43993" s="246">
        <f t="shared" si="725"/>
        <v>0</v>
      </c>
    </row>
    <row r="43994" spans="20:20" ht="18.75" customHeight="1" x14ac:dyDescent="0.35">
      <c r="T43994" s="246">
        <f t="shared" si="725"/>
        <v>0</v>
      </c>
    </row>
    <row r="43995" spans="20:20" ht="18.75" customHeight="1" x14ac:dyDescent="0.35">
      <c r="T43995" s="246">
        <f t="shared" si="725"/>
        <v>0</v>
      </c>
    </row>
    <row r="43996" spans="20:20" ht="18.75" customHeight="1" x14ac:dyDescent="0.35">
      <c r="T43996" s="246">
        <f t="shared" si="725"/>
        <v>0</v>
      </c>
    </row>
    <row r="43997" spans="20:20" ht="18.75" customHeight="1" x14ac:dyDescent="0.35">
      <c r="T43997" s="246">
        <f t="shared" si="725"/>
        <v>0</v>
      </c>
    </row>
    <row r="43998" spans="20:20" ht="18.75" customHeight="1" x14ac:dyDescent="0.35">
      <c r="T43998" s="246">
        <f t="shared" si="725"/>
        <v>0</v>
      </c>
    </row>
    <row r="43999" spans="20:20" ht="18.75" customHeight="1" x14ac:dyDescent="0.35">
      <c r="T43999" s="246">
        <f t="shared" si="725"/>
        <v>0</v>
      </c>
    </row>
    <row r="44000" spans="20:20" ht="18.75" customHeight="1" x14ac:dyDescent="0.35">
      <c r="T44000" s="246">
        <f t="shared" si="725"/>
        <v>0</v>
      </c>
    </row>
    <row r="44001" spans="20:20" ht="18.75" customHeight="1" x14ac:dyDescent="0.35">
      <c r="T44001" s="246">
        <f t="shared" si="725"/>
        <v>0</v>
      </c>
    </row>
    <row r="44002" spans="20:20" ht="18.75" customHeight="1" x14ac:dyDescent="0.35">
      <c r="T44002" s="246">
        <f t="shared" si="725"/>
        <v>0</v>
      </c>
    </row>
    <row r="44003" spans="20:20" ht="18.75" customHeight="1" x14ac:dyDescent="0.35">
      <c r="T44003" s="246">
        <f t="shared" si="725"/>
        <v>0</v>
      </c>
    </row>
    <row r="44004" spans="20:20" ht="18.75" customHeight="1" x14ac:dyDescent="0.35">
      <c r="T44004" s="246">
        <f t="shared" si="725"/>
        <v>0</v>
      </c>
    </row>
    <row r="44005" spans="20:20" ht="18.75" customHeight="1" x14ac:dyDescent="0.35">
      <c r="T44005" s="246">
        <f t="shared" si="725"/>
        <v>0</v>
      </c>
    </row>
    <row r="44006" spans="20:20" ht="18.75" customHeight="1" x14ac:dyDescent="0.35">
      <c r="T44006" s="246">
        <f t="shared" si="725"/>
        <v>0</v>
      </c>
    </row>
    <row r="44007" spans="20:20" ht="18.75" customHeight="1" x14ac:dyDescent="0.35">
      <c r="T44007" s="246">
        <f t="shared" si="725"/>
        <v>0</v>
      </c>
    </row>
    <row r="44008" spans="20:20" ht="18.75" customHeight="1" x14ac:dyDescent="0.35">
      <c r="T44008" s="246">
        <f t="shared" si="725"/>
        <v>0</v>
      </c>
    </row>
    <row r="44009" spans="20:20" ht="18.75" customHeight="1" x14ac:dyDescent="0.35">
      <c r="T44009" s="246">
        <f t="shared" si="725"/>
        <v>0</v>
      </c>
    </row>
    <row r="44010" spans="20:20" ht="18.75" customHeight="1" x14ac:dyDescent="0.35">
      <c r="T44010" s="246">
        <f t="shared" si="725"/>
        <v>0</v>
      </c>
    </row>
    <row r="44011" spans="20:20" ht="18.75" customHeight="1" x14ac:dyDescent="0.35">
      <c r="T44011" s="246">
        <f t="shared" si="725"/>
        <v>0</v>
      </c>
    </row>
    <row r="44012" spans="20:20" ht="18.75" customHeight="1" x14ac:dyDescent="0.35">
      <c r="T44012" s="246">
        <f t="shared" si="725"/>
        <v>0</v>
      </c>
    </row>
    <row r="44013" spans="20:20" ht="18.75" customHeight="1" x14ac:dyDescent="0.35">
      <c r="T44013" s="246">
        <f t="shared" si="725"/>
        <v>0</v>
      </c>
    </row>
    <row r="44014" spans="20:20" ht="18.75" customHeight="1" x14ac:dyDescent="0.35">
      <c r="T44014" s="246">
        <f t="shared" si="725"/>
        <v>0</v>
      </c>
    </row>
    <row r="44015" spans="20:20" ht="18.75" customHeight="1" x14ac:dyDescent="0.35">
      <c r="T44015" s="246">
        <f t="shared" si="725"/>
        <v>0</v>
      </c>
    </row>
    <row r="44016" spans="20:20" ht="18.75" customHeight="1" x14ac:dyDescent="0.35">
      <c r="T44016" s="246">
        <f t="shared" si="725"/>
        <v>0</v>
      </c>
    </row>
    <row r="44017" spans="20:20" ht="18.75" customHeight="1" x14ac:dyDescent="0.35">
      <c r="T44017" s="246">
        <f t="shared" si="725"/>
        <v>0</v>
      </c>
    </row>
    <row r="44018" spans="20:20" ht="18.75" customHeight="1" x14ac:dyDescent="0.35">
      <c r="T44018" s="246">
        <f t="shared" si="725"/>
        <v>0</v>
      </c>
    </row>
    <row r="44019" spans="20:20" ht="18.75" customHeight="1" x14ac:dyDescent="0.35">
      <c r="T44019" s="246">
        <f t="shared" si="725"/>
        <v>0</v>
      </c>
    </row>
    <row r="44020" spans="20:20" ht="18.75" customHeight="1" x14ac:dyDescent="0.35">
      <c r="T44020" s="246">
        <f t="shared" si="725"/>
        <v>0</v>
      </c>
    </row>
    <row r="44021" spans="20:20" ht="18.75" customHeight="1" x14ac:dyDescent="0.35">
      <c r="T44021" s="246">
        <f t="shared" si="725"/>
        <v>0</v>
      </c>
    </row>
    <row r="44022" spans="20:20" ht="18.75" customHeight="1" x14ac:dyDescent="0.35">
      <c r="T44022" s="246">
        <f t="shared" si="725"/>
        <v>0</v>
      </c>
    </row>
    <row r="44023" spans="20:20" ht="18.75" customHeight="1" x14ac:dyDescent="0.35">
      <c r="T44023" s="246">
        <f t="shared" si="725"/>
        <v>0</v>
      </c>
    </row>
    <row r="44024" spans="20:20" ht="18.75" customHeight="1" x14ac:dyDescent="0.35">
      <c r="T44024" s="246">
        <f t="shared" si="725"/>
        <v>0</v>
      </c>
    </row>
    <row r="44025" spans="20:20" ht="18.75" customHeight="1" x14ac:dyDescent="0.35">
      <c r="T44025" s="246">
        <f t="shared" si="725"/>
        <v>0</v>
      </c>
    </row>
    <row r="44026" spans="20:20" ht="18.75" customHeight="1" x14ac:dyDescent="0.35">
      <c r="T44026" s="246">
        <f t="shared" si="725"/>
        <v>0</v>
      </c>
    </row>
    <row r="44027" spans="20:20" ht="18.75" customHeight="1" x14ac:dyDescent="0.35">
      <c r="T44027" s="246">
        <f t="shared" si="725"/>
        <v>0</v>
      </c>
    </row>
    <row r="44028" spans="20:20" ht="18.75" customHeight="1" x14ac:dyDescent="0.35">
      <c r="T44028" s="246">
        <f t="shared" ref="T44028:T44091" si="726">R44028*0.01</f>
        <v>0</v>
      </c>
    </row>
    <row r="44029" spans="20:20" ht="18.75" customHeight="1" x14ac:dyDescent="0.35">
      <c r="T44029" s="246">
        <f t="shared" si="726"/>
        <v>0</v>
      </c>
    </row>
    <row r="44030" spans="20:20" ht="18.75" customHeight="1" x14ac:dyDescent="0.35">
      <c r="T44030" s="246">
        <f t="shared" si="726"/>
        <v>0</v>
      </c>
    </row>
    <row r="44031" spans="20:20" ht="18.75" customHeight="1" x14ac:dyDescent="0.35">
      <c r="T44031" s="246">
        <f t="shared" si="726"/>
        <v>0</v>
      </c>
    </row>
    <row r="44032" spans="20:20" ht="18.75" customHeight="1" x14ac:dyDescent="0.35">
      <c r="T44032" s="246">
        <f t="shared" si="726"/>
        <v>0</v>
      </c>
    </row>
    <row r="44033" spans="20:20" ht="18.75" customHeight="1" x14ac:dyDescent="0.35">
      <c r="T44033" s="246">
        <f t="shared" si="726"/>
        <v>0</v>
      </c>
    </row>
    <row r="44034" spans="20:20" ht="18.75" customHeight="1" x14ac:dyDescent="0.35">
      <c r="T44034" s="246">
        <f t="shared" si="726"/>
        <v>0</v>
      </c>
    </row>
    <row r="44035" spans="20:20" ht="18.75" customHeight="1" x14ac:dyDescent="0.35">
      <c r="T44035" s="246">
        <f t="shared" si="726"/>
        <v>0</v>
      </c>
    </row>
    <row r="44036" spans="20:20" ht="18.75" customHeight="1" x14ac:dyDescent="0.35">
      <c r="T44036" s="246">
        <f t="shared" si="726"/>
        <v>0</v>
      </c>
    </row>
    <row r="44037" spans="20:20" ht="18.75" customHeight="1" x14ac:dyDescent="0.35">
      <c r="T44037" s="246">
        <f t="shared" si="726"/>
        <v>0</v>
      </c>
    </row>
    <row r="44038" spans="20:20" ht="18.75" customHeight="1" x14ac:dyDescent="0.35">
      <c r="T44038" s="246">
        <f t="shared" si="726"/>
        <v>0</v>
      </c>
    </row>
    <row r="44039" spans="20:20" ht="18.75" customHeight="1" x14ac:dyDescent="0.35">
      <c r="T44039" s="246">
        <f t="shared" si="726"/>
        <v>0</v>
      </c>
    </row>
    <row r="44040" spans="20:20" ht="18.75" customHeight="1" x14ac:dyDescent="0.35">
      <c r="T44040" s="246">
        <f t="shared" si="726"/>
        <v>0</v>
      </c>
    </row>
    <row r="44041" spans="20:20" ht="18.75" customHeight="1" x14ac:dyDescent="0.35">
      <c r="T44041" s="246">
        <f t="shared" si="726"/>
        <v>0</v>
      </c>
    </row>
    <row r="44042" spans="20:20" ht="18.75" customHeight="1" x14ac:dyDescent="0.35">
      <c r="T44042" s="246">
        <f t="shared" si="726"/>
        <v>0</v>
      </c>
    </row>
    <row r="44043" spans="20:20" ht="18.75" customHeight="1" x14ac:dyDescent="0.35">
      <c r="T44043" s="246">
        <f t="shared" si="726"/>
        <v>0</v>
      </c>
    </row>
    <row r="44044" spans="20:20" ht="18.75" customHeight="1" x14ac:dyDescent="0.35">
      <c r="T44044" s="246">
        <f t="shared" si="726"/>
        <v>0</v>
      </c>
    </row>
    <row r="44045" spans="20:20" ht="18.75" customHeight="1" x14ac:dyDescent="0.35">
      <c r="T44045" s="246">
        <f t="shared" si="726"/>
        <v>0</v>
      </c>
    </row>
    <row r="44046" spans="20:20" ht="18.75" customHeight="1" x14ac:dyDescent="0.35">
      <c r="T44046" s="246">
        <f t="shared" si="726"/>
        <v>0</v>
      </c>
    </row>
    <row r="44047" spans="20:20" ht="18.75" customHeight="1" x14ac:dyDescent="0.35">
      <c r="T44047" s="246">
        <f t="shared" si="726"/>
        <v>0</v>
      </c>
    </row>
    <row r="44048" spans="20:20" ht="18.75" customHeight="1" x14ac:dyDescent="0.35">
      <c r="T44048" s="246">
        <f t="shared" si="726"/>
        <v>0</v>
      </c>
    </row>
    <row r="44049" spans="20:20" ht="18.75" customHeight="1" x14ac:dyDescent="0.35">
      <c r="T44049" s="246">
        <f t="shared" si="726"/>
        <v>0</v>
      </c>
    </row>
    <row r="44050" spans="20:20" ht="18.75" customHeight="1" x14ac:dyDescent="0.35">
      <c r="T44050" s="246">
        <f t="shared" si="726"/>
        <v>0</v>
      </c>
    </row>
    <row r="44051" spans="20:20" ht="18.75" customHeight="1" x14ac:dyDescent="0.35">
      <c r="T44051" s="246">
        <f t="shared" si="726"/>
        <v>0</v>
      </c>
    </row>
    <row r="44052" spans="20:20" ht="18.75" customHeight="1" x14ac:dyDescent="0.35">
      <c r="T44052" s="246">
        <f t="shared" si="726"/>
        <v>0</v>
      </c>
    </row>
    <row r="44053" spans="20:20" ht="18.75" customHeight="1" x14ac:dyDescent="0.35">
      <c r="T44053" s="246">
        <f t="shared" si="726"/>
        <v>0</v>
      </c>
    </row>
    <row r="44054" spans="20:20" ht="18.75" customHeight="1" x14ac:dyDescent="0.35">
      <c r="T44054" s="246">
        <f t="shared" si="726"/>
        <v>0</v>
      </c>
    </row>
    <row r="44055" spans="20:20" ht="18.75" customHeight="1" x14ac:dyDescent="0.35">
      <c r="T44055" s="246">
        <f t="shared" si="726"/>
        <v>0</v>
      </c>
    </row>
    <row r="44056" spans="20:20" ht="18.75" customHeight="1" x14ac:dyDescent="0.35">
      <c r="T44056" s="246">
        <f t="shared" si="726"/>
        <v>0</v>
      </c>
    </row>
    <row r="44057" spans="20:20" ht="18.75" customHeight="1" x14ac:dyDescent="0.35">
      <c r="T44057" s="246">
        <f t="shared" si="726"/>
        <v>0</v>
      </c>
    </row>
    <row r="44058" spans="20:20" ht="18.75" customHeight="1" x14ac:dyDescent="0.35">
      <c r="T44058" s="246">
        <f t="shared" si="726"/>
        <v>0</v>
      </c>
    </row>
    <row r="44059" spans="20:20" ht="18.75" customHeight="1" x14ac:dyDescent="0.35">
      <c r="T44059" s="246">
        <f t="shared" si="726"/>
        <v>0</v>
      </c>
    </row>
    <row r="44060" spans="20:20" ht="18.75" customHeight="1" x14ac:dyDescent="0.35">
      <c r="T44060" s="246">
        <f t="shared" si="726"/>
        <v>0</v>
      </c>
    </row>
    <row r="44061" spans="20:20" ht="18.75" customHeight="1" x14ac:dyDescent="0.35">
      <c r="T44061" s="246">
        <f t="shared" si="726"/>
        <v>0</v>
      </c>
    </row>
    <row r="44062" spans="20:20" ht="18.75" customHeight="1" x14ac:dyDescent="0.35">
      <c r="T44062" s="246">
        <f t="shared" si="726"/>
        <v>0</v>
      </c>
    </row>
    <row r="44063" spans="20:20" ht="18.75" customHeight="1" x14ac:dyDescent="0.35">
      <c r="T44063" s="246">
        <f t="shared" si="726"/>
        <v>0</v>
      </c>
    </row>
    <row r="44064" spans="20:20" ht="18.75" customHeight="1" x14ac:dyDescent="0.35">
      <c r="T44064" s="246">
        <f t="shared" si="726"/>
        <v>0</v>
      </c>
    </row>
    <row r="44065" spans="20:20" ht="18.75" customHeight="1" x14ac:dyDescent="0.35">
      <c r="T44065" s="246">
        <f t="shared" si="726"/>
        <v>0</v>
      </c>
    </row>
    <row r="44066" spans="20:20" ht="18.75" customHeight="1" x14ac:dyDescent="0.35">
      <c r="T44066" s="246">
        <f t="shared" si="726"/>
        <v>0</v>
      </c>
    </row>
    <row r="44067" spans="20:20" ht="18.75" customHeight="1" x14ac:dyDescent="0.35">
      <c r="T44067" s="246">
        <f t="shared" si="726"/>
        <v>0</v>
      </c>
    </row>
    <row r="44068" spans="20:20" ht="18.75" customHeight="1" x14ac:dyDescent="0.35">
      <c r="T44068" s="246">
        <f t="shared" si="726"/>
        <v>0</v>
      </c>
    </row>
    <row r="44069" spans="20:20" ht="18.75" customHeight="1" x14ac:dyDescent="0.35">
      <c r="T44069" s="246">
        <f t="shared" si="726"/>
        <v>0</v>
      </c>
    </row>
    <row r="44070" spans="20:20" ht="18.75" customHeight="1" x14ac:dyDescent="0.35">
      <c r="T44070" s="246">
        <f t="shared" si="726"/>
        <v>0</v>
      </c>
    </row>
    <row r="44071" spans="20:20" ht="18.75" customHeight="1" x14ac:dyDescent="0.35">
      <c r="T44071" s="246">
        <f t="shared" si="726"/>
        <v>0</v>
      </c>
    </row>
    <row r="44072" spans="20:20" ht="18.75" customHeight="1" x14ac:dyDescent="0.35">
      <c r="T44072" s="246">
        <f t="shared" si="726"/>
        <v>0</v>
      </c>
    </row>
    <row r="44073" spans="20:20" ht="18.75" customHeight="1" x14ac:dyDescent="0.35">
      <c r="T44073" s="246">
        <f t="shared" si="726"/>
        <v>0</v>
      </c>
    </row>
    <row r="44074" spans="20:20" ht="18.75" customHeight="1" x14ac:dyDescent="0.35">
      <c r="T44074" s="246">
        <f t="shared" si="726"/>
        <v>0</v>
      </c>
    </row>
    <row r="44075" spans="20:20" ht="18.75" customHeight="1" x14ac:dyDescent="0.35">
      <c r="T44075" s="246">
        <f t="shared" si="726"/>
        <v>0</v>
      </c>
    </row>
    <row r="44076" spans="20:20" ht="18.75" customHeight="1" x14ac:dyDescent="0.35">
      <c r="T44076" s="246">
        <f t="shared" si="726"/>
        <v>0</v>
      </c>
    </row>
    <row r="44077" spans="20:20" ht="18.75" customHeight="1" x14ac:dyDescent="0.35">
      <c r="T44077" s="246">
        <f t="shared" si="726"/>
        <v>0</v>
      </c>
    </row>
    <row r="44078" spans="20:20" ht="18.75" customHeight="1" x14ac:dyDescent="0.35">
      <c r="T44078" s="246">
        <f t="shared" si="726"/>
        <v>0</v>
      </c>
    </row>
    <row r="44079" spans="20:20" ht="18.75" customHeight="1" x14ac:dyDescent="0.35">
      <c r="T44079" s="246">
        <f t="shared" si="726"/>
        <v>0</v>
      </c>
    </row>
    <row r="44080" spans="20:20" ht="18.75" customHeight="1" x14ac:dyDescent="0.35">
      <c r="T44080" s="246">
        <f t="shared" si="726"/>
        <v>0</v>
      </c>
    </row>
    <row r="44081" spans="20:20" ht="18.75" customHeight="1" x14ac:dyDescent="0.35">
      <c r="T44081" s="246">
        <f t="shared" si="726"/>
        <v>0</v>
      </c>
    </row>
    <row r="44082" spans="20:20" ht="18.75" customHeight="1" x14ac:dyDescent="0.35">
      <c r="T44082" s="246">
        <f t="shared" si="726"/>
        <v>0</v>
      </c>
    </row>
    <row r="44083" spans="20:20" ht="18.75" customHeight="1" x14ac:dyDescent="0.35">
      <c r="T44083" s="246">
        <f t="shared" si="726"/>
        <v>0</v>
      </c>
    </row>
    <row r="44084" spans="20:20" ht="18.75" customHeight="1" x14ac:dyDescent="0.35">
      <c r="T44084" s="246">
        <f t="shared" si="726"/>
        <v>0</v>
      </c>
    </row>
    <row r="44085" spans="20:20" ht="18.75" customHeight="1" x14ac:dyDescent="0.35">
      <c r="T44085" s="246">
        <f t="shared" si="726"/>
        <v>0</v>
      </c>
    </row>
    <row r="44086" spans="20:20" ht="18.75" customHeight="1" x14ac:dyDescent="0.35">
      <c r="T44086" s="246">
        <f t="shared" si="726"/>
        <v>0</v>
      </c>
    </row>
    <row r="44087" spans="20:20" ht="18.75" customHeight="1" x14ac:dyDescent="0.35">
      <c r="T44087" s="246">
        <f t="shared" si="726"/>
        <v>0</v>
      </c>
    </row>
    <row r="44088" spans="20:20" ht="18.75" customHeight="1" x14ac:dyDescent="0.35">
      <c r="T44088" s="246">
        <f t="shared" si="726"/>
        <v>0</v>
      </c>
    </row>
    <row r="44089" spans="20:20" ht="18.75" customHeight="1" x14ac:dyDescent="0.35">
      <c r="T44089" s="246">
        <f t="shared" si="726"/>
        <v>0</v>
      </c>
    </row>
    <row r="44090" spans="20:20" ht="18.75" customHeight="1" x14ac:dyDescent="0.35">
      <c r="T44090" s="246">
        <f t="shared" si="726"/>
        <v>0</v>
      </c>
    </row>
    <row r="44091" spans="20:20" ht="18.75" customHeight="1" x14ac:dyDescent="0.35">
      <c r="T44091" s="246">
        <f t="shared" si="726"/>
        <v>0</v>
      </c>
    </row>
    <row r="44092" spans="20:20" ht="18.75" customHeight="1" x14ac:dyDescent="0.35">
      <c r="T44092" s="246">
        <f t="shared" ref="T44092:T44155" si="727">R44092*0.01</f>
        <v>0</v>
      </c>
    </row>
    <row r="44093" spans="20:20" ht="18.75" customHeight="1" x14ac:dyDescent="0.35">
      <c r="T44093" s="246">
        <f t="shared" si="727"/>
        <v>0</v>
      </c>
    </row>
    <row r="44094" spans="20:20" ht="18.75" customHeight="1" x14ac:dyDescent="0.35">
      <c r="T44094" s="246">
        <f t="shared" si="727"/>
        <v>0</v>
      </c>
    </row>
    <row r="44095" spans="20:20" ht="18.75" customHeight="1" x14ac:dyDescent="0.35">
      <c r="T44095" s="246">
        <f t="shared" si="727"/>
        <v>0</v>
      </c>
    </row>
    <row r="44096" spans="20:20" ht="18.75" customHeight="1" x14ac:dyDescent="0.35">
      <c r="T44096" s="246">
        <f t="shared" si="727"/>
        <v>0</v>
      </c>
    </row>
    <row r="44097" spans="20:20" ht="18.75" customHeight="1" x14ac:dyDescent="0.35">
      <c r="T44097" s="246">
        <f t="shared" si="727"/>
        <v>0</v>
      </c>
    </row>
    <row r="44098" spans="20:20" ht="18.75" customHeight="1" x14ac:dyDescent="0.35">
      <c r="T44098" s="246">
        <f t="shared" si="727"/>
        <v>0</v>
      </c>
    </row>
    <row r="44099" spans="20:20" ht="18.75" customHeight="1" x14ac:dyDescent="0.35">
      <c r="T44099" s="246">
        <f t="shared" si="727"/>
        <v>0</v>
      </c>
    </row>
    <row r="44100" spans="20:20" ht="18.75" customHeight="1" x14ac:dyDescent="0.35">
      <c r="T44100" s="246">
        <f t="shared" si="727"/>
        <v>0</v>
      </c>
    </row>
    <row r="44101" spans="20:20" ht="18.75" customHeight="1" x14ac:dyDescent="0.35">
      <c r="T44101" s="246">
        <f t="shared" si="727"/>
        <v>0</v>
      </c>
    </row>
    <row r="44102" spans="20:20" ht="18.75" customHeight="1" x14ac:dyDescent="0.35">
      <c r="T44102" s="246">
        <f t="shared" si="727"/>
        <v>0</v>
      </c>
    </row>
    <row r="44103" spans="20:20" ht="18.75" customHeight="1" x14ac:dyDescent="0.35">
      <c r="T44103" s="246">
        <f t="shared" si="727"/>
        <v>0</v>
      </c>
    </row>
    <row r="44104" spans="20:20" ht="18.75" customHeight="1" x14ac:dyDescent="0.35">
      <c r="T44104" s="246">
        <f t="shared" si="727"/>
        <v>0</v>
      </c>
    </row>
    <row r="44105" spans="20:20" ht="18.75" customHeight="1" x14ac:dyDescent="0.35">
      <c r="T44105" s="246">
        <f t="shared" si="727"/>
        <v>0</v>
      </c>
    </row>
    <row r="44106" spans="20:20" ht="18.75" customHeight="1" x14ac:dyDescent="0.35">
      <c r="T44106" s="246">
        <f t="shared" si="727"/>
        <v>0</v>
      </c>
    </row>
    <row r="44107" spans="20:20" ht="18.75" customHeight="1" x14ac:dyDescent="0.35">
      <c r="T44107" s="246">
        <f t="shared" si="727"/>
        <v>0</v>
      </c>
    </row>
    <row r="44108" spans="20:20" ht="18.75" customHeight="1" x14ac:dyDescent="0.35">
      <c r="T44108" s="246">
        <f t="shared" si="727"/>
        <v>0</v>
      </c>
    </row>
    <row r="44109" spans="20:20" ht="18.75" customHeight="1" x14ac:dyDescent="0.35">
      <c r="T44109" s="246">
        <f t="shared" si="727"/>
        <v>0</v>
      </c>
    </row>
    <row r="44110" spans="20:20" ht="18.75" customHeight="1" x14ac:dyDescent="0.35">
      <c r="T44110" s="246">
        <f t="shared" si="727"/>
        <v>0</v>
      </c>
    </row>
    <row r="44111" spans="20:20" ht="18.75" customHeight="1" x14ac:dyDescent="0.35">
      <c r="T44111" s="246">
        <f t="shared" si="727"/>
        <v>0</v>
      </c>
    </row>
    <row r="44112" spans="20:20" ht="18.75" customHeight="1" x14ac:dyDescent="0.35">
      <c r="T44112" s="246">
        <f t="shared" si="727"/>
        <v>0</v>
      </c>
    </row>
    <row r="44113" spans="20:20" ht="18.75" customHeight="1" x14ac:dyDescent="0.35">
      <c r="T44113" s="246">
        <f t="shared" si="727"/>
        <v>0</v>
      </c>
    </row>
    <row r="44114" spans="20:20" ht="18.75" customHeight="1" x14ac:dyDescent="0.35">
      <c r="T44114" s="246">
        <f t="shared" si="727"/>
        <v>0</v>
      </c>
    </row>
    <row r="44115" spans="20:20" ht="18.75" customHeight="1" x14ac:dyDescent="0.35">
      <c r="T44115" s="246">
        <f t="shared" si="727"/>
        <v>0</v>
      </c>
    </row>
    <row r="44116" spans="20:20" ht="18.75" customHeight="1" x14ac:dyDescent="0.35">
      <c r="T44116" s="246">
        <f t="shared" si="727"/>
        <v>0</v>
      </c>
    </row>
    <row r="44117" spans="20:20" ht="18.75" customHeight="1" x14ac:dyDescent="0.35">
      <c r="T44117" s="246">
        <f t="shared" si="727"/>
        <v>0</v>
      </c>
    </row>
    <row r="44118" spans="20:20" ht="18.75" customHeight="1" x14ac:dyDescent="0.35">
      <c r="T44118" s="246">
        <f t="shared" si="727"/>
        <v>0</v>
      </c>
    </row>
    <row r="44119" spans="20:20" ht="18.75" customHeight="1" x14ac:dyDescent="0.35">
      <c r="T44119" s="246">
        <f t="shared" si="727"/>
        <v>0</v>
      </c>
    </row>
    <row r="44120" spans="20:20" ht="18.75" customHeight="1" x14ac:dyDescent="0.35">
      <c r="T44120" s="246">
        <f t="shared" si="727"/>
        <v>0</v>
      </c>
    </row>
    <row r="44121" spans="20:20" ht="18.75" customHeight="1" x14ac:dyDescent="0.35">
      <c r="T44121" s="246">
        <f t="shared" si="727"/>
        <v>0</v>
      </c>
    </row>
    <row r="44122" spans="20:20" ht="18.75" customHeight="1" x14ac:dyDescent="0.35">
      <c r="T44122" s="246">
        <f t="shared" si="727"/>
        <v>0</v>
      </c>
    </row>
    <row r="44123" spans="20:20" ht="18.75" customHeight="1" x14ac:dyDescent="0.35">
      <c r="T44123" s="246">
        <f t="shared" si="727"/>
        <v>0</v>
      </c>
    </row>
    <row r="44124" spans="20:20" ht="18.75" customHeight="1" x14ac:dyDescent="0.35">
      <c r="T44124" s="246">
        <f t="shared" si="727"/>
        <v>0</v>
      </c>
    </row>
    <row r="44125" spans="20:20" ht="18.75" customHeight="1" x14ac:dyDescent="0.35">
      <c r="T44125" s="246">
        <f t="shared" si="727"/>
        <v>0</v>
      </c>
    </row>
    <row r="44126" spans="20:20" ht="18.75" customHeight="1" x14ac:dyDescent="0.35">
      <c r="T44126" s="246">
        <f t="shared" si="727"/>
        <v>0</v>
      </c>
    </row>
    <row r="44127" spans="20:20" ht="18.75" customHeight="1" x14ac:dyDescent="0.35">
      <c r="T44127" s="246">
        <f t="shared" si="727"/>
        <v>0</v>
      </c>
    </row>
    <row r="44128" spans="20:20" ht="18.75" customHeight="1" x14ac:dyDescent="0.35">
      <c r="T44128" s="246">
        <f t="shared" si="727"/>
        <v>0</v>
      </c>
    </row>
    <row r="44129" spans="20:20" ht="18.75" customHeight="1" x14ac:dyDescent="0.35">
      <c r="T44129" s="246">
        <f t="shared" si="727"/>
        <v>0</v>
      </c>
    </row>
    <row r="44130" spans="20:20" ht="18.75" customHeight="1" x14ac:dyDescent="0.35">
      <c r="T44130" s="246">
        <f t="shared" si="727"/>
        <v>0</v>
      </c>
    </row>
    <row r="44131" spans="20:20" ht="18.75" customHeight="1" x14ac:dyDescent="0.35">
      <c r="T44131" s="246">
        <f t="shared" si="727"/>
        <v>0</v>
      </c>
    </row>
    <row r="44132" spans="20:20" ht="18.75" customHeight="1" x14ac:dyDescent="0.35">
      <c r="T44132" s="246">
        <f t="shared" si="727"/>
        <v>0</v>
      </c>
    </row>
    <row r="44133" spans="20:20" ht="18.75" customHeight="1" x14ac:dyDescent="0.35">
      <c r="T44133" s="246">
        <f t="shared" si="727"/>
        <v>0</v>
      </c>
    </row>
    <row r="44134" spans="20:20" ht="18.75" customHeight="1" x14ac:dyDescent="0.35">
      <c r="T44134" s="246">
        <f t="shared" si="727"/>
        <v>0</v>
      </c>
    </row>
    <row r="44135" spans="20:20" ht="18.75" customHeight="1" x14ac:dyDescent="0.35">
      <c r="T44135" s="246">
        <f t="shared" si="727"/>
        <v>0</v>
      </c>
    </row>
    <row r="44136" spans="20:20" ht="18.75" customHeight="1" x14ac:dyDescent="0.35">
      <c r="T44136" s="246">
        <f t="shared" si="727"/>
        <v>0</v>
      </c>
    </row>
    <row r="44137" spans="20:20" ht="18.75" customHeight="1" x14ac:dyDescent="0.35">
      <c r="T44137" s="246">
        <f t="shared" si="727"/>
        <v>0</v>
      </c>
    </row>
    <row r="44138" spans="20:20" ht="18.75" customHeight="1" x14ac:dyDescent="0.35">
      <c r="T44138" s="246">
        <f t="shared" si="727"/>
        <v>0</v>
      </c>
    </row>
    <row r="44139" spans="20:20" ht="18.75" customHeight="1" x14ac:dyDescent="0.35">
      <c r="T44139" s="246">
        <f t="shared" si="727"/>
        <v>0</v>
      </c>
    </row>
    <row r="44140" spans="20:20" ht="18.75" customHeight="1" x14ac:dyDescent="0.35">
      <c r="T44140" s="246">
        <f t="shared" si="727"/>
        <v>0</v>
      </c>
    </row>
    <row r="44141" spans="20:20" ht="18.75" customHeight="1" x14ac:dyDescent="0.35">
      <c r="T44141" s="246">
        <f t="shared" si="727"/>
        <v>0</v>
      </c>
    </row>
    <row r="44142" spans="20:20" ht="18.75" customHeight="1" x14ac:dyDescent="0.35">
      <c r="T44142" s="246">
        <f t="shared" si="727"/>
        <v>0</v>
      </c>
    </row>
    <row r="44143" spans="20:20" ht="18.75" customHeight="1" x14ac:dyDescent="0.35">
      <c r="T44143" s="246">
        <f t="shared" si="727"/>
        <v>0</v>
      </c>
    </row>
    <row r="44144" spans="20:20" ht="18.75" customHeight="1" x14ac:dyDescent="0.35">
      <c r="T44144" s="246">
        <f t="shared" si="727"/>
        <v>0</v>
      </c>
    </row>
    <row r="44145" spans="20:20" ht="18.75" customHeight="1" x14ac:dyDescent="0.35">
      <c r="T44145" s="246">
        <f t="shared" si="727"/>
        <v>0</v>
      </c>
    </row>
    <row r="44146" spans="20:20" ht="18.75" customHeight="1" x14ac:dyDescent="0.35">
      <c r="T44146" s="246">
        <f t="shared" si="727"/>
        <v>0</v>
      </c>
    </row>
    <row r="44147" spans="20:20" ht="18.75" customHeight="1" x14ac:dyDescent="0.35">
      <c r="T44147" s="246">
        <f t="shared" si="727"/>
        <v>0</v>
      </c>
    </row>
    <row r="44148" spans="20:20" ht="18.75" customHeight="1" x14ac:dyDescent="0.35">
      <c r="T44148" s="246">
        <f t="shared" si="727"/>
        <v>0</v>
      </c>
    </row>
    <row r="44149" spans="20:20" ht="18.75" customHeight="1" x14ac:dyDescent="0.35">
      <c r="T44149" s="246">
        <f t="shared" si="727"/>
        <v>0</v>
      </c>
    </row>
    <row r="44150" spans="20:20" ht="18.75" customHeight="1" x14ac:dyDescent="0.35">
      <c r="T44150" s="246">
        <f t="shared" si="727"/>
        <v>0</v>
      </c>
    </row>
    <row r="44151" spans="20:20" ht="18.75" customHeight="1" x14ac:dyDescent="0.35">
      <c r="T44151" s="246">
        <f t="shared" si="727"/>
        <v>0</v>
      </c>
    </row>
    <row r="44152" spans="20:20" ht="18.75" customHeight="1" x14ac:dyDescent="0.35">
      <c r="T44152" s="246">
        <f t="shared" si="727"/>
        <v>0</v>
      </c>
    </row>
    <row r="44153" spans="20:20" ht="18.75" customHeight="1" x14ac:dyDescent="0.35">
      <c r="T44153" s="246">
        <f t="shared" si="727"/>
        <v>0</v>
      </c>
    </row>
    <row r="44154" spans="20:20" ht="18.75" customHeight="1" x14ac:dyDescent="0.35">
      <c r="T44154" s="246">
        <f t="shared" si="727"/>
        <v>0</v>
      </c>
    </row>
    <row r="44155" spans="20:20" ht="18.75" customHeight="1" x14ac:dyDescent="0.35">
      <c r="T44155" s="246">
        <f t="shared" si="727"/>
        <v>0</v>
      </c>
    </row>
    <row r="44156" spans="20:20" ht="18.75" customHeight="1" x14ac:dyDescent="0.35">
      <c r="T44156" s="246">
        <f t="shared" ref="T44156:T44219" si="728">R44156*0.01</f>
        <v>0</v>
      </c>
    </row>
    <row r="44157" spans="20:20" ht="18.75" customHeight="1" x14ac:dyDescent="0.35">
      <c r="T44157" s="246">
        <f t="shared" si="728"/>
        <v>0</v>
      </c>
    </row>
    <row r="44158" spans="20:20" ht="18.75" customHeight="1" x14ac:dyDescent="0.35">
      <c r="T44158" s="246">
        <f t="shared" si="728"/>
        <v>0</v>
      </c>
    </row>
    <row r="44159" spans="20:20" ht="18.75" customHeight="1" x14ac:dyDescent="0.35">
      <c r="T44159" s="246">
        <f t="shared" si="728"/>
        <v>0</v>
      </c>
    </row>
    <row r="44160" spans="20:20" ht="18.75" customHeight="1" x14ac:dyDescent="0.35">
      <c r="T44160" s="246">
        <f t="shared" si="728"/>
        <v>0</v>
      </c>
    </row>
    <row r="44161" spans="20:20" ht="18.75" customHeight="1" x14ac:dyDescent="0.35">
      <c r="T44161" s="246">
        <f t="shared" si="728"/>
        <v>0</v>
      </c>
    </row>
    <row r="44162" spans="20:20" ht="18.75" customHeight="1" x14ac:dyDescent="0.35">
      <c r="T44162" s="246">
        <f t="shared" si="728"/>
        <v>0</v>
      </c>
    </row>
    <row r="44163" spans="20:20" ht="18.75" customHeight="1" x14ac:dyDescent="0.35">
      <c r="T44163" s="246">
        <f t="shared" si="728"/>
        <v>0</v>
      </c>
    </row>
    <row r="44164" spans="20:20" ht="18.75" customHeight="1" x14ac:dyDescent="0.35">
      <c r="T44164" s="246">
        <f t="shared" si="728"/>
        <v>0</v>
      </c>
    </row>
    <row r="44165" spans="20:20" ht="18.75" customHeight="1" x14ac:dyDescent="0.35">
      <c r="T44165" s="246">
        <f t="shared" si="728"/>
        <v>0</v>
      </c>
    </row>
    <row r="44166" spans="20:20" ht="18.75" customHeight="1" x14ac:dyDescent="0.35">
      <c r="T44166" s="246">
        <f t="shared" si="728"/>
        <v>0</v>
      </c>
    </row>
    <row r="44167" spans="20:20" ht="18.75" customHeight="1" x14ac:dyDescent="0.35">
      <c r="T44167" s="246">
        <f t="shared" si="728"/>
        <v>0</v>
      </c>
    </row>
    <row r="44168" spans="20:20" ht="18.75" customHeight="1" x14ac:dyDescent="0.35">
      <c r="T44168" s="246">
        <f t="shared" si="728"/>
        <v>0</v>
      </c>
    </row>
    <row r="44169" spans="20:20" ht="18.75" customHeight="1" x14ac:dyDescent="0.35">
      <c r="T44169" s="246">
        <f t="shared" si="728"/>
        <v>0</v>
      </c>
    </row>
    <row r="44170" spans="20:20" ht="18.75" customHeight="1" x14ac:dyDescent="0.35">
      <c r="T44170" s="246">
        <f t="shared" si="728"/>
        <v>0</v>
      </c>
    </row>
    <row r="44171" spans="20:20" ht="18.75" customHeight="1" x14ac:dyDescent="0.35">
      <c r="T44171" s="246">
        <f t="shared" si="728"/>
        <v>0</v>
      </c>
    </row>
    <row r="44172" spans="20:20" ht="18.75" customHeight="1" x14ac:dyDescent="0.35">
      <c r="T44172" s="246">
        <f t="shared" si="728"/>
        <v>0</v>
      </c>
    </row>
    <row r="44173" spans="20:20" ht="18.75" customHeight="1" x14ac:dyDescent="0.35">
      <c r="T44173" s="246">
        <f t="shared" si="728"/>
        <v>0</v>
      </c>
    </row>
    <row r="44174" spans="20:20" ht="18.75" customHeight="1" x14ac:dyDescent="0.35">
      <c r="T44174" s="246">
        <f t="shared" si="728"/>
        <v>0</v>
      </c>
    </row>
    <row r="44175" spans="20:20" ht="18.75" customHeight="1" x14ac:dyDescent="0.35">
      <c r="T44175" s="246">
        <f t="shared" si="728"/>
        <v>0</v>
      </c>
    </row>
    <row r="44176" spans="20:20" ht="18.75" customHeight="1" x14ac:dyDescent="0.35">
      <c r="T44176" s="246">
        <f t="shared" si="728"/>
        <v>0</v>
      </c>
    </row>
    <row r="44177" spans="20:20" ht="18.75" customHeight="1" x14ac:dyDescent="0.35">
      <c r="T44177" s="246">
        <f t="shared" si="728"/>
        <v>0</v>
      </c>
    </row>
    <row r="44178" spans="20:20" ht="18.75" customHeight="1" x14ac:dyDescent="0.35">
      <c r="T44178" s="246">
        <f t="shared" si="728"/>
        <v>0</v>
      </c>
    </row>
    <row r="44179" spans="20:20" ht="18.75" customHeight="1" x14ac:dyDescent="0.35">
      <c r="T44179" s="246">
        <f t="shared" si="728"/>
        <v>0</v>
      </c>
    </row>
    <row r="44180" spans="20:20" ht="18.75" customHeight="1" x14ac:dyDescent="0.35">
      <c r="T44180" s="246">
        <f t="shared" si="728"/>
        <v>0</v>
      </c>
    </row>
    <row r="44181" spans="20:20" ht="18.75" customHeight="1" x14ac:dyDescent="0.35">
      <c r="T44181" s="246">
        <f t="shared" si="728"/>
        <v>0</v>
      </c>
    </row>
    <row r="44182" spans="20:20" ht="18.75" customHeight="1" x14ac:dyDescent="0.35">
      <c r="T44182" s="246">
        <f t="shared" si="728"/>
        <v>0</v>
      </c>
    </row>
    <row r="44183" spans="20:20" ht="18.75" customHeight="1" x14ac:dyDescent="0.35">
      <c r="T44183" s="246">
        <f t="shared" si="728"/>
        <v>0</v>
      </c>
    </row>
    <row r="44184" spans="20:20" ht="18.75" customHeight="1" x14ac:dyDescent="0.35">
      <c r="T44184" s="246">
        <f t="shared" si="728"/>
        <v>0</v>
      </c>
    </row>
    <row r="44185" spans="20:20" ht="18.75" customHeight="1" x14ac:dyDescent="0.35">
      <c r="T44185" s="246">
        <f t="shared" si="728"/>
        <v>0</v>
      </c>
    </row>
    <row r="44186" spans="20:20" ht="18.75" customHeight="1" x14ac:dyDescent="0.35">
      <c r="T44186" s="246">
        <f t="shared" si="728"/>
        <v>0</v>
      </c>
    </row>
    <row r="44187" spans="20:20" ht="18.75" customHeight="1" x14ac:dyDescent="0.35">
      <c r="T44187" s="246">
        <f t="shared" si="728"/>
        <v>0</v>
      </c>
    </row>
    <row r="44188" spans="20:20" ht="18.75" customHeight="1" x14ac:dyDescent="0.35">
      <c r="T44188" s="246">
        <f t="shared" si="728"/>
        <v>0</v>
      </c>
    </row>
    <row r="44189" spans="20:20" ht="18.75" customHeight="1" x14ac:dyDescent="0.35">
      <c r="T44189" s="246">
        <f t="shared" si="728"/>
        <v>0</v>
      </c>
    </row>
    <row r="44190" spans="20:20" ht="18.75" customHeight="1" x14ac:dyDescent="0.35">
      <c r="T44190" s="246">
        <f t="shared" si="728"/>
        <v>0</v>
      </c>
    </row>
    <row r="44191" spans="20:20" ht="18.75" customHeight="1" x14ac:dyDescent="0.35">
      <c r="T44191" s="246">
        <f t="shared" si="728"/>
        <v>0</v>
      </c>
    </row>
    <row r="44192" spans="20:20" ht="18.75" customHeight="1" x14ac:dyDescent="0.35">
      <c r="T44192" s="246">
        <f t="shared" si="728"/>
        <v>0</v>
      </c>
    </row>
    <row r="44193" spans="20:20" ht="18.75" customHeight="1" x14ac:dyDescent="0.35">
      <c r="T44193" s="246">
        <f t="shared" si="728"/>
        <v>0</v>
      </c>
    </row>
    <row r="44194" spans="20:20" ht="18.75" customHeight="1" x14ac:dyDescent="0.35">
      <c r="T44194" s="246">
        <f t="shared" si="728"/>
        <v>0</v>
      </c>
    </row>
    <row r="44195" spans="20:20" ht="18.75" customHeight="1" x14ac:dyDescent="0.35">
      <c r="T44195" s="246">
        <f t="shared" si="728"/>
        <v>0</v>
      </c>
    </row>
    <row r="44196" spans="20:20" ht="18.75" customHeight="1" x14ac:dyDescent="0.35">
      <c r="T44196" s="246">
        <f t="shared" si="728"/>
        <v>0</v>
      </c>
    </row>
    <row r="44197" spans="20:20" ht="18.75" customHeight="1" x14ac:dyDescent="0.35">
      <c r="T44197" s="246">
        <f t="shared" si="728"/>
        <v>0</v>
      </c>
    </row>
    <row r="44198" spans="20:20" ht="18.75" customHeight="1" x14ac:dyDescent="0.35">
      <c r="T44198" s="246">
        <f t="shared" si="728"/>
        <v>0</v>
      </c>
    </row>
    <row r="44199" spans="20:20" ht="18.75" customHeight="1" x14ac:dyDescent="0.35">
      <c r="T44199" s="246">
        <f t="shared" si="728"/>
        <v>0</v>
      </c>
    </row>
    <row r="44200" spans="20:20" ht="18.75" customHeight="1" x14ac:dyDescent="0.35">
      <c r="T44200" s="246">
        <f t="shared" si="728"/>
        <v>0</v>
      </c>
    </row>
    <row r="44201" spans="20:20" ht="18.75" customHeight="1" x14ac:dyDescent="0.35">
      <c r="T44201" s="246">
        <f t="shared" si="728"/>
        <v>0</v>
      </c>
    </row>
    <row r="44202" spans="20:20" ht="18.75" customHeight="1" x14ac:dyDescent="0.35">
      <c r="T44202" s="246">
        <f t="shared" si="728"/>
        <v>0</v>
      </c>
    </row>
    <row r="44203" spans="20:20" ht="18.75" customHeight="1" x14ac:dyDescent="0.35">
      <c r="T44203" s="246">
        <f t="shared" si="728"/>
        <v>0</v>
      </c>
    </row>
    <row r="44204" spans="20:20" ht="18.75" customHeight="1" x14ac:dyDescent="0.35">
      <c r="T44204" s="246">
        <f t="shared" si="728"/>
        <v>0</v>
      </c>
    </row>
    <row r="44205" spans="20:20" ht="18.75" customHeight="1" x14ac:dyDescent="0.35">
      <c r="T44205" s="246">
        <f t="shared" si="728"/>
        <v>0</v>
      </c>
    </row>
    <row r="44206" spans="20:20" ht="18.75" customHeight="1" x14ac:dyDescent="0.35">
      <c r="T44206" s="246">
        <f t="shared" si="728"/>
        <v>0</v>
      </c>
    </row>
    <row r="44207" spans="20:20" ht="18.75" customHeight="1" x14ac:dyDescent="0.35">
      <c r="T44207" s="246">
        <f t="shared" si="728"/>
        <v>0</v>
      </c>
    </row>
    <row r="44208" spans="20:20" ht="18.75" customHeight="1" x14ac:dyDescent="0.35">
      <c r="T44208" s="246">
        <f t="shared" si="728"/>
        <v>0</v>
      </c>
    </row>
    <row r="44209" spans="20:20" ht="18.75" customHeight="1" x14ac:dyDescent="0.35">
      <c r="T44209" s="246">
        <f t="shared" si="728"/>
        <v>0</v>
      </c>
    </row>
    <row r="44210" spans="20:20" ht="18.75" customHeight="1" x14ac:dyDescent="0.35">
      <c r="T44210" s="246">
        <f t="shared" si="728"/>
        <v>0</v>
      </c>
    </row>
    <row r="44211" spans="20:20" ht="18.75" customHeight="1" x14ac:dyDescent="0.35">
      <c r="T44211" s="246">
        <f t="shared" si="728"/>
        <v>0</v>
      </c>
    </row>
    <row r="44212" spans="20:20" ht="18.75" customHeight="1" x14ac:dyDescent="0.35">
      <c r="T44212" s="246">
        <f t="shared" si="728"/>
        <v>0</v>
      </c>
    </row>
    <row r="44213" spans="20:20" ht="18.75" customHeight="1" x14ac:dyDescent="0.35">
      <c r="T44213" s="246">
        <f t="shared" si="728"/>
        <v>0</v>
      </c>
    </row>
    <row r="44214" spans="20:20" ht="18.75" customHeight="1" x14ac:dyDescent="0.35">
      <c r="T44214" s="246">
        <f t="shared" si="728"/>
        <v>0</v>
      </c>
    </row>
    <row r="44215" spans="20:20" ht="18.75" customHeight="1" x14ac:dyDescent="0.35">
      <c r="T44215" s="246">
        <f t="shared" si="728"/>
        <v>0</v>
      </c>
    </row>
    <row r="44216" spans="20:20" ht="18.75" customHeight="1" x14ac:dyDescent="0.35">
      <c r="T44216" s="246">
        <f t="shared" si="728"/>
        <v>0</v>
      </c>
    </row>
    <row r="44217" spans="20:20" ht="18.75" customHeight="1" x14ac:dyDescent="0.35">
      <c r="T44217" s="246">
        <f t="shared" si="728"/>
        <v>0</v>
      </c>
    </row>
    <row r="44218" spans="20:20" ht="18.75" customHeight="1" x14ac:dyDescent="0.35">
      <c r="T44218" s="246">
        <f t="shared" si="728"/>
        <v>0</v>
      </c>
    </row>
    <row r="44219" spans="20:20" ht="18.75" customHeight="1" x14ac:dyDescent="0.35">
      <c r="T44219" s="246">
        <f t="shared" si="728"/>
        <v>0</v>
      </c>
    </row>
    <row r="44220" spans="20:20" ht="18.75" customHeight="1" x14ac:dyDescent="0.35">
      <c r="T44220" s="246">
        <f t="shared" ref="T44220:T44283" si="729">R44220*0.01</f>
        <v>0</v>
      </c>
    </row>
    <row r="44221" spans="20:20" ht="18.75" customHeight="1" x14ac:dyDescent="0.35">
      <c r="T44221" s="246">
        <f t="shared" si="729"/>
        <v>0</v>
      </c>
    </row>
    <row r="44222" spans="20:20" ht="18.75" customHeight="1" x14ac:dyDescent="0.35">
      <c r="T44222" s="246">
        <f t="shared" si="729"/>
        <v>0</v>
      </c>
    </row>
    <row r="44223" spans="20:20" ht="18.75" customHeight="1" x14ac:dyDescent="0.35">
      <c r="T44223" s="246">
        <f t="shared" si="729"/>
        <v>0</v>
      </c>
    </row>
    <row r="44224" spans="20:20" ht="18.75" customHeight="1" x14ac:dyDescent="0.35">
      <c r="T44224" s="246">
        <f t="shared" si="729"/>
        <v>0</v>
      </c>
    </row>
    <row r="44225" spans="20:20" ht="18.75" customHeight="1" x14ac:dyDescent="0.35">
      <c r="T44225" s="246">
        <f t="shared" si="729"/>
        <v>0</v>
      </c>
    </row>
    <row r="44226" spans="20:20" ht="18.75" customHeight="1" x14ac:dyDescent="0.35">
      <c r="T44226" s="246">
        <f t="shared" si="729"/>
        <v>0</v>
      </c>
    </row>
    <row r="44227" spans="20:20" ht="18.75" customHeight="1" x14ac:dyDescent="0.35">
      <c r="T44227" s="246">
        <f t="shared" si="729"/>
        <v>0</v>
      </c>
    </row>
    <row r="44228" spans="20:20" ht="18.75" customHeight="1" x14ac:dyDescent="0.35">
      <c r="T44228" s="246">
        <f t="shared" si="729"/>
        <v>0</v>
      </c>
    </row>
    <row r="44229" spans="20:20" ht="18.75" customHeight="1" x14ac:dyDescent="0.35">
      <c r="T44229" s="246">
        <f t="shared" si="729"/>
        <v>0</v>
      </c>
    </row>
    <row r="44230" spans="20:20" ht="18.75" customHeight="1" x14ac:dyDescent="0.35">
      <c r="T44230" s="246">
        <f t="shared" si="729"/>
        <v>0</v>
      </c>
    </row>
    <row r="44231" spans="20:20" ht="18.75" customHeight="1" x14ac:dyDescent="0.35">
      <c r="T44231" s="246">
        <f t="shared" si="729"/>
        <v>0</v>
      </c>
    </row>
    <row r="44232" spans="20:20" ht="18.75" customHeight="1" x14ac:dyDescent="0.35">
      <c r="T44232" s="246">
        <f t="shared" si="729"/>
        <v>0</v>
      </c>
    </row>
    <row r="44233" spans="20:20" ht="18.75" customHeight="1" x14ac:dyDescent="0.35">
      <c r="T44233" s="246">
        <f t="shared" si="729"/>
        <v>0</v>
      </c>
    </row>
    <row r="44234" spans="20:20" ht="18.75" customHeight="1" x14ac:dyDescent="0.35">
      <c r="T44234" s="246">
        <f t="shared" si="729"/>
        <v>0</v>
      </c>
    </row>
    <row r="44235" spans="20:20" ht="18.75" customHeight="1" x14ac:dyDescent="0.35">
      <c r="T44235" s="246">
        <f t="shared" si="729"/>
        <v>0</v>
      </c>
    </row>
    <row r="44236" spans="20:20" ht="18.75" customHeight="1" x14ac:dyDescent="0.35">
      <c r="T44236" s="246">
        <f t="shared" si="729"/>
        <v>0</v>
      </c>
    </row>
    <row r="44237" spans="20:20" ht="18.75" customHeight="1" x14ac:dyDescent="0.35">
      <c r="T44237" s="246">
        <f t="shared" si="729"/>
        <v>0</v>
      </c>
    </row>
    <row r="44238" spans="20:20" ht="18.75" customHeight="1" x14ac:dyDescent="0.35">
      <c r="T44238" s="246">
        <f t="shared" si="729"/>
        <v>0</v>
      </c>
    </row>
    <row r="44239" spans="20:20" ht="18.75" customHeight="1" x14ac:dyDescent="0.35">
      <c r="T44239" s="246">
        <f t="shared" si="729"/>
        <v>0</v>
      </c>
    </row>
    <row r="44240" spans="20:20" ht="18.75" customHeight="1" x14ac:dyDescent="0.35">
      <c r="T44240" s="246">
        <f t="shared" si="729"/>
        <v>0</v>
      </c>
    </row>
    <row r="44241" spans="20:20" ht="18.75" customHeight="1" x14ac:dyDescent="0.35">
      <c r="T44241" s="246">
        <f t="shared" si="729"/>
        <v>0</v>
      </c>
    </row>
    <row r="44242" spans="20:20" ht="18.75" customHeight="1" x14ac:dyDescent="0.35">
      <c r="T44242" s="246">
        <f t="shared" si="729"/>
        <v>0</v>
      </c>
    </row>
    <row r="44243" spans="20:20" ht="18.75" customHeight="1" x14ac:dyDescent="0.35">
      <c r="T44243" s="246">
        <f t="shared" si="729"/>
        <v>0</v>
      </c>
    </row>
    <row r="44244" spans="20:20" ht="18.75" customHeight="1" x14ac:dyDescent="0.35">
      <c r="T44244" s="246">
        <f t="shared" si="729"/>
        <v>0</v>
      </c>
    </row>
    <row r="44245" spans="20:20" ht="18.75" customHeight="1" x14ac:dyDescent="0.35">
      <c r="T44245" s="246">
        <f t="shared" si="729"/>
        <v>0</v>
      </c>
    </row>
    <row r="44246" spans="20:20" ht="18.75" customHeight="1" x14ac:dyDescent="0.35">
      <c r="T44246" s="246">
        <f t="shared" si="729"/>
        <v>0</v>
      </c>
    </row>
    <row r="44247" spans="20:20" ht="18.75" customHeight="1" x14ac:dyDescent="0.35">
      <c r="T44247" s="246">
        <f t="shared" si="729"/>
        <v>0</v>
      </c>
    </row>
    <row r="44248" spans="20:20" ht="18.75" customHeight="1" x14ac:dyDescent="0.35">
      <c r="T44248" s="246">
        <f t="shared" si="729"/>
        <v>0</v>
      </c>
    </row>
    <row r="44249" spans="20:20" ht="18.75" customHeight="1" x14ac:dyDescent="0.35">
      <c r="T44249" s="246">
        <f t="shared" si="729"/>
        <v>0</v>
      </c>
    </row>
    <row r="44250" spans="20:20" ht="18.75" customHeight="1" x14ac:dyDescent="0.35">
      <c r="T44250" s="246">
        <f t="shared" si="729"/>
        <v>0</v>
      </c>
    </row>
    <row r="44251" spans="20:20" ht="18.75" customHeight="1" x14ac:dyDescent="0.35">
      <c r="T44251" s="246">
        <f t="shared" si="729"/>
        <v>0</v>
      </c>
    </row>
    <row r="44252" spans="20:20" ht="18.75" customHeight="1" x14ac:dyDescent="0.35">
      <c r="T44252" s="246">
        <f t="shared" si="729"/>
        <v>0</v>
      </c>
    </row>
    <row r="44253" spans="20:20" ht="18.75" customHeight="1" x14ac:dyDescent="0.35">
      <c r="T44253" s="246">
        <f t="shared" si="729"/>
        <v>0</v>
      </c>
    </row>
    <row r="44254" spans="20:20" ht="18.75" customHeight="1" x14ac:dyDescent="0.35">
      <c r="T44254" s="246">
        <f t="shared" si="729"/>
        <v>0</v>
      </c>
    </row>
    <row r="44255" spans="20:20" ht="18.75" customHeight="1" x14ac:dyDescent="0.35">
      <c r="T44255" s="246">
        <f t="shared" si="729"/>
        <v>0</v>
      </c>
    </row>
    <row r="44256" spans="20:20" ht="18.75" customHeight="1" x14ac:dyDescent="0.35">
      <c r="T44256" s="246">
        <f t="shared" si="729"/>
        <v>0</v>
      </c>
    </row>
    <row r="44257" spans="20:20" ht="18.75" customHeight="1" x14ac:dyDescent="0.35">
      <c r="T44257" s="246">
        <f t="shared" si="729"/>
        <v>0</v>
      </c>
    </row>
    <row r="44258" spans="20:20" ht="18.75" customHeight="1" x14ac:dyDescent="0.35">
      <c r="T44258" s="246">
        <f t="shared" si="729"/>
        <v>0</v>
      </c>
    </row>
    <row r="44259" spans="20:20" ht="18.75" customHeight="1" x14ac:dyDescent="0.35">
      <c r="T44259" s="246">
        <f t="shared" si="729"/>
        <v>0</v>
      </c>
    </row>
    <row r="44260" spans="20:20" ht="18.75" customHeight="1" x14ac:dyDescent="0.35">
      <c r="T44260" s="246">
        <f t="shared" si="729"/>
        <v>0</v>
      </c>
    </row>
    <row r="44261" spans="20:20" ht="18.75" customHeight="1" x14ac:dyDescent="0.35">
      <c r="T44261" s="246">
        <f t="shared" si="729"/>
        <v>0</v>
      </c>
    </row>
    <row r="44262" spans="20:20" ht="18.75" customHeight="1" x14ac:dyDescent="0.35">
      <c r="T44262" s="246">
        <f t="shared" si="729"/>
        <v>0</v>
      </c>
    </row>
    <row r="44263" spans="20:20" ht="18.75" customHeight="1" x14ac:dyDescent="0.35">
      <c r="T44263" s="246">
        <f t="shared" si="729"/>
        <v>0</v>
      </c>
    </row>
    <row r="44264" spans="20:20" ht="18.75" customHeight="1" x14ac:dyDescent="0.35">
      <c r="T44264" s="246">
        <f t="shared" si="729"/>
        <v>0</v>
      </c>
    </row>
    <row r="44265" spans="20:20" ht="18.75" customHeight="1" x14ac:dyDescent="0.35">
      <c r="T44265" s="246">
        <f t="shared" si="729"/>
        <v>0</v>
      </c>
    </row>
    <row r="44266" spans="20:20" ht="18.75" customHeight="1" x14ac:dyDescent="0.35">
      <c r="T44266" s="246">
        <f t="shared" si="729"/>
        <v>0</v>
      </c>
    </row>
    <row r="44267" spans="20:20" ht="18.75" customHeight="1" x14ac:dyDescent="0.35">
      <c r="T44267" s="246">
        <f t="shared" si="729"/>
        <v>0</v>
      </c>
    </row>
    <row r="44268" spans="20:20" ht="18.75" customHeight="1" x14ac:dyDescent="0.35">
      <c r="T44268" s="246">
        <f t="shared" si="729"/>
        <v>0</v>
      </c>
    </row>
    <row r="44269" spans="20:20" ht="18.75" customHeight="1" x14ac:dyDescent="0.35">
      <c r="T44269" s="246">
        <f t="shared" si="729"/>
        <v>0</v>
      </c>
    </row>
    <row r="44270" spans="20:20" ht="18.75" customHeight="1" x14ac:dyDescent="0.35">
      <c r="T44270" s="246">
        <f t="shared" si="729"/>
        <v>0</v>
      </c>
    </row>
    <row r="44271" spans="20:20" ht="18.75" customHeight="1" x14ac:dyDescent="0.35">
      <c r="T44271" s="246">
        <f t="shared" si="729"/>
        <v>0</v>
      </c>
    </row>
    <row r="44272" spans="20:20" ht="18.75" customHeight="1" x14ac:dyDescent="0.35">
      <c r="T44272" s="246">
        <f t="shared" si="729"/>
        <v>0</v>
      </c>
    </row>
    <row r="44273" spans="20:20" ht="18.75" customHeight="1" x14ac:dyDescent="0.35">
      <c r="T44273" s="246">
        <f t="shared" si="729"/>
        <v>0</v>
      </c>
    </row>
    <row r="44274" spans="20:20" ht="18.75" customHeight="1" x14ac:dyDescent="0.35">
      <c r="T44274" s="246">
        <f t="shared" si="729"/>
        <v>0</v>
      </c>
    </row>
    <row r="44275" spans="20:20" ht="18.75" customHeight="1" x14ac:dyDescent="0.35">
      <c r="T44275" s="246">
        <f t="shared" si="729"/>
        <v>0</v>
      </c>
    </row>
    <row r="44276" spans="20:20" ht="18.75" customHeight="1" x14ac:dyDescent="0.35">
      <c r="T44276" s="246">
        <f t="shared" si="729"/>
        <v>0</v>
      </c>
    </row>
    <row r="44277" spans="20:20" ht="18.75" customHeight="1" x14ac:dyDescent="0.35">
      <c r="T44277" s="246">
        <f t="shared" si="729"/>
        <v>0</v>
      </c>
    </row>
    <row r="44278" spans="20:20" ht="18.75" customHeight="1" x14ac:dyDescent="0.35">
      <c r="T44278" s="246">
        <f t="shared" si="729"/>
        <v>0</v>
      </c>
    </row>
    <row r="44279" spans="20:20" ht="18.75" customHeight="1" x14ac:dyDescent="0.35">
      <c r="T44279" s="246">
        <f t="shared" si="729"/>
        <v>0</v>
      </c>
    </row>
    <row r="44280" spans="20:20" ht="18.75" customHeight="1" x14ac:dyDescent="0.35">
      <c r="T44280" s="246">
        <f t="shared" si="729"/>
        <v>0</v>
      </c>
    </row>
    <row r="44281" spans="20:20" ht="18.75" customHeight="1" x14ac:dyDescent="0.35">
      <c r="T44281" s="246">
        <f t="shared" si="729"/>
        <v>0</v>
      </c>
    </row>
    <row r="44282" spans="20:20" ht="18.75" customHeight="1" x14ac:dyDescent="0.35">
      <c r="T44282" s="246">
        <f t="shared" si="729"/>
        <v>0</v>
      </c>
    </row>
    <row r="44283" spans="20:20" ht="18.75" customHeight="1" x14ac:dyDescent="0.35">
      <c r="T44283" s="246">
        <f t="shared" si="729"/>
        <v>0</v>
      </c>
    </row>
    <row r="44284" spans="20:20" ht="18.75" customHeight="1" x14ac:dyDescent="0.35">
      <c r="T44284" s="246">
        <f t="shared" ref="T44284:T44347" si="730">R44284*0.01</f>
        <v>0</v>
      </c>
    </row>
    <row r="44285" spans="20:20" ht="18.75" customHeight="1" x14ac:dyDescent="0.35">
      <c r="T44285" s="246">
        <f t="shared" si="730"/>
        <v>0</v>
      </c>
    </row>
    <row r="44286" spans="20:20" ht="18.75" customHeight="1" x14ac:dyDescent="0.35">
      <c r="T44286" s="246">
        <f t="shared" si="730"/>
        <v>0</v>
      </c>
    </row>
    <row r="44287" spans="20:20" ht="18.75" customHeight="1" x14ac:dyDescent="0.35">
      <c r="T44287" s="246">
        <f t="shared" si="730"/>
        <v>0</v>
      </c>
    </row>
    <row r="44288" spans="20:20" ht="18.75" customHeight="1" x14ac:dyDescent="0.35">
      <c r="T44288" s="246">
        <f t="shared" si="730"/>
        <v>0</v>
      </c>
    </row>
    <row r="44289" spans="20:20" ht="18.75" customHeight="1" x14ac:dyDescent="0.35">
      <c r="T44289" s="246">
        <f t="shared" si="730"/>
        <v>0</v>
      </c>
    </row>
    <row r="44290" spans="20:20" ht="18.75" customHeight="1" x14ac:dyDescent="0.35">
      <c r="T44290" s="246">
        <f t="shared" si="730"/>
        <v>0</v>
      </c>
    </row>
    <row r="44291" spans="20:20" ht="18.75" customHeight="1" x14ac:dyDescent="0.35">
      <c r="T44291" s="246">
        <f t="shared" si="730"/>
        <v>0</v>
      </c>
    </row>
    <row r="44292" spans="20:20" ht="18.75" customHeight="1" x14ac:dyDescent="0.35">
      <c r="T44292" s="246">
        <f t="shared" si="730"/>
        <v>0</v>
      </c>
    </row>
    <row r="44293" spans="20:20" ht="18.75" customHeight="1" x14ac:dyDescent="0.35">
      <c r="T44293" s="246">
        <f t="shared" si="730"/>
        <v>0</v>
      </c>
    </row>
    <row r="44294" spans="20:20" ht="18.75" customHeight="1" x14ac:dyDescent="0.35">
      <c r="T44294" s="246">
        <f t="shared" si="730"/>
        <v>0</v>
      </c>
    </row>
    <row r="44295" spans="20:20" ht="18.75" customHeight="1" x14ac:dyDescent="0.35">
      <c r="T44295" s="246">
        <f t="shared" si="730"/>
        <v>0</v>
      </c>
    </row>
    <row r="44296" spans="20:20" ht="18.75" customHeight="1" x14ac:dyDescent="0.35">
      <c r="T44296" s="246">
        <f t="shared" si="730"/>
        <v>0</v>
      </c>
    </row>
    <row r="44297" spans="20:20" ht="18.75" customHeight="1" x14ac:dyDescent="0.35">
      <c r="T44297" s="246">
        <f t="shared" si="730"/>
        <v>0</v>
      </c>
    </row>
    <row r="44298" spans="20:20" ht="18.75" customHeight="1" x14ac:dyDescent="0.35">
      <c r="T44298" s="246">
        <f t="shared" si="730"/>
        <v>0</v>
      </c>
    </row>
    <row r="44299" spans="20:20" ht="18.75" customHeight="1" x14ac:dyDescent="0.35">
      <c r="T44299" s="246">
        <f t="shared" si="730"/>
        <v>0</v>
      </c>
    </row>
    <row r="44300" spans="20:20" ht="18.75" customHeight="1" x14ac:dyDescent="0.35">
      <c r="T44300" s="246">
        <f t="shared" si="730"/>
        <v>0</v>
      </c>
    </row>
    <row r="44301" spans="20:20" ht="18.75" customHeight="1" x14ac:dyDescent="0.35">
      <c r="T44301" s="246">
        <f t="shared" si="730"/>
        <v>0</v>
      </c>
    </row>
    <row r="44302" spans="20:20" ht="18.75" customHeight="1" x14ac:dyDescent="0.35">
      <c r="T44302" s="246">
        <f t="shared" si="730"/>
        <v>0</v>
      </c>
    </row>
    <row r="44303" spans="20:20" ht="18.75" customHeight="1" x14ac:dyDescent="0.35">
      <c r="T44303" s="246">
        <f t="shared" si="730"/>
        <v>0</v>
      </c>
    </row>
    <row r="44304" spans="20:20" ht="18.75" customHeight="1" x14ac:dyDescent="0.35">
      <c r="T44304" s="246">
        <f t="shared" si="730"/>
        <v>0</v>
      </c>
    </row>
    <row r="44305" spans="20:20" ht="18.75" customHeight="1" x14ac:dyDescent="0.35">
      <c r="T44305" s="246">
        <f t="shared" si="730"/>
        <v>0</v>
      </c>
    </row>
    <row r="44306" spans="20:20" ht="18.75" customHeight="1" x14ac:dyDescent="0.35">
      <c r="T44306" s="246">
        <f t="shared" si="730"/>
        <v>0</v>
      </c>
    </row>
    <row r="44307" spans="20:20" ht="18.75" customHeight="1" x14ac:dyDescent="0.35">
      <c r="T44307" s="246">
        <f t="shared" si="730"/>
        <v>0</v>
      </c>
    </row>
    <row r="44308" spans="20:20" ht="18.75" customHeight="1" x14ac:dyDescent="0.35">
      <c r="T44308" s="246">
        <f t="shared" si="730"/>
        <v>0</v>
      </c>
    </row>
    <row r="44309" spans="20:20" ht="18.75" customHeight="1" x14ac:dyDescent="0.35">
      <c r="T44309" s="246">
        <f t="shared" si="730"/>
        <v>0</v>
      </c>
    </row>
    <row r="44310" spans="20:20" ht="18.75" customHeight="1" x14ac:dyDescent="0.35">
      <c r="T44310" s="246">
        <f t="shared" si="730"/>
        <v>0</v>
      </c>
    </row>
    <row r="44311" spans="20:20" ht="18.75" customHeight="1" x14ac:dyDescent="0.35">
      <c r="T44311" s="246">
        <f t="shared" si="730"/>
        <v>0</v>
      </c>
    </row>
    <row r="44312" spans="20:20" ht="18.75" customHeight="1" x14ac:dyDescent="0.35">
      <c r="T44312" s="246">
        <f t="shared" si="730"/>
        <v>0</v>
      </c>
    </row>
    <row r="44313" spans="20:20" ht="18.75" customHeight="1" x14ac:dyDescent="0.35">
      <c r="T44313" s="246">
        <f t="shared" si="730"/>
        <v>0</v>
      </c>
    </row>
    <row r="44314" spans="20:20" ht="18.75" customHeight="1" x14ac:dyDescent="0.35">
      <c r="T44314" s="246">
        <f t="shared" si="730"/>
        <v>0</v>
      </c>
    </row>
    <row r="44315" spans="20:20" ht="18.75" customHeight="1" x14ac:dyDescent="0.35">
      <c r="T44315" s="246">
        <f t="shared" si="730"/>
        <v>0</v>
      </c>
    </row>
    <row r="44316" spans="20:20" ht="18.75" customHeight="1" x14ac:dyDescent="0.35">
      <c r="T44316" s="246">
        <f t="shared" si="730"/>
        <v>0</v>
      </c>
    </row>
    <row r="44317" spans="20:20" ht="18.75" customHeight="1" x14ac:dyDescent="0.35">
      <c r="T44317" s="246">
        <f t="shared" si="730"/>
        <v>0</v>
      </c>
    </row>
    <row r="44318" spans="20:20" ht="18.75" customHeight="1" x14ac:dyDescent="0.35">
      <c r="T44318" s="246">
        <f t="shared" si="730"/>
        <v>0</v>
      </c>
    </row>
    <row r="44319" spans="20:20" ht="18.75" customHeight="1" x14ac:dyDescent="0.35">
      <c r="T44319" s="246">
        <f t="shared" si="730"/>
        <v>0</v>
      </c>
    </row>
    <row r="44320" spans="20:20" ht="18.75" customHeight="1" x14ac:dyDescent="0.35">
      <c r="T44320" s="246">
        <f t="shared" si="730"/>
        <v>0</v>
      </c>
    </row>
    <row r="44321" spans="20:20" ht="18.75" customHeight="1" x14ac:dyDescent="0.35">
      <c r="T44321" s="246">
        <f t="shared" si="730"/>
        <v>0</v>
      </c>
    </row>
    <row r="44322" spans="20:20" ht="18.75" customHeight="1" x14ac:dyDescent="0.35">
      <c r="T44322" s="246">
        <f t="shared" si="730"/>
        <v>0</v>
      </c>
    </row>
    <row r="44323" spans="20:20" ht="18.75" customHeight="1" x14ac:dyDescent="0.35">
      <c r="T44323" s="246">
        <f t="shared" si="730"/>
        <v>0</v>
      </c>
    </row>
    <row r="44324" spans="20:20" ht="18.75" customHeight="1" x14ac:dyDescent="0.35">
      <c r="T44324" s="246">
        <f t="shared" si="730"/>
        <v>0</v>
      </c>
    </row>
    <row r="44325" spans="20:20" ht="18.75" customHeight="1" x14ac:dyDescent="0.35">
      <c r="T44325" s="246">
        <f t="shared" si="730"/>
        <v>0</v>
      </c>
    </row>
    <row r="44326" spans="20:20" ht="18.75" customHeight="1" x14ac:dyDescent="0.35">
      <c r="T44326" s="246">
        <f t="shared" si="730"/>
        <v>0</v>
      </c>
    </row>
    <row r="44327" spans="20:20" ht="18.75" customHeight="1" x14ac:dyDescent="0.35">
      <c r="T44327" s="246">
        <f t="shared" si="730"/>
        <v>0</v>
      </c>
    </row>
    <row r="44328" spans="20:20" ht="18.75" customHeight="1" x14ac:dyDescent="0.35">
      <c r="T44328" s="246">
        <f t="shared" si="730"/>
        <v>0</v>
      </c>
    </row>
    <row r="44329" spans="20:20" ht="18.75" customHeight="1" x14ac:dyDescent="0.35">
      <c r="T44329" s="246">
        <f t="shared" si="730"/>
        <v>0</v>
      </c>
    </row>
    <row r="44330" spans="20:20" ht="18.75" customHeight="1" x14ac:dyDescent="0.35">
      <c r="T44330" s="246">
        <f t="shared" si="730"/>
        <v>0</v>
      </c>
    </row>
    <row r="44331" spans="20:20" ht="18.75" customHeight="1" x14ac:dyDescent="0.35">
      <c r="T44331" s="246">
        <f t="shared" si="730"/>
        <v>0</v>
      </c>
    </row>
    <row r="44332" spans="20:20" ht="18.75" customHeight="1" x14ac:dyDescent="0.35">
      <c r="T44332" s="246">
        <f t="shared" si="730"/>
        <v>0</v>
      </c>
    </row>
    <row r="44333" spans="20:20" ht="18.75" customHeight="1" x14ac:dyDescent="0.35">
      <c r="T44333" s="246">
        <f t="shared" si="730"/>
        <v>0</v>
      </c>
    </row>
    <row r="44334" spans="20:20" ht="18.75" customHeight="1" x14ac:dyDescent="0.35">
      <c r="T44334" s="246">
        <f t="shared" si="730"/>
        <v>0</v>
      </c>
    </row>
    <row r="44335" spans="20:20" ht="18.75" customHeight="1" x14ac:dyDescent="0.35">
      <c r="T44335" s="246">
        <f t="shared" si="730"/>
        <v>0</v>
      </c>
    </row>
    <row r="44336" spans="20:20" ht="18.75" customHeight="1" x14ac:dyDescent="0.35">
      <c r="T44336" s="246">
        <f t="shared" si="730"/>
        <v>0</v>
      </c>
    </row>
    <row r="44337" spans="20:20" ht="18.75" customHeight="1" x14ac:dyDescent="0.35">
      <c r="T44337" s="246">
        <f t="shared" si="730"/>
        <v>0</v>
      </c>
    </row>
    <row r="44338" spans="20:20" ht="18.75" customHeight="1" x14ac:dyDescent="0.35">
      <c r="T44338" s="246">
        <f t="shared" si="730"/>
        <v>0</v>
      </c>
    </row>
    <row r="44339" spans="20:20" ht="18.75" customHeight="1" x14ac:dyDescent="0.35">
      <c r="T44339" s="246">
        <f t="shared" si="730"/>
        <v>0</v>
      </c>
    </row>
    <row r="44340" spans="20:20" ht="18.75" customHeight="1" x14ac:dyDescent="0.35">
      <c r="T44340" s="246">
        <f t="shared" si="730"/>
        <v>0</v>
      </c>
    </row>
    <row r="44341" spans="20:20" ht="18.75" customHeight="1" x14ac:dyDescent="0.35">
      <c r="T44341" s="246">
        <f t="shared" si="730"/>
        <v>0</v>
      </c>
    </row>
    <row r="44342" spans="20:20" ht="18.75" customHeight="1" x14ac:dyDescent="0.35">
      <c r="T44342" s="246">
        <f t="shared" si="730"/>
        <v>0</v>
      </c>
    </row>
    <row r="44343" spans="20:20" ht="18.75" customHeight="1" x14ac:dyDescent="0.35">
      <c r="T44343" s="246">
        <f t="shared" si="730"/>
        <v>0</v>
      </c>
    </row>
    <row r="44344" spans="20:20" ht="18.75" customHeight="1" x14ac:dyDescent="0.35">
      <c r="T44344" s="246">
        <f t="shared" si="730"/>
        <v>0</v>
      </c>
    </row>
    <row r="44345" spans="20:20" ht="18.75" customHeight="1" x14ac:dyDescent="0.35">
      <c r="T44345" s="246">
        <f t="shared" si="730"/>
        <v>0</v>
      </c>
    </row>
    <row r="44346" spans="20:20" ht="18.75" customHeight="1" x14ac:dyDescent="0.35">
      <c r="T44346" s="246">
        <f t="shared" si="730"/>
        <v>0</v>
      </c>
    </row>
    <row r="44347" spans="20:20" ht="18.75" customHeight="1" x14ac:dyDescent="0.35">
      <c r="T44347" s="246">
        <f t="shared" si="730"/>
        <v>0</v>
      </c>
    </row>
    <row r="44348" spans="20:20" ht="18.75" customHeight="1" x14ac:dyDescent="0.35">
      <c r="T44348" s="246">
        <f t="shared" ref="T44348:T44411" si="731">R44348*0.01</f>
        <v>0</v>
      </c>
    </row>
    <row r="44349" spans="20:20" ht="18.75" customHeight="1" x14ac:dyDescent="0.35">
      <c r="T44349" s="246">
        <f t="shared" si="731"/>
        <v>0</v>
      </c>
    </row>
    <row r="44350" spans="20:20" ht="18.75" customHeight="1" x14ac:dyDescent="0.35">
      <c r="T44350" s="246">
        <f t="shared" si="731"/>
        <v>0</v>
      </c>
    </row>
    <row r="44351" spans="20:20" ht="18.75" customHeight="1" x14ac:dyDescent="0.35">
      <c r="T44351" s="246">
        <f t="shared" si="731"/>
        <v>0</v>
      </c>
    </row>
    <row r="44352" spans="20:20" ht="18.75" customHeight="1" x14ac:dyDescent="0.35">
      <c r="T44352" s="246">
        <f t="shared" si="731"/>
        <v>0</v>
      </c>
    </row>
    <row r="44353" spans="20:20" ht="18.75" customHeight="1" x14ac:dyDescent="0.35">
      <c r="T44353" s="246">
        <f t="shared" si="731"/>
        <v>0</v>
      </c>
    </row>
    <row r="44354" spans="20:20" ht="18.75" customHeight="1" x14ac:dyDescent="0.35">
      <c r="T44354" s="246">
        <f t="shared" si="731"/>
        <v>0</v>
      </c>
    </row>
    <row r="44355" spans="20:20" ht="18.75" customHeight="1" x14ac:dyDescent="0.35">
      <c r="T44355" s="246">
        <f t="shared" si="731"/>
        <v>0</v>
      </c>
    </row>
    <row r="44356" spans="20:20" ht="18.75" customHeight="1" x14ac:dyDescent="0.35">
      <c r="T44356" s="246">
        <f t="shared" si="731"/>
        <v>0</v>
      </c>
    </row>
    <row r="44357" spans="20:20" ht="18.75" customHeight="1" x14ac:dyDescent="0.35">
      <c r="T44357" s="246">
        <f t="shared" si="731"/>
        <v>0</v>
      </c>
    </row>
    <row r="44358" spans="20:20" ht="18.75" customHeight="1" x14ac:dyDescent="0.35">
      <c r="T44358" s="246">
        <f t="shared" si="731"/>
        <v>0</v>
      </c>
    </row>
    <row r="44359" spans="20:20" ht="18.75" customHeight="1" x14ac:dyDescent="0.35">
      <c r="T44359" s="246">
        <f t="shared" si="731"/>
        <v>0</v>
      </c>
    </row>
    <row r="44360" spans="20:20" ht="18.75" customHeight="1" x14ac:dyDescent="0.35">
      <c r="T44360" s="246">
        <f t="shared" si="731"/>
        <v>0</v>
      </c>
    </row>
    <row r="44361" spans="20:20" ht="18.75" customHeight="1" x14ac:dyDescent="0.35">
      <c r="T44361" s="246">
        <f t="shared" si="731"/>
        <v>0</v>
      </c>
    </row>
    <row r="44362" spans="20:20" ht="18.75" customHeight="1" x14ac:dyDescent="0.35">
      <c r="T44362" s="246">
        <f t="shared" si="731"/>
        <v>0</v>
      </c>
    </row>
    <row r="44363" spans="20:20" ht="18.75" customHeight="1" x14ac:dyDescent="0.35">
      <c r="T44363" s="246">
        <f t="shared" si="731"/>
        <v>0</v>
      </c>
    </row>
    <row r="44364" spans="20:20" ht="18.75" customHeight="1" x14ac:dyDescent="0.35">
      <c r="T44364" s="246">
        <f t="shared" si="731"/>
        <v>0</v>
      </c>
    </row>
    <row r="44365" spans="20:20" ht="18.75" customHeight="1" x14ac:dyDescent="0.35">
      <c r="T44365" s="246">
        <f t="shared" si="731"/>
        <v>0</v>
      </c>
    </row>
    <row r="44366" spans="20:20" ht="18.75" customHeight="1" x14ac:dyDescent="0.35">
      <c r="T44366" s="246">
        <f t="shared" si="731"/>
        <v>0</v>
      </c>
    </row>
    <row r="44367" spans="20:20" ht="18.75" customHeight="1" x14ac:dyDescent="0.35">
      <c r="T44367" s="246">
        <f t="shared" si="731"/>
        <v>0</v>
      </c>
    </row>
    <row r="44368" spans="20:20" ht="18.75" customHeight="1" x14ac:dyDescent="0.35">
      <c r="T44368" s="246">
        <f t="shared" si="731"/>
        <v>0</v>
      </c>
    </row>
    <row r="44369" spans="20:20" ht="18.75" customHeight="1" x14ac:dyDescent="0.35">
      <c r="T44369" s="246">
        <f t="shared" si="731"/>
        <v>0</v>
      </c>
    </row>
    <row r="44370" spans="20:20" ht="18.75" customHeight="1" x14ac:dyDescent="0.35">
      <c r="T44370" s="246">
        <f t="shared" si="731"/>
        <v>0</v>
      </c>
    </row>
    <row r="44371" spans="20:20" ht="18.75" customHeight="1" x14ac:dyDescent="0.35">
      <c r="T44371" s="246">
        <f t="shared" si="731"/>
        <v>0</v>
      </c>
    </row>
    <row r="44372" spans="20:20" ht="18.75" customHeight="1" x14ac:dyDescent="0.35">
      <c r="T44372" s="246">
        <f t="shared" si="731"/>
        <v>0</v>
      </c>
    </row>
    <row r="44373" spans="20:20" ht="18.75" customHeight="1" x14ac:dyDescent="0.35">
      <c r="T44373" s="246">
        <f t="shared" si="731"/>
        <v>0</v>
      </c>
    </row>
    <row r="44374" spans="20:20" ht="18.75" customHeight="1" x14ac:dyDescent="0.35">
      <c r="T44374" s="246">
        <f t="shared" si="731"/>
        <v>0</v>
      </c>
    </row>
    <row r="44375" spans="20:20" ht="18.75" customHeight="1" x14ac:dyDescent="0.35">
      <c r="T44375" s="246">
        <f t="shared" si="731"/>
        <v>0</v>
      </c>
    </row>
    <row r="44376" spans="20:20" ht="18.75" customHeight="1" x14ac:dyDescent="0.35">
      <c r="T44376" s="246">
        <f t="shared" si="731"/>
        <v>0</v>
      </c>
    </row>
    <row r="44377" spans="20:20" ht="18.75" customHeight="1" x14ac:dyDescent="0.35">
      <c r="T44377" s="246">
        <f t="shared" si="731"/>
        <v>0</v>
      </c>
    </row>
    <row r="44378" spans="20:20" ht="18.75" customHeight="1" x14ac:dyDescent="0.35">
      <c r="T44378" s="246">
        <f t="shared" si="731"/>
        <v>0</v>
      </c>
    </row>
    <row r="44379" spans="20:20" ht="18.75" customHeight="1" x14ac:dyDescent="0.35">
      <c r="T44379" s="246">
        <f t="shared" si="731"/>
        <v>0</v>
      </c>
    </row>
    <row r="44380" spans="20:20" ht="18.75" customHeight="1" x14ac:dyDescent="0.35">
      <c r="T44380" s="246">
        <f t="shared" si="731"/>
        <v>0</v>
      </c>
    </row>
    <row r="44381" spans="20:20" ht="18.75" customHeight="1" x14ac:dyDescent="0.35">
      <c r="T44381" s="246">
        <f t="shared" si="731"/>
        <v>0</v>
      </c>
    </row>
    <row r="44382" spans="20:20" ht="18.75" customHeight="1" x14ac:dyDescent="0.35">
      <c r="T44382" s="246">
        <f t="shared" si="731"/>
        <v>0</v>
      </c>
    </row>
    <row r="44383" spans="20:20" ht="18.75" customHeight="1" x14ac:dyDescent="0.35">
      <c r="T44383" s="246">
        <f t="shared" si="731"/>
        <v>0</v>
      </c>
    </row>
    <row r="44384" spans="20:20" ht="18.75" customHeight="1" x14ac:dyDescent="0.35">
      <c r="T44384" s="246">
        <f t="shared" si="731"/>
        <v>0</v>
      </c>
    </row>
    <row r="44385" spans="20:20" ht="18.75" customHeight="1" x14ac:dyDescent="0.35">
      <c r="T44385" s="246">
        <f t="shared" si="731"/>
        <v>0</v>
      </c>
    </row>
    <row r="44386" spans="20:20" ht="18.75" customHeight="1" x14ac:dyDescent="0.35">
      <c r="T44386" s="246">
        <f t="shared" si="731"/>
        <v>0</v>
      </c>
    </row>
    <row r="44387" spans="20:20" ht="18.75" customHeight="1" x14ac:dyDescent="0.35">
      <c r="T44387" s="246">
        <f t="shared" si="731"/>
        <v>0</v>
      </c>
    </row>
    <row r="44388" spans="20:20" ht="18.75" customHeight="1" x14ac:dyDescent="0.35">
      <c r="T44388" s="246">
        <f t="shared" si="731"/>
        <v>0</v>
      </c>
    </row>
    <row r="44389" spans="20:20" ht="18.75" customHeight="1" x14ac:dyDescent="0.35">
      <c r="T44389" s="246">
        <f t="shared" si="731"/>
        <v>0</v>
      </c>
    </row>
    <row r="44390" spans="20:20" ht="18.75" customHeight="1" x14ac:dyDescent="0.35">
      <c r="T44390" s="246">
        <f t="shared" si="731"/>
        <v>0</v>
      </c>
    </row>
    <row r="44391" spans="20:20" ht="18.75" customHeight="1" x14ac:dyDescent="0.35">
      <c r="T44391" s="246">
        <f t="shared" si="731"/>
        <v>0</v>
      </c>
    </row>
    <row r="44392" spans="20:20" ht="18.75" customHeight="1" x14ac:dyDescent="0.35">
      <c r="T44392" s="246">
        <f t="shared" si="731"/>
        <v>0</v>
      </c>
    </row>
    <row r="44393" spans="20:20" ht="18.75" customHeight="1" x14ac:dyDescent="0.35">
      <c r="T44393" s="246">
        <f t="shared" si="731"/>
        <v>0</v>
      </c>
    </row>
    <row r="44394" spans="20:20" ht="18.75" customHeight="1" x14ac:dyDescent="0.35">
      <c r="T44394" s="246">
        <f t="shared" si="731"/>
        <v>0</v>
      </c>
    </row>
    <row r="44395" spans="20:20" ht="18.75" customHeight="1" x14ac:dyDescent="0.35">
      <c r="T44395" s="246">
        <f t="shared" si="731"/>
        <v>0</v>
      </c>
    </row>
    <row r="44396" spans="20:20" ht="18.75" customHeight="1" x14ac:dyDescent="0.35">
      <c r="T44396" s="246">
        <f t="shared" si="731"/>
        <v>0</v>
      </c>
    </row>
    <row r="44397" spans="20:20" ht="18.75" customHeight="1" x14ac:dyDescent="0.35">
      <c r="T44397" s="246">
        <f t="shared" si="731"/>
        <v>0</v>
      </c>
    </row>
    <row r="44398" spans="20:20" ht="18.75" customHeight="1" x14ac:dyDescent="0.35">
      <c r="T44398" s="246">
        <f t="shared" si="731"/>
        <v>0</v>
      </c>
    </row>
    <row r="44399" spans="20:20" ht="18.75" customHeight="1" x14ac:dyDescent="0.35">
      <c r="T44399" s="246">
        <f t="shared" si="731"/>
        <v>0</v>
      </c>
    </row>
    <row r="44400" spans="20:20" ht="18.75" customHeight="1" x14ac:dyDescent="0.35">
      <c r="T44400" s="246">
        <f t="shared" si="731"/>
        <v>0</v>
      </c>
    </row>
    <row r="44401" spans="20:20" ht="18.75" customHeight="1" x14ac:dyDescent="0.35">
      <c r="T44401" s="246">
        <f t="shared" si="731"/>
        <v>0</v>
      </c>
    </row>
    <row r="44402" spans="20:20" ht="18.75" customHeight="1" x14ac:dyDescent="0.35">
      <c r="T44402" s="246">
        <f t="shared" si="731"/>
        <v>0</v>
      </c>
    </row>
    <row r="44403" spans="20:20" ht="18.75" customHeight="1" x14ac:dyDescent="0.35">
      <c r="T44403" s="246">
        <f t="shared" si="731"/>
        <v>0</v>
      </c>
    </row>
    <row r="44404" spans="20:20" ht="18.75" customHeight="1" x14ac:dyDescent="0.35">
      <c r="T44404" s="246">
        <f t="shared" si="731"/>
        <v>0</v>
      </c>
    </row>
    <row r="44405" spans="20:20" ht="18.75" customHeight="1" x14ac:dyDescent="0.35">
      <c r="T44405" s="246">
        <f t="shared" si="731"/>
        <v>0</v>
      </c>
    </row>
    <row r="44406" spans="20:20" ht="18.75" customHeight="1" x14ac:dyDescent="0.35">
      <c r="T44406" s="246">
        <f t="shared" si="731"/>
        <v>0</v>
      </c>
    </row>
    <row r="44407" spans="20:20" ht="18.75" customHeight="1" x14ac:dyDescent="0.35">
      <c r="T44407" s="246">
        <f t="shared" si="731"/>
        <v>0</v>
      </c>
    </row>
    <row r="44408" spans="20:20" ht="18.75" customHeight="1" x14ac:dyDescent="0.35">
      <c r="T44408" s="246">
        <f t="shared" si="731"/>
        <v>0</v>
      </c>
    </row>
    <row r="44409" spans="20:20" ht="18.75" customHeight="1" x14ac:dyDescent="0.35">
      <c r="T44409" s="246">
        <f t="shared" si="731"/>
        <v>0</v>
      </c>
    </row>
    <row r="44410" spans="20:20" ht="18.75" customHeight="1" x14ac:dyDescent="0.35">
      <c r="T44410" s="246">
        <f t="shared" si="731"/>
        <v>0</v>
      </c>
    </row>
    <row r="44411" spans="20:20" ht="18.75" customHeight="1" x14ac:dyDescent="0.35">
      <c r="T44411" s="246">
        <f t="shared" si="731"/>
        <v>0</v>
      </c>
    </row>
    <row r="44412" spans="20:20" ht="18.75" customHeight="1" x14ac:dyDescent="0.35">
      <c r="T44412" s="246">
        <f t="shared" ref="T44412:T44475" si="732">R44412*0.01</f>
        <v>0</v>
      </c>
    </row>
    <row r="44413" spans="20:20" ht="18.75" customHeight="1" x14ac:dyDescent="0.35">
      <c r="T44413" s="246">
        <f t="shared" si="732"/>
        <v>0</v>
      </c>
    </row>
    <row r="44414" spans="20:20" ht="18.75" customHeight="1" x14ac:dyDescent="0.35">
      <c r="T44414" s="246">
        <f t="shared" si="732"/>
        <v>0</v>
      </c>
    </row>
    <row r="44415" spans="20:20" ht="18.75" customHeight="1" x14ac:dyDescent="0.35">
      <c r="T44415" s="246">
        <f t="shared" si="732"/>
        <v>0</v>
      </c>
    </row>
    <row r="44416" spans="20:20" ht="18.75" customHeight="1" x14ac:dyDescent="0.35">
      <c r="T44416" s="246">
        <f t="shared" si="732"/>
        <v>0</v>
      </c>
    </row>
    <row r="44417" spans="20:20" ht="18.75" customHeight="1" x14ac:dyDescent="0.35">
      <c r="T44417" s="246">
        <f t="shared" si="732"/>
        <v>0</v>
      </c>
    </row>
    <row r="44418" spans="20:20" ht="18.75" customHeight="1" x14ac:dyDescent="0.35">
      <c r="T44418" s="246">
        <f t="shared" si="732"/>
        <v>0</v>
      </c>
    </row>
    <row r="44419" spans="20:20" ht="18.75" customHeight="1" x14ac:dyDescent="0.35">
      <c r="T44419" s="246">
        <f t="shared" si="732"/>
        <v>0</v>
      </c>
    </row>
    <row r="44420" spans="20:20" ht="18.75" customHeight="1" x14ac:dyDescent="0.35">
      <c r="T44420" s="246">
        <f t="shared" si="732"/>
        <v>0</v>
      </c>
    </row>
    <row r="44421" spans="20:20" ht="18.75" customHeight="1" x14ac:dyDescent="0.35">
      <c r="T44421" s="246">
        <f t="shared" si="732"/>
        <v>0</v>
      </c>
    </row>
    <row r="44422" spans="20:20" ht="18.75" customHeight="1" x14ac:dyDescent="0.35">
      <c r="T44422" s="246">
        <f t="shared" si="732"/>
        <v>0</v>
      </c>
    </row>
    <row r="44423" spans="20:20" ht="18.75" customHeight="1" x14ac:dyDescent="0.35">
      <c r="T44423" s="246">
        <f t="shared" si="732"/>
        <v>0</v>
      </c>
    </row>
    <row r="44424" spans="20:20" ht="18.75" customHeight="1" x14ac:dyDescent="0.35">
      <c r="T44424" s="246">
        <f t="shared" si="732"/>
        <v>0</v>
      </c>
    </row>
    <row r="44425" spans="20:20" ht="18.75" customHeight="1" x14ac:dyDescent="0.35">
      <c r="T44425" s="246">
        <f t="shared" si="732"/>
        <v>0</v>
      </c>
    </row>
    <row r="44426" spans="20:20" ht="18.75" customHeight="1" x14ac:dyDescent="0.35">
      <c r="T44426" s="246">
        <f t="shared" si="732"/>
        <v>0</v>
      </c>
    </row>
    <row r="44427" spans="20:20" ht="18.75" customHeight="1" x14ac:dyDescent="0.35">
      <c r="T44427" s="246">
        <f t="shared" si="732"/>
        <v>0</v>
      </c>
    </row>
    <row r="44428" spans="20:20" ht="18.75" customHeight="1" x14ac:dyDescent="0.35">
      <c r="T44428" s="246">
        <f t="shared" si="732"/>
        <v>0</v>
      </c>
    </row>
    <row r="44429" spans="20:20" ht="18.75" customHeight="1" x14ac:dyDescent="0.35">
      <c r="T44429" s="246">
        <f t="shared" si="732"/>
        <v>0</v>
      </c>
    </row>
    <row r="44430" spans="20:20" ht="18.75" customHeight="1" x14ac:dyDescent="0.35">
      <c r="T44430" s="246">
        <f t="shared" si="732"/>
        <v>0</v>
      </c>
    </row>
    <row r="44431" spans="20:20" ht="18.75" customHeight="1" x14ac:dyDescent="0.35">
      <c r="T44431" s="246">
        <f t="shared" si="732"/>
        <v>0</v>
      </c>
    </row>
    <row r="44432" spans="20:20" ht="18.75" customHeight="1" x14ac:dyDescent="0.35">
      <c r="T44432" s="246">
        <f t="shared" si="732"/>
        <v>0</v>
      </c>
    </row>
    <row r="44433" spans="20:20" ht="18.75" customHeight="1" x14ac:dyDescent="0.35">
      <c r="T44433" s="246">
        <f t="shared" si="732"/>
        <v>0</v>
      </c>
    </row>
    <row r="44434" spans="20:20" ht="18.75" customHeight="1" x14ac:dyDescent="0.35">
      <c r="T44434" s="246">
        <f t="shared" si="732"/>
        <v>0</v>
      </c>
    </row>
    <row r="44435" spans="20:20" ht="18.75" customHeight="1" x14ac:dyDescent="0.35">
      <c r="T44435" s="246">
        <f t="shared" si="732"/>
        <v>0</v>
      </c>
    </row>
    <row r="44436" spans="20:20" ht="18.75" customHeight="1" x14ac:dyDescent="0.35">
      <c r="T44436" s="246">
        <f t="shared" si="732"/>
        <v>0</v>
      </c>
    </row>
    <row r="44437" spans="20:20" ht="18.75" customHeight="1" x14ac:dyDescent="0.35">
      <c r="T44437" s="246">
        <f t="shared" si="732"/>
        <v>0</v>
      </c>
    </row>
    <row r="44438" spans="20:20" ht="18.75" customHeight="1" x14ac:dyDescent="0.35">
      <c r="T44438" s="246">
        <f t="shared" si="732"/>
        <v>0</v>
      </c>
    </row>
    <row r="44439" spans="20:20" ht="18.75" customHeight="1" x14ac:dyDescent="0.35">
      <c r="T44439" s="246">
        <f t="shared" si="732"/>
        <v>0</v>
      </c>
    </row>
    <row r="44440" spans="20:20" ht="18.75" customHeight="1" x14ac:dyDescent="0.35">
      <c r="T44440" s="246">
        <f t="shared" si="732"/>
        <v>0</v>
      </c>
    </row>
    <row r="44441" spans="20:20" ht="18.75" customHeight="1" x14ac:dyDescent="0.35">
      <c r="T44441" s="246">
        <f t="shared" si="732"/>
        <v>0</v>
      </c>
    </row>
    <row r="44442" spans="20:20" ht="18.75" customHeight="1" x14ac:dyDescent="0.35">
      <c r="T44442" s="246">
        <f t="shared" si="732"/>
        <v>0</v>
      </c>
    </row>
    <row r="44443" spans="20:20" ht="18.75" customHeight="1" x14ac:dyDescent="0.35">
      <c r="T44443" s="246">
        <f t="shared" si="732"/>
        <v>0</v>
      </c>
    </row>
    <row r="44444" spans="20:20" ht="18.75" customHeight="1" x14ac:dyDescent="0.35">
      <c r="T44444" s="246">
        <f t="shared" si="732"/>
        <v>0</v>
      </c>
    </row>
    <row r="44445" spans="20:20" ht="18.75" customHeight="1" x14ac:dyDescent="0.35">
      <c r="T44445" s="246">
        <f t="shared" si="732"/>
        <v>0</v>
      </c>
    </row>
    <row r="44446" spans="20:20" ht="18.75" customHeight="1" x14ac:dyDescent="0.35">
      <c r="T44446" s="246">
        <f t="shared" si="732"/>
        <v>0</v>
      </c>
    </row>
    <row r="44447" spans="20:20" ht="18.75" customHeight="1" x14ac:dyDescent="0.35">
      <c r="T44447" s="246">
        <f t="shared" si="732"/>
        <v>0</v>
      </c>
    </row>
    <row r="44448" spans="20:20" ht="18.75" customHeight="1" x14ac:dyDescent="0.35">
      <c r="T44448" s="246">
        <f t="shared" si="732"/>
        <v>0</v>
      </c>
    </row>
    <row r="44449" spans="20:20" ht="18.75" customHeight="1" x14ac:dyDescent="0.35">
      <c r="T44449" s="246">
        <f t="shared" si="732"/>
        <v>0</v>
      </c>
    </row>
    <row r="44450" spans="20:20" ht="18.75" customHeight="1" x14ac:dyDescent="0.35">
      <c r="T44450" s="246">
        <f t="shared" si="732"/>
        <v>0</v>
      </c>
    </row>
    <row r="44451" spans="20:20" ht="18.75" customHeight="1" x14ac:dyDescent="0.35">
      <c r="T44451" s="246">
        <f t="shared" si="732"/>
        <v>0</v>
      </c>
    </row>
    <row r="44452" spans="20:20" ht="18.75" customHeight="1" x14ac:dyDescent="0.35">
      <c r="T44452" s="246">
        <f t="shared" si="732"/>
        <v>0</v>
      </c>
    </row>
    <row r="44453" spans="20:20" ht="18.75" customHeight="1" x14ac:dyDescent="0.35">
      <c r="T44453" s="246">
        <f t="shared" si="732"/>
        <v>0</v>
      </c>
    </row>
    <row r="44454" spans="20:20" ht="18.75" customHeight="1" x14ac:dyDescent="0.35">
      <c r="T44454" s="246">
        <f t="shared" si="732"/>
        <v>0</v>
      </c>
    </row>
    <row r="44455" spans="20:20" ht="18.75" customHeight="1" x14ac:dyDescent="0.35">
      <c r="T44455" s="246">
        <f t="shared" si="732"/>
        <v>0</v>
      </c>
    </row>
    <row r="44456" spans="20:20" ht="18.75" customHeight="1" x14ac:dyDescent="0.35">
      <c r="T44456" s="246">
        <f t="shared" si="732"/>
        <v>0</v>
      </c>
    </row>
    <row r="44457" spans="20:20" ht="18.75" customHeight="1" x14ac:dyDescent="0.35">
      <c r="T44457" s="246">
        <f t="shared" si="732"/>
        <v>0</v>
      </c>
    </row>
    <row r="44458" spans="20:20" ht="18.75" customHeight="1" x14ac:dyDescent="0.35">
      <c r="T44458" s="246">
        <f t="shared" si="732"/>
        <v>0</v>
      </c>
    </row>
    <row r="44459" spans="20:20" ht="18.75" customHeight="1" x14ac:dyDescent="0.35">
      <c r="T44459" s="246">
        <f t="shared" si="732"/>
        <v>0</v>
      </c>
    </row>
    <row r="44460" spans="20:20" ht="18.75" customHeight="1" x14ac:dyDescent="0.35">
      <c r="T44460" s="246">
        <f t="shared" si="732"/>
        <v>0</v>
      </c>
    </row>
    <row r="44461" spans="20:20" ht="18.75" customHeight="1" x14ac:dyDescent="0.35">
      <c r="T44461" s="246">
        <f t="shared" si="732"/>
        <v>0</v>
      </c>
    </row>
    <row r="44462" spans="20:20" ht="18.75" customHeight="1" x14ac:dyDescent="0.35">
      <c r="T44462" s="246">
        <f t="shared" si="732"/>
        <v>0</v>
      </c>
    </row>
    <row r="44463" spans="20:20" ht="18.75" customHeight="1" x14ac:dyDescent="0.35">
      <c r="T44463" s="246">
        <f t="shared" si="732"/>
        <v>0</v>
      </c>
    </row>
    <row r="44464" spans="20:20" ht="18.75" customHeight="1" x14ac:dyDescent="0.35">
      <c r="T44464" s="246">
        <f t="shared" si="732"/>
        <v>0</v>
      </c>
    </row>
    <row r="44465" spans="20:20" ht="18.75" customHeight="1" x14ac:dyDescent="0.35">
      <c r="T44465" s="246">
        <f t="shared" si="732"/>
        <v>0</v>
      </c>
    </row>
    <row r="44466" spans="20:20" ht="18.75" customHeight="1" x14ac:dyDescent="0.35">
      <c r="T44466" s="246">
        <f t="shared" si="732"/>
        <v>0</v>
      </c>
    </row>
    <row r="44467" spans="20:20" ht="18.75" customHeight="1" x14ac:dyDescent="0.35">
      <c r="T44467" s="246">
        <f t="shared" si="732"/>
        <v>0</v>
      </c>
    </row>
    <row r="44468" spans="20:20" ht="18.75" customHeight="1" x14ac:dyDescent="0.35">
      <c r="T44468" s="246">
        <f t="shared" si="732"/>
        <v>0</v>
      </c>
    </row>
    <row r="44469" spans="20:20" ht="18.75" customHeight="1" x14ac:dyDescent="0.35">
      <c r="T44469" s="246">
        <f t="shared" si="732"/>
        <v>0</v>
      </c>
    </row>
    <row r="44470" spans="20:20" ht="18.75" customHeight="1" x14ac:dyDescent="0.35">
      <c r="T44470" s="246">
        <f t="shared" si="732"/>
        <v>0</v>
      </c>
    </row>
    <row r="44471" spans="20:20" ht="18.75" customHeight="1" x14ac:dyDescent="0.35">
      <c r="T44471" s="246">
        <f t="shared" si="732"/>
        <v>0</v>
      </c>
    </row>
    <row r="44472" spans="20:20" ht="18.75" customHeight="1" x14ac:dyDescent="0.35">
      <c r="T44472" s="246">
        <f t="shared" si="732"/>
        <v>0</v>
      </c>
    </row>
    <row r="44473" spans="20:20" ht="18.75" customHeight="1" x14ac:dyDescent="0.35">
      <c r="T44473" s="246">
        <f t="shared" si="732"/>
        <v>0</v>
      </c>
    </row>
    <row r="44474" spans="20:20" ht="18.75" customHeight="1" x14ac:dyDescent="0.35">
      <c r="T44474" s="246">
        <f t="shared" si="732"/>
        <v>0</v>
      </c>
    </row>
    <row r="44475" spans="20:20" ht="18.75" customHeight="1" x14ac:dyDescent="0.35">
      <c r="T44475" s="246">
        <f t="shared" si="732"/>
        <v>0</v>
      </c>
    </row>
    <row r="44476" spans="20:20" ht="18.75" customHeight="1" x14ac:dyDescent="0.35">
      <c r="T44476" s="246">
        <f t="shared" ref="T44476:T44539" si="733">R44476*0.01</f>
        <v>0</v>
      </c>
    </row>
    <row r="44477" spans="20:20" ht="18.75" customHeight="1" x14ac:dyDescent="0.35">
      <c r="T44477" s="246">
        <f t="shared" si="733"/>
        <v>0</v>
      </c>
    </row>
    <row r="44478" spans="20:20" ht="18.75" customHeight="1" x14ac:dyDescent="0.35">
      <c r="T44478" s="246">
        <f t="shared" si="733"/>
        <v>0</v>
      </c>
    </row>
    <row r="44479" spans="20:20" ht="18.75" customHeight="1" x14ac:dyDescent="0.35">
      <c r="T44479" s="246">
        <f t="shared" si="733"/>
        <v>0</v>
      </c>
    </row>
    <row r="44480" spans="20:20" ht="18.75" customHeight="1" x14ac:dyDescent="0.35">
      <c r="T44480" s="246">
        <f t="shared" si="733"/>
        <v>0</v>
      </c>
    </row>
    <row r="44481" spans="20:20" ht="18.75" customHeight="1" x14ac:dyDescent="0.35">
      <c r="T44481" s="246">
        <f t="shared" si="733"/>
        <v>0</v>
      </c>
    </row>
    <row r="44482" spans="20:20" ht="18.75" customHeight="1" x14ac:dyDescent="0.35">
      <c r="T44482" s="246">
        <f t="shared" si="733"/>
        <v>0</v>
      </c>
    </row>
    <row r="44483" spans="20:20" ht="18.75" customHeight="1" x14ac:dyDescent="0.35">
      <c r="T44483" s="246">
        <f t="shared" si="733"/>
        <v>0</v>
      </c>
    </row>
    <row r="44484" spans="20:20" ht="18.75" customHeight="1" x14ac:dyDescent="0.35">
      <c r="T44484" s="246">
        <f t="shared" si="733"/>
        <v>0</v>
      </c>
    </row>
    <row r="44485" spans="20:20" ht="18.75" customHeight="1" x14ac:dyDescent="0.35">
      <c r="T44485" s="246">
        <f t="shared" si="733"/>
        <v>0</v>
      </c>
    </row>
    <row r="44486" spans="20:20" ht="18.75" customHeight="1" x14ac:dyDescent="0.35">
      <c r="T44486" s="246">
        <f t="shared" si="733"/>
        <v>0</v>
      </c>
    </row>
    <row r="44487" spans="20:20" ht="18.75" customHeight="1" x14ac:dyDescent="0.35">
      <c r="T44487" s="246">
        <f t="shared" si="733"/>
        <v>0</v>
      </c>
    </row>
    <row r="44488" spans="20:20" ht="18.75" customHeight="1" x14ac:dyDescent="0.35">
      <c r="T44488" s="246">
        <f t="shared" si="733"/>
        <v>0</v>
      </c>
    </row>
    <row r="44489" spans="20:20" ht="18.75" customHeight="1" x14ac:dyDescent="0.35">
      <c r="T44489" s="246">
        <f t="shared" si="733"/>
        <v>0</v>
      </c>
    </row>
    <row r="44490" spans="20:20" ht="18.75" customHeight="1" x14ac:dyDescent="0.35">
      <c r="T44490" s="246">
        <f t="shared" si="733"/>
        <v>0</v>
      </c>
    </row>
    <row r="44491" spans="20:20" ht="18.75" customHeight="1" x14ac:dyDescent="0.35">
      <c r="T44491" s="246">
        <f t="shared" si="733"/>
        <v>0</v>
      </c>
    </row>
    <row r="44492" spans="20:20" ht="18.75" customHeight="1" x14ac:dyDescent="0.35">
      <c r="T44492" s="246">
        <f t="shared" si="733"/>
        <v>0</v>
      </c>
    </row>
    <row r="44493" spans="20:20" ht="18.75" customHeight="1" x14ac:dyDescent="0.35">
      <c r="T44493" s="246">
        <f t="shared" si="733"/>
        <v>0</v>
      </c>
    </row>
    <row r="44494" spans="20:20" ht="18.75" customHeight="1" x14ac:dyDescent="0.35">
      <c r="T44494" s="246">
        <f t="shared" si="733"/>
        <v>0</v>
      </c>
    </row>
    <row r="44495" spans="20:20" ht="18.75" customHeight="1" x14ac:dyDescent="0.35">
      <c r="T44495" s="246">
        <f t="shared" si="733"/>
        <v>0</v>
      </c>
    </row>
    <row r="44496" spans="20:20" ht="18.75" customHeight="1" x14ac:dyDescent="0.35">
      <c r="T44496" s="246">
        <f t="shared" si="733"/>
        <v>0</v>
      </c>
    </row>
    <row r="44497" spans="20:20" ht="18.75" customHeight="1" x14ac:dyDescent="0.35">
      <c r="T44497" s="246">
        <f t="shared" si="733"/>
        <v>0</v>
      </c>
    </row>
    <row r="44498" spans="20:20" ht="18.75" customHeight="1" x14ac:dyDescent="0.35">
      <c r="T44498" s="246">
        <f t="shared" si="733"/>
        <v>0</v>
      </c>
    </row>
    <row r="44499" spans="20:20" ht="18.75" customHeight="1" x14ac:dyDescent="0.35">
      <c r="T44499" s="246">
        <f t="shared" si="733"/>
        <v>0</v>
      </c>
    </row>
    <row r="44500" spans="20:20" ht="18.75" customHeight="1" x14ac:dyDescent="0.35">
      <c r="T44500" s="246">
        <f t="shared" si="733"/>
        <v>0</v>
      </c>
    </row>
    <row r="44501" spans="20:20" ht="18.75" customHeight="1" x14ac:dyDescent="0.35">
      <c r="T44501" s="246">
        <f t="shared" si="733"/>
        <v>0</v>
      </c>
    </row>
    <row r="44502" spans="20:20" ht="18.75" customHeight="1" x14ac:dyDescent="0.35">
      <c r="T44502" s="246">
        <f t="shared" si="733"/>
        <v>0</v>
      </c>
    </row>
    <row r="44503" spans="20:20" ht="18.75" customHeight="1" x14ac:dyDescent="0.35">
      <c r="T44503" s="246">
        <f t="shared" si="733"/>
        <v>0</v>
      </c>
    </row>
    <row r="44504" spans="20:20" ht="18.75" customHeight="1" x14ac:dyDescent="0.35">
      <c r="T44504" s="246">
        <f t="shared" si="733"/>
        <v>0</v>
      </c>
    </row>
    <row r="44505" spans="20:20" ht="18.75" customHeight="1" x14ac:dyDescent="0.35">
      <c r="T44505" s="246">
        <f t="shared" si="733"/>
        <v>0</v>
      </c>
    </row>
    <row r="44506" spans="20:20" ht="18.75" customHeight="1" x14ac:dyDescent="0.35">
      <c r="T44506" s="246">
        <f t="shared" si="733"/>
        <v>0</v>
      </c>
    </row>
    <row r="44507" spans="20:20" ht="18.75" customHeight="1" x14ac:dyDescent="0.35">
      <c r="T44507" s="246">
        <f t="shared" si="733"/>
        <v>0</v>
      </c>
    </row>
    <row r="44508" spans="20:20" ht="18.75" customHeight="1" x14ac:dyDescent="0.35">
      <c r="T44508" s="246">
        <f t="shared" si="733"/>
        <v>0</v>
      </c>
    </row>
    <row r="44509" spans="20:20" ht="18.75" customHeight="1" x14ac:dyDescent="0.35">
      <c r="T44509" s="246">
        <f t="shared" si="733"/>
        <v>0</v>
      </c>
    </row>
    <row r="44510" spans="20:20" ht="18.75" customHeight="1" x14ac:dyDescent="0.35">
      <c r="T44510" s="246">
        <f t="shared" si="733"/>
        <v>0</v>
      </c>
    </row>
    <row r="44511" spans="20:20" ht="18.75" customHeight="1" x14ac:dyDescent="0.35">
      <c r="T44511" s="246">
        <f t="shared" si="733"/>
        <v>0</v>
      </c>
    </row>
    <row r="44512" spans="20:20" ht="18.75" customHeight="1" x14ac:dyDescent="0.35">
      <c r="T44512" s="246">
        <f t="shared" si="733"/>
        <v>0</v>
      </c>
    </row>
    <row r="44513" spans="20:20" ht="18.75" customHeight="1" x14ac:dyDescent="0.35">
      <c r="T44513" s="246">
        <f t="shared" si="733"/>
        <v>0</v>
      </c>
    </row>
    <row r="44514" spans="20:20" ht="18.75" customHeight="1" x14ac:dyDescent="0.35">
      <c r="T44514" s="246">
        <f t="shared" si="733"/>
        <v>0</v>
      </c>
    </row>
    <row r="44515" spans="20:20" ht="18.75" customHeight="1" x14ac:dyDescent="0.35">
      <c r="T44515" s="246">
        <f t="shared" si="733"/>
        <v>0</v>
      </c>
    </row>
    <row r="44516" spans="20:20" ht="18.75" customHeight="1" x14ac:dyDescent="0.35">
      <c r="T44516" s="246">
        <f t="shared" si="733"/>
        <v>0</v>
      </c>
    </row>
    <row r="44517" spans="20:20" ht="18.75" customHeight="1" x14ac:dyDescent="0.35">
      <c r="T44517" s="246">
        <f t="shared" si="733"/>
        <v>0</v>
      </c>
    </row>
    <row r="44518" spans="20:20" ht="18.75" customHeight="1" x14ac:dyDescent="0.35">
      <c r="T44518" s="246">
        <f t="shared" si="733"/>
        <v>0</v>
      </c>
    </row>
    <row r="44519" spans="20:20" ht="18.75" customHeight="1" x14ac:dyDescent="0.35">
      <c r="T44519" s="246">
        <f t="shared" si="733"/>
        <v>0</v>
      </c>
    </row>
    <row r="44520" spans="20:20" ht="18.75" customHeight="1" x14ac:dyDescent="0.35">
      <c r="T44520" s="246">
        <f t="shared" si="733"/>
        <v>0</v>
      </c>
    </row>
    <row r="44521" spans="20:20" ht="18.75" customHeight="1" x14ac:dyDescent="0.35">
      <c r="T44521" s="246">
        <f t="shared" si="733"/>
        <v>0</v>
      </c>
    </row>
    <row r="44522" spans="20:20" ht="18.75" customHeight="1" x14ac:dyDescent="0.35">
      <c r="T44522" s="246">
        <f t="shared" si="733"/>
        <v>0</v>
      </c>
    </row>
    <row r="44523" spans="20:20" ht="18.75" customHeight="1" x14ac:dyDescent="0.35">
      <c r="T44523" s="246">
        <f t="shared" si="733"/>
        <v>0</v>
      </c>
    </row>
    <row r="44524" spans="20:20" ht="18.75" customHeight="1" x14ac:dyDescent="0.35">
      <c r="T44524" s="246">
        <f t="shared" si="733"/>
        <v>0</v>
      </c>
    </row>
    <row r="44525" spans="20:20" ht="18.75" customHeight="1" x14ac:dyDescent="0.35">
      <c r="T44525" s="246">
        <f t="shared" si="733"/>
        <v>0</v>
      </c>
    </row>
    <row r="44526" spans="20:20" ht="18.75" customHeight="1" x14ac:dyDescent="0.35">
      <c r="T44526" s="246">
        <f t="shared" si="733"/>
        <v>0</v>
      </c>
    </row>
    <row r="44527" spans="20:20" ht="18.75" customHeight="1" x14ac:dyDescent="0.35">
      <c r="T44527" s="246">
        <f t="shared" si="733"/>
        <v>0</v>
      </c>
    </row>
    <row r="44528" spans="20:20" ht="18.75" customHeight="1" x14ac:dyDescent="0.35">
      <c r="T44528" s="246">
        <f t="shared" si="733"/>
        <v>0</v>
      </c>
    </row>
    <row r="44529" spans="20:20" ht="18.75" customHeight="1" x14ac:dyDescent="0.35">
      <c r="T44529" s="246">
        <f t="shared" si="733"/>
        <v>0</v>
      </c>
    </row>
    <row r="44530" spans="20:20" ht="18.75" customHeight="1" x14ac:dyDescent="0.35">
      <c r="T44530" s="246">
        <f t="shared" si="733"/>
        <v>0</v>
      </c>
    </row>
    <row r="44531" spans="20:20" ht="18.75" customHeight="1" x14ac:dyDescent="0.35">
      <c r="T44531" s="246">
        <f t="shared" si="733"/>
        <v>0</v>
      </c>
    </row>
    <row r="44532" spans="20:20" ht="18.75" customHeight="1" x14ac:dyDescent="0.35">
      <c r="T44532" s="246">
        <f t="shared" si="733"/>
        <v>0</v>
      </c>
    </row>
    <row r="44533" spans="20:20" ht="18.75" customHeight="1" x14ac:dyDescent="0.35">
      <c r="T44533" s="246">
        <f t="shared" si="733"/>
        <v>0</v>
      </c>
    </row>
    <row r="44534" spans="20:20" ht="18.75" customHeight="1" x14ac:dyDescent="0.35">
      <c r="T44534" s="246">
        <f t="shared" si="733"/>
        <v>0</v>
      </c>
    </row>
    <row r="44535" spans="20:20" ht="18.75" customHeight="1" x14ac:dyDescent="0.35">
      <c r="T44535" s="246">
        <f t="shared" si="733"/>
        <v>0</v>
      </c>
    </row>
    <row r="44536" spans="20:20" ht="18.75" customHeight="1" x14ac:dyDescent="0.35">
      <c r="T44536" s="246">
        <f t="shared" si="733"/>
        <v>0</v>
      </c>
    </row>
    <row r="44537" spans="20:20" ht="18.75" customHeight="1" x14ac:dyDescent="0.35">
      <c r="T44537" s="246">
        <f t="shared" si="733"/>
        <v>0</v>
      </c>
    </row>
    <row r="44538" spans="20:20" ht="18.75" customHeight="1" x14ac:dyDescent="0.35">
      <c r="T44538" s="246">
        <f t="shared" si="733"/>
        <v>0</v>
      </c>
    </row>
    <row r="44539" spans="20:20" ht="18.75" customHeight="1" x14ac:dyDescent="0.35">
      <c r="T44539" s="246">
        <f t="shared" si="733"/>
        <v>0</v>
      </c>
    </row>
    <row r="44540" spans="20:20" ht="18.75" customHeight="1" x14ac:dyDescent="0.35">
      <c r="T44540" s="246">
        <f t="shared" ref="T44540:T44603" si="734">R44540*0.01</f>
        <v>0</v>
      </c>
    </row>
    <row r="44541" spans="20:20" ht="18.75" customHeight="1" x14ac:dyDescent="0.35">
      <c r="T44541" s="246">
        <f t="shared" si="734"/>
        <v>0</v>
      </c>
    </row>
    <row r="44542" spans="20:20" ht="18.75" customHeight="1" x14ac:dyDescent="0.35">
      <c r="T44542" s="246">
        <f t="shared" si="734"/>
        <v>0</v>
      </c>
    </row>
    <row r="44543" spans="20:20" ht="18.75" customHeight="1" x14ac:dyDescent="0.35">
      <c r="T44543" s="246">
        <f t="shared" si="734"/>
        <v>0</v>
      </c>
    </row>
    <row r="44544" spans="20:20" ht="18.75" customHeight="1" x14ac:dyDescent="0.35">
      <c r="T44544" s="246">
        <f t="shared" si="734"/>
        <v>0</v>
      </c>
    </row>
    <row r="44545" spans="20:20" ht="18.75" customHeight="1" x14ac:dyDescent="0.35">
      <c r="T44545" s="246">
        <f t="shared" si="734"/>
        <v>0</v>
      </c>
    </row>
    <row r="44546" spans="20:20" ht="18.75" customHeight="1" x14ac:dyDescent="0.35">
      <c r="T44546" s="246">
        <f t="shared" si="734"/>
        <v>0</v>
      </c>
    </row>
    <row r="44547" spans="20:20" ht="18.75" customHeight="1" x14ac:dyDescent="0.35">
      <c r="T44547" s="246">
        <f t="shared" si="734"/>
        <v>0</v>
      </c>
    </row>
    <row r="44548" spans="20:20" ht="18.75" customHeight="1" x14ac:dyDescent="0.35">
      <c r="T44548" s="246">
        <f t="shared" si="734"/>
        <v>0</v>
      </c>
    </row>
    <row r="44549" spans="20:20" ht="18.75" customHeight="1" x14ac:dyDescent="0.35">
      <c r="T44549" s="246">
        <f t="shared" si="734"/>
        <v>0</v>
      </c>
    </row>
    <row r="44550" spans="20:20" ht="18.75" customHeight="1" x14ac:dyDescent="0.35">
      <c r="T44550" s="246">
        <f t="shared" si="734"/>
        <v>0</v>
      </c>
    </row>
    <row r="44551" spans="20:20" ht="18.75" customHeight="1" x14ac:dyDescent="0.35">
      <c r="T44551" s="246">
        <f t="shared" si="734"/>
        <v>0</v>
      </c>
    </row>
    <row r="44552" spans="20:20" ht="18.75" customHeight="1" x14ac:dyDescent="0.35">
      <c r="T44552" s="246">
        <f t="shared" si="734"/>
        <v>0</v>
      </c>
    </row>
    <row r="44553" spans="20:20" ht="18.75" customHeight="1" x14ac:dyDescent="0.35">
      <c r="T44553" s="246">
        <f t="shared" si="734"/>
        <v>0</v>
      </c>
    </row>
    <row r="44554" spans="20:20" ht="18.75" customHeight="1" x14ac:dyDescent="0.35">
      <c r="T44554" s="246">
        <f t="shared" si="734"/>
        <v>0</v>
      </c>
    </row>
    <row r="44555" spans="20:20" ht="18.75" customHeight="1" x14ac:dyDescent="0.35">
      <c r="T44555" s="246">
        <f t="shared" si="734"/>
        <v>0</v>
      </c>
    </row>
    <row r="44556" spans="20:20" ht="18.75" customHeight="1" x14ac:dyDescent="0.35">
      <c r="T44556" s="246">
        <f t="shared" si="734"/>
        <v>0</v>
      </c>
    </row>
    <row r="44557" spans="20:20" ht="18.75" customHeight="1" x14ac:dyDescent="0.35">
      <c r="T44557" s="246">
        <f t="shared" si="734"/>
        <v>0</v>
      </c>
    </row>
    <row r="44558" spans="20:20" ht="18.75" customHeight="1" x14ac:dyDescent="0.35">
      <c r="T44558" s="246">
        <f t="shared" si="734"/>
        <v>0</v>
      </c>
    </row>
    <row r="44559" spans="20:20" ht="18.75" customHeight="1" x14ac:dyDescent="0.35">
      <c r="T44559" s="246">
        <f t="shared" si="734"/>
        <v>0</v>
      </c>
    </row>
    <row r="44560" spans="20:20" ht="18.75" customHeight="1" x14ac:dyDescent="0.35">
      <c r="T44560" s="246">
        <f t="shared" si="734"/>
        <v>0</v>
      </c>
    </row>
    <row r="44561" spans="20:20" ht="18.75" customHeight="1" x14ac:dyDescent="0.35">
      <c r="T44561" s="246">
        <f t="shared" si="734"/>
        <v>0</v>
      </c>
    </row>
    <row r="44562" spans="20:20" ht="18.75" customHeight="1" x14ac:dyDescent="0.35">
      <c r="T44562" s="246">
        <f t="shared" si="734"/>
        <v>0</v>
      </c>
    </row>
    <row r="44563" spans="20:20" ht="18.75" customHeight="1" x14ac:dyDescent="0.35">
      <c r="T44563" s="246">
        <f t="shared" si="734"/>
        <v>0</v>
      </c>
    </row>
    <row r="44564" spans="20:20" ht="18.75" customHeight="1" x14ac:dyDescent="0.35">
      <c r="T44564" s="246">
        <f t="shared" si="734"/>
        <v>0</v>
      </c>
    </row>
    <row r="44565" spans="20:20" ht="18.75" customHeight="1" x14ac:dyDescent="0.35">
      <c r="T44565" s="246">
        <f t="shared" si="734"/>
        <v>0</v>
      </c>
    </row>
    <row r="44566" spans="20:20" ht="18.75" customHeight="1" x14ac:dyDescent="0.35">
      <c r="T44566" s="246">
        <f t="shared" si="734"/>
        <v>0</v>
      </c>
    </row>
    <row r="44567" spans="20:20" ht="18.75" customHeight="1" x14ac:dyDescent="0.35">
      <c r="T44567" s="246">
        <f t="shared" si="734"/>
        <v>0</v>
      </c>
    </row>
    <row r="44568" spans="20:20" ht="18.75" customHeight="1" x14ac:dyDescent="0.35">
      <c r="T44568" s="246">
        <f t="shared" si="734"/>
        <v>0</v>
      </c>
    </row>
    <row r="44569" spans="20:20" ht="18.75" customHeight="1" x14ac:dyDescent="0.35">
      <c r="T44569" s="246">
        <f t="shared" si="734"/>
        <v>0</v>
      </c>
    </row>
    <row r="44570" spans="20:20" ht="18.75" customHeight="1" x14ac:dyDescent="0.35">
      <c r="T44570" s="246">
        <f t="shared" si="734"/>
        <v>0</v>
      </c>
    </row>
    <row r="44571" spans="20:20" ht="18.75" customHeight="1" x14ac:dyDescent="0.35">
      <c r="T44571" s="246">
        <f t="shared" si="734"/>
        <v>0</v>
      </c>
    </row>
    <row r="44572" spans="20:20" ht="18.75" customHeight="1" x14ac:dyDescent="0.35">
      <c r="T44572" s="246">
        <f t="shared" si="734"/>
        <v>0</v>
      </c>
    </row>
    <row r="44573" spans="20:20" ht="18.75" customHeight="1" x14ac:dyDescent="0.35">
      <c r="T44573" s="246">
        <f t="shared" si="734"/>
        <v>0</v>
      </c>
    </row>
    <row r="44574" spans="20:20" ht="18.75" customHeight="1" x14ac:dyDescent="0.35">
      <c r="T44574" s="246">
        <f t="shared" si="734"/>
        <v>0</v>
      </c>
    </row>
    <row r="44575" spans="20:20" ht="18.75" customHeight="1" x14ac:dyDescent="0.35">
      <c r="T44575" s="246">
        <f t="shared" si="734"/>
        <v>0</v>
      </c>
    </row>
    <row r="44576" spans="20:20" ht="18.75" customHeight="1" x14ac:dyDescent="0.35">
      <c r="T44576" s="246">
        <f t="shared" si="734"/>
        <v>0</v>
      </c>
    </row>
    <row r="44577" spans="20:20" ht="18.75" customHeight="1" x14ac:dyDescent="0.35">
      <c r="T44577" s="246">
        <f t="shared" si="734"/>
        <v>0</v>
      </c>
    </row>
    <row r="44578" spans="20:20" ht="18.75" customHeight="1" x14ac:dyDescent="0.35">
      <c r="T44578" s="246">
        <f t="shared" si="734"/>
        <v>0</v>
      </c>
    </row>
    <row r="44579" spans="20:20" ht="18.75" customHeight="1" x14ac:dyDescent="0.35">
      <c r="T44579" s="246">
        <f t="shared" si="734"/>
        <v>0</v>
      </c>
    </row>
    <row r="44580" spans="20:20" ht="18.75" customHeight="1" x14ac:dyDescent="0.35">
      <c r="T44580" s="246">
        <f t="shared" si="734"/>
        <v>0</v>
      </c>
    </row>
    <row r="44581" spans="20:20" ht="18.75" customHeight="1" x14ac:dyDescent="0.35">
      <c r="T44581" s="246">
        <f t="shared" si="734"/>
        <v>0</v>
      </c>
    </row>
    <row r="44582" spans="20:20" ht="18.75" customHeight="1" x14ac:dyDescent="0.35">
      <c r="T44582" s="246">
        <f t="shared" si="734"/>
        <v>0</v>
      </c>
    </row>
    <row r="44583" spans="20:20" ht="18.75" customHeight="1" x14ac:dyDescent="0.35">
      <c r="T44583" s="246">
        <f t="shared" si="734"/>
        <v>0</v>
      </c>
    </row>
    <row r="44584" spans="20:20" ht="18.75" customHeight="1" x14ac:dyDescent="0.35">
      <c r="T44584" s="246">
        <f t="shared" si="734"/>
        <v>0</v>
      </c>
    </row>
    <row r="44585" spans="20:20" ht="18.75" customHeight="1" x14ac:dyDescent="0.35">
      <c r="T44585" s="246">
        <f t="shared" si="734"/>
        <v>0</v>
      </c>
    </row>
    <row r="44586" spans="20:20" ht="18.75" customHeight="1" x14ac:dyDescent="0.35">
      <c r="T44586" s="246">
        <f t="shared" si="734"/>
        <v>0</v>
      </c>
    </row>
    <row r="44587" spans="20:20" ht="18.75" customHeight="1" x14ac:dyDescent="0.35">
      <c r="T44587" s="246">
        <f t="shared" si="734"/>
        <v>0</v>
      </c>
    </row>
    <row r="44588" spans="20:20" ht="18.75" customHeight="1" x14ac:dyDescent="0.35">
      <c r="T44588" s="246">
        <f t="shared" si="734"/>
        <v>0</v>
      </c>
    </row>
    <row r="44589" spans="20:20" ht="18.75" customHeight="1" x14ac:dyDescent="0.35">
      <c r="T44589" s="246">
        <f t="shared" si="734"/>
        <v>0</v>
      </c>
    </row>
    <row r="44590" spans="20:20" ht="18.75" customHeight="1" x14ac:dyDescent="0.35">
      <c r="T44590" s="246">
        <f t="shared" si="734"/>
        <v>0</v>
      </c>
    </row>
    <row r="44591" spans="20:20" ht="18.75" customHeight="1" x14ac:dyDescent="0.35">
      <c r="T44591" s="246">
        <f t="shared" si="734"/>
        <v>0</v>
      </c>
    </row>
    <row r="44592" spans="20:20" ht="18.75" customHeight="1" x14ac:dyDescent="0.35">
      <c r="T44592" s="246">
        <f t="shared" si="734"/>
        <v>0</v>
      </c>
    </row>
    <row r="44593" spans="20:20" ht="18.75" customHeight="1" x14ac:dyDescent="0.35">
      <c r="T44593" s="246">
        <f t="shared" si="734"/>
        <v>0</v>
      </c>
    </row>
    <row r="44594" spans="20:20" ht="18.75" customHeight="1" x14ac:dyDescent="0.35">
      <c r="T44594" s="246">
        <f t="shared" si="734"/>
        <v>0</v>
      </c>
    </row>
    <row r="44595" spans="20:20" ht="18.75" customHeight="1" x14ac:dyDescent="0.35">
      <c r="T44595" s="246">
        <f t="shared" si="734"/>
        <v>0</v>
      </c>
    </row>
    <row r="44596" spans="20:20" ht="18.75" customHeight="1" x14ac:dyDescent="0.35">
      <c r="T44596" s="246">
        <f t="shared" si="734"/>
        <v>0</v>
      </c>
    </row>
    <row r="44597" spans="20:20" ht="18.75" customHeight="1" x14ac:dyDescent="0.35">
      <c r="T44597" s="246">
        <f t="shared" si="734"/>
        <v>0</v>
      </c>
    </row>
    <row r="44598" spans="20:20" ht="18.75" customHeight="1" x14ac:dyDescent="0.35">
      <c r="T44598" s="246">
        <f t="shared" si="734"/>
        <v>0</v>
      </c>
    </row>
    <row r="44599" spans="20:20" ht="18.75" customHeight="1" x14ac:dyDescent="0.35">
      <c r="T44599" s="246">
        <f t="shared" si="734"/>
        <v>0</v>
      </c>
    </row>
    <row r="44600" spans="20:20" ht="18.75" customHeight="1" x14ac:dyDescent="0.35">
      <c r="T44600" s="246">
        <f t="shared" si="734"/>
        <v>0</v>
      </c>
    </row>
    <row r="44601" spans="20:20" ht="18.75" customHeight="1" x14ac:dyDescent="0.35">
      <c r="T44601" s="246">
        <f t="shared" si="734"/>
        <v>0</v>
      </c>
    </row>
    <row r="44602" spans="20:20" ht="18.75" customHeight="1" x14ac:dyDescent="0.35">
      <c r="T44602" s="246">
        <f t="shared" si="734"/>
        <v>0</v>
      </c>
    </row>
    <row r="44603" spans="20:20" ht="18.75" customHeight="1" x14ac:dyDescent="0.35">
      <c r="T44603" s="246">
        <f t="shared" si="734"/>
        <v>0</v>
      </c>
    </row>
    <row r="44604" spans="20:20" ht="18.75" customHeight="1" x14ac:dyDescent="0.35">
      <c r="T44604" s="246">
        <f t="shared" ref="T44604:T44667" si="735">R44604*0.01</f>
        <v>0</v>
      </c>
    </row>
    <row r="44605" spans="20:20" ht="18.75" customHeight="1" x14ac:dyDescent="0.35">
      <c r="T44605" s="246">
        <f t="shared" si="735"/>
        <v>0</v>
      </c>
    </row>
    <row r="44606" spans="20:20" ht="18.75" customHeight="1" x14ac:dyDescent="0.35">
      <c r="T44606" s="246">
        <f t="shared" si="735"/>
        <v>0</v>
      </c>
    </row>
    <row r="44607" spans="20:20" ht="18.75" customHeight="1" x14ac:dyDescent="0.35">
      <c r="T44607" s="246">
        <f t="shared" si="735"/>
        <v>0</v>
      </c>
    </row>
    <row r="44608" spans="20:20" ht="18.75" customHeight="1" x14ac:dyDescent="0.35">
      <c r="T44608" s="246">
        <f t="shared" si="735"/>
        <v>0</v>
      </c>
    </row>
    <row r="44609" spans="20:20" ht="18.75" customHeight="1" x14ac:dyDescent="0.35">
      <c r="T44609" s="246">
        <f t="shared" si="735"/>
        <v>0</v>
      </c>
    </row>
    <row r="44610" spans="20:20" ht="18.75" customHeight="1" x14ac:dyDescent="0.35">
      <c r="T44610" s="246">
        <f t="shared" si="735"/>
        <v>0</v>
      </c>
    </row>
    <row r="44611" spans="20:20" ht="18.75" customHeight="1" x14ac:dyDescent="0.35">
      <c r="T44611" s="246">
        <f t="shared" si="735"/>
        <v>0</v>
      </c>
    </row>
    <row r="44612" spans="20:20" ht="18.75" customHeight="1" x14ac:dyDescent="0.35">
      <c r="T44612" s="246">
        <f t="shared" si="735"/>
        <v>0</v>
      </c>
    </row>
    <row r="44613" spans="20:20" ht="18.75" customHeight="1" x14ac:dyDescent="0.35">
      <c r="T44613" s="246">
        <f t="shared" si="735"/>
        <v>0</v>
      </c>
    </row>
    <row r="44614" spans="20:20" ht="18.75" customHeight="1" x14ac:dyDescent="0.35">
      <c r="T44614" s="246">
        <f t="shared" si="735"/>
        <v>0</v>
      </c>
    </row>
    <row r="44615" spans="20:20" ht="18.75" customHeight="1" x14ac:dyDescent="0.35">
      <c r="T44615" s="246">
        <f t="shared" si="735"/>
        <v>0</v>
      </c>
    </row>
    <row r="44616" spans="20:20" ht="18.75" customHeight="1" x14ac:dyDescent="0.35">
      <c r="T44616" s="246">
        <f t="shared" si="735"/>
        <v>0</v>
      </c>
    </row>
    <row r="44617" spans="20:20" ht="18.75" customHeight="1" x14ac:dyDescent="0.35">
      <c r="T44617" s="246">
        <f t="shared" si="735"/>
        <v>0</v>
      </c>
    </row>
    <row r="44618" spans="20:20" ht="18.75" customHeight="1" x14ac:dyDescent="0.35">
      <c r="T44618" s="246">
        <f t="shared" si="735"/>
        <v>0</v>
      </c>
    </row>
    <row r="44619" spans="20:20" ht="18.75" customHeight="1" x14ac:dyDescent="0.35">
      <c r="T44619" s="246">
        <f t="shared" si="735"/>
        <v>0</v>
      </c>
    </row>
    <row r="44620" spans="20:20" ht="18.75" customHeight="1" x14ac:dyDescent="0.35">
      <c r="T44620" s="246">
        <f t="shared" si="735"/>
        <v>0</v>
      </c>
    </row>
    <row r="44621" spans="20:20" ht="18.75" customHeight="1" x14ac:dyDescent="0.35">
      <c r="T44621" s="246">
        <f t="shared" si="735"/>
        <v>0</v>
      </c>
    </row>
    <row r="44622" spans="20:20" ht="18.75" customHeight="1" x14ac:dyDescent="0.35">
      <c r="T44622" s="246">
        <f t="shared" si="735"/>
        <v>0</v>
      </c>
    </row>
    <row r="44623" spans="20:20" ht="18.75" customHeight="1" x14ac:dyDescent="0.35">
      <c r="T44623" s="246">
        <f t="shared" si="735"/>
        <v>0</v>
      </c>
    </row>
    <row r="44624" spans="20:20" ht="18.75" customHeight="1" x14ac:dyDescent="0.35">
      <c r="T44624" s="246">
        <f t="shared" si="735"/>
        <v>0</v>
      </c>
    </row>
    <row r="44625" spans="20:20" ht="18.75" customHeight="1" x14ac:dyDescent="0.35">
      <c r="T44625" s="246">
        <f t="shared" si="735"/>
        <v>0</v>
      </c>
    </row>
    <row r="44626" spans="20:20" ht="18.75" customHeight="1" x14ac:dyDescent="0.35">
      <c r="T44626" s="246">
        <f t="shared" si="735"/>
        <v>0</v>
      </c>
    </row>
    <row r="44627" spans="20:20" ht="18.75" customHeight="1" x14ac:dyDescent="0.35">
      <c r="T44627" s="246">
        <f t="shared" si="735"/>
        <v>0</v>
      </c>
    </row>
    <row r="44628" spans="20:20" ht="18.75" customHeight="1" x14ac:dyDescent="0.35">
      <c r="T44628" s="246">
        <f t="shared" si="735"/>
        <v>0</v>
      </c>
    </row>
    <row r="44629" spans="20:20" ht="18.75" customHeight="1" x14ac:dyDescent="0.35">
      <c r="T44629" s="246">
        <f t="shared" si="735"/>
        <v>0</v>
      </c>
    </row>
    <row r="44630" spans="20:20" ht="18.75" customHeight="1" x14ac:dyDescent="0.35">
      <c r="T44630" s="246">
        <f t="shared" si="735"/>
        <v>0</v>
      </c>
    </row>
    <row r="44631" spans="20:20" ht="18.75" customHeight="1" x14ac:dyDescent="0.35">
      <c r="T44631" s="246">
        <f t="shared" si="735"/>
        <v>0</v>
      </c>
    </row>
    <row r="44632" spans="20:20" ht="18.75" customHeight="1" x14ac:dyDescent="0.35">
      <c r="T44632" s="246">
        <f t="shared" si="735"/>
        <v>0</v>
      </c>
    </row>
    <row r="44633" spans="20:20" ht="18.75" customHeight="1" x14ac:dyDescent="0.35">
      <c r="T44633" s="246">
        <f t="shared" si="735"/>
        <v>0</v>
      </c>
    </row>
    <row r="44634" spans="20:20" ht="18.75" customHeight="1" x14ac:dyDescent="0.35">
      <c r="T44634" s="246">
        <f t="shared" si="735"/>
        <v>0</v>
      </c>
    </row>
    <row r="44635" spans="20:20" ht="18.75" customHeight="1" x14ac:dyDescent="0.35">
      <c r="T44635" s="246">
        <f t="shared" si="735"/>
        <v>0</v>
      </c>
    </row>
    <row r="44636" spans="20:20" ht="18.75" customHeight="1" x14ac:dyDescent="0.35">
      <c r="T44636" s="246">
        <f t="shared" si="735"/>
        <v>0</v>
      </c>
    </row>
    <row r="44637" spans="20:20" ht="18.75" customHeight="1" x14ac:dyDescent="0.35">
      <c r="T44637" s="246">
        <f t="shared" si="735"/>
        <v>0</v>
      </c>
    </row>
    <row r="44638" spans="20:20" ht="18.75" customHeight="1" x14ac:dyDescent="0.35">
      <c r="T44638" s="246">
        <f t="shared" si="735"/>
        <v>0</v>
      </c>
    </row>
    <row r="44639" spans="20:20" ht="18.75" customHeight="1" x14ac:dyDescent="0.35">
      <c r="T44639" s="246">
        <f t="shared" si="735"/>
        <v>0</v>
      </c>
    </row>
    <row r="44640" spans="20:20" ht="18.75" customHeight="1" x14ac:dyDescent="0.35">
      <c r="T44640" s="246">
        <f t="shared" si="735"/>
        <v>0</v>
      </c>
    </row>
    <row r="44641" spans="20:20" ht="18.75" customHeight="1" x14ac:dyDescent="0.35">
      <c r="T44641" s="246">
        <f t="shared" si="735"/>
        <v>0</v>
      </c>
    </row>
    <row r="44642" spans="20:20" ht="18.75" customHeight="1" x14ac:dyDescent="0.35">
      <c r="T44642" s="246">
        <f t="shared" si="735"/>
        <v>0</v>
      </c>
    </row>
    <row r="44643" spans="20:20" ht="18.75" customHeight="1" x14ac:dyDescent="0.35">
      <c r="T44643" s="246">
        <f t="shared" si="735"/>
        <v>0</v>
      </c>
    </row>
    <row r="44644" spans="20:20" ht="18.75" customHeight="1" x14ac:dyDescent="0.35">
      <c r="T44644" s="246">
        <f t="shared" si="735"/>
        <v>0</v>
      </c>
    </row>
    <row r="44645" spans="20:20" ht="18.75" customHeight="1" x14ac:dyDescent="0.35">
      <c r="T44645" s="246">
        <f t="shared" si="735"/>
        <v>0</v>
      </c>
    </row>
    <row r="44646" spans="20:20" ht="18.75" customHeight="1" x14ac:dyDescent="0.35">
      <c r="T44646" s="246">
        <f t="shared" si="735"/>
        <v>0</v>
      </c>
    </row>
    <row r="44647" spans="20:20" ht="18.75" customHeight="1" x14ac:dyDescent="0.35">
      <c r="T44647" s="246">
        <f t="shared" si="735"/>
        <v>0</v>
      </c>
    </row>
    <row r="44648" spans="20:20" ht="18.75" customHeight="1" x14ac:dyDescent="0.35">
      <c r="T44648" s="246">
        <f t="shared" si="735"/>
        <v>0</v>
      </c>
    </row>
    <row r="44649" spans="20:20" ht="18.75" customHeight="1" x14ac:dyDescent="0.35">
      <c r="T44649" s="246">
        <f t="shared" si="735"/>
        <v>0</v>
      </c>
    </row>
    <row r="44650" spans="20:20" ht="18.75" customHeight="1" x14ac:dyDescent="0.35">
      <c r="T44650" s="246">
        <f t="shared" si="735"/>
        <v>0</v>
      </c>
    </row>
    <row r="44651" spans="20:20" ht="18.75" customHeight="1" x14ac:dyDescent="0.35">
      <c r="T44651" s="246">
        <f t="shared" si="735"/>
        <v>0</v>
      </c>
    </row>
    <row r="44652" spans="20:20" ht="18.75" customHeight="1" x14ac:dyDescent="0.35">
      <c r="T44652" s="246">
        <f t="shared" si="735"/>
        <v>0</v>
      </c>
    </row>
    <row r="44653" spans="20:20" ht="18.75" customHeight="1" x14ac:dyDescent="0.35">
      <c r="T44653" s="246">
        <f t="shared" si="735"/>
        <v>0</v>
      </c>
    </row>
    <row r="44654" spans="20:20" ht="18.75" customHeight="1" x14ac:dyDescent="0.35">
      <c r="T44654" s="246">
        <f t="shared" si="735"/>
        <v>0</v>
      </c>
    </row>
    <row r="44655" spans="20:20" ht="18.75" customHeight="1" x14ac:dyDescent="0.35">
      <c r="T44655" s="246">
        <f t="shared" si="735"/>
        <v>0</v>
      </c>
    </row>
    <row r="44656" spans="20:20" ht="18.75" customHeight="1" x14ac:dyDescent="0.35">
      <c r="T44656" s="246">
        <f t="shared" si="735"/>
        <v>0</v>
      </c>
    </row>
    <row r="44657" spans="20:20" ht="18.75" customHeight="1" x14ac:dyDescent="0.35">
      <c r="T44657" s="246">
        <f t="shared" si="735"/>
        <v>0</v>
      </c>
    </row>
    <row r="44658" spans="20:20" ht="18.75" customHeight="1" x14ac:dyDescent="0.35">
      <c r="T44658" s="246">
        <f t="shared" si="735"/>
        <v>0</v>
      </c>
    </row>
    <row r="44659" spans="20:20" ht="18.75" customHeight="1" x14ac:dyDescent="0.35">
      <c r="T44659" s="246">
        <f t="shared" si="735"/>
        <v>0</v>
      </c>
    </row>
    <row r="44660" spans="20:20" ht="18.75" customHeight="1" x14ac:dyDescent="0.35">
      <c r="T44660" s="246">
        <f t="shared" si="735"/>
        <v>0</v>
      </c>
    </row>
    <row r="44661" spans="20:20" ht="18.75" customHeight="1" x14ac:dyDescent="0.35">
      <c r="T44661" s="246">
        <f t="shared" si="735"/>
        <v>0</v>
      </c>
    </row>
    <row r="44662" spans="20:20" ht="18.75" customHeight="1" x14ac:dyDescent="0.35">
      <c r="T44662" s="246">
        <f t="shared" si="735"/>
        <v>0</v>
      </c>
    </row>
    <row r="44663" spans="20:20" ht="18.75" customHeight="1" x14ac:dyDescent="0.35">
      <c r="T44663" s="246">
        <f t="shared" si="735"/>
        <v>0</v>
      </c>
    </row>
    <row r="44664" spans="20:20" ht="18.75" customHeight="1" x14ac:dyDescent="0.35">
      <c r="T44664" s="246">
        <f t="shared" si="735"/>
        <v>0</v>
      </c>
    </row>
    <row r="44665" spans="20:20" ht="18.75" customHeight="1" x14ac:dyDescent="0.35">
      <c r="T44665" s="246">
        <f t="shared" si="735"/>
        <v>0</v>
      </c>
    </row>
    <row r="44666" spans="20:20" ht="18.75" customHeight="1" x14ac:dyDescent="0.35">
      <c r="T44666" s="246">
        <f t="shared" si="735"/>
        <v>0</v>
      </c>
    </row>
    <row r="44667" spans="20:20" ht="18.75" customHeight="1" x14ac:dyDescent="0.35">
      <c r="T44667" s="246">
        <f t="shared" si="735"/>
        <v>0</v>
      </c>
    </row>
    <row r="44668" spans="20:20" ht="18.75" customHeight="1" x14ac:dyDescent="0.35">
      <c r="T44668" s="246">
        <f t="shared" ref="T44668:T44731" si="736">R44668*0.01</f>
        <v>0</v>
      </c>
    </row>
    <row r="44669" spans="20:20" ht="18.75" customHeight="1" x14ac:dyDescent="0.35">
      <c r="T44669" s="246">
        <f t="shared" si="736"/>
        <v>0</v>
      </c>
    </row>
    <row r="44670" spans="20:20" ht="18.75" customHeight="1" x14ac:dyDescent="0.35">
      <c r="T44670" s="246">
        <f t="shared" si="736"/>
        <v>0</v>
      </c>
    </row>
    <row r="44671" spans="20:20" ht="18.75" customHeight="1" x14ac:dyDescent="0.35">
      <c r="T44671" s="246">
        <f t="shared" si="736"/>
        <v>0</v>
      </c>
    </row>
    <row r="44672" spans="20:20" ht="18.75" customHeight="1" x14ac:dyDescent="0.35">
      <c r="T44672" s="246">
        <f t="shared" si="736"/>
        <v>0</v>
      </c>
    </row>
    <row r="44673" spans="20:20" ht="18.75" customHeight="1" x14ac:dyDescent="0.35">
      <c r="T44673" s="246">
        <f t="shared" si="736"/>
        <v>0</v>
      </c>
    </row>
    <row r="44674" spans="20:20" ht="18.75" customHeight="1" x14ac:dyDescent="0.35">
      <c r="T44674" s="246">
        <f t="shared" si="736"/>
        <v>0</v>
      </c>
    </row>
    <row r="44675" spans="20:20" ht="18.75" customHeight="1" x14ac:dyDescent="0.35">
      <c r="T44675" s="246">
        <f t="shared" si="736"/>
        <v>0</v>
      </c>
    </row>
    <row r="44676" spans="20:20" ht="18.75" customHeight="1" x14ac:dyDescent="0.35">
      <c r="T44676" s="246">
        <f t="shared" si="736"/>
        <v>0</v>
      </c>
    </row>
    <row r="44677" spans="20:20" ht="18.75" customHeight="1" x14ac:dyDescent="0.35">
      <c r="T44677" s="246">
        <f t="shared" si="736"/>
        <v>0</v>
      </c>
    </row>
    <row r="44678" spans="20:20" ht="18.75" customHeight="1" x14ac:dyDescent="0.35">
      <c r="T44678" s="246">
        <f t="shared" si="736"/>
        <v>0</v>
      </c>
    </row>
    <row r="44679" spans="20:20" ht="18.75" customHeight="1" x14ac:dyDescent="0.35">
      <c r="T44679" s="246">
        <f t="shared" si="736"/>
        <v>0</v>
      </c>
    </row>
    <row r="44680" spans="20:20" ht="18.75" customHeight="1" x14ac:dyDescent="0.35">
      <c r="T44680" s="246">
        <f t="shared" si="736"/>
        <v>0</v>
      </c>
    </row>
    <row r="44681" spans="20:20" ht="18.75" customHeight="1" x14ac:dyDescent="0.35">
      <c r="T44681" s="246">
        <f t="shared" si="736"/>
        <v>0</v>
      </c>
    </row>
    <row r="44682" spans="20:20" ht="18.75" customHeight="1" x14ac:dyDescent="0.35">
      <c r="T44682" s="246">
        <f t="shared" si="736"/>
        <v>0</v>
      </c>
    </row>
    <row r="44683" spans="20:20" ht="18.75" customHeight="1" x14ac:dyDescent="0.35">
      <c r="T44683" s="246">
        <f t="shared" si="736"/>
        <v>0</v>
      </c>
    </row>
    <row r="44684" spans="20:20" ht="18.75" customHeight="1" x14ac:dyDescent="0.35">
      <c r="T44684" s="246">
        <f t="shared" si="736"/>
        <v>0</v>
      </c>
    </row>
    <row r="44685" spans="20:20" ht="18.75" customHeight="1" x14ac:dyDescent="0.35">
      <c r="T44685" s="246">
        <f t="shared" si="736"/>
        <v>0</v>
      </c>
    </row>
    <row r="44686" spans="20:20" ht="18.75" customHeight="1" x14ac:dyDescent="0.35">
      <c r="T44686" s="246">
        <f t="shared" si="736"/>
        <v>0</v>
      </c>
    </row>
    <row r="44687" spans="20:20" ht="18.75" customHeight="1" x14ac:dyDescent="0.35">
      <c r="T44687" s="246">
        <f t="shared" si="736"/>
        <v>0</v>
      </c>
    </row>
    <row r="44688" spans="20:20" ht="18.75" customHeight="1" x14ac:dyDescent="0.35">
      <c r="T44688" s="246">
        <f t="shared" si="736"/>
        <v>0</v>
      </c>
    </row>
    <row r="44689" spans="20:20" ht="18.75" customHeight="1" x14ac:dyDescent="0.35">
      <c r="T44689" s="246">
        <f t="shared" si="736"/>
        <v>0</v>
      </c>
    </row>
    <row r="44690" spans="20:20" ht="18.75" customHeight="1" x14ac:dyDescent="0.35">
      <c r="T44690" s="246">
        <f t="shared" si="736"/>
        <v>0</v>
      </c>
    </row>
    <row r="44691" spans="20:20" ht="18.75" customHeight="1" x14ac:dyDescent="0.35">
      <c r="T44691" s="246">
        <f t="shared" si="736"/>
        <v>0</v>
      </c>
    </row>
    <row r="44692" spans="20:20" ht="18.75" customHeight="1" x14ac:dyDescent="0.35">
      <c r="T44692" s="246">
        <f t="shared" si="736"/>
        <v>0</v>
      </c>
    </row>
    <row r="44693" spans="20:20" ht="18.75" customHeight="1" x14ac:dyDescent="0.35">
      <c r="T44693" s="246">
        <f t="shared" si="736"/>
        <v>0</v>
      </c>
    </row>
    <row r="44694" spans="20:20" ht="18.75" customHeight="1" x14ac:dyDescent="0.35">
      <c r="T44694" s="246">
        <f t="shared" si="736"/>
        <v>0</v>
      </c>
    </row>
    <row r="44695" spans="20:20" ht="18.75" customHeight="1" x14ac:dyDescent="0.35">
      <c r="T44695" s="246">
        <f t="shared" si="736"/>
        <v>0</v>
      </c>
    </row>
    <row r="44696" spans="20:20" ht="18.75" customHeight="1" x14ac:dyDescent="0.35">
      <c r="T44696" s="246">
        <f t="shared" si="736"/>
        <v>0</v>
      </c>
    </row>
    <row r="44697" spans="20:20" ht="18.75" customHeight="1" x14ac:dyDescent="0.35">
      <c r="T44697" s="246">
        <f t="shared" si="736"/>
        <v>0</v>
      </c>
    </row>
    <row r="44698" spans="20:20" ht="18.75" customHeight="1" x14ac:dyDescent="0.35">
      <c r="T44698" s="246">
        <f t="shared" si="736"/>
        <v>0</v>
      </c>
    </row>
    <row r="44699" spans="20:20" ht="18.75" customHeight="1" x14ac:dyDescent="0.35">
      <c r="T44699" s="246">
        <f t="shared" si="736"/>
        <v>0</v>
      </c>
    </row>
    <row r="44700" spans="20:20" ht="18.75" customHeight="1" x14ac:dyDescent="0.35">
      <c r="T44700" s="246">
        <f t="shared" si="736"/>
        <v>0</v>
      </c>
    </row>
    <row r="44701" spans="20:20" ht="18.75" customHeight="1" x14ac:dyDescent="0.35">
      <c r="T44701" s="246">
        <f t="shared" si="736"/>
        <v>0</v>
      </c>
    </row>
    <row r="44702" spans="20:20" ht="18.75" customHeight="1" x14ac:dyDescent="0.35">
      <c r="T44702" s="246">
        <f t="shared" si="736"/>
        <v>0</v>
      </c>
    </row>
    <row r="44703" spans="20:20" ht="18.75" customHeight="1" x14ac:dyDescent="0.35">
      <c r="T44703" s="246">
        <f t="shared" si="736"/>
        <v>0</v>
      </c>
    </row>
    <row r="44704" spans="20:20" ht="18.75" customHeight="1" x14ac:dyDescent="0.35">
      <c r="T44704" s="246">
        <f t="shared" si="736"/>
        <v>0</v>
      </c>
    </row>
    <row r="44705" spans="20:20" ht="18.75" customHeight="1" x14ac:dyDescent="0.35">
      <c r="T44705" s="246">
        <f t="shared" si="736"/>
        <v>0</v>
      </c>
    </row>
    <row r="44706" spans="20:20" ht="18.75" customHeight="1" x14ac:dyDescent="0.35">
      <c r="T44706" s="246">
        <f t="shared" si="736"/>
        <v>0</v>
      </c>
    </row>
    <row r="44707" spans="20:20" ht="18.75" customHeight="1" x14ac:dyDescent="0.35">
      <c r="T44707" s="246">
        <f t="shared" si="736"/>
        <v>0</v>
      </c>
    </row>
    <row r="44708" spans="20:20" ht="18.75" customHeight="1" x14ac:dyDescent="0.35">
      <c r="T44708" s="246">
        <f t="shared" si="736"/>
        <v>0</v>
      </c>
    </row>
    <row r="44709" spans="20:20" ht="18.75" customHeight="1" x14ac:dyDescent="0.35">
      <c r="T44709" s="246">
        <f t="shared" si="736"/>
        <v>0</v>
      </c>
    </row>
    <row r="44710" spans="20:20" ht="18.75" customHeight="1" x14ac:dyDescent="0.35">
      <c r="T44710" s="246">
        <f t="shared" si="736"/>
        <v>0</v>
      </c>
    </row>
    <row r="44711" spans="20:20" ht="18.75" customHeight="1" x14ac:dyDescent="0.35">
      <c r="T44711" s="246">
        <f t="shared" si="736"/>
        <v>0</v>
      </c>
    </row>
    <row r="44712" spans="20:20" ht="18.75" customHeight="1" x14ac:dyDescent="0.35">
      <c r="T44712" s="246">
        <f t="shared" si="736"/>
        <v>0</v>
      </c>
    </row>
    <row r="44713" spans="20:20" ht="18.75" customHeight="1" x14ac:dyDescent="0.35">
      <c r="T44713" s="246">
        <f t="shared" si="736"/>
        <v>0</v>
      </c>
    </row>
    <row r="44714" spans="20:20" ht="18.75" customHeight="1" x14ac:dyDescent="0.35">
      <c r="T44714" s="246">
        <f t="shared" si="736"/>
        <v>0</v>
      </c>
    </row>
    <row r="44715" spans="20:20" ht="18.75" customHeight="1" x14ac:dyDescent="0.35">
      <c r="T44715" s="246">
        <f t="shared" si="736"/>
        <v>0</v>
      </c>
    </row>
    <row r="44716" spans="20:20" ht="18.75" customHeight="1" x14ac:dyDescent="0.35">
      <c r="T44716" s="246">
        <f t="shared" si="736"/>
        <v>0</v>
      </c>
    </row>
    <row r="44717" spans="20:20" ht="18.75" customHeight="1" x14ac:dyDescent="0.35">
      <c r="T44717" s="246">
        <f t="shared" si="736"/>
        <v>0</v>
      </c>
    </row>
    <row r="44718" spans="20:20" ht="18.75" customHeight="1" x14ac:dyDescent="0.35">
      <c r="T44718" s="246">
        <f t="shared" si="736"/>
        <v>0</v>
      </c>
    </row>
    <row r="44719" spans="20:20" ht="18.75" customHeight="1" x14ac:dyDescent="0.35">
      <c r="T44719" s="246">
        <f t="shared" si="736"/>
        <v>0</v>
      </c>
    </row>
    <row r="44720" spans="20:20" ht="18.75" customHeight="1" x14ac:dyDescent="0.35">
      <c r="T44720" s="246">
        <f t="shared" si="736"/>
        <v>0</v>
      </c>
    </row>
    <row r="44721" spans="20:20" ht="18.75" customHeight="1" x14ac:dyDescent="0.35">
      <c r="T44721" s="246">
        <f t="shared" si="736"/>
        <v>0</v>
      </c>
    </row>
    <row r="44722" spans="20:20" ht="18.75" customHeight="1" x14ac:dyDescent="0.35">
      <c r="T44722" s="246">
        <f t="shared" si="736"/>
        <v>0</v>
      </c>
    </row>
    <row r="44723" spans="20:20" ht="18.75" customHeight="1" x14ac:dyDescent="0.35">
      <c r="T44723" s="246">
        <f t="shared" si="736"/>
        <v>0</v>
      </c>
    </row>
    <row r="44724" spans="20:20" ht="18.75" customHeight="1" x14ac:dyDescent="0.35">
      <c r="T44724" s="246">
        <f t="shared" si="736"/>
        <v>0</v>
      </c>
    </row>
    <row r="44725" spans="20:20" ht="18.75" customHeight="1" x14ac:dyDescent="0.35">
      <c r="T44725" s="246">
        <f t="shared" si="736"/>
        <v>0</v>
      </c>
    </row>
    <row r="44726" spans="20:20" ht="18.75" customHeight="1" x14ac:dyDescent="0.35">
      <c r="T44726" s="246">
        <f t="shared" si="736"/>
        <v>0</v>
      </c>
    </row>
    <row r="44727" spans="20:20" ht="18.75" customHeight="1" x14ac:dyDescent="0.35">
      <c r="T44727" s="246">
        <f t="shared" si="736"/>
        <v>0</v>
      </c>
    </row>
    <row r="44728" spans="20:20" ht="18.75" customHeight="1" x14ac:dyDescent="0.35">
      <c r="T44728" s="246">
        <f t="shared" si="736"/>
        <v>0</v>
      </c>
    </row>
    <row r="44729" spans="20:20" ht="18.75" customHeight="1" x14ac:dyDescent="0.35">
      <c r="T44729" s="246">
        <f t="shared" si="736"/>
        <v>0</v>
      </c>
    </row>
    <row r="44730" spans="20:20" ht="18.75" customHeight="1" x14ac:dyDescent="0.35">
      <c r="T44730" s="246">
        <f t="shared" si="736"/>
        <v>0</v>
      </c>
    </row>
    <row r="44731" spans="20:20" ht="18.75" customHeight="1" x14ac:dyDescent="0.35">
      <c r="T44731" s="246">
        <f t="shared" si="736"/>
        <v>0</v>
      </c>
    </row>
    <row r="44732" spans="20:20" ht="18.75" customHeight="1" x14ac:dyDescent="0.35">
      <c r="T44732" s="246">
        <f t="shared" ref="T44732:T44795" si="737">R44732*0.01</f>
        <v>0</v>
      </c>
    </row>
    <row r="44733" spans="20:20" ht="18.75" customHeight="1" x14ac:dyDescent="0.35">
      <c r="T44733" s="246">
        <f t="shared" si="737"/>
        <v>0</v>
      </c>
    </row>
    <row r="44734" spans="20:20" ht="18.75" customHeight="1" x14ac:dyDescent="0.35">
      <c r="T44734" s="246">
        <f t="shared" si="737"/>
        <v>0</v>
      </c>
    </row>
    <row r="44735" spans="20:20" ht="18.75" customHeight="1" x14ac:dyDescent="0.35">
      <c r="T44735" s="246">
        <f t="shared" si="737"/>
        <v>0</v>
      </c>
    </row>
    <row r="44736" spans="20:20" ht="18.75" customHeight="1" x14ac:dyDescent="0.35">
      <c r="T44736" s="246">
        <f t="shared" si="737"/>
        <v>0</v>
      </c>
    </row>
    <row r="44737" spans="20:20" ht="18.75" customHeight="1" x14ac:dyDescent="0.35">
      <c r="T44737" s="246">
        <f t="shared" si="737"/>
        <v>0</v>
      </c>
    </row>
    <row r="44738" spans="20:20" ht="18.75" customHeight="1" x14ac:dyDescent="0.35">
      <c r="T44738" s="246">
        <f t="shared" si="737"/>
        <v>0</v>
      </c>
    </row>
    <row r="44739" spans="20:20" ht="18.75" customHeight="1" x14ac:dyDescent="0.35">
      <c r="T44739" s="246">
        <f t="shared" si="737"/>
        <v>0</v>
      </c>
    </row>
    <row r="44740" spans="20:20" ht="18.75" customHeight="1" x14ac:dyDescent="0.35">
      <c r="T44740" s="246">
        <f t="shared" si="737"/>
        <v>0</v>
      </c>
    </row>
    <row r="44741" spans="20:20" ht="18.75" customHeight="1" x14ac:dyDescent="0.35">
      <c r="T44741" s="246">
        <f t="shared" si="737"/>
        <v>0</v>
      </c>
    </row>
    <row r="44742" spans="20:20" ht="18.75" customHeight="1" x14ac:dyDescent="0.35">
      <c r="T44742" s="246">
        <f t="shared" si="737"/>
        <v>0</v>
      </c>
    </row>
    <row r="44743" spans="20:20" ht="18.75" customHeight="1" x14ac:dyDescent="0.35">
      <c r="T44743" s="246">
        <f t="shared" si="737"/>
        <v>0</v>
      </c>
    </row>
    <row r="44744" spans="20:20" ht="18.75" customHeight="1" x14ac:dyDescent="0.35">
      <c r="T44744" s="246">
        <f t="shared" si="737"/>
        <v>0</v>
      </c>
    </row>
    <row r="44745" spans="20:20" ht="18.75" customHeight="1" x14ac:dyDescent="0.35">
      <c r="T44745" s="246">
        <f t="shared" si="737"/>
        <v>0</v>
      </c>
    </row>
    <row r="44746" spans="20:20" ht="18.75" customHeight="1" x14ac:dyDescent="0.35">
      <c r="T44746" s="246">
        <f t="shared" si="737"/>
        <v>0</v>
      </c>
    </row>
    <row r="44747" spans="20:20" ht="18.75" customHeight="1" x14ac:dyDescent="0.35">
      <c r="T44747" s="246">
        <f t="shared" si="737"/>
        <v>0</v>
      </c>
    </row>
    <row r="44748" spans="20:20" ht="18.75" customHeight="1" x14ac:dyDescent="0.35">
      <c r="T44748" s="246">
        <f t="shared" si="737"/>
        <v>0</v>
      </c>
    </row>
    <row r="44749" spans="20:20" ht="18.75" customHeight="1" x14ac:dyDescent="0.35">
      <c r="T44749" s="246">
        <f t="shared" si="737"/>
        <v>0</v>
      </c>
    </row>
    <row r="44750" spans="20:20" ht="18.75" customHeight="1" x14ac:dyDescent="0.35">
      <c r="T44750" s="246">
        <f t="shared" si="737"/>
        <v>0</v>
      </c>
    </row>
    <row r="44751" spans="20:20" ht="18.75" customHeight="1" x14ac:dyDescent="0.35">
      <c r="T44751" s="246">
        <f t="shared" si="737"/>
        <v>0</v>
      </c>
    </row>
    <row r="44752" spans="20:20" ht="18.75" customHeight="1" x14ac:dyDescent="0.35">
      <c r="T44752" s="246">
        <f t="shared" si="737"/>
        <v>0</v>
      </c>
    </row>
    <row r="44753" spans="20:20" ht="18.75" customHeight="1" x14ac:dyDescent="0.35">
      <c r="T44753" s="246">
        <f t="shared" si="737"/>
        <v>0</v>
      </c>
    </row>
    <row r="44754" spans="20:20" ht="18.75" customHeight="1" x14ac:dyDescent="0.35">
      <c r="T44754" s="246">
        <f t="shared" si="737"/>
        <v>0</v>
      </c>
    </row>
    <row r="44755" spans="20:20" ht="18.75" customHeight="1" x14ac:dyDescent="0.35">
      <c r="T44755" s="246">
        <f t="shared" si="737"/>
        <v>0</v>
      </c>
    </row>
    <row r="44756" spans="20:20" ht="18.75" customHeight="1" x14ac:dyDescent="0.35">
      <c r="T44756" s="246">
        <f t="shared" si="737"/>
        <v>0</v>
      </c>
    </row>
    <row r="44757" spans="20:20" ht="18.75" customHeight="1" x14ac:dyDescent="0.35">
      <c r="T44757" s="246">
        <f t="shared" si="737"/>
        <v>0</v>
      </c>
    </row>
    <row r="44758" spans="20:20" ht="18.75" customHeight="1" x14ac:dyDescent="0.35">
      <c r="T44758" s="246">
        <f t="shared" si="737"/>
        <v>0</v>
      </c>
    </row>
    <row r="44759" spans="20:20" ht="18.75" customHeight="1" x14ac:dyDescent="0.35">
      <c r="T44759" s="246">
        <f t="shared" si="737"/>
        <v>0</v>
      </c>
    </row>
    <row r="44760" spans="20:20" ht="18.75" customHeight="1" x14ac:dyDescent="0.35">
      <c r="T44760" s="246">
        <f t="shared" si="737"/>
        <v>0</v>
      </c>
    </row>
    <row r="44761" spans="20:20" ht="18.75" customHeight="1" x14ac:dyDescent="0.35">
      <c r="T44761" s="246">
        <f t="shared" si="737"/>
        <v>0</v>
      </c>
    </row>
    <row r="44762" spans="20:20" ht="18.75" customHeight="1" x14ac:dyDescent="0.35">
      <c r="T44762" s="246">
        <f t="shared" si="737"/>
        <v>0</v>
      </c>
    </row>
    <row r="44763" spans="20:20" ht="18.75" customHeight="1" x14ac:dyDescent="0.35">
      <c r="T44763" s="246">
        <f t="shared" si="737"/>
        <v>0</v>
      </c>
    </row>
    <row r="44764" spans="20:20" ht="18.75" customHeight="1" x14ac:dyDescent="0.35">
      <c r="T44764" s="246">
        <f t="shared" si="737"/>
        <v>0</v>
      </c>
    </row>
    <row r="44765" spans="20:20" ht="18.75" customHeight="1" x14ac:dyDescent="0.35">
      <c r="T44765" s="246">
        <f t="shared" si="737"/>
        <v>0</v>
      </c>
    </row>
    <row r="44766" spans="20:20" ht="18.75" customHeight="1" x14ac:dyDescent="0.35">
      <c r="T44766" s="246">
        <f t="shared" si="737"/>
        <v>0</v>
      </c>
    </row>
    <row r="44767" spans="20:20" ht="18.75" customHeight="1" x14ac:dyDescent="0.35">
      <c r="T44767" s="246">
        <f t="shared" si="737"/>
        <v>0</v>
      </c>
    </row>
    <row r="44768" spans="20:20" ht="18.75" customHeight="1" x14ac:dyDescent="0.35">
      <c r="T44768" s="246">
        <f t="shared" si="737"/>
        <v>0</v>
      </c>
    </row>
    <row r="44769" spans="20:20" ht="18.75" customHeight="1" x14ac:dyDescent="0.35">
      <c r="T44769" s="246">
        <f t="shared" si="737"/>
        <v>0</v>
      </c>
    </row>
    <row r="44770" spans="20:20" ht="18.75" customHeight="1" x14ac:dyDescent="0.35">
      <c r="T44770" s="246">
        <f t="shared" si="737"/>
        <v>0</v>
      </c>
    </row>
    <row r="44771" spans="20:20" ht="18.75" customHeight="1" x14ac:dyDescent="0.35">
      <c r="T44771" s="246">
        <f t="shared" si="737"/>
        <v>0</v>
      </c>
    </row>
    <row r="44772" spans="20:20" ht="18.75" customHeight="1" x14ac:dyDescent="0.35">
      <c r="T44772" s="246">
        <f t="shared" si="737"/>
        <v>0</v>
      </c>
    </row>
    <row r="44773" spans="20:20" ht="18.75" customHeight="1" x14ac:dyDescent="0.35">
      <c r="T44773" s="246">
        <f t="shared" si="737"/>
        <v>0</v>
      </c>
    </row>
    <row r="44774" spans="20:20" ht="18.75" customHeight="1" x14ac:dyDescent="0.35">
      <c r="T44774" s="246">
        <f t="shared" si="737"/>
        <v>0</v>
      </c>
    </row>
    <row r="44775" spans="20:20" ht="18.75" customHeight="1" x14ac:dyDescent="0.35">
      <c r="T44775" s="246">
        <f t="shared" si="737"/>
        <v>0</v>
      </c>
    </row>
    <row r="44776" spans="20:20" ht="18.75" customHeight="1" x14ac:dyDescent="0.35">
      <c r="T44776" s="246">
        <f t="shared" si="737"/>
        <v>0</v>
      </c>
    </row>
    <row r="44777" spans="20:20" ht="18.75" customHeight="1" x14ac:dyDescent="0.35">
      <c r="T44777" s="246">
        <f t="shared" si="737"/>
        <v>0</v>
      </c>
    </row>
    <row r="44778" spans="20:20" ht="18.75" customHeight="1" x14ac:dyDescent="0.35">
      <c r="T44778" s="246">
        <f t="shared" si="737"/>
        <v>0</v>
      </c>
    </row>
    <row r="44779" spans="20:20" ht="18.75" customHeight="1" x14ac:dyDescent="0.35">
      <c r="T44779" s="246">
        <f t="shared" si="737"/>
        <v>0</v>
      </c>
    </row>
    <row r="44780" spans="20:20" ht="18.75" customHeight="1" x14ac:dyDescent="0.35">
      <c r="T44780" s="246">
        <f t="shared" si="737"/>
        <v>0</v>
      </c>
    </row>
    <row r="44781" spans="20:20" ht="18.75" customHeight="1" x14ac:dyDescent="0.35">
      <c r="T44781" s="246">
        <f t="shared" si="737"/>
        <v>0</v>
      </c>
    </row>
    <row r="44782" spans="20:20" ht="18.75" customHeight="1" x14ac:dyDescent="0.35">
      <c r="T44782" s="246">
        <f t="shared" si="737"/>
        <v>0</v>
      </c>
    </row>
    <row r="44783" spans="20:20" ht="18.75" customHeight="1" x14ac:dyDescent="0.35">
      <c r="T44783" s="246">
        <f t="shared" si="737"/>
        <v>0</v>
      </c>
    </row>
    <row r="44784" spans="20:20" ht="18.75" customHeight="1" x14ac:dyDescent="0.35">
      <c r="T44784" s="246">
        <f t="shared" si="737"/>
        <v>0</v>
      </c>
    </row>
    <row r="44785" spans="20:20" ht="18.75" customHeight="1" x14ac:dyDescent="0.35">
      <c r="T44785" s="246">
        <f t="shared" si="737"/>
        <v>0</v>
      </c>
    </row>
    <row r="44786" spans="20:20" ht="18.75" customHeight="1" x14ac:dyDescent="0.35">
      <c r="T44786" s="246">
        <f t="shared" si="737"/>
        <v>0</v>
      </c>
    </row>
    <row r="44787" spans="20:20" ht="18.75" customHeight="1" x14ac:dyDescent="0.35">
      <c r="T44787" s="246">
        <f t="shared" si="737"/>
        <v>0</v>
      </c>
    </row>
    <row r="44788" spans="20:20" ht="18.75" customHeight="1" x14ac:dyDescent="0.35">
      <c r="T44788" s="246">
        <f t="shared" si="737"/>
        <v>0</v>
      </c>
    </row>
    <row r="44789" spans="20:20" ht="18.75" customHeight="1" x14ac:dyDescent="0.35">
      <c r="T44789" s="246">
        <f t="shared" si="737"/>
        <v>0</v>
      </c>
    </row>
    <row r="44790" spans="20:20" ht="18.75" customHeight="1" x14ac:dyDescent="0.35">
      <c r="T44790" s="246">
        <f t="shared" si="737"/>
        <v>0</v>
      </c>
    </row>
    <row r="44791" spans="20:20" ht="18.75" customHeight="1" x14ac:dyDescent="0.35">
      <c r="T44791" s="246">
        <f t="shared" si="737"/>
        <v>0</v>
      </c>
    </row>
    <row r="44792" spans="20:20" ht="18.75" customHeight="1" x14ac:dyDescent="0.35">
      <c r="T44792" s="246">
        <f t="shared" si="737"/>
        <v>0</v>
      </c>
    </row>
    <row r="44793" spans="20:20" ht="18.75" customHeight="1" x14ac:dyDescent="0.35">
      <c r="T44793" s="246">
        <f t="shared" si="737"/>
        <v>0</v>
      </c>
    </row>
    <row r="44794" spans="20:20" ht="18.75" customHeight="1" x14ac:dyDescent="0.35">
      <c r="T44794" s="246">
        <f t="shared" si="737"/>
        <v>0</v>
      </c>
    </row>
    <row r="44795" spans="20:20" ht="18.75" customHeight="1" x14ac:dyDescent="0.35">
      <c r="T44795" s="246">
        <f t="shared" si="737"/>
        <v>0</v>
      </c>
    </row>
    <row r="44796" spans="20:20" ht="18.75" customHeight="1" x14ac:dyDescent="0.35">
      <c r="T44796" s="246">
        <f t="shared" ref="T44796:T44859" si="738">R44796*0.01</f>
        <v>0</v>
      </c>
    </row>
    <row r="44797" spans="20:20" ht="18.75" customHeight="1" x14ac:dyDescent="0.35">
      <c r="T44797" s="246">
        <f t="shared" si="738"/>
        <v>0</v>
      </c>
    </row>
    <row r="44798" spans="20:20" ht="18.75" customHeight="1" x14ac:dyDescent="0.35">
      <c r="T44798" s="246">
        <f t="shared" si="738"/>
        <v>0</v>
      </c>
    </row>
    <row r="44799" spans="20:20" ht="18.75" customHeight="1" x14ac:dyDescent="0.35">
      <c r="T44799" s="246">
        <f t="shared" si="738"/>
        <v>0</v>
      </c>
    </row>
    <row r="44800" spans="20:20" ht="18.75" customHeight="1" x14ac:dyDescent="0.35">
      <c r="T44800" s="246">
        <f t="shared" si="738"/>
        <v>0</v>
      </c>
    </row>
    <row r="44801" spans="20:20" ht="18.75" customHeight="1" x14ac:dyDescent="0.35">
      <c r="T44801" s="246">
        <f t="shared" si="738"/>
        <v>0</v>
      </c>
    </row>
    <row r="44802" spans="20:20" ht="18.75" customHeight="1" x14ac:dyDescent="0.35">
      <c r="T44802" s="246">
        <f t="shared" si="738"/>
        <v>0</v>
      </c>
    </row>
    <row r="44803" spans="20:20" ht="18.75" customHeight="1" x14ac:dyDescent="0.35">
      <c r="T44803" s="246">
        <f t="shared" si="738"/>
        <v>0</v>
      </c>
    </row>
    <row r="44804" spans="20:20" ht="18.75" customHeight="1" x14ac:dyDescent="0.35">
      <c r="T44804" s="246">
        <f t="shared" si="738"/>
        <v>0</v>
      </c>
    </row>
    <row r="44805" spans="20:20" ht="18.75" customHeight="1" x14ac:dyDescent="0.35">
      <c r="T44805" s="246">
        <f t="shared" si="738"/>
        <v>0</v>
      </c>
    </row>
    <row r="44806" spans="20:20" ht="18.75" customHeight="1" x14ac:dyDescent="0.35">
      <c r="T44806" s="246">
        <f t="shared" si="738"/>
        <v>0</v>
      </c>
    </row>
    <row r="44807" spans="20:20" ht="18.75" customHeight="1" x14ac:dyDescent="0.35">
      <c r="T44807" s="246">
        <f t="shared" si="738"/>
        <v>0</v>
      </c>
    </row>
    <row r="44808" spans="20:20" ht="18.75" customHeight="1" x14ac:dyDescent="0.35">
      <c r="T44808" s="246">
        <f t="shared" si="738"/>
        <v>0</v>
      </c>
    </row>
    <row r="44809" spans="20:20" ht="18.75" customHeight="1" x14ac:dyDescent="0.35">
      <c r="T44809" s="246">
        <f t="shared" si="738"/>
        <v>0</v>
      </c>
    </row>
    <row r="44810" spans="20:20" ht="18.75" customHeight="1" x14ac:dyDescent="0.35">
      <c r="T44810" s="246">
        <f t="shared" si="738"/>
        <v>0</v>
      </c>
    </row>
    <row r="44811" spans="20:20" ht="18.75" customHeight="1" x14ac:dyDescent="0.35">
      <c r="T44811" s="246">
        <f t="shared" si="738"/>
        <v>0</v>
      </c>
    </row>
    <row r="44812" spans="20:20" ht="18.75" customHeight="1" x14ac:dyDescent="0.35">
      <c r="T44812" s="246">
        <f t="shared" si="738"/>
        <v>0</v>
      </c>
    </row>
    <row r="44813" spans="20:20" ht="18.75" customHeight="1" x14ac:dyDescent="0.35">
      <c r="T44813" s="246">
        <f t="shared" si="738"/>
        <v>0</v>
      </c>
    </row>
    <row r="44814" spans="20:20" ht="18.75" customHeight="1" x14ac:dyDescent="0.35">
      <c r="T44814" s="246">
        <f t="shared" si="738"/>
        <v>0</v>
      </c>
    </row>
    <row r="44815" spans="20:20" ht="18.75" customHeight="1" x14ac:dyDescent="0.35">
      <c r="T44815" s="246">
        <f t="shared" si="738"/>
        <v>0</v>
      </c>
    </row>
    <row r="44816" spans="20:20" ht="18.75" customHeight="1" x14ac:dyDescent="0.35">
      <c r="T44816" s="246">
        <f t="shared" si="738"/>
        <v>0</v>
      </c>
    </row>
    <row r="44817" spans="20:20" ht="18.75" customHeight="1" x14ac:dyDescent="0.35">
      <c r="T44817" s="246">
        <f t="shared" si="738"/>
        <v>0</v>
      </c>
    </row>
    <row r="44818" spans="20:20" ht="18.75" customHeight="1" x14ac:dyDescent="0.35">
      <c r="T44818" s="246">
        <f t="shared" si="738"/>
        <v>0</v>
      </c>
    </row>
    <row r="44819" spans="20:20" ht="18.75" customHeight="1" x14ac:dyDescent="0.35">
      <c r="T44819" s="246">
        <f t="shared" si="738"/>
        <v>0</v>
      </c>
    </row>
    <row r="44820" spans="20:20" ht="18.75" customHeight="1" x14ac:dyDescent="0.35">
      <c r="T44820" s="246">
        <f t="shared" si="738"/>
        <v>0</v>
      </c>
    </row>
    <row r="44821" spans="20:20" ht="18.75" customHeight="1" x14ac:dyDescent="0.35">
      <c r="T44821" s="246">
        <f t="shared" si="738"/>
        <v>0</v>
      </c>
    </row>
    <row r="44822" spans="20:20" ht="18.75" customHeight="1" x14ac:dyDescent="0.35">
      <c r="T44822" s="246">
        <f t="shared" si="738"/>
        <v>0</v>
      </c>
    </row>
    <row r="44823" spans="20:20" ht="18.75" customHeight="1" x14ac:dyDescent="0.35">
      <c r="T44823" s="246">
        <f t="shared" si="738"/>
        <v>0</v>
      </c>
    </row>
    <row r="44824" spans="20:20" ht="18.75" customHeight="1" x14ac:dyDescent="0.35">
      <c r="T44824" s="246">
        <f t="shared" si="738"/>
        <v>0</v>
      </c>
    </row>
    <row r="44825" spans="20:20" ht="18.75" customHeight="1" x14ac:dyDescent="0.35">
      <c r="T44825" s="246">
        <f t="shared" si="738"/>
        <v>0</v>
      </c>
    </row>
    <row r="44826" spans="20:20" ht="18.75" customHeight="1" x14ac:dyDescent="0.35">
      <c r="T44826" s="246">
        <f t="shared" si="738"/>
        <v>0</v>
      </c>
    </row>
    <row r="44827" spans="20:20" ht="18.75" customHeight="1" x14ac:dyDescent="0.35">
      <c r="T44827" s="246">
        <f t="shared" si="738"/>
        <v>0</v>
      </c>
    </row>
    <row r="44828" spans="20:20" ht="18.75" customHeight="1" x14ac:dyDescent="0.35">
      <c r="T44828" s="246">
        <f t="shared" si="738"/>
        <v>0</v>
      </c>
    </row>
    <row r="44829" spans="20:20" ht="18.75" customHeight="1" x14ac:dyDescent="0.35">
      <c r="T44829" s="246">
        <f t="shared" si="738"/>
        <v>0</v>
      </c>
    </row>
    <row r="44830" spans="20:20" ht="18.75" customHeight="1" x14ac:dyDescent="0.35">
      <c r="T44830" s="246">
        <f t="shared" si="738"/>
        <v>0</v>
      </c>
    </row>
    <row r="44831" spans="20:20" ht="18.75" customHeight="1" x14ac:dyDescent="0.35">
      <c r="T44831" s="246">
        <f t="shared" si="738"/>
        <v>0</v>
      </c>
    </row>
    <row r="44832" spans="20:20" ht="18.75" customHeight="1" x14ac:dyDescent="0.35">
      <c r="T44832" s="246">
        <f t="shared" si="738"/>
        <v>0</v>
      </c>
    </row>
    <row r="44833" spans="20:20" ht="18.75" customHeight="1" x14ac:dyDescent="0.35">
      <c r="T44833" s="246">
        <f t="shared" si="738"/>
        <v>0</v>
      </c>
    </row>
    <row r="44834" spans="20:20" ht="18.75" customHeight="1" x14ac:dyDescent="0.35">
      <c r="T44834" s="246">
        <f t="shared" si="738"/>
        <v>0</v>
      </c>
    </row>
    <row r="44835" spans="20:20" ht="18.75" customHeight="1" x14ac:dyDescent="0.35">
      <c r="T44835" s="246">
        <f t="shared" si="738"/>
        <v>0</v>
      </c>
    </row>
    <row r="44836" spans="20:20" ht="18.75" customHeight="1" x14ac:dyDescent="0.35">
      <c r="T44836" s="246">
        <f t="shared" si="738"/>
        <v>0</v>
      </c>
    </row>
    <row r="44837" spans="20:20" ht="18.75" customHeight="1" x14ac:dyDescent="0.35">
      <c r="T44837" s="246">
        <f t="shared" si="738"/>
        <v>0</v>
      </c>
    </row>
    <row r="44838" spans="20:20" ht="18.75" customHeight="1" x14ac:dyDescent="0.35">
      <c r="T44838" s="246">
        <f t="shared" si="738"/>
        <v>0</v>
      </c>
    </row>
    <row r="44839" spans="20:20" ht="18.75" customHeight="1" x14ac:dyDescent="0.35">
      <c r="T44839" s="246">
        <f t="shared" si="738"/>
        <v>0</v>
      </c>
    </row>
    <row r="44840" spans="20:20" ht="18.75" customHeight="1" x14ac:dyDescent="0.35">
      <c r="T44840" s="246">
        <f t="shared" si="738"/>
        <v>0</v>
      </c>
    </row>
    <row r="44841" spans="20:20" ht="18.75" customHeight="1" x14ac:dyDescent="0.35">
      <c r="T44841" s="246">
        <f t="shared" si="738"/>
        <v>0</v>
      </c>
    </row>
    <row r="44842" spans="20:20" ht="18.75" customHeight="1" x14ac:dyDescent="0.35">
      <c r="T44842" s="246">
        <f t="shared" si="738"/>
        <v>0</v>
      </c>
    </row>
    <row r="44843" spans="20:20" ht="18.75" customHeight="1" x14ac:dyDescent="0.35">
      <c r="T44843" s="246">
        <f t="shared" si="738"/>
        <v>0</v>
      </c>
    </row>
    <row r="44844" spans="20:20" ht="18.75" customHeight="1" x14ac:dyDescent="0.35">
      <c r="T44844" s="246">
        <f t="shared" si="738"/>
        <v>0</v>
      </c>
    </row>
    <row r="44845" spans="20:20" ht="18.75" customHeight="1" x14ac:dyDescent="0.35">
      <c r="T44845" s="246">
        <f t="shared" si="738"/>
        <v>0</v>
      </c>
    </row>
    <row r="44846" spans="20:20" ht="18.75" customHeight="1" x14ac:dyDescent="0.35">
      <c r="T44846" s="246">
        <f t="shared" si="738"/>
        <v>0</v>
      </c>
    </row>
    <row r="44847" spans="20:20" ht="18.75" customHeight="1" x14ac:dyDescent="0.35">
      <c r="T44847" s="246">
        <f t="shared" si="738"/>
        <v>0</v>
      </c>
    </row>
    <row r="44848" spans="20:20" ht="18.75" customHeight="1" x14ac:dyDescent="0.35">
      <c r="T44848" s="246">
        <f t="shared" si="738"/>
        <v>0</v>
      </c>
    </row>
    <row r="44849" spans="20:20" ht="18.75" customHeight="1" x14ac:dyDescent="0.35">
      <c r="T44849" s="246">
        <f t="shared" si="738"/>
        <v>0</v>
      </c>
    </row>
    <row r="44850" spans="20:20" ht="18.75" customHeight="1" x14ac:dyDescent="0.35">
      <c r="T44850" s="246">
        <f t="shared" si="738"/>
        <v>0</v>
      </c>
    </row>
    <row r="44851" spans="20:20" ht="18.75" customHeight="1" x14ac:dyDescent="0.35">
      <c r="T44851" s="246">
        <f t="shared" si="738"/>
        <v>0</v>
      </c>
    </row>
    <row r="44852" spans="20:20" ht="18.75" customHeight="1" x14ac:dyDescent="0.35">
      <c r="T44852" s="246">
        <f t="shared" si="738"/>
        <v>0</v>
      </c>
    </row>
    <row r="44853" spans="20:20" ht="18.75" customHeight="1" x14ac:dyDescent="0.35">
      <c r="T44853" s="246">
        <f t="shared" si="738"/>
        <v>0</v>
      </c>
    </row>
    <row r="44854" spans="20:20" ht="18.75" customHeight="1" x14ac:dyDescent="0.35">
      <c r="T44854" s="246">
        <f t="shared" si="738"/>
        <v>0</v>
      </c>
    </row>
    <row r="44855" spans="20:20" ht="18.75" customHeight="1" x14ac:dyDescent="0.35">
      <c r="T44855" s="246">
        <f t="shared" si="738"/>
        <v>0</v>
      </c>
    </row>
    <row r="44856" spans="20:20" ht="18.75" customHeight="1" x14ac:dyDescent="0.35">
      <c r="T44856" s="246">
        <f t="shared" si="738"/>
        <v>0</v>
      </c>
    </row>
    <row r="44857" spans="20:20" ht="18.75" customHeight="1" x14ac:dyDescent="0.35">
      <c r="T44857" s="246">
        <f t="shared" si="738"/>
        <v>0</v>
      </c>
    </row>
    <row r="44858" spans="20:20" ht="18.75" customHeight="1" x14ac:dyDescent="0.35">
      <c r="T44858" s="246">
        <f t="shared" si="738"/>
        <v>0</v>
      </c>
    </row>
    <row r="44859" spans="20:20" ht="18.75" customHeight="1" x14ac:dyDescent="0.35">
      <c r="T44859" s="246">
        <f t="shared" si="738"/>
        <v>0</v>
      </c>
    </row>
    <row r="44860" spans="20:20" ht="18.75" customHeight="1" x14ac:dyDescent="0.35">
      <c r="T44860" s="246">
        <f t="shared" ref="T44860:T44923" si="739">R44860*0.01</f>
        <v>0</v>
      </c>
    </row>
    <row r="44861" spans="20:20" ht="18.75" customHeight="1" x14ac:dyDescent="0.35">
      <c r="T44861" s="246">
        <f t="shared" si="739"/>
        <v>0</v>
      </c>
    </row>
    <row r="44862" spans="20:20" ht="18.75" customHeight="1" x14ac:dyDescent="0.35">
      <c r="T44862" s="246">
        <f t="shared" si="739"/>
        <v>0</v>
      </c>
    </row>
    <row r="44863" spans="20:20" ht="18.75" customHeight="1" x14ac:dyDescent="0.35">
      <c r="T44863" s="246">
        <f t="shared" si="739"/>
        <v>0</v>
      </c>
    </row>
    <row r="44864" spans="20:20" ht="18.75" customHeight="1" x14ac:dyDescent="0.35">
      <c r="T44864" s="246">
        <f t="shared" si="739"/>
        <v>0</v>
      </c>
    </row>
    <row r="44865" spans="20:20" ht="18.75" customHeight="1" x14ac:dyDescent="0.35">
      <c r="T44865" s="246">
        <f t="shared" si="739"/>
        <v>0</v>
      </c>
    </row>
    <row r="44866" spans="20:20" ht="18.75" customHeight="1" x14ac:dyDescent="0.35">
      <c r="T44866" s="246">
        <f t="shared" si="739"/>
        <v>0</v>
      </c>
    </row>
    <row r="44867" spans="20:20" ht="18.75" customHeight="1" x14ac:dyDescent="0.35">
      <c r="T44867" s="246">
        <f t="shared" si="739"/>
        <v>0</v>
      </c>
    </row>
    <row r="44868" spans="20:20" ht="18.75" customHeight="1" x14ac:dyDescent="0.35">
      <c r="T44868" s="246">
        <f t="shared" si="739"/>
        <v>0</v>
      </c>
    </row>
    <row r="44869" spans="20:20" ht="18.75" customHeight="1" x14ac:dyDescent="0.35">
      <c r="T44869" s="246">
        <f t="shared" si="739"/>
        <v>0</v>
      </c>
    </row>
    <row r="44870" spans="20:20" ht="18.75" customHeight="1" x14ac:dyDescent="0.35">
      <c r="T44870" s="246">
        <f t="shared" si="739"/>
        <v>0</v>
      </c>
    </row>
    <row r="44871" spans="20:20" ht="18.75" customHeight="1" x14ac:dyDescent="0.35">
      <c r="T44871" s="246">
        <f t="shared" si="739"/>
        <v>0</v>
      </c>
    </row>
    <row r="44872" spans="20:20" ht="18.75" customHeight="1" x14ac:dyDescent="0.35">
      <c r="T44872" s="246">
        <f t="shared" si="739"/>
        <v>0</v>
      </c>
    </row>
    <row r="44873" spans="20:20" ht="18.75" customHeight="1" x14ac:dyDescent="0.35">
      <c r="T44873" s="246">
        <f t="shared" si="739"/>
        <v>0</v>
      </c>
    </row>
    <row r="44874" spans="20:20" ht="18.75" customHeight="1" x14ac:dyDescent="0.35">
      <c r="T44874" s="246">
        <f t="shared" si="739"/>
        <v>0</v>
      </c>
    </row>
    <row r="44875" spans="20:20" ht="18.75" customHeight="1" x14ac:dyDescent="0.35">
      <c r="T44875" s="246">
        <f t="shared" si="739"/>
        <v>0</v>
      </c>
    </row>
    <row r="44876" spans="20:20" ht="18.75" customHeight="1" x14ac:dyDescent="0.35">
      <c r="T44876" s="246">
        <f t="shared" si="739"/>
        <v>0</v>
      </c>
    </row>
    <row r="44877" spans="20:20" ht="18.75" customHeight="1" x14ac:dyDescent="0.35">
      <c r="T44877" s="246">
        <f t="shared" si="739"/>
        <v>0</v>
      </c>
    </row>
    <row r="44878" spans="20:20" ht="18.75" customHeight="1" x14ac:dyDescent="0.35">
      <c r="T44878" s="246">
        <f t="shared" si="739"/>
        <v>0</v>
      </c>
    </row>
    <row r="44879" spans="20:20" ht="18.75" customHeight="1" x14ac:dyDescent="0.35">
      <c r="T44879" s="246">
        <f t="shared" si="739"/>
        <v>0</v>
      </c>
    </row>
    <row r="44880" spans="20:20" ht="18.75" customHeight="1" x14ac:dyDescent="0.35">
      <c r="T44880" s="246">
        <f t="shared" si="739"/>
        <v>0</v>
      </c>
    </row>
    <row r="44881" spans="20:20" ht="18.75" customHeight="1" x14ac:dyDescent="0.35">
      <c r="T44881" s="246">
        <f t="shared" si="739"/>
        <v>0</v>
      </c>
    </row>
    <row r="44882" spans="20:20" ht="18.75" customHeight="1" x14ac:dyDescent="0.35">
      <c r="T44882" s="246">
        <f t="shared" si="739"/>
        <v>0</v>
      </c>
    </row>
    <row r="44883" spans="20:20" ht="18.75" customHeight="1" x14ac:dyDescent="0.35">
      <c r="T44883" s="246">
        <f t="shared" si="739"/>
        <v>0</v>
      </c>
    </row>
    <row r="44884" spans="20:20" ht="18.75" customHeight="1" x14ac:dyDescent="0.35">
      <c r="T44884" s="246">
        <f t="shared" si="739"/>
        <v>0</v>
      </c>
    </row>
    <row r="44885" spans="20:20" ht="18.75" customHeight="1" x14ac:dyDescent="0.35">
      <c r="T44885" s="246">
        <f t="shared" si="739"/>
        <v>0</v>
      </c>
    </row>
    <row r="44886" spans="20:20" ht="18.75" customHeight="1" x14ac:dyDescent="0.35">
      <c r="T44886" s="246">
        <f t="shared" si="739"/>
        <v>0</v>
      </c>
    </row>
    <row r="44887" spans="20:20" ht="18.75" customHeight="1" x14ac:dyDescent="0.35">
      <c r="T44887" s="246">
        <f t="shared" si="739"/>
        <v>0</v>
      </c>
    </row>
    <row r="44888" spans="20:20" ht="18.75" customHeight="1" x14ac:dyDescent="0.35">
      <c r="T44888" s="246">
        <f t="shared" si="739"/>
        <v>0</v>
      </c>
    </row>
    <row r="44889" spans="20:20" ht="18.75" customHeight="1" x14ac:dyDescent="0.35">
      <c r="T44889" s="246">
        <f t="shared" si="739"/>
        <v>0</v>
      </c>
    </row>
    <row r="44890" spans="20:20" ht="18.75" customHeight="1" x14ac:dyDescent="0.35">
      <c r="T44890" s="246">
        <f t="shared" si="739"/>
        <v>0</v>
      </c>
    </row>
    <row r="44891" spans="20:20" ht="18.75" customHeight="1" x14ac:dyDescent="0.35">
      <c r="T44891" s="246">
        <f t="shared" si="739"/>
        <v>0</v>
      </c>
    </row>
    <row r="44892" spans="20:20" ht="18.75" customHeight="1" x14ac:dyDescent="0.35">
      <c r="T44892" s="246">
        <f t="shared" si="739"/>
        <v>0</v>
      </c>
    </row>
    <row r="44893" spans="20:20" ht="18.75" customHeight="1" x14ac:dyDescent="0.35">
      <c r="T44893" s="246">
        <f t="shared" si="739"/>
        <v>0</v>
      </c>
    </row>
    <row r="44894" spans="20:20" ht="18.75" customHeight="1" x14ac:dyDescent="0.35">
      <c r="T44894" s="246">
        <f t="shared" si="739"/>
        <v>0</v>
      </c>
    </row>
    <row r="44895" spans="20:20" ht="18.75" customHeight="1" x14ac:dyDescent="0.35">
      <c r="T44895" s="246">
        <f t="shared" si="739"/>
        <v>0</v>
      </c>
    </row>
    <row r="44896" spans="20:20" ht="18.75" customHeight="1" x14ac:dyDescent="0.35">
      <c r="T44896" s="246">
        <f t="shared" si="739"/>
        <v>0</v>
      </c>
    </row>
    <row r="44897" spans="20:20" ht="18.75" customHeight="1" x14ac:dyDescent="0.35">
      <c r="T44897" s="246">
        <f t="shared" si="739"/>
        <v>0</v>
      </c>
    </row>
    <row r="44898" spans="20:20" ht="18.75" customHeight="1" x14ac:dyDescent="0.35">
      <c r="T44898" s="246">
        <f t="shared" si="739"/>
        <v>0</v>
      </c>
    </row>
    <row r="44899" spans="20:20" ht="18.75" customHeight="1" x14ac:dyDescent="0.35">
      <c r="T44899" s="246">
        <f t="shared" si="739"/>
        <v>0</v>
      </c>
    </row>
    <row r="44900" spans="20:20" ht="18.75" customHeight="1" x14ac:dyDescent="0.35">
      <c r="T44900" s="246">
        <f t="shared" si="739"/>
        <v>0</v>
      </c>
    </row>
    <row r="44901" spans="20:20" ht="18.75" customHeight="1" x14ac:dyDescent="0.35">
      <c r="T44901" s="246">
        <f t="shared" si="739"/>
        <v>0</v>
      </c>
    </row>
    <row r="44902" spans="20:20" ht="18.75" customHeight="1" x14ac:dyDescent="0.35">
      <c r="T44902" s="246">
        <f t="shared" si="739"/>
        <v>0</v>
      </c>
    </row>
    <row r="44903" spans="20:20" ht="18.75" customHeight="1" x14ac:dyDescent="0.35">
      <c r="T44903" s="246">
        <f t="shared" si="739"/>
        <v>0</v>
      </c>
    </row>
    <row r="44904" spans="20:20" ht="18.75" customHeight="1" x14ac:dyDescent="0.35">
      <c r="T44904" s="246">
        <f t="shared" si="739"/>
        <v>0</v>
      </c>
    </row>
    <row r="44905" spans="20:20" ht="18.75" customHeight="1" x14ac:dyDescent="0.35">
      <c r="T44905" s="246">
        <f t="shared" si="739"/>
        <v>0</v>
      </c>
    </row>
    <row r="44906" spans="20:20" ht="18.75" customHeight="1" x14ac:dyDescent="0.35">
      <c r="T44906" s="246">
        <f t="shared" si="739"/>
        <v>0</v>
      </c>
    </row>
    <row r="44907" spans="20:20" ht="18.75" customHeight="1" x14ac:dyDescent="0.35">
      <c r="T44907" s="246">
        <f t="shared" si="739"/>
        <v>0</v>
      </c>
    </row>
    <row r="44908" spans="20:20" ht="18.75" customHeight="1" x14ac:dyDescent="0.35">
      <c r="T44908" s="246">
        <f t="shared" si="739"/>
        <v>0</v>
      </c>
    </row>
    <row r="44909" spans="20:20" ht="18.75" customHeight="1" x14ac:dyDescent="0.35">
      <c r="T44909" s="246">
        <f t="shared" si="739"/>
        <v>0</v>
      </c>
    </row>
    <row r="44910" spans="20:20" ht="18.75" customHeight="1" x14ac:dyDescent="0.35">
      <c r="T44910" s="246">
        <f t="shared" si="739"/>
        <v>0</v>
      </c>
    </row>
    <row r="44911" spans="20:20" ht="18.75" customHeight="1" x14ac:dyDescent="0.35">
      <c r="T44911" s="246">
        <f t="shared" si="739"/>
        <v>0</v>
      </c>
    </row>
    <row r="44912" spans="20:20" ht="18.75" customHeight="1" x14ac:dyDescent="0.35">
      <c r="T44912" s="246">
        <f t="shared" si="739"/>
        <v>0</v>
      </c>
    </row>
    <row r="44913" spans="20:20" ht="18.75" customHeight="1" x14ac:dyDescent="0.35">
      <c r="T44913" s="246">
        <f t="shared" si="739"/>
        <v>0</v>
      </c>
    </row>
    <row r="44914" spans="20:20" ht="18.75" customHeight="1" x14ac:dyDescent="0.35">
      <c r="T44914" s="246">
        <f t="shared" si="739"/>
        <v>0</v>
      </c>
    </row>
    <row r="44915" spans="20:20" ht="18.75" customHeight="1" x14ac:dyDescent="0.35">
      <c r="T44915" s="246">
        <f t="shared" si="739"/>
        <v>0</v>
      </c>
    </row>
    <row r="44916" spans="20:20" ht="18.75" customHeight="1" x14ac:dyDescent="0.35">
      <c r="T44916" s="246">
        <f t="shared" si="739"/>
        <v>0</v>
      </c>
    </row>
    <row r="44917" spans="20:20" ht="18.75" customHeight="1" x14ac:dyDescent="0.35">
      <c r="T44917" s="246">
        <f t="shared" si="739"/>
        <v>0</v>
      </c>
    </row>
    <row r="44918" spans="20:20" ht="18.75" customHeight="1" x14ac:dyDescent="0.35">
      <c r="T44918" s="246">
        <f t="shared" si="739"/>
        <v>0</v>
      </c>
    </row>
    <row r="44919" spans="20:20" ht="18.75" customHeight="1" x14ac:dyDescent="0.35">
      <c r="T44919" s="246">
        <f t="shared" si="739"/>
        <v>0</v>
      </c>
    </row>
    <row r="44920" spans="20:20" ht="18.75" customHeight="1" x14ac:dyDescent="0.35">
      <c r="T44920" s="246">
        <f t="shared" si="739"/>
        <v>0</v>
      </c>
    </row>
    <row r="44921" spans="20:20" ht="18.75" customHeight="1" x14ac:dyDescent="0.35">
      <c r="T44921" s="246">
        <f t="shared" si="739"/>
        <v>0</v>
      </c>
    </row>
    <row r="44922" spans="20:20" ht="18.75" customHeight="1" x14ac:dyDescent="0.35">
      <c r="T44922" s="246">
        <f t="shared" si="739"/>
        <v>0</v>
      </c>
    </row>
    <row r="44923" spans="20:20" ht="18.75" customHeight="1" x14ac:dyDescent="0.35">
      <c r="T44923" s="246">
        <f t="shared" si="739"/>
        <v>0</v>
      </c>
    </row>
    <row r="44924" spans="20:20" ht="18.75" customHeight="1" x14ac:dyDescent="0.35">
      <c r="T44924" s="246">
        <f t="shared" ref="T44924:T44987" si="740">R44924*0.01</f>
        <v>0</v>
      </c>
    </row>
    <row r="44925" spans="20:20" ht="18.75" customHeight="1" x14ac:dyDescent="0.35">
      <c r="T44925" s="246">
        <f t="shared" si="740"/>
        <v>0</v>
      </c>
    </row>
    <row r="44926" spans="20:20" ht="18.75" customHeight="1" x14ac:dyDescent="0.35">
      <c r="T44926" s="246">
        <f t="shared" si="740"/>
        <v>0</v>
      </c>
    </row>
    <row r="44927" spans="20:20" ht="18.75" customHeight="1" x14ac:dyDescent="0.35">
      <c r="T44927" s="246">
        <f t="shared" si="740"/>
        <v>0</v>
      </c>
    </row>
    <row r="44928" spans="20:20" ht="18.75" customHeight="1" x14ac:dyDescent="0.35">
      <c r="T44928" s="246">
        <f t="shared" si="740"/>
        <v>0</v>
      </c>
    </row>
    <row r="44929" spans="20:20" ht="18.75" customHeight="1" x14ac:dyDescent="0.35">
      <c r="T44929" s="246">
        <f t="shared" si="740"/>
        <v>0</v>
      </c>
    </row>
    <row r="44930" spans="20:20" ht="18.75" customHeight="1" x14ac:dyDescent="0.35">
      <c r="T44930" s="246">
        <f t="shared" si="740"/>
        <v>0</v>
      </c>
    </row>
    <row r="44931" spans="20:20" ht="18.75" customHeight="1" x14ac:dyDescent="0.35">
      <c r="T44931" s="246">
        <f t="shared" si="740"/>
        <v>0</v>
      </c>
    </row>
    <row r="44932" spans="20:20" ht="18.75" customHeight="1" x14ac:dyDescent="0.35">
      <c r="T44932" s="246">
        <f t="shared" si="740"/>
        <v>0</v>
      </c>
    </row>
    <row r="44933" spans="20:20" ht="18.75" customHeight="1" x14ac:dyDescent="0.35">
      <c r="T44933" s="246">
        <f t="shared" si="740"/>
        <v>0</v>
      </c>
    </row>
    <row r="44934" spans="20:20" ht="18.75" customHeight="1" x14ac:dyDescent="0.35">
      <c r="T44934" s="246">
        <f t="shared" si="740"/>
        <v>0</v>
      </c>
    </row>
    <row r="44935" spans="20:20" ht="18.75" customHeight="1" x14ac:dyDescent="0.35">
      <c r="T44935" s="246">
        <f t="shared" si="740"/>
        <v>0</v>
      </c>
    </row>
    <row r="44936" spans="20:20" ht="18.75" customHeight="1" x14ac:dyDescent="0.35">
      <c r="T44936" s="246">
        <f t="shared" si="740"/>
        <v>0</v>
      </c>
    </row>
    <row r="44937" spans="20:20" ht="18.75" customHeight="1" x14ac:dyDescent="0.35">
      <c r="T44937" s="246">
        <f t="shared" si="740"/>
        <v>0</v>
      </c>
    </row>
    <row r="44938" spans="20:20" ht="18.75" customHeight="1" x14ac:dyDescent="0.35">
      <c r="T44938" s="246">
        <f t="shared" si="740"/>
        <v>0</v>
      </c>
    </row>
    <row r="44939" spans="20:20" ht="18.75" customHeight="1" x14ac:dyDescent="0.35">
      <c r="T44939" s="246">
        <f t="shared" si="740"/>
        <v>0</v>
      </c>
    </row>
    <row r="44940" spans="20:20" ht="18.75" customHeight="1" x14ac:dyDescent="0.35">
      <c r="T44940" s="246">
        <f t="shared" si="740"/>
        <v>0</v>
      </c>
    </row>
    <row r="44941" spans="20:20" ht="18.75" customHeight="1" x14ac:dyDescent="0.35">
      <c r="T44941" s="246">
        <f t="shared" si="740"/>
        <v>0</v>
      </c>
    </row>
    <row r="44942" spans="20:20" ht="18.75" customHeight="1" x14ac:dyDescent="0.35">
      <c r="T44942" s="246">
        <f t="shared" si="740"/>
        <v>0</v>
      </c>
    </row>
    <row r="44943" spans="20:20" ht="18.75" customHeight="1" x14ac:dyDescent="0.35">
      <c r="T44943" s="246">
        <f t="shared" si="740"/>
        <v>0</v>
      </c>
    </row>
    <row r="44944" spans="20:20" ht="18.75" customHeight="1" x14ac:dyDescent="0.35">
      <c r="T44944" s="246">
        <f t="shared" si="740"/>
        <v>0</v>
      </c>
    </row>
    <row r="44945" spans="20:20" ht="18.75" customHeight="1" x14ac:dyDescent="0.35">
      <c r="T44945" s="246">
        <f t="shared" si="740"/>
        <v>0</v>
      </c>
    </row>
    <row r="44946" spans="20:20" ht="18.75" customHeight="1" x14ac:dyDescent="0.35">
      <c r="T44946" s="246">
        <f t="shared" si="740"/>
        <v>0</v>
      </c>
    </row>
    <row r="44947" spans="20:20" ht="18.75" customHeight="1" x14ac:dyDescent="0.35">
      <c r="T44947" s="246">
        <f t="shared" si="740"/>
        <v>0</v>
      </c>
    </row>
    <row r="44948" spans="20:20" ht="18.75" customHeight="1" x14ac:dyDescent="0.35">
      <c r="T44948" s="246">
        <f t="shared" si="740"/>
        <v>0</v>
      </c>
    </row>
    <row r="44949" spans="20:20" ht="18.75" customHeight="1" x14ac:dyDescent="0.35">
      <c r="T44949" s="246">
        <f t="shared" si="740"/>
        <v>0</v>
      </c>
    </row>
    <row r="44950" spans="20:20" ht="18.75" customHeight="1" x14ac:dyDescent="0.35">
      <c r="T44950" s="246">
        <f t="shared" si="740"/>
        <v>0</v>
      </c>
    </row>
    <row r="44951" spans="20:20" ht="18.75" customHeight="1" x14ac:dyDescent="0.35">
      <c r="T44951" s="246">
        <f t="shared" si="740"/>
        <v>0</v>
      </c>
    </row>
    <row r="44952" spans="20:20" ht="18.75" customHeight="1" x14ac:dyDescent="0.35">
      <c r="T44952" s="246">
        <f t="shared" si="740"/>
        <v>0</v>
      </c>
    </row>
    <row r="44953" spans="20:20" ht="18.75" customHeight="1" x14ac:dyDescent="0.35">
      <c r="T44953" s="246">
        <f t="shared" si="740"/>
        <v>0</v>
      </c>
    </row>
    <row r="44954" spans="20:20" ht="18.75" customHeight="1" x14ac:dyDescent="0.35">
      <c r="T44954" s="246">
        <f t="shared" si="740"/>
        <v>0</v>
      </c>
    </row>
    <row r="44955" spans="20:20" ht="18.75" customHeight="1" x14ac:dyDescent="0.35">
      <c r="T44955" s="246">
        <f t="shared" si="740"/>
        <v>0</v>
      </c>
    </row>
    <row r="44956" spans="20:20" ht="18.75" customHeight="1" x14ac:dyDescent="0.35">
      <c r="T44956" s="246">
        <f t="shared" si="740"/>
        <v>0</v>
      </c>
    </row>
    <row r="44957" spans="20:20" ht="18.75" customHeight="1" x14ac:dyDescent="0.35">
      <c r="T44957" s="246">
        <f t="shared" si="740"/>
        <v>0</v>
      </c>
    </row>
    <row r="44958" spans="20:20" ht="18.75" customHeight="1" x14ac:dyDescent="0.35">
      <c r="T44958" s="246">
        <f t="shared" si="740"/>
        <v>0</v>
      </c>
    </row>
    <row r="44959" spans="20:20" ht="18.75" customHeight="1" x14ac:dyDescent="0.35">
      <c r="T44959" s="246">
        <f t="shared" si="740"/>
        <v>0</v>
      </c>
    </row>
    <row r="44960" spans="20:20" ht="18.75" customHeight="1" x14ac:dyDescent="0.35">
      <c r="T44960" s="246">
        <f t="shared" si="740"/>
        <v>0</v>
      </c>
    </row>
    <row r="44961" spans="20:20" ht="18.75" customHeight="1" x14ac:dyDescent="0.35">
      <c r="T44961" s="246">
        <f t="shared" si="740"/>
        <v>0</v>
      </c>
    </row>
    <row r="44962" spans="20:20" ht="18.75" customHeight="1" x14ac:dyDescent="0.35">
      <c r="T44962" s="246">
        <f t="shared" si="740"/>
        <v>0</v>
      </c>
    </row>
    <row r="44963" spans="20:20" ht="18.75" customHeight="1" x14ac:dyDescent="0.35">
      <c r="T44963" s="246">
        <f t="shared" si="740"/>
        <v>0</v>
      </c>
    </row>
    <row r="44964" spans="20:20" ht="18.75" customHeight="1" x14ac:dyDescent="0.35">
      <c r="T44964" s="246">
        <f t="shared" si="740"/>
        <v>0</v>
      </c>
    </row>
    <row r="44965" spans="20:20" ht="18.75" customHeight="1" x14ac:dyDescent="0.35">
      <c r="T44965" s="246">
        <f t="shared" si="740"/>
        <v>0</v>
      </c>
    </row>
    <row r="44966" spans="20:20" ht="18.75" customHeight="1" x14ac:dyDescent="0.35">
      <c r="T44966" s="246">
        <f t="shared" si="740"/>
        <v>0</v>
      </c>
    </row>
    <row r="44967" spans="20:20" ht="18.75" customHeight="1" x14ac:dyDescent="0.35">
      <c r="T44967" s="246">
        <f t="shared" si="740"/>
        <v>0</v>
      </c>
    </row>
    <row r="44968" spans="20:20" ht="18.75" customHeight="1" x14ac:dyDescent="0.35">
      <c r="T44968" s="246">
        <f t="shared" si="740"/>
        <v>0</v>
      </c>
    </row>
    <row r="44969" spans="20:20" ht="18.75" customHeight="1" x14ac:dyDescent="0.35">
      <c r="T44969" s="246">
        <f t="shared" si="740"/>
        <v>0</v>
      </c>
    </row>
    <row r="44970" spans="20:20" ht="18.75" customHeight="1" x14ac:dyDescent="0.35">
      <c r="T44970" s="246">
        <f t="shared" si="740"/>
        <v>0</v>
      </c>
    </row>
    <row r="44971" spans="20:20" ht="18.75" customHeight="1" x14ac:dyDescent="0.35">
      <c r="T44971" s="246">
        <f t="shared" si="740"/>
        <v>0</v>
      </c>
    </row>
    <row r="44972" spans="20:20" ht="18.75" customHeight="1" x14ac:dyDescent="0.35">
      <c r="T44972" s="246">
        <f t="shared" si="740"/>
        <v>0</v>
      </c>
    </row>
    <row r="44973" spans="20:20" ht="18.75" customHeight="1" x14ac:dyDescent="0.35">
      <c r="T44973" s="246">
        <f t="shared" si="740"/>
        <v>0</v>
      </c>
    </row>
    <row r="44974" spans="20:20" ht="18.75" customHeight="1" x14ac:dyDescent="0.35">
      <c r="T44974" s="246">
        <f t="shared" si="740"/>
        <v>0</v>
      </c>
    </row>
    <row r="44975" spans="20:20" ht="18.75" customHeight="1" x14ac:dyDescent="0.35">
      <c r="T44975" s="246">
        <f t="shared" si="740"/>
        <v>0</v>
      </c>
    </row>
    <row r="44976" spans="20:20" ht="18.75" customHeight="1" x14ac:dyDescent="0.35">
      <c r="T44976" s="246">
        <f t="shared" si="740"/>
        <v>0</v>
      </c>
    </row>
    <row r="44977" spans="20:20" ht="18.75" customHeight="1" x14ac:dyDescent="0.35">
      <c r="T44977" s="246">
        <f t="shared" si="740"/>
        <v>0</v>
      </c>
    </row>
    <row r="44978" spans="20:20" ht="18.75" customHeight="1" x14ac:dyDescent="0.35">
      <c r="T44978" s="246">
        <f t="shared" si="740"/>
        <v>0</v>
      </c>
    </row>
    <row r="44979" spans="20:20" ht="18.75" customHeight="1" x14ac:dyDescent="0.35">
      <c r="T44979" s="246">
        <f t="shared" si="740"/>
        <v>0</v>
      </c>
    </row>
    <row r="44980" spans="20:20" ht="18.75" customHeight="1" x14ac:dyDescent="0.35">
      <c r="T44980" s="246">
        <f t="shared" si="740"/>
        <v>0</v>
      </c>
    </row>
    <row r="44981" spans="20:20" ht="18.75" customHeight="1" x14ac:dyDescent="0.35">
      <c r="T44981" s="246">
        <f t="shared" si="740"/>
        <v>0</v>
      </c>
    </row>
    <row r="44982" spans="20:20" ht="18.75" customHeight="1" x14ac:dyDescent="0.35">
      <c r="T44982" s="246">
        <f t="shared" si="740"/>
        <v>0</v>
      </c>
    </row>
    <row r="44983" spans="20:20" ht="18.75" customHeight="1" x14ac:dyDescent="0.35">
      <c r="T44983" s="246">
        <f t="shared" si="740"/>
        <v>0</v>
      </c>
    </row>
    <row r="44984" spans="20:20" ht="18.75" customHeight="1" x14ac:dyDescent="0.35">
      <c r="T44984" s="246">
        <f t="shared" si="740"/>
        <v>0</v>
      </c>
    </row>
    <row r="44985" spans="20:20" ht="18.75" customHeight="1" x14ac:dyDescent="0.35">
      <c r="T44985" s="246">
        <f t="shared" si="740"/>
        <v>0</v>
      </c>
    </row>
    <row r="44986" spans="20:20" ht="18.75" customHeight="1" x14ac:dyDescent="0.35">
      <c r="T44986" s="246">
        <f t="shared" si="740"/>
        <v>0</v>
      </c>
    </row>
    <row r="44987" spans="20:20" ht="18.75" customHeight="1" x14ac:dyDescent="0.35">
      <c r="T44987" s="246">
        <f t="shared" si="740"/>
        <v>0</v>
      </c>
    </row>
    <row r="44988" spans="20:20" ht="18.75" customHeight="1" x14ac:dyDescent="0.35">
      <c r="T44988" s="246">
        <f t="shared" ref="T44988:T45051" si="741">R44988*0.01</f>
        <v>0</v>
      </c>
    </row>
    <row r="44989" spans="20:20" ht="18.75" customHeight="1" x14ac:dyDescent="0.35">
      <c r="T44989" s="246">
        <f t="shared" si="741"/>
        <v>0</v>
      </c>
    </row>
    <row r="44990" spans="20:20" ht="18.75" customHeight="1" x14ac:dyDescent="0.35">
      <c r="T44990" s="246">
        <f t="shared" si="741"/>
        <v>0</v>
      </c>
    </row>
    <row r="44991" spans="20:20" ht="18.75" customHeight="1" x14ac:dyDescent="0.35">
      <c r="T44991" s="246">
        <f t="shared" si="741"/>
        <v>0</v>
      </c>
    </row>
    <row r="44992" spans="20:20" ht="18.75" customHeight="1" x14ac:dyDescent="0.35">
      <c r="T44992" s="246">
        <f t="shared" si="741"/>
        <v>0</v>
      </c>
    </row>
    <row r="44993" spans="20:20" ht="18.75" customHeight="1" x14ac:dyDescent="0.35">
      <c r="T44993" s="246">
        <f t="shared" si="741"/>
        <v>0</v>
      </c>
    </row>
    <row r="44994" spans="20:20" ht="18.75" customHeight="1" x14ac:dyDescent="0.35">
      <c r="T44994" s="246">
        <f t="shared" si="741"/>
        <v>0</v>
      </c>
    </row>
    <row r="44995" spans="20:20" ht="18.75" customHeight="1" x14ac:dyDescent="0.35">
      <c r="T44995" s="246">
        <f t="shared" si="741"/>
        <v>0</v>
      </c>
    </row>
    <row r="44996" spans="20:20" ht="18.75" customHeight="1" x14ac:dyDescent="0.35">
      <c r="T44996" s="246">
        <f t="shared" si="741"/>
        <v>0</v>
      </c>
    </row>
    <row r="44997" spans="20:20" ht="18.75" customHeight="1" x14ac:dyDescent="0.35">
      <c r="T44997" s="246">
        <f t="shared" si="741"/>
        <v>0</v>
      </c>
    </row>
    <row r="44998" spans="20:20" ht="18.75" customHeight="1" x14ac:dyDescent="0.35">
      <c r="T44998" s="246">
        <f t="shared" si="741"/>
        <v>0</v>
      </c>
    </row>
    <row r="44999" spans="20:20" ht="18.75" customHeight="1" x14ac:dyDescent="0.35">
      <c r="T44999" s="246">
        <f t="shared" si="741"/>
        <v>0</v>
      </c>
    </row>
    <row r="45000" spans="20:20" ht="18.75" customHeight="1" x14ac:dyDescent="0.35">
      <c r="T45000" s="246">
        <f t="shared" si="741"/>
        <v>0</v>
      </c>
    </row>
    <row r="45001" spans="20:20" ht="18.75" customHeight="1" x14ac:dyDescent="0.35">
      <c r="T45001" s="246">
        <f t="shared" si="741"/>
        <v>0</v>
      </c>
    </row>
    <row r="45002" spans="20:20" ht="18.75" customHeight="1" x14ac:dyDescent="0.35">
      <c r="T45002" s="246">
        <f t="shared" si="741"/>
        <v>0</v>
      </c>
    </row>
    <row r="45003" spans="20:20" ht="18.75" customHeight="1" x14ac:dyDescent="0.35">
      <c r="T45003" s="246">
        <f t="shared" si="741"/>
        <v>0</v>
      </c>
    </row>
    <row r="45004" spans="20:20" ht="18.75" customHeight="1" x14ac:dyDescent="0.35">
      <c r="T45004" s="246">
        <f t="shared" si="741"/>
        <v>0</v>
      </c>
    </row>
    <row r="45005" spans="20:20" ht="18.75" customHeight="1" x14ac:dyDescent="0.35">
      <c r="T45005" s="246">
        <f t="shared" si="741"/>
        <v>0</v>
      </c>
    </row>
    <row r="45006" spans="20:20" ht="18.75" customHeight="1" x14ac:dyDescent="0.35">
      <c r="T45006" s="246">
        <f t="shared" si="741"/>
        <v>0</v>
      </c>
    </row>
    <row r="45007" spans="20:20" ht="18.75" customHeight="1" x14ac:dyDescent="0.35">
      <c r="T45007" s="246">
        <f t="shared" si="741"/>
        <v>0</v>
      </c>
    </row>
    <row r="45008" spans="20:20" ht="18.75" customHeight="1" x14ac:dyDescent="0.35">
      <c r="T45008" s="246">
        <f t="shared" si="741"/>
        <v>0</v>
      </c>
    </row>
    <row r="45009" spans="20:20" ht="18.75" customHeight="1" x14ac:dyDescent="0.35">
      <c r="T45009" s="246">
        <f t="shared" si="741"/>
        <v>0</v>
      </c>
    </row>
    <row r="45010" spans="20:20" ht="18.75" customHeight="1" x14ac:dyDescent="0.35">
      <c r="T45010" s="246">
        <f t="shared" si="741"/>
        <v>0</v>
      </c>
    </row>
    <row r="45011" spans="20:20" ht="18.75" customHeight="1" x14ac:dyDescent="0.35">
      <c r="T45011" s="246">
        <f t="shared" si="741"/>
        <v>0</v>
      </c>
    </row>
    <row r="45012" spans="20:20" ht="18.75" customHeight="1" x14ac:dyDescent="0.35">
      <c r="T45012" s="246">
        <f t="shared" si="741"/>
        <v>0</v>
      </c>
    </row>
    <row r="45013" spans="20:20" ht="18.75" customHeight="1" x14ac:dyDescent="0.35">
      <c r="T45013" s="246">
        <f t="shared" si="741"/>
        <v>0</v>
      </c>
    </row>
    <row r="45014" spans="20:20" ht="18.75" customHeight="1" x14ac:dyDescent="0.35">
      <c r="T45014" s="246">
        <f t="shared" si="741"/>
        <v>0</v>
      </c>
    </row>
    <row r="45015" spans="20:20" ht="18.75" customHeight="1" x14ac:dyDescent="0.35">
      <c r="T45015" s="246">
        <f t="shared" si="741"/>
        <v>0</v>
      </c>
    </row>
    <row r="45016" spans="20:20" ht="18.75" customHeight="1" x14ac:dyDescent="0.35">
      <c r="T45016" s="246">
        <f t="shared" si="741"/>
        <v>0</v>
      </c>
    </row>
    <row r="45017" spans="20:20" ht="18.75" customHeight="1" x14ac:dyDescent="0.35">
      <c r="T45017" s="246">
        <f t="shared" si="741"/>
        <v>0</v>
      </c>
    </row>
    <row r="45018" spans="20:20" ht="18.75" customHeight="1" x14ac:dyDescent="0.35">
      <c r="T45018" s="246">
        <f t="shared" si="741"/>
        <v>0</v>
      </c>
    </row>
    <row r="45019" spans="20:20" ht="18.75" customHeight="1" x14ac:dyDescent="0.35">
      <c r="T45019" s="246">
        <f t="shared" si="741"/>
        <v>0</v>
      </c>
    </row>
    <row r="45020" spans="20:20" ht="18.75" customHeight="1" x14ac:dyDescent="0.35">
      <c r="T45020" s="246">
        <f t="shared" si="741"/>
        <v>0</v>
      </c>
    </row>
    <row r="45021" spans="20:20" ht="18.75" customHeight="1" x14ac:dyDescent="0.35">
      <c r="T45021" s="246">
        <f t="shared" si="741"/>
        <v>0</v>
      </c>
    </row>
    <row r="45022" spans="20:20" ht="18.75" customHeight="1" x14ac:dyDescent="0.35">
      <c r="T45022" s="246">
        <f t="shared" si="741"/>
        <v>0</v>
      </c>
    </row>
    <row r="45023" spans="20:20" ht="18.75" customHeight="1" x14ac:dyDescent="0.35">
      <c r="T45023" s="246">
        <f t="shared" si="741"/>
        <v>0</v>
      </c>
    </row>
    <row r="45024" spans="20:20" ht="18.75" customHeight="1" x14ac:dyDescent="0.35">
      <c r="T45024" s="246">
        <f t="shared" si="741"/>
        <v>0</v>
      </c>
    </row>
    <row r="45025" spans="20:20" ht="18.75" customHeight="1" x14ac:dyDescent="0.35">
      <c r="T45025" s="246">
        <f t="shared" si="741"/>
        <v>0</v>
      </c>
    </row>
    <row r="45026" spans="20:20" ht="18.75" customHeight="1" x14ac:dyDescent="0.35">
      <c r="T45026" s="246">
        <f t="shared" si="741"/>
        <v>0</v>
      </c>
    </row>
    <row r="45027" spans="20:20" ht="18.75" customHeight="1" x14ac:dyDescent="0.35">
      <c r="T45027" s="246">
        <f t="shared" si="741"/>
        <v>0</v>
      </c>
    </row>
    <row r="45028" spans="20:20" ht="18.75" customHeight="1" x14ac:dyDescent="0.35">
      <c r="T45028" s="246">
        <f t="shared" si="741"/>
        <v>0</v>
      </c>
    </row>
    <row r="45029" spans="20:20" ht="18.75" customHeight="1" x14ac:dyDescent="0.35">
      <c r="T45029" s="246">
        <f t="shared" si="741"/>
        <v>0</v>
      </c>
    </row>
    <row r="45030" spans="20:20" ht="18.75" customHeight="1" x14ac:dyDescent="0.35">
      <c r="T45030" s="246">
        <f t="shared" si="741"/>
        <v>0</v>
      </c>
    </row>
    <row r="45031" spans="20:20" ht="18.75" customHeight="1" x14ac:dyDescent="0.35">
      <c r="T45031" s="246">
        <f t="shared" si="741"/>
        <v>0</v>
      </c>
    </row>
    <row r="45032" spans="20:20" ht="18.75" customHeight="1" x14ac:dyDescent="0.35">
      <c r="T45032" s="246">
        <f t="shared" si="741"/>
        <v>0</v>
      </c>
    </row>
    <row r="45033" spans="20:20" ht="18.75" customHeight="1" x14ac:dyDescent="0.35">
      <c r="T45033" s="246">
        <f t="shared" si="741"/>
        <v>0</v>
      </c>
    </row>
    <row r="45034" spans="20:20" ht="18.75" customHeight="1" x14ac:dyDescent="0.35">
      <c r="T45034" s="246">
        <f t="shared" si="741"/>
        <v>0</v>
      </c>
    </row>
    <row r="45035" spans="20:20" ht="18.75" customHeight="1" x14ac:dyDescent="0.35">
      <c r="T45035" s="246">
        <f t="shared" si="741"/>
        <v>0</v>
      </c>
    </row>
    <row r="45036" spans="20:20" ht="18.75" customHeight="1" x14ac:dyDescent="0.35">
      <c r="T45036" s="246">
        <f t="shared" si="741"/>
        <v>0</v>
      </c>
    </row>
    <row r="45037" spans="20:20" ht="18.75" customHeight="1" x14ac:dyDescent="0.35">
      <c r="T45037" s="246">
        <f t="shared" si="741"/>
        <v>0</v>
      </c>
    </row>
    <row r="45038" spans="20:20" ht="18.75" customHeight="1" x14ac:dyDescent="0.35">
      <c r="T45038" s="246">
        <f t="shared" si="741"/>
        <v>0</v>
      </c>
    </row>
    <row r="45039" spans="20:20" ht="18.75" customHeight="1" x14ac:dyDescent="0.35">
      <c r="T45039" s="246">
        <f t="shared" si="741"/>
        <v>0</v>
      </c>
    </row>
    <row r="45040" spans="20:20" ht="18.75" customHeight="1" x14ac:dyDescent="0.35">
      <c r="T45040" s="246">
        <f t="shared" si="741"/>
        <v>0</v>
      </c>
    </row>
    <row r="45041" spans="20:20" ht="18.75" customHeight="1" x14ac:dyDescent="0.35">
      <c r="T45041" s="246">
        <f t="shared" si="741"/>
        <v>0</v>
      </c>
    </row>
    <row r="45042" spans="20:20" ht="18.75" customHeight="1" x14ac:dyDescent="0.35">
      <c r="T45042" s="246">
        <f t="shared" si="741"/>
        <v>0</v>
      </c>
    </row>
    <row r="45043" spans="20:20" ht="18.75" customHeight="1" x14ac:dyDescent="0.35">
      <c r="T45043" s="246">
        <f t="shared" si="741"/>
        <v>0</v>
      </c>
    </row>
    <row r="45044" spans="20:20" ht="18.75" customHeight="1" x14ac:dyDescent="0.35">
      <c r="T45044" s="246">
        <f t="shared" si="741"/>
        <v>0</v>
      </c>
    </row>
    <row r="45045" spans="20:20" ht="18.75" customHeight="1" x14ac:dyDescent="0.35">
      <c r="T45045" s="246">
        <f t="shared" si="741"/>
        <v>0</v>
      </c>
    </row>
    <row r="45046" spans="20:20" ht="18.75" customHeight="1" x14ac:dyDescent="0.35">
      <c r="T45046" s="246">
        <f t="shared" si="741"/>
        <v>0</v>
      </c>
    </row>
    <row r="45047" spans="20:20" ht="18.75" customHeight="1" x14ac:dyDescent="0.35">
      <c r="T45047" s="246">
        <f t="shared" si="741"/>
        <v>0</v>
      </c>
    </row>
    <row r="45048" spans="20:20" ht="18.75" customHeight="1" x14ac:dyDescent="0.35">
      <c r="T45048" s="246">
        <f t="shared" si="741"/>
        <v>0</v>
      </c>
    </row>
    <row r="45049" spans="20:20" ht="18.75" customHeight="1" x14ac:dyDescent="0.35">
      <c r="T45049" s="246">
        <f t="shared" si="741"/>
        <v>0</v>
      </c>
    </row>
    <row r="45050" spans="20:20" ht="18.75" customHeight="1" x14ac:dyDescent="0.35">
      <c r="T45050" s="246">
        <f t="shared" si="741"/>
        <v>0</v>
      </c>
    </row>
    <row r="45051" spans="20:20" ht="18.75" customHeight="1" x14ac:dyDescent="0.35">
      <c r="T45051" s="246">
        <f t="shared" si="741"/>
        <v>0</v>
      </c>
    </row>
    <row r="45052" spans="20:20" ht="18.75" customHeight="1" x14ac:dyDescent="0.35">
      <c r="T45052" s="246">
        <f t="shared" ref="T45052:T45115" si="742">R45052*0.01</f>
        <v>0</v>
      </c>
    </row>
    <row r="45053" spans="20:20" ht="18.75" customHeight="1" x14ac:dyDescent="0.35">
      <c r="T45053" s="246">
        <f t="shared" si="742"/>
        <v>0</v>
      </c>
    </row>
    <row r="45054" spans="20:20" ht="18.75" customHeight="1" x14ac:dyDescent="0.35">
      <c r="T45054" s="246">
        <f t="shared" si="742"/>
        <v>0</v>
      </c>
    </row>
    <row r="45055" spans="20:20" ht="18.75" customHeight="1" x14ac:dyDescent="0.35">
      <c r="T45055" s="246">
        <f t="shared" si="742"/>
        <v>0</v>
      </c>
    </row>
    <row r="45056" spans="20:20" ht="18.75" customHeight="1" x14ac:dyDescent="0.35">
      <c r="T45056" s="246">
        <f t="shared" si="742"/>
        <v>0</v>
      </c>
    </row>
    <row r="45057" spans="20:20" ht="18.75" customHeight="1" x14ac:dyDescent="0.35">
      <c r="T45057" s="246">
        <f t="shared" si="742"/>
        <v>0</v>
      </c>
    </row>
    <row r="45058" spans="20:20" ht="18.75" customHeight="1" x14ac:dyDescent="0.35">
      <c r="T45058" s="246">
        <f t="shared" si="742"/>
        <v>0</v>
      </c>
    </row>
    <row r="45059" spans="20:20" ht="18.75" customHeight="1" x14ac:dyDescent="0.35">
      <c r="T45059" s="246">
        <f t="shared" si="742"/>
        <v>0</v>
      </c>
    </row>
    <row r="45060" spans="20:20" ht="18.75" customHeight="1" x14ac:dyDescent="0.35">
      <c r="T45060" s="246">
        <f t="shared" si="742"/>
        <v>0</v>
      </c>
    </row>
    <row r="45061" spans="20:20" ht="18.75" customHeight="1" x14ac:dyDescent="0.35">
      <c r="T45061" s="246">
        <f t="shared" si="742"/>
        <v>0</v>
      </c>
    </row>
    <row r="45062" spans="20:20" ht="18.75" customHeight="1" x14ac:dyDescent="0.35">
      <c r="T45062" s="246">
        <f t="shared" si="742"/>
        <v>0</v>
      </c>
    </row>
    <row r="45063" spans="20:20" ht="18.75" customHeight="1" x14ac:dyDescent="0.35">
      <c r="T45063" s="246">
        <f t="shared" si="742"/>
        <v>0</v>
      </c>
    </row>
    <row r="45064" spans="20:20" ht="18.75" customHeight="1" x14ac:dyDescent="0.35">
      <c r="T45064" s="246">
        <f t="shared" si="742"/>
        <v>0</v>
      </c>
    </row>
    <row r="45065" spans="20:20" ht="18.75" customHeight="1" x14ac:dyDescent="0.35">
      <c r="T45065" s="246">
        <f t="shared" si="742"/>
        <v>0</v>
      </c>
    </row>
    <row r="45066" spans="20:20" ht="18.75" customHeight="1" x14ac:dyDescent="0.35">
      <c r="T45066" s="246">
        <f t="shared" si="742"/>
        <v>0</v>
      </c>
    </row>
    <row r="45067" spans="20:20" ht="18.75" customHeight="1" x14ac:dyDescent="0.35">
      <c r="T45067" s="246">
        <f t="shared" si="742"/>
        <v>0</v>
      </c>
    </row>
    <row r="45068" spans="20:20" ht="18.75" customHeight="1" x14ac:dyDescent="0.35">
      <c r="T45068" s="246">
        <f t="shared" si="742"/>
        <v>0</v>
      </c>
    </row>
    <row r="45069" spans="20:20" ht="18.75" customHeight="1" x14ac:dyDescent="0.35">
      <c r="T45069" s="246">
        <f t="shared" si="742"/>
        <v>0</v>
      </c>
    </row>
    <row r="45070" spans="20:20" ht="18.75" customHeight="1" x14ac:dyDescent="0.35">
      <c r="T45070" s="246">
        <f t="shared" si="742"/>
        <v>0</v>
      </c>
    </row>
    <row r="45071" spans="20:20" ht="18.75" customHeight="1" x14ac:dyDescent="0.35">
      <c r="T45071" s="246">
        <f t="shared" si="742"/>
        <v>0</v>
      </c>
    </row>
    <row r="45072" spans="20:20" ht="18.75" customHeight="1" x14ac:dyDescent="0.35">
      <c r="T45072" s="246">
        <f t="shared" si="742"/>
        <v>0</v>
      </c>
    </row>
    <row r="45073" spans="20:20" ht="18.75" customHeight="1" x14ac:dyDescent="0.35">
      <c r="T45073" s="246">
        <f t="shared" si="742"/>
        <v>0</v>
      </c>
    </row>
    <row r="45074" spans="20:20" ht="18.75" customHeight="1" x14ac:dyDescent="0.35">
      <c r="T45074" s="246">
        <f t="shared" si="742"/>
        <v>0</v>
      </c>
    </row>
    <row r="45075" spans="20:20" ht="18.75" customHeight="1" x14ac:dyDescent="0.35">
      <c r="T45075" s="246">
        <f t="shared" si="742"/>
        <v>0</v>
      </c>
    </row>
    <row r="45076" spans="20:20" ht="18.75" customHeight="1" x14ac:dyDescent="0.35">
      <c r="T45076" s="246">
        <f t="shared" si="742"/>
        <v>0</v>
      </c>
    </row>
    <row r="45077" spans="20:20" ht="18.75" customHeight="1" x14ac:dyDescent="0.35">
      <c r="T45077" s="246">
        <f t="shared" si="742"/>
        <v>0</v>
      </c>
    </row>
    <row r="45078" spans="20:20" ht="18.75" customHeight="1" x14ac:dyDescent="0.35">
      <c r="T45078" s="246">
        <f t="shared" si="742"/>
        <v>0</v>
      </c>
    </row>
    <row r="45079" spans="20:20" ht="18.75" customHeight="1" x14ac:dyDescent="0.35">
      <c r="T45079" s="246">
        <f t="shared" si="742"/>
        <v>0</v>
      </c>
    </row>
    <row r="45080" spans="20:20" ht="18.75" customHeight="1" x14ac:dyDescent="0.35">
      <c r="T45080" s="246">
        <f t="shared" si="742"/>
        <v>0</v>
      </c>
    </row>
    <row r="45081" spans="20:20" ht="18.75" customHeight="1" x14ac:dyDescent="0.35">
      <c r="T45081" s="246">
        <f t="shared" si="742"/>
        <v>0</v>
      </c>
    </row>
    <row r="45082" spans="20:20" ht="18.75" customHeight="1" x14ac:dyDescent="0.35">
      <c r="T45082" s="246">
        <f t="shared" si="742"/>
        <v>0</v>
      </c>
    </row>
    <row r="45083" spans="20:20" ht="18.75" customHeight="1" x14ac:dyDescent="0.35">
      <c r="T45083" s="246">
        <f t="shared" si="742"/>
        <v>0</v>
      </c>
    </row>
    <row r="45084" spans="20:20" ht="18.75" customHeight="1" x14ac:dyDescent="0.35">
      <c r="T45084" s="246">
        <f t="shared" si="742"/>
        <v>0</v>
      </c>
    </row>
    <row r="45085" spans="20:20" ht="18.75" customHeight="1" x14ac:dyDescent="0.35">
      <c r="T45085" s="246">
        <f t="shared" si="742"/>
        <v>0</v>
      </c>
    </row>
    <row r="45086" spans="20:20" ht="18.75" customHeight="1" x14ac:dyDescent="0.35">
      <c r="T45086" s="246">
        <f t="shared" si="742"/>
        <v>0</v>
      </c>
    </row>
    <row r="45087" spans="20:20" ht="18.75" customHeight="1" x14ac:dyDescent="0.35">
      <c r="T45087" s="246">
        <f t="shared" si="742"/>
        <v>0</v>
      </c>
    </row>
    <row r="45088" spans="20:20" ht="18.75" customHeight="1" x14ac:dyDescent="0.35">
      <c r="T45088" s="246">
        <f t="shared" si="742"/>
        <v>0</v>
      </c>
    </row>
    <row r="45089" spans="20:20" ht="18.75" customHeight="1" x14ac:dyDescent="0.35">
      <c r="T45089" s="246">
        <f t="shared" si="742"/>
        <v>0</v>
      </c>
    </row>
    <row r="45090" spans="20:20" ht="18.75" customHeight="1" x14ac:dyDescent="0.35">
      <c r="T45090" s="246">
        <f t="shared" si="742"/>
        <v>0</v>
      </c>
    </row>
    <row r="45091" spans="20:20" ht="18.75" customHeight="1" x14ac:dyDescent="0.35">
      <c r="T45091" s="246">
        <f t="shared" si="742"/>
        <v>0</v>
      </c>
    </row>
    <row r="45092" spans="20:20" ht="18.75" customHeight="1" x14ac:dyDescent="0.35">
      <c r="T45092" s="246">
        <f t="shared" si="742"/>
        <v>0</v>
      </c>
    </row>
    <row r="45093" spans="20:20" ht="18.75" customHeight="1" x14ac:dyDescent="0.35">
      <c r="T45093" s="246">
        <f t="shared" si="742"/>
        <v>0</v>
      </c>
    </row>
    <row r="45094" spans="20:20" ht="18.75" customHeight="1" x14ac:dyDescent="0.35">
      <c r="T45094" s="246">
        <f t="shared" si="742"/>
        <v>0</v>
      </c>
    </row>
    <row r="45095" spans="20:20" ht="18.75" customHeight="1" x14ac:dyDescent="0.35">
      <c r="T45095" s="246">
        <f t="shared" si="742"/>
        <v>0</v>
      </c>
    </row>
    <row r="45096" spans="20:20" ht="18.75" customHeight="1" x14ac:dyDescent="0.35">
      <c r="T45096" s="246">
        <f t="shared" si="742"/>
        <v>0</v>
      </c>
    </row>
    <row r="45097" spans="20:20" ht="18.75" customHeight="1" x14ac:dyDescent="0.35">
      <c r="T45097" s="246">
        <f t="shared" si="742"/>
        <v>0</v>
      </c>
    </row>
    <row r="45098" spans="20:20" ht="18.75" customHeight="1" x14ac:dyDescent="0.35">
      <c r="T45098" s="246">
        <f t="shared" si="742"/>
        <v>0</v>
      </c>
    </row>
    <row r="45099" spans="20:20" ht="18.75" customHeight="1" x14ac:dyDescent="0.35">
      <c r="T45099" s="246">
        <f t="shared" si="742"/>
        <v>0</v>
      </c>
    </row>
    <row r="45100" spans="20:20" ht="18.75" customHeight="1" x14ac:dyDescent="0.35">
      <c r="T45100" s="246">
        <f t="shared" si="742"/>
        <v>0</v>
      </c>
    </row>
    <row r="45101" spans="20:20" ht="18.75" customHeight="1" x14ac:dyDescent="0.35">
      <c r="T45101" s="246">
        <f t="shared" si="742"/>
        <v>0</v>
      </c>
    </row>
    <row r="45102" spans="20:20" ht="18.75" customHeight="1" x14ac:dyDescent="0.35">
      <c r="T45102" s="246">
        <f t="shared" si="742"/>
        <v>0</v>
      </c>
    </row>
    <row r="45103" spans="20:20" ht="18.75" customHeight="1" x14ac:dyDescent="0.35">
      <c r="T45103" s="246">
        <f t="shared" si="742"/>
        <v>0</v>
      </c>
    </row>
    <row r="45104" spans="20:20" ht="18.75" customHeight="1" x14ac:dyDescent="0.35">
      <c r="T45104" s="246">
        <f t="shared" si="742"/>
        <v>0</v>
      </c>
    </row>
    <row r="45105" spans="20:20" ht="18.75" customHeight="1" x14ac:dyDescent="0.35">
      <c r="T45105" s="246">
        <f t="shared" si="742"/>
        <v>0</v>
      </c>
    </row>
    <row r="45106" spans="20:20" ht="18.75" customHeight="1" x14ac:dyDescent="0.35">
      <c r="T45106" s="246">
        <f t="shared" si="742"/>
        <v>0</v>
      </c>
    </row>
    <row r="45107" spans="20:20" ht="18.75" customHeight="1" x14ac:dyDescent="0.35">
      <c r="T45107" s="246">
        <f t="shared" si="742"/>
        <v>0</v>
      </c>
    </row>
    <row r="45108" spans="20:20" ht="18.75" customHeight="1" x14ac:dyDescent="0.35">
      <c r="T45108" s="246">
        <f t="shared" si="742"/>
        <v>0</v>
      </c>
    </row>
    <row r="45109" spans="20:20" ht="18.75" customHeight="1" x14ac:dyDescent="0.35">
      <c r="T45109" s="246">
        <f t="shared" si="742"/>
        <v>0</v>
      </c>
    </row>
    <row r="45110" spans="20:20" ht="18.75" customHeight="1" x14ac:dyDescent="0.35">
      <c r="T45110" s="246">
        <f t="shared" si="742"/>
        <v>0</v>
      </c>
    </row>
    <row r="45111" spans="20:20" ht="18.75" customHeight="1" x14ac:dyDescent="0.35">
      <c r="T45111" s="246">
        <f t="shared" si="742"/>
        <v>0</v>
      </c>
    </row>
    <row r="45112" spans="20:20" ht="18.75" customHeight="1" x14ac:dyDescent="0.35">
      <c r="T45112" s="246">
        <f t="shared" si="742"/>
        <v>0</v>
      </c>
    </row>
    <row r="45113" spans="20:20" ht="18.75" customHeight="1" x14ac:dyDescent="0.35">
      <c r="T45113" s="246">
        <f t="shared" si="742"/>
        <v>0</v>
      </c>
    </row>
    <row r="45114" spans="20:20" ht="18.75" customHeight="1" x14ac:dyDescent="0.35">
      <c r="T45114" s="246">
        <f t="shared" si="742"/>
        <v>0</v>
      </c>
    </row>
    <row r="45115" spans="20:20" ht="18.75" customHeight="1" x14ac:dyDescent="0.35">
      <c r="T45115" s="246">
        <f t="shared" si="742"/>
        <v>0</v>
      </c>
    </row>
    <row r="45116" spans="20:20" ht="18.75" customHeight="1" x14ac:dyDescent="0.35">
      <c r="T45116" s="246">
        <f t="shared" ref="T45116:T45179" si="743">R45116*0.01</f>
        <v>0</v>
      </c>
    </row>
    <row r="45117" spans="20:20" ht="18.75" customHeight="1" x14ac:dyDescent="0.35">
      <c r="T45117" s="246">
        <f t="shared" si="743"/>
        <v>0</v>
      </c>
    </row>
    <row r="45118" spans="20:20" ht="18.75" customHeight="1" x14ac:dyDescent="0.35">
      <c r="T45118" s="246">
        <f t="shared" si="743"/>
        <v>0</v>
      </c>
    </row>
    <row r="45119" spans="20:20" ht="18.75" customHeight="1" x14ac:dyDescent="0.35">
      <c r="T45119" s="246">
        <f t="shared" si="743"/>
        <v>0</v>
      </c>
    </row>
    <row r="45120" spans="20:20" ht="18.75" customHeight="1" x14ac:dyDescent="0.35">
      <c r="T45120" s="246">
        <f t="shared" si="743"/>
        <v>0</v>
      </c>
    </row>
    <row r="45121" spans="20:20" ht="18.75" customHeight="1" x14ac:dyDescent="0.35">
      <c r="T45121" s="246">
        <f t="shared" si="743"/>
        <v>0</v>
      </c>
    </row>
    <row r="45122" spans="20:20" ht="18.75" customHeight="1" x14ac:dyDescent="0.35">
      <c r="T45122" s="246">
        <f t="shared" si="743"/>
        <v>0</v>
      </c>
    </row>
    <row r="45123" spans="20:20" ht="18.75" customHeight="1" x14ac:dyDescent="0.35">
      <c r="T45123" s="246">
        <f t="shared" si="743"/>
        <v>0</v>
      </c>
    </row>
    <row r="45124" spans="20:20" ht="18.75" customHeight="1" x14ac:dyDescent="0.35">
      <c r="T45124" s="246">
        <f t="shared" si="743"/>
        <v>0</v>
      </c>
    </row>
    <row r="45125" spans="20:20" ht="18.75" customHeight="1" x14ac:dyDescent="0.35">
      <c r="T45125" s="246">
        <f t="shared" si="743"/>
        <v>0</v>
      </c>
    </row>
    <row r="45126" spans="20:20" ht="18.75" customHeight="1" x14ac:dyDescent="0.35">
      <c r="T45126" s="246">
        <f t="shared" si="743"/>
        <v>0</v>
      </c>
    </row>
    <row r="45127" spans="20:20" ht="18.75" customHeight="1" x14ac:dyDescent="0.35">
      <c r="T45127" s="246">
        <f t="shared" si="743"/>
        <v>0</v>
      </c>
    </row>
    <row r="45128" spans="20:20" ht="18.75" customHeight="1" x14ac:dyDescent="0.35">
      <c r="T45128" s="246">
        <f t="shared" si="743"/>
        <v>0</v>
      </c>
    </row>
    <row r="45129" spans="20:20" ht="18.75" customHeight="1" x14ac:dyDescent="0.35">
      <c r="T45129" s="246">
        <f t="shared" si="743"/>
        <v>0</v>
      </c>
    </row>
    <row r="45130" spans="20:20" ht="18.75" customHeight="1" x14ac:dyDescent="0.35">
      <c r="T45130" s="246">
        <f t="shared" si="743"/>
        <v>0</v>
      </c>
    </row>
    <row r="45131" spans="20:20" ht="18.75" customHeight="1" x14ac:dyDescent="0.35">
      <c r="T45131" s="246">
        <f t="shared" si="743"/>
        <v>0</v>
      </c>
    </row>
    <row r="45132" spans="20:20" ht="18.75" customHeight="1" x14ac:dyDescent="0.35">
      <c r="T45132" s="246">
        <f t="shared" si="743"/>
        <v>0</v>
      </c>
    </row>
    <row r="45133" spans="20:20" ht="18.75" customHeight="1" x14ac:dyDescent="0.35">
      <c r="T45133" s="246">
        <f t="shared" si="743"/>
        <v>0</v>
      </c>
    </row>
    <row r="45134" spans="20:20" ht="18.75" customHeight="1" x14ac:dyDescent="0.35">
      <c r="T45134" s="246">
        <f t="shared" si="743"/>
        <v>0</v>
      </c>
    </row>
    <row r="45135" spans="20:20" ht="18.75" customHeight="1" x14ac:dyDescent="0.35">
      <c r="T45135" s="246">
        <f t="shared" si="743"/>
        <v>0</v>
      </c>
    </row>
    <row r="45136" spans="20:20" ht="18.75" customHeight="1" x14ac:dyDescent="0.35">
      <c r="T45136" s="246">
        <f t="shared" si="743"/>
        <v>0</v>
      </c>
    </row>
    <row r="45137" spans="20:20" ht="18.75" customHeight="1" x14ac:dyDescent="0.35">
      <c r="T45137" s="246">
        <f t="shared" si="743"/>
        <v>0</v>
      </c>
    </row>
    <row r="45138" spans="20:20" ht="18.75" customHeight="1" x14ac:dyDescent="0.35">
      <c r="T45138" s="246">
        <f t="shared" si="743"/>
        <v>0</v>
      </c>
    </row>
    <row r="45139" spans="20:20" ht="18.75" customHeight="1" x14ac:dyDescent="0.35">
      <c r="T45139" s="246">
        <f t="shared" si="743"/>
        <v>0</v>
      </c>
    </row>
    <row r="45140" spans="20:20" ht="18.75" customHeight="1" x14ac:dyDescent="0.35">
      <c r="T45140" s="246">
        <f t="shared" si="743"/>
        <v>0</v>
      </c>
    </row>
    <row r="45141" spans="20:20" ht="18.75" customHeight="1" x14ac:dyDescent="0.35">
      <c r="T45141" s="246">
        <f t="shared" si="743"/>
        <v>0</v>
      </c>
    </row>
    <row r="45142" spans="20:20" ht="18.75" customHeight="1" x14ac:dyDescent="0.35">
      <c r="T45142" s="246">
        <f t="shared" si="743"/>
        <v>0</v>
      </c>
    </row>
    <row r="45143" spans="20:20" ht="18.75" customHeight="1" x14ac:dyDescent="0.35">
      <c r="T45143" s="246">
        <f t="shared" si="743"/>
        <v>0</v>
      </c>
    </row>
    <row r="45144" spans="20:20" ht="18.75" customHeight="1" x14ac:dyDescent="0.35">
      <c r="T45144" s="246">
        <f t="shared" si="743"/>
        <v>0</v>
      </c>
    </row>
    <row r="45145" spans="20:20" ht="18.75" customHeight="1" x14ac:dyDescent="0.35">
      <c r="T45145" s="246">
        <f t="shared" si="743"/>
        <v>0</v>
      </c>
    </row>
    <row r="45146" spans="20:20" ht="18.75" customHeight="1" x14ac:dyDescent="0.35">
      <c r="T45146" s="246">
        <f t="shared" si="743"/>
        <v>0</v>
      </c>
    </row>
    <row r="45147" spans="20:20" ht="18.75" customHeight="1" x14ac:dyDescent="0.35">
      <c r="T45147" s="246">
        <f t="shared" si="743"/>
        <v>0</v>
      </c>
    </row>
    <row r="45148" spans="20:20" ht="18.75" customHeight="1" x14ac:dyDescent="0.35">
      <c r="T45148" s="246">
        <f t="shared" si="743"/>
        <v>0</v>
      </c>
    </row>
    <row r="45149" spans="20:20" ht="18.75" customHeight="1" x14ac:dyDescent="0.35">
      <c r="T45149" s="246">
        <f t="shared" si="743"/>
        <v>0</v>
      </c>
    </row>
    <row r="45150" spans="20:20" ht="18.75" customHeight="1" x14ac:dyDescent="0.35">
      <c r="T45150" s="246">
        <f t="shared" si="743"/>
        <v>0</v>
      </c>
    </row>
    <row r="45151" spans="20:20" ht="18.75" customHeight="1" x14ac:dyDescent="0.35">
      <c r="T45151" s="246">
        <f t="shared" si="743"/>
        <v>0</v>
      </c>
    </row>
    <row r="45152" spans="20:20" ht="18.75" customHeight="1" x14ac:dyDescent="0.35">
      <c r="T45152" s="246">
        <f t="shared" si="743"/>
        <v>0</v>
      </c>
    </row>
    <row r="45153" spans="20:20" ht="18.75" customHeight="1" x14ac:dyDescent="0.35">
      <c r="T45153" s="246">
        <f t="shared" si="743"/>
        <v>0</v>
      </c>
    </row>
    <row r="45154" spans="20:20" ht="18.75" customHeight="1" x14ac:dyDescent="0.35">
      <c r="T45154" s="246">
        <f t="shared" si="743"/>
        <v>0</v>
      </c>
    </row>
    <row r="45155" spans="20:20" ht="18.75" customHeight="1" x14ac:dyDescent="0.35">
      <c r="T45155" s="246">
        <f t="shared" si="743"/>
        <v>0</v>
      </c>
    </row>
    <row r="45156" spans="20:20" ht="18.75" customHeight="1" x14ac:dyDescent="0.35">
      <c r="T45156" s="246">
        <f t="shared" si="743"/>
        <v>0</v>
      </c>
    </row>
    <row r="45157" spans="20:20" ht="18.75" customHeight="1" x14ac:dyDescent="0.35">
      <c r="T45157" s="246">
        <f t="shared" si="743"/>
        <v>0</v>
      </c>
    </row>
    <row r="45158" spans="20:20" ht="18.75" customHeight="1" x14ac:dyDescent="0.35">
      <c r="T45158" s="246">
        <f t="shared" si="743"/>
        <v>0</v>
      </c>
    </row>
    <row r="45159" spans="20:20" ht="18.75" customHeight="1" x14ac:dyDescent="0.35">
      <c r="T45159" s="246">
        <f t="shared" si="743"/>
        <v>0</v>
      </c>
    </row>
    <row r="45160" spans="20:20" ht="18.75" customHeight="1" x14ac:dyDescent="0.35">
      <c r="T45160" s="246">
        <f t="shared" si="743"/>
        <v>0</v>
      </c>
    </row>
    <row r="45161" spans="20:20" ht="18.75" customHeight="1" x14ac:dyDescent="0.35">
      <c r="T45161" s="246">
        <f t="shared" si="743"/>
        <v>0</v>
      </c>
    </row>
    <row r="45162" spans="20:20" ht="18.75" customHeight="1" x14ac:dyDescent="0.35">
      <c r="T45162" s="246">
        <f t="shared" si="743"/>
        <v>0</v>
      </c>
    </row>
    <row r="45163" spans="20:20" ht="18.75" customHeight="1" x14ac:dyDescent="0.35">
      <c r="T45163" s="246">
        <f t="shared" si="743"/>
        <v>0</v>
      </c>
    </row>
    <row r="45164" spans="20:20" ht="18.75" customHeight="1" x14ac:dyDescent="0.35">
      <c r="T45164" s="246">
        <f t="shared" si="743"/>
        <v>0</v>
      </c>
    </row>
    <row r="45165" spans="20:20" ht="18.75" customHeight="1" x14ac:dyDescent="0.35">
      <c r="T45165" s="246">
        <f t="shared" si="743"/>
        <v>0</v>
      </c>
    </row>
    <row r="45166" spans="20:20" ht="18.75" customHeight="1" x14ac:dyDescent="0.35">
      <c r="T45166" s="246">
        <f t="shared" si="743"/>
        <v>0</v>
      </c>
    </row>
    <row r="45167" spans="20:20" ht="18.75" customHeight="1" x14ac:dyDescent="0.35">
      <c r="T45167" s="246">
        <f t="shared" si="743"/>
        <v>0</v>
      </c>
    </row>
    <row r="45168" spans="20:20" ht="18.75" customHeight="1" x14ac:dyDescent="0.35">
      <c r="T45168" s="246">
        <f t="shared" si="743"/>
        <v>0</v>
      </c>
    </row>
    <row r="45169" spans="20:20" ht="18.75" customHeight="1" x14ac:dyDescent="0.35">
      <c r="T45169" s="246">
        <f t="shared" si="743"/>
        <v>0</v>
      </c>
    </row>
    <row r="45170" spans="20:20" ht="18.75" customHeight="1" x14ac:dyDescent="0.35">
      <c r="T45170" s="246">
        <f t="shared" si="743"/>
        <v>0</v>
      </c>
    </row>
    <row r="45171" spans="20:20" ht="18.75" customHeight="1" x14ac:dyDescent="0.35">
      <c r="T45171" s="246">
        <f t="shared" si="743"/>
        <v>0</v>
      </c>
    </row>
    <row r="45172" spans="20:20" ht="18.75" customHeight="1" x14ac:dyDescent="0.35">
      <c r="T45172" s="246">
        <f t="shared" si="743"/>
        <v>0</v>
      </c>
    </row>
    <row r="45173" spans="20:20" ht="18.75" customHeight="1" x14ac:dyDescent="0.35">
      <c r="T45173" s="246">
        <f t="shared" si="743"/>
        <v>0</v>
      </c>
    </row>
    <row r="45174" spans="20:20" ht="18.75" customHeight="1" x14ac:dyDescent="0.35">
      <c r="T45174" s="246">
        <f t="shared" si="743"/>
        <v>0</v>
      </c>
    </row>
    <row r="45175" spans="20:20" ht="18.75" customHeight="1" x14ac:dyDescent="0.35">
      <c r="T45175" s="246">
        <f t="shared" si="743"/>
        <v>0</v>
      </c>
    </row>
    <row r="45176" spans="20:20" ht="18.75" customHeight="1" x14ac:dyDescent="0.35">
      <c r="T45176" s="246">
        <f t="shared" si="743"/>
        <v>0</v>
      </c>
    </row>
    <row r="45177" spans="20:20" ht="18.75" customHeight="1" x14ac:dyDescent="0.35">
      <c r="T45177" s="246">
        <f t="shared" si="743"/>
        <v>0</v>
      </c>
    </row>
    <row r="45178" spans="20:20" ht="18.75" customHeight="1" x14ac:dyDescent="0.35">
      <c r="T45178" s="246">
        <f t="shared" si="743"/>
        <v>0</v>
      </c>
    </row>
    <row r="45179" spans="20:20" ht="18.75" customHeight="1" x14ac:dyDescent="0.35">
      <c r="T45179" s="246">
        <f t="shared" si="743"/>
        <v>0</v>
      </c>
    </row>
    <row r="45180" spans="20:20" ht="18.75" customHeight="1" x14ac:dyDescent="0.35">
      <c r="T45180" s="246">
        <f t="shared" ref="T45180:T45243" si="744">R45180*0.01</f>
        <v>0</v>
      </c>
    </row>
    <row r="45181" spans="20:20" ht="18.75" customHeight="1" x14ac:dyDescent="0.35">
      <c r="T45181" s="246">
        <f t="shared" si="744"/>
        <v>0</v>
      </c>
    </row>
    <row r="45182" spans="20:20" ht="18.75" customHeight="1" x14ac:dyDescent="0.35">
      <c r="T45182" s="246">
        <f t="shared" si="744"/>
        <v>0</v>
      </c>
    </row>
    <row r="45183" spans="20:20" ht="18.75" customHeight="1" x14ac:dyDescent="0.35">
      <c r="T45183" s="246">
        <f t="shared" si="744"/>
        <v>0</v>
      </c>
    </row>
    <row r="45184" spans="20:20" ht="18.75" customHeight="1" x14ac:dyDescent="0.35">
      <c r="T45184" s="246">
        <f t="shared" si="744"/>
        <v>0</v>
      </c>
    </row>
    <row r="45185" spans="20:20" ht="18.75" customHeight="1" x14ac:dyDescent="0.35">
      <c r="T45185" s="246">
        <f t="shared" si="744"/>
        <v>0</v>
      </c>
    </row>
    <row r="45186" spans="20:20" ht="18.75" customHeight="1" x14ac:dyDescent="0.35">
      <c r="T45186" s="246">
        <f t="shared" si="744"/>
        <v>0</v>
      </c>
    </row>
    <row r="45187" spans="20:20" ht="18.75" customHeight="1" x14ac:dyDescent="0.35">
      <c r="T45187" s="246">
        <f t="shared" si="744"/>
        <v>0</v>
      </c>
    </row>
    <row r="45188" spans="20:20" ht="18.75" customHeight="1" x14ac:dyDescent="0.35">
      <c r="T45188" s="246">
        <f t="shared" si="744"/>
        <v>0</v>
      </c>
    </row>
    <row r="45189" spans="20:20" ht="18.75" customHeight="1" x14ac:dyDescent="0.35">
      <c r="T45189" s="246">
        <f t="shared" si="744"/>
        <v>0</v>
      </c>
    </row>
    <row r="45190" spans="20:20" ht="18.75" customHeight="1" x14ac:dyDescent="0.35">
      <c r="T45190" s="246">
        <f t="shared" si="744"/>
        <v>0</v>
      </c>
    </row>
    <row r="45191" spans="20:20" ht="18.75" customHeight="1" x14ac:dyDescent="0.35">
      <c r="T45191" s="246">
        <f t="shared" si="744"/>
        <v>0</v>
      </c>
    </row>
    <row r="45192" spans="20:20" ht="18.75" customHeight="1" x14ac:dyDescent="0.35">
      <c r="T45192" s="246">
        <f t="shared" si="744"/>
        <v>0</v>
      </c>
    </row>
    <row r="45193" spans="20:20" ht="18.75" customHeight="1" x14ac:dyDescent="0.35">
      <c r="T45193" s="246">
        <f t="shared" si="744"/>
        <v>0</v>
      </c>
    </row>
    <row r="45194" spans="20:20" ht="18.75" customHeight="1" x14ac:dyDescent="0.35">
      <c r="T45194" s="246">
        <f t="shared" si="744"/>
        <v>0</v>
      </c>
    </row>
    <row r="45195" spans="20:20" ht="18.75" customHeight="1" x14ac:dyDescent="0.35">
      <c r="T45195" s="246">
        <f t="shared" si="744"/>
        <v>0</v>
      </c>
    </row>
    <row r="45196" spans="20:20" ht="18.75" customHeight="1" x14ac:dyDescent="0.35">
      <c r="T45196" s="246">
        <f t="shared" si="744"/>
        <v>0</v>
      </c>
    </row>
    <row r="45197" spans="20:20" ht="18.75" customHeight="1" x14ac:dyDescent="0.35">
      <c r="T45197" s="246">
        <f t="shared" si="744"/>
        <v>0</v>
      </c>
    </row>
    <row r="45198" spans="20:20" ht="18.75" customHeight="1" x14ac:dyDescent="0.35">
      <c r="T45198" s="246">
        <f t="shared" si="744"/>
        <v>0</v>
      </c>
    </row>
    <row r="45199" spans="20:20" ht="18.75" customHeight="1" x14ac:dyDescent="0.35">
      <c r="T45199" s="246">
        <f t="shared" si="744"/>
        <v>0</v>
      </c>
    </row>
    <row r="45200" spans="20:20" ht="18.75" customHeight="1" x14ac:dyDescent="0.35">
      <c r="T45200" s="246">
        <f t="shared" si="744"/>
        <v>0</v>
      </c>
    </row>
    <row r="45201" spans="20:20" ht="18.75" customHeight="1" x14ac:dyDescent="0.35">
      <c r="T45201" s="246">
        <f t="shared" si="744"/>
        <v>0</v>
      </c>
    </row>
    <row r="45202" spans="20:20" ht="18.75" customHeight="1" x14ac:dyDescent="0.35">
      <c r="T45202" s="246">
        <f t="shared" si="744"/>
        <v>0</v>
      </c>
    </row>
    <row r="45203" spans="20:20" ht="18.75" customHeight="1" x14ac:dyDescent="0.35">
      <c r="T45203" s="246">
        <f t="shared" si="744"/>
        <v>0</v>
      </c>
    </row>
    <row r="45204" spans="20:20" ht="18.75" customHeight="1" x14ac:dyDescent="0.35">
      <c r="T45204" s="246">
        <f t="shared" si="744"/>
        <v>0</v>
      </c>
    </row>
    <row r="45205" spans="20:20" ht="18.75" customHeight="1" x14ac:dyDescent="0.35">
      <c r="T45205" s="246">
        <f t="shared" si="744"/>
        <v>0</v>
      </c>
    </row>
    <row r="45206" spans="20:20" ht="18.75" customHeight="1" x14ac:dyDescent="0.35">
      <c r="T45206" s="246">
        <f t="shared" si="744"/>
        <v>0</v>
      </c>
    </row>
    <row r="45207" spans="20:20" ht="18.75" customHeight="1" x14ac:dyDescent="0.35">
      <c r="T45207" s="246">
        <f t="shared" si="744"/>
        <v>0</v>
      </c>
    </row>
    <row r="45208" spans="20:20" ht="18.75" customHeight="1" x14ac:dyDescent="0.35">
      <c r="T45208" s="246">
        <f t="shared" si="744"/>
        <v>0</v>
      </c>
    </row>
    <row r="45209" spans="20:20" ht="18.75" customHeight="1" x14ac:dyDescent="0.35">
      <c r="T45209" s="246">
        <f t="shared" si="744"/>
        <v>0</v>
      </c>
    </row>
    <row r="45210" spans="20:20" ht="18.75" customHeight="1" x14ac:dyDescent="0.35">
      <c r="T45210" s="246">
        <f t="shared" si="744"/>
        <v>0</v>
      </c>
    </row>
    <row r="45211" spans="20:20" ht="18.75" customHeight="1" x14ac:dyDescent="0.35">
      <c r="T45211" s="246">
        <f t="shared" si="744"/>
        <v>0</v>
      </c>
    </row>
    <row r="45212" spans="20:20" ht="18.75" customHeight="1" x14ac:dyDescent="0.35">
      <c r="T45212" s="246">
        <f t="shared" si="744"/>
        <v>0</v>
      </c>
    </row>
    <row r="45213" spans="20:20" ht="18.75" customHeight="1" x14ac:dyDescent="0.35">
      <c r="T45213" s="246">
        <f t="shared" si="744"/>
        <v>0</v>
      </c>
    </row>
    <row r="45214" spans="20:20" ht="18.75" customHeight="1" x14ac:dyDescent="0.35">
      <c r="T45214" s="246">
        <f t="shared" si="744"/>
        <v>0</v>
      </c>
    </row>
    <row r="45215" spans="20:20" ht="18.75" customHeight="1" x14ac:dyDescent="0.35">
      <c r="T45215" s="246">
        <f t="shared" si="744"/>
        <v>0</v>
      </c>
    </row>
    <row r="45216" spans="20:20" ht="18.75" customHeight="1" x14ac:dyDescent="0.35">
      <c r="T45216" s="246">
        <f t="shared" si="744"/>
        <v>0</v>
      </c>
    </row>
    <row r="45217" spans="20:20" ht="18.75" customHeight="1" x14ac:dyDescent="0.35">
      <c r="T45217" s="246">
        <f t="shared" si="744"/>
        <v>0</v>
      </c>
    </row>
    <row r="45218" spans="20:20" ht="18.75" customHeight="1" x14ac:dyDescent="0.35">
      <c r="T45218" s="246">
        <f t="shared" si="744"/>
        <v>0</v>
      </c>
    </row>
    <row r="45219" spans="20:20" ht="18.75" customHeight="1" x14ac:dyDescent="0.35">
      <c r="T45219" s="246">
        <f t="shared" si="744"/>
        <v>0</v>
      </c>
    </row>
    <row r="45220" spans="20:20" ht="18.75" customHeight="1" x14ac:dyDescent="0.35">
      <c r="T45220" s="246">
        <f t="shared" si="744"/>
        <v>0</v>
      </c>
    </row>
    <row r="45221" spans="20:20" ht="18.75" customHeight="1" x14ac:dyDescent="0.35">
      <c r="T45221" s="246">
        <f t="shared" si="744"/>
        <v>0</v>
      </c>
    </row>
    <row r="45222" spans="20:20" ht="18.75" customHeight="1" x14ac:dyDescent="0.35">
      <c r="T45222" s="246">
        <f t="shared" si="744"/>
        <v>0</v>
      </c>
    </row>
    <row r="45223" spans="20:20" ht="18.75" customHeight="1" x14ac:dyDescent="0.35">
      <c r="T45223" s="246">
        <f t="shared" si="744"/>
        <v>0</v>
      </c>
    </row>
    <row r="45224" spans="20:20" ht="18.75" customHeight="1" x14ac:dyDescent="0.35">
      <c r="T45224" s="246">
        <f t="shared" si="744"/>
        <v>0</v>
      </c>
    </row>
    <row r="45225" spans="20:20" ht="18.75" customHeight="1" x14ac:dyDescent="0.35">
      <c r="T45225" s="246">
        <f t="shared" si="744"/>
        <v>0</v>
      </c>
    </row>
    <row r="45226" spans="20:20" ht="18.75" customHeight="1" x14ac:dyDescent="0.35">
      <c r="T45226" s="246">
        <f t="shared" si="744"/>
        <v>0</v>
      </c>
    </row>
    <row r="45227" spans="20:20" ht="18.75" customHeight="1" x14ac:dyDescent="0.35">
      <c r="T45227" s="246">
        <f t="shared" si="744"/>
        <v>0</v>
      </c>
    </row>
    <row r="45228" spans="20:20" ht="18.75" customHeight="1" x14ac:dyDescent="0.35">
      <c r="T45228" s="246">
        <f t="shared" si="744"/>
        <v>0</v>
      </c>
    </row>
    <row r="45229" spans="20:20" ht="18.75" customHeight="1" x14ac:dyDescent="0.35">
      <c r="T45229" s="246">
        <f t="shared" si="744"/>
        <v>0</v>
      </c>
    </row>
    <row r="45230" spans="20:20" ht="18.75" customHeight="1" x14ac:dyDescent="0.35">
      <c r="T45230" s="246">
        <f t="shared" si="744"/>
        <v>0</v>
      </c>
    </row>
    <row r="45231" spans="20:20" ht="18.75" customHeight="1" x14ac:dyDescent="0.35">
      <c r="T45231" s="246">
        <f t="shared" si="744"/>
        <v>0</v>
      </c>
    </row>
    <row r="45232" spans="20:20" ht="18.75" customHeight="1" x14ac:dyDescent="0.35">
      <c r="T45232" s="246">
        <f t="shared" si="744"/>
        <v>0</v>
      </c>
    </row>
    <row r="45233" spans="20:20" ht="18.75" customHeight="1" x14ac:dyDescent="0.35">
      <c r="T45233" s="246">
        <f t="shared" si="744"/>
        <v>0</v>
      </c>
    </row>
    <row r="45234" spans="20:20" ht="18.75" customHeight="1" x14ac:dyDescent="0.35">
      <c r="T45234" s="246">
        <f t="shared" si="744"/>
        <v>0</v>
      </c>
    </row>
    <row r="45235" spans="20:20" ht="18.75" customHeight="1" x14ac:dyDescent="0.35">
      <c r="T45235" s="246">
        <f t="shared" si="744"/>
        <v>0</v>
      </c>
    </row>
    <row r="45236" spans="20:20" ht="18.75" customHeight="1" x14ac:dyDescent="0.35">
      <c r="T45236" s="246">
        <f t="shared" si="744"/>
        <v>0</v>
      </c>
    </row>
    <row r="45237" spans="20:20" ht="18.75" customHeight="1" x14ac:dyDescent="0.35">
      <c r="T45237" s="246">
        <f t="shared" si="744"/>
        <v>0</v>
      </c>
    </row>
    <row r="45238" spans="20:20" ht="18.75" customHeight="1" x14ac:dyDescent="0.35">
      <c r="T45238" s="246">
        <f t="shared" si="744"/>
        <v>0</v>
      </c>
    </row>
    <row r="45239" spans="20:20" ht="18.75" customHeight="1" x14ac:dyDescent="0.35">
      <c r="T45239" s="246">
        <f t="shared" si="744"/>
        <v>0</v>
      </c>
    </row>
    <row r="45240" spans="20:20" ht="18.75" customHeight="1" x14ac:dyDescent="0.35">
      <c r="T45240" s="246">
        <f t="shared" si="744"/>
        <v>0</v>
      </c>
    </row>
    <row r="45241" spans="20:20" ht="18.75" customHeight="1" x14ac:dyDescent="0.35">
      <c r="T45241" s="246">
        <f t="shared" si="744"/>
        <v>0</v>
      </c>
    </row>
    <row r="45242" spans="20:20" ht="18.75" customHeight="1" x14ac:dyDescent="0.35">
      <c r="T45242" s="246">
        <f t="shared" si="744"/>
        <v>0</v>
      </c>
    </row>
    <row r="45243" spans="20:20" ht="18.75" customHeight="1" x14ac:dyDescent="0.35">
      <c r="T45243" s="246">
        <f t="shared" si="744"/>
        <v>0</v>
      </c>
    </row>
    <row r="45244" spans="20:20" ht="18.75" customHeight="1" x14ac:dyDescent="0.35">
      <c r="T45244" s="246">
        <f t="shared" ref="T45244:T45307" si="745">R45244*0.01</f>
        <v>0</v>
      </c>
    </row>
    <row r="45245" spans="20:20" ht="18.75" customHeight="1" x14ac:dyDescent="0.35">
      <c r="T45245" s="246">
        <f t="shared" si="745"/>
        <v>0</v>
      </c>
    </row>
    <row r="45246" spans="20:20" ht="18.75" customHeight="1" x14ac:dyDescent="0.35">
      <c r="T45246" s="246">
        <f t="shared" si="745"/>
        <v>0</v>
      </c>
    </row>
    <row r="45247" spans="20:20" ht="18.75" customHeight="1" x14ac:dyDescent="0.35">
      <c r="T45247" s="246">
        <f t="shared" si="745"/>
        <v>0</v>
      </c>
    </row>
    <row r="45248" spans="20:20" ht="18.75" customHeight="1" x14ac:dyDescent="0.35">
      <c r="T45248" s="246">
        <f t="shared" si="745"/>
        <v>0</v>
      </c>
    </row>
    <row r="45249" spans="20:20" ht="18.75" customHeight="1" x14ac:dyDescent="0.35">
      <c r="T45249" s="246">
        <f t="shared" si="745"/>
        <v>0</v>
      </c>
    </row>
    <row r="45250" spans="20:20" ht="18.75" customHeight="1" x14ac:dyDescent="0.35">
      <c r="T45250" s="246">
        <f t="shared" si="745"/>
        <v>0</v>
      </c>
    </row>
    <row r="45251" spans="20:20" ht="18.75" customHeight="1" x14ac:dyDescent="0.35">
      <c r="T45251" s="246">
        <f t="shared" si="745"/>
        <v>0</v>
      </c>
    </row>
    <row r="45252" spans="20:20" ht="18.75" customHeight="1" x14ac:dyDescent="0.35">
      <c r="T45252" s="246">
        <f t="shared" si="745"/>
        <v>0</v>
      </c>
    </row>
    <row r="45253" spans="20:20" ht="18.75" customHeight="1" x14ac:dyDescent="0.35">
      <c r="T45253" s="246">
        <f t="shared" si="745"/>
        <v>0</v>
      </c>
    </row>
    <row r="45254" spans="20:20" ht="18.75" customHeight="1" x14ac:dyDescent="0.35">
      <c r="T45254" s="246">
        <f t="shared" si="745"/>
        <v>0</v>
      </c>
    </row>
    <row r="45255" spans="20:20" ht="18.75" customHeight="1" x14ac:dyDescent="0.35">
      <c r="T45255" s="246">
        <f t="shared" si="745"/>
        <v>0</v>
      </c>
    </row>
    <row r="45256" spans="20:20" ht="18.75" customHeight="1" x14ac:dyDescent="0.35">
      <c r="T45256" s="246">
        <f t="shared" si="745"/>
        <v>0</v>
      </c>
    </row>
    <row r="45257" spans="20:20" ht="18.75" customHeight="1" x14ac:dyDescent="0.35">
      <c r="T45257" s="246">
        <f t="shared" si="745"/>
        <v>0</v>
      </c>
    </row>
    <row r="45258" spans="20:20" ht="18.75" customHeight="1" x14ac:dyDescent="0.35">
      <c r="T45258" s="246">
        <f t="shared" si="745"/>
        <v>0</v>
      </c>
    </row>
    <row r="45259" spans="20:20" ht="18.75" customHeight="1" x14ac:dyDescent="0.35">
      <c r="T45259" s="246">
        <f t="shared" si="745"/>
        <v>0</v>
      </c>
    </row>
    <row r="45260" spans="20:20" ht="18.75" customHeight="1" x14ac:dyDescent="0.35">
      <c r="T45260" s="246">
        <f t="shared" si="745"/>
        <v>0</v>
      </c>
    </row>
    <row r="45261" spans="20:20" ht="18.75" customHeight="1" x14ac:dyDescent="0.35">
      <c r="T45261" s="246">
        <f t="shared" si="745"/>
        <v>0</v>
      </c>
    </row>
    <row r="45262" spans="20:20" ht="18.75" customHeight="1" x14ac:dyDescent="0.35">
      <c r="T45262" s="246">
        <f t="shared" si="745"/>
        <v>0</v>
      </c>
    </row>
    <row r="45263" spans="20:20" ht="18.75" customHeight="1" x14ac:dyDescent="0.35">
      <c r="T45263" s="246">
        <f t="shared" si="745"/>
        <v>0</v>
      </c>
    </row>
    <row r="45264" spans="20:20" ht="18.75" customHeight="1" x14ac:dyDescent="0.35">
      <c r="T45264" s="246">
        <f t="shared" si="745"/>
        <v>0</v>
      </c>
    </row>
    <row r="45265" spans="20:20" ht="18.75" customHeight="1" x14ac:dyDescent="0.35">
      <c r="T45265" s="246">
        <f t="shared" si="745"/>
        <v>0</v>
      </c>
    </row>
    <row r="45266" spans="20:20" ht="18.75" customHeight="1" x14ac:dyDescent="0.35">
      <c r="T45266" s="246">
        <f t="shared" si="745"/>
        <v>0</v>
      </c>
    </row>
    <row r="45267" spans="20:20" ht="18.75" customHeight="1" x14ac:dyDescent="0.35">
      <c r="T45267" s="246">
        <f t="shared" si="745"/>
        <v>0</v>
      </c>
    </row>
    <row r="45268" spans="20:20" ht="18.75" customHeight="1" x14ac:dyDescent="0.35">
      <c r="T45268" s="246">
        <f t="shared" si="745"/>
        <v>0</v>
      </c>
    </row>
    <row r="45269" spans="20:20" ht="18.75" customHeight="1" x14ac:dyDescent="0.35">
      <c r="T45269" s="246">
        <f t="shared" si="745"/>
        <v>0</v>
      </c>
    </row>
    <row r="45270" spans="20:20" ht="18.75" customHeight="1" x14ac:dyDescent="0.35">
      <c r="T45270" s="246">
        <f t="shared" si="745"/>
        <v>0</v>
      </c>
    </row>
    <row r="45271" spans="20:20" ht="18.75" customHeight="1" x14ac:dyDescent="0.35">
      <c r="T45271" s="246">
        <f t="shared" si="745"/>
        <v>0</v>
      </c>
    </row>
    <row r="45272" spans="20:20" ht="18.75" customHeight="1" x14ac:dyDescent="0.35">
      <c r="T45272" s="246">
        <f t="shared" si="745"/>
        <v>0</v>
      </c>
    </row>
    <row r="45273" spans="20:20" ht="18.75" customHeight="1" x14ac:dyDescent="0.35">
      <c r="T45273" s="246">
        <f t="shared" si="745"/>
        <v>0</v>
      </c>
    </row>
    <row r="45274" spans="20:20" ht="18.75" customHeight="1" x14ac:dyDescent="0.35">
      <c r="T45274" s="246">
        <f t="shared" si="745"/>
        <v>0</v>
      </c>
    </row>
    <row r="45275" spans="20:20" ht="18.75" customHeight="1" x14ac:dyDescent="0.35">
      <c r="T45275" s="246">
        <f t="shared" si="745"/>
        <v>0</v>
      </c>
    </row>
    <row r="45276" spans="20:20" ht="18.75" customHeight="1" x14ac:dyDescent="0.35">
      <c r="T45276" s="246">
        <f t="shared" si="745"/>
        <v>0</v>
      </c>
    </row>
    <row r="45277" spans="20:20" ht="18.75" customHeight="1" x14ac:dyDescent="0.35">
      <c r="T45277" s="246">
        <f t="shared" si="745"/>
        <v>0</v>
      </c>
    </row>
    <row r="45278" spans="20:20" ht="18.75" customHeight="1" x14ac:dyDescent="0.35">
      <c r="T45278" s="246">
        <f t="shared" si="745"/>
        <v>0</v>
      </c>
    </row>
    <row r="45279" spans="20:20" ht="18.75" customHeight="1" x14ac:dyDescent="0.35">
      <c r="T45279" s="246">
        <f t="shared" si="745"/>
        <v>0</v>
      </c>
    </row>
    <row r="45280" spans="20:20" ht="18.75" customHeight="1" x14ac:dyDescent="0.35">
      <c r="T45280" s="246">
        <f t="shared" si="745"/>
        <v>0</v>
      </c>
    </row>
    <row r="45281" spans="20:20" ht="18.75" customHeight="1" x14ac:dyDescent="0.35">
      <c r="T45281" s="246">
        <f t="shared" si="745"/>
        <v>0</v>
      </c>
    </row>
    <row r="45282" spans="20:20" ht="18.75" customHeight="1" x14ac:dyDescent="0.35">
      <c r="T45282" s="246">
        <f t="shared" si="745"/>
        <v>0</v>
      </c>
    </row>
    <row r="45283" spans="20:20" ht="18.75" customHeight="1" x14ac:dyDescent="0.35">
      <c r="T45283" s="246">
        <f t="shared" si="745"/>
        <v>0</v>
      </c>
    </row>
    <row r="45284" spans="20:20" ht="18.75" customHeight="1" x14ac:dyDescent="0.35">
      <c r="T45284" s="246">
        <f t="shared" si="745"/>
        <v>0</v>
      </c>
    </row>
    <row r="45285" spans="20:20" ht="18.75" customHeight="1" x14ac:dyDescent="0.35">
      <c r="T45285" s="246">
        <f t="shared" si="745"/>
        <v>0</v>
      </c>
    </row>
    <row r="45286" spans="20:20" ht="18.75" customHeight="1" x14ac:dyDescent="0.35">
      <c r="T45286" s="246">
        <f t="shared" si="745"/>
        <v>0</v>
      </c>
    </row>
    <row r="45287" spans="20:20" ht="18.75" customHeight="1" x14ac:dyDescent="0.35">
      <c r="T45287" s="246">
        <f t="shared" si="745"/>
        <v>0</v>
      </c>
    </row>
    <row r="45288" spans="20:20" ht="18.75" customHeight="1" x14ac:dyDescent="0.35">
      <c r="T45288" s="246">
        <f t="shared" si="745"/>
        <v>0</v>
      </c>
    </row>
    <row r="45289" spans="20:20" ht="18.75" customHeight="1" x14ac:dyDescent="0.35">
      <c r="T45289" s="246">
        <f t="shared" si="745"/>
        <v>0</v>
      </c>
    </row>
    <row r="45290" spans="20:20" ht="18.75" customHeight="1" x14ac:dyDescent="0.35">
      <c r="T45290" s="246">
        <f t="shared" si="745"/>
        <v>0</v>
      </c>
    </row>
    <row r="45291" spans="20:20" ht="18.75" customHeight="1" x14ac:dyDescent="0.35">
      <c r="T45291" s="246">
        <f t="shared" si="745"/>
        <v>0</v>
      </c>
    </row>
    <row r="45292" spans="20:20" ht="18.75" customHeight="1" x14ac:dyDescent="0.35">
      <c r="T45292" s="246">
        <f t="shared" si="745"/>
        <v>0</v>
      </c>
    </row>
    <row r="45293" spans="20:20" ht="18.75" customHeight="1" x14ac:dyDescent="0.35">
      <c r="T45293" s="246">
        <f t="shared" si="745"/>
        <v>0</v>
      </c>
    </row>
    <row r="45294" spans="20:20" ht="18.75" customHeight="1" x14ac:dyDescent="0.35">
      <c r="T45294" s="246">
        <f t="shared" si="745"/>
        <v>0</v>
      </c>
    </row>
    <row r="45295" spans="20:20" ht="18.75" customHeight="1" x14ac:dyDescent="0.35">
      <c r="T45295" s="246">
        <f t="shared" si="745"/>
        <v>0</v>
      </c>
    </row>
    <row r="45296" spans="20:20" ht="18.75" customHeight="1" x14ac:dyDescent="0.35">
      <c r="T45296" s="246">
        <f t="shared" si="745"/>
        <v>0</v>
      </c>
    </row>
    <row r="45297" spans="20:20" ht="18.75" customHeight="1" x14ac:dyDescent="0.35">
      <c r="T45297" s="246">
        <f t="shared" si="745"/>
        <v>0</v>
      </c>
    </row>
    <row r="45298" spans="20:20" ht="18.75" customHeight="1" x14ac:dyDescent="0.35">
      <c r="T45298" s="246">
        <f t="shared" si="745"/>
        <v>0</v>
      </c>
    </row>
    <row r="45299" spans="20:20" ht="18.75" customHeight="1" x14ac:dyDescent="0.35">
      <c r="T45299" s="246">
        <f t="shared" si="745"/>
        <v>0</v>
      </c>
    </row>
    <row r="45300" spans="20:20" ht="18.75" customHeight="1" x14ac:dyDescent="0.35">
      <c r="T45300" s="246">
        <f t="shared" si="745"/>
        <v>0</v>
      </c>
    </row>
    <row r="45301" spans="20:20" ht="18.75" customHeight="1" x14ac:dyDescent="0.35">
      <c r="T45301" s="246">
        <f t="shared" si="745"/>
        <v>0</v>
      </c>
    </row>
    <row r="45302" spans="20:20" ht="18.75" customHeight="1" x14ac:dyDescent="0.35">
      <c r="T45302" s="246">
        <f t="shared" si="745"/>
        <v>0</v>
      </c>
    </row>
    <row r="45303" spans="20:20" ht="18.75" customHeight="1" x14ac:dyDescent="0.35">
      <c r="T45303" s="246">
        <f t="shared" si="745"/>
        <v>0</v>
      </c>
    </row>
    <row r="45304" spans="20:20" ht="18.75" customHeight="1" x14ac:dyDescent="0.35">
      <c r="T45304" s="246">
        <f t="shared" si="745"/>
        <v>0</v>
      </c>
    </row>
    <row r="45305" spans="20:20" ht="18.75" customHeight="1" x14ac:dyDescent="0.35">
      <c r="T45305" s="246">
        <f t="shared" si="745"/>
        <v>0</v>
      </c>
    </row>
    <row r="45306" spans="20:20" ht="18.75" customHeight="1" x14ac:dyDescent="0.35">
      <c r="T45306" s="246">
        <f t="shared" si="745"/>
        <v>0</v>
      </c>
    </row>
    <row r="45307" spans="20:20" ht="18.75" customHeight="1" x14ac:dyDescent="0.35">
      <c r="T45307" s="246">
        <f t="shared" si="745"/>
        <v>0</v>
      </c>
    </row>
    <row r="45308" spans="20:20" ht="18.75" customHeight="1" x14ac:dyDescent="0.35">
      <c r="T45308" s="246">
        <f t="shared" ref="T45308:T45371" si="746">R45308*0.01</f>
        <v>0</v>
      </c>
    </row>
    <row r="45309" spans="20:20" ht="18.75" customHeight="1" x14ac:dyDescent="0.35">
      <c r="T45309" s="246">
        <f t="shared" si="746"/>
        <v>0</v>
      </c>
    </row>
    <row r="45310" spans="20:20" ht="18.75" customHeight="1" x14ac:dyDescent="0.35">
      <c r="T45310" s="246">
        <f t="shared" si="746"/>
        <v>0</v>
      </c>
    </row>
    <row r="45311" spans="20:20" ht="18.75" customHeight="1" x14ac:dyDescent="0.35">
      <c r="T45311" s="246">
        <f t="shared" si="746"/>
        <v>0</v>
      </c>
    </row>
    <row r="45312" spans="20:20" ht="18.75" customHeight="1" x14ac:dyDescent="0.35">
      <c r="T45312" s="246">
        <f t="shared" si="746"/>
        <v>0</v>
      </c>
    </row>
    <row r="45313" spans="20:20" ht="18.75" customHeight="1" x14ac:dyDescent="0.35">
      <c r="T45313" s="246">
        <f t="shared" si="746"/>
        <v>0</v>
      </c>
    </row>
    <row r="45314" spans="20:20" ht="18.75" customHeight="1" x14ac:dyDescent="0.35">
      <c r="T45314" s="246">
        <f t="shared" si="746"/>
        <v>0</v>
      </c>
    </row>
    <row r="45315" spans="20:20" ht="18.75" customHeight="1" x14ac:dyDescent="0.35">
      <c r="T45315" s="246">
        <f t="shared" si="746"/>
        <v>0</v>
      </c>
    </row>
    <row r="45316" spans="20:20" ht="18.75" customHeight="1" x14ac:dyDescent="0.35">
      <c r="T45316" s="246">
        <f t="shared" si="746"/>
        <v>0</v>
      </c>
    </row>
    <row r="45317" spans="20:20" ht="18.75" customHeight="1" x14ac:dyDescent="0.35">
      <c r="T45317" s="246">
        <f t="shared" si="746"/>
        <v>0</v>
      </c>
    </row>
    <row r="45318" spans="20:20" ht="18.75" customHeight="1" x14ac:dyDescent="0.35">
      <c r="T45318" s="246">
        <f t="shared" si="746"/>
        <v>0</v>
      </c>
    </row>
    <row r="45319" spans="20:20" ht="18.75" customHeight="1" x14ac:dyDescent="0.35">
      <c r="T45319" s="246">
        <f t="shared" si="746"/>
        <v>0</v>
      </c>
    </row>
    <row r="45320" spans="20:20" ht="18.75" customHeight="1" x14ac:dyDescent="0.35">
      <c r="T45320" s="246">
        <f t="shared" si="746"/>
        <v>0</v>
      </c>
    </row>
    <row r="45321" spans="20:20" ht="18.75" customHeight="1" x14ac:dyDescent="0.35">
      <c r="T45321" s="246">
        <f t="shared" si="746"/>
        <v>0</v>
      </c>
    </row>
    <row r="45322" spans="20:20" ht="18.75" customHeight="1" x14ac:dyDescent="0.35">
      <c r="T45322" s="246">
        <f t="shared" si="746"/>
        <v>0</v>
      </c>
    </row>
    <row r="45323" spans="20:20" ht="18.75" customHeight="1" x14ac:dyDescent="0.35">
      <c r="T45323" s="246">
        <f t="shared" si="746"/>
        <v>0</v>
      </c>
    </row>
    <row r="45324" spans="20:20" ht="18.75" customHeight="1" x14ac:dyDescent="0.35">
      <c r="T45324" s="246">
        <f t="shared" si="746"/>
        <v>0</v>
      </c>
    </row>
    <row r="45325" spans="20:20" ht="18.75" customHeight="1" x14ac:dyDescent="0.35">
      <c r="T45325" s="246">
        <f t="shared" si="746"/>
        <v>0</v>
      </c>
    </row>
    <row r="45326" spans="20:20" ht="18.75" customHeight="1" x14ac:dyDescent="0.35">
      <c r="T45326" s="246">
        <f t="shared" si="746"/>
        <v>0</v>
      </c>
    </row>
    <row r="45327" spans="20:20" ht="18.75" customHeight="1" x14ac:dyDescent="0.35">
      <c r="T45327" s="246">
        <f t="shared" si="746"/>
        <v>0</v>
      </c>
    </row>
    <row r="45328" spans="20:20" ht="18.75" customHeight="1" x14ac:dyDescent="0.35">
      <c r="T45328" s="246">
        <f t="shared" si="746"/>
        <v>0</v>
      </c>
    </row>
    <row r="45329" spans="20:20" ht="18.75" customHeight="1" x14ac:dyDescent="0.35">
      <c r="T45329" s="246">
        <f t="shared" si="746"/>
        <v>0</v>
      </c>
    </row>
    <row r="45330" spans="20:20" ht="18.75" customHeight="1" x14ac:dyDescent="0.35">
      <c r="T45330" s="246">
        <f t="shared" si="746"/>
        <v>0</v>
      </c>
    </row>
    <row r="45331" spans="20:20" ht="18.75" customHeight="1" x14ac:dyDescent="0.35">
      <c r="T45331" s="246">
        <f t="shared" si="746"/>
        <v>0</v>
      </c>
    </row>
    <row r="45332" spans="20:20" ht="18.75" customHeight="1" x14ac:dyDescent="0.35">
      <c r="T45332" s="246">
        <f t="shared" si="746"/>
        <v>0</v>
      </c>
    </row>
    <row r="45333" spans="20:20" ht="18.75" customHeight="1" x14ac:dyDescent="0.35">
      <c r="T45333" s="246">
        <f t="shared" si="746"/>
        <v>0</v>
      </c>
    </row>
    <row r="45334" spans="20:20" ht="18.75" customHeight="1" x14ac:dyDescent="0.35">
      <c r="T45334" s="246">
        <f t="shared" si="746"/>
        <v>0</v>
      </c>
    </row>
    <row r="45335" spans="20:20" ht="18.75" customHeight="1" x14ac:dyDescent="0.35">
      <c r="T45335" s="246">
        <f t="shared" si="746"/>
        <v>0</v>
      </c>
    </row>
    <row r="45336" spans="20:20" ht="18.75" customHeight="1" x14ac:dyDescent="0.35">
      <c r="T45336" s="246">
        <f t="shared" si="746"/>
        <v>0</v>
      </c>
    </row>
    <row r="45337" spans="20:20" ht="18.75" customHeight="1" x14ac:dyDescent="0.35">
      <c r="T45337" s="246">
        <f t="shared" si="746"/>
        <v>0</v>
      </c>
    </row>
    <row r="45338" spans="20:20" ht="18.75" customHeight="1" x14ac:dyDescent="0.35">
      <c r="T45338" s="246">
        <f t="shared" si="746"/>
        <v>0</v>
      </c>
    </row>
    <row r="45339" spans="20:20" ht="18.75" customHeight="1" x14ac:dyDescent="0.35">
      <c r="T45339" s="246">
        <f t="shared" si="746"/>
        <v>0</v>
      </c>
    </row>
    <row r="45340" spans="20:20" ht="18.75" customHeight="1" x14ac:dyDescent="0.35">
      <c r="T45340" s="246">
        <f t="shared" si="746"/>
        <v>0</v>
      </c>
    </row>
    <row r="45341" spans="20:20" ht="18.75" customHeight="1" x14ac:dyDescent="0.35">
      <c r="T45341" s="246">
        <f t="shared" si="746"/>
        <v>0</v>
      </c>
    </row>
    <row r="45342" spans="20:20" ht="18.75" customHeight="1" x14ac:dyDescent="0.35">
      <c r="T45342" s="246">
        <f t="shared" si="746"/>
        <v>0</v>
      </c>
    </row>
    <row r="45343" spans="20:20" ht="18.75" customHeight="1" x14ac:dyDescent="0.35">
      <c r="T45343" s="246">
        <f t="shared" si="746"/>
        <v>0</v>
      </c>
    </row>
    <row r="45344" spans="20:20" ht="18.75" customHeight="1" x14ac:dyDescent="0.35">
      <c r="T45344" s="246">
        <f t="shared" si="746"/>
        <v>0</v>
      </c>
    </row>
    <row r="45345" spans="20:20" ht="18.75" customHeight="1" x14ac:dyDescent="0.35">
      <c r="T45345" s="246">
        <f t="shared" si="746"/>
        <v>0</v>
      </c>
    </row>
    <row r="45346" spans="20:20" ht="18.75" customHeight="1" x14ac:dyDescent="0.35">
      <c r="T45346" s="246">
        <f t="shared" si="746"/>
        <v>0</v>
      </c>
    </row>
    <row r="45347" spans="20:20" ht="18.75" customHeight="1" x14ac:dyDescent="0.35">
      <c r="T45347" s="246">
        <f t="shared" si="746"/>
        <v>0</v>
      </c>
    </row>
    <row r="45348" spans="20:20" ht="18.75" customHeight="1" x14ac:dyDescent="0.35">
      <c r="T45348" s="246">
        <f t="shared" si="746"/>
        <v>0</v>
      </c>
    </row>
    <row r="45349" spans="20:20" ht="18.75" customHeight="1" x14ac:dyDescent="0.35">
      <c r="T45349" s="246">
        <f t="shared" si="746"/>
        <v>0</v>
      </c>
    </row>
    <row r="45350" spans="20:20" ht="18.75" customHeight="1" x14ac:dyDescent="0.35">
      <c r="T45350" s="246">
        <f t="shared" si="746"/>
        <v>0</v>
      </c>
    </row>
    <row r="45351" spans="20:20" ht="18.75" customHeight="1" x14ac:dyDescent="0.35">
      <c r="T45351" s="246">
        <f t="shared" si="746"/>
        <v>0</v>
      </c>
    </row>
    <row r="45352" spans="20:20" ht="18.75" customHeight="1" x14ac:dyDescent="0.35">
      <c r="T45352" s="246">
        <f t="shared" si="746"/>
        <v>0</v>
      </c>
    </row>
    <row r="45353" spans="20:20" ht="18.75" customHeight="1" x14ac:dyDescent="0.35">
      <c r="T45353" s="246">
        <f t="shared" si="746"/>
        <v>0</v>
      </c>
    </row>
    <row r="45354" spans="20:20" ht="18.75" customHeight="1" x14ac:dyDescent="0.35">
      <c r="T45354" s="246">
        <f t="shared" si="746"/>
        <v>0</v>
      </c>
    </row>
    <row r="45355" spans="20:20" ht="18.75" customHeight="1" x14ac:dyDescent="0.35">
      <c r="T45355" s="246">
        <f t="shared" si="746"/>
        <v>0</v>
      </c>
    </row>
    <row r="45356" spans="20:20" ht="18.75" customHeight="1" x14ac:dyDescent="0.35">
      <c r="T45356" s="246">
        <f t="shared" si="746"/>
        <v>0</v>
      </c>
    </row>
    <row r="45357" spans="20:20" ht="18.75" customHeight="1" x14ac:dyDescent="0.35">
      <c r="T45357" s="246">
        <f t="shared" si="746"/>
        <v>0</v>
      </c>
    </row>
    <row r="45358" spans="20:20" ht="18.75" customHeight="1" x14ac:dyDescent="0.35">
      <c r="T45358" s="246">
        <f t="shared" si="746"/>
        <v>0</v>
      </c>
    </row>
    <row r="45359" spans="20:20" ht="18.75" customHeight="1" x14ac:dyDescent="0.35">
      <c r="T45359" s="246">
        <f t="shared" si="746"/>
        <v>0</v>
      </c>
    </row>
    <row r="45360" spans="20:20" ht="18.75" customHeight="1" x14ac:dyDescent="0.35">
      <c r="T45360" s="246">
        <f t="shared" si="746"/>
        <v>0</v>
      </c>
    </row>
    <row r="45361" spans="20:20" ht="18.75" customHeight="1" x14ac:dyDescent="0.35">
      <c r="T45361" s="246">
        <f t="shared" si="746"/>
        <v>0</v>
      </c>
    </row>
    <row r="45362" spans="20:20" ht="18.75" customHeight="1" x14ac:dyDescent="0.35">
      <c r="T45362" s="246">
        <f t="shared" si="746"/>
        <v>0</v>
      </c>
    </row>
    <row r="45363" spans="20:20" ht="18.75" customHeight="1" x14ac:dyDescent="0.35">
      <c r="T45363" s="246">
        <f t="shared" si="746"/>
        <v>0</v>
      </c>
    </row>
    <row r="45364" spans="20:20" ht="18.75" customHeight="1" x14ac:dyDescent="0.35">
      <c r="T45364" s="246">
        <f t="shared" si="746"/>
        <v>0</v>
      </c>
    </row>
    <row r="45365" spans="20:20" ht="18.75" customHeight="1" x14ac:dyDescent="0.35">
      <c r="T45365" s="246">
        <f t="shared" si="746"/>
        <v>0</v>
      </c>
    </row>
    <row r="45366" spans="20:20" ht="18.75" customHeight="1" x14ac:dyDescent="0.35">
      <c r="T45366" s="246">
        <f t="shared" si="746"/>
        <v>0</v>
      </c>
    </row>
    <row r="45367" spans="20:20" ht="18.75" customHeight="1" x14ac:dyDescent="0.35">
      <c r="T45367" s="246">
        <f t="shared" si="746"/>
        <v>0</v>
      </c>
    </row>
    <row r="45368" spans="20:20" ht="18.75" customHeight="1" x14ac:dyDescent="0.35">
      <c r="T45368" s="246">
        <f t="shared" si="746"/>
        <v>0</v>
      </c>
    </row>
    <row r="45369" spans="20:20" ht="18.75" customHeight="1" x14ac:dyDescent="0.35">
      <c r="T45369" s="246">
        <f t="shared" si="746"/>
        <v>0</v>
      </c>
    </row>
    <row r="45370" spans="20:20" ht="18.75" customHeight="1" x14ac:dyDescent="0.35">
      <c r="T45370" s="246">
        <f t="shared" si="746"/>
        <v>0</v>
      </c>
    </row>
    <row r="45371" spans="20:20" ht="18.75" customHeight="1" x14ac:dyDescent="0.35">
      <c r="T45371" s="246">
        <f t="shared" si="746"/>
        <v>0</v>
      </c>
    </row>
    <row r="45372" spans="20:20" ht="18.75" customHeight="1" x14ac:dyDescent="0.35">
      <c r="T45372" s="246">
        <f t="shared" ref="T45372:T45435" si="747">R45372*0.01</f>
        <v>0</v>
      </c>
    </row>
    <row r="45373" spans="20:20" ht="18.75" customHeight="1" x14ac:dyDescent="0.35">
      <c r="T45373" s="246">
        <f t="shared" si="747"/>
        <v>0</v>
      </c>
    </row>
    <row r="45374" spans="20:20" ht="18.75" customHeight="1" x14ac:dyDescent="0.35">
      <c r="T45374" s="246">
        <f t="shared" si="747"/>
        <v>0</v>
      </c>
    </row>
    <row r="45375" spans="20:20" ht="18.75" customHeight="1" x14ac:dyDescent="0.35">
      <c r="T45375" s="246">
        <f t="shared" si="747"/>
        <v>0</v>
      </c>
    </row>
    <row r="45376" spans="20:20" ht="18.75" customHeight="1" x14ac:dyDescent="0.35">
      <c r="T45376" s="246">
        <f t="shared" si="747"/>
        <v>0</v>
      </c>
    </row>
    <row r="45377" spans="20:20" ht="18.75" customHeight="1" x14ac:dyDescent="0.35">
      <c r="T45377" s="246">
        <f t="shared" si="747"/>
        <v>0</v>
      </c>
    </row>
    <row r="45378" spans="20:20" ht="18.75" customHeight="1" x14ac:dyDescent="0.35">
      <c r="T45378" s="246">
        <f t="shared" si="747"/>
        <v>0</v>
      </c>
    </row>
    <row r="45379" spans="20:20" ht="18.75" customHeight="1" x14ac:dyDescent="0.35">
      <c r="T45379" s="246">
        <f t="shared" si="747"/>
        <v>0</v>
      </c>
    </row>
    <row r="45380" spans="20:20" ht="18.75" customHeight="1" x14ac:dyDescent="0.35">
      <c r="T45380" s="246">
        <f t="shared" si="747"/>
        <v>0</v>
      </c>
    </row>
    <row r="45381" spans="20:20" ht="18.75" customHeight="1" x14ac:dyDescent="0.35">
      <c r="T45381" s="246">
        <f t="shared" si="747"/>
        <v>0</v>
      </c>
    </row>
    <row r="45382" spans="20:20" ht="18.75" customHeight="1" x14ac:dyDescent="0.35">
      <c r="T45382" s="246">
        <f t="shared" si="747"/>
        <v>0</v>
      </c>
    </row>
    <row r="45383" spans="20:20" ht="18.75" customHeight="1" x14ac:dyDescent="0.35">
      <c r="T45383" s="246">
        <f t="shared" si="747"/>
        <v>0</v>
      </c>
    </row>
    <row r="45384" spans="20:20" ht="18.75" customHeight="1" x14ac:dyDescent="0.35">
      <c r="T45384" s="246">
        <f t="shared" si="747"/>
        <v>0</v>
      </c>
    </row>
    <row r="45385" spans="20:20" ht="18.75" customHeight="1" x14ac:dyDescent="0.35">
      <c r="T45385" s="246">
        <f t="shared" si="747"/>
        <v>0</v>
      </c>
    </row>
    <row r="45386" spans="20:20" ht="18.75" customHeight="1" x14ac:dyDescent="0.35">
      <c r="T45386" s="246">
        <f t="shared" si="747"/>
        <v>0</v>
      </c>
    </row>
    <row r="45387" spans="20:20" ht="18.75" customHeight="1" x14ac:dyDescent="0.35">
      <c r="T45387" s="246">
        <f t="shared" si="747"/>
        <v>0</v>
      </c>
    </row>
    <row r="45388" spans="20:20" ht="18.75" customHeight="1" x14ac:dyDescent="0.35">
      <c r="T45388" s="246">
        <f t="shared" si="747"/>
        <v>0</v>
      </c>
    </row>
    <row r="45389" spans="20:20" ht="18.75" customHeight="1" x14ac:dyDescent="0.35">
      <c r="T45389" s="246">
        <f t="shared" si="747"/>
        <v>0</v>
      </c>
    </row>
    <row r="45390" spans="20:20" ht="18.75" customHeight="1" x14ac:dyDescent="0.35">
      <c r="T45390" s="246">
        <f t="shared" si="747"/>
        <v>0</v>
      </c>
    </row>
    <row r="45391" spans="20:20" ht="18.75" customHeight="1" x14ac:dyDescent="0.35">
      <c r="T45391" s="246">
        <f t="shared" si="747"/>
        <v>0</v>
      </c>
    </row>
    <row r="45392" spans="20:20" ht="18.75" customHeight="1" x14ac:dyDescent="0.35">
      <c r="T45392" s="246">
        <f t="shared" si="747"/>
        <v>0</v>
      </c>
    </row>
    <row r="45393" spans="20:20" ht="18.75" customHeight="1" x14ac:dyDescent="0.35">
      <c r="T45393" s="246">
        <f t="shared" si="747"/>
        <v>0</v>
      </c>
    </row>
    <row r="45394" spans="20:20" ht="18.75" customHeight="1" x14ac:dyDescent="0.35">
      <c r="T45394" s="246">
        <f t="shared" si="747"/>
        <v>0</v>
      </c>
    </row>
    <row r="45395" spans="20:20" ht="18.75" customHeight="1" x14ac:dyDescent="0.35">
      <c r="T45395" s="246">
        <f t="shared" si="747"/>
        <v>0</v>
      </c>
    </row>
    <row r="45396" spans="20:20" ht="18.75" customHeight="1" x14ac:dyDescent="0.35">
      <c r="T45396" s="246">
        <f t="shared" si="747"/>
        <v>0</v>
      </c>
    </row>
    <row r="45397" spans="20:20" ht="18.75" customHeight="1" x14ac:dyDescent="0.35">
      <c r="T45397" s="246">
        <f t="shared" si="747"/>
        <v>0</v>
      </c>
    </row>
    <row r="45398" spans="20:20" ht="18.75" customHeight="1" x14ac:dyDescent="0.35">
      <c r="T45398" s="246">
        <f t="shared" si="747"/>
        <v>0</v>
      </c>
    </row>
    <row r="45399" spans="20:20" ht="18.75" customHeight="1" x14ac:dyDescent="0.35">
      <c r="T45399" s="246">
        <f t="shared" si="747"/>
        <v>0</v>
      </c>
    </row>
    <row r="45400" spans="20:20" ht="18.75" customHeight="1" x14ac:dyDescent="0.35">
      <c r="T45400" s="246">
        <f t="shared" si="747"/>
        <v>0</v>
      </c>
    </row>
    <row r="45401" spans="20:20" ht="18.75" customHeight="1" x14ac:dyDescent="0.35">
      <c r="T45401" s="246">
        <f t="shared" si="747"/>
        <v>0</v>
      </c>
    </row>
    <row r="45402" spans="20:20" ht="18.75" customHeight="1" x14ac:dyDescent="0.35">
      <c r="T45402" s="246">
        <f t="shared" si="747"/>
        <v>0</v>
      </c>
    </row>
    <row r="45403" spans="20:20" ht="18.75" customHeight="1" x14ac:dyDescent="0.35">
      <c r="T45403" s="246">
        <f t="shared" si="747"/>
        <v>0</v>
      </c>
    </row>
    <row r="45404" spans="20:20" ht="18.75" customHeight="1" x14ac:dyDescent="0.35">
      <c r="T45404" s="246">
        <f t="shared" si="747"/>
        <v>0</v>
      </c>
    </row>
    <row r="45405" spans="20:20" ht="18.75" customHeight="1" x14ac:dyDescent="0.35">
      <c r="T45405" s="246">
        <f t="shared" si="747"/>
        <v>0</v>
      </c>
    </row>
    <row r="45406" spans="20:20" ht="18.75" customHeight="1" x14ac:dyDescent="0.35">
      <c r="T45406" s="246">
        <f t="shared" si="747"/>
        <v>0</v>
      </c>
    </row>
    <row r="45407" spans="20:20" ht="18.75" customHeight="1" x14ac:dyDescent="0.35">
      <c r="T45407" s="246">
        <f t="shared" si="747"/>
        <v>0</v>
      </c>
    </row>
    <row r="45408" spans="20:20" ht="18.75" customHeight="1" x14ac:dyDescent="0.35">
      <c r="T45408" s="246">
        <f t="shared" si="747"/>
        <v>0</v>
      </c>
    </row>
    <row r="45409" spans="20:20" ht="18.75" customHeight="1" x14ac:dyDescent="0.35">
      <c r="T45409" s="246">
        <f t="shared" si="747"/>
        <v>0</v>
      </c>
    </row>
    <row r="45410" spans="20:20" ht="18.75" customHeight="1" x14ac:dyDescent="0.35">
      <c r="T45410" s="246">
        <f t="shared" si="747"/>
        <v>0</v>
      </c>
    </row>
    <row r="45411" spans="20:20" ht="18.75" customHeight="1" x14ac:dyDescent="0.35">
      <c r="T45411" s="246">
        <f t="shared" si="747"/>
        <v>0</v>
      </c>
    </row>
    <row r="45412" spans="20:20" ht="18.75" customHeight="1" x14ac:dyDescent="0.35">
      <c r="T45412" s="246">
        <f t="shared" si="747"/>
        <v>0</v>
      </c>
    </row>
    <row r="45413" spans="20:20" ht="18.75" customHeight="1" x14ac:dyDescent="0.35">
      <c r="T45413" s="246">
        <f t="shared" si="747"/>
        <v>0</v>
      </c>
    </row>
    <row r="45414" spans="20:20" ht="18.75" customHeight="1" x14ac:dyDescent="0.35">
      <c r="T45414" s="246">
        <f t="shared" si="747"/>
        <v>0</v>
      </c>
    </row>
    <row r="45415" spans="20:20" ht="18.75" customHeight="1" x14ac:dyDescent="0.35">
      <c r="T45415" s="246">
        <f t="shared" si="747"/>
        <v>0</v>
      </c>
    </row>
    <row r="45416" spans="20:20" ht="18.75" customHeight="1" x14ac:dyDescent="0.35">
      <c r="T45416" s="246">
        <f t="shared" si="747"/>
        <v>0</v>
      </c>
    </row>
    <row r="45417" spans="20:20" ht="18.75" customHeight="1" x14ac:dyDescent="0.35">
      <c r="T45417" s="246">
        <f t="shared" si="747"/>
        <v>0</v>
      </c>
    </row>
    <row r="45418" spans="20:20" ht="18.75" customHeight="1" x14ac:dyDescent="0.35">
      <c r="T45418" s="246">
        <f t="shared" si="747"/>
        <v>0</v>
      </c>
    </row>
    <row r="45419" spans="20:20" ht="18.75" customHeight="1" x14ac:dyDescent="0.35">
      <c r="T45419" s="246">
        <f t="shared" si="747"/>
        <v>0</v>
      </c>
    </row>
    <row r="45420" spans="20:20" ht="18.75" customHeight="1" x14ac:dyDescent="0.35">
      <c r="T45420" s="246">
        <f t="shared" si="747"/>
        <v>0</v>
      </c>
    </row>
    <row r="45421" spans="20:20" ht="18.75" customHeight="1" x14ac:dyDescent="0.35">
      <c r="T45421" s="246">
        <f t="shared" si="747"/>
        <v>0</v>
      </c>
    </row>
    <row r="45422" spans="20:20" ht="18.75" customHeight="1" x14ac:dyDescent="0.35">
      <c r="T45422" s="246">
        <f t="shared" si="747"/>
        <v>0</v>
      </c>
    </row>
    <row r="45423" spans="20:20" ht="18.75" customHeight="1" x14ac:dyDescent="0.35">
      <c r="T45423" s="246">
        <f t="shared" si="747"/>
        <v>0</v>
      </c>
    </row>
    <row r="45424" spans="20:20" ht="18.75" customHeight="1" x14ac:dyDescent="0.35">
      <c r="T45424" s="246">
        <f t="shared" si="747"/>
        <v>0</v>
      </c>
    </row>
    <row r="45425" spans="20:20" ht="18.75" customHeight="1" x14ac:dyDescent="0.35">
      <c r="T45425" s="246">
        <f t="shared" si="747"/>
        <v>0</v>
      </c>
    </row>
    <row r="45426" spans="20:20" ht="18.75" customHeight="1" x14ac:dyDescent="0.35">
      <c r="T45426" s="246">
        <f t="shared" si="747"/>
        <v>0</v>
      </c>
    </row>
    <row r="45427" spans="20:20" ht="18.75" customHeight="1" x14ac:dyDescent="0.35">
      <c r="T45427" s="246">
        <f t="shared" si="747"/>
        <v>0</v>
      </c>
    </row>
    <row r="45428" spans="20:20" ht="18.75" customHeight="1" x14ac:dyDescent="0.35">
      <c r="T45428" s="246">
        <f t="shared" si="747"/>
        <v>0</v>
      </c>
    </row>
    <row r="45429" spans="20:20" ht="18.75" customHeight="1" x14ac:dyDescent="0.35">
      <c r="T45429" s="246">
        <f t="shared" si="747"/>
        <v>0</v>
      </c>
    </row>
    <row r="45430" spans="20:20" ht="18.75" customHeight="1" x14ac:dyDescent="0.35">
      <c r="T45430" s="246">
        <f t="shared" si="747"/>
        <v>0</v>
      </c>
    </row>
    <row r="45431" spans="20:20" ht="18.75" customHeight="1" x14ac:dyDescent="0.35">
      <c r="T45431" s="246">
        <f t="shared" si="747"/>
        <v>0</v>
      </c>
    </row>
    <row r="45432" spans="20:20" ht="18.75" customHeight="1" x14ac:dyDescent="0.35">
      <c r="T45432" s="246">
        <f t="shared" si="747"/>
        <v>0</v>
      </c>
    </row>
    <row r="45433" spans="20:20" ht="18.75" customHeight="1" x14ac:dyDescent="0.35">
      <c r="T45433" s="246">
        <f t="shared" si="747"/>
        <v>0</v>
      </c>
    </row>
    <row r="45434" spans="20:20" ht="18.75" customHeight="1" x14ac:dyDescent="0.35">
      <c r="T45434" s="246">
        <f t="shared" si="747"/>
        <v>0</v>
      </c>
    </row>
    <row r="45435" spans="20:20" ht="18.75" customHeight="1" x14ac:dyDescent="0.35">
      <c r="T45435" s="246">
        <f t="shared" si="747"/>
        <v>0</v>
      </c>
    </row>
    <row r="45436" spans="20:20" ht="18.75" customHeight="1" x14ac:dyDescent="0.35">
      <c r="T45436" s="246">
        <f t="shared" ref="T45436:T45499" si="748">R45436*0.01</f>
        <v>0</v>
      </c>
    </row>
    <row r="45437" spans="20:20" ht="18.75" customHeight="1" x14ac:dyDescent="0.35">
      <c r="T45437" s="246">
        <f t="shared" si="748"/>
        <v>0</v>
      </c>
    </row>
    <row r="45438" spans="20:20" ht="18.75" customHeight="1" x14ac:dyDescent="0.35">
      <c r="T45438" s="246">
        <f t="shared" si="748"/>
        <v>0</v>
      </c>
    </row>
    <row r="45439" spans="20:20" ht="18.75" customHeight="1" x14ac:dyDescent="0.35">
      <c r="T45439" s="246">
        <f t="shared" si="748"/>
        <v>0</v>
      </c>
    </row>
    <row r="45440" spans="20:20" ht="18.75" customHeight="1" x14ac:dyDescent="0.35">
      <c r="T45440" s="246">
        <f t="shared" si="748"/>
        <v>0</v>
      </c>
    </row>
    <row r="45441" spans="20:20" ht="18.75" customHeight="1" x14ac:dyDescent="0.35">
      <c r="T45441" s="246">
        <f t="shared" si="748"/>
        <v>0</v>
      </c>
    </row>
    <row r="45442" spans="20:20" ht="18.75" customHeight="1" x14ac:dyDescent="0.35">
      <c r="T45442" s="246">
        <f t="shared" si="748"/>
        <v>0</v>
      </c>
    </row>
    <row r="45443" spans="20:20" ht="18.75" customHeight="1" x14ac:dyDescent="0.35">
      <c r="T45443" s="246">
        <f t="shared" si="748"/>
        <v>0</v>
      </c>
    </row>
    <row r="45444" spans="20:20" ht="18.75" customHeight="1" x14ac:dyDescent="0.35">
      <c r="T45444" s="246">
        <f t="shared" si="748"/>
        <v>0</v>
      </c>
    </row>
    <row r="45445" spans="20:20" ht="18.75" customHeight="1" x14ac:dyDescent="0.35">
      <c r="T45445" s="246">
        <f t="shared" si="748"/>
        <v>0</v>
      </c>
    </row>
    <row r="45446" spans="20:20" ht="18.75" customHeight="1" x14ac:dyDescent="0.35">
      <c r="T45446" s="246">
        <f t="shared" si="748"/>
        <v>0</v>
      </c>
    </row>
    <row r="45447" spans="20:20" ht="18.75" customHeight="1" x14ac:dyDescent="0.35">
      <c r="T45447" s="246">
        <f t="shared" si="748"/>
        <v>0</v>
      </c>
    </row>
    <row r="45448" spans="20:20" ht="18.75" customHeight="1" x14ac:dyDescent="0.35">
      <c r="T45448" s="246">
        <f t="shared" si="748"/>
        <v>0</v>
      </c>
    </row>
    <row r="45449" spans="20:20" ht="18.75" customHeight="1" x14ac:dyDescent="0.35">
      <c r="T45449" s="246">
        <f t="shared" si="748"/>
        <v>0</v>
      </c>
    </row>
    <row r="45450" spans="20:20" ht="18.75" customHeight="1" x14ac:dyDescent="0.35">
      <c r="T45450" s="246">
        <f t="shared" si="748"/>
        <v>0</v>
      </c>
    </row>
    <row r="45451" spans="20:20" ht="18.75" customHeight="1" x14ac:dyDescent="0.35">
      <c r="T45451" s="246">
        <f t="shared" si="748"/>
        <v>0</v>
      </c>
    </row>
    <row r="45452" spans="20:20" ht="18.75" customHeight="1" x14ac:dyDescent="0.35">
      <c r="T45452" s="246">
        <f t="shared" si="748"/>
        <v>0</v>
      </c>
    </row>
    <row r="45453" spans="20:20" ht="18.75" customHeight="1" x14ac:dyDescent="0.35">
      <c r="T45453" s="246">
        <f t="shared" si="748"/>
        <v>0</v>
      </c>
    </row>
    <row r="45454" spans="20:20" ht="18.75" customHeight="1" x14ac:dyDescent="0.35">
      <c r="T45454" s="246">
        <f t="shared" si="748"/>
        <v>0</v>
      </c>
    </row>
    <row r="45455" spans="20:20" ht="18.75" customHeight="1" x14ac:dyDescent="0.35">
      <c r="T45455" s="246">
        <f t="shared" si="748"/>
        <v>0</v>
      </c>
    </row>
    <row r="45456" spans="20:20" ht="18.75" customHeight="1" x14ac:dyDescent="0.35">
      <c r="T45456" s="246">
        <f t="shared" si="748"/>
        <v>0</v>
      </c>
    </row>
    <row r="45457" spans="20:20" ht="18.75" customHeight="1" x14ac:dyDescent="0.35">
      <c r="T45457" s="246">
        <f t="shared" si="748"/>
        <v>0</v>
      </c>
    </row>
    <row r="45458" spans="20:20" ht="18.75" customHeight="1" x14ac:dyDescent="0.35">
      <c r="T45458" s="246">
        <f t="shared" si="748"/>
        <v>0</v>
      </c>
    </row>
    <row r="45459" spans="20:20" ht="18.75" customHeight="1" x14ac:dyDescent="0.35">
      <c r="T45459" s="246">
        <f t="shared" si="748"/>
        <v>0</v>
      </c>
    </row>
    <row r="45460" spans="20:20" ht="18.75" customHeight="1" x14ac:dyDescent="0.35">
      <c r="T45460" s="246">
        <f t="shared" si="748"/>
        <v>0</v>
      </c>
    </row>
    <row r="45461" spans="20:20" ht="18.75" customHeight="1" x14ac:dyDescent="0.35">
      <c r="T45461" s="246">
        <f t="shared" si="748"/>
        <v>0</v>
      </c>
    </row>
    <row r="45462" spans="20:20" ht="18.75" customHeight="1" x14ac:dyDescent="0.35">
      <c r="T45462" s="246">
        <f t="shared" si="748"/>
        <v>0</v>
      </c>
    </row>
    <row r="45463" spans="20:20" ht="18.75" customHeight="1" x14ac:dyDescent="0.35">
      <c r="T45463" s="246">
        <f t="shared" si="748"/>
        <v>0</v>
      </c>
    </row>
    <row r="45464" spans="20:20" ht="18.75" customHeight="1" x14ac:dyDescent="0.35">
      <c r="T45464" s="246">
        <f t="shared" si="748"/>
        <v>0</v>
      </c>
    </row>
    <row r="45465" spans="20:20" ht="18.75" customHeight="1" x14ac:dyDescent="0.35">
      <c r="T45465" s="246">
        <f t="shared" si="748"/>
        <v>0</v>
      </c>
    </row>
    <row r="45466" spans="20:20" ht="18.75" customHeight="1" x14ac:dyDescent="0.35">
      <c r="T45466" s="246">
        <f t="shared" si="748"/>
        <v>0</v>
      </c>
    </row>
    <row r="45467" spans="20:20" ht="18.75" customHeight="1" x14ac:dyDescent="0.35">
      <c r="T45467" s="246">
        <f t="shared" si="748"/>
        <v>0</v>
      </c>
    </row>
    <row r="45468" spans="20:20" ht="18.75" customHeight="1" x14ac:dyDescent="0.35">
      <c r="T45468" s="246">
        <f t="shared" si="748"/>
        <v>0</v>
      </c>
    </row>
    <row r="45469" spans="20:20" ht="18.75" customHeight="1" x14ac:dyDescent="0.35">
      <c r="T45469" s="246">
        <f t="shared" si="748"/>
        <v>0</v>
      </c>
    </row>
    <row r="45470" spans="20:20" ht="18.75" customHeight="1" x14ac:dyDescent="0.35">
      <c r="T45470" s="246">
        <f t="shared" si="748"/>
        <v>0</v>
      </c>
    </row>
    <row r="45471" spans="20:20" ht="18.75" customHeight="1" x14ac:dyDescent="0.35">
      <c r="T45471" s="246">
        <f t="shared" si="748"/>
        <v>0</v>
      </c>
    </row>
    <row r="45472" spans="20:20" ht="18.75" customHeight="1" x14ac:dyDescent="0.35">
      <c r="T45472" s="246">
        <f t="shared" si="748"/>
        <v>0</v>
      </c>
    </row>
    <row r="45473" spans="20:20" ht="18.75" customHeight="1" x14ac:dyDescent="0.35">
      <c r="T45473" s="246">
        <f t="shared" si="748"/>
        <v>0</v>
      </c>
    </row>
    <row r="45474" spans="20:20" ht="18.75" customHeight="1" x14ac:dyDescent="0.35">
      <c r="T45474" s="246">
        <f t="shared" si="748"/>
        <v>0</v>
      </c>
    </row>
    <row r="45475" spans="20:20" ht="18.75" customHeight="1" x14ac:dyDescent="0.35">
      <c r="T45475" s="246">
        <f t="shared" si="748"/>
        <v>0</v>
      </c>
    </row>
    <row r="45476" spans="20:20" ht="18.75" customHeight="1" x14ac:dyDescent="0.35">
      <c r="T45476" s="246">
        <f t="shared" si="748"/>
        <v>0</v>
      </c>
    </row>
    <row r="45477" spans="20:20" ht="18.75" customHeight="1" x14ac:dyDescent="0.35">
      <c r="T45477" s="246">
        <f t="shared" si="748"/>
        <v>0</v>
      </c>
    </row>
    <row r="45478" spans="20:20" ht="18.75" customHeight="1" x14ac:dyDescent="0.35">
      <c r="T45478" s="246">
        <f t="shared" si="748"/>
        <v>0</v>
      </c>
    </row>
    <row r="45479" spans="20:20" ht="18.75" customHeight="1" x14ac:dyDescent="0.35">
      <c r="T45479" s="246">
        <f t="shared" si="748"/>
        <v>0</v>
      </c>
    </row>
    <row r="45480" spans="20:20" ht="18.75" customHeight="1" x14ac:dyDescent="0.35">
      <c r="T45480" s="246">
        <f t="shared" si="748"/>
        <v>0</v>
      </c>
    </row>
    <row r="45481" spans="20:20" ht="18.75" customHeight="1" x14ac:dyDescent="0.35">
      <c r="T45481" s="246">
        <f t="shared" si="748"/>
        <v>0</v>
      </c>
    </row>
    <row r="45482" spans="20:20" ht="18.75" customHeight="1" x14ac:dyDescent="0.35">
      <c r="T45482" s="246">
        <f t="shared" si="748"/>
        <v>0</v>
      </c>
    </row>
    <row r="45483" spans="20:20" ht="18.75" customHeight="1" x14ac:dyDescent="0.35">
      <c r="T45483" s="246">
        <f t="shared" si="748"/>
        <v>0</v>
      </c>
    </row>
    <row r="45484" spans="20:20" ht="18.75" customHeight="1" x14ac:dyDescent="0.35">
      <c r="T45484" s="246">
        <f t="shared" si="748"/>
        <v>0</v>
      </c>
    </row>
    <row r="45485" spans="20:20" ht="18.75" customHeight="1" x14ac:dyDescent="0.35">
      <c r="T45485" s="246">
        <f t="shared" si="748"/>
        <v>0</v>
      </c>
    </row>
    <row r="45486" spans="20:20" ht="18.75" customHeight="1" x14ac:dyDescent="0.35">
      <c r="T45486" s="246">
        <f t="shared" si="748"/>
        <v>0</v>
      </c>
    </row>
    <row r="45487" spans="20:20" ht="18.75" customHeight="1" x14ac:dyDescent="0.35">
      <c r="T45487" s="246">
        <f t="shared" si="748"/>
        <v>0</v>
      </c>
    </row>
    <row r="45488" spans="20:20" ht="18.75" customHeight="1" x14ac:dyDescent="0.35">
      <c r="T45488" s="246">
        <f t="shared" si="748"/>
        <v>0</v>
      </c>
    </row>
    <row r="45489" spans="20:20" ht="18.75" customHeight="1" x14ac:dyDescent="0.35">
      <c r="T45489" s="246">
        <f t="shared" si="748"/>
        <v>0</v>
      </c>
    </row>
    <row r="45490" spans="20:20" ht="18.75" customHeight="1" x14ac:dyDescent="0.35">
      <c r="T45490" s="246">
        <f t="shared" si="748"/>
        <v>0</v>
      </c>
    </row>
    <row r="45491" spans="20:20" ht="18.75" customHeight="1" x14ac:dyDescent="0.35">
      <c r="T45491" s="246">
        <f t="shared" si="748"/>
        <v>0</v>
      </c>
    </row>
    <row r="45492" spans="20:20" ht="18.75" customHeight="1" x14ac:dyDescent="0.35">
      <c r="T45492" s="246">
        <f t="shared" si="748"/>
        <v>0</v>
      </c>
    </row>
    <row r="45493" spans="20:20" ht="18.75" customHeight="1" x14ac:dyDescent="0.35">
      <c r="T45493" s="246">
        <f t="shared" si="748"/>
        <v>0</v>
      </c>
    </row>
    <row r="45494" spans="20:20" ht="18.75" customHeight="1" x14ac:dyDescent="0.35">
      <c r="T45494" s="246">
        <f t="shared" si="748"/>
        <v>0</v>
      </c>
    </row>
    <row r="45495" spans="20:20" ht="18.75" customHeight="1" x14ac:dyDescent="0.35">
      <c r="T45495" s="246">
        <f t="shared" si="748"/>
        <v>0</v>
      </c>
    </row>
    <row r="45496" spans="20:20" ht="18.75" customHeight="1" x14ac:dyDescent="0.35">
      <c r="T45496" s="246">
        <f t="shared" si="748"/>
        <v>0</v>
      </c>
    </row>
    <row r="45497" spans="20:20" ht="18.75" customHeight="1" x14ac:dyDescent="0.35">
      <c r="T45497" s="246">
        <f t="shared" si="748"/>
        <v>0</v>
      </c>
    </row>
    <row r="45498" spans="20:20" ht="18.75" customHeight="1" x14ac:dyDescent="0.35">
      <c r="T45498" s="246">
        <f t="shared" si="748"/>
        <v>0</v>
      </c>
    </row>
    <row r="45499" spans="20:20" ht="18.75" customHeight="1" x14ac:dyDescent="0.35">
      <c r="T45499" s="246">
        <f t="shared" si="748"/>
        <v>0</v>
      </c>
    </row>
    <row r="45500" spans="20:20" ht="18.75" customHeight="1" x14ac:dyDescent="0.35">
      <c r="T45500" s="246">
        <f t="shared" ref="T45500:T45563" si="749">R45500*0.01</f>
        <v>0</v>
      </c>
    </row>
    <row r="45501" spans="20:20" ht="18.75" customHeight="1" x14ac:dyDescent="0.35">
      <c r="T45501" s="246">
        <f t="shared" si="749"/>
        <v>0</v>
      </c>
    </row>
    <row r="45502" spans="20:20" ht="18.75" customHeight="1" x14ac:dyDescent="0.35">
      <c r="T45502" s="246">
        <f t="shared" si="749"/>
        <v>0</v>
      </c>
    </row>
    <row r="45503" spans="20:20" ht="18.75" customHeight="1" x14ac:dyDescent="0.35">
      <c r="T45503" s="246">
        <f t="shared" si="749"/>
        <v>0</v>
      </c>
    </row>
    <row r="45504" spans="20:20" ht="18.75" customHeight="1" x14ac:dyDescent="0.35">
      <c r="T45504" s="246">
        <f t="shared" si="749"/>
        <v>0</v>
      </c>
    </row>
    <row r="45505" spans="20:20" ht="18.75" customHeight="1" x14ac:dyDescent="0.35">
      <c r="T45505" s="246">
        <f t="shared" si="749"/>
        <v>0</v>
      </c>
    </row>
    <row r="45506" spans="20:20" ht="18.75" customHeight="1" x14ac:dyDescent="0.35">
      <c r="T45506" s="246">
        <f t="shared" si="749"/>
        <v>0</v>
      </c>
    </row>
    <row r="45507" spans="20:20" ht="18.75" customHeight="1" x14ac:dyDescent="0.35">
      <c r="T45507" s="246">
        <f t="shared" si="749"/>
        <v>0</v>
      </c>
    </row>
    <row r="45508" spans="20:20" ht="18.75" customHeight="1" x14ac:dyDescent="0.35">
      <c r="T45508" s="246">
        <f t="shared" si="749"/>
        <v>0</v>
      </c>
    </row>
    <row r="45509" spans="20:20" ht="18.75" customHeight="1" x14ac:dyDescent="0.35">
      <c r="T45509" s="246">
        <f t="shared" si="749"/>
        <v>0</v>
      </c>
    </row>
    <row r="45510" spans="20:20" ht="18.75" customHeight="1" x14ac:dyDescent="0.35">
      <c r="T45510" s="246">
        <f t="shared" si="749"/>
        <v>0</v>
      </c>
    </row>
    <row r="45511" spans="20:20" ht="18.75" customHeight="1" x14ac:dyDescent="0.35">
      <c r="T45511" s="246">
        <f t="shared" si="749"/>
        <v>0</v>
      </c>
    </row>
    <row r="45512" spans="20:20" ht="18.75" customHeight="1" x14ac:dyDescent="0.35">
      <c r="T45512" s="246">
        <f t="shared" si="749"/>
        <v>0</v>
      </c>
    </row>
    <row r="45513" spans="20:20" ht="18.75" customHeight="1" x14ac:dyDescent="0.35">
      <c r="T45513" s="246">
        <f t="shared" si="749"/>
        <v>0</v>
      </c>
    </row>
    <row r="45514" spans="20:20" ht="18.75" customHeight="1" x14ac:dyDescent="0.35">
      <c r="T45514" s="246">
        <f t="shared" si="749"/>
        <v>0</v>
      </c>
    </row>
    <row r="45515" spans="20:20" ht="18.75" customHeight="1" x14ac:dyDescent="0.35">
      <c r="T45515" s="246">
        <f t="shared" si="749"/>
        <v>0</v>
      </c>
    </row>
    <row r="45516" spans="20:20" ht="18.75" customHeight="1" x14ac:dyDescent="0.35">
      <c r="T45516" s="246">
        <f t="shared" si="749"/>
        <v>0</v>
      </c>
    </row>
    <row r="45517" spans="20:20" ht="18.75" customHeight="1" x14ac:dyDescent="0.35">
      <c r="T45517" s="246">
        <f t="shared" si="749"/>
        <v>0</v>
      </c>
    </row>
    <row r="45518" spans="20:20" ht="18.75" customHeight="1" x14ac:dyDescent="0.35">
      <c r="T45518" s="246">
        <f t="shared" si="749"/>
        <v>0</v>
      </c>
    </row>
    <row r="45519" spans="20:20" ht="18.75" customHeight="1" x14ac:dyDescent="0.35">
      <c r="T45519" s="246">
        <f t="shared" si="749"/>
        <v>0</v>
      </c>
    </row>
    <row r="45520" spans="20:20" ht="18.75" customHeight="1" x14ac:dyDescent="0.35">
      <c r="T45520" s="246">
        <f t="shared" si="749"/>
        <v>0</v>
      </c>
    </row>
    <row r="45521" spans="20:20" ht="18.75" customHeight="1" x14ac:dyDescent="0.35">
      <c r="T45521" s="246">
        <f t="shared" si="749"/>
        <v>0</v>
      </c>
    </row>
    <row r="45522" spans="20:20" ht="18.75" customHeight="1" x14ac:dyDescent="0.35">
      <c r="T45522" s="246">
        <f t="shared" si="749"/>
        <v>0</v>
      </c>
    </row>
    <row r="45523" spans="20:20" ht="18.75" customHeight="1" x14ac:dyDescent="0.35">
      <c r="T45523" s="246">
        <f t="shared" si="749"/>
        <v>0</v>
      </c>
    </row>
    <row r="45524" spans="20:20" ht="18.75" customHeight="1" x14ac:dyDescent="0.35">
      <c r="T45524" s="246">
        <f t="shared" si="749"/>
        <v>0</v>
      </c>
    </row>
    <row r="45525" spans="20:20" ht="18.75" customHeight="1" x14ac:dyDescent="0.35">
      <c r="T45525" s="246">
        <f t="shared" si="749"/>
        <v>0</v>
      </c>
    </row>
    <row r="45526" spans="20:20" ht="18.75" customHeight="1" x14ac:dyDescent="0.35">
      <c r="T45526" s="246">
        <f t="shared" si="749"/>
        <v>0</v>
      </c>
    </row>
    <row r="45527" spans="20:20" ht="18.75" customHeight="1" x14ac:dyDescent="0.35">
      <c r="T45527" s="246">
        <f t="shared" si="749"/>
        <v>0</v>
      </c>
    </row>
    <row r="45528" spans="20:20" ht="18.75" customHeight="1" x14ac:dyDescent="0.35">
      <c r="T45528" s="246">
        <f t="shared" si="749"/>
        <v>0</v>
      </c>
    </row>
    <row r="45529" spans="20:20" ht="18.75" customHeight="1" x14ac:dyDescent="0.35">
      <c r="T45529" s="246">
        <f t="shared" si="749"/>
        <v>0</v>
      </c>
    </row>
    <row r="45530" spans="20:20" ht="18.75" customHeight="1" x14ac:dyDescent="0.35">
      <c r="T45530" s="246">
        <f t="shared" si="749"/>
        <v>0</v>
      </c>
    </row>
    <row r="45531" spans="20:20" ht="18.75" customHeight="1" x14ac:dyDescent="0.35">
      <c r="T45531" s="246">
        <f t="shared" si="749"/>
        <v>0</v>
      </c>
    </row>
    <row r="45532" spans="20:20" ht="18.75" customHeight="1" x14ac:dyDescent="0.35">
      <c r="T45532" s="246">
        <f t="shared" si="749"/>
        <v>0</v>
      </c>
    </row>
    <row r="45533" spans="20:20" ht="18.75" customHeight="1" x14ac:dyDescent="0.35">
      <c r="T45533" s="246">
        <f t="shared" si="749"/>
        <v>0</v>
      </c>
    </row>
    <row r="45534" spans="20:20" ht="18.75" customHeight="1" x14ac:dyDescent="0.35">
      <c r="T45534" s="246">
        <f t="shared" si="749"/>
        <v>0</v>
      </c>
    </row>
    <row r="45535" spans="20:20" ht="18.75" customHeight="1" x14ac:dyDescent="0.35">
      <c r="T45535" s="246">
        <f t="shared" si="749"/>
        <v>0</v>
      </c>
    </row>
    <row r="45536" spans="20:20" ht="18.75" customHeight="1" x14ac:dyDescent="0.35">
      <c r="T45536" s="246">
        <f t="shared" si="749"/>
        <v>0</v>
      </c>
    </row>
    <row r="45537" spans="20:20" ht="18.75" customHeight="1" x14ac:dyDescent="0.35">
      <c r="T45537" s="246">
        <f t="shared" si="749"/>
        <v>0</v>
      </c>
    </row>
    <row r="45538" spans="20:20" ht="18.75" customHeight="1" x14ac:dyDescent="0.35">
      <c r="T45538" s="246">
        <f t="shared" si="749"/>
        <v>0</v>
      </c>
    </row>
    <row r="45539" spans="20:20" ht="18.75" customHeight="1" x14ac:dyDescent="0.35">
      <c r="T45539" s="246">
        <f t="shared" si="749"/>
        <v>0</v>
      </c>
    </row>
    <row r="45540" spans="20:20" ht="18.75" customHeight="1" x14ac:dyDescent="0.35">
      <c r="T45540" s="246">
        <f t="shared" si="749"/>
        <v>0</v>
      </c>
    </row>
    <row r="45541" spans="20:20" ht="18.75" customHeight="1" x14ac:dyDescent="0.35">
      <c r="T45541" s="246">
        <f t="shared" si="749"/>
        <v>0</v>
      </c>
    </row>
    <row r="45542" spans="20:20" ht="18.75" customHeight="1" x14ac:dyDescent="0.35">
      <c r="T45542" s="246">
        <f t="shared" si="749"/>
        <v>0</v>
      </c>
    </row>
    <row r="45543" spans="20:20" ht="18.75" customHeight="1" x14ac:dyDescent="0.35">
      <c r="T45543" s="246">
        <f t="shared" si="749"/>
        <v>0</v>
      </c>
    </row>
    <row r="45544" spans="20:20" ht="18.75" customHeight="1" x14ac:dyDescent="0.35">
      <c r="T45544" s="246">
        <f t="shared" si="749"/>
        <v>0</v>
      </c>
    </row>
    <row r="45545" spans="20:20" ht="18.75" customHeight="1" x14ac:dyDescent="0.35">
      <c r="T45545" s="246">
        <f t="shared" si="749"/>
        <v>0</v>
      </c>
    </row>
    <row r="45546" spans="20:20" ht="18.75" customHeight="1" x14ac:dyDescent="0.35">
      <c r="T45546" s="246">
        <f t="shared" si="749"/>
        <v>0</v>
      </c>
    </row>
    <row r="45547" spans="20:20" ht="18.75" customHeight="1" x14ac:dyDescent="0.35">
      <c r="T45547" s="246">
        <f t="shared" si="749"/>
        <v>0</v>
      </c>
    </row>
    <row r="45548" spans="20:20" ht="18.75" customHeight="1" x14ac:dyDescent="0.35">
      <c r="T45548" s="246">
        <f t="shared" si="749"/>
        <v>0</v>
      </c>
    </row>
    <row r="45549" spans="20:20" ht="18.75" customHeight="1" x14ac:dyDescent="0.35">
      <c r="T45549" s="246">
        <f t="shared" si="749"/>
        <v>0</v>
      </c>
    </row>
    <row r="45550" spans="20:20" ht="18.75" customHeight="1" x14ac:dyDescent="0.35">
      <c r="T45550" s="246">
        <f t="shared" si="749"/>
        <v>0</v>
      </c>
    </row>
    <row r="45551" spans="20:20" ht="18.75" customHeight="1" x14ac:dyDescent="0.35">
      <c r="T45551" s="246">
        <f t="shared" si="749"/>
        <v>0</v>
      </c>
    </row>
    <row r="45552" spans="20:20" ht="18.75" customHeight="1" x14ac:dyDescent="0.35">
      <c r="T45552" s="246">
        <f t="shared" si="749"/>
        <v>0</v>
      </c>
    </row>
    <row r="45553" spans="20:20" ht="18.75" customHeight="1" x14ac:dyDescent="0.35">
      <c r="T45553" s="246">
        <f t="shared" si="749"/>
        <v>0</v>
      </c>
    </row>
    <row r="45554" spans="20:20" ht="18.75" customHeight="1" x14ac:dyDescent="0.35">
      <c r="T45554" s="246">
        <f t="shared" si="749"/>
        <v>0</v>
      </c>
    </row>
    <row r="45555" spans="20:20" ht="18.75" customHeight="1" x14ac:dyDescent="0.35">
      <c r="T45555" s="246">
        <f t="shared" si="749"/>
        <v>0</v>
      </c>
    </row>
    <row r="45556" spans="20:20" ht="18.75" customHeight="1" x14ac:dyDescent="0.35">
      <c r="T45556" s="246">
        <f t="shared" si="749"/>
        <v>0</v>
      </c>
    </row>
    <row r="45557" spans="20:20" ht="18.75" customHeight="1" x14ac:dyDescent="0.35">
      <c r="T45557" s="246">
        <f t="shared" si="749"/>
        <v>0</v>
      </c>
    </row>
    <row r="45558" spans="20:20" ht="18.75" customHeight="1" x14ac:dyDescent="0.35">
      <c r="T45558" s="246">
        <f t="shared" si="749"/>
        <v>0</v>
      </c>
    </row>
    <row r="45559" spans="20:20" ht="18.75" customHeight="1" x14ac:dyDescent="0.35">
      <c r="T45559" s="246">
        <f t="shared" si="749"/>
        <v>0</v>
      </c>
    </row>
    <row r="45560" spans="20:20" ht="18.75" customHeight="1" x14ac:dyDescent="0.35">
      <c r="T45560" s="246">
        <f t="shared" si="749"/>
        <v>0</v>
      </c>
    </row>
    <row r="45561" spans="20:20" ht="18.75" customHeight="1" x14ac:dyDescent="0.35">
      <c r="T45561" s="246">
        <f t="shared" si="749"/>
        <v>0</v>
      </c>
    </row>
    <row r="45562" spans="20:20" ht="18.75" customHeight="1" x14ac:dyDescent="0.35">
      <c r="T45562" s="246">
        <f t="shared" si="749"/>
        <v>0</v>
      </c>
    </row>
    <row r="45563" spans="20:20" ht="18.75" customHeight="1" x14ac:dyDescent="0.35">
      <c r="T45563" s="246">
        <f t="shared" si="749"/>
        <v>0</v>
      </c>
    </row>
    <row r="45564" spans="20:20" ht="18.75" customHeight="1" x14ac:dyDescent="0.35">
      <c r="T45564" s="246">
        <f t="shared" ref="T45564:T45627" si="750">R45564*0.01</f>
        <v>0</v>
      </c>
    </row>
    <row r="45565" spans="20:20" ht="18.75" customHeight="1" x14ac:dyDescent="0.35">
      <c r="T45565" s="246">
        <f t="shared" si="750"/>
        <v>0</v>
      </c>
    </row>
    <row r="45566" spans="20:20" ht="18.75" customHeight="1" x14ac:dyDescent="0.35">
      <c r="T45566" s="246">
        <f t="shared" si="750"/>
        <v>0</v>
      </c>
    </row>
    <row r="45567" spans="20:20" ht="18.75" customHeight="1" x14ac:dyDescent="0.35">
      <c r="T45567" s="246">
        <f t="shared" si="750"/>
        <v>0</v>
      </c>
    </row>
    <row r="45568" spans="20:20" ht="18.75" customHeight="1" x14ac:dyDescent="0.35">
      <c r="T45568" s="246">
        <f t="shared" si="750"/>
        <v>0</v>
      </c>
    </row>
    <row r="45569" spans="20:20" ht="18.75" customHeight="1" x14ac:dyDescent="0.35">
      <c r="T45569" s="246">
        <f t="shared" si="750"/>
        <v>0</v>
      </c>
    </row>
    <row r="45570" spans="20:20" ht="18.75" customHeight="1" x14ac:dyDescent="0.35">
      <c r="T45570" s="246">
        <f t="shared" si="750"/>
        <v>0</v>
      </c>
    </row>
    <row r="45571" spans="20:20" ht="18.75" customHeight="1" x14ac:dyDescent="0.35">
      <c r="T45571" s="246">
        <f t="shared" si="750"/>
        <v>0</v>
      </c>
    </row>
    <row r="45572" spans="20:20" ht="18.75" customHeight="1" x14ac:dyDescent="0.35">
      <c r="T45572" s="246">
        <f t="shared" si="750"/>
        <v>0</v>
      </c>
    </row>
    <row r="45573" spans="20:20" ht="18.75" customHeight="1" x14ac:dyDescent="0.35">
      <c r="T45573" s="246">
        <f t="shared" si="750"/>
        <v>0</v>
      </c>
    </row>
    <row r="45574" spans="20:20" ht="18.75" customHeight="1" x14ac:dyDescent="0.35">
      <c r="T45574" s="246">
        <f t="shared" si="750"/>
        <v>0</v>
      </c>
    </row>
    <row r="45575" spans="20:20" ht="18.75" customHeight="1" x14ac:dyDescent="0.35">
      <c r="T45575" s="246">
        <f t="shared" si="750"/>
        <v>0</v>
      </c>
    </row>
    <row r="45576" spans="20:20" ht="18.75" customHeight="1" x14ac:dyDescent="0.35">
      <c r="T45576" s="246">
        <f t="shared" si="750"/>
        <v>0</v>
      </c>
    </row>
    <row r="45577" spans="20:20" ht="18.75" customHeight="1" x14ac:dyDescent="0.35">
      <c r="T45577" s="246">
        <f t="shared" si="750"/>
        <v>0</v>
      </c>
    </row>
    <row r="45578" spans="20:20" ht="18.75" customHeight="1" x14ac:dyDescent="0.35">
      <c r="T45578" s="246">
        <f t="shared" si="750"/>
        <v>0</v>
      </c>
    </row>
    <row r="45579" spans="20:20" ht="18.75" customHeight="1" x14ac:dyDescent="0.35">
      <c r="T45579" s="246">
        <f t="shared" si="750"/>
        <v>0</v>
      </c>
    </row>
    <row r="45580" spans="20:20" ht="18.75" customHeight="1" x14ac:dyDescent="0.35">
      <c r="T45580" s="246">
        <f t="shared" si="750"/>
        <v>0</v>
      </c>
    </row>
    <row r="45581" spans="20:20" ht="18.75" customHeight="1" x14ac:dyDescent="0.35">
      <c r="T45581" s="246">
        <f t="shared" si="750"/>
        <v>0</v>
      </c>
    </row>
    <row r="45582" spans="20:20" ht="18.75" customHeight="1" x14ac:dyDescent="0.35">
      <c r="T45582" s="246">
        <f t="shared" si="750"/>
        <v>0</v>
      </c>
    </row>
    <row r="45583" spans="20:20" ht="18.75" customHeight="1" x14ac:dyDescent="0.35">
      <c r="T45583" s="246">
        <f t="shared" si="750"/>
        <v>0</v>
      </c>
    </row>
    <row r="45584" spans="20:20" ht="18.75" customHeight="1" x14ac:dyDescent="0.35">
      <c r="T45584" s="246">
        <f t="shared" si="750"/>
        <v>0</v>
      </c>
    </row>
    <row r="45585" spans="20:20" ht="18.75" customHeight="1" x14ac:dyDescent="0.35">
      <c r="T45585" s="246">
        <f t="shared" si="750"/>
        <v>0</v>
      </c>
    </row>
    <row r="45586" spans="20:20" ht="18.75" customHeight="1" x14ac:dyDescent="0.35">
      <c r="T45586" s="246">
        <f t="shared" si="750"/>
        <v>0</v>
      </c>
    </row>
    <row r="45587" spans="20:20" ht="18.75" customHeight="1" x14ac:dyDescent="0.35">
      <c r="T45587" s="246">
        <f t="shared" si="750"/>
        <v>0</v>
      </c>
    </row>
    <row r="45588" spans="20:20" ht="18.75" customHeight="1" x14ac:dyDescent="0.35">
      <c r="T45588" s="246">
        <f t="shared" si="750"/>
        <v>0</v>
      </c>
    </row>
    <row r="45589" spans="20:20" ht="18.75" customHeight="1" x14ac:dyDescent="0.35">
      <c r="T45589" s="246">
        <f t="shared" si="750"/>
        <v>0</v>
      </c>
    </row>
    <row r="45590" spans="20:20" ht="18.75" customHeight="1" x14ac:dyDescent="0.35">
      <c r="T45590" s="246">
        <f t="shared" si="750"/>
        <v>0</v>
      </c>
    </row>
    <row r="45591" spans="20:20" ht="18.75" customHeight="1" x14ac:dyDescent="0.35">
      <c r="T45591" s="246">
        <f t="shared" si="750"/>
        <v>0</v>
      </c>
    </row>
    <row r="45592" spans="20:20" ht="18.75" customHeight="1" x14ac:dyDescent="0.35">
      <c r="T45592" s="246">
        <f t="shared" si="750"/>
        <v>0</v>
      </c>
    </row>
    <row r="45593" spans="20:20" ht="18.75" customHeight="1" x14ac:dyDescent="0.35">
      <c r="T45593" s="246">
        <f t="shared" si="750"/>
        <v>0</v>
      </c>
    </row>
    <row r="45594" spans="20:20" ht="18.75" customHeight="1" x14ac:dyDescent="0.35">
      <c r="T45594" s="246">
        <f t="shared" si="750"/>
        <v>0</v>
      </c>
    </row>
    <row r="45595" spans="20:20" ht="18.75" customHeight="1" x14ac:dyDescent="0.35">
      <c r="T45595" s="246">
        <f t="shared" si="750"/>
        <v>0</v>
      </c>
    </row>
    <row r="45596" spans="20:20" ht="18.75" customHeight="1" x14ac:dyDescent="0.35">
      <c r="T45596" s="246">
        <f t="shared" si="750"/>
        <v>0</v>
      </c>
    </row>
    <row r="45597" spans="20:20" ht="18.75" customHeight="1" x14ac:dyDescent="0.35">
      <c r="T45597" s="246">
        <f t="shared" si="750"/>
        <v>0</v>
      </c>
    </row>
    <row r="45598" spans="20:20" ht="18.75" customHeight="1" x14ac:dyDescent="0.35">
      <c r="T45598" s="246">
        <f t="shared" si="750"/>
        <v>0</v>
      </c>
    </row>
    <row r="45599" spans="20:20" ht="18.75" customHeight="1" x14ac:dyDescent="0.35">
      <c r="T45599" s="246">
        <f t="shared" si="750"/>
        <v>0</v>
      </c>
    </row>
    <row r="45600" spans="20:20" ht="18.75" customHeight="1" x14ac:dyDescent="0.35">
      <c r="T45600" s="246">
        <f t="shared" si="750"/>
        <v>0</v>
      </c>
    </row>
    <row r="45601" spans="20:20" ht="18.75" customHeight="1" x14ac:dyDescent="0.35">
      <c r="T45601" s="246">
        <f t="shared" si="750"/>
        <v>0</v>
      </c>
    </row>
    <row r="45602" spans="20:20" ht="18.75" customHeight="1" x14ac:dyDescent="0.35">
      <c r="T45602" s="246">
        <f t="shared" si="750"/>
        <v>0</v>
      </c>
    </row>
    <row r="45603" spans="20:20" ht="18.75" customHeight="1" x14ac:dyDescent="0.35">
      <c r="T45603" s="246">
        <f t="shared" si="750"/>
        <v>0</v>
      </c>
    </row>
    <row r="45604" spans="20:20" ht="18.75" customHeight="1" x14ac:dyDescent="0.35">
      <c r="T45604" s="246">
        <f t="shared" si="750"/>
        <v>0</v>
      </c>
    </row>
    <row r="45605" spans="20:20" ht="18.75" customHeight="1" x14ac:dyDescent="0.35">
      <c r="T45605" s="246">
        <f t="shared" si="750"/>
        <v>0</v>
      </c>
    </row>
    <row r="45606" spans="20:20" ht="18.75" customHeight="1" x14ac:dyDescent="0.35">
      <c r="T45606" s="246">
        <f t="shared" si="750"/>
        <v>0</v>
      </c>
    </row>
    <row r="45607" spans="20:20" ht="18.75" customHeight="1" x14ac:dyDescent="0.35">
      <c r="T45607" s="246">
        <f t="shared" si="750"/>
        <v>0</v>
      </c>
    </row>
    <row r="45608" spans="20:20" ht="18.75" customHeight="1" x14ac:dyDescent="0.35">
      <c r="T45608" s="246">
        <f t="shared" si="750"/>
        <v>0</v>
      </c>
    </row>
    <row r="45609" spans="20:20" ht="18.75" customHeight="1" x14ac:dyDescent="0.35">
      <c r="T45609" s="246">
        <f t="shared" si="750"/>
        <v>0</v>
      </c>
    </row>
    <row r="45610" spans="20:20" ht="18.75" customHeight="1" x14ac:dyDescent="0.35">
      <c r="T45610" s="246">
        <f t="shared" si="750"/>
        <v>0</v>
      </c>
    </row>
    <row r="45611" spans="20:20" ht="18.75" customHeight="1" x14ac:dyDescent="0.35">
      <c r="T45611" s="246">
        <f t="shared" si="750"/>
        <v>0</v>
      </c>
    </row>
    <row r="45612" spans="20:20" ht="18.75" customHeight="1" x14ac:dyDescent="0.35">
      <c r="T45612" s="246">
        <f t="shared" si="750"/>
        <v>0</v>
      </c>
    </row>
    <row r="45613" spans="20:20" ht="18.75" customHeight="1" x14ac:dyDescent="0.35">
      <c r="T45613" s="246">
        <f t="shared" si="750"/>
        <v>0</v>
      </c>
    </row>
    <row r="45614" spans="20:20" ht="18.75" customHeight="1" x14ac:dyDescent="0.35">
      <c r="T45614" s="246">
        <f t="shared" si="750"/>
        <v>0</v>
      </c>
    </row>
    <row r="45615" spans="20:20" ht="18.75" customHeight="1" x14ac:dyDescent="0.35">
      <c r="T45615" s="246">
        <f t="shared" si="750"/>
        <v>0</v>
      </c>
    </row>
    <row r="45616" spans="20:20" ht="18.75" customHeight="1" x14ac:dyDescent="0.35">
      <c r="T45616" s="246">
        <f t="shared" si="750"/>
        <v>0</v>
      </c>
    </row>
    <row r="45617" spans="20:20" ht="18.75" customHeight="1" x14ac:dyDescent="0.35">
      <c r="T45617" s="246">
        <f t="shared" si="750"/>
        <v>0</v>
      </c>
    </row>
    <row r="45618" spans="20:20" ht="18.75" customHeight="1" x14ac:dyDescent="0.35">
      <c r="T45618" s="246">
        <f t="shared" si="750"/>
        <v>0</v>
      </c>
    </row>
    <row r="45619" spans="20:20" ht="18.75" customHeight="1" x14ac:dyDescent="0.35">
      <c r="T45619" s="246">
        <f t="shared" si="750"/>
        <v>0</v>
      </c>
    </row>
    <row r="45620" spans="20:20" ht="18.75" customHeight="1" x14ac:dyDescent="0.35">
      <c r="T45620" s="246">
        <f t="shared" si="750"/>
        <v>0</v>
      </c>
    </row>
    <row r="45621" spans="20:20" ht="18.75" customHeight="1" x14ac:dyDescent="0.35">
      <c r="T45621" s="246">
        <f t="shared" si="750"/>
        <v>0</v>
      </c>
    </row>
    <row r="45622" spans="20:20" ht="18.75" customHeight="1" x14ac:dyDescent="0.35">
      <c r="T45622" s="246">
        <f t="shared" si="750"/>
        <v>0</v>
      </c>
    </row>
    <row r="45623" spans="20:20" ht="18.75" customHeight="1" x14ac:dyDescent="0.35">
      <c r="T45623" s="246">
        <f t="shared" si="750"/>
        <v>0</v>
      </c>
    </row>
    <row r="45624" spans="20:20" ht="18.75" customHeight="1" x14ac:dyDescent="0.35">
      <c r="T45624" s="246">
        <f t="shared" si="750"/>
        <v>0</v>
      </c>
    </row>
    <row r="45625" spans="20:20" ht="18.75" customHeight="1" x14ac:dyDescent="0.35">
      <c r="T45625" s="246">
        <f t="shared" si="750"/>
        <v>0</v>
      </c>
    </row>
    <row r="45626" spans="20:20" ht="18.75" customHeight="1" x14ac:dyDescent="0.35">
      <c r="T45626" s="246">
        <f t="shared" si="750"/>
        <v>0</v>
      </c>
    </row>
    <row r="45627" spans="20:20" ht="18.75" customHeight="1" x14ac:dyDescent="0.35">
      <c r="T45627" s="246">
        <f t="shared" si="750"/>
        <v>0</v>
      </c>
    </row>
    <row r="45628" spans="20:20" ht="18.75" customHeight="1" x14ac:dyDescent="0.35">
      <c r="T45628" s="246">
        <f t="shared" ref="T45628:T45691" si="751">R45628*0.01</f>
        <v>0</v>
      </c>
    </row>
    <row r="45629" spans="20:20" ht="18.75" customHeight="1" x14ac:dyDescent="0.35">
      <c r="T45629" s="246">
        <f t="shared" si="751"/>
        <v>0</v>
      </c>
    </row>
    <row r="45630" spans="20:20" ht="18.75" customHeight="1" x14ac:dyDescent="0.35">
      <c r="T45630" s="246">
        <f t="shared" si="751"/>
        <v>0</v>
      </c>
    </row>
    <row r="45631" spans="20:20" ht="18.75" customHeight="1" x14ac:dyDescent="0.35">
      <c r="T45631" s="246">
        <f t="shared" si="751"/>
        <v>0</v>
      </c>
    </row>
    <row r="45632" spans="20:20" ht="18.75" customHeight="1" x14ac:dyDescent="0.35">
      <c r="T45632" s="246">
        <f t="shared" si="751"/>
        <v>0</v>
      </c>
    </row>
    <row r="45633" spans="20:20" ht="18.75" customHeight="1" x14ac:dyDescent="0.35">
      <c r="T45633" s="246">
        <f t="shared" si="751"/>
        <v>0</v>
      </c>
    </row>
    <row r="45634" spans="20:20" ht="18.75" customHeight="1" x14ac:dyDescent="0.35">
      <c r="T45634" s="246">
        <f t="shared" si="751"/>
        <v>0</v>
      </c>
    </row>
    <row r="45635" spans="20:20" ht="18.75" customHeight="1" x14ac:dyDescent="0.35">
      <c r="T45635" s="246">
        <f t="shared" si="751"/>
        <v>0</v>
      </c>
    </row>
    <row r="45636" spans="20:20" ht="18.75" customHeight="1" x14ac:dyDescent="0.35">
      <c r="T45636" s="246">
        <f t="shared" si="751"/>
        <v>0</v>
      </c>
    </row>
    <row r="45637" spans="20:20" ht="18.75" customHeight="1" x14ac:dyDescent="0.35">
      <c r="T45637" s="246">
        <f t="shared" si="751"/>
        <v>0</v>
      </c>
    </row>
    <row r="45638" spans="20:20" ht="18.75" customHeight="1" x14ac:dyDescent="0.35">
      <c r="T45638" s="246">
        <f t="shared" si="751"/>
        <v>0</v>
      </c>
    </row>
    <row r="45639" spans="20:20" ht="18.75" customHeight="1" x14ac:dyDescent="0.35">
      <c r="T45639" s="246">
        <f t="shared" si="751"/>
        <v>0</v>
      </c>
    </row>
    <row r="45640" spans="20:20" ht="18.75" customHeight="1" x14ac:dyDescent="0.35">
      <c r="T45640" s="246">
        <f t="shared" si="751"/>
        <v>0</v>
      </c>
    </row>
    <row r="45641" spans="20:20" ht="18.75" customHeight="1" x14ac:dyDescent="0.35">
      <c r="T45641" s="246">
        <f t="shared" si="751"/>
        <v>0</v>
      </c>
    </row>
    <row r="45642" spans="20:20" ht="18.75" customHeight="1" x14ac:dyDescent="0.35">
      <c r="T45642" s="246">
        <f t="shared" si="751"/>
        <v>0</v>
      </c>
    </row>
    <row r="45643" spans="20:20" ht="18.75" customHeight="1" x14ac:dyDescent="0.35">
      <c r="T45643" s="246">
        <f t="shared" si="751"/>
        <v>0</v>
      </c>
    </row>
    <row r="45644" spans="20:20" ht="18.75" customHeight="1" x14ac:dyDescent="0.35">
      <c r="T45644" s="246">
        <f t="shared" si="751"/>
        <v>0</v>
      </c>
    </row>
    <row r="45645" spans="20:20" ht="18.75" customHeight="1" x14ac:dyDescent="0.35">
      <c r="T45645" s="246">
        <f t="shared" si="751"/>
        <v>0</v>
      </c>
    </row>
    <row r="45646" spans="20:20" ht="18.75" customHeight="1" x14ac:dyDescent="0.35">
      <c r="T45646" s="246">
        <f t="shared" si="751"/>
        <v>0</v>
      </c>
    </row>
    <row r="45647" spans="20:20" ht="18.75" customHeight="1" x14ac:dyDescent="0.35">
      <c r="T45647" s="246">
        <f t="shared" si="751"/>
        <v>0</v>
      </c>
    </row>
    <row r="45648" spans="20:20" ht="18.75" customHeight="1" x14ac:dyDescent="0.35">
      <c r="T45648" s="246">
        <f t="shared" si="751"/>
        <v>0</v>
      </c>
    </row>
    <row r="45649" spans="20:20" ht="18.75" customHeight="1" x14ac:dyDescent="0.35">
      <c r="T45649" s="246">
        <f t="shared" si="751"/>
        <v>0</v>
      </c>
    </row>
    <row r="45650" spans="20:20" ht="18.75" customHeight="1" x14ac:dyDescent="0.35">
      <c r="T45650" s="246">
        <f t="shared" si="751"/>
        <v>0</v>
      </c>
    </row>
    <row r="45651" spans="20:20" ht="18.75" customHeight="1" x14ac:dyDescent="0.35">
      <c r="T45651" s="246">
        <f t="shared" si="751"/>
        <v>0</v>
      </c>
    </row>
    <row r="45652" spans="20:20" ht="18.75" customHeight="1" x14ac:dyDescent="0.35">
      <c r="T45652" s="246">
        <f t="shared" si="751"/>
        <v>0</v>
      </c>
    </row>
    <row r="45653" spans="20:20" ht="18.75" customHeight="1" x14ac:dyDescent="0.35">
      <c r="T45653" s="246">
        <f t="shared" si="751"/>
        <v>0</v>
      </c>
    </row>
    <row r="45654" spans="20:20" ht="18.75" customHeight="1" x14ac:dyDescent="0.35">
      <c r="T45654" s="246">
        <f t="shared" si="751"/>
        <v>0</v>
      </c>
    </row>
    <row r="45655" spans="20:20" ht="18.75" customHeight="1" x14ac:dyDescent="0.35">
      <c r="T45655" s="246">
        <f t="shared" si="751"/>
        <v>0</v>
      </c>
    </row>
    <row r="45656" spans="20:20" ht="18.75" customHeight="1" x14ac:dyDescent="0.35">
      <c r="T45656" s="246">
        <f t="shared" si="751"/>
        <v>0</v>
      </c>
    </row>
    <row r="45657" spans="20:20" ht="18.75" customHeight="1" x14ac:dyDescent="0.35">
      <c r="T45657" s="246">
        <f t="shared" si="751"/>
        <v>0</v>
      </c>
    </row>
    <row r="45658" spans="20:20" ht="18.75" customHeight="1" x14ac:dyDescent="0.35">
      <c r="T45658" s="246">
        <f t="shared" si="751"/>
        <v>0</v>
      </c>
    </row>
    <row r="45659" spans="20:20" ht="18.75" customHeight="1" x14ac:dyDescent="0.35">
      <c r="T45659" s="246">
        <f t="shared" si="751"/>
        <v>0</v>
      </c>
    </row>
    <row r="45660" spans="20:20" ht="18.75" customHeight="1" x14ac:dyDescent="0.35">
      <c r="T45660" s="246">
        <f t="shared" si="751"/>
        <v>0</v>
      </c>
    </row>
    <row r="45661" spans="20:20" ht="18.75" customHeight="1" x14ac:dyDescent="0.35">
      <c r="T45661" s="246">
        <f t="shared" si="751"/>
        <v>0</v>
      </c>
    </row>
    <row r="45662" spans="20:20" ht="18.75" customHeight="1" x14ac:dyDescent="0.35">
      <c r="T45662" s="246">
        <f t="shared" si="751"/>
        <v>0</v>
      </c>
    </row>
    <row r="45663" spans="20:20" ht="18.75" customHeight="1" x14ac:dyDescent="0.35">
      <c r="T45663" s="246">
        <f t="shared" si="751"/>
        <v>0</v>
      </c>
    </row>
    <row r="45664" spans="20:20" ht="18.75" customHeight="1" x14ac:dyDescent="0.35">
      <c r="T45664" s="246">
        <f t="shared" si="751"/>
        <v>0</v>
      </c>
    </row>
    <row r="45665" spans="20:20" ht="18.75" customHeight="1" x14ac:dyDescent="0.35">
      <c r="T45665" s="246">
        <f t="shared" si="751"/>
        <v>0</v>
      </c>
    </row>
    <row r="45666" spans="20:20" ht="18.75" customHeight="1" x14ac:dyDescent="0.35">
      <c r="T45666" s="246">
        <f t="shared" si="751"/>
        <v>0</v>
      </c>
    </row>
    <row r="45667" spans="20:20" ht="18.75" customHeight="1" x14ac:dyDescent="0.35">
      <c r="T45667" s="246">
        <f t="shared" si="751"/>
        <v>0</v>
      </c>
    </row>
    <row r="45668" spans="20:20" ht="18.75" customHeight="1" x14ac:dyDescent="0.35">
      <c r="T45668" s="246">
        <f t="shared" si="751"/>
        <v>0</v>
      </c>
    </row>
    <row r="45669" spans="20:20" ht="18.75" customHeight="1" x14ac:dyDescent="0.35">
      <c r="T45669" s="246">
        <f t="shared" si="751"/>
        <v>0</v>
      </c>
    </row>
    <row r="45670" spans="20:20" ht="18.75" customHeight="1" x14ac:dyDescent="0.35">
      <c r="T45670" s="246">
        <f t="shared" si="751"/>
        <v>0</v>
      </c>
    </row>
    <row r="45671" spans="20:20" ht="18.75" customHeight="1" x14ac:dyDescent="0.35">
      <c r="T45671" s="246">
        <f t="shared" si="751"/>
        <v>0</v>
      </c>
    </row>
    <row r="45672" spans="20:20" ht="18.75" customHeight="1" x14ac:dyDescent="0.35">
      <c r="T45672" s="246">
        <f t="shared" si="751"/>
        <v>0</v>
      </c>
    </row>
    <row r="45673" spans="20:20" ht="18.75" customHeight="1" x14ac:dyDescent="0.35">
      <c r="T45673" s="246">
        <f t="shared" si="751"/>
        <v>0</v>
      </c>
    </row>
    <row r="45674" spans="20:20" ht="18.75" customHeight="1" x14ac:dyDescent="0.35">
      <c r="T45674" s="246">
        <f t="shared" si="751"/>
        <v>0</v>
      </c>
    </row>
    <row r="45675" spans="20:20" ht="18.75" customHeight="1" x14ac:dyDescent="0.35">
      <c r="T45675" s="246">
        <f t="shared" si="751"/>
        <v>0</v>
      </c>
    </row>
    <row r="45676" spans="20:20" ht="18.75" customHeight="1" x14ac:dyDescent="0.35">
      <c r="T45676" s="246">
        <f t="shared" si="751"/>
        <v>0</v>
      </c>
    </row>
    <row r="45677" spans="20:20" ht="18.75" customHeight="1" x14ac:dyDescent="0.35">
      <c r="T45677" s="246">
        <f t="shared" si="751"/>
        <v>0</v>
      </c>
    </row>
    <row r="45678" spans="20:20" ht="18.75" customHeight="1" x14ac:dyDescent="0.35">
      <c r="T45678" s="246">
        <f t="shared" si="751"/>
        <v>0</v>
      </c>
    </row>
    <row r="45679" spans="20:20" ht="18.75" customHeight="1" x14ac:dyDescent="0.35">
      <c r="T45679" s="246">
        <f t="shared" si="751"/>
        <v>0</v>
      </c>
    </row>
    <row r="45680" spans="20:20" ht="18.75" customHeight="1" x14ac:dyDescent="0.35">
      <c r="T45680" s="246">
        <f t="shared" si="751"/>
        <v>0</v>
      </c>
    </row>
    <row r="45681" spans="20:20" ht="18.75" customHeight="1" x14ac:dyDescent="0.35">
      <c r="T45681" s="246">
        <f t="shared" si="751"/>
        <v>0</v>
      </c>
    </row>
    <row r="45682" spans="20:20" ht="18.75" customHeight="1" x14ac:dyDescent="0.35">
      <c r="T45682" s="246">
        <f t="shared" si="751"/>
        <v>0</v>
      </c>
    </row>
    <row r="45683" spans="20:20" ht="18.75" customHeight="1" x14ac:dyDescent="0.35">
      <c r="T45683" s="246">
        <f t="shared" si="751"/>
        <v>0</v>
      </c>
    </row>
    <row r="45684" spans="20:20" ht="18.75" customHeight="1" x14ac:dyDescent="0.35">
      <c r="T45684" s="246">
        <f t="shared" si="751"/>
        <v>0</v>
      </c>
    </row>
    <row r="45685" spans="20:20" ht="18.75" customHeight="1" x14ac:dyDescent="0.35">
      <c r="T45685" s="246">
        <f t="shared" si="751"/>
        <v>0</v>
      </c>
    </row>
    <row r="45686" spans="20:20" ht="18.75" customHeight="1" x14ac:dyDescent="0.35">
      <c r="T45686" s="246">
        <f t="shared" si="751"/>
        <v>0</v>
      </c>
    </row>
    <row r="45687" spans="20:20" ht="18.75" customHeight="1" x14ac:dyDescent="0.35">
      <c r="T45687" s="246">
        <f t="shared" si="751"/>
        <v>0</v>
      </c>
    </row>
    <row r="45688" spans="20:20" ht="18.75" customHeight="1" x14ac:dyDescent="0.35">
      <c r="T45688" s="246">
        <f t="shared" si="751"/>
        <v>0</v>
      </c>
    </row>
    <row r="45689" spans="20:20" ht="18.75" customHeight="1" x14ac:dyDescent="0.35">
      <c r="T45689" s="246">
        <f t="shared" si="751"/>
        <v>0</v>
      </c>
    </row>
    <row r="45690" spans="20:20" ht="18.75" customHeight="1" x14ac:dyDescent="0.35">
      <c r="T45690" s="246">
        <f t="shared" si="751"/>
        <v>0</v>
      </c>
    </row>
    <row r="45691" spans="20:20" ht="18.75" customHeight="1" x14ac:dyDescent="0.35">
      <c r="T45691" s="246">
        <f t="shared" si="751"/>
        <v>0</v>
      </c>
    </row>
    <row r="45692" spans="20:20" ht="18.75" customHeight="1" x14ac:dyDescent="0.35">
      <c r="T45692" s="246">
        <f t="shared" ref="T45692:T45755" si="752">R45692*0.01</f>
        <v>0</v>
      </c>
    </row>
    <row r="45693" spans="20:20" ht="18.75" customHeight="1" x14ac:dyDescent="0.35">
      <c r="T45693" s="246">
        <f t="shared" si="752"/>
        <v>0</v>
      </c>
    </row>
    <row r="45694" spans="20:20" ht="18.75" customHeight="1" x14ac:dyDescent="0.35">
      <c r="T45694" s="246">
        <f t="shared" si="752"/>
        <v>0</v>
      </c>
    </row>
    <row r="45695" spans="20:20" ht="18.75" customHeight="1" x14ac:dyDescent="0.35">
      <c r="T45695" s="246">
        <f t="shared" si="752"/>
        <v>0</v>
      </c>
    </row>
    <row r="45696" spans="20:20" ht="18.75" customHeight="1" x14ac:dyDescent="0.35">
      <c r="T45696" s="246">
        <f t="shared" si="752"/>
        <v>0</v>
      </c>
    </row>
    <row r="45697" spans="20:20" ht="18.75" customHeight="1" x14ac:dyDescent="0.35">
      <c r="T45697" s="246">
        <f t="shared" si="752"/>
        <v>0</v>
      </c>
    </row>
    <row r="45698" spans="20:20" ht="18.75" customHeight="1" x14ac:dyDescent="0.35">
      <c r="T45698" s="246">
        <f t="shared" si="752"/>
        <v>0</v>
      </c>
    </row>
    <row r="45699" spans="20:20" ht="18.75" customHeight="1" x14ac:dyDescent="0.35">
      <c r="T45699" s="246">
        <f t="shared" si="752"/>
        <v>0</v>
      </c>
    </row>
    <row r="45700" spans="20:20" ht="18.75" customHeight="1" x14ac:dyDescent="0.35">
      <c r="T45700" s="246">
        <f t="shared" si="752"/>
        <v>0</v>
      </c>
    </row>
    <row r="45701" spans="20:20" ht="18.75" customHeight="1" x14ac:dyDescent="0.35">
      <c r="T45701" s="246">
        <f t="shared" si="752"/>
        <v>0</v>
      </c>
    </row>
    <row r="45702" spans="20:20" ht="18.75" customHeight="1" x14ac:dyDescent="0.35">
      <c r="T45702" s="246">
        <f t="shared" si="752"/>
        <v>0</v>
      </c>
    </row>
    <row r="45703" spans="20:20" ht="18.75" customHeight="1" x14ac:dyDescent="0.35">
      <c r="T45703" s="246">
        <f t="shared" si="752"/>
        <v>0</v>
      </c>
    </row>
    <row r="45704" spans="20:20" ht="18.75" customHeight="1" x14ac:dyDescent="0.35">
      <c r="T45704" s="246">
        <f t="shared" si="752"/>
        <v>0</v>
      </c>
    </row>
    <row r="45705" spans="20:20" ht="18.75" customHeight="1" x14ac:dyDescent="0.35">
      <c r="T45705" s="246">
        <f t="shared" si="752"/>
        <v>0</v>
      </c>
    </row>
    <row r="45706" spans="20:20" ht="18.75" customHeight="1" x14ac:dyDescent="0.35">
      <c r="T45706" s="246">
        <f t="shared" si="752"/>
        <v>0</v>
      </c>
    </row>
    <row r="45707" spans="20:20" ht="18.75" customHeight="1" x14ac:dyDescent="0.35">
      <c r="T45707" s="246">
        <f t="shared" si="752"/>
        <v>0</v>
      </c>
    </row>
    <row r="45708" spans="20:20" ht="18.75" customHeight="1" x14ac:dyDescent="0.35">
      <c r="T45708" s="246">
        <f t="shared" si="752"/>
        <v>0</v>
      </c>
    </row>
    <row r="45709" spans="20:20" ht="18.75" customHeight="1" x14ac:dyDescent="0.35">
      <c r="T45709" s="246">
        <f t="shared" si="752"/>
        <v>0</v>
      </c>
    </row>
    <row r="45710" spans="20:20" ht="18.75" customHeight="1" x14ac:dyDescent="0.35">
      <c r="T45710" s="246">
        <f t="shared" si="752"/>
        <v>0</v>
      </c>
    </row>
    <row r="45711" spans="20:20" ht="18.75" customHeight="1" x14ac:dyDescent="0.35">
      <c r="T45711" s="246">
        <f t="shared" si="752"/>
        <v>0</v>
      </c>
    </row>
    <row r="45712" spans="20:20" ht="18.75" customHeight="1" x14ac:dyDescent="0.35">
      <c r="T45712" s="246">
        <f t="shared" si="752"/>
        <v>0</v>
      </c>
    </row>
    <row r="45713" spans="20:20" ht="18.75" customHeight="1" x14ac:dyDescent="0.35">
      <c r="T45713" s="246">
        <f t="shared" si="752"/>
        <v>0</v>
      </c>
    </row>
    <row r="45714" spans="20:20" ht="18.75" customHeight="1" x14ac:dyDescent="0.35">
      <c r="T45714" s="246">
        <f t="shared" si="752"/>
        <v>0</v>
      </c>
    </row>
    <row r="45715" spans="20:20" ht="18.75" customHeight="1" x14ac:dyDescent="0.35">
      <c r="T45715" s="246">
        <f t="shared" si="752"/>
        <v>0</v>
      </c>
    </row>
    <row r="45716" spans="20:20" ht="18.75" customHeight="1" x14ac:dyDescent="0.35">
      <c r="T45716" s="246">
        <f t="shared" si="752"/>
        <v>0</v>
      </c>
    </row>
    <row r="45717" spans="20:20" ht="18.75" customHeight="1" x14ac:dyDescent="0.35">
      <c r="T45717" s="246">
        <f t="shared" si="752"/>
        <v>0</v>
      </c>
    </row>
    <row r="45718" spans="20:20" ht="18.75" customHeight="1" x14ac:dyDescent="0.35">
      <c r="T45718" s="246">
        <f t="shared" si="752"/>
        <v>0</v>
      </c>
    </row>
    <row r="45719" spans="20:20" ht="18.75" customHeight="1" x14ac:dyDescent="0.35">
      <c r="T45719" s="246">
        <f t="shared" si="752"/>
        <v>0</v>
      </c>
    </row>
    <row r="45720" spans="20:20" ht="18.75" customHeight="1" x14ac:dyDescent="0.35">
      <c r="T45720" s="246">
        <f t="shared" si="752"/>
        <v>0</v>
      </c>
    </row>
    <row r="45721" spans="20:20" ht="18.75" customHeight="1" x14ac:dyDescent="0.35">
      <c r="T45721" s="246">
        <f t="shared" si="752"/>
        <v>0</v>
      </c>
    </row>
    <row r="45722" spans="20:20" ht="18.75" customHeight="1" x14ac:dyDescent="0.35">
      <c r="T45722" s="246">
        <f t="shared" si="752"/>
        <v>0</v>
      </c>
    </row>
    <row r="45723" spans="20:20" ht="18.75" customHeight="1" x14ac:dyDescent="0.35">
      <c r="T45723" s="246">
        <f t="shared" si="752"/>
        <v>0</v>
      </c>
    </row>
    <row r="45724" spans="20:20" ht="18.75" customHeight="1" x14ac:dyDescent="0.35">
      <c r="T45724" s="246">
        <f t="shared" si="752"/>
        <v>0</v>
      </c>
    </row>
    <row r="45725" spans="20:20" ht="18.75" customHeight="1" x14ac:dyDescent="0.35">
      <c r="T45725" s="246">
        <f t="shared" si="752"/>
        <v>0</v>
      </c>
    </row>
    <row r="45726" spans="20:20" ht="18.75" customHeight="1" x14ac:dyDescent="0.35">
      <c r="T45726" s="246">
        <f t="shared" si="752"/>
        <v>0</v>
      </c>
    </row>
    <row r="45727" spans="20:20" ht="18.75" customHeight="1" x14ac:dyDescent="0.35">
      <c r="T45727" s="246">
        <f t="shared" si="752"/>
        <v>0</v>
      </c>
    </row>
    <row r="45728" spans="20:20" ht="18.75" customHeight="1" x14ac:dyDescent="0.35">
      <c r="T45728" s="246">
        <f t="shared" si="752"/>
        <v>0</v>
      </c>
    </row>
    <row r="45729" spans="20:20" ht="18.75" customHeight="1" x14ac:dyDescent="0.35">
      <c r="T45729" s="246">
        <f t="shared" si="752"/>
        <v>0</v>
      </c>
    </row>
    <row r="45730" spans="20:20" ht="18.75" customHeight="1" x14ac:dyDescent="0.35">
      <c r="T45730" s="246">
        <f t="shared" si="752"/>
        <v>0</v>
      </c>
    </row>
    <row r="45731" spans="20:20" ht="18.75" customHeight="1" x14ac:dyDescent="0.35">
      <c r="T45731" s="246">
        <f t="shared" si="752"/>
        <v>0</v>
      </c>
    </row>
    <row r="45732" spans="20:20" ht="18.75" customHeight="1" x14ac:dyDescent="0.35">
      <c r="T45732" s="246">
        <f t="shared" si="752"/>
        <v>0</v>
      </c>
    </row>
    <row r="45733" spans="20:20" ht="18.75" customHeight="1" x14ac:dyDescent="0.35">
      <c r="T45733" s="246">
        <f t="shared" si="752"/>
        <v>0</v>
      </c>
    </row>
    <row r="45734" spans="20:20" ht="18.75" customHeight="1" x14ac:dyDescent="0.35">
      <c r="T45734" s="246">
        <f t="shared" si="752"/>
        <v>0</v>
      </c>
    </row>
    <row r="45735" spans="20:20" ht="18.75" customHeight="1" x14ac:dyDescent="0.35">
      <c r="T45735" s="246">
        <f t="shared" si="752"/>
        <v>0</v>
      </c>
    </row>
    <row r="45736" spans="20:20" ht="18.75" customHeight="1" x14ac:dyDescent="0.35">
      <c r="T45736" s="246">
        <f t="shared" si="752"/>
        <v>0</v>
      </c>
    </row>
    <row r="45737" spans="20:20" ht="18.75" customHeight="1" x14ac:dyDescent="0.35">
      <c r="T45737" s="246">
        <f t="shared" si="752"/>
        <v>0</v>
      </c>
    </row>
    <row r="45738" spans="20:20" ht="18.75" customHeight="1" x14ac:dyDescent="0.35">
      <c r="T45738" s="246">
        <f t="shared" si="752"/>
        <v>0</v>
      </c>
    </row>
    <row r="45739" spans="20:20" ht="18.75" customHeight="1" x14ac:dyDescent="0.35">
      <c r="T45739" s="246">
        <f t="shared" si="752"/>
        <v>0</v>
      </c>
    </row>
    <row r="45740" spans="20:20" ht="18.75" customHeight="1" x14ac:dyDescent="0.35">
      <c r="T45740" s="246">
        <f t="shared" si="752"/>
        <v>0</v>
      </c>
    </row>
    <row r="45741" spans="20:20" ht="18.75" customHeight="1" x14ac:dyDescent="0.35">
      <c r="T45741" s="246">
        <f t="shared" si="752"/>
        <v>0</v>
      </c>
    </row>
    <row r="45742" spans="20:20" ht="18.75" customHeight="1" x14ac:dyDescent="0.35">
      <c r="T45742" s="246">
        <f t="shared" si="752"/>
        <v>0</v>
      </c>
    </row>
    <row r="45743" spans="20:20" ht="18.75" customHeight="1" x14ac:dyDescent="0.35">
      <c r="T45743" s="246">
        <f t="shared" si="752"/>
        <v>0</v>
      </c>
    </row>
    <row r="45744" spans="20:20" ht="18.75" customHeight="1" x14ac:dyDescent="0.35">
      <c r="T45744" s="246">
        <f t="shared" si="752"/>
        <v>0</v>
      </c>
    </row>
    <row r="45745" spans="20:20" ht="18.75" customHeight="1" x14ac:dyDescent="0.35">
      <c r="T45745" s="246">
        <f t="shared" si="752"/>
        <v>0</v>
      </c>
    </row>
    <row r="45746" spans="20:20" ht="18.75" customHeight="1" x14ac:dyDescent="0.35">
      <c r="T45746" s="246">
        <f t="shared" si="752"/>
        <v>0</v>
      </c>
    </row>
    <row r="45747" spans="20:20" ht="18.75" customHeight="1" x14ac:dyDescent="0.35">
      <c r="T45747" s="246">
        <f t="shared" si="752"/>
        <v>0</v>
      </c>
    </row>
    <row r="45748" spans="20:20" ht="18.75" customHeight="1" x14ac:dyDescent="0.35">
      <c r="T45748" s="246">
        <f t="shared" si="752"/>
        <v>0</v>
      </c>
    </row>
    <row r="45749" spans="20:20" ht="18.75" customHeight="1" x14ac:dyDescent="0.35">
      <c r="T45749" s="246">
        <f t="shared" si="752"/>
        <v>0</v>
      </c>
    </row>
    <row r="45750" spans="20:20" ht="18.75" customHeight="1" x14ac:dyDescent="0.35">
      <c r="T45750" s="246">
        <f t="shared" si="752"/>
        <v>0</v>
      </c>
    </row>
    <row r="45751" spans="20:20" ht="18.75" customHeight="1" x14ac:dyDescent="0.35">
      <c r="T45751" s="246">
        <f t="shared" si="752"/>
        <v>0</v>
      </c>
    </row>
    <row r="45752" spans="20:20" ht="18.75" customHeight="1" x14ac:dyDescent="0.35">
      <c r="T45752" s="246">
        <f t="shared" si="752"/>
        <v>0</v>
      </c>
    </row>
    <row r="45753" spans="20:20" ht="18.75" customHeight="1" x14ac:dyDescent="0.35">
      <c r="T45753" s="246">
        <f t="shared" si="752"/>
        <v>0</v>
      </c>
    </row>
    <row r="45754" spans="20:20" ht="18.75" customHeight="1" x14ac:dyDescent="0.35">
      <c r="T45754" s="246">
        <f t="shared" si="752"/>
        <v>0</v>
      </c>
    </row>
    <row r="45755" spans="20:20" ht="18.75" customHeight="1" x14ac:dyDescent="0.35">
      <c r="T45755" s="246">
        <f t="shared" si="752"/>
        <v>0</v>
      </c>
    </row>
    <row r="45756" spans="20:20" ht="18.75" customHeight="1" x14ac:dyDescent="0.35">
      <c r="T45756" s="246">
        <f t="shared" ref="T45756:T45819" si="753">R45756*0.01</f>
        <v>0</v>
      </c>
    </row>
    <row r="45757" spans="20:20" ht="18.75" customHeight="1" x14ac:dyDescent="0.35">
      <c r="T45757" s="246">
        <f t="shared" si="753"/>
        <v>0</v>
      </c>
    </row>
    <row r="45758" spans="20:20" ht="18.75" customHeight="1" x14ac:dyDescent="0.35">
      <c r="T45758" s="246">
        <f t="shared" si="753"/>
        <v>0</v>
      </c>
    </row>
    <row r="45759" spans="20:20" ht="18.75" customHeight="1" x14ac:dyDescent="0.35">
      <c r="T45759" s="246">
        <f t="shared" si="753"/>
        <v>0</v>
      </c>
    </row>
    <row r="45760" spans="20:20" ht="18.75" customHeight="1" x14ac:dyDescent="0.35">
      <c r="T45760" s="246">
        <f t="shared" si="753"/>
        <v>0</v>
      </c>
    </row>
    <row r="45761" spans="20:20" ht="18.75" customHeight="1" x14ac:dyDescent="0.35">
      <c r="T45761" s="246">
        <f t="shared" si="753"/>
        <v>0</v>
      </c>
    </row>
    <row r="45762" spans="20:20" ht="18.75" customHeight="1" x14ac:dyDescent="0.35">
      <c r="T45762" s="246">
        <f t="shared" si="753"/>
        <v>0</v>
      </c>
    </row>
    <row r="45763" spans="20:20" ht="18.75" customHeight="1" x14ac:dyDescent="0.35">
      <c r="T45763" s="246">
        <f t="shared" si="753"/>
        <v>0</v>
      </c>
    </row>
    <row r="45764" spans="20:20" ht="18.75" customHeight="1" x14ac:dyDescent="0.35">
      <c r="T45764" s="246">
        <f t="shared" si="753"/>
        <v>0</v>
      </c>
    </row>
    <row r="45765" spans="20:20" ht="18.75" customHeight="1" x14ac:dyDescent="0.35">
      <c r="T45765" s="246">
        <f t="shared" si="753"/>
        <v>0</v>
      </c>
    </row>
    <row r="45766" spans="20:20" ht="18.75" customHeight="1" x14ac:dyDescent="0.35">
      <c r="T45766" s="246">
        <f t="shared" si="753"/>
        <v>0</v>
      </c>
    </row>
    <row r="45767" spans="20:20" ht="18.75" customHeight="1" x14ac:dyDescent="0.35">
      <c r="T45767" s="246">
        <f t="shared" si="753"/>
        <v>0</v>
      </c>
    </row>
    <row r="45768" spans="20:20" ht="18.75" customHeight="1" x14ac:dyDescent="0.35">
      <c r="T45768" s="246">
        <f t="shared" si="753"/>
        <v>0</v>
      </c>
    </row>
    <row r="45769" spans="20:20" ht="18.75" customHeight="1" x14ac:dyDescent="0.35">
      <c r="T45769" s="246">
        <f t="shared" si="753"/>
        <v>0</v>
      </c>
    </row>
    <row r="45770" spans="20:20" ht="18.75" customHeight="1" x14ac:dyDescent="0.35">
      <c r="T45770" s="246">
        <f t="shared" si="753"/>
        <v>0</v>
      </c>
    </row>
    <row r="45771" spans="20:20" ht="18.75" customHeight="1" x14ac:dyDescent="0.35">
      <c r="T45771" s="246">
        <f t="shared" si="753"/>
        <v>0</v>
      </c>
    </row>
    <row r="45772" spans="20:20" ht="18.75" customHeight="1" x14ac:dyDescent="0.35">
      <c r="T45772" s="246">
        <f t="shared" si="753"/>
        <v>0</v>
      </c>
    </row>
    <row r="45773" spans="20:20" ht="18.75" customHeight="1" x14ac:dyDescent="0.35">
      <c r="T45773" s="246">
        <f t="shared" si="753"/>
        <v>0</v>
      </c>
    </row>
    <row r="45774" spans="20:20" ht="18.75" customHeight="1" x14ac:dyDescent="0.35">
      <c r="T45774" s="246">
        <f t="shared" si="753"/>
        <v>0</v>
      </c>
    </row>
    <row r="45775" spans="20:20" ht="18.75" customHeight="1" x14ac:dyDescent="0.35">
      <c r="T45775" s="246">
        <f t="shared" si="753"/>
        <v>0</v>
      </c>
    </row>
    <row r="45776" spans="20:20" ht="18.75" customHeight="1" x14ac:dyDescent="0.35">
      <c r="T45776" s="246">
        <f t="shared" si="753"/>
        <v>0</v>
      </c>
    </row>
    <row r="45777" spans="20:20" ht="18.75" customHeight="1" x14ac:dyDescent="0.35">
      <c r="T45777" s="246">
        <f t="shared" si="753"/>
        <v>0</v>
      </c>
    </row>
    <row r="45778" spans="20:20" ht="18.75" customHeight="1" x14ac:dyDescent="0.35">
      <c r="T45778" s="246">
        <f t="shared" si="753"/>
        <v>0</v>
      </c>
    </row>
    <row r="45779" spans="20:20" ht="18.75" customHeight="1" x14ac:dyDescent="0.35">
      <c r="T45779" s="246">
        <f t="shared" si="753"/>
        <v>0</v>
      </c>
    </row>
    <row r="45780" spans="20:20" ht="18.75" customHeight="1" x14ac:dyDescent="0.35">
      <c r="T45780" s="246">
        <f t="shared" si="753"/>
        <v>0</v>
      </c>
    </row>
    <row r="45781" spans="20:20" ht="18.75" customHeight="1" x14ac:dyDescent="0.35">
      <c r="T45781" s="246">
        <f t="shared" si="753"/>
        <v>0</v>
      </c>
    </row>
    <row r="45782" spans="20:20" ht="18.75" customHeight="1" x14ac:dyDescent="0.35">
      <c r="T45782" s="246">
        <f t="shared" si="753"/>
        <v>0</v>
      </c>
    </row>
    <row r="45783" spans="20:20" ht="18.75" customHeight="1" x14ac:dyDescent="0.35">
      <c r="T45783" s="246">
        <f t="shared" si="753"/>
        <v>0</v>
      </c>
    </row>
    <row r="45784" spans="20:20" ht="18.75" customHeight="1" x14ac:dyDescent="0.35">
      <c r="T45784" s="246">
        <f t="shared" si="753"/>
        <v>0</v>
      </c>
    </row>
    <row r="45785" spans="20:20" ht="18.75" customHeight="1" x14ac:dyDescent="0.35">
      <c r="T45785" s="246">
        <f t="shared" si="753"/>
        <v>0</v>
      </c>
    </row>
    <row r="45786" spans="20:20" ht="18.75" customHeight="1" x14ac:dyDescent="0.35">
      <c r="T45786" s="246">
        <f t="shared" si="753"/>
        <v>0</v>
      </c>
    </row>
    <row r="45787" spans="20:20" ht="18.75" customHeight="1" x14ac:dyDescent="0.35">
      <c r="T45787" s="246">
        <f t="shared" si="753"/>
        <v>0</v>
      </c>
    </row>
    <row r="45788" spans="20:20" ht="18.75" customHeight="1" x14ac:dyDescent="0.35">
      <c r="T45788" s="246">
        <f t="shared" si="753"/>
        <v>0</v>
      </c>
    </row>
    <row r="45789" spans="20:20" ht="18.75" customHeight="1" x14ac:dyDescent="0.35">
      <c r="T45789" s="246">
        <f t="shared" si="753"/>
        <v>0</v>
      </c>
    </row>
    <row r="45790" spans="20:20" ht="18.75" customHeight="1" x14ac:dyDescent="0.35">
      <c r="T45790" s="246">
        <f t="shared" si="753"/>
        <v>0</v>
      </c>
    </row>
    <row r="45791" spans="20:20" ht="18.75" customHeight="1" x14ac:dyDescent="0.35">
      <c r="T45791" s="246">
        <f t="shared" si="753"/>
        <v>0</v>
      </c>
    </row>
    <row r="45792" spans="20:20" ht="18.75" customHeight="1" x14ac:dyDescent="0.35">
      <c r="T45792" s="246">
        <f t="shared" si="753"/>
        <v>0</v>
      </c>
    </row>
    <row r="45793" spans="20:20" ht="18.75" customHeight="1" x14ac:dyDescent="0.35">
      <c r="T45793" s="246">
        <f t="shared" si="753"/>
        <v>0</v>
      </c>
    </row>
    <row r="45794" spans="20:20" ht="18.75" customHeight="1" x14ac:dyDescent="0.35">
      <c r="T45794" s="246">
        <f t="shared" si="753"/>
        <v>0</v>
      </c>
    </row>
    <row r="45795" spans="20:20" ht="18.75" customHeight="1" x14ac:dyDescent="0.35">
      <c r="T45795" s="246">
        <f t="shared" si="753"/>
        <v>0</v>
      </c>
    </row>
    <row r="45796" spans="20:20" ht="18.75" customHeight="1" x14ac:dyDescent="0.35">
      <c r="T45796" s="246">
        <f t="shared" si="753"/>
        <v>0</v>
      </c>
    </row>
    <row r="45797" spans="20:20" ht="18.75" customHeight="1" x14ac:dyDescent="0.35">
      <c r="T45797" s="246">
        <f t="shared" si="753"/>
        <v>0</v>
      </c>
    </row>
    <row r="45798" spans="20:20" ht="18.75" customHeight="1" x14ac:dyDescent="0.35">
      <c r="T45798" s="246">
        <f t="shared" si="753"/>
        <v>0</v>
      </c>
    </row>
    <row r="45799" spans="20:20" ht="18.75" customHeight="1" x14ac:dyDescent="0.35">
      <c r="T45799" s="246">
        <f t="shared" si="753"/>
        <v>0</v>
      </c>
    </row>
    <row r="45800" spans="20:20" ht="18.75" customHeight="1" x14ac:dyDescent="0.35">
      <c r="T45800" s="246">
        <f t="shared" si="753"/>
        <v>0</v>
      </c>
    </row>
    <row r="45801" spans="20:20" ht="18.75" customHeight="1" x14ac:dyDescent="0.35">
      <c r="T45801" s="246">
        <f t="shared" si="753"/>
        <v>0</v>
      </c>
    </row>
    <row r="45802" spans="20:20" ht="18.75" customHeight="1" x14ac:dyDescent="0.35">
      <c r="T45802" s="246">
        <f t="shared" si="753"/>
        <v>0</v>
      </c>
    </row>
    <row r="45803" spans="20:20" ht="18.75" customHeight="1" x14ac:dyDescent="0.35">
      <c r="T45803" s="246">
        <f t="shared" si="753"/>
        <v>0</v>
      </c>
    </row>
    <row r="45804" spans="20:20" ht="18.75" customHeight="1" x14ac:dyDescent="0.35">
      <c r="T45804" s="246">
        <f t="shared" si="753"/>
        <v>0</v>
      </c>
    </row>
    <row r="45805" spans="20:20" ht="18.75" customHeight="1" x14ac:dyDescent="0.35">
      <c r="T45805" s="246">
        <f t="shared" si="753"/>
        <v>0</v>
      </c>
    </row>
    <row r="45806" spans="20:20" ht="18.75" customHeight="1" x14ac:dyDescent="0.35">
      <c r="T45806" s="246">
        <f t="shared" si="753"/>
        <v>0</v>
      </c>
    </row>
    <row r="45807" spans="20:20" ht="18.75" customHeight="1" x14ac:dyDescent="0.35">
      <c r="T45807" s="246">
        <f t="shared" si="753"/>
        <v>0</v>
      </c>
    </row>
    <row r="45808" spans="20:20" ht="18.75" customHeight="1" x14ac:dyDescent="0.35">
      <c r="T45808" s="246">
        <f t="shared" si="753"/>
        <v>0</v>
      </c>
    </row>
    <row r="45809" spans="20:20" ht="18.75" customHeight="1" x14ac:dyDescent="0.35">
      <c r="T45809" s="246">
        <f t="shared" si="753"/>
        <v>0</v>
      </c>
    </row>
    <row r="45810" spans="20:20" ht="18.75" customHeight="1" x14ac:dyDescent="0.35">
      <c r="T45810" s="246">
        <f t="shared" si="753"/>
        <v>0</v>
      </c>
    </row>
    <row r="45811" spans="20:20" ht="18.75" customHeight="1" x14ac:dyDescent="0.35">
      <c r="T45811" s="246">
        <f t="shared" si="753"/>
        <v>0</v>
      </c>
    </row>
    <row r="45812" spans="20:20" ht="18.75" customHeight="1" x14ac:dyDescent="0.35">
      <c r="T45812" s="246">
        <f t="shared" si="753"/>
        <v>0</v>
      </c>
    </row>
    <row r="45813" spans="20:20" ht="18.75" customHeight="1" x14ac:dyDescent="0.35">
      <c r="T45813" s="246">
        <f t="shared" si="753"/>
        <v>0</v>
      </c>
    </row>
    <row r="45814" spans="20:20" ht="18.75" customHeight="1" x14ac:dyDescent="0.35">
      <c r="T45814" s="246">
        <f t="shared" si="753"/>
        <v>0</v>
      </c>
    </row>
    <row r="45815" spans="20:20" ht="18.75" customHeight="1" x14ac:dyDescent="0.35">
      <c r="T45815" s="246">
        <f t="shared" si="753"/>
        <v>0</v>
      </c>
    </row>
    <row r="45816" spans="20:20" ht="18.75" customHeight="1" x14ac:dyDescent="0.35">
      <c r="T45816" s="246">
        <f t="shared" si="753"/>
        <v>0</v>
      </c>
    </row>
    <row r="45817" spans="20:20" ht="18.75" customHeight="1" x14ac:dyDescent="0.35">
      <c r="T45817" s="246">
        <f t="shared" si="753"/>
        <v>0</v>
      </c>
    </row>
    <row r="45818" spans="20:20" ht="18.75" customHeight="1" x14ac:dyDescent="0.35">
      <c r="T45818" s="246">
        <f t="shared" si="753"/>
        <v>0</v>
      </c>
    </row>
    <row r="45819" spans="20:20" ht="18.75" customHeight="1" x14ac:dyDescent="0.35">
      <c r="T45819" s="246">
        <f t="shared" si="753"/>
        <v>0</v>
      </c>
    </row>
    <row r="45820" spans="20:20" ht="18.75" customHeight="1" x14ac:dyDescent="0.35">
      <c r="T45820" s="246">
        <f t="shared" ref="T45820:T45883" si="754">R45820*0.01</f>
        <v>0</v>
      </c>
    </row>
    <row r="45821" spans="20:20" ht="18.75" customHeight="1" x14ac:dyDescent="0.35">
      <c r="T45821" s="246">
        <f t="shared" si="754"/>
        <v>0</v>
      </c>
    </row>
    <row r="45822" spans="20:20" ht="18.75" customHeight="1" x14ac:dyDescent="0.35">
      <c r="T45822" s="246">
        <f t="shared" si="754"/>
        <v>0</v>
      </c>
    </row>
    <row r="45823" spans="20:20" ht="18.75" customHeight="1" x14ac:dyDescent="0.35">
      <c r="T45823" s="246">
        <f t="shared" si="754"/>
        <v>0</v>
      </c>
    </row>
    <row r="45824" spans="20:20" ht="18.75" customHeight="1" x14ac:dyDescent="0.35">
      <c r="T45824" s="246">
        <f t="shared" si="754"/>
        <v>0</v>
      </c>
    </row>
    <row r="45825" spans="20:20" ht="18.75" customHeight="1" x14ac:dyDescent="0.35">
      <c r="T45825" s="246">
        <f t="shared" si="754"/>
        <v>0</v>
      </c>
    </row>
    <row r="45826" spans="20:20" ht="18.75" customHeight="1" x14ac:dyDescent="0.35">
      <c r="T45826" s="246">
        <f t="shared" si="754"/>
        <v>0</v>
      </c>
    </row>
    <row r="45827" spans="20:20" ht="18.75" customHeight="1" x14ac:dyDescent="0.35">
      <c r="T45827" s="246">
        <f t="shared" si="754"/>
        <v>0</v>
      </c>
    </row>
    <row r="45828" spans="20:20" ht="18.75" customHeight="1" x14ac:dyDescent="0.35">
      <c r="T45828" s="246">
        <f t="shared" si="754"/>
        <v>0</v>
      </c>
    </row>
    <row r="45829" spans="20:20" ht="18.75" customHeight="1" x14ac:dyDescent="0.35">
      <c r="T45829" s="246">
        <f t="shared" si="754"/>
        <v>0</v>
      </c>
    </row>
    <row r="45830" spans="20:20" ht="18.75" customHeight="1" x14ac:dyDescent="0.35">
      <c r="T45830" s="246">
        <f t="shared" si="754"/>
        <v>0</v>
      </c>
    </row>
    <row r="45831" spans="20:20" ht="18.75" customHeight="1" x14ac:dyDescent="0.35">
      <c r="T45831" s="246">
        <f t="shared" si="754"/>
        <v>0</v>
      </c>
    </row>
    <row r="45832" spans="20:20" ht="18.75" customHeight="1" x14ac:dyDescent="0.35">
      <c r="T45832" s="246">
        <f t="shared" si="754"/>
        <v>0</v>
      </c>
    </row>
    <row r="45833" spans="20:20" ht="18.75" customHeight="1" x14ac:dyDescent="0.35">
      <c r="T45833" s="246">
        <f t="shared" si="754"/>
        <v>0</v>
      </c>
    </row>
    <row r="45834" spans="20:20" ht="18.75" customHeight="1" x14ac:dyDescent="0.35">
      <c r="T45834" s="246">
        <f t="shared" si="754"/>
        <v>0</v>
      </c>
    </row>
    <row r="45835" spans="20:20" ht="18.75" customHeight="1" x14ac:dyDescent="0.35">
      <c r="T45835" s="246">
        <f t="shared" si="754"/>
        <v>0</v>
      </c>
    </row>
    <row r="45836" spans="20:20" ht="18.75" customHeight="1" x14ac:dyDescent="0.35">
      <c r="T45836" s="246">
        <f t="shared" si="754"/>
        <v>0</v>
      </c>
    </row>
    <row r="45837" spans="20:20" ht="18.75" customHeight="1" x14ac:dyDescent="0.35">
      <c r="T45837" s="246">
        <f t="shared" si="754"/>
        <v>0</v>
      </c>
    </row>
    <row r="45838" spans="20:20" ht="18.75" customHeight="1" x14ac:dyDescent="0.35">
      <c r="T45838" s="246">
        <f t="shared" si="754"/>
        <v>0</v>
      </c>
    </row>
    <row r="45839" spans="20:20" ht="18.75" customHeight="1" x14ac:dyDescent="0.35">
      <c r="T45839" s="246">
        <f t="shared" si="754"/>
        <v>0</v>
      </c>
    </row>
    <row r="45840" spans="20:20" ht="18.75" customHeight="1" x14ac:dyDescent="0.35">
      <c r="T45840" s="246">
        <f t="shared" si="754"/>
        <v>0</v>
      </c>
    </row>
    <row r="45841" spans="20:20" ht="18.75" customHeight="1" x14ac:dyDescent="0.35">
      <c r="T45841" s="246">
        <f t="shared" si="754"/>
        <v>0</v>
      </c>
    </row>
    <row r="45842" spans="20:20" ht="18.75" customHeight="1" x14ac:dyDescent="0.35">
      <c r="T45842" s="246">
        <f t="shared" si="754"/>
        <v>0</v>
      </c>
    </row>
    <row r="45843" spans="20:20" ht="18.75" customHeight="1" x14ac:dyDescent="0.35">
      <c r="T45843" s="246">
        <f t="shared" si="754"/>
        <v>0</v>
      </c>
    </row>
    <row r="45844" spans="20:20" ht="18.75" customHeight="1" x14ac:dyDescent="0.35">
      <c r="T45844" s="246">
        <f t="shared" si="754"/>
        <v>0</v>
      </c>
    </row>
    <row r="45845" spans="20:20" ht="18.75" customHeight="1" x14ac:dyDescent="0.35">
      <c r="T45845" s="246">
        <f t="shared" si="754"/>
        <v>0</v>
      </c>
    </row>
    <row r="45846" spans="20:20" ht="18.75" customHeight="1" x14ac:dyDescent="0.35">
      <c r="T45846" s="246">
        <f t="shared" si="754"/>
        <v>0</v>
      </c>
    </row>
    <row r="45847" spans="20:20" ht="18.75" customHeight="1" x14ac:dyDescent="0.35">
      <c r="T45847" s="246">
        <f t="shared" si="754"/>
        <v>0</v>
      </c>
    </row>
    <row r="45848" spans="20:20" ht="18.75" customHeight="1" x14ac:dyDescent="0.35">
      <c r="T45848" s="246">
        <f t="shared" si="754"/>
        <v>0</v>
      </c>
    </row>
    <row r="45849" spans="20:20" ht="18.75" customHeight="1" x14ac:dyDescent="0.35">
      <c r="T45849" s="246">
        <f t="shared" si="754"/>
        <v>0</v>
      </c>
    </row>
    <row r="45850" spans="20:20" ht="18.75" customHeight="1" x14ac:dyDescent="0.35">
      <c r="T45850" s="246">
        <f t="shared" si="754"/>
        <v>0</v>
      </c>
    </row>
    <row r="45851" spans="20:20" ht="18.75" customHeight="1" x14ac:dyDescent="0.35">
      <c r="T45851" s="246">
        <f t="shared" si="754"/>
        <v>0</v>
      </c>
    </row>
    <row r="45852" spans="20:20" ht="18.75" customHeight="1" x14ac:dyDescent="0.35">
      <c r="T45852" s="246">
        <f t="shared" si="754"/>
        <v>0</v>
      </c>
    </row>
    <row r="45853" spans="20:20" ht="18.75" customHeight="1" x14ac:dyDescent="0.35">
      <c r="T45853" s="246">
        <f t="shared" si="754"/>
        <v>0</v>
      </c>
    </row>
    <row r="45854" spans="20:20" ht="18.75" customHeight="1" x14ac:dyDescent="0.35">
      <c r="T45854" s="246">
        <f t="shared" si="754"/>
        <v>0</v>
      </c>
    </row>
    <row r="45855" spans="20:20" ht="18.75" customHeight="1" x14ac:dyDescent="0.35">
      <c r="T45855" s="246">
        <f t="shared" si="754"/>
        <v>0</v>
      </c>
    </row>
    <row r="45856" spans="20:20" ht="18.75" customHeight="1" x14ac:dyDescent="0.35">
      <c r="T45856" s="246">
        <f t="shared" si="754"/>
        <v>0</v>
      </c>
    </row>
    <row r="45857" spans="20:20" ht="18.75" customHeight="1" x14ac:dyDescent="0.35">
      <c r="T45857" s="246">
        <f t="shared" si="754"/>
        <v>0</v>
      </c>
    </row>
    <row r="45858" spans="20:20" ht="18.75" customHeight="1" x14ac:dyDescent="0.35">
      <c r="T45858" s="246">
        <f t="shared" si="754"/>
        <v>0</v>
      </c>
    </row>
    <row r="45859" spans="20:20" ht="18.75" customHeight="1" x14ac:dyDescent="0.35">
      <c r="T45859" s="246">
        <f t="shared" si="754"/>
        <v>0</v>
      </c>
    </row>
    <row r="45860" spans="20:20" ht="18.75" customHeight="1" x14ac:dyDescent="0.35">
      <c r="T45860" s="246">
        <f t="shared" si="754"/>
        <v>0</v>
      </c>
    </row>
    <row r="45861" spans="20:20" ht="18.75" customHeight="1" x14ac:dyDescent="0.35">
      <c r="T45861" s="246">
        <f t="shared" si="754"/>
        <v>0</v>
      </c>
    </row>
    <row r="45862" spans="20:20" ht="18.75" customHeight="1" x14ac:dyDescent="0.35">
      <c r="T45862" s="246">
        <f t="shared" si="754"/>
        <v>0</v>
      </c>
    </row>
    <row r="45863" spans="20:20" ht="18.75" customHeight="1" x14ac:dyDescent="0.35">
      <c r="T45863" s="246">
        <f t="shared" si="754"/>
        <v>0</v>
      </c>
    </row>
    <row r="45864" spans="20:20" ht="18.75" customHeight="1" x14ac:dyDescent="0.35">
      <c r="T45864" s="246">
        <f t="shared" si="754"/>
        <v>0</v>
      </c>
    </row>
    <row r="45865" spans="20:20" ht="18.75" customHeight="1" x14ac:dyDescent="0.35">
      <c r="T45865" s="246">
        <f t="shared" si="754"/>
        <v>0</v>
      </c>
    </row>
    <row r="45866" spans="20:20" ht="18.75" customHeight="1" x14ac:dyDescent="0.35">
      <c r="T45866" s="246">
        <f t="shared" si="754"/>
        <v>0</v>
      </c>
    </row>
    <row r="45867" spans="20:20" ht="18.75" customHeight="1" x14ac:dyDescent="0.35">
      <c r="T45867" s="246">
        <f t="shared" si="754"/>
        <v>0</v>
      </c>
    </row>
    <row r="45868" spans="20:20" ht="18.75" customHeight="1" x14ac:dyDescent="0.35">
      <c r="T45868" s="246">
        <f t="shared" si="754"/>
        <v>0</v>
      </c>
    </row>
    <row r="45869" spans="20:20" ht="18.75" customHeight="1" x14ac:dyDescent="0.35">
      <c r="T45869" s="246">
        <f t="shared" si="754"/>
        <v>0</v>
      </c>
    </row>
    <row r="45870" spans="20:20" ht="18.75" customHeight="1" x14ac:dyDescent="0.35">
      <c r="T45870" s="246">
        <f t="shared" si="754"/>
        <v>0</v>
      </c>
    </row>
    <row r="45871" spans="20:20" ht="18.75" customHeight="1" x14ac:dyDescent="0.35">
      <c r="T45871" s="246">
        <f t="shared" si="754"/>
        <v>0</v>
      </c>
    </row>
    <row r="45872" spans="20:20" ht="18.75" customHeight="1" x14ac:dyDescent="0.35">
      <c r="T45872" s="246">
        <f t="shared" si="754"/>
        <v>0</v>
      </c>
    </row>
    <row r="45873" spans="20:20" ht="18.75" customHeight="1" x14ac:dyDescent="0.35">
      <c r="T45873" s="246">
        <f t="shared" si="754"/>
        <v>0</v>
      </c>
    </row>
    <row r="45874" spans="20:20" ht="18.75" customHeight="1" x14ac:dyDescent="0.35">
      <c r="T45874" s="246">
        <f t="shared" si="754"/>
        <v>0</v>
      </c>
    </row>
    <row r="45875" spans="20:20" ht="18.75" customHeight="1" x14ac:dyDescent="0.35">
      <c r="T45875" s="246">
        <f t="shared" si="754"/>
        <v>0</v>
      </c>
    </row>
    <row r="45876" spans="20:20" ht="18.75" customHeight="1" x14ac:dyDescent="0.35">
      <c r="T45876" s="246">
        <f t="shared" si="754"/>
        <v>0</v>
      </c>
    </row>
    <row r="45877" spans="20:20" ht="18.75" customHeight="1" x14ac:dyDescent="0.35">
      <c r="T45877" s="246">
        <f t="shared" si="754"/>
        <v>0</v>
      </c>
    </row>
    <row r="45878" spans="20:20" ht="18.75" customHeight="1" x14ac:dyDescent="0.35">
      <c r="T45878" s="246">
        <f t="shared" si="754"/>
        <v>0</v>
      </c>
    </row>
    <row r="45879" spans="20:20" ht="18.75" customHeight="1" x14ac:dyDescent="0.35">
      <c r="T45879" s="246">
        <f t="shared" si="754"/>
        <v>0</v>
      </c>
    </row>
    <row r="45880" spans="20:20" ht="18.75" customHeight="1" x14ac:dyDescent="0.35">
      <c r="T45880" s="246">
        <f t="shared" si="754"/>
        <v>0</v>
      </c>
    </row>
    <row r="45881" spans="20:20" ht="18.75" customHeight="1" x14ac:dyDescent="0.35">
      <c r="T45881" s="246">
        <f t="shared" si="754"/>
        <v>0</v>
      </c>
    </row>
    <row r="45882" spans="20:20" ht="18.75" customHeight="1" x14ac:dyDescent="0.35">
      <c r="T45882" s="246">
        <f t="shared" si="754"/>
        <v>0</v>
      </c>
    </row>
    <row r="45883" spans="20:20" ht="18.75" customHeight="1" x14ac:dyDescent="0.35">
      <c r="T45883" s="246">
        <f t="shared" si="754"/>
        <v>0</v>
      </c>
    </row>
    <row r="45884" spans="20:20" ht="18.75" customHeight="1" x14ac:dyDescent="0.35">
      <c r="T45884" s="246">
        <f t="shared" ref="T45884:T45947" si="755">R45884*0.01</f>
        <v>0</v>
      </c>
    </row>
    <row r="45885" spans="20:20" ht="18.75" customHeight="1" x14ac:dyDescent="0.35">
      <c r="T45885" s="246">
        <f t="shared" si="755"/>
        <v>0</v>
      </c>
    </row>
    <row r="45886" spans="20:20" ht="18.75" customHeight="1" x14ac:dyDescent="0.35">
      <c r="T45886" s="246">
        <f t="shared" si="755"/>
        <v>0</v>
      </c>
    </row>
    <row r="45887" spans="20:20" ht="18.75" customHeight="1" x14ac:dyDescent="0.35">
      <c r="T45887" s="246">
        <f t="shared" si="755"/>
        <v>0</v>
      </c>
    </row>
    <row r="45888" spans="20:20" ht="18.75" customHeight="1" x14ac:dyDescent="0.35">
      <c r="T45888" s="246">
        <f t="shared" si="755"/>
        <v>0</v>
      </c>
    </row>
    <row r="45889" spans="20:20" ht="18.75" customHeight="1" x14ac:dyDescent="0.35">
      <c r="T45889" s="246">
        <f t="shared" si="755"/>
        <v>0</v>
      </c>
    </row>
    <row r="45890" spans="20:20" ht="18.75" customHeight="1" x14ac:dyDescent="0.35">
      <c r="T45890" s="246">
        <f t="shared" si="755"/>
        <v>0</v>
      </c>
    </row>
    <row r="45891" spans="20:20" ht="18.75" customHeight="1" x14ac:dyDescent="0.35">
      <c r="T45891" s="246">
        <f t="shared" si="755"/>
        <v>0</v>
      </c>
    </row>
    <row r="45892" spans="20:20" ht="18.75" customHeight="1" x14ac:dyDescent="0.35">
      <c r="T45892" s="246">
        <f t="shared" si="755"/>
        <v>0</v>
      </c>
    </row>
    <row r="45893" spans="20:20" ht="18.75" customHeight="1" x14ac:dyDescent="0.35">
      <c r="T45893" s="246">
        <f t="shared" si="755"/>
        <v>0</v>
      </c>
    </row>
    <row r="45894" spans="20:20" ht="18.75" customHeight="1" x14ac:dyDescent="0.35">
      <c r="T45894" s="246">
        <f t="shared" si="755"/>
        <v>0</v>
      </c>
    </row>
    <row r="45895" spans="20:20" ht="18.75" customHeight="1" x14ac:dyDescent="0.35">
      <c r="T45895" s="246">
        <f t="shared" si="755"/>
        <v>0</v>
      </c>
    </row>
    <row r="45896" spans="20:20" ht="18.75" customHeight="1" x14ac:dyDescent="0.35">
      <c r="T45896" s="246">
        <f t="shared" si="755"/>
        <v>0</v>
      </c>
    </row>
    <row r="45897" spans="20:20" ht="18.75" customHeight="1" x14ac:dyDescent="0.35">
      <c r="T45897" s="246">
        <f t="shared" si="755"/>
        <v>0</v>
      </c>
    </row>
    <row r="45898" spans="20:20" ht="18.75" customHeight="1" x14ac:dyDescent="0.35">
      <c r="T45898" s="246">
        <f t="shared" si="755"/>
        <v>0</v>
      </c>
    </row>
    <row r="45899" spans="20:20" ht="18.75" customHeight="1" x14ac:dyDescent="0.35">
      <c r="T45899" s="246">
        <f t="shared" si="755"/>
        <v>0</v>
      </c>
    </row>
    <row r="45900" spans="20:20" ht="18.75" customHeight="1" x14ac:dyDescent="0.35">
      <c r="T45900" s="246">
        <f t="shared" si="755"/>
        <v>0</v>
      </c>
    </row>
    <row r="45901" spans="20:20" ht="18.75" customHeight="1" x14ac:dyDescent="0.35">
      <c r="T45901" s="246">
        <f t="shared" si="755"/>
        <v>0</v>
      </c>
    </row>
    <row r="45902" spans="20:20" ht="18.75" customHeight="1" x14ac:dyDescent="0.35">
      <c r="T45902" s="246">
        <f t="shared" si="755"/>
        <v>0</v>
      </c>
    </row>
    <row r="45903" spans="20:20" ht="18.75" customHeight="1" x14ac:dyDescent="0.35">
      <c r="T45903" s="246">
        <f t="shared" si="755"/>
        <v>0</v>
      </c>
    </row>
    <row r="45904" spans="20:20" ht="18.75" customHeight="1" x14ac:dyDescent="0.35">
      <c r="T45904" s="246">
        <f t="shared" si="755"/>
        <v>0</v>
      </c>
    </row>
    <row r="45905" spans="20:20" ht="18.75" customHeight="1" x14ac:dyDescent="0.35">
      <c r="T45905" s="246">
        <f t="shared" si="755"/>
        <v>0</v>
      </c>
    </row>
    <row r="45906" spans="20:20" ht="18.75" customHeight="1" x14ac:dyDescent="0.35">
      <c r="T45906" s="246">
        <f t="shared" si="755"/>
        <v>0</v>
      </c>
    </row>
    <row r="45907" spans="20:20" ht="18.75" customHeight="1" x14ac:dyDescent="0.35">
      <c r="T45907" s="246">
        <f t="shared" si="755"/>
        <v>0</v>
      </c>
    </row>
    <row r="45908" spans="20:20" ht="18.75" customHeight="1" x14ac:dyDescent="0.35">
      <c r="T45908" s="246">
        <f t="shared" si="755"/>
        <v>0</v>
      </c>
    </row>
    <row r="45909" spans="20:20" ht="18.75" customHeight="1" x14ac:dyDescent="0.35">
      <c r="T45909" s="246">
        <f t="shared" si="755"/>
        <v>0</v>
      </c>
    </row>
    <row r="45910" spans="20:20" ht="18.75" customHeight="1" x14ac:dyDescent="0.35">
      <c r="T45910" s="246">
        <f t="shared" si="755"/>
        <v>0</v>
      </c>
    </row>
    <row r="45911" spans="20:20" ht="18.75" customHeight="1" x14ac:dyDescent="0.35">
      <c r="T45911" s="246">
        <f t="shared" si="755"/>
        <v>0</v>
      </c>
    </row>
    <row r="45912" spans="20:20" ht="18.75" customHeight="1" x14ac:dyDescent="0.35">
      <c r="T45912" s="246">
        <f t="shared" si="755"/>
        <v>0</v>
      </c>
    </row>
    <row r="45913" spans="20:20" ht="18.75" customHeight="1" x14ac:dyDescent="0.35">
      <c r="T45913" s="246">
        <f t="shared" si="755"/>
        <v>0</v>
      </c>
    </row>
    <row r="45914" spans="20:20" ht="18.75" customHeight="1" x14ac:dyDescent="0.35">
      <c r="T45914" s="246">
        <f t="shared" si="755"/>
        <v>0</v>
      </c>
    </row>
    <row r="45915" spans="20:20" ht="18.75" customHeight="1" x14ac:dyDescent="0.35">
      <c r="T45915" s="246">
        <f t="shared" si="755"/>
        <v>0</v>
      </c>
    </row>
    <row r="45916" spans="20:20" ht="18.75" customHeight="1" x14ac:dyDescent="0.35">
      <c r="T45916" s="246">
        <f t="shared" si="755"/>
        <v>0</v>
      </c>
    </row>
    <row r="45917" spans="20:20" ht="18.75" customHeight="1" x14ac:dyDescent="0.35">
      <c r="T45917" s="246">
        <f t="shared" si="755"/>
        <v>0</v>
      </c>
    </row>
    <row r="45918" spans="20:20" ht="18.75" customHeight="1" x14ac:dyDescent="0.35">
      <c r="T45918" s="246">
        <f t="shared" si="755"/>
        <v>0</v>
      </c>
    </row>
    <row r="45919" spans="20:20" ht="18.75" customHeight="1" x14ac:dyDescent="0.35">
      <c r="T45919" s="246">
        <f t="shared" si="755"/>
        <v>0</v>
      </c>
    </row>
    <row r="45920" spans="20:20" ht="18.75" customHeight="1" x14ac:dyDescent="0.35">
      <c r="T45920" s="246">
        <f t="shared" si="755"/>
        <v>0</v>
      </c>
    </row>
    <row r="45921" spans="20:20" ht="18.75" customHeight="1" x14ac:dyDescent="0.35">
      <c r="T45921" s="246">
        <f t="shared" si="755"/>
        <v>0</v>
      </c>
    </row>
    <row r="45922" spans="20:20" ht="18.75" customHeight="1" x14ac:dyDescent="0.35">
      <c r="T45922" s="246">
        <f t="shared" si="755"/>
        <v>0</v>
      </c>
    </row>
    <row r="45923" spans="20:20" ht="18.75" customHeight="1" x14ac:dyDescent="0.35">
      <c r="T45923" s="246">
        <f t="shared" si="755"/>
        <v>0</v>
      </c>
    </row>
    <row r="45924" spans="20:20" ht="18.75" customHeight="1" x14ac:dyDescent="0.35">
      <c r="T45924" s="246">
        <f t="shared" si="755"/>
        <v>0</v>
      </c>
    </row>
    <row r="45925" spans="20:20" ht="18.75" customHeight="1" x14ac:dyDescent="0.35">
      <c r="T45925" s="246">
        <f t="shared" si="755"/>
        <v>0</v>
      </c>
    </row>
    <row r="45926" spans="20:20" ht="18.75" customHeight="1" x14ac:dyDescent="0.35">
      <c r="T45926" s="246">
        <f t="shared" si="755"/>
        <v>0</v>
      </c>
    </row>
    <row r="45927" spans="20:20" ht="18.75" customHeight="1" x14ac:dyDescent="0.35">
      <c r="T45927" s="246">
        <f t="shared" si="755"/>
        <v>0</v>
      </c>
    </row>
    <row r="45928" spans="20:20" ht="18.75" customHeight="1" x14ac:dyDescent="0.35">
      <c r="T45928" s="246">
        <f t="shared" si="755"/>
        <v>0</v>
      </c>
    </row>
    <row r="45929" spans="20:20" ht="18.75" customHeight="1" x14ac:dyDescent="0.35">
      <c r="T45929" s="246">
        <f t="shared" si="755"/>
        <v>0</v>
      </c>
    </row>
    <row r="45930" spans="20:20" ht="18.75" customHeight="1" x14ac:dyDescent="0.35">
      <c r="T45930" s="246">
        <f t="shared" si="755"/>
        <v>0</v>
      </c>
    </row>
    <row r="45931" spans="20:20" ht="18.75" customHeight="1" x14ac:dyDescent="0.35">
      <c r="T45931" s="246">
        <f t="shared" si="755"/>
        <v>0</v>
      </c>
    </row>
    <row r="45932" spans="20:20" ht="18.75" customHeight="1" x14ac:dyDescent="0.35">
      <c r="T45932" s="246">
        <f t="shared" si="755"/>
        <v>0</v>
      </c>
    </row>
    <row r="45933" spans="20:20" ht="18.75" customHeight="1" x14ac:dyDescent="0.35">
      <c r="T45933" s="246">
        <f t="shared" si="755"/>
        <v>0</v>
      </c>
    </row>
    <row r="45934" spans="20:20" ht="18.75" customHeight="1" x14ac:dyDescent="0.35">
      <c r="T45934" s="246">
        <f t="shared" si="755"/>
        <v>0</v>
      </c>
    </row>
    <row r="45935" spans="20:20" ht="18.75" customHeight="1" x14ac:dyDescent="0.35">
      <c r="T45935" s="246">
        <f t="shared" si="755"/>
        <v>0</v>
      </c>
    </row>
    <row r="45936" spans="20:20" ht="18.75" customHeight="1" x14ac:dyDescent="0.35">
      <c r="T45936" s="246">
        <f t="shared" si="755"/>
        <v>0</v>
      </c>
    </row>
    <row r="45937" spans="20:20" ht="18.75" customHeight="1" x14ac:dyDescent="0.35">
      <c r="T45937" s="246">
        <f t="shared" si="755"/>
        <v>0</v>
      </c>
    </row>
    <row r="45938" spans="20:20" ht="18.75" customHeight="1" x14ac:dyDescent="0.35">
      <c r="T45938" s="246">
        <f t="shared" si="755"/>
        <v>0</v>
      </c>
    </row>
    <row r="45939" spans="20:20" ht="18.75" customHeight="1" x14ac:dyDescent="0.35">
      <c r="T45939" s="246">
        <f t="shared" si="755"/>
        <v>0</v>
      </c>
    </row>
    <row r="45940" spans="20:20" ht="18.75" customHeight="1" x14ac:dyDescent="0.35">
      <c r="T45940" s="246">
        <f t="shared" si="755"/>
        <v>0</v>
      </c>
    </row>
    <row r="45941" spans="20:20" ht="18.75" customHeight="1" x14ac:dyDescent="0.35">
      <c r="T45941" s="246">
        <f t="shared" si="755"/>
        <v>0</v>
      </c>
    </row>
    <row r="45942" spans="20:20" ht="18.75" customHeight="1" x14ac:dyDescent="0.35">
      <c r="T45942" s="246">
        <f t="shared" si="755"/>
        <v>0</v>
      </c>
    </row>
    <row r="45943" spans="20:20" ht="18.75" customHeight="1" x14ac:dyDescent="0.35">
      <c r="T45943" s="246">
        <f t="shared" si="755"/>
        <v>0</v>
      </c>
    </row>
    <row r="45944" spans="20:20" ht="18.75" customHeight="1" x14ac:dyDescent="0.35">
      <c r="T45944" s="246">
        <f t="shared" si="755"/>
        <v>0</v>
      </c>
    </row>
    <row r="45945" spans="20:20" ht="18.75" customHeight="1" x14ac:dyDescent="0.35">
      <c r="T45945" s="246">
        <f t="shared" si="755"/>
        <v>0</v>
      </c>
    </row>
    <row r="45946" spans="20:20" ht="18.75" customHeight="1" x14ac:dyDescent="0.35">
      <c r="T45946" s="246">
        <f t="shared" si="755"/>
        <v>0</v>
      </c>
    </row>
    <row r="45947" spans="20:20" ht="18.75" customHeight="1" x14ac:dyDescent="0.35">
      <c r="T45947" s="246">
        <f t="shared" si="755"/>
        <v>0</v>
      </c>
    </row>
    <row r="45948" spans="20:20" ht="18.75" customHeight="1" x14ac:dyDescent="0.35">
      <c r="T45948" s="246">
        <f t="shared" ref="T45948:T46011" si="756">R45948*0.01</f>
        <v>0</v>
      </c>
    </row>
    <row r="45949" spans="20:20" ht="18.75" customHeight="1" x14ac:dyDescent="0.35">
      <c r="T45949" s="246">
        <f t="shared" si="756"/>
        <v>0</v>
      </c>
    </row>
    <row r="45950" spans="20:20" ht="18.75" customHeight="1" x14ac:dyDescent="0.35">
      <c r="T45950" s="246">
        <f t="shared" si="756"/>
        <v>0</v>
      </c>
    </row>
    <row r="45951" spans="20:20" ht="18.75" customHeight="1" x14ac:dyDescent="0.35">
      <c r="T45951" s="246">
        <f t="shared" si="756"/>
        <v>0</v>
      </c>
    </row>
    <row r="45952" spans="20:20" ht="18.75" customHeight="1" x14ac:dyDescent="0.35">
      <c r="T45952" s="246">
        <f t="shared" si="756"/>
        <v>0</v>
      </c>
    </row>
    <row r="45953" spans="20:20" ht="18.75" customHeight="1" x14ac:dyDescent="0.35">
      <c r="T45953" s="246">
        <f t="shared" si="756"/>
        <v>0</v>
      </c>
    </row>
    <row r="45954" spans="20:20" ht="18.75" customHeight="1" x14ac:dyDescent="0.35">
      <c r="T45954" s="246">
        <f t="shared" si="756"/>
        <v>0</v>
      </c>
    </row>
    <row r="45955" spans="20:20" ht="18.75" customHeight="1" x14ac:dyDescent="0.35">
      <c r="T45955" s="246">
        <f t="shared" si="756"/>
        <v>0</v>
      </c>
    </row>
    <row r="45956" spans="20:20" ht="18.75" customHeight="1" x14ac:dyDescent="0.35">
      <c r="T45956" s="246">
        <f t="shared" si="756"/>
        <v>0</v>
      </c>
    </row>
    <row r="45957" spans="20:20" ht="18.75" customHeight="1" x14ac:dyDescent="0.35">
      <c r="T45957" s="246">
        <f t="shared" si="756"/>
        <v>0</v>
      </c>
    </row>
    <row r="45958" spans="20:20" ht="18.75" customHeight="1" x14ac:dyDescent="0.35">
      <c r="T45958" s="246">
        <f t="shared" si="756"/>
        <v>0</v>
      </c>
    </row>
    <row r="45959" spans="20:20" ht="18.75" customHeight="1" x14ac:dyDescent="0.35">
      <c r="T45959" s="246">
        <f t="shared" si="756"/>
        <v>0</v>
      </c>
    </row>
    <row r="45960" spans="20:20" ht="18.75" customHeight="1" x14ac:dyDescent="0.35">
      <c r="T45960" s="246">
        <f t="shared" si="756"/>
        <v>0</v>
      </c>
    </row>
    <row r="45961" spans="20:20" ht="18.75" customHeight="1" x14ac:dyDescent="0.35">
      <c r="T45961" s="246">
        <f t="shared" si="756"/>
        <v>0</v>
      </c>
    </row>
    <row r="45962" spans="20:20" ht="18.75" customHeight="1" x14ac:dyDescent="0.35">
      <c r="T45962" s="246">
        <f t="shared" si="756"/>
        <v>0</v>
      </c>
    </row>
    <row r="45963" spans="20:20" ht="18.75" customHeight="1" x14ac:dyDescent="0.35">
      <c r="T45963" s="246">
        <f t="shared" si="756"/>
        <v>0</v>
      </c>
    </row>
    <row r="45964" spans="20:20" ht="18.75" customHeight="1" x14ac:dyDescent="0.35">
      <c r="T45964" s="246">
        <f t="shared" si="756"/>
        <v>0</v>
      </c>
    </row>
    <row r="45965" spans="20:20" ht="18.75" customHeight="1" x14ac:dyDescent="0.35">
      <c r="T45965" s="246">
        <f t="shared" si="756"/>
        <v>0</v>
      </c>
    </row>
    <row r="45966" spans="20:20" ht="18.75" customHeight="1" x14ac:dyDescent="0.35">
      <c r="T45966" s="246">
        <f t="shared" si="756"/>
        <v>0</v>
      </c>
    </row>
    <row r="45967" spans="20:20" ht="18.75" customHeight="1" x14ac:dyDescent="0.35">
      <c r="T45967" s="246">
        <f t="shared" si="756"/>
        <v>0</v>
      </c>
    </row>
    <row r="45968" spans="20:20" ht="18.75" customHeight="1" x14ac:dyDescent="0.35">
      <c r="T45968" s="246">
        <f t="shared" si="756"/>
        <v>0</v>
      </c>
    </row>
    <row r="45969" spans="20:20" ht="18.75" customHeight="1" x14ac:dyDescent="0.35">
      <c r="T45969" s="246">
        <f t="shared" si="756"/>
        <v>0</v>
      </c>
    </row>
    <row r="45970" spans="20:20" ht="18.75" customHeight="1" x14ac:dyDescent="0.35">
      <c r="T45970" s="246">
        <f t="shared" si="756"/>
        <v>0</v>
      </c>
    </row>
    <row r="45971" spans="20:20" ht="18.75" customHeight="1" x14ac:dyDescent="0.35">
      <c r="T45971" s="246">
        <f t="shared" si="756"/>
        <v>0</v>
      </c>
    </row>
    <row r="45972" spans="20:20" ht="18.75" customHeight="1" x14ac:dyDescent="0.35">
      <c r="T45972" s="246">
        <f t="shared" si="756"/>
        <v>0</v>
      </c>
    </row>
    <row r="45973" spans="20:20" ht="18.75" customHeight="1" x14ac:dyDescent="0.35">
      <c r="T45973" s="246">
        <f t="shared" si="756"/>
        <v>0</v>
      </c>
    </row>
    <row r="45974" spans="20:20" ht="18.75" customHeight="1" x14ac:dyDescent="0.35">
      <c r="T45974" s="246">
        <f t="shared" si="756"/>
        <v>0</v>
      </c>
    </row>
    <row r="45975" spans="20:20" ht="18.75" customHeight="1" x14ac:dyDescent="0.35">
      <c r="T45975" s="246">
        <f t="shared" si="756"/>
        <v>0</v>
      </c>
    </row>
    <row r="45976" spans="20:20" ht="18.75" customHeight="1" x14ac:dyDescent="0.35">
      <c r="T45976" s="246">
        <f t="shared" si="756"/>
        <v>0</v>
      </c>
    </row>
    <row r="45977" spans="20:20" ht="18.75" customHeight="1" x14ac:dyDescent="0.35">
      <c r="T45977" s="246">
        <f t="shared" si="756"/>
        <v>0</v>
      </c>
    </row>
    <row r="45978" spans="20:20" ht="18.75" customHeight="1" x14ac:dyDescent="0.35">
      <c r="T45978" s="246">
        <f t="shared" si="756"/>
        <v>0</v>
      </c>
    </row>
    <row r="45979" spans="20:20" ht="18.75" customHeight="1" x14ac:dyDescent="0.35">
      <c r="T45979" s="246">
        <f t="shared" si="756"/>
        <v>0</v>
      </c>
    </row>
    <row r="45980" spans="20:20" ht="18.75" customHeight="1" x14ac:dyDescent="0.35">
      <c r="T45980" s="246">
        <f t="shared" si="756"/>
        <v>0</v>
      </c>
    </row>
    <row r="45981" spans="20:20" ht="18.75" customHeight="1" x14ac:dyDescent="0.35">
      <c r="T45981" s="246">
        <f t="shared" si="756"/>
        <v>0</v>
      </c>
    </row>
    <row r="45982" spans="20:20" ht="18.75" customHeight="1" x14ac:dyDescent="0.35">
      <c r="T45982" s="246">
        <f t="shared" si="756"/>
        <v>0</v>
      </c>
    </row>
    <row r="45983" spans="20:20" ht="18.75" customHeight="1" x14ac:dyDescent="0.35">
      <c r="T45983" s="246">
        <f t="shared" si="756"/>
        <v>0</v>
      </c>
    </row>
    <row r="45984" spans="20:20" ht="18.75" customHeight="1" x14ac:dyDescent="0.35">
      <c r="T45984" s="246">
        <f t="shared" si="756"/>
        <v>0</v>
      </c>
    </row>
    <row r="45985" spans="20:20" ht="18.75" customHeight="1" x14ac:dyDescent="0.35">
      <c r="T45985" s="246">
        <f t="shared" si="756"/>
        <v>0</v>
      </c>
    </row>
    <row r="45986" spans="20:20" ht="18.75" customHeight="1" x14ac:dyDescent="0.35">
      <c r="T45986" s="246">
        <f t="shared" si="756"/>
        <v>0</v>
      </c>
    </row>
    <row r="45987" spans="20:20" ht="18.75" customHeight="1" x14ac:dyDescent="0.35">
      <c r="T45987" s="246">
        <f t="shared" si="756"/>
        <v>0</v>
      </c>
    </row>
    <row r="45988" spans="20:20" ht="18.75" customHeight="1" x14ac:dyDescent="0.35">
      <c r="T45988" s="246">
        <f t="shared" si="756"/>
        <v>0</v>
      </c>
    </row>
    <row r="45989" spans="20:20" ht="18.75" customHeight="1" x14ac:dyDescent="0.35">
      <c r="T45989" s="246">
        <f t="shared" si="756"/>
        <v>0</v>
      </c>
    </row>
    <row r="45990" spans="20:20" ht="18.75" customHeight="1" x14ac:dyDescent="0.35">
      <c r="T45990" s="246">
        <f t="shared" si="756"/>
        <v>0</v>
      </c>
    </row>
    <row r="45991" spans="20:20" ht="18.75" customHeight="1" x14ac:dyDescent="0.35">
      <c r="T45991" s="246">
        <f t="shared" si="756"/>
        <v>0</v>
      </c>
    </row>
    <row r="45992" spans="20:20" ht="18.75" customHeight="1" x14ac:dyDescent="0.35">
      <c r="T45992" s="246">
        <f t="shared" si="756"/>
        <v>0</v>
      </c>
    </row>
    <row r="45993" spans="20:20" ht="18.75" customHeight="1" x14ac:dyDescent="0.35">
      <c r="T45993" s="246">
        <f t="shared" si="756"/>
        <v>0</v>
      </c>
    </row>
    <row r="45994" spans="20:20" ht="18.75" customHeight="1" x14ac:dyDescent="0.35">
      <c r="T45994" s="246">
        <f t="shared" si="756"/>
        <v>0</v>
      </c>
    </row>
    <row r="45995" spans="20:20" ht="18.75" customHeight="1" x14ac:dyDescent="0.35">
      <c r="T45995" s="246">
        <f t="shared" si="756"/>
        <v>0</v>
      </c>
    </row>
    <row r="45996" spans="20:20" ht="18.75" customHeight="1" x14ac:dyDescent="0.35">
      <c r="T45996" s="246">
        <f t="shared" si="756"/>
        <v>0</v>
      </c>
    </row>
    <row r="45997" spans="20:20" ht="18.75" customHeight="1" x14ac:dyDescent="0.35">
      <c r="T45997" s="246">
        <f t="shared" si="756"/>
        <v>0</v>
      </c>
    </row>
    <row r="45998" spans="20:20" ht="18.75" customHeight="1" x14ac:dyDescent="0.35">
      <c r="T45998" s="246">
        <f t="shared" si="756"/>
        <v>0</v>
      </c>
    </row>
    <row r="45999" spans="20:20" ht="18.75" customHeight="1" x14ac:dyDescent="0.35">
      <c r="T45999" s="246">
        <f t="shared" si="756"/>
        <v>0</v>
      </c>
    </row>
    <row r="46000" spans="20:20" ht="18.75" customHeight="1" x14ac:dyDescent="0.35">
      <c r="T46000" s="246">
        <f t="shared" si="756"/>
        <v>0</v>
      </c>
    </row>
    <row r="46001" spans="20:20" ht="18.75" customHeight="1" x14ac:dyDescent="0.35">
      <c r="T46001" s="246">
        <f t="shared" si="756"/>
        <v>0</v>
      </c>
    </row>
    <row r="46002" spans="20:20" ht="18.75" customHeight="1" x14ac:dyDescent="0.35">
      <c r="T46002" s="246">
        <f t="shared" si="756"/>
        <v>0</v>
      </c>
    </row>
    <row r="46003" spans="20:20" ht="18.75" customHeight="1" x14ac:dyDescent="0.35">
      <c r="T46003" s="246">
        <f t="shared" si="756"/>
        <v>0</v>
      </c>
    </row>
    <row r="46004" spans="20:20" ht="18.75" customHeight="1" x14ac:dyDescent="0.35">
      <c r="T46004" s="246">
        <f t="shared" si="756"/>
        <v>0</v>
      </c>
    </row>
    <row r="46005" spans="20:20" ht="18.75" customHeight="1" x14ac:dyDescent="0.35">
      <c r="T46005" s="246">
        <f t="shared" si="756"/>
        <v>0</v>
      </c>
    </row>
    <row r="46006" spans="20:20" ht="18.75" customHeight="1" x14ac:dyDescent="0.35">
      <c r="T46006" s="246">
        <f t="shared" si="756"/>
        <v>0</v>
      </c>
    </row>
    <row r="46007" spans="20:20" ht="18.75" customHeight="1" x14ac:dyDescent="0.35">
      <c r="T46007" s="246">
        <f t="shared" si="756"/>
        <v>0</v>
      </c>
    </row>
    <row r="46008" spans="20:20" ht="18.75" customHeight="1" x14ac:dyDescent="0.35">
      <c r="T46008" s="246">
        <f t="shared" si="756"/>
        <v>0</v>
      </c>
    </row>
    <row r="46009" spans="20:20" ht="18.75" customHeight="1" x14ac:dyDescent="0.35">
      <c r="T46009" s="246">
        <f t="shared" si="756"/>
        <v>0</v>
      </c>
    </row>
    <row r="46010" spans="20:20" ht="18.75" customHeight="1" x14ac:dyDescent="0.35">
      <c r="T46010" s="246">
        <f t="shared" si="756"/>
        <v>0</v>
      </c>
    </row>
    <row r="46011" spans="20:20" ht="18.75" customHeight="1" x14ac:dyDescent="0.35">
      <c r="T46011" s="246">
        <f t="shared" si="756"/>
        <v>0</v>
      </c>
    </row>
    <row r="46012" spans="20:20" ht="18.75" customHeight="1" x14ac:dyDescent="0.35">
      <c r="T46012" s="246">
        <f t="shared" ref="T46012:T46075" si="757">R46012*0.01</f>
        <v>0</v>
      </c>
    </row>
    <row r="46013" spans="20:20" ht="18.75" customHeight="1" x14ac:dyDescent="0.35">
      <c r="T46013" s="246">
        <f t="shared" si="757"/>
        <v>0</v>
      </c>
    </row>
    <row r="46014" spans="20:20" ht="18.75" customHeight="1" x14ac:dyDescent="0.35">
      <c r="T46014" s="246">
        <f t="shared" si="757"/>
        <v>0</v>
      </c>
    </row>
    <row r="46015" spans="20:20" ht="18.75" customHeight="1" x14ac:dyDescent="0.35">
      <c r="T46015" s="246">
        <f t="shared" si="757"/>
        <v>0</v>
      </c>
    </row>
    <row r="46016" spans="20:20" ht="18.75" customHeight="1" x14ac:dyDescent="0.35">
      <c r="T46016" s="246">
        <f t="shared" si="757"/>
        <v>0</v>
      </c>
    </row>
    <row r="46017" spans="20:20" ht="18.75" customHeight="1" x14ac:dyDescent="0.35">
      <c r="T46017" s="246">
        <f t="shared" si="757"/>
        <v>0</v>
      </c>
    </row>
    <row r="46018" spans="20:20" ht="18.75" customHeight="1" x14ac:dyDescent="0.35">
      <c r="T46018" s="246">
        <f t="shared" si="757"/>
        <v>0</v>
      </c>
    </row>
    <row r="46019" spans="20:20" ht="18.75" customHeight="1" x14ac:dyDescent="0.35">
      <c r="T46019" s="246">
        <f t="shared" si="757"/>
        <v>0</v>
      </c>
    </row>
    <row r="46020" spans="20:20" ht="18.75" customHeight="1" x14ac:dyDescent="0.35">
      <c r="T46020" s="246">
        <f t="shared" si="757"/>
        <v>0</v>
      </c>
    </row>
    <row r="46021" spans="20:20" ht="18.75" customHeight="1" x14ac:dyDescent="0.35">
      <c r="T46021" s="246">
        <f t="shared" si="757"/>
        <v>0</v>
      </c>
    </row>
    <row r="46022" spans="20:20" ht="18.75" customHeight="1" x14ac:dyDescent="0.35">
      <c r="T46022" s="246">
        <f t="shared" si="757"/>
        <v>0</v>
      </c>
    </row>
    <row r="46023" spans="20:20" ht="18.75" customHeight="1" x14ac:dyDescent="0.35">
      <c r="T46023" s="246">
        <f t="shared" si="757"/>
        <v>0</v>
      </c>
    </row>
    <row r="46024" spans="20:20" ht="18.75" customHeight="1" x14ac:dyDescent="0.35">
      <c r="T46024" s="246">
        <f t="shared" si="757"/>
        <v>0</v>
      </c>
    </row>
    <row r="46025" spans="20:20" ht="18.75" customHeight="1" x14ac:dyDescent="0.35">
      <c r="T46025" s="246">
        <f t="shared" si="757"/>
        <v>0</v>
      </c>
    </row>
    <row r="46026" spans="20:20" ht="18.75" customHeight="1" x14ac:dyDescent="0.35">
      <c r="T46026" s="246">
        <f t="shared" si="757"/>
        <v>0</v>
      </c>
    </row>
    <row r="46027" spans="20:20" ht="18.75" customHeight="1" x14ac:dyDescent="0.35">
      <c r="T46027" s="246">
        <f t="shared" si="757"/>
        <v>0</v>
      </c>
    </row>
    <row r="46028" spans="20:20" ht="18.75" customHeight="1" x14ac:dyDescent="0.35">
      <c r="T46028" s="246">
        <f t="shared" si="757"/>
        <v>0</v>
      </c>
    </row>
    <row r="46029" spans="20:20" ht="18.75" customHeight="1" x14ac:dyDescent="0.35">
      <c r="T46029" s="246">
        <f t="shared" si="757"/>
        <v>0</v>
      </c>
    </row>
    <row r="46030" spans="20:20" ht="18.75" customHeight="1" x14ac:dyDescent="0.35">
      <c r="T46030" s="246">
        <f t="shared" si="757"/>
        <v>0</v>
      </c>
    </row>
    <row r="46031" spans="20:20" ht="18.75" customHeight="1" x14ac:dyDescent="0.35">
      <c r="T46031" s="246">
        <f t="shared" si="757"/>
        <v>0</v>
      </c>
    </row>
    <row r="46032" spans="20:20" ht="18.75" customHeight="1" x14ac:dyDescent="0.35">
      <c r="T46032" s="246">
        <f t="shared" si="757"/>
        <v>0</v>
      </c>
    </row>
    <row r="46033" spans="20:20" ht="18.75" customHeight="1" x14ac:dyDescent="0.35">
      <c r="T46033" s="246">
        <f t="shared" si="757"/>
        <v>0</v>
      </c>
    </row>
    <row r="46034" spans="20:20" ht="18.75" customHeight="1" x14ac:dyDescent="0.35">
      <c r="T46034" s="246">
        <f t="shared" si="757"/>
        <v>0</v>
      </c>
    </row>
    <row r="46035" spans="20:20" ht="18.75" customHeight="1" x14ac:dyDescent="0.35">
      <c r="T46035" s="246">
        <f t="shared" si="757"/>
        <v>0</v>
      </c>
    </row>
    <row r="46036" spans="20:20" ht="18.75" customHeight="1" x14ac:dyDescent="0.35">
      <c r="T46036" s="246">
        <f t="shared" si="757"/>
        <v>0</v>
      </c>
    </row>
    <row r="46037" spans="20:20" ht="18.75" customHeight="1" x14ac:dyDescent="0.35">
      <c r="T46037" s="246">
        <f t="shared" si="757"/>
        <v>0</v>
      </c>
    </row>
    <row r="46038" spans="20:20" ht="18.75" customHeight="1" x14ac:dyDescent="0.35">
      <c r="T46038" s="246">
        <f t="shared" si="757"/>
        <v>0</v>
      </c>
    </row>
    <row r="46039" spans="20:20" ht="18.75" customHeight="1" x14ac:dyDescent="0.35">
      <c r="T46039" s="246">
        <f t="shared" si="757"/>
        <v>0</v>
      </c>
    </row>
    <row r="46040" spans="20:20" ht="18.75" customHeight="1" x14ac:dyDescent="0.35">
      <c r="T46040" s="246">
        <f t="shared" si="757"/>
        <v>0</v>
      </c>
    </row>
    <row r="46041" spans="20:20" ht="18.75" customHeight="1" x14ac:dyDescent="0.35">
      <c r="T46041" s="246">
        <f t="shared" si="757"/>
        <v>0</v>
      </c>
    </row>
    <row r="46042" spans="20:20" ht="18.75" customHeight="1" x14ac:dyDescent="0.35">
      <c r="T46042" s="246">
        <f t="shared" si="757"/>
        <v>0</v>
      </c>
    </row>
    <row r="46043" spans="20:20" ht="18.75" customHeight="1" x14ac:dyDescent="0.35">
      <c r="T46043" s="246">
        <f t="shared" si="757"/>
        <v>0</v>
      </c>
    </row>
    <row r="46044" spans="20:20" ht="18.75" customHeight="1" x14ac:dyDescent="0.35">
      <c r="T46044" s="246">
        <f t="shared" si="757"/>
        <v>0</v>
      </c>
    </row>
    <row r="46045" spans="20:20" ht="18.75" customHeight="1" x14ac:dyDescent="0.35">
      <c r="T46045" s="246">
        <f t="shared" si="757"/>
        <v>0</v>
      </c>
    </row>
    <row r="46046" spans="20:20" ht="18.75" customHeight="1" x14ac:dyDescent="0.35">
      <c r="T46046" s="246">
        <f t="shared" si="757"/>
        <v>0</v>
      </c>
    </row>
    <row r="46047" spans="20:20" ht="18.75" customHeight="1" x14ac:dyDescent="0.35">
      <c r="T46047" s="246">
        <f t="shared" si="757"/>
        <v>0</v>
      </c>
    </row>
    <row r="46048" spans="20:20" ht="18.75" customHeight="1" x14ac:dyDescent="0.35">
      <c r="T46048" s="246">
        <f t="shared" si="757"/>
        <v>0</v>
      </c>
    </row>
    <row r="46049" spans="20:20" ht="18.75" customHeight="1" x14ac:dyDescent="0.35">
      <c r="T46049" s="246">
        <f t="shared" si="757"/>
        <v>0</v>
      </c>
    </row>
    <row r="46050" spans="20:20" ht="18.75" customHeight="1" x14ac:dyDescent="0.35">
      <c r="T46050" s="246">
        <f t="shared" si="757"/>
        <v>0</v>
      </c>
    </row>
    <row r="46051" spans="20:20" ht="18.75" customHeight="1" x14ac:dyDescent="0.35">
      <c r="T46051" s="246">
        <f t="shared" si="757"/>
        <v>0</v>
      </c>
    </row>
    <row r="46052" spans="20:20" ht="18.75" customHeight="1" x14ac:dyDescent="0.35">
      <c r="T46052" s="246">
        <f t="shared" si="757"/>
        <v>0</v>
      </c>
    </row>
    <row r="46053" spans="20:20" ht="18.75" customHeight="1" x14ac:dyDescent="0.35">
      <c r="T46053" s="246">
        <f t="shared" si="757"/>
        <v>0</v>
      </c>
    </row>
    <row r="46054" spans="20:20" ht="18.75" customHeight="1" x14ac:dyDescent="0.35">
      <c r="T46054" s="246">
        <f t="shared" si="757"/>
        <v>0</v>
      </c>
    </row>
    <row r="46055" spans="20:20" ht="18.75" customHeight="1" x14ac:dyDescent="0.35">
      <c r="T46055" s="246">
        <f t="shared" si="757"/>
        <v>0</v>
      </c>
    </row>
    <row r="46056" spans="20:20" ht="18.75" customHeight="1" x14ac:dyDescent="0.35">
      <c r="T46056" s="246">
        <f t="shared" si="757"/>
        <v>0</v>
      </c>
    </row>
    <row r="46057" spans="20:20" ht="18.75" customHeight="1" x14ac:dyDescent="0.35">
      <c r="T46057" s="246">
        <f t="shared" si="757"/>
        <v>0</v>
      </c>
    </row>
    <row r="46058" spans="20:20" ht="18.75" customHeight="1" x14ac:dyDescent="0.35">
      <c r="T46058" s="246">
        <f t="shared" si="757"/>
        <v>0</v>
      </c>
    </row>
    <row r="46059" spans="20:20" ht="18.75" customHeight="1" x14ac:dyDescent="0.35">
      <c r="T46059" s="246">
        <f t="shared" si="757"/>
        <v>0</v>
      </c>
    </row>
    <row r="46060" spans="20:20" ht="18.75" customHeight="1" x14ac:dyDescent="0.35">
      <c r="T46060" s="246">
        <f t="shared" si="757"/>
        <v>0</v>
      </c>
    </row>
    <row r="46061" spans="20:20" ht="18.75" customHeight="1" x14ac:dyDescent="0.35">
      <c r="T46061" s="246">
        <f t="shared" si="757"/>
        <v>0</v>
      </c>
    </row>
    <row r="46062" spans="20:20" ht="18.75" customHeight="1" x14ac:dyDescent="0.35">
      <c r="T46062" s="246">
        <f t="shared" si="757"/>
        <v>0</v>
      </c>
    </row>
    <row r="46063" spans="20:20" ht="18.75" customHeight="1" x14ac:dyDescent="0.35">
      <c r="T46063" s="246">
        <f t="shared" si="757"/>
        <v>0</v>
      </c>
    </row>
    <row r="46064" spans="20:20" ht="18.75" customHeight="1" x14ac:dyDescent="0.35">
      <c r="T46064" s="246">
        <f t="shared" si="757"/>
        <v>0</v>
      </c>
    </row>
    <row r="46065" spans="20:20" ht="18.75" customHeight="1" x14ac:dyDescent="0.35">
      <c r="T46065" s="246">
        <f t="shared" si="757"/>
        <v>0</v>
      </c>
    </row>
    <row r="46066" spans="20:20" ht="18.75" customHeight="1" x14ac:dyDescent="0.35">
      <c r="T46066" s="246">
        <f t="shared" si="757"/>
        <v>0</v>
      </c>
    </row>
    <row r="46067" spans="20:20" ht="18.75" customHeight="1" x14ac:dyDescent="0.35">
      <c r="T46067" s="246">
        <f t="shared" si="757"/>
        <v>0</v>
      </c>
    </row>
    <row r="46068" spans="20:20" ht="18.75" customHeight="1" x14ac:dyDescent="0.35">
      <c r="T46068" s="246">
        <f t="shared" si="757"/>
        <v>0</v>
      </c>
    </row>
    <row r="46069" spans="20:20" ht="18.75" customHeight="1" x14ac:dyDescent="0.35">
      <c r="T46069" s="246">
        <f t="shared" si="757"/>
        <v>0</v>
      </c>
    </row>
    <row r="46070" spans="20:20" ht="18.75" customHeight="1" x14ac:dyDescent="0.35">
      <c r="T46070" s="246">
        <f t="shared" si="757"/>
        <v>0</v>
      </c>
    </row>
    <row r="46071" spans="20:20" ht="18.75" customHeight="1" x14ac:dyDescent="0.35">
      <c r="T46071" s="246">
        <f t="shared" si="757"/>
        <v>0</v>
      </c>
    </row>
    <row r="46072" spans="20:20" ht="18.75" customHeight="1" x14ac:dyDescent="0.35">
      <c r="T46072" s="246">
        <f t="shared" si="757"/>
        <v>0</v>
      </c>
    </row>
    <row r="46073" spans="20:20" ht="18.75" customHeight="1" x14ac:dyDescent="0.35">
      <c r="T46073" s="246">
        <f t="shared" si="757"/>
        <v>0</v>
      </c>
    </row>
    <row r="46074" spans="20:20" ht="18.75" customHeight="1" x14ac:dyDescent="0.35">
      <c r="T46074" s="246">
        <f t="shared" si="757"/>
        <v>0</v>
      </c>
    </row>
    <row r="46075" spans="20:20" ht="18.75" customHeight="1" x14ac:dyDescent="0.35">
      <c r="T46075" s="246">
        <f t="shared" si="757"/>
        <v>0</v>
      </c>
    </row>
    <row r="46076" spans="20:20" ht="18.75" customHeight="1" x14ac:dyDescent="0.35">
      <c r="T46076" s="246">
        <f t="shared" ref="T46076:T46139" si="758">R46076*0.01</f>
        <v>0</v>
      </c>
    </row>
    <row r="46077" spans="20:20" ht="18.75" customHeight="1" x14ac:dyDescent="0.35">
      <c r="T46077" s="246">
        <f t="shared" si="758"/>
        <v>0</v>
      </c>
    </row>
    <row r="46078" spans="20:20" ht="18.75" customHeight="1" x14ac:dyDescent="0.35">
      <c r="T46078" s="246">
        <f t="shared" si="758"/>
        <v>0</v>
      </c>
    </row>
    <row r="46079" spans="20:20" ht="18.75" customHeight="1" x14ac:dyDescent="0.35">
      <c r="T46079" s="246">
        <f t="shared" si="758"/>
        <v>0</v>
      </c>
    </row>
    <row r="46080" spans="20:20" ht="18.75" customHeight="1" x14ac:dyDescent="0.35">
      <c r="T46080" s="246">
        <f t="shared" si="758"/>
        <v>0</v>
      </c>
    </row>
    <row r="46081" spans="20:20" ht="18.75" customHeight="1" x14ac:dyDescent="0.35">
      <c r="T46081" s="246">
        <f t="shared" si="758"/>
        <v>0</v>
      </c>
    </row>
    <row r="46082" spans="20:20" ht="18.75" customHeight="1" x14ac:dyDescent="0.35">
      <c r="T46082" s="246">
        <f t="shared" si="758"/>
        <v>0</v>
      </c>
    </row>
    <row r="46083" spans="20:20" ht="18.75" customHeight="1" x14ac:dyDescent="0.35">
      <c r="T46083" s="246">
        <f t="shared" si="758"/>
        <v>0</v>
      </c>
    </row>
    <row r="46084" spans="20:20" ht="18.75" customHeight="1" x14ac:dyDescent="0.35">
      <c r="T46084" s="246">
        <f t="shared" si="758"/>
        <v>0</v>
      </c>
    </row>
    <row r="46085" spans="20:20" ht="18.75" customHeight="1" x14ac:dyDescent="0.35">
      <c r="T46085" s="246">
        <f t="shared" si="758"/>
        <v>0</v>
      </c>
    </row>
    <row r="46086" spans="20:20" ht="18.75" customHeight="1" x14ac:dyDescent="0.35">
      <c r="T46086" s="246">
        <f t="shared" si="758"/>
        <v>0</v>
      </c>
    </row>
    <row r="46087" spans="20:20" ht="18.75" customHeight="1" x14ac:dyDescent="0.35">
      <c r="T46087" s="246">
        <f t="shared" si="758"/>
        <v>0</v>
      </c>
    </row>
    <row r="46088" spans="20:20" ht="18.75" customHeight="1" x14ac:dyDescent="0.35">
      <c r="T46088" s="246">
        <f t="shared" si="758"/>
        <v>0</v>
      </c>
    </row>
    <row r="46089" spans="20:20" ht="18.75" customHeight="1" x14ac:dyDescent="0.35">
      <c r="T46089" s="246">
        <f t="shared" si="758"/>
        <v>0</v>
      </c>
    </row>
    <row r="46090" spans="20:20" ht="18.75" customHeight="1" x14ac:dyDescent="0.35">
      <c r="T46090" s="246">
        <f t="shared" si="758"/>
        <v>0</v>
      </c>
    </row>
    <row r="46091" spans="20:20" ht="18.75" customHeight="1" x14ac:dyDescent="0.35">
      <c r="T46091" s="246">
        <f t="shared" si="758"/>
        <v>0</v>
      </c>
    </row>
    <row r="46092" spans="20:20" ht="18.75" customHeight="1" x14ac:dyDescent="0.35">
      <c r="T46092" s="246">
        <f t="shared" si="758"/>
        <v>0</v>
      </c>
    </row>
    <row r="46093" spans="20:20" ht="18.75" customHeight="1" x14ac:dyDescent="0.35">
      <c r="T46093" s="246">
        <f t="shared" si="758"/>
        <v>0</v>
      </c>
    </row>
    <row r="46094" spans="20:20" ht="18.75" customHeight="1" x14ac:dyDescent="0.35">
      <c r="T46094" s="246">
        <f t="shared" si="758"/>
        <v>0</v>
      </c>
    </row>
    <row r="46095" spans="20:20" ht="18.75" customHeight="1" x14ac:dyDescent="0.35">
      <c r="T46095" s="246">
        <f t="shared" si="758"/>
        <v>0</v>
      </c>
    </row>
    <row r="46096" spans="20:20" ht="18.75" customHeight="1" x14ac:dyDescent="0.35">
      <c r="T46096" s="246">
        <f t="shared" si="758"/>
        <v>0</v>
      </c>
    </row>
    <row r="46097" spans="20:20" ht="18.75" customHeight="1" x14ac:dyDescent="0.35">
      <c r="T46097" s="246">
        <f t="shared" si="758"/>
        <v>0</v>
      </c>
    </row>
    <row r="46098" spans="20:20" ht="18.75" customHeight="1" x14ac:dyDescent="0.35">
      <c r="T46098" s="246">
        <f t="shared" si="758"/>
        <v>0</v>
      </c>
    </row>
    <row r="46099" spans="20:20" ht="18.75" customHeight="1" x14ac:dyDescent="0.35">
      <c r="T46099" s="246">
        <f t="shared" si="758"/>
        <v>0</v>
      </c>
    </row>
    <row r="46100" spans="20:20" ht="18.75" customHeight="1" x14ac:dyDescent="0.35">
      <c r="T46100" s="246">
        <f t="shared" si="758"/>
        <v>0</v>
      </c>
    </row>
    <row r="46101" spans="20:20" ht="18.75" customHeight="1" x14ac:dyDescent="0.35">
      <c r="T46101" s="246">
        <f t="shared" si="758"/>
        <v>0</v>
      </c>
    </row>
    <row r="46102" spans="20:20" ht="18.75" customHeight="1" x14ac:dyDescent="0.35">
      <c r="T46102" s="246">
        <f t="shared" si="758"/>
        <v>0</v>
      </c>
    </row>
    <row r="46103" spans="20:20" ht="18.75" customHeight="1" x14ac:dyDescent="0.35">
      <c r="T46103" s="246">
        <f t="shared" si="758"/>
        <v>0</v>
      </c>
    </row>
    <row r="46104" spans="20:20" ht="18.75" customHeight="1" x14ac:dyDescent="0.35">
      <c r="T46104" s="246">
        <f t="shared" si="758"/>
        <v>0</v>
      </c>
    </row>
    <row r="46105" spans="20:20" ht="18.75" customHeight="1" x14ac:dyDescent="0.35">
      <c r="T46105" s="246">
        <f t="shared" si="758"/>
        <v>0</v>
      </c>
    </row>
    <row r="46106" spans="20:20" ht="18.75" customHeight="1" x14ac:dyDescent="0.35">
      <c r="T46106" s="246">
        <f t="shared" si="758"/>
        <v>0</v>
      </c>
    </row>
    <row r="46107" spans="20:20" ht="18.75" customHeight="1" x14ac:dyDescent="0.35">
      <c r="T46107" s="246">
        <f t="shared" si="758"/>
        <v>0</v>
      </c>
    </row>
    <row r="46108" spans="20:20" ht="18.75" customHeight="1" x14ac:dyDescent="0.35">
      <c r="T46108" s="246">
        <f t="shared" si="758"/>
        <v>0</v>
      </c>
    </row>
    <row r="46109" spans="20:20" ht="18.75" customHeight="1" x14ac:dyDescent="0.35">
      <c r="T46109" s="246">
        <f t="shared" si="758"/>
        <v>0</v>
      </c>
    </row>
    <row r="46110" spans="20:20" ht="18.75" customHeight="1" x14ac:dyDescent="0.35">
      <c r="T46110" s="246">
        <f t="shared" si="758"/>
        <v>0</v>
      </c>
    </row>
    <row r="46111" spans="20:20" ht="18.75" customHeight="1" x14ac:dyDescent="0.35">
      <c r="T46111" s="246">
        <f t="shared" si="758"/>
        <v>0</v>
      </c>
    </row>
    <row r="46112" spans="20:20" ht="18.75" customHeight="1" x14ac:dyDescent="0.35">
      <c r="T46112" s="246">
        <f t="shared" si="758"/>
        <v>0</v>
      </c>
    </row>
    <row r="46113" spans="20:20" ht="18.75" customHeight="1" x14ac:dyDescent="0.35">
      <c r="T46113" s="246">
        <f t="shared" si="758"/>
        <v>0</v>
      </c>
    </row>
    <row r="46114" spans="20:20" ht="18.75" customHeight="1" x14ac:dyDescent="0.35">
      <c r="T46114" s="246">
        <f t="shared" si="758"/>
        <v>0</v>
      </c>
    </row>
    <row r="46115" spans="20:20" ht="18.75" customHeight="1" x14ac:dyDescent="0.35">
      <c r="T46115" s="246">
        <f t="shared" si="758"/>
        <v>0</v>
      </c>
    </row>
    <row r="46116" spans="20:20" ht="18.75" customHeight="1" x14ac:dyDescent="0.35">
      <c r="T46116" s="246">
        <f t="shared" si="758"/>
        <v>0</v>
      </c>
    </row>
    <row r="46117" spans="20:20" ht="18.75" customHeight="1" x14ac:dyDescent="0.35">
      <c r="T46117" s="246">
        <f t="shared" si="758"/>
        <v>0</v>
      </c>
    </row>
    <row r="46118" spans="20:20" ht="18.75" customHeight="1" x14ac:dyDescent="0.35">
      <c r="T46118" s="246">
        <f t="shared" si="758"/>
        <v>0</v>
      </c>
    </row>
    <row r="46119" spans="20:20" ht="18.75" customHeight="1" x14ac:dyDescent="0.35">
      <c r="T46119" s="246">
        <f t="shared" si="758"/>
        <v>0</v>
      </c>
    </row>
    <row r="46120" spans="20:20" ht="18.75" customHeight="1" x14ac:dyDescent="0.35">
      <c r="T46120" s="246">
        <f t="shared" si="758"/>
        <v>0</v>
      </c>
    </row>
    <row r="46121" spans="20:20" ht="18.75" customHeight="1" x14ac:dyDescent="0.35">
      <c r="T46121" s="246">
        <f t="shared" si="758"/>
        <v>0</v>
      </c>
    </row>
    <row r="46122" spans="20:20" ht="18.75" customHeight="1" x14ac:dyDescent="0.35">
      <c r="T46122" s="246">
        <f t="shared" si="758"/>
        <v>0</v>
      </c>
    </row>
    <row r="46123" spans="20:20" ht="18.75" customHeight="1" x14ac:dyDescent="0.35">
      <c r="T46123" s="246">
        <f t="shared" si="758"/>
        <v>0</v>
      </c>
    </row>
    <row r="46124" spans="20:20" ht="18.75" customHeight="1" x14ac:dyDescent="0.35">
      <c r="T46124" s="246">
        <f t="shared" si="758"/>
        <v>0</v>
      </c>
    </row>
    <row r="46125" spans="20:20" ht="18.75" customHeight="1" x14ac:dyDescent="0.35">
      <c r="T46125" s="246">
        <f t="shared" si="758"/>
        <v>0</v>
      </c>
    </row>
    <row r="46126" spans="20:20" ht="18.75" customHeight="1" x14ac:dyDescent="0.35">
      <c r="T46126" s="246">
        <f t="shared" si="758"/>
        <v>0</v>
      </c>
    </row>
    <row r="46127" spans="20:20" ht="18.75" customHeight="1" x14ac:dyDescent="0.35">
      <c r="T46127" s="246">
        <f t="shared" si="758"/>
        <v>0</v>
      </c>
    </row>
    <row r="46128" spans="20:20" ht="18.75" customHeight="1" x14ac:dyDescent="0.35">
      <c r="T46128" s="246">
        <f t="shared" si="758"/>
        <v>0</v>
      </c>
    </row>
    <row r="46129" spans="20:20" ht="18.75" customHeight="1" x14ac:dyDescent="0.35">
      <c r="T46129" s="246">
        <f t="shared" si="758"/>
        <v>0</v>
      </c>
    </row>
    <row r="46130" spans="20:20" ht="18.75" customHeight="1" x14ac:dyDescent="0.35">
      <c r="T46130" s="246">
        <f t="shared" si="758"/>
        <v>0</v>
      </c>
    </row>
    <row r="46131" spans="20:20" ht="18.75" customHeight="1" x14ac:dyDescent="0.35">
      <c r="T46131" s="246">
        <f t="shared" si="758"/>
        <v>0</v>
      </c>
    </row>
    <row r="46132" spans="20:20" ht="18.75" customHeight="1" x14ac:dyDescent="0.35">
      <c r="T46132" s="246">
        <f t="shared" si="758"/>
        <v>0</v>
      </c>
    </row>
    <row r="46133" spans="20:20" ht="18.75" customHeight="1" x14ac:dyDescent="0.35">
      <c r="T46133" s="246">
        <f t="shared" si="758"/>
        <v>0</v>
      </c>
    </row>
    <row r="46134" spans="20:20" ht="18.75" customHeight="1" x14ac:dyDescent="0.35">
      <c r="T46134" s="246">
        <f t="shared" si="758"/>
        <v>0</v>
      </c>
    </row>
    <row r="46135" spans="20:20" ht="18.75" customHeight="1" x14ac:dyDescent="0.35">
      <c r="T46135" s="246">
        <f t="shared" si="758"/>
        <v>0</v>
      </c>
    </row>
    <row r="46136" spans="20:20" ht="18.75" customHeight="1" x14ac:dyDescent="0.35">
      <c r="T46136" s="246">
        <f t="shared" si="758"/>
        <v>0</v>
      </c>
    </row>
    <row r="46137" spans="20:20" ht="18.75" customHeight="1" x14ac:dyDescent="0.35">
      <c r="T46137" s="246">
        <f t="shared" si="758"/>
        <v>0</v>
      </c>
    </row>
    <row r="46138" spans="20:20" ht="18.75" customHeight="1" x14ac:dyDescent="0.35">
      <c r="T46138" s="246">
        <f t="shared" si="758"/>
        <v>0</v>
      </c>
    </row>
    <row r="46139" spans="20:20" ht="18.75" customHeight="1" x14ac:dyDescent="0.35">
      <c r="T46139" s="246">
        <f t="shared" si="758"/>
        <v>0</v>
      </c>
    </row>
    <row r="46140" spans="20:20" ht="18.75" customHeight="1" x14ac:dyDescent="0.35">
      <c r="T46140" s="246">
        <f t="shared" ref="T46140:T46203" si="759">R46140*0.01</f>
        <v>0</v>
      </c>
    </row>
    <row r="46141" spans="20:20" ht="18.75" customHeight="1" x14ac:dyDescent="0.35">
      <c r="T46141" s="246">
        <f t="shared" si="759"/>
        <v>0</v>
      </c>
    </row>
    <row r="46142" spans="20:20" ht="18.75" customHeight="1" x14ac:dyDescent="0.35">
      <c r="T46142" s="246">
        <f t="shared" si="759"/>
        <v>0</v>
      </c>
    </row>
    <row r="46143" spans="20:20" ht="18.75" customHeight="1" x14ac:dyDescent="0.35">
      <c r="T46143" s="246">
        <f t="shared" si="759"/>
        <v>0</v>
      </c>
    </row>
    <row r="46144" spans="20:20" ht="18.75" customHeight="1" x14ac:dyDescent="0.35">
      <c r="T46144" s="246">
        <f t="shared" si="759"/>
        <v>0</v>
      </c>
    </row>
    <row r="46145" spans="20:20" ht="18.75" customHeight="1" x14ac:dyDescent="0.35">
      <c r="T46145" s="246">
        <f t="shared" si="759"/>
        <v>0</v>
      </c>
    </row>
    <row r="46146" spans="20:20" ht="18.75" customHeight="1" x14ac:dyDescent="0.35">
      <c r="T46146" s="246">
        <f t="shared" si="759"/>
        <v>0</v>
      </c>
    </row>
    <row r="46147" spans="20:20" ht="18.75" customHeight="1" x14ac:dyDescent="0.35">
      <c r="T46147" s="246">
        <f t="shared" si="759"/>
        <v>0</v>
      </c>
    </row>
    <row r="46148" spans="20:20" ht="18.75" customHeight="1" x14ac:dyDescent="0.35">
      <c r="T46148" s="246">
        <f t="shared" si="759"/>
        <v>0</v>
      </c>
    </row>
    <row r="46149" spans="20:20" ht="18.75" customHeight="1" x14ac:dyDescent="0.35">
      <c r="T46149" s="246">
        <f t="shared" si="759"/>
        <v>0</v>
      </c>
    </row>
    <row r="46150" spans="20:20" ht="18.75" customHeight="1" x14ac:dyDescent="0.35">
      <c r="T46150" s="246">
        <f t="shared" si="759"/>
        <v>0</v>
      </c>
    </row>
    <row r="46151" spans="20:20" ht="18.75" customHeight="1" x14ac:dyDescent="0.35">
      <c r="T46151" s="246">
        <f t="shared" si="759"/>
        <v>0</v>
      </c>
    </row>
    <row r="46152" spans="20:20" ht="18.75" customHeight="1" x14ac:dyDescent="0.35">
      <c r="T46152" s="246">
        <f t="shared" si="759"/>
        <v>0</v>
      </c>
    </row>
    <row r="46153" spans="20:20" ht="18.75" customHeight="1" x14ac:dyDescent="0.35">
      <c r="T46153" s="246">
        <f t="shared" si="759"/>
        <v>0</v>
      </c>
    </row>
    <row r="46154" spans="20:20" ht="18.75" customHeight="1" x14ac:dyDescent="0.35">
      <c r="T46154" s="246">
        <f t="shared" si="759"/>
        <v>0</v>
      </c>
    </row>
    <row r="46155" spans="20:20" ht="18.75" customHeight="1" x14ac:dyDescent="0.35">
      <c r="T46155" s="246">
        <f t="shared" si="759"/>
        <v>0</v>
      </c>
    </row>
    <row r="46156" spans="20:20" ht="18.75" customHeight="1" x14ac:dyDescent="0.35">
      <c r="T46156" s="246">
        <f t="shared" si="759"/>
        <v>0</v>
      </c>
    </row>
    <row r="46157" spans="20:20" ht="18.75" customHeight="1" x14ac:dyDescent="0.35">
      <c r="T46157" s="246">
        <f t="shared" si="759"/>
        <v>0</v>
      </c>
    </row>
    <row r="46158" spans="20:20" ht="18.75" customHeight="1" x14ac:dyDescent="0.35">
      <c r="T46158" s="246">
        <f t="shared" si="759"/>
        <v>0</v>
      </c>
    </row>
    <row r="46159" spans="20:20" ht="18.75" customHeight="1" x14ac:dyDescent="0.35">
      <c r="T46159" s="246">
        <f t="shared" si="759"/>
        <v>0</v>
      </c>
    </row>
    <row r="46160" spans="20:20" ht="18.75" customHeight="1" x14ac:dyDescent="0.35">
      <c r="T46160" s="246">
        <f t="shared" si="759"/>
        <v>0</v>
      </c>
    </row>
    <row r="46161" spans="20:20" ht="18.75" customHeight="1" x14ac:dyDescent="0.35">
      <c r="T46161" s="246">
        <f t="shared" si="759"/>
        <v>0</v>
      </c>
    </row>
    <row r="46162" spans="20:20" ht="18.75" customHeight="1" x14ac:dyDescent="0.35">
      <c r="T46162" s="246">
        <f t="shared" si="759"/>
        <v>0</v>
      </c>
    </row>
    <row r="46163" spans="20:20" ht="18.75" customHeight="1" x14ac:dyDescent="0.35">
      <c r="T46163" s="246">
        <f t="shared" si="759"/>
        <v>0</v>
      </c>
    </row>
    <row r="46164" spans="20:20" ht="18.75" customHeight="1" x14ac:dyDescent="0.35">
      <c r="T46164" s="246">
        <f t="shared" si="759"/>
        <v>0</v>
      </c>
    </row>
    <row r="46165" spans="20:20" ht="18.75" customHeight="1" x14ac:dyDescent="0.35">
      <c r="T46165" s="246">
        <f t="shared" si="759"/>
        <v>0</v>
      </c>
    </row>
    <row r="46166" spans="20:20" ht="18.75" customHeight="1" x14ac:dyDescent="0.35">
      <c r="T46166" s="246">
        <f t="shared" si="759"/>
        <v>0</v>
      </c>
    </row>
    <row r="46167" spans="20:20" ht="18.75" customHeight="1" x14ac:dyDescent="0.35">
      <c r="T46167" s="246">
        <f t="shared" si="759"/>
        <v>0</v>
      </c>
    </row>
    <row r="46168" spans="20:20" ht="18.75" customHeight="1" x14ac:dyDescent="0.35">
      <c r="T46168" s="246">
        <f t="shared" si="759"/>
        <v>0</v>
      </c>
    </row>
    <row r="46169" spans="20:20" ht="18.75" customHeight="1" x14ac:dyDescent="0.35">
      <c r="T46169" s="246">
        <f t="shared" si="759"/>
        <v>0</v>
      </c>
    </row>
    <row r="46170" spans="20:20" ht="18.75" customHeight="1" x14ac:dyDescent="0.35">
      <c r="T46170" s="246">
        <f t="shared" si="759"/>
        <v>0</v>
      </c>
    </row>
    <row r="46171" spans="20:20" ht="18.75" customHeight="1" x14ac:dyDescent="0.35">
      <c r="T46171" s="246">
        <f t="shared" si="759"/>
        <v>0</v>
      </c>
    </row>
    <row r="46172" spans="20:20" ht="18.75" customHeight="1" x14ac:dyDescent="0.35">
      <c r="T46172" s="246">
        <f t="shared" si="759"/>
        <v>0</v>
      </c>
    </row>
    <row r="46173" spans="20:20" ht="18.75" customHeight="1" x14ac:dyDescent="0.35">
      <c r="T46173" s="246">
        <f t="shared" si="759"/>
        <v>0</v>
      </c>
    </row>
    <row r="46174" spans="20:20" ht="18.75" customHeight="1" x14ac:dyDescent="0.35">
      <c r="T46174" s="246">
        <f t="shared" si="759"/>
        <v>0</v>
      </c>
    </row>
    <row r="46175" spans="20:20" ht="18.75" customHeight="1" x14ac:dyDescent="0.35">
      <c r="T46175" s="246">
        <f t="shared" si="759"/>
        <v>0</v>
      </c>
    </row>
    <row r="46176" spans="20:20" ht="18.75" customHeight="1" x14ac:dyDescent="0.35">
      <c r="T46176" s="246">
        <f t="shared" si="759"/>
        <v>0</v>
      </c>
    </row>
    <row r="46177" spans="20:20" ht="18.75" customHeight="1" x14ac:dyDescent="0.35">
      <c r="T46177" s="246">
        <f t="shared" si="759"/>
        <v>0</v>
      </c>
    </row>
    <row r="46178" spans="20:20" ht="18.75" customHeight="1" x14ac:dyDescent="0.35">
      <c r="T46178" s="246">
        <f t="shared" si="759"/>
        <v>0</v>
      </c>
    </row>
    <row r="46179" spans="20:20" ht="18.75" customHeight="1" x14ac:dyDescent="0.35">
      <c r="T46179" s="246">
        <f t="shared" si="759"/>
        <v>0</v>
      </c>
    </row>
    <row r="46180" spans="20:20" ht="18.75" customHeight="1" x14ac:dyDescent="0.35">
      <c r="T46180" s="246">
        <f t="shared" si="759"/>
        <v>0</v>
      </c>
    </row>
    <row r="46181" spans="20:20" ht="18.75" customHeight="1" x14ac:dyDescent="0.35">
      <c r="T46181" s="246">
        <f t="shared" si="759"/>
        <v>0</v>
      </c>
    </row>
    <row r="46182" spans="20:20" ht="18.75" customHeight="1" x14ac:dyDescent="0.35">
      <c r="T46182" s="246">
        <f t="shared" si="759"/>
        <v>0</v>
      </c>
    </row>
    <row r="46183" spans="20:20" ht="18.75" customHeight="1" x14ac:dyDescent="0.35">
      <c r="T46183" s="246">
        <f t="shared" si="759"/>
        <v>0</v>
      </c>
    </row>
    <row r="46184" spans="20:20" ht="18.75" customHeight="1" x14ac:dyDescent="0.35">
      <c r="T46184" s="246">
        <f t="shared" si="759"/>
        <v>0</v>
      </c>
    </row>
    <row r="46185" spans="20:20" ht="18.75" customHeight="1" x14ac:dyDescent="0.35">
      <c r="T46185" s="246">
        <f t="shared" si="759"/>
        <v>0</v>
      </c>
    </row>
    <row r="46186" spans="20:20" ht="18.75" customHeight="1" x14ac:dyDescent="0.35">
      <c r="T46186" s="246">
        <f t="shared" si="759"/>
        <v>0</v>
      </c>
    </row>
    <row r="46187" spans="20:20" ht="18.75" customHeight="1" x14ac:dyDescent="0.35">
      <c r="T46187" s="246">
        <f t="shared" si="759"/>
        <v>0</v>
      </c>
    </row>
    <row r="46188" spans="20:20" ht="18.75" customHeight="1" x14ac:dyDescent="0.35">
      <c r="T46188" s="246">
        <f t="shared" si="759"/>
        <v>0</v>
      </c>
    </row>
    <row r="46189" spans="20:20" ht="18.75" customHeight="1" x14ac:dyDescent="0.35">
      <c r="T46189" s="246">
        <f t="shared" si="759"/>
        <v>0</v>
      </c>
    </row>
    <row r="46190" spans="20:20" ht="18.75" customHeight="1" x14ac:dyDescent="0.35">
      <c r="T46190" s="246">
        <f t="shared" si="759"/>
        <v>0</v>
      </c>
    </row>
    <row r="46191" spans="20:20" ht="18.75" customHeight="1" x14ac:dyDescent="0.35">
      <c r="T46191" s="246">
        <f t="shared" si="759"/>
        <v>0</v>
      </c>
    </row>
    <row r="46192" spans="20:20" ht="18.75" customHeight="1" x14ac:dyDescent="0.35">
      <c r="T46192" s="246">
        <f t="shared" si="759"/>
        <v>0</v>
      </c>
    </row>
    <row r="46193" spans="20:20" ht="18.75" customHeight="1" x14ac:dyDescent="0.35">
      <c r="T46193" s="246">
        <f t="shared" si="759"/>
        <v>0</v>
      </c>
    </row>
    <row r="46194" spans="20:20" ht="18.75" customHeight="1" x14ac:dyDescent="0.35">
      <c r="T46194" s="246">
        <f t="shared" si="759"/>
        <v>0</v>
      </c>
    </row>
    <row r="46195" spans="20:20" ht="18.75" customHeight="1" x14ac:dyDescent="0.35">
      <c r="T46195" s="246">
        <f t="shared" si="759"/>
        <v>0</v>
      </c>
    </row>
    <row r="46196" spans="20:20" ht="18.75" customHeight="1" x14ac:dyDescent="0.35">
      <c r="T46196" s="246">
        <f t="shared" si="759"/>
        <v>0</v>
      </c>
    </row>
    <row r="46197" spans="20:20" ht="18.75" customHeight="1" x14ac:dyDescent="0.35">
      <c r="T46197" s="246">
        <f t="shared" si="759"/>
        <v>0</v>
      </c>
    </row>
    <row r="46198" spans="20:20" ht="18.75" customHeight="1" x14ac:dyDescent="0.35">
      <c r="T46198" s="246">
        <f t="shared" si="759"/>
        <v>0</v>
      </c>
    </row>
    <row r="46199" spans="20:20" ht="18.75" customHeight="1" x14ac:dyDescent="0.35">
      <c r="T46199" s="246">
        <f t="shared" si="759"/>
        <v>0</v>
      </c>
    </row>
    <row r="46200" spans="20:20" ht="18.75" customHeight="1" x14ac:dyDescent="0.35">
      <c r="T46200" s="246">
        <f t="shared" si="759"/>
        <v>0</v>
      </c>
    </row>
    <row r="46201" spans="20:20" ht="18.75" customHeight="1" x14ac:dyDescent="0.35">
      <c r="T46201" s="246">
        <f t="shared" si="759"/>
        <v>0</v>
      </c>
    </row>
    <row r="46202" spans="20:20" ht="18.75" customHeight="1" x14ac:dyDescent="0.35">
      <c r="T46202" s="246">
        <f t="shared" si="759"/>
        <v>0</v>
      </c>
    </row>
    <row r="46203" spans="20:20" ht="18.75" customHeight="1" x14ac:dyDescent="0.35">
      <c r="T46203" s="246">
        <f t="shared" si="759"/>
        <v>0</v>
      </c>
    </row>
    <row r="46204" spans="20:20" ht="18.75" customHeight="1" x14ac:dyDescent="0.35">
      <c r="T46204" s="246">
        <f t="shared" ref="T46204:T46267" si="760">R46204*0.01</f>
        <v>0</v>
      </c>
    </row>
    <row r="46205" spans="20:20" ht="18.75" customHeight="1" x14ac:dyDescent="0.35">
      <c r="T46205" s="246">
        <f t="shared" si="760"/>
        <v>0</v>
      </c>
    </row>
    <row r="46206" spans="20:20" ht="18.75" customHeight="1" x14ac:dyDescent="0.35">
      <c r="T46206" s="246">
        <f t="shared" si="760"/>
        <v>0</v>
      </c>
    </row>
    <row r="46207" spans="20:20" ht="18.75" customHeight="1" x14ac:dyDescent="0.35">
      <c r="T46207" s="246">
        <f t="shared" si="760"/>
        <v>0</v>
      </c>
    </row>
    <row r="46208" spans="20:20" ht="18.75" customHeight="1" x14ac:dyDescent="0.35">
      <c r="T46208" s="246">
        <f t="shared" si="760"/>
        <v>0</v>
      </c>
    </row>
    <row r="46209" spans="20:20" ht="18.75" customHeight="1" x14ac:dyDescent="0.35">
      <c r="T46209" s="246">
        <f t="shared" si="760"/>
        <v>0</v>
      </c>
    </row>
    <row r="46210" spans="20:20" ht="18.75" customHeight="1" x14ac:dyDescent="0.35">
      <c r="T46210" s="246">
        <f t="shared" si="760"/>
        <v>0</v>
      </c>
    </row>
    <row r="46211" spans="20:20" ht="18.75" customHeight="1" x14ac:dyDescent="0.35">
      <c r="T46211" s="246">
        <f t="shared" si="760"/>
        <v>0</v>
      </c>
    </row>
    <row r="46212" spans="20:20" ht="18.75" customHeight="1" x14ac:dyDescent="0.35">
      <c r="T46212" s="246">
        <f t="shared" si="760"/>
        <v>0</v>
      </c>
    </row>
    <row r="46213" spans="20:20" ht="18.75" customHeight="1" x14ac:dyDescent="0.35">
      <c r="T46213" s="246">
        <f t="shared" si="760"/>
        <v>0</v>
      </c>
    </row>
    <row r="46214" spans="20:20" ht="18.75" customHeight="1" x14ac:dyDescent="0.35">
      <c r="T46214" s="246">
        <f t="shared" si="760"/>
        <v>0</v>
      </c>
    </row>
    <row r="46215" spans="20:20" ht="18.75" customHeight="1" x14ac:dyDescent="0.35">
      <c r="T46215" s="246">
        <f t="shared" si="760"/>
        <v>0</v>
      </c>
    </row>
    <row r="46216" spans="20:20" ht="18.75" customHeight="1" x14ac:dyDescent="0.35">
      <c r="T46216" s="246">
        <f t="shared" si="760"/>
        <v>0</v>
      </c>
    </row>
    <row r="46217" spans="20:20" ht="18.75" customHeight="1" x14ac:dyDescent="0.35">
      <c r="T46217" s="246">
        <f t="shared" si="760"/>
        <v>0</v>
      </c>
    </row>
    <row r="46218" spans="20:20" ht="18.75" customHeight="1" x14ac:dyDescent="0.35">
      <c r="T46218" s="246">
        <f t="shared" si="760"/>
        <v>0</v>
      </c>
    </row>
    <row r="46219" spans="20:20" ht="18.75" customHeight="1" x14ac:dyDescent="0.35">
      <c r="T46219" s="246">
        <f t="shared" si="760"/>
        <v>0</v>
      </c>
    </row>
    <row r="46220" spans="20:20" ht="18.75" customHeight="1" x14ac:dyDescent="0.35">
      <c r="T46220" s="246">
        <f t="shared" si="760"/>
        <v>0</v>
      </c>
    </row>
    <row r="46221" spans="20:20" ht="18.75" customHeight="1" x14ac:dyDescent="0.35">
      <c r="T46221" s="246">
        <f t="shared" si="760"/>
        <v>0</v>
      </c>
    </row>
    <row r="46222" spans="20:20" ht="18.75" customHeight="1" x14ac:dyDescent="0.35">
      <c r="T46222" s="246">
        <f t="shared" si="760"/>
        <v>0</v>
      </c>
    </row>
    <row r="46223" spans="20:20" ht="18.75" customHeight="1" x14ac:dyDescent="0.35">
      <c r="T46223" s="246">
        <f t="shared" si="760"/>
        <v>0</v>
      </c>
    </row>
    <row r="46224" spans="20:20" ht="18.75" customHeight="1" x14ac:dyDescent="0.35">
      <c r="T46224" s="246">
        <f t="shared" si="760"/>
        <v>0</v>
      </c>
    </row>
    <row r="46225" spans="20:20" ht="18.75" customHeight="1" x14ac:dyDescent="0.35">
      <c r="T46225" s="246">
        <f t="shared" si="760"/>
        <v>0</v>
      </c>
    </row>
    <row r="46226" spans="20:20" ht="18.75" customHeight="1" x14ac:dyDescent="0.35">
      <c r="T46226" s="246">
        <f t="shared" si="760"/>
        <v>0</v>
      </c>
    </row>
    <row r="46227" spans="20:20" ht="18.75" customHeight="1" x14ac:dyDescent="0.35">
      <c r="T46227" s="246">
        <f t="shared" si="760"/>
        <v>0</v>
      </c>
    </row>
    <row r="46228" spans="20:20" ht="18.75" customHeight="1" x14ac:dyDescent="0.35">
      <c r="T46228" s="246">
        <f t="shared" si="760"/>
        <v>0</v>
      </c>
    </row>
    <row r="46229" spans="20:20" ht="18.75" customHeight="1" x14ac:dyDescent="0.35">
      <c r="T46229" s="246">
        <f t="shared" si="760"/>
        <v>0</v>
      </c>
    </row>
    <row r="46230" spans="20:20" ht="18.75" customHeight="1" x14ac:dyDescent="0.35">
      <c r="T46230" s="246">
        <f t="shared" si="760"/>
        <v>0</v>
      </c>
    </row>
    <row r="46231" spans="20:20" ht="18.75" customHeight="1" x14ac:dyDescent="0.35">
      <c r="T46231" s="246">
        <f t="shared" si="760"/>
        <v>0</v>
      </c>
    </row>
    <row r="46232" spans="20:20" ht="18.75" customHeight="1" x14ac:dyDescent="0.35">
      <c r="T46232" s="246">
        <f t="shared" si="760"/>
        <v>0</v>
      </c>
    </row>
    <row r="46233" spans="20:20" ht="18.75" customHeight="1" x14ac:dyDescent="0.35">
      <c r="T46233" s="246">
        <f t="shared" si="760"/>
        <v>0</v>
      </c>
    </row>
    <row r="46234" spans="20:20" ht="18.75" customHeight="1" x14ac:dyDescent="0.35">
      <c r="T46234" s="246">
        <f t="shared" si="760"/>
        <v>0</v>
      </c>
    </row>
    <row r="46235" spans="20:20" ht="18.75" customHeight="1" x14ac:dyDescent="0.35">
      <c r="T46235" s="246">
        <f t="shared" si="760"/>
        <v>0</v>
      </c>
    </row>
    <row r="46236" spans="20:20" ht="18.75" customHeight="1" x14ac:dyDescent="0.35">
      <c r="T46236" s="246">
        <f t="shared" si="760"/>
        <v>0</v>
      </c>
    </row>
    <row r="46237" spans="20:20" ht="18.75" customHeight="1" x14ac:dyDescent="0.35">
      <c r="T46237" s="246">
        <f t="shared" si="760"/>
        <v>0</v>
      </c>
    </row>
    <row r="46238" spans="20:20" ht="18.75" customHeight="1" x14ac:dyDescent="0.35">
      <c r="T46238" s="246">
        <f t="shared" si="760"/>
        <v>0</v>
      </c>
    </row>
    <row r="46239" spans="20:20" ht="18.75" customHeight="1" x14ac:dyDescent="0.35">
      <c r="T46239" s="246">
        <f t="shared" si="760"/>
        <v>0</v>
      </c>
    </row>
    <row r="46240" spans="20:20" ht="18.75" customHeight="1" x14ac:dyDescent="0.35">
      <c r="T46240" s="246">
        <f t="shared" si="760"/>
        <v>0</v>
      </c>
    </row>
    <row r="46241" spans="20:20" ht="18.75" customHeight="1" x14ac:dyDescent="0.35">
      <c r="T46241" s="246">
        <f t="shared" si="760"/>
        <v>0</v>
      </c>
    </row>
    <row r="46242" spans="20:20" ht="18.75" customHeight="1" x14ac:dyDescent="0.35">
      <c r="T46242" s="246">
        <f t="shared" si="760"/>
        <v>0</v>
      </c>
    </row>
    <row r="46243" spans="20:20" ht="18.75" customHeight="1" x14ac:dyDescent="0.35">
      <c r="T46243" s="246">
        <f t="shared" si="760"/>
        <v>0</v>
      </c>
    </row>
    <row r="46244" spans="20:20" ht="18.75" customHeight="1" x14ac:dyDescent="0.35">
      <c r="T46244" s="246">
        <f t="shared" si="760"/>
        <v>0</v>
      </c>
    </row>
    <row r="46245" spans="20:20" ht="18.75" customHeight="1" x14ac:dyDescent="0.35">
      <c r="T46245" s="246">
        <f t="shared" si="760"/>
        <v>0</v>
      </c>
    </row>
    <row r="46246" spans="20:20" ht="18.75" customHeight="1" x14ac:dyDescent="0.35">
      <c r="T46246" s="246">
        <f t="shared" si="760"/>
        <v>0</v>
      </c>
    </row>
    <row r="46247" spans="20:20" ht="18.75" customHeight="1" x14ac:dyDescent="0.35">
      <c r="T46247" s="246">
        <f t="shared" si="760"/>
        <v>0</v>
      </c>
    </row>
    <row r="46248" spans="20:20" ht="18.75" customHeight="1" x14ac:dyDescent="0.35">
      <c r="T46248" s="246">
        <f t="shared" si="760"/>
        <v>0</v>
      </c>
    </row>
    <row r="46249" spans="20:20" ht="18.75" customHeight="1" x14ac:dyDescent="0.35">
      <c r="T46249" s="246">
        <f t="shared" si="760"/>
        <v>0</v>
      </c>
    </row>
    <row r="46250" spans="20:20" ht="18.75" customHeight="1" x14ac:dyDescent="0.35">
      <c r="T46250" s="246">
        <f t="shared" si="760"/>
        <v>0</v>
      </c>
    </row>
    <row r="46251" spans="20:20" ht="18.75" customHeight="1" x14ac:dyDescent="0.35">
      <c r="T46251" s="246">
        <f t="shared" si="760"/>
        <v>0</v>
      </c>
    </row>
    <row r="46252" spans="20:20" ht="18.75" customHeight="1" x14ac:dyDescent="0.35">
      <c r="T46252" s="246">
        <f t="shared" si="760"/>
        <v>0</v>
      </c>
    </row>
    <row r="46253" spans="20:20" ht="18.75" customHeight="1" x14ac:dyDescent="0.35">
      <c r="T46253" s="246">
        <f t="shared" si="760"/>
        <v>0</v>
      </c>
    </row>
    <row r="46254" spans="20:20" ht="18.75" customHeight="1" x14ac:dyDescent="0.35">
      <c r="T46254" s="246">
        <f t="shared" si="760"/>
        <v>0</v>
      </c>
    </row>
    <row r="46255" spans="20:20" ht="18.75" customHeight="1" x14ac:dyDescent="0.35">
      <c r="T46255" s="246">
        <f t="shared" si="760"/>
        <v>0</v>
      </c>
    </row>
    <row r="46256" spans="20:20" ht="18.75" customHeight="1" x14ac:dyDescent="0.35">
      <c r="T46256" s="246">
        <f t="shared" si="760"/>
        <v>0</v>
      </c>
    </row>
    <row r="46257" spans="20:20" ht="18.75" customHeight="1" x14ac:dyDescent="0.35">
      <c r="T46257" s="246">
        <f t="shared" si="760"/>
        <v>0</v>
      </c>
    </row>
    <row r="46258" spans="20:20" ht="18.75" customHeight="1" x14ac:dyDescent="0.35">
      <c r="T46258" s="246">
        <f t="shared" si="760"/>
        <v>0</v>
      </c>
    </row>
    <row r="46259" spans="20:20" ht="18.75" customHeight="1" x14ac:dyDescent="0.35">
      <c r="T46259" s="246">
        <f t="shared" si="760"/>
        <v>0</v>
      </c>
    </row>
    <row r="46260" spans="20:20" ht="18.75" customHeight="1" x14ac:dyDescent="0.35">
      <c r="T46260" s="246">
        <f t="shared" si="760"/>
        <v>0</v>
      </c>
    </row>
    <row r="46261" spans="20:20" ht="18.75" customHeight="1" x14ac:dyDescent="0.35">
      <c r="T46261" s="246">
        <f t="shared" si="760"/>
        <v>0</v>
      </c>
    </row>
    <row r="46262" spans="20:20" ht="18.75" customHeight="1" x14ac:dyDescent="0.35">
      <c r="T46262" s="246">
        <f t="shared" si="760"/>
        <v>0</v>
      </c>
    </row>
    <row r="46263" spans="20:20" ht="18.75" customHeight="1" x14ac:dyDescent="0.35">
      <c r="T46263" s="246">
        <f t="shared" si="760"/>
        <v>0</v>
      </c>
    </row>
    <row r="46264" spans="20:20" ht="18.75" customHeight="1" x14ac:dyDescent="0.35">
      <c r="T46264" s="246">
        <f t="shared" si="760"/>
        <v>0</v>
      </c>
    </row>
    <row r="46265" spans="20:20" ht="18.75" customHeight="1" x14ac:dyDescent="0.35">
      <c r="T46265" s="246">
        <f t="shared" si="760"/>
        <v>0</v>
      </c>
    </row>
    <row r="46266" spans="20:20" ht="18.75" customHeight="1" x14ac:dyDescent="0.35">
      <c r="T46266" s="246">
        <f t="shared" si="760"/>
        <v>0</v>
      </c>
    </row>
    <row r="46267" spans="20:20" ht="18.75" customHeight="1" x14ac:dyDescent="0.35">
      <c r="T46267" s="246">
        <f t="shared" si="760"/>
        <v>0</v>
      </c>
    </row>
    <row r="46268" spans="20:20" ht="18.75" customHeight="1" x14ac:dyDescent="0.35">
      <c r="T46268" s="246">
        <f t="shared" ref="T46268:T46331" si="761">R46268*0.01</f>
        <v>0</v>
      </c>
    </row>
    <row r="46269" spans="20:20" ht="18.75" customHeight="1" x14ac:dyDescent="0.35">
      <c r="T46269" s="246">
        <f t="shared" si="761"/>
        <v>0</v>
      </c>
    </row>
    <row r="46270" spans="20:20" ht="18.75" customHeight="1" x14ac:dyDescent="0.35">
      <c r="T46270" s="246">
        <f t="shared" si="761"/>
        <v>0</v>
      </c>
    </row>
    <row r="46271" spans="20:20" ht="18.75" customHeight="1" x14ac:dyDescent="0.35">
      <c r="T46271" s="246">
        <f t="shared" si="761"/>
        <v>0</v>
      </c>
    </row>
    <row r="46272" spans="20:20" ht="18.75" customHeight="1" x14ac:dyDescent="0.35">
      <c r="T46272" s="246">
        <f t="shared" si="761"/>
        <v>0</v>
      </c>
    </row>
    <row r="46273" spans="20:20" ht="18.75" customHeight="1" x14ac:dyDescent="0.35">
      <c r="T46273" s="246">
        <f t="shared" si="761"/>
        <v>0</v>
      </c>
    </row>
    <row r="46274" spans="20:20" ht="18.75" customHeight="1" x14ac:dyDescent="0.35">
      <c r="T46274" s="246">
        <f t="shared" si="761"/>
        <v>0</v>
      </c>
    </row>
    <row r="46275" spans="20:20" ht="18.75" customHeight="1" x14ac:dyDescent="0.35">
      <c r="T46275" s="246">
        <f t="shared" si="761"/>
        <v>0</v>
      </c>
    </row>
    <row r="46276" spans="20:20" ht="18.75" customHeight="1" x14ac:dyDescent="0.35">
      <c r="T46276" s="246">
        <f t="shared" si="761"/>
        <v>0</v>
      </c>
    </row>
    <row r="46277" spans="20:20" ht="18.75" customHeight="1" x14ac:dyDescent="0.35">
      <c r="T46277" s="246">
        <f t="shared" si="761"/>
        <v>0</v>
      </c>
    </row>
    <row r="46278" spans="20:20" ht="18.75" customHeight="1" x14ac:dyDescent="0.35">
      <c r="T46278" s="246">
        <f t="shared" si="761"/>
        <v>0</v>
      </c>
    </row>
    <row r="46279" spans="20:20" ht="18.75" customHeight="1" x14ac:dyDescent="0.35">
      <c r="T46279" s="246">
        <f t="shared" si="761"/>
        <v>0</v>
      </c>
    </row>
    <row r="46280" spans="20:20" ht="18.75" customHeight="1" x14ac:dyDescent="0.35">
      <c r="T46280" s="246">
        <f t="shared" si="761"/>
        <v>0</v>
      </c>
    </row>
    <row r="46281" spans="20:20" ht="18.75" customHeight="1" x14ac:dyDescent="0.35">
      <c r="T46281" s="246">
        <f t="shared" si="761"/>
        <v>0</v>
      </c>
    </row>
    <row r="46282" spans="20:20" ht="18.75" customHeight="1" x14ac:dyDescent="0.35">
      <c r="T46282" s="246">
        <f t="shared" si="761"/>
        <v>0</v>
      </c>
    </row>
    <row r="46283" spans="20:20" ht="18.75" customHeight="1" x14ac:dyDescent="0.35">
      <c r="T46283" s="246">
        <f t="shared" si="761"/>
        <v>0</v>
      </c>
    </row>
    <row r="46284" spans="20:20" ht="18.75" customHeight="1" x14ac:dyDescent="0.35">
      <c r="T46284" s="246">
        <f t="shared" si="761"/>
        <v>0</v>
      </c>
    </row>
    <row r="46285" spans="20:20" ht="18.75" customHeight="1" x14ac:dyDescent="0.35">
      <c r="T46285" s="246">
        <f t="shared" si="761"/>
        <v>0</v>
      </c>
    </row>
    <row r="46286" spans="20:20" ht="18.75" customHeight="1" x14ac:dyDescent="0.35">
      <c r="T46286" s="246">
        <f t="shared" si="761"/>
        <v>0</v>
      </c>
    </row>
    <row r="46287" spans="20:20" ht="18.75" customHeight="1" x14ac:dyDescent="0.35">
      <c r="T46287" s="246">
        <f t="shared" si="761"/>
        <v>0</v>
      </c>
    </row>
    <row r="46288" spans="20:20" ht="18.75" customHeight="1" x14ac:dyDescent="0.35">
      <c r="T46288" s="246">
        <f t="shared" si="761"/>
        <v>0</v>
      </c>
    </row>
    <row r="46289" spans="20:20" ht="18.75" customHeight="1" x14ac:dyDescent="0.35">
      <c r="T46289" s="246">
        <f t="shared" si="761"/>
        <v>0</v>
      </c>
    </row>
    <row r="46290" spans="20:20" ht="18.75" customHeight="1" x14ac:dyDescent="0.35">
      <c r="T46290" s="246">
        <f t="shared" si="761"/>
        <v>0</v>
      </c>
    </row>
    <row r="46291" spans="20:20" ht="18.75" customHeight="1" x14ac:dyDescent="0.35">
      <c r="T46291" s="246">
        <f t="shared" si="761"/>
        <v>0</v>
      </c>
    </row>
    <row r="46292" spans="20:20" ht="18.75" customHeight="1" x14ac:dyDescent="0.35">
      <c r="T46292" s="246">
        <f t="shared" si="761"/>
        <v>0</v>
      </c>
    </row>
    <row r="46293" spans="20:20" ht="18.75" customHeight="1" x14ac:dyDescent="0.35">
      <c r="T46293" s="246">
        <f t="shared" si="761"/>
        <v>0</v>
      </c>
    </row>
    <row r="46294" spans="20:20" ht="18.75" customHeight="1" x14ac:dyDescent="0.35">
      <c r="T46294" s="246">
        <f t="shared" si="761"/>
        <v>0</v>
      </c>
    </row>
    <row r="46295" spans="20:20" ht="18.75" customHeight="1" x14ac:dyDescent="0.35">
      <c r="T46295" s="246">
        <f t="shared" si="761"/>
        <v>0</v>
      </c>
    </row>
    <row r="46296" spans="20:20" ht="18.75" customHeight="1" x14ac:dyDescent="0.35">
      <c r="T46296" s="246">
        <f t="shared" si="761"/>
        <v>0</v>
      </c>
    </row>
    <row r="46297" spans="20:20" ht="18.75" customHeight="1" x14ac:dyDescent="0.35">
      <c r="T46297" s="246">
        <f t="shared" si="761"/>
        <v>0</v>
      </c>
    </row>
    <row r="46298" spans="20:20" ht="18.75" customHeight="1" x14ac:dyDescent="0.35">
      <c r="T46298" s="246">
        <f t="shared" si="761"/>
        <v>0</v>
      </c>
    </row>
    <row r="46299" spans="20:20" ht="18.75" customHeight="1" x14ac:dyDescent="0.35">
      <c r="T46299" s="246">
        <f t="shared" si="761"/>
        <v>0</v>
      </c>
    </row>
    <row r="46300" spans="20:20" ht="18.75" customHeight="1" x14ac:dyDescent="0.35">
      <c r="T46300" s="246">
        <f t="shared" si="761"/>
        <v>0</v>
      </c>
    </row>
    <row r="46301" spans="20:20" ht="18.75" customHeight="1" x14ac:dyDescent="0.35">
      <c r="T46301" s="246">
        <f t="shared" si="761"/>
        <v>0</v>
      </c>
    </row>
    <row r="46302" spans="20:20" ht="18.75" customHeight="1" x14ac:dyDescent="0.35">
      <c r="T46302" s="246">
        <f t="shared" si="761"/>
        <v>0</v>
      </c>
    </row>
    <row r="46303" spans="20:20" ht="18.75" customHeight="1" x14ac:dyDescent="0.35">
      <c r="T46303" s="246">
        <f t="shared" si="761"/>
        <v>0</v>
      </c>
    </row>
    <row r="46304" spans="20:20" ht="18.75" customHeight="1" x14ac:dyDescent="0.35">
      <c r="T46304" s="246">
        <f t="shared" si="761"/>
        <v>0</v>
      </c>
    </row>
    <row r="46305" spans="20:20" ht="18.75" customHeight="1" x14ac:dyDescent="0.35">
      <c r="T46305" s="246">
        <f t="shared" si="761"/>
        <v>0</v>
      </c>
    </row>
    <row r="46306" spans="20:20" ht="18.75" customHeight="1" x14ac:dyDescent="0.35">
      <c r="T46306" s="246">
        <f t="shared" si="761"/>
        <v>0</v>
      </c>
    </row>
    <row r="46307" spans="20:20" ht="18.75" customHeight="1" x14ac:dyDescent="0.35">
      <c r="T46307" s="246">
        <f t="shared" si="761"/>
        <v>0</v>
      </c>
    </row>
    <row r="46308" spans="20:20" ht="18.75" customHeight="1" x14ac:dyDescent="0.35">
      <c r="T46308" s="246">
        <f t="shared" si="761"/>
        <v>0</v>
      </c>
    </row>
    <row r="46309" spans="20:20" ht="18.75" customHeight="1" x14ac:dyDescent="0.35">
      <c r="T46309" s="246">
        <f t="shared" si="761"/>
        <v>0</v>
      </c>
    </row>
    <row r="46310" spans="20:20" ht="18.75" customHeight="1" x14ac:dyDescent="0.35">
      <c r="T46310" s="246">
        <f t="shared" si="761"/>
        <v>0</v>
      </c>
    </row>
    <row r="46311" spans="20:20" ht="18.75" customHeight="1" x14ac:dyDescent="0.35">
      <c r="T46311" s="246">
        <f t="shared" si="761"/>
        <v>0</v>
      </c>
    </row>
    <row r="46312" spans="20:20" ht="18.75" customHeight="1" x14ac:dyDescent="0.35">
      <c r="T46312" s="246">
        <f t="shared" si="761"/>
        <v>0</v>
      </c>
    </row>
    <row r="46313" spans="20:20" ht="18.75" customHeight="1" x14ac:dyDescent="0.35">
      <c r="T46313" s="246">
        <f t="shared" si="761"/>
        <v>0</v>
      </c>
    </row>
    <row r="46314" spans="20:20" ht="18.75" customHeight="1" x14ac:dyDescent="0.35">
      <c r="T46314" s="246">
        <f t="shared" si="761"/>
        <v>0</v>
      </c>
    </row>
    <row r="46315" spans="20:20" ht="18.75" customHeight="1" x14ac:dyDescent="0.35">
      <c r="T46315" s="246">
        <f t="shared" si="761"/>
        <v>0</v>
      </c>
    </row>
    <row r="46316" spans="20:20" ht="18.75" customHeight="1" x14ac:dyDescent="0.35">
      <c r="T46316" s="246">
        <f t="shared" si="761"/>
        <v>0</v>
      </c>
    </row>
    <row r="46317" spans="20:20" ht="18.75" customHeight="1" x14ac:dyDescent="0.35">
      <c r="T46317" s="246">
        <f t="shared" si="761"/>
        <v>0</v>
      </c>
    </row>
    <row r="46318" spans="20:20" ht="18.75" customHeight="1" x14ac:dyDescent="0.35">
      <c r="T46318" s="246">
        <f t="shared" si="761"/>
        <v>0</v>
      </c>
    </row>
    <row r="46319" spans="20:20" ht="18.75" customHeight="1" x14ac:dyDescent="0.35">
      <c r="T46319" s="246">
        <f t="shared" si="761"/>
        <v>0</v>
      </c>
    </row>
    <row r="46320" spans="20:20" ht="18.75" customHeight="1" x14ac:dyDescent="0.35">
      <c r="T46320" s="246">
        <f t="shared" si="761"/>
        <v>0</v>
      </c>
    </row>
    <row r="46321" spans="20:20" ht="18.75" customHeight="1" x14ac:dyDescent="0.35">
      <c r="T46321" s="246">
        <f t="shared" si="761"/>
        <v>0</v>
      </c>
    </row>
    <row r="46322" spans="20:20" ht="18.75" customHeight="1" x14ac:dyDescent="0.35">
      <c r="T46322" s="246">
        <f t="shared" si="761"/>
        <v>0</v>
      </c>
    </row>
    <row r="46323" spans="20:20" ht="18.75" customHeight="1" x14ac:dyDescent="0.35">
      <c r="T46323" s="246">
        <f t="shared" si="761"/>
        <v>0</v>
      </c>
    </row>
    <row r="46324" spans="20:20" ht="18.75" customHeight="1" x14ac:dyDescent="0.35">
      <c r="T46324" s="246">
        <f t="shared" si="761"/>
        <v>0</v>
      </c>
    </row>
    <row r="46325" spans="20:20" ht="18.75" customHeight="1" x14ac:dyDescent="0.35">
      <c r="T46325" s="246">
        <f t="shared" si="761"/>
        <v>0</v>
      </c>
    </row>
    <row r="46326" spans="20:20" ht="18.75" customHeight="1" x14ac:dyDescent="0.35">
      <c r="T46326" s="246">
        <f t="shared" si="761"/>
        <v>0</v>
      </c>
    </row>
    <row r="46327" spans="20:20" ht="18.75" customHeight="1" x14ac:dyDescent="0.35">
      <c r="T46327" s="246">
        <f t="shared" si="761"/>
        <v>0</v>
      </c>
    </row>
    <row r="46328" spans="20:20" ht="18.75" customHeight="1" x14ac:dyDescent="0.35">
      <c r="T46328" s="246">
        <f t="shared" si="761"/>
        <v>0</v>
      </c>
    </row>
    <row r="46329" spans="20:20" ht="18.75" customHeight="1" x14ac:dyDescent="0.35">
      <c r="T46329" s="246">
        <f t="shared" si="761"/>
        <v>0</v>
      </c>
    </row>
    <row r="46330" spans="20:20" ht="18.75" customHeight="1" x14ac:dyDescent="0.35">
      <c r="T46330" s="246">
        <f t="shared" si="761"/>
        <v>0</v>
      </c>
    </row>
    <row r="46331" spans="20:20" ht="18.75" customHeight="1" x14ac:dyDescent="0.35">
      <c r="T46331" s="246">
        <f t="shared" si="761"/>
        <v>0</v>
      </c>
    </row>
    <row r="46332" spans="20:20" ht="18.75" customHeight="1" x14ac:dyDescent="0.35">
      <c r="T46332" s="246">
        <f t="shared" ref="T46332:T46395" si="762">R46332*0.01</f>
        <v>0</v>
      </c>
    </row>
    <row r="46333" spans="20:20" ht="18.75" customHeight="1" x14ac:dyDescent="0.35">
      <c r="T46333" s="246">
        <f t="shared" si="762"/>
        <v>0</v>
      </c>
    </row>
    <row r="46334" spans="20:20" ht="18.75" customHeight="1" x14ac:dyDescent="0.35">
      <c r="T46334" s="246">
        <f t="shared" si="762"/>
        <v>0</v>
      </c>
    </row>
    <row r="46335" spans="20:20" ht="18.75" customHeight="1" x14ac:dyDescent="0.35">
      <c r="T46335" s="246">
        <f t="shared" si="762"/>
        <v>0</v>
      </c>
    </row>
    <row r="46336" spans="20:20" ht="18.75" customHeight="1" x14ac:dyDescent="0.35">
      <c r="T46336" s="246">
        <f t="shared" si="762"/>
        <v>0</v>
      </c>
    </row>
    <row r="46337" spans="20:20" ht="18.75" customHeight="1" x14ac:dyDescent="0.35">
      <c r="T46337" s="246">
        <f t="shared" si="762"/>
        <v>0</v>
      </c>
    </row>
    <row r="46338" spans="20:20" ht="18.75" customHeight="1" x14ac:dyDescent="0.35">
      <c r="T46338" s="246">
        <f t="shared" si="762"/>
        <v>0</v>
      </c>
    </row>
    <row r="46339" spans="20:20" ht="18.75" customHeight="1" x14ac:dyDescent="0.35">
      <c r="T46339" s="246">
        <f t="shared" si="762"/>
        <v>0</v>
      </c>
    </row>
    <row r="46340" spans="20:20" ht="18.75" customHeight="1" x14ac:dyDescent="0.35">
      <c r="T46340" s="246">
        <f t="shared" si="762"/>
        <v>0</v>
      </c>
    </row>
    <row r="46341" spans="20:20" ht="18.75" customHeight="1" x14ac:dyDescent="0.35">
      <c r="T46341" s="246">
        <f t="shared" si="762"/>
        <v>0</v>
      </c>
    </row>
    <row r="46342" spans="20:20" ht="18.75" customHeight="1" x14ac:dyDescent="0.35">
      <c r="T46342" s="246">
        <f t="shared" si="762"/>
        <v>0</v>
      </c>
    </row>
    <row r="46343" spans="20:20" ht="18.75" customHeight="1" x14ac:dyDescent="0.35">
      <c r="T46343" s="246">
        <f t="shared" si="762"/>
        <v>0</v>
      </c>
    </row>
    <row r="46344" spans="20:20" ht="18.75" customHeight="1" x14ac:dyDescent="0.35">
      <c r="T46344" s="246">
        <f t="shared" si="762"/>
        <v>0</v>
      </c>
    </row>
    <row r="46345" spans="20:20" ht="18.75" customHeight="1" x14ac:dyDescent="0.35">
      <c r="T46345" s="246">
        <f t="shared" si="762"/>
        <v>0</v>
      </c>
    </row>
    <row r="46346" spans="20:20" ht="18.75" customHeight="1" x14ac:dyDescent="0.35">
      <c r="T46346" s="246">
        <f t="shared" si="762"/>
        <v>0</v>
      </c>
    </row>
    <row r="46347" spans="20:20" ht="18.75" customHeight="1" x14ac:dyDescent="0.35">
      <c r="T46347" s="246">
        <f t="shared" si="762"/>
        <v>0</v>
      </c>
    </row>
    <row r="46348" spans="20:20" ht="18.75" customHeight="1" x14ac:dyDescent="0.35">
      <c r="T46348" s="246">
        <f t="shared" si="762"/>
        <v>0</v>
      </c>
    </row>
    <row r="46349" spans="20:20" ht="18.75" customHeight="1" x14ac:dyDescent="0.35">
      <c r="T46349" s="246">
        <f t="shared" si="762"/>
        <v>0</v>
      </c>
    </row>
    <row r="46350" spans="20:20" ht="18.75" customHeight="1" x14ac:dyDescent="0.35">
      <c r="T46350" s="246">
        <f t="shared" si="762"/>
        <v>0</v>
      </c>
    </row>
    <row r="46351" spans="20:20" ht="18.75" customHeight="1" x14ac:dyDescent="0.35">
      <c r="T46351" s="246">
        <f t="shared" si="762"/>
        <v>0</v>
      </c>
    </row>
    <row r="46352" spans="20:20" ht="18.75" customHeight="1" x14ac:dyDescent="0.35">
      <c r="T46352" s="246">
        <f t="shared" si="762"/>
        <v>0</v>
      </c>
    </row>
    <row r="46353" spans="20:20" ht="18.75" customHeight="1" x14ac:dyDescent="0.35">
      <c r="T46353" s="246">
        <f t="shared" si="762"/>
        <v>0</v>
      </c>
    </row>
    <row r="46354" spans="20:20" ht="18.75" customHeight="1" x14ac:dyDescent="0.35">
      <c r="T46354" s="246">
        <f t="shared" si="762"/>
        <v>0</v>
      </c>
    </row>
    <row r="46355" spans="20:20" ht="18.75" customHeight="1" x14ac:dyDescent="0.35">
      <c r="T46355" s="246">
        <f t="shared" si="762"/>
        <v>0</v>
      </c>
    </row>
    <row r="46356" spans="20:20" ht="18.75" customHeight="1" x14ac:dyDescent="0.35">
      <c r="T46356" s="246">
        <f t="shared" si="762"/>
        <v>0</v>
      </c>
    </row>
    <row r="46357" spans="20:20" ht="18.75" customHeight="1" x14ac:dyDescent="0.35">
      <c r="T46357" s="246">
        <f t="shared" si="762"/>
        <v>0</v>
      </c>
    </row>
    <row r="46358" spans="20:20" ht="18.75" customHeight="1" x14ac:dyDescent="0.35">
      <c r="T46358" s="246">
        <f t="shared" si="762"/>
        <v>0</v>
      </c>
    </row>
    <row r="46359" spans="20:20" ht="18.75" customHeight="1" x14ac:dyDescent="0.35">
      <c r="T46359" s="246">
        <f t="shared" si="762"/>
        <v>0</v>
      </c>
    </row>
    <row r="46360" spans="20:20" ht="18.75" customHeight="1" x14ac:dyDescent="0.35">
      <c r="T46360" s="246">
        <f t="shared" si="762"/>
        <v>0</v>
      </c>
    </row>
    <row r="46361" spans="20:20" ht="18.75" customHeight="1" x14ac:dyDescent="0.35">
      <c r="T46361" s="246">
        <f t="shared" si="762"/>
        <v>0</v>
      </c>
    </row>
    <row r="46362" spans="20:20" ht="18.75" customHeight="1" x14ac:dyDescent="0.35">
      <c r="T46362" s="246">
        <f t="shared" si="762"/>
        <v>0</v>
      </c>
    </row>
    <row r="46363" spans="20:20" ht="18.75" customHeight="1" x14ac:dyDescent="0.35">
      <c r="T46363" s="246">
        <f t="shared" si="762"/>
        <v>0</v>
      </c>
    </row>
    <row r="46364" spans="20:20" ht="18.75" customHeight="1" x14ac:dyDescent="0.35">
      <c r="T46364" s="246">
        <f t="shared" si="762"/>
        <v>0</v>
      </c>
    </row>
    <row r="46365" spans="20:20" ht="18.75" customHeight="1" x14ac:dyDescent="0.35">
      <c r="T46365" s="246">
        <f t="shared" si="762"/>
        <v>0</v>
      </c>
    </row>
    <row r="46366" spans="20:20" ht="18.75" customHeight="1" x14ac:dyDescent="0.35">
      <c r="T46366" s="246">
        <f t="shared" si="762"/>
        <v>0</v>
      </c>
    </row>
    <row r="46367" spans="20:20" ht="18.75" customHeight="1" x14ac:dyDescent="0.35">
      <c r="T46367" s="246">
        <f t="shared" si="762"/>
        <v>0</v>
      </c>
    </row>
    <row r="46368" spans="20:20" ht="18.75" customHeight="1" x14ac:dyDescent="0.35">
      <c r="T46368" s="246">
        <f t="shared" si="762"/>
        <v>0</v>
      </c>
    </row>
    <row r="46369" spans="20:20" ht="18.75" customHeight="1" x14ac:dyDescent="0.35">
      <c r="T46369" s="246">
        <f t="shared" si="762"/>
        <v>0</v>
      </c>
    </row>
    <row r="46370" spans="20:20" ht="18.75" customHeight="1" x14ac:dyDescent="0.35">
      <c r="T46370" s="246">
        <f t="shared" si="762"/>
        <v>0</v>
      </c>
    </row>
    <row r="46371" spans="20:20" ht="18.75" customHeight="1" x14ac:dyDescent="0.35">
      <c r="T46371" s="246">
        <f t="shared" si="762"/>
        <v>0</v>
      </c>
    </row>
    <row r="46372" spans="20:20" ht="18.75" customHeight="1" x14ac:dyDescent="0.35">
      <c r="T46372" s="246">
        <f t="shared" si="762"/>
        <v>0</v>
      </c>
    </row>
    <row r="46373" spans="20:20" ht="18.75" customHeight="1" x14ac:dyDescent="0.35">
      <c r="T46373" s="246">
        <f t="shared" si="762"/>
        <v>0</v>
      </c>
    </row>
    <row r="46374" spans="20:20" ht="18.75" customHeight="1" x14ac:dyDescent="0.35">
      <c r="T46374" s="246">
        <f t="shared" si="762"/>
        <v>0</v>
      </c>
    </row>
    <row r="46375" spans="20:20" ht="18.75" customHeight="1" x14ac:dyDescent="0.35">
      <c r="T46375" s="246">
        <f t="shared" si="762"/>
        <v>0</v>
      </c>
    </row>
    <row r="46376" spans="20:20" ht="18.75" customHeight="1" x14ac:dyDescent="0.35">
      <c r="T46376" s="246">
        <f t="shared" si="762"/>
        <v>0</v>
      </c>
    </row>
    <row r="46377" spans="20:20" ht="18.75" customHeight="1" x14ac:dyDescent="0.35">
      <c r="T46377" s="246">
        <f t="shared" si="762"/>
        <v>0</v>
      </c>
    </row>
    <row r="46378" spans="20:20" ht="18.75" customHeight="1" x14ac:dyDescent="0.35">
      <c r="T46378" s="246">
        <f t="shared" si="762"/>
        <v>0</v>
      </c>
    </row>
    <row r="46379" spans="20:20" ht="18.75" customHeight="1" x14ac:dyDescent="0.35">
      <c r="T46379" s="246">
        <f t="shared" si="762"/>
        <v>0</v>
      </c>
    </row>
    <row r="46380" spans="20:20" ht="18.75" customHeight="1" x14ac:dyDescent="0.35">
      <c r="T46380" s="246">
        <f t="shared" si="762"/>
        <v>0</v>
      </c>
    </row>
    <row r="46381" spans="20:20" ht="18.75" customHeight="1" x14ac:dyDescent="0.35">
      <c r="T46381" s="246">
        <f t="shared" si="762"/>
        <v>0</v>
      </c>
    </row>
    <row r="46382" spans="20:20" ht="18.75" customHeight="1" x14ac:dyDescent="0.35">
      <c r="T46382" s="246">
        <f t="shared" si="762"/>
        <v>0</v>
      </c>
    </row>
    <row r="46383" spans="20:20" ht="18.75" customHeight="1" x14ac:dyDescent="0.35">
      <c r="T46383" s="246">
        <f t="shared" si="762"/>
        <v>0</v>
      </c>
    </row>
    <row r="46384" spans="20:20" ht="18.75" customHeight="1" x14ac:dyDescent="0.35">
      <c r="T46384" s="246">
        <f t="shared" si="762"/>
        <v>0</v>
      </c>
    </row>
    <row r="46385" spans="20:20" ht="18.75" customHeight="1" x14ac:dyDescent="0.35">
      <c r="T46385" s="246">
        <f t="shared" si="762"/>
        <v>0</v>
      </c>
    </row>
    <row r="46386" spans="20:20" ht="18.75" customHeight="1" x14ac:dyDescent="0.35">
      <c r="T46386" s="246">
        <f t="shared" si="762"/>
        <v>0</v>
      </c>
    </row>
    <row r="46387" spans="20:20" ht="18.75" customHeight="1" x14ac:dyDescent="0.35">
      <c r="T46387" s="246">
        <f t="shared" si="762"/>
        <v>0</v>
      </c>
    </row>
    <row r="46388" spans="20:20" ht="18.75" customHeight="1" x14ac:dyDescent="0.35">
      <c r="T46388" s="246">
        <f t="shared" si="762"/>
        <v>0</v>
      </c>
    </row>
    <row r="46389" spans="20:20" ht="18.75" customHeight="1" x14ac:dyDescent="0.35">
      <c r="T46389" s="246">
        <f t="shared" si="762"/>
        <v>0</v>
      </c>
    </row>
    <row r="46390" spans="20:20" ht="18.75" customHeight="1" x14ac:dyDescent="0.35">
      <c r="T46390" s="246">
        <f t="shared" si="762"/>
        <v>0</v>
      </c>
    </row>
    <row r="46391" spans="20:20" ht="18.75" customHeight="1" x14ac:dyDescent="0.35">
      <c r="T46391" s="246">
        <f t="shared" si="762"/>
        <v>0</v>
      </c>
    </row>
    <row r="46392" spans="20:20" ht="18.75" customHeight="1" x14ac:dyDescent="0.35">
      <c r="T46392" s="246">
        <f t="shared" si="762"/>
        <v>0</v>
      </c>
    </row>
    <row r="46393" spans="20:20" ht="18.75" customHeight="1" x14ac:dyDescent="0.35">
      <c r="T46393" s="246">
        <f t="shared" si="762"/>
        <v>0</v>
      </c>
    </row>
    <row r="46394" spans="20:20" ht="18.75" customHeight="1" x14ac:dyDescent="0.35">
      <c r="T46394" s="246">
        <f t="shared" si="762"/>
        <v>0</v>
      </c>
    </row>
    <row r="46395" spans="20:20" ht="18.75" customHeight="1" x14ac:dyDescent="0.35">
      <c r="T46395" s="246">
        <f t="shared" si="762"/>
        <v>0</v>
      </c>
    </row>
    <row r="46396" spans="20:20" ht="18.75" customHeight="1" x14ac:dyDescent="0.35">
      <c r="T46396" s="246">
        <f t="shared" ref="T46396:T46459" si="763">R46396*0.01</f>
        <v>0</v>
      </c>
    </row>
    <row r="46397" spans="20:20" ht="18.75" customHeight="1" x14ac:dyDescent="0.35">
      <c r="T46397" s="246">
        <f t="shared" si="763"/>
        <v>0</v>
      </c>
    </row>
    <row r="46398" spans="20:20" ht="18.75" customHeight="1" x14ac:dyDescent="0.35">
      <c r="T46398" s="246">
        <f t="shared" si="763"/>
        <v>0</v>
      </c>
    </row>
    <row r="46399" spans="20:20" ht="18.75" customHeight="1" x14ac:dyDescent="0.35">
      <c r="T46399" s="246">
        <f t="shared" si="763"/>
        <v>0</v>
      </c>
    </row>
    <row r="46400" spans="20:20" ht="18.75" customHeight="1" x14ac:dyDescent="0.35">
      <c r="T46400" s="246">
        <f t="shared" si="763"/>
        <v>0</v>
      </c>
    </row>
    <row r="46401" spans="20:20" ht="18.75" customHeight="1" x14ac:dyDescent="0.35">
      <c r="T46401" s="246">
        <f t="shared" si="763"/>
        <v>0</v>
      </c>
    </row>
    <row r="46402" spans="20:20" ht="18.75" customHeight="1" x14ac:dyDescent="0.35">
      <c r="T46402" s="246">
        <f t="shared" si="763"/>
        <v>0</v>
      </c>
    </row>
    <row r="46403" spans="20:20" ht="18.75" customHeight="1" x14ac:dyDescent="0.35">
      <c r="T46403" s="246">
        <f t="shared" si="763"/>
        <v>0</v>
      </c>
    </row>
    <row r="46404" spans="20:20" ht="18.75" customHeight="1" x14ac:dyDescent="0.35">
      <c r="T46404" s="246">
        <f t="shared" si="763"/>
        <v>0</v>
      </c>
    </row>
    <row r="46405" spans="20:20" ht="18.75" customHeight="1" x14ac:dyDescent="0.35">
      <c r="T46405" s="246">
        <f t="shared" si="763"/>
        <v>0</v>
      </c>
    </row>
    <row r="46406" spans="20:20" ht="18.75" customHeight="1" x14ac:dyDescent="0.35">
      <c r="T46406" s="246">
        <f t="shared" si="763"/>
        <v>0</v>
      </c>
    </row>
    <row r="46407" spans="20:20" ht="18.75" customHeight="1" x14ac:dyDescent="0.35">
      <c r="T46407" s="246">
        <f t="shared" si="763"/>
        <v>0</v>
      </c>
    </row>
    <row r="46408" spans="20:20" ht="18.75" customHeight="1" x14ac:dyDescent="0.35">
      <c r="T46408" s="246">
        <f t="shared" si="763"/>
        <v>0</v>
      </c>
    </row>
    <row r="46409" spans="20:20" ht="18.75" customHeight="1" x14ac:dyDescent="0.35">
      <c r="T46409" s="246">
        <f t="shared" si="763"/>
        <v>0</v>
      </c>
    </row>
    <row r="46410" spans="20:20" ht="18.75" customHeight="1" x14ac:dyDescent="0.35">
      <c r="T46410" s="246">
        <f t="shared" si="763"/>
        <v>0</v>
      </c>
    </row>
    <row r="46411" spans="20:20" ht="18.75" customHeight="1" x14ac:dyDescent="0.35">
      <c r="T46411" s="246">
        <f t="shared" si="763"/>
        <v>0</v>
      </c>
    </row>
    <row r="46412" spans="20:20" ht="18.75" customHeight="1" x14ac:dyDescent="0.35">
      <c r="T46412" s="246">
        <f t="shared" si="763"/>
        <v>0</v>
      </c>
    </row>
    <row r="46413" spans="20:20" ht="18.75" customHeight="1" x14ac:dyDescent="0.35">
      <c r="T46413" s="246">
        <f t="shared" si="763"/>
        <v>0</v>
      </c>
    </row>
    <row r="46414" spans="20:20" ht="18.75" customHeight="1" x14ac:dyDescent="0.35">
      <c r="T46414" s="246">
        <f t="shared" si="763"/>
        <v>0</v>
      </c>
    </row>
    <row r="46415" spans="20:20" ht="18.75" customHeight="1" x14ac:dyDescent="0.35">
      <c r="T46415" s="246">
        <f t="shared" si="763"/>
        <v>0</v>
      </c>
    </row>
    <row r="46416" spans="20:20" ht="18.75" customHeight="1" x14ac:dyDescent="0.35">
      <c r="T46416" s="246">
        <f t="shared" si="763"/>
        <v>0</v>
      </c>
    </row>
    <row r="46417" spans="20:20" ht="18.75" customHeight="1" x14ac:dyDescent="0.35">
      <c r="T46417" s="246">
        <f t="shared" si="763"/>
        <v>0</v>
      </c>
    </row>
    <row r="46418" spans="20:20" ht="18.75" customHeight="1" x14ac:dyDescent="0.35">
      <c r="T46418" s="246">
        <f t="shared" si="763"/>
        <v>0</v>
      </c>
    </row>
    <row r="46419" spans="20:20" ht="18.75" customHeight="1" x14ac:dyDescent="0.35">
      <c r="T46419" s="246">
        <f t="shared" si="763"/>
        <v>0</v>
      </c>
    </row>
    <row r="46420" spans="20:20" ht="18.75" customHeight="1" x14ac:dyDescent="0.35">
      <c r="T46420" s="246">
        <f t="shared" si="763"/>
        <v>0</v>
      </c>
    </row>
    <row r="46421" spans="20:20" ht="18.75" customHeight="1" x14ac:dyDescent="0.35">
      <c r="T46421" s="246">
        <f t="shared" si="763"/>
        <v>0</v>
      </c>
    </row>
    <row r="46422" spans="20:20" ht="18.75" customHeight="1" x14ac:dyDescent="0.35">
      <c r="T46422" s="246">
        <f t="shared" si="763"/>
        <v>0</v>
      </c>
    </row>
    <row r="46423" spans="20:20" ht="18.75" customHeight="1" x14ac:dyDescent="0.35">
      <c r="T46423" s="246">
        <f t="shared" si="763"/>
        <v>0</v>
      </c>
    </row>
    <row r="46424" spans="20:20" ht="18.75" customHeight="1" x14ac:dyDescent="0.35">
      <c r="T46424" s="246">
        <f t="shared" si="763"/>
        <v>0</v>
      </c>
    </row>
    <row r="46425" spans="20:20" ht="18.75" customHeight="1" x14ac:dyDescent="0.35">
      <c r="T46425" s="246">
        <f t="shared" si="763"/>
        <v>0</v>
      </c>
    </row>
    <row r="46426" spans="20:20" ht="18.75" customHeight="1" x14ac:dyDescent="0.35">
      <c r="T46426" s="246">
        <f t="shared" si="763"/>
        <v>0</v>
      </c>
    </row>
    <row r="46427" spans="20:20" ht="18.75" customHeight="1" x14ac:dyDescent="0.35">
      <c r="T46427" s="246">
        <f t="shared" si="763"/>
        <v>0</v>
      </c>
    </row>
    <row r="46428" spans="20:20" ht="18.75" customHeight="1" x14ac:dyDescent="0.35">
      <c r="T46428" s="246">
        <f t="shared" si="763"/>
        <v>0</v>
      </c>
    </row>
    <row r="46429" spans="20:20" ht="18.75" customHeight="1" x14ac:dyDescent="0.35">
      <c r="T46429" s="246">
        <f t="shared" si="763"/>
        <v>0</v>
      </c>
    </row>
    <row r="46430" spans="20:20" ht="18.75" customHeight="1" x14ac:dyDescent="0.35">
      <c r="T46430" s="246">
        <f t="shared" si="763"/>
        <v>0</v>
      </c>
    </row>
    <row r="46431" spans="20:20" ht="18.75" customHeight="1" x14ac:dyDescent="0.35">
      <c r="T46431" s="246">
        <f t="shared" si="763"/>
        <v>0</v>
      </c>
    </row>
    <row r="46432" spans="20:20" ht="18.75" customHeight="1" x14ac:dyDescent="0.35">
      <c r="T46432" s="246">
        <f t="shared" si="763"/>
        <v>0</v>
      </c>
    </row>
    <row r="46433" spans="20:20" ht="18.75" customHeight="1" x14ac:dyDescent="0.35">
      <c r="T46433" s="246">
        <f t="shared" si="763"/>
        <v>0</v>
      </c>
    </row>
    <row r="46434" spans="20:20" ht="18.75" customHeight="1" x14ac:dyDescent="0.35">
      <c r="T46434" s="246">
        <f t="shared" si="763"/>
        <v>0</v>
      </c>
    </row>
    <row r="46435" spans="20:20" ht="18.75" customHeight="1" x14ac:dyDescent="0.35">
      <c r="T46435" s="246">
        <f t="shared" si="763"/>
        <v>0</v>
      </c>
    </row>
    <row r="46436" spans="20:20" ht="18.75" customHeight="1" x14ac:dyDescent="0.35">
      <c r="T46436" s="246">
        <f t="shared" si="763"/>
        <v>0</v>
      </c>
    </row>
    <row r="46437" spans="20:20" ht="18.75" customHeight="1" x14ac:dyDescent="0.35">
      <c r="T46437" s="246">
        <f t="shared" si="763"/>
        <v>0</v>
      </c>
    </row>
    <row r="46438" spans="20:20" ht="18.75" customHeight="1" x14ac:dyDescent="0.35">
      <c r="T46438" s="246">
        <f t="shared" si="763"/>
        <v>0</v>
      </c>
    </row>
    <row r="46439" spans="20:20" ht="18.75" customHeight="1" x14ac:dyDescent="0.35">
      <c r="T46439" s="246">
        <f t="shared" si="763"/>
        <v>0</v>
      </c>
    </row>
    <row r="46440" spans="20:20" ht="18.75" customHeight="1" x14ac:dyDescent="0.35">
      <c r="T46440" s="246">
        <f t="shared" si="763"/>
        <v>0</v>
      </c>
    </row>
    <row r="46441" spans="20:20" ht="18.75" customHeight="1" x14ac:dyDescent="0.35">
      <c r="T46441" s="246">
        <f t="shared" si="763"/>
        <v>0</v>
      </c>
    </row>
    <row r="46442" spans="20:20" ht="18.75" customHeight="1" x14ac:dyDescent="0.35">
      <c r="T46442" s="246">
        <f t="shared" si="763"/>
        <v>0</v>
      </c>
    </row>
    <row r="46443" spans="20:20" ht="18.75" customHeight="1" x14ac:dyDescent="0.35">
      <c r="T46443" s="246">
        <f t="shared" si="763"/>
        <v>0</v>
      </c>
    </row>
    <row r="46444" spans="20:20" ht="18.75" customHeight="1" x14ac:dyDescent="0.35">
      <c r="T46444" s="246">
        <f t="shared" si="763"/>
        <v>0</v>
      </c>
    </row>
    <row r="46445" spans="20:20" ht="18.75" customHeight="1" x14ac:dyDescent="0.35">
      <c r="T46445" s="246">
        <f t="shared" si="763"/>
        <v>0</v>
      </c>
    </row>
    <row r="46446" spans="20:20" ht="18.75" customHeight="1" x14ac:dyDescent="0.35">
      <c r="T46446" s="246">
        <f t="shared" si="763"/>
        <v>0</v>
      </c>
    </row>
    <row r="46447" spans="20:20" ht="18.75" customHeight="1" x14ac:dyDescent="0.35">
      <c r="T46447" s="246">
        <f t="shared" si="763"/>
        <v>0</v>
      </c>
    </row>
    <row r="46448" spans="20:20" ht="18.75" customHeight="1" x14ac:dyDescent="0.35">
      <c r="T46448" s="246">
        <f t="shared" si="763"/>
        <v>0</v>
      </c>
    </row>
    <row r="46449" spans="20:20" ht="18.75" customHeight="1" x14ac:dyDescent="0.35">
      <c r="T46449" s="246">
        <f t="shared" si="763"/>
        <v>0</v>
      </c>
    </row>
    <row r="46450" spans="20:20" ht="18.75" customHeight="1" x14ac:dyDescent="0.35">
      <c r="T46450" s="246">
        <f t="shared" si="763"/>
        <v>0</v>
      </c>
    </row>
    <row r="46451" spans="20:20" ht="18.75" customHeight="1" x14ac:dyDescent="0.35">
      <c r="T46451" s="246">
        <f t="shared" si="763"/>
        <v>0</v>
      </c>
    </row>
    <row r="46452" spans="20:20" ht="18.75" customHeight="1" x14ac:dyDescent="0.35">
      <c r="T46452" s="246">
        <f t="shared" si="763"/>
        <v>0</v>
      </c>
    </row>
    <row r="46453" spans="20:20" ht="18.75" customHeight="1" x14ac:dyDescent="0.35">
      <c r="T46453" s="246">
        <f t="shared" si="763"/>
        <v>0</v>
      </c>
    </row>
    <row r="46454" spans="20:20" ht="18.75" customHeight="1" x14ac:dyDescent="0.35">
      <c r="T46454" s="246">
        <f t="shared" si="763"/>
        <v>0</v>
      </c>
    </row>
    <row r="46455" spans="20:20" ht="18.75" customHeight="1" x14ac:dyDescent="0.35">
      <c r="T46455" s="246">
        <f t="shared" si="763"/>
        <v>0</v>
      </c>
    </row>
    <row r="46456" spans="20:20" ht="18.75" customHeight="1" x14ac:dyDescent="0.35">
      <c r="T46456" s="246">
        <f t="shared" si="763"/>
        <v>0</v>
      </c>
    </row>
    <row r="46457" spans="20:20" ht="18.75" customHeight="1" x14ac:dyDescent="0.35">
      <c r="T46457" s="246">
        <f t="shared" si="763"/>
        <v>0</v>
      </c>
    </row>
    <row r="46458" spans="20:20" ht="18.75" customHeight="1" x14ac:dyDescent="0.35">
      <c r="T46458" s="246">
        <f t="shared" si="763"/>
        <v>0</v>
      </c>
    </row>
    <row r="46459" spans="20:20" ht="18.75" customHeight="1" x14ac:dyDescent="0.35">
      <c r="T46459" s="246">
        <f t="shared" si="763"/>
        <v>0</v>
      </c>
    </row>
    <row r="46460" spans="20:20" ht="18.75" customHeight="1" x14ac:dyDescent="0.35">
      <c r="T46460" s="246">
        <f t="shared" ref="T46460:T46523" si="764">R46460*0.01</f>
        <v>0</v>
      </c>
    </row>
    <row r="46461" spans="20:20" ht="18.75" customHeight="1" x14ac:dyDescent="0.35">
      <c r="T46461" s="246">
        <f t="shared" si="764"/>
        <v>0</v>
      </c>
    </row>
    <row r="46462" spans="20:20" ht="18.75" customHeight="1" x14ac:dyDescent="0.35">
      <c r="T46462" s="246">
        <f t="shared" si="764"/>
        <v>0</v>
      </c>
    </row>
    <row r="46463" spans="20:20" ht="18.75" customHeight="1" x14ac:dyDescent="0.35">
      <c r="T46463" s="246">
        <f t="shared" si="764"/>
        <v>0</v>
      </c>
    </row>
    <row r="46464" spans="20:20" ht="18.75" customHeight="1" x14ac:dyDescent="0.35">
      <c r="T46464" s="246">
        <f t="shared" si="764"/>
        <v>0</v>
      </c>
    </row>
    <row r="46465" spans="20:20" ht="18.75" customHeight="1" x14ac:dyDescent="0.35">
      <c r="T46465" s="246">
        <f t="shared" si="764"/>
        <v>0</v>
      </c>
    </row>
    <row r="46466" spans="20:20" ht="18.75" customHeight="1" x14ac:dyDescent="0.35">
      <c r="T46466" s="246">
        <f t="shared" si="764"/>
        <v>0</v>
      </c>
    </row>
    <row r="46467" spans="20:20" ht="18.75" customHeight="1" x14ac:dyDescent="0.35">
      <c r="T46467" s="246">
        <f t="shared" si="764"/>
        <v>0</v>
      </c>
    </row>
    <row r="46468" spans="20:20" ht="18.75" customHeight="1" x14ac:dyDescent="0.35">
      <c r="T46468" s="246">
        <f t="shared" si="764"/>
        <v>0</v>
      </c>
    </row>
    <row r="46469" spans="20:20" ht="18.75" customHeight="1" x14ac:dyDescent="0.35">
      <c r="T46469" s="246">
        <f t="shared" si="764"/>
        <v>0</v>
      </c>
    </row>
    <row r="46470" spans="20:20" ht="18.75" customHeight="1" x14ac:dyDescent="0.35">
      <c r="T46470" s="246">
        <f t="shared" si="764"/>
        <v>0</v>
      </c>
    </row>
    <row r="46471" spans="20:20" ht="18.75" customHeight="1" x14ac:dyDescent="0.35">
      <c r="T46471" s="246">
        <f t="shared" si="764"/>
        <v>0</v>
      </c>
    </row>
    <row r="46472" spans="20:20" ht="18.75" customHeight="1" x14ac:dyDescent="0.35">
      <c r="T46472" s="246">
        <f t="shared" si="764"/>
        <v>0</v>
      </c>
    </row>
    <row r="46473" spans="20:20" ht="18.75" customHeight="1" x14ac:dyDescent="0.35">
      <c r="T46473" s="246">
        <f t="shared" si="764"/>
        <v>0</v>
      </c>
    </row>
    <row r="46474" spans="20:20" ht="18.75" customHeight="1" x14ac:dyDescent="0.35">
      <c r="T46474" s="246">
        <f t="shared" si="764"/>
        <v>0</v>
      </c>
    </row>
    <row r="46475" spans="20:20" ht="18.75" customHeight="1" x14ac:dyDescent="0.35">
      <c r="T46475" s="246">
        <f t="shared" si="764"/>
        <v>0</v>
      </c>
    </row>
    <row r="46476" spans="20:20" ht="18.75" customHeight="1" x14ac:dyDescent="0.35">
      <c r="T46476" s="246">
        <f t="shared" si="764"/>
        <v>0</v>
      </c>
    </row>
    <row r="46477" spans="20:20" ht="18.75" customHeight="1" x14ac:dyDescent="0.35">
      <c r="T46477" s="246">
        <f t="shared" si="764"/>
        <v>0</v>
      </c>
    </row>
    <row r="46478" spans="20:20" ht="18.75" customHeight="1" x14ac:dyDescent="0.35">
      <c r="T46478" s="246">
        <f t="shared" si="764"/>
        <v>0</v>
      </c>
    </row>
    <row r="46479" spans="20:20" ht="18.75" customHeight="1" x14ac:dyDescent="0.35">
      <c r="T46479" s="246">
        <f t="shared" si="764"/>
        <v>0</v>
      </c>
    </row>
    <row r="46480" spans="20:20" ht="18.75" customHeight="1" x14ac:dyDescent="0.35">
      <c r="T46480" s="246">
        <f t="shared" si="764"/>
        <v>0</v>
      </c>
    </row>
    <row r="46481" spans="20:20" ht="18.75" customHeight="1" x14ac:dyDescent="0.35">
      <c r="T46481" s="246">
        <f t="shared" si="764"/>
        <v>0</v>
      </c>
    </row>
    <row r="46482" spans="20:20" ht="18.75" customHeight="1" x14ac:dyDescent="0.35">
      <c r="T46482" s="246">
        <f t="shared" si="764"/>
        <v>0</v>
      </c>
    </row>
    <row r="46483" spans="20:20" ht="18.75" customHeight="1" x14ac:dyDescent="0.35">
      <c r="T46483" s="246">
        <f t="shared" si="764"/>
        <v>0</v>
      </c>
    </row>
    <row r="46484" spans="20:20" ht="18.75" customHeight="1" x14ac:dyDescent="0.35">
      <c r="T46484" s="246">
        <f t="shared" si="764"/>
        <v>0</v>
      </c>
    </row>
    <row r="46485" spans="20:20" ht="18.75" customHeight="1" x14ac:dyDescent="0.35">
      <c r="T46485" s="246">
        <f t="shared" si="764"/>
        <v>0</v>
      </c>
    </row>
    <row r="46486" spans="20:20" ht="18.75" customHeight="1" x14ac:dyDescent="0.35">
      <c r="T46486" s="246">
        <f t="shared" si="764"/>
        <v>0</v>
      </c>
    </row>
    <row r="46487" spans="20:20" ht="18.75" customHeight="1" x14ac:dyDescent="0.35">
      <c r="T46487" s="246">
        <f t="shared" si="764"/>
        <v>0</v>
      </c>
    </row>
    <row r="46488" spans="20:20" ht="18.75" customHeight="1" x14ac:dyDescent="0.35">
      <c r="T46488" s="246">
        <f t="shared" si="764"/>
        <v>0</v>
      </c>
    </row>
    <row r="46489" spans="20:20" ht="18.75" customHeight="1" x14ac:dyDescent="0.35">
      <c r="T46489" s="246">
        <f t="shared" si="764"/>
        <v>0</v>
      </c>
    </row>
    <row r="46490" spans="20:20" ht="18.75" customHeight="1" x14ac:dyDescent="0.35">
      <c r="T46490" s="246">
        <f t="shared" si="764"/>
        <v>0</v>
      </c>
    </row>
    <row r="46491" spans="20:20" ht="18.75" customHeight="1" x14ac:dyDescent="0.35">
      <c r="T46491" s="246">
        <f t="shared" si="764"/>
        <v>0</v>
      </c>
    </row>
    <row r="46492" spans="20:20" ht="18.75" customHeight="1" x14ac:dyDescent="0.35">
      <c r="T46492" s="246">
        <f t="shared" si="764"/>
        <v>0</v>
      </c>
    </row>
    <row r="46493" spans="20:20" ht="18.75" customHeight="1" x14ac:dyDescent="0.35">
      <c r="T46493" s="246">
        <f t="shared" si="764"/>
        <v>0</v>
      </c>
    </row>
    <row r="46494" spans="20:20" ht="18.75" customHeight="1" x14ac:dyDescent="0.35">
      <c r="T46494" s="246">
        <f t="shared" si="764"/>
        <v>0</v>
      </c>
    </row>
    <row r="46495" spans="20:20" ht="18.75" customHeight="1" x14ac:dyDescent="0.35">
      <c r="T46495" s="246">
        <f t="shared" si="764"/>
        <v>0</v>
      </c>
    </row>
    <row r="46496" spans="20:20" ht="18.75" customHeight="1" x14ac:dyDescent="0.35">
      <c r="T46496" s="246">
        <f t="shared" si="764"/>
        <v>0</v>
      </c>
    </row>
    <row r="46497" spans="20:20" ht="18.75" customHeight="1" x14ac:dyDescent="0.35">
      <c r="T46497" s="246">
        <f t="shared" si="764"/>
        <v>0</v>
      </c>
    </row>
    <row r="46498" spans="20:20" ht="18.75" customHeight="1" x14ac:dyDescent="0.35">
      <c r="T46498" s="246">
        <f t="shared" si="764"/>
        <v>0</v>
      </c>
    </row>
    <row r="46499" spans="20:20" ht="18.75" customHeight="1" x14ac:dyDescent="0.35">
      <c r="T46499" s="246">
        <f t="shared" si="764"/>
        <v>0</v>
      </c>
    </row>
    <row r="46500" spans="20:20" ht="18.75" customHeight="1" x14ac:dyDescent="0.35">
      <c r="T46500" s="246">
        <f t="shared" si="764"/>
        <v>0</v>
      </c>
    </row>
    <row r="46501" spans="20:20" ht="18.75" customHeight="1" x14ac:dyDescent="0.35">
      <c r="T46501" s="246">
        <f t="shared" si="764"/>
        <v>0</v>
      </c>
    </row>
    <row r="46502" spans="20:20" ht="18.75" customHeight="1" x14ac:dyDescent="0.35">
      <c r="T46502" s="246">
        <f t="shared" si="764"/>
        <v>0</v>
      </c>
    </row>
    <row r="46503" spans="20:20" ht="18.75" customHeight="1" x14ac:dyDescent="0.35">
      <c r="T46503" s="246">
        <f t="shared" si="764"/>
        <v>0</v>
      </c>
    </row>
    <row r="46504" spans="20:20" ht="18.75" customHeight="1" x14ac:dyDescent="0.35">
      <c r="T46504" s="246">
        <f t="shared" si="764"/>
        <v>0</v>
      </c>
    </row>
    <row r="46505" spans="20:20" ht="18.75" customHeight="1" x14ac:dyDescent="0.35">
      <c r="T46505" s="246">
        <f t="shared" si="764"/>
        <v>0</v>
      </c>
    </row>
    <row r="46506" spans="20:20" ht="18.75" customHeight="1" x14ac:dyDescent="0.35">
      <c r="T46506" s="246">
        <f t="shared" si="764"/>
        <v>0</v>
      </c>
    </row>
    <row r="46507" spans="20:20" ht="18.75" customHeight="1" x14ac:dyDescent="0.35">
      <c r="T46507" s="246">
        <f t="shared" si="764"/>
        <v>0</v>
      </c>
    </row>
    <row r="46508" spans="20:20" ht="18.75" customHeight="1" x14ac:dyDescent="0.35">
      <c r="T46508" s="246">
        <f t="shared" si="764"/>
        <v>0</v>
      </c>
    </row>
    <row r="46509" spans="20:20" ht="18.75" customHeight="1" x14ac:dyDescent="0.35">
      <c r="T46509" s="246">
        <f t="shared" si="764"/>
        <v>0</v>
      </c>
    </row>
    <row r="46510" spans="20:20" ht="18.75" customHeight="1" x14ac:dyDescent="0.35">
      <c r="T46510" s="246">
        <f t="shared" si="764"/>
        <v>0</v>
      </c>
    </row>
    <row r="46511" spans="20:20" ht="18.75" customHeight="1" x14ac:dyDescent="0.35">
      <c r="T46511" s="246">
        <f t="shared" si="764"/>
        <v>0</v>
      </c>
    </row>
    <row r="46512" spans="20:20" ht="18.75" customHeight="1" x14ac:dyDescent="0.35">
      <c r="T46512" s="246">
        <f t="shared" si="764"/>
        <v>0</v>
      </c>
    </row>
    <row r="46513" spans="20:20" ht="18.75" customHeight="1" x14ac:dyDescent="0.35">
      <c r="T46513" s="246">
        <f t="shared" si="764"/>
        <v>0</v>
      </c>
    </row>
    <row r="46514" spans="20:20" ht="18.75" customHeight="1" x14ac:dyDescent="0.35">
      <c r="T46514" s="246">
        <f t="shared" si="764"/>
        <v>0</v>
      </c>
    </row>
    <row r="46515" spans="20:20" ht="18.75" customHeight="1" x14ac:dyDescent="0.35">
      <c r="T46515" s="246">
        <f t="shared" si="764"/>
        <v>0</v>
      </c>
    </row>
    <row r="46516" spans="20:20" ht="18.75" customHeight="1" x14ac:dyDescent="0.35">
      <c r="T46516" s="246">
        <f t="shared" si="764"/>
        <v>0</v>
      </c>
    </row>
    <row r="46517" spans="20:20" ht="18.75" customHeight="1" x14ac:dyDescent="0.35">
      <c r="T46517" s="246">
        <f t="shared" si="764"/>
        <v>0</v>
      </c>
    </row>
    <row r="46518" spans="20:20" ht="18.75" customHeight="1" x14ac:dyDescent="0.35">
      <c r="T46518" s="246">
        <f t="shared" si="764"/>
        <v>0</v>
      </c>
    </row>
    <row r="46519" spans="20:20" ht="18.75" customHeight="1" x14ac:dyDescent="0.35">
      <c r="T46519" s="246">
        <f t="shared" si="764"/>
        <v>0</v>
      </c>
    </row>
    <row r="46520" spans="20:20" ht="18.75" customHeight="1" x14ac:dyDescent="0.35">
      <c r="T46520" s="246">
        <f t="shared" si="764"/>
        <v>0</v>
      </c>
    </row>
    <row r="46521" spans="20:20" ht="18.75" customHeight="1" x14ac:dyDescent="0.35">
      <c r="T46521" s="246">
        <f t="shared" si="764"/>
        <v>0</v>
      </c>
    </row>
    <row r="46522" spans="20:20" ht="18.75" customHeight="1" x14ac:dyDescent="0.35">
      <c r="T46522" s="246">
        <f t="shared" si="764"/>
        <v>0</v>
      </c>
    </row>
    <row r="46523" spans="20:20" ht="18.75" customHeight="1" x14ac:dyDescent="0.35">
      <c r="T46523" s="246">
        <f t="shared" si="764"/>
        <v>0</v>
      </c>
    </row>
    <row r="46524" spans="20:20" ht="18.75" customHeight="1" x14ac:dyDescent="0.35">
      <c r="T46524" s="246">
        <f t="shared" ref="T46524:T46587" si="765">R46524*0.01</f>
        <v>0</v>
      </c>
    </row>
    <row r="46525" spans="20:20" ht="18.75" customHeight="1" x14ac:dyDescent="0.35">
      <c r="T46525" s="246">
        <f t="shared" si="765"/>
        <v>0</v>
      </c>
    </row>
    <row r="46526" spans="20:20" ht="18.75" customHeight="1" x14ac:dyDescent="0.35">
      <c r="T46526" s="246">
        <f t="shared" si="765"/>
        <v>0</v>
      </c>
    </row>
    <row r="46527" spans="20:20" ht="18.75" customHeight="1" x14ac:dyDescent="0.35">
      <c r="T46527" s="246">
        <f t="shared" si="765"/>
        <v>0</v>
      </c>
    </row>
    <row r="46528" spans="20:20" ht="18.75" customHeight="1" x14ac:dyDescent="0.35">
      <c r="T46528" s="246">
        <f t="shared" si="765"/>
        <v>0</v>
      </c>
    </row>
    <row r="46529" spans="20:20" ht="18.75" customHeight="1" x14ac:dyDescent="0.35">
      <c r="T46529" s="246">
        <f t="shared" si="765"/>
        <v>0</v>
      </c>
    </row>
    <row r="46530" spans="20:20" ht="18.75" customHeight="1" x14ac:dyDescent="0.35">
      <c r="T46530" s="246">
        <f t="shared" si="765"/>
        <v>0</v>
      </c>
    </row>
    <row r="46531" spans="20:20" ht="18.75" customHeight="1" x14ac:dyDescent="0.35">
      <c r="T46531" s="246">
        <f t="shared" si="765"/>
        <v>0</v>
      </c>
    </row>
    <row r="46532" spans="20:20" ht="18.75" customHeight="1" x14ac:dyDescent="0.35">
      <c r="T46532" s="246">
        <f t="shared" si="765"/>
        <v>0</v>
      </c>
    </row>
    <row r="46533" spans="20:20" ht="18.75" customHeight="1" x14ac:dyDescent="0.35">
      <c r="T46533" s="246">
        <f t="shared" si="765"/>
        <v>0</v>
      </c>
    </row>
    <row r="46534" spans="20:20" ht="18.75" customHeight="1" x14ac:dyDescent="0.35">
      <c r="T46534" s="246">
        <f t="shared" si="765"/>
        <v>0</v>
      </c>
    </row>
    <row r="46535" spans="20:20" ht="18.75" customHeight="1" x14ac:dyDescent="0.35">
      <c r="T46535" s="246">
        <f t="shared" si="765"/>
        <v>0</v>
      </c>
    </row>
    <row r="46536" spans="20:20" ht="18.75" customHeight="1" x14ac:dyDescent="0.35">
      <c r="T46536" s="246">
        <f t="shared" si="765"/>
        <v>0</v>
      </c>
    </row>
    <row r="46537" spans="20:20" ht="18.75" customHeight="1" x14ac:dyDescent="0.35">
      <c r="T46537" s="246">
        <f t="shared" si="765"/>
        <v>0</v>
      </c>
    </row>
    <row r="46538" spans="20:20" ht="18.75" customHeight="1" x14ac:dyDescent="0.35">
      <c r="T46538" s="246">
        <f t="shared" si="765"/>
        <v>0</v>
      </c>
    </row>
    <row r="46539" spans="20:20" ht="18.75" customHeight="1" x14ac:dyDescent="0.35">
      <c r="T46539" s="246">
        <f t="shared" si="765"/>
        <v>0</v>
      </c>
    </row>
    <row r="46540" spans="20:20" ht="18.75" customHeight="1" x14ac:dyDescent="0.35">
      <c r="T46540" s="246">
        <f t="shared" si="765"/>
        <v>0</v>
      </c>
    </row>
    <row r="46541" spans="20:20" ht="18.75" customHeight="1" x14ac:dyDescent="0.35">
      <c r="T46541" s="246">
        <f t="shared" si="765"/>
        <v>0</v>
      </c>
    </row>
    <row r="46542" spans="20:20" ht="18.75" customHeight="1" x14ac:dyDescent="0.35">
      <c r="T46542" s="246">
        <f t="shared" si="765"/>
        <v>0</v>
      </c>
    </row>
    <row r="46543" spans="20:20" ht="18.75" customHeight="1" x14ac:dyDescent="0.35">
      <c r="T46543" s="246">
        <f t="shared" si="765"/>
        <v>0</v>
      </c>
    </row>
    <row r="46544" spans="20:20" ht="18.75" customHeight="1" x14ac:dyDescent="0.35">
      <c r="T46544" s="246">
        <f t="shared" si="765"/>
        <v>0</v>
      </c>
    </row>
    <row r="46545" spans="20:20" ht="18.75" customHeight="1" x14ac:dyDescent="0.35">
      <c r="T46545" s="246">
        <f t="shared" si="765"/>
        <v>0</v>
      </c>
    </row>
    <row r="46546" spans="20:20" ht="18.75" customHeight="1" x14ac:dyDescent="0.35">
      <c r="T46546" s="246">
        <f t="shared" si="765"/>
        <v>0</v>
      </c>
    </row>
    <row r="46547" spans="20:20" ht="18.75" customHeight="1" x14ac:dyDescent="0.35">
      <c r="T46547" s="246">
        <f t="shared" si="765"/>
        <v>0</v>
      </c>
    </row>
    <row r="46548" spans="20:20" ht="18.75" customHeight="1" x14ac:dyDescent="0.35">
      <c r="T46548" s="246">
        <f t="shared" si="765"/>
        <v>0</v>
      </c>
    </row>
    <row r="46549" spans="20:20" ht="18.75" customHeight="1" x14ac:dyDescent="0.35">
      <c r="T46549" s="246">
        <f t="shared" si="765"/>
        <v>0</v>
      </c>
    </row>
    <row r="46550" spans="20:20" ht="18.75" customHeight="1" x14ac:dyDescent="0.35">
      <c r="T46550" s="246">
        <f t="shared" si="765"/>
        <v>0</v>
      </c>
    </row>
    <row r="46551" spans="20:20" ht="18.75" customHeight="1" x14ac:dyDescent="0.35">
      <c r="T46551" s="246">
        <f t="shared" si="765"/>
        <v>0</v>
      </c>
    </row>
    <row r="46552" spans="20:20" ht="18.75" customHeight="1" x14ac:dyDescent="0.35">
      <c r="T46552" s="246">
        <f t="shared" si="765"/>
        <v>0</v>
      </c>
    </row>
    <row r="46553" spans="20:20" ht="18.75" customHeight="1" x14ac:dyDescent="0.35">
      <c r="T46553" s="246">
        <f t="shared" si="765"/>
        <v>0</v>
      </c>
    </row>
    <row r="46554" spans="20:20" ht="18.75" customHeight="1" x14ac:dyDescent="0.35">
      <c r="T46554" s="246">
        <f t="shared" si="765"/>
        <v>0</v>
      </c>
    </row>
    <row r="46555" spans="20:20" ht="18.75" customHeight="1" x14ac:dyDescent="0.35">
      <c r="T46555" s="246">
        <f t="shared" si="765"/>
        <v>0</v>
      </c>
    </row>
    <row r="46556" spans="20:20" ht="18.75" customHeight="1" x14ac:dyDescent="0.35">
      <c r="T46556" s="246">
        <f t="shared" si="765"/>
        <v>0</v>
      </c>
    </row>
    <row r="46557" spans="20:20" ht="18.75" customHeight="1" x14ac:dyDescent="0.35">
      <c r="T46557" s="246">
        <f t="shared" si="765"/>
        <v>0</v>
      </c>
    </row>
    <row r="46558" spans="20:20" ht="18.75" customHeight="1" x14ac:dyDescent="0.35">
      <c r="T46558" s="246">
        <f t="shared" si="765"/>
        <v>0</v>
      </c>
    </row>
    <row r="46559" spans="20:20" ht="18.75" customHeight="1" x14ac:dyDescent="0.35">
      <c r="T46559" s="246">
        <f t="shared" si="765"/>
        <v>0</v>
      </c>
    </row>
    <row r="46560" spans="20:20" ht="18.75" customHeight="1" x14ac:dyDescent="0.35">
      <c r="T46560" s="246">
        <f t="shared" si="765"/>
        <v>0</v>
      </c>
    </row>
    <row r="46561" spans="20:20" ht="18.75" customHeight="1" x14ac:dyDescent="0.35">
      <c r="T46561" s="246">
        <f t="shared" si="765"/>
        <v>0</v>
      </c>
    </row>
    <row r="46562" spans="20:20" ht="18.75" customHeight="1" x14ac:dyDescent="0.35">
      <c r="T46562" s="246">
        <f t="shared" si="765"/>
        <v>0</v>
      </c>
    </row>
    <row r="46563" spans="20:20" ht="18.75" customHeight="1" x14ac:dyDescent="0.35">
      <c r="T46563" s="246">
        <f t="shared" si="765"/>
        <v>0</v>
      </c>
    </row>
    <row r="46564" spans="20:20" ht="18.75" customHeight="1" x14ac:dyDescent="0.35">
      <c r="T46564" s="246">
        <f t="shared" si="765"/>
        <v>0</v>
      </c>
    </row>
    <row r="46565" spans="20:20" ht="18.75" customHeight="1" x14ac:dyDescent="0.35">
      <c r="T46565" s="246">
        <f t="shared" si="765"/>
        <v>0</v>
      </c>
    </row>
    <row r="46566" spans="20:20" ht="18.75" customHeight="1" x14ac:dyDescent="0.35">
      <c r="T46566" s="246">
        <f t="shared" si="765"/>
        <v>0</v>
      </c>
    </row>
    <row r="46567" spans="20:20" ht="18.75" customHeight="1" x14ac:dyDescent="0.35">
      <c r="T46567" s="246">
        <f t="shared" si="765"/>
        <v>0</v>
      </c>
    </row>
    <row r="46568" spans="20:20" ht="18.75" customHeight="1" x14ac:dyDescent="0.35">
      <c r="T46568" s="246">
        <f t="shared" si="765"/>
        <v>0</v>
      </c>
    </row>
    <row r="46569" spans="20:20" ht="18.75" customHeight="1" x14ac:dyDescent="0.35">
      <c r="T46569" s="246">
        <f t="shared" si="765"/>
        <v>0</v>
      </c>
    </row>
    <row r="46570" spans="20:20" ht="18.75" customHeight="1" x14ac:dyDescent="0.35">
      <c r="T46570" s="246">
        <f t="shared" si="765"/>
        <v>0</v>
      </c>
    </row>
    <row r="46571" spans="20:20" ht="18.75" customHeight="1" x14ac:dyDescent="0.35">
      <c r="T46571" s="246">
        <f t="shared" si="765"/>
        <v>0</v>
      </c>
    </row>
    <row r="46572" spans="20:20" ht="18.75" customHeight="1" x14ac:dyDescent="0.35">
      <c r="T46572" s="246">
        <f t="shared" si="765"/>
        <v>0</v>
      </c>
    </row>
    <row r="46573" spans="20:20" ht="18.75" customHeight="1" x14ac:dyDescent="0.35">
      <c r="T46573" s="246">
        <f t="shared" si="765"/>
        <v>0</v>
      </c>
    </row>
    <row r="46574" spans="20:20" ht="18.75" customHeight="1" x14ac:dyDescent="0.35">
      <c r="T46574" s="246">
        <f t="shared" si="765"/>
        <v>0</v>
      </c>
    </row>
    <row r="46575" spans="20:20" ht="18.75" customHeight="1" x14ac:dyDescent="0.35">
      <c r="T46575" s="246">
        <f t="shared" si="765"/>
        <v>0</v>
      </c>
    </row>
    <row r="46576" spans="20:20" ht="18.75" customHeight="1" x14ac:dyDescent="0.35">
      <c r="T46576" s="246">
        <f t="shared" si="765"/>
        <v>0</v>
      </c>
    </row>
    <row r="46577" spans="20:20" ht="18.75" customHeight="1" x14ac:dyDescent="0.35">
      <c r="T46577" s="246">
        <f t="shared" si="765"/>
        <v>0</v>
      </c>
    </row>
    <row r="46578" spans="20:20" ht="18.75" customHeight="1" x14ac:dyDescent="0.35">
      <c r="T46578" s="246">
        <f t="shared" si="765"/>
        <v>0</v>
      </c>
    </row>
    <row r="46579" spans="20:20" ht="18.75" customHeight="1" x14ac:dyDescent="0.35">
      <c r="T46579" s="246">
        <f t="shared" si="765"/>
        <v>0</v>
      </c>
    </row>
    <row r="46580" spans="20:20" ht="18.75" customHeight="1" x14ac:dyDescent="0.35">
      <c r="T46580" s="246">
        <f t="shared" si="765"/>
        <v>0</v>
      </c>
    </row>
    <row r="46581" spans="20:20" ht="18.75" customHeight="1" x14ac:dyDescent="0.35">
      <c r="T46581" s="246">
        <f t="shared" si="765"/>
        <v>0</v>
      </c>
    </row>
    <row r="46582" spans="20:20" ht="18.75" customHeight="1" x14ac:dyDescent="0.35">
      <c r="T46582" s="246">
        <f t="shared" si="765"/>
        <v>0</v>
      </c>
    </row>
    <row r="46583" spans="20:20" ht="18.75" customHeight="1" x14ac:dyDescent="0.35">
      <c r="T46583" s="246">
        <f t="shared" si="765"/>
        <v>0</v>
      </c>
    </row>
    <row r="46584" spans="20:20" ht="18.75" customHeight="1" x14ac:dyDescent="0.35">
      <c r="T46584" s="246">
        <f t="shared" si="765"/>
        <v>0</v>
      </c>
    </row>
    <row r="46585" spans="20:20" ht="18.75" customHeight="1" x14ac:dyDescent="0.35">
      <c r="T46585" s="246">
        <f t="shared" si="765"/>
        <v>0</v>
      </c>
    </row>
    <row r="46586" spans="20:20" ht="18.75" customHeight="1" x14ac:dyDescent="0.35">
      <c r="T46586" s="246">
        <f t="shared" si="765"/>
        <v>0</v>
      </c>
    </row>
    <row r="46587" spans="20:20" ht="18.75" customHeight="1" x14ac:dyDescent="0.35">
      <c r="T46587" s="246">
        <f t="shared" si="765"/>
        <v>0</v>
      </c>
    </row>
    <row r="46588" spans="20:20" ht="18.75" customHeight="1" x14ac:dyDescent="0.35">
      <c r="T46588" s="246">
        <f t="shared" ref="T46588:T46651" si="766">R46588*0.01</f>
        <v>0</v>
      </c>
    </row>
    <row r="46589" spans="20:20" ht="18.75" customHeight="1" x14ac:dyDescent="0.35">
      <c r="T46589" s="246">
        <f t="shared" si="766"/>
        <v>0</v>
      </c>
    </row>
    <row r="46590" spans="20:20" ht="18.75" customHeight="1" x14ac:dyDescent="0.35">
      <c r="T46590" s="246">
        <f t="shared" si="766"/>
        <v>0</v>
      </c>
    </row>
    <row r="46591" spans="20:20" ht="18.75" customHeight="1" x14ac:dyDescent="0.35">
      <c r="T46591" s="246">
        <f t="shared" si="766"/>
        <v>0</v>
      </c>
    </row>
    <row r="46592" spans="20:20" ht="18.75" customHeight="1" x14ac:dyDescent="0.35">
      <c r="T46592" s="246">
        <f t="shared" si="766"/>
        <v>0</v>
      </c>
    </row>
    <row r="46593" spans="20:20" ht="18.75" customHeight="1" x14ac:dyDescent="0.35">
      <c r="T46593" s="246">
        <f t="shared" si="766"/>
        <v>0</v>
      </c>
    </row>
    <row r="46594" spans="20:20" ht="18.75" customHeight="1" x14ac:dyDescent="0.35">
      <c r="T46594" s="246">
        <f t="shared" si="766"/>
        <v>0</v>
      </c>
    </row>
    <row r="46595" spans="20:20" ht="18.75" customHeight="1" x14ac:dyDescent="0.35">
      <c r="T46595" s="246">
        <f t="shared" si="766"/>
        <v>0</v>
      </c>
    </row>
    <row r="46596" spans="20:20" ht="18.75" customHeight="1" x14ac:dyDescent="0.35">
      <c r="T46596" s="246">
        <f t="shared" si="766"/>
        <v>0</v>
      </c>
    </row>
    <row r="46597" spans="20:20" ht="18.75" customHeight="1" x14ac:dyDescent="0.35">
      <c r="T46597" s="246">
        <f t="shared" si="766"/>
        <v>0</v>
      </c>
    </row>
    <row r="46598" spans="20:20" ht="18.75" customHeight="1" x14ac:dyDescent="0.35">
      <c r="T46598" s="246">
        <f t="shared" si="766"/>
        <v>0</v>
      </c>
    </row>
    <row r="46599" spans="20:20" ht="18.75" customHeight="1" x14ac:dyDescent="0.35">
      <c r="T46599" s="246">
        <f t="shared" si="766"/>
        <v>0</v>
      </c>
    </row>
    <row r="46600" spans="20:20" ht="18.75" customHeight="1" x14ac:dyDescent="0.35">
      <c r="T46600" s="246">
        <f t="shared" si="766"/>
        <v>0</v>
      </c>
    </row>
    <row r="46601" spans="20:20" ht="18.75" customHeight="1" x14ac:dyDescent="0.35">
      <c r="T46601" s="246">
        <f t="shared" si="766"/>
        <v>0</v>
      </c>
    </row>
    <row r="46602" spans="20:20" ht="18.75" customHeight="1" x14ac:dyDescent="0.35">
      <c r="T46602" s="246">
        <f t="shared" si="766"/>
        <v>0</v>
      </c>
    </row>
    <row r="46603" spans="20:20" ht="18.75" customHeight="1" x14ac:dyDescent="0.35">
      <c r="T46603" s="246">
        <f t="shared" si="766"/>
        <v>0</v>
      </c>
    </row>
    <row r="46604" spans="20:20" ht="18.75" customHeight="1" x14ac:dyDescent="0.35">
      <c r="T46604" s="246">
        <f t="shared" si="766"/>
        <v>0</v>
      </c>
    </row>
    <row r="46605" spans="20:20" ht="18.75" customHeight="1" x14ac:dyDescent="0.35">
      <c r="T46605" s="246">
        <f t="shared" si="766"/>
        <v>0</v>
      </c>
    </row>
    <row r="46606" spans="20:20" ht="18.75" customHeight="1" x14ac:dyDescent="0.35">
      <c r="T46606" s="246">
        <f t="shared" si="766"/>
        <v>0</v>
      </c>
    </row>
    <row r="46607" spans="20:20" ht="18.75" customHeight="1" x14ac:dyDescent="0.35">
      <c r="T46607" s="246">
        <f t="shared" si="766"/>
        <v>0</v>
      </c>
    </row>
    <row r="46608" spans="20:20" ht="18.75" customHeight="1" x14ac:dyDescent="0.35">
      <c r="T46608" s="246">
        <f t="shared" si="766"/>
        <v>0</v>
      </c>
    </row>
    <row r="46609" spans="20:20" ht="18.75" customHeight="1" x14ac:dyDescent="0.35">
      <c r="T46609" s="246">
        <f t="shared" si="766"/>
        <v>0</v>
      </c>
    </row>
    <row r="46610" spans="20:20" ht="18.75" customHeight="1" x14ac:dyDescent="0.35">
      <c r="T46610" s="246">
        <f t="shared" si="766"/>
        <v>0</v>
      </c>
    </row>
    <row r="46611" spans="20:20" ht="18.75" customHeight="1" x14ac:dyDescent="0.35">
      <c r="T46611" s="246">
        <f t="shared" si="766"/>
        <v>0</v>
      </c>
    </row>
    <row r="46612" spans="20:20" ht="18.75" customHeight="1" x14ac:dyDescent="0.35">
      <c r="T46612" s="246">
        <f t="shared" si="766"/>
        <v>0</v>
      </c>
    </row>
    <row r="46613" spans="20:20" ht="18.75" customHeight="1" x14ac:dyDescent="0.35">
      <c r="T46613" s="246">
        <f t="shared" si="766"/>
        <v>0</v>
      </c>
    </row>
    <row r="46614" spans="20:20" ht="18.75" customHeight="1" x14ac:dyDescent="0.35">
      <c r="T46614" s="246">
        <f t="shared" si="766"/>
        <v>0</v>
      </c>
    </row>
    <row r="46615" spans="20:20" ht="18.75" customHeight="1" x14ac:dyDescent="0.35">
      <c r="T46615" s="246">
        <f t="shared" si="766"/>
        <v>0</v>
      </c>
    </row>
    <row r="46616" spans="20:20" ht="18.75" customHeight="1" x14ac:dyDescent="0.35">
      <c r="T46616" s="246">
        <f t="shared" si="766"/>
        <v>0</v>
      </c>
    </row>
    <row r="46617" spans="20:20" ht="18.75" customHeight="1" x14ac:dyDescent="0.35">
      <c r="T46617" s="246">
        <f t="shared" si="766"/>
        <v>0</v>
      </c>
    </row>
    <row r="46618" spans="20:20" ht="18.75" customHeight="1" x14ac:dyDescent="0.35">
      <c r="T46618" s="246">
        <f t="shared" si="766"/>
        <v>0</v>
      </c>
    </row>
    <row r="46619" spans="20:20" ht="18.75" customHeight="1" x14ac:dyDescent="0.35">
      <c r="T46619" s="246">
        <f t="shared" si="766"/>
        <v>0</v>
      </c>
    </row>
    <row r="46620" spans="20:20" ht="18.75" customHeight="1" x14ac:dyDescent="0.35">
      <c r="T46620" s="246">
        <f t="shared" si="766"/>
        <v>0</v>
      </c>
    </row>
    <row r="46621" spans="20:20" ht="18.75" customHeight="1" x14ac:dyDescent="0.35">
      <c r="T46621" s="246">
        <f t="shared" si="766"/>
        <v>0</v>
      </c>
    </row>
    <row r="46622" spans="20:20" ht="18.75" customHeight="1" x14ac:dyDescent="0.35">
      <c r="T46622" s="246">
        <f t="shared" si="766"/>
        <v>0</v>
      </c>
    </row>
    <row r="46623" spans="20:20" ht="18.75" customHeight="1" x14ac:dyDescent="0.35">
      <c r="T46623" s="246">
        <f t="shared" si="766"/>
        <v>0</v>
      </c>
    </row>
    <row r="46624" spans="20:20" ht="18.75" customHeight="1" x14ac:dyDescent="0.35">
      <c r="T46624" s="246">
        <f t="shared" si="766"/>
        <v>0</v>
      </c>
    </row>
    <row r="46625" spans="20:20" ht="18.75" customHeight="1" x14ac:dyDescent="0.35">
      <c r="T46625" s="246">
        <f t="shared" si="766"/>
        <v>0</v>
      </c>
    </row>
    <row r="46626" spans="20:20" ht="18.75" customHeight="1" x14ac:dyDescent="0.35">
      <c r="T46626" s="246">
        <f t="shared" si="766"/>
        <v>0</v>
      </c>
    </row>
    <row r="46627" spans="20:20" ht="18.75" customHeight="1" x14ac:dyDescent="0.35">
      <c r="T46627" s="246">
        <f t="shared" si="766"/>
        <v>0</v>
      </c>
    </row>
    <row r="46628" spans="20:20" ht="18.75" customHeight="1" x14ac:dyDescent="0.35">
      <c r="T46628" s="246">
        <f t="shared" si="766"/>
        <v>0</v>
      </c>
    </row>
    <row r="46629" spans="20:20" ht="18.75" customHeight="1" x14ac:dyDescent="0.35">
      <c r="T46629" s="246">
        <f t="shared" si="766"/>
        <v>0</v>
      </c>
    </row>
    <row r="46630" spans="20:20" ht="18.75" customHeight="1" x14ac:dyDescent="0.35">
      <c r="T46630" s="246">
        <f t="shared" si="766"/>
        <v>0</v>
      </c>
    </row>
    <row r="46631" spans="20:20" ht="18.75" customHeight="1" x14ac:dyDescent="0.35">
      <c r="T46631" s="246">
        <f t="shared" si="766"/>
        <v>0</v>
      </c>
    </row>
    <row r="46632" spans="20:20" ht="18.75" customHeight="1" x14ac:dyDescent="0.35">
      <c r="T46632" s="246">
        <f t="shared" si="766"/>
        <v>0</v>
      </c>
    </row>
    <row r="46633" spans="20:20" ht="18.75" customHeight="1" x14ac:dyDescent="0.35">
      <c r="T46633" s="246">
        <f t="shared" si="766"/>
        <v>0</v>
      </c>
    </row>
    <row r="46634" spans="20:20" ht="18.75" customHeight="1" x14ac:dyDescent="0.35">
      <c r="T46634" s="246">
        <f t="shared" si="766"/>
        <v>0</v>
      </c>
    </row>
    <row r="46635" spans="20:20" ht="18.75" customHeight="1" x14ac:dyDescent="0.35">
      <c r="T46635" s="246">
        <f t="shared" si="766"/>
        <v>0</v>
      </c>
    </row>
    <row r="46636" spans="20:20" ht="18.75" customHeight="1" x14ac:dyDescent="0.35">
      <c r="T46636" s="246">
        <f t="shared" si="766"/>
        <v>0</v>
      </c>
    </row>
    <row r="46637" spans="20:20" ht="18.75" customHeight="1" x14ac:dyDescent="0.35">
      <c r="T46637" s="246">
        <f t="shared" si="766"/>
        <v>0</v>
      </c>
    </row>
    <row r="46638" spans="20:20" ht="18.75" customHeight="1" x14ac:dyDescent="0.35">
      <c r="T46638" s="246">
        <f t="shared" si="766"/>
        <v>0</v>
      </c>
    </row>
    <row r="46639" spans="20:20" ht="18.75" customHeight="1" x14ac:dyDescent="0.35">
      <c r="T46639" s="246">
        <f t="shared" si="766"/>
        <v>0</v>
      </c>
    </row>
    <row r="46640" spans="20:20" ht="18.75" customHeight="1" x14ac:dyDescent="0.35">
      <c r="T46640" s="246">
        <f t="shared" si="766"/>
        <v>0</v>
      </c>
    </row>
    <row r="46641" spans="20:20" ht="18.75" customHeight="1" x14ac:dyDescent="0.35">
      <c r="T46641" s="246">
        <f t="shared" si="766"/>
        <v>0</v>
      </c>
    </row>
    <row r="46642" spans="20:20" ht="18.75" customHeight="1" x14ac:dyDescent="0.35">
      <c r="T46642" s="246">
        <f t="shared" si="766"/>
        <v>0</v>
      </c>
    </row>
    <row r="46643" spans="20:20" ht="18.75" customHeight="1" x14ac:dyDescent="0.35">
      <c r="T46643" s="246">
        <f t="shared" si="766"/>
        <v>0</v>
      </c>
    </row>
    <row r="46644" spans="20:20" ht="18.75" customHeight="1" x14ac:dyDescent="0.35">
      <c r="T46644" s="246">
        <f t="shared" si="766"/>
        <v>0</v>
      </c>
    </row>
    <row r="46645" spans="20:20" ht="18.75" customHeight="1" x14ac:dyDescent="0.35">
      <c r="T46645" s="246">
        <f t="shared" si="766"/>
        <v>0</v>
      </c>
    </row>
    <row r="46646" spans="20:20" ht="18.75" customHeight="1" x14ac:dyDescent="0.35">
      <c r="T46646" s="246">
        <f t="shared" si="766"/>
        <v>0</v>
      </c>
    </row>
    <row r="46647" spans="20:20" ht="18.75" customHeight="1" x14ac:dyDescent="0.35">
      <c r="T46647" s="246">
        <f t="shared" si="766"/>
        <v>0</v>
      </c>
    </row>
    <row r="46648" spans="20:20" ht="18.75" customHeight="1" x14ac:dyDescent="0.35">
      <c r="T46648" s="246">
        <f t="shared" si="766"/>
        <v>0</v>
      </c>
    </row>
    <row r="46649" spans="20:20" ht="18.75" customHeight="1" x14ac:dyDescent="0.35">
      <c r="T46649" s="246">
        <f t="shared" si="766"/>
        <v>0</v>
      </c>
    </row>
    <row r="46650" spans="20:20" ht="18.75" customHeight="1" x14ac:dyDescent="0.35">
      <c r="T46650" s="246">
        <f t="shared" si="766"/>
        <v>0</v>
      </c>
    </row>
    <row r="46651" spans="20:20" ht="18.75" customHeight="1" x14ac:dyDescent="0.35">
      <c r="T46651" s="246">
        <f t="shared" si="766"/>
        <v>0</v>
      </c>
    </row>
    <row r="46652" spans="20:20" ht="18.75" customHeight="1" x14ac:dyDescent="0.35">
      <c r="T46652" s="246">
        <f t="shared" ref="T46652:T46715" si="767">R46652*0.01</f>
        <v>0</v>
      </c>
    </row>
    <row r="46653" spans="20:20" ht="18.75" customHeight="1" x14ac:dyDescent="0.35">
      <c r="T46653" s="246">
        <f t="shared" si="767"/>
        <v>0</v>
      </c>
    </row>
    <row r="46654" spans="20:20" ht="18.75" customHeight="1" x14ac:dyDescent="0.35">
      <c r="T46654" s="246">
        <f t="shared" si="767"/>
        <v>0</v>
      </c>
    </row>
    <row r="46655" spans="20:20" ht="18.75" customHeight="1" x14ac:dyDescent="0.35">
      <c r="T46655" s="246">
        <f t="shared" si="767"/>
        <v>0</v>
      </c>
    </row>
    <row r="46656" spans="20:20" ht="18.75" customHeight="1" x14ac:dyDescent="0.35">
      <c r="T46656" s="246">
        <f t="shared" si="767"/>
        <v>0</v>
      </c>
    </row>
    <row r="46657" spans="20:20" ht="18.75" customHeight="1" x14ac:dyDescent="0.35">
      <c r="T46657" s="246">
        <f t="shared" si="767"/>
        <v>0</v>
      </c>
    </row>
    <row r="46658" spans="20:20" ht="18.75" customHeight="1" x14ac:dyDescent="0.35">
      <c r="T46658" s="246">
        <f t="shared" si="767"/>
        <v>0</v>
      </c>
    </row>
    <row r="46659" spans="20:20" ht="18.75" customHeight="1" x14ac:dyDescent="0.35">
      <c r="T46659" s="246">
        <f t="shared" si="767"/>
        <v>0</v>
      </c>
    </row>
    <row r="46660" spans="20:20" ht="18.75" customHeight="1" x14ac:dyDescent="0.35">
      <c r="T46660" s="246">
        <f t="shared" si="767"/>
        <v>0</v>
      </c>
    </row>
    <row r="46661" spans="20:20" ht="18.75" customHeight="1" x14ac:dyDescent="0.35">
      <c r="T46661" s="246">
        <f t="shared" si="767"/>
        <v>0</v>
      </c>
    </row>
    <row r="46662" spans="20:20" ht="18.75" customHeight="1" x14ac:dyDescent="0.35">
      <c r="T46662" s="246">
        <f t="shared" si="767"/>
        <v>0</v>
      </c>
    </row>
    <row r="46663" spans="20:20" ht="18.75" customHeight="1" x14ac:dyDescent="0.35">
      <c r="T46663" s="246">
        <f t="shared" si="767"/>
        <v>0</v>
      </c>
    </row>
    <row r="46664" spans="20:20" ht="18.75" customHeight="1" x14ac:dyDescent="0.35">
      <c r="T46664" s="246">
        <f t="shared" si="767"/>
        <v>0</v>
      </c>
    </row>
    <row r="46665" spans="20:20" ht="18.75" customHeight="1" x14ac:dyDescent="0.35">
      <c r="T46665" s="246">
        <f t="shared" si="767"/>
        <v>0</v>
      </c>
    </row>
    <row r="46666" spans="20:20" ht="18.75" customHeight="1" x14ac:dyDescent="0.35">
      <c r="T46666" s="246">
        <f t="shared" si="767"/>
        <v>0</v>
      </c>
    </row>
    <row r="46667" spans="20:20" ht="18.75" customHeight="1" x14ac:dyDescent="0.35">
      <c r="T46667" s="246">
        <f t="shared" si="767"/>
        <v>0</v>
      </c>
    </row>
    <row r="46668" spans="20:20" ht="18.75" customHeight="1" x14ac:dyDescent="0.35">
      <c r="T46668" s="246">
        <f t="shared" si="767"/>
        <v>0</v>
      </c>
    </row>
    <row r="46669" spans="20:20" ht="18.75" customHeight="1" x14ac:dyDescent="0.35">
      <c r="T46669" s="246">
        <f t="shared" si="767"/>
        <v>0</v>
      </c>
    </row>
    <row r="46670" spans="20:20" ht="18.75" customHeight="1" x14ac:dyDescent="0.35">
      <c r="T46670" s="246">
        <f t="shared" si="767"/>
        <v>0</v>
      </c>
    </row>
    <row r="46671" spans="20:20" ht="18.75" customHeight="1" x14ac:dyDescent="0.35">
      <c r="T46671" s="246">
        <f t="shared" si="767"/>
        <v>0</v>
      </c>
    </row>
    <row r="46672" spans="20:20" ht="18.75" customHeight="1" x14ac:dyDescent="0.35">
      <c r="T46672" s="246">
        <f t="shared" si="767"/>
        <v>0</v>
      </c>
    </row>
    <row r="46673" spans="20:20" ht="18.75" customHeight="1" x14ac:dyDescent="0.35">
      <c r="T46673" s="246">
        <f t="shared" si="767"/>
        <v>0</v>
      </c>
    </row>
    <row r="46674" spans="20:20" ht="18.75" customHeight="1" x14ac:dyDescent="0.35">
      <c r="T46674" s="246">
        <f t="shared" si="767"/>
        <v>0</v>
      </c>
    </row>
    <row r="46675" spans="20:20" ht="18.75" customHeight="1" x14ac:dyDescent="0.35">
      <c r="T46675" s="246">
        <f t="shared" si="767"/>
        <v>0</v>
      </c>
    </row>
    <row r="46676" spans="20:20" ht="18.75" customHeight="1" x14ac:dyDescent="0.35">
      <c r="T46676" s="246">
        <f t="shared" si="767"/>
        <v>0</v>
      </c>
    </row>
    <row r="46677" spans="20:20" ht="18.75" customHeight="1" x14ac:dyDescent="0.35">
      <c r="T46677" s="246">
        <f t="shared" si="767"/>
        <v>0</v>
      </c>
    </row>
    <row r="46678" spans="20:20" ht="18.75" customHeight="1" x14ac:dyDescent="0.35">
      <c r="T46678" s="246">
        <f t="shared" si="767"/>
        <v>0</v>
      </c>
    </row>
    <row r="46679" spans="20:20" ht="18.75" customHeight="1" x14ac:dyDescent="0.35">
      <c r="T46679" s="246">
        <f t="shared" si="767"/>
        <v>0</v>
      </c>
    </row>
    <row r="46680" spans="20:20" ht="18.75" customHeight="1" x14ac:dyDescent="0.35">
      <c r="T46680" s="246">
        <f t="shared" si="767"/>
        <v>0</v>
      </c>
    </row>
    <row r="46681" spans="20:20" ht="18.75" customHeight="1" x14ac:dyDescent="0.35">
      <c r="T46681" s="246">
        <f t="shared" si="767"/>
        <v>0</v>
      </c>
    </row>
    <row r="46682" spans="20:20" ht="18.75" customHeight="1" x14ac:dyDescent="0.35">
      <c r="T46682" s="246">
        <f t="shared" si="767"/>
        <v>0</v>
      </c>
    </row>
    <row r="46683" spans="20:20" ht="18.75" customHeight="1" x14ac:dyDescent="0.35">
      <c r="T46683" s="246">
        <f t="shared" si="767"/>
        <v>0</v>
      </c>
    </row>
    <row r="46684" spans="20:20" ht="18.75" customHeight="1" x14ac:dyDescent="0.35">
      <c r="T46684" s="246">
        <f t="shared" si="767"/>
        <v>0</v>
      </c>
    </row>
    <row r="46685" spans="20:20" ht="18.75" customHeight="1" x14ac:dyDescent="0.35">
      <c r="T46685" s="246">
        <f t="shared" si="767"/>
        <v>0</v>
      </c>
    </row>
    <row r="46686" spans="20:20" ht="18.75" customHeight="1" x14ac:dyDescent="0.35">
      <c r="T46686" s="246">
        <f t="shared" si="767"/>
        <v>0</v>
      </c>
    </row>
    <row r="46687" spans="20:20" ht="18.75" customHeight="1" x14ac:dyDescent="0.35">
      <c r="T46687" s="246">
        <f t="shared" si="767"/>
        <v>0</v>
      </c>
    </row>
    <row r="46688" spans="20:20" ht="18.75" customHeight="1" x14ac:dyDescent="0.35">
      <c r="T46688" s="246">
        <f t="shared" si="767"/>
        <v>0</v>
      </c>
    </row>
    <row r="46689" spans="20:20" ht="18.75" customHeight="1" x14ac:dyDescent="0.35">
      <c r="T46689" s="246">
        <f t="shared" si="767"/>
        <v>0</v>
      </c>
    </row>
    <row r="46690" spans="20:20" ht="18.75" customHeight="1" x14ac:dyDescent="0.35">
      <c r="T46690" s="246">
        <f t="shared" si="767"/>
        <v>0</v>
      </c>
    </row>
    <row r="46691" spans="20:20" ht="18.75" customHeight="1" x14ac:dyDescent="0.35">
      <c r="T46691" s="246">
        <f t="shared" si="767"/>
        <v>0</v>
      </c>
    </row>
    <row r="46692" spans="20:20" ht="18.75" customHeight="1" x14ac:dyDescent="0.35">
      <c r="T46692" s="246">
        <f t="shared" si="767"/>
        <v>0</v>
      </c>
    </row>
    <row r="46693" spans="20:20" ht="18.75" customHeight="1" x14ac:dyDescent="0.35">
      <c r="T46693" s="246">
        <f t="shared" si="767"/>
        <v>0</v>
      </c>
    </row>
    <row r="46694" spans="20:20" ht="18.75" customHeight="1" x14ac:dyDescent="0.35">
      <c r="T46694" s="246">
        <f t="shared" si="767"/>
        <v>0</v>
      </c>
    </row>
    <row r="46695" spans="20:20" ht="18.75" customHeight="1" x14ac:dyDescent="0.35">
      <c r="T46695" s="246">
        <f t="shared" si="767"/>
        <v>0</v>
      </c>
    </row>
    <row r="46696" spans="20:20" ht="18.75" customHeight="1" x14ac:dyDescent="0.35">
      <c r="T46696" s="246">
        <f t="shared" si="767"/>
        <v>0</v>
      </c>
    </row>
    <row r="46697" spans="20:20" ht="18.75" customHeight="1" x14ac:dyDescent="0.35">
      <c r="T46697" s="246">
        <f t="shared" si="767"/>
        <v>0</v>
      </c>
    </row>
    <row r="46698" spans="20:20" ht="18.75" customHeight="1" x14ac:dyDescent="0.35">
      <c r="T46698" s="246">
        <f t="shared" si="767"/>
        <v>0</v>
      </c>
    </row>
    <row r="46699" spans="20:20" ht="18.75" customHeight="1" x14ac:dyDescent="0.35">
      <c r="T46699" s="246">
        <f t="shared" si="767"/>
        <v>0</v>
      </c>
    </row>
    <row r="46700" spans="20:20" ht="18.75" customHeight="1" x14ac:dyDescent="0.35">
      <c r="T46700" s="246">
        <f t="shared" si="767"/>
        <v>0</v>
      </c>
    </row>
    <row r="46701" spans="20:20" ht="18.75" customHeight="1" x14ac:dyDescent="0.35">
      <c r="T46701" s="246">
        <f t="shared" si="767"/>
        <v>0</v>
      </c>
    </row>
    <row r="46702" spans="20:20" ht="18.75" customHeight="1" x14ac:dyDescent="0.35">
      <c r="T46702" s="246">
        <f t="shared" si="767"/>
        <v>0</v>
      </c>
    </row>
    <row r="46703" spans="20:20" ht="18.75" customHeight="1" x14ac:dyDescent="0.35">
      <c r="T46703" s="246">
        <f t="shared" si="767"/>
        <v>0</v>
      </c>
    </row>
    <row r="46704" spans="20:20" ht="18.75" customHeight="1" x14ac:dyDescent="0.35">
      <c r="T46704" s="246">
        <f t="shared" si="767"/>
        <v>0</v>
      </c>
    </row>
    <row r="46705" spans="20:20" ht="18.75" customHeight="1" x14ac:dyDescent="0.35">
      <c r="T46705" s="246">
        <f t="shared" si="767"/>
        <v>0</v>
      </c>
    </row>
    <row r="46706" spans="20:20" ht="18.75" customHeight="1" x14ac:dyDescent="0.35">
      <c r="T46706" s="246">
        <f t="shared" si="767"/>
        <v>0</v>
      </c>
    </row>
    <row r="46707" spans="20:20" ht="18.75" customHeight="1" x14ac:dyDescent="0.35">
      <c r="T46707" s="246">
        <f t="shared" si="767"/>
        <v>0</v>
      </c>
    </row>
    <row r="46708" spans="20:20" ht="18.75" customHeight="1" x14ac:dyDescent="0.35">
      <c r="T46708" s="246">
        <f t="shared" si="767"/>
        <v>0</v>
      </c>
    </row>
    <row r="46709" spans="20:20" ht="18.75" customHeight="1" x14ac:dyDescent="0.35">
      <c r="T46709" s="246">
        <f t="shared" si="767"/>
        <v>0</v>
      </c>
    </row>
    <row r="46710" spans="20:20" ht="18.75" customHeight="1" x14ac:dyDescent="0.35">
      <c r="T46710" s="246">
        <f t="shared" si="767"/>
        <v>0</v>
      </c>
    </row>
    <row r="46711" spans="20:20" ht="18.75" customHeight="1" x14ac:dyDescent="0.35">
      <c r="T46711" s="246">
        <f t="shared" si="767"/>
        <v>0</v>
      </c>
    </row>
    <row r="46712" spans="20:20" ht="18.75" customHeight="1" x14ac:dyDescent="0.35">
      <c r="T46712" s="246">
        <f t="shared" si="767"/>
        <v>0</v>
      </c>
    </row>
    <row r="46713" spans="20:20" ht="18.75" customHeight="1" x14ac:dyDescent="0.35">
      <c r="T46713" s="246">
        <f t="shared" si="767"/>
        <v>0</v>
      </c>
    </row>
    <row r="46714" spans="20:20" ht="18.75" customHeight="1" x14ac:dyDescent="0.35">
      <c r="T46714" s="246">
        <f t="shared" si="767"/>
        <v>0</v>
      </c>
    </row>
    <row r="46715" spans="20:20" ht="18.75" customHeight="1" x14ac:dyDescent="0.35">
      <c r="T46715" s="246">
        <f t="shared" si="767"/>
        <v>0</v>
      </c>
    </row>
    <row r="46716" spans="20:20" ht="18.75" customHeight="1" x14ac:dyDescent="0.35">
      <c r="T46716" s="246">
        <f t="shared" ref="T46716:T46779" si="768">R46716*0.01</f>
        <v>0</v>
      </c>
    </row>
    <row r="46717" spans="20:20" ht="18.75" customHeight="1" x14ac:dyDescent="0.35">
      <c r="T46717" s="246">
        <f t="shared" si="768"/>
        <v>0</v>
      </c>
    </row>
    <row r="46718" spans="20:20" ht="18.75" customHeight="1" x14ac:dyDescent="0.35">
      <c r="T46718" s="246">
        <f t="shared" si="768"/>
        <v>0</v>
      </c>
    </row>
    <row r="46719" spans="20:20" ht="18.75" customHeight="1" x14ac:dyDescent="0.35">
      <c r="T46719" s="246">
        <f t="shared" si="768"/>
        <v>0</v>
      </c>
    </row>
    <row r="46720" spans="20:20" ht="18.75" customHeight="1" x14ac:dyDescent="0.35">
      <c r="T46720" s="246">
        <f t="shared" si="768"/>
        <v>0</v>
      </c>
    </row>
    <row r="46721" spans="20:20" ht="18.75" customHeight="1" x14ac:dyDescent="0.35">
      <c r="T46721" s="246">
        <f t="shared" si="768"/>
        <v>0</v>
      </c>
    </row>
    <row r="46722" spans="20:20" ht="18.75" customHeight="1" x14ac:dyDescent="0.35">
      <c r="T46722" s="246">
        <f t="shared" si="768"/>
        <v>0</v>
      </c>
    </row>
    <row r="46723" spans="20:20" ht="18.75" customHeight="1" x14ac:dyDescent="0.35">
      <c r="T46723" s="246">
        <f t="shared" si="768"/>
        <v>0</v>
      </c>
    </row>
    <row r="46724" spans="20:20" ht="18.75" customHeight="1" x14ac:dyDescent="0.35">
      <c r="T46724" s="246">
        <f t="shared" si="768"/>
        <v>0</v>
      </c>
    </row>
    <row r="46725" spans="20:20" ht="18.75" customHeight="1" x14ac:dyDescent="0.35">
      <c r="T46725" s="246">
        <f t="shared" si="768"/>
        <v>0</v>
      </c>
    </row>
    <row r="46726" spans="20:20" ht="18.75" customHeight="1" x14ac:dyDescent="0.35">
      <c r="T46726" s="246">
        <f t="shared" si="768"/>
        <v>0</v>
      </c>
    </row>
    <row r="46727" spans="20:20" ht="18.75" customHeight="1" x14ac:dyDescent="0.35">
      <c r="T46727" s="246">
        <f t="shared" si="768"/>
        <v>0</v>
      </c>
    </row>
    <row r="46728" spans="20:20" ht="18.75" customHeight="1" x14ac:dyDescent="0.35">
      <c r="T46728" s="246">
        <f t="shared" si="768"/>
        <v>0</v>
      </c>
    </row>
    <row r="46729" spans="20:20" ht="18.75" customHeight="1" x14ac:dyDescent="0.35">
      <c r="T46729" s="246">
        <f t="shared" si="768"/>
        <v>0</v>
      </c>
    </row>
    <row r="46730" spans="20:20" ht="18.75" customHeight="1" x14ac:dyDescent="0.35">
      <c r="T46730" s="246">
        <f t="shared" si="768"/>
        <v>0</v>
      </c>
    </row>
    <row r="46731" spans="20:20" ht="18.75" customHeight="1" x14ac:dyDescent="0.35">
      <c r="T46731" s="246">
        <f t="shared" si="768"/>
        <v>0</v>
      </c>
    </row>
    <row r="46732" spans="20:20" ht="18.75" customHeight="1" x14ac:dyDescent="0.35">
      <c r="T46732" s="246">
        <f t="shared" si="768"/>
        <v>0</v>
      </c>
    </row>
    <row r="46733" spans="20:20" ht="18.75" customHeight="1" x14ac:dyDescent="0.35">
      <c r="T46733" s="246">
        <f t="shared" si="768"/>
        <v>0</v>
      </c>
    </row>
    <row r="46734" spans="20:20" ht="18.75" customHeight="1" x14ac:dyDescent="0.35">
      <c r="T46734" s="246">
        <f t="shared" si="768"/>
        <v>0</v>
      </c>
    </row>
    <row r="46735" spans="20:20" ht="18.75" customHeight="1" x14ac:dyDescent="0.35">
      <c r="T46735" s="246">
        <f t="shared" si="768"/>
        <v>0</v>
      </c>
    </row>
    <row r="46736" spans="20:20" ht="18.75" customHeight="1" x14ac:dyDescent="0.35">
      <c r="T46736" s="246">
        <f t="shared" si="768"/>
        <v>0</v>
      </c>
    </row>
    <row r="46737" spans="20:20" ht="18.75" customHeight="1" x14ac:dyDescent="0.35">
      <c r="T46737" s="246">
        <f t="shared" si="768"/>
        <v>0</v>
      </c>
    </row>
    <row r="46738" spans="20:20" ht="18.75" customHeight="1" x14ac:dyDescent="0.35">
      <c r="T46738" s="246">
        <f t="shared" si="768"/>
        <v>0</v>
      </c>
    </row>
    <row r="46739" spans="20:20" ht="18.75" customHeight="1" x14ac:dyDescent="0.35">
      <c r="T46739" s="246">
        <f t="shared" si="768"/>
        <v>0</v>
      </c>
    </row>
    <row r="46740" spans="20:20" ht="18.75" customHeight="1" x14ac:dyDescent="0.35">
      <c r="T46740" s="246">
        <f t="shared" si="768"/>
        <v>0</v>
      </c>
    </row>
    <row r="46741" spans="20:20" ht="18.75" customHeight="1" x14ac:dyDescent="0.35">
      <c r="T46741" s="246">
        <f t="shared" si="768"/>
        <v>0</v>
      </c>
    </row>
    <row r="46742" spans="20:20" ht="18.75" customHeight="1" x14ac:dyDescent="0.35">
      <c r="T46742" s="246">
        <f t="shared" si="768"/>
        <v>0</v>
      </c>
    </row>
    <row r="46743" spans="20:20" ht="18.75" customHeight="1" x14ac:dyDescent="0.35">
      <c r="T46743" s="246">
        <f t="shared" si="768"/>
        <v>0</v>
      </c>
    </row>
    <row r="46744" spans="20:20" ht="18.75" customHeight="1" x14ac:dyDescent="0.35">
      <c r="T46744" s="246">
        <f t="shared" si="768"/>
        <v>0</v>
      </c>
    </row>
    <row r="46745" spans="20:20" ht="18.75" customHeight="1" x14ac:dyDescent="0.35">
      <c r="T46745" s="246">
        <f t="shared" si="768"/>
        <v>0</v>
      </c>
    </row>
    <row r="46746" spans="20:20" ht="18.75" customHeight="1" x14ac:dyDescent="0.35">
      <c r="T46746" s="246">
        <f t="shared" si="768"/>
        <v>0</v>
      </c>
    </row>
    <row r="46747" spans="20:20" ht="18.75" customHeight="1" x14ac:dyDescent="0.35">
      <c r="T46747" s="246">
        <f t="shared" si="768"/>
        <v>0</v>
      </c>
    </row>
    <row r="46748" spans="20:20" ht="18.75" customHeight="1" x14ac:dyDescent="0.35">
      <c r="T46748" s="246">
        <f t="shared" si="768"/>
        <v>0</v>
      </c>
    </row>
    <row r="46749" spans="20:20" ht="18.75" customHeight="1" x14ac:dyDescent="0.35">
      <c r="T46749" s="246">
        <f t="shared" si="768"/>
        <v>0</v>
      </c>
    </row>
    <row r="46750" spans="20:20" ht="18.75" customHeight="1" x14ac:dyDescent="0.35">
      <c r="T46750" s="246">
        <f t="shared" si="768"/>
        <v>0</v>
      </c>
    </row>
    <row r="46751" spans="20:20" ht="18.75" customHeight="1" x14ac:dyDescent="0.35">
      <c r="T46751" s="246">
        <f t="shared" si="768"/>
        <v>0</v>
      </c>
    </row>
    <row r="46752" spans="20:20" ht="18.75" customHeight="1" x14ac:dyDescent="0.35">
      <c r="T46752" s="246">
        <f t="shared" si="768"/>
        <v>0</v>
      </c>
    </row>
    <row r="46753" spans="20:20" ht="18.75" customHeight="1" x14ac:dyDescent="0.35">
      <c r="T46753" s="246">
        <f t="shared" si="768"/>
        <v>0</v>
      </c>
    </row>
    <row r="46754" spans="20:20" ht="18.75" customHeight="1" x14ac:dyDescent="0.35">
      <c r="T46754" s="246">
        <f t="shared" si="768"/>
        <v>0</v>
      </c>
    </row>
    <row r="46755" spans="20:20" ht="18.75" customHeight="1" x14ac:dyDescent="0.35">
      <c r="T46755" s="246">
        <f t="shared" si="768"/>
        <v>0</v>
      </c>
    </row>
    <row r="46756" spans="20:20" ht="18.75" customHeight="1" x14ac:dyDescent="0.35">
      <c r="T46756" s="246">
        <f t="shared" si="768"/>
        <v>0</v>
      </c>
    </row>
    <row r="46757" spans="20:20" ht="18.75" customHeight="1" x14ac:dyDescent="0.35">
      <c r="T46757" s="246">
        <f t="shared" si="768"/>
        <v>0</v>
      </c>
    </row>
    <row r="46758" spans="20:20" ht="18.75" customHeight="1" x14ac:dyDescent="0.35">
      <c r="T46758" s="246">
        <f t="shared" si="768"/>
        <v>0</v>
      </c>
    </row>
    <row r="46759" spans="20:20" ht="18.75" customHeight="1" x14ac:dyDescent="0.35">
      <c r="T46759" s="246">
        <f t="shared" si="768"/>
        <v>0</v>
      </c>
    </row>
    <row r="46760" spans="20:20" ht="18.75" customHeight="1" x14ac:dyDescent="0.35">
      <c r="T46760" s="246">
        <f t="shared" si="768"/>
        <v>0</v>
      </c>
    </row>
    <row r="46761" spans="20:20" ht="18.75" customHeight="1" x14ac:dyDescent="0.35">
      <c r="T46761" s="246">
        <f t="shared" si="768"/>
        <v>0</v>
      </c>
    </row>
    <row r="46762" spans="20:20" ht="18.75" customHeight="1" x14ac:dyDescent="0.35">
      <c r="T46762" s="246">
        <f t="shared" si="768"/>
        <v>0</v>
      </c>
    </row>
    <row r="46763" spans="20:20" ht="18.75" customHeight="1" x14ac:dyDescent="0.35">
      <c r="T46763" s="246">
        <f t="shared" si="768"/>
        <v>0</v>
      </c>
    </row>
    <row r="46764" spans="20:20" ht="18.75" customHeight="1" x14ac:dyDescent="0.35">
      <c r="T46764" s="246">
        <f t="shared" si="768"/>
        <v>0</v>
      </c>
    </row>
    <row r="46765" spans="20:20" ht="18.75" customHeight="1" x14ac:dyDescent="0.35">
      <c r="T46765" s="246">
        <f t="shared" si="768"/>
        <v>0</v>
      </c>
    </row>
    <row r="46766" spans="20:20" ht="18.75" customHeight="1" x14ac:dyDescent="0.35">
      <c r="T46766" s="246">
        <f t="shared" si="768"/>
        <v>0</v>
      </c>
    </row>
    <row r="46767" spans="20:20" ht="18.75" customHeight="1" x14ac:dyDescent="0.35">
      <c r="T46767" s="246">
        <f t="shared" si="768"/>
        <v>0</v>
      </c>
    </row>
    <row r="46768" spans="20:20" ht="18.75" customHeight="1" x14ac:dyDescent="0.35">
      <c r="T46768" s="246">
        <f t="shared" si="768"/>
        <v>0</v>
      </c>
    </row>
    <row r="46769" spans="20:20" ht="18.75" customHeight="1" x14ac:dyDescent="0.35">
      <c r="T46769" s="246">
        <f t="shared" si="768"/>
        <v>0</v>
      </c>
    </row>
    <row r="46770" spans="20:20" ht="18.75" customHeight="1" x14ac:dyDescent="0.35">
      <c r="T46770" s="246">
        <f t="shared" si="768"/>
        <v>0</v>
      </c>
    </row>
    <row r="46771" spans="20:20" ht="18.75" customHeight="1" x14ac:dyDescent="0.35">
      <c r="T46771" s="246">
        <f t="shared" si="768"/>
        <v>0</v>
      </c>
    </row>
    <row r="46772" spans="20:20" ht="18.75" customHeight="1" x14ac:dyDescent="0.35">
      <c r="T46772" s="246">
        <f t="shared" si="768"/>
        <v>0</v>
      </c>
    </row>
    <row r="46773" spans="20:20" ht="18.75" customHeight="1" x14ac:dyDescent="0.35">
      <c r="T46773" s="246">
        <f t="shared" si="768"/>
        <v>0</v>
      </c>
    </row>
    <row r="46774" spans="20:20" ht="18.75" customHeight="1" x14ac:dyDescent="0.35">
      <c r="T46774" s="246">
        <f t="shared" si="768"/>
        <v>0</v>
      </c>
    </row>
    <row r="46775" spans="20:20" ht="18.75" customHeight="1" x14ac:dyDescent="0.35">
      <c r="T46775" s="246">
        <f t="shared" si="768"/>
        <v>0</v>
      </c>
    </row>
    <row r="46776" spans="20:20" ht="18.75" customHeight="1" x14ac:dyDescent="0.35">
      <c r="T46776" s="246">
        <f t="shared" si="768"/>
        <v>0</v>
      </c>
    </row>
    <row r="46777" spans="20:20" ht="18.75" customHeight="1" x14ac:dyDescent="0.35">
      <c r="T46777" s="246">
        <f t="shared" si="768"/>
        <v>0</v>
      </c>
    </row>
    <row r="46778" spans="20:20" ht="18.75" customHeight="1" x14ac:dyDescent="0.35">
      <c r="T46778" s="246">
        <f t="shared" si="768"/>
        <v>0</v>
      </c>
    </row>
    <row r="46779" spans="20:20" ht="18.75" customHeight="1" x14ac:dyDescent="0.35">
      <c r="T46779" s="246">
        <f t="shared" si="768"/>
        <v>0</v>
      </c>
    </row>
    <row r="46780" spans="20:20" ht="18.75" customHeight="1" x14ac:dyDescent="0.35">
      <c r="T46780" s="246">
        <f t="shared" ref="T46780:T46843" si="769">R46780*0.01</f>
        <v>0</v>
      </c>
    </row>
    <row r="46781" spans="20:20" ht="18.75" customHeight="1" x14ac:dyDescent="0.35">
      <c r="T46781" s="246">
        <f t="shared" si="769"/>
        <v>0</v>
      </c>
    </row>
    <row r="46782" spans="20:20" ht="18.75" customHeight="1" x14ac:dyDescent="0.35">
      <c r="T46782" s="246">
        <f t="shared" si="769"/>
        <v>0</v>
      </c>
    </row>
    <row r="46783" spans="20:20" ht="18.75" customHeight="1" x14ac:dyDescent="0.35">
      <c r="T46783" s="246">
        <f t="shared" si="769"/>
        <v>0</v>
      </c>
    </row>
    <row r="46784" spans="20:20" ht="18.75" customHeight="1" x14ac:dyDescent="0.35">
      <c r="T46784" s="246">
        <f t="shared" si="769"/>
        <v>0</v>
      </c>
    </row>
    <row r="46785" spans="20:20" ht="18.75" customHeight="1" x14ac:dyDescent="0.35">
      <c r="T46785" s="246">
        <f t="shared" si="769"/>
        <v>0</v>
      </c>
    </row>
    <row r="46786" spans="20:20" ht="18.75" customHeight="1" x14ac:dyDescent="0.35">
      <c r="T46786" s="246">
        <f t="shared" si="769"/>
        <v>0</v>
      </c>
    </row>
    <row r="46787" spans="20:20" ht="18.75" customHeight="1" x14ac:dyDescent="0.35">
      <c r="T46787" s="246">
        <f t="shared" si="769"/>
        <v>0</v>
      </c>
    </row>
    <row r="46788" spans="20:20" ht="18.75" customHeight="1" x14ac:dyDescent="0.35">
      <c r="T46788" s="246">
        <f t="shared" si="769"/>
        <v>0</v>
      </c>
    </row>
    <row r="46789" spans="20:20" ht="18.75" customHeight="1" x14ac:dyDescent="0.35">
      <c r="T46789" s="246">
        <f t="shared" si="769"/>
        <v>0</v>
      </c>
    </row>
    <row r="46790" spans="20:20" ht="18.75" customHeight="1" x14ac:dyDescent="0.35">
      <c r="T46790" s="246">
        <f t="shared" si="769"/>
        <v>0</v>
      </c>
    </row>
    <row r="46791" spans="20:20" ht="18.75" customHeight="1" x14ac:dyDescent="0.35">
      <c r="T46791" s="246">
        <f t="shared" si="769"/>
        <v>0</v>
      </c>
    </row>
    <row r="46792" spans="20:20" ht="18.75" customHeight="1" x14ac:dyDescent="0.35">
      <c r="T46792" s="246">
        <f t="shared" si="769"/>
        <v>0</v>
      </c>
    </row>
    <row r="46793" spans="20:20" ht="18.75" customHeight="1" x14ac:dyDescent="0.35">
      <c r="T46793" s="246">
        <f t="shared" si="769"/>
        <v>0</v>
      </c>
    </row>
    <row r="46794" spans="20:20" ht="18.75" customHeight="1" x14ac:dyDescent="0.35">
      <c r="T46794" s="246">
        <f t="shared" si="769"/>
        <v>0</v>
      </c>
    </row>
    <row r="46795" spans="20:20" ht="18.75" customHeight="1" x14ac:dyDescent="0.35">
      <c r="T46795" s="246">
        <f t="shared" si="769"/>
        <v>0</v>
      </c>
    </row>
    <row r="46796" spans="20:20" ht="18.75" customHeight="1" x14ac:dyDescent="0.35">
      <c r="T46796" s="246">
        <f t="shared" si="769"/>
        <v>0</v>
      </c>
    </row>
    <row r="46797" spans="20:20" ht="18.75" customHeight="1" x14ac:dyDescent="0.35">
      <c r="T46797" s="246">
        <f t="shared" si="769"/>
        <v>0</v>
      </c>
    </row>
    <row r="46798" spans="20:20" ht="18.75" customHeight="1" x14ac:dyDescent="0.35">
      <c r="T46798" s="246">
        <f t="shared" si="769"/>
        <v>0</v>
      </c>
    </row>
    <row r="46799" spans="20:20" ht="18.75" customHeight="1" x14ac:dyDescent="0.35">
      <c r="T46799" s="246">
        <f t="shared" si="769"/>
        <v>0</v>
      </c>
    </row>
    <row r="46800" spans="20:20" ht="18.75" customHeight="1" x14ac:dyDescent="0.35">
      <c r="T46800" s="246">
        <f t="shared" si="769"/>
        <v>0</v>
      </c>
    </row>
    <row r="46801" spans="20:20" ht="18.75" customHeight="1" x14ac:dyDescent="0.35">
      <c r="T46801" s="246">
        <f t="shared" si="769"/>
        <v>0</v>
      </c>
    </row>
    <row r="46802" spans="20:20" ht="18.75" customHeight="1" x14ac:dyDescent="0.35">
      <c r="T46802" s="246">
        <f t="shared" si="769"/>
        <v>0</v>
      </c>
    </row>
    <row r="46803" spans="20:20" ht="18.75" customHeight="1" x14ac:dyDescent="0.35">
      <c r="T46803" s="246">
        <f t="shared" si="769"/>
        <v>0</v>
      </c>
    </row>
    <row r="46804" spans="20:20" ht="18.75" customHeight="1" x14ac:dyDescent="0.35">
      <c r="T46804" s="246">
        <f t="shared" si="769"/>
        <v>0</v>
      </c>
    </row>
    <row r="46805" spans="20:20" ht="18.75" customHeight="1" x14ac:dyDescent="0.35">
      <c r="T46805" s="246">
        <f t="shared" si="769"/>
        <v>0</v>
      </c>
    </row>
    <row r="46806" spans="20:20" ht="18.75" customHeight="1" x14ac:dyDescent="0.35">
      <c r="T46806" s="246">
        <f t="shared" si="769"/>
        <v>0</v>
      </c>
    </row>
    <row r="46807" spans="20:20" ht="18.75" customHeight="1" x14ac:dyDescent="0.35">
      <c r="T46807" s="246">
        <f t="shared" si="769"/>
        <v>0</v>
      </c>
    </row>
    <row r="46808" spans="20:20" ht="18.75" customHeight="1" x14ac:dyDescent="0.35">
      <c r="T46808" s="246">
        <f t="shared" si="769"/>
        <v>0</v>
      </c>
    </row>
    <row r="46809" spans="20:20" ht="18.75" customHeight="1" x14ac:dyDescent="0.35">
      <c r="T46809" s="246">
        <f t="shared" si="769"/>
        <v>0</v>
      </c>
    </row>
    <row r="46810" spans="20:20" ht="18.75" customHeight="1" x14ac:dyDescent="0.35">
      <c r="T46810" s="246">
        <f t="shared" si="769"/>
        <v>0</v>
      </c>
    </row>
    <row r="46811" spans="20:20" ht="18.75" customHeight="1" x14ac:dyDescent="0.35">
      <c r="T46811" s="246">
        <f t="shared" si="769"/>
        <v>0</v>
      </c>
    </row>
    <row r="46812" spans="20:20" ht="18.75" customHeight="1" x14ac:dyDescent="0.35">
      <c r="T46812" s="246">
        <f t="shared" si="769"/>
        <v>0</v>
      </c>
    </row>
    <row r="46813" spans="20:20" ht="18.75" customHeight="1" x14ac:dyDescent="0.35">
      <c r="T46813" s="246">
        <f t="shared" si="769"/>
        <v>0</v>
      </c>
    </row>
    <row r="46814" spans="20:20" ht="18.75" customHeight="1" x14ac:dyDescent="0.35">
      <c r="T46814" s="246">
        <f t="shared" si="769"/>
        <v>0</v>
      </c>
    </row>
    <row r="46815" spans="20:20" ht="18.75" customHeight="1" x14ac:dyDescent="0.35">
      <c r="T46815" s="246">
        <f t="shared" si="769"/>
        <v>0</v>
      </c>
    </row>
    <row r="46816" spans="20:20" ht="18.75" customHeight="1" x14ac:dyDescent="0.35">
      <c r="T46816" s="246">
        <f t="shared" si="769"/>
        <v>0</v>
      </c>
    </row>
    <row r="46817" spans="20:20" ht="18.75" customHeight="1" x14ac:dyDescent="0.35">
      <c r="T46817" s="246">
        <f t="shared" si="769"/>
        <v>0</v>
      </c>
    </row>
    <row r="46818" spans="20:20" ht="18.75" customHeight="1" x14ac:dyDescent="0.35">
      <c r="T46818" s="246">
        <f t="shared" si="769"/>
        <v>0</v>
      </c>
    </row>
    <row r="46819" spans="20:20" ht="18.75" customHeight="1" x14ac:dyDescent="0.35">
      <c r="T46819" s="246">
        <f t="shared" si="769"/>
        <v>0</v>
      </c>
    </row>
    <row r="46820" spans="20:20" ht="18.75" customHeight="1" x14ac:dyDescent="0.35">
      <c r="T46820" s="246">
        <f t="shared" si="769"/>
        <v>0</v>
      </c>
    </row>
    <row r="46821" spans="20:20" ht="18.75" customHeight="1" x14ac:dyDescent="0.35">
      <c r="T46821" s="246">
        <f t="shared" si="769"/>
        <v>0</v>
      </c>
    </row>
    <row r="46822" spans="20:20" ht="18.75" customHeight="1" x14ac:dyDescent="0.35">
      <c r="T46822" s="246">
        <f t="shared" si="769"/>
        <v>0</v>
      </c>
    </row>
    <row r="46823" spans="20:20" ht="18.75" customHeight="1" x14ac:dyDescent="0.35">
      <c r="T46823" s="246">
        <f t="shared" si="769"/>
        <v>0</v>
      </c>
    </row>
    <row r="46824" spans="20:20" ht="18.75" customHeight="1" x14ac:dyDescent="0.35">
      <c r="T46824" s="246">
        <f t="shared" si="769"/>
        <v>0</v>
      </c>
    </row>
    <row r="46825" spans="20:20" ht="18.75" customHeight="1" x14ac:dyDescent="0.35">
      <c r="T46825" s="246">
        <f t="shared" si="769"/>
        <v>0</v>
      </c>
    </row>
    <row r="46826" spans="20:20" ht="18.75" customHeight="1" x14ac:dyDescent="0.35">
      <c r="T46826" s="246">
        <f t="shared" si="769"/>
        <v>0</v>
      </c>
    </row>
    <row r="46827" spans="20:20" ht="18.75" customHeight="1" x14ac:dyDescent="0.35">
      <c r="T46827" s="246">
        <f t="shared" si="769"/>
        <v>0</v>
      </c>
    </row>
    <row r="46828" spans="20:20" ht="18.75" customHeight="1" x14ac:dyDescent="0.35">
      <c r="T46828" s="246">
        <f t="shared" si="769"/>
        <v>0</v>
      </c>
    </row>
    <row r="46829" spans="20:20" ht="18.75" customHeight="1" x14ac:dyDescent="0.35">
      <c r="T46829" s="246">
        <f t="shared" si="769"/>
        <v>0</v>
      </c>
    </row>
    <row r="46830" spans="20:20" ht="18.75" customHeight="1" x14ac:dyDescent="0.35">
      <c r="T46830" s="246">
        <f t="shared" si="769"/>
        <v>0</v>
      </c>
    </row>
    <row r="46831" spans="20:20" ht="18.75" customHeight="1" x14ac:dyDescent="0.35">
      <c r="T46831" s="246">
        <f t="shared" si="769"/>
        <v>0</v>
      </c>
    </row>
    <row r="46832" spans="20:20" ht="18.75" customHeight="1" x14ac:dyDescent="0.35">
      <c r="T46832" s="246">
        <f t="shared" si="769"/>
        <v>0</v>
      </c>
    </row>
    <row r="46833" spans="20:20" ht="18.75" customHeight="1" x14ac:dyDescent="0.35">
      <c r="T46833" s="246">
        <f t="shared" si="769"/>
        <v>0</v>
      </c>
    </row>
    <row r="46834" spans="20:20" ht="18.75" customHeight="1" x14ac:dyDescent="0.35">
      <c r="T46834" s="246">
        <f t="shared" si="769"/>
        <v>0</v>
      </c>
    </row>
    <row r="46835" spans="20:20" ht="18.75" customHeight="1" x14ac:dyDescent="0.35">
      <c r="T46835" s="246">
        <f t="shared" si="769"/>
        <v>0</v>
      </c>
    </row>
    <row r="46836" spans="20:20" ht="18.75" customHeight="1" x14ac:dyDescent="0.35">
      <c r="T46836" s="246">
        <f t="shared" si="769"/>
        <v>0</v>
      </c>
    </row>
    <row r="46837" spans="20:20" ht="18.75" customHeight="1" x14ac:dyDescent="0.35">
      <c r="T46837" s="246">
        <f t="shared" si="769"/>
        <v>0</v>
      </c>
    </row>
    <row r="46838" spans="20:20" ht="18.75" customHeight="1" x14ac:dyDescent="0.35">
      <c r="T46838" s="246">
        <f t="shared" si="769"/>
        <v>0</v>
      </c>
    </row>
    <row r="46839" spans="20:20" ht="18.75" customHeight="1" x14ac:dyDescent="0.35">
      <c r="T46839" s="246">
        <f t="shared" si="769"/>
        <v>0</v>
      </c>
    </row>
    <row r="46840" spans="20:20" ht="18.75" customHeight="1" x14ac:dyDescent="0.35">
      <c r="T46840" s="246">
        <f t="shared" si="769"/>
        <v>0</v>
      </c>
    </row>
    <row r="46841" spans="20:20" ht="18.75" customHeight="1" x14ac:dyDescent="0.35">
      <c r="T46841" s="246">
        <f t="shared" si="769"/>
        <v>0</v>
      </c>
    </row>
    <row r="46842" spans="20:20" ht="18.75" customHeight="1" x14ac:dyDescent="0.35">
      <c r="T46842" s="246">
        <f t="shared" si="769"/>
        <v>0</v>
      </c>
    </row>
    <row r="46843" spans="20:20" ht="18.75" customHeight="1" x14ac:dyDescent="0.35">
      <c r="T46843" s="246">
        <f t="shared" si="769"/>
        <v>0</v>
      </c>
    </row>
    <row r="46844" spans="20:20" ht="18.75" customHeight="1" x14ac:dyDescent="0.35">
      <c r="T46844" s="246">
        <f t="shared" ref="T46844:T46907" si="770">R46844*0.01</f>
        <v>0</v>
      </c>
    </row>
    <row r="46845" spans="20:20" ht="18.75" customHeight="1" x14ac:dyDescent="0.35">
      <c r="T46845" s="246">
        <f t="shared" si="770"/>
        <v>0</v>
      </c>
    </row>
    <row r="46846" spans="20:20" ht="18.75" customHeight="1" x14ac:dyDescent="0.35">
      <c r="T46846" s="246">
        <f t="shared" si="770"/>
        <v>0</v>
      </c>
    </row>
    <row r="46847" spans="20:20" ht="18.75" customHeight="1" x14ac:dyDescent="0.35">
      <c r="T46847" s="246">
        <f t="shared" si="770"/>
        <v>0</v>
      </c>
    </row>
    <row r="46848" spans="20:20" ht="18.75" customHeight="1" x14ac:dyDescent="0.35">
      <c r="T46848" s="246">
        <f t="shared" si="770"/>
        <v>0</v>
      </c>
    </row>
    <row r="46849" spans="20:20" ht="18.75" customHeight="1" x14ac:dyDescent="0.35">
      <c r="T46849" s="246">
        <f t="shared" si="770"/>
        <v>0</v>
      </c>
    </row>
    <row r="46850" spans="20:20" ht="18.75" customHeight="1" x14ac:dyDescent="0.35">
      <c r="T46850" s="246">
        <f t="shared" si="770"/>
        <v>0</v>
      </c>
    </row>
    <row r="46851" spans="20:20" ht="18.75" customHeight="1" x14ac:dyDescent="0.35">
      <c r="T46851" s="246">
        <f t="shared" si="770"/>
        <v>0</v>
      </c>
    </row>
    <row r="46852" spans="20:20" ht="18.75" customHeight="1" x14ac:dyDescent="0.35">
      <c r="T46852" s="246">
        <f t="shared" si="770"/>
        <v>0</v>
      </c>
    </row>
    <row r="46853" spans="20:20" ht="18.75" customHeight="1" x14ac:dyDescent="0.35">
      <c r="T46853" s="246">
        <f t="shared" si="770"/>
        <v>0</v>
      </c>
    </row>
    <row r="46854" spans="20:20" ht="18.75" customHeight="1" x14ac:dyDescent="0.35">
      <c r="T46854" s="246">
        <f t="shared" si="770"/>
        <v>0</v>
      </c>
    </row>
    <row r="46855" spans="20:20" ht="18.75" customHeight="1" x14ac:dyDescent="0.35">
      <c r="T46855" s="246">
        <f t="shared" si="770"/>
        <v>0</v>
      </c>
    </row>
    <row r="46856" spans="20:20" ht="18.75" customHeight="1" x14ac:dyDescent="0.35">
      <c r="T46856" s="246">
        <f t="shared" si="770"/>
        <v>0</v>
      </c>
    </row>
    <row r="46857" spans="20:20" ht="18.75" customHeight="1" x14ac:dyDescent="0.35">
      <c r="T46857" s="246">
        <f t="shared" si="770"/>
        <v>0</v>
      </c>
    </row>
    <row r="46858" spans="20:20" ht="18.75" customHeight="1" x14ac:dyDescent="0.35">
      <c r="T46858" s="246">
        <f t="shared" si="770"/>
        <v>0</v>
      </c>
    </row>
    <row r="46859" spans="20:20" ht="18.75" customHeight="1" x14ac:dyDescent="0.35">
      <c r="T46859" s="246">
        <f t="shared" si="770"/>
        <v>0</v>
      </c>
    </row>
    <row r="46860" spans="20:20" ht="18.75" customHeight="1" x14ac:dyDescent="0.35">
      <c r="T46860" s="246">
        <f t="shared" si="770"/>
        <v>0</v>
      </c>
    </row>
    <row r="46861" spans="20:20" ht="18.75" customHeight="1" x14ac:dyDescent="0.35">
      <c r="T46861" s="246">
        <f t="shared" si="770"/>
        <v>0</v>
      </c>
    </row>
    <row r="46862" spans="20:20" ht="18.75" customHeight="1" x14ac:dyDescent="0.35">
      <c r="T46862" s="246">
        <f t="shared" si="770"/>
        <v>0</v>
      </c>
    </row>
    <row r="46863" spans="20:20" ht="18.75" customHeight="1" x14ac:dyDescent="0.35">
      <c r="T46863" s="246">
        <f t="shared" si="770"/>
        <v>0</v>
      </c>
    </row>
    <row r="46864" spans="20:20" ht="18.75" customHeight="1" x14ac:dyDescent="0.35">
      <c r="T46864" s="246">
        <f t="shared" si="770"/>
        <v>0</v>
      </c>
    </row>
    <row r="46865" spans="20:20" ht="18.75" customHeight="1" x14ac:dyDescent="0.35">
      <c r="T46865" s="246">
        <f t="shared" si="770"/>
        <v>0</v>
      </c>
    </row>
    <row r="46866" spans="20:20" ht="18.75" customHeight="1" x14ac:dyDescent="0.35">
      <c r="T46866" s="246">
        <f t="shared" si="770"/>
        <v>0</v>
      </c>
    </row>
    <row r="46867" spans="20:20" ht="18.75" customHeight="1" x14ac:dyDescent="0.35">
      <c r="T46867" s="246">
        <f t="shared" si="770"/>
        <v>0</v>
      </c>
    </row>
    <row r="46868" spans="20:20" ht="18.75" customHeight="1" x14ac:dyDescent="0.35">
      <c r="T46868" s="246">
        <f t="shared" si="770"/>
        <v>0</v>
      </c>
    </row>
    <row r="46869" spans="20:20" ht="18.75" customHeight="1" x14ac:dyDescent="0.35">
      <c r="T46869" s="246">
        <f t="shared" si="770"/>
        <v>0</v>
      </c>
    </row>
    <row r="46870" spans="20:20" ht="18.75" customHeight="1" x14ac:dyDescent="0.35">
      <c r="T46870" s="246">
        <f t="shared" si="770"/>
        <v>0</v>
      </c>
    </row>
    <row r="46871" spans="20:20" ht="18.75" customHeight="1" x14ac:dyDescent="0.35">
      <c r="T46871" s="246">
        <f t="shared" si="770"/>
        <v>0</v>
      </c>
    </row>
    <row r="46872" spans="20:20" ht="18.75" customHeight="1" x14ac:dyDescent="0.35">
      <c r="T46872" s="246">
        <f t="shared" si="770"/>
        <v>0</v>
      </c>
    </row>
    <row r="46873" spans="20:20" ht="18.75" customHeight="1" x14ac:dyDescent="0.35">
      <c r="T46873" s="246">
        <f t="shared" si="770"/>
        <v>0</v>
      </c>
    </row>
    <row r="46874" spans="20:20" ht="18.75" customHeight="1" x14ac:dyDescent="0.35">
      <c r="T46874" s="246">
        <f t="shared" si="770"/>
        <v>0</v>
      </c>
    </row>
    <row r="46875" spans="20:20" ht="18.75" customHeight="1" x14ac:dyDescent="0.35">
      <c r="T46875" s="246">
        <f t="shared" si="770"/>
        <v>0</v>
      </c>
    </row>
    <row r="46876" spans="20:20" ht="18.75" customHeight="1" x14ac:dyDescent="0.35">
      <c r="T46876" s="246">
        <f t="shared" si="770"/>
        <v>0</v>
      </c>
    </row>
    <row r="46877" spans="20:20" ht="18.75" customHeight="1" x14ac:dyDescent="0.35">
      <c r="T46877" s="246">
        <f t="shared" si="770"/>
        <v>0</v>
      </c>
    </row>
    <row r="46878" spans="20:20" ht="18.75" customHeight="1" x14ac:dyDescent="0.35">
      <c r="T46878" s="246">
        <f t="shared" si="770"/>
        <v>0</v>
      </c>
    </row>
    <row r="46879" spans="20:20" ht="18.75" customHeight="1" x14ac:dyDescent="0.35">
      <c r="T46879" s="246">
        <f t="shared" si="770"/>
        <v>0</v>
      </c>
    </row>
    <row r="46880" spans="20:20" ht="18.75" customHeight="1" x14ac:dyDescent="0.35">
      <c r="T46880" s="246">
        <f t="shared" si="770"/>
        <v>0</v>
      </c>
    </row>
    <row r="46881" spans="20:20" ht="18.75" customHeight="1" x14ac:dyDescent="0.35">
      <c r="T46881" s="246">
        <f t="shared" si="770"/>
        <v>0</v>
      </c>
    </row>
    <row r="46882" spans="20:20" ht="18.75" customHeight="1" x14ac:dyDescent="0.35">
      <c r="T46882" s="246">
        <f t="shared" si="770"/>
        <v>0</v>
      </c>
    </row>
    <row r="46883" spans="20:20" ht="18.75" customHeight="1" x14ac:dyDescent="0.35">
      <c r="T46883" s="246">
        <f t="shared" si="770"/>
        <v>0</v>
      </c>
    </row>
    <row r="46884" spans="20:20" ht="18.75" customHeight="1" x14ac:dyDescent="0.35">
      <c r="T46884" s="246">
        <f t="shared" si="770"/>
        <v>0</v>
      </c>
    </row>
    <row r="46885" spans="20:20" ht="18.75" customHeight="1" x14ac:dyDescent="0.35">
      <c r="T46885" s="246">
        <f t="shared" si="770"/>
        <v>0</v>
      </c>
    </row>
    <row r="46886" spans="20:20" ht="18.75" customHeight="1" x14ac:dyDescent="0.35">
      <c r="T46886" s="246">
        <f t="shared" si="770"/>
        <v>0</v>
      </c>
    </row>
    <row r="46887" spans="20:20" ht="18.75" customHeight="1" x14ac:dyDescent="0.35">
      <c r="T46887" s="246">
        <f t="shared" si="770"/>
        <v>0</v>
      </c>
    </row>
    <row r="46888" spans="20:20" ht="18.75" customHeight="1" x14ac:dyDescent="0.35">
      <c r="T46888" s="246">
        <f t="shared" si="770"/>
        <v>0</v>
      </c>
    </row>
    <row r="46889" spans="20:20" ht="18.75" customHeight="1" x14ac:dyDescent="0.35">
      <c r="T46889" s="246">
        <f t="shared" si="770"/>
        <v>0</v>
      </c>
    </row>
    <row r="46890" spans="20:20" ht="18.75" customHeight="1" x14ac:dyDescent="0.35">
      <c r="T46890" s="246">
        <f t="shared" si="770"/>
        <v>0</v>
      </c>
    </row>
    <row r="46891" spans="20:20" ht="18.75" customHeight="1" x14ac:dyDescent="0.35">
      <c r="T46891" s="246">
        <f t="shared" si="770"/>
        <v>0</v>
      </c>
    </row>
    <row r="46892" spans="20:20" ht="18.75" customHeight="1" x14ac:dyDescent="0.35">
      <c r="T46892" s="246">
        <f t="shared" si="770"/>
        <v>0</v>
      </c>
    </row>
    <row r="46893" spans="20:20" ht="18.75" customHeight="1" x14ac:dyDescent="0.35">
      <c r="T46893" s="246">
        <f t="shared" si="770"/>
        <v>0</v>
      </c>
    </row>
    <row r="46894" spans="20:20" ht="18.75" customHeight="1" x14ac:dyDescent="0.35">
      <c r="T46894" s="246">
        <f t="shared" si="770"/>
        <v>0</v>
      </c>
    </row>
    <row r="46895" spans="20:20" ht="18.75" customHeight="1" x14ac:dyDescent="0.35">
      <c r="T46895" s="246">
        <f t="shared" si="770"/>
        <v>0</v>
      </c>
    </row>
    <row r="46896" spans="20:20" ht="18.75" customHeight="1" x14ac:dyDescent="0.35">
      <c r="T46896" s="246">
        <f t="shared" si="770"/>
        <v>0</v>
      </c>
    </row>
    <row r="46897" spans="20:20" ht="18.75" customHeight="1" x14ac:dyDescent="0.35">
      <c r="T46897" s="246">
        <f t="shared" si="770"/>
        <v>0</v>
      </c>
    </row>
    <row r="46898" spans="20:20" ht="18.75" customHeight="1" x14ac:dyDescent="0.35">
      <c r="T46898" s="246">
        <f t="shared" si="770"/>
        <v>0</v>
      </c>
    </row>
    <row r="46899" spans="20:20" ht="18.75" customHeight="1" x14ac:dyDescent="0.35">
      <c r="T46899" s="246">
        <f t="shared" si="770"/>
        <v>0</v>
      </c>
    </row>
    <row r="46900" spans="20:20" ht="18.75" customHeight="1" x14ac:dyDescent="0.35">
      <c r="T46900" s="246">
        <f t="shared" si="770"/>
        <v>0</v>
      </c>
    </row>
    <row r="46901" spans="20:20" ht="18.75" customHeight="1" x14ac:dyDescent="0.35">
      <c r="T46901" s="246">
        <f t="shared" si="770"/>
        <v>0</v>
      </c>
    </row>
    <row r="46902" spans="20:20" ht="18.75" customHeight="1" x14ac:dyDescent="0.35">
      <c r="T46902" s="246">
        <f t="shared" si="770"/>
        <v>0</v>
      </c>
    </row>
    <row r="46903" spans="20:20" ht="18.75" customHeight="1" x14ac:dyDescent="0.35">
      <c r="T46903" s="246">
        <f t="shared" si="770"/>
        <v>0</v>
      </c>
    </row>
    <row r="46904" spans="20:20" ht="18.75" customHeight="1" x14ac:dyDescent="0.35">
      <c r="T46904" s="246">
        <f t="shared" si="770"/>
        <v>0</v>
      </c>
    </row>
    <row r="46905" spans="20:20" ht="18.75" customHeight="1" x14ac:dyDescent="0.35">
      <c r="T46905" s="246">
        <f t="shared" si="770"/>
        <v>0</v>
      </c>
    </row>
    <row r="46906" spans="20:20" ht="18.75" customHeight="1" x14ac:dyDescent="0.35">
      <c r="T46906" s="246">
        <f t="shared" si="770"/>
        <v>0</v>
      </c>
    </row>
    <row r="46907" spans="20:20" ht="18.75" customHeight="1" x14ac:dyDescent="0.35">
      <c r="T46907" s="246">
        <f t="shared" si="770"/>
        <v>0</v>
      </c>
    </row>
    <row r="46908" spans="20:20" ht="18.75" customHeight="1" x14ac:dyDescent="0.35">
      <c r="T46908" s="246">
        <f t="shared" ref="T46908:T46971" si="771">R46908*0.01</f>
        <v>0</v>
      </c>
    </row>
    <row r="46909" spans="20:20" ht="18.75" customHeight="1" x14ac:dyDescent="0.35">
      <c r="T46909" s="246">
        <f t="shared" si="771"/>
        <v>0</v>
      </c>
    </row>
    <row r="46910" spans="20:20" ht="18.75" customHeight="1" x14ac:dyDescent="0.35">
      <c r="T46910" s="246">
        <f t="shared" si="771"/>
        <v>0</v>
      </c>
    </row>
    <row r="46911" spans="20:20" ht="18.75" customHeight="1" x14ac:dyDescent="0.35">
      <c r="T46911" s="246">
        <f t="shared" si="771"/>
        <v>0</v>
      </c>
    </row>
    <row r="46912" spans="20:20" ht="18.75" customHeight="1" x14ac:dyDescent="0.35">
      <c r="T46912" s="246">
        <f t="shared" si="771"/>
        <v>0</v>
      </c>
    </row>
    <row r="46913" spans="20:20" ht="18.75" customHeight="1" x14ac:dyDescent="0.35">
      <c r="T46913" s="246">
        <f t="shared" si="771"/>
        <v>0</v>
      </c>
    </row>
    <row r="46914" spans="20:20" ht="18.75" customHeight="1" x14ac:dyDescent="0.35">
      <c r="T46914" s="246">
        <f t="shared" si="771"/>
        <v>0</v>
      </c>
    </row>
    <row r="46915" spans="20:20" ht="18.75" customHeight="1" x14ac:dyDescent="0.35">
      <c r="T46915" s="246">
        <f t="shared" si="771"/>
        <v>0</v>
      </c>
    </row>
    <row r="46916" spans="20:20" ht="18.75" customHeight="1" x14ac:dyDescent="0.35">
      <c r="T46916" s="246">
        <f t="shared" si="771"/>
        <v>0</v>
      </c>
    </row>
    <row r="46917" spans="20:20" ht="18.75" customHeight="1" x14ac:dyDescent="0.35">
      <c r="T46917" s="246">
        <f t="shared" si="771"/>
        <v>0</v>
      </c>
    </row>
    <row r="46918" spans="20:20" ht="18.75" customHeight="1" x14ac:dyDescent="0.35">
      <c r="T46918" s="246">
        <f t="shared" si="771"/>
        <v>0</v>
      </c>
    </row>
    <row r="46919" spans="20:20" ht="18.75" customHeight="1" x14ac:dyDescent="0.35">
      <c r="T46919" s="246">
        <f t="shared" si="771"/>
        <v>0</v>
      </c>
    </row>
    <row r="46920" spans="20:20" ht="18.75" customHeight="1" x14ac:dyDescent="0.35">
      <c r="T46920" s="246">
        <f t="shared" si="771"/>
        <v>0</v>
      </c>
    </row>
    <row r="46921" spans="20:20" ht="18.75" customHeight="1" x14ac:dyDescent="0.35">
      <c r="T46921" s="246">
        <f t="shared" si="771"/>
        <v>0</v>
      </c>
    </row>
    <row r="46922" spans="20:20" ht="18.75" customHeight="1" x14ac:dyDescent="0.35">
      <c r="T46922" s="246">
        <f t="shared" si="771"/>
        <v>0</v>
      </c>
    </row>
    <row r="46923" spans="20:20" ht="18.75" customHeight="1" x14ac:dyDescent="0.35">
      <c r="T46923" s="246">
        <f t="shared" si="771"/>
        <v>0</v>
      </c>
    </row>
    <row r="46924" spans="20:20" ht="18.75" customHeight="1" x14ac:dyDescent="0.35">
      <c r="T46924" s="246">
        <f t="shared" si="771"/>
        <v>0</v>
      </c>
    </row>
    <row r="46925" spans="20:20" ht="18.75" customHeight="1" x14ac:dyDescent="0.35">
      <c r="T46925" s="246">
        <f t="shared" si="771"/>
        <v>0</v>
      </c>
    </row>
    <row r="46926" spans="20:20" ht="18.75" customHeight="1" x14ac:dyDescent="0.35">
      <c r="T46926" s="246">
        <f t="shared" si="771"/>
        <v>0</v>
      </c>
    </row>
    <row r="46927" spans="20:20" ht="18.75" customHeight="1" x14ac:dyDescent="0.35">
      <c r="T46927" s="246">
        <f t="shared" si="771"/>
        <v>0</v>
      </c>
    </row>
    <row r="46928" spans="20:20" ht="18.75" customHeight="1" x14ac:dyDescent="0.35">
      <c r="T46928" s="246">
        <f t="shared" si="771"/>
        <v>0</v>
      </c>
    </row>
    <row r="46929" spans="20:20" ht="18.75" customHeight="1" x14ac:dyDescent="0.35">
      <c r="T46929" s="246">
        <f t="shared" si="771"/>
        <v>0</v>
      </c>
    </row>
    <row r="46930" spans="20:20" ht="18.75" customHeight="1" x14ac:dyDescent="0.35">
      <c r="T46930" s="246">
        <f t="shared" si="771"/>
        <v>0</v>
      </c>
    </row>
    <row r="46931" spans="20:20" ht="18.75" customHeight="1" x14ac:dyDescent="0.35">
      <c r="T46931" s="246">
        <f t="shared" si="771"/>
        <v>0</v>
      </c>
    </row>
    <row r="46932" spans="20:20" ht="18.75" customHeight="1" x14ac:dyDescent="0.35">
      <c r="T46932" s="246">
        <f t="shared" si="771"/>
        <v>0</v>
      </c>
    </row>
    <row r="46933" spans="20:20" ht="18.75" customHeight="1" x14ac:dyDescent="0.35">
      <c r="T46933" s="246">
        <f t="shared" si="771"/>
        <v>0</v>
      </c>
    </row>
    <row r="46934" spans="20:20" ht="18.75" customHeight="1" x14ac:dyDescent="0.35">
      <c r="T46934" s="246">
        <f t="shared" si="771"/>
        <v>0</v>
      </c>
    </row>
    <row r="46935" spans="20:20" ht="18.75" customHeight="1" x14ac:dyDescent="0.35">
      <c r="T46935" s="246">
        <f t="shared" si="771"/>
        <v>0</v>
      </c>
    </row>
    <row r="46936" spans="20:20" ht="18.75" customHeight="1" x14ac:dyDescent="0.35">
      <c r="T46936" s="246">
        <f t="shared" si="771"/>
        <v>0</v>
      </c>
    </row>
    <row r="46937" spans="20:20" ht="18.75" customHeight="1" x14ac:dyDescent="0.35">
      <c r="T46937" s="246">
        <f t="shared" si="771"/>
        <v>0</v>
      </c>
    </row>
    <row r="46938" spans="20:20" ht="18.75" customHeight="1" x14ac:dyDescent="0.35">
      <c r="T46938" s="246">
        <f t="shared" si="771"/>
        <v>0</v>
      </c>
    </row>
    <row r="46939" spans="20:20" ht="18.75" customHeight="1" x14ac:dyDescent="0.35">
      <c r="T46939" s="246">
        <f t="shared" si="771"/>
        <v>0</v>
      </c>
    </row>
    <row r="46940" spans="20:20" ht="18.75" customHeight="1" x14ac:dyDescent="0.35">
      <c r="T46940" s="246">
        <f t="shared" si="771"/>
        <v>0</v>
      </c>
    </row>
    <row r="46941" spans="20:20" ht="18.75" customHeight="1" x14ac:dyDescent="0.35">
      <c r="T46941" s="246">
        <f t="shared" si="771"/>
        <v>0</v>
      </c>
    </row>
    <row r="46942" spans="20:20" ht="18.75" customHeight="1" x14ac:dyDescent="0.35">
      <c r="T46942" s="246">
        <f t="shared" si="771"/>
        <v>0</v>
      </c>
    </row>
    <row r="46943" spans="20:20" ht="18.75" customHeight="1" x14ac:dyDescent="0.35">
      <c r="T46943" s="246">
        <f t="shared" si="771"/>
        <v>0</v>
      </c>
    </row>
    <row r="46944" spans="20:20" ht="18.75" customHeight="1" x14ac:dyDescent="0.35">
      <c r="T46944" s="246">
        <f t="shared" si="771"/>
        <v>0</v>
      </c>
    </row>
    <row r="46945" spans="20:20" ht="18.75" customHeight="1" x14ac:dyDescent="0.35">
      <c r="T46945" s="246">
        <f t="shared" si="771"/>
        <v>0</v>
      </c>
    </row>
    <row r="46946" spans="20:20" ht="18.75" customHeight="1" x14ac:dyDescent="0.35">
      <c r="T46946" s="246">
        <f t="shared" si="771"/>
        <v>0</v>
      </c>
    </row>
    <row r="46947" spans="20:20" ht="18.75" customHeight="1" x14ac:dyDescent="0.35">
      <c r="T46947" s="246">
        <f t="shared" si="771"/>
        <v>0</v>
      </c>
    </row>
    <row r="46948" spans="20:20" ht="18.75" customHeight="1" x14ac:dyDescent="0.35">
      <c r="T46948" s="246">
        <f t="shared" si="771"/>
        <v>0</v>
      </c>
    </row>
    <row r="46949" spans="20:20" ht="18.75" customHeight="1" x14ac:dyDescent="0.35">
      <c r="T46949" s="246">
        <f t="shared" si="771"/>
        <v>0</v>
      </c>
    </row>
    <row r="46950" spans="20:20" ht="18.75" customHeight="1" x14ac:dyDescent="0.35">
      <c r="T46950" s="246">
        <f t="shared" si="771"/>
        <v>0</v>
      </c>
    </row>
    <row r="46951" spans="20:20" ht="18.75" customHeight="1" x14ac:dyDescent="0.35">
      <c r="T46951" s="246">
        <f t="shared" si="771"/>
        <v>0</v>
      </c>
    </row>
    <row r="46952" spans="20:20" ht="18.75" customHeight="1" x14ac:dyDescent="0.35">
      <c r="T46952" s="246">
        <f t="shared" si="771"/>
        <v>0</v>
      </c>
    </row>
    <row r="46953" spans="20:20" ht="18.75" customHeight="1" x14ac:dyDescent="0.35">
      <c r="T46953" s="246">
        <f t="shared" si="771"/>
        <v>0</v>
      </c>
    </row>
    <row r="46954" spans="20:20" ht="18.75" customHeight="1" x14ac:dyDescent="0.35">
      <c r="T46954" s="246">
        <f t="shared" si="771"/>
        <v>0</v>
      </c>
    </row>
    <row r="46955" spans="20:20" ht="18.75" customHeight="1" x14ac:dyDescent="0.35">
      <c r="T46955" s="246">
        <f t="shared" si="771"/>
        <v>0</v>
      </c>
    </row>
    <row r="46956" spans="20:20" ht="18.75" customHeight="1" x14ac:dyDescent="0.35">
      <c r="T46956" s="246">
        <f t="shared" si="771"/>
        <v>0</v>
      </c>
    </row>
    <row r="46957" spans="20:20" ht="18.75" customHeight="1" x14ac:dyDescent="0.35">
      <c r="T46957" s="246">
        <f t="shared" si="771"/>
        <v>0</v>
      </c>
    </row>
    <row r="46958" spans="20:20" ht="18.75" customHeight="1" x14ac:dyDescent="0.35">
      <c r="T46958" s="246">
        <f t="shared" si="771"/>
        <v>0</v>
      </c>
    </row>
    <row r="46959" spans="20:20" ht="18.75" customHeight="1" x14ac:dyDescent="0.35">
      <c r="T46959" s="246">
        <f t="shared" si="771"/>
        <v>0</v>
      </c>
    </row>
    <row r="46960" spans="20:20" ht="18.75" customHeight="1" x14ac:dyDescent="0.35">
      <c r="T46960" s="246">
        <f t="shared" si="771"/>
        <v>0</v>
      </c>
    </row>
    <row r="46961" spans="20:20" ht="18.75" customHeight="1" x14ac:dyDescent="0.35">
      <c r="T46961" s="246">
        <f t="shared" si="771"/>
        <v>0</v>
      </c>
    </row>
    <row r="46962" spans="20:20" ht="18.75" customHeight="1" x14ac:dyDescent="0.35">
      <c r="T46962" s="246">
        <f t="shared" si="771"/>
        <v>0</v>
      </c>
    </row>
    <row r="46963" spans="20:20" ht="18.75" customHeight="1" x14ac:dyDescent="0.35">
      <c r="T46963" s="246">
        <f t="shared" si="771"/>
        <v>0</v>
      </c>
    </row>
    <row r="46964" spans="20:20" ht="18.75" customHeight="1" x14ac:dyDescent="0.35">
      <c r="T46964" s="246">
        <f t="shared" si="771"/>
        <v>0</v>
      </c>
    </row>
    <row r="46965" spans="20:20" ht="18.75" customHeight="1" x14ac:dyDescent="0.35">
      <c r="T46965" s="246">
        <f t="shared" si="771"/>
        <v>0</v>
      </c>
    </row>
    <row r="46966" spans="20:20" ht="18.75" customHeight="1" x14ac:dyDescent="0.35">
      <c r="T46966" s="246">
        <f t="shared" si="771"/>
        <v>0</v>
      </c>
    </row>
    <row r="46967" spans="20:20" ht="18.75" customHeight="1" x14ac:dyDescent="0.35">
      <c r="T46967" s="246">
        <f t="shared" si="771"/>
        <v>0</v>
      </c>
    </row>
    <row r="46968" spans="20:20" ht="18.75" customHeight="1" x14ac:dyDescent="0.35">
      <c r="T46968" s="246">
        <f t="shared" si="771"/>
        <v>0</v>
      </c>
    </row>
    <row r="46969" spans="20:20" ht="18.75" customHeight="1" x14ac:dyDescent="0.35">
      <c r="T46969" s="246">
        <f t="shared" si="771"/>
        <v>0</v>
      </c>
    </row>
    <row r="46970" spans="20:20" ht="18.75" customHeight="1" x14ac:dyDescent="0.35">
      <c r="T46970" s="246">
        <f t="shared" si="771"/>
        <v>0</v>
      </c>
    </row>
    <row r="46971" spans="20:20" ht="18.75" customHeight="1" x14ac:dyDescent="0.35">
      <c r="T46971" s="246">
        <f t="shared" si="771"/>
        <v>0</v>
      </c>
    </row>
    <row r="46972" spans="20:20" ht="18.75" customHeight="1" x14ac:dyDescent="0.35">
      <c r="T46972" s="246">
        <f t="shared" ref="T46972:T47035" si="772">R46972*0.01</f>
        <v>0</v>
      </c>
    </row>
    <row r="46973" spans="20:20" ht="18.75" customHeight="1" x14ac:dyDescent="0.35">
      <c r="T46973" s="246">
        <f t="shared" si="772"/>
        <v>0</v>
      </c>
    </row>
    <row r="46974" spans="20:20" ht="18.75" customHeight="1" x14ac:dyDescent="0.35">
      <c r="T46974" s="246">
        <f t="shared" si="772"/>
        <v>0</v>
      </c>
    </row>
    <row r="46975" spans="20:20" ht="18.75" customHeight="1" x14ac:dyDescent="0.35">
      <c r="T46975" s="246">
        <f t="shared" si="772"/>
        <v>0</v>
      </c>
    </row>
    <row r="46976" spans="20:20" ht="18.75" customHeight="1" x14ac:dyDescent="0.35">
      <c r="T46976" s="246">
        <f t="shared" si="772"/>
        <v>0</v>
      </c>
    </row>
    <row r="46977" spans="20:20" ht="18.75" customHeight="1" x14ac:dyDescent="0.35">
      <c r="T46977" s="246">
        <f t="shared" si="772"/>
        <v>0</v>
      </c>
    </row>
    <row r="46978" spans="20:20" ht="18.75" customHeight="1" x14ac:dyDescent="0.35">
      <c r="T46978" s="246">
        <f t="shared" si="772"/>
        <v>0</v>
      </c>
    </row>
    <row r="46979" spans="20:20" ht="18.75" customHeight="1" x14ac:dyDescent="0.35">
      <c r="T46979" s="246">
        <f t="shared" si="772"/>
        <v>0</v>
      </c>
    </row>
    <row r="46980" spans="20:20" ht="18.75" customHeight="1" x14ac:dyDescent="0.35">
      <c r="T46980" s="246">
        <f t="shared" si="772"/>
        <v>0</v>
      </c>
    </row>
    <row r="46981" spans="20:20" ht="18.75" customHeight="1" x14ac:dyDescent="0.35">
      <c r="T46981" s="246">
        <f t="shared" si="772"/>
        <v>0</v>
      </c>
    </row>
    <row r="46982" spans="20:20" ht="18.75" customHeight="1" x14ac:dyDescent="0.35">
      <c r="T46982" s="246">
        <f t="shared" si="772"/>
        <v>0</v>
      </c>
    </row>
    <row r="46983" spans="20:20" ht="18.75" customHeight="1" x14ac:dyDescent="0.35">
      <c r="T46983" s="246">
        <f t="shared" si="772"/>
        <v>0</v>
      </c>
    </row>
    <row r="46984" spans="20:20" ht="18.75" customHeight="1" x14ac:dyDescent="0.35">
      <c r="T46984" s="246">
        <f t="shared" si="772"/>
        <v>0</v>
      </c>
    </row>
    <row r="46985" spans="20:20" ht="18.75" customHeight="1" x14ac:dyDescent="0.35">
      <c r="T46985" s="246">
        <f t="shared" si="772"/>
        <v>0</v>
      </c>
    </row>
    <row r="46986" spans="20:20" ht="18.75" customHeight="1" x14ac:dyDescent="0.35">
      <c r="T46986" s="246">
        <f t="shared" si="772"/>
        <v>0</v>
      </c>
    </row>
    <row r="46987" spans="20:20" ht="18.75" customHeight="1" x14ac:dyDescent="0.35">
      <c r="T46987" s="246">
        <f t="shared" si="772"/>
        <v>0</v>
      </c>
    </row>
    <row r="46988" spans="20:20" ht="18.75" customHeight="1" x14ac:dyDescent="0.35">
      <c r="T46988" s="246">
        <f t="shared" si="772"/>
        <v>0</v>
      </c>
    </row>
    <row r="46989" spans="20:20" ht="18.75" customHeight="1" x14ac:dyDescent="0.35">
      <c r="T46989" s="246">
        <f t="shared" si="772"/>
        <v>0</v>
      </c>
    </row>
    <row r="46990" spans="20:20" ht="18.75" customHeight="1" x14ac:dyDescent="0.35">
      <c r="T46990" s="246">
        <f t="shared" si="772"/>
        <v>0</v>
      </c>
    </row>
    <row r="46991" spans="20:20" ht="18.75" customHeight="1" x14ac:dyDescent="0.35">
      <c r="T46991" s="246">
        <f t="shared" si="772"/>
        <v>0</v>
      </c>
    </row>
    <row r="46992" spans="20:20" ht="18.75" customHeight="1" x14ac:dyDescent="0.35">
      <c r="T46992" s="246">
        <f t="shared" si="772"/>
        <v>0</v>
      </c>
    </row>
    <row r="46993" spans="20:20" ht="18.75" customHeight="1" x14ac:dyDescent="0.35">
      <c r="T46993" s="246">
        <f t="shared" si="772"/>
        <v>0</v>
      </c>
    </row>
    <row r="46994" spans="20:20" ht="18.75" customHeight="1" x14ac:dyDescent="0.35">
      <c r="T46994" s="246">
        <f t="shared" si="772"/>
        <v>0</v>
      </c>
    </row>
    <row r="46995" spans="20:20" ht="18.75" customHeight="1" x14ac:dyDescent="0.35">
      <c r="T46995" s="246">
        <f t="shared" si="772"/>
        <v>0</v>
      </c>
    </row>
    <row r="46996" spans="20:20" ht="18.75" customHeight="1" x14ac:dyDescent="0.35">
      <c r="T46996" s="246">
        <f t="shared" si="772"/>
        <v>0</v>
      </c>
    </row>
    <row r="46997" spans="20:20" ht="18.75" customHeight="1" x14ac:dyDescent="0.35">
      <c r="T46997" s="246">
        <f t="shared" si="772"/>
        <v>0</v>
      </c>
    </row>
    <row r="46998" spans="20:20" ht="18.75" customHeight="1" x14ac:dyDescent="0.35">
      <c r="T46998" s="246">
        <f t="shared" si="772"/>
        <v>0</v>
      </c>
    </row>
    <row r="46999" spans="20:20" ht="18.75" customHeight="1" x14ac:dyDescent="0.35">
      <c r="T46999" s="246">
        <f t="shared" si="772"/>
        <v>0</v>
      </c>
    </row>
    <row r="47000" spans="20:20" ht="18.75" customHeight="1" x14ac:dyDescent="0.35">
      <c r="T47000" s="246">
        <f t="shared" si="772"/>
        <v>0</v>
      </c>
    </row>
    <row r="47001" spans="20:20" ht="18.75" customHeight="1" x14ac:dyDescent="0.35">
      <c r="T47001" s="246">
        <f t="shared" si="772"/>
        <v>0</v>
      </c>
    </row>
    <row r="47002" spans="20:20" ht="18.75" customHeight="1" x14ac:dyDescent="0.35">
      <c r="T47002" s="246">
        <f t="shared" si="772"/>
        <v>0</v>
      </c>
    </row>
    <row r="47003" spans="20:20" ht="18.75" customHeight="1" x14ac:dyDescent="0.35">
      <c r="T47003" s="246">
        <f t="shared" si="772"/>
        <v>0</v>
      </c>
    </row>
    <row r="47004" spans="20:20" ht="18.75" customHeight="1" x14ac:dyDescent="0.35">
      <c r="T47004" s="246">
        <f t="shared" si="772"/>
        <v>0</v>
      </c>
    </row>
    <row r="47005" spans="20:20" ht="18.75" customHeight="1" x14ac:dyDescent="0.35">
      <c r="T47005" s="246">
        <f t="shared" si="772"/>
        <v>0</v>
      </c>
    </row>
    <row r="47006" spans="20:20" ht="18.75" customHeight="1" x14ac:dyDescent="0.35">
      <c r="T47006" s="246">
        <f t="shared" si="772"/>
        <v>0</v>
      </c>
    </row>
    <row r="47007" spans="20:20" ht="18.75" customHeight="1" x14ac:dyDescent="0.35">
      <c r="T47007" s="246">
        <f t="shared" si="772"/>
        <v>0</v>
      </c>
    </row>
    <row r="47008" spans="20:20" ht="18.75" customHeight="1" x14ac:dyDescent="0.35">
      <c r="T47008" s="246">
        <f t="shared" si="772"/>
        <v>0</v>
      </c>
    </row>
    <row r="47009" spans="20:20" ht="18.75" customHeight="1" x14ac:dyDescent="0.35">
      <c r="T47009" s="246">
        <f t="shared" si="772"/>
        <v>0</v>
      </c>
    </row>
    <row r="47010" spans="20:20" ht="18.75" customHeight="1" x14ac:dyDescent="0.35">
      <c r="T47010" s="246">
        <f t="shared" si="772"/>
        <v>0</v>
      </c>
    </row>
    <row r="47011" spans="20:20" ht="18.75" customHeight="1" x14ac:dyDescent="0.35">
      <c r="T47011" s="246">
        <f t="shared" si="772"/>
        <v>0</v>
      </c>
    </row>
    <row r="47012" spans="20:20" ht="18.75" customHeight="1" x14ac:dyDescent="0.35">
      <c r="T47012" s="246">
        <f t="shared" si="772"/>
        <v>0</v>
      </c>
    </row>
    <row r="47013" spans="20:20" ht="18.75" customHeight="1" x14ac:dyDescent="0.35">
      <c r="T47013" s="246">
        <f t="shared" si="772"/>
        <v>0</v>
      </c>
    </row>
    <row r="47014" spans="20:20" ht="18.75" customHeight="1" x14ac:dyDescent="0.35">
      <c r="T47014" s="246">
        <f t="shared" si="772"/>
        <v>0</v>
      </c>
    </row>
    <row r="47015" spans="20:20" ht="18.75" customHeight="1" x14ac:dyDescent="0.35">
      <c r="T47015" s="246">
        <f t="shared" si="772"/>
        <v>0</v>
      </c>
    </row>
    <row r="47016" spans="20:20" ht="18.75" customHeight="1" x14ac:dyDescent="0.35">
      <c r="T47016" s="246">
        <f t="shared" si="772"/>
        <v>0</v>
      </c>
    </row>
    <row r="47017" spans="20:20" ht="18.75" customHeight="1" x14ac:dyDescent="0.35">
      <c r="T47017" s="246">
        <f t="shared" si="772"/>
        <v>0</v>
      </c>
    </row>
    <row r="47018" spans="20:20" ht="18.75" customHeight="1" x14ac:dyDescent="0.35">
      <c r="T47018" s="246">
        <f t="shared" si="772"/>
        <v>0</v>
      </c>
    </row>
    <row r="47019" spans="20:20" ht="18.75" customHeight="1" x14ac:dyDescent="0.35">
      <c r="T47019" s="246">
        <f t="shared" si="772"/>
        <v>0</v>
      </c>
    </row>
    <row r="47020" spans="20:20" ht="18.75" customHeight="1" x14ac:dyDescent="0.35">
      <c r="T47020" s="246">
        <f t="shared" si="772"/>
        <v>0</v>
      </c>
    </row>
    <row r="47021" spans="20:20" ht="18.75" customHeight="1" x14ac:dyDescent="0.35">
      <c r="T47021" s="246">
        <f t="shared" si="772"/>
        <v>0</v>
      </c>
    </row>
    <row r="47022" spans="20:20" ht="18.75" customHeight="1" x14ac:dyDescent="0.35">
      <c r="T47022" s="246">
        <f t="shared" si="772"/>
        <v>0</v>
      </c>
    </row>
    <row r="47023" spans="20:20" ht="18.75" customHeight="1" x14ac:dyDescent="0.35">
      <c r="T47023" s="246">
        <f t="shared" si="772"/>
        <v>0</v>
      </c>
    </row>
    <row r="47024" spans="20:20" ht="18.75" customHeight="1" x14ac:dyDescent="0.35">
      <c r="T47024" s="246">
        <f t="shared" si="772"/>
        <v>0</v>
      </c>
    </row>
    <row r="47025" spans="20:20" ht="18.75" customHeight="1" x14ac:dyDescent="0.35">
      <c r="T47025" s="246">
        <f t="shared" si="772"/>
        <v>0</v>
      </c>
    </row>
    <row r="47026" spans="20:20" ht="18.75" customHeight="1" x14ac:dyDescent="0.35">
      <c r="T47026" s="246">
        <f t="shared" si="772"/>
        <v>0</v>
      </c>
    </row>
    <row r="47027" spans="20:20" ht="18.75" customHeight="1" x14ac:dyDescent="0.35">
      <c r="T47027" s="246">
        <f t="shared" si="772"/>
        <v>0</v>
      </c>
    </row>
    <row r="47028" spans="20:20" ht="18.75" customHeight="1" x14ac:dyDescent="0.35">
      <c r="T47028" s="246">
        <f t="shared" si="772"/>
        <v>0</v>
      </c>
    </row>
    <row r="47029" spans="20:20" ht="18.75" customHeight="1" x14ac:dyDescent="0.35">
      <c r="T47029" s="246">
        <f t="shared" si="772"/>
        <v>0</v>
      </c>
    </row>
    <row r="47030" spans="20:20" ht="18.75" customHeight="1" x14ac:dyDescent="0.35">
      <c r="T47030" s="246">
        <f t="shared" si="772"/>
        <v>0</v>
      </c>
    </row>
    <row r="47031" spans="20:20" ht="18.75" customHeight="1" x14ac:dyDescent="0.35">
      <c r="T47031" s="246">
        <f t="shared" si="772"/>
        <v>0</v>
      </c>
    </row>
    <row r="47032" spans="20:20" ht="18.75" customHeight="1" x14ac:dyDescent="0.35">
      <c r="T47032" s="246">
        <f t="shared" si="772"/>
        <v>0</v>
      </c>
    </row>
    <row r="47033" spans="20:20" ht="18.75" customHeight="1" x14ac:dyDescent="0.35">
      <c r="T47033" s="246">
        <f t="shared" si="772"/>
        <v>0</v>
      </c>
    </row>
    <row r="47034" spans="20:20" ht="18.75" customHeight="1" x14ac:dyDescent="0.35">
      <c r="T47034" s="246">
        <f t="shared" si="772"/>
        <v>0</v>
      </c>
    </row>
    <row r="47035" spans="20:20" ht="18.75" customHeight="1" x14ac:dyDescent="0.35">
      <c r="T47035" s="246">
        <f t="shared" si="772"/>
        <v>0</v>
      </c>
    </row>
    <row r="47036" spans="20:20" ht="18.75" customHeight="1" x14ac:dyDescent="0.35">
      <c r="T47036" s="246">
        <f t="shared" ref="T47036:T47099" si="773">R47036*0.01</f>
        <v>0</v>
      </c>
    </row>
    <row r="47037" spans="20:20" ht="18.75" customHeight="1" x14ac:dyDescent="0.35">
      <c r="T47037" s="246">
        <f t="shared" si="773"/>
        <v>0</v>
      </c>
    </row>
    <row r="47038" spans="20:20" ht="18.75" customHeight="1" x14ac:dyDescent="0.35">
      <c r="T47038" s="246">
        <f t="shared" si="773"/>
        <v>0</v>
      </c>
    </row>
    <row r="47039" spans="20:20" ht="18.75" customHeight="1" x14ac:dyDescent="0.35">
      <c r="T47039" s="246">
        <f t="shared" si="773"/>
        <v>0</v>
      </c>
    </row>
    <row r="47040" spans="20:20" ht="18.75" customHeight="1" x14ac:dyDescent="0.35">
      <c r="T47040" s="246">
        <f t="shared" si="773"/>
        <v>0</v>
      </c>
    </row>
    <row r="47041" spans="20:20" ht="18.75" customHeight="1" x14ac:dyDescent="0.35">
      <c r="T47041" s="246">
        <f t="shared" si="773"/>
        <v>0</v>
      </c>
    </row>
    <row r="47042" spans="20:20" ht="18.75" customHeight="1" x14ac:dyDescent="0.35">
      <c r="T47042" s="246">
        <f t="shared" si="773"/>
        <v>0</v>
      </c>
    </row>
    <row r="47043" spans="20:20" ht="18.75" customHeight="1" x14ac:dyDescent="0.35">
      <c r="T47043" s="246">
        <f t="shared" si="773"/>
        <v>0</v>
      </c>
    </row>
    <row r="47044" spans="20:20" ht="18.75" customHeight="1" x14ac:dyDescent="0.35">
      <c r="T47044" s="246">
        <f t="shared" si="773"/>
        <v>0</v>
      </c>
    </row>
    <row r="47045" spans="20:20" ht="18.75" customHeight="1" x14ac:dyDescent="0.35">
      <c r="T47045" s="246">
        <f t="shared" si="773"/>
        <v>0</v>
      </c>
    </row>
    <row r="47046" spans="20:20" ht="18.75" customHeight="1" x14ac:dyDescent="0.35">
      <c r="T47046" s="246">
        <f t="shared" si="773"/>
        <v>0</v>
      </c>
    </row>
    <row r="47047" spans="20:20" ht="18.75" customHeight="1" x14ac:dyDescent="0.35">
      <c r="T47047" s="246">
        <f t="shared" si="773"/>
        <v>0</v>
      </c>
    </row>
    <row r="47048" spans="20:20" ht="18.75" customHeight="1" x14ac:dyDescent="0.35">
      <c r="T47048" s="246">
        <f t="shared" si="773"/>
        <v>0</v>
      </c>
    </row>
    <row r="47049" spans="20:20" ht="18.75" customHeight="1" x14ac:dyDescent="0.35">
      <c r="T47049" s="246">
        <f t="shared" si="773"/>
        <v>0</v>
      </c>
    </row>
    <row r="47050" spans="20:20" ht="18.75" customHeight="1" x14ac:dyDescent="0.35">
      <c r="T47050" s="246">
        <f t="shared" si="773"/>
        <v>0</v>
      </c>
    </row>
    <row r="47051" spans="20:20" ht="18.75" customHeight="1" x14ac:dyDescent="0.35">
      <c r="T47051" s="246">
        <f t="shared" si="773"/>
        <v>0</v>
      </c>
    </row>
    <row r="47052" spans="20:20" ht="18.75" customHeight="1" x14ac:dyDescent="0.35">
      <c r="T47052" s="246">
        <f t="shared" si="773"/>
        <v>0</v>
      </c>
    </row>
    <row r="47053" spans="20:20" ht="18.75" customHeight="1" x14ac:dyDescent="0.35">
      <c r="T47053" s="246">
        <f t="shared" si="773"/>
        <v>0</v>
      </c>
    </row>
    <row r="47054" spans="20:20" ht="18.75" customHeight="1" x14ac:dyDescent="0.35">
      <c r="T47054" s="246">
        <f t="shared" si="773"/>
        <v>0</v>
      </c>
    </row>
    <row r="47055" spans="20:20" ht="18.75" customHeight="1" x14ac:dyDescent="0.35">
      <c r="T47055" s="246">
        <f t="shared" si="773"/>
        <v>0</v>
      </c>
    </row>
    <row r="47056" spans="20:20" ht="18.75" customHeight="1" x14ac:dyDescent="0.35">
      <c r="T47056" s="246">
        <f t="shared" si="773"/>
        <v>0</v>
      </c>
    </row>
    <row r="47057" spans="20:20" ht="18.75" customHeight="1" x14ac:dyDescent="0.35">
      <c r="T47057" s="246">
        <f t="shared" si="773"/>
        <v>0</v>
      </c>
    </row>
    <row r="47058" spans="20:20" ht="18.75" customHeight="1" x14ac:dyDescent="0.35">
      <c r="T47058" s="246">
        <f t="shared" si="773"/>
        <v>0</v>
      </c>
    </row>
    <row r="47059" spans="20:20" ht="18.75" customHeight="1" x14ac:dyDescent="0.35">
      <c r="T47059" s="246">
        <f t="shared" si="773"/>
        <v>0</v>
      </c>
    </row>
    <row r="47060" spans="20:20" ht="18.75" customHeight="1" x14ac:dyDescent="0.35">
      <c r="T47060" s="246">
        <f t="shared" si="773"/>
        <v>0</v>
      </c>
    </row>
    <row r="47061" spans="20:20" ht="18.75" customHeight="1" x14ac:dyDescent="0.35">
      <c r="T47061" s="246">
        <f t="shared" si="773"/>
        <v>0</v>
      </c>
    </row>
    <row r="47062" spans="20:20" ht="18.75" customHeight="1" x14ac:dyDescent="0.35">
      <c r="T47062" s="246">
        <f t="shared" si="773"/>
        <v>0</v>
      </c>
    </row>
    <row r="47063" spans="20:20" ht="18.75" customHeight="1" x14ac:dyDescent="0.35">
      <c r="T47063" s="246">
        <f t="shared" si="773"/>
        <v>0</v>
      </c>
    </row>
    <row r="47064" spans="20:20" ht="18.75" customHeight="1" x14ac:dyDescent="0.35">
      <c r="T47064" s="246">
        <f t="shared" si="773"/>
        <v>0</v>
      </c>
    </row>
    <row r="47065" spans="20:20" ht="18.75" customHeight="1" x14ac:dyDescent="0.35">
      <c r="T47065" s="246">
        <f t="shared" si="773"/>
        <v>0</v>
      </c>
    </row>
    <row r="47066" spans="20:20" ht="18.75" customHeight="1" x14ac:dyDescent="0.35">
      <c r="T47066" s="246">
        <f t="shared" si="773"/>
        <v>0</v>
      </c>
    </row>
    <row r="47067" spans="20:20" ht="18.75" customHeight="1" x14ac:dyDescent="0.35">
      <c r="T47067" s="246">
        <f t="shared" si="773"/>
        <v>0</v>
      </c>
    </row>
    <row r="47068" spans="20:20" ht="18.75" customHeight="1" x14ac:dyDescent="0.35">
      <c r="T47068" s="246">
        <f t="shared" si="773"/>
        <v>0</v>
      </c>
    </row>
    <row r="47069" spans="20:20" ht="18.75" customHeight="1" x14ac:dyDescent="0.35">
      <c r="T47069" s="246">
        <f t="shared" si="773"/>
        <v>0</v>
      </c>
    </row>
    <row r="47070" spans="20:20" ht="18.75" customHeight="1" x14ac:dyDescent="0.35">
      <c r="T47070" s="246">
        <f t="shared" si="773"/>
        <v>0</v>
      </c>
    </row>
    <row r="47071" spans="20:20" ht="18.75" customHeight="1" x14ac:dyDescent="0.35">
      <c r="T47071" s="246">
        <f t="shared" si="773"/>
        <v>0</v>
      </c>
    </row>
    <row r="47072" spans="20:20" ht="18.75" customHeight="1" x14ac:dyDescent="0.35">
      <c r="T47072" s="246">
        <f t="shared" si="773"/>
        <v>0</v>
      </c>
    </row>
    <row r="47073" spans="20:20" ht="18.75" customHeight="1" x14ac:dyDescent="0.35">
      <c r="T47073" s="246">
        <f t="shared" si="773"/>
        <v>0</v>
      </c>
    </row>
    <row r="47074" spans="20:20" ht="18.75" customHeight="1" x14ac:dyDescent="0.35">
      <c r="T47074" s="246">
        <f t="shared" si="773"/>
        <v>0</v>
      </c>
    </row>
    <row r="47075" spans="20:20" ht="18.75" customHeight="1" x14ac:dyDescent="0.35">
      <c r="T47075" s="246">
        <f t="shared" si="773"/>
        <v>0</v>
      </c>
    </row>
    <row r="47076" spans="20:20" ht="18.75" customHeight="1" x14ac:dyDescent="0.35">
      <c r="T47076" s="246">
        <f t="shared" si="773"/>
        <v>0</v>
      </c>
    </row>
    <row r="47077" spans="20:20" ht="18.75" customHeight="1" x14ac:dyDescent="0.35">
      <c r="T47077" s="246">
        <f t="shared" si="773"/>
        <v>0</v>
      </c>
    </row>
    <row r="47078" spans="20:20" ht="18.75" customHeight="1" x14ac:dyDescent="0.35">
      <c r="T47078" s="246">
        <f t="shared" si="773"/>
        <v>0</v>
      </c>
    </row>
    <row r="47079" spans="20:20" ht="18.75" customHeight="1" x14ac:dyDescent="0.35">
      <c r="T47079" s="246">
        <f t="shared" si="773"/>
        <v>0</v>
      </c>
    </row>
    <row r="47080" spans="20:20" ht="18.75" customHeight="1" x14ac:dyDescent="0.35">
      <c r="T47080" s="246">
        <f t="shared" si="773"/>
        <v>0</v>
      </c>
    </row>
    <row r="47081" spans="20:20" ht="18.75" customHeight="1" x14ac:dyDescent="0.35">
      <c r="T47081" s="246">
        <f t="shared" si="773"/>
        <v>0</v>
      </c>
    </row>
    <row r="47082" spans="20:20" ht="18.75" customHeight="1" x14ac:dyDescent="0.35">
      <c r="T47082" s="246">
        <f t="shared" si="773"/>
        <v>0</v>
      </c>
    </row>
    <row r="47083" spans="20:20" ht="18.75" customHeight="1" x14ac:dyDescent="0.35">
      <c r="T47083" s="246">
        <f t="shared" si="773"/>
        <v>0</v>
      </c>
    </row>
    <row r="47084" spans="20:20" ht="18.75" customHeight="1" x14ac:dyDescent="0.35">
      <c r="T47084" s="246">
        <f t="shared" si="773"/>
        <v>0</v>
      </c>
    </row>
    <row r="47085" spans="20:20" ht="18.75" customHeight="1" x14ac:dyDescent="0.35">
      <c r="T47085" s="246">
        <f t="shared" si="773"/>
        <v>0</v>
      </c>
    </row>
    <row r="47086" spans="20:20" ht="18.75" customHeight="1" x14ac:dyDescent="0.35">
      <c r="T47086" s="246">
        <f t="shared" si="773"/>
        <v>0</v>
      </c>
    </row>
    <row r="47087" spans="20:20" ht="18.75" customHeight="1" x14ac:dyDescent="0.35">
      <c r="T47087" s="246">
        <f t="shared" si="773"/>
        <v>0</v>
      </c>
    </row>
    <row r="47088" spans="20:20" ht="18.75" customHeight="1" x14ac:dyDescent="0.35">
      <c r="T47088" s="246">
        <f t="shared" si="773"/>
        <v>0</v>
      </c>
    </row>
    <row r="47089" spans="20:20" ht="18.75" customHeight="1" x14ac:dyDescent="0.35">
      <c r="T47089" s="246">
        <f t="shared" si="773"/>
        <v>0</v>
      </c>
    </row>
    <row r="47090" spans="20:20" ht="18.75" customHeight="1" x14ac:dyDescent="0.35">
      <c r="T47090" s="246">
        <f t="shared" si="773"/>
        <v>0</v>
      </c>
    </row>
    <row r="47091" spans="20:20" ht="18.75" customHeight="1" x14ac:dyDescent="0.35">
      <c r="T47091" s="246">
        <f t="shared" si="773"/>
        <v>0</v>
      </c>
    </row>
    <row r="47092" spans="20:20" ht="18.75" customHeight="1" x14ac:dyDescent="0.35">
      <c r="T47092" s="246">
        <f t="shared" si="773"/>
        <v>0</v>
      </c>
    </row>
    <row r="47093" spans="20:20" ht="18.75" customHeight="1" x14ac:dyDescent="0.35">
      <c r="T47093" s="246">
        <f t="shared" si="773"/>
        <v>0</v>
      </c>
    </row>
    <row r="47094" spans="20:20" ht="18.75" customHeight="1" x14ac:dyDescent="0.35">
      <c r="T47094" s="246">
        <f t="shared" si="773"/>
        <v>0</v>
      </c>
    </row>
    <row r="47095" spans="20:20" ht="18.75" customHeight="1" x14ac:dyDescent="0.35">
      <c r="T47095" s="246">
        <f t="shared" si="773"/>
        <v>0</v>
      </c>
    </row>
    <row r="47096" spans="20:20" ht="18.75" customHeight="1" x14ac:dyDescent="0.35">
      <c r="T47096" s="246">
        <f t="shared" si="773"/>
        <v>0</v>
      </c>
    </row>
    <row r="47097" spans="20:20" ht="18.75" customHeight="1" x14ac:dyDescent="0.35">
      <c r="T47097" s="246">
        <f t="shared" si="773"/>
        <v>0</v>
      </c>
    </row>
    <row r="47098" spans="20:20" ht="18.75" customHeight="1" x14ac:dyDescent="0.35">
      <c r="T47098" s="246">
        <f t="shared" si="773"/>
        <v>0</v>
      </c>
    </row>
    <row r="47099" spans="20:20" ht="18.75" customHeight="1" x14ac:dyDescent="0.35">
      <c r="T47099" s="246">
        <f t="shared" si="773"/>
        <v>0</v>
      </c>
    </row>
    <row r="47100" spans="20:20" ht="18.75" customHeight="1" x14ac:dyDescent="0.35">
      <c r="T47100" s="246">
        <f t="shared" ref="T47100:T47163" si="774">R47100*0.01</f>
        <v>0</v>
      </c>
    </row>
    <row r="47101" spans="20:20" ht="18.75" customHeight="1" x14ac:dyDescent="0.35">
      <c r="T47101" s="246">
        <f t="shared" si="774"/>
        <v>0</v>
      </c>
    </row>
    <row r="47102" spans="20:20" ht="18.75" customHeight="1" x14ac:dyDescent="0.35">
      <c r="T47102" s="246">
        <f t="shared" si="774"/>
        <v>0</v>
      </c>
    </row>
    <row r="47103" spans="20:20" ht="18.75" customHeight="1" x14ac:dyDescent="0.35">
      <c r="T47103" s="246">
        <f t="shared" si="774"/>
        <v>0</v>
      </c>
    </row>
    <row r="47104" spans="20:20" ht="18.75" customHeight="1" x14ac:dyDescent="0.35">
      <c r="T47104" s="246">
        <f t="shared" si="774"/>
        <v>0</v>
      </c>
    </row>
    <row r="47105" spans="20:20" ht="18.75" customHeight="1" x14ac:dyDescent="0.35">
      <c r="T47105" s="246">
        <f t="shared" si="774"/>
        <v>0</v>
      </c>
    </row>
    <row r="47106" spans="20:20" ht="18.75" customHeight="1" x14ac:dyDescent="0.35">
      <c r="T47106" s="246">
        <f t="shared" si="774"/>
        <v>0</v>
      </c>
    </row>
    <row r="47107" spans="20:20" ht="18.75" customHeight="1" x14ac:dyDescent="0.35">
      <c r="T47107" s="246">
        <f t="shared" si="774"/>
        <v>0</v>
      </c>
    </row>
    <row r="47108" spans="20:20" ht="18.75" customHeight="1" x14ac:dyDescent="0.35">
      <c r="T47108" s="246">
        <f t="shared" si="774"/>
        <v>0</v>
      </c>
    </row>
    <row r="47109" spans="20:20" ht="18.75" customHeight="1" x14ac:dyDescent="0.35">
      <c r="T47109" s="246">
        <f t="shared" si="774"/>
        <v>0</v>
      </c>
    </row>
    <row r="47110" spans="20:20" ht="18.75" customHeight="1" x14ac:dyDescent="0.35">
      <c r="T47110" s="246">
        <f t="shared" si="774"/>
        <v>0</v>
      </c>
    </row>
    <row r="47111" spans="20:20" ht="18.75" customHeight="1" x14ac:dyDescent="0.35">
      <c r="T47111" s="246">
        <f t="shared" si="774"/>
        <v>0</v>
      </c>
    </row>
    <row r="47112" spans="20:20" ht="18.75" customHeight="1" x14ac:dyDescent="0.35">
      <c r="T47112" s="246">
        <f t="shared" si="774"/>
        <v>0</v>
      </c>
    </row>
    <row r="47113" spans="20:20" ht="18.75" customHeight="1" x14ac:dyDescent="0.35">
      <c r="T47113" s="246">
        <f t="shared" si="774"/>
        <v>0</v>
      </c>
    </row>
    <row r="47114" spans="20:20" ht="18.75" customHeight="1" x14ac:dyDescent="0.35">
      <c r="T47114" s="246">
        <f t="shared" si="774"/>
        <v>0</v>
      </c>
    </row>
    <row r="47115" spans="20:20" ht="18.75" customHeight="1" x14ac:dyDescent="0.35">
      <c r="T47115" s="246">
        <f t="shared" si="774"/>
        <v>0</v>
      </c>
    </row>
    <row r="47116" spans="20:20" ht="18.75" customHeight="1" x14ac:dyDescent="0.35">
      <c r="T47116" s="246">
        <f t="shared" si="774"/>
        <v>0</v>
      </c>
    </row>
    <row r="47117" spans="20:20" ht="18.75" customHeight="1" x14ac:dyDescent="0.35">
      <c r="T47117" s="246">
        <f t="shared" si="774"/>
        <v>0</v>
      </c>
    </row>
    <row r="47118" spans="20:20" ht="18.75" customHeight="1" x14ac:dyDescent="0.35">
      <c r="T47118" s="246">
        <f t="shared" si="774"/>
        <v>0</v>
      </c>
    </row>
    <row r="47119" spans="20:20" ht="18.75" customHeight="1" x14ac:dyDescent="0.35">
      <c r="T47119" s="246">
        <f t="shared" si="774"/>
        <v>0</v>
      </c>
    </row>
    <row r="47120" spans="20:20" ht="18.75" customHeight="1" x14ac:dyDescent="0.35">
      <c r="T47120" s="246">
        <f t="shared" si="774"/>
        <v>0</v>
      </c>
    </row>
    <row r="47121" spans="20:20" ht="18.75" customHeight="1" x14ac:dyDescent="0.35">
      <c r="T47121" s="246">
        <f t="shared" si="774"/>
        <v>0</v>
      </c>
    </row>
    <row r="47122" spans="20:20" ht="18.75" customHeight="1" x14ac:dyDescent="0.35">
      <c r="T47122" s="246">
        <f t="shared" si="774"/>
        <v>0</v>
      </c>
    </row>
    <row r="47123" spans="20:20" ht="18.75" customHeight="1" x14ac:dyDescent="0.35">
      <c r="T47123" s="246">
        <f t="shared" si="774"/>
        <v>0</v>
      </c>
    </row>
    <row r="47124" spans="20:20" ht="18.75" customHeight="1" x14ac:dyDescent="0.35">
      <c r="T47124" s="246">
        <f t="shared" si="774"/>
        <v>0</v>
      </c>
    </row>
    <row r="47125" spans="20:20" ht="18.75" customHeight="1" x14ac:dyDescent="0.35">
      <c r="T47125" s="246">
        <f t="shared" si="774"/>
        <v>0</v>
      </c>
    </row>
    <row r="47126" spans="20:20" ht="18.75" customHeight="1" x14ac:dyDescent="0.35">
      <c r="T47126" s="246">
        <f t="shared" si="774"/>
        <v>0</v>
      </c>
    </row>
    <row r="47127" spans="20:20" ht="18.75" customHeight="1" x14ac:dyDescent="0.35">
      <c r="T47127" s="246">
        <f t="shared" si="774"/>
        <v>0</v>
      </c>
    </row>
    <row r="47128" spans="20:20" ht="18.75" customHeight="1" x14ac:dyDescent="0.35">
      <c r="T47128" s="246">
        <f t="shared" si="774"/>
        <v>0</v>
      </c>
    </row>
    <row r="47129" spans="20:20" ht="18.75" customHeight="1" x14ac:dyDescent="0.35">
      <c r="T47129" s="246">
        <f t="shared" si="774"/>
        <v>0</v>
      </c>
    </row>
    <row r="47130" spans="20:20" ht="18.75" customHeight="1" x14ac:dyDescent="0.35">
      <c r="T47130" s="246">
        <f t="shared" si="774"/>
        <v>0</v>
      </c>
    </row>
    <row r="47131" spans="20:20" ht="18.75" customHeight="1" x14ac:dyDescent="0.35">
      <c r="T47131" s="246">
        <f t="shared" si="774"/>
        <v>0</v>
      </c>
    </row>
    <row r="47132" spans="20:20" ht="18.75" customHeight="1" x14ac:dyDescent="0.35">
      <c r="T47132" s="246">
        <f t="shared" si="774"/>
        <v>0</v>
      </c>
    </row>
    <row r="47133" spans="20:20" ht="18.75" customHeight="1" x14ac:dyDescent="0.35">
      <c r="T47133" s="246">
        <f t="shared" si="774"/>
        <v>0</v>
      </c>
    </row>
    <row r="47134" spans="20:20" ht="18.75" customHeight="1" x14ac:dyDescent="0.35">
      <c r="T47134" s="246">
        <f t="shared" si="774"/>
        <v>0</v>
      </c>
    </row>
    <row r="47135" spans="20:20" ht="18.75" customHeight="1" x14ac:dyDescent="0.35">
      <c r="T47135" s="246">
        <f t="shared" si="774"/>
        <v>0</v>
      </c>
    </row>
    <row r="47136" spans="20:20" ht="18.75" customHeight="1" x14ac:dyDescent="0.35">
      <c r="T47136" s="246">
        <f t="shared" si="774"/>
        <v>0</v>
      </c>
    </row>
    <row r="47137" spans="20:20" ht="18.75" customHeight="1" x14ac:dyDescent="0.35">
      <c r="T47137" s="246">
        <f t="shared" si="774"/>
        <v>0</v>
      </c>
    </row>
    <row r="47138" spans="20:20" ht="18.75" customHeight="1" x14ac:dyDescent="0.35">
      <c r="T47138" s="246">
        <f t="shared" si="774"/>
        <v>0</v>
      </c>
    </row>
    <row r="47139" spans="20:20" ht="18.75" customHeight="1" x14ac:dyDescent="0.35">
      <c r="T47139" s="246">
        <f t="shared" si="774"/>
        <v>0</v>
      </c>
    </row>
    <row r="47140" spans="20:20" ht="18.75" customHeight="1" x14ac:dyDescent="0.35">
      <c r="T47140" s="246">
        <f t="shared" si="774"/>
        <v>0</v>
      </c>
    </row>
    <row r="47141" spans="20:20" ht="18.75" customHeight="1" x14ac:dyDescent="0.35">
      <c r="T47141" s="246">
        <f t="shared" si="774"/>
        <v>0</v>
      </c>
    </row>
    <row r="47142" spans="20:20" ht="18.75" customHeight="1" x14ac:dyDescent="0.35">
      <c r="T47142" s="246">
        <f t="shared" si="774"/>
        <v>0</v>
      </c>
    </row>
    <row r="47143" spans="20:20" ht="18.75" customHeight="1" x14ac:dyDescent="0.35">
      <c r="T47143" s="246">
        <f t="shared" si="774"/>
        <v>0</v>
      </c>
    </row>
    <row r="47144" spans="20:20" ht="18.75" customHeight="1" x14ac:dyDescent="0.35">
      <c r="T47144" s="246">
        <f t="shared" si="774"/>
        <v>0</v>
      </c>
    </row>
    <row r="47145" spans="20:20" ht="18.75" customHeight="1" x14ac:dyDescent="0.35">
      <c r="T47145" s="246">
        <f t="shared" si="774"/>
        <v>0</v>
      </c>
    </row>
    <row r="47146" spans="20:20" ht="18.75" customHeight="1" x14ac:dyDescent="0.35">
      <c r="T47146" s="246">
        <f t="shared" si="774"/>
        <v>0</v>
      </c>
    </row>
    <row r="47147" spans="20:20" ht="18.75" customHeight="1" x14ac:dyDescent="0.35">
      <c r="T47147" s="246">
        <f t="shared" si="774"/>
        <v>0</v>
      </c>
    </row>
    <row r="47148" spans="20:20" ht="18.75" customHeight="1" x14ac:dyDescent="0.35">
      <c r="T47148" s="246">
        <f t="shared" si="774"/>
        <v>0</v>
      </c>
    </row>
    <row r="47149" spans="20:20" ht="18.75" customHeight="1" x14ac:dyDescent="0.35">
      <c r="T47149" s="246">
        <f t="shared" si="774"/>
        <v>0</v>
      </c>
    </row>
    <row r="47150" spans="20:20" ht="18.75" customHeight="1" x14ac:dyDescent="0.35">
      <c r="T47150" s="246">
        <f t="shared" si="774"/>
        <v>0</v>
      </c>
    </row>
    <row r="47151" spans="20:20" ht="18.75" customHeight="1" x14ac:dyDescent="0.35">
      <c r="T47151" s="246">
        <f t="shared" si="774"/>
        <v>0</v>
      </c>
    </row>
    <row r="47152" spans="20:20" ht="18.75" customHeight="1" x14ac:dyDescent="0.35">
      <c r="T47152" s="246">
        <f t="shared" si="774"/>
        <v>0</v>
      </c>
    </row>
    <row r="47153" spans="20:20" ht="18.75" customHeight="1" x14ac:dyDescent="0.35">
      <c r="T47153" s="246">
        <f t="shared" si="774"/>
        <v>0</v>
      </c>
    </row>
    <row r="47154" spans="20:20" ht="18.75" customHeight="1" x14ac:dyDescent="0.35">
      <c r="T47154" s="246">
        <f t="shared" si="774"/>
        <v>0</v>
      </c>
    </row>
    <row r="47155" spans="20:20" ht="18.75" customHeight="1" x14ac:dyDescent="0.35">
      <c r="T47155" s="246">
        <f t="shared" si="774"/>
        <v>0</v>
      </c>
    </row>
    <row r="47156" spans="20:20" ht="18.75" customHeight="1" x14ac:dyDescent="0.35">
      <c r="T47156" s="246">
        <f t="shared" si="774"/>
        <v>0</v>
      </c>
    </row>
    <row r="47157" spans="20:20" ht="18.75" customHeight="1" x14ac:dyDescent="0.35">
      <c r="T47157" s="246">
        <f t="shared" si="774"/>
        <v>0</v>
      </c>
    </row>
    <row r="47158" spans="20:20" ht="18.75" customHeight="1" x14ac:dyDescent="0.35">
      <c r="T47158" s="246">
        <f t="shared" si="774"/>
        <v>0</v>
      </c>
    </row>
    <row r="47159" spans="20:20" ht="18.75" customHeight="1" x14ac:dyDescent="0.35">
      <c r="T47159" s="246">
        <f t="shared" si="774"/>
        <v>0</v>
      </c>
    </row>
    <row r="47160" spans="20:20" ht="18.75" customHeight="1" x14ac:dyDescent="0.35">
      <c r="T47160" s="246">
        <f t="shared" si="774"/>
        <v>0</v>
      </c>
    </row>
    <row r="47161" spans="20:20" ht="18.75" customHeight="1" x14ac:dyDescent="0.35">
      <c r="T47161" s="246">
        <f t="shared" si="774"/>
        <v>0</v>
      </c>
    </row>
    <row r="47162" spans="20:20" ht="18.75" customHeight="1" x14ac:dyDescent="0.35">
      <c r="T47162" s="246">
        <f t="shared" si="774"/>
        <v>0</v>
      </c>
    </row>
    <row r="47163" spans="20:20" ht="18.75" customHeight="1" x14ac:dyDescent="0.35">
      <c r="T47163" s="246">
        <f t="shared" si="774"/>
        <v>0</v>
      </c>
    </row>
    <row r="47164" spans="20:20" ht="18.75" customHeight="1" x14ac:dyDescent="0.35">
      <c r="T47164" s="246">
        <f t="shared" ref="T47164:T47227" si="775">R47164*0.01</f>
        <v>0</v>
      </c>
    </row>
    <row r="47165" spans="20:20" ht="18.75" customHeight="1" x14ac:dyDescent="0.35">
      <c r="T47165" s="246">
        <f t="shared" si="775"/>
        <v>0</v>
      </c>
    </row>
    <row r="47166" spans="20:20" ht="18.75" customHeight="1" x14ac:dyDescent="0.35">
      <c r="T47166" s="246">
        <f t="shared" si="775"/>
        <v>0</v>
      </c>
    </row>
    <row r="47167" spans="20:20" ht="18.75" customHeight="1" x14ac:dyDescent="0.35">
      <c r="T47167" s="246">
        <f t="shared" si="775"/>
        <v>0</v>
      </c>
    </row>
    <row r="47168" spans="20:20" ht="18.75" customHeight="1" x14ac:dyDescent="0.35">
      <c r="T47168" s="246">
        <f t="shared" si="775"/>
        <v>0</v>
      </c>
    </row>
    <row r="47169" spans="20:20" ht="18.75" customHeight="1" x14ac:dyDescent="0.35">
      <c r="T47169" s="246">
        <f t="shared" si="775"/>
        <v>0</v>
      </c>
    </row>
    <row r="47170" spans="20:20" ht="18.75" customHeight="1" x14ac:dyDescent="0.35">
      <c r="T47170" s="246">
        <f t="shared" si="775"/>
        <v>0</v>
      </c>
    </row>
    <row r="47171" spans="20:20" ht="18.75" customHeight="1" x14ac:dyDescent="0.35">
      <c r="T47171" s="246">
        <f t="shared" si="775"/>
        <v>0</v>
      </c>
    </row>
    <row r="47172" spans="20:20" ht="18.75" customHeight="1" x14ac:dyDescent="0.35">
      <c r="T47172" s="246">
        <f t="shared" si="775"/>
        <v>0</v>
      </c>
    </row>
    <row r="47173" spans="20:20" ht="18.75" customHeight="1" x14ac:dyDescent="0.35">
      <c r="T47173" s="246">
        <f t="shared" si="775"/>
        <v>0</v>
      </c>
    </row>
    <row r="47174" spans="20:20" ht="18.75" customHeight="1" x14ac:dyDescent="0.35">
      <c r="T47174" s="246">
        <f t="shared" si="775"/>
        <v>0</v>
      </c>
    </row>
    <row r="47175" spans="20:20" ht="18.75" customHeight="1" x14ac:dyDescent="0.35">
      <c r="T47175" s="246">
        <f t="shared" si="775"/>
        <v>0</v>
      </c>
    </row>
    <row r="47176" spans="20:20" ht="18.75" customHeight="1" x14ac:dyDescent="0.35">
      <c r="T47176" s="246">
        <f t="shared" si="775"/>
        <v>0</v>
      </c>
    </row>
    <row r="47177" spans="20:20" ht="18.75" customHeight="1" x14ac:dyDescent="0.35">
      <c r="T47177" s="246">
        <f t="shared" si="775"/>
        <v>0</v>
      </c>
    </row>
    <row r="47178" spans="20:20" ht="18.75" customHeight="1" x14ac:dyDescent="0.35">
      <c r="T47178" s="246">
        <f t="shared" si="775"/>
        <v>0</v>
      </c>
    </row>
    <row r="47179" spans="20:20" ht="18.75" customHeight="1" x14ac:dyDescent="0.35">
      <c r="T47179" s="246">
        <f t="shared" si="775"/>
        <v>0</v>
      </c>
    </row>
    <row r="47180" spans="20:20" ht="18.75" customHeight="1" x14ac:dyDescent="0.35">
      <c r="T47180" s="246">
        <f t="shared" si="775"/>
        <v>0</v>
      </c>
    </row>
    <row r="47181" spans="20:20" ht="18.75" customHeight="1" x14ac:dyDescent="0.35">
      <c r="T47181" s="246">
        <f t="shared" si="775"/>
        <v>0</v>
      </c>
    </row>
    <row r="47182" spans="20:20" ht="18.75" customHeight="1" x14ac:dyDescent="0.35">
      <c r="T47182" s="246">
        <f t="shared" si="775"/>
        <v>0</v>
      </c>
    </row>
    <row r="47183" spans="20:20" ht="18.75" customHeight="1" x14ac:dyDescent="0.35">
      <c r="T47183" s="246">
        <f t="shared" si="775"/>
        <v>0</v>
      </c>
    </row>
    <row r="47184" spans="20:20" ht="18.75" customHeight="1" x14ac:dyDescent="0.35">
      <c r="T47184" s="246">
        <f t="shared" si="775"/>
        <v>0</v>
      </c>
    </row>
    <row r="47185" spans="20:20" ht="18.75" customHeight="1" x14ac:dyDescent="0.35">
      <c r="T47185" s="246">
        <f t="shared" si="775"/>
        <v>0</v>
      </c>
    </row>
    <row r="47186" spans="20:20" ht="18.75" customHeight="1" x14ac:dyDescent="0.35">
      <c r="T47186" s="246">
        <f t="shared" si="775"/>
        <v>0</v>
      </c>
    </row>
    <row r="47187" spans="20:20" ht="18.75" customHeight="1" x14ac:dyDescent="0.35">
      <c r="T47187" s="246">
        <f t="shared" si="775"/>
        <v>0</v>
      </c>
    </row>
    <row r="47188" spans="20:20" ht="18.75" customHeight="1" x14ac:dyDescent="0.35">
      <c r="T47188" s="246">
        <f t="shared" si="775"/>
        <v>0</v>
      </c>
    </row>
    <row r="47189" spans="20:20" ht="18.75" customHeight="1" x14ac:dyDescent="0.35">
      <c r="T47189" s="246">
        <f t="shared" si="775"/>
        <v>0</v>
      </c>
    </row>
    <row r="47190" spans="20:20" ht="18.75" customHeight="1" x14ac:dyDescent="0.35">
      <c r="T47190" s="246">
        <f t="shared" si="775"/>
        <v>0</v>
      </c>
    </row>
    <row r="47191" spans="20:20" ht="18.75" customHeight="1" x14ac:dyDescent="0.35">
      <c r="T47191" s="246">
        <f t="shared" si="775"/>
        <v>0</v>
      </c>
    </row>
    <row r="47192" spans="20:20" ht="18.75" customHeight="1" x14ac:dyDescent="0.35">
      <c r="T47192" s="246">
        <f t="shared" si="775"/>
        <v>0</v>
      </c>
    </row>
    <row r="47193" spans="20:20" ht="18.75" customHeight="1" x14ac:dyDescent="0.35">
      <c r="T47193" s="246">
        <f t="shared" si="775"/>
        <v>0</v>
      </c>
    </row>
    <row r="47194" spans="20:20" ht="18.75" customHeight="1" x14ac:dyDescent="0.35">
      <c r="T47194" s="246">
        <f t="shared" si="775"/>
        <v>0</v>
      </c>
    </row>
    <row r="47195" spans="20:20" ht="18.75" customHeight="1" x14ac:dyDescent="0.35">
      <c r="T47195" s="246">
        <f t="shared" si="775"/>
        <v>0</v>
      </c>
    </row>
    <row r="47196" spans="20:20" ht="18.75" customHeight="1" x14ac:dyDescent="0.35">
      <c r="T47196" s="246">
        <f t="shared" si="775"/>
        <v>0</v>
      </c>
    </row>
    <row r="47197" spans="20:20" ht="18.75" customHeight="1" x14ac:dyDescent="0.35">
      <c r="T47197" s="246">
        <f t="shared" si="775"/>
        <v>0</v>
      </c>
    </row>
    <row r="47198" spans="20:20" ht="18.75" customHeight="1" x14ac:dyDescent="0.35">
      <c r="T47198" s="246">
        <f t="shared" si="775"/>
        <v>0</v>
      </c>
    </row>
    <row r="47199" spans="20:20" ht="18.75" customHeight="1" x14ac:dyDescent="0.35">
      <c r="T47199" s="246">
        <f t="shared" si="775"/>
        <v>0</v>
      </c>
    </row>
    <row r="47200" spans="20:20" ht="18.75" customHeight="1" x14ac:dyDescent="0.35">
      <c r="T47200" s="246">
        <f t="shared" si="775"/>
        <v>0</v>
      </c>
    </row>
    <row r="47201" spans="20:20" ht="18.75" customHeight="1" x14ac:dyDescent="0.35">
      <c r="T47201" s="246">
        <f t="shared" si="775"/>
        <v>0</v>
      </c>
    </row>
    <row r="47202" spans="20:20" ht="18.75" customHeight="1" x14ac:dyDescent="0.35">
      <c r="T47202" s="246">
        <f t="shared" si="775"/>
        <v>0</v>
      </c>
    </row>
    <row r="47203" spans="20:20" ht="18.75" customHeight="1" x14ac:dyDescent="0.35">
      <c r="T47203" s="246">
        <f t="shared" si="775"/>
        <v>0</v>
      </c>
    </row>
    <row r="47204" spans="20:20" ht="18.75" customHeight="1" x14ac:dyDescent="0.35">
      <c r="T47204" s="246">
        <f t="shared" si="775"/>
        <v>0</v>
      </c>
    </row>
    <row r="47205" spans="20:20" ht="18.75" customHeight="1" x14ac:dyDescent="0.35">
      <c r="T47205" s="246">
        <f t="shared" si="775"/>
        <v>0</v>
      </c>
    </row>
    <row r="47206" spans="20:20" ht="18.75" customHeight="1" x14ac:dyDescent="0.35">
      <c r="T47206" s="246">
        <f t="shared" si="775"/>
        <v>0</v>
      </c>
    </row>
    <row r="47207" spans="20:20" ht="18.75" customHeight="1" x14ac:dyDescent="0.35">
      <c r="T47207" s="246">
        <f t="shared" si="775"/>
        <v>0</v>
      </c>
    </row>
    <row r="47208" spans="20:20" ht="18.75" customHeight="1" x14ac:dyDescent="0.35">
      <c r="T47208" s="246">
        <f t="shared" si="775"/>
        <v>0</v>
      </c>
    </row>
    <row r="47209" spans="20:20" ht="18.75" customHeight="1" x14ac:dyDescent="0.35">
      <c r="T47209" s="246">
        <f t="shared" si="775"/>
        <v>0</v>
      </c>
    </row>
    <row r="47210" spans="20:20" ht="18.75" customHeight="1" x14ac:dyDescent="0.35">
      <c r="T47210" s="246">
        <f t="shared" si="775"/>
        <v>0</v>
      </c>
    </row>
    <row r="47211" spans="20:20" ht="18.75" customHeight="1" x14ac:dyDescent="0.35">
      <c r="T47211" s="246">
        <f t="shared" si="775"/>
        <v>0</v>
      </c>
    </row>
    <row r="47212" spans="20:20" ht="18.75" customHeight="1" x14ac:dyDescent="0.35">
      <c r="T47212" s="246">
        <f t="shared" si="775"/>
        <v>0</v>
      </c>
    </row>
    <row r="47213" spans="20:20" ht="18.75" customHeight="1" x14ac:dyDescent="0.35">
      <c r="T47213" s="246">
        <f t="shared" si="775"/>
        <v>0</v>
      </c>
    </row>
    <row r="47214" spans="20:20" ht="18.75" customHeight="1" x14ac:dyDescent="0.35">
      <c r="T47214" s="246">
        <f t="shared" si="775"/>
        <v>0</v>
      </c>
    </row>
    <row r="47215" spans="20:20" ht="18.75" customHeight="1" x14ac:dyDescent="0.35">
      <c r="T47215" s="246">
        <f t="shared" si="775"/>
        <v>0</v>
      </c>
    </row>
    <row r="47216" spans="20:20" ht="18.75" customHeight="1" x14ac:dyDescent="0.35">
      <c r="T47216" s="246">
        <f t="shared" si="775"/>
        <v>0</v>
      </c>
    </row>
    <row r="47217" spans="20:20" ht="18.75" customHeight="1" x14ac:dyDescent="0.35">
      <c r="T47217" s="246">
        <f t="shared" si="775"/>
        <v>0</v>
      </c>
    </row>
    <row r="47218" spans="20:20" ht="18.75" customHeight="1" x14ac:dyDescent="0.35">
      <c r="T47218" s="246">
        <f t="shared" si="775"/>
        <v>0</v>
      </c>
    </row>
    <row r="47219" spans="20:20" ht="18.75" customHeight="1" x14ac:dyDescent="0.35">
      <c r="T47219" s="246">
        <f t="shared" si="775"/>
        <v>0</v>
      </c>
    </row>
    <row r="47220" spans="20:20" ht="18.75" customHeight="1" x14ac:dyDescent="0.35">
      <c r="T47220" s="246">
        <f t="shared" si="775"/>
        <v>0</v>
      </c>
    </row>
    <row r="47221" spans="20:20" ht="18.75" customHeight="1" x14ac:dyDescent="0.35">
      <c r="T47221" s="246">
        <f t="shared" si="775"/>
        <v>0</v>
      </c>
    </row>
    <row r="47222" spans="20:20" ht="18.75" customHeight="1" x14ac:dyDescent="0.35">
      <c r="T47222" s="246">
        <f t="shared" si="775"/>
        <v>0</v>
      </c>
    </row>
    <row r="47223" spans="20:20" ht="18.75" customHeight="1" x14ac:dyDescent="0.35">
      <c r="T47223" s="246">
        <f t="shared" si="775"/>
        <v>0</v>
      </c>
    </row>
    <row r="47224" spans="20:20" ht="18.75" customHeight="1" x14ac:dyDescent="0.35">
      <c r="T47224" s="246">
        <f t="shared" si="775"/>
        <v>0</v>
      </c>
    </row>
    <row r="47225" spans="20:20" ht="18.75" customHeight="1" x14ac:dyDescent="0.35">
      <c r="T47225" s="246">
        <f t="shared" si="775"/>
        <v>0</v>
      </c>
    </row>
    <row r="47226" spans="20:20" ht="18.75" customHeight="1" x14ac:dyDescent="0.35">
      <c r="T47226" s="246">
        <f t="shared" si="775"/>
        <v>0</v>
      </c>
    </row>
    <row r="47227" spans="20:20" ht="18.75" customHeight="1" x14ac:dyDescent="0.35">
      <c r="T47227" s="246">
        <f t="shared" si="775"/>
        <v>0</v>
      </c>
    </row>
    <row r="47228" spans="20:20" ht="18.75" customHeight="1" x14ac:dyDescent="0.35">
      <c r="T47228" s="246">
        <f t="shared" ref="T47228:T47291" si="776">R47228*0.01</f>
        <v>0</v>
      </c>
    </row>
    <row r="47229" spans="20:20" ht="18.75" customHeight="1" x14ac:dyDescent="0.35">
      <c r="T47229" s="246">
        <f t="shared" si="776"/>
        <v>0</v>
      </c>
    </row>
    <row r="47230" spans="20:20" ht="18.75" customHeight="1" x14ac:dyDescent="0.35">
      <c r="T47230" s="246">
        <f t="shared" si="776"/>
        <v>0</v>
      </c>
    </row>
    <row r="47231" spans="20:20" ht="18.75" customHeight="1" x14ac:dyDescent="0.35">
      <c r="T47231" s="246">
        <f t="shared" si="776"/>
        <v>0</v>
      </c>
    </row>
    <row r="47232" spans="20:20" ht="18.75" customHeight="1" x14ac:dyDescent="0.35">
      <c r="T47232" s="246">
        <f t="shared" si="776"/>
        <v>0</v>
      </c>
    </row>
    <row r="47233" spans="20:20" ht="18.75" customHeight="1" x14ac:dyDescent="0.35">
      <c r="T47233" s="246">
        <f t="shared" si="776"/>
        <v>0</v>
      </c>
    </row>
    <row r="47234" spans="20:20" ht="18.75" customHeight="1" x14ac:dyDescent="0.35">
      <c r="T47234" s="246">
        <f t="shared" si="776"/>
        <v>0</v>
      </c>
    </row>
    <row r="47235" spans="20:20" ht="18.75" customHeight="1" x14ac:dyDescent="0.35">
      <c r="T47235" s="246">
        <f t="shared" si="776"/>
        <v>0</v>
      </c>
    </row>
    <row r="47236" spans="20:20" ht="18.75" customHeight="1" x14ac:dyDescent="0.35">
      <c r="T47236" s="246">
        <f t="shared" si="776"/>
        <v>0</v>
      </c>
    </row>
    <row r="47237" spans="20:20" ht="18.75" customHeight="1" x14ac:dyDescent="0.35">
      <c r="T47237" s="246">
        <f t="shared" si="776"/>
        <v>0</v>
      </c>
    </row>
    <row r="47238" spans="20:20" ht="18.75" customHeight="1" x14ac:dyDescent="0.35">
      <c r="T47238" s="246">
        <f t="shared" si="776"/>
        <v>0</v>
      </c>
    </row>
    <row r="47239" spans="20:20" ht="18.75" customHeight="1" x14ac:dyDescent="0.35">
      <c r="T47239" s="246">
        <f t="shared" si="776"/>
        <v>0</v>
      </c>
    </row>
    <row r="47240" spans="20:20" ht="18.75" customHeight="1" x14ac:dyDescent="0.35">
      <c r="T47240" s="246">
        <f t="shared" si="776"/>
        <v>0</v>
      </c>
    </row>
    <row r="47241" spans="20:20" ht="18.75" customHeight="1" x14ac:dyDescent="0.35">
      <c r="T47241" s="246">
        <f t="shared" si="776"/>
        <v>0</v>
      </c>
    </row>
    <row r="47242" spans="20:20" ht="18.75" customHeight="1" x14ac:dyDescent="0.35">
      <c r="T47242" s="246">
        <f t="shared" si="776"/>
        <v>0</v>
      </c>
    </row>
    <row r="47243" spans="20:20" ht="18.75" customHeight="1" x14ac:dyDescent="0.35">
      <c r="T47243" s="246">
        <f t="shared" si="776"/>
        <v>0</v>
      </c>
    </row>
    <row r="47244" spans="20:20" ht="18.75" customHeight="1" x14ac:dyDescent="0.35">
      <c r="T47244" s="246">
        <f t="shared" si="776"/>
        <v>0</v>
      </c>
    </row>
    <row r="47245" spans="20:20" ht="18.75" customHeight="1" x14ac:dyDescent="0.35">
      <c r="T47245" s="246">
        <f t="shared" si="776"/>
        <v>0</v>
      </c>
    </row>
    <row r="47246" spans="20:20" ht="18.75" customHeight="1" x14ac:dyDescent="0.35">
      <c r="T47246" s="246">
        <f t="shared" si="776"/>
        <v>0</v>
      </c>
    </row>
    <row r="47247" spans="20:20" ht="18.75" customHeight="1" x14ac:dyDescent="0.35">
      <c r="T47247" s="246">
        <f t="shared" si="776"/>
        <v>0</v>
      </c>
    </row>
    <row r="47248" spans="20:20" ht="18.75" customHeight="1" x14ac:dyDescent="0.35">
      <c r="T47248" s="246">
        <f t="shared" si="776"/>
        <v>0</v>
      </c>
    </row>
    <row r="47249" spans="20:20" ht="18.75" customHeight="1" x14ac:dyDescent="0.35">
      <c r="T47249" s="246">
        <f t="shared" si="776"/>
        <v>0</v>
      </c>
    </row>
    <row r="47250" spans="20:20" ht="18.75" customHeight="1" x14ac:dyDescent="0.35">
      <c r="T47250" s="246">
        <f t="shared" si="776"/>
        <v>0</v>
      </c>
    </row>
    <row r="47251" spans="20:20" ht="18.75" customHeight="1" x14ac:dyDescent="0.35">
      <c r="T47251" s="246">
        <f t="shared" si="776"/>
        <v>0</v>
      </c>
    </row>
    <row r="47252" spans="20:20" ht="18.75" customHeight="1" x14ac:dyDescent="0.35">
      <c r="T47252" s="246">
        <f t="shared" si="776"/>
        <v>0</v>
      </c>
    </row>
    <row r="47253" spans="20:20" ht="18.75" customHeight="1" x14ac:dyDescent="0.35">
      <c r="T47253" s="246">
        <f t="shared" si="776"/>
        <v>0</v>
      </c>
    </row>
    <row r="47254" spans="20:20" ht="18.75" customHeight="1" x14ac:dyDescent="0.35">
      <c r="T47254" s="246">
        <f t="shared" si="776"/>
        <v>0</v>
      </c>
    </row>
    <row r="47255" spans="20:20" ht="18.75" customHeight="1" x14ac:dyDescent="0.35">
      <c r="T47255" s="246">
        <f t="shared" si="776"/>
        <v>0</v>
      </c>
    </row>
    <row r="47256" spans="20:20" ht="18.75" customHeight="1" x14ac:dyDescent="0.35">
      <c r="T47256" s="246">
        <f t="shared" si="776"/>
        <v>0</v>
      </c>
    </row>
    <row r="47257" spans="20:20" ht="18.75" customHeight="1" x14ac:dyDescent="0.35">
      <c r="T47257" s="246">
        <f t="shared" si="776"/>
        <v>0</v>
      </c>
    </row>
    <row r="47258" spans="20:20" ht="18.75" customHeight="1" x14ac:dyDescent="0.35">
      <c r="T47258" s="246">
        <f t="shared" si="776"/>
        <v>0</v>
      </c>
    </row>
    <row r="47259" spans="20:20" ht="18.75" customHeight="1" x14ac:dyDescent="0.35">
      <c r="T47259" s="246">
        <f t="shared" si="776"/>
        <v>0</v>
      </c>
    </row>
    <row r="47260" spans="20:20" ht="18.75" customHeight="1" x14ac:dyDescent="0.35">
      <c r="T47260" s="246">
        <f t="shared" si="776"/>
        <v>0</v>
      </c>
    </row>
    <row r="47261" spans="20:20" ht="18.75" customHeight="1" x14ac:dyDescent="0.35">
      <c r="T47261" s="246">
        <f t="shared" si="776"/>
        <v>0</v>
      </c>
    </row>
    <row r="47262" spans="20:20" ht="18.75" customHeight="1" x14ac:dyDescent="0.35">
      <c r="T47262" s="246">
        <f t="shared" si="776"/>
        <v>0</v>
      </c>
    </row>
    <row r="47263" spans="20:20" ht="18.75" customHeight="1" x14ac:dyDescent="0.35">
      <c r="T47263" s="246">
        <f t="shared" si="776"/>
        <v>0</v>
      </c>
    </row>
    <row r="47264" spans="20:20" ht="18.75" customHeight="1" x14ac:dyDescent="0.35">
      <c r="T47264" s="246">
        <f t="shared" si="776"/>
        <v>0</v>
      </c>
    </row>
    <row r="47265" spans="20:20" ht="18.75" customHeight="1" x14ac:dyDescent="0.35">
      <c r="T47265" s="246">
        <f t="shared" si="776"/>
        <v>0</v>
      </c>
    </row>
    <row r="47266" spans="20:20" ht="18.75" customHeight="1" x14ac:dyDescent="0.35">
      <c r="T47266" s="246">
        <f t="shared" si="776"/>
        <v>0</v>
      </c>
    </row>
    <row r="47267" spans="20:20" ht="18.75" customHeight="1" x14ac:dyDescent="0.35">
      <c r="T47267" s="246">
        <f t="shared" si="776"/>
        <v>0</v>
      </c>
    </row>
    <row r="47268" spans="20:20" ht="18.75" customHeight="1" x14ac:dyDescent="0.35">
      <c r="T47268" s="246">
        <f t="shared" si="776"/>
        <v>0</v>
      </c>
    </row>
    <row r="47269" spans="20:20" ht="18.75" customHeight="1" x14ac:dyDescent="0.35">
      <c r="T47269" s="246">
        <f t="shared" si="776"/>
        <v>0</v>
      </c>
    </row>
    <row r="47270" spans="20:20" ht="18.75" customHeight="1" x14ac:dyDescent="0.35">
      <c r="T47270" s="246">
        <f t="shared" si="776"/>
        <v>0</v>
      </c>
    </row>
    <row r="47271" spans="20:20" ht="18.75" customHeight="1" x14ac:dyDescent="0.35">
      <c r="T47271" s="246">
        <f t="shared" si="776"/>
        <v>0</v>
      </c>
    </row>
    <row r="47272" spans="20:20" ht="18.75" customHeight="1" x14ac:dyDescent="0.35">
      <c r="T47272" s="246">
        <f t="shared" si="776"/>
        <v>0</v>
      </c>
    </row>
    <row r="47273" spans="20:20" ht="18.75" customHeight="1" x14ac:dyDescent="0.35">
      <c r="T47273" s="246">
        <f t="shared" si="776"/>
        <v>0</v>
      </c>
    </row>
    <row r="47274" spans="20:20" ht="18.75" customHeight="1" x14ac:dyDescent="0.35">
      <c r="T47274" s="246">
        <f t="shared" si="776"/>
        <v>0</v>
      </c>
    </row>
    <row r="47275" spans="20:20" ht="18.75" customHeight="1" x14ac:dyDescent="0.35">
      <c r="T47275" s="246">
        <f t="shared" si="776"/>
        <v>0</v>
      </c>
    </row>
    <row r="47276" spans="20:20" ht="18.75" customHeight="1" x14ac:dyDescent="0.35">
      <c r="T47276" s="246">
        <f t="shared" si="776"/>
        <v>0</v>
      </c>
    </row>
    <row r="47277" spans="20:20" ht="18.75" customHeight="1" x14ac:dyDescent="0.35">
      <c r="T47277" s="246">
        <f t="shared" si="776"/>
        <v>0</v>
      </c>
    </row>
    <row r="47278" spans="20:20" ht="18.75" customHeight="1" x14ac:dyDescent="0.35">
      <c r="T47278" s="246">
        <f t="shared" si="776"/>
        <v>0</v>
      </c>
    </row>
    <row r="47279" spans="20:20" ht="18.75" customHeight="1" x14ac:dyDescent="0.35">
      <c r="T47279" s="246">
        <f t="shared" si="776"/>
        <v>0</v>
      </c>
    </row>
    <row r="47280" spans="20:20" ht="18.75" customHeight="1" x14ac:dyDescent="0.35">
      <c r="T47280" s="246">
        <f t="shared" si="776"/>
        <v>0</v>
      </c>
    </row>
    <row r="47281" spans="20:20" ht="18.75" customHeight="1" x14ac:dyDescent="0.35">
      <c r="T47281" s="246">
        <f t="shared" si="776"/>
        <v>0</v>
      </c>
    </row>
    <row r="47282" spans="20:20" ht="18.75" customHeight="1" x14ac:dyDescent="0.35">
      <c r="T47282" s="246">
        <f t="shared" si="776"/>
        <v>0</v>
      </c>
    </row>
    <row r="47283" spans="20:20" ht="18.75" customHeight="1" x14ac:dyDescent="0.35">
      <c r="T47283" s="246">
        <f t="shared" si="776"/>
        <v>0</v>
      </c>
    </row>
    <row r="47284" spans="20:20" ht="18.75" customHeight="1" x14ac:dyDescent="0.35">
      <c r="T47284" s="246">
        <f t="shared" si="776"/>
        <v>0</v>
      </c>
    </row>
    <row r="47285" spans="20:20" ht="18.75" customHeight="1" x14ac:dyDescent="0.35">
      <c r="T47285" s="246">
        <f t="shared" si="776"/>
        <v>0</v>
      </c>
    </row>
    <row r="47286" spans="20:20" ht="18.75" customHeight="1" x14ac:dyDescent="0.35">
      <c r="T47286" s="246">
        <f t="shared" si="776"/>
        <v>0</v>
      </c>
    </row>
    <row r="47287" spans="20:20" ht="18.75" customHeight="1" x14ac:dyDescent="0.35">
      <c r="T47287" s="246">
        <f t="shared" si="776"/>
        <v>0</v>
      </c>
    </row>
    <row r="47288" spans="20:20" ht="18.75" customHeight="1" x14ac:dyDescent="0.35">
      <c r="T47288" s="246">
        <f t="shared" si="776"/>
        <v>0</v>
      </c>
    </row>
    <row r="47289" spans="20:20" ht="18.75" customHeight="1" x14ac:dyDescent="0.35">
      <c r="T47289" s="246">
        <f t="shared" si="776"/>
        <v>0</v>
      </c>
    </row>
    <row r="47290" spans="20:20" ht="18.75" customHeight="1" x14ac:dyDescent="0.35">
      <c r="T47290" s="246">
        <f t="shared" si="776"/>
        <v>0</v>
      </c>
    </row>
    <row r="47291" spans="20:20" ht="18.75" customHeight="1" x14ac:dyDescent="0.35">
      <c r="T47291" s="246">
        <f t="shared" si="776"/>
        <v>0</v>
      </c>
    </row>
    <row r="47292" spans="20:20" ht="18.75" customHeight="1" x14ac:dyDescent="0.35">
      <c r="T47292" s="246">
        <f t="shared" ref="T47292:T47355" si="777">R47292*0.01</f>
        <v>0</v>
      </c>
    </row>
    <row r="47293" spans="20:20" ht="18.75" customHeight="1" x14ac:dyDescent="0.35">
      <c r="T47293" s="246">
        <f t="shared" si="777"/>
        <v>0</v>
      </c>
    </row>
    <row r="47294" spans="20:20" ht="18.75" customHeight="1" x14ac:dyDescent="0.35">
      <c r="T47294" s="246">
        <f t="shared" si="777"/>
        <v>0</v>
      </c>
    </row>
    <row r="47295" spans="20:20" ht="18.75" customHeight="1" x14ac:dyDescent="0.35">
      <c r="T47295" s="246">
        <f t="shared" si="777"/>
        <v>0</v>
      </c>
    </row>
    <row r="47296" spans="20:20" ht="18.75" customHeight="1" x14ac:dyDescent="0.35">
      <c r="T47296" s="246">
        <f t="shared" si="777"/>
        <v>0</v>
      </c>
    </row>
    <row r="47297" spans="20:20" ht="18.75" customHeight="1" x14ac:dyDescent="0.35">
      <c r="T47297" s="246">
        <f t="shared" si="777"/>
        <v>0</v>
      </c>
    </row>
    <row r="47298" spans="20:20" ht="18.75" customHeight="1" x14ac:dyDescent="0.35">
      <c r="T47298" s="246">
        <f t="shared" si="777"/>
        <v>0</v>
      </c>
    </row>
    <row r="47299" spans="20:20" ht="18.75" customHeight="1" x14ac:dyDescent="0.35">
      <c r="T47299" s="246">
        <f t="shared" si="777"/>
        <v>0</v>
      </c>
    </row>
    <row r="47300" spans="20:20" ht="18.75" customHeight="1" x14ac:dyDescent="0.35">
      <c r="T47300" s="246">
        <f t="shared" si="777"/>
        <v>0</v>
      </c>
    </row>
    <row r="47301" spans="20:20" ht="18.75" customHeight="1" x14ac:dyDescent="0.35">
      <c r="T47301" s="246">
        <f t="shared" si="777"/>
        <v>0</v>
      </c>
    </row>
    <row r="47302" spans="20:20" ht="18.75" customHeight="1" x14ac:dyDescent="0.35">
      <c r="T47302" s="246">
        <f t="shared" si="777"/>
        <v>0</v>
      </c>
    </row>
    <row r="47303" spans="20:20" ht="18.75" customHeight="1" x14ac:dyDescent="0.35">
      <c r="T47303" s="246">
        <f t="shared" si="777"/>
        <v>0</v>
      </c>
    </row>
    <row r="47304" spans="20:20" ht="18.75" customHeight="1" x14ac:dyDescent="0.35">
      <c r="T47304" s="246">
        <f t="shared" si="777"/>
        <v>0</v>
      </c>
    </row>
    <row r="47305" spans="20:20" ht="18.75" customHeight="1" x14ac:dyDescent="0.35">
      <c r="T47305" s="246">
        <f t="shared" si="777"/>
        <v>0</v>
      </c>
    </row>
    <row r="47306" spans="20:20" ht="18.75" customHeight="1" x14ac:dyDescent="0.35">
      <c r="T47306" s="246">
        <f t="shared" si="777"/>
        <v>0</v>
      </c>
    </row>
    <row r="47307" spans="20:20" ht="18.75" customHeight="1" x14ac:dyDescent="0.35">
      <c r="T47307" s="246">
        <f t="shared" si="777"/>
        <v>0</v>
      </c>
    </row>
    <row r="47308" spans="20:20" ht="18.75" customHeight="1" x14ac:dyDescent="0.35">
      <c r="T47308" s="246">
        <f t="shared" si="777"/>
        <v>0</v>
      </c>
    </row>
    <row r="47309" spans="20:20" ht="18.75" customHeight="1" x14ac:dyDescent="0.35">
      <c r="T47309" s="246">
        <f t="shared" si="777"/>
        <v>0</v>
      </c>
    </row>
    <row r="47310" spans="20:20" ht="18.75" customHeight="1" x14ac:dyDescent="0.35">
      <c r="T47310" s="246">
        <f t="shared" si="777"/>
        <v>0</v>
      </c>
    </row>
    <row r="47311" spans="20:20" ht="18.75" customHeight="1" x14ac:dyDescent="0.35">
      <c r="T47311" s="246">
        <f t="shared" si="777"/>
        <v>0</v>
      </c>
    </row>
    <row r="47312" spans="20:20" ht="18.75" customHeight="1" x14ac:dyDescent="0.35">
      <c r="T47312" s="246">
        <f t="shared" si="777"/>
        <v>0</v>
      </c>
    </row>
    <row r="47313" spans="20:20" ht="18.75" customHeight="1" x14ac:dyDescent="0.35">
      <c r="T47313" s="246">
        <f t="shared" si="777"/>
        <v>0</v>
      </c>
    </row>
    <row r="47314" spans="20:20" ht="18.75" customHeight="1" x14ac:dyDescent="0.35">
      <c r="T47314" s="246">
        <f t="shared" si="777"/>
        <v>0</v>
      </c>
    </row>
    <row r="47315" spans="20:20" ht="18.75" customHeight="1" x14ac:dyDescent="0.35">
      <c r="T47315" s="246">
        <f t="shared" si="777"/>
        <v>0</v>
      </c>
    </row>
    <row r="47316" spans="20:20" ht="18.75" customHeight="1" x14ac:dyDescent="0.35">
      <c r="T47316" s="246">
        <f t="shared" si="777"/>
        <v>0</v>
      </c>
    </row>
    <row r="47317" spans="20:20" ht="18.75" customHeight="1" x14ac:dyDescent="0.35">
      <c r="T47317" s="246">
        <f t="shared" si="777"/>
        <v>0</v>
      </c>
    </row>
    <row r="47318" spans="20:20" ht="18.75" customHeight="1" x14ac:dyDescent="0.35">
      <c r="T47318" s="246">
        <f t="shared" si="777"/>
        <v>0</v>
      </c>
    </row>
    <row r="47319" spans="20:20" ht="18.75" customHeight="1" x14ac:dyDescent="0.35">
      <c r="T47319" s="246">
        <f t="shared" si="777"/>
        <v>0</v>
      </c>
    </row>
    <row r="47320" spans="20:20" ht="18.75" customHeight="1" x14ac:dyDescent="0.35">
      <c r="T47320" s="246">
        <f t="shared" si="777"/>
        <v>0</v>
      </c>
    </row>
    <row r="47321" spans="20:20" ht="18.75" customHeight="1" x14ac:dyDescent="0.35">
      <c r="T47321" s="246">
        <f t="shared" si="777"/>
        <v>0</v>
      </c>
    </row>
    <row r="47322" spans="20:20" ht="18.75" customHeight="1" x14ac:dyDescent="0.35">
      <c r="T47322" s="246">
        <f t="shared" si="777"/>
        <v>0</v>
      </c>
    </row>
    <row r="47323" spans="20:20" ht="18.75" customHeight="1" x14ac:dyDescent="0.35">
      <c r="T47323" s="246">
        <f t="shared" si="777"/>
        <v>0</v>
      </c>
    </row>
    <row r="47324" spans="20:20" ht="18.75" customHeight="1" x14ac:dyDescent="0.35">
      <c r="T47324" s="246">
        <f t="shared" si="777"/>
        <v>0</v>
      </c>
    </row>
    <row r="47325" spans="20:20" ht="18.75" customHeight="1" x14ac:dyDescent="0.35">
      <c r="T47325" s="246">
        <f t="shared" si="777"/>
        <v>0</v>
      </c>
    </row>
    <row r="47326" spans="20:20" ht="18.75" customHeight="1" x14ac:dyDescent="0.35">
      <c r="T47326" s="246">
        <f t="shared" si="777"/>
        <v>0</v>
      </c>
    </row>
    <row r="47327" spans="20:20" ht="18.75" customHeight="1" x14ac:dyDescent="0.35">
      <c r="T47327" s="246">
        <f t="shared" si="777"/>
        <v>0</v>
      </c>
    </row>
    <row r="47328" spans="20:20" ht="18.75" customHeight="1" x14ac:dyDescent="0.35">
      <c r="T47328" s="246">
        <f t="shared" si="777"/>
        <v>0</v>
      </c>
    </row>
    <row r="47329" spans="20:20" ht="18.75" customHeight="1" x14ac:dyDescent="0.35">
      <c r="T47329" s="246">
        <f t="shared" si="777"/>
        <v>0</v>
      </c>
    </row>
    <row r="47330" spans="20:20" ht="18.75" customHeight="1" x14ac:dyDescent="0.35">
      <c r="T47330" s="246">
        <f t="shared" si="777"/>
        <v>0</v>
      </c>
    </row>
    <row r="47331" spans="20:20" ht="18.75" customHeight="1" x14ac:dyDescent="0.35">
      <c r="T47331" s="246">
        <f t="shared" si="777"/>
        <v>0</v>
      </c>
    </row>
    <row r="47332" spans="20:20" ht="18.75" customHeight="1" x14ac:dyDescent="0.35">
      <c r="T47332" s="246">
        <f t="shared" si="777"/>
        <v>0</v>
      </c>
    </row>
    <row r="47333" spans="20:20" ht="18.75" customHeight="1" x14ac:dyDescent="0.35">
      <c r="T47333" s="246">
        <f t="shared" si="777"/>
        <v>0</v>
      </c>
    </row>
    <row r="47334" spans="20:20" ht="18.75" customHeight="1" x14ac:dyDescent="0.35">
      <c r="T47334" s="246">
        <f t="shared" si="777"/>
        <v>0</v>
      </c>
    </row>
    <row r="47335" spans="20:20" ht="18.75" customHeight="1" x14ac:dyDescent="0.35">
      <c r="T47335" s="246">
        <f t="shared" si="777"/>
        <v>0</v>
      </c>
    </row>
    <row r="47336" spans="20:20" ht="18.75" customHeight="1" x14ac:dyDescent="0.35">
      <c r="T47336" s="246">
        <f t="shared" si="777"/>
        <v>0</v>
      </c>
    </row>
    <row r="47337" spans="20:20" ht="18.75" customHeight="1" x14ac:dyDescent="0.35">
      <c r="T47337" s="246">
        <f t="shared" si="777"/>
        <v>0</v>
      </c>
    </row>
    <row r="47338" spans="20:20" ht="18.75" customHeight="1" x14ac:dyDescent="0.35">
      <c r="T47338" s="246">
        <f t="shared" si="777"/>
        <v>0</v>
      </c>
    </row>
    <row r="47339" spans="20:20" ht="18.75" customHeight="1" x14ac:dyDescent="0.35">
      <c r="T47339" s="246">
        <f t="shared" si="777"/>
        <v>0</v>
      </c>
    </row>
    <row r="47340" spans="20:20" ht="18.75" customHeight="1" x14ac:dyDescent="0.35">
      <c r="T47340" s="246">
        <f t="shared" si="777"/>
        <v>0</v>
      </c>
    </row>
    <row r="47341" spans="20:20" ht="18.75" customHeight="1" x14ac:dyDescent="0.35">
      <c r="T47341" s="246">
        <f t="shared" si="777"/>
        <v>0</v>
      </c>
    </row>
    <row r="47342" spans="20:20" ht="18.75" customHeight="1" x14ac:dyDescent="0.35">
      <c r="T47342" s="246">
        <f t="shared" si="777"/>
        <v>0</v>
      </c>
    </row>
    <row r="47343" spans="20:20" ht="18.75" customHeight="1" x14ac:dyDescent="0.35">
      <c r="T47343" s="246">
        <f t="shared" si="777"/>
        <v>0</v>
      </c>
    </row>
    <row r="47344" spans="20:20" ht="18.75" customHeight="1" x14ac:dyDescent="0.35">
      <c r="T47344" s="246">
        <f t="shared" si="777"/>
        <v>0</v>
      </c>
    </row>
    <row r="47345" spans="20:20" ht="18.75" customHeight="1" x14ac:dyDescent="0.35">
      <c r="T47345" s="246">
        <f t="shared" si="777"/>
        <v>0</v>
      </c>
    </row>
    <row r="47346" spans="20:20" ht="18.75" customHeight="1" x14ac:dyDescent="0.35">
      <c r="T47346" s="246">
        <f t="shared" si="777"/>
        <v>0</v>
      </c>
    </row>
    <row r="47347" spans="20:20" ht="18.75" customHeight="1" x14ac:dyDescent="0.35">
      <c r="T47347" s="246">
        <f t="shared" si="777"/>
        <v>0</v>
      </c>
    </row>
    <row r="47348" spans="20:20" ht="18.75" customHeight="1" x14ac:dyDescent="0.35">
      <c r="T47348" s="246">
        <f t="shared" si="777"/>
        <v>0</v>
      </c>
    </row>
    <row r="47349" spans="20:20" ht="18.75" customHeight="1" x14ac:dyDescent="0.35">
      <c r="T47349" s="246">
        <f t="shared" si="777"/>
        <v>0</v>
      </c>
    </row>
    <row r="47350" spans="20:20" ht="18.75" customHeight="1" x14ac:dyDescent="0.35">
      <c r="T47350" s="246">
        <f t="shared" si="777"/>
        <v>0</v>
      </c>
    </row>
    <row r="47351" spans="20:20" ht="18.75" customHeight="1" x14ac:dyDescent="0.35">
      <c r="T47351" s="246">
        <f t="shared" si="777"/>
        <v>0</v>
      </c>
    </row>
    <row r="47352" spans="20:20" ht="18.75" customHeight="1" x14ac:dyDescent="0.35">
      <c r="T47352" s="246">
        <f t="shared" si="777"/>
        <v>0</v>
      </c>
    </row>
    <row r="47353" spans="20:20" ht="18.75" customHeight="1" x14ac:dyDescent="0.35">
      <c r="T47353" s="246">
        <f t="shared" si="777"/>
        <v>0</v>
      </c>
    </row>
    <row r="47354" spans="20:20" ht="18.75" customHeight="1" x14ac:dyDescent="0.35">
      <c r="T47354" s="246">
        <f t="shared" si="777"/>
        <v>0</v>
      </c>
    </row>
    <row r="47355" spans="20:20" ht="18.75" customHeight="1" x14ac:dyDescent="0.35">
      <c r="T47355" s="246">
        <f t="shared" si="777"/>
        <v>0</v>
      </c>
    </row>
    <row r="47356" spans="20:20" ht="18.75" customHeight="1" x14ac:dyDescent="0.35">
      <c r="T47356" s="246">
        <f t="shared" ref="T47356:T47419" si="778">R47356*0.01</f>
        <v>0</v>
      </c>
    </row>
    <row r="47357" spans="20:20" ht="18.75" customHeight="1" x14ac:dyDescent="0.35">
      <c r="T47357" s="246">
        <f t="shared" si="778"/>
        <v>0</v>
      </c>
    </row>
    <row r="47358" spans="20:20" ht="18.75" customHeight="1" x14ac:dyDescent="0.35">
      <c r="T47358" s="246">
        <f t="shared" si="778"/>
        <v>0</v>
      </c>
    </row>
    <row r="47359" spans="20:20" ht="18.75" customHeight="1" x14ac:dyDescent="0.35">
      <c r="T47359" s="246">
        <f t="shared" si="778"/>
        <v>0</v>
      </c>
    </row>
    <row r="47360" spans="20:20" ht="18.75" customHeight="1" x14ac:dyDescent="0.35">
      <c r="T47360" s="246">
        <f t="shared" si="778"/>
        <v>0</v>
      </c>
    </row>
    <row r="47361" spans="20:20" ht="18.75" customHeight="1" x14ac:dyDescent="0.35">
      <c r="T47361" s="246">
        <f t="shared" si="778"/>
        <v>0</v>
      </c>
    </row>
    <row r="47362" spans="20:20" ht="18.75" customHeight="1" x14ac:dyDescent="0.35">
      <c r="T47362" s="246">
        <f t="shared" si="778"/>
        <v>0</v>
      </c>
    </row>
    <row r="47363" spans="20:20" ht="18.75" customHeight="1" x14ac:dyDescent="0.35">
      <c r="T47363" s="246">
        <f t="shared" si="778"/>
        <v>0</v>
      </c>
    </row>
    <row r="47364" spans="20:20" ht="18.75" customHeight="1" x14ac:dyDescent="0.35">
      <c r="T47364" s="246">
        <f t="shared" si="778"/>
        <v>0</v>
      </c>
    </row>
    <row r="47365" spans="20:20" ht="18.75" customHeight="1" x14ac:dyDescent="0.35">
      <c r="T47365" s="246">
        <f t="shared" si="778"/>
        <v>0</v>
      </c>
    </row>
    <row r="47366" spans="20:20" ht="18.75" customHeight="1" x14ac:dyDescent="0.35">
      <c r="T47366" s="246">
        <f t="shared" si="778"/>
        <v>0</v>
      </c>
    </row>
    <row r="47367" spans="20:20" ht="18.75" customHeight="1" x14ac:dyDescent="0.35">
      <c r="T47367" s="246">
        <f t="shared" si="778"/>
        <v>0</v>
      </c>
    </row>
    <row r="47368" spans="20:20" ht="18.75" customHeight="1" x14ac:dyDescent="0.35">
      <c r="T47368" s="246">
        <f t="shared" si="778"/>
        <v>0</v>
      </c>
    </row>
    <row r="47369" spans="20:20" ht="18.75" customHeight="1" x14ac:dyDescent="0.35">
      <c r="T47369" s="246">
        <f t="shared" si="778"/>
        <v>0</v>
      </c>
    </row>
    <row r="47370" spans="20:20" ht="18.75" customHeight="1" x14ac:dyDescent="0.35">
      <c r="T47370" s="246">
        <f t="shared" si="778"/>
        <v>0</v>
      </c>
    </row>
    <row r="47371" spans="20:20" ht="18.75" customHeight="1" x14ac:dyDescent="0.35">
      <c r="T47371" s="246">
        <f t="shared" si="778"/>
        <v>0</v>
      </c>
    </row>
    <row r="47372" spans="20:20" ht="18.75" customHeight="1" x14ac:dyDescent="0.35">
      <c r="T47372" s="246">
        <f t="shared" si="778"/>
        <v>0</v>
      </c>
    </row>
    <row r="47373" spans="20:20" ht="18.75" customHeight="1" x14ac:dyDescent="0.35">
      <c r="T47373" s="246">
        <f t="shared" si="778"/>
        <v>0</v>
      </c>
    </row>
    <row r="47374" spans="20:20" ht="18.75" customHeight="1" x14ac:dyDescent="0.35">
      <c r="T47374" s="246">
        <f t="shared" si="778"/>
        <v>0</v>
      </c>
    </row>
    <row r="47375" spans="20:20" ht="18.75" customHeight="1" x14ac:dyDescent="0.35">
      <c r="T47375" s="246">
        <f t="shared" si="778"/>
        <v>0</v>
      </c>
    </row>
    <row r="47376" spans="20:20" ht="18.75" customHeight="1" x14ac:dyDescent="0.35">
      <c r="T47376" s="246">
        <f t="shared" si="778"/>
        <v>0</v>
      </c>
    </row>
    <row r="47377" spans="20:20" ht="18.75" customHeight="1" x14ac:dyDescent="0.35">
      <c r="T47377" s="246">
        <f t="shared" si="778"/>
        <v>0</v>
      </c>
    </row>
    <row r="47378" spans="20:20" ht="18.75" customHeight="1" x14ac:dyDescent="0.35">
      <c r="T47378" s="246">
        <f t="shared" si="778"/>
        <v>0</v>
      </c>
    </row>
    <row r="47379" spans="20:20" ht="18.75" customHeight="1" x14ac:dyDescent="0.35">
      <c r="T47379" s="246">
        <f t="shared" si="778"/>
        <v>0</v>
      </c>
    </row>
    <row r="47380" spans="20:20" ht="18.75" customHeight="1" x14ac:dyDescent="0.35">
      <c r="T47380" s="246">
        <f t="shared" si="778"/>
        <v>0</v>
      </c>
    </row>
    <row r="47381" spans="20:20" ht="18.75" customHeight="1" x14ac:dyDescent="0.35">
      <c r="T47381" s="246">
        <f t="shared" si="778"/>
        <v>0</v>
      </c>
    </row>
    <row r="47382" spans="20:20" ht="18.75" customHeight="1" x14ac:dyDescent="0.35">
      <c r="T47382" s="246">
        <f t="shared" si="778"/>
        <v>0</v>
      </c>
    </row>
    <row r="47383" spans="20:20" ht="18.75" customHeight="1" x14ac:dyDescent="0.35">
      <c r="T47383" s="246">
        <f t="shared" si="778"/>
        <v>0</v>
      </c>
    </row>
    <row r="47384" spans="20:20" ht="18.75" customHeight="1" x14ac:dyDescent="0.35">
      <c r="T47384" s="246">
        <f t="shared" si="778"/>
        <v>0</v>
      </c>
    </row>
    <row r="47385" spans="20:20" ht="18.75" customHeight="1" x14ac:dyDescent="0.35">
      <c r="T47385" s="246">
        <f t="shared" si="778"/>
        <v>0</v>
      </c>
    </row>
    <row r="47386" spans="20:20" ht="18.75" customHeight="1" x14ac:dyDescent="0.35">
      <c r="T47386" s="246">
        <f t="shared" si="778"/>
        <v>0</v>
      </c>
    </row>
    <row r="47387" spans="20:20" ht="18.75" customHeight="1" x14ac:dyDescent="0.35">
      <c r="T47387" s="246">
        <f t="shared" si="778"/>
        <v>0</v>
      </c>
    </row>
    <row r="47388" spans="20:20" ht="18.75" customHeight="1" x14ac:dyDescent="0.35">
      <c r="T47388" s="246">
        <f t="shared" si="778"/>
        <v>0</v>
      </c>
    </row>
    <row r="47389" spans="20:20" ht="18.75" customHeight="1" x14ac:dyDescent="0.35">
      <c r="T47389" s="246">
        <f t="shared" si="778"/>
        <v>0</v>
      </c>
    </row>
    <row r="47390" spans="20:20" ht="18.75" customHeight="1" x14ac:dyDescent="0.35">
      <c r="T47390" s="246">
        <f t="shared" si="778"/>
        <v>0</v>
      </c>
    </row>
    <row r="47391" spans="20:20" ht="18.75" customHeight="1" x14ac:dyDescent="0.35">
      <c r="T47391" s="246">
        <f t="shared" si="778"/>
        <v>0</v>
      </c>
    </row>
    <row r="47392" spans="20:20" ht="18.75" customHeight="1" x14ac:dyDescent="0.35">
      <c r="T47392" s="246">
        <f t="shared" si="778"/>
        <v>0</v>
      </c>
    </row>
    <row r="47393" spans="20:20" ht="18.75" customHeight="1" x14ac:dyDescent="0.35">
      <c r="T47393" s="246">
        <f t="shared" si="778"/>
        <v>0</v>
      </c>
    </row>
    <row r="47394" spans="20:20" ht="18.75" customHeight="1" x14ac:dyDescent="0.35">
      <c r="T47394" s="246">
        <f t="shared" si="778"/>
        <v>0</v>
      </c>
    </row>
    <row r="47395" spans="20:20" ht="18.75" customHeight="1" x14ac:dyDescent="0.35">
      <c r="T47395" s="246">
        <f t="shared" si="778"/>
        <v>0</v>
      </c>
    </row>
    <row r="47396" spans="20:20" ht="18.75" customHeight="1" x14ac:dyDescent="0.35">
      <c r="T47396" s="246">
        <f t="shared" si="778"/>
        <v>0</v>
      </c>
    </row>
    <row r="47397" spans="20:20" ht="18.75" customHeight="1" x14ac:dyDescent="0.35">
      <c r="T47397" s="246">
        <f t="shared" si="778"/>
        <v>0</v>
      </c>
    </row>
    <row r="47398" spans="20:20" ht="18.75" customHeight="1" x14ac:dyDescent="0.35">
      <c r="T47398" s="246">
        <f t="shared" si="778"/>
        <v>0</v>
      </c>
    </row>
    <row r="47399" spans="20:20" ht="18.75" customHeight="1" x14ac:dyDescent="0.35">
      <c r="T47399" s="246">
        <f t="shared" si="778"/>
        <v>0</v>
      </c>
    </row>
    <row r="47400" spans="20:20" ht="18.75" customHeight="1" x14ac:dyDescent="0.35">
      <c r="T47400" s="246">
        <f t="shared" si="778"/>
        <v>0</v>
      </c>
    </row>
    <row r="47401" spans="20:20" ht="18.75" customHeight="1" x14ac:dyDescent="0.35">
      <c r="T47401" s="246">
        <f t="shared" si="778"/>
        <v>0</v>
      </c>
    </row>
    <row r="47402" spans="20:20" ht="18.75" customHeight="1" x14ac:dyDescent="0.35">
      <c r="T47402" s="246">
        <f t="shared" si="778"/>
        <v>0</v>
      </c>
    </row>
    <row r="47403" spans="20:20" ht="18.75" customHeight="1" x14ac:dyDescent="0.35">
      <c r="T47403" s="246">
        <f t="shared" si="778"/>
        <v>0</v>
      </c>
    </row>
    <row r="47404" spans="20:20" ht="18.75" customHeight="1" x14ac:dyDescent="0.35">
      <c r="T47404" s="246">
        <f t="shared" si="778"/>
        <v>0</v>
      </c>
    </row>
    <row r="47405" spans="20:20" ht="18.75" customHeight="1" x14ac:dyDescent="0.35">
      <c r="T47405" s="246">
        <f t="shared" si="778"/>
        <v>0</v>
      </c>
    </row>
    <row r="47406" spans="20:20" ht="18.75" customHeight="1" x14ac:dyDescent="0.35">
      <c r="T47406" s="246">
        <f t="shared" si="778"/>
        <v>0</v>
      </c>
    </row>
    <row r="47407" spans="20:20" ht="18.75" customHeight="1" x14ac:dyDescent="0.35">
      <c r="T47407" s="246">
        <f t="shared" si="778"/>
        <v>0</v>
      </c>
    </row>
    <row r="47408" spans="20:20" ht="18.75" customHeight="1" x14ac:dyDescent="0.35">
      <c r="T47408" s="246">
        <f t="shared" si="778"/>
        <v>0</v>
      </c>
    </row>
    <row r="47409" spans="20:20" ht="18.75" customHeight="1" x14ac:dyDescent="0.35">
      <c r="T47409" s="246">
        <f t="shared" si="778"/>
        <v>0</v>
      </c>
    </row>
    <row r="47410" spans="20:20" ht="18.75" customHeight="1" x14ac:dyDescent="0.35">
      <c r="T47410" s="246">
        <f t="shared" si="778"/>
        <v>0</v>
      </c>
    </row>
    <row r="47411" spans="20:20" ht="18.75" customHeight="1" x14ac:dyDescent="0.35">
      <c r="T47411" s="246">
        <f t="shared" si="778"/>
        <v>0</v>
      </c>
    </row>
    <row r="47412" spans="20:20" ht="18.75" customHeight="1" x14ac:dyDescent="0.35">
      <c r="T47412" s="246">
        <f t="shared" si="778"/>
        <v>0</v>
      </c>
    </row>
    <row r="47413" spans="20:20" ht="18.75" customHeight="1" x14ac:dyDescent="0.35">
      <c r="T47413" s="246">
        <f t="shared" si="778"/>
        <v>0</v>
      </c>
    </row>
    <row r="47414" spans="20:20" ht="18.75" customHeight="1" x14ac:dyDescent="0.35">
      <c r="T47414" s="246">
        <f t="shared" si="778"/>
        <v>0</v>
      </c>
    </row>
    <row r="47415" spans="20:20" ht="18.75" customHeight="1" x14ac:dyDescent="0.35">
      <c r="T47415" s="246">
        <f t="shared" si="778"/>
        <v>0</v>
      </c>
    </row>
    <row r="47416" spans="20:20" ht="18.75" customHeight="1" x14ac:dyDescent="0.35">
      <c r="T47416" s="246">
        <f t="shared" si="778"/>
        <v>0</v>
      </c>
    </row>
    <row r="47417" spans="20:20" ht="18.75" customHeight="1" x14ac:dyDescent="0.35">
      <c r="T47417" s="246">
        <f t="shared" si="778"/>
        <v>0</v>
      </c>
    </row>
    <row r="47418" spans="20:20" ht="18.75" customHeight="1" x14ac:dyDescent="0.35">
      <c r="T47418" s="246">
        <f t="shared" si="778"/>
        <v>0</v>
      </c>
    </row>
    <row r="47419" spans="20:20" ht="18.75" customHeight="1" x14ac:dyDescent="0.35">
      <c r="T47419" s="246">
        <f t="shared" si="778"/>
        <v>0</v>
      </c>
    </row>
    <row r="47420" spans="20:20" ht="18.75" customHeight="1" x14ac:dyDescent="0.35">
      <c r="T47420" s="246">
        <f t="shared" ref="T47420:T47483" si="779">R47420*0.01</f>
        <v>0</v>
      </c>
    </row>
    <row r="47421" spans="20:20" ht="18.75" customHeight="1" x14ac:dyDescent="0.35">
      <c r="T47421" s="246">
        <f t="shared" si="779"/>
        <v>0</v>
      </c>
    </row>
    <row r="47422" spans="20:20" ht="18.75" customHeight="1" x14ac:dyDescent="0.35">
      <c r="T47422" s="246">
        <f t="shared" si="779"/>
        <v>0</v>
      </c>
    </row>
    <row r="47423" spans="20:20" ht="18.75" customHeight="1" x14ac:dyDescent="0.35">
      <c r="T47423" s="246">
        <f t="shared" si="779"/>
        <v>0</v>
      </c>
    </row>
    <row r="47424" spans="20:20" ht="18.75" customHeight="1" x14ac:dyDescent="0.35">
      <c r="T47424" s="246">
        <f t="shared" si="779"/>
        <v>0</v>
      </c>
    </row>
    <row r="47425" spans="20:20" ht="18.75" customHeight="1" x14ac:dyDescent="0.35">
      <c r="T47425" s="246">
        <f t="shared" si="779"/>
        <v>0</v>
      </c>
    </row>
    <row r="47426" spans="20:20" ht="18.75" customHeight="1" x14ac:dyDescent="0.35">
      <c r="T47426" s="246">
        <f t="shared" si="779"/>
        <v>0</v>
      </c>
    </row>
    <row r="47427" spans="20:20" ht="18.75" customHeight="1" x14ac:dyDescent="0.35">
      <c r="T47427" s="246">
        <f t="shared" si="779"/>
        <v>0</v>
      </c>
    </row>
    <row r="47428" spans="20:20" ht="18.75" customHeight="1" x14ac:dyDescent="0.35">
      <c r="T47428" s="246">
        <f t="shared" si="779"/>
        <v>0</v>
      </c>
    </row>
    <row r="47429" spans="20:20" ht="18.75" customHeight="1" x14ac:dyDescent="0.35">
      <c r="T47429" s="246">
        <f t="shared" si="779"/>
        <v>0</v>
      </c>
    </row>
    <row r="47430" spans="20:20" ht="18.75" customHeight="1" x14ac:dyDescent="0.35">
      <c r="T47430" s="246">
        <f t="shared" si="779"/>
        <v>0</v>
      </c>
    </row>
    <row r="47431" spans="20:20" ht="18.75" customHeight="1" x14ac:dyDescent="0.35">
      <c r="T47431" s="246">
        <f t="shared" si="779"/>
        <v>0</v>
      </c>
    </row>
    <row r="47432" spans="20:20" ht="18.75" customHeight="1" x14ac:dyDescent="0.35">
      <c r="T47432" s="246">
        <f t="shared" si="779"/>
        <v>0</v>
      </c>
    </row>
    <row r="47433" spans="20:20" ht="18.75" customHeight="1" x14ac:dyDescent="0.35">
      <c r="T47433" s="246">
        <f t="shared" si="779"/>
        <v>0</v>
      </c>
    </row>
    <row r="47434" spans="20:20" ht="18.75" customHeight="1" x14ac:dyDescent="0.35">
      <c r="T47434" s="246">
        <f t="shared" si="779"/>
        <v>0</v>
      </c>
    </row>
    <row r="47435" spans="20:20" ht="18.75" customHeight="1" x14ac:dyDescent="0.35">
      <c r="T47435" s="246">
        <f t="shared" si="779"/>
        <v>0</v>
      </c>
    </row>
    <row r="47436" spans="20:20" ht="18.75" customHeight="1" x14ac:dyDescent="0.35">
      <c r="T47436" s="246">
        <f t="shared" si="779"/>
        <v>0</v>
      </c>
    </row>
    <row r="47437" spans="20:20" ht="18.75" customHeight="1" x14ac:dyDescent="0.35">
      <c r="T47437" s="246">
        <f t="shared" si="779"/>
        <v>0</v>
      </c>
    </row>
    <row r="47438" spans="20:20" ht="18.75" customHeight="1" x14ac:dyDescent="0.35">
      <c r="T47438" s="246">
        <f t="shared" si="779"/>
        <v>0</v>
      </c>
    </row>
    <row r="47439" spans="20:20" ht="18.75" customHeight="1" x14ac:dyDescent="0.35">
      <c r="T47439" s="246">
        <f t="shared" si="779"/>
        <v>0</v>
      </c>
    </row>
    <row r="47440" spans="20:20" ht="18.75" customHeight="1" x14ac:dyDescent="0.35">
      <c r="T47440" s="246">
        <f t="shared" si="779"/>
        <v>0</v>
      </c>
    </row>
    <row r="47441" spans="20:20" ht="18.75" customHeight="1" x14ac:dyDescent="0.35">
      <c r="T47441" s="246">
        <f t="shared" si="779"/>
        <v>0</v>
      </c>
    </row>
    <row r="47442" spans="20:20" ht="18.75" customHeight="1" x14ac:dyDescent="0.35">
      <c r="T47442" s="246">
        <f t="shared" si="779"/>
        <v>0</v>
      </c>
    </row>
    <row r="47443" spans="20:20" ht="18.75" customHeight="1" x14ac:dyDescent="0.35">
      <c r="T47443" s="246">
        <f t="shared" si="779"/>
        <v>0</v>
      </c>
    </row>
    <row r="47444" spans="20:20" ht="18.75" customHeight="1" x14ac:dyDescent="0.35">
      <c r="T47444" s="246">
        <f t="shared" si="779"/>
        <v>0</v>
      </c>
    </row>
    <row r="47445" spans="20:20" ht="18.75" customHeight="1" x14ac:dyDescent="0.35">
      <c r="T47445" s="246">
        <f t="shared" si="779"/>
        <v>0</v>
      </c>
    </row>
    <row r="47446" spans="20:20" ht="18.75" customHeight="1" x14ac:dyDescent="0.35">
      <c r="T47446" s="246">
        <f t="shared" si="779"/>
        <v>0</v>
      </c>
    </row>
    <row r="47447" spans="20:20" ht="18.75" customHeight="1" x14ac:dyDescent="0.35">
      <c r="T47447" s="246">
        <f t="shared" si="779"/>
        <v>0</v>
      </c>
    </row>
    <row r="47448" spans="20:20" ht="18.75" customHeight="1" x14ac:dyDescent="0.35">
      <c r="T47448" s="246">
        <f t="shared" si="779"/>
        <v>0</v>
      </c>
    </row>
    <row r="47449" spans="20:20" ht="18.75" customHeight="1" x14ac:dyDescent="0.35">
      <c r="T47449" s="246">
        <f t="shared" si="779"/>
        <v>0</v>
      </c>
    </row>
    <row r="47450" spans="20:20" ht="18.75" customHeight="1" x14ac:dyDescent="0.35">
      <c r="T47450" s="246">
        <f t="shared" si="779"/>
        <v>0</v>
      </c>
    </row>
    <row r="47451" spans="20:20" ht="18.75" customHeight="1" x14ac:dyDescent="0.35">
      <c r="T47451" s="246">
        <f t="shared" si="779"/>
        <v>0</v>
      </c>
    </row>
    <row r="47452" spans="20:20" ht="18.75" customHeight="1" x14ac:dyDescent="0.35">
      <c r="T47452" s="246">
        <f t="shared" si="779"/>
        <v>0</v>
      </c>
    </row>
    <row r="47453" spans="20:20" ht="18.75" customHeight="1" x14ac:dyDescent="0.35">
      <c r="T47453" s="246">
        <f t="shared" si="779"/>
        <v>0</v>
      </c>
    </row>
    <row r="47454" spans="20:20" ht="18.75" customHeight="1" x14ac:dyDescent="0.35">
      <c r="T47454" s="246">
        <f t="shared" si="779"/>
        <v>0</v>
      </c>
    </row>
    <row r="47455" spans="20:20" ht="18.75" customHeight="1" x14ac:dyDescent="0.35">
      <c r="T47455" s="246">
        <f t="shared" si="779"/>
        <v>0</v>
      </c>
    </row>
    <row r="47456" spans="20:20" ht="18.75" customHeight="1" x14ac:dyDescent="0.35">
      <c r="T47456" s="246">
        <f t="shared" si="779"/>
        <v>0</v>
      </c>
    </row>
    <row r="47457" spans="20:20" ht="18.75" customHeight="1" x14ac:dyDescent="0.35">
      <c r="T47457" s="246">
        <f t="shared" si="779"/>
        <v>0</v>
      </c>
    </row>
    <row r="47458" spans="20:20" ht="18.75" customHeight="1" x14ac:dyDescent="0.35">
      <c r="T47458" s="246">
        <f t="shared" si="779"/>
        <v>0</v>
      </c>
    </row>
    <row r="47459" spans="20:20" ht="18.75" customHeight="1" x14ac:dyDescent="0.35">
      <c r="T47459" s="246">
        <f t="shared" si="779"/>
        <v>0</v>
      </c>
    </row>
    <row r="47460" spans="20:20" ht="18.75" customHeight="1" x14ac:dyDescent="0.35">
      <c r="T47460" s="246">
        <f t="shared" si="779"/>
        <v>0</v>
      </c>
    </row>
    <row r="47461" spans="20:20" ht="18.75" customHeight="1" x14ac:dyDescent="0.35">
      <c r="T47461" s="246">
        <f t="shared" si="779"/>
        <v>0</v>
      </c>
    </row>
    <row r="47462" spans="20:20" ht="18.75" customHeight="1" x14ac:dyDescent="0.35">
      <c r="T47462" s="246">
        <f t="shared" si="779"/>
        <v>0</v>
      </c>
    </row>
    <row r="47463" spans="20:20" ht="18.75" customHeight="1" x14ac:dyDescent="0.35">
      <c r="T47463" s="246">
        <f t="shared" si="779"/>
        <v>0</v>
      </c>
    </row>
    <row r="47464" spans="20:20" ht="18.75" customHeight="1" x14ac:dyDescent="0.35">
      <c r="T47464" s="246">
        <f t="shared" si="779"/>
        <v>0</v>
      </c>
    </row>
    <row r="47465" spans="20:20" ht="18.75" customHeight="1" x14ac:dyDescent="0.35">
      <c r="T47465" s="246">
        <f t="shared" si="779"/>
        <v>0</v>
      </c>
    </row>
    <row r="47466" spans="20:20" ht="18.75" customHeight="1" x14ac:dyDescent="0.35">
      <c r="T47466" s="246">
        <f t="shared" si="779"/>
        <v>0</v>
      </c>
    </row>
    <row r="47467" spans="20:20" ht="18.75" customHeight="1" x14ac:dyDescent="0.35">
      <c r="T47467" s="246">
        <f t="shared" si="779"/>
        <v>0</v>
      </c>
    </row>
    <row r="47468" spans="20:20" ht="18.75" customHeight="1" x14ac:dyDescent="0.35">
      <c r="T47468" s="246">
        <f t="shared" si="779"/>
        <v>0</v>
      </c>
    </row>
    <row r="47469" spans="20:20" ht="18.75" customHeight="1" x14ac:dyDescent="0.35">
      <c r="T47469" s="246">
        <f t="shared" si="779"/>
        <v>0</v>
      </c>
    </row>
    <row r="47470" spans="20:20" ht="18.75" customHeight="1" x14ac:dyDescent="0.35">
      <c r="T47470" s="246">
        <f t="shared" si="779"/>
        <v>0</v>
      </c>
    </row>
    <row r="47471" spans="20:20" ht="18.75" customHeight="1" x14ac:dyDescent="0.35">
      <c r="T47471" s="246">
        <f t="shared" si="779"/>
        <v>0</v>
      </c>
    </row>
    <row r="47472" spans="20:20" ht="18.75" customHeight="1" x14ac:dyDescent="0.35">
      <c r="T47472" s="246">
        <f t="shared" si="779"/>
        <v>0</v>
      </c>
    </row>
    <row r="47473" spans="20:20" ht="18.75" customHeight="1" x14ac:dyDescent="0.35">
      <c r="T47473" s="246">
        <f t="shared" si="779"/>
        <v>0</v>
      </c>
    </row>
    <row r="47474" spans="20:20" ht="18.75" customHeight="1" x14ac:dyDescent="0.35">
      <c r="T47474" s="246">
        <f t="shared" si="779"/>
        <v>0</v>
      </c>
    </row>
    <row r="47475" spans="20:20" ht="18.75" customHeight="1" x14ac:dyDescent="0.35">
      <c r="T47475" s="246">
        <f t="shared" si="779"/>
        <v>0</v>
      </c>
    </row>
    <row r="47476" spans="20:20" ht="18.75" customHeight="1" x14ac:dyDescent="0.35">
      <c r="T47476" s="246">
        <f t="shared" si="779"/>
        <v>0</v>
      </c>
    </row>
    <row r="47477" spans="20:20" ht="18.75" customHeight="1" x14ac:dyDescent="0.35">
      <c r="T47477" s="246">
        <f t="shared" si="779"/>
        <v>0</v>
      </c>
    </row>
    <row r="47478" spans="20:20" ht="18.75" customHeight="1" x14ac:dyDescent="0.35">
      <c r="T47478" s="246">
        <f t="shared" si="779"/>
        <v>0</v>
      </c>
    </row>
    <row r="47479" spans="20:20" ht="18.75" customHeight="1" x14ac:dyDescent="0.35">
      <c r="T47479" s="246">
        <f t="shared" si="779"/>
        <v>0</v>
      </c>
    </row>
    <row r="47480" spans="20:20" ht="18.75" customHeight="1" x14ac:dyDescent="0.35">
      <c r="T47480" s="246">
        <f t="shared" si="779"/>
        <v>0</v>
      </c>
    </row>
    <row r="47481" spans="20:20" ht="18.75" customHeight="1" x14ac:dyDescent="0.35">
      <c r="T47481" s="246">
        <f t="shared" si="779"/>
        <v>0</v>
      </c>
    </row>
    <row r="47482" spans="20:20" ht="18.75" customHeight="1" x14ac:dyDescent="0.35">
      <c r="T47482" s="246">
        <f t="shared" si="779"/>
        <v>0</v>
      </c>
    </row>
    <row r="47483" spans="20:20" ht="18.75" customHeight="1" x14ac:dyDescent="0.35">
      <c r="T47483" s="246">
        <f t="shared" si="779"/>
        <v>0</v>
      </c>
    </row>
    <row r="47484" spans="20:20" ht="18.75" customHeight="1" x14ac:dyDescent="0.35">
      <c r="T47484" s="246">
        <f t="shared" ref="T47484:T47547" si="780">R47484*0.01</f>
        <v>0</v>
      </c>
    </row>
    <row r="47485" spans="20:20" ht="18.75" customHeight="1" x14ac:dyDescent="0.35">
      <c r="T47485" s="246">
        <f t="shared" si="780"/>
        <v>0</v>
      </c>
    </row>
    <row r="47486" spans="20:20" ht="18.75" customHeight="1" x14ac:dyDescent="0.35">
      <c r="T47486" s="246">
        <f t="shared" si="780"/>
        <v>0</v>
      </c>
    </row>
    <row r="47487" spans="20:20" ht="18.75" customHeight="1" x14ac:dyDescent="0.35">
      <c r="T47487" s="246">
        <f t="shared" si="780"/>
        <v>0</v>
      </c>
    </row>
    <row r="47488" spans="20:20" ht="18.75" customHeight="1" x14ac:dyDescent="0.35">
      <c r="T47488" s="246">
        <f t="shared" si="780"/>
        <v>0</v>
      </c>
    </row>
    <row r="47489" spans="20:20" ht="18.75" customHeight="1" x14ac:dyDescent="0.35">
      <c r="T47489" s="246">
        <f t="shared" si="780"/>
        <v>0</v>
      </c>
    </row>
    <row r="47490" spans="20:20" ht="18.75" customHeight="1" x14ac:dyDescent="0.35">
      <c r="T47490" s="246">
        <f t="shared" si="780"/>
        <v>0</v>
      </c>
    </row>
    <row r="47491" spans="20:20" ht="18.75" customHeight="1" x14ac:dyDescent="0.35">
      <c r="T47491" s="246">
        <f t="shared" si="780"/>
        <v>0</v>
      </c>
    </row>
    <row r="47492" spans="20:20" ht="18.75" customHeight="1" x14ac:dyDescent="0.35">
      <c r="T47492" s="246">
        <f t="shared" si="780"/>
        <v>0</v>
      </c>
    </row>
    <row r="47493" spans="20:20" ht="18.75" customHeight="1" x14ac:dyDescent="0.35">
      <c r="T47493" s="246">
        <f t="shared" si="780"/>
        <v>0</v>
      </c>
    </row>
    <row r="47494" spans="20:20" ht="18.75" customHeight="1" x14ac:dyDescent="0.35">
      <c r="T47494" s="246">
        <f t="shared" si="780"/>
        <v>0</v>
      </c>
    </row>
    <row r="47495" spans="20:20" ht="18.75" customHeight="1" x14ac:dyDescent="0.35">
      <c r="T47495" s="246">
        <f t="shared" si="780"/>
        <v>0</v>
      </c>
    </row>
    <row r="47496" spans="20:20" ht="18.75" customHeight="1" x14ac:dyDescent="0.35">
      <c r="T47496" s="246">
        <f t="shared" si="780"/>
        <v>0</v>
      </c>
    </row>
    <row r="47497" spans="20:20" ht="18.75" customHeight="1" x14ac:dyDescent="0.35">
      <c r="T47497" s="246">
        <f t="shared" si="780"/>
        <v>0</v>
      </c>
    </row>
    <row r="47498" spans="20:20" ht="18.75" customHeight="1" x14ac:dyDescent="0.35">
      <c r="T47498" s="246">
        <f t="shared" si="780"/>
        <v>0</v>
      </c>
    </row>
    <row r="47499" spans="20:20" ht="18.75" customHeight="1" x14ac:dyDescent="0.35">
      <c r="T47499" s="246">
        <f t="shared" si="780"/>
        <v>0</v>
      </c>
    </row>
    <row r="47500" spans="20:20" ht="18.75" customHeight="1" x14ac:dyDescent="0.35">
      <c r="T47500" s="246">
        <f t="shared" si="780"/>
        <v>0</v>
      </c>
    </row>
    <row r="47501" spans="20:20" ht="18.75" customHeight="1" x14ac:dyDescent="0.35">
      <c r="T47501" s="246">
        <f t="shared" si="780"/>
        <v>0</v>
      </c>
    </row>
    <row r="47502" spans="20:20" ht="18.75" customHeight="1" x14ac:dyDescent="0.35">
      <c r="T47502" s="246">
        <f t="shared" si="780"/>
        <v>0</v>
      </c>
    </row>
    <row r="47503" spans="20:20" ht="18.75" customHeight="1" x14ac:dyDescent="0.35">
      <c r="T47503" s="246">
        <f t="shared" si="780"/>
        <v>0</v>
      </c>
    </row>
    <row r="47504" spans="20:20" ht="18.75" customHeight="1" x14ac:dyDescent="0.35">
      <c r="T47504" s="246">
        <f t="shared" si="780"/>
        <v>0</v>
      </c>
    </row>
    <row r="47505" spans="20:20" ht="18.75" customHeight="1" x14ac:dyDescent="0.35">
      <c r="T47505" s="246">
        <f t="shared" si="780"/>
        <v>0</v>
      </c>
    </row>
    <row r="47506" spans="20:20" ht="18.75" customHeight="1" x14ac:dyDescent="0.35">
      <c r="T47506" s="246">
        <f t="shared" si="780"/>
        <v>0</v>
      </c>
    </row>
    <row r="47507" spans="20:20" ht="18.75" customHeight="1" x14ac:dyDescent="0.35">
      <c r="T47507" s="246">
        <f t="shared" si="780"/>
        <v>0</v>
      </c>
    </row>
    <row r="47508" spans="20:20" ht="18.75" customHeight="1" x14ac:dyDescent="0.35">
      <c r="T47508" s="246">
        <f t="shared" si="780"/>
        <v>0</v>
      </c>
    </row>
    <row r="47509" spans="20:20" ht="18.75" customHeight="1" x14ac:dyDescent="0.35">
      <c r="T47509" s="246">
        <f t="shared" si="780"/>
        <v>0</v>
      </c>
    </row>
    <row r="47510" spans="20:20" ht="18.75" customHeight="1" x14ac:dyDescent="0.35">
      <c r="T47510" s="246">
        <f t="shared" si="780"/>
        <v>0</v>
      </c>
    </row>
    <row r="47511" spans="20:20" ht="18.75" customHeight="1" x14ac:dyDescent="0.35">
      <c r="T47511" s="246">
        <f t="shared" si="780"/>
        <v>0</v>
      </c>
    </row>
    <row r="47512" spans="20:20" ht="18.75" customHeight="1" x14ac:dyDescent="0.35">
      <c r="T47512" s="246">
        <f t="shared" si="780"/>
        <v>0</v>
      </c>
    </row>
    <row r="47513" spans="20:20" ht="18.75" customHeight="1" x14ac:dyDescent="0.35">
      <c r="T47513" s="246">
        <f t="shared" si="780"/>
        <v>0</v>
      </c>
    </row>
    <row r="47514" spans="20:20" ht="18.75" customHeight="1" x14ac:dyDescent="0.35">
      <c r="T47514" s="246">
        <f t="shared" si="780"/>
        <v>0</v>
      </c>
    </row>
    <row r="47515" spans="20:20" ht="18.75" customHeight="1" x14ac:dyDescent="0.35">
      <c r="T47515" s="246">
        <f t="shared" si="780"/>
        <v>0</v>
      </c>
    </row>
    <row r="47516" spans="20:20" ht="18.75" customHeight="1" x14ac:dyDescent="0.35">
      <c r="T47516" s="246">
        <f t="shared" si="780"/>
        <v>0</v>
      </c>
    </row>
    <row r="47517" spans="20:20" ht="18.75" customHeight="1" x14ac:dyDescent="0.35">
      <c r="T47517" s="246">
        <f t="shared" si="780"/>
        <v>0</v>
      </c>
    </row>
    <row r="47518" spans="20:20" ht="18.75" customHeight="1" x14ac:dyDescent="0.35">
      <c r="T47518" s="246">
        <f t="shared" si="780"/>
        <v>0</v>
      </c>
    </row>
    <row r="47519" spans="20:20" ht="18.75" customHeight="1" x14ac:dyDescent="0.35">
      <c r="T47519" s="246">
        <f t="shared" si="780"/>
        <v>0</v>
      </c>
    </row>
    <row r="47520" spans="20:20" ht="18.75" customHeight="1" x14ac:dyDescent="0.35">
      <c r="T47520" s="246">
        <f t="shared" si="780"/>
        <v>0</v>
      </c>
    </row>
    <row r="47521" spans="20:20" ht="18.75" customHeight="1" x14ac:dyDescent="0.35">
      <c r="T47521" s="246">
        <f t="shared" si="780"/>
        <v>0</v>
      </c>
    </row>
    <row r="47522" spans="20:20" ht="18.75" customHeight="1" x14ac:dyDescent="0.35">
      <c r="T47522" s="246">
        <f t="shared" si="780"/>
        <v>0</v>
      </c>
    </row>
    <row r="47523" spans="20:20" ht="18.75" customHeight="1" x14ac:dyDescent="0.35">
      <c r="T47523" s="246">
        <f t="shared" si="780"/>
        <v>0</v>
      </c>
    </row>
    <row r="47524" spans="20:20" ht="18.75" customHeight="1" x14ac:dyDescent="0.35">
      <c r="T47524" s="246">
        <f t="shared" si="780"/>
        <v>0</v>
      </c>
    </row>
    <row r="47525" spans="20:20" ht="18.75" customHeight="1" x14ac:dyDescent="0.35">
      <c r="T47525" s="246">
        <f t="shared" si="780"/>
        <v>0</v>
      </c>
    </row>
    <row r="47526" spans="20:20" ht="18.75" customHeight="1" x14ac:dyDescent="0.35">
      <c r="T47526" s="246">
        <f t="shared" si="780"/>
        <v>0</v>
      </c>
    </row>
    <row r="47527" spans="20:20" ht="18.75" customHeight="1" x14ac:dyDescent="0.35">
      <c r="T47527" s="246">
        <f t="shared" si="780"/>
        <v>0</v>
      </c>
    </row>
    <row r="47528" spans="20:20" ht="18.75" customHeight="1" x14ac:dyDescent="0.35">
      <c r="T47528" s="246">
        <f t="shared" si="780"/>
        <v>0</v>
      </c>
    </row>
    <row r="47529" spans="20:20" ht="18.75" customHeight="1" x14ac:dyDescent="0.35">
      <c r="T47529" s="246">
        <f t="shared" si="780"/>
        <v>0</v>
      </c>
    </row>
    <row r="47530" spans="20:20" ht="18.75" customHeight="1" x14ac:dyDescent="0.35">
      <c r="T47530" s="246">
        <f t="shared" si="780"/>
        <v>0</v>
      </c>
    </row>
    <row r="47531" spans="20:20" ht="18.75" customHeight="1" x14ac:dyDescent="0.35">
      <c r="T47531" s="246">
        <f t="shared" si="780"/>
        <v>0</v>
      </c>
    </row>
    <row r="47532" spans="20:20" ht="18.75" customHeight="1" x14ac:dyDescent="0.35">
      <c r="T47532" s="246">
        <f t="shared" si="780"/>
        <v>0</v>
      </c>
    </row>
    <row r="47533" spans="20:20" ht="18.75" customHeight="1" x14ac:dyDescent="0.35">
      <c r="T47533" s="246">
        <f t="shared" si="780"/>
        <v>0</v>
      </c>
    </row>
    <row r="47534" spans="20:20" ht="18.75" customHeight="1" x14ac:dyDescent="0.35">
      <c r="T47534" s="246">
        <f t="shared" si="780"/>
        <v>0</v>
      </c>
    </row>
    <row r="47535" spans="20:20" ht="18.75" customHeight="1" x14ac:dyDescent="0.35">
      <c r="T47535" s="246">
        <f t="shared" si="780"/>
        <v>0</v>
      </c>
    </row>
    <row r="47536" spans="20:20" ht="18.75" customHeight="1" x14ac:dyDescent="0.35">
      <c r="T47536" s="246">
        <f t="shared" si="780"/>
        <v>0</v>
      </c>
    </row>
    <row r="47537" spans="20:20" ht="18.75" customHeight="1" x14ac:dyDescent="0.35">
      <c r="T47537" s="246">
        <f t="shared" si="780"/>
        <v>0</v>
      </c>
    </row>
    <row r="47538" spans="20:20" ht="18.75" customHeight="1" x14ac:dyDescent="0.35">
      <c r="T47538" s="246">
        <f t="shared" si="780"/>
        <v>0</v>
      </c>
    </row>
    <row r="47539" spans="20:20" ht="18.75" customHeight="1" x14ac:dyDescent="0.35">
      <c r="T47539" s="246">
        <f t="shared" si="780"/>
        <v>0</v>
      </c>
    </row>
    <row r="47540" spans="20:20" ht="18.75" customHeight="1" x14ac:dyDescent="0.35">
      <c r="T47540" s="246">
        <f t="shared" si="780"/>
        <v>0</v>
      </c>
    </row>
    <row r="47541" spans="20:20" ht="18.75" customHeight="1" x14ac:dyDescent="0.35">
      <c r="T47541" s="246">
        <f t="shared" si="780"/>
        <v>0</v>
      </c>
    </row>
    <row r="47542" spans="20:20" ht="18.75" customHeight="1" x14ac:dyDescent="0.35">
      <c r="T47542" s="246">
        <f t="shared" si="780"/>
        <v>0</v>
      </c>
    </row>
    <row r="47543" spans="20:20" ht="18.75" customHeight="1" x14ac:dyDescent="0.35">
      <c r="T47543" s="246">
        <f t="shared" si="780"/>
        <v>0</v>
      </c>
    </row>
    <row r="47544" spans="20:20" ht="18.75" customHeight="1" x14ac:dyDescent="0.35">
      <c r="T47544" s="246">
        <f t="shared" si="780"/>
        <v>0</v>
      </c>
    </row>
    <row r="47545" spans="20:20" ht="18.75" customHeight="1" x14ac:dyDescent="0.35">
      <c r="T47545" s="246">
        <f t="shared" si="780"/>
        <v>0</v>
      </c>
    </row>
    <row r="47546" spans="20:20" ht="18.75" customHeight="1" x14ac:dyDescent="0.35">
      <c r="T47546" s="246">
        <f t="shared" si="780"/>
        <v>0</v>
      </c>
    </row>
    <row r="47547" spans="20:20" ht="18.75" customHeight="1" x14ac:dyDescent="0.35">
      <c r="T47547" s="246">
        <f t="shared" si="780"/>
        <v>0</v>
      </c>
    </row>
    <row r="47548" spans="20:20" ht="18.75" customHeight="1" x14ac:dyDescent="0.35">
      <c r="T47548" s="246">
        <f t="shared" ref="T47548:T47611" si="781">R47548*0.01</f>
        <v>0</v>
      </c>
    </row>
    <row r="47549" spans="20:20" ht="18.75" customHeight="1" x14ac:dyDescent="0.35">
      <c r="T47549" s="246">
        <f t="shared" si="781"/>
        <v>0</v>
      </c>
    </row>
    <row r="47550" spans="20:20" ht="18.75" customHeight="1" x14ac:dyDescent="0.35">
      <c r="T47550" s="246">
        <f t="shared" si="781"/>
        <v>0</v>
      </c>
    </row>
    <row r="47551" spans="20:20" ht="18.75" customHeight="1" x14ac:dyDescent="0.35">
      <c r="T47551" s="246">
        <f t="shared" si="781"/>
        <v>0</v>
      </c>
    </row>
    <row r="47552" spans="20:20" ht="18.75" customHeight="1" x14ac:dyDescent="0.35">
      <c r="T47552" s="246">
        <f t="shared" si="781"/>
        <v>0</v>
      </c>
    </row>
    <row r="47553" spans="20:20" ht="18.75" customHeight="1" x14ac:dyDescent="0.35">
      <c r="T47553" s="246">
        <f t="shared" si="781"/>
        <v>0</v>
      </c>
    </row>
    <row r="47554" spans="20:20" ht="18.75" customHeight="1" x14ac:dyDescent="0.35">
      <c r="T47554" s="246">
        <f t="shared" si="781"/>
        <v>0</v>
      </c>
    </row>
    <row r="47555" spans="20:20" ht="18.75" customHeight="1" x14ac:dyDescent="0.35">
      <c r="T47555" s="246">
        <f t="shared" si="781"/>
        <v>0</v>
      </c>
    </row>
    <row r="47556" spans="20:20" ht="18.75" customHeight="1" x14ac:dyDescent="0.35">
      <c r="T47556" s="246">
        <f t="shared" si="781"/>
        <v>0</v>
      </c>
    </row>
    <row r="47557" spans="20:20" ht="18.75" customHeight="1" x14ac:dyDescent="0.35">
      <c r="T47557" s="246">
        <f t="shared" si="781"/>
        <v>0</v>
      </c>
    </row>
    <row r="47558" spans="20:20" ht="18.75" customHeight="1" x14ac:dyDescent="0.35">
      <c r="T47558" s="246">
        <f t="shared" si="781"/>
        <v>0</v>
      </c>
    </row>
    <row r="47559" spans="20:20" ht="18.75" customHeight="1" x14ac:dyDescent="0.35">
      <c r="T47559" s="246">
        <f t="shared" si="781"/>
        <v>0</v>
      </c>
    </row>
    <row r="47560" spans="20:20" ht="18.75" customHeight="1" x14ac:dyDescent="0.35">
      <c r="T47560" s="246">
        <f t="shared" si="781"/>
        <v>0</v>
      </c>
    </row>
    <row r="47561" spans="20:20" ht="18.75" customHeight="1" x14ac:dyDescent="0.35">
      <c r="T47561" s="246">
        <f t="shared" si="781"/>
        <v>0</v>
      </c>
    </row>
    <row r="47562" spans="20:20" ht="18.75" customHeight="1" x14ac:dyDescent="0.35">
      <c r="T47562" s="246">
        <f t="shared" si="781"/>
        <v>0</v>
      </c>
    </row>
    <row r="47563" spans="20:20" ht="18.75" customHeight="1" x14ac:dyDescent="0.35">
      <c r="T47563" s="246">
        <f t="shared" si="781"/>
        <v>0</v>
      </c>
    </row>
    <row r="47564" spans="20:20" ht="18.75" customHeight="1" x14ac:dyDescent="0.35">
      <c r="T47564" s="246">
        <f t="shared" si="781"/>
        <v>0</v>
      </c>
    </row>
    <row r="47565" spans="20:20" ht="18.75" customHeight="1" x14ac:dyDescent="0.35">
      <c r="T47565" s="246">
        <f t="shared" si="781"/>
        <v>0</v>
      </c>
    </row>
    <row r="47566" spans="20:20" ht="18.75" customHeight="1" x14ac:dyDescent="0.35">
      <c r="T47566" s="246">
        <f t="shared" si="781"/>
        <v>0</v>
      </c>
    </row>
    <row r="47567" spans="20:20" ht="18.75" customHeight="1" x14ac:dyDescent="0.35">
      <c r="T47567" s="246">
        <f t="shared" si="781"/>
        <v>0</v>
      </c>
    </row>
    <row r="47568" spans="20:20" ht="18.75" customHeight="1" x14ac:dyDescent="0.35">
      <c r="T47568" s="246">
        <f t="shared" si="781"/>
        <v>0</v>
      </c>
    </row>
    <row r="47569" spans="20:20" ht="18.75" customHeight="1" x14ac:dyDescent="0.35">
      <c r="T47569" s="246">
        <f t="shared" si="781"/>
        <v>0</v>
      </c>
    </row>
    <row r="47570" spans="20:20" ht="18.75" customHeight="1" x14ac:dyDescent="0.35">
      <c r="T47570" s="246">
        <f t="shared" si="781"/>
        <v>0</v>
      </c>
    </row>
    <row r="47571" spans="20:20" ht="18.75" customHeight="1" x14ac:dyDescent="0.35">
      <c r="T47571" s="246">
        <f t="shared" si="781"/>
        <v>0</v>
      </c>
    </row>
    <row r="47572" spans="20:20" ht="18.75" customHeight="1" x14ac:dyDescent="0.35">
      <c r="T47572" s="246">
        <f t="shared" si="781"/>
        <v>0</v>
      </c>
    </row>
    <row r="47573" spans="20:20" ht="18.75" customHeight="1" x14ac:dyDescent="0.35">
      <c r="T47573" s="246">
        <f t="shared" si="781"/>
        <v>0</v>
      </c>
    </row>
    <row r="47574" spans="20:20" ht="18.75" customHeight="1" x14ac:dyDescent="0.35">
      <c r="T47574" s="246">
        <f t="shared" si="781"/>
        <v>0</v>
      </c>
    </row>
    <row r="47575" spans="20:20" ht="18.75" customHeight="1" x14ac:dyDescent="0.35">
      <c r="T47575" s="246">
        <f t="shared" si="781"/>
        <v>0</v>
      </c>
    </row>
    <row r="47576" spans="20:20" ht="18.75" customHeight="1" x14ac:dyDescent="0.35">
      <c r="T47576" s="246">
        <f t="shared" si="781"/>
        <v>0</v>
      </c>
    </row>
    <row r="47577" spans="20:20" ht="18.75" customHeight="1" x14ac:dyDescent="0.35">
      <c r="T47577" s="246">
        <f t="shared" si="781"/>
        <v>0</v>
      </c>
    </row>
    <row r="47578" spans="20:20" ht="18.75" customHeight="1" x14ac:dyDescent="0.35">
      <c r="T47578" s="246">
        <f t="shared" si="781"/>
        <v>0</v>
      </c>
    </row>
    <row r="47579" spans="20:20" ht="18.75" customHeight="1" x14ac:dyDescent="0.35">
      <c r="T47579" s="246">
        <f t="shared" si="781"/>
        <v>0</v>
      </c>
    </row>
    <row r="47580" spans="20:20" ht="18.75" customHeight="1" x14ac:dyDescent="0.35">
      <c r="T47580" s="246">
        <f t="shared" si="781"/>
        <v>0</v>
      </c>
    </row>
    <row r="47581" spans="20:20" ht="18.75" customHeight="1" x14ac:dyDescent="0.35">
      <c r="T47581" s="246">
        <f t="shared" si="781"/>
        <v>0</v>
      </c>
    </row>
    <row r="47582" spans="20:20" ht="18.75" customHeight="1" x14ac:dyDescent="0.35">
      <c r="T47582" s="246">
        <f t="shared" si="781"/>
        <v>0</v>
      </c>
    </row>
    <row r="47583" spans="20:20" ht="18.75" customHeight="1" x14ac:dyDescent="0.35">
      <c r="T47583" s="246">
        <f t="shared" si="781"/>
        <v>0</v>
      </c>
    </row>
    <row r="47584" spans="20:20" ht="18.75" customHeight="1" x14ac:dyDescent="0.35">
      <c r="T47584" s="246">
        <f t="shared" si="781"/>
        <v>0</v>
      </c>
    </row>
    <row r="47585" spans="20:20" ht="18.75" customHeight="1" x14ac:dyDescent="0.35">
      <c r="T47585" s="246">
        <f t="shared" si="781"/>
        <v>0</v>
      </c>
    </row>
    <row r="47586" spans="20:20" ht="18.75" customHeight="1" x14ac:dyDescent="0.35">
      <c r="T47586" s="246">
        <f t="shared" si="781"/>
        <v>0</v>
      </c>
    </row>
    <row r="47587" spans="20:20" ht="18.75" customHeight="1" x14ac:dyDescent="0.35">
      <c r="T47587" s="246">
        <f t="shared" si="781"/>
        <v>0</v>
      </c>
    </row>
    <row r="47588" spans="20:20" ht="18.75" customHeight="1" x14ac:dyDescent="0.35">
      <c r="T47588" s="246">
        <f t="shared" si="781"/>
        <v>0</v>
      </c>
    </row>
    <row r="47589" spans="20:20" ht="18.75" customHeight="1" x14ac:dyDescent="0.35">
      <c r="T47589" s="246">
        <f t="shared" si="781"/>
        <v>0</v>
      </c>
    </row>
    <row r="47590" spans="20:20" ht="18.75" customHeight="1" x14ac:dyDescent="0.35">
      <c r="T47590" s="246">
        <f t="shared" si="781"/>
        <v>0</v>
      </c>
    </row>
    <row r="47591" spans="20:20" ht="18.75" customHeight="1" x14ac:dyDescent="0.35">
      <c r="T47591" s="246">
        <f t="shared" si="781"/>
        <v>0</v>
      </c>
    </row>
    <row r="47592" spans="20:20" ht="18.75" customHeight="1" x14ac:dyDescent="0.35">
      <c r="T47592" s="246">
        <f t="shared" si="781"/>
        <v>0</v>
      </c>
    </row>
    <row r="47593" spans="20:20" ht="18.75" customHeight="1" x14ac:dyDescent="0.35">
      <c r="T47593" s="246">
        <f t="shared" si="781"/>
        <v>0</v>
      </c>
    </row>
    <row r="47594" spans="20:20" ht="18.75" customHeight="1" x14ac:dyDescent="0.35">
      <c r="T47594" s="246">
        <f t="shared" si="781"/>
        <v>0</v>
      </c>
    </row>
    <row r="47595" spans="20:20" ht="18.75" customHeight="1" x14ac:dyDescent="0.35">
      <c r="T47595" s="246">
        <f t="shared" si="781"/>
        <v>0</v>
      </c>
    </row>
    <row r="47596" spans="20:20" ht="18.75" customHeight="1" x14ac:dyDescent="0.35">
      <c r="T47596" s="246">
        <f t="shared" si="781"/>
        <v>0</v>
      </c>
    </row>
    <row r="47597" spans="20:20" ht="18.75" customHeight="1" x14ac:dyDescent="0.35">
      <c r="T47597" s="246">
        <f t="shared" si="781"/>
        <v>0</v>
      </c>
    </row>
    <row r="47598" spans="20:20" ht="18.75" customHeight="1" x14ac:dyDescent="0.35">
      <c r="T47598" s="246">
        <f t="shared" si="781"/>
        <v>0</v>
      </c>
    </row>
    <row r="47599" spans="20:20" ht="18.75" customHeight="1" x14ac:dyDescent="0.35">
      <c r="T47599" s="246">
        <f t="shared" si="781"/>
        <v>0</v>
      </c>
    </row>
    <row r="47600" spans="20:20" ht="18.75" customHeight="1" x14ac:dyDescent="0.35">
      <c r="T47600" s="246">
        <f t="shared" si="781"/>
        <v>0</v>
      </c>
    </row>
    <row r="47601" spans="20:20" ht="18.75" customHeight="1" x14ac:dyDescent="0.35">
      <c r="T47601" s="246">
        <f t="shared" si="781"/>
        <v>0</v>
      </c>
    </row>
    <row r="47602" spans="20:20" ht="18.75" customHeight="1" x14ac:dyDescent="0.35">
      <c r="T47602" s="246">
        <f t="shared" si="781"/>
        <v>0</v>
      </c>
    </row>
    <row r="47603" spans="20:20" ht="18.75" customHeight="1" x14ac:dyDescent="0.35">
      <c r="T47603" s="246">
        <f t="shared" si="781"/>
        <v>0</v>
      </c>
    </row>
    <row r="47604" spans="20:20" ht="18.75" customHeight="1" x14ac:dyDescent="0.35">
      <c r="T47604" s="246">
        <f t="shared" si="781"/>
        <v>0</v>
      </c>
    </row>
    <row r="47605" spans="20:20" ht="18.75" customHeight="1" x14ac:dyDescent="0.35">
      <c r="T47605" s="246">
        <f t="shared" si="781"/>
        <v>0</v>
      </c>
    </row>
    <row r="47606" spans="20:20" ht="18.75" customHeight="1" x14ac:dyDescent="0.35">
      <c r="T47606" s="246">
        <f t="shared" si="781"/>
        <v>0</v>
      </c>
    </row>
    <row r="47607" spans="20:20" ht="18.75" customHeight="1" x14ac:dyDescent="0.35">
      <c r="T47607" s="246">
        <f t="shared" si="781"/>
        <v>0</v>
      </c>
    </row>
    <row r="47608" spans="20:20" ht="18.75" customHeight="1" x14ac:dyDescent="0.35">
      <c r="T47608" s="246">
        <f t="shared" si="781"/>
        <v>0</v>
      </c>
    </row>
    <row r="47609" spans="20:20" ht="18.75" customHeight="1" x14ac:dyDescent="0.35">
      <c r="T47609" s="246">
        <f t="shared" si="781"/>
        <v>0</v>
      </c>
    </row>
    <row r="47610" spans="20:20" ht="18.75" customHeight="1" x14ac:dyDescent="0.35">
      <c r="T47610" s="246">
        <f t="shared" si="781"/>
        <v>0</v>
      </c>
    </row>
    <row r="47611" spans="20:20" ht="18.75" customHeight="1" x14ac:dyDescent="0.35">
      <c r="T47611" s="246">
        <f t="shared" si="781"/>
        <v>0</v>
      </c>
    </row>
    <row r="47612" spans="20:20" ht="18.75" customHeight="1" x14ac:dyDescent="0.35">
      <c r="T47612" s="246">
        <f t="shared" ref="T47612:T47675" si="782">R47612*0.01</f>
        <v>0</v>
      </c>
    </row>
    <row r="47613" spans="20:20" ht="18.75" customHeight="1" x14ac:dyDescent="0.35">
      <c r="T47613" s="246">
        <f t="shared" si="782"/>
        <v>0</v>
      </c>
    </row>
    <row r="47614" spans="20:20" ht="18.75" customHeight="1" x14ac:dyDescent="0.35">
      <c r="T47614" s="246">
        <f t="shared" si="782"/>
        <v>0</v>
      </c>
    </row>
    <row r="47615" spans="20:20" ht="18.75" customHeight="1" x14ac:dyDescent="0.35">
      <c r="T47615" s="246">
        <f t="shared" si="782"/>
        <v>0</v>
      </c>
    </row>
    <row r="47616" spans="20:20" ht="18.75" customHeight="1" x14ac:dyDescent="0.35">
      <c r="T47616" s="246">
        <f t="shared" si="782"/>
        <v>0</v>
      </c>
    </row>
    <row r="47617" spans="20:20" ht="18.75" customHeight="1" x14ac:dyDescent="0.35">
      <c r="T47617" s="246">
        <f t="shared" si="782"/>
        <v>0</v>
      </c>
    </row>
    <row r="47618" spans="20:20" ht="18.75" customHeight="1" x14ac:dyDescent="0.35">
      <c r="T47618" s="246">
        <f t="shared" si="782"/>
        <v>0</v>
      </c>
    </row>
    <row r="47619" spans="20:20" ht="18.75" customHeight="1" x14ac:dyDescent="0.35">
      <c r="T47619" s="246">
        <f t="shared" si="782"/>
        <v>0</v>
      </c>
    </row>
    <row r="47620" spans="20:20" ht="18.75" customHeight="1" x14ac:dyDescent="0.35">
      <c r="T47620" s="246">
        <f t="shared" si="782"/>
        <v>0</v>
      </c>
    </row>
    <row r="47621" spans="20:20" ht="18.75" customHeight="1" x14ac:dyDescent="0.35">
      <c r="T47621" s="246">
        <f t="shared" si="782"/>
        <v>0</v>
      </c>
    </row>
    <row r="47622" spans="20:20" ht="18.75" customHeight="1" x14ac:dyDescent="0.35">
      <c r="T47622" s="246">
        <f t="shared" si="782"/>
        <v>0</v>
      </c>
    </row>
    <row r="47623" spans="20:20" ht="18.75" customHeight="1" x14ac:dyDescent="0.35">
      <c r="T47623" s="246">
        <f t="shared" si="782"/>
        <v>0</v>
      </c>
    </row>
    <row r="47624" spans="20:20" ht="18.75" customHeight="1" x14ac:dyDescent="0.35">
      <c r="T47624" s="246">
        <f t="shared" si="782"/>
        <v>0</v>
      </c>
    </row>
    <row r="47625" spans="20:20" ht="18.75" customHeight="1" x14ac:dyDescent="0.35">
      <c r="T47625" s="246">
        <f t="shared" si="782"/>
        <v>0</v>
      </c>
    </row>
    <row r="47626" spans="20:20" ht="18.75" customHeight="1" x14ac:dyDescent="0.35">
      <c r="T47626" s="246">
        <f t="shared" si="782"/>
        <v>0</v>
      </c>
    </row>
    <row r="47627" spans="20:20" ht="18.75" customHeight="1" x14ac:dyDescent="0.35">
      <c r="T47627" s="246">
        <f t="shared" si="782"/>
        <v>0</v>
      </c>
    </row>
    <row r="47628" spans="20:20" ht="18.75" customHeight="1" x14ac:dyDescent="0.35">
      <c r="T47628" s="246">
        <f t="shared" si="782"/>
        <v>0</v>
      </c>
    </row>
    <row r="47629" spans="20:20" ht="18.75" customHeight="1" x14ac:dyDescent="0.35">
      <c r="T47629" s="246">
        <f t="shared" si="782"/>
        <v>0</v>
      </c>
    </row>
    <row r="47630" spans="20:20" ht="18.75" customHeight="1" x14ac:dyDescent="0.35">
      <c r="T47630" s="246">
        <f t="shared" si="782"/>
        <v>0</v>
      </c>
    </row>
    <row r="47631" spans="20:20" ht="18.75" customHeight="1" x14ac:dyDescent="0.35">
      <c r="T47631" s="246">
        <f t="shared" si="782"/>
        <v>0</v>
      </c>
    </row>
    <row r="47632" spans="20:20" ht="18.75" customHeight="1" x14ac:dyDescent="0.35">
      <c r="T47632" s="246">
        <f t="shared" si="782"/>
        <v>0</v>
      </c>
    </row>
    <row r="47633" spans="20:20" ht="18.75" customHeight="1" x14ac:dyDescent="0.35">
      <c r="T47633" s="246">
        <f t="shared" si="782"/>
        <v>0</v>
      </c>
    </row>
    <row r="47634" spans="20:20" ht="18.75" customHeight="1" x14ac:dyDescent="0.35">
      <c r="T47634" s="246">
        <f t="shared" si="782"/>
        <v>0</v>
      </c>
    </row>
    <row r="47635" spans="20:20" ht="18.75" customHeight="1" x14ac:dyDescent="0.35">
      <c r="T47635" s="246">
        <f t="shared" si="782"/>
        <v>0</v>
      </c>
    </row>
    <row r="47636" spans="20:20" ht="18.75" customHeight="1" x14ac:dyDescent="0.35">
      <c r="T47636" s="246">
        <f t="shared" si="782"/>
        <v>0</v>
      </c>
    </row>
    <row r="47637" spans="20:20" ht="18.75" customHeight="1" x14ac:dyDescent="0.35">
      <c r="T47637" s="246">
        <f t="shared" si="782"/>
        <v>0</v>
      </c>
    </row>
    <row r="47638" spans="20:20" ht="18.75" customHeight="1" x14ac:dyDescent="0.35">
      <c r="T47638" s="246">
        <f t="shared" si="782"/>
        <v>0</v>
      </c>
    </row>
    <row r="47639" spans="20:20" ht="18.75" customHeight="1" x14ac:dyDescent="0.35">
      <c r="T47639" s="246">
        <f t="shared" si="782"/>
        <v>0</v>
      </c>
    </row>
    <row r="47640" spans="20:20" ht="18.75" customHeight="1" x14ac:dyDescent="0.35">
      <c r="T47640" s="246">
        <f t="shared" si="782"/>
        <v>0</v>
      </c>
    </row>
    <row r="47641" spans="20:20" ht="18.75" customHeight="1" x14ac:dyDescent="0.35">
      <c r="T47641" s="246">
        <f t="shared" si="782"/>
        <v>0</v>
      </c>
    </row>
    <row r="47642" spans="20:20" ht="18.75" customHeight="1" x14ac:dyDescent="0.35">
      <c r="T47642" s="246">
        <f t="shared" si="782"/>
        <v>0</v>
      </c>
    </row>
    <row r="47643" spans="20:20" ht="18.75" customHeight="1" x14ac:dyDescent="0.35">
      <c r="T47643" s="246">
        <f t="shared" si="782"/>
        <v>0</v>
      </c>
    </row>
    <row r="47644" spans="20:20" ht="18.75" customHeight="1" x14ac:dyDescent="0.35">
      <c r="T47644" s="246">
        <f t="shared" si="782"/>
        <v>0</v>
      </c>
    </row>
    <row r="47645" spans="20:20" ht="18.75" customHeight="1" x14ac:dyDescent="0.35">
      <c r="T47645" s="246">
        <f t="shared" si="782"/>
        <v>0</v>
      </c>
    </row>
    <row r="47646" spans="20:20" ht="18.75" customHeight="1" x14ac:dyDescent="0.35">
      <c r="T47646" s="246">
        <f t="shared" si="782"/>
        <v>0</v>
      </c>
    </row>
    <row r="47647" spans="20:20" ht="18.75" customHeight="1" x14ac:dyDescent="0.35">
      <c r="T47647" s="246">
        <f t="shared" si="782"/>
        <v>0</v>
      </c>
    </row>
    <row r="47648" spans="20:20" ht="18.75" customHeight="1" x14ac:dyDescent="0.35">
      <c r="T47648" s="246">
        <f t="shared" si="782"/>
        <v>0</v>
      </c>
    </row>
    <row r="47649" spans="20:20" ht="18.75" customHeight="1" x14ac:dyDescent="0.35">
      <c r="T47649" s="246">
        <f t="shared" si="782"/>
        <v>0</v>
      </c>
    </row>
    <row r="47650" spans="20:20" ht="18.75" customHeight="1" x14ac:dyDescent="0.35">
      <c r="T47650" s="246">
        <f t="shared" si="782"/>
        <v>0</v>
      </c>
    </row>
    <row r="47651" spans="20:20" ht="18.75" customHeight="1" x14ac:dyDescent="0.35">
      <c r="T47651" s="246">
        <f t="shared" si="782"/>
        <v>0</v>
      </c>
    </row>
    <row r="47652" spans="20:20" ht="18.75" customHeight="1" x14ac:dyDescent="0.35">
      <c r="T47652" s="246">
        <f t="shared" si="782"/>
        <v>0</v>
      </c>
    </row>
    <row r="47653" spans="20:20" ht="18.75" customHeight="1" x14ac:dyDescent="0.35">
      <c r="T47653" s="246">
        <f t="shared" si="782"/>
        <v>0</v>
      </c>
    </row>
    <row r="47654" spans="20:20" ht="18.75" customHeight="1" x14ac:dyDescent="0.35">
      <c r="T47654" s="246">
        <f t="shared" si="782"/>
        <v>0</v>
      </c>
    </row>
    <row r="47655" spans="20:20" ht="18.75" customHeight="1" x14ac:dyDescent="0.35">
      <c r="T47655" s="246">
        <f t="shared" si="782"/>
        <v>0</v>
      </c>
    </row>
    <row r="47656" spans="20:20" ht="18.75" customHeight="1" x14ac:dyDescent="0.35">
      <c r="T47656" s="246">
        <f t="shared" si="782"/>
        <v>0</v>
      </c>
    </row>
    <row r="47657" spans="20:20" ht="18.75" customHeight="1" x14ac:dyDescent="0.35">
      <c r="T47657" s="246">
        <f t="shared" si="782"/>
        <v>0</v>
      </c>
    </row>
    <row r="47658" spans="20:20" ht="18.75" customHeight="1" x14ac:dyDescent="0.35">
      <c r="T47658" s="246">
        <f t="shared" si="782"/>
        <v>0</v>
      </c>
    </row>
    <row r="47659" spans="20:20" ht="18.75" customHeight="1" x14ac:dyDescent="0.35">
      <c r="T47659" s="246">
        <f t="shared" si="782"/>
        <v>0</v>
      </c>
    </row>
    <row r="47660" spans="20:20" ht="18.75" customHeight="1" x14ac:dyDescent="0.35">
      <c r="T47660" s="246">
        <f t="shared" si="782"/>
        <v>0</v>
      </c>
    </row>
    <row r="47661" spans="20:20" ht="18.75" customHeight="1" x14ac:dyDescent="0.35">
      <c r="T47661" s="246">
        <f t="shared" si="782"/>
        <v>0</v>
      </c>
    </row>
    <row r="47662" spans="20:20" ht="18.75" customHeight="1" x14ac:dyDescent="0.35">
      <c r="T47662" s="246">
        <f t="shared" si="782"/>
        <v>0</v>
      </c>
    </row>
    <row r="47663" spans="20:20" ht="18.75" customHeight="1" x14ac:dyDescent="0.35">
      <c r="T47663" s="246">
        <f t="shared" si="782"/>
        <v>0</v>
      </c>
    </row>
    <row r="47664" spans="20:20" ht="18.75" customHeight="1" x14ac:dyDescent="0.35">
      <c r="T47664" s="246">
        <f t="shared" si="782"/>
        <v>0</v>
      </c>
    </row>
    <row r="47665" spans="20:20" ht="18.75" customHeight="1" x14ac:dyDescent="0.35">
      <c r="T47665" s="246">
        <f t="shared" si="782"/>
        <v>0</v>
      </c>
    </row>
    <row r="47666" spans="20:20" ht="18.75" customHeight="1" x14ac:dyDescent="0.35">
      <c r="T47666" s="246">
        <f t="shared" si="782"/>
        <v>0</v>
      </c>
    </row>
    <row r="47667" spans="20:20" ht="18.75" customHeight="1" x14ac:dyDescent="0.35">
      <c r="T47667" s="246">
        <f t="shared" si="782"/>
        <v>0</v>
      </c>
    </row>
    <row r="47668" spans="20:20" ht="18.75" customHeight="1" x14ac:dyDescent="0.35">
      <c r="T47668" s="246">
        <f t="shared" si="782"/>
        <v>0</v>
      </c>
    </row>
    <row r="47669" spans="20:20" ht="18.75" customHeight="1" x14ac:dyDescent="0.35">
      <c r="T47669" s="246">
        <f t="shared" si="782"/>
        <v>0</v>
      </c>
    </row>
    <row r="47670" spans="20:20" ht="18.75" customHeight="1" x14ac:dyDescent="0.35">
      <c r="T47670" s="246">
        <f t="shared" si="782"/>
        <v>0</v>
      </c>
    </row>
    <row r="47671" spans="20:20" ht="18.75" customHeight="1" x14ac:dyDescent="0.35">
      <c r="T47671" s="246">
        <f t="shared" si="782"/>
        <v>0</v>
      </c>
    </row>
    <row r="47672" spans="20:20" ht="18.75" customHeight="1" x14ac:dyDescent="0.35">
      <c r="T47672" s="246">
        <f t="shared" si="782"/>
        <v>0</v>
      </c>
    </row>
    <row r="47673" spans="20:20" ht="18.75" customHeight="1" x14ac:dyDescent="0.35">
      <c r="T47673" s="246">
        <f t="shared" si="782"/>
        <v>0</v>
      </c>
    </row>
    <row r="47674" spans="20:20" ht="18.75" customHeight="1" x14ac:dyDescent="0.35">
      <c r="T47674" s="246">
        <f t="shared" si="782"/>
        <v>0</v>
      </c>
    </row>
    <row r="47675" spans="20:20" ht="18.75" customHeight="1" x14ac:dyDescent="0.35">
      <c r="T47675" s="246">
        <f t="shared" si="782"/>
        <v>0</v>
      </c>
    </row>
    <row r="47676" spans="20:20" ht="18.75" customHeight="1" x14ac:dyDescent="0.35">
      <c r="T47676" s="246">
        <f t="shared" ref="T47676:T47739" si="783">R47676*0.01</f>
        <v>0</v>
      </c>
    </row>
    <row r="47677" spans="20:20" ht="18.75" customHeight="1" x14ac:dyDescent="0.35">
      <c r="T47677" s="246">
        <f t="shared" si="783"/>
        <v>0</v>
      </c>
    </row>
    <row r="47678" spans="20:20" ht="18.75" customHeight="1" x14ac:dyDescent="0.35">
      <c r="T47678" s="246">
        <f t="shared" si="783"/>
        <v>0</v>
      </c>
    </row>
    <row r="47679" spans="20:20" ht="18.75" customHeight="1" x14ac:dyDescent="0.35">
      <c r="T47679" s="246">
        <f t="shared" si="783"/>
        <v>0</v>
      </c>
    </row>
    <row r="47680" spans="20:20" ht="18.75" customHeight="1" x14ac:dyDescent="0.35">
      <c r="T47680" s="246">
        <f t="shared" si="783"/>
        <v>0</v>
      </c>
    </row>
    <row r="47681" spans="20:20" ht="18.75" customHeight="1" x14ac:dyDescent="0.35">
      <c r="T47681" s="246">
        <f t="shared" si="783"/>
        <v>0</v>
      </c>
    </row>
    <row r="47682" spans="20:20" ht="18.75" customHeight="1" x14ac:dyDescent="0.35">
      <c r="T47682" s="246">
        <f t="shared" si="783"/>
        <v>0</v>
      </c>
    </row>
    <row r="47683" spans="20:20" ht="18.75" customHeight="1" x14ac:dyDescent="0.35">
      <c r="T47683" s="246">
        <f t="shared" si="783"/>
        <v>0</v>
      </c>
    </row>
    <row r="47684" spans="20:20" ht="18.75" customHeight="1" x14ac:dyDescent="0.35">
      <c r="T47684" s="246">
        <f t="shared" si="783"/>
        <v>0</v>
      </c>
    </row>
    <row r="47685" spans="20:20" ht="18.75" customHeight="1" x14ac:dyDescent="0.35">
      <c r="T47685" s="246">
        <f t="shared" si="783"/>
        <v>0</v>
      </c>
    </row>
    <row r="47686" spans="20:20" ht="18.75" customHeight="1" x14ac:dyDescent="0.35">
      <c r="T47686" s="246">
        <f t="shared" si="783"/>
        <v>0</v>
      </c>
    </row>
    <row r="47687" spans="20:20" ht="18.75" customHeight="1" x14ac:dyDescent="0.35">
      <c r="T47687" s="246">
        <f t="shared" si="783"/>
        <v>0</v>
      </c>
    </row>
    <row r="47688" spans="20:20" ht="18.75" customHeight="1" x14ac:dyDescent="0.35">
      <c r="T47688" s="246">
        <f t="shared" si="783"/>
        <v>0</v>
      </c>
    </row>
    <row r="47689" spans="20:20" ht="18.75" customHeight="1" x14ac:dyDescent="0.35">
      <c r="T47689" s="246">
        <f t="shared" si="783"/>
        <v>0</v>
      </c>
    </row>
    <row r="47690" spans="20:20" ht="18.75" customHeight="1" x14ac:dyDescent="0.35">
      <c r="T47690" s="246">
        <f t="shared" si="783"/>
        <v>0</v>
      </c>
    </row>
    <row r="47691" spans="20:20" ht="18.75" customHeight="1" x14ac:dyDescent="0.35">
      <c r="T47691" s="246">
        <f t="shared" si="783"/>
        <v>0</v>
      </c>
    </row>
    <row r="47692" spans="20:20" ht="18.75" customHeight="1" x14ac:dyDescent="0.35">
      <c r="T47692" s="246">
        <f t="shared" si="783"/>
        <v>0</v>
      </c>
    </row>
    <row r="47693" spans="20:20" ht="18.75" customHeight="1" x14ac:dyDescent="0.35">
      <c r="T47693" s="246">
        <f t="shared" si="783"/>
        <v>0</v>
      </c>
    </row>
    <row r="47694" spans="20:20" ht="18.75" customHeight="1" x14ac:dyDescent="0.35">
      <c r="T47694" s="246">
        <f t="shared" si="783"/>
        <v>0</v>
      </c>
    </row>
    <row r="47695" spans="20:20" ht="18.75" customHeight="1" x14ac:dyDescent="0.35">
      <c r="T47695" s="246">
        <f t="shared" si="783"/>
        <v>0</v>
      </c>
    </row>
    <row r="47696" spans="20:20" ht="18.75" customHeight="1" x14ac:dyDescent="0.35">
      <c r="T47696" s="246">
        <f t="shared" si="783"/>
        <v>0</v>
      </c>
    </row>
    <row r="47697" spans="20:20" ht="18.75" customHeight="1" x14ac:dyDescent="0.35">
      <c r="T47697" s="246">
        <f t="shared" si="783"/>
        <v>0</v>
      </c>
    </row>
    <row r="47698" spans="20:20" ht="18.75" customHeight="1" x14ac:dyDescent="0.35">
      <c r="T47698" s="246">
        <f t="shared" si="783"/>
        <v>0</v>
      </c>
    </row>
    <row r="47699" spans="20:20" ht="18.75" customHeight="1" x14ac:dyDescent="0.35">
      <c r="T47699" s="246">
        <f t="shared" si="783"/>
        <v>0</v>
      </c>
    </row>
    <row r="47700" spans="20:20" ht="18.75" customHeight="1" x14ac:dyDescent="0.35">
      <c r="T47700" s="246">
        <f t="shared" si="783"/>
        <v>0</v>
      </c>
    </row>
    <row r="47701" spans="20:20" ht="18.75" customHeight="1" x14ac:dyDescent="0.35">
      <c r="T47701" s="246">
        <f t="shared" si="783"/>
        <v>0</v>
      </c>
    </row>
    <row r="47702" spans="20:20" ht="18.75" customHeight="1" x14ac:dyDescent="0.35">
      <c r="T47702" s="246">
        <f t="shared" si="783"/>
        <v>0</v>
      </c>
    </row>
    <row r="47703" spans="20:20" ht="18.75" customHeight="1" x14ac:dyDescent="0.35">
      <c r="T47703" s="246">
        <f t="shared" si="783"/>
        <v>0</v>
      </c>
    </row>
    <row r="47704" spans="20:20" ht="18.75" customHeight="1" x14ac:dyDescent="0.35">
      <c r="T47704" s="246">
        <f t="shared" si="783"/>
        <v>0</v>
      </c>
    </row>
    <row r="47705" spans="20:20" ht="18.75" customHeight="1" x14ac:dyDescent="0.35">
      <c r="T47705" s="246">
        <f t="shared" si="783"/>
        <v>0</v>
      </c>
    </row>
    <row r="47706" spans="20:20" ht="18.75" customHeight="1" x14ac:dyDescent="0.35">
      <c r="T47706" s="246">
        <f t="shared" si="783"/>
        <v>0</v>
      </c>
    </row>
    <row r="47707" spans="20:20" ht="18.75" customHeight="1" x14ac:dyDescent="0.35">
      <c r="T47707" s="246">
        <f t="shared" si="783"/>
        <v>0</v>
      </c>
    </row>
    <row r="47708" spans="20:20" ht="18.75" customHeight="1" x14ac:dyDescent="0.35">
      <c r="T47708" s="246">
        <f t="shared" si="783"/>
        <v>0</v>
      </c>
    </row>
    <row r="47709" spans="20:20" ht="18.75" customHeight="1" x14ac:dyDescent="0.35">
      <c r="T47709" s="246">
        <f t="shared" si="783"/>
        <v>0</v>
      </c>
    </row>
    <row r="47710" spans="20:20" ht="18.75" customHeight="1" x14ac:dyDescent="0.35">
      <c r="T47710" s="246">
        <f t="shared" si="783"/>
        <v>0</v>
      </c>
    </row>
    <row r="47711" spans="20:20" ht="18.75" customHeight="1" x14ac:dyDescent="0.35">
      <c r="T47711" s="246">
        <f t="shared" si="783"/>
        <v>0</v>
      </c>
    </row>
    <row r="47712" spans="20:20" ht="18.75" customHeight="1" x14ac:dyDescent="0.35">
      <c r="T47712" s="246">
        <f t="shared" si="783"/>
        <v>0</v>
      </c>
    </row>
    <row r="47713" spans="20:20" ht="18.75" customHeight="1" x14ac:dyDescent="0.35">
      <c r="T47713" s="246">
        <f t="shared" si="783"/>
        <v>0</v>
      </c>
    </row>
    <row r="47714" spans="20:20" ht="18.75" customHeight="1" x14ac:dyDescent="0.35">
      <c r="T47714" s="246">
        <f t="shared" si="783"/>
        <v>0</v>
      </c>
    </row>
    <row r="47715" spans="20:20" ht="18.75" customHeight="1" x14ac:dyDescent="0.35">
      <c r="T47715" s="246">
        <f t="shared" si="783"/>
        <v>0</v>
      </c>
    </row>
    <row r="47716" spans="20:20" ht="18.75" customHeight="1" x14ac:dyDescent="0.35">
      <c r="T47716" s="246">
        <f t="shared" si="783"/>
        <v>0</v>
      </c>
    </row>
    <row r="47717" spans="20:20" ht="18.75" customHeight="1" x14ac:dyDescent="0.35">
      <c r="T47717" s="246">
        <f t="shared" si="783"/>
        <v>0</v>
      </c>
    </row>
    <row r="47718" spans="20:20" ht="18.75" customHeight="1" x14ac:dyDescent="0.35">
      <c r="T47718" s="246">
        <f t="shared" si="783"/>
        <v>0</v>
      </c>
    </row>
    <row r="47719" spans="20:20" ht="18.75" customHeight="1" x14ac:dyDescent="0.35">
      <c r="T47719" s="246">
        <f t="shared" si="783"/>
        <v>0</v>
      </c>
    </row>
    <row r="47720" spans="20:20" ht="18.75" customHeight="1" x14ac:dyDescent="0.35">
      <c r="T47720" s="246">
        <f t="shared" si="783"/>
        <v>0</v>
      </c>
    </row>
    <row r="47721" spans="20:20" ht="18.75" customHeight="1" x14ac:dyDescent="0.35">
      <c r="T47721" s="246">
        <f t="shared" si="783"/>
        <v>0</v>
      </c>
    </row>
    <row r="47722" spans="20:20" ht="18.75" customHeight="1" x14ac:dyDescent="0.35">
      <c r="T47722" s="246">
        <f t="shared" si="783"/>
        <v>0</v>
      </c>
    </row>
    <row r="47723" spans="20:20" ht="18.75" customHeight="1" x14ac:dyDescent="0.35">
      <c r="T47723" s="246">
        <f t="shared" si="783"/>
        <v>0</v>
      </c>
    </row>
    <row r="47724" spans="20:20" ht="18.75" customHeight="1" x14ac:dyDescent="0.35">
      <c r="T47724" s="246">
        <f t="shared" si="783"/>
        <v>0</v>
      </c>
    </row>
    <row r="47725" spans="20:20" ht="18.75" customHeight="1" x14ac:dyDescent="0.35">
      <c r="T47725" s="246">
        <f t="shared" si="783"/>
        <v>0</v>
      </c>
    </row>
    <row r="47726" spans="20:20" ht="18.75" customHeight="1" x14ac:dyDescent="0.35">
      <c r="T47726" s="246">
        <f t="shared" si="783"/>
        <v>0</v>
      </c>
    </row>
    <row r="47727" spans="20:20" ht="18.75" customHeight="1" x14ac:dyDescent="0.35">
      <c r="T47727" s="246">
        <f t="shared" si="783"/>
        <v>0</v>
      </c>
    </row>
    <row r="47728" spans="20:20" ht="18.75" customHeight="1" x14ac:dyDescent="0.35">
      <c r="T47728" s="246">
        <f t="shared" si="783"/>
        <v>0</v>
      </c>
    </row>
    <row r="47729" spans="20:20" ht="18.75" customHeight="1" x14ac:dyDescent="0.35">
      <c r="T47729" s="246">
        <f t="shared" si="783"/>
        <v>0</v>
      </c>
    </row>
    <row r="47730" spans="20:20" ht="18.75" customHeight="1" x14ac:dyDescent="0.35">
      <c r="T47730" s="246">
        <f t="shared" si="783"/>
        <v>0</v>
      </c>
    </row>
    <row r="47731" spans="20:20" ht="18.75" customHeight="1" x14ac:dyDescent="0.35">
      <c r="T47731" s="246">
        <f t="shared" si="783"/>
        <v>0</v>
      </c>
    </row>
    <row r="47732" spans="20:20" ht="18.75" customHeight="1" x14ac:dyDescent="0.35">
      <c r="T47732" s="246">
        <f t="shared" si="783"/>
        <v>0</v>
      </c>
    </row>
    <row r="47733" spans="20:20" ht="18.75" customHeight="1" x14ac:dyDescent="0.35">
      <c r="T47733" s="246">
        <f t="shared" si="783"/>
        <v>0</v>
      </c>
    </row>
    <row r="47734" spans="20:20" ht="18.75" customHeight="1" x14ac:dyDescent="0.35">
      <c r="T47734" s="246">
        <f t="shared" si="783"/>
        <v>0</v>
      </c>
    </row>
    <row r="47735" spans="20:20" ht="18.75" customHeight="1" x14ac:dyDescent="0.35">
      <c r="T47735" s="246">
        <f t="shared" si="783"/>
        <v>0</v>
      </c>
    </row>
    <row r="47736" spans="20:20" ht="18.75" customHeight="1" x14ac:dyDescent="0.35">
      <c r="T47736" s="246">
        <f t="shared" si="783"/>
        <v>0</v>
      </c>
    </row>
    <row r="47737" spans="20:20" ht="18.75" customHeight="1" x14ac:dyDescent="0.35">
      <c r="T47737" s="246">
        <f t="shared" si="783"/>
        <v>0</v>
      </c>
    </row>
    <row r="47738" spans="20:20" ht="18.75" customHeight="1" x14ac:dyDescent="0.35">
      <c r="T47738" s="246">
        <f t="shared" si="783"/>
        <v>0</v>
      </c>
    </row>
    <row r="47739" spans="20:20" ht="18.75" customHeight="1" x14ac:dyDescent="0.35">
      <c r="T47739" s="246">
        <f t="shared" si="783"/>
        <v>0</v>
      </c>
    </row>
    <row r="47740" spans="20:20" ht="18.75" customHeight="1" x14ac:dyDescent="0.35">
      <c r="T47740" s="246">
        <f t="shared" ref="T47740:T47803" si="784">R47740*0.01</f>
        <v>0</v>
      </c>
    </row>
    <row r="47741" spans="20:20" ht="18.75" customHeight="1" x14ac:dyDescent="0.35">
      <c r="T47741" s="246">
        <f t="shared" si="784"/>
        <v>0</v>
      </c>
    </row>
    <row r="47742" spans="20:20" ht="18.75" customHeight="1" x14ac:dyDescent="0.35">
      <c r="T47742" s="246">
        <f t="shared" si="784"/>
        <v>0</v>
      </c>
    </row>
    <row r="47743" spans="20:20" ht="18.75" customHeight="1" x14ac:dyDescent="0.35">
      <c r="T47743" s="246">
        <f t="shared" si="784"/>
        <v>0</v>
      </c>
    </row>
    <row r="47744" spans="20:20" ht="18.75" customHeight="1" x14ac:dyDescent="0.35">
      <c r="T47744" s="246">
        <f t="shared" si="784"/>
        <v>0</v>
      </c>
    </row>
    <row r="47745" spans="20:20" ht="18.75" customHeight="1" x14ac:dyDescent="0.35">
      <c r="T47745" s="246">
        <f t="shared" si="784"/>
        <v>0</v>
      </c>
    </row>
    <row r="47746" spans="20:20" ht="18.75" customHeight="1" x14ac:dyDescent="0.35">
      <c r="T47746" s="246">
        <f t="shared" si="784"/>
        <v>0</v>
      </c>
    </row>
    <row r="47747" spans="20:20" ht="18.75" customHeight="1" x14ac:dyDescent="0.35">
      <c r="T47747" s="246">
        <f t="shared" si="784"/>
        <v>0</v>
      </c>
    </row>
    <row r="47748" spans="20:20" ht="18.75" customHeight="1" x14ac:dyDescent="0.35">
      <c r="T47748" s="246">
        <f t="shared" si="784"/>
        <v>0</v>
      </c>
    </row>
    <row r="47749" spans="20:20" ht="18.75" customHeight="1" x14ac:dyDescent="0.35">
      <c r="T47749" s="246">
        <f t="shared" si="784"/>
        <v>0</v>
      </c>
    </row>
    <row r="47750" spans="20:20" ht="18.75" customHeight="1" x14ac:dyDescent="0.35">
      <c r="T47750" s="246">
        <f t="shared" si="784"/>
        <v>0</v>
      </c>
    </row>
    <row r="47751" spans="20:20" ht="18.75" customHeight="1" x14ac:dyDescent="0.35">
      <c r="T47751" s="246">
        <f t="shared" si="784"/>
        <v>0</v>
      </c>
    </row>
    <row r="47752" spans="20:20" ht="18.75" customHeight="1" x14ac:dyDescent="0.35">
      <c r="T47752" s="246">
        <f t="shared" si="784"/>
        <v>0</v>
      </c>
    </row>
    <row r="47753" spans="20:20" ht="18.75" customHeight="1" x14ac:dyDescent="0.35">
      <c r="T47753" s="246">
        <f t="shared" si="784"/>
        <v>0</v>
      </c>
    </row>
    <row r="47754" spans="20:20" ht="18.75" customHeight="1" x14ac:dyDescent="0.35">
      <c r="T47754" s="246">
        <f t="shared" si="784"/>
        <v>0</v>
      </c>
    </row>
    <row r="47755" spans="20:20" ht="18.75" customHeight="1" x14ac:dyDescent="0.35">
      <c r="T47755" s="246">
        <f t="shared" si="784"/>
        <v>0</v>
      </c>
    </row>
    <row r="47756" spans="20:20" ht="18.75" customHeight="1" x14ac:dyDescent="0.35">
      <c r="T47756" s="246">
        <f t="shared" si="784"/>
        <v>0</v>
      </c>
    </row>
    <row r="47757" spans="20:20" ht="18.75" customHeight="1" x14ac:dyDescent="0.35">
      <c r="T47757" s="246">
        <f t="shared" si="784"/>
        <v>0</v>
      </c>
    </row>
    <row r="47758" spans="20:20" ht="18.75" customHeight="1" x14ac:dyDescent="0.35">
      <c r="T47758" s="246">
        <f t="shared" si="784"/>
        <v>0</v>
      </c>
    </row>
    <row r="47759" spans="20:20" ht="18.75" customHeight="1" x14ac:dyDescent="0.35">
      <c r="T47759" s="246">
        <f t="shared" si="784"/>
        <v>0</v>
      </c>
    </row>
    <row r="47760" spans="20:20" ht="18.75" customHeight="1" x14ac:dyDescent="0.35">
      <c r="T47760" s="246">
        <f t="shared" si="784"/>
        <v>0</v>
      </c>
    </row>
    <row r="47761" spans="20:20" ht="18.75" customHeight="1" x14ac:dyDescent="0.35">
      <c r="T47761" s="246">
        <f t="shared" si="784"/>
        <v>0</v>
      </c>
    </row>
    <row r="47762" spans="20:20" ht="18.75" customHeight="1" x14ac:dyDescent="0.35">
      <c r="T47762" s="246">
        <f t="shared" si="784"/>
        <v>0</v>
      </c>
    </row>
    <row r="47763" spans="20:20" ht="18.75" customHeight="1" x14ac:dyDescent="0.35">
      <c r="T47763" s="246">
        <f t="shared" si="784"/>
        <v>0</v>
      </c>
    </row>
    <row r="47764" spans="20:20" ht="18.75" customHeight="1" x14ac:dyDescent="0.35">
      <c r="T47764" s="246">
        <f t="shared" si="784"/>
        <v>0</v>
      </c>
    </row>
    <row r="47765" spans="20:20" ht="18.75" customHeight="1" x14ac:dyDescent="0.35">
      <c r="T47765" s="246">
        <f t="shared" si="784"/>
        <v>0</v>
      </c>
    </row>
    <row r="47766" spans="20:20" ht="18.75" customHeight="1" x14ac:dyDescent="0.35">
      <c r="T47766" s="246">
        <f t="shared" si="784"/>
        <v>0</v>
      </c>
    </row>
    <row r="47767" spans="20:20" ht="18.75" customHeight="1" x14ac:dyDescent="0.35">
      <c r="T47767" s="246">
        <f t="shared" si="784"/>
        <v>0</v>
      </c>
    </row>
    <row r="47768" spans="20:20" ht="18.75" customHeight="1" x14ac:dyDescent="0.35">
      <c r="T47768" s="246">
        <f t="shared" si="784"/>
        <v>0</v>
      </c>
    </row>
    <row r="47769" spans="20:20" ht="18.75" customHeight="1" x14ac:dyDescent="0.35">
      <c r="T47769" s="246">
        <f t="shared" si="784"/>
        <v>0</v>
      </c>
    </row>
    <row r="47770" spans="20:20" ht="18.75" customHeight="1" x14ac:dyDescent="0.35">
      <c r="T47770" s="246">
        <f t="shared" si="784"/>
        <v>0</v>
      </c>
    </row>
    <row r="47771" spans="20:20" ht="18.75" customHeight="1" x14ac:dyDescent="0.35">
      <c r="T47771" s="246">
        <f t="shared" si="784"/>
        <v>0</v>
      </c>
    </row>
    <row r="47772" spans="20:20" ht="18.75" customHeight="1" x14ac:dyDescent="0.35">
      <c r="T47772" s="246">
        <f t="shared" si="784"/>
        <v>0</v>
      </c>
    </row>
    <row r="47773" spans="20:20" ht="18.75" customHeight="1" x14ac:dyDescent="0.35">
      <c r="T47773" s="246">
        <f t="shared" si="784"/>
        <v>0</v>
      </c>
    </row>
    <row r="47774" spans="20:20" ht="18.75" customHeight="1" x14ac:dyDescent="0.35">
      <c r="T47774" s="246">
        <f t="shared" si="784"/>
        <v>0</v>
      </c>
    </row>
    <row r="47775" spans="20:20" ht="18.75" customHeight="1" x14ac:dyDescent="0.35">
      <c r="T47775" s="246">
        <f t="shared" si="784"/>
        <v>0</v>
      </c>
    </row>
    <row r="47776" spans="20:20" ht="18.75" customHeight="1" x14ac:dyDescent="0.35">
      <c r="T47776" s="246">
        <f t="shared" si="784"/>
        <v>0</v>
      </c>
    </row>
    <row r="47777" spans="20:20" ht="18.75" customHeight="1" x14ac:dyDescent="0.35">
      <c r="T47777" s="246">
        <f t="shared" si="784"/>
        <v>0</v>
      </c>
    </row>
    <row r="47778" spans="20:20" ht="18.75" customHeight="1" x14ac:dyDescent="0.35">
      <c r="T47778" s="246">
        <f t="shared" si="784"/>
        <v>0</v>
      </c>
    </row>
    <row r="47779" spans="20:20" ht="18.75" customHeight="1" x14ac:dyDescent="0.35">
      <c r="T47779" s="246">
        <f t="shared" si="784"/>
        <v>0</v>
      </c>
    </row>
    <row r="47780" spans="20:20" ht="18.75" customHeight="1" x14ac:dyDescent="0.35">
      <c r="T47780" s="246">
        <f t="shared" si="784"/>
        <v>0</v>
      </c>
    </row>
    <row r="47781" spans="20:20" ht="18.75" customHeight="1" x14ac:dyDescent="0.35">
      <c r="T47781" s="246">
        <f t="shared" si="784"/>
        <v>0</v>
      </c>
    </row>
    <row r="47782" spans="20:20" ht="18.75" customHeight="1" x14ac:dyDescent="0.35">
      <c r="T47782" s="246">
        <f t="shared" si="784"/>
        <v>0</v>
      </c>
    </row>
    <row r="47783" spans="20:20" ht="18.75" customHeight="1" x14ac:dyDescent="0.35">
      <c r="T47783" s="246">
        <f t="shared" si="784"/>
        <v>0</v>
      </c>
    </row>
    <row r="47784" spans="20:20" ht="18.75" customHeight="1" x14ac:dyDescent="0.35">
      <c r="T47784" s="246">
        <f t="shared" si="784"/>
        <v>0</v>
      </c>
    </row>
    <row r="47785" spans="20:20" ht="18.75" customHeight="1" x14ac:dyDescent="0.35">
      <c r="T47785" s="246">
        <f t="shared" si="784"/>
        <v>0</v>
      </c>
    </row>
    <row r="47786" spans="20:20" ht="18.75" customHeight="1" x14ac:dyDescent="0.35">
      <c r="T47786" s="246">
        <f t="shared" si="784"/>
        <v>0</v>
      </c>
    </row>
    <row r="47787" spans="20:20" ht="18.75" customHeight="1" x14ac:dyDescent="0.35">
      <c r="T47787" s="246">
        <f t="shared" si="784"/>
        <v>0</v>
      </c>
    </row>
    <row r="47788" spans="20:20" ht="18.75" customHeight="1" x14ac:dyDescent="0.35">
      <c r="T47788" s="246">
        <f t="shared" si="784"/>
        <v>0</v>
      </c>
    </row>
    <row r="47789" spans="20:20" ht="18.75" customHeight="1" x14ac:dyDescent="0.35">
      <c r="T47789" s="246">
        <f t="shared" si="784"/>
        <v>0</v>
      </c>
    </row>
    <row r="47790" spans="20:20" ht="18.75" customHeight="1" x14ac:dyDescent="0.35">
      <c r="T47790" s="246">
        <f t="shared" si="784"/>
        <v>0</v>
      </c>
    </row>
    <row r="47791" spans="20:20" ht="18.75" customHeight="1" x14ac:dyDescent="0.35">
      <c r="T47791" s="246">
        <f t="shared" si="784"/>
        <v>0</v>
      </c>
    </row>
    <row r="47792" spans="20:20" ht="18.75" customHeight="1" x14ac:dyDescent="0.35">
      <c r="T47792" s="246">
        <f t="shared" si="784"/>
        <v>0</v>
      </c>
    </row>
    <row r="47793" spans="20:20" ht="18.75" customHeight="1" x14ac:dyDescent="0.35">
      <c r="T47793" s="246">
        <f t="shared" si="784"/>
        <v>0</v>
      </c>
    </row>
    <row r="47794" spans="20:20" ht="18.75" customHeight="1" x14ac:dyDescent="0.35">
      <c r="T47794" s="246">
        <f t="shared" si="784"/>
        <v>0</v>
      </c>
    </row>
    <row r="47795" spans="20:20" ht="18.75" customHeight="1" x14ac:dyDescent="0.35">
      <c r="T47795" s="246">
        <f t="shared" si="784"/>
        <v>0</v>
      </c>
    </row>
    <row r="47796" spans="20:20" ht="18.75" customHeight="1" x14ac:dyDescent="0.35">
      <c r="T47796" s="246">
        <f t="shared" si="784"/>
        <v>0</v>
      </c>
    </row>
    <row r="47797" spans="20:20" ht="18.75" customHeight="1" x14ac:dyDescent="0.35">
      <c r="T47797" s="246">
        <f t="shared" si="784"/>
        <v>0</v>
      </c>
    </row>
    <row r="47798" spans="20:20" ht="18.75" customHeight="1" x14ac:dyDescent="0.35">
      <c r="T47798" s="246">
        <f t="shared" si="784"/>
        <v>0</v>
      </c>
    </row>
    <row r="47799" spans="20:20" ht="18.75" customHeight="1" x14ac:dyDescent="0.35">
      <c r="T47799" s="246">
        <f t="shared" si="784"/>
        <v>0</v>
      </c>
    </row>
    <row r="47800" spans="20:20" ht="18.75" customHeight="1" x14ac:dyDescent="0.35">
      <c r="T47800" s="246">
        <f t="shared" si="784"/>
        <v>0</v>
      </c>
    </row>
    <row r="47801" spans="20:20" ht="18.75" customHeight="1" x14ac:dyDescent="0.35">
      <c r="T47801" s="246">
        <f t="shared" si="784"/>
        <v>0</v>
      </c>
    </row>
    <row r="47802" spans="20:20" ht="18.75" customHeight="1" x14ac:dyDescent="0.35">
      <c r="T47802" s="246">
        <f t="shared" si="784"/>
        <v>0</v>
      </c>
    </row>
    <row r="47803" spans="20:20" ht="18.75" customHeight="1" x14ac:dyDescent="0.35">
      <c r="T47803" s="246">
        <f t="shared" si="784"/>
        <v>0</v>
      </c>
    </row>
    <row r="47804" spans="20:20" ht="18.75" customHeight="1" x14ac:dyDescent="0.35">
      <c r="T47804" s="246">
        <f t="shared" ref="T47804:T47867" si="785">R47804*0.01</f>
        <v>0</v>
      </c>
    </row>
    <row r="47805" spans="20:20" ht="18.75" customHeight="1" x14ac:dyDescent="0.35">
      <c r="T47805" s="246">
        <f t="shared" si="785"/>
        <v>0</v>
      </c>
    </row>
    <row r="47806" spans="20:20" ht="18.75" customHeight="1" x14ac:dyDescent="0.35">
      <c r="T47806" s="246">
        <f t="shared" si="785"/>
        <v>0</v>
      </c>
    </row>
    <row r="47807" spans="20:20" ht="18.75" customHeight="1" x14ac:dyDescent="0.35">
      <c r="T47807" s="246">
        <f t="shared" si="785"/>
        <v>0</v>
      </c>
    </row>
    <row r="47808" spans="20:20" ht="18.75" customHeight="1" x14ac:dyDescent="0.35">
      <c r="T47808" s="246">
        <f t="shared" si="785"/>
        <v>0</v>
      </c>
    </row>
    <row r="47809" spans="20:20" ht="18.75" customHeight="1" x14ac:dyDescent="0.35">
      <c r="T47809" s="246">
        <f t="shared" si="785"/>
        <v>0</v>
      </c>
    </row>
    <row r="47810" spans="20:20" ht="18.75" customHeight="1" x14ac:dyDescent="0.35">
      <c r="T47810" s="246">
        <f t="shared" si="785"/>
        <v>0</v>
      </c>
    </row>
    <row r="47811" spans="20:20" ht="18.75" customHeight="1" x14ac:dyDescent="0.35">
      <c r="T47811" s="246">
        <f t="shared" si="785"/>
        <v>0</v>
      </c>
    </row>
    <row r="47812" spans="20:20" ht="18.75" customHeight="1" x14ac:dyDescent="0.35">
      <c r="T47812" s="246">
        <f t="shared" si="785"/>
        <v>0</v>
      </c>
    </row>
    <row r="47813" spans="20:20" ht="18.75" customHeight="1" x14ac:dyDescent="0.35">
      <c r="T47813" s="246">
        <f t="shared" si="785"/>
        <v>0</v>
      </c>
    </row>
    <row r="47814" spans="20:20" ht="18.75" customHeight="1" x14ac:dyDescent="0.35">
      <c r="T47814" s="246">
        <f t="shared" si="785"/>
        <v>0</v>
      </c>
    </row>
    <row r="47815" spans="20:20" ht="18.75" customHeight="1" x14ac:dyDescent="0.35">
      <c r="T47815" s="246">
        <f t="shared" si="785"/>
        <v>0</v>
      </c>
    </row>
    <row r="47816" spans="20:20" ht="18.75" customHeight="1" x14ac:dyDescent="0.35">
      <c r="T47816" s="246">
        <f t="shared" si="785"/>
        <v>0</v>
      </c>
    </row>
    <row r="47817" spans="20:20" ht="18.75" customHeight="1" x14ac:dyDescent="0.35">
      <c r="T47817" s="246">
        <f t="shared" si="785"/>
        <v>0</v>
      </c>
    </row>
    <row r="47818" spans="20:20" ht="18.75" customHeight="1" x14ac:dyDescent="0.35">
      <c r="T47818" s="246">
        <f t="shared" si="785"/>
        <v>0</v>
      </c>
    </row>
    <row r="47819" spans="20:20" ht="18.75" customHeight="1" x14ac:dyDescent="0.35">
      <c r="T47819" s="246">
        <f t="shared" si="785"/>
        <v>0</v>
      </c>
    </row>
    <row r="47820" spans="20:20" ht="18.75" customHeight="1" x14ac:dyDescent="0.35">
      <c r="T47820" s="246">
        <f t="shared" si="785"/>
        <v>0</v>
      </c>
    </row>
    <row r="47821" spans="20:20" ht="18.75" customHeight="1" x14ac:dyDescent="0.35">
      <c r="T47821" s="246">
        <f t="shared" si="785"/>
        <v>0</v>
      </c>
    </row>
    <row r="47822" spans="20:20" ht="18.75" customHeight="1" x14ac:dyDescent="0.35">
      <c r="T47822" s="246">
        <f t="shared" si="785"/>
        <v>0</v>
      </c>
    </row>
    <row r="47823" spans="20:20" ht="18.75" customHeight="1" x14ac:dyDescent="0.35">
      <c r="T47823" s="246">
        <f t="shared" si="785"/>
        <v>0</v>
      </c>
    </row>
    <row r="47824" spans="20:20" ht="18.75" customHeight="1" x14ac:dyDescent="0.35">
      <c r="T47824" s="246">
        <f t="shared" si="785"/>
        <v>0</v>
      </c>
    </row>
    <row r="47825" spans="20:20" ht="18.75" customHeight="1" x14ac:dyDescent="0.35">
      <c r="T47825" s="246">
        <f t="shared" si="785"/>
        <v>0</v>
      </c>
    </row>
    <row r="47826" spans="20:20" ht="18.75" customHeight="1" x14ac:dyDescent="0.35">
      <c r="T47826" s="246">
        <f t="shared" si="785"/>
        <v>0</v>
      </c>
    </row>
    <row r="47827" spans="20:20" ht="18.75" customHeight="1" x14ac:dyDescent="0.35">
      <c r="T47827" s="246">
        <f t="shared" si="785"/>
        <v>0</v>
      </c>
    </row>
    <row r="47828" spans="20:20" ht="18.75" customHeight="1" x14ac:dyDescent="0.35">
      <c r="T47828" s="246">
        <f t="shared" si="785"/>
        <v>0</v>
      </c>
    </row>
    <row r="47829" spans="20:20" ht="18.75" customHeight="1" x14ac:dyDescent="0.35">
      <c r="T47829" s="246">
        <f t="shared" si="785"/>
        <v>0</v>
      </c>
    </row>
    <row r="47830" spans="20:20" ht="18.75" customHeight="1" x14ac:dyDescent="0.35">
      <c r="T47830" s="246">
        <f t="shared" si="785"/>
        <v>0</v>
      </c>
    </row>
    <row r="47831" spans="20:20" ht="18.75" customHeight="1" x14ac:dyDescent="0.35">
      <c r="T47831" s="246">
        <f t="shared" si="785"/>
        <v>0</v>
      </c>
    </row>
    <row r="47832" spans="20:20" ht="18.75" customHeight="1" x14ac:dyDescent="0.35">
      <c r="T47832" s="246">
        <f t="shared" si="785"/>
        <v>0</v>
      </c>
    </row>
    <row r="47833" spans="20:20" ht="18.75" customHeight="1" x14ac:dyDescent="0.35">
      <c r="T47833" s="246">
        <f t="shared" si="785"/>
        <v>0</v>
      </c>
    </row>
    <row r="47834" spans="20:20" ht="18.75" customHeight="1" x14ac:dyDescent="0.35">
      <c r="T47834" s="246">
        <f t="shared" si="785"/>
        <v>0</v>
      </c>
    </row>
    <row r="47835" spans="20:20" ht="18.75" customHeight="1" x14ac:dyDescent="0.35">
      <c r="T47835" s="246">
        <f t="shared" si="785"/>
        <v>0</v>
      </c>
    </row>
    <row r="47836" spans="20:20" ht="18.75" customHeight="1" x14ac:dyDescent="0.35">
      <c r="T47836" s="246">
        <f t="shared" si="785"/>
        <v>0</v>
      </c>
    </row>
    <row r="47837" spans="20:20" ht="18.75" customHeight="1" x14ac:dyDescent="0.35">
      <c r="T47837" s="246">
        <f t="shared" si="785"/>
        <v>0</v>
      </c>
    </row>
    <row r="47838" spans="20:20" ht="18.75" customHeight="1" x14ac:dyDescent="0.35">
      <c r="T47838" s="246">
        <f t="shared" si="785"/>
        <v>0</v>
      </c>
    </row>
    <row r="47839" spans="20:20" ht="18.75" customHeight="1" x14ac:dyDescent="0.35">
      <c r="T47839" s="246">
        <f t="shared" si="785"/>
        <v>0</v>
      </c>
    </row>
    <row r="47840" spans="20:20" ht="18.75" customHeight="1" x14ac:dyDescent="0.35">
      <c r="T47840" s="246">
        <f t="shared" si="785"/>
        <v>0</v>
      </c>
    </row>
    <row r="47841" spans="20:20" ht="18.75" customHeight="1" x14ac:dyDescent="0.35">
      <c r="T47841" s="246">
        <f t="shared" si="785"/>
        <v>0</v>
      </c>
    </row>
    <row r="47842" spans="20:20" ht="18.75" customHeight="1" x14ac:dyDescent="0.35">
      <c r="T47842" s="246">
        <f t="shared" si="785"/>
        <v>0</v>
      </c>
    </row>
    <row r="47843" spans="20:20" ht="18.75" customHeight="1" x14ac:dyDescent="0.35">
      <c r="T47843" s="246">
        <f t="shared" si="785"/>
        <v>0</v>
      </c>
    </row>
    <row r="47844" spans="20:20" ht="18.75" customHeight="1" x14ac:dyDescent="0.35">
      <c r="T47844" s="246">
        <f t="shared" si="785"/>
        <v>0</v>
      </c>
    </row>
    <row r="47845" spans="20:20" ht="18.75" customHeight="1" x14ac:dyDescent="0.35">
      <c r="T47845" s="246">
        <f t="shared" si="785"/>
        <v>0</v>
      </c>
    </row>
    <row r="47846" spans="20:20" ht="18.75" customHeight="1" x14ac:dyDescent="0.35">
      <c r="T47846" s="246">
        <f t="shared" si="785"/>
        <v>0</v>
      </c>
    </row>
    <row r="47847" spans="20:20" ht="18.75" customHeight="1" x14ac:dyDescent="0.35">
      <c r="T47847" s="246">
        <f t="shared" si="785"/>
        <v>0</v>
      </c>
    </row>
    <row r="47848" spans="20:20" ht="18.75" customHeight="1" x14ac:dyDescent="0.35">
      <c r="T47848" s="246">
        <f t="shared" si="785"/>
        <v>0</v>
      </c>
    </row>
    <row r="47849" spans="20:20" ht="18.75" customHeight="1" x14ac:dyDescent="0.35">
      <c r="T47849" s="246">
        <f t="shared" si="785"/>
        <v>0</v>
      </c>
    </row>
    <row r="47850" spans="20:20" ht="18.75" customHeight="1" x14ac:dyDescent="0.35">
      <c r="T47850" s="246">
        <f t="shared" si="785"/>
        <v>0</v>
      </c>
    </row>
    <row r="47851" spans="20:20" ht="18.75" customHeight="1" x14ac:dyDescent="0.35">
      <c r="T47851" s="246">
        <f t="shared" si="785"/>
        <v>0</v>
      </c>
    </row>
    <row r="47852" spans="20:20" ht="18.75" customHeight="1" x14ac:dyDescent="0.35">
      <c r="T47852" s="246">
        <f t="shared" si="785"/>
        <v>0</v>
      </c>
    </row>
    <row r="47853" spans="20:20" ht="18.75" customHeight="1" x14ac:dyDescent="0.35">
      <c r="T47853" s="246">
        <f t="shared" si="785"/>
        <v>0</v>
      </c>
    </row>
    <row r="47854" spans="20:20" ht="18.75" customHeight="1" x14ac:dyDescent="0.35">
      <c r="T47854" s="246">
        <f t="shared" si="785"/>
        <v>0</v>
      </c>
    </row>
    <row r="47855" spans="20:20" ht="18.75" customHeight="1" x14ac:dyDescent="0.35">
      <c r="T47855" s="246">
        <f t="shared" si="785"/>
        <v>0</v>
      </c>
    </row>
    <row r="47856" spans="20:20" ht="18.75" customHeight="1" x14ac:dyDescent="0.35">
      <c r="T47856" s="246">
        <f t="shared" si="785"/>
        <v>0</v>
      </c>
    </row>
    <row r="47857" spans="20:20" ht="18.75" customHeight="1" x14ac:dyDescent="0.35">
      <c r="T47857" s="246">
        <f t="shared" si="785"/>
        <v>0</v>
      </c>
    </row>
    <row r="47858" spans="20:20" ht="18.75" customHeight="1" x14ac:dyDescent="0.35">
      <c r="T47858" s="246">
        <f t="shared" si="785"/>
        <v>0</v>
      </c>
    </row>
    <row r="47859" spans="20:20" ht="18.75" customHeight="1" x14ac:dyDescent="0.35">
      <c r="T47859" s="246">
        <f t="shared" si="785"/>
        <v>0</v>
      </c>
    </row>
    <row r="47860" spans="20:20" ht="18.75" customHeight="1" x14ac:dyDescent="0.35">
      <c r="T47860" s="246">
        <f t="shared" si="785"/>
        <v>0</v>
      </c>
    </row>
    <row r="47861" spans="20:20" ht="18.75" customHeight="1" x14ac:dyDescent="0.35">
      <c r="T47861" s="246">
        <f t="shared" si="785"/>
        <v>0</v>
      </c>
    </row>
    <row r="47862" spans="20:20" ht="18.75" customHeight="1" x14ac:dyDescent="0.35">
      <c r="T47862" s="246">
        <f t="shared" si="785"/>
        <v>0</v>
      </c>
    </row>
    <row r="47863" spans="20:20" ht="18.75" customHeight="1" x14ac:dyDescent="0.35">
      <c r="T47863" s="246">
        <f t="shared" si="785"/>
        <v>0</v>
      </c>
    </row>
    <row r="47864" spans="20:20" ht="18.75" customHeight="1" x14ac:dyDescent="0.35">
      <c r="T47864" s="246">
        <f t="shared" si="785"/>
        <v>0</v>
      </c>
    </row>
    <row r="47865" spans="20:20" ht="18.75" customHeight="1" x14ac:dyDescent="0.35">
      <c r="T47865" s="246">
        <f t="shared" si="785"/>
        <v>0</v>
      </c>
    </row>
    <row r="47866" spans="20:20" ht="18.75" customHeight="1" x14ac:dyDescent="0.35">
      <c r="T47866" s="246">
        <f t="shared" si="785"/>
        <v>0</v>
      </c>
    </row>
    <row r="47867" spans="20:20" ht="18.75" customHeight="1" x14ac:dyDescent="0.35">
      <c r="T47867" s="246">
        <f t="shared" si="785"/>
        <v>0</v>
      </c>
    </row>
    <row r="47868" spans="20:20" ht="18.75" customHeight="1" x14ac:dyDescent="0.35">
      <c r="T47868" s="246">
        <f t="shared" ref="T47868:T47931" si="786">R47868*0.01</f>
        <v>0</v>
      </c>
    </row>
    <row r="47869" spans="20:20" ht="18.75" customHeight="1" x14ac:dyDescent="0.35">
      <c r="T47869" s="246">
        <f t="shared" si="786"/>
        <v>0</v>
      </c>
    </row>
    <row r="47870" spans="20:20" ht="18.75" customHeight="1" x14ac:dyDescent="0.35">
      <c r="T47870" s="246">
        <f t="shared" si="786"/>
        <v>0</v>
      </c>
    </row>
    <row r="47871" spans="20:20" ht="18.75" customHeight="1" x14ac:dyDescent="0.35">
      <c r="T47871" s="246">
        <f t="shared" si="786"/>
        <v>0</v>
      </c>
    </row>
    <row r="47872" spans="20:20" ht="18.75" customHeight="1" x14ac:dyDescent="0.35">
      <c r="T47872" s="246">
        <f t="shared" si="786"/>
        <v>0</v>
      </c>
    </row>
    <row r="47873" spans="20:20" ht="18.75" customHeight="1" x14ac:dyDescent="0.35">
      <c r="T47873" s="246">
        <f t="shared" si="786"/>
        <v>0</v>
      </c>
    </row>
    <row r="47874" spans="20:20" ht="18.75" customHeight="1" x14ac:dyDescent="0.35">
      <c r="T47874" s="246">
        <f t="shared" si="786"/>
        <v>0</v>
      </c>
    </row>
    <row r="47875" spans="20:20" ht="18.75" customHeight="1" x14ac:dyDescent="0.35">
      <c r="T47875" s="246">
        <f t="shared" si="786"/>
        <v>0</v>
      </c>
    </row>
    <row r="47876" spans="20:20" ht="18.75" customHeight="1" x14ac:dyDescent="0.35">
      <c r="T47876" s="246">
        <f t="shared" si="786"/>
        <v>0</v>
      </c>
    </row>
    <row r="47877" spans="20:20" ht="18.75" customHeight="1" x14ac:dyDescent="0.35">
      <c r="T47877" s="246">
        <f t="shared" si="786"/>
        <v>0</v>
      </c>
    </row>
    <row r="47878" spans="20:20" ht="18.75" customHeight="1" x14ac:dyDescent="0.35">
      <c r="T47878" s="246">
        <f t="shared" si="786"/>
        <v>0</v>
      </c>
    </row>
    <row r="47879" spans="20:20" ht="18.75" customHeight="1" x14ac:dyDescent="0.35">
      <c r="T47879" s="246">
        <f t="shared" si="786"/>
        <v>0</v>
      </c>
    </row>
    <row r="47880" spans="20:20" ht="18.75" customHeight="1" x14ac:dyDescent="0.35">
      <c r="T47880" s="246">
        <f t="shared" si="786"/>
        <v>0</v>
      </c>
    </row>
    <row r="47881" spans="20:20" ht="18.75" customHeight="1" x14ac:dyDescent="0.35">
      <c r="T47881" s="246">
        <f t="shared" si="786"/>
        <v>0</v>
      </c>
    </row>
    <row r="47882" spans="20:20" ht="18.75" customHeight="1" x14ac:dyDescent="0.35">
      <c r="T47882" s="246">
        <f t="shared" si="786"/>
        <v>0</v>
      </c>
    </row>
    <row r="47883" spans="20:20" ht="18.75" customHeight="1" x14ac:dyDescent="0.35">
      <c r="T47883" s="246">
        <f t="shared" si="786"/>
        <v>0</v>
      </c>
    </row>
    <row r="47884" spans="20:20" ht="18.75" customHeight="1" x14ac:dyDescent="0.35">
      <c r="T47884" s="246">
        <f t="shared" si="786"/>
        <v>0</v>
      </c>
    </row>
    <row r="47885" spans="20:20" ht="18.75" customHeight="1" x14ac:dyDescent="0.35">
      <c r="T47885" s="246">
        <f t="shared" si="786"/>
        <v>0</v>
      </c>
    </row>
    <row r="47886" spans="20:20" ht="18.75" customHeight="1" x14ac:dyDescent="0.35">
      <c r="T47886" s="246">
        <f t="shared" si="786"/>
        <v>0</v>
      </c>
    </row>
    <row r="47887" spans="20:20" ht="18.75" customHeight="1" x14ac:dyDescent="0.35">
      <c r="T47887" s="246">
        <f t="shared" si="786"/>
        <v>0</v>
      </c>
    </row>
    <row r="47888" spans="20:20" ht="18.75" customHeight="1" x14ac:dyDescent="0.35">
      <c r="T47888" s="246">
        <f t="shared" si="786"/>
        <v>0</v>
      </c>
    </row>
    <row r="47889" spans="20:20" ht="18.75" customHeight="1" x14ac:dyDescent="0.35">
      <c r="T47889" s="246">
        <f t="shared" si="786"/>
        <v>0</v>
      </c>
    </row>
    <row r="47890" spans="20:20" ht="18.75" customHeight="1" x14ac:dyDescent="0.35">
      <c r="T47890" s="246">
        <f t="shared" si="786"/>
        <v>0</v>
      </c>
    </row>
    <row r="47891" spans="20:20" ht="18.75" customHeight="1" x14ac:dyDescent="0.35">
      <c r="T47891" s="246">
        <f t="shared" si="786"/>
        <v>0</v>
      </c>
    </row>
    <row r="47892" spans="20:20" ht="18.75" customHeight="1" x14ac:dyDescent="0.35">
      <c r="T47892" s="246">
        <f t="shared" si="786"/>
        <v>0</v>
      </c>
    </row>
    <row r="47893" spans="20:20" ht="18.75" customHeight="1" x14ac:dyDescent="0.35">
      <c r="T47893" s="246">
        <f t="shared" si="786"/>
        <v>0</v>
      </c>
    </row>
    <row r="47894" spans="20:20" ht="18.75" customHeight="1" x14ac:dyDescent="0.35">
      <c r="T47894" s="246">
        <f t="shared" si="786"/>
        <v>0</v>
      </c>
    </row>
    <row r="47895" spans="20:20" ht="18.75" customHeight="1" x14ac:dyDescent="0.35">
      <c r="T47895" s="246">
        <f t="shared" si="786"/>
        <v>0</v>
      </c>
    </row>
    <row r="47896" spans="20:20" ht="18.75" customHeight="1" x14ac:dyDescent="0.35">
      <c r="T47896" s="246">
        <f t="shared" si="786"/>
        <v>0</v>
      </c>
    </row>
    <row r="47897" spans="20:20" ht="18.75" customHeight="1" x14ac:dyDescent="0.35">
      <c r="T47897" s="246">
        <f t="shared" si="786"/>
        <v>0</v>
      </c>
    </row>
    <row r="47898" spans="20:20" ht="18.75" customHeight="1" x14ac:dyDescent="0.35">
      <c r="T47898" s="246">
        <f t="shared" si="786"/>
        <v>0</v>
      </c>
    </row>
    <row r="47899" spans="20:20" ht="18.75" customHeight="1" x14ac:dyDescent="0.35">
      <c r="T47899" s="246">
        <f t="shared" si="786"/>
        <v>0</v>
      </c>
    </row>
    <row r="47900" spans="20:20" ht="18.75" customHeight="1" x14ac:dyDescent="0.35">
      <c r="T47900" s="246">
        <f t="shared" si="786"/>
        <v>0</v>
      </c>
    </row>
    <row r="47901" spans="20:20" ht="18.75" customHeight="1" x14ac:dyDescent="0.35">
      <c r="T47901" s="246">
        <f t="shared" si="786"/>
        <v>0</v>
      </c>
    </row>
    <row r="47902" spans="20:20" ht="18.75" customHeight="1" x14ac:dyDescent="0.35">
      <c r="T47902" s="246">
        <f t="shared" si="786"/>
        <v>0</v>
      </c>
    </row>
    <row r="47903" spans="20:20" ht="18.75" customHeight="1" x14ac:dyDescent="0.35">
      <c r="T47903" s="246">
        <f t="shared" si="786"/>
        <v>0</v>
      </c>
    </row>
    <row r="47904" spans="20:20" ht="18.75" customHeight="1" x14ac:dyDescent="0.35">
      <c r="T47904" s="246">
        <f t="shared" si="786"/>
        <v>0</v>
      </c>
    </row>
    <row r="47905" spans="20:20" ht="18.75" customHeight="1" x14ac:dyDescent="0.35">
      <c r="T47905" s="246">
        <f t="shared" si="786"/>
        <v>0</v>
      </c>
    </row>
    <row r="47906" spans="20:20" ht="18.75" customHeight="1" x14ac:dyDescent="0.35">
      <c r="T47906" s="246">
        <f t="shared" si="786"/>
        <v>0</v>
      </c>
    </row>
    <row r="47907" spans="20:20" ht="18.75" customHeight="1" x14ac:dyDescent="0.35">
      <c r="T47907" s="246">
        <f t="shared" si="786"/>
        <v>0</v>
      </c>
    </row>
    <row r="47908" spans="20:20" ht="18.75" customHeight="1" x14ac:dyDescent="0.35">
      <c r="T47908" s="246">
        <f t="shared" si="786"/>
        <v>0</v>
      </c>
    </row>
    <row r="47909" spans="20:20" ht="18.75" customHeight="1" x14ac:dyDescent="0.35">
      <c r="T47909" s="246">
        <f t="shared" si="786"/>
        <v>0</v>
      </c>
    </row>
    <row r="47910" spans="20:20" ht="18.75" customHeight="1" x14ac:dyDescent="0.35">
      <c r="T47910" s="246">
        <f t="shared" si="786"/>
        <v>0</v>
      </c>
    </row>
    <row r="47911" spans="20:20" ht="18.75" customHeight="1" x14ac:dyDescent="0.35">
      <c r="T47911" s="246">
        <f t="shared" si="786"/>
        <v>0</v>
      </c>
    </row>
    <row r="47912" spans="20:20" ht="18.75" customHeight="1" x14ac:dyDescent="0.35">
      <c r="T47912" s="246">
        <f t="shared" si="786"/>
        <v>0</v>
      </c>
    </row>
    <row r="47913" spans="20:20" ht="18.75" customHeight="1" x14ac:dyDescent="0.35">
      <c r="T47913" s="246">
        <f t="shared" si="786"/>
        <v>0</v>
      </c>
    </row>
    <row r="47914" spans="20:20" ht="18.75" customHeight="1" x14ac:dyDescent="0.35">
      <c r="T47914" s="246">
        <f t="shared" si="786"/>
        <v>0</v>
      </c>
    </row>
    <row r="47915" spans="20:20" ht="18.75" customHeight="1" x14ac:dyDescent="0.35">
      <c r="T47915" s="246">
        <f t="shared" si="786"/>
        <v>0</v>
      </c>
    </row>
    <row r="47916" spans="20:20" ht="18.75" customHeight="1" x14ac:dyDescent="0.35">
      <c r="T47916" s="246">
        <f t="shared" si="786"/>
        <v>0</v>
      </c>
    </row>
    <row r="47917" spans="20:20" ht="18.75" customHeight="1" x14ac:dyDescent="0.35">
      <c r="T47917" s="246">
        <f t="shared" si="786"/>
        <v>0</v>
      </c>
    </row>
    <row r="47918" spans="20:20" ht="18.75" customHeight="1" x14ac:dyDescent="0.35">
      <c r="T47918" s="246">
        <f t="shared" si="786"/>
        <v>0</v>
      </c>
    </row>
    <row r="47919" spans="20:20" ht="18.75" customHeight="1" x14ac:dyDescent="0.35">
      <c r="T47919" s="246">
        <f t="shared" si="786"/>
        <v>0</v>
      </c>
    </row>
    <row r="47920" spans="20:20" ht="18.75" customHeight="1" x14ac:dyDescent="0.35">
      <c r="T47920" s="246">
        <f t="shared" si="786"/>
        <v>0</v>
      </c>
    </row>
    <row r="47921" spans="20:20" ht="18.75" customHeight="1" x14ac:dyDescent="0.35">
      <c r="T47921" s="246">
        <f t="shared" si="786"/>
        <v>0</v>
      </c>
    </row>
    <row r="47922" spans="20:20" ht="18.75" customHeight="1" x14ac:dyDescent="0.35">
      <c r="T47922" s="246">
        <f t="shared" si="786"/>
        <v>0</v>
      </c>
    </row>
    <row r="47923" spans="20:20" ht="18.75" customHeight="1" x14ac:dyDescent="0.35">
      <c r="T47923" s="246">
        <f t="shared" si="786"/>
        <v>0</v>
      </c>
    </row>
    <row r="47924" spans="20:20" ht="18.75" customHeight="1" x14ac:dyDescent="0.35">
      <c r="T47924" s="246">
        <f t="shared" si="786"/>
        <v>0</v>
      </c>
    </row>
    <row r="47925" spans="20:20" ht="18.75" customHeight="1" x14ac:dyDescent="0.35">
      <c r="T47925" s="246">
        <f t="shared" si="786"/>
        <v>0</v>
      </c>
    </row>
    <row r="47926" spans="20:20" ht="18.75" customHeight="1" x14ac:dyDescent="0.35">
      <c r="T47926" s="246">
        <f t="shared" si="786"/>
        <v>0</v>
      </c>
    </row>
    <row r="47927" spans="20:20" ht="18.75" customHeight="1" x14ac:dyDescent="0.35">
      <c r="T47927" s="246">
        <f t="shared" si="786"/>
        <v>0</v>
      </c>
    </row>
    <row r="47928" spans="20:20" ht="18.75" customHeight="1" x14ac:dyDescent="0.35">
      <c r="T47928" s="246">
        <f t="shared" si="786"/>
        <v>0</v>
      </c>
    </row>
    <row r="47929" spans="20:20" ht="18.75" customHeight="1" x14ac:dyDescent="0.35">
      <c r="T47929" s="246">
        <f t="shared" si="786"/>
        <v>0</v>
      </c>
    </row>
    <row r="47930" spans="20:20" ht="18.75" customHeight="1" x14ac:dyDescent="0.35">
      <c r="T47930" s="246">
        <f t="shared" si="786"/>
        <v>0</v>
      </c>
    </row>
    <row r="47931" spans="20:20" ht="18.75" customHeight="1" x14ac:dyDescent="0.35">
      <c r="T47931" s="246">
        <f t="shared" si="786"/>
        <v>0</v>
      </c>
    </row>
    <row r="47932" spans="20:20" ht="18.75" customHeight="1" x14ac:dyDescent="0.35">
      <c r="T47932" s="246">
        <f t="shared" ref="T47932:T47995" si="787">R47932*0.01</f>
        <v>0</v>
      </c>
    </row>
    <row r="47933" spans="20:20" ht="18.75" customHeight="1" x14ac:dyDescent="0.35">
      <c r="T47933" s="246">
        <f t="shared" si="787"/>
        <v>0</v>
      </c>
    </row>
    <row r="47934" spans="20:20" ht="18.75" customHeight="1" x14ac:dyDescent="0.35">
      <c r="T47934" s="246">
        <f t="shared" si="787"/>
        <v>0</v>
      </c>
    </row>
    <row r="47935" spans="20:20" ht="18.75" customHeight="1" x14ac:dyDescent="0.35">
      <c r="T47935" s="246">
        <f t="shared" si="787"/>
        <v>0</v>
      </c>
    </row>
    <row r="47936" spans="20:20" ht="18.75" customHeight="1" x14ac:dyDescent="0.35">
      <c r="T47936" s="246">
        <f t="shared" si="787"/>
        <v>0</v>
      </c>
    </row>
    <row r="47937" spans="20:20" ht="18.75" customHeight="1" x14ac:dyDescent="0.35">
      <c r="T47937" s="246">
        <f t="shared" si="787"/>
        <v>0</v>
      </c>
    </row>
    <row r="47938" spans="20:20" ht="18.75" customHeight="1" x14ac:dyDescent="0.35">
      <c r="T47938" s="246">
        <f t="shared" si="787"/>
        <v>0</v>
      </c>
    </row>
    <row r="47939" spans="20:20" ht="18.75" customHeight="1" x14ac:dyDescent="0.35">
      <c r="T47939" s="246">
        <f t="shared" si="787"/>
        <v>0</v>
      </c>
    </row>
    <row r="47940" spans="20:20" ht="18.75" customHeight="1" x14ac:dyDescent="0.35">
      <c r="T47940" s="246">
        <f t="shared" si="787"/>
        <v>0</v>
      </c>
    </row>
    <row r="47941" spans="20:20" ht="18.75" customHeight="1" x14ac:dyDescent="0.35">
      <c r="T47941" s="246">
        <f t="shared" si="787"/>
        <v>0</v>
      </c>
    </row>
    <row r="47942" spans="20:20" ht="18.75" customHeight="1" x14ac:dyDescent="0.35">
      <c r="T47942" s="246">
        <f t="shared" si="787"/>
        <v>0</v>
      </c>
    </row>
    <row r="47943" spans="20:20" ht="18.75" customHeight="1" x14ac:dyDescent="0.35">
      <c r="T47943" s="246">
        <f t="shared" si="787"/>
        <v>0</v>
      </c>
    </row>
    <row r="47944" spans="20:20" ht="18.75" customHeight="1" x14ac:dyDescent="0.35">
      <c r="T47944" s="246">
        <f t="shared" si="787"/>
        <v>0</v>
      </c>
    </row>
    <row r="47945" spans="20:20" ht="18.75" customHeight="1" x14ac:dyDescent="0.35">
      <c r="T47945" s="246">
        <f t="shared" si="787"/>
        <v>0</v>
      </c>
    </row>
    <row r="47946" spans="20:20" ht="18.75" customHeight="1" x14ac:dyDescent="0.35">
      <c r="T47946" s="246">
        <f t="shared" si="787"/>
        <v>0</v>
      </c>
    </row>
    <row r="47947" spans="20:20" ht="18.75" customHeight="1" x14ac:dyDescent="0.35">
      <c r="T47947" s="246">
        <f t="shared" si="787"/>
        <v>0</v>
      </c>
    </row>
    <row r="47948" spans="20:20" ht="18.75" customHeight="1" x14ac:dyDescent="0.35">
      <c r="T47948" s="246">
        <f t="shared" si="787"/>
        <v>0</v>
      </c>
    </row>
    <row r="47949" spans="20:20" ht="18.75" customHeight="1" x14ac:dyDescent="0.35">
      <c r="T47949" s="246">
        <f t="shared" si="787"/>
        <v>0</v>
      </c>
    </row>
    <row r="47950" spans="20:20" ht="18.75" customHeight="1" x14ac:dyDescent="0.35">
      <c r="T47950" s="246">
        <f t="shared" si="787"/>
        <v>0</v>
      </c>
    </row>
    <row r="47951" spans="20:20" ht="18.75" customHeight="1" x14ac:dyDescent="0.35">
      <c r="T47951" s="246">
        <f t="shared" si="787"/>
        <v>0</v>
      </c>
    </row>
    <row r="47952" spans="20:20" ht="18.75" customHeight="1" x14ac:dyDescent="0.35">
      <c r="T47952" s="246">
        <f t="shared" si="787"/>
        <v>0</v>
      </c>
    </row>
    <row r="47953" spans="20:20" ht="18.75" customHeight="1" x14ac:dyDescent="0.35">
      <c r="T47953" s="246">
        <f t="shared" si="787"/>
        <v>0</v>
      </c>
    </row>
    <row r="47954" spans="20:20" ht="18.75" customHeight="1" x14ac:dyDescent="0.35">
      <c r="T47954" s="246">
        <f t="shared" si="787"/>
        <v>0</v>
      </c>
    </row>
    <row r="47955" spans="20:20" ht="18.75" customHeight="1" x14ac:dyDescent="0.35">
      <c r="T47955" s="246">
        <f t="shared" si="787"/>
        <v>0</v>
      </c>
    </row>
    <row r="47956" spans="20:20" ht="18.75" customHeight="1" x14ac:dyDescent="0.35">
      <c r="T47956" s="246">
        <f t="shared" si="787"/>
        <v>0</v>
      </c>
    </row>
    <row r="47957" spans="20:20" ht="18.75" customHeight="1" x14ac:dyDescent="0.35">
      <c r="T47957" s="246">
        <f t="shared" si="787"/>
        <v>0</v>
      </c>
    </row>
    <row r="47958" spans="20:20" ht="18.75" customHeight="1" x14ac:dyDescent="0.35">
      <c r="T47958" s="246">
        <f t="shared" si="787"/>
        <v>0</v>
      </c>
    </row>
    <row r="47959" spans="20:20" ht="18.75" customHeight="1" x14ac:dyDescent="0.35">
      <c r="T47959" s="246">
        <f t="shared" si="787"/>
        <v>0</v>
      </c>
    </row>
    <row r="47960" spans="20:20" ht="18.75" customHeight="1" x14ac:dyDescent="0.35">
      <c r="T47960" s="246">
        <f t="shared" si="787"/>
        <v>0</v>
      </c>
    </row>
    <row r="47961" spans="20:20" ht="18.75" customHeight="1" x14ac:dyDescent="0.35">
      <c r="T47961" s="246">
        <f t="shared" si="787"/>
        <v>0</v>
      </c>
    </row>
    <row r="47962" spans="20:20" ht="18.75" customHeight="1" x14ac:dyDescent="0.35">
      <c r="T47962" s="246">
        <f t="shared" si="787"/>
        <v>0</v>
      </c>
    </row>
    <row r="47963" spans="20:20" ht="18.75" customHeight="1" x14ac:dyDescent="0.35">
      <c r="T47963" s="246">
        <f t="shared" si="787"/>
        <v>0</v>
      </c>
    </row>
    <row r="47964" spans="20:20" ht="18.75" customHeight="1" x14ac:dyDescent="0.35">
      <c r="T47964" s="246">
        <f t="shared" si="787"/>
        <v>0</v>
      </c>
    </row>
    <row r="47965" spans="20:20" ht="18.75" customHeight="1" x14ac:dyDescent="0.35">
      <c r="T47965" s="246">
        <f t="shared" si="787"/>
        <v>0</v>
      </c>
    </row>
    <row r="47966" spans="20:20" ht="18.75" customHeight="1" x14ac:dyDescent="0.35">
      <c r="T47966" s="246">
        <f t="shared" si="787"/>
        <v>0</v>
      </c>
    </row>
    <row r="47967" spans="20:20" ht="18.75" customHeight="1" x14ac:dyDescent="0.35">
      <c r="T47967" s="246">
        <f t="shared" si="787"/>
        <v>0</v>
      </c>
    </row>
    <row r="47968" spans="20:20" ht="18.75" customHeight="1" x14ac:dyDescent="0.35">
      <c r="T47968" s="246">
        <f t="shared" si="787"/>
        <v>0</v>
      </c>
    </row>
    <row r="47969" spans="20:20" ht="18.75" customHeight="1" x14ac:dyDescent="0.35">
      <c r="T47969" s="246">
        <f t="shared" si="787"/>
        <v>0</v>
      </c>
    </row>
    <row r="47970" spans="20:20" ht="18.75" customHeight="1" x14ac:dyDescent="0.35">
      <c r="T47970" s="246">
        <f t="shared" si="787"/>
        <v>0</v>
      </c>
    </row>
    <row r="47971" spans="20:20" ht="18.75" customHeight="1" x14ac:dyDescent="0.35">
      <c r="T47971" s="246">
        <f t="shared" si="787"/>
        <v>0</v>
      </c>
    </row>
    <row r="47972" spans="20:20" ht="18.75" customHeight="1" x14ac:dyDescent="0.35">
      <c r="T47972" s="246">
        <f t="shared" si="787"/>
        <v>0</v>
      </c>
    </row>
    <row r="47973" spans="20:20" ht="18.75" customHeight="1" x14ac:dyDescent="0.35">
      <c r="T47973" s="246">
        <f t="shared" si="787"/>
        <v>0</v>
      </c>
    </row>
    <row r="47974" spans="20:20" ht="18.75" customHeight="1" x14ac:dyDescent="0.35">
      <c r="T47974" s="246">
        <f t="shared" si="787"/>
        <v>0</v>
      </c>
    </row>
    <row r="47975" spans="20:20" ht="18.75" customHeight="1" x14ac:dyDescent="0.35">
      <c r="T47975" s="246">
        <f t="shared" si="787"/>
        <v>0</v>
      </c>
    </row>
    <row r="47976" spans="20:20" ht="18.75" customHeight="1" x14ac:dyDescent="0.35">
      <c r="T47976" s="246">
        <f t="shared" si="787"/>
        <v>0</v>
      </c>
    </row>
    <row r="47977" spans="20:20" ht="18.75" customHeight="1" x14ac:dyDescent="0.35">
      <c r="T47977" s="246">
        <f t="shared" si="787"/>
        <v>0</v>
      </c>
    </row>
    <row r="47978" spans="20:20" ht="18.75" customHeight="1" x14ac:dyDescent="0.35">
      <c r="T47978" s="246">
        <f t="shared" si="787"/>
        <v>0</v>
      </c>
    </row>
    <row r="47979" spans="20:20" ht="18.75" customHeight="1" x14ac:dyDescent="0.35">
      <c r="T47979" s="246">
        <f t="shared" si="787"/>
        <v>0</v>
      </c>
    </row>
    <row r="47980" spans="20:20" ht="18.75" customHeight="1" x14ac:dyDescent="0.35">
      <c r="T47980" s="246">
        <f t="shared" si="787"/>
        <v>0</v>
      </c>
    </row>
    <row r="47981" spans="20:20" ht="18.75" customHeight="1" x14ac:dyDescent="0.35">
      <c r="T47981" s="246">
        <f t="shared" si="787"/>
        <v>0</v>
      </c>
    </row>
    <row r="47982" spans="20:20" ht="18.75" customHeight="1" x14ac:dyDescent="0.35">
      <c r="T47982" s="246">
        <f t="shared" si="787"/>
        <v>0</v>
      </c>
    </row>
    <row r="47983" spans="20:20" ht="18.75" customHeight="1" x14ac:dyDescent="0.35">
      <c r="T47983" s="246">
        <f t="shared" si="787"/>
        <v>0</v>
      </c>
    </row>
    <row r="47984" spans="20:20" ht="18.75" customHeight="1" x14ac:dyDescent="0.35">
      <c r="T47984" s="246">
        <f t="shared" si="787"/>
        <v>0</v>
      </c>
    </row>
    <row r="47985" spans="20:20" ht="18.75" customHeight="1" x14ac:dyDescent="0.35">
      <c r="T47985" s="246">
        <f t="shared" si="787"/>
        <v>0</v>
      </c>
    </row>
    <row r="47986" spans="20:20" ht="18.75" customHeight="1" x14ac:dyDescent="0.35">
      <c r="T47986" s="246">
        <f t="shared" si="787"/>
        <v>0</v>
      </c>
    </row>
    <row r="47987" spans="20:20" ht="18.75" customHeight="1" x14ac:dyDescent="0.35">
      <c r="T47987" s="246">
        <f t="shared" si="787"/>
        <v>0</v>
      </c>
    </row>
    <row r="47988" spans="20:20" ht="18.75" customHeight="1" x14ac:dyDescent="0.35">
      <c r="T47988" s="246">
        <f t="shared" si="787"/>
        <v>0</v>
      </c>
    </row>
    <row r="47989" spans="20:20" ht="18.75" customHeight="1" x14ac:dyDescent="0.35">
      <c r="T47989" s="246">
        <f t="shared" si="787"/>
        <v>0</v>
      </c>
    </row>
    <row r="47990" spans="20:20" ht="18.75" customHeight="1" x14ac:dyDescent="0.35">
      <c r="T47990" s="246">
        <f t="shared" si="787"/>
        <v>0</v>
      </c>
    </row>
    <row r="47991" spans="20:20" ht="18.75" customHeight="1" x14ac:dyDescent="0.35">
      <c r="T47991" s="246">
        <f t="shared" si="787"/>
        <v>0</v>
      </c>
    </row>
    <row r="47992" spans="20:20" ht="18.75" customHeight="1" x14ac:dyDescent="0.35">
      <c r="T47992" s="246">
        <f t="shared" si="787"/>
        <v>0</v>
      </c>
    </row>
    <row r="47993" spans="20:20" ht="18.75" customHeight="1" x14ac:dyDescent="0.35">
      <c r="T47993" s="246">
        <f t="shared" si="787"/>
        <v>0</v>
      </c>
    </row>
    <row r="47994" spans="20:20" ht="18.75" customHeight="1" x14ac:dyDescent="0.35">
      <c r="T47994" s="246">
        <f t="shared" si="787"/>
        <v>0</v>
      </c>
    </row>
    <row r="47995" spans="20:20" ht="18.75" customHeight="1" x14ac:dyDescent="0.35">
      <c r="T47995" s="246">
        <f t="shared" si="787"/>
        <v>0</v>
      </c>
    </row>
    <row r="47996" spans="20:20" ht="18.75" customHeight="1" x14ac:dyDescent="0.35">
      <c r="T47996" s="246">
        <f t="shared" ref="T47996:T48059" si="788">R47996*0.01</f>
        <v>0</v>
      </c>
    </row>
    <row r="47997" spans="20:20" ht="18.75" customHeight="1" x14ac:dyDescent="0.35">
      <c r="T47997" s="246">
        <f t="shared" si="788"/>
        <v>0</v>
      </c>
    </row>
    <row r="47998" spans="20:20" ht="18.75" customHeight="1" x14ac:dyDescent="0.35">
      <c r="T47998" s="246">
        <f t="shared" si="788"/>
        <v>0</v>
      </c>
    </row>
    <row r="47999" spans="20:20" ht="18.75" customHeight="1" x14ac:dyDescent="0.35">
      <c r="T47999" s="246">
        <f t="shared" si="788"/>
        <v>0</v>
      </c>
    </row>
    <row r="48000" spans="20:20" ht="18.75" customHeight="1" x14ac:dyDescent="0.35">
      <c r="T48000" s="246">
        <f t="shared" si="788"/>
        <v>0</v>
      </c>
    </row>
    <row r="48001" spans="20:20" ht="18.75" customHeight="1" x14ac:dyDescent="0.35">
      <c r="T48001" s="246">
        <f t="shared" si="788"/>
        <v>0</v>
      </c>
    </row>
    <row r="48002" spans="20:20" ht="18.75" customHeight="1" x14ac:dyDescent="0.35">
      <c r="T48002" s="246">
        <f t="shared" si="788"/>
        <v>0</v>
      </c>
    </row>
    <row r="48003" spans="20:20" ht="18.75" customHeight="1" x14ac:dyDescent="0.35">
      <c r="T48003" s="246">
        <f t="shared" si="788"/>
        <v>0</v>
      </c>
    </row>
    <row r="48004" spans="20:20" ht="18.75" customHeight="1" x14ac:dyDescent="0.35">
      <c r="T48004" s="246">
        <f t="shared" si="788"/>
        <v>0</v>
      </c>
    </row>
    <row r="48005" spans="20:20" ht="18.75" customHeight="1" x14ac:dyDescent="0.35">
      <c r="T48005" s="246">
        <f t="shared" si="788"/>
        <v>0</v>
      </c>
    </row>
    <row r="48006" spans="20:20" ht="18.75" customHeight="1" x14ac:dyDescent="0.35">
      <c r="T48006" s="246">
        <f t="shared" si="788"/>
        <v>0</v>
      </c>
    </row>
    <row r="48007" spans="20:20" ht="18.75" customHeight="1" x14ac:dyDescent="0.35">
      <c r="T48007" s="246">
        <f t="shared" si="788"/>
        <v>0</v>
      </c>
    </row>
    <row r="48008" spans="20:20" ht="18.75" customHeight="1" x14ac:dyDescent="0.35">
      <c r="T48008" s="246">
        <f t="shared" si="788"/>
        <v>0</v>
      </c>
    </row>
    <row r="48009" spans="20:20" ht="18.75" customHeight="1" x14ac:dyDescent="0.35">
      <c r="T48009" s="246">
        <f t="shared" si="788"/>
        <v>0</v>
      </c>
    </row>
    <row r="48010" spans="20:20" ht="18.75" customHeight="1" x14ac:dyDescent="0.35">
      <c r="T48010" s="246">
        <f t="shared" si="788"/>
        <v>0</v>
      </c>
    </row>
    <row r="48011" spans="20:20" ht="18.75" customHeight="1" x14ac:dyDescent="0.35">
      <c r="T48011" s="246">
        <f t="shared" si="788"/>
        <v>0</v>
      </c>
    </row>
    <row r="48012" spans="20:20" ht="18.75" customHeight="1" x14ac:dyDescent="0.35">
      <c r="T48012" s="246">
        <f t="shared" si="788"/>
        <v>0</v>
      </c>
    </row>
    <row r="48013" spans="20:20" ht="18.75" customHeight="1" x14ac:dyDescent="0.35">
      <c r="T48013" s="246">
        <f t="shared" si="788"/>
        <v>0</v>
      </c>
    </row>
    <row r="48014" spans="20:20" ht="18.75" customHeight="1" x14ac:dyDescent="0.35">
      <c r="T48014" s="246">
        <f t="shared" si="788"/>
        <v>0</v>
      </c>
    </row>
    <row r="48015" spans="20:20" ht="18.75" customHeight="1" x14ac:dyDescent="0.35">
      <c r="T48015" s="246">
        <f t="shared" si="788"/>
        <v>0</v>
      </c>
    </row>
    <row r="48016" spans="20:20" ht="18.75" customHeight="1" x14ac:dyDescent="0.35">
      <c r="T48016" s="246">
        <f t="shared" si="788"/>
        <v>0</v>
      </c>
    </row>
    <row r="48017" spans="20:20" ht="18.75" customHeight="1" x14ac:dyDescent="0.35">
      <c r="T48017" s="246">
        <f t="shared" si="788"/>
        <v>0</v>
      </c>
    </row>
    <row r="48018" spans="20:20" ht="18.75" customHeight="1" x14ac:dyDescent="0.35">
      <c r="T48018" s="246">
        <f t="shared" si="788"/>
        <v>0</v>
      </c>
    </row>
    <row r="48019" spans="20:20" ht="18.75" customHeight="1" x14ac:dyDescent="0.35">
      <c r="T48019" s="246">
        <f t="shared" si="788"/>
        <v>0</v>
      </c>
    </row>
    <row r="48020" spans="20:20" ht="18.75" customHeight="1" x14ac:dyDescent="0.35">
      <c r="T48020" s="246">
        <f t="shared" si="788"/>
        <v>0</v>
      </c>
    </row>
    <row r="48021" spans="20:20" ht="18.75" customHeight="1" x14ac:dyDescent="0.35">
      <c r="T48021" s="246">
        <f t="shared" si="788"/>
        <v>0</v>
      </c>
    </row>
    <row r="48022" spans="20:20" ht="18.75" customHeight="1" x14ac:dyDescent="0.35">
      <c r="T48022" s="246">
        <f t="shared" si="788"/>
        <v>0</v>
      </c>
    </row>
    <row r="48023" spans="20:20" ht="18.75" customHeight="1" x14ac:dyDescent="0.35">
      <c r="T48023" s="246">
        <f t="shared" si="788"/>
        <v>0</v>
      </c>
    </row>
    <row r="48024" spans="20:20" ht="18.75" customHeight="1" x14ac:dyDescent="0.35">
      <c r="T48024" s="246">
        <f t="shared" si="788"/>
        <v>0</v>
      </c>
    </row>
    <row r="48025" spans="20:20" ht="18.75" customHeight="1" x14ac:dyDescent="0.35">
      <c r="T48025" s="246">
        <f t="shared" si="788"/>
        <v>0</v>
      </c>
    </row>
    <row r="48026" spans="20:20" ht="18.75" customHeight="1" x14ac:dyDescent="0.35">
      <c r="T48026" s="246">
        <f t="shared" si="788"/>
        <v>0</v>
      </c>
    </row>
    <row r="48027" spans="20:20" ht="18.75" customHeight="1" x14ac:dyDescent="0.35">
      <c r="T48027" s="246">
        <f t="shared" si="788"/>
        <v>0</v>
      </c>
    </row>
    <row r="48028" spans="20:20" ht="18.75" customHeight="1" x14ac:dyDescent="0.35">
      <c r="T48028" s="246">
        <f t="shared" si="788"/>
        <v>0</v>
      </c>
    </row>
    <row r="48029" spans="20:20" ht="18.75" customHeight="1" x14ac:dyDescent="0.35">
      <c r="T48029" s="246">
        <f t="shared" si="788"/>
        <v>0</v>
      </c>
    </row>
    <row r="48030" spans="20:20" ht="18.75" customHeight="1" x14ac:dyDescent="0.35">
      <c r="T48030" s="246">
        <f t="shared" si="788"/>
        <v>0</v>
      </c>
    </row>
    <row r="48031" spans="20:20" ht="18.75" customHeight="1" x14ac:dyDescent="0.35">
      <c r="T48031" s="246">
        <f t="shared" si="788"/>
        <v>0</v>
      </c>
    </row>
    <row r="48032" spans="20:20" ht="18.75" customHeight="1" x14ac:dyDescent="0.35">
      <c r="T48032" s="246">
        <f t="shared" si="788"/>
        <v>0</v>
      </c>
    </row>
    <row r="48033" spans="20:20" ht="18.75" customHeight="1" x14ac:dyDescent="0.35">
      <c r="T48033" s="246">
        <f t="shared" si="788"/>
        <v>0</v>
      </c>
    </row>
    <row r="48034" spans="20:20" ht="18.75" customHeight="1" x14ac:dyDescent="0.35">
      <c r="T48034" s="246">
        <f t="shared" si="788"/>
        <v>0</v>
      </c>
    </row>
    <row r="48035" spans="20:20" ht="18.75" customHeight="1" x14ac:dyDescent="0.35">
      <c r="T48035" s="246">
        <f t="shared" si="788"/>
        <v>0</v>
      </c>
    </row>
    <row r="48036" spans="20:20" ht="18.75" customHeight="1" x14ac:dyDescent="0.35">
      <c r="T48036" s="246">
        <f t="shared" si="788"/>
        <v>0</v>
      </c>
    </row>
    <row r="48037" spans="20:20" ht="18.75" customHeight="1" x14ac:dyDescent="0.35">
      <c r="T48037" s="246">
        <f t="shared" si="788"/>
        <v>0</v>
      </c>
    </row>
    <row r="48038" spans="20:20" ht="18.75" customHeight="1" x14ac:dyDescent="0.35">
      <c r="T48038" s="246">
        <f t="shared" si="788"/>
        <v>0</v>
      </c>
    </row>
    <row r="48039" spans="20:20" ht="18.75" customHeight="1" x14ac:dyDescent="0.35">
      <c r="T48039" s="246">
        <f t="shared" si="788"/>
        <v>0</v>
      </c>
    </row>
    <row r="48040" spans="20:20" ht="18.75" customHeight="1" x14ac:dyDescent="0.35">
      <c r="T48040" s="246">
        <f t="shared" si="788"/>
        <v>0</v>
      </c>
    </row>
    <row r="48041" spans="20:20" ht="18.75" customHeight="1" x14ac:dyDescent="0.35">
      <c r="T48041" s="246">
        <f t="shared" si="788"/>
        <v>0</v>
      </c>
    </row>
    <row r="48042" spans="20:20" ht="18.75" customHeight="1" x14ac:dyDescent="0.35">
      <c r="T48042" s="246">
        <f t="shared" si="788"/>
        <v>0</v>
      </c>
    </row>
    <row r="48043" spans="20:20" ht="18.75" customHeight="1" x14ac:dyDescent="0.35">
      <c r="T48043" s="246">
        <f t="shared" si="788"/>
        <v>0</v>
      </c>
    </row>
    <row r="48044" spans="20:20" ht="18.75" customHeight="1" x14ac:dyDescent="0.35">
      <c r="T48044" s="246">
        <f t="shared" si="788"/>
        <v>0</v>
      </c>
    </row>
    <row r="48045" spans="20:20" ht="18.75" customHeight="1" x14ac:dyDescent="0.35">
      <c r="T48045" s="246">
        <f t="shared" si="788"/>
        <v>0</v>
      </c>
    </row>
    <row r="48046" spans="20:20" ht="18.75" customHeight="1" x14ac:dyDescent="0.35">
      <c r="T48046" s="246">
        <f t="shared" si="788"/>
        <v>0</v>
      </c>
    </row>
    <row r="48047" spans="20:20" ht="18.75" customHeight="1" x14ac:dyDescent="0.35">
      <c r="T48047" s="246">
        <f t="shared" si="788"/>
        <v>0</v>
      </c>
    </row>
    <row r="48048" spans="20:20" ht="18.75" customHeight="1" x14ac:dyDescent="0.35">
      <c r="T48048" s="246">
        <f t="shared" si="788"/>
        <v>0</v>
      </c>
    </row>
    <row r="48049" spans="20:20" ht="18.75" customHeight="1" x14ac:dyDescent="0.35">
      <c r="T48049" s="246">
        <f t="shared" si="788"/>
        <v>0</v>
      </c>
    </row>
    <row r="48050" spans="20:20" ht="18.75" customHeight="1" x14ac:dyDescent="0.35">
      <c r="T48050" s="246">
        <f t="shared" si="788"/>
        <v>0</v>
      </c>
    </row>
    <row r="48051" spans="20:20" ht="18.75" customHeight="1" x14ac:dyDescent="0.35">
      <c r="T48051" s="246">
        <f t="shared" si="788"/>
        <v>0</v>
      </c>
    </row>
    <row r="48052" spans="20:20" ht="18.75" customHeight="1" x14ac:dyDescent="0.35">
      <c r="T48052" s="246">
        <f t="shared" si="788"/>
        <v>0</v>
      </c>
    </row>
    <row r="48053" spans="20:20" ht="18.75" customHeight="1" x14ac:dyDescent="0.35">
      <c r="T48053" s="246">
        <f t="shared" si="788"/>
        <v>0</v>
      </c>
    </row>
    <row r="48054" spans="20:20" ht="18.75" customHeight="1" x14ac:dyDescent="0.35">
      <c r="T48054" s="246">
        <f t="shared" si="788"/>
        <v>0</v>
      </c>
    </row>
    <row r="48055" spans="20:20" ht="18.75" customHeight="1" x14ac:dyDescent="0.35">
      <c r="T48055" s="246">
        <f t="shared" si="788"/>
        <v>0</v>
      </c>
    </row>
    <row r="48056" spans="20:20" ht="18.75" customHeight="1" x14ac:dyDescent="0.35">
      <c r="T48056" s="246">
        <f t="shared" si="788"/>
        <v>0</v>
      </c>
    </row>
    <row r="48057" spans="20:20" ht="18.75" customHeight="1" x14ac:dyDescent="0.35">
      <c r="T48057" s="246">
        <f t="shared" si="788"/>
        <v>0</v>
      </c>
    </row>
    <row r="48058" spans="20:20" ht="18.75" customHeight="1" x14ac:dyDescent="0.35">
      <c r="T48058" s="246">
        <f t="shared" si="788"/>
        <v>0</v>
      </c>
    </row>
    <row r="48059" spans="20:20" ht="18.75" customHeight="1" x14ac:dyDescent="0.35">
      <c r="T48059" s="246">
        <f t="shared" si="788"/>
        <v>0</v>
      </c>
    </row>
    <row r="48060" spans="20:20" ht="18.75" customHeight="1" x14ac:dyDescent="0.35">
      <c r="T48060" s="246">
        <f t="shared" ref="T48060:T48123" si="789">R48060*0.01</f>
        <v>0</v>
      </c>
    </row>
    <row r="48061" spans="20:20" ht="18.75" customHeight="1" x14ac:dyDescent="0.35">
      <c r="T48061" s="246">
        <f t="shared" si="789"/>
        <v>0</v>
      </c>
    </row>
    <row r="48062" spans="20:20" ht="18.75" customHeight="1" x14ac:dyDescent="0.35">
      <c r="T48062" s="246">
        <f t="shared" si="789"/>
        <v>0</v>
      </c>
    </row>
    <row r="48063" spans="20:20" ht="18.75" customHeight="1" x14ac:dyDescent="0.35">
      <c r="T48063" s="246">
        <f t="shared" si="789"/>
        <v>0</v>
      </c>
    </row>
    <row r="48064" spans="20:20" ht="18.75" customHeight="1" x14ac:dyDescent="0.35">
      <c r="T48064" s="246">
        <f t="shared" si="789"/>
        <v>0</v>
      </c>
    </row>
    <row r="48065" spans="20:20" ht="18.75" customHeight="1" x14ac:dyDescent="0.35">
      <c r="T48065" s="246">
        <f t="shared" si="789"/>
        <v>0</v>
      </c>
    </row>
    <row r="48066" spans="20:20" ht="18.75" customHeight="1" x14ac:dyDescent="0.35">
      <c r="T48066" s="246">
        <f t="shared" si="789"/>
        <v>0</v>
      </c>
    </row>
    <row r="48067" spans="20:20" ht="18.75" customHeight="1" x14ac:dyDescent="0.35">
      <c r="T48067" s="246">
        <f t="shared" si="789"/>
        <v>0</v>
      </c>
    </row>
    <row r="48068" spans="20:20" ht="18.75" customHeight="1" x14ac:dyDescent="0.35">
      <c r="T48068" s="246">
        <f t="shared" si="789"/>
        <v>0</v>
      </c>
    </row>
    <row r="48069" spans="20:20" ht="18.75" customHeight="1" x14ac:dyDescent="0.35">
      <c r="T48069" s="246">
        <f t="shared" si="789"/>
        <v>0</v>
      </c>
    </row>
    <row r="48070" spans="20:20" ht="18.75" customHeight="1" x14ac:dyDescent="0.35">
      <c r="T48070" s="246">
        <f t="shared" si="789"/>
        <v>0</v>
      </c>
    </row>
    <row r="48071" spans="20:20" ht="18.75" customHeight="1" x14ac:dyDescent="0.35">
      <c r="T48071" s="246">
        <f t="shared" si="789"/>
        <v>0</v>
      </c>
    </row>
    <row r="48072" spans="20:20" ht="18.75" customHeight="1" x14ac:dyDescent="0.35">
      <c r="T48072" s="246">
        <f t="shared" si="789"/>
        <v>0</v>
      </c>
    </row>
    <row r="48073" spans="20:20" ht="18.75" customHeight="1" x14ac:dyDescent="0.35">
      <c r="T48073" s="246">
        <f t="shared" si="789"/>
        <v>0</v>
      </c>
    </row>
    <row r="48074" spans="20:20" ht="18.75" customHeight="1" x14ac:dyDescent="0.35">
      <c r="T48074" s="246">
        <f t="shared" si="789"/>
        <v>0</v>
      </c>
    </row>
    <row r="48075" spans="20:20" ht="18.75" customHeight="1" x14ac:dyDescent="0.35">
      <c r="T48075" s="246">
        <f t="shared" si="789"/>
        <v>0</v>
      </c>
    </row>
    <row r="48076" spans="20:20" ht="18.75" customHeight="1" x14ac:dyDescent="0.35">
      <c r="T48076" s="246">
        <f t="shared" si="789"/>
        <v>0</v>
      </c>
    </row>
    <row r="48077" spans="20:20" ht="18.75" customHeight="1" x14ac:dyDescent="0.35">
      <c r="T48077" s="246">
        <f t="shared" si="789"/>
        <v>0</v>
      </c>
    </row>
    <row r="48078" spans="20:20" ht="18.75" customHeight="1" x14ac:dyDescent="0.35">
      <c r="T48078" s="246">
        <f t="shared" si="789"/>
        <v>0</v>
      </c>
    </row>
    <row r="48079" spans="20:20" ht="18.75" customHeight="1" x14ac:dyDescent="0.35">
      <c r="T48079" s="246">
        <f t="shared" si="789"/>
        <v>0</v>
      </c>
    </row>
    <row r="48080" spans="20:20" ht="18.75" customHeight="1" x14ac:dyDescent="0.35">
      <c r="T48080" s="246">
        <f t="shared" si="789"/>
        <v>0</v>
      </c>
    </row>
    <row r="48081" spans="20:20" ht="18.75" customHeight="1" x14ac:dyDescent="0.35">
      <c r="T48081" s="246">
        <f t="shared" si="789"/>
        <v>0</v>
      </c>
    </row>
    <row r="48082" spans="20:20" ht="18.75" customHeight="1" x14ac:dyDescent="0.35">
      <c r="T48082" s="246">
        <f t="shared" si="789"/>
        <v>0</v>
      </c>
    </row>
    <row r="48083" spans="20:20" ht="18.75" customHeight="1" x14ac:dyDescent="0.35">
      <c r="T48083" s="246">
        <f t="shared" si="789"/>
        <v>0</v>
      </c>
    </row>
    <row r="48084" spans="20:20" ht="18.75" customHeight="1" x14ac:dyDescent="0.35">
      <c r="T48084" s="246">
        <f t="shared" si="789"/>
        <v>0</v>
      </c>
    </row>
    <row r="48085" spans="20:20" ht="18.75" customHeight="1" x14ac:dyDescent="0.35">
      <c r="T48085" s="246">
        <f t="shared" si="789"/>
        <v>0</v>
      </c>
    </row>
    <row r="48086" spans="20:20" ht="18.75" customHeight="1" x14ac:dyDescent="0.35">
      <c r="T48086" s="246">
        <f t="shared" si="789"/>
        <v>0</v>
      </c>
    </row>
    <row r="48087" spans="20:20" ht="18.75" customHeight="1" x14ac:dyDescent="0.35">
      <c r="T48087" s="246">
        <f t="shared" si="789"/>
        <v>0</v>
      </c>
    </row>
    <row r="48088" spans="20:20" ht="18.75" customHeight="1" x14ac:dyDescent="0.35">
      <c r="T48088" s="246">
        <f t="shared" si="789"/>
        <v>0</v>
      </c>
    </row>
    <row r="48089" spans="20:20" ht="18.75" customHeight="1" x14ac:dyDescent="0.35">
      <c r="T48089" s="246">
        <f t="shared" si="789"/>
        <v>0</v>
      </c>
    </row>
    <row r="48090" spans="20:20" ht="18.75" customHeight="1" x14ac:dyDescent="0.35">
      <c r="T48090" s="246">
        <f t="shared" si="789"/>
        <v>0</v>
      </c>
    </row>
    <row r="48091" spans="20:20" ht="18.75" customHeight="1" x14ac:dyDescent="0.35">
      <c r="T48091" s="246">
        <f t="shared" si="789"/>
        <v>0</v>
      </c>
    </row>
    <row r="48092" spans="20:20" ht="18.75" customHeight="1" x14ac:dyDescent="0.35">
      <c r="T48092" s="246">
        <f t="shared" si="789"/>
        <v>0</v>
      </c>
    </row>
    <row r="48093" spans="20:20" ht="18.75" customHeight="1" x14ac:dyDescent="0.35">
      <c r="T48093" s="246">
        <f t="shared" si="789"/>
        <v>0</v>
      </c>
    </row>
    <row r="48094" spans="20:20" ht="18.75" customHeight="1" x14ac:dyDescent="0.35">
      <c r="T48094" s="246">
        <f t="shared" si="789"/>
        <v>0</v>
      </c>
    </row>
    <row r="48095" spans="20:20" ht="18.75" customHeight="1" x14ac:dyDescent="0.35">
      <c r="T48095" s="246">
        <f t="shared" si="789"/>
        <v>0</v>
      </c>
    </row>
    <row r="48096" spans="20:20" ht="18.75" customHeight="1" x14ac:dyDescent="0.35">
      <c r="T48096" s="246">
        <f t="shared" si="789"/>
        <v>0</v>
      </c>
    </row>
    <row r="48097" spans="20:20" ht="18.75" customHeight="1" x14ac:dyDescent="0.35">
      <c r="T48097" s="246">
        <f t="shared" si="789"/>
        <v>0</v>
      </c>
    </row>
    <row r="48098" spans="20:20" ht="18.75" customHeight="1" x14ac:dyDescent="0.35">
      <c r="T48098" s="246">
        <f t="shared" si="789"/>
        <v>0</v>
      </c>
    </row>
    <row r="48099" spans="20:20" ht="18.75" customHeight="1" x14ac:dyDescent="0.35">
      <c r="T48099" s="246">
        <f t="shared" si="789"/>
        <v>0</v>
      </c>
    </row>
    <row r="48100" spans="20:20" ht="18.75" customHeight="1" x14ac:dyDescent="0.35">
      <c r="T48100" s="246">
        <f t="shared" si="789"/>
        <v>0</v>
      </c>
    </row>
    <row r="48101" spans="20:20" ht="18.75" customHeight="1" x14ac:dyDescent="0.35">
      <c r="T48101" s="246">
        <f t="shared" si="789"/>
        <v>0</v>
      </c>
    </row>
    <row r="48102" spans="20:20" ht="18.75" customHeight="1" x14ac:dyDescent="0.35">
      <c r="T48102" s="246">
        <f t="shared" si="789"/>
        <v>0</v>
      </c>
    </row>
    <row r="48103" spans="20:20" ht="18.75" customHeight="1" x14ac:dyDescent="0.35">
      <c r="T48103" s="246">
        <f t="shared" si="789"/>
        <v>0</v>
      </c>
    </row>
    <row r="48104" spans="20:20" ht="18.75" customHeight="1" x14ac:dyDescent="0.35">
      <c r="T48104" s="246">
        <f t="shared" si="789"/>
        <v>0</v>
      </c>
    </row>
    <row r="48105" spans="20:20" ht="18.75" customHeight="1" x14ac:dyDescent="0.35">
      <c r="T48105" s="246">
        <f t="shared" si="789"/>
        <v>0</v>
      </c>
    </row>
    <row r="48106" spans="20:20" ht="18.75" customHeight="1" x14ac:dyDescent="0.35">
      <c r="T48106" s="246">
        <f t="shared" si="789"/>
        <v>0</v>
      </c>
    </row>
    <row r="48107" spans="20:20" ht="18.75" customHeight="1" x14ac:dyDescent="0.35">
      <c r="T48107" s="246">
        <f t="shared" si="789"/>
        <v>0</v>
      </c>
    </row>
    <row r="48108" spans="20:20" ht="18.75" customHeight="1" x14ac:dyDescent="0.35">
      <c r="T48108" s="246">
        <f t="shared" si="789"/>
        <v>0</v>
      </c>
    </row>
    <row r="48109" spans="20:20" ht="18.75" customHeight="1" x14ac:dyDescent="0.35">
      <c r="T48109" s="246">
        <f t="shared" si="789"/>
        <v>0</v>
      </c>
    </row>
    <row r="48110" spans="20:20" ht="18.75" customHeight="1" x14ac:dyDescent="0.35">
      <c r="T48110" s="246">
        <f t="shared" si="789"/>
        <v>0</v>
      </c>
    </row>
    <row r="48111" spans="20:20" ht="18.75" customHeight="1" x14ac:dyDescent="0.35">
      <c r="T48111" s="246">
        <f t="shared" si="789"/>
        <v>0</v>
      </c>
    </row>
    <row r="48112" spans="20:20" ht="18.75" customHeight="1" x14ac:dyDescent="0.35">
      <c r="T48112" s="246">
        <f t="shared" si="789"/>
        <v>0</v>
      </c>
    </row>
    <row r="48113" spans="20:20" ht="18.75" customHeight="1" x14ac:dyDescent="0.35">
      <c r="T48113" s="246">
        <f t="shared" si="789"/>
        <v>0</v>
      </c>
    </row>
    <row r="48114" spans="20:20" ht="18.75" customHeight="1" x14ac:dyDescent="0.35">
      <c r="T48114" s="246">
        <f t="shared" si="789"/>
        <v>0</v>
      </c>
    </row>
    <row r="48115" spans="20:20" ht="18.75" customHeight="1" x14ac:dyDescent="0.35">
      <c r="T48115" s="246">
        <f t="shared" si="789"/>
        <v>0</v>
      </c>
    </row>
    <row r="48116" spans="20:20" ht="18.75" customHeight="1" x14ac:dyDescent="0.35">
      <c r="T48116" s="246">
        <f t="shared" si="789"/>
        <v>0</v>
      </c>
    </row>
    <row r="48117" spans="20:20" ht="18.75" customHeight="1" x14ac:dyDescent="0.35">
      <c r="T48117" s="246">
        <f t="shared" si="789"/>
        <v>0</v>
      </c>
    </row>
    <row r="48118" spans="20:20" ht="18.75" customHeight="1" x14ac:dyDescent="0.35">
      <c r="T48118" s="246">
        <f t="shared" si="789"/>
        <v>0</v>
      </c>
    </row>
    <row r="48119" spans="20:20" ht="18.75" customHeight="1" x14ac:dyDescent="0.35">
      <c r="T48119" s="246">
        <f t="shared" si="789"/>
        <v>0</v>
      </c>
    </row>
    <row r="48120" spans="20:20" ht="18.75" customHeight="1" x14ac:dyDescent="0.35">
      <c r="T48120" s="246">
        <f t="shared" si="789"/>
        <v>0</v>
      </c>
    </row>
    <row r="48121" spans="20:20" ht="18.75" customHeight="1" x14ac:dyDescent="0.35">
      <c r="T48121" s="246">
        <f t="shared" si="789"/>
        <v>0</v>
      </c>
    </row>
    <row r="48122" spans="20:20" ht="18.75" customHeight="1" x14ac:dyDescent="0.35">
      <c r="T48122" s="246">
        <f t="shared" si="789"/>
        <v>0</v>
      </c>
    </row>
    <row r="48123" spans="20:20" ht="18.75" customHeight="1" x14ac:dyDescent="0.35">
      <c r="T48123" s="246">
        <f t="shared" si="789"/>
        <v>0</v>
      </c>
    </row>
    <row r="48124" spans="20:20" ht="18.75" customHeight="1" x14ac:dyDescent="0.35">
      <c r="T48124" s="246">
        <f t="shared" ref="T48124:T48187" si="790">R48124*0.01</f>
        <v>0</v>
      </c>
    </row>
    <row r="48125" spans="20:20" ht="18.75" customHeight="1" x14ac:dyDescent="0.35">
      <c r="T48125" s="246">
        <f t="shared" si="790"/>
        <v>0</v>
      </c>
    </row>
    <row r="48126" spans="20:20" ht="18.75" customHeight="1" x14ac:dyDescent="0.35">
      <c r="T48126" s="246">
        <f t="shared" si="790"/>
        <v>0</v>
      </c>
    </row>
    <row r="48127" spans="20:20" ht="18.75" customHeight="1" x14ac:dyDescent="0.35">
      <c r="T48127" s="246">
        <f t="shared" si="790"/>
        <v>0</v>
      </c>
    </row>
    <row r="48128" spans="20:20" ht="18.75" customHeight="1" x14ac:dyDescent="0.35">
      <c r="T48128" s="246">
        <f t="shared" si="790"/>
        <v>0</v>
      </c>
    </row>
    <row r="48129" spans="20:20" ht="18.75" customHeight="1" x14ac:dyDescent="0.35">
      <c r="T48129" s="246">
        <f t="shared" si="790"/>
        <v>0</v>
      </c>
    </row>
    <row r="48130" spans="20:20" ht="18.75" customHeight="1" x14ac:dyDescent="0.35">
      <c r="T48130" s="246">
        <f t="shared" si="790"/>
        <v>0</v>
      </c>
    </row>
    <row r="48131" spans="20:20" ht="18.75" customHeight="1" x14ac:dyDescent="0.35">
      <c r="T48131" s="246">
        <f t="shared" si="790"/>
        <v>0</v>
      </c>
    </row>
    <row r="48132" spans="20:20" ht="18.75" customHeight="1" x14ac:dyDescent="0.35">
      <c r="T48132" s="246">
        <f t="shared" si="790"/>
        <v>0</v>
      </c>
    </row>
    <row r="48133" spans="20:20" ht="18.75" customHeight="1" x14ac:dyDescent="0.35">
      <c r="T48133" s="246">
        <f t="shared" si="790"/>
        <v>0</v>
      </c>
    </row>
    <row r="48134" spans="20:20" ht="18.75" customHeight="1" x14ac:dyDescent="0.35">
      <c r="T48134" s="246">
        <f t="shared" si="790"/>
        <v>0</v>
      </c>
    </row>
    <row r="48135" spans="20:20" ht="18.75" customHeight="1" x14ac:dyDescent="0.35">
      <c r="T48135" s="246">
        <f t="shared" si="790"/>
        <v>0</v>
      </c>
    </row>
    <row r="48136" spans="20:20" ht="18.75" customHeight="1" x14ac:dyDescent="0.35">
      <c r="T48136" s="246">
        <f t="shared" si="790"/>
        <v>0</v>
      </c>
    </row>
    <row r="48137" spans="20:20" ht="18.75" customHeight="1" x14ac:dyDescent="0.35">
      <c r="T48137" s="246">
        <f t="shared" si="790"/>
        <v>0</v>
      </c>
    </row>
    <row r="48138" spans="20:20" ht="18.75" customHeight="1" x14ac:dyDescent="0.35">
      <c r="T48138" s="246">
        <f t="shared" si="790"/>
        <v>0</v>
      </c>
    </row>
    <row r="48139" spans="20:20" ht="18.75" customHeight="1" x14ac:dyDescent="0.35">
      <c r="T48139" s="246">
        <f t="shared" si="790"/>
        <v>0</v>
      </c>
    </row>
    <row r="48140" spans="20:20" ht="18.75" customHeight="1" x14ac:dyDescent="0.35">
      <c r="T48140" s="246">
        <f t="shared" si="790"/>
        <v>0</v>
      </c>
    </row>
    <row r="48141" spans="20:20" ht="18.75" customHeight="1" x14ac:dyDescent="0.35">
      <c r="T48141" s="246">
        <f t="shared" si="790"/>
        <v>0</v>
      </c>
    </row>
    <row r="48142" spans="20:20" ht="18.75" customHeight="1" x14ac:dyDescent="0.35">
      <c r="T48142" s="246">
        <f t="shared" si="790"/>
        <v>0</v>
      </c>
    </row>
    <row r="48143" spans="20:20" ht="18.75" customHeight="1" x14ac:dyDescent="0.35">
      <c r="T48143" s="246">
        <f t="shared" si="790"/>
        <v>0</v>
      </c>
    </row>
    <row r="48144" spans="20:20" ht="18.75" customHeight="1" x14ac:dyDescent="0.35">
      <c r="T48144" s="246">
        <f t="shared" si="790"/>
        <v>0</v>
      </c>
    </row>
    <row r="48145" spans="20:20" ht="18.75" customHeight="1" x14ac:dyDescent="0.35">
      <c r="T48145" s="246">
        <f t="shared" si="790"/>
        <v>0</v>
      </c>
    </row>
    <row r="48146" spans="20:20" ht="18.75" customHeight="1" x14ac:dyDescent="0.35">
      <c r="T48146" s="246">
        <f t="shared" si="790"/>
        <v>0</v>
      </c>
    </row>
    <row r="48147" spans="20:20" ht="18.75" customHeight="1" x14ac:dyDescent="0.35">
      <c r="T48147" s="246">
        <f t="shared" si="790"/>
        <v>0</v>
      </c>
    </row>
    <row r="48148" spans="20:20" ht="18.75" customHeight="1" x14ac:dyDescent="0.35">
      <c r="T48148" s="246">
        <f t="shared" si="790"/>
        <v>0</v>
      </c>
    </row>
    <row r="48149" spans="20:20" ht="18.75" customHeight="1" x14ac:dyDescent="0.35">
      <c r="T48149" s="246">
        <f t="shared" si="790"/>
        <v>0</v>
      </c>
    </row>
    <row r="48150" spans="20:20" ht="18.75" customHeight="1" x14ac:dyDescent="0.35">
      <c r="T48150" s="246">
        <f t="shared" si="790"/>
        <v>0</v>
      </c>
    </row>
    <row r="48151" spans="20:20" ht="18.75" customHeight="1" x14ac:dyDescent="0.35">
      <c r="T48151" s="246">
        <f t="shared" si="790"/>
        <v>0</v>
      </c>
    </row>
    <row r="48152" spans="20:20" ht="18.75" customHeight="1" x14ac:dyDescent="0.35">
      <c r="T48152" s="246">
        <f t="shared" si="790"/>
        <v>0</v>
      </c>
    </row>
    <row r="48153" spans="20:20" ht="18.75" customHeight="1" x14ac:dyDescent="0.35">
      <c r="T48153" s="246">
        <f t="shared" si="790"/>
        <v>0</v>
      </c>
    </row>
    <row r="48154" spans="20:20" ht="18.75" customHeight="1" x14ac:dyDescent="0.35">
      <c r="T48154" s="246">
        <f t="shared" si="790"/>
        <v>0</v>
      </c>
    </row>
    <row r="48155" spans="20:20" ht="18.75" customHeight="1" x14ac:dyDescent="0.35">
      <c r="T48155" s="246">
        <f t="shared" si="790"/>
        <v>0</v>
      </c>
    </row>
    <row r="48156" spans="20:20" ht="18.75" customHeight="1" x14ac:dyDescent="0.35">
      <c r="T48156" s="246">
        <f t="shared" si="790"/>
        <v>0</v>
      </c>
    </row>
    <row r="48157" spans="20:20" ht="18.75" customHeight="1" x14ac:dyDescent="0.35">
      <c r="T48157" s="246">
        <f t="shared" si="790"/>
        <v>0</v>
      </c>
    </row>
    <row r="48158" spans="20:20" ht="18.75" customHeight="1" x14ac:dyDescent="0.35">
      <c r="T48158" s="246">
        <f t="shared" si="790"/>
        <v>0</v>
      </c>
    </row>
    <row r="48159" spans="20:20" ht="18.75" customHeight="1" x14ac:dyDescent="0.35">
      <c r="T48159" s="246">
        <f t="shared" si="790"/>
        <v>0</v>
      </c>
    </row>
    <row r="48160" spans="20:20" ht="18.75" customHeight="1" x14ac:dyDescent="0.35">
      <c r="T48160" s="246">
        <f t="shared" si="790"/>
        <v>0</v>
      </c>
    </row>
    <row r="48161" spans="20:20" ht="18.75" customHeight="1" x14ac:dyDescent="0.35">
      <c r="T48161" s="246">
        <f t="shared" si="790"/>
        <v>0</v>
      </c>
    </row>
    <row r="48162" spans="20:20" ht="18.75" customHeight="1" x14ac:dyDescent="0.35">
      <c r="T48162" s="246">
        <f t="shared" si="790"/>
        <v>0</v>
      </c>
    </row>
    <row r="48163" spans="20:20" ht="18.75" customHeight="1" x14ac:dyDescent="0.35">
      <c r="T48163" s="246">
        <f t="shared" si="790"/>
        <v>0</v>
      </c>
    </row>
    <row r="48164" spans="20:20" ht="18.75" customHeight="1" x14ac:dyDescent="0.35">
      <c r="T48164" s="246">
        <f t="shared" si="790"/>
        <v>0</v>
      </c>
    </row>
    <row r="48165" spans="20:20" ht="18.75" customHeight="1" x14ac:dyDescent="0.35">
      <c r="T48165" s="246">
        <f t="shared" si="790"/>
        <v>0</v>
      </c>
    </row>
    <row r="48166" spans="20:20" ht="18.75" customHeight="1" x14ac:dyDescent="0.35">
      <c r="T48166" s="246">
        <f t="shared" si="790"/>
        <v>0</v>
      </c>
    </row>
    <row r="48167" spans="20:20" ht="18.75" customHeight="1" x14ac:dyDescent="0.35">
      <c r="T48167" s="246">
        <f t="shared" si="790"/>
        <v>0</v>
      </c>
    </row>
    <row r="48168" spans="20:20" ht="18.75" customHeight="1" x14ac:dyDescent="0.35">
      <c r="T48168" s="246">
        <f t="shared" si="790"/>
        <v>0</v>
      </c>
    </row>
    <row r="48169" spans="20:20" ht="18.75" customHeight="1" x14ac:dyDescent="0.35">
      <c r="T48169" s="246">
        <f t="shared" si="790"/>
        <v>0</v>
      </c>
    </row>
    <row r="48170" spans="20:20" ht="18.75" customHeight="1" x14ac:dyDescent="0.35">
      <c r="T48170" s="246">
        <f t="shared" si="790"/>
        <v>0</v>
      </c>
    </row>
    <row r="48171" spans="20:20" ht="18.75" customHeight="1" x14ac:dyDescent="0.35">
      <c r="T48171" s="246">
        <f t="shared" si="790"/>
        <v>0</v>
      </c>
    </row>
    <row r="48172" spans="20:20" ht="18.75" customHeight="1" x14ac:dyDescent="0.35">
      <c r="T48172" s="246">
        <f t="shared" si="790"/>
        <v>0</v>
      </c>
    </row>
    <row r="48173" spans="20:20" ht="18.75" customHeight="1" x14ac:dyDescent="0.35">
      <c r="T48173" s="246">
        <f t="shared" si="790"/>
        <v>0</v>
      </c>
    </row>
    <row r="48174" spans="20:20" ht="18.75" customHeight="1" x14ac:dyDescent="0.35">
      <c r="T48174" s="246">
        <f t="shared" si="790"/>
        <v>0</v>
      </c>
    </row>
    <row r="48175" spans="20:20" ht="18.75" customHeight="1" x14ac:dyDescent="0.35">
      <c r="T48175" s="246">
        <f t="shared" si="790"/>
        <v>0</v>
      </c>
    </row>
    <row r="48176" spans="20:20" ht="18.75" customHeight="1" x14ac:dyDescent="0.35">
      <c r="T48176" s="246">
        <f t="shared" si="790"/>
        <v>0</v>
      </c>
    </row>
    <row r="48177" spans="20:20" ht="18.75" customHeight="1" x14ac:dyDescent="0.35">
      <c r="T48177" s="246">
        <f t="shared" si="790"/>
        <v>0</v>
      </c>
    </row>
    <row r="48178" spans="20:20" ht="18.75" customHeight="1" x14ac:dyDescent="0.35">
      <c r="T48178" s="246">
        <f t="shared" si="790"/>
        <v>0</v>
      </c>
    </row>
    <row r="48179" spans="20:20" ht="18.75" customHeight="1" x14ac:dyDescent="0.35">
      <c r="T48179" s="246">
        <f t="shared" si="790"/>
        <v>0</v>
      </c>
    </row>
    <row r="48180" spans="20:20" ht="18.75" customHeight="1" x14ac:dyDescent="0.35">
      <c r="T48180" s="246">
        <f t="shared" si="790"/>
        <v>0</v>
      </c>
    </row>
    <row r="48181" spans="20:20" ht="18.75" customHeight="1" x14ac:dyDescent="0.35">
      <c r="T48181" s="246">
        <f t="shared" si="790"/>
        <v>0</v>
      </c>
    </row>
    <row r="48182" spans="20:20" ht="18.75" customHeight="1" x14ac:dyDescent="0.35">
      <c r="T48182" s="246">
        <f t="shared" si="790"/>
        <v>0</v>
      </c>
    </row>
    <row r="48183" spans="20:20" ht="18.75" customHeight="1" x14ac:dyDescent="0.35">
      <c r="T48183" s="246">
        <f t="shared" si="790"/>
        <v>0</v>
      </c>
    </row>
    <row r="48184" spans="20:20" ht="18.75" customHeight="1" x14ac:dyDescent="0.35">
      <c r="T48184" s="246">
        <f t="shared" si="790"/>
        <v>0</v>
      </c>
    </row>
    <row r="48185" spans="20:20" ht="18.75" customHeight="1" x14ac:dyDescent="0.35">
      <c r="T48185" s="246">
        <f t="shared" si="790"/>
        <v>0</v>
      </c>
    </row>
    <row r="48186" spans="20:20" ht="18.75" customHeight="1" x14ac:dyDescent="0.35">
      <c r="T48186" s="246">
        <f t="shared" si="790"/>
        <v>0</v>
      </c>
    </row>
    <row r="48187" spans="20:20" ht="18.75" customHeight="1" x14ac:dyDescent="0.35">
      <c r="T48187" s="246">
        <f t="shared" si="790"/>
        <v>0</v>
      </c>
    </row>
    <row r="48188" spans="20:20" ht="18.75" customHeight="1" x14ac:dyDescent="0.35">
      <c r="T48188" s="246">
        <f t="shared" ref="T48188:T48251" si="791">R48188*0.01</f>
        <v>0</v>
      </c>
    </row>
    <row r="48189" spans="20:20" ht="18.75" customHeight="1" x14ac:dyDescent="0.35">
      <c r="T48189" s="246">
        <f t="shared" si="791"/>
        <v>0</v>
      </c>
    </row>
    <row r="48190" spans="20:20" ht="18.75" customHeight="1" x14ac:dyDescent="0.35">
      <c r="T48190" s="246">
        <f t="shared" si="791"/>
        <v>0</v>
      </c>
    </row>
    <row r="48191" spans="20:20" ht="18.75" customHeight="1" x14ac:dyDescent="0.35">
      <c r="T48191" s="246">
        <f t="shared" si="791"/>
        <v>0</v>
      </c>
    </row>
    <row r="48192" spans="20:20" ht="18.75" customHeight="1" x14ac:dyDescent="0.35">
      <c r="T48192" s="246">
        <f t="shared" si="791"/>
        <v>0</v>
      </c>
    </row>
    <row r="48193" spans="20:20" ht="18.75" customHeight="1" x14ac:dyDescent="0.35">
      <c r="T48193" s="246">
        <f t="shared" si="791"/>
        <v>0</v>
      </c>
    </row>
    <row r="48194" spans="20:20" ht="18.75" customHeight="1" x14ac:dyDescent="0.35">
      <c r="T48194" s="246">
        <f t="shared" si="791"/>
        <v>0</v>
      </c>
    </row>
    <row r="48195" spans="20:20" ht="18.75" customHeight="1" x14ac:dyDescent="0.35">
      <c r="T48195" s="246">
        <f t="shared" si="791"/>
        <v>0</v>
      </c>
    </row>
    <row r="48196" spans="20:20" ht="18.75" customHeight="1" x14ac:dyDescent="0.35">
      <c r="T48196" s="246">
        <f t="shared" si="791"/>
        <v>0</v>
      </c>
    </row>
    <row r="48197" spans="20:20" ht="18.75" customHeight="1" x14ac:dyDescent="0.35">
      <c r="T48197" s="246">
        <f t="shared" si="791"/>
        <v>0</v>
      </c>
    </row>
    <row r="48198" spans="20:20" ht="18.75" customHeight="1" x14ac:dyDescent="0.35">
      <c r="T48198" s="246">
        <f t="shared" si="791"/>
        <v>0</v>
      </c>
    </row>
    <row r="48199" spans="20:20" ht="18.75" customHeight="1" x14ac:dyDescent="0.35">
      <c r="T48199" s="246">
        <f t="shared" si="791"/>
        <v>0</v>
      </c>
    </row>
    <row r="48200" spans="20:20" ht="18.75" customHeight="1" x14ac:dyDescent="0.35">
      <c r="T48200" s="246">
        <f t="shared" si="791"/>
        <v>0</v>
      </c>
    </row>
    <row r="48201" spans="20:20" ht="18.75" customHeight="1" x14ac:dyDescent="0.35">
      <c r="T48201" s="246">
        <f t="shared" si="791"/>
        <v>0</v>
      </c>
    </row>
    <row r="48202" spans="20:20" ht="18.75" customHeight="1" x14ac:dyDescent="0.35">
      <c r="T48202" s="246">
        <f t="shared" si="791"/>
        <v>0</v>
      </c>
    </row>
    <row r="48203" spans="20:20" ht="18.75" customHeight="1" x14ac:dyDescent="0.35">
      <c r="T48203" s="246">
        <f t="shared" si="791"/>
        <v>0</v>
      </c>
    </row>
    <row r="48204" spans="20:20" ht="18.75" customHeight="1" x14ac:dyDescent="0.35">
      <c r="T48204" s="246">
        <f t="shared" si="791"/>
        <v>0</v>
      </c>
    </row>
    <row r="48205" spans="20:20" ht="18.75" customHeight="1" x14ac:dyDescent="0.35">
      <c r="T48205" s="246">
        <f t="shared" si="791"/>
        <v>0</v>
      </c>
    </row>
    <row r="48206" spans="20:20" ht="18.75" customHeight="1" x14ac:dyDescent="0.35">
      <c r="T48206" s="246">
        <f t="shared" si="791"/>
        <v>0</v>
      </c>
    </row>
    <row r="48207" spans="20:20" ht="18.75" customHeight="1" x14ac:dyDescent="0.35">
      <c r="T48207" s="246">
        <f t="shared" si="791"/>
        <v>0</v>
      </c>
    </row>
    <row r="48208" spans="20:20" ht="18.75" customHeight="1" x14ac:dyDescent="0.35">
      <c r="T48208" s="246">
        <f t="shared" si="791"/>
        <v>0</v>
      </c>
    </row>
    <row r="48209" spans="20:20" ht="18.75" customHeight="1" x14ac:dyDescent="0.35">
      <c r="T48209" s="246">
        <f t="shared" si="791"/>
        <v>0</v>
      </c>
    </row>
    <row r="48210" spans="20:20" ht="18.75" customHeight="1" x14ac:dyDescent="0.35">
      <c r="T48210" s="246">
        <f t="shared" si="791"/>
        <v>0</v>
      </c>
    </row>
    <row r="48211" spans="20:20" ht="18.75" customHeight="1" x14ac:dyDescent="0.35">
      <c r="T48211" s="246">
        <f t="shared" si="791"/>
        <v>0</v>
      </c>
    </row>
    <row r="48212" spans="20:20" ht="18.75" customHeight="1" x14ac:dyDescent="0.35">
      <c r="T48212" s="246">
        <f t="shared" si="791"/>
        <v>0</v>
      </c>
    </row>
    <row r="48213" spans="20:20" ht="18.75" customHeight="1" x14ac:dyDescent="0.35">
      <c r="T48213" s="246">
        <f t="shared" si="791"/>
        <v>0</v>
      </c>
    </row>
    <row r="48214" spans="20:20" ht="18.75" customHeight="1" x14ac:dyDescent="0.35">
      <c r="T48214" s="246">
        <f t="shared" si="791"/>
        <v>0</v>
      </c>
    </row>
    <row r="48215" spans="20:20" ht="18.75" customHeight="1" x14ac:dyDescent="0.35">
      <c r="T48215" s="246">
        <f t="shared" si="791"/>
        <v>0</v>
      </c>
    </row>
    <row r="48216" spans="20:20" ht="18.75" customHeight="1" x14ac:dyDescent="0.35">
      <c r="T48216" s="246">
        <f t="shared" si="791"/>
        <v>0</v>
      </c>
    </row>
    <row r="48217" spans="20:20" ht="18.75" customHeight="1" x14ac:dyDescent="0.35">
      <c r="T48217" s="246">
        <f t="shared" si="791"/>
        <v>0</v>
      </c>
    </row>
    <row r="48218" spans="20:20" ht="18.75" customHeight="1" x14ac:dyDescent="0.35">
      <c r="T48218" s="246">
        <f t="shared" si="791"/>
        <v>0</v>
      </c>
    </row>
    <row r="48219" spans="20:20" ht="18.75" customHeight="1" x14ac:dyDescent="0.35">
      <c r="T48219" s="246">
        <f t="shared" si="791"/>
        <v>0</v>
      </c>
    </row>
    <row r="48220" spans="20:20" ht="18.75" customHeight="1" x14ac:dyDescent="0.35">
      <c r="T48220" s="246">
        <f t="shared" si="791"/>
        <v>0</v>
      </c>
    </row>
    <row r="48221" spans="20:20" ht="18.75" customHeight="1" x14ac:dyDescent="0.35">
      <c r="T48221" s="246">
        <f t="shared" si="791"/>
        <v>0</v>
      </c>
    </row>
    <row r="48222" spans="20:20" ht="18.75" customHeight="1" x14ac:dyDescent="0.35">
      <c r="T48222" s="246">
        <f t="shared" si="791"/>
        <v>0</v>
      </c>
    </row>
    <row r="48223" spans="20:20" ht="18.75" customHeight="1" x14ac:dyDescent="0.35">
      <c r="T48223" s="246">
        <f t="shared" si="791"/>
        <v>0</v>
      </c>
    </row>
    <row r="48224" spans="20:20" ht="18.75" customHeight="1" x14ac:dyDescent="0.35">
      <c r="T48224" s="246">
        <f t="shared" si="791"/>
        <v>0</v>
      </c>
    </row>
    <row r="48225" spans="20:20" ht="18.75" customHeight="1" x14ac:dyDescent="0.35">
      <c r="T48225" s="246">
        <f t="shared" si="791"/>
        <v>0</v>
      </c>
    </row>
    <row r="48226" spans="20:20" ht="18.75" customHeight="1" x14ac:dyDescent="0.35">
      <c r="T48226" s="246">
        <f t="shared" si="791"/>
        <v>0</v>
      </c>
    </row>
    <row r="48227" spans="20:20" ht="18.75" customHeight="1" x14ac:dyDescent="0.35">
      <c r="T48227" s="246">
        <f t="shared" si="791"/>
        <v>0</v>
      </c>
    </row>
    <row r="48228" spans="20:20" ht="18.75" customHeight="1" x14ac:dyDescent="0.35">
      <c r="T48228" s="246">
        <f t="shared" si="791"/>
        <v>0</v>
      </c>
    </row>
    <row r="48229" spans="20:20" ht="18.75" customHeight="1" x14ac:dyDescent="0.35">
      <c r="T48229" s="246">
        <f t="shared" si="791"/>
        <v>0</v>
      </c>
    </row>
    <row r="48230" spans="20:20" ht="18.75" customHeight="1" x14ac:dyDescent="0.35">
      <c r="T48230" s="246">
        <f t="shared" si="791"/>
        <v>0</v>
      </c>
    </row>
    <row r="48231" spans="20:20" ht="18.75" customHeight="1" x14ac:dyDescent="0.35">
      <c r="T48231" s="246">
        <f t="shared" si="791"/>
        <v>0</v>
      </c>
    </row>
    <row r="48232" spans="20:20" ht="18.75" customHeight="1" x14ac:dyDescent="0.35">
      <c r="T48232" s="246">
        <f t="shared" si="791"/>
        <v>0</v>
      </c>
    </row>
    <row r="48233" spans="20:20" ht="18.75" customHeight="1" x14ac:dyDescent="0.35">
      <c r="T48233" s="246">
        <f t="shared" si="791"/>
        <v>0</v>
      </c>
    </row>
    <row r="48234" spans="20:20" ht="18.75" customHeight="1" x14ac:dyDescent="0.35">
      <c r="T48234" s="246">
        <f t="shared" si="791"/>
        <v>0</v>
      </c>
    </row>
    <row r="48235" spans="20:20" ht="18.75" customHeight="1" x14ac:dyDescent="0.35">
      <c r="T48235" s="246">
        <f t="shared" si="791"/>
        <v>0</v>
      </c>
    </row>
    <row r="48236" spans="20:20" ht="18.75" customHeight="1" x14ac:dyDescent="0.35">
      <c r="T48236" s="246">
        <f t="shared" si="791"/>
        <v>0</v>
      </c>
    </row>
    <row r="48237" spans="20:20" ht="18.75" customHeight="1" x14ac:dyDescent="0.35">
      <c r="T48237" s="246">
        <f t="shared" si="791"/>
        <v>0</v>
      </c>
    </row>
    <row r="48238" spans="20:20" ht="18.75" customHeight="1" x14ac:dyDescent="0.35">
      <c r="T48238" s="246">
        <f t="shared" si="791"/>
        <v>0</v>
      </c>
    </row>
    <row r="48239" spans="20:20" ht="18.75" customHeight="1" x14ac:dyDescent="0.35">
      <c r="T48239" s="246">
        <f t="shared" si="791"/>
        <v>0</v>
      </c>
    </row>
    <row r="48240" spans="20:20" ht="18.75" customHeight="1" x14ac:dyDescent="0.35">
      <c r="T48240" s="246">
        <f t="shared" si="791"/>
        <v>0</v>
      </c>
    </row>
    <row r="48241" spans="20:20" ht="18.75" customHeight="1" x14ac:dyDescent="0.35">
      <c r="T48241" s="246">
        <f t="shared" si="791"/>
        <v>0</v>
      </c>
    </row>
    <row r="48242" spans="20:20" ht="18.75" customHeight="1" x14ac:dyDescent="0.35">
      <c r="T48242" s="246">
        <f t="shared" si="791"/>
        <v>0</v>
      </c>
    </row>
    <row r="48243" spans="20:20" ht="18.75" customHeight="1" x14ac:dyDescent="0.35">
      <c r="T48243" s="246">
        <f t="shared" si="791"/>
        <v>0</v>
      </c>
    </row>
    <row r="48244" spans="20:20" ht="18.75" customHeight="1" x14ac:dyDescent="0.35">
      <c r="T48244" s="246">
        <f t="shared" si="791"/>
        <v>0</v>
      </c>
    </row>
    <row r="48245" spans="20:20" ht="18.75" customHeight="1" x14ac:dyDescent="0.35">
      <c r="T48245" s="246">
        <f t="shared" si="791"/>
        <v>0</v>
      </c>
    </row>
    <row r="48246" spans="20:20" ht="18.75" customHeight="1" x14ac:dyDescent="0.35">
      <c r="T48246" s="246">
        <f t="shared" si="791"/>
        <v>0</v>
      </c>
    </row>
    <row r="48247" spans="20:20" ht="18.75" customHeight="1" x14ac:dyDescent="0.35">
      <c r="T48247" s="246">
        <f t="shared" si="791"/>
        <v>0</v>
      </c>
    </row>
    <row r="48248" spans="20:20" ht="18.75" customHeight="1" x14ac:dyDescent="0.35">
      <c r="T48248" s="246">
        <f t="shared" si="791"/>
        <v>0</v>
      </c>
    </row>
    <row r="48249" spans="20:20" ht="18.75" customHeight="1" x14ac:dyDescent="0.35">
      <c r="T48249" s="246">
        <f t="shared" si="791"/>
        <v>0</v>
      </c>
    </row>
    <row r="48250" spans="20:20" ht="18.75" customHeight="1" x14ac:dyDescent="0.35">
      <c r="T48250" s="246">
        <f t="shared" si="791"/>
        <v>0</v>
      </c>
    </row>
    <row r="48251" spans="20:20" ht="18.75" customHeight="1" x14ac:dyDescent="0.35">
      <c r="T48251" s="246">
        <f t="shared" si="791"/>
        <v>0</v>
      </c>
    </row>
    <row r="48252" spans="20:20" ht="18.75" customHeight="1" x14ac:dyDescent="0.35">
      <c r="T48252" s="246">
        <f t="shared" ref="T48252:T48315" si="792">R48252*0.01</f>
        <v>0</v>
      </c>
    </row>
    <row r="48253" spans="20:20" ht="18.75" customHeight="1" x14ac:dyDescent="0.35">
      <c r="T48253" s="246">
        <f t="shared" si="792"/>
        <v>0</v>
      </c>
    </row>
    <row r="48254" spans="20:20" ht="18.75" customHeight="1" x14ac:dyDescent="0.35">
      <c r="T48254" s="246">
        <f t="shared" si="792"/>
        <v>0</v>
      </c>
    </row>
    <row r="48255" spans="20:20" ht="18.75" customHeight="1" x14ac:dyDescent="0.35">
      <c r="T48255" s="246">
        <f t="shared" si="792"/>
        <v>0</v>
      </c>
    </row>
    <row r="48256" spans="20:20" ht="18.75" customHeight="1" x14ac:dyDescent="0.35">
      <c r="T48256" s="246">
        <f t="shared" si="792"/>
        <v>0</v>
      </c>
    </row>
    <row r="48257" spans="20:20" ht="18.75" customHeight="1" x14ac:dyDescent="0.35">
      <c r="T48257" s="246">
        <f t="shared" si="792"/>
        <v>0</v>
      </c>
    </row>
    <row r="48258" spans="20:20" ht="18.75" customHeight="1" x14ac:dyDescent="0.35">
      <c r="T48258" s="246">
        <f t="shared" si="792"/>
        <v>0</v>
      </c>
    </row>
    <row r="48259" spans="20:20" ht="18.75" customHeight="1" x14ac:dyDescent="0.35">
      <c r="T48259" s="246">
        <f t="shared" si="792"/>
        <v>0</v>
      </c>
    </row>
    <row r="48260" spans="20:20" ht="18.75" customHeight="1" x14ac:dyDescent="0.35">
      <c r="T48260" s="246">
        <f t="shared" si="792"/>
        <v>0</v>
      </c>
    </row>
    <row r="48261" spans="20:20" ht="18.75" customHeight="1" x14ac:dyDescent="0.35">
      <c r="T48261" s="246">
        <f t="shared" si="792"/>
        <v>0</v>
      </c>
    </row>
    <row r="48262" spans="20:20" ht="18.75" customHeight="1" x14ac:dyDescent="0.35">
      <c r="T48262" s="246">
        <f t="shared" si="792"/>
        <v>0</v>
      </c>
    </row>
    <row r="48263" spans="20:20" ht="18.75" customHeight="1" x14ac:dyDescent="0.35">
      <c r="T48263" s="246">
        <f t="shared" si="792"/>
        <v>0</v>
      </c>
    </row>
    <row r="48264" spans="20:20" ht="18.75" customHeight="1" x14ac:dyDescent="0.35">
      <c r="T48264" s="246">
        <f t="shared" si="792"/>
        <v>0</v>
      </c>
    </row>
    <row r="48265" spans="20:20" ht="18.75" customHeight="1" x14ac:dyDescent="0.35">
      <c r="T48265" s="246">
        <f t="shared" si="792"/>
        <v>0</v>
      </c>
    </row>
    <row r="48266" spans="20:20" ht="18.75" customHeight="1" x14ac:dyDescent="0.35">
      <c r="T48266" s="246">
        <f t="shared" si="792"/>
        <v>0</v>
      </c>
    </row>
    <row r="48267" spans="20:20" ht="18.75" customHeight="1" x14ac:dyDescent="0.35">
      <c r="T48267" s="246">
        <f t="shared" si="792"/>
        <v>0</v>
      </c>
    </row>
    <row r="48268" spans="20:20" ht="18.75" customHeight="1" x14ac:dyDescent="0.35">
      <c r="T48268" s="246">
        <f t="shared" si="792"/>
        <v>0</v>
      </c>
    </row>
    <row r="48269" spans="20:20" ht="18.75" customHeight="1" x14ac:dyDescent="0.35">
      <c r="T48269" s="246">
        <f t="shared" si="792"/>
        <v>0</v>
      </c>
    </row>
    <row r="48270" spans="20:20" ht="18.75" customHeight="1" x14ac:dyDescent="0.35">
      <c r="T48270" s="246">
        <f t="shared" si="792"/>
        <v>0</v>
      </c>
    </row>
    <row r="48271" spans="20:20" ht="18.75" customHeight="1" x14ac:dyDescent="0.35">
      <c r="T48271" s="246">
        <f t="shared" si="792"/>
        <v>0</v>
      </c>
    </row>
    <row r="48272" spans="20:20" ht="18.75" customHeight="1" x14ac:dyDescent="0.35">
      <c r="T48272" s="246">
        <f t="shared" si="792"/>
        <v>0</v>
      </c>
    </row>
    <row r="48273" spans="20:20" ht="18.75" customHeight="1" x14ac:dyDescent="0.35">
      <c r="T48273" s="246">
        <f t="shared" si="792"/>
        <v>0</v>
      </c>
    </row>
    <row r="48274" spans="20:20" ht="18.75" customHeight="1" x14ac:dyDescent="0.35">
      <c r="T48274" s="246">
        <f t="shared" si="792"/>
        <v>0</v>
      </c>
    </row>
    <row r="48275" spans="20:20" ht="18.75" customHeight="1" x14ac:dyDescent="0.35">
      <c r="T48275" s="246">
        <f t="shared" si="792"/>
        <v>0</v>
      </c>
    </row>
    <row r="48276" spans="20:20" ht="18.75" customHeight="1" x14ac:dyDescent="0.35">
      <c r="T48276" s="246">
        <f t="shared" si="792"/>
        <v>0</v>
      </c>
    </row>
    <row r="48277" spans="20:20" ht="18.75" customHeight="1" x14ac:dyDescent="0.35">
      <c r="T48277" s="246">
        <f t="shared" si="792"/>
        <v>0</v>
      </c>
    </row>
    <row r="48278" spans="20:20" ht="18.75" customHeight="1" x14ac:dyDescent="0.35">
      <c r="T48278" s="246">
        <f t="shared" si="792"/>
        <v>0</v>
      </c>
    </row>
    <row r="48279" spans="20:20" ht="18.75" customHeight="1" x14ac:dyDescent="0.35">
      <c r="T48279" s="246">
        <f t="shared" si="792"/>
        <v>0</v>
      </c>
    </row>
    <row r="48280" spans="20:20" ht="18.75" customHeight="1" x14ac:dyDescent="0.35">
      <c r="T48280" s="246">
        <f t="shared" si="792"/>
        <v>0</v>
      </c>
    </row>
    <row r="48281" spans="20:20" ht="18.75" customHeight="1" x14ac:dyDescent="0.35">
      <c r="T48281" s="246">
        <f t="shared" si="792"/>
        <v>0</v>
      </c>
    </row>
    <row r="48282" spans="20:20" ht="18.75" customHeight="1" x14ac:dyDescent="0.35">
      <c r="T48282" s="246">
        <f t="shared" si="792"/>
        <v>0</v>
      </c>
    </row>
    <row r="48283" spans="20:20" ht="18.75" customHeight="1" x14ac:dyDescent="0.35">
      <c r="T48283" s="246">
        <f t="shared" si="792"/>
        <v>0</v>
      </c>
    </row>
    <row r="48284" spans="20:20" ht="18.75" customHeight="1" x14ac:dyDescent="0.35">
      <c r="T48284" s="246">
        <f t="shared" si="792"/>
        <v>0</v>
      </c>
    </row>
    <row r="48285" spans="20:20" ht="18.75" customHeight="1" x14ac:dyDescent="0.35">
      <c r="T48285" s="246">
        <f t="shared" si="792"/>
        <v>0</v>
      </c>
    </row>
    <row r="48286" spans="20:20" ht="18.75" customHeight="1" x14ac:dyDescent="0.35">
      <c r="T48286" s="246">
        <f t="shared" si="792"/>
        <v>0</v>
      </c>
    </row>
    <row r="48287" spans="20:20" ht="18.75" customHeight="1" x14ac:dyDescent="0.35">
      <c r="T48287" s="246">
        <f t="shared" si="792"/>
        <v>0</v>
      </c>
    </row>
    <row r="48288" spans="20:20" ht="18.75" customHeight="1" x14ac:dyDescent="0.35">
      <c r="T48288" s="246">
        <f t="shared" si="792"/>
        <v>0</v>
      </c>
    </row>
    <row r="48289" spans="20:20" ht="18.75" customHeight="1" x14ac:dyDescent="0.35">
      <c r="T48289" s="246">
        <f t="shared" si="792"/>
        <v>0</v>
      </c>
    </row>
    <row r="48290" spans="20:20" ht="18.75" customHeight="1" x14ac:dyDescent="0.35">
      <c r="T48290" s="246">
        <f t="shared" si="792"/>
        <v>0</v>
      </c>
    </row>
    <row r="48291" spans="20:20" ht="18.75" customHeight="1" x14ac:dyDescent="0.35">
      <c r="T48291" s="246">
        <f t="shared" si="792"/>
        <v>0</v>
      </c>
    </row>
    <row r="48292" spans="20:20" ht="18.75" customHeight="1" x14ac:dyDescent="0.35">
      <c r="T48292" s="246">
        <f t="shared" si="792"/>
        <v>0</v>
      </c>
    </row>
    <row r="48293" spans="20:20" ht="18.75" customHeight="1" x14ac:dyDescent="0.35">
      <c r="T48293" s="246">
        <f t="shared" si="792"/>
        <v>0</v>
      </c>
    </row>
    <row r="48294" spans="20:20" ht="18.75" customHeight="1" x14ac:dyDescent="0.35">
      <c r="T48294" s="246">
        <f t="shared" si="792"/>
        <v>0</v>
      </c>
    </row>
    <row r="48295" spans="20:20" ht="18.75" customHeight="1" x14ac:dyDescent="0.35">
      <c r="T48295" s="246">
        <f t="shared" si="792"/>
        <v>0</v>
      </c>
    </row>
    <row r="48296" spans="20:20" ht="18.75" customHeight="1" x14ac:dyDescent="0.35">
      <c r="T48296" s="246">
        <f t="shared" si="792"/>
        <v>0</v>
      </c>
    </row>
    <row r="48297" spans="20:20" ht="18.75" customHeight="1" x14ac:dyDescent="0.35">
      <c r="T48297" s="246">
        <f t="shared" si="792"/>
        <v>0</v>
      </c>
    </row>
    <row r="48298" spans="20:20" ht="18.75" customHeight="1" x14ac:dyDescent="0.35">
      <c r="T48298" s="246">
        <f t="shared" si="792"/>
        <v>0</v>
      </c>
    </row>
    <row r="48299" spans="20:20" ht="18.75" customHeight="1" x14ac:dyDescent="0.35">
      <c r="T48299" s="246">
        <f t="shared" si="792"/>
        <v>0</v>
      </c>
    </row>
    <row r="48300" spans="20:20" ht="18.75" customHeight="1" x14ac:dyDescent="0.35">
      <c r="T48300" s="246">
        <f t="shared" si="792"/>
        <v>0</v>
      </c>
    </row>
    <row r="48301" spans="20:20" ht="18.75" customHeight="1" x14ac:dyDescent="0.35">
      <c r="T48301" s="246">
        <f t="shared" si="792"/>
        <v>0</v>
      </c>
    </row>
    <row r="48302" spans="20:20" ht="18.75" customHeight="1" x14ac:dyDescent="0.35">
      <c r="T48302" s="246">
        <f t="shared" si="792"/>
        <v>0</v>
      </c>
    </row>
    <row r="48303" spans="20:20" ht="18.75" customHeight="1" x14ac:dyDescent="0.35">
      <c r="T48303" s="246">
        <f t="shared" si="792"/>
        <v>0</v>
      </c>
    </row>
    <row r="48304" spans="20:20" ht="18.75" customHeight="1" x14ac:dyDescent="0.35">
      <c r="T48304" s="246">
        <f t="shared" si="792"/>
        <v>0</v>
      </c>
    </row>
    <row r="48305" spans="20:20" ht="18.75" customHeight="1" x14ac:dyDescent="0.35">
      <c r="T48305" s="246">
        <f t="shared" si="792"/>
        <v>0</v>
      </c>
    </row>
    <row r="48306" spans="20:20" ht="18.75" customHeight="1" x14ac:dyDescent="0.35">
      <c r="T48306" s="246">
        <f t="shared" si="792"/>
        <v>0</v>
      </c>
    </row>
    <row r="48307" spans="20:20" ht="18.75" customHeight="1" x14ac:dyDescent="0.35">
      <c r="T48307" s="246">
        <f t="shared" si="792"/>
        <v>0</v>
      </c>
    </row>
    <row r="48308" spans="20:20" ht="18.75" customHeight="1" x14ac:dyDescent="0.35">
      <c r="T48308" s="246">
        <f t="shared" si="792"/>
        <v>0</v>
      </c>
    </row>
    <row r="48309" spans="20:20" ht="18.75" customHeight="1" x14ac:dyDescent="0.35">
      <c r="T48309" s="246">
        <f t="shared" si="792"/>
        <v>0</v>
      </c>
    </row>
    <row r="48310" spans="20:20" ht="18.75" customHeight="1" x14ac:dyDescent="0.35">
      <c r="T48310" s="246">
        <f t="shared" si="792"/>
        <v>0</v>
      </c>
    </row>
    <row r="48311" spans="20:20" ht="18.75" customHeight="1" x14ac:dyDescent="0.35">
      <c r="T48311" s="246">
        <f t="shared" si="792"/>
        <v>0</v>
      </c>
    </row>
    <row r="48312" spans="20:20" ht="18.75" customHeight="1" x14ac:dyDescent="0.35">
      <c r="T48312" s="246">
        <f t="shared" si="792"/>
        <v>0</v>
      </c>
    </row>
    <row r="48313" spans="20:20" ht="18.75" customHeight="1" x14ac:dyDescent="0.35">
      <c r="T48313" s="246">
        <f t="shared" si="792"/>
        <v>0</v>
      </c>
    </row>
    <row r="48314" spans="20:20" ht="18.75" customHeight="1" x14ac:dyDescent="0.35">
      <c r="T48314" s="246">
        <f t="shared" si="792"/>
        <v>0</v>
      </c>
    </row>
    <row r="48315" spans="20:20" ht="18.75" customHeight="1" x14ac:dyDescent="0.35">
      <c r="T48315" s="246">
        <f t="shared" si="792"/>
        <v>0</v>
      </c>
    </row>
    <row r="48316" spans="20:20" ht="18.75" customHeight="1" x14ac:dyDescent="0.35">
      <c r="T48316" s="246">
        <f t="shared" ref="T48316:T48379" si="793">R48316*0.01</f>
        <v>0</v>
      </c>
    </row>
    <row r="48317" spans="20:20" ht="18.75" customHeight="1" x14ac:dyDescent="0.35">
      <c r="T48317" s="246">
        <f t="shared" si="793"/>
        <v>0</v>
      </c>
    </row>
    <row r="48318" spans="20:20" ht="18.75" customHeight="1" x14ac:dyDescent="0.35">
      <c r="T48318" s="246">
        <f t="shared" si="793"/>
        <v>0</v>
      </c>
    </row>
    <row r="48319" spans="20:20" ht="18.75" customHeight="1" x14ac:dyDescent="0.35">
      <c r="T48319" s="246">
        <f t="shared" si="793"/>
        <v>0</v>
      </c>
    </row>
    <row r="48320" spans="20:20" ht="18.75" customHeight="1" x14ac:dyDescent="0.35">
      <c r="T48320" s="246">
        <f t="shared" si="793"/>
        <v>0</v>
      </c>
    </row>
    <row r="48321" spans="20:20" ht="18.75" customHeight="1" x14ac:dyDescent="0.35">
      <c r="T48321" s="246">
        <f t="shared" si="793"/>
        <v>0</v>
      </c>
    </row>
    <row r="48322" spans="20:20" ht="18.75" customHeight="1" x14ac:dyDescent="0.35">
      <c r="T48322" s="246">
        <f t="shared" si="793"/>
        <v>0</v>
      </c>
    </row>
    <row r="48323" spans="20:20" ht="18.75" customHeight="1" x14ac:dyDescent="0.35">
      <c r="T48323" s="246">
        <f t="shared" si="793"/>
        <v>0</v>
      </c>
    </row>
    <row r="48324" spans="20:20" ht="18.75" customHeight="1" x14ac:dyDescent="0.35">
      <c r="T48324" s="246">
        <f t="shared" si="793"/>
        <v>0</v>
      </c>
    </row>
    <row r="48325" spans="20:20" ht="18.75" customHeight="1" x14ac:dyDescent="0.35">
      <c r="T48325" s="246">
        <f t="shared" si="793"/>
        <v>0</v>
      </c>
    </row>
    <row r="48326" spans="20:20" ht="18.75" customHeight="1" x14ac:dyDescent="0.35">
      <c r="T48326" s="246">
        <f t="shared" si="793"/>
        <v>0</v>
      </c>
    </row>
    <row r="48327" spans="20:20" ht="18.75" customHeight="1" x14ac:dyDescent="0.35">
      <c r="T48327" s="246">
        <f t="shared" si="793"/>
        <v>0</v>
      </c>
    </row>
    <row r="48328" spans="20:20" ht="18.75" customHeight="1" x14ac:dyDescent="0.35">
      <c r="T48328" s="246">
        <f t="shared" si="793"/>
        <v>0</v>
      </c>
    </row>
    <row r="48329" spans="20:20" ht="18.75" customHeight="1" x14ac:dyDescent="0.35">
      <c r="T48329" s="246">
        <f t="shared" si="793"/>
        <v>0</v>
      </c>
    </row>
    <row r="48330" spans="20:20" ht="18.75" customHeight="1" x14ac:dyDescent="0.35">
      <c r="T48330" s="246">
        <f t="shared" si="793"/>
        <v>0</v>
      </c>
    </row>
    <row r="48331" spans="20:20" ht="18.75" customHeight="1" x14ac:dyDescent="0.35">
      <c r="T48331" s="246">
        <f t="shared" si="793"/>
        <v>0</v>
      </c>
    </row>
    <row r="48332" spans="20:20" ht="18.75" customHeight="1" x14ac:dyDescent="0.35">
      <c r="T48332" s="246">
        <f t="shared" si="793"/>
        <v>0</v>
      </c>
    </row>
    <row r="48333" spans="20:20" ht="18.75" customHeight="1" x14ac:dyDescent="0.35">
      <c r="T48333" s="246">
        <f t="shared" si="793"/>
        <v>0</v>
      </c>
    </row>
    <row r="48334" spans="20:20" ht="18.75" customHeight="1" x14ac:dyDescent="0.35">
      <c r="T48334" s="246">
        <f t="shared" si="793"/>
        <v>0</v>
      </c>
    </row>
    <row r="48335" spans="20:20" ht="18.75" customHeight="1" x14ac:dyDescent="0.35">
      <c r="T48335" s="246">
        <f t="shared" si="793"/>
        <v>0</v>
      </c>
    </row>
    <row r="48336" spans="20:20" ht="18.75" customHeight="1" x14ac:dyDescent="0.35">
      <c r="T48336" s="246">
        <f t="shared" si="793"/>
        <v>0</v>
      </c>
    </row>
    <row r="48337" spans="20:20" ht="18.75" customHeight="1" x14ac:dyDescent="0.35">
      <c r="T48337" s="246">
        <f t="shared" si="793"/>
        <v>0</v>
      </c>
    </row>
    <row r="48338" spans="20:20" ht="18.75" customHeight="1" x14ac:dyDescent="0.35">
      <c r="T48338" s="246">
        <f t="shared" si="793"/>
        <v>0</v>
      </c>
    </row>
    <row r="48339" spans="20:20" ht="18.75" customHeight="1" x14ac:dyDescent="0.35">
      <c r="T48339" s="246">
        <f t="shared" si="793"/>
        <v>0</v>
      </c>
    </row>
    <row r="48340" spans="20:20" ht="18.75" customHeight="1" x14ac:dyDescent="0.35">
      <c r="T48340" s="246">
        <f t="shared" si="793"/>
        <v>0</v>
      </c>
    </row>
    <row r="48341" spans="20:20" ht="18.75" customHeight="1" x14ac:dyDescent="0.35">
      <c r="T48341" s="246">
        <f t="shared" si="793"/>
        <v>0</v>
      </c>
    </row>
    <row r="48342" spans="20:20" ht="18.75" customHeight="1" x14ac:dyDescent="0.35">
      <c r="T48342" s="246">
        <f t="shared" si="793"/>
        <v>0</v>
      </c>
    </row>
    <row r="48343" spans="20:20" ht="18.75" customHeight="1" x14ac:dyDescent="0.35">
      <c r="T48343" s="246">
        <f t="shared" si="793"/>
        <v>0</v>
      </c>
    </row>
    <row r="48344" spans="20:20" ht="18.75" customHeight="1" x14ac:dyDescent="0.35">
      <c r="T48344" s="246">
        <f t="shared" si="793"/>
        <v>0</v>
      </c>
    </row>
    <row r="48345" spans="20:20" ht="18.75" customHeight="1" x14ac:dyDescent="0.35">
      <c r="T48345" s="246">
        <f t="shared" si="793"/>
        <v>0</v>
      </c>
    </row>
    <row r="48346" spans="20:20" ht="18.75" customHeight="1" x14ac:dyDescent="0.35">
      <c r="T48346" s="246">
        <f t="shared" si="793"/>
        <v>0</v>
      </c>
    </row>
    <row r="48347" spans="20:20" ht="18.75" customHeight="1" x14ac:dyDescent="0.35">
      <c r="T48347" s="246">
        <f t="shared" si="793"/>
        <v>0</v>
      </c>
    </row>
    <row r="48348" spans="20:20" ht="18.75" customHeight="1" x14ac:dyDescent="0.35">
      <c r="T48348" s="246">
        <f t="shared" si="793"/>
        <v>0</v>
      </c>
    </row>
    <row r="48349" spans="20:20" ht="18.75" customHeight="1" x14ac:dyDescent="0.35">
      <c r="T48349" s="246">
        <f t="shared" si="793"/>
        <v>0</v>
      </c>
    </row>
    <row r="48350" spans="20:20" ht="18.75" customHeight="1" x14ac:dyDescent="0.35">
      <c r="T48350" s="246">
        <f t="shared" si="793"/>
        <v>0</v>
      </c>
    </row>
    <row r="48351" spans="20:20" ht="18.75" customHeight="1" x14ac:dyDescent="0.35">
      <c r="T48351" s="246">
        <f t="shared" si="793"/>
        <v>0</v>
      </c>
    </row>
    <row r="48352" spans="20:20" ht="18.75" customHeight="1" x14ac:dyDescent="0.35">
      <c r="T48352" s="246">
        <f t="shared" si="793"/>
        <v>0</v>
      </c>
    </row>
    <row r="48353" spans="20:20" ht="18.75" customHeight="1" x14ac:dyDescent="0.35">
      <c r="T48353" s="246">
        <f t="shared" si="793"/>
        <v>0</v>
      </c>
    </row>
    <row r="48354" spans="20:20" ht="18.75" customHeight="1" x14ac:dyDescent="0.35">
      <c r="T48354" s="246">
        <f t="shared" si="793"/>
        <v>0</v>
      </c>
    </row>
    <row r="48355" spans="20:20" ht="18.75" customHeight="1" x14ac:dyDescent="0.35">
      <c r="T48355" s="246">
        <f t="shared" si="793"/>
        <v>0</v>
      </c>
    </row>
    <row r="48356" spans="20:20" ht="18.75" customHeight="1" x14ac:dyDescent="0.35">
      <c r="T48356" s="246">
        <f t="shared" si="793"/>
        <v>0</v>
      </c>
    </row>
    <row r="48357" spans="20:20" ht="18.75" customHeight="1" x14ac:dyDescent="0.35">
      <c r="T48357" s="246">
        <f t="shared" si="793"/>
        <v>0</v>
      </c>
    </row>
    <row r="48358" spans="20:20" ht="18.75" customHeight="1" x14ac:dyDescent="0.35">
      <c r="T48358" s="246">
        <f t="shared" si="793"/>
        <v>0</v>
      </c>
    </row>
    <row r="48359" spans="20:20" ht="18.75" customHeight="1" x14ac:dyDescent="0.35">
      <c r="T48359" s="246">
        <f t="shared" si="793"/>
        <v>0</v>
      </c>
    </row>
    <row r="48360" spans="20:20" ht="18.75" customHeight="1" x14ac:dyDescent="0.35">
      <c r="T48360" s="246">
        <f t="shared" si="793"/>
        <v>0</v>
      </c>
    </row>
    <row r="48361" spans="20:20" ht="18.75" customHeight="1" x14ac:dyDescent="0.35">
      <c r="T48361" s="246">
        <f t="shared" si="793"/>
        <v>0</v>
      </c>
    </row>
    <row r="48362" spans="20:20" ht="18.75" customHeight="1" x14ac:dyDescent="0.35">
      <c r="T48362" s="246">
        <f t="shared" si="793"/>
        <v>0</v>
      </c>
    </row>
    <row r="48363" spans="20:20" ht="18.75" customHeight="1" x14ac:dyDescent="0.35">
      <c r="T48363" s="246">
        <f t="shared" si="793"/>
        <v>0</v>
      </c>
    </row>
    <row r="48364" spans="20:20" ht="18.75" customHeight="1" x14ac:dyDescent="0.35">
      <c r="T48364" s="246">
        <f t="shared" si="793"/>
        <v>0</v>
      </c>
    </row>
    <row r="48365" spans="20:20" ht="18.75" customHeight="1" x14ac:dyDescent="0.35">
      <c r="T48365" s="246">
        <f t="shared" si="793"/>
        <v>0</v>
      </c>
    </row>
    <row r="48366" spans="20:20" ht="18.75" customHeight="1" x14ac:dyDescent="0.35">
      <c r="T48366" s="246">
        <f t="shared" si="793"/>
        <v>0</v>
      </c>
    </row>
    <row r="48367" spans="20:20" ht="18.75" customHeight="1" x14ac:dyDescent="0.35">
      <c r="T48367" s="246">
        <f t="shared" si="793"/>
        <v>0</v>
      </c>
    </row>
    <row r="48368" spans="20:20" ht="18.75" customHeight="1" x14ac:dyDescent="0.35">
      <c r="T48368" s="246">
        <f t="shared" si="793"/>
        <v>0</v>
      </c>
    </row>
    <row r="48369" spans="20:20" ht="18.75" customHeight="1" x14ac:dyDescent="0.35">
      <c r="T48369" s="246">
        <f t="shared" si="793"/>
        <v>0</v>
      </c>
    </row>
    <row r="48370" spans="20:20" ht="18.75" customHeight="1" x14ac:dyDescent="0.35">
      <c r="T48370" s="246">
        <f t="shared" si="793"/>
        <v>0</v>
      </c>
    </row>
    <row r="48371" spans="20:20" ht="18.75" customHeight="1" x14ac:dyDescent="0.35">
      <c r="T48371" s="246">
        <f t="shared" si="793"/>
        <v>0</v>
      </c>
    </row>
    <row r="48372" spans="20:20" ht="18.75" customHeight="1" x14ac:dyDescent="0.35">
      <c r="T48372" s="246">
        <f t="shared" si="793"/>
        <v>0</v>
      </c>
    </row>
    <row r="48373" spans="20:20" ht="18.75" customHeight="1" x14ac:dyDescent="0.35">
      <c r="T48373" s="246">
        <f t="shared" si="793"/>
        <v>0</v>
      </c>
    </row>
    <row r="48374" spans="20:20" ht="18.75" customHeight="1" x14ac:dyDescent="0.35">
      <c r="T48374" s="246">
        <f t="shared" si="793"/>
        <v>0</v>
      </c>
    </row>
    <row r="48375" spans="20:20" ht="18.75" customHeight="1" x14ac:dyDescent="0.35">
      <c r="T48375" s="246">
        <f t="shared" si="793"/>
        <v>0</v>
      </c>
    </row>
    <row r="48376" spans="20:20" ht="18.75" customHeight="1" x14ac:dyDescent="0.35">
      <c r="T48376" s="246">
        <f t="shared" si="793"/>
        <v>0</v>
      </c>
    </row>
    <row r="48377" spans="20:20" ht="18.75" customHeight="1" x14ac:dyDescent="0.35">
      <c r="T48377" s="246">
        <f t="shared" si="793"/>
        <v>0</v>
      </c>
    </row>
    <row r="48378" spans="20:20" ht="18.75" customHeight="1" x14ac:dyDescent="0.35">
      <c r="T48378" s="246">
        <f t="shared" si="793"/>
        <v>0</v>
      </c>
    </row>
    <row r="48379" spans="20:20" ht="18.75" customHeight="1" x14ac:dyDescent="0.35">
      <c r="T48379" s="246">
        <f t="shared" si="793"/>
        <v>0</v>
      </c>
    </row>
    <row r="48380" spans="20:20" ht="18.75" customHeight="1" x14ac:dyDescent="0.35">
      <c r="T48380" s="246">
        <f t="shared" ref="T48380:T48443" si="794">R48380*0.01</f>
        <v>0</v>
      </c>
    </row>
    <row r="48381" spans="20:20" ht="18.75" customHeight="1" x14ac:dyDescent="0.35">
      <c r="T48381" s="246">
        <f t="shared" si="794"/>
        <v>0</v>
      </c>
    </row>
    <row r="48382" spans="20:20" ht="18.75" customHeight="1" x14ac:dyDescent="0.35">
      <c r="T48382" s="246">
        <f t="shared" si="794"/>
        <v>0</v>
      </c>
    </row>
    <row r="48383" spans="20:20" ht="18.75" customHeight="1" x14ac:dyDescent="0.35">
      <c r="T48383" s="246">
        <f t="shared" si="794"/>
        <v>0</v>
      </c>
    </row>
    <row r="48384" spans="20:20" ht="18.75" customHeight="1" x14ac:dyDescent="0.35">
      <c r="T48384" s="246">
        <f t="shared" si="794"/>
        <v>0</v>
      </c>
    </row>
    <row r="48385" spans="20:20" ht="18.75" customHeight="1" x14ac:dyDescent="0.35">
      <c r="T48385" s="246">
        <f t="shared" si="794"/>
        <v>0</v>
      </c>
    </row>
    <row r="48386" spans="20:20" ht="18.75" customHeight="1" x14ac:dyDescent="0.35">
      <c r="T48386" s="246">
        <f t="shared" si="794"/>
        <v>0</v>
      </c>
    </row>
    <row r="48387" spans="20:20" ht="18.75" customHeight="1" x14ac:dyDescent="0.35">
      <c r="T48387" s="246">
        <f t="shared" si="794"/>
        <v>0</v>
      </c>
    </row>
    <row r="48388" spans="20:20" ht="18.75" customHeight="1" x14ac:dyDescent="0.35">
      <c r="T48388" s="246">
        <f t="shared" si="794"/>
        <v>0</v>
      </c>
    </row>
    <row r="48389" spans="20:20" ht="18.75" customHeight="1" x14ac:dyDescent="0.35">
      <c r="T48389" s="246">
        <f t="shared" si="794"/>
        <v>0</v>
      </c>
    </row>
    <row r="48390" spans="20:20" ht="18.75" customHeight="1" x14ac:dyDescent="0.35">
      <c r="T48390" s="246">
        <f t="shared" si="794"/>
        <v>0</v>
      </c>
    </row>
    <row r="48391" spans="20:20" ht="18.75" customHeight="1" x14ac:dyDescent="0.35">
      <c r="T48391" s="246">
        <f t="shared" si="794"/>
        <v>0</v>
      </c>
    </row>
    <row r="48392" spans="20:20" ht="18.75" customHeight="1" x14ac:dyDescent="0.35">
      <c r="T48392" s="246">
        <f t="shared" si="794"/>
        <v>0</v>
      </c>
    </row>
    <row r="48393" spans="20:20" ht="18.75" customHeight="1" x14ac:dyDescent="0.35">
      <c r="T48393" s="246">
        <f t="shared" si="794"/>
        <v>0</v>
      </c>
    </row>
    <row r="48394" spans="20:20" ht="18.75" customHeight="1" x14ac:dyDescent="0.35">
      <c r="T48394" s="246">
        <f t="shared" si="794"/>
        <v>0</v>
      </c>
    </row>
    <row r="48395" spans="20:20" ht="18.75" customHeight="1" x14ac:dyDescent="0.35">
      <c r="T48395" s="246">
        <f t="shared" si="794"/>
        <v>0</v>
      </c>
    </row>
    <row r="48396" spans="20:20" ht="18.75" customHeight="1" x14ac:dyDescent="0.35">
      <c r="T48396" s="246">
        <f t="shared" si="794"/>
        <v>0</v>
      </c>
    </row>
    <row r="48397" spans="20:20" ht="18.75" customHeight="1" x14ac:dyDescent="0.35">
      <c r="T48397" s="246">
        <f t="shared" si="794"/>
        <v>0</v>
      </c>
    </row>
    <row r="48398" spans="20:20" ht="18.75" customHeight="1" x14ac:dyDescent="0.35">
      <c r="T48398" s="246">
        <f t="shared" si="794"/>
        <v>0</v>
      </c>
    </row>
    <row r="48399" spans="20:20" ht="18.75" customHeight="1" x14ac:dyDescent="0.35">
      <c r="T48399" s="246">
        <f t="shared" si="794"/>
        <v>0</v>
      </c>
    </row>
    <row r="48400" spans="20:20" ht="18.75" customHeight="1" x14ac:dyDescent="0.35">
      <c r="T48400" s="246">
        <f t="shared" si="794"/>
        <v>0</v>
      </c>
    </row>
    <row r="48401" spans="20:20" ht="18.75" customHeight="1" x14ac:dyDescent="0.35">
      <c r="T48401" s="246">
        <f t="shared" si="794"/>
        <v>0</v>
      </c>
    </row>
    <row r="48402" spans="20:20" ht="18.75" customHeight="1" x14ac:dyDescent="0.35">
      <c r="T48402" s="246">
        <f t="shared" si="794"/>
        <v>0</v>
      </c>
    </row>
    <row r="48403" spans="20:20" ht="18.75" customHeight="1" x14ac:dyDescent="0.35">
      <c r="T48403" s="246">
        <f t="shared" si="794"/>
        <v>0</v>
      </c>
    </row>
    <row r="48404" spans="20:20" ht="18.75" customHeight="1" x14ac:dyDescent="0.35">
      <c r="T48404" s="246">
        <f t="shared" si="794"/>
        <v>0</v>
      </c>
    </row>
    <row r="48405" spans="20:20" ht="18.75" customHeight="1" x14ac:dyDescent="0.35">
      <c r="T48405" s="246">
        <f t="shared" si="794"/>
        <v>0</v>
      </c>
    </row>
    <row r="48406" spans="20:20" ht="18.75" customHeight="1" x14ac:dyDescent="0.35">
      <c r="T48406" s="246">
        <f t="shared" si="794"/>
        <v>0</v>
      </c>
    </row>
    <row r="48407" spans="20:20" ht="18.75" customHeight="1" x14ac:dyDescent="0.35">
      <c r="T48407" s="246">
        <f t="shared" si="794"/>
        <v>0</v>
      </c>
    </row>
    <row r="48408" spans="20:20" ht="18.75" customHeight="1" x14ac:dyDescent="0.35">
      <c r="T48408" s="246">
        <f t="shared" si="794"/>
        <v>0</v>
      </c>
    </row>
    <row r="48409" spans="20:20" ht="18.75" customHeight="1" x14ac:dyDescent="0.35">
      <c r="T48409" s="246">
        <f t="shared" si="794"/>
        <v>0</v>
      </c>
    </row>
    <row r="48410" spans="20:20" ht="18.75" customHeight="1" x14ac:dyDescent="0.35">
      <c r="T48410" s="246">
        <f t="shared" si="794"/>
        <v>0</v>
      </c>
    </row>
    <row r="48411" spans="20:20" ht="18.75" customHeight="1" x14ac:dyDescent="0.35">
      <c r="T48411" s="246">
        <f t="shared" si="794"/>
        <v>0</v>
      </c>
    </row>
    <row r="48412" spans="20:20" ht="18.75" customHeight="1" x14ac:dyDescent="0.35">
      <c r="T48412" s="246">
        <f t="shared" si="794"/>
        <v>0</v>
      </c>
    </row>
    <row r="48413" spans="20:20" ht="18.75" customHeight="1" x14ac:dyDescent="0.35">
      <c r="T48413" s="246">
        <f t="shared" si="794"/>
        <v>0</v>
      </c>
    </row>
    <row r="48414" spans="20:20" ht="18.75" customHeight="1" x14ac:dyDescent="0.35">
      <c r="T48414" s="246">
        <f t="shared" si="794"/>
        <v>0</v>
      </c>
    </row>
    <row r="48415" spans="20:20" ht="18.75" customHeight="1" x14ac:dyDescent="0.35">
      <c r="T48415" s="246">
        <f t="shared" si="794"/>
        <v>0</v>
      </c>
    </row>
    <row r="48416" spans="20:20" ht="18.75" customHeight="1" x14ac:dyDescent="0.35">
      <c r="T48416" s="246">
        <f t="shared" si="794"/>
        <v>0</v>
      </c>
    </row>
    <row r="48417" spans="20:20" ht="18.75" customHeight="1" x14ac:dyDescent="0.35">
      <c r="T48417" s="246">
        <f t="shared" si="794"/>
        <v>0</v>
      </c>
    </row>
    <row r="48418" spans="20:20" ht="18.75" customHeight="1" x14ac:dyDescent="0.35">
      <c r="T48418" s="246">
        <f t="shared" si="794"/>
        <v>0</v>
      </c>
    </row>
    <row r="48419" spans="20:20" ht="18.75" customHeight="1" x14ac:dyDescent="0.35">
      <c r="T48419" s="246">
        <f t="shared" si="794"/>
        <v>0</v>
      </c>
    </row>
    <row r="48420" spans="20:20" ht="18.75" customHeight="1" x14ac:dyDescent="0.35">
      <c r="T48420" s="246">
        <f t="shared" si="794"/>
        <v>0</v>
      </c>
    </row>
    <row r="48421" spans="20:20" ht="18.75" customHeight="1" x14ac:dyDescent="0.35">
      <c r="T48421" s="246">
        <f t="shared" si="794"/>
        <v>0</v>
      </c>
    </row>
    <row r="48422" spans="20:20" ht="18.75" customHeight="1" x14ac:dyDescent="0.35">
      <c r="T48422" s="246">
        <f t="shared" si="794"/>
        <v>0</v>
      </c>
    </row>
    <row r="48423" spans="20:20" ht="18.75" customHeight="1" x14ac:dyDescent="0.35">
      <c r="T48423" s="246">
        <f t="shared" si="794"/>
        <v>0</v>
      </c>
    </row>
    <row r="48424" spans="20:20" ht="18.75" customHeight="1" x14ac:dyDescent="0.35">
      <c r="T48424" s="246">
        <f t="shared" si="794"/>
        <v>0</v>
      </c>
    </row>
    <row r="48425" spans="20:20" ht="18.75" customHeight="1" x14ac:dyDescent="0.35">
      <c r="T48425" s="246">
        <f t="shared" si="794"/>
        <v>0</v>
      </c>
    </row>
    <row r="48426" spans="20:20" ht="18.75" customHeight="1" x14ac:dyDescent="0.35">
      <c r="T48426" s="246">
        <f t="shared" si="794"/>
        <v>0</v>
      </c>
    </row>
    <row r="48427" spans="20:20" ht="18.75" customHeight="1" x14ac:dyDescent="0.35">
      <c r="T48427" s="246">
        <f t="shared" si="794"/>
        <v>0</v>
      </c>
    </row>
    <row r="48428" spans="20:20" ht="18.75" customHeight="1" x14ac:dyDescent="0.35">
      <c r="T48428" s="246">
        <f t="shared" si="794"/>
        <v>0</v>
      </c>
    </row>
    <row r="48429" spans="20:20" ht="18.75" customHeight="1" x14ac:dyDescent="0.35">
      <c r="T48429" s="246">
        <f t="shared" si="794"/>
        <v>0</v>
      </c>
    </row>
    <row r="48430" spans="20:20" ht="18.75" customHeight="1" x14ac:dyDescent="0.35">
      <c r="T48430" s="246">
        <f t="shared" si="794"/>
        <v>0</v>
      </c>
    </row>
    <row r="48431" spans="20:20" ht="18.75" customHeight="1" x14ac:dyDescent="0.35">
      <c r="T48431" s="246">
        <f t="shared" si="794"/>
        <v>0</v>
      </c>
    </row>
    <row r="48432" spans="20:20" ht="18.75" customHeight="1" x14ac:dyDescent="0.35">
      <c r="T48432" s="246">
        <f t="shared" si="794"/>
        <v>0</v>
      </c>
    </row>
    <row r="48433" spans="20:20" ht="18.75" customHeight="1" x14ac:dyDescent="0.35">
      <c r="T48433" s="246">
        <f t="shared" si="794"/>
        <v>0</v>
      </c>
    </row>
    <row r="48434" spans="20:20" ht="18.75" customHeight="1" x14ac:dyDescent="0.35">
      <c r="T48434" s="246">
        <f t="shared" si="794"/>
        <v>0</v>
      </c>
    </row>
    <row r="48435" spans="20:20" ht="18.75" customHeight="1" x14ac:dyDescent="0.35">
      <c r="T48435" s="246">
        <f t="shared" si="794"/>
        <v>0</v>
      </c>
    </row>
    <row r="48436" spans="20:20" ht="18.75" customHeight="1" x14ac:dyDescent="0.35">
      <c r="T48436" s="246">
        <f t="shared" si="794"/>
        <v>0</v>
      </c>
    </row>
    <row r="48437" spans="20:20" ht="18.75" customHeight="1" x14ac:dyDescent="0.35">
      <c r="T48437" s="246">
        <f t="shared" si="794"/>
        <v>0</v>
      </c>
    </row>
    <row r="48438" spans="20:20" ht="18.75" customHeight="1" x14ac:dyDescent="0.35">
      <c r="T48438" s="246">
        <f t="shared" si="794"/>
        <v>0</v>
      </c>
    </row>
    <row r="48439" spans="20:20" ht="18.75" customHeight="1" x14ac:dyDescent="0.35">
      <c r="T48439" s="246">
        <f t="shared" si="794"/>
        <v>0</v>
      </c>
    </row>
    <row r="48440" spans="20:20" ht="18.75" customHeight="1" x14ac:dyDescent="0.35">
      <c r="T48440" s="246">
        <f t="shared" si="794"/>
        <v>0</v>
      </c>
    </row>
    <row r="48441" spans="20:20" ht="18.75" customHeight="1" x14ac:dyDescent="0.35">
      <c r="T48441" s="246">
        <f t="shared" si="794"/>
        <v>0</v>
      </c>
    </row>
    <row r="48442" spans="20:20" ht="18.75" customHeight="1" x14ac:dyDescent="0.35">
      <c r="T48442" s="246">
        <f t="shared" si="794"/>
        <v>0</v>
      </c>
    </row>
    <row r="48443" spans="20:20" ht="18.75" customHeight="1" x14ac:dyDescent="0.35">
      <c r="T48443" s="246">
        <f t="shared" si="794"/>
        <v>0</v>
      </c>
    </row>
    <row r="48444" spans="20:20" ht="18.75" customHeight="1" x14ac:dyDescent="0.35">
      <c r="T48444" s="246">
        <f t="shared" ref="T48444:T48507" si="795">R48444*0.01</f>
        <v>0</v>
      </c>
    </row>
    <row r="48445" spans="20:20" ht="18.75" customHeight="1" x14ac:dyDescent="0.35">
      <c r="T48445" s="246">
        <f t="shared" si="795"/>
        <v>0</v>
      </c>
    </row>
    <row r="48446" spans="20:20" ht="18.75" customHeight="1" x14ac:dyDescent="0.35">
      <c r="T48446" s="246">
        <f t="shared" si="795"/>
        <v>0</v>
      </c>
    </row>
    <row r="48447" spans="20:20" ht="18.75" customHeight="1" x14ac:dyDescent="0.35">
      <c r="T48447" s="246">
        <f t="shared" si="795"/>
        <v>0</v>
      </c>
    </row>
    <row r="48448" spans="20:20" ht="18.75" customHeight="1" x14ac:dyDescent="0.35">
      <c r="T48448" s="246">
        <f t="shared" si="795"/>
        <v>0</v>
      </c>
    </row>
    <row r="48449" spans="20:20" ht="18.75" customHeight="1" x14ac:dyDescent="0.35">
      <c r="T48449" s="246">
        <f t="shared" si="795"/>
        <v>0</v>
      </c>
    </row>
    <row r="48450" spans="20:20" ht="18.75" customHeight="1" x14ac:dyDescent="0.35">
      <c r="T48450" s="246">
        <f t="shared" si="795"/>
        <v>0</v>
      </c>
    </row>
    <row r="48451" spans="20:20" ht="18.75" customHeight="1" x14ac:dyDescent="0.35">
      <c r="T48451" s="246">
        <f t="shared" si="795"/>
        <v>0</v>
      </c>
    </row>
    <row r="48452" spans="20:20" ht="18.75" customHeight="1" x14ac:dyDescent="0.35">
      <c r="T48452" s="246">
        <f t="shared" si="795"/>
        <v>0</v>
      </c>
    </row>
    <row r="48453" spans="20:20" ht="18.75" customHeight="1" x14ac:dyDescent="0.35">
      <c r="T48453" s="246">
        <f t="shared" si="795"/>
        <v>0</v>
      </c>
    </row>
    <row r="48454" spans="20:20" ht="18.75" customHeight="1" x14ac:dyDescent="0.35">
      <c r="T48454" s="246">
        <f t="shared" si="795"/>
        <v>0</v>
      </c>
    </row>
    <row r="48455" spans="20:20" ht="18.75" customHeight="1" x14ac:dyDescent="0.35">
      <c r="T48455" s="246">
        <f t="shared" si="795"/>
        <v>0</v>
      </c>
    </row>
    <row r="48456" spans="20:20" ht="18.75" customHeight="1" x14ac:dyDescent="0.35">
      <c r="T48456" s="246">
        <f t="shared" si="795"/>
        <v>0</v>
      </c>
    </row>
    <row r="48457" spans="20:20" ht="18.75" customHeight="1" x14ac:dyDescent="0.35">
      <c r="T48457" s="246">
        <f t="shared" si="795"/>
        <v>0</v>
      </c>
    </row>
    <row r="48458" spans="20:20" ht="18.75" customHeight="1" x14ac:dyDescent="0.35">
      <c r="T48458" s="246">
        <f t="shared" si="795"/>
        <v>0</v>
      </c>
    </row>
    <row r="48459" spans="20:20" ht="18.75" customHeight="1" x14ac:dyDescent="0.35">
      <c r="T48459" s="246">
        <f t="shared" si="795"/>
        <v>0</v>
      </c>
    </row>
    <row r="48460" spans="20:20" ht="18.75" customHeight="1" x14ac:dyDescent="0.35">
      <c r="T48460" s="246">
        <f t="shared" si="795"/>
        <v>0</v>
      </c>
    </row>
    <row r="48461" spans="20:20" ht="18.75" customHeight="1" x14ac:dyDescent="0.35">
      <c r="T48461" s="246">
        <f t="shared" si="795"/>
        <v>0</v>
      </c>
    </row>
    <row r="48462" spans="20:20" ht="18.75" customHeight="1" x14ac:dyDescent="0.35">
      <c r="T48462" s="246">
        <f t="shared" si="795"/>
        <v>0</v>
      </c>
    </row>
    <row r="48463" spans="20:20" ht="18.75" customHeight="1" x14ac:dyDescent="0.35">
      <c r="T48463" s="246">
        <f t="shared" si="795"/>
        <v>0</v>
      </c>
    </row>
    <row r="48464" spans="20:20" ht="18.75" customHeight="1" x14ac:dyDescent="0.35">
      <c r="T48464" s="246">
        <f t="shared" si="795"/>
        <v>0</v>
      </c>
    </row>
    <row r="48465" spans="20:20" ht="18.75" customHeight="1" x14ac:dyDescent="0.35">
      <c r="T48465" s="246">
        <f t="shared" si="795"/>
        <v>0</v>
      </c>
    </row>
    <row r="48466" spans="20:20" ht="18.75" customHeight="1" x14ac:dyDescent="0.35">
      <c r="T48466" s="246">
        <f t="shared" si="795"/>
        <v>0</v>
      </c>
    </row>
    <row r="48467" spans="20:20" ht="18.75" customHeight="1" x14ac:dyDescent="0.35">
      <c r="T48467" s="246">
        <f t="shared" si="795"/>
        <v>0</v>
      </c>
    </row>
    <row r="48468" spans="20:20" ht="18.75" customHeight="1" x14ac:dyDescent="0.35">
      <c r="T48468" s="246">
        <f t="shared" si="795"/>
        <v>0</v>
      </c>
    </row>
    <row r="48469" spans="20:20" ht="18.75" customHeight="1" x14ac:dyDescent="0.35">
      <c r="T48469" s="246">
        <f t="shared" si="795"/>
        <v>0</v>
      </c>
    </row>
    <row r="48470" spans="20:20" ht="18.75" customHeight="1" x14ac:dyDescent="0.35">
      <c r="T48470" s="246">
        <f t="shared" si="795"/>
        <v>0</v>
      </c>
    </row>
    <row r="48471" spans="20:20" ht="18.75" customHeight="1" x14ac:dyDescent="0.35">
      <c r="T48471" s="246">
        <f t="shared" si="795"/>
        <v>0</v>
      </c>
    </row>
    <row r="48472" spans="20:20" ht="18.75" customHeight="1" x14ac:dyDescent="0.35">
      <c r="T48472" s="246">
        <f t="shared" si="795"/>
        <v>0</v>
      </c>
    </row>
    <row r="48473" spans="20:20" ht="18.75" customHeight="1" x14ac:dyDescent="0.35">
      <c r="T48473" s="246">
        <f t="shared" si="795"/>
        <v>0</v>
      </c>
    </row>
    <row r="48474" spans="20:20" ht="18.75" customHeight="1" x14ac:dyDescent="0.35">
      <c r="T48474" s="246">
        <f t="shared" si="795"/>
        <v>0</v>
      </c>
    </row>
    <row r="48475" spans="20:20" ht="18.75" customHeight="1" x14ac:dyDescent="0.35">
      <c r="T48475" s="246">
        <f t="shared" si="795"/>
        <v>0</v>
      </c>
    </row>
    <row r="48476" spans="20:20" ht="18.75" customHeight="1" x14ac:dyDescent="0.35">
      <c r="T48476" s="246">
        <f t="shared" si="795"/>
        <v>0</v>
      </c>
    </row>
    <row r="48477" spans="20:20" ht="18.75" customHeight="1" x14ac:dyDescent="0.35">
      <c r="T48477" s="246">
        <f t="shared" si="795"/>
        <v>0</v>
      </c>
    </row>
    <row r="48478" spans="20:20" ht="18.75" customHeight="1" x14ac:dyDescent="0.35">
      <c r="T48478" s="246">
        <f t="shared" si="795"/>
        <v>0</v>
      </c>
    </row>
    <row r="48479" spans="20:20" ht="18.75" customHeight="1" x14ac:dyDescent="0.35">
      <c r="T48479" s="246">
        <f t="shared" si="795"/>
        <v>0</v>
      </c>
    </row>
    <row r="48480" spans="20:20" ht="18.75" customHeight="1" x14ac:dyDescent="0.35">
      <c r="T48480" s="246">
        <f t="shared" si="795"/>
        <v>0</v>
      </c>
    </row>
    <row r="48481" spans="20:20" ht="18.75" customHeight="1" x14ac:dyDescent="0.35">
      <c r="T48481" s="246">
        <f t="shared" si="795"/>
        <v>0</v>
      </c>
    </row>
    <row r="48482" spans="20:20" ht="18.75" customHeight="1" x14ac:dyDescent="0.35">
      <c r="T48482" s="246">
        <f t="shared" si="795"/>
        <v>0</v>
      </c>
    </row>
    <row r="48483" spans="20:20" ht="18.75" customHeight="1" x14ac:dyDescent="0.35">
      <c r="T48483" s="246">
        <f t="shared" si="795"/>
        <v>0</v>
      </c>
    </row>
    <row r="48484" spans="20:20" ht="18.75" customHeight="1" x14ac:dyDescent="0.35">
      <c r="T48484" s="246">
        <f t="shared" si="795"/>
        <v>0</v>
      </c>
    </row>
    <row r="48485" spans="20:20" ht="18.75" customHeight="1" x14ac:dyDescent="0.35">
      <c r="T48485" s="246">
        <f t="shared" si="795"/>
        <v>0</v>
      </c>
    </row>
    <row r="48486" spans="20:20" ht="18.75" customHeight="1" x14ac:dyDescent="0.35">
      <c r="T48486" s="246">
        <f t="shared" si="795"/>
        <v>0</v>
      </c>
    </row>
    <row r="48487" spans="20:20" ht="18.75" customHeight="1" x14ac:dyDescent="0.35">
      <c r="T48487" s="246">
        <f t="shared" si="795"/>
        <v>0</v>
      </c>
    </row>
    <row r="48488" spans="20:20" ht="18.75" customHeight="1" x14ac:dyDescent="0.35">
      <c r="T48488" s="246">
        <f t="shared" si="795"/>
        <v>0</v>
      </c>
    </row>
    <row r="48489" spans="20:20" ht="18.75" customHeight="1" x14ac:dyDescent="0.35">
      <c r="T48489" s="246">
        <f t="shared" si="795"/>
        <v>0</v>
      </c>
    </row>
    <row r="48490" spans="20:20" ht="18.75" customHeight="1" x14ac:dyDescent="0.35">
      <c r="T48490" s="246">
        <f t="shared" si="795"/>
        <v>0</v>
      </c>
    </row>
    <row r="48491" spans="20:20" ht="18.75" customHeight="1" x14ac:dyDescent="0.35">
      <c r="T48491" s="246">
        <f t="shared" si="795"/>
        <v>0</v>
      </c>
    </row>
    <row r="48492" spans="20:20" ht="18.75" customHeight="1" x14ac:dyDescent="0.35">
      <c r="T48492" s="246">
        <f t="shared" si="795"/>
        <v>0</v>
      </c>
    </row>
    <row r="48493" spans="20:20" ht="18.75" customHeight="1" x14ac:dyDescent="0.35">
      <c r="T48493" s="246">
        <f t="shared" si="795"/>
        <v>0</v>
      </c>
    </row>
    <row r="48494" spans="20:20" ht="18.75" customHeight="1" x14ac:dyDescent="0.35">
      <c r="T48494" s="246">
        <f t="shared" si="795"/>
        <v>0</v>
      </c>
    </row>
    <row r="48495" spans="20:20" ht="18.75" customHeight="1" x14ac:dyDescent="0.35">
      <c r="T48495" s="246">
        <f t="shared" si="795"/>
        <v>0</v>
      </c>
    </row>
    <row r="48496" spans="20:20" ht="18.75" customHeight="1" x14ac:dyDescent="0.35">
      <c r="T48496" s="246">
        <f t="shared" si="795"/>
        <v>0</v>
      </c>
    </row>
    <row r="48497" spans="20:20" ht="18.75" customHeight="1" x14ac:dyDescent="0.35">
      <c r="T48497" s="246">
        <f t="shared" si="795"/>
        <v>0</v>
      </c>
    </row>
    <row r="48498" spans="20:20" ht="18.75" customHeight="1" x14ac:dyDescent="0.35">
      <c r="T48498" s="246">
        <f t="shared" si="795"/>
        <v>0</v>
      </c>
    </row>
    <row r="48499" spans="20:20" ht="18.75" customHeight="1" x14ac:dyDescent="0.35">
      <c r="T48499" s="246">
        <f t="shared" si="795"/>
        <v>0</v>
      </c>
    </row>
    <row r="48500" spans="20:20" ht="18.75" customHeight="1" x14ac:dyDescent="0.35">
      <c r="T48500" s="246">
        <f t="shared" si="795"/>
        <v>0</v>
      </c>
    </row>
    <row r="48501" spans="20:20" ht="18.75" customHeight="1" x14ac:dyDescent="0.35">
      <c r="T48501" s="246">
        <f t="shared" si="795"/>
        <v>0</v>
      </c>
    </row>
    <row r="48502" spans="20:20" ht="18.75" customHeight="1" x14ac:dyDescent="0.35">
      <c r="T48502" s="246">
        <f t="shared" si="795"/>
        <v>0</v>
      </c>
    </row>
    <row r="48503" spans="20:20" ht="18.75" customHeight="1" x14ac:dyDescent="0.35">
      <c r="T48503" s="246">
        <f t="shared" si="795"/>
        <v>0</v>
      </c>
    </row>
    <row r="48504" spans="20:20" ht="18.75" customHeight="1" x14ac:dyDescent="0.35">
      <c r="T48504" s="246">
        <f t="shared" si="795"/>
        <v>0</v>
      </c>
    </row>
    <row r="48505" spans="20:20" ht="18.75" customHeight="1" x14ac:dyDescent="0.35">
      <c r="T48505" s="246">
        <f t="shared" si="795"/>
        <v>0</v>
      </c>
    </row>
    <row r="48506" spans="20:20" ht="18.75" customHeight="1" x14ac:dyDescent="0.35">
      <c r="T48506" s="246">
        <f t="shared" si="795"/>
        <v>0</v>
      </c>
    </row>
    <row r="48507" spans="20:20" ht="18.75" customHeight="1" x14ac:dyDescent="0.35">
      <c r="T48507" s="246">
        <f t="shared" si="795"/>
        <v>0</v>
      </c>
    </row>
    <row r="48508" spans="20:20" ht="18.75" customHeight="1" x14ac:dyDescent="0.35">
      <c r="T48508" s="246">
        <f t="shared" ref="T48508:T48571" si="796">R48508*0.01</f>
        <v>0</v>
      </c>
    </row>
    <row r="48509" spans="20:20" ht="18.75" customHeight="1" x14ac:dyDescent="0.35">
      <c r="T48509" s="246">
        <f t="shared" si="796"/>
        <v>0</v>
      </c>
    </row>
    <row r="48510" spans="20:20" ht="18.75" customHeight="1" x14ac:dyDescent="0.35">
      <c r="T48510" s="246">
        <f t="shared" si="796"/>
        <v>0</v>
      </c>
    </row>
    <row r="48511" spans="20:20" ht="18.75" customHeight="1" x14ac:dyDescent="0.35">
      <c r="T48511" s="246">
        <f t="shared" si="796"/>
        <v>0</v>
      </c>
    </row>
    <row r="48512" spans="20:20" ht="18.75" customHeight="1" x14ac:dyDescent="0.35">
      <c r="T48512" s="246">
        <f t="shared" si="796"/>
        <v>0</v>
      </c>
    </row>
    <row r="48513" spans="20:20" ht="18.75" customHeight="1" x14ac:dyDescent="0.35">
      <c r="T48513" s="246">
        <f t="shared" si="796"/>
        <v>0</v>
      </c>
    </row>
    <row r="48514" spans="20:20" ht="18.75" customHeight="1" x14ac:dyDescent="0.35">
      <c r="T48514" s="246">
        <f t="shared" si="796"/>
        <v>0</v>
      </c>
    </row>
    <row r="48515" spans="20:20" ht="18.75" customHeight="1" x14ac:dyDescent="0.35">
      <c r="T48515" s="246">
        <f t="shared" si="796"/>
        <v>0</v>
      </c>
    </row>
    <row r="48516" spans="20:20" ht="18.75" customHeight="1" x14ac:dyDescent="0.35">
      <c r="T48516" s="246">
        <f t="shared" si="796"/>
        <v>0</v>
      </c>
    </row>
    <row r="48517" spans="20:20" ht="18.75" customHeight="1" x14ac:dyDescent="0.35">
      <c r="T48517" s="246">
        <f t="shared" si="796"/>
        <v>0</v>
      </c>
    </row>
    <row r="48518" spans="20:20" ht="18.75" customHeight="1" x14ac:dyDescent="0.35">
      <c r="T48518" s="246">
        <f t="shared" si="796"/>
        <v>0</v>
      </c>
    </row>
    <row r="48519" spans="20:20" ht="18.75" customHeight="1" x14ac:dyDescent="0.35">
      <c r="T48519" s="246">
        <f t="shared" si="796"/>
        <v>0</v>
      </c>
    </row>
    <row r="48520" spans="20:20" ht="18.75" customHeight="1" x14ac:dyDescent="0.35">
      <c r="T48520" s="246">
        <f t="shared" si="796"/>
        <v>0</v>
      </c>
    </row>
    <row r="48521" spans="20:20" ht="18.75" customHeight="1" x14ac:dyDescent="0.35">
      <c r="T48521" s="246">
        <f t="shared" si="796"/>
        <v>0</v>
      </c>
    </row>
    <row r="48522" spans="20:20" ht="18.75" customHeight="1" x14ac:dyDescent="0.35">
      <c r="T48522" s="246">
        <f t="shared" si="796"/>
        <v>0</v>
      </c>
    </row>
    <row r="48523" spans="20:20" ht="18.75" customHeight="1" x14ac:dyDescent="0.35">
      <c r="T48523" s="246">
        <f t="shared" si="796"/>
        <v>0</v>
      </c>
    </row>
    <row r="48524" spans="20:20" ht="18.75" customHeight="1" x14ac:dyDescent="0.35">
      <c r="T48524" s="246">
        <f t="shared" si="796"/>
        <v>0</v>
      </c>
    </row>
    <row r="48525" spans="20:20" ht="18.75" customHeight="1" x14ac:dyDescent="0.35">
      <c r="T48525" s="246">
        <f t="shared" si="796"/>
        <v>0</v>
      </c>
    </row>
    <row r="48526" spans="20:20" ht="18.75" customHeight="1" x14ac:dyDescent="0.35">
      <c r="T48526" s="246">
        <f t="shared" si="796"/>
        <v>0</v>
      </c>
    </row>
    <row r="48527" spans="20:20" ht="18.75" customHeight="1" x14ac:dyDescent="0.35">
      <c r="T48527" s="246">
        <f t="shared" si="796"/>
        <v>0</v>
      </c>
    </row>
    <row r="48528" spans="20:20" ht="18.75" customHeight="1" x14ac:dyDescent="0.35">
      <c r="T48528" s="246">
        <f t="shared" si="796"/>
        <v>0</v>
      </c>
    </row>
    <row r="48529" spans="20:20" ht="18.75" customHeight="1" x14ac:dyDescent="0.35">
      <c r="T48529" s="246">
        <f t="shared" si="796"/>
        <v>0</v>
      </c>
    </row>
    <row r="48530" spans="20:20" ht="18.75" customHeight="1" x14ac:dyDescent="0.35">
      <c r="T48530" s="246">
        <f t="shared" si="796"/>
        <v>0</v>
      </c>
    </row>
    <row r="48531" spans="20:20" ht="18.75" customHeight="1" x14ac:dyDescent="0.35">
      <c r="T48531" s="246">
        <f t="shared" si="796"/>
        <v>0</v>
      </c>
    </row>
    <row r="48532" spans="20:20" ht="18.75" customHeight="1" x14ac:dyDescent="0.35">
      <c r="T48532" s="246">
        <f t="shared" si="796"/>
        <v>0</v>
      </c>
    </row>
    <row r="48533" spans="20:20" ht="18.75" customHeight="1" x14ac:dyDescent="0.35">
      <c r="T48533" s="246">
        <f t="shared" si="796"/>
        <v>0</v>
      </c>
    </row>
    <row r="48534" spans="20:20" ht="18.75" customHeight="1" x14ac:dyDescent="0.35">
      <c r="T48534" s="246">
        <f t="shared" si="796"/>
        <v>0</v>
      </c>
    </row>
    <row r="48535" spans="20:20" ht="18.75" customHeight="1" x14ac:dyDescent="0.35">
      <c r="T48535" s="246">
        <f t="shared" si="796"/>
        <v>0</v>
      </c>
    </row>
    <row r="48536" spans="20:20" ht="18.75" customHeight="1" x14ac:dyDescent="0.35">
      <c r="T48536" s="246">
        <f t="shared" si="796"/>
        <v>0</v>
      </c>
    </row>
    <row r="48537" spans="20:20" ht="18.75" customHeight="1" x14ac:dyDescent="0.35">
      <c r="T48537" s="246">
        <f t="shared" si="796"/>
        <v>0</v>
      </c>
    </row>
    <row r="48538" spans="20:20" ht="18.75" customHeight="1" x14ac:dyDescent="0.35">
      <c r="T48538" s="246">
        <f t="shared" si="796"/>
        <v>0</v>
      </c>
    </row>
    <row r="48539" spans="20:20" ht="18.75" customHeight="1" x14ac:dyDescent="0.35">
      <c r="T48539" s="246">
        <f t="shared" si="796"/>
        <v>0</v>
      </c>
    </row>
    <row r="48540" spans="20:20" ht="18.75" customHeight="1" x14ac:dyDescent="0.35">
      <c r="T48540" s="246">
        <f t="shared" si="796"/>
        <v>0</v>
      </c>
    </row>
    <row r="48541" spans="20:20" ht="18.75" customHeight="1" x14ac:dyDescent="0.35">
      <c r="T48541" s="246">
        <f t="shared" si="796"/>
        <v>0</v>
      </c>
    </row>
    <row r="48542" spans="20:20" ht="18.75" customHeight="1" x14ac:dyDescent="0.35">
      <c r="T48542" s="246">
        <f t="shared" si="796"/>
        <v>0</v>
      </c>
    </row>
    <row r="48543" spans="20:20" ht="18.75" customHeight="1" x14ac:dyDescent="0.35">
      <c r="T48543" s="246">
        <f t="shared" si="796"/>
        <v>0</v>
      </c>
    </row>
    <row r="48544" spans="20:20" ht="18.75" customHeight="1" x14ac:dyDescent="0.35">
      <c r="T48544" s="246">
        <f t="shared" si="796"/>
        <v>0</v>
      </c>
    </row>
    <row r="48545" spans="20:20" ht="18.75" customHeight="1" x14ac:dyDescent="0.35">
      <c r="T48545" s="246">
        <f t="shared" si="796"/>
        <v>0</v>
      </c>
    </row>
    <row r="48546" spans="20:20" ht="18.75" customHeight="1" x14ac:dyDescent="0.35">
      <c r="T48546" s="246">
        <f t="shared" si="796"/>
        <v>0</v>
      </c>
    </row>
    <row r="48547" spans="20:20" ht="18.75" customHeight="1" x14ac:dyDescent="0.35">
      <c r="T48547" s="246">
        <f t="shared" si="796"/>
        <v>0</v>
      </c>
    </row>
    <row r="48548" spans="20:20" ht="18.75" customHeight="1" x14ac:dyDescent="0.35">
      <c r="T48548" s="246">
        <f t="shared" si="796"/>
        <v>0</v>
      </c>
    </row>
    <row r="48549" spans="20:20" ht="18.75" customHeight="1" x14ac:dyDescent="0.35">
      <c r="T48549" s="246">
        <f t="shared" si="796"/>
        <v>0</v>
      </c>
    </row>
    <row r="48550" spans="20:20" ht="18.75" customHeight="1" x14ac:dyDescent="0.35">
      <c r="T48550" s="246">
        <f t="shared" si="796"/>
        <v>0</v>
      </c>
    </row>
    <row r="48551" spans="20:20" ht="18.75" customHeight="1" x14ac:dyDescent="0.35">
      <c r="T48551" s="246">
        <f t="shared" si="796"/>
        <v>0</v>
      </c>
    </row>
    <row r="48552" spans="20:20" ht="18.75" customHeight="1" x14ac:dyDescent="0.35">
      <c r="T48552" s="246">
        <f t="shared" si="796"/>
        <v>0</v>
      </c>
    </row>
    <row r="48553" spans="20:20" ht="18.75" customHeight="1" x14ac:dyDescent="0.35">
      <c r="T48553" s="246">
        <f t="shared" si="796"/>
        <v>0</v>
      </c>
    </row>
    <row r="48554" spans="20:20" ht="18.75" customHeight="1" x14ac:dyDescent="0.35">
      <c r="T48554" s="246">
        <f t="shared" si="796"/>
        <v>0</v>
      </c>
    </row>
    <row r="48555" spans="20:20" ht="18.75" customHeight="1" x14ac:dyDescent="0.35">
      <c r="T48555" s="246">
        <f t="shared" si="796"/>
        <v>0</v>
      </c>
    </row>
    <row r="48556" spans="20:20" ht="18.75" customHeight="1" x14ac:dyDescent="0.35">
      <c r="T48556" s="246">
        <f t="shared" si="796"/>
        <v>0</v>
      </c>
    </row>
    <row r="48557" spans="20:20" ht="18.75" customHeight="1" x14ac:dyDescent="0.35">
      <c r="T48557" s="246">
        <f t="shared" si="796"/>
        <v>0</v>
      </c>
    </row>
    <row r="48558" spans="20:20" ht="18.75" customHeight="1" x14ac:dyDescent="0.35">
      <c r="T48558" s="246">
        <f t="shared" si="796"/>
        <v>0</v>
      </c>
    </row>
    <row r="48559" spans="20:20" ht="18.75" customHeight="1" x14ac:dyDescent="0.35">
      <c r="T48559" s="246">
        <f t="shared" si="796"/>
        <v>0</v>
      </c>
    </row>
    <row r="48560" spans="20:20" ht="18.75" customHeight="1" x14ac:dyDescent="0.35">
      <c r="T48560" s="246">
        <f t="shared" si="796"/>
        <v>0</v>
      </c>
    </row>
    <row r="48561" spans="20:20" ht="18.75" customHeight="1" x14ac:dyDescent="0.35">
      <c r="T48561" s="246">
        <f t="shared" si="796"/>
        <v>0</v>
      </c>
    </row>
    <row r="48562" spans="20:20" ht="18.75" customHeight="1" x14ac:dyDescent="0.35">
      <c r="T48562" s="246">
        <f t="shared" si="796"/>
        <v>0</v>
      </c>
    </row>
    <row r="48563" spans="20:20" ht="18.75" customHeight="1" x14ac:dyDescent="0.35">
      <c r="T48563" s="246">
        <f t="shared" si="796"/>
        <v>0</v>
      </c>
    </row>
    <row r="48564" spans="20:20" ht="18.75" customHeight="1" x14ac:dyDescent="0.35">
      <c r="T48564" s="246">
        <f t="shared" si="796"/>
        <v>0</v>
      </c>
    </row>
    <row r="48565" spans="20:20" ht="18.75" customHeight="1" x14ac:dyDescent="0.35">
      <c r="T48565" s="246">
        <f t="shared" si="796"/>
        <v>0</v>
      </c>
    </row>
    <row r="48566" spans="20:20" ht="18.75" customHeight="1" x14ac:dyDescent="0.35">
      <c r="T48566" s="246">
        <f t="shared" si="796"/>
        <v>0</v>
      </c>
    </row>
    <row r="48567" spans="20:20" ht="18.75" customHeight="1" x14ac:dyDescent="0.35">
      <c r="T48567" s="246">
        <f t="shared" si="796"/>
        <v>0</v>
      </c>
    </row>
    <row r="48568" spans="20:20" ht="18.75" customHeight="1" x14ac:dyDescent="0.35">
      <c r="T48568" s="246">
        <f t="shared" si="796"/>
        <v>0</v>
      </c>
    </row>
    <row r="48569" spans="20:20" ht="18.75" customHeight="1" x14ac:dyDescent="0.35">
      <c r="T48569" s="246">
        <f t="shared" si="796"/>
        <v>0</v>
      </c>
    </row>
    <row r="48570" spans="20:20" ht="18.75" customHeight="1" x14ac:dyDescent="0.35">
      <c r="T48570" s="246">
        <f t="shared" si="796"/>
        <v>0</v>
      </c>
    </row>
    <row r="48571" spans="20:20" ht="18.75" customHeight="1" x14ac:dyDescent="0.35">
      <c r="T48571" s="246">
        <f t="shared" si="796"/>
        <v>0</v>
      </c>
    </row>
    <row r="48572" spans="20:20" ht="18.75" customHeight="1" x14ac:dyDescent="0.35">
      <c r="T48572" s="246">
        <f t="shared" ref="T48572:T48635" si="797">R48572*0.01</f>
        <v>0</v>
      </c>
    </row>
    <row r="48573" spans="20:20" ht="18.75" customHeight="1" x14ac:dyDescent="0.35">
      <c r="T48573" s="246">
        <f t="shared" si="797"/>
        <v>0</v>
      </c>
    </row>
    <row r="48574" spans="20:20" ht="18.75" customHeight="1" x14ac:dyDescent="0.35">
      <c r="T48574" s="246">
        <f t="shared" si="797"/>
        <v>0</v>
      </c>
    </row>
    <row r="48575" spans="20:20" ht="18.75" customHeight="1" x14ac:dyDescent="0.35">
      <c r="T48575" s="246">
        <f t="shared" si="797"/>
        <v>0</v>
      </c>
    </row>
    <row r="48576" spans="20:20" ht="18.75" customHeight="1" x14ac:dyDescent="0.35">
      <c r="T48576" s="246">
        <f t="shared" si="797"/>
        <v>0</v>
      </c>
    </row>
    <row r="48577" spans="20:20" ht="18.75" customHeight="1" x14ac:dyDescent="0.35">
      <c r="T48577" s="246">
        <f t="shared" si="797"/>
        <v>0</v>
      </c>
    </row>
    <row r="48578" spans="20:20" ht="18.75" customHeight="1" x14ac:dyDescent="0.35">
      <c r="T48578" s="246">
        <f t="shared" si="797"/>
        <v>0</v>
      </c>
    </row>
    <row r="48579" spans="20:20" ht="18.75" customHeight="1" x14ac:dyDescent="0.35">
      <c r="T48579" s="246">
        <f t="shared" si="797"/>
        <v>0</v>
      </c>
    </row>
    <row r="48580" spans="20:20" ht="18.75" customHeight="1" x14ac:dyDescent="0.35">
      <c r="T48580" s="246">
        <f t="shared" si="797"/>
        <v>0</v>
      </c>
    </row>
    <row r="48581" spans="20:20" ht="18.75" customHeight="1" x14ac:dyDescent="0.35">
      <c r="T48581" s="246">
        <f t="shared" si="797"/>
        <v>0</v>
      </c>
    </row>
    <row r="48582" spans="20:20" ht="18.75" customHeight="1" x14ac:dyDescent="0.35">
      <c r="T48582" s="246">
        <f t="shared" si="797"/>
        <v>0</v>
      </c>
    </row>
    <row r="48583" spans="20:20" ht="18.75" customHeight="1" x14ac:dyDescent="0.35">
      <c r="T48583" s="246">
        <f t="shared" si="797"/>
        <v>0</v>
      </c>
    </row>
    <row r="48584" spans="20:20" ht="18.75" customHeight="1" x14ac:dyDescent="0.35">
      <c r="T48584" s="246">
        <f t="shared" si="797"/>
        <v>0</v>
      </c>
    </row>
    <row r="48585" spans="20:20" ht="18.75" customHeight="1" x14ac:dyDescent="0.35">
      <c r="T48585" s="246">
        <f t="shared" si="797"/>
        <v>0</v>
      </c>
    </row>
    <row r="48586" spans="20:20" ht="18.75" customHeight="1" x14ac:dyDescent="0.35">
      <c r="T48586" s="246">
        <f t="shared" si="797"/>
        <v>0</v>
      </c>
    </row>
    <row r="48587" spans="20:20" ht="18.75" customHeight="1" x14ac:dyDescent="0.35">
      <c r="T48587" s="246">
        <f t="shared" si="797"/>
        <v>0</v>
      </c>
    </row>
    <row r="48588" spans="20:20" ht="18.75" customHeight="1" x14ac:dyDescent="0.35">
      <c r="T48588" s="246">
        <f t="shared" si="797"/>
        <v>0</v>
      </c>
    </row>
    <row r="48589" spans="20:20" ht="18.75" customHeight="1" x14ac:dyDescent="0.35">
      <c r="T48589" s="246">
        <f t="shared" si="797"/>
        <v>0</v>
      </c>
    </row>
    <row r="48590" spans="20:20" ht="18.75" customHeight="1" x14ac:dyDescent="0.35">
      <c r="T48590" s="246">
        <f t="shared" si="797"/>
        <v>0</v>
      </c>
    </row>
    <row r="48591" spans="20:20" ht="18.75" customHeight="1" x14ac:dyDescent="0.35">
      <c r="T48591" s="246">
        <f t="shared" si="797"/>
        <v>0</v>
      </c>
    </row>
    <row r="48592" spans="20:20" ht="18.75" customHeight="1" x14ac:dyDescent="0.35">
      <c r="T48592" s="246">
        <f t="shared" si="797"/>
        <v>0</v>
      </c>
    </row>
    <row r="48593" spans="20:20" ht="18.75" customHeight="1" x14ac:dyDescent="0.35">
      <c r="T48593" s="246">
        <f t="shared" si="797"/>
        <v>0</v>
      </c>
    </row>
    <row r="48594" spans="20:20" ht="18.75" customHeight="1" x14ac:dyDescent="0.35">
      <c r="T48594" s="246">
        <f t="shared" si="797"/>
        <v>0</v>
      </c>
    </row>
    <row r="48595" spans="20:20" ht="18.75" customHeight="1" x14ac:dyDescent="0.35">
      <c r="T48595" s="246">
        <f t="shared" si="797"/>
        <v>0</v>
      </c>
    </row>
    <row r="48596" spans="20:20" ht="18.75" customHeight="1" x14ac:dyDescent="0.35">
      <c r="T48596" s="246">
        <f t="shared" si="797"/>
        <v>0</v>
      </c>
    </row>
    <row r="48597" spans="20:20" ht="18.75" customHeight="1" x14ac:dyDescent="0.35">
      <c r="T48597" s="246">
        <f t="shared" si="797"/>
        <v>0</v>
      </c>
    </row>
    <row r="48598" spans="20:20" ht="18.75" customHeight="1" x14ac:dyDescent="0.35">
      <c r="T48598" s="246">
        <f t="shared" si="797"/>
        <v>0</v>
      </c>
    </row>
    <row r="48599" spans="20:20" ht="18.75" customHeight="1" x14ac:dyDescent="0.35">
      <c r="T48599" s="246">
        <f t="shared" si="797"/>
        <v>0</v>
      </c>
    </row>
    <row r="48600" spans="20:20" ht="18.75" customHeight="1" x14ac:dyDescent="0.35">
      <c r="T48600" s="246">
        <f t="shared" si="797"/>
        <v>0</v>
      </c>
    </row>
    <row r="48601" spans="20:20" ht="18.75" customHeight="1" x14ac:dyDescent="0.35">
      <c r="T48601" s="246">
        <f t="shared" si="797"/>
        <v>0</v>
      </c>
    </row>
    <row r="48602" spans="20:20" ht="18.75" customHeight="1" x14ac:dyDescent="0.35">
      <c r="T48602" s="246">
        <f t="shared" si="797"/>
        <v>0</v>
      </c>
    </row>
    <row r="48603" spans="20:20" ht="18.75" customHeight="1" x14ac:dyDescent="0.35">
      <c r="T48603" s="246">
        <f t="shared" si="797"/>
        <v>0</v>
      </c>
    </row>
    <row r="48604" spans="20:20" ht="18.75" customHeight="1" x14ac:dyDescent="0.35">
      <c r="T48604" s="246">
        <f t="shared" si="797"/>
        <v>0</v>
      </c>
    </row>
    <row r="48605" spans="20:20" ht="18.75" customHeight="1" x14ac:dyDescent="0.35">
      <c r="T48605" s="246">
        <f t="shared" si="797"/>
        <v>0</v>
      </c>
    </row>
    <row r="48606" spans="20:20" ht="18.75" customHeight="1" x14ac:dyDescent="0.35">
      <c r="T48606" s="246">
        <f t="shared" si="797"/>
        <v>0</v>
      </c>
    </row>
    <row r="48607" spans="20:20" ht="18.75" customHeight="1" x14ac:dyDescent="0.35">
      <c r="T48607" s="246">
        <f t="shared" si="797"/>
        <v>0</v>
      </c>
    </row>
    <row r="48608" spans="20:20" ht="18.75" customHeight="1" x14ac:dyDescent="0.35">
      <c r="T48608" s="246">
        <f t="shared" si="797"/>
        <v>0</v>
      </c>
    </row>
    <row r="48609" spans="20:20" ht="18.75" customHeight="1" x14ac:dyDescent="0.35">
      <c r="T48609" s="246">
        <f t="shared" si="797"/>
        <v>0</v>
      </c>
    </row>
    <row r="48610" spans="20:20" ht="18.75" customHeight="1" x14ac:dyDescent="0.35">
      <c r="T48610" s="246">
        <f t="shared" si="797"/>
        <v>0</v>
      </c>
    </row>
    <row r="48611" spans="20:20" ht="18.75" customHeight="1" x14ac:dyDescent="0.35">
      <c r="T48611" s="246">
        <f t="shared" si="797"/>
        <v>0</v>
      </c>
    </row>
    <row r="48612" spans="20:20" ht="18.75" customHeight="1" x14ac:dyDescent="0.35">
      <c r="T48612" s="246">
        <f t="shared" si="797"/>
        <v>0</v>
      </c>
    </row>
    <row r="48613" spans="20:20" ht="18.75" customHeight="1" x14ac:dyDescent="0.35">
      <c r="T48613" s="246">
        <f t="shared" si="797"/>
        <v>0</v>
      </c>
    </row>
    <row r="48614" spans="20:20" ht="18.75" customHeight="1" x14ac:dyDescent="0.35">
      <c r="T48614" s="246">
        <f t="shared" si="797"/>
        <v>0</v>
      </c>
    </row>
    <row r="48615" spans="20:20" ht="18.75" customHeight="1" x14ac:dyDescent="0.35">
      <c r="T48615" s="246">
        <f t="shared" si="797"/>
        <v>0</v>
      </c>
    </row>
    <row r="48616" spans="20:20" ht="18.75" customHeight="1" x14ac:dyDescent="0.35">
      <c r="T48616" s="246">
        <f t="shared" si="797"/>
        <v>0</v>
      </c>
    </row>
    <row r="48617" spans="20:20" ht="18.75" customHeight="1" x14ac:dyDescent="0.35">
      <c r="T48617" s="246">
        <f t="shared" si="797"/>
        <v>0</v>
      </c>
    </row>
    <row r="48618" spans="20:20" ht="18.75" customHeight="1" x14ac:dyDescent="0.35">
      <c r="T48618" s="246">
        <f t="shared" si="797"/>
        <v>0</v>
      </c>
    </row>
    <row r="48619" spans="20:20" ht="18.75" customHeight="1" x14ac:dyDescent="0.35">
      <c r="T48619" s="246">
        <f t="shared" si="797"/>
        <v>0</v>
      </c>
    </row>
    <row r="48620" spans="20:20" ht="18.75" customHeight="1" x14ac:dyDescent="0.35">
      <c r="T48620" s="246">
        <f t="shared" si="797"/>
        <v>0</v>
      </c>
    </row>
    <row r="48621" spans="20:20" ht="18.75" customHeight="1" x14ac:dyDescent="0.35">
      <c r="T48621" s="246">
        <f t="shared" si="797"/>
        <v>0</v>
      </c>
    </row>
    <row r="48622" spans="20:20" ht="18.75" customHeight="1" x14ac:dyDescent="0.35">
      <c r="T48622" s="246">
        <f t="shared" si="797"/>
        <v>0</v>
      </c>
    </row>
    <row r="48623" spans="20:20" ht="18.75" customHeight="1" x14ac:dyDescent="0.35">
      <c r="T48623" s="246">
        <f t="shared" si="797"/>
        <v>0</v>
      </c>
    </row>
    <row r="48624" spans="20:20" ht="18.75" customHeight="1" x14ac:dyDescent="0.35">
      <c r="T48624" s="246">
        <f t="shared" si="797"/>
        <v>0</v>
      </c>
    </row>
    <row r="48625" spans="20:20" ht="18.75" customHeight="1" x14ac:dyDescent="0.35">
      <c r="T48625" s="246">
        <f t="shared" si="797"/>
        <v>0</v>
      </c>
    </row>
    <row r="48626" spans="20:20" ht="18.75" customHeight="1" x14ac:dyDescent="0.35">
      <c r="T48626" s="246">
        <f t="shared" si="797"/>
        <v>0</v>
      </c>
    </row>
    <row r="48627" spans="20:20" ht="18.75" customHeight="1" x14ac:dyDescent="0.35">
      <c r="T48627" s="246">
        <f t="shared" si="797"/>
        <v>0</v>
      </c>
    </row>
    <row r="48628" spans="20:20" ht="18.75" customHeight="1" x14ac:dyDescent="0.35">
      <c r="T48628" s="246">
        <f t="shared" si="797"/>
        <v>0</v>
      </c>
    </row>
    <row r="48629" spans="20:20" ht="18.75" customHeight="1" x14ac:dyDescent="0.35">
      <c r="T48629" s="246">
        <f t="shared" si="797"/>
        <v>0</v>
      </c>
    </row>
    <row r="48630" spans="20:20" ht="18.75" customHeight="1" x14ac:dyDescent="0.35">
      <c r="T48630" s="246">
        <f t="shared" si="797"/>
        <v>0</v>
      </c>
    </row>
    <row r="48631" spans="20:20" ht="18.75" customHeight="1" x14ac:dyDescent="0.35">
      <c r="T48631" s="246">
        <f t="shared" si="797"/>
        <v>0</v>
      </c>
    </row>
    <row r="48632" spans="20:20" ht="18.75" customHeight="1" x14ac:dyDescent="0.35">
      <c r="T48632" s="246">
        <f t="shared" si="797"/>
        <v>0</v>
      </c>
    </row>
    <row r="48633" spans="20:20" ht="18.75" customHeight="1" x14ac:dyDescent="0.35">
      <c r="T48633" s="246">
        <f t="shared" si="797"/>
        <v>0</v>
      </c>
    </row>
    <row r="48634" spans="20:20" ht="18.75" customHeight="1" x14ac:dyDescent="0.35">
      <c r="T48634" s="246">
        <f t="shared" si="797"/>
        <v>0</v>
      </c>
    </row>
    <row r="48635" spans="20:20" ht="18.75" customHeight="1" x14ac:dyDescent="0.35">
      <c r="T48635" s="246">
        <f t="shared" si="797"/>
        <v>0</v>
      </c>
    </row>
    <row r="48636" spans="20:20" ht="18.75" customHeight="1" x14ac:dyDescent="0.35">
      <c r="T48636" s="246">
        <f t="shared" ref="T48636:T48699" si="798">R48636*0.01</f>
        <v>0</v>
      </c>
    </row>
    <row r="48637" spans="20:20" ht="18.75" customHeight="1" x14ac:dyDescent="0.35">
      <c r="T48637" s="246">
        <f t="shared" si="798"/>
        <v>0</v>
      </c>
    </row>
    <row r="48638" spans="20:20" ht="18.75" customHeight="1" x14ac:dyDescent="0.35">
      <c r="T48638" s="246">
        <f t="shared" si="798"/>
        <v>0</v>
      </c>
    </row>
    <row r="48639" spans="20:20" ht="18.75" customHeight="1" x14ac:dyDescent="0.35">
      <c r="T48639" s="246">
        <f t="shared" si="798"/>
        <v>0</v>
      </c>
    </row>
    <row r="48640" spans="20:20" ht="18.75" customHeight="1" x14ac:dyDescent="0.35">
      <c r="T48640" s="246">
        <f t="shared" si="798"/>
        <v>0</v>
      </c>
    </row>
    <row r="48641" spans="20:20" ht="18.75" customHeight="1" x14ac:dyDescent="0.35">
      <c r="T48641" s="246">
        <f t="shared" si="798"/>
        <v>0</v>
      </c>
    </row>
    <row r="48642" spans="20:20" ht="18.75" customHeight="1" x14ac:dyDescent="0.35">
      <c r="T48642" s="246">
        <f t="shared" si="798"/>
        <v>0</v>
      </c>
    </row>
    <row r="48643" spans="20:20" ht="18.75" customHeight="1" x14ac:dyDescent="0.35">
      <c r="T48643" s="246">
        <f t="shared" si="798"/>
        <v>0</v>
      </c>
    </row>
    <row r="48644" spans="20:20" ht="18.75" customHeight="1" x14ac:dyDescent="0.35">
      <c r="T48644" s="246">
        <f t="shared" si="798"/>
        <v>0</v>
      </c>
    </row>
    <row r="48645" spans="20:20" ht="18.75" customHeight="1" x14ac:dyDescent="0.35">
      <c r="T48645" s="246">
        <f t="shared" si="798"/>
        <v>0</v>
      </c>
    </row>
    <row r="48646" spans="20:20" ht="18.75" customHeight="1" x14ac:dyDescent="0.35">
      <c r="T48646" s="246">
        <f t="shared" si="798"/>
        <v>0</v>
      </c>
    </row>
    <row r="48647" spans="20:20" ht="18.75" customHeight="1" x14ac:dyDescent="0.35">
      <c r="T48647" s="246">
        <f t="shared" si="798"/>
        <v>0</v>
      </c>
    </row>
    <row r="48648" spans="20:20" ht="18.75" customHeight="1" x14ac:dyDescent="0.35">
      <c r="T48648" s="246">
        <f t="shared" si="798"/>
        <v>0</v>
      </c>
    </row>
    <row r="48649" spans="20:20" ht="18.75" customHeight="1" x14ac:dyDescent="0.35">
      <c r="T48649" s="246">
        <f t="shared" si="798"/>
        <v>0</v>
      </c>
    </row>
    <row r="48650" spans="20:20" ht="18.75" customHeight="1" x14ac:dyDescent="0.35">
      <c r="T48650" s="246">
        <f t="shared" si="798"/>
        <v>0</v>
      </c>
    </row>
    <row r="48651" spans="20:20" ht="18.75" customHeight="1" x14ac:dyDescent="0.35">
      <c r="T48651" s="246">
        <f t="shared" si="798"/>
        <v>0</v>
      </c>
    </row>
    <row r="48652" spans="20:20" ht="18.75" customHeight="1" x14ac:dyDescent="0.35">
      <c r="T48652" s="246">
        <f t="shared" si="798"/>
        <v>0</v>
      </c>
    </row>
    <row r="48653" spans="20:20" ht="18.75" customHeight="1" x14ac:dyDescent="0.35">
      <c r="T48653" s="246">
        <f t="shared" si="798"/>
        <v>0</v>
      </c>
    </row>
    <row r="48654" spans="20:20" ht="18.75" customHeight="1" x14ac:dyDescent="0.35">
      <c r="T48654" s="246">
        <f t="shared" si="798"/>
        <v>0</v>
      </c>
    </row>
    <row r="48655" spans="20:20" ht="18.75" customHeight="1" x14ac:dyDescent="0.35">
      <c r="T48655" s="246">
        <f t="shared" si="798"/>
        <v>0</v>
      </c>
    </row>
    <row r="48656" spans="20:20" ht="18.75" customHeight="1" x14ac:dyDescent="0.35">
      <c r="T48656" s="246">
        <f t="shared" si="798"/>
        <v>0</v>
      </c>
    </row>
    <row r="48657" spans="20:20" ht="18.75" customHeight="1" x14ac:dyDescent="0.35">
      <c r="T48657" s="246">
        <f t="shared" si="798"/>
        <v>0</v>
      </c>
    </row>
    <row r="48658" spans="20:20" ht="18.75" customHeight="1" x14ac:dyDescent="0.35">
      <c r="T48658" s="246">
        <f t="shared" si="798"/>
        <v>0</v>
      </c>
    </row>
    <row r="48659" spans="20:20" ht="18.75" customHeight="1" x14ac:dyDescent="0.35">
      <c r="T48659" s="246">
        <f t="shared" si="798"/>
        <v>0</v>
      </c>
    </row>
    <row r="48660" spans="20:20" ht="18.75" customHeight="1" x14ac:dyDescent="0.35">
      <c r="T48660" s="246">
        <f t="shared" si="798"/>
        <v>0</v>
      </c>
    </row>
    <row r="48661" spans="20:20" ht="18.75" customHeight="1" x14ac:dyDescent="0.35">
      <c r="T48661" s="246">
        <f t="shared" si="798"/>
        <v>0</v>
      </c>
    </row>
    <row r="48662" spans="20:20" ht="18.75" customHeight="1" x14ac:dyDescent="0.35">
      <c r="T48662" s="246">
        <f t="shared" si="798"/>
        <v>0</v>
      </c>
    </row>
    <row r="48663" spans="20:20" ht="18.75" customHeight="1" x14ac:dyDescent="0.35">
      <c r="T48663" s="246">
        <f t="shared" si="798"/>
        <v>0</v>
      </c>
    </row>
    <row r="48664" spans="20:20" ht="18.75" customHeight="1" x14ac:dyDescent="0.35">
      <c r="T48664" s="246">
        <f t="shared" si="798"/>
        <v>0</v>
      </c>
    </row>
    <row r="48665" spans="20:20" ht="18.75" customHeight="1" x14ac:dyDescent="0.35">
      <c r="T48665" s="246">
        <f t="shared" si="798"/>
        <v>0</v>
      </c>
    </row>
    <row r="48666" spans="20:20" ht="18.75" customHeight="1" x14ac:dyDescent="0.35">
      <c r="T48666" s="246">
        <f t="shared" si="798"/>
        <v>0</v>
      </c>
    </row>
    <row r="48667" spans="20:20" ht="18.75" customHeight="1" x14ac:dyDescent="0.35">
      <c r="T48667" s="246">
        <f t="shared" si="798"/>
        <v>0</v>
      </c>
    </row>
    <row r="48668" spans="20:20" ht="18.75" customHeight="1" x14ac:dyDescent="0.35">
      <c r="T48668" s="246">
        <f t="shared" si="798"/>
        <v>0</v>
      </c>
    </row>
    <row r="48669" spans="20:20" ht="18.75" customHeight="1" x14ac:dyDescent="0.35">
      <c r="T48669" s="246">
        <f t="shared" si="798"/>
        <v>0</v>
      </c>
    </row>
    <row r="48670" spans="20:20" ht="18.75" customHeight="1" x14ac:dyDescent="0.35">
      <c r="T48670" s="246">
        <f t="shared" si="798"/>
        <v>0</v>
      </c>
    </row>
    <row r="48671" spans="20:20" ht="18.75" customHeight="1" x14ac:dyDescent="0.35">
      <c r="T48671" s="246">
        <f t="shared" si="798"/>
        <v>0</v>
      </c>
    </row>
    <row r="48672" spans="20:20" ht="18.75" customHeight="1" x14ac:dyDescent="0.35">
      <c r="T48672" s="246">
        <f t="shared" si="798"/>
        <v>0</v>
      </c>
    </row>
    <row r="48673" spans="20:20" ht="18.75" customHeight="1" x14ac:dyDescent="0.35">
      <c r="T48673" s="246">
        <f t="shared" si="798"/>
        <v>0</v>
      </c>
    </row>
    <row r="48674" spans="20:20" ht="18.75" customHeight="1" x14ac:dyDescent="0.35">
      <c r="T48674" s="246">
        <f t="shared" si="798"/>
        <v>0</v>
      </c>
    </row>
    <row r="48675" spans="20:20" ht="18.75" customHeight="1" x14ac:dyDescent="0.35">
      <c r="T48675" s="246">
        <f t="shared" si="798"/>
        <v>0</v>
      </c>
    </row>
    <row r="48676" spans="20:20" ht="18.75" customHeight="1" x14ac:dyDescent="0.35">
      <c r="T48676" s="246">
        <f t="shared" si="798"/>
        <v>0</v>
      </c>
    </row>
    <row r="48677" spans="20:20" ht="18.75" customHeight="1" x14ac:dyDescent="0.35">
      <c r="T48677" s="246">
        <f t="shared" si="798"/>
        <v>0</v>
      </c>
    </row>
    <row r="48678" spans="20:20" ht="18.75" customHeight="1" x14ac:dyDescent="0.35">
      <c r="T48678" s="246">
        <f t="shared" si="798"/>
        <v>0</v>
      </c>
    </row>
    <row r="48679" spans="20:20" ht="18.75" customHeight="1" x14ac:dyDescent="0.35">
      <c r="T48679" s="246">
        <f t="shared" si="798"/>
        <v>0</v>
      </c>
    </row>
    <row r="48680" spans="20:20" ht="18.75" customHeight="1" x14ac:dyDescent="0.35">
      <c r="T48680" s="246">
        <f t="shared" si="798"/>
        <v>0</v>
      </c>
    </row>
    <row r="48681" spans="20:20" ht="18.75" customHeight="1" x14ac:dyDescent="0.35">
      <c r="T48681" s="246">
        <f t="shared" si="798"/>
        <v>0</v>
      </c>
    </row>
    <row r="48682" spans="20:20" ht="18.75" customHeight="1" x14ac:dyDescent="0.35">
      <c r="T48682" s="246">
        <f t="shared" si="798"/>
        <v>0</v>
      </c>
    </row>
    <row r="48683" spans="20:20" ht="18.75" customHeight="1" x14ac:dyDescent="0.35">
      <c r="T48683" s="246">
        <f t="shared" si="798"/>
        <v>0</v>
      </c>
    </row>
    <row r="48684" spans="20:20" ht="18.75" customHeight="1" x14ac:dyDescent="0.35">
      <c r="T48684" s="246">
        <f t="shared" si="798"/>
        <v>0</v>
      </c>
    </row>
    <row r="48685" spans="20:20" ht="18.75" customHeight="1" x14ac:dyDescent="0.35">
      <c r="T48685" s="246">
        <f t="shared" si="798"/>
        <v>0</v>
      </c>
    </row>
    <row r="48686" spans="20:20" ht="18.75" customHeight="1" x14ac:dyDescent="0.35">
      <c r="T48686" s="246">
        <f t="shared" si="798"/>
        <v>0</v>
      </c>
    </row>
    <row r="48687" spans="20:20" ht="18.75" customHeight="1" x14ac:dyDescent="0.35">
      <c r="T48687" s="246">
        <f t="shared" si="798"/>
        <v>0</v>
      </c>
    </row>
    <row r="48688" spans="20:20" ht="18.75" customHeight="1" x14ac:dyDescent="0.35">
      <c r="T48688" s="246">
        <f t="shared" si="798"/>
        <v>0</v>
      </c>
    </row>
    <row r="48689" spans="20:20" ht="18.75" customHeight="1" x14ac:dyDescent="0.35">
      <c r="T48689" s="246">
        <f t="shared" si="798"/>
        <v>0</v>
      </c>
    </row>
    <row r="48690" spans="20:20" ht="18.75" customHeight="1" x14ac:dyDescent="0.35">
      <c r="T48690" s="246">
        <f t="shared" si="798"/>
        <v>0</v>
      </c>
    </row>
    <row r="48691" spans="20:20" ht="18.75" customHeight="1" x14ac:dyDescent="0.35">
      <c r="T48691" s="246">
        <f t="shared" si="798"/>
        <v>0</v>
      </c>
    </row>
    <row r="48692" spans="20:20" ht="18.75" customHeight="1" x14ac:dyDescent="0.35">
      <c r="T48692" s="246">
        <f t="shared" si="798"/>
        <v>0</v>
      </c>
    </row>
    <row r="48693" spans="20:20" ht="18.75" customHeight="1" x14ac:dyDescent="0.35">
      <c r="T48693" s="246">
        <f t="shared" si="798"/>
        <v>0</v>
      </c>
    </row>
    <row r="48694" spans="20:20" ht="18.75" customHeight="1" x14ac:dyDescent="0.35">
      <c r="T48694" s="246">
        <f t="shared" si="798"/>
        <v>0</v>
      </c>
    </row>
    <row r="48695" spans="20:20" ht="18.75" customHeight="1" x14ac:dyDescent="0.35">
      <c r="T48695" s="246">
        <f t="shared" si="798"/>
        <v>0</v>
      </c>
    </row>
    <row r="48696" spans="20:20" ht="18.75" customHeight="1" x14ac:dyDescent="0.35">
      <c r="T48696" s="246">
        <f t="shared" si="798"/>
        <v>0</v>
      </c>
    </row>
    <row r="48697" spans="20:20" ht="18.75" customHeight="1" x14ac:dyDescent="0.35">
      <c r="T48697" s="246">
        <f t="shared" si="798"/>
        <v>0</v>
      </c>
    </row>
    <row r="48698" spans="20:20" ht="18.75" customHeight="1" x14ac:dyDescent="0.35">
      <c r="T48698" s="246">
        <f t="shared" si="798"/>
        <v>0</v>
      </c>
    </row>
    <row r="48699" spans="20:20" ht="18.75" customHeight="1" x14ac:dyDescent="0.35">
      <c r="T48699" s="246">
        <f t="shared" si="798"/>
        <v>0</v>
      </c>
    </row>
    <row r="48700" spans="20:20" ht="18.75" customHeight="1" x14ac:dyDescent="0.35">
      <c r="T48700" s="246">
        <f t="shared" ref="T48700:T48763" si="799">R48700*0.01</f>
        <v>0</v>
      </c>
    </row>
    <row r="48701" spans="20:20" ht="18.75" customHeight="1" x14ac:dyDescent="0.35">
      <c r="T48701" s="246">
        <f t="shared" si="799"/>
        <v>0</v>
      </c>
    </row>
    <row r="48702" spans="20:20" ht="18.75" customHeight="1" x14ac:dyDescent="0.35">
      <c r="T48702" s="246">
        <f t="shared" si="799"/>
        <v>0</v>
      </c>
    </row>
    <row r="48703" spans="20:20" ht="18.75" customHeight="1" x14ac:dyDescent="0.35">
      <c r="T48703" s="246">
        <f t="shared" si="799"/>
        <v>0</v>
      </c>
    </row>
    <row r="48704" spans="20:20" ht="18.75" customHeight="1" x14ac:dyDescent="0.35">
      <c r="T48704" s="246">
        <f t="shared" si="799"/>
        <v>0</v>
      </c>
    </row>
    <row r="48705" spans="20:20" ht="18.75" customHeight="1" x14ac:dyDescent="0.35">
      <c r="T48705" s="246">
        <f t="shared" si="799"/>
        <v>0</v>
      </c>
    </row>
    <row r="48706" spans="20:20" ht="18.75" customHeight="1" x14ac:dyDescent="0.35">
      <c r="T48706" s="246">
        <f t="shared" si="799"/>
        <v>0</v>
      </c>
    </row>
    <row r="48707" spans="20:20" ht="18.75" customHeight="1" x14ac:dyDescent="0.35">
      <c r="T48707" s="246">
        <f t="shared" si="799"/>
        <v>0</v>
      </c>
    </row>
    <row r="48708" spans="20:20" ht="18.75" customHeight="1" x14ac:dyDescent="0.35">
      <c r="T48708" s="246">
        <f t="shared" si="799"/>
        <v>0</v>
      </c>
    </row>
    <row r="48709" spans="20:20" ht="18.75" customHeight="1" x14ac:dyDescent="0.35">
      <c r="T48709" s="246">
        <f t="shared" si="799"/>
        <v>0</v>
      </c>
    </row>
    <row r="48710" spans="20:20" ht="18.75" customHeight="1" x14ac:dyDescent="0.35">
      <c r="T48710" s="246">
        <f t="shared" si="799"/>
        <v>0</v>
      </c>
    </row>
    <row r="48711" spans="20:20" ht="18.75" customHeight="1" x14ac:dyDescent="0.35">
      <c r="T48711" s="246">
        <f t="shared" si="799"/>
        <v>0</v>
      </c>
    </row>
    <row r="48712" spans="20:20" ht="18.75" customHeight="1" x14ac:dyDescent="0.35">
      <c r="T48712" s="246">
        <f t="shared" si="799"/>
        <v>0</v>
      </c>
    </row>
    <row r="48713" spans="20:20" ht="18.75" customHeight="1" x14ac:dyDescent="0.35">
      <c r="T48713" s="246">
        <f t="shared" si="799"/>
        <v>0</v>
      </c>
    </row>
    <row r="48714" spans="20:20" ht="18.75" customHeight="1" x14ac:dyDescent="0.35">
      <c r="T48714" s="246">
        <f t="shared" si="799"/>
        <v>0</v>
      </c>
    </row>
    <row r="48715" spans="20:20" ht="18.75" customHeight="1" x14ac:dyDescent="0.35">
      <c r="T48715" s="246">
        <f t="shared" si="799"/>
        <v>0</v>
      </c>
    </row>
    <row r="48716" spans="20:20" ht="18.75" customHeight="1" x14ac:dyDescent="0.35">
      <c r="T48716" s="246">
        <f t="shared" si="799"/>
        <v>0</v>
      </c>
    </row>
    <row r="48717" spans="20:20" ht="18.75" customHeight="1" x14ac:dyDescent="0.35">
      <c r="T48717" s="246">
        <f t="shared" si="799"/>
        <v>0</v>
      </c>
    </row>
    <row r="48718" spans="20:20" ht="18.75" customHeight="1" x14ac:dyDescent="0.35">
      <c r="T48718" s="246">
        <f t="shared" si="799"/>
        <v>0</v>
      </c>
    </row>
    <row r="48719" spans="20:20" ht="18.75" customHeight="1" x14ac:dyDescent="0.35">
      <c r="T48719" s="246">
        <f t="shared" si="799"/>
        <v>0</v>
      </c>
    </row>
    <row r="48720" spans="20:20" ht="18.75" customHeight="1" x14ac:dyDescent="0.35">
      <c r="T48720" s="246">
        <f t="shared" si="799"/>
        <v>0</v>
      </c>
    </row>
    <row r="48721" spans="20:20" ht="18.75" customHeight="1" x14ac:dyDescent="0.35">
      <c r="T48721" s="246">
        <f t="shared" si="799"/>
        <v>0</v>
      </c>
    </row>
    <row r="48722" spans="20:20" ht="18.75" customHeight="1" x14ac:dyDescent="0.35">
      <c r="T48722" s="246">
        <f t="shared" si="799"/>
        <v>0</v>
      </c>
    </row>
    <row r="48723" spans="20:20" ht="18.75" customHeight="1" x14ac:dyDescent="0.35">
      <c r="T48723" s="246">
        <f t="shared" si="799"/>
        <v>0</v>
      </c>
    </row>
    <row r="48724" spans="20:20" ht="18.75" customHeight="1" x14ac:dyDescent="0.35">
      <c r="T48724" s="246">
        <f t="shared" si="799"/>
        <v>0</v>
      </c>
    </row>
    <row r="48725" spans="20:20" ht="18.75" customHeight="1" x14ac:dyDescent="0.35">
      <c r="T48725" s="246">
        <f t="shared" si="799"/>
        <v>0</v>
      </c>
    </row>
    <row r="48726" spans="20:20" ht="18.75" customHeight="1" x14ac:dyDescent="0.35">
      <c r="T48726" s="246">
        <f t="shared" si="799"/>
        <v>0</v>
      </c>
    </row>
    <row r="48727" spans="20:20" ht="18.75" customHeight="1" x14ac:dyDescent="0.35">
      <c r="T48727" s="246">
        <f t="shared" si="799"/>
        <v>0</v>
      </c>
    </row>
    <row r="48728" spans="20:20" ht="18.75" customHeight="1" x14ac:dyDescent="0.35">
      <c r="T48728" s="246">
        <f t="shared" si="799"/>
        <v>0</v>
      </c>
    </row>
    <row r="48729" spans="20:20" ht="18.75" customHeight="1" x14ac:dyDescent="0.35">
      <c r="T48729" s="246">
        <f t="shared" si="799"/>
        <v>0</v>
      </c>
    </row>
    <row r="48730" spans="20:20" ht="18.75" customHeight="1" x14ac:dyDescent="0.35">
      <c r="T48730" s="246">
        <f t="shared" si="799"/>
        <v>0</v>
      </c>
    </row>
    <row r="48731" spans="20:20" ht="18.75" customHeight="1" x14ac:dyDescent="0.35">
      <c r="T48731" s="246">
        <f t="shared" si="799"/>
        <v>0</v>
      </c>
    </row>
    <row r="48732" spans="20:20" ht="18.75" customHeight="1" x14ac:dyDescent="0.35">
      <c r="T48732" s="246">
        <f t="shared" si="799"/>
        <v>0</v>
      </c>
    </row>
    <row r="48733" spans="20:20" ht="18.75" customHeight="1" x14ac:dyDescent="0.35">
      <c r="T48733" s="246">
        <f t="shared" si="799"/>
        <v>0</v>
      </c>
    </row>
    <row r="48734" spans="20:20" ht="18.75" customHeight="1" x14ac:dyDescent="0.35">
      <c r="T48734" s="246">
        <f t="shared" si="799"/>
        <v>0</v>
      </c>
    </row>
    <row r="48735" spans="20:20" ht="18.75" customHeight="1" x14ac:dyDescent="0.35">
      <c r="T48735" s="246">
        <f t="shared" si="799"/>
        <v>0</v>
      </c>
    </row>
    <row r="48736" spans="20:20" ht="18.75" customHeight="1" x14ac:dyDescent="0.35">
      <c r="T48736" s="246">
        <f t="shared" si="799"/>
        <v>0</v>
      </c>
    </row>
    <row r="48737" spans="20:20" ht="18.75" customHeight="1" x14ac:dyDescent="0.35">
      <c r="T48737" s="246">
        <f t="shared" si="799"/>
        <v>0</v>
      </c>
    </row>
    <row r="48738" spans="20:20" ht="18.75" customHeight="1" x14ac:dyDescent="0.35">
      <c r="T48738" s="246">
        <f t="shared" si="799"/>
        <v>0</v>
      </c>
    </row>
    <row r="48739" spans="20:20" ht="18.75" customHeight="1" x14ac:dyDescent="0.35">
      <c r="T48739" s="246">
        <f t="shared" si="799"/>
        <v>0</v>
      </c>
    </row>
    <row r="48740" spans="20:20" ht="18.75" customHeight="1" x14ac:dyDescent="0.35">
      <c r="T48740" s="246">
        <f t="shared" si="799"/>
        <v>0</v>
      </c>
    </row>
    <row r="48741" spans="20:20" ht="18.75" customHeight="1" x14ac:dyDescent="0.35">
      <c r="T48741" s="246">
        <f t="shared" si="799"/>
        <v>0</v>
      </c>
    </row>
    <row r="48742" spans="20:20" ht="18.75" customHeight="1" x14ac:dyDescent="0.35">
      <c r="T48742" s="246">
        <f t="shared" si="799"/>
        <v>0</v>
      </c>
    </row>
    <row r="48743" spans="20:20" ht="18.75" customHeight="1" x14ac:dyDescent="0.35">
      <c r="T48743" s="246">
        <f t="shared" si="799"/>
        <v>0</v>
      </c>
    </row>
    <row r="48744" spans="20:20" ht="18.75" customHeight="1" x14ac:dyDescent="0.35">
      <c r="T48744" s="246">
        <f t="shared" si="799"/>
        <v>0</v>
      </c>
    </row>
    <row r="48745" spans="20:20" ht="18.75" customHeight="1" x14ac:dyDescent="0.35">
      <c r="T48745" s="246">
        <f t="shared" si="799"/>
        <v>0</v>
      </c>
    </row>
    <row r="48746" spans="20:20" ht="18.75" customHeight="1" x14ac:dyDescent="0.35">
      <c r="T48746" s="246">
        <f t="shared" si="799"/>
        <v>0</v>
      </c>
    </row>
    <row r="48747" spans="20:20" ht="18.75" customHeight="1" x14ac:dyDescent="0.35">
      <c r="T48747" s="246">
        <f t="shared" si="799"/>
        <v>0</v>
      </c>
    </row>
    <row r="48748" spans="20:20" ht="18.75" customHeight="1" x14ac:dyDescent="0.35">
      <c r="T48748" s="246">
        <f t="shared" si="799"/>
        <v>0</v>
      </c>
    </row>
    <row r="48749" spans="20:20" ht="18.75" customHeight="1" x14ac:dyDescent="0.35">
      <c r="T48749" s="246">
        <f t="shared" si="799"/>
        <v>0</v>
      </c>
    </row>
    <row r="48750" spans="20:20" ht="18.75" customHeight="1" x14ac:dyDescent="0.35">
      <c r="T48750" s="246">
        <f t="shared" si="799"/>
        <v>0</v>
      </c>
    </row>
    <row r="48751" spans="20:20" ht="18.75" customHeight="1" x14ac:dyDescent="0.35">
      <c r="T48751" s="246">
        <f t="shared" si="799"/>
        <v>0</v>
      </c>
    </row>
    <row r="48752" spans="20:20" ht="18.75" customHeight="1" x14ac:dyDescent="0.35">
      <c r="T48752" s="246">
        <f t="shared" si="799"/>
        <v>0</v>
      </c>
    </row>
    <row r="48753" spans="20:20" ht="18.75" customHeight="1" x14ac:dyDescent="0.35">
      <c r="T48753" s="246">
        <f t="shared" si="799"/>
        <v>0</v>
      </c>
    </row>
    <row r="48754" spans="20:20" ht="18.75" customHeight="1" x14ac:dyDescent="0.35">
      <c r="T48754" s="246">
        <f t="shared" si="799"/>
        <v>0</v>
      </c>
    </row>
    <row r="48755" spans="20:20" ht="18.75" customHeight="1" x14ac:dyDescent="0.35">
      <c r="T48755" s="246">
        <f t="shared" si="799"/>
        <v>0</v>
      </c>
    </row>
    <row r="48756" spans="20:20" ht="18.75" customHeight="1" x14ac:dyDescent="0.35">
      <c r="T48756" s="246">
        <f t="shared" si="799"/>
        <v>0</v>
      </c>
    </row>
    <row r="48757" spans="20:20" ht="18.75" customHeight="1" x14ac:dyDescent="0.35">
      <c r="T48757" s="246">
        <f t="shared" si="799"/>
        <v>0</v>
      </c>
    </row>
    <row r="48758" spans="20:20" ht="18.75" customHeight="1" x14ac:dyDescent="0.35">
      <c r="T48758" s="246">
        <f t="shared" si="799"/>
        <v>0</v>
      </c>
    </row>
    <row r="48759" spans="20:20" ht="18.75" customHeight="1" x14ac:dyDescent="0.35">
      <c r="T48759" s="246">
        <f t="shared" si="799"/>
        <v>0</v>
      </c>
    </row>
    <row r="48760" spans="20:20" ht="18.75" customHeight="1" x14ac:dyDescent="0.35">
      <c r="T48760" s="246">
        <f t="shared" si="799"/>
        <v>0</v>
      </c>
    </row>
    <row r="48761" spans="20:20" ht="18.75" customHeight="1" x14ac:dyDescent="0.35">
      <c r="T48761" s="246">
        <f t="shared" si="799"/>
        <v>0</v>
      </c>
    </row>
    <row r="48762" spans="20:20" ht="18.75" customHeight="1" x14ac:dyDescent="0.35">
      <c r="T48762" s="246">
        <f t="shared" si="799"/>
        <v>0</v>
      </c>
    </row>
    <row r="48763" spans="20:20" ht="18.75" customHeight="1" x14ac:dyDescent="0.35">
      <c r="T48763" s="246">
        <f t="shared" si="799"/>
        <v>0</v>
      </c>
    </row>
    <row r="48764" spans="20:20" ht="18.75" customHeight="1" x14ac:dyDescent="0.35">
      <c r="T48764" s="246">
        <f t="shared" ref="T48764:T48827" si="800">R48764*0.01</f>
        <v>0</v>
      </c>
    </row>
    <row r="48765" spans="20:20" ht="18.75" customHeight="1" x14ac:dyDescent="0.35">
      <c r="T48765" s="246">
        <f t="shared" si="800"/>
        <v>0</v>
      </c>
    </row>
    <row r="48766" spans="20:20" ht="18.75" customHeight="1" x14ac:dyDescent="0.35">
      <c r="T48766" s="246">
        <f t="shared" si="800"/>
        <v>0</v>
      </c>
    </row>
    <row r="48767" spans="20:20" ht="18.75" customHeight="1" x14ac:dyDescent="0.35">
      <c r="T48767" s="246">
        <f t="shared" si="800"/>
        <v>0</v>
      </c>
    </row>
    <row r="48768" spans="20:20" ht="18.75" customHeight="1" x14ac:dyDescent="0.35">
      <c r="T48768" s="246">
        <f t="shared" si="800"/>
        <v>0</v>
      </c>
    </row>
    <row r="48769" spans="20:20" ht="18.75" customHeight="1" x14ac:dyDescent="0.35">
      <c r="T48769" s="246">
        <f t="shared" si="800"/>
        <v>0</v>
      </c>
    </row>
    <row r="48770" spans="20:20" ht="18.75" customHeight="1" x14ac:dyDescent="0.35">
      <c r="T48770" s="246">
        <f t="shared" si="800"/>
        <v>0</v>
      </c>
    </row>
    <row r="48771" spans="20:20" ht="18.75" customHeight="1" x14ac:dyDescent="0.35">
      <c r="T48771" s="246">
        <f t="shared" si="800"/>
        <v>0</v>
      </c>
    </row>
    <row r="48772" spans="20:20" ht="18.75" customHeight="1" x14ac:dyDescent="0.35">
      <c r="T48772" s="246">
        <f t="shared" si="800"/>
        <v>0</v>
      </c>
    </row>
    <row r="48773" spans="20:20" ht="18.75" customHeight="1" x14ac:dyDescent="0.35">
      <c r="T48773" s="246">
        <f t="shared" si="800"/>
        <v>0</v>
      </c>
    </row>
    <row r="48774" spans="20:20" ht="18.75" customHeight="1" x14ac:dyDescent="0.35">
      <c r="T48774" s="246">
        <f t="shared" si="800"/>
        <v>0</v>
      </c>
    </row>
    <row r="48775" spans="20:20" ht="18.75" customHeight="1" x14ac:dyDescent="0.35">
      <c r="T48775" s="246">
        <f t="shared" si="800"/>
        <v>0</v>
      </c>
    </row>
    <row r="48776" spans="20:20" ht="18.75" customHeight="1" x14ac:dyDescent="0.35">
      <c r="T48776" s="246">
        <f t="shared" si="800"/>
        <v>0</v>
      </c>
    </row>
    <row r="48777" spans="20:20" ht="18.75" customHeight="1" x14ac:dyDescent="0.35">
      <c r="T48777" s="246">
        <f t="shared" si="800"/>
        <v>0</v>
      </c>
    </row>
    <row r="48778" spans="20:20" ht="18.75" customHeight="1" x14ac:dyDescent="0.35">
      <c r="T48778" s="246">
        <f t="shared" si="800"/>
        <v>0</v>
      </c>
    </row>
    <row r="48779" spans="20:20" ht="18.75" customHeight="1" x14ac:dyDescent="0.35">
      <c r="T48779" s="246">
        <f t="shared" si="800"/>
        <v>0</v>
      </c>
    </row>
    <row r="48780" spans="20:20" ht="18.75" customHeight="1" x14ac:dyDescent="0.35">
      <c r="T48780" s="246">
        <f t="shared" si="800"/>
        <v>0</v>
      </c>
    </row>
    <row r="48781" spans="20:20" ht="18.75" customHeight="1" x14ac:dyDescent="0.35">
      <c r="T48781" s="246">
        <f t="shared" si="800"/>
        <v>0</v>
      </c>
    </row>
    <row r="48782" spans="20:20" ht="18.75" customHeight="1" x14ac:dyDescent="0.35">
      <c r="T48782" s="246">
        <f t="shared" si="800"/>
        <v>0</v>
      </c>
    </row>
    <row r="48783" spans="20:20" ht="18.75" customHeight="1" x14ac:dyDescent="0.35">
      <c r="T48783" s="246">
        <f t="shared" si="800"/>
        <v>0</v>
      </c>
    </row>
    <row r="48784" spans="20:20" ht="18.75" customHeight="1" x14ac:dyDescent="0.35">
      <c r="T48784" s="246">
        <f t="shared" si="800"/>
        <v>0</v>
      </c>
    </row>
    <row r="48785" spans="20:20" ht="18.75" customHeight="1" x14ac:dyDescent="0.35">
      <c r="T48785" s="246">
        <f t="shared" si="800"/>
        <v>0</v>
      </c>
    </row>
    <row r="48786" spans="20:20" ht="18.75" customHeight="1" x14ac:dyDescent="0.35">
      <c r="T48786" s="246">
        <f t="shared" si="800"/>
        <v>0</v>
      </c>
    </row>
    <row r="48787" spans="20:20" ht="18.75" customHeight="1" x14ac:dyDescent="0.35">
      <c r="T48787" s="246">
        <f t="shared" si="800"/>
        <v>0</v>
      </c>
    </row>
    <row r="48788" spans="20:20" ht="18.75" customHeight="1" x14ac:dyDescent="0.35">
      <c r="T48788" s="246">
        <f t="shared" si="800"/>
        <v>0</v>
      </c>
    </row>
    <row r="48789" spans="20:20" ht="18.75" customHeight="1" x14ac:dyDescent="0.35">
      <c r="T48789" s="246">
        <f t="shared" si="800"/>
        <v>0</v>
      </c>
    </row>
    <row r="48790" spans="20:20" ht="18.75" customHeight="1" x14ac:dyDescent="0.35">
      <c r="T48790" s="246">
        <f t="shared" si="800"/>
        <v>0</v>
      </c>
    </row>
    <row r="48791" spans="20:20" ht="18.75" customHeight="1" x14ac:dyDescent="0.35">
      <c r="T48791" s="246">
        <f t="shared" si="800"/>
        <v>0</v>
      </c>
    </row>
    <row r="48792" spans="20:20" ht="18.75" customHeight="1" x14ac:dyDescent="0.35">
      <c r="T48792" s="246">
        <f t="shared" si="800"/>
        <v>0</v>
      </c>
    </row>
    <row r="48793" spans="20:20" ht="18.75" customHeight="1" x14ac:dyDescent="0.35">
      <c r="T48793" s="246">
        <f t="shared" si="800"/>
        <v>0</v>
      </c>
    </row>
    <row r="48794" spans="20:20" ht="18.75" customHeight="1" x14ac:dyDescent="0.35">
      <c r="T48794" s="246">
        <f t="shared" si="800"/>
        <v>0</v>
      </c>
    </row>
    <row r="48795" spans="20:20" ht="18.75" customHeight="1" x14ac:dyDescent="0.35">
      <c r="T48795" s="246">
        <f t="shared" si="800"/>
        <v>0</v>
      </c>
    </row>
    <row r="48796" spans="20:20" ht="18.75" customHeight="1" x14ac:dyDescent="0.35">
      <c r="T48796" s="246">
        <f t="shared" si="800"/>
        <v>0</v>
      </c>
    </row>
    <row r="48797" spans="20:20" ht="18.75" customHeight="1" x14ac:dyDescent="0.35">
      <c r="T48797" s="246">
        <f t="shared" si="800"/>
        <v>0</v>
      </c>
    </row>
    <row r="48798" spans="20:20" ht="18.75" customHeight="1" x14ac:dyDescent="0.35">
      <c r="T48798" s="246">
        <f t="shared" si="800"/>
        <v>0</v>
      </c>
    </row>
    <row r="48799" spans="20:20" ht="18.75" customHeight="1" x14ac:dyDescent="0.35">
      <c r="T48799" s="246">
        <f t="shared" si="800"/>
        <v>0</v>
      </c>
    </row>
    <row r="48800" spans="20:20" ht="18.75" customHeight="1" x14ac:dyDescent="0.35">
      <c r="T48800" s="246">
        <f t="shared" si="800"/>
        <v>0</v>
      </c>
    </row>
    <row r="48801" spans="20:20" ht="18.75" customHeight="1" x14ac:dyDescent="0.35">
      <c r="T48801" s="246">
        <f t="shared" si="800"/>
        <v>0</v>
      </c>
    </row>
    <row r="48802" spans="20:20" ht="18.75" customHeight="1" x14ac:dyDescent="0.35">
      <c r="T48802" s="246">
        <f t="shared" si="800"/>
        <v>0</v>
      </c>
    </row>
    <row r="48803" spans="20:20" ht="18.75" customHeight="1" x14ac:dyDescent="0.35">
      <c r="T48803" s="246">
        <f t="shared" si="800"/>
        <v>0</v>
      </c>
    </row>
    <row r="48804" spans="20:20" ht="18.75" customHeight="1" x14ac:dyDescent="0.35">
      <c r="T48804" s="246">
        <f t="shared" si="800"/>
        <v>0</v>
      </c>
    </row>
    <row r="48805" spans="20:20" ht="18.75" customHeight="1" x14ac:dyDescent="0.35">
      <c r="T48805" s="246">
        <f t="shared" si="800"/>
        <v>0</v>
      </c>
    </row>
    <row r="48806" spans="20:20" ht="18.75" customHeight="1" x14ac:dyDescent="0.35">
      <c r="T48806" s="246">
        <f t="shared" si="800"/>
        <v>0</v>
      </c>
    </row>
    <row r="48807" spans="20:20" ht="18.75" customHeight="1" x14ac:dyDescent="0.35">
      <c r="T48807" s="246">
        <f t="shared" si="800"/>
        <v>0</v>
      </c>
    </row>
    <row r="48808" spans="20:20" ht="18.75" customHeight="1" x14ac:dyDescent="0.35">
      <c r="T48808" s="246">
        <f t="shared" si="800"/>
        <v>0</v>
      </c>
    </row>
    <row r="48809" spans="20:20" ht="18.75" customHeight="1" x14ac:dyDescent="0.35">
      <c r="T48809" s="246">
        <f t="shared" si="800"/>
        <v>0</v>
      </c>
    </row>
    <row r="48810" spans="20:20" ht="18.75" customHeight="1" x14ac:dyDescent="0.35">
      <c r="T48810" s="246">
        <f t="shared" si="800"/>
        <v>0</v>
      </c>
    </row>
    <row r="48811" spans="20:20" ht="18.75" customHeight="1" x14ac:dyDescent="0.35">
      <c r="T48811" s="246">
        <f t="shared" si="800"/>
        <v>0</v>
      </c>
    </row>
    <row r="48812" spans="20:20" ht="18.75" customHeight="1" x14ac:dyDescent="0.35">
      <c r="T48812" s="246">
        <f t="shared" si="800"/>
        <v>0</v>
      </c>
    </row>
    <row r="48813" spans="20:20" ht="18.75" customHeight="1" x14ac:dyDescent="0.35">
      <c r="T48813" s="246">
        <f t="shared" si="800"/>
        <v>0</v>
      </c>
    </row>
    <row r="48814" spans="20:20" ht="18.75" customHeight="1" x14ac:dyDescent="0.35">
      <c r="T48814" s="246">
        <f t="shared" si="800"/>
        <v>0</v>
      </c>
    </row>
    <row r="48815" spans="20:20" ht="18.75" customHeight="1" x14ac:dyDescent="0.35">
      <c r="T48815" s="246">
        <f t="shared" si="800"/>
        <v>0</v>
      </c>
    </row>
    <row r="48816" spans="20:20" ht="18.75" customHeight="1" x14ac:dyDescent="0.35">
      <c r="T48816" s="246">
        <f t="shared" si="800"/>
        <v>0</v>
      </c>
    </row>
    <row r="48817" spans="20:20" ht="18.75" customHeight="1" x14ac:dyDescent="0.35">
      <c r="T48817" s="246">
        <f t="shared" si="800"/>
        <v>0</v>
      </c>
    </row>
    <row r="48818" spans="20:20" ht="18.75" customHeight="1" x14ac:dyDescent="0.35">
      <c r="T48818" s="246">
        <f t="shared" si="800"/>
        <v>0</v>
      </c>
    </row>
    <row r="48819" spans="20:20" ht="18.75" customHeight="1" x14ac:dyDescent="0.35">
      <c r="T48819" s="246">
        <f t="shared" si="800"/>
        <v>0</v>
      </c>
    </row>
    <row r="48820" spans="20:20" ht="18.75" customHeight="1" x14ac:dyDescent="0.35">
      <c r="T48820" s="246">
        <f t="shared" si="800"/>
        <v>0</v>
      </c>
    </row>
    <row r="48821" spans="20:20" ht="18.75" customHeight="1" x14ac:dyDescent="0.35">
      <c r="T48821" s="246">
        <f t="shared" si="800"/>
        <v>0</v>
      </c>
    </row>
    <row r="48822" spans="20:20" ht="18.75" customHeight="1" x14ac:dyDescent="0.35">
      <c r="T48822" s="246">
        <f t="shared" si="800"/>
        <v>0</v>
      </c>
    </row>
    <row r="48823" spans="20:20" ht="18.75" customHeight="1" x14ac:dyDescent="0.35">
      <c r="T48823" s="246">
        <f t="shared" si="800"/>
        <v>0</v>
      </c>
    </row>
    <row r="48824" spans="20:20" ht="18.75" customHeight="1" x14ac:dyDescent="0.35">
      <c r="T48824" s="246">
        <f t="shared" si="800"/>
        <v>0</v>
      </c>
    </row>
    <row r="48825" spans="20:20" ht="18.75" customHeight="1" x14ac:dyDescent="0.35">
      <c r="T48825" s="246">
        <f t="shared" si="800"/>
        <v>0</v>
      </c>
    </row>
    <row r="48826" spans="20:20" ht="18.75" customHeight="1" x14ac:dyDescent="0.35">
      <c r="T48826" s="246">
        <f t="shared" si="800"/>
        <v>0</v>
      </c>
    </row>
    <row r="48827" spans="20:20" ht="18.75" customHeight="1" x14ac:dyDescent="0.35">
      <c r="T48827" s="246">
        <f t="shared" si="800"/>
        <v>0</v>
      </c>
    </row>
    <row r="48828" spans="20:20" ht="18.75" customHeight="1" x14ac:dyDescent="0.35">
      <c r="T48828" s="246">
        <f t="shared" ref="T48828:T48891" si="801">R48828*0.01</f>
        <v>0</v>
      </c>
    </row>
    <row r="48829" spans="20:20" ht="18.75" customHeight="1" x14ac:dyDescent="0.35">
      <c r="T48829" s="246">
        <f t="shared" si="801"/>
        <v>0</v>
      </c>
    </row>
    <row r="48830" spans="20:20" ht="18.75" customHeight="1" x14ac:dyDescent="0.35">
      <c r="T48830" s="246">
        <f t="shared" si="801"/>
        <v>0</v>
      </c>
    </row>
    <row r="48831" spans="20:20" ht="18.75" customHeight="1" x14ac:dyDescent="0.35">
      <c r="T48831" s="246">
        <f t="shared" si="801"/>
        <v>0</v>
      </c>
    </row>
    <row r="48832" spans="20:20" ht="18.75" customHeight="1" x14ac:dyDescent="0.35">
      <c r="T48832" s="246">
        <f t="shared" si="801"/>
        <v>0</v>
      </c>
    </row>
    <row r="48833" spans="20:20" ht="18.75" customHeight="1" x14ac:dyDescent="0.35">
      <c r="T48833" s="246">
        <f t="shared" si="801"/>
        <v>0</v>
      </c>
    </row>
    <row r="48834" spans="20:20" ht="18.75" customHeight="1" x14ac:dyDescent="0.35">
      <c r="T48834" s="246">
        <f t="shared" si="801"/>
        <v>0</v>
      </c>
    </row>
    <row r="48835" spans="20:20" ht="18.75" customHeight="1" x14ac:dyDescent="0.35">
      <c r="T48835" s="246">
        <f t="shared" si="801"/>
        <v>0</v>
      </c>
    </row>
    <row r="48836" spans="20:20" ht="18.75" customHeight="1" x14ac:dyDescent="0.35">
      <c r="T48836" s="246">
        <f t="shared" si="801"/>
        <v>0</v>
      </c>
    </row>
    <row r="48837" spans="20:20" ht="18.75" customHeight="1" x14ac:dyDescent="0.35">
      <c r="T48837" s="246">
        <f t="shared" si="801"/>
        <v>0</v>
      </c>
    </row>
    <row r="48838" spans="20:20" ht="18.75" customHeight="1" x14ac:dyDescent="0.35">
      <c r="T48838" s="246">
        <f t="shared" si="801"/>
        <v>0</v>
      </c>
    </row>
    <row r="48839" spans="20:20" ht="18.75" customHeight="1" x14ac:dyDescent="0.35">
      <c r="T48839" s="246">
        <f t="shared" si="801"/>
        <v>0</v>
      </c>
    </row>
    <row r="48840" spans="20:20" ht="18.75" customHeight="1" x14ac:dyDescent="0.35">
      <c r="T48840" s="246">
        <f t="shared" si="801"/>
        <v>0</v>
      </c>
    </row>
    <row r="48841" spans="20:20" ht="18.75" customHeight="1" x14ac:dyDescent="0.35">
      <c r="T48841" s="246">
        <f t="shared" si="801"/>
        <v>0</v>
      </c>
    </row>
    <row r="48842" spans="20:20" ht="18.75" customHeight="1" x14ac:dyDescent="0.35">
      <c r="T48842" s="246">
        <f t="shared" si="801"/>
        <v>0</v>
      </c>
    </row>
    <row r="48843" spans="20:20" ht="18.75" customHeight="1" x14ac:dyDescent="0.35">
      <c r="T48843" s="246">
        <f t="shared" si="801"/>
        <v>0</v>
      </c>
    </row>
    <row r="48844" spans="20:20" ht="18.75" customHeight="1" x14ac:dyDescent="0.35">
      <c r="T48844" s="246">
        <f t="shared" si="801"/>
        <v>0</v>
      </c>
    </row>
    <row r="48845" spans="20:20" ht="18.75" customHeight="1" x14ac:dyDescent="0.35">
      <c r="T48845" s="246">
        <f t="shared" si="801"/>
        <v>0</v>
      </c>
    </row>
    <row r="48846" spans="20:20" ht="18.75" customHeight="1" x14ac:dyDescent="0.35">
      <c r="T48846" s="246">
        <f t="shared" si="801"/>
        <v>0</v>
      </c>
    </row>
    <row r="48847" spans="20:20" ht="18.75" customHeight="1" x14ac:dyDescent="0.35">
      <c r="T48847" s="246">
        <f t="shared" si="801"/>
        <v>0</v>
      </c>
    </row>
    <row r="48848" spans="20:20" ht="18.75" customHeight="1" x14ac:dyDescent="0.35">
      <c r="T48848" s="246">
        <f t="shared" si="801"/>
        <v>0</v>
      </c>
    </row>
    <row r="48849" spans="20:20" ht="18.75" customHeight="1" x14ac:dyDescent="0.35">
      <c r="T48849" s="246">
        <f t="shared" si="801"/>
        <v>0</v>
      </c>
    </row>
    <row r="48850" spans="20:20" ht="18.75" customHeight="1" x14ac:dyDescent="0.35">
      <c r="T48850" s="246">
        <f t="shared" si="801"/>
        <v>0</v>
      </c>
    </row>
    <row r="48851" spans="20:20" ht="18.75" customHeight="1" x14ac:dyDescent="0.35">
      <c r="T48851" s="246">
        <f t="shared" si="801"/>
        <v>0</v>
      </c>
    </row>
    <row r="48852" spans="20:20" ht="18.75" customHeight="1" x14ac:dyDescent="0.35">
      <c r="T48852" s="246">
        <f t="shared" si="801"/>
        <v>0</v>
      </c>
    </row>
    <row r="48853" spans="20:20" ht="18.75" customHeight="1" x14ac:dyDescent="0.35">
      <c r="T48853" s="246">
        <f t="shared" si="801"/>
        <v>0</v>
      </c>
    </row>
    <row r="48854" spans="20:20" ht="18.75" customHeight="1" x14ac:dyDescent="0.35">
      <c r="T48854" s="246">
        <f t="shared" si="801"/>
        <v>0</v>
      </c>
    </row>
    <row r="48855" spans="20:20" ht="18.75" customHeight="1" x14ac:dyDescent="0.35">
      <c r="T48855" s="246">
        <f t="shared" si="801"/>
        <v>0</v>
      </c>
    </row>
    <row r="48856" spans="20:20" ht="18.75" customHeight="1" x14ac:dyDescent="0.35">
      <c r="T48856" s="246">
        <f t="shared" si="801"/>
        <v>0</v>
      </c>
    </row>
    <row r="48857" spans="20:20" ht="18.75" customHeight="1" x14ac:dyDescent="0.35">
      <c r="T48857" s="246">
        <f t="shared" si="801"/>
        <v>0</v>
      </c>
    </row>
    <row r="48858" spans="20:20" ht="18.75" customHeight="1" x14ac:dyDescent="0.35">
      <c r="T48858" s="246">
        <f t="shared" si="801"/>
        <v>0</v>
      </c>
    </row>
    <row r="48859" spans="20:20" ht="18.75" customHeight="1" x14ac:dyDescent="0.35">
      <c r="T48859" s="246">
        <f t="shared" si="801"/>
        <v>0</v>
      </c>
    </row>
    <row r="48860" spans="20:20" ht="18.75" customHeight="1" x14ac:dyDescent="0.35">
      <c r="T48860" s="246">
        <f t="shared" si="801"/>
        <v>0</v>
      </c>
    </row>
    <row r="48861" spans="20:20" ht="18.75" customHeight="1" x14ac:dyDescent="0.35">
      <c r="T48861" s="246">
        <f t="shared" si="801"/>
        <v>0</v>
      </c>
    </row>
    <row r="48862" spans="20:20" ht="18.75" customHeight="1" x14ac:dyDescent="0.35">
      <c r="T48862" s="246">
        <f t="shared" si="801"/>
        <v>0</v>
      </c>
    </row>
    <row r="48863" spans="20:20" ht="18.75" customHeight="1" x14ac:dyDescent="0.35">
      <c r="T48863" s="246">
        <f t="shared" si="801"/>
        <v>0</v>
      </c>
    </row>
    <row r="48864" spans="20:20" ht="18.75" customHeight="1" x14ac:dyDescent="0.35">
      <c r="T48864" s="246">
        <f t="shared" si="801"/>
        <v>0</v>
      </c>
    </row>
    <row r="48865" spans="20:20" ht="18.75" customHeight="1" x14ac:dyDescent="0.35">
      <c r="T48865" s="246">
        <f t="shared" si="801"/>
        <v>0</v>
      </c>
    </row>
    <row r="48866" spans="20:20" ht="18.75" customHeight="1" x14ac:dyDescent="0.35">
      <c r="T48866" s="246">
        <f t="shared" si="801"/>
        <v>0</v>
      </c>
    </row>
    <row r="48867" spans="20:20" ht="18.75" customHeight="1" x14ac:dyDescent="0.35">
      <c r="T48867" s="246">
        <f t="shared" si="801"/>
        <v>0</v>
      </c>
    </row>
    <row r="48868" spans="20:20" ht="18.75" customHeight="1" x14ac:dyDescent="0.35">
      <c r="T48868" s="246">
        <f t="shared" si="801"/>
        <v>0</v>
      </c>
    </row>
    <row r="48869" spans="20:20" ht="18.75" customHeight="1" x14ac:dyDescent="0.35">
      <c r="T48869" s="246">
        <f t="shared" si="801"/>
        <v>0</v>
      </c>
    </row>
    <row r="48870" spans="20:20" ht="18.75" customHeight="1" x14ac:dyDescent="0.35">
      <c r="T48870" s="246">
        <f t="shared" si="801"/>
        <v>0</v>
      </c>
    </row>
    <row r="48871" spans="20:20" ht="18.75" customHeight="1" x14ac:dyDescent="0.35">
      <c r="T48871" s="246">
        <f t="shared" si="801"/>
        <v>0</v>
      </c>
    </row>
    <row r="48872" spans="20:20" ht="18.75" customHeight="1" x14ac:dyDescent="0.35">
      <c r="T48872" s="246">
        <f t="shared" si="801"/>
        <v>0</v>
      </c>
    </row>
    <row r="48873" spans="20:20" ht="18.75" customHeight="1" x14ac:dyDescent="0.35">
      <c r="T48873" s="246">
        <f t="shared" si="801"/>
        <v>0</v>
      </c>
    </row>
    <row r="48874" spans="20:20" ht="18.75" customHeight="1" x14ac:dyDescent="0.35">
      <c r="T48874" s="246">
        <f t="shared" si="801"/>
        <v>0</v>
      </c>
    </row>
    <row r="48875" spans="20:20" ht="18.75" customHeight="1" x14ac:dyDescent="0.35">
      <c r="T48875" s="246">
        <f t="shared" si="801"/>
        <v>0</v>
      </c>
    </row>
    <row r="48876" spans="20:20" ht="18.75" customHeight="1" x14ac:dyDescent="0.35">
      <c r="T48876" s="246">
        <f t="shared" si="801"/>
        <v>0</v>
      </c>
    </row>
    <row r="48877" spans="20:20" ht="18.75" customHeight="1" x14ac:dyDescent="0.35">
      <c r="T48877" s="246">
        <f t="shared" si="801"/>
        <v>0</v>
      </c>
    </row>
    <row r="48878" spans="20:20" ht="18.75" customHeight="1" x14ac:dyDescent="0.35">
      <c r="T48878" s="246">
        <f t="shared" si="801"/>
        <v>0</v>
      </c>
    </row>
    <row r="48879" spans="20:20" ht="18.75" customHeight="1" x14ac:dyDescent="0.35">
      <c r="T48879" s="246">
        <f t="shared" si="801"/>
        <v>0</v>
      </c>
    </row>
    <row r="48880" spans="20:20" ht="18.75" customHeight="1" x14ac:dyDescent="0.35">
      <c r="T48880" s="246">
        <f t="shared" si="801"/>
        <v>0</v>
      </c>
    </row>
    <row r="48881" spans="20:20" ht="18.75" customHeight="1" x14ac:dyDescent="0.35">
      <c r="T48881" s="246">
        <f t="shared" si="801"/>
        <v>0</v>
      </c>
    </row>
    <row r="48882" spans="20:20" ht="18.75" customHeight="1" x14ac:dyDescent="0.35">
      <c r="T48882" s="246">
        <f t="shared" si="801"/>
        <v>0</v>
      </c>
    </row>
    <row r="48883" spans="20:20" ht="18.75" customHeight="1" x14ac:dyDescent="0.35">
      <c r="T48883" s="246">
        <f t="shared" si="801"/>
        <v>0</v>
      </c>
    </row>
    <row r="48884" spans="20:20" ht="18.75" customHeight="1" x14ac:dyDescent="0.35">
      <c r="T48884" s="246">
        <f t="shared" si="801"/>
        <v>0</v>
      </c>
    </row>
    <row r="48885" spans="20:20" ht="18.75" customHeight="1" x14ac:dyDescent="0.35">
      <c r="T48885" s="246">
        <f t="shared" si="801"/>
        <v>0</v>
      </c>
    </row>
    <row r="48886" spans="20:20" ht="18.75" customHeight="1" x14ac:dyDescent="0.35">
      <c r="T48886" s="246">
        <f t="shared" si="801"/>
        <v>0</v>
      </c>
    </row>
    <row r="48887" spans="20:20" ht="18.75" customHeight="1" x14ac:dyDescent="0.35">
      <c r="T48887" s="246">
        <f t="shared" si="801"/>
        <v>0</v>
      </c>
    </row>
    <row r="48888" spans="20:20" ht="18.75" customHeight="1" x14ac:dyDescent="0.35">
      <c r="T48888" s="246">
        <f t="shared" si="801"/>
        <v>0</v>
      </c>
    </row>
    <row r="48889" spans="20:20" ht="18.75" customHeight="1" x14ac:dyDescent="0.35">
      <c r="T48889" s="246">
        <f t="shared" si="801"/>
        <v>0</v>
      </c>
    </row>
    <row r="48890" spans="20:20" ht="18.75" customHeight="1" x14ac:dyDescent="0.35">
      <c r="T48890" s="246">
        <f t="shared" si="801"/>
        <v>0</v>
      </c>
    </row>
    <row r="48891" spans="20:20" ht="18.75" customHeight="1" x14ac:dyDescent="0.35">
      <c r="T48891" s="246">
        <f t="shared" si="801"/>
        <v>0</v>
      </c>
    </row>
    <row r="48892" spans="20:20" ht="18.75" customHeight="1" x14ac:dyDescent="0.35">
      <c r="T48892" s="246">
        <f t="shared" ref="T48892:T48955" si="802">R48892*0.01</f>
        <v>0</v>
      </c>
    </row>
    <row r="48893" spans="20:20" ht="18.75" customHeight="1" x14ac:dyDescent="0.35">
      <c r="T48893" s="246">
        <f t="shared" si="802"/>
        <v>0</v>
      </c>
    </row>
    <row r="48894" spans="20:20" ht="18.75" customHeight="1" x14ac:dyDescent="0.35">
      <c r="T48894" s="246">
        <f t="shared" si="802"/>
        <v>0</v>
      </c>
    </row>
    <row r="48895" spans="20:20" ht="18.75" customHeight="1" x14ac:dyDescent="0.35">
      <c r="T48895" s="246">
        <f t="shared" si="802"/>
        <v>0</v>
      </c>
    </row>
    <row r="48896" spans="20:20" ht="18.75" customHeight="1" x14ac:dyDescent="0.35">
      <c r="T48896" s="246">
        <f t="shared" si="802"/>
        <v>0</v>
      </c>
    </row>
    <row r="48897" spans="20:20" ht="18.75" customHeight="1" x14ac:dyDescent="0.35">
      <c r="T48897" s="246">
        <f t="shared" si="802"/>
        <v>0</v>
      </c>
    </row>
    <row r="48898" spans="20:20" ht="18.75" customHeight="1" x14ac:dyDescent="0.35">
      <c r="T48898" s="246">
        <f t="shared" si="802"/>
        <v>0</v>
      </c>
    </row>
    <row r="48899" spans="20:20" ht="18.75" customHeight="1" x14ac:dyDescent="0.35">
      <c r="T48899" s="246">
        <f t="shared" si="802"/>
        <v>0</v>
      </c>
    </row>
    <row r="48900" spans="20:20" ht="18.75" customHeight="1" x14ac:dyDescent="0.35">
      <c r="T48900" s="246">
        <f t="shared" si="802"/>
        <v>0</v>
      </c>
    </row>
    <row r="48901" spans="20:20" ht="18.75" customHeight="1" x14ac:dyDescent="0.35">
      <c r="T48901" s="246">
        <f t="shared" si="802"/>
        <v>0</v>
      </c>
    </row>
    <row r="48902" spans="20:20" ht="18.75" customHeight="1" x14ac:dyDescent="0.35">
      <c r="T48902" s="246">
        <f t="shared" si="802"/>
        <v>0</v>
      </c>
    </row>
    <row r="48903" spans="20:20" ht="18.75" customHeight="1" x14ac:dyDescent="0.35">
      <c r="T48903" s="246">
        <f t="shared" si="802"/>
        <v>0</v>
      </c>
    </row>
    <row r="48904" spans="20:20" ht="18.75" customHeight="1" x14ac:dyDescent="0.35">
      <c r="T48904" s="246">
        <f t="shared" si="802"/>
        <v>0</v>
      </c>
    </row>
    <row r="48905" spans="20:20" ht="18.75" customHeight="1" x14ac:dyDescent="0.35">
      <c r="T48905" s="246">
        <f t="shared" si="802"/>
        <v>0</v>
      </c>
    </row>
    <row r="48906" spans="20:20" ht="18.75" customHeight="1" x14ac:dyDescent="0.35">
      <c r="T48906" s="246">
        <f t="shared" si="802"/>
        <v>0</v>
      </c>
    </row>
    <row r="48907" spans="20:20" ht="18.75" customHeight="1" x14ac:dyDescent="0.35">
      <c r="T48907" s="246">
        <f t="shared" si="802"/>
        <v>0</v>
      </c>
    </row>
    <row r="48908" spans="20:20" ht="18.75" customHeight="1" x14ac:dyDescent="0.35">
      <c r="T48908" s="246">
        <f t="shared" si="802"/>
        <v>0</v>
      </c>
    </row>
    <row r="48909" spans="20:20" ht="18.75" customHeight="1" x14ac:dyDescent="0.35">
      <c r="T48909" s="246">
        <f t="shared" si="802"/>
        <v>0</v>
      </c>
    </row>
    <row r="48910" spans="20:20" ht="18.75" customHeight="1" x14ac:dyDescent="0.35">
      <c r="T48910" s="246">
        <f t="shared" si="802"/>
        <v>0</v>
      </c>
    </row>
    <row r="48911" spans="20:20" ht="18.75" customHeight="1" x14ac:dyDescent="0.35">
      <c r="T48911" s="246">
        <f t="shared" si="802"/>
        <v>0</v>
      </c>
    </row>
    <row r="48912" spans="20:20" ht="18.75" customHeight="1" x14ac:dyDescent="0.35">
      <c r="T48912" s="246">
        <f t="shared" si="802"/>
        <v>0</v>
      </c>
    </row>
    <row r="48913" spans="20:20" ht="18.75" customHeight="1" x14ac:dyDescent="0.35">
      <c r="T48913" s="246">
        <f t="shared" si="802"/>
        <v>0</v>
      </c>
    </row>
    <row r="48914" spans="20:20" ht="18.75" customHeight="1" x14ac:dyDescent="0.35">
      <c r="T48914" s="246">
        <f t="shared" si="802"/>
        <v>0</v>
      </c>
    </row>
    <row r="48915" spans="20:20" ht="18.75" customHeight="1" x14ac:dyDescent="0.35">
      <c r="T48915" s="246">
        <f t="shared" si="802"/>
        <v>0</v>
      </c>
    </row>
    <row r="48916" spans="20:20" ht="18.75" customHeight="1" x14ac:dyDescent="0.35">
      <c r="T48916" s="246">
        <f t="shared" si="802"/>
        <v>0</v>
      </c>
    </row>
    <row r="48917" spans="20:20" ht="18.75" customHeight="1" x14ac:dyDescent="0.35">
      <c r="T48917" s="246">
        <f t="shared" si="802"/>
        <v>0</v>
      </c>
    </row>
    <row r="48918" spans="20:20" ht="18.75" customHeight="1" x14ac:dyDescent="0.35">
      <c r="T48918" s="246">
        <f t="shared" si="802"/>
        <v>0</v>
      </c>
    </row>
    <row r="48919" spans="20:20" ht="18.75" customHeight="1" x14ac:dyDescent="0.35">
      <c r="T48919" s="246">
        <f t="shared" si="802"/>
        <v>0</v>
      </c>
    </row>
    <row r="48920" spans="20:20" ht="18.75" customHeight="1" x14ac:dyDescent="0.35">
      <c r="T48920" s="246">
        <f t="shared" si="802"/>
        <v>0</v>
      </c>
    </row>
    <row r="48921" spans="20:20" ht="18.75" customHeight="1" x14ac:dyDescent="0.35">
      <c r="T48921" s="246">
        <f t="shared" si="802"/>
        <v>0</v>
      </c>
    </row>
    <row r="48922" spans="20:20" ht="18.75" customHeight="1" x14ac:dyDescent="0.35">
      <c r="T48922" s="246">
        <f t="shared" si="802"/>
        <v>0</v>
      </c>
    </row>
    <row r="48923" spans="20:20" ht="18.75" customHeight="1" x14ac:dyDescent="0.35">
      <c r="T48923" s="246">
        <f t="shared" si="802"/>
        <v>0</v>
      </c>
    </row>
    <row r="48924" spans="20:20" ht="18.75" customHeight="1" x14ac:dyDescent="0.35">
      <c r="T48924" s="246">
        <f t="shared" si="802"/>
        <v>0</v>
      </c>
    </row>
    <row r="48925" spans="20:20" ht="18.75" customHeight="1" x14ac:dyDescent="0.35">
      <c r="T48925" s="246">
        <f t="shared" si="802"/>
        <v>0</v>
      </c>
    </row>
    <row r="48926" spans="20:20" ht="18.75" customHeight="1" x14ac:dyDescent="0.35">
      <c r="T48926" s="246">
        <f t="shared" si="802"/>
        <v>0</v>
      </c>
    </row>
    <row r="48927" spans="20:20" ht="18.75" customHeight="1" x14ac:dyDescent="0.35">
      <c r="T48927" s="246">
        <f t="shared" si="802"/>
        <v>0</v>
      </c>
    </row>
    <row r="48928" spans="20:20" ht="18.75" customHeight="1" x14ac:dyDescent="0.35">
      <c r="T48928" s="246">
        <f t="shared" si="802"/>
        <v>0</v>
      </c>
    </row>
    <row r="48929" spans="20:20" ht="18.75" customHeight="1" x14ac:dyDescent="0.35">
      <c r="T48929" s="246">
        <f t="shared" si="802"/>
        <v>0</v>
      </c>
    </row>
    <row r="48930" spans="20:20" ht="18.75" customHeight="1" x14ac:dyDescent="0.35">
      <c r="T48930" s="246">
        <f t="shared" si="802"/>
        <v>0</v>
      </c>
    </row>
    <row r="48931" spans="20:20" ht="18.75" customHeight="1" x14ac:dyDescent="0.35">
      <c r="T48931" s="246">
        <f t="shared" si="802"/>
        <v>0</v>
      </c>
    </row>
    <row r="48932" spans="20:20" ht="18.75" customHeight="1" x14ac:dyDescent="0.35">
      <c r="T48932" s="246">
        <f t="shared" si="802"/>
        <v>0</v>
      </c>
    </row>
    <row r="48933" spans="20:20" ht="18.75" customHeight="1" x14ac:dyDescent="0.35">
      <c r="T48933" s="246">
        <f t="shared" si="802"/>
        <v>0</v>
      </c>
    </row>
    <row r="48934" spans="20:20" ht="18.75" customHeight="1" x14ac:dyDescent="0.35">
      <c r="T48934" s="246">
        <f t="shared" si="802"/>
        <v>0</v>
      </c>
    </row>
    <row r="48935" spans="20:20" ht="18.75" customHeight="1" x14ac:dyDescent="0.35">
      <c r="T48935" s="246">
        <f t="shared" si="802"/>
        <v>0</v>
      </c>
    </row>
    <row r="48936" spans="20:20" ht="18.75" customHeight="1" x14ac:dyDescent="0.35">
      <c r="T48936" s="246">
        <f t="shared" si="802"/>
        <v>0</v>
      </c>
    </row>
    <row r="48937" spans="20:20" ht="18.75" customHeight="1" x14ac:dyDescent="0.35">
      <c r="T48937" s="246">
        <f t="shared" si="802"/>
        <v>0</v>
      </c>
    </row>
    <row r="48938" spans="20:20" ht="18.75" customHeight="1" x14ac:dyDescent="0.35">
      <c r="T48938" s="246">
        <f t="shared" si="802"/>
        <v>0</v>
      </c>
    </row>
    <row r="48939" spans="20:20" ht="18.75" customHeight="1" x14ac:dyDescent="0.35">
      <c r="T48939" s="246">
        <f t="shared" si="802"/>
        <v>0</v>
      </c>
    </row>
    <row r="48940" spans="20:20" ht="18.75" customHeight="1" x14ac:dyDescent="0.35">
      <c r="T48940" s="246">
        <f t="shared" si="802"/>
        <v>0</v>
      </c>
    </row>
    <row r="48941" spans="20:20" ht="18.75" customHeight="1" x14ac:dyDescent="0.35">
      <c r="T48941" s="246">
        <f t="shared" si="802"/>
        <v>0</v>
      </c>
    </row>
    <row r="48942" spans="20:20" ht="18.75" customHeight="1" x14ac:dyDescent="0.35">
      <c r="T48942" s="246">
        <f t="shared" si="802"/>
        <v>0</v>
      </c>
    </row>
    <row r="48943" spans="20:20" ht="18.75" customHeight="1" x14ac:dyDescent="0.35">
      <c r="T48943" s="246">
        <f t="shared" si="802"/>
        <v>0</v>
      </c>
    </row>
    <row r="48944" spans="20:20" ht="18.75" customHeight="1" x14ac:dyDescent="0.35">
      <c r="T48944" s="246">
        <f t="shared" si="802"/>
        <v>0</v>
      </c>
    </row>
    <row r="48945" spans="20:20" ht="18.75" customHeight="1" x14ac:dyDescent="0.35">
      <c r="T48945" s="246">
        <f t="shared" si="802"/>
        <v>0</v>
      </c>
    </row>
    <row r="48946" spans="20:20" ht="18.75" customHeight="1" x14ac:dyDescent="0.35">
      <c r="T48946" s="246">
        <f t="shared" si="802"/>
        <v>0</v>
      </c>
    </row>
    <row r="48947" spans="20:20" ht="18.75" customHeight="1" x14ac:dyDescent="0.35">
      <c r="T48947" s="246">
        <f t="shared" si="802"/>
        <v>0</v>
      </c>
    </row>
    <row r="48948" spans="20:20" ht="18.75" customHeight="1" x14ac:dyDescent="0.35">
      <c r="T48948" s="246">
        <f t="shared" si="802"/>
        <v>0</v>
      </c>
    </row>
    <row r="48949" spans="20:20" ht="18.75" customHeight="1" x14ac:dyDescent="0.35">
      <c r="T48949" s="246">
        <f t="shared" si="802"/>
        <v>0</v>
      </c>
    </row>
    <row r="48950" spans="20:20" ht="18.75" customHeight="1" x14ac:dyDescent="0.35">
      <c r="T48950" s="246">
        <f t="shared" si="802"/>
        <v>0</v>
      </c>
    </row>
    <row r="48951" spans="20:20" ht="18.75" customHeight="1" x14ac:dyDescent="0.35">
      <c r="T48951" s="246">
        <f t="shared" si="802"/>
        <v>0</v>
      </c>
    </row>
    <row r="48952" spans="20:20" ht="18.75" customHeight="1" x14ac:dyDescent="0.35">
      <c r="T48952" s="246">
        <f t="shared" si="802"/>
        <v>0</v>
      </c>
    </row>
    <row r="48953" spans="20:20" ht="18.75" customHeight="1" x14ac:dyDescent="0.35">
      <c r="T48953" s="246">
        <f t="shared" si="802"/>
        <v>0</v>
      </c>
    </row>
    <row r="48954" spans="20:20" ht="18.75" customHeight="1" x14ac:dyDescent="0.35">
      <c r="T48954" s="246">
        <f t="shared" si="802"/>
        <v>0</v>
      </c>
    </row>
    <row r="48955" spans="20:20" ht="18.75" customHeight="1" x14ac:dyDescent="0.35">
      <c r="T48955" s="246">
        <f t="shared" si="802"/>
        <v>0</v>
      </c>
    </row>
    <row r="48956" spans="20:20" ht="18.75" customHeight="1" x14ac:dyDescent="0.35">
      <c r="T48956" s="246">
        <f t="shared" ref="T48956:T49019" si="803">R48956*0.01</f>
        <v>0</v>
      </c>
    </row>
    <row r="48957" spans="20:20" ht="18.75" customHeight="1" x14ac:dyDescent="0.35">
      <c r="T48957" s="246">
        <f t="shared" si="803"/>
        <v>0</v>
      </c>
    </row>
    <row r="48958" spans="20:20" ht="18.75" customHeight="1" x14ac:dyDescent="0.35">
      <c r="T48958" s="246">
        <f t="shared" si="803"/>
        <v>0</v>
      </c>
    </row>
    <row r="48959" spans="20:20" ht="18.75" customHeight="1" x14ac:dyDescent="0.35">
      <c r="T48959" s="246">
        <f t="shared" si="803"/>
        <v>0</v>
      </c>
    </row>
    <row r="48960" spans="20:20" ht="18.75" customHeight="1" x14ac:dyDescent="0.35">
      <c r="T48960" s="246">
        <f t="shared" si="803"/>
        <v>0</v>
      </c>
    </row>
    <row r="48961" spans="20:20" ht="18.75" customHeight="1" x14ac:dyDescent="0.35">
      <c r="T48961" s="246">
        <f t="shared" si="803"/>
        <v>0</v>
      </c>
    </row>
    <row r="48962" spans="20:20" ht="18.75" customHeight="1" x14ac:dyDescent="0.35">
      <c r="T48962" s="246">
        <f t="shared" si="803"/>
        <v>0</v>
      </c>
    </row>
    <row r="48963" spans="20:20" ht="18.75" customHeight="1" x14ac:dyDescent="0.35">
      <c r="T48963" s="246">
        <f t="shared" si="803"/>
        <v>0</v>
      </c>
    </row>
    <row r="48964" spans="20:20" ht="18.75" customHeight="1" x14ac:dyDescent="0.35">
      <c r="T48964" s="246">
        <f t="shared" si="803"/>
        <v>0</v>
      </c>
    </row>
    <row r="48965" spans="20:20" ht="18.75" customHeight="1" x14ac:dyDescent="0.35">
      <c r="T48965" s="246">
        <f t="shared" si="803"/>
        <v>0</v>
      </c>
    </row>
    <row r="48966" spans="20:20" ht="18.75" customHeight="1" x14ac:dyDescent="0.35">
      <c r="T48966" s="246">
        <f t="shared" si="803"/>
        <v>0</v>
      </c>
    </row>
    <row r="48967" spans="20:20" ht="18.75" customHeight="1" x14ac:dyDescent="0.35">
      <c r="T48967" s="246">
        <f t="shared" si="803"/>
        <v>0</v>
      </c>
    </row>
    <row r="48968" spans="20:20" ht="18.75" customHeight="1" x14ac:dyDescent="0.35">
      <c r="T48968" s="246">
        <f t="shared" si="803"/>
        <v>0</v>
      </c>
    </row>
    <row r="48969" spans="20:20" ht="18.75" customHeight="1" x14ac:dyDescent="0.35">
      <c r="T48969" s="246">
        <f t="shared" si="803"/>
        <v>0</v>
      </c>
    </row>
    <row r="48970" spans="20:20" ht="18.75" customHeight="1" x14ac:dyDescent="0.35">
      <c r="T48970" s="246">
        <f t="shared" si="803"/>
        <v>0</v>
      </c>
    </row>
    <row r="48971" spans="20:20" ht="18.75" customHeight="1" x14ac:dyDescent="0.35">
      <c r="T48971" s="246">
        <f t="shared" si="803"/>
        <v>0</v>
      </c>
    </row>
    <row r="48972" spans="20:20" ht="18.75" customHeight="1" x14ac:dyDescent="0.35">
      <c r="T48972" s="246">
        <f t="shared" si="803"/>
        <v>0</v>
      </c>
    </row>
    <row r="48973" spans="20:20" ht="18.75" customHeight="1" x14ac:dyDescent="0.35">
      <c r="T48973" s="246">
        <f t="shared" si="803"/>
        <v>0</v>
      </c>
    </row>
    <row r="48974" spans="20:20" ht="18.75" customHeight="1" x14ac:dyDescent="0.35">
      <c r="T48974" s="246">
        <f t="shared" si="803"/>
        <v>0</v>
      </c>
    </row>
    <row r="48975" spans="20:20" ht="18.75" customHeight="1" x14ac:dyDescent="0.35">
      <c r="T48975" s="246">
        <f t="shared" si="803"/>
        <v>0</v>
      </c>
    </row>
    <row r="48976" spans="20:20" ht="18.75" customHeight="1" x14ac:dyDescent="0.35">
      <c r="T48976" s="246">
        <f t="shared" si="803"/>
        <v>0</v>
      </c>
    </row>
    <row r="48977" spans="20:20" ht="18.75" customHeight="1" x14ac:dyDescent="0.35">
      <c r="T48977" s="246">
        <f t="shared" si="803"/>
        <v>0</v>
      </c>
    </row>
    <row r="48978" spans="20:20" ht="18.75" customHeight="1" x14ac:dyDescent="0.35">
      <c r="T48978" s="246">
        <f t="shared" si="803"/>
        <v>0</v>
      </c>
    </row>
    <row r="48979" spans="20:20" ht="18.75" customHeight="1" x14ac:dyDescent="0.35">
      <c r="T48979" s="246">
        <f t="shared" si="803"/>
        <v>0</v>
      </c>
    </row>
    <row r="48980" spans="20:20" ht="18.75" customHeight="1" x14ac:dyDescent="0.35">
      <c r="T48980" s="246">
        <f t="shared" si="803"/>
        <v>0</v>
      </c>
    </row>
    <row r="48981" spans="20:20" ht="18.75" customHeight="1" x14ac:dyDescent="0.35">
      <c r="T48981" s="246">
        <f t="shared" si="803"/>
        <v>0</v>
      </c>
    </row>
    <row r="48982" spans="20:20" ht="18.75" customHeight="1" x14ac:dyDescent="0.35">
      <c r="T48982" s="246">
        <f t="shared" si="803"/>
        <v>0</v>
      </c>
    </row>
    <row r="48983" spans="20:20" ht="18.75" customHeight="1" x14ac:dyDescent="0.35">
      <c r="T48983" s="246">
        <f t="shared" si="803"/>
        <v>0</v>
      </c>
    </row>
    <row r="48984" spans="20:20" ht="18.75" customHeight="1" x14ac:dyDescent="0.35">
      <c r="T48984" s="246">
        <f t="shared" si="803"/>
        <v>0</v>
      </c>
    </row>
    <row r="48985" spans="20:20" ht="18.75" customHeight="1" x14ac:dyDescent="0.35">
      <c r="T48985" s="246">
        <f t="shared" si="803"/>
        <v>0</v>
      </c>
    </row>
    <row r="48986" spans="20:20" ht="18.75" customHeight="1" x14ac:dyDescent="0.35">
      <c r="T48986" s="246">
        <f t="shared" si="803"/>
        <v>0</v>
      </c>
    </row>
    <row r="48987" spans="20:20" ht="18.75" customHeight="1" x14ac:dyDescent="0.35">
      <c r="T48987" s="246">
        <f t="shared" si="803"/>
        <v>0</v>
      </c>
    </row>
    <row r="48988" spans="20:20" ht="18.75" customHeight="1" x14ac:dyDescent="0.35">
      <c r="T48988" s="246">
        <f t="shared" si="803"/>
        <v>0</v>
      </c>
    </row>
    <row r="48989" spans="20:20" ht="18.75" customHeight="1" x14ac:dyDescent="0.35">
      <c r="T48989" s="246">
        <f t="shared" si="803"/>
        <v>0</v>
      </c>
    </row>
    <row r="48990" spans="20:20" ht="18.75" customHeight="1" x14ac:dyDescent="0.35">
      <c r="T48990" s="246">
        <f t="shared" si="803"/>
        <v>0</v>
      </c>
    </row>
    <row r="48991" spans="20:20" ht="18.75" customHeight="1" x14ac:dyDescent="0.35">
      <c r="T48991" s="246">
        <f t="shared" si="803"/>
        <v>0</v>
      </c>
    </row>
    <row r="48992" spans="20:20" ht="18.75" customHeight="1" x14ac:dyDescent="0.35">
      <c r="T48992" s="246">
        <f t="shared" si="803"/>
        <v>0</v>
      </c>
    </row>
    <row r="48993" spans="20:20" ht="18.75" customHeight="1" x14ac:dyDescent="0.35">
      <c r="T48993" s="246">
        <f t="shared" si="803"/>
        <v>0</v>
      </c>
    </row>
    <row r="48994" spans="20:20" ht="18.75" customHeight="1" x14ac:dyDescent="0.35">
      <c r="T48994" s="246">
        <f t="shared" si="803"/>
        <v>0</v>
      </c>
    </row>
    <row r="48995" spans="20:20" ht="18.75" customHeight="1" x14ac:dyDescent="0.35">
      <c r="T48995" s="246">
        <f t="shared" si="803"/>
        <v>0</v>
      </c>
    </row>
    <row r="48996" spans="20:20" ht="18.75" customHeight="1" x14ac:dyDescent="0.35">
      <c r="T48996" s="246">
        <f t="shared" si="803"/>
        <v>0</v>
      </c>
    </row>
    <row r="48997" spans="20:20" ht="18.75" customHeight="1" x14ac:dyDescent="0.35">
      <c r="T48997" s="246">
        <f t="shared" si="803"/>
        <v>0</v>
      </c>
    </row>
    <row r="48998" spans="20:20" ht="18.75" customHeight="1" x14ac:dyDescent="0.35">
      <c r="T48998" s="246">
        <f t="shared" si="803"/>
        <v>0</v>
      </c>
    </row>
    <row r="48999" spans="20:20" ht="18.75" customHeight="1" x14ac:dyDescent="0.35">
      <c r="T48999" s="246">
        <f t="shared" si="803"/>
        <v>0</v>
      </c>
    </row>
    <row r="49000" spans="20:20" ht="18.75" customHeight="1" x14ac:dyDescent="0.35">
      <c r="T49000" s="246">
        <f t="shared" si="803"/>
        <v>0</v>
      </c>
    </row>
    <row r="49001" spans="20:20" ht="18.75" customHeight="1" x14ac:dyDescent="0.35">
      <c r="T49001" s="246">
        <f t="shared" si="803"/>
        <v>0</v>
      </c>
    </row>
    <row r="49002" spans="20:20" ht="18.75" customHeight="1" x14ac:dyDescent="0.35">
      <c r="T49002" s="246">
        <f t="shared" si="803"/>
        <v>0</v>
      </c>
    </row>
    <row r="49003" spans="20:20" ht="18.75" customHeight="1" x14ac:dyDescent="0.35">
      <c r="T49003" s="246">
        <f t="shared" si="803"/>
        <v>0</v>
      </c>
    </row>
    <row r="49004" spans="20:20" ht="18.75" customHeight="1" x14ac:dyDescent="0.35">
      <c r="T49004" s="246">
        <f t="shared" si="803"/>
        <v>0</v>
      </c>
    </row>
    <row r="49005" spans="20:20" ht="18.75" customHeight="1" x14ac:dyDescent="0.35">
      <c r="T49005" s="246">
        <f t="shared" si="803"/>
        <v>0</v>
      </c>
    </row>
    <row r="49006" spans="20:20" ht="18.75" customHeight="1" x14ac:dyDescent="0.35">
      <c r="T49006" s="246">
        <f t="shared" si="803"/>
        <v>0</v>
      </c>
    </row>
    <row r="49007" spans="20:20" ht="18.75" customHeight="1" x14ac:dyDescent="0.35">
      <c r="T49007" s="246">
        <f t="shared" si="803"/>
        <v>0</v>
      </c>
    </row>
    <row r="49008" spans="20:20" ht="18.75" customHeight="1" x14ac:dyDescent="0.35">
      <c r="T49008" s="246">
        <f t="shared" si="803"/>
        <v>0</v>
      </c>
    </row>
    <row r="49009" spans="20:20" ht="18.75" customHeight="1" x14ac:dyDescent="0.35">
      <c r="T49009" s="246">
        <f t="shared" si="803"/>
        <v>0</v>
      </c>
    </row>
    <row r="49010" spans="20:20" ht="18.75" customHeight="1" x14ac:dyDescent="0.35">
      <c r="T49010" s="246">
        <f t="shared" si="803"/>
        <v>0</v>
      </c>
    </row>
    <row r="49011" spans="20:20" ht="18.75" customHeight="1" x14ac:dyDescent="0.35">
      <c r="T49011" s="246">
        <f t="shared" si="803"/>
        <v>0</v>
      </c>
    </row>
    <row r="49012" spans="20:20" ht="18.75" customHeight="1" x14ac:dyDescent="0.35">
      <c r="T49012" s="246">
        <f t="shared" si="803"/>
        <v>0</v>
      </c>
    </row>
    <row r="49013" spans="20:20" ht="18.75" customHeight="1" x14ac:dyDescent="0.35">
      <c r="T49013" s="246">
        <f t="shared" si="803"/>
        <v>0</v>
      </c>
    </row>
    <row r="49014" spans="20:20" ht="18.75" customHeight="1" x14ac:dyDescent="0.35">
      <c r="T49014" s="246">
        <f t="shared" si="803"/>
        <v>0</v>
      </c>
    </row>
    <row r="49015" spans="20:20" ht="18.75" customHeight="1" x14ac:dyDescent="0.35">
      <c r="T49015" s="246">
        <f t="shared" si="803"/>
        <v>0</v>
      </c>
    </row>
    <row r="49016" spans="20:20" ht="18.75" customHeight="1" x14ac:dyDescent="0.35">
      <c r="T49016" s="246">
        <f t="shared" si="803"/>
        <v>0</v>
      </c>
    </row>
    <row r="49017" spans="20:20" ht="18.75" customHeight="1" x14ac:dyDescent="0.35">
      <c r="T49017" s="246">
        <f t="shared" si="803"/>
        <v>0</v>
      </c>
    </row>
    <row r="49018" spans="20:20" ht="18.75" customHeight="1" x14ac:dyDescent="0.35">
      <c r="T49018" s="246">
        <f t="shared" si="803"/>
        <v>0</v>
      </c>
    </row>
    <row r="49019" spans="20:20" ht="18.75" customHeight="1" x14ac:dyDescent="0.35">
      <c r="T49019" s="246">
        <f t="shared" si="803"/>
        <v>0</v>
      </c>
    </row>
    <row r="49020" spans="20:20" ht="18.75" customHeight="1" x14ac:dyDescent="0.35">
      <c r="T49020" s="246">
        <f t="shared" ref="T49020:T49083" si="804">R49020*0.01</f>
        <v>0</v>
      </c>
    </row>
    <row r="49021" spans="20:20" ht="18.75" customHeight="1" x14ac:dyDescent="0.35">
      <c r="T49021" s="246">
        <f t="shared" si="804"/>
        <v>0</v>
      </c>
    </row>
    <row r="49022" spans="20:20" ht="18.75" customHeight="1" x14ac:dyDescent="0.35">
      <c r="T49022" s="246">
        <f t="shared" si="804"/>
        <v>0</v>
      </c>
    </row>
    <row r="49023" spans="20:20" ht="18.75" customHeight="1" x14ac:dyDescent="0.35">
      <c r="T49023" s="246">
        <f t="shared" si="804"/>
        <v>0</v>
      </c>
    </row>
    <row r="49024" spans="20:20" ht="18.75" customHeight="1" x14ac:dyDescent="0.35">
      <c r="T49024" s="246">
        <f t="shared" si="804"/>
        <v>0</v>
      </c>
    </row>
    <row r="49025" spans="20:20" ht="18.75" customHeight="1" x14ac:dyDescent="0.35">
      <c r="T49025" s="246">
        <f t="shared" si="804"/>
        <v>0</v>
      </c>
    </row>
    <row r="49026" spans="20:20" ht="18.75" customHeight="1" x14ac:dyDescent="0.35">
      <c r="T49026" s="246">
        <f t="shared" si="804"/>
        <v>0</v>
      </c>
    </row>
    <row r="49027" spans="20:20" ht="18.75" customHeight="1" x14ac:dyDescent="0.35">
      <c r="T49027" s="246">
        <f t="shared" si="804"/>
        <v>0</v>
      </c>
    </row>
    <row r="49028" spans="20:20" ht="18.75" customHeight="1" x14ac:dyDescent="0.35">
      <c r="T49028" s="246">
        <f t="shared" si="804"/>
        <v>0</v>
      </c>
    </row>
    <row r="49029" spans="20:20" ht="18.75" customHeight="1" x14ac:dyDescent="0.35">
      <c r="T49029" s="246">
        <f t="shared" si="804"/>
        <v>0</v>
      </c>
    </row>
    <row r="49030" spans="20:20" ht="18.75" customHeight="1" x14ac:dyDescent="0.35">
      <c r="T49030" s="246">
        <f t="shared" si="804"/>
        <v>0</v>
      </c>
    </row>
    <row r="49031" spans="20:20" ht="18.75" customHeight="1" x14ac:dyDescent="0.35">
      <c r="T49031" s="246">
        <f t="shared" si="804"/>
        <v>0</v>
      </c>
    </row>
    <row r="49032" spans="20:20" ht="18.75" customHeight="1" x14ac:dyDescent="0.35">
      <c r="T49032" s="246">
        <f t="shared" si="804"/>
        <v>0</v>
      </c>
    </row>
    <row r="49033" spans="20:20" ht="18.75" customHeight="1" x14ac:dyDescent="0.35">
      <c r="T49033" s="246">
        <f t="shared" si="804"/>
        <v>0</v>
      </c>
    </row>
    <row r="49034" spans="20:20" ht="18.75" customHeight="1" x14ac:dyDescent="0.35">
      <c r="T49034" s="246">
        <f t="shared" si="804"/>
        <v>0</v>
      </c>
    </row>
    <row r="49035" spans="20:20" ht="18.75" customHeight="1" x14ac:dyDescent="0.35">
      <c r="T49035" s="246">
        <f t="shared" si="804"/>
        <v>0</v>
      </c>
    </row>
    <row r="49036" spans="20:20" ht="18.75" customHeight="1" x14ac:dyDescent="0.35">
      <c r="T49036" s="246">
        <f t="shared" si="804"/>
        <v>0</v>
      </c>
    </row>
    <row r="49037" spans="20:20" ht="18.75" customHeight="1" x14ac:dyDescent="0.35">
      <c r="T49037" s="246">
        <f t="shared" si="804"/>
        <v>0</v>
      </c>
    </row>
    <row r="49038" spans="20:20" ht="18.75" customHeight="1" x14ac:dyDescent="0.35">
      <c r="T49038" s="246">
        <f t="shared" si="804"/>
        <v>0</v>
      </c>
    </row>
    <row r="49039" spans="20:20" ht="18.75" customHeight="1" x14ac:dyDescent="0.35">
      <c r="T49039" s="246">
        <f t="shared" si="804"/>
        <v>0</v>
      </c>
    </row>
    <row r="49040" spans="20:20" ht="18.75" customHeight="1" x14ac:dyDescent="0.35">
      <c r="T49040" s="246">
        <f t="shared" si="804"/>
        <v>0</v>
      </c>
    </row>
    <row r="49041" spans="20:20" ht="18.75" customHeight="1" x14ac:dyDescent="0.35">
      <c r="T49041" s="246">
        <f t="shared" si="804"/>
        <v>0</v>
      </c>
    </row>
    <row r="49042" spans="20:20" ht="18.75" customHeight="1" x14ac:dyDescent="0.35">
      <c r="T49042" s="246">
        <f t="shared" si="804"/>
        <v>0</v>
      </c>
    </row>
    <row r="49043" spans="20:20" ht="18.75" customHeight="1" x14ac:dyDescent="0.35">
      <c r="T49043" s="246">
        <f t="shared" si="804"/>
        <v>0</v>
      </c>
    </row>
    <row r="49044" spans="20:20" ht="18.75" customHeight="1" x14ac:dyDescent="0.35">
      <c r="T49044" s="246">
        <f t="shared" si="804"/>
        <v>0</v>
      </c>
    </row>
    <row r="49045" spans="20:20" ht="18.75" customHeight="1" x14ac:dyDescent="0.35">
      <c r="T49045" s="246">
        <f t="shared" si="804"/>
        <v>0</v>
      </c>
    </row>
    <row r="49046" spans="20:20" ht="18.75" customHeight="1" x14ac:dyDescent="0.35">
      <c r="T49046" s="246">
        <f t="shared" si="804"/>
        <v>0</v>
      </c>
    </row>
    <row r="49047" spans="20:20" ht="18.75" customHeight="1" x14ac:dyDescent="0.35">
      <c r="T49047" s="246">
        <f t="shared" si="804"/>
        <v>0</v>
      </c>
    </row>
    <row r="49048" spans="20:20" ht="18.75" customHeight="1" x14ac:dyDescent="0.35">
      <c r="T49048" s="246">
        <f t="shared" si="804"/>
        <v>0</v>
      </c>
    </row>
    <row r="49049" spans="20:20" ht="18.75" customHeight="1" x14ac:dyDescent="0.35">
      <c r="T49049" s="246">
        <f t="shared" si="804"/>
        <v>0</v>
      </c>
    </row>
    <row r="49050" spans="20:20" ht="18.75" customHeight="1" x14ac:dyDescent="0.35">
      <c r="T49050" s="246">
        <f t="shared" si="804"/>
        <v>0</v>
      </c>
    </row>
    <row r="49051" spans="20:20" ht="18.75" customHeight="1" x14ac:dyDescent="0.35">
      <c r="T49051" s="246">
        <f t="shared" si="804"/>
        <v>0</v>
      </c>
    </row>
    <row r="49052" spans="20:20" ht="18.75" customHeight="1" x14ac:dyDescent="0.35">
      <c r="T49052" s="246">
        <f t="shared" si="804"/>
        <v>0</v>
      </c>
    </row>
    <row r="49053" spans="20:20" ht="18.75" customHeight="1" x14ac:dyDescent="0.35">
      <c r="T49053" s="246">
        <f t="shared" si="804"/>
        <v>0</v>
      </c>
    </row>
    <row r="49054" spans="20:20" ht="18.75" customHeight="1" x14ac:dyDescent="0.35">
      <c r="T49054" s="246">
        <f t="shared" si="804"/>
        <v>0</v>
      </c>
    </row>
    <row r="49055" spans="20:20" ht="18.75" customHeight="1" x14ac:dyDescent="0.35">
      <c r="T49055" s="246">
        <f t="shared" si="804"/>
        <v>0</v>
      </c>
    </row>
    <row r="49056" spans="20:20" ht="18.75" customHeight="1" x14ac:dyDescent="0.35">
      <c r="T49056" s="246">
        <f t="shared" si="804"/>
        <v>0</v>
      </c>
    </row>
    <row r="49057" spans="20:20" ht="18.75" customHeight="1" x14ac:dyDescent="0.35">
      <c r="T49057" s="246">
        <f t="shared" si="804"/>
        <v>0</v>
      </c>
    </row>
    <row r="49058" spans="20:20" ht="18.75" customHeight="1" x14ac:dyDescent="0.35">
      <c r="T49058" s="246">
        <f t="shared" si="804"/>
        <v>0</v>
      </c>
    </row>
    <row r="49059" spans="20:20" ht="18.75" customHeight="1" x14ac:dyDescent="0.35">
      <c r="T49059" s="246">
        <f t="shared" si="804"/>
        <v>0</v>
      </c>
    </row>
    <row r="49060" spans="20:20" ht="18.75" customHeight="1" x14ac:dyDescent="0.35">
      <c r="T49060" s="246">
        <f t="shared" si="804"/>
        <v>0</v>
      </c>
    </row>
    <row r="49061" spans="20:20" ht="18.75" customHeight="1" x14ac:dyDescent="0.35">
      <c r="T49061" s="246">
        <f t="shared" si="804"/>
        <v>0</v>
      </c>
    </row>
    <row r="49062" spans="20:20" ht="18.75" customHeight="1" x14ac:dyDescent="0.35">
      <c r="T49062" s="246">
        <f t="shared" si="804"/>
        <v>0</v>
      </c>
    </row>
    <row r="49063" spans="20:20" ht="18.75" customHeight="1" x14ac:dyDescent="0.35">
      <c r="T49063" s="246">
        <f t="shared" si="804"/>
        <v>0</v>
      </c>
    </row>
    <row r="49064" spans="20:20" ht="18.75" customHeight="1" x14ac:dyDescent="0.35">
      <c r="T49064" s="246">
        <f t="shared" si="804"/>
        <v>0</v>
      </c>
    </row>
    <row r="49065" spans="20:20" ht="18.75" customHeight="1" x14ac:dyDescent="0.35">
      <c r="T49065" s="246">
        <f t="shared" si="804"/>
        <v>0</v>
      </c>
    </row>
    <row r="49066" spans="20:20" ht="18.75" customHeight="1" x14ac:dyDescent="0.35">
      <c r="T49066" s="246">
        <f t="shared" si="804"/>
        <v>0</v>
      </c>
    </row>
    <row r="49067" spans="20:20" ht="18.75" customHeight="1" x14ac:dyDescent="0.35">
      <c r="T49067" s="246">
        <f t="shared" si="804"/>
        <v>0</v>
      </c>
    </row>
    <row r="49068" spans="20:20" ht="18.75" customHeight="1" x14ac:dyDescent="0.35">
      <c r="T49068" s="246">
        <f t="shared" si="804"/>
        <v>0</v>
      </c>
    </row>
    <row r="49069" spans="20:20" ht="18.75" customHeight="1" x14ac:dyDescent="0.35">
      <c r="T49069" s="246">
        <f t="shared" si="804"/>
        <v>0</v>
      </c>
    </row>
    <row r="49070" spans="20:20" ht="18.75" customHeight="1" x14ac:dyDescent="0.35">
      <c r="T49070" s="246">
        <f t="shared" si="804"/>
        <v>0</v>
      </c>
    </row>
    <row r="49071" spans="20:20" ht="18.75" customHeight="1" x14ac:dyDescent="0.35">
      <c r="T49071" s="246">
        <f t="shared" si="804"/>
        <v>0</v>
      </c>
    </row>
    <row r="49072" spans="20:20" ht="18.75" customHeight="1" x14ac:dyDescent="0.35">
      <c r="T49072" s="246">
        <f t="shared" si="804"/>
        <v>0</v>
      </c>
    </row>
    <row r="49073" spans="20:20" ht="18.75" customHeight="1" x14ac:dyDescent="0.35">
      <c r="T49073" s="246">
        <f t="shared" si="804"/>
        <v>0</v>
      </c>
    </row>
    <row r="49074" spans="20:20" ht="18.75" customHeight="1" x14ac:dyDescent="0.35">
      <c r="T49074" s="246">
        <f t="shared" si="804"/>
        <v>0</v>
      </c>
    </row>
    <row r="49075" spans="20:20" ht="18.75" customHeight="1" x14ac:dyDescent="0.35">
      <c r="T49075" s="246">
        <f t="shared" si="804"/>
        <v>0</v>
      </c>
    </row>
    <row r="49076" spans="20:20" ht="18.75" customHeight="1" x14ac:dyDescent="0.35">
      <c r="T49076" s="246">
        <f t="shared" si="804"/>
        <v>0</v>
      </c>
    </row>
    <row r="49077" spans="20:20" ht="18.75" customHeight="1" x14ac:dyDescent="0.35">
      <c r="T49077" s="246">
        <f t="shared" si="804"/>
        <v>0</v>
      </c>
    </row>
    <row r="49078" spans="20:20" ht="18.75" customHeight="1" x14ac:dyDescent="0.35">
      <c r="T49078" s="246">
        <f t="shared" si="804"/>
        <v>0</v>
      </c>
    </row>
    <row r="49079" spans="20:20" ht="18.75" customHeight="1" x14ac:dyDescent="0.35">
      <c r="T49079" s="246">
        <f t="shared" si="804"/>
        <v>0</v>
      </c>
    </row>
    <row r="49080" spans="20:20" ht="18.75" customHeight="1" x14ac:dyDescent="0.35">
      <c r="T49080" s="246">
        <f t="shared" si="804"/>
        <v>0</v>
      </c>
    </row>
    <row r="49081" spans="20:20" ht="18.75" customHeight="1" x14ac:dyDescent="0.35">
      <c r="T49081" s="246">
        <f t="shared" si="804"/>
        <v>0</v>
      </c>
    </row>
    <row r="49082" spans="20:20" ht="18.75" customHeight="1" x14ac:dyDescent="0.35">
      <c r="T49082" s="246">
        <f t="shared" si="804"/>
        <v>0</v>
      </c>
    </row>
    <row r="49083" spans="20:20" ht="18.75" customHeight="1" x14ac:dyDescent="0.35">
      <c r="T49083" s="246">
        <f t="shared" si="804"/>
        <v>0</v>
      </c>
    </row>
    <row r="49084" spans="20:20" ht="18.75" customHeight="1" x14ac:dyDescent="0.35">
      <c r="T49084" s="246">
        <f t="shared" ref="T49084:T49147" si="805">R49084*0.01</f>
        <v>0</v>
      </c>
    </row>
    <row r="49085" spans="20:20" ht="18.75" customHeight="1" x14ac:dyDescent="0.35">
      <c r="T49085" s="246">
        <f t="shared" si="805"/>
        <v>0</v>
      </c>
    </row>
    <row r="49086" spans="20:20" ht="18.75" customHeight="1" x14ac:dyDescent="0.35">
      <c r="T49086" s="246">
        <f t="shared" si="805"/>
        <v>0</v>
      </c>
    </row>
    <row r="49087" spans="20:20" ht="18.75" customHeight="1" x14ac:dyDescent="0.35">
      <c r="T49087" s="246">
        <f t="shared" si="805"/>
        <v>0</v>
      </c>
    </row>
    <row r="49088" spans="20:20" ht="18.75" customHeight="1" x14ac:dyDescent="0.35">
      <c r="T49088" s="246">
        <f t="shared" si="805"/>
        <v>0</v>
      </c>
    </row>
    <row r="49089" spans="20:20" ht="18.75" customHeight="1" x14ac:dyDescent="0.35">
      <c r="T49089" s="246">
        <f t="shared" si="805"/>
        <v>0</v>
      </c>
    </row>
    <row r="49090" spans="20:20" ht="18.75" customHeight="1" x14ac:dyDescent="0.35">
      <c r="T49090" s="246">
        <f t="shared" si="805"/>
        <v>0</v>
      </c>
    </row>
    <row r="49091" spans="20:20" ht="18.75" customHeight="1" x14ac:dyDescent="0.35">
      <c r="T49091" s="246">
        <f t="shared" si="805"/>
        <v>0</v>
      </c>
    </row>
    <row r="49092" spans="20:20" ht="18.75" customHeight="1" x14ac:dyDescent="0.35">
      <c r="T49092" s="246">
        <f t="shared" si="805"/>
        <v>0</v>
      </c>
    </row>
    <row r="49093" spans="20:20" ht="18.75" customHeight="1" x14ac:dyDescent="0.35">
      <c r="T49093" s="246">
        <f t="shared" si="805"/>
        <v>0</v>
      </c>
    </row>
    <row r="49094" spans="20:20" ht="18.75" customHeight="1" x14ac:dyDescent="0.35">
      <c r="T49094" s="246">
        <f t="shared" si="805"/>
        <v>0</v>
      </c>
    </row>
    <row r="49095" spans="20:20" ht="18.75" customHeight="1" x14ac:dyDescent="0.35">
      <c r="T49095" s="246">
        <f t="shared" si="805"/>
        <v>0</v>
      </c>
    </row>
    <row r="49096" spans="20:20" ht="18.75" customHeight="1" x14ac:dyDescent="0.35">
      <c r="T49096" s="246">
        <f t="shared" si="805"/>
        <v>0</v>
      </c>
    </row>
    <row r="49097" spans="20:20" ht="18.75" customHeight="1" x14ac:dyDescent="0.35">
      <c r="T49097" s="246">
        <f t="shared" si="805"/>
        <v>0</v>
      </c>
    </row>
    <row r="49098" spans="20:20" ht="18.75" customHeight="1" x14ac:dyDescent="0.35">
      <c r="T49098" s="246">
        <f t="shared" si="805"/>
        <v>0</v>
      </c>
    </row>
    <row r="49099" spans="20:20" ht="18.75" customHeight="1" x14ac:dyDescent="0.35">
      <c r="T49099" s="246">
        <f t="shared" si="805"/>
        <v>0</v>
      </c>
    </row>
    <row r="49100" spans="20:20" ht="18.75" customHeight="1" x14ac:dyDescent="0.35">
      <c r="T49100" s="246">
        <f t="shared" si="805"/>
        <v>0</v>
      </c>
    </row>
    <row r="49101" spans="20:20" ht="18.75" customHeight="1" x14ac:dyDescent="0.35">
      <c r="T49101" s="246">
        <f t="shared" si="805"/>
        <v>0</v>
      </c>
    </row>
    <row r="49102" spans="20:20" ht="18.75" customHeight="1" x14ac:dyDescent="0.35">
      <c r="T49102" s="246">
        <f t="shared" si="805"/>
        <v>0</v>
      </c>
    </row>
    <row r="49103" spans="20:20" ht="18.75" customHeight="1" x14ac:dyDescent="0.35">
      <c r="T49103" s="246">
        <f t="shared" si="805"/>
        <v>0</v>
      </c>
    </row>
    <row r="49104" spans="20:20" ht="18.75" customHeight="1" x14ac:dyDescent="0.35">
      <c r="T49104" s="246">
        <f t="shared" si="805"/>
        <v>0</v>
      </c>
    </row>
    <row r="49105" spans="20:20" ht="18.75" customHeight="1" x14ac:dyDescent="0.35">
      <c r="T49105" s="246">
        <f t="shared" si="805"/>
        <v>0</v>
      </c>
    </row>
    <row r="49106" spans="20:20" ht="18.75" customHeight="1" x14ac:dyDescent="0.35">
      <c r="T49106" s="246">
        <f t="shared" si="805"/>
        <v>0</v>
      </c>
    </row>
    <row r="49107" spans="20:20" ht="18.75" customHeight="1" x14ac:dyDescent="0.35">
      <c r="T49107" s="246">
        <f t="shared" si="805"/>
        <v>0</v>
      </c>
    </row>
    <row r="49108" spans="20:20" ht="18.75" customHeight="1" x14ac:dyDescent="0.35">
      <c r="T49108" s="246">
        <f t="shared" si="805"/>
        <v>0</v>
      </c>
    </row>
    <row r="49109" spans="20:20" ht="18.75" customHeight="1" x14ac:dyDescent="0.35">
      <c r="T49109" s="246">
        <f t="shared" si="805"/>
        <v>0</v>
      </c>
    </row>
    <row r="49110" spans="20:20" ht="18.75" customHeight="1" x14ac:dyDescent="0.35">
      <c r="T49110" s="246">
        <f t="shared" si="805"/>
        <v>0</v>
      </c>
    </row>
    <row r="49111" spans="20:20" ht="18.75" customHeight="1" x14ac:dyDescent="0.35">
      <c r="T49111" s="246">
        <f t="shared" si="805"/>
        <v>0</v>
      </c>
    </row>
    <row r="49112" spans="20:20" ht="18.75" customHeight="1" x14ac:dyDescent="0.35">
      <c r="T49112" s="246">
        <f t="shared" si="805"/>
        <v>0</v>
      </c>
    </row>
    <row r="49113" spans="20:20" ht="18.75" customHeight="1" x14ac:dyDescent="0.35">
      <c r="T49113" s="246">
        <f t="shared" si="805"/>
        <v>0</v>
      </c>
    </row>
    <row r="49114" spans="20:20" ht="18.75" customHeight="1" x14ac:dyDescent="0.35">
      <c r="T49114" s="246">
        <f t="shared" si="805"/>
        <v>0</v>
      </c>
    </row>
    <row r="49115" spans="20:20" ht="18.75" customHeight="1" x14ac:dyDescent="0.35">
      <c r="T49115" s="246">
        <f t="shared" si="805"/>
        <v>0</v>
      </c>
    </row>
    <row r="49116" spans="20:20" ht="18.75" customHeight="1" x14ac:dyDescent="0.35">
      <c r="T49116" s="246">
        <f t="shared" si="805"/>
        <v>0</v>
      </c>
    </row>
    <row r="49117" spans="20:20" ht="18.75" customHeight="1" x14ac:dyDescent="0.35">
      <c r="T49117" s="246">
        <f t="shared" si="805"/>
        <v>0</v>
      </c>
    </row>
    <row r="49118" spans="20:20" ht="18.75" customHeight="1" x14ac:dyDescent="0.35">
      <c r="T49118" s="246">
        <f t="shared" si="805"/>
        <v>0</v>
      </c>
    </row>
    <row r="49119" spans="20:20" ht="18.75" customHeight="1" x14ac:dyDescent="0.35">
      <c r="T49119" s="246">
        <f t="shared" si="805"/>
        <v>0</v>
      </c>
    </row>
    <row r="49120" spans="20:20" ht="18.75" customHeight="1" x14ac:dyDescent="0.35">
      <c r="T49120" s="246">
        <f t="shared" si="805"/>
        <v>0</v>
      </c>
    </row>
    <row r="49121" spans="20:20" ht="18.75" customHeight="1" x14ac:dyDescent="0.35">
      <c r="T49121" s="246">
        <f t="shared" si="805"/>
        <v>0</v>
      </c>
    </row>
    <row r="49122" spans="20:20" ht="18.75" customHeight="1" x14ac:dyDescent="0.35">
      <c r="T49122" s="246">
        <f t="shared" si="805"/>
        <v>0</v>
      </c>
    </row>
    <row r="49123" spans="20:20" ht="18.75" customHeight="1" x14ac:dyDescent="0.35">
      <c r="T49123" s="246">
        <f t="shared" si="805"/>
        <v>0</v>
      </c>
    </row>
    <row r="49124" spans="20:20" ht="18.75" customHeight="1" x14ac:dyDescent="0.35">
      <c r="T49124" s="246">
        <f t="shared" si="805"/>
        <v>0</v>
      </c>
    </row>
    <row r="49125" spans="20:20" ht="18.75" customHeight="1" x14ac:dyDescent="0.35">
      <c r="T49125" s="246">
        <f t="shared" si="805"/>
        <v>0</v>
      </c>
    </row>
    <row r="49126" spans="20:20" ht="18.75" customHeight="1" x14ac:dyDescent="0.35">
      <c r="T49126" s="246">
        <f t="shared" si="805"/>
        <v>0</v>
      </c>
    </row>
    <row r="49127" spans="20:20" ht="18.75" customHeight="1" x14ac:dyDescent="0.35">
      <c r="T49127" s="246">
        <f t="shared" si="805"/>
        <v>0</v>
      </c>
    </row>
    <row r="49128" spans="20:20" ht="18.75" customHeight="1" x14ac:dyDescent="0.35">
      <c r="T49128" s="246">
        <f t="shared" si="805"/>
        <v>0</v>
      </c>
    </row>
    <row r="49129" spans="20:20" ht="18.75" customHeight="1" x14ac:dyDescent="0.35">
      <c r="T49129" s="246">
        <f t="shared" si="805"/>
        <v>0</v>
      </c>
    </row>
    <row r="49130" spans="20:20" ht="18.75" customHeight="1" x14ac:dyDescent="0.35">
      <c r="T49130" s="246">
        <f t="shared" si="805"/>
        <v>0</v>
      </c>
    </row>
    <row r="49131" spans="20:20" ht="18.75" customHeight="1" x14ac:dyDescent="0.35">
      <c r="T49131" s="246">
        <f t="shared" si="805"/>
        <v>0</v>
      </c>
    </row>
    <row r="49132" spans="20:20" ht="18.75" customHeight="1" x14ac:dyDescent="0.35">
      <c r="T49132" s="246">
        <f t="shared" si="805"/>
        <v>0</v>
      </c>
    </row>
    <row r="49133" spans="20:20" ht="18.75" customHeight="1" x14ac:dyDescent="0.35">
      <c r="T49133" s="246">
        <f t="shared" si="805"/>
        <v>0</v>
      </c>
    </row>
    <row r="49134" spans="20:20" ht="18.75" customHeight="1" x14ac:dyDescent="0.35">
      <c r="T49134" s="246">
        <f t="shared" si="805"/>
        <v>0</v>
      </c>
    </row>
    <row r="49135" spans="20:20" ht="18.75" customHeight="1" x14ac:dyDescent="0.35">
      <c r="T49135" s="246">
        <f t="shared" si="805"/>
        <v>0</v>
      </c>
    </row>
    <row r="49136" spans="20:20" ht="18.75" customHeight="1" x14ac:dyDescent="0.35">
      <c r="T49136" s="246">
        <f t="shared" si="805"/>
        <v>0</v>
      </c>
    </row>
    <row r="49137" spans="20:20" ht="18.75" customHeight="1" x14ac:dyDescent="0.35">
      <c r="T49137" s="246">
        <f t="shared" si="805"/>
        <v>0</v>
      </c>
    </row>
    <row r="49138" spans="20:20" ht="18.75" customHeight="1" x14ac:dyDescent="0.35">
      <c r="T49138" s="246">
        <f t="shared" si="805"/>
        <v>0</v>
      </c>
    </row>
    <row r="49139" spans="20:20" ht="18.75" customHeight="1" x14ac:dyDescent="0.35">
      <c r="T49139" s="246">
        <f t="shared" si="805"/>
        <v>0</v>
      </c>
    </row>
    <row r="49140" spans="20:20" ht="18.75" customHeight="1" x14ac:dyDescent="0.35">
      <c r="T49140" s="246">
        <f t="shared" si="805"/>
        <v>0</v>
      </c>
    </row>
    <row r="49141" spans="20:20" ht="18.75" customHeight="1" x14ac:dyDescent="0.35">
      <c r="T49141" s="246">
        <f t="shared" si="805"/>
        <v>0</v>
      </c>
    </row>
    <row r="49142" spans="20:20" ht="18.75" customHeight="1" x14ac:dyDescent="0.35">
      <c r="T49142" s="246">
        <f t="shared" si="805"/>
        <v>0</v>
      </c>
    </row>
    <row r="49143" spans="20:20" ht="18.75" customHeight="1" x14ac:dyDescent="0.35">
      <c r="T49143" s="246">
        <f t="shared" si="805"/>
        <v>0</v>
      </c>
    </row>
    <row r="49144" spans="20:20" ht="18.75" customHeight="1" x14ac:dyDescent="0.35">
      <c r="T49144" s="246">
        <f t="shared" si="805"/>
        <v>0</v>
      </c>
    </row>
    <row r="49145" spans="20:20" ht="18.75" customHeight="1" x14ac:dyDescent="0.35">
      <c r="T49145" s="246">
        <f t="shared" si="805"/>
        <v>0</v>
      </c>
    </row>
    <row r="49146" spans="20:20" ht="18.75" customHeight="1" x14ac:dyDescent="0.35">
      <c r="T49146" s="246">
        <f t="shared" si="805"/>
        <v>0</v>
      </c>
    </row>
    <row r="49147" spans="20:20" ht="18.75" customHeight="1" x14ac:dyDescent="0.35">
      <c r="T49147" s="246">
        <f t="shared" si="805"/>
        <v>0</v>
      </c>
    </row>
    <row r="49148" spans="20:20" ht="18.75" customHeight="1" x14ac:dyDescent="0.35">
      <c r="T49148" s="246">
        <f t="shared" ref="T49148:T49211" si="806">R49148*0.01</f>
        <v>0</v>
      </c>
    </row>
    <row r="49149" spans="20:20" ht="18.75" customHeight="1" x14ac:dyDescent="0.35">
      <c r="T49149" s="246">
        <f t="shared" si="806"/>
        <v>0</v>
      </c>
    </row>
    <row r="49150" spans="20:20" ht="18.75" customHeight="1" x14ac:dyDescent="0.35">
      <c r="T49150" s="246">
        <f t="shared" si="806"/>
        <v>0</v>
      </c>
    </row>
    <row r="49151" spans="20:20" ht="18.75" customHeight="1" x14ac:dyDescent="0.35">
      <c r="T49151" s="246">
        <f t="shared" si="806"/>
        <v>0</v>
      </c>
    </row>
    <row r="49152" spans="20:20" ht="18.75" customHeight="1" x14ac:dyDescent="0.35">
      <c r="T49152" s="246">
        <f t="shared" si="806"/>
        <v>0</v>
      </c>
    </row>
    <row r="49153" spans="20:20" ht="18.75" customHeight="1" x14ac:dyDescent="0.35">
      <c r="T49153" s="246">
        <f t="shared" si="806"/>
        <v>0</v>
      </c>
    </row>
    <row r="49154" spans="20:20" ht="18.75" customHeight="1" x14ac:dyDescent="0.35">
      <c r="T49154" s="246">
        <f t="shared" si="806"/>
        <v>0</v>
      </c>
    </row>
    <row r="49155" spans="20:20" ht="18.75" customHeight="1" x14ac:dyDescent="0.35">
      <c r="T49155" s="246">
        <f t="shared" si="806"/>
        <v>0</v>
      </c>
    </row>
    <row r="49156" spans="20:20" ht="18.75" customHeight="1" x14ac:dyDescent="0.35">
      <c r="T49156" s="246">
        <f t="shared" si="806"/>
        <v>0</v>
      </c>
    </row>
    <row r="49157" spans="20:20" ht="18.75" customHeight="1" x14ac:dyDescent="0.35">
      <c r="T49157" s="246">
        <f t="shared" si="806"/>
        <v>0</v>
      </c>
    </row>
    <row r="49158" spans="20:20" ht="18.75" customHeight="1" x14ac:dyDescent="0.35">
      <c r="T49158" s="246">
        <f t="shared" si="806"/>
        <v>0</v>
      </c>
    </row>
    <row r="49159" spans="20:20" ht="18.75" customHeight="1" x14ac:dyDescent="0.35">
      <c r="T49159" s="246">
        <f t="shared" si="806"/>
        <v>0</v>
      </c>
    </row>
    <row r="49160" spans="20:20" ht="18.75" customHeight="1" x14ac:dyDescent="0.35">
      <c r="T49160" s="246">
        <f t="shared" si="806"/>
        <v>0</v>
      </c>
    </row>
    <row r="49161" spans="20:20" ht="18.75" customHeight="1" x14ac:dyDescent="0.35">
      <c r="T49161" s="246">
        <f t="shared" si="806"/>
        <v>0</v>
      </c>
    </row>
    <row r="49162" spans="20:20" ht="18.75" customHeight="1" x14ac:dyDescent="0.35">
      <c r="T49162" s="246">
        <f t="shared" si="806"/>
        <v>0</v>
      </c>
    </row>
    <row r="49163" spans="20:20" ht="18.75" customHeight="1" x14ac:dyDescent="0.35">
      <c r="T49163" s="246">
        <f t="shared" si="806"/>
        <v>0</v>
      </c>
    </row>
    <row r="49164" spans="20:20" ht="18.75" customHeight="1" x14ac:dyDescent="0.35">
      <c r="T49164" s="246">
        <f t="shared" si="806"/>
        <v>0</v>
      </c>
    </row>
    <row r="49165" spans="20:20" ht="18.75" customHeight="1" x14ac:dyDescent="0.35">
      <c r="T49165" s="246">
        <f t="shared" si="806"/>
        <v>0</v>
      </c>
    </row>
    <row r="49166" spans="20:20" ht="18.75" customHeight="1" x14ac:dyDescent="0.35">
      <c r="T49166" s="246">
        <f t="shared" si="806"/>
        <v>0</v>
      </c>
    </row>
    <row r="49167" spans="20:20" ht="18.75" customHeight="1" x14ac:dyDescent="0.35">
      <c r="T49167" s="246">
        <f t="shared" si="806"/>
        <v>0</v>
      </c>
    </row>
    <row r="49168" spans="20:20" ht="18.75" customHeight="1" x14ac:dyDescent="0.35">
      <c r="T49168" s="246">
        <f t="shared" si="806"/>
        <v>0</v>
      </c>
    </row>
    <row r="49169" spans="20:20" ht="18.75" customHeight="1" x14ac:dyDescent="0.35">
      <c r="T49169" s="246">
        <f t="shared" si="806"/>
        <v>0</v>
      </c>
    </row>
    <row r="49170" spans="20:20" ht="18.75" customHeight="1" x14ac:dyDescent="0.35">
      <c r="T49170" s="246">
        <f t="shared" si="806"/>
        <v>0</v>
      </c>
    </row>
    <row r="49171" spans="20:20" ht="18.75" customHeight="1" x14ac:dyDescent="0.35">
      <c r="T49171" s="246">
        <f t="shared" si="806"/>
        <v>0</v>
      </c>
    </row>
    <row r="49172" spans="20:20" ht="18.75" customHeight="1" x14ac:dyDescent="0.35">
      <c r="T49172" s="246">
        <f t="shared" si="806"/>
        <v>0</v>
      </c>
    </row>
    <row r="49173" spans="20:20" ht="18.75" customHeight="1" x14ac:dyDescent="0.35">
      <c r="T49173" s="246">
        <f t="shared" si="806"/>
        <v>0</v>
      </c>
    </row>
    <row r="49174" spans="20:20" ht="18.75" customHeight="1" x14ac:dyDescent="0.35">
      <c r="T49174" s="246">
        <f t="shared" si="806"/>
        <v>0</v>
      </c>
    </row>
    <row r="49175" spans="20:20" ht="18.75" customHeight="1" x14ac:dyDescent="0.35">
      <c r="T49175" s="246">
        <f t="shared" si="806"/>
        <v>0</v>
      </c>
    </row>
    <row r="49176" spans="20:20" ht="18.75" customHeight="1" x14ac:dyDescent="0.35">
      <c r="T49176" s="246">
        <f t="shared" si="806"/>
        <v>0</v>
      </c>
    </row>
    <row r="49177" spans="20:20" ht="18.75" customHeight="1" x14ac:dyDescent="0.35">
      <c r="T49177" s="246">
        <f t="shared" si="806"/>
        <v>0</v>
      </c>
    </row>
    <row r="49178" spans="20:20" ht="18.75" customHeight="1" x14ac:dyDescent="0.35">
      <c r="T49178" s="246">
        <f t="shared" si="806"/>
        <v>0</v>
      </c>
    </row>
    <row r="49179" spans="20:20" ht="18.75" customHeight="1" x14ac:dyDescent="0.35">
      <c r="T49179" s="246">
        <f t="shared" si="806"/>
        <v>0</v>
      </c>
    </row>
    <row r="49180" spans="20:20" ht="18.75" customHeight="1" x14ac:dyDescent="0.35">
      <c r="T49180" s="246">
        <f t="shared" si="806"/>
        <v>0</v>
      </c>
    </row>
    <row r="49181" spans="20:20" ht="18.75" customHeight="1" x14ac:dyDescent="0.35">
      <c r="T49181" s="246">
        <f t="shared" si="806"/>
        <v>0</v>
      </c>
    </row>
    <row r="49182" spans="20:20" ht="18.75" customHeight="1" x14ac:dyDescent="0.35">
      <c r="T49182" s="246">
        <f t="shared" si="806"/>
        <v>0</v>
      </c>
    </row>
    <row r="49183" spans="20:20" ht="18.75" customHeight="1" x14ac:dyDescent="0.35">
      <c r="T49183" s="246">
        <f t="shared" si="806"/>
        <v>0</v>
      </c>
    </row>
    <row r="49184" spans="20:20" ht="18.75" customHeight="1" x14ac:dyDescent="0.35">
      <c r="T49184" s="246">
        <f t="shared" si="806"/>
        <v>0</v>
      </c>
    </row>
    <row r="49185" spans="20:20" ht="18.75" customHeight="1" x14ac:dyDescent="0.35">
      <c r="T49185" s="246">
        <f t="shared" si="806"/>
        <v>0</v>
      </c>
    </row>
    <row r="49186" spans="20:20" ht="18.75" customHeight="1" x14ac:dyDescent="0.35">
      <c r="T49186" s="246">
        <f t="shared" si="806"/>
        <v>0</v>
      </c>
    </row>
    <row r="49187" spans="20:20" ht="18.75" customHeight="1" x14ac:dyDescent="0.35">
      <c r="T49187" s="246">
        <f t="shared" si="806"/>
        <v>0</v>
      </c>
    </row>
    <row r="49188" spans="20:20" ht="18.75" customHeight="1" x14ac:dyDescent="0.35">
      <c r="T49188" s="246">
        <f t="shared" si="806"/>
        <v>0</v>
      </c>
    </row>
    <row r="49189" spans="20:20" ht="18.75" customHeight="1" x14ac:dyDescent="0.35">
      <c r="T49189" s="246">
        <f t="shared" si="806"/>
        <v>0</v>
      </c>
    </row>
    <row r="49190" spans="20:20" ht="18.75" customHeight="1" x14ac:dyDescent="0.35">
      <c r="T49190" s="246">
        <f t="shared" si="806"/>
        <v>0</v>
      </c>
    </row>
    <row r="49191" spans="20:20" ht="18.75" customHeight="1" x14ac:dyDescent="0.35">
      <c r="T49191" s="246">
        <f t="shared" si="806"/>
        <v>0</v>
      </c>
    </row>
    <row r="49192" spans="20:20" ht="18.75" customHeight="1" x14ac:dyDescent="0.35">
      <c r="T49192" s="246">
        <f t="shared" si="806"/>
        <v>0</v>
      </c>
    </row>
    <row r="49193" spans="20:20" ht="18.75" customHeight="1" x14ac:dyDescent="0.35">
      <c r="T49193" s="246">
        <f t="shared" si="806"/>
        <v>0</v>
      </c>
    </row>
    <row r="49194" spans="20:20" ht="18.75" customHeight="1" x14ac:dyDescent="0.35">
      <c r="T49194" s="246">
        <f t="shared" si="806"/>
        <v>0</v>
      </c>
    </row>
    <row r="49195" spans="20:20" ht="18.75" customHeight="1" x14ac:dyDescent="0.35">
      <c r="T49195" s="246">
        <f t="shared" si="806"/>
        <v>0</v>
      </c>
    </row>
    <row r="49196" spans="20:20" ht="18.75" customHeight="1" x14ac:dyDescent="0.35">
      <c r="T49196" s="246">
        <f t="shared" si="806"/>
        <v>0</v>
      </c>
    </row>
    <row r="49197" spans="20:20" ht="18.75" customHeight="1" x14ac:dyDescent="0.35">
      <c r="T49197" s="246">
        <f t="shared" si="806"/>
        <v>0</v>
      </c>
    </row>
    <row r="49198" spans="20:20" ht="18.75" customHeight="1" x14ac:dyDescent="0.35">
      <c r="T49198" s="246">
        <f t="shared" si="806"/>
        <v>0</v>
      </c>
    </row>
    <row r="49199" spans="20:20" ht="18.75" customHeight="1" x14ac:dyDescent="0.35">
      <c r="T49199" s="246">
        <f t="shared" si="806"/>
        <v>0</v>
      </c>
    </row>
    <row r="49200" spans="20:20" ht="18.75" customHeight="1" x14ac:dyDescent="0.35">
      <c r="T49200" s="246">
        <f t="shared" si="806"/>
        <v>0</v>
      </c>
    </row>
    <row r="49201" spans="20:20" ht="18.75" customHeight="1" x14ac:dyDescent="0.35">
      <c r="T49201" s="246">
        <f t="shared" si="806"/>
        <v>0</v>
      </c>
    </row>
    <row r="49202" spans="20:20" ht="18.75" customHeight="1" x14ac:dyDescent="0.35">
      <c r="T49202" s="246">
        <f t="shared" si="806"/>
        <v>0</v>
      </c>
    </row>
    <row r="49203" spans="20:20" ht="18.75" customHeight="1" x14ac:dyDescent="0.35">
      <c r="T49203" s="246">
        <f t="shared" si="806"/>
        <v>0</v>
      </c>
    </row>
    <row r="49204" spans="20:20" ht="18.75" customHeight="1" x14ac:dyDescent="0.35">
      <c r="T49204" s="246">
        <f t="shared" si="806"/>
        <v>0</v>
      </c>
    </row>
    <row r="49205" spans="20:20" ht="18.75" customHeight="1" x14ac:dyDescent="0.35">
      <c r="T49205" s="246">
        <f t="shared" si="806"/>
        <v>0</v>
      </c>
    </row>
    <row r="49206" spans="20:20" ht="18.75" customHeight="1" x14ac:dyDescent="0.35">
      <c r="T49206" s="246">
        <f t="shared" si="806"/>
        <v>0</v>
      </c>
    </row>
    <row r="49207" spans="20:20" ht="18.75" customHeight="1" x14ac:dyDescent="0.35">
      <c r="T49207" s="246">
        <f t="shared" si="806"/>
        <v>0</v>
      </c>
    </row>
    <row r="49208" spans="20:20" ht="18.75" customHeight="1" x14ac:dyDescent="0.35">
      <c r="T49208" s="246">
        <f t="shared" si="806"/>
        <v>0</v>
      </c>
    </row>
    <row r="49209" spans="20:20" ht="18.75" customHeight="1" x14ac:dyDescent="0.35">
      <c r="T49209" s="246">
        <f t="shared" si="806"/>
        <v>0</v>
      </c>
    </row>
    <row r="49210" spans="20:20" ht="18.75" customHeight="1" x14ac:dyDescent="0.35">
      <c r="T49210" s="246">
        <f t="shared" si="806"/>
        <v>0</v>
      </c>
    </row>
    <row r="49211" spans="20:20" ht="18.75" customHeight="1" x14ac:dyDescent="0.35">
      <c r="T49211" s="246">
        <f t="shared" si="806"/>
        <v>0</v>
      </c>
    </row>
    <row r="49212" spans="20:20" ht="18.75" customHeight="1" x14ac:dyDescent="0.35">
      <c r="T49212" s="246">
        <f t="shared" ref="T49212:T49275" si="807">R49212*0.01</f>
        <v>0</v>
      </c>
    </row>
    <row r="49213" spans="20:20" ht="18.75" customHeight="1" x14ac:dyDescent="0.35">
      <c r="T49213" s="246">
        <f t="shared" si="807"/>
        <v>0</v>
      </c>
    </row>
    <row r="49214" spans="20:20" ht="18.75" customHeight="1" x14ac:dyDescent="0.35">
      <c r="T49214" s="246">
        <f t="shared" si="807"/>
        <v>0</v>
      </c>
    </row>
    <row r="49215" spans="20:20" ht="18.75" customHeight="1" x14ac:dyDescent="0.35">
      <c r="T49215" s="246">
        <f t="shared" si="807"/>
        <v>0</v>
      </c>
    </row>
    <row r="49216" spans="20:20" ht="18.75" customHeight="1" x14ac:dyDescent="0.35">
      <c r="T49216" s="246">
        <f t="shared" si="807"/>
        <v>0</v>
      </c>
    </row>
    <row r="49217" spans="20:20" ht="18.75" customHeight="1" x14ac:dyDescent="0.35">
      <c r="T49217" s="246">
        <f t="shared" si="807"/>
        <v>0</v>
      </c>
    </row>
    <row r="49218" spans="20:20" ht="18.75" customHeight="1" x14ac:dyDescent="0.35">
      <c r="T49218" s="246">
        <f t="shared" si="807"/>
        <v>0</v>
      </c>
    </row>
    <row r="49219" spans="20:20" ht="18.75" customHeight="1" x14ac:dyDescent="0.35">
      <c r="T49219" s="246">
        <f t="shared" si="807"/>
        <v>0</v>
      </c>
    </row>
    <row r="49220" spans="20:20" ht="18.75" customHeight="1" x14ac:dyDescent="0.35">
      <c r="T49220" s="246">
        <f t="shared" si="807"/>
        <v>0</v>
      </c>
    </row>
    <row r="49221" spans="20:20" ht="18.75" customHeight="1" x14ac:dyDescent="0.35">
      <c r="T49221" s="246">
        <f t="shared" si="807"/>
        <v>0</v>
      </c>
    </row>
    <row r="49222" spans="20:20" ht="18.75" customHeight="1" x14ac:dyDescent="0.35">
      <c r="T49222" s="246">
        <f t="shared" si="807"/>
        <v>0</v>
      </c>
    </row>
    <row r="49223" spans="20:20" ht="18.75" customHeight="1" x14ac:dyDescent="0.35">
      <c r="T49223" s="246">
        <f t="shared" si="807"/>
        <v>0</v>
      </c>
    </row>
    <row r="49224" spans="20:20" ht="18.75" customHeight="1" x14ac:dyDescent="0.35">
      <c r="T49224" s="246">
        <f t="shared" si="807"/>
        <v>0</v>
      </c>
    </row>
    <row r="49225" spans="20:20" ht="18.75" customHeight="1" x14ac:dyDescent="0.35">
      <c r="T49225" s="246">
        <f t="shared" si="807"/>
        <v>0</v>
      </c>
    </row>
    <row r="49226" spans="20:20" ht="18.75" customHeight="1" x14ac:dyDescent="0.35">
      <c r="T49226" s="246">
        <f t="shared" si="807"/>
        <v>0</v>
      </c>
    </row>
    <row r="49227" spans="20:20" ht="18.75" customHeight="1" x14ac:dyDescent="0.35">
      <c r="T49227" s="246">
        <f t="shared" si="807"/>
        <v>0</v>
      </c>
    </row>
    <row r="49228" spans="20:20" ht="18.75" customHeight="1" x14ac:dyDescent="0.35">
      <c r="T49228" s="246">
        <f t="shared" si="807"/>
        <v>0</v>
      </c>
    </row>
    <row r="49229" spans="20:20" ht="18.75" customHeight="1" x14ac:dyDescent="0.35">
      <c r="T49229" s="246">
        <f t="shared" si="807"/>
        <v>0</v>
      </c>
    </row>
    <row r="49230" spans="20:20" ht="18.75" customHeight="1" x14ac:dyDescent="0.35">
      <c r="T49230" s="246">
        <f t="shared" si="807"/>
        <v>0</v>
      </c>
    </row>
    <row r="49231" spans="20:20" ht="18.75" customHeight="1" x14ac:dyDescent="0.35">
      <c r="T49231" s="246">
        <f t="shared" si="807"/>
        <v>0</v>
      </c>
    </row>
    <row r="49232" spans="20:20" ht="18.75" customHeight="1" x14ac:dyDescent="0.35">
      <c r="T49232" s="246">
        <f t="shared" si="807"/>
        <v>0</v>
      </c>
    </row>
    <row r="49233" spans="20:20" ht="18.75" customHeight="1" x14ac:dyDescent="0.35">
      <c r="T49233" s="246">
        <f t="shared" si="807"/>
        <v>0</v>
      </c>
    </row>
    <row r="49234" spans="20:20" ht="18.75" customHeight="1" x14ac:dyDescent="0.35">
      <c r="T49234" s="246">
        <f t="shared" si="807"/>
        <v>0</v>
      </c>
    </row>
    <row r="49235" spans="20:20" ht="18.75" customHeight="1" x14ac:dyDescent="0.35">
      <c r="T49235" s="246">
        <f t="shared" si="807"/>
        <v>0</v>
      </c>
    </row>
    <row r="49236" spans="20:20" ht="18.75" customHeight="1" x14ac:dyDescent="0.35">
      <c r="T49236" s="246">
        <f t="shared" si="807"/>
        <v>0</v>
      </c>
    </row>
    <row r="49237" spans="20:20" ht="18.75" customHeight="1" x14ac:dyDescent="0.35">
      <c r="T49237" s="246">
        <f t="shared" si="807"/>
        <v>0</v>
      </c>
    </row>
    <row r="49238" spans="20:20" ht="18.75" customHeight="1" x14ac:dyDescent="0.35">
      <c r="T49238" s="246">
        <f t="shared" si="807"/>
        <v>0</v>
      </c>
    </row>
    <row r="49239" spans="20:20" ht="18.75" customHeight="1" x14ac:dyDescent="0.35">
      <c r="T49239" s="246">
        <f t="shared" si="807"/>
        <v>0</v>
      </c>
    </row>
    <row r="49240" spans="20:20" ht="18.75" customHeight="1" x14ac:dyDescent="0.35">
      <c r="T49240" s="246">
        <f t="shared" si="807"/>
        <v>0</v>
      </c>
    </row>
    <row r="49241" spans="20:20" ht="18.75" customHeight="1" x14ac:dyDescent="0.35">
      <c r="T49241" s="246">
        <f t="shared" si="807"/>
        <v>0</v>
      </c>
    </row>
    <row r="49242" spans="20:20" ht="18.75" customHeight="1" x14ac:dyDescent="0.35">
      <c r="T49242" s="246">
        <f t="shared" si="807"/>
        <v>0</v>
      </c>
    </row>
    <row r="49243" spans="20:20" ht="18.75" customHeight="1" x14ac:dyDescent="0.35">
      <c r="T49243" s="246">
        <f t="shared" si="807"/>
        <v>0</v>
      </c>
    </row>
    <row r="49244" spans="20:20" ht="18.75" customHeight="1" x14ac:dyDescent="0.35">
      <c r="T49244" s="246">
        <f t="shared" si="807"/>
        <v>0</v>
      </c>
    </row>
    <row r="49245" spans="20:20" ht="18.75" customHeight="1" x14ac:dyDescent="0.35">
      <c r="T49245" s="246">
        <f t="shared" si="807"/>
        <v>0</v>
      </c>
    </row>
    <row r="49246" spans="20:20" ht="18.75" customHeight="1" x14ac:dyDescent="0.35">
      <c r="T49246" s="246">
        <f t="shared" si="807"/>
        <v>0</v>
      </c>
    </row>
    <row r="49247" spans="20:20" ht="18.75" customHeight="1" x14ac:dyDescent="0.35">
      <c r="T49247" s="246">
        <f t="shared" si="807"/>
        <v>0</v>
      </c>
    </row>
    <row r="49248" spans="20:20" ht="18.75" customHeight="1" x14ac:dyDescent="0.35">
      <c r="T49248" s="246">
        <f t="shared" si="807"/>
        <v>0</v>
      </c>
    </row>
    <row r="49249" spans="20:20" ht="18.75" customHeight="1" x14ac:dyDescent="0.35">
      <c r="T49249" s="246">
        <f t="shared" si="807"/>
        <v>0</v>
      </c>
    </row>
    <row r="49250" spans="20:20" ht="18.75" customHeight="1" x14ac:dyDescent="0.35">
      <c r="T49250" s="246">
        <f t="shared" si="807"/>
        <v>0</v>
      </c>
    </row>
    <row r="49251" spans="20:20" ht="18.75" customHeight="1" x14ac:dyDescent="0.35">
      <c r="T49251" s="246">
        <f t="shared" si="807"/>
        <v>0</v>
      </c>
    </row>
    <row r="49252" spans="20:20" ht="18.75" customHeight="1" x14ac:dyDescent="0.35">
      <c r="T49252" s="246">
        <f t="shared" si="807"/>
        <v>0</v>
      </c>
    </row>
    <row r="49253" spans="20:20" ht="18.75" customHeight="1" x14ac:dyDescent="0.35">
      <c r="T49253" s="246">
        <f t="shared" si="807"/>
        <v>0</v>
      </c>
    </row>
    <row r="49254" spans="20:20" ht="18.75" customHeight="1" x14ac:dyDescent="0.35">
      <c r="T49254" s="246">
        <f t="shared" si="807"/>
        <v>0</v>
      </c>
    </row>
    <row r="49255" spans="20:20" ht="18.75" customHeight="1" x14ac:dyDescent="0.35">
      <c r="T49255" s="246">
        <f t="shared" si="807"/>
        <v>0</v>
      </c>
    </row>
    <row r="49256" spans="20:20" ht="18.75" customHeight="1" x14ac:dyDescent="0.35">
      <c r="T49256" s="246">
        <f t="shared" si="807"/>
        <v>0</v>
      </c>
    </row>
    <row r="49257" spans="20:20" ht="18.75" customHeight="1" x14ac:dyDescent="0.35">
      <c r="T49257" s="246">
        <f t="shared" si="807"/>
        <v>0</v>
      </c>
    </row>
    <row r="49258" spans="20:20" ht="18.75" customHeight="1" x14ac:dyDescent="0.35">
      <c r="T49258" s="246">
        <f t="shared" si="807"/>
        <v>0</v>
      </c>
    </row>
    <row r="49259" spans="20:20" ht="18.75" customHeight="1" x14ac:dyDescent="0.35">
      <c r="T49259" s="246">
        <f t="shared" si="807"/>
        <v>0</v>
      </c>
    </row>
    <row r="49260" spans="20:20" ht="18.75" customHeight="1" x14ac:dyDescent="0.35">
      <c r="T49260" s="246">
        <f t="shared" si="807"/>
        <v>0</v>
      </c>
    </row>
    <row r="49261" spans="20:20" ht="18.75" customHeight="1" x14ac:dyDescent="0.35">
      <c r="T49261" s="246">
        <f t="shared" si="807"/>
        <v>0</v>
      </c>
    </row>
    <row r="49262" spans="20:20" ht="18.75" customHeight="1" x14ac:dyDescent="0.35">
      <c r="T49262" s="246">
        <f t="shared" si="807"/>
        <v>0</v>
      </c>
    </row>
    <row r="49263" spans="20:20" ht="18.75" customHeight="1" x14ac:dyDescent="0.35">
      <c r="T49263" s="246">
        <f t="shared" si="807"/>
        <v>0</v>
      </c>
    </row>
    <row r="49264" spans="20:20" ht="18.75" customHeight="1" x14ac:dyDescent="0.35">
      <c r="T49264" s="246">
        <f t="shared" si="807"/>
        <v>0</v>
      </c>
    </row>
    <row r="49265" spans="20:20" ht="18.75" customHeight="1" x14ac:dyDescent="0.35">
      <c r="T49265" s="246">
        <f t="shared" si="807"/>
        <v>0</v>
      </c>
    </row>
    <row r="49266" spans="20:20" ht="18.75" customHeight="1" x14ac:dyDescent="0.35">
      <c r="T49266" s="246">
        <f t="shared" si="807"/>
        <v>0</v>
      </c>
    </row>
    <row r="49267" spans="20:20" ht="18.75" customHeight="1" x14ac:dyDescent="0.35">
      <c r="T49267" s="246">
        <f t="shared" si="807"/>
        <v>0</v>
      </c>
    </row>
    <row r="49268" spans="20:20" ht="18.75" customHeight="1" x14ac:dyDescent="0.35">
      <c r="T49268" s="246">
        <f t="shared" si="807"/>
        <v>0</v>
      </c>
    </row>
    <row r="49269" spans="20:20" ht="18.75" customHeight="1" x14ac:dyDescent="0.35">
      <c r="T49269" s="246">
        <f t="shared" si="807"/>
        <v>0</v>
      </c>
    </row>
    <row r="49270" spans="20:20" ht="18.75" customHeight="1" x14ac:dyDescent="0.35">
      <c r="T49270" s="246">
        <f t="shared" si="807"/>
        <v>0</v>
      </c>
    </row>
    <row r="49271" spans="20:20" ht="18.75" customHeight="1" x14ac:dyDescent="0.35">
      <c r="T49271" s="246">
        <f t="shared" si="807"/>
        <v>0</v>
      </c>
    </row>
    <row r="49272" spans="20:20" ht="18.75" customHeight="1" x14ac:dyDescent="0.35">
      <c r="T49272" s="246">
        <f t="shared" si="807"/>
        <v>0</v>
      </c>
    </row>
    <row r="49273" spans="20:20" ht="18.75" customHeight="1" x14ac:dyDescent="0.35">
      <c r="T49273" s="246">
        <f t="shared" si="807"/>
        <v>0</v>
      </c>
    </row>
    <row r="49274" spans="20:20" ht="18.75" customHeight="1" x14ac:dyDescent="0.35">
      <c r="T49274" s="246">
        <f t="shared" si="807"/>
        <v>0</v>
      </c>
    </row>
    <row r="49275" spans="20:20" ht="18.75" customHeight="1" x14ac:dyDescent="0.35">
      <c r="T49275" s="246">
        <f t="shared" si="807"/>
        <v>0</v>
      </c>
    </row>
    <row r="49276" spans="20:20" ht="18.75" customHeight="1" x14ac:dyDescent="0.35">
      <c r="T49276" s="246">
        <f t="shared" ref="T49276:T49339" si="808">R49276*0.01</f>
        <v>0</v>
      </c>
    </row>
    <row r="49277" spans="20:20" ht="18.75" customHeight="1" x14ac:dyDescent="0.35">
      <c r="T49277" s="246">
        <f t="shared" si="808"/>
        <v>0</v>
      </c>
    </row>
    <row r="49278" spans="20:20" ht="18.75" customHeight="1" x14ac:dyDescent="0.35">
      <c r="T49278" s="246">
        <f t="shared" si="808"/>
        <v>0</v>
      </c>
    </row>
    <row r="49279" spans="20:20" ht="18.75" customHeight="1" x14ac:dyDescent="0.35">
      <c r="T49279" s="246">
        <f t="shared" si="808"/>
        <v>0</v>
      </c>
    </row>
    <row r="49280" spans="20:20" ht="18.75" customHeight="1" x14ac:dyDescent="0.35">
      <c r="T49280" s="246">
        <f t="shared" si="808"/>
        <v>0</v>
      </c>
    </row>
    <row r="49281" spans="20:20" ht="18.75" customHeight="1" x14ac:dyDescent="0.35">
      <c r="T49281" s="246">
        <f t="shared" si="808"/>
        <v>0</v>
      </c>
    </row>
    <row r="49282" spans="20:20" ht="18.75" customHeight="1" x14ac:dyDescent="0.35">
      <c r="T49282" s="246">
        <f t="shared" si="808"/>
        <v>0</v>
      </c>
    </row>
    <row r="49283" spans="20:20" ht="18.75" customHeight="1" x14ac:dyDescent="0.35">
      <c r="T49283" s="246">
        <f t="shared" si="808"/>
        <v>0</v>
      </c>
    </row>
    <row r="49284" spans="20:20" ht="18.75" customHeight="1" x14ac:dyDescent="0.35">
      <c r="T49284" s="246">
        <f t="shared" si="808"/>
        <v>0</v>
      </c>
    </row>
    <row r="49285" spans="20:20" ht="18.75" customHeight="1" x14ac:dyDescent="0.35">
      <c r="T49285" s="246">
        <f t="shared" si="808"/>
        <v>0</v>
      </c>
    </row>
    <row r="49286" spans="20:20" ht="18.75" customHeight="1" x14ac:dyDescent="0.35">
      <c r="T49286" s="246">
        <f t="shared" si="808"/>
        <v>0</v>
      </c>
    </row>
    <row r="49287" spans="20:20" ht="18.75" customHeight="1" x14ac:dyDescent="0.35">
      <c r="T49287" s="246">
        <f t="shared" si="808"/>
        <v>0</v>
      </c>
    </row>
    <row r="49288" spans="20:20" ht="18.75" customHeight="1" x14ac:dyDescent="0.35">
      <c r="T49288" s="246">
        <f t="shared" si="808"/>
        <v>0</v>
      </c>
    </row>
    <row r="49289" spans="20:20" ht="18.75" customHeight="1" x14ac:dyDescent="0.35">
      <c r="T49289" s="246">
        <f t="shared" si="808"/>
        <v>0</v>
      </c>
    </row>
    <row r="49290" spans="20:20" ht="18.75" customHeight="1" x14ac:dyDescent="0.35">
      <c r="T49290" s="246">
        <f t="shared" si="808"/>
        <v>0</v>
      </c>
    </row>
    <row r="49291" spans="20:20" ht="18.75" customHeight="1" x14ac:dyDescent="0.35">
      <c r="T49291" s="246">
        <f t="shared" si="808"/>
        <v>0</v>
      </c>
    </row>
    <row r="49292" spans="20:20" ht="18.75" customHeight="1" x14ac:dyDescent="0.35">
      <c r="T49292" s="246">
        <f t="shared" si="808"/>
        <v>0</v>
      </c>
    </row>
    <row r="49293" spans="20:20" ht="18.75" customHeight="1" x14ac:dyDescent="0.35">
      <c r="T49293" s="246">
        <f t="shared" si="808"/>
        <v>0</v>
      </c>
    </row>
    <row r="49294" spans="20:20" ht="18.75" customHeight="1" x14ac:dyDescent="0.35">
      <c r="T49294" s="246">
        <f t="shared" si="808"/>
        <v>0</v>
      </c>
    </row>
    <row r="49295" spans="20:20" ht="18.75" customHeight="1" x14ac:dyDescent="0.35">
      <c r="T49295" s="246">
        <f t="shared" si="808"/>
        <v>0</v>
      </c>
    </row>
    <row r="49296" spans="20:20" ht="18.75" customHeight="1" x14ac:dyDescent="0.35">
      <c r="T49296" s="246">
        <f t="shared" si="808"/>
        <v>0</v>
      </c>
    </row>
    <row r="49297" spans="20:20" ht="18.75" customHeight="1" x14ac:dyDescent="0.35">
      <c r="T49297" s="246">
        <f t="shared" si="808"/>
        <v>0</v>
      </c>
    </row>
    <row r="49298" spans="20:20" ht="18.75" customHeight="1" x14ac:dyDescent="0.35">
      <c r="T49298" s="246">
        <f t="shared" si="808"/>
        <v>0</v>
      </c>
    </row>
    <row r="49299" spans="20:20" ht="18.75" customHeight="1" x14ac:dyDescent="0.35">
      <c r="T49299" s="246">
        <f t="shared" si="808"/>
        <v>0</v>
      </c>
    </row>
    <row r="49300" spans="20:20" ht="18.75" customHeight="1" x14ac:dyDescent="0.35">
      <c r="T49300" s="246">
        <f t="shared" si="808"/>
        <v>0</v>
      </c>
    </row>
    <row r="49301" spans="20:20" ht="18.75" customHeight="1" x14ac:dyDescent="0.35">
      <c r="T49301" s="246">
        <f t="shared" si="808"/>
        <v>0</v>
      </c>
    </row>
    <row r="49302" spans="20:20" ht="18.75" customHeight="1" x14ac:dyDescent="0.35">
      <c r="T49302" s="246">
        <f t="shared" si="808"/>
        <v>0</v>
      </c>
    </row>
    <row r="49303" spans="20:20" ht="18.75" customHeight="1" x14ac:dyDescent="0.35">
      <c r="T49303" s="246">
        <f t="shared" si="808"/>
        <v>0</v>
      </c>
    </row>
    <row r="49304" spans="20:20" ht="18.75" customHeight="1" x14ac:dyDescent="0.35">
      <c r="T49304" s="246">
        <f t="shared" si="808"/>
        <v>0</v>
      </c>
    </row>
    <row r="49305" spans="20:20" ht="18.75" customHeight="1" x14ac:dyDescent="0.35">
      <c r="T49305" s="246">
        <f t="shared" si="808"/>
        <v>0</v>
      </c>
    </row>
    <row r="49306" spans="20:20" ht="18.75" customHeight="1" x14ac:dyDescent="0.35">
      <c r="T49306" s="246">
        <f t="shared" si="808"/>
        <v>0</v>
      </c>
    </row>
    <row r="49307" spans="20:20" ht="18.75" customHeight="1" x14ac:dyDescent="0.35">
      <c r="T49307" s="246">
        <f t="shared" si="808"/>
        <v>0</v>
      </c>
    </row>
    <row r="49308" spans="20:20" ht="18.75" customHeight="1" x14ac:dyDescent="0.35">
      <c r="T49308" s="246">
        <f t="shared" si="808"/>
        <v>0</v>
      </c>
    </row>
    <row r="49309" spans="20:20" ht="18.75" customHeight="1" x14ac:dyDescent="0.35">
      <c r="T49309" s="246">
        <f t="shared" si="808"/>
        <v>0</v>
      </c>
    </row>
    <row r="49310" spans="20:20" ht="18.75" customHeight="1" x14ac:dyDescent="0.35">
      <c r="T49310" s="246">
        <f t="shared" si="808"/>
        <v>0</v>
      </c>
    </row>
    <row r="49311" spans="20:20" ht="18.75" customHeight="1" x14ac:dyDescent="0.35">
      <c r="T49311" s="246">
        <f t="shared" si="808"/>
        <v>0</v>
      </c>
    </row>
    <row r="49312" spans="20:20" ht="18.75" customHeight="1" x14ac:dyDescent="0.35">
      <c r="T49312" s="246">
        <f t="shared" si="808"/>
        <v>0</v>
      </c>
    </row>
    <row r="49313" spans="20:20" ht="18.75" customHeight="1" x14ac:dyDescent="0.35">
      <c r="T49313" s="246">
        <f t="shared" si="808"/>
        <v>0</v>
      </c>
    </row>
    <row r="49314" spans="20:20" ht="18.75" customHeight="1" x14ac:dyDescent="0.35">
      <c r="T49314" s="246">
        <f t="shared" si="808"/>
        <v>0</v>
      </c>
    </row>
    <row r="49315" spans="20:20" ht="18.75" customHeight="1" x14ac:dyDescent="0.35">
      <c r="T49315" s="246">
        <f t="shared" si="808"/>
        <v>0</v>
      </c>
    </row>
    <row r="49316" spans="20:20" ht="18.75" customHeight="1" x14ac:dyDescent="0.35">
      <c r="T49316" s="246">
        <f t="shared" si="808"/>
        <v>0</v>
      </c>
    </row>
    <row r="49317" spans="20:20" ht="18.75" customHeight="1" x14ac:dyDescent="0.35">
      <c r="T49317" s="246">
        <f t="shared" si="808"/>
        <v>0</v>
      </c>
    </row>
    <row r="49318" spans="20:20" ht="18.75" customHeight="1" x14ac:dyDescent="0.35">
      <c r="T49318" s="246">
        <f t="shared" si="808"/>
        <v>0</v>
      </c>
    </row>
    <row r="49319" spans="20:20" ht="18.75" customHeight="1" x14ac:dyDescent="0.35">
      <c r="T49319" s="246">
        <f t="shared" si="808"/>
        <v>0</v>
      </c>
    </row>
    <row r="49320" spans="20:20" ht="18.75" customHeight="1" x14ac:dyDescent="0.35">
      <c r="T49320" s="246">
        <f t="shared" si="808"/>
        <v>0</v>
      </c>
    </row>
    <row r="49321" spans="20:20" ht="18.75" customHeight="1" x14ac:dyDescent="0.35">
      <c r="T49321" s="246">
        <f t="shared" si="808"/>
        <v>0</v>
      </c>
    </row>
    <row r="49322" spans="20:20" ht="18.75" customHeight="1" x14ac:dyDescent="0.35">
      <c r="T49322" s="246">
        <f t="shared" si="808"/>
        <v>0</v>
      </c>
    </row>
    <row r="49323" spans="20:20" ht="18.75" customHeight="1" x14ac:dyDescent="0.35">
      <c r="T49323" s="246">
        <f t="shared" si="808"/>
        <v>0</v>
      </c>
    </row>
    <row r="49324" spans="20:20" ht="18.75" customHeight="1" x14ac:dyDescent="0.35">
      <c r="T49324" s="246">
        <f t="shared" si="808"/>
        <v>0</v>
      </c>
    </row>
    <row r="49325" spans="20:20" ht="18.75" customHeight="1" x14ac:dyDescent="0.35">
      <c r="T49325" s="246">
        <f t="shared" si="808"/>
        <v>0</v>
      </c>
    </row>
    <row r="49326" spans="20:20" ht="18.75" customHeight="1" x14ac:dyDescent="0.35">
      <c r="T49326" s="246">
        <f t="shared" si="808"/>
        <v>0</v>
      </c>
    </row>
    <row r="49327" spans="20:20" ht="18.75" customHeight="1" x14ac:dyDescent="0.35">
      <c r="T49327" s="246">
        <f t="shared" si="808"/>
        <v>0</v>
      </c>
    </row>
    <row r="49328" spans="20:20" ht="18.75" customHeight="1" x14ac:dyDescent="0.35">
      <c r="T49328" s="246">
        <f t="shared" si="808"/>
        <v>0</v>
      </c>
    </row>
    <row r="49329" spans="20:20" ht="18.75" customHeight="1" x14ac:dyDescent="0.35">
      <c r="T49329" s="246">
        <f t="shared" si="808"/>
        <v>0</v>
      </c>
    </row>
    <row r="49330" spans="20:20" ht="18.75" customHeight="1" x14ac:dyDescent="0.35">
      <c r="T49330" s="246">
        <f t="shared" si="808"/>
        <v>0</v>
      </c>
    </row>
    <row r="49331" spans="20:20" ht="18.75" customHeight="1" x14ac:dyDescent="0.35">
      <c r="T49331" s="246">
        <f t="shared" si="808"/>
        <v>0</v>
      </c>
    </row>
    <row r="49332" spans="20:20" ht="18.75" customHeight="1" x14ac:dyDescent="0.35">
      <c r="T49332" s="246">
        <f t="shared" si="808"/>
        <v>0</v>
      </c>
    </row>
    <row r="49333" spans="20:20" ht="18.75" customHeight="1" x14ac:dyDescent="0.35">
      <c r="T49333" s="246">
        <f t="shared" si="808"/>
        <v>0</v>
      </c>
    </row>
    <row r="49334" spans="20:20" ht="18.75" customHeight="1" x14ac:dyDescent="0.35">
      <c r="T49334" s="246">
        <f t="shared" si="808"/>
        <v>0</v>
      </c>
    </row>
    <row r="49335" spans="20:20" ht="18.75" customHeight="1" x14ac:dyDescent="0.35">
      <c r="T49335" s="246">
        <f t="shared" si="808"/>
        <v>0</v>
      </c>
    </row>
    <row r="49336" spans="20:20" ht="18.75" customHeight="1" x14ac:dyDescent="0.35">
      <c r="T49336" s="246">
        <f t="shared" si="808"/>
        <v>0</v>
      </c>
    </row>
    <row r="49337" spans="20:20" ht="18.75" customHeight="1" x14ac:dyDescent="0.35">
      <c r="T49337" s="246">
        <f t="shared" si="808"/>
        <v>0</v>
      </c>
    </row>
    <row r="49338" spans="20:20" ht="18.75" customHeight="1" x14ac:dyDescent="0.35">
      <c r="T49338" s="246">
        <f t="shared" si="808"/>
        <v>0</v>
      </c>
    </row>
    <row r="49339" spans="20:20" ht="18.75" customHeight="1" x14ac:dyDescent="0.35">
      <c r="T49339" s="246">
        <f t="shared" si="808"/>
        <v>0</v>
      </c>
    </row>
    <row r="49340" spans="20:20" ht="18.75" customHeight="1" x14ac:dyDescent="0.35">
      <c r="T49340" s="246">
        <f t="shared" ref="T49340:T49403" si="809">R49340*0.01</f>
        <v>0</v>
      </c>
    </row>
    <row r="49341" spans="20:20" ht="18.75" customHeight="1" x14ac:dyDescent="0.35">
      <c r="T49341" s="246">
        <f t="shared" si="809"/>
        <v>0</v>
      </c>
    </row>
    <row r="49342" spans="20:20" ht="18.75" customHeight="1" x14ac:dyDescent="0.35">
      <c r="T49342" s="246">
        <f t="shared" si="809"/>
        <v>0</v>
      </c>
    </row>
    <row r="49343" spans="20:20" ht="18.75" customHeight="1" x14ac:dyDescent="0.35">
      <c r="T49343" s="246">
        <f t="shared" si="809"/>
        <v>0</v>
      </c>
    </row>
    <row r="49344" spans="20:20" ht="18.75" customHeight="1" x14ac:dyDescent="0.35">
      <c r="T49344" s="246">
        <f t="shared" si="809"/>
        <v>0</v>
      </c>
    </row>
    <row r="49345" spans="20:20" ht="18.75" customHeight="1" x14ac:dyDescent="0.35">
      <c r="T49345" s="246">
        <f t="shared" si="809"/>
        <v>0</v>
      </c>
    </row>
    <row r="49346" spans="20:20" ht="18.75" customHeight="1" x14ac:dyDescent="0.35">
      <c r="T49346" s="246">
        <f t="shared" si="809"/>
        <v>0</v>
      </c>
    </row>
    <row r="49347" spans="20:20" ht="18.75" customHeight="1" x14ac:dyDescent="0.35">
      <c r="T49347" s="246">
        <f t="shared" si="809"/>
        <v>0</v>
      </c>
    </row>
    <row r="49348" spans="20:20" ht="18.75" customHeight="1" x14ac:dyDescent="0.35">
      <c r="T49348" s="246">
        <f t="shared" si="809"/>
        <v>0</v>
      </c>
    </row>
    <row r="49349" spans="20:20" ht="18.75" customHeight="1" x14ac:dyDescent="0.35">
      <c r="T49349" s="246">
        <f t="shared" si="809"/>
        <v>0</v>
      </c>
    </row>
    <row r="49350" spans="20:20" ht="18.75" customHeight="1" x14ac:dyDescent="0.35">
      <c r="T49350" s="246">
        <f t="shared" si="809"/>
        <v>0</v>
      </c>
    </row>
    <row r="49351" spans="20:20" ht="18.75" customHeight="1" x14ac:dyDescent="0.35">
      <c r="T49351" s="246">
        <f t="shared" si="809"/>
        <v>0</v>
      </c>
    </row>
    <row r="49352" spans="20:20" ht="18.75" customHeight="1" x14ac:dyDescent="0.35">
      <c r="T49352" s="246">
        <f t="shared" si="809"/>
        <v>0</v>
      </c>
    </row>
    <row r="49353" spans="20:20" ht="18.75" customHeight="1" x14ac:dyDescent="0.35">
      <c r="T49353" s="246">
        <f t="shared" si="809"/>
        <v>0</v>
      </c>
    </row>
    <row r="49354" spans="20:20" ht="18.75" customHeight="1" x14ac:dyDescent="0.35">
      <c r="T49354" s="246">
        <f t="shared" si="809"/>
        <v>0</v>
      </c>
    </row>
    <row r="49355" spans="20:20" ht="18.75" customHeight="1" x14ac:dyDescent="0.35">
      <c r="T49355" s="246">
        <f t="shared" si="809"/>
        <v>0</v>
      </c>
    </row>
    <row r="49356" spans="20:20" ht="18.75" customHeight="1" x14ac:dyDescent="0.35">
      <c r="T49356" s="246">
        <f t="shared" si="809"/>
        <v>0</v>
      </c>
    </row>
    <row r="49357" spans="20:20" ht="18.75" customHeight="1" x14ac:dyDescent="0.35">
      <c r="T49357" s="246">
        <f t="shared" si="809"/>
        <v>0</v>
      </c>
    </row>
    <row r="49358" spans="20:20" ht="18.75" customHeight="1" x14ac:dyDescent="0.35">
      <c r="T49358" s="246">
        <f t="shared" si="809"/>
        <v>0</v>
      </c>
    </row>
    <row r="49359" spans="20:20" ht="18.75" customHeight="1" x14ac:dyDescent="0.35">
      <c r="T49359" s="246">
        <f t="shared" si="809"/>
        <v>0</v>
      </c>
    </row>
    <row r="49360" spans="20:20" ht="18.75" customHeight="1" x14ac:dyDescent="0.35">
      <c r="T49360" s="246">
        <f t="shared" si="809"/>
        <v>0</v>
      </c>
    </row>
    <row r="49361" spans="20:20" ht="18.75" customHeight="1" x14ac:dyDescent="0.35">
      <c r="T49361" s="246">
        <f t="shared" si="809"/>
        <v>0</v>
      </c>
    </row>
    <row r="49362" spans="20:20" ht="18.75" customHeight="1" x14ac:dyDescent="0.35">
      <c r="T49362" s="246">
        <f t="shared" si="809"/>
        <v>0</v>
      </c>
    </row>
    <row r="49363" spans="20:20" ht="18.75" customHeight="1" x14ac:dyDescent="0.35">
      <c r="T49363" s="246">
        <f t="shared" si="809"/>
        <v>0</v>
      </c>
    </row>
    <row r="49364" spans="20:20" ht="18.75" customHeight="1" x14ac:dyDescent="0.35">
      <c r="T49364" s="246">
        <f t="shared" si="809"/>
        <v>0</v>
      </c>
    </row>
    <row r="49365" spans="20:20" ht="18.75" customHeight="1" x14ac:dyDescent="0.35">
      <c r="T49365" s="246">
        <f t="shared" si="809"/>
        <v>0</v>
      </c>
    </row>
    <row r="49366" spans="20:20" ht="18.75" customHeight="1" x14ac:dyDescent="0.35">
      <c r="T49366" s="246">
        <f t="shared" si="809"/>
        <v>0</v>
      </c>
    </row>
    <row r="49367" spans="20:20" ht="18.75" customHeight="1" x14ac:dyDescent="0.35">
      <c r="T49367" s="246">
        <f t="shared" si="809"/>
        <v>0</v>
      </c>
    </row>
    <row r="49368" spans="20:20" ht="18.75" customHeight="1" x14ac:dyDescent="0.35">
      <c r="T49368" s="246">
        <f t="shared" si="809"/>
        <v>0</v>
      </c>
    </row>
    <row r="49369" spans="20:20" ht="18.75" customHeight="1" x14ac:dyDescent="0.35">
      <c r="T49369" s="246">
        <f t="shared" si="809"/>
        <v>0</v>
      </c>
    </row>
    <row r="49370" spans="20:20" ht="18.75" customHeight="1" x14ac:dyDescent="0.35">
      <c r="T49370" s="246">
        <f t="shared" si="809"/>
        <v>0</v>
      </c>
    </row>
    <row r="49371" spans="20:20" ht="18.75" customHeight="1" x14ac:dyDescent="0.35">
      <c r="T49371" s="246">
        <f t="shared" si="809"/>
        <v>0</v>
      </c>
    </row>
    <row r="49372" spans="20:20" ht="18.75" customHeight="1" x14ac:dyDescent="0.35">
      <c r="T49372" s="246">
        <f t="shared" si="809"/>
        <v>0</v>
      </c>
    </row>
    <row r="49373" spans="20:20" ht="18.75" customHeight="1" x14ac:dyDescent="0.35">
      <c r="T49373" s="246">
        <f t="shared" si="809"/>
        <v>0</v>
      </c>
    </row>
    <row r="49374" spans="20:20" ht="18.75" customHeight="1" x14ac:dyDescent="0.35">
      <c r="T49374" s="246">
        <f t="shared" si="809"/>
        <v>0</v>
      </c>
    </row>
    <row r="49375" spans="20:20" ht="18.75" customHeight="1" x14ac:dyDescent="0.35">
      <c r="T49375" s="246">
        <f t="shared" si="809"/>
        <v>0</v>
      </c>
    </row>
    <row r="49376" spans="20:20" ht="18.75" customHeight="1" x14ac:dyDescent="0.35">
      <c r="T49376" s="246">
        <f t="shared" si="809"/>
        <v>0</v>
      </c>
    </row>
    <row r="49377" spans="20:20" ht="18.75" customHeight="1" x14ac:dyDescent="0.35">
      <c r="T49377" s="246">
        <f t="shared" si="809"/>
        <v>0</v>
      </c>
    </row>
    <row r="49378" spans="20:20" ht="18.75" customHeight="1" x14ac:dyDescent="0.35">
      <c r="T49378" s="246">
        <f t="shared" si="809"/>
        <v>0</v>
      </c>
    </row>
    <row r="49379" spans="20:20" ht="18.75" customHeight="1" x14ac:dyDescent="0.35">
      <c r="T49379" s="246">
        <f t="shared" si="809"/>
        <v>0</v>
      </c>
    </row>
    <row r="49380" spans="20:20" ht="18.75" customHeight="1" x14ac:dyDescent="0.35">
      <c r="T49380" s="246">
        <f t="shared" si="809"/>
        <v>0</v>
      </c>
    </row>
    <row r="49381" spans="20:20" ht="18.75" customHeight="1" x14ac:dyDescent="0.35">
      <c r="T49381" s="246">
        <f t="shared" si="809"/>
        <v>0</v>
      </c>
    </row>
    <row r="49382" spans="20:20" ht="18.75" customHeight="1" x14ac:dyDescent="0.35">
      <c r="T49382" s="246">
        <f t="shared" si="809"/>
        <v>0</v>
      </c>
    </row>
    <row r="49383" spans="20:20" ht="18.75" customHeight="1" x14ac:dyDescent="0.35">
      <c r="T49383" s="246">
        <f t="shared" si="809"/>
        <v>0</v>
      </c>
    </row>
    <row r="49384" spans="20:20" ht="18.75" customHeight="1" x14ac:dyDescent="0.35">
      <c r="T49384" s="246">
        <f t="shared" si="809"/>
        <v>0</v>
      </c>
    </row>
    <row r="49385" spans="20:20" ht="18.75" customHeight="1" x14ac:dyDescent="0.35">
      <c r="T49385" s="246">
        <f t="shared" si="809"/>
        <v>0</v>
      </c>
    </row>
    <row r="49386" spans="20:20" ht="18.75" customHeight="1" x14ac:dyDescent="0.35">
      <c r="T49386" s="246">
        <f t="shared" si="809"/>
        <v>0</v>
      </c>
    </row>
    <row r="49387" spans="20:20" ht="18.75" customHeight="1" x14ac:dyDescent="0.35">
      <c r="T49387" s="246">
        <f t="shared" si="809"/>
        <v>0</v>
      </c>
    </row>
    <row r="49388" spans="20:20" ht="18.75" customHeight="1" x14ac:dyDescent="0.35">
      <c r="T49388" s="246">
        <f t="shared" si="809"/>
        <v>0</v>
      </c>
    </row>
    <row r="49389" spans="20:20" ht="18.75" customHeight="1" x14ac:dyDescent="0.35">
      <c r="T49389" s="246">
        <f t="shared" si="809"/>
        <v>0</v>
      </c>
    </row>
    <row r="49390" spans="20:20" ht="18.75" customHeight="1" x14ac:dyDescent="0.35">
      <c r="T49390" s="246">
        <f t="shared" si="809"/>
        <v>0</v>
      </c>
    </row>
    <row r="49391" spans="20:20" ht="18.75" customHeight="1" x14ac:dyDescent="0.35">
      <c r="T49391" s="246">
        <f t="shared" si="809"/>
        <v>0</v>
      </c>
    </row>
    <row r="49392" spans="20:20" ht="18.75" customHeight="1" x14ac:dyDescent="0.35">
      <c r="T49392" s="246">
        <f t="shared" si="809"/>
        <v>0</v>
      </c>
    </row>
    <row r="49393" spans="20:20" ht="18.75" customHeight="1" x14ac:dyDescent="0.35">
      <c r="T49393" s="246">
        <f t="shared" si="809"/>
        <v>0</v>
      </c>
    </row>
    <row r="49394" spans="20:20" ht="18.75" customHeight="1" x14ac:dyDescent="0.35">
      <c r="T49394" s="246">
        <f t="shared" si="809"/>
        <v>0</v>
      </c>
    </row>
    <row r="49395" spans="20:20" ht="18.75" customHeight="1" x14ac:dyDescent="0.35">
      <c r="T49395" s="246">
        <f t="shared" si="809"/>
        <v>0</v>
      </c>
    </row>
    <row r="49396" spans="20:20" ht="18.75" customHeight="1" x14ac:dyDescent="0.35">
      <c r="T49396" s="246">
        <f t="shared" si="809"/>
        <v>0</v>
      </c>
    </row>
    <row r="49397" spans="20:20" ht="18.75" customHeight="1" x14ac:dyDescent="0.35">
      <c r="T49397" s="246">
        <f t="shared" si="809"/>
        <v>0</v>
      </c>
    </row>
    <row r="49398" spans="20:20" ht="18.75" customHeight="1" x14ac:dyDescent="0.35">
      <c r="T49398" s="246">
        <f t="shared" si="809"/>
        <v>0</v>
      </c>
    </row>
    <row r="49399" spans="20:20" ht="18.75" customHeight="1" x14ac:dyDescent="0.35">
      <c r="T49399" s="246">
        <f t="shared" si="809"/>
        <v>0</v>
      </c>
    </row>
    <row r="49400" spans="20:20" ht="18.75" customHeight="1" x14ac:dyDescent="0.35">
      <c r="T49400" s="246">
        <f t="shared" si="809"/>
        <v>0</v>
      </c>
    </row>
    <row r="49401" spans="20:20" ht="18.75" customHeight="1" x14ac:dyDescent="0.35">
      <c r="T49401" s="246">
        <f t="shared" si="809"/>
        <v>0</v>
      </c>
    </row>
    <row r="49402" spans="20:20" ht="18.75" customHeight="1" x14ac:dyDescent="0.35">
      <c r="T49402" s="246">
        <f t="shared" si="809"/>
        <v>0</v>
      </c>
    </row>
    <row r="49403" spans="20:20" ht="18.75" customHeight="1" x14ac:dyDescent="0.35">
      <c r="T49403" s="246">
        <f t="shared" si="809"/>
        <v>0</v>
      </c>
    </row>
    <row r="49404" spans="20:20" ht="18.75" customHeight="1" x14ac:dyDescent="0.35">
      <c r="T49404" s="246">
        <f t="shared" ref="T49404:T49467" si="810">R49404*0.01</f>
        <v>0</v>
      </c>
    </row>
    <row r="49405" spans="20:20" ht="18.75" customHeight="1" x14ac:dyDescent="0.35">
      <c r="T49405" s="246">
        <f t="shared" si="810"/>
        <v>0</v>
      </c>
    </row>
    <row r="49406" spans="20:20" ht="18.75" customHeight="1" x14ac:dyDescent="0.35">
      <c r="T49406" s="246">
        <f t="shared" si="810"/>
        <v>0</v>
      </c>
    </row>
    <row r="49407" spans="20:20" ht="18.75" customHeight="1" x14ac:dyDescent="0.35">
      <c r="T49407" s="246">
        <f t="shared" si="810"/>
        <v>0</v>
      </c>
    </row>
    <row r="49408" spans="20:20" ht="18.75" customHeight="1" x14ac:dyDescent="0.35">
      <c r="T49408" s="246">
        <f t="shared" si="810"/>
        <v>0</v>
      </c>
    </row>
    <row r="49409" spans="20:20" ht="18.75" customHeight="1" x14ac:dyDescent="0.35">
      <c r="T49409" s="246">
        <f t="shared" si="810"/>
        <v>0</v>
      </c>
    </row>
    <row r="49410" spans="20:20" ht="18.75" customHeight="1" x14ac:dyDescent="0.35">
      <c r="T49410" s="246">
        <f t="shared" si="810"/>
        <v>0</v>
      </c>
    </row>
    <row r="49411" spans="20:20" ht="18.75" customHeight="1" x14ac:dyDescent="0.35">
      <c r="T49411" s="246">
        <f t="shared" si="810"/>
        <v>0</v>
      </c>
    </row>
    <row r="49412" spans="20:20" ht="18.75" customHeight="1" x14ac:dyDescent="0.35">
      <c r="T49412" s="246">
        <f t="shared" si="810"/>
        <v>0</v>
      </c>
    </row>
    <row r="49413" spans="20:20" ht="18.75" customHeight="1" x14ac:dyDescent="0.35">
      <c r="T49413" s="246">
        <f t="shared" si="810"/>
        <v>0</v>
      </c>
    </row>
    <row r="49414" spans="20:20" ht="18.75" customHeight="1" x14ac:dyDescent="0.35">
      <c r="T49414" s="246">
        <f t="shared" si="810"/>
        <v>0</v>
      </c>
    </row>
    <row r="49415" spans="20:20" ht="18.75" customHeight="1" x14ac:dyDescent="0.35">
      <c r="T49415" s="246">
        <f t="shared" si="810"/>
        <v>0</v>
      </c>
    </row>
    <row r="49416" spans="20:20" ht="18.75" customHeight="1" x14ac:dyDescent="0.35">
      <c r="T49416" s="246">
        <f t="shared" si="810"/>
        <v>0</v>
      </c>
    </row>
    <row r="49417" spans="20:20" ht="18.75" customHeight="1" x14ac:dyDescent="0.35">
      <c r="T49417" s="246">
        <f t="shared" si="810"/>
        <v>0</v>
      </c>
    </row>
    <row r="49418" spans="20:20" ht="18.75" customHeight="1" x14ac:dyDescent="0.35">
      <c r="T49418" s="246">
        <f t="shared" si="810"/>
        <v>0</v>
      </c>
    </row>
    <row r="49419" spans="20:20" ht="18.75" customHeight="1" x14ac:dyDescent="0.35">
      <c r="T49419" s="246">
        <f t="shared" si="810"/>
        <v>0</v>
      </c>
    </row>
    <row r="49420" spans="20:20" ht="18.75" customHeight="1" x14ac:dyDescent="0.35">
      <c r="T49420" s="246">
        <f t="shared" si="810"/>
        <v>0</v>
      </c>
    </row>
    <row r="49421" spans="20:20" ht="18.75" customHeight="1" x14ac:dyDescent="0.35">
      <c r="T49421" s="246">
        <f t="shared" si="810"/>
        <v>0</v>
      </c>
    </row>
    <row r="49422" spans="20:20" ht="18.75" customHeight="1" x14ac:dyDescent="0.35">
      <c r="T49422" s="246">
        <f t="shared" si="810"/>
        <v>0</v>
      </c>
    </row>
    <row r="49423" spans="20:20" ht="18.75" customHeight="1" x14ac:dyDescent="0.35">
      <c r="T49423" s="246">
        <f t="shared" si="810"/>
        <v>0</v>
      </c>
    </row>
    <row r="49424" spans="20:20" ht="18.75" customHeight="1" x14ac:dyDescent="0.35">
      <c r="T49424" s="246">
        <f t="shared" si="810"/>
        <v>0</v>
      </c>
    </row>
    <row r="49425" spans="20:20" ht="18.75" customHeight="1" x14ac:dyDescent="0.35">
      <c r="T49425" s="246">
        <f t="shared" si="810"/>
        <v>0</v>
      </c>
    </row>
    <row r="49426" spans="20:20" ht="18.75" customHeight="1" x14ac:dyDescent="0.35">
      <c r="T49426" s="246">
        <f t="shared" si="810"/>
        <v>0</v>
      </c>
    </row>
    <row r="49427" spans="20:20" ht="18.75" customHeight="1" x14ac:dyDescent="0.35">
      <c r="T49427" s="246">
        <f t="shared" si="810"/>
        <v>0</v>
      </c>
    </row>
    <row r="49428" spans="20:20" ht="18.75" customHeight="1" x14ac:dyDescent="0.35">
      <c r="T49428" s="246">
        <f t="shared" si="810"/>
        <v>0</v>
      </c>
    </row>
    <row r="49429" spans="20:20" ht="18.75" customHeight="1" x14ac:dyDescent="0.35">
      <c r="T49429" s="246">
        <f t="shared" si="810"/>
        <v>0</v>
      </c>
    </row>
    <row r="49430" spans="20:20" ht="18.75" customHeight="1" x14ac:dyDescent="0.35">
      <c r="T49430" s="246">
        <f t="shared" si="810"/>
        <v>0</v>
      </c>
    </row>
    <row r="49431" spans="20:20" ht="18.75" customHeight="1" x14ac:dyDescent="0.35">
      <c r="T49431" s="246">
        <f t="shared" si="810"/>
        <v>0</v>
      </c>
    </row>
    <row r="49432" spans="20:20" ht="18.75" customHeight="1" x14ac:dyDescent="0.35">
      <c r="T49432" s="246">
        <f t="shared" si="810"/>
        <v>0</v>
      </c>
    </row>
    <row r="49433" spans="20:20" ht="18.75" customHeight="1" x14ac:dyDescent="0.35">
      <c r="T49433" s="246">
        <f t="shared" si="810"/>
        <v>0</v>
      </c>
    </row>
    <row r="49434" spans="20:20" ht="18.75" customHeight="1" x14ac:dyDescent="0.35">
      <c r="T49434" s="246">
        <f t="shared" si="810"/>
        <v>0</v>
      </c>
    </row>
    <row r="49435" spans="20:20" ht="18.75" customHeight="1" x14ac:dyDescent="0.35">
      <c r="T49435" s="246">
        <f t="shared" si="810"/>
        <v>0</v>
      </c>
    </row>
    <row r="49436" spans="20:20" ht="18.75" customHeight="1" x14ac:dyDescent="0.35">
      <c r="T49436" s="246">
        <f t="shared" si="810"/>
        <v>0</v>
      </c>
    </row>
    <row r="49437" spans="20:20" ht="18.75" customHeight="1" x14ac:dyDescent="0.35">
      <c r="T49437" s="246">
        <f t="shared" si="810"/>
        <v>0</v>
      </c>
    </row>
    <row r="49438" spans="20:20" ht="18.75" customHeight="1" x14ac:dyDescent="0.35">
      <c r="T49438" s="246">
        <f t="shared" si="810"/>
        <v>0</v>
      </c>
    </row>
    <row r="49439" spans="20:20" ht="18.75" customHeight="1" x14ac:dyDescent="0.35">
      <c r="T49439" s="246">
        <f t="shared" si="810"/>
        <v>0</v>
      </c>
    </row>
    <row r="49440" spans="20:20" ht="18.75" customHeight="1" x14ac:dyDescent="0.35">
      <c r="T49440" s="246">
        <f t="shared" si="810"/>
        <v>0</v>
      </c>
    </row>
    <row r="49441" spans="20:20" ht="18.75" customHeight="1" x14ac:dyDescent="0.35">
      <c r="T49441" s="246">
        <f t="shared" si="810"/>
        <v>0</v>
      </c>
    </row>
    <row r="49442" spans="20:20" ht="18.75" customHeight="1" x14ac:dyDescent="0.35">
      <c r="T49442" s="246">
        <f t="shared" si="810"/>
        <v>0</v>
      </c>
    </row>
    <row r="49443" spans="20:20" ht="18.75" customHeight="1" x14ac:dyDescent="0.35">
      <c r="T49443" s="246">
        <f t="shared" si="810"/>
        <v>0</v>
      </c>
    </row>
    <row r="49444" spans="20:20" ht="18.75" customHeight="1" x14ac:dyDescent="0.35">
      <c r="T49444" s="246">
        <f t="shared" si="810"/>
        <v>0</v>
      </c>
    </row>
    <row r="49445" spans="20:20" ht="18.75" customHeight="1" x14ac:dyDescent="0.35">
      <c r="T49445" s="246">
        <f t="shared" si="810"/>
        <v>0</v>
      </c>
    </row>
    <row r="49446" spans="20:20" ht="18.75" customHeight="1" x14ac:dyDescent="0.35">
      <c r="T49446" s="246">
        <f t="shared" si="810"/>
        <v>0</v>
      </c>
    </row>
    <row r="49447" spans="20:20" ht="18.75" customHeight="1" x14ac:dyDescent="0.35">
      <c r="T49447" s="246">
        <f t="shared" si="810"/>
        <v>0</v>
      </c>
    </row>
    <row r="49448" spans="20:20" ht="18.75" customHeight="1" x14ac:dyDescent="0.35">
      <c r="T49448" s="246">
        <f t="shared" si="810"/>
        <v>0</v>
      </c>
    </row>
    <row r="49449" spans="20:20" ht="18.75" customHeight="1" x14ac:dyDescent="0.35">
      <c r="T49449" s="246">
        <f t="shared" si="810"/>
        <v>0</v>
      </c>
    </row>
    <row r="49450" spans="20:20" ht="18.75" customHeight="1" x14ac:dyDescent="0.35">
      <c r="T49450" s="246">
        <f t="shared" si="810"/>
        <v>0</v>
      </c>
    </row>
    <row r="49451" spans="20:20" ht="18.75" customHeight="1" x14ac:dyDescent="0.35">
      <c r="T49451" s="246">
        <f t="shared" si="810"/>
        <v>0</v>
      </c>
    </row>
    <row r="49452" spans="20:20" ht="18.75" customHeight="1" x14ac:dyDescent="0.35">
      <c r="T49452" s="246">
        <f t="shared" si="810"/>
        <v>0</v>
      </c>
    </row>
    <row r="49453" spans="20:20" ht="18.75" customHeight="1" x14ac:dyDescent="0.35">
      <c r="T49453" s="246">
        <f t="shared" si="810"/>
        <v>0</v>
      </c>
    </row>
    <row r="49454" spans="20:20" ht="18.75" customHeight="1" x14ac:dyDescent="0.35">
      <c r="T49454" s="246">
        <f t="shared" si="810"/>
        <v>0</v>
      </c>
    </row>
    <row r="49455" spans="20:20" ht="18.75" customHeight="1" x14ac:dyDescent="0.35">
      <c r="T49455" s="246">
        <f t="shared" si="810"/>
        <v>0</v>
      </c>
    </row>
    <row r="49456" spans="20:20" ht="18.75" customHeight="1" x14ac:dyDescent="0.35">
      <c r="T49456" s="246">
        <f t="shared" si="810"/>
        <v>0</v>
      </c>
    </row>
    <row r="49457" spans="20:20" ht="18.75" customHeight="1" x14ac:dyDescent="0.35">
      <c r="T49457" s="246">
        <f t="shared" si="810"/>
        <v>0</v>
      </c>
    </row>
    <row r="49458" spans="20:20" ht="18.75" customHeight="1" x14ac:dyDescent="0.35">
      <c r="T49458" s="246">
        <f t="shared" si="810"/>
        <v>0</v>
      </c>
    </row>
    <row r="49459" spans="20:20" ht="18.75" customHeight="1" x14ac:dyDescent="0.35">
      <c r="T49459" s="246">
        <f t="shared" si="810"/>
        <v>0</v>
      </c>
    </row>
    <row r="49460" spans="20:20" ht="18.75" customHeight="1" x14ac:dyDescent="0.35">
      <c r="T49460" s="246">
        <f t="shared" si="810"/>
        <v>0</v>
      </c>
    </row>
    <row r="49461" spans="20:20" ht="18.75" customHeight="1" x14ac:dyDescent="0.35">
      <c r="T49461" s="246">
        <f t="shared" si="810"/>
        <v>0</v>
      </c>
    </row>
    <row r="49462" spans="20:20" ht="18.75" customHeight="1" x14ac:dyDescent="0.35">
      <c r="T49462" s="246">
        <f t="shared" si="810"/>
        <v>0</v>
      </c>
    </row>
    <row r="49463" spans="20:20" ht="18.75" customHeight="1" x14ac:dyDescent="0.35">
      <c r="T49463" s="246">
        <f t="shared" si="810"/>
        <v>0</v>
      </c>
    </row>
    <row r="49464" spans="20:20" ht="18.75" customHeight="1" x14ac:dyDescent="0.35">
      <c r="T49464" s="246">
        <f t="shared" si="810"/>
        <v>0</v>
      </c>
    </row>
    <row r="49465" spans="20:20" ht="18.75" customHeight="1" x14ac:dyDescent="0.35">
      <c r="T49465" s="246">
        <f t="shared" si="810"/>
        <v>0</v>
      </c>
    </row>
    <row r="49466" spans="20:20" ht="18.75" customHeight="1" x14ac:dyDescent="0.35">
      <c r="T49466" s="246">
        <f t="shared" si="810"/>
        <v>0</v>
      </c>
    </row>
    <row r="49467" spans="20:20" ht="18.75" customHeight="1" x14ac:dyDescent="0.35">
      <c r="T49467" s="246">
        <f t="shared" si="810"/>
        <v>0</v>
      </c>
    </row>
    <row r="49468" spans="20:20" ht="18.75" customHeight="1" x14ac:dyDescent="0.35">
      <c r="T49468" s="246">
        <f t="shared" ref="T49468:T49531" si="811">R49468*0.01</f>
        <v>0</v>
      </c>
    </row>
    <row r="49469" spans="20:20" ht="18.75" customHeight="1" x14ac:dyDescent="0.35">
      <c r="T49469" s="246">
        <f t="shared" si="811"/>
        <v>0</v>
      </c>
    </row>
    <row r="49470" spans="20:20" ht="18.75" customHeight="1" x14ac:dyDescent="0.35">
      <c r="T49470" s="246">
        <f t="shared" si="811"/>
        <v>0</v>
      </c>
    </row>
    <row r="49471" spans="20:20" ht="18.75" customHeight="1" x14ac:dyDescent="0.35">
      <c r="T49471" s="246">
        <f t="shared" si="811"/>
        <v>0</v>
      </c>
    </row>
    <row r="49472" spans="20:20" ht="18.75" customHeight="1" x14ac:dyDescent="0.35">
      <c r="T49472" s="246">
        <f t="shared" si="811"/>
        <v>0</v>
      </c>
    </row>
    <row r="49473" spans="20:20" ht="18.75" customHeight="1" x14ac:dyDescent="0.35">
      <c r="T49473" s="246">
        <f t="shared" si="811"/>
        <v>0</v>
      </c>
    </row>
    <row r="49474" spans="20:20" ht="18.75" customHeight="1" x14ac:dyDescent="0.35">
      <c r="T49474" s="246">
        <f t="shared" si="811"/>
        <v>0</v>
      </c>
    </row>
    <row r="49475" spans="20:20" ht="18.75" customHeight="1" x14ac:dyDescent="0.35">
      <c r="T49475" s="246">
        <f t="shared" si="811"/>
        <v>0</v>
      </c>
    </row>
    <row r="49476" spans="20:20" ht="18.75" customHeight="1" x14ac:dyDescent="0.35">
      <c r="T49476" s="246">
        <f t="shared" si="811"/>
        <v>0</v>
      </c>
    </row>
    <row r="49477" spans="20:20" ht="18.75" customHeight="1" x14ac:dyDescent="0.35">
      <c r="T49477" s="246">
        <f t="shared" si="811"/>
        <v>0</v>
      </c>
    </row>
    <row r="49478" spans="20:20" ht="18.75" customHeight="1" x14ac:dyDescent="0.35">
      <c r="T49478" s="246">
        <f t="shared" si="811"/>
        <v>0</v>
      </c>
    </row>
    <row r="49479" spans="20:20" ht="18.75" customHeight="1" x14ac:dyDescent="0.35">
      <c r="T49479" s="246">
        <f t="shared" si="811"/>
        <v>0</v>
      </c>
    </row>
    <row r="49480" spans="20:20" ht="18.75" customHeight="1" x14ac:dyDescent="0.35">
      <c r="T49480" s="246">
        <f t="shared" si="811"/>
        <v>0</v>
      </c>
    </row>
    <row r="49481" spans="20:20" ht="18.75" customHeight="1" x14ac:dyDescent="0.35">
      <c r="T49481" s="246">
        <f t="shared" si="811"/>
        <v>0</v>
      </c>
    </row>
    <row r="49482" spans="20:20" ht="18.75" customHeight="1" x14ac:dyDescent="0.35">
      <c r="T49482" s="246">
        <f t="shared" si="811"/>
        <v>0</v>
      </c>
    </row>
    <row r="49483" spans="20:20" ht="18.75" customHeight="1" x14ac:dyDescent="0.35">
      <c r="T49483" s="246">
        <f t="shared" si="811"/>
        <v>0</v>
      </c>
    </row>
    <row r="49484" spans="20:20" ht="18.75" customHeight="1" x14ac:dyDescent="0.35">
      <c r="T49484" s="246">
        <f t="shared" si="811"/>
        <v>0</v>
      </c>
    </row>
    <row r="49485" spans="20:20" ht="18.75" customHeight="1" x14ac:dyDescent="0.35">
      <c r="T49485" s="246">
        <f t="shared" si="811"/>
        <v>0</v>
      </c>
    </row>
    <row r="49486" spans="20:20" ht="18.75" customHeight="1" x14ac:dyDescent="0.35">
      <c r="T49486" s="246">
        <f t="shared" si="811"/>
        <v>0</v>
      </c>
    </row>
    <row r="49487" spans="20:20" ht="18.75" customHeight="1" x14ac:dyDescent="0.35">
      <c r="T49487" s="246">
        <f t="shared" si="811"/>
        <v>0</v>
      </c>
    </row>
    <row r="49488" spans="20:20" ht="18.75" customHeight="1" x14ac:dyDescent="0.35">
      <c r="T49488" s="246">
        <f t="shared" si="811"/>
        <v>0</v>
      </c>
    </row>
    <row r="49489" spans="20:20" ht="18.75" customHeight="1" x14ac:dyDescent="0.35">
      <c r="T49489" s="246">
        <f t="shared" si="811"/>
        <v>0</v>
      </c>
    </row>
    <row r="49490" spans="20:20" ht="18.75" customHeight="1" x14ac:dyDescent="0.35">
      <c r="T49490" s="246">
        <f t="shared" si="811"/>
        <v>0</v>
      </c>
    </row>
    <row r="49491" spans="20:20" ht="18.75" customHeight="1" x14ac:dyDescent="0.35">
      <c r="T49491" s="246">
        <f t="shared" si="811"/>
        <v>0</v>
      </c>
    </row>
    <row r="49492" spans="20:20" ht="18.75" customHeight="1" x14ac:dyDescent="0.35">
      <c r="T49492" s="246">
        <f t="shared" si="811"/>
        <v>0</v>
      </c>
    </row>
    <row r="49493" spans="20:20" ht="18.75" customHeight="1" x14ac:dyDescent="0.35">
      <c r="T49493" s="246">
        <f t="shared" si="811"/>
        <v>0</v>
      </c>
    </row>
    <row r="49494" spans="20:20" ht="18.75" customHeight="1" x14ac:dyDescent="0.35">
      <c r="T49494" s="246">
        <f t="shared" si="811"/>
        <v>0</v>
      </c>
    </row>
    <row r="49495" spans="20:20" ht="18.75" customHeight="1" x14ac:dyDescent="0.35">
      <c r="T49495" s="246">
        <f t="shared" si="811"/>
        <v>0</v>
      </c>
    </row>
    <row r="49496" spans="20:20" ht="18.75" customHeight="1" x14ac:dyDescent="0.35">
      <c r="T49496" s="246">
        <f t="shared" si="811"/>
        <v>0</v>
      </c>
    </row>
    <row r="49497" spans="20:20" ht="18.75" customHeight="1" x14ac:dyDescent="0.35">
      <c r="T49497" s="246">
        <f t="shared" si="811"/>
        <v>0</v>
      </c>
    </row>
    <row r="49498" spans="20:20" ht="18.75" customHeight="1" x14ac:dyDescent="0.35">
      <c r="T49498" s="246">
        <f t="shared" si="811"/>
        <v>0</v>
      </c>
    </row>
    <row r="49499" spans="20:20" ht="18.75" customHeight="1" x14ac:dyDescent="0.35">
      <c r="T49499" s="246">
        <f t="shared" si="811"/>
        <v>0</v>
      </c>
    </row>
    <row r="49500" spans="20:20" ht="18.75" customHeight="1" x14ac:dyDescent="0.35">
      <c r="T49500" s="246">
        <f t="shared" si="811"/>
        <v>0</v>
      </c>
    </row>
    <row r="49501" spans="20:20" ht="18.75" customHeight="1" x14ac:dyDescent="0.35">
      <c r="T49501" s="246">
        <f t="shared" si="811"/>
        <v>0</v>
      </c>
    </row>
    <row r="49502" spans="20:20" ht="18.75" customHeight="1" x14ac:dyDescent="0.35">
      <c r="T49502" s="246">
        <f t="shared" si="811"/>
        <v>0</v>
      </c>
    </row>
    <row r="49503" spans="20:20" ht="18.75" customHeight="1" x14ac:dyDescent="0.35">
      <c r="T49503" s="246">
        <f t="shared" si="811"/>
        <v>0</v>
      </c>
    </row>
    <row r="49504" spans="20:20" ht="18.75" customHeight="1" x14ac:dyDescent="0.35">
      <c r="T49504" s="246">
        <f t="shared" si="811"/>
        <v>0</v>
      </c>
    </row>
    <row r="49505" spans="20:20" ht="18.75" customHeight="1" x14ac:dyDescent="0.35">
      <c r="T49505" s="246">
        <f t="shared" si="811"/>
        <v>0</v>
      </c>
    </row>
    <row r="49506" spans="20:20" ht="18.75" customHeight="1" x14ac:dyDescent="0.35">
      <c r="T49506" s="246">
        <f t="shared" si="811"/>
        <v>0</v>
      </c>
    </row>
    <row r="49507" spans="20:20" ht="18.75" customHeight="1" x14ac:dyDescent="0.35">
      <c r="T49507" s="246">
        <f t="shared" si="811"/>
        <v>0</v>
      </c>
    </row>
    <row r="49508" spans="20:20" ht="18.75" customHeight="1" x14ac:dyDescent="0.35">
      <c r="T49508" s="246">
        <f t="shared" si="811"/>
        <v>0</v>
      </c>
    </row>
    <row r="49509" spans="20:20" ht="18.75" customHeight="1" x14ac:dyDescent="0.35">
      <c r="T49509" s="246">
        <f t="shared" si="811"/>
        <v>0</v>
      </c>
    </row>
    <row r="49510" spans="20:20" ht="18.75" customHeight="1" x14ac:dyDescent="0.35">
      <c r="T49510" s="246">
        <f t="shared" si="811"/>
        <v>0</v>
      </c>
    </row>
    <row r="49511" spans="20:20" ht="18.75" customHeight="1" x14ac:dyDescent="0.35">
      <c r="T49511" s="246">
        <f t="shared" si="811"/>
        <v>0</v>
      </c>
    </row>
    <row r="49512" spans="20:20" ht="18.75" customHeight="1" x14ac:dyDescent="0.35">
      <c r="T49512" s="246">
        <f t="shared" si="811"/>
        <v>0</v>
      </c>
    </row>
    <row r="49513" spans="20:20" ht="18.75" customHeight="1" x14ac:dyDescent="0.35">
      <c r="T49513" s="246">
        <f t="shared" si="811"/>
        <v>0</v>
      </c>
    </row>
    <row r="49514" spans="20:20" ht="18.75" customHeight="1" x14ac:dyDescent="0.35">
      <c r="T49514" s="246">
        <f t="shared" si="811"/>
        <v>0</v>
      </c>
    </row>
    <row r="49515" spans="20:20" ht="18.75" customHeight="1" x14ac:dyDescent="0.35">
      <c r="T49515" s="246">
        <f t="shared" si="811"/>
        <v>0</v>
      </c>
    </row>
    <row r="49516" spans="20:20" ht="18.75" customHeight="1" x14ac:dyDescent="0.35">
      <c r="T49516" s="246">
        <f t="shared" si="811"/>
        <v>0</v>
      </c>
    </row>
    <row r="49517" spans="20:20" ht="18.75" customHeight="1" x14ac:dyDescent="0.35">
      <c r="T49517" s="246">
        <f t="shared" si="811"/>
        <v>0</v>
      </c>
    </row>
    <row r="49518" spans="20:20" ht="18.75" customHeight="1" x14ac:dyDescent="0.35">
      <c r="T49518" s="246">
        <f t="shared" si="811"/>
        <v>0</v>
      </c>
    </row>
    <row r="49519" spans="20:20" ht="18.75" customHeight="1" x14ac:dyDescent="0.35">
      <c r="T49519" s="246">
        <f t="shared" si="811"/>
        <v>0</v>
      </c>
    </row>
    <row r="49520" spans="20:20" ht="18.75" customHeight="1" x14ac:dyDescent="0.35">
      <c r="T49520" s="246">
        <f t="shared" si="811"/>
        <v>0</v>
      </c>
    </row>
    <row r="49521" spans="20:20" ht="18.75" customHeight="1" x14ac:dyDescent="0.35">
      <c r="T49521" s="246">
        <f t="shared" si="811"/>
        <v>0</v>
      </c>
    </row>
    <row r="49522" spans="20:20" ht="18.75" customHeight="1" x14ac:dyDescent="0.35">
      <c r="T49522" s="246">
        <f t="shared" si="811"/>
        <v>0</v>
      </c>
    </row>
    <row r="49523" spans="20:20" ht="18.75" customHeight="1" x14ac:dyDescent="0.35">
      <c r="T49523" s="246">
        <f t="shared" si="811"/>
        <v>0</v>
      </c>
    </row>
    <row r="49524" spans="20:20" ht="18.75" customHeight="1" x14ac:dyDescent="0.35">
      <c r="T49524" s="246">
        <f t="shared" si="811"/>
        <v>0</v>
      </c>
    </row>
    <row r="49525" spans="20:20" ht="18.75" customHeight="1" x14ac:dyDescent="0.35">
      <c r="T49525" s="246">
        <f t="shared" si="811"/>
        <v>0</v>
      </c>
    </row>
    <row r="49526" spans="20:20" ht="18.75" customHeight="1" x14ac:dyDescent="0.35">
      <c r="T49526" s="246">
        <f t="shared" si="811"/>
        <v>0</v>
      </c>
    </row>
    <row r="49527" spans="20:20" ht="18.75" customHeight="1" x14ac:dyDescent="0.35">
      <c r="T49527" s="246">
        <f t="shared" si="811"/>
        <v>0</v>
      </c>
    </row>
    <row r="49528" spans="20:20" ht="18.75" customHeight="1" x14ac:dyDescent="0.35">
      <c r="T49528" s="246">
        <f t="shared" si="811"/>
        <v>0</v>
      </c>
    </row>
    <row r="49529" spans="20:20" ht="18.75" customHeight="1" x14ac:dyDescent="0.35">
      <c r="T49529" s="246">
        <f t="shared" si="811"/>
        <v>0</v>
      </c>
    </row>
    <row r="49530" spans="20:20" ht="18.75" customHeight="1" x14ac:dyDescent="0.35">
      <c r="T49530" s="246">
        <f t="shared" si="811"/>
        <v>0</v>
      </c>
    </row>
    <row r="49531" spans="20:20" ht="18.75" customHeight="1" x14ac:dyDescent="0.35">
      <c r="T49531" s="246">
        <f t="shared" si="811"/>
        <v>0</v>
      </c>
    </row>
    <row r="49532" spans="20:20" ht="18.75" customHeight="1" x14ac:dyDescent="0.35">
      <c r="T49532" s="246">
        <f t="shared" ref="T49532:T49595" si="812">R49532*0.01</f>
        <v>0</v>
      </c>
    </row>
    <row r="49533" spans="20:20" ht="18.75" customHeight="1" x14ac:dyDescent="0.35">
      <c r="T49533" s="246">
        <f t="shared" si="812"/>
        <v>0</v>
      </c>
    </row>
    <row r="49534" spans="20:20" ht="18.75" customHeight="1" x14ac:dyDescent="0.35">
      <c r="T49534" s="246">
        <f t="shared" si="812"/>
        <v>0</v>
      </c>
    </row>
    <row r="49535" spans="20:20" ht="18.75" customHeight="1" x14ac:dyDescent="0.35">
      <c r="T49535" s="246">
        <f t="shared" si="812"/>
        <v>0</v>
      </c>
    </row>
    <row r="49536" spans="20:20" ht="18.75" customHeight="1" x14ac:dyDescent="0.35">
      <c r="T49536" s="246">
        <f t="shared" si="812"/>
        <v>0</v>
      </c>
    </row>
    <row r="49537" spans="20:20" ht="18.75" customHeight="1" x14ac:dyDescent="0.35">
      <c r="T49537" s="246">
        <f t="shared" si="812"/>
        <v>0</v>
      </c>
    </row>
    <row r="49538" spans="20:20" ht="18.75" customHeight="1" x14ac:dyDescent="0.35">
      <c r="T49538" s="246">
        <f t="shared" si="812"/>
        <v>0</v>
      </c>
    </row>
    <row r="49539" spans="20:20" ht="18.75" customHeight="1" x14ac:dyDescent="0.35">
      <c r="T49539" s="246">
        <f t="shared" si="812"/>
        <v>0</v>
      </c>
    </row>
    <row r="49540" spans="20:20" ht="18.75" customHeight="1" x14ac:dyDescent="0.35">
      <c r="T49540" s="246">
        <f t="shared" si="812"/>
        <v>0</v>
      </c>
    </row>
    <row r="49541" spans="20:20" ht="18.75" customHeight="1" x14ac:dyDescent="0.35">
      <c r="T49541" s="246">
        <f t="shared" si="812"/>
        <v>0</v>
      </c>
    </row>
    <row r="49542" spans="20:20" ht="18.75" customHeight="1" x14ac:dyDescent="0.35">
      <c r="T49542" s="246">
        <f t="shared" si="812"/>
        <v>0</v>
      </c>
    </row>
    <row r="49543" spans="20:20" ht="18.75" customHeight="1" x14ac:dyDescent="0.35">
      <c r="T49543" s="246">
        <f t="shared" si="812"/>
        <v>0</v>
      </c>
    </row>
    <row r="49544" spans="20:20" ht="18.75" customHeight="1" x14ac:dyDescent="0.35">
      <c r="T49544" s="246">
        <f t="shared" si="812"/>
        <v>0</v>
      </c>
    </row>
    <row r="49545" spans="20:20" ht="18.75" customHeight="1" x14ac:dyDescent="0.35">
      <c r="T49545" s="246">
        <f t="shared" si="812"/>
        <v>0</v>
      </c>
    </row>
    <row r="49546" spans="20:20" ht="18.75" customHeight="1" x14ac:dyDescent="0.35">
      <c r="T49546" s="246">
        <f t="shared" si="812"/>
        <v>0</v>
      </c>
    </row>
    <row r="49547" spans="20:20" ht="18.75" customHeight="1" x14ac:dyDescent="0.35">
      <c r="T49547" s="246">
        <f t="shared" si="812"/>
        <v>0</v>
      </c>
    </row>
    <row r="49548" spans="20:20" ht="18.75" customHeight="1" x14ac:dyDescent="0.35">
      <c r="T49548" s="246">
        <f t="shared" si="812"/>
        <v>0</v>
      </c>
    </row>
    <row r="49549" spans="20:20" ht="18.75" customHeight="1" x14ac:dyDescent="0.35">
      <c r="T49549" s="246">
        <f t="shared" si="812"/>
        <v>0</v>
      </c>
    </row>
    <row r="49550" spans="20:20" ht="18.75" customHeight="1" x14ac:dyDescent="0.35">
      <c r="T49550" s="246">
        <f t="shared" si="812"/>
        <v>0</v>
      </c>
    </row>
    <row r="49551" spans="20:20" ht="18.75" customHeight="1" x14ac:dyDescent="0.35">
      <c r="T49551" s="246">
        <f t="shared" si="812"/>
        <v>0</v>
      </c>
    </row>
    <row r="49552" spans="20:20" ht="18.75" customHeight="1" x14ac:dyDescent="0.35">
      <c r="T49552" s="246">
        <f t="shared" si="812"/>
        <v>0</v>
      </c>
    </row>
    <row r="49553" spans="20:20" ht="18.75" customHeight="1" x14ac:dyDescent="0.35">
      <c r="T49553" s="246">
        <f t="shared" si="812"/>
        <v>0</v>
      </c>
    </row>
    <row r="49554" spans="20:20" ht="18.75" customHeight="1" x14ac:dyDescent="0.35">
      <c r="T49554" s="246">
        <f t="shared" si="812"/>
        <v>0</v>
      </c>
    </row>
    <row r="49555" spans="20:20" ht="18.75" customHeight="1" x14ac:dyDescent="0.35">
      <c r="T49555" s="246">
        <f t="shared" si="812"/>
        <v>0</v>
      </c>
    </row>
    <row r="49556" spans="20:20" ht="18.75" customHeight="1" x14ac:dyDescent="0.35">
      <c r="T49556" s="246">
        <f t="shared" si="812"/>
        <v>0</v>
      </c>
    </row>
    <row r="49557" spans="20:20" ht="18.75" customHeight="1" x14ac:dyDescent="0.35">
      <c r="T49557" s="246">
        <f t="shared" si="812"/>
        <v>0</v>
      </c>
    </row>
    <row r="49558" spans="20:20" ht="18.75" customHeight="1" x14ac:dyDescent="0.35">
      <c r="T49558" s="246">
        <f t="shared" si="812"/>
        <v>0</v>
      </c>
    </row>
    <row r="49559" spans="20:20" ht="18.75" customHeight="1" x14ac:dyDescent="0.35">
      <c r="T49559" s="246">
        <f t="shared" si="812"/>
        <v>0</v>
      </c>
    </row>
    <row r="49560" spans="20:20" ht="18.75" customHeight="1" x14ac:dyDescent="0.35">
      <c r="T49560" s="246">
        <f t="shared" si="812"/>
        <v>0</v>
      </c>
    </row>
    <row r="49561" spans="20:20" ht="18.75" customHeight="1" x14ac:dyDescent="0.35">
      <c r="T49561" s="246">
        <f t="shared" si="812"/>
        <v>0</v>
      </c>
    </row>
    <row r="49562" spans="20:20" ht="18.75" customHeight="1" x14ac:dyDescent="0.35">
      <c r="T49562" s="246">
        <f t="shared" si="812"/>
        <v>0</v>
      </c>
    </row>
    <row r="49563" spans="20:20" ht="18.75" customHeight="1" x14ac:dyDescent="0.35">
      <c r="T49563" s="246">
        <f t="shared" si="812"/>
        <v>0</v>
      </c>
    </row>
    <row r="49564" spans="20:20" ht="18.75" customHeight="1" x14ac:dyDescent="0.35">
      <c r="T49564" s="246">
        <f t="shared" si="812"/>
        <v>0</v>
      </c>
    </row>
    <row r="49565" spans="20:20" ht="18.75" customHeight="1" x14ac:dyDescent="0.35">
      <c r="T49565" s="246">
        <f t="shared" si="812"/>
        <v>0</v>
      </c>
    </row>
    <row r="49566" spans="20:20" ht="18.75" customHeight="1" x14ac:dyDescent="0.35">
      <c r="T49566" s="246">
        <f t="shared" si="812"/>
        <v>0</v>
      </c>
    </row>
    <row r="49567" spans="20:20" ht="18.75" customHeight="1" x14ac:dyDescent="0.35">
      <c r="T49567" s="246">
        <f t="shared" si="812"/>
        <v>0</v>
      </c>
    </row>
    <row r="49568" spans="20:20" ht="18.75" customHeight="1" x14ac:dyDescent="0.35">
      <c r="T49568" s="246">
        <f t="shared" si="812"/>
        <v>0</v>
      </c>
    </row>
    <row r="49569" spans="20:20" ht="18.75" customHeight="1" x14ac:dyDescent="0.35">
      <c r="T49569" s="246">
        <f t="shared" si="812"/>
        <v>0</v>
      </c>
    </row>
    <row r="49570" spans="20:20" ht="18.75" customHeight="1" x14ac:dyDescent="0.35">
      <c r="T49570" s="246">
        <f t="shared" si="812"/>
        <v>0</v>
      </c>
    </row>
    <row r="49571" spans="20:20" ht="18.75" customHeight="1" x14ac:dyDescent="0.35">
      <c r="T49571" s="246">
        <f t="shared" si="812"/>
        <v>0</v>
      </c>
    </row>
    <row r="49572" spans="20:20" ht="18.75" customHeight="1" x14ac:dyDescent="0.35">
      <c r="T49572" s="246">
        <f t="shared" si="812"/>
        <v>0</v>
      </c>
    </row>
    <row r="49573" spans="20:20" ht="18.75" customHeight="1" x14ac:dyDescent="0.35">
      <c r="T49573" s="246">
        <f t="shared" si="812"/>
        <v>0</v>
      </c>
    </row>
    <row r="49574" spans="20:20" ht="18.75" customHeight="1" x14ac:dyDescent="0.35">
      <c r="T49574" s="246">
        <f t="shared" si="812"/>
        <v>0</v>
      </c>
    </row>
    <row r="49575" spans="20:20" ht="18.75" customHeight="1" x14ac:dyDescent="0.35">
      <c r="T49575" s="246">
        <f t="shared" si="812"/>
        <v>0</v>
      </c>
    </row>
    <row r="49576" spans="20:20" ht="18.75" customHeight="1" x14ac:dyDescent="0.35">
      <c r="T49576" s="246">
        <f t="shared" si="812"/>
        <v>0</v>
      </c>
    </row>
    <row r="49577" spans="20:20" ht="18.75" customHeight="1" x14ac:dyDescent="0.35">
      <c r="T49577" s="246">
        <f t="shared" si="812"/>
        <v>0</v>
      </c>
    </row>
    <row r="49578" spans="20:20" ht="18.75" customHeight="1" x14ac:dyDescent="0.35">
      <c r="T49578" s="246">
        <f t="shared" si="812"/>
        <v>0</v>
      </c>
    </row>
    <row r="49579" spans="20:20" ht="18.75" customHeight="1" x14ac:dyDescent="0.35">
      <c r="T49579" s="246">
        <f t="shared" si="812"/>
        <v>0</v>
      </c>
    </row>
    <row r="49580" spans="20:20" ht="18.75" customHeight="1" x14ac:dyDescent="0.35">
      <c r="T49580" s="246">
        <f t="shared" si="812"/>
        <v>0</v>
      </c>
    </row>
    <row r="49581" spans="20:20" ht="18.75" customHeight="1" x14ac:dyDescent="0.35">
      <c r="T49581" s="246">
        <f t="shared" si="812"/>
        <v>0</v>
      </c>
    </row>
    <row r="49582" spans="20:20" ht="18.75" customHeight="1" x14ac:dyDescent="0.35">
      <c r="T49582" s="246">
        <f t="shared" si="812"/>
        <v>0</v>
      </c>
    </row>
    <row r="49583" spans="20:20" ht="18.75" customHeight="1" x14ac:dyDescent="0.35">
      <c r="T49583" s="246">
        <f t="shared" si="812"/>
        <v>0</v>
      </c>
    </row>
    <row r="49584" spans="20:20" ht="18.75" customHeight="1" x14ac:dyDescent="0.35">
      <c r="T49584" s="246">
        <f t="shared" si="812"/>
        <v>0</v>
      </c>
    </row>
    <row r="49585" spans="20:20" ht="18.75" customHeight="1" x14ac:dyDescent="0.35">
      <c r="T49585" s="246">
        <f t="shared" si="812"/>
        <v>0</v>
      </c>
    </row>
    <row r="49586" spans="20:20" ht="18.75" customHeight="1" x14ac:dyDescent="0.35">
      <c r="T49586" s="246">
        <f t="shared" si="812"/>
        <v>0</v>
      </c>
    </row>
    <row r="49587" spans="20:20" ht="18.75" customHeight="1" x14ac:dyDescent="0.35">
      <c r="T49587" s="246">
        <f t="shared" si="812"/>
        <v>0</v>
      </c>
    </row>
    <row r="49588" spans="20:20" ht="18.75" customHeight="1" x14ac:dyDescent="0.35">
      <c r="T49588" s="246">
        <f t="shared" si="812"/>
        <v>0</v>
      </c>
    </row>
    <row r="49589" spans="20:20" ht="18.75" customHeight="1" x14ac:dyDescent="0.35">
      <c r="T49589" s="246">
        <f t="shared" si="812"/>
        <v>0</v>
      </c>
    </row>
    <row r="49590" spans="20:20" ht="18.75" customHeight="1" x14ac:dyDescent="0.35">
      <c r="T49590" s="246">
        <f t="shared" si="812"/>
        <v>0</v>
      </c>
    </row>
    <row r="49591" spans="20:20" ht="18.75" customHeight="1" x14ac:dyDescent="0.35">
      <c r="T49591" s="246">
        <f t="shared" si="812"/>
        <v>0</v>
      </c>
    </row>
    <row r="49592" spans="20:20" ht="18.75" customHeight="1" x14ac:dyDescent="0.35">
      <c r="T49592" s="246">
        <f t="shared" si="812"/>
        <v>0</v>
      </c>
    </row>
    <row r="49593" spans="20:20" ht="18.75" customHeight="1" x14ac:dyDescent="0.35">
      <c r="T49593" s="246">
        <f t="shared" si="812"/>
        <v>0</v>
      </c>
    </row>
    <row r="49594" spans="20:20" ht="18.75" customHeight="1" x14ac:dyDescent="0.35">
      <c r="T49594" s="246">
        <f t="shared" si="812"/>
        <v>0</v>
      </c>
    </row>
    <row r="49595" spans="20:20" ht="18.75" customHeight="1" x14ac:dyDescent="0.35">
      <c r="T49595" s="246">
        <f t="shared" si="812"/>
        <v>0</v>
      </c>
    </row>
    <row r="49596" spans="20:20" ht="18.75" customHeight="1" x14ac:dyDescent="0.35">
      <c r="T49596" s="246">
        <f t="shared" ref="T49596:T49659" si="813">R49596*0.01</f>
        <v>0</v>
      </c>
    </row>
    <row r="49597" spans="20:20" ht="18.75" customHeight="1" x14ac:dyDescent="0.35">
      <c r="T49597" s="246">
        <f t="shared" si="813"/>
        <v>0</v>
      </c>
    </row>
    <row r="49598" spans="20:20" ht="18.75" customHeight="1" x14ac:dyDescent="0.35">
      <c r="T49598" s="246">
        <f t="shared" si="813"/>
        <v>0</v>
      </c>
    </row>
    <row r="49599" spans="20:20" ht="18.75" customHeight="1" x14ac:dyDescent="0.35">
      <c r="T49599" s="246">
        <f t="shared" si="813"/>
        <v>0</v>
      </c>
    </row>
    <row r="49600" spans="20:20" ht="18.75" customHeight="1" x14ac:dyDescent="0.35">
      <c r="T49600" s="246">
        <f t="shared" si="813"/>
        <v>0</v>
      </c>
    </row>
    <row r="49601" spans="20:20" ht="18.75" customHeight="1" x14ac:dyDescent="0.35">
      <c r="T49601" s="246">
        <f t="shared" si="813"/>
        <v>0</v>
      </c>
    </row>
    <row r="49602" spans="20:20" ht="18.75" customHeight="1" x14ac:dyDescent="0.35">
      <c r="T49602" s="246">
        <f t="shared" si="813"/>
        <v>0</v>
      </c>
    </row>
    <row r="49603" spans="20:20" ht="18.75" customHeight="1" x14ac:dyDescent="0.35">
      <c r="T49603" s="246">
        <f t="shared" si="813"/>
        <v>0</v>
      </c>
    </row>
    <row r="49604" spans="20:20" ht="18.75" customHeight="1" x14ac:dyDescent="0.35">
      <c r="T49604" s="246">
        <f t="shared" si="813"/>
        <v>0</v>
      </c>
    </row>
    <row r="49605" spans="20:20" ht="18.75" customHeight="1" x14ac:dyDescent="0.35">
      <c r="T49605" s="246">
        <f t="shared" si="813"/>
        <v>0</v>
      </c>
    </row>
    <row r="49606" spans="20:20" ht="18.75" customHeight="1" x14ac:dyDescent="0.35">
      <c r="T49606" s="246">
        <f t="shared" si="813"/>
        <v>0</v>
      </c>
    </row>
    <row r="49607" spans="20:20" ht="18.75" customHeight="1" x14ac:dyDescent="0.35">
      <c r="T49607" s="246">
        <f t="shared" si="813"/>
        <v>0</v>
      </c>
    </row>
    <row r="49608" spans="20:20" ht="18.75" customHeight="1" x14ac:dyDescent="0.35">
      <c r="T49608" s="246">
        <f t="shared" si="813"/>
        <v>0</v>
      </c>
    </row>
    <row r="49609" spans="20:20" ht="18.75" customHeight="1" x14ac:dyDescent="0.35">
      <c r="T49609" s="246">
        <f t="shared" si="813"/>
        <v>0</v>
      </c>
    </row>
    <row r="49610" spans="20:20" ht="18.75" customHeight="1" x14ac:dyDescent="0.35">
      <c r="T49610" s="246">
        <f t="shared" si="813"/>
        <v>0</v>
      </c>
    </row>
    <row r="49611" spans="20:20" ht="18.75" customHeight="1" x14ac:dyDescent="0.35">
      <c r="T49611" s="246">
        <f t="shared" si="813"/>
        <v>0</v>
      </c>
    </row>
    <row r="49612" spans="20:20" ht="18.75" customHeight="1" x14ac:dyDescent="0.35">
      <c r="T49612" s="246">
        <f t="shared" si="813"/>
        <v>0</v>
      </c>
    </row>
    <row r="49613" spans="20:20" ht="18.75" customHeight="1" x14ac:dyDescent="0.35">
      <c r="T49613" s="246">
        <f t="shared" si="813"/>
        <v>0</v>
      </c>
    </row>
    <row r="49614" spans="20:20" ht="18.75" customHeight="1" x14ac:dyDescent="0.35">
      <c r="T49614" s="246">
        <f t="shared" si="813"/>
        <v>0</v>
      </c>
    </row>
    <row r="49615" spans="20:20" ht="18.75" customHeight="1" x14ac:dyDescent="0.35">
      <c r="T49615" s="246">
        <f t="shared" si="813"/>
        <v>0</v>
      </c>
    </row>
    <row r="49616" spans="20:20" ht="18.75" customHeight="1" x14ac:dyDescent="0.35">
      <c r="T49616" s="246">
        <f t="shared" si="813"/>
        <v>0</v>
      </c>
    </row>
    <row r="49617" spans="20:20" ht="18.75" customHeight="1" x14ac:dyDescent="0.35">
      <c r="T49617" s="246">
        <f t="shared" si="813"/>
        <v>0</v>
      </c>
    </row>
    <row r="49618" spans="20:20" ht="18.75" customHeight="1" x14ac:dyDescent="0.35">
      <c r="T49618" s="246">
        <f t="shared" si="813"/>
        <v>0</v>
      </c>
    </row>
    <row r="49619" spans="20:20" ht="18.75" customHeight="1" x14ac:dyDescent="0.35">
      <c r="T49619" s="246">
        <f t="shared" si="813"/>
        <v>0</v>
      </c>
    </row>
    <row r="49620" spans="20:20" ht="18.75" customHeight="1" x14ac:dyDescent="0.35">
      <c r="T49620" s="246">
        <f t="shared" si="813"/>
        <v>0</v>
      </c>
    </row>
    <row r="49621" spans="20:20" ht="18.75" customHeight="1" x14ac:dyDescent="0.35">
      <c r="T49621" s="246">
        <f t="shared" si="813"/>
        <v>0</v>
      </c>
    </row>
    <row r="49622" spans="20:20" ht="18.75" customHeight="1" x14ac:dyDescent="0.35">
      <c r="T49622" s="246">
        <f t="shared" si="813"/>
        <v>0</v>
      </c>
    </row>
    <row r="49623" spans="20:20" ht="18.75" customHeight="1" x14ac:dyDescent="0.35">
      <c r="T49623" s="246">
        <f t="shared" si="813"/>
        <v>0</v>
      </c>
    </row>
    <row r="49624" spans="20:20" ht="18.75" customHeight="1" x14ac:dyDescent="0.35">
      <c r="T49624" s="246">
        <f t="shared" si="813"/>
        <v>0</v>
      </c>
    </row>
    <row r="49625" spans="20:20" ht="18.75" customHeight="1" x14ac:dyDescent="0.35">
      <c r="T49625" s="246">
        <f t="shared" si="813"/>
        <v>0</v>
      </c>
    </row>
    <row r="49626" spans="20:20" ht="18.75" customHeight="1" x14ac:dyDescent="0.35">
      <c r="T49626" s="246">
        <f t="shared" si="813"/>
        <v>0</v>
      </c>
    </row>
    <row r="49627" spans="20:20" ht="18.75" customHeight="1" x14ac:dyDescent="0.35">
      <c r="T49627" s="246">
        <f t="shared" si="813"/>
        <v>0</v>
      </c>
    </row>
    <row r="49628" spans="20:20" ht="18.75" customHeight="1" x14ac:dyDescent="0.35">
      <c r="T49628" s="246">
        <f t="shared" si="813"/>
        <v>0</v>
      </c>
    </row>
    <row r="49629" spans="20:20" ht="18.75" customHeight="1" x14ac:dyDescent="0.35">
      <c r="T49629" s="246">
        <f t="shared" si="813"/>
        <v>0</v>
      </c>
    </row>
    <row r="49630" spans="20:20" ht="18.75" customHeight="1" x14ac:dyDescent="0.35">
      <c r="T49630" s="246">
        <f t="shared" si="813"/>
        <v>0</v>
      </c>
    </row>
    <row r="49631" spans="20:20" ht="18.75" customHeight="1" x14ac:dyDescent="0.35">
      <c r="T49631" s="246">
        <f t="shared" si="813"/>
        <v>0</v>
      </c>
    </row>
    <row r="49632" spans="20:20" ht="18.75" customHeight="1" x14ac:dyDescent="0.35">
      <c r="T49632" s="246">
        <f t="shared" si="813"/>
        <v>0</v>
      </c>
    </row>
    <row r="49633" spans="20:20" ht="18.75" customHeight="1" x14ac:dyDescent="0.35">
      <c r="T49633" s="246">
        <f t="shared" si="813"/>
        <v>0</v>
      </c>
    </row>
    <row r="49634" spans="20:20" ht="18.75" customHeight="1" x14ac:dyDescent="0.35">
      <c r="T49634" s="246">
        <f t="shared" si="813"/>
        <v>0</v>
      </c>
    </row>
    <row r="49635" spans="20:20" ht="18.75" customHeight="1" x14ac:dyDescent="0.35">
      <c r="T49635" s="246">
        <f t="shared" si="813"/>
        <v>0</v>
      </c>
    </row>
    <row r="49636" spans="20:20" ht="18.75" customHeight="1" x14ac:dyDescent="0.35">
      <c r="T49636" s="246">
        <f t="shared" si="813"/>
        <v>0</v>
      </c>
    </row>
    <row r="49637" spans="20:20" ht="18.75" customHeight="1" x14ac:dyDescent="0.35">
      <c r="T49637" s="246">
        <f t="shared" si="813"/>
        <v>0</v>
      </c>
    </row>
    <row r="49638" spans="20:20" ht="18.75" customHeight="1" x14ac:dyDescent="0.35">
      <c r="T49638" s="246">
        <f t="shared" si="813"/>
        <v>0</v>
      </c>
    </row>
    <row r="49639" spans="20:20" ht="18.75" customHeight="1" x14ac:dyDescent="0.35">
      <c r="T49639" s="246">
        <f t="shared" si="813"/>
        <v>0</v>
      </c>
    </row>
    <row r="49640" spans="20:20" ht="18.75" customHeight="1" x14ac:dyDescent="0.35">
      <c r="T49640" s="246">
        <f t="shared" si="813"/>
        <v>0</v>
      </c>
    </row>
    <row r="49641" spans="20:20" ht="18.75" customHeight="1" x14ac:dyDescent="0.35">
      <c r="T49641" s="246">
        <f t="shared" si="813"/>
        <v>0</v>
      </c>
    </row>
    <row r="49642" spans="20:20" ht="18.75" customHeight="1" x14ac:dyDescent="0.35">
      <c r="T49642" s="246">
        <f t="shared" si="813"/>
        <v>0</v>
      </c>
    </row>
    <row r="49643" spans="20:20" ht="18.75" customHeight="1" x14ac:dyDescent="0.35">
      <c r="T49643" s="246">
        <f t="shared" si="813"/>
        <v>0</v>
      </c>
    </row>
    <row r="49644" spans="20:20" ht="18.75" customHeight="1" x14ac:dyDescent="0.35">
      <c r="T49644" s="246">
        <f t="shared" si="813"/>
        <v>0</v>
      </c>
    </row>
    <row r="49645" spans="20:20" ht="18.75" customHeight="1" x14ac:dyDescent="0.35">
      <c r="T49645" s="246">
        <f t="shared" si="813"/>
        <v>0</v>
      </c>
    </row>
    <row r="49646" spans="20:20" ht="18.75" customHeight="1" x14ac:dyDescent="0.35">
      <c r="T49646" s="246">
        <f t="shared" si="813"/>
        <v>0</v>
      </c>
    </row>
    <row r="49647" spans="20:20" ht="18.75" customHeight="1" x14ac:dyDescent="0.35">
      <c r="T49647" s="246">
        <f t="shared" si="813"/>
        <v>0</v>
      </c>
    </row>
    <row r="49648" spans="20:20" ht="18.75" customHeight="1" x14ac:dyDescent="0.35">
      <c r="T49648" s="246">
        <f t="shared" si="813"/>
        <v>0</v>
      </c>
    </row>
    <row r="49649" spans="20:20" ht="18.75" customHeight="1" x14ac:dyDescent="0.35">
      <c r="T49649" s="246">
        <f t="shared" si="813"/>
        <v>0</v>
      </c>
    </row>
    <row r="49650" spans="20:20" ht="18.75" customHeight="1" x14ac:dyDescent="0.35">
      <c r="T49650" s="246">
        <f t="shared" si="813"/>
        <v>0</v>
      </c>
    </row>
    <row r="49651" spans="20:20" ht="18.75" customHeight="1" x14ac:dyDescent="0.35">
      <c r="T49651" s="246">
        <f t="shared" si="813"/>
        <v>0</v>
      </c>
    </row>
    <row r="49652" spans="20:20" ht="18.75" customHeight="1" x14ac:dyDescent="0.35">
      <c r="T49652" s="246">
        <f t="shared" si="813"/>
        <v>0</v>
      </c>
    </row>
    <row r="49653" spans="20:20" ht="18.75" customHeight="1" x14ac:dyDescent="0.35">
      <c r="T49653" s="246">
        <f t="shared" si="813"/>
        <v>0</v>
      </c>
    </row>
    <row r="49654" spans="20:20" ht="18.75" customHeight="1" x14ac:dyDescent="0.35">
      <c r="T49654" s="246">
        <f t="shared" si="813"/>
        <v>0</v>
      </c>
    </row>
    <row r="49655" spans="20:20" ht="18.75" customHeight="1" x14ac:dyDescent="0.35">
      <c r="T49655" s="246">
        <f t="shared" si="813"/>
        <v>0</v>
      </c>
    </row>
    <row r="49656" spans="20:20" ht="18.75" customHeight="1" x14ac:dyDescent="0.35">
      <c r="T49656" s="246">
        <f t="shared" si="813"/>
        <v>0</v>
      </c>
    </row>
    <row r="49657" spans="20:20" ht="18.75" customHeight="1" x14ac:dyDescent="0.35">
      <c r="T49657" s="246">
        <f t="shared" si="813"/>
        <v>0</v>
      </c>
    </row>
    <row r="49658" spans="20:20" ht="18.75" customHeight="1" x14ac:dyDescent="0.35">
      <c r="T49658" s="246">
        <f t="shared" si="813"/>
        <v>0</v>
      </c>
    </row>
    <row r="49659" spans="20:20" ht="18.75" customHeight="1" x14ac:dyDescent="0.35">
      <c r="T49659" s="246">
        <f t="shared" si="813"/>
        <v>0</v>
      </c>
    </row>
    <row r="49660" spans="20:20" ht="18.75" customHeight="1" x14ac:dyDescent="0.35">
      <c r="T49660" s="246">
        <f t="shared" ref="T49660:T49723" si="814">R49660*0.01</f>
        <v>0</v>
      </c>
    </row>
    <row r="49661" spans="20:20" ht="18.75" customHeight="1" x14ac:dyDescent="0.35">
      <c r="T49661" s="246">
        <f t="shared" si="814"/>
        <v>0</v>
      </c>
    </row>
    <row r="49662" spans="20:20" ht="18.75" customHeight="1" x14ac:dyDescent="0.35">
      <c r="T49662" s="246">
        <f t="shared" si="814"/>
        <v>0</v>
      </c>
    </row>
    <row r="49663" spans="20:20" ht="18.75" customHeight="1" x14ac:dyDescent="0.35">
      <c r="T49663" s="246">
        <f t="shared" si="814"/>
        <v>0</v>
      </c>
    </row>
    <row r="49664" spans="20:20" ht="18.75" customHeight="1" x14ac:dyDescent="0.35">
      <c r="T49664" s="246">
        <f t="shared" si="814"/>
        <v>0</v>
      </c>
    </row>
    <row r="49665" spans="20:20" ht="18.75" customHeight="1" x14ac:dyDescent="0.35">
      <c r="T49665" s="246">
        <f t="shared" si="814"/>
        <v>0</v>
      </c>
    </row>
    <row r="49666" spans="20:20" ht="18.75" customHeight="1" x14ac:dyDescent="0.35">
      <c r="T49666" s="246">
        <f t="shared" si="814"/>
        <v>0</v>
      </c>
    </row>
    <row r="49667" spans="20:20" ht="18.75" customHeight="1" x14ac:dyDescent="0.35">
      <c r="T49667" s="246">
        <f t="shared" si="814"/>
        <v>0</v>
      </c>
    </row>
    <row r="49668" spans="20:20" ht="18.75" customHeight="1" x14ac:dyDescent="0.35">
      <c r="T49668" s="246">
        <f t="shared" si="814"/>
        <v>0</v>
      </c>
    </row>
    <row r="49669" spans="20:20" ht="18.75" customHeight="1" x14ac:dyDescent="0.35">
      <c r="T49669" s="246">
        <f t="shared" si="814"/>
        <v>0</v>
      </c>
    </row>
    <row r="49670" spans="20:20" ht="18.75" customHeight="1" x14ac:dyDescent="0.35">
      <c r="T49670" s="246">
        <f t="shared" si="814"/>
        <v>0</v>
      </c>
    </row>
    <row r="49671" spans="20:20" ht="18.75" customHeight="1" x14ac:dyDescent="0.35">
      <c r="T49671" s="246">
        <f t="shared" si="814"/>
        <v>0</v>
      </c>
    </row>
    <row r="49672" spans="20:20" ht="18.75" customHeight="1" x14ac:dyDescent="0.35">
      <c r="T49672" s="246">
        <f t="shared" si="814"/>
        <v>0</v>
      </c>
    </row>
    <row r="49673" spans="20:20" ht="18.75" customHeight="1" x14ac:dyDescent="0.35">
      <c r="T49673" s="246">
        <f t="shared" si="814"/>
        <v>0</v>
      </c>
    </row>
    <row r="49674" spans="20:20" ht="18.75" customHeight="1" x14ac:dyDescent="0.35">
      <c r="T49674" s="246">
        <f t="shared" si="814"/>
        <v>0</v>
      </c>
    </row>
    <row r="49675" spans="20:20" ht="18.75" customHeight="1" x14ac:dyDescent="0.35">
      <c r="T49675" s="246">
        <f t="shared" si="814"/>
        <v>0</v>
      </c>
    </row>
    <row r="49676" spans="20:20" ht="18.75" customHeight="1" x14ac:dyDescent="0.35">
      <c r="T49676" s="246">
        <f t="shared" si="814"/>
        <v>0</v>
      </c>
    </row>
    <row r="49677" spans="20:20" ht="18.75" customHeight="1" x14ac:dyDescent="0.35">
      <c r="T49677" s="246">
        <f t="shared" si="814"/>
        <v>0</v>
      </c>
    </row>
    <row r="49678" spans="20:20" ht="18.75" customHeight="1" x14ac:dyDescent="0.35">
      <c r="T49678" s="246">
        <f t="shared" si="814"/>
        <v>0</v>
      </c>
    </row>
    <row r="49679" spans="20:20" ht="18.75" customHeight="1" x14ac:dyDescent="0.35">
      <c r="T49679" s="246">
        <f t="shared" si="814"/>
        <v>0</v>
      </c>
    </row>
    <row r="49680" spans="20:20" ht="18.75" customHeight="1" x14ac:dyDescent="0.35">
      <c r="T49680" s="246">
        <f t="shared" si="814"/>
        <v>0</v>
      </c>
    </row>
    <row r="49681" spans="20:20" ht="18.75" customHeight="1" x14ac:dyDescent="0.35">
      <c r="T49681" s="246">
        <f t="shared" si="814"/>
        <v>0</v>
      </c>
    </row>
    <row r="49682" spans="20:20" ht="18.75" customHeight="1" x14ac:dyDescent="0.35">
      <c r="T49682" s="246">
        <f t="shared" si="814"/>
        <v>0</v>
      </c>
    </row>
    <row r="49683" spans="20:20" ht="18.75" customHeight="1" x14ac:dyDescent="0.35">
      <c r="T49683" s="246">
        <f t="shared" si="814"/>
        <v>0</v>
      </c>
    </row>
    <row r="49684" spans="20:20" ht="18.75" customHeight="1" x14ac:dyDescent="0.35">
      <c r="T49684" s="246">
        <f t="shared" si="814"/>
        <v>0</v>
      </c>
    </row>
    <row r="49685" spans="20:20" ht="18.75" customHeight="1" x14ac:dyDescent="0.35">
      <c r="T49685" s="246">
        <f t="shared" si="814"/>
        <v>0</v>
      </c>
    </row>
    <row r="49686" spans="20:20" ht="18.75" customHeight="1" x14ac:dyDescent="0.35">
      <c r="T49686" s="246">
        <f t="shared" si="814"/>
        <v>0</v>
      </c>
    </row>
    <row r="49687" spans="20:20" ht="18.75" customHeight="1" x14ac:dyDescent="0.35">
      <c r="T49687" s="246">
        <f t="shared" si="814"/>
        <v>0</v>
      </c>
    </row>
    <row r="49688" spans="20:20" ht="18.75" customHeight="1" x14ac:dyDescent="0.35">
      <c r="T49688" s="246">
        <f t="shared" si="814"/>
        <v>0</v>
      </c>
    </row>
    <row r="49689" spans="20:20" ht="18.75" customHeight="1" x14ac:dyDescent="0.35">
      <c r="T49689" s="246">
        <f t="shared" si="814"/>
        <v>0</v>
      </c>
    </row>
    <row r="49690" spans="20:20" ht="18.75" customHeight="1" x14ac:dyDescent="0.35">
      <c r="T49690" s="246">
        <f t="shared" si="814"/>
        <v>0</v>
      </c>
    </row>
    <row r="49691" spans="20:20" ht="18.75" customHeight="1" x14ac:dyDescent="0.35">
      <c r="T49691" s="246">
        <f t="shared" si="814"/>
        <v>0</v>
      </c>
    </row>
    <row r="49692" spans="20:20" ht="18.75" customHeight="1" x14ac:dyDescent="0.35">
      <c r="T49692" s="246">
        <f t="shared" si="814"/>
        <v>0</v>
      </c>
    </row>
    <row r="49693" spans="20:20" ht="18.75" customHeight="1" x14ac:dyDescent="0.35">
      <c r="T49693" s="246">
        <f t="shared" si="814"/>
        <v>0</v>
      </c>
    </row>
    <row r="49694" spans="20:20" ht="18.75" customHeight="1" x14ac:dyDescent="0.35">
      <c r="T49694" s="246">
        <f t="shared" si="814"/>
        <v>0</v>
      </c>
    </row>
    <row r="49695" spans="20:20" ht="18.75" customHeight="1" x14ac:dyDescent="0.35">
      <c r="T49695" s="246">
        <f t="shared" si="814"/>
        <v>0</v>
      </c>
    </row>
    <row r="49696" spans="20:20" ht="18.75" customHeight="1" x14ac:dyDescent="0.35">
      <c r="T49696" s="246">
        <f t="shared" si="814"/>
        <v>0</v>
      </c>
    </row>
    <row r="49697" spans="20:20" ht="18.75" customHeight="1" x14ac:dyDescent="0.35">
      <c r="T49697" s="246">
        <f t="shared" si="814"/>
        <v>0</v>
      </c>
    </row>
    <row r="49698" spans="20:20" ht="18.75" customHeight="1" x14ac:dyDescent="0.35">
      <c r="T49698" s="246">
        <f t="shared" si="814"/>
        <v>0</v>
      </c>
    </row>
    <row r="49699" spans="20:20" ht="18.75" customHeight="1" x14ac:dyDescent="0.35">
      <c r="T49699" s="246">
        <f t="shared" si="814"/>
        <v>0</v>
      </c>
    </row>
    <row r="49700" spans="20:20" ht="18.75" customHeight="1" x14ac:dyDescent="0.35">
      <c r="T49700" s="246">
        <f t="shared" si="814"/>
        <v>0</v>
      </c>
    </row>
    <row r="49701" spans="20:20" ht="18.75" customHeight="1" x14ac:dyDescent="0.35">
      <c r="T49701" s="246">
        <f t="shared" si="814"/>
        <v>0</v>
      </c>
    </row>
    <row r="49702" spans="20:20" ht="18.75" customHeight="1" x14ac:dyDescent="0.35">
      <c r="T49702" s="246">
        <f t="shared" si="814"/>
        <v>0</v>
      </c>
    </row>
    <row r="49703" spans="20:20" ht="18.75" customHeight="1" x14ac:dyDescent="0.35">
      <c r="T49703" s="246">
        <f t="shared" si="814"/>
        <v>0</v>
      </c>
    </row>
    <row r="49704" spans="20:20" ht="18.75" customHeight="1" x14ac:dyDescent="0.35">
      <c r="T49704" s="246">
        <f t="shared" si="814"/>
        <v>0</v>
      </c>
    </row>
    <row r="49705" spans="20:20" ht="18.75" customHeight="1" x14ac:dyDescent="0.35">
      <c r="T49705" s="246">
        <f t="shared" si="814"/>
        <v>0</v>
      </c>
    </row>
    <row r="49706" spans="20:20" ht="18.75" customHeight="1" x14ac:dyDescent="0.35">
      <c r="T49706" s="246">
        <f t="shared" si="814"/>
        <v>0</v>
      </c>
    </row>
    <row r="49707" spans="20:20" ht="18.75" customHeight="1" x14ac:dyDescent="0.35">
      <c r="T49707" s="246">
        <f t="shared" si="814"/>
        <v>0</v>
      </c>
    </row>
    <row r="49708" spans="20:20" ht="18.75" customHeight="1" x14ac:dyDescent="0.35">
      <c r="T49708" s="246">
        <f t="shared" si="814"/>
        <v>0</v>
      </c>
    </row>
    <row r="49709" spans="20:20" ht="18.75" customHeight="1" x14ac:dyDescent="0.35">
      <c r="T49709" s="246">
        <f t="shared" si="814"/>
        <v>0</v>
      </c>
    </row>
    <row r="49710" spans="20:20" ht="18.75" customHeight="1" x14ac:dyDescent="0.35">
      <c r="T49710" s="246">
        <f t="shared" si="814"/>
        <v>0</v>
      </c>
    </row>
    <row r="49711" spans="20:20" ht="18.75" customHeight="1" x14ac:dyDescent="0.35">
      <c r="T49711" s="246">
        <f t="shared" si="814"/>
        <v>0</v>
      </c>
    </row>
    <row r="49712" spans="20:20" ht="18.75" customHeight="1" x14ac:dyDescent="0.35">
      <c r="T49712" s="246">
        <f t="shared" si="814"/>
        <v>0</v>
      </c>
    </row>
    <row r="49713" spans="20:20" ht="18.75" customHeight="1" x14ac:dyDescent="0.35">
      <c r="T49713" s="246">
        <f t="shared" si="814"/>
        <v>0</v>
      </c>
    </row>
    <row r="49714" spans="20:20" ht="18.75" customHeight="1" x14ac:dyDescent="0.35">
      <c r="T49714" s="246">
        <f t="shared" si="814"/>
        <v>0</v>
      </c>
    </row>
    <row r="49715" spans="20:20" ht="18.75" customHeight="1" x14ac:dyDescent="0.35">
      <c r="T49715" s="246">
        <f t="shared" si="814"/>
        <v>0</v>
      </c>
    </row>
    <row r="49716" spans="20:20" ht="18.75" customHeight="1" x14ac:dyDescent="0.35">
      <c r="T49716" s="246">
        <f t="shared" si="814"/>
        <v>0</v>
      </c>
    </row>
    <row r="49717" spans="20:20" ht="18.75" customHeight="1" x14ac:dyDescent="0.35">
      <c r="T49717" s="246">
        <f t="shared" si="814"/>
        <v>0</v>
      </c>
    </row>
    <row r="49718" spans="20:20" ht="18.75" customHeight="1" x14ac:dyDescent="0.35">
      <c r="T49718" s="246">
        <f t="shared" si="814"/>
        <v>0</v>
      </c>
    </row>
    <row r="49719" spans="20:20" ht="18.75" customHeight="1" x14ac:dyDescent="0.35">
      <c r="T49719" s="246">
        <f t="shared" si="814"/>
        <v>0</v>
      </c>
    </row>
    <row r="49720" spans="20:20" ht="18.75" customHeight="1" x14ac:dyDescent="0.35">
      <c r="T49720" s="246">
        <f t="shared" si="814"/>
        <v>0</v>
      </c>
    </row>
    <row r="49721" spans="20:20" ht="18.75" customHeight="1" x14ac:dyDescent="0.35">
      <c r="T49721" s="246">
        <f t="shared" si="814"/>
        <v>0</v>
      </c>
    </row>
    <row r="49722" spans="20:20" ht="18.75" customHeight="1" x14ac:dyDescent="0.35">
      <c r="T49722" s="246">
        <f t="shared" si="814"/>
        <v>0</v>
      </c>
    </row>
    <row r="49723" spans="20:20" ht="18.75" customHeight="1" x14ac:dyDescent="0.35">
      <c r="T49723" s="246">
        <f t="shared" si="814"/>
        <v>0</v>
      </c>
    </row>
    <row r="49724" spans="20:20" ht="18.75" customHeight="1" x14ac:dyDescent="0.35">
      <c r="T49724" s="246">
        <f t="shared" ref="T49724:T49787" si="815">R49724*0.01</f>
        <v>0</v>
      </c>
    </row>
    <row r="49725" spans="20:20" ht="18.75" customHeight="1" x14ac:dyDescent="0.35">
      <c r="T49725" s="246">
        <f t="shared" si="815"/>
        <v>0</v>
      </c>
    </row>
    <row r="49726" spans="20:20" ht="18.75" customHeight="1" x14ac:dyDescent="0.35">
      <c r="T49726" s="246">
        <f t="shared" si="815"/>
        <v>0</v>
      </c>
    </row>
    <row r="49727" spans="20:20" ht="18.75" customHeight="1" x14ac:dyDescent="0.35">
      <c r="T49727" s="246">
        <f t="shared" si="815"/>
        <v>0</v>
      </c>
    </row>
    <row r="49728" spans="20:20" ht="18.75" customHeight="1" x14ac:dyDescent="0.35">
      <c r="T49728" s="246">
        <f t="shared" si="815"/>
        <v>0</v>
      </c>
    </row>
    <row r="49729" spans="20:20" ht="18.75" customHeight="1" x14ac:dyDescent="0.35">
      <c r="T49729" s="246">
        <f t="shared" si="815"/>
        <v>0</v>
      </c>
    </row>
    <row r="49730" spans="20:20" ht="18.75" customHeight="1" x14ac:dyDescent="0.35">
      <c r="T49730" s="246">
        <f t="shared" si="815"/>
        <v>0</v>
      </c>
    </row>
    <row r="49731" spans="20:20" ht="18.75" customHeight="1" x14ac:dyDescent="0.35">
      <c r="T49731" s="246">
        <f t="shared" si="815"/>
        <v>0</v>
      </c>
    </row>
    <row r="49732" spans="20:20" ht="18.75" customHeight="1" x14ac:dyDescent="0.35">
      <c r="T49732" s="246">
        <f t="shared" si="815"/>
        <v>0</v>
      </c>
    </row>
    <row r="49733" spans="20:20" ht="18.75" customHeight="1" x14ac:dyDescent="0.35">
      <c r="T49733" s="246">
        <f t="shared" si="815"/>
        <v>0</v>
      </c>
    </row>
    <row r="49734" spans="20:20" ht="18.75" customHeight="1" x14ac:dyDescent="0.35">
      <c r="T49734" s="246">
        <f t="shared" si="815"/>
        <v>0</v>
      </c>
    </row>
    <row r="49735" spans="20:20" ht="18.75" customHeight="1" x14ac:dyDescent="0.35">
      <c r="T49735" s="246">
        <f t="shared" si="815"/>
        <v>0</v>
      </c>
    </row>
    <row r="49736" spans="20:20" ht="18.75" customHeight="1" x14ac:dyDescent="0.35">
      <c r="T49736" s="246">
        <f t="shared" si="815"/>
        <v>0</v>
      </c>
    </row>
    <row r="49737" spans="20:20" ht="18.75" customHeight="1" x14ac:dyDescent="0.35">
      <c r="T49737" s="246">
        <f t="shared" si="815"/>
        <v>0</v>
      </c>
    </row>
    <row r="49738" spans="20:20" ht="18.75" customHeight="1" x14ac:dyDescent="0.35">
      <c r="T49738" s="246">
        <f t="shared" si="815"/>
        <v>0</v>
      </c>
    </row>
    <row r="49739" spans="20:20" ht="18.75" customHeight="1" x14ac:dyDescent="0.35">
      <c r="T49739" s="246">
        <f t="shared" si="815"/>
        <v>0</v>
      </c>
    </row>
    <row r="49740" spans="20:20" ht="18.75" customHeight="1" x14ac:dyDescent="0.35">
      <c r="T49740" s="246">
        <f t="shared" si="815"/>
        <v>0</v>
      </c>
    </row>
    <row r="49741" spans="20:20" ht="18.75" customHeight="1" x14ac:dyDescent="0.35">
      <c r="T49741" s="246">
        <f t="shared" si="815"/>
        <v>0</v>
      </c>
    </row>
    <row r="49742" spans="20:20" ht="18.75" customHeight="1" x14ac:dyDescent="0.35">
      <c r="T49742" s="246">
        <f t="shared" si="815"/>
        <v>0</v>
      </c>
    </row>
    <row r="49743" spans="20:20" ht="18.75" customHeight="1" x14ac:dyDescent="0.35">
      <c r="T49743" s="246">
        <f t="shared" si="815"/>
        <v>0</v>
      </c>
    </row>
    <row r="49744" spans="20:20" ht="18.75" customHeight="1" x14ac:dyDescent="0.35">
      <c r="T49744" s="246">
        <f t="shared" si="815"/>
        <v>0</v>
      </c>
    </row>
    <row r="49745" spans="20:20" ht="18.75" customHeight="1" x14ac:dyDescent="0.35">
      <c r="T49745" s="246">
        <f t="shared" si="815"/>
        <v>0</v>
      </c>
    </row>
    <row r="49746" spans="20:20" ht="18.75" customHeight="1" x14ac:dyDescent="0.35">
      <c r="T49746" s="246">
        <f t="shared" si="815"/>
        <v>0</v>
      </c>
    </row>
    <row r="49747" spans="20:20" ht="18.75" customHeight="1" x14ac:dyDescent="0.35">
      <c r="T49747" s="246">
        <f t="shared" si="815"/>
        <v>0</v>
      </c>
    </row>
    <row r="49748" spans="20:20" ht="18.75" customHeight="1" x14ac:dyDescent="0.35">
      <c r="T49748" s="246">
        <f t="shared" si="815"/>
        <v>0</v>
      </c>
    </row>
    <row r="49749" spans="20:20" ht="18.75" customHeight="1" x14ac:dyDescent="0.35">
      <c r="T49749" s="246">
        <f t="shared" si="815"/>
        <v>0</v>
      </c>
    </row>
    <row r="49750" spans="20:20" ht="18.75" customHeight="1" x14ac:dyDescent="0.35">
      <c r="T49750" s="246">
        <f t="shared" si="815"/>
        <v>0</v>
      </c>
    </row>
    <row r="49751" spans="20:20" ht="18.75" customHeight="1" x14ac:dyDescent="0.35">
      <c r="T49751" s="246">
        <f t="shared" si="815"/>
        <v>0</v>
      </c>
    </row>
    <row r="49752" spans="20:20" ht="18.75" customHeight="1" x14ac:dyDescent="0.35">
      <c r="T49752" s="246">
        <f t="shared" si="815"/>
        <v>0</v>
      </c>
    </row>
    <row r="49753" spans="20:20" ht="18.75" customHeight="1" x14ac:dyDescent="0.35">
      <c r="T49753" s="246">
        <f t="shared" si="815"/>
        <v>0</v>
      </c>
    </row>
    <row r="49754" spans="20:20" ht="18.75" customHeight="1" x14ac:dyDescent="0.35">
      <c r="T49754" s="246">
        <f t="shared" si="815"/>
        <v>0</v>
      </c>
    </row>
    <row r="49755" spans="20:20" ht="18.75" customHeight="1" x14ac:dyDescent="0.35">
      <c r="T49755" s="246">
        <f t="shared" si="815"/>
        <v>0</v>
      </c>
    </row>
    <row r="49756" spans="20:20" ht="18.75" customHeight="1" x14ac:dyDescent="0.35">
      <c r="T49756" s="246">
        <f t="shared" si="815"/>
        <v>0</v>
      </c>
    </row>
    <row r="49757" spans="20:20" ht="18.75" customHeight="1" x14ac:dyDescent="0.35">
      <c r="T49757" s="246">
        <f t="shared" si="815"/>
        <v>0</v>
      </c>
    </row>
    <row r="49758" spans="20:20" ht="18.75" customHeight="1" x14ac:dyDescent="0.35">
      <c r="T49758" s="246">
        <f t="shared" si="815"/>
        <v>0</v>
      </c>
    </row>
    <row r="49759" spans="20:20" ht="18.75" customHeight="1" x14ac:dyDescent="0.35">
      <c r="T49759" s="246">
        <f t="shared" si="815"/>
        <v>0</v>
      </c>
    </row>
    <row r="49760" spans="20:20" ht="18.75" customHeight="1" x14ac:dyDescent="0.35">
      <c r="T49760" s="246">
        <f t="shared" si="815"/>
        <v>0</v>
      </c>
    </row>
    <row r="49761" spans="20:20" ht="18.75" customHeight="1" x14ac:dyDescent="0.35">
      <c r="T49761" s="246">
        <f t="shared" si="815"/>
        <v>0</v>
      </c>
    </row>
    <row r="49762" spans="20:20" ht="18.75" customHeight="1" x14ac:dyDescent="0.35">
      <c r="T49762" s="246">
        <f t="shared" si="815"/>
        <v>0</v>
      </c>
    </row>
    <row r="49763" spans="20:20" ht="18.75" customHeight="1" x14ac:dyDescent="0.35">
      <c r="T49763" s="246">
        <f t="shared" si="815"/>
        <v>0</v>
      </c>
    </row>
    <row r="49764" spans="20:20" ht="18.75" customHeight="1" x14ac:dyDescent="0.35">
      <c r="T49764" s="246">
        <f t="shared" si="815"/>
        <v>0</v>
      </c>
    </row>
    <row r="49765" spans="20:20" ht="18.75" customHeight="1" x14ac:dyDescent="0.35">
      <c r="T49765" s="246">
        <f t="shared" si="815"/>
        <v>0</v>
      </c>
    </row>
    <row r="49766" spans="20:20" ht="18.75" customHeight="1" x14ac:dyDescent="0.35">
      <c r="T49766" s="246">
        <f t="shared" si="815"/>
        <v>0</v>
      </c>
    </row>
    <row r="49767" spans="20:20" ht="18.75" customHeight="1" x14ac:dyDescent="0.35">
      <c r="T49767" s="246">
        <f t="shared" si="815"/>
        <v>0</v>
      </c>
    </row>
    <row r="49768" spans="20:20" ht="18.75" customHeight="1" x14ac:dyDescent="0.35">
      <c r="T49768" s="246">
        <f t="shared" si="815"/>
        <v>0</v>
      </c>
    </row>
    <row r="49769" spans="20:20" ht="18.75" customHeight="1" x14ac:dyDescent="0.35">
      <c r="T49769" s="246">
        <f t="shared" si="815"/>
        <v>0</v>
      </c>
    </row>
    <row r="49770" spans="20:20" ht="18.75" customHeight="1" x14ac:dyDescent="0.35">
      <c r="T49770" s="246">
        <f t="shared" si="815"/>
        <v>0</v>
      </c>
    </row>
    <row r="49771" spans="20:20" ht="18.75" customHeight="1" x14ac:dyDescent="0.35">
      <c r="T49771" s="246">
        <f t="shared" si="815"/>
        <v>0</v>
      </c>
    </row>
    <row r="49772" spans="20:20" ht="18.75" customHeight="1" x14ac:dyDescent="0.35">
      <c r="T49772" s="246">
        <f t="shared" si="815"/>
        <v>0</v>
      </c>
    </row>
    <row r="49773" spans="20:20" ht="18.75" customHeight="1" x14ac:dyDescent="0.35">
      <c r="T49773" s="246">
        <f t="shared" si="815"/>
        <v>0</v>
      </c>
    </row>
    <row r="49774" spans="20:20" ht="18.75" customHeight="1" x14ac:dyDescent="0.35">
      <c r="T49774" s="246">
        <f t="shared" si="815"/>
        <v>0</v>
      </c>
    </row>
    <row r="49775" spans="20:20" ht="18.75" customHeight="1" x14ac:dyDescent="0.35">
      <c r="T49775" s="246">
        <f t="shared" si="815"/>
        <v>0</v>
      </c>
    </row>
    <row r="49776" spans="20:20" ht="18.75" customHeight="1" x14ac:dyDescent="0.35">
      <c r="T49776" s="246">
        <f t="shared" si="815"/>
        <v>0</v>
      </c>
    </row>
    <row r="49777" spans="20:20" ht="18.75" customHeight="1" x14ac:dyDescent="0.35">
      <c r="T49777" s="246">
        <f t="shared" si="815"/>
        <v>0</v>
      </c>
    </row>
    <row r="49778" spans="20:20" ht="18.75" customHeight="1" x14ac:dyDescent="0.35">
      <c r="T49778" s="246">
        <f t="shared" si="815"/>
        <v>0</v>
      </c>
    </row>
    <row r="49779" spans="20:20" ht="18.75" customHeight="1" x14ac:dyDescent="0.35">
      <c r="T49779" s="246">
        <f t="shared" si="815"/>
        <v>0</v>
      </c>
    </row>
    <row r="49780" spans="20:20" ht="18.75" customHeight="1" x14ac:dyDescent="0.35">
      <c r="T49780" s="246">
        <f t="shared" si="815"/>
        <v>0</v>
      </c>
    </row>
    <row r="49781" spans="20:20" ht="18.75" customHeight="1" x14ac:dyDescent="0.35">
      <c r="T49781" s="246">
        <f t="shared" si="815"/>
        <v>0</v>
      </c>
    </row>
    <row r="49782" spans="20:20" ht="18.75" customHeight="1" x14ac:dyDescent="0.35">
      <c r="T49782" s="246">
        <f t="shared" si="815"/>
        <v>0</v>
      </c>
    </row>
    <row r="49783" spans="20:20" ht="18.75" customHeight="1" x14ac:dyDescent="0.35">
      <c r="T49783" s="246">
        <f t="shared" si="815"/>
        <v>0</v>
      </c>
    </row>
    <row r="49784" spans="20:20" ht="18.75" customHeight="1" x14ac:dyDescent="0.35">
      <c r="T49784" s="246">
        <f t="shared" si="815"/>
        <v>0</v>
      </c>
    </row>
    <row r="49785" spans="20:20" ht="18.75" customHeight="1" x14ac:dyDescent="0.35">
      <c r="T49785" s="246">
        <f t="shared" si="815"/>
        <v>0</v>
      </c>
    </row>
    <row r="49786" spans="20:20" ht="18.75" customHeight="1" x14ac:dyDescent="0.35">
      <c r="T49786" s="246">
        <f t="shared" si="815"/>
        <v>0</v>
      </c>
    </row>
    <row r="49787" spans="20:20" ht="18.75" customHeight="1" x14ac:dyDescent="0.35">
      <c r="T49787" s="246">
        <f t="shared" si="815"/>
        <v>0</v>
      </c>
    </row>
    <row r="49788" spans="20:20" ht="18.75" customHeight="1" x14ac:dyDescent="0.35">
      <c r="T49788" s="246">
        <f t="shared" ref="T49788:T49851" si="816">R49788*0.01</f>
        <v>0</v>
      </c>
    </row>
    <row r="49789" spans="20:20" ht="18.75" customHeight="1" x14ac:dyDescent="0.35">
      <c r="T49789" s="246">
        <f t="shared" si="816"/>
        <v>0</v>
      </c>
    </row>
    <row r="49790" spans="20:20" ht="18.75" customHeight="1" x14ac:dyDescent="0.35">
      <c r="T49790" s="246">
        <f t="shared" si="816"/>
        <v>0</v>
      </c>
    </row>
    <row r="49791" spans="20:20" ht="18.75" customHeight="1" x14ac:dyDescent="0.35">
      <c r="T49791" s="246">
        <f t="shared" si="816"/>
        <v>0</v>
      </c>
    </row>
    <row r="49792" spans="20:20" ht="18.75" customHeight="1" x14ac:dyDescent="0.35">
      <c r="T49792" s="246">
        <f t="shared" si="816"/>
        <v>0</v>
      </c>
    </row>
    <row r="49793" spans="20:20" ht="18.75" customHeight="1" x14ac:dyDescent="0.35">
      <c r="T49793" s="246">
        <f t="shared" si="816"/>
        <v>0</v>
      </c>
    </row>
    <row r="49794" spans="20:20" ht="18.75" customHeight="1" x14ac:dyDescent="0.35">
      <c r="T49794" s="246">
        <f t="shared" si="816"/>
        <v>0</v>
      </c>
    </row>
    <row r="49795" spans="20:20" ht="18.75" customHeight="1" x14ac:dyDescent="0.35">
      <c r="T49795" s="246">
        <f t="shared" si="816"/>
        <v>0</v>
      </c>
    </row>
    <row r="49796" spans="20:20" ht="18.75" customHeight="1" x14ac:dyDescent="0.35">
      <c r="T49796" s="246">
        <f t="shared" si="816"/>
        <v>0</v>
      </c>
    </row>
    <row r="49797" spans="20:20" ht="18.75" customHeight="1" x14ac:dyDescent="0.35">
      <c r="T49797" s="246">
        <f t="shared" si="816"/>
        <v>0</v>
      </c>
    </row>
    <row r="49798" spans="20:20" ht="18.75" customHeight="1" x14ac:dyDescent="0.35">
      <c r="T49798" s="246">
        <f t="shared" si="816"/>
        <v>0</v>
      </c>
    </row>
    <row r="49799" spans="20:20" ht="18.75" customHeight="1" x14ac:dyDescent="0.35">
      <c r="T49799" s="246">
        <f t="shared" si="816"/>
        <v>0</v>
      </c>
    </row>
    <row r="49800" spans="20:20" ht="18.75" customHeight="1" x14ac:dyDescent="0.35">
      <c r="T49800" s="246">
        <f t="shared" si="816"/>
        <v>0</v>
      </c>
    </row>
    <row r="49801" spans="20:20" ht="18.75" customHeight="1" x14ac:dyDescent="0.35">
      <c r="T49801" s="246">
        <f t="shared" si="816"/>
        <v>0</v>
      </c>
    </row>
    <row r="49802" spans="20:20" ht="18.75" customHeight="1" x14ac:dyDescent="0.35">
      <c r="T49802" s="246">
        <f t="shared" si="816"/>
        <v>0</v>
      </c>
    </row>
    <row r="49803" spans="20:20" ht="18.75" customHeight="1" x14ac:dyDescent="0.35">
      <c r="T49803" s="246">
        <f t="shared" si="816"/>
        <v>0</v>
      </c>
    </row>
    <row r="49804" spans="20:20" ht="18.75" customHeight="1" x14ac:dyDescent="0.35">
      <c r="T49804" s="246">
        <f t="shared" si="816"/>
        <v>0</v>
      </c>
    </row>
    <row r="49805" spans="20:20" ht="18.75" customHeight="1" x14ac:dyDescent="0.35">
      <c r="T49805" s="246">
        <f t="shared" si="816"/>
        <v>0</v>
      </c>
    </row>
    <row r="49806" spans="20:20" ht="18.75" customHeight="1" x14ac:dyDescent="0.35">
      <c r="T49806" s="246">
        <f t="shared" si="816"/>
        <v>0</v>
      </c>
    </row>
    <row r="49807" spans="20:20" ht="18.75" customHeight="1" x14ac:dyDescent="0.35">
      <c r="T49807" s="246">
        <f t="shared" si="816"/>
        <v>0</v>
      </c>
    </row>
    <row r="49808" spans="20:20" ht="18.75" customHeight="1" x14ac:dyDescent="0.35">
      <c r="T49808" s="246">
        <f t="shared" si="816"/>
        <v>0</v>
      </c>
    </row>
    <row r="49809" spans="20:20" ht="18.75" customHeight="1" x14ac:dyDescent="0.35">
      <c r="T49809" s="246">
        <f t="shared" si="816"/>
        <v>0</v>
      </c>
    </row>
    <row r="49810" spans="20:20" ht="18.75" customHeight="1" x14ac:dyDescent="0.35">
      <c r="T49810" s="246">
        <f t="shared" si="816"/>
        <v>0</v>
      </c>
    </row>
    <row r="49811" spans="20:20" ht="18.75" customHeight="1" x14ac:dyDescent="0.35">
      <c r="T49811" s="246">
        <f t="shared" si="816"/>
        <v>0</v>
      </c>
    </row>
    <row r="49812" spans="20:20" ht="18.75" customHeight="1" x14ac:dyDescent="0.35">
      <c r="T49812" s="246">
        <f t="shared" si="816"/>
        <v>0</v>
      </c>
    </row>
    <row r="49813" spans="20:20" ht="18.75" customHeight="1" x14ac:dyDescent="0.35">
      <c r="T49813" s="246">
        <f t="shared" si="816"/>
        <v>0</v>
      </c>
    </row>
    <row r="49814" spans="20:20" ht="18.75" customHeight="1" x14ac:dyDescent="0.35">
      <c r="T49814" s="246">
        <f t="shared" si="816"/>
        <v>0</v>
      </c>
    </row>
    <row r="49815" spans="20:20" ht="18.75" customHeight="1" x14ac:dyDescent="0.35">
      <c r="T49815" s="246">
        <f t="shared" si="816"/>
        <v>0</v>
      </c>
    </row>
    <row r="49816" spans="20:20" ht="18.75" customHeight="1" x14ac:dyDescent="0.35">
      <c r="T49816" s="246">
        <f t="shared" si="816"/>
        <v>0</v>
      </c>
    </row>
    <row r="49817" spans="20:20" ht="18.75" customHeight="1" x14ac:dyDescent="0.35">
      <c r="T49817" s="246">
        <f t="shared" si="816"/>
        <v>0</v>
      </c>
    </row>
    <row r="49818" spans="20:20" ht="18.75" customHeight="1" x14ac:dyDescent="0.35">
      <c r="T49818" s="246">
        <f t="shared" si="816"/>
        <v>0</v>
      </c>
    </row>
    <row r="49819" spans="20:20" ht="18.75" customHeight="1" x14ac:dyDescent="0.35">
      <c r="T49819" s="246">
        <f t="shared" si="816"/>
        <v>0</v>
      </c>
    </row>
    <row r="49820" spans="20:20" ht="18.75" customHeight="1" x14ac:dyDescent="0.35">
      <c r="T49820" s="246">
        <f t="shared" si="816"/>
        <v>0</v>
      </c>
    </row>
    <row r="49821" spans="20:20" ht="18.75" customHeight="1" x14ac:dyDescent="0.35">
      <c r="T49821" s="246">
        <f t="shared" si="816"/>
        <v>0</v>
      </c>
    </row>
    <row r="49822" spans="20:20" ht="18.75" customHeight="1" x14ac:dyDescent="0.35">
      <c r="T49822" s="246">
        <f t="shared" si="816"/>
        <v>0</v>
      </c>
    </row>
    <row r="49823" spans="20:20" ht="18.75" customHeight="1" x14ac:dyDescent="0.35">
      <c r="T49823" s="246">
        <f t="shared" si="816"/>
        <v>0</v>
      </c>
    </row>
    <row r="49824" spans="20:20" ht="18.75" customHeight="1" x14ac:dyDescent="0.35">
      <c r="T49824" s="246">
        <f t="shared" si="816"/>
        <v>0</v>
      </c>
    </row>
    <row r="49825" spans="20:20" ht="18.75" customHeight="1" x14ac:dyDescent="0.35">
      <c r="T49825" s="246">
        <f t="shared" si="816"/>
        <v>0</v>
      </c>
    </row>
    <row r="49826" spans="20:20" ht="18.75" customHeight="1" x14ac:dyDescent="0.35">
      <c r="T49826" s="246">
        <f t="shared" si="816"/>
        <v>0</v>
      </c>
    </row>
    <row r="49827" spans="20:20" ht="18.75" customHeight="1" x14ac:dyDescent="0.35">
      <c r="T49827" s="246">
        <f t="shared" si="816"/>
        <v>0</v>
      </c>
    </row>
    <row r="49828" spans="20:20" ht="18.75" customHeight="1" x14ac:dyDescent="0.35">
      <c r="T49828" s="246">
        <f t="shared" si="816"/>
        <v>0</v>
      </c>
    </row>
    <row r="49829" spans="20:20" ht="18.75" customHeight="1" x14ac:dyDescent="0.35">
      <c r="T49829" s="246">
        <f t="shared" si="816"/>
        <v>0</v>
      </c>
    </row>
    <row r="49830" spans="20:20" ht="18.75" customHeight="1" x14ac:dyDescent="0.35">
      <c r="T49830" s="246">
        <f t="shared" si="816"/>
        <v>0</v>
      </c>
    </row>
    <row r="49831" spans="20:20" ht="18.75" customHeight="1" x14ac:dyDescent="0.35">
      <c r="T49831" s="246">
        <f t="shared" si="816"/>
        <v>0</v>
      </c>
    </row>
    <row r="49832" spans="20:20" ht="18.75" customHeight="1" x14ac:dyDescent="0.35">
      <c r="T49832" s="246">
        <f t="shared" si="816"/>
        <v>0</v>
      </c>
    </row>
    <row r="49833" spans="20:20" ht="18.75" customHeight="1" x14ac:dyDescent="0.35">
      <c r="T49833" s="246">
        <f t="shared" si="816"/>
        <v>0</v>
      </c>
    </row>
    <row r="49834" spans="20:20" ht="18.75" customHeight="1" x14ac:dyDescent="0.35">
      <c r="T49834" s="246">
        <f t="shared" si="816"/>
        <v>0</v>
      </c>
    </row>
    <row r="49835" spans="20:20" ht="18.75" customHeight="1" x14ac:dyDescent="0.35">
      <c r="T49835" s="246">
        <f t="shared" si="816"/>
        <v>0</v>
      </c>
    </row>
    <row r="49836" spans="20:20" ht="18.75" customHeight="1" x14ac:dyDescent="0.35">
      <c r="T49836" s="246">
        <f t="shared" si="816"/>
        <v>0</v>
      </c>
    </row>
    <row r="49837" spans="20:20" ht="18.75" customHeight="1" x14ac:dyDescent="0.35">
      <c r="T49837" s="246">
        <f t="shared" si="816"/>
        <v>0</v>
      </c>
    </row>
    <row r="49838" spans="20:20" ht="18.75" customHeight="1" x14ac:dyDescent="0.35">
      <c r="T49838" s="246">
        <f t="shared" si="816"/>
        <v>0</v>
      </c>
    </row>
    <row r="49839" spans="20:20" ht="18.75" customHeight="1" x14ac:dyDescent="0.35">
      <c r="T49839" s="246">
        <f t="shared" si="816"/>
        <v>0</v>
      </c>
    </row>
    <row r="49840" spans="20:20" ht="18.75" customHeight="1" x14ac:dyDescent="0.35">
      <c r="T49840" s="246">
        <f t="shared" si="816"/>
        <v>0</v>
      </c>
    </row>
    <row r="49841" spans="20:20" ht="18.75" customHeight="1" x14ac:dyDescent="0.35">
      <c r="T49841" s="246">
        <f t="shared" si="816"/>
        <v>0</v>
      </c>
    </row>
    <row r="49842" spans="20:20" ht="18.75" customHeight="1" x14ac:dyDescent="0.35">
      <c r="T49842" s="246">
        <f t="shared" si="816"/>
        <v>0</v>
      </c>
    </row>
    <row r="49843" spans="20:20" ht="18.75" customHeight="1" x14ac:dyDescent="0.35">
      <c r="T49843" s="246">
        <f t="shared" si="816"/>
        <v>0</v>
      </c>
    </row>
    <row r="49844" spans="20:20" ht="18.75" customHeight="1" x14ac:dyDescent="0.35">
      <c r="T49844" s="246">
        <f t="shared" si="816"/>
        <v>0</v>
      </c>
    </row>
    <row r="49845" spans="20:20" ht="18.75" customHeight="1" x14ac:dyDescent="0.35">
      <c r="T49845" s="246">
        <f t="shared" si="816"/>
        <v>0</v>
      </c>
    </row>
    <row r="49846" spans="20:20" ht="18.75" customHeight="1" x14ac:dyDescent="0.35">
      <c r="T49846" s="246">
        <f t="shared" si="816"/>
        <v>0</v>
      </c>
    </row>
    <row r="49847" spans="20:20" ht="18.75" customHeight="1" x14ac:dyDescent="0.35">
      <c r="T49847" s="246">
        <f t="shared" si="816"/>
        <v>0</v>
      </c>
    </row>
    <row r="49848" spans="20:20" ht="18.75" customHeight="1" x14ac:dyDescent="0.35">
      <c r="T49848" s="246">
        <f t="shared" si="816"/>
        <v>0</v>
      </c>
    </row>
    <row r="49849" spans="20:20" ht="18.75" customHeight="1" x14ac:dyDescent="0.35">
      <c r="T49849" s="246">
        <f t="shared" si="816"/>
        <v>0</v>
      </c>
    </row>
    <row r="49850" spans="20:20" ht="18.75" customHeight="1" x14ac:dyDescent="0.35">
      <c r="T49850" s="246">
        <f t="shared" si="816"/>
        <v>0</v>
      </c>
    </row>
    <row r="49851" spans="20:20" ht="18.75" customHeight="1" x14ac:dyDescent="0.35">
      <c r="T49851" s="246">
        <f t="shared" si="816"/>
        <v>0</v>
      </c>
    </row>
    <row r="49852" spans="20:20" ht="18.75" customHeight="1" x14ac:dyDescent="0.35">
      <c r="T49852" s="246">
        <f t="shared" ref="T49852:T49915" si="817">R49852*0.01</f>
        <v>0</v>
      </c>
    </row>
    <row r="49853" spans="20:20" ht="18.75" customHeight="1" x14ac:dyDescent="0.35">
      <c r="T49853" s="246">
        <f t="shared" si="817"/>
        <v>0</v>
      </c>
    </row>
    <row r="49854" spans="20:20" ht="18.75" customHeight="1" x14ac:dyDescent="0.35">
      <c r="T49854" s="246">
        <f t="shared" si="817"/>
        <v>0</v>
      </c>
    </row>
    <row r="49855" spans="20:20" ht="18.75" customHeight="1" x14ac:dyDescent="0.35">
      <c r="T49855" s="246">
        <f t="shared" si="817"/>
        <v>0</v>
      </c>
    </row>
    <row r="49856" spans="20:20" ht="18.75" customHeight="1" x14ac:dyDescent="0.35">
      <c r="T49856" s="246">
        <f t="shared" si="817"/>
        <v>0</v>
      </c>
    </row>
    <row r="49857" spans="20:20" ht="18.75" customHeight="1" x14ac:dyDescent="0.35">
      <c r="T49857" s="246">
        <f t="shared" si="817"/>
        <v>0</v>
      </c>
    </row>
    <row r="49858" spans="20:20" ht="18.75" customHeight="1" x14ac:dyDescent="0.35">
      <c r="T49858" s="246">
        <f t="shared" si="817"/>
        <v>0</v>
      </c>
    </row>
    <row r="49859" spans="20:20" ht="18.75" customHeight="1" x14ac:dyDescent="0.35">
      <c r="T49859" s="246">
        <f t="shared" si="817"/>
        <v>0</v>
      </c>
    </row>
    <row r="49860" spans="20:20" ht="18.75" customHeight="1" x14ac:dyDescent="0.35">
      <c r="T49860" s="246">
        <f t="shared" si="817"/>
        <v>0</v>
      </c>
    </row>
    <row r="49861" spans="20:20" ht="18.75" customHeight="1" x14ac:dyDescent="0.35">
      <c r="T49861" s="246">
        <f t="shared" si="817"/>
        <v>0</v>
      </c>
    </row>
    <row r="49862" spans="20:20" ht="18.75" customHeight="1" x14ac:dyDescent="0.35">
      <c r="T49862" s="246">
        <f t="shared" si="817"/>
        <v>0</v>
      </c>
    </row>
    <row r="49863" spans="20:20" ht="18.75" customHeight="1" x14ac:dyDescent="0.35">
      <c r="T49863" s="246">
        <f t="shared" si="817"/>
        <v>0</v>
      </c>
    </row>
    <row r="49864" spans="20:20" ht="18.75" customHeight="1" x14ac:dyDescent="0.35">
      <c r="T49864" s="246">
        <f t="shared" si="817"/>
        <v>0</v>
      </c>
    </row>
    <row r="49865" spans="20:20" ht="18.75" customHeight="1" x14ac:dyDescent="0.35">
      <c r="T49865" s="246">
        <f t="shared" si="817"/>
        <v>0</v>
      </c>
    </row>
    <row r="49866" spans="20:20" ht="18.75" customHeight="1" x14ac:dyDescent="0.35">
      <c r="T49866" s="246">
        <f t="shared" si="817"/>
        <v>0</v>
      </c>
    </row>
    <row r="49867" spans="20:20" ht="18.75" customHeight="1" x14ac:dyDescent="0.35">
      <c r="T49867" s="246">
        <f t="shared" si="817"/>
        <v>0</v>
      </c>
    </row>
    <row r="49868" spans="20:20" ht="18.75" customHeight="1" x14ac:dyDescent="0.35">
      <c r="T49868" s="246">
        <f t="shared" si="817"/>
        <v>0</v>
      </c>
    </row>
    <row r="49869" spans="20:20" ht="18.75" customHeight="1" x14ac:dyDescent="0.35">
      <c r="T49869" s="246">
        <f t="shared" si="817"/>
        <v>0</v>
      </c>
    </row>
    <row r="49870" spans="20:20" ht="18.75" customHeight="1" x14ac:dyDescent="0.35">
      <c r="T49870" s="246">
        <f t="shared" si="817"/>
        <v>0</v>
      </c>
    </row>
    <row r="49871" spans="20:20" ht="18.75" customHeight="1" x14ac:dyDescent="0.35">
      <c r="T49871" s="246">
        <f t="shared" si="817"/>
        <v>0</v>
      </c>
    </row>
    <row r="49872" spans="20:20" ht="18.75" customHeight="1" x14ac:dyDescent="0.35">
      <c r="T49872" s="246">
        <f t="shared" si="817"/>
        <v>0</v>
      </c>
    </row>
    <row r="49873" spans="20:20" ht="18.75" customHeight="1" x14ac:dyDescent="0.35">
      <c r="T49873" s="246">
        <f t="shared" si="817"/>
        <v>0</v>
      </c>
    </row>
    <row r="49874" spans="20:20" ht="18.75" customHeight="1" x14ac:dyDescent="0.35">
      <c r="T49874" s="246">
        <f t="shared" si="817"/>
        <v>0</v>
      </c>
    </row>
    <row r="49875" spans="20:20" ht="18.75" customHeight="1" x14ac:dyDescent="0.35">
      <c r="T49875" s="246">
        <f t="shared" si="817"/>
        <v>0</v>
      </c>
    </row>
    <row r="49876" spans="20:20" ht="18.75" customHeight="1" x14ac:dyDescent="0.35">
      <c r="T49876" s="246">
        <f t="shared" si="817"/>
        <v>0</v>
      </c>
    </row>
    <row r="49877" spans="20:20" ht="18.75" customHeight="1" x14ac:dyDescent="0.35">
      <c r="T49877" s="246">
        <f t="shared" si="817"/>
        <v>0</v>
      </c>
    </row>
    <row r="49878" spans="20:20" ht="18.75" customHeight="1" x14ac:dyDescent="0.35">
      <c r="T49878" s="246">
        <f t="shared" si="817"/>
        <v>0</v>
      </c>
    </row>
    <row r="49879" spans="20:20" ht="18.75" customHeight="1" x14ac:dyDescent="0.35">
      <c r="T49879" s="246">
        <f t="shared" si="817"/>
        <v>0</v>
      </c>
    </row>
    <row r="49880" spans="20:20" ht="18.75" customHeight="1" x14ac:dyDescent="0.35">
      <c r="T49880" s="246">
        <f t="shared" si="817"/>
        <v>0</v>
      </c>
    </row>
    <row r="49881" spans="20:20" ht="18.75" customHeight="1" x14ac:dyDescent="0.35">
      <c r="T49881" s="246">
        <f t="shared" si="817"/>
        <v>0</v>
      </c>
    </row>
    <row r="49882" spans="20:20" ht="18.75" customHeight="1" x14ac:dyDescent="0.35">
      <c r="T49882" s="246">
        <f t="shared" si="817"/>
        <v>0</v>
      </c>
    </row>
    <row r="49883" spans="20:20" ht="18.75" customHeight="1" x14ac:dyDescent="0.35">
      <c r="T49883" s="246">
        <f t="shared" si="817"/>
        <v>0</v>
      </c>
    </row>
    <row r="49884" spans="20:20" ht="18.75" customHeight="1" x14ac:dyDescent="0.35">
      <c r="T49884" s="246">
        <f t="shared" si="817"/>
        <v>0</v>
      </c>
    </row>
    <row r="49885" spans="20:20" ht="18.75" customHeight="1" x14ac:dyDescent="0.35">
      <c r="T49885" s="246">
        <f t="shared" si="817"/>
        <v>0</v>
      </c>
    </row>
    <row r="49886" spans="20:20" ht="18.75" customHeight="1" x14ac:dyDescent="0.35">
      <c r="T49886" s="246">
        <f t="shared" si="817"/>
        <v>0</v>
      </c>
    </row>
    <row r="49887" spans="20:20" ht="18.75" customHeight="1" x14ac:dyDescent="0.35">
      <c r="T49887" s="246">
        <f t="shared" si="817"/>
        <v>0</v>
      </c>
    </row>
    <row r="49888" spans="20:20" ht="18.75" customHeight="1" x14ac:dyDescent="0.35">
      <c r="T49888" s="246">
        <f t="shared" si="817"/>
        <v>0</v>
      </c>
    </row>
    <row r="49889" spans="20:20" ht="18.75" customHeight="1" x14ac:dyDescent="0.35">
      <c r="T49889" s="246">
        <f t="shared" si="817"/>
        <v>0</v>
      </c>
    </row>
    <row r="49890" spans="20:20" ht="18.75" customHeight="1" x14ac:dyDescent="0.35">
      <c r="T49890" s="246">
        <f t="shared" si="817"/>
        <v>0</v>
      </c>
    </row>
    <row r="49891" spans="20:20" ht="18.75" customHeight="1" x14ac:dyDescent="0.35">
      <c r="T49891" s="246">
        <f t="shared" si="817"/>
        <v>0</v>
      </c>
    </row>
    <row r="49892" spans="20:20" ht="18.75" customHeight="1" x14ac:dyDescent="0.35">
      <c r="T49892" s="246">
        <f t="shared" si="817"/>
        <v>0</v>
      </c>
    </row>
    <row r="49893" spans="20:20" ht="18.75" customHeight="1" x14ac:dyDescent="0.35">
      <c r="T49893" s="246">
        <f t="shared" si="817"/>
        <v>0</v>
      </c>
    </row>
    <row r="49894" spans="20:20" ht="18.75" customHeight="1" x14ac:dyDescent="0.35">
      <c r="T49894" s="246">
        <f t="shared" si="817"/>
        <v>0</v>
      </c>
    </row>
    <row r="49895" spans="20:20" ht="18.75" customHeight="1" x14ac:dyDescent="0.35">
      <c r="T49895" s="246">
        <f t="shared" si="817"/>
        <v>0</v>
      </c>
    </row>
    <row r="49896" spans="20:20" ht="18.75" customHeight="1" x14ac:dyDescent="0.35">
      <c r="T49896" s="246">
        <f t="shared" si="817"/>
        <v>0</v>
      </c>
    </row>
    <row r="49897" spans="20:20" ht="18.75" customHeight="1" x14ac:dyDescent="0.35">
      <c r="T49897" s="246">
        <f t="shared" si="817"/>
        <v>0</v>
      </c>
    </row>
    <row r="49898" spans="20:20" ht="18.75" customHeight="1" x14ac:dyDescent="0.35">
      <c r="T49898" s="246">
        <f t="shared" si="817"/>
        <v>0</v>
      </c>
    </row>
    <row r="49899" spans="20:20" ht="18.75" customHeight="1" x14ac:dyDescent="0.35">
      <c r="T49899" s="246">
        <f t="shared" si="817"/>
        <v>0</v>
      </c>
    </row>
    <row r="49900" spans="20:20" ht="18.75" customHeight="1" x14ac:dyDescent="0.35">
      <c r="T49900" s="246">
        <f t="shared" si="817"/>
        <v>0</v>
      </c>
    </row>
    <row r="49901" spans="20:20" ht="18.75" customHeight="1" x14ac:dyDescent="0.35">
      <c r="T49901" s="246">
        <f t="shared" si="817"/>
        <v>0</v>
      </c>
    </row>
    <row r="49902" spans="20:20" ht="18.75" customHeight="1" x14ac:dyDescent="0.35">
      <c r="T49902" s="246">
        <f t="shared" si="817"/>
        <v>0</v>
      </c>
    </row>
    <row r="49903" spans="20:20" ht="18.75" customHeight="1" x14ac:dyDescent="0.35">
      <c r="T49903" s="246">
        <f t="shared" si="817"/>
        <v>0</v>
      </c>
    </row>
    <row r="49904" spans="20:20" ht="18.75" customHeight="1" x14ac:dyDescent="0.35">
      <c r="T49904" s="246">
        <f t="shared" si="817"/>
        <v>0</v>
      </c>
    </row>
    <row r="49905" spans="20:20" ht="18.75" customHeight="1" x14ac:dyDescent="0.35">
      <c r="T49905" s="246">
        <f t="shared" si="817"/>
        <v>0</v>
      </c>
    </row>
    <row r="49906" spans="20:20" ht="18.75" customHeight="1" x14ac:dyDescent="0.35">
      <c r="T49906" s="246">
        <f t="shared" si="817"/>
        <v>0</v>
      </c>
    </row>
    <row r="49907" spans="20:20" ht="18.75" customHeight="1" x14ac:dyDescent="0.35">
      <c r="T49907" s="246">
        <f t="shared" si="817"/>
        <v>0</v>
      </c>
    </row>
    <row r="49908" spans="20:20" ht="18.75" customHeight="1" x14ac:dyDescent="0.35">
      <c r="T49908" s="246">
        <f t="shared" si="817"/>
        <v>0</v>
      </c>
    </row>
    <row r="49909" spans="20:20" ht="18.75" customHeight="1" x14ac:dyDescent="0.35">
      <c r="T49909" s="246">
        <f t="shared" si="817"/>
        <v>0</v>
      </c>
    </row>
    <row r="49910" spans="20:20" ht="18.75" customHeight="1" x14ac:dyDescent="0.35">
      <c r="T49910" s="246">
        <f t="shared" si="817"/>
        <v>0</v>
      </c>
    </row>
    <row r="49911" spans="20:20" ht="18.75" customHeight="1" x14ac:dyDescent="0.35">
      <c r="T49911" s="246">
        <f t="shared" si="817"/>
        <v>0</v>
      </c>
    </row>
    <row r="49912" spans="20:20" ht="18.75" customHeight="1" x14ac:dyDescent="0.35">
      <c r="T49912" s="246">
        <f t="shared" si="817"/>
        <v>0</v>
      </c>
    </row>
    <row r="49913" spans="20:20" ht="18.75" customHeight="1" x14ac:dyDescent="0.35">
      <c r="T49913" s="246">
        <f t="shared" si="817"/>
        <v>0</v>
      </c>
    </row>
    <row r="49914" spans="20:20" ht="18.75" customHeight="1" x14ac:dyDescent="0.35">
      <c r="T49914" s="246">
        <f t="shared" si="817"/>
        <v>0</v>
      </c>
    </row>
    <row r="49915" spans="20:20" ht="18.75" customHeight="1" x14ac:dyDescent="0.35">
      <c r="T49915" s="246">
        <f t="shared" si="817"/>
        <v>0</v>
      </c>
    </row>
    <row r="49916" spans="20:20" ht="18.75" customHeight="1" x14ac:dyDescent="0.35">
      <c r="T49916" s="246">
        <f t="shared" ref="T49916:T49979" si="818">R49916*0.01</f>
        <v>0</v>
      </c>
    </row>
    <row r="49917" spans="20:20" ht="18.75" customHeight="1" x14ac:dyDescent="0.35">
      <c r="T49917" s="246">
        <f t="shared" si="818"/>
        <v>0</v>
      </c>
    </row>
    <row r="49918" spans="20:20" ht="18.75" customHeight="1" x14ac:dyDescent="0.35">
      <c r="T49918" s="246">
        <f t="shared" si="818"/>
        <v>0</v>
      </c>
    </row>
    <row r="49919" spans="20:20" ht="18.75" customHeight="1" x14ac:dyDescent="0.35">
      <c r="T49919" s="246">
        <f t="shared" si="818"/>
        <v>0</v>
      </c>
    </row>
    <row r="49920" spans="20:20" ht="18.75" customHeight="1" x14ac:dyDescent="0.35">
      <c r="T49920" s="246">
        <f t="shared" si="818"/>
        <v>0</v>
      </c>
    </row>
    <row r="49921" spans="20:20" ht="18.75" customHeight="1" x14ac:dyDescent="0.35">
      <c r="T49921" s="246">
        <f t="shared" si="818"/>
        <v>0</v>
      </c>
    </row>
    <row r="49922" spans="20:20" ht="18.75" customHeight="1" x14ac:dyDescent="0.35">
      <c r="T49922" s="246">
        <f t="shared" si="818"/>
        <v>0</v>
      </c>
    </row>
    <row r="49923" spans="20:20" ht="18.75" customHeight="1" x14ac:dyDescent="0.35">
      <c r="T49923" s="246">
        <f t="shared" si="818"/>
        <v>0</v>
      </c>
    </row>
    <row r="49924" spans="20:20" ht="18.75" customHeight="1" x14ac:dyDescent="0.35">
      <c r="T49924" s="246">
        <f t="shared" si="818"/>
        <v>0</v>
      </c>
    </row>
    <row r="49925" spans="20:20" ht="18.75" customHeight="1" x14ac:dyDescent="0.35">
      <c r="T49925" s="246">
        <f t="shared" si="818"/>
        <v>0</v>
      </c>
    </row>
    <row r="49926" spans="20:20" ht="18.75" customHeight="1" x14ac:dyDescent="0.35">
      <c r="T49926" s="246">
        <f t="shared" si="818"/>
        <v>0</v>
      </c>
    </row>
    <row r="49927" spans="20:20" ht="18.75" customHeight="1" x14ac:dyDescent="0.35">
      <c r="T49927" s="246">
        <f t="shared" si="818"/>
        <v>0</v>
      </c>
    </row>
    <row r="49928" spans="20:20" ht="18.75" customHeight="1" x14ac:dyDescent="0.35">
      <c r="T49928" s="246">
        <f t="shared" si="818"/>
        <v>0</v>
      </c>
    </row>
    <row r="49929" spans="20:20" ht="18.75" customHeight="1" x14ac:dyDescent="0.35">
      <c r="T49929" s="246">
        <f t="shared" si="818"/>
        <v>0</v>
      </c>
    </row>
    <row r="49930" spans="20:20" ht="18.75" customHeight="1" x14ac:dyDescent="0.35">
      <c r="T49930" s="246">
        <f t="shared" si="818"/>
        <v>0</v>
      </c>
    </row>
    <row r="49931" spans="20:20" ht="18.75" customHeight="1" x14ac:dyDescent="0.35">
      <c r="T49931" s="246">
        <f t="shared" si="818"/>
        <v>0</v>
      </c>
    </row>
    <row r="49932" spans="20:20" ht="18.75" customHeight="1" x14ac:dyDescent="0.35">
      <c r="T49932" s="246">
        <f t="shared" si="818"/>
        <v>0</v>
      </c>
    </row>
    <row r="49933" spans="20:20" ht="18.75" customHeight="1" x14ac:dyDescent="0.35">
      <c r="T49933" s="246">
        <f t="shared" si="818"/>
        <v>0</v>
      </c>
    </row>
    <row r="49934" spans="20:20" ht="18.75" customHeight="1" x14ac:dyDescent="0.35">
      <c r="T49934" s="246">
        <f t="shared" si="818"/>
        <v>0</v>
      </c>
    </row>
    <row r="49935" spans="20:20" ht="18.75" customHeight="1" x14ac:dyDescent="0.35">
      <c r="T49935" s="246">
        <f t="shared" si="818"/>
        <v>0</v>
      </c>
    </row>
    <row r="49936" spans="20:20" ht="18.75" customHeight="1" x14ac:dyDescent="0.35">
      <c r="T49936" s="246">
        <f t="shared" si="818"/>
        <v>0</v>
      </c>
    </row>
    <row r="49937" spans="20:20" ht="18.75" customHeight="1" x14ac:dyDescent="0.35">
      <c r="T49937" s="246">
        <f t="shared" si="818"/>
        <v>0</v>
      </c>
    </row>
    <row r="49938" spans="20:20" ht="18.75" customHeight="1" x14ac:dyDescent="0.35">
      <c r="T49938" s="246">
        <f t="shared" si="818"/>
        <v>0</v>
      </c>
    </row>
    <row r="49939" spans="20:20" ht="18.75" customHeight="1" x14ac:dyDescent="0.35">
      <c r="T49939" s="246">
        <f t="shared" si="818"/>
        <v>0</v>
      </c>
    </row>
    <row r="49940" spans="20:20" ht="18.75" customHeight="1" x14ac:dyDescent="0.35">
      <c r="T49940" s="246">
        <f t="shared" si="818"/>
        <v>0</v>
      </c>
    </row>
    <row r="49941" spans="20:20" ht="18.75" customHeight="1" x14ac:dyDescent="0.35">
      <c r="T49941" s="246">
        <f t="shared" si="818"/>
        <v>0</v>
      </c>
    </row>
    <row r="49942" spans="20:20" ht="18.75" customHeight="1" x14ac:dyDescent="0.35">
      <c r="T49942" s="246">
        <f t="shared" si="818"/>
        <v>0</v>
      </c>
    </row>
    <row r="49943" spans="20:20" ht="18.75" customHeight="1" x14ac:dyDescent="0.35">
      <c r="T49943" s="246">
        <f t="shared" si="818"/>
        <v>0</v>
      </c>
    </row>
    <row r="49944" spans="20:20" ht="18.75" customHeight="1" x14ac:dyDescent="0.35">
      <c r="T49944" s="246">
        <f t="shared" si="818"/>
        <v>0</v>
      </c>
    </row>
    <row r="49945" spans="20:20" ht="18.75" customHeight="1" x14ac:dyDescent="0.35">
      <c r="T49945" s="246">
        <f t="shared" si="818"/>
        <v>0</v>
      </c>
    </row>
    <row r="49946" spans="20:20" ht="18.75" customHeight="1" x14ac:dyDescent="0.35">
      <c r="T49946" s="246">
        <f t="shared" si="818"/>
        <v>0</v>
      </c>
    </row>
    <row r="49947" spans="20:20" ht="18.75" customHeight="1" x14ac:dyDescent="0.35">
      <c r="T49947" s="246">
        <f t="shared" si="818"/>
        <v>0</v>
      </c>
    </row>
    <row r="49948" spans="20:20" ht="18.75" customHeight="1" x14ac:dyDescent="0.35">
      <c r="T49948" s="246">
        <f t="shared" si="818"/>
        <v>0</v>
      </c>
    </row>
    <row r="49949" spans="20:20" ht="18.75" customHeight="1" x14ac:dyDescent="0.35">
      <c r="T49949" s="246">
        <f t="shared" si="818"/>
        <v>0</v>
      </c>
    </row>
    <row r="49950" spans="20:20" ht="18.75" customHeight="1" x14ac:dyDescent="0.35">
      <c r="T49950" s="246">
        <f t="shared" si="818"/>
        <v>0</v>
      </c>
    </row>
    <row r="49951" spans="20:20" ht="18.75" customHeight="1" x14ac:dyDescent="0.35">
      <c r="T49951" s="246">
        <f t="shared" si="818"/>
        <v>0</v>
      </c>
    </row>
    <row r="49952" spans="20:20" ht="18.75" customHeight="1" x14ac:dyDescent="0.35">
      <c r="T49952" s="246">
        <f t="shared" si="818"/>
        <v>0</v>
      </c>
    </row>
    <row r="49953" spans="20:20" ht="18.75" customHeight="1" x14ac:dyDescent="0.35">
      <c r="T49953" s="246">
        <f t="shared" si="818"/>
        <v>0</v>
      </c>
    </row>
    <row r="49954" spans="20:20" ht="18.75" customHeight="1" x14ac:dyDescent="0.35">
      <c r="T49954" s="246">
        <f t="shared" si="818"/>
        <v>0</v>
      </c>
    </row>
    <row r="49955" spans="20:20" ht="18.75" customHeight="1" x14ac:dyDescent="0.35">
      <c r="T49955" s="246">
        <f t="shared" si="818"/>
        <v>0</v>
      </c>
    </row>
    <row r="49956" spans="20:20" ht="18.75" customHeight="1" x14ac:dyDescent="0.35">
      <c r="T49956" s="246">
        <f t="shared" si="818"/>
        <v>0</v>
      </c>
    </row>
    <row r="49957" spans="20:20" ht="18.75" customHeight="1" x14ac:dyDescent="0.35">
      <c r="T49957" s="246">
        <f t="shared" si="818"/>
        <v>0</v>
      </c>
    </row>
    <row r="49958" spans="20:20" ht="18.75" customHeight="1" x14ac:dyDescent="0.35">
      <c r="T49958" s="246">
        <f t="shared" si="818"/>
        <v>0</v>
      </c>
    </row>
    <row r="49959" spans="20:20" ht="18.75" customHeight="1" x14ac:dyDescent="0.35">
      <c r="T49959" s="246">
        <f t="shared" si="818"/>
        <v>0</v>
      </c>
    </row>
    <row r="49960" spans="20:20" ht="18.75" customHeight="1" x14ac:dyDescent="0.35">
      <c r="T49960" s="246">
        <f t="shared" si="818"/>
        <v>0</v>
      </c>
    </row>
    <row r="49961" spans="20:20" ht="18.75" customHeight="1" x14ac:dyDescent="0.35">
      <c r="T49961" s="246">
        <f t="shared" si="818"/>
        <v>0</v>
      </c>
    </row>
    <row r="49962" spans="20:20" ht="18.75" customHeight="1" x14ac:dyDescent="0.35">
      <c r="T49962" s="246">
        <f t="shared" si="818"/>
        <v>0</v>
      </c>
    </row>
    <row r="49963" spans="20:20" ht="18.75" customHeight="1" x14ac:dyDescent="0.35">
      <c r="T49963" s="246">
        <f t="shared" si="818"/>
        <v>0</v>
      </c>
    </row>
    <row r="49964" spans="20:20" ht="18.75" customHeight="1" x14ac:dyDescent="0.35">
      <c r="T49964" s="246">
        <f t="shared" si="818"/>
        <v>0</v>
      </c>
    </row>
    <row r="49965" spans="20:20" ht="18.75" customHeight="1" x14ac:dyDescent="0.35">
      <c r="T49965" s="246">
        <f t="shared" si="818"/>
        <v>0</v>
      </c>
    </row>
    <row r="49966" spans="20:20" ht="18.75" customHeight="1" x14ac:dyDescent="0.35">
      <c r="T49966" s="246">
        <f t="shared" si="818"/>
        <v>0</v>
      </c>
    </row>
    <row r="49967" spans="20:20" ht="18.75" customHeight="1" x14ac:dyDescent="0.35">
      <c r="T49967" s="246">
        <f t="shared" si="818"/>
        <v>0</v>
      </c>
    </row>
    <row r="49968" spans="20:20" ht="18.75" customHeight="1" x14ac:dyDescent="0.35">
      <c r="T49968" s="246">
        <f t="shared" si="818"/>
        <v>0</v>
      </c>
    </row>
    <row r="49969" spans="20:20" ht="18.75" customHeight="1" x14ac:dyDescent="0.35">
      <c r="T49969" s="246">
        <f t="shared" si="818"/>
        <v>0</v>
      </c>
    </row>
    <row r="49970" spans="20:20" ht="18.75" customHeight="1" x14ac:dyDescent="0.35">
      <c r="T49970" s="246">
        <f t="shared" si="818"/>
        <v>0</v>
      </c>
    </row>
    <row r="49971" spans="20:20" ht="18.75" customHeight="1" x14ac:dyDescent="0.35">
      <c r="T49971" s="246">
        <f t="shared" si="818"/>
        <v>0</v>
      </c>
    </row>
    <row r="49972" spans="20:20" ht="18.75" customHeight="1" x14ac:dyDescent="0.35">
      <c r="T49972" s="246">
        <f t="shared" si="818"/>
        <v>0</v>
      </c>
    </row>
    <row r="49973" spans="20:20" ht="18.75" customHeight="1" x14ac:dyDescent="0.35">
      <c r="T49973" s="246">
        <f t="shared" si="818"/>
        <v>0</v>
      </c>
    </row>
    <row r="49974" spans="20:20" ht="18.75" customHeight="1" x14ac:dyDescent="0.35">
      <c r="T49974" s="246">
        <f t="shared" si="818"/>
        <v>0</v>
      </c>
    </row>
    <row r="49975" spans="20:20" ht="18.75" customHeight="1" x14ac:dyDescent="0.35">
      <c r="T49975" s="246">
        <f t="shared" si="818"/>
        <v>0</v>
      </c>
    </row>
    <row r="49976" spans="20:20" ht="18.75" customHeight="1" x14ac:dyDescent="0.35">
      <c r="T49976" s="246">
        <f t="shared" si="818"/>
        <v>0</v>
      </c>
    </row>
    <row r="49977" spans="20:20" ht="18.75" customHeight="1" x14ac:dyDescent="0.35">
      <c r="T49977" s="246">
        <f t="shared" si="818"/>
        <v>0</v>
      </c>
    </row>
    <row r="49978" spans="20:20" ht="18.75" customHeight="1" x14ac:dyDescent="0.35">
      <c r="T49978" s="246">
        <f t="shared" si="818"/>
        <v>0</v>
      </c>
    </row>
    <row r="49979" spans="20:20" ht="18.75" customHeight="1" x14ac:dyDescent="0.35">
      <c r="T49979" s="246">
        <f t="shared" si="818"/>
        <v>0</v>
      </c>
    </row>
    <row r="49980" spans="20:20" ht="18.75" customHeight="1" x14ac:dyDescent="0.35">
      <c r="T49980" s="246">
        <f t="shared" ref="T49980:T49991" si="819">R49980*0.01</f>
        <v>0</v>
      </c>
    </row>
    <row r="49981" spans="20:20" ht="18.75" customHeight="1" x14ac:dyDescent="0.35">
      <c r="T49981" s="246">
        <f t="shared" si="819"/>
        <v>0</v>
      </c>
    </row>
    <row r="49982" spans="20:20" ht="18.75" customHeight="1" x14ac:dyDescent="0.35">
      <c r="T49982" s="246">
        <f t="shared" si="819"/>
        <v>0</v>
      </c>
    </row>
    <row r="49983" spans="20:20" ht="18.75" customHeight="1" x14ac:dyDescent="0.35">
      <c r="T49983" s="246">
        <f t="shared" si="819"/>
        <v>0</v>
      </c>
    </row>
    <row r="49984" spans="20:20" ht="18.75" customHeight="1" x14ac:dyDescent="0.35">
      <c r="T49984" s="246">
        <f t="shared" si="819"/>
        <v>0</v>
      </c>
    </row>
    <row r="49985" spans="20:20" ht="18.75" customHeight="1" x14ac:dyDescent="0.35">
      <c r="T49985" s="246">
        <f t="shared" si="819"/>
        <v>0</v>
      </c>
    </row>
    <row r="49986" spans="20:20" ht="18.75" customHeight="1" x14ac:dyDescent="0.35">
      <c r="T49986" s="246">
        <f t="shared" si="819"/>
        <v>0</v>
      </c>
    </row>
    <row r="49987" spans="20:20" ht="18.75" customHeight="1" x14ac:dyDescent="0.35">
      <c r="T49987" s="246">
        <f t="shared" si="819"/>
        <v>0</v>
      </c>
    </row>
    <row r="49988" spans="20:20" ht="18.75" customHeight="1" x14ac:dyDescent="0.35">
      <c r="T49988" s="246">
        <f t="shared" si="819"/>
        <v>0</v>
      </c>
    </row>
    <row r="49989" spans="20:20" ht="18.75" customHeight="1" x14ac:dyDescent="0.35">
      <c r="T49989" s="246">
        <f t="shared" si="819"/>
        <v>0</v>
      </c>
    </row>
    <row r="49990" spans="20:20" ht="18.75" customHeight="1" x14ac:dyDescent="0.35">
      <c r="T49990" s="246">
        <f t="shared" si="819"/>
        <v>0</v>
      </c>
    </row>
    <row r="49991" spans="20:20" ht="18.75" customHeight="1" x14ac:dyDescent="0.35">
      <c r="T49991" s="246">
        <f t="shared" si="819"/>
        <v>0</v>
      </c>
    </row>
  </sheetData>
  <mergeCells count="2">
    <mergeCell ref="C3:R3"/>
    <mergeCell ref="W17:W18"/>
  </mergeCells>
  <dataValidations count="2">
    <dataValidation type="list" allowBlank="1" showInputMessage="1" showErrorMessage="1" sqref="AE4:AE5 AE7 AE11 F32:F668 F4:F29" xr:uid="{DD761D6C-C62D-498C-A72D-BC98611034DF}">
      <formula1>"D6 Classic,Velas,D6 Gold,D6 Deluxe,D2 moño,D2,Choco Suelto,Mini Recuerdo,Cajita de 4,Caja 44 Chocos, Caja 22 Chocos,Choco Cintas"</formula1>
    </dataValidation>
    <dataValidation type="list" allowBlank="1" showInputMessage="1" showErrorMessage="1" sqref="N26 O32:O33 O26:O29 N263:N51991 O35:O51991" xr:uid="{6C830539-EF2D-4BC8-BAA0-91F4314392AD}">
      <formula1>"Si,No"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94500-6600-4FE1-8FCD-5F7DED117BD5}">
  <dimension ref="A1:AN289"/>
  <sheetViews>
    <sheetView topLeftCell="A17" zoomScale="50" zoomScaleNormal="50" workbookViewId="0">
      <selection activeCell="L30" sqref="L30"/>
    </sheetView>
  </sheetViews>
  <sheetFormatPr baseColWidth="10" defaultRowHeight="21" x14ac:dyDescent="0.35"/>
  <cols>
    <col min="1" max="1" width="11.85546875" style="315" bestFit="1" customWidth="1"/>
    <col min="2" max="2" width="24.140625" style="267" customWidth="1"/>
    <col min="3" max="3" width="14.28515625" style="269" customWidth="1"/>
    <col min="4" max="4" width="21.42578125" style="267" customWidth="1"/>
    <col min="5" max="5" width="14.28515625" style="316" customWidth="1"/>
    <col min="6" max="6" width="14.28515625" style="267" customWidth="1"/>
    <col min="7" max="7" width="18" style="267" customWidth="1"/>
    <col min="8" max="9" width="17.42578125" style="267" customWidth="1"/>
    <col min="10" max="10" width="6.28515625" style="315" customWidth="1"/>
    <col min="11" max="11" width="18" style="267" bestFit="1" customWidth="1"/>
    <col min="12" max="12" width="16.140625" style="267" bestFit="1" customWidth="1"/>
    <col min="13" max="13" width="15.42578125" style="269" customWidth="1"/>
    <col min="14" max="14" width="5.85546875" style="269" customWidth="1"/>
    <col min="15" max="15" width="20.85546875" style="267" customWidth="1"/>
    <col min="16" max="16" width="16.28515625" style="267" customWidth="1"/>
    <col min="17" max="17" width="21.28515625" style="267" customWidth="1"/>
    <col min="18" max="18" width="5.7109375" style="267" customWidth="1"/>
    <col min="19" max="19" width="4.5703125" style="269" customWidth="1"/>
    <col min="20" max="23" width="20" style="269" customWidth="1"/>
    <col min="24" max="26" width="20" style="267" customWidth="1"/>
    <col min="27" max="27" width="13.5703125" style="267" customWidth="1"/>
    <col min="28" max="29" width="14.140625" style="269" customWidth="1"/>
    <col min="30" max="30" width="14.28515625" style="267" customWidth="1"/>
    <col min="31" max="31" width="12.42578125" style="267" customWidth="1"/>
    <col min="32" max="32" width="13.140625" style="267" customWidth="1"/>
    <col min="33" max="33" width="13" style="267" customWidth="1"/>
    <col min="34" max="36" width="11.42578125" style="267"/>
    <col min="37" max="37" width="15.28515625" style="267" bestFit="1" customWidth="1"/>
    <col min="38" max="39" width="17.85546875" style="267" bestFit="1" customWidth="1"/>
    <col min="40" max="16384" width="11.42578125" style="267"/>
  </cols>
  <sheetData>
    <row r="1" spans="1:38" x14ac:dyDescent="0.35">
      <c r="Q1" s="267" t="s">
        <v>304</v>
      </c>
    </row>
    <row r="2" spans="1:38" x14ac:dyDescent="0.35">
      <c r="O2" s="269" t="s">
        <v>302</v>
      </c>
      <c r="Q2" s="268">
        <v>9.2499999999999999E-2</v>
      </c>
    </row>
    <row r="3" spans="1:38" x14ac:dyDescent="0.35">
      <c r="A3" s="267"/>
      <c r="B3" s="315"/>
      <c r="C3" s="273"/>
      <c r="D3" s="272"/>
      <c r="E3" s="273"/>
      <c r="F3" s="272"/>
      <c r="G3" s="272"/>
      <c r="H3" s="272"/>
      <c r="I3" s="272"/>
      <c r="J3" s="272"/>
      <c r="O3" s="268">
        <v>0.1</v>
      </c>
      <c r="Q3" s="317"/>
      <c r="Z3" s="282"/>
      <c r="AA3" s="282"/>
      <c r="AB3" s="282"/>
      <c r="AC3" s="282"/>
      <c r="AD3" s="282"/>
      <c r="AG3" s="269"/>
      <c r="AH3" s="269"/>
      <c r="AI3" s="269"/>
      <c r="AJ3" s="269"/>
      <c r="AK3" s="269"/>
      <c r="AL3" s="269"/>
    </row>
    <row r="4" spans="1:38" x14ac:dyDescent="0.35">
      <c r="A4" s="267"/>
      <c r="B4" s="273"/>
      <c r="C4" s="273"/>
      <c r="D4" s="273"/>
      <c r="E4" s="273"/>
      <c r="F4" s="273"/>
      <c r="J4" s="267"/>
      <c r="O4" s="270">
        <v>0.1</v>
      </c>
      <c r="Q4" s="318">
        <v>7.6100000000000001E-2</v>
      </c>
      <c r="R4" s="267">
        <f>O7*Q4</f>
        <v>60.119</v>
      </c>
      <c r="Z4" s="282"/>
      <c r="AA4" s="282"/>
      <c r="AB4" s="282"/>
      <c r="AC4" s="282"/>
      <c r="AD4" s="282"/>
      <c r="AG4" s="269"/>
      <c r="AH4" s="269"/>
      <c r="AI4" s="269"/>
      <c r="AJ4" s="269"/>
      <c r="AK4" s="269"/>
      <c r="AL4" s="269"/>
    </row>
    <row r="5" spans="1:38" x14ac:dyDescent="0.35">
      <c r="A5" s="267"/>
      <c r="M5" s="319"/>
      <c r="O5" s="271">
        <f>O3+O4</f>
        <v>0.2</v>
      </c>
      <c r="Q5" s="271">
        <f>Q3+Q4+Q2</f>
        <v>0.1686</v>
      </c>
      <c r="R5" s="272"/>
      <c r="S5" s="273"/>
      <c r="T5" s="274" t="s">
        <v>76</v>
      </c>
      <c r="U5" s="274" t="s">
        <v>76</v>
      </c>
      <c r="V5" s="274" t="s">
        <v>76</v>
      </c>
      <c r="X5" s="269"/>
      <c r="Y5" s="269"/>
      <c r="Z5" s="282"/>
      <c r="AA5" s="282"/>
      <c r="AB5" s="282"/>
      <c r="AC5" s="282"/>
      <c r="AD5" s="282"/>
      <c r="AG5" s="269"/>
      <c r="AH5" s="269"/>
      <c r="AI5" s="269"/>
      <c r="AJ5" s="269"/>
      <c r="AK5" s="269"/>
      <c r="AL5" s="269"/>
    </row>
    <row r="6" spans="1:38" s="272" customFormat="1" ht="17.25" customHeight="1" x14ac:dyDescent="0.35">
      <c r="A6" s="267"/>
      <c r="B6" s="492" t="s">
        <v>436</v>
      </c>
      <c r="C6" s="275" t="s">
        <v>1</v>
      </c>
      <c r="D6" s="320" t="s">
        <v>4</v>
      </c>
      <c r="E6" s="321"/>
      <c r="F6" s="322"/>
      <c r="G6" s="320"/>
      <c r="H6" s="267"/>
      <c r="I6" s="267"/>
      <c r="J6" s="267"/>
      <c r="K6" s="276" t="s">
        <v>259</v>
      </c>
      <c r="L6" s="278" t="s">
        <v>7</v>
      </c>
      <c r="M6" s="323" t="s">
        <v>80</v>
      </c>
      <c r="N6" s="273"/>
      <c r="O6" s="279" t="s">
        <v>77</v>
      </c>
      <c r="P6" s="279" t="s">
        <v>77</v>
      </c>
      <c r="Q6" s="280" t="s">
        <v>79</v>
      </c>
      <c r="R6" s="267"/>
      <c r="S6" s="269"/>
      <c r="T6" s="271">
        <v>0</v>
      </c>
      <c r="U6" s="271">
        <v>0</v>
      </c>
      <c r="V6" s="271">
        <v>0.05</v>
      </c>
      <c r="W6" s="347"/>
      <c r="X6" s="347"/>
      <c r="Y6" s="347"/>
      <c r="Z6" s="267"/>
      <c r="AA6" s="267"/>
      <c r="AB6" s="267"/>
      <c r="AC6" s="267"/>
      <c r="AD6" s="267"/>
      <c r="AG6" s="273"/>
      <c r="AH6" s="273"/>
      <c r="AI6" s="273"/>
      <c r="AJ6" s="273"/>
      <c r="AK6" s="273"/>
      <c r="AL6" s="273"/>
    </row>
    <row r="7" spans="1:38" s="272" customFormat="1" ht="39" customHeight="1" x14ac:dyDescent="0.25">
      <c r="A7" s="336"/>
      <c r="B7" s="492"/>
      <c r="C7" s="273">
        <f>Insumos!C6</f>
        <v>224</v>
      </c>
      <c r="D7" s="272">
        <f>Insumos!$G$6/28</f>
        <v>8.5685714285714276</v>
      </c>
      <c r="E7" s="454"/>
      <c r="F7" s="272">
        <v>40</v>
      </c>
      <c r="K7" s="272">
        <f>C7+D7</f>
        <v>232.56857142857143</v>
      </c>
      <c r="L7" s="272">
        <f>M7-K7</f>
        <v>418.62342857142858</v>
      </c>
      <c r="M7" s="273">
        <f>K7*2.8</f>
        <v>651.19200000000001</v>
      </c>
      <c r="N7" s="273"/>
      <c r="O7" s="455">
        <f>ROUNDUP(P7, -1)</f>
        <v>790</v>
      </c>
      <c r="P7" s="455">
        <f>M7+(M7*O5)</f>
        <v>781.43039999999996</v>
      </c>
      <c r="Q7" s="272">
        <f>O7-(O7*Q5)-K7</f>
        <v>424.23742857142861</v>
      </c>
      <c r="S7" s="273"/>
      <c r="T7" s="456">
        <v>50</v>
      </c>
      <c r="U7" s="456">
        <v>100</v>
      </c>
      <c r="V7" s="456">
        <v>200</v>
      </c>
      <c r="W7" s="456"/>
      <c r="X7" s="456"/>
      <c r="Y7" s="456"/>
      <c r="Z7" s="286"/>
      <c r="AA7" s="286"/>
      <c r="AB7" s="286"/>
      <c r="AC7" s="286"/>
      <c r="AD7" s="286"/>
      <c r="AG7" s="273"/>
      <c r="AH7" s="273"/>
      <c r="AI7" s="273"/>
      <c r="AJ7" s="273"/>
      <c r="AK7" s="273"/>
      <c r="AL7" s="273"/>
    </row>
    <row r="8" spans="1:38" ht="30" customHeight="1" x14ac:dyDescent="0.35">
      <c r="A8" s="272"/>
      <c r="B8" s="315"/>
      <c r="T8" s="487" t="s">
        <v>6</v>
      </c>
      <c r="U8" s="487"/>
      <c r="V8" s="487"/>
      <c r="W8" s="450"/>
      <c r="X8" s="450"/>
      <c r="Y8" s="450"/>
      <c r="Z8" s="282"/>
      <c r="AA8" s="282"/>
      <c r="AB8" s="282"/>
      <c r="AC8" s="282"/>
      <c r="AD8" s="282"/>
      <c r="AG8" s="269"/>
      <c r="AH8" s="269"/>
      <c r="AI8" s="269"/>
      <c r="AJ8" s="269"/>
      <c r="AK8" s="269"/>
      <c r="AL8" s="269"/>
    </row>
    <row r="9" spans="1:38" x14ac:dyDescent="0.35">
      <c r="B9" s="315">
        <v>2000</v>
      </c>
      <c r="C9" s="273">
        <f>Insumos!D12</f>
        <v>205.83799999999999</v>
      </c>
      <c r="D9" s="267">
        <f>Insumos!$G$6/28</f>
        <v>8.5685714285714276</v>
      </c>
      <c r="E9" s="273"/>
      <c r="F9" s="272"/>
      <c r="G9" s="272"/>
      <c r="H9" s="272"/>
      <c r="I9" s="272"/>
      <c r="J9" s="272"/>
      <c r="K9" s="267">
        <f>C9+D9</f>
        <v>214.40657142857143</v>
      </c>
      <c r="M9" s="269">
        <f>$L$7+K9</f>
        <v>633.03</v>
      </c>
      <c r="T9" s="269">
        <f>$K$7*T7</f>
        <v>11628.428571428572</v>
      </c>
      <c r="U9" s="269">
        <f>$K$7*U7</f>
        <v>23256.857142857145</v>
      </c>
      <c r="V9" s="269">
        <f>$K$7*V7</f>
        <v>46513.71428571429</v>
      </c>
      <c r="X9" s="269"/>
      <c r="Y9" s="269"/>
      <c r="Z9" s="282"/>
      <c r="AA9" s="282"/>
      <c r="AB9" s="282"/>
      <c r="AC9" s="282"/>
      <c r="AD9" s="282"/>
      <c r="AG9" s="269"/>
      <c r="AH9" s="269"/>
      <c r="AI9" s="269"/>
      <c r="AJ9" s="269"/>
      <c r="AK9" s="269"/>
      <c r="AL9" s="269"/>
    </row>
    <row r="10" spans="1:38" ht="26.25" customHeight="1" x14ac:dyDescent="0.35">
      <c r="B10" s="315"/>
      <c r="E10" s="269"/>
      <c r="J10" s="267"/>
      <c r="Q10" s="268"/>
      <c r="T10" s="488" t="s">
        <v>301</v>
      </c>
      <c r="U10" s="488"/>
      <c r="V10" s="488"/>
      <c r="W10" s="451"/>
      <c r="X10" s="451"/>
      <c r="Y10" s="451"/>
      <c r="Z10" s="282"/>
      <c r="AA10" s="282"/>
      <c r="AB10" s="282"/>
      <c r="AC10" s="282"/>
      <c r="AD10" s="282"/>
      <c r="AG10" s="269"/>
      <c r="AH10" s="269"/>
      <c r="AI10" s="269"/>
      <c r="AJ10" s="269"/>
      <c r="AK10" s="269"/>
      <c r="AL10" s="269"/>
    </row>
    <row r="11" spans="1:38" x14ac:dyDescent="0.35">
      <c r="A11" s="267"/>
      <c r="B11" s="315"/>
      <c r="E11" s="269"/>
      <c r="J11" s="267"/>
      <c r="O11" s="326" t="s">
        <v>303</v>
      </c>
      <c r="Q11" s="327" t="s">
        <v>174</v>
      </c>
      <c r="T11" s="286">
        <f t="shared" ref="T11:V11" si="0">($O7*T7)-(($O7*T7)*T6)</f>
        <v>39500</v>
      </c>
      <c r="U11" s="286">
        <f t="shared" si="0"/>
        <v>79000</v>
      </c>
      <c r="V11" s="286">
        <f t="shared" si="0"/>
        <v>150100</v>
      </c>
      <c r="W11" s="286"/>
      <c r="X11" s="286"/>
      <c r="Y11" s="286"/>
      <c r="Z11" s="269"/>
      <c r="AA11" s="269"/>
      <c r="AD11" s="269"/>
      <c r="AF11" s="269"/>
      <c r="AG11" s="269"/>
      <c r="AH11" s="269"/>
      <c r="AI11" s="269"/>
      <c r="AJ11" s="269"/>
    </row>
    <row r="12" spans="1:38" x14ac:dyDescent="0.35">
      <c r="A12" s="267"/>
      <c r="B12" s="315"/>
      <c r="E12" s="269"/>
      <c r="J12" s="267"/>
      <c r="O12" s="328">
        <v>0.1</v>
      </c>
      <c r="Q12" s="329">
        <v>0.06</v>
      </c>
      <c r="T12" s="269">
        <f>T11/T7</f>
        <v>790</v>
      </c>
      <c r="U12" s="269">
        <f>U11/U7</f>
        <v>790</v>
      </c>
      <c r="V12" s="269">
        <f>V11/V7</f>
        <v>750.5</v>
      </c>
      <c r="X12" s="269"/>
      <c r="Y12" s="269"/>
      <c r="Z12" s="269"/>
      <c r="AA12" s="269"/>
      <c r="AD12" s="269"/>
      <c r="AI12" s="269"/>
      <c r="AJ12" s="269"/>
    </row>
    <row r="13" spans="1:38" s="272" customFormat="1" ht="26.25" customHeight="1" x14ac:dyDescent="0.35">
      <c r="A13" s="267"/>
      <c r="B13" s="315"/>
      <c r="C13" s="269"/>
      <c r="D13" s="267"/>
      <c r="E13" s="273"/>
      <c r="K13" s="267"/>
      <c r="M13" s="269"/>
      <c r="N13" s="269"/>
      <c r="O13" s="330" t="s">
        <v>65</v>
      </c>
      <c r="Q13" s="287" t="s">
        <v>83</v>
      </c>
      <c r="R13" s="267"/>
      <c r="S13" s="269"/>
      <c r="T13" s="489" t="s">
        <v>78</v>
      </c>
      <c r="U13" s="489"/>
      <c r="V13" s="489"/>
      <c r="W13" s="452"/>
      <c r="X13" s="452"/>
      <c r="Y13" s="452"/>
      <c r="Z13" s="315"/>
      <c r="AA13" s="331"/>
      <c r="AB13" s="315"/>
      <c r="AC13" s="315"/>
      <c r="AD13" s="315"/>
      <c r="AF13" s="315"/>
      <c r="AG13" s="331"/>
      <c r="AH13" s="315"/>
      <c r="AI13" s="315"/>
      <c r="AJ13" s="315"/>
    </row>
    <row r="14" spans="1:38" x14ac:dyDescent="0.35">
      <c r="A14" s="267"/>
      <c r="B14" s="315"/>
      <c r="E14" s="269"/>
      <c r="J14" s="267"/>
      <c r="O14" s="267">
        <f>O7-(O7*O12)</f>
        <v>711</v>
      </c>
      <c r="Q14" s="267" t="e">
        <f>(O14-(O14*Q12))-#REF!</f>
        <v>#REF!</v>
      </c>
      <c r="T14" s="269">
        <f>(T11-T9)-(T11*$Q$5)</f>
        <v>21211.871428571427</v>
      </c>
      <c r="U14" s="269">
        <f t="shared" ref="U14:V14" si="1">(U11-U9)-(U11*$Q$5)</f>
        <v>42423.742857142854</v>
      </c>
      <c r="V14" s="269">
        <f t="shared" si="1"/>
        <v>78279.42571428571</v>
      </c>
      <c r="X14" s="269"/>
      <c r="Y14" s="269"/>
      <c r="Z14" s="273"/>
      <c r="AA14" s="273"/>
      <c r="AB14" s="273"/>
      <c r="AC14" s="273"/>
      <c r="AD14" s="273"/>
      <c r="AF14" s="273"/>
      <c r="AG14" s="273"/>
      <c r="AH14" s="273"/>
      <c r="AI14" s="273"/>
      <c r="AJ14" s="273"/>
    </row>
    <row r="15" spans="1:38" x14ac:dyDescent="0.35">
      <c r="A15" s="267"/>
      <c r="B15" s="315"/>
      <c r="C15" s="273"/>
      <c r="E15" s="273"/>
      <c r="F15" s="272"/>
      <c r="G15" s="272"/>
      <c r="H15" s="272"/>
      <c r="I15" s="272"/>
      <c r="J15" s="272"/>
      <c r="L15" s="272"/>
      <c r="P15" s="272"/>
      <c r="R15" s="272"/>
      <c r="S15" s="273"/>
      <c r="T15" s="269">
        <f>T14/T7</f>
        <v>424.23742857142855</v>
      </c>
      <c r="U15" s="269">
        <f>U14/U7</f>
        <v>424.23742857142855</v>
      </c>
      <c r="V15" s="269">
        <f>V14/V7</f>
        <v>391.39712857142854</v>
      </c>
      <c r="X15" s="269"/>
      <c r="Y15" s="269"/>
      <c r="Z15" s="269"/>
      <c r="AA15" s="269"/>
      <c r="AD15" s="269"/>
      <c r="AF15" s="269"/>
      <c r="AG15" s="269"/>
      <c r="AH15" s="269"/>
      <c r="AI15" s="269"/>
      <c r="AJ15" s="269"/>
    </row>
    <row r="16" spans="1:38" ht="21.75" customHeight="1" x14ac:dyDescent="0.35">
      <c r="B16" s="315"/>
      <c r="C16" s="273"/>
      <c r="D16" s="272"/>
      <c r="E16" s="273"/>
      <c r="F16" s="272"/>
      <c r="G16" s="272"/>
      <c r="H16" s="272"/>
      <c r="I16" s="272"/>
      <c r="J16" s="272"/>
      <c r="Q16" s="272"/>
      <c r="T16" s="490" t="s">
        <v>300</v>
      </c>
      <c r="U16" s="490"/>
      <c r="V16" s="490"/>
      <c r="W16" s="453"/>
      <c r="X16" s="453"/>
      <c r="Y16" s="453"/>
      <c r="Z16" s="273"/>
      <c r="AA16" s="273"/>
      <c r="AB16" s="273"/>
      <c r="AC16" s="273"/>
      <c r="AD16" s="273"/>
      <c r="AF16" s="273"/>
      <c r="AG16" s="273"/>
      <c r="AH16" s="273"/>
      <c r="AI16" s="273"/>
      <c r="AJ16" s="273"/>
    </row>
    <row r="17" spans="1:36" x14ac:dyDescent="0.35">
      <c r="T17" s="269">
        <f t="shared" ref="T17:V17" si="2">T11-(T11*T18)</f>
        <v>35550</v>
      </c>
      <c r="U17" s="269">
        <f t="shared" si="2"/>
        <v>71100</v>
      </c>
      <c r="V17" s="269">
        <f t="shared" si="2"/>
        <v>135090</v>
      </c>
      <c r="X17" s="269"/>
      <c r="Y17" s="269"/>
      <c r="Z17" s="269"/>
      <c r="AA17" s="269"/>
      <c r="AD17" s="269"/>
      <c r="AF17" s="332"/>
      <c r="AG17" s="332"/>
      <c r="AH17" s="332"/>
      <c r="AI17" s="332"/>
      <c r="AJ17" s="332"/>
    </row>
    <row r="18" spans="1:36" x14ac:dyDescent="0.35">
      <c r="A18" s="272"/>
      <c r="B18" s="315"/>
      <c r="C18" s="273"/>
      <c r="D18" s="272"/>
      <c r="E18" s="273"/>
      <c r="F18" s="272"/>
      <c r="G18" s="272"/>
      <c r="H18" s="272"/>
      <c r="I18" s="272"/>
      <c r="J18" s="272"/>
      <c r="Q18" s="269"/>
      <c r="T18" s="333">
        <f>$O$12</f>
        <v>0.1</v>
      </c>
      <c r="U18" s="333">
        <f t="shared" ref="U18:V18" si="3">$O$12</f>
        <v>0.1</v>
      </c>
      <c r="V18" s="333">
        <f t="shared" si="3"/>
        <v>0.1</v>
      </c>
      <c r="W18" s="333"/>
      <c r="X18" s="333"/>
      <c r="Y18" s="333"/>
      <c r="Z18" s="269"/>
      <c r="AA18" s="269"/>
      <c r="AD18" s="269"/>
      <c r="AF18" s="269"/>
      <c r="AG18" s="269"/>
      <c r="AH18" s="269"/>
      <c r="AI18" s="269"/>
      <c r="AJ18" s="269"/>
    </row>
    <row r="19" spans="1:36" s="272" customFormat="1" ht="21" customHeight="1" x14ac:dyDescent="0.35">
      <c r="A19" s="267"/>
      <c r="B19" s="315"/>
      <c r="C19" s="273"/>
      <c r="E19" s="273"/>
      <c r="K19" s="267"/>
      <c r="L19" s="267"/>
      <c r="M19" s="269"/>
      <c r="N19" s="269"/>
      <c r="O19" s="267"/>
      <c r="P19" s="267"/>
      <c r="Q19" s="267"/>
      <c r="R19" s="267"/>
      <c r="S19" s="269"/>
      <c r="T19" s="269">
        <f t="shared" ref="T19:V19" si="4">T17/T7</f>
        <v>711</v>
      </c>
      <c r="U19" s="269">
        <f t="shared" si="4"/>
        <v>711</v>
      </c>
      <c r="V19" s="269">
        <f t="shared" si="4"/>
        <v>675.45</v>
      </c>
      <c r="W19" s="269"/>
      <c r="X19" s="269"/>
      <c r="Y19" s="269"/>
      <c r="Z19" s="273"/>
      <c r="AA19" s="273"/>
      <c r="AB19" s="273"/>
      <c r="AC19" s="273"/>
      <c r="AD19" s="273"/>
      <c r="AF19" s="269"/>
      <c r="AG19" s="269"/>
      <c r="AH19" s="269"/>
      <c r="AI19" s="269"/>
      <c r="AJ19" s="269"/>
    </row>
    <row r="20" spans="1:36" ht="21" customHeight="1" x14ac:dyDescent="0.35">
      <c r="A20" s="267"/>
      <c r="B20" s="315"/>
      <c r="C20" s="273"/>
      <c r="D20" s="272"/>
      <c r="E20" s="273"/>
      <c r="F20" s="272"/>
      <c r="G20" s="272"/>
      <c r="H20" s="272"/>
      <c r="I20" s="272"/>
      <c r="J20" s="272"/>
      <c r="T20" s="489" t="s">
        <v>299</v>
      </c>
      <c r="U20" s="489"/>
      <c r="V20" s="489"/>
      <c r="W20" s="452"/>
      <c r="X20" s="452"/>
      <c r="Y20" s="452"/>
      <c r="Z20" s="282"/>
      <c r="AA20" s="282"/>
      <c r="AB20" s="282"/>
      <c r="AC20" s="282"/>
      <c r="AD20" s="282"/>
      <c r="AF20" s="273"/>
      <c r="AG20" s="273"/>
      <c r="AH20" s="273"/>
      <c r="AI20" s="273"/>
      <c r="AJ20" s="273"/>
    </row>
    <row r="21" spans="1:36" x14ac:dyDescent="0.35">
      <c r="A21" s="267"/>
      <c r="B21" s="315"/>
      <c r="C21" s="273"/>
      <c r="D21" s="272"/>
      <c r="E21" s="273"/>
      <c r="F21" s="272"/>
      <c r="G21" s="272"/>
      <c r="H21" s="272"/>
      <c r="I21" s="272"/>
      <c r="J21" s="272"/>
      <c r="M21" s="273"/>
      <c r="N21" s="273"/>
      <c r="O21" s="272"/>
      <c r="P21" s="272"/>
      <c r="R21" s="272"/>
      <c r="S21" s="273"/>
      <c r="T21" s="269">
        <f>T17-(T17*$Q$12)-T9</f>
        <v>21788.571428571428</v>
      </c>
      <c r="U21" s="269">
        <f>U17-(U17*$Q$117)-U9</f>
        <v>42432.432857142849</v>
      </c>
      <c r="V21" s="269">
        <f>V17-(V17*$Q$117)-V9</f>
        <v>78295.936714285708</v>
      </c>
      <c r="X21" s="269"/>
      <c r="Y21" s="269"/>
      <c r="Z21" s="269"/>
      <c r="AA21" s="269"/>
      <c r="AD21" s="269"/>
      <c r="AF21" s="269"/>
      <c r="AG21" s="269"/>
      <c r="AH21" s="269"/>
      <c r="AI21" s="269"/>
      <c r="AJ21" s="269"/>
    </row>
    <row r="22" spans="1:36" x14ac:dyDescent="0.35">
      <c r="A22" s="267"/>
      <c r="B22" s="273"/>
      <c r="C22" s="273"/>
      <c r="D22" s="273"/>
      <c r="E22" s="273"/>
      <c r="F22" s="273"/>
      <c r="J22" s="267"/>
      <c r="S22" s="273"/>
      <c r="T22" s="273">
        <f t="shared" ref="T22:V22" si="5">T21/T7</f>
        <v>435.77142857142854</v>
      </c>
      <c r="U22" s="273">
        <f t="shared" si="5"/>
        <v>424.32432857142851</v>
      </c>
      <c r="V22" s="273">
        <f t="shared" si="5"/>
        <v>391.47968357142855</v>
      </c>
      <c r="W22" s="273"/>
      <c r="X22" s="273"/>
      <c r="Y22" s="273"/>
      <c r="Z22" s="334"/>
      <c r="AA22" s="334"/>
      <c r="AB22" s="334"/>
      <c r="AC22" s="334"/>
      <c r="AD22" s="334"/>
      <c r="AF22" s="273"/>
      <c r="AG22" s="273"/>
      <c r="AH22" s="273"/>
      <c r="AI22" s="273"/>
      <c r="AJ22" s="273"/>
    </row>
    <row r="23" spans="1:36" x14ac:dyDescent="0.35">
      <c r="A23" s="267"/>
      <c r="Z23" s="334"/>
      <c r="AA23" s="334"/>
      <c r="AB23" s="334"/>
      <c r="AC23" s="334"/>
      <c r="AD23" s="334"/>
      <c r="AF23" s="273"/>
      <c r="AG23" s="273"/>
      <c r="AH23" s="273"/>
      <c r="AI23" s="273"/>
      <c r="AJ23" s="273"/>
    </row>
    <row r="24" spans="1:36" x14ac:dyDescent="0.35">
      <c r="A24" s="267"/>
      <c r="B24" s="273"/>
      <c r="C24" s="273"/>
      <c r="D24" s="273"/>
      <c r="E24" s="273"/>
      <c r="F24" s="273"/>
      <c r="J24" s="267"/>
      <c r="Q24" s="267" t="s">
        <v>304</v>
      </c>
      <c r="S24" s="273"/>
      <c r="T24" s="267"/>
      <c r="U24" s="267"/>
      <c r="V24" s="267"/>
      <c r="W24" s="267"/>
      <c r="AB24" s="267"/>
      <c r="AC24" s="267"/>
      <c r="AF24" s="282"/>
      <c r="AG24" s="282"/>
      <c r="AH24" s="282"/>
      <c r="AI24" s="282"/>
      <c r="AJ24" s="282"/>
    </row>
    <row r="25" spans="1:36" s="272" customFormat="1" ht="17.25" customHeight="1" x14ac:dyDescent="0.35">
      <c r="A25" s="267"/>
      <c r="B25" s="273"/>
      <c r="C25" s="273"/>
      <c r="D25" s="273"/>
      <c r="E25" s="273"/>
      <c r="F25" s="273"/>
      <c r="G25" s="267"/>
      <c r="H25" s="267"/>
      <c r="I25" s="267"/>
      <c r="J25" s="267"/>
      <c r="K25" s="267"/>
      <c r="L25" s="267"/>
      <c r="M25" s="269"/>
      <c r="N25" s="269"/>
      <c r="O25" s="269" t="s">
        <v>302</v>
      </c>
      <c r="P25" s="267"/>
      <c r="Q25" s="268">
        <v>9.2499999999999999E-2</v>
      </c>
      <c r="R25" s="267"/>
      <c r="S25" s="273"/>
      <c r="T25" s="273"/>
      <c r="U25" s="273"/>
      <c r="V25" s="273"/>
      <c r="W25" s="273"/>
      <c r="X25" s="273"/>
      <c r="Y25" s="273"/>
      <c r="AF25" s="335"/>
      <c r="AG25" s="335"/>
      <c r="AH25" s="335"/>
      <c r="AI25" s="335"/>
      <c r="AJ25" s="335"/>
    </row>
    <row r="26" spans="1:36" x14ac:dyDescent="0.35">
      <c r="A26" s="267"/>
      <c r="B26" s="315"/>
      <c r="C26" s="273"/>
      <c r="D26" s="272"/>
      <c r="E26" s="273"/>
      <c r="F26" s="272"/>
      <c r="G26" s="272"/>
      <c r="H26" s="272"/>
      <c r="I26" s="272"/>
      <c r="J26" s="272"/>
      <c r="O26" s="268">
        <v>0.1</v>
      </c>
      <c r="Q26" s="317"/>
      <c r="Z26" s="269"/>
      <c r="AA26" s="269"/>
      <c r="AD26" s="269"/>
      <c r="AF26" s="273"/>
      <c r="AG26" s="273"/>
      <c r="AH26" s="273"/>
      <c r="AI26" s="273"/>
      <c r="AJ26" s="273"/>
    </row>
    <row r="27" spans="1:36" x14ac:dyDescent="0.35">
      <c r="A27" s="267"/>
      <c r="C27" s="496" t="s">
        <v>2</v>
      </c>
      <c r="D27" s="496"/>
      <c r="E27" s="496"/>
      <c r="F27" s="496"/>
      <c r="G27" s="496"/>
      <c r="O27" s="270">
        <v>0.1</v>
      </c>
      <c r="Q27" s="318">
        <v>7.6100000000000001E-2</v>
      </c>
      <c r="R27" s="267" t="s">
        <v>174</v>
      </c>
      <c r="Z27" s="334"/>
      <c r="AA27" s="334"/>
      <c r="AB27" s="334"/>
      <c r="AC27" s="334"/>
      <c r="AD27" s="334"/>
      <c r="AF27" s="273"/>
      <c r="AG27" s="273"/>
      <c r="AH27" s="273"/>
      <c r="AI27" s="273"/>
      <c r="AJ27" s="273"/>
    </row>
    <row r="28" spans="1:36" x14ac:dyDescent="0.35">
      <c r="A28" s="267"/>
      <c r="M28" s="319">
        <f>(M30-K30)</f>
        <v>546.53714285714273</v>
      </c>
      <c r="O28" s="271">
        <f>O26+O27</f>
        <v>0.2</v>
      </c>
      <c r="Q28" s="271">
        <f>Q26+Q27+Q25</f>
        <v>0.1686</v>
      </c>
      <c r="R28" s="272"/>
      <c r="S28" s="273"/>
      <c r="T28" s="274" t="s">
        <v>76</v>
      </c>
      <c r="U28" s="274" t="s">
        <v>76</v>
      </c>
      <c r="V28" s="274" t="s">
        <v>76</v>
      </c>
      <c r="X28" s="269"/>
      <c r="Y28" s="269"/>
      <c r="AB28" s="267"/>
      <c r="AC28" s="267"/>
      <c r="AF28" s="282"/>
      <c r="AG28" s="282"/>
      <c r="AH28" s="282"/>
      <c r="AI28" s="282"/>
      <c r="AJ28" s="282"/>
    </row>
    <row r="29" spans="1:36" s="272" customFormat="1" ht="17.25" customHeight="1" x14ac:dyDescent="0.35">
      <c r="A29" s="267"/>
      <c r="B29" s="492" t="s">
        <v>0</v>
      </c>
      <c r="C29" s="275" t="s">
        <v>1</v>
      </c>
      <c r="D29" s="320" t="s">
        <v>246</v>
      </c>
      <c r="E29" s="321" t="s">
        <v>5</v>
      </c>
      <c r="F29" s="275"/>
      <c r="G29" s="275"/>
      <c r="H29" s="267"/>
      <c r="I29" s="267"/>
      <c r="J29" s="336"/>
      <c r="K29" s="277" t="s">
        <v>245</v>
      </c>
      <c r="L29" s="278" t="s">
        <v>7</v>
      </c>
      <c r="M29" s="323" t="s">
        <v>80</v>
      </c>
      <c r="N29" s="273"/>
      <c r="O29" s="279" t="s">
        <v>77</v>
      </c>
      <c r="P29" s="279" t="s">
        <v>77</v>
      </c>
      <c r="Q29" s="280" t="s">
        <v>79</v>
      </c>
      <c r="R29" s="267"/>
      <c r="S29" s="269"/>
      <c r="T29" s="271">
        <v>0.05</v>
      </c>
      <c r="U29" s="271">
        <v>0.1</v>
      </c>
      <c r="V29" s="271">
        <v>0.15</v>
      </c>
      <c r="W29" s="347"/>
      <c r="X29" s="347"/>
      <c r="Y29" s="347"/>
      <c r="AF29" s="335"/>
      <c r="AG29" s="335"/>
      <c r="AH29" s="335"/>
      <c r="AI29" s="335"/>
      <c r="AJ29" s="335"/>
    </row>
    <row r="30" spans="1:36" x14ac:dyDescent="0.35">
      <c r="A30" s="267"/>
      <c r="B30" s="492"/>
      <c r="C30" s="269">
        <f>C7</f>
        <v>224</v>
      </c>
      <c r="D30" s="267">
        <f>D7</f>
        <v>8.5685714285714276</v>
      </c>
      <c r="E30" s="316">
        <f>Insumos!G12/10</f>
        <v>40.700000000000003</v>
      </c>
      <c r="G30" s="269"/>
      <c r="K30" s="267">
        <f>SUM(C30:E30)</f>
        <v>273.26857142857142</v>
      </c>
      <c r="L30" s="267">
        <f>M30-K30</f>
        <v>546.53714285714273</v>
      </c>
      <c r="M30" s="269">
        <f>K30*3</f>
        <v>819.8057142857142</v>
      </c>
      <c r="O30" s="324">
        <f>ROUNDUP(P30, -1)</f>
        <v>990</v>
      </c>
      <c r="P30" s="324">
        <f>M30+(M30*O28)</f>
        <v>983.76685714285702</v>
      </c>
      <c r="Q30" s="267">
        <f>O30-(O30*Q28)-K30</f>
        <v>549.81742857142854</v>
      </c>
      <c r="T30" s="337">
        <v>50</v>
      </c>
      <c r="U30" s="337">
        <v>100</v>
      </c>
      <c r="V30" s="337">
        <v>200</v>
      </c>
      <c r="W30" s="337"/>
      <c r="X30" s="337"/>
      <c r="Y30" s="337"/>
      <c r="Z30" s="269"/>
      <c r="AA30" s="269"/>
      <c r="AD30" s="269"/>
      <c r="AF30" s="273"/>
      <c r="AG30" s="273"/>
      <c r="AH30" s="273"/>
      <c r="AI30" s="273"/>
      <c r="AJ30" s="273"/>
    </row>
    <row r="31" spans="1:36" x14ac:dyDescent="0.35">
      <c r="A31" s="267"/>
      <c r="C31" s="272"/>
      <c r="D31" s="272"/>
      <c r="E31" s="273"/>
      <c r="F31" s="272"/>
      <c r="G31" s="269"/>
      <c r="T31" s="283" t="s">
        <v>6</v>
      </c>
      <c r="U31" s="283" t="s">
        <v>6</v>
      </c>
      <c r="V31" s="283" t="s">
        <v>6</v>
      </c>
      <c r="W31" s="273"/>
      <c r="X31" s="273"/>
      <c r="Y31" s="273"/>
      <c r="Z31" s="334"/>
      <c r="AA31" s="334"/>
      <c r="AB31" s="334"/>
      <c r="AC31" s="334"/>
      <c r="AD31" s="334"/>
      <c r="AF31" s="273"/>
      <c r="AG31" s="273"/>
      <c r="AH31" s="273"/>
      <c r="AI31" s="273"/>
      <c r="AJ31" s="273"/>
    </row>
    <row r="32" spans="1:36" x14ac:dyDescent="0.35">
      <c r="A32" s="267"/>
      <c r="B32" s="315"/>
      <c r="G32" s="269"/>
      <c r="T32" s="269">
        <f>$K$30*T30</f>
        <v>13663.428571428571</v>
      </c>
      <c r="U32" s="269">
        <f>$K$30*U30</f>
        <v>27326.857142857141</v>
      </c>
      <c r="V32" s="269">
        <f>$K$30*V30</f>
        <v>54653.714285714283</v>
      </c>
      <c r="X32" s="269"/>
      <c r="Y32" s="269"/>
      <c r="AB32" s="267"/>
      <c r="AC32" s="267"/>
      <c r="AF32" s="282"/>
      <c r="AG32" s="282"/>
      <c r="AH32" s="282"/>
      <c r="AI32" s="282"/>
      <c r="AJ32" s="282"/>
    </row>
    <row r="33" spans="1:36" s="272" customFormat="1" ht="17.25" customHeight="1" x14ac:dyDescent="0.35">
      <c r="A33" s="267"/>
      <c r="B33" s="315"/>
      <c r="C33" s="269"/>
      <c r="D33" s="267"/>
      <c r="E33" s="316"/>
      <c r="F33" s="267"/>
      <c r="G33" s="269"/>
      <c r="H33" s="267"/>
      <c r="I33" s="267"/>
      <c r="J33" s="315"/>
      <c r="K33" s="267"/>
      <c r="L33" s="267"/>
      <c r="M33" s="269"/>
      <c r="N33" s="269"/>
      <c r="O33" s="267"/>
      <c r="P33" s="267"/>
      <c r="Q33" s="268"/>
      <c r="R33" s="267"/>
      <c r="S33" s="269"/>
      <c r="T33" s="285" t="s">
        <v>77</v>
      </c>
      <c r="U33" s="285" t="s">
        <v>77</v>
      </c>
      <c r="V33" s="285" t="s">
        <v>77</v>
      </c>
      <c r="W33" s="273"/>
      <c r="X33" s="273"/>
      <c r="Y33" s="273"/>
      <c r="AF33" s="335"/>
      <c r="AG33" s="335"/>
      <c r="AH33" s="335"/>
      <c r="AI33" s="335"/>
      <c r="AJ33" s="335"/>
    </row>
    <row r="34" spans="1:36" x14ac:dyDescent="0.35">
      <c r="A34" s="267"/>
      <c r="B34" s="315"/>
      <c r="G34" s="269"/>
      <c r="M34" s="315"/>
      <c r="N34" s="315"/>
      <c r="O34" s="326" t="s">
        <v>303</v>
      </c>
      <c r="Q34" s="327" t="s">
        <v>174</v>
      </c>
      <c r="T34" s="286">
        <f t="shared" ref="T34:V34" si="6">($O30*T30)-(($O30*T30)*T29)</f>
        <v>47025</v>
      </c>
      <c r="U34" s="286">
        <f t="shared" si="6"/>
        <v>89100</v>
      </c>
      <c r="V34" s="286">
        <f t="shared" si="6"/>
        <v>168300</v>
      </c>
      <c r="W34" s="286"/>
      <c r="X34" s="286"/>
      <c r="Y34" s="286"/>
      <c r="Z34" s="269"/>
      <c r="AA34" s="269"/>
      <c r="AD34" s="269"/>
      <c r="AF34" s="273"/>
      <c r="AG34" s="273"/>
      <c r="AH34" s="273"/>
      <c r="AI34" s="273"/>
      <c r="AJ34" s="273"/>
    </row>
    <row r="35" spans="1:36" x14ac:dyDescent="0.35">
      <c r="A35" s="267"/>
      <c r="B35" s="315"/>
      <c r="C35" s="272"/>
      <c r="D35" s="272"/>
      <c r="E35" s="273"/>
      <c r="F35" s="272"/>
      <c r="G35" s="269"/>
      <c r="O35" s="328">
        <v>0.1</v>
      </c>
      <c r="Q35" s="329">
        <v>0.06</v>
      </c>
      <c r="T35" s="269">
        <f>T34/T30</f>
        <v>940.5</v>
      </c>
      <c r="U35" s="269">
        <f>U34/U30</f>
        <v>891</v>
      </c>
      <c r="V35" s="269">
        <f>V34/V30</f>
        <v>841.5</v>
      </c>
      <c r="X35" s="269"/>
      <c r="Y35" s="269"/>
      <c r="Z35" s="334"/>
      <c r="AA35" s="334"/>
      <c r="AB35" s="334"/>
      <c r="AC35" s="334"/>
      <c r="AD35" s="334"/>
      <c r="AF35" s="273"/>
      <c r="AG35" s="273"/>
      <c r="AH35" s="273"/>
      <c r="AI35" s="273"/>
      <c r="AJ35" s="273"/>
    </row>
    <row r="36" spans="1:36" x14ac:dyDescent="0.35">
      <c r="A36" s="267"/>
      <c r="B36" s="315"/>
      <c r="G36" s="269"/>
      <c r="O36" s="330" t="s">
        <v>65</v>
      </c>
      <c r="P36" s="272"/>
      <c r="Q36" s="287" t="s">
        <v>83</v>
      </c>
      <c r="T36" s="287" t="s">
        <v>78</v>
      </c>
      <c r="U36" s="287" t="s">
        <v>78</v>
      </c>
      <c r="V36" s="287" t="s">
        <v>78</v>
      </c>
      <c r="W36" s="273"/>
      <c r="X36" s="273"/>
      <c r="Y36" s="273"/>
      <c r="AB36" s="267"/>
      <c r="AC36" s="267"/>
      <c r="AF36" s="282"/>
      <c r="AG36" s="282"/>
      <c r="AH36" s="282"/>
      <c r="AI36" s="282"/>
      <c r="AJ36" s="282"/>
    </row>
    <row r="37" spans="1:36" s="272" customFormat="1" ht="17.25" customHeight="1" x14ac:dyDescent="0.35">
      <c r="A37" s="267"/>
      <c r="B37" s="315"/>
      <c r="C37" s="269"/>
      <c r="D37" s="267"/>
      <c r="E37" s="316"/>
      <c r="F37" s="267"/>
      <c r="G37" s="269"/>
      <c r="H37" s="267"/>
      <c r="I37" s="267"/>
      <c r="J37" s="315"/>
      <c r="K37" s="267"/>
      <c r="L37" s="267"/>
      <c r="M37" s="269"/>
      <c r="N37" s="269"/>
      <c r="O37" s="267">
        <f>O30-(O30*O35)</f>
        <v>891</v>
      </c>
      <c r="P37" s="267"/>
      <c r="Q37" s="267">
        <f>(O37-(O37*Q35))-K30</f>
        <v>564.27142857142849</v>
      </c>
      <c r="R37" s="267"/>
      <c r="S37" s="269"/>
      <c r="T37" s="269">
        <f>(T34-T32)-(T34*$Q$28)</f>
        <v>25433.156428571427</v>
      </c>
      <c r="U37" s="269">
        <f t="shared" ref="U37:V37" si="7">(U34-U32)-(U34*$Q$28)</f>
        <v>46750.882857142853</v>
      </c>
      <c r="V37" s="269">
        <f t="shared" si="7"/>
        <v>85270.905714285705</v>
      </c>
      <c r="W37" s="269"/>
      <c r="X37" s="269"/>
      <c r="Y37" s="269"/>
      <c r="AF37" s="335"/>
      <c r="AG37" s="335"/>
      <c r="AH37" s="335"/>
      <c r="AI37" s="335"/>
      <c r="AJ37" s="335"/>
    </row>
    <row r="38" spans="1:36" x14ac:dyDescent="0.35">
      <c r="A38" s="267"/>
      <c r="B38" s="315"/>
      <c r="G38" s="269"/>
      <c r="M38" s="273"/>
      <c r="N38" s="273"/>
      <c r="O38" s="272"/>
      <c r="P38" s="272"/>
      <c r="R38" s="272"/>
      <c r="S38" s="273"/>
      <c r="T38" s="269">
        <f>T37/T30</f>
        <v>508.66312857142856</v>
      </c>
      <c r="U38" s="269">
        <f>U37/U30</f>
        <v>467.50882857142852</v>
      </c>
      <c r="V38" s="269">
        <f>V37/V30</f>
        <v>426.35452857142855</v>
      </c>
      <c r="X38" s="269"/>
      <c r="Y38" s="269"/>
      <c r="Z38" s="269"/>
      <c r="AA38" s="269"/>
      <c r="AD38" s="269"/>
      <c r="AF38" s="273"/>
      <c r="AG38" s="273"/>
      <c r="AH38" s="273"/>
      <c r="AI38" s="273"/>
      <c r="AJ38" s="273"/>
    </row>
    <row r="39" spans="1:36" x14ac:dyDescent="0.35">
      <c r="A39" s="267"/>
      <c r="B39" s="315"/>
      <c r="C39" s="272"/>
      <c r="D39" s="272"/>
      <c r="E39" s="273"/>
      <c r="F39" s="272"/>
      <c r="G39" s="273"/>
      <c r="H39" s="272"/>
      <c r="I39" s="272"/>
      <c r="J39" s="272"/>
      <c r="Q39" s="272"/>
      <c r="T39" s="288" t="s">
        <v>65</v>
      </c>
      <c r="U39" s="288" t="s">
        <v>65</v>
      </c>
      <c r="V39" s="288" t="s">
        <v>65</v>
      </c>
      <c r="X39" s="269"/>
      <c r="Y39" s="269"/>
      <c r="Z39" s="334"/>
      <c r="AA39" s="334"/>
      <c r="AB39" s="334"/>
      <c r="AC39" s="334"/>
      <c r="AD39" s="334"/>
      <c r="AF39" s="273"/>
      <c r="AG39" s="273"/>
      <c r="AH39" s="273"/>
      <c r="AI39" s="273"/>
      <c r="AJ39" s="273"/>
    </row>
    <row r="40" spans="1:36" x14ac:dyDescent="0.35">
      <c r="A40" s="267"/>
      <c r="B40" s="315"/>
      <c r="G40" s="269"/>
      <c r="H40" s="272"/>
      <c r="I40" s="272"/>
      <c r="J40" s="272"/>
      <c r="T40" s="269">
        <f>T34-(T34*T41)</f>
        <v>42322.5</v>
      </c>
      <c r="U40" s="269">
        <f>U34-(U34*U41)</f>
        <v>80190</v>
      </c>
      <c r="V40" s="269">
        <f>V34-(V34*V41)</f>
        <v>151470</v>
      </c>
      <c r="X40" s="269"/>
      <c r="Y40" s="269"/>
      <c r="AB40" s="267"/>
      <c r="AC40" s="267"/>
      <c r="AF40" s="282"/>
      <c r="AG40" s="282"/>
      <c r="AH40" s="282"/>
      <c r="AI40" s="282"/>
      <c r="AJ40" s="282"/>
    </row>
    <row r="41" spans="1:36" s="272" customFormat="1" ht="17.25" customHeight="1" x14ac:dyDescent="0.35">
      <c r="A41" s="267"/>
      <c r="B41" s="315"/>
      <c r="C41" s="273"/>
      <c r="E41" s="273"/>
      <c r="K41" s="267"/>
      <c r="L41" s="267"/>
      <c r="M41" s="269"/>
      <c r="N41" s="269"/>
      <c r="O41" s="267"/>
      <c r="P41" s="267"/>
      <c r="Q41" s="267"/>
      <c r="R41" s="267"/>
      <c r="S41" s="269"/>
      <c r="T41" s="333">
        <f t="shared" ref="T41:V41" si="8">$O$12</f>
        <v>0.1</v>
      </c>
      <c r="U41" s="333">
        <f t="shared" si="8"/>
        <v>0.1</v>
      </c>
      <c r="V41" s="333">
        <f t="shared" si="8"/>
        <v>0.1</v>
      </c>
      <c r="W41" s="333"/>
      <c r="X41" s="333"/>
      <c r="Y41" s="333"/>
      <c r="AF41" s="335"/>
      <c r="AG41" s="335"/>
      <c r="AH41" s="335"/>
      <c r="AI41" s="335"/>
      <c r="AJ41" s="335"/>
    </row>
    <row r="42" spans="1:36" x14ac:dyDescent="0.35">
      <c r="A42" s="267"/>
      <c r="B42" s="315"/>
      <c r="C42" s="273"/>
      <c r="D42" s="272"/>
      <c r="E42" s="273"/>
      <c r="F42" s="272"/>
      <c r="G42" s="272"/>
      <c r="H42" s="272"/>
      <c r="I42" s="272"/>
      <c r="J42" s="272"/>
      <c r="M42" s="269">
        <f>K32*130</f>
        <v>0</v>
      </c>
      <c r="T42" s="269">
        <f>T40/T30</f>
        <v>846.45</v>
      </c>
      <c r="U42" s="269">
        <f>U40/U30</f>
        <v>801.9</v>
      </c>
      <c r="V42" s="269">
        <f>V40/V30</f>
        <v>757.35</v>
      </c>
      <c r="X42" s="269"/>
      <c r="Y42" s="269"/>
      <c r="Z42" s="269"/>
      <c r="AA42" s="269"/>
      <c r="AD42" s="269"/>
      <c r="AF42" s="273"/>
      <c r="AG42" s="273"/>
      <c r="AH42" s="273"/>
      <c r="AI42" s="273"/>
      <c r="AJ42" s="273"/>
    </row>
    <row r="43" spans="1:36" x14ac:dyDescent="0.35">
      <c r="A43" s="267"/>
      <c r="B43" s="315"/>
      <c r="C43" s="273"/>
      <c r="D43" s="272"/>
      <c r="E43" s="273"/>
      <c r="F43" s="272"/>
      <c r="G43" s="272"/>
      <c r="H43" s="272"/>
      <c r="I43" s="272"/>
      <c r="J43" s="272"/>
      <c r="T43" s="287" t="s">
        <v>81</v>
      </c>
      <c r="U43" s="287" t="s">
        <v>81</v>
      </c>
      <c r="V43" s="287" t="s">
        <v>81</v>
      </c>
      <c r="W43" s="273"/>
      <c r="X43" s="273"/>
      <c r="Y43" s="273"/>
      <c r="Z43" s="334"/>
      <c r="AA43" s="334"/>
      <c r="AB43" s="334"/>
      <c r="AC43" s="334"/>
      <c r="AD43" s="334"/>
      <c r="AF43" s="273"/>
      <c r="AG43" s="273"/>
      <c r="AH43" s="273"/>
      <c r="AI43" s="273"/>
      <c r="AJ43" s="273"/>
    </row>
    <row r="44" spans="1:36" x14ac:dyDescent="0.35">
      <c r="A44" s="267"/>
      <c r="B44" s="315"/>
      <c r="C44" s="273"/>
      <c r="D44" s="272"/>
      <c r="E44" s="273"/>
      <c r="F44" s="272"/>
      <c r="G44" s="272"/>
      <c r="H44" s="272"/>
      <c r="I44" s="272"/>
      <c r="J44" s="272"/>
      <c r="M44" s="273"/>
      <c r="N44" s="273"/>
      <c r="Q44" s="267" t="s">
        <v>304</v>
      </c>
      <c r="R44" s="272"/>
      <c r="S44" s="273"/>
      <c r="T44" s="269">
        <f>T40-(T40*$Q$12)-T32</f>
        <v>26119.721428571429</v>
      </c>
      <c r="U44" s="269">
        <f>U40-(U40*$Q$12)-U32</f>
        <v>48051.742857142861</v>
      </c>
      <c r="V44" s="269">
        <f>V40-(V40*$Q$117)-V32</f>
        <v>85289.418714285712</v>
      </c>
      <c r="X44" s="269"/>
      <c r="Y44" s="269"/>
      <c r="AB44" s="267"/>
      <c r="AC44" s="267"/>
      <c r="AF44" s="282"/>
      <c r="AG44" s="282"/>
      <c r="AH44" s="282"/>
      <c r="AI44" s="282"/>
      <c r="AJ44" s="282"/>
    </row>
    <row r="45" spans="1:36" s="272" customFormat="1" ht="17.25" customHeight="1" x14ac:dyDescent="0.35">
      <c r="A45" s="267"/>
      <c r="B45" s="273"/>
      <c r="C45" s="273"/>
      <c r="D45" s="273"/>
      <c r="E45" s="273"/>
      <c r="F45" s="273"/>
      <c r="G45" s="267"/>
      <c r="H45" s="267"/>
      <c r="I45" s="267"/>
      <c r="J45" s="267"/>
      <c r="K45" s="267"/>
      <c r="L45" s="267"/>
      <c r="M45" s="269"/>
      <c r="N45" s="269"/>
      <c r="O45" s="269" t="s">
        <v>302</v>
      </c>
      <c r="P45" s="267"/>
      <c r="Q45" s="268">
        <v>9.2499999999999999E-2</v>
      </c>
      <c r="R45" s="267"/>
      <c r="S45" s="273"/>
      <c r="T45" s="273">
        <f t="shared" ref="T45:V45" si="9">T44/T30</f>
        <v>522.39442857142853</v>
      </c>
      <c r="U45" s="273">
        <f t="shared" si="9"/>
        <v>480.51742857142858</v>
      </c>
      <c r="V45" s="273">
        <f t="shared" si="9"/>
        <v>426.44709357142858</v>
      </c>
      <c r="W45" s="273"/>
      <c r="X45" s="273"/>
      <c r="Y45" s="273"/>
      <c r="AF45" s="335"/>
      <c r="AG45" s="335"/>
      <c r="AH45" s="335"/>
      <c r="AI45" s="335"/>
      <c r="AJ45" s="335"/>
    </row>
    <row r="46" spans="1:36" x14ac:dyDescent="0.35">
      <c r="A46" s="267"/>
      <c r="B46" s="315"/>
      <c r="O46" s="268">
        <v>0.1</v>
      </c>
      <c r="Q46" s="317"/>
      <c r="Z46" s="269"/>
      <c r="AA46" s="269"/>
      <c r="AD46" s="269"/>
      <c r="AF46" s="273"/>
      <c r="AG46" s="273"/>
      <c r="AH46" s="273"/>
      <c r="AI46" s="273"/>
      <c r="AJ46" s="273"/>
    </row>
    <row r="47" spans="1:36" x14ac:dyDescent="0.35">
      <c r="A47" s="267"/>
      <c r="E47" s="269"/>
      <c r="J47" s="267"/>
      <c r="O47" s="270">
        <v>0.1</v>
      </c>
      <c r="Q47" s="318">
        <v>7.6100000000000001E-2</v>
      </c>
      <c r="Z47" s="334"/>
      <c r="AA47" s="334"/>
      <c r="AB47" s="334"/>
      <c r="AC47" s="334"/>
      <c r="AD47" s="334"/>
      <c r="AF47" s="273"/>
      <c r="AG47" s="273"/>
      <c r="AH47" s="273"/>
      <c r="AI47" s="273"/>
      <c r="AJ47" s="273"/>
    </row>
    <row r="48" spans="1:36" x14ac:dyDescent="0.35">
      <c r="A48" s="267"/>
      <c r="E48" s="269"/>
      <c r="J48" s="267"/>
      <c r="M48" s="319">
        <f>(M50-K50)</f>
        <v>555.12114285714301</v>
      </c>
      <c r="O48" s="271">
        <f>O46+O47</f>
        <v>0.2</v>
      </c>
      <c r="Q48" s="271">
        <f>Q46+Q47+Q45</f>
        <v>0.1686</v>
      </c>
      <c r="R48" s="272"/>
      <c r="S48" s="273"/>
      <c r="T48" s="274" t="s">
        <v>76</v>
      </c>
      <c r="U48" s="274" t="s">
        <v>76</v>
      </c>
      <c r="V48" s="274" t="s">
        <v>76</v>
      </c>
      <c r="W48" s="274" t="s">
        <v>76</v>
      </c>
      <c r="X48" s="274" t="s">
        <v>76</v>
      </c>
      <c r="Y48" s="274" t="s">
        <v>76</v>
      </c>
      <c r="AB48" s="267"/>
      <c r="AC48" s="267"/>
      <c r="AF48" s="282"/>
      <c r="AG48" s="282"/>
      <c r="AH48" s="282"/>
      <c r="AI48" s="282"/>
      <c r="AJ48" s="282"/>
    </row>
    <row r="49" spans="1:36" s="272" customFormat="1" ht="17.25" customHeight="1" x14ac:dyDescent="0.35">
      <c r="A49" s="267"/>
      <c r="B49" s="491" t="s">
        <v>212</v>
      </c>
      <c r="C49" s="275" t="s">
        <v>1</v>
      </c>
      <c r="D49" s="320" t="s">
        <v>4</v>
      </c>
      <c r="E49" s="321" t="s">
        <v>5</v>
      </c>
      <c r="F49" s="320"/>
      <c r="G49" s="320"/>
      <c r="H49" s="320"/>
      <c r="I49" s="320"/>
      <c r="J49" s="315"/>
      <c r="K49" s="277" t="s">
        <v>245</v>
      </c>
      <c r="L49" s="278" t="s">
        <v>7</v>
      </c>
      <c r="M49" s="323" t="s">
        <v>80</v>
      </c>
      <c r="N49" s="273"/>
      <c r="O49" s="279" t="s">
        <v>77</v>
      </c>
      <c r="P49" s="279" t="s">
        <v>77</v>
      </c>
      <c r="Q49" s="280" t="s">
        <v>79</v>
      </c>
      <c r="R49" s="267"/>
      <c r="S49" s="269"/>
      <c r="T49" s="271">
        <v>0.05</v>
      </c>
      <c r="U49" s="271">
        <v>0.1</v>
      </c>
      <c r="V49" s="271">
        <v>0.15</v>
      </c>
      <c r="W49" s="271">
        <v>0.2</v>
      </c>
      <c r="X49" s="271">
        <v>0.25</v>
      </c>
      <c r="Y49" s="271">
        <v>0.3</v>
      </c>
      <c r="AF49" s="335"/>
      <c r="AG49" s="335"/>
      <c r="AH49" s="335"/>
      <c r="AI49" s="335"/>
      <c r="AJ49" s="335"/>
    </row>
    <row r="50" spans="1:36" ht="30.75" customHeight="1" x14ac:dyDescent="0.35">
      <c r="A50" s="267"/>
      <c r="B50" s="491"/>
      <c r="C50" s="269">
        <f>C30</f>
        <v>224</v>
      </c>
      <c r="D50" s="267">
        <f>Insumos!G6/28</f>
        <v>8.5685714285714276</v>
      </c>
      <c r="E50" s="316">
        <f>(Insumos!G6/10)+(Insumos!G33/10)</f>
        <v>44.991999999999997</v>
      </c>
      <c r="K50" s="267">
        <f>SUM(C50:E50)</f>
        <v>277.56057142857145</v>
      </c>
      <c r="L50" s="267">
        <f>M50-K50</f>
        <v>555.12114285714301</v>
      </c>
      <c r="M50" s="269">
        <f>K50*3</f>
        <v>832.68171428571441</v>
      </c>
      <c r="O50" s="324">
        <f>ROUNDUP(P50, -1)</f>
        <v>1000</v>
      </c>
      <c r="P50" s="324">
        <f>M50+(M50*O48)</f>
        <v>999.21805714285733</v>
      </c>
      <c r="Q50" s="267">
        <f>O50-(O50*Q48)-K50</f>
        <v>553.83942857142847</v>
      </c>
      <c r="T50" s="337">
        <v>50</v>
      </c>
      <c r="U50" s="337">
        <v>100</v>
      </c>
      <c r="V50" s="337">
        <v>200</v>
      </c>
      <c r="W50" s="337">
        <v>500</v>
      </c>
      <c r="X50" s="337">
        <v>1000</v>
      </c>
      <c r="Y50" s="337">
        <v>2000</v>
      </c>
      <c r="Z50" s="269"/>
      <c r="AA50" s="269"/>
      <c r="AD50" s="269"/>
      <c r="AF50" s="273"/>
      <c r="AG50" s="273"/>
      <c r="AH50" s="273"/>
      <c r="AI50" s="273"/>
      <c r="AJ50" s="273"/>
    </row>
    <row r="51" spans="1:36" x14ac:dyDescent="0.35">
      <c r="A51" s="267"/>
      <c r="E51" s="269"/>
      <c r="J51" s="267"/>
      <c r="T51" s="283" t="s">
        <v>6</v>
      </c>
      <c r="U51" s="283" t="s">
        <v>6</v>
      </c>
      <c r="V51" s="283" t="s">
        <v>6</v>
      </c>
      <c r="W51" s="283" t="s">
        <v>6</v>
      </c>
      <c r="X51" s="283" t="s">
        <v>6</v>
      </c>
      <c r="Y51" s="283" t="s">
        <v>6</v>
      </c>
      <c r="Z51" s="334"/>
      <c r="AA51" s="334"/>
      <c r="AB51" s="334"/>
      <c r="AC51" s="334"/>
      <c r="AD51" s="334"/>
      <c r="AF51" s="273"/>
      <c r="AG51" s="273"/>
      <c r="AH51" s="273"/>
      <c r="AI51" s="273"/>
      <c r="AJ51" s="273"/>
    </row>
    <row r="52" spans="1:36" x14ac:dyDescent="0.35">
      <c r="A52" s="267"/>
      <c r="B52" s="315">
        <v>100</v>
      </c>
      <c r="C52" s="269">
        <f>C32</f>
        <v>0</v>
      </c>
      <c r="D52" s="267">
        <f>D50</f>
        <v>8.5685714285714276</v>
      </c>
      <c r="E52" s="316">
        <f>E50</f>
        <v>44.991999999999997</v>
      </c>
      <c r="G52" s="269"/>
      <c r="K52" s="267">
        <f>SUM(C52:E52)</f>
        <v>53.560571428571421</v>
      </c>
      <c r="L52" s="272"/>
      <c r="T52" s="269">
        <f>K50*T50</f>
        <v>13878.028571428573</v>
      </c>
      <c r="U52" s="269">
        <f>K52*U50</f>
        <v>5356.057142857142</v>
      </c>
      <c r="V52" s="269">
        <f>K54*V50</f>
        <v>10712.114285714284</v>
      </c>
      <c r="W52" s="269">
        <f>K56*W50</f>
        <v>26780.28571428571</v>
      </c>
      <c r="X52" s="269">
        <f>K58*X50</f>
        <v>53560.57142857142</v>
      </c>
      <c r="Y52" s="269">
        <f>K60*Y50</f>
        <v>107121.14285714284</v>
      </c>
      <c r="AB52" s="267"/>
      <c r="AC52" s="267"/>
      <c r="AF52" s="282"/>
      <c r="AG52" s="282"/>
      <c r="AH52" s="282"/>
      <c r="AI52" s="282"/>
      <c r="AJ52" s="282"/>
    </row>
    <row r="53" spans="1:36" s="272" customFormat="1" ht="17.25" customHeight="1" x14ac:dyDescent="0.35">
      <c r="A53" s="267"/>
      <c r="B53" s="315"/>
      <c r="C53" s="269"/>
      <c r="D53" s="267"/>
      <c r="E53" s="316"/>
      <c r="F53" s="267"/>
      <c r="G53" s="269"/>
      <c r="H53" s="267"/>
      <c r="I53" s="267"/>
      <c r="J53" s="315"/>
      <c r="K53" s="267"/>
      <c r="L53" s="267"/>
      <c r="M53" s="269"/>
      <c r="N53" s="269"/>
      <c r="O53" s="267"/>
      <c r="P53" s="267"/>
      <c r="Q53" s="268"/>
      <c r="R53" s="267"/>
      <c r="S53" s="269"/>
      <c r="T53" s="285" t="s">
        <v>77</v>
      </c>
      <c r="U53" s="285" t="s">
        <v>77</v>
      </c>
      <c r="V53" s="285" t="s">
        <v>77</v>
      </c>
      <c r="W53" s="285" t="s">
        <v>77</v>
      </c>
      <c r="X53" s="285" t="s">
        <v>77</v>
      </c>
      <c r="Y53" s="285" t="s">
        <v>77</v>
      </c>
      <c r="AF53" s="335"/>
      <c r="AG53" s="335"/>
      <c r="AH53" s="335"/>
      <c r="AI53" s="335"/>
      <c r="AJ53" s="335"/>
    </row>
    <row r="54" spans="1:36" x14ac:dyDescent="0.35">
      <c r="A54" s="267"/>
      <c r="B54" s="315">
        <v>200</v>
      </c>
      <c r="C54" s="269">
        <f>C34</f>
        <v>0</v>
      </c>
      <c r="D54" s="267">
        <f>D52</f>
        <v>8.5685714285714276</v>
      </c>
      <c r="E54" s="316">
        <f>E50</f>
        <v>44.991999999999997</v>
      </c>
      <c r="G54" s="269"/>
      <c r="K54" s="267">
        <f>SUM(C54:E54)</f>
        <v>53.560571428571421</v>
      </c>
      <c r="M54" s="315">
        <v>0.2</v>
      </c>
      <c r="N54" s="315"/>
      <c r="O54" s="326" t="s">
        <v>303</v>
      </c>
      <c r="Q54" s="327" t="s">
        <v>174</v>
      </c>
      <c r="T54" s="286">
        <f t="shared" ref="T54:Y54" si="10">($O50*T50)-(($O50*T50)*T49)</f>
        <v>47500</v>
      </c>
      <c r="U54" s="286">
        <f t="shared" si="10"/>
        <v>90000</v>
      </c>
      <c r="V54" s="286">
        <f t="shared" si="10"/>
        <v>170000</v>
      </c>
      <c r="W54" s="286">
        <f t="shared" si="10"/>
        <v>400000</v>
      </c>
      <c r="X54" s="286">
        <f t="shared" si="10"/>
        <v>750000</v>
      </c>
      <c r="Y54" s="286">
        <f t="shared" si="10"/>
        <v>1400000</v>
      </c>
      <c r="Z54" s="269"/>
      <c r="AA54" s="269"/>
      <c r="AD54" s="269"/>
      <c r="AF54" s="273"/>
      <c r="AG54" s="273"/>
      <c r="AH54" s="273"/>
      <c r="AI54" s="273"/>
      <c r="AJ54" s="273"/>
    </row>
    <row r="55" spans="1:36" x14ac:dyDescent="0.35">
      <c r="A55" s="267"/>
      <c r="B55" s="315"/>
      <c r="D55" s="272"/>
      <c r="E55" s="273"/>
      <c r="F55" s="272"/>
      <c r="G55" s="269"/>
      <c r="O55" s="328">
        <v>0.1</v>
      </c>
      <c r="Q55" s="329">
        <v>0.06</v>
      </c>
      <c r="T55" s="269">
        <f>T54/T50</f>
        <v>950</v>
      </c>
      <c r="U55" s="269">
        <f t="shared" ref="U55:Y55" si="11">U54/U50</f>
        <v>900</v>
      </c>
      <c r="V55" s="269">
        <f t="shared" si="11"/>
        <v>850</v>
      </c>
      <c r="W55" s="269">
        <f t="shared" si="11"/>
        <v>800</v>
      </c>
      <c r="X55" s="269">
        <f t="shared" si="11"/>
        <v>750</v>
      </c>
      <c r="Y55" s="269">
        <f t="shared" si="11"/>
        <v>700</v>
      </c>
      <c r="Z55" s="334"/>
      <c r="AA55" s="334"/>
      <c r="AB55" s="334"/>
      <c r="AC55" s="334"/>
      <c r="AD55" s="334"/>
      <c r="AF55" s="273"/>
      <c r="AG55" s="273"/>
      <c r="AH55" s="273"/>
      <c r="AI55" s="273"/>
      <c r="AJ55" s="273"/>
    </row>
    <row r="56" spans="1:36" x14ac:dyDescent="0.35">
      <c r="A56" s="267"/>
      <c r="B56" s="315">
        <v>500</v>
      </c>
      <c r="C56" s="269">
        <f>C36</f>
        <v>0</v>
      </c>
      <c r="D56" s="267">
        <f>D54</f>
        <v>8.5685714285714276</v>
      </c>
      <c r="E56" s="316">
        <f>E50</f>
        <v>44.991999999999997</v>
      </c>
      <c r="G56" s="269"/>
      <c r="K56" s="267">
        <f>SUM(C56:E56)</f>
        <v>53.560571428571421</v>
      </c>
      <c r="L56" s="272"/>
      <c r="O56" s="330" t="s">
        <v>65</v>
      </c>
      <c r="P56" s="272"/>
      <c r="Q56" s="287" t="s">
        <v>83</v>
      </c>
      <c r="T56" s="287" t="s">
        <v>78</v>
      </c>
      <c r="U56" s="287" t="s">
        <v>78</v>
      </c>
      <c r="V56" s="287" t="s">
        <v>78</v>
      </c>
      <c r="W56" s="287" t="s">
        <v>78</v>
      </c>
      <c r="X56" s="287" t="s">
        <v>78</v>
      </c>
      <c r="Y56" s="287" t="s">
        <v>78</v>
      </c>
      <c r="AB56" s="267"/>
      <c r="AC56" s="267"/>
      <c r="AF56" s="282"/>
      <c r="AG56" s="282"/>
      <c r="AH56" s="282"/>
      <c r="AI56" s="282"/>
      <c r="AJ56" s="282"/>
    </row>
    <row r="57" spans="1:36" s="272" customFormat="1" ht="17.25" customHeight="1" x14ac:dyDescent="0.35">
      <c r="A57" s="267"/>
      <c r="B57" s="315"/>
      <c r="C57" s="269"/>
      <c r="D57" s="267"/>
      <c r="E57" s="316"/>
      <c r="F57" s="267"/>
      <c r="G57" s="269"/>
      <c r="H57" s="267"/>
      <c r="I57" s="267"/>
      <c r="J57" s="315"/>
      <c r="K57" s="267"/>
      <c r="L57" s="267"/>
      <c r="M57" s="269"/>
      <c r="N57" s="269"/>
      <c r="O57" s="267">
        <f>O50-(O50*O55)</f>
        <v>900</v>
      </c>
      <c r="P57" s="267"/>
      <c r="Q57" s="267">
        <f>(O57-(O57*Q55))-K50</f>
        <v>568.43942857142861</v>
      </c>
      <c r="R57" s="267"/>
      <c r="S57" s="269"/>
      <c r="T57" s="269">
        <f t="shared" ref="T57:Y57" si="12">(T54-T52)-(T54*$Q$28)</f>
        <v>25613.471428571429</v>
      </c>
      <c r="U57" s="269">
        <f t="shared" si="12"/>
        <v>69469.942857142858</v>
      </c>
      <c r="V57" s="269">
        <f t="shared" si="12"/>
        <v>130625.88571428572</v>
      </c>
      <c r="W57" s="269">
        <f t="shared" si="12"/>
        <v>305779.71428571432</v>
      </c>
      <c r="X57" s="269">
        <f t="shared" si="12"/>
        <v>569989.42857142864</v>
      </c>
      <c r="Y57" s="269">
        <f t="shared" si="12"/>
        <v>1056838.8571428573</v>
      </c>
      <c r="AF57" s="335"/>
      <c r="AG57" s="335"/>
      <c r="AH57" s="335"/>
      <c r="AI57" s="335"/>
      <c r="AJ57" s="335"/>
    </row>
    <row r="58" spans="1:36" x14ac:dyDescent="0.35">
      <c r="A58" s="267"/>
      <c r="B58" s="315">
        <v>1000</v>
      </c>
      <c r="C58" s="269">
        <f>C38</f>
        <v>0</v>
      </c>
      <c r="D58" s="267">
        <f>D56</f>
        <v>8.5685714285714276</v>
      </c>
      <c r="E58" s="316">
        <f>E50</f>
        <v>44.991999999999997</v>
      </c>
      <c r="G58" s="269"/>
      <c r="K58" s="267">
        <f>SUM(C58:E58)</f>
        <v>53.560571428571421</v>
      </c>
      <c r="M58" s="273"/>
      <c r="N58" s="273"/>
      <c r="O58" s="272"/>
      <c r="P58" s="272"/>
      <c r="R58" s="272"/>
      <c r="S58" s="273"/>
      <c r="T58" s="269">
        <f>T57/T50</f>
        <v>512.26942857142853</v>
      </c>
      <c r="U58" s="269">
        <f>U57/U50</f>
        <v>694.6994285714286</v>
      </c>
      <c r="V58" s="269">
        <f>V57/V50</f>
        <v>653.12942857142855</v>
      </c>
      <c r="W58" s="269">
        <f>W57/W50</f>
        <v>611.55942857142861</v>
      </c>
      <c r="X58" s="269">
        <f t="shared" ref="X58:Y58" si="13">X57/X50</f>
        <v>569.98942857142868</v>
      </c>
      <c r="Y58" s="269">
        <f t="shared" si="13"/>
        <v>528.41942857142863</v>
      </c>
      <c r="Z58" s="269"/>
      <c r="AA58" s="269"/>
      <c r="AD58" s="269"/>
      <c r="AF58" s="273"/>
      <c r="AG58" s="273"/>
      <c r="AH58" s="273"/>
      <c r="AI58" s="273"/>
      <c r="AJ58" s="273"/>
    </row>
    <row r="59" spans="1:36" x14ac:dyDescent="0.35">
      <c r="A59" s="267"/>
      <c r="B59" s="315"/>
      <c r="C59" s="273"/>
      <c r="D59" s="272"/>
      <c r="E59" s="273"/>
      <c r="F59" s="272"/>
      <c r="G59" s="273"/>
      <c r="H59" s="272"/>
      <c r="I59" s="272"/>
      <c r="J59" s="272"/>
      <c r="Q59" s="272"/>
      <c r="T59" s="288" t="s">
        <v>65</v>
      </c>
      <c r="U59" s="288" t="s">
        <v>65</v>
      </c>
      <c r="V59" s="288" t="s">
        <v>65</v>
      </c>
      <c r="W59" s="288" t="s">
        <v>65</v>
      </c>
      <c r="X59" s="288" t="s">
        <v>65</v>
      </c>
      <c r="Y59" s="288" t="s">
        <v>65</v>
      </c>
      <c r="Z59" s="334"/>
      <c r="AA59" s="334"/>
      <c r="AB59" s="334"/>
      <c r="AC59" s="334"/>
      <c r="AD59" s="334"/>
      <c r="AF59" s="273"/>
      <c r="AG59" s="273"/>
      <c r="AH59" s="273"/>
      <c r="AI59" s="273"/>
      <c r="AJ59" s="273"/>
    </row>
    <row r="60" spans="1:36" x14ac:dyDescent="0.35">
      <c r="A60" s="267"/>
      <c r="B60" s="315">
        <v>2000</v>
      </c>
      <c r="C60" s="269">
        <f>C40</f>
        <v>0</v>
      </c>
      <c r="D60" s="267">
        <f>D58</f>
        <v>8.5685714285714276</v>
      </c>
      <c r="E60" s="316">
        <f>E50</f>
        <v>44.991999999999997</v>
      </c>
      <c r="G60" s="269"/>
      <c r="H60" s="272"/>
      <c r="I60" s="272"/>
      <c r="J60" s="272"/>
      <c r="K60" s="267">
        <f>SUM(C60:E60)</f>
        <v>53.560571428571421</v>
      </c>
      <c r="T60" s="269">
        <f>T54-(T54*T61)</f>
        <v>42750</v>
      </c>
      <c r="U60" s="269">
        <f>U54-(U54*U61)</f>
        <v>81000</v>
      </c>
      <c r="V60" s="269">
        <f>V54-(V54*V61)</f>
        <v>153000</v>
      </c>
      <c r="W60" s="269">
        <f>W54-(W54*W61)</f>
        <v>360000</v>
      </c>
      <c r="X60" s="269">
        <f t="shared" ref="X60:Y60" si="14">X54-(X54*X61)</f>
        <v>675000</v>
      </c>
      <c r="Y60" s="269">
        <f t="shared" si="14"/>
        <v>1260000</v>
      </c>
      <c r="AB60" s="267"/>
      <c r="AC60" s="267"/>
      <c r="AF60" s="282"/>
      <c r="AG60" s="282"/>
      <c r="AH60" s="282"/>
      <c r="AI60" s="282"/>
      <c r="AJ60" s="282"/>
    </row>
    <row r="61" spans="1:36" s="272" customFormat="1" ht="17.25" customHeight="1" x14ac:dyDescent="0.35">
      <c r="A61" s="267"/>
      <c r="B61" s="315"/>
      <c r="C61" s="273"/>
      <c r="E61" s="273"/>
      <c r="K61" s="267"/>
      <c r="L61" s="267"/>
      <c r="M61" s="269"/>
      <c r="N61" s="269"/>
      <c r="O61" s="267"/>
      <c r="P61" s="267"/>
      <c r="Q61" s="267"/>
      <c r="R61" s="267"/>
      <c r="S61" s="269"/>
      <c r="T61" s="333">
        <f t="shared" ref="T61:Y61" si="15">$O$12</f>
        <v>0.1</v>
      </c>
      <c r="U61" s="333">
        <f t="shared" si="15"/>
        <v>0.1</v>
      </c>
      <c r="V61" s="333">
        <f t="shared" si="15"/>
        <v>0.1</v>
      </c>
      <c r="W61" s="333">
        <f t="shared" si="15"/>
        <v>0.1</v>
      </c>
      <c r="X61" s="333">
        <f t="shared" si="15"/>
        <v>0.1</v>
      </c>
      <c r="Y61" s="333">
        <f t="shared" si="15"/>
        <v>0.1</v>
      </c>
      <c r="AF61" s="335"/>
      <c r="AG61" s="335"/>
      <c r="AH61" s="335"/>
      <c r="AI61" s="335"/>
      <c r="AJ61" s="335"/>
    </row>
    <row r="62" spans="1:36" x14ac:dyDescent="0.35">
      <c r="A62" s="267"/>
      <c r="B62" s="315"/>
      <c r="C62" s="273"/>
      <c r="D62" s="272"/>
      <c r="E62" s="273"/>
      <c r="F62" s="272"/>
      <c r="G62" s="272"/>
      <c r="H62" s="272"/>
      <c r="I62" s="272"/>
      <c r="J62" s="272"/>
      <c r="T62" s="269">
        <f>T60/T50</f>
        <v>855</v>
      </c>
      <c r="U62" s="269">
        <f>U60/U50</f>
        <v>810</v>
      </c>
      <c r="V62" s="269">
        <f>V60/V50</f>
        <v>765</v>
      </c>
      <c r="W62" s="269">
        <f>W60/W50</f>
        <v>720</v>
      </c>
      <c r="X62" s="269">
        <f t="shared" ref="X62:Y62" si="16">X60/X50</f>
        <v>675</v>
      </c>
      <c r="Y62" s="269">
        <f t="shared" si="16"/>
        <v>630</v>
      </c>
      <c r="Z62" s="269"/>
      <c r="AA62" s="269"/>
      <c r="AD62" s="269"/>
      <c r="AF62" s="273"/>
      <c r="AG62" s="273"/>
      <c r="AH62" s="273"/>
      <c r="AI62" s="273"/>
      <c r="AJ62" s="273"/>
    </row>
    <row r="63" spans="1:36" x14ac:dyDescent="0.35">
      <c r="A63" s="267"/>
      <c r="B63" s="315"/>
      <c r="C63" s="273"/>
      <c r="D63" s="272"/>
      <c r="E63" s="273"/>
      <c r="F63" s="272"/>
      <c r="G63" s="272"/>
      <c r="H63" s="272"/>
      <c r="I63" s="272"/>
      <c r="J63" s="272"/>
      <c r="T63" s="287" t="s">
        <v>81</v>
      </c>
      <c r="U63" s="287" t="s">
        <v>81</v>
      </c>
      <c r="V63" s="287" t="s">
        <v>81</v>
      </c>
      <c r="W63" s="287" t="s">
        <v>81</v>
      </c>
      <c r="X63" s="287" t="s">
        <v>81</v>
      </c>
      <c r="Y63" s="287" t="s">
        <v>81</v>
      </c>
      <c r="Z63" s="334"/>
      <c r="AA63" s="334"/>
      <c r="AB63" s="334"/>
      <c r="AC63" s="334"/>
      <c r="AD63" s="334"/>
      <c r="AF63" s="273"/>
      <c r="AG63" s="273"/>
      <c r="AH63" s="273"/>
      <c r="AI63" s="273"/>
      <c r="AJ63" s="273"/>
    </row>
    <row r="64" spans="1:36" x14ac:dyDescent="0.35">
      <c r="A64" s="267"/>
      <c r="B64" s="315"/>
      <c r="C64" s="273"/>
      <c r="D64" s="272"/>
      <c r="E64" s="273"/>
      <c r="F64" s="272"/>
      <c r="G64" s="272"/>
      <c r="H64" s="272"/>
      <c r="I64" s="272"/>
      <c r="J64" s="272"/>
      <c r="L64" s="272"/>
      <c r="M64" s="273"/>
      <c r="N64" s="273"/>
      <c r="O64" s="272"/>
      <c r="P64" s="272"/>
      <c r="R64" s="272"/>
      <c r="S64" s="273"/>
      <c r="T64" s="269">
        <f>T60-(T60*$Q$12)-T52</f>
        <v>26306.971428571429</v>
      </c>
      <c r="U64" s="269">
        <f>U60-(U60*$Q$12)-U52</f>
        <v>70783.942857142858</v>
      </c>
      <c r="V64" s="269">
        <f>V60-(V60*$Q$117)-V52</f>
        <v>130644.58571428573</v>
      </c>
      <c r="W64" s="269">
        <f>W60-(W60*$Q$117)-W52</f>
        <v>305823.71428571432</v>
      </c>
      <c r="X64" s="269">
        <f>X60-(X60*$Q$117)-X52</f>
        <v>570071.92857142864</v>
      </c>
      <c r="Y64" s="269">
        <f>Y60-(Y60*$Q$117)-Y52</f>
        <v>1056992.8571428573</v>
      </c>
      <c r="AB64" s="267"/>
      <c r="AC64" s="267"/>
      <c r="AF64" s="282"/>
      <c r="AG64" s="282"/>
      <c r="AH64" s="282"/>
      <c r="AI64" s="282"/>
      <c r="AJ64" s="282"/>
    </row>
    <row r="65" spans="1:36" s="272" customFormat="1" ht="17.25" customHeight="1" x14ac:dyDescent="0.35">
      <c r="A65" s="267"/>
      <c r="B65" s="315"/>
      <c r="C65" s="273"/>
      <c r="E65" s="273"/>
      <c r="K65" s="267"/>
      <c r="L65" s="267"/>
      <c r="M65" s="269"/>
      <c r="N65" s="269"/>
      <c r="O65" s="267"/>
      <c r="P65" s="267"/>
      <c r="Q65" s="267"/>
      <c r="R65" s="267"/>
      <c r="S65" s="269"/>
      <c r="T65" s="273">
        <f t="shared" ref="T65:Y65" si="17">T64/T50</f>
        <v>526.13942857142854</v>
      </c>
      <c r="U65" s="273">
        <f t="shared" si="17"/>
        <v>707.83942857142858</v>
      </c>
      <c r="V65" s="273">
        <f t="shared" si="17"/>
        <v>653.22292857142861</v>
      </c>
      <c r="W65" s="273">
        <f t="shared" si="17"/>
        <v>611.64742857142869</v>
      </c>
      <c r="X65" s="273">
        <f t="shared" si="17"/>
        <v>570.07192857142866</v>
      </c>
      <c r="Y65" s="273">
        <f t="shared" si="17"/>
        <v>528.49642857142862</v>
      </c>
      <c r="AF65" s="335"/>
      <c r="AG65" s="335"/>
      <c r="AH65" s="335"/>
      <c r="AI65" s="335"/>
      <c r="AJ65" s="335"/>
    </row>
    <row r="66" spans="1:36" x14ac:dyDescent="0.35">
      <c r="A66" s="267"/>
      <c r="B66" s="273"/>
      <c r="C66" s="273"/>
      <c r="D66" s="273"/>
      <c r="E66" s="273"/>
      <c r="F66" s="273"/>
      <c r="J66" s="267"/>
      <c r="Q66" s="267" t="s">
        <v>304</v>
      </c>
      <c r="S66" s="273"/>
      <c r="T66" s="273"/>
      <c r="U66" s="273"/>
      <c r="V66" s="273"/>
      <c r="W66" s="273"/>
      <c r="X66" s="272"/>
      <c r="Y66" s="272"/>
      <c r="Z66" s="269"/>
      <c r="AA66" s="269"/>
      <c r="AD66" s="269"/>
      <c r="AF66" s="273"/>
      <c r="AG66" s="273"/>
      <c r="AH66" s="273"/>
      <c r="AI66" s="273"/>
      <c r="AJ66" s="273"/>
    </row>
    <row r="67" spans="1:36" x14ac:dyDescent="0.35">
      <c r="A67" s="267"/>
      <c r="B67" s="315"/>
      <c r="C67" s="273"/>
      <c r="D67" s="272"/>
      <c r="E67" s="273"/>
      <c r="F67" s="272"/>
      <c r="H67" s="272"/>
      <c r="I67" s="272"/>
      <c r="J67" s="272"/>
      <c r="O67" s="269" t="s">
        <v>302</v>
      </c>
      <c r="Q67" s="268">
        <v>9.2499999999999999E-2</v>
      </c>
      <c r="Z67" s="334"/>
      <c r="AA67" s="334"/>
      <c r="AB67" s="334"/>
      <c r="AC67" s="334"/>
      <c r="AD67" s="334"/>
      <c r="AF67" s="273"/>
      <c r="AG67" s="273"/>
      <c r="AH67" s="273"/>
      <c r="AI67" s="273"/>
      <c r="AJ67" s="273"/>
    </row>
    <row r="68" spans="1:36" x14ac:dyDescent="0.35">
      <c r="A68" s="267"/>
      <c r="B68" s="315"/>
      <c r="C68" s="273"/>
      <c r="D68" s="272"/>
      <c r="E68" s="273"/>
      <c r="F68" s="272"/>
      <c r="G68" s="272"/>
      <c r="H68" s="272"/>
      <c r="I68" s="272"/>
      <c r="J68" s="272"/>
      <c r="O68" s="268">
        <v>0.1</v>
      </c>
      <c r="Q68" s="317"/>
      <c r="AB68" s="267"/>
      <c r="AC68" s="267"/>
      <c r="AF68" s="282"/>
      <c r="AG68" s="282"/>
      <c r="AH68" s="282"/>
      <c r="AI68" s="282"/>
      <c r="AJ68" s="282"/>
    </row>
    <row r="69" spans="1:36" s="272" customFormat="1" ht="17.25" customHeight="1" x14ac:dyDescent="0.35">
      <c r="A69" s="267"/>
      <c r="B69" s="273"/>
      <c r="C69" s="273"/>
      <c r="D69" s="273"/>
      <c r="E69" s="273"/>
      <c r="F69" s="273"/>
      <c r="G69" s="267"/>
      <c r="H69" s="267"/>
      <c r="I69" s="267"/>
      <c r="J69" s="267"/>
      <c r="K69" s="267"/>
      <c r="L69" s="267"/>
      <c r="M69" s="269"/>
      <c r="N69" s="269"/>
      <c r="O69" s="270">
        <v>0.1</v>
      </c>
      <c r="P69" s="267"/>
      <c r="Q69" s="318">
        <v>7.6100000000000001E-2</v>
      </c>
      <c r="R69" s="267"/>
      <c r="S69" s="269"/>
      <c r="T69" s="269"/>
      <c r="U69" s="269"/>
      <c r="V69" s="269"/>
      <c r="W69" s="269"/>
      <c r="X69" s="267"/>
      <c r="Y69" s="267"/>
      <c r="AF69" s="335"/>
      <c r="AG69" s="335"/>
      <c r="AH69" s="335"/>
      <c r="AI69" s="335"/>
      <c r="AJ69" s="335"/>
    </row>
    <row r="70" spans="1:36" x14ac:dyDescent="0.35">
      <c r="A70" s="267"/>
      <c r="M70" s="319">
        <f>(M72-K72)</f>
        <v>780.08380952380958</v>
      </c>
      <c r="O70" s="271">
        <f>O68+O69</f>
        <v>0.2</v>
      </c>
      <c r="Q70" s="271">
        <f>Q68+Q69+Q67</f>
        <v>0.1686</v>
      </c>
      <c r="R70" s="272"/>
      <c r="S70" s="273"/>
      <c r="T70" s="274" t="s">
        <v>76</v>
      </c>
      <c r="U70" s="274" t="s">
        <v>76</v>
      </c>
      <c r="V70" s="274" t="s">
        <v>76</v>
      </c>
      <c r="W70" s="274" t="s">
        <v>76</v>
      </c>
      <c r="X70" s="274" t="s">
        <v>76</v>
      </c>
      <c r="Y70" s="274" t="s">
        <v>76</v>
      </c>
      <c r="Z70" s="269"/>
      <c r="AA70" s="269"/>
      <c r="AD70" s="269"/>
      <c r="AF70" s="273"/>
      <c r="AG70" s="273"/>
      <c r="AH70" s="273"/>
      <c r="AI70" s="273"/>
      <c r="AJ70" s="273"/>
    </row>
    <row r="71" spans="1:36" ht="33" customHeight="1" x14ac:dyDescent="0.35">
      <c r="A71" s="267"/>
      <c r="B71" s="495" t="s">
        <v>197</v>
      </c>
      <c r="C71" s="275" t="s">
        <v>1</v>
      </c>
      <c r="D71" s="320" t="s">
        <v>4</v>
      </c>
      <c r="E71" s="321" t="s">
        <v>5</v>
      </c>
      <c r="F71" s="322"/>
      <c r="G71" s="320"/>
      <c r="J71" s="267"/>
      <c r="K71" s="277" t="s">
        <v>245</v>
      </c>
      <c r="L71" s="278" t="s">
        <v>7</v>
      </c>
      <c r="M71" s="323" t="s">
        <v>80</v>
      </c>
      <c r="N71" s="273"/>
      <c r="O71" s="279" t="s">
        <v>77</v>
      </c>
      <c r="P71" s="279" t="s">
        <v>77</v>
      </c>
      <c r="Q71" s="280" t="s">
        <v>79</v>
      </c>
      <c r="T71" s="271">
        <v>0</v>
      </c>
      <c r="U71" s="271">
        <v>0</v>
      </c>
      <c r="V71" s="271">
        <v>0</v>
      </c>
      <c r="W71" s="271">
        <v>0.05</v>
      </c>
      <c r="X71" s="271">
        <v>0.1</v>
      </c>
      <c r="Y71" s="271">
        <v>0.15</v>
      </c>
      <c r="Z71" s="334"/>
      <c r="AA71" s="334"/>
      <c r="AB71" s="334"/>
      <c r="AC71" s="334"/>
      <c r="AD71" s="334"/>
      <c r="AF71" s="273"/>
      <c r="AG71" s="273"/>
      <c r="AH71" s="273"/>
      <c r="AI71" s="273"/>
      <c r="AJ71" s="273"/>
    </row>
    <row r="72" spans="1:36" s="272" customFormat="1" ht="33" customHeight="1" x14ac:dyDescent="0.25">
      <c r="B72" s="495"/>
      <c r="C72" s="273">
        <f>C50</f>
        <v>224</v>
      </c>
      <c r="D72" s="272">
        <f>Insumos!G6/28</f>
        <v>8.5685714285714276</v>
      </c>
      <c r="E72" s="454">
        <f>(Insumos!G6/6)+(Insumos!G33/12)+(Insumos!G6/6)</f>
        <v>97.473333333333329</v>
      </c>
      <c r="K72" s="272">
        <f>SUM(C72:E72)+60</f>
        <v>390.04190476190479</v>
      </c>
      <c r="L72" s="272">
        <f>M72-K72</f>
        <v>780.08380952380958</v>
      </c>
      <c r="M72" s="273">
        <f>K72*3</f>
        <v>1170.1257142857144</v>
      </c>
      <c r="N72" s="273"/>
      <c r="O72" s="455">
        <f>ROUNDUP(P72, -1)</f>
        <v>1410</v>
      </c>
      <c r="P72" s="455">
        <f>M72+(M72*O70)</f>
        <v>1404.1508571428571</v>
      </c>
      <c r="Q72" s="272">
        <f>O72-(O72*Q70)-K72</f>
        <v>782.2320952380951</v>
      </c>
      <c r="S72" s="273"/>
      <c r="T72" s="457">
        <v>50</v>
      </c>
      <c r="U72" s="457">
        <v>100</v>
      </c>
      <c r="V72" s="457">
        <v>200</v>
      </c>
      <c r="W72" s="457">
        <v>500</v>
      </c>
      <c r="X72" s="457">
        <v>1000</v>
      </c>
      <c r="Y72" s="457">
        <v>2000</v>
      </c>
      <c r="AF72" s="286"/>
      <c r="AG72" s="286"/>
      <c r="AH72" s="286"/>
      <c r="AI72" s="286"/>
      <c r="AJ72" s="286"/>
    </row>
    <row r="73" spans="1:36" x14ac:dyDescent="0.35">
      <c r="A73" s="267"/>
      <c r="B73" s="315"/>
      <c r="T73" s="283" t="s">
        <v>6</v>
      </c>
      <c r="U73" s="283" t="s">
        <v>6</v>
      </c>
      <c r="V73" s="283" t="s">
        <v>6</v>
      </c>
      <c r="W73" s="283" t="s">
        <v>6</v>
      </c>
      <c r="X73" s="283" t="s">
        <v>6</v>
      </c>
      <c r="Y73" s="283" t="s">
        <v>6</v>
      </c>
      <c r="Z73" s="334"/>
      <c r="AA73" s="334"/>
      <c r="AB73" s="334"/>
      <c r="AC73" s="334"/>
      <c r="AD73" s="334"/>
      <c r="AF73" s="273"/>
      <c r="AG73" s="273"/>
      <c r="AH73" s="273"/>
      <c r="AI73" s="273"/>
      <c r="AJ73" s="273"/>
    </row>
    <row r="74" spans="1:36" x14ac:dyDescent="0.35">
      <c r="A74" s="267"/>
      <c r="B74" s="315">
        <v>100</v>
      </c>
      <c r="C74" s="269">
        <f>C52</f>
        <v>0</v>
      </c>
      <c r="D74" s="267">
        <f>D72</f>
        <v>8.5685714285714276</v>
      </c>
      <c r="E74" s="269">
        <f>E72</f>
        <v>97.473333333333329</v>
      </c>
      <c r="J74" s="267"/>
      <c r="K74" s="267">
        <f>SUM(C74:E74)+60</f>
        <v>166.04190476190476</v>
      </c>
      <c r="T74" s="269">
        <f>K72*T72</f>
        <v>19502.09523809524</v>
      </c>
      <c r="U74" s="269">
        <f>K74*U72</f>
        <v>16604.190476190477</v>
      </c>
      <c r="V74" s="269">
        <f>K76*V72</f>
        <v>33208.380952380954</v>
      </c>
      <c r="W74" s="269">
        <f>K78*W72</f>
        <v>83020.952380952382</v>
      </c>
      <c r="X74" s="269">
        <f>K80*X72</f>
        <v>166041.90476190476</v>
      </c>
      <c r="Y74" s="269">
        <f>K82*Y72</f>
        <v>332083.80952380953</v>
      </c>
      <c r="AB74" s="267"/>
      <c r="AC74" s="267"/>
      <c r="AF74" s="282"/>
      <c r="AG74" s="282"/>
      <c r="AH74" s="282"/>
      <c r="AI74" s="282"/>
      <c r="AJ74" s="282"/>
    </row>
    <row r="75" spans="1:36" s="272" customFormat="1" ht="17.25" customHeight="1" x14ac:dyDescent="0.35">
      <c r="A75" s="267"/>
      <c r="B75" s="315"/>
      <c r="C75" s="269"/>
      <c r="D75" s="267"/>
      <c r="E75" s="269"/>
      <c r="F75" s="267"/>
      <c r="G75" s="267"/>
      <c r="H75" s="267"/>
      <c r="I75" s="267"/>
      <c r="J75" s="267"/>
      <c r="K75" s="267"/>
      <c r="L75" s="267"/>
      <c r="M75" s="269"/>
      <c r="N75" s="269"/>
      <c r="O75" s="267"/>
      <c r="P75" s="267"/>
      <c r="Q75" s="268"/>
      <c r="R75" s="267"/>
      <c r="S75" s="269"/>
      <c r="T75" s="285" t="s">
        <v>77</v>
      </c>
      <c r="U75" s="285" t="s">
        <v>77</v>
      </c>
      <c r="V75" s="285" t="s">
        <v>77</v>
      </c>
      <c r="W75" s="285" t="s">
        <v>77</v>
      </c>
      <c r="X75" s="285" t="s">
        <v>77</v>
      </c>
      <c r="Y75" s="285" t="s">
        <v>77</v>
      </c>
      <c r="AF75" s="335"/>
      <c r="AG75" s="335"/>
      <c r="AH75" s="335"/>
      <c r="AI75" s="335"/>
      <c r="AJ75" s="335"/>
    </row>
    <row r="76" spans="1:36" x14ac:dyDescent="0.35">
      <c r="A76" s="267"/>
      <c r="B76" s="315">
        <v>200</v>
      </c>
      <c r="C76" s="269">
        <f>C54</f>
        <v>0</v>
      </c>
      <c r="D76" s="267">
        <f>D74</f>
        <v>8.5685714285714276</v>
      </c>
      <c r="E76" s="269">
        <f>E72</f>
        <v>97.473333333333329</v>
      </c>
      <c r="J76" s="267"/>
      <c r="K76" s="267">
        <f>SUM(C76:E76)+60</f>
        <v>166.04190476190476</v>
      </c>
      <c r="M76" s="315">
        <v>0.2</v>
      </c>
      <c r="N76" s="315"/>
      <c r="O76" s="326" t="s">
        <v>303</v>
      </c>
      <c r="Q76" s="327" t="s">
        <v>174</v>
      </c>
      <c r="T76" s="286">
        <f t="shared" ref="T76:Y76" si="18">($O72*T72)-(($O72*T72)*T71)</f>
        <v>70500</v>
      </c>
      <c r="U76" s="286">
        <f t="shared" si="18"/>
        <v>141000</v>
      </c>
      <c r="V76" s="286">
        <f t="shared" si="18"/>
        <v>282000</v>
      </c>
      <c r="W76" s="286">
        <f t="shared" si="18"/>
        <v>669750</v>
      </c>
      <c r="X76" s="286">
        <f t="shared" si="18"/>
        <v>1269000</v>
      </c>
      <c r="Y76" s="286">
        <f t="shared" si="18"/>
        <v>2397000</v>
      </c>
      <c r="Z76" s="269"/>
      <c r="AA76" s="269"/>
      <c r="AD76" s="269"/>
      <c r="AF76" s="273"/>
      <c r="AG76" s="273"/>
      <c r="AH76" s="273"/>
      <c r="AI76" s="273"/>
      <c r="AJ76" s="273"/>
    </row>
    <row r="77" spans="1:36" x14ac:dyDescent="0.35">
      <c r="A77" s="267"/>
      <c r="B77" s="315"/>
      <c r="E77" s="269"/>
      <c r="J77" s="267"/>
      <c r="O77" s="328">
        <v>0.1</v>
      </c>
      <c r="Q77" s="329">
        <v>0.06</v>
      </c>
      <c r="T77" s="269">
        <f>T76/T72</f>
        <v>1410</v>
      </c>
      <c r="U77" s="269">
        <f t="shared" ref="U77:Y77" si="19">U76/U72</f>
        <v>1410</v>
      </c>
      <c r="V77" s="269">
        <f t="shared" si="19"/>
        <v>1410</v>
      </c>
      <c r="W77" s="269">
        <f t="shared" si="19"/>
        <v>1339.5</v>
      </c>
      <c r="X77" s="269">
        <f t="shared" si="19"/>
        <v>1269</v>
      </c>
      <c r="Y77" s="269">
        <f t="shared" si="19"/>
        <v>1198.5</v>
      </c>
      <c r="Z77" s="334"/>
      <c r="AA77" s="334"/>
      <c r="AB77" s="334"/>
      <c r="AC77" s="334"/>
      <c r="AD77" s="334"/>
      <c r="AF77" s="273"/>
      <c r="AG77" s="273"/>
      <c r="AH77" s="273"/>
      <c r="AI77" s="273"/>
      <c r="AJ77" s="273"/>
    </row>
    <row r="78" spans="1:36" x14ac:dyDescent="0.35">
      <c r="A78" s="267"/>
      <c r="B78" s="315">
        <v>500</v>
      </c>
      <c r="C78" s="269">
        <f>C56</f>
        <v>0</v>
      </c>
      <c r="D78" s="267">
        <f>D76</f>
        <v>8.5685714285714276</v>
      </c>
      <c r="E78" s="273">
        <f>E72</f>
        <v>97.473333333333329</v>
      </c>
      <c r="F78" s="272"/>
      <c r="G78" s="272"/>
      <c r="H78" s="272"/>
      <c r="I78" s="272"/>
      <c r="J78" s="272"/>
      <c r="K78" s="267">
        <f>SUM(C78:E78)+60</f>
        <v>166.04190476190476</v>
      </c>
      <c r="L78" s="272"/>
      <c r="O78" s="330" t="s">
        <v>65</v>
      </c>
      <c r="P78" s="272"/>
      <c r="Q78" s="287" t="s">
        <v>83</v>
      </c>
      <c r="T78" s="287" t="s">
        <v>78</v>
      </c>
      <c r="U78" s="287" t="s">
        <v>78</v>
      </c>
      <c r="V78" s="287" t="s">
        <v>78</v>
      </c>
      <c r="W78" s="287" t="s">
        <v>78</v>
      </c>
      <c r="X78" s="287" t="s">
        <v>78</v>
      </c>
      <c r="Y78" s="287" t="s">
        <v>78</v>
      </c>
      <c r="AB78" s="267"/>
      <c r="AC78" s="267"/>
      <c r="AF78" s="282"/>
      <c r="AG78" s="282"/>
      <c r="AH78" s="282"/>
      <c r="AI78" s="282"/>
      <c r="AJ78" s="282"/>
    </row>
    <row r="79" spans="1:36" s="272" customFormat="1" ht="17.25" customHeight="1" x14ac:dyDescent="0.35">
      <c r="A79" s="267"/>
      <c r="B79" s="315"/>
      <c r="C79" s="269"/>
      <c r="D79" s="267"/>
      <c r="E79" s="269"/>
      <c r="F79" s="267"/>
      <c r="G79" s="267"/>
      <c r="H79" s="267"/>
      <c r="I79" s="267"/>
      <c r="J79" s="267"/>
      <c r="K79" s="267"/>
      <c r="L79" s="267"/>
      <c r="M79" s="269"/>
      <c r="N79" s="269"/>
      <c r="O79" s="267">
        <f>O72-(O72*O77)</f>
        <v>1269</v>
      </c>
      <c r="P79" s="267"/>
      <c r="Q79" s="267">
        <f>(O79-(O79*Q77))-K72</f>
        <v>802.81809523809511</v>
      </c>
      <c r="R79" s="267"/>
      <c r="S79" s="269"/>
      <c r="T79" s="269">
        <f t="shared" ref="T79:Y79" si="20">(T76-T74)-(T76*$Q$28)</f>
        <v>39111.60476190476</v>
      </c>
      <c r="U79" s="269">
        <f t="shared" si="20"/>
        <v>100623.20952380952</v>
      </c>
      <c r="V79" s="269">
        <f t="shared" si="20"/>
        <v>201246.41904761904</v>
      </c>
      <c r="W79" s="269">
        <f t="shared" si="20"/>
        <v>473809.1976190476</v>
      </c>
      <c r="X79" s="269">
        <f t="shared" si="20"/>
        <v>889004.69523809513</v>
      </c>
      <c r="Y79" s="269">
        <f t="shared" si="20"/>
        <v>1660781.9904761906</v>
      </c>
      <c r="AF79" s="335"/>
      <c r="AG79" s="335"/>
      <c r="AH79" s="335"/>
      <c r="AI79" s="335"/>
      <c r="AJ79" s="335"/>
    </row>
    <row r="80" spans="1:36" x14ac:dyDescent="0.35">
      <c r="A80" s="267"/>
      <c r="B80" s="315">
        <v>1000</v>
      </c>
      <c r="C80" s="269">
        <f>C58</f>
        <v>0</v>
      </c>
      <c r="D80" s="272">
        <f>D78</f>
        <v>8.5685714285714276</v>
      </c>
      <c r="E80" s="273">
        <f>E72</f>
        <v>97.473333333333329</v>
      </c>
      <c r="F80" s="272"/>
      <c r="G80" s="272"/>
      <c r="H80" s="272"/>
      <c r="I80" s="272"/>
      <c r="J80" s="272"/>
      <c r="K80" s="267">
        <f>SUM(C80:E80)+60</f>
        <v>166.04190476190476</v>
      </c>
      <c r="L80" s="272"/>
      <c r="O80" s="272"/>
      <c r="P80" s="272"/>
      <c r="R80" s="272"/>
      <c r="S80" s="273"/>
      <c r="T80" s="269">
        <f>T79/T72</f>
        <v>782.23209523809521</v>
      </c>
      <c r="U80" s="269">
        <f>U79/U72</f>
        <v>1006.2320952380952</v>
      </c>
      <c r="V80" s="269">
        <f>V79/V72</f>
        <v>1006.2320952380952</v>
      </c>
      <c r="W80" s="269">
        <f>W79/W72</f>
        <v>947.61839523809522</v>
      </c>
      <c r="X80" s="269">
        <f t="shared" ref="X80:Y80" si="21">X79/X72</f>
        <v>889.00469523809511</v>
      </c>
      <c r="Y80" s="269">
        <f t="shared" si="21"/>
        <v>830.39099523809534</v>
      </c>
      <c r="Z80" s="269"/>
      <c r="AA80" s="269"/>
      <c r="AD80" s="269"/>
      <c r="AF80" s="273"/>
      <c r="AG80" s="273"/>
      <c r="AH80" s="273"/>
      <c r="AI80" s="273"/>
      <c r="AJ80" s="273"/>
    </row>
    <row r="81" spans="1:38" x14ac:dyDescent="0.35">
      <c r="A81" s="267"/>
      <c r="B81" s="315"/>
      <c r="C81" s="273"/>
      <c r="D81" s="272"/>
      <c r="E81" s="273"/>
      <c r="F81" s="272"/>
      <c r="G81" s="272"/>
      <c r="H81" s="272"/>
      <c r="I81" s="272"/>
      <c r="J81" s="272"/>
      <c r="Q81" s="272"/>
      <c r="T81" s="288" t="s">
        <v>65</v>
      </c>
      <c r="U81" s="288" t="s">
        <v>65</v>
      </c>
      <c r="V81" s="288" t="s">
        <v>65</v>
      </c>
      <c r="W81" s="288" t="s">
        <v>65</v>
      </c>
      <c r="X81" s="288" t="s">
        <v>65</v>
      </c>
      <c r="Y81" s="288" t="s">
        <v>65</v>
      </c>
      <c r="Z81" s="334"/>
      <c r="AA81" s="334"/>
      <c r="AB81" s="334"/>
      <c r="AC81" s="334"/>
      <c r="AD81" s="334"/>
      <c r="AF81" s="273"/>
      <c r="AG81" s="273"/>
      <c r="AH81" s="273"/>
      <c r="AI81" s="273"/>
      <c r="AJ81" s="273"/>
    </row>
    <row r="82" spans="1:38" x14ac:dyDescent="0.35">
      <c r="A82" s="267"/>
      <c r="B82" s="315">
        <v>2000</v>
      </c>
      <c r="C82" s="273">
        <f>C60</f>
        <v>0</v>
      </c>
      <c r="D82" s="272">
        <f>D80</f>
        <v>8.5685714285714276</v>
      </c>
      <c r="E82" s="273">
        <f>E72</f>
        <v>97.473333333333329</v>
      </c>
      <c r="F82" s="272"/>
      <c r="G82" s="272"/>
      <c r="H82" s="272"/>
      <c r="I82" s="272"/>
      <c r="J82" s="272"/>
      <c r="K82" s="267">
        <f>SUM(C82:E82)+60</f>
        <v>166.04190476190476</v>
      </c>
      <c r="T82" s="269">
        <f>T76-(T76*T83)</f>
        <v>63450</v>
      </c>
      <c r="U82" s="269">
        <f>U76-(U76*U83)</f>
        <v>126900</v>
      </c>
      <c r="V82" s="269">
        <f>V76-(V76*V83)</f>
        <v>253800</v>
      </c>
      <c r="W82" s="269">
        <f>W76-(W76*W83)</f>
        <v>602775</v>
      </c>
      <c r="X82" s="269">
        <f t="shared" ref="X82:Y82" si="22">X76-(X76*X83)</f>
        <v>1142100</v>
      </c>
      <c r="Y82" s="269">
        <f t="shared" si="22"/>
        <v>2157300</v>
      </c>
      <c r="AB82" s="267"/>
      <c r="AC82" s="267"/>
      <c r="AF82" s="282"/>
      <c r="AG82" s="282"/>
      <c r="AH82" s="282"/>
      <c r="AI82" s="282"/>
      <c r="AJ82" s="282"/>
    </row>
    <row r="83" spans="1:38" s="272" customFormat="1" ht="17.25" customHeight="1" x14ac:dyDescent="0.35">
      <c r="A83" s="267"/>
      <c r="B83" s="315"/>
      <c r="C83" s="273"/>
      <c r="E83" s="273"/>
      <c r="K83" s="267"/>
      <c r="L83" s="267"/>
      <c r="M83" s="269"/>
      <c r="N83" s="269"/>
      <c r="O83" s="267"/>
      <c r="P83" s="267"/>
      <c r="Q83" s="269"/>
      <c r="R83" s="267"/>
      <c r="S83" s="269"/>
      <c r="T83" s="333">
        <f t="shared" ref="T83:Y83" si="23">$O$12</f>
        <v>0.1</v>
      </c>
      <c r="U83" s="333">
        <f t="shared" si="23"/>
        <v>0.1</v>
      </c>
      <c r="V83" s="333">
        <f t="shared" si="23"/>
        <v>0.1</v>
      </c>
      <c r="W83" s="333">
        <f t="shared" si="23"/>
        <v>0.1</v>
      </c>
      <c r="X83" s="333">
        <f t="shared" si="23"/>
        <v>0.1</v>
      </c>
      <c r="Y83" s="333">
        <f t="shared" si="23"/>
        <v>0.1</v>
      </c>
      <c r="AF83" s="335"/>
      <c r="AG83" s="335"/>
      <c r="AH83" s="335"/>
      <c r="AI83" s="335"/>
      <c r="AJ83" s="335"/>
    </row>
    <row r="84" spans="1:38" x14ac:dyDescent="0.35">
      <c r="A84" s="267"/>
      <c r="B84" s="315"/>
      <c r="C84" s="273"/>
      <c r="D84" s="272"/>
      <c r="E84" s="273"/>
      <c r="F84" s="272"/>
      <c r="G84" s="272"/>
      <c r="H84" s="272"/>
      <c r="I84" s="272"/>
      <c r="J84" s="272"/>
      <c r="T84" s="269">
        <f>T82/T72</f>
        <v>1269</v>
      </c>
      <c r="U84" s="269">
        <f>U82/U72</f>
        <v>1269</v>
      </c>
      <c r="V84" s="269">
        <f>V82/V72</f>
        <v>1269</v>
      </c>
      <c r="W84" s="269">
        <f>W82/W72</f>
        <v>1205.55</v>
      </c>
      <c r="X84" s="269">
        <f t="shared" ref="X84:Y84" si="24">X82/X72</f>
        <v>1142.0999999999999</v>
      </c>
      <c r="Y84" s="269">
        <f t="shared" si="24"/>
        <v>1078.6500000000001</v>
      </c>
      <c r="Z84" s="269"/>
      <c r="AA84" s="269"/>
      <c r="AD84" s="269"/>
      <c r="AF84" s="273"/>
      <c r="AG84" s="273"/>
      <c r="AH84" s="273"/>
      <c r="AI84" s="273"/>
      <c r="AJ84" s="273"/>
    </row>
    <row r="85" spans="1:38" x14ac:dyDescent="0.35">
      <c r="A85" s="267"/>
      <c r="B85" s="315"/>
      <c r="C85" s="273"/>
      <c r="D85" s="272"/>
      <c r="E85" s="273"/>
      <c r="F85" s="272"/>
      <c r="G85" s="272"/>
      <c r="H85" s="272"/>
      <c r="I85" s="272"/>
      <c r="J85" s="272"/>
      <c r="T85" s="287" t="s">
        <v>81</v>
      </c>
      <c r="U85" s="287" t="s">
        <v>81</v>
      </c>
      <c r="V85" s="287" t="s">
        <v>81</v>
      </c>
      <c r="W85" s="287" t="s">
        <v>81</v>
      </c>
      <c r="X85" s="287" t="s">
        <v>81</v>
      </c>
      <c r="Y85" s="287" t="s">
        <v>81</v>
      </c>
      <c r="Z85" s="334"/>
      <c r="AA85" s="334"/>
      <c r="AB85" s="334"/>
      <c r="AC85" s="334"/>
      <c r="AD85" s="334"/>
      <c r="AF85" s="273"/>
      <c r="AG85" s="273"/>
      <c r="AH85" s="273"/>
      <c r="AI85" s="273"/>
      <c r="AJ85" s="273"/>
    </row>
    <row r="86" spans="1:38" s="272" customFormat="1" ht="17.25" customHeight="1" x14ac:dyDescent="0.35">
      <c r="A86" s="267"/>
      <c r="B86" s="315"/>
      <c r="C86" s="273"/>
      <c r="E86" s="273"/>
      <c r="K86" s="267"/>
      <c r="L86" s="267"/>
      <c r="M86" s="269"/>
      <c r="N86" s="269"/>
      <c r="Q86" s="284"/>
      <c r="S86" s="273"/>
      <c r="T86" s="269">
        <f>T82-(T82*$Q$12)-T74</f>
        <v>40140.904761904763</v>
      </c>
      <c r="U86" s="269">
        <f>U82-(U82*$Q$12)-U74</f>
        <v>102681.80952380953</v>
      </c>
      <c r="V86" s="269">
        <f>V82-(V82*$Q$117)-V74</f>
        <v>201277.43904761906</v>
      </c>
      <c r="W86" s="269">
        <f>W82-(W82*$Q$117)-W74</f>
        <v>473882.87011904764</v>
      </c>
      <c r="X86" s="269">
        <f>X82-(X82*$Q$117)-X74</f>
        <v>889144.28523809521</v>
      </c>
      <c r="Y86" s="269">
        <f>Y82-(Y82*$Q$117)-Y74</f>
        <v>1661045.6604761905</v>
      </c>
      <c r="AF86" s="335"/>
      <c r="AG86" s="335"/>
      <c r="AH86" s="335"/>
      <c r="AI86" s="335"/>
      <c r="AJ86" s="335"/>
    </row>
    <row r="87" spans="1:38" x14ac:dyDescent="0.35">
      <c r="A87" s="267"/>
      <c r="B87" s="273"/>
      <c r="C87" s="273"/>
      <c r="D87" s="273"/>
      <c r="E87" s="273"/>
      <c r="F87" s="273"/>
      <c r="J87" s="267"/>
      <c r="S87" s="273"/>
      <c r="T87" s="273">
        <f t="shared" ref="T87:Y87" si="25">T86/T72</f>
        <v>802.81809523809522</v>
      </c>
      <c r="U87" s="273">
        <f t="shared" si="25"/>
        <v>1026.8180952380953</v>
      </c>
      <c r="V87" s="273">
        <f t="shared" si="25"/>
        <v>1006.3871952380953</v>
      </c>
      <c r="W87" s="273">
        <f t="shared" si="25"/>
        <v>947.7657402380953</v>
      </c>
      <c r="X87" s="273">
        <f t="shared" si="25"/>
        <v>889.14428523809522</v>
      </c>
      <c r="Y87" s="273">
        <f t="shared" si="25"/>
        <v>830.52283023809525</v>
      </c>
      <c r="Z87" s="269"/>
      <c r="AA87" s="269"/>
      <c r="AD87" s="269"/>
      <c r="AF87" s="273"/>
      <c r="AG87" s="273"/>
      <c r="AH87" s="273"/>
      <c r="AI87" s="273"/>
      <c r="AJ87" s="273"/>
    </row>
    <row r="88" spans="1:38" x14ac:dyDescent="0.35">
      <c r="A88" s="267"/>
      <c r="B88" s="315"/>
      <c r="D88" s="272"/>
      <c r="E88" s="273"/>
      <c r="F88" s="272"/>
      <c r="G88" s="272"/>
      <c r="H88" s="272"/>
      <c r="I88" s="272"/>
      <c r="J88" s="272"/>
      <c r="Z88" s="334"/>
      <c r="AA88" s="334"/>
      <c r="AB88" s="334"/>
      <c r="AC88" s="334"/>
      <c r="AD88" s="334"/>
      <c r="AF88" s="273"/>
      <c r="AG88" s="273"/>
      <c r="AH88" s="273"/>
      <c r="AI88" s="273"/>
      <c r="AJ88" s="273"/>
    </row>
    <row r="89" spans="1:38" x14ac:dyDescent="0.35">
      <c r="A89" s="267"/>
      <c r="B89" s="315"/>
      <c r="C89" s="273"/>
      <c r="D89" s="272"/>
      <c r="E89" s="273"/>
      <c r="F89" s="272"/>
      <c r="G89" s="272"/>
      <c r="H89" s="272"/>
      <c r="I89" s="272"/>
      <c r="J89" s="272"/>
      <c r="AB89" s="267"/>
      <c r="AC89" s="267"/>
      <c r="AF89" s="282"/>
      <c r="AG89" s="282"/>
      <c r="AH89" s="282"/>
      <c r="AI89" s="282"/>
      <c r="AJ89" s="282"/>
    </row>
    <row r="90" spans="1:38" x14ac:dyDescent="0.35">
      <c r="A90" s="273"/>
      <c r="B90" s="273"/>
      <c r="C90" s="273"/>
      <c r="D90" s="273"/>
      <c r="E90" s="273"/>
      <c r="F90" s="273"/>
      <c r="J90" s="267"/>
      <c r="Q90" s="267" t="s">
        <v>304</v>
      </c>
      <c r="S90" s="273"/>
      <c r="T90" s="273"/>
      <c r="U90" s="273"/>
      <c r="V90" s="273"/>
      <c r="W90" s="273"/>
      <c r="X90" s="273"/>
      <c r="Y90" s="273"/>
      <c r="Z90" s="282"/>
      <c r="AA90" s="282"/>
      <c r="AB90" s="282"/>
      <c r="AC90" s="282"/>
      <c r="AD90" s="282"/>
      <c r="AG90" s="269"/>
      <c r="AH90" s="269"/>
      <c r="AI90" s="269"/>
      <c r="AJ90" s="269"/>
      <c r="AK90" s="269"/>
      <c r="AL90" s="269"/>
    </row>
    <row r="91" spans="1:38" x14ac:dyDescent="0.35">
      <c r="A91" s="267"/>
      <c r="B91" s="315"/>
      <c r="C91" s="273"/>
      <c r="D91" s="272"/>
      <c r="E91" s="273"/>
      <c r="F91" s="272"/>
      <c r="G91" s="272"/>
      <c r="H91" s="272"/>
      <c r="I91" s="272"/>
      <c r="J91" s="272"/>
      <c r="O91" s="269" t="s">
        <v>302</v>
      </c>
      <c r="Q91" s="268">
        <v>9.2499999999999999E-2</v>
      </c>
      <c r="Z91" s="282"/>
      <c r="AA91" s="282"/>
      <c r="AB91" s="282"/>
      <c r="AC91" s="282"/>
      <c r="AD91" s="282"/>
      <c r="AG91" s="269"/>
      <c r="AH91" s="269"/>
      <c r="AI91" s="269"/>
      <c r="AJ91" s="269"/>
      <c r="AK91" s="269"/>
      <c r="AL91" s="269"/>
    </row>
    <row r="92" spans="1:38" x14ac:dyDescent="0.35">
      <c r="B92" s="315"/>
      <c r="C92" s="273"/>
      <c r="D92" s="272"/>
      <c r="E92" s="273"/>
      <c r="F92" s="272"/>
      <c r="G92" s="272"/>
      <c r="H92" s="272"/>
      <c r="I92" s="272"/>
      <c r="J92" s="272"/>
      <c r="O92" s="268">
        <v>0.1</v>
      </c>
      <c r="Q92" s="317"/>
      <c r="Z92" s="282"/>
      <c r="AA92" s="282"/>
      <c r="AB92" s="282"/>
      <c r="AC92" s="282"/>
      <c r="AD92" s="282"/>
      <c r="AG92" s="269"/>
      <c r="AH92" s="269"/>
      <c r="AI92" s="269"/>
      <c r="AJ92" s="269"/>
      <c r="AK92" s="269"/>
      <c r="AL92" s="269"/>
    </row>
    <row r="93" spans="1:38" x14ac:dyDescent="0.35">
      <c r="O93" s="270">
        <v>0.1</v>
      </c>
      <c r="Q93" s="318">
        <v>7.6100000000000001E-2</v>
      </c>
      <c r="Z93" s="282"/>
      <c r="AA93" s="282"/>
      <c r="AB93" s="282"/>
      <c r="AC93" s="282"/>
      <c r="AD93" s="282"/>
      <c r="AG93" s="269"/>
      <c r="AH93" s="269"/>
      <c r="AI93" s="269"/>
      <c r="AJ93" s="269"/>
      <c r="AK93" s="269"/>
      <c r="AL93" s="269"/>
    </row>
    <row r="94" spans="1:38" x14ac:dyDescent="0.35">
      <c r="B94" s="272"/>
      <c r="C94" s="273"/>
      <c r="D94" s="272"/>
      <c r="E94" s="273"/>
      <c r="F94" s="272"/>
      <c r="H94" s="272"/>
      <c r="I94" s="272"/>
      <c r="J94" s="336"/>
      <c r="K94" s="272"/>
      <c r="L94" s="272"/>
      <c r="M94" s="319">
        <f>(M96-K96)</f>
        <v>2231.1025714285715</v>
      </c>
      <c r="O94" s="271">
        <f>O92+O93</f>
        <v>0.2</v>
      </c>
      <c r="Q94" s="271">
        <f>Q92+Q93+Q91</f>
        <v>0.1686</v>
      </c>
      <c r="R94" s="272"/>
      <c r="S94" s="273"/>
      <c r="T94" s="274" t="s">
        <v>76</v>
      </c>
      <c r="U94" s="274" t="s">
        <v>76</v>
      </c>
      <c r="V94" s="274" t="s">
        <v>76</v>
      </c>
      <c r="W94" s="274" t="s">
        <v>76</v>
      </c>
      <c r="X94" s="274" t="s">
        <v>76</v>
      </c>
      <c r="Y94" s="274" t="s">
        <v>76</v>
      </c>
      <c r="Z94" s="282"/>
      <c r="AA94" s="282"/>
      <c r="AB94" s="282"/>
      <c r="AC94" s="282"/>
      <c r="AD94" s="282"/>
      <c r="AG94" s="269"/>
      <c r="AH94" s="269"/>
      <c r="AI94" s="269"/>
      <c r="AJ94" s="269"/>
      <c r="AK94" s="269"/>
      <c r="AL94" s="269"/>
    </row>
    <row r="95" spans="1:38" ht="27" customHeight="1" x14ac:dyDescent="0.35">
      <c r="B95" s="491" t="s">
        <v>33</v>
      </c>
      <c r="C95" s="275" t="s">
        <v>27</v>
      </c>
      <c r="D95" s="320" t="s">
        <v>28</v>
      </c>
      <c r="E95" s="338" t="s">
        <v>29</v>
      </c>
      <c r="F95" s="339"/>
      <c r="G95" s="320"/>
      <c r="K95" s="277" t="s">
        <v>245</v>
      </c>
      <c r="L95" s="278" t="s">
        <v>7</v>
      </c>
      <c r="M95" s="323" t="s">
        <v>80</v>
      </c>
      <c r="N95" s="273"/>
      <c r="O95" s="279" t="s">
        <v>77</v>
      </c>
      <c r="P95" s="279" t="s">
        <v>77</v>
      </c>
      <c r="Q95" s="280" t="s">
        <v>79</v>
      </c>
      <c r="T95" s="271">
        <v>0</v>
      </c>
      <c r="U95" s="271">
        <v>0.05</v>
      </c>
      <c r="V95" s="271">
        <v>0.1</v>
      </c>
      <c r="W95" s="271">
        <v>0.15</v>
      </c>
      <c r="X95" s="271">
        <v>0.2</v>
      </c>
      <c r="Y95" s="271">
        <v>0.25</v>
      </c>
      <c r="Z95" s="282"/>
      <c r="AA95" s="282"/>
      <c r="AB95" s="282"/>
      <c r="AC95" s="282"/>
      <c r="AD95" s="282"/>
      <c r="AG95" s="269"/>
      <c r="AH95" s="269"/>
      <c r="AI95" s="269"/>
      <c r="AJ95" s="269"/>
      <c r="AK95" s="269"/>
      <c r="AL95" s="269"/>
    </row>
    <row r="96" spans="1:38" s="272" customFormat="1" ht="27" customHeight="1" x14ac:dyDescent="0.35">
      <c r="A96" s="315"/>
      <c r="B96" s="491"/>
      <c r="C96" s="269">
        <f>C72*4</f>
        <v>896</v>
      </c>
      <c r="D96" s="267">
        <f>(Insumos!G30/28)*4</f>
        <v>19.501428571428569</v>
      </c>
      <c r="E96" s="316">
        <f>Insumos!N20</f>
        <v>324</v>
      </c>
      <c r="F96" s="267"/>
      <c r="G96" s="267"/>
      <c r="H96" s="267"/>
      <c r="I96" s="267"/>
      <c r="J96" s="267"/>
      <c r="K96" s="267">
        <f>SUM(C96:E96)</f>
        <v>1239.5014285714287</v>
      </c>
      <c r="L96" s="272">
        <f>M96-K96</f>
        <v>2231.1025714285715</v>
      </c>
      <c r="M96" s="273">
        <f>K96*2.8</f>
        <v>3470.6040000000003</v>
      </c>
      <c r="N96" s="269"/>
      <c r="O96" s="324">
        <f>ROUNDUP(P96, -1)</f>
        <v>4170</v>
      </c>
      <c r="P96" s="324">
        <f>M96+(M96*O94)</f>
        <v>4164.7248</v>
      </c>
      <c r="Q96" s="267">
        <f>O96-(O96*Q94)-K96</f>
        <v>2227.4365714285714</v>
      </c>
      <c r="R96" s="267"/>
      <c r="S96" s="269"/>
      <c r="T96" s="337">
        <v>50</v>
      </c>
      <c r="U96" s="337">
        <v>100</v>
      </c>
      <c r="V96" s="337">
        <v>200</v>
      </c>
      <c r="W96" s="337">
        <v>500</v>
      </c>
      <c r="X96" s="337">
        <v>1000</v>
      </c>
      <c r="Y96" s="337">
        <v>2000</v>
      </c>
      <c r="Z96" s="267"/>
      <c r="AA96" s="267"/>
      <c r="AB96" s="267"/>
      <c r="AC96" s="267"/>
      <c r="AD96" s="267"/>
      <c r="AG96" s="273"/>
      <c r="AH96" s="273"/>
      <c r="AI96" s="273"/>
      <c r="AJ96" s="273"/>
      <c r="AK96" s="273"/>
      <c r="AL96" s="273"/>
    </row>
    <row r="97" spans="1:38" x14ac:dyDescent="0.35">
      <c r="A97" s="272"/>
      <c r="T97" s="283" t="s">
        <v>6</v>
      </c>
      <c r="U97" s="283" t="s">
        <v>6</v>
      </c>
      <c r="V97" s="283" t="s">
        <v>6</v>
      </c>
      <c r="W97" s="283" t="s">
        <v>6</v>
      </c>
      <c r="X97" s="283" t="s">
        <v>6</v>
      </c>
      <c r="Y97" s="283" t="s">
        <v>6</v>
      </c>
      <c r="Z97" s="282"/>
      <c r="AA97" s="282"/>
      <c r="AB97" s="282"/>
      <c r="AC97" s="282"/>
      <c r="AD97" s="282"/>
      <c r="AG97" s="269"/>
      <c r="AH97" s="269"/>
      <c r="AI97" s="269"/>
      <c r="AJ97" s="269"/>
      <c r="AK97" s="269"/>
      <c r="AL97" s="269"/>
    </row>
    <row r="98" spans="1:38" x14ac:dyDescent="0.35">
      <c r="B98" s="315">
        <v>100</v>
      </c>
      <c r="C98" s="269">
        <f>C74*4</f>
        <v>0</v>
      </c>
      <c r="D98" s="267">
        <f>D96</f>
        <v>19.501428571428569</v>
      </c>
      <c r="E98" s="269">
        <f>E96</f>
        <v>324</v>
      </c>
      <c r="J98" s="267"/>
      <c r="K98" s="267">
        <f>SUM(C98:E98)</f>
        <v>343.50142857142856</v>
      </c>
      <c r="T98" s="269">
        <f>K96*T96</f>
        <v>61975.071428571435</v>
      </c>
      <c r="U98" s="269">
        <f>K98*U96</f>
        <v>34350.142857142855</v>
      </c>
      <c r="V98" s="269">
        <f>K100*V96</f>
        <v>68700.28571428571</v>
      </c>
      <c r="W98" s="269">
        <f>K102*W96</f>
        <v>171750.71428571429</v>
      </c>
      <c r="X98" s="269">
        <f>K104*X96</f>
        <v>343501.42857142858</v>
      </c>
      <c r="Y98" s="269">
        <f>K106*Y96</f>
        <v>687002.85714285716</v>
      </c>
      <c r="Z98" s="269"/>
      <c r="AA98" s="269"/>
      <c r="AD98" s="269"/>
      <c r="AF98" s="269"/>
      <c r="AG98" s="269"/>
      <c r="AH98" s="269"/>
      <c r="AI98" s="269"/>
      <c r="AJ98" s="269"/>
    </row>
    <row r="99" spans="1:38" x14ac:dyDescent="0.35">
      <c r="B99" s="315"/>
      <c r="E99" s="269"/>
      <c r="J99" s="267"/>
      <c r="Q99" s="268"/>
      <c r="T99" s="285" t="s">
        <v>77</v>
      </c>
      <c r="U99" s="285" t="s">
        <v>77</v>
      </c>
      <c r="V99" s="285" t="s">
        <v>77</v>
      </c>
      <c r="W99" s="285" t="s">
        <v>77</v>
      </c>
      <c r="X99" s="285" t="s">
        <v>77</v>
      </c>
      <c r="Y99" s="285" t="s">
        <v>77</v>
      </c>
      <c r="Z99" s="269"/>
      <c r="AA99" s="269"/>
      <c r="AD99" s="269"/>
      <c r="AI99" s="269"/>
      <c r="AJ99" s="269"/>
    </row>
    <row r="100" spans="1:38" s="272" customFormat="1" ht="17.25" customHeight="1" x14ac:dyDescent="0.35">
      <c r="A100" s="315"/>
      <c r="B100" s="315">
        <v>200</v>
      </c>
      <c r="C100" s="269">
        <f>C76*4</f>
        <v>0</v>
      </c>
      <c r="D100" s="267">
        <f>D98</f>
        <v>19.501428571428569</v>
      </c>
      <c r="E100" s="269">
        <f>E96</f>
        <v>324</v>
      </c>
      <c r="F100" s="267"/>
      <c r="G100" s="267"/>
      <c r="H100" s="267"/>
      <c r="I100" s="267"/>
      <c r="J100" s="267"/>
      <c r="K100" s="267">
        <f>SUM(C100:E100)</f>
        <v>343.50142857142856</v>
      </c>
      <c r="L100" s="267"/>
      <c r="M100" s="315">
        <v>0.2</v>
      </c>
      <c r="N100" s="315"/>
      <c r="O100" s="326" t="s">
        <v>303</v>
      </c>
      <c r="P100" s="267"/>
      <c r="Q100" s="327" t="s">
        <v>174</v>
      </c>
      <c r="R100" s="267"/>
      <c r="S100" s="269"/>
      <c r="T100" s="286">
        <f t="shared" ref="T100:Y100" si="26">($O96*T96)-(($O96*T96)*T95)</f>
        <v>208500</v>
      </c>
      <c r="U100" s="286">
        <f t="shared" si="26"/>
        <v>396150</v>
      </c>
      <c r="V100" s="286">
        <f t="shared" si="26"/>
        <v>750600</v>
      </c>
      <c r="W100" s="286">
        <f t="shared" si="26"/>
        <v>1772250</v>
      </c>
      <c r="X100" s="286">
        <f t="shared" si="26"/>
        <v>3336000</v>
      </c>
      <c r="Y100" s="286">
        <f t="shared" si="26"/>
        <v>6255000</v>
      </c>
      <c r="Z100" s="315"/>
      <c r="AA100" s="331"/>
      <c r="AB100" s="315"/>
      <c r="AC100" s="315"/>
      <c r="AD100" s="315"/>
      <c r="AF100" s="315"/>
      <c r="AG100" s="331"/>
      <c r="AH100" s="315"/>
      <c r="AI100" s="315"/>
      <c r="AJ100" s="315"/>
    </row>
    <row r="101" spans="1:38" x14ac:dyDescent="0.35">
      <c r="B101" s="315"/>
      <c r="E101" s="269"/>
      <c r="J101" s="267"/>
      <c r="O101" s="328">
        <v>0.1</v>
      </c>
      <c r="Q101" s="329">
        <v>0.06</v>
      </c>
      <c r="T101" s="269">
        <f>T100/T96</f>
        <v>4170</v>
      </c>
      <c r="U101" s="269">
        <f t="shared" ref="U101:Y101" si="27">U100/U96</f>
        <v>3961.5</v>
      </c>
      <c r="V101" s="269">
        <f t="shared" si="27"/>
        <v>3753</v>
      </c>
      <c r="W101" s="269">
        <f t="shared" si="27"/>
        <v>3544.5</v>
      </c>
      <c r="X101" s="269">
        <f t="shared" si="27"/>
        <v>3336</v>
      </c>
      <c r="Y101" s="269">
        <f t="shared" si="27"/>
        <v>3127.5</v>
      </c>
      <c r="Z101" s="273"/>
      <c r="AA101" s="273"/>
      <c r="AB101" s="273"/>
      <c r="AC101" s="273"/>
      <c r="AD101" s="273"/>
      <c r="AF101" s="273"/>
      <c r="AG101" s="273"/>
      <c r="AH101" s="273"/>
      <c r="AI101" s="273"/>
      <c r="AJ101" s="273"/>
    </row>
    <row r="102" spans="1:38" x14ac:dyDescent="0.35">
      <c r="B102" s="315">
        <v>500</v>
      </c>
      <c r="C102" s="269">
        <f>C78*4</f>
        <v>0</v>
      </c>
      <c r="D102" s="267">
        <f>D100</f>
        <v>19.501428571428569</v>
      </c>
      <c r="E102" s="273">
        <f>E96</f>
        <v>324</v>
      </c>
      <c r="F102" s="272"/>
      <c r="H102" s="272"/>
      <c r="I102" s="272"/>
      <c r="J102" s="272"/>
      <c r="K102" s="267">
        <f>SUM(C102:E102)</f>
        <v>343.50142857142856</v>
      </c>
      <c r="L102" s="272"/>
      <c r="O102" s="330" t="s">
        <v>65</v>
      </c>
      <c r="P102" s="272"/>
      <c r="Q102" s="287" t="s">
        <v>83</v>
      </c>
      <c r="T102" s="287" t="s">
        <v>78</v>
      </c>
      <c r="U102" s="287" t="s">
        <v>78</v>
      </c>
      <c r="V102" s="287" t="s">
        <v>78</v>
      </c>
      <c r="W102" s="287" t="s">
        <v>78</v>
      </c>
      <c r="X102" s="287" t="s">
        <v>78</v>
      </c>
      <c r="Y102" s="287" t="s">
        <v>78</v>
      </c>
      <c r="Z102" s="269"/>
      <c r="AA102" s="269"/>
      <c r="AD102" s="269"/>
      <c r="AF102" s="269"/>
      <c r="AG102" s="269"/>
      <c r="AH102" s="269"/>
      <c r="AI102" s="269"/>
      <c r="AJ102" s="269"/>
    </row>
    <row r="103" spans="1:38" x14ac:dyDescent="0.35">
      <c r="A103" s="272"/>
      <c r="B103" s="315"/>
      <c r="E103" s="269"/>
      <c r="J103" s="267"/>
      <c r="O103" s="267">
        <f>O96-(O96*O101)</f>
        <v>3753</v>
      </c>
      <c r="Q103" s="267">
        <f>(O103-(O103*Q101))-K96</f>
        <v>2288.3185714285714</v>
      </c>
      <c r="T103" s="269">
        <f>(T100-T98)-(T100*$Q$5)</f>
        <v>111371.82857142857</v>
      </c>
      <c r="U103" s="269">
        <f t="shared" ref="U103:Y103" si="28">(U100-U98)-(U100*$Q$5)</f>
        <v>295008.96714285715</v>
      </c>
      <c r="V103" s="269">
        <f t="shared" si="28"/>
        <v>555348.55428571429</v>
      </c>
      <c r="W103" s="269">
        <f t="shared" si="28"/>
        <v>1301697.9357142858</v>
      </c>
      <c r="X103" s="269">
        <f t="shared" si="28"/>
        <v>2430048.9714285713</v>
      </c>
      <c r="Y103" s="269">
        <f t="shared" si="28"/>
        <v>4513404.1428571427</v>
      </c>
      <c r="Z103" s="273"/>
      <c r="AA103" s="273"/>
      <c r="AB103" s="273"/>
      <c r="AC103" s="273"/>
      <c r="AD103" s="273"/>
      <c r="AF103" s="273"/>
      <c r="AG103" s="273"/>
      <c r="AH103" s="273"/>
      <c r="AI103" s="273"/>
      <c r="AJ103" s="273"/>
    </row>
    <row r="104" spans="1:38" x14ac:dyDescent="0.35">
      <c r="B104" s="315">
        <v>1000</v>
      </c>
      <c r="C104" s="269">
        <f>C80*4</f>
        <v>0</v>
      </c>
      <c r="D104" s="272">
        <f>D102</f>
        <v>19.501428571428569</v>
      </c>
      <c r="E104" s="273">
        <f>E96</f>
        <v>324</v>
      </c>
      <c r="F104" s="272"/>
      <c r="H104" s="272"/>
      <c r="I104" s="272"/>
      <c r="J104" s="272"/>
      <c r="K104" s="267">
        <f>SUM(C104:E104)</f>
        <v>343.50142857142856</v>
      </c>
      <c r="L104" s="272"/>
      <c r="O104" s="272"/>
      <c r="P104" s="272"/>
      <c r="R104" s="272"/>
      <c r="S104" s="273"/>
      <c r="T104" s="269">
        <f>T103/T96</f>
        <v>2227.4365714285714</v>
      </c>
      <c r="U104" s="269">
        <f>U103/U96</f>
        <v>2950.0896714285714</v>
      </c>
      <c r="V104" s="269">
        <f>V103/V96</f>
        <v>2776.7427714285714</v>
      </c>
      <c r="W104" s="269">
        <f>W103/W96</f>
        <v>2603.3958714285718</v>
      </c>
      <c r="X104" s="269">
        <f t="shared" ref="X104:Y104" si="29">X103/X96</f>
        <v>2430.0489714285713</v>
      </c>
      <c r="Y104" s="269">
        <f t="shared" si="29"/>
        <v>2256.7020714285713</v>
      </c>
      <c r="Z104" s="269"/>
      <c r="AA104" s="269"/>
      <c r="AD104" s="269"/>
      <c r="AF104" s="332"/>
      <c r="AG104" s="332"/>
      <c r="AH104" s="332"/>
      <c r="AI104" s="332"/>
      <c r="AJ104" s="332"/>
    </row>
    <row r="105" spans="1:38" x14ac:dyDescent="0.35">
      <c r="B105" s="315"/>
      <c r="C105" s="273"/>
      <c r="D105" s="272"/>
      <c r="E105" s="273"/>
      <c r="F105" s="272"/>
      <c r="G105" s="272"/>
      <c r="H105" s="272"/>
      <c r="I105" s="272"/>
      <c r="J105" s="272"/>
      <c r="Q105" s="272"/>
      <c r="T105" s="288" t="s">
        <v>65</v>
      </c>
      <c r="U105" s="288" t="s">
        <v>65</v>
      </c>
      <c r="V105" s="288" t="s">
        <v>65</v>
      </c>
      <c r="W105" s="288" t="s">
        <v>65</v>
      </c>
      <c r="X105" s="288" t="s">
        <v>65</v>
      </c>
      <c r="Y105" s="288" t="s">
        <v>65</v>
      </c>
      <c r="Z105" s="269"/>
      <c r="AA105" s="269"/>
      <c r="AD105" s="269"/>
      <c r="AF105" s="269"/>
      <c r="AG105" s="269"/>
      <c r="AH105" s="269"/>
      <c r="AI105" s="269"/>
      <c r="AJ105" s="269"/>
    </row>
    <row r="106" spans="1:38" s="272" customFormat="1" ht="17.25" customHeight="1" x14ac:dyDescent="0.35">
      <c r="A106" s="315"/>
      <c r="B106" s="315">
        <v>2000</v>
      </c>
      <c r="C106" s="269">
        <f>C82*4</f>
        <v>0</v>
      </c>
      <c r="D106" s="272">
        <f>D104</f>
        <v>19.501428571428569</v>
      </c>
      <c r="E106" s="273">
        <f>E96</f>
        <v>324</v>
      </c>
      <c r="G106" s="267"/>
      <c r="K106" s="267">
        <f>SUM(C106:E106)</f>
        <v>343.50142857142856</v>
      </c>
      <c r="L106" s="267"/>
      <c r="M106" s="269"/>
      <c r="N106" s="269"/>
      <c r="O106" s="267"/>
      <c r="P106" s="267"/>
      <c r="Q106" s="267"/>
      <c r="R106" s="267"/>
      <c r="S106" s="269"/>
      <c r="T106" s="269">
        <f>T100-(T100*T107)</f>
        <v>187650</v>
      </c>
      <c r="U106" s="269">
        <f>U100-(U100*U107)</f>
        <v>356535</v>
      </c>
      <c r="V106" s="269">
        <f>V100-(V100*V107)</f>
        <v>675540</v>
      </c>
      <c r="W106" s="269">
        <f>W100-(W100*W107)</f>
        <v>1595025</v>
      </c>
      <c r="X106" s="269">
        <f t="shared" ref="X106:Y106" si="30">X100-(X100*X107)</f>
        <v>3002400</v>
      </c>
      <c r="Y106" s="269">
        <f t="shared" si="30"/>
        <v>5629500</v>
      </c>
      <c r="Z106" s="273"/>
      <c r="AA106" s="273"/>
      <c r="AB106" s="273"/>
      <c r="AC106" s="273"/>
      <c r="AD106" s="273"/>
      <c r="AF106" s="269"/>
      <c r="AG106" s="269"/>
      <c r="AH106" s="269"/>
      <c r="AI106" s="269"/>
      <c r="AJ106" s="269"/>
    </row>
    <row r="107" spans="1:38" x14ac:dyDescent="0.35">
      <c r="B107" s="315"/>
      <c r="D107" s="272"/>
      <c r="E107" s="273"/>
      <c r="F107" s="272"/>
      <c r="G107" s="272"/>
      <c r="H107" s="272"/>
      <c r="I107" s="272"/>
      <c r="J107" s="272"/>
      <c r="Q107" s="269"/>
      <c r="T107" s="333">
        <f t="shared" ref="T107:Y107" si="31">$O$12</f>
        <v>0.1</v>
      </c>
      <c r="U107" s="333">
        <f t="shared" si="31"/>
        <v>0.1</v>
      </c>
      <c r="V107" s="333">
        <f t="shared" si="31"/>
        <v>0.1</v>
      </c>
      <c r="W107" s="333">
        <f t="shared" si="31"/>
        <v>0.1</v>
      </c>
      <c r="X107" s="333">
        <f t="shared" si="31"/>
        <v>0.1</v>
      </c>
      <c r="Y107" s="333">
        <f t="shared" si="31"/>
        <v>0.1</v>
      </c>
      <c r="Z107" s="282"/>
      <c r="AA107" s="282"/>
      <c r="AB107" s="282"/>
      <c r="AC107" s="282"/>
      <c r="AD107" s="282"/>
      <c r="AF107" s="273"/>
      <c r="AG107" s="273"/>
      <c r="AH107" s="273"/>
      <c r="AI107" s="273"/>
      <c r="AJ107" s="273"/>
    </row>
    <row r="108" spans="1:38" x14ac:dyDescent="0.35">
      <c r="A108" s="272"/>
      <c r="B108" s="315"/>
      <c r="C108" s="273"/>
      <c r="D108" s="272"/>
      <c r="E108" s="273"/>
      <c r="F108" s="272"/>
      <c r="G108" s="272"/>
      <c r="H108" s="272"/>
      <c r="I108" s="272"/>
      <c r="J108" s="272"/>
      <c r="T108" s="269">
        <f>T106/T96</f>
        <v>3753</v>
      </c>
      <c r="U108" s="269">
        <f>U106/U96</f>
        <v>3565.35</v>
      </c>
      <c r="V108" s="269">
        <f>V106/V96</f>
        <v>3377.7</v>
      </c>
      <c r="W108" s="269">
        <f>W106/W96</f>
        <v>3190.05</v>
      </c>
      <c r="X108" s="269">
        <f t="shared" ref="X108:Y108" si="32">X106/X96</f>
        <v>3002.4</v>
      </c>
      <c r="Y108" s="269">
        <f t="shared" si="32"/>
        <v>2814.75</v>
      </c>
      <c r="Z108" s="269"/>
      <c r="AA108" s="269"/>
      <c r="AD108" s="269"/>
      <c r="AF108" s="269"/>
      <c r="AG108" s="269"/>
      <c r="AH108" s="269"/>
      <c r="AI108" s="269"/>
      <c r="AJ108" s="269"/>
    </row>
    <row r="109" spans="1:38" x14ac:dyDescent="0.35">
      <c r="B109" s="315"/>
      <c r="C109" s="273"/>
      <c r="D109" s="272"/>
      <c r="E109" s="273"/>
      <c r="F109" s="272"/>
      <c r="G109" s="272"/>
      <c r="H109" s="272"/>
      <c r="I109" s="272"/>
      <c r="J109" s="272"/>
      <c r="T109" s="287" t="s">
        <v>81</v>
      </c>
      <c r="U109" s="287" t="s">
        <v>81</v>
      </c>
      <c r="V109" s="287" t="s">
        <v>81</v>
      </c>
      <c r="W109" s="287" t="s">
        <v>81</v>
      </c>
      <c r="X109" s="287" t="s">
        <v>81</v>
      </c>
      <c r="Y109" s="287" t="s">
        <v>81</v>
      </c>
      <c r="Z109" s="334"/>
      <c r="AA109" s="334"/>
      <c r="AB109" s="334"/>
      <c r="AC109" s="334"/>
      <c r="AD109" s="334"/>
      <c r="AF109" s="273"/>
      <c r="AG109" s="273"/>
      <c r="AH109" s="273"/>
      <c r="AI109" s="273"/>
      <c r="AJ109" s="273"/>
    </row>
    <row r="110" spans="1:38" x14ac:dyDescent="0.35">
      <c r="B110" s="315"/>
      <c r="C110" s="273"/>
      <c r="D110" s="272"/>
      <c r="E110" s="273"/>
      <c r="F110" s="272"/>
      <c r="G110" s="272"/>
      <c r="H110" s="272"/>
      <c r="I110" s="272"/>
      <c r="J110" s="272"/>
      <c r="O110" s="272"/>
      <c r="P110" s="272"/>
      <c r="Q110" s="284"/>
      <c r="R110" s="272"/>
      <c r="S110" s="273"/>
      <c r="T110" s="269">
        <f>T106-(T106*$Q$12)-T98</f>
        <v>114415.92857142857</v>
      </c>
      <c r="U110" s="269">
        <f>U106-(U106*$Q$12)-U98</f>
        <v>300792.75714285718</v>
      </c>
      <c r="V110" s="269">
        <f>V106-(V106*$Q$117)-V98</f>
        <v>555431.12028571428</v>
      </c>
      <c r="W110" s="269">
        <f>W106-(W106*$Q$117)-W98</f>
        <v>1301892.8832142856</v>
      </c>
      <c r="X110" s="269">
        <f>X106-(X106*$Q$117)-X98</f>
        <v>2430415.9314285712</v>
      </c>
      <c r="Y110" s="269">
        <f>Y106-(Y106*$Q$117)-Y98</f>
        <v>4514092.1928571425</v>
      </c>
      <c r="AB110" s="267"/>
      <c r="AC110" s="267"/>
      <c r="AF110" s="282"/>
      <c r="AG110" s="282"/>
      <c r="AH110" s="282"/>
      <c r="AI110" s="282"/>
      <c r="AJ110" s="282"/>
    </row>
    <row r="111" spans="1:38" s="272" customFormat="1" ht="17.25" customHeight="1" x14ac:dyDescent="0.35">
      <c r="A111" s="315"/>
      <c r="B111" s="315"/>
      <c r="C111" s="273"/>
      <c r="D111" s="273"/>
      <c r="E111" s="273"/>
      <c r="F111" s="273"/>
      <c r="G111" s="267"/>
      <c r="H111" s="267"/>
      <c r="I111" s="267"/>
      <c r="J111" s="267"/>
      <c r="K111" s="267"/>
      <c r="L111" s="267"/>
      <c r="M111" s="269"/>
      <c r="N111" s="269"/>
      <c r="O111" s="267"/>
      <c r="P111" s="267"/>
      <c r="Q111" s="267"/>
      <c r="R111" s="267"/>
      <c r="S111" s="273"/>
      <c r="T111" s="273">
        <f t="shared" ref="T111:Y111" si="33">T110/T96</f>
        <v>2288.3185714285714</v>
      </c>
      <c r="U111" s="273">
        <f t="shared" si="33"/>
        <v>3007.9275714285718</v>
      </c>
      <c r="V111" s="273">
        <f t="shared" si="33"/>
        <v>2777.1556014285716</v>
      </c>
      <c r="W111" s="273">
        <f t="shared" si="33"/>
        <v>2603.7857664285712</v>
      </c>
      <c r="X111" s="273">
        <f t="shared" si="33"/>
        <v>2430.4159314285712</v>
      </c>
      <c r="Y111" s="273">
        <f t="shared" si="33"/>
        <v>2257.0460964285712</v>
      </c>
      <c r="AF111" s="335"/>
      <c r="AG111" s="335"/>
      <c r="AH111" s="335"/>
      <c r="AI111" s="335"/>
      <c r="AJ111" s="335"/>
    </row>
    <row r="112" spans="1:38" x14ac:dyDescent="0.35">
      <c r="A112" s="267"/>
      <c r="B112" s="273"/>
      <c r="C112" s="273"/>
      <c r="D112" s="273"/>
      <c r="E112" s="273"/>
      <c r="F112" s="273"/>
      <c r="J112" s="267"/>
      <c r="P112" s="273"/>
      <c r="Q112" s="273"/>
      <c r="R112" s="273"/>
      <c r="S112" s="273"/>
      <c r="T112" s="273"/>
      <c r="U112" s="272"/>
      <c r="V112" s="272"/>
      <c r="X112" s="269"/>
      <c r="Y112" s="269"/>
      <c r="Z112" s="269"/>
      <c r="AA112" s="269"/>
      <c r="AB112" s="267"/>
      <c r="AC112" s="273"/>
      <c r="AD112" s="273"/>
      <c r="AE112" s="273"/>
      <c r="AF112" s="273"/>
      <c r="AG112" s="273"/>
    </row>
    <row r="113" spans="1:39" x14ac:dyDescent="0.35">
      <c r="A113" s="267"/>
      <c r="B113" s="315"/>
      <c r="C113" s="273"/>
      <c r="D113" s="272"/>
      <c r="E113" s="273"/>
      <c r="F113" s="272"/>
      <c r="G113" s="272"/>
      <c r="H113" s="272"/>
      <c r="I113" s="272"/>
      <c r="J113" s="272"/>
      <c r="P113" s="269"/>
      <c r="Q113" s="269"/>
      <c r="R113" s="269"/>
      <c r="U113" s="267"/>
      <c r="V113" s="267"/>
      <c r="W113" s="282"/>
      <c r="X113" s="282"/>
      <c r="Y113" s="282"/>
      <c r="Z113" s="282"/>
      <c r="AA113" s="282"/>
      <c r="AB113" s="267"/>
      <c r="AC113" s="267"/>
      <c r="AD113" s="269"/>
      <c r="AE113" s="269"/>
      <c r="AF113" s="269"/>
      <c r="AG113" s="269"/>
      <c r="AH113" s="269"/>
      <c r="AI113" s="269"/>
    </row>
    <row r="114" spans="1:39" x14ac:dyDescent="0.35">
      <c r="A114" s="267"/>
      <c r="B114" s="494" t="s">
        <v>504</v>
      </c>
      <c r="C114" s="273"/>
      <c r="D114" s="272"/>
      <c r="E114" s="273"/>
      <c r="F114" s="272"/>
      <c r="G114" s="272"/>
      <c r="H114" s="272"/>
      <c r="I114" s="272"/>
      <c r="J114" s="272"/>
      <c r="P114" s="269"/>
      <c r="Q114" s="269"/>
      <c r="R114" s="269"/>
      <c r="U114" s="267"/>
      <c r="V114" s="267"/>
      <c r="W114" s="282"/>
      <c r="X114" s="282"/>
      <c r="Y114" s="282"/>
      <c r="Z114" s="282"/>
      <c r="AA114" s="282"/>
      <c r="AB114" s="267"/>
      <c r="AC114" s="267"/>
      <c r="AD114" s="269"/>
      <c r="AE114" s="269"/>
      <c r="AF114" s="269"/>
      <c r="AG114" s="269"/>
      <c r="AH114" s="269"/>
      <c r="AI114" s="269"/>
    </row>
    <row r="115" spans="1:39" x14ac:dyDescent="0.35">
      <c r="A115" s="267"/>
      <c r="B115" s="494"/>
      <c r="E115" s="269"/>
      <c r="J115" s="267"/>
      <c r="O115" s="269" t="s">
        <v>302</v>
      </c>
      <c r="Q115" s="268">
        <v>9.2499999999999999E-2</v>
      </c>
      <c r="Z115" s="269"/>
      <c r="AA115" s="269"/>
      <c r="AD115" s="269"/>
      <c r="AI115" s="269"/>
      <c r="AJ115" s="269"/>
    </row>
    <row r="116" spans="1:39" x14ac:dyDescent="0.35">
      <c r="A116" s="267"/>
      <c r="B116" s="494"/>
      <c r="E116" s="269"/>
      <c r="J116" s="267"/>
      <c r="O116" s="268">
        <v>0.1</v>
      </c>
      <c r="Q116" s="317"/>
      <c r="Z116" s="315"/>
      <c r="AA116" s="315"/>
      <c r="AB116" s="331"/>
      <c r="AC116" s="315"/>
      <c r="AD116" s="315"/>
      <c r="AE116" s="315"/>
      <c r="AI116" s="315"/>
      <c r="AJ116" s="331"/>
      <c r="AK116" s="315">
        <v>200</v>
      </c>
      <c r="AL116" s="315">
        <v>500</v>
      </c>
      <c r="AM116" s="315">
        <v>1000</v>
      </c>
    </row>
    <row r="117" spans="1:39" x14ac:dyDescent="0.35">
      <c r="A117" s="267"/>
      <c r="B117" s="494"/>
      <c r="E117" s="269"/>
      <c r="O117" s="270">
        <v>0.1</v>
      </c>
      <c r="Q117" s="318">
        <v>7.6100000000000001E-2</v>
      </c>
      <c r="Z117" s="273"/>
      <c r="AA117" s="273"/>
      <c r="AB117" s="273"/>
      <c r="AC117" s="273"/>
      <c r="AD117" s="273"/>
      <c r="AE117" s="273"/>
      <c r="AI117" s="273"/>
      <c r="AJ117" s="273"/>
      <c r="AK117" s="283" t="s">
        <v>6</v>
      </c>
      <c r="AL117" s="283" t="s">
        <v>6</v>
      </c>
      <c r="AM117" s="283" t="s">
        <v>6</v>
      </c>
    </row>
    <row r="118" spans="1:39" x14ac:dyDescent="0.35">
      <c r="A118" s="267"/>
      <c r="E118" s="269"/>
      <c r="K118" s="272"/>
      <c r="L118" s="272"/>
      <c r="M118" s="319">
        <f>(M120-K120)</f>
        <v>2545.3095238095239</v>
      </c>
      <c r="O118" s="271">
        <f>O116+O117</f>
        <v>0.2</v>
      </c>
      <c r="Q118" s="271">
        <f>Q116+Q117+Q115</f>
        <v>0.1686</v>
      </c>
      <c r="R118" s="272"/>
      <c r="S118" s="273"/>
      <c r="T118" s="274" t="s">
        <v>76</v>
      </c>
      <c r="U118" s="274" t="s">
        <v>76</v>
      </c>
      <c r="V118" s="274" t="s">
        <v>76</v>
      </c>
      <c r="W118" s="274" t="s">
        <v>76</v>
      </c>
      <c r="X118" s="274" t="s">
        <v>76</v>
      </c>
      <c r="Y118" s="274" t="s">
        <v>76</v>
      </c>
      <c r="Z118" s="269"/>
      <c r="AA118" s="269"/>
      <c r="AD118" s="269"/>
      <c r="AE118" s="269"/>
      <c r="AI118" s="269"/>
      <c r="AJ118" s="269"/>
      <c r="AK118" s="269" t="e">
        <f>SUM(#REF!)*AK116</f>
        <v>#REF!</v>
      </c>
      <c r="AL118" s="269" t="e">
        <f>SUM(#REF!)*AL116</f>
        <v>#REF!</v>
      </c>
      <c r="AM118" s="269" t="e">
        <f>SUM(#REF!)*AM116</f>
        <v>#REF!</v>
      </c>
    </row>
    <row r="119" spans="1:39" ht="42" x14ac:dyDescent="0.35">
      <c r="A119" s="267"/>
      <c r="B119" s="492" t="s">
        <v>66</v>
      </c>
      <c r="C119" s="275" t="s">
        <v>27</v>
      </c>
      <c r="D119" s="320" t="s">
        <v>39</v>
      </c>
      <c r="E119" s="321" t="s">
        <v>29</v>
      </c>
      <c r="F119" s="320" t="s">
        <v>40</v>
      </c>
      <c r="G119" s="320" t="s">
        <v>30</v>
      </c>
      <c r="H119" s="340" t="s">
        <v>247</v>
      </c>
      <c r="I119" s="340"/>
      <c r="J119" s="272"/>
      <c r="K119" s="277" t="s">
        <v>245</v>
      </c>
      <c r="L119" s="278" t="s">
        <v>7</v>
      </c>
      <c r="M119" s="323" t="s">
        <v>80</v>
      </c>
      <c r="N119" s="273"/>
      <c r="O119" s="279" t="s">
        <v>77</v>
      </c>
      <c r="P119" s="279" t="s">
        <v>77</v>
      </c>
      <c r="Q119" s="280" t="s">
        <v>79</v>
      </c>
      <c r="R119" s="272"/>
      <c r="S119" s="273"/>
      <c r="T119" s="341">
        <v>0.05</v>
      </c>
      <c r="U119" s="341">
        <v>0.1</v>
      </c>
      <c r="V119" s="341">
        <v>0.15</v>
      </c>
      <c r="W119" s="341">
        <v>0.2</v>
      </c>
      <c r="X119" s="341">
        <v>0.25</v>
      </c>
      <c r="Y119" s="341">
        <v>0.3</v>
      </c>
      <c r="Z119" s="273"/>
      <c r="AA119" s="273"/>
      <c r="AB119" s="273"/>
      <c r="AC119" s="273"/>
      <c r="AD119" s="273"/>
      <c r="AE119" s="273"/>
      <c r="AI119" s="273"/>
      <c r="AJ119" s="273"/>
      <c r="AK119" s="287" t="s">
        <v>7</v>
      </c>
      <c r="AL119" s="287" t="s">
        <v>7</v>
      </c>
      <c r="AM119" s="287" t="s">
        <v>7</v>
      </c>
    </row>
    <row r="120" spans="1:39" x14ac:dyDescent="0.35">
      <c r="A120" s="273"/>
      <c r="B120" s="492"/>
      <c r="C120" s="269">
        <f>Insumos!C6*6</f>
        <v>1344</v>
      </c>
      <c r="D120" s="342">
        <f>Insumos!C24*6</f>
        <v>51.411428571428566</v>
      </c>
      <c r="E120" s="316">
        <f>Insumos!O5</f>
        <v>500</v>
      </c>
      <c r="F120" s="267">
        <f>(Insumos!$G$6/8)</f>
        <v>29.99</v>
      </c>
      <c r="G120" s="343">
        <f>Insumos!R6+(Insumos!G18/8)</f>
        <v>32.528974358974359</v>
      </c>
      <c r="H120" s="343">
        <f>$M$7*6</f>
        <v>3907.152</v>
      </c>
      <c r="I120" s="343"/>
      <c r="J120" s="267"/>
      <c r="K120" s="267">
        <f>SUM(C120:G120)</f>
        <v>1957.930402930403</v>
      </c>
      <c r="L120" s="267">
        <f>M120-K120</f>
        <v>2545.3095238095239</v>
      </c>
      <c r="M120" s="269">
        <f>K120*2.3</f>
        <v>4503.2399267399269</v>
      </c>
      <c r="O120" s="324">
        <f>ROUNDUP(P120, -1)</f>
        <v>5410</v>
      </c>
      <c r="P120" s="324">
        <f>M120+(M120*O118)</f>
        <v>5403.8879120879119</v>
      </c>
      <c r="Q120" s="267">
        <f>O120-(O120*Q118)-K120</f>
        <v>2539.9435970695968</v>
      </c>
      <c r="T120" s="337">
        <v>50</v>
      </c>
      <c r="U120" s="337">
        <v>100</v>
      </c>
      <c r="V120" s="337">
        <v>200</v>
      </c>
      <c r="W120" s="337">
        <v>500</v>
      </c>
      <c r="X120" s="337">
        <v>1000</v>
      </c>
      <c r="Y120" s="337">
        <v>2000</v>
      </c>
      <c r="Z120" s="269"/>
      <c r="AA120" s="269"/>
      <c r="AD120" s="269"/>
      <c r="AE120" s="269"/>
      <c r="AI120" s="332"/>
      <c r="AJ120" s="332"/>
      <c r="AK120" s="332">
        <v>0.05</v>
      </c>
      <c r="AL120" s="332"/>
      <c r="AM120" s="332"/>
    </row>
    <row r="121" spans="1:39" x14ac:dyDescent="0.35">
      <c r="A121" s="267"/>
      <c r="E121" s="269"/>
      <c r="T121" s="283" t="s">
        <v>6</v>
      </c>
      <c r="U121" s="283" t="s">
        <v>6</v>
      </c>
      <c r="V121" s="283" t="s">
        <v>6</v>
      </c>
      <c r="W121" s="283" t="s">
        <v>6</v>
      </c>
      <c r="X121" s="283" t="s">
        <v>6</v>
      </c>
      <c r="Y121" s="283" t="s">
        <v>6</v>
      </c>
      <c r="Z121" s="269"/>
      <c r="AA121" s="269"/>
      <c r="AD121" s="269"/>
      <c r="AE121" s="269"/>
      <c r="AI121" s="269"/>
      <c r="AJ121" s="269"/>
      <c r="AK121" s="269">
        <f>AJ121-(AJ121*AK120)</f>
        <v>0</v>
      </c>
      <c r="AL121" s="269">
        <f>AK121-(AK121*AL120)</f>
        <v>0</v>
      </c>
      <c r="AM121" s="269">
        <f>AL121-(AL121*AM120)</f>
        <v>0</v>
      </c>
    </row>
    <row r="122" spans="1:39" x14ac:dyDescent="0.35">
      <c r="A122" s="267"/>
      <c r="B122" s="315">
        <v>100</v>
      </c>
      <c r="C122" s="269">
        <f>Insumos!$D$8*6</f>
        <v>0</v>
      </c>
      <c r="D122" s="267">
        <f>D120</f>
        <v>51.411428571428566</v>
      </c>
      <c r="E122" s="316">
        <f>Insumos!$O$5</f>
        <v>500</v>
      </c>
      <c r="F122" s="267">
        <f>(Insumos!$G$6/8)</f>
        <v>29.99</v>
      </c>
      <c r="G122" s="267">
        <f>G120</f>
        <v>32.528974358974359</v>
      </c>
      <c r="H122" s="343">
        <f>H120</f>
        <v>3907.152</v>
      </c>
      <c r="I122" s="343"/>
      <c r="K122" s="267">
        <f>SUM(C122:G122)</f>
        <v>613.93040293040292</v>
      </c>
      <c r="T122" s="269">
        <f>K120*T120</f>
        <v>97896.520146520154</v>
      </c>
      <c r="U122" s="269">
        <f>K122*U120</f>
        <v>61393.040293040292</v>
      </c>
      <c r="V122" s="269">
        <f>K124*V120</f>
        <v>368712.21391941392</v>
      </c>
      <c r="W122" s="269">
        <f>K126*W120</f>
        <v>850916.20146520156</v>
      </c>
      <c r="X122" s="269">
        <f>K128*X120</f>
        <v>1659753.4029304031</v>
      </c>
      <c r="Y122" s="269">
        <f>K130*Y120</f>
        <v>3237214.8058608063</v>
      </c>
      <c r="Z122" s="273"/>
      <c r="AA122" s="273"/>
      <c r="AB122" s="273"/>
      <c r="AC122" s="273"/>
      <c r="AD122" s="273"/>
      <c r="AE122" s="273"/>
      <c r="AI122" s="269"/>
      <c r="AJ122" s="269"/>
      <c r="AK122" s="269">
        <f>AK121*AK116</f>
        <v>0</v>
      </c>
      <c r="AL122" s="269">
        <f>AL121*AL116</f>
        <v>0</v>
      </c>
      <c r="AM122" s="269">
        <f>AM121*AM116</f>
        <v>0</v>
      </c>
    </row>
    <row r="123" spans="1:39" x14ac:dyDescent="0.35">
      <c r="A123" s="267"/>
      <c r="B123" s="315"/>
      <c r="C123" s="267"/>
      <c r="E123" s="269"/>
      <c r="Q123" s="268"/>
      <c r="T123" s="285" t="s">
        <v>77</v>
      </c>
      <c r="U123" s="285" t="s">
        <v>77</v>
      </c>
      <c r="V123" s="285" t="s">
        <v>77</v>
      </c>
      <c r="W123" s="285" t="s">
        <v>77</v>
      </c>
      <c r="X123" s="285" t="s">
        <v>77</v>
      </c>
      <c r="Y123" s="285" t="s">
        <v>77</v>
      </c>
      <c r="Z123" s="282"/>
      <c r="AA123" s="282"/>
      <c r="AB123" s="282"/>
      <c r="AC123" s="282"/>
      <c r="AD123" s="282"/>
      <c r="AE123" s="282"/>
      <c r="AI123" s="273"/>
      <c r="AJ123" s="273"/>
      <c r="AK123" s="344" t="s">
        <v>8</v>
      </c>
      <c r="AL123" s="344" t="s">
        <v>8</v>
      </c>
      <c r="AM123" s="344" t="s">
        <v>8</v>
      </c>
    </row>
    <row r="124" spans="1:39" x14ac:dyDescent="0.35">
      <c r="A124" s="267"/>
      <c r="B124" s="315">
        <v>200</v>
      </c>
      <c r="C124" s="269">
        <f>Insumos!$D$10*6</f>
        <v>1346.6466666666665</v>
      </c>
      <c r="D124" s="267">
        <f>D120</f>
        <v>51.411428571428566</v>
      </c>
      <c r="E124" s="269">
        <f>Insumos!$O$7</f>
        <v>382.98399999999998</v>
      </c>
      <c r="F124" s="267">
        <f>(Insumos!$G$6/8)</f>
        <v>29.99</v>
      </c>
      <c r="G124" s="267">
        <f>G120</f>
        <v>32.528974358974359</v>
      </c>
      <c r="H124" s="343">
        <f>M11*6</f>
        <v>0</v>
      </c>
      <c r="I124" s="343"/>
      <c r="K124" s="267">
        <f>SUM(C124:G124)</f>
        <v>1843.5610695970695</v>
      </c>
      <c r="L124" s="272"/>
      <c r="M124" s="315">
        <v>0.2</v>
      </c>
      <c r="N124" s="315"/>
      <c r="O124" s="326" t="s">
        <v>303</v>
      </c>
      <c r="Q124" s="327" t="s">
        <v>174</v>
      </c>
      <c r="T124" s="286">
        <f t="shared" ref="T124:Y124" si="34">($O120*T120)-(($O120*T120)*T119)</f>
        <v>256975</v>
      </c>
      <c r="U124" s="286">
        <f t="shared" si="34"/>
        <v>486900</v>
      </c>
      <c r="V124" s="286">
        <f t="shared" si="34"/>
        <v>919700</v>
      </c>
      <c r="W124" s="286">
        <f t="shared" si="34"/>
        <v>2164000</v>
      </c>
      <c r="X124" s="286">
        <f t="shared" si="34"/>
        <v>4057500</v>
      </c>
      <c r="Y124" s="286">
        <f t="shared" si="34"/>
        <v>7574000</v>
      </c>
      <c r="Z124" s="269"/>
      <c r="AA124" s="269"/>
      <c r="AD124" s="269"/>
      <c r="AE124" s="269"/>
      <c r="AI124" s="269"/>
      <c r="AJ124" s="269"/>
      <c r="AK124" s="269" t="e">
        <f>AK118+AK122</f>
        <v>#REF!</v>
      </c>
      <c r="AL124" s="269" t="e">
        <f>AL118+AL122</f>
        <v>#REF!</v>
      </c>
      <c r="AM124" s="269" t="e">
        <f>AM118+AM122</f>
        <v>#REF!</v>
      </c>
    </row>
    <row r="125" spans="1:39" x14ac:dyDescent="0.35">
      <c r="B125" s="315"/>
      <c r="O125" s="328">
        <v>0.1</v>
      </c>
      <c r="Q125" s="329">
        <v>0.06</v>
      </c>
      <c r="T125" s="269">
        <f>T124/T120</f>
        <v>5139.5</v>
      </c>
      <c r="U125" s="269">
        <f t="shared" ref="U125:X125" si="35">U124/U120</f>
        <v>4869</v>
      </c>
      <c r="V125" s="269">
        <f t="shared" si="35"/>
        <v>4598.5</v>
      </c>
      <c r="W125" s="269">
        <f t="shared" si="35"/>
        <v>4328</v>
      </c>
      <c r="X125" s="269">
        <f t="shared" si="35"/>
        <v>4057.5</v>
      </c>
      <c r="Y125" s="269">
        <f>Y124/Y120</f>
        <v>3787</v>
      </c>
      <c r="Z125" s="334"/>
      <c r="AA125" s="334"/>
      <c r="AB125" s="334"/>
      <c r="AC125" s="334"/>
      <c r="AD125" s="334"/>
      <c r="AE125" s="334"/>
      <c r="AI125" s="273"/>
      <c r="AJ125" s="273"/>
      <c r="AK125" s="345" t="s">
        <v>9</v>
      </c>
      <c r="AL125" s="345" t="s">
        <v>9</v>
      </c>
      <c r="AM125" s="345" t="s">
        <v>9</v>
      </c>
    </row>
    <row r="126" spans="1:39" x14ac:dyDescent="0.35">
      <c r="B126" s="315">
        <v>500</v>
      </c>
      <c r="C126" s="269">
        <f>Insumos!$D$12*6</f>
        <v>1235.028</v>
      </c>
      <c r="D126" s="267">
        <f>D124</f>
        <v>51.411428571428566</v>
      </c>
      <c r="E126" s="316">
        <f>Insumos!$O$9</f>
        <v>352.87400000000002</v>
      </c>
      <c r="F126" s="267">
        <f>(Insumos!$G$6/8)</f>
        <v>29.99</v>
      </c>
      <c r="G126" s="267">
        <f>G124</f>
        <v>32.528974358974359</v>
      </c>
      <c r="H126" s="343">
        <f>M13*6</f>
        <v>0</v>
      </c>
      <c r="I126" s="343"/>
      <c r="K126" s="267">
        <f>SUM(C126:G126)</f>
        <v>1701.8324029304031</v>
      </c>
      <c r="O126" s="330" t="s">
        <v>65</v>
      </c>
      <c r="P126" s="272"/>
      <c r="Q126" s="287" t="s">
        <v>83</v>
      </c>
      <c r="T126" s="287" t="s">
        <v>78</v>
      </c>
      <c r="U126" s="287" t="s">
        <v>78</v>
      </c>
      <c r="V126" s="287" t="s">
        <v>78</v>
      </c>
      <c r="W126" s="287" t="s">
        <v>78</v>
      </c>
      <c r="X126" s="287" t="s">
        <v>78</v>
      </c>
      <c r="Y126" s="287" t="s">
        <v>78</v>
      </c>
      <c r="AB126" s="267"/>
      <c r="AC126" s="267"/>
      <c r="AI126" s="282"/>
      <c r="AJ126" s="282"/>
      <c r="AK126" s="282" t="e">
        <f>AK124+(AK124*$O$5)</f>
        <v>#REF!</v>
      </c>
      <c r="AL126" s="282" t="e">
        <f>AL124+(AL124*$O$5)</f>
        <v>#REF!</v>
      </c>
      <c r="AM126" s="282" t="e">
        <f>AM124+(AM124*$O$5)</f>
        <v>#REF!</v>
      </c>
    </row>
    <row r="127" spans="1:39" s="272" customFormat="1" ht="31.5" customHeight="1" x14ac:dyDescent="0.35">
      <c r="A127" s="336"/>
      <c r="B127" s="315"/>
      <c r="C127" s="269"/>
      <c r="D127" s="267"/>
      <c r="E127" s="269"/>
      <c r="F127" s="267"/>
      <c r="G127" s="267"/>
      <c r="H127" s="267"/>
      <c r="I127" s="267"/>
      <c r="J127" s="315"/>
      <c r="K127" s="267"/>
      <c r="L127" s="267"/>
      <c r="M127" s="269"/>
      <c r="N127" s="269"/>
      <c r="O127" s="267">
        <f>O120-(O120*O125)</f>
        <v>4869</v>
      </c>
      <c r="P127" s="267"/>
      <c r="Q127" s="267">
        <f>(O127-(O127*Q125))-K120</f>
        <v>2618.9295970695966</v>
      </c>
      <c r="R127" s="267"/>
      <c r="S127" s="269"/>
      <c r="T127" s="269">
        <f>(T124-T122)-(T124*$Q$5)</f>
        <v>115752.49485347983</v>
      </c>
      <c r="U127" s="269">
        <f t="shared" ref="U127:Y127" si="36">(U124-U122)-(U124*$Q$5)</f>
        <v>343415.6197069597</v>
      </c>
      <c r="V127" s="269">
        <f t="shared" si="36"/>
        <v>395926.36608058598</v>
      </c>
      <c r="W127" s="269">
        <f t="shared" si="36"/>
        <v>948233.39853479841</v>
      </c>
      <c r="X127" s="269">
        <f t="shared" si="36"/>
        <v>1713652.0970695969</v>
      </c>
      <c r="Y127" s="269">
        <f t="shared" si="36"/>
        <v>3059808.7941391938</v>
      </c>
      <c r="AI127" s="273"/>
      <c r="AJ127" s="273"/>
      <c r="AK127" s="273" t="e">
        <f>AK126/AK116</f>
        <v>#REF!</v>
      </c>
      <c r="AL127" s="273" t="e">
        <f>AL126/AL116</f>
        <v>#REF!</v>
      </c>
      <c r="AM127" s="273" t="e">
        <f>AM126/AM116</f>
        <v>#REF!</v>
      </c>
    </row>
    <row r="128" spans="1:39" x14ac:dyDescent="0.35">
      <c r="B128" s="315">
        <v>1000</v>
      </c>
      <c r="C128" s="269">
        <f>C126</f>
        <v>1235.028</v>
      </c>
      <c r="D128" s="267">
        <f>D126</f>
        <v>51.411428571428566</v>
      </c>
      <c r="E128" s="269">
        <f>Insumos!$O$11</f>
        <v>310.79500000000002</v>
      </c>
      <c r="F128" s="267">
        <f>(Insumos!$G$6/8)</f>
        <v>29.99</v>
      </c>
      <c r="G128" s="267">
        <f>G126</f>
        <v>32.528974358974359</v>
      </c>
      <c r="H128" s="343">
        <f>M15*6</f>
        <v>0</v>
      </c>
      <c r="I128" s="343"/>
      <c r="K128" s="267">
        <f>SUM(C128:G128)</f>
        <v>1659.7534029304031</v>
      </c>
      <c r="M128" s="269" t="e">
        <f>#REF!+#REF!</f>
        <v>#REF!</v>
      </c>
      <c r="O128" s="272"/>
      <c r="P128" s="272"/>
      <c r="R128" s="272"/>
      <c r="S128" s="273"/>
      <c r="T128" s="269">
        <f>T127/T120</f>
        <v>2315.0498970695967</v>
      </c>
      <c r="U128" s="269">
        <f t="shared" ref="U128:X128" si="37">U127/U120</f>
        <v>3434.1561970695971</v>
      </c>
      <c r="V128" s="269">
        <f t="shared" si="37"/>
        <v>1979.6318304029298</v>
      </c>
      <c r="W128" s="269">
        <f t="shared" si="37"/>
        <v>1896.4667970695969</v>
      </c>
      <c r="X128" s="269">
        <f t="shared" si="37"/>
        <v>1713.6520970695969</v>
      </c>
      <c r="Y128" s="269">
        <f>Y127/Y120</f>
        <v>1529.9043970695968</v>
      </c>
      <c r="Z128" s="269"/>
      <c r="AA128" s="269"/>
      <c r="AD128" s="269"/>
      <c r="AI128" s="269"/>
      <c r="AJ128" s="269"/>
    </row>
    <row r="129" spans="1:36" x14ac:dyDescent="0.35">
      <c r="B129" s="315"/>
      <c r="E129" s="269"/>
      <c r="Q129" s="272"/>
      <c r="T129" s="288" t="s">
        <v>65</v>
      </c>
      <c r="U129" s="288" t="s">
        <v>65</v>
      </c>
      <c r="V129" s="288" t="s">
        <v>65</v>
      </c>
      <c r="W129" s="288" t="s">
        <v>65</v>
      </c>
      <c r="X129" s="288" t="s">
        <v>65</v>
      </c>
      <c r="Y129" s="288" t="s">
        <v>65</v>
      </c>
      <c r="Z129" s="269"/>
      <c r="AA129" s="269"/>
      <c r="AD129" s="269"/>
      <c r="AI129" s="269"/>
      <c r="AJ129" s="269"/>
    </row>
    <row r="130" spans="1:36" x14ac:dyDescent="0.35">
      <c r="A130" s="336"/>
      <c r="B130" s="315">
        <v>2000</v>
      </c>
      <c r="C130" s="269">
        <f>Insumos!$D$12*6</f>
        <v>1235.028</v>
      </c>
      <c r="D130" s="267">
        <f>D128</f>
        <v>51.411428571428566</v>
      </c>
      <c r="E130" s="269">
        <f>Insumos!$O$13</f>
        <v>269.649</v>
      </c>
      <c r="F130" s="267">
        <f t="shared" ref="F130:G130" si="38">F128</f>
        <v>29.99</v>
      </c>
      <c r="G130" s="267">
        <f t="shared" si="38"/>
        <v>32.528974358974359</v>
      </c>
      <c r="H130" s="343">
        <f>M9*6</f>
        <v>3798.18</v>
      </c>
      <c r="I130" s="343"/>
      <c r="K130" s="267">
        <f>SUM(C130:G130)</f>
        <v>1618.6074029304032</v>
      </c>
      <c r="M130" s="269" t="e">
        <f>#REF!+#REF!</f>
        <v>#REF!</v>
      </c>
      <c r="T130" s="269">
        <f>T124-(T124*T131)</f>
        <v>231277.5</v>
      </c>
      <c r="U130" s="269">
        <f>U124-(U124*U131)</f>
        <v>438210</v>
      </c>
      <c r="V130" s="269">
        <f>V124-(V124*V131)</f>
        <v>827730</v>
      </c>
      <c r="W130" s="269">
        <f>W124-(W124*W131)</f>
        <v>1947600</v>
      </c>
      <c r="X130" s="269">
        <f t="shared" ref="X130:Y130" si="39">X124-(X124*X131)</f>
        <v>3651750</v>
      </c>
      <c r="Y130" s="269">
        <f t="shared" si="39"/>
        <v>6816600</v>
      </c>
      <c r="Z130" s="269"/>
      <c r="AA130" s="269"/>
      <c r="AD130" s="269"/>
      <c r="AI130" s="269"/>
      <c r="AJ130" s="269"/>
    </row>
    <row r="131" spans="1:36" x14ac:dyDescent="0.35">
      <c r="B131" s="315"/>
      <c r="C131" s="273"/>
      <c r="D131" s="272"/>
      <c r="E131" s="273"/>
      <c r="F131" s="272"/>
      <c r="G131" s="272"/>
      <c r="H131" s="343"/>
      <c r="I131" s="343"/>
      <c r="J131" s="272"/>
      <c r="T131" s="333">
        <f t="shared" ref="T131:Y131" si="40">$O$12</f>
        <v>0.1</v>
      </c>
      <c r="U131" s="333">
        <f t="shared" si="40"/>
        <v>0.1</v>
      </c>
      <c r="V131" s="333">
        <f t="shared" si="40"/>
        <v>0.1</v>
      </c>
      <c r="W131" s="333">
        <f t="shared" si="40"/>
        <v>0.1</v>
      </c>
      <c r="X131" s="333">
        <f t="shared" si="40"/>
        <v>0.1</v>
      </c>
      <c r="Y131" s="333">
        <f t="shared" si="40"/>
        <v>0.1</v>
      </c>
      <c r="Z131" s="269"/>
      <c r="AA131" s="269"/>
      <c r="AD131" s="269"/>
      <c r="AI131" s="269"/>
      <c r="AJ131" s="269"/>
    </row>
    <row r="132" spans="1:36" x14ac:dyDescent="0.35">
      <c r="T132" s="269">
        <f>T130/T120</f>
        <v>4625.55</v>
      </c>
      <c r="U132" s="267">
        <f t="shared" ref="U132:X132" si="41">U130/U120</f>
        <v>4382.1000000000004</v>
      </c>
      <c r="V132" s="267">
        <f t="shared" si="41"/>
        <v>4138.6499999999996</v>
      </c>
      <c r="W132" s="267">
        <f t="shared" si="41"/>
        <v>3895.2</v>
      </c>
      <c r="X132" s="267">
        <f t="shared" si="41"/>
        <v>3651.75</v>
      </c>
      <c r="Y132" s="267">
        <f>Y130/Y120</f>
        <v>3408.3</v>
      </c>
      <c r="Z132" s="269"/>
      <c r="AA132" s="269"/>
      <c r="AD132" s="269"/>
      <c r="AI132" s="269"/>
      <c r="AJ132" s="269"/>
    </row>
    <row r="133" spans="1:36" x14ac:dyDescent="0.35">
      <c r="T133" s="287" t="s">
        <v>81</v>
      </c>
      <c r="U133" s="287" t="s">
        <v>81</v>
      </c>
      <c r="V133" s="287" t="s">
        <v>81</v>
      </c>
      <c r="W133" s="287" t="s">
        <v>81</v>
      </c>
      <c r="X133" s="287" t="s">
        <v>81</v>
      </c>
      <c r="Y133" s="287" t="s">
        <v>81</v>
      </c>
    </row>
    <row r="134" spans="1:36" x14ac:dyDescent="0.35">
      <c r="B134" s="272"/>
      <c r="C134" s="273"/>
      <c r="D134" s="272"/>
      <c r="E134" s="273"/>
      <c r="F134" s="272"/>
      <c r="G134" s="272"/>
      <c r="H134" s="272"/>
      <c r="I134" s="272"/>
      <c r="J134" s="272"/>
      <c r="K134" s="272"/>
      <c r="L134" s="272"/>
      <c r="M134" s="273"/>
      <c r="N134" s="273"/>
      <c r="O134" s="272"/>
      <c r="P134" s="272"/>
      <c r="R134" s="272"/>
      <c r="S134" s="273"/>
      <c r="T134" s="269">
        <f>T130-(T130*$Q$12)-T122</f>
        <v>119504.32985347985</v>
      </c>
      <c r="U134" s="269">
        <f t="shared" ref="U134:Y134" si="42">U130-(U130*$Q$117)-U122</f>
        <v>343469.1787069597</v>
      </c>
      <c r="V134" s="269">
        <f t="shared" si="42"/>
        <v>396027.53308058606</v>
      </c>
      <c r="W134" s="269">
        <f t="shared" si="42"/>
        <v>948471.43853479833</v>
      </c>
      <c r="X134" s="269">
        <f t="shared" si="42"/>
        <v>1714098.4220695971</v>
      </c>
      <c r="Y134" s="269">
        <f t="shared" si="42"/>
        <v>3060641.934139194</v>
      </c>
    </row>
    <row r="135" spans="1:36" x14ac:dyDescent="0.35">
      <c r="E135" s="269"/>
      <c r="J135" s="267"/>
      <c r="T135" s="273">
        <f t="shared" ref="T135:Y135" si="43">T134/T120</f>
        <v>2390.0865970695972</v>
      </c>
      <c r="U135" s="273">
        <f t="shared" si="43"/>
        <v>3434.691787069597</v>
      </c>
      <c r="V135" s="273">
        <f t="shared" si="43"/>
        <v>1980.1376654029302</v>
      </c>
      <c r="W135" s="273">
        <f t="shared" si="43"/>
        <v>1896.9428770695968</v>
      </c>
      <c r="X135" s="273">
        <f t="shared" si="43"/>
        <v>1714.0984220695971</v>
      </c>
      <c r="Y135" s="273">
        <f t="shared" si="43"/>
        <v>1530.3209670695969</v>
      </c>
    </row>
    <row r="136" spans="1:36" x14ac:dyDescent="0.35">
      <c r="B136" s="315"/>
      <c r="C136" s="273"/>
      <c r="D136" s="272"/>
      <c r="E136" s="273"/>
      <c r="F136" s="272"/>
      <c r="G136" s="272"/>
      <c r="H136" s="272"/>
      <c r="I136" s="272"/>
      <c r="J136" s="272"/>
    </row>
    <row r="137" spans="1:36" x14ac:dyDescent="0.35">
      <c r="B137" s="315"/>
      <c r="C137" s="273"/>
      <c r="D137" s="272"/>
      <c r="E137" s="273"/>
      <c r="F137" s="272"/>
      <c r="G137" s="272"/>
      <c r="H137" s="272"/>
      <c r="I137" s="272"/>
      <c r="J137" s="272"/>
    </row>
    <row r="138" spans="1:36" x14ac:dyDescent="0.35">
      <c r="B138" s="315"/>
      <c r="C138" s="273"/>
      <c r="D138" s="272"/>
      <c r="E138" s="273"/>
      <c r="F138" s="272"/>
      <c r="G138" s="272"/>
      <c r="H138" s="272"/>
      <c r="I138" s="272"/>
      <c r="J138" s="272"/>
    </row>
    <row r="139" spans="1:36" x14ac:dyDescent="0.35">
      <c r="B139" s="315"/>
      <c r="C139" s="273"/>
      <c r="D139" s="272"/>
      <c r="E139" s="273"/>
      <c r="F139" s="272"/>
      <c r="G139" s="272"/>
      <c r="H139" s="272"/>
      <c r="I139" s="272"/>
      <c r="J139" s="272"/>
    </row>
    <row r="140" spans="1:36" x14ac:dyDescent="0.35">
      <c r="B140" s="315"/>
      <c r="C140" s="273"/>
      <c r="D140" s="272"/>
      <c r="E140" s="273"/>
      <c r="F140" s="272"/>
      <c r="G140" s="272"/>
      <c r="H140" s="272"/>
      <c r="I140" s="272"/>
      <c r="J140" s="272"/>
    </row>
    <row r="141" spans="1:36" x14ac:dyDescent="0.35">
      <c r="A141" s="272"/>
      <c r="B141" s="315"/>
      <c r="C141" s="273"/>
      <c r="D141" s="272"/>
      <c r="E141" s="273"/>
      <c r="F141" s="272"/>
      <c r="G141" s="272"/>
      <c r="H141" s="272"/>
      <c r="I141" s="272"/>
      <c r="J141" s="272"/>
    </row>
    <row r="142" spans="1:36" x14ac:dyDescent="0.35">
      <c r="A142" s="267"/>
      <c r="B142" s="273"/>
      <c r="C142" s="273"/>
      <c r="D142" s="273"/>
      <c r="E142" s="273"/>
      <c r="F142" s="273"/>
      <c r="J142" s="267"/>
      <c r="S142" s="273"/>
      <c r="T142" s="273"/>
      <c r="U142" s="273"/>
      <c r="V142" s="273"/>
      <c r="W142" s="273"/>
      <c r="X142" s="272"/>
    </row>
    <row r="143" spans="1:36" x14ac:dyDescent="0.35">
      <c r="A143" s="267"/>
      <c r="B143" s="315"/>
      <c r="C143" s="273"/>
      <c r="D143" s="272"/>
      <c r="E143" s="273"/>
      <c r="F143" s="272"/>
      <c r="G143" s="272"/>
      <c r="H143" s="272"/>
      <c r="I143" s="272"/>
      <c r="J143" s="272"/>
      <c r="Y143" s="272"/>
    </row>
    <row r="144" spans="1:36" x14ac:dyDescent="0.35">
      <c r="A144" s="267"/>
      <c r="B144" s="315"/>
      <c r="C144" s="273"/>
      <c r="D144" s="272"/>
      <c r="E144" s="273"/>
      <c r="F144" s="272"/>
      <c r="G144" s="272"/>
      <c r="H144" s="272"/>
      <c r="I144" s="272"/>
      <c r="J144" s="272"/>
      <c r="Q144" s="267" t="s">
        <v>304</v>
      </c>
    </row>
    <row r="145" spans="1:39" x14ac:dyDescent="0.35">
      <c r="A145" s="267"/>
      <c r="B145" s="315"/>
      <c r="C145" s="273"/>
      <c r="D145" s="272"/>
      <c r="E145" s="273"/>
      <c r="F145" s="272"/>
      <c r="G145" s="272"/>
      <c r="H145" s="272"/>
      <c r="I145" s="272"/>
      <c r="J145" s="272"/>
      <c r="O145" s="269" t="s">
        <v>302</v>
      </c>
      <c r="Q145" s="268">
        <v>9.2499999999999999E-2</v>
      </c>
    </row>
    <row r="146" spans="1:39" x14ac:dyDescent="0.35">
      <c r="A146" s="267"/>
      <c r="B146" s="315"/>
      <c r="C146" s="273"/>
      <c r="D146" s="272"/>
      <c r="E146" s="273"/>
      <c r="F146" s="272"/>
      <c r="G146" s="272"/>
      <c r="H146" s="272"/>
      <c r="I146" s="272"/>
      <c r="J146" s="272"/>
      <c r="O146" s="268">
        <v>0.1</v>
      </c>
      <c r="Q146" s="317"/>
      <c r="Z146" s="273"/>
      <c r="AA146" s="273"/>
      <c r="AB146" s="273"/>
      <c r="AC146" s="273"/>
      <c r="AD146" s="273"/>
      <c r="AE146" s="273"/>
      <c r="AI146" s="269"/>
      <c r="AJ146" s="269"/>
      <c r="AK146" s="269">
        <f>AK143*AK138</f>
        <v>0</v>
      </c>
      <c r="AL146" s="269">
        <f>AL143*AL138</f>
        <v>0</v>
      </c>
      <c r="AM146" s="269">
        <f>AM143*AM138</f>
        <v>0</v>
      </c>
    </row>
    <row r="147" spans="1:39" x14ac:dyDescent="0.35">
      <c r="A147" s="267"/>
      <c r="E147" s="269"/>
      <c r="O147" s="270">
        <v>0.1</v>
      </c>
      <c r="Q147" s="318">
        <v>7.6100000000000001E-2</v>
      </c>
      <c r="Z147" s="282"/>
      <c r="AA147" s="282"/>
      <c r="AB147" s="282"/>
      <c r="AC147" s="282"/>
      <c r="AD147" s="282"/>
      <c r="AE147" s="282"/>
      <c r="AI147" s="273"/>
      <c r="AJ147" s="273"/>
      <c r="AK147" s="344" t="s">
        <v>8</v>
      </c>
      <c r="AL147" s="344" t="s">
        <v>8</v>
      </c>
      <c r="AM147" s="344" t="s">
        <v>8</v>
      </c>
    </row>
    <row r="148" spans="1:39" x14ac:dyDescent="0.35">
      <c r="A148" s="267"/>
      <c r="E148" s="269"/>
      <c r="K148" s="272"/>
      <c r="L148" s="272"/>
      <c r="M148" s="319">
        <f>(M150-K150)</f>
        <v>3117.1864285714287</v>
      </c>
      <c r="O148" s="271">
        <f>O146+O147</f>
        <v>0.2</v>
      </c>
      <c r="Q148" s="271">
        <f>Q146+Q147+Q145</f>
        <v>0.1686</v>
      </c>
      <c r="R148" s="272"/>
      <c r="S148" s="273"/>
      <c r="T148" s="274" t="s">
        <v>76</v>
      </c>
      <c r="U148" s="274" t="s">
        <v>76</v>
      </c>
      <c r="V148" s="274" t="s">
        <v>76</v>
      </c>
      <c r="W148" s="274" t="s">
        <v>76</v>
      </c>
      <c r="X148" s="274" t="s">
        <v>76</v>
      </c>
      <c r="Y148" s="274" t="s">
        <v>76</v>
      </c>
      <c r="Z148" s="269"/>
      <c r="AA148" s="269"/>
      <c r="AD148" s="269"/>
      <c r="AE148" s="269"/>
      <c r="AI148" s="269"/>
      <c r="AJ148" s="269"/>
      <c r="AK148" s="269">
        <f>AK140+AK146</f>
        <v>0</v>
      </c>
      <c r="AL148" s="269">
        <f>AL140+AL146</f>
        <v>0</v>
      </c>
      <c r="AM148" s="269">
        <f>AM140+AM146</f>
        <v>0</v>
      </c>
    </row>
    <row r="149" spans="1:39" ht="42" x14ac:dyDescent="0.35">
      <c r="B149" s="492" t="s">
        <v>44</v>
      </c>
      <c r="C149" s="275" t="s">
        <v>27</v>
      </c>
      <c r="D149" s="320" t="s">
        <v>39</v>
      </c>
      <c r="E149" s="321" t="s">
        <v>29</v>
      </c>
      <c r="F149" s="320" t="s">
        <v>45</v>
      </c>
      <c r="G149" s="320" t="s">
        <v>30</v>
      </c>
      <c r="H149" s="340" t="s">
        <v>247</v>
      </c>
      <c r="I149" s="340"/>
      <c r="J149" s="336"/>
      <c r="K149" s="277" t="s">
        <v>245</v>
      </c>
      <c r="L149" s="278" t="s">
        <v>7</v>
      </c>
      <c r="M149" s="323" t="s">
        <v>80</v>
      </c>
      <c r="N149" s="273"/>
      <c r="O149" s="279" t="s">
        <v>77</v>
      </c>
      <c r="P149" s="279" t="s">
        <v>77</v>
      </c>
      <c r="Q149" s="280" t="s">
        <v>79</v>
      </c>
      <c r="R149" s="272"/>
      <c r="S149" s="273"/>
      <c r="T149" s="341">
        <v>0.05</v>
      </c>
      <c r="U149" s="341">
        <v>0.1</v>
      </c>
      <c r="V149" s="341">
        <v>0.15</v>
      </c>
      <c r="W149" s="341">
        <v>0.2</v>
      </c>
      <c r="X149" s="341">
        <v>0.25</v>
      </c>
      <c r="Y149" s="341">
        <v>0.3</v>
      </c>
      <c r="Z149" s="334"/>
      <c r="AA149" s="334"/>
      <c r="AB149" s="334"/>
      <c r="AC149" s="334"/>
      <c r="AD149" s="334"/>
      <c r="AE149" s="334"/>
      <c r="AI149" s="273"/>
      <c r="AJ149" s="273"/>
      <c r="AK149" s="345" t="s">
        <v>9</v>
      </c>
      <c r="AL149" s="345" t="s">
        <v>9</v>
      </c>
      <c r="AM149" s="345" t="s">
        <v>9</v>
      </c>
    </row>
    <row r="150" spans="1:39" x14ac:dyDescent="0.35">
      <c r="B150" s="492"/>
      <c r="C150" s="269">
        <f>C120</f>
        <v>1344</v>
      </c>
      <c r="D150" s="342">
        <f>((Insumos!G9/28)*6)+(Insumos!G15/28)</f>
        <v>59.097142857142863</v>
      </c>
      <c r="E150" s="316">
        <f>E120</f>
        <v>500</v>
      </c>
      <c r="F150" s="267">
        <f>Insumos!C41</f>
        <v>83.428571428571431</v>
      </c>
      <c r="G150" s="343">
        <f>(Insumos!G18/8)+(Insumos!G15/3.5)</f>
        <v>91.598571428571432</v>
      </c>
      <c r="H150" s="343">
        <f>(C7+$L$7+$D$150)*6</f>
        <v>4210.3234285714288</v>
      </c>
      <c r="I150" s="343"/>
      <c r="J150" s="267"/>
      <c r="K150" s="267">
        <f>SUM(C150:G150)</f>
        <v>2078.1242857142856</v>
      </c>
      <c r="L150" s="267">
        <f>M150-K150</f>
        <v>3117.1864285714287</v>
      </c>
      <c r="M150" s="269">
        <f>K150*2.5</f>
        <v>5195.3107142857143</v>
      </c>
      <c r="O150" s="324">
        <f>ROUNDUP(P150, -1)</f>
        <v>6240</v>
      </c>
      <c r="P150" s="324">
        <f>M150+(M150*O148)</f>
        <v>6234.3728571428574</v>
      </c>
      <c r="Q150" s="267">
        <f>O150-(O150*Q148)-K150</f>
        <v>3109.8117142857141</v>
      </c>
      <c r="T150" s="337">
        <v>50</v>
      </c>
      <c r="U150" s="337">
        <v>100</v>
      </c>
      <c r="V150" s="337">
        <v>200</v>
      </c>
      <c r="W150" s="337">
        <v>500</v>
      </c>
      <c r="X150" s="337">
        <v>1000</v>
      </c>
      <c r="Y150" s="337">
        <v>2000</v>
      </c>
      <c r="AB150" s="267"/>
      <c r="AC150" s="267"/>
      <c r="AI150" s="282"/>
      <c r="AJ150" s="282"/>
      <c r="AK150" s="282">
        <f>AK148+(AK148*$O$5)</f>
        <v>0</v>
      </c>
      <c r="AL150" s="282">
        <f>AL148+(AL148*$O$5)</f>
        <v>0</v>
      </c>
      <c r="AM150" s="282">
        <f>AM148+(AM148*$O$5)</f>
        <v>0</v>
      </c>
    </row>
    <row r="151" spans="1:39" s="272" customFormat="1" ht="31.5" customHeight="1" x14ac:dyDescent="0.35">
      <c r="A151" s="336"/>
      <c r="B151" s="267"/>
      <c r="C151" s="269"/>
      <c r="D151" s="267"/>
      <c r="E151" s="269"/>
      <c r="F151" s="267"/>
      <c r="G151" s="267"/>
      <c r="H151" s="267"/>
      <c r="I151" s="267"/>
      <c r="J151" s="315"/>
      <c r="K151" s="267"/>
      <c r="L151" s="267"/>
      <c r="M151" s="269"/>
      <c r="N151" s="269"/>
      <c r="O151" s="267"/>
      <c r="P151" s="267"/>
      <c r="Q151" s="267"/>
      <c r="R151" s="267"/>
      <c r="S151" s="269"/>
      <c r="T151" s="283" t="s">
        <v>6</v>
      </c>
      <c r="U151" s="283" t="s">
        <v>6</v>
      </c>
      <c r="V151" s="283" t="s">
        <v>6</v>
      </c>
      <c r="W151" s="283" t="s">
        <v>6</v>
      </c>
      <c r="X151" s="283" t="s">
        <v>6</v>
      </c>
      <c r="Y151" s="283" t="s">
        <v>6</v>
      </c>
      <c r="AI151" s="273"/>
      <c r="AJ151" s="273"/>
      <c r="AK151" s="273" t="e">
        <f>AK150/AK138</f>
        <v>#DIV/0!</v>
      </c>
      <c r="AL151" s="273" t="e">
        <f>AL150/AL138</f>
        <v>#DIV/0!</v>
      </c>
      <c r="AM151" s="273" t="e">
        <f>AM150/AM138</f>
        <v>#DIV/0!</v>
      </c>
    </row>
    <row r="152" spans="1:39" x14ac:dyDescent="0.35">
      <c r="B152" s="315">
        <v>100</v>
      </c>
      <c r="C152" s="269">
        <f>C122</f>
        <v>0</v>
      </c>
      <c r="D152" s="267">
        <f>D150</f>
        <v>59.097142857142863</v>
      </c>
      <c r="E152" s="316">
        <f>Insumos!$O$5</f>
        <v>500</v>
      </c>
      <c r="F152" s="267">
        <f>F150</f>
        <v>83.428571428571431</v>
      </c>
      <c r="G152" s="267">
        <f>G150</f>
        <v>91.598571428571432</v>
      </c>
      <c r="H152" s="343" t="e">
        <f>(#REF!+$L$7+$D$150)*6</f>
        <v>#REF!</v>
      </c>
      <c r="I152" s="343"/>
      <c r="K152" s="267">
        <f>SUM(C152:G152)+I152</f>
        <v>734.12428571428575</v>
      </c>
      <c r="T152" s="269">
        <f>K150*T150</f>
        <v>103906.21428571428</v>
      </c>
      <c r="U152" s="269">
        <f>K152*U150</f>
        <v>73412.42857142858</v>
      </c>
      <c r="V152" s="269">
        <f>K154*V150</f>
        <v>392750.9904761904</v>
      </c>
      <c r="W152" s="269">
        <f>K156*W150</f>
        <v>911013.14285714284</v>
      </c>
      <c r="X152" s="269">
        <f>K158*X150</f>
        <v>1779947.2857142857</v>
      </c>
      <c r="Y152" s="269">
        <f>K160*Y150</f>
        <v>3477602.5714285714</v>
      </c>
      <c r="Z152" s="269"/>
      <c r="AA152" s="269"/>
      <c r="AD152" s="269"/>
      <c r="AI152" s="269"/>
      <c r="AJ152" s="269"/>
    </row>
    <row r="153" spans="1:39" x14ac:dyDescent="0.35">
      <c r="B153" s="315"/>
      <c r="C153" s="267"/>
      <c r="E153" s="269"/>
      <c r="H153" s="343"/>
      <c r="I153" s="343"/>
      <c r="Q153" s="268"/>
      <c r="T153" s="285" t="s">
        <v>77</v>
      </c>
      <c r="U153" s="285" t="s">
        <v>77</v>
      </c>
      <c r="V153" s="285" t="s">
        <v>77</v>
      </c>
      <c r="W153" s="285" t="s">
        <v>77</v>
      </c>
      <c r="X153" s="285" t="s">
        <v>77</v>
      </c>
      <c r="Y153" s="285" t="s">
        <v>77</v>
      </c>
      <c r="Z153" s="269"/>
      <c r="AA153" s="269"/>
      <c r="AD153" s="269"/>
      <c r="AI153" s="269"/>
      <c r="AJ153" s="269"/>
    </row>
    <row r="154" spans="1:39" x14ac:dyDescent="0.35">
      <c r="A154" s="336"/>
      <c r="B154" s="315">
        <v>200</v>
      </c>
      <c r="C154" s="269">
        <f>C124</f>
        <v>1346.6466666666665</v>
      </c>
      <c r="D154" s="267">
        <f>D150</f>
        <v>59.097142857142863</v>
      </c>
      <c r="E154" s="269">
        <f>Insumos!$O$7</f>
        <v>382.98399999999998</v>
      </c>
      <c r="F154" s="267">
        <f>F152</f>
        <v>83.428571428571431</v>
      </c>
      <c r="G154" s="267">
        <f>G150</f>
        <v>91.598571428571432</v>
      </c>
      <c r="H154" s="343">
        <f>(C11+$L$7+$D$150)*6</f>
        <v>2866.3234285714284</v>
      </c>
      <c r="I154" s="343"/>
      <c r="K154" s="267">
        <f>SUM(C154:G154)+I154</f>
        <v>1963.7549523809521</v>
      </c>
      <c r="L154" s="272"/>
      <c r="M154" s="315">
        <v>0.2</v>
      </c>
      <c r="N154" s="315"/>
      <c r="O154" s="326" t="s">
        <v>303</v>
      </c>
      <c r="Q154" s="327" t="s">
        <v>174</v>
      </c>
      <c r="T154" s="286">
        <f t="shared" ref="T154:Y154" si="44">($O150*T150)-(($O150*T150)*T149)</f>
        <v>296400</v>
      </c>
      <c r="U154" s="286">
        <f t="shared" si="44"/>
        <v>561600</v>
      </c>
      <c r="V154" s="286">
        <f t="shared" si="44"/>
        <v>1060800</v>
      </c>
      <c r="W154" s="286">
        <f t="shared" si="44"/>
        <v>2496000</v>
      </c>
      <c r="X154" s="286">
        <f t="shared" si="44"/>
        <v>4680000</v>
      </c>
      <c r="Y154" s="286">
        <f t="shared" si="44"/>
        <v>8736000</v>
      </c>
      <c r="Z154" s="269"/>
      <c r="AA154" s="269"/>
      <c r="AD154" s="269"/>
      <c r="AI154" s="269"/>
      <c r="AJ154" s="269"/>
    </row>
    <row r="155" spans="1:39" x14ac:dyDescent="0.35">
      <c r="B155" s="315"/>
      <c r="H155" s="343"/>
      <c r="I155" s="343"/>
      <c r="O155" s="328">
        <v>0.1</v>
      </c>
      <c r="Q155" s="329">
        <v>0.06</v>
      </c>
      <c r="T155" s="269">
        <f>T154/T150</f>
        <v>5928</v>
      </c>
      <c r="U155" s="269">
        <f t="shared" ref="U155:X155" si="45">U154/U150</f>
        <v>5616</v>
      </c>
      <c r="V155" s="269">
        <f t="shared" si="45"/>
        <v>5304</v>
      </c>
      <c r="W155" s="269">
        <f t="shared" si="45"/>
        <v>4992</v>
      </c>
      <c r="X155" s="269">
        <f t="shared" si="45"/>
        <v>4680</v>
      </c>
      <c r="Y155" s="269">
        <f>Y154/Y150</f>
        <v>4368</v>
      </c>
      <c r="Z155" s="269"/>
      <c r="AA155" s="269"/>
      <c r="AD155" s="269"/>
      <c r="AI155" s="269"/>
      <c r="AJ155" s="269"/>
    </row>
    <row r="156" spans="1:39" x14ac:dyDescent="0.35">
      <c r="B156" s="315">
        <v>500</v>
      </c>
      <c r="C156" s="269">
        <f>C126</f>
        <v>1235.028</v>
      </c>
      <c r="D156" s="267">
        <f>D154</f>
        <v>59.097142857142863</v>
      </c>
      <c r="E156" s="316">
        <f>Insumos!$O$9</f>
        <v>352.87400000000002</v>
      </c>
      <c r="F156" s="267">
        <f>F154</f>
        <v>83.428571428571431</v>
      </c>
      <c r="G156" s="267">
        <f>G154</f>
        <v>91.598571428571432</v>
      </c>
      <c r="H156" s="343">
        <f>(C13+$L$7+$D$150)*6</f>
        <v>2866.3234285714284</v>
      </c>
      <c r="I156" s="343"/>
      <c r="K156" s="267">
        <f>SUM(C156:G156)+I156</f>
        <v>1822.0262857142857</v>
      </c>
      <c r="O156" s="330" t="s">
        <v>65</v>
      </c>
      <c r="P156" s="272"/>
      <c r="Q156" s="287" t="s">
        <v>83</v>
      </c>
      <c r="T156" s="287" t="s">
        <v>78</v>
      </c>
      <c r="U156" s="287" t="s">
        <v>78</v>
      </c>
      <c r="V156" s="287" t="s">
        <v>78</v>
      </c>
      <c r="W156" s="287" t="s">
        <v>78</v>
      </c>
      <c r="X156" s="287" t="s">
        <v>78</v>
      </c>
      <c r="Y156" s="287" t="s">
        <v>78</v>
      </c>
      <c r="Z156" s="269"/>
      <c r="AA156" s="269"/>
      <c r="AD156" s="269"/>
      <c r="AI156" s="269"/>
      <c r="AJ156" s="269"/>
    </row>
    <row r="157" spans="1:39" x14ac:dyDescent="0.35">
      <c r="B157" s="315"/>
      <c r="E157" s="269"/>
      <c r="H157" s="343"/>
      <c r="I157" s="343"/>
      <c r="O157" s="267">
        <f>O150-(O150*O155)</f>
        <v>5616</v>
      </c>
      <c r="Q157" s="267">
        <f>(O157-(O157*Q155))-K150</f>
        <v>3200.9157142857143</v>
      </c>
      <c r="T157" s="269">
        <f>(T154-T152)-(T154*$Q$5)</f>
        <v>142520.74571428573</v>
      </c>
      <c r="U157" s="269">
        <f t="shared" ref="U157:Y157" si="46">(U154-U152)-(U154*$Q$5)</f>
        <v>393501.81142857141</v>
      </c>
      <c r="V157" s="269">
        <f t="shared" si="46"/>
        <v>489198.12952380965</v>
      </c>
      <c r="W157" s="269">
        <f t="shared" si="46"/>
        <v>1164161.2571428572</v>
      </c>
      <c r="X157" s="269">
        <f t="shared" si="46"/>
        <v>2111004.7142857146</v>
      </c>
      <c r="Y157" s="269">
        <f t="shared" si="46"/>
        <v>3785507.828571429</v>
      </c>
    </row>
    <row r="158" spans="1:39" x14ac:dyDescent="0.35">
      <c r="B158" s="315">
        <v>1000</v>
      </c>
      <c r="C158" s="269">
        <f>C128</f>
        <v>1235.028</v>
      </c>
      <c r="D158" s="267">
        <f>D156</f>
        <v>59.097142857142863</v>
      </c>
      <c r="E158" s="269">
        <f>Insumos!$O$11</f>
        <v>310.79500000000002</v>
      </c>
      <c r="F158" s="267">
        <f>F156</f>
        <v>83.428571428571431</v>
      </c>
      <c r="G158" s="267">
        <f>G156</f>
        <v>91.598571428571432</v>
      </c>
      <c r="H158" s="343">
        <f>(C15+$L$7+$D$150)*6</f>
        <v>2866.3234285714284</v>
      </c>
      <c r="I158" s="343"/>
      <c r="K158" s="267">
        <f>SUM(C158:G158)+I158</f>
        <v>1779.9472857142857</v>
      </c>
      <c r="M158" s="269" t="e">
        <f>#REF!+#REF!</f>
        <v>#REF!</v>
      </c>
      <c r="O158" s="272"/>
      <c r="P158" s="272"/>
      <c r="R158" s="272"/>
      <c r="S158" s="273"/>
      <c r="T158" s="269">
        <f>T157/T150</f>
        <v>2850.4149142857145</v>
      </c>
      <c r="U158" s="269">
        <f t="shared" ref="U158:X158" si="47">U157/U150</f>
        <v>3935.0181142857141</v>
      </c>
      <c r="V158" s="269">
        <f t="shared" si="47"/>
        <v>2445.9906476190481</v>
      </c>
      <c r="W158" s="269">
        <f t="shared" si="47"/>
        <v>2328.3225142857145</v>
      </c>
      <c r="X158" s="269">
        <f t="shared" si="47"/>
        <v>2111.0047142857147</v>
      </c>
      <c r="Y158" s="269">
        <f>Y157/Y150</f>
        <v>1892.7539142857145</v>
      </c>
    </row>
    <row r="159" spans="1:39" x14ac:dyDescent="0.35">
      <c r="B159" s="315"/>
      <c r="E159" s="269"/>
      <c r="H159" s="343"/>
      <c r="I159" s="343"/>
      <c r="Q159" s="272"/>
      <c r="T159" s="288" t="s">
        <v>65</v>
      </c>
      <c r="U159" s="288" t="s">
        <v>65</v>
      </c>
      <c r="V159" s="288" t="s">
        <v>65</v>
      </c>
      <c r="W159" s="288" t="s">
        <v>65</v>
      </c>
      <c r="X159" s="288" t="s">
        <v>65</v>
      </c>
      <c r="Y159" s="288" t="s">
        <v>65</v>
      </c>
    </row>
    <row r="160" spans="1:39" x14ac:dyDescent="0.35">
      <c r="B160" s="315">
        <v>2000</v>
      </c>
      <c r="C160" s="269">
        <f>C130</f>
        <v>1235.028</v>
      </c>
      <c r="D160" s="267">
        <f>D158</f>
        <v>59.097142857142863</v>
      </c>
      <c r="E160" s="269">
        <f>Insumos!$O$13</f>
        <v>269.649</v>
      </c>
      <c r="F160" s="267">
        <f>F158</f>
        <v>83.428571428571431</v>
      </c>
      <c r="G160" s="267">
        <f t="shared" ref="G160" si="48">G158</f>
        <v>91.598571428571432</v>
      </c>
      <c r="H160" s="343">
        <f>(C9+$L$7+$D$150)*6</f>
        <v>4101.3514285714282</v>
      </c>
      <c r="I160" s="343"/>
      <c r="K160" s="267">
        <f>SUM(C160:G160)+I160</f>
        <v>1738.8012857142858</v>
      </c>
      <c r="M160" s="269" t="e">
        <f>#REF!+#REF!</f>
        <v>#REF!</v>
      </c>
      <c r="T160" s="269">
        <f>T154-(T154*T161)</f>
        <v>266760</v>
      </c>
      <c r="U160" s="269">
        <f>U154-(U154*U161)</f>
        <v>505440</v>
      </c>
      <c r="V160" s="269">
        <f>V154-(V154*V161)</f>
        <v>954720</v>
      </c>
      <c r="W160" s="269">
        <f>W154-(W154*W161)</f>
        <v>2246400</v>
      </c>
      <c r="X160" s="269">
        <f t="shared" ref="X160:Y160" si="49">X154-(X154*X161)</f>
        <v>4212000</v>
      </c>
      <c r="Y160" s="269">
        <f t="shared" si="49"/>
        <v>7862400</v>
      </c>
    </row>
    <row r="161" spans="1:25" x14ac:dyDescent="0.35">
      <c r="C161" s="273"/>
      <c r="D161" s="272"/>
      <c r="E161" s="273"/>
      <c r="F161" s="272"/>
      <c r="G161" s="272"/>
      <c r="H161" s="272"/>
      <c r="I161" s="272"/>
      <c r="J161" s="272"/>
      <c r="T161" s="333">
        <f t="shared" ref="T161:Y161" si="50">$O$12</f>
        <v>0.1</v>
      </c>
      <c r="U161" s="333">
        <f t="shared" si="50"/>
        <v>0.1</v>
      </c>
      <c r="V161" s="333">
        <f t="shared" si="50"/>
        <v>0.1</v>
      </c>
      <c r="W161" s="333">
        <f t="shared" si="50"/>
        <v>0.1</v>
      </c>
      <c r="X161" s="333">
        <f t="shared" si="50"/>
        <v>0.1</v>
      </c>
      <c r="Y161" s="333">
        <f t="shared" si="50"/>
        <v>0.1</v>
      </c>
    </row>
    <row r="162" spans="1:25" x14ac:dyDescent="0.35">
      <c r="T162" s="269">
        <f>T160/T150</f>
        <v>5335.2</v>
      </c>
      <c r="U162" s="267">
        <f t="shared" ref="U162:X162" si="51">U160/U150</f>
        <v>5054.3999999999996</v>
      </c>
      <c r="V162" s="267">
        <f t="shared" si="51"/>
        <v>4773.6000000000004</v>
      </c>
      <c r="W162" s="267">
        <f t="shared" si="51"/>
        <v>4492.8</v>
      </c>
      <c r="X162" s="267">
        <f t="shared" si="51"/>
        <v>4212</v>
      </c>
      <c r="Y162" s="267">
        <f>Y160/Y150</f>
        <v>3931.2</v>
      </c>
    </row>
    <row r="163" spans="1:25" x14ac:dyDescent="0.35">
      <c r="B163" s="272"/>
      <c r="T163" s="287" t="s">
        <v>81</v>
      </c>
      <c r="U163" s="287" t="s">
        <v>81</v>
      </c>
      <c r="V163" s="287" t="s">
        <v>81</v>
      </c>
      <c r="W163" s="287" t="s">
        <v>81</v>
      </c>
      <c r="X163" s="287" t="s">
        <v>81</v>
      </c>
      <c r="Y163" s="287" t="s">
        <v>81</v>
      </c>
    </row>
    <row r="164" spans="1:25" x14ac:dyDescent="0.35">
      <c r="C164" s="273"/>
      <c r="D164" s="272"/>
      <c r="E164" s="273"/>
      <c r="F164" s="272"/>
      <c r="G164" s="272"/>
      <c r="H164" s="272"/>
      <c r="I164" s="272"/>
      <c r="J164" s="272"/>
      <c r="K164" s="272"/>
      <c r="L164" s="272"/>
      <c r="M164" s="273"/>
      <c r="N164" s="273"/>
      <c r="O164" s="272"/>
      <c r="P164" s="272"/>
      <c r="R164" s="272"/>
      <c r="S164" s="273"/>
      <c r="T164" s="269">
        <f>T160-(T160*$Q$12)-T152</f>
        <v>146848.1857142857</v>
      </c>
      <c r="U164" s="269">
        <f>U160-(U160*$Q$117)-U152</f>
        <v>393563.58742857142</v>
      </c>
      <c r="V164" s="269">
        <f t="shared" ref="V164:Y164" si="52">V160-(V160*$Q$117)-V152</f>
        <v>489314.81752380956</v>
      </c>
      <c r="W164" s="269">
        <f t="shared" si="52"/>
        <v>1164435.8171428572</v>
      </c>
      <c r="X164" s="269">
        <f t="shared" si="52"/>
        <v>2111519.5142857144</v>
      </c>
      <c r="Y164" s="269">
        <f t="shared" si="52"/>
        <v>3786468.788571429</v>
      </c>
    </row>
    <row r="165" spans="1:25" x14ac:dyDescent="0.35">
      <c r="A165" s="272"/>
      <c r="B165" s="315"/>
      <c r="E165" s="269"/>
      <c r="J165" s="267"/>
      <c r="K165" s="267">
        <f>K150*30</f>
        <v>62343.728571428568</v>
      </c>
      <c r="Q165" s="267" t="s">
        <v>304</v>
      </c>
      <c r="T165" s="273">
        <f t="shared" ref="T165:Y165" si="53">T164/T150</f>
        <v>2936.9637142857141</v>
      </c>
      <c r="U165" s="273">
        <f t="shared" si="53"/>
        <v>3935.6358742857142</v>
      </c>
      <c r="V165" s="273">
        <f t="shared" si="53"/>
        <v>2446.574087619048</v>
      </c>
      <c r="W165" s="273">
        <f t="shared" si="53"/>
        <v>2328.8716342857147</v>
      </c>
      <c r="X165" s="273">
        <f t="shared" si="53"/>
        <v>2111.5195142857142</v>
      </c>
      <c r="Y165" s="273">
        <f t="shared" si="53"/>
        <v>1893.2343942857144</v>
      </c>
    </row>
    <row r="166" spans="1:25" x14ac:dyDescent="0.35">
      <c r="A166" s="267"/>
      <c r="B166" s="315"/>
      <c r="E166" s="269"/>
      <c r="J166" s="267"/>
      <c r="T166" s="273"/>
      <c r="U166" s="273"/>
      <c r="V166" s="273"/>
      <c r="W166" s="273"/>
      <c r="X166" s="273"/>
      <c r="Y166" s="273"/>
    </row>
    <row r="167" spans="1:25" x14ac:dyDescent="0.35">
      <c r="A167" s="267"/>
      <c r="B167" s="315"/>
      <c r="E167" s="269"/>
      <c r="J167" s="267"/>
      <c r="T167" s="273"/>
      <c r="U167" s="273"/>
      <c r="V167" s="273"/>
      <c r="W167" s="273"/>
      <c r="X167" s="273"/>
      <c r="Y167" s="273"/>
    </row>
    <row r="168" spans="1:25" x14ac:dyDescent="0.35">
      <c r="A168" s="267"/>
      <c r="B168" s="315"/>
      <c r="C168" s="273"/>
      <c r="D168" s="272"/>
      <c r="E168" s="273"/>
      <c r="F168" s="272"/>
      <c r="G168" s="272"/>
      <c r="H168" s="272"/>
      <c r="I168" s="272"/>
      <c r="J168" s="272"/>
      <c r="Q168" s="267" t="s">
        <v>304</v>
      </c>
    </row>
    <row r="169" spans="1:25" x14ac:dyDescent="0.35">
      <c r="A169" s="267"/>
      <c r="B169" s="315"/>
      <c r="C169" s="273"/>
      <c r="D169" s="272"/>
      <c r="E169" s="273"/>
      <c r="F169" s="272"/>
      <c r="G169" s="272"/>
      <c r="H169" s="272"/>
      <c r="I169" s="272"/>
      <c r="J169" s="272"/>
      <c r="O169" s="269" t="s">
        <v>302</v>
      </c>
      <c r="Q169" s="268">
        <v>9.2499999999999999E-2</v>
      </c>
    </row>
    <row r="170" spans="1:25" x14ac:dyDescent="0.35">
      <c r="A170" s="267"/>
      <c r="B170" s="315"/>
      <c r="C170" s="273"/>
      <c r="D170" s="272"/>
      <c r="E170" s="273"/>
      <c r="F170" s="272"/>
      <c r="G170" s="272"/>
      <c r="H170" s="272"/>
      <c r="I170" s="272"/>
      <c r="J170" s="272"/>
      <c r="O170" s="268">
        <v>0.1</v>
      </c>
      <c r="Q170" s="317"/>
    </row>
    <row r="171" spans="1:25" x14ac:dyDescent="0.35">
      <c r="A171" s="267"/>
      <c r="E171" s="269"/>
      <c r="O171" s="270">
        <v>0.1</v>
      </c>
      <c r="Q171" s="318">
        <v>7.6100000000000001E-2</v>
      </c>
    </row>
    <row r="172" spans="1:25" x14ac:dyDescent="0.35">
      <c r="A172" s="267"/>
      <c r="E172" s="269"/>
      <c r="K172" s="272"/>
      <c r="L172" s="272"/>
      <c r="M172" s="319">
        <f>(M174-K174)</f>
        <v>4606.2485714285704</v>
      </c>
      <c r="O172" s="271">
        <f>O170+O171</f>
        <v>0.2</v>
      </c>
      <c r="Q172" s="271">
        <f>Q170+Q171+Q169</f>
        <v>0.1686</v>
      </c>
      <c r="R172" s="272"/>
      <c r="S172" s="273"/>
      <c r="T172" s="274" t="s">
        <v>76</v>
      </c>
      <c r="U172" s="274" t="s">
        <v>76</v>
      </c>
      <c r="V172" s="274" t="s">
        <v>76</v>
      </c>
      <c r="W172" s="274" t="s">
        <v>76</v>
      </c>
      <c r="X172" s="274" t="s">
        <v>76</v>
      </c>
      <c r="Y172" s="274" t="s">
        <v>76</v>
      </c>
    </row>
    <row r="173" spans="1:25" ht="42" x14ac:dyDescent="0.35">
      <c r="A173" s="267"/>
      <c r="B173" s="493" t="s">
        <v>324</v>
      </c>
      <c r="C173" s="275" t="s">
        <v>27</v>
      </c>
      <c r="D173" s="320" t="s">
        <v>39</v>
      </c>
      <c r="E173" s="321" t="s">
        <v>29</v>
      </c>
      <c r="F173" s="320" t="s">
        <v>45</v>
      </c>
      <c r="G173" s="320" t="s">
        <v>30</v>
      </c>
      <c r="H173" s="340" t="s">
        <v>247</v>
      </c>
      <c r="I173" s="340" t="s">
        <v>322</v>
      </c>
      <c r="J173" s="336"/>
      <c r="K173" s="277" t="s">
        <v>245</v>
      </c>
      <c r="L173" s="278" t="s">
        <v>7</v>
      </c>
      <c r="M173" s="323" t="s">
        <v>80</v>
      </c>
      <c r="N173" s="273"/>
      <c r="O173" s="279" t="s">
        <v>77</v>
      </c>
      <c r="P173" s="279" t="s">
        <v>77</v>
      </c>
      <c r="Q173" s="280" t="s">
        <v>79</v>
      </c>
      <c r="R173" s="272"/>
      <c r="S173" s="273"/>
      <c r="T173" s="341">
        <v>0.05</v>
      </c>
      <c r="U173" s="341">
        <v>0.1</v>
      </c>
      <c r="V173" s="341">
        <v>0.15</v>
      </c>
      <c r="W173" s="341">
        <v>0.2</v>
      </c>
      <c r="X173" s="341">
        <v>0.25</v>
      </c>
      <c r="Y173" s="341">
        <v>0.3</v>
      </c>
    </row>
    <row r="174" spans="1:25" ht="31.5" customHeight="1" x14ac:dyDescent="0.35">
      <c r="B174" s="493"/>
      <c r="C174" s="269">
        <f>C150</f>
        <v>1344</v>
      </c>
      <c r="D174" s="269">
        <f>D150</f>
        <v>59.097142857142863</v>
      </c>
      <c r="E174" s="269">
        <f>E150</f>
        <v>500</v>
      </c>
      <c r="F174" s="269">
        <f>F150</f>
        <v>83.428571428571431</v>
      </c>
      <c r="G174" s="269">
        <f t="shared" ref="G174:H174" si="54">G150</f>
        <v>91.598571428571432</v>
      </c>
      <c r="H174" s="269">
        <f t="shared" si="54"/>
        <v>4210.3234285714288</v>
      </c>
      <c r="I174" s="269">
        <f>Insumos!R21</f>
        <v>225</v>
      </c>
      <c r="J174" s="267"/>
      <c r="K174" s="267">
        <f>SUM(C174:G174)+I174</f>
        <v>2303.1242857142856</v>
      </c>
      <c r="L174" s="267">
        <f>M174-K174</f>
        <v>4606.2485714285704</v>
      </c>
      <c r="M174" s="269">
        <f>K174*3</f>
        <v>6909.3728571428564</v>
      </c>
      <c r="O174" s="324">
        <f>ROUNDUP(P174, -1)</f>
        <v>8300</v>
      </c>
      <c r="P174" s="324">
        <f>M174+(M174*O172)</f>
        <v>8291.247428571427</v>
      </c>
      <c r="Q174" s="267">
        <f>O174-(O174*Q172)-K174</f>
        <v>4597.4957142857147</v>
      </c>
      <c r="T174" s="337">
        <v>50</v>
      </c>
      <c r="U174" s="337">
        <v>100</v>
      </c>
      <c r="V174" s="337">
        <v>200</v>
      </c>
      <c r="W174" s="337">
        <v>500</v>
      </c>
      <c r="X174" s="337">
        <v>1000</v>
      </c>
      <c r="Y174" s="337">
        <v>2000</v>
      </c>
    </row>
    <row r="175" spans="1:25" x14ac:dyDescent="0.35">
      <c r="E175" s="269"/>
      <c r="T175" s="283" t="s">
        <v>6</v>
      </c>
      <c r="U175" s="283" t="s">
        <v>6</v>
      </c>
      <c r="V175" s="283" t="s">
        <v>6</v>
      </c>
      <c r="W175" s="283" t="s">
        <v>6</v>
      </c>
      <c r="X175" s="283" t="s">
        <v>6</v>
      </c>
      <c r="Y175" s="283" t="s">
        <v>6</v>
      </c>
    </row>
    <row r="176" spans="1:25" x14ac:dyDescent="0.35">
      <c r="B176" s="315">
        <v>100</v>
      </c>
      <c r="C176" s="269">
        <f>C152</f>
        <v>0</v>
      </c>
      <c r="D176" s="269">
        <f>D152</f>
        <v>59.097142857142863</v>
      </c>
      <c r="E176" s="269">
        <f>E152</f>
        <v>500</v>
      </c>
      <c r="F176" s="269">
        <f>F152</f>
        <v>83.428571428571431</v>
      </c>
      <c r="G176" s="269">
        <f t="shared" ref="G176:H176" si="55">G152</f>
        <v>91.598571428571432</v>
      </c>
      <c r="H176" s="269" t="e">
        <f t="shared" si="55"/>
        <v>#REF!</v>
      </c>
      <c r="I176" s="269">
        <f>I174</f>
        <v>225</v>
      </c>
      <c r="K176" s="267">
        <f>SUM(C176:G176)+I176</f>
        <v>959.12428571428575</v>
      </c>
      <c r="T176" s="269">
        <f>K174*T174</f>
        <v>115156.21428571428</v>
      </c>
      <c r="U176" s="269">
        <f>K176*U174</f>
        <v>95912.42857142858</v>
      </c>
      <c r="V176" s="269">
        <f>K178*V174</f>
        <v>437750.9904761904</v>
      </c>
      <c r="W176" s="269">
        <f>K180*W174</f>
        <v>1023513.1428571428</v>
      </c>
      <c r="X176" s="269">
        <f>K182*X174</f>
        <v>2004947.2857142857</v>
      </c>
      <c r="Y176" s="269">
        <f>K184*Y174</f>
        <v>3927602.5714285714</v>
      </c>
    </row>
    <row r="177" spans="1:25" x14ac:dyDescent="0.35">
      <c r="B177" s="315"/>
      <c r="C177" s="267"/>
      <c r="E177" s="269"/>
      <c r="H177" s="343"/>
      <c r="I177" s="343"/>
      <c r="Q177" s="268"/>
      <c r="T177" s="285" t="s">
        <v>77</v>
      </c>
      <c r="U177" s="285" t="s">
        <v>77</v>
      </c>
      <c r="V177" s="285" t="s">
        <v>77</v>
      </c>
      <c r="W177" s="285" t="s">
        <v>77</v>
      </c>
      <c r="X177" s="285" t="s">
        <v>77</v>
      </c>
      <c r="Y177" s="285" t="s">
        <v>77</v>
      </c>
    </row>
    <row r="178" spans="1:25" x14ac:dyDescent="0.35">
      <c r="A178" s="267"/>
      <c r="B178" s="315">
        <v>200</v>
      </c>
      <c r="C178" s="269">
        <f>C154</f>
        <v>1346.6466666666665</v>
      </c>
      <c r="D178" s="269">
        <f>D154</f>
        <v>59.097142857142863</v>
      </c>
      <c r="E178" s="269">
        <f>E154</f>
        <v>382.98399999999998</v>
      </c>
      <c r="F178" s="269">
        <f>F154</f>
        <v>83.428571428571431</v>
      </c>
      <c r="G178" s="269">
        <f t="shared" ref="G178:H178" si="56">G154</f>
        <v>91.598571428571432</v>
      </c>
      <c r="H178" s="269">
        <f t="shared" si="56"/>
        <v>2866.3234285714284</v>
      </c>
      <c r="I178" s="269">
        <f>I176</f>
        <v>225</v>
      </c>
      <c r="K178" s="267">
        <f>SUM(C178:G178)+I178</f>
        <v>2188.7549523809521</v>
      </c>
      <c r="L178" s="272"/>
      <c r="M178" s="315">
        <v>0.2</v>
      </c>
      <c r="N178" s="315"/>
      <c r="O178" s="326" t="s">
        <v>303</v>
      </c>
      <c r="Q178" s="327" t="s">
        <v>174</v>
      </c>
      <c r="T178" s="286">
        <f t="shared" ref="T178:Y178" si="57">($O174*T174)-(($O174*T174)*T173)</f>
        <v>394250</v>
      </c>
      <c r="U178" s="286">
        <f t="shared" si="57"/>
        <v>747000</v>
      </c>
      <c r="V178" s="286">
        <f t="shared" si="57"/>
        <v>1411000</v>
      </c>
      <c r="W178" s="286">
        <f t="shared" si="57"/>
        <v>3320000</v>
      </c>
      <c r="X178" s="286">
        <f t="shared" si="57"/>
        <v>6225000</v>
      </c>
      <c r="Y178" s="286">
        <f t="shared" si="57"/>
        <v>11620000</v>
      </c>
    </row>
    <row r="179" spans="1:25" x14ac:dyDescent="0.35">
      <c r="A179" s="267"/>
      <c r="B179" s="315"/>
      <c r="H179" s="343"/>
      <c r="I179" s="343"/>
      <c r="O179" s="328">
        <v>0.1</v>
      </c>
      <c r="Q179" s="329">
        <v>0.06</v>
      </c>
      <c r="T179" s="269">
        <f>T178/T174</f>
        <v>7885</v>
      </c>
      <c r="U179" s="269">
        <f t="shared" ref="U179:X179" si="58">U178/U174</f>
        <v>7470</v>
      </c>
      <c r="V179" s="269">
        <f t="shared" si="58"/>
        <v>7055</v>
      </c>
      <c r="W179" s="269">
        <f t="shared" si="58"/>
        <v>6640</v>
      </c>
      <c r="X179" s="269">
        <f t="shared" si="58"/>
        <v>6225</v>
      </c>
      <c r="Y179" s="269">
        <f>Y178/Y174</f>
        <v>5810</v>
      </c>
    </row>
    <row r="180" spans="1:25" x14ac:dyDescent="0.35">
      <c r="B180" s="315">
        <v>500</v>
      </c>
      <c r="C180" s="269">
        <f>C156</f>
        <v>1235.028</v>
      </c>
      <c r="D180" s="269">
        <f>D156</f>
        <v>59.097142857142863</v>
      </c>
      <c r="E180" s="269">
        <f>E156</f>
        <v>352.87400000000002</v>
      </c>
      <c r="F180" s="269">
        <f>F156</f>
        <v>83.428571428571431</v>
      </c>
      <c r="G180" s="269">
        <f t="shared" ref="G180:H180" si="59">G156</f>
        <v>91.598571428571432</v>
      </c>
      <c r="H180" s="269">
        <f t="shared" si="59"/>
        <v>2866.3234285714284</v>
      </c>
      <c r="I180" s="269">
        <f>I178</f>
        <v>225</v>
      </c>
      <c r="K180" s="267">
        <f>SUM(C180:G180)+I180</f>
        <v>2047.0262857142857</v>
      </c>
      <c r="O180" s="330" t="s">
        <v>65</v>
      </c>
      <c r="P180" s="272"/>
      <c r="Q180" s="287" t="s">
        <v>83</v>
      </c>
      <c r="T180" s="287" t="s">
        <v>78</v>
      </c>
      <c r="U180" s="287" t="s">
        <v>78</v>
      </c>
      <c r="V180" s="287" t="s">
        <v>78</v>
      </c>
      <c r="W180" s="287" t="s">
        <v>78</v>
      </c>
      <c r="X180" s="287" t="s">
        <v>78</v>
      </c>
      <c r="Y180" s="287" t="s">
        <v>78</v>
      </c>
    </row>
    <row r="181" spans="1:25" x14ac:dyDescent="0.35">
      <c r="B181" s="315"/>
      <c r="E181" s="269"/>
      <c r="H181" s="343"/>
      <c r="I181" s="343"/>
      <c r="O181" s="267">
        <f>O174-(O174*O179)</f>
        <v>7470</v>
      </c>
      <c r="Q181" s="267">
        <f>(O181-(O181*Q179))-K174</f>
        <v>4718.675714285715</v>
      </c>
      <c r="T181" s="269">
        <f>(T178-T176)-(T178*$Q$5)</f>
        <v>212623.23571428575</v>
      </c>
      <c r="U181" s="269">
        <f t="shared" ref="U181:Y181" si="60">(U178-U176)-(U178*$Q$5)</f>
        <v>525143.37142857141</v>
      </c>
      <c r="V181" s="269">
        <f t="shared" si="60"/>
        <v>735354.40952380968</v>
      </c>
      <c r="W181" s="269">
        <f t="shared" si="60"/>
        <v>1736734.8571428573</v>
      </c>
      <c r="X181" s="269">
        <f t="shared" si="60"/>
        <v>3170517.7142857146</v>
      </c>
      <c r="Y181" s="269">
        <f t="shared" si="60"/>
        <v>5733265.4285714291</v>
      </c>
    </row>
    <row r="182" spans="1:25" x14ac:dyDescent="0.35">
      <c r="B182" s="315">
        <v>1000</v>
      </c>
      <c r="C182" s="269">
        <f>C158</f>
        <v>1235.028</v>
      </c>
      <c r="D182" s="269">
        <f>D158</f>
        <v>59.097142857142863</v>
      </c>
      <c r="E182" s="269">
        <f>E158</f>
        <v>310.79500000000002</v>
      </c>
      <c r="F182" s="269">
        <f>F158</f>
        <v>83.428571428571431</v>
      </c>
      <c r="G182" s="269">
        <f t="shared" ref="G182:H182" si="61">G158</f>
        <v>91.598571428571432</v>
      </c>
      <c r="H182" s="269">
        <f t="shared" si="61"/>
        <v>2866.3234285714284</v>
      </c>
      <c r="I182" s="269">
        <f>I180</f>
        <v>225</v>
      </c>
      <c r="K182" s="267">
        <f>SUM(C182:G182)+I182</f>
        <v>2004.9472857142857</v>
      </c>
      <c r="M182" s="269" t="e">
        <f>#REF!+#REF!</f>
        <v>#REF!</v>
      </c>
      <c r="O182" s="272"/>
      <c r="P182" s="272"/>
      <c r="R182" s="272"/>
      <c r="S182" s="273"/>
      <c r="T182" s="269">
        <f>T181/T174</f>
        <v>4252.4647142857148</v>
      </c>
      <c r="U182" s="269">
        <f t="shared" ref="U182:X182" si="62">U181/U174</f>
        <v>5251.4337142857139</v>
      </c>
      <c r="V182" s="269">
        <f t="shared" si="62"/>
        <v>3676.7720476190484</v>
      </c>
      <c r="W182" s="269">
        <f t="shared" si="62"/>
        <v>3473.4697142857144</v>
      </c>
      <c r="X182" s="269">
        <f t="shared" si="62"/>
        <v>3170.5177142857146</v>
      </c>
      <c r="Y182" s="269">
        <f>Y181/Y174</f>
        <v>2866.6327142857144</v>
      </c>
    </row>
    <row r="183" spans="1:25" x14ac:dyDescent="0.35">
      <c r="B183" s="315"/>
      <c r="E183" s="269"/>
      <c r="H183" s="343"/>
      <c r="I183" s="343"/>
      <c r="Q183" s="272"/>
      <c r="T183" s="288" t="s">
        <v>65</v>
      </c>
      <c r="U183" s="288" t="s">
        <v>65</v>
      </c>
      <c r="V183" s="288" t="s">
        <v>65</v>
      </c>
      <c r="W183" s="288" t="s">
        <v>65</v>
      </c>
      <c r="X183" s="288" t="s">
        <v>65</v>
      </c>
      <c r="Y183" s="288" t="s">
        <v>65</v>
      </c>
    </row>
    <row r="184" spans="1:25" x14ac:dyDescent="0.35">
      <c r="B184" s="315">
        <v>2000</v>
      </c>
      <c r="C184" s="269">
        <f>C160</f>
        <v>1235.028</v>
      </c>
      <c r="D184" s="269">
        <f>D160</f>
        <v>59.097142857142863</v>
      </c>
      <c r="E184" s="269">
        <f>E160</f>
        <v>269.649</v>
      </c>
      <c r="F184" s="269">
        <f>F160</f>
        <v>83.428571428571431</v>
      </c>
      <c r="G184" s="269">
        <f t="shared" ref="G184:H184" si="63">G160</f>
        <v>91.598571428571432</v>
      </c>
      <c r="H184" s="269">
        <f t="shared" si="63"/>
        <v>4101.3514285714282</v>
      </c>
      <c r="I184" s="269">
        <f>I182</f>
        <v>225</v>
      </c>
      <c r="K184" s="267">
        <f>SUM(C184:G184)+I184</f>
        <v>1963.8012857142858</v>
      </c>
      <c r="M184" s="269" t="e">
        <f>#REF!+#REF!</f>
        <v>#REF!</v>
      </c>
      <c r="T184" s="269">
        <f>T178-(T178*T185)</f>
        <v>354825</v>
      </c>
      <c r="U184" s="269">
        <f>U178-(U178*U185)</f>
        <v>672300</v>
      </c>
      <c r="V184" s="269">
        <f>V178-(V178*V185)</f>
        <v>1269900</v>
      </c>
      <c r="W184" s="269">
        <f>W178-(W178*W185)</f>
        <v>2988000</v>
      </c>
      <c r="X184" s="269">
        <f t="shared" ref="X184:Y184" si="64">X178-(X178*X185)</f>
        <v>5602500</v>
      </c>
      <c r="Y184" s="269">
        <f t="shared" si="64"/>
        <v>10458000</v>
      </c>
    </row>
    <row r="185" spans="1:25" x14ac:dyDescent="0.35">
      <c r="C185" s="273"/>
      <c r="D185" s="272"/>
      <c r="E185" s="273"/>
      <c r="F185" s="272"/>
      <c r="G185" s="272"/>
      <c r="H185" s="272"/>
      <c r="I185" s="272"/>
      <c r="J185" s="272"/>
      <c r="T185" s="333">
        <f t="shared" ref="T185:Y185" si="65">$O$12</f>
        <v>0.1</v>
      </c>
      <c r="U185" s="333">
        <f t="shared" si="65"/>
        <v>0.1</v>
      </c>
      <c r="V185" s="333">
        <f t="shared" si="65"/>
        <v>0.1</v>
      </c>
      <c r="W185" s="333">
        <f t="shared" si="65"/>
        <v>0.1</v>
      </c>
      <c r="X185" s="333">
        <f t="shared" si="65"/>
        <v>0.1</v>
      </c>
      <c r="Y185" s="333">
        <f t="shared" si="65"/>
        <v>0.1</v>
      </c>
    </row>
    <row r="186" spans="1:25" x14ac:dyDescent="0.35">
      <c r="A186" s="267"/>
      <c r="T186" s="269">
        <f>T184/T174</f>
        <v>7096.5</v>
      </c>
      <c r="U186" s="267">
        <f t="shared" ref="U186:X186" si="66">U184/U174</f>
        <v>6723</v>
      </c>
      <c r="V186" s="267">
        <f t="shared" si="66"/>
        <v>6349.5</v>
      </c>
      <c r="W186" s="267">
        <f t="shared" si="66"/>
        <v>5976</v>
      </c>
      <c r="X186" s="267">
        <f t="shared" si="66"/>
        <v>5602.5</v>
      </c>
      <c r="Y186" s="267">
        <f>Y184/Y174</f>
        <v>5229</v>
      </c>
    </row>
    <row r="187" spans="1:25" x14ac:dyDescent="0.35">
      <c r="B187" s="272"/>
      <c r="T187" s="287" t="s">
        <v>81</v>
      </c>
      <c r="U187" s="287" t="s">
        <v>81</v>
      </c>
      <c r="V187" s="287" t="s">
        <v>81</v>
      </c>
      <c r="W187" s="287" t="s">
        <v>81</v>
      </c>
      <c r="X187" s="287" t="s">
        <v>81</v>
      </c>
      <c r="Y187" s="287" t="s">
        <v>81</v>
      </c>
    </row>
    <row r="188" spans="1:25" x14ac:dyDescent="0.35">
      <c r="C188" s="273"/>
      <c r="D188" s="272"/>
      <c r="E188" s="273"/>
      <c r="F188" s="272"/>
      <c r="G188" s="272"/>
      <c r="H188" s="272"/>
      <c r="I188" s="272"/>
      <c r="J188" s="272"/>
      <c r="K188" s="272"/>
      <c r="L188" s="272"/>
      <c r="M188" s="273"/>
      <c r="N188" s="273"/>
      <c r="O188" s="272"/>
      <c r="P188" s="272"/>
      <c r="R188" s="272"/>
      <c r="S188" s="273"/>
      <c r="T188" s="269">
        <f>T184-(T184*$Q$12)-T176</f>
        <v>218379.28571428574</v>
      </c>
      <c r="U188" s="269">
        <f>U184-(U184*$Q$117)-U176</f>
        <v>525225.54142857133</v>
      </c>
      <c r="V188" s="269">
        <f t="shared" ref="V188:Y188" si="67">V184-(V184*$Q$117)-V176</f>
        <v>735509.61952380976</v>
      </c>
      <c r="W188" s="269">
        <f t="shared" si="67"/>
        <v>1737100.0571428575</v>
      </c>
      <c r="X188" s="269">
        <f t="shared" si="67"/>
        <v>3171202.4642857146</v>
      </c>
      <c r="Y188" s="269">
        <f t="shared" si="67"/>
        <v>5734543.6285714284</v>
      </c>
    </row>
    <row r="189" spans="1:25" x14ac:dyDescent="0.35">
      <c r="A189" s="272"/>
      <c r="C189" s="273"/>
      <c r="D189" s="272"/>
      <c r="E189" s="273"/>
      <c r="F189" s="272"/>
      <c r="G189" s="272"/>
      <c r="H189" s="272"/>
      <c r="I189" s="272"/>
      <c r="J189" s="272"/>
      <c r="K189" s="272"/>
      <c r="L189" s="272"/>
      <c r="M189" s="273"/>
      <c r="N189" s="273"/>
      <c r="O189" s="272"/>
      <c r="P189" s="272"/>
      <c r="R189" s="272"/>
      <c r="S189" s="273"/>
      <c r="T189" s="273">
        <f t="shared" ref="T189:Y189" si="68">T188/T174</f>
        <v>4367.5857142857149</v>
      </c>
      <c r="U189" s="273">
        <f t="shared" si="68"/>
        <v>5252.2554142857134</v>
      </c>
      <c r="V189" s="273">
        <f t="shared" si="68"/>
        <v>3677.5480976190488</v>
      </c>
      <c r="W189" s="273">
        <f t="shared" si="68"/>
        <v>3474.2001142857148</v>
      </c>
      <c r="X189" s="273">
        <f t="shared" si="68"/>
        <v>3171.2024642857145</v>
      </c>
      <c r="Y189" s="273">
        <f t="shared" si="68"/>
        <v>2867.2718142857143</v>
      </c>
    </row>
    <row r="190" spans="1:25" x14ac:dyDescent="0.35">
      <c r="A190" s="267"/>
      <c r="C190" s="273"/>
      <c r="D190" s="272"/>
      <c r="E190" s="273"/>
      <c r="F190" s="272"/>
      <c r="G190" s="272"/>
      <c r="H190" s="272"/>
      <c r="I190" s="272"/>
      <c r="J190" s="272"/>
      <c r="K190" s="272"/>
      <c r="L190" s="272"/>
      <c r="M190" s="273"/>
      <c r="N190" s="273"/>
      <c r="O190" s="272"/>
      <c r="P190" s="272"/>
      <c r="R190" s="272"/>
      <c r="S190" s="273"/>
      <c r="X190" s="269"/>
      <c r="Y190" s="269"/>
    </row>
    <row r="191" spans="1:25" x14ac:dyDescent="0.35">
      <c r="A191" s="267"/>
      <c r="B191" s="315"/>
      <c r="E191" s="269"/>
      <c r="J191" s="267"/>
      <c r="Q191" s="267" t="s">
        <v>304</v>
      </c>
      <c r="T191" s="267"/>
      <c r="U191" s="267"/>
      <c r="V191" s="267"/>
      <c r="W191" s="267"/>
    </row>
    <row r="192" spans="1:25" x14ac:dyDescent="0.35">
      <c r="A192" s="267"/>
      <c r="B192" s="315"/>
      <c r="C192" s="273"/>
      <c r="D192" s="272"/>
      <c r="E192" s="273"/>
      <c r="F192" s="272"/>
      <c r="G192" s="272"/>
      <c r="H192" s="272"/>
      <c r="I192" s="272"/>
      <c r="J192" s="272"/>
      <c r="O192" s="269" t="s">
        <v>302</v>
      </c>
      <c r="Q192" s="268">
        <v>9.2499999999999999E-2</v>
      </c>
    </row>
    <row r="193" spans="1:25" x14ac:dyDescent="0.35">
      <c r="A193" s="267"/>
      <c r="E193" s="269"/>
      <c r="J193" s="267"/>
      <c r="O193" s="268">
        <v>0.1</v>
      </c>
      <c r="Q193" s="317"/>
    </row>
    <row r="194" spans="1:25" x14ac:dyDescent="0.35">
      <c r="A194" s="267"/>
      <c r="E194" s="269"/>
      <c r="O194" s="270">
        <v>0.1</v>
      </c>
      <c r="Q194" s="318">
        <v>7.6100000000000001E-2</v>
      </c>
    </row>
    <row r="195" spans="1:25" x14ac:dyDescent="0.35">
      <c r="A195" s="273"/>
      <c r="E195" s="269"/>
      <c r="K195" s="272"/>
      <c r="L195" s="272"/>
      <c r="M195" s="319">
        <f>(M197-K197)</f>
        <v>4232.1428571428569</v>
      </c>
      <c r="O195" s="271">
        <f>O193+O194</f>
        <v>0.2</v>
      </c>
      <c r="Q195" s="271">
        <f>Q193+Q194+Q192</f>
        <v>0.1686</v>
      </c>
      <c r="R195" s="272"/>
      <c r="S195" s="273"/>
      <c r="T195" s="274" t="s">
        <v>76</v>
      </c>
      <c r="U195" s="274" t="s">
        <v>76</v>
      </c>
      <c r="V195" s="274" t="s">
        <v>76</v>
      </c>
      <c r="W195" s="274" t="s">
        <v>76</v>
      </c>
      <c r="X195" s="274" t="s">
        <v>76</v>
      </c>
      <c r="Y195" s="274" t="s">
        <v>76</v>
      </c>
    </row>
    <row r="196" spans="1:25" ht="18.75" customHeight="1" x14ac:dyDescent="0.35">
      <c r="A196" s="267"/>
      <c r="B196" s="492" t="s">
        <v>82</v>
      </c>
      <c r="C196" s="275" t="s">
        <v>27</v>
      </c>
      <c r="D196" s="320" t="s">
        <v>39</v>
      </c>
      <c r="E196" s="338" t="s">
        <v>29</v>
      </c>
      <c r="F196" s="346" t="s">
        <v>40</v>
      </c>
      <c r="G196" s="346" t="s">
        <v>30</v>
      </c>
      <c r="H196" s="340" t="s">
        <v>247</v>
      </c>
      <c r="I196" s="340"/>
      <c r="J196" s="267"/>
      <c r="K196" s="277" t="s">
        <v>245</v>
      </c>
      <c r="L196" s="278" t="s">
        <v>7</v>
      </c>
      <c r="M196" s="323" t="s">
        <v>80</v>
      </c>
      <c r="N196" s="273"/>
      <c r="O196" s="279" t="s">
        <v>77</v>
      </c>
      <c r="P196" s="279" t="s">
        <v>77</v>
      </c>
      <c r="Q196" s="280" t="s">
        <v>79</v>
      </c>
      <c r="T196" s="271">
        <v>0.05</v>
      </c>
      <c r="U196" s="271">
        <v>0.1</v>
      </c>
      <c r="V196" s="271">
        <v>0.15</v>
      </c>
      <c r="W196" s="271">
        <v>0.2</v>
      </c>
      <c r="X196" s="271">
        <v>0.25</v>
      </c>
      <c r="Y196" s="271">
        <v>0.3</v>
      </c>
    </row>
    <row r="197" spans="1:25" ht="30.75" customHeight="1" x14ac:dyDescent="0.35">
      <c r="A197" s="267"/>
      <c r="B197" s="492"/>
      <c r="C197" s="269">
        <f>Insumos!$C$6*6</f>
        <v>1344</v>
      </c>
      <c r="D197" s="342">
        <f>(Insumos!C24+Insumos!C27)*6</f>
        <v>113.98285714285713</v>
      </c>
      <c r="E197" s="316">
        <f>$E$150</f>
        <v>500</v>
      </c>
      <c r="F197" s="267">
        <f>Insumos!C36+Insumos!C34</f>
        <v>66.489999999999995</v>
      </c>
      <c r="G197" s="343">
        <f>G150</f>
        <v>91.598571428571432</v>
      </c>
      <c r="H197" s="343">
        <f>C197+1500+D197</f>
        <v>2957.982857142857</v>
      </c>
      <c r="I197" s="343"/>
      <c r="J197" s="267"/>
      <c r="K197" s="272">
        <f>SUM(C197:G197)</f>
        <v>2116.0714285714284</v>
      </c>
      <c r="L197" s="267">
        <f>M197-K197</f>
        <v>4232.1428571428569</v>
      </c>
      <c r="M197" s="269">
        <f>K197*3</f>
        <v>6348.2142857142853</v>
      </c>
      <c r="O197" s="324">
        <f>ROUNDUP(P197, -1)</f>
        <v>7620</v>
      </c>
      <c r="P197" s="324">
        <f>M197+(M197*O195)</f>
        <v>7617.8571428571422</v>
      </c>
      <c r="Q197" s="267">
        <f>O197-(O197*Q195)-K197</f>
        <v>4219.1965714285716</v>
      </c>
      <c r="T197" s="337">
        <v>50</v>
      </c>
      <c r="U197" s="337">
        <v>100</v>
      </c>
      <c r="V197" s="337">
        <v>200</v>
      </c>
      <c r="W197" s="337">
        <v>500</v>
      </c>
      <c r="X197" s="337">
        <v>1000</v>
      </c>
      <c r="Y197" s="337">
        <v>2000</v>
      </c>
    </row>
    <row r="198" spans="1:25" x14ac:dyDescent="0.35">
      <c r="A198" s="267"/>
      <c r="E198" s="269"/>
      <c r="T198" s="283" t="s">
        <v>6</v>
      </c>
      <c r="U198" s="283" t="s">
        <v>6</v>
      </c>
      <c r="V198" s="283" t="s">
        <v>6</v>
      </c>
      <c r="W198" s="283" t="s">
        <v>6</v>
      </c>
      <c r="X198" s="283" t="s">
        <v>6</v>
      </c>
      <c r="Y198" s="283" t="s">
        <v>6</v>
      </c>
    </row>
    <row r="199" spans="1:25" x14ac:dyDescent="0.35">
      <c r="A199" s="267"/>
      <c r="B199" s="315">
        <v>100</v>
      </c>
      <c r="C199" s="269">
        <f>Insumos!$D$10*6</f>
        <v>1346.6466666666665</v>
      </c>
      <c r="D199" s="267">
        <f>D197</f>
        <v>113.98285714285713</v>
      </c>
      <c r="E199" s="316">
        <f>Insumos!$O$5</f>
        <v>500</v>
      </c>
      <c r="F199" s="267">
        <f>F197</f>
        <v>66.489999999999995</v>
      </c>
      <c r="G199" s="267">
        <f>G197</f>
        <v>91.598571428571432</v>
      </c>
      <c r="H199" s="343">
        <f>$H$122</f>
        <v>3907.152</v>
      </c>
      <c r="I199" s="343"/>
      <c r="K199" s="267">
        <f>SUM(C199:G199)</f>
        <v>2118.718095238095</v>
      </c>
      <c r="T199" s="269">
        <f>K197*T197</f>
        <v>105803.57142857142</v>
      </c>
      <c r="U199" s="269">
        <f>K199*U197</f>
        <v>211871.8095238095</v>
      </c>
      <c r="V199" s="269">
        <f>K201*V197</f>
        <v>400340.41904761898</v>
      </c>
      <c r="W199" s="269">
        <f>K203*W197</f>
        <v>929986.7142857142</v>
      </c>
      <c r="X199" s="269">
        <f>K205*X197</f>
        <v>1817894.4285714286</v>
      </c>
      <c r="Y199" s="269">
        <f>K207*Y197</f>
        <v>3553496.8571428573</v>
      </c>
    </row>
    <row r="200" spans="1:25" ht="15.75" hidden="1" customHeight="1" x14ac:dyDescent="0.35">
      <c r="B200" s="315"/>
      <c r="C200" s="267"/>
      <c r="E200" s="269"/>
      <c r="Q200" s="268"/>
      <c r="T200" s="285" t="s">
        <v>77</v>
      </c>
      <c r="U200" s="285" t="s">
        <v>77</v>
      </c>
      <c r="V200" s="285" t="s">
        <v>77</v>
      </c>
      <c r="W200" s="285" t="s">
        <v>77</v>
      </c>
      <c r="X200" s="285" t="s">
        <v>77</v>
      </c>
      <c r="Y200" s="285" t="s">
        <v>77</v>
      </c>
    </row>
    <row r="201" spans="1:25" ht="15.75" hidden="1" customHeight="1" x14ac:dyDescent="0.35">
      <c r="B201" s="315">
        <v>200</v>
      </c>
      <c r="C201" s="269">
        <f>Insumos!$D$10*6</f>
        <v>1346.6466666666665</v>
      </c>
      <c r="D201" s="267">
        <f>D197</f>
        <v>113.98285714285713</v>
      </c>
      <c r="E201" s="269">
        <f>Insumos!$O$7</f>
        <v>382.98399999999998</v>
      </c>
      <c r="F201" s="267">
        <f>F199</f>
        <v>66.489999999999995</v>
      </c>
      <c r="G201" s="267">
        <f>G197</f>
        <v>91.598571428571432</v>
      </c>
      <c r="H201" s="343">
        <f>$H$124</f>
        <v>0</v>
      </c>
      <c r="I201" s="343"/>
      <c r="K201" s="267">
        <f>SUM(C201:G201)</f>
        <v>2001.7020952380949</v>
      </c>
      <c r="L201" s="272"/>
      <c r="M201" s="271">
        <v>0.1</v>
      </c>
      <c r="N201" s="347"/>
      <c r="O201" s="326" t="s">
        <v>303</v>
      </c>
      <c r="Q201" s="327" t="s">
        <v>174</v>
      </c>
      <c r="T201" s="286">
        <f t="shared" ref="T201:Y201" si="69">($O197*T197)-(($O197*T197)*T196)</f>
        <v>361950</v>
      </c>
      <c r="U201" s="286">
        <f t="shared" si="69"/>
        <v>685800</v>
      </c>
      <c r="V201" s="286">
        <f t="shared" si="69"/>
        <v>1295400</v>
      </c>
      <c r="W201" s="286">
        <f t="shared" si="69"/>
        <v>3048000</v>
      </c>
      <c r="X201" s="286">
        <f t="shared" si="69"/>
        <v>5715000</v>
      </c>
      <c r="Y201" s="286">
        <f t="shared" si="69"/>
        <v>10668000</v>
      </c>
    </row>
    <row r="202" spans="1:25" ht="15.75" hidden="1" customHeight="1" x14ac:dyDescent="0.35">
      <c r="B202" s="315"/>
      <c r="O202" s="328">
        <v>0.1</v>
      </c>
      <c r="Q202" s="329">
        <v>0.06</v>
      </c>
      <c r="T202" s="269">
        <f>T201/T197</f>
        <v>7239</v>
      </c>
      <c r="U202" s="269">
        <f t="shared" ref="U202:X202" si="70">U201/U197</f>
        <v>6858</v>
      </c>
      <c r="V202" s="269">
        <f t="shared" si="70"/>
        <v>6477</v>
      </c>
      <c r="W202" s="269">
        <f t="shared" si="70"/>
        <v>6096</v>
      </c>
      <c r="X202" s="269">
        <f t="shared" si="70"/>
        <v>5715</v>
      </c>
      <c r="Y202" s="269">
        <f>Y201/Y197</f>
        <v>5334</v>
      </c>
    </row>
    <row r="203" spans="1:25" ht="15.75" hidden="1" customHeight="1" x14ac:dyDescent="0.35">
      <c r="A203" s="315">
        <v>8</v>
      </c>
      <c r="B203" s="315">
        <v>500</v>
      </c>
      <c r="C203" s="269">
        <f>Insumos!$D$12*6</f>
        <v>1235.028</v>
      </c>
      <c r="D203" s="267">
        <f>D201</f>
        <v>113.98285714285713</v>
      </c>
      <c r="E203" s="316">
        <f>Insumos!$O$9</f>
        <v>352.87400000000002</v>
      </c>
      <c r="F203" s="267">
        <f>F201</f>
        <v>66.489999999999995</v>
      </c>
      <c r="G203" s="267">
        <f>G201</f>
        <v>91.598571428571432</v>
      </c>
      <c r="H203" s="343">
        <f>$H$126</f>
        <v>0</v>
      </c>
      <c r="I203" s="343"/>
      <c r="K203" s="267">
        <f>SUM(C203:G203)</f>
        <v>1859.9734285714285</v>
      </c>
      <c r="O203" s="330" t="s">
        <v>65</v>
      </c>
      <c r="P203" s="272"/>
      <c r="Q203" s="287" t="s">
        <v>83</v>
      </c>
      <c r="T203" s="287" t="s">
        <v>78</v>
      </c>
      <c r="U203" s="287" t="s">
        <v>78</v>
      </c>
      <c r="V203" s="287" t="s">
        <v>78</v>
      </c>
      <c r="W203" s="287" t="s">
        <v>78</v>
      </c>
      <c r="X203" s="287" t="s">
        <v>78</v>
      </c>
      <c r="Y203" s="287" t="s">
        <v>78</v>
      </c>
    </row>
    <row r="204" spans="1:25" ht="15.75" hidden="1" customHeight="1" x14ac:dyDescent="0.35">
      <c r="B204" s="315"/>
      <c r="E204" s="269"/>
      <c r="O204" s="267">
        <f>O197-(O197*O202)</f>
        <v>6858</v>
      </c>
      <c r="Q204" s="267">
        <f>(O204-(O204*Q202))-K197</f>
        <v>4330.448571428572</v>
      </c>
      <c r="T204" s="269">
        <f>(T201-T199)-(T201*$Q$5)</f>
        <v>195121.65857142859</v>
      </c>
      <c r="U204" s="269">
        <f t="shared" ref="U204:Y204" si="71">(U201-U199)-(U201*$Q$5)</f>
        <v>358302.31047619053</v>
      </c>
      <c r="V204" s="269">
        <f t="shared" si="71"/>
        <v>676655.14095238107</v>
      </c>
      <c r="W204" s="269">
        <f t="shared" si="71"/>
        <v>1604120.4857142859</v>
      </c>
      <c r="X204" s="269">
        <f t="shared" si="71"/>
        <v>2933556.5714285714</v>
      </c>
      <c r="Y204" s="269">
        <f t="shared" si="71"/>
        <v>5315878.3428571429</v>
      </c>
    </row>
    <row r="205" spans="1:25" ht="15.75" hidden="1" customHeight="1" x14ac:dyDescent="0.35">
      <c r="B205" s="315">
        <v>1000</v>
      </c>
      <c r="C205" s="269">
        <f>C203</f>
        <v>1235.028</v>
      </c>
      <c r="D205" s="267">
        <f>D203</f>
        <v>113.98285714285713</v>
      </c>
      <c r="E205" s="269">
        <f>Insumos!$O$11</f>
        <v>310.79500000000002</v>
      </c>
      <c r="F205" s="267">
        <f>F203</f>
        <v>66.489999999999995</v>
      </c>
      <c r="G205" s="267">
        <f>G203</f>
        <v>91.598571428571432</v>
      </c>
      <c r="H205" s="343">
        <f>$H$128</f>
        <v>0</v>
      </c>
      <c r="I205" s="343"/>
      <c r="K205" s="267">
        <f>SUM(C205:G205)</f>
        <v>1817.8944285714285</v>
      </c>
      <c r="M205" s="273"/>
      <c r="N205" s="273"/>
      <c r="O205" s="272"/>
      <c r="P205" s="272"/>
      <c r="R205" s="272"/>
      <c r="S205" s="273"/>
      <c r="T205" s="269">
        <f>T204/T197</f>
        <v>3902.4331714285718</v>
      </c>
      <c r="U205" s="269">
        <f t="shared" ref="U205:X205" si="72">U204/U197</f>
        <v>3583.0231047619054</v>
      </c>
      <c r="V205" s="269">
        <f t="shared" si="72"/>
        <v>3383.2757047619052</v>
      </c>
      <c r="W205" s="269">
        <f t="shared" si="72"/>
        <v>3208.2409714285718</v>
      </c>
      <c r="X205" s="269">
        <f t="shared" si="72"/>
        <v>2933.5565714285713</v>
      </c>
      <c r="Y205" s="269">
        <f>Y204/Y197</f>
        <v>2657.9391714285716</v>
      </c>
    </row>
    <row r="206" spans="1:25" ht="15.75" hidden="1" customHeight="1" x14ac:dyDescent="0.35">
      <c r="B206" s="315"/>
      <c r="E206" s="269"/>
      <c r="M206" s="269">
        <v>210040</v>
      </c>
      <c r="Q206" s="272"/>
      <c r="T206" s="288" t="s">
        <v>65</v>
      </c>
      <c r="U206" s="288" t="s">
        <v>65</v>
      </c>
      <c r="V206" s="288" t="s">
        <v>65</v>
      </c>
      <c r="W206" s="288" t="s">
        <v>65</v>
      </c>
      <c r="X206" s="288" t="s">
        <v>65</v>
      </c>
      <c r="Y206" s="288" t="s">
        <v>65</v>
      </c>
    </row>
    <row r="207" spans="1:25" ht="15.75" hidden="1" customHeight="1" x14ac:dyDescent="0.35">
      <c r="B207" s="315">
        <v>2000</v>
      </c>
      <c r="C207" s="269">
        <f>Insumos!$D$12*6</f>
        <v>1235.028</v>
      </c>
      <c r="D207" s="267">
        <f>D205</f>
        <v>113.98285714285713</v>
      </c>
      <c r="E207" s="269">
        <f>Insumos!$O$13</f>
        <v>269.649</v>
      </c>
      <c r="F207" s="267">
        <f>F205</f>
        <v>66.489999999999995</v>
      </c>
      <c r="G207" s="267">
        <f>G205</f>
        <v>91.598571428571432</v>
      </c>
      <c r="H207" s="343">
        <f>$H$130</f>
        <v>3798.18</v>
      </c>
      <c r="I207" s="343"/>
      <c r="K207" s="267">
        <f>SUM(C207:G207)</f>
        <v>1776.7484285714286</v>
      </c>
      <c r="M207" s="269">
        <f>M206-(K197*50)</f>
        <v>104236.42857142858</v>
      </c>
      <c r="T207" s="269">
        <f>T201-(T201*T208)</f>
        <v>325755</v>
      </c>
      <c r="U207" s="269">
        <f>U201-(U201*U208)</f>
        <v>617220</v>
      </c>
      <c r="V207" s="269">
        <f>V201-(V201*V208)</f>
        <v>1165860</v>
      </c>
      <c r="W207" s="269">
        <f>W201-(W201*W208)</f>
        <v>2743200</v>
      </c>
      <c r="X207" s="269">
        <f t="shared" ref="X207:Y207" si="73">X201-(X201*X208)</f>
        <v>5143500</v>
      </c>
      <c r="Y207" s="269">
        <f t="shared" si="73"/>
        <v>9601200</v>
      </c>
    </row>
    <row r="208" spans="1:25" ht="15.75" hidden="1" customHeight="1" x14ac:dyDescent="0.35">
      <c r="B208" s="315"/>
      <c r="C208" s="273"/>
      <c r="D208" s="272"/>
      <c r="E208" s="273"/>
      <c r="F208" s="272"/>
      <c r="G208" s="272"/>
      <c r="H208" s="272"/>
      <c r="I208" s="272"/>
      <c r="J208" s="272"/>
      <c r="T208" s="333">
        <f t="shared" ref="T208:Y208" si="74">$O$12</f>
        <v>0.1</v>
      </c>
      <c r="U208" s="333">
        <f t="shared" si="74"/>
        <v>0.1</v>
      </c>
      <c r="V208" s="333">
        <f t="shared" si="74"/>
        <v>0.1</v>
      </c>
      <c r="W208" s="333">
        <f t="shared" si="74"/>
        <v>0.1</v>
      </c>
      <c r="X208" s="333">
        <f t="shared" si="74"/>
        <v>0.1</v>
      </c>
      <c r="Y208" s="333">
        <f t="shared" si="74"/>
        <v>0.1</v>
      </c>
    </row>
    <row r="209" spans="2:25" ht="15.75" hidden="1" customHeight="1" x14ac:dyDescent="0.35">
      <c r="T209" s="267">
        <f>T207/T197</f>
        <v>6515.1</v>
      </c>
      <c r="U209" s="267">
        <f t="shared" ref="U209:X209" si="75">U207/U197</f>
        <v>6172.2</v>
      </c>
      <c r="V209" s="267">
        <f t="shared" si="75"/>
        <v>5829.3</v>
      </c>
      <c r="W209" s="267">
        <f t="shared" si="75"/>
        <v>5486.4</v>
      </c>
      <c r="X209" s="267">
        <f t="shared" si="75"/>
        <v>5143.5</v>
      </c>
      <c r="Y209" s="267">
        <f>Y207/Y197</f>
        <v>4800.6000000000004</v>
      </c>
    </row>
    <row r="210" spans="2:25" ht="15.75" hidden="1" customHeight="1" x14ac:dyDescent="0.35">
      <c r="T210" s="287" t="s">
        <v>81</v>
      </c>
      <c r="U210" s="287" t="s">
        <v>81</v>
      </c>
      <c r="V210" s="287" t="s">
        <v>81</v>
      </c>
      <c r="W210" s="287" t="s">
        <v>81</v>
      </c>
      <c r="X210" s="287" t="s">
        <v>81</v>
      </c>
      <c r="Y210" s="287" t="s">
        <v>81</v>
      </c>
    </row>
    <row r="211" spans="2:25" hidden="1" x14ac:dyDescent="0.35">
      <c r="B211" s="272"/>
      <c r="C211" s="273"/>
      <c r="D211" s="272"/>
      <c r="E211" s="273"/>
      <c r="F211" s="272"/>
      <c r="G211" s="272"/>
      <c r="H211" s="272"/>
      <c r="I211" s="272"/>
      <c r="J211" s="272"/>
      <c r="K211" s="272"/>
      <c r="L211" s="272"/>
      <c r="M211" s="273"/>
      <c r="N211" s="273"/>
      <c r="O211" s="272"/>
      <c r="P211" s="272"/>
      <c r="R211" s="272"/>
      <c r="S211" s="273"/>
      <c r="T211" s="269">
        <f>T207-(T207*$Q$12)-T199</f>
        <v>200406.12857142859</v>
      </c>
      <c r="U211" s="269">
        <f t="shared" ref="U211:Y211" si="76">U207-(U207*$Q$117)-U199</f>
        <v>358377.74847619049</v>
      </c>
      <c r="V211" s="269">
        <f t="shared" si="76"/>
        <v>676797.63495238102</v>
      </c>
      <c r="W211" s="269">
        <f t="shared" si="76"/>
        <v>1604455.7657142859</v>
      </c>
      <c r="X211" s="269">
        <f t="shared" si="76"/>
        <v>2934185.2214285717</v>
      </c>
      <c r="Y211" s="269">
        <f t="shared" si="76"/>
        <v>5317051.8228571424</v>
      </c>
    </row>
    <row r="212" spans="2:25" hidden="1" x14ac:dyDescent="0.35">
      <c r="E212" s="269"/>
      <c r="J212" s="267"/>
      <c r="T212" s="273">
        <f t="shared" ref="T212:Y212" si="77">T211/T197</f>
        <v>4008.122571428572</v>
      </c>
      <c r="U212" s="273">
        <f t="shared" si="77"/>
        <v>3583.7774847619048</v>
      </c>
      <c r="V212" s="273">
        <f t="shared" si="77"/>
        <v>3383.9881747619052</v>
      </c>
      <c r="W212" s="273">
        <f t="shared" si="77"/>
        <v>3208.9115314285718</v>
      </c>
      <c r="X212" s="273">
        <f t="shared" si="77"/>
        <v>2934.1852214285718</v>
      </c>
      <c r="Y212" s="273">
        <f t="shared" si="77"/>
        <v>2658.5259114285714</v>
      </c>
    </row>
    <row r="213" spans="2:25" hidden="1" x14ac:dyDescent="0.35">
      <c r="B213" s="315"/>
      <c r="C213" s="273"/>
      <c r="D213" s="272"/>
      <c r="E213" s="273"/>
      <c r="F213" s="272"/>
      <c r="G213" s="272"/>
      <c r="H213" s="272"/>
      <c r="I213" s="272"/>
      <c r="J213" s="272"/>
    </row>
    <row r="214" spans="2:25" hidden="1" x14ac:dyDescent="0.35">
      <c r="B214" s="315"/>
      <c r="C214" s="273"/>
      <c r="D214" s="272"/>
      <c r="E214" s="273"/>
      <c r="F214" s="272"/>
      <c r="G214" s="272"/>
      <c r="H214" s="272"/>
      <c r="I214" s="272"/>
      <c r="J214" s="272"/>
    </row>
    <row r="215" spans="2:25" hidden="1" x14ac:dyDescent="0.35">
      <c r="B215" s="315"/>
      <c r="C215" s="273"/>
      <c r="D215" s="272"/>
      <c r="E215" s="273"/>
      <c r="F215" s="272"/>
      <c r="G215" s="272"/>
      <c r="H215" s="272"/>
      <c r="I215" s="272"/>
      <c r="J215" s="272"/>
    </row>
    <row r="216" spans="2:25" hidden="1" x14ac:dyDescent="0.35">
      <c r="B216" s="315"/>
      <c r="C216" s="273"/>
      <c r="D216" s="272"/>
      <c r="E216" s="273"/>
      <c r="F216" s="272"/>
      <c r="G216" s="272"/>
      <c r="H216" s="272"/>
      <c r="I216" s="272"/>
      <c r="J216" s="272"/>
    </row>
    <row r="217" spans="2:25" hidden="1" x14ac:dyDescent="0.35">
      <c r="B217" s="273"/>
      <c r="C217" s="273"/>
      <c r="D217" s="273"/>
      <c r="E217" s="273"/>
      <c r="F217" s="273"/>
      <c r="J217" s="267"/>
      <c r="S217" s="273"/>
      <c r="T217" s="273"/>
      <c r="U217" s="273"/>
      <c r="V217" s="273"/>
      <c r="W217" s="273"/>
      <c r="X217" s="272"/>
    </row>
    <row r="218" spans="2:25" hidden="1" x14ac:dyDescent="0.35">
      <c r="B218" s="315"/>
      <c r="C218" s="273"/>
      <c r="D218" s="272"/>
      <c r="E218" s="273"/>
      <c r="F218" s="272"/>
      <c r="G218" s="272"/>
      <c r="H218" s="272"/>
      <c r="I218" s="272"/>
      <c r="J218" s="272"/>
    </row>
    <row r="219" spans="2:25" hidden="1" x14ac:dyDescent="0.35">
      <c r="B219" s="315"/>
      <c r="C219" s="273"/>
      <c r="D219" s="272"/>
      <c r="E219" s="273"/>
      <c r="F219" s="272"/>
      <c r="G219" s="272"/>
      <c r="H219" s="272"/>
      <c r="I219" s="272"/>
      <c r="J219" s="272"/>
    </row>
    <row r="220" spans="2:25" x14ac:dyDescent="0.35">
      <c r="B220" s="315"/>
      <c r="C220" s="273"/>
      <c r="D220" s="272"/>
      <c r="E220" s="273"/>
      <c r="F220" s="272"/>
      <c r="G220" s="272"/>
      <c r="H220" s="272"/>
      <c r="I220" s="272"/>
      <c r="J220" s="272"/>
    </row>
    <row r="221" spans="2:25" x14ac:dyDescent="0.35">
      <c r="B221" s="315"/>
      <c r="C221" s="273"/>
      <c r="D221" s="272"/>
      <c r="E221" s="273"/>
      <c r="F221" s="272"/>
      <c r="G221" s="272"/>
      <c r="H221" s="272"/>
      <c r="I221" s="272"/>
      <c r="J221" s="272"/>
    </row>
    <row r="222" spans="2:25" x14ac:dyDescent="0.35">
      <c r="E222" s="384"/>
      <c r="T222" s="273"/>
      <c r="U222" s="273"/>
      <c r="V222" s="273"/>
      <c r="W222" s="273"/>
      <c r="X222" s="273"/>
    </row>
    <row r="223" spans="2:25" x14ac:dyDescent="0.35">
      <c r="Q223" s="267" t="s">
        <v>304</v>
      </c>
    </row>
    <row r="224" spans="2:25" x14ac:dyDescent="0.35">
      <c r="O224" s="269" t="s">
        <v>302</v>
      </c>
      <c r="Q224" s="268">
        <v>9.2499999999999999E-2</v>
      </c>
    </row>
    <row r="225" spans="1:40" x14ac:dyDescent="0.35">
      <c r="O225" s="268">
        <v>0.1</v>
      </c>
      <c r="Q225" s="317"/>
    </row>
    <row r="226" spans="1:40" x14ac:dyDescent="0.35">
      <c r="O226" s="270">
        <v>0.1</v>
      </c>
      <c r="Q226" s="318">
        <v>7.6100000000000001E-2</v>
      </c>
    </row>
    <row r="227" spans="1:40" x14ac:dyDescent="0.35">
      <c r="K227" s="272"/>
      <c r="L227" s="272"/>
      <c r="M227" s="319">
        <f>(M229-K229)</f>
        <v>23760.015238095242</v>
      </c>
      <c r="O227" s="271">
        <f>O225+O226</f>
        <v>0.2</v>
      </c>
      <c r="Q227" s="271">
        <f>Q225+Q226+Q224</f>
        <v>0.1686</v>
      </c>
    </row>
    <row r="228" spans="1:40" ht="42" x14ac:dyDescent="0.35">
      <c r="B228" s="492" t="s">
        <v>249</v>
      </c>
      <c r="C228" s="275" t="s">
        <v>27</v>
      </c>
      <c r="D228" s="320" t="s">
        <v>39</v>
      </c>
      <c r="E228" s="321" t="s">
        <v>29</v>
      </c>
      <c r="F228" s="348" t="s">
        <v>244</v>
      </c>
      <c r="G228" s="272"/>
      <c r="H228" s="340" t="s">
        <v>247</v>
      </c>
      <c r="I228" s="340"/>
      <c r="J228" s="336"/>
      <c r="K228" s="277" t="s">
        <v>245</v>
      </c>
      <c r="L228" s="278" t="s">
        <v>7</v>
      </c>
      <c r="M228" s="323" t="s">
        <v>80</v>
      </c>
      <c r="N228" s="273"/>
      <c r="O228" s="279" t="s">
        <v>77</v>
      </c>
      <c r="P228" s="279" t="s">
        <v>77</v>
      </c>
      <c r="Q228" s="280" t="s">
        <v>79</v>
      </c>
      <c r="R228" s="272"/>
      <c r="S228" s="273"/>
      <c r="T228" s="273"/>
      <c r="U228" s="273"/>
      <c r="V228" s="273"/>
      <c r="W228" s="273"/>
      <c r="X228" s="272"/>
      <c r="Y228" s="272"/>
    </row>
    <row r="229" spans="1:40" x14ac:dyDescent="0.35">
      <c r="B229" s="492"/>
      <c r="C229" s="269">
        <f>K7*44</f>
        <v>10233.017142857143</v>
      </c>
      <c r="D229" s="267">
        <f>(Insumos!G6/28)*44</f>
        <v>377.0171428571428</v>
      </c>
      <c r="E229" s="316">
        <v>1155</v>
      </c>
      <c r="F229" s="267">
        <f>(Insumos!G6/3)+(Insumos!G33/6)</f>
        <v>114.97333333333333</v>
      </c>
      <c r="H229" s="343">
        <f>$M$7*44</f>
        <v>28652.448</v>
      </c>
      <c r="I229" s="343"/>
      <c r="K229" s="267">
        <f>SUM(C229:G229)</f>
        <v>11880.007619047619</v>
      </c>
      <c r="L229" s="281">
        <v>2000</v>
      </c>
      <c r="M229" s="269">
        <f>K229*3</f>
        <v>35640.02285714286</v>
      </c>
      <c r="O229" s="324">
        <f>ROUNDUP(P229, -1)</f>
        <v>42770</v>
      </c>
      <c r="P229" s="324">
        <f>M229+(M229*O227)</f>
        <v>42768.027428571433</v>
      </c>
      <c r="Q229" s="267">
        <f>O229-(O229*Q227)-K229</f>
        <v>23678.970380952385</v>
      </c>
    </row>
    <row r="231" spans="1:40" x14ac:dyDescent="0.35">
      <c r="H231" s="343"/>
      <c r="I231" s="343"/>
    </row>
    <row r="232" spans="1:40" s="269" customFormat="1" x14ac:dyDescent="0.35">
      <c r="A232" s="315"/>
      <c r="B232" s="267"/>
      <c r="D232" s="267"/>
      <c r="E232" s="316"/>
      <c r="F232" s="267"/>
      <c r="G232" s="267"/>
      <c r="H232" s="267"/>
      <c r="I232" s="267"/>
      <c r="J232" s="315"/>
      <c r="K232" s="267"/>
      <c r="L232" s="267"/>
      <c r="O232" s="267"/>
      <c r="P232" s="267"/>
      <c r="Q232" s="268"/>
      <c r="R232" s="267"/>
      <c r="X232" s="267"/>
      <c r="Y232" s="267"/>
      <c r="Z232" s="267"/>
      <c r="AA232" s="267"/>
      <c r="AD232" s="267"/>
      <c r="AE232" s="267"/>
      <c r="AF232" s="267"/>
      <c r="AG232" s="267"/>
      <c r="AH232" s="267"/>
      <c r="AI232" s="267"/>
      <c r="AJ232" s="267"/>
      <c r="AK232" s="267"/>
      <c r="AL232" s="267"/>
      <c r="AM232" s="267"/>
      <c r="AN232" s="267"/>
    </row>
    <row r="233" spans="1:40" s="269" customFormat="1" x14ac:dyDescent="0.35">
      <c r="A233" s="315"/>
      <c r="B233" s="267"/>
      <c r="D233" s="267"/>
      <c r="E233" s="316"/>
      <c r="F233" s="267"/>
      <c r="G233" s="267"/>
      <c r="H233" s="343"/>
      <c r="I233" s="343"/>
      <c r="J233" s="315"/>
      <c r="K233" s="267"/>
      <c r="L233" s="267"/>
      <c r="M233" s="315">
        <v>0.2</v>
      </c>
      <c r="N233" s="315"/>
      <c r="O233" s="326" t="s">
        <v>303</v>
      </c>
      <c r="P233" s="267"/>
      <c r="Q233" s="327" t="s">
        <v>174</v>
      </c>
      <c r="R233" s="267"/>
      <c r="X233" s="267"/>
      <c r="Y233" s="267"/>
      <c r="Z233" s="267"/>
      <c r="AA233" s="267"/>
      <c r="AD233" s="267"/>
      <c r="AE233" s="267"/>
      <c r="AF233" s="267"/>
      <c r="AG233" s="267"/>
      <c r="AH233" s="267"/>
      <c r="AI233" s="267"/>
      <c r="AJ233" s="267"/>
      <c r="AK233" s="267"/>
      <c r="AL233" s="267"/>
      <c r="AM233" s="267"/>
      <c r="AN233" s="267"/>
    </row>
    <row r="234" spans="1:40" s="269" customFormat="1" x14ac:dyDescent="0.35">
      <c r="A234" s="315"/>
      <c r="B234" s="267"/>
      <c r="D234" s="267"/>
      <c r="E234" s="316"/>
      <c r="F234" s="267"/>
      <c r="G234" s="267"/>
      <c r="H234" s="267"/>
      <c r="I234" s="267"/>
      <c r="J234" s="315"/>
      <c r="K234" s="267"/>
      <c r="L234" s="267"/>
      <c r="O234" s="328">
        <v>0.1</v>
      </c>
      <c r="P234" s="267"/>
      <c r="Q234" s="329">
        <v>0.06</v>
      </c>
      <c r="R234" s="267"/>
      <c r="X234" s="267"/>
      <c r="Y234" s="267"/>
      <c r="Z234" s="267"/>
      <c r="AA234" s="267"/>
      <c r="AD234" s="267"/>
      <c r="AE234" s="267"/>
      <c r="AF234" s="267"/>
      <c r="AG234" s="267"/>
      <c r="AH234" s="267"/>
      <c r="AI234" s="267"/>
      <c r="AJ234" s="267"/>
      <c r="AK234" s="267"/>
      <c r="AL234" s="267"/>
      <c r="AM234" s="267"/>
      <c r="AN234" s="267"/>
    </row>
    <row r="235" spans="1:40" s="269" customFormat="1" x14ac:dyDescent="0.35">
      <c r="A235" s="315"/>
      <c r="B235" s="267"/>
      <c r="D235" s="267"/>
      <c r="E235" s="316"/>
      <c r="F235" s="267"/>
      <c r="G235" s="267"/>
      <c r="H235" s="343"/>
      <c r="I235" s="343"/>
      <c r="J235" s="315"/>
      <c r="K235" s="267"/>
      <c r="L235" s="267"/>
      <c r="O235" s="330" t="s">
        <v>65</v>
      </c>
      <c r="P235" s="272"/>
      <c r="Q235" s="287" t="s">
        <v>83</v>
      </c>
      <c r="R235" s="267"/>
      <c r="X235" s="267"/>
      <c r="Y235" s="267"/>
      <c r="Z235" s="267"/>
      <c r="AA235" s="267"/>
      <c r="AD235" s="267"/>
      <c r="AE235" s="267"/>
      <c r="AF235" s="267"/>
      <c r="AG235" s="267"/>
      <c r="AH235" s="267"/>
      <c r="AI235" s="267"/>
      <c r="AJ235" s="267"/>
      <c r="AK235" s="267"/>
      <c r="AL235" s="267"/>
      <c r="AM235" s="267"/>
      <c r="AN235" s="267"/>
    </row>
    <row r="236" spans="1:40" s="269" customFormat="1" x14ac:dyDescent="0.35">
      <c r="A236" s="315"/>
      <c r="B236" s="267"/>
      <c r="D236" s="267"/>
      <c r="E236" s="316"/>
      <c r="F236" s="267"/>
      <c r="G236" s="267"/>
      <c r="H236" s="267"/>
      <c r="I236" s="267"/>
      <c r="J236" s="315"/>
      <c r="K236" s="267"/>
      <c r="L236" s="267"/>
      <c r="O236" s="267">
        <f>O229-(O229*O234)</f>
        <v>38493</v>
      </c>
      <c r="P236" s="267"/>
      <c r="Q236" s="267">
        <f>(O236-(O236*Q234))-K229</f>
        <v>24303.412380952381</v>
      </c>
      <c r="R236" s="267"/>
      <c r="X236" s="267"/>
      <c r="Y236" s="267"/>
      <c r="Z236" s="267"/>
      <c r="AA236" s="267"/>
      <c r="AD236" s="267"/>
      <c r="AE236" s="267"/>
      <c r="AF236" s="267"/>
      <c r="AG236" s="267"/>
      <c r="AH236" s="267"/>
      <c r="AI236" s="267"/>
      <c r="AJ236" s="267"/>
      <c r="AK236" s="267"/>
      <c r="AL236" s="267"/>
      <c r="AM236" s="267"/>
      <c r="AN236" s="267"/>
    </row>
    <row r="237" spans="1:40" x14ac:dyDescent="0.35">
      <c r="H237" s="343"/>
      <c r="I237" s="343"/>
      <c r="Q237" s="267" t="s">
        <v>304</v>
      </c>
    </row>
    <row r="238" spans="1:40" s="269" customFormat="1" x14ac:dyDescent="0.35">
      <c r="A238" s="315"/>
      <c r="B238" s="267"/>
      <c r="D238" s="267"/>
      <c r="E238" s="316"/>
      <c r="F238" s="267"/>
      <c r="G238" s="267"/>
      <c r="H238" s="267"/>
      <c r="I238" s="267"/>
      <c r="J238" s="315"/>
      <c r="K238" s="267"/>
      <c r="L238" s="267"/>
      <c r="O238" s="269" t="s">
        <v>302</v>
      </c>
      <c r="P238" s="267"/>
      <c r="Q238" s="268">
        <v>9.2499999999999999E-2</v>
      </c>
      <c r="R238" s="267"/>
      <c r="X238" s="267"/>
      <c r="Y238" s="267"/>
      <c r="Z238" s="267"/>
      <c r="AA238" s="267"/>
      <c r="AD238" s="267"/>
      <c r="AE238" s="267"/>
      <c r="AF238" s="267"/>
      <c r="AG238" s="267"/>
      <c r="AH238" s="267"/>
      <c r="AI238" s="267"/>
      <c r="AJ238" s="267"/>
      <c r="AK238" s="267"/>
      <c r="AL238" s="267"/>
      <c r="AM238" s="267"/>
      <c r="AN238" s="267"/>
    </row>
    <row r="239" spans="1:40" s="269" customFormat="1" x14ac:dyDescent="0.35">
      <c r="A239" s="315"/>
      <c r="B239" s="267"/>
      <c r="D239" s="267"/>
      <c r="E239" s="316"/>
      <c r="F239" s="267"/>
      <c r="G239" s="267"/>
      <c r="H239" s="343"/>
      <c r="I239" s="343"/>
      <c r="J239" s="315"/>
      <c r="K239" s="267"/>
      <c r="L239" s="267"/>
      <c r="O239" s="268">
        <v>0.1</v>
      </c>
      <c r="P239" s="267"/>
      <c r="Q239" s="317"/>
      <c r="R239" s="267"/>
      <c r="X239" s="267"/>
      <c r="Y239" s="267"/>
      <c r="Z239" s="267"/>
      <c r="AA239" s="267"/>
      <c r="AD239" s="267"/>
      <c r="AE239" s="267"/>
      <c r="AF239" s="267"/>
      <c r="AG239" s="267"/>
      <c r="AH239" s="267"/>
      <c r="AI239" s="267"/>
      <c r="AJ239" s="267"/>
      <c r="AK239" s="267"/>
      <c r="AL239" s="267"/>
      <c r="AM239" s="267"/>
      <c r="AN239" s="267"/>
    </row>
    <row r="240" spans="1:40" s="269" customFormat="1" x14ac:dyDescent="0.35">
      <c r="A240" s="315"/>
      <c r="B240" s="267"/>
      <c r="D240" s="267"/>
      <c r="E240" s="316"/>
      <c r="F240" s="267"/>
      <c r="G240" s="267"/>
      <c r="H240" s="267"/>
      <c r="I240" s="267"/>
      <c r="J240" s="315"/>
      <c r="K240" s="267"/>
      <c r="L240" s="267"/>
      <c r="O240" s="270">
        <v>0.1</v>
      </c>
      <c r="P240" s="267"/>
      <c r="Q240" s="318">
        <v>7.6100000000000001E-2</v>
      </c>
      <c r="R240" s="267"/>
      <c r="X240" s="267"/>
      <c r="Y240" s="267"/>
      <c r="Z240" s="267"/>
      <c r="AA240" s="267"/>
      <c r="AD240" s="267"/>
      <c r="AE240" s="267"/>
      <c r="AF240" s="267"/>
      <c r="AG240" s="267"/>
      <c r="AH240" s="267"/>
      <c r="AI240" s="267"/>
      <c r="AJ240" s="267"/>
      <c r="AK240" s="267"/>
      <c r="AL240" s="267"/>
      <c r="AM240" s="267"/>
      <c r="AN240" s="267"/>
    </row>
    <row r="241" spans="1:40" s="269" customFormat="1" x14ac:dyDescent="0.35">
      <c r="A241" s="315"/>
      <c r="B241" s="267"/>
      <c r="D241" s="267"/>
      <c r="E241" s="316"/>
      <c r="F241" s="267"/>
      <c r="G241" s="267"/>
      <c r="H241" s="267"/>
      <c r="I241" s="267"/>
      <c r="J241" s="315"/>
      <c r="K241" s="272"/>
      <c r="L241" s="272"/>
      <c r="M241" s="319">
        <f>(M243-K243)</f>
        <v>12772.963809523808</v>
      </c>
      <c r="N241" s="267"/>
      <c r="O241" s="271">
        <f>O239+O240</f>
        <v>0.2</v>
      </c>
      <c r="P241" s="267"/>
      <c r="Q241" s="271">
        <f>Q239+Q240+Q238</f>
        <v>0.1686</v>
      </c>
      <c r="R241" s="267"/>
      <c r="X241" s="267"/>
      <c r="Y241" s="267"/>
      <c r="Z241" s="267"/>
      <c r="AA241" s="267"/>
      <c r="AD241" s="267"/>
      <c r="AE241" s="267"/>
      <c r="AF241" s="267"/>
      <c r="AG241" s="267"/>
      <c r="AH241" s="267"/>
      <c r="AI241" s="267"/>
      <c r="AJ241" s="267"/>
      <c r="AK241" s="267"/>
      <c r="AL241" s="267"/>
      <c r="AM241" s="267"/>
      <c r="AN241" s="267"/>
    </row>
    <row r="242" spans="1:40" s="269" customFormat="1" ht="42" x14ac:dyDescent="0.35">
      <c r="A242" s="315"/>
      <c r="B242" s="492" t="s">
        <v>248</v>
      </c>
      <c r="C242" s="275" t="s">
        <v>27</v>
      </c>
      <c r="D242" s="320" t="s">
        <v>39</v>
      </c>
      <c r="E242" s="321" t="s">
        <v>29</v>
      </c>
      <c r="F242" s="348" t="s">
        <v>244</v>
      </c>
      <c r="G242" s="272"/>
      <c r="H242" s="340" t="s">
        <v>247</v>
      </c>
      <c r="I242" s="340"/>
      <c r="J242" s="336"/>
      <c r="K242" s="277" t="s">
        <v>245</v>
      </c>
      <c r="L242" s="278" t="s">
        <v>7</v>
      </c>
      <c r="M242" s="323" t="s">
        <v>80</v>
      </c>
      <c r="N242" s="273"/>
      <c r="O242" s="279" t="s">
        <v>77</v>
      </c>
      <c r="P242" s="279" t="s">
        <v>77</v>
      </c>
      <c r="Q242" s="280" t="s">
        <v>79</v>
      </c>
      <c r="R242" s="267"/>
      <c r="X242" s="267"/>
      <c r="Y242" s="267"/>
      <c r="Z242" s="267"/>
      <c r="AA242" s="267"/>
      <c r="AD242" s="267"/>
      <c r="AE242" s="267"/>
      <c r="AF242" s="267"/>
      <c r="AG242" s="267"/>
      <c r="AH242" s="267"/>
      <c r="AI242" s="267"/>
      <c r="AJ242" s="267"/>
      <c r="AK242" s="267"/>
      <c r="AL242" s="267"/>
      <c r="AM242" s="267"/>
      <c r="AN242" s="267"/>
    </row>
    <row r="243" spans="1:40" x14ac:dyDescent="0.35">
      <c r="B243" s="492"/>
      <c r="C243" s="269">
        <f>Insumos!C6*22</f>
        <v>4928</v>
      </c>
      <c r="D243" s="267">
        <f>(Insumos!G6/28)*22</f>
        <v>188.5085714285714</v>
      </c>
      <c r="E243" s="316">
        <v>1155</v>
      </c>
      <c r="F243" s="267">
        <f>(Insumos!G6/3)+(Insumos!G33/6)</f>
        <v>114.97333333333333</v>
      </c>
      <c r="H243" s="343">
        <f>$M$7*22</f>
        <v>14326.224</v>
      </c>
      <c r="I243" s="343"/>
      <c r="K243" s="267">
        <f>SUM(C243:G243)</f>
        <v>6386.4819047619048</v>
      </c>
      <c r="L243" s="281">
        <f>M243-K243</f>
        <v>12772.963809523808</v>
      </c>
      <c r="M243" s="269">
        <f>K243*3</f>
        <v>19159.445714285714</v>
      </c>
      <c r="O243" s="324">
        <f>ROUNDUP(P243, -1)</f>
        <v>23000</v>
      </c>
      <c r="P243" s="324">
        <f>M243+(M243*O241)</f>
        <v>22991.334857142858</v>
      </c>
      <c r="Q243" s="267">
        <f>O243-(O243*Q241)-K243</f>
        <v>12735.718095238095</v>
      </c>
    </row>
    <row r="245" spans="1:40" x14ac:dyDescent="0.35">
      <c r="H245" s="343"/>
      <c r="I245" s="343"/>
    </row>
    <row r="246" spans="1:40" x14ac:dyDescent="0.35">
      <c r="Q246" s="268"/>
    </row>
    <row r="247" spans="1:40" x14ac:dyDescent="0.35">
      <c r="H247" s="343"/>
      <c r="I247" s="343"/>
      <c r="M247" s="315">
        <v>0.2</v>
      </c>
      <c r="N247" s="315"/>
      <c r="O247" s="326" t="s">
        <v>303</v>
      </c>
      <c r="Q247" s="327" t="s">
        <v>174</v>
      </c>
    </row>
    <row r="248" spans="1:40" x14ac:dyDescent="0.35">
      <c r="O248" s="328">
        <v>0.1</v>
      </c>
      <c r="Q248" s="329">
        <v>0.06</v>
      </c>
    </row>
    <row r="249" spans="1:40" x14ac:dyDescent="0.35">
      <c r="H249" s="343"/>
      <c r="I249" s="343"/>
      <c r="O249" s="330" t="s">
        <v>65</v>
      </c>
      <c r="P249" s="272"/>
      <c r="Q249" s="287" t="s">
        <v>83</v>
      </c>
    </row>
    <row r="250" spans="1:40" x14ac:dyDescent="0.35">
      <c r="A250" s="267"/>
      <c r="O250" s="267">
        <f>O243-(O243*O248)</f>
        <v>20700</v>
      </c>
      <c r="Q250" s="267">
        <f>(O250-(O250*Q248))-K243</f>
        <v>13071.518095238094</v>
      </c>
    </row>
    <row r="251" spans="1:40" x14ac:dyDescent="0.35">
      <c r="A251" s="267"/>
    </row>
    <row r="252" spans="1:40" ht="22.5" customHeight="1" x14ac:dyDescent="0.35">
      <c r="A252" s="267"/>
      <c r="E252" s="462"/>
    </row>
    <row r="253" spans="1:40" ht="22.5" customHeight="1" x14ac:dyDescent="0.35">
      <c r="E253" s="462"/>
      <c r="O253" s="269"/>
      <c r="Q253" s="458"/>
    </row>
    <row r="254" spans="1:40" ht="22.5" customHeight="1" x14ac:dyDescent="0.35">
      <c r="E254" s="462"/>
      <c r="H254" s="463"/>
      <c r="I254" s="463"/>
      <c r="O254" s="458"/>
      <c r="Q254" s="459"/>
    </row>
    <row r="255" spans="1:40" ht="22.5" customHeight="1" x14ac:dyDescent="0.35">
      <c r="E255" s="462"/>
      <c r="O255" s="458"/>
      <c r="Q255" s="459"/>
    </row>
    <row r="256" spans="1:40" ht="22.5" customHeight="1" x14ac:dyDescent="0.35">
      <c r="E256" s="462"/>
      <c r="K256" s="272"/>
      <c r="L256" s="272"/>
      <c r="M256" s="267"/>
      <c r="N256" s="267"/>
      <c r="O256" s="460"/>
      <c r="Q256" s="460"/>
    </row>
    <row r="257" spans="1:17" ht="22.5" customHeight="1" x14ac:dyDescent="0.35">
      <c r="A257" s="267"/>
      <c r="B257" s="469"/>
      <c r="C257" s="273"/>
      <c r="D257" s="272"/>
      <c r="E257" s="464"/>
      <c r="F257" s="465"/>
      <c r="G257" s="272"/>
      <c r="H257" s="466"/>
      <c r="I257" s="466"/>
      <c r="J257" s="336"/>
      <c r="K257" s="467"/>
      <c r="L257" s="272"/>
      <c r="M257" s="273"/>
      <c r="N257" s="273"/>
      <c r="O257" s="272"/>
      <c r="P257" s="272"/>
      <c r="Q257" s="272"/>
    </row>
    <row r="258" spans="1:17" ht="22.5" customHeight="1" x14ac:dyDescent="0.35">
      <c r="A258" s="267"/>
      <c r="B258" s="469"/>
      <c r="E258" s="462"/>
      <c r="H258" s="463"/>
      <c r="I258" s="463"/>
      <c r="L258" s="281"/>
      <c r="O258" s="282"/>
      <c r="P258" s="282"/>
    </row>
    <row r="259" spans="1:17" ht="22.5" customHeight="1" x14ac:dyDescent="0.35">
      <c r="E259" s="462"/>
    </row>
    <row r="260" spans="1:17" ht="22.5" customHeight="1" x14ac:dyDescent="0.35">
      <c r="E260" s="462"/>
      <c r="H260" s="463"/>
      <c r="I260" s="463"/>
    </row>
    <row r="261" spans="1:17" ht="22.5" customHeight="1" x14ac:dyDescent="0.35">
      <c r="E261" s="462"/>
      <c r="Q261" s="458"/>
    </row>
    <row r="262" spans="1:17" ht="22.5" customHeight="1" x14ac:dyDescent="0.35">
      <c r="E262" s="462"/>
      <c r="H262" s="463"/>
      <c r="I262" s="463"/>
      <c r="M262" s="315"/>
      <c r="N262" s="315"/>
      <c r="O262" s="326"/>
      <c r="Q262" s="327"/>
    </row>
    <row r="263" spans="1:17" ht="22.5" customHeight="1" x14ac:dyDescent="0.35">
      <c r="E263" s="462"/>
      <c r="O263" s="328"/>
      <c r="Q263" s="461"/>
    </row>
    <row r="264" spans="1:17" ht="22.5" customHeight="1" x14ac:dyDescent="0.35">
      <c r="E264" s="462"/>
      <c r="H264" s="463"/>
      <c r="I264" s="463"/>
      <c r="O264" s="273"/>
      <c r="P264" s="272"/>
      <c r="Q264" s="273"/>
    </row>
    <row r="265" spans="1:17" ht="22.5" customHeight="1" x14ac:dyDescent="0.35">
      <c r="A265" s="267"/>
      <c r="E265" s="462"/>
    </row>
    <row r="266" spans="1:17" ht="22.5" customHeight="1" x14ac:dyDescent="0.35">
      <c r="E266" s="462"/>
    </row>
    <row r="269" spans="1:17" x14ac:dyDescent="0.35">
      <c r="E269" s="462"/>
    </row>
    <row r="270" spans="1:17" x14ac:dyDescent="0.35">
      <c r="E270" s="462"/>
    </row>
    <row r="271" spans="1:17" x14ac:dyDescent="0.35">
      <c r="E271" s="462"/>
      <c r="O271" s="269"/>
      <c r="Q271" s="458"/>
    </row>
    <row r="272" spans="1:17" x14ac:dyDescent="0.35">
      <c r="E272" s="269"/>
      <c r="J272" s="267"/>
      <c r="O272" s="458"/>
      <c r="Q272" s="459"/>
    </row>
    <row r="273" spans="2:17" x14ac:dyDescent="0.35">
      <c r="E273" s="269"/>
      <c r="O273" s="458"/>
      <c r="Q273" s="459"/>
    </row>
    <row r="274" spans="2:17" x14ac:dyDescent="0.35">
      <c r="E274" s="269"/>
      <c r="K274" s="272"/>
      <c r="L274" s="272"/>
      <c r="O274" s="460"/>
      <c r="Q274" s="460"/>
    </row>
    <row r="275" spans="2:17" ht="21.75" x14ac:dyDescent="0.35">
      <c r="B275" s="468"/>
      <c r="C275" s="273"/>
      <c r="D275" s="272"/>
      <c r="E275" s="464"/>
      <c r="F275" s="470"/>
      <c r="G275" s="272"/>
      <c r="H275" s="466"/>
      <c r="I275" s="466"/>
      <c r="J275" s="267"/>
      <c r="K275" s="467"/>
      <c r="L275" s="272"/>
      <c r="O275" s="272"/>
      <c r="P275" s="272"/>
      <c r="Q275" s="272"/>
    </row>
    <row r="276" spans="2:17" ht="21.75" x14ac:dyDescent="0.35">
      <c r="B276" s="468"/>
      <c r="D276" s="269"/>
      <c r="E276" s="269"/>
      <c r="F276" s="269"/>
      <c r="G276" s="269"/>
      <c r="H276" s="269"/>
      <c r="I276" s="269"/>
      <c r="J276" s="267"/>
      <c r="O276" s="282"/>
      <c r="P276" s="282"/>
    </row>
    <row r="277" spans="2:17" x14ac:dyDescent="0.35">
      <c r="E277" s="462"/>
    </row>
    <row r="278" spans="2:17" x14ac:dyDescent="0.35">
      <c r="B278" s="315"/>
      <c r="E278" s="462"/>
      <c r="H278" s="463"/>
      <c r="I278" s="463"/>
    </row>
    <row r="279" spans="2:17" x14ac:dyDescent="0.35">
      <c r="B279" s="315"/>
      <c r="C279" s="267"/>
      <c r="E279" s="269"/>
      <c r="M279" s="315"/>
      <c r="N279" s="315"/>
      <c r="Q279" s="458"/>
    </row>
    <row r="280" spans="2:17" x14ac:dyDescent="0.35">
      <c r="B280" s="315"/>
      <c r="E280" s="269"/>
      <c r="H280" s="463"/>
      <c r="I280" s="463"/>
      <c r="L280" s="272"/>
      <c r="O280" s="326"/>
      <c r="Q280" s="327"/>
    </row>
    <row r="281" spans="2:17" x14ac:dyDescent="0.35">
      <c r="B281" s="315"/>
      <c r="E281" s="462"/>
      <c r="O281" s="328"/>
      <c r="Q281" s="461"/>
    </row>
    <row r="282" spans="2:17" x14ac:dyDescent="0.35">
      <c r="B282" s="315"/>
      <c r="E282" s="462"/>
      <c r="H282" s="463"/>
      <c r="I282" s="463"/>
      <c r="O282" s="273"/>
      <c r="P282" s="272"/>
      <c r="Q282" s="273"/>
    </row>
    <row r="283" spans="2:17" x14ac:dyDescent="0.35">
      <c r="B283" s="315"/>
      <c r="E283" s="269"/>
    </row>
    <row r="284" spans="2:17" x14ac:dyDescent="0.35">
      <c r="B284" s="315"/>
      <c r="E284" s="269"/>
      <c r="H284" s="463"/>
      <c r="I284" s="463"/>
      <c r="M284" s="273"/>
      <c r="N284" s="273"/>
      <c r="O284" s="272"/>
      <c r="P284" s="272"/>
    </row>
    <row r="285" spans="2:17" x14ac:dyDescent="0.35">
      <c r="B285" s="315"/>
      <c r="E285" s="269"/>
      <c r="Q285" s="272"/>
    </row>
    <row r="286" spans="2:17" x14ac:dyDescent="0.35">
      <c r="B286" s="315"/>
      <c r="E286" s="269"/>
      <c r="H286" s="463"/>
      <c r="I286" s="463"/>
    </row>
    <row r="287" spans="2:17" x14ac:dyDescent="0.35">
      <c r="B287" s="315"/>
      <c r="C287" s="273"/>
      <c r="D287" s="272"/>
      <c r="E287" s="273"/>
      <c r="F287" s="272"/>
      <c r="G287" s="272"/>
      <c r="H287" s="272"/>
      <c r="I287" s="272"/>
      <c r="J287" s="272"/>
    </row>
    <row r="288" spans="2:17" x14ac:dyDescent="0.35">
      <c r="E288" s="462"/>
    </row>
    <row r="289" spans="5:5" x14ac:dyDescent="0.35">
      <c r="E289" s="462"/>
    </row>
  </sheetData>
  <mergeCells count="18">
    <mergeCell ref="C27:G27"/>
    <mergeCell ref="B29:B30"/>
    <mergeCell ref="B49:B50"/>
    <mergeCell ref="B228:B229"/>
    <mergeCell ref="B242:B243"/>
    <mergeCell ref="B114:B117"/>
    <mergeCell ref="B71:B72"/>
    <mergeCell ref="B6:B7"/>
    <mergeCell ref="B95:B96"/>
    <mergeCell ref="B119:B120"/>
    <mergeCell ref="B149:B150"/>
    <mergeCell ref="B173:B174"/>
    <mergeCell ref="B196:B197"/>
    <mergeCell ref="T8:V8"/>
    <mergeCell ref="T10:V10"/>
    <mergeCell ref="T13:V13"/>
    <mergeCell ref="T16:V16"/>
    <mergeCell ref="T20:V20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6A04E-43B9-45D4-A2EC-D99EA160AC4A}">
  <dimension ref="A1:AL324"/>
  <sheetViews>
    <sheetView tabSelected="1" topLeftCell="D1" zoomScale="85" zoomScaleNormal="85" workbookViewId="0">
      <pane ySplit="2" topLeftCell="A41" activePane="bottomLeft" state="frozen"/>
      <selection pane="bottomLeft" activeCell="N49" sqref="N49:N59"/>
    </sheetView>
  </sheetViews>
  <sheetFormatPr baseColWidth="10" defaultColWidth="23.42578125" defaultRowHeight="15" x14ac:dyDescent="0.25"/>
  <cols>
    <col min="1" max="1" width="10" style="48" customWidth="1"/>
    <col min="2" max="2" width="8" style="48" customWidth="1"/>
    <col min="3" max="3" width="21.5703125" style="48" customWidth="1"/>
    <col min="4" max="4" width="6.7109375" style="48" customWidth="1"/>
    <col min="5" max="5" width="7.7109375" style="35" customWidth="1"/>
    <col min="6" max="6" width="9.7109375" style="35" customWidth="1"/>
    <col min="7" max="7" width="10.7109375" style="35" customWidth="1"/>
    <col min="8" max="8" width="11.140625" style="35" bestFit="1" customWidth="1"/>
    <col min="9" max="9" width="12" style="48" customWidth="1"/>
    <col min="10" max="10" width="7.140625" style="48" customWidth="1"/>
    <col min="11" max="12" width="10.140625" style="35" customWidth="1"/>
    <col min="13" max="13" width="8.28515625" style="35" customWidth="1"/>
    <col min="14" max="14" width="13" style="48" customWidth="1"/>
    <col min="15" max="15" width="15.7109375" style="48" customWidth="1"/>
    <col min="16" max="16" width="10" style="48" customWidth="1"/>
    <col min="17" max="17" width="15.140625" customWidth="1"/>
    <col min="18" max="18" width="10" style="49" customWidth="1"/>
    <col min="19" max="16384" width="23.42578125" style="48"/>
  </cols>
  <sheetData>
    <row r="1" spans="1:38" ht="33" customHeight="1" x14ac:dyDescent="0.25">
      <c r="E1" s="35">
        <v>1100</v>
      </c>
      <c r="G1" s="35">
        <v>2300</v>
      </c>
      <c r="I1" s="48">
        <v>2810</v>
      </c>
      <c r="K1" s="35">
        <v>6300</v>
      </c>
      <c r="M1" s="35">
        <v>1400</v>
      </c>
      <c r="N1" s="48">
        <v>33000</v>
      </c>
      <c r="O1" s="174">
        <v>613000</v>
      </c>
      <c r="S1" s="50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2"/>
    </row>
    <row r="2" spans="1:38" ht="28.5" customHeight="1" x14ac:dyDescent="0.25">
      <c r="B2" s="53"/>
      <c r="C2" s="54" t="s">
        <v>85</v>
      </c>
      <c r="D2" s="55" t="s">
        <v>86</v>
      </c>
      <c r="E2" s="145" t="s">
        <v>110</v>
      </c>
      <c r="F2" s="145" t="s">
        <v>109</v>
      </c>
      <c r="G2" s="36" t="s">
        <v>111</v>
      </c>
      <c r="H2" s="56" t="s">
        <v>112</v>
      </c>
      <c r="I2" s="57" t="s">
        <v>113</v>
      </c>
      <c r="J2" s="536">
        <v>0.02</v>
      </c>
      <c r="K2" s="537"/>
      <c r="L2" s="57" t="s">
        <v>87</v>
      </c>
      <c r="M2" s="36" t="s">
        <v>88</v>
      </c>
      <c r="N2" s="58" t="s">
        <v>89</v>
      </c>
      <c r="O2" s="57" t="s">
        <v>90</v>
      </c>
      <c r="P2" s="57" t="s">
        <v>91</v>
      </c>
      <c r="Q2" s="560" t="s">
        <v>512</v>
      </c>
      <c r="R2" s="59" t="s">
        <v>511</v>
      </c>
      <c r="S2" s="50"/>
      <c r="T2" s="51"/>
      <c r="U2" s="60"/>
      <c r="V2" s="61"/>
      <c r="W2" s="62"/>
      <c r="X2" s="60"/>
      <c r="Y2" s="60"/>
      <c r="Z2" s="62"/>
      <c r="AA2" s="63"/>
      <c r="AB2" s="63"/>
      <c r="AC2" s="62"/>
      <c r="AD2" s="64"/>
      <c r="AE2" s="62"/>
      <c r="AF2" s="62"/>
      <c r="AG2" s="62"/>
      <c r="AH2" s="62"/>
      <c r="AI2" s="65"/>
      <c r="AJ2" s="66"/>
      <c r="AK2" s="51"/>
      <c r="AL2" s="67"/>
    </row>
    <row r="3" spans="1:38" x14ac:dyDescent="0.25">
      <c r="C3" s="68"/>
      <c r="D3" s="53"/>
      <c r="E3" s="47"/>
      <c r="F3" s="69"/>
      <c r="G3" s="538" t="s">
        <v>92</v>
      </c>
      <c r="H3" s="539"/>
      <c r="I3" s="539"/>
      <c r="J3" s="539"/>
      <c r="K3" s="539"/>
      <c r="L3" s="441"/>
      <c r="M3" s="47">
        <v>15000</v>
      </c>
      <c r="N3" s="53"/>
      <c r="O3" s="53"/>
      <c r="P3" s="53">
        <v>0.06</v>
      </c>
      <c r="R3" s="47"/>
      <c r="S3" s="50"/>
      <c r="T3" s="51"/>
      <c r="U3" s="51"/>
      <c r="V3" s="62"/>
      <c r="W3" s="60"/>
      <c r="X3" s="60"/>
      <c r="Y3" s="60"/>
      <c r="Z3" s="60"/>
      <c r="AA3" s="70"/>
      <c r="AB3" s="70"/>
      <c r="AC3" s="60"/>
      <c r="AD3" s="33"/>
      <c r="AE3" s="60"/>
      <c r="AF3" s="60"/>
      <c r="AG3" s="60"/>
      <c r="AH3" s="60"/>
      <c r="AI3" s="65"/>
      <c r="AJ3" s="66"/>
      <c r="AK3" s="51"/>
      <c r="AL3" s="67"/>
    </row>
    <row r="4" spans="1:38" x14ac:dyDescent="0.25">
      <c r="B4" s="51"/>
      <c r="C4" s="71"/>
      <c r="D4" s="72"/>
      <c r="E4" s="47"/>
      <c r="F4" s="73"/>
      <c r="G4" s="540"/>
      <c r="H4" s="541"/>
      <c r="I4" s="541"/>
      <c r="J4" s="541"/>
      <c r="K4" s="541"/>
      <c r="L4" s="442"/>
      <c r="M4" s="47">
        <v>25000</v>
      </c>
      <c r="N4" s="53"/>
      <c r="O4" s="53"/>
      <c r="P4" s="53"/>
      <c r="R4" s="74" t="s">
        <v>93</v>
      </c>
      <c r="S4" s="50" t="s">
        <v>375</v>
      </c>
      <c r="T4" s="75"/>
      <c r="U4" s="51"/>
      <c r="V4" s="76"/>
      <c r="W4" s="60"/>
      <c r="X4" s="60"/>
      <c r="Y4" s="60"/>
      <c r="Z4" s="60"/>
      <c r="AA4" s="70"/>
      <c r="AB4" s="70"/>
      <c r="AC4" s="60"/>
      <c r="AD4" s="33"/>
      <c r="AE4" s="60"/>
      <c r="AF4" s="60"/>
      <c r="AG4" s="60"/>
      <c r="AH4" s="60"/>
      <c r="AI4" s="65"/>
      <c r="AJ4" s="66"/>
      <c r="AK4" s="51"/>
      <c r="AL4" s="67"/>
    </row>
    <row r="5" spans="1:38" ht="15.75" x14ac:dyDescent="0.25">
      <c r="A5" s="119"/>
      <c r="B5" s="51"/>
      <c r="C5" s="76"/>
      <c r="D5" s="72"/>
      <c r="E5" s="74"/>
      <c r="F5" s="443"/>
      <c r="G5" s="497" t="s">
        <v>101</v>
      </c>
      <c r="H5" s="498"/>
      <c r="I5" s="498"/>
      <c r="J5" s="498"/>
      <c r="K5" s="498"/>
      <c r="L5" s="498"/>
      <c r="M5" s="498"/>
      <c r="N5" s="60"/>
      <c r="O5" s="446"/>
      <c r="P5" s="53"/>
      <c r="R5" s="74"/>
      <c r="S5" s="50"/>
      <c r="T5" s="75"/>
      <c r="U5" s="51"/>
      <c r="V5" s="76"/>
      <c r="W5" s="60"/>
      <c r="X5" s="60"/>
      <c r="Y5" s="60"/>
      <c r="Z5" s="60"/>
      <c r="AA5" s="70"/>
      <c r="AB5" s="70"/>
      <c r="AC5" s="60"/>
      <c r="AD5" s="33"/>
      <c r="AE5" s="60"/>
      <c r="AF5" s="60"/>
      <c r="AG5" s="60"/>
      <c r="AH5" s="60"/>
      <c r="AI5" s="65"/>
      <c r="AJ5" s="66"/>
      <c r="AK5" s="51"/>
      <c r="AL5" s="67"/>
    </row>
    <row r="6" spans="1:38" s="80" customFormat="1" x14ac:dyDescent="0.25">
      <c r="A6" s="563"/>
      <c r="B6" s="564"/>
      <c r="C6" s="534" t="s">
        <v>101</v>
      </c>
      <c r="D6" s="516">
        <v>10</v>
      </c>
      <c r="E6" s="521">
        <f>'Coloniales S.C'!K7</f>
        <v>232.56857142857143</v>
      </c>
      <c r="F6" s="521">
        <f>E6*D6</f>
        <v>2325.6857142857143</v>
      </c>
      <c r="G6" s="514">
        <f>'Coloniales S.C'!M7</f>
        <v>651.19200000000001</v>
      </c>
      <c r="H6" s="39">
        <f>(G6*D6)+S6</f>
        <v>8511.92</v>
      </c>
      <c r="I6" s="508">
        <v>0.43</v>
      </c>
      <c r="J6" s="79">
        <v>0.14499999999999999</v>
      </c>
      <c r="K6" s="510">
        <f>N6*J6</f>
        <v>1764.9466119999997</v>
      </c>
      <c r="L6" s="499"/>
      <c r="M6" s="512">
        <f>IF(N6&lt;=$M$3,$E$1,IF(N6&lt;=$M$4,$G$1,IF(N6&lt;=$N$1,$I$1,0)))</f>
        <v>1100</v>
      </c>
      <c r="N6" s="517">
        <f>H6+(H6*I6)</f>
        <v>12172.045599999999</v>
      </c>
      <c r="O6" s="437">
        <f>N6 - K6 - P7  - M6-L6</f>
        <v>8576.7762519999997</v>
      </c>
      <c r="Q6" s="565"/>
      <c r="R6" s="501">
        <f>G6*D6</f>
        <v>6511.92</v>
      </c>
      <c r="S6" s="566">
        <v>2000</v>
      </c>
      <c r="T6" s="567"/>
      <c r="U6" s="568"/>
      <c r="V6" s="70"/>
      <c r="W6" s="82"/>
      <c r="Y6" s="83"/>
      <c r="Z6" s="84"/>
      <c r="AA6" s="84"/>
      <c r="AB6" s="85"/>
      <c r="AC6" s="85"/>
      <c r="AD6" s="86"/>
      <c r="AE6" s="87"/>
      <c r="AF6" s="88"/>
      <c r="AG6" s="89"/>
      <c r="AH6" s="90"/>
      <c r="AI6" s="569"/>
      <c r="AJ6" s="570"/>
      <c r="AK6" s="89"/>
      <c r="AL6" s="72"/>
    </row>
    <row r="7" spans="1:38" s="80" customFormat="1" x14ac:dyDescent="0.25">
      <c r="A7" s="571"/>
      <c r="C7" s="535"/>
      <c r="D7" s="516"/>
      <c r="E7" s="522"/>
      <c r="F7" s="522"/>
      <c r="G7" s="515"/>
      <c r="H7" s="40">
        <f>O6-F6-$S$6</f>
        <v>4251.0905377142853</v>
      </c>
      <c r="I7" s="509"/>
      <c r="J7" s="79">
        <v>0.06</v>
      </c>
      <c r="K7" s="511"/>
      <c r="L7" s="500"/>
      <c r="M7" s="513"/>
      <c r="N7" s="518"/>
      <c r="O7" s="40">
        <f>O6-F6</f>
        <v>6251.0905377142853</v>
      </c>
      <c r="P7" s="91">
        <f>N6*J7</f>
        <v>730.32273599999996</v>
      </c>
      <c r="Q7" s="565"/>
      <c r="R7" s="502"/>
      <c r="S7" s="572"/>
      <c r="T7" s="567"/>
      <c r="U7" s="89"/>
      <c r="V7" s="92"/>
      <c r="W7" s="82"/>
      <c r="X7" s="88"/>
      <c r="Y7" s="93"/>
      <c r="Z7" s="84"/>
      <c r="AA7" s="84"/>
      <c r="AB7" s="85"/>
      <c r="AC7" s="85"/>
      <c r="AD7" s="86"/>
      <c r="AE7" s="87"/>
      <c r="AF7" s="88"/>
      <c r="AG7" s="83"/>
      <c r="AH7" s="89"/>
      <c r="AI7" s="569"/>
      <c r="AJ7" s="570"/>
      <c r="AK7" s="89"/>
      <c r="AL7" s="573"/>
    </row>
    <row r="8" spans="1:38" s="80" customFormat="1" ht="27" hidden="1" customHeight="1" x14ac:dyDescent="0.25">
      <c r="C8" s="94"/>
      <c r="D8" s="516">
        <v>1</v>
      </c>
      <c r="E8" s="507">
        <f>[1]Precios!M147*D8</f>
        <v>1126.4922857142853</v>
      </c>
      <c r="F8" s="120"/>
      <c r="G8" s="39" t="e">
        <f>[1]Precios!#REF!*D8</f>
        <v>#REF!</v>
      </c>
      <c r="H8" s="39"/>
      <c r="I8" s="542">
        <v>0.6</v>
      </c>
      <c r="J8" s="531">
        <v>0.14499999999999999</v>
      </c>
      <c r="K8" s="519" t="e">
        <f>(N8*J8)</f>
        <v>#REF!</v>
      </c>
      <c r="L8" s="438"/>
      <c r="M8" s="526" t="e">
        <f>IF(N8&lt;$N$1,"600", "0")</f>
        <v>#REF!</v>
      </c>
      <c r="N8" s="527" t="e">
        <f>(G8+(G8*I8))</f>
        <v>#REF!</v>
      </c>
      <c r="O8" s="528" t="e">
        <f>(N8 -P9-K8-M8-#REF!)</f>
        <v>#REF!</v>
      </c>
      <c r="Q8" s="565"/>
      <c r="R8" s="529"/>
      <c r="S8" s="572"/>
      <c r="T8" s="567"/>
      <c r="U8" s="89"/>
      <c r="V8" s="70"/>
      <c r="W8" s="82"/>
      <c r="X8" s="88"/>
      <c r="Y8" s="83"/>
      <c r="Z8" s="84"/>
      <c r="AA8" s="84"/>
      <c r="AB8" s="85"/>
      <c r="AC8" s="85"/>
      <c r="AD8" s="86"/>
      <c r="AE8" s="87"/>
      <c r="AF8" s="88"/>
      <c r="AG8" s="89"/>
      <c r="AH8" s="84"/>
      <c r="AI8" s="569"/>
      <c r="AJ8" s="570"/>
      <c r="AK8" s="89"/>
      <c r="AL8" s="72"/>
    </row>
    <row r="9" spans="1:38" s="80" customFormat="1" ht="27" hidden="1" customHeight="1" x14ac:dyDescent="0.25">
      <c r="C9" s="96"/>
      <c r="D9" s="516"/>
      <c r="E9" s="507"/>
      <c r="F9" s="120"/>
      <c r="G9" s="40" t="e">
        <f>O8-E8</f>
        <v>#REF!</v>
      </c>
      <c r="H9" s="40"/>
      <c r="I9" s="542"/>
      <c r="J9" s="531"/>
      <c r="K9" s="519"/>
      <c r="L9" s="438"/>
      <c r="M9" s="526"/>
      <c r="N9" s="527"/>
      <c r="O9" s="528"/>
      <c r="P9" s="91" t="e">
        <f>(N8*$P$3)</f>
        <v>#REF!</v>
      </c>
      <c r="Q9" s="565"/>
      <c r="R9" s="530"/>
      <c r="S9" s="572"/>
      <c r="T9" s="567"/>
      <c r="U9" s="89"/>
      <c r="V9" s="92"/>
      <c r="W9" s="82"/>
      <c r="X9" s="88"/>
      <c r="Y9" s="93"/>
      <c r="Z9" s="84"/>
      <c r="AA9" s="84"/>
      <c r="AB9" s="85"/>
      <c r="AC9" s="85"/>
      <c r="AD9" s="86"/>
      <c r="AE9" s="87"/>
      <c r="AF9" s="88"/>
      <c r="AG9" s="83"/>
      <c r="AH9" s="84"/>
      <c r="AI9" s="569"/>
      <c r="AJ9" s="570"/>
      <c r="AK9" s="89"/>
      <c r="AL9" s="72"/>
    </row>
    <row r="10" spans="1:38" s="80" customFormat="1" x14ac:dyDescent="0.25">
      <c r="C10" s="96"/>
      <c r="D10" s="97"/>
      <c r="E10" s="42"/>
      <c r="F10" s="42"/>
      <c r="G10" s="41"/>
      <c r="H10" s="41"/>
      <c r="I10" s="78"/>
      <c r="J10" s="99"/>
      <c r="K10" s="42"/>
      <c r="L10" s="42"/>
      <c r="M10" s="42"/>
      <c r="N10" s="95"/>
      <c r="O10" s="98"/>
      <c r="P10" s="98"/>
      <c r="Q10" s="565"/>
      <c r="R10" s="100"/>
      <c r="S10" s="572" t="s">
        <v>399</v>
      </c>
      <c r="T10" s="567"/>
      <c r="U10" s="89"/>
      <c r="V10" s="92"/>
      <c r="W10" s="101"/>
      <c r="X10" s="83"/>
      <c r="Y10" s="93"/>
      <c r="Z10" s="102"/>
      <c r="AA10" s="103"/>
      <c r="AB10" s="104"/>
      <c r="AC10" s="104"/>
      <c r="AD10" s="105"/>
      <c r="AE10" s="106"/>
      <c r="AF10" s="83"/>
      <c r="AG10" s="83"/>
      <c r="AH10" s="102"/>
      <c r="AI10" s="569"/>
      <c r="AJ10" s="570"/>
      <c r="AK10" s="89"/>
      <c r="AL10" s="72"/>
    </row>
    <row r="11" spans="1:38" s="80" customFormat="1" ht="18.75" customHeight="1" x14ac:dyDescent="0.25">
      <c r="C11" s="534"/>
      <c r="D11" s="516">
        <v>25</v>
      </c>
      <c r="E11" s="521">
        <f>$E$6</f>
        <v>232.56857142857143</v>
      </c>
      <c r="F11" s="521">
        <f>E11*D11</f>
        <v>5814.2142857142862</v>
      </c>
      <c r="G11" s="514">
        <f>G6</f>
        <v>651.19200000000001</v>
      </c>
      <c r="H11" s="39">
        <f>(G11*D11)+S6</f>
        <v>18279.8</v>
      </c>
      <c r="I11" s="508">
        <v>0.45</v>
      </c>
      <c r="J11" s="79">
        <v>0.14499999999999999</v>
      </c>
      <c r="K11" s="510">
        <f>N11*J11</f>
        <v>3843.3279499999994</v>
      </c>
      <c r="L11" s="499"/>
      <c r="M11" s="512">
        <f>IF(N11&lt;=$M$3,$E$1,IF(N11&lt;=$M$4,$G$1,IF(N11&lt;=$N$1,$I$1,0)))</f>
        <v>2810</v>
      </c>
      <c r="N11" s="517">
        <f>H11+(H11*I11)</f>
        <v>26505.71</v>
      </c>
      <c r="O11" s="503">
        <f>N11 - K11 - P12  - M11</f>
        <v>18262.03945</v>
      </c>
      <c r="Q11" s="565"/>
      <c r="R11" s="501">
        <f>G11*D11</f>
        <v>16279.8</v>
      </c>
      <c r="S11" s="566">
        <v>4000</v>
      </c>
      <c r="T11" s="567"/>
      <c r="U11" s="89"/>
      <c r="V11" s="70"/>
      <c r="W11" s="82"/>
      <c r="X11" s="88"/>
      <c r="Y11" s="83"/>
      <c r="Z11" s="84"/>
      <c r="AA11" s="84"/>
      <c r="AB11" s="85"/>
      <c r="AC11" s="85"/>
      <c r="AD11" s="86"/>
      <c r="AE11" s="87"/>
      <c r="AF11" s="88"/>
      <c r="AG11" s="89"/>
      <c r="AH11" s="90"/>
      <c r="AI11" s="574"/>
      <c r="AJ11" s="570"/>
      <c r="AK11" s="89"/>
      <c r="AL11" s="72"/>
    </row>
    <row r="12" spans="1:38" s="80" customFormat="1" ht="18.75" customHeight="1" x14ac:dyDescent="0.25">
      <c r="C12" s="535"/>
      <c r="D12" s="516"/>
      <c r="E12" s="522"/>
      <c r="F12" s="522"/>
      <c r="G12" s="515"/>
      <c r="H12" s="40">
        <f>O11-F11-$S$6</f>
        <v>10447.825164285714</v>
      </c>
      <c r="I12" s="509"/>
      <c r="J12" s="79">
        <v>0.06</v>
      </c>
      <c r="K12" s="511"/>
      <c r="L12" s="500"/>
      <c r="M12" s="513"/>
      <c r="N12" s="518"/>
      <c r="O12" s="504"/>
      <c r="P12" s="91">
        <f>N11*J12</f>
        <v>1590.3425999999999</v>
      </c>
      <c r="Q12" s="565"/>
      <c r="R12" s="502"/>
      <c r="S12" s="572"/>
      <c r="T12" s="567"/>
      <c r="U12" s="89"/>
      <c r="V12" s="92"/>
      <c r="W12" s="82"/>
      <c r="X12" s="88"/>
      <c r="Y12" s="93"/>
      <c r="Z12" s="84"/>
      <c r="AA12" s="84"/>
      <c r="AB12" s="85"/>
      <c r="AC12" s="85"/>
      <c r="AD12" s="86"/>
      <c r="AE12" s="87"/>
      <c r="AF12" s="88"/>
      <c r="AG12" s="83"/>
      <c r="AH12" s="89"/>
      <c r="AI12" s="569"/>
      <c r="AJ12" s="570"/>
      <c r="AK12" s="89"/>
      <c r="AL12" s="573"/>
    </row>
    <row r="13" spans="1:38" s="80" customFormat="1" ht="27" hidden="1" customHeight="1" x14ac:dyDescent="0.25">
      <c r="C13" s="94"/>
      <c r="D13" s="516"/>
      <c r="E13" s="507"/>
      <c r="F13" s="120"/>
      <c r="G13" s="39"/>
      <c r="H13" s="39"/>
      <c r="I13" s="520"/>
      <c r="J13" s="531"/>
      <c r="K13" s="519"/>
      <c r="L13" s="438"/>
      <c r="M13" s="526"/>
      <c r="N13" s="527"/>
      <c r="O13" s="528"/>
      <c r="Q13" s="565"/>
      <c r="R13" s="501"/>
      <c r="S13" s="572"/>
      <c r="T13" s="567"/>
      <c r="U13" s="89"/>
      <c r="V13" s="70"/>
      <c r="W13" s="82"/>
      <c r="X13" s="88"/>
      <c r="Y13" s="83"/>
      <c r="Z13" s="84"/>
      <c r="AA13" s="84"/>
      <c r="AB13" s="85"/>
      <c r="AC13" s="85"/>
      <c r="AD13" s="86"/>
      <c r="AE13" s="87"/>
      <c r="AF13" s="88"/>
      <c r="AG13" s="89"/>
      <c r="AH13" s="89"/>
      <c r="AI13" s="569"/>
      <c r="AJ13" s="570"/>
      <c r="AK13" s="89"/>
      <c r="AL13" s="72"/>
    </row>
    <row r="14" spans="1:38" s="80" customFormat="1" ht="27" hidden="1" customHeight="1" x14ac:dyDescent="0.25">
      <c r="C14" s="96"/>
      <c r="D14" s="516"/>
      <c r="E14" s="507"/>
      <c r="F14" s="120"/>
      <c r="G14" s="40"/>
      <c r="H14" s="40"/>
      <c r="I14" s="520"/>
      <c r="J14" s="531"/>
      <c r="K14" s="519"/>
      <c r="L14" s="438"/>
      <c r="M14" s="526"/>
      <c r="N14" s="527"/>
      <c r="O14" s="528"/>
      <c r="P14" s="91"/>
      <c r="Q14" s="565"/>
      <c r="R14" s="502"/>
      <c r="S14" s="572"/>
      <c r="T14" s="567"/>
      <c r="U14" s="89"/>
      <c r="V14" s="92"/>
      <c r="W14" s="82"/>
      <c r="X14" s="88"/>
      <c r="Y14" s="93"/>
      <c r="Z14" s="84"/>
      <c r="AA14" s="84"/>
      <c r="AB14" s="85"/>
      <c r="AC14" s="85"/>
      <c r="AD14" s="86"/>
      <c r="AE14" s="87"/>
      <c r="AF14" s="88"/>
      <c r="AG14" s="83"/>
      <c r="AH14" s="89"/>
      <c r="AI14" s="569"/>
      <c r="AJ14" s="570"/>
      <c r="AK14" s="89"/>
      <c r="AL14" s="72"/>
    </row>
    <row r="15" spans="1:38" s="80" customFormat="1" x14ac:dyDescent="0.25">
      <c r="B15" s="89"/>
      <c r="C15" s="96"/>
      <c r="D15" s="97"/>
      <c r="E15" s="42"/>
      <c r="F15" s="42"/>
      <c r="G15" s="41"/>
      <c r="H15" s="41"/>
      <c r="I15" s="78"/>
      <c r="J15" s="99"/>
      <c r="K15" s="42"/>
      <c r="L15" s="37"/>
      <c r="M15" s="37"/>
      <c r="N15" s="249"/>
      <c r="O15" s="98"/>
      <c r="P15" s="98"/>
      <c r="Q15" s="565"/>
      <c r="R15" s="107"/>
      <c r="S15" s="572"/>
      <c r="T15" s="567"/>
      <c r="U15" s="89"/>
      <c r="V15" s="92"/>
      <c r="W15" s="101"/>
      <c r="X15" s="83"/>
      <c r="Y15" s="93"/>
      <c r="Z15" s="102"/>
      <c r="AA15" s="103"/>
      <c r="AB15" s="104"/>
      <c r="AC15" s="104"/>
      <c r="AD15" s="105"/>
      <c r="AE15" s="106"/>
      <c r="AF15" s="83"/>
      <c r="AG15" s="83"/>
      <c r="AH15" s="60"/>
      <c r="AI15" s="569"/>
      <c r="AJ15" s="570"/>
      <c r="AK15" s="89"/>
      <c r="AL15" s="72"/>
    </row>
    <row r="16" spans="1:38" s="80" customFormat="1" ht="18.75" customHeight="1" x14ac:dyDescent="0.25">
      <c r="B16" s="564"/>
      <c r="C16" s="534"/>
      <c r="D16" s="516">
        <v>50</v>
      </c>
      <c r="E16" s="521">
        <f>$E$6</f>
        <v>232.56857142857143</v>
      </c>
      <c r="F16" s="521">
        <f>E16*D16</f>
        <v>11628.428571428572</v>
      </c>
      <c r="G16" s="514">
        <f>'Coloniales S.C'!$M$7</f>
        <v>651.19200000000001</v>
      </c>
      <c r="H16" s="39">
        <f>(G16*D16)+$S$6</f>
        <v>34559.599999999999</v>
      </c>
      <c r="I16" s="508">
        <v>0.45</v>
      </c>
      <c r="J16" s="79">
        <v>0.14499999999999999</v>
      </c>
      <c r="K16" s="532">
        <f>N16*J16</f>
        <v>7266.1558999999988</v>
      </c>
      <c r="L16" s="499">
        <v>7000</v>
      </c>
      <c r="M16" s="512">
        <f>IF(N16&lt;=$M$3,$E$1,IF(N16&lt;=$M$4,$G$1,IF(N16&lt;=$N$1,$I$1,0)))</f>
        <v>0</v>
      </c>
      <c r="N16" s="517">
        <f>H16+(H16*I16)</f>
        <v>50111.42</v>
      </c>
      <c r="O16" s="503">
        <f>N16 - K16 - P17  - M16-L16</f>
        <v>32838.5789</v>
      </c>
      <c r="Q16" s="565"/>
      <c r="R16" s="501">
        <f>G16*D16</f>
        <v>32559.599999999999</v>
      </c>
      <c r="S16" s="572"/>
      <c r="T16" s="567"/>
      <c r="U16" s="568"/>
      <c r="V16" s="70"/>
      <c r="W16" s="82"/>
      <c r="X16" s="88"/>
      <c r="Y16" s="83"/>
      <c r="Z16" s="84"/>
      <c r="AA16" s="84"/>
      <c r="AB16" s="85"/>
      <c r="AC16" s="85"/>
      <c r="AD16" s="86"/>
      <c r="AE16" s="87"/>
      <c r="AF16" s="88"/>
      <c r="AG16" s="89"/>
      <c r="AH16" s="90"/>
      <c r="AI16" s="574"/>
      <c r="AJ16" s="570"/>
      <c r="AK16" s="89"/>
      <c r="AL16" s="72"/>
    </row>
    <row r="17" spans="2:38" s="80" customFormat="1" ht="18.75" customHeight="1" x14ac:dyDescent="0.25">
      <c r="C17" s="535"/>
      <c r="D17" s="516"/>
      <c r="E17" s="522"/>
      <c r="F17" s="522"/>
      <c r="G17" s="515"/>
      <c r="H17" s="40">
        <f>O16-F16-$S$6</f>
        <v>19210.150328571428</v>
      </c>
      <c r="I17" s="509"/>
      <c r="J17" s="79">
        <v>0.06</v>
      </c>
      <c r="K17" s="533"/>
      <c r="L17" s="500"/>
      <c r="M17" s="513"/>
      <c r="N17" s="518"/>
      <c r="O17" s="504"/>
      <c r="P17" s="91">
        <f>N16*J17</f>
        <v>3006.6851999999999</v>
      </c>
      <c r="Q17" s="565"/>
      <c r="R17" s="502"/>
      <c r="S17" s="572"/>
      <c r="T17" s="567"/>
      <c r="U17" s="89"/>
      <c r="V17" s="92"/>
      <c r="W17" s="82"/>
      <c r="X17" s="88"/>
      <c r="Y17" s="93"/>
      <c r="Z17" s="84"/>
      <c r="AA17" s="84"/>
      <c r="AB17" s="85"/>
      <c r="AC17" s="85"/>
      <c r="AD17" s="86"/>
      <c r="AE17" s="87"/>
      <c r="AF17" s="88"/>
      <c r="AG17" s="83"/>
      <c r="AH17" s="89"/>
      <c r="AI17" s="569"/>
      <c r="AJ17" s="570"/>
      <c r="AK17" s="89"/>
      <c r="AL17" s="573"/>
    </row>
    <row r="18" spans="2:38" s="80" customFormat="1" x14ac:dyDescent="0.25">
      <c r="C18" s="96"/>
      <c r="D18" s="97"/>
      <c r="E18" s="42"/>
      <c r="F18" s="42"/>
      <c r="G18" s="41"/>
      <c r="H18" s="41"/>
      <c r="I18" s="78"/>
      <c r="J18" s="99"/>
      <c r="K18" s="42"/>
      <c r="L18" s="38"/>
      <c r="M18" s="38"/>
      <c r="N18" s="250"/>
      <c r="O18" s="98"/>
      <c r="P18" s="98"/>
      <c r="Q18" s="565"/>
      <c r="R18" s="109"/>
      <c r="S18" s="572"/>
      <c r="T18" s="567"/>
      <c r="U18" s="89"/>
      <c r="V18" s="92"/>
      <c r="W18" s="101"/>
      <c r="X18" s="83"/>
      <c r="Y18" s="93"/>
      <c r="Z18" s="102"/>
      <c r="AA18" s="103"/>
      <c r="AB18" s="104"/>
      <c r="AC18" s="104"/>
      <c r="AD18" s="105"/>
      <c r="AE18" s="106"/>
      <c r="AF18" s="83"/>
      <c r="AG18" s="83"/>
      <c r="AH18" s="110"/>
      <c r="AI18" s="569"/>
      <c r="AJ18" s="570"/>
      <c r="AK18" s="89"/>
      <c r="AL18" s="72"/>
    </row>
    <row r="19" spans="2:38" s="80" customFormat="1" ht="18.75" customHeight="1" x14ac:dyDescent="0.25">
      <c r="C19" s="534"/>
      <c r="D19" s="516">
        <v>100</v>
      </c>
      <c r="E19" s="521">
        <f>$E$6</f>
        <v>232.56857142857143</v>
      </c>
      <c r="F19" s="521">
        <f>E19*D19</f>
        <v>23256.857142857145</v>
      </c>
      <c r="G19" s="514">
        <f>'Coloniales S.C'!$M$7</f>
        <v>651.19200000000001</v>
      </c>
      <c r="H19" s="39">
        <f>(G19*D19)+S6</f>
        <v>67119.199999999997</v>
      </c>
      <c r="I19" s="508">
        <v>0.4</v>
      </c>
      <c r="J19" s="79">
        <v>0.14499999999999999</v>
      </c>
      <c r="K19" s="510">
        <f>N19*J19</f>
        <v>13625.1976</v>
      </c>
      <c r="L19" s="499">
        <v>7000</v>
      </c>
      <c r="M19" s="512">
        <f>IF(N19&lt;=$M$3,$E$1,IF(N19&lt;=$M$4,$G$1,IF(N19&lt;=$N$1,$I$1,0)))</f>
        <v>0</v>
      </c>
      <c r="N19" s="517">
        <f>H19+(H19*I19)</f>
        <v>93966.88</v>
      </c>
      <c r="O19" s="503">
        <f>N19 - K19 - P20  - M19-L19</f>
        <v>67703.669600000008</v>
      </c>
      <c r="Q19" s="565"/>
      <c r="R19" s="501">
        <f>G19*D19</f>
        <v>65119.199999999997</v>
      </c>
      <c r="S19" s="572"/>
      <c r="T19" s="567"/>
      <c r="U19" s="89"/>
      <c r="V19" s="70"/>
      <c r="W19" s="82"/>
      <c r="X19" s="88"/>
      <c r="Y19" s="83"/>
      <c r="Z19" s="84"/>
      <c r="AA19" s="84"/>
      <c r="AB19" s="85"/>
      <c r="AC19" s="104"/>
      <c r="AD19" s="86"/>
      <c r="AE19" s="87"/>
      <c r="AF19" s="88"/>
      <c r="AG19" s="89"/>
      <c r="AH19" s="90"/>
      <c r="AI19" s="574"/>
      <c r="AJ19" s="570"/>
      <c r="AK19" s="89"/>
      <c r="AL19" s="72"/>
    </row>
    <row r="20" spans="2:38" s="80" customFormat="1" ht="18.75" customHeight="1" x14ac:dyDescent="0.25">
      <c r="C20" s="535"/>
      <c r="D20" s="516"/>
      <c r="E20" s="522"/>
      <c r="F20" s="522"/>
      <c r="G20" s="515"/>
      <c r="H20" s="40">
        <f>O19-F19-$S$6</f>
        <v>42446.812457142863</v>
      </c>
      <c r="I20" s="509"/>
      <c r="J20" s="79">
        <v>0.06</v>
      </c>
      <c r="K20" s="511"/>
      <c r="L20" s="500"/>
      <c r="M20" s="513"/>
      <c r="N20" s="518"/>
      <c r="O20" s="504"/>
      <c r="P20" s="91">
        <f>N19*J20</f>
        <v>5638.0128000000004</v>
      </c>
      <c r="Q20" s="565"/>
      <c r="R20" s="502"/>
      <c r="S20" s="572"/>
      <c r="T20" s="567"/>
      <c r="U20" s="89"/>
      <c r="V20" s="92"/>
      <c r="W20" s="82"/>
      <c r="X20" s="88"/>
      <c r="Y20" s="93"/>
      <c r="Z20" s="84"/>
      <c r="AA20" s="84"/>
      <c r="AB20" s="85"/>
      <c r="AC20" s="104"/>
      <c r="AD20" s="86"/>
      <c r="AE20" s="87"/>
      <c r="AF20" s="88"/>
      <c r="AG20" s="83"/>
      <c r="AH20" s="89"/>
      <c r="AI20" s="569"/>
      <c r="AJ20" s="570"/>
      <c r="AK20" s="89"/>
      <c r="AL20" s="573"/>
    </row>
    <row r="21" spans="2:38" s="80" customFormat="1" x14ac:dyDescent="0.25">
      <c r="C21" s="96"/>
      <c r="D21" s="97"/>
      <c r="E21" s="42"/>
      <c r="F21" s="42"/>
      <c r="G21" s="41"/>
      <c r="H21" s="41"/>
      <c r="I21" s="78"/>
      <c r="J21" s="99"/>
      <c r="K21" s="42"/>
      <c r="L21" s="42"/>
      <c r="M21" s="42"/>
      <c r="N21" s="95"/>
      <c r="O21" s="98"/>
      <c r="P21" s="98"/>
      <c r="Q21" s="565"/>
      <c r="R21" s="100"/>
      <c r="S21" s="572"/>
      <c r="T21" s="567"/>
      <c r="U21" s="89"/>
      <c r="V21" s="92"/>
      <c r="W21" s="101"/>
      <c r="X21" s="83"/>
      <c r="Y21" s="93"/>
      <c r="Z21" s="102"/>
      <c r="AA21" s="103"/>
      <c r="AB21" s="104"/>
      <c r="AC21" s="104"/>
      <c r="AD21" s="105"/>
      <c r="AE21" s="106"/>
      <c r="AF21" s="83"/>
      <c r="AG21" s="83"/>
      <c r="AH21" s="102"/>
      <c r="AI21" s="569"/>
      <c r="AJ21" s="570"/>
      <c r="AK21" s="89"/>
      <c r="AL21" s="72"/>
    </row>
    <row r="22" spans="2:38" s="80" customFormat="1" ht="15.75" x14ac:dyDescent="0.25">
      <c r="C22" s="111"/>
      <c r="D22" s="97"/>
      <c r="E22" s="37"/>
      <c r="F22" s="37"/>
      <c r="G22" s="497" t="s">
        <v>102</v>
      </c>
      <c r="H22" s="498"/>
      <c r="I22" s="498"/>
      <c r="J22" s="498"/>
      <c r="K22" s="498"/>
      <c r="L22" s="498"/>
      <c r="M22" s="498"/>
      <c r="N22" s="106"/>
      <c r="O22" s="444"/>
      <c r="P22" s="98"/>
      <c r="Q22" s="565"/>
      <c r="R22" s="100"/>
      <c r="S22" s="572"/>
      <c r="T22" s="567"/>
      <c r="U22" s="89"/>
      <c r="V22" s="92"/>
      <c r="W22" s="101"/>
      <c r="X22" s="83"/>
      <c r="Y22" s="93"/>
      <c r="Z22" s="102"/>
      <c r="AA22" s="103"/>
      <c r="AB22" s="104"/>
      <c r="AC22" s="104"/>
      <c r="AD22" s="105"/>
      <c r="AE22" s="106"/>
      <c r="AF22" s="83"/>
      <c r="AG22" s="83"/>
      <c r="AH22" s="102"/>
      <c r="AI22" s="569"/>
      <c r="AJ22" s="570"/>
      <c r="AK22" s="89"/>
      <c r="AL22" s="72"/>
    </row>
    <row r="23" spans="2:38" s="80" customFormat="1" ht="18.75" customHeight="1" x14ac:dyDescent="0.25">
      <c r="C23" s="534" t="s">
        <v>400</v>
      </c>
      <c r="D23" s="516">
        <v>10</v>
      </c>
      <c r="E23" s="521">
        <f>'Coloniales S.C'!K30</f>
        <v>273.26857142857142</v>
      </c>
      <c r="F23" s="521">
        <f>E23*D23</f>
        <v>2732.6857142857143</v>
      </c>
      <c r="G23" s="514">
        <f>('Coloniales S.C'!M30)</f>
        <v>819.8057142857142</v>
      </c>
      <c r="H23" s="39">
        <f>(G23*D23)+$S$6</f>
        <v>10198.057142857142</v>
      </c>
      <c r="I23" s="508">
        <v>0.4</v>
      </c>
      <c r="J23" s="79">
        <v>0.14499999999999999</v>
      </c>
      <c r="K23" s="510">
        <f>N23*J23</f>
        <v>2070.2055999999998</v>
      </c>
      <c r="L23" s="499"/>
      <c r="M23" s="512">
        <f>IF(N23&lt;=$M$3,$E$1,IF(N23&lt;=$M$4,$G$1,IF(N23&lt;=$N$1,$I$1,0)))</f>
        <v>1100</v>
      </c>
      <c r="N23" s="517">
        <f>H23+(H23*I23)</f>
        <v>14277.279999999999</v>
      </c>
      <c r="O23" s="503">
        <f>N23 - K23 - P24  - M23-L23</f>
        <v>10250.437599999999</v>
      </c>
      <c r="Q23" s="561">
        <f>N23/D23</f>
        <v>1427.7279999999998</v>
      </c>
      <c r="R23" s="501">
        <f>G23*D23</f>
        <v>8198.057142857142</v>
      </c>
      <c r="S23" s="572"/>
      <c r="T23" s="567"/>
      <c r="U23" s="89"/>
      <c r="V23" s="92"/>
      <c r="W23" s="101"/>
      <c r="X23" s="83"/>
      <c r="Y23" s="93"/>
      <c r="Z23" s="102"/>
      <c r="AA23" s="103"/>
      <c r="AB23" s="104"/>
      <c r="AC23" s="104"/>
      <c r="AD23" s="105"/>
      <c r="AE23" s="106"/>
      <c r="AF23" s="83"/>
      <c r="AG23" s="83"/>
      <c r="AH23" s="102"/>
      <c r="AI23" s="569"/>
      <c r="AJ23" s="570"/>
      <c r="AK23" s="89"/>
      <c r="AL23" s="72"/>
    </row>
    <row r="24" spans="2:38" s="80" customFormat="1" ht="18.75" customHeight="1" x14ac:dyDescent="0.25">
      <c r="C24" s="535"/>
      <c r="D24" s="516"/>
      <c r="E24" s="522"/>
      <c r="F24" s="522"/>
      <c r="G24" s="515"/>
      <c r="H24" s="40">
        <f>O23-F23-$S$6</f>
        <v>5517.751885714285</v>
      </c>
      <c r="I24" s="509"/>
      <c r="J24" s="79">
        <v>0.06</v>
      </c>
      <c r="K24" s="511"/>
      <c r="L24" s="500"/>
      <c r="M24" s="513"/>
      <c r="N24" s="518"/>
      <c r="O24" s="504"/>
      <c r="P24" s="91">
        <f>N23*J24</f>
        <v>856.63679999999988</v>
      </c>
      <c r="Q24" s="562"/>
      <c r="R24" s="502"/>
      <c r="S24" s="572"/>
      <c r="T24" s="567"/>
      <c r="U24" s="89"/>
      <c r="V24" s="92"/>
      <c r="W24" s="101"/>
      <c r="X24" s="83"/>
      <c r="Y24" s="93"/>
      <c r="Z24" s="102"/>
      <c r="AA24" s="103"/>
      <c r="AB24" s="104"/>
      <c r="AC24" s="104"/>
      <c r="AD24" s="105"/>
      <c r="AE24" s="106"/>
      <c r="AF24" s="83"/>
      <c r="AG24" s="83"/>
      <c r="AH24" s="102"/>
      <c r="AI24" s="569"/>
      <c r="AJ24" s="570"/>
      <c r="AK24" s="89"/>
      <c r="AL24" s="72"/>
    </row>
    <row r="25" spans="2:38" s="80" customFormat="1" x14ac:dyDescent="0.25">
      <c r="C25" s="111"/>
      <c r="D25" s="97"/>
      <c r="E25" s="42"/>
      <c r="F25" s="37"/>
      <c r="G25" s="44"/>
      <c r="H25" s="41"/>
      <c r="I25" s="78"/>
      <c r="J25" s="99"/>
      <c r="K25" s="42"/>
      <c r="L25" s="42"/>
      <c r="M25" s="42"/>
      <c r="N25" s="106"/>
      <c r="O25" s="98"/>
      <c r="P25" s="98"/>
      <c r="Q25" s="565"/>
      <c r="R25" s="100"/>
      <c r="S25" s="572"/>
      <c r="T25" s="567"/>
      <c r="U25" s="89"/>
      <c r="V25" s="92"/>
      <c r="W25" s="101"/>
      <c r="X25" s="83"/>
      <c r="Y25" s="93"/>
      <c r="Z25" s="102"/>
      <c r="AA25" s="103"/>
      <c r="AB25" s="104"/>
      <c r="AC25" s="104"/>
      <c r="AD25" s="105"/>
      <c r="AE25" s="106"/>
      <c r="AF25" s="83"/>
      <c r="AG25" s="83"/>
      <c r="AH25" s="102"/>
      <c r="AI25" s="569"/>
      <c r="AJ25" s="570"/>
      <c r="AK25" s="89"/>
      <c r="AL25" s="72"/>
    </row>
    <row r="26" spans="2:38" s="80" customFormat="1" ht="18.75" customHeight="1" x14ac:dyDescent="0.25">
      <c r="C26" s="534"/>
      <c r="D26" s="516">
        <v>20</v>
      </c>
      <c r="E26" s="507">
        <f>'Coloniales S.C'!K30</f>
        <v>273.26857142857142</v>
      </c>
      <c r="F26" s="521">
        <f>E26*D26</f>
        <v>5465.3714285714286</v>
      </c>
      <c r="G26" s="514">
        <f>('Coloniales S.C'!M30)</f>
        <v>819.8057142857142</v>
      </c>
      <c r="H26" s="39">
        <f>(G26*D26)+$S$6</f>
        <v>18396.114285714284</v>
      </c>
      <c r="I26" s="508">
        <v>0.45</v>
      </c>
      <c r="J26" s="79">
        <v>0.14499999999999999</v>
      </c>
      <c r="K26" s="510">
        <f>N26*J26</f>
        <v>3867.7830285714281</v>
      </c>
      <c r="L26" s="499"/>
      <c r="M26" s="512">
        <f>IF(N26&lt;=$M$3,$E$1,IF(N26&lt;=$M$4,$G$1,IF(N26&lt;=$N$1,$I$1,0)))</f>
        <v>2810</v>
      </c>
      <c r="N26" s="517">
        <f>H26+(H26*I26)</f>
        <v>26674.365714285712</v>
      </c>
      <c r="O26" s="503">
        <f>N26 - K26 - P27  - M26-L26</f>
        <v>18396.12074285714</v>
      </c>
      <c r="Q26" s="561">
        <f>N26/D26</f>
        <v>1333.7182857142857</v>
      </c>
      <c r="R26" s="501">
        <f>G26*D26</f>
        <v>16396.114285714284</v>
      </c>
      <c r="S26" s="572"/>
      <c r="T26" s="567"/>
      <c r="U26" s="89"/>
      <c r="V26" s="70"/>
      <c r="W26" s="82"/>
      <c r="X26" s="88"/>
      <c r="Y26" s="83"/>
      <c r="Z26" s="84"/>
      <c r="AA26" s="84"/>
      <c r="AB26" s="85"/>
      <c r="AC26" s="104"/>
      <c r="AD26" s="86"/>
      <c r="AE26" s="87"/>
      <c r="AF26" s="88"/>
      <c r="AG26" s="89"/>
      <c r="AH26" s="90"/>
      <c r="AI26" s="569"/>
      <c r="AJ26" s="570"/>
      <c r="AK26" s="89"/>
      <c r="AL26" s="72"/>
    </row>
    <row r="27" spans="2:38" s="80" customFormat="1" ht="18.75" customHeight="1" x14ac:dyDescent="0.25">
      <c r="C27" s="535"/>
      <c r="D27" s="516"/>
      <c r="E27" s="507"/>
      <c r="F27" s="522"/>
      <c r="G27" s="515"/>
      <c r="H27" s="40">
        <f>O26-F26-$S$6</f>
        <v>10930.749314285711</v>
      </c>
      <c r="I27" s="509"/>
      <c r="J27" s="79">
        <v>0.06</v>
      </c>
      <c r="K27" s="511"/>
      <c r="L27" s="500"/>
      <c r="M27" s="513"/>
      <c r="N27" s="518"/>
      <c r="O27" s="504"/>
      <c r="P27" s="91">
        <f>N26*J27</f>
        <v>1600.4619428571427</v>
      </c>
      <c r="Q27" s="562"/>
      <c r="R27" s="502"/>
      <c r="S27" s="572"/>
      <c r="T27" s="567"/>
      <c r="U27" s="89"/>
      <c r="V27" s="92"/>
      <c r="W27" s="82"/>
      <c r="X27" s="88"/>
      <c r="Y27" s="93"/>
      <c r="Z27" s="84"/>
      <c r="AA27" s="84"/>
      <c r="AB27" s="85"/>
      <c r="AC27" s="104"/>
      <c r="AD27" s="86"/>
      <c r="AE27" s="87"/>
      <c r="AF27" s="88"/>
      <c r="AG27" s="83"/>
      <c r="AH27" s="89"/>
      <c r="AI27" s="569"/>
      <c r="AJ27" s="570"/>
      <c r="AK27" s="89"/>
      <c r="AL27" s="573"/>
    </row>
    <row r="28" spans="2:38" s="80" customFormat="1" x14ac:dyDescent="0.25">
      <c r="C28" s="96"/>
      <c r="D28" s="97"/>
      <c r="E28" s="42"/>
      <c r="F28" s="42"/>
      <c r="G28" s="41"/>
      <c r="H28" s="41"/>
      <c r="I28" s="78"/>
      <c r="J28" s="99"/>
      <c r="K28" s="42"/>
      <c r="L28" s="42"/>
      <c r="M28" s="42"/>
      <c r="N28" s="95"/>
      <c r="O28" s="98"/>
      <c r="P28" s="98"/>
      <c r="Q28" s="565"/>
      <c r="R28" s="107"/>
      <c r="S28" s="572"/>
      <c r="T28" s="567"/>
      <c r="U28" s="89"/>
      <c r="V28" s="92"/>
      <c r="W28" s="101"/>
      <c r="X28" s="83"/>
      <c r="Y28" s="93"/>
      <c r="Z28" s="102"/>
      <c r="AA28" s="103"/>
      <c r="AB28" s="104"/>
      <c r="AC28" s="104"/>
      <c r="AD28" s="105"/>
      <c r="AE28" s="106"/>
      <c r="AF28" s="83"/>
      <c r="AG28" s="83"/>
      <c r="AH28" s="60"/>
      <c r="AI28" s="569"/>
      <c r="AJ28" s="570"/>
      <c r="AK28" s="89"/>
      <c r="AL28" s="72"/>
    </row>
    <row r="29" spans="2:38" s="80" customFormat="1" ht="18.75" customHeight="1" x14ac:dyDescent="0.25">
      <c r="C29" s="534"/>
      <c r="D29" s="516">
        <v>50</v>
      </c>
      <c r="E29" s="507">
        <f>'Coloniales S.C'!K30</f>
        <v>273.26857142857142</v>
      </c>
      <c r="F29" s="521">
        <f>E29*D29</f>
        <v>13663.428571428571</v>
      </c>
      <c r="G29" s="514">
        <f>'Coloniales S.C'!M30</f>
        <v>819.8057142857142</v>
      </c>
      <c r="H29" s="39">
        <f>(G29*D29)+S6</f>
        <v>42990.28571428571</v>
      </c>
      <c r="I29" s="508">
        <v>0.46</v>
      </c>
      <c r="J29" s="79">
        <v>0.14499999999999999</v>
      </c>
      <c r="K29" s="510">
        <f>N29*J29</f>
        <v>9101.0434857142845</v>
      </c>
      <c r="L29" s="499">
        <v>7000</v>
      </c>
      <c r="M29" s="512">
        <f>IF(N29&lt;=$M$3,$E$1,IF(N29&lt;=$M$4,$G$1,IF(N29&lt;=$N$1,$I$1,0)))</f>
        <v>0</v>
      </c>
      <c r="N29" s="517">
        <f>H29+(H29*I29)</f>
        <v>62765.817142857137</v>
      </c>
      <c r="O29" s="503">
        <f>N29 - K29 - P30  - M29-L29</f>
        <v>42898.824628571427</v>
      </c>
      <c r="Q29" s="561">
        <f>N29/D29</f>
        <v>1255.3163428571427</v>
      </c>
      <c r="R29" s="501">
        <f>G29*D29</f>
        <v>40990.28571428571</v>
      </c>
      <c r="S29" s="572"/>
      <c r="T29" s="567"/>
      <c r="U29" s="89"/>
      <c r="V29" s="70"/>
      <c r="W29" s="82"/>
      <c r="X29" s="88"/>
      <c r="Y29" s="83"/>
      <c r="Z29" s="84"/>
      <c r="AA29" s="84"/>
      <c r="AB29" s="85"/>
      <c r="AC29" s="104"/>
      <c r="AD29" s="86"/>
      <c r="AE29" s="87"/>
      <c r="AF29" s="88"/>
      <c r="AG29" s="89"/>
      <c r="AH29" s="90"/>
      <c r="AI29" s="574"/>
      <c r="AJ29" s="570"/>
      <c r="AK29" s="89"/>
      <c r="AL29" s="72"/>
    </row>
    <row r="30" spans="2:38" s="80" customFormat="1" ht="18.75" customHeight="1" x14ac:dyDescent="0.25">
      <c r="C30" s="535"/>
      <c r="D30" s="516"/>
      <c r="E30" s="507"/>
      <c r="F30" s="522"/>
      <c r="G30" s="515"/>
      <c r="H30" s="40">
        <f>O29-F29-$S$6</f>
        <v>27235.396057142854</v>
      </c>
      <c r="I30" s="509"/>
      <c r="J30" s="79">
        <v>0.06</v>
      </c>
      <c r="K30" s="511"/>
      <c r="L30" s="500"/>
      <c r="M30" s="513"/>
      <c r="N30" s="518"/>
      <c r="O30" s="504"/>
      <c r="P30" s="91">
        <f>N29*J30</f>
        <v>3765.9490285714282</v>
      </c>
      <c r="Q30" s="562"/>
      <c r="R30" s="502"/>
      <c r="S30" s="572"/>
      <c r="T30" s="567"/>
      <c r="U30" s="89"/>
      <c r="V30" s="92"/>
      <c r="W30" s="82"/>
      <c r="X30" s="88"/>
      <c r="Y30" s="93"/>
      <c r="Z30" s="84"/>
      <c r="AA30" s="84"/>
      <c r="AB30" s="85"/>
      <c r="AC30" s="104"/>
      <c r="AD30" s="86"/>
      <c r="AE30" s="87"/>
      <c r="AF30" s="88"/>
      <c r="AG30" s="83"/>
      <c r="AH30" s="89"/>
      <c r="AI30" s="569"/>
      <c r="AJ30" s="570"/>
      <c r="AK30" s="89"/>
      <c r="AL30" s="573"/>
    </row>
    <row r="31" spans="2:38" s="80" customFormat="1" x14ac:dyDescent="0.25">
      <c r="B31" s="89"/>
      <c r="C31" s="113"/>
      <c r="D31" s="114"/>
      <c r="E31" s="42"/>
      <c r="F31" s="42"/>
      <c r="G31" s="41"/>
      <c r="H31" s="41"/>
      <c r="I31" s="78"/>
      <c r="J31" s="99"/>
      <c r="K31" s="42"/>
      <c r="L31" s="42"/>
      <c r="M31" s="42"/>
      <c r="N31" s="95"/>
      <c r="O31" s="98"/>
      <c r="P31" s="98"/>
      <c r="Q31" s="565"/>
      <c r="R31" s="107"/>
      <c r="S31" s="572"/>
      <c r="T31" s="567"/>
      <c r="U31" s="89"/>
      <c r="V31" s="92"/>
      <c r="W31" s="101"/>
      <c r="X31" s="83"/>
      <c r="Y31" s="93"/>
      <c r="Z31" s="102"/>
      <c r="AA31" s="103"/>
      <c r="AB31" s="104"/>
      <c r="AC31" s="104"/>
      <c r="AD31" s="105"/>
      <c r="AE31" s="106"/>
      <c r="AF31" s="83"/>
      <c r="AG31" s="83"/>
      <c r="AH31" s="60"/>
      <c r="AI31" s="569"/>
      <c r="AJ31" s="570"/>
      <c r="AK31" s="89"/>
      <c r="AL31" s="573"/>
    </row>
    <row r="32" spans="2:38" s="80" customFormat="1" ht="18.75" customHeight="1" x14ac:dyDescent="0.25">
      <c r="B32" s="564"/>
      <c r="C32" s="534"/>
      <c r="D32" s="516">
        <v>100</v>
      </c>
      <c r="E32" s="507">
        <f>E29</f>
        <v>273.26857142857142</v>
      </c>
      <c r="F32" s="521">
        <f>E32*D32</f>
        <v>27326.857142857141</v>
      </c>
      <c r="G32" s="514">
        <f>G29</f>
        <v>819.8057142857142</v>
      </c>
      <c r="H32" s="39">
        <f>(G32*D32)+$S$6</f>
        <v>83980.57142857142</v>
      </c>
      <c r="I32" s="508">
        <v>0.4</v>
      </c>
      <c r="J32" s="79">
        <v>0.14499999999999999</v>
      </c>
      <c r="K32" s="510">
        <f>N32*J32</f>
        <v>17048.055999999997</v>
      </c>
      <c r="L32" s="499">
        <v>9357</v>
      </c>
      <c r="M32" s="512">
        <f>IF(N32&lt;=$M$3,$E$1,IF(N32&lt;=$M$4,$G$1,IF(N32&lt;=$N$1,$I$1,0)))</f>
        <v>0</v>
      </c>
      <c r="N32" s="517">
        <f>H32+(H32*I32)</f>
        <v>117572.79999999999</v>
      </c>
      <c r="O32" s="503">
        <f>N32 - K32 - P33  - M32-L32</f>
        <v>84113.375999999989</v>
      </c>
      <c r="Q32" s="561">
        <f>N32/D32</f>
        <v>1175.7279999999998</v>
      </c>
      <c r="R32" s="501">
        <f>G32*D32</f>
        <v>81980.57142857142</v>
      </c>
      <c r="S32" s="572"/>
      <c r="T32" s="89"/>
      <c r="U32" s="568"/>
      <c r="V32" s="70"/>
      <c r="W32" s="82"/>
      <c r="X32" s="88"/>
      <c r="Y32" s="83"/>
      <c r="Z32" s="84"/>
      <c r="AA32" s="84"/>
      <c r="AB32" s="85"/>
      <c r="AC32" s="104"/>
      <c r="AD32" s="86"/>
      <c r="AE32" s="87"/>
      <c r="AF32" s="88"/>
      <c r="AG32" s="89"/>
      <c r="AH32" s="90"/>
      <c r="AI32" s="569"/>
      <c r="AJ32" s="570"/>
      <c r="AK32" s="89"/>
      <c r="AL32" s="72"/>
    </row>
    <row r="33" spans="2:38" s="80" customFormat="1" ht="18.75" customHeight="1" x14ac:dyDescent="0.25">
      <c r="C33" s="535"/>
      <c r="D33" s="516"/>
      <c r="E33" s="507"/>
      <c r="F33" s="522"/>
      <c r="G33" s="515"/>
      <c r="H33" s="40">
        <f>O32-F32-$S$6</f>
        <v>54786.518857142844</v>
      </c>
      <c r="I33" s="509"/>
      <c r="J33" s="79">
        <v>0.06</v>
      </c>
      <c r="K33" s="511"/>
      <c r="L33" s="500"/>
      <c r="M33" s="513"/>
      <c r="N33" s="518"/>
      <c r="O33" s="504"/>
      <c r="P33" s="91">
        <f>N32*J33</f>
        <v>7054.3679999999995</v>
      </c>
      <c r="Q33" s="562"/>
      <c r="R33" s="502"/>
      <c r="S33" s="572"/>
      <c r="T33" s="89"/>
      <c r="U33" s="89"/>
      <c r="V33" s="70"/>
      <c r="W33" s="82"/>
      <c r="X33" s="88"/>
      <c r="Y33" s="93"/>
      <c r="Z33" s="84"/>
      <c r="AA33" s="84"/>
      <c r="AB33" s="85"/>
      <c r="AC33" s="104"/>
      <c r="AD33" s="86"/>
      <c r="AE33" s="87"/>
      <c r="AF33" s="88"/>
      <c r="AG33" s="83"/>
      <c r="AH33" s="89"/>
      <c r="AI33" s="574"/>
      <c r="AJ33" s="570"/>
      <c r="AK33" s="89"/>
      <c r="AL33" s="72"/>
    </row>
    <row r="34" spans="2:38" s="80" customFormat="1" x14ac:dyDescent="0.25">
      <c r="C34" s="96"/>
      <c r="D34" s="97"/>
      <c r="E34" s="42"/>
      <c r="F34" s="42"/>
      <c r="G34" s="41"/>
      <c r="H34" s="41"/>
      <c r="I34" s="78"/>
      <c r="J34" s="99"/>
      <c r="K34" s="42"/>
      <c r="L34" s="42"/>
      <c r="M34" s="42"/>
      <c r="N34" s="115"/>
      <c r="O34" s="98"/>
      <c r="P34" s="98"/>
      <c r="Q34" s="565"/>
      <c r="R34" s="116"/>
      <c r="S34" s="572"/>
      <c r="T34" s="89"/>
      <c r="U34" s="89"/>
      <c r="V34" s="92"/>
      <c r="W34" s="101"/>
      <c r="X34" s="83"/>
      <c r="Y34" s="93"/>
      <c r="Z34" s="102"/>
      <c r="AA34" s="103"/>
      <c r="AB34" s="104"/>
      <c r="AC34" s="104"/>
      <c r="AD34" s="105"/>
      <c r="AE34" s="117"/>
      <c r="AF34" s="83"/>
      <c r="AG34" s="83"/>
      <c r="AH34" s="60"/>
      <c r="AI34" s="574"/>
      <c r="AJ34" s="570"/>
      <c r="AK34" s="89"/>
      <c r="AL34" s="573"/>
    </row>
    <row r="35" spans="2:38" s="80" customFormat="1" ht="15.75" x14ac:dyDescent="0.25">
      <c r="B35" s="89"/>
      <c r="C35" s="111"/>
      <c r="D35" s="97"/>
      <c r="E35" s="42"/>
      <c r="F35" s="37"/>
      <c r="G35" s="497" t="s">
        <v>495</v>
      </c>
      <c r="H35" s="498"/>
      <c r="I35" s="498"/>
      <c r="J35" s="498"/>
      <c r="K35" s="498"/>
      <c r="L35" s="498"/>
      <c r="M35" s="498"/>
      <c r="N35" s="117"/>
      <c r="O35" s="444"/>
      <c r="P35" s="98"/>
      <c r="Q35" s="565"/>
      <c r="R35" s="107"/>
      <c r="S35" s="572"/>
      <c r="T35" s="89"/>
      <c r="U35" s="89"/>
      <c r="V35" s="92"/>
      <c r="W35" s="101"/>
      <c r="X35" s="83"/>
      <c r="Y35" s="93"/>
      <c r="Z35" s="102"/>
      <c r="AA35" s="103"/>
      <c r="AB35" s="104"/>
      <c r="AC35" s="104"/>
      <c r="AD35" s="105"/>
      <c r="AE35" s="117"/>
      <c r="AF35" s="83"/>
      <c r="AG35" s="83"/>
      <c r="AH35" s="60"/>
      <c r="AI35" s="574"/>
      <c r="AJ35" s="570"/>
      <c r="AK35" s="89"/>
      <c r="AL35" s="573"/>
    </row>
    <row r="36" spans="2:38" s="80" customFormat="1" ht="18.75" customHeight="1" x14ac:dyDescent="0.25">
      <c r="B36" s="564"/>
      <c r="C36" s="534" t="s">
        <v>459</v>
      </c>
      <c r="D36" s="516">
        <v>10</v>
      </c>
      <c r="E36" s="507">
        <f>'Coloniales S.C'!K50</f>
        <v>277.56057142857145</v>
      </c>
      <c r="F36" s="521">
        <f>E36*D36</f>
        <v>2775.6057142857144</v>
      </c>
      <c r="G36" s="514">
        <f>'Coloniales S.C'!M50</f>
        <v>832.68171428571441</v>
      </c>
      <c r="H36" s="39">
        <f>(G36*D36)+$S$11</f>
        <v>12326.817142857144</v>
      </c>
      <c r="I36" s="508">
        <v>0.4</v>
      </c>
      <c r="J36" s="79">
        <v>0.14499999999999999</v>
      </c>
      <c r="K36" s="510">
        <f>N36*J36</f>
        <v>2502.3438799999999</v>
      </c>
      <c r="L36" s="499"/>
      <c r="M36" s="512">
        <f>IF(N36&lt;=$M$3,$E$1,IF(N36&lt;=$M$4,$G$1,IF(N36&lt;=$N$1,$I$1,0)))</f>
        <v>2300</v>
      </c>
      <c r="N36" s="517">
        <f>H36+(H36*I36)</f>
        <v>17257.544000000002</v>
      </c>
      <c r="O36" s="503">
        <f>N36 - K36 - P37  - M36-L36</f>
        <v>11419.747480000002</v>
      </c>
      <c r="Q36" s="565"/>
      <c r="R36" s="501">
        <f>G36*D36</f>
        <v>8326.8171428571441</v>
      </c>
      <c r="S36" s="572"/>
      <c r="T36" s="89"/>
      <c r="U36" s="89"/>
      <c r="V36" s="70"/>
      <c r="W36" s="82"/>
      <c r="X36" s="88"/>
      <c r="Y36" s="83"/>
      <c r="Z36" s="84"/>
      <c r="AA36" s="84"/>
      <c r="AB36" s="85"/>
      <c r="AC36" s="104"/>
      <c r="AD36" s="86"/>
      <c r="AE36" s="87"/>
      <c r="AF36" s="88"/>
      <c r="AG36" s="89"/>
      <c r="AH36" s="90"/>
      <c r="AI36" s="569"/>
      <c r="AJ36" s="570"/>
      <c r="AK36" s="89"/>
      <c r="AL36" s="72"/>
    </row>
    <row r="37" spans="2:38" s="80" customFormat="1" ht="18.75" customHeight="1" x14ac:dyDescent="0.25">
      <c r="C37" s="535"/>
      <c r="D37" s="516"/>
      <c r="E37" s="507"/>
      <c r="F37" s="522"/>
      <c r="G37" s="515"/>
      <c r="H37" s="40">
        <f>O36-F36-$S$6</f>
        <v>6644.1417657142883</v>
      </c>
      <c r="I37" s="509"/>
      <c r="J37" s="79">
        <v>0.06</v>
      </c>
      <c r="K37" s="511"/>
      <c r="L37" s="500"/>
      <c r="M37" s="513"/>
      <c r="N37" s="518"/>
      <c r="O37" s="504"/>
      <c r="P37" s="91">
        <f>N36*J37</f>
        <v>1035.45264</v>
      </c>
      <c r="Q37" s="565"/>
      <c r="R37" s="502"/>
      <c r="S37" s="572"/>
      <c r="T37" s="89"/>
      <c r="U37" s="89"/>
      <c r="V37" s="70"/>
      <c r="W37" s="82"/>
      <c r="X37" s="88"/>
      <c r="Y37" s="93"/>
      <c r="Z37" s="84"/>
      <c r="AA37" s="84"/>
      <c r="AB37" s="85"/>
      <c r="AC37" s="104"/>
      <c r="AD37" s="86"/>
      <c r="AE37" s="87"/>
      <c r="AF37" s="88"/>
      <c r="AG37" s="83"/>
      <c r="AH37" s="89"/>
      <c r="AI37" s="569"/>
      <c r="AJ37" s="570"/>
      <c r="AK37" s="89"/>
      <c r="AL37" s="72"/>
    </row>
    <row r="38" spans="2:38" s="80" customFormat="1" x14ac:dyDescent="0.25">
      <c r="E38" s="49"/>
      <c r="F38" s="49"/>
      <c r="G38" s="49"/>
      <c r="H38" s="49"/>
      <c r="K38" s="49"/>
      <c r="L38" s="49"/>
      <c r="M38" s="49"/>
      <c r="Q38" s="565"/>
      <c r="R38" s="49"/>
      <c r="S38" s="572"/>
      <c r="T38" s="567"/>
      <c r="U38" s="89"/>
      <c r="V38" s="89"/>
      <c r="W38" s="89"/>
      <c r="X38" s="89"/>
      <c r="Y38" s="89"/>
      <c r="Z38" s="89"/>
      <c r="AA38" s="89"/>
      <c r="AB38" s="89"/>
      <c r="AC38" s="89"/>
      <c r="AD38" s="45"/>
      <c r="AE38" s="89"/>
      <c r="AF38" s="89"/>
      <c r="AG38" s="89"/>
      <c r="AH38" s="89"/>
      <c r="AI38" s="569"/>
      <c r="AJ38" s="570"/>
      <c r="AK38" s="89"/>
      <c r="AL38" s="573"/>
    </row>
    <row r="39" spans="2:38" s="80" customFormat="1" ht="18.75" customHeight="1" x14ac:dyDescent="0.25">
      <c r="C39" s="534"/>
      <c r="D39" s="516">
        <v>30</v>
      </c>
      <c r="E39" s="507">
        <f>E36</f>
        <v>277.56057142857145</v>
      </c>
      <c r="F39" s="521">
        <f>E39*D39</f>
        <v>8326.8171428571441</v>
      </c>
      <c r="G39" s="514">
        <f>G36</f>
        <v>832.68171428571441</v>
      </c>
      <c r="H39" s="39">
        <f>(G39*D39)+$S$6</f>
        <v>26980.451428571432</v>
      </c>
      <c r="I39" s="508">
        <v>0.4</v>
      </c>
      <c r="J39" s="79">
        <v>0.14499999999999999</v>
      </c>
      <c r="K39" s="510">
        <f>N39*J39</f>
        <v>5477.0316400000002</v>
      </c>
      <c r="L39" s="499"/>
      <c r="M39" s="512">
        <f>IF(N39&lt;=$M$3,$E$1,IF(N39&lt;=$M$4,$G$1,IF(N39&lt;=$N$1,$I$1,0)))</f>
        <v>0</v>
      </c>
      <c r="N39" s="517">
        <f>H39+(H39*I39)</f>
        <v>37772.632000000005</v>
      </c>
      <c r="O39" s="503">
        <f>N39 - K39 - P40  - M39-L39</f>
        <v>30029.242440000002</v>
      </c>
      <c r="Q39" s="565"/>
      <c r="R39" s="501">
        <f>G39*D39</f>
        <v>24980.451428571432</v>
      </c>
      <c r="S39" s="572"/>
      <c r="T39" s="567"/>
      <c r="U39" s="89"/>
      <c r="V39" s="70"/>
      <c r="W39" s="82"/>
      <c r="X39" s="88"/>
      <c r="Y39" s="83"/>
      <c r="Z39" s="84"/>
      <c r="AA39" s="84"/>
      <c r="AB39" s="85"/>
      <c r="AC39" s="104"/>
      <c r="AD39" s="86"/>
      <c r="AE39" s="87"/>
      <c r="AF39" s="88"/>
      <c r="AG39" s="89"/>
      <c r="AH39" s="90"/>
      <c r="AI39" s="574"/>
      <c r="AJ39" s="570"/>
      <c r="AK39" s="89"/>
      <c r="AL39" s="72"/>
    </row>
    <row r="40" spans="2:38" s="80" customFormat="1" ht="18.75" customHeight="1" x14ac:dyDescent="0.25">
      <c r="C40" s="535"/>
      <c r="D40" s="516"/>
      <c r="E40" s="507"/>
      <c r="F40" s="522"/>
      <c r="G40" s="515"/>
      <c r="H40" s="40">
        <f>O39-F39-$S$6</f>
        <v>19702.425297142858</v>
      </c>
      <c r="I40" s="509"/>
      <c r="J40" s="79">
        <v>0.06</v>
      </c>
      <c r="K40" s="511"/>
      <c r="L40" s="500"/>
      <c r="M40" s="513"/>
      <c r="N40" s="518"/>
      <c r="O40" s="504"/>
      <c r="P40" s="91">
        <f>N39*J40</f>
        <v>2266.3579200000004</v>
      </c>
      <c r="Q40" s="565"/>
      <c r="R40" s="502"/>
      <c r="S40" s="572"/>
      <c r="T40" s="567"/>
      <c r="U40" s="89"/>
      <c r="V40" s="70"/>
      <c r="W40" s="82"/>
      <c r="X40" s="88"/>
      <c r="Y40" s="93"/>
      <c r="Z40" s="84"/>
      <c r="AA40" s="84"/>
      <c r="AB40" s="85"/>
      <c r="AC40" s="104"/>
      <c r="AD40" s="86"/>
      <c r="AE40" s="87"/>
      <c r="AF40" s="88"/>
      <c r="AG40" s="83"/>
      <c r="AH40" s="89"/>
      <c r="AI40" s="569"/>
      <c r="AJ40" s="570"/>
      <c r="AK40" s="89"/>
      <c r="AL40" s="573"/>
    </row>
    <row r="41" spans="2:38" s="80" customFormat="1" x14ac:dyDescent="0.25">
      <c r="C41" s="94"/>
      <c r="E41" s="49"/>
      <c r="F41" s="49"/>
      <c r="G41" s="49"/>
      <c r="H41" s="49"/>
      <c r="K41" s="49"/>
      <c r="L41" s="49"/>
      <c r="M41" s="49"/>
      <c r="Q41" s="565"/>
      <c r="R41" s="49"/>
      <c r="S41" s="572"/>
      <c r="T41" s="567"/>
      <c r="U41" s="89"/>
      <c r="V41" s="70"/>
      <c r="W41" s="89"/>
      <c r="X41" s="89"/>
      <c r="Y41" s="89"/>
      <c r="Z41" s="89"/>
      <c r="AA41" s="89"/>
      <c r="AB41" s="89"/>
      <c r="AC41" s="89"/>
      <c r="AD41" s="45"/>
      <c r="AE41" s="89"/>
      <c r="AF41" s="89"/>
      <c r="AG41" s="89"/>
      <c r="AH41" s="89"/>
      <c r="AI41" s="569"/>
      <c r="AJ41" s="570"/>
      <c r="AK41" s="89"/>
      <c r="AL41" s="573"/>
    </row>
    <row r="42" spans="2:38" s="80" customFormat="1" ht="18.75" customHeight="1" x14ac:dyDescent="0.25">
      <c r="C42" s="534"/>
      <c r="D42" s="516">
        <v>50</v>
      </c>
      <c r="E42" s="507">
        <f>$E$36</f>
        <v>277.56057142857145</v>
      </c>
      <c r="F42" s="521">
        <f>E42*D42</f>
        <v>13878.028571428573</v>
      </c>
      <c r="G42" s="514">
        <f>$G$36</f>
        <v>832.68171428571441</v>
      </c>
      <c r="H42" s="39">
        <f>(G42*D42)+$S$6</f>
        <v>43634.08571428572</v>
      </c>
      <c r="I42" s="508">
        <v>0.4</v>
      </c>
      <c r="J42" s="79">
        <v>0.14499999999999999</v>
      </c>
      <c r="K42" s="510">
        <f>N42*J42</f>
        <v>8857.7194</v>
      </c>
      <c r="L42" s="499"/>
      <c r="M42" s="512">
        <f>IF(N42&lt;=$M$3,$E$1,IF(N42&lt;=$M$4,$G$1,IF(N42&lt;=$N$1,$I$1,0)))</f>
        <v>0</v>
      </c>
      <c r="N42" s="517">
        <f>H42+(H42*I42)</f>
        <v>61087.720000000008</v>
      </c>
      <c r="O42" s="503">
        <f>N42 - K42 - P43  - M42-L42</f>
        <v>48564.737400000005</v>
      </c>
      <c r="Q42" s="565"/>
      <c r="R42" s="501">
        <f>G42*D42</f>
        <v>41634.08571428572</v>
      </c>
      <c r="S42" s="572"/>
      <c r="T42" s="567"/>
      <c r="U42" s="89"/>
      <c r="V42" s="70"/>
      <c r="W42" s="82"/>
      <c r="X42" s="88"/>
      <c r="Y42" s="83"/>
      <c r="Z42" s="84"/>
      <c r="AA42" s="84"/>
      <c r="AB42" s="85"/>
      <c r="AC42" s="104"/>
      <c r="AD42" s="86"/>
      <c r="AE42" s="87"/>
      <c r="AF42" s="88"/>
      <c r="AG42" s="89"/>
      <c r="AH42" s="89"/>
      <c r="AI42" s="569"/>
      <c r="AJ42" s="570"/>
      <c r="AK42" s="89"/>
      <c r="AL42" s="72"/>
    </row>
    <row r="43" spans="2:38" s="80" customFormat="1" ht="18.75" customHeight="1" x14ac:dyDescent="0.25">
      <c r="C43" s="535"/>
      <c r="D43" s="516"/>
      <c r="E43" s="507"/>
      <c r="F43" s="522"/>
      <c r="G43" s="515"/>
      <c r="H43" s="40">
        <f>O42-F42-$S$6</f>
        <v>32686.708828571434</v>
      </c>
      <c r="I43" s="509"/>
      <c r="J43" s="79">
        <v>0.06</v>
      </c>
      <c r="K43" s="511"/>
      <c r="L43" s="500"/>
      <c r="M43" s="513"/>
      <c r="N43" s="518"/>
      <c r="O43" s="504"/>
      <c r="P43" s="91">
        <f>N42*J43</f>
        <v>3665.2632000000003</v>
      </c>
      <c r="Q43" s="565"/>
      <c r="R43" s="502"/>
      <c r="S43" s="572"/>
      <c r="T43" s="567"/>
      <c r="U43" s="89"/>
      <c r="V43" s="70"/>
      <c r="W43" s="82"/>
      <c r="X43" s="88"/>
      <c r="Y43" s="93"/>
      <c r="Z43" s="84"/>
      <c r="AA43" s="84"/>
      <c r="AB43" s="85"/>
      <c r="AC43" s="104"/>
      <c r="AD43" s="86"/>
      <c r="AE43" s="87"/>
      <c r="AF43" s="88"/>
      <c r="AG43" s="83"/>
      <c r="AH43" s="89"/>
      <c r="AI43" s="574"/>
      <c r="AJ43" s="570"/>
      <c r="AK43" s="89"/>
      <c r="AL43" s="72"/>
    </row>
    <row r="44" spans="2:38" s="80" customFormat="1" x14ac:dyDescent="0.25">
      <c r="C44" s="94"/>
      <c r="E44" s="49"/>
      <c r="F44" s="49"/>
      <c r="G44" s="49"/>
      <c r="H44" s="49"/>
      <c r="K44" s="49"/>
      <c r="L44" s="49"/>
      <c r="M44" s="49"/>
      <c r="N44" s="575"/>
      <c r="Q44" s="565"/>
      <c r="R44" s="49"/>
      <c r="S44" s="572"/>
      <c r="T44" s="567"/>
      <c r="U44" s="89"/>
      <c r="V44" s="70"/>
      <c r="W44" s="89"/>
      <c r="X44" s="89"/>
      <c r="Y44" s="89"/>
      <c r="Z44" s="89"/>
      <c r="AA44" s="89"/>
      <c r="AB44" s="89"/>
      <c r="AC44" s="89"/>
      <c r="AD44" s="45"/>
      <c r="AE44" s="89"/>
      <c r="AF44" s="89"/>
      <c r="AG44" s="89"/>
      <c r="AH44" s="89"/>
      <c r="AI44" s="574"/>
      <c r="AJ44" s="570"/>
      <c r="AK44" s="89"/>
      <c r="AL44" s="573"/>
    </row>
    <row r="45" spans="2:38" s="80" customFormat="1" ht="18.75" customHeight="1" x14ac:dyDescent="0.25">
      <c r="B45" s="564"/>
      <c r="C45" s="534"/>
      <c r="D45" s="516">
        <v>100</v>
      </c>
      <c r="E45" s="507">
        <f>'Coloniales S.C'!K96</f>
        <v>1239.5014285714287</v>
      </c>
      <c r="F45" s="521">
        <f>E45*D45</f>
        <v>123950.14285714287</v>
      </c>
      <c r="G45" s="514">
        <f>G36</f>
        <v>832.68171428571441</v>
      </c>
      <c r="H45" s="39">
        <f>(G45*D45)+850</f>
        <v>84118.171428571441</v>
      </c>
      <c r="I45" s="508">
        <v>0.4</v>
      </c>
      <c r="J45" s="79">
        <v>0.14499999999999999</v>
      </c>
      <c r="K45" s="510">
        <f>N45*J45</f>
        <v>17075.988800000003</v>
      </c>
      <c r="L45" s="499"/>
      <c r="M45" s="512">
        <f>IF(N45&lt;=$M$3,$E$1,IF(N45&lt;=$M$4,$G$1,IF(N45&lt;=$N$1,$I$1,0)))</f>
        <v>0</v>
      </c>
      <c r="N45" s="517">
        <f>H45+(H45*I45)</f>
        <v>117765.44000000002</v>
      </c>
      <c r="O45" s="503">
        <f>N45 - K45 - P46  - M45-L45</f>
        <v>93623.524800000014</v>
      </c>
      <c r="Q45" s="565"/>
      <c r="R45" s="501">
        <f>G45*D45</f>
        <v>83268.171428571441</v>
      </c>
      <c r="S45" s="572"/>
      <c r="T45" s="567"/>
      <c r="U45" s="568"/>
      <c r="V45" s="70"/>
      <c r="W45" s="82"/>
      <c r="X45" s="88"/>
      <c r="Y45" s="83"/>
      <c r="Z45" s="84"/>
      <c r="AA45" s="84"/>
      <c r="AB45" s="85"/>
      <c r="AC45" s="85"/>
      <c r="AD45" s="86"/>
      <c r="AE45" s="87"/>
      <c r="AF45" s="88"/>
      <c r="AG45" s="89"/>
      <c r="AH45" s="90"/>
      <c r="AI45" s="569"/>
      <c r="AJ45" s="570"/>
      <c r="AK45" s="89"/>
      <c r="AL45" s="72"/>
    </row>
    <row r="46" spans="2:38" s="80" customFormat="1" ht="18.75" customHeight="1" x14ac:dyDescent="0.25">
      <c r="C46" s="535"/>
      <c r="D46" s="516"/>
      <c r="E46" s="507"/>
      <c r="F46" s="522"/>
      <c r="G46" s="515"/>
      <c r="H46" s="40">
        <f>O45-F45-$S$6</f>
        <v>-32326.618057142856</v>
      </c>
      <c r="I46" s="509"/>
      <c r="J46" s="79">
        <v>0.06</v>
      </c>
      <c r="K46" s="511"/>
      <c r="L46" s="500"/>
      <c r="M46" s="513"/>
      <c r="N46" s="518"/>
      <c r="O46" s="504"/>
      <c r="P46" s="91">
        <f>N45*J46</f>
        <v>7065.9264000000012</v>
      </c>
      <c r="Q46" s="565"/>
      <c r="R46" s="502"/>
      <c r="S46" s="572"/>
      <c r="T46" s="567"/>
      <c r="U46" s="89"/>
      <c r="V46" s="70"/>
      <c r="W46" s="82"/>
      <c r="X46" s="88"/>
      <c r="Y46" s="93"/>
      <c r="Z46" s="84"/>
      <c r="AA46" s="84"/>
      <c r="AB46" s="85"/>
      <c r="AC46" s="85"/>
      <c r="AD46" s="86"/>
      <c r="AE46" s="87"/>
      <c r="AF46" s="88"/>
      <c r="AG46" s="83"/>
      <c r="AH46" s="89"/>
      <c r="AI46" s="569"/>
      <c r="AJ46" s="570"/>
      <c r="AK46" s="89"/>
      <c r="AL46" s="72"/>
    </row>
    <row r="47" spans="2:38" s="80" customFormat="1" x14ac:dyDescent="0.25">
      <c r="C47" s="94"/>
      <c r="E47" s="49"/>
      <c r="F47" s="49"/>
      <c r="G47" s="49"/>
      <c r="H47" s="49"/>
      <c r="K47" s="49"/>
      <c r="L47" s="49"/>
      <c r="M47" s="49"/>
      <c r="N47" s="576"/>
      <c r="Q47" s="565"/>
      <c r="R47" s="49"/>
      <c r="S47" s="572"/>
      <c r="T47" s="567"/>
      <c r="U47" s="89"/>
      <c r="V47" s="70"/>
      <c r="W47" s="89"/>
      <c r="X47" s="89"/>
      <c r="Y47" s="90"/>
      <c r="Z47" s="89"/>
      <c r="AA47" s="89"/>
      <c r="AB47" s="89"/>
      <c r="AC47" s="89"/>
      <c r="AD47" s="45"/>
      <c r="AE47" s="89"/>
      <c r="AF47" s="89"/>
      <c r="AG47" s="89"/>
      <c r="AH47" s="89"/>
      <c r="AI47" s="569"/>
      <c r="AJ47" s="570"/>
      <c r="AK47" s="89"/>
      <c r="AL47" s="573"/>
    </row>
    <row r="48" spans="2:38" s="80" customFormat="1" ht="15.75" x14ac:dyDescent="0.25">
      <c r="C48" s="123"/>
      <c r="E48" s="49"/>
      <c r="F48" s="142"/>
      <c r="G48" s="497" t="s">
        <v>496</v>
      </c>
      <c r="H48" s="498"/>
      <c r="I48" s="498"/>
      <c r="J48" s="498"/>
      <c r="K48" s="498"/>
      <c r="L48" s="498"/>
      <c r="M48" s="498"/>
      <c r="N48" s="89"/>
      <c r="O48" s="577"/>
      <c r="Q48" s="565"/>
      <c r="R48" s="142"/>
      <c r="S48" s="572"/>
      <c r="T48" s="567"/>
      <c r="U48" s="89"/>
      <c r="V48" s="70"/>
      <c r="W48" s="89"/>
      <c r="X48" s="89"/>
      <c r="Y48" s="90"/>
      <c r="Z48" s="89"/>
      <c r="AA48" s="89"/>
      <c r="AB48" s="89"/>
      <c r="AC48" s="89"/>
      <c r="AD48" s="45"/>
      <c r="AE48" s="89"/>
      <c r="AF48" s="89"/>
      <c r="AG48" s="89"/>
      <c r="AH48" s="89"/>
      <c r="AI48" s="569"/>
      <c r="AJ48" s="570"/>
      <c r="AK48" s="89"/>
      <c r="AL48" s="573"/>
    </row>
    <row r="49" spans="2:38" s="80" customFormat="1" ht="18.75" customHeight="1" x14ac:dyDescent="0.25">
      <c r="C49" s="534" t="s">
        <v>401</v>
      </c>
      <c r="D49" s="516">
        <v>5</v>
      </c>
      <c r="E49" s="507">
        <f>'Coloniales S.C'!K96</f>
        <v>1239.5014285714287</v>
      </c>
      <c r="F49" s="521">
        <f>E49*D49</f>
        <v>6197.5071428571437</v>
      </c>
      <c r="G49" s="514">
        <f>'Coloniales S.C'!M96</f>
        <v>3470.6040000000003</v>
      </c>
      <c r="H49" s="39">
        <f>(G49*D49)+$S$11</f>
        <v>21353.02</v>
      </c>
      <c r="I49" s="508">
        <v>0.43</v>
      </c>
      <c r="J49" s="79">
        <v>0.14499999999999999</v>
      </c>
      <c r="K49" s="510" t="e">
        <f>N49*J49</f>
        <v>#VALUE!</v>
      </c>
      <c r="L49" s="499"/>
      <c r="M49" s="512">
        <f>IF(N49&lt;=$M$3,$E$1,IF(N49&lt;=$M$4,$G$1,IF(N49&lt;=$N$1,$I$1,0)))</f>
        <v>0</v>
      </c>
      <c r="N49" s="517" t="s">
        <v>520</v>
      </c>
      <c r="O49" s="503" t="e">
        <f>N49 - K49 - P50  - M49-L49</f>
        <v>#VALUE!</v>
      </c>
      <c r="Q49" s="565"/>
      <c r="R49" s="501">
        <f>G49*D49</f>
        <v>17353.02</v>
      </c>
      <c r="S49" s="572"/>
      <c r="T49" s="567"/>
      <c r="U49" s="89"/>
      <c r="V49" s="70"/>
      <c r="W49" s="82"/>
      <c r="X49" s="88"/>
      <c r="Y49" s="83"/>
      <c r="Z49" s="84"/>
      <c r="AA49" s="84"/>
      <c r="AB49" s="85"/>
      <c r="AC49" s="85"/>
      <c r="AD49" s="86"/>
      <c r="AE49" s="87"/>
      <c r="AF49" s="88"/>
      <c r="AG49" s="89"/>
      <c r="AH49" s="90"/>
      <c r="AI49" s="569"/>
      <c r="AJ49" s="570"/>
      <c r="AK49" s="89"/>
      <c r="AL49" s="72"/>
    </row>
    <row r="50" spans="2:38" s="80" customFormat="1" ht="18.75" customHeight="1" x14ac:dyDescent="0.25">
      <c r="C50" s="543"/>
      <c r="D50" s="516"/>
      <c r="E50" s="507"/>
      <c r="F50" s="522"/>
      <c r="G50" s="515"/>
      <c r="H50" s="40" t="e">
        <f>O49-F49-$S$6</f>
        <v>#VALUE!</v>
      </c>
      <c r="I50" s="509"/>
      <c r="J50" s="79">
        <v>0.06</v>
      </c>
      <c r="K50" s="511"/>
      <c r="L50" s="500"/>
      <c r="M50" s="513"/>
      <c r="N50" s="518"/>
      <c r="O50" s="504"/>
      <c r="P50" s="91" t="e">
        <f>N49*J50</f>
        <v>#VALUE!</v>
      </c>
      <c r="Q50" s="565"/>
      <c r="R50" s="502"/>
      <c r="S50" s="572"/>
      <c r="T50" s="567"/>
      <c r="U50" s="89"/>
      <c r="V50" s="70"/>
      <c r="W50" s="82"/>
      <c r="X50" s="88"/>
      <c r="Y50" s="93"/>
      <c r="Z50" s="84"/>
      <c r="AA50" s="84"/>
      <c r="AB50" s="85"/>
      <c r="AC50" s="85"/>
      <c r="AD50" s="86"/>
      <c r="AE50" s="87"/>
      <c r="AF50" s="88"/>
      <c r="AG50" s="83"/>
      <c r="AH50" s="89"/>
      <c r="AI50" s="569"/>
      <c r="AJ50" s="570"/>
      <c r="AK50" s="89"/>
      <c r="AL50" s="573"/>
    </row>
    <row r="51" spans="2:38" s="80" customFormat="1" x14ac:dyDescent="0.25">
      <c r="B51" s="572"/>
      <c r="C51" s="70"/>
      <c r="D51" s="578"/>
      <c r="E51" s="49"/>
      <c r="F51" s="49"/>
      <c r="G51" s="49"/>
      <c r="H51" s="49"/>
      <c r="K51" s="49"/>
      <c r="L51" s="49"/>
      <c r="M51" s="49"/>
      <c r="Q51" s="565"/>
      <c r="R51" s="49"/>
      <c r="S51" s="572"/>
      <c r="T51" s="567"/>
      <c r="U51" s="89"/>
      <c r="V51" s="70"/>
      <c r="W51" s="89"/>
      <c r="X51" s="89"/>
      <c r="Y51" s="89"/>
      <c r="Z51" s="89"/>
      <c r="AA51" s="89"/>
      <c r="AB51" s="89"/>
      <c r="AC51" s="89"/>
      <c r="AD51" s="45"/>
      <c r="AE51" s="89"/>
      <c r="AF51" s="89"/>
      <c r="AG51" s="89"/>
      <c r="AH51" s="89"/>
      <c r="AI51" s="574"/>
      <c r="AJ51" s="570"/>
      <c r="AK51" s="89"/>
      <c r="AL51" s="573"/>
    </row>
    <row r="52" spans="2:38" s="80" customFormat="1" ht="18.75" customHeight="1" x14ac:dyDescent="0.25">
      <c r="B52" s="564"/>
      <c r="C52" s="543"/>
      <c r="D52" s="516">
        <v>30</v>
      </c>
      <c r="E52" s="507">
        <f>E49</f>
        <v>1239.5014285714287</v>
      </c>
      <c r="F52" s="521">
        <f>E52*D52</f>
        <v>37185.042857142864</v>
      </c>
      <c r="G52" s="514">
        <f>G49</f>
        <v>3470.6040000000003</v>
      </c>
      <c r="H52" s="39">
        <f>(G52*D52)+$S$6</f>
        <v>106118.12000000001</v>
      </c>
      <c r="I52" s="508">
        <v>0.35</v>
      </c>
      <c r="J52" s="79">
        <v>0.14499999999999999</v>
      </c>
      <c r="K52" s="510">
        <f>N52*J52</f>
        <v>20772.62199</v>
      </c>
      <c r="L52" s="499">
        <v>7000</v>
      </c>
      <c r="M52" s="512">
        <f>IF(N52&lt;=$M$3,$E$1,IF(N52&lt;=$M$4,$G$1,IF(N52&lt;=$N$1,$I$1,0)))</f>
        <v>0</v>
      </c>
      <c r="N52" s="517">
        <f>H52+(H52*I52)</f>
        <v>143259.462</v>
      </c>
      <c r="O52" s="503">
        <f>N52 - K52 - P53  - M52-L52</f>
        <v>106891.27228999999</v>
      </c>
      <c r="Q52" s="565"/>
      <c r="R52" s="501">
        <f>G52*D52</f>
        <v>104118.12000000001</v>
      </c>
      <c r="S52" s="572"/>
      <c r="T52" s="567"/>
      <c r="U52" s="89"/>
      <c r="V52" s="70"/>
      <c r="W52" s="82"/>
      <c r="X52" s="88"/>
      <c r="Y52" s="83"/>
      <c r="Z52" s="84"/>
      <c r="AA52" s="84"/>
      <c r="AB52" s="85"/>
      <c r="AC52" s="85"/>
      <c r="AD52" s="86"/>
      <c r="AE52" s="87"/>
      <c r="AF52" s="88"/>
      <c r="AG52" s="89"/>
      <c r="AH52" s="90"/>
      <c r="AI52" s="569"/>
      <c r="AJ52" s="570"/>
      <c r="AK52" s="89"/>
      <c r="AL52" s="72"/>
    </row>
    <row r="53" spans="2:38" s="80" customFormat="1" ht="18.75" customHeight="1" x14ac:dyDescent="0.25">
      <c r="C53" s="535"/>
      <c r="D53" s="516"/>
      <c r="E53" s="507"/>
      <c r="F53" s="522"/>
      <c r="G53" s="515"/>
      <c r="H53" s="40">
        <f>O52-F52-$S$6</f>
        <v>67706.22943285713</v>
      </c>
      <c r="I53" s="509"/>
      <c r="J53" s="79">
        <v>0.06</v>
      </c>
      <c r="K53" s="511"/>
      <c r="L53" s="500"/>
      <c r="M53" s="513"/>
      <c r="N53" s="518"/>
      <c r="O53" s="504"/>
      <c r="P53" s="91">
        <f>N52*J53</f>
        <v>8595.5677199999991</v>
      </c>
      <c r="Q53" s="565"/>
      <c r="R53" s="502"/>
      <c r="S53" s="572"/>
      <c r="T53" s="567"/>
      <c r="U53" s="89"/>
      <c r="V53" s="70"/>
      <c r="W53" s="82"/>
      <c r="X53" s="88"/>
      <c r="Y53" s="93"/>
      <c r="Z53" s="84"/>
      <c r="AA53" s="84"/>
      <c r="AB53" s="85"/>
      <c r="AC53" s="85"/>
      <c r="AD53" s="86"/>
      <c r="AE53" s="87"/>
      <c r="AF53" s="88"/>
      <c r="AG53" s="83"/>
      <c r="AH53" s="89"/>
      <c r="AI53" s="569"/>
      <c r="AJ53" s="570"/>
      <c r="AK53" s="89"/>
      <c r="AL53" s="72"/>
    </row>
    <row r="54" spans="2:38" s="80" customFormat="1" x14ac:dyDescent="0.25">
      <c r="C54" s="94"/>
      <c r="E54" s="49"/>
      <c r="F54" s="49"/>
      <c r="G54" s="49"/>
      <c r="H54" s="49"/>
      <c r="K54" s="49"/>
      <c r="L54" s="49"/>
      <c r="M54" s="49"/>
      <c r="N54" s="576"/>
      <c r="Q54" s="565"/>
      <c r="R54" s="49"/>
      <c r="S54" s="572"/>
      <c r="T54" s="567"/>
      <c r="U54" s="89"/>
      <c r="V54" s="70"/>
      <c r="W54" s="89"/>
      <c r="X54" s="89"/>
      <c r="Y54" s="89"/>
      <c r="Z54" s="89"/>
      <c r="AA54" s="89"/>
      <c r="AB54" s="89"/>
      <c r="AC54" s="89"/>
      <c r="AD54" s="45"/>
      <c r="AE54" s="89"/>
      <c r="AF54" s="89"/>
      <c r="AG54" s="89"/>
      <c r="AH54" s="89"/>
      <c r="AI54" s="574"/>
      <c r="AJ54" s="570"/>
      <c r="AK54" s="89"/>
      <c r="AL54" s="72"/>
    </row>
    <row r="55" spans="2:38" s="80" customFormat="1" ht="18.75" customHeight="1" x14ac:dyDescent="0.25">
      <c r="B55" s="564"/>
      <c r="C55" s="534"/>
      <c r="D55" s="516">
        <v>50</v>
      </c>
      <c r="E55" s="507">
        <f>E49</f>
        <v>1239.5014285714287</v>
      </c>
      <c r="F55" s="521">
        <f>E55*D55</f>
        <v>61975.071428571435</v>
      </c>
      <c r="G55" s="514">
        <f>G52</f>
        <v>3470.6040000000003</v>
      </c>
      <c r="H55" s="39">
        <f>(G55*D55)+$S$11</f>
        <v>177530.2</v>
      </c>
      <c r="I55" s="508">
        <v>0.31</v>
      </c>
      <c r="J55" s="79">
        <v>0.14499999999999999</v>
      </c>
      <c r="K55" s="510">
        <f>N55*J55</f>
        <v>33721.861489999996</v>
      </c>
      <c r="L55" s="499">
        <v>7000</v>
      </c>
      <c r="M55" s="512">
        <f>IF(N55&lt;=$M$3,$E$1,IF(N55&lt;=$M$4,$G$1,IF(N55&lt;=$N$1,$I$1,0)))</f>
        <v>0</v>
      </c>
      <c r="N55" s="517">
        <f>H55+(H55*I55)</f>
        <v>232564.56200000001</v>
      </c>
      <c r="O55" s="503">
        <f>N55 - K55 - P56  - M55-L55</f>
        <v>177888.82678999999</v>
      </c>
      <c r="Q55" s="565"/>
      <c r="R55" s="501">
        <f>G55*D55</f>
        <v>173530.2</v>
      </c>
      <c r="S55" s="572"/>
      <c r="T55" s="567"/>
      <c r="U55" s="568"/>
      <c r="V55" s="122"/>
      <c r="W55" s="82"/>
      <c r="X55" s="88"/>
      <c r="Y55" s="83"/>
      <c r="Z55" s="84"/>
      <c r="AA55" s="84"/>
      <c r="AB55" s="85"/>
      <c r="AC55" s="85"/>
      <c r="AD55" s="86"/>
      <c r="AE55" s="87"/>
      <c r="AF55" s="88"/>
      <c r="AG55" s="89"/>
      <c r="AH55" s="90"/>
      <c r="AI55" s="569"/>
      <c r="AJ55" s="570"/>
      <c r="AK55" s="89"/>
      <c r="AL55" s="72"/>
    </row>
    <row r="56" spans="2:38" s="80" customFormat="1" ht="18.75" customHeight="1" x14ac:dyDescent="0.25">
      <c r="C56" s="535"/>
      <c r="D56" s="516"/>
      <c r="E56" s="507"/>
      <c r="F56" s="522"/>
      <c r="G56" s="515"/>
      <c r="H56" s="40">
        <f>O55-F55-$S$6</f>
        <v>113913.75536142856</v>
      </c>
      <c r="I56" s="509"/>
      <c r="J56" s="79">
        <v>0.06</v>
      </c>
      <c r="K56" s="511"/>
      <c r="L56" s="500"/>
      <c r="M56" s="513"/>
      <c r="N56" s="518"/>
      <c r="O56" s="504"/>
      <c r="P56" s="91">
        <f>N55*J56</f>
        <v>13953.87372</v>
      </c>
      <c r="Q56" s="565"/>
      <c r="R56" s="502"/>
      <c r="S56" s="572"/>
      <c r="T56" s="567"/>
      <c r="U56" s="89"/>
      <c r="V56" s="70"/>
      <c r="W56" s="82"/>
      <c r="X56" s="88"/>
      <c r="Y56" s="93"/>
      <c r="Z56" s="84"/>
      <c r="AA56" s="84"/>
      <c r="AB56" s="85"/>
      <c r="AC56" s="85"/>
      <c r="AD56" s="86"/>
      <c r="AE56" s="87"/>
      <c r="AF56" s="88"/>
      <c r="AG56" s="83"/>
      <c r="AH56" s="89"/>
      <c r="AI56" s="569"/>
      <c r="AJ56" s="570"/>
      <c r="AK56" s="89"/>
      <c r="AL56" s="72"/>
    </row>
    <row r="57" spans="2:38" s="80" customFormat="1" x14ac:dyDescent="0.25">
      <c r="C57" s="94"/>
      <c r="E57" s="49"/>
      <c r="F57" s="49"/>
      <c r="G57" s="49"/>
      <c r="H57" s="49"/>
      <c r="K57" s="49"/>
      <c r="L57" s="49"/>
      <c r="M57" s="49"/>
      <c r="N57" s="575"/>
      <c r="Q57" s="565"/>
      <c r="R57" s="49"/>
      <c r="S57" s="572"/>
      <c r="T57" s="567"/>
      <c r="U57" s="89"/>
      <c r="V57" s="70"/>
      <c r="W57" s="89"/>
      <c r="X57" s="89"/>
      <c r="Y57" s="89"/>
      <c r="Z57" s="89"/>
      <c r="AA57" s="89"/>
      <c r="AB57" s="89"/>
      <c r="AC57" s="89"/>
      <c r="AD57" s="45"/>
      <c r="AE57" s="89"/>
      <c r="AF57" s="89"/>
      <c r="AG57" s="89"/>
      <c r="AH57" s="89"/>
      <c r="AI57" s="574"/>
      <c r="AJ57" s="570"/>
      <c r="AK57" s="89"/>
      <c r="AL57" s="72"/>
    </row>
    <row r="58" spans="2:38" s="80" customFormat="1" ht="18.75" customHeight="1" x14ac:dyDescent="0.25">
      <c r="B58" s="564"/>
      <c r="C58" s="534"/>
      <c r="D58" s="516">
        <v>100</v>
      </c>
      <c r="E58" s="507">
        <f>E49</f>
        <v>1239.5014285714287</v>
      </c>
      <c r="F58" s="521">
        <f>E58*D58</f>
        <v>123950.14285714287</v>
      </c>
      <c r="G58" s="514">
        <f>G49</f>
        <v>3470.6040000000003</v>
      </c>
      <c r="H58" s="39">
        <f>(G58*D58)+$S$6</f>
        <v>349060.4</v>
      </c>
      <c r="I58" s="508">
        <v>0.3</v>
      </c>
      <c r="J58" s="79">
        <v>0.14499999999999999</v>
      </c>
      <c r="K58" s="510">
        <f>N58*J58</f>
        <v>65797.885399999999</v>
      </c>
      <c r="L58" s="499">
        <v>9000</v>
      </c>
      <c r="M58" s="512">
        <f>IF(N58&lt;=$M$3,$E$1,IF(N58&lt;=$M$4,$G$1,IF(N58&lt;=$N$1,$I$1,0)))</f>
        <v>0</v>
      </c>
      <c r="N58" s="517">
        <f>H58+(H58*I58)</f>
        <v>453778.52</v>
      </c>
      <c r="O58" s="503">
        <f>N58 - K58 - P59  - M58-L58</f>
        <v>351753.92339999997</v>
      </c>
      <c r="Q58" s="565"/>
      <c r="R58" s="501">
        <f>G58*D58</f>
        <v>347060.4</v>
      </c>
      <c r="S58" s="572"/>
      <c r="T58" s="567"/>
      <c r="U58" s="568"/>
      <c r="V58" s="122"/>
      <c r="W58" s="82"/>
      <c r="X58" s="88"/>
      <c r="Y58" s="83"/>
      <c r="Z58" s="84"/>
      <c r="AA58" s="84"/>
      <c r="AB58" s="85"/>
      <c r="AC58" s="85"/>
      <c r="AD58" s="86"/>
      <c r="AE58" s="87"/>
      <c r="AF58" s="88"/>
      <c r="AG58" s="89"/>
      <c r="AH58" s="90"/>
      <c r="AI58" s="569"/>
      <c r="AJ58" s="570"/>
      <c r="AK58" s="89"/>
      <c r="AL58" s="72"/>
    </row>
    <row r="59" spans="2:38" s="80" customFormat="1" ht="18.75" customHeight="1" x14ac:dyDescent="0.25">
      <c r="C59" s="543"/>
      <c r="D59" s="516"/>
      <c r="E59" s="507"/>
      <c r="F59" s="522"/>
      <c r="G59" s="515"/>
      <c r="H59" s="40">
        <f>O58-F58-$S$6</f>
        <v>225803.7805428571</v>
      </c>
      <c r="I59" s="509"/>
      <c r="J59" s="79">
        <v>0.06</v>
      </c>
      <c r="K59" s="511"/>
      <c r="L59" s="500"/>
      <c r="M59" s="513"/>
      <c r="N59" s="518"/>
      <c r="O59" s="504"/>
      <c r="P59" s="91">
        <f>N58*J59</f>
        <v>27226.711200000002</v>
      </c>
      <c r="Q59" s="565"/>
      <c r="R59" s="502"/>
      <c r="S59" s="572"/>
      <c r="T59" s="567"/>
      <c r="U59" s="89"/>
      <c r="V59" s="70"/>
      <c r="W59" s="82"/>
      <c r="X59" s="88"/>
      <c r="Y59" s="93"/>
      <c r="Z59" s="84"/>
      <c r="AA59" s="84"/>
      <c r="AB59" s="85"/>
      <c r="AC59" s="85"/>
      <c r="AD59" s="86"/>
      <c r="AE59" s="87"/>
      <c r="AF59" s="88"/>
      <c r="AG59" s="83"/>
      <c r="AH59" s="89"/>
      <c r="AI59" s="569"/>
      <c r="AJ59" s="570"/>
      <c r="AK59" s="89"/>
      <c r="AL59" s="72"/>
    </row>
    <row r="60" spans="2:38" s="80" customFormat="1" x14ac:dyDescent="0.25">
      <c r="B60" s="572"/>
      <c r="C60" s="70"/>
      <c r="D60" s="578"/>
      <c r="E60" s="49"/>
      <c r="F60" s="49"/>
      <c r="G60" s="49"/>
      <c r="H60" s="49"/>
      <c r="K60" s="49"/>
      <c r="L60" s="49"/>
      <c r="M60" s="49"/>
      <c r="N60" s="576"/>
      <c r="Q60" s="565"/>
      <c r="R60" s="49"/>
      <c r="S60" s="572"/>
      <c r="T60" s="567"/>
      <c r="U60" s="89"/>
      <c r="V60" s="70"/>
      <c r="W60" s="89"/>
      <c r="X60" s="89"/>
      <c r="Y60" s="89"/>
      <c r="Z60" s="89"/>
      <c r="AA60" s="89"/>
      <c r="AB60" s="89"/>
      <c r="AC60" s="89"/>
      <c r="AD60" s="45"/>
      <c r="AE60" s="89"/>
      <c r="AF60" s="89"/>
      <c r="AG60" s="89"/>
      <c r="AH60" s="89"/>
      <c r="AI60" s="574"/>
      <c r="AJ60" s="570"/>
      <c r="AK60" s="89"/>
      <c r="AL60" s="72"/>
    </row>
    <row r="61" spans="2:38" s="80" customFormat="1" ht="15.75" x14ac:dyDescent="0.25">
      <c r="B61" s="89"/>
      <c r="C61" s="70"/>
      <c r="D61" s="578"/>
      <c r="E61" s="49"/>
      <c r="F61" s="142"/>
      <c r="G61" s="497" t="s">
        <v>497</v>
      </c>
      <c r="H61" s="498"/>
      <c r="I61" s="498"/>
      <c r="J61" s="498"/>
      <c r="K61" s="498"/>
      <c r="L61" s="498"/>
      <c r="M61" s="498"/>
      <c r="N61" s="89"/>
      <c r="O61" s="577"/>
      <c r="Q61" s="565"/>
      <c r="R61" s="142"/>
      <c r="S61" s="572"/>
      <c r="T61" s="567"/>
      <c r="U61" s="89"/>
      <c r="V61" s="70"/>
      <c r="W61" s="89"/>
      <c r="X61" s="89"/>
      <c r="Y61" s="89"/>
      <c r="Z61" s="89"/>
      <c r="AA61" s="89"/>
      <c r="AB61" s="89"/>
      <c r="AC61" s="89"/>
      <c r="AD61" s="45"/>
      <c r="AE61" s="89"/>
      <c r="AF61" s="89"/>
      <c r="AG61" s="89"/>
      <c r="AH61" s="89"/>
      <c r="AI61" s="574"/>
      <c r="AJ61" s="570"/>
      <c r="AK61" s="89"/>
      <c r="AL61" s="72"/>
    </row>
    <row r="62" spans="2:38" s="80" customFormat="1" ht="18.75" customHeight="1" x14ac:dyDescent="0.25">
      <c r="B62" s="564"/>
      <c r="C62" s="543" t="s">
        <v>498</v>
      </c>
      <c r="D62" s="516">
        <v>1</v>
      </c>
      <c r="E62" s="507">
        <f>'Coloniales S.C'!K150</f>
        <v>2078.1242857142856</v>
      </c>
      <c r="F62" s="521">
        <f>E62*D62</f>
        <v>2078.1242857142856</v>
      </c>
      <c r="G62" s="514">
        <f>'Coloniales S.C'!M150</f>
        <v>5195.3107142857143</v>
      </c>
      <c r="H62" s="39">
        <f>(G62*D62)+$S$6</f>
        <v>7195.3107142857143</v>
      </c>
      <c r="I62" s="508">
        <v>0.39</v>
      </c>
      <c r="J62" s="79">
        <v>0.14499999999999999</v>
      </c>
      <c r="K62" s="510">
        <f>N62*J62</f>
        <v>1450.2148744642857</v>
      </c>
      <c r="L62" s="499"/>
      <c r="M62" s="512">
        <f>IF(N62&lt;=$M$3,$E$1,IF(N62&lt;=$M$4,$G$1,IF(N62&lt;=$N$1,$I$1,0)))</f>
        <v>1100</v>
      </c>
      <c r="N62" s="517">
        <f>H62+(H62*I62)</f>
        <v>10001.481892857144</v>
      </c>
      <c r="O62" s="503">
        <f>N62 - K62 - P63  - M62-L62</f>
        <v>6851.1781048214298</v>
      </c>
      <c r="Q62" s="561">
        <f>N62/D62</f>
        <v>10001.481892857144</v>
      </c>
      <c r="R62" s="501">
        <f>G62*D62</f>
        <v>5195.3107142857143</v>
      </c>
      <c r="S62" s="572"/>
      <c r="T62" s="567"/>
      <c r="U62" s="568"/>
      <c r="V62" s="122"/>
      <c r="W62" s="82"/>
      <c r="X62" s="88"/>
      <c r="Y62" s="83"/>
      <c r="Z62" s="84"/>
      <c r="AA62" s="84"/>
      <c r="AB62" s="85"/>
      <c r="AC62" s="85"/>
      <c r="AD62" s="86"/>
      <c r="AE62" s="87"/>
      <c r="AF62" s="88"/>
      <c r="AG62" s="89"/>
      <c r="AH62" s="90"/>
      <c r="AI62" s="569"/>
      <c r="AJ62" s="570"/>
      <c r="AK62" s="89"/>
      <c r="AL62" s="72"/>
    </row>
    <row r="63" spans="2:38" s="80" customFormat="1" ht="18.75" customHeight="1" x14ac:dyDescent="0.25">
      <c r="C63" s="535"/>
      <c r="D63" s="516"/>
      <c r="E63" s="507"/>
      <c r="F63" s="522"/>
      <c r="G63" s="515"/>
      <c r="H63" s="40">
        <f>O62-F62-$S$6</f>
        <v>2773.0538191071446</v>
      </c>
      <c r="I63" s="509"/>
      <c r="J63" s="79">
        <v>0.06</v>
      </c>
      <c r="K63" s="511"/>
      <c r="L63" s="500"/>
      <c r="M63" s="513"/>
      <c r="N63" s="518"/>
      <c r="O63" s="504"/>
      <c r="P63" s="91">
        <f>N62*J63</f>
        <v>600.08891357142863</v>
      </c>
      <c r="Q63" s="562"/>
      <c r="R63" s="502"/>
      <c r="S63" s="572"/>
      <c r="T63" s="567"/>
      <c r="U63" s="89"/>
      <c r="V63" s="70"/>
      <c r="W63" s="82"/>
      <c r="X63" s="88"/>
      <c r="Y63" s="93"/>
      <c r="Z63" s="84"/>
      <c r="AA63" s="84"/>
      <c r="AB63" s="85"/>
      <c r="AC63" s="85"/>
      <c r="AD63" s="86"/>
      <c r="AE63" s="87"/>
      <c r="AF63" s="88"/>
      <c r="AG63" s="83"/>
      <c r="AH63" s="89"/>
      <c r="AI63" s="569"/>
      <c r="AJ63" s="570"/>
      <c r="AK63" s="89"/>
      <c r="AL63" s="72"/>
    </row>
    <row r="64" spans="2:38" s="80" customFormat="1" x14ac:dyDescent="0.25">
      <c r="C64" s="94"/>
      <c r="E64" s="49"/>
      <c r="F64" s="49"/>
      <c r="G64" s="49"/>
      <c r="H64" s="49"/>
      <c r="K64" s="49"/>
      <c r="L64" s="49"/>
      <c r="M64" s="49"/>
      <c r="N64" s="576"/>
      <c r="Q64" s="565"/>
      <c r="R64" s="49"/>
      <c r="S64" s="572"/>
      <c r="T64" s="567"/>
      <c r="U64" s="89"/>
      <c r="V64" s="70"/>
      <c r="W64" s="89"/>
      <c r="X64" s="89"/>
      <c r="Y64" s="89"/>
      <c r="Z64" s="89"/>
      <c r="AA64" s="89"/>
      <c r="AB64" s="89"/>
      <c r="AC64" s="89"/>
      <c r="AD64" s="45"/>
      <c r="AE64" s="89"/>
      <c r="AF64" s="89"/>
      <c r="AG64" s="89"/>
      <c r="AH64" s="89"/>
      <c r="AI64" s="574"/>
      <c r="AJ64" s="570"/>
      <c r="AK64" s="89"/>
      <c r="AL64" s="72"/>
    </row>
    <row r="65" spans="2:38" s="80" customFormat="1" ht="18.75" customHeight="1" x14ac:dyDescent="0.25">
      <c r="B65" s="564"/>
      <c r="C65" s="534"/>
      <c r="D65" s="516">
        <v>5</v>
      </c>
      <c r="E65" s="507">
        <f>E62</f>
        <v>2078.1242857142856</v>
      </c>
      <c r="F65" s="521">
        <f>E65*D65</f>
        <v>10390.621428571429</v>
      </c>
      <c r="G65" s="514">
        <f>G62</f>
        <v>5195.3107142857143</v>
      </c>
      <c r="H65" s="39">
        <f>(G65*D65)+$S$6</f>
        <v>27976.553571428572</v>
      </c>
      <c r="I65" s="508">
        <v>0.52</v>
      </c>
      <c r="J65" s="79">
        <v>0.14499999999999999</v>
      </c>
      <c r="K65" s="510">
        <f>N65*J65</f>
        <v>6166.0324071428568</v>
      </c>
      <c r="L65" s="499">
        <v>7000</v>
      </c>
      <c r="M65" s="512">
        <f>IF(N65&lt;=$M$3,$E$1,IF(N65&lt;=$M$4,$G$1,IF(N65&lt;=$N$1,$I$1,0)))</f>
        <v>0</v>
      </c>
      <c r="N65" s="517">
        <f>H65+(H65*I65)</f>
        <v>42524.361428571428</v>
      </c>
      <c r="O65" s="503">
        <f>N65 - K65 - P66  - M65-L65</f>
        <v>26806.867335714291</v>
      </c>
      <c r="Q65" s="561">
        <f>N65/D65</f>
        <v>8504.8722857142857</v>
      </c>
      <c r="R65" s="501">
        <f>G65*D65</f>
        <v>25976.553571428572</v>
      </c>
      <c r="S65" s="572"/>
      <c r="T65" s="567"/>
      <c r="U65" s="568"/>
      <c r="V65" s="70"/>
      <c r="W65" s="82"/>
      <c r="X65" s="88"/>
      <c r="Y65" s="83"/>
      <c r="Z65" s="84"/>
      <c r="AA65" s="84"/>
      <c r="AB65" s="85"/>
      <c r="AC65" s="85"/>
      <c r="AD65" s="86"/>
      <c r="AE65" s="87"/>
      <c r="AF65" s="88"/>
      <c r="AG65" s="89"/>
      <c r="AH65" s="90"/>
      <c r="AI65" s="569"/>
      <c r="AJ65" s="570"/>
      <c r="AK65" s="89"/>
      <c r="AL65" s="72"/>
    </row>
    <row r="66" spans="2:38" s="80" customFormat="1" ht="18.75" customHeight="1" x14ac:dyDescent="0.25">
      <c r="C66" s="535"/>
      <c r="D66" s="516"/>
      <c r="E66" s="507"/>
      <c r="F66" s="522"/>
      <c r="G66" s="515"/>
      <c r="H66" s="40">
        <f>O65-F65-$S$6</f>
        <v>14416.24590714286</v>
      </c>
      <c r="I66" s="509"/>
      <c r="J66" s="79">
        <v>0.06</v>
      </c>
      <c r="K66" s="511"/>
      <c r="L66" s="500"/>
      <c r="M66" s="513"/>
      <c r="N66" s="518"/>
      <c r="O66" s="504"/>
      <c r="P66" s="91">
        <f>N65*J66</f>
        <v>2551.4616857142855</v>
      </c>
      <c r="Q66" s="562"/>
      <c r="R66" s="502"/>
      <c r="S66" s="572"/>
      <c r="T66" s="567"/>
      <c r="U66" s="89"/>
      <c r="V66" s="70"/>
      <c r="W66" s="82"/>
      <c r="X66" s="88"/>
      <c r="Y66" s="93"/>
      <c r="Z66" s="84"/>
      <c r="AA66" s="84"/>
      <c r="AB66" s="85"/>
      <c r="AC66" s="85"/>
      <c r="AD66" s="86"/>
      <c r="AE66" s="87"/>
      <c r="AF66" s="88"/>
      <c r="AG66" s="83"/>
      <c r="AH66" s="89"/>
      <c r="AI66" s="569"/>
      <c r="AJ66" s="570"/>
      <c r="AK66" s="89"/>
      <c r="AL66" s="72"/>
    </row>
    <row r="67" spans="2:38" s="80" customFormat="1" x14ac:dyDescent="0.25">
      <c r="C67" s="123"/>
      <c r="D67" s="97"/>
      <c r="E67" s="42"/>
      <c r="F67" s="42"/>
      <c r="G67" s="41"/>
      <c r="H67" s="41"/>
      <c r="I67" s="78"/>
      <c r="J67" s="99"/>
      <c r="K67" s="42"/>
      <c r="L67" s="42"/>
      <c r="M67" s="42"/>
      <c r="N67" s="95"/>
      <c r="O67" s="98"/>
      <c r="P67" s="98"/>
      <c r="Q67" s="565"/>
      <c r="R67" s="107"/>
      <c r="S67" s="572"/>
      <c r="T67" s="567"/>
      <c r="U67" s="89"/>
      <c r="V67" s="70"/>
      <c r="W67" s="101"/>
      <c r="X67" s="83"/>
      <c r="Y67" s="93"/>
      <c r="Z67" s="102"/>
      <c r="AA67" s="103"/>
      <c r="AB67" s="104"/>
      <c r="AC67" s="104"/>
      <c r="AD67" s="105"/>
      <c r="AE67" s="106"/>
      <c r="AF67" s="83"/>
      <c r="AG67" s="83"/>
      <c r="AH67" s="60"/>
      <c r="AI67" s="569"/>
      <c r="AJ67" s="570"/>
      <c r="AK67" s="89"/>
      <c r="AL67" s="72"/>
    </row>
    <row r="68" spans="2:38" s="80" customFormat="1" ht="18.75" customHeight="1" x14ac:dyDescent="0.25">
      <c r="B68" s="564"/>
      <c r="C68" s="534"/>
      <c r="D68" s="505">
        <v>20</v>
      </c>
      <c r="E68" s="521">
        <f>E62</f>
        <v>2078.1242857142856</v>
      </c>
      <c r="F68" s="521">
        <f>E68*D68</f>
        <v>41562.485714285714</v>
      </c>
      <c r="G68" s="514">
        <f>G62</f>
        <v>5195.3107142857143</v>
      </c>
      <c r="H68" s="39">
        <f>(G68*D68)+$S$6</f>
        <v>105906.21428571429</v>
      </c>
      <c r="I68" s="508">
        <v>0.37</v>
      </c>
      <c r="J68" s="79">
        <v>0.14499999999999999</v>
      </c>
      <c r="K68" s="510">
        <f>N68*J68</f>
        <v>21038.269467857142</v>
      </c>
      <c r="L68" s="499">
        <v>9500</v>
      </c>
      <c r="M68" s="512">
        <f>IF(N68&lt;=$M$3,$E$1,IF(N68&lt;=$M$4,$G$1,IF(N68&lt;=$N$1,$I$1,0)))</f>
        <v>0</v>
      </c>
      <c r="N68" s="517">
        <f>H68+(H68*I68)</f>
        <v>145091.51357142857</v>
      </c>
      <c r="O68" s="503">
        <f>N68 - K68 - P69  - M68-L68</f>
        <v>105847.75328928571</v>
      </c>
      <c r="Q68" s="561">
        <f>N68/D68</f>
        <v>7254.5756785714284</v>
      </c>
      <c r="R68" s="501">
        <f>G68*D68</f>
        <v>103906.21428571429</v>
      </c>
      <c r="S68" s="572"/>
      <c r="T68" s="567"/>
      <c r="U68" s="568"/>
      <c r="V68" s="70"/>
      <c r="W68" s="82"/>
      <c r="X68" s="88"/>
      <c r="Y68" s="83"/>
      <c r="Z68" s="84"/>
      <c r="AA68" s="84"/>
      <c r="AB68" s="85"/>
      <c r="AC68" s="85"/>
      <c r="AD68" s="86"/>
      <c r="AE68" s="87"/>
      <c r="AF68" s="88"/>
      <c r="AG68" s="89"/>
      <c r="AH68" s="90"/>
      <c r="AI68" s="569"/>
      <c r="AJ68" s="570"/>
      <c r="AK68" s="89"/>
      <c r="AL68" s="72"/>
    </row>
    <row r="69" spans="2:38" s="80" customFormat="1" ht="18.75" customHeight="1" x14ac:dyDescent="0.25">
      <c r="C69" s="535"/>
      <c r="D69" s="506"/>
      <c r="E69" s="522"/>
      <c r="F69" s="522"/>
      <c r="G69" s="515"/>
      <c r="H69" s="40">
        <f>O68-F68-$S$6</f>
        <v>62285.267574999998</v>
      </c>
      <c r="I69" s="509"/>
      <c r="J69" s="79">
        <v>0.06</v>
      </c>
      <c r="K69" s="511"/>
      <c r="L69" s="500"/>
      <c r="M69" s="513"/>
      <c r="N69" s="518"/>
      <c r="O69" s="504"/>
      <c r="P69" s="91">
        <f>N68*J69</f>
        <v>8705.4908142857148</v>
      </c>
      <c r="Q69" s="562"/>
      <c r="R69" s="502"/>
      <c r="S69" s="572"/>
      <c r="T69" s="567"/>
      <c r="U69" s="89"/>
      <c r="V69" s="70"/>
      <c r="W69" s="82"/>
      <c r="X69" s="88"/>
      <c r="Y69" s="93"/>
      <c r="Z69" s="84"/>
      <c r="AA69" s="84"/>
      <c r="AB69" s="85"/>
      <c r="AC69" s="85"/>
      <c r="AD69" s="86"/>
      <c r="AE69" s="87"/>
      <c r="AF69" s="88"/>
      <c r="AG69" s="83"/>
      <c r="AH69" s="90"/>
      <c r="AI69" s="569"/>
      <c r="AJ69" s="570"/>
      <c r="AK69" s="89"/>
      <c r="AL69" s="72"/>
    </row>
    <row r="70" spans="2:38" s="80" customFormat="1" x14ac:dyDescent="0.25">
      <c r="C70" s="123"/>
      <c r="D70" s="97"/>
      <c r="E70" s="42"/>
      <c r="F70" s="42"/>
      <c r="G70" s="41"/>
      <c r="H70" s="41"/>
      <c r="I70" s="78"/>
      <c r="J70" s="99"/>
      <c r="K70" s="42"/>
      <c r="L70" s="42"/>
      <c r="M70" s="42"/>
      <c r="N70" s="95"/>
      <c r="O70" s="98"/>
      <c r="P70" s="98"/>
      <c r="Q70" s="565"/>
      <c r="R70" s="107"/>
      <c r="S70" s="572"/>
      <c r="T70" s="567"/>
      <c r="U70" s="89"/>
      <c r="V70" s="70"/>
      <c r="W70" s="101"/>
      <c r="X70" s="83"/>
      <c r="Y70" s="93"/>
      <c r="Z70" s="102"/>
      <c r="AA70" s="103"/>
      <c r="AB70" s="104"/>
      <c r="AC70" s="104"/>
      <c r="AD70" s="105"/>
      <c r="AE70" s="106"/>
      <c r="AF70" s="83"/>
      <c r="AG70" s="83"/>
      <c r="AH70" s="60"/>
      <c r="AI70" s="569"/>
      <c r="AJ70" s="570"/>
      <c r="AK70" s="89"/>
      <c r="AL70" s="72"/>
    </row>
    <row r="71" spans="2:38" s="80" customFormat="1" ht="18.75" customHeight="1" x14ac:dyDescent="0.25">
      <c r="C71" s="534"/>
      <c r="D71" s="516">
        <v>25</v>
      </c>
      <c r="E71" s="507">
        <f>E62</f>
        <v>2078.1242857142856</v>
      </c>
      <c r="F71" s="521">
        <f>E71*D71</f>
        <v>51953.107142857138</v>
      </c>
      <c r="G71" s="514">
        <f>G62</f>
        <v>5195.3107142857143</v>
      </c>
      <c r="H71" s="39">
        <f>(G71*D71)+$S$6</f>
        <v>131882.76785714284</v>
      </c>
      <c r="I71" s="508">
        <v>0.32</v>
      </c>
      <c r="J71" s="79">
        <v>0.14499999999999999</v>
      </c>
      <c r="K71" s="510">
        <f>N71*J71</f>
        <v>25242.361767857135</v>
      </c>
      <c r="L71" s="499">
        <v>10000</v>
      </c>
      <c r="M71" s="512">
        <f>IF(N71&lt;=$M$3,$E$1,IF(N71&lt;=$M$4,$G$1,IF(N71&lt;=$N$1,$I$1,0)))</f>
        <v>0</v>
      </c>
      <c r="N71" s="517">
        <f>H71+(H71*I71)</f>
        <v>174085.25357142853</v>
      </c>
      <c r="O71" s="503">
        <f>N71 - K71 - P72  - M71-L71</f>
        <v>128397.7765892857</v>
      </c>
      <c r="Q71" s="561">
        <f>N71/D71</f>
        <v>6963.4101428571412</v>
      </c>
      <c r="R71" s="501">
        <f>G71*D71</f>
        <v>129882.76785714286</v>
      </c>
      <c r="S71" s="572"/>
      <c r="T71" s="567"/>
      <c r="U71" s="89"/>
      <c r="V71" s="70"/>
      <c r="W71" s="82"/>
      <c r="X71" s="88"/>
      <c r="Y71" s="83"/>
      <c r="Z71" s="84"/>
      <c r="AA71" s="84"/>
      <c r="AB71" s="85"/>
      <c r="AC71" s="85"/>
      <c r="AD71" s="86"/>
      <c r="AE71" s="87"/>
      <c r="AF71" s="88"/>
      <c r="AG71" s="89"/>
      <c r="AH71" s="89"/>
      <c r="AI71" s="569"/>
      <c r="AJ71" s="570"/>
      <c r="AK71" s="89"/>
      <c r="AL71" s="72"/>
    </row>
    <row r="72" spans="2:38" s="80" customFormat="1" ht="18.75" customHeight="1" x14ac:dyDescent="0.25">
      <c r="C72" s="535"/>
      <c r="D72" s="516"/>
      <c r="E72" s="507"/>
      <c r="F72" s="522"/>
      <c r="G72" s="515"/>
      <c r="H72" s="40">
        <f>O71-F71-$S$6</f>
        <v>74444.669446428568</v>
      </c>
      <c r="I72" s="509"/>
      <c r="J72" s="79">
        <v>0.06</v>
      </c>
      <c r="K72" s="511"/>
      <c r="L72" s="500"/>
      <c r="M72" s="513"/>
      <c r="N72" s="518"/>
      <c r="O72" s="504"/>
      <c r="P72" s="91">
        <f>N71*J72</f>
        <v>10445.115214285712</v>
      </c>
      <c r="Q72" s="562"/>
      <c r="R72" s="502"/>
      <c r="S72" s="572"/>
      <c r="T72" s="567"/>
      <c r="U72" s="89"/>
      <c r="V72" s="70"/>
      <c r="W72" s="82"/>
      <c r="X72" s="88"/>
      <c r="Y72" s="93"/>
      <c r="Z72" s="84"/>
      <c r="AA72" s="84"/>
      <c r="AB72" s="85"/>
      <c r="AC72" s="85"/>
      <c r="AD72" s="86"/>
      <c r="AE72" s="87"/>
      <c r="AF72" s="88"/>
      <c r="AG72" s="83"/>
      <c r="AH72" s="89"/>
      <c r="AI72" s="574"/>
      <c r="AJ72" s="570"/>
      <c r="AK72" s="89"/>
      <c r="AL72" s="72"/>
    </row>
    <row r="73" spans="2:38" s="80" customFormat="1" ht="18.75" customHeight="1" x14ac:dyDescent="0.25">
      <c r="B73" s="572"/>
      <c r="C73" s="124"/>
      <c r="D73" s="578"/>
      <c r="E73" s="49"/>
      <c r="F73" s="43"/>
      <c r="G73" s="43"/>
      <c r="H73" s="45"/>
      <c r="I73" s="45"/>
      <c r="J73" s="45"/>
      <c r="K73" s="45"/>
      <c r="L73" s="45"/>
      <c r="M73" s="45"/>
      <c r="N73" s="125"/>
      <c r="Q73" s="565"/>
      <c r="R73" s="49"/>
      <c r="S73" s="572"/>
      <c r="T73" s="567"/>
      <c r="U73" s="89"/>
      <c r="V73" s="70"/>
      <c r="W73" s="89"/>
      <c r="X73" s="89"/>
      <c r="Y73" s="89"/>
      <c r="Z73" s="89"/>
      <c r="AA73" s="89"/>
      <c r="AB73" s="89"/>
      <c r="AC73" s="89"/>
      <c r="AD73" s="45"/>
      <c r="AE73" s="89"/>
      <c r="AF73" s="89"/>
      <c r="AG73" s="89"/>
      <c r="AH73" s="89"/>
      <c r="AI73" s="574"/>
      <c r="AJ73" s="570"/>
      <c r="AK73" s="89"/>
      <c r="AL73" s="72"/>
    </row>
    <row r="74" spans="2:38" s="80" customFormat="1" ht="19.5" customHeight="1" x14ac:dyDescent="0.25">
      <c r="B74" s="89"/>
      <c r="C74" s="534"/>
      <c r="D74" s="505">
        <v>50</v>
      </c>
      <c r="E74" s="507">
        <f>E62</f>
        <v>2078.1242857142856</v>
      </c>
      <c r="F74" s="521">
        <f>E74*D74</f>
        <v>103906.21428571428</v>
      </c>
      <c r="G74" s="514">
        <f>G62</f>
        <v>5195.3107142857143</v>
      </c>
      <c r="H74" s="39">
        <f>(G74*D74)+$S$6</f>
        <v>261765.53571428571</v>
      </c>
      <c r="I74" s="508">
        <v>0.31</v>
      </c>
      <c r="J74" s="79">
        <v>0.14499999999999999</v>
      </c>
      <c r="K74" s="510">
        <f>N74*J74</f>
        <v>49722.363508928567</v>
      </c>
      <c r="L74" s="499">
        <v>10000</v>
      </c>
      <c r="M74" s="512">
        <f>IF(N74&lt;=$M$3,$E$1,IF(N74&lt;=$M$4,$G$1,IF(N74&lt;=$N$1,$I$1,0)))</f>
        <v>0</v>
      </c>
      <c r="N74" s="517">
        <f>H74+(H74*I74)</f>
        <v>342912.85178571427</v>
      </c>
      <c r="O74" s="503">
        <f>N74 - K74 - P75  - M74-L74</f>
        <v>262615.71716964286</v>
      </c>
      <c r="Q74" s="561">
        <f>N74/D74</f>
        <v>6858.2570357142858</v>
      </c>
      <c r="R74" s="501">
        <f>G74*D74</f>
        <v>259765.53571428571</v>
      </c>
      <c r="S74" s="572"/>
      <c r="T74" s="567"/>
      <c r="U74" s="89"/>
      <c r="V74" s="70"/>
      <c r="W74" s="89"/>
      <c r="X74" s="89"/>
      <c r="Y74" s="89"/>
      <c r="Z74" s="89"/>
      <c r="AA74" s="89"/>
      <c r="AB74" s="89"/>
      <c r="AC74" s="89"/>
      <c r="AD74" s="45"/>
      <c r="AE74" s="89"/>
      <c r="AF74" s="89"/>
      <c r="AG74" s="89"/>
      <c r="AH74" s="89"/>
      <c r="AI74" s="574"/>
      <c r="AJ74" s="570"/>
      <c r="AK74" s="89"/>
      <c r="AL74" s="72"/>
    </row>
    <row r="75" spans="2:38" s="80" customFormat="1" ht="18.75" customHeight="1" x14ac:dyDescent="0.25">
      <c r="B75" s="564"/>
      <c r="C75" s="535"/>
      <c r="D75" s="506"/>
      <c r="E75" s="507"/>
      <c r="F75" s="522"/>
      <c r="G75" s="515"/>
      <c r="H75" s="40">
        <f>O74-F74-$S$6</f>
        <v>156709.5028839286</v>
      </c>
      <c r="I75" s="509"/>
      <c r="J75" s="79">
        <v>0.06</v>
      </c>
      <c r="K75" s="511"/>
      <c r="L75" s="500"/>
      <c r="M75" s="513"/>
      <c r="N75" s="518"/>
      <c r="O75" s="504"/>
      <c r="P75" s="91">
        <f>N74*J75</f>
        <v>20574.771107142857</v>
      </c>
      <c r="Q75" s="562"/>
      <c r="R75" s="502"/>
      <c r="S75" s="572"/>
      <c r="T75" s="567"/>
      <c r="U75" s="568"/>
      <c r="V75" s="70"/>
      <c r="W75" s="82"/>
      <c r="X75" s="88"/>
      <c r="Y75" s="83"/>
      <c r="Z75" s="84"/>
      <c r="AA75" s="84"/>
      <c r="AB75" s="85"/>
      <c r="AC75" s="85"/>
      <c r="AD75" s="86"/>
      <c r="AE75" s="87"/>
      <c r="AF75" s="88"/>
      <c r="AG75" s="89"/>
      <c r="AH75" s="90"/>
      <c r="AI75" s="569"/>
      <c r="AJ75" s="570"/>
      <c r="AK75" s="89"/>
      <c r="AL75" s="72"/>
    </row>
    <row r="76" spans="2:38" s="80" customFormat="1" ht="18.75" customHeight="1" x14ac:dyDescent="0.25">
      <c r="C76" s="94"/>
      <c r="D76" s="126"/>
      <c r="E76" s="46"/>
      <c r="F76" s="46"/>
      <c r="G76" s="41">
        <v>0</v>
      </c>
      <c r="H76" s="41"/>
      <c r="I76" s="128"/>
      <c r="J76" s="128"/>
      <c r="K76" s="46"/>
      <c r="L76" s="46"/>
      <c r="M76" s="46"/>
      <c r="N76" s="129"/>
      <c r="O76" s="127"/>
      <c r="P76" s="98"/>
      <c r="Q76" s="565"/>
      <c r="R76" s="130"/>
      <c r="S76" s="572"/>
      <c r="T76" s="89"/>
      <c r="U76" s="89"/>
      <c r="V76" s="70"/>
      <c r="W76" s="82"/>
      <c r="X76" s="88"/>
      <c r="Y76" s="93"/>
      <c r="Z76" s="84"/>
      <c r="AA76" s="84"/>
      <c r="AB76" s="85"/>
      <c r="AC76" s="85"/>
      <c r="AD76" s="86"/>
      <c r="AE76" s="87"/>
      <c r="AF76" s="88"/>
      <c r="AG76" s="83"/>
      <c r="AH76" s="89"/>
      <c r="AI76" s="569"/>
      <c r="AJ76" s="570"/>
      <c r="AK76" s="89"/>
      <c r="AL76" s="72"/>
    </row>
    <row r="77" spans="2:38" s="80" customFormat="1" ht="18.75" customHeight="1" x14ac:dyDescent="0.25">
      <c r="C77" s="123"/>
      <c r="D77" s="447"/>
      <c r="E77" s="46"/>
      <c r="F77" s="146"/>
      <c r="G77" s="497" t="s">
        <v>499</v>
      </c>
      <c r="H77" s="498"/>
      <c r="I77" s="498"/>
      <c r="J77" s="498"/>
      <c r="K77" s="498"/>
      <c r="L77" s="498"/>
      <c r="M77" s="498"/>
      <c r="N77" s="448"/>
      <c r="O77" s="449"/>
      <c r="P77" s="98"/>
      <c r="Q77" s="565"/>
      <c r="R77" s="138"/>
      <c r="S77" s="572"/>
      <c r="T77" s="89"/>
      <c r="U77" s="89"/>
      <c r="V77" s="70"/>
      <c r="W77" s="82"/>
      <c r="X77" s="88"/>
      <c r="Y77" s="93"/>
      <c r="Z77" s="84"/>
      <c r="AA77" s="84"/>
      <c r="AB77" s="85"/>
      <c r="AC77" s="85"/>
      <c r="AD77" s="86"/>
      <c r="AE77" s="87"/>
      <c r="AF77" s="88"/>
      <c r="AG77" s="83"/>
      <c r="AH77" s="89"/>
      <c r="AI77" s="569"/>
      <c r="AJ77" s="570"/>
      <c r="AK77" s="89"/>
      <c r="AL77" s="72"/>
    </row>
    <row r="78" spans="2:38" s="80" customFormat="1" ht="19.5" customHeight="1" x14ac:dyDescent="0.25">
      <c r="C78" s="534"/>
      <c r="D78" s="505">
        <v>1</v>
      </c>
      <c r="E78" s="507">
        <f>'Coloniales S.C'!K197</f>
        <v>2116.0714285714284</v>
      </c>
      <c r="F78" s="521">
        <f>E78*D78</f>
        <v>2116.0714285714284</v>
      </c>
      <c r="G78" s="514">
        <f>'Coloniales S.C'!M197</f>
        <v>6348.2142857142853</v>
      </c>
      <c r="H78" s="39">
        <f>(G78*D78)+$S$6</f>
        <v>8348.2142857142862</v>
      </c>
      <c r="I78" s="508">
        <v>0.4</v>
      </c>
      <c r="J78" s="79">
        <v>0.14499999999999999</v>
      </c>
      <c r="K78" s="510">
        <f>N78*J78</f>
        <v>1694.6874999999998</v>
      </c>
      <c r="L78" s="499"/>
      <c r="M78" s="512">
        <f>IF(N78&lt;=$M$3,$E$1,IF(N78&lt;=$M$4,$G$1,IF(N78&lt;=$N$1,$I$1,0)))</f>
        <v>1100</v>
      </c>
      <c r="N78" s="517">
        <f>H78+(H78*I78)</f>
        <v>11687.5</v>
      </c>
      <c r="O78" s="503">
        <f>N78 - K78 - P79  - M78-L78</f>
        <v>8191.5625</v>
      </c>
      <c r="Q78" s="565"/>
      <c r="R78" s="501">
        <f>G78*D78</f>
        <v>6348.2142857142853</v>
      </c>
      <c r="S78" s="572"/>
      <c r="T78" s="89"/>
      <c r="U78" s="89"/>
      <c r="V78" s="70"/>
      <c r="W78" s="89"/>
      <c r="X78" s="89"/>
      <c r="Y78" s="89"/>
      <c r="Z78" s="89"/>
      <c r="AA78" s="89"/>
      <c r="AB78" s="89"/>
      <c r="AC78" s="89"/>
      <c r="AD78" s="45"/>
      <c r="AE78" s="89"/>
      <c r="AF78" s="89"/>
      <c r="AG78" s="89"/>
      <c r="AH78" s="89"/>
      <c r="AI78" s="574"/>
      <c r="AJ78" s="570"/>
      <c r="AK78" s="89"/>
      <c r="AL78" s="72"/>
    </row>
    <row r="79" spans="2:38" s="80" customFormat="1" ht="20.25" customHeight="1" x14ac:dyDescent="0.25">
      <c r="B79" s="564"/>
      <c r="C79" s="535"/>
      <c r="D79" s="506"/>
      <c r="E79" s="507"/>
      <c r="F79" s="522"/>
      <c r="G79" s="515"/>
      <c r="H79" s="40">
        <f>O78-F78</f>
        <v>6075.4910714285716</v>
      </c>
      <c r="I79" s="509"/>
      <c r="J79" s="79">
        <v>0.06</v>
      </c>
      <c r="K79" s="511"/>
      <c r="L79" s="500"/>
      <c r="M79" s="513"/>
      <c r="N79" s="518"/>
      <c r="O79" s="504"/>
      <c r="P79" s="91">
        <f>N78*J79</f>
        <v>701.25</v>
      </c>
      <c r="Q79" s="565"/>
      <c r="R79" s="502"/>
      <c r="S79" s="572"/>
      <c r="T79" s="89"/>
      <c r="U79" s="568"/>
      <c r="V79" s="70"/>
      <c r="W79" s="82"/>
      <c r="X79" s="88"/>
      <c r="Y79" s="83"/>
      <c r="Z79" s="84"/>
      <c r="AA79" s="84"/>
      <c r="AB79" s="85"/>
      <c r="AC79" s="85"/>
      <c r="AD79" s="86"/>
      <c r="AE79" s="87"/>
      <c r="AF79" s="88"/>
      <c r="AG79" s="89"/>
      <c r="AH79" s="90"/>
      <c r="AI79" s="569"/>
      <c r="AJ79" s="570"/>
      <c r="AK79" s="89"/>
      <c r="AL79" s="72"/>
    </row>
    <row r="80" spans="2:38" s="80" customFormat="1" ht="18.75" customHeight="1" x14ac:dyDescent="0.25">
      <c r="C80" s="94"/>
      <c r="D80" s="126"/>
      <c r="E80" s="46"/>
      <c r="F80" s="46"/>
      <c r="G80" s="41"/>
      <c r="H80" s="41"/>
      <c r="I80" s="128"/>
      <c r="J80" s="128"/>
      <c r="K80" s="46"/>
      <c r="L80" s="46"/>
      <c r="M80" s="46"/>
      <c r="N80" s="129"/>
      <c r="O80" s="127"/>
      <c r="P80" s="98"/>
      <c r="Q80" s="565"/>
      <c r="R80" s="49"/>
      <c r="S80" s="572"/>
      <c r="T80" s="89"/>
      <c r="U80" s="89"/>
      <c r="V80" s="70"/>
      <c r="W80" s="82"/>
      <c r="X80" s="88"/>
      <c r="Y80" s="93"/>
      <c r="Z80" s="84"/>
      <c r="AA80" s="84"/>
      <c r="AB80" s="85"/>
      <c r="AC80" s="85"/>
      <c r="AD80" s="86"/>
      <c r="AE80" s="87"/>
      <c r="AF80" s="88"/>
      <c r="AG80" s="83"/>
      <c r="AH80" s="89"/>
      <c r="AI80" s="569"/>
      <c r="AJ80" s="570"/>
      <c r="AK80" s="89"/>
      <c r="AL80" s="72"/>
    </row>
    <row r="81" spans="2:38" s="80" customFormat="1" ht="19.5" customHeight="1" x14ac:dyDescent="0.25">
      <c r="C81" s="534"/>
      <c r="D81" s="505">
        <v>10</v>
      </c>
      <c r="E81" s="507">
        <f>$E$78</f>
        <v>2116.0714285714284</v>
      </c>
      <c r="F81" s="521">
        <f>E81*D81</f>
        <v>21160.714285714283</v>
      </c>
      <c r="G81" s="514">
        <f>$G$78</f>
        <v>6348.2142857142853</v>
      </c>
      <c r="H81" s="39">
        <f>(G81*D81)+$S$6</f>
        <v>65482.142857142855</v>
      </c>
      <c r="I81" s="508">
        <v>0.4</v>
      </c>
      <c r="J81" s="79">
        <v>0.14499999999999999</v>
      </c>
      <c r="K81" s="510">
        <f>N81*J81</f>
        <v>13292.874999999998</v>
      </c>
      <c r="L81" s="499">
        <v>7000</v>
      </c>
      <c r="M81" s="512">
        <f>IF(N81&lt;=$M$3,$E$1,IF(N81&lt;=$M$4,$G$1,IF(N81&lt;=$N$1,$I$1,0)))</f>
        <v>0</v>
      </c>
      <c r="N81" s="517">
        <f>H81+(H81*I81)</f>
        <v>91675</v>
      </c>
      <c r="O81" s="503">
        <f>N81 - K81 - P82  - M81-L81</f>
        <v>65881.625</v>
      </c>
      <c r="Q81" s="565"/>
      <c r="R81" s="501">
        <f>G81*D81</f>
        <v>63482.142857142855</v>
      </c>
      <c r="S81" s="572"/>
      <c r="T81" s="89"/>
      <c r="U81" s="89"/>
      <c r="V81" s="70"/>
      <c r="W81" s="89"/>
      <c r="X81" s="89"/>
      <c r="Y81" s="89"/>
      <c r="Z81" s="89"/>
      <c r="AA81" s="89"/>
      <c r="AB81" s="89"/>
      <c r="AC81" s="89"/>
      <c r="AD81" s="45"/>
      <c r="AE81" s="89"/>
      <c r="AF81" s="89"/>
      <c r="AG81" s="89"/>
      <c r="AH81" s="89"/>
      <c r="AI81" s="569"/>
      <c r="AJ81" s="570"/>
      <c r="AK81" s="89"/>
      <c r="AL81" s="72"/>
    </row>
    <row r="82" spans="2:38" s="80" customFormat="1" ht="18.75" customHeight="1" x14ac:dyDescent="0.25">
      <c r="B82" s="564"/>
      <c r="C82" s="535"/>
      <c r="D82" s="506"/>
      <c r="E82" s="507"/>
      <c r="F82" s="522"/>
      <c r="G82" s="515"/>
      <c r="H82" s="40">
        <f>O81-F81</f>
        <v>44720.910714285717</v>
      </c>
      <c r="I82" s="509"/>
      <c r="J82" s="79">
        <v>0.06</v>
      </c>
      <c r="K82" s="511"/>
      <c r="L82" s="500"/>
      <c r="M82" s="513"/>
      <c r="N82" s="518"/>
      <c r="O82" s="504"/>
      <c r="P82" s="91">
        <f>N81*J82</f>
        <v>5500.5</v>
      </c>
      <c r="Q82" s="565"/>
      <c r="R82" s="502"/>
      <c r="S82" s="572"/>
      <c r="T82" s="89"/>
      <c r="U82" s="568"/>
      <c r="V82" s="70"/>
      <c r="W82" s="82"/>
      <c r="X82" s="88"/>
      <c r="Y82" s="83"/>
      <c r="Z82" s="84"/>
      <c r="AA82" s="84"/>
      <c r="AB82" s="85"/>
      <c r="AC82" s="85"/>
      <c r="AD82" s="86"/>
      <c r="AE82" s="87"/>
      <c r="AF82" s="88"/>
      <c r="AG82" s="89"/>
      <c r="AH82" s="90"/>
      <c r="AI82" s="569"/>
      <c r="AJ82" s="570"/>
      <c r="AK82" s="89"/>
      <c r="AL82" s="72"/>
    </row>
    <row r="83" spans="2:38" s="80" customFormat="1" x14ac:dyDescent="0.25">
      <c r="C83" s="94"/>
      <c r="D83" s="131"/>
      <c r="E83" s="46"/>
      <c r="F83" s="46"/>
      <c r="G83" s="41"/>
      <c r="H83" s="41"/>
      <c r="I83" s="128"/>
      <c r="J83" s="128"/>
      <c r="K83" s="46"/>
      <c r="L83" s="46"/>
      <c r="M83" s="46"/>
      <c r="N83" s="129"/>
      <c r="O83" s="127"/>
      <c r="P83" s="98"/>
      <c r="Q83" s="565"/>
      <c r="R83" s="130"/>
      <c r="S83" s="572"/>
      <c r="T83" s="567"/>
      <c r="U83" s="89"/>
      <c r="V83" s="70"/>
      <c r="W83" s="82"/>
      <c r="X83" s="88"/>
      <c r="Y83" s="93"/>
      <c r="Z83" s="84"/>
      <c r="AA83" s="84"/>
      <c r="AB83" s="85"/>
      <c r="AC83" s="85"/>
      <c r="AD83" s="86"/>
      <c r="AE83" s="87"/>
      <c r="AF83" s="88"/>
      <c r="AG83" s="83"/>
      <c r="AH83" s="89"/>
      <c r="AI83" s="569"/>
      <c r="AJ83" s="570"/>
      <c r="AK83" s="89"/>
      <c r="AL83" s="72"/>
    </row>
    <row r="84" spans="2:38" s="80" customFormat="1" x14ac:dyDescent="0.25">
      <c r="C84" s="534"/>
      <c r="D84" s="505">
        <v>25</v>
      </c>
      <c r="E84" s="507">
        <f>$E$78</f>
        <v>2116.0714285714284</v>
      </c>
      <c r="F84" s="521">
        <f>E84*D84</f>
        <v>52901.78571428571</v>
      </c>
      <c r="G84" s="514">
        <f>$G$78</f>
        <v>6348.2142857142853</v>
      </c>
      <c r="H84" s="39">
        <f>(G84*D84)+$S$6</f>
        <v>160705.35714285713</v>
      </c>
      <c r="I84" s="508">
        <v>0.33</v>
      </c>
      <c r="J84" s="79">
        <v>0.14499999999999999</v>
      </c>
      <c r="K84" s="510">
        <f>N84*J84</f>
        <v>30992.028124999997</v>
      </c>
      <c r="L84" s="499">
        <v>9000</v>
      </c>
      <c r="M84" s="512">
        <f>IF(N84&lt;=$M$3,$E$1,IF(N84&lt;=$M$4,$G$1,IF(N84&lt;=$N$1,$I$1,0)))</f>
        <v>0</v>
      </c>
      <c r="N84" s="517">
        <f>H84+(H84*I84)</f>
        <v>213738.125</v>
      </c>
      <c r="O84" s="503">
        <f>N84 - K84 - P85  - M84-L84</f>
        <v>160921.80937499998</v>
      </c>
      <c r="Q84" s="565"/>
      <c r="R84" s="501">
        <f>G84*D84</f>
        <v>158705.35714285713</v>
      </c>
      <c r="S84" s="572"/>
      <c r="T84" s="567"/>
      <c r="U84" s="89"/>
      <c r="V84" s="70"/>
      <c r="W84" s="89"/>
      <c r="X84" s="89"/>
      <c r="Y84" s="89"/>
      <c r="Z84" s="89"/>
      <c r="AA84" s="89"/>
      <c r="AB84" s="89"/>
      <c r="AC84" s="89"/>
      <c r="AD84" s="45"/>
      <c r="AE84" s="89"/>
      <c r="AF84" s="89"/>
      <c r="AG84" s="89"/>
      <c r="AH84" s="89"/>
      <c r="AI84" s="569"/>
      <c r="AJ84" s="570"/>
      <c r="AK84" s="89"/>
      <c r="AL84" s="72"/>
    </row>
    <row r="85" spans="2:38" s="80" customFormat="1" x14ac:dyDescent="0.25">
      <c r="B85" s="564"/>
      <c r="C85" s="535"/>
      <c r="D85" s="506"/>
      <c r="E85" s="507"/>
      <c r="F85" s="522"/>
      <c r="G85" s="515"/>
      <c r="H85" s="40">
        <f>O84-F84</f>
        <v>108020.02366071427</v>
      </c>
      <c r="I85" s="509"/>
      <c r="J85" s="79">
        <v>0.06</v>
      </c>
      <c r="K85" s="511"/>
      <c r="L85" s="500"/>
      <c r="M85" s="513"/>
      <c r="N85" s="518"/>
      <c r="O85" s="504"/>
      <c r="P85" s="91">
        <f>N84*J85</f>
        <v>12824.2875</v>
      </c>
      <c r="Q85" s="565"/>
      <c r="R85" s="502"/>
      <c r="S85" s="572"/>
      <c r="T85" s="567"/>
      <c r="U85" s="568"/>
      <c r="V85" s="70"/>
      <c r="W85" s="82"/>
      <c r="X85" s="88"/>
      <c r="Y85" s="83"/>
      <c r="Z85" s="84"/>
      <c r="AA85" s="84"/>
      <c r="AB85" s="85"/>
      <c r="AC85" s="85"/>
      <c r="AD85" s="86"/>
      <c r="AE85" s="87"/>
      <c r="AF85" s="88"/>
      <c r="AG85" s="89"/>
      <c r="AH85" s="90"/>
      <c r="AI85" s="569"/>
      <c r="AJ85" s="570"/>
      <c r="AK85" s="89"/>
      <c r="AL85" s="72"/>
    </row>
    <row r="86" spans="2:38" s="80" customFormat="1" x14ac:dyDescent="0.25">
      <c r="C86" s="94"/>
      <c r="D86" s="132"/>
      <c r="E86" s="46"/>
      <c r="F86" s="42"/>
      <c r="G86" s="41"/>
      <c r="H86" s="41"/>
      <c r="I86" s="78"/>
      <c r="J86" s="99"/>
      <c r="K86" s="42"/>
      <c r="L86" s="42"/>
      <c r="M86" s="42"/>
      <c r="N86" s="95"/>
      <c r="O86" s="127"/>
      <c r="P86" s="98"/>
      <c r="Q86" s="565"/>
      <c r="R86" s="49"/>
      <c r="S86" s="572"/>
      <c r="T86" s="567"/>
      <c r="U86" s="89"/>
      <c r="V86" s="70"/>
      <c r="W86" s="82"/>
      <c r="X86" s="88"/>
      <c r="Y86" s="93"/>
      <c r="Z86" s="84"/>
      <c r="AA86" s="84"/>
      <c r="AB86" s="85"/>
      <c r="AC86" s="85"/>
      <c r="AD86" s="86"/>
      <c r="AE86" s="87"/>
      <c r="AF86" s="88"/>
      <c r="AG86" s="83"/>
      <c r="AH86" s="89"/>
      <c r="AI86" s="569"/>
      <c r="AJ86" s="570"/>
      <c r="AK86" s="89"/>
      <c r="AL86" s="72"/>
    </row>
    <row r="87" spans="2:38" s="80" customFormat="1" x14ac:dyDescent="0.25">
      <c r="C87" s="534"/>
      <c r="D87" s="505">
        <v>50</v>
      </c>
      <c r="E87" s="507">
        <f>$E$78</f>
        <v>2116.0714285714284</v>
      </c>
      <c r="F87" s="521">
        <f>E87*D87</f>
        <v>105803.57142857142</v>
      </c>
      <c r="G87" s="514">
        <f>$G$78</f>
        <v>6348.2142857142853</v>
      </c>
      <c r="H87" s="39">
        <f>(G87*D87)+$S$6</f>
        <v>319410.71428571426</v>
      </c>
      <c r="I87" s="508">
        <v>0.3</v>
      </c>
      <c r="J87" s="79">
        <v>0.14499999999999999</v>
      </c>
      <c r="K87" s="510">
        <f>N87*J87</f>
        <v>60208.91964285713</v>
      </c>
      <c r="L87" s="499">
        <v>9000</v>
      </c>
      <c r="M87" s="512">
        <f>IF(N87&lt;=$M$3,$E$1,IF(N87&lt;=$M$4,$G$1,IF(N87&lt;=$N$1,$I$1,0)))</f>
        <v>0</v>
      </c>
      <c r="N87" s="517">
        <f>H87+(H87*I87)</f>
        <v>415233.92857142852</v>
      </c>
      <c r="O87" s="503">
        <f>N87 - K87 - P88  - M87-L87</f>
        <v>321110.97321428568</v>
      </c>
      <c r="Q87" s="565"/>
      <c r="R87" s="501">
        <f>G87*D87</f>
        <v>317410.71428571426</v>
      </c>
      <c r="S87" s="572"/>
      <c r="T87" s="567"/>
      <c r="U87" s="89"/>
      <c r="V87" s="60"/>
      <c r="W87" s="89"/>
      <c r="X87" s="89"/>
      <c r="Y87" s="89"/>
      <c r="Z87" s="89"/>
      <c r="AA87" s="89"/>
      <c r="AB87" s="89"/>
      <c r="AC87" s="89"/>
      <c r="AD87" s="45"/>
      <c r="AE87" s="89"/>
      <c r="AF87" s="89"/>
      <c r="AG87" s="89"/>
      <c r="AH87" s="89"/>
      <c r="AI87" s="569"/>
      <c r="AJ87" s="570"/>
      <c r="AK87" s="89"/>
      <c r="AL87" s="72"/>
    </row>
    <row r="88" spans="2:38" s="80" customFormat="1" ht="18.75" customHeight="1" x14ac:dyDescent="0.25">
      <c r="B88" s="564"/>
      <c r="C88" s="535"/>
      <c r="D88" s="506"/>
      <c r="E88" s="507"/>
      <c r="F88" s="522"/>
      <c r="G88" s="515"/>
      <c r="H88" s="40">
        <f>O87-F87</f>
        <v>215307.40178571426</v>
      </c>
      <c r="I88" s="509"/>
      <c r="J88" s="79">
        <v>0.06</v>
      </c>
      <c r="K88" s="511"/>
      <c r="L88" s="500"/>
      <c r="M88" s="513"/>
      <c r="N88" s="518"/>
      <c r="O88" s="504"/>
      <c r="P88" s="91">
        <f>N87*J88</f>
        <v>24914.03571428571</v>
      </c>
      <c r="Q88" s="565"/>
      <c r="R88" s="502"/>
      <c r="S88" s="572"/>
      <c r="T88" s="567"/>
      <c r="U88" s="568"/>
      <c r="V88" s="70"/>
      <c r="W88" s="82"/>
      <c r="X88" s="88"/>
      <c r="Y88" s="83"/>
      <c r="Z88" s="84"/>
      <c r="AA88" s="84"/>
      <c r="AB88" s="85"/>
      <c r="AC88" s="85"/>
      <c r="AD88" s="86"/>
      <c r="AE88" s="87"/>
      <c r="AF88" s="88"/>
      <c r="AG88" s="89"/>
      <c r="AH88" s="90"/>
      <c r="AI88" s="569"/>
      <c r="AJ88" s="570"/>
      <c r="AK88" s="89"/>
      <c r="AL88" s="72"/>
    </row>
    <row r="89" spans="2:38" s="80" customFormat="1" x14ac:dyDescent="0.25">
      <c r="C89" s="53"/>
      <c r="D89" s="132"/>
      <c r="E89" s="46"/>
      <c r="F89" s="42"/>
      <c r="G89" s="41"/>
      <c r="H89" s="41"/>
      <c r="I89" s="78"/>
      <c r="J89" s="99"/>
      <c r="K89" s="42"/>
      <c r="L89" s="42"/>
      <c r="M89" s="42"/>
      <c r="N89" s="115"/>
      <c r="O89" s="127"/>
      <c r="P89" s="98"/>
      <c r="Q89" s="565"/>
      <c r="R89" s="130"/>
      <c r="S89" s="572"/>
      <c r="T89" s="567"/>
      <c r="U89" s="89"/>
      <c r="V89" s="60"/>
      <c r="W89" s="82"/>
      <c r="X89" s="88"/>
      <c r="Y89" s="93"/>
      <c r="Z89" s="84"/>
      <c r="AA89" s="84"/>
      <c r="AB89" s="85"/>
      <c r="AC89" s="85"/>
      <c r="AD89" s="86"/>
      <c r="AE89" s="87"/>
      <c r="AF89" s="88"/>
      <c r="AG89" s="83"/>
      <c r="AH89" s="89"/>
      <c r="AI89" s="569"/>
      <c r="AJ89" s="570"/>
      <c r="AK89" s="89"/>
      <c r="AL89" s="72"/>
    </row>
    <row r="90" spans="2:38" s="80" customFormat="1" ht="15.75" x14ac:dyDescent="0.25">
      <c r="C90" s="133"/>
      <c r="D90" s="136"/>
      <c r="E90" s="46"/>
      <c r="F90" s="37"/>
      <c r="G90" s="497" t="s">
        <v>500</v>
      </c>
      <c r="H90" s="498"/>
      <c r="I90" s="498"/>
      <c r="J90" s="498"/>
      <c r="K90" s="498"/>
      <c r="L90" s="498"/>
      <c r="M90" s="498"/>
      <c r="N90" s="117"/>
      <c r="O90" s="449"/>
      <c r="P90" s="98"/>
      <c r="Q90" s="565"/>
      <c r="R90" s="138"/>
      <c r="S90" s="572"/>
      <c r="T90" s="567"/>
      <c r="U90" s="89"/>
      <c r="V90" s="60"/>
      <c r="W90" s="82"/>
      <c r="X90" s="88"/>
      <c r="Y90" s="93"/>
      <c r="Z90" s="84"/>
      <c r="AA90" s="84"/>
      <c r="AB90" s="85"/>
      <c r="AC90" s="85"/>
      <c r="AD90" s="86"/>
      <c r="AE90" s="87"/>
      <c r="AF90" s="88"/>
      <c r="AG90" s="83"/>
      <c r="AH90" s="89"/>
      <c r="AI90" s="569"/>
      <c r="AJ90" s="570"/>
      <c r="AK90" s="89"/>
      <c r="AL90" s="72"/>
    </row>
    <row r="91" spans="2:38" s="80" customFormat="1" ht="18.75" customHeight="1" x14ac:dyDescent="0.25">
      <c r="C91" s="534" t="s">
        <v>501</v>
      </c>
      <c r="D91" s="505">
        <v>1</v>
      </c>
      <c r="E91" s="507">
        <f>'Coloniales S.C'!K120</f>
        <v>1957.930402930403</v>
      </c>
      <c r="F91" s="521">
        <f>E91*D91</f>
        <v>1957.930402930403</v>
      </c>
      <c r="G91" s="514">
        <f>'Coloniales S.C'!M120</f>
        <v>4503.2399267399269</v>
      </c>
      <c r="H91" s="39">
        <f>(G91*D91)+$S$6</f>
        <v>6503.2399267399269</v>
      </c>
      <c r="I91" s="508">
        <v>0.5</v>
      </c>
      <c r="J91" s="79">
        <v>0.14499999999999999</v>
      </c>
      <c r="K91" s="510">
        <f>N91*J91</f>
        <v>1414.4546840659341</v>
      </c>
      <c r="L91" s="499"/>
      <c r="M91" s="512">
        <f>IF(N91&lt;=$M$3,$E$1,IF(N91&lt;=$M$4,$G$1,IF(N91&lt;=$N$1,$I$1,0)))</f>
        <v>1100</v>
      </c>
      <c r="N91" s="517">
        <f>H91+(H91*I91)</f>
        <v>9754.8598901098903</v>
      </c>
      <c r="O91" s="503">
        <f>N91 - K91 - P92  - M91-L91</f>
        <v>6655.113612637364</v>
      </c>
      <c r="Q91" s="565"/>
      <c r="R91" s="501">
        <f>G91*D91</f>
        <v>4503.2399267399269</v>
      </c>
      <c r="S91" s="572"/>
      <c r="T91" s="567"/>
      <c r="U91" s="89"/>
      <c r="V91" s="60"/>
      <c r="W91" s="101"/>
      <c r="X91" s="83"/>
      <c r="Y91" s="93"/>
      <c r="Z91" s="102"/>
      <c r="AA91" s="103"/>
      <c r="AB91" s="104"/>
      <c r="AC91" s="104"/>
      <c r="AD91" s="105"/>
      <c r="AE91" s="106"/>
      <c r="AF91" s="83"/>
      <c r="AG91" s="83"/>
      <c r="AH91" s="60"/>
      <c r="AI91" s="569"/>
      <c r="AJ91" s="570"/>
      <c r="AK91" s="89"/>
      <c r="AL91" s="72"/>
    </row>
    <row r="92" spans="2:38" s="80" customFormat="1" ht="18.75" customHeight="1" x14ac:dyDescent="0.25">
      <c r="B92" s="564"/>
      <c r="C92" s="535"/>
      <c r="D92" s="506"/>
      <c r="E92" s="507"/>
      <c r="F92" s="522"/>
      <c r="G92" s="515"/>
      <c r="H92" s="40">
        <f>O91-F91</f>
        <v>4697.183209706961</v>
      </c>
      <c r="I92" s="509"/>
      <c r="J92" s="79">
        <v>0.06</v>
      </c>
      <c r="K92" s="511"/>
      <c r="L92" s="500"/>
      <c r="M92" s="513"/>
      <c r="N92" s="518"/>
      <c r="O92" s="504"/>
      <c r="P92" s="91">
        <f>N91*J92</f>
        <v>585.29159340659339</v>
      </c>
      <c r="Q92" s="565"/>
      <c r="R92" s="502"/>
      <c r="S92" s="572"/>
      <c r="T92" s="567"/>
      <c r="U92" s="568"/>
      <c r="V92" s="70"/>
      <c r="W92" s="82"/>
      <c r="X92" s="88"/>
      <c r="Y92" s="83"/>
      <c r="Z92" s="84"/>
      <c r="AA92" s="84"/>
      <c r="AB92" s="85"/>
      <c r="AC92" s="85"/>
      <c r="AD92" s="86"/>
      <c r="AE92" s="87"/>
      <c r="AF92" s="88"/>
      <c r="AG92" s="89"/>
      <c r="AH92" s="90"/>
      <c r="AI92" s="569"/>
      <c r="AJ92" s="570"/>
      <c r="AK92" s="89"/>
      <c r="AL92" s="72"/>
    </row>
    <row r="93" spans="2:38" s="80" customFormat="1" x14ac:dyDescent="0.25">
      <c r="C93" s="133"/>
      <c r="D93" s="132"/>
      <c r="E93" s="46"/>
      <c r="F93" s="49"/>
      <c r="G93" s="49"/>
      <c r="H93" s="49"/>
      <c r="K93" s="49"/>
      <c r="L93" s="49"/>
      <c r="M93" s="49"/>
      <c r="O93" s="127"/>
      <c r="P93" s="98"/>
      <c r="Q93" s="565"/>
      <c r="R93" s="49"/>
      <c r="S93" s="572"/>
      <c r="T93" s="567"/>
      <c r="U93" s="89"/>
      <c r="V93" s="60"/>
      <c r="W93" s="82"/>
      <c r="X93" s="88"/>
      <c r="Y93" s="93"/>
      <c r="Z93" s="84"/>
      <c r="AA93" s="84"/>
      <c r="AB93" s="85"/>
      <c r="AC93" s="85"/>
      <c r="AD93" s="86"/>
      <c r="AE93" s="87"/>
      <c r="AF93" s="88"/>
      <c r="AG93" s="83"/>
      <c r="AH93" s="89"/>
      <c r="AI93" s="569"/>
      <c r="AJ93" s="570"/>
      <c r="AK93" s="89"/>
      <c r="AL93" s="72"/>
    </row>
    <row r="94" spans="2:38" s="80" customFormat="1" ht="18.75" customHeight="1" x14ac:dyDescent="0.25">
      <c r="B94" s="572"/>
      <c r="C94" s="534"/>
      <c r="D94" s="505">
        <v>10</v>
      </c>
      <c r="E94" s="507">
        <f>$E$91</f>
        <v>1957.930402930403</v>
      </c>
      <c r="F94" s="521">
        <f>E94*D94</f>
        <v>19579.304029304032</v>
      </c>
      <c r="G94" s="514">
        <f>$G$91</f>
        <v>4503.2399267399269</v>
      </c>
      <c r="H94" s="39">
        <f>(G94*D94)+$S$6</f>
        <v>47032.399267399269</v>
      </c>
      <c r="I94" s="508">
        <v>0.48</v>
      </c>
      <c r="J94" s="79">
        <v>0.14499999999999999</v>
      </c>
      <c r="K94" s="510">
        <f>N94*J94</f>
        <v>10093.152882783883</v>
      </c>
      <c r="L94" s="499">
        <v>7000</v>
      </c>
      <c r="M94" s="512">
        <f>IF(N94&lt;=$M$3,$E$1,IF(N94&lt;=$M$4,$G$1,IF(N94&lt;=$N$1,$I$1,0)))</f>
        <v>0</v>
      </c>
      <c r="N94" s="517">
        <f>H94+(H94*I94)</f>
        <v>69607.950915750916</v>
      </c>
      <c r="O94" s="503">
        <f>N94 - K94 - P95  - M94-L94</f>
        <v>48338.320978021977</v>
      </c>
      <c r="Q94" s="565"/>
      <c r="R94" s="501">
        <f>G94*D94</f>
        <v>45032.399267399269</v>
      </c>
      <c r="S94" s="572"/>
      <c r="T94" s="567"/>
      <c r="U94" s="89"/>
      <c r="V94" s="60"/>
      <c r="W94" s="101"/>
      <c r="X94" s="83"/>
      <c r="Y94" s="93"/>
      <c r="Z94" s="102"/>
      <c r="AA94" s="103"/>
      <c r="AB94" s="104"/>
      <c r="AC94" s="104"/>
      <c r="AD94" s="105"/>
      <c r="AE94" s="106"/>
      <c r="AF94" s="83"/>
      <c r="AG94" s="83"/>
      <c r="AH94" s="60"/>
      <c r="AI94" s="569"/>
      <c r="AJ94" s="570"/>
      <c r="AK94" s="89"/>
      <c r="AL94" s="72"/>
    </row>
    <row r="95" spans="2:38" s="80" customFormat="1" ht="18.75" customHeight="1" x14ac:dyDescent="0.25">
      <c r="B95" s="572"/>
      <c r="C95" s="535"/>
      <c r="D95" s="506"/>
      <c r="E95" s="507"/>
      <c r="F95" s="522"/>
      <c r="G95" s="515"/>
      <c r="H95" s="40">
        <f>O94-F94</f>
        <v>28759.016948717945</v>
      </c>
      <c r="I95" s="509"/>
      <c r="J95" s="79">
        <v>0.06</v>
      </c>
      <c r="K95" s="511"/>
      <c r="L95" s="500"/>
      <c r="M95" s="513"/>
      <c r="N95" s="518"/>
      <c r="O95" s="504"/>
      <c r="P95" s="91">
        <f>N94*J95</f>
        <v>4176.477054945055</v>
      </c>
      <c r="Q95" s="565"/>
      <c r="R95" s="502"/>
      <c r="S95" s="572"/>
      <c r="T95" s="567"/>
      <c r="U95" s="89"/>
      <c r="V95" s="60"/>
      <c r="W95" s="101"/>
      <c r="X95" s="83"/>
      <c r="Y95" s="93"/>
      <c r="Z95" s="102"/>
      <c r="AA95" s="103"/>
      <c r="AB95" s="104"/>
      <c r="AC95" s="104"/>
      <c r="AD95" s="105"/>
      <c r="AE95" s="106"/>
      <c r="AF95" s="83"/>
      <c r="AG95" s="83"/>
      <c r="AH95" s="60"/>
      <c r="AI95" s="569"/>
      <c r="AJ95" s="570"/>
      <c r="AK95" s="89"/>
      <c r="AL95" s="72"/>
    </row>
    <row r="96" spans="2:38" s="80" customFormat="1" x14ac:dyDescent="0.25">
      <c r="B96" s="572"/>
      <c r="C96" s="60"/>
      <c r="D96" s="134"/>
      <c r="E96" s="46"/>
      <c r="F96" s="49"/>
      <c r="G96" s="49"/>
      <c r="H96" s="49"/>
      <c r="K96" s="49"/>
      <c r="L96" s="49"/>
      <c r="M96" s="49"/>
      <c r="O96" s="127"/>
      <c r="P96" s="98"/>
      <c r="Q96" s="565"/>
      <c r="R96" s="130"/>
      <c r="S96" s="572"/>
      <c r="T96" s="567"/>
      <c r="U96" s="89"/>
      <c r="V96" s="60"/>
      <c r="W96" s="101"/>
      <c r="X96" s="83"/>
      <c r="Y96" s="93"/>
      <c r="Z96" s="102"/>
      <c r="AA96" s="103"/>
      <c r="AB96" s="104"/>
      <c r="AC96" s="104"/>
      <c r="AD96" s="105"/>
      <c r="AE96" s="106"/>
      <c r="AF96" s="83"/>
      <c r="AG96" s="83"/>
      <c r="AH96" s="60"/>
      <c r="AI96" s="569"/>
      <c r="AJ96" s="570"/>
      <c r="AK96" s="89"/>
      <c r="AL96" s="72"/>
    </row>
    <row r="97" spans="2:38" s="80" customFormat="1" ht="21" customHeight="1" x14ac:dyDescent="0.25">
      <c r="C97" s="534"/>
      <c r="D97" s="505">
        <v>25</v>
      </c>
      <c r="E97" s="507">
        <f>$E$91</f>
        <v>1957.930402930403</v>
      </c>
      <c r="F97" s="521">
        <f>E97*D97</f>
        <v>48948.260073260077</v>
      </c>
      <c r="G97" s="514">
        <f>$G$91</f>
        <v>4503.2399267399269</v>
      </c>
      <c r="H97" s="39">
        <f>(G97*D97)+$S$6</f>
        <v>114580.99816849818</v>
      </c>
      <c r="I97" s="508">
        <v>0.35</v>
      </c>
      <c r="J97" s="79">
        <v>0.14499999999999999</v>
      </c>
      <c r="K97" s="510">
        <f>N97*J97</f>
        <v>22429.230391483517</v>
      </c>
      <c r="L97" s="499">
        <v>7000</v>
      </c>
      <c r="M97" s="512">
        <f>IF(N97&lt;=$M$3,$E$1,IF(N97&lt;=$M$4,$G$1,IF(N97&lt;=$N$1,$I$1,0)))</f>
        <v>0</v>
      </c>
      <c r="N97" s="517">
        <f>H97+(H97*I97)</f>
        <v>154684.34752747254</v>
      </c>
      <c r="O97" s="503">
        <f>N97 - K97 - P98  - M97-L97</f>
        <v>115974.05628434067</v>
      </c>
      <c r="Q97" s="565"/>
      <c r="R97" s="501">
        <f>G97*D97</f>
        <v>112580.99816849818</v>
      </c>
      <c r="S97" s="572"/>
      <c r="T97" s="567"/>
      <c r="U97" s="89"/>
      <c r="V97" s="70"/>
      <c r="W97" s="89"/>
      <c r="X97" s="89"/>
      <c r="Y97" s="89"/>
      <c r="Z97" s="89"/>
      <c r="AA97" s="89"/>
      <c r="AB97" s="89"/>
      <c r="AC97" s="89"/>
      <c r="AD97" s="45"/>
      <c r="AE97" s="89"/>
      <c r="AF97" s="89"/>
      <c r="AG97" s="89"/>
      <c r="AH97" s="89"/>
      <c r="AI97" s="574"/>
      <c r="AJ97" s="570"/>
      <c r="AK97" s="89"/>
      <c r="AL97" s="72"/>
    </row>
    <row r="98" spans="2:38" s="80" customFormat="1" ht="18.75" customHeight="1" x14ac:dyDescent="0.25">
      <c r="B98" s="564"/>
      <c r="C98" s="535"/>
      <c r="D98" s="506"/>
      <c r="E98" s="507"/>
      <c r="F98" s="522"/>
      <c r="G98" s="515"/>
      <c r="H98" s="40">
        <f>O97-F97</f>
        <v>67025.796211080597</v>
      </c>
      <c r="I98" s="509"/>
      <c r="J98" s="79">
        <v>0.06</v>
      </c>
      <c r="K98" s="511"/>
      <c r="L98" s="500"/>
      <c r="M98" s="513"/>
      <c r="N98" s="518"/>
      <c r="O98" s="504"/>
      <c r="P98" s="91">
        <f>N97*J98</f>
        <v>9281.0608516483517</v>
      </c>
      <c r="Q98" s="565"/>
      <c r="R98" s="502"/>
      <c r="S98" s="572"/>
      <c r="T98" s="567"/>
      <c r="U98" s="568"/>
      <c r="V98" s="70"/>
      <c r="W98" s="82"/>
      <c r="X98" s="88"/>
      <c r="Y98" s="83"/>
      <c r="Z98" s="84"/>
      <c r="AA98" s="84"/>
      <c r="AB98" s="85"/>
      <c r="AC98" s="85"/>
      <c r="AD98" s="86"/>
      <c r="AE98" s="87"/>
      <c r="AF98" s="88"/>
      <c r="AG98" s="89"/>
      <c r="AH98" s="90"/>
      <c r="AI98" s="569"/>
      <c r="AJ98" s="570"/>
      <c r="AK98" s="89"/>
      <c r="AL98" s="72"/>
    </row>
    <row r="99" spans="2:38" s="80" customFormat="1" ht="18.75" customHeight="1" x14ac:dyDescent="0.25">
      <c r="C99" s="94"/>
      <c r="D99" s="126"/>
      <c r="E99" s="46"/>
      <c r="F99" s="49"/>
      <c r="G99" s="49"/>
      <c r="H99" s="49"/>
      <c r="K99" s="49"/>
      <c r="L99" s="49"/>
      <c r="M99" s="49"/>
      <c r="N99" s="575"/>
      <c r="O99" s="127"/>
      <c r="P99" s="98"/>
      <c r="Q99" s="565"/>
      <c r="R99" s="49"/>
      <c r="S99" s="572"/>
      <c r="T99" s="567"/>
      <c r="U99" s="89"/>
      <c r="V99" s="70"/>
      <c r="W99" s="82"/>
      <c r="X99" s="88"/>
      <c r="Y99" s="93"/>
      <c r="Z99" s="84"/>
      <c r="AA99" s="84"/>
      <c r="AB99" s="85"/>
      <c r="AC99" s="85"/>
      <c r="AD99" s="86"/>
      <c r="AE99" s="87"/>
      <c r="AF99" s="88"/>
      <c r="AG99" s="83"/>
      <c r="AH99" s="89"/>
      <c r="AI99" s="569"/>
      <c r="AJ99" s="570"/>
      <c r="AK99" s="89"/>
      <c r="AL99" s="72"/>
    </row>
    <row r="100" spans="2:38" s="80" customFormat="1" ht="18.75" customHeight="1" x14ac:dyDescent="0.25">
      <c r="C100" s="534"/>
      <c r="D100" s="505">
        <v>50</v>
      </c>
      <c r="E100" s="507">
        <f>$E$91</f>
        <v>1957.930402930403</v>
      </c>
      <c r="F100" s="521">
        <f>E100*D100</f>
        <v>97896.520146520154</v>
      </c>
      <c r="G100" s="514">
        <f>$G$91</f>
        <v>4503.2399267399269</v>
      </c>
      <c r="H100" s="39">
        <f>(G100*D100)+$S$11</f>
        <v>229161.99633699635</v>
      </c>
      <c r="I100" s="508">
        <v>0.32</v>
      </c>
      <c r="J100" s="79">
        <v>0.14499999999999999</v>
      </c>
      <c r="K100" s="510">
        <f>N100*J100</f>
        <v>43861.606098901102</v>
      </c>
      <c r="L100" s="499">
        <v>9000</v>
      </c>
      <c r="M100" s="512">
        <f>IF(N100&lt;=$M$3,$E$1,IF(N100&lt;=$M$4,$G$1,IF(N100&lt;=$N$1,$I$1,0)))</f>
        <v>0</v>
      </c>
      <c r="N100" s="517">
        <f>H100+(H100*I100)</f>
        <v>302493.83516483521</v>
      </c>
      <c r="O100" s="503">
        <f>N100 - K100 - P101  - M100-L100</f>
        <v>231482.59895604401</v>
      </c>
      <c r="Q100" s="565"/>
      <c r="R100" s="501">
        <f>G100*D100</f>
        <v>225161.99633699635</v>
      </c>
      <c r="S100" s="572"/>
      <c r="T100" s="567"/>
      <c r="U100" s="89"/>
      <c r="V100" s="70"/>
      <c r="W100" s="89"/>
      <c r="X100" s="89"/>
      <c r="Y100" s="89"/>
      <c r="Z100" s="89"/>
      <c r="AA100" s="89"/>
      <c r="AB100" s="89"/>
      <c r="AC100" s="89"/>
      <c r="AD100" s="45"/>
      <c r="AE100" s="89"/>
      <c r="AF100" s="89"/>
      <c r="AG100" s="89"/>
      <c r="AH100" s="89"/>
      <c r="AI100" s="569"/>
      <c r="AJ100" s="570"/>
      <c r="AK100" s="89"/>
      <c r="AL100" s="72"/>
    </row>
    <row r="101" spans="2:38" s="80" customFormat="1" ht="21" customHeight="1" x14ac:dyDescent="0.25">
      <c r="B101" s="564"/>
      <c r="C101" s="535"/>
      <c r="D101" s="506"/>
      <c r="E101" s="507"/>
      <c r="F101" s="522"/>
      <c r="G101" s="515"/>
      <c r="H101" s="40">
        <f>O100-F100</f>
        <v>133586.07880952384</v>
      </c>
      <c r="I101" s="509"/>
      <c r="J101" s="79">
        <v>0.06</v>
      </c>
      <c r="K101" s="511"/>
      <c r="L101" s="500"/>
      <c r="M101" s="513"/>
      <c r="N101" s="518"/>
      <c r="O101" s="504"/>
      <c r="P101" s="91">
        <f>N100*J101</f>
        <v>18149.630109890113</v>
      </c>
      <c r="Q101" s="565"/>
      <c r="R101" s="502"/>
      <c r="S101" s="572"/>
      <c r="T101" s="567"/>
      <c r="U101" s="568"/>
      <c r="V101" s="70"/>
      <c r="W101" s="82"/>
      <c r="X101" s="88"/>
      <c r="Y101" s="83"/>
      <c r="Z101" s="84"/>
      <c r="AA101" s="84"/>
      <c r="AB101" s="85"/>
      <c r="AC101" s="85"/>
      <c r="AD101" s="86"/>
      <c r="AE101" s="87"/>
      <c r="AF101" s="88"/>
      <c r="AG101" s="89"/>
      <c r="AH101" s="90"/>
      <c r="AI101" s="569"/>
      <c r="AJ101" s="570"/>
      <c r="AK101" s="89"/>
      <c r="AL101" s="72"/>
    </row>
    <row r="102" spans="2:38" s="80" customFormat="1" x14ac:dyDescent="0.25">
      <c r="C102" s="94"/>
      <c r="D102" s="131"/>
      <c r="E102" s="46"/>
      <c r="F102" s="49"/>
      <c r="G102" s="49"/>
      <c r="H102" s="49"/>
      <c r="K102" s="49"/>
      <c r="L102" s="49"/>
      <c r="M102" s="49"/>
      <c r="N102" s="576"/>
      <c r="O102" s="127"/>
      <c r="P102" s="98"/>
      <c r="Q102" s="565"/>
      <c r="R102" s="130"/>
      <c r="S102" s="572"/>
      <c r="T102" s="567"/>
      <c r="U102" s="89"/>
      <c r="V102" s="70"/>
      <c r="W102" s="82"/>
      <c r="X102" s="88"/>
      <c r="Y102" s="93"/>
      <c r="Z102" s="84"/>
      <c r="AA102" s="84"/>
      <c r="AB102" s="85"/>
      <c r="AC102" s="85"/>
      <c r="AD102" s="86"/>
      <c r="AE102" s="87"/>
      <c r="AF102" s="88"/>
      <c r="AG102" s="83"/>
      <c r="AH102" s="89"/>
      <c r="AI102" s="569"/>
      <c r="AJ102" s="570"/>
      <c r="AK102" s="89"/>
      <c r="AL102" s="72"/>
    </row>
    <row r="103" spans="2:38" s="80" customFormat="1" ht="15.75" x14ac:dyDescent="0.25">
      <c r="C103" s="123"/>
      <c r="D103" s="141"/>
      <c r="E103" s="46"/>
      <c r="F103" s="142"/>
      <c r="G103" s="497" t="s">
        <v>502</v>
      </c>
      <c r="H103" s="498"/>
      <c r="I103" s="498"/>
      <c r="J103" s="498"/>
      <c r="K103" s="498"/>
      <c r="L103" s="498"/>
      <c r="M103" s="498"/>
      <c r="N103" s="89"/>
      <c r="O103" s="449"/>
      <c r="P103" s="98"/>
      <c r="Q103" s="565"/>
      <c r="R103" s="138"/>
      <c r="S103" s="572"/>
      <c r="T103" s="567"/>
      <c r="U103" s="89"/>
      <c r="V103" s="70"/>
      <c r="W103" s="82"/>
      <c r="X103" s="88"/>
      <c r="Y103" s="93"/>
      <c r="Z103" s="84"/>
      <c r="AA103" s="84"/>
      <c r="AB103" s="85"/>
      <c r="AC103" s="85"/>
      <c r="AD103" s="86"/>
      <c r="AE103" s="87"/>
      <c r="AF103" s="88"/>
      <c r="AG103" s="83"/>
      <c r="AH103" s="89"/>
      <c r="AI103" s="569"/>
      <c r="AJ103" s="570"/>
      <c r="AK103" s="89"/>
      <c r="AL103" s="72"/>
    </row>
    <row r="104" spans="2:38" s="80" customFormat="1" ht="18.75" customHeight="1" x14ac:dyDescent="0.25">
      <c r="C104" s="534" t="s">
        <v>46</v>
      </c>
      <c r="D104" s="505">
        <v>1</v>
      </c>
      <c r="E104" s="507">
        <f>Georgalos!I7</f>
        <v>1293.7706666666668</v>
      </c>
      <c r="F104" s="521">
        <f>E104*D104</f>
        <v>1293.7706666666668</v>
      </c>
      <c r="G104" s="514">
        <f>Georgalos!K7</f>
        <v>3881.3120000000004</v>
      </c>
      <c r="H104" s="39">
        <f>(G104*D104)+$S$6</f>
        <v>5881.3119999999999</v>
      </c>
      <c r="I104" s="508">
        <v>0.48</v>
      </c>
      <c r="J104" s="79">
        <v>0.14499999999999999</v>
      </c>
      <c r="K104" s="510">
        <f>N104*J104</f>
        <v>1262.1295551999999</v>
      </c>
      <c r="L104" s="499"/>
      <c r="M104" s="512">
        <f>IF(N104&lt;=$M$3,$E$1,IF(N104&lt;=$M$4,$G$1,IF(N104&lt;=$N$1,$I$1,0)))</f>
        <v>1100</v>
      </c>
      <c r="N104" s="517">
        <f>H104+(H104*I104)</f>
        <v>8704.3417599999993</v>
      </c>
      <c r="O104" s="503">
        <f>N104 - K104 - P105  - M104-L104</f>
        <v>5819.951699199999</v>
      </c>
      <c r="Q104" s="565"/>
      <c r="R104" s="501">
        <f>G104*D104</f>
        <v>3881.3120000000004</v>
      </c>
      <c r="S104" s="572"/>
      <c r="T104" s="567"/>
      <c r="U104" s="89"/>
      <c r="V104" s="70"/>
      <c r="W104" s="89"/>
      <c r="X104" s="89"/>
      <c r="Y104" s="89"/>
      <c r="Z104" s="89"/>
      <c r="AA104" s="89"/>
      <c r="AB104" s="89"/>
      <c r="AC104" s="89"/>
      <c r="AD104" s="45"/>
      <c r="AE104" s="89"/>
      <c r="AF104" s="89"/>
      <c r="AG104" s="89"/>
      <c r="AH104" s="89"/>
      <c r="AI104" s="569"/>
      <c r="AJ104" s="570"/>
      <c r="AK104" s="89"/>
      <c r="AL104" s="72"/>
    </row>
    <row r="105" spans="2:38" s="80" customFormat="1" ht="18.75" customHeight="1" x14ac:dyDescent="0.25">
      <c r="B105" s="564"/>
      <c r="C105" s="535"/>
      <c r="D105" s="506"/>
      <c r="E105" s="507"/>
      <c r="F105" s="522"/>
      <c r="G105" s="515"/>
      <c r="H105" s="40">
        <f>O104-F104</f>
        <v>4526.1810325333317</v>
      </c>
      <c r="I105" s="509"/>
      <c r="J105" s="79">
        <v>0.06</v>
      </c>
      <c r="K105" s="511"/>
      <c r="L105" s="500"/>
      <c r="M105" s="513"/>
      <c r="N105" s="518"/>
      <c r="O105" s="504"/>
      <c r="P105" s="91">
        <f>N104*J105</f>
        <v>522.26050559999999</v>
      </c>
      <c r="Q105" s="565"/>
      <c r="R105" s="502"/>
      <c r="S105" s="572"/>
      <c r="T105" s="567"/>
      <c r="U105" s="568"/>
      <c r="V105" s="70"/>
      <c r="W105" s="82"/>
      <c r="X105" s="88"/>
      <c r="Y105" s="83"/>
      <c r="Z105" s="84"/>
      <c r="AA105" s="84"/>
      <c r="AB105" s="85"/>
      <c r="AC105" s="85"/>
      <c r="AD105" s="86"/>
      <c r="AE105" s="87"/>
      <c r="AF105" s="88"/>
      <c r="AG105" s="89"/>
      <c r="AH105" s="90"/>
      <c r="AI105" s="569"/>
      <c r="AJ105" s="570"/>
      <c r="AK105" s="89"/>
      <c r="AL105" s="72"/>
    </row>
    <row r="106" spans="2:38" s="80" customFormat="1" x14ac:dyDescent="0.25">
      <c r="C106" s="94"/>
      <c r="D106" s="132"/>
      <c r="E106" s="46"/>
      <c r="F106" s="49"/>
      <c r="G106" s="49"/>
      <c r="H106" s="49"/>
      <c r="K106" s="49"/>
      <c r="L106" s="49"/>
      <c r="M106" s="49"/>
      <c r="O106" s="127"/>
      <c r="P106" s="98"/>
      <c r="Q106" s="565"/>
      <c r="R106" s="49"/>
      <c r="S106" s="572"/>
      <c r="T106" s="567"/>
      <c r="U106" s="89"/>
      <c r="V106" s="70"/>
      <c r="W106" s="82"/>
      <c r="X106" s="88"/>
      <c r="Y106" s="93"/>
      <c r="Z106" s="84"/>
      <c r="AA106" s="84"/>
      <c r="AB106" s="85"/>
      <c r="AC106" s="85"/>
      <c r="AD106" s="86"/>
      <c r="AE106" s="87"/>
      <c r="AF106" s="88"/>
      <c r="AG106" s="83"/>
      <c r="AH106" s="89"/>
      <c r="AI106" s="569"/>
      <c r="AJ106" s="570"/>
      <c r="AK106" s="89"/>
      <c r="AL106" s="72"/>
    </row>
    <row r="107" spans="2:38" s="80" customFormat="1" ht="18.75" customHeight="1" x14ac:dyDescent="0.25">
      <c r="C107" s="534"/>
      <c r="D107" s="505">
        <v>10</v>
      </c>
      <c r="E107" s="507">
        <f>Georgalos!I9</f>
        <v>1182.4456666666667</v>
      </c>
      <c r="F107" s="521">
        <f>E107*D107</f>
        <v>11824.456666666667</v>
      </c>
      <c r="G107" s="514">
        <f>Georgalos!K9</f>
        <v>3769.9870000000001</v>
      </c>
      <c r="H107" s="39">
        <f>(G107*D107)+$S$6</f>
        <v>39699.870000000003</v>
      </c>
      <c r="I107" s="508">
        <v>0.44</v>
      </c>
      <c r="J107" s="79">
        <v>0.14499999999999999</v>
      </c>
      <c r="K107" s="510">
        <f>N107*J107</f>
        <v>8289.3328559999991</v>
      </c>
      <c r="L107" s="499">
        <v>5400</v>
      </c>
      <c r="M107" s="512">
        <f>IF(N107&lt;=$M$3,$E$1,IF(N107&lt;=$M$4,$G$1,IF(N107&lt;=$N$1,$I$1,0)))</f>
        <v>0</v>
      </c>
      <c r="N107" s="517">
        <f>H107+(H107*I107)</f>
        <v>57167.8128</v>
      </c>
      <c r="O107" s="503">
        <f>N107 - K107 - P108  - M107-L107</f>
        <v>40048.411176000001</v>
      </c>
      <c r="Q107" s="565"/>
      <c r="R107" s="501">
        <f>G107*D107</f>
        <v>37699.870000000003</v>
      </c>
      <c r="S107" s="572"/>
      <c r="T107" s="567"/>
      <c r="U107" s="89"/>
      <c r="V107" s="60"/>
      <c r="W107" s="89"/>
      <c r="X107" s="89"/>
      <c r="Y107" s="89"/>
      <c r="Z107" s="89"/>
      <c r="AA107" s="89"/>
      <c r="AB107" s="89"/>
      <c r="AC107" s="89"/>
      <c r="AD107" s="45"/>
      <c r="AE107" s="89"/>
      <c r="AF107" s="89"/>
      <c r="AG107" s="89"/>
      <c r="AH107" s="89"/>
      <c r="AI107" s="569"/>
      <c r="AJ107" s="570"/>
      <c r="AK107" s="89"/>
      <c r="AL107" s="72"/>
    </row>
    <row r="108" spans="2:38" s="80" customFormat="1" ht="18.75" customHeight="1" x14ac:dyDescent="0.25">
      <c r="B108" s="564"/>
      <c r="C108" s="535"/>
      <c r="D108" s="506"/>
      <c r="E108" s="507"/>
      <c r="F108" s="522"/>
      <c r="G108" s="515"/>
      <c r="H108" s="40">
        <f>O107-F107</f>
        <v>28223.954509333336</v>
      </c>
      <c r="I108" s="509"/>
      <c r="J108" s="79">
        <v>0.06</v>
      </c>
      <c r="K108" s="511"/>
      <c r="L108" s="500"/>
      <c r="M108" s="513"/>
      <c r="N108" s="518"/>
      <c r="O108" s="504"/>
      <c r="P108" s="91">
        <f>N107*J108</f>
        <v>3430.0687679999996</v>
      </c>
      <c r="Q108" s="565"/>
      <c r="R108" s="502"/>
      <c r="S108" s="572"/>
      <c r="T108" s="567"/>
      <c r="U108" s="568"/>
      <c r="V108" s="70"/>
      <c r="W108" s="82"/>
      <c r="X108" s="88"/>
      <c r="Y108" s="83"/>
      <c r="Z108" s="84"/>
      <c r="AA108" s="84"/>
      <c r="AB108" s="85"/>
      <c r="AC108" s="85"/>
      <c r="AD108" s="86"/>
      <c r="AE108" s="87"/>
      <c r="AF108" s="88"/>
      <c r="AG108" s="89"/>
      <c r="AH108" s="90"/>
      <c r="AI108" s="569"/>
      <c r="AJ108" s="570"/>
      <c r="AK108" s="89"/>
      <c r="AL108" s="72"/>
    </row>
    <row r="109" spans="2:38" s="80" customFormat="1" x14ac:dyDescent="0.25">
      <c r="C109" s="53"/>
      <c r="D109" s="132"/>
      <c r="E109" s="46"/>
      <c r="F109" s="49"/>
      <c r="G109" s="49"/>
      <c r="H109" s="49"/>
      <c r="K109" s="49"/>
      <c r="L109" s="49"/>
      <c r="M109" s="49"/>
      <c r="N109" s="576"/>
      <c r="O109" s="127"/>
      <c r="P109" s="98"/>
      <c r="Q109" s="565"/>
      <c r="R109" s="130"/>
      <c r="S109" s="572"/>
      <c r="T109" s="567"/>
      <c r="U109" s="89"/>
      <c r="V109" s="60"/>
      <c r="W109" s="82"/>
      <c r="X109" s="88"/>
      <c r="Y109" s="93"/>
      <c r="Z109" s="84"/>
      <c r="AA109" s="84"/>
      <c r="AB109" s="85"/>
      <c r="AC109" s="85"/>
      <c r="AD109" s="86"/>
      <c r="AE109" s="87"/>
      <c r="AF109" s="88"/>
      <c r="AG109" s="83"/>
      <c r="AH109" s="89"/>
      <c r="AI109" s="569"/>
      <c r="AJ109" s="570"/>
      <c r="AK109" s="89"/>
      <c r="AL109" s="72"/>
    </row>
    <row r="110" spans="2:38" s="80" customFormat="1" ht="18.75" customHeight="1" x14ac:dyDescent="0.25">
      <c r="C110" s="534"/>
      <c r="D110" s="505">
        <v>25</v>
      </c>
      <c r="E110" s="507">
        <f>Georgalos!I31</f>
        <v>1367.5306666666668</v>
      </c>
      <c r="F110" s="521">
        <f>E110*D110</f>
        <v>34188.26666666667</v>
      </c>
      <c r="G110" s="514">
        <f>Georgalos!K31</f>
        <v>4376.0981333333339</v>
      </c>
      <c r="H110" s="39">
        <f>(G110*D110)+$S$6</f>
        <v>111402.45333333335</v>
      </c>
      <c r="I110" s="508">
        <v>0.35</v>
      </c>
      <c r="J110" s="79">
        <v>0.14499999999999999</v>
      </c>
      <c r="K110" s="510">
        <f>N110*J110</f>
        <v>21807.030240000004</v>
      </c>
      <c r="L110" s="499">
        <v>7000</v>
      </c>
      <c r="M110" s="512">
        <f>IF(N110&lt;=$M$3,$E$1,IF(N110&lt;=$M$4,$G$1,IF(N110&lt;=$N$1,$I$1,0)))</f>
        <v>0</v>
      </c>
      <c r="N110" s="517">
        <f>H110+(H110*I110)</f>
        <v>150393.31200000003</v>
      </c>
      <c r="O110" s="503">
        <f>N110 - K110 - P111  - M110-L110</f>
        <v>112562.68304000003</v>
      </c>
      <c r="Q110" s="565"/>
      <c r="R110" s="501">
        <f>G110*D110</f>
        <v>109402.45333333335</v>
      </c>
      <c r="S110" s="572"/>
      <c r="T110" s="567"/>
      <c r="U110" s="89"/>
      <c r="V110" s="60"/>
      <c r="W110" s="101"/>
      <c r="X110" s="83"/>
      <c r="Y110" s="93"/>
      <c r="Z110" s="102"/>
      <c r="AA110" s="103"/>
      <c r="AB110" s="104"/>
      <c r="AC110" s="104"/>
      <c r="AD110" s="105"/>
      <c r="AE110" s="106"/>
      <c r="AF110" s="83"/>
      <c r="AG110" s="83"/>
      <c r="AH110" s="60"/>
      <c r="AI110" s="569"/>
      <c r="AJ110" s="570"/>
      <c r="AK110" s="89"/>
      <c r="AL110" s="72"/>
    </row>
    <row r="111" spans="2:38" s="80" customFormat="1" ht="18.75" customHeight="1" x14ac:dyDescent="0.25">
      <c r="B111" s="564"/>
      <c r="C111" s="535"/>
      <c r="D111" s="506"/>
      <c r="E111" s="507"/>
      <c r="F111" s="522"/>
      <c r="G111" s="515"/>
      <c r="H111" s="40">
        <f>O110-F110</f>
        <v>78374.41637333337</v>
      </c>
      <c r="I111" s="509"/>
      <c r="J111" s="79">
        <v>0.06</v>
      </c>
      <c r="K111" s="511"/>
      <c r="L111" s="500"/>
      <c r="M111" s="513"/>
      <c r="N111" s="518"/>
      <c r="O111" s="504"/>
      <c r="P111" s="91">
        <f>N110*J111</f>
        <v>9023.5987200000018</v>
      </c>
      <c r="Q111" s="565"/>
      <c r="R111" s="502"/>
      <c r="S111" s="572"/>
      <c r="T111" s="89"/>
      <c r="U111" s="568"/>
      <c r="V111" s="70"/>
      <c r="W111" s="82"/>
      <c r="X111" s="88"/>
      <c r="Y111" s="83"/>
      <c r="Z111" s="84"/>
      <c r="AA111" s="84"/>
      <c r="AB111" s="85"/>
      <c r="AC111" s="85"/>
      <c r="AD111" s="86"/>
      <c r="AE111" s="87"/>
      <c r="AF111" s="88"/>
      <c r="AG111" s="89"/>
      <c r="AH111" s="90"/>
      <c r="AI111" s="569"/>
      <c r="AJ111" s="570"/>
      <c r="AK111" s="89"/>
      <c r="AL111" s="72"/>
    </row>
    <row r="112" spans="2:38" s="80" customFormat="1" x14ac:dyDescent="0.25">
      <c r="C112" s="133"/>
      <c r="D112" s="132"/>
      <c r="E112" s="46"/>
      <c r="F112" s="49"/>
      <c r="G112" s="49"/>
      <c r="H112" s="49"/>
      <c r="K112" s="49"/>
      <c r="L112" s="49"/>
      <c r="M112" s="49"/>
      <c r="N112" s="575"/>
      <c r="O112" s="127"/>
      <c r="P112" s="98"/>
      <c r="Q112" s="565"/>
      <c r="R112" s="49"/>
      <c r="S112" s="572"/>
      <c r="T112" s="89"/>
      <c r="U112" s="89"/>
      <c r="V112" s="60"/>
      <c r="W112" s="82"/>
      <c r="X112" s="88"/>
      <c r="Y112" s="93"/>
      <c r="Z112" s="84"/>
      <c r="AA112" s="84"/>
      <c r="AB112" s="85"/>
      <c r="AC112" s="85"/>
      <c r="AD112" s="86"/>
      <c r="AE112" s="87"/>
      <c r="AF112" s="88"/>
      <c r="AG112" s="83"/>
      <c r="AH112" s="89"/>
      <c r="AI112" s="569"/>
      <c r="AJ112" s="570"/>
      <c r="AK112" s="89"/>
      <c r="AL112" s="72"/>
    </row>
    <row r="113" spans="1:38" s="80" customFormat="1" ht="18.75" customHeight="1" x14ac:dyDescent="0.25">
      <c r="B113" s="572"/>
      <c r="C113" s="534"/>
      <c r="D113" s="505">
        <v>50</v>
      </c>
      <c r="E113" s="507">
        <v>0</v>
      </c>
      <c r="F113" s="521">
        <f>E113*D113</f>
        <v>0</v>
      </c>
      <c r="G113" s="514">
        <v>2000</v>
      </c>
      <c r="H113" s="39">
        <f>(G113*D113)+$S$6</f>
        <v>102000</v>
      </c>
      <c r="I113" s="508">
        <v>0.38</v>
      </c>
      <c r="J113" s="79">
        <v>0.14499999999999999</v>
      </c>
      <c r="K113" s="510">
        <f>N113*J113</f>
        <v>20410.199999999997</v>
      </c>
      <c r="L113" s="499">
        <v>9000</v>
      </c>
      <c r="M113" s="512">
        <f>IF(N113&lt;=$M$3,$E$1,IF(N113&lt;=$M$4,$G$1,IF(N113&lt;=$N$1,$I$1,0)))</f>
        <v>0</v>
      </c>
      <c r="N113" s="517">
        <f>H113+(H113*I113)</f>
        <v>140760</v>
      </c>
      <c r="O113" s="503">
        <f>N113 - K113 - P114  - M113-L113</f>
        <v>102904.2</v>
      </c>
      <c r="Q113" s="565"/>
      <c r="R113" s="501">
        <f>G113*D113</f>
        <v>100000</v>
      </c>
      <c r="S113" s="572"/>
      <c r="T113" s="89"/>
      <c r="U113" s="89"/>
      <c r="V113" s="60"/>
      <c r="W113" s="101"/>
      <c r="X113" s="83"/>
      <c r="Y113" s="93"/>
      <c r="Z113" s="102"/>
      <c r="AA113" s="103"/>
      <c r="AB113" s="104"/>
      <c r="AC113" s="104"/>
      <c r="AD113" s="105"/>
      <c r="AE113" s="106"/>
      <c r="AF113" s="83"/>
      <c r="AG113" s="83"/>
      <c r="AH113" s="60"/>
      <c r="AI113" s="569"/>
      <c r="AJ113" s="570"/>
      <c r="AK113" s="89"/>
      <c r="AL113" s="72"/>
    </row>
    <row r="114" spans="1:38" s="80" customFormat="1" ht="18.75" customHeight="1" x14ac:dyDescent="0.25">
      <c r="B114" s="572"/>
      <c r="C114" s="535"/>
      <c r="D114" s="506"/>
      <c r="E114" s="507"/>
      <c r="F114" s="522"/>
      <c r="G114" s="515"/>
      <c r="H114" s="40">
        <f>O113-F113</f>
        <v>102904.2</v>
      </c>
      <c r="I114" s="509"/>
      <c r="J114" s="79">
        <v>0.06</v>
      </c>
      <c r="K114" s="511"/>
      <c r="L114" s="500"/>
      <c r="M114" s="513"/>
      <c r="N114" s="518"/>
      <c r="O114" s="504"/>
      <c r="P114" s="91">
        <f>N113*J114</f>
        <v>8445.6</v>
      </c>
      <c r="Q114" s="565"/>
      <c r="R114" s="502"/>
      <c r="S114" s="572"/>
      <c r="T114" s="567"/>
      <c r="U114" s="89"/>
      <c r="V114" s="60"/>
      <c r="W114" s="82"/>
      <c r="X114" s="88"/>
      <c r="Y114" s="93"/>
      <c r="Z114" s="84"/>
      <c r="AA114" s="84"/>
      <c r="AB114" s="85"/>
      <c r="AC114" s="85"/>
      <c r="AD114" s="86"/>
      <c r="AE114" s="87"/>
      <c r="AF114" s="88"/>
      <c r="AG114" s="83"/>
      <c r="AH114" s="90"/>
      <c r="AI114" s="569"/>
      <c r="AJ114" s="570"/>
      <c r="AK114" s="89"/>
      <c r="AL114" s="72"/>
    </row>
    <row r="115" spans="1:38" s="80" customFormat="1" x14ac:dyDescent="0.25">
      <c r="C115" s="53"/>
      <c r="D115" s="132"/>
      <c r="E115" s="46"/>
      <c r="F115" s="49"/>
      <c r="G115" s="49"/>
      <c r="H115" s="49"/>
      <c r="K115" s="49"/>
      <c r="L115" s="49"/>
      <c r="M115" s="49"/>
      <c r="N115" s="576"/>
      <c r="O115" s="127"/>
      <c r="P115" s="98"/>
      <c r="Q115" s="565"/>
      <c r="R115" s="130"/>
      <c r="S115" s="572"/>
      <c r="T115" s="567"/>
      <c r="U115" s="89"/>
      <c r="V115" s="60"/>
      <c r="W115" s="82"/>
      <c r="X115" s="88"/>
      <c r="Y115" s="93"/>
      <c r="Z115" s="84"/>
      <c r="AA115" s="84"/>
      <c r="AB115" s="85"/>
      <c r="AC115" s="85"/>
      <c r="AD115" s="86"/>
      <c r="AE115" s="87"/>
      <c r="AF115" s="88"/>
      <c r="AG115" s="83"/>
      <c r="AH115" s="89"/>
      <c r="AI115" s="569"/>
      <c r="AJ115" s="570"/>
      <c r="AK115" s="89"/>
      <c r="AL115" s="72"/>
    </row>
    <row r="116" spans="1:38" s="80" customFormat="1" ht="15.75" x14ac:dyDescent="0.25">
      <c r="C116" s="133"/>
      <c r="D116" s="136"/>
      <c r="E116" s="46"/>
      <c r="F116" s="142"/>
      <c r="G116" s="497" t="s">
        <v>503</v>
      </c>
      <c r="H116" s="498"/>
      <c r="I116" s="498"/>
      <c r="J116" s="498"/>
      <c r="K116" s="498"/>
      <c r="L116" s="498"/>
      <c r="M116" s="498"/>
      <c r="N116" s="89"/>
      <c r="O116" s="449"/>
      <c r="P116" s="98"/>
      <c r="Q116" s="565"/>
      <c r="R116" s="138"/>
      <c r="S116" s="572"/>
      <c r="T116" s="567"/>
      <c r="U116" s="89"/>
      <c r="V116" s="60"/>
      <c r="W116" s="82"/>
      <c r="X116" s="88"/>
      <c r="Y116" s="93"/>
      <c r="Z116" s="84"/>
      <c r="AA116" s="84"/>
      <c r="AB116" s="85"/>
      <c r="AC116" s="85"/>
      <c r="AD116" s="86"/>
      <c r="AE116" s="87"/>
      <c r="AF116" s="88"/>
      <c r="AG116" s="83"/>
      <c r="AH116" s="89"/>
      <c r="AI116" s="569"/>
      <c r="AJ116" s="570"/>
      <c r="AK116" s="89"/>
      <c r="AL116" s="72"/>
    </row>
    <row r="117" spans="1:38" s="80" customFormat="1" ht="18.75" customHeight="1" x14ac:dyDescent="0.25">
      <c r="C117" s="534" t="s">
        <v>46</v>
      </c>
      <c r="D117" s="505">
        <v>1</v>
      </c>
      <c r="E117" s="507">
        <f>Georgalos!I31</f>
        <v>1367.5306666666668</v>
      </c>
      <c r="F117" s="521">
        <f>E117*D117</f>
        <v>1367.5306666666668</v>
      </c>
      <c r="G117" s="514">
        <f>Georgalos!K31</f>
        <v>4376.0981333333339</v>
      </c>
      <c r="H117" s="39">
        <f>(G117*D117)+$S$6</f>
        <v>6376.0981333333339</v>
      </c>
      <c r="I117" s="508">
        <v>0.47</v>
      </c>
      <c r="J117" s="79">
        <v>0.14499999999999999</v>
      </c>
      <c r="K117" s="510">
        <f>N117*J117</f>
        <v>1359.0653171199999</v>
      </c>
      <c r="L117" s="499"/>
      <c r="M117" s="512">
        <f>IF(N117&lt;=$M$3,$E$1,IF(N117&lt;=$M$4,$G$1,IF(N117&lt;=$N$1,$I$1,0)))</f>
        <v>1100</v>
      </c>
      <c r="N117" s="517">
        <f>H117+(H117*I117)</f>
        <v>9372.8642560000008</v>
      </c>
      <c r="O117" s="503">
        <f>N117 - K117 - P118  - M117-L117</f>
        <v>6351.4270835200005</v>
      </c>
      <c r="Q117" s="565"/>
      <c r="R117" s="501">
        <f>G117*D117</f>
        <v>4376.0981333333339</v>
      </c>
      <c r="S117" s="572"/>
      <c r="T117" s="567"/>
      <c r="U117" s="89"/>
      <c r="V117" s="89"/>
      <c r="W117" s="89"/>
      <c r="X117" s="89"/>
      <c r="Y117" s="89"/>
      <c r="Z117" s="89"/>
      <c r="AA117" s="89"/>
      <c r="AB117" s="89"/>
      <c r="AC117" s="89"/>
      <c r="AD117" s="45"/>
      <c r="AE117" s="89"/>
      <c r="AF117" s="89"/>
      <c r="AG117" s="89"/>
      <c r="AH117" s="60"/>
      <c r="AI117" s="574"/>
      <c r="AJ117" s="570"/>
      <c r="AK117" s="89"/>
      <c r="AL117" s="72"/>
    </row>
    <row r="118" spans="1:38" s="80" customFormat="1" ht="18.75" customHeight="1" x14ac:dyDescent="0.25">
      <c r="B118" s="579"/>
      <c r="C118" s="535"/>
      <c r="D118" s="506"/>
      <c r="E118" s="507"/>
      <c r="F118" s="522"/>
      <c r="G118" s="515"/>
      <c r="H118" s="40">
        <f>O117-F117</f>
        <v>4983.8964168533339</v>
      </c>
      <c r="I118" s="509"/>
      <c r="J118" s="79">
        <v>0.06</v>
      </c>
      <c r="K118" s="511"/>
      <c r="L118" s="500"/>
      <c r="M118" s="513"/>
      <c r="N118" s="518"/>
      <c r="O118" s="504"/>
      <c r="P118" s="91">
        <f>N117*J118</f>
        <v>562.37185536000004</v>
      </c>
      <c r="Q118" s="565"/>
      <c r="R118" s="502"/>
      <c r="S118" s="572"/>
      <c r="T118" s="567"/>
      <c r="U118" s="568"/>
      <c r="V118" s="70"/>
      <c r="W118" s="82"/>
      <c r="X118" s="88"/>
      <c r="Y118" s="83"/>
      <c r="Z118" s="84"/>
      <c r="AA118" s="84"/>
      <c r="AB118" s="85"/>
      <c r="AC118" s="85"/>
      <c r="AD118" s="86"/>
      <c r="AE118" s="87"/>
      <c r="AF118" s="88"/>
      <c r="AG118" s="89"/>
      <c r="AH118" s="135"/>
      <c r="AI118" s="574"/>
      <c r="AJ118" s="570"/>
      <c r="AK118" s="89"/>
      <c r="AL118" s="72"/>
    </row>
    <row r="119" spans="1:38" s="80" customFormat="1" x14ac:dyDescent="0.25">
      <c r="C119" s="94"/>
      <c r="D119" s="131"/>
      <c r="E119" s="46"/>
      <c r="F119" s="49"/>
      <c r="G119" s="49"/>
      <c r="H119" s="49"/>
      <c r="K119" s="49"/>
      <c r="L119" s="49"/>
      <c r="M119" s="49"/>
      <c r="O119" s="127"/>
      <c r="P119" s="98"/>
      <c r="Q119" s="565"/>
      <c r="R119" s="49"/>
      <c r="S119" s="572"/>
      <c r="T119" s="567"/>
      <c r="U119" s="89"/>
      <c r="V119" s="92"/>
      <c r="W119" s="82"/>
      <c r="X119" s="88"/>
      <c r="Y119" s="93"/>
      <c r="Z119" s="84"/>
      <c r="AA119" s="84"/>
      <c r="AB119" s="85"/>
      <c r="AC119" s="85"/>
      <c r="AD119" s="86"/>
      <c r="AE119" s="87"/>
      <c r="AF119" s="88"/>
      <c r="AG119" s="83"/>
      <c r="AH119" s="135"/>
      <c r="AI119" s="569"/>
      <c r="AJ119" s="570"/>
      <c r="AK119" s="89"/>
      <c r="AL119" s="72"/>
    </row>
    <row r="120" spans="1:38" s="80" customFormat="1" ht="18" customHeight="1" x14ac:dyDescent="0.25">
      <c r="A120" s="580"/>
      <c r="C120" s="534"/>
      <c r="D120" s="505">
        <v>10</v>
      </c>
      <c r="E120" s="507">
        <f>E117</f>
        <v>1367.5306666666668</v>
      </c>
      <c r="F120" s="521">
        <f>E120*D120</f>
        <v>13675.306666666667</v>
      </c>
      <c r="G120" s="514">
        <f>G117</f>
        <v>4376.0981333333339</v>
      </c>
      <c r="H120" s="39">
        <f>(G120*D120)+$S$6</f>
        <v>45760.981333333337</v>
      </c>
      <c r="I120" s="508">
        <v>0.42</v>
      </c>
      <c r="J120" s="79">
        <v>0.14499999999999999</v>
      </c>
      <c r="K120" s="510">
        <f>N120*J120</f>
        <v>9422.1860565333336</v>
      </c>
      <c r="L120" s="499">
        <v>5700</v>
      </c>
      <c r="M120" s="512">
        <f>IF(N120&lt;=$M$3,$E$1,IF(N120&lt;=$M$4,$G$1,IF(N120&lt;=$N$1,$I$1,0)))</f>
        <v>0</v>
      </c>
      <c r="N120" s="517">
        <f>H120+(H120*I120)</f>
        <v>64980.593493333334</v>
      </c>
      <c r="O120" s="503">
        <f>N120 - K120 - P121  - M120-L120</f>
        <v>45959.571827200001</v>
      </c>
      <c r="Q120" s="565"/>
      <c r="R120" s="501">
        <f>G120*D120</f>
        <v>43760.981333333337</v>
      </c>
      <c r="S120" s="572"/>
      <c r="T120" s="567"/>
      <c r="U120" s="89"/>
      <c r="V120" s="92"/>
      <c r="W120" s="101"/>
      <c r="X120" s="83"/>
      <c r="Y120" s="93"/>
      <c r="Z120" s="102"/>
      <c r="AA120" s="103"/>
      <c r="AB120" s="104"/>
      <c r="AC120" s="104"/>
      <c r="AD120" s="105"/>
      <c r="AE120" s="106"/>
      <c r="AF120" s="83"/>
      <c r="AG120" s="83"/>
      <c r="AH120" s="110"/>
      <c r="AI120" s="569"/>
      <c r="AJ120" s="570"/>
      <c r="AK120" s="89"/>
      <c r="AL120" s="72"/>
    </row>
    <row r="121" spans="1:38" s="80" customFormat="1" ht="20.25" customHeight="1" x14ac:dyDescent="0.25">
      <c r="A121" s="580"/>
      <c r="C121" s="535"/>
      <c r="D121" s="506"/>
      <c r="E121" s="507"/>
      <c r="F121" s="522"/>
      <c r="G121" s="515"/>
      <c r="H121" s="40">
        <f>O120-F120</f>
        <v>32284.265160533334</v>
      </c>
      <c r="I121" s="509"/>
      <c r="J121" s="79">
        <v>0.06</v>
      </c>
      <c r="K121" s="511"/>
      <c r="L121" s="500"/>
      <c r="M121" s="513"/>
      <c r="N121" s="518"/>
      <c r="O121" s="504"/>
      <c r="P121" s="91">
        <f>N120*J121</f>
        <v>3898.8356095999998</v>
      </c>
      <c r="Q121" s="565"/>
      <c r="R121" s="502"/>
      <c r="S121" s="572"/>
      <c r="T121" s="567"/>
      <c r="U121" s="89"/>
      <c r="V121" s="70"/>
      <c r="W121" s="82"/>
      <c r="X121" s="88"/>
      <c r="Y121" s="83"/>
      <c r="Z121" s="84"/>
      <c r="AA121" s="84"/>
      <c r="AB121" s="85"/>
      <c r="AC121" s="85"/>
      <c r="AD121" s="86"/>
      <c r="AE121" s="87"/>
      <c r="AF121" s="88"/>
      <c r="AG121" s="89"/>
      <c r="AH121" s="84"/>
      <c r="AI121" s="569"/>
      <c r="AJ121" s="570"/>
      <c r="AK121" s="89"/>
      <c r="AL121" s="72"/>
    </row>
    <row r="122" spans="1:38" s="80" customFormat="1" x14ac:dyDescent="0.25">
      <c r="C122" s="94"/>
      <c r="D122" s="132"/>
      <c r="E122" s="46"/>
      <c r="F122" s="42"/>
      <c r="G122" s="41"/>
      <c r="H122" s="41"/>
      <c r="I122" s="78"/>
      <c r="J122" s="99"/>
      <c r="K122" s="42"/>
      <c r="L122" s="49"/>
      <c r="M122" s="49"/>
      <c r="N122" s="576"/>
      <c r="O122" s="127"/>
      <c r="P122" s="98"/>
      <c r="Q122" s="565"/>
      <c r="R122" s="130"/>
      <c r="S122" s="572"/>
      <c r="T122" s="567"/>
      <c r="U122" s="89"/>
      <c r="V122" s="92"/>
      <c r="W122" s="82"/>
      <c r="X122" s="88"/>
      <c r="Y122" s="93"/>
      <c r="Z122" s="84"/>
      <c r="AA122" s="84"/>
      <c r="AB122" s="85"/>
      <c r="AC122" s="85"/>
      <c r="AD122" s="86"/>
      <c r="AE122" s="87"/>
      <c r="AF122" s="88"/>
      <c r="AG122" s="83"/>
      <c r="AH122" s="84"/>
      <c r="AI122" s="569"/>
      <c r="AJ122" s="570"/>
      <c r="AK122" s="89"/>
      <c r="AL122" s="72"/>
    </row>
    <row r="123" spans="1:38" s="80" customFormat="1" ht="18.75" customHeight="1" x14ac:dyDescent="0.25">
      <c r="C123" s="534"/>
      <c r="D123" s="505">
        <v>25</v>
      </c>
      <c r="E123" s="507">
        <f>E120</f>
        <v>1367.5306666666668</v>
      </c>
      <c r="F123" s="521">
        <f>E123*D123</f>
        <v>34188.26666666667</v>
      </c>
      <c r="G123" s="514">
        <f>G120</f>
        <v>4376.0981333333339</v>
      </c>
      <c r="H123" s="39">
        <f>(G123*D123)+$S$11</f>
        <v>113402.45333333335</v>
      </c>
      <c r="I123" s="508">
        <v>0.35</v>
      </c>
      <c r="J123" s="79">
        <v>0.14499999999999999</v>
      </c>
      <c r="K123" s="510">
        <f>N123*J123</f>
        <v>22198.530240000004</v>
      </c>
      <c r="L123" s="499">
        <v>7000</v>
      </c>
      <c r="M123" s="512">
        <f>IF(N123&lt;=$M$3,$E$1,IF(N123&lt;=$M$4,$G$1,IF(N123&lt;=$N$1,$I$1,0)))</f>
        <v>0</v>
      </c>
      <c r="N123" s="517">
        <f>H123+(H123*I123)</f>
        <v>153093.31200000003</v>
      </c>
      <c r="O123" s="503">
        <f>N123 - K123 - P124  - M123-L123</f>
        <v>114709.18304000003</v>
      </c>
      <c r="Q123" s="565"/>
      <c r="R123" s="501">
        <f>G123*D123</f>
        <v>109402.45333333335</v>
      </c>
      <c r="S123" s="572"/>
      <c r="T123" s="567"/>
      <c r="U123" s="89"/>
      <c r="V123" s="92"/>
      <c r="W123" s="101"/>
      <c r="X123" s="83"/>
      <c r="Y123" s="93"/>
      <c r="Z123" s="102"/>
      <c r="AA123" s="103"/>
      <c r="AB123" s="104"/>
      <c r="AC123" s="104"/>
      <c r="AD123" s="105"/>
      <c r="AE123" s="106"/>
      <c r="AF123" s="83"/>
      <c r="AG123" s="83"/>
      <c r="AH123" s="102"/>
      <c r="AI123" s="569"/>
      <c r="AJ123" s="570"/>
      <c r="AK123" s="89"/>
      <c r="AL123" s="72"/>
    </row>
    <row r="124" spans="1:38" s="80" customFormat="1" ht="18.75" customHeight="1" x14ac:dyDescent="0.25">
      <c r="C124" s="535"/>
      <c r="D124" s="506"/>
      <c r="E124" s="507"/>
      <c r="F124" s="522"/>
      <c r="G124" s="515"/>
      <c r="H124" s="40">
        <f>O123-F123</f>
        <v>80520.91637333337</v>
      </c>
      <c r="I124" s="509"/>
      <c r="J124" s="79">
        <v>0.06</v>
      </c>
      <c r="K124" s="511"/>
      <c r="L124" s="500"/>
      <c r="M124" s="513"/>
      <c r="N124" s="518"/>
      <c r="O124" s="504"/>
      <c r="P124" s="91">
        <f>N123*J124</f>
        <v>9185.5987200000018</v>
      </c>
      <c r="Q124" s="565"/>
      <c r="R124" s="502"/>
      <c r="S124" s="572"/>
      <c r="T124" s="567"/>
      <c r="U124" s="89"/>
      <c r="V124" s="70"/>
      <c r="W124" s="82"/>
      <c r="X124" s="88"/>
      <c r="Y124" s="83"/>
      <c r="Z124" s="84"/>
      <c r="AA124" s="84"/>
      <c r="AB124" s="85"/>
      <c r="AC124" s="85"/>
      <c r="AD124" s="86"/>
      <c r="AE124" s="87"/>
      <c r="AF124" s="88"/>
      <c r="AG124" s="89"/>
      <c r="AH124" s="89"/>
      <c r="AI124" s="569"/>
      <c r="AJ124" s="570"/>
      <c r="AK124" s="89"/>
      <c r="AL124" s="72"/>
    </row>
    <row r="125" spans="1:38" s="80" customFormat="1" x14ac:dyDescent="0.25">
      <c r="C125" s="53"/>
      <c r="D125" s="132"/>
      <c r="E125" s="46"/>
      <c r="F125" s="42"/>
      <c r="G125" s="41"/>
      <c r="H125" s="41"/>
      <c r="I125" s="78"/>
      <c r="J125" s="99"/>
      <c r="K125" s="42"/>
      <c r="L125" s="49"/>
      <c r="M125" s="49"/>
      <c r="N125" s="575"/>
      <c r="O125" s="127"/>
      <c r="P125" s="98"/>
      <c r="Q125" s="565"/>
      <c r="R125" s="49"/>
      <c r="S125" s="572"/>
      <c r="T125" s="567"/>
      <c r="U125" s="89"/>
      <c r="V125" s="92"/>
      <c r="W125" s="82"/>
      <c r="X125" s="88"/>
      <c r="Y125" s="93"/>
      <c r="Z125" s="84"/>
      <c r="AA125" s="84"/>
      <c r="AB125" s="85"/>
      <c r="AC125" s="85"/>
      <c r="AD125" s="86"/>
      <c r="AE125" s="87"/>
      <c r="AF125" s="88"/>
      <c r="AG125" s="83"/>
      <c r="AH125" s="89"/>
      <c r="AI125" s="569"/>
      <c r="AJ125" s="570"/>
      <c r="AK125" s="89"/>
      <c r="AL125" s="72"/>
    </row>
    <row r="126" spans="1:38" s="80" customFormat="1" ht="18.75" customHeight="1" x14ac:dyDescent="0.25">
      <c r="C126" s="534"/>
      <c r="D126" s="505">
        <v>50</v>
      </c>
      <c r="E126" s="507">
        <f>E120</f>
        <v>1367.5306666666668</v>
      </c>
      <c r="F126" s="521">
        <f>E126*D126</f>
        <v>68376.53333333334</v>
      </c>
      <c r="G126" s="514">
        <f>G120</f>
        <v>4376.0981333333339</v>
      </c>
      <c r="H126" s="39">
        <f>(G126*D126)+$S$6</f>
        <v>220804.90666666671</v>
      </c>
      <c r="I126" s="508">
        <v>0.31</v>
      </c>
      <c r="J126" s="79">
        <v>0.14499999999999999</v>
      </c>
      <c r="K126" s="510">
        <f>N126*J126</f>
        <v>41941.892021333333</v>
      </c>
      <c r="L126" s="499">
        <v>9000</v>
      </c>
      <c r="M126" s="512">
        <f>IF(N126&lt;=$M$3,$E$1,IF(N126&lt;=$M$4,$G$1,IF(N126&lt;=$N$1,$I$1,0)))</f>
        <v>0</v>
      </c>
      <c r="N126" s="517">
        <f>H126+(H126*I126)</f>
        <v>289254.42773333337</v>
      </c>
      <c r="O126" s="503">
        <f>N126 - K126 - P127  - M126-L126</f>
        <v>220957.27004800003</v>
      </c>
      <c r="Q126" s="565"/>
      <c r="R126" s="501">
        <f>G126*D126</f>
        <v>218804.90666666671</v>
      </c>
      <c r="S126" s="572"/>
      <c r="T126" s="567"/>
      <c r="U126" s="89"/>
      <c r="V126" s="92"/>
      <c r="W126" s="101"/>
      <c r="X126" s="83"/>
      <c r="Y126" s="93"/>
      <c r="Z126" s="102"/>
      <c r="AA126" s="103"/>
      <c r="AB126" s="104"/>
      <c r="AC126" s="104"/>
      <c r="AD126" s="105"/>
      <c r="AE126" s="106"/>
      <c r="AF126" s="83"/>
      <c r="AG126" s="83"/>
      <c r="AH126" s="60"/>
      <c r="AI126" s="569"/>
      <c r="AJ126" s="570"/>
      <c r="AK126" s="89"/>
      <c r="AL126" s="72"/>
    </row>
    <row r="127" spans="1:38" s="80" customFormat="1" ht="18.75" customHeight="1" x14ac:dyDescent="0.25">
      <c r="C127" s="535"/>
      <c r="D127" s="506"/>
      <c r="E127" s="507"/>
      <c r="F127" s="522"/>
      <c r="G127" s="515"/>
      <c r="H127" s="40">
        <f>O126-F126</f>
        <v>152580.73671466671</v>
      </c>
      <c r="I127" s="509"/>
      <c r="J127" s="79">
        <v>0.06</v>
      </c>
      <c r="K127" s="511"/>
      <c r="L127" s="500"/>
      <c r="M127" s="513"/>
      <c r="N127" s="518"/>
      <c r="O127" s="504"/>
      <c r="P127" s="91">
        <f>N126*J127</f>
        <v>17355.265664000002</v>
      </c>
      <c r="Q127" s="565"/>
      <c r="R127" s="502"/>
      <c r="S127" s="572"/>
      <c r="T127" s="567"/>
      <c r="U127" s="89"/>
      <c r="V127" s="70"/>
      <c r="W127" s="82"/>
      <c r="X127" s="88"/>
      <c r="Y127" s="83"/>
      <c r="Z127" s="84"/>
      <c r="AA127" s="84"/>
      <c r="AB127" s="85"/>
      <c r="AC127" s="85"/>
      <c r="AD127" s="86"/>
      <c r="AE127" s="87"/>
      <c r="AF127" s="88"/>
      <c r="AG127" s="89"/>
      <c r="AH127" s="89"/>
      <c r="AI127" s="569"/>
      <c r="AJ127" s="570"/>
      <c r="AK127" s="89"/>
      <c r="AL127" s="72"/>
    </row>
    <row r="128" spans="1:38" s="80" customFormat="1" ht="19.5" customHeight="1" x14ac:dyDescent="0.25">
      <c r="C128" s="133"/>
      <c r="D128" s="132"/>
      <c r="E128" s="46"/>
      <c r="F128" s="43"/>
      <c r="G128" s="43"/>
      <c r="H128" s="45"/>
      <c r="I128" s="45"/>
      <c r="J128" s="45"/>
      <c r="K128" s="45"/>
      <c r="L128" s="45"/>
      <c r="M128" s="45"/>
      <c r="N128" s="125"/>
      <c r="O128" s="127"/>
      <c r="P128" s="98"/>
      <c r="Q128" s="565"/>
      <c r="R128" s="130"/>
      <c r="S128" s="572"/>
      <c r="T128" s="567"/>
      <c r="U128" s="89"/>
      <c r="V128" s="92"/>
      <c r="W128" s="82"/>
      <c r="X128" s="88"/>
      <c r="Y128" s="93"/>
      <c r="Z128" s="84"/>
      <c r="AA128" s="84"/>
      <c r="AB128" s="85"/>
      <c r="AC128" s="85"/>
      <c r="AD128" s="86"/>
      <c r="AE128" s="87"/>
      <c r="AF128" s="88"/>
      <c r="AG128" s="83"/>
      <c r="AH128" s="89"/>
      <c r="AI128" s="569"/>
      <c r="AJ128" s="570"/>
      <c r="AK128" s="89"/>
      <c r="AL128" s="72"/>
    </row>
    <row r="129" spans="2:38" s="80" customFormat="1" ht="16.5" customHeight="1" x14ac:dyDescent="0.25">
      <c r="B129" s="89"/>
      <c r="C129" s="133"/>
      <c r="D129" s="136"/>
      <c r="E129" s="46"/>
      <c r="F129" s="43"/>
      <c r="G129" s="497" t="s">
        <v>505</v>
      </c>
      <c r="H129" s="498"/>
      <c r="I129" s="498"/>
      <c r="J129" s="498"/>
      <c r="K129" s="498"/>
      <c r="L129" s="498"/>
      <c r="M129" s="498"/>
      <c r="N129" s="45"/>
      <c r="O129" s="449"/>
      <c r="P129" s="98"/>
      <c r="Q129" s="565"/>
      <c r="R129" s="138"/>
      <c r="S129" s="572"/>
      <c r="T129" s="567"/>
      <c r="U129" s="89"/>
      <c r="V129" s="92"/>
      <c r="W129" s="82"/>
      <c r="X129" s="88"/>
      <c r="Y129" s="93"/>
      <c r="Z129" s="84"/>
      <c r="AA129" s="84"/>
      <c r="AB129" s="85"/>
      <c r="AC129" s="85"/>
      <c r="AD129" s="86"/>
      <c r="AE129" s="87"/>
      <c r="AF129" s="88"/>
      <c r="AG129" s="83"/>
      <c r="AH129" s="89"/>
      <c r="AI129" s="569"/>
      <c r="AJ129" s="570"/>
      <c r="AK129" s="89"/>
      <c r="AL129" s="72"/>
    </row>
    <row r="130" spans="2:38" s="80" customFormat="1" ht="18.75" customHeight="1" x14ac:dyDescent="0.25">
      <c r="B130" s="89"/>
      <c r="C130" s="534"/>
      <c r="D130" s="505">
        <v>100</v>
      </c>
      <c r="E130" s="507">
        <f>'Coloniales S.C'!K152</f>
        <v>734.12428571428575</v>
      </c>
      <c r="F130" s="521">
        <f>E130*D130</f>
        <v>73412.42857142858</v>
      </c>
      <c r="G130" s="514">
        <f>G126</f>
        <v>4376.0981333333339</v>
      </c>
      <c r="H130" s="39">
        <f>(G130*D130)+$S$6</f>
        <v>439609.81333333341</v>
      </c>
      <c r="I130" s="508">
        <v>0.4</v>
      </c>
      <c r="J130" s="79">
        <v>0.14499999999999999</v>
      </c>
      <c r="K130" s="510">
        <f>N130*J130</f>
        <v>89240.792106666675</v>
      </c>
      <c r="L130" s="499"/>
      <c r="M130" s="512">
        <f>IF(N130&lt;=$M$3,$E$1,IF(N130&lt;=$M$4,$G$1,IF(N130&lt;=$N$1,$I$1,0)))</f>
        <v>0</v>
      </c>
      <c r="N130" s="517">
        <f>H130+(H130*I130)</f>
        <v>615453.73866666679</v>
      </c>
      <c r="O130" s="503">
        <f>N130 - K130 - P131  - M130-L130</f>
        <v>489285.72224000003</v>
      </c>
      <c r="Q130" s="565"/>
      <c r="R130" s="501">
        <f>G130*D130</f>
        <v>437609.81333333341</v>
      </c>
      <c r="S130" s="572"/>
      <c r="T130" s="567"/>
      <c r="U130" s="89"/>
      <c r="V130" s="92"/>
      <c r="W130" s="101"/>
      <c r="X130" s="83"/>
      <c r="Y130" s="93"/>
      <c r="Z130" s="102"/>
      <c r="AA130" s="103"/>
      <c r="AB130" s="104"/>
      <c r="AC130" s="104"/>
      <c r="AD130" s="105"/>
      <c r="AE130" s="106"/>
      <c r="AF130" s="83"/>
      <c r="AG130" s="83"/>
      <c r="AH130" s="60"/>
      <c r="AI130" s="569"/>
      <c r="AJ130" s="570"/>
      <c r="AK130" s="89"/>
      <c r="AL130" s="72"/>
    </row>
    <row r="131" spans="2:38" s="80" customFormat="1" ht="18.75" customHeight="1" x14ac:dyDescent="0.25">
      <c r="B131" s="579"/>
      <c r="C131" s="535"/>
      <c r="D131" s="506"/>
      <c r="E131" s="507"/>
      <c r="F131" s="522"/>
      <c r="G131" s="515"/>
      <c r="H131" s="40">
        <f>O130-F130</f>
        <v>415873.29366857145</v>
      </c>
      <c r="I131" s="509"/>
      <c r="J131" s="79">
        <v>0.06</v>
      </c>
      <c r="K131" s="511"/>
      <c r="L131" s="500"/>
      <c r="M131" s="513"/>
      <c r="N131" s="518"/>
      <c r="O131" s="504"/>
      <c r="P131" s="91">
        <f>N130*J131</f>
        <v>36927.224320000008</v>
      </c>
      <c r="Q131" s="565"/>
      <c r="R131" s="502"/>
      <c r="S131" s="572"/>
      <c r="T131" s="567"/>
      <c r="U131" s="568"/>
      <c r="V131" s="70"/>
      <c r="W131" s="82"/>
      <c r="X131" s="88"/>
      <c r="Y131" s="83"/>
      <c r="Z131" s="84"/>
      <c r="AA131" s="84"/>
      <c r="AB131" s="85"/>
      <c r="AC131" s="85"/>
      <c r="AD131" s="86"/>
      <c r="AE131" s="87"/>
      <c r="AF131" s="88"/>
      <c r="AG131" s="89"/>
      <c r="AH131" s="135"/>
      <c r="AI131" s="569"/>
      <c r="AJ131" s="570"/>
      <c r="AK131" s="89"/>
      <c r="AL131" s="72"/>
    </row>
    <row r="132" spans="2:38" s="80" customFormat="1" x14ac:dyDescent="0.25">
      <c r="C132" s="60"/>
      <c r="D132" s="134"/>
      <c r="E132" s="46"/>
      <c r="F132" s="46"/>
      <c r="G132" s="41"/>
      <c r="H132" s="41"/>
      <c r="I132" s="128"/>
      <c r="J132" s="128"/>
      <c r="K132" s="46"/>
      <c r="L132" s="49"/>
      <c r="M132" s="49"/>
      <c r="O132" s="127"/>
      <c r="P132" s="98"/>
      <c r="Q132" s="565"/>
      <c r="R132" s="49"/>
      <c r="S132" s="572"/>
      <c r="T132" s="567"/>
      <c r="U132" s="89"/>
      <c r="V132" s="92"/>
      <c r="W132" s="82"/>
      <c r="X132" s="88"/>
      <c r="Y132" s="93"/>
      <c r="Z132" s="84"/>
      <c r="AA132" s="84"/>
      <c r="AB132" s="85"/>
      <c r="AC132" s="85"/>
      <c r="AD132" s="86"/>
      <c r="AE132" s="87"/>
      <c r="AF132" s="88"/>
      <c r="AG132" s="83"/>
      <c r="AH132" s="135"/>
      <c r="AI132" s="569"/>
      <c r="AJ132" s="570"/>
      <c r="AK132" s="89"/>
      <c r="AL132" s="72"/>
    </row>
    <row r="133" spans="2:38" s="80" customFormat="1" ht="18.75" customHeight="1" x14ac:dyDescent="0.25">
      <c r="C133" s="534" t="s">
        <v>339</v>
      </c>
      <c r="D133" s="505">
        <v>1</v>
      </c>
      <c r="E133" s="507">
        <f>'Coloniales S.C'!K174</f>
        <v>2303.1242857142856</v>
      </c>
      <c r="F133" s="521">
        <f>E133*D133</f>
        <v>2303.1242857142856</v>
      </c>
      <c r="G133" s="514">
        <f>'Coloniales S.C'!M174</f>
        <v>6909.3728571428564</v>
      </c>
      <c r="H133" s="39">
        <f>(G133*D133)+$S$6</f>
        <v>8909.3728571428564</v>
      </c>
      <c r="I133" s="508">
        <v>0.4</v>
      </c>
      <c r="J133" s="79">
        <v>0.14499999999999999</v>
      </c>
      <c r="K133" s="510">
        <f>N133*J133</f>
        <v>1808.6026899999997</v>
      </c>
      <c r="L133" s="499">
        <v>5700</v>
      </c>
      <c r="M133" s="512">
        <f>IF(N133&lt;=$M$3,$E$1,IF(N133&lt;=$M$4,$G$1,IF(N133&lt;=$N$1,$I$1,0)))</f>
        <v>1100</v>
      </c>
      <c r="N133" s="517">
        <f>H133+(H133*I133)</f>
        <v>12473.121999999999</v>
      </c>
      <c r="O133" s="503">
        <f>N133 - K133 - P134  - M133-L133</f>
        <v>3116.1319899999999</v>
      </c>
      <c r="Q133" s="565"/>
      <c r="R133" s="501">
        <f>G133*D133</f>
        <v>6909.3728571428564</v>
      </c>
      <c r="S133" s="572"/>
      <c r="T133" s="567"/>
      <c r="U133" s="89"/>
      <c r="V133" s="92"/>
      <c r="W133" s="101"/>
      <c r="X133" s="83"/>
      <c r="Y133" s="93"/>
      <c r="Z133" s="102"/>
      <c r="AA133" s="103"/>
      <c r="AB133" s="104"/>
      <c r="AC133" s="104"/>
      <c r="AD133" s="105"/>
      <c r="AE133" s="106"/>
      <c r="AF133" s="83"/>
      <c r="AG133" s="83"/>
      <c r="AH133" s="110"/>
      <c r="AI133" s="569"/>
      <c r="AJ133" s="570"/>
      <c r="AK133" s="89"/>
      <c r="AL133" s="72"/>
    </row>
    <row r="134" spans="2:38" s="80" customFormat="1" ht="18.75" customHeight="1" x14ac:dyDescent="0.25">
      <c r="C134" s="535"/>
      <c r="D134" s="506"/>
      <c r="E134" s="507"/>
      <c r="F134" s="522"/>
      <c r="G134" s="515"/>
      <c r="H134" s="40">
        <f>O133-F133</f>
        <v>813.00770428571423</v>
      </c>
      <c r="I134" s="509"/>
      <c r="J134" s="79">
        <v>0.06</v>
      </c>
      <c r="K134" s="511"/>
      <c r="L134" s="500"/>
      <c r="M134" s="513"/>
      <c r="N134" s="518"/>
      <c r="O134" s="504"/>
      <c r="P134" s="91">
        <f>N133*J134</f>
        <v>748.38731999999993</v>
      </c>
      <c r="Q134" s="565"/>
      <c r="R134" s="502"/>
      <c r="S134" s="572"/>
      <c r="T134" s="567"/>
      <c r="U134" s="89"/>
      <c r="V134" s="70"/>
      <c r="W134" s="82"/>
      <c r="X134" s="88"/>
      <c r="Y134" s="83"/>
      <c r="Z134" s="84"/>
      <c r="AA134" s="84"/>
      <c r="AB134" s="85"/>
      <c r="AC134" s="85"/>
      <c r="AD134" s="86"/>
      <c r="AE134" s="87"/>
      <c r="AF134" s="88"/>
      <c r="AG134" s="89"/>
      <c r="AH134" s="84"/>
      <c r="AI134" s="569"/>
      <c r="AJ134" s="570"/>
      <c r="AK134" s="89"/>
      <c r="AL134" s="72"/>
    </row>
    <row r="135" spans="2:38" s="80" customFormat="1" x14ac:dyDescent="0.25">
      <c r="C135" s="60"/>
      <c r="D135" s="134"/>
      <c r="E135" s="46"/>
      <c r="F135" s="46"/>
      <c r="G135" s="41"/>
      <c r="H135" s="41"/>
      <c r="I135" s="128"/>
      <c r="J135" s="128"/>
      <c r="K135" s="46"/>
      <c r="L135" s="49"/>
      <c r="M135" s="49"/>
      <c r="N135" s="576"/>
      <c r="O135" s="127"/>
      <c r="P135" s="98"/>
      <c r="Q135" s="565"/>
      <c r="R135" s="49"/>
      <c r="S135" s="572"/>
      <c r="T135" s="567"/>
      <c r="U135" s="89"/>
      <c r="V135" s="92"/>
      <c r="W135" s="82"/>
      <c r="X135" s="88"/>
      <c r="Y135" s="93"/>
      <c r="Z135" s="84"/>
      <c r="AA135" s="84"/>
      <c r="AB135" s="85"/>
      <c r="AC135" s="85"/>
      <c r="AD135" s="86"/>
      <c r="AE135" s="87"/>
      <c r="AF135" s="88"/>
      <c r="AG135" s="83"/>
      <c r="AH135" s="135"/>
      <c r="AI135" s="569"/>
      <c r="AJ135" s="570"/>
      <c r="AK135" s="89"/>
      <c r="AL135" s="72"/>
    </row>
    <row r="136" spans="2:38" s="80" customFormat="1" ht="18.75" customHeight="1" x14ac:dyDescent="0.25">
      <c r="C136" s="534" t="s">
        <v>339</v>
      </c>
      <c r="D136" s="505">
        <v>10</v>
      </c>
      <c r="E136" s="507">
        <f>E133</f>
        <v>2303.1242857142856</v>
      </c>
      <c r="F136" s="521">
        <f>E136*D136</f>
        <v>23031.242857142857</v>
      </c>
      <c r="G136" s="514">
        <f>G133</f>
        <v>6909.3728571428564</v>
      </c>
      <c r="H136" s="39">
        <f>(G136*D136)+$S$6</f>
        <v>71093.728571428568</v>
      </c>
      <c r="I136" s="508">
        <v>0.4</v>
      </c>
      <c r="J136" s="79">
        <v>0.14499999999999999</v>
      </c>
      <c r="K136" s="510">
        <f>N136*J136</f>
        <v>14432.026899999999</v>
      </c>
      <c r="L136" s="499"/>
      <c r="M136" s="512">
        <f>IF(N136&lt;=$M$3,$E$1,IF(N136&lt;=$M$4,$G$1,IF(N136&lt;=$N$1,$I$1,0)))</f>
        <v>0</v>
      </c>
      <c r="N136" s="517">
        <f>H136+(H136*I136)</f>
        <v>99531.22</v>
      </c>
      <c r="O136" s="503">
        <f>N136 - K136 - P137  - M136-L136</f>
        <v>79127.319900000002</v>
      </c>
      <c r="Q136" s="565"/>
      <c r="R136" s="501">
        <f>G136*D136</f>
        <v>69093.728571428568</v>
      </c>
      <c r="S136" s="572"/>
      <c r="T136" s="567"/>
      <c r="U136" s="89"/>
      <c r="V136" s="92"/>
      <c r="W136" s="101"/>
      <c r="X136" s="83"/>
      <c r="Y136" s="93"/>
      <c r="Z136" s="102"/>
      <c r="AA136" s="103"/>
      <c r="AB136" s="104"/>
      <c r="AC136" s="104"/>
      <c r="AD136" s="105"/>
      <c r="AE136" s="106"/>
      <c r="AF136" s="83"/>
      <c r="AG136" s="83"/>
      <c r="AH136" s="110"/>
      <c r="AI136" s="569"/>
      <c r="AJ136" s="570"/>
      <c r="AK136" s="89"/>
      <c r="AL136" s="72"/>
    </row>
    <row r="137" spans="2:38" s="80" customFormat="1" ht="18.75" customHeight="1" x14ac:dyDescent="0.25">
      <c r="C137" s="535"/>
      <c r="D137" s="506"/>
      <c r="E137" s="507"/>
      <c r="F137" s="522"/>
      <c r="G137" s="515"/>
      <c r="H137" s="40">
        <f>O136-F136</f>
        <v>56096.077042857141</v>
      </c>
      <c r="I137" s="509"/>
      <c r="J137" s="79">
        <v>0.06</v>
      </c>
      <c r="K137" s="511"/>
      <c r="L137" s="500"/>
      <c r="M137" s="513"/>
      <c r="N137" s="518"/>
      <c r="O137" s="504"/>
      <c r="P137" s="91">
        <f>N136*J137</f>
        <v>5971.8732</v>
      </c>
      <c r="Q137" s="565"/>
      <c r="R137" s="502"/>
      <c r="S137" s="572"/>
      <c r="T137" s="567"/>
      <c r="U137" s="89"/>
      <c r="V137" s="70"/>
      <c r="W137" s="82"/>
      <c r="X137" s="88"/>
      <c r="Y137" s="83"/>
      <c r="Z137" s="84"/>
      <c r="AA137" s="84"/>
      <c r="AB137" s="85"/>
      <c r="AC137" s="85"/>
      <c r="AD137" s="86"/>
      <c r="AE137" s="87"/>
      <c r="AF137" s="88"/>
      <c r="AG137" s="89"/>
      <c r="AH137" s="84"/>
      <c r="AI137" s="569"/>
      <c r="AJ137" s="570"/>
      <c r="AK137" s="89"/>
      <c r="AL137" s="72"/>
    </row>
    <row r="138" spans="2:38" s="80" customFormat="1" x14ac:dyDescent="0.25">
      <c r="C138" s="60"/>
      <c r="D138" s="134"/>
      <c r="E138" s="46"/>
      <c r="F138" s="46"/>
      <c r="G138" s="41"/>
      <c r="H138" s="41"/>
      <c r="I138" s="128"/>
      <c r="J138" s="128"/>
      <c r="K138" s="46"/>
      <c r="L138" s="49"/>
      <c r="M138" s="49"/>
      <c r="N138" s="575"/>
      <c r="O138" s="127"/>
      <c r="P138" s="98"/>
      <c r="Q138" s="565"/>
      <c r="R138" s="49"/>
      <c r="S138" s="572"/>
      <c r="T138" s="567"/>
      <c r="U138" s="89"/>
      <c r="V138" s="92"/>
      <c r="W138" s="82"/>
      <c r="X138" s="88"/>
      <c r="Y138" s="93"/>
      <c r="Z138" s="84"/>
      <c r="AA138" s="84"/>
      <c r="AB138" s="85"/>
      <c r="AC138" s="85"/>
      <c r="AD138" s="86"/>
      <c r="AE138" s="87"/>
      <c r="AF138" s="88"/>
      <c r="AG138" s="83"/>
      <c r="AH138" s="135"/>
      <c r="AI138" s="569"/>
      <c r="AJ138" s="570"/>
      <c r="AK138" s="89"/>
      <c r="AL138" s="72"/>
    </row>
    <row r="139" spans="2:38" s="80" customFormat="1" ht="15.75" x14ac:dyDescent="0.25">
      <c r="C139" s="60"/>
      <c r="D139" s="471"/>
      <c r="E139" s="46"/>
      <c r="F139" s="146"/>
      <c r="G139" s="497" t="s">
        <v>506</v>
      </c>
      <c r="H139" s="498"/>
      <c r="I139" s="498"/>
      <c r="J139" s="498"/>
      <c r="K139" s="498"/>
      <c r="L139" s="498"/>
      <c r="M139" s="498"/>
      <c r="N139" s="89"/>
      <c r="O139" s="449"/>
      <c r="P139" s="98"/>
      <c r="Q139" s="565"/>
      <c r="R139" s="142"/>
      <c r="S139" s="572"/>
      <c r="T139" s="567"/>
      <c r="U139" s="89"/>
      <c r="V139" s="92"/>
      <c r="W139" s="82"/>
      <c r="X139" s="88"/>
      <c r="Y139" s="93"/>
      <c r="Z139" s="84"/>
      <c r="AA139" s="84"/>
      <c r="AB139" s="85"/>
      <c r="AC139" s="85"/>
      <c r="AD139" s="86"/>
      <c r="AE139" s="87"/>
      <c r="AF139" s="88"/>
      <c r="AG139" s="83"/>
      <c r="AH139" s="135"/>
      <c r="AI139" s="569"/>
      <c r="AJ139" s="570"/>
      <c r="AK139" s="89"/>
      <c r="AL139" s="72"/>
    </row>
    <row r="140" spans="2:38" s="80" customFormat="1" ht="18.75" customHeight="1" x14ac:dyDescent="0.25">
      <c r="C140" s="534" t="s">
        <v>513</v>
      </c>
      <c r="D140" s="505">
        <v>1</v>
      </c>
      <c r="E140" s="507">
        <f>Velas!K9</f>
        <v>1876.7782857142859</v>
      </c>
      <c r="F140" s="521">
        <f>E140*D140</f>
        <v>1876.7782857142859</v>
      </c>
      <c r="G140" s="514">
        <f>Velas!M9</f>
        <v>5630.3348571428578</v>
      </c>
      <c r="H140" s="39">
        <f>(G140*D140)+$S$6</f>
        <v>7630.3348571428578</v>
      </c>
      <c r="I140" s="508">
        <v>0.45</v>
      </c>
      <c r="J140" s="79">
        <v>0.14499999999999999</v>
      </c>
      <c r="K140" s="510">
        <f>N140*J140</f>
        <v>1604.2779037142859</v>
      </c>
      <c r="L140" s="499"/>
      <c r="M140" s="512">
        <f>IF(N140&lt;=$M$3,$E$1,IF(N140&lt;=$M$4,$G$1,IF(N140&lt;=$N$1,$I$1,0)))</f>
        <v>1100</v>
      </c>
      <c r="N140" s="517">
        <f>H140+(H140*I140)</f>
        <v>11063.985542857145</v>
      </c>
      <c r="O140" s="503">
        <f>N140 - K140 - P141  - M140-L140</f>
        <v>7695.868506571429</v>
      </c>
      <c r="Q140" s="561">
        <f>N140/D140</f>
        <v>11063.985542857145</v>
      </c>
      <c r="R140" s="501">
        <f>G140*D140</f>
        <v>5630.3348571428578</v>
      </c>
      <c r="S140" s="572"/>
      <c r="T140" s="567"/>
      <c r="U140" s="89"/>
      <c r="V140" s="92"/>
      <c r="W140" s="101"/>
      <c r="X140" s="83"/>
      <c r="Y140" s="93"/>
      <c r="Z140" s="102"/>
      <c r="AA140" s="103"/>
      <c r="AB140" s="104"/>
      <c r="AC140" s="104"/>
      <c r="AD140" s="105"/>
      <c r="AE140" s="106"/>
      <c r="AF140" s="83"/>
      <c r="AG140" s="83"/>
      <c r="AH140" s="110"/>
      <c r="AI140" s="569"/>
      <c r="AJ140" s="570"/>
      <c r="AK140" s="89"/>
      <c r="AL140" s="72"/>
    </row>
    <row r="141" spans="2:38" s="80" customFormat="1" ht="18.75" customHeight="1" x14ac:dyDescent="0.25">
      <c r="C141" s="535"/>
      <c r="D141" s="506"/>
      <c r="E141" s="507"/>
      <c r="F141" s="522"/>
      <c r="G141" s="515"/>
      <c r="H141" s="40">
        <f>O140-F140-S6</f>
        <v>3819.0902208571433</v>
      </c>
      <c r="I141" s="509"/>
      <c r="J141" s="79">
        <v>0.06</v>
      </c>
      <c r="K141" s="511"/>
      <c r="L141" s="500"/>
      <c r="M141" s="513"/>
      <c r="N141" s="518"/>
      <c r="O141" s="504"/>
      <c r="P141" s="91">
        <f>N140*J141</f>
        <v>663.83913257142865</v>
      </c>
      <c r="Q141" s="562"/>
      <c r="R141" s="502"/>
      <c r="S141" s="572"/>
      <c r="T141" s="567"/>
      <c r="U141" s="89"/>
      <c r="V141" s="70"/>
      <c r="W141" s="82"/>
      <c r="X141" s="88"/>
      <c r="Y141" s="83"/>
      <c r="Z141" s="84"/>
      <c r="AA141" s="84"/>
      <c r="AB141" s="85"/>
      <c r="AC141" s="85"/>
      <c r="AD141" s="86"/>
      <c r="AE141" s="87"/>
      <c r="AF141" s="88"/>
      <c r="AG141" s="89"/>
      <c r="AH141" s="84"/>
      <c r="AI141" s="569"/>
      <c r="AJ141" s="570"/>
      <c r="AK141" s="89"/>
      <c r="AL141" s="72"/>
    </row>
    <row r="142" spans="2:38" s="80" customFormat="1" x14ac:dyDescent="0.25">
      <c r="C142" s="94"/>
      <c r="D142" s="126"/>
      <c r="E142" s="46"/>
      <c r="F142" s="46"/>
      <c r="G142" s="41"/>
      <c r="H142" s="41"/>
      <c r="I142" s="128"/>
      <c r="J142" s="128"/>
      <c r="K142" s="46"/>
      <c r="L142" s="46"/>
      <c r="M142" s="46"/>
      <c r="N142" s="129"/>
      <c r="O142" s="127"/>
      <c r="P142" s="98"/>
      <c r="Q142" s="565"/>
      <c r="R142" s="130"/>
      <c r="S142" s="572"/>
      <c r="T142" s="567"/>
      <c r="U142" s="89"/>
      <c r="V142" s="92"/>
      <c r="W142" s="82"/>
      <c r="X142" s="88"/>
      <c r="Y142" s="93"/>
      <c r="Z142" s="84"/>
      <c r="AA142" s="84"/>
      <c r="AB142" s="85"/>
      <c r="AC142" s="85"/>
      <c r="AD142" s="86"/>
      <c r="AE142" s="87"/>
      <c r="AF142" s="88"/>
      <c r="AG142" s="83"/>
      <c r="AH142" s="84"/>
      <c r="AI142" s="569"/>
      <c r="AJ142" s="570"/>
      <c r="AK142" s="89"/>
      <c r="AL142" s="72"/>
    </row>
    <row r="143" spans="2:38" s="80" customFormat="1" ht="18.75" customHeight="1" x14ac:dyDescent="0.25">
      <c r="C143" s="534" t="s">
        <v>516</v>
      </c>
      <c r="D143" s="505">
        <v>10</v>
      </c>
      <c r="E143" s="507">
        <f>E140</f>
        <v>1876.7782857142859</v>
      </c>
      <c r="F143" s="521">
        <f>E143*D143</f>
        <v>18767.782857142858</v>
      </c>
      <c r="G143" s="514">
        <f>Velas!M11</f>
        <v>4691.9457142857145</v>
      </c>
      <c r="H143" s="39">
        <f>(G143*D143)+$S$6</f>
        <v>48919.457142857143</v>
      </c>
      <c r="I143" s="508">
        <v>0.41</v>
      </c>
      <c r="J143" s="79">
        <v>0.14499999999999999</v>
      </c>
      <c r="K143" s="510">
        <f>N143*J143</f>
        <v>10001.583012857143</v>
      </c>
      <c r="L143" s="499">
        <v>7000</v>
      </c>
      <c r="M143" s="512">
        <f>IF(N143&lt;=$M$3,$E$1,IF(N143&lt;=$M$4,$G$1,IF(N143&lt;=$N$1,$I$1,0)))</f>
        <v>0</v>
      </c>
      <c r="N143" s="517">
        <f>H143+(H143*I143)</f>
        <v>68976.434571428574</v>
      </c>
      <c r="O143" s="503">
        <f>N143 - K143 - P144  - M143-L143</f>
        <v>47836.265484285723</v>
      </c>
      <c r="Q143" s="561">
        <f>N143/D143</f>
        <v>6897.6434571428572</v>
      </c>
      <c r="R143" s="501">
        <f>G143*D143</f>
        <v>46919.457142857143</v>
      </c>
      <c r="S143" s="572"/>
      <c r="T143" s="567"/>
      <c r="U143" s="89"/>
      <c r="V143" s="92"/>
      <c r="W143" s="101"/>
      <c r="X143" s="83"/>
      <c r="Y143" s="93"/>
      <c r="Z143" s="102"/>
      <c r="AA143" s="103"/>
      <c r="AB143" s="104"/>
      <c r="AC143" s="104"/>
      <c r="AD143" s="105"/>
      <c r="AE143" s="106"/>
      <c r="AF143" s="83"/>
      <c r="AG143" s="83"/>
      <c r="AH143" s="102"/>
      <c r="AI143" s="569"/>
      <c r="AJ143" s="570"/>
      <c r="AK143" s="89"/>
      <c r="AL143" s="72"/>
    </row>
    <row r="144" spans="2:38" s="80" customFormat="1" ht="18.75" customHeight="1" x14ac:dyDescent="0.25">
      <c r="C144" s="535"/>
      <c r="D144" s="506"/>
      <c r="E144" s="507"/>
      <c r="F144" s="522"/>
      <c r="G144" s="515"/>
      <c r="H144" s="40">
        <f>O143-F143-S6</f>
        <v>27068.482627142865</v>
      </c>
      <c r="I144" s="509"/>
      <c r="J144" s="79">
        <v>0.06</v>
      </c>
      <c r="K144" s="511"/>
      <c r="L144" s="500"/>
      <c r="M144" s="513"/>
      <c r="N144" s="518"/>
      <c r="O144" s="504"/>
      <c r="P144" s="91">
        <f>N143*J144</f>
        <v>4138.5860742857139</v>
      </c>
      <c r="Q144" s="562"/>
      <c r="R144" s="502"/>
      <c r="S144" s="572"/>
      <c r="T144" s="567"/>
      <c r="U144" s="89"/>
      <c r="V144" s="70"/>
      <c r="W144" s="82"/>
      <c r="X144" s="88"/>
      <c r="Y144" s="83"/>
      <c r="Z144" s="84"/>
      <c r="AA144" s="84"/>
      <c r="AB144" s="85"/>
      <c r="AC144" s="85"/>
      <c r="AD144" s="86"/>
      <c r="AE144" s="87"/>
      <c r="AF144" s="88"/>
      <c r="AG144" s="89"/>
      <c r="AH144" s="89"/>
      <c r="AI144" s="569"/>
      <c r="AJ144" s="570"/>
      <c r="AK144" s="89"/>
      <c r="AL144" s="72"/>
    </row>
    <row r="145" spans="1:38" s="80" customFormat="1" x14ac:dyDescent="0.25">
      <c r="C145" s="94"/>
      <c r="D145" s="131"/>
      <c r="E145" s="46"/>
      <c r="F145" s="46"/>
      <c r="G145" s="41"/>
      <c r="H145" s="41"/>
      <c r="I145" s="128"/>
      <c r="J145" s="128"/>
      <c r="K145" s="46"/>
      <c r="L145" s="49"/>
      <c r="M145" s="49"/>
      <c r="O145" s="127"/>
      <c r="P145" s="98"/>
      <c r="Q145" s="565"/>
      <c r="R145" s="49"/>
      <c r="S145" s="572"/>
      <c r="T145" s="567"/>
      <c r="U145" s="89"/>
      <c r="V145" s="92"/>
      <c r="W145" s="82"/>
      <c r="X145" s="88"/>
      <c r="Y145" s="93"/>
      <c r="Z145" s="84"/>
      <c r="AA145" s="84"/>
      <c r="AB145" s="85"/>
      <c r="AC145" s="85"/>
      <c r="AD145" s="86"/>
      <c r="AE145" s="87"/>
      <c r="AF145" s="88"/>
      <c r="AG145" s="83"/>
      <c r="AH145" s="89"/>
      <c r="AI145" s="569"/>
      <c r="AJ145" s="570"/>
      <c r="AK145" s="89"/>
      <c r="AL145" s="72"/>
    </row>
    <row r="146" spans="1:38" s="80" customFormat="1" ht="18.75" customHeight="1" x14ac:dyDescent="0.25">
      <c r="C146" s="534" t="s">
        <v>514</v>
      </c>
      <c r="D146" s="505">
        <v>15</v>
      </c>
      <c r="E146" s="507">
        <f>E143</f>
        <v>1876.7782857142859</v>
      </c>
      <c r="F146" s="521">
        <f>E146*D146</f>
        <v>28151.674285714289</v>
      </c>
      <c r="G146" s="514">
        <f>G143</f>
        <v>4691.9457142857145</v>
      </c>
      <c r="H146" s="39">
        <f>(G146*D146)+$S$6</f>
        <v>72379.185714285719</v>
      </c>
      <c r="I146" s="508">
        <v>0.38</v>
      </c>
      <c r="J146" s="79">
        <v>0.14499999999999999</v>
      </c>
      <c r="K146" s="510">
        <f>N146*J146</f>
        <v>14483.075061428572</v>
      </c>
      <c r="L146" s="499">
        <v>7000</v>
      </c>
      <c r="M146" s="512">
        <f>IF(N146&lt;=$M$3,$E$1,IF(N146&lt;=$M$4,$G$1,IF(N146&lt;=$N$1,$I$1,0)))</f>
        <v>0</v>
      </c>
      <c r="N146" s="517">
        <f>H146+(H146*I146)</f>
        <v>99883.276285714295</v>
      </c>
      <c r="O146" s="503">
        <f>N146 - K146 - P147  - M146-L146</f>
        <v>72407.204647142877</v>
      </c>
      <c r="Q146" s="561">
        <f>N146/D146</f>
        <v>6658.8850857142861</v>
      </c>
      <c r="R146" s="501">
        <f>G146*D146</f>
        <v>70379.185714285719</v>
      </c>
      <c r="S146" s="572"/>
      <c r="T146" s="89"/>
      <c r="U146" s="89"/>
      <c r="V146" s="92"/>
      <c r="W146" s="101"/>
      <c r="X146" s="83"/>
      <c r="Y146" s="93"/>
      <c r="Z146" s="102"/>
      <c r="AA146" s="103"/>
      <c r="AB146" s="104"/>
      <c r="AC146" s="104"/>
      <c r="AD146" s="105"/>
      <c r="AE146" s="106"/>
      <c r="AF146" s="83"/>
      <c r="AG146" s="83"/>
      <c r="AH146" s="60"/>
      <c r="AI146" s="569"/>
      <c r="AJ146" s="570"/>
      <c r="AK146" s="89"/>
      <c r="AL146" s="72"/>
    </row>
    <row r="147" spans="1:38" s="80" customFormat="1" ht="18.75" customHeight="1" x14ac:dyDescent="0.25">
      <c r="C147" s="535"/>
      <c r="D147" s="506"/>
      <c r="E147" s="507"/>
      <c r="F147" s="522"/>
      <c r="G147" s="515"/>
      <c r="H147" s="40">
        <f>O146-F146</f>
        <v>44255.530361428588</v>
      </c>
      <c r="I147" s="509"/>
      <c r="J147" s="79">
        <v>0.06</v>
      </c>
      <c r="K147" s="511"/>
      <c r="L147" s="500"/>
      <c r="M147" s="513"/>
      <c r="N147" s="518"/>
      <c r="O147" s="504"/>
      <c r="P147" s="91">
        <f>N146*J147</f>
        <v>5992.9965771428579</v>
      </c>
      <c r="Q147" s="562"/>
      <c r="R147" s="502"/>
      <c r="S147" s="572"/>
      <c r="T147" s="89"/>
      <c r="U147" s="89"/>
      <c r="V147" s="70"/>
      <c r="W147" s="82"/>
      <c r="X147" s="88"/>
      <c r="Y147" s="83"/>
      <c r="Z147" s="84"/>
      <c r="AA147" s="84"/>
      <c r="AB147" s="85"/>
      <c r="AC147" s="85"/>
      <c r="AD147" s="86"/>
      <c r="AE147" s="87"/>
      <c r="AF147" s="88"/>
      <c r="AG147" s="89"/>
      <c r="AH147" s="89"/>
      <c r="AI147" s="569"/>
      <c r="AJ147" s="570"/>
      <c r="AK147" s="89"/>
      <c r="AL147" s="72"/>
    </row>
    <row r="148" spans="1:38" s="80" customFormat="1" ht="18.75" customHeight="1" x14ac:dyDescent="0.25">
      <c r="C148" s="94"/>
      <c r="D148" s="132"/>
      <c r="E148" s="46"/>
      <c r="F148" s="42"/>
      <c r="G148" s="41"/>
      <c r="H148" s="41"/>
      <c r="I148" s="78"/>
      <c r="J148" s="99"/>
      <c r="K148" s="42"/>
      <c r="L148" s="49"/>
      <c r="M148" s="49"/>
      <c r="N148" s="576"/>
      <c r="O148" s="127"/>
      <c r="P148" s="98"/>
      <c r="Q148" s="565"/>
      <c r="R148" s="130"/>
      <c r="S148" s="572"/>
      <c r="T148" s="567"/>
      <c r="U148" s="89"/>
      <c r="V148" s="92"/>
      <c r="W148" s="82"/>
      <c r="X148" s="88"/>
      <c r="Y148" s="93"/>
      <c r="Z148" s="84"/>
      <c r="AA148" s="84"/>
      <c r="AB148" s="85"/>
      <c r="AC148" s="85"/>
      <c r="AD148" s="86"/>
      <c r="AE148" s="87"/>
      <c r="AF148" s="88"/>
      <c r="AG148" s="83"/>
      <c r="AH148" s="89"/>
      <c r="AI148" s="569"/>
      <c r="AJ148" s="570"/>
      <c r="AK148" s="89"/>
      <c r="AL148" s="72"/>
    </row>
    <row r="149" spans="1:38" s="80" customFormat="1" ht="18.75" customHeight="1" x14ac:dyDescent="0.25">
      <c r="B149" s="89"/>
      <c r="C149" s="534" t="s">
        <v>514</v>
      </c>
      <c r="D149" s="505">
        <v>20</v>
      </c>
      <c r="E149" s="507">
        <f>E146</f>
        <v>1876.7782857142859</v>
      </c>
      <c r="F149" s="521">
        <f>E149*D149</f>
        <v>37535.565714285716</v>
      </c>
      <c r="G149" s="514">
        <f>Velas!M13</f>
        <v>4316.5900571428574</v>
      </c>
      <c r="H149" s="39">
        <f>(G149*D149)+$S$6</f>
        <v>88331.801142857148</v>
      </c>
      <c r="I149" s="508">
        <v>0.37</v>
      </c>
      <c r="J149" s="79">
        <v>0.15</v>
      </c>
      <c r="K149" s="510">
        <f>N149*J149</f>
        <v>18152.185134857144</v>
      </c>
      <c r="L149" s="499">
        <v>7000</v>
      </c>
      <c r="M149" s="512">
        <f>IF(N149&lt;=$M$3,$E$1,IF(N149&lt;=$M$4,$G$1,IF(N149&lt;=$N$1,$I$1,0)))</f>
        <v>0</v>
      </c>
      <c r="N149" s="517">
        <f>H149+(H149*I149)</f>
        <v>121014.5675657143</v>
      </c>
      <c r="O149" s="503">
        <f>N149 - K149 - P150  - M149-L149</f>
        <v>88601.508376914309</v>
      </c>
      <c r="Q149" s="561">
        <f>N149/D149</f>
        <v>6050.7283782857148</v>
      </c>
      <c r="R149" s="501">
        <f>G149*D149</f>
        <v>86331.801142857148</v>
      </c>
      <c r="S149" s="572"/>
      <c r="T149" s="567"/>
      <c r="U149" s="89"/>
      <c r="V149" s="92"/>
      <c r="W149" s="101"/>
      <c r="X149" s="83"/>
      <c r="Y149" s="93"/>
      <c r="Z149" s="102"/>
      <c r="AA149" s="103"/>
      <c r="AB149" s="104"/>
      <c r="AC149" s="104"/>
      <c r="AD149" s="105"/>
      <c r="AE149" s="106"/>
      <c r="AF149" s="83"/>
      <c r="AG149" s="83"/>
      <c r="AH149" s="60"/>
      <c r="AI149" s="569"/>
      <c r="AJ149" s="570"/>
      <c r="AK149" s="89"/>
      <c r="AL149" s="72"/>
    </row>
    <row r="150" spans="1:38" s="80" customFormat="1" ht="18.75" customHeight="1" x14ac:dyDescent="0.25">
      <c r="B150" s="579"/>
      <c r="C150" s="535"/>
      <c r="D150" s="506"/>
      <c r="E150" s="507"/>
      <c r="F150" s="522"/>
      <c r="G150" s="515"/>
      <c r="H150" s="40">
        <f>O149-F149</f>
        <v>51065.942662628593</v>
      </c>
      <c r="I150" s="509"/>
      <c r="J150" s="79">
        <v>0.06</v>
      </c>
      <c r="K150" s="511"/>
      <c r="L150" s="500"/>
      <c r="M150" s="513"/>
      <c r="N150" s="518"/>
      <c r="O150" s="504"/>
      <c r="P150" s="91">
        <f>N149*J150</f>
        <v>7260.8740539428582</v>
      </c>
      <c r="Q150" s="562"/>
      <c r="R150" s="502"/>
      <c r="S150" s="572"/>
      <c r="T150" s="567"/>
      <c r="U150" s="568"/>
      <c r="V150" s="70"/>
      <c r="W150" s="82"/>
      <c r="X150" s="88"/>
      <c r="Y150" s="83"/>
      <c r="Z150" s="84"/>
      <c r="AA150" s="84"/>
      <c r="AB150" s="85"/>
      <c r="AC150" s="85"/>
      <c r="AD150" s="86"/>
      <c r="AE150" s="87"/>
      <c r="AF150" s="88"/>
      <c r="AG150" s="89"/>
      <c r="AH150" s="135"/>
      <c r="AI150" s="569"/>
      <c r="AJ150" s="570"/>
      <c r="AK150" s="89"/>
      <c r="AL150" s="72"/>
    </row>
    <row r="151" spans="1:38" s="80" customFormat="1" x14ac:dyDescent="0.25">
      <c r="C151" s="53"/>
      <c r="D151" s="132"/>
      <c r="E151" s="46"/>
      <c r="F151" s="42"/>
      <c r="G151" s="41"/>
      <c r="H151" s="41"/>
      <c r="I151" s="78"/>
      <c r="J151" s="99"/>
      <c r="K151" s="42"/>
      <c r="L151" s="49"/>
      <c r="M151" s="49"/>
      <c r="N151" s="575"/>
      <c r="O151" s="127"/>
      <c r="P151" s="98"/>
      <c r="Q151" s="565"/>
      <c r="R151" s="49"/>
      <c r="S151" s="572"/>
      <c r="T151" s="567"/>
      <c r="U151" s="89"/>
      <c r="V151" s="92"/>
      <c r="W151" s="82"/>
      <c r="X151" s="88"/>
      <c r="Y151" s="93"/>
      <c r="Z151" s="84"/>
      <c r="AA151" s="84"/>
      <c r="AB151" s="85"/>
      <c r="AC151" s="85"/>
      <c r="AD151" s="86"/>
      <c r="AE151" s="87"/>
      <c r="AF151" s="88"/>
      <c r="AG151" s="83"/>
      <c r="AH151" s="135"/>
      <c r="AI151" s="569"/>
      <c r="AJ151" s="570"/>
      <c r="AK151" s="89"/>
      <c r="AL151" s="72"/>
    </row>
    <row r="152" spans="1:38" s="80" customFormat="1" ht="18.75" customHeight="1" x14ac:dyDescent="0.25">
      <c r="C152" s="534" t="s">
        <v>515</v>
      </c>
      <c r="D152" s="505">
        <v>50</v>
      </c>
      <c r="E152" s="507">
        <f>E149</f>
        <v>1876.7782857142859</v>
      </c>
      <c r="F152" s="521">
        <f>E152*D152</f>
        <v>93838.914285714287</v>
      </c>
      <c r="G152" s="514">
        <f>Velas!M15</f>
        <v>3941.2344000000003</v>
      </c>
      <c r="H152" s="39">
        <f>(G152*D152)+$S$6</f>
        <v>199061.72</v>
      </c>
      <c r="I152" s="508">
        <v>0.32500000000000001</v>
      </c>
      <c r="J152" s="79">
        <v>0.15</v>
      </c>
      <c r="K152" s="510">
        <f>N152*J152</f>
        <v>39563.516849999993</v>
      </c>
      <c r="L152" s="499">
        <v>9000</v>
      </c>
      <c r="M152" s="512">
        <f>IF(N152&lt;=$M$3,$E$1,IF(N152&lt;=$M$4,$G$1,IF(N152&lt;=$N$1,$I$1,0)))</f>
        <v>0</v>
      </c>
      <c r="N152" s="517">
        <f>H152+(H152*I152)</f>
        <v>263756.77899999998</v>
      </c>
      <c r="O152" s="503">
        <f>N152 - K152 - P153  - M152-L152</f>
        <v>199367.85540999999</v>
      </c>
      <c r="Q152" s="561">
        <f>N152/D152</f>
        <v>5275.1355799999992</v>
      </c>
      <c r="R152" s="501">
        <f>G152*D152</f>
        <v>197061.72</v>
      </c>
      <c r="S152" s="572"/>
      <c r="T152" s="567"/>
      <c r="U152" s="89"/>
      <c r="V152" s="92"/>
      <c r="W152" s="101"/>
      <c r="X152" s="83"/>
      <c r="Y152" s="93"/>
      <c r="Z152" s="102"/>
      <c r="AA152" s="103"/>
      <c r="AB152" s="104"/>
      <c r="AC152" s="104"/>
      <c r="AD152" s="105"/>
      <c r="AE152" s="106"/>
      <c r="AF152" s="83"/>
      <c r="AG152" s="83"/>
      <c r="AH152" s="110"/>
      <c r="AI152" s="569"/>
      <c r="AJ152" s="570"/>
      <c r="AK152" s="89"/>
      <c r="AL152" s="72"/>
    </row>
    <row r="153" spans="1:38" s="80" customFormat="1" ht="18.75" customHeight="1" x14ac:dyDescent="0.25">
      <c r="C153" s="535"/>
      <c r="D153" s="506"/>
      <c r="E153" s="507"/>
      <c r="F153" s="522"/>
      <c r="G153" s="515"/>
      <c r="H153" s="40">
        <f>O152-F152-S6</f>
        <v>103528.9411242857</v>
      </c>
      <c r="I153" s="509"/>
      <c r="J153" s="79">
        <v>0.06</v>
      </c>
      <c r="K153" s="511"/>
      <c r="L153" s="500"/>
      <c r="M153" s="513"/>
      <c r="N153" s="518"/>
      <c r="O153" s="504"/>
      <c r="P153" s="91">
        <f>N152*J153</f>
        <v>15825.406739999999</v>
      </c>
      <c r="Q153" s="562"/>
      <c r="R153" s="502"/>
      <c r="S153" s="572"/>
      <c r="T153" s="567"/>
      <c r="U153" s="89"/>
      <c r="V153" s="70"/>
      <c r="W153" s="82"/>
      <c r="X153" s="88"/>
      <c r="Y153" s="83"/>
      <c r="Z153" s="84"/>
      <c r="AA153" s="84"/>
      <c r="AB153" s="85"/>
      <c r="AC153" s="85"/>
      <c r="AD153" s="86"/>
      <c r="AE153" s="87"/>
      <c r="AF153" s="88"/>
      <c r="AG153" s="89"/>
      <c r="AH153" s="84"/>
      <c r="AI153" s="569"/>
      <c r="AJ153" s="570"/>
      <c r="AK153" s="89"/>
      <c r="AL153" s="72"/>
    </row>
    <row r="154" spans="1:38" s="80" customFormat="1" x14ac:dyDescent="0.25">
      <c r="A154" s="575"/>
      <c r="B154" s="575"/>
      <c r="C154" s="133"/>
      <c r="D154" s="136"/>
      <c r="E154" s="146"/>
      <c r="F154" s="142"/>
      <c r="G154" s="142"/>
      <c r="H154" s="142"/>
      <c r="I154" s="575"/>
      <c r="J154" s="575"/>
      <c r="K154" s="142"/>
      <c r="L154" s="142"/>
      <c r="M154" s="142"/>
      <c r="N154" s="575"/>
      <c r="O154" s="137"/>
      <c r="P154" s="112"/>
      <c r="Q154" s="565"/>
      <c r="R154" s="138"/>
      <c r="S154" s="572"/>
      <c r="T154" s="567"/>
      <c r="U154" s="89"/>
      <c r="V154" s="92"/>
      <c r="W154" s="82"/>
      <c r="X154" s="88"/>
      <c r="Y154" s="93"/>
      <c r="Z154" s="84"/>
      <c r="AA154" s="84"/>
      <c r="AB154" s="85"/>
      <c r="AC154" s="85"/>
      <c r="AD154" s="86"/>
      <c r="AE154" s="87"/>
      <c r="AF154" s="88"/>
      <c r="AG154" s="83"/>
      <c r="AH154" s="84"/>
      <c r="AI154" s="569"/>
      <c r="AJ154" s="570"/>
      <c r="AK154" s="89"/>
      <c r="AL154" s="72"/>
    </row>
    <row r="155" spans="1:38" s="80" customFormat="1" x14ac:dyDescent="0.25">
      <c r="A155" s="140"/>
      <c r="B155" s="140"/>
      <c r="C155" s="546"/>
      <c r="D155" s="547"/>
      <c r="E155" s="548">
        <f>Velas!K9</f>
        <v>1876.7782857142859</v>
      </c>
      <c r="F155" s="551">
        <f>E155*D155</f>
        <v>0</v>
      </c>
      <c r="G155" s="523">
        <f>Velas!M9</f>
        <v>5630.3348571428578</v>
      </c>
      <c r="H155" s="39">
        <f>(G155*D155)+$S$6</f>
        <v>2000</v>
      </c>
      <c r="I155" s="549">
        <f>N155/H155-1</f>
        <v>1.1000000000000001</v>
      </c>
      <c r="J155" s="139">
        <v>0.15</v>
      </c>
      <c r="K155" s="550">
        <f>N155*J155</f>
        <v>630</v>
      </c>
      <c r="L155" s="445"/>
      <c r="M155" s="512">
        <f>IF(N155&lt;=$M$3,$E$1,IF(N155&lt;=$M$4,$G$1,IF(N155&lt;=$N$1,$I$1,0)))</f>
        <v>1100</v>
      </c>
      <c r="N155" s="524">
        <v>4200</v>
      </c>
      <c r="O155" s="503">
        <f>N155 - K155 - P156  - M155-L155</f>
        <v>2218</v>
      </c>
      <c r="P155" s="140"/>
      <c r="Q155" s="565"/>
      <c r="R155" s="501">
        <f>G155*D155</f>
        <v>0</v>
      </c>
      <c r="S155" s="572"/>
      <c r="T155" s="567"/>
      <c r="U155" s="89"/>
      <c r="V155" s="92"/>
      <c r="W155" s="101"/>
      <c r="X155" s="83"/>
      <c r="Y155" s="93"/>
      <c r="Z155" s="102"/>
      <c r="AA155" s="103"/>
      <c r="AB155" s="104"/>
      <c r="AC155" s="104"/>
      <c r="AD155" s="105"/>
      <c r="AE155" s="106"/>
      <c r="AF155" s="83"/>
      <c r="AG155" s="83"/>
      <c r="AH155" s="102"/>
      <c r="AI155" s="569"/>
      <c r="AJ155" s="570"/>
      <c r="AK155" s="89"/>
      <c r="AL155" s="72"/>
    </row>
    <row r="156" spans="1:38" s="80" customFormat="1" x14ac:dyDescent="0.25">
      <c r="C156" s="535"/>
      <c r="D156" s="506"/>
      <c r="E156" s="507"/>
      <c r="F156" s="522"/>
      <c r="G156" s="515"/>
      <c r="H156" s="40">
        <f>O155-F155</f>
        <v>2218</v>
      </c>
      <c r="I156" s="509"/>
      <c r="J156" s="79">
        <v>0.06</v>
      </c>
      <c r="K156" s="511"/>
      <c r="L156" s="440"/>
      <c r="M156" s="513"/>
      <c r="N156" s="525"/>
      <c r="O156" s="504"/>
      <c r="P156" s="91">
        <f>N155*J156</f>
        <v>252</v>
      </c>
      <c r="Q156" s="565"/>
      <c r="R156" s="502"/>
      <c r="S156" s="572"/>
      <c r="T156" s="567"/>
      <c r="U156" s="89"/>
      <c r="V156" s="70"/>
      <c r="W156" s="82"/>
      <c r="X156" s="88"/>
      <c r="Y156" s="83"/>
      <c r="Z156" s="84"/>
      <c r="AA156" s="84"/>
      <c r="AB156" s="85"/>
      <c r="AC156" s="85"/>
      <c r="AD156" s="86"/>
      <c r="AE156" s="87"/>
      <c r="AF156" s="88"/>
      <c r="AG156" s="89"/>
      <c r="AH156" s="89"/>
      <c r="AI156" s="569"/>
      <c r="AJ156" s="570"/>
      <c r="AK156" s="89"/>
      <c r="AL156" s="72"/>
    </row>
    <row r="157" spans="1:38" s="80" customFormat="1" x14ac:dyDescent="0.25">
      <c r="C157" s="96"/>
      <c r="D157" s="132"/>
      <c r="E157" s="46"/>
      <c r="F157" s="49"/>
      <c r="G157" s="49"/>
      <c r="H157" s="49"/>
      <c r="K157" s="49"/>
      <c r="L157" s="49"/>
      <c r="M157" s="49"/>
      <c r="O157" s="127"/>
      <c r="P157" s="98"/>
      <c r="Q157" s="565"/>
      <c r="R157" s="49"/>
      <c r="S157" s="572"/>
      <c r="T157" s="567"/>
      <c r="U157" s="89"/>
      <c r="V157" s="92"/>
      <c r="W157" s="82"/>
      <c r="X157" s="88"/>
      <c r="Y157" s="93"/>
      <c r="Z157" s="84"/>
      <c r="AA157" s="84"/>
      <c r="AB157" s="85"/>
      <c r="AC157" s="85"/>
      <c r="AD157" s="86"/>
      <c r="AE157" s="87"/>
      <c r="AF157" s="88"/>
      <c r="AG157" s="83"/>
      <c r="AH157" s="89"/>
      <c r="AI157" s="569"/>
      <c r="AJ157" s="570"/>
      <c r="AK157" s="89"/>
      <c r="AL157" s="72"/>
    </row>
    <row r="158" spans="1:38" s="80" customFormat="1" ht="18.75" customHeight="1" x14ac:dyDescent="0.25">
      <c r="C158" s="546"/>
      <c r="D158" s="505"/>
      <c r="E158" s="507">
        <f>Velas!K9</f>
        <v>1876.7782857142859</v>
      </c>
      <c r="F158" s="521">
        <f>E158*D158</f>
        <v>0</v>
      </c>
      <c r="G158" s="514">
        <f>G155</f>
        <v>5630.3348571428578</v>
      </c>
      <c r="H158" s="39">
        <f>(G158*D158)+$S$6</f>
        <v>2000</v>
      </c>
      <c r="I158" s="508" t="e">
        <f>N158/H158-1</f>
        <v>#REF!</v>
      </c>
      <c r="J158" s="79">
        <v>0.15</v>
      </c>
      <c r="K158" s="510" t="e">
        <f>N158*J158</f>
        <v>#REF!</v>
      </c>
      <c r="L158" s="439"/>
      <c r="M158" s="512" t="e">
        <f>IF(N158&lt;=$M$3,$E$1,IF(N158&lt;=$M$4,$G$1,IF(N158&lt;=$N$1,$I$1,0)))</f>
        <v>#REF!</v>
      </c>
      <c r="N158" s="524" t="e">
        <f>_xlfn.LET(
  _xlpm.den,(1-J158)*(1-J159),
  _xlpm.NA,(H158+#REF!+1100)/_xlpm.den,
  _xlpm.NB,(H158+#REF!+2200)/_xlpm.den,
  _xlpm.NC,(H158+#REF!+2700)/_xlpm.den,
  _xlpm.ND,(H158+#REF!+0)/_xlpm.den,
  _xlpm.N5_base,IF(_xlpm.NA&lt;=15000,_xlpm.NA,IF(AND(_xlpm.NB&gt;15000,_xlpm.NB&lt;=25000),_xlpm.NB,IF(AND(_xlpm.NC&gt;25000,_xlpm.NC&lt;=33000),_xlpm.NC,_xlpm.ND))),
  _xlpm.N5_pub,ROUNDUP(_xlpm.N5_base*(1+#REF!),-2),
  _xlpm.N5_pub
)</f>
        <v>#REF!</v>
      </c>
      <c r="O158" s="503" t="e">
        <f>N158 - K158 - P159  - M158-L158</f>
        <v>#REF!</v>
      </c>
      <c r="Q158" s="565"/>
      <c r="R158" s="501">
        <f>G158*D158</f>
        <v>0</v>
      </c>
      <c r="S158" s="572"/>
      <c r="T158" s="567"/>
      <c r="U158" s="89"/>
      <c r="V158" s="92"/>
      <c r="W158" s="101"/>
      <c r="X158" s="83"/>
      <c r="Y158" s="93"/>
      <c r="Z158" s="102"/>
      <c r="AA158" s="103"/>
      <c r="AB158" s="104"/>
      <c r="AC158" s="104"/>
      <c r="AD158" s="105"/>
      <c r="AE158" s="106"/>
      <c r="AF158" s="83"/>
      <c r="AG158" s="83"/>
      <c r="AH158" s="60"/>
      <c r="AI158" s="569"/>
      <c r="AJ158" s="570"/>
      <c r="AK158" s="89"/>
      <c r="AL158" s="72"/>
    </row>
    <row r="159" spans="1:38" s="80" customFormat="1" ht="18.75" customHeight="1" x14ac:dyDescent="0.25">
      <c r="C159" s="535"/>
      <c r="D159" s="506"/>
      <c r="E159" s="507"/>
      <c r="F159" s="522"/>
      <c r="G159" s="515"/>
      <c r="H159" s="40" t="e">
        <f>O158-F158</f>
        <v>#REF!</v>
      </c>
      <c r="I159" s="509"/>
      <c r="J159" s="79">
        <v>0.06</v>
      </c>
      <c r="K159" s="511"/>
      <c r="L159" s="440"/>
      <c r="M159" s="513"/>
      <c r="N159" s="525"/>
      <c r="O159" s="504"/>
      <c r="P159" s="91" t="e">
        <f>N158*J159</f>
        <v>#REF!</v>
      </c>
      <c r="Q159" s="565"/>
      <c r="R159" s="502"/>
      <c r="S159" s="572"/>
      <c r="T159" s="567"/>
      <c r="U159" s="89"/>
      <c r="V159" s="70"/>
      <c r="W159" s="82"/>
      <c r="X159" s="88"/>
      <c r="Y159" s="83"/>
      <c r="Z159" s="84"/>
      <c r="AA159" s="84"/>
      <c r="AB159" s="85"/>
      <c r="AC159" s="85"/>
      <c r="AD159" s="86"/>
      <c r="AE159" s="87"/>
      <c r="AF159" s="88"/>
      <c r="AG159" s="89"/>
      <c r="AH159" s="89"/>
      <c r="AI159" s="569"/>
      <c r="AJ159" s="570"/>
      <c r="AK159" s="89"/>
      <c r="AL159" s="72"/>
    </row>
    <row r="160" spans="1:38" s="80" customFormat="1" x14ac:dyDescent="0.25">
      <c r="C160" s="94"/>
      <c r="D160" s="126"/>
      <c r="E160" s="46"/>
      <c r="F160" s="49"/>
      <c r="G160" s="49"/>
      <c r="H160" s="49"/>
      <c r="K160" s="49"/>
      <c r="L160" s="49"/>
      <c r="M160" s="49"/>
      <c r="N160" s="575"/>
      <c r="O160" s="127"/>
      <c r="P160" s="98"/>
      <c r="Q160" s="565"/>
      <c r="R160" s="130"/>
      <c r="S160" s="572"/>
      <c r="T160" s="567"/>
      <c r="U160" s="89"/>
      <c r="V160" s="92"/>
      <c r="W160" s="82"/>
      <c r="X160" s="88"/>
      <c r="Y160" s="93"/>
      <c r="Z160" s="84"/>
      <c r="AA160" s="84"/>
      <c r="AB160" s="85"/>
      <c r="AC160" s="85"/>
      <c r="AD160" s="86"/>
      <c r="AE160" s="87"/>
      <c r="AF160" s="88"/>
      <c r="AG160" s="83"/>
      <c r="AH160" s="89"/>
      <c r="AI160" s="569"/>
      <c r="AJ160" s="570"/>
      <c r="AK160" s="89"/>
      <c r="AL160" s="72"/>
    </row>
    <row r="161" spans="2:38" s="80" customFormat="1" ht="23.25" customHeight="1" x14ac:dyDescent="0.25">
      <c r="B161" s="89"/>
      <c r="C161" s="546"/>
      <c r="D161" s="505"/>
      <c r="E161" s="507" t="e">
        <f>Velas!#REF!</f>
        <v>#REF!</v>
      </c>
      <c r="F161" s="521" t="e">
        <f>E161*D161</f>
        <v>#REF!</v>
      </c>
      <c r="G161" s="514" t="e">
        <f>Velas!#REF!</f>
        <v>#REF!</v>
      </c>
      <c r="H161" s="39" t="e">
        <f>(G161*D161)+$S$6</f>
        <v>#REF!</v>
      </c>
      <c r="I161" s="508" t="e">
        <f>N161/H161-1</f>
        <v>#REF!</v>
      </c>
      <c r="J161" s="79">
        <v>0.15</v>
      </c>
      <c r="K161" s="510" t="e">
        <f>N161*J161</f>
        <v>#REF!</v>
      </c>
      <c r="L161" s="439"/>
      <c r="M161" s="512" t="e">
        <f>IF(N161&lt;=$M$3,$E$1,IF(N161&lt;=$M$4,$G$1,IF(N161&lt;=$N$1,$I$1,0)))</f>
        <v>#REF!</v>
      </c>
      <c r="N161" s="524" t="e">
        <f>_xlfn.LET(
  _xlpm.den,(1-J161)*(1-J162),
  _xlpm.NA,(H161+1100)/_xlpm.den,
  _xlpm.NB,(H161+2200)/_xlpm.den,
  _xlpm.NC,(H161+2700)/_xlpm.den,
  _xlpm.ND,(H161)/_xlpm.den,
  _xlpm.N_base,IF(_xlpm.NA&lt;=15000,_xlpm.NA,IF(AND(_xlpm.NB&gt;15000,_xlpm.NB&lt;=25000),_xlpm.NB,IF(AND(_xlpm.NC&gt;25000,_xlpm.NC&lt;=33000),_xlpm.NC,_xlpm.ND))),
  _xlpm.N_pub,ROUNDUP(_xlpm.N_base*(1+$T$6),-2),
  _xlpm.envio,IF(_xlpm.N_pub&gt;=33000,7000,0),
  ROUNDUP((_xlpm.N_base+_xlpm.envio)*(1+$T$6),-2)
)</f>
        <v>#REF!</v>
      </c>
      <c r="O161" s="503" t="e">
        <f>N161 - K161 - P162  - M161</f>
        <v>#REF!</v>
      </c>
      <c r="Q161" s="565"/>
      <c r="R161" s="501" t="e">
        <f>G161*D161</f>
        <v>#REF!</v>
      </c>
      <c r="S161" s="572"/>
      <c r="T161" s="567"/>
      <c r="U161" s="89"/>
      <c r="V161" s="92"/>
      <c r="W161" s="101"/>
      <c r="X161" s="83"/>
      <c r="Y161" s="93"/>
      <c r="Z161" s="102"/>
      <c r="AA161" s="103"/>
      <c r="AB161" s="104"/>
      <c r="AC161" s="104"/>
      <c r="AD161" s="105"/>
      <c r="AE161" s="106"/>
      <c r="AF161" s="83"/>
      <c r="AG161" s="83"/>
      <c r="AH161" s="60"/>
      <c r="AI161" s="569"/>
      <c r="AJ161" s="570"/>
      <c r="AK161" s="89"/>
      <c r="AL161" s="72"/>
    </row>
    <row r="162" spans="2:38" s="80" customFormat="1" ht="18.75" customHeight="1" x14ac:dyDescent="0.25">
      <c r="B162" s="564"/>
      <c r="C162" s="535"/>
      <c r="D162" s="506"/>
      <c r="E162" s="507"/>
      <c r="F162" s="522"/>
      <c r="G162" s="515"/>
      <c r="H162" s="40" t="e">
        <f>O161-F161</f>
        <v>#REF!</v>
      </c>
      <c r="I162" s="509"/>
      <c r="J162" s="79">
        <v>0.06</v>
      </c>
      <c r="K162" s="511"/>
      <c r="L162" s="440"/>
      <c r="M162" s="513"/>
      <c r="N162" s="525"/>
      <c r="O162" s="504"/>
      <c r="P162" s="91" t="e">
        <f>N161*J162</f>
        <v>#REF!</v>
      </c>
      <c r="Q162" s="565"/>
      <c r="R162" s="502"/>
      <c r="S162" s="572"/>
      <c r="T162" s="567"/>
      <c r="U162" s="568"/>
      <c r="V162" s="70"/>
      <c r="W162" s="82"/>
      <c r="X162" s="88"/>
      <c r="Y162" s="83"/>
      <c r="Z162" s="84"/>
      <c r="AA162" s="84"/>
      <c r="AB162" s="85"/>
      <c r="AC162" s="85"/>
      <c r="AD162" s="86"/>
      <c r="AE162" s="87"/>
      <c r="AF162" s="88"/>
      <c r="AG162" s="89"/>
      <c r="AH162" s="90"/>
      <c r="AI162" s="569"/>
      <c r="AJ162" s="570"/>
      <c r="AK162" s="89"/>
      <c r="AL162" s="72"/>
    </row>
    <row r="163" spans="2:38" s="80" customFormat="1" x14ac:dyDescent="0.25">
      <c r="C163" s="94"/>
      <c r="D163" s="131"/>
      <c r="E163" s="46"/>
      <c r="F163" s="49"/>
      <c r="G163" s="49" t="e">
        <f>G162/D161</f>
        <v>#DIV/0!</v>
      </c>
      <c r="H163" s="49"/>
      <c r="K163" s="49"/>
      <c r="L163" s="49"/>
      <c r="M163" s="49"/>
      <c r="N163" s="576"/>
      <c r="O163" s="127"/>
      <c r="P163" s="98"/>
      <c r="Q163" s="565"/>
      <c r="R163" s="49"/>
      <c r="S163" s="572"/>
      <c r="T163" s="567"/>
      <c r="U163" s="89"/>
      <c r="V163" s="70"/>
      <c r="W163" s="82"/>
      <c r="X163" s="88"/>
      <c r="Y163" s="93"/>
      <c r="Z163" s="84"/>
      <c r="AA163" s="84"/>
      <c r="AB163" s="85"/>
      <c r="AC163" s="85"/>
      <c r="AD163" s="86"/>
      <c r="AE163" s="87"/>
      <c r="AF163" s="88"/>
      <c r="AG163" s="83"/>
      <c r="AH163" s="89"/>
      <c r="AI163" s="569"/>
      <c r="AJ163" s="570"/>
      <c r="AK163" s="89"/>
      <c r="AL163" s="72"/>
    </row>
    <row r="164" spans="2:38" s="80" customFormat="1" ht="18.75" customHeight="1" x14ac:dyDescent="0.25">
      <c r="C164" s="546" t="s">
        <v>134</v>
      </c>
      <c r="D164" s="505">
        <v>100</v>
      </c>
      <c r="E164" s="507" t="e">
        <f>E161</f>
        <v>#REF!</v>
      </c>
      <c r="F164" s="521" t="e">
        <f>E164*D164</f>
        <v>#REF!</v>
      </c>
      <c r="G164" s="514" t="e">
        <f>G161</f>
        <v>#REF!</v>
      </c>
      <c r="H164" s="39" t="e">
        <f>(G164*D164)+$S$6</f>
        <v>#REF!</v>
      </c>
      <c r="I164" s="508" t="e">
        <f>N164/H164-1</f>
        <v>#REF!</v>
      </c>
      <c r="J164" s="79">
        <v>0.15</v>
      </c>
      <c r="K164" s="510" t="e">
        <f>N164*J164</f>
        <v>#REF!</v>
      </c>
      <c r="L164" s="439"/>
      <c r="M164" s="512" t="e">
        <f>IF(N164&lt;=$M$3,$E$1,IF(N164&lt;=$M$4,$G$1,IF(N164&lt;=$N$1,$I$1,0)))</f>
        <v>#REF!</v>
      </c>
      <c r="N164" s="524" t="e">
        <f>_xlfn.LET(
  _xlpm.den,(1-J164)*(1-J165),
  _xlpm.NA,(H164+1100)/_xlpm.den,
  _xlpm.NB,(H164+2200)/_xlpm.den,
  _xlpm.NC,(H164+2700)/_xlpm.den,
  _xlpm.ND,(H164)/_xlpm.den,
  _xlpm.N_base,IF(_xlpm.NA&lt;=15000,_xlpm.NA,IF(AND(_xlpm.NB&gt;15000,_xlpm.NB&lt;=25000),_xlpm.NB,IF(AND(_xlpm.NC&gt;25000,_xlpm.NC&lt;=33000),_xlpm.NC,_xlpm.ND))),
  _xlpm.N_pub,ROUNDUP(_xlpm.N_base*(1+$T$6),-2),
  _xlpm.envio,IF(_xlpm.N_pub&gt;=33000,7000,0),
  ROUNDUP((_xlpm.N_base+_xlpm.envio)*(1+$T$6),-2)
)</f>
        <v>#REF!</v>
      </c>
      <c r="O164" s="503" t="e">
        <f>N164 - K164 - P165  - M164</f>
        <v>#REF!</v>
      </c>
      <c r="Q164" s="565"/>
      <c r="R164" s="501" t="e">
        <f>G164*D164</f>
        <v>#REF!</v>
      </c>
      <c r="S164" s="572"/>
      <c r="T164" s="567"/>
      <c r="U164" s="89"/>
      <c r="V164" s="89"/>
      <c r="W164" s="89"/>
      <c r="X164" s="89"/>
      <c r="Y164" s="89"/>
      <c r="Z164" s="89"/>
      <c r="AA164" s="89"/>
      <c r="AB164" s="89"/>
      <c r="AC164" s="89"/>
      <c r="AD164" s="45"/>
      <c r="AE164" s="89"/>
      <c r="AF164" s="89"/>
      <c r="AG164" s="89"/>
      <c r="AH164" s="89"/>
      <c r="AI164" s="569"/>
      <c r="AJ164" s="570"/>
      <c r="AK164" s="89"/>
      <c r="AL164" s="72"/>
    </row>
    <row r="165" spans="2:38" s="80" customFormat="1" ht="18.75" customHeight="1" x14ac:dyDescent="0.25">
      <c r="B165" s="564"/>
      <c r="C165" s="535"/>
      <c r="D165" s="506"/>
      <c r="E165" s="507"/>
      <c r="F165" s="522"/>
      <c r="G165" s="515"/>
      <c r="H165" s="40" t="e">
        <f>O164-F164</f>
        <v>#REF!</v>
      </c>
      <c r="I165" s="509"/>
      <c r="J165" s="79">
        <v>0.06</v>
      </c>
      <c r="K165" s="511"/>
      <c r="L165" s="440"/>
      <c r="M165" s="513"/>
      <c r="N165" s="525"/>
      <c r="O165" s="504"/>
      <c r="P165" s="91" t="e">
        <f>N164*J165</f>
        <v>#REF!</v>
      </c>
      <c r="Q165" s="565"/>
      <c r="R165" s="502"/>
      <c r="S165" s="572"/>
      <c r="T165" s="567"/>
      <c r="U165" s="568"/>
      <c r="V165" s="70"/>
      <c r="W165" s="82"/>
      <c r="X165" s="88"/>
      <c r="Y165" s="83"/>
      <c r="Z165" s="84"/>
      <c r="AA165" s="84"/>
      <c r="AB165" s="85"/>
      <c r="AC165" s="85"/>
      <c r="AD165" s="86"/>
      <c r="AE165" s="87"/>
      <c r="AF165" s="88"/>
      <c r="AG165" s="89"/>
      <c r="AH165" s="90"/>
      <c r="AI165" s="569"/>
      <c r="AJ165" s="570"/>
      <c r="AK165" s="89"/>
      <c r="AL165" s="72"/>
    </row>
    <row r="166" spans="2:38" s="80" customFormat="1" x14ac:dyDescent="0.25">
      <c r="C166" s="94"/>
      <c r="D166" s="132"/>
      <c r="E166" s="46"/>
      <c r="F166" s="49"/>
      <c r="G166" s="49"/>
      <c r="H166" s="49"/>
      <c r="K166" s="49"/>
      <c r="L166" s="49"/>
      <c r="M166" s="49"/>
      <c r="O166" s="127"/>
      <c r="P166" s="98"/>
      <c r="Q166" s="565"/>
      <c r="R166" s="130"/>
      <c r="S166" s="572"/>
      <c r="T166" s="567"/>
      <c r="U166" s="89"/>
      <c r="V166" s="70"/>
      <c r="W166" s="82"/>
      <c r="X166" s="88"/>
      <c r="Y166" s="93"/>
      <c r="Z166" s="84"/>
      <c r="AA166" s="84"/>
      <c r="AB166" s="85"/>
      <c r="AC166" s="85"/>
      <c r="AD166" s="86"/>
      <c r="AE166" s="87"/>
      <c r="AF166" s="88"/>
      <c r="AG166" s="83"/>
      <c r="AH166" s="89"/>
      <c r="AI166" s="569"/>
      <c r="AJ166" s="570"/>
      <c r="AK166" s="89"/>
      <c r="AL166" s="72"/>
    </row>
    <row r="167" spans="2:38" s="80" customFormat="1" x14ac:dyDescent="0.25">
      <c r="C167" s="534" t="s">
        <v>105</v>
      </c>
      <c r="D167" s="505">
        <v>10</v>
      </c>
      <c r="E167" s="507"/>
      <c r="F167" s="521">
        <f>E167*D167</f>
        <v>0</v>
      </c>
      <c r="G167" s="514" t="e">
        <f>#REF!</f>
        <v>#REF!</v>
      </c>
      <c r="H167" s="39" t="e">
        <f>G167*D167</f>
        <v>#REF!</v>
      </c>
      <c r="I167" s="520" t="e">
        <f>N167/H167-1</f>
        <v>#REF!</v>
      </c>
      <c r="J167" s="79">
        <v>0.15</v>
      </c>
      <c r="K167" s="519" t="e">
        <f>N167*J167</f>
        <v>#REF!</v>
      </c>
      <c r="L167" s="439"/>
      <c r="M167" s="512" t="e">
        <f>IF(N167&lt;=$M$3,$E$1,IF(N167&lt;=$M$4,$G$1,IF(N167&lt;=$N$1,$I$1,0)))</f>
        <v>#REF!</v>
      </c>
      <c r="N167" s="524" t="e">
        <f>_xlfn.LET(
  _xlpm.den,(1-J167)*(1-J168),
  _xlpm.NA,(H167+1100)/_xlpm.den,
  _xlpm.NB,(H167+2200)/_xlpm.den,
  _xlpm.NC,(H167+2700)/_xlpm.den,
  _xlpm.ND,(H167)/_xlpm.den,
  _xlpm.N_base,IF(_xlpm.NA&lt;=15000,_xlpm.NA,IF(AND(_xlpm.NB&gt;15000,_xlpm.NB&lt;=25000),_xlpm.NB,IF(AND(_xlpm.NC&gt;25000,_xlpm.NC&lt;=33000),_xlpm.NC,_xlpm.ND))),
  _xlpm.N_pub,ROUNDUP(_xlpm.N_base*(1+$T$6),-2),
  _xlpm.envio,IF(_xlpm.N_pub&gt;=33000,7000,0),
  ROUNDUP((_xlpm.N_base+_xlpm.envio)*(1+$T$6),-2)
)</f>
        <v>#REF!</v>
      </c>
      <c r="O167" s="503" t="e">
        <f>N167 - K167 - P168  - M167</f>
        <v>#REF!</v>
      </c>
      <c r="Q167" s="565"/>
      <c r="R167" s="501" t="e">
        <f>G167*D167</f>
        <v>#REF!</v>
      </c>
      <c r="S167" s="572"/>
      <c r="T167" s="567"/>
      <c r="U167" s="89"/>
      <c r="V167" s="70"/>
      <c r="W167" s="101"/>
      <c r="X167" s="83"/>
      <c r="Y167" s="93"/>
      <c r="Z167" s="102"/>
      <c r="AA167" s="103"/>
      <c r="AB167" s="104"/>
      <c r="AC167" s="104"/>
      <c r="AD167" s="105"/>
      <c r="AE167" s="106"/>
      <c r="AF167" s="83"/>
      <c r="AG167" s="83"/>
      <c r="AH167" s="60"/>
      <c r="AI167" s="569"/>
      <c r="AJ167" s="570"/>
      <c r="AK167" s="89"/>
      <c r="AL167" s="72"/>
    </row>
    <row r="168" spans="2:38" s="80" customFormat="1" x14ac:dyDescent="0.25">
      <c r="C168" s="535"/>
      <c r="D168" s="506"/>
      <c r="E168" s="507"/>
      <c r="F168" s="522"/>
      <c r="G168" s="515"/>
      <c r="H168" s="40" t="e">
        <f>O167-F167</f>
        <v>#REF!</v>
      </c>
      <c r="I168" s="520"/>
      <c r="J168" s="79">
        <v>0.06</v>
      </c>
      <c r="K168" s="519"/>
      <c r="L168" s="440"/>
      <c r="M168" s="513"/>
      <c r="N168" s="525"/>
      <c r="O168" s="504"/>
      <c r="P168" s="91" t="e">
        <f>N167*J168</f>
        <v>#REF!</v>
      </c>
      <c r="Q168" s="565"/>
      <c r="R168" s="502"/>
      <c r="S168" s="572"/>
      <c r="T168" s="567"/>
      <c r="U168" s="89"/>
      <c r="V168" s="70"/>
      <c r="W168" s="82"/>
      <c r="X168" s="88"/>
      <c r="Y168" s="83"/>
      <c r="Z168" s="84"/>
      <c r="AA168" s="84"/>
      <c r="AB168" s="85"/>
      <c r="AC168" s="85"/>
      <c r="AD168" s="86"/>
      <c r="AE168" s="87"/>
      <c r="AF168" s="88"/>
      <c r="AG168" s="89"/>
      <c r="AH168" s="89"/>
      <c r="AI168" s="569"/>
      <c r="AJ168" s="570"/>
      <c r="AK168" s="89"/>
      <c r="AL168" s="72"/>
    </row>
    <row r="169" spans="2:38" s="80" customFormat="1" x14ac:dyDescent="0.25">
      <c r="C169" s="53"/>
      <c r="D169" s="132"/>
      <c r="E169" s="46"/>
      <c r="F169" s="49"/>
      <c r="G169" s="49"/>
      <c r="H169" s="49"/>
      <c r="K169" s="49"/>
      <c r="L169" s="49"/>
      <c r="M169" s="49"/>
      <c r="N169" s="576"/>
      <c r="O169" s="127"/>
      <c r="P169" s="98"/>
      <c r="Q169" s="565"/>
      <c r="R169" s="49"/>
      <c r="S169" s="572"/>
      <c r="T169" s="567"/>
      <c r="U169" s="89"/>
      <c r="V169" s="60"/>
      <c r="W169" s="82"/>
      <c r="X169" s="88"/>
      <c r="Y169" s="93"/>
      <c r="Z169" s="84"/>
      <c r="AA169" s="84"/>
      <c r="AB169" s="85"/>
      <c r="AC169" s="85"/>
      <c r="AD169" s="86"/>
      <c r="AE169" s="87"/>
      <c r="AF169" s="88"/>
      <c r="AG169" s="83"/>
      <c r="AH169" s="89"/>
      <c r="AI169" s="569"/>
      <c r="AJ169" s="570"/>
      <c r="AK169" s="89"/>
      <c r="AL169" s="72"/>
    </row>
    <row r="170" spans="2:38" s="80" customFormat="1" ht="18.75" customHeight="1" x14ac:dyDescent="0.25">
      <c r="C170" s="534" t="s">
        <v>104</v>
      </c>
      <c r="D170" s="505">
        <v>25</v>
      </c>
      <c r="E170" s="507"/>
      <c r="F170" s="521">
        <f>E170*D170</f>
        <v>0</v>
      </c>
      <c r="G170" s="514" t="e">
        <f>#REF!</f>
        <v>#REF!</v>
      </c>
      <c r="H170" s="39" t="e">
        <f>G170*D170</f>
        <v>#REF!</v>
      </c>
      <c r="I170" s="520" t="e">
        <f>N170/H170-1</f>
        <v>#REF!</v>
      </c>
      <c r="J170" s="79">
        <v>0.15</v>
      </c>
      <c r="K170" s="519">
        <f>N170*J170</f>
        <v>630</v>
      </c>
      <c r="L170" s="439"/>
      <c r="M170" s="512">
        <f>IF(N170&lt;=$M$3,$E$1,IF(N170&lt;=$M$4,$G$1,IF(N170&lt;=$N$1,$I$1,0)))</f>
        <v>1100</v>
      </c>
      <c r="N170" s="524">
        <v>4200</v>
      </c>
      <c r="O170" s="503">
        <v>2239</v>
      </c>
      <c r="Q170" s="565"/>
      <c r="R170" s="501" t="e">
        <f>G170*D170</f>
        <v>#REF!</v>
      </c>
      <c r="S170" s="572"/>
      <c r="T170" s="567"/>
      <c r="U170" s="89"/>
      <c r="V170" s="70"/>
      <c r="W170" s="89"/>
      <c r="X170" s="89"/>
      <c r="Y170" s="89"/>
      <c r="Z170" s="89"/>
      <c r="AA170" s="89"/>
      <c r="AB170" s="89"/>
      <c r="AC170" s="89"/>
      <c r="AD170" s="45"/>
      <c r="AE170" s="89"/>
      <c r="AF170" s="89"/>
      <c r="AG170" s="89"/>
      <c r="AH170" s="89"/>
      <c r="AI170" s="569"/>
      <c r="AJ170" s="570"/>
      <c r="AK170" s="89"/>
      <c r="AL170" s="72"/>
    </row>
    <row r="171" spans="2:38" s="80" customFormat="1" ht="18.75" customHeight="1" x14ac:dyDescent="0.25">
      <c r="C171" s="535"/>
      <c r="D171" s="506"/>
      <c r="E171" s="507"/>
      <c r="F171" s="522"/>
      <c r="G171" s="515"/>
      <c r="H171" s="40">
        <f>O170-F170</f>
        <v>2239</v>
      </c>
      <c r="I171" s="520"/>
      <c r="J171" s="79">
        <v>0.06</v>
      </c>
      <c r="K171" s="519"/>
      <c r="L171" s="440"/>
      <c r="M171" s="513"/>
      <c r="N171" s="525"/>
      <c r="O171" s="504"/>
      <c r="P171" s="91">
        <f>N170*J171</f>
        <v>252</v>
      </c>
      <c r="Q171" s="565"/>
      <c r="R171" s="502"/>
      <c r="S171" s="572"/>
      <c r="T171" s="567"/>
      <c r="U171" s="89"/>
      <c r="V171" s="70"/>
      <c r="W171" s="82"/>
      <c r="X171" s="88"/>
      <c r="Y171" s="83"/>
      <c r="Z171" s="84"/>
      <c r="AA171" s="84"/>
      <c r="AB171" s="85"/>
      <c r="AC171" s="85"/>
      <c r="AD171" s="86"/>
      <c r="AE171" s="87"/>
      <c r="AF171" s="88"/>
      <c r="AG171" s="89"/>
      <c r="AH171" s="89"/>
      <c r="AI171" s="569"/>
      <c r="AJ171" s="570"/>
      <c r="AK171" s="89"/>
      <c r="AL171" s="72"/>
    </row>
    <row r="172" spans="2:38" s="80" customFormat="1" x14ac:dyDescent="0.25">
      <c r="C172" s="133"/>
      <c r="D172" s="132"/>
      <c r="E172" s="46"/>
      <c r="F172" s="49"/>
      <c r="G172" s="49"/>
      <c r="H172" s="49"/>
      <c r="K172" s="49"/>
      <c r="L172" s="49"/>
      <c r="M172" s="49"/>
      <c r="N172" s="575"/>
      <c r="O172" s="127"/>
      <c r="P172" s="98"/>
      <c r="Q172" s="565"/>
      <c r="R172" s="130"/>
      <c r="S172" s="572"/>
      <c r="T172" s="567"/>
      <c r="U172" s="89"/>
      <c r="V172" s="92"/>
      <c r="W172" s="82"/>
      <c r="X172" s="88"/>
      <c r="Y172" s="93"/>
      <c r="Z172" s="84"/>
      <c r="AA172" s="84"/>
      <c r="AB172" s="85"/>
      <c r="AC172" s="85"/>
      <c r="AD172" s="86"/>
      <c r="AE172" s="87"/>
      <c r="AF172" s="88"/>
      <c r="AG172" s="83"/>
      <c r="AH172" s="89"/>
      <c r="AI172" s="569"/>
      <c r="AJ172" s="570"/>
      <c r="AK172" s="89"/>
      <c r="AL172" s="72"/>
    </row>
    <row r="173" spans="2:38" s="80" customFormat="1" ht="23.25" customHeight="1" x14ac:dyDescent="0.25">
      <c r="B173" s="89"/>
      <c r="C173" s="534" t="s">
        <v>104</v>
      </c>
      <c r="D173" s="505">
        <v>50</v>
      </c>
      <c r="E173" s="507"/>
      <c r="F173" s="521">
        <f>E173*D173</f>
        <v>0</v>
      </c>
      <c r="G173" s="514" t="e">
        <f>#REF!</f>
        <v>#REF!</v>
      </c>
      <c r="H173" s="39" t="e">
        <f>G173*D173</f>
        <v>#REF!</v>
      </c>
      <c r="I173" s="520" t="e">
        <f>N173/H173-1</f>
        <v>#REF!</v>
      </c>
      <c r="J173" s="79">
        <v>0.15</v>
      </c>
      <c r="K173" s="519" t="e">
        <f>N173*J173</f>
        <v>#REF!</v>
      </c>
      <c r="L173" s="439"/>
      <c r="M173" s="512" t="e">
        <f>IF(N173&lt;=$M$3,$E$1,IF(N173&lt;=$M$4,$G$1,IF(N173&lt;=$N$1,$I$1,0)))</f>
        <v>#REF!</v>
      </c>
      <c r="N173" s="524" t="e">
        <f>_xlfn.LET(
  _xlpm.den,(1-J173)*(1-J174),
  _xlpm.NA,(H173+#REF!+1100)/_xlpm.den,
  _xlpm.NB,(H173+#REF!+2200)/_xlpm.den,
  _xlpm.NC,(H173+#REF!+2700)/_xlpm.den,
  _xlpm.ND,(H173+#REF!+0)/_xlpm.den,
  _xlpm.N5_base,IF(_xlpm.NA&lt;=15000,_xlpm.NA,IF(AND(_xlpm.NB&gt;15000,_xlpm.NB&lt;=25000),_xlpm.NB,IF(AND(_xlpm.NC&gt;25000,_xlpm.NC&lt;=33000),_xlpm.NC,_xlpm.ND))),
  _xlpm.N5_pub,ROUNDUP(_xlpm.N5_base*(1+#REF!),-2),
  _xlpm.N5_pub
)</f>
        <v>#REF!</v>
      </c>
      <c r="O173" s="528" t="e">
        <f>N173 - K173 - P174 -#REF! - M173</f>
        <v>#REF!</v>
      </c>
      <c r="Q173" s="565"/>
      <c r="R173" s="501" t="e">
        <f>G173*D173</f>
        <v>#REF!</v>
      </c>
      <c r="S173" s="572"/>
      <c r="T173" s="567"/>
      <c r="U173" s="89"/>
      <c r="V173" s="92"/>
      <c r="W173" s="101"/>
      <c r="X173" s="83"/>
      <c r="Y173" s="93"/>
      <c r="Z173" s="102"/>
      <c r="AA173" s="103"/>
      <c r="AB173" s="104"/>
      <c r="AC173" s="104"/>
      <c r="AD173" s="105"/>
      <c r="AE173" s="106"/>
      <c r="AF173" s="83"/>
      <c r="AG173" s="83"/>
      <c r="AH173" s="60"/>
      <c r="AI173" s="569"/>
      <c r="AJ173" s="570"/>
      <c r="AK173" s="89"/>
      <c r="AL173" s="72"/>
    </row>
    <row r="174" spans="2:38" s="80" customFormat="1" ht="18.75" customHeight="1" x14ac:dyDescent="0.25">
      <c r="B174" s="564"/>
      <c r="C174" s="535"/>
      <c r="D174" s="506"/>
      <c r="E174" s="507"/>
      <c r="F174" s="522"/>
      <c r="G174" s="515"/>
      <c r="H174" s="40" t="e">
        <f>O173-F173</f>
        <v>#REF!</v>
      </c>
      <c r="I174" s="520"/>
      <c r="J174" s="79">
        <v>0.06</v>
      </c>
      <c r="K174" s="519"/>
      <c r="L174" s="440"/>
      <c r="M174" s="513"/>
      <c r="N174" s="525"/>
      <c r="O174" s="528"/>
      <c r="P174" s="91" t="e">
        <f>N173*J174</f>
        <v>#REF!</v>
      </c>
      <c r="Q174" s="565"/>
      <c r="R174" s="502"/>
      <c r="S174" s="572"/>
      <c r="T174" s="567"/>
      <c r="U174" s="568"/>
      <c r="V174" s="70"/>
      <c r="W174" s="82"/>
      <c r="X174" s="88"/>
      <c r="Y174" s="83"/>
      <c r="Z174" s="84"/>
      <c r="AA174" s="84"/>
      <c r="AB174" s="85"/>
      <c r="AC174" s="85"/>
      <c r="AD174" s="86"/>
      <c r="AE174" s="87"/>
      <c r="AF174" s="88"/>
      <c r="AG174" s="89"/>
      <c r="AH174" s="90"/>
      <c r="AI174" s="569"/>
      <c r="AJ174" s="570"/>
      <c r="AK174" s="89"/>
      <c r="AL174" s="72"/>
    </row>
    <row r="175" spans="2:38" s="80" customFormat="1" x14ac:dyDescent="0.25">
      <c r="C175" s="53"/>
      <c r="D175" s="132"/>
      <c r="E175" s="46"/>
      <c r="F175" s="49"/>
      <c r="G175" s="49"/>
      <c r="H175" s="49"/>
      <c r="K175" s="49"/>
      <c r="L175" s="49"/>
      <c r="M175" s="49"/>
      <c r="N175" s="576"/>
      <c r="O175" s="127"/>
      <c r="P175" s="98"/>
      <c r="Q175" s="565"/>
      <c r="R175" s="49"/>
      <c r="S175" s="572"/>
      <c r="T175" s="567"/>
      <c r="U175" s="89"/>
      <c r="V175" s="70"/>
      <c r="W175" s="82"/>
      <c r="X175" s="88"/>
      <c r="Y175" s="93"/>
      <c r="Z175" s="84"/>
      <c r="AA175" s="84"/>
      <c r="AB175" s="85"/>
      <c r="AC175" s="85"/>
      <c r="AD175" s="86"/>
      <c r="AE175" s="87"/>
      <c r="AF175" s="88"/>
      <c r="AG175" s="83"/>
      <c r="AH175" s="89"/>
      <c r="AI175" s="569"/>
      <c r="AJ175" s="570"/>
      <c r="AK175" s="89"/>
      <c r="AL175" s="72"/>
    </row>
    <row r="176" spans="2:38" s="80" customFormat="1" ht="18.75" customHeight="1" x14ac:dyDescent="0.25">
      <c r="C176" s="534" t="s">
        <v>104</v>
      </c>
      <c r="D176" s="505">
        <v>100</v>
      </c>
      <c r="E176" s="507"/>
      <c r="F176" s="521">
        <f>E176*D176</f>
        <v>0</v>
      </c>
      <c r="G176" s="514" t="e">
        <f>#REF!</f>
        <v>#REF!</v>
      </c>
      <c r="H176" s="39" t="e">
        <f>G176*D176</f>
        <v>#REF!</v>
      </c>
      <c r="I176" s="520" t="e">
        <f>N176/H176-1</f>
        <v>#REF!</v>
      </c>
      <c r="J176" s="79">
        <v>0.15</v>
      </c>
      <c r="K176" s="519" t="e">
        <f>N176*J176</f>
        <v>#REF!</v>
      </c>
      <c r="L176" s="439"/>
      <c r="M176" s="512" t="e">
        <f>IF(N176&lt;=$M$3,$E$1,IF(N176&lt;=$M$4,$G$1,IF(N176&lt;=$N$1,$I$1,0)))</f>
        <v>#REF!</v>
      </c>
      <c r="N176" s="524" t="e">
        <f>_xlfn.LET(
  _xlpm.den,(1-J176)*(1-J177),
  _xlpm.NA,(H176+1100)/_xlpm.den,
  _xlpm.NB,(H176+2200)/_xlpm.den,
  _xlpm.NC,(H176+2700)/_xlpm.den,
  _xlpm.ND,(H176)/_xlpm.den,
  _xlpm.N_base,IF(_xlpm.NA&lt;=15000,_xlpm.NA,IF(AND(_xlpm.NB&gt;15000,_xlpm.NB&lt;=25000),_xlpm.NB,IF(AND(_xlpm.NC&gt;25000,_xlpm.NC&lt;=33000),_xlpm.NC,_xlpm.ND))),
  _xlpm.N_pub,ROUNDUP(_xlpm.N_base*(1+$T$6),-2),
  _xlpm.envio,IF(_xlpm.N_pub&gt;=33000,7000,0),
  ROUNDUP((_xlpm.N_base+_xlpm.envio)*(1+$T$6),-2)
)</f>
        <v>#REF!</v>
      </c>
      <c r="O176" s="503" t="e">
        <f>N176 - K176 - P177  - M176</f>
        <v>#REF!</v>
      </c>
      <c r="Q176" s="565"/>
      <c r="R176" s="501" t="e">
        <f>G176*D176</f>
        <v>#REF!</v>
      </c>
      <c r="S176" s="572"/>
      <c r="T176" s="567"/>
      <c r="U176" s="89"/>
      <c r="V176" s="89"/>
      <c r="W176" s="89"/>
      <c r="X176" s="89"/>
      <c r="Y176" s="89"/>
      <c r="Z176" s="89"/>
      <c r="AA176" s="89"/>
      <c r="AB176" s="89"/>
      <c r="AC176" s="89"/>
      <c r="AD176" s="45"/>
      <c r="AE176" s="89"/>
      <c r="AF176" s="89"/>
      <c r="AG176" s="89"/>
      <c r="AH176" s="89"/>
      <c r="AI176" s="569"/>
      <c r="AJ176" s="570"/>
      <c r="AK176" s="89"/>
      <c r="AL176" s="72"/>
    </row>
    <row r="177" spans="2:38" s="80" customFormat="1" ht="18.75" customHeight="1" x14ac:dyDescent="0.25">
      <c r="B177" s="564"/>
      <c r="C177" s="535"/>
      <c r="D177" s="506"/>
      <c r="E177" s="507"/>
      <c r="F177" s="522"/>
      <c r="G177" s="515"/>
      <c r="H177" s="40" t="e">
        <f>O176-F176</f>
        <v>#REF!</v>
      </c>
      <c r="I177" s="520"/>
      <c r="J177" s="79">
        <v>0.06</v>
      </c>
      <c r="K177" s="519"/>
      <c r="L177" s="440"/>
      <c r="M177" s="513"/>
      <c r="N177" s="525"/>
      <c r="O177" s="504"/>
      <c r="P177" s="91" t="e">
        <f>N176*J177</f>
        <v>#REF!</v>
      </c>
      <c r="Q177" s="565"/>
      <c r="R177" s="502"/>
      <c r="S177" s="572"/>
      <c r="T177" s="567"/>
      <c r="U177" s="568"/>
      <c r="V177" s="70"/>
      <c r="W177" s="82"/>
      <c r="X177" s="88"/>
      <c r="Y177" s="83"/>
      <c r="Z177" s="84"/>
      <c r="AA177" s="84"/>
      <c r="AB177" s="85"/>
      <c r="AC177" s="85"/>
      <c r="AD177" s="86"/>
      <c r="AE177" s="87"/>
      <c r="AF177" s="88"/>
      <c r="AG177" s="89"/>
      <c r="AH177" s="90"/>
      <c r="AI177" s="569"/>
      <c r="AJ177" s="570"/>
      <c r="AK177" s="89"/>
      <c r="AL177" s="72"/>
    </row>
    <row r="178" spans="2:38" s="80" customFormat="1" x14ac:dyDescent="0.25">
      <c r="C178" s="94"/>
      <c r="D178" s="131"/>
      <c r="E178" s="46"/>
      <c r="F178" s="49"/>
      <c r="G178" s="49"/>
      <c r="H178" s="49"/>
      <c r="K178" s="49"/>
      <c r="L178" s="49"/>
      <c r="M178" s="49"/>
      <c r="N178" s="576"/>
      <c r="O178" s="127"/>
      <c r="P178" s="98"/>
      <c r="Q178" s="565"/>
      <c r="R178" s="130"/>
      <c r="S178" s="572"/>
      <c r="T178" s="567"/>
      <c r="U178" s="89"/>
      <c r="V178" s="70"/>
      <c r="W178" s="82"/>
      <c r="X178" s="88"/>
      <c r="Y178" s="93"/>
      <c r="Z178" s="84"/>
      <c r="AA178" s="84"/>
      <c r="AB178" s="85"/>
      <c r="AC178" s="85"/>
      <c r="AD178" s="86"/>
      <c r="AE178" s="87"/>
      <c r="AF178" s="88"/>
      <c r="AG178" s="83"/>
      <c r="AH178" s="89"/>
      <c r="AI178" s="569"/>
      <c r="AJ178" s="570"/>
      <c r="AK178" s="89"/>
      <c r="AL178" s="72"/>
    </row>
    <row r="179" spans="2:38" s="80" customFormat="1" x14ac:dyDescent="0.25">
      <c r="C179" s="534" t="s">
        <v>106</v>
      </c>
      <c r="D179" s="505">
        <v>5</v>
      </c>
      <c r="E179" s="507">
        <f>Tejidos!K54</f>
        <v>260.89</v>
      </c>
      <c r="F179" s="521">
        <f>E179*D179</f>
        <v>1304.4499999999998</v>
      </c>
      <c r="G179" s="514">
        <f>Tejidos!M54</f>
        <v>1760.8899999999999</v>
      </c>
      <c r="H179" s="39">
        <f>G179*D179</f>
        <v>8804.4499999999989</v>
      </c>
      <c r="I179" s="520">
        <f>N179/H179-1</f>
        <v>0.40837871758031463</v>
      </c>
      <c r="J179" s="79">
        <v>0.15</v>
      </c>
      <c r="K179" s="519">
        <f>N179*J179</f>
        <v>1860</v>
      </c>
      <c r="L179" s="439"/>
      <c r="M179" s="512">
        <f>IF(N179&lt;=$M$3,$E$1,IF(N179&lt;=$M$4,$G$1,IF(N179&lt;=$N$1,$I$1,0)))</f>
        <v>1100</v>
      </c>
      <c r="N179" s="524">
        <f>_xlfn.LET(
  _xlpm.den,(1-J179)*(1-J180),
  _xlpm.NA,(H179+1100)/_xlpm.den,
  _xlpm.NB,(H179+2200)/_xlpm.den,
  _xlpm.NC,(H179+2700)/_xlpm.den,
  _xlpm.ND,(H179)/_xlpm.den,
  _xlpm.N_base,IF(_xlpm.NA&lt;=15000,_xlpm.NA,IF(AND(_xlpm.NB&gt;15000,_xlpm.NB&lt;=25000),_xlpm.NB,IF(AND(_xlpm.NC&gt;25000,_xlpm.NC&lt;=33000),_xlpm.NC,_xlpm.ND))),
  _xlpm.N_pub,ROUNDUP(_xlpm.N_base*(1+$T$6),-2),
  _xlpm.envio,IF(_xlpm.N_pub&gt;=33000,7000,0),
  ROUNDUP((_xlpm.N_base+_xlpm.envio)*(1+$T$6),-2)
)</f>
        <v>12400</v>
      </c>
      <c r="O179" s="503">
        <f>N179 - K179 - P180  - M179</f>
        <v>8696</v>
      </c>
      <c r="Q179" s="565"/>
      <c r="R179" s="501">
        <f>G179*D179</f>
        <v>8804.4499999999989</v>
      </c>
      <c r="S179" s="572"/>
      <c r="T179" s="567"/>
      <c r="U179" s="89"/>
      <c r="V179" s="70"/>
      <c r="W179" s="101"/>
      <c r="X179" s="83"/>
      <c r="Y179" s="93"/>
      <c r="Z179" s="102"/>
      <c r="AA179" s="103"/>
      <c r="AB179" s="104"/>
      <c r="AC179" s="104"/>
      <c r="AD179" s="105"/>
      <c r="AE179" s="106"/>
      <c r="AF179" s="83"/>
      <c r="AG179" s="83"/>
      <c r="AH179" s="60"/>
      <c r="AI179" s="569"/>
      <c r="AJ179" s="570"/>
      <c r="AK179" s="89"/>
      <c r="AL179" s="72"/>
    </row>
    <row r="180" spans="2:38" s="80" customFormat="1" x14ac:dyDescent="0.25">
      <c r="C180" s="535"/>
      <c r="D180" s="506"/>
      <c r="E180" s="507"/>
      <c r="F180" s="522"/>
      <c r="G180" s="515"/>
      <c r="H180" s="40">
        <f>O179-F179</f>
        <v>7391.55</v>
      </c>
      <c r="I180" s="520"/>
      <c r="J180" s="79">
        <v>0.06</v>
      </c>
      <c r="K180" s="519"/>
      <c r="L180" s="440"/>
      <c r="M180" s="513"/>
      <c r="N180" s="525"/>
      <c r="O180" s="504"/>
      <c r="P180" s="91">
        <f>N179*J180</f>
        <v>744</v>
      </c>
      <c r="Q180" s="565"/>
      <c r="R180" s="502"/>
      <c r="S180" s="572"/>
      <c r="T180" s="567"/>
      <c r="U180" s="89"/>
      <c r="V180" s="70"/>
      <c r="W180" s="82"/>
      <c r="X180" s="88"/>
      <c r="Y180" s="83"/>
      <c r="Z180" s="84"/>
      <c r="AA180" s="84"/>
      <c r="AB180" s="85"/>
      <c r="AC180" s="85"/>
      <c r="AD180" s="86"/>
      <c r="AE180" s="87"/>
      <c r="AF180" s="88"/>
      <c r="AG180" s="89"/>
      <c r="AH180" s="89"/>
      <c r="AI180" s="569"/>
      <c r="AJ180" s="570"/>
      <c r="AK180" s="89"/>
      <c r="AL180" s="72"/>
    </row>
    <row r="181" spans="2:38" s="80" customFormat="1" x14ac:dyDescent="0.25">
      <c r="C181" s="94"/>
      <c r="D181" s="132"/>
      <c r="E181" s="46"/>
      <c r="F181" s="42"/>
      <c r="G181" s="41"/>
      <c r="H181" s="41"/>
      <c r="I181" s="78"/>
      <c r="J181" s="99"/>
      <c r="K181" s="42"/>
      <c r="L181" s="42"/>
      <c r="M181" s="42"/>
      <c r="N181" s="95"/>
      <c r="O181" s="127"/>
      <c r="P181" s="98"/>
      <c r="Q181" s="565"/>
      <c r="R181" s="49"/>
      <c r="S181" s="572"/>
      <c r="T181" s="567"/>
      <c r="U181" s="89"/>
      <c r="V181" s="60"/>
      <c r="W181" s="82"/>
      <c r="X181" s="88"/>
      <c r="Y181" s="93"/>
      <c r="Z181" s="84"/>
      <c r="AA181" s="84"/>
      <c r="AB181" s="85"/>
      <c r="AC181" s="85"/>
      <c r="AD181" s="86"/>
      <c r="AE181" s="87"/>
      <c r="AF181" s="88"/>
      <c r="AG181" s="83"/>
      <c r="AH181" s="89"/>
      <c r="AI181" s="569"/>
      <c r="AJ181" s="570"/>
      <c r="AK181" s="89"/>
      <c r="AL181" s="72"/>
    </row>
    <row r="182" spans="2:38" s="80" customFormat="1" ht="18.75" customHeight="1" x14ac:dyDescent="0.25">
      <c r="C182" s="534" t="s">
        <v>106</v>
      </c>
      <c r="D182" s="505">
        <v>10</v>
      </c>
      <c r="E182" s="507">
        <f>E179</f>
        <v>260.89</v>
      </c>
      <c r="F182" s="521">
        <f>E182*D182</f>
        <v>2608.8999999999996</v>
      </c>
      <c r="G182" s="514">
        <f>G179</f>
        <v>1760.8899999999999</v>
      </c>
      <c r="H182" s="39">
        <f>G182*D182</f>
        <v>17608.899999999998</v>
      </c>
      <c r="I182" s="520">
        <f>N182/H182-1</f>
        <v>0.40837871758031463</v>
      </c>
      <c r="J182" s="79">
        <v>0.15</v>
      </c>
      <c r="K182" s="519">
        <f>N182*J182</f>
        <v>3720</v>
      </c>
      <c r="L182" s="439"/>
      <c r="M182" s="512">
        <f>IF(N182&lt;=$M$3,$E$1,IF(N182&lt;=$M$4,$G$1,IF(N182&lt;=$N$1,$I$1,0)))</f>
        <v>2300</v>
      </c>
      <c r="N182" s="524">
        <f>_xlfn.LET(
  _xlpm.den,(1-J182)*(1-J183),
  _xlpm.NA,(H182+1100)/_xlpm.den,
  _xlpm.NB,(H182+2200)/_xlpm.den,
  _xlpm.NC,(H182+2700)/_xlpm.den,
  _xlpm.ND,(H182)/_xlpm.den,
  _xlpm.N_base,IF(_xlpm.NA&lt;=15000,_xlpm.NA,IF(AND(_xlpm.NB&gt;15000,_xlpm.NB&lt;=25000),_xlpm.NB,IF(AND(_xlpm.NC&gt;25000,_xlpm.NC&lt;=33000),_xlpm.NC,_xlpm.ND))),
  _xlpm.N_pub,ROUNDUP(_xlpm.N_base*(1+$T$6),-2),
  _xlpm.envio,IF(_xlpm.N_pub&gt;=33000,7000,0),
  ROUNDUP((_xlpm.N_base+_xlpm.envio)*(1+$T$6),-2)
)</f>
        <v>24800</v>
      </c>
      <c r="O182" s="503">
        <f>N182 - K182 - P183  - M182</f>
        <v>17292</v>
      </c>
      <c r="Q182" s="565"/>
      <c r="R182" s="501">
        <f>G182*D182</f>
        <v>17608.899999999998</v>
      </c>
      <c r="S182" s="572"/>
      <c r="T182" s="567"/>
      <c r="U182" s="89"/>
      <c r="V182" s="70"/>
      <c r="W182" s="89"/>
      <c r="X182" s="89"/>
      <c r="Y182" s="89"/>
      <c r="Z182" s="89"/>
      <c r="AA182" s="89"/>
      <c r="AB182" s="89"/>
      <c r="AC182" s="89"/>
      <c r="AD182" s="45"/>
      <c r="AE182" s="89"/>
      <c r="AF182" s="89"/>
      <c r="AG182" s="89"/>
      <c r="AH182" s="89"/>
      <c r="AI182" s="569"/>
      <c r="AJ182" s="570"/>
      <c r="AK182" s="89"/>
      <c r="AL182" s="72"/>
    </row>
    <row r="183" spans="2:38" s="80" customFormat="1" ht="18.75" customHeight="1" x14ac:dyDescent="0.25">
      <c r="C183" s="535"/>
      <c r="D183" s="506"/>
      <c r="E183" s="507"/>
      <c r="F183" s="522"/>
      <c r="G183" s="515"/>
      <c r="H183" s="40">
        <f>O182-F182</f>
        <v>14683.1</v>
      </c>
      <c r="I183" s="520"/>
      <c r="J183" s="79">
        <v>0.06</v>
      </c>
      <c r="K183" s="519"/>
      <c r="L183" s="440"/>
      <c r="M183" s="513"/>
      <c r="N183" s="525"/>
      <c r="O183" s="504"/>
      <c r="P183" s="91">
        <f>N182*J183</f>
        <v>1488</v>
      </c>
      <c r="Q183" s="565"/>
      <c r="R183" s="502"/>
      <c r="S183" s="572"/>
      <c r="T183" s="567"/>
      <c r="U183" s="89"/>
      <c r="V183" s="70"/>
      <c r="W183" s="82"/>
      <c r="X183" s="88"/>
      <c r="Y183" s="83"/>
      <c r="Z183" s="84"/>
      <c r="AA183" s="84"/>
      <c r="AB183" s="85"/>
      <c r="AC183" s="85"/>
      <c r="AD183" s="86"/>
      <c r="AE183" s="87"/>
      <c r="AF183" s="88"/>
      <c r="AG183" s="89"/>
      <c r="AH183" s="89"/>
      <c r="AI183" s="569"/>
      <c r="AJ183" s="570"/>
      <c r="AK183" s="89"/>
      <c r="AL183" s="72"/>
    </row>
    <row r="184" spans="2:38" s="80" customFormat="1" x14ac:dyDescent="0.25">
      <c r="C184" s="53"/>
      <c r="D184" s="132"/>
      <c r="E184" s="46"/>
      <c r="F184" s="42"/>
      <c r="G184" s="41"/>
      <c r="H184" s="41"/>
      <c r="I184" s="78"/>
      <c r="J184" s="99"/>
      <c r="K184" s="42"/>
      <c r="L184" s="42"/>
      <c r="M184" s="42"/>
      <c r="N184" s="95"/>
      <c r="O184" s="127"/>
      <c r="P184" s="98"/>
      <c r="Q184" s="565"/>
      <c r="R184" s="130"/>
      <c r="S184" s="572"/>
      <c r="T184" s="567"/>
      <c r="U184" s="89"/>
      <c r="V184" s="92"/>
      <c r="W184" s="82"/>
      <c r="X184" s="88"/>
      <c r="Y184" s="93"/>
      <c r="Z184" s="84"/>
      <c r="AA184" s="84"/>
      <c r="AB184" s="85"/>
      <c r="AC184" s="85"/>
      <c r="AD184" s="86"/>
      <c r="AE184" s="87"/>
      <c r="AF184" s="88"/>
      <c r="AG184" s="83"/>
      <c r="AH184" s="89"/>
      <c r="AI184" s="569"/>
      <c r="AJ184" s="570"/>
      <c r="AK184" s="89"/>
      <c r="AL184" s="72"/>
    </row>
    <row r="185" spans="2:38" s="80" customFormat="1" ht="23.25" customHeight="1" x14ac:dyDescent="0.25">
      <c r="B185" s="89"/>
      <c r="C185" s="534" t="s">
        <v>106</v>
      </c>
      <c r="D185" s="505">
        <v>25</v>
      </c>
      <c r="E185" s="507"/>
      <c r="F185" s="521">
        <f>E185*D185</f>
        <v>0</v>
      </c>
      <c r="G185" s="514" t="e">
        <f>#REF!</f>
        <v>#REF!</v>
      </c>
      <c r="H185" s="39" t="e">
        <f>G185*D185</f>
        <v>#REF!</v>
      </c>
      <c r="I185" s="520" t="e">
        <f>N185/H185-1</f>
        <v>#REF!</v>
      </c>
      <c r="J185" s="79">
        <v>0.15</v>
      </c>
      <c r="K185" s="519" t="e">
        <f>N185*J185</f>
        <v>#REF!</v>
      </c>
      <c r="L185" s="439"/>
      <c r="M185" s="512" t="e">
        <f>IF(N185&lt;=$M$3,$E$1,IF(N185&lt;=$M$4,$G$1,IF(N185&lt;=$N$1,$I$1,0)))</f>
        <v>#REF!</v>
      </c>
      <c r="N185" s="524" t="e">
        <f>_xlfn.LET(
  _xlpm.den,(1-J185)*(1-J186),
  _xlpm.NA,(H185+1100)/_xlpm.den,
  _xlpm.NB,(H185+2200)/_xlpm.den,
  _xlpm.NC,(H185+2700)/_xlpm.den,
  _xlpm.ND,(H185)/_xlpm.den,
  _xlpm.N_base,IF(_xlpm.NA&lt;=15000,_xlpm.NA,IF(AND(_xlpm.NB&gt;15000,_xlpm.NB&lt;=25000),_xlpm.NB,IF(AND(_xlpm.NC&gt;25000,_xlpm.NC&lt;=33000),_xlpm.NC,_xlpm.ND))),
  _xlpm.N_pub,ROUNDUP(_xlpm.N_base*(1+$T$6),-2),
  _xlpm.envio,IF(_xlpm.N_pub&gt;=33000,7000,0),
  ROUNDUP((_xlpm.N_base+_xlpm.envio)*(1+$T$6),-2)
)</f>
        <v>#REF!</v>
      </c>
      <c r="O185" s="503" t="e">
        <f>N185 - K185 - P186  - M185</f>
        <v>#REF!</v>
      </c>
      <c r="Q185" s="565"/>
      <c r="R185" s="501" t="e">
        <f>G185*D185</f>
        <v>#REF!</v>
      </c>
      <c r="S185" s="572"/>
      <c r="T185" s="567"/>
      <c r="U185" s="89"/>
      <c r="V185" s="92"/>
      <c r="W185" s="101"/>
      <c r="X185" s="83"/>
      <c r="Y185" s="93"/>
      <c r="Z185" s="102"/>
      <c r="AA185" s="103"/>
      <c r="AB185" s="104"/>
      <c r="AC185" s="104"/>
      <c r="AD185" s="105"/>
      <c r="AE185" s="106"/>
      <c r="AF185" s="83"/>
      <c r="AG185" s="83"/>
      <c r="AH185" s="60"/>
      <c r="AI185" s="569"/>
      <c r="AJ185" s="570"/>
      <c r="AK185" s="89"/>
      <c r="AL185" s="72"/>
    </row>
    <row r="186" spans="2:38" s="80" customFormat="1" ht="18.75" customHeight="1" x14ac:dyDescent="0.25">
      <c r="B186" s="564"/>
      <c r="C186" s="535"/>
      <c r="D186" s="506"/>
      <c r="E186" s="507"/>
      <c r="F186" s="522"/>
      <c r="G186" s="515"/>
      <c r="H186" s="40" t="e">
        <f>O185-F185</f>
        <v>#REF!</v>
      </c>
      <c r="I186" s="520"/>
      <c r="J186" s="79">
        <v>0.06</v>
      </c>
      <c r="K186" s="519"/>
      <c r="L186" s="440"/>
      <c r="M186" s="513"/>
      <c r="N186" s="525"/>
      <c r="O186" s="504"/>
      <c r="P186" s="91" t="e">
        <f>N185*J186</f>
        <v>#REF!</v>
      </c>
      <c r="Q186" s="565"/>
      <c r="R186" s="502"/>
      <c r="S186" s="572"/>
      <c r="T186" s="89"/>
      <c r="U186" s="568"/>
      <c r="V186" s="70"/>
      <c r="W186" s="82"/>
      <c r="X186" s="88"/>
      <c r="Y186" s="83"/>
      <c r="Z186" s="84"/>
      <c r="AA186" s="84"/>
      <c r="AB186" s="85"/>
      <c r="AC186" s="85"/>
      <c r="AD186" s="86"/>
      <c r="AE186" s="87"/>
      <c r="AF186" s="88"/>
      <c r="AG186" s="89"/>
      <c r="AH186" s="90"/>
      <c r="AI186" s="569"/>
      <c r="AJ186" s="570"/>
      <c r="AK186" s="89"/>
      <c r="AL186" s="72"/>
    </row>
    <row r="187" spans="2:38" s="80" customFormat="1" ht="19.5" customHeight="1" x14ac:dyDescent="0.25">
      <c r="C187" s="133"/>
      <c r="D187" s="132"/>
      <c r="E187" s="46"/>
      <c r="F187" s="43"/>
      <c r="G187" s="43"/>
      <c r="H187" s="45"/>
      <c r="I187" s="45"/>
      <c r="J187" s="45"/>
      <c r="K187" s="45"/>
      <c r="L187" s="45"/>
      <c r="M187" s="45"/>
      <c r="N187" s="125"/>
      <c r="O187" s="127"/>
      <c r="P187" s="98"/>
      <c r="Q187" s="565"/>
      <c r="R187" s="49"/>
      <c r="S187" s="572"/>
      <c r="T187" s="89"/>
      <c r="U187" s="89"/>
      <c r="V187" s="70"/>
      <c r="W187" s="82"/>
      <c r="X187" s="88"/>
      <c r="Y187" s="93"/>
      <c r="Z187" s="84"/>
      <c r="AA187" s="84"/>
      <c r="AB187" s="85"/>
      <c r="AC187" s="85"/>
      <c r="AD187" s="86"/>
      <c r="AE187" s="87"/>
      <c r="AF187" s="88"/>
      <c r="AG187" s="83"/>
      <c r="AH187" s="89"/>
      <c r="AI187" s="569"/>
      <c r="AJ187" s="570"/>
      <c r="AK187" s="89"/>
      <c r="AL187" s="72"/>
    </row>
    <row r="188" spans="2:38" s="80" customFormat="1" ht="18.75" customHeight="1" x14ac:dyDescent="0.25">
      <c r="C188" s="534" t="s">
        <v>106</v>
      </c>
      <c r="D188" s="505">
        <v>50</v>
      </c>
      <c r="E188" s="507">
        <f>Tejidos!K54</f>
        <v>260.89</v>
      </c>
      <c r="F188" s="521">
        <f>E188*D188</f>
        <v>13044.5</v>
      </c>
      <c r="G188" s="514">
        <f>Tejidos!M54</f>
        <v>1760.8899999999999</v>
      </c>
      <c r="H188" s="39">
        <f>G188*D188</f>
        <v>88044.5</v>
      </c>
      <c r="I188" s="520">
        <f>N188/H188-1</f>
        <v>0.33114504597107142</v>
      </c>
      <c r="J188" s="79">
        <v>0.15</v>
      </c>
      <c r="K188" s="519">
        <f>N188*J188</f>
        <v>17580</v>
      </c>
      <c r="L188" s="439"/>
      <c r="M188" s="512">
        <f>IF(N188&lt;=$M$3,$E$1,IF(N188&lt;=$M$4,$G$1,IF(N188&lt;=$N$1,$I$1,0)))</f>
        <v>0</v>
      </c>
      <c r="N188" s="524">
        <f>_xlfn.LET(
  _xlpm.den,(1-J188)*(1-J189),
  _xlpm.NA,(H188+1100)/_xlpm.den,
  _xlpm.NB,(H188+2200)/_xlpm.den,
  _xlpm.NC,(H188+2700)/_xlpm.den,
  _xlpm.ND,(H188)/_xlpm.den,
  _xlpm.N_base,IF(_xlpm.NA&lt;=15000,_xlpm.NA,IF(AND(_xlpm.NB&gt;15000,_xlpm.NB&lt;=25000),_xlpm.NB,IF(AND(_xlpm.NC&gt;25000,_xlpm.NC&lt;=33000),_xlpm.NC,_xlpm.ND))),
  _xlpm.N_pub,ROUNDUP(_xlpm.N_base*(1+$T$6),-2),
  _xlpm.envio,IF(_xlpm.N_pub&gt;=33000,7000,0),
  ROUNDUP((_xlpm.N_base+_xlpm.envio)*(1+$T$6),-2)
)</f>
        <v>117200</v>
      </c>
      <c r="O188" s="503">
        <f>N188 - K188 - P189  - M188</f>
        <v>92588</v>
      </c>
      <c r="Q188" s="565"/>
      <c r="R188" s="501">
        <f>G188*D188</f>
        <v>88044.5</v>
      </c>
      <c r="S188" s="572"/>
      <c r="T188" s="89"/>
      <c r="U188" s="89"/>
      <c r="V188" s="89"/>
      <c r="W188" s="89"/>
      <c r="X188" s="89"/>
      <c r="Y188" s="89"/>
      <c r="Z188" s="89"/>
      <c r="AA188" s="89"/>
      <c r="AB188" s="89"/>
      <c r="AC188" s="89"/>
      <c r="AD188" s="45"/>
      <c r="AE188" s="89"/>
      <c r="AF188" s="89"/>
      <c r="AG188" s="89"/>
      <c r="AH188" s="89"/>
      <c r="AI188" s="569"/>
      <c r="AJ188" s="570"/>
      <c r="AK188" s="89"/>
      <c r="AL188" s="72"/>
    </row>
    <row r="189" spans="2:38" s="80" customFormat="1" ht="18.75" customHeight="1" x14ac:dyDescent="0.25">
      <c r="B189" s="564"/>
      <c r="C189" s="535"/>
      <c r="D189" s="506"/>
      <c r="E189" s="507"/>
      <c r="F189" s="522"/>
      <c r="G189" s="515"/>
      <c r="H189" s="40">
        <f>O188-F188</f>
        <v>79543.5</v>
      </c>
      <c r="I189" s="520"/>
      <c r="J189" s="79">
        <v>0.06</v>
      </c>
      <c r="K189" s="519"/>
      <c r="L189" s="440"/>
      <c r="M189" s="513"/>
      <c r="N189" s="525"/>
      <c r="O189" s="504"/>
      <c r="P189" s="91">
        <f>N188*J189</f>
        <v>7032</v>
      </c>
      <c r="Q189" s="565"/>
      <c r="R189" s="502"/>
      <c r="S189" s="572"/>
      <c r="T189" s="89"/>
      <c r="U189" s="568"/>
      <c r="V189" s="70"/>
      <c r="W189" s="82"/>
      <c r="X189" s="88"/>
      <c r="Y189" s="83"/>
      <c r="Z189" s="84"/>
      <c r="AA189" s="84"/>
      <c r="AB189" s="85"/>
      <c r="AC189" s="85"/>
      <c r="AD189" s="86"/>
      <c r="AE189" s="87"/>
      <c r="AF189" s="88"/>
      <c r="AG189" s="89"/>
      <c r="AH189" s="90"/>
      <c r="AI189" s="569"/>
      <c r="AJ189" s="570"/>
      <c r="AK189" s="89"/>
      <c r="AL189" s="72"/>
    </row>
    <row r="190" spans="2:38" s="80" customFormat="1" ht="18.75" customHeight="1" x14ac:dyDescent="0.25">
      <c r="C190" s="60"/>
      <c r="D190" s="134"/>
      <c r="E190" s="46"/>
      <c r="F190" s="46"/>
      <c r="G190" s="41"/>
      <c r="H190" s="41"/>
      <c r="I190" s="128"/>
      <c r="J190" s="128"/>
      <c r="K190" s="46"/>
      <c r="L190" s="46"/>
      <c r="M190" s="46"/>
      <c r="N190" s="129"/>
      <c r="O190" s="127"/>
      <c r="P190" s="98"/>
      <c r="Q190" s="565"/>
      <c r="R190" s="130"/>
      <c r="S190" s="572"/>
      <c r="T190" s="89"/>
      <c r="U190" s="89"/>
      <c r="V190" s="70"/>
      <c r="W190" s="82"/>
      <c r="X190" s="88"/>
      <c r="Y190" s="93"/>
      <c r="Z190" s="84"/>
      <c r="AA190" s="84"/>
      <c r="AB190" s="85"/>
      <c r="AC190" s="85"/>
      <c r="AD190" s="86"/>
      <c r="AE190" s="87"/>
      <c r="AF190" s="88"/>
      <c r="AG190" s="83"/>
      <c r="AH190" s="89"/>
      <c r="AI190" s="569"/>
      <c r="AJ190" s="570"/>
      <c r="AK190" s="89"/>
      <c r="AL190" s="72"/>
    </row>
    <row r="191" spans="2:38" s="80" customFormat="1" ht="18.75" customHeight="1" x14ac:dyDescent="0.25">
      <c r="C191" s="534" t="s">
        <v>106</v>
      </c>
      <c r="D191" s="505">
        <v>30</v>
      </c>
      <c r="E191" s="507"/>
      <c r="F191" s="521">
        <f>E191*D191</f>
        <v>0</v>
      </c>
      <c r="G191" s="514">
        <v>0</v>
      </c>
      <c r="H191" s="39">
        <f>G191*D191</f>
        <v>0</v>
      </c>
      <c r="I191" s="520" t="e">
        <f>N191/H191-1</f>
        <v>#DIV/0!</v>
      </c>
      <c r="J191" s="79">
        <v>0.15</v>
      </c>
      <c r="K191" s="519">
        <f>N191*J191</f>
        <v>210</v>
      </c>
      <c r="L191" s="439"/>
      <c r="M191" s="512">
        <f>IF(N191&lt;=$M$3,$E$1,IF(N191&lt;=$M$4,$G$1,IF(N191&lt;=$N$1,$I$1,0)))</f>
        <v>1100</v>
      </c>
      <c r="N191" s="524">
        <f>_xlfn.LET(
  _xlpm.den,(1-J191)*(1-J192),
  _xlpm.NA,(H191+1100)/_xlpm.den,
  _xlpm.NB,(H191+2200)/_xlpm.den,
  _xlpm.NC,(H191+2700)/_xlpm.den,
  _xlpm.ND,(H191)/_xlpm.den,
  _xlpm.N_base,IF(_xlpm.NA&lt;=15000,_xlpm.NA,IF(AND(_xlpm.NB&gt;15000,_xlpm.NB&lt;=25000),_xlpm.NB,IF(AND(_xlpm.NC&gt;25000,_xlpm.NC&lt;=33000),_xlpm.NC,_xlpm.ND))),
  _xlpm.N_pub,ROUNDUP(_xlpm.N_base*(1+$T$6),-2),
  _xlpm.envio,IF(_xlpm.N_pub&gt;=33000,7000,0),
  ROUNDUP((_xlpm.N_base+_xlpm.envio)*(1+$T$6),-2)
)</f>
        <v>1400</v>
      </c>
      <c r="O191" s="503">
        <f>N191 - K191 - P192  - M191</f>
        <v>6</v>
      </c>
      <c r="Q191" s="565"/>
      <c r="R191" s="501">
        <f>G191*D191</f>
        <v>0</v>
      </c>
      <c r="S191" s="572"/>
      <c r="T191" s="89"/>
      <c r="U191" s="89"/>
      <c r="V191" s="70"/>
      <c r="W191" s="101"/>
      <c r="X191" s="83"/>
      <c r="Y191" s="93"/>
      <c r="Z191" s="102"/>
      <c r="AA191" s="103"/>
      <c r="AB191" s="104"/>
      <c r="AC191" s="104"/>
      <c r="AD191" s="105"/>
      <c r="AE191" s="106"/>
      <c r="AF191" s="83"/>
      <c r="AG191" s="83"/>
      <c r="AH191" s="60"/>
      <c r="AI191" s="569"/>
      <c r="AJ191" s="570"/>
      <c r="AK191" s="89"/>
      <c r="AL191" s="72"/>
    </row>
    <row r="192" spans="2:38" s="80" customFormat="1" ht="18.75" customHeight="1" x14ac:dyDescent="0.25">
      <c r="C192" s="535"/>
      <c r="D192" s="506"/>
      <c r="E192" s="507"/>
      <c r="F192" s="522"/>
      <c r="G192" s="515"/>
      <c r="H192" s="40">
        <f>O191-F191</f>
        <v>6</v>
      </c>
      <c r="I192" s="520"/>
      <c r="J192" s="79">
        <v>0.06</v>
      </c>
      <c r="K192" s="519"/>
      <c r="L192" s="440"/>
      <c r="M192" s="513"/>
      <c r="N192" s="525"/>
      <c r="O192" s="504"/>
      <c r="P192" s="91">
        <f>N191*J192</f>
        <v>84</v>
      </c>
      <c r="Q192" s="565"/>
      <c r="R192" s="502"/>
      <c r="S192" s="572"/>
      <c r="T192" s="89"/>
      <c r="U192" s="89"/>
      <c r="V192" s="70"/>
      <c r="W192" s="82"/>
      <c r="X192" s="88"/>
      <c r="Y192" s="83"/>
      <c r="Z192" s="84"/>
      <c r="AA192" s="84"/>
      <c r="AB192" s="85"/>
      <c r="AC192" s="85"/>
      <c r="AD192" s="86"/>
      <c r="AE192" s="87"/>
      <c r="AF192" s="88"/>
      <c r="AG192" s="89"/>
      <c r="AH192" s="89"/>
      <c r="AI192" s="569"/>
      <c r="AJ192" s="570"/>
      <c r="AK192" s="89"/>
      <c r="AL192" s="72"/>
    </row>
    <row r="193" spans="2:38" s="80" customFormat="1" ht="18.75" customHeight="1" x14ac:dyDescent="0.25">
      <c r="C193" s="94"/>
      <c r="D193" s="126"/>
      <c r="E193" s="46"/>
      <c r="F193" s="46"/>
      <c r="G193" s="41"/>
      <c r="H193" s="41"/>
      <c r="I193" s="128"/>
      <c r="J193" s="128"/>
      <c r="K193" s="46"/>
      <c r="L193" s="46"/>
      <c r="M193" s="46"/>
      <c r="N193" s="129"/>
      <c r="O193" s="127"/>
      <c r="P193" s="98"/>
      <c r="Q193" s="565"/>
      <c r="R193" s="130"/>
      <c r="S193" s="572"/>
      <c r="T193" s="89"/>
      <c r="U193" s="89"/>
      <c r="V193" s="60"/>
      <c r="W193" s="82"/>
      <c r="X193" s="88"/>
      <c r="Y193" s="93"/>
      <c r="Z193" s="84"/>
      <c r="AA193" s="84"/>
      <c r="AB193" s="85"/>
      <c r="AC193" s="85"/>
      <c r="AD193" s="86"/>
      <c r="AE193" s="87"/>
      <c r="AF193" s="88"/>
      <c r="AG193" s="83"/>
      <c r="AH193" s="89"/>
      <c r="AI193" s="569"/>
      <c r="AJ193" s="570"/>
      <c r="AK193" s="89"/>
      <c r="AL193" s="72"/>
    </row>
    <row r="194" spans="2:38" s="80" customFormat="1" x14ac:dyDescent="0.25">
      <c r="C194" s="534" t="s">
        <v>107</v>
      </c>
      <c r="D194" s="505">
        <v>10</v>
      </c>
      <c r="E194" s="507"/>
      <c r="F194" s="521">
        <f>E194*D194</f>
        <v>0</v>
      </c>
      <c r="G194" s="514">
        <v>0</v>
      </c>
      <c r="H194" s="39">
        <f>G194*D194</f>
        <v>0</v>
      </c>
      <c r="I194" s="520" t="e">
        <f>N194/H194-1</f>
        <v>#DIV/0!</v>
      </c>
      <c r="J194" s="79">
        <v>0.15</v>
      </c>
      <c r="K194" s="519">
        <f>N194*J194</f>
        <v>3720</v>
      </c>
      <c r="L194" s="439"/>
      <c r="M194" s="512">
        <f>IF(N194&lt;=$M$3,$E$1,IF(N194&lt;=$M$4,$G$1,IF(N194&lt;=$N$1,$I$1,0)))</f>
        <v>2300</v>
      </c>
      <c r="N194" s="524">
        <v>24800</v>
      </c>
      <c r="O194" s="503">
        <v>17292</v>
      </c>
      <c r="Q194" s="565"/>
      <c r="R194" s="501">
        <f>G194*D194</f>
        <v>0</v>
      </c>
      <c r="S194" s="572"/>
      <c r="T194" s="89"/>
      <c r="U194" s="89"/>
      <c r="V194" s="70"/>
      <c r="W194" s="89"/>
      <c r="X194" s="89"/>
      <c r="Y194" s="89"/>
      <c r="Z194" s="89"/>
      <c r="AA194" s="89"/>
      <c r="AB194" s="89"/>
      <c r="AC194" s="89"/>
      <c r="AD194" s="45"/>
      <c r="AE194" s="89"/>
      <c r="AF194" s="89"/>
      <c r="AG194" s="89"/>
      <c r="AH194" s="89"/>
      <c r="AI194" s="569"/>
      <c r="AJ194" s="570"/>
      <c r="AK194" s="89"/>
      <c r="AL194" s="72"/>
    </row>
    <row r="195" spans="2:38" s="80" customFormat="1" ht="18.75" customHeight="1" x14ac:dyDescent="0.25">
      <c r="C195" s="535"/>
      <c r="D195" s="506"/>
      <c r="E195" s="507"/>
      <c r="F195" s="522"/>
      <c r="G195" s="515"/>
      <c r="H195" s="40">
        <f>O194-F194</f>
        <v>17292</v>
      </c>
      <c r="I195" s="520"/>
      <c r="J195" s="79">
        <v>0.06</v>
      </c>
      <c r="K195" s="519"/>
      <c r="L195" s="440"/>
      <c r="M195" s="513"/>
      <c r="N195" s="525"/>
      <c r="O195" s="504"/>
      <c r="P195" s="91">
        <f>N194*J195</f>
        <v>1488</v>
      </c>
      <c r="Q195" s="565"/>
      <c r="R195" s="502"/>
      <c r="S195" s="572"/>
      <c r="T195" s="89"/>
      <c r="U195" s="89"/>
      <c r="V195" s="70"/>
      <c r="W195" s="82"/>
      <c r="X195" s="88"/>
      <c r="Y195" s="83"/>
      <c r="Z195" s="84"/>
      <c r="AA195" s="84"/>
      <c r="AB195" s="85"/>
      <c r="AC195" s="85"/>
      <c r="AD195" s="86"/>
      <c r="AE195" s="87"/>
      <c r="AF195" s="88"/>
      <c r="AG195" s="89"/>
      <c r="AH195" s="89"/>
      <c r="AI195" s="569"/>
      <c r="AJ195" s="570"/>
      <c r="AK195" s="89"/>
      <c r="AL195" s="72"/>
    </row>
    <row r="196" spans="2:38" s="80" customFormat="1" ht="18.75" customHeight="1" x14ac:dyDescent="0.25">
      <c r="C196" s="94"/>
      <c r="D196" s="131"/>
      <c r="E196" s="46"/>
      <c r="F196" s="46"/>
      <c r="G196" s="41"/>
      <c r="H196" s="41"/>
      <c r="I196" s="128"/>
      <c r="J196" s="128"/>
      <c r="K196" s="46"/>
      <c r="L196" s="46"/>
      <c r="M196" s="46"/>
      <c r="N196" s="129"/>
      <c r="O196" s="127"/>
      <c r="P196" s="98"/>
      <c r="Q196" s="565"/>
      <c r="R196" s="130"/>
      <c r="S196" s="572"/>
      <c r="T196" s="89"/>
      <c r="U196" s="89"/>
      <c r="V196" s="92"/>
      <c r="W196" s="82"/>
      <c r="X196" s="88"/>
      <c r="Y196" s="93"/>
      <c r="Z196" s="84"/>
      <c r="AA196" s="84"/>
      <c r="AB196" s="85"/>
      <c r="AC196" s="85"/>
      <c r="AD196" s="86"/>
      <c r="AE196" s="87"/>
      <c r="AF196" s="88"/>
      <c r="AG196" s="83"/>
      <c r="AH196" s="89"/>
      <c r="AI196" s="569"/>
      <c r="AJ196" s="570"/>
      <c r="AK196" s="89"/>
      <c r="AL196" s="72"/>
    </row>
    <row r="197" spans="2:38" s="80" customFormat="1" ht="23.25" customHeight="1" x14ac:dyDescent="0.25">
      <c r="B197" s="89"/>
      <c r="C197" s="534" t="s">
        <v>107</v>
      </c>
      <c r="D197" s="505">
        <v>25</v>
      </c>
      <c r="E197" s="507"/>
      <c r="F197" s="521">
        <f>E197*D197</f>
        <v>0</v>
      </c>
      <c r="G197" s="514">
        <v>0</v>
      </c>
      <c r="H197" s="39">
        <f>G197*D197</f>
        <v>0</v>
      </c>
      <c r="I197" s="520" t="e">
        <f>N197/H197-1</f>
        <v>#DIV/0!</v>
      </c>
      <c r="J197" s="79">
        <v>0.15</v>
      </c>
      <c r="K197" s="519">
        <f>N197*J197</f>
        <v>3720</v>
      </c>
      <c r="L197" s="439"/>
      <c r="M197" s="512">
        <f>IF(N197&lt;=$M$3,$E$1,IF(N197&lt;=$M$4,$G$1,IF(N197&lt;=$N$1,$I$1,0)))</f>
        <v>2300</v>
      </c>
      <c r="N197" s="524">
        <v>24800</v>
      </c>
      <c r="O197" s="503">
        <v>17292</v>
      </c>
      <c r="Q197" s="565"/>
      <c r="R197" s="501">
        <f>G197*D197</f>
        <v>0</v>
      </c>
      <c r="S197" s="572"/>
      <c r="T197" s="89"/>
      <c r="U197" s="89"/>
      <c r="V197" s="92"/>
      <c r="W197" s="101"/>
      <c r="X197" s="83"/>
      <c r="Y197" s="93"/>
      <c r="Z197" s="102"/>
      <c r="AA197" s="103"/>
      <c r="AB197" s="104"/>
      <c r="AC197" s="104"/>
      <c r="AD197" s="105"/>
      <c r="AE197" s="106"/>
      <c r="AF197" s="83"/>
      <c r="AG197" s="83"/>
      <c r="AH197" s="60"/>
      <c r="AI197" s="569"/>
      <c r="AJ197" s="570"/>
      <c r="AK197" s="89"/>
      <c r="AL197" s="72"/>
    </row>
    <row r="198" spans="2:38" s="80" customFormat="1" ht="18.75" customHeight="1" x14ac:dyDescent="0.25">
      <c r="B198" s="564"/>
      <c r="C198" s="535"/>
      <c r="D198" s="506"/>
      <c r="E198" s="507"/>
      <c r="F198" s="522"/>
      <c r="G198" s="515"/>
      <c r="H198" s="40">
        <f>O197-F197</f>
        <v>17292</v>
      </c>
      <c r="I198" s="520"/>
      <c r="J198" s="79">
        <v>0.06</v>
      </c>
      <c r="K198" s="519"/>
      <c r="L198" s="440"/>
      <c r="M198" s="513"/>
      <c r="N198" s="525"/>
      <c r="O198" s="504"/>
      <c r="P198" s="91">
        <f>N197*J198</f>
        <v>1488</v>
      </c>
      <c r="Q198" s="565"/>
      <c r="R198" s="502"/>
      <c r="S198" s="572"/>
      <c r="T198" s="89"/>
      <c r="U198" s="568"/>
      <c r="V198" s="70"/>
      <c r="W198" s="82"/>
      <c r="X198" s="88"/>
      <c r="Y198" s="83"/>
      <c r="Z198" s="84"/>
      <c r="AA198" s="84"/>
      <c r="AB198" s="85"/>
      <c r="AC198" s="85"/>
      <c r="AD198" s="86"/>
      <c r="AE198" s="87"/>
      <c r="AF198" s="88"/>
      <c r="AG198" s="89"/>
      <c r="AH198" s="90"/>
      <c r="AI198" s="569"/>
      <c r="AJ198" s="570"/>
      <c r="AK198" s="89"/>
      <c r="AL198" s="72"/>
    </row>
    <row r="199" spans="2:38" s="80" customFormat="1" ht="18.75" customHeight="1" x14ac:dyDescent="0.25">
      <c r="C199" s="94"/>
      <c r="D199" s="132"/>
      <c r="E199" s="46"/>
      <c r="F199" s="42"/>
      <c r="G199" s="41"/>
      <c r="H199" s="41"/>
      <c r="I199" s="78"/>
      <c r="J199" s="99"/>
      <c r="K199" s="42"/>
      <c r="L199" s="42"/>
      <c r="M199" s="42"/>
      <c r="N199" s="95"/>
      <c r="O199" s="127"/>
      <c r="P199" s="98"/>
      <c r="Q199" s="565"/>
      <c r="R199" s="130"/>
      <c r="S199" s="572"/>
      <c r="T199" s="89"/>
      <c r="U199" s="89"/>
      <c r="V199" s="70"/>
      <c r="W199" s="82"/>
      <c r="X199" s="88"/>
      <c r="Y199" s="93"/>
      <c r="Z199" s="84"/>
      <c r="AA199" s="84"/>
      <c r="AB199" s="85"/>
      <c r="AC199" s="85"/>
      <c r="AD199" s="86"/>
      <c r="AE199" s="87"/>
      <c r="AF199" s="88"/>
      <c r="AG199" s="83"/>
      <c r="AH199" s="89"/>
      <c r="AI199" s="569"/>
      <c r="AJ199" s="570"/>
      <c r="AK199" s="89"/>
      <c r="AL199" s="72"/>
    </row>
    <row r="200" spans="2:38" s="80" customFormat="1" ht="18.75" customHeight="1" x14ac:dyDescent="0.25">
      <c r="C200" s="534" t="s">
        <v>107</v>
      </c>
      <c r="D200" s="505">
        <v>50</v>
      </c>
      <c r="E200" s="507"/>
      <c r="F200" s="521">
        <f>E200*D200</f>
        <v>0</v>
      </c>
      <c r="G200" s="514">
        <v>0</v>
      </c>
      <c r="H200" s="39">
        <f>G200*D200</f>
        <v>0</v>
      </c>
      <c r="I200" s="520" t="e">
        <f>N200/H200-1</f>
        <v>#DIV/0!</v>
      </c>
      <c r="J200" s="79">
        <v>0.15</v>
      </c>
      <c r="K200" s="519">
        <f>N200*J200</f>
        <v>3720</v>
      </c>
      <c r="L200" s="439"/>
      <c r="M200" s="512">
        <f>IF(N200&lt;=$M$3,$E$1,IF(N200&lt;=$M$4,$G$1,IF(N200&lt;=$N$1,$I$1,0)))</f>
        <v>2300</v>
      </c>
      <c r="N200" s="524">
        <v>24800</v>
      </c>
      <c r="O200" s="503">
        <v>17292</v>
      </c>
      <c r="Q200" s="565"/>
      <c r="R200" s="501">
        <f>G200*D200</f>
        <v>0</v>
      </c>
      <c r="S200" s="572"/>
      <c r="T200" s="89"/>
      <c r="U200" s="89"/>
      <c r="V200" s="89"/>
      <c r="W200" s="89"/>
      <c r="X200" s="89"/>
      <c r="Y200" s="89"/>
      <c r="Z200" s="89"/>
      <c r="AA200" s="89"/>
      <c r="AB200" s="89"/>
      <c r="AC200" s="89"/>
      <c r="AD200" s="45"/>
      <c r="AE200" s="89"/>
      <c r="AF200" s="89"/>
      <c r="AG200" s="89"/>
      <c r="AH200" s="89"/>
      <c r="AI200" s="569"/>
      <c r="AJ200" s="570"/>
      <c r="AK200" s="89"/>
      <c r="AL200" s="72"/>
    </row>
    <row r="201" spans="2:38" s="80" customFormat="1" ht="18.75" customHeight="1" x14ac:dyDescent="0.25">
      <c r="B201" s="564"/>
      <c r="C201" s="535"/>
      <c r="D201" s="506"/>
      <c r="E201" s="507"/>
      <c r="F201" s="522"/>
      <c r="G201" s="515"/>
      <c r="H201" s="40">
        <f>O200-F200</f>
        <v>17292</v>
      </c>
      <c r="I201" s="520"/>
      <c r="J201" s="79">
        <v>0.06</v>
      </c>
      <c r="K201" s="519"/>
      <c r="L201" s="440"/>
      <c r="M201" s="513"/>
      <c r="N201" s="525"/>
      <c r="O201" s="504"/>
      <c r="P201" s="91">
        <f>N200*J201</f>
        <v>1488</v>
      </c>
      <c r="Q201" s="565"/>
      <c r="R201" s="502"/>
      <c r="S201" s="572"/>
      <c r="T201" s="89"/>
      <c r="U201" s="568"/>
      <c r="V201" s="70"/>
      <c r="W201" s="82"/>
      <c r="X201" s="88"/>
      <c r="Y201" s="83"/>
      <c r="Z201" s="84"/>
      <c r="AA201" s="84"/>
      <c r="AB201" s="85"/>
      <c r="AC201" s="85"/>
      <c r="AD201" s="86"/>
      <c r="AE201" s="87"/>
      <c r="AF201" s="88"/>
      <c r="AG201" s="89"/>
      <c r="AH201" s="90"/>
      <c r="AI201" s="569"/>
      <c r="AJ201" s="570"/>
      <c r="AK201" s="89"/>
      <c r="AL201" s="72"/>
    </row>
    <row r="202" spans="2:38" s="80" customFormat="1" ht="18.75" customHeight="1" x14ac:dyDescent="0.25">
      <c r="C202" s="53"/>
      <c r="D202" s="132"/>
      <c r="E202" s="46"/>
      <c r="F202" s="42"/>
      <c r="G202" s="41"/>
      <c r="H202" s="41"/>
      <c r="I202" s="78"/>
      <c r="J202" s="99"/>
      <c r="K202" s="42"/>
      <c r="L202" s="42"/>
      <c r="M202" s="42"/>
      <c r="N202" s="115"/>
      <c r="O202" s="127"/>
      <c r="P202" s="98"/>
      <c r="Q202" s="565"/>
      <c r="R202" s="130"/>
      <c r="S202" s="572"/>
      <c r="T202" s="89"/>
      <c r="U202" s="89"/>
      <c r="V202" s="70"/>
      <c r="W202" s="82"/>
      <c r="X202" s="88"/>
      <c r="Y202" s="93"/>
      <c r="Z202" s="84"/>
      <c r="AA202" s="84"/>
      <c r="AB202" s="85"/>
      <c r="AC202" s="85"/>
      <c r="AD202" s="86"/>
      <c r="AE202" s="87"/>
      <c r="AF202" s="88"/>
      <c r="AG202" s="83"/>
      <c r="AH202" s="89"/>
      <c r="AI202" s="569"/>
      <c r="AJ202" s="570"/>
      <c r="AK202" s="89"/>
      <c r="AL202" s="72"/>
    </row>
    <row r="203" spans="2:38" s="80" customFormat="1" ht="18.75" customHeight="1" x14ac:dyDescent="0.25">
      <c r="C203" s="534" t="s">
        <v>107</v>
      </c>
      <c r="D203" s="505">
        <v>100</v>
      </c>
      <c r="E203" s="507"/>
      <c r="F203" s="521">
        <f>E203*D203</f>
        <v>0</v>
      </c>
      <c r="G203" s="514">
        <v>0</v>
      </c>
      <c r="H203" s="39">
        <f>G203*D203</f>
        <v>0</v>
      </c>
      <c r="I203" s="520" t="e">
        <f>N203/H203-1</f>
        <v>#DIV/0!</v>
      </c>
      <c r="J203" s="79">
        <v>0.15</v>
      </c>
      <c r="K203" s="519">
        <f>N203*J203</f>
        <v>3720</v>
      </c>
      <c r="L203" s="439"/>
      <c r="M203" s="512">
        <f>IF(N203&lt;=$M$3,$E$1,IF(N203&lt;=$M$4,$G$1,IF(N203&lt;=$N$1,$I$1,0)))</f>
        <v>2300</v>
      </c>
      <c r="N203" s="524">
        <v>24800</v>
      </c>
      <c r="O203" s="503">
        <v>17292</v>
      </c>
      <c r="Q203" s="565"/>
      <c r="R203" s="501">
        <f>G203*D203</f>
        <v>0</v>
      </c>
      <c r="S203" s="572"/>
      <c r="T203" s="89"/>
      <c r="U203" s="89"/>
      <c r="V203" s="70"/>
      <c r="W203" s="101"/>
      <c r="X203" s="83"/>
      <c r="Y203" s="93"/>
      <c r="Z203" s="102"/>
      <c r="AA203" s="103"/>
      <c r="AB203" s="104"/>
      <c r="AC203" s="104"/>
      <c r="AD203" s="105"/>
      <c r="AE203" s="106"/>
      <c r="AF203" s="83"/>
      <c r="AG203" s="83"/>
      <c r="AH203" s="60"/>
      <c r="AI203" s="569"/>
      <c r="AJ203" s="570"/>
      <c r="AK203" s="89"/>
      <c r="AL203" s="72"/>
    </row>
    <row r="204" spans="2:38" s="80" customFormat="1" ht="18.75" customHeight="1" x14ac:dyDescent="0.25">
      <c r="C204" s="535"/>
      <c r="D204" s="506"/>
      <c r="E204" s="507"/>
      <c r="F204" s="522"/>
      <c r="G204" s="515"/>
      <c r="H204" s="40">
        <f>O203-F203</f>
        <v>17292</v>
      </c>
      <c r="I204" s="520"/>
      <c r="J204" s="79">
        <v>0.06</v>
      </c>
      <c r="K204" s="519"/>
      <c r="L204" s="440"/>
      <c r="M204" s="513"/>
      <c r="N204" s="525"/>
      <c r="O204" s="504"/>
      <c r="P204" s="91">
        <f>N203*J204</f>
        <v>1488</v>
      </c>
      <c r="Q204" s="565"/>
      <c r="R204" s="502"/>
      <c r="S204" s="572"/>
      <c r="T204" s="89"/>
      <c r="U204" s="89"/>
      <c r="V204" s="70"/>
      <c r="W204" s="82"/>
      <c r="X204" s="88"/>
      <c r="Y204" s="83"/>
      <c r="Z204" s="84"/>
      <c r="AA204" s="84"/>
      <c r="AB204" s="85"/>
      <c r="AC204" s="85"/>
      <c r="AD204" s="86"/>
      <c r="AE204" s="87"/>
      <c r="AF204" s="88"/>
      <c r="AG204" s="89"/>
      <c r="AH204" s="89"/>
      <c r="AI204" s="569"/>
      <c r="AJ204" s="570"/>
      <c r="AK204" s="89"/>
      <c r="AL204" s="72"/>
    </row>
    <row r="205" spans="2:38" s="80" customFormat="1" ht="18.75" customHeight="1" x14ac:dyDescent="0.25">
      <c r="C205" s="133"/>
      <c r="D205" s="132"/>
      <c r="E205" s="46"/>
      <c r="F205" s="49"/>
      <c r="G205" s="49"/>
      <c r="H205" s="49"/>
      <c r="K205" s="49"/>
      <c r="L205" s="49"/>
      <c r="M205" s="49"/>
      <c r="O205" s="127"/>
      <c r="P205" s="98"/>
      <c r="Q205" s="565"/>
      <c r="R205" s="130"/>
      <c r="S205" s="572"/>
      <c r="T205" s="89"/>
      <c r="U205" s="89"/>
      <c r="V205" s="60"/>
      <c r="W205" s="82"/>
      <c r="X205" s="88"/>
      <c r="Y205" s="93"/>
      <c r="Z205" s="84"/>
      <c r="AA205" s="84"/>
      <c r="AB205" s="85"/>
      <c r="AC205" s="85"/>
      <c r="AD205" s="86"/>
      <c r="AE205" s="87"/>
      <c r="AF205" s="88"/>
      <c r="AG205" s="83"/>
      <c r="AH205" s="89"/>
      <c r="AI205" s="569"/>
      <c r="AJ205" s="570"/>
      <c r="AK205" s="89"/>
      <c r="AL205" s="72"/>
    </row>
    <row r="206" spans="2:38" s="80" customFormat="1" x14ac:dyDescent="0.25">
      <c r="C206" s="544" t="s">
        <v>108</v>
      </c>
      <c r="D206" s="505">
        <v>1</v>
      </c>
      <c r="E206" s="507"/>
      <c r="F206" s="521">
        <f>E206*D206</f>
        <v>0</v>
      </c>
      <c r="G206" s="514">
        <v>0</v>
      </c>
      <c r="H206" s="39">
        <f>G206*D206</f>
        <v>0</v>
      </c>
      <c r="I206" s="520" t="e">
        <f>N206/H206-1</f>
        <v>#DIV/0!</v>
      </c>
      <c r="J206" s="79">
        <v>0.15</v>
      </c>
      <c r="K206" s="519">
        <f>N206*J206</f>
        <v>3720</v>
      </c>
      <c r="L206" s="439"/>
      <c r="M206" s="512">
        <f>IF(N206&lt;=$M$3,$E$1,IF(N206&lt;=$M$4,$G$1,IF(N206&lt;=$N$1,$I$1,0)))</f>
        <v>2300</v>
      </c>
      <c r="N206" s="524">
        <v>24800</v>
      </c>
      <c r="O206" s="503">
        <v>17292</v>
      </c>
      <c r="Q206" s="565"/>
      <c r="R206" s="501">
        <f>G206*D206</f>
        <v>0</v>
      </c>
      <c r="S206" s="572"/>
      <c r="T206" s="89"/>
      <c r="U206" s="89"/>
      <c r="V206" s="70"/>
      <c r="W206" s="89"/>
      <c r="X206" s="89"/>
      <c r="Y206" s="89"/>
      <c r="Z206" s="89"/>
      <c r="AA206" s="89"/>
      <c r="AB206" s="89"/>
      <c r="AC206" s="89"/>
      <c r="AD206" s="45"/>
      <c r="AE206" s="89"/>
      <c r="AF206" s="89"/>
      <c r="AG206" s="89"/>
      <c r="AH206" s="89"/>
      <c r="AI206" s="569"/>
      <c r="AJ206" s="570"/>
      <c r="AK206" s="89"/>
      <c r="AL206" s="72"/>
    </row>
    <row r="207" spans="2:38" s="80" customFormat="1" ht="18.75" customHeight="1" x14ac:dyDescent="0.25">
      <c r="C207" s="545"/>
      <c r="D207" s="506"/>
      <c r="E207" s="507"/>
      <c r="F207" s="522"/>
      <c r="G207" s="515"/>
      <c r="H207" s="40">
        <f>O206-F206</f>
        <v>17292</v>
      </c>
      <c r="I207" s="520"/>
      <c r="J207" s="79">
        <v>0.06</v>
      </c>
      <c r="K207" s="519"/>
      <c r="L207" s="440"/>
      <c r="M207" s="513"/>
      <c r="N207" s="525"/>
      <c r="O207" s="504"/>
      <c r="P207" s="91">
        <f>N206*J207</f>
        <v>1488</v>
      </c>
      <c r="Q207" s="565"/>
      <c r="R207" s="502"/>
      <c r="S207" s="572"/>
      <c r="T207" s="89"/>
      <c r="U207" s="89"/>
      <c r="V207" s="70"/>
      <c r="W207" s="82"/>
      <c r="X207" s="88"/>
      <c r="Y207" s="83"/>
      <c r="Z207" s="84"/>
      <c r="AA207" s="84"/>
      <c r="AB207" s="85"/>
      <c r="AC207" s="85"/>
      <c r="AD207" s="86"/>
      <c r="AE207" s="87"/>
      <c r="AF207" s="88"/>
      <c r="AG207" s="89"/>
      <c r="AH207" s="89"/>
      <c r="AI207" s="569"/>
      <c r="AJ207" s="570"/>
      <c r="AK207" s="89"/>
      <c r="AL207" s="72"/>
    </row>
    <row r="208" spans="2:38" s="80" customFormat="1" ht="18.75" customHeight="1" x14ac:dyDescent="0.25">
      <c r="C208" s="96"/>
      <c r="D208" s="132"/>
      <c r="E208" s="46"/>
      <c r="F208" s="49"/>
      <c r="G208" s="49"/>
      <c r="H208" s="49"/>
      <c r="K208" s="49"/>
      <c r="L208" s="49"/>
      <c r="M208" s="49"/>
      <c r="O208" s="127"/>
      <c r="P208" s="98"/>
      <c r="Q208" s="565"/>
      <c r="R208" s="130"/>
      <c r="S208" s="572"/>
      <c r="T208" s="89"/>
      <c r="U208" s="89"/>
      <c r="V208" s="92"/>
      <c r="W208" s="82"/>
      <c r="X208" s="88"/>
      <c r="Y208" s="93"/>
      <c r="Z208" s="84"/>
      <c r="AA208" s="84"/>
      <c r="AB208" s="85"/>
      <c r="AC208" s="85"/>
      <c r="AD208" s="86"/>
      <c r="AE208" s="87"/>
      <c r="AF208" s="88"/>
      <c r="AG208" s="83"/>
      <c r="AH208" s="89"/>
      <c r="AI208" s="569"/>
      <c r="AJ208" s="570"/>
      <c r="AK208" s="89"/>
      <c r="AL208" s="72"/>
    </row>
    <row r="209" spans="2:38" s="80" customFormat="1" ht="15" customHeight="1" x14ac:dyDescent="0.25">
      <c r="B209" s="89"/>
      <c r="C209" s="552" t="s">
        <v>196</v>
      </c>
      <c r="D209" s="554">
        <v>80</v>
      </c>
      <c r="E209" s="556" t="e">
        <f>#REF!</f>
        <v>#REF!</v>
      </c>
      <c r="F209" s="521" t="e">
        <f>E209*D209</f>
        <v>#REF!</v>
      </c>
      <c r="G209" s="514" t="e">
        <f>#REF!</f>
        <v>#REF!</v>
      </c>
      <c r="H209" s="39" t="e">
        <f>G209*D209</f>
        <v>#REF!</v>
      </c>
      <c r="I209" s="520" t="e">
        <f>N209/H209-1</f>
        <v>#REF!</v>
      </c>
      <c r="J209" s="79">
        <v>0.15</v>
      </c>
      <c r="K209" s="519">
        <f>N209*J209</f>
        <v>3720</v>
      </c>
      <c r="L209" s="439"/>
      <c r="M209" s="512">
        <f>IF(N209&lt;=$M$3,$E$1,IF(N209&lt;=$M$4,$G$1,IF(N209&lt;=$N$1,$I$1,0)))</f>
        <v>2300</v>
      </c>
      <c r="N209" s="524">
        <v>24800</v>
      </c>
      <c r="O209" s="503">
        <v>17292</v>
      </c>
      <c r="Q209" s="565"/>
      <c r="R209" s="501" t="e">
        <f>G209*D209</f>
        <v>#REF!</v>
      </c>
      <c r="S209" s="572"/>
      <c r="T209" s="89"/>
      <c r="U209" s="89"/>
      <c r="V209" s="92"/>
      <c r="W209" s="101"/>
      <c r="X209" s="83"/>
      <c r="Y209" s="93"/>
      <c r="Z209" s="102"/>
      <c r="AA209" s="103"/>
      <c r="AB209" s="104"/>
      <c r="AC209" s="104"/>
      <c r="AD209" s="105"/>
      <c r="AE209" s="106"/>
      <c r="AF209" s="83"/>
      <c r="AG209" s="83"/>
      <c r="AH209" s="60"/>
      <c r="AI209" s="569"/>
      <c r="AJ209" s="570"/>
      <c r="AK209" s="89"/>
      <c r="AL209" s="72"/>
    </row>
    <row r="210" spans="2:38" s="80" customFormat="1" ht="17.25" customHeight="1" x14ac:dyDescent="0.25">
      <c r="B210" s="564"/>
      <c r="C210" s="553"/>
      <c r="D210" s="555"/>
      <c r="E210" s="557"/>
      <c r="F210" s="522"/>
      <c r="G210" s="515"/>
      <c r="H210" s="40" t="e">
        <f>O209-F209</f>
        <v>#REF!</v>
      </c>
      <c r="I210" s="520"/>
      <c r="J210" s="79">
        <v>0.06</v>
      </c>
      <c r="K210" s="519"/>
      <c r="L210" s="440"/>
      <c r="M210" s="513"/>
      <c r="N210" s="525"/>
      <c r="O210" s="504"/>
      <c r="P210" s="91">
        <f>N209*J210</f>
        <v>1488</v>
      </c>
      <c r="Q210" s="565"/>
      <c r="R210" s="502"/>
      <c r="S210" s="572"/>
      <c r="T210" s="89"/>
      <c r="U210" s="568"/>
      <c r="V210" s="70"/>
      <c r="W210" s="82"/>
      <c r="X210" s="88"/>
      <c r="Y210" s="83"/>
      <c r="Z210" s="84"/>
      <c r="AA210" s="84"/>
      <c r="AB210" s="85"/>
      <c r="AC210" s="85"/>
      <c r="AD210" s="86"/>
      <c r="AE210" s="87"/>
      <c r="AF210" s="88"/>
      <c r="AG210" s="89"/>
      <c r="AH210" s="90"/>
      <c r="AI210" s="569"/>
      <c r="AJ210" s="570"/>
      <c r="AK210" s="89"/>
      <c r="AL210" s="72"/>
    </row>
    <row r="211" spans="2:38" s="80" customFormat="1" ht="18.75" customHeight="1" x14ac:dyDescent="0.25">
      <c r="C211" s="94"/>
      <c r="D211" s="132"/>
      <c r="E211" s="46"/>
      <c r="F211" s="49"/>
      <c r="G211" s="49"/>
      <c r="H211" s="49"/>
      <c r="K211" s="49"/>
      <c r="L211" s="49"/>
      <c r="M211" s="49"/>
      <c r="N211" s="575"/>
      <c r="O211" s="127"/>
      <c r="P211" s="98"/>
      <c r="Q211" s="565"/>
      <c r="R211" s="130"/>
      <c r="S211" s="572"/>
      <c r="T211" s="89"/>
      <c r="U211" s="89"/>
      <c r="V211" s="70"/>
      <c r="W211" s="82"/>
      <c r="X211" s="88"/>
      <c r="Y211" s="93"/>
      <c r="Z211" s="84"/>
      <c r="AA211" s="84"/>
      <c r="AB211" s="85"/>
      <c r="AC211" s="85"/>
      <c r="AD211" s="86"/>
      <c r="AE211" s="87"/>
      <c r="AF211" s="88"/>
      <c r="AG211" s="83"/>
      <c r="AH211" s="89"/>
      <c r="AI211" s="569"/>
      <c r="AJ211" s="570"/>
      <c r="AK211" s="89"/>
      <c r="AL211" s="72"/>
    </row>
    <row r="212" spans="2:38" s="80" customFormat="1" ht="18.75" customHeight="1" x14ac:dyDescent="0.25">
      <c r="E212" s="49"/>
      <c r="F212" s="521">
        <f>E212*D212</f>
        <v>0</v>
      </c>
      <c r="G212" s="514"/>
      <c r="H212" s="39">
        <f>G212*D212</f>
        <v>0</v>
      </c>
      <c r="I212" s="508" t="e">
        <f>N212/H212-1</f>
        <v>#DIV/0!</v>
      </c>
      <c r="J212" s="79">
        <v>0.15</v>
      </c>
      <c r="K212" s="510">
        <f>N212*J212</f>
        <v>3720</v>
      </c>
      <c r="L212" s="439"/>
      <c r="M212" s="512">
        <f>IF(N212&lt;=$M$3,$E$1,IF(N212&lt;=$M$4,$G$1,IF(N212&lt;=$N$1,$I$1,0)))</f>
        <v>2300</v>
      </c>
      <c r="N212" s="524">
        <v>24800</v>
      </c>
      <c r="O212" s="503">
        <v>17292</v>
      </c>
      <c r="Q212" s="565"/>
      <c r="R212" s="49"/>
      <c r="S212" s="572"/>
      <c r="T212" s="89"/>
      <c r="U212" s="89"/>
      <c r="V212" s="89"/>
      <c r="W212" s="89"/>
      <c r="X212" s="89"/>
      <c r="Y212" s="89"/>
      <c r="Z212" s="89"/>
      <c r="AA212" s="89"/>
      <c r="AB212" s="89"/>
      <c r="AC212" s="89"/>
      <c r="AD212" s="45"/>
      <c r="AE212" s="89"/>
      <c r="AF212" s="89"/>
      <c r="AG212" s="89"/>
      <c r="AH212" s="89"/>
      <c r="AI212" s="569"/>
      <c r="AJ212" s="570"/>
      <c r="AK212" s="89"/>
      <c r="AL212" s="72"/>
    </row>
    <row r="213" spans="2:38" s="80" customFormat="1" ht="18.75" customHeight="1" x14ac:dyDescent="0.25">
      <c r="B213" s="564"/>
      <c r="C213" s="94"/>
      <c r="D213" s="141">
        <v>25</v>
      </c>
      <c r="E213" s="46"/>
      <c r="F213" s="522"/>
      <c r="G213" s="515"/>
      <c r="H213" s="40">
        <f>O212-F212</f>
        <v>17292</v>
      </c>
      <c r="I213" s="509"/>
      <c r="J213" s="79">
        <v>0.06</v>
      </c>
      <c r="K213" s="511"/>
      <c r="L213" s="440"/>
      <c r="M213" s="513"/>
      <c r="N213" s="525"/>
      <c r="O213" s="504"/>
      <c r="P213" s="91">
        <f>N212*J213</f>
        <v>1488</v>
      </c>
      <c r="Q213" s="565"/>
      <c r="R213" s="142"/>
      <c r="S213" s="572"/>
      <c r="T213" s="89"/>
      <c r="U213" s="568"/>
      <c r="V213" s="70"/>
      <c r="W213" s="82"/>
      <c r="X213" s="88"/>
      <c r="Y213" s="83"/>
      <c r="Z213" s="84"/>
      <c r="AA213" s="84"/>
      <c r="AB213" s="85"/>
      <c r="AC213" s="85"/>
      <c r="AD213" s="86"/>
      <c r="AE213" s="87"/>
      <c r="AF213" s="88"/>
      <c r="AG213" s="89"/>
      <c r="AH213" s="90"/>
      <c r="AI213" s="569"/>
      <c r="AJ213" s="570"/>
      <c r="AK213" s="89"/>
      <c r="AL213" s="72"/>
    </row>
    <row r="214" spans="2:38" s="80" customFormat="1" x14ac:dyDescent="0.25">
      <c r="C214" s="94"/>
      <c r="D214" s="132"/>
      <c r="E214" s="46"/>
      <c r="F214" s="49"/>
      <c r="G214" s="49" t="e">
        <f>G213/D212</f>
        <v>#DIV/0!</v>
      </c>
      <c r="H214" s="49"/>
      <c r="K214" s="49"/>
      <c r="L214" s="49"/>
      <c r="M214" s="49"/>
      <c r="N214" s="576"/>
      <c r="O214" s="127"/>
      <c r="P214" s="98"/>
      <c r="Q214" s="565"/>
      <c r="R214" s="130"/>
      <c r="S214" s="572"/>
      <c r="T214" s="89"/>
      <c r="U214" s="89"/>
      <c r="V214" s="70"/>
      <c r="W214" s="82"/>
      <c r="X214" s="88"/>
      <c r="Y214" s="93"/>
      <c r="Z214" s="84"/>
      <c r="AA214" s="84"/>
      <c r="AB214" s="85"/>
      <c r="AC214" s="85"/>
      <c r="AD214" s="86"/>
      <c r="AE214" s="87"/>
      <c r="AF214" s="88"/>
      <c r="AG214" s="83"/>
      <c r="AH214" s="89"/>
      <c r="AI214" s="569"/>
      <c r="AJ214" s="570"/>
      <c r="AK214" s="89"/>
      <c r="AL214" s="72"/>
    </row>
    <row r="215" spans="2:38" s="80" customFormat="1" x14ac:dyDescent="0.25">
      <c r="C215" s="94"/>
      <c r="D215" s="131"/>
      <c r="E215" s="42"/>
      <c r="F215" s="521">
        <f>E215*D215</f>
        <v>0</v>
      </c>
      <c r="G215" s="514"/>
      <c r="H215" s="39">
        <f>G215*D215</f>
        <v>0</v>
      </c>
      <c r="I215" s="508" t="e">
        <f>N215/H215-1</f>
        <v>#DIV/0!</v>
      </c>
      <c r="J215" s="79">
        <v>0.15</v>
      </c>
      <c r="K215" s="510">
        <f>N215*J215</f>
        <v>3720</v>
      </c>
      <c r="L215" s="439"/>
      <c r="M215" s="512">
        <f>IF(N215&lt;=$M$3,$E$1,IF(N215&lt;=$M$4,$G$1,IF(N215&lt;=$N$1,$I$1,0)))</f>
        <v>2300</v>
      </c>
      <c r="N215" s="524">
        <v>24800</v>
      </c>
      <c r="O215" s="503">
        <v>17292</v>
      </c>
      <c r="Q215" s="565"/>
      <c r="R215" s="116"/>
      <c r="S215" s="572"/>
      <c r="T215" s="89"/>
      <c r="U215" s="89"/>
      <c r="V215" s="70"/>
      <c r="W215" s="101"/>
      <c r="X215" s="83"/>
      <c r="Y215" s="93"/>
      <c r="Z215" s="102"/>
      <c r="AA215" s="103"/>
      <c r="AB215" s="104"/>
      <c r="AC215" s="104"/>
      <c r="AD215" s="105"/>
      <c r="AE215" s="106"/>
      <c r="AF215" s="83"/>
      <c r="AG215" s="83"/>
      <c r="AH215" s="60"/>
      <c r="AI215" s="569"/>
      <c r="AJ215" s="570"/>
      <c r="AK215" s="89"/>
      <c r="AL215" s="72"/>
    </row>
    <row r="216" spans="2:38" s="80" customFormat="1" x14ac:dyDescent="0.25">
      <c r="C216" s="94"/>
      <c r="D216" s="141">
        <v>50</v>
      </c>
      <c r="E216" s="46"/>
      <c r="F216" s="522"/>
      <c r="G216" s="515"/>
      <c r="H216" s="40">
        <f>O215-F215</f>
        <v>17292</v>
      </c>
      <c r="I216" s="509"/>
      <c r="J216" s="79">
        <v>0.06</v>
      </c>
      <c r="K216" s="511"/>
      <c r="L216" s="440"/>
      <c r="M216" s="513"/>
      <c r="N216" s="525"/>
      <c r="O216" s="504"/>
      <c r="P216" s="91">
        <f>N215*J216</f>
        <v>1488</v>
      </c>
      <c r="Q216" s="565"/>
      <c r="R216" s="142"/>
      <c r="S216" s="572"/>
      <c r="T216" s="89"/>
      <c r="U216" s="89"/>
      <c r="V216" s="70"/>
      <c r="W216" s="82"/>
      <c r="X216" s="88"/>
      <c r="Y216" s="83"/>
      <c r="Z216" s="84"/>
      <c r="AA216" s="84"/>
      <c r="AB216" s="85"/>
      <c r="AC216" s="85"/>
      <c r="AD216" s="86"/>
      <c r="AE216" s="87"/>
      <c r="AF216" s="88"/>
      <c r="AG216" s="89"/>
      <c r="AH216" s="89"/>
      <c r="AI216" s="569"/>
      <c r="AJ216" s="570"/>
      <c r="AK216" s="89"/>
      <c r="AL216" s="72"/>
    </row>
    <row r="217" spans="2:38" s="80" customFormat="1" ht="18.75" customHeight="1" x14ac:dyDescent="0.25">
      <c r="C217" s="53"/>
      <c r="D217" s="132"/>
      <c r="E217" s="46"/>
      <c r="F217" s="49"/>
      <c r="G217" s="41"/>
      <c r="H217" s="41"/>
      <c r="I217" s="78"/>
      <c r="J217" s="99"/>
      <c r="K217" s="42"/>
      <c r="L217" s="42"/>
      <c r="M217" s="42"/>
      <c r="N217" s="115"/>
      <c r="O217" s="127"/>
      <c r="P217" s="98"/>
      <c r="Q217" s="565"/>
      <c r="R217" s="49"/>
      <c r="S217" s="572"/>
      <c r="T217" s="89"/>
      <c r="U217" s="89"/>
      <c r="V217" s="60"/>
      <c r="W217" s="82"/>
      <c r="X217" s="88"/>
      <c r="Y217" s="93"/>
      <c r="Z217" s="84"/>
      <c r="AA217" s="84"/>
      <c r="AB217" s="85"/>
      <c r="AC217" s="85"/>
      <c r="AD217" s="86"/>
      <c r="AE217" s="87"/>
      <c r="AF217" s="88"/>
      <c r="AG217" s="83"/>
      <c r="AH217" s="89"/>
      <c r="AI217" s="569"/>
      <c r="AJ217" s="570"/>
      <c r="AK217" s="89"/>
      <c r="AL217" s="72"/>
    </row>
    <row r="218" spans="2:38" s="80" customFormat="1" ht="18.75" customHeight="1" x14ac:dyDescent="0.25">
      <c r="C218" s="94"/>
      <c r="D218" s="505">
        <v>100</v>
      </c>
      <c r="E218" s="507">
        <v>285</v>
      </c>
      <c r="F218" s="521">
        <f>E218*D218</f>
        <v>28500</v>
      </c>
      <c r="G218" s="514">
        <v>480</v>
      </c>
      <c r="H218" s="39">
        <f>G218*D218</f>
        <v>48000</v>
      </c>
      <c r="I218" s="508">
        <f>N218/H218-1</f>
        <v>-0.48333333333333328</v>
      </c>
      <c r="J218" s="79">
        <v>0.14499999999999999</v>
      </c>
      <c r="K218" s="510">
        <f>N218*J218</f>
        <v>3595.9999999999995</v>
      </c>
      <c r="L218" s="439"/>
      <c r="M218" s="512">
        <f>IF(N218&lt;=$M$3,$E$1,IF(N218&lt;=$M$4,$G$1,IF(N218&lt;=$N$1,$I$1,0)))</f>
        <v>2300</v>
      </c>
      <c r="N218" s="524">
        <v>24800</v>
      </c>
      <c r="O218" s="503">
        <v>17292</v>
      </c>
      <c r="Q218" s="565"/>
      <c r="R218" s="501">
        <f>G218*D218</f>
        <v>48000</v>
      </c>
      <c r="S218" s="572"/>
      <c r="T218" s="89"/>
      <c r="U218" s="89"/>
      <c r="V218" s="70"/>
      <c r="W218" s="89"/>
      <c r="X218" s="89"/>
      <c r="Y218" s="89"/>
      <c r="Z218" s="89"/>
      <c r="AA218" s="89"/>
      <c r="AB218" s="89"/>
      <c r="AC218" s="89"/>
      <c r="AD218" s="45"/>
      <c r="AE218" s="89"/>
      <c r="AF218" s="89"/>
      <c r="AG218" s="89"/>
      <c r="AH218" s="89"/>
      <c r="AI218" s="569"/>
      <c r="AJ218" s="570"/>
      <c r="AK218" s="89"/>
      <c r="AL218" s="72"/>
    </row>
    <row r="219" spans="2:38" s="80" customFormat="1" x14ac:dyDescent="0.25">
      <c r="C219" s="94" t="s">
        <v>94</v>
      </c>
      <c r="D219" s="506"/>
      <c r="E219" s="507"/>
      <c r="F219" s="522"/>
      <c r="G219" s="515"/>
      <c r="H219" s="40">
        <f>O218-F218</f>
        <v>-11208</v>
      </c>
      <c r="I219" s="509"/>
      <c r="J219" s="79">
        <v>0.06</v>
      </c>
      <c r="K219" s="511"/>
      <c r="L219" s="440"/>
      <c r="M219" s="513"/>
      <c r="N219" s="525"/>
      <c r="O219" s="504"/>
      <c r="P219" s="91">
        <f>N218*J219</f>
        <v>1488</v>
      </c>
      <c r="Q219" s="565"/>
      <c r="R219" s="502"/>
      <c r="S219" s="572"/>
      <c r="T219" s="89"/>
      <c r="U219" s="89"/>
      <c r="V219" s="70"/>
      <c r="W219" s="82"/>
      <c r="X219" s="88"/>
      <c r="Y219" s="83"/>
      <c r="Z219" s="84"/>
      <c r="AA219" s="84"/>
      <c r="AB219" s="85"/>
      <c r="AC219" s="85"/>
      <c r="AD219" s="86"/>
      <c r="AE219" s="87"/>
      <c r="AF219" s="88"/>
      <c r="AG219" s="89"/>
      <c r="AH219" s="89"/>
      <c r="AI219" s="569"/>
      <c r="AJ219" s="570"/>
      <c r="AK219" s="89"/>
      <c r="AL219" s="72"/>
    </row>
    <row r="220" spans="2:38" s="80" customFormat="1" x14ac:dyDescent="0.25">
      <c r="C220" s="96"/>
      <c r="D220" s="131"/>
      <c r="E220" s="46"/>
      <c r="F220" s="49"/>
      <c r="G220" s="49"/>
      <c r="H220" s="49"/>
      <c r="K220" s="49"/>
      <c r="L220" s="49"/>
      <c r="M220" s="49"/>
      <c r="N220" s="576"/>
      <c r="O220" s="127"/>
      <c r="P220" s="98"/>
      <c r="Q220" s="565"/>
      <c r="R220" s="130"/>
      <c r="S220" s="80" t="e">
        <f>#REF!*J218</f>
        <v>#REF!</v>
      </c>
      <c r="T220" s="89"/>
      <c r="U220" s="89"/>
      <c r="V220" s="92"/>
      <c r="W220" s="82"/>
      <c r="X220" s="88"/>
      <c r="Y220" s="93"/>
      <c r="Z220" s="84"/>
      <c r="AA220" s="84"/>
      <c r="AB220" s="85"/>
      <c r="AC220" s="85"/>
      <c r="AD220" s="86"/>
      <c r="AE220" s="87"/>
      <c r="AF220" s="88"/>
      <c r="AG220" s="83"/>
      <c r="AH220" s="89"/>
      <c r="AI220" s="569"/>
      <c r="AJ220" s="570"/>
      <c r="AK220" s="89"/>
      <c r="AL220" s="72"/>
    </row>
    <row r="221" spans="2:38" s="80" customFormat="1" x14ac:dyDescent="0.25">
      <c r="B221" s="89"/>
      <c r="C221" s="96"/>
      <c r="D221" s="97"/>
      <c r="E221" s="42"/>
      <c r="F221" s="521">
        <f>E221*D221</f>
        <v>0</v>
      </c>
      <c r="G221" s="514"/>
      <c r="H221" s="39">
        <f>G221*D221</f>
        <v>0</v>
      </c>
      <c r="I221" s="508" t="e">
        <f>N221/H221-1</f>
        <v>#DIV/0!</v>
      </c>
      <c r="J221" s="79">
        <v>0.15</v>
      </c>
      <c r="K221" s="510">
        <f>N221*J221</f>
        <v>3720</v>
      </c>
      <c r="L221" s="439"/>
      <c r="M221" s="512">
        <f>IF(N221&lt;=$M$3,$E$1,IF(N221&lt;=$M$4,$G$1,IF(N221&lt;=$N$1,$I$1,0)))</f>
        <v>2300</v>
      </c>
      <c r="N221" s="524">
        <v>24800</v>
      </c>
      <c r="O221" s="503">
        <v>17292</v>
      </c>
      <c r="Q221" s="565"/>
      <c r="R221" s="107"/>
      <c r="S221" s="572" t="e">
        <f>#REF!*J219</f>
        <v>#REF!</v>
      </c>
      <c r="T221" s="89"/>
      <c r="U221" s="89"/>
      <c r="V221" s="92"/>
      <c r="W221" s="101"/>
      <c r="X221" s="83"/>
      <c r="Y221" s="93"/>
      <c r="Z221" s="102"/>
      <c r="AA221" s="103"/>
      <c r="AB221" s="104"/>
      <c r="AC221" s="104"/>
      <c r="AD221" s="105"/>
      <c r="AE221" s="106"/>
      <c r="AF221" s="83"/>
      <c r="AG221" s="83"/>
      <c r="AH221" s="60"/>
      <c r="AI221" s="569"/>
      <c r="AJ221" s="570"/>
      <c r="AK221" s="89"/>
      <c r="AL221" s="72"/>
    </row>
    <row r="222" spans="2:38" s="80" customFormat="1" x14ac:dyDescent="0.25">
      <c r="B222" s="564"/>
      <c r="C222" s="94"/>
      <c r="D222" s="131">
        <v>15</v>
      </c>
      <c r="E222" s="46"/>
      <c r="F222" s="522"/>
      <c r="G222" s="515"/>
      <c r="H222" s="40">
        <f>O221-F221</f>
        <v>17292</v>
      </c>
      <c r="I222" s="509"/>
      <c r="J222" s="79">
        <v>0.06</v>
      </c>
      <c r="K222" s="511"/>
      <c r="L222" s="440"/>
      <c r="M222" s="513"/>
      <c r="N222" s="525"/>
      <c r="O222" s="504"/>
      <c r="P222" s="91">
        <f>N221*J222</f>
        <v>1488</v>
      </c>
      <c r="Q222" s="565"/>
      <c r="R222" s="142"/>
      <c r="S222" s="572"/>
      <c r="T222" s="89"/>
      <c r="U222" s="568"/>
      <c r="V222" s="70"/>
      <c r="W222" s="82"/>
      <c r="X222" s="88"/>
      <c r="Y222" s="83"/>
      <c r="Z222" s="84"/>
      <c r="AA222" s="84"/>
      <c r="AB222" s="85"/>
      <c r="AC222" s="85"/>
      <c r="AD222" s="86"/>
      <c r="AE222" s="87"/>
      <c r="AF222" s="88"/>
      <c r="AG222" s="89"/>
      <c r="AH222" s="90"/>
      <c r="AI222" s="569"/>
      <c r="AJ222" s="570"/>
      <c r="AK222" s="89"/>
      <c r="AL222" s="72"/>
    </row>
    <row r="223" spans="2:38" s="80" customFormat="1" x14ac:dyDescent="0.25">
      <c r="C223" s="94"/>
      <c r="D223" s="131"/>
      <c r="E223" s="46"/>
      <c r="F223" s="49"/>
      <c r="G223" s="49"/>
      <c r="H223" s="49"/>
      <c r="K223" s="49"/>
      <c r="L223" s="49"/>
      <c r="M223" s="49"/>
      <c r="N223" s="575"/>
      <c r="O223" s="127"/>
      <c r="P223" s="98"/>
      <c r="Q223" s="565"/>
      <c r="R223" s="130"/>
      <c r="S223" s="572"/>
      <c r="T223" s="89"/>
      <c r="U223" s="89"/>
      <c r="V223" s="70"/>
      <c r="W223" s="82"/>
      <c r="X223" s="88"/>
      <c r="Y223" s="93"/>
      <c r="Z223" s="84"/>
      <c r="AA223" s="84"/>
      <c r="AB223" s="85"/>
      <c r="AC223" s="85"/>
      <c r="AD223" s="86"/>
      <c r="AE223" s="87"/>
      <c r="AF223" s="88"/>
      <c r="AG223" s="83"/>
      <c r="AH223" s="89"/>
      <c r="AI223" s="569"/>
      <c r="AJ223" s="570"/>
      <c r="AK223" s="89"/>
      <c r="AL223" s="72"/>
    </row>
    <row r="224" spans="2:38" s="80" customFormat="1" x14ac:dyDescent="0.25">
      <c r="E224" s="49"/>
      <c r="F224" s="521">
        <f>E224*D224</f>
        <v>0</v>
      </c>
      <c r="G224" s="514"/>
      <c r="H224" s="39">
        <f>G224*D224</f>
        <v>0</v>
      </c>
      <c r="I224" s="508" t="e">
        <f>N224/H224-1</f>
        <v>#DIV/0!</v>
      </c>
      <c r="J224" s="79">
        <v>0.15</v>
      </c>
      <c r="K224" s="510">
        <f>N224*J224</f>
        <v>3720</v>
      </c>
      <c r="L224" s="439"/>
      <c r="M224" s="512">
        <f>IF(N224&lt;=$M$3,$E$1,IF(N224&lt;=$M$4,$G$1,IF(N224&lt;=$N$1,$I$1,0)))</f>
        <v>2300</v>
      </c>
      <c r="N224" s="524">
        <v>24800</v>
      </c>
      <c r="O224" s="503">
        <v>17292</v>
      </c>
      <c r="Q224" s="565"/>
      <c r="R224" s="49"/>
      <c r="S224" s="572"/>
      <c r="T224" s="89"/>
      <c r="U224" s="89"/>
      <c r="V224" s="89"/>
      <c r="W224" s="89"/>
      <c r="X224" s="89"/>
      <c r="Y224" s="89"/>
      <c r="Z224" s="89"/>
      <c r="AA224" s="89"/>
      <c r="AB224" s="89"/>
      <c r="AC224" s="89"/>
      <c r="AD224" s="45"/>
      <c r="AE224" s="89"/>
      <c r="AF224" s="89"/>
      <c r="AG224" s="89"/>
      <c r="AH224" s="89"/>
      <c r="AI224" s="569"/>
      <c r="AJ224" s="570"/>
      <c r="AK224" s="89"/>
      <c r="AL224" s="72"/>
    </row>
    <row r="225" spans="2:38" s="80" customFormat="1" x14ac:dyDescent="0.25">
      <c r="B225" s="564"/>
      <c r="C225" s="94"/>
      <c r="D225" s="126">
        <v>25</v>
      </c>
      <c r="E225" s="46"/>
      <c r="F225" s="522"/>
      <c r="G225" s="515"/>
      <c r="H225" s="40">
        <f>O224-F224</f>
        <v>17292</v>
      </c>
      <c r="I225" s="509"/>
      <c r="J225" s="79">
        <v>0.06</v>
      </c>
      <c r="K225" s="511"/>
      <c r="L225" s="440"/>
      <c r="M225" s="513"/>
      <c r="N225" s="525"/>
      <c r="O225" s="504"/>
      <c r="P225" s="91">
        <f>N224*J225</f>
        <v>1488</v>
      </c>
      <c r="Q225" s="565"/>
      <c r="R225" s="142"/>
      <c r="S225" s="572"/>
      <c r="T225" s="89"/>
      <c r="U225" s="568"/>
      <c r="V225" s="70"/>
      <c r="W225" s="82"/>
      <c r="X225" s="88"/>
      <c r="Y225" s="83"/>
      <c r="Z225" s="84"/>
      <c r="AA225" s="84"/>
      <c r="AB225" s="85"/>
      <c r="AC225" s="85"/>
      <c r="AD225" s="86"/>
      <c r="AE225" s="87"/>
      <c r="AF225" s="88"/>
      <c r="AG225" s="89"/>
      <c r="AH225" s="90"/>
      <c r="AI225" s="569"/>
      <c r="AJ225" s="570"/>
      <c r="AK225" s="89"/>
      <c r="AL225" s="72"/>
    </row>
    <row r="226" spans="2:38" s="80" customFormat="1" x14ac:dyDescent="0.25">
      <c r="C226" s="94"/>
      <c r="D226" s="126"/>
      <c r="E226" s="46"/>
      <c r="F226" s="49"/>
      <c r="G226" s="49"/>
      <c r="H226" s="49"/>
      <c r="K226" s="49"/>
      <c r="L226" s="49"/>
      <c r="M226" s="49"/>
      <c r="N226" s="576"/>
      <c r="O226" s="127"/>
      <c r="P226" s="98"/>
      <c r="Q226" s="565"/>
      <c r="R226" s="130"/>
      <c r="S226" s="572"/>
      <c r="T226" s="89"/>
      <c r="U226" s="89"/>
      <c r="V226" s="70"/>
      <c r="W226" s="82"/>
      <c r="X226" s="88"/>
      <c r="Y226" s="93"/>
      <c r="Z226" s="84"/>
      <c r="AA226" s="84"/>
      <c r="AB226" s="85"/>
      <c r="AC226" s="85"/>
      <c r="AD226" s="86"/>
      <c r="AE226" s="87"/>
      <c r="AF226" s="88"/>
      <c r="AG226" s="83"/>
      <c r="AH226" s="89"/>
      <c r="AI226" s="569"/>
      <c r="AJ226" s="570"/>
      <c r="AK226" s="89"/>
      <c r="AL226" s="72"/>
    </row>
    <row r="227" spans="2:38" s="80" customFormat="1" x14ac:dyDescent="0.25">
      <c r="C227" s="94"/>
      <c r="D227" s="97"/>
      <c r="E227" s="42"/>
      <c r="F227" s="521">
        <f>E227*D227</f>
        <v>0</v>
      </c>
      <c r="G227" s="514"/>
      <c r="H227" s="39">
        <f>G227*D227</f>
        <v>0</v>
      </c>
      <c r="I227" s="508" t="e">
        <f>N227/H227-1</f>
        <v>#DIV/0!</v>
      </c>
      <c r="J227" s="79">
        <v>0.15</v>
      </c>
      <c r="K227" s="510">
        <f>N227*J227</f>
        <v>3720</v>
      </c>
      <c r="L227" s="439"/>
      <c r="M227" s="512">
        <f>IF(N227&lt;=$M$3,$E$1,IF(N227&lt;=$M$4,$G$1,IF(N227&lt;=$N$1,$I$1,0)))</f>
        <v>2300</v>
      </c>
      <c r="N227" s="524">
        <v>24800</v>
      </c>
      <c r="O227" s="503">
        <v>17292</v>
      </c>
      <c r="Q227" s="565"/>
      <c r="R227" s="116"/>
      <c r="S227" s="572"/>
      <c r="T227" s="89"/>
      <c r="U227" s="89"/>
      <c r="V227" s="70"/>
      <c r="W227" s="101"/>
      <c r="X227" s="83"/>
      <c r="Y227" s="93"/>
      <c r="Z227" s="102"/>
      <c r="AA227" s="103"/>
      <c r="AB227" s="104"/>
      <c r="AC227" s="104"/>
      <c r="AD227" s="105"/>
      <c r="AE227" s="106"/>
      <c r="AF227" s="83"/>
      <c r="AG227" s="83"/>
      <c r="AH227" s="60"/>
      <c r="AI227" s="569"/>
      <c r="AJ227" s="570"/>
      <c r="AK227" s="89"/>
      <c r="AL227" s="72"/>
    </row>
    <row r="228" spans="2:38" s="80" customFormat="1" x14ac:dyDescent="0.25">
      <c r="C228" s="94"/>
      <c r="D228" s="126">
        <v>50</v>
      </c>
      <c r="E228" s="46"/>
      <c r="F228" s="522"/>
      <c r="G228" s="515"/>
      <c r="H228" s="40">
        <f>O227-F227</f>
        <v>17292</v>
      </c>
      <c r="I228" s="509"/>
      <c r="J228" s="79">
        <v>0.06</v>
      </c>
      <c r="K228" s="511"/>
      <c r="L228" s="440"/>
      <c r="M228" s="513"/>
      <c r="N228" s="525"/>
      <c r="O228" s="504"/>
      <c r="P228" s="91">
        <f>N227*J228</f>
        <v>1488</v>
      </c>
      <c r="Q228" s="565"/>
      <c r="R228" s="49"/>
      <c r="S228" s="572"/>
      <c r="T228" s="89"/>
      <c r="U228" s="89"/>
      <c r="V228" s="70"/>
      <c r="W228" s="82"/>
      <c r="X228" s="88"/>
      <c r="Y228" s="83"/>
      <c r="Z228" s="84"/>
      <c r="AA228" s="84"/>
      <c r="AB228" s="85"/>
      <c r="AC228" s="85"/>
      <c r="AD228" s="86"/>
      <c r="AE228" s="87"/>
      <c r="AF228" s="88"/>
      <c r="AG228" s="89"/>
      <c r="AH228" s="89"/>
      <c r="AI228" s="569"/>
      <c r="AJ228" s="570"/>
      <c r="AK228" s="89"/>
      <c r="AL228" s="72"/>
    </row>
    <row r="229" spans="2:38" s="80" customFormat="1" x14ac:dyDescent="0.25">
      <c r="C229" s="53"/>
      <c r="D229" s="126"/>
      <c r="E229" s="46"/>
      <c r="F229" s="49"/>
      <c r="G229" s="49"/>
      <c r="H229" s="49"/>
      <c r="K229" s="49"/>
      <c r="L229" s="49"/>
      <c r="M229" s="49"/>
      <c r="N229" s="576"/>
      <c r="O229" s="127"/>
      <c r="P229" s="98"/>
      <c r="Q229" s="565"/>
      <c r="R229" s="49"/>
      <c r="S229" s="572"/>
      <c r="T229" s="89"/>
      <c r="U229" s="89"/>
      <c r="V229" s="60"/>
      <c r="W229" s="82"/>
      <c r="X229" s="88"/>
      <c r="Y229" s="93"/>
      <c r="Z229" s="84"/>
      <c r="AA229" s="84"/>
      <c r="AB229" s="85"/>
      <c r="AC229" s="85"/>
      <c r="AD229" s="86"/>
      <c r="AE229" s="87"/>
      <c r="AF229" s="88"/>
      <c r="AG229" s="83"/>
      <c r="AH229" s="89"/>
      <c r="AI229" s="569"/>
      <c r="AJ229" s="570"/>
      <c r="AK229" s="89"/>
      <c r="AL229" s="72"/>
    </row>
    <row r="230" spans="2:38" s="80" customFormat="1" x14ac:dyDescent="0.25">
      <c r="C230" s="94"/>
      <c r="E230" s="49"/>
      <c r="F230" s="521">
        <f>E230*D230</f>
        <v>0</v>
      </c>
      <c r="G230" s="514"/>
      <c r="H230" s="39">
        <f>G230*D230</f>
        <v>0</v>
      </c>
      <c r="I230" s="508" t="e">
        <f>N230/H230-1</f>
        <v>#DIV/0!</v>
      </c>
      <c r="J230" s="79">
        <v>0.15</v>
      </c>
      <c r="K230" s="510">
        <f>N230*J230</f>
        <v>3720</v>
      </c>
      <c r="L230" s="439"/>
      <c r="M230" s="512">
        <f>IF(N230&lt;=$M$3,$E$1,IF(N230&lt;=$M$4,$G$1,IF(N230&lt;=$N$1,$I$1,0)))</f>
        <v>2300</v>
      </c>
      <c r="N230" s="524">
        <v>24800</v>
      </c>
      <c r="O230" s="503">
        <v>17292</v>
      </c>
      <c r="Q230" s="565"/>
      <c r="R230" s="49"/>
      <c r="S230" s="572"/>
      <c r="T230" s="89"/>
      <c r="U230" s="89"/>
      <c r="V230" s="70"/>
      <c r="W230" s="89"/>
      <c r="X230" s="89"/>
      <c r="Y230" s="89"/>
      <c r="Z230" s="89"/>
      <c r="AA230" s="89"/>
      <c r="AB230" s="89"/>
      <c r="AC230" s="89"/>
      <c r="AD230" s="45"/>
      <c r="AE230" s="89"/>
      <c r="AF230" s="89"/>
      <c r="AG230" s="89"/>
      <c r="AH230" s="89"/>
      <c r="AI230" s="569"/>
      <c r="AJ230" s="570"/>
      <c r="AK230" s="89"/>
      <c r="AL230" s="72"/>
    </row>
    <row r="231" spans="2:38" s="80" customFormat="1" x14ac:dyDescent="0.25">
      <c r="C231" s="94" t="s">
        <v>94</v>
      </c>
      <c r="D231" s="126">
        <v>5</v>
      </c>
      <c r="E231" s="46"/>
      <c r="F231" s="522"/>
      <c r="G231" s="515"/>
      <c r="H231" s="40">
        <f>O230-F230</f>
        <v>17292</v>
      </c>
      <c r="I231" s="509"/>
      <c r="J231" s="79">
        <v>0.06</v>
      </c>
      <c r="K231" s="511"/>
      <c r="L231" s="440"/>
      <c r="M231" s="513"/>
      <c r="N231" s="525"/>
      <c r="O231" s="504"/>
      <c r="P231" s="91">
        <f>N230*J231</f>
        <v>1488</v>
      </c>
      <c r="Q231" s="565"/>
      <c r="R231" s="142"/>
      <c r="S231" s="572"/>
      <c r="T231" s="89"/>
      <c r="U231" s="89"/>
      <c r="V231" s="70"/>
      <c r="W231" s="82"/>
      <c r="X231" s="88"/>
      <c r="Y231" s="83"/>
      <c r="Z231" s="84"/>
      <c r="AA231" s="84"/>
      <c r="AB231" s="85"/>
      <c r="AC231" s="85"/>
      <c r="AD231" s="86"/>
      <c r="AE231" s="87"/>
      <c r="AF231" s="88"/>
      <c r="AG231" s="89"/>
      <c r="AH231" s="89"/>
      <c r="AI231" s="569"/>
      <c r="AJ231" s="570"/>
      <c r="AK231" s="89"/>
      <c r="AL231" s="72"/>
    </row>
    <row r="232" spans="2:38" s="80" customFormat="1" x14ac:dyDescent="0.25">
      <c r="C232" s="96"/>
      <c r="D232" s="126"/>
      <c r="E232" s="46"/>
      <c r="F232" s="42"/>
      <c r="G232" s="41"/>
      <c r="H232" s="41"/>
      <c r="I232" s="78"/>
      <c r="J232" s="99"/>
      <c r="K232" s="42"/>
      <c r="L232" s="42"/>
      <c r="M232" s="42"/>
      <c r="N232" s="95"/>
      <c r="O232" s="127"/>
      <c r="P232" s="98"/>
      <c r="Q232" s="565"/>
      <c r="R232" s="130"/>
      <c r="S232" s="572"/>
      <c r="T232" s="89"/>
      <c r="U232" s="89"/>
      <c r="V232" s="92"/>
      <c r="W232" s="82"/>
      <c r="X232" s="88"/>
      <c r="Y232" s="93"/>
      <c r="Z232" s="84"/>
      <c r="AA232" s="84"/>
      <c r="AB232" s="85"/>
      <c r="AC232" s="85"/>
      <c r="AD232" s="86"/>
      <c r="AE232" s="87"/>
      <c r="AF232" s="88"/>
      <c r="AG232" s="83"/>
      <c r="AH232" s="89"/>
      <c r="AI232" s="569"/>
      <c r="AJ232" s="570"/>
      <c r="AK232" s="89"/>
      <c r="AL232" s="72"/>
    </row>
    <row r="233" spans="2:38" s="80" customFormat="1" x14ac:dyDescent="0.25">
      <c r="B233" s="89"/>
      <c r="C233" s="96"/>
      <c r="D233" s="97"/>
      <c r="E233" s="42"/>
      <c r="F233" s="521">
        <f>E233*D233</f>
        <v>0</v>
      </c>
      <c r="G233" s="514"/>
      <c r="H233" s="39">
        <f>G233*D233</f>
        <v>0</v>
      </c>
      <c r="I233" s="508" t="e">
        <f>N233/H233-1</f>
        <v>#DIV/0!</v>
      </c>
      <c r="J233" s="79">
        <v>0.15</v>
      </c>
      <c r="K233" s="510">
        <f>N233*J233</f>
        <v>3720</v>
      </c>
      <c r="L233" s="439"/>
      <c r="M233" s="512">
        <f>IF(N233&lt;=$M$3,$E$1,IF(N233&lt;=$M$4,$G$1,IF(N233&lt;=$N$1,$I$1,0)))</f>
        <v>2300</v>
      </c>
      <c r="N233" s="524">
        <v>24800</v>
      </c>
      <c r="O233" s="503">
        <v>17292</v>
      </c>
      <c r="Q233" s="565"/>
      <c r="R233" s="107"/>
      <c r="S233" s="572"/>
      <c r="T233" s="89"/>
      <c r="U233" s="89"/>
      <c r="V233" s="92"/>
      <c r="W233" s="101"/>
      <c r="X233" s="83"/>
      <c r="Y233" s="93"/>
      <c r="Z233" s="102"/>
      <c r="AA233" s="103"/>
      <c r="AB233" s="104"/>
      <c r="AC233" s="104"/>
      <c r="AD233" s="105"/>
      <c r="AE233" s="106"/>
      <c r="AF233" s="83"/>
      <c r="AG233" s="83"/>
      <c r="AH233" s="60"/>
      <c r="AI233" s="569"/>
      <c r="AJ233" s="570"/>
      <c r="AK233" s="89"/>
      <c r="AL233" s="72"/>
    </row>
    <row r="234" spans="2:38" s="80" customFormat="1" x14ac:dyDescent="0.25">
      <c r="B234" s="564"/>
      <c r="C234" s="94"/>
      <c r="D234" s="126">
        <v>15</v>
      </c>
      <c r="E234" s="46"/>
      <c r="F234" s="522"/>
      <c r="G234" s="515"/>
      <c r="H234" s="40">
        <f>O233-F233</f>
        <v>17292</v>
      </c>
      <c r="I234" s="509"/>
      <c r="J234" s="79">
        <v>0.06</v>
      </c>
      <c r="K234" s="511"/>
      <c r="L234" s="440"/>
      <c r="M234" s="513"/>
      <c r="N234" s="525"/>
      <c r="O234" s="504"/>
      <c r="P234" s="91">
        <f>N233*J234</f>
        <v>1488</v>
      </c>
      <c r="Q234" s="565"/>
      <c r="R234" s="142"/>
      <c r="S234" s="572"/>
      <c r="T234" s="89"/>
      <c r="U234" s="568"/>
      <c r="V234" s="70"/>
      <c r="W234" s="82"/>
      <c r="X234" s="88"/>
      <c r="Y234" s="83"/>
      <c r="Z234" s="84"/>
      <c r="AA234" s="84"/>
      <c r="AB234" s="85"/>
      <c r="AC234" s="85"/>
      <c r="AD234" s="86"/>
      <c r="AE234" s="87"/>
      <c r="AF234" s="88"/>
      <c r="AG234" s="89"/>
      <c r="AH234" s="90"/>
      <c r="AI234" s="569"/>
      <c r="AJ234" s="570"/>
      <c r="AK234" s="89"/>
      <c r="AL234" s="72"/>
    </row>
    <row r="235" spans="2:38" s="80" customFormat="1" x14ac:dyDescent="0.25">
      <c r="C235" s="94"/>
      <c r="D235" s="126"/>
      <c r="E235" s="46"/>
      <c r="F235" s="42"/>
      <c r="G235" s="41"/>
      <c r="H235" s="41"/>
      <c r="I235" s="78"/>
      <c r="J235" s="99"/>
      <c r="K235" s="42"/>
      <c r="L235" s="42"/>
      <c r="M235" s="42"/>
      <c r="N235" s="95"/>
      <c r="O235" s="127"/>
      <c r="P235" s="98"/>
      <c r="Q235" s="565"/>
      <c r="R235" s="130"/>
      <c r="S235" s="572"/>
      <c r="T235" s="89"/>
      <c r="U235" s="89"/>
      <c r="V235" s="70"/>
      <c r="W235" s="82"/>
      <c r="X235" s="88"/>
      <c r="Y235" s="93"/>
      <c r="Z235" s="84"/>
      <c r="AA235" s="84"/>
      <c r="AB235" s="85"/>
      <c r="AC235" s="85"/>
      <c r="AD235" s="86"/>
      <c r="AE235" s="87"/>
      <c r="AF235" s="88"/>
      <c r="AG235" s="83"/>
      <c r="AH235" s="89"/>
      <c r="AI235" s="569"/>
      <c r="AJ235" s="570"/>
      <c r="AK235" s="89"/>
      <c r="AL235" s="72"/>
    </row>
    <row r="236" spans="2:38" s="80" customFormat="1" x14ac:dyDescent="0.25">
      <c r="E236" s="49"/>
      <c r="F236" s="521">
        <f>E236*D236</f>
        <v>0</v>
      </c>
      <c r="G236" s="514"/>
      <c r="H236" s="39">
        <f>G236*D236</f>
        <v>0</v>
      </c>
      <c r="I236" s="508" t="e">
        <f>N236/H236-1</f>
        <v>#DIV/0!</v>
      </c>
      <c r="J236" s="79">
        <v>0.15</v>
      </c>
      <c r="K236" s="510">
        <f>N236*J236</f>
        <v>3720</v>
      </c>
      <c r="L236" s="439"/>
      <c r="M236" s="512">
        <f>IF(N236&lt;=$M$3,$E$1,IF(N236&lt;=$M$4,$G$1,IF(N236&lt;=$N$1,$I$1,0)))</f>
        <v>2300</v>
      </c>
      <c r="N236" s="524">
        <v>24800</v>
      </c>
      <c r="O236" s="503">
        <v>17292</v>
      </c>
      <c r="Q236" s="565"/>
      <c r="R236" s="49"/>
      <c r="S236" s="572"/>
      <c r="T236" s="89"/>
      <c r="U236" s="89"/>
      <c r="V236" s="89"/>
      <c r="W236" s="89"/>
      <c r="X236" s="89"/>
      <c r="Y236" s="89"/>
      <c r="Z236" s="89"/>
      <c r="AA236" s="89"/>
      <c r="AB236" s="89"/>
      <c r="AC236" s="89"/>
      <c r="AD236" s="45"/>
      <c r="AE236" s="89"/>
      <c r="AF236" s="89"/>
      <c r="AG236" s="89"/>
      <c r="AH236" s="89"/>
      <c r="AI236" s="569"/>
      <c r="AJ236" s="570"/>
      <c r="AK236" s="89"/>
      <c r="AL236" s="72"/>
    </row>
    <row r="237" spans="2:38" s="80" customFormat="1" x14ac:dyDescent="0.25">
      <c r="B237" s="564"/>
      <c r="C237" s="94"/>
      <c r="D237" s="126">
        <v>25</v>
      </c>
      <c r="E237" s="46"/>
      <c r="F237" s="522"/>
      <c r="G237" s="515"/>
      <c r="H237" s="40">
        <f>O236-F236</f>
        <v>17292</v>
      </c>
      <c r="I237" s="509"/>
      <c r="J237" s="79">
        <v>0.06</v>
      </c>
      <c r="K237" s="511"/>
      <c r="L237" s="440"/>
      <c r="M237" s="513"/>
      <c r="N237" s="525"/>
      <c r="O237" s="504"/>
      <c r="P237" s="91">
        <f>N236*J237</f>
        <v>1488</v>
      </c>
      <c r="Q237" s="565"/>
      <c r="R237" s="142"/>
      <c r="S237" s="572"/>
      <c r="T237" s="89"/>
      <c r="U237" s="568"/>
      <c r="V237" s="70"/>
      <c r="W237" s="82"/>
      <c r="X237" s="88"/>
      <c r="Y237" s="83"/>
      <c r="Z237" s="84"/>
      <c r="AA237" s="84"/>
      <c r="AB237" s="85"/>
      <c r="AC237" s="85"/>
      <c r="AD237" s="86"/>
      <c r="AE237" s="87"/>
      <c r="AF237" s="88"/>
      <c r="AG237" s="89"/>
      <c r="AH237" s="90"/>
      <c r="AI237" s="569"/>
      <c r="AJ237" s="570"/>
      <c r="AK237" s="89"/>
      <c r="AL237" s="72"/>
    </row>
    <row r="238" spans="2:38" s="80" customFormat="1" ht="20.25" customHeight="1" x14ac:dyDescent="0.25">
      <c r="C238" s="94"/>
      <c r="D238" s="126"/>
      <c r="E238" s="46"/>
      <c r="F238" s="43"/>
      <c r="G238" s="43"/>
      <c r="H238" s="45"/>
      <c r="I238" s="45"/>
      <c r="J238" s="45"/>
      <c r="K238" s="45"/>
      <c r="L238" s="45"/>
      <c r="M238" s="45"/>
      <c r="N238" s="125"/>
      <c r="O238" s="127"/>
      <c r="P238" s="98"/>
      <c r="Q238" s="565"/>
      <c r="R238" s="130"/>
      <c r="S238" s="572"/>
      <c r="T238" s="89"/>
      <c r="U238" s="89"/>
      <c r="V238" s="70"/>
      <c r="W238" s="82"/>
      <c r="X238" s="88"/>
      <c r="Y238" s="93"/>
      <c r="Z238" s="84"/>
      <c r="AA238" s="84"/>
      <c r="AB238" s="85"/>
      <c r="AC238" s="85"/>
      <c r="AD238" s="86"/>
      <c r="AE238" s="87"/>
      <c r="AF238" s="88"/>
      <c r="AG238" s="83"/>
      <c r="AH238" s="89"/>
      <c r="AI238" s="569"/>
      <c r="AJ238" s="570"/>
      <c r="AK238" s="89"/>
      <c r="AL238" s="72"/>
    </row>
    <row r="239" spans="2:38" s="80" customFormat="1" x14ac:dyDescent="0.25">
      <c r="C239" s="94"/>
      <c r="D239" s="97"/>
      <c r="E239" s="42"/>
      <c r="F239" s="521">
        <f>E239*D239</f>
        <v>0</v>
      </c>
      <c r="G239" s="514"/>
      <c r="H239" s="39">
        <f>G239*D239</f>
        <v>0</v>
      </c>
      <c r="I239" s="508" t="e">
        <f>N239/H239-1</f>
        <v>#DIV/0!</v>
      </c>
      <c r="J239" s="79">
        <v>0.15</v>
      </c>
      <c r="K239" s="510">
        <f>N239*J239</f>
        <v>3720</v>
      </c>
      <c r="L239" s="439"/>
      <c r="M239" s="512">
        <f>IF(N239&lt;=$M$3,$E$1,IF(N239&lt;=$M$4,$G$1,IF(N239&lt;=$N$1,$I$1,0)))</f>
        <v>2300</v>
      </c>
      <c r="N239" s="524">
        <v>24800</v>
      </c>
      <c r="O239" s="503">
        <v>17292</v>
      </c>
      <c r="Q239" s="565"/>
      <c r="R239" s="116"/>
      <c r="S239" s="572"/>
      <c r="T239" s="89"/>
      <c r="U239" s="89"/>
      <c r="V239" s="70"/>
      <c r="W239" s="101"/>
      <c r="X239" s="83"/>
      <c r="Y239" s="93"/>
      <c r="Z239" s="102"/>
      <c r="AA239" s="103"/>
      <c r="AB239" s="104"/>
      <c r="AC239" s="104"/>
      <c r="AD239" s="105"/>
      <c r="AE239" s="106"/>
      <c r="AF239" s="83"/>
      <c r="AG239" s="83"/>
      <c r="AH239" s="60"/>
      <c r="AI239" s="569"/>
      <c r="AJ239" s="570"/>
      <c r="AK239" s="89"/>
      <c r="AL239" s="72"/>
    </row>
    <row r="240" spans="2:38" s="80" customFormat="1" x14ac:dyDescent="0.25">
      <c r="C240" s="94"/>
      <c r="D240" s="126">
        <v>50</v>
      </c>
      <c r="E240" s="46"/>
      <c r="F240" s="522"/>
      <c r="G240" s="515"/>
      <c r="H240" s="40">
        <f>O239-F239</f>
        <v>17292</v>
      </c>
      <c r="I240" s="509"/>
      <c r="J240" s="79">
        <v>0.06</v>
      </c>
      <c r="K240" s="511"/>
      <c r="L240" s="440"/>
      <c r="M240" s="513"/>
      <c r="N240" s="525"/>
      <c r="O240" s="504"/>
      <c r="P240" s="91">
        <f>N239*J240</f>
        <v>1488</v>
      </c>
      <c r="Q240" s="565"/>
      <c r="R240" s="49"/>
      <c r="S240" s="572"/>
      <c r="T240" s="89"/>
      <c r="U240" s="89"/>
      <c r="V240" s="70"/>
      <c r="W240" s="82"/>
      <c r="X240" s="88"/>
      <c r="Y240" s="83"/>
      <c r="Z240" s="84"/>
      <c r="AA240" s="84"/>
      <c r="AB240" s="85"/>
      <c r="AC240" s="85"/>
      <c r="AD240" s="86"/>
      <c r="AE240" s="87"/>
      <c r="AF240" s="88"/>
      <c r="AG240" s="89"/>
      <c r="AH240" s="89"/>
      <c r="AI240" s="569"/>
      <c r="AJ240" s="570"/>
      <c r="AK240" s="89"/>
      <c r="AL240" s="72"/>
    </row>
    <row r="241" spans="2:38" s="80" customFormat="1" x14ac:dyDescent="0.25">
      <c r="C241" s="53"/>
      <c r="D241" s="126"/>
      <c r="E241" s="46"/>
      <c r="F241" s="46"/>
      <c r="G241" s="41"/>
      <c r="H241" s="41"/>
      <c r="I241" s="128"/>
      <c r="J241" s="128"/>
      <c r="K241" s="46"/>
      <c r="L241" s="46"/>
      <c r="M241" s="46"/>
      <c r="N241" s="129"/>
      <c r="O241" s="127"/>
      <c r="P241" s="98"/>
      <c r="Q241" s="565"/>
      <c r="R241" s="49"/>
      <c r="S241" s="572"/>
      <c r="T241" s="89"/>
      <c r="U241" s="89"/>
      <c r="V241" s="60"/>
      <c r="W241" s="82"/>
      <c r="X241" s="88"/>
      <c r="Y241" s="93"/>
      <c r="Z241" s="84"/>
      <c r="AA241" s="84"/>
      <c r="AB241" s="85"/>
      <c r="AC241" s="85"/>
      <c r="AD241" s="86"/>
      <c r="AE241" s="87"/>
      <c r="AF241" s="88"/>
      <c r="AG241" s="83"/>
      <c r="AH241" s="89"/>
      <c r="AI241" s="569"/>
      <c r="AJ241" s="570"/>
      <c r="AK241" s="89"/>
      <c r="AL241" s="72"/>
    </row>
    <row r="242" spans="2:38" s="80" customFormat="1" x14ac:dyDescent="0.25">
      <c r="C242" s="94"/>
      <c r="E242" s="49"/>
      <c r="F242" s="521">
        <f>E242*D242</f>
        <v>0</v>
      </c>
      <c r="G242" s="514"/>
      <c r="H242" s="39">
        <f>G242*D242</f>
        <v>0</v>
      </c>
      <c r="I242" s="508" t="e">
        <f>N242/H242-1</f>
        <v>#DIV/0!</v>
      </c>
      <c r="J242" s="79">
        <v>0.15</v>
      </c>
      <c r="K242" s="510">
        <f>N242*J242</f>
        <v>3720</v>
      </c>
      <c r="L242" s="439"/>
      <c r="M242" s="512">
        <f>IF(N242&lt;=$M$3,$E$1,IF(N242&lt;=$M$4,$G$1,IF(N242&lt;=$N$1,$I$1,0)))</f>
        <v>2300</v>
      </c>
      <c r="N242" s="524">
        <v>24800</v>
      </c>
      <c r="O242" s="503">
        <v>17292</v>
      </c>
      <c r="Q242" s="565"/>
      <c r="R242" s="49"/>
      <c r="S242" s="572"/>
      <c r="T242" s="89"/>
      <c r="U242" s="89"/>
      <c r="V242" s="70"/>
      <c r="W242" s="89"/>
      <c r="X242" s="89"/>
      <c r="Y242" s="89"/>
      <c r="Z242" s="89"/>
      <c r="AA242" s="89"/>
      <c r="AB242" s="89"/>
      <c r="AC242" s="89"/>
      <c r="AD242" s="45"/>
      <c r="AE242" s="89"/>
      <c r="AF242" s="89"/>
      <c r="AG242" s="89"/>
      <c r="AH242" s="89"/>
      <c r="AI242" s="569"/>
      <c r="AJ242" s="570"/>
      <c r="AK242" s="89"/>
      <c r="AL242" s="72"/>
    </row>
    <row r="243" spans="2:38" s="80" customFormat="1" x14ac:dyDescent="0.25">
      <c r="C243" s="94" t="s">
        <v>94</v>
      </c>
      <c r="D243" s="126">
        <v>5</v>
      </c>
      <c r="E243" s="46"/>
      <c r="F243" s="522"/>
      <c r="G243" s="515"/>
      <c r="H243" s="40">
        <f>O242-F242</f>
        <v>17292</v>
      </c>
      <c r="I243" s="509"/>
      <c r="J243" s="79">
        <v>0.06</v>
      </c>
      <c r="K243" s="511"/>
      <c r="L243" s="440"/>
      <c r="M243" s="513"/>
      <c r="N243" s="525"/>
      <c r="O243" s="504"/>
      <c r="P243" s="91">
        <f>N242*J243</f>
        <v>1488</v>
      </c>
      <c r="Q243" s="565"/>
      <c r="R243" s="142"/>
      <c r="S243" s="572"/>
      <c r="T243" s="89"/>
      <c r="U243" s="89"/>
      <c r="V243" s="70"/>
      <c r="W243" s="82"/>
      <c r="X243" s="88"/>
      <c r="Y243" s="83"/>
      <c r="Z243" s="84"/>
      <c r="AA243" s="84"/>
      <c r="AB243" s="85"/>
      <c r="AC243" s="85"/>
      <c r="AD243" s="86"/>
      <c r="AE243" s="87"/>
      <c r="AF243" s="88"/>
      <c r="AG243" s="89"/>
      <c r="AH243" s="89"/>
      <c r="AI243" s="569"/>
      <c r="AJ243" s="570"/>
      <c r="AK243" s="89"/>
      <c r="AL243" s="72"/>
    </row>
    <row r="244" spans="2:38" s="80" customFormat="1" x14ac:dyDescent="0.25">
      <c r="C244" s="96"/>
      <c r="D244" s="126"/>
      <c r="E244" s="46"/>
      <c r="F244" s="46"/>
      <c r="G244" s="41"/>
      <c r="H244" s="41"/>
      <c r="I244" s="128"/>
      <c r="J244" s="128"/>
      <c r="K244" s="46"/>
      <c r="L244" s="46"/>
      <c r="M244" s="46"/>
      <c r="N244" s="143"/>
      <c r="O244" s="127"/>
      <c r="P244" s="98"/>
      <c r="Q244" s="565"/>
      <c r="R244" s="130"/>
      <c r="S244" s="572"/>
      <c r="T244" s="89"/>
      <c r="U244" s="89"/>
      <c r="V244" s="92"/>
      <c r="W244" s="82"/>
      <c r="X244" s="88"/>
      <c r="Y244" s="93"/>
      <c r="Z244" s="84"/>
      <c r="AA244" s="84"/>
      <c r="AB244" s="85"/>
      <c r="AC244" s="85"/>
      <c r="AD244" s="86"/>
      <c r="AE244" s="87"/>
      <c r="AF244" s="88"/>
      <c r="AG244" s="83"/>
      <c r="AH244" s="89"/>
      <c r="AI244" s="569"/>
      <c r="AJ244" s="570"/>
      <c r="AK244" s="89"/>
      <c r="AL244" s="72"/>
    </row>
    <row r="245" spans="2:38" s="80" customFormat="1" x14ac:dyDescent="0.25">
      <c r="B245" s="89"/>
      <c r="C245" s="96"/>
      <c r="D245" s="97"/>
      <c r="E245" s="42"/>
      <c r="F245" s="42"/>
      <c r="G245" s="41"/>
      <c r="H245" s="41"/>
      <c r="I245" s="78"/>
      <c r="J245" s="99"/>
      <c r="K245" s="42"/>
      <c r="L245" s="42"/>
      <c r="M245" s="42"/>
      <c r="N245" s="95"/>
      <c r="O245" s="98"/>
      <c r="P245" s="98"/>
      <c r="Q245" s="565"/>
      <c r="R245" s="107"/>
      <c r="S245" s="572"/>
      <c r="T245" s="89"/>
      <c r="U245" s="89"/>
      <c r="V245" s="92"/>
      <c r="W245" s="101"/>
      <c r="X245" s="83"/>
      <c r="Y245" s="93"/>
      <c r="Z245" s="102"/>
      <c r="AA245" s="103"/>
      <c r="AB245" s="104"/>
      <c r="AC245" s="104"/>
      <c r="AD245" s="105"/>
      <c r="AE245" s="106"/>
      <c r="AF245" s="83"/>
      <c r="AG245" s="83"/>
      <c r="AH245" s="60"/>
      <c r="AI245" s="569"/>
      <c r="AJ245" s="570"/>
      <c r="AK245" s="89"/>
      <c r="AL245" s="72"/>
    </row>
    <row r="246" spans="2:38" x14ac:dyDescent="0.25">
      <c r="B246" s="77"/>
      <c r="C246" s="94"/>
      <c r="D246" s="126">
        <v>15</v>
      </c>
      <c r="E246" s="46"/>
      <c r="F246" s="46"/>
      <c r="G246" s="42"/>
      <c r="H246" s="42"/>
      <c r="I246" s="128"/>
      <c r="J246" s="128"/>
      <c r="K246" s="46"/>
      <c r="L246" s="46"/>
      <c r="M246" s="46"/>
      <c r="N246" s="144"/>
      <c r="O246" s="127"/>
      <c r="P246" s="80"/>
      <c r="R246" s="142"/>
      <c r="S246" s="50"/>
      <c r="T246" s="51"/>
      <c r="U246" s="81"/>
      <c r="V246" s="70"/>
      <c r="W246" s="82"/>
      <c r="X246" s="88"/>
      <c r="Y246" s="83"/>
      <c r="Z246" s="84"/>
      <c r="AA246" s="84"/>
      <c r="AB246" s="85"/>
      <c r="AC246" s="85"/>
      <c r="AD246" s="86"/>
      <c r="AE246" s="87"/>
      <c r="AF246" s="88"/>
      <c r="AG246" s="89"/>
      <c r="AH246" s="90"/>
      <c r="AI246" s="65"/>
      <c r="AJ246" s="66"/>
      <c r="AK246" s="51"/>
      <c r="AL246" s="67"/>
    </row>
    <row r="247" spans="2:38" x14ac:dyDescent="0.25">
      <c r="C247" s="94"/>
      <c r="D247" s="126"/>
      <c r="E247" s="46"/>
      <c r="F247" s="46"/>
      <c r="G247" s="41"/>
      <c r="H247" s="41"/>
      <c r="I247" s="128"/>
      <c r="J247" s="128"/>
      <c r="K247" s="46"/>
      <c r="L247" s="46"/>
      <c r="M247" s="46"/>
      <c r="N247" s="129"/>
      <c r="O247" s="127"/>
      <c r="P247" s="98"/>
      <c r="R247" s="130"/>
      <c r="S247" s="50"/>
      <c r="T247" s="51"/>
      <c r="U247" s="51"/>
      <c r="V247" s="70"/>
      <c r="W247" s="82"/>
      <c r="X247" s="88"/>
      <c r="Y247" s="93"/>
      <c r="Z247" s="84"/>
      <c r="AA247" s="84"/>
      <c r="AB247" s="85"/>
      <c r="AC247" s="85"/>
      <c r="AD247" s="86"/>
      <c r="AE247" s="87"/>
      <c r="AF247" s="88"/>
      <c r="AG247" s="83"/>
      <c r="AH247" s="89"/>
      <c r="AI247" s="65"/>
      <c r="AJ247" s="66"/>
      <c r="AK247" s="51"/>
      <c r="AL247" s="67"/>
    </row>
    <row r="248" spans="2:38" x14ac:dyDescent="0.25">
      <c r="S248" s="50"/>
      <c r="T248" s="51"/>
      <c r="U248" s="51"/>
      <c r="V248" s="51"/>
      <c r="W248" s="51"/>
      <c r="X248" s="51"/>
      <c r="Y248" s="51"/>
      <c r="Z248" s="51"/>
      <c r="AA248" s="51"/>
      <c r="AB248" s="51"/>
      <c r="AC248" s="51"/>
      <c r="AD248" s="118"/>
      <c r="AE248" s="51"/>
      <c r="AF248" s="51"/>
      <c r="AG248" s="51"/>
      <c r="AH248" s="51"/>
      <c r="AI248" s="65"/>
      <c r="AJ248" s="66"/>
      <c r="AK248" s="51"/>
      <c r="AL248" s="67"/>
    </row>
    <row r="249" spans="2:38" x14ac:dyDescent="0.25">
      <c r="B249" s="77"/>
      <c r="C249" s="94"/>
      <c r="D249" s="126">
        <v>25</v>
      </c>
      <c r="E249" s="46"/>
      <c r="F249" s="46"/>
      <c r="G249" s="42"/>
      <c r="H249" s="42"/>
      <c r="I249" s="128"/>
      <c r="J249" s="128"/>
      <c r="K249" s="46"/>
      <c r="L249" s="46"/>
      <c r="M249" s="46"/>
      <c r="N249" s="144"/>
      <c r="O249" s="127"/>
      <c r="P249" s="80"/>
      <c r="R249" s="142"/>
      <c r="S249" s="50"/>
      <c r="T249" s="51"/>
      <c r="U249" s="81"/>
      <c r="V249" s="70"/>
      <c r="W249" s="82"/>
      <c r="X249" s="88"/>
      <c r="Y249" s="83"/>
      <c r="Z249" s="84"/>
      <c r="AA249" s="84"/>
      <c r="AB249" s="85"/>
      <c r="AC249" s="85"/>
      <c r="AD249" s="86"/>
      <c r="AE249" s="87"/>
      <c r="AF249" s="88"/>
      <c r="AG249" s="89"/>
      <c r="AH249" s="90"/>
      <c r="AI249" s="65"/>
      <c r="AJ249" s="66"/>
      <c r="AK249" s="51"/>
      <c r="AL249" s="67"/>
    </row>
    <row r="250" spans="2:38" x14ac:dyDescent="0.25">
      <c r="C250" s="94"/>
      <c r="D250" s="126"/>
      <c r="E250" s="46"/>
      <c r="F250" s="46"/>
      <c r="G250" s="41"/>
      <c r="H250" s="41"/>
      <c r="I250" s="128"/>
      <c r="J250" s="128"/>
      <c r="K250" s="46"/>
      <c r="L250" s="46"/>
      <c r="M250" s="46"/>
      <c r="N250" s="129"/>
      <c r="O250" s="127"/>
      <c r="P250" s="98"/>
      <c r="R250" s="130"/>
      <c r="S250" s="50"/>
      <c r="T250" s="51"/>
      <c r="U250" s="51"/>
      <c r="V250" s="70"/>
      <c r="W250" s="82"/>
      <c r="X250" s="88"/>
      <c r="Y250" s="93"/>
      <c r="Z250" s="84"/>
      <c r="AA250" s="84"/>
      <c r="AB250" s="85"/>
      <c r="AC250" s="85"/>
      <c r="AD250" s="86"/>
      <c r="AE250" s="87"/>
      <c r="AF250" s="88"/>
      <c r="AG250" s="83"/>
      <c r="AH250" s="89"/>
      <c r="AI250" s="65"/>
      <c r="AJ250" s="66"/>
      <c r="AK250" s="51"/>
      <c r="AL250" s="67"/>
    </row>
    <row r="251" spans="2:38" x14ac:dyDescent="0.25">
      <c r="C251" s="94"/>
      <c r="D251" s="97"/>
      <c r="E251" s="42"/>
      <c r="F251" s="42"/>
      <c r="G251" s="41"/>
      <c r="H251" s="41"/>
      <c r="I251" s="78"/>
      <c r="J251" s="99"/>
      <c r="K251" s="42"/>
      <c r="L251" s="42"/>
      <c r="M251" s="42"/>
      <c r="N251" s="95"/>
      <c r="O251" s="98"/>
      <c r="P251" s="98"/>
      <c r="R251" s="116"/>
      <c r="S251" s="50"/>
      <c r="T251" s="51"/>
      <c r="U251" s="51"/>
      <c r="V251" s="70"/>
      <c r="W251" s="101"/>
      <c r="X251" s="83"/>
      <c r="Y251" s="93"/>
      <c r="Z251" s="102"/>
      <c r="AA251" s="103"/>
      <c r="AB251" s="104"/>
      <c r="AC251" s="104"/>
      <c r="AD251" s="105"/>
      <c r="AE251" s="106"/>
      <c r="AF251" s="83"/>
      <c r="AG251" s="83"/>
      <c r="AH251" s="60"/>
      <c r="AI251" s="65"/>
      <c r="AJ251" s="66"/>
      <c r="AK251" s="51"/>
      <c r="AL251" s="67"/>
    </row>
    <row r="252" spans="2:38" x14ac:dyDescent="0.25">
      <c r="C252" s="94"/>
      <c r="D252" s="126">
        <v>50</v>
      </c>
      <c r="E252" s="46"/>
      <c r="F252" s="46"/>
      <c r="G252" s="42"/>
      <c r="H252" s="42"/>
      <c r="I252" s="128"/>
      <c r="J252" s="128"/>
      <c r="K252" s="46"/>
      <c r="L252" s="46"/>
      <c r="M252" s="46"/>
      <c r="N252" s="144"/>
      <c r="O252" s="127"/>
      <c r="P252" s="80"/>
      <c r="S252" s="50"/>
      <c r="T252" s="51"/>
      <c r="U252" s="51"/>
      <c r="V252" s="70"/>
      <c r="W252" s="82"/>
      <c r="X252" s="88"/>
      <c r="Y252" s="83"/>
      <c r="Z252" s="84"/>
      <c r="AA252" s="84"/>
      <c r="AB252" s="85"/>
      <c r="AC252" s="85"/>
      <c r="AD252" s="86"/>
      <c r="AE252" s="87"/>
      <c r="AF252" s="88"/>
      <c r="AG252" s="89"/>
      <c r="AH252" s="51"/>
      <c r="AI252" s="65"/>
      <c r="AJ252" s="66"/>
      <c r="AK252" s="51"/>
      <c r="AL252" s="67"/>
    </row>
    <row r="253" spans="2:38" x14ac:dyDescent="0.25">
      <c r="C253" s="53"/>
      <c r="D253" s="126"/>
      <c r="E253" s="46"/>
      <c r="F253" s="46"/>
      <c r="G253" s="41"/>
      <c r="H253" s="41"/>
      <c r="I253" s="128"/>
      <c r="J253" s="128"/>
      <c r="K253" s="46"/>
      <c r="L253" s="46"/>
      <c r="M253" s="46"/>
      <c r="N253" s="129"/>
      <c r="O253" s="127"/>
      <c r="P253" s="98"/>
      <c r="S253" s="50"/>
      <c r="T253" s="51"/>
      <c r="U253" s="51"/>
      <c r="V253" s="60"/>
      <c r="W253" s="82"/>
      <c r="X253" s="88"/>
      <c r="Y253" s="93"/>
      <c r="Z253" s="84"/>
      <c r="AA253" s="84"/>
      <c r="AB253" s="85"/>
      <c r="AC253" s="85"/>
      <c r="AD253" s="86"/>
      <c r="AE253" s="87"/>
      <c r="AF253" s="88"/>
      <c r="AG253" s="83"/>
      <c r="AH253" s="51"/>
      <c r="AI253" s="65"/>
      <c r="AJ253" s="66"/>
      <c r="AK253" s="51"/>
      <c r="AL253" s="67"/>
    </row>
    <row r="254" spans="2:38" x14ac:dyDescent="0.25">
      <c r="C254" s="94"/>
      <c r="S254" s="50"/>
      <c r="T254" s="51"/>
      <c r="U254" s="51"/>
      <c r="V254" s="70"/>
      <c r="W254" s="51"/>
      <c r="X254" s="51"/>
      <c r="Y254" s="51"/>
      <c r="Z254" s="51"/>
      <c r="AA254" s="51"/>
      <c r="AB254" s="51"/>
      <c r="AC254" s="51"/>
      <c r="AD254" s="118"/>
      <c r="AE254" s="51"/>
      <c r="AF254" s="51"/>
      <c r="AG254" s="51"/>
      <c r="AH254" s="51"/>
      <c r="AI254" s="65"/>
      <c r="AJ254" s="66"/>
      <c r="AK254" s="51"/>
      <c r="AL254" s="67"/>
    </row>
    <row r="255" spans="2:38" x14ac:dyDescent="0.25">
      <c r="C255" s="94" t="s">
        <v>94</v>
      </c>
      <c r="D255" s="126">
        <v>5</v>
      </c>
      <c r="E255" s="46"/>
      <c r="F255" s="46"/>
      <c r="G255" s="42"/>
      <c r="H255" s="42"/>
      <c r="I255" s="128"/>
      <c r="J255" s="128"/>
      <c r="K255" s="46"/>
      <c r="L255" s="46"/>
      <c r="M255" s="46"/>
      <c r="N255" s="143"/>
      <c r="O255" s="127"/>
      <c r="P255" s="80"/>
      <c r="R255" s="142"/>
      <c r="S255" s="50"/>
      <c r="T255" s="51"/>
      <c r="U255" s="51"/>
      <c r="V255" s="70"/>
      <c r="W255" s="82"/>
      <c r="X255" s="88"/>
      <c r="Y255" s="83"/>
      <c r="Z255" s="84"/>
      <c r="AA255" s="84"/>
      <c r="AB255" s="85"/>
      <c r="AC255" s="85"/>
      <c r="AD255" s="86"/>
      <c r="AE255" s="87"/>
      <c r="AF255" s="88"/>
      <c r="AG255" s="89"/>
      <c r="AH255" s="51"/>
      <c r="AI255" s="65"/>
      <c r="AJ255" s="66"/>
      <c r="AK255" s="51"/>
      <c r="AL255" s="67"/>
    </row>
    <row r="256" spans="2:38" x14ac:dyDescent="0.25">
      <c r="C256" s="96"/>
      <c r="D256" s="126"/>
      <c r="E256" s="46"/>
      <c r="F256" s="46"/>
      <c r="G256" s="41"/>
      <c r="H256" s="41"/>
      <c r="I256" s="128"/>
      <c r="J256" s="128"/>
      <c r="K256" s="46"/>
      <c r="L256" s="46"/>
      <c r="M256" s="46"/>
      <c r="N256" s="143"/>
      <c r="O256" s="127"/>
      <c r="P256" s="98"/>
      <c r="R256" s="130"/>
      <c r="S256" s="50"/>
      <c r="T256" s="51"/>
      <c r="U256" s="51"/>
      <c r="V256" s="92"/>
      <c r="W256" s="82"/>
      <c r="X256" s="88"/>
      <c r="Y256" s="93"/>
      <c r="Z256" s="84"/>
      <c r="AA256" s="84"/>
      <c r="AB256" s="85"/>
      <c r="AC256" s="85"/>
      <c r="AD256" s="86"/>
      <c r="AE256" s="87"/>
      <c r="AF256" s="88"/>
      <c r="AG256" s="83"/>
      <c r="AH256" s="51"/>
      <c r="AI256" s="65"/>
      <c r="AJ256" s="66"/>
      <c r="AK256" s="51"/>
      <c r="AL256" s="67"/>
    </row>
    <row r="257" spans="2:38" x14ac:dyDescent="0.25">
      <c r="B257" s="51"/>
      <c r="C257" s="96"/>
      <c r="D257" s="97"/>
      <c r="E257" s="42"/>
      <c r="F257" s="42"/>
      <c r="G257" s="41"/>
      <c r="H257" s="41"/>
      <c r="I257" s="78"/>
      <c r="J257" s="99"/>
      <c r="K257" s="42"/>
      <c r="L257" s="42"/>
      <c r="M257" s="42"/>
      <c r="N257" s="95"/>
      <c r="O257" s="98"/>
      <c r="P257" s="98"/>
      <c r="R257" s="107"/>
      <c r="S257" s="50"/>
      <c r="T257" s="51"/>
      <c r="U257" s="51"/>
      <c r="V257" s="92"/>
      <c r="W257" s="101"/>
      <c r="X257" s="83"/>
      <c r="Y257" s="93"/>
      <c r="Z257" s="102"/>
      <c r="AA257" s="103"/>
      <c r="AB257" s="104"/>
      <c r="AC257" s="104"/>
      <c r="AD257" s="105"/>
      <c r="AE257" s="106"/>
      <c r="AF257" s="83"/>
      <c r="AG257" s="83"/>
      <c r="AH257" s="108"/>
      <c r="AI257" s="65"/>
      <c r="AJ257" s="66"/>
      <c r="AK257" s="51"/>
      <c r="AL257" s="67"/>
    </row>
    <row r="258" spans="2:38" x14ac:dyDescent="0.25">
      <c r="B258" s="77"/>
      <c r="C258" s="94"/>
      <c r="D258" s="126">
        <v>15</v>
      </c>
      <c r="E258" s="46"/>
      <c r="F258" s="46"/>
      <c r="G258" s="42"/>
      <c r="H258" s="42"/>
      <c r="I258" s="128"/>
      <c r="J258" s="128"/>
      <c r="K258" s="46"/>
      <c r="L258" s="46"/>
      <c r="M258" s="46"/>
      <c r="N258" s="144"/>
      <c r="O258" s="127"/>
      <c r="P258" s="80"/>
      <c r="R258" s="142"/>
      <c r="S258" s="50"/>
      <c r="T258" s="51"/>
      <c r="U258" s="81"/>
      <c r="V258" s="70"/>
      <c r="W258" s="82"/>
      <c r="X258" s="88"/>
      <c r="Y258" s="83"/>
      <c r="Z258" s="84"/>
      <c r="AA258" s="84"/>
      <c r="AB258" s="85"/>
      <c r="AC258" s="85"/>
      <c r="AD258" s="86"/>
      <c r="AE258" s="87"/>
      <c r="AF258" s="88"/>
      <c r="AG258" s="89"/>
      <c r="AH258" s="90"/>
      <c r="AI258" s="65"/>
      <c r="AJ258" s="66"/>
      <c r="AK258" s="51"/>
      <c r="AL258" s="67"/>
    </row>
    <row r="259" spans="2:38" x14ac:dyDescent="0.25">
      <c r="C259" s="94"/>
      <c r="D259" s="126"/>
      <c r="E259" s="46"/>
      <c r="F259" s="46"/>
      <c r="G259" s="41"/>
      <c r="H259" s="41"/>
      <c r="I259" s="128"/>
      <c r="J259" s="128"/>
      <c r="K259" s="46"/>
      <c r="L259" s="46"/>
      <c r="M259" s="46"/>
      <c r="N259" s="129"/>
      <c r="O259" s="127"/>
      <c r="P259" s="98"/>
      <c r="R259" s="130"/>
      <c r="S259" s="50"/>
      <c r="T259" s="51"/>
      <c r="U259" s="51"/>
      <c r="V259" s="70"/>
      <c r="W259" s="82"/>
      <c r="X259" s="88"/>
      <c r="Y259" s="93"/>
      <c r="Z259" s="84"/>
      <c r="AA259" s="84"/>
      <c r="AB259" s="85"/>
      <c r="AC259" s="85"/>
      <c r="AD259" s="86"/>
      <c r="AE259" s="87"/>
      <c r="AF259" s="88"/>
      <c r="AG259" s="83"/>
      <c r="AH259" s="89"/>
      <c r="AI259" s="65"/>
      <c r="AJ259" s="66"/>
      <c r="AK259" s="51"/>
      <c r="AL259" s="67"/>
    </row>
    <row r="260" spans="2:38" x14ac:dyDescent="0.25">
      <c r="S260" s="50"/>
      <c r="T260" s="51"/>
      <c r="U260" s="51"/>
      <c r="V260" s="51"/>
      <c r="W260" s="51"/>
      <c r="X260" s="51"/>
      <c r="Y260" s="51"/>
      <c r="Z260" s="51"/>
      <c r="AA260" s="51"/>
      <c r="AB260" s="51"/>
      <c r="AC260" s="51"/>
      <c r="AD260" s="118"/>
      <c r="AE260" s="51"/>
      <c r="AF260" s="51"/>
      <c r="AG260" s="51"/>
      <c r="AH260" s="51"/>
      <c r="AI260" s="65"/>
      <c r="AJ260" s="66"/>
      <c r="AK260" s="51"/>
      <c r="AL260" s="67"/>
    </row>
    <row r="261" spans="2:38" x14ac:dyDescent="0.25">
      <c r="B261" s="77"/>
      <c r="C261" s="94"/>
      <c r="D261" s="126">
        <v>25</v>
      </c>
      <c r="E261" s="46"/>
      <c r="F261" s="46"/>
      <c r="G261" s="42"/>
      <c r="H261" s="42"/>
      <c r="I261" s="128"/>
      <c r="J261" s="128"/>
      <c r="K261" s="46"/>
      <c r="L261" s="46"/>
      <c r="M261" s="46"/>
      <c r="N261" s="144"/>
      <c r="O261" s="127"/>
      <c r="P261" s="80"/>
      <c r="R261" s="142"/>
      <c r="S261" s="50"/>
      <c r="T261" s="51"/>
      <c r="U261" s="81"/>
      <c r="V261" s="70"/>
      <c r="W261" s="82"/>
      <c r="X261" s="88"/>
      <c r="Y261" s="83"/>
      <c r="Z261" s="84"/>
      <c r="AA261" s="84"/>
      <c r="AB261" s="85"/>
      <c r="AC261" s="85"/>
      <c r="AD261" s="86"/>
      <c r="AE261" s="87"/>
      <c r="AF261" s="88"/>
      <c r="AG261" s="89"/>
      <c r="AH261" s="90"/>
      <c r="AI261" s="65"/>
      <c r="AJ261" s="66"/>
      <c r="AK261" s="51"/>
      <c r="AL261" s="67"/>
    </row>
    <row r="262" spans="2:38" x14ac:dyDescent="0.25">
      <c r="C262" s="94"/>
      <c r="D262" s="126"/>
      <c r="E262" s="46"/>
      <c r="F262" s="46"/>
      <c r="G262" s="41"/>
      <c r="H262" s="41"/>
      <c r="I262" s="128"/>
      <c r="J262" s="128"/>
      <c r="K262" s="46"/>
      <c r="L262" s="46"/>
      <c r="M262" s="46"/>
      <c r="N262" s="129"/>
      <c r="O262" s="127"/>
      <c r="P262" s="98"/>
      <c r="R262" s="130"/>
      <c r="S262" s="50"/>
      <c r="T262" s="51"/>
      <c r="U262" s="51"/>
      <c r="V262" s="70"/>
      <c r="W262" s="82"/>
      <c r="X262" s="88"/>
      <c r="Y262" s="93"/>
      <c r="Z262" s="84"/>
      <c r="AA262" s="84"/>
      <c r="AB262" s="85"/>
      <c r="AC262" s="85"/>
      <c r="AD262" s="86"/>
      <c r="AE262" s="87"/>
      <c r="AF262" s="88"/>
      <c r="AG262" s="83"/>
      <c r="AH262" s="89"/>
      <c r="AI262" s="65"/>
      <c r="AJ262" s="66"/>
      <c r="AK262" s="51"/>
      <c r="AL262" s="67"/>
    </row>
    <row r="263" spans="2:38" x14ac:dyDescent="0.25">
      <c r="C263" s="94"/>
      <c r="D263" s="97"/>
      <c r="E263" s="42"/>
      <c r="F263" s="42"/>
      <c r="G263" s="41"/>
      <c r="H263" s="41"/>
      <c r="I263" s="78"/>
      <c r="J263" s="99"/>
      <c r="K263" s="42"/>
      <c r="L263" s="42"/>
      <c r="M263" s="42"/>
      <c r="N263" s="95"/>
      <c r="O263" s="98"/>
      <c r="P263" s="98"/>
      <c r="R263" s="116"/>
      <c r="S263" s="50"/>
      <c r="T263" s="51"/>
      <c r="U263" s="51"/>
      <c r="V263" s="70"/>
      <c r="W263" s="101"/>
      <c r="X263" s="83"/>
      <c r="Y263" s="93"/>
      <c r="Z263" s="102"/>
      <c r="AA263" s="103"/>
      <c r="AB263" s="104"/>
      <c r="AC263" s="104"/>
      <c r="AD263" s="105"/>
      <c r="AE263" s="106"/>
      <c r="AF263" s="83"/>
      <c r="AG263" s="83"/>
      <c r="AH263" s="60"/>
      <c r="AI263" s="65"/>
      <c r="AJ263" s="66"/>
      <c r="AK263" s="51"/>
      <c r="AL263" s="67"/>
    </row>
    <row r="264" spans="2:38" x14ac:dyDescent="0.25">
      <c r="C264" s="94"/>
      <c r="D264" s="126">
        <v>50</v>
      </c>
      <c r="E264" s="46"/>
      <c r="F264" s="46"/>
      <c r="G264" s="42"/>
      <c r="H264" s="42"/>
      <c r="I264" s="128"/>
      <c r="J264" s="128"/>
      <c r="K264" s="46"/>
      <c r="L264" s="46"/>
      <c r="M264" s="46"/>
      <c r="N264" s="144"/>
      <c r="O264" s="127"/>
      <c r="P264" s="80"/>
      <c r="S264" s="50"/>
      <c r="T264" s="51"/>
      <c r="U264" s="51"/>
      <c r="V264" s="70"/>
      <c r="W264" s="82"/>
      <c r="X264" s="88"/>
      <c r="Y264" s="83"/>
      <c r="Z264" s="84"/>
      <c r="AA264" s="84"/>
      <c r="AB264" s="85"/>
      <c r="AC264" s="85"/>
      <c r="AD264" s="86"/>
      <c r="AE264" s="87"/>
      <c r="AF264" s="88"/>
      <c r="AG264" s="89"/>
      <c r="AH264" s="51"/>
      <c r="AI264" s="65"/>
      <c r="AJ264" s="66"/>
      <c r="AK264" s="51"/>
      <c r="AL264" s="67"/>
    </row>
    <row r="265" spans="2:38" x14ac:dyDescent="0.25">
      <c r="C265" s="53"/>
      <c r="D265" s="126"/>
      <c r="E265" s="46"/>
      <c r="F265" s="46"/>
      <c r="G265" s="41"/>
      <c r="H265" s="41"/>
      <c r="I265" s="128"/>
      <c r="J265" s="128"/>
      <c r="K265" s="46"/>
      <c r="L265" s="46"/>
      <c r="M265" s="46"/>
      <c r="N265" s="129"/>
      <c r="O265" s="127"/>
      <c r="P265" s="98"/>
      <c r="S265" s="50"/>
      <c r="T265" s="51"/>
      <c r="U265" s="51"/>
      <c r="V265" s="60"/>
      <c r="W265" s="82"/>
      <c r="X265" s="88"/>
      <c r="Y265" s="93"/>
      <c r="Z265" s="84"/>
      <c r="AA265" s="84"/>
      <c r="AB265" s="85"/>
      <c r="AC265" s="85"/>
      <c r="AD265" s="86"/>
      <c r="AE265" s="87"/>
      <c r="AF265" s="88"/>
      <c r="AG265" s="83"/>
      <c r="AH265" s="51"/>
      <c r="AI265" s="65"/>
      <c r="AJ265" s="66"/>
      <c r="AK265" s="51"/>
      <c r="AL265" s="67"/>
    </row>
    <row r="266" spans="2:38" x14ac:dyDescent="0.25">
      <c r="C266" s="94"/>
      <c r="S266" s="50"/>
      <c r="T266" s="51"/>
      <c r="U266" s="51"/>
      <c r="V266" s="70"/>
      <c r="W266" s="51"/>
      <c r="X266" s="51"/>
      <c r="Y266" s="51"/>
      <c r="Z266" s="51"/>
      <c r="AA266" s="51"/>
      <c r="AB266" s="51"/>
      <c r="AC266" s="51"/>
      <c r="AD266" s="118"/>
      <c r="AE266" s="51"/>
      <c r="AF266" s="51"/>
      <c r="AG266" s="51"/>
      <c r="AH266" s="51"/>
      <c r="AI266" s="65"/>
      <c r="AJ266" s="66"/>
      <c r="AK266" s="51"/>
      <c r="AL266" s="67"/>
    </row>
    <row r="267" spans="2:38" x14ac:dyDescent="0.25">
      <c r="C267" s="94" t="s">
        <v>94</v>
      </c>
      <c r="D267" s="126">
        <v>5</v>
      </c>
      <c r="E267" s="46"/>
      <c r="F267" s="46"/>
      <c r="G267" s="42"/>
      <c r="H267" s="42"/>
      <c r="I267" s="128"/>
      <c r="J267" s="128"/>
      <c r="K267" s="46"/>
      <c r="L267" s="46"/>
      <c r="M267" s="46"/>
      <c r="N267" s="143"/>
      <c r="O267" s="127"/>
      <c r="P267" s="80"/>
      <c r="R267" s="142"/>
      <c r="S267" s="50"/>
      <c r="T267" s="51"/>
      <c r="U267" s="51"/>
      <c r="V267" s="70"/>
      <c r="W267" s="82"/>
      <c r="X267" s="88"/>
      <c r="Y267" s="83"/>
      <c r="Z267" s="84"/>
      <c r="AA267" s="84"/>
      <c r="AB267" s="85"/>
      <c r="AC267" s="85"/>
      <c r="AD267" s="86"/>
      <c r="AE267" s="87"/>
      <c r="AF267" s="88"/>
      <c r="AG267" s="89"/>
      <c r="AH267" s="51"/>
      <c r="AI267" s="65"/>
      <c r="AJ267" s="66"/>
      <c r="AK267" s="51"/>
      <c r="AL267" s="67"/>
    </row>
    <row r="268" spans="2:38" x14ac:dyDescent="0.25">
      <c r="C268" s="96"/>
      <c r="D268" s="126"/>
      <c r="E268" s="46"/>
      <c r="F268" s="46"/>
      <c r="G268" s="41"/>
      <c r="H268" s="41"/>
      <c r="I268" s="128"/>
      <c r="J268" s="128"/>
      <c r="K268" s="46"/>
      <c r="L268" s="46"/>
      <c r="M268" s="46"/>
      <c r="N268" s="143"/>
      <c r="O268" s="127"/>
      <c r="P268" s="98"/>
      <c r="R268" s="130"/>
      <c r="S268" s="50"/>
      <c r="T268" s="51"/>
      <c r="U268" s="51"/>
      <c r="V268" s="92"/>
      <c r="W268" s="82"/>
      <c r="X268" s="88"/>
      <c r="Y268" s="93"/>
      <c r="Z268" s="84"/>
      <c r="AA268" s="84"/>
      <c r="AB268" s="85"/>
      <c r="AC268" s="85"/>
      <c r="AD268" s="86"/>
      <c r="AE268" s="87"/>
      <c r="AF268" s="88"/>
      <c r="AG268" s="83"/>
      <c r="AH268" s="51"/>
      <c r="AI268" s="65"/>
      <c r="AJ268" s="66"/>
      <c r="AK268" s="51"/>
      <c r="AL268" s="67"/>
    </row>
    <row r="269" spans="2:38" x14ac:dyDescent="0.25">
      <c r="B269" s="51"/>
      <c r="C269" s="96"/>
      <c r="D269" s="97"/>
      <c r="E269" s="42"/>
      <c r="F269" s="42"/>
      <c r="G269" s="41"/>
      <c r="H269" s="41"/>
      <c r="I269" s="78"/>
      <c r="J269" s="99"/>
      <c r="K269" s="42"/>
      <c r="L269" s="42"/>
      <c r="M269" s="42"/>
      <c r="N269" s="95"/>
      <c r="O269" s="98"/>
      <c r="P269" s="98"/>
      <c r="R269" s="107"/>
      <c r="S269" s="50"/>
      <c r="T269" s="51"/>
      <c r="U269" s="51"/>
      <c r="V269" s="92"/>
      <c r="W269" s="101"/>
      <c r="X269" s="83"/>
      <c r="Y269" s="93"/>
      <c r="Z269" s="102"/>
      <c r="AA269" s="103"/>
      <c r="AB269" s="104"/>
      <c r="AC269" s="104"/>
      <c r="AD269" s="105"/>
      <c r="AE269" s="106"/>
      <c r="AF269" s="83"/>
      <c r="AG269" s="83"/>
      <c r="AH269" s="108"/>
      <c r="AI269" s="65"/>
      <c r="AJ269" s="66"/>
      <c r="AK269" s="51"/>
      <c r="AL269" s="67"/>
    </row>
    <row r="270" spans="2:38" x14ac:dyDescent="0.25">
      <c r="B270" s="77"/>
      <c r="C270" s="94"/>
      <c r="D270" s="126">
        <v>15</v>
      </c>
      <c r="E270" s="46"/>
      <c r="F270" s="46"/>
      <c r="G270" s="42"/>
      <c r="H270" s="42"/>
      <c r="I270" s="128"/>
      <c r="J270" s="128"/>
      <c r="K270" s="46"/>
      <c r="L270" s="46"/>
      <c r="M270" s="46"/>
      <c r="N270" s="144"/>
      <c r="O270" s="127"/>
      <c r="P270" s="80"/>
      <c r="R270" s="142"/>
      <c r="S270" s="50"/>
      <c r="T270" s="51"/>
      <c r="U270" s="81"/>
      <c r="V270" s="70"/>
      <c r="W270" s="82"/>
      <c r="X270" s="88"/>
      <c r="Y270" s="83"/>
      <c r="Z270" s="84"/>
      <c r="AA270" s="84"/>
      <c r="AB270" s="85"/>
      <c r="AC270" s="85"/>
      <c r="AD270" s="86"/>
      <c r="AE270" s="87"/>
      <c r="AF270" s="88"/>
      <c r="AG270" s="89"/>
      <c r="AH270" s="90"/>
      <c r="AI270" s="65"/>
      <c r="AJ270" s="66"/>
      <c r="AK270" s="51"/>
      <c r="AL270" s="67"/>
    </row>
    <row r="271" spans="2:38" x14ac:dyDescent="0.25">
      <c r="C271" s="94"/>
      <c r="D271" s="126"/>
      <c r="E271" s="46"/>
      <c r="F271" s="46"/>
      <c r="G271" s="41"/>
      <c r="H271" s="41"/>
      <c r="I271" s="128"/>
      <c r="J271" s="128"/>
      <c r="K271" s="46"/>
      <c r="L271" s="46"/>
      <c r="M271" s="46"/>
      <c r="N271" s="129"/>
      <c r="O271" s="127"/>
      <c r="P271" s="98"/>
      <c r="R271" s="130"/>
      <c r="S271" s="50"/>
      <c r="T271" s="51"/>
      <c r="U271" s="51"/>
      <c r="V271" s="70"/>
      <c r="W271" s="82"/>
      <c r="X271" s="88"/>
      <c r="Y271" s="93"/>
      <c r="Z271" s="84"/>
      <c r="AA271" s="84"/>
      <c r="AB271" s="85"/>
      <c r="AC271" s="85"/>
      <c r="AD271" s="86"/>
      <c r="AE271" s="87"/>
      <c r="AF271" s="88"/>
      <c r="AG271" s="83"/>
      <c r="AH271" s="89"/>
      <c r="AI271" s="65"/>
      <c r="AJ271" s="66"/>
      <c r="AK271" s="51"/>
      <c r="AL271" s="67"/>
    </row>
    <row r="272" spans="2:38" x14ac:dyDescent="0.25">
      <c r="S272" s="50"/>
      <c r="T272" s="51"/>
      <c r="U272" s="51"/>
      <c r="V272" s="51"/>
      <c r="W272" s="51"/>
      <c r="X272" s="51"/>
      <c r="Y272" s="51"/>
      <c r="Z272" s="51"/>
      <c r="AA272" s="51"/>
      <c r="AB272" s="51"/>
      <c r="AC272" s="51"/>
      <c r="AD272" s="118"/>
      <c r="AE272" s="51"/>
      <c r="AF272" s="51"/>
      <c r="AG272" s="51"/>
      <c r="AH272" s="51"/>
      <c r="AI272" s="65"/>
      <c r="AJ272" s="66"/>
      <c r="AK272" s="51"/>
      <c r="AL272" s="67"/>
    </row>
    <row r="273" spans="2:38" x14ac:dyDescent="0.25">
      <c r="B273" s="77"/>
      <c r="C273" s="94"/>
      <c r="D273" s="126">
        <v>25</v>
      </c>
      <c r="E273" s="46"/>
      <c r="F273" s="46"/>
      <c r="G273" s="42"/>
      <c r="H273" s="42"/>
      <c r="I273" s="128"/>
      <c r="J273" s="128"/>
      <c r="K273" s="46"/>
      <c r="L273" s="46"/>
      <c r="M273" s="46"/>
      <c r="N273" s="144"/>
      <c r="O273" s="127"/>
      <c r="P273" s="80"/>
      <c r="R273" s="142"/>
      <c r="S273" s="50"/>
      <c r="T273" s="51"/>
      <c r="U273" s="81"/>
      <c r="V273" s="70"/>
      <c r="W273" s="82"/>
      <c r="X273" s="88"/>
      <c r="Y273" s="83"/>
      <c r="Z273" s="84"/>
      <c r="AA273" s="84"/>
      <c r="AB273" s="85"/>
      <c r="AC273" s="85"/>
      <c r="AD273" s="86"/>
      <c r="AE273" s="87"/>
      <c r="AF273" s="88"/>
      <c r="AG273" s="89"/>
      <c r="AH273" s="90"/>
      <c r="AI273" s="65"/>
      <c r="AJ273" s="66"/>
      <c r="AK273" s="51"/>
      <c r="AL273" s="67"/>
    </row>
    <row r="274" spans="2:38" x14ac:dyDescent="0.25">
      <c r="C274" s="94"/>
      <c r="D274" s="126"/>
      <c r="E274" s="46"/>
      <c r="F274" s="46"/>
      <c r="G274" s="41"/>
      <c r="H274" s="41"/>
      <c r="I274" s="128"/>
      <c r="J274" s="128"/>
      <c r="K274" s="46"/>
      <c r="L274" s="46"/>
      <c r="M274" s="46"/>
      <c r="N274" s="129"/>
      <c r="O274" s="127"/>
      <c r="P274" s="98"/>
      <c r="R274" s="130"/>
      <c r="S274" s="50"/>
      <c r="T274" s="51"/>
      <c r="U274" s="51"/>
      <c r="V274" s="70"/>
      <c r="W274" s="82"/>
      <c r="X274" s="88"/>
      <c r="Y274" s="93"/>
      <c r="Z274" s="84"/>
      <c r="AA274" s="84"/>
      <c r="AB274" s="85"/>
      <c r="AC274" s="85"/>
      <c r="AD274" s="86"/>
      <c r="AE274" s="87"/>
      <c r="AF274" s="88"/>
      <c r="AG274" s="83"/>
      <c r="AH274" s="89"/>
      <c r="AI274" s="65"/>
      <c r="AJ274" s="66"/>
      <c r="AK274" s="51"/>
      <c r="AL274" s="67"/>
    </row>
    <row r="275" spans="2:38" x14ac:dyDescent="0.25">
      <c r="C275" s="94"/>
      <c r="D275" s="97"/>
      <c r="E275" s="42"/>
      <c r="F275" s="42"/>
      <c r="G275" s="41"/>
      <c r="H275" s="41"/>
      <c r="I275" s="78"/>
      <c r="J275" s="99"/>
      <c r="K275" s="42"/>
      <c r="L275" s="42"/>
      <c r="M275" s="42"/>
      <c r="N275" s="95"/>
      <c r="O275" s="98"/>
      <c r="P275" s="98"/>
      <c r="R275" s="116"/>
      <c r="S275" s="50"/>
      <c r="T275" s="51"/>
      <c r="U275" s="51"/>
      <c r="V275" s="70"/>
      <c r="W275" s="101"/>
      <c r="X275" s="83"/>
      <c r="Y275" s="93"/>
      <c r="Z275" s="102"/>
      <c r="AA275" s="103"/>
      <c r="AB275" s="104"/>
      <c r="AC275" s="104"/>
      <c r="AD275" s="105"/>
      <c r="AE275" s="106"/>
      <c r="AF275" s="83"/>
      <c r="AG275" s="83"/>
      <c r="AH275" s="60"/>
      <c r="AI275" s="65"/>
      <c r="AJ275" s="66"/>
      <c r="AK275" s="51"/>
      <c r="AL275" s="67"/>
    </row>
    <row r="276" spans="2:38" x14ac:dyDescent="0.25">
      <c r="C276" s="94"/>
      <c r="D276" s="126">
        <v>50</v>
      </c>
      <c r="E276" s="46"/>
      <c r="F276" s="46"/>
      <c r="G276" s="42"/>
      <c r="H276" s="42"/>
      <c r="I276" s="128"/>
      <c r="J276" s="128"/>
      <c r="K276" s="46"/>
      <c r="L276" s="46"/>
      <c r="M276" s="46"/>
      <c r="N276" s="144"/>
      <c r="O276" s="127"/>
      <c r="P276" s="80"/>
      <c r="S276" s="50"/>
      <c r="T276" s="51"/>
      <c r="U276" s="51"/>
      <c r="V276" s="70"/>
      <c r="W276" s="82"/>
      <c r="X276" s="88"/>
      <c r="Y276" s="83"/>
      <c r="Z276" s="84"/>
      <c r="AA276" s="84"/>
      <c r="AB276" s="85"/>
      <c r="AC276" s="85"/>
      <c r="AD276" s="86"/>
      <c r="AE276" s="87"/>
      <c r="AF276" s="88"/>
      <c r="AG276" s="89"/>
      <c r="AH276" s="51"/>
      <c r="AI276" s="65"/>
      <c r="AJ276" s="66"/>
      <c r="AK276" s="51"/>
      <c r="AL276" s="67"/>
    </row>
    <row r="277" spans="2:38" x14ac:dyDescent="0.25">
      <c r="C277" s="53"/>
      <c r="D277" s="126"/>
      <c r="E277" s="46"/>
      <c r="F277" s="46"/>
      <c r="G277" s="41"/>
      <c r="H277" s="41"/>
      <c r="I277" s="128"/>
      <c r="J277" s="128"/>
      <c r="K277" s="46"/>
      <c r="L277" s="46"/>
      <c r="M277" s="46"/>
      <c r="N277" s="129"/>
      <c r="O277" s="127"/>
      <c r="P277" s="98"/>
      <c r="S277" s="50"/>
      <c r="T277" s="51"/>
      <c r="U277" s="51"/>
      <c r="V277" s="60"/>
      <c r="W277" s="82"/>
      <c r="X277" s="88"/>
      <c r="Y277" s="93"/>
      <c r="Z277" s="84"/>
      <c r="AA277" s="84"/>
      <c r="AB277" s="85"/>
      <c r="AC277" s="85"/>
      <c r="AD277" s="86"/>
      <c r="AE277" s="87"/>
      <c r="AF277" s="88"/>
      <c r="AG277" s="83"/>
      <c r="AH277" s="51"/>
      <c r="AI277" s="65"/>
      <c r="AJ277" s="66"/>
      <c r="AK277" s="51"/>
      <c r="AL277" s="67"/>
    </row>
    <row r="278" spans="2:38" x14ac:dyDescent="0.25">
      <c r="C278" s="94"/>
      <c r="S278" s="50"/>
      <c r="T278" s="51"/>
      <c r="U278" s="51"/>
      <c r="V278" s="70"/>
      <c r="W278" s="51"/>
      <c r="X278" s="51"/>
      <c r="Y278" s="51"/>
      <c r="Z278" s="51"/>
      <c r="AA278" s="51"/>
      <c r="AB278" s="51"/>
      <c r="AC278" s="51"/>
      <c r="AD278" s="118"/>
      <c r="AE278" s="51"/>
      <c r="AF278" s="51"/>
      <c r="AG278" s="51"/>
      <c r="AH278" s="51"/>
      <c r="AI278" s="65"/>
      <c r="AJ278" s="66"/>
      <c r="AK278" s="51"/>
      <c r="AL278" s="67"/>
    </row>
    <row r="279" spans="2:38" x14ac:dyDescent="0.25">
      <c r="C279" s="94" t="s">
        <v>94</v>
      </c>
      <c r="D279" s="126">
        <v>5</v>
      </c>
      <c r="E279" s="46"/>
      <c r="F279" s="46"/>
      <c r="G279" s="42"/>
      <c r="H279" s="42"/>
      <c r="I279" s="128"/>
      <c r="J279" s="128"/>
      <c r="K279" s="46"/>
      <c r="L279" s="46"/>
      <c r="M279" s="46"/>
      <c r="N279" s="143"/>
      <c r="O279" s="127"/>
      <c r="P279" s="80"/>
      <c r="R279" s="142"/>
      <c r="S279" s="50"/>
      <c r="T279" s="51"/>
      <c r="U279" s="51"/>
      <c r="V279" s="70"/>
      <c r="W279" s="82"/>
      <c r="X279" s="88"/>
      <c r="Y279" s="83"/>
      <c r="Z279" s="84"/>
      <c r="AA279" s="84"/>
      <c r="AB279" s="85"/>
      <c r="AC279" s="85"/>
      <c r="AD279" s="86"/>
      <c r="AE279" s="87"/>
      <c r="AF279" s="88"/>
      <c r="AG279" s="89"/>
      <c r="AH279" s="51"/>
      <c r="AI279" s="65"/>
      <c r="AJ279" s="66"/>
      <c r="AK279" s="51"/>
      <c r="AL279" s="67"/>
    </row>
    <row r="280" spans="2:38" x14ac:dyDescent="0.25">
      <c r="C280" s="96"/>
      <c r="D280" s="126"/>
      <c r="E280" s="46"/>
      <c r="F280" s="46"/>
      <c r="G280" s="41"/>
      <c r="H280" s="41"/>
      <c r="I280" s="128"/>
      <c r="J280" s="128"/>
      <c r="K280" s="46"/>
      <c r="L280" s="46"/>
      <c r="M280" s="46"/>
      <c r="N280" s="143"/>
      <c r="O280" s="127"/>
      <c r="P280" s="98"/>
      <c r="R280" s="130"/>
      <c r="S280" s="50"/>
      <c r="T280" s="51"/>
      <c r="U280" s="51"/>
      <c r="V280" s="92"/>
      <c r="W280" s="82"/>
      <c r="X280" s="88"/>
      <c r="Y280" s="93"/>
      <c r="Z280" s="84"/>
      <c r="AA280" s="84"/>
      <c r="AB280" s="85"/>
      <c r="AC280" s="85"/>
      <c r="AD280" s="86"/>
      <c r="AE280" s="87"/>
      <c r="AF280" s="88"/>
      <c r="AG280" s="83"/>
      <c r="AH280" s="51"/>
      <c r="AI280" s="65"/>
      <c r="AJ280" s="66"/>
      <c r="AK280" s="51"/>
      <c r="AL280" s="67"/>
    </row>
    <row r="281" spans="2:38" x14ac:dyDescent="0.25">
      <c r="B281" s="51"/>
      <c r="C281" s="96"/>
      <c r="D281" s="97"/>
      <c r="E281" s="42"/>
      <c r="F281" s="42"/>
      <c r="G281" s="41"/>
      <c r="H281" s="41"/>
      <c r="I281" s="78"/>
      <c r="J281" s="99"/>
      <c r="K281" s="42"/>
      <c r="L281" s="42"/>
      <c r="M281" s="42"/>
      <c r="N281" s="95"/>
      <c r="O281" s="98"/>
      <c r="P281" s="98"/>
      <c r="R281" s="107"/>
      <c r="S281" s="50"/>
      <c r="T281" s="51"/>
      <c r="U281" s="51"/>
      <c r="V281" s="92"/>
      <c r="W281" s="101"/>
      <c r="X281" s="83"/>
      <c r="Y281" s="93"/>
      <c r="Z281" s="102"/>
      <c r="AA281" s="103"/>
      <c r="AB281" s="104"/>
      <c r="AC281" s="104"/>
      <c r="AD281" s="105"/>
      <c r="AE281" s="106"/>
      <c r="AF281" s="83"/>
      <c r="AG281" s="83"/>
      <c r="AH281" s="108"/>
      <c r="AI281" s="65"/>
      <c r="AJ281" s="66"/>
      <c r="AK281" s="51"/>
      <c r="AL281" s="67"/>
    </row>
    <row r="282" spans="2:38" x14ac:dyDescent="0.25">
      <c r="B282" s="77"/>
      <c r="C282" s="94"/>
      <c r="D282" s="126">
        <v>15</v>
      </c>
      <c r="E282" s="46"/>
      <c r="F282" s="46"/>
      <c r="G282" s="42"/>
      <c r="H282" s="42"/>
      <c r="I282" s="128"/>
      <c r="J282" s="128"/>
      <c r="K282" s="46"/>
      <c r="L282" s="46"/>
      <c r="M282" s="46"/>
      <c r="N282" s="144"/>
      <c r="O282" s="127"/>
      <c r="P282" s="80"/>
      <c r="R282" s="142"/>
      <c r="S282" s="50"/>
      <c r="T282" s="51"/>
      <c r="U282" s="81"/>
      <c r="V282" s="70"/>
      <c r="W282" s="82"/>
      <c r="X282" s="88"/>
      <c r="Y282" s="83"/>
      <c r="Z282" s="84"/>
      <c r="AA282" s="84"/>
      <c r="AB282" s="85"/>
      <c r="AC282" s="85"/>
      <c r="AD282" s="86"/>
      <c r="AE282" s="87"/>
      <c r="AF282" s="88"/>
      <c r="AG282" s="89"/>
      <c r="AH282" s="90"/>
      <c r="AI282" s="65"/>
      <c r="AJ282" s="66"/>
      <c r="AK282" s="51"/>
      <c r="AL282" s="67"/>
    </row>
    <row r="283" spans="2:38" x14ac:dyDescent="0.25">
      <c r="C283" s="94"/>
      <c r="D283" s="126"/>
      <c r="E283" s="46"/>
      <c r="F283" s="46"/>
      <c r="G283" s="41"/>
      <c r="H283" s="41"/>
      <c r="I283" s="128"/>
      <c r="J283" s="128"/>
      <c r="K283" s="46"/>
      <c r="L283" s="46"/>
      <c r="M283" s="46"/>
      <c r="N283" s="129"/>
      <c r="O283" s="127"/>
      <c r="P283" s="98"/>
      <c r="R283" s="130"/>
      <c r="S283" s="50"/>
      <c r="T283" s="51"/>
      <c r="U283" s="51"/>
      <c r="V283" s="70"/>
      <c r="W283" s="82"/>
      <c r="X283" s="88"/>
      <c r="Y283" s="93"/>
      <c r="Z283" s="84"/>
      <c r="AA283" s="84"/>
      <c r="AB283" s="85"/>
      <c r="AC283" s="85"/>
      <c r="AD283" s="86"/>
      <c r="AE283" s="87"/>
      <c r="AF283" s="88"/>
      <c r="AG283" s="83"/>
      <c r="AH283" s="89"/>
      <c r="AI283" s="65"/>
      <c r="AJ283" s="66"/>
      <c r="AK283" s="51"/>
      <c r="AL283" s="67"/>
    </row>
    <row r="284" spans="2:38" x14ac:dyDescent="0.25">
      <c r="S284" s="50"/>
      <c r="T284" s="51"/>
      <c r="U284" s="51"/>
      <c r="V284" s="51"/>
      <c r="W284" s="51"/>
      <c r="X284" s="51"/>
      <c r="Y284" s="51"/>
      <c r="Z284" s="51"/>
      <c r="AA284" s="51"/>
      <c r="AB284" s="51"/>
      <c r="AC284" s="51"/>
      <c r="AD284" s="118"/>
      <c r="AE284" s="51"/>
      <c r="AF284" s="51"/>
      <c r="AG284" s="51"/>
      <c r="AH284" s="51"/>
      <c r="AI284" s="65"/>
      <c r="AJ284" s="66"/>
      <c r="AK284" s="51"/>
      <c r="AL284" s="67"/>
    </row>
    <row r="285" spans="2:38" x14ac:dyDescent="0.25">
      <c r="B285" s="77"/>
      <c r="C285" s="94"/>
      <c r="D285" s="126">
        <v>25</v>
      </c>
      <c r="E285" s="46"/>
      <c r="F285" s="46"/>
      <c r="G285" s="42"/>
      <c r="H285" s="42"/>
      <c r="I285" s="128"/>
      <c r="J285" s="128"/>
      <c r="K285" s="46"/>
      <c r="L285" s="46"/>
      <c r="M285" s="46"/>
      <c r="N285" s="144"/>
      <c r="O285" s="127"/>
      <c r="P285" s="80"/>
      <c r="R285" s="142"/>
      <c r="S285" s="50"/>
      <c r="T285" s="51"/>
      <c r="U285" s="81"/>
      <c r="V285" s="70"/>
      <c r="W285" s="82"/>
      <c r="X285" s="88"/>
      <c r="Y285" s="83"/>
      <c r="Z285" s="84"/>
      <c r="AA285" s="84"/>
      <c r="AB285" s="85"/>
      <c r="AC285" s="85"/>
      <c r="AD285" s="86"/>
      <c r="AE285" s="87"/>
      <c r="AF285" s="88"/>
      <c r="AG285" s="89"/>
      <c r="AH285" s="90"/>
      <c r="AI285" s="65"/>
      <c r="AJ285" s="66"/>
      <c r="AK285" s="51"/>
      <c r="AL285" s="67"/>
    </row>
    <row r="286" spans="2:38" x14ac:dyDescent="0.25">
      <c r="C286" s="94"/>
      <c r="D286" s="126"/>
      <c r="E286" s="46"/>
      <c r="F286" s="46"/>
      <c r="G286" s="41"/>
      <c r="H286" s="41"/>
      <c r="I286" s="128"/>
      <c r="J286" s="128"/>
      <c r="K286" s="46"/>
      <c r="L286" s="46"/>
      <c r="M286" s="46"/>
      <c r="N286" s="129"/>
      <c r="O286" s="127"/>
      <c r="P286" s="98"/>
      <c r="R286" s="130"/>
      <c r="S286" s="50"/>
      <c r="T286" s="51"/>
      <c r="U286" s="51"/>
      <c r="V286" s="70"/>
      <c r="W286" s="82"/>
      <c r="X286" s="88"/>
      <c r="Y286" s="93"/>
      <c r="Z286" s="84"/>
      <c r="AA286" s="84"/>
      <c r="AB286" s="85"/>
      <c r="AC286" s="85"/>
      <c r="AD286" s="86"/>
      <c r="AE286" s="87"/>
      <c r="AF286" s="88"/>
      <c r="AG286" s="83"/>
      <c r="AH286" s="89"/>
      <c r="AI286" s="65"/>
      <c r="AJ286" s="66"/>
      <c r="AK286" s="51"/>
      <c r="AL286" s="67"/>
    </row>
    <row r="287" spans="2:38" x14ac:dyDescent="0.25">
      <c r="C287" s="94"/>
      <c r="D287" s="97"/>
      <c r="E287" s="42"/>
      <c r="F287" s="42"/>
      <c r="G287" s="41"/>
      <c r="H287" s="41"/>
      <c r="I287" s="78"/>
      <c r="J287" s="99"/>
      <c r="K287" s="42"/>
      <c r="L287" s="42"/>
      <c r="M287" s="42"/>
      <c r="N287" s="95"/>
      <c r="O287" s="98"/>
      <c r="P287" s="98"/>
      <c r="R287" s="116"/>
      <c r="S287" s="50"/>
      <c r="T287" s="51"/>
      <c r="U287" s="51"/>
      <c r="V287" s="70"/>
      <c r="W287" s="101"/>
      <c r="X287" s="83"/>
      <c r="Y287" s="93"/>
      <c r="Z287" s="102"/>
      <c r="AA287" s="103"/>
      <c r="AB287" s="104"/>
      <c r="AC287" s="104"/>
      <c r="AD287" s="105"/>
      <c r="AE287" s="106"/>
      <c r="AF287" s="83"/>
      <c r="AG287" s="83"/>
      <c r="AH287" s="60"/>
      <c r="AI287" s="65"/>
      <c r="AJ287" s="66"/>
      <c r="AK287" s="51"/>
      <c r="AL287" s="67"/>
    </row>
    <row r="288" spans="2:38" x14ac:dyDescent="0.25">
      <c r="C288" s="94"/>
      <c r="D288" s="126">
        <v>50</v>
      </c>
      <c r="E288" s="46"/>
      <c r="F288" s="46"/>
      <c r="G288" s="42"/>
      <c r="H288" s="42"/>
      <c r="I288" s="128"/>
      <c r="J288" s="128"/>
      <c r="K288" s="46"/>
      <c r="L288" s="46"/>
      <c r="M288" s="46"/>
      <c r="N288" s="144"/>
      <c r="O288" s="127"/>
      <c r="P288" s="80"/>
      <c r="S288" s="50"/>
      <c r="T288" s="51"/>
      <c r="U288" s="51"/>
      <c r="V288" s="70"/>
      <c r="W288" s="82"/>
      <c r="X288" s="88"/>
      <c r="Y288" s="83"/>
      <c r="Z288" s="84"/>
      <c r="AA288" s="84"/>
      <c r="AB288" s="85"/>
      <c r="AC288" s="85"/>
      <c r="AD288" s="86"/>
      <c r="AE288" s="87"/>
      <c r="AF288" s="88"/>
      <c r="AG288" s="89"/>
      <c r="AH288" s="51"/>
      <c r="AI288" s="65"/>
      <c r="AJ288" s="66"/>
      <c r="AK288" s="51"/>
      <c r="AL288" s="67"/>
    </row>
    <row r="289" spans="2:38" x14ac:dyDescent="0.25">
      <c r="C289" s="53"/>
      <c r="D289" s="126"/>
      <c r="E289" s="46"/>
      <c r="F289" s="46"/>
      <c r="G289" s="41"/>
      <c r="H289" s="41"/>
      <c r="I289" s="128"/>
      <c r="J289" s="128"/>
      <c r="K289" s="46"/>
      <c r="L289" s="46"/>
      <c r="M289" s="46"/>
      <c r="N289" s="129"/>
      <c r="O289" s="127"/>
      <c r="P289" s="98"/>
      <c r="S289" s="50"/>
      <c r="T289" s="51"/>
      <c r="U289" s="51"/>
      <c r="V289" s="60"/>
      <c r="W289" s="82"/>
      <c r="X289" s="88"/>
      <c r="Y289" s="93"/>
      <c r="Z289" s="84"/>
      <c r="AA289" s="84"/>
      <c r="AB289" s="85"/>
      <c r="AC289" s="85"/>
      <c r="AD289" s="86"/>
      <c r="AE289" s="87"/>
      <c r="AF289" s="88"/>
      <c r="AG289" s="83"/>
      <c r="AH289" s="51"/>
      <c r="AI289" s="65"/>
      <c r="AJ289" s="66"/>
      <c r="AK289" s="51"/>
      <c r="AL289" s="67"/>
    </row>
    <row r="290" spans="2:38" x14ac:dyDescent="0.25">
      <c r="C290" s="94"/>
      <c r="S290" s="50"/>
      <c r="T290" s="51"/>
      <c r="U290" s="51"/>
      <c r="V290" s="70"/>
      <c r="W290" s="51"/>
      <c r="X290" s="51"/>
      <c r="Y290" s="51"/>
      <c r="Z290" s="51"/>
      <c r="AA290" s="51"/>
      <c r="AB290" s="51"/>
      <c r="AC290" s="51"/>
      <c r="AD290" s="118"/>
      <c r="AE290" s="51"/>
      <c r="AF290" s="51"/>
      <c r="AG290" s="51"/>
      <c r="AH290" s="51"/>
      <c r="AI290" s="65"/>
      <c r="AJ290" s="66"/>
      <c r="AK290" s="51"/>
      <c r="AL290" s="67"/>
    </row>
    <row r="291" spans="2:38" x14ac:dyDescent="0.25">
      <c r="C291" s="94" t="s">
        <v>94</v>
      </c>
      <c r="D291" s="126">
        <v>5</v>
      </c>
      <c r="E291" s="46"/>
      <c r="F291" s="46"/>
      <c r="G291" s="42"/>
      <c r="H291" s="42"/>
      <c r="I291" s="128"/>
      <c r="J291" s="128"/>
      <c r="K291" s="46"/>
      <c r="L291" s="46"/>
      <c r="M291" s="46"/>
      <c r="N291" s="143"/>
      <c r="O291" s="127"/>
      <c r="P291" s="80"/>
      <c r="R291" s="142"/>
      <c r="S291" s="50"/>
      <c r="T291" s="51"/>
      <c r="U291" s="51"/>
      <c r="V291" s="70"/>
      <c r="W291" s="82"/>
      <c r="X291" s="88"/>
      <c r="Y291" s="83"/>
      <c r="Z291" s="84"/>
      <c r="AA291" s="84"/>
      <c r="AB291" s="85"/>
      <c r="AC291" s="85"/>
      <c r="AD291" s="86"/>
      <c r="AE291" s="87"/>
      <c r="AF291" s="88"/>
      <c r="AG291" s="89"/>
      <c r="AH291" s="51"/>
      <c r="AI291" s="65"/>
      <c r="AJ291" s="66"/>
      <c r="AK291" s="51"/>
      <c r="AL291" s="67"/>
    </row>
    <row r="292" spans="2:38" x14ac:dyDescent="0.25">
      <c r="C292" s="96"/>
      <c r="D292" s="126"/>
      <c r="E292" s="46"/>
      <c r="F292" s="46"/>
      <c r="G292" s="41"/>
      <c r="H292" s="41"/>
      <c r="I292" s="128"/>
      <c r="J292" s="128"/>
      <c r="K292" s="46"/>
      <c r="L292" s="46"/>
      <c r="M292" s="46"/>
      <c r="N292" s="143"/>
      <c r="O292" s="127"/>
      <c r="P292" s="98"/>
      <c r="R292" s="130"/>
      <c r="S292" s="50"/>
      <c r="T292" s="51"/>
      <c r="U292" s="51"/>
      <c r="V292" s="92"/>
      <c r="W292" s="82"/>
      <c r="X292" s="88"/>
      <c r="Y292" s="93"/>
      <c r="Z292" s="84"/>
      <c r="AA292" s="84"/>
      <c r="AB292" s="85"/>
      <c r="AC292" s="85"/>
      <c r="AD292" s="86"/>
      <c r="AE292" s="87"/>
      <c r="AF292" s="88"/>
      <c r="AG292" s="83"/>
      <c r="AH292" s="51"/>
      <c r="AI292" s="65"/>
      <c r="AJ292" s="66"/>
      <c r="AK292" s="51"/>
      <c r="AL292" s="67"/>
    </row>
    <row r="293" spans="2:38" x14ac:dyDescent="0.25">
      <c r="B293" s="51"/>
      <c r="C293" s="96"/>
      <c r="D293" s="97"/>
      <c r="E293" s="42"/>
      <c r="F293" s="42"/>
      <c r="G293" s="41"/>
      <c r="H293" s="41"/>
      <c r="I293" s="78"/>
      <c r="J293" s="99"/>
      <c r="K293" s="42"/>
      <c r="L293" s="42"/>
      <c r="M293" s="42"/>
      <c r="N293" s="95"/>
      <c r="O293" s="98"/>
      <c r="P293" s="98"/>
      <c r="R293" s="107"/>
      <c r="S293" s="50"/>
      <c r="T293" s="51"/>
      <c r="U293" s="51"/>
      <c r="V293" s="92"/>
      <c r="W293" s="101"/>
      <c r="X293" s="83"/>
      <c r="Y293" s="93"/>
      <c r="Z293" s="102"/>
      <c r="AA293" s="103"/>
      <c r="AB293" s="104"/>
      <c r="AC293" s="104"/>
      <c r="AD293" s="105"/>
      <c r="AE293" s="106"/>
      <c r="AF293" s="83"/>
      <c r="AG293" s="83"/>
      <c r="AH293" s="108"/>
      <c r="AI293" s="65"/>
      <c r="AJ293" s="66"/>
      <c r="AK293" s="51"/>
      <c r="AL293" s="67"/>
    </row>
    <row r="294" spans="2:38" x14ac:dyDescent="0.25">
      <c r="B294" s="77"/>
      <c r="C294" s="94"/>
      <c r="D294" s="126">
        <v>15</v>
      </c>
      <c r="E294" s="46"/>
      <c r="F294" s="46"/>
      <c r="G294" s="42"/>
      <c r="H294" s="42"/>
      <c r="I294" s="128"/>
      <c r="J294" s="128"/>
      <c r="K294" s="46"/>
      <c r="L294" s="46"/>
      <c r="M294" s="46"/>
      <c r="N294" s="144"/>
      <c r="O294" s="127"/>
      <c r="P294" s="80"/>
      <c r="R294" s="142"/>
      <c r="S294" s="50"/>
      <c r="T294" s="51"/>
      <c r="U294" s="81"/>
      <c r="V294" s="70"/>
      <c r="W294" s="82"/>
      <c r="X294" s="88"/>
      <c r="Y294" s="83"/>
      <c r="Z294" s="84"/>
      <c r="AA294" s="84"/>
      <c r="AB294" s="85"/>
      <c r="AC294" s="85"/>
      <c r="AD294" s="86"/>
      <c r="AE294" s="87"/>
      <c r="AF294" s="88"/>
      <c r="AG294" s="89"/>
      <c r="AH294" s="90"/>
      <c r="AI294" s="65"/>
      <c r="AJ294" s="66"/>
      <c r="AK294" s="51"/>
      <c r="AL294" s="67"/>
    </row>
    <row r="295" spans="2:38" x14ac:dyDescent="0.25">
      <c r="C295" s="94"/>
      <c r="D295" s="126"/>
      <c r="E295" s="46"/>
      <c r="F295" s="46"/>
      <c r="G295" s="41"/>
      <c r="H295" s="41"/>
      <c r="I295" s="128"/>
      <c r="J295" s="128"/>
      <c r="K295" s="46"/>
      <c r="L295" s="46"/>
      <c r="M295" s="46"/>
      <c r="N295" s="129"/>
      <c r="O295" s="127"/>
      <c r="P295" s="98"/>
      <c r="R295" s="130"/>
      <c r="S295" s="50"/>
      <c r="T295" s="51"/>
      <c r="U295" s="51"/>
      <c r="V295" s="70"/>
      <c r="W295" s="82"/>
      <c r="X295" s="88"/>
      <c r="Y295" s="93"/>
      <c r="Z295" s="84"/>
      <c r="AA295" s="84"/>
      <c r="AB295" s="85"/>
      <c r="AC295" s="85"/>
      <c r="AD295" s="86"/>
      <c r="AE295" s="87"/>
      <c r="AF295" s="88"/>
      <c r="AG295" s="83"/>
      <c r="AH295" s="89"/>
      <c r="AI295" s="65"/>
      <c r="AJ295" s="66"/>
      <c r="AK295" s="51"/>
      <c r="AL295" s="67"/>
    </row>
    <row r="296" spans="2:38" x14ac:dyDescent="0.25">
      <c r="S296" s="50"/>
      <c r="T296" s="51"/>
      <c r="U296" s="51"/>
      <c r="V296" s="51"/>
      <c r="W296" s="51"/>
      <c r="X296" s="51"/>
      <c r="Y296" s="51"/>
      <c r="Z296" s="51"/>
      <c r="AA296" s="51"/>
      <c r="AB296" s="51"/>
      <c r="AC296" s="51"/>
      <c r="AD296" s="118"/>
      <c r="AE296" s="51"/>
      <c r="AF296" s="51"/>
      <c r="AG296" s="51"/>
      <c r="AH296" s="51"/>
      <c r="AI296" s="65"/>
      <c r="AJ296" s="66"/>
      <c r="AK296" s="51"/>
      <c r="AL296" s="67"/>
    </row>
    <row r="297" spans="2:38" x14ac:dyDescent="0.25">
      <c r="B297" s="77"/>
      <c r="C297" s="94"/>
      <c r="D297" s="126">
        <v>25</v>
      </c>
      <c r="E297" s="46"/>
      <c r="F297" s="46"/>
      <c r="G297" s="42"/>
      <c r="H297" s="42"/>
      <c r="I297" s="128"/>
      <c r="J297" s="128"/>
      <c r="K297" s="46"/>
      <c r="L297" s="46"/>
      <c r="M297" s="46"/>
      <c r="N297" s="144"/>
      <c r="O297" s="127"/>
      <c r="P297" s="80"/>
      <c r="R297" s="142"/>
      <c r="S297" s="50"/>
      <c r="T297" s="51"/>
      <c r="U297" s="81"/>
      <c r="V297" s="70"/>
      <c r="W297" s="82"/>
      <c r="X297" s="88"/>
      <c r="Y297" s="83"/>
      <c r="Z297" s="84"/>
      <c r="AA297" s="84"/>
      <c r="AB297" s="85"/>
      <c r="AC297" s="85"/>
      <c r="AD297" s="86"/>
      <c r="AE297" s="87"/>
      <c r="AF297" s="88"/>
      <c r="AG297" s="89"/>
      <c r="AH297" s="90"/>
      <c r="AI297" s="65"/>
      <c r="AJ297" s="66"/>
      <c r="AK297" s="51"/>
      <c r="AL297" s="67"/>
    </row>
    <row r="298" spans="2:38" x14ac:dyDescent="0.25">
      <c r="C298" s="94"/>
      <c r="D298" s="126"/>
      <c r="E298" s="46"/>
      <c r="F298" s="46"/>
      <c r="G298" s="41"/>
      <c r="H298" s="41"/>
      <c r="I298" s="128"/>
      <c r="J298" s="128"/>
      <c r="K298" s="46"/>
      <c r="L298" s="46"/>
      <c r="M298" s="46"/>
      <c r="N298" s="129"/>
      <c r="O298" s="127"/>
      <c r="P298" s="98"/>
      <c r="R298" s="130"/>
      <c r="S298" s="50"/>
      <c r="T298" s="51"/>
      <c r="U298" s="51"/>
      <c r="V298" s="70"/>
      <c r="W298" s="82"/>
      <c r="X298" s="88"/>
      <c r="Y298" s="93"/>
      <c r="Z298" s="84"/>
      <c r="AA298" s="84"/>
      <c r="AB298" s="85"/>
      <c r="AC298" s="85"/>
      <c r="AD298" s="86"/>
      <c r="AE298" s="87"/>
      <c r="AF298" s="88"/>
      <c r="AG298" s="83"/>
      <c r="AH298" s="89"/>
      <c r="AI298" s="65"/>
      <c r="AJ298" s="66"/>
      <c r="AK298" s="51"/>
      <c r="AL298" s="67"/>
    </row>
    <row r="299" spans="2:38" x14ac:dyDescent="0.25">
      <c r="C299" s="94"/>
      <c r="D299" s="97"/>
      <c r="E299" s="42"/>
      <c r="F299" s="42"/>
      <c r="G299" s="41"/>
      <c r="H299" s="41"/>
      <c r="I299" s="78"/>
      <c r="J299" s="99"/>
      <c r="K299" s="42"/>
      <c r="L299" s="42"/>
      <c r="M299" s="42"/>
      <c r="N299" s="95"/>
      <c r="O299" s="98"/>
      <c r="P299" s="98"/>
      <c r="R299" s="116"/>
      <c r="S299" s="50"/>
      <c r="T299" s="51"/>
      <c r="U299" s="51"/>
      <c r="V299" s="70"/>
      <c r="W299" s="101"/>
      <c r="X299" s="83"/>
      <c r="Y299" s="93"/>
      <c r="Z299" s="102"/>
      <c r="AA299" s="103"/>
      <c r="AB299" s="104"/>
      <c r="AC299" s="104"/>
      <c r="AD299" s="105"/>
      <c r="AE299" s="106"/>
      <c r="AF299" s="83"/>
      <c r="AG299" s="83"/>
      <c r="AH299" s="60"/>
      <c r="AI299" s="65"/>
      <c r="AJ299" s="66"/>
      <c r="AK299" s="51"/>
      <c r="AL299" s="67"/>
    </row>
    <row r="300" spans="2:38" x14ac:dyDescent="0.25">
      <c r="C300" s="94"/>
      <c r="D300" s="126">
        <v>50</v>
      </c>
      <c r="E300" s="46"/>
      <c r="F300" s="46"/>
      <c r="G300" s="42"/>
      <c r="H300" s="42"/>
      <c r="I300" s="128"/>
      <c r="J300" s="128"/>
      <c r="K300" s="46"/>
      <c r="L300" s="46"/>
      <c r="M300" s="46"/>
      <c r="N300" s="144"/>
      <c r="O300" s="127"/>
      <c r="P300" s="80"/>
      <c r="S300" s="50"/>
      <c r="T300" s="51"/>
      <c r="U300" s="51"/>
      <c r="V300" s="70"/>
      <c r="W300" s="82"/>
      <c r="X300" s="88"/>
      <c r="Y300" s="83"/>
      <c r="Z300" s="84"/>
      <c r="AA300" s="84"/>
      <c r="AB300" s="85"/>
      <c r="AC300" s="85"/>
      <c r="AD300" s="86"/>
      <c r="AE300" s="87"/>
      <c r="AF300" s="88"/>
      <c r="AG300" s="89"/>
      <c r="AH300" s="51"/>
      <c r="AI300" s="65"/>
      <c r="AJ300" s="66"/>
      <c r="AK300" s="51"/>
      <c r="AL300" s="67"/>
    </row>
    <row r="301" spans="2:38" x14ac:dyDescent="0.25">
      <c r="C301" s="53"/>
      <c r="D301" s="126"/>
      <c r="E301" s="46"/>
      <c r="F301" s="46"/>
      <c r="G301" s="41"/>
      <c r="H301" s="41"/>
      <c r="I301" s="128"/>
      <c r="J301" s="128"/>
      <c r="K301" s="46"/>
      <c r="L301" s="46"/>
      <c r="M301" s="46"/>
      <c r="N301" s="129"/>
      <c r="O301" s="127"/>
      <c r="P301" s="98"/>
      <c r="S301" s="50"/>
      <c r="T301" s="51"/>
      <c r="U301" s="51"/>
      <c r="V301" s="60"/>
      <c r="W301" s="82"/>
      <c r="X301" s="88"/>
      <c r="Y301" s="93"/>
      <c r="Z301" s="84"/>
      <c r="AA301" s="84"/>
      <c r="AB301" s="85"/>
      <c r="AC301" s="85"/>
      <c r="AD301" s="86"/>
      <c r="AE301" s="87"/>
      <c r="AF301" s="88"/>
      <c r="AG301" s="83"/>
      <c r="AH301" s="51"/>
      <c r="AI301" s="65"/>
      <c r="AJ301" s="66"/>
      <c r="AK301" s="51"/>
      <c r="AL301" s="67"/>
    </row>
    <row r="302" spans="2:38" ht="15.75" customHeight="1" x14ac:dyDescent="0.25">
      <c r="C302" s="94"/>
      <c r="S302" s="50"/>
      <c r="T302" s="51"/>
      <c r="U302" s="51"/>
      <c r="V302" s="70"/>
      <c r="W302" s="51"/>
      <c r="X302" s="51"/>
      <c r="Y302" s="51"/>
      <c r="Z302" s="51"/>
      <c r="AA302" s="51"/>
      <c r="AB302" s="51"/>
      <c r="AC302" s="51"/>
      <c r="AD302" s="118"/>
      <c r="AE302" s="51"/>
      <c r="AF302" s="51"/>
      <c r="AG302" s="51"/>
      <c r="AH302" s="51"/>
      <c r="AI302" s="65"/>
      <c r="AJ302" s="66"/>
      <c r="AK302" s="51"/>
      <c r="AL302" s="67"/>
    </row>
    <row r="303" spans="2:38" x14ac:dyDescent="0.25">
      <c r="S303" s="50"/>
      <c r="T303" s="51"/>
      <c r="U303" s="51"/>
      <c r="V303" s="51"/>
      <c r="W303" s="51"/>
      <c r="X303" s="51"/>
      <c r="Y303" s="51"/>
      <c r="Z303" s="51"/>
      <c r="AA303" s="51"/>
      <c r="AB303" s="51"/>
      <c r="AC303" s="51"/>
      <c r="AD303" s="51"/>
      <c r="AE303" s="51"/>
      <c r="AF303" s="51"/>
      <c r="AG303" s="51"/>
      <c r="AH303" s="51"/>
      <c r="AI303" s="51"/>
      <c r="AJ303" s="51"/>
      <c r="AK303" s="51"/>
      <c r="AL303" s="52"/>
    </row>
    <row r="304" spans="2:38" x14ac:dyDescent="0.25">
      <c r="S304" s="50"/>
      <c r="T304" s="51"/>
      <c r="U304" s="51"/>
      <c r="V304" s="51"/>
      <c r="W304" s="51"/>
      <c r="X304" s="51"/>
      <c r="Y304" s="51"/>
      <c r="Z304" s="51"/>
      <c r="AA304" s="51"/>
      <c r="AB304" s="51"/>
      <c r="AC304" s="51"/>
      <c r="AD304" s="51"/>
      <c r="AE304" s="51"/>
      <c r="AF304" s="51"/>
      <c r="AG304" s="51"/>
      <c r="AH304" s="51"/>
      <c r="AI304" s="51"/>
      <c r="AJ304" s="51"/>
      <c r="AK304" s="51"/>
      <c r="AL304" s="52"/>
    </row>
    <row r="305" spans="19:38" x14ac:dyDescent="0.25">
      <c r="S305" s="50"/>
      <c r="T305" s="51"/>
      <c r="U305" s="51"/>
      <c r="V305" s="51"/>
      <c r="W305" s="51"/>
      <c r="X305" s="51"/>
      <c r="Y305" s="51"/>
      <c r="Z305" s="51"/>
      <c r="AA305" s="51"/>
      <c r="AB305" s="51"/>
      <c r="AC305" s="51"/>
      <c r="AD305" s="51"/>
      <c r="AE305" s="51"/>
      <c r="AF305" s="51"/>
      <c r="AG305" s="51"/>
      <c r="AH305" s="51"/>
      <c r="AI305" s="51"/>
      <c r="AJ305" s="51"/>
      <c r="AK305" s="51"/>
      <c r="AL305" s="52"/>
    </row>
    <row r="306" spans="19:38" x14ac:dyDescent="0.25">
      <c r="S306" s="50"/>
      <c r="T306" s="51"/>
      <c r="U306" s="51"/>
      <c r="V306" s="51"/>
      <c r="W306" s="51"/>
      <c r="X306" s="51"/>
      <c r="Y306" s="51"/>
      <c r="Z306" s="51"/>
      <c r="AA306" s="51"/>
      <c r="AB306" s="51"/>
      <c r="AC306" s="51"/>
      <c r="AD306" s="51"/>
      <c r="AE306" s="51"/>
      <c r="AF306" s="51"/>
      <c r="AG306" s="51"/>
      <c r="AH306" s="51"/>
      <c r="AI306" s="51"/>
      <c r="AJ306" s="51"/>
      <c r="AK306" s="51"/>
      <c r="AL306" s="52"/>
    </row>
    <row r="307" spans="19:38" x14ac:dyDescent="0.25">
      <c r="S307" s="50"/>
      <c r="T307" s="51"/>
      <c r="U307" s="51"/>
      <c r="V307" s="51"/>
      <c r="W307" s="51"/>
      <c r="X307" s="51"/>
      <c r="Y307" s="51"/>
      <c r="Z307" s="51"/>
      <c r="AA307" s="51"/>
      <c r="AB307" s="51"/>
      <c r="AC307" s="51"/>
      <c r="AD307" s="51"/>
      <c r="AE307" s="51"/>
      <c r="AF307" s="51"/>
      <c r="AG307" s="51"/>
      <c r="AH307" s="51"/>
      <c r="AI307" s="51"/>
      <c r="AJ307" s="51"/>
      <c r="AK307" s="51"/>
      <c r="AL307" s="52"/>
    </row>
    <row r="308" spans="19:38" x14ac:dyDescent="0.25">
      <c r="S308" s="50"/>
      <c r="T308" s="51"/>
      <c r="U308" s="51"/>
      <c r="V308" s="51"/>
      <c r="W308" s="51"/>
      <c r="X308" s="51"/>
      <c r="Y308" s="51"/>
      <c r="Z308" s="51"/>
      <c r="AA308" s="51"/>
      <c r="AB308" s="51"/>
      <c r="AC308" s="51"/>
      <c r="AD308" s="51"/>
      <c r="AE308" s="51"/>
      <c r="AF308" s="51"/>
      <c r="AG308" s="51"/>
      <c r="AH308" s="51"/>
      <c r="AI308" s="51"/>
      <c r="AJ308" s="51"/>
      <c r="AK308" s="51"/>
      <c r="AL308" s="52"/>
    </row>
    <row r="309" spans="19:38" x14ac:dyDescent="0.25">
      <c r="S309" s="50"/>
      <c r="T309" s="51"/>
      <c r="U309" s="51"/>
      <c r="V309" s="51"/>
      <c r="W309" s="51"/>
      <c r="X309" s="51"/>
      <c r="Y309" s="51"/>
      <c r="Z309" s="51"/>
      <c r="AA309" s="51"/>
      <c r="AB309" s="51"/>
      <c r="AC309" s="51"/>
      <c r="AD309" s="51"/>
      <c r="AE309" s="51"/>
      <c r="AF309" s="51"/>
      <c r="AG309" s="51"/>
      <c r="AH309" s="51"/>
      <c r="AI309" s="51"/>
      <c r="AJ309" s="51"/>
      <c r="AK309" s="51"/>
      <c r="AL309" s="52"/>
    </row>
    <row r="310" spans="19:38" x14ac:dyDescent="0.25">
      <c r="S310" s="50"/>
      <c r="T310" s="51"/>
      <c r="U310" s="51"/>
      <c r="V310" s="51"/>
      <c r="W310" s="51"/>
      <c r="X310" s="51"/>
      <c r="Y310" s="51"/>
      <c r="Z310" s="51"/>
      <c r="AA310" s="51"/>
      <c r="AB310" s="51"/>
      <c r="AC310" s="51"/>
      <c r="AD310" s="51"/>
      <c r="AE310" s="51"/>
      <c r="AF310" s="51"/>
      <c r="AG310" s="51"/>
      <c r="AH310" s="51"/>
      <c r="AI310" s="51"/>
      <c r="AJ310" s="51"/>
      <c r="AK310" s="51"/>
      <c r="AL310" s="52"/>
    </row>
    <row r="311" spans="19:38" x14ac:dyDescent="0.25">
      <c r="S311" s="50"/>
      <c r="T311" s="51"/>
      <c r="U311" s="51"/>
      <c r="V311" s="51"/>
      <c r="W311" s="51"/>
      <c r="X311" s="51"/>
      <c r="Y311" s="51"/>
      <c r="Z311" s="51"/>
      <c r="AA311" s="51"/>
      <c r="AB311" s="51"/>
      <c r="AC311" s="51"/>
      <c r="AD311" s="51"/>
      <c r="AE311" s="51"/>
      <c r="AF311" s="51"/>
      <c r="AG311" s="51"/>
      <c r="AH311" s="51"/>
      <c r="AI311" s="51"/>
      <c r="AJ311" s="51"/>
      <c r="AK311" s="51"/>
      <c r="AL311" s="52"/>
    </row>
    <row r="312" spans="19:38" x14ac:dyDescent="0.25">
      <c r="S312" s="50"/>
      <c r="T312" s="51"/>
      <c r="U312" s="51"/>
      <c r="V312" s="51"/>
      <c r="W312" s="51"/>
      <c r="X312" s="51"/>
      <c r="Y312" s="51"/>
      <c r="Z312" s="51"/>
      <c r="AA312" s="51"/>
      <c r="AB312" s="51"/>
      <c r="AC312" s="51"/>
      <c r="AD312" s="51"/>
      <c r="AE312" s="51"/>
      <c r="AF312" s="51"/>
      <c r="AG312" s="51"/>
      <c r="AH312" s="51"/>
      <c r="AI312" s="51"/>
      <c r="AJ312" s="51"/>
      <c r="AK312" s="51"/>
      <c r="AL312" s="52"/>
    </row>
    <row r="313" spans="19:38" x14ac:dyDescent="0.25">
      <c r="S313" s="50"/>
      <c r="T313" s="51"/>
      <c r="U313" s="51"/>
      <c r="V313" s="51"/>
      <c r="W313" s="51"/>
      <c r="X313" s="51"/>
      <c r="Y313" s="51"/>
      <c r="Z313" s="51"/>
      <c r="AA313" s="51"/>
      <c r="AB313" s="51"/>
      <c r="AC313" s="51"/>
      <c r="AD313" s="51"/>
      <c r="AE313" s="51"/>
      <c r="AF313" s="51"/>
      <c r="AG313" s="51"/>
      <c r="AH313" s="51"/>
      <c r="AI313" s="51"/>
      <c r="AJ313" s="51"/>
      <c r="AK313" s="51"/>
      <c r="AL313" s="52"/>
    </row>
    <row r="314" spans="19:38" x14ac:dyDescent="0.25">
      <c r="S314" s="50"/>
      <c r="T314" s="51"/>
      <c r="U314" s="51"/>
      <c r="V314" s="51"/>
      <c r="W314" s="51"/>
      <c r="X314" s="51"/>
      <c r="Y314" s="51"/>
      <c r="Z314" s="51"/>
      <c r="AA314" s="51"/>
      <c r="AB314" s="51"/>
      <c r="AC314" s="51"/>
      <c r="AD314" s="51"/>
      <c r="AE314" s="51"/>
      <c r="AF314" s="51"/>
      <c r="AG314" s="51"/>
      <c r="AH314" s="51"/>
      <c r="AI314" s="51"/>
      <c r="AJ314" s="51"/>
      <c r="AK314" s="51"/>
      <c r="AL314" s="52"/>
    </row>
    <row r="315" spans="19:38" x14ac:dyDescent="0.25">
      <c r="S315" s="50"/>
      <c r="T315" s="51"/>
      <c r="U315" s="51"/>
      <c r="V315" s="51"/>
      <c r="W315" s="51"/>
      <c r="X315" s="51"/>
      <c r="Y315" s="51"/>
      <c r="Z315" s="51"/>
      <c r="AA315" s="51"/>
      <c r="AB315" s="51"/>
      <c r="AC315" s="51"/>
      <c r="AD315" s="51"/>
      <c r="AE315" s="51"/>
      <c r="AF315" s="51"/>
      <c r="AG315" s="51"/>
      <c r="AH315" s="51"/>
      <c r="AI315" s="51"/>
      <c r="AJ315" s="51"/>
      <c r="AK315" s="51"/>
      <c r="AL315" s="52"/>
    </row>
    <row r="316" spans="19:38" x14ac:dyDescent="0.25">
      <c r="S316" s="50"/>
      <c r="T316" s="51"/>
      <c r="U316" s="51"/>
      <c r="V316" s="51"/>
      <c r="W316" s="51"/>
      <c r="X316" s="51"/>
      <c r="Y316" s="51"/>
      <c r="Z316" s="51"/>
      <c r="AA316" s="51"/>
      <c r="AB316" s="51"/>
      <c r="AC316" s="51"/>
      <c r="AD316" s="51"/>
      <c r="AE316" s="51"/>
      <c r="AF316" s="51"/>
      <c r="AG316" s="51"/>
      <c r="AH316" s="51"/>
      <c r="AI316" s="51"/>
      <c r="AJ316" s="51"/>
      <c r="AK316" s="51"/>
      <c r="AL316" s="52"/>
    </row>
    <row r="317" spans="19:38" x14ac:dyDescent="0.25">
      <c r="S317" s="50"/>
      <c r="T317" s="51"/>
      <c r="U317" s="51"/>
      <c r="V317" s="51"/>
      <c r="W317" s="51"/>
      <c r="X317" s="51"/>
      <c r="Y317" s="51"/>
      <c r="Z317" s="51"/>
      <c r="AA317" s="51"/>
      <c r="AB317" s="51"/>
      <c r="AC317" s="51"/>
      <c r="AD317" s="51"/>
      <c r="AE317" s="51"/>
      <c r="AF317" s="51"/>
      <c r="AG317" s="51"/>
      <c r="AH317" s="51"/>
      <c r="AI317" s="51"/>
      <c r="AJ317" s="51"/>
      <c r="AK317" s="51"/>
      <c r="AL317" s="52"/>
    </row>
    <row r="318" spans="19:38" x14ac:dyDescent="0.25">
      <c r="S318" s="50"/>
      <c r="T318" s="51"/>
      <c r="U318" s="51"/>
      <c r="V318" s="51"/>
      <c r="W318" s="51"/>
      <c r="X318" s="51"/>
      <c r="Y318" s="51"/>
      <c r="Z318" s="51"/>
      <c r="AA318" s="51"/>
      <c r="AB318" s="51"/>
      <c r="AC318" s="51"/>
      <c r="AD318" s="51"/>
      <c r="AE318" s="51"/>
      <c r="AF318" s="51"/>
      <c r="AG318" s="51"/>
      <c r="AH318" s="51"/>
      <c r="AI318" s="51"/>
      <c r="AJ318" s="51"/>
      <c r="AK318" s="51"/>
      <c r="AL318" s="52"/>
    </row>
    <row r="319" spans="19:38" x14ac:dyDescent="0.25">
      <c r="S319" s="50"/>
      <c r="T319" s="51"/>
      <c r="U319" s="51"/>
      <c r="V319" s="51"/>
      <c r="W319" s="51"/>
      <c r="X319" s="51"/>
      <c r="Y319" s="51"/>
      <c r="Z319" s="51"/>
      <c r="AA319" s="51"/>
      <c r="AB319" s="51"/>
      <c r="AC319" s="51"/>
      <c r="AD319" s="51"/>
      <c r="AE319" s="51"/>
      <c r="AF319" s="51"/>
      <c r="AG319" s="51"/>
      <c r="AH319" s="51"/>
      <c r="AI319" s="51"/>
      <c r="AJ319" s="51"/>
      <c r="AK319" s="51"/>
      <c r="AL319" s="52"/>
    </row>
    <row r="320" spans="19:38" x14ac:dyDescent="0.25">
      <c r="S320" s="50"/>
      <c r="T320" s="51"/>
      <c r="U320" s="51"/>
      <c r="V320" s="51"/>
      <c r="W320" s="51"/>
      <c r="X320" s="51"/>
      <c r="Y320" s="51"/>
      <c r="Z320" s="51"/>
      <c r="AA320" s="51"/>
      <c r="AB320" s="51"/>
      <c r="AC320" s="51"/>
      <c r="AD320" s="51"/>
      <c r="AE320" s="51"/>
      <c r="AF320" s="51"/>
      <c r="AG320" s="51"/>
      <c r="AH320" s="51"/>
      <c r="AI320" s="51"/>
      <c r="AJ320" s="51"/>
      <c r="AK320" s="51"/>
      <c r="AL320" s="52"/>
    </row>
    <row r="321" spans="19:38" x14ac:dyDescent="0.25">
      <c r="S321" s="50"/>
      <c r="T321" s="51"/>
      <c r="U321" s="51"/>
      <c r="V321" s="51"/>
      <c r="W321" s="51"/>
      <c r="X321" s="51"/>
      <c r="Y321" s="51"/>
      <c r="Z321" s="51"/>
      <c r="AA321" s="51"/>
      <c r="AB321" s="51"/>
      <c r="AC321" s="51"/>
      <c r="AD321" s="51"/>
      <c r="AE321" s="51"/>
      <c r="AF321" s="51"/>
      <c r="AG321" s="51"/>
      <c r="AH321" s="51"/>
      <c r="AI321" s="51"/>
      <c r="AJ321" s="51"/>
      <c r="AK321" s="51"/>
      <c r="AL321" s="52"/>
    </row>
    <row r="322" spans="19:38" x14ac:dyDescent="0.25">
      <c r="S322" s="50"/>
      <c r="T322" s="51"/>
      <c r="U322" s="51"/>
      <c r="V322" s="51"/>
      <c r="W322" s="51"/>
      <c r="X322" s="51"/>
      <c r="Y322" s="51"/>
      <c r="Z322" s="51"/>
      <c r="AA322" s="51"/>
      <c r="AB322" s="51"/>
      <c r="AC322" s="51"/>
      <c r="AD322" s="51"/>
      <c r="AE322" s="51"/>
      <c r="AF322" s="51"/>
      <c r="AG322" s="51"/>
      <c r="AH322" s="51"/>
      <c r="AI322" s="51"/>
      <c r="AJ322" s="51"/>
      <c r="AK322" s="51"/>
      <c r="AL322" s="52"/>
    </row>
    <row r="323" spans="19:38" x14ac:dyDescent="0.25">
      <c r="S323" s="50"/>
      <c r="T323" s="51"/>
      <c r="U323" s="51"/>
      <c r="V323" s="51"/>
      <c r="W323" s="51"/>
      <c r="X323" s="51"/>
      <c r="Y323" s="51"/>
      <c r="Z323" s="51"/>
      <c r="AA323" s="51"/>
      <c r="AB323" s="51"/>
      <c r="AC323" s="51"/>
      <c r="AD323" s="51"/>
      <c r="AE323" s="51"/>
      <c r="AF323" s="51"/>
      <c r="AG323" s="51"/>
      <c r="AH323" s="51"/>
      <c r="AI323" s="51"/>
      <c r="AJ323" s="51"/>
      <c r="AK323" s="51"/>
      <c r="AL323" s="52"/>
    </row>
    <row r="324" spans="19:38" x14ac:dyDescent="0.25">
      <c r="T324" s="121"/>
      <c r="U324" s="121"/>
      <c r="V324" s="121"/>
      <c r="W324" s="121"/>
      <c r="X324" s="121"/>
      <c r="Y324" s="121"/>
      <c r="Z324" s="121"/>
      <c r="AA324" s="121"/>
      <c r="AB324" s="121"/>
      <c r="AC324" s="121"/>
      <c r="AD324" s="121"/>
      <c r="AE324" s="121"/>
      <c r="AF324" s="121"/>
      <c r="AG324" s="121"/>
      <c r="AH324" s="121"/>
      <c r="AI324" s="121"/>
      <c r="AJ324" s="121"/>
      <c r="AK324" s="121"/>
    </row>
  </sheetData>
  <mergeCells count="874">
    <mergeCell ref="F91:F92"/>
    <mergeCell ref="R206:R207"/>
    <mergeCell ref="K209:K210"/>
    <mergeCell ref="M209:M210"/>
    <mergeCell ref="N209:N210"/>
    <mergeCell ref="N130:N131"/>
    <mergeCell ref="F123:F124"/>
    <mergeCell ref="F126:F127"/>
    <mergeCell ref="O117:O118"/>
    <mergeCell ref="O110:O111"/>
    <mergeCell ref="R209:R210"/>
    <mergeCell ref="K194:K195"/>
    <mergeCell ref="I161:I162"/>
    <mergeCell ref="K161:K162"/>
    <mergeCell ref="L152:L153"/>
    <mergeCell ref="R170:R171"/>
    <mergeCell ref="Q140:Q141"/>
    <mergeCell ref="Q143:Q144"/>
    <mergeCell ref="Q146:Q147"/>
    <mergeCell ref="Q149:Q150"/>
    <mergeCell ref="Q152:Q153"/>
    <mergeCell ref="N239:N240"/>
    <mergeCell ref="G236:G237"/>
    <mergeCell ref="G239:G240"/>
    <mergeCell ref="C26:C27"/>
    <mergeCell ref="C29:C30"/>
    <mergeCell ref="C209:C210"/>
    <mergeCell ref="D209:D210"/>
    <mergeCell ref="E209:E210"/>
    <mergeCell ref="F206:F207"/>
    <mergeCell ref="F209:F210"/>
    <mergeCell ref="F194:F195"/>
    <mergeCell ref="F197:F198"/>
    <mergeCell ref="F173:F174"/>
    <mergeCell ref="F167:F168"/>
    <mergeCell ref="F212:F213"/>
    <mergeCell ref="E133:E134"/>
    <mergeCell ref="F133:F134"/>
    <mergeCell ref="G133:G134"/>
    <mergeCell ref="I133:I134"/>
    <mergeCell ref="K133:K134"/>
    <mergeCell ref="L123:L124"/>
    <mergeCell ref="M133:M134"/>
    <mergeCell ref="N133:N134"/>
    <mergeCell ref="F87:F88"/>
    <mergeCell ref="F242:F243"/>
    <mergeCell ref="I242:I243"/>
    <mergeCell ref="K242:K243"/>
    <mergeCell ref="M242:M243"/>
    <mergeCell ref="N242:N243"/>
    <mergeCell ref="M227:M228"/>
    <mergeCell ref="N227:N228"/>
    <mergeCell ref="F230:F231"/>
    <mergeCell ref="I230:I231"/>
    <mergeCell ref="K230:K231"/>
    <mergeCell ref="M230:M231"/>
    <mergeCell ref="N230:N231"/>
    <mergeCell ref="F233:F234"/>
    <mergeCell ref="I233:I234"/>
    <mergeCell ref="K233:K234"/>
    <mergeCell ref="F239:F240"/>
    <mergeCell ref="I239:I240"/>
    <mergeCell ref="K227:K228"/>
    <mergeCell ref="F236:F237"/>
    <mergeCell ref="I236:I237"/>
    <mergeCell ref="K236:K237"/>
    <mergeCell ref="G242:G243"/>
    <mergeCell ref="K239:K240"/>
    <mergeCell ref="M239:M240"/>
    <mergeCell ref="I209:I210"/>
    <mergeCell ref="G206:G207"/>
    <mergeCell ref="F221:F222"/>
    <mergeCell ref="I221:I222"/>
    <mergeCell ref="O221:O222"/>
    <mergeCell ref="N215:N216"/>
    <mergeCell ref="G209:G210"/>
    <mergeCell ref="G221:G222"/>
    <mergeCell ref="O209:O210"/>
    <mergeCell ref="O212:O213"/>
    <mergeCell ref="G212:G213"/>
    <mergeCell ref="N218:N219"/>
    <mergeCell ref="F215:F216"/>
    <mergeCell ref="I215:I216"/>
    <mergeCell ref="K215:K216"/>
    <mergeCell ref="M215:M216"/>
    <mergeCell ref="I212:I213"/>
    <mergeCell ref="K212:K213"/>
    <mergeCell ref="M212:M213"/>
    <mergeCell ref="G215:G216"/>
    <mergeCell ref="G218:G219"/>
    <mergeCell ref="N212:N213"/>
    <mergeCell ref="K221:K222"/>
    <mergeCell ref="M221:M222"/>
    <mergeCell ref="N221:N222"/>
    <mergeCell ref="F218:F219"/>
    <mergeCell ref="I218:I219"/>
    <mergeCell ref="K218:K219"/>
    <mergeCell ref="M218:M219"/>
    <mergeCell ref="E203:E204"/>
    <mergeCell ref="I203:I204"/>
    <mergeCell ref="K203:K204"/>
    <mergeCell ref="M203:M204"/>
    <mergeCell ref="N203:N204"/>
    <mergeCell ref="O203:O204"/>
    <mergeCell ref="R203:R204"/>
    <mergeCell ref="G200:G201"/>
    <mergeCell ref="G203:G204"/>
    <mergeCell ref="M200:M201"/>
    <mergeCell ref="N200:N201"/>
    <mergeCell ref="E200:E201"/>
    <mergeCell ref="I200:I201"/>
    <mergeCell ref="F200:F201"/>
    <mergeCell ref="F203:F204"/>
    <mergeCell ref="O200:O201"/>
    <mergeCell ref="R200:R201"/>
    <mergeCell ref="R191:R192"/>
    <mergeCell ref="O194:O195"/>
    <mergeCell ref="R194:R195"/>
    <mergeCell ref="C197:C198"/>
    <mergeCell ref="D197:D198"/>
    <mergeCell ref="E197:E198"/>
    <mergeCell ref="I197:I198"/>
    <mergeCell ref="K197:K198"/>
    <mergeCell ref="M197:M198"/>
    <mergeCell ref="N197:N198"/>
    <mergeCell ref="O197:O198"/>
    <mergeCell ref="R197:R198"/>
    <mergeCell ref="G194:G195"/>
    <mergeCell ref="G197:G198"/>
    <mergeCell ref="M194:M195"/>
    <mergeCell ref="N194:N195"/>
    <mergeCell ref="E194:E195"/>
    <mergeCell ref="I194:I195"/>
    <mergeCell ref="E191:E192"/>
    <mergeCell ref="I191:I192"/>
    <mergeCell ref="K191:K192"/>
    <mergeCell ref="F191:F192"/>
    <mergeCell ref="R176:R177"/>
    <mergeCell ref="E176:E177"/>
    <mergeCell ref="I176:I177"/>
    <mergeCell ref="K176:K177"/>
    <mergeCell ref="M176:M177"/>
    <mergeCell ref="N176:N177"/>
    <mergeCell ref="E185:E186"/>
    <mergeCell ref="R188:R189"/>
    <mergeCell ref="F185:F186"/>
    <mergeCell ref="F188:F189"/>
    <mergeCell ref="I185:I186"/>
    <mergeCell ref="K185:K186"/>
    <mergeCell ref="R185:R186"/>
    <mergeCell ref="E188:E189"/>
    <mergeCell ref="R179:R180"/>
    <mergeCell ref="R182:R183"/>
    <mergeCell ref="K182:K183"/>
    <mergeCell ref="M182:M183"/>
    <mergeCell ref="N182:N183"/>
    <mergeCell ref="M185:M186"/>
    <mergeCell ref="N185:N186"/>
    <mergeCell ref="E182:E183"/>
    <mergeCell ref="I182:I183"/>
    <mergeCell ref="F179:F180"/>
    <mergeCell ref="O176:O177"/>
    <mergeCell ref="O185:O186"/>
    <mergeCell ref="F176:F177"/>
    <mergeCell ref="M191:M192"/>
    <mergeCell ref="N191:N192"/>
    <mergeCell ref="G191:G192"/>
    <mergeCell ref="E179:E180"/>
    <mergeCell ref="I179:I180"/>
    <mergeCell ref="K179:K180"/>
    <mergeCell ref="M179:M180"/>
    <mergeCell ref="N179:N180"/>
    <mergeCell ref="F182:F183"/>
    <mergeCell ref="O179:O180"/>
    <mergeCell ref="O188:O189"/>
    <mergeCell ref="O191:O192"/>
    <mergeCell ref="O173:O174"/>
    <mergeCell ref="R173:R174"/>
    <mergeCell ref="R152:R153"/>
    <mergeCell ref="E173:E174"/>
    <mergeCell ref="I173:I174"/>
    <mergeCell ref="K173:K174"/>
    <mergeCell ref="M173:M174"/>
    <mergeCell ref="N173:N174"/>
    <mergeCell ref="E164:E165"/>
    <mergeCell ref="I164:I165"/>
    <mergeCell ref="M152:M153"/>
    <mergeCell ref="N152:N153"/>
    <mergeCell ref="O152:O153"/>
    <mergeCell ref="E170:E171"/>
    <mergeCell ref="I170:I171"/>
    <mergeCell ref="K170:K171"/>
    <mergeCell ref="M170:M171"/>
    <mergeCell ref="N170:N171"/>
    <mergeCell ref="F170:F171"/>
    <mergeCell ref="E167:E168"/>
    <mergeCell ref="I167:I168"/>
    <mergeCell ref="K167:K168"/>
    <mergeCell ref="M167:M168"/>
    <mergeCell ref="N167:N168"/>
    <mergeCell ref="R155:R156"/>
    <mergeCell ref="F149:F150"/>
    <mergeCell ref="F152:F153"/>
    <mergeCell ref="M164:M165"/>
    <mergeCell ref="N164:N165"/>
    <mergeCell ref="O164:O165"/>
    <mergeCell ref="F164:F165"/>
    <mergeCell ref="O167:O168"/>
    <mergeCell ref="R167:R168"/>
    <mergeCell ref="G149:G150"/>
    <mergeCell ref="O161:O162"/>
    <mergeCell ref="R161:R162"/>
    <mergeCell ref="R164:R165"/>
    <mergeCell ref="F161:F162"/>
    <mergeCell ref="M161:M162"/>
    <mergeCell ref="N161:N162"/>
    <mergeCell ref="C161:C162"/>
    <mergeCell ref="R158:R159"/>
    <mergeCell ref="K164:K165"/>
    <mergeCell ref="F158:F159"/>
    <mergeCell ref="D161:D162"/>
    <mergeCell ref="E161:E162"/>
    <mergeCell ref="M146:M147"/>
    <mergeCell ref="N146:N147"/>
    <mergeCell ref="O146:O147"/>
    <mergeCell ref="C155:C156"/>
    <mergeCell ref="D155:D156"/>
    <mergeCell ref="E155:E156"/>
    <mergeCell ref="I155:I156"/>
    <mergeCell ref="K155:K156"/>
    <mergeCell ref="M155:M156"/>
    <mergeCell ref="N155:N156"/>
    <mergeCell ref="O155:O156"/>
    <mergeCell ref="F155:F156"/>
    <mergeCell ref="C149:C150"/>
    <mergeCell ref="D149:D150"/>
    <mergeCell ref="E149:E150"/>
    <mergeCell ref="I149:I150"/>
    <mergeCell ref="K149:K150"/>
    <mergeCell ref="M149:M150"/>
    <mergeCell ref="N149:N150"/>
    <mergeCell ref="O143:O144"/>
    <mergeCell ref="M158:M159"/>
    <mergeCell ref="N158:N159"/>
    <mergeCell ref="O158:O159"/>
    <mergeCell ref="C152:C153"/>
    <mergeCell ref="D152:D153"/>
    <mergeCell ref="C158:C159"/>
    <mergeCell ref="D158:D159"/>
    <mergeCell ref="E158:E159"/>
    <mergeCell ref="I158:I159"/>
    <mergeCell ref="K158:K159"/>
    <mergeCell ref="E152:E153"/>
    <mergeCell ref="I152:I153"/>
    <mergeCell ref="K152:K153"/>
    <mergeCell ref="C146:C147"/>
    <mergeCell ref="D146:D147"/>
    <mergeCell ref="E146:E147"/>
    <mergeCell ref="F146:F147"/>
    <mergeCell ref="G143:G144"/>
    <mergeCell ref="G146:G147"/>
    <mergeCell ref="O130:O131"/>
    <mergeCell ref="R130:R131"/>
    <mergeCell ref="C140:C141"/>
    <mergeCell ref="D140:D141"/>
    <mergeCell ref="E140:E141"/>
    <mergeCell ref="I140:I141"/>
    <mergeCell ref="K140:K141"/>
    <mergeCell ref="L130:L131"/>
    <mergeCell ref="M140:M141"/>
    <mergeCell ref="N140:N141"/>
    <mergeCell ref="O140:O141"/>
    <mergeCell ref="R140:R141"/>
    <mergeCell ref="C130:C131"/>
    <mergeCell ref="D130:D131"/>
    <mergeCell ref="E130:E131"/>
    <mergeCell ref="I130:I131"/>
    <mergeCell ref="K130:K131"/>
    <mergeCell ref="M130:M131"/>
    <mergeCell ref="D133:D134"/>
    <mergeCell ref="I146:I147"/>
    <mergeCell ref="K146:K147"/>
    <mergeCell ref="C143:C144"/>
    <mergeCell ref="D143:D144"/>
    <mergeCell ref="E143:E144"/>
    <mergeCell ref="I143:I144"/>
    <mergeCell ref="K143:K144"/>
    <mergeCell ref="L133:L134"/>
    <mergeCell ref="M143:M144"/>
    <mergeCell ref="N143:N144"/>
    <mergeCell ref="F143:F144"/>
    <mergeCell ref="O136:O137"/>
    <mergeCell ref="R136:R137"/>
    <mergeCell ref="C133:C134"/>
    <mergeCell ref="O123:O124"/>
    <mergeCell ref="R123:R124"/>
    <mergeCell ref="C126:C127"/>
    <mergeCell ref="D126:D127"/>
    <mergeCell ref="E126:E127"/>
    <mergeCell ref="I126:I127"/>
    <mergeCell ref="K126:K127"/>
    <mergeCell ref="M126:M127"/>
    <mergeCell ref="N126:N127"/>
    <mergeCell ref="O126:O127"/>
    <mergeCell ref="R126:R127"/>
    <mergeCell ref="C123:C124"/>
    <mergeCell ref="D123:D124"/>
    <mergeCell ref="E123:E124"/>
    <mergeCell ref="I123:I124"/>
    <mergeCell ref="K123:K124"/>
    <mergeCell ref="M123:M124"/>
    <mergeCell ref="N123:N124"/>
    <mergeCell ref="O133:O134"/>
    <mergeCell ref="R133:R134"/>
    <mergeCell ref="G140:G141"/>
    <mergeCell ref="C136:C137"/>
    <mergeCell ref="D136:D137"/>
    <mergeCell ref="E136:E137"/>
    <mergeCell ref="F130:F131"/>
    <mergeCell ref="F140:F141"/>
    <mergeCell ref="L126:L127"/>
    <mergeCell ref="M136:M137"/>
    <mergeCell ref="N136:N137"/>
    <mergeCell ref="C117:C118"/>
    <mergeCell ref="D117:D118"/>
    <mergeCell ref="E117:E118"/>
    <mergeCell ref="I117:I118"/>
    <mergeCell ref="K117:K118"/>
    <mergeCell ref="M117:M118"/>
    <mergeCell ref="N117:N118"/>
    <mergeCell ref="F117:F118"/>
    <mergeCell ref="F120:F121"/>
    <mergeCell ref="C120:C121"/>
    <mergeCell ref="D120:D121"/>
    <mergeCell ref="E120:E121"/>
    <mergeCell ref="I120:I121"/>
    <mergeCell ref="K120:K121"/>
    <mergeCell ref="M120:M121"/>
    <mergeCell ref="N120:N121"/>
    <mergeCell ref="O120:O121"/>
    <mergeCell ref="R120:R121"/>
    <mergeCell ref="F107:F108"/>
    <mergeCell ref="C113:C114"/>
    <mergeCell ref="D113:D114"/>
    <mergeCell ref="E113:E114"/>
    <mergeCell ref="I113:I114"/>
    <mergeCell ref="K113:K114"/>
    <mergeCell ref="M113:M114"/>
    <mergeCell ref="N113:N114"/>
    <mergeCell ref="O113:O114"/>
    <mergeCell ref="C110:C111"/>
    <mergeCell ref="D110:D111"/>
    <mergeCell ref="E110:E111"/>
    <mergeCell ref="I110:I111"/>
    <mergeCell ref="K110:K111"/>
    <mergeCell ref="M110:M111"/>
    <mergeCell ref="N110:N111"/>
    <mergeCell ref="F110:F111"/>
    <mergeCell ref="F113:F114"/>
    <mergeCell ref="M97:M98"/>
    <mergeCell ref="N97:N98"/>
    <mergeCell ref="F94:F95"/>
    <mergeCell ref="F97:F98"/>
    <mergeCell ref="F100:F101"/>
    <mergeCell ref="O104:O105"/>
    <mergeCell ref="R104:R105"/>
    <mergeCell ref="C107:C108"/>
    <mergeCell ref="D107:D108"/>
    <mergeCell ref="E107:E108"/>
    <mergeCell ref="I107:I108"/>
    <mergeCell ref="K107:K108"/>
    <mergeCell ref="M107:M108"/>
    <mergeCell ref="N107:N108"/>
    <mergeCell ref="O107:O108"/>
    <mergeCell ref="R107:R108"/>
    <mergeCell ref="C104:C105"/>
    <mergeCell ref="D104:D105"/>
    <mergeCell ref="E104:E105"/>
    <mergeCell ref="I104:I105"/>
    <mergeCell ref="K104:K105"/>
    <mergeCell ref="M104:M105"/>
    <mergeCell ref="N104:N105"/>
    <mergeCell ref="F104:F105"/>
    <mergeCell ref="O87:O88"/>
    <mergeCell ref="M87:M88"/>
    <mergeCell ref="N87:N88"/>
    <mergeCell ref="L87:L88"/>
    <mergeCell ref="M91:M92"/>
    <mergeCell ref="N91:N92"/>
    <mergeCell ref="O97:O98"/>
    <mergeCell ref="R97:R98"/>
    <mergeCell ref="C100:C101"/>
    <mergeCell ref="D100:D101"/>
    <mergeCell ref="E100:E101"/>
    <mergeCell ref="I100:I101"/>
    <mergeCell ref="K100:K101"/>
    <mergeCell ref="L97:L98"/>
    <mergeCell ref="M100:M101"/>
    <mergeCell ref="N100:N101"/>
    <mergeCell ref="O100:O101"/>
    <mergeCell ref="R100:R101"/>
    <mergeCell ref="C97:C98"/>
    <mergeCell ref="D97:D98"/>
    <mergeCell ref="E97:E98"/>
    <mergeCell ref="I97:I98"/>
    <mergeCell ref="K97:K98"/>
    <mergeCell ref="L94:L95"/>
    <mergeCell ref="K87:K88"/>
    <mergeCell ref="O149:O150"/>
    <mergeCell ref="O91:O92"/>
    <mergeCell ref="R91:R92"/>
    <mergeCell ref="C94:C95"/>
    <mergeCell ref="D94:D95"/>
    <mergeCell ref="E94:E95"/>
    <mergeCell ref="I94:I95"/>
    <mergeCell ref="K94:K95"/>
    <mergeCell ref="L91:L92"/>
    <mergeCell ref="M94:M95"/>
    <mergeCell ref="N94:N95"/>
    <mergeCell ref="O94:O95"/>
    <mergeCell ref="R94:R95"/>
    <mergeCell ref="C91:C92"/>
    <mergeCell ref="D91:D92"/>
    <mergeCell ref="E91:E92"/>
    <mergeCell ref="I91:I92"/>
    <mergeCell ref="C87:C88"/>
    <mergeCell ref="D87:D88"/>
    <mergeCell ref="E87:E88"/>
    <mergeCell ref="I87:I88"/>
    <mergeCell ref="K91:K92"/>
    <mergeCell ref="F136:F137"/>
    <mergeCell ref="D164:D165"/>
    <mergeCell ref="C179:C180"/>
    <mergeCell ref="D179:D180"/>
    <mergeCell ref="C176:C177"/>
    <mergeCell ref="D176:D177"/>
    <mergeCell ref="D173:D174"/>
    <mergeCell ref="C167:C168"/>
    <mergeCell ref="C173:C174"/>
    <mergeCell ref="D167:D168"/>
    <mergeCell ref="C164:C165"/>
    <mergeCell ref="C182:C183"/>
    <mergeCell ref="C185:C186"/>
    <mergeCell ref="C194:C195"/>
    <mergeCell ref="C200:C201"/>
    <mergeCell ref="C206:C207"/>
    <mergeCell ref="D182:D183"/>
    <mergeCell ref="D194:D195"/>
    <mergeCell ref="C170:C171"/>
    <mergeCell ref="D170:D171"/>
    <mergeCell ref="C188:C189"/>
    <mergeCell ref="D188:D189"/>
    <mergeCell ref="D185:D186"/>
    <mergeCell ref="C191:C192"/>
    <mergeCell ref="D191:D192"/>
    <mergeCell ref="D206:D207"/>
    <mergeCell ref="C203:C204"/>
    <mergeCell ref="D203:D204"/>
    <mergeCell ref="D200:D201"/>
    <mergeCell ref="F74:F75"/>
    <mergeCell ref="F78:F79"/>
    <mergeCell ref="E74:E75"/>
    <mergeCell ref="C36:C37"/>
    <mergeCell ref="C39:C40"/>
    <mergeCell ref="C42:C43"/>
    <mergeCell ref="C45:C46"/>
    <mergeCell ref="C49:C50"/>
    <mergeCell ref="C52:C53"/>
    <mergeCell ref="C55:C56"/>
    <mergeCell ref="C58:C59"/>
    <mergeCell ref="C62:C63"/>
    <mergeCell ref="F52:F53"/>
    <mergeCell ref="D62:D63"/>
    <mergeCell ref="E62:E63"/>
    <mergeCell ref="D74:D75"/>
    <mergeCell ref="E49:E50"/>
    <mergeCell ref="E58:E59"/>
    <mergeCell ref="D36:D37"/>
    <mergeCell ref="E36:E37"/>
    <mergeCell ref="D68:D69"/>
    <mergeCell ref="C65:C66"/>
    <mergeCell ref="C68:C69"/>
    <mergeCell ref="D58:D59"/>
    <mergeCell ref="D42:D43"/>
    <mergeCell ref="E42:E43"/>
    <mergeCell ref="C71:C72"/>
    <mergeCell ref="C74:C75"/>
    <mergeCell ref="C78:C79"/>
    <mergeCell ref="C81:C82"/>
    <mergeCell ref="C23:C24"/>
    <mergeCell ref="D23:D24"/>
    <mergeCell ref="E23:E24"/>
    <mergeCell ref="F23:F24"/>
    <mergeCell ref="F32:F33"/>
    <mergeCell ref="F36:F37"/>
    <mergeCell ref="F39:F40"/>
    <mergeCell ref="F42:F43"/>
    <mergeCell ref="F45:F46"/>
    <mergeCell ref="C84:C85"/>
    <mergeCell ref="D84:D85"/>
    <mergeCell ref="E84:E85"/>
    <mergeCell ref="I84:I85"/>
    <mergeCell ref="K84:K85"/>
    <mergeCell ref="L81:L82"/>
    <mergeCell ref="M84:M85"/>
    <mergeCell ref="N84:N85"/>
    <mergeCell ref="O84:O85"/>
    <mergeCell ref="F84:F85"/>
    <mergeCell ref="R23:R24"/>
    <mergeCell ref="I19:I20"/>
    <mergeCell ref="K19:K20"/>
    <mergeCell ref="M16:M17"/>
    <mergeCell ref="N16:N17"/>
    <mergeCell ref="O16:O17"/>
    <mergeCell ref="R19:R20"/>
    <mergeCell ref="R6:R7"/>
    <mergeCell ref="G6:G7"/>
    <mergeCell ref="N11:N12"/>
    <mergeCell ref="I23:I24"/>
    <mergeCell ref="K23:K24"/>
    <mergeCell ref="I8:I9"/>
    <mergeCell ref="J8:J9"/>
    <mergeCell ref="K8:K9"/>
    <mergeCell ref="Q23:Q24"/>
    <mergeCell ref="O23:O24"/>
    <mergeCell ref="D19:D20"/>
    <mergeCell ref="F16:F17"/>
    <mergeCell ref="G23:G24"/>
    <mergeCell ref="G22:M22"/>
    <mergeCell ref="C32:C33"/>
    <mergeCell ref="J2:K2"/>
    <mergeCell ref="G3:K4"/>
    <mergeCell ref="G11:G12"/>
    <mergeCell ref="G16:G17"/>
    <mergeCell ref="G19:G20"/>
    <mergeCell ref="M23:M24"/>
    <mergeCell ref="N23:N24"/>
    <mergeCell ref="M6:M7"/>
    <mergeCell ref="N6:N7"/>
    <mergeCell ref="C6:C7"/>
    <mergeCell ref="C11:C12"/>
    <mergeCell ref="C16:C17"/>
    <mergeCell ref="G26:G27"/>
    <mergeCell ref="G29:G30"/>
    <mergeCell ref="C19:C20"/>
    <mergeCell ref="D8:D9"/>
    <mergeCell ref="E8:E9"/>
    <mergeCell ref="F19:F20"/>
    <mergeCell ref="R16:R17"/>
    <mergeCell ref="D16:D17"/>
    <mergeCell ref="E16:E17"/>
    <mergeCell ref="I16:I17"/>
    <mergeCell ref="K16:K17"/>
    <mergeCell ref="R13:R14"/>
    <mergeCell ref="M19:M20"/>
    <mergeCell ref="N19:N20"/>
    <mergeCell ref="O19:O20"/>
    <mergeCell ref="E19:E20"/>
    <mergeCell ref="G5:M5"/>
    <mergeCell ref="D13:D14"/>
    <mergeCell ref="E13:E14"/>
    <mergeCell ref="I13:I14"/>
    <mergeCell ref="J13:J14"/>
    <mergeCell ref="K13:K14"/>
    <mergeCell ref="M13:M14"/>
    <mergeCell ref="N13:N14"/>
    <mergeCell ref="O13:O14"/>
    <mergeCell ref="O11:O12"/>
    <mergeCell ref="R11:R12"/>
    <mergeCell ref="D11:D12"/>
    <mergeCell ref="E11:E12"/>
    <mergeCell ref="I11:I12"/>
    <mergeCell ref="K11:K12"/>
    <mergeCell ref="M11:M12"/>
    <mergeCell ref="F6:F7"/>
    <mergeCell ref="F11:F12"/>
    <mergeCell ref="M8:M9"/>
    <mergeCell ref="N8:N9"/>
    <mergeCell ref="O8:O9"/>
    <mergeCell ref="R8:R9"/>
    <mergeCell ref="D6:D7"/>
    <mergeCell ref="E6:E7"/>
    <mergeCell ref="I6:I7"/>
    <mergeCell ref="K6:K7"/>
    <mergeCell ref="O26:O27"/>
    <mergeCell ref="R26:R27"/>
    <mergeCell ref="D26:D27"/>
    <mergeCell ref="E26:E27"/>
    <mergeCell ref="I26:I27"/>
    <mergeCell ref="K26:K27"/>
    <mergeCell ref="M26:M27"/>
    <mergeCell ref="N26:N27"/>
    <mergeCell ref="F26:F27"/>
    <mergeCell ref="Q26:Q27"/>
    <mergeCell ref="D29:D30"/>
    <mergeCell ref="E29:E30"/>
    <mergeCell ref="I29:I30"/>
    <mergeCell ref="K29:K30"/>
    <mergeCell ref="G32:G33"/>
    <mergeCell ref="G36:G37"/>
    <mergeCell ref="G39:G40"/>
    <mergeCell ref="R36:R37"/>
    <mergeCell ref="N32:N33"/>
    <mergeCell ref="O32:O33"/>
    <mergeCell ref="R32:R33"/>
    <mergeCell ref="N39:N40"/>
    <mergeCell ref="F29:F30"/>
    <mergeCell ref="M29:M30"/>
    <mergeCell ref="N29:N30"/>
    <mergeCell ref="O29:O30"/>
    <mergeCell ref="R29:R30"/>
    <mergeCell ref="D32:D33"/>
    <mergeCell ref="E32:E33"/>
    <mergeCell ref="I32:I33"/>
    <mergeCell ref="K32:K33"/>
    <mergeCell ref="M32:M33"/>
    <mergeCell ref="Q29:Q30"/>
    <mergeCell ref="Q32:Q33"/>
    <mergeCell ref="D39:D40"/>
    <mergeCell ref="E39:E40"/>
    <mergeCell ref="I39:I40"/>
    <mergeCell ref="K39:K40"/>
    <mergeCell ref="L36:L37"/>
    <mergeCell ref="M39:M40"/>
    <mergeCell ref="M36:M37"/>
    <mergeCell ref="N36:N37"/>
    <mergeCell ref="G52:G53"/>
    <mergeCell ref="L45:L46"/>
    <mergeCell ref="M52:M53"/>
    <mergeCell ref="M49:M50"/>
    <mergeCell ref="N49:N50"/>
    <mergeCell ref="F49:F50"/>
    <mergeCell ref="D45:D46"/>
    <mergeCell ref="E45:E46"/>
    <mergeCell ref="I45:I46"/>
    <mergeCell ref="K45:K46"/>
    <mergeCell ref="D55:D56"/>
    <mergeCell ref="E55:E56"/>
    <mergeCell ref="I55:I56"/>
    <mergeCell ref="K55:K56"/>
    <mergeCell ref="D52:D53"/>
    <mergeCell ref="E52:E53"/>
    <mergeCell ref="I52:I53"/>
    <mergeCell ref="K52:K53"/>
    <mergeCell ref="D49:D50"/>
    <mergeCell ref="G49:G50"/>
    <mergeCell ref="F55:F56"/>
    <mergeCell ref="G42:G43"/>
    <mergeCell ref="G45:G46"/>
    <mergeCell ref="O36:O37"/>
    <mergeCell ref="G58:G59"/>
    <mergeCell ref="E68:E69"/>
    <mergeCell ref="I68:I69"/>
    <mergeCell ref="K68:K69"/>
    <mergeCell ref="L65:L66"/>
    <mergeCell ref="M68:M69"/>
    <mergeCell ref="N68:N69"/>
    <mergeCell ref="I36:I37"/>
    <mergeCell ref="K36:K37"/>
    <mergeCell ref="G62:G63"/>
    <mergeCell ref="G65:G66"/>
    <mergeCell ref="G68:G69"/>
    <mergeCell ref="G55:G56"/>
    <mergeCell ref="E65:E66"/>
    <mergeCell ref="I65:I66"/>
    <mergeCell ref="K65:K66"/>
    <mergeCell ref="L62:L63"/>
    <mergeCell ref="M65:M66"/>
    <mergeCell ref="K58:K59"/>
    <mergeCell ref="I42:I43"/>
    <mergeCell ref="K42:K43"/>
    <mergeCell ref="R55:R56"/>
    <mergeCell ref="I58:I59"/>
    <mergeCell ref="O39:O40"/>
    <mergeCell ref="R39:R40"/>
    <mergeCell ref="R52:R53"/>
    <mergeCell ref="L42:L43"/>
    <mergeCell ref="M45:M46"/>
    <mergeCell ref="N45:N46"/>
    <mergeCell ref="O45:O46"/>
    <mergeCell ref="L49:L50"/>
    <mergeCell ref="O49:O50"/>
    <mergeCell ref="R49:R50"/>
    <mergeCell ref="I74:I75"/>
    <mergeCell ref="I62:I63"/>
    <mergeCell ref="K62:K63"/>
    <mergeCell ref="L58:L59"/>
    <mergeCell ref="R58:R59"/>
    <mergeCell ref="M62:M63"/>
    <mergeCell ref="N62:N63"/>
    <mergeCell ref="O62:O63"/>
    <mergeCell ref="R62:R63"/>
    <mergeCell ref="M58:M59"/>
    <mergeCell ref="N58:N59"/>
    <mergeCell ref="O58:O59"/>
    <mergeCell ref="R65:R66"/>
    <mergeCell ref="Q62:Q63"/>
    <mergeCell ref="Q65:Q66"/>
    <mergeCell ref="Q68:Q69"/>
    <mergeCell ref="Q71:Q72"/>
    <mergeCell ref="Q74:Q75"/>
    <mergeCell ref="O227:O228"/>
    <mergeCell ref="O230:O231"/>
    <mergeCell ref="O233:O234"/>
    <mergeCell ref="O236:O237"/>
    <mergeCell ref="G233:G234"/>
    <mergeCell ref="F224:F225"/>
    <mergeCell ref="I224:I225"/>
    <mergeCell ref="K224:K225"/>
    <mergeCell ref="M224:M225"/>
    <mergeCell ref="N224:N225"/>
    <mergeCell ref="M233:M234"/>
    <mergeCell ref="N233:N234"/>
    <mergeCell ref="M236:M237"/>
    <mergeCell ref="N236:N237"/>
    <mergeCell ref="G224:G225"/>
    <mergeCell ref="G227:G228"/>
    <mergeCell ref="G230:G231"/>
    <mergeCell ref="F227:F228"/>
    <mergeCell ref="I227:I228"/>
    <mergeCell ref="O224:O225"/>
    <mergeCell ref="G170:G171"/>
    <mergeCell ref="G173:G174"/>
    <mergeCell ref="G176:G177"/>
    <mergeCell ref="G179:G180"/>
    <mergeCell ref="G182:G183"/>
    <mergeCell ref="G185:G186"/>
    <mergeCell ref="G188:G189"/>
    <mergeCell ref="M206:M207"/>
    <mergeCell ref="N206:N207"/>
    <mergeCell ref="K200:K201"/>
    <mergeCell ref="I188:I189"/>
    <mergeCell ref="K188:K189"/>
    <mergeCell ref="M188:M189"/>
    <mergeCell ref="N188:N189"/>
    <mergeCell ref="M42:M43"/>
    <mergeCell ref="N42:N43"/>
    <mergeCell ref="O42:O43"/>
    <mergeCell ref="I49:I50"/>
    <mergeCell ref="K49:K50"/>
    <mergeCell ref="K206:K207"/>
    <mergeCell ref="I206:I207"/>
    <mergeCell ref="M78:M79"/>
    <mergeCell ref="N78:N79"/>
    <mergeCell ref="O78:O79"/>
    <mergeCell ref="N81:N82"/>
    <mergeCell ref="O81:O82"/>
    <mergeCell ref="K74:K75"/>
    <mergeCell ref="L71:L72"/>
    <mergeCell ref="M74:M75"/>
    <mergeCell ref="N74:N75"/>
    <mergeCell ref="O74:O75"/>
    <mergeCell ref="K71:K72"/>
    <mergeCell ref="L68:L69"/>
    <mergeCell ref="M71:M72"/>
    <mergeCell ref="O206:O207"/>
    <mergeCell ref="O182:O183"/>
    <mergeCell ref="O170:O171"/>
    <mergeCell ref="N71:N72"/>
    <mergeCell ref="O68:O69"/>
    <mergeCell ref="D71:D72"/>
    <mergeCell ref="E71:E72"/>
    <mergeCell ref="I71:I72"/>
    <mergeCell ref="N65:N66"/>
    <mergeCell ref="O65:O66"/>
    <mergeCell ref="O55:O56"/>
    <mergeCell ref="N52:N53"/>
    <mergeCell ref="O52:O53"/>
    <mergeCell ref="O71:O72"/>
    <mergeCell ref="M55:M56"/>
    <mergeCell ref="N55:N56"/>
    <mergeCell ref="L55:L56"/>
    <mergeCell ref="D65:D66"/>
    <mergeCell ref="F65:F66"/>
    <mergeCell ref="F58:F59"/>
    <mergeCell ref="F62:F63"/>
    <mergeCell ref="F68:F69"/>
    <mergeCell ref="F71:F72"/>
    <mergeCell ref="R218:R219"/>
    <mergeCell ref="R68:R69"/>
    <mergeCell ref="R45:R46"/>
    <mergeCell ref="R42:R43"/>
    <mergeCell ref="A6:A7"/>
    <mergeCell ref="O239:O240"/>
    <mergeCell ref="O242:O243"/>
    <mergeCell ref="G71:G72"/>
    <mergeCell ref="G74:G75"/>
    <mergeCell ref="G78:G79"/>
    <mergeCell ref="G81:G82"/>
    <mergeCell ref="G84:G85"/>
    <mergeCell ref="G87:G88"/>
    <mergeCell ref="G91:G92"/>
    <mergeCell ref="G94:G95"/>
    <mergeCell ref="G97:G98"/>
    <mergeCell ref="G100:G101"/>
    <mergeCell ref="G104:G105"/>
    <mergeCell ref="G107:G108"/>
    <mergeCell ref="G110:G111"/>
    <mergeCell ref="G113:G114"/>
    <mergeCell ref="G117:G118"/>
    <mergeCell ref="G120:G121"/>
    <mergeCell ref="G123:G124"/>
    <mergeCell ref="O215:O216"/>
    <mergeCell ref="O218:O219"/>
    <mergeCell ref="D78:D79"/>
    <mergeCell ref="D81:D82"/>
    <mergeCell ref="E81:E82"/>
    <mergeCell ref="I81:I82"/>
    <mergeCell ref="K81:K82"/>
    <mergeCell ref="L78:L79"/>
    <mergeCell ref="M81:M82"/>
    <mergeCell ref="E78:E79"/>
    <mergeCell ref="I78:I79"/>
    <mergeCell ref="K78:K79"/>
    <mergeCell ref="G126:G127"/>
    <mergeCell ref="G130:G131"/>
    <mergeCell ref="D218:D219"/>
    <mergeCell ref="E218:E219"/>
    <mergeCell ref="E206:E207"/>
    <mergeCell ref="F81:F82"/>
    <mergeCell ref="G152:G153"/>
    <mergeCell ref="G155:G156"/>
    <mergeCell ref="G158:G159"/>
    <mergeCell ref="G161:G162"/>
    <mergeCell ref="G164:G165"/>
    <mergeCell ref="G167:G168"/>
    <mergeCell ref="R84:R85"/>
    <mergeCell ref="R149:R150"/>
    <mergeCell ref="R78:R79"/>
    <mergeCell ref="R81:R82"/>
    <mergeCell ref="R71:R72"/>
    <mergeCell ref="R74:R75"/>
    <mergeCell ref="R143:R144"/>
    <mergeCell ref="R117:R118"/>
    <mergeCell ref="R146:R147"/>
    <mergeCell ref="R110:R111"/>
    <mergeCell ref="R87:R88"/>
    <mergeCell ref="R113:R114"/>
    <mergeCell ref="L140:L141"/>
    <mergeCell ref="L143:L144"/>
    <mergeCell ref="L146:L147"/>
    <mergeCell ref="L149:L150"/>
    <mergeCell ref="G129:M129"/>
    <mergeCell ref="G139:M139"/>
    <mergeCell ref="G35:M35"/>
    <mergeCell ref="L6:L7"/>
    <mergeCell ref="L11:L12"/>
    <mergeCell ref="L16:L17"/>
    <mergeCell ref="L19:L20"/>
    <mergeCell ref="L23:L24"/>
    <mergeCell ref="L26:L27"/>
    <mergeCell ref="L29:L30"/>
    <mergeCell ref="L32:L33"/>
    <mergeCell ref="L39:L40"/>
    <mergeCell ref="L52:L53"/>
    <mergeCell ref="L84:L85"/>
    <mergeCell ref="L100:L101"/>
    <mergeCell ref="G48:M48"/>
    <mergeCell ref="G61:M61"/>
    <mergeCell ref="G77:M77"/>
    <mergeCell ref="G90:M90"/>
    <mergeCell ref="L74:L75"/>
    <mergeCell ref="G103:M103"/>
    <mergeCell ref="G116:M116"/>
    <mergeCell ref="L107:L108"/>
    <mergeCell ref="L104:L105"/>
    <mergeCell ref="L110:L111"/>
    <mergeCell ref="L113:L114"/>
    <mergeCell ref="L117:L118"/>
    <mergeCell ref="L120:L121"/>
    <mergeCell ref="L136:L137"/>
    <mergeCell ref="G136:G137"/>
    <mergeCell ref="I136:I137"/>
    <mergeCell ref="K136:K137"/>
  </mergeCells>
  <pageMargins left="0.7" right="0.7" top="0.75" bottom="0.75" header="0.3" footer="0.3"/>
  <pageSetup paperSize="9" orientation="portrait" r:id="rId1"/>
  <ignoredErrors>
    <ignoredError sqref="C143" twoDigitTextYear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87" r:id="rId4" name="Check Box 63">
              <controlPr defaultSize="0" autoFill="0" autoLine="0" autoPict="0" altText="">
                <anchor moveWithCells="1">
                  <from>
                    <xdr:col>0</xdr:col>
                    <xdr:colOff>9525</xdr:colOff>
                    <xdr:row>28</xdr:row>
                    <xdr:rowOff>9525</xdr:rowOff>
                  </from>
                  <to>
                    <xdr:col>0</xdr:col>
                    <xdr:colOff>657225</xdr:colOff>
                    <xdr:row>30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8" r:id="rId5" name="Check Box 64">
              <controlPr defaultSize="0" autoFill="0" autoLine="0" autoPict="0" altText="">
                <anchor moveWithCells="1">
                  <from>
                    <xdr:col>0</xdr:col>
                    <xdr:colOff>19050</xdr:colOff>
                    <xdr:row>30</xdr:row>
                    <xdr:rowOff>171450</xdr:rowOff>
                  </from>
                  <to>
                    <xdr:col>1</xdr:col>
                    <xdr:colOff>0</xdr:colOff>
                    <xdr:row>32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9" r:id="rId6" name="Check Box 65">
              <controlPr defaultSize="0" autoFill="0" autoLine="0" autoPict="0" altText="">
                <anchor moveWithCells="1">
                  <from>
                    <xdr:col>0</xdr:col>
                    <xdr:colOff>9525</xdr:colOff>
                    <xdr:row>33</xdr:row>
                    <xdr:rowOff>171450</xdr:rowOff>
                  </from>
                  <to>
                    <xdr:col>0</xdr:col>
                    <xdr:colOff>657225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0" r:id="rId7" name="Check Box 66">
              <controlPr defaultSize="0" autoFill="0" autoLine="0" autoPict="0" altText="">
                <anchor moveWithCells="1">
                  <from>
                    <xdr:col>0</xdr:col>
                    <xdr:colOff>19050</xdr:colOff>
                    <xdr:row>38</xdr:row>
                    <xdr:rowOff>9525</xdr:rowOff>
                  </from>
                  <to>
                    <xdr:col>1</xdr:col>
                    <xdr:colOff>0</xdr:colOff>
                    <xdr:row>40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1" r:id="rId8" name="Check Box 67">
              <controlPr defaultSize="0" autoFill="0" autoLine="0" autoPict="0" altText="">
                <anchor moveWithCells="1">
                  <from>
                    <xdr:col>0</xdr:col>
                    <xdr:colOff>9525</xdr:colOff>
                    <xdr:row>41</xdr:row>
                    <xdr:rowOff>9525</xdr:rowOff>
                  </from>
                  <to>
                    <xdr:col>0</xdr:col>
                    <xdr:colOff>657225</xdr:colOff>
                    <xdr:row>43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2" r:id="rId9" name="Check Box 68">
              <controlPr defaultSize="0" autoFill="0" autoLine="0" autoPict="0" altText="">
                <anchor moveWithCells="1">
                  <from>
                    <xdr:col>0</xdr:col>
                    <xdr:colOff>0</xdr:colOff>
                    <xdr:row>50</xdr:row>
                    <xdr:rowOff>171450</xdr:rowOff>
                  </from>
                  <to>
                    <xdr:col>0</xdr:col>
                    <xdr:colOff>647700</xdr:colOff>
                    <xdr:row>52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3" r:id="rId10" name="Check Box 69">
              <controlPr defaultSize="0" autoFill="0" autoLine="0" autoPict="0" altText="">
                <anchor moveWithCells="1">
                  <from>
                    <xdr:col>0</xdr:col>
                    <xdr:colOff>9525</xdr:colOff>
                    <xdr:row>46</xdr:row>
                    <xdr:rowOff>161925</xdr:rowOff>
                  </from>
                  <to>
                    <xdr:col>1</xdr:col>
                    <xdr:colOff>9525</xdr:colOff>
                    <xdr:row>49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4" r:id="rId11" name="Check Box 70">
              <controlPr defaultSize="0" autoFill="0" autoLine="0" autoPict="0" altText="">
                <anchor moveWithCells="1">
                  <from>
                    <xdr:col>0</xdr:col>
                    <xdr:colOff>0</xdr:colOff>
                    <xdr:row>63</xdr:row>
                    <xdr:rowOff>161925</xdr:rowOff>
                  </from>
                  <to>
                    <xdr:col>1</xdr:col>
                    <xdr:colOff>0</xdr:colOff>
                    <xdr:row>65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5" r:id="rId12" name="Check Box 71">
              <controlPr defaultSize="0" autoFill="0" autoLine="0" autoPict="0" altText="">
                <anchor moveWithCells="1">
                  <from>
                    <xdr:col>0</xdr:col>
                    <xdr:colOff>0</xdr:colOff>
                    <xdr:row>59</xdr:row>
                    <xdr:rowOff>161925</xdr:rowOff>
                  </from>
                  <to>
                    <xdr:col>1</xdr:col>
                    <xdr:colOff>9525</xdr:colOff>
                    <xdr:row>62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6" r:id="rId13" name="Check Box 72">
              <controlPr defaultSize="0" autoFill="0" autoLine="0" autoPict="0" altText="">
                <anchor moveWithCells="1">
                  <from>
                    <xdr:col>0</xdr:col>
                    <xdr:colOff>9525</xdr:colOff>
                    <xdr:row>56</xdr:row>
                    <xdr:rowOff>161925</xdr:rowOff>
                  </from>
                  <to>
                    <xdr:col>1</xdr:col>
                    <xdr:colOff>0</xdr:colOff>
                    <xdr:row>58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7" r:id="rId14" name="Check Box 73">
              <controlPr defaultSize="0" autoFill="0" autoLine="0" autoPict="0" altText="">
                <anchor moveWithCells="1">
                  <from>
                    <xdr:col>0</xdr:col>
                    <xdr:colOff>0</xdr:colOff>
                    <xdr:row>53</xdr:row>
                    <xdr:rowOff>171450</xdr:rowOff>
                  </from>
                  <to>
                    <xdr:col>1</xdr:col>
                    <xdr:colOff>9525</xdr:colOff>
                    <xdr:row>56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8" r:id="rId15" name="Check Box 74">
              <controlPr defaultSize="0" autoFill="0" autoLine="0" autoPict="0" altText="">
                <anchor moveWithCells="1">
                  <from>
                    <xdr:col>0</xdr:col>
                    <xdr:colOff>0</xdr:colOff>
                    <xdr:row>44</xdr:row>
                    <xdr:rowOff>9525</xdr:rowOff>
                  </from>
                  <to>
                    <xdr:col>0</xdr:col>
                    <xdr:colOff>647700</xdr:colOff>
                    <xdr:row>46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8" r:id="rId16" name="Check Box 84">
              <controlPr defaultSize="0" autoFill="0" autoLine="0" autoPict="0" altText="">
                <anchor moveWithCells="1">
                  <from>
                    <xdr:col>0</xdr:col>
                    <xdr:colOff>0</xdr:colOff>
                    <xdr:row>90</xdr:row>
                    <xdr:rowOff>0</xdr:rowOff>
                  </from>
                  <to>
                    <xdr:col>0</xdr:col>
                    <xdr:colOff>647700</xdr:colOff>
                    <xdr:row>91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9" r:id="rId17" name="Check Box 85">
              <controlPr defaultSize="0" autoFill="0" autoLine="0" autoPict="0" altText="">
                <anchor moveWithCells="1">
                  <from>
                    <xdr:col>0</xdr:col>
                    <xdr:colOff>0</xdr:colOff>
                    <xdr:row>93</xdr:row>
                    <xdr:rowOff>0</xdr:rowOff>
                  </from>
                  <to>
                    <xdr:col>0</xdr:col>
                    <xdr:colOff>647700</xdr:colOff>
                    <xdr:row>94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0" r:id="rId18" name="Check Box 86">
              <controlPr defaultSize="0" autoFill="0" autoLine="0" autoPict="0" altText="">
                <anchor moveWithCells="1">
                  <from>
                    <xdr:col>0</xdr:col>
                    <xdr:colOff>0</xdr:colOff>
                    <xdr:row>96</xdr:row>
                    <xdr:rowOff>0</xdr:rowOff>
                  </from>
                  <to>
                    <xdr:col>0</xdr:col>
                    <xdr:colOff>647700</xdr:colOff>
                    <xdr:row>97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1" r:id="rId19" name="Check Box 87">
              <controlPr defaultSize="0" autoFill="0" autoLine="0" autoPict="0" altText="">
                <anchor moveWithCells="1">
                  <from>
                    <xdr:col>0</xdr:col>
                    <xdr:colOff>0</xdr:colOff>
                    <xdr:row>96</xdr:row>
                    <xdr:rowOff>0</xdr:rowOff>
                  </from>
                  <to>
                    <xdr:col>0</xdr:col>
                    <xdr:colOff>647700</xdr:colOff>
                    <xdr:row>97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2" r:id="rId20" name="Check Box 88">
              <controlPr defaultSize="0" autoFill="0" autoLine="0" autoPict="0" altText="">
                <anchor moveWithCells="1">
                  <from>
                    <xdr:col>0</xdr:col>
                    <xdr:colOff>0</xdr:colOff>
                    <xdr:row>99</xdr:row>
                    <xdr:rowOff>0</xdr:rowOff>
                  </from>
                  <to>
                    <xdr:col>0</xdr:col>
                    <xdr:colOff>647700</xdr:colOff>
                    <xdr:row>100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3" r:id="rId21" name="Check Box 89">
              <controlPr defaultSize="0" autoFill="0" autoLine="0" autoPict="0" altText="">
                <anchor moveWithCells="1">
                  <from>
                    <xdr:col>0</xdr:col>
                    <xdr:colOff>0</xdr:colOff>
                    <xdr:row>103</xdr:row>
                    <xdr:rowOff>0</xdr:rowOff>
                  </from>
                  <to>
                    <xdr:col>0</xdr:col>
                    <xdr:colOff>647700</xdr:colOff>
                    <xdr:row>104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4" r:id="rId22" name="Check Box 90">
              <controlPr defaultSize="0" autoFill="0" autoLine="0" autoPict="0" altText="">
                <anchor moveWithCells="1">
                  <from>
                    <xdr:col>0</xdr:col>
                    <xdr:colOff>0</xdr:colOff>
                    <xdr:row>106</xdr:row>
                    <xdr:rowOff>0</xdr:rowOff>
                  </from>
                  <to>
                    <xdr:col>0</xdr:col>
                    <xdr:colOff>647700</xdr:colOff>
                    <xdr:row>107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5" r:id="rId23" name="Check Box 91">
              <controlPr defaultSize="0" autoFill="0" autoLine="0" autoPict="0" altText="">
                <anchor moveWithCells="1">
                  <from>
                    <xdr:col>0</xdr:col>
                    <xdr:colOff>0</xdr:colOff>
                    <xdr:row>109</xdr:row>
                    <xdr:rowOff>0</xdr:rowOff>
                  </from>
                  <to>
                    <xdr:col>0</xdr:col>
                    <xdr:colOff>647700</xdr:colOff>
                    <xdr:row>110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6" r:id="rId24" name="Check Box 92">
              <controlPr defaultSize="0" autoFill="0" autoLine="0" autoPict="0" altText="">
                <anchor moveWithCells="1">
                  <from>
                    <xdr:col>0</xdr:col>
                    <xdr:colOff>0</xdr:colOff>
                    <xdr:row>112</xdr:row>
                    <xdr:rowOff>0</xdr:rowOff>
                  </from>
                  <to>
                    <xdr:col>0</xdr:col>
                    <xdr:colOff>647700</xdr:colOff>
                    <xdr:row>113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7" r:id="rId25" name="Check Box 93">
              <controlPr defaultSize="0" autoFill="0" autoLine="0" autoPict="0" altText="">
                <anchor moveWithCells="1">
                  <from>
                    <xdr:col>0</xdr:col>
                    <xdr:colOff>0</xdr:colOff>
                    <xdr:row>116</xdr:row>
                    <xdr:rowOff>0</xdr:rowOff>
                  </from>
                  <to>
                    <xdr:col>0</xdr:col>
                    <xdr:colOff>647700</xdr:colOff>
                    <xdr:row>117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8" r:id="rId26" name="Check Box 94">
              <controlPr defaultSize="0" autoFill="0" autoLine="0" autoPict="0" altText="">
                <anchor moveWithCells="1">
                  <from>
                    <xdr:col>0</xdr:col>
                    <xdr:colOff>0</xdr:colOff>
                    <xdr:row>119</xdr:row>
                    <xdr:rowOff>0</xdr:rowOff>
                  </from>
                  <to>
                    <xdr:col>0</xdr:col>
                    <xdr:colOff>647700</xdr:colOff>
                    <xdr:row>120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9" r:id="rId27" name="Check Box 95">
              <controlPr defaultSize="0" autoFill="0" autoLine="0" autoPict="0" altText="">
                <anchor moveWithCells="1">
                  <from>
                    <xdr:col>0</xdr:col>
                    <xdr:colOff>0</xdr:colOff>
                    <xdr:row>122</xdr:row>
                    <xdr:rowOff>0</xdr:rowOff>
                  </from>
                  <to>
                    <xdr:col>0</xdr:col>
                    <xdr:colOff>647700</xdr:colOff>
                    <xdr:row>123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0" r:id="rId28" name="Check Box 96">
              <controlPr defaultSize="0" autoFill="0" autoLine="0" autoPict="0" altText="">
                <anchor moveWithCells="1">
                  <from>
                    <xdr:col>0</xdr:col>
                    <xdr:colOff>0</xdr:colOff>
                    <xdr:row>125</xdr:row>
                    <xdr:rowOff>0</xdr:rowOff>
                  </from>
                  <to>
                    <xdr:col>0</xdr:col>
                    <xdr:colOff>647700</xdr:colOff>
                    <xdr:row>126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1" r:id="rId29" name="Check Box 97">
              <controlPr defaultSize="0" autoFill="0" autoLine="0" autoPict="0" altText="">
                <anchor moveWithCells="1">
                  <from>
                    <xdr:col>0</xdr:col>
                    <xdr:colOff>0</xdr:colOff>
                    <xdr:row>129</xdr:row>
                    <xdr:rowOff>0</xdr:rowOff>
                  </from>
                  <to>
                    <xdr:col>0</xdr:col>
                    <xdr:colOff>647700</xdr:colOff>
                    <xdr:row>130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2" r:id="rId30" name="Check Box 98">
              <controlPr defaultSize="0" autoFill="0" autoLine="0" autoPict="0" altText="">
                <anchor moveWithCells="1">
                  <from>
                    <xdr:col>0</xdr:col>
                    <xdr:colOff>0</xdr:colOff>
                    <xdr:row>139</xdr:row>
                    <xdr:rowOff>0</xdr:rowOff>
                  </from>
                  <to>
                    <xdr:col>0</xdr:col>
                    <xdr:colOff>647700</xdr:colOff>
                    <xdr:row>140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3" r:id="rId31" name="Check Box 99">
              <controlPr defaultSize="0" autoFill="0" autoLine="0" autoPict="0" altText="">
                <anchor moveWithCells="1">
                  <from>
                    <xdr:col>0</xdr:col>
                    <xdr:colOff>0</xdr:colOff>
                    <xdr:row>142</xdr:row>
                    <xdr:rowOff>0</xdr:rowOff>
                  </from>
                  <to>
                    <xdr:col>0</xdr:col>
                    <xdr:colOff>647700</xdr:colOff>
                    <xdr:row>143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4" r:id="rId32" name="Check Box 100">
              <controlPr defaultSize="0" autoFill="0" autoLine="0" autoPict="0" altText="">
                <anchor moveWithCells="1">
                  <from>
                    <xdr:col>0</xdr:col>
                    <xdr:colOff>0</xdr:colOff>
                    <xdr:row>145</xdr:row>
                    <xdr:rowOff>0</xdr:rowOff>
                  </from>
                  <to>
                    <xdr:col>0</xdr:col>
                    <xdr:colOff>647700</xdr:colOff>
                    <xdr:row>146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5" r:id="rId33" name="Check Box 101">
              <controlPr defaultSize="0" autoFill="0" autoLine="0" autoPict="0" altText="">
                <anchor moveWithCells="1">
                  <from>
                    <xdr:col>0</xdr:col>
                    <xdr:colOff>0</xdr:colOff>
                    <xdr:row>148</xdr:row>
                    <xdr:rowOff>0</xdr:rowOff>
                  </from>
                  <to>
                    <xdr:col>0</xdr:col>
                    <xdr:colOff>647700</xdr:colOff>
                    <xdr:row>149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" r:id="rId34" name="Check Box 102">
              <controlPr defaultSize="0" autoFill="0" autoLine="0" autoPict="0" altText="">
                <anchor moveWithCells="1">
                  <from>
                    <xdr:col>0</xdr:col>
                    <xdr:colOff>0</xdr:colOff>
                    <xdr:row>151</xdr:row>
                    <xdr:rowOff>0</xdr:rowOff>
                  </from>
                  <to>
                    <xdr:col>0</xdr:col>
                    <xdr:colOff>647700</xdr:colOff>
                    <xdr:row>152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" r:id="rId35" name="Check Box 103">
              <controlPr defaultSize="0" autoFill="0" autoLine="0" autoPict="0" altText="">
                <anchor moveWithCells="1">
                  <from>
                    <xdr:col>0</xdr:col>
                    <xdr:colOff>19050</xdr:colOff>
                    <xdr:row>153</xdr:row>
                    <xdr:rowOff>152400</xdr:rowOff>
                  </from>
                  <to>
                    <xdr:col>1</xdr:col>
                    <xdr:colOff>0</xdr:colOff>
                    <xdr:row>155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" r:id="rId36" name="Check Box 104">
              <controlPr defaultSize="0" autoFill="0" autoLine="0" autoPict="0" altText="">
                <anchor moveWithCells="1">
                  <from>
                    <xdr:col>0</xdr:col>
                    <xdr:colOff>0</xdr:colOff>
                    <xdr:row>160</xdr:row>
                    <xdr:rowOff>19050</xdr:rowOff>
                  </from>
                  <to>
                    <xdr:col>0</xdr:col>
                    <xdr:colOff>647700</xdr:colOff>
                    <xdr:row>161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" r:id="rId37" name="Check Box 105">
              <controlPr defaultSize="0" autoFill="0" autoLine="0" autoPict="0" altText="">
                <anchor moveWithCells="1">
                  <from>
                    <xdr:col>0</xdr:col>
                    <xdr:colOff>19050</xdr:colOff>
                    <xdr:row>157</xdr:row>
                    <xdr:rowOff>9525</xdr:rowOff>
                  </from>
                  <to>
                    <xdr:col>1</xdr:col>
                    <xdr:colOff>0</xdr:colOff>
                    <xdr:row>159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" r:id="rId38" name="Check Box 107">
              <controlPr defaultSize="0" autoFill="0" autoLine="0" autoPict="0" altText="">
                <anchor moveWithCells="1">
                  <from>
                    <xdr:col>0</xdr:col>
                    <xdr:colOff>0</xdr:colOff>
                    <xdr:row>163</xdr:row>
                    <xdr:rowOff>19050</xdr:rowOff>
                  </from>
                  <to>
                    <xdr:col>0</xdr:col>
                    <xdr:colOff>647700</xdr:colOff>
                    <xdr:row>165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2" r:id="rId39" name="Check Box 108">
              <controlPr defaultSize="0" autoFill="0" autoLine="0" autoPict="0" altText="">
                <anchor moveWithCells="1">
                  <from>
                    <xdr:col>0</xdr:col>
                    <xdr:colOff>0</xdr:colOff>
                    <xdr:row>135</xdr:row>
                    <xdr:rowOff>0</xdr:rowOff>
                  </from>
                  <to>
                    <xdr:col>0</xdr:col>
                    <xdr:colOff>647700</xdr:colOff>
                    <xdr:row>136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3" r:id="rId40" name="Check Box 109">
              <controlPr defaultSize="0" autoFill="0" autoLine="0" autoPict="0" altText="">
                <anchor moveWithCells="1">
                  <from>
                    <xdr:col>0</xdr:col>
                    <xdr:colOff>0</xdr:colOff>
                    <xdr:row>132</xdr:row>
                    <xdr:rowOff>0</xdr:rowOff>
                  </from>
                  <to>
                    <xdr:col>0</xdr:col>
                    <xdr:colOff>647700</xdr:colOff>
                    <xdr:row>133</xdr:row>
                    <xdr:rowOff>228600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C80D3-4811-48E4-A04A-24815C8822FA}">
  <dimension ref="B5:X76"/>
  <sheetViews>
    <sheetView topLeftCell="B1" zoomScaleNormal="100" workbookViewId="0">
      <selection activeCell="L11" sqref="L11"/>
    </sheetView>
  </sheetViews>
  <sheetFormatPr baseColWidth="10" defaultColWidth="8.140625" defaultRowHeight="12" x14ac:dyDescent="0.2"/>
  <cols>
    <col min="1" max="1" width="8.140625" style="152"/>
    <col min="2" max="2" width="17.42578125" style="152" bestFit="1" customWidth="1"/>
    <col min="3" max="6" width="8.140625" style="152"/>
    <col min="7" max="7" width="11.140625" style="147" bestFit="1" customWidth="1"/>
    <col min="8" max="8" width="8.140625" style="152"/>
    <col min="9" max="9" width="10.140625" style="152" bestFit="1" customWidth="1"/>
    <col min="10" max="10" width="13.5703125" style="152" customWidth="1"/>
    <col min="11" max="12" width="8.140625" style="152"/>
    <col min="13" max="13" width="9.28515625" style="152" customWidth="1"/>
    <col min="14" max="14" width="8.140625" style="152"/>
    <col min="15" max="15" width="7.28515625" style="152" hidden="1" customWidth="1"/>
    <col min="16" max="16" width="8.140625" style="152"/>
    <col min="17" max="18" width="3" style="152" customWidth="1"/>
    <col min="19" max="24" width="11" style="152" customWidth="1"/>
    <col min="25" max="16384" width="8.140625" style="152"/>
  </cols>
  <sheetData>
    <row r="5" spans="2:24" x14ac:dyDescent="0.2">
      <c r="B5" s="147"/>
      <c r="C5" s="148"/>
      <c r="D5" s="149"/>
      <c r="E5" s="150"/>
      <c r="F5" s="149"/>
      <c r="G5" s="149"/>
      <c r="H5" s="149"/>
      <c r="I5" s="149"/>
      <c r="J5" s="147"/>
      <c r="K5" s="149"/>
      <c r="L5" s="149"/>
      <c r="M5" s="149"/>
      <c r="N5" s="151">
        <v>0.1</v>
      </c>
      <c r="O5" s="151"/>
      <c r="P5" s="151">
        <v>0.08</v>
      </c>
      <c r="Q5" s="149"/>
      <c r="R5" s="148"/>
      <c r="S5" s="148"/>
      <c r="T5" s="148"/>
      <c r="U5" s="148"/>
      <c r="V5" s="148"/>
      <c r="W5" s="149"/>
      <c r="X5" s="149"/>
    </row>
    <row r="6" spans="2:24" x14ac:dyDescent="0.2">
      <c r="B6" s="149"/>
      <c r="C6" s="148"/>
      <c r="D6" s="149"/>
      <c r="E6" s="149"/>
      <c r="F6" s="149"/>
      <c r="G6" s="149"/>
      <c r="H6" s="149"/>
      <c r="I6" s="149"/>
      <c r="J6" s="149"/>
      <c r="K6" s="149"/>
      <c r="L6" s="149"/>
      <c r="M6" s="149"/>
      <c r="N6" s="153">
        <v>0.09</v>
      </c>
      <c r="O6" s="153"/>
      <c r="P6" s="153">
        <v>0.06</v>
      </c>
      <c r="Q6" s="149"/>
      <c r="R6" s="148"/>
      <c r="S6" s="148"/>
      <c r="T6" s="148"/>
      <c r="U6" s="148"/>
      <c r="V6" s="148"/>
      <c r="W6" s="149"/>
      <c r="X6" s="149"/>
    </row>
    <row r="7" spans="2:24" x14ac:dyDescent="0.2">
      <c r="B7" s="149"/>
      <c r="C7" s="148"/>
      <c r="D7" s="149"/>
      <c r="E7" s="149"/>
      <c r="F7" s="149"/>
      <c r="G7" s="149"/>
      <c r="H7" s="149"/>
      <c r="I7" s="149"/>
      <c r="J7" s="149"/>
      <c r="K7" s="149"/>
      <c r="L7" s="149"/>
      <c r="M7" s="149"/>
      <c r="N7" s="154">
        <f>N6+N5</f>
        <v>0.19</v>
      </c>
      <c r="O7" s="154"/>
      <c r="P7" s="154">
        <f>P6+P5</f>
        <v>0.14000000000000001</v>
      </c>
      <c r="Q7" s="155"/>
      <c r="R7" s="156"/>
      <c r="S7" s="157" t="s">
        <v>76</v>
      </c>
      <c r="T7" s="157" t="s">
        <v>76</v>
      </c>
      <c r="U7" s="157" t="s">
        <v>76</v>
      </c>
      <c r="V7" s="157" t="s">
        <v>76</v>
      </c>
      <c r="W7" s="157" t="s">
        <v>76</v>
      </c>
      <c r="X7" s="157" t="s">
        <v>76</v>
      </c>
    </row>
    <row r="8" spans="2:24" x14ac:dyDescent="0.2">
      <c r="B8" s="483" t="s">
        <v>133</v>
      </c>
      <c r="C8" s="158" t="s">
        <v>114</v>
      </c>
      <c r="D8" s="159" t="s">
        <v>115</v>
      </c>
      <c r="E8" s="160" t="s">
        <v>116</v>
      </c>
      <c r="F8" s="160" t="s">
        <v>117</v>
      </c>
      <c r="G8" s="159" t="s">
        <v>118</v>
      </c>
      <c r="H8" s="159" t="s">
        <v>52</v>
      </c>
      <c r="I8" s="159" t="s">
        <v>29</v>
      </c>
      <c r="J8" s="147"/>
      <c r="K8" s="161" t="s">
        <v>6</v>
      </c>
      <c r="L8" s="162" t="s">
        <v>7</v>
      </c>
      <c r="M8" s="163" t="s">
        <v>80</v>
      </c>
      <c r="N8" s="164" t="s">
        <v>77</v>
      </c>
      <c r="O8" s="164" t="s">
        <v>77</v>
      </c>
      <c r="P8" s="165" t="s">
        <v>79</v>
      </c>
      <c r="Q8" s="149"/>
      <c r="R8" s="148"/>
      <c r="S8" s="154">
        <v>0.05</v>
      </c>
      <c r="T8" s="154">
        <v>0.1</v>
      </c>
      <c r="U8" s="154">
        <v>0.15</v>
      </c>
      <c r="V8" s="154">
        <v>0.2</v>
      </c>
      <c r="W8" s="154">
        <v>0.25</v>
      </c>
      <c r="X8" s="154">
        <v>0.3</v>
      </c>
    </row>
    <row r="9" spans="2:24" x14ac:dyDescent="0.2">
      <c r="B9" s="483"/>
      <c r="C9" s="148">
        <f>Insumos!J6</f>
        <v>927.11428571428576</v>
      </c>
      <c r="D9" s="149">
        <f>Insumos!J12*72</f>
        <v>354.96</v>
      </c>
      <c r="E9" s="150">
        <f>(Insumos!G9/30)+(Insumos!G15/30)</f>
        <v>17.303999999999998</v>
      </c>
      <c r="F9" s="149">
        <f>Insumos!J9*5</f>
        <v>550</v>
      </c>
      <c r="G9" s="149">
        <f>Insumos!J15+Insumos!J18</f>
        <v>27.4</v>
      </c>
      <c r="H9" s="149"/>
      <c r="I9" s="149">
        <f>Insumos!N42</f>
        <v>370</v>
      </c>
      <c r="J9" s="147"/>
      <c r="K9" s="149">
        <f>SUM(C9:G9)</f>
        <v>1876.7782857142859</v>
      </c>
      <c r="L9" s="149">
        <f>M9-K9</f>
        <v>3753.5565714285722</v>
      </c>
      <c r="M9" s="149">
        <f>K9*3</f>
        <v>5630.3348571428578</v>
      </c>
      <c r="N9" s="166">
        <f>ROUND(O9/50,0)*50</f>
        <v>6700</v>
      </c>
      <c r="O9" s="166">
        <f>(L9+K9)+((K9+L9)*(N7))</f>
        <v>6700.0984800000006</v>
      </c>
      <c r="P9" s="149">
        <f>N9-(N9*P7)-K9</f>
        <v>3885.2217142857144</v>
      </c>
      <c r="Q9" s="149"/>
      <c r="R9" s="148"/>
      <c r="S9" s="167">
        <v>50</v>
      </c>
      <c r="T9" s="167">
        <v>100</v>
      </c>
      <c r="U9" s="167">
        <v>200</v>
      </c>
      <c r="V9" s="167">
        <v>500</v>
      </c>
      <c r="W9" s="167">
        <v>1000</v>
      </c>
      <c r="X9" s="167">
        <v>2000</v>
      </c>
    </row>
    <row r="10" spans="2:24" x14ac:dyDescent="0.2">
      <c r="B10" s="149"/>
      <c r="C10" s="148"/>
      <c r="D10" s="149"/>
      <c r="E10" s="149"/>
      <c r="F10" s="149"/>
      <c r="G10" s="149"/>
      <c r="H10" s="149"/>
      <c r="I10" s="149"/>
      <c r="J10" s="149"/>
      <c r="K10" s="149"/>
      <c r="L10" s="149"/>
      <c r="M10" s="149"/>
      <c r="N10" s="149"/>
      <c r="O10" s="149"/>
      <c r="P10" s="149"/>
      <c r="Q10" s="149"/>
      <c r="R10" s="148"/>
      <c r="S10" s="168" t="s">
        <v>6</v>
      </c>
      <c r="T10" s="168" t="s">
        <v>6</v>
      </c>
      <c r="U10" s="168" t="s">
        <v>6</v>
      </c>
      <c r="V10" s="168" t="s">
        <v>6</v>
      </c>
      <c r="W10" s="168" t="s">
        <v>6</v>
      </c>
      <c r="X10" s="168" t="s">
        <v>6</v>
      </c>
    </row>
    <row r="11" spans="2:24" x14ac:dyDescent="0.2">
      <c r="B11" s="147">
        <v>10</v>
      </c>
      <c r="C11" s="148">
        <f>L11*B11</f>
        <v>28151.674285714289</v>
      </c>
      <c r="D11" s="155"/>
      <c r="E11" s="155"/>
      <c r="F11" s="155"/>
      <c r="G11" s="155"/>
      <c r="H11" s="155"/>
      <c r="I11" s="155"/>
      <c r="J11" s="155"/>
      <c r="L11" s="155">
        <f>M11-$K$9</f>
        <v>2815.1674285714289</v>
      </c>
      <c r="M11" s="149">
        <f>$K$9*2.5</f>
        <v>4691.9457142857145</v>
      </c>
      <c r="N11" s="149"/>
      <c r="O11" s="149"/>
      <c r="P11" s="155"/>
      <c r="Q11" s="149"/>
      <c r="R11" s="148"/>
      <c r="S11" s="148">
        <f>K9*S9</f>
        <v>93838.914285714287</v>
      </c>
      <c r="T11" s="148">
        <f>K9*T9</f>
        <v>187677.82857142857</v>
      </c>
      <c r="U11" s="148">
        <f>$K$9*U9</f>
        <v>375355.65714285715</v>
      </c>
      <c r="V11" s="148">
        <f t="shared" ref="V11:X11" si="0">$K$9*V9</f>
        <v>938389.14285714296</v>
      </c>
      <c r="W11" s="148">
        <f t="shared" si="0"/>
        <v>1876778.2857142859</v>
      </c>
      <c r="X11" s="148">
        <f t="shared" si="0"/>
        <v>3753556.5714285718</v>
      </c>
    </row>
    <row r="12" spans="2:24" x14ac:dyDescent="0.2">
      <c r="B12" s="147"/>
      <c r="C12" s="148"/>
      <c r="D12" s="149"/>
      <c r="E12" s="149"/>
      <c r="F12" s="149"/>
      <c r="G12" s="149"/>
      <c r="H12" s="149"/>
      <c r="I12" s="149"/>
      <c r="J12" s="149"/>
      <c r="L12" s="149"/>
      <c r="M12" s="149"/>
      <c r="N12" s="169" t="s">
        <v>65</v>
      </c>
      <c r="O12" s="169"/>
      <c r="P12" s="149"/>
      <c r="Q12" s="149"/>
      <c r="R12" s="148"/>
      <c r="S12" s="170" t="s">
        <v>77</v>
      </c>
      <c r="T12" s="170" t="s">
        <v>77</v>
      </c>
      <c r="U12" s="170" t="s">
        <v>77</v>
      </c>
      <c r="V12" s="170" t="s">
        <v>77</v>
      </c>
      <c r="W12" s="170" t="s">
        <v>77</v>
      </c>
      <c r="X12" s="170" t="s">
        <v>77</v>
      </c>
    </row>
    <row r="13" spans="2:24" x14ac:dyDescent="0.2">
      <c r="B13" s="147">
        <v>20</v>
      </c>
      <c r="C13" s="148">
        <f>L13*B13</f>
        <v>48796.235428571439</v>
      </c>
      <c r="D13" s="149"/>
      <c r="E13" s="150"/>
      <c r="F13" s="149"/>
      <c r="G13" s="149"/>
      <c r="H13" s="149"/>
      <c r="I13" s="149"/>
      <c r="J13" s="147"/>
      <c r="L13" s="155">
        <f>M13-$K$9</f>
        <v>2439.8117714285718</v>
      </c>
      <c r="M13" s="149">
        <f>$K$9*2.3</f>
        <v>4316.5900571428574</v>
      </c>
      <c r="N13" s="149">
        <f>N9-(N9*S20)</f>
        <v>6030</v>
      </c>
      <c r="O13" s="149"/>
      <c r="P13" s="149"/>
      <c r="Q13" s="149"/>
      <c r="R13" s="148"/>
      <c r="S13" s="171">
        <f>($N9*S9)-(($N9*S9)*S8)</f>
        <v>318250</v>
      </c>
      <c r="T13" s="171">
        <f>($N9*T9)-(($N9*T9)*T8)</f>
        <v>603000</v>
      </c>
      <c r="U13" s="171">
        <f t="shared" ref="U13:X13" si="1">($N9*U9)-(($N9*U9)*U8)</f>
        <v>1139000</v>
      </c>
      <c r="V13" s="171">
        <f t="shared" si="1"/>
        <v>2680000</v>
      </c>
      <c r="W13" s="171">
        <f t="shared" si="1"/>
        <v>5025000</v>
      </c>
      <c r="X13" s="171">
        <f t="shared" si="1"/>
        <v>9380000</v>
      </c>
    </row>
    <row r="14" spans="2:24" x14ac:dyDescent="0.2">
      <c r="B14" s="147"/>
      <c r="C14" s="148"/>
      <c r="D14" s="149"/>
      <c r="E14" s="150"/>
      <c r="F14" s="149"/>
      <c r="G14" s="149"/>
      <c r="H14" s="149"/>
      <c r="I14" s="149"/>
      <c r="J14" s="147"/>
      <c r="L14" s="149"/>
      <c r="M14" s="149"/>
      <c r="N14" s="172" t="s">
        <v>83</v>
      </c>
      <c r="O14" s="172"/>
      <c r="P14" s="149"/>
      <c r="Q14" s="149"/>
      <c r="R14" s="148"/>
      <c r="S14" s="148">
        <f>S13/S9</f>
        <v>6365</v>
      </c>
      <c r="T14" s="148">
        <f t="shared" ref="T14:X14" si="2">T13/T9</f>
        <v>6030</v>
      </c>
      <c r="U14" s="148">
        <f t="shared" si="2"/>
        <v>5695</v>
      </c>
      <c r="V14" s="148">
        <f t="shared" si="2"/>
        <v>5360</v>
      </c>
      <c r="W14" s="148">
        <f t="shared" si="2"/>
        <v>5025</v>
      </c>
      <c r="X14" s="148">
        <f t="shared" si="2"/>
        <v>4690</v>
      </c>
    </row>
    <row r="15" spans="2:24" x14ac:dyDescent="0.2">
      <c r="B15" s="147">
        <v>50</v>
      </c>
      <c r="C15" s="148">
        <f>L15*B15</f>
        <v>103222.80571428573</v>
      </c>
      <c r="D15" s="155"/>
      <c r="E15" s="155"/>
      <c r="F15" s="149"/>
      <c r="G15" s="149"/>
      <c r="H15" s="149"/>
      <c r="I15" s="149"/>
      <c r="J15" s="149"/>
      <c r="L15" s="155">
        <f>M15-$K$9</f>
        <v>2064.4561142857146</v>
      </c>
      <c r="M15" s="149">
        <f>$K$9*2.1</f>
        <v>3941.2344000000003</v>
      </c>
      <c r="N15" s="149">
        <f>(N13-(N13*P6))-K9</f>
        <v>3791.4217142857142</v>
      </c>
      <c r="O15" s="149"/>
      <c r="P15" s="149"/>
      <c r="Q15" s="149"/>
      <c r="R15" s="148"/>
      <c r="S15" s="172" t="s">
        <v>78</v>
      </c>
      <c r="T15" s="172" t="s">
        <v>78</v>
      </c>
      <c r="U15" s="172" t="s">
        <v>78</v>
      </c>
      <c r="V15" s="172" t="s">
        <v>78</v>
      </c>
      <c r="W15" s="172" t="s">
        <v>78</v>
      </c>
      <c r="X15" s="172" t="s">
        <v>78</v>
      </c>
    </row>
    <row r="16" spans="2:24" x14ac:dyDescent="0.2">
      <c r="B16" s="147"/>
      <c r="C16" s="148"/>
      <c r="D16" s="149"/>
      <c r="E16" s="149"/>
      <c r="F16" s="149"/>
      <c r="G16" s="149"/>
      <c r="H16" s="149"/>
      <c r="I16" s="149"/>
      <c r="J16" s="149"/>
      <c r="L16" s="149"/>
      <c r="M16" s="149"/>
      <c r="N16" s="149"/>
      <c r="O16" s="149"/>
      <c r="P16" s="149"/>
      <c r="Q16" s="149"/>
      <c r="R16" s="148"/>
      <c r="S16" s="148">
        <f>(S13-S11)-(S13*$P$5)</f>
        <v>198951.08571428573</v>
      </c>
      <c r="T16" s="148">
        <f t="shared" ref="T16:X16" si="3">(T13-T11)-(T13*$P$5)</f>
        <v>367082.17142857146</v>
      </c>
      <c r="U16" s="148">
        <f t="shared" si="3"/>
        <v>672524.34285714291</v>
      </c>
      <c r="V16" s="148">
        <f t="shared" si="3"/>
        <v>1527210.857142857</v>
      </c>
      <c r="W16" s="148">
        <f t="shared" si="3"/>
        <v>2746221.7142857141</v>
      </c>
      <c r="X16" s="148">
        <f t="shared" si="3"/>
        <v>4876043.4285714282</v>
      </c>
    </row>
    <row r="17" spans="2:24" x14ac:dyDescent="0.2">
      <c r="B17" s="147">
        <v>100</v>
      </c>
      <c r="C17" s="148">
        <f>L17*B17</f>
        <v>187677.82857142857</v>
      </c>
      <c r="D17" s="155"/>
      <c r="E17" s="155"/>
      <c r="F17" s="155"/>
      <c r="G17" s="155"/>
      <c r="H17" s="155"/>
      <c r="I17" s="155"/>
      <c r="J17" s="155"/>
      <c r="L17" s="155">
        <f>M17-$K$9</f>
        <v>1876.7782857142859</v>
      </c>
      <c r="M17" s="149">
        <f>$K$9*2</f>
        <v>3753.5565714285717</v>
      </c>
      <c r="N17" s="155"/>
      <c r="O17" s="155"/>
      <c r="P17" s="149"/>
      <c r="Q17" s="155"/>
      <c r="R17" s="156"/>
      <c r="S17" s="148">
        <f>S16/S9</f>
        <v>3979.0217142857146</v>
      </c>
      <c r="T17" s="148">
        <f t="shared" ref="T17:X17" si="4">T16/T9</f>
        <v>3670.8217142857147</v>
      </c>
      <c r="U17" s="148">
        <f t="shared" si="4"/>
        <v>3362.6217142857145</v>
      </c>
      <c r="V17" s="148">
        <f t="shared" si="4"/>
        <v>3054.4217142857142</v>
      </c>
      <c r="W17" s="148">
        <f t="shared" si="4"/>
        <v>2746.2217142857139</v>
      </c>
      <c r="X17" s="148">
        <f t="shared" si="4"/>
        <v>2438.0217142857141</v>
      </c>
    </row>
    <row r="18" spans="2:24" x14ac:dyDescent="0.2">
      <c r="B18" s="147"/>
      <c r="C18" s="156"/>
      <c r="D18" s="155"/>
      <c r="E18" s="155"/>
      <c r="F18" s="155"/>
      <c r="G18" s="155"/>
      <c r="H18" s="155"/>
      <c r="I18" s="155"/>
      <c r="J18" s="155"/>
      <c r="K18" s="149"/>
      <c r="L18" s="149"/>
      <c r="M18" s="149"/>
      <c r="N18" s="149"/>
      <c r="O18" s="149"/>
      <c r="P18" s="155"/>
      <c r="Q18" s="149"/>
      <c r="R18" s="148"/>
      <c r="S18" s="169" t="s">
        <v>65</v>
      </c>
      <c r="T18" s="169" t="s">
        <v>65</v>
      </c>
      <c r="U18" s="169" t="s">
        <v>65</v>
      </c>
      <c r="V18" s="169" t="s">
        <v>65</v>
      </c>
      <c r="W18" s="169" t="s">
        <v>65</v>
      </c>
      <c r="X18" s="169" t="s">
        <v>65</v>
      </c>
    </row>
    <row r="19" spans="2:24" x14ac:dyDescent="0.2">
      <c r="B19" s="147"/>
      <c r="C19" s="148"/>
      <c r="D19" s="155"/>
      <c r="E19" s="155"/>
      <c r="F19" s="155"/>
      <c r="G19" s="155"/>
      <c r="H19" s="155"/>
      <c r="I19" s="155"/>
      <c r="J19" s="155"/>
      <c r="K19" s="149"/>
      <c r="L19" s="149"/>
      <c r="M19" s="149"/>
      <c r="N19" s="149"/>
      <c r="O19" s="149"/>
      <c r="P19" s="149"/>
      <c r="Q19" s="149"/>
      <c r="R19" s="148"/>
      <c r="S19" s="148">
        <f>S13-(S13*S20)</f>
        <v>286425</v>
      </c>
      <c r="T19" s="148">
        <f t="shared" ref="T19:X19" si="5">T13-(T13*T20)</f>
        <v>542700</v>
      </c>
      <c r="U19" s="148">
        <f t="shared" si="5"/>
        <v>1025100</v>
      </c>
      <c r="V19" s="148">
        <f t="shared" si="5"/>
        <v>2412000</v>
      </c>
      <c r="W19" s="148">
        <f t="shared" si="5"/>
        <v>4522500</v>
      </c>
      <c r="X19" s="148">
        <f t="shared" si="5"/>
        <v>8442000</v>
      </c>
    </row>
    <row r="20" spans="2:24" x14ac:dyDescent="0.2">
      <c r="B20" s="147"/>
      <c r="C20" s="156"/>
      <c r="D20" s="155"/>
      <c r="E20" s="155"/>
      <c r="F20" s="155"/>
      <c r="G20" s="155"/>
      <c r="H20" s="155"/>
      <c r="I20" s="155"/>
      <c r="J20" s="155"/>
      <c r="K20" s="149"/>
      <c r="L20" s="149"/>
      <c r="M20" s="149"/>
      <c r="N20" s="149"/>
      <c r="O20" s="149"/>
      <c r="P20" s="149"/>
      <c r="Q20" s="149"/>
      <c r="R20" s="148"/>
      <c r="S20" s="154">
        <v>0.1</v>
      </c>
      <c r="T20" s="154">
        <v>0.1</v>
      </c>
      <c r="U20" s="154">
        <v>0.1</v>
      </c>
      <c r="V20" s="154">
        <v>0.1</v>
      </c>
      <c r="W20" s="154">
        <v>0.1</v>
      </c>
      <c r="X20" s="154">
        <v>0.1</v>
      </c>
    </row>
    <row r="21" spans="2:24" x14ac:dyDescent="0.2">
      <c r="B21" s="147"/>
      <c r="C21" s="156"/>
      <c r="D21" s="155"/>
      <c r="E21" s="155"/>
      <c r="F21" s="155"/>
      <c r="G21" s="155"/>
      <c r="H21" s="155"/>
      <c r="I21" s="155"/>
      <c r="J21" s="155"/>
      <c r="K21" s="149"/>
      <c r="L21" s="149"/>
      <c r="M21" s="149"/>
      <c r="N21" s="149"/>
      <c r="O21" s="149"/>
      <c r="P21" s="149"/>
      <c r="Q21" s="149"/>
      <c r="R21" s="148"/>
      <c r="S21" s="148">
        <f>S19/S9</f>
        <v>5728.5</v>
      </c>
      <c r="T21" s="148">
        <f>T19/T9</f>
        <v>5427</v>
      </c>
      <c r="U21" s="148">
        <f t="shared" ref="U21:X21" si="6">U19/U9</f>
        <v>5125.5</v>
      </c>
      <c r="V21" s="148">
        <f t="shared" si="6"/>
        <v>4824</v>
      </c>
      <c r="W21" s="148">
        <f t="shared" si="6"/>
        <v>4522.5</v>
      </c>
      <c r="X21" s="148">
        <f t="shared" si="6"/>
        <v>4221</v>
      </c>
    </row>
    <row r="22" spans="2:24" x14ac:dyDescent="0.2">
      <c r="B22" s="147"/>
      <c r="C22" s="156"/>
      <c r="D22" s="155"/>
      <c r="E22" s="155"/>
      <c r="F22" s="155"/>
      <c r="G22" s="155"/>
      <c r="H22" s="155"/>
      <c r="I22" s="155"/>
      <c r="J22" s="155"/>
      <c r="K22" s="149"/>
      <c r="L22" s="149"/>
      <c r="M22" s="149"/>
      <c r="N22" s="149"/>
      <c r="O22" s="149"/>
      <c r="P22" s="149"/>
      <c r="Q22" s="149"/>
      <c r="R22" s="148"/>
      <c r="S22" s="172" t="s">
        <v>81</v>
      </c>
      <c r="T22" s="172" t="s">
        <v>81</v>
      </c>
      <c r="U22" s="172" t="s">
        <v>81</v>
      </c>
      <c r="V22" s="172" t="s">
        <v>81</v>
      </c>
      <c r="W22" s="172" t="s">
        <v>81</v>
      </c>
      <c r="X22" s="172" t="s">
        <v>81</v>
      </c>
    </row>
    <row r="23" spans="2:24" x14ac:dyDescent="0.2">
      <c r="B23" s="147"/>
      <c r="C23" s="156"/>
      <c r="D23" s="155"/>
      <c r="E23" s="155"/>
      <c r="F23" s="155"/>
      <c r="G23" s="155"/>
      <c r="H23" s="155"/>
      <c r="I23" s="155"/>
      <c r="J23" s="155"/>
      <c r="K23" s="149"/>
      <c r="L23" s="155"/>
      <c r="M23" s="155"/>
      <c r="N23" s="155"/>
      <c r="O23" s="155"/>
      <c r="P23" s="149"/>
      <c r="Q23" s="155"/>
      <c r="R23" s="156"/>
      <c r="S23" s="148">
        <f>S19-(S19*$P$4)-S11</f>
        <v>192586.08571428573</v>
      </c>
      <c r="T23" s="148">
        <f t="shared" ref="T23:X23" si="7">T19-(T19*$P$4)-T11</f>
        <v>355022.17142857146</v>
      </c>
      <c r="U23" s="148">
        <f t="shared" si="7"/>
        <v>649744.34285714291</v>
      </c>
      <c r="V23" s="148">
        <f t="shared" si="7"/>
        <v>1473610.857142857</v>
      </c>
      <c r="W23" s="148">
        <f t="shared" si="7"/>
        <v>2645721.7142857141</v>
      </c>
      <c r="X23" s="148">
        <f t="shared" si="7"/>
        <v>4688443.4285714282</v>
      </c>
    </row>
    <row r="24" spans="2:24" x14ac:dyDescent="0.2">
      <c r="B24" s="147"/>
      <c r="C24" s="156"/>
      <c r="D24" s="155"/>
      <c r="E24" s="155"/>
      <c r="F24" s="155"/>
      <c r="G24" s="155"/>
      <c r="H24" s="155"/>
      <c r="I24" s="155"/>
      <c r="J24" s="155"/>
      <c r="K24" s="149"/>
      <c r="L24" s="149"/>
      <c r="M24" s="149"/>
      <c r="N24" s="149"/>
      <c r="O24" s="149"/>
      <c r="P24" s="149"/>
      <c r="Q24" s="149"/>
      <c r="R24" s="148"/>
      <c r="S24" s="156">
        <f t="shared" ref="S24:X24" si="8">S23/S9</f>
        <v>3851.7217142857144</v>
      </c>
      <c r="T24" s="156">
        <f t="shared" si="8"/>
        <v>3550.2217142857144</v>
      </c>
      <c r="U24" s="156">
        <f t="shared" si="8"/>
        <v>3248.7217142857144</v>
      </c>
      <c r="V24" s="156">
        <f t="shared" si="8"/>
        <v>2947.2217142857139</v>
      </c>
      <c r="W24" s="156">
        <f t="shared" si="8"/>
        <v>2645.7217142857139</v>
      </c>
      <c r="X24" s="156">
        <f t="shared" si="8"/>
        <v>2344.2217142857139</v>
      </c>
    </row>
    <row r="29" spans="2:24" x14ac:dyDescent="0.2">
      <c r="J29" s="147"/>
      <c r="K29" s="149"/>
      <c r="L29" s="149"/>
      <c r="M29" s="149"/>
      <c r="N29" s="151">
        <v>0.1</v>
      </c>
      <c r="O29" s="151"/>
      <c r="P29" s="151">
        <v>0.08</v>
      </c>
      <c r="Q29" s="149"/>
      <c r="R29" s="148"/>
      <c r="S29" s="148"/>
      <c r="T29" s="148"/>
      <c r="U29" s="148"/>
      <c r="V29" s="148"/>
      <c r="W29" s="149"/>
      <c r="X29" s="149"/>
    </row>
    <row r="30" spans="2:24" x14ac:dyDescent="0.2">
      <c r="J30" s="149"/>
      <c r="K30" s="149"/>
      <c r="L30" s="149"/>
      <c r="M30" s="149"/>
      <c r="N30" s="153">
        <v>0.09</v>
      </c>
      <c r="O30" s="153"/>
      <c r="P30" s="153">
        <v>0.06</v>
      </c>
      <c r="Q30" s="149"/>
      <c r="R30" s="148"/>
      <c r="S30" s="148"/>
      <c r="T30" s="148"/>
      <c r="U30" s="148"/>
      <c r="V30" s="148"/>
      <c r="W30" s="149"/>
      <c r="X30" s="149"/>
    </row>
    <row r="31" spans="2:24" x14ac:dyDescent="0.2">
      <c r="J31" s="149"/>
      <c r="K31" s="149"/>
      <c r="L31" s="149"/>
      <c r="M31" s="149"/>
      <c r="N31" s="154">
        <f>N30+N29</f>
        <v>0.19</v>
      </c>
      <c r="O31" s="154"/>
      <c r="P31" s="154">
        <f>P30+P29</f>
        <v>0.14000000000000001</v>
      </c>
      <c r="Q31" s="155"/>
      <c r="R31" s="156"/>
      <c r="S31" s="157" t="s">
        <v>76</v>
      </c>
      <c r="T31" s="157" t="s">
        <v>76</v>
      </c>
      <c r="U31" s="157" t="s">
        <v>76</v>
      </c>
      <c r="V31" s="157" t="s">
        <v>76</v>
      </c>
      <c r="W31" s="157" t="s">
        <v>76</v>
      </c>
      <c r="X31" s="157" t="s">
        <v>76</v>
      </c>
    </row>
    <row r="32" spans="2:24" x14ac:dyDescent="0.2">
      <c r="B32" s="483" t="s">
        <v>181</v>
      </c>
      <c r="C32" s="158" t="s">
        <v>114</v>
      </c>
      <c r="D32" s="159" t="s">
        <v>115</v>
      </c>
      <c r="E32" s="160" t="s">
        <v>116</v>
      </c>
      <c r="F32" s="160" t="s">
        <v>117</v>
      </c>
      <c r="G32" s="159" t="s">
        <v>118</v>
      </c>
      <c r="H32" s="159" t="s">
        <v>177</v>
      </c>
      <c r="I32" s="159" t="s">
        <v>180</v>
      </c>
      <c r="J32" s="147"/>
      <c r="K32" s="161" t="s">
        <v>6</v>
      </c>
      <c r="L32" s="162" t="s">
        <v>7</v>
      </c>
      <c r="M32" s="163" t="s">
        <v>80</v>
      </c>
      <c r="N32" s="164" t="s">
        <v>77</v>
      </c>
      <c r="O32" s="164" t="s">
        <v>77</v>
      </c>
      <c r="P32" s="165" t="s">
        <v>79</v>
      </c>
      <c r="Q32" s="149"/>
      <c r="R32" s="148"/>
      <c r="S32" s="154">
        <v>0.05</v>
      </c>
      <c r="T32" s="154">
        <v>0.1</v>
      </c>
      <c r="U32" s="154">
        <v>0.15</v>
      </c>
      <c r="V32" s="154">
        <v>0.2</v>
      </c>
      <c r="W32" s="154">
        <v>0.25</v>
      </c>
      <c r="X32" s="154">
        <v>0.3</v>
      </c>
    </row>
    <row r="33" spans="2:24" x14ac:dyDescent="0.2">
      <c r="B33" s="483"/>
      <c r="C33" s="203">
        <f>Insumos!J22</f>
        <v>1264.2916666666667</v>
      </c>
      <c r="D33" s="203">
        <f>Insumos!J12*200</f>
        <v>986</v>
      </c>
      <c r="E33" s="203">
        <f>(Insumos!G15/21)+(Insumos!G27/21)</f>
        <v>20.976190476190474</v>
      </c>
      <c r="F33" s="203">
        <f>Insumos!J9*10</f>
        <v>1100</v>
      </c>
      <c r="G33" s="149">
        <f>G9</f>
        <v>27.4</v>
      </c>
      <c r="H33" s="203">
        <f>Insumos!N33</f>
        <v>400.5</v>
      </c>
      <c r="I33" s="203">
        <f>(Insumos!G27/20)+(Insumos!G15/20)</f>
        <v>22.024999999999999</v>
      </c>
      <c r="J33" s="147"/>
      <c r="K33" s="149">
        <f>SUM(C33:J33)</f>
        <v>3821.1928571428575</v>
      </c>
      <c r="L33" s="149">
        <f>M33-K33</f>
        <v>7642.3857142857141</v>
      </c>
      <c r="M33" s="149">
        <f>K33*3</f>
        <v>11463.578571428572</v>
      </c>
      <c r="N33" s="166">
        <f>ROUND(O33/50,0)*50</f>
        <v>13650</v>
      </c>
      <c r="O33" s="166">
        <f>(L33+K33)+((K33+L33)*(N31))</f>
        <v>13641.658500000001</v>
      </c>
      <c r="P33" s="149">
        <f>N33-(N33*P31)-K33</f>
        <v>7917.807142857142</v>
      </c>
      <c r="Q33" s="149"/>
      <c r="R33" s="148"/>
      <c r="S33" s="167">
        <v>50</v>
      </c>
      <c r="T33" s="167">
        <v>100</v>
      </c>
      <c r="U33" s="167">
        <v>200</v>
      </c>
      <c r="V33" s="167">
        <v>500</v>
      </c>
      <c r="W33" s="167">
        <v>1000</v>
      </c>
      <c r="X33" s="167">
        <v>2000</v>
      </c>
    </row>
    <row r="34" spans="2:24" x14ac:dyDescent="0.2">
      <c r="J34" s="149"/>
      <c r="K34" s="149"/>
      <c r="L34" s="149"/>
      <c r="M34" s="149"/>
      <c r="N34" s="149"/>
      <c r="O34" s="149"/>
      <c r="P34" s="149"/>
      <c r="Q34" s="149"/>
      <c r="R34" s="148"/>
      <c r="S34" s="168" t="s">
        <v>6</v>
      </c>
      <c r="T34" s="168" t="s">
        <v>6</v>
      </c>
      <c r="U34" s="168" t="s">
        <v>6</v>
      </c>
      <c r="V34" s="168" t="s">
        <v>6</v>
      </c>
      <c r="W34" s="168" t="s">
        <v>6</v>
      </c>
      <c r="X34" s="168" t="s">
        <v>6</v>
      </c>
    </row>
    <row r="35" spans="2:24" x14ac:dyDescent="0.2">
      <c r="J35" s="155"/>
      <c r="K35" s="149"/>
      <c r="L35" s="155"/>
      <c r="M35" s="149"/>
      <c r="N35" s="149"/>
      <c r="O35" s="149"/>
      <c r="P35" s="155"/>
      <c r="Q35" s="149"/>
      <c r="R35" s="148"/>
      <c r="S35" s="148">
        <f>K33*S33</f>
        <v>191059.64285714287</v>
      </c>
      <c r="T35" s="148">
        <f>K33*T33</f>
        <v>382119.28571428574</v>
      </c>
      <c r="U35" s="148">
        <f>$K$9*U33</f>
        <v>375355.65714285715</v>
      </c>
      <c r="V35" s="148">
        <f t="shared" ref="V35:X35" si="9">$K$9*V33</f>
        <v>938389.14285714296</v>
      </c>
      <c r="W35" s="148">
        <f t="shared" si="9"/>
        <v>1876778.2857142859</v>
      </c>
      <c r="X35" s="148">
        <f t="shared" si="9"/>
        <v>3753556.5714285718</v>
      </c>
    </row>
    <row r="36" spans="2:24" x14ac:dyDescent="0.2">
      <c r="J36" s="149"/>
      <c r="K36" s="149"/>
      <c r="L36" s="149"/>
      <c r="M36" s="149"/>
      <c r="N36" s="169" t="s">
        <v>65</v>
      </c>
      <c r="O36" s="169"/>
      <c r="P36" s="149"/>
      <c r="Q36" s="149"/>
      <c r="R36" s="148"/>
      <c r="S36" s="170" t="s">
        <v>77</v>
      </c>
      <c r="T36" s="170" t="s">
        <v>77</v>
      </c>
      <c r="U36" s="170" t="s">
        <v>77</v>
      </c>
      <c r="V36" s="170" t="s">
        <v>77</v>
      </c>
      <c r="W36" s="170" t="s">
        <v>77</v>
      </c>
      <c r="X36" s="170" t="s">
        <v>77</v>
      </c>
    </row>
    <row r="37" spans="2:24" x14ac:dyDescent="0.2">
      <c r="J37" s="147"/>
      <c r="K37" s="149"/>
      <c r="L37" s="149"/>
      <c r="M37" s="149"/>
      <c r="N37" s="149">
        <f>N33-(N33*S44)</f>
        <v>12285</v>
      </c>
      <c r="O37" s="149"/>
      <c r="P37" s="149"/>
      <c r="Q37" s="149"/>
      <c r="R37" s="148"/>
      <c r="S37" s="171">
        <f>($N33*S33)-(($N33*S33)*S32)</f>
        <v>648375</v>
      </c>
      <c r="T37" s="171">
        <f>($N33*T33)-(($N33*T33)*T32)</f>
        <v>1228500</v>
      </c>
      <c r="U37" s="171">
        <f t="shared" ref="U37:X37" si="10">($N33*U33)-(($N33*U33)*U32)</f>
        <v>2320500</v>
      </c>
      <c r="V37" s="171">
        <f t="shared" si="10"/>
        <v>5460000</v>
      </c>
      <c r="W37" s="171">
        <f t="shared" si="10"/>
        <v>10237500</v>
      </c>
      <c r="X37" s="171">
        <f t="shared" si="10"/>
        <v>19110000</v>
      </c>
    </row>
    <row r="38" spans="2:24" x14ac:dyDescent="0.2">
      <c r="J38" s="147"/>
      <c r="K38" s="149"/>
      <c r="L38" s="149"/>
      <c r="M38" s="149"/>
      <c r="N38" s="172" t="s">
        <v>83</v>
      </c>
      <c r="O38" s="172"/>
      <c r="P38" s="149"/>
      <c r="Q38" s="149"/>
      <c r="R38" s="148"/>
      <c r="S38" s="148">
        <f>S37/S33</f>
        <v>12967.5</v>
      </c>
      <c r="T38" s="148">
        <f t="shared" ref="T38:X38" si="11">T37/T33</f>
        <v>12285</v>
      </c>
      <c r="U38" s="148">
        <f t="shared" si="11"/>
        <v>11602.5</v>
      </c>
      <c r="V38" s="148">
        <f t="shared" si="11"/>
        <v>10920</v>
      </c>
      <c r="W38" s="148">
        <f t="shared" si="11"/>
        <v>10237.5</v>
      </c>
      <c r="X38" s="148">
        <f t="shared" si="11"/>
        <v>9555</v>
      </c>
    </row>
    <row r="39" spans="2:24" x14ac:dyDescent="0.2">
      <c r="J39" s="149"/>
      <c r="K39" s="149"/>
      <c r="L39" s="155"/>
      <c r="M39" s="149"/>
      <c r="N39" s="149">
        <f>(N37-(N37*P30))-K33</f>
        <v>7726.7071428571417</v>
      </c>
      <c r="O39" s="149"/>
      <c r="P39" s="149"/>
      <c r="Q39" s="149"/>
      <c r="R39" s="148"/>
      <c r="S39" s="172" t="s">
        <v>78</v>
      </c>
      <c r="T39" s="172" t="s">
        <v>78</v>
      </c>
      <c r="U39" s="172" t="s">
        <v>78</v>
      </c>
      <c r="V39" s="172" t="s">
        <v>78</v>
      </c>
      <c r="W39" s="172" t="s">
        <v>78</v>
      </c>
      <c r="X39" s="172" t="s">
        <v>78</v>
      </c>
    </row>
    <row r="40" spans="2:24" x14ac:dyDescent="0.2">
      <c r="J40" s="149"/>
      <c r="K40" s="149"/>
      <c r="L40" s="149"/>
      <c r="M40" s="149"/>
      <c r="N40" s="149"/>
      <c r="O40" s="149"/>
      <c r="P40" s="149"/>
      <c r="Q40" s="149"/>
      <c r="R40" s="148"/>
      <c r="S40" s="148">
        <f>(S37-S35)-(S37*$P$5)</f>
        <v>405445.35714285716</v>
      </c>
      <c r="T40" s="148">
        <f t="shared" ref="T40:X40" si="12">(T37-T35)-(T37*$P$5)</f>
        <v>748100.71428571432</v>
      </c>
      <c r="U40" s="148">
        <f t="shared" si="12"/>
        <v>1759504.3428571429</v>
      </c>
      <c r="V40" s="148">
        <f t="shared" si="12"/>
        <v>4084810.8571428573</v>
      </c>
      <c r="W40" s="148">
        <f t="shared" si="12"/>
        <v>7541721.7142857146</v>
      </c>
      <c r="X40" s="148">
        <f t="shared" si="12"/>
        <v>13827643.428571429</v>
      </c>
    </row>
    <row r="41" spans="2:24" x14ac:dyDescent="0.2">
      <c r="J41" s="155"/>
      <c r="K41" s="149"/>
      <c r="L41" s="149"/>
      <c r="M41" s="155"/>
      <c r="N41" s="155"/>
      <c r="O41" s="155"/>
      <c r="P41" s="149"/>
      <c r="Q41" s="155"/>
      <c r="R41" s="156"/>
      <c r="S41" s="148">
        <f>S40/S33</f>
        <v>8108.9071428571433</v>
      </c>
      <c r="T41" s="148">
        <f t="shared" ref="T41:X41" si="13">T40/T33</f>
        <v>7481.0071428571428</v>
      </c>
      <c r="U41" s="148">
        <f t="shared" si="13"/>
        <v>8797.5217142857146</v>
      </c>
      <c r="V41" s="148">
        <f t="shared" si="13"/>
        <v>8169.6217142857149</v>
      </c>
      <c r="W41" s="148">
        <f t="shared" si="13"/>
        <v>7541.7217142857144</v>
      </c>
      <c r="X41" s="148">
        <f t="shared" si="13"/>
        <v>6913.8217142857147</v>
      </c>
    </row>
    <row r="42" spans="2:24" x14ac:dyDescent="0.2">
      <c r="J42" s="155"/>
      <c r="K42" s="149"/>
      <c r="L42" s="149"/>
      <c r="M42" s="149"/>
      <c r="N42" s="149"/>
      <c r="O42" s="149"/>
      <c r="P42" s="155"/>
      <c r="Q42" s="149"/>
      <c r="R42" s="148"/>
      <c r="S42" s="169" t="s">
        <v>65</v>
      </c>
      <c r="T42" s="169" t="s">
        <v>65</v>
      </c>
      <c r="U42" s="169" t="s">
        <v>65</v>
      </c>
      <c r="V42" s="169" t="s">
        <v>65</v>
      </c>
      <c r="W42" s="169" t="s">
        <v>65</v>
      </c>
      <c r="X42" s="169" t="s">
        <v>65</v>
      </c>
    </row>
    <row r="43" spans="2:24" x14ac:dyDescent="0.2">
      <c r="J43" s="155"/>
      <c r="K43" s="149"/>
      <c r="L43" s="149"/>
      <c r="M43" s="149"/>
      <c r="N43" s="149"/>
      <c r="O43" s="149"/>
      <c r="P43" s="149"/>
      <c r="Q43" s="149"/>
      <c r="R43" s="148"/>
      <c r="S43" s="148">
        <f>S37-(S37*S44)</f>
        <v>583537.5</v>
      </c>
      <c r="T43" s="148">
        <f t="shared" ref="T43:X43" si="14">T37-(T37*T44)</f>
        <v>1105650</v>
      </c>
      <c r="U43" s="148">
        <f t="shared" si="14"/>
        <v>2088450</v>
      </c>
      <c r="V43" s="148">
        <f t="shared" si="14"/>
        <v>4914000</v>
      </c>
      <c r="W43" s="148">
        <f t="shared" si="14"/>
        <v>9213750</v>
      </c>
      <c r="X43" s="148">
        <f t="shared" si="14"/>
        <v>17199000</v>
      </c>
    </row>
    <row r="44" spans="2:24" x14ac:dyDescent="0.2">
      <c r="J44" s="155"/>
      <c r="K44" s="149"/>
      <c r="L44" s="149"/>
      <c r="M44" s="149"/>
      <c r="N44" s="149"/>
      <c r="O44" s="149"/>
      <c r="P44" s="149"/>
      <c r="Q44" s="149"/>
      <c r="R44" s="148"/>
      <c r="S44" s="154">
        <v>0.1</v>
      </c>
      <c r="T44" s="154">
        <v>0.1</v>
      </c>
      <c r="U44" s="154">
        <v>0.1</v>
      </c>
      <c r="V44" s="154">
        <v>0.1</v>
      </c>
      <c r="W44" s="154">
        <v>0.1</v>
      </c>
      <c r="X44" s="154">
        <v>0.1</v>
      </c>
    </row>
    <row r="45" spans="2:24" x14ac:dyDescent="0.2">
      <c r="J45" s="155"/>
      <c r="K45" s="149"/>
      <c r="L45" s="149"/>
      <c r="M45" s="149"/>
      <c r="N45" s="149"/>
      <c r="O45" s="149"/>
      <c r="P45" s="149"/>
      <c r="Q45" s="149"/>
      <c r="R45" s="148"/>
      <c r="S45" s="148">
        <f>S43/S33</f>
        <v>11670.75</v>
      </c>
      <c r="T45" s="148">
        <f>T43/T33</f>
        <v>11056.5</v>
      </c>
      <c r="U45" s="148">
        <f t="shared" ref="U45:X45" si="15">U43/U33</f>
        <v>10442.25</v>
      </c>
      <c r="V45" s="148">
        <f t="shared" si="15"/>
        <v>9828</v>
      </c>
      <c r="W45" s="148">
        <f t="shared" si="15"/>
        <v>9213.75</v>
      </c>
      <c r="X45" s="148">
        <f t="shared" si="15"/>
        <v>8599.5</v>
      </c>
    </row>
    <row r="46" spans="2:24" x14ac:dyDescent="0.2">
      <c r="J46" s="155"/>
      <c r="K46" s="149"/>
      <c r="L46" s="149"/>
      <c r="M46" s="149"/>
      <c r="N46" s="149"/>
      <c r="O46" s="149"/>
      <c r="P46" s="149"/>
      <c r="Q46" s="149"/>
      <c r="R46" s="148"/>
      <c r="S46" s="172" t="s">
        <v>81</v>
      </c>
      <c r="T46" s="172" t="s">
        <v>81</v>
      </c>
      <c r="U46" s="172" t="s">
        <v>81</v>
      </c>
      <c r="V46" s="172" t="s">
        <v>81</v>
      </c>
      <c r="W46" s="172" t="s">
        <v>81</v>
      </c>
      <c r="X46" s="172" t="s">
        <v>81</v>
      </c>
    </row>
    <row r="47" spans="2:24" x14ac:dyDescent="0.2">
      <c r="J47" s="155"/>
      <c r="K47" s="149"/>
      <c r="L47" s="155"/>
      <c r="M47" s="155"/>
      <c r="N47" s="155"/>
      <c r="O47" s="155"/>
      <c r="P47" s="149"/>
      <c r="Q47" s="155"/>
      <c r="R47" s="156"/>
      <c r="S47" s="148">
        <f>S43-(S43*$P$4)-S35</f>
        <v>392477.85714285716</v>
      </c>
      <c r="T47" s="148">
        <f t="shared" ref="T47:X47" si="16">T43-(T43*$P$4)-T35</f>
        <v>723530.71428571432</v>
      </c>
      <c r="U47" s="148">
        <f t="shared" si="16"/>
        <v>1713094.3428571429</v>
      </c>
      <c r="V47" s="148">
        <f t="shared" si="16"/>
        <v>3975610.8571428573</v>
      </c>
      <c r="W47" s="148">
        <f t="shared" si="16"/>
        <v>7336971.7142857146</v>
      </c>
      <c r="X47" s="148">
        <f t="shared" si="16"/>
        <v>13445443.428571429</v>
      </c>
    </row>
    <row r="48" spans="2:24" x14ac:dyDescent="0.2">
      <c r="J48" s="155"/>
      <c r="K48" s="149"/>
      <c r="L48" s="149"/>
      <c r="M48" s="149"/>
      <c r="N48" s="149"/>
      <c r="O48" s="149"/>
      <c r="P48" s="149"/>
      <c r="Q48" s="149"/>
      <c r="R48" s="148"/>
      <c r="S48" s="156">
        <f t="shared" ref="S48:X48" si="17">S47/S33</f>
        <v>7849.5571428571429</v>
      </c>
      <c r="T48" s="156">
        <f t="shared" si="17"/>
        <v>7235.3071428571429</v>
      </c>
      <c r="U48" s="156">
        <f t="shared" si="17"/>
        <v>8565.4717142857153</v>
      </c>
      <c r="V48" s="156">
        <f t="shared" si="17"/>
        <v>7951.2217142857144</v>
      </c>
      <c r="W48" s="156">
        <f t="shared" si="17"/>
        <v>7336.9717142857144</v>
      </c>
      <c r="X48" s="156">
        <f t="shared" si="17"/>
        <v>6722.7217142857144</v>
      </c>
    </row>
    <row r="52" spans="2:24" x14ac:dyDescent="0.2">
      <c r="J52" s="147"/>
      <c r="K52" s="149"/>
      <c r="L52" s="149"/>
      <c r="M52" s="149"/>
      <c r="N52" s="151">
        <v>0.1</v>
      </c>
      <c r="O52" s="151"/>
      <c r="P52" s="151">
        <v>0.08</v>
      </c>
      <c r="Q52" s="149"/>
      <c r="R52" s="148"/>
      <c r="S52" s="148"/>
      <c r="T52" s="148"/>
      <c r="U52" s="148"/>
      <c r="V52" s="148"/>
      <c r="W52" s="149"/>
      <c r="X52" s="149"/>
    </row>
    <row r="53" spans="2:24" x14ac:dyDescent="0.2">
      <c r="J53" s="149"/>
      <c r="K53" s="149"/>
      <c r="L53" s="149"/>
      <c r="M53" s="149"/>
      <c r="N53" s="153">
        <v>0.09</v>
      </c>
      <c r="O53" s="153"/>
      <c r="P53" s="153">
        <v>0.06</v>
      </c>
      <c r="Q53" s="149"/>
      <c r="R53" s="148"/>
      <c r="S53" s="148"/>
      <c r="T53" s="148"/>
      <c r="U53" s="148"/>
      <c r="V53" s="148"/>
      <c r="W53" s="149"/>
      <c r="X53" s="149"/>
    </row>
    <row r="54" spans="2:24" x14ac:dyDescent="0.2">
      <c r="J54" s="149"/>
      <c r="K54" s="149"/>
      <c r="L54" s="149"/>
      <c r="M54" s="149"/>
      <c r="N54" s="154">
        <f>N53+N52</f>
        <v>0.19</v>
      </c>
      <c r="O54" s="154"/>
      <c r="P54" s="154">
        <f>P53+P52</f>
        <v>0.14000000000000001</v>
      </c>
      <c r="Q54" s="155"/>
      <c r="R54" s="156"/>
      <c r="S54" s="157" t="s">
        <v>76</v>
      </c>
      <c r="T54" s="157" t="s">
        <v>76</v>
      </c>
      <c r="U54" s="157" t="s">
        <v>76</v>
      </c>
      <c r="V54" s="157" t="s">
        <v>76</v>
      </c>
      <c r="W54" s="157" t="s">
        <v>76</v>
      </c>
      <c r="X54" s="157" t="s">
        <v>76</v>
      </c>
    </row>
    <row r="55" spans="2:24" x14ac:dyDescent="0.2">
      <c r="B55" s="483" t="s">
        <v>163</v>
      </c>
      <c r="C55" s="158" t="s">
        <v>114</v>
      </c>
      <c r="D55" s="159" t="s">
        <v>115</v>
      </c>
      <c r="E55" s="160" t="s">
        <v>116</v>
      </c>
      <c r="F55" s="160" t="s">
        <v>117</v>
      </c>
      <c r="G55" s="159" t="s">
        <v>118</v>
      </c>
      <c r="H55" s="159" t="s">
        <v>177</v>
      </c>
      <c r="I55" s="159" t="s">
        <v>180</v>
      </c>
      <c r="J55" s="147"/>
      <c r="K55" s="161" t="s">
        <v>6</v>
      </c>
      <c r="L55" s="162" t="s">
        <v>7</v>
      </c>
      <c r="M55" s="163" t="s">
        <v>80</v>
      </c>
      <c r="N55" s="164" t="s">
        <v>77</v>
      </c>
      <c r="O55" s="164" t="s">
        <v>77</v>
      </c>
      <c r="P55" s="165" t="s">
        <v>79</v>
      </c>
      <c r="Q55" s="149"/>
      <c r="R55" s="148"/>
      <c r="S55" s="154">
        <v>0.05</v>
      </c>
      <c r="T55" s="154">
        <v>0.1</v>
      </c>
      <c r="U55" s="154">
        <v>0.15</v>
      </c>
      <c r="V55" s="154">
        <v>0.2</v>
      </c>
      <c r="W55" s="154">
        <v>0.25</v>
      </c>
      <c r="X55" s="154">
        <v>0.3</v>
      </c>
    </row>
    <row r="56" spans="2:24" x14ac:dyDescent="0.2">
      <c r="B56" s="483"/>
      <c r="C56" s="203">
        <f>C33</f>
        <v>1264.2916666666667</v>
      </c>
      <c r="D56" s="203">
        <f>D33</f>
        <v>986</v>
      </c>
      <c r="E56" s="203">
        <f>E33</f>
        <v>20.976190476190474</v>
      </c>
      <c r="F56" s="203">
        <f>F33</f>
        <v>1100</v>
      </c>
      <c r="G56" s="149">
        <f>G33</f>
        <v>27.4</v>
      </c>
      <c r="H56" s="203"/>
      <c r="I56" s="203"/>
      <c r="J56" s="147"/>
      <c r="K56" s="149">
        <f>SUM(C56:J56)</f>
        <v>3398.6678571428574</v>
      </c>
      <c r="L56" s="149">
        <f>M56-K56</f>
        <v>6797.3357142857158</v>
      </c>
      <c r="M56" s="149">
        <f>K56*3</f>
        <v>10196.003571428573</v>
      </c>
      <c r="N56" s="166">
        <f>ROUND(O56/50,0)*50</f>
        <v>12150</v>
      </c>
      <c r="O56" s="166">
        <f>(L56+K56)+((K56+L56)*(N54))</f>
        <v>12133.244250000002</v>
      </c>
      <c r="P56" s="149">
        <f>N56-(N56*P54)-K56</f>
        <v>7050.3321428571426</v>
      </c>
      <c r="Q56" s="149"/>
      <c r="R56" s="148"/>
      <c r="S56" s="167">
        <v>50</v>
      </c>
      <c r="T56" s="167">
        <v>100</v>
      </c>
      <c r="U56" s="167">
        <v>200</v>
      </c>
      <c r="V56" s="167">
        <v>500</v>
      </c>
      <c r="W56" s="167">
        <v>1000</v>
      </c>
      <c r="X56" s="167">
        <v>2000</v>
      </c>
    </row>
    <row r="57" spans="2:24" x14ac:dyDescent="0.2">
      <c r="J57" s="149"/>
      <c r="K57" s="149"/>
      <c r="L57" s="149"/>
      <c r="M57" s="149"/>
      <c r="N57" s="149"/>
      <c r="O57" s="149"/>
      <c r="P57" s="149"/>
      <c r="Q57" s="149"/>
      <c r="R57" s="148"/>
      <c r="S57" s="168" t="s">
        <v>6</v>
      </c>
      <c r="T57" s="168" t="s">
        <v>6</v>
      </c>
      <c r="U57" s="168" t="s">
        <v>6</v>
      </c>
      <c r="V57" s="168" t="s">
        <v>6</v>
      </c>
      <c r="W57" s="168" t="s">
        <v>6</v>
      </c>
      <c r="X57" s="168" t="s">
        <v>6</v>
      </c>
    </row>
    <row r="58" spans="2:24" x14ac:dyDescent="0.2">
      <c r="J58" s="155"/>
      <c r="K58" s="149"/>
      <c r="L58" s="155"/>
      <c r="M58" s="149"/>
      <c r="N58" s="149"/>
      <c r="O58" s="149"/>
      <c r="P58" s="155"/>
      <c r="Q58" s="149"/>
      <c r="R58" s="148"/>
      <c r="S58" s="148">
        <f>K56*S56</f>
        <v>169933.39285714287</v>
      </c>
      <c r="T58" s="148">
        <f>K56*T56</f>
        <v>339866.78571428574</v>
      </c>
      <c r="U58" s="148">
        <f>$K$9*U56</f>
        <v>375355.65714285715</v>
      </c>
      <c r="V58" s="148">
        <f t="shared" ref="V58:X58" si="18">$K$9*V56</f>
        <v>938389.14285714296</v>
      </c>
      <c r="W58" s="148">
        <f t="shared" si="18"/>
        <v>1876778.2857142859</v>
      </c>
      <c r="X58" s="148">
        <f t="shared" si="18"/>
        <v>3753556.5714285718</v>
      </c>
    </row>
    <row r="59" spans="2:24" x14ac:dyDescent="0.2">
      <c r="J59" s="149"/>
      <c r="K59" s="149"/>
      <c r="L59" s="149"/>
      <c r="M59" s="149"/>
      <c r="N59" s="169" t="s">
        <v>65</v>
      </c>
      <c r="O59" s="169"/>
      <c r="P59" s="149"/>
      <c r="Q59" s="149"/>
      <c r="R59" s="148"/>
      <c r="S59" s="170" t="s">
        <v>77</v>
      </c>
      <c r="T59" s="170" t="s">
        <v>77</v>
      </c>
      <c r="U59" s="170" t="s">
        <v>77</v>
      </c>
      <c r="V59" s="170" t="s">
        <v>77</v>
      </c>
      <c r="W59" s="170" t="s">
        <v>77</v>
      </c>
      <c r="X59" s="170" t="s">
        <v>77</v>
      </c>
    </row>
    <row r="60" spans="2:24" x14ac:dyDescent="0.2">
      <c r="J60" s="147"/>
      <c r="K60" s="149"/>
      <c r="L60" s="149"/>
      <c r="M60" s="149"/>
      <c r="N60" s="149">
        <f>N56-(N56*S67)</f>
        <v>10935</v>
      </c>
      <c r="O60" s="149"/>
      <c r="P60" s="149"/>
      <c r="Q60" s="149"/>
      <c r="R60" s="148"/>
      <c r="S60" s="171">
        <f>($N56*S56)-(($N56*S56)*S55)</f>
        <v>577125</v>
      </c>
      <c r="T60" s="171">
        <f>($N56*T56)-(($N56*T56)*T55)</f>
        <v>1093500</v>
      </c>
      <c r="U60" s="171">
        <f t="shared" ref="U60:X60" si="19">($N56*U56)-(($N56*U56)*U55)</f>
        <v>2065500</v>
      </c>
      <c r="V60" s="171">
        <f t="shared" si="19"/>
        <v>4860000</v>
      </c>
      <c r="W60" s="171">
        <f t="shared" si="19"/>
        <v>9112500</v>
      </c>
      <c r="X60" s="171">
        <f t="shared" si="19"/>
        <v>17010000</v>
      </c>
    </row>
    <row r="61" spans="2:24" x14ac:dyDescent="0.2">
      <c r="J61" s="147"/>
      <c r="K61" s="149"/>
      <c r="L61" s="149"/>
      <c r="M61" s="149"/>
      <c r="N61" s="172" t="s">
        <v>83</v>
      </c>
      <c r="O61" s="172"/>
      <c r="P61" s="149"/>
      <c r="Q61" s="149"/>
      <c r="R61" s="148"/>
      <c r="S61" s="148">
        <f>S60/S56</f>
        <v>11542.5</v>
      </c>
      <c r="T61" s="148">
        <f t="shared" ref="T61:X61" si="20">T60/T56</f>
        <v>10935</v>
      </c>
      <c r="U61" s="148">
        <f t="shared" si="20"/>
        <v>10327.5</v>
      </c>
      <c r="V61" s="148">
        <f t="shared" si="20"/>
        <v>9720</v>
      </c>
      <c r="W61" s="148">
        <f t="shared" si="20"/>
        <v>9112.5</v>
      </c>
      <c r="X61" s="148">
        <f t="shared" si="20"/>
        <v>8505</v>
      </c>
    </row>
    <row r="62" spans="2:24" x14ac:dyDescent="0.2">
      <c r="J62" s="149"/>
      <c r="K62" s="149"/>
      <c r="L62" s="155"/>
      <c r="M62" s="149"/>
      <c r="N62" s="149">
        <f>(N60-(N60*P53))-K56</f>
        <v>6880.2321428571422</v>
      </c>
      <c r="O62" s="149"/>
      <c r="P62" s="149"/>
      <c r="Q62" s="149"/>
      <c r="R62" s="148"/>
      <c r="S62" s="172" t="s">
        <v>78</v>
      </c>
      <c r="T62" s="172" t="s">
        <v>78</v>
      </c>
      <c r="U62" s="172" t="s">
        <v>78</v>
      </c>
      <c r="V62" s="172" t="s">
        <v>78</v>
      </c>
      <c r="W62" s="172" t="s">
        <v>78</v>
      </c>
      <c r="X62" s="172" t="s">
        <v>78</v>
      </c>
    </row>
    <row r="63" spans="2:24" x14ac:dyDescent="0.2">
      <c r="J63" s="149"/>
      <c r="K63" s="149"/>
      <c r="L63" s="149"/>
      <c r="M63" s="149"/>
      <c r="N63" s="149"/>
      <c r="O63" s="149"/>
      <c r="P63" s="149"/>
      <c r="Q63" s="149"/>
      <c r="R63" s="148"/>
      <c r="S63" s="148">
        <f>(S60-S58)-(S60*$P$5)</f>
        <v>361021.60714285716</v>
      </c>
      <c r="T63" s="148">
        <f t="shared" ref="T63:X63" si="21">(T60-T58)-(T60*$P$5)</f>
        <v>666153.21428571432</v>
      </c>
      <c r="U63" s="148">
        <f t="shared" si="21"/>
        <v>1524904.3428571429</v>
      </c>
      <c r="V63" s="148">
        <f t="shared" si="21"/>
        <v>3532810.8571428573</v>
      </c>
      <c r="W63" s="148">
        <f t="shared" si="21"/>
        <v>6506721.7142857146</v>
      </c>
      <c r="X63" s="148">
        <f t="shared" si="21"/>
        <v>11895643.428571429</v>
      </c>
    </row>
    <row r="64" spans="2:24" x14ac:dyDescent="0.2">
      <c r="J64" s="155"/>
      <c r="K64" s="149"/>
      <c r="L64" s="149"/>
      <c r="M64" s="155"/>
      <c r="N64" s="155"/>
      <c r="O64" s="155"/>
      <c r="P64" s="149"/>
      <c r="Q64" s="155"/>
      <c r="R64" s="156"/>
      <c r="S64" s="148">
        <f>S63/S56</f>
        <v>7220.4321428571429</v>
      </c>
      <c r="T64" s="148">
        <f t="shared" ref="T64:X64" si="22">T63/T56</f>
        <v>6661.5321428571433</v>
      </c>
      <c r="U64" s="148">
        <f t="shared" si="22"/>
        <v>7624.5217142857146</v>
      </c>
      <c r="V64" s="148">
        <f t="shared" si="22"/>
        <v>7065.6217142857149</v>
      </c>
      <c r="W64" s="148">
        <f t="shared" si="22"/>
        <v>6506.7217142857144</v>
      </c>
      <c r="X64" s="148">
        <f t="shared" si="22"/>
        <v>5947.8217142857147</v>
      </c>
    </row>
    <row r="65" spans="2:24" x14ac:dyDescent="0.2">
      <c r="J65" s="155"/>
      <c r="K65" s="149"/>
      <c r="L65" s="149"/>
      <c r="M65" s="149"/>
      <c r="N65" s="149"/>
      <c r="O65" s="149"/>
      <c r="P65" s="155"/>
      <c r="Q65" s="149"/>
      <c r="R65" s="148"/>
      <c r="S65" s="169" t="s">
        <v>65</v>
      </c>
      <c r="T65" s="169" t="s">
        <v>65</v>
      </c>
      <c r="U65" s="169" t="s">
        <v>65</v>
      </c>
      <c r="V65" s="169" t="s">
        <v>65</v>
      </c>
      <c r="W65" s="169" t="s">
        <v>65</v>
      </c>
      <c r="X65" s="169" t="s">
        <v>65</v>
      </c>
    </row>
    <row r="66" spans="2:24" x14ac:dyDescent="0.2">
      <c r="J66" s="155"/>
      <c r="K66" s="149"/>
      <c r="L66" s="149"/>
      <c r="M66" s="149"/>
      <c r="N66" s="149"/>
      <c r="O66" s="149"/>
      <c r="P66" s="149"/>
      <c r="Q66" s="149"/>
      <c r="R66" s="148"/>
      <c r="S66" s="148">
        <f>S60-(S60*S67)</f>
        <v>519412.5</v>
      </c>
      <c r="T66" s="148">
        <f t="shared" ref="T66:X66" si="23">T60-(T60*T67)</f>
        <v>984150</v>
      </c>
      <c r="U66" s="148">
        <f t="shared" si="23"/>
        <v>1858950</v>
      </c>
      <c r="V66" s="148">
        <f t="shared" si="23"/>
        <v>4374000</v>
      </c>
      <c r="W66" s="148">
        <f t="shared" si="23"/>
        <v>8201250</v>
      </c>
      <c r="X66" s="148">
        <f t="shared" si="23"/>
        <v>15309000</v>
      </c>
    </row>
    <row r="67" spans="2:24" x14ac:dyDescent="0.2">
      <c r="J67" s="155"/>
      <c r="K67" s="149"/>
      <c r="L67" s="149"/>
      <c r="M67" s="149"/>
      <c r="N67" s="149"/>
      <c r="O67" s="149"/>
      <c r="P67" s="149"/>
      <c r="Q67" s="149"/>
      <c r="R67" s="148"/>
      <c r="S67" s="154">
        <v>0.1</v>
      </c>
      <c r="T67" s="154">
        <v>0.1</v>
      </c>
      <c r="U67" s="154">
        <v>0.1</v>
      </c>
      <c r="V67" s="154">
        <v>0.1</v>
      </c>
      <c r="W67" s="154">
        <v>0.1</v>
      </c>
      <c r="X67" s="154">
        <v>0.1</v>
      </c>
    </row>
    <row r="68" spans="2:24" x14ac:dyDescent="0.2">
      <c r="J68" s="155"/>
      <c r="K68" s="149"/>
      <c r="L68" s="149"/>
      <c r="M68" s="149"/>
      <c r="N68" s="149"/>
      <c r="O68" s="149"/>
      <c r="P68" s="149"/>
      <c r="Q68" s="149"/>
      <c r="R68" s="148"/>
      <c r="S68" s="148">
        <f>S66/S56</f>
        <v>10388.25</v>
      </c>
      <c r="T68" s="148">
        <f>T66/T56</f>
        <v>9841.5</v>
      </c>
      <c r="U68" s="148">
        <f t="shared" ref="U68:X68" si="24">U66/U56</f>
        <v>9294.75</v>
      </c>
      <c r="V68" s="148">
        <f t="shared" si="24"/>
        <v>8748</v>
      </c>
      <c r="W68" s="148">
        <f t="shared" si="24"/>
        <v>8201.25</v>
      </c>
      <c r="X68" s="148">
        <f t="shared" si="24"/>
        <v>7654.5</v>
      </c>
    </row>
    <row r="69" spans="2:24" x14ac:dyDescent="0.2">
      <c r="J69" s="155"/>
      <c r="K69" s="149"/>
      <c r="L69" s="149"/>
      <c r="M69" s="149"/>
      <c r="N69" s="149"/>
      <c r="O69" s="149"/>
      <c r="P69" s="149"/>
      <c r="Q69" s="149"/>
      <c r="R69" s="148"/>
      <c r="S69" s="172" t="s">
        <v>81</v>
      </c>
      <c r="T69" s="172" t="s">
        <v>81</v>
      </c>
      <c r="U69" s="172" t="s">
        <v>81</v>
      </c>
      <c r="V69" s="172" t="s">
        <v>81</v>
      </c>
      <c r="W69" s="172" t="s">
        <v>81</v>
      </c>
      <c r="X69" s="172" t="s">
        <v>81</v>
      </c>
    </row>
    <row r="70" spans="2:24" x14ac:dyDescent="0.2">
      <c r="J70" s="155"/>
      <c r="K70" s="149"/>
      <c r="L70" s="155"/>
      <c r="M70" s="155"/>
      <c r="N70" s="155"/>
      <c r="O70" s="155"/>
      <c r="P70" s="149"/>
      <c r="Q70" s="155"/>
      <c r="R70" s="156"/>
      <c r="S70" s="148">
        <f>S66-(S66*$P$4)-S58</f>
        <v>349479.10714285716</v>
      </c>
      <c r="T70" s="148">
        <f t="shared" ref="T70:X70" si="25">T66-(T66*$P$4)-T58</f>
        <v>644283.21428571432</v>
      </c>
      <c r="U70" s="148">
        <f t="shared" si="25"/>
        <v>1483594.3428571429</v>
      </c>
      <c r="V70" s="148">
        <f t="shared" si="25"/>
        <v>3435610.8571428573</v>
      </c>
      <c r="W70" s="148">
        <f t="shared" si="25"/>
        <v>6324471.7142857146</v>
      </c>
      <c r="X70" s="148">
        <f t="shared" si="25"/>
        <v>11555443.428571429</v>
      </c>
    </row>
    <row r="71" spans="2:24" x14ac:dyDescent="0.2">
      <c r="J71" s="155"/>
      <c r="K71" s="149"/>
      <c r="L71" s="149"/>
      <c r="M71" s="149"/>
      <c r="N71" s="149"/>
      <c r="O71" s="149"/>
      <c r="P71" s="149"/>
      <c r="Q71" s="149"/>
      <c r="R71" s="148"/>
      <c r="S71" s="156">
        <f t="shared" ref="S71:X71" si="26">S70/S56</f>
        <v>6989.5821428571435</v>
      </c>
      <c r="T71" s="156">
        <f t="shared" si="26"/>
        <v>6442.8321428571435</v>
      </c>
      <c r="U71" s="156">
        <f t="shared" si="26"/>
        <v>7417.9717142857144</v>
      </c>
      <c r="V71" s="156">
        <f t="shared" si="26"/>
        <v>6871.2217142857144</v>
      </c>
      <c r="W71" s="156">
        <f t="shared" si="26"/>
        <v>6324.4717142857144</v>
      </c>
      <c r="X71" s="156">
        <f t="shared" si="26"/>
        <v>5777.7217142857144</v>
      </c>
    </row>
    <row r="75" spans="2:24" x14ac:dyDescent="0.2">
      <c r="B75" s="152" t="s">
        <v>509</v>
      </c>
      <c r="C75" s="152" t="s">
        <v>510</v>
      </c>
    </row>
    <row r="76" spans="2:24" x14ac:dyDescent="0.2">
      <c r="C76" s="152">
        <v>2718.3</v>
      </c>
    </row>
  </sheetData>
  <mergeCells count="3">
    <mergeCell ref="B8:B9"/>
    <mergeCell ref="B32:B33"/>
    <mergeCell ref="B55:B5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D99AE-FE2F-4391-AFE5-127206E2A284}">
  <dimension ref="A1:AQ49"/>
  <sheetViews>
    <sheetView zoomScale="77" zoomScaleNormal="77" workbookViewId="0">
      <selection activeCell="E11" sqref="E11"/>
    </sheetView>
  </sheetViews>
  <sheetFormatPr baseColWidth="10" defaultRowHeight="15" x14ac:dyDescent="0.25"/>
  <cols>
    <col min="1" max="1" width="12.42578125" style="3" customWidth="1"/>
    <col min="2" max="2" width="18.7109375" style="3" bestFit="1" customWidth="1"/>
    <col min="3" max="3" width="11.42578125" style="14"/>
    <col min="4" max="4" width="11.42578125" style="3"/>
    <col min="5" max="5" width="11.42578125" style="7"/>
    <col min="6" max="6" width="15.7109375" style="3" customWidth="1"/>
    <col min="7" max="7" width="11.42578125" style="14"/>
    <col min="8" max="8" width="11.42578125" style="7"/>
    <col min="9" max="9" width="18" style="3" bestFit="1" customWidth="1"/>
    <col min="10" max="11" width="11.42578125" style="3"/>
    <col min="12" max="12" width="11.42578125" style="7"/>
    <col min="13" max="13" width="15.42578125" style="3" customWidth="1"/>
    <col min="14" max="14" width="11.7109375" style="14" bestFit="1" customWidth="1"/>
    <col min="15" max="15" width="11.42578125" style="3"/>
    <col min="16" max="16" width="11.42578125" style="7"/>
    <col min="17" max="17" width="15.7109375" style="3" customWidth="1"/>
    <col min="18" max="19" width="11.42578125" style="3"/>
    <col min="20" max="20" width="11.42578125" style="7"/>
    <col min="21" max="21" width="14.42578125" style="3" customWidth="1"/>
    <col min="22" max="23" width="11.42578125" style="3"/>
    <col min="24" max="24" width="11.42578125" style="7"/>
    <col min="25" max="25" width="11.42578125" style="3"/>
    <col min="26" max="26" width="16.28515625" style="3" customWidth="1"/>
    <col min="27" max="27" width="11.42578125" style="3"/>
    <col min="28" max="28" width="25.140625" style="3" customWidth="1"/>
    <col min="29" max="35" width="11.42578125" style="3"/>
    <col min="36" max="36" width="19" style="3" customWidth="1"/>
    <col min="37" max="40" width="11.42578125" style="3"/>
    <col min="41" max="41" width="17.7109375" style="3" customWidth="1"/>
    <col min="42" max="16384" width="11.42578125" style="3"/>
  </cols>
  <sheetData>
    <row r="1" spans="1:43" x14ac:dyDescent="0.25">
      <c r="AD1" s="11" t="s">
        <v>20</v>
      </c>
      <c r="AE1" s="11" t="s">
        <v>21</v>
      </c>
    </row>
    <row r="2" spans="1:43" x14ac:dyDescent="0.25">
      <c r="B2" s="12" t="s">
        <v>10</v>
      </c>
      <c r="F2" s="12" t="s">
        <v>11</v>
      </c>
      <c r="I2" s="12" t="s">
        <v>128</v>
      </c>
      <c r="M2" s="12" t="s">
        <v>31</v>
      </c>
      <c r="Q2" s="12" t="s">
        <v>41</v>
      </c>
      <c r="U2" s="12" t="s">
        <v>135</v>
      </c>
      <c r="Y2" s="558" t="s">
        <v>141</v>
      </c>
      <c r="Z2" s="558"/>
      <c r="AA2" s="558"/>
      <c r="AC2" s="7"/>
      <c r="AD2" s="3" t="s">
        <v>22</v>
      </c>
      <c r="AE2" s="18">
        <v>200</v>
      </c>
      <c r="AJ2" s="3" t="s">
        <v>214</v>
      </c>
      <c r="AO2" s="3" t="s">
        <v>213</v>
      </c>
    </row>
    <row r="3" spans="1:43" x14ac:dyDescent="0.25">
      <c r="AC3" s="7"/>
      <c r="AD3" s="3" t="s">
        <v>23</v>
      </c>
      <c r="AE3" s="18">
        <v>50</v>
      </c>
    </row>
    <row r="4" spans="1:43" x14ac:dyDescent="0.25">
      <c r="E4" s="4"/>
      <c r="F4" s="13" t="s">
        <v>12</v>
      </c>
      <c r="G4" s="28"/>
      <c r="I4" s="13" t="s">
        <v>98</v>
      </c>
      <c r="L4" s="4"/>
      <c r="M4" s="13" t="s">
        <v>32</v>
      </c>
      <c r="N4" s="28"/>
      <c r="O4" s="29"/>
      <c r="T4" s="23" t="s">
        <v>137</v>
      </c>
      <c r="U4" s="11" t="s">
        <v>136</v>
      </c>
      <c r="V4" s="17">
        <v>9205</v>
      </c>
      <c r="Y4" s="1" t="s">
        <v>142</v>
      </c>
      <c r="Z4" s="11" t="s">
        <v>106</v>
      </c>
      <c r="AA4" s="17">
        <v>2108</v>
      </c>
      <c r="AC4" s="1" t="s">
        <v>24</v>
      </c>
      <c r="AI4" s="1" t="s">
        <v>227</v>
      </c>
      <c r="AJ4" s="11" t="s">
        <v>215</v>
      </c>
      <c r="AK4" s="17">
        <v>4838</v>
      </c>
      <c r="AN4" s="1" t="s">
        <v>217</v>
      </c>
      <c r="AO4" s="11" t="s">
        <v>220</v>
      </c>
      <c r="AP4" s="17">
        <v>4600</v>
      </c>
    </row>
    <row r="5" spans="1:43" x14ac:dyDescent="0.25">
      <c r="A5" s="8" t="s">
        <v>3</v>
      </c>
      <c r="B5" s="11" t="s">
        <v>2</v>
      </c>
      <c r="C5" s="17">
        <v>12000</v>
      </c>
      <c r="D5" s="3" t="s">
        <v>19</v>
      </c>
      <c r="E5" s="9" t="s">
        <v>16</v>
      </c>
      <c r="F5" s="11" t="s">
        <v>13</v>
      </c>
      <c r="G5" s="17">
        <v>18992</v>
      </c>
      <c r="H5" s="1" t="s">
        <v>99</v>
      </c>
      <c r="I5" s="11" t="s">
        <v>100</v>
      </c>
      <c r="J5" s="17">
        <v>32449</v>
      </c>
      <c r="L5" s="23" t="s">
        <v>34</v>
      </c>
      <c r="M5" s="11" t="s">
        <v>64</v>
      </c>
      <c r="N5" s="17">
        <v>50000</v>
      </c>
      <c r="O5" s="25">
        <f>N5/100</f>
        <v>500</v>
      </c>
      <c r="Q5" s="11" t="s">
        <v>42</v>
      </c>
      <c r="R5" s="17">
        <v>3800</v>
      </c>
      <c r="U5" s="3">
        <v>10000</v>
      </c>
      <c r="V5" s="176">
        <f>V4/U5</f>
        <v>0.92049999999999998</v>
      </c>
      <c r="Y5" s="3" t="s">
        <v>145</v>
      </c>
      <c r="Z5" s="3">
        <v>100</v>
      </c>
      <c r="AA5" s="176">
        <f>AA4/Z5</f>
        <v>21.08</v>
      </c>
      <c r="AJ5" s="3">
        <v>50</v>
      </c>
      <c r="AK5" s="176">
        <f>AK4/AJ5</f>
        <v>96.76</v>
      </c>
      <c r="AL5" s="3" t="s">
        <v>229</v>
      </c>
      <c r="AO5" s="3">
        <v>60</v>
      </c>
      <c r="AP5" s="176">
        <f>AP4/AO5</f>
        <v>76.666666666666671</v>
      </c>
      <c r="AQ5" s="3" t="s">
        <v>218</v>
      </c>
    </row>
    <row r="6" spans="1:43" x14ac:dyDescent="0.25">
      <c r="B6" s="3">
        <v>50</v>
      </c>
      <c r="C6" s="15">
        <v>224</v>
      </c>
      <c r="F6" s="3">
        <v>100</v>
      </c>
      <c r="G6" s="15">
        <f>(G5/F6)+$AE$3</f>
        <v>239.92</v>
      </c>
      <c r="I6" s="3">
        <v>35</v>
      </c>
      <c r="J6" s="15">
        <f>J5/I6</f>
        <v>927.11428571428576</v>
      </c>
      <c r="O6" s="24"/>
      <c r="Q6" s="3">
        <v>156</v>
      </c>
      <c r="R6" s="15">
        <f>R5/Q6</f>
        <v>24.358974358974358</v>
      </c>
    </row>
    <row r="7" spans="1:43" x14ac:dyDescent="0.25">
      <c r="L7" s="23" t="s">
        <v>62</v>
      </c>
      <c r="M7" s="3">
        <v>250</v>
      </c>
      <c r="N7" s="14">
        <v>95746</v>
      </c>
      <c r="O7" s="16">
        <f>N7/M7</f>
        <v>382.98399999999998</v>
      </c>
      <c r="U7" s="11" t="s">
        <v>119</v>
      </c>
      <c r="V7" s="17">
        <v>5185</v>
      </c>
      <c r="Y7" s="1" t="s">
        <v>147</v>
      </c>
      <c r="Z7" s="11" t="s">
        <v>148</v>
      </c>
      <c r="AA7" s="17">
        <v>3466</v>
      </c>
      <c r="AI7" s="1" t="s">
        <v>228</v>
      </c>
      <c r="AJ7" s="11" t="s">
        <v>216</v>
      </c>
      <c r="AK7" s="17">
        <v>2900</v>
      </c>
    </row>
    <row r="8" spans="1:43" x14ac:dyDescent="0.25">
      <c r="B8" s="3">
        <v>200</v>
      </c>
      <c r="D8" s="14"/>
      <c r="E8" s="9" t="s">
        <v>15</v>
      </c>
      <c r="F8" s="11" t="s">
        <v>14</v>
      </c>
      <c r="G8" s="17">
        <v>17712</v>
      </c>
      <c r="H8" s="23" t="s">
        <v>129</v>
      </c>
      <c r="I8" s="11" t="s">
        <v>130</v>
      </c>
      <c r="J8" s="19">
        <v>27500</v>
      </c>
      <c r="O8" s="24"/>
      <c r="P8" s="23" t="s">
        <v>54</v>
      </c>
      <c r="Q8" s="11" t="s">
        <v>53</v>
      </c>
      <c r="R8" s="17">
        <v>1888</v>
      </c>
      <c r="U8" s="3">
        <v>100</v>
      </c>
      <c r="V8" s="176">
        <f>V7/U8</f>
        <v>51.85</v>
      </c>
      <c r="Y8" s="3" t="s">
        <v>149</v>
      </c>
      <c r="Z8" s="3">
        <v>100</v>
      </c>
      <c r="AA8" s="176">
        <f>AA7/Z8</f>
        <v>34.659999999999997</v>
      </c>
      <c r="AJ8" s="3">
        <v>20</v>
      </c>
      <c r="AK8" s="176">
        <f>AK7/AJ8</f>
        <v>145</v>
      </c>
      <c r="AL8" s="3" t="s">
        <v>229</v>
      </c>
      <c r="AO8" s="11" t="s">
        <v>221</v>
      </c>
      <c r="AP8" s="17">
        <v>4600</v>
      </c>
    </row>
    <row r="9" spans="1:43" x14ac:dyDescent="0.25">
      <c r="F9" s="3">
        <v>100</v>
      </c>
      <c r="G9" s="15">
        <f>(G8/F9)+$AE$3</f>
        <v>227.12</v>
      </c>
      <c r="I9" s="3">
        <v>250</v>
      </c>
      <c r="J9" s="176">
        <f>J8/I9</f>
        <v>110</v>
      </c>
      <c r="L9" s="23" t="s">
        <v>59</v>
      </c>
      <c r="M9" s="3">
        <v>500</v>
      </c>
      <c r="N9" s="14">
        <v>176437</v>
      </c>
      <c r="O9" s="16">
        <f>N9/M9</f>
        <v>352.87400000000002</v>
      </c>
      <c r="Q9" s="3">
        <v>1000</v>
      </c>
      <c r="R9" s="175">
        <f>R8/Q9</f>
        <v>1.8879999999999999</v>
      </c>
      <c r="AO9" s="3">
        <v>50</v>
      </c>
      <c r="AP9" s="176">
        <f>AP8/AO9</f>
        <v>92</v>
      </c>
      <c r="AQ9" s="3" t="s">
        <v>219</v>
      </c>
    </row>
    <row r="10" spans="1:43" x14ac:dyDescent="0.25">
      <c r="A10" s="1" t="s">
        <v>63</v>
      </c>
      <c r="B10" s="3">
        <v>900</v>
      </c>
      <c r="C10" s="14">
        <v>201997</v>
      </c>
      <c r="D10" s="14">
        <f>C10/B10</f>
        <v>224.4411111111111</v>
      </c>
      <c r="O10" s="24"/>
      <c r="R10" s="21"/>
      <c r="T10" s="1" t="s">
        <v>153</v>
      </c>
      <c r="U10" s="11" t="s">
        <v>154</v>
      </c>
      <c r="V10" s="17">
        <v>16495</v>
      </c>
      <c r="Y10" s="1" t="s">
        <v>484</v>
      </c>
      <c r="Z10" s="3" t="s">
        <v>486</v>
      </c>
      <c r="AA10" s="3">
        <v>5500</v>
      </c>
      <c r="AI10" s="1" t="s">
        <v>276</v>
      </c>
      <c r="AJ10" s="3" t="s">
        <v>277</v>
      </c>
      <c r="AK10" s="3">
        <v>4956</v>
      </c>
    </row>
    <row r="11" spans="1:43" x14ac:dyDescent="0.25">
      <c r="D11" s="3" t="s">
        <v>19</v>
      </c>
      <c r="E11" s="9" t="s">
        <v>18</v>
      </c>
      <c r="F11" s="11" t="s">
        <v>17</v>
      </c>
      <c r="G11" s="17">
        <v>7140</v>
      </c>
      <c r="H11" s="23" t="s">
        <v>121</v>
      </c>
      <c r="I11" s="11" t="s">
        <v>517</v>
      </c>
      <c r="J11" s="19">
        <v>49300</v>
      </c>
      <c r="L11" s="23" t="s">
        <v>61</v>
      </c>
      <c r="M11" s="3">
        <v>1000</v>
      </c>
      <c r="N11" s="14">
        <v>310795</v>
      </c>
      <c r="O11" s="16">
        <f>N11/M11</f>
        <v>310.79500000000002</v>
      </c>
      <c r="P11" s="1" t="s">
        <v>131</v>
      </c>
      <c r="Q11" s="11" t="s">
        <v>132</v>
      </c>
      <c r="R11" s="17">
        <v>8700</v>
      </c>
      <c r="U11" s="3">
        <v>50</v>
      </c>
      <c r="V11" s="176">
        <f>V10/U11</f>
        <v>329.9</v>
      </c>
      <c r="Y11" s="3" t="s">
        <v>485</v>
      </c>
      <c r="Z11" s="3">
        <v>500</v>
      </c>
      <c r="AA11" s="3">
        <f>AA10/Z11</f>
        <v>11</v>
      </c>
      <c r="AJ11" s="3">
        <v>1000</v>
      </c>
      <c r="AK11" s="3">
        <f>AK10/AJ11</f>
        <v>4.9560000000000004</v>
      </c>
    </row>
    <row r="12" spans="1:43" x14ac:dyDescent="0.25">
      <c r="A12" s="1" t="s">
        <v>58</v>
      </c>
      <c r="B12" s="3">
        <v>2000</v>
      </c>
      <c r="C12" s="14">
        <v>411676</v>
      </c>
      <c r="D12" s="14">
        <f>C12/B12</f>
        <v>205.83799999999999</v>
      </c>
      <c r="F12" s="3">
        <v>20</v>
      </c>
      <c r="G12" s="15">
        <f>(G11/F12)+$AE$3</f>
        <v>407</v>
      </c>
      <c r="I12" s="3">
        <v>10000</v>
      </c>
      <c r="J12" s="176">
        <f>J11/I12</f>
        <v>4.93</v>
      </c>
      <c r="O12" s="24"/>
      <c r="Q12" s="3">
        <v>10000</v>
      </c>
      <c r="R12" s="175">
        <f>R11/Q12</f>
        <v>0.87</v>
      </c>
      <c r="AO12" s="11" t="s">
        <v>222</v>
      </c>
      <c r="AP12" s="17">
        <v>7788</v>
      </c>
    </row>
    <row r="13" spans="1:43" x14ac:dyDescent="0.25">
      <c r="L13" s="23" t="s">
        <v>60</v>
      </c>
      <c r="M13" s="3">
        <v>2000</v>
      </c>
      <c r="N13" s="14">
        <v>539298</v>
      </c>
      <c r="O13" s="16">
        <f>N13/M13</f>
        <v>269.649</v>
      </c>
      <c r="R13" s="6"/>
      <c r="T13" s="1" t="s">
        <v>203</v>
      </c>
      <c r="U13" s="3" t="s">
        <v>204</v>
      </c>
      <c r="V13" s="17">
        <v>2759</v>
      </c>
      <c r="AO13" s="3">
        <v>20</v>
      </c>
      <c r="AP13" s="176">
        <f>AP12/AO13</f>
        <v>389.4</v>
      </c>
      <c r="AQ13" s="3" t="s">
        <v>223</v>
      </c>
    </row>
    <row r="14" spans="1:43" x14ac:dyDescent="0.25">
      <c r="E14" s="23" t="s">
        <v>26</v>
      </c>
      <c r="F14" s="11" t="s">
        <v>25</v>
      </c>
      <c r="G14" s="17">
        <v>7300</v>
      </c>
      <c r="H14" s="23" t="s">
        <v>123</v>
      </c>
      <c r="I14" s="11" t="s">
        <v>122</v>
      </c>
      <c r="J14" s="19">
        <v>820</v>
      </c>
      <c r="L14" s="10"/>
      <c r="M14" s="5"/>
      <c r="N14" s="26"/>
      <c r="O14" s="27"/>
      <c r="P14" s="1" t="s">
        <v>263</v>
      </c>
      <c r="Q14" s="11" t="s">
        <v>264</v>
      </c>
      <c r="R14" s="17">
        <v>1739</v>
      </c>
      <c r="U14" s="3">
        <v>200</v>
      </c>
      <c r="V14" s="176">
        <f>V13/U14</f>
        <v>13.795</v>
      </c>
    </row>
    <row r="15" spans="1:43" x14ac:dyDescent="0.25">
      <c r="A15" s="1" t="s">
        <v>48</v>
      </c>
      <c r="B15" s="3" t="s">
        <v>46</v>
      </c>
      <c r="C15" s="14">
        <v>15648</v>
      </c>
      <c r="F15" s="3">
        <v>25</v>
      </c>
      <c r="G15" s="15">
        <f>G14/F15</f>
        <v>292</v>
      </c>
      <c r="I15" s="3">
        <v>50</v>
      </c>
      <c r="J15" s="176">
        <f>J14/I15</f>
        <v>16.399999999999999</v>
      </c>
      <c r="Q15" s="3">
        <v>5</v>
      </c>
      <c r="R15" s="175">
        <f>R14/Q15</f>
        <v>347.8</v>
      </c>
    </row>
    <row r="16" spans="1:43" x14ac:dyDescent="0.25">
      <c r="B16" s="3">
        <v>40</v>
      </c>
      <c r="C16" s="14">
        <f>C15/B16</f>
        <v>391.2</v>
      </c>
    </row>
    <row r="17" spans="1:33" x14ac:dyDescent="0.25">
      <c r="E17" s="1" t="s">
        <v>186</v>
      </c>
      <c r="F17" s="11" t="s">
        <v>43</v>
      </c>
      <c r="G17" s="17">
        <v>8170</v>
      </c>
      <c r="H17" s="23" t="s">
        <v>125</v>
      </c>
      <c r="I17" s="11" t="s">
        <v>124</v>
      </c>
      <c r="J17" s="19">
        <v>1100</v>
      </c>
      <c r="P17" s="1" t="s">
        <v>271</v>
      </c>
      <c r="Q17" s="11" t="s">
        <v>272</v>
      </c>
      <c r="R17" s="17">
        <v>19055</v>
      </c>
    </row>
    <row r="18" spans="1:33" x14ac:dyDescent="0.25">
      <c r="F18" s="3">
        <v>125</v>
      </c>
      <c r="G18" s="15">
        <f>G17/F18</f>
        <v>65.36</v>
      </c>
      <c r="I18" s="3">
        <v>100</v>
      </c>
      <c r="J18" s="176">
        <f>J17/I18</f>
        <v>11</v>
      </c>
      <c r="L18" s="4"/>
      <c r="M18" s="30"/>
      <c r="N18" s="28"/>
      <c r="O18" s="29"/>
      <c r="Q18" s="3">
        <v>200</v>
      </c>
      <c r="R18" s="175">
        <f>R17/Q18</f>
        <v>95.275000000000006</v>
      </c>
    </row>
    <row r="19" spans="1:33" x14ac:dyDescent="0.25">
      <c r="B19" s="3" t="s">
        <v>205</v>
      </c>
      <c r="C19" s="14">
        <v>9565.1</v>
      </c>
      <c r="D19" s="14">
        <f>C19/B20</f>
        <v>191.30200000000002</v>
      </c>
      <c r="M19" s="12" t="s">
        <v>35</v>
      </c>
      <c r="N19" s="3"/>
      <c r="O19" s="24"/>
      <c r="X19" s="7">
        <f>Y25*4</f>
        <v>1400</v>
      </c>
    </row>
    <row r="20" spans="1:33" x14ac:dyDescent="0.25">
      <c r="B20" s="3">
        <v>50</v>
      </c>
      <c r="E20" s="23" t="s">
        <v>127</v>
      </c>
      <c r="F20" s="11" t="s">
        <v>126</v>
      </c>
      <c r="G20" s="17">
        <v>7605</v>
      </c>
      <c r="M20" s="11" t="s">
        <v>36</v>
      </c>
      <c r="N20" s="17">
        <v>324</v>
      </c>
      <c r="O20" s="24"/>
      <c r="Q20" s="3" t="s">
        <v>323</v>
      </c>
      <c r="R20" s="3">
        <v>4500</v>
      </c>
      <c r="X20" s="7">
        <f>Y27*6</f>
        <v>900</v>
      </c>
      <c r="AB20" s="14">
        <f>SUM(AA23:AA38)</f>
        <v>693152</v>
      </c>
    </row>
    <row r="21" spans="1:33" x14ac:dyDescent="0.25">
      <c r="F21" s="3">
        <v>20</v>
      </c>
      <c r="G21" s="15">
        <f>G20/F21</f>
        <v>380.25</v>
      </c>
      <c r="H21" s="1" t="s">
        <v>164</v>
      </c>
      <c r="I21" s="11" t="s">
        <v>165</v>
      </c>
      <c r="J21" s="19">
        <v>30343</v>
      </c>
      <c r="O21" s="24"/>
      <c r="Q21" s="3">
        <v>20</v>
      </c>
      <c r="R21" s="3">
        <f>R20/Q21</f>
        <v>225</v>
      </c>
      <c r="X21" s="7">
        <f>X19+X20</f>
        <v>2300</v>
      </c>
    </row>
    <row r="22" spans="1:33" x14ac:dyDescent="0.25">
      <c r="D22" s="14"/>
      <c r="I22" s="3">
        <v>24</v>
      </c>
      <c r="J22" s="176">
        <f>J21/I22</f>
        <v>1264.2916666666667</v>
      </c>
      <c r="M22" s="11" t="s">
        <v>37</v>
      </c>
      <c r="N22" s="17">
        <v>303</v>
      </c>
      <c r="O22" s="24"/>
    </row>
    <row r="23" spans="1:33" x14ac:dyDescent="0.25">
      <c r="B23" s="12" t="s">
        <v>328</v>
      </c>
      <c r="D23" s="14"/>
      <c r="E23" s="1" t="s">
        <v>144</v>
      </c>
      <c r="F23" s="11" t="s">
        <v>143</v>
      </c>
      <c r="G23" s="17">
        <v>7285</v>
      </c>
      <c r="O23" s="24"/>
      <c r="Y23" s="3">
        <v>2000</v>
      </c>
      <c r="Z23" s="3" t="s">
        <v>206</v>
      </c>
      <c r="AA23" s="14">
        <f>C12</f>
        <v>411676</v>
      </c>
      <c r="AG23" s="3" t="s">
        <v>404</v>
      </c>
    </row>
    <row r="24" spans="1:33" ht="15" customHeight="1" x14ac:dyDescent="0.25">
      <c r="A24" s="263"/>
      <c r="B24" s="3" t="s">
        <v>325</v>
      </c>
      <c r="C24" s="14">
        <f>G6/28</f>
        <v>8.5685714285714276</v>
      </c>
      <c r="F24" s="3">
        <v>50</v>
      </c>
      <c r="G24" s="15">
        <f>G23/F24</f>
        <v>145.69999999999999</v>
      </c>
      <c r="M24" s="11" t="s">
        <v>96</v>
      </c>
      <c r="N24" s="17">
        <v>372</v>
      </c>
      <c r="O24" s="24"/>
      <c r="R24" s="14"/>
      <c r="AE24" s="3" t="s">
        <v>403</v>
      </c>
      <c r="AG24" s="3">
        <v>15</v>
      </c>
    </row>
    <row r="25" spans="1:33" ht="15" customHeight="1" x14ac:dyDescent="0.25">
      <c r="A25" s="263"/>
      <c r="I25" s="14">
        <f>G15+G6</f>
        <v>531.91999999999996</v>
      </c>
      <c r="O25" s="24"/>
      <c r="Y25" s="3">
        <v>350</v>
      </c>
      <c r="Z25" s="3" t="s">
        <v>207</v>
      </c>
      <c r="AA25" s="14">
        <f>270*Y25</f>
        <v>94500</v>
      </c>
      <c r="AG25" s="3">
        <v>3</v>
      </c>
    </row>
    <row r="26" spans="1:33" ht="15" customHeight="1" x14ac:dyDescent="0.25">
      <c r="A26" s="263"/>
      <c r="E26" s="1" t="s">
        <v>176</v>
      </c>
      <c r="F26" s="11" t="s">
        <v>175</v>
      </c>
      <c r="G26" s="17">
        <v>14850</v>
      </c>
      <c r="I26" s="14"/>
      <c r="M26" s="11" t="s">
        <v>38</v>
      </c>
      <c r="N26" s="17">
        <v>372</v>
      </c>
      <c r="O26" s="24"/>
    </row>
    <row r="27" spans="1:33" ht="15" customHeight="1" x14ac:dyDescent="0.25">
      <c r="A27" s="263"/>
      <c r="B27" s="3" t="s">
        <v>326</v>
      </c>
      <c r="C27" s="14">
        <f>G15/28</f>
        <v>10.428571428571429</v>
      </c>
      <c r="F27" s="3">
        <v>100</v>
      </c>
      <c r="G27" s="15">
        <f>G26/F27</f>
        <v>148.5</v>
      </c>
      <c r="H27" s="1" t="s">
        <v>519</v>
      </c>
      <c r="I27" s="11" t="s">
        <v>518</v>
      </c>
      <c r="J27" s="19">
        <v>13300</v>
      </c>
      <c r="Y27" s="3">
        <v>150</v>
      </c>
      <c r="Z27" s="3" t="s">
        <v>208</v>
      </c>
      <c r="AA27" s="3">
        <v>70000</v>
      </c>
      <c r="AG27" s="3">
        <v>1256</v>
      </c>
    </row>
    <row r="28" spans="1:33" ht="15" customHeight="1" x14ac:dyDescent="0.25">
      <c r="A28" s="263"/>
      <c r="I28" s="3">
        <v>1000</v>
      </c>
      <c r="J28" s="176">
        <f>J27/I28</f>
        <v>13.3</v>
      </c>
    </row>
    <row r="29" spans="1:33" ht="15" customHeight="1" x14ac:dyDescent="0.25">
      <c r="A29" s="263"/>
      <c r="E29" s="1" t="s">
        <v>194</v>
      </c>
      <c r="F29" s="11" t="s">
        <v>195</v>
      </c>
      <c r="G29" s="17">
        <v>13651</v>
      </c>
      <c r="Y29" s="3">
        <v>3</v>
      </c>
      <c r="Z29" s="3" t="s">
        <v>12</v>
      </c>
      <c r="AA29" s="14">
        <f>G5*3</f>
        <v>56976</v>
      </c>
    </row>
    <row r="30" spans="1:33" ht="15" customHeight="1" x14ac:dyDescent="0.25">
      <c r="A30" s="263"/>
      <c r="B30" s="3" t="s">
        <v>327</v>
      </c>
      <c r="C30" s="14">
        <f>G9/28</f>
        <v>8.1114285714285721</v>
      </c>
      <c r="F30" s="3">
        <v>100</v>
      </c>
      <c r="G30" s="15">
        <f>G29/F30</f>
        <v>136.51</v>
      </c>
      <c r="M30" s="12" t="s">
        <v>49</v>
      </c>
    </row>
    <row r="31" spans="1:33" x14ac:dyDescent="0.25">
      <c r="Y31" s="3">
        <v>200</v>
      </c>
      <c r="Z31" s="3" t="s">
        <v>209</v>
      </c>
      <c r="AA31" s="3">
        <v>60000</v>
      </c>
      <c r="AB31" s="3" t="s">
        <v>210</v>
      </c>
    </row>
    <row r="32" spans="1:33" x14ac:dyDescent="0.25">
      <c r="E32" s="1" t="s">
        <v>211</v>
      </c>
      <c r="F32" s="11" t="s">
        <v>402</v>
      </c>
      <c r="G32" s="17">
        <v>4200</v>
      </c>
      <c r="L32" s="1" t="s">
        <v>178</v>
      </c>
      <c r="M32" s="11" t="s">
        <v>179</v>
      </c>
      <c r="N32" s="17">
        <v>4005</v>
      </c>
    </row>
    <row r="33" spans="1:18" x14ac:dyDescent="0.25">
      <c r="F33" s="3">
        <v>20</v>
      </c>
      <c r="G33" s="15">
        <f>G32/F33</f>
        <v>210</v>
      </c>
      <c r="M33" s="3">
        <v>10</v>
      </c>
      <c r="N33" s="15">
        <f>N32/M33</f>
        <v>400.5</v>
      </c>
    </row>
    <row r="34" spans="1:18" x14ac:dyDescent="0.25">
      <c r="B34" s="3" t="s">
        <v>329</v>
      </c>
      <c r="C34" s="14">
        <f>G6/8</f>
        <v>29.99</v>
      </c>
    </row>
    <row r="35" spans="1:18" x14ac:dyDescent="0.25">
      <c r="F35" s="11" t="s">
        <v>398</v>
      </c>
      <c r="G35" s="17">
        <v>5400</v>
      </c>
      <c r="L35" s="1" t="s">
        <v>51</v>
      </c>
      <c r="M35" s="11" t="s">
        <v>50</v>
      </c>
      <c r="N35" s="17">
        <v>3650</v>
      </c>
    </row>
    <row r="36" spans="1:18" x14ac:dyDescent="0.25">
      <c r="B36" s="3" t="s">
        <v>331</v>
      </c>
      <c r="C36" s="14">
        <f>G15/8</f>
        <v>36.5</v>
      </c>
      <c r="F36" s="3">
        <v>20</v>
      </c>
      <c r="G36" s="15">
        <f>G35/F36</f>
        <v>270</v>
      </c>
      <c r="I36" s="14">
        <f>G33/5</f>
        <v>42</v>
      </c>
      <c r="M36" s="3">
        <v>10</v>
      </c>
      <c r="N36" s="15">
        <f>N35/M36</f>
        <v>365</v>
      </c>
    </row>
    <row r="38" spans="1:18" x14ac:dyDescent="0.25">
      <c r="E38" s="1" t="s">
        <v>243</v>
      </c>
      <c r="F38" s="11" t="s">
        <v>242</v>
      </c>
      <c r="G38" s="17">
        <v>10506</v>
      </c>
      <c r="I38" s="14">
        <f>G6/5</f>
        <v>47.983999999999995</v>
      </c>
      <c r="M38" s="11" t="s">
        <v>50</v>
      </c>
      <c r="N38" s="17">
        <v>31207.5</v>
      </c>
    </row>
    <row r="39" spans="1:18" x14ac:dyDescent="0.25">
      <c r="F39" s="3">
        <v>20</v>
      </c>
      <c r="G39" s="15">
        <f>G38/F39</f>
        <v>525.29999999999995</v>
      </c>
      <c r="M39" s="3">
        <v>100</v>
      </c>
      <c r="N39" s="15">
        <f>N38/M39</f>
        <v>312.07499999999999</v>
      </c>
    </row>
    <row r="41" spans="1:18" x14ac:dyDescent="0.25">
      <c r="B41" s="3" t="s">
        <v>330</v>
      </c>
      <c r="C41" s="14">
        <f>G15/3.5</f>
        <v>83.428571428571431</v>
      </c>
      <c r="E41" s="1" t="s">
        <v>274</v>
      </c>
      <c r="F41" s="11" t="s">
        <v>143</v>
      </c>
      <c r="G41" s="17">
        <v>7285</v>
      </c>
      <c r="I41" s="14">
        <f>I36+I38</f>
        <v>89.983999999999995</v>
      </c>
      <c r="L41" s="1" t="s">
        <v>507</v>
      </c>
      <c r="M41" s="3" t="s">
        <v>508</v>
      </c>
      <c r="N41" s="14">
        <v>3700</v>
      </c>
    </row>
    <row r="42" spans="1:18" x14ac:dyDescent="0.25">
      <c r="F42" s="3">
        <v>50</v>
      </c>
      <c r="G42" s="15">
        <f>G41/F42</f>
        <v>145.69999999999999</v>
      </c>
      <c r="M42" s="3">
        <v>10</v>
      </c>
      <c r="N42" s="14">
        <f>N41/M42</f>
        <v>370</v>
      </c>
    </row>
    <row r="44" spans="1:18" x14ac:dyDescent="0.25">
      <c r="E44" s="1" t="s">
        <v>482</v>
      </c>
      <c r="F44" s="3" t="s">
        <v>481</v>
      </c>
      <c r="G44" s="14">
        <v>9996</v>
      </c>
    </row>
    <row r="45" spans="1:18" x14ac:dyDescent="0.25">
      <c r="A45" s="3">
        <v>15</v>
      </c>
      <c r="B45" s="3" t="s">
        <v>479</v>
      </c>
      <c r="C45" s="14">
        <v>16706</v>
      </c>
      <c r="F45" s="3">
        <v>50</v>
      </c>
      <c r="G45" s="14">
        <f>G44/F45</f>
        <v>199.92</v>
      </c>
    </row>
    <row r="46" spans="1:18" x14ac:dyDescent="0.25">
      <c r="A46" s="3">
        <v>25</v>
      </c>
      <c r="B46" s="3">
        <v>41.66</v>
      </c>
      <c r="C46" s="14">
        <f>C45/B46</f>
        <v>401.00816130580898</v>
      </c>
    </row>
    <row r="48" spans="1:18" x14ac:dyDescent="0.25">
      <c r="B48" s="3" t="s">
        <v>489</v>
      </c>
      <c r="C48" s="14">
        <v>7000</v>
      </c>
      <c r="R48" s="3" t="s">
        <v>97</v>
      </c>
    </row>
    <row r="49" spans="2:3" x14ac:dyDescent="0.25">
      <c r="B49" s="3">
        <v>20</v>
      </c>
      <c r="C49" s="14">
        <f>C48/B49</f>
        <v>350</v>
      </c>
    </row>
  </sheetData>
  <mergeCells count="1">
    <mergeCell ref="Y2:AA2"/>
  </mergeCells>
  <hyperlinks>
    <hyperlink ref="A5" r:id="rId1" location="polycard_client=search-nordic&amp;searchVariation=MLA46066379&amp;wid=MLA1477087621&amp;position=1&amp;search_layout=stack&amp;type=product&amp;tracking_id=e884ba38-1be3-4816-a82b-00c38e0833f1&amp;sid=search" display="https://www.mercadolibre.com.ar/chocolatinas-con-leche-colonial-x-50un/p/MLA46066379 - polycard_client=search-nordic&amp;searchVariation=MLA46066379&amp;wid=MLA1477087621&amp;position=1&amp;search_layout=stack&amp;type=product&amp;tracking_id=e884ba38-1be3-4816-a82b-00c38e0833f1&amp;sid=search" xr:uid="{C37566A7-1E9A-4BE4-A152-F58B97BABF12}"/>
    <hyperlink ref="E8" r:id="rId2" display="https://articulo.mercadolibre.com.ar/MLA-1135527814-papel-autoadhesivo-a4-brillante-laser-ilustracion-adhesivo-_JM" xr:uid="{114D4705-9F05-4908-8A09-A6D9A5997A83}"/>
    <hyperlink ref="E5" r:id="rId3" location="polycard_client=search-nordic&amp;searchVariation=48388231674&amp;position=21&amp;search_layout=grid&amp;type=item&amp;tracking_id=027637b0-f49b-49c0-a820-7e8ca5f68839" display="https://articulo.mercadolibre.com.ar/MLA-831789435-papel-fotografico-autoadhesivo-a4-brillante-foil-100-hojas-_JM?searchVariation=48388231674 - polycard_client=search-nordic&amp;searchVariation=48388231674&amp;position=21&amp;search_layout=grid&amp;type=item&amp;tracking_id=027637b0-f49b-49c0-a820-7e8ca5f68839" xr:uid="{61001613-AB36-47FF-A227-81953116B973}"/>
    <hyperlink ref="E11" r:id="rId4" location="position=1&amp;search_layout=stack&amp;type=item&amp;tracking_id=eb1a82ce-c5af-4ab2-b9a5-8fe78ae467d2" display="https://articulo.mercadolibre.com.ar/MLA-1166759946-papel-texturado-tarjeteria-a4-250grs-opalina-mate-telado-x20-_JM - position=1&amp;search_layout=stack&amp;type=item&amp;tracking_id=eb1a82ce-c5af-4ab2-b9a5-8fe78ae467d2" xr:uid="{972A8954-6588-41F9-823C-3F7FF85CB620}"/>
    <hyperlink ref="AC4" r:id="rId5" location="position=17&amp;search_layout=stack&amp;type=item&amp;tracking_id=55d6ae32-3677-43b3-92ff-44108aa156ff" display="https://articulo.mercadolibre.com.ar/MLA-762882777-tinta-epson-t544-original-70-ml-x4-colores-544-l3110-l3150-_JM - position=17&amp;search_layout=stack&amp;type=item&amp;tracking_id=55d6ae32-3677-43b3-92ff-44108aa156ff" xr:uid="{2B1D8FDE-F471-4E28-BA75-3B2590CA6F71}"/>
    <hyperlink ref="E14" r:id="rId6" display="https://articulo.mercadolibre.com.ar/MLA-1880603398-papel-foil-metalizado-textil-para-telas-y-toner-32x6-film-_JM?attributes=COLOR_SECONDARY_COLOR%3ARG9yYWRvIGJyaWxsYW50ZQ%3D%3D&amp;picker=true&amp;searchVariation=184217996625&amp;quantity=1" xr:uid="{01D261BD-5C84-474F-8C3C-7BEE40A6EA77}"/>
    <hyperlink ref="L5" r:id="rId7" display="https://www.mercadolibre.com.ar/50-cajas-blancas-deslizantes-d128-16x4x2-indubox/up/MLAU255700304?quantity=2" xr:uid="{CE3DB674-B6AF-4D12-81C4-78331646C2CC}"/>
    <hyperlink ref="A15" r:id="rId8" display="https://www.golosinasdelsur.com.ar/productos/chocolatin-georgalos-x-40-unidades-8-grms/" xr:uid="{F9620FDF-C095-4AC8-9857-42A347DADB55}"/>
    <hyperlink ref="L35" r:id="rId9" display="https://www.doblementa.com.ar/productos/pack-de-cajas-deslizantes-7x7x1-blancas-modelo-d10/" xr:uid="{5E6B5626-BF24-44CA-B890-37246B3EBEA1}"/>
    <hyperlink ref="P8" r:id="rId10" display="https://www.candycraft.com.ar/productos/cinta-raso-n2-1-cm-x-10-metros/" xr:uid="{A5E33C2E-D767-43FF-A86C-DBE72599D97E}"/>
    <hyperlink ref="A12" r:id="rId11" display="https://www.chocolatecolonial.com.ar/productos/chocolatinas-con-leche-x-5-gr-pack-de-10-cajas-de-200-unidades-082-62081/" xr:uid="{76859EF8-095B-4396-A50C-E0CDB7DAA0B5}"/>
    <hyperlink ref="L9" r:id="rId12" display="https://www.indubox.com.ar/estructura/secciones/s_producto.php?mIdProducto=140" xr:uid="{A5C718DC-9ECD-470D-A320-9CD82875CD81}"/>
    <hyperlink ref="L13" r:id="rId13" location="top" display="https://www.indubox.com.ar/estructura/secciones/s_producto.php?mIdProducto=2844 - top" xr:uid="{E4EFAC2A-3892-4F6B-A488-1B5809CF152E}"/>
    <hyperlink ref="L11" r:id="rId14" display="https://www.indubox.com.ar/estructura/secciones/s_producto.php?mIdProducto=141" xr:uid="{2BEF91D9-EB87-4902-BED9-3594A1036C2E}"/>
    <hyperlink ref="L7" r:id="rId15" location="top" display="https://www.indubox.com.ar/estructura/secciones/s_producto.php?mIdProducto=139 - top" xr:uid="{2CD13892-AAB0-4B08-94C8-42BB7D46A613}"/>
    <hyperlink ref="A10" r:id="rId16" display="https://www.chocolatecolonial.com.ar/productos/chocolatinas-con-leche-x-5-gr-011-62079/" xr:uid="{DAD80E6D-986F-4E32-A09D-FD2D7D88558F}"/>
    <hyperlink ref="H11" r:id="rId17" display="https://nuevasluces.empretienda.com.ar/insumos-para-velas/cera/cera-de-soja-astra-bpf" xr:uid="{4C42905B-780F-4D31-89CC-3D9AFCFB4D7F}"/>
    <hyperlink ref="H14" r:id="rId18" display="https://nuevasluces.empretienda.com.ar/insumos-para-velas/materiales/ojalillo-chico" xr:uid="{147D85FA-A22C-484E-BEC5-C810D775C5A2}"/>
    <hyperlink ref="H17" r:id="rId19" display="https://nuevasluces.empretienda.com.ar/insumos-para-velas/materiales/pegamento-para-ojalillo-en-rollo-x100-puntos" xr:uid="{8360DA46-3E79-4CC7-8577-85189CC02A2A}"/>
    <hyperlink ref="E20" r:id="rId20" display="https://articulo.mercadolibre.com.ar/MLA-811699400-opp-transparente-a4-vinilo-autoadhesivo-x20u-papel-p-laser-_JM" xr:uid="{0BE0CECE-4F5D-44A2-80FE-7BB8E3C1FF3F}"/>
    <hyperlink ref="H8" r:id="rId21" location="position=22&amp;search_layout=stack&amp;type=item&amp;tracking_id=57aaff46-d7e2-4cd9-83dd-bae63016243a" display="https://articulo.mercadolibre.com.ar/MLA-878958880-esencia-cocovainilla-velas-soja-parafinas-pura-100-intensa-_JM - position=22&amp;search_layout=stack&amp;type=item&amp;tracking_id=57aaff46-d7e2-4cd9-83dd-bae63016243a" xr:uid="{6F4C72A2-509E-407C-B546-51546C685AA2}"/>
    <hyperlink ref="P11" r:id="rId22" location="position=2&amp;search_layout=stack&amp;type=item&amp;tracking_id=90089f9a-447a-4c07-98a1-5fd3daa5a846" display="https://articulo.mercadolibre.com.ar/MLA-866855433-hilo-dorado-o-plateado-lurex-cola-de-raton-souvenir-x100-mts-_JM - position=2&amp;search_layout=stack&amp;type=item&amp;tracking_id=90089f9a-447a-4c07-98a1-5fd3daa5a846" xr:uid="{FD8BCE96-B905-4121-A36B-C2D72D44A25C}"/>
    <hyperlink ref="T4" r:id="rId23" location="position=5&amp;search_layout=stack&amp;type=item&amp;tracking_id=2e6effcc-26c3-4ac8-aa68-9e45391dfc67" display="https://articulo.mercadolibre.com.ar/MLA-1163252177-hilo-algodon-36h-colores-macrame-35mm-mejor-calidad-100-mts-_JM - position=5&amp;search_layout=stack&amp;type=item&amp;tracking_id=2e6effcc-26c3-4ac8-aa68-9e45391dfc67" xr:uid="{6DC9B244-EE19-451F-8EA4-2896289FFABB}"/>
    <hyperlink ref="Y4" r:id="rId24" display="https://articulo.mercadolibre.com.ar/MLA-1114406041-bolsa-de-polipropileno-4x25cm-ideal-garrapinadas-x-100u-_JM" xr:uid="{A1A5676A-7EFB-4733-B758-8596E540D0FF}"/>
    <hyperlink ref="E23" r:id="rId25" location="position=18&amp;search_layout=grid&amp;type=item&amp;tracking_id=225e81f7-284b-44e5-abfe-aef6cbd21cf7" display="https://articulo.mercadolibre.com.ar/MLA-846595834-papel-kraft-a4-270gr-resma-x50-hojas-madera-misionero-_JM - position=18&amp;search_layout=grid&amp;type=item&amp;tracking_id=225e81f7-284b-44e5-abfe-aef6cbd21cf7" xr:uid="{2B4AE5F7-DC9D-4865-9EEF-94DE40CB790E}"/>
    <hyperlink ref="Y7" r:id="rId26" display="https://articulo.mercadolibre.com.ar/MLA-1242358179-100-bolsas-polipropileno-10x205-cierre-adhesivo-40-mic-_JM" xr:uid="{5C71D962-D704-476E-92FC-778CB7FE6FD7}"/>
    <hyperlink ref="T10" r:id="rId27" display="https://almacendearmado.com.ar/productos/mosqueton-de-hierro-2-cm-mod-b/" xr:uid="{560F3336-64C7-458E-8DB0-A5FFAB9B3C55}"/>
    <hyperlink ref="H21" r:id="rId28" location="polycard_client=search-nordic&amp;searchVariation=87323372096&amp;search_layout=grid&amp;position=14&amp;type=item&amp;tracking_id=906b0247-4d14-4975-8bcc-bcf0d0e9e588" display="https://articulo.mercadolibre.com.ar/MLA-924491518-24-vaso-wiskie-tennessee-para-velas-cera-x-mayor-_JM?searchVariation=87323372096 - polycard_client=search-nordic&amp;searchVariation=87323372096&amp;search_layout=grid&amp;position=14&amp;type=item&amp;tracking_id=906b0247-4d14-4975-8bcc-bcf0d0e9e588" xr:uid="{65A05947-E6A9-46C7-8FBE-F041C4FB6DAD}"/>
    <hyperlink ref="E26" r:id="rId29" location="polycard_client=search-nordic&amp;search_layout=grid&amp;position=3&amp;type=product&amp;tracking_id=63c5bb40-f59c-45fe-9ef9-768058c2a537&amp;wid=MLA842096955&amp;sid=search" display="https://www.mercadolibre.com.ar/papel-autoadhesivo-a4-obra-mate-100-hojas/up/MLAU134062372 - polycard_client=search-nordic&amp;search_layout=grid&amp;position=3&amp;type=product&amp;tracking_id=63c5bb40-f59c-45fe-9ef9-768058c2a537&amp;wid=MLA842096955&amp;sid=search" xr:uid="{14F8687D-6174-4E83-B62D-2A41DA5D8EE6}"/>
    <hyperlink ref="L32" r:id="rId30" display="https://www.doblementa.com.ar/productos/pack-de-cajas-8x8x10-blancas-modelo-a32/" xr:uid="{7CF45E03-2FB4-4871-B3CD-7C5E7282C804}"/>
    <hyperlink ref="E17" r:id="rId31" location="polycard_client=search-nordic&amp;searchVariation=179959910796&amp;search_layout=grid&amp;position=3&amp;type=item&amp;tracking_id=c1ed86a5-27a8-4124-824a-85c7eebecc42" display="https://articulo.mercadolibre.com.ar/MLA-1412621905-opalina-cartulina-a4-125-hojas-210-grs-chambril-blanco-liso-_JM?has_official_store=false&amp;highlight=false&amp;searchVariation=179959910796&amp;headerTopBrand=true - polycard_client=search-nordic&amp;searchVariation=179959910796&amp;search_layout=grid&amp;position=3&amp;type=item&amp;tracking_id=c1ed86a5-27a8-4124-824a-85c7eebecc42" xr:uid="{1C887370-11DE-4AD6-8A45-FAFA8A5DF373}"/>
    <hyperlink ref="E29" r:id="rId32" display="https://www.mercadolibre.com.ar/papel-ilustracion-300-gramos-a4-p-tarjetas-resma-100-hojas/up/MLAU191509905?pdp_filters=item_id:MLA739528995" xr:uid="{AE7EEF8D-0961-45AC-9BCA-E5476B348277}"/>
    <hyperlink ref="T13" r:id="rId33" location="polycard_client=search-nordic&amp;search_layout=stack&amp;position=4&amp;type=item&amp;tracking_id=d1cfa1ea-62d7-4a1e-a8b6-ff2fa1c340eb&amp;wid=MLA1485466166&amp;sid=search" display="https://articulo.mercadolibre.com.ar/MLA-1485466166-bolsa-de-polipropileno-4x25cm-ideal-garrapinadas-x-200-u-_JM?has_official_store=false&amp;highlight=false&amp;headerTopBrand=true - polycard_client=search-nordic&amp;search_layout=stack&amp;position=4&amp;type=item&amp;tracking_id=d1cfa1ea-62d7-4a1e-a8b6-ff2fa1c340eb&amp;wid=MLA1485466166&amp;sid=search" xr:uid="{8FF0D762-6D39-44B9-904F-B785A22441F3}"/>
    <hyperlink ref="E32" r:id="rId34" location="polycard_client=search-nordic&amp;search_layout=stack&amp;position=2&amp;type=product&amp;tracking_id=34d7d6ed-ad29-480f-97f7-89c9a0937a9a&amp;wid=MLA1112119192&amp;sid=search" display="https://www.mercadolibre.com.ar/carton-cartulina-triplex-a4-300-grs-100-hojas-cajas-tapas/up/MLAU213151214?has_official_store=false&amp;highlight=false&amp;headerTopBrand=true - polycard_client=search-nordic&amp;search_layout=stack&amp;position=2&amp;type=product&amp;tracking_id=34d7d6ed-ad29-480f-97f7-89c9a0937a9a&amp;wid=MLA1112119192&amp;sid=search" xr:uid="{DF6D2BD4-29B1-455E-B2DF-E172F646D8CE}"/>
    <hyperlink ref="AN4" r:id="rId35" display="https://almacendearmado.com.ar/productos/dije-de-fundicion-letra-a/" xr:uid="{85293F9A-C4C2-4A96-BDEB-B67392907C29}"/>
    <hyperlink ref="AI4" r:id="rId36" display="https://www.candycraft.com.ar/productos/cinta-raso-n0-3-mm-x-50-metros/" xr:uid="{11FACDA6-7F36-4BB3-8154-BACDEE5AEC2A}"/>
    <hyperlink ref="AI7" r:id="rId37" display="https://www.candycraft.com.ar/productos/cinta-lurex-brooklyn-4-mm-x-20-metros-art-1506/" xr:uid="{D0DF959F-1A42-4FBC-ADE4-2ECC85FA41DE}"/>
    <hyperlink ref="E38" r:id="rId38" location="polycard_client=search-nordic&amp;search_layout=grid&amp;position=2&amp;type=product&amp;tracking_id=82595dc9-328e-4452-96de-c5e760896788&amp;wid=MLA1156209465&amp;sid=search" display="https://www.mercadolibre.com.ar/holofan-artjet-adhesivo-noche-estrellada-a4-20-hojas/up/MLAU238908238?pdp_filters=official_store%3A209106 - polycard_client=search-nordic&amp;search_layout=grid&amp;position=2&amp;type=product&amp;tracking_id=82595dc9-328e-4452-96de-c5e760896788&amp;wid=MLA1156209465&amp;sid=search" xr:uid="{CE86C4E7-BDD2-4639-B11C-7C3509319A85}"/>
    <hyperlink ref="P14" r:id="rId39" location="polycard_client=search-nordic&amp;searchVariation=185044894988&amp;search_layout=grid&amp;position=5&amp;type=item&amp;tracking_id=e141459e-55ff-4d7b-8e7e-e8d5682449ce" display="https://articulo.mercadolibre.com.ar/MLA-2303032940-borlas-flecos-hilos-de-seda-x-5-unidades-varios-colores-_JM?searchVariation=185044894988 - polycard_client=search-nordic&amp;searchVariation=185044894988&amp;search_layout=grid&amp;position=5&amp;type=item&amp;tracking_id=e141459e-55ff-4d7b-8e7e-e8d5682449ce" xr:uid="{8847ED2C-004E-49AB-B75A-CD355F53FA13}"/>
    <hyperlink ref="P17" r:id="rId40" display="https://articulo.mercadolibre.com.ar/MLA-927085687-dijes-cruces-lisas-de-madera-para-crucifijo-pack-x-200-pcs-_JM?attributes=COLOR_SECONDARY_COLOR%3AQ3JlbWE%3D&amp;picker=true&amp;searchVariation=89090500545&amp;quantity=1" xr:uid="{F6D1B35C-0F9E-495F-80D2-442E41039C18}"/>
    <hyperlink ref="E41" r:id="rId41" location="position=18&amp;search_layout=grid&amp;type=item&amp;tracking_id=225e81f7-284b-44e5-abfe-aef6cbd21cf7" display="https://www.mercadolibre.com.ar/papel-kraft-a4-270gr-resma-x50-hojas-madera-misionero/up/MLAU175523047?pdp_filters=item_id:MLA846595834 - position=18&amp;search_layout=grid&amp;type=item&amp;tracking_id=225e81f7-284b-44e5-abfe-aef6cbd21cf7" xr:uid="{D0C8A2A1-CF2C-42C6-A7C6-2963CFBF95A4}"/>
    <hyperlink ref="AI10" r:id="rId42" display="https://www.candycraft.com.ar/productos/cinta-trigal-10-mm-x-10-metros/" xr:uid="{E1BCAA74-293E-4205-87E6-D8175CF75DA9}"/>
    <hyperlink ref="E44" r:id="rId43" location="polycard_client=search-desktop&amp;search_layout=grid&amp;position=9&amp;type=product&amp;tracking_id=6073b8f1-8216-4ffb-87ef-f8086cec6e71&amp;wid=MLA1409008158&amp;sid=search" display="https://www.mercadolibre.com.ar/canvas-corteza-de-pino-230g-a4-50-hojas/up/MLAU240631643?pdp_filters=official_store%3A209106 - polycard_client=search-desktop&amp;search_layout=grid&amp;position=9&amp;type=product&amp;tracking_id=6073b8f1-8216-4ffb-87ef-f8086cec6e71&amp;wid=MLA1409008158&amp;sid=search" xr:uid="{1BBD0F2D-846E-442B-AD8C-8E3A588E3CA1}"/>
    <hyperlink ref="Y10" r:id="rId44" display="https://www.mercadolibre.com.ar/stendy-zipper-transparente-5x7cm-pack-500-5-cm-7-cm/p/MLA47606885?product_trigger_id=MLA60357848&amp;picker=true&amp;quantity=1" xr:uid="{EAC8DD71-7223-4F10-A972-40766BA3E0A7}"/>
    <hyperlink ref="L41" r:id="rId45" display="https://www.doblementa.com.ar/productos/pack-de-cajas-6x6x85-kraft-modelo-a30/" xr:uid="{E0554A2B-87EE-46D3-A0BA-7FA28260178F}"/>
    <hyperlink ref="H5" r:id="rId46" location="polycard_client=search-desktop&amp;searchVariation=69520677813&amp;search_layout=grid&amp;position=29&amp;type=item&amp;tracking_id=921d1163-ad51-4b74-ac95-235eb06ffd07" display="https://articulo.mercadolibre.com.ar/MLA-874369388-frasco-anchoero-vidrio-100-cc-con-tapa-48-axial-x35-unidades-_JM?searchVariation=69520677813 - polycard_client=search-desktop&amp;searchVariation=69520677813&amp;search_layout=grid&amp;position=29&amp;type=item&amp;tracking_id=921d1163-ad51-4b74-ac95-235eb06ffd07" xr:uid="{05C46952-7EDC-4959-9BEA-DB41D6E320A3}"/>
    <hyperlink ref="H27" r:id="rId47" location="polycard_client=search-desktop&amp;search_layout=grid&amp;position=13&amp;type=product&amp;tracking_id=fdefbb9b-3bd1-44dd-8bd7-faa90ad78b60&amp;wid=MLA1988315096&amp;sid=search" display="https://www.mercadolibre.com.ar/1-kg-cera-soja-apf-alto-punto-fusion-para-moldes/up/MLAU2922895309 - polycard_client=search-desktop&amp;search_layout=grid&amp;position=13&amp;type=product&amp;tracking_id=fdefbb9b-3bd1-44dd-8bd7-faa90ad78b60&amp;wid=MLA1988315096&amp;sid=search" xr:uid="{3EA6D2E1-17CA-4375-8FE8-F148E5AB3B7D}"/>
  </hyperlinks>
  <pageMargins left="0.7" right="0.7" top="0.75" bottom="0.75" header="0.3" footer="0.3"/>
  <pageSetup paperSize="9" orientation="portrait" r:id="rId48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42181-DC8D-405F-9BDA-71D2AB359330}">
  <dimension ref="B1:Z299"/>
  <sheetViews>
    <sheetView zoomScale="50" zoomScaleNormal="50" workbookViewId="0">
      <selection activeCell="I82" sqref="I82"/>
    </sheetView>
  </sheetViews>
  <sheetFormatPr baseColWidth="10" defaultRowHeight="24" x14ac:dyDescent="0.4"/>
  <cols>
    <col min="1" max="1" width="11.42578125" style="289"/>
    <col min="2" max="2" width="26" style="289" customWidth="1"/>
    <col min="3" max="3" width="15.5703125" style="349" customWidth="1"/>
    <col min="4" max="4" width="19.85546875" style="349" bestFit="1" customWidth="1"/>
    <col min="5" max="5" width="17.5703125" style="349" bestFit="1" customWidth="1"/>
    <col min="6" max="6" width="15.5703125" style="349" customWidth="1"/>
    <col min="7" max="7" width="23" style="349" bestFit="1" customWidth="1"/>
    <col min="8" max="8" width="15.5703125" style="349" customWidth="1"/>
    <col min="9" max="9" width="22.42578125" style="349" bestFit="1" customWidth="1"/>
    <col min="10" max="10" width="15.5703125" style="349" customWidth="1"/>
    <col min="11" max="11" width="9.85546875" style="289" customWidth="1"/>
    <col min="12" max="12" width="17.7109375" style="289" customWidth="1"/>
    <col min="13" max="13" width="18.7109375" style="289" customWidth="1"/>
    <col min="14" max="14" width="19.42578125" style="289" customWidth="1"/>
    <col min="15" max="15" width="17.85546875" style="289" customWidth="1"/>
    <col min="16" max="18" width="19.28515625" style="289" customWidth="1"/>
    <col min="19" max="19" width="5.5703125" style="289" customWidth="1"/>
    <col min="20" max="20" width="16.140625" style="289" customWidth="1"/>
    <col min="21" max="26" width="20.7109375" style="354" customWidth="1"/>
    <col min="27" max="46" width="17.28515625" style="289" customWidth="1"/>
    <col min="47" max="16384" width="11.42578125" style="289"/>
  </cols>
  <sheetData>
    <row r="1" spans="2:26" ht="23.25" customHeight="1" x14ac:dyDescent="0.4">
      <c r="L1" s="290"/>
      <c r="M1" s="290"/>
      <c r="N1" s="290"/>
      <c r="O1" s="290"/>
      <c r="P1" s="291">
        <v>0.1</v>
      </c>
      <c r="Q1" s="291"/>
      <c r="R1" s="350">
        <v>0.09</v>
      </c>
      <c r="S1" s="290"/>
      <c r="T1" s="292"/>
      <c r="U1" s="292"/>
      <c r="V1" s="292"/>
      <c r="W1" s="292"/>
      <c r="X1" s="292"/>
      <c r="Y1" s="292"/>
      <c r="Z1" s="292"/>
    </row>
    <row r="2" spans="2:26" ht="23.25" customHeight="1" x14ac:dyDescent="0.4">
      <c r="L2" s="290"/>
      <c r="M2" s="290"/>
      <c r="N2" s="290"/>
      <c r="O2" s="290"/>
      <c r="P2" s="293">
        <v>0.1</v>
      </c>
      <c r="Q2" s="293"/>
      <c r="R2" s="351">
        <v>7.5999999999999998E-2</v>
      </c>
      <c r="S2" s="290"/>
      <c r="T2" s="292"/>
      <c r="U2" s="292"/>
      <c r="V2" s="292"/>
      <c r="W2" s="292"/>
      <c r="X2" s="292"/>
      <c r="Y2" s="292"/>
      <c r="Z2" s="292"/>
    </row>
    <row r="3" spans="2:26" ht="23.25" customHeight="1" x14ac:dyDescent="0.4">
      <c r="L3" s="290"/>
      <c r="M3" s="290"/>
      <c r="N3" s="290"/>
      <c r="O3" s="290"/>
      <c r="P3" s="294">
        <f>P2+P1</f>
        <v>0.2</v>
      </c>
      <c r="Q3" s="294"/>
      <c r="R3" s="294">
        <f>R2+R1</f>
        <v>0.16599999999999998</v>
      </c>
      <c r="S3" s="295"/>
      <c r="T3" s="296"/>
      <c r="U3" s="292"/>
      <c r="V3" s="292"/>
      <c r="W3" s="292"/>
      <c r="X3" s="292"/>
      <c r="Y3" s="292"/>
      <c r="Z3" s="292"/>
    </row>
    <row r="4" spans="2:26" ht="23.25" customHeight="1" x14ac:dyDescent="0.4">
      <c r="B4" s="559" t="s">
        <v>224</v>
      </c>
      <c r="C4" s="297" t="s">
        <v>1</v>
      </c>
      <c r="D4" s="297" t="s">
        <v>225</v>
      </c>
      <c r="E4" s="297" t="s">
        <v>226</v>
      </c>
      <c r="F4" s="297" t="s">
        <v>116</v>
      </c>
      <c r="I4" s="297" t="s">
        <v>340</v>
      </c>
      <c r="L4" s="298" t="s">
        <v>6</v>
      </c>
      <c r="M4" s="299" t="s">
        <v>245</v>
      </c>
      <c r="N4" s="300" t="s">
        <v>7</v>
      </c>
      <c r="O4" s="301" t="s">
        <v>80</v>
      </c>
      <c r="P4" s="302" t="s">
        <v>77</v>
      </c>
      <c r="Q4" s="302" t="s">
        <v>77</v>
      </c>
      <c r="R4" s="303" t="s">
        <v>79</v>
      </c>
      <c r="S4" s="290"/>
      <c r="T4" s="292"/>
      <c r="U4" s="359"/>
      <c r="V4" s="359"/>
      <c r="W4" s="353"/>
      <c r="X4" s="353"/>
      <c r="Y4" s="353"/>
      <c r="Z4" s="353"/>
    </row>
    <row r="5" spans="2:26" ht="23.25" customHeight="1" x14ac:dyDescent="0.4">
      <c r="B5" s="559"/>
      <c r="C5" s="307">
        <f>Insumos!C6</f>
        <v>224</v>
      </c>
      <c r="D5" s="307">
        <f>Insumos!AK5*1</f>
        <v>96.76</v>
      </c>
      <c r="E5" s="307">
        <f>Insumos!AK8*1</f>
        <v>145</v>
      </c>
      <c r="F5" s="307">
        <f>Insumos!G6/28</f>
        <v>8.5685714285714276</v>
      </c>
      <c r="H5" s="307"/>
      <c r="I5" s="307">
        <f>'Coloniales S.C'!M7</f>
        <v>651.19200000000001</v>
      </c>
      <c r="J5" s="307"/>
      <c r="K5" s="305"/>
      <c r="L5" s="304">
        <f>SUM(D5:I5)</f>
        <v>901.52057142857143</v>
      </c>
      <c r="M5" s="304">
        <f>SUM(C5:H5)</f>
        <v>474.32857142857142</v>
      </c>
      <c r="N5" s="304">
        <v>200</v>
      </c>
      <c r="O5" s="304">
        <f>N5+M5</f>
        <v>674.32857142857142</v>
      </c>
      <c r="P5" s="306">
        <f>ROUND(Q5/50,0)*50</f>
        <v>1300</v>
      </c>
      <c r="Q5" s="306">
        <f>(N5+L5)+((L5+N5)*($P$3))</f>
        <v>1321.8246857142858</v>
      </c>
      <c r="R5" s="304">
        <f>P5-(P5*$R$3)-M5</f>
        <v>609.87142857142862</v>
      </c>
      <c r="S5" s="304"/>
      <c r="T5" s="304"/>
      <c r="U5" s="355"/>
      <c r="V5" s="355"/>
      <c r="W5" s="355"/>
      <c r="X5" s="355"/>
      <c r="Y5" s="355"/>
      <c r="Z5" s="355"/>
    </row>
    <row r="6" spans="2:26" ht="23.25" customHeight="1" x14ac:dyDescent="0.4">
      <c r="C6" s="307"/>
      <c r="D6" s="307"/>
      <c r="E6" s="307"/>
      <c r="F6" s="307"/>
      <c r="G6" s="307"/>
      <c r="H6" s="307"/>
      <c r="I6" s="307"/>
      <c r="J6" s="307"/>
      <c r="K6" s="305"/>
      <c r="L6" s="304"/>
      <c r="M6" s="304"/>
      <c r="N6" s="304"/>
      <c r="O6" s="304"/>
      <c r="P6" s="304"/>
      <c r="Q6" s="304"/>
      <c r="R6" s="304"/>
      <c r="S6" s="304"/>
      <c r="T6" s="304"/>
      <c r="U6" s="296"/>
      <c r="V6" s="296"/>
      <c r="W6" s="296"/>
      <c r="X6" s="296"/>
      <c r="Y6" s="296"/>
      <c r="Z6" s="296"/>
    </row>
    <row r="7" spans="2:26" ht="23.25" customHeight="1" x14ac:dyDescent="0.4">
      <c r="C7" s="307"/>
      <c r="D7" s="307"/>
      <c r="E7" s="307"/>
      <c r="F7" s="307"/>
      <c r="G7" s="307"/>
      <c r="H7" s="307"/>
      <c r="I7" s="307"/>
      <c r="J7" s="307"/>
      <c r="K7" s="305"/>
      <c r="L7" s="304"/>
      <c r="M7" s="304"/>
      <c r="N7" s="304"/>
      <c r="O7" s="304"/>
      <c r="P7" s="304"/>
      <c r="Q7" s="304"/>
      <c r="R7" s="307"/>
      <c r="S7" s="304"/>
      <c r="T7" s="304"/>
      <c r="U7" s="292"/>
      <c r="V7" s="292"/>
      <c r="W7" s="292"/>
      <c r="X7" s="292"/>
      <c r="Y7" s="292"/>
      <c r="Z7" s="292"/>
    </row>
    <row r="8" spans="2:26" ht="23.25" customHeight="1" x14ac:dyDescent="0.4">
      <c r="C8" s="307"/>
      <c r="D8" s="307"/>
      <c r="E8" s="307"/>
      <c r="F8" s="307"/>
      <c r="G8" s="307"/>
      <c r="H8" s="307"/>
      <c r="I8" s="307"/>
      <c r="J8" s="307"/>
      <c r="K8" s="305"/>
      <c r="L8" s="304"/>
      <c r="M8" s="304"/>
      <c r="N8" s="304"/>
      <c r="O8" s="304"/>
      <c r="P8" s="308" t="s">
        <v>65</v>
      </c>
      <c r="Q8" s="308"/>
      <c r="R8" s="309" t="s">
        <v>83</v>
      </c>
      <c r="S8" s="304"/>
      <c r="T8" s="304"/>
      <c r="U8" s="296"/>
      <c r="V8" s="296"/>
      <c r="W8" s="296"/>
      <c r="X8" s="296"/>
      <c r="Y8" s="296"/>
      <c r="Z8" s="296"/>
    </row>
    <row r="9" spans="2:26" ht="23.25" customHeight="1" x14ac:dyDescent="0.4">
      <c r="C9" s="307"/>
      <c r="D9" s="307"/>
      <c r="E9" s="307"/>
      <c r="F9" s="307"/>
      <c r="G9" s="307"/>
      <c r="H9" s="307"/>
      <c r="I9" s="307"/>
      <c r="J9" s="307"/>
      <c r="K9" s="305"/>
      <c r="L9" s="304"/>
      <c r="M9" s="304"/>
      <c r="N9" s="304"/>
      <c r="O9" s="304"/>
      <c r="P9" s="310">
        <f>P5-(P5*$P$1)</f>
        <v>1170</v>
      </c>
      <c r="Q9" s="304"/>
      <c r="R9" s="304">
        <f>(P9-(P9*$R$2))-M5</f>
        <v>606.75142857142851</v>
      </c>
      <c r="S9" s="304"/>
      <c r="T9" s="304"/>
      <c r="U9" s="356"/>
      <c r="V9" s="356"/>
      <c r="W9" s="356"/>
      <c r="X9" s="356"/>
      <c r="Y9" s="356"/>
      <c r="Z9" s="356"/>
    </row>
    <row r="10" spans="2:26" ht="23.25" customHeight="1" x14ac:dyDescent="0.4">
      <c r="C10" s="307"/>
      <c r="D10" s="307"/>
      <c r="E10" s="307"/>
      <c r="F10" s="307"/>
      <c r="G10" s="307"/>
      <c r="H10" s="307"/>
      <c r="I10" s="307"/>
      <c r="J10" s="307"/>
      <c r="K10" s="305"/>
      <c r="L10" s="304"/>
      <c r="M10" s="304"/>
      <c r="N10" s="304"/>
      <c r="O10" s="304"/>
      <c r="Q10" s="307"/>
      <c r="R10" s="304"/>
      <c r="S10" s="304"/>
      <c r="T10" s="304"/>
      <c r="U10" s="292"/>
      <c r="V10" s="292"/>
      <c r="W10" s="292"/>
      <c r="X10" s="292"/>
      <c r="Y10" s="292"/>
      <c r="Z10" s="292"/>
    </row>
    <row r="11" spans="2:26" ht="23.25" customHeight="1" x14ac:dyDescent="0.4"/>
    <row r="12" spans="2:26" ht="23.25" customHeight="1" x14ac:dyDescent="0.4">
      <c r="L12" s="290"/>
      <c r="M12" s="290"/>
      <c r="N12" s="290"/>
      <c r="O12" s="290"/>
      <c r="P12" s="291">
        <v>0.1</v>
      </c>
      <c r="Q12" s="291"/>
      <c r="R12" s="291">
        <v>0.08</v>
      </c>
      <c r="S12" s="290"/>
      <c r="T12" s="292"/>
      <c r="U12" s="292"/>
      <c r="V12" s="292"/>
      <c r="W12" s="292"/>
      <c r="X12" s="292"/>
      <c r="Y12" s="292"/>
      <c r="Z12" s="292"/>
    </row>
    <row r="13" spans="2:26" ht="23.25" customHeight="1" x14ac:dyDescent="0.4">
      <c r="L13" s="290"/>
      <c r="M13" s="290"/>
      <c r="N13" s="290"/>
      <c r="O13" s="290"/>
      <c r="P13" s="293">
        <v>0.09</v>
      </c>
      <c r="Q13" s="293"/>
      <c r="R13" s="293">
        <v>0.06</v>
      </c>
      <c r="S13" s="290"/>
      <c r="T13" s="292"/>
      <c r="U13" s="292"/>
      <c r="V13" s="292"/>
      <c r="W13" s="292"/>
      <c r="X13" s="292"/>
      <c r="Y13" s="292"/>
      <c r="Z13" s="292"/>
    </row>
    <row r="14" spans="2:26" ht="23.25" customHeight="1" x14ac:dyDescent="0.4">
      <c r="L14" s="290"/>
      <c r="M14" s="290"/>
      <c r="N14" s="290"/>
      <c r="O14" s="290"/>
      <c r="P14" s="294">
        <f>P13+P12</f>
        <v>0.19</v>
      </c>
      <c r="Q14" s="294"/>
      <c r="R14" s="294">
        <f>R13+R12</f>
        <v>0.14000000000000001</v>
      </c>
      <c r="S14" s="295"/>
      <c r="T14" s="296"/>
      <c r="U14" s="292"/>
      <c r="V14" s="292"/>
      <c r="W14" s="292"/>
      <c r="X14" s="292"/>
      <c r="Y14" s="292"/>
      <c r="Z14" s="292"/>
    </row>
    <row r="15" spans="2:26" ht="23.25" customHeight="1" x14ac:dyDescent="0.4">
      <c r="B15" s="559" t="s">
        <v>234</v>
      </c>
      <c r="C15" s="297" t="s">
        <v>1</v>
      </c>
      <c r="D15" s="275" t="s">
        <v>225</v>
      </c>
      <c r="E15" s="275" t="s">
        <v>226</v>
      </c>
      <c r="F15" s="275" t="s">
        <v>116</v>
      </c>
      <c r="G15" s="275" t="s">
        <v>231</v>
      </c>
      <c r="H15" s="275" t="s">
        <v>258</v>
      </c>
      <c r="I15" s="297" t="s">
        <v>340</v>
      </c>
      <c r="J15" s="273"/>
      <c r="K15" s="296"/>
      <c r="L15" s="298" t="s">
        <v>6</v>
      </c>
      <c r="M15" s="299" t="s">
        <v>245</v>
      </c>
      <c r="N15" s="300" t="s">
        <v>7</v>
      </c>
      <c r="O15" s="301" t="s">
        <v>80</v>
      </c>
      <c r="P15" s="302" t="s">
        <v>77</v>
      </c>
      <c r="Q15" s="302" t="s">
        <v>77</v>
      </c>
      <c r="R15" s="303" t="s">
        <v>79</v>
      </c>
      <c r="S15" s="290"/>
      <c r="T15" s="292"/>
      <c r="U15" s="353"/>
      <c r="V15" s="353"/>
      <c r="W15" s="353"/>
      <c r="X15" s="353"/>
      <c r="Y15" s="353"/>
      <c r="Z15" s="353"/>
    </row>
    <row r="16" spans="2:26" ht="23.25" customHeight="1" x14ac:dyDescent="0.4">
      <c r="B16" s="559"/>
      <c r="C16" s="307">
        <f>C5</f>
        <v>224</v>
      </c>
      <c r="D16" s="307">
        <f>D5</f>
        <v>96.76</v>
      </c>
      <c r="E16" s="307">
        <f>E5</f>
        <v>145</v>
      </c>
      <c r="F16" s="307">
        <f>F5</f>
        <v>8.5685714285714276</v>
      </c>
      <c r="G16" s="307">
        <f>Insumos!AP5</f>
        <v>76.666666666666671</v>
      </c>
      <c r="H16" s="307">
        <v>75</v>
      </c>
      <c r="I16" s="307">
        <f>$I$5</f>
        <v>651.19200000000001</v>
      </c>
      <c r="J16" s="307"/>
      <c r="K16" s="305"/>
      <c r="L16" s="304">
        <f>SUM(D16:I16)</f>
        <v>1053.1872380952382</v>
      </c>
      <c r="M16" s="304">
        <f>SUM(C16:H16)</f>
        <v>625.99523809523805</v>
      </c>
      <c r="N16" s="304">
        <v>250</v>
      </c>
      <c r="O16" s="304">
        <f>N16+M16</f>
        <v>875.99523809523805</v>
      </c>
      <c r="P16" s="306">
        <f>ROUND(Q16/50,0)*50</f>
        <v>1550</v>
      </c>
      <c r="Q16" s="306">
        <f>(N16+L16)+((L16+N16)*($P$3))</f>
        <v>1563.8246857142858</v>
      </c>
      <c r="R16" s="304">
        <f>P16-(P16*$R$3)-M16</f>
        <v>666.70476190476199</v>
      </c>
      <c r="S16" s="304"/>
      <c r="T16" s="304"/>
      <c r="U16" s="357"/>
      <c r="V16" s="357"/>
      <c r="W16" s="357"/>
      <c r="X16" s="357"/>
      <c r="Y16" s="357"/>
      <c r="Z16" s="357"/>
    </row>
    <row r="17" spans="2:26" ht="23.25" customHeight="1" x14ac:dyDescent="0.4">
      <c r="C17" s="307"/>
      <c r="D17" s="307"/>
      <c r="E17" s="307"/>
      <c r="F17" s="307"/>
      <c r="G17" s="307"/>
      <c r="H17" s="307"/>
      <c r="I17" s="307"/>
      <c r="J17" s="307"/>
      <c r="K17" s="305"/>
      <c r="L17" s="304"/>
      <c r="M17" s="304"/>
      <c r="N17" s="304"/>
      <c r="O17" s="304"/>
      <c r="P17" s="304"/>
      <c r="Q17" s="304"/>
      <c r="R17" s="304"/>
      <c r="S17" s="304"/>
      <c r="T17" s="304"/>
      <c r="U17" s="296"/>
      <c r="V17" s="296"/>
      <c r="W17" s="296"/>
      <c r="X17" s="296"/>
      <c r="Y17" s="296"/>
      <c r="Z17" s="296"/>
    </row>
    <row r="18" spans="2:26" ht="23.25" customHeight="1" x14ac:dyDescent="0.4">
      <c r="C18" s="307"/>
      <c r="D18" s="307"/>
      <c r="E18" s="307"/>
      <c r="F18" s="307"/>
      <c r="G18" s="307"/>
      <c r="H18" s="307"/>
      <c r="I18" s="307"/>
      <c r="J18" s="307"/>
      <c r="K18" s="305"/>
      <c r="L18" s="304"/>
      <c r="M18" s="304"/>
      <c r="N18" s="304"/>
      <c r="O18" s="304"/>
      <c r="P18" s="304"/>
      <c r="Q18" s="304"/>
      <c r="R18" s="307"/>
      <c r="S18" s="304"/>
      <c r="T18" s="304"/>
      <c r="U18" s="292"/>
      <c r="V18" s="292"/>
      <c r="W18" s="292"/>
      <c r="X18" s="292"/>
      <c r="Y18" s="292"/>
      <c r="Z18" s="292"/>
    </row>
    <row r="19" spans="2:26" ht="23.25" customHeight="1" x14ac:dyDescent="0.4">
      <c r="C19" s="307"/>
      <c r="D19" s="307"/>
      <c r="E19" s="307"/>
      <c r="F19" s="307"/>
      <c r="G19" s="307"/>
      <c r="H19" s="307"/>
      <c r="I19" s="307"/>
      <c r="J19" s="307"/>
      <c r="K19" s="305"/>
      <c r="L19" s="304"/>
      <c r="M19" s="304"/>
      <c r="N19" s="304"/>
      <c r="O19" s="304"/>
      <c r="P19" s="308" t="s">
        <v>65</v>
      </c>
      <c r="Q19" s="308"/>
      <c r="R19" s="309" t="s">
        <v>83</v>
      </c>
      <c r="S19" s="304"/>
      <c r="T19" s="304"/>
      <c r="U19" s="296"/>
      <c r="V19" s="296"/>
      <c r="W19" s="296"/>
      <c r="X19" s="296"/>
      <c r="Y19" s="296"/>
      <c r="Z19" s="296"/>
    </row>
    <row r="20" spans="2:26" ht="23.25" customHeight="1" x14ac:dyDescent="0.4">
      <c r="C20" s="307"/>
      <c r="D20" s="307"/>
      <c r="E20" s="307"/>
      <c r="F20" s="307"/>
      <c r="G20" s="307"/>
      <c r="H20" s="307"/>
      <c r="I20" s="307"/>
      <c r="J20" s="307"/>
      <c r="K20" s="305"/>
      <c r="L20" s="304"/>
      <c r="M20" s="304"/>
      <c r="N20" s="304"/>
      <c r="O20" s="304"/>
      <c r="P20" s="310">
        <f>P16-(P16*$P$1)</f>
        <v>1395</v>
      </c>
      <c r="Q20" s="304"/>
      <c r="R20" s="304">
        <f>(P20-(P20*$R$2))-M16</f>
        <v>662.98476190476197</v>
      </c>
      <c r="S20" s="304"/>
      <c r="T20" s="304"/>
      <c r="U20" s="356"/>
      <c r="V20" s="356"/>
      <c r="W20" s="356"/>
      <c r="X20" s="356"/>
      <c r="Y20" s="356"/>
      <c r="Z20" s="356"/>
    </row>
    <row r="21" spans="2:26" ht="23.25" customHeight="1" x14ac:dyDescent="0.4">
      <c r="C21" s="307"/>
      <c r="D21" s="307"/>
      <c r="E21" s="307"/>
      <c r="F21" s="307"/>
      <c r="G21" s="307"/>
      <c r="H21" s="307"/>
      <c r="I21" s="307"/>
      <c r="J21" s="307"/>
      <c r="K21" s="305"/>
      <c r="L21" s="304"/>
      <c r="M21" s="304"/>
      <c r="N21" s="304"/>
      <c r="O21" s="304"/>
      <c r="Q21" s="307"/>
      <c r="R21" s="304"/>
      <c r="S21" s="304"/>
      <c r="T21" s="304"/>
      <c r="U21" s="292"/>
      <c r="V21" s="292"/>
      <c r="W21" s="292"/>
      <c r="X21" s="292"/>
      <c r="Y21" s="292"/>
      <c r="Z21" s="292"/>
    </row>
    <row r="22" spans="2:26" ht="23.25" customHeight="1" x14ac:dyDescent="0.4"/>
    <row r="23" spans="2:26" ht="23.25" customHeight="1" x14ac:dyDescent="0.4">
      <c r="L23" s="290"/>
      <c r="M23" s="290"/>
      <c r="N23" s="290"/>
      <c r="O23" s="290"/>
      <c r="P23" s="291">
        <v>0.1</v>
      </c>
      <c r="Q23" s="291"/>
      <c r="R23" s="291">
        <v>0.08</v>
      </c>
      <c r="S23" s="290"/>
      <c r="T23" s="292"/>
      <c r="U23" s="292"/>
      <c r="V23" s="292"/>
      <c r="W23" s="292"/>
      <c r="X23" s="292"/>
      <c r="Y23" s="292"/>
      <c r="Z23" s="292"/>
    </row>
    <row r="24" spans="2:26" ht="23.25" customHeight="1" x14ac:dyDescent="0.4">
      <c r="L24" s="290"/>
      <c r="M24" s="290"/>
      <c r="N24" s="290"/>
      <c r="O24" s="290"/>
      <c r="P24" s="293">
        <v>0.09</v>
      </c>
      <c r="Q24" s="293"/>
      <c r="R24" s="293">
        <v>0.06</v>
      </c>
      <c r="S24" s="290"/>
      <c r="T24" s="292"/>
      <c r="U24" s="292"/>
      <c r="V24" s="292"/>
      <c r="W24" s="292"/>
      <c r="X24" s="292"/>
      <c r="Y24" s="292"/>
      <c r="Z24" s="292"/>
    </row>
    <row r="25" spans="2:26" ht="23.25" customHeight="1" x14ac:dyDescent="0.4">
      <c r="L25" s="290"/>
      <c r="M25" s="290"/>
      <c r="N25" s="290"/>
      <c r="O25" s="290"/>
      <c r="P25" s="294">
        <f>P24+P23</f>
        <v>0.19</v>
      </c>
      <c r="Q25" s="294"/>
      <c r="R25" s="294">
        <f>R24+R23</f>
        <v>0.14000000000000001</v>
      </c>
      <c r="S25" s="295"/>
      <c r="T25" s="296"/>
      <c r="U25" s="292"/>
      <c r="V25" s="292"/>
      <c r="W25" s="292"/>
      <c r="X25" s="292"/>
      <c r="Y25" s="292"/>
      <c r="Z25" s="292"/>
    </row>
    <row r="26" spans="2:26" ht="23.25" customHeight="1" x14ac:dyDescent="0.4">
      <c r="B26" s="559" t="s">
        <v>233</v>
      </c>
      <c r="C26" s="297" t="s">
        <v>1</v>
      </c>
      <c r="D26" s="297" t="s">
        <v>225</v>
      </c>
      <c r="E26" s="297" t="s">
        <v>226</v>
      </c>
      <c r="F26" s="297" t="s">
        <v>116</v>
      </c>
      <c r="G26" s="297" t="s">
        <v>235</v>
      </c>
      <c r="I26" s="297" t="s">
        <v>340</v>
      </c>
      <c r="L26" s="298" t="s">
        <v>6</v>
      </c>
      <c r="M26" s="299" t="s">
        <v>245</v>
      </c>
      <c r="N26" s="300" t="s">
        <v>7</v>
      </c>
      <c r="O26" s="301" t="s">
        <v>80</v>
      </c>
      <c r="P26" s="302" t="s">
        <v>77</v>
      </c>
      <c r="Q26" s="302" t="s">
        <v>77</v>
      </c>
      <c r="R26" s="303" t="s">
        <v>79</v>
      </c>
      <c r="S26" s="290"/>
      <c r="T26" s="292"/>
      <c r="U26" s="358"/>
      <c r="V26" s="358"/>
      <c r="W26" s="358"/>
      <c r="X26" s="358"/>
      <c r="Y26" s="358"/>
      <c r="Z26" s="358"/>
    </row>
    <row r="27" spans="2:26" ht="23.25" customHeight="1" x14ac:dyDescent="0.4">
      <c r="B27" s="559"/>
      <c r="C27" s="307">
        <f>C16</f>
        <v>224</v>
      </c>
      <c r="D27" s="307">
        <f>D16</f>
        <v>96.76</v>
      </c>
      <c r="E27" s="307">
        <f>E16</f>
        <v>145</v>
      </c>
      <c r="F27" s="307">
        <f>F16</f>
        <v>8.5685714285714276</v>
      </c>
      <c r="G27" s="307">
        <f>Insumos!AP9*2</f>
        <v>184</v>
      </c>
      <c r="H27" s="307"/>
      <c r="I27" s="307">
        <f>$I$5</f>
        <v>651.19200000000001</v>
      </c>
      <c r="J27" s="307"/>
      <c r="K27" s="305"/>
      <c r="L27" s="304">
        <f>SUM(D27:I27)</f>
        <v>1085.5205714285714</v>
      </c>
      <c r="M27" s="304">
        <f>SUM(C27:H27)</f>
        <v>658.32857142857142</v>
      </c>
      <c r="N27" s="304">
        <v>250</v>
      </c>
      <c r="O27" s="304">
        <f>N27+M27</f>
        <v>908.32857142857142</v>
      </c>
      <c r="P27" s="306">
        <f>ROUND(Q27/50,0)*50</f>
        <v>1600</v>
      </c>
      <c r="Q27" s="306">
        <f>(N27+L27)+((L27+N27)*($P$3))</f>
        <v>1602.6246857142858</v>
      </c>
      <c r="R27" s="304">
        <f>P27-(P27*$R$3)-M27</f>
        <v>676.07142857142867</v>
      </c>
      <c r="S27" s="304"/>
      <c r="T27" s="304"/>
      <c r="U27" s="357"/>
      <c r="V27" s="357"/>
      <c r="W27" s="357"/>
      <c r="X27" s="357"/>
      <c r="Y27" s="357"/>
      <c r="Z27" s="357"/>
    </row>
    <row r="28" spans="2:26" ht="23.25" customHeight="1" x14ac:dyDescent="0.4">
      <c r="C28" s="307"/>
      <c r="D28" s="307"/>
      <c r="E28" s="307"/>
      <c r="F28" s="307"/>
      <c r="G28" s="307"/>
      <c r="H28" s="307"/>
      <c r="I28" s="307"/>
      <c r="J28" s="307"/>
      <c r="K28" s="305"/>
      <c r="L28" s="304"/>
      <c r="M28" s="304"/>
      <c r="N28" s="304"/>
      <c r="O28" s="304"/>
      <c r="P28" s="304"/>
      <c r="Q28" s="304"/>
      <c r="R28" s="304"/>
      <c r="S28" s="304"/>
      <c r="T28" s="304"/>
      <c r="U28" s="296"/>
      <c r="V28" s="296"/>
      <c r="W28" s="296"/>
      <c r="X28" s="296"/>
      <c r="Y28" s="296"/>
      <c r="Z28" s="296"/>
    </row>
    <row r="29" spans="2:26" ht="23.25" customHeight="1" x14ac:dyDescent="0.4">
      <c r="C29" s="307"/>
      <c r="D29" s="307"/>
      <c r="E29" s="307"/>
      <c r="F29" s="307"/>
      <c r="G29" s="307"/>
      <c r="H29" s="307"/>
      <c r="I29" s="307"/>
      <c r="J29" s="307"/>
      <c r="K29" s="305"/>
      <c r="L29" s="304"/>
      <c r="M29" s="304"/>
      <c r="N29" s="304"/>
      <c r="O29" s="304"/>
      <c r="P29" s="304"/>
      <c r="Q29" s="304"/>
      <c r="R29" s="307"/>
      <c r="S29" s="304"/>
      <c r="T29" s="304"/>
      <c r="U29" s="292"/>
      <c r="V29" s="292"/>
      <c r="W29" s="292"/>
      <c r="X29" s="292"/>
      <c r="Y29" s="292"/>
      <c r="Z29" s="292"/>
    </row>
    <row r="30" spans="2:26" ht="23.25" customHeight="1" x14ac:dyDescent="0.4">
      <c r="C30" s="307"/>
      <c r="D30" s="307"/>
      <c r="E30" s="307"/>
      <c r="F30" s="307"/>
      <c r="G30" s="307"/>
      <c r="H30" s="307"/>
      <c r="I30" s="307"/>
      <c r="J30" s="307"/>
      <c r="K30" s="305"/>
      <c r="L30" s="304"/>
      <c r="M30" s="304"/>
      <c r="N30" s="304"/>
      <c r="O30" s="304"/>
      <c r="P30" s="308" t="s">
        <v>65</v>
      </c>
      <c r="Q30" s="308"/>
      <c r="R30" s="309" t="s">
        <v>83</v>
      </c>
      <c r="S30" s="304"/>
      <c r="T30" s="304"/>
      <c r="U30" s="296"/>
      <c r="V30" s="296"/>
      <c r="W30" s="296"/>
      <c r="X30" s="296"/>
      <c r="Y30" s="296"/>
      <c r="Z30" s="296"/>
    </row>
    <row r="31" spans="2:26" ht="23.25" customHeight="1" x14ac:dyDescent="0.4">
      <c r="C31" s="307"/>
      <c r="D31" s="307"/>
      <c r="E31" s="307"/>
      <c r="F31" s="307"/>
      <c r="G31" s="307"/>
      <c r="H31" s="307"/>
      <c r="I31" s="307"/>
      <c r="J31" s="307"/>
      <c r="K31" s="305"/>
      <c r="L31" s="304"/>
      <c r="M31" s="304"/>
      <c r="N31" s="304"/>
      <c r="O31" s="304"/>
      <c r="P31" s="310">
        <f>P27-(P27*$P$1)</f>
        <v>1440</v>
      </c>
      <c r="Q31" s="304"/>
      <c r="R31" s="304">
        <f>(P31-(P31*$R$2))-M27</f>
        <v>672.23142857142852</v>
      </c>
      <c r="S31" s="304"/>
      <c r="T31" s="304"/>
      <c r="U31" s="356"/>
      <c r="V31" s="356"/>
      <c r="W31" s="356"/>
      <c r="X31" s="356"/>
      <c r="Y31" s="356"/>
      <c r="Z31" s="356"/>
    </row>
    <row r="32" spans="2:26" ht="23.25" customHeight="1" x14ac:dyDescent="0.4">
      <c r="C32" s="307"/>
      <c r="D32" s="307"/>
      <c r="E32" s="307"/>
      <c r="F32" s="307"/>
      <c r="G32" s="307"/>
      <c r="H32" s="307"/>
      <c r="I32" s="307"/>
      <c r="J32" s="307"/>
      <c r="K32" s="305"/>
      <c r="L32" s="304"/>
      <c r="M32" s="304"/>
      <c r="N32" s="304"/>
      <c r="O32" s="304"/>
      <c r="Q32" s="307"/>
      <c r="R32" s="304"/>
      <c r="S32" s="304"/>
      <c r="T32" s="304"/>
      <c r="U32" s="292"/>
      <c r="V32" s="292"/>
      <c r="W32" s="292"/>
      <c r="X32" s="292"/>
      <c r="Y32" s="292"/>
      <c r="Z32" s="292"/>
    </row>
    <row r="33" spans="2:26" ht="23.25" customHeight="1" x14ac:dyDescent="0.4"/>
    <row r="34" spans="2:26" ht="23.25" customHeight="1" x14ac:dyDescent="0.4">
      <c r="L34" s="290"/>
      <c r="M34" s="290"/>
      <c r="N34" s="290"/>
      <c r="O34" s="290"/>
      <c r="P34" s="291">
        <v>0.1</v>
      </c>
      <c r="Q34" s="291"/>
      <c r="R34" s="291">
        <v>0.08</v>
      </c>
      <c r="S34" s="290"/>
      <c r="T34" s="292"/>
      <c r="U34" s="292"/>
      <c r="V34" s="292"/>
      <c r="W34" s="292"/>
      <c r="X34" s="292"/>
      <c r="Y34" s="292"/>
      <c r="Z34" s="292"/>
    </row>
    <row r="35" spans="2:26" ht="23.25" customHeight="1" x14ac:dyDescent="0.4">
      <c r="L35" s="290"/>
      <c r="M35" s="290"/>
      <c r="N35" s="290"/>
      <c r="O35" s="290"/>
      <c r="P35" s="293">
        <v>0.09</v>
      </c>
      <c r="Q35" s="293"/>
      <c r="R35" s="293">
        <v>0.06</v>
      </c>
      <c r="S35" s="290"/>
      <c r="T35" s="292"/>
      <c r="U35" s="292"/>
      <c r="V35" s="292"/>
      <c r="W35" s="292"/>
      <c r="X35" s="292"/>
      <c r="Y35" s="292"/>
      <c r="Z35" s="292"/>
    </row>
    <row r="36" spans="2:26" ht="23.25" customHeight="1" x14ac:dyDescent="0.4">
      <c r="L36" s="290"/>
      <c r="M36" s="290"/>
      <c r="N36" s="290"/>
      <c r="O36" s="290"/>
      <c r="P36" s="294">
        <f>P35+P34</f>
        <v>0.19</v>
      </c>
      <c r="Q36" s="294"/>
      <c r="R36" s="294">
        <f>R35+R34</f>
        <v>0.14000000000000001</v>
      </c>
      <c r="S36" s="295"/>
      <c r="T36" s="296"/>
      <c r="U36" s="292"/>
      <c r="V36" s="292"/>
      <c r="W36" s="292"/>
      <c r="X36" s="292"/>
      <c r="Y36" s="292"/>
      <c r="Z36" s="292"/>
    </row>
    <row r="37" spans="2:26" ht="23.25" customHeight="1" x14ac:dyDescent="0.4">
      <c r="B37" s="559" t="s">
        <v>232</v>
      </c>
      <c r="C37" s="297" t="s">
        <v>1</v>
      </c>
      <c r="D37" s="297" t="s">
        <v>225</v>
      </c>
      <c r="E37" s="297" t="s">
        <v>226</v>
      </c>
      <c r="F37" s="297" t="s">
        <v>116</v>
      </c>
      <c r="G37" s="297" t="s">
        <v>236</v>
      </c>
      <c r="I37" s="297" t="s">
        <v>340</v>
      </c>
      <c r="L37" s="298" t="s">
        <v>6</v>
      </c>
      <c r="M37" s="299" t="s">
        <v>245</v>
      </c>
      <c r="N37" s="300" t="s">
        <v>7</v>
      </c>
      <c r="O37" s="301" t="s">
        <v>80</v>
      </c>
      <c r="P37" s="302" t="s">
        <v>77</v>
      </c>
      <c r="Q37" s="302" t="s">
        <v>77</v>
      </c>
      <c r="R37" s="303" t="s">
        <v>79</v>
      </c>
      <c r="S37" s="290"/>
      <c r="T37" s="292"/>
      <c r="U37" s="358"/>
      <c r="V37" s="358"/>
      <c r="W37" s="358"/>
      <c r="X37" s="358"/>
      <c r="Y37" s="358"/>
      <c r="Z37" s="358"/>
    </row>
    <row r="38" spans="2:26" ht="23.25" customHeight="1" x14ac:dyDescent="0.4">
      <c r="B38" s="559"/>
      <c r="C38" s="307">
        <f>C27</f>
        <v>224</v>
      </c>
      <c r="D38" s="307">
        <f>D27</f>
        <v>96.76</v>
      </c>
      <c r="E38" s="307">
        <f>E27</f>
        <v>145</v>
      </c>
      <c r="F38" s="307">
        <f>F27</f>
        <v>8.5685714285714276</v>
      </c>
      <c r="G38" s="307">
        <f>Insumos!AP13</f>
        <v>389.4</v>
      </c>
      <c r="H38" s="307"/>
      <c r="I38" s="307">
        <f>$I$5</f>
        <v>651.19200000000001</v>
      </c>
      <c r="J38" s="307"/>
      <c r="K38" s="305"/>
      <c r="L38" s="304">
        <f>SUM(D38:I38)</f>
        <v>1290.9205714285713</v>
      </c>
      <c r="M38" s="304">
        <f>SUM(C38:H38)</f>
        <v>863.7285714285714</v>
      </c>
      <c r="N38" s="304">
        <v>250</v>
      </c>
      <c r="O38" s="304">
        <f>N38+M38</f>
        <v>1113.7285714285713</v>
      </c>
      <c r="P38" s="306">
        <f>ROUND(Q38/50,0)*50</f>
        <v>1850</v>
      </c>
      <c r="Q38" s="306">
        <f>(N38+L38)+((L38+N38)*($P$3))</f>
        <v>1849.1046857142856</v>
      </c>
      <c r="R38" s="304">
        <f>P38-(P38*$R$3)-M38</f>
        <v>679.17142857142869</v>
      </c>
      <c r="S38" s="304"/>
      <c r="T38" s="304"/>
      <c r="U38" s="357"/>
      <c r="V38" s="357"/>
      <c r="W38" s="357"/>
      <c r="X38" s="357"/>
      <c r="Y38" s="357"/>
      <c r="Z38" s="357"/>
    </row>
    <row r="39" spans="2:26" ht="23.25" customHeight="1" x14ac:dyDescent="0.4">
      <c r="C39" s="307"/>
      <c r="D39" s="307"/>
      <c r="E39" s="307"/>
      <c r="F39" s="307"/>
      <c r="G39" s="307"/>
      <c r="H39" s="307"/>
      <c r="I39" s="307"/>
      <c r="J39" s="307"/>
      <c r="K39" s="305"/>
      <c r="L39" s="304"/>
      <c r="M39" s="304"/>
      <c r="N39" s="304"/>
      <c r="O39" s="304"/>
      <c r="P39" s="304"/>
      <c r="Q39" s="304"/>
      <c r="R39" s="304"/>
      <c r="S39" s="304"/>
      <c r="T39" s="304"/>
      <c r="U39" s="296"/>
      <c r="V39" s="296"/>
      <c r="W39" s="296"/>
      <c r="X39" s="296"/>
      <c r="Y39" s="296"/>
      <c r="Z39" s="296"/>
    </row>
    <row r="40" spans="2:26" ht="23.25" customHeight="1" x14ac:dyDescent="0.4">
      <c r="C40" s="307"/>
      <c r="D40" s="307"/>
      <c r="E40" s="307"/>
      <c r="F40" s="307"/>
      <c r="G40" s="307"/>
      <c r="H40" s="307"/>
      <c r="I40" s="307"/>
      <c r="J40" s="307"/>
      <c r="K40" s="305"/>
      <c r="L40" s="304"/>
      <c r="M40" s="304"/>
      <c r="N40" s="304"/>
      <c r="O40" s="304"/>
      <c r="P40" s="304"/>
      <c r="Q40" s="304"/>
      <c r="R40" s="307"/>
      <c r="S40" s="304"/>
      <c r="T40" s="304"/>
      <c r="U40" s="292"/>
      <c r="V40" s="292"/>
      <c r="W40" s="292"/>
      <c r="X40" s="292"/>
      <c r="Y40" s="292"/>
      <c r="Z40" s="292"/>
    </row>
    <row r="41" spans="2:26" ht="23.25" customHeight="1" x14ac:dyDescent="0.4">
      <c r="C41" s="307"/>
      <c r="D41" s="307"/>
      <c r="E41" s="307"/>
      <c r="F41" s="307"/>
      <c r="G41" s="307"/>
      <c r="H41" s="307"/>
      <c r="I41" s="307"/>
      <c r="J41" s="307"/>
      <c r="K41" s="305"/>
      <c r="L41" s="304"/>
      <c r="M41" s="304"/>
      <c r="N41" s="304"/>
      <c r="O41" s="304"/>
      <c r="P41" s="308" t="s">
        <v>65</v>
      </c>
      <c r="Q41" s="308"/>
      <c r="R41" s="309" t="s">
        <v>83</v>
      </c>
      <c r="S41" s="304"/>
      <c r="T41" s="304"/>
      <c r="U41" s="296"/>
      <c r="V41" s="296"/>
      <c r="W41" s="296"/>
      <c r="X41" s="296"/>
      <c r="Y41" s="296"/>
      <c r="Z41" s="296"/>
    </row>
    <row r="42" spans="2:26" ht="23.25" customHeight="1" x14ac:dyDescent="0.4">
      <c r="C42" s="307"/>
      <c r="D42" s="307"/>
      <c r="E42" s="307"/>
      <c r="F42" s="307"/>
      <c r="G42" s="307"/>
      <c r="H42" s="307"/>
      <c r="I42" s="307"/>
      <c r="J42" s="307"/>
      <c r="K42" s="305"/>
      <c r="L42" s="304"/>
      <c r="M42" s="304"/>
      <c r="N42" s="304"/>
      <c r="O42" s="304"/>
      <c r="P42" s="310">
        <f>P38-(P38*$P$1)</f>
        <v>1665</v>
      </c>
      <c r="Q42" s="304"/>
      <c r="R42" s="304">
        <f>(P42-(P42*$R$2))-M38</f>
        <v>674.73142857142864</v>
      </c>
      <c r="S42" s="304"/>
      <c r="T42" s="304"/>
      <c r="U42" s="356"/>
      <c r="V42" s="356"/>
      <c r="W42" s="356"/>
      <c r="X42" s="356"/>
      <c r="Y42" s="356"/>
      <c r="Z42" s="356"/>
    </row>
    <row r="43" spans="2:26" ht="23.25" customHeight="1" x14ac:dyDescent="0.4">
      <c r="C43" s="307"/>
      <c r="D43" s="307"/>
      <c r="E43" s="307"/>
      <c r="F43" s="307"/>
      <c r="G43" s="307"/>
      <c r="H43" s="307"/>
      <c r="I43" s="307"/>
      <c r="J43" s="307"/>
      <c r="K43" s="305"/>
      <c r="L43" s="304"/>
      <c r="M43" s="304"/>
      <c r="N43" s="304"/>
      <c r="O43" s="304"/>
      <c r="Q43" s="307"/>
      <c r="R43" s="304"/>
      <c r="S43" s="304"/>
      <c r="T43" s="304"/>
      <c r="U43" s="292"/>
      <c r="V43" s="292"/>
      <c r="W43" s="292"/>
      <c r="X43" s="292"/>
      <c r="Y43" s="292"/>
      <c r="Z43" s="292"/>
    </row>
    <row r="44" spans="2:26" ht="23.25" customHeight="1" x14ac:dyDescent="0.4"/>
    <row r="45" spans="2:26" ht="23.25" customHeight="1" x14ac:dyDescent="0.4">
      <c r="L45" s="290"/>
      <c r="M45" s="290"/>
      <c r="N45" s="290"/>
      <c r="O45" s="290"/>
      <c r="P45" s="291">
        <v>0.1</v>
      </c>
      <c r="Q45" s="291"/>
      <c r="R45" s="291">
        <v>0.08</v>
      </c>
      <c r="S45" s="290"/>
      <c r="T45" s="292"/>
      <c r="U45" s="292"/>
      <c r="V45" s="292"/>
      <c r="W45" s="292"/>
      <c r="X45" s="292"/>
      <c r="Y45" s="292"/>
      <c r="Z45" s="292"/>
    </row>
    <row r="46" spans="2:26" ht="23.25" customHeight="1" x14ac:dyDescent="0.4">
      <c r="L46" s="290"/>
      <c r="M46" s="290"/>
      <c r="N46" s="290"/>
      <c r="O46" s="290"/>
      <c r="P46" s="293">
        <v>0.09</v>
      </c>
      <c r="Q46" s="293"/>
      <c r="R46" s="293">
        <v>0.06</v>
      </c>
      <c r="S46" s="290"/>
      <c r="T46" s="292"/>
      <c r="U46" s="292"/>
      <c r="V46" s="292"/>
      <c r="W46" s="292"/>
      <c r="X46" s="292"/>
      <c r="Y46" s="292"/>
      <c r="Z46" s="292"/>
    </row>
    <row r="47" spans="2:26" ht="23.25" customHeight="1" x14ac:dyDescent="0.4">
      <c r="L47" s="290"/>
      <c r="M47" s="290"/>
      <c r="N47" s="290"/>
      <c r="O47" s="290"/>
      <c r="P47" s="294">
        <f>P46+P45</f>
        <v>0.19</v>
      </c>
      <c r="Q47" s="294"/>
      <c r="R47" s="294">
        <f>R46+R45</f>
        <v>0.14000000000000001</v>
      </c>
      <c r="S47" s="295"/>
      <c r="T47" s="296"/>
      <c r="U47" s="292"/>
      <c r="V47" s="292"/>
      <c r="W47" s="292"/>
      <c r="X47" s="292"/>
      <c r="Y47" s="292"/>
      <c r="Z47" s="292"/>
    </row>
    <row r="48" spans="2:26" ht="23.25" customHeight="1" x14ac:dyDescent="0.4">
      <c r="B48" s="559" t="s">
        <v>237</v>
      </c>
      <c r="C48" s="297" t="s">
        <v>1</v>
      </c>
      <c r="D48" s="297" t="s">
        <v>225</v>
      </c>
      <c r="E48" s="297" t="s">
        <v>226</v>
      </c>
      <c r="F48" s="297" t="s">
        <v>116</v>
      </c>
      <c r="G48" s="297"/>
      <c r="I48" s="297" t="s">
        <v>340</v>
      </c>
      <c r="L48" s="298" t="s">
        <v>6</v>
      </c>
      <c r="M48" s="299" t="s">
        <v>245</v>
      </c>
      <c r="N48" s="300" t="s">
        <v>7</v>
      </c>
      <c r="O48" s="301" t="s">
        <v>80</v>
      </c>
      <c r="P48" s="302" t="s">
        <v>77</v>
      </c>
      <c r="Q48" s="302" t="s">
        <v>77</v>
      </c>
      <c r="R48" s="303" t="s">
        <v>79</v>
      </c>
      <c r="S48" s="290"/>
      <c r="T48" s="292"/>
      <c r="U48" s="358"/>
      <c r="V48" s="358"/>
      <c r="W48" s="358"/>
      <c r="X48" s="358"/>
      <c r="Y48" s="358"/>
      <c r="Z48" s="358"/>
    </row>
    <row r="49" spans="2:26" ht="23.25" customHeight="1" x14ac:dyDescent="0.4">
      <c r="B49" s="559"/>
      <c r="C49" s="307">
        <f>C38</f>
        <v>224</v>
      </c>
      <c r="D49" s="307">
        <f>D38</f>
        <v>96.76</v>
      </c>
      <c r="E49" s="307">
        <f>E38</f>
        <v>145</v>
      </c>
      <c r="F49" s="307">
        <f>Insumos!G39/28</f>
        <v>18.760714285714283</v>
      </c>
      <c r="G49" s="307"/>
      <c r="H49" s="307"/>
      <c r="I49" s="307">
        <f>C49+F49+250</f>
        <v>492.76071428571424</v>
      </c>
      <c r="J49" s="307"/>
      <c r="K49" s="305"/>
      <c r="L49" s="304">
        <f>SUM(D49:I49)</f>
        <v>753.28142857142848</v>
      </c>
      <c r="M49" s="304">
        <f>SUM(C49:H49)</f>
        <v>484.52071428571429</v>
      </c>
      <c r="N49" s="304">
        <v>280</v>
      </c>
      <c r="O49" s="304">
        <f>N49+M49</f>
        <v>764.52071428571435</v>
      </c>
      <c r="P49" s="306">
        <f>ROUND(Q49/50,0)*50</f>
        <v>1250</v>
      </c>
      <c r="Q49" s="306">
        <f>(N49+L49)+((L49+N49)*($P$3))</f>
        <v>1239.9377142857143</v>
      </c>
      <c r="R49" s="304">
        <f>P49-(P49*$R$3)-M49</f>
        <v>557.97928571428565</v>
      </c>
      <c r="S49" s="304"/>
      <c r="T49" s="304"/>
      <c r="U49" s="357"/>
      <c r="V49" s="357"/>
      <c r="W49" s="357"/>
      <c r="X49" s="357"/>
      <c r="Y49" s="357"/>
      <c r="Z49" s="357"/>
    </row>
    <row r="50" spans="2:26" ht="23.25" customHeight="1" x14ac:dyDescent="0.4">
      <c r="C50" s="307"/>
      <c r="D50" s="307"/>
      <c r="E50" s="307"/>
      <c r="F50" s="307"/>
      <c r="G50" s="307"/>
      <c r="H50" s="307"/>
      <c r="I50" s="307"/>
      <c r="J50" s="307"/>
      <c r="K50" s="305"/>
      <c r="L50" s="304"/>
      <c r="M50" s="304"/>
      <c r="N50" s="304"/>
      <c r="O50" s="304"/>
      <c r="P50" s="304"/>
      <c r="Q50" s="304"/>
      <c r="R50" s="304"/>
      <c r="S50" s="304"/>
      <c r="T50" s="304"/>
      <c r="U50" s="296"/>
      <c r="V50" s="296"/>
      <c r="W50" s="296"/>
      <c r="X50" s="296"/>
      <c r="Y50" s="296"/>
      <c r="Z50" s="296"/>
    </row>
    <row r="51" spans="2:26" ht="23.25" customHeight="1" x14ac:dyDescent="0.4">
      <c r="C51" s="307"/>
      <c r="D51" s="307"/>
      <c r="E51" s="307"/>
      <c r="F51" s="307"/>
      <c r="G51" s="307"/>
      <c r="H51" s="307"/>
      <c r="I51" s="307"/>
      <c r="J51" s="307"/>
      <c r="K51" s="305"/>
      <c r="L51" s="304"/>
      <c r="M51" s="304"/>
      <c r="N51" s="304"/>
      <c r="O51" s="304"/>
      <c r="P51" s="304"/>
      <c r="Q51" s="304"/>
      <c r="R51" s="307"/>
      <c r="S51" s="304"/>
      <c r="T51" s="304"/>
      <c r="U51" s="292"/>
      <c r="V51" s="292"/>
      <c r="W51" s="292"/>
      <c r="X51" s="292"/>
      <c r="Y51" s="292"/>
      <c r="Z51" s="292"/>
    </row>
    <row r="52" spans="2:26" ht="23.25" customHeight="1" x14ac:dyDescent="0.4">
      <c r="C52" s="307"/>
      <c r="D52" s="307"/>
      <c r="E52" s="307"/>
      <c r="F52" s="307"/>
      <c r="G52" s="307"/>
      <c r="H52" s="307"/>
      <c r="I52" s="307"/>
      <c r="J52" s="307"/>
      <c r="K52" s="305"/>
      <c r="L52" s="304"/>
      <c r="M52" s="304"/>
      <c r="N52" s="304"/>
      <c r="O52" s="304"/>
      <c r="P52" s="308" t="s">
        <v>65</v>
      </c>
      <c r="Q52" s="308"/>
      <c r="R52" s="309" t="s">
        <v>83</v>
      </c>
      <c r="S52" s="304"/>
      <c r="T52" s="304"/>
      <c r="U52" s="296"/>
      <c r="V52" s="296"/>
      <c r="W52" s="296"/>
      <c r="X52" s="296"/>
      <c r="Y52" s="296"/>
      <c r="Z52" s="296"/>
    </row>
    <row r="53" spans="2:26" ht="23.25" customHeight="1" x14ac:dyDescent="0.4">
      <c r="C53" s="307"/>
      <c r="D53" s="307"/>
      <c r="E53" s="307"/>
      <c r="F53" s="307"/>
      <c r="G53" s="307"/>
      <c r="H53" s="307"/>
      <c r="I53" s="307"/>
      <c r="J53" s="307"/>
      <c r="K53" s="305"/>
      <c r="L53" s="304"/>
      <c r="M53" s="304"/>
      <c r="N53" s="304"/>
      <c r="O53" s="304"/>
      <c r="P53" s="310">
        <f>P49-(P49*$P$1)</f>
        <v>1125</v>
      </c>
      <c r="Q53" s="304"/>
      <c r="R53" s="304">
        <f>(P53-(P53*$R$2))-M49</f>
        <v>554.97928571428565</v>
      </c>
      <c r="S53" s="304"/>
      <c r="T53" s="304"/>
      <c r="U53" s="356"/>
      <c r="V53" s="356"/>
      <c r="W53" s="356"/>
      <c r="X53" s="356"/>
      <c r="Y53" s="356"/>
      <c r="Z53" s="356"/>
    </row>
    <row r="54" spans="2:26" ht="23.25" customHeight="1" x14ac:dyDescent="0.4">
      <c r="C54" s="307"/>
      <c r="D54" s="307"/>
      <c r="E54" s="307"/>
      <c r="F54" s="307"/>
      <c r="G54" s="307"/>
      <c r="H54" s="307"/>
      <c r="I54" s="307"/>
      <c r="J54" s="307"/>
      <c r="K54" s="305"/>
      <c r="L54" s="304"/>
      <c r="M54" s="304"/>
      <c r="N54" s="304"/>
      <c r="O54" s="304"/>
      <c r="Q54" s="307"/>
      <c r="R54" s="304"/>
      <c r="S54" s="304"/>
      <c r="T54" s="304"/>
      <c r="U54" s="292"/>
      <c r="V54" s="292"/>
      <c r="W54" s="292"/>
      <c r="X54" s="292"/>
      <c r="Y54" s="292"/>
      <c r="Z54" s="292"/>
    </row>
    <row r="55" spans="2:26" ht="23.25" customHeight="1" x14ac:dyDescent="0.4"/>
    <row r="56" spans="2:26" ht="23.25" customHeight="1" x14ac:dyDescent="0.4">
      <c r="L56" s="290"/>
      <c r="M56" s="290"/>
      <c r="N56" s="290"/>
      <c r="O56" s="290"/>
      <c r="P56" s="291">
        <v>0.1</v>
      </c>
      <c r="Q56" s="291"/>
      <c r="R56" s="291">
        <v>0.08</v>
      </c>
      <c r="S56" s="290"/>
      <c r="T56" s="292"/>
      <c r="U56" s="292"/>
      <c r="V56" s="292"/>
      <c r="W56" s="292"/>
      <c r="X56" s="292"/>
      <c r="Y56" s="292"/>
      <c r="Z56" s="292"/>
    </row>
    <row r="57" spans="2:26" ht="23.25" customHeight="1" x14ac:dyDescent="0.4">
      <c r="L57" s="290"/>
      <c r="M57" s="290"/>
      <c r="N57" s="290"/>
      <c r="O57" s="290"/>
      <c r="P57" s="293">
        <v>0.09</v>
      </c>
      <c r="Q57" s="293"/>
      <c r="R57" s="293">
        <v>0.06</v>
      </c>
      <c r="S57" s="290"/>
      <c r="T57" s="292"/>
      <c r="U57" s="292"/>
      <c r="V57" s="292"/>
      <c r="W57" s="292"/>
      <c r="X57" s="292"/>
      <c r="Y57" s="292"/>
      <c r="Z57" s="292"/>
    </row>
    <row r="58" spans="2:26" ht="23.25" customHeight="1" x14ac:dyDescent="0.4">
      <c r="L58" s="290"/>
      <c r="M58" s="290"/>
      <c r="N58" s="290"/>
      <c r="O58" s="290"/>
      <c r="P58" s="294">
        <f>P57+P56</f>
        <v>0.19</v>
      </c>
      <c r="Q58" s="294"/>
      <c r="R58" s="294">
        <f>R57+R56</f>
        <v>0.14000000000000001</v>
      </c>
      <c r="S58" s="295"/>
      <c r="T58" s="296"/>
      <c r="U58" s="292"/>
      <c r="V58" s="292"/>
      <c r="W58" s="292"/>
      <c r="X58" s="292"/>
      <c r="Y58" s="292"/>
      <c r="Z58" s="292"/>
    </row>
    <row r="59" spans="2:26" ht="23.25" customHeight="1" x14ac:dyDescent="0.4">
      <c r="B59" s="559" t="s">
        <v>238</v>
      </c>
      <c r="C59" s="297" t="s">
        <v>1</v>
      </c>
      <c r="D59" s="297" t="s">
        <v>225</v>
      </c>
      <c r="E59" s="297" t="s">
        <v>226</v>
      </c>
      <c r="F59" s="297" t="s">
        <v>116</v>
      </c>
      <c r="G59" s="297" t="s">
        <v>230</v>
      </c>
      <c r="I59" s="297" t="s">
        <v>340</v>
      </c>
      <c r="L59" s="298" t="s">
        <v>6</v>
      </c>
      <c r="M59" s="299" t="s">
        <v>245</v>
      </c>
      <c r="N59" s="300" t="s">
        <v>7</v>
      </c>
      <c r="O59" s="301" t="s">
        <v>80</v>
      </c>
      <c r="P59" s="302" t="s">
        <v>77</v>
      </c>
      <c r="Q59" s="302" t="s">
        <v>77</v>
      </c>
      <c r="R59" s="303" t="s">
        <v>79</v>
      </c>
      <c r="S59" s="290"/>
      <c r="T59" s="292"/>
      <c r="U59" s="358"/>
      <c r="V59" s="358"/>
      <c r="W59" s="358"/>
      <c r="X59" s="358"/>
      <c r="Y59" s="358"/>
      <c r="Z59" s="358"/>
    </row>
    <row r="60" spans="2:26" ht="23.25" customHeight="1" x14ac:dyDescent="0.4">
      <c r="B60" s="559"/>
      <c r="C60" s="307">
        <f>C49</f>
        <v>224</v>
      </c>
      <c r="D60" s="307">
        <f>D49</f>
        <v>96.76</v>
      </c>
      <c r="E60" s="307">
        <f>E49</f>
        <v>145</v>
      </c>
      <c r="F60" s="307">
        <f>F49</f>
        <v>18.760714285714283</v>
      </c>
      <c r="G60" s="307">
        <f>G16</f>
        <v>76.666666666666671</v>
      </c>
      <c r="H60" s="307"/>
      <c r="I60" s="307">
        <f>C60+F60+250</f>
        <v>492.76071428571424</v>
      </c>
      <c r="J60" s="307"/>
      <c r="K60" s="305"/>
      <c r="L60" s="304">
        <f>SUM(D60:I60)</f>
        <v>829.94809523809522</v>
      </c>
      <c r="M60" s="304">
        <f>SUM(C60:H60)</f>
        <v>561.18738095238098</v>
      </c>
      <c r="N60" s="304">
        <v>300</v>
      </c>
      <c r="O60" s="304">
        <f>N60+M60</f>
        <v>861.18738095238098</v>
      </c>
      <c r="P60" s="306">
        <f>ROUND(Q60/50,0)*50</f>
        <v>1350</v>
      </c>
      <c r="Q60" s="306">
        <f>(N60+L60)+((L60+N60)*($P$3))</f>
        <v>1355.9377142857143</v>
      </c>
      <c r="R60" s="304">
        <f>P60-(P60*$R$3)-M60</f>
        <v>564.71261904761911</v>
      </c>
      <c r="S60" s="304"/>
      <c r="T60" s="304"/>
      <c r="U60" s="357"/>
      <c r="V60" s="357"/>
      <c r="W60" s="357"/>
      <c r="X60" s="357"/>
      <c r="Y60" s="357"/>
      <c r="Z60" s="357"/>
    </row>
    <row r="61" spans="2:26" ht="23.25" customHeight="1" x14ac:dyDescent="0.4">
      <c r="C61" s="307"/>
      <c r="D61" s="307"/>
      <c r="E61" s="307"/>
      <c r="F61" s="307"/>
      <c r="G61" s="307"/>
      <c r="H61" s="307"/>
      <c r="I61" s="307"/>
      <c r="J61" s="307"/>
      <c r="K61" s="305"/>
      <c r="L61" s="304"/>
      <c r="M61" s="304"/>
      <c r="N61" s="304"/>
      <c r="O61" s="304"/>
      <c r="P61" s="304"/>
      <c r="Q61" s="304"/>
      <c r="R61" s="304"/>
      <c r="S61" s="304"/>
      <c r="T61" s="304"/>
      <c r="U61" s="296"/>
      <c r="V61" s="296"/>
      <c r="W61" s="296"/>
      <c r="X61" s="296"/>
      <c r="Y61" s="296"/>
      <c r="Z61" s="296"/>
    </row>
    <row r="62" spans="2:26" ht="23.25" customHeight="1" x14ac:dyDescent="0.4">
      <c r="C62" s="307"/>
      <c r="D62" s="307"/>
      <c r="E62" s="307"/>
      <c r="F62" s="307"/>
      <c r="G62" s="307"/>
      <c r="H62" s="307"/>
      <c r="I62" s="307"/>
      <c r="J62" s="307"/>
      <c r="K62" s="305"/>
      <c r="L62" s="304"/>
      <c r="M62" s="304"/>
      <c r="N62" s="304"/>
      <c r="O62" s="304"/>
      <c r="P62" s="304"/>
      <c r="Q62" s="304"/>
      <c r="R62" s="307"/>
      <c r="S62" s="304"/>
      <c r="T62" s="304"/>
      <c r="U62" s="292"/>
      <c r="V62" s="292"/>
      <c r="W62" s="292"/>
      <c r="X62" s="292"/>
      <c r="Y62" s="292"/>
      <c r="Z62" s="292"/>
    </row>
    <row r="63" spans="2:26" ht="23.25" customHeight="1" x14ac:dyDescent="0.4">
      <c r="C63" s="307"/>
      <c r="D63" s="307"/>
      <c r="E63" s="307"/>
      <c r="F63" s="307"/>
      <c r="G63" s="307"/>
      <c r="H63" s="307"/>
      <c r="I63" s="307"/>
      <c r="J63" s="307"/>
      <c r="K63" s="305"/>
      <c r="L63" s="304"/>
      <c r="M63" s="304"/>
      <c r="N63" s="304"/>
      <c r="O63" s="304"/>
      <c r="P63" s="308" t="s">
        <v>65</v>
      </c>
      <c r="Q63" s="308"/>
      <c r="R63" s="309" t="s">
        <v>83</v>
      </c>
      <c r="S63" s="304"/>
      <c r="T63" s="304"/>
      <c r="U63" s="296"/>
      <c r="V63" s="296"/>
      <c r="W63" s="296"/>
      <c r="X63" s="296"/>
      <c r="Y63" s="296"/>
      <c r="Z63" s="296"/>
    </row>
    <row r="64" spans="2:26" ht="23.25" customHeight="1" x14ac:dyDescent="0.4">
      <c r="C64" s="307"/>
      <c r="D64" s="307"/>
      <c r="E64" s="307"/>
      <c r="F64" s="307"/>
      <c r="G64" s="307"/>
      <c r="H64" s="307"/>
      <c r="I64" s="307"/>
      <c r="J64" s="307"/>
      <c r="K64" s="305"/>
      <c r="L64" s="304"/>
      <c r="M64" s="304"/>
      <c r="N64" s="304"/>
      <c r="O64" s="304"/>
      <c r="P64" s="310">
        <f>P60-(P60*$P$1)</f>
        <v>1215</v>
      </c>
      <c r="Q64" s="304"/>
      <c r="R64" s="304">
        <f>(P64-(P64*$R$2))-M60</f>
        <v>561.47261904761911</v>
      </c>
      <c r="S64" s="304"/>
      <c r="T64" s="304"/>
      <c r="U64" s="356"/>
      <c r="V64" s="356"/>
      <c r="W64" s="356"/>
      <c r="X64" s="356"/>
      <c r="Y64" s="356"/>
      <c r="Z64" s="356"/>
    </row>
    <row r="65" spans="2:26" ht="23.25" customHeight="1" x14ac:dyDescent="0.4">
      <c r="C65" s="307"/>
      <c r="D65" s="307"/>
      <c r="E65" s="307"/>
      <c r="F65" s="307"/>
      <c r="G65" s="307"/>
      <c r="H65" s="307"/>
      <c r="I65" s="307"/>
      <c r="J65" s="307"/>
      <c r="K65" s="305"/>
      <c r="L65" s="304"/>
      <c r="M65" s="304"/>
      <c r="N65" s="304"/>
      <c r="O65" s="304"/>
      <c r="Q65" s="307"/>
      <c r="R65" s="304"/>
      <c r="S65" s="304"/>
      <c r="T65" s="304"/>
      <c r="U65" s="292"/>
      <c r="V65" s="292"/>
      <c r="W65" s="292"/>
      <c r="X65" s="292"/>
      <c r="Y65" s="292"/>
      <c r="Z65" s="292"/>
    </row>
    <row r="66" spans="2:26" ht="23.25" customHeight="1" x14ac:dyDescent="0.4">
      <c r="C66" s="307"/>
      <c r="D66" s="307"/>
      <c r="E66" s="307"/>
      <c r="F66" s="307"/>
      <c r="G66" s="307"/>
      <c r="H66" s="307"/>
      <c r="I66" s="307"/>
      <c r="J66" s="307"/>
      <c r="K66" s="305"/>
      <c r="L66" s="305"/>
      <c r="M66" s="305"/>
      <c r="N66" s="305"/>
      <c r="O66" s="305"/>
      <c r="P66" s="305"/>
      <c r="Q66" s="305"/>
      <c r="R66" s="305"/>
      <c r="S66" s="305"/>
      <c r="T66" s="305"/>
    </row>
    <row r="67" spans="2:26" ht="23.25" customHeight="1" x14ac:dyDescent="0.4">
      <c r="L67" s="290"/>
      <c r="M67" s="290"/>
      <c r="N67" s="290"/>
      <c r="O67" s="290"/>
      <c r="P67" s="291">
        <v>0.1</v>
      </c>
      <c r="Q67" s="291"/>
      <c r="R67" s="291">
        <v>0.08</v>
      </c>
      <c r="S67" s="290"/>
      <c r="T67" s="292"/>
      <c r="U67" s="292"/>
      <c r="V67" s="292"/>
      <c r="W67" s="292"/>
      <c r="X67" s="292"/>
      <c r="Y67" s="292"/>
      <c r="Z67" s="292"/>
    </row>
    <row r="68" spans="2:26" ht="23.25" customHeight="1" x14ac:dyDescent="0.4">
      <c r="L68" s="290"/>
      <c r="M68" s="290"/>
      <c r="N68" s="290"/>
      <c r="O68" s="290"/>
      <c r="P68" s="293">
        <v>0.09</v>
      </c>
      <c r="Q68" s="293"/>
      <c r="R68" s="293">
        <v>0.06</v>
      </c>
      <c r="S68" s="290"/>
      <c r="T68" s="292"/>
      <c r="U68" s="292"/>
      <c r="V68" s="292"/>
      <c r="W68" s="292"/>
      <c r="X68" s="292"/>
      <c r="Y68" s="292"/>
      <c r="Z68" s="292"/>
    </row>
    <row r="69" spans="2:26" ht="23.25" customHeight="1" x14ac:dyDescent="0.4">
      <c r="L69" s="290"/>
      <c r="M69" s="290"/>
      <c r="N69" s="290"/>
      <c r="O69" s="290"/>
      <c r="P69" s="294">
        <f>P68+P67</f>
        <v>0.19</v>
      </c>
      <c r="Q69" s="294"/>
      <c r="R69" s="294">
        <f>R68+R67</f>
        <v>0.14000000000000001</v>
      </c>
      <c r="S69" s="295"/>
      <c r="T69" s="296"/>
      <c r="U69" s="292"/>
      <c r="V69" s="292"/>
      <c r="W69" s="292"/>
      <c r="X69" s="292"/>
      <c r="Y69" s="292"/>
      <c r="Z69" s="292"/>
    </row>
    <row r="70" spans="2:26" ht="23.25" customHeight="1" x14ac:dyDescent="0.4">
      <c r="B70" s="559" t="s">
        <v>239</v>
      </c>
      <c r="C70" s="297" t="s">
        <v>1</v>
      </c>
      <c r="D70" s="297" t="s">
        <v>225</v>
      </c>
      <c r="E70" s="297" t="s">
        <v>226</v>
      </c>
      <c r="F70" s="297" t="s">
        <v>116</v>
      </c>
      <c r="G70" s="297" t="s">
        <v>241</v>
      </c>
      <c r="I70" s="297" t="s">
        <v>340</v>
      </c>
      <c r="L70" s="298" t="s">
        <v>6</v>
      </c>
      <c r="M70" s="299" t="s">
        <v>245</v>
      </c>
      <c r="N70" s="300" t="s">
        <v>7</v>
      </c>
      <c r="O70" s="301" t="s">
        <v>80</v>
      </c>
      <c r="P70" s="302" t="s">
        <v>77</v>
      </c>
      <c r="Q70" s="302" t="s">
        <v>77</v>
      </c>
      <c r="R70" s="303" t="s">
        <v>79</v>
      </c>
      <c r="S70" s="290"/>
      <c r="T70" s="292"/>
      <c r="U70" s="358"/>
      <c r="V70" s="358"/>
      <c r="W70" s="358"/>
      <c r="X70" s="358"/>
      <c r="Y70" s="358"/>
      <c r="Z70" s="358"/>
    </row>
    <row r="71" spans="2:26" ht="23.25" customHeight="1" x14ac:dyDescent="0.4">
      <c r="B71" s="559"/>
      <c r="C71" s="307">
        <f>C60</f>
        <v>224</v>
      </c>
      <c r="D71" s="307">
        <f t="shared" ref="D71:F71" si="0">D60</f>
        <v>96.76</v>
      </c>
      <c r="E71" s="307">
        <f t="shared" si="0"/>
        <v>145</v>
      </c>
      <c r="F71" s="307">
        <f t="shared" si="0"/>
        <v>18.760714285714283</v>
      </c>
      <c r="G71" s="307">
        <f>G27</f>
        <v>184</v>
      </c>
      <c r="H71" s="307"/>
      <c r="I71" s="307">
        <f>C71+F71+250</f>
        <v>492.76071428571424</v>
      </c>
      <c r="J71" s="307"/>
      <c r="K71" s="305"/>
      <c r="L71" s="304">
        <f>SUM(D71:I71)</f>
        <v>937.28142857142848</v>
      </c>
      <c r="M71" s="304">
        <f>SUM(C71:H71)</f>
        <v>668.52071428571435</v>
      </c>
      <c r="N71" s="304">
        <v>300</v>
      </c>
      <c r="O71" s="304">
        <f>N71+M71</f>
        <v>968.52071428571435</v>
      </c>
      <c r="P71" s="306">
        <f>ROUND(Q71/50,0)*50</f>
        <v>1500</v>
      </c>
      <c r="Q71" s="306">
        <f>(N71+L71)+((L71+N71)*($P$3))</f>
        <v>1484.7377142857142</v>
      </c>
      <c r="R71" s="304">
        <f>P71-(P71*$R$3)-M71</f>
        <v>582.47928571428565</v>
      </c>
      <c r="S71" s="304"/>
      <c r="T71" s="304"/>
      <c r="U71" s="357"/>
      <c r="V71" s="357"/>
      <c r="W71" s="357"/>
      <c r="X71" s="357"/>
      <c r="Y71" s="357"/>
      <c r="Z71" s="357"/>
    </row>
    <row r="72" spans="2:26" ht="23.25" customHeight="1" x14ac:dyDescent="0.4">
      <c r="C72" s="307"/>
      <c r="D72" s="307"/>
      <c r="E72" s="307"/>
      <c r="F72" s="307"/>
      <c r="G72" s="307"/>
      <c r="H72" s="307"/>
      <c r="I72" s="307"/>
      <c r="J72" s="307"/>
      <c r="K72" s="305"/>
      <c r="L72" s="304"/>
      <c r="M72" s="304"/>
      <c r="N72" s="304"/>
      <c r="O72" s="304"/>
      <c r="P72" s="304"/>
      <c r="Q72" s="304"/>
      <c r="R72" s="304"/>
      <c r="S72" s="304"/>
      <c r="T72" s="304"/>
      <c r="U72" s="296"/>
      <c r="V72" s="296"/>
      <c r="W72" s="296"/>
      <c r="X72" s="296"/>
      <c r="Y72" s="296"/>
      <c r="Z72" s="296"/>
    </row>
    <row r="73" spans="2:26" ht="23.25" customHeight="1" x14ac:dyDescent="0.4">
      <c r="C73" s="307"/>
      <c r="D73" s="307"/>
      <c r="E73" s="307"/>
      <c r="F73" s="307"/>
      <c r="G73" s="307"/>
      <c r="H73" s="307"/>
      <c r="I73" s="307"/>
      <c r="J73" s="307"/>
      <c r="K73" s="305"/>
      <c r="L73" s="304"/>
      <c r="M73" s="304"/>
      <c r="N73" s="304"/>
      <c r="O73" s="304"/>
      <c r="P73" s="304"/>
      <c r="Q73" s="304"/>
      <c r="R73" s="307"/>
      <c r="S73" s="304"/>
      <c r="T73" s="304"/>
      <c r="U73" s="292"/>
      <c r="V73" s="292"/>
      <c r="W73" s="292"/>
      <c r="X73" s="292"/>
      <c r="Y73" s="292"/>
      <c r="Z73" s="292"/>
    </row>
    <row r="74" spans="2:26" ht="23.25" customHeight="1" x14ac:dyDescent="0.4">
      <c r="C74" s="307"/>
      <c r="D74" s="307"/>
      <c r="E74" s="307"/>
      <c r="F74" s="307"/>
      <c r="G74" s="307"/>
      <c r="H74" s="307"/>
      <c r="I74" s="307"/>
      <c r="J74" s="307"/>
      <c r="K74" s="305"/>
      <c r="L74" s="304"/>
      <c r="M74" s="304"/>
      <c r="N74" s="304"/>
      <c r="O74" s="304"/>
      <c r="P74" s="308" t="s">
        <v>65</v>
      </c>
      <c r="Q74" s="308"/>
      <c r="R74" s="309" t="s">
        <v>83</v>
      </c>
      <c r="S74" s="304"/>
      <c r="T74" s="304"/>
      <c r="U74" s="296"/>
      <c r="V74" s="296"/>
      <c r="W74" s="296"/>
      <c r="X74" s="296"/>
      <c r="Y74" s="296"/>
      <c r="Z74" s="296"/>
    </row>
    <row r="75" spans="2:26" ht="23.25" customHeight="1" x14ac:dyDescent="0.4">
      <c r="C75" s="307"/>
      <c r="D75" s="307"/>
      <c r="E75" s="307"/>
      <c r="F75" s="307"/>
      <c r="G75" s="307"/>
      <c r="H75" s="307"/>
      <c r="I75" s="307"/>
      <c r="J75" s="307"/>
      <c r="K75" s="305"/>
      <c r="L75" s="304"/>
      <c r="M75" s="304"/>
      <c r="N75" s="304"/>
      <c r="O75" s="304"/>
      <c r="P75" s="310">
        <f>P71-(P71*$P$1)</f>
        <v>1350</v>
      </c>
      <c r="Q75" s="304"/>
      <c r="R75" s="304">
        <f>(P75-(P75*$R$2))-M71</f>
        <v>578.87928571428574</v>
      </c>
      <c r="S75" s="304"/>
      <c r="T75" s="304"/>
      <c r="U75" s="356"/>
      <c r="V75" s="356"/>
      <c r="W75" s="356"/>
      <c r="X75" s="356"/>
      <c r="Y75" s="356"/>
      <c r="Z75" s="356"/>
    </row>
    <row r="76" spans="2:26" ht="23.25" customHeight="1" x14ac:dyDescent="0.4">
      <c r="Q76" s="307"/>
      <c r="R76" s="304"/>
    </row>
    <row r="77" spans="2:26" ht="23.25" customHeight="1" x14ac:dyDescent="0.4"/>
    <row r="78" spans="2:26" ht="23.25" customHeight="1" x14ac:dyDescent="0.4">
      <c r="L78" s="290"/>
      <c r="M78" s="290"/>
      <c r="N78" s="290"/>
      <c r="O78" s="290"/>
      <c r="P78" s="291">
        <v>0.1</v>
      </c>
      <c r="Q78" s="291"/>
      <c r="R78" s="291">
        <v>0.08</v>
      </c>
      <c r="S78" s="290"/>
      <c r="T78" s="292"/>
      <c r="U78" s="292"/>
      <c r="V78" s="292"/>
      <c r="W78" s="292"/>
      <c r="X78" s="292"/>
      <c r="Y78" s="292"/>
      <c r="Z78" s="292"/>
    </row>
    <row r="79" spans="2:26" ht="23.25" customHeight="1" x14ac:dyDescent="0.4">
      <c r="L79" s="290"/>
      <c r="M79" s="290"/>
      <c r="N79" s="290"/>
      <c r="O79" s="290"/>
      <c r="P79" s="293">
        <v>0.09</v>
      </c>
      <c r="Q79" s="293"/>
      <c r="R79" s="293">
        <v>0.06</v>
      </c>
      <c r="S79" s="290"/>
      <c r="T79" s="292"/>
      <c r="U79" s="292"/>
      <c r="V79" s="292"/>
      <c r="W79" s="292"/>
      <c r="X79" s="292"/>
      <c r="Y79" s="292"/>
      <c r="Z79" s="292"/>
    </row>
    <row r="80" spans="2:26" ht="23.25" customHeight="1" x14ac:dyDescent="0.4">
      <c r="L80" s="290"/>
      <c r="M80" s="290"/>
      <c r="N80" s="290"/>
      <c r="O80" s="290"/>
      <c r="P80" s="294">
        <f>P79+P78</f>
        <v>0.19</v>
      </c>
      <c r="Q80" s="294"/>
      <c r="R80" s="294">
        <f>R79+R78</f>
        <v>0.14000000000000001</v>
      </c>
      <c r="S80" s="295"/>
      <c r="T80" s="296"/>
      <c r="U80" s="292"/>
      <c r="V80" s="292"/>
      <c r="W80" s="292"/>
      <c r="X80" s="292"/>
      <c r="Y80" s="292"/>
      <c r="Z80" s="292"/>
    </row>
    <row r="81" spans="2:26" ht="23.25" customHeight="1" x14ac:dyDescent="0.4">
      <c r="B81" s="559" t="s">
        <v>240</v>
      </c>
      <c r="C81" s="297" t="s">
        <v>1</v>
      </c>
      <c r="D81" s="297" t="s">
        <v>225</v>
      </c>
      <c r="E81" s="297" t="s">
        <v>226</v>
      </c>
      <c r="F81" s="297" t="s">
        <v>116</v>
      </c>
      <c r="G81" s="297" t="s">
        <v>236</v>
      </c>
      <c r="I81" s="297" t="s">
        <v>340</v>
      </c>
      <c r="L81" s="298" t="s">
        <v>6</v>
      </c>
      <c r="M81" s="299" t="s">
        <v>245</v>
      </c>
      <c r="N81" s="300" t="s">
        <v>7</v>
      </c>
      <c r="O81" s="301" t="s">
        <v>80</v>
      </c>
      <c r="P81" s="302" t="s">
        <v>77</v>
      </c>
      <c r="Q81" s="302" t="s">
        <v>77</v>
      </c>
      <c r="R81" s="303" t="s">
        <v>79</v>
      </c>
      <c r="S81" s="290"/>
      <c r="T81" s="292"/>
      <c r="U81" s="358"/>
      <c r="V81" s="358"/>
      <c r="W81" s="358"/>
      <c r="X81" s="358"/>
      <c r="Y81" s="358"/>
      <c r="Z81" s="358"/>
    </row>
    <row r="82" spans="2:26" ht="23.25" customHeight="1" x14ac:dyDescent="0.4">
      <c r="B82" s="559"/>
      <c r="C82" s="307">
        <f>C71</f>
        <v>224</v>
      </c>
      <c r="D82" s="307">
        <f t="shared" ref="D82:F82" si="1">D71</f>
        <v>96.76</v>
      </c>
      <c r="E82" s="307">
        <f t="shared" si="1"/>
        <v>145</v>
      </c>
      <c r="F82" s="307">
        <f t="shared" si="1"/>
        <v>18.760714285714283</v>
      </c>
      <c r="G82" s="307">
        <f>G38</f>
        <v>389.4</v>
      </c>
      <c r="H82" s="307"/>
      <c r="I82" s="307">
        <f>C82+F82+250</f>
        <v>492.76071428571424</v>
      </c>
      <c r="J82" s="307"/>
      <c r="K82" s="305"/>
      <c r="L82" s="304">
        <f>SUM(D82:I82)</f>
        <v>1142.6814285714286</v>
      </c>
      <c r="M82" s="304">
        <f>SUM(C82:H82)</f>
        <v>873.92071428571421</v>
      </c>
      <c r="N82" s="304">
        <v>300</v>
      </c>
      <c r="O82" s="304">
        <f>N82+M82</f>
        <v>1173.9207142857142</v>
      </c>
      <c r="P82" s="306">
        <f>ROUND(Q82/50,0)*50</f>
        <v>1750</v>
      </c>
      <c r="Q82" s="306">
        <f>(N82+L82)+((L82+N82)*($P$3))</f>
        <v>1731.2177142857142</v>
      </c>
      <c r="R82" s="304">
        <f>P82-(P82*$R$3)-M82</f>
        <v>585.57928571428579</v>
      </c>
      <c r="S82" s="304"/>
      <c r="T82" s="304"/>
      <c r="U82" s="357"/>
      <c r="V82" s="357"/>
      <c r="W82" s="357"/>
      <c r="X82" s="357"/>
      <c r="Y82" s="357"/>
      <c r="Z82" s="357"/>
    </row>
    <row r="83" spans="2:26" ht="23.25" customHeight="1" x14ac:dyDescent="0.4">
      <c r="C83" s="307"/>
      <c r="D83" s="307"/>
      <c r="E83" s="307"/>
      <c r="F83" s="307"/>
      <c r="G83" s="307"/>
      <c r="H83" s="307"/>
      <c r="I83" s="307"/>
      <c r="J83" s="307"/>
      <c r="K83" s="305"/>
      <c r="L83" s="304"/>
      <c r="M83" s="304"/>
      <c r="N83" s="304"/>
      <c r="O83" s="304"/>
      <c r="P83" s="304"/>
      <c r="Q83" s="304"/>
      <c r="R83" s="304"/>
      <c r="S83" s="304"/>
      <c r="T83" s="304"/>
      <c r="U83" s="296"/>
      <c r="V83" s="296"/>
      <c r="W83" s="296"/>
      <c r="X83" s="296"/>
      <c r="Y83" s="296"/>
      <c r="Z83" s="296"/>
    </row>
    <row r="84" spans="2:26" ht="23.25" customHeight="1" x14ac:dyDescent="0.4">
      <c r="C84" s="307"/>
      <c r="D84" s="307"/>
      <c r="E84" s="307"/>
      <c r="F84" s="307"/>
      <c r="G84" s="307"/>
      <c r="H84" s="307"/>
      <c r="I84" s="307"/>
      <c r="J84" s="307"/>
      <c r="K84" s="305"/>
      <c r="L84" s="304"/>
      <c r="M84" s="304"/>
      <c r="N84" s="304"/>
      <c r="O84" s="304"/>
      <c r="P84" s="304"/>
      <c r="Q84" s="304"/>
      <c r="R84" s="307"/>
      <c r="S84" s="304"/>
      <c r="T84" s="304"/>
      <c r="U84" s="292"/>
      <c r="V84" s="292"/>
      <c r="W84" s="292"/>
      <c r="X84" s="292"/>
      <c r="Y84" s="292"/>
      <c r="Z84" s="292"/>
    </row>
    <row r="85" spans="2:26" ht="23.25" customHeight="1" x14ac:dyDescent="0.4">
      <c r="C85" s="307"/>
      <c r="D85" s="307"/>
      <c r="E85" s="307"/>
      <c r="F85" s="307"/>
      <c r="G85" s="307"/>
      <c r="H85" s="307"/>
      <c r="I85" s="307"/>
      <c r="J85" s="307"/>
      <c r="K85" s="305"/>
      <c r="L85" s="304"/>
      <c r="M85" s="304"/>
      <c r="N85" s="304"/>
      <c r="O85" s="304">
        <v>0.1</v>
      </c>
      <c r="P85" s="308" t="s">
        <v>65</v>
      </c>
      <c r="Q85" s="308"/>
      <c r="R85" s="309" t="s">
        <v>83</v>
      </c>
      <c r="S85" s="304"/>
      <c r="T85" s="304"/>
      <c r="U85" s="296"/>
      <c r="V85" s="296"/>
      <c r="W85" s="296"/>
      <c r="X85" s="296"/>
      <c r="Y85" s="296"/>
      <c r="Z85" s="296"/>
    </row>
    <row r="86" spans="2:26" ht="23.25" customHeight="1" x14ac:dyDescent="0.4">
      <c r="C86" s="307"/>
      <c r="D86" s="307"/>
      <c r="E86" s="307"/>
      <c r="F86" s="307"/>
      <c r="G86" s="307"/>
      <c r="H86" s="307"/>
      <c r="I86" s="307"/>
      <c r="J86" s="307"/>
      <c r="K86" s="305"/>
      <c r="L86" s="304"/>
      <c r="M86" s="304"/>
      <c r="N86" s="304"/>
      <c r="O86" s="304"/>
      <c r="P86" s="310">
        <f>P82-(P82*$P$1)</f>
        <v>1575</v>
      </c>
      <c r="Q86" s="304"/>
      <c r="R86" s="304">
        <f>(P86-(P86*$R$2))-M82</f>
        <v>581.37928571428574</v>
      </c>
      <c r="S86" s="304"/>
      <c r="T86" s="304"/>
      <c r="U86" s="356"/>
      <c r="V86" s="356"/>
      <c r="W86" s="356"/>
      <c r="X86" s="356"/>
      <c r="Y86" s="356"/>
      <c r="Z86" s="356"/>
    </row>
    <row r="87" spans="2:26" ht="26.25" customHeight="1" x14ac:dyDescent="0.4">
      <c r="C87" s="307"/>
      <c r="D87" s="307"/>
      <c r="E87" s="307"/>
      <c r="F87" s="307"/>
      <c r="G87" s="307"/>
      <c r="H87" s="307"/>
      <c r="I87" s="307"/>
      <c r="J87" s="307"/>
      <c r="K87" s="305"/>
      <c r="L87" s="304"/>
      <c r="M87" s="304"/>
      <c r="N87" s="304"/>
      <c r="O87" s="304"/>
      <c r="Q87" s="307"/>
      <c r="R87" s="304"/>
      <c r="S87" s="304"/>
      <c r="T87" s="304"/>
      <c r="U87" s="292"/>
      <c r="V87" s="292"/>
      <c r="W87" s="292"/>
      <c r="X87" s="292"/>
      <c r="Y87" s="292"/>
      <c r="Z87" s="292"/>
    </row>
    <row r="88" spans="2:26" ht="23.25" customHeight="1" x14ac:dyDescent="0.4">
      <c r="C88" s="307"/>
      <c r="D88" s="307"/>
      <c r="E88" s="307"/>
      <c r="F88" s="307"/>
      <c r="G88" s="307"/>
      <c r="H88" s="307"/>
      <c r="I88" s="307"/>
      <c r="J88" s="307"/>
      <c r="K88" s="305"/>
      <c r="L88" s="304"/>
      <c r="M88" s="304"/>
      <c r="N88" s="307"/>
      <c r="O88" s="304"/>
      <c r="Q88" s="304"/>
      <c r="R88" s="304"/>
      <c r="S88" s="304"/>
      <c r="T88" s="304"/>
      <c r="U88" s="296"/>
      <c r="V88" s="296"/>
      <c r="W88" s="296"/>
      <c r="X88" s="296"/>
      <c r="Y88" s="296"/>
      <c r="Z88" s="296"/>
    </row>
    <row r="89" spans="2:26" ht="23.25" customHeight="1" x14ac:dyDescent="0.4">
      <c r="C89" s="296"/>
      <c r="D89" s="296"/>
      <c r="E89" s="307"/>
      <c r="F89" s="307"/>
      <c r="G89" s="307"/>
      <c r="H89" s="307"/>
      <c r="I89" s="307"/>
      <c r="J89" s="307"/>
      <c r="K89" s="305"/>
      <c r="L89" s="295"/>
      <c r="M89" s="352"/>
      <c r="N89" s="295"/>
      <c r="O89" s="290"/>
      <c r="P89" s="295"/>
      <c r="Q89" s="295"/>
      <c r="R89" s="295"/>
      <c r="S89" s="304"/>
      <c r="T89" s="304"/>
      <c r="U89" s="292"/>
      <c r="V89" s="292"/>
      <c r="W89" s="292"/>
      <c r="X89" s="292"/>
      <c r="Y89" s="292"/>
      <c r="Z89" s="292"/>
    </row>
    <row r="90" spans="2:26" ht="23.25" customHeight="1" x14ac:dyDescent="0.4">
      <c r="C90" s="307"/>
      <c r="D90" s="307"/>
      <c r="E90" s="307"/>
      <c r="F90" s="307"/>
      <c r="G90" s="307"/>
      <c r="H90" s="307"/>
      <c r="I90" s="307"/>
      <c r="J90" s="307"/>
      <c r="K90" s="305"/>
      <c r="L90" s="304"/>
      <c r="M90" s="304"/>
      <c r="N90" s="304"/>
      <c r="O90" s="304"/>
      <c r="P90" s="310"/>
      <c r="Q90" s="310"/>
      <c r="R90" s="304"/>
      <c r="S90" s="307"/>
      <c r="T90" s="307"/>
      <c r="U90" s="292"/>
      <c r="V90" s="292"/>
      <c r="W90" s="292"/>
      <c r="X90" s="292"/>
      <c r="Y90" s="292"/>
      <c r="Z90" s="292"/>
    </row>
    <row r="91" spans="2:26" ht="23.25" customHeight="1" x14ac:dyDescent="0.4">
      <c r="C91" s="307"/>
      <c r="D91" s="307"/>
      <c r="E91" s="307"/>
      <c r="F91" s="307"/>
      <c r="G91" s="307"/>
      <c r="H91" s="307"/>
      <c r="I91" s="307"/>
      <c r="J91" s="307"/>
      <c r="K91" s="305"/>
      <c r="L91" s="304"/>
      <c r="M91" s="304"/>
      <c r="N91" s="304"/>
      <c r="O91" s="304"/>
      <c r="P91" s="304"/>
      <c r="Q91" s="304"/>
      <c r="R91" s="304"/>
      <c r="S91" s="304"/>
      <c r="T91" s="304"/>
      <c r="U91" s="292"/>
      <c r="V91" s="292"/>
      <c r="W91" s="292"/>
      <c r="X91" s="292"/>
      <c r="Y91" s="292"/>
      <c r="Z91" s="292"/>
    </row>
    <row r="92" spans="2:26" ht="23.25" customHeight="1" x14ac:dyDescent="0.4">
      <c r="C92" s="307"/>
      <c r="D92" s="307"/>
      <c r="E92" s="307"/>
      <c r="F92" s="307"/>
      <c r="G92" s="307"/>
      <c r="H92" s="307"/>
      <c r="I92" s="307"/>
      <c r="J92" s="307"/>
      <c r="K92" s="305"/>
      <c r="L92" s="304"/>
      <c r="M92" s="304"/>
      <c r="N92" s="304"/>
      <c r="O92" s="304"/>
      <c r="P92" s="304"/>
      <c r="Q92" s="304"/>
      <c r="R92" s="307"/>
      <c r="S92" s="304"/>
      <c r="T92" s="304"/>
      <c r="U92" s="292"/>
      <c r="V92" s="292"/>
      <c r="W92" s="292"/>
      <c r="X92" s="292"/>
      <c r="Y92" s="292"/>
      <c r="Z92" s="292"/>
    </row>
    <row r="93" spans="2:26" ht="23.25" customHeight="1" x14ac:dyDescent="0.4">
      <c r="C93" s="307"/>
      <c r="D93" s="307"/>
      <c r="E93" s="307"/>
      <c r="F93" s="307"/>
      <c r="G93" s="307"/>
      <c r="H93" s="307"/>
      <c r="I93" s="307"/>
      <c r="J93" s="307"/>
      <c r="K93" s="305"/>
      <c r="L93" s="304"/>
      <c r="M93" s="304"/>
      <c r="N93" s="304"/>
      <c r="O93" s="304"/>
      <c r="P93" s="304"/>
      <c r="Q93" s="304"/>
      <c r="R93" s="307"/>
      <c r="S93" s="304"/>
      <c r="T93" s="304"/>
      <c r="U93" s="353"/>
      <c r="V93" s="353"/>
      <c r="W93" s="353"/>
      <c r="X93" s="353"/>
      <c r="Y93" s="353"/>
      <c r="Z93" s="353"/>
    </row>
    <row r="94" spans="2:26" ht="23.25" customHeight="1" x14ac:dyDescent="0.4">
      <c r="C94" s="307"/>
      <c r="D94" s="307"/>
      <c r="E94" s="307"/>
      <c r="F94" s="307"/>
      <c r="G94" s="307"/>
      <c r="H94" s="307"/>
      <c r="I94" s="307"/>
      <c r="J94" s="307"/>
      <c r="K94" s="305"/>
      <c r="L94" s="304"/>
      <c r="M94" s="304"/>
      <c r="N94" s="304"/>
      <c r="O94" s="304"/>
      <c r="P94" s="310"/>
      <c r="Q94" s="304"/>
      <c r="R94" s="304"/>
      <c r="S94" s="304"/>
      <c r="T94" s="304"/>
      <c r="U94" s="292"/>
      <c r="V94" s="292"/>
      <c r="W94" s="292"/>
      <c r="X94" s="292"/>
      <c r="Y94" s="292"/>
      <c r="Z94" s="292"/>
    </row>
    <row r="95" spans="2:26" ht="23.25" customHeight="1" x14ac:dyDescent="0.4">
      <c r="C95" s="307"/>
      <c r="D95" s="307"/>
      <c r="E95" s="307"/>
      <c r="F95" s="307"/>
      <c r="G95" s="307"/>
      <c r="H95" s="307"/>
      <c r="I95" s="307"/>
      <c r="J95" s="307"/>
      <c r="K95" s="305"/>
      <c r="L95" s="304"/>
      <c r="M95" s="304"/>
      <c r="N95" s="304"/>
      <c r="O95" s="304"/>
      <c r="Q95" s="307"/>
      <c r="R95" s="304"/>
      <c r="S95" s="304"/>
      <c r="T95" s="304"/>
      <c r="U95" s="296"/>
      <c r="V95" s="296"/>
      <c r="W95" s="296"/>
      <c r="X95" s="296"/>
      <c r="Y95" s="296"/>
      <c r="Z95" s="296"/>
    </row>
    <row r="96" spans="2:26" ht="23.25" customHeight="1" x14ac:dyDescent="0.4">
      <c r="C96" s="307"/>
      <c r="D96" s="307"/>
      <c r="E96" s="307"/>
      <c r="F96" s="307"/>
      <c r="G96" s="307"/>
      <c r="H96" s="307"/>
      <c r="I96" s="307"/>
      <c r="J96" s="307"/>
      <c r="K96" s="305"/>
      <c r="L96" s="304"/>
      <c r="M96" s="304"/>
      <c r="N96" s="304"/>
      <c r="O96" s="307"/>
      <c r="P96" s="307"/>
      <c r="Q96" s="307"/>
      <c r="R96" s="304"/>
      <c r="S96" s="307"/>
      <c r="T96" s="307"/>
      <c r="U96" s="292"/>
      <c r="V96" s="292"/>
      <c r="W96" s="292"/>
      <c r="X96" s="292"/>
      <c r="Y96" s="292"/>
      <c r="Z96" s="292"/>
    </row>
    <row r="97" spans="2:26" ht="23.25" customHeight="1" x14ac:dyDescent="0.4">
      <c r="C97" s="307"/>
      <c r="D97" s="307"/>
      <c r="E97" s="307"/>
      <c r="F97" s="307"/>
      <c r="G97" s="307"/>
      <c r="H97" s="307"/>
      <c r="I97" s="307"/>
      <c r="J97" s="307"/>
      <c r="K97" s="305"/>
      <c r="L97" s="304"/>
      <c r="M97" s="304"/>
      <c r="N97" s="304"/>
      <c r="O97" s="304"/>
      <c r="P97" s="304"/>
      <c r="Q97" s="304"/>
      <c r="R97" s="304"/>
      <c r="S97" s="304"/>
      <c r="T97" s="307"/>
      <c r="U97" s="296"/>
      <c r="V97" s="296"/>
      <c r="W97" s="296"/>
      <c r="X97" s="296"/>
      <c r="Y97" s="296"/>
      <c r="Z97" s="296"/>
    </row>
    <row r="98" spans="2:26" ht="23.25" customHeight="1" x14ac:dyDescent="0.4"/>
    <row r="99" spans="2:26" ht="23.25" customHeight="1" x14ac:dyDescent="0.4"/>
    <row r="100" spans="2:26" ht="23.25" customHeight="1" x14ac:dyDescent="0.4">
      <c r="L100" s="290"/>
      <c r="M100" s="290"/>
      <c r="N100" s="290"/>
      <c r="O100" s="290"/>
      <c r="P100" s="311"/>
      <c r="Q100" s="311"/>
      <c r="R100" s="311"/>
      <c r="S100" s="290"/>
      <c r="T100" s="292"/>
      <c r="U100" s="292"/>
      <c r="V100" s="292"/>
      <c r="W100" s="292"/>
      <c r="X100" s="292"/>
      <c r="Y100" s="292"/>
      <c r="Z100" s="292"/>
    </row>
    <row r="101" spans="2:26" ht="23.25" customHeight="1" x14ac:dyDescent="0.4">
      <c r="L101" s="290"/>
      <c r="M101" s="290"/>
      <c r="N101" s="290"/>
      <c r="O101" s="290"/>
      <c r="P101" s="311"/>
      <c r="Q101" s="311"/>
      <c r="R101" s="311"/>
      <c r="S101" s="290"/>
      <c r="T101" s="292"/>
      <c r="U101" s="292"/>
      <c r="V101" s="292"/>
      <c r="W101" s="292"/>
      <c r="X101" s="292"/>
      <c r="Y101" s="292"/>
      <c r="Z101" s="292"/>
    </row>
    <row r="102" spans="2:26" ht="23.25" customHeight="1" x14ac:dyDescent="0.4">
      <c r="L102" s="290"/>
      <c r="M102" s="290"/>
      <c r="N102" s="290"/>
      <c r="O102" s="290"/>
      <c r="P102" s="312"/>
      <c r="Q102" s="312"/>
      <c r="R102" s="312"/>
      <c r="S102" s="295"/>
      <c r="T102" s="296"/>
      <c r="U102" s="292"/>
      <c r="V102" s="292"/>
      <c r="W102" s="292"/>
      <c r="X102" s="292"/>
      <c r="Y102" s="292"/>
      <c r="Z102" s="292"/>
    </row>
    <row r="103" spans="2:26" ht="23.25" customHeight="1" x14ac:dyDescent="0.4">
      <c r="B103" s="313"/>
      <c r="C103" s="296"/>
      <c r="D103" s="296"/>
      <c r="E103" s="296"/>
      <c r="F103" s="296"/>
      <c r="L103" s="295"/>
      <c r="M103" s="295"/>
      <c r="N103" s="295"/>
      <c r="O103" s="290"/>
      <c r="P103" s="295"/>
      <c r="Q103" s="295"/>
      <c r="R103" s="295"/>
      <c r="S103" s="290"/>
      <c r="T103" s="292"/>
      <c r="U103" s="314"/>
      <c r="V103" s="314"/>
      <c r="W103" s="314"/>
      <c r="X103" s="314"/>
      <c r="Y103" s="314"/>
      <c r="Z103" s="314"/>
    </row>
    <row r="104" spans="2:26" ht="23.25" customHeight="1" x14ac:dyDescent="0.4">
      <c r="B104" s="313"/>
      <c r="C104" s="307"/>
      <c r="D104" s="307"/>
      <c r="E104" s="307"/>
      <c r="F104" s="307"/>
      <c r="G104" s="307"/>
      <c r="H104" s="307"/>
      <c r="I104" s="307"/>
      <c r="J104" s="307"/>
      <c r="K104" s="305"/>
      <c r="L104" s="304"/>
      <c r="M104" s="304"/>
      <c r="N104" s="304"/>
      <c r="O104" s="304"/>
      <c r="P104" s="310"/>
      <c r="Q104" s="310"/>
      <c r="R104" s="304"/>
      <c r="S104" s="304"/>
      <c r="T104" s="304"/>
      <c r="U104" s="357"/>
      <c r="V104" s="357"/>
      <c r="W104" s="357"/>
      <c r="X104" s="357"/>
      <c r="Y104" s="357"/>
      <c r="Z104" s="357"/>
    </row>
    <row r="105" spans="2:26" ht="23.25" customHeight="1" x14ac:dyDescent="0.4">
      <c r="C105" s="307"/>
      <c r="D105" s="307"/>
      <c r="E105" s="307"/>
      <c r="F105" s="307"/>
      <c r="G105" s="307"/>
      <c r="H105" s="307"/>
      <c r="I105" s="307"/>
      <c r="J105" s="307"/>
      <c r="K105" s="305"/>
      <c r="L105" s="304"/>
      <c r="M105" s="304"/>
      <c r="N105" s="304"/>
      <c r="O105" s="304"/>
      <c r="P105" s="304"/>
      <c r="Q105" s="304"/>
      <c r="R105" s="304"/>
      <c r="S105" s="304"/>
      <c r="T105" s="304"/>
      <c r="U105" s="296"/>
      <c r="V105" s="296"/>
      <c r="W105" s="296"/>
      <c r="X105" s="296"/>
      <c r="Y105" s="296"/>
      <c r="Z105" s="296"/>
    </row>
    <row r="106" spans="2:26" ht="23.25" customHeight="1" x14ac:dyDescent="0.4">
      <c r="C106" s="307"/>
      <c r="D106" s="307"/>
      <c r="E106" s="307"/>
      <c r="F106" s="307"/>
      <c r="G106" s="307"/>
      <c r="H106" s="307"/>
      <c r="I106" s="307"/>
      <c r="J106" s="307"/>
      <c r="K106" s="305"/>
      <c r="L106" s="304"/>
      <c r="M106" s="304"/>
      <c r="N106" s="304"/>
      <c r="O106" s="304"/>
      <c r="P106" s="304"/>
      <c r="Q106" s="304"/>
      <c r="R106" s="307"/>
      <c r="S106" s="304"/>
      <c r="T106" s="304"/>
      <c r="U106" s="292"/>
      <c r="V106" s="292"/>
      <c r="W106" s="292"/>
      <c r="X106" s="292"/>
      <c r="Y106" s="292"/>
      <c r="Z106" s="292"/>
    </row>
    <row r="107" spans="2:26" ht="23.25" customHeight="1" x14ac:dyDescent="0.4">
      <c r="C107" s="307"/>
      <c r="D107" s="307"/>
      <c r="E107" s="307"/>
      <c r="F107" s="307"/>
      <c r="G107" s="307"/>
      <c r="H107" s="307"/>
      <c r="I107" s="307"/>
      <c r="J107" s="307"/>
      <c r="K107" s="305"/>
      <c r="L107" s="304"/>
      <c r="M107" s="304"/>
      <c r="N107" s="304"/>
      <c r="O107" s="304"/>
      <c r="P107" s="304"/>
      <c r="Q107" s="304"/>
      <c r="R107" s="304"/>
      <c r="S107" s="304"/>
      <c r="T107" s="304"/>
      <c r="U107" s="296"/>
      <c r="V107" s="296"/>
      <c r="W107" s="296"/>
      <c r="X107" s="296"/>
      <c r="Y107" s="296"/>
      <c r="Z107" s="296"/>
    </row>
    <row r="108" spans="2:26" ht="23.25" customHeight="1" x14ac:dyDescent="0.4">
      <c r="C108" s="307"/>
      <c r="D108" s="307"/>
      <c r="E108" s="307"/>
      <c r="F108" s="307"/>
      <c r="G108" s="307"/>
      <c r="H108" s="307"/>
      <c r="I108" s="307"/>
      <c r="J108" s="307"/>
      <c r="K108" s="305"/>
      <c r="L108" s="304"/>
      <c r="M108" s="304"/>
      <c r="N108" s="304"/>
      <c r="O108" s="304"/>
      <c r="P108" s="304"/>
      <c r="Q108" s="304"/>
      <c r="R108" s="304"/>
      <c r="S108" s="304"/>
      <c r="T108" s="304"/>
      <c r="U108" s="356"/>
      <c r="V108" s="356"/>
      <c r="W108" s="356"/>
      <c r="X108" s="356"/>
      <c r="Y108" s="356"/>
      <c r="Z108" s="356"/>
    </row>
    <row r="109" spans="2:26" ht="23.25" customHeight="1" x14ac:dyDescent="0.4">
      <c r="C109" s="307"/>
      <c r="D109" s="307"/>
      <c r="E109" s="307"/>
      <c r="F109" s="307"/>
      <c r="G109" s="307"/>
      <c r="H109" s="307"/>
      <c r="I109" s="307"/>
      <c r="J109" s="307"/>
      <c r="K109" s="305"/>
      <c r="L109" s="304"/>
      <c r="M109" s="304"/>
      <c r="N109" s="304"/>
      <c r="O109" s="304"/>
      <c r="P109" s="307"/>
      <c r="Q109" s="307"/>
      <c r="R109" s="304"/>
      <c r="S109" s="304"/>
      <c r="T109" s="304"/>
      <c r="U109" s="292"/>
      <c r="V109" s="292"/>
      <c r="W109" s="292"/>
      <c r="X109" s="292"/>
      <c r="Y109" s="292"/>
      <c r="Z109" s="292"/>
    </row>
    <row r="110" spans="2:26" ht="23.25" customHeight="1" x14ac:dyDescent="0.4">
      <c r="C110" s="307"/>
      <c r="D110" s="307"/>
      <c r="E110" s="307"/>
      <c r="F110" s="307"/>
      <c r="G110" s="307"/>
      <c r="H110" s="307"/>
      <c r="I110" s="307"/>
      <c r="J110" s="307"/>
      <c r="K110" s="305"/>
      <c r="L110" s="304"/>
      <c r="M110" s="304"/>
      <c r="N110" s="307"/>
      <c r="O110" s="304"/>
      <c r="P110" s="304"/>
      <c r="Q110" s="304"/>
      <c r="R110" s="304"/>
      <c r="S110" s="304"/>
      <c r="T110" s="304"/>
      <c r="U110" s="296"/>
      <c r="V110" s="296"/>
      <c r="W110" s="296"/>
      <c r="X110" s="296"/>
      <c r="Y110" s="296"/>
      <c r="Z110" s="296"/>
    </row>
    <row r="111" spans="2:26" ht="23.25" customHeight="1" x14ac:dyDescent="0.4">
      <c r="C111" s="307"/>
      <c r="D111" s="307"/>
      <c r="E111" s="307"/>
      <c r="F111" s="307"/>
      <c r="G111" s="307"/>
      <c r="H111" s="307"/>
      <c r="I111" s="307"/>
      <c r="J111" s="307"/>
      <c r="K111" s="305"/>
      <c r="L111" s="304"/>
      <c r="M111" s="304"/>
      <c r="N111" s="304"/>
      <c r="O111" s="304"/>
      <c r="P111" s="304"/>
      <c r="Q111" s="304"/>
      <c r="R111" s="304"/>
      <c r="S111" s="304"/>
      <c r="T111" s="304"/>
      <c r="U111" s="292"/>
      <c r="V111" s="292"/>
      <c r="W111" s="292"/>
      <c r="X111" s="292"/>
      <c r="Y111" s="292"/>
      <c r="Z111" s="292"/>
    </row>
    <row r="112" spans="2:26" ht="23.25" customHeight="1" x14ac:dyDescent="0.4">
      <c r="C112" s="307"/>
      <c r="D112" s="307"/>
      <c r="E112" s="307"/>
      <c r="F112" s="307"/>
      <c r="G112" s="307"/>
      <c r="H112" s="307"/>
      <c r="I112" s="307"/>
      <c r="J112" s="307"/>
      <c r="K112" s="305"/>
      <c r="L112" s="304"/>
      <c r="M112" s="304"/>
      <c r="N112" s="307"/>
      <c r="O112" s="304"/>
      <c r="P112" s="307"/>
      <c r="Q112" s="307"/>
      <c r="R112" s="304"/>
      <c r="S112" s="307"/>
      <c r="T112" s="307"/>
      <c r="U112" s="292"/>
      <c r="V112" s="292"/>
      <c r="W112" s="292"/>
      <c r="X112" s="292"/>
      <c r="Y112" s="292"/>
      <c r="Z112" s="292"/>
    </row>
    <row r="113" spans="3:26" ht="23.25" customHeight="1" x14ac:dyDescent="0.4">
      <c r="C113" s="307"/>
      <c r="D113" s="307"/>
      <c r="E113" s="307"/>
      <c r="F113" s="307"/>
      <c r="G113" s="307"/>
      <c r="H113" s="307"/>
      <c r="I113" s="307"/>
      <c r="J113" s="307"/>
      <c r="K113" s="305"/>
      <c r="L113" s="304"/>
      <c r="M113" s="304"/>
      <c r="N113" s="304"/>
      <c r="O113" s="304"/>
      <c r="P113" s="304"/>
      <c r="Q113" s="304"/>
      <c r="R113" s="307"/>
      <c r="S113" s="304"/>
      <c r="T113" s="304"/>
      <c r="U113" s="292"/>
      <c r="V113" s="292"/>
      <c r="W113" s="292"/>
      <c r="X113" s="292"/>
      <c r="Y113" s="292"/>
      <c r="Z113" s="292"/>
    </row>
    <row r="114" spans="3:26" ht="23.25" customHeight="1" x14ac:dyDescent="0.4">
      <c r="C114" s="307"/>
      <c r="D114" s="307"/>
      <c r="E114" s="307"/>
      <c r="F114" s="307"/>
      <c r="G114" s="307"/>
      <c r="H114" s="307"/>
      <c r="I114" s="307"/>
      <c r="J114" s="307"/>
      <c r="K114" s="305"/>
      <c r="L114" s="304"/>
      <c r="M114" s="304"/>
      <c r="N114" s="304"/>
      <c r="O114" s="304"/>
      <c r="P114" s="304"/>
      <c r="Q114" s="304"/>
      <c r="R114" s="304"/>
      <c r="S114" s="304"/>
      <c r="T114" s="304"/>
      <c r="U114" s="292"/>
      <c r="V114" s="292"/>
      <c r="W114" s="292"/>
      <c r="X114" s="292"/>
      <c r="Y114" s="292"/>
      <c r="Z114" s="292"/>
    </row>
    <row r="115" spans="3:26" ht="23.25" customHeight="1" x14ac:dyDescent="0.4">
      <c r="C115" s="307"/>
      <c r="D115" s="307"/>
      <c r="E115" s="307"/>
      <c r="F115" s="307"/>
      <c r="G115" s="307"/>
      <c r="H115" s="307"/>
      <c r="I115" s="307"/>
      <c r="J115" s="307"/>
      <c r="K115" s="305"/>
      <c r="L115" s="304"/>
      <c r="M115" s="304"/>
      <c r="N115" s="304"/>
      <c r="O115" s="304"/>
      <c r="P115" s="304"/>
      <c r="Q115" s="304"/>
      <c r="R115" s="304"/>
      <c r="S115" s="304"/>
      <c r="T115" s="304"/>
      <c r="U115" s="314"/>
      <c r="V115" s="314"/>
      <c r="W115" s="314"/>
      <c r="X115" s="314"/>
      <c r="Y115" s="314"/>
      <c r="Z115" s="314"/>
    </row>
    <row r="116" spans="3:26" ht="23.25" customHeight="1" x14ac:dyDescent="0.4">
      <c r="C116" s="307"/>
      <c r="D116" s="307"/>
      <c r="E116" s="307"/>
      <c r="F116" s="307"/>
      <c r="G116" s="307"/>
      <c r="H116" s="307"/>
      <c r="I116" s="307"/>
      <c r="J116" s="307"/>
      <c r="K116" s="305"/>
      <c r="L116" s="304"/>
      <c r="M116" s="304"/>
      <c r="N116" s="304"/>
      <c r="O116" s="304"/>
      <c r="P116" s="304"/>
      <c r="Q116" s="304"/>
      <c r="R116" s="304"/>
      <c r="S116" s="304"/>
      <c r="T116" s="304"/>
      <c r="U116" s="292"/>
      <c r="V116" s="292"/>
      <c r="W116" s="292"/>
      <c r="X116" s="292"/>
      <c r="Y116" s="292"/>
      <c r="Z116" s="292"/>
    </row>
    <row r="117" spans="3:26" ht="23.25" customHeight="1" x14ac:dyDescent="0.4">
      <c r="C117" s="307"/>
      <c r="D117" s="307"/>
      <c r="E117" s="307"/>
      <c r="F117" s="307"/>
      <c r="G117" s="307"/>
      <c r="H117" s="307"/>
      <c r="I117" s="307"/>
      <c r="J117" s="307"/>
      <c r="K117" s="305"/>
      <c r="L117" s="304"/>
      <c r="M117" s="304"/>
      <c r="N117" s="304"/>
      <c r="O117" s="304"/>
      <c r="P117" s="304"/>
      <c r="Q117" s="304"/>
      <c r="R117" s="304"/>
      <c r="S117" s="304"/>
      <c r="T117" s="304"/>
      <c r="U117" s="296"/>
      <c r="V117" s="296"/>
      <c r="W117" s="296"/>
      <c r="X117" s="296"/>
      <c r="Y117" s="296"/>
      <c r="Z117" s="296"/>
    </row>
    <row r="118" spans="3:26" ht="23.25" customHeight="1" x14ac:dyDescent="0.4">
      <c r="C118" s="307"/>
      <c r="D118" s="307"/>
      <c r="E118" s="307"/>
      <c r="F118" s="307"/>
      <c r="G118" s="307"/>
      <c r="H118" s="307"/>
      <c r="I118" s="307"/>
      <c r="J118" s="307"/>
      <c r="K118" s="305"/>
      <c r="L118" s="304"/>
      <c r="M118" s="304"/>
      <c r="N118" s="304"/>
      <c r="O118" s="307"/>
      <c r="P118" s="307"/>
      <c r="Q118" s="307"/>
      <c r="R118" s="304"/>
      <c r="S118" s="307"/>
      <c r="T118" s="307"/>
      <c r="U118" s="292"/>
      <c r="V118" s="292"/>
      <c r="W118" s="292"/>
      <c r="X118" s="292"/>
      <c r="Y118" s="292"/>
      <c r="Z118" s="292"/>
    </row>
    <row r="119" spans="3:26" ht="23.25" customHeight="1" x14ac:dyDescent="0.4">
      <c r="C119" s="307"/>
      <c r="D119" s="307"/>
      <c r="E119" s="307"/>
      <c r="F119" s="307"/>
      <c r="G119" s="307"/>
      <c r="H119" s="307"/>
      <c r="I119" s="307"/>
      <c r="J119" s="307"/>
      <c r="K119" s="305"/>
      <c r="L119" s="304"/>
      <c r="M119" s="304"/>
      <c r="N119" s="304"/>
      <c r="O119" s="304"/>
      <c r="P119" s="304"/>
      <c r="Q119" s="304"/>
      <c r="R119" s="304"/>
      <c r="S119" s="304"/>
      <c r="T119" s="307"/>
      <c r="U119" s="296"/>
      <c r="V119" s="296"/>
      <c r="W119" s="296"/>
      <c r="X119" s="296"/>
      <c r="Y119" s="296"/>
      <c r="Z119" s="296"/>
    </row>
    <row r="120" spans="3:26" ht="23.25" customHeight="1" x14ac:dyDescent="0.4"/>
    <row r="121" spans="3:26" ht="23.25" customHeight="1" x14ac:dyDescent="0.4"/>
    <row r="122" spans="3:26" ht="23.25" customHeight="1" x14ac:dyDescent="0.4"/>
    <row r="123" spans="3:26" ht="23.25" customHeight="1" x14ac:dyDescent="0.4"/>
    <row r="124" spans="3:26" ht="23.25" customHeight="1" x14ac:dyDescent="0.4"/>
    <row r="125" spans="3:26" ht="23.25" customHeight="1" x14ac:dyDescent="0.4"/>
    <row r="126" spans="3:26" ht="23.25" customHeight="1" x14ac:dyDescent="0.4"/>
    <row r="127" spans="3:26" ht="23.25" customHeight="1" x14ac:dyDescent="0.4"/>
    <row r="128" spans="3:26" ht="23.25" customHeight="1" x14ac:dyDescent="0.4"/>
    <row r="129" ht="23.25" customHeight="1" x14ac:dyDescent="0.4"/>
    <row r="130" ht="23.25" customHeight="1" x14ac:dyDescent="0.4"/>
    <row r="131" ht="23.25" customHeight="1" x14ac:dyDescent="0.4"/>
    <row r="132" ht="23.25" customHeight="1" x14ac:dyDescent="0.4"/>
    <row r="133" ht="23.25" customHeight="1" x14ac:dyDescent="0.4"/>
    <row r="134" ht="23.25" customHeight="1" x14ac:dyDescent="0.4"/>
    <row r="135" ht="23.25" customHeight="1" x14ac:dyDescent="0.4"/>
    <row r="136" ht="23.25" customHeight="1" x14ac:dyDescent="0.4"/>
    <row r="137" ht="23.25" customHeight="1" x14ac:dyDescent="0.4"/>
    <row r="138" ht="23.25" customHeight="1" x14ac:dyDescent="0.4"/>
    <row r="139" ht="23.25" customHeight="1" x14ac:dyDescent="0.4"/>
    <row r="140" ht="23.25" customHeight="1" x14ac:dyDescent="0.4"/>
    <row r="141" ht="23.25" customHeight="1" x14ac:dyDescent="0.4"/>
    <row r="142" ht="23.25" customHeight="1" x14ac:dyDescent="0.4"/>
    <row r="143" ht="23.25" customHeight="1" x14ac:dyDescent="0.4"/>
    <row r="144" ht="23.25" customHeight="1" x14ac:dyDescent="0.4"/>
    <row r="145" ht="23.25" customHeight="1" x14ac:dyDescent="0.4"/>
    <row r="146" ht="23.25" customHeight="1" x14ac:dyDescent="0.4"/>
    <row r="147" ht="23.25" customHeight="1" x14ac:dyDescent="0.4"/>
    <row r="148" ht="23.25" customHeight="1" x14ac:dyDescent="0.4"/>
    <row r="149" ht="23.25" customHeight="1" x14ac:dyDescent="0.4"/>
    <row r="150" ht="23.25" customHeight="1" x14ac:dyDescent="0.4"/>
    <row r="151" ht="23.25" customHeight="1" x14ac:dyDescent="0.4"/>
    <row r="152" ht="23.25" customHeight="1" x14ac:dyDescent="0.4"/>
    <row r="153" ht="23.25" customHeight="1" x14ac:dyDescent="0.4"/>
    <row r="154" ht="23.25" customHeight="1" x14ac:dyDescent="0.4"/>
    <row r="155" ht="23.25" customHeight="1" x14ac:dyDescent="0.4"/>
    <row r="156" ht="23.25" customHeight="1" x14ac:dyDescent="0.4"/>
    <row r="157" ht="23.25" customHeight="1" x14ac:dyDescent="0.4"/>
    <row r="158" ht="23.25" customHeight="1" x14ac:dyDescent="0.4"/>
    <row r="159" ht="23.25" customHeight="1" x14ac:dyDescent="0.4"/>
    <row r="160" ht="23.25" customHeight="1" x14ac:dyDescent="0.4"/>
    <row r="161" ht="23.25" customHeight="1" x14ac:dyDescent="0.4"/>
    <row r="162" ht="23.25" customHeight="1" x14ac:dyDescent="0.4"/>
    <row r="163" ht="23.25" customHeight="1" x14ac:dyDescent="0.4"/>
    <row r="164" ht="23.25" customHeight="1" x14ac:dyDescent="0.4"/>
    <row r="165" ht="23.25" customHeight="1" x14ac:dyDescent="0.4"/>
    <row r="166" ht="23.25" customHeight="1" x14ac:dyDescent="0.4"/>
    <row r="167" ht="23.25" customHeight="1" x14ac:dyDescent="0.4"/>
    <row r="168" ht="23.25" customHeight="1" x14ac:dyDescent="0.4"/>
    <row r="169" ht="23.25" customHeight="1" x14ac:dyDescent="0.4"/>
    <row r="170" ht="23.25" customHeight="1" x14ac:dyDescent="0.4"/>
    <row r="171" ht="23.25" customHeight="1" x14ac:dyDescent="0.4"/>
    <row r="172" ht="23.25" customHeight="1" x14ac:dyDescent="0.4"/>
    <row r="173" ht="23.25" customHeight="1" x14ac:dyDescent="0.4"/>
    <row r="174" ht="23.25" customHeight="1" x14ac:dyDescent="0.4"/>
    <row r="175" ht="23.25" customHeight="1" x14ac:dyDescent="0.4"/>
    <row r="176" ht="23.25" customHeight="1" x14ac:dyDescent="0.4"/>
    <row r="177" ht="23.25" customHeight="1" x14ac:dyDescent="0.4"/>
    <row r="178" ht="23.25" customHeight="1" x14ac:dyDescent="0.4"/>
    <row r="179" ht="23.25" customHeight="1" x14ac:dyDescent="0.4"/>
    <row r="180" ht="23.25" customHeight="1" x14ac:dyDescent="0.4"/>
    <row r="181" ht="23.25" customHeight="1" x14ac:dyDescent="0.4"/>
    <row r="182" ht="23.25" customHeight="1" x14ac:dyDescent="0.4"/>
    <row r="183" ht="23.25" customHeight="1" x14ac:dyDescent="0.4"/>
    <row r="184" ht="23.25" customHeight="1" x14ac:dyDescent="0.4"/>
    <row r="185" ht="23.25" customHeight="1" x14ac:dyDescent="0.4"/>
    <row r="186" ht="23.25" customHeight="1" x14ac:dyDescent="0.4"/>
    <row r="187" ht="23.25" customHeight="1" x14ac:dyDescent="0.4"/>
    <row r="188" ht="23.25" customHeight="1" x14ac:dyDescent="0.4"/>
    <row r="189" ht="23.25" customHeight="1" x14ac:dyDescent="0.4"/>
    <row r="190" ht="23.25" customHeight="1" x14ac:dyDescent="0.4"/>
    <row r="191" ht="23.25" customHeight="1" x14ac:dyDescent="0.4"/>
    <row r="192" ht="23.25" customHeight="1" x14ac:dyDescent="0.4"/>
    <row r="193" ht="23.25" customHeight="1" x14ac:dyDescent="0.4"/>
    <row r="194" ht="23.25" customHeight="1" x14ac:dyDescent="0.4"/>
    <row r="195" ht="23.25" customHeight="1" x14ac:dyDescent="0.4"/>
    <row r="196" ht="23.25" customHeight="1" x14ac:dyDescent="0.4"/>
    <row r="197" ht="23.25" customHeight="1" x14ac:dyDescent="0.4"/>
    <row r="198" ht="23.25" customHeight="1" x14ac:dyDescent="0.4"/>
    <row r="199" ht="23.25" customHeight="1" x14ac:dyDescent="0.4"/>
    <row r="200" ht="23.25" customHeight="1" x14ac:dyDescent="0.4"/>
    <row r="201" ht="23.25" customHeight="1" x14ac:dyDescent="0.4"/>
    <row r="202" ht="23.25" customHeight="1" x14ac:dyDescent="0.4"/>
    <row r="203" ht="23.25" customHeight="1" x14ac:dyDescent="0.4"/>
    <row r="204" ht="23.25" customHeight="1" x14ac:dyDescent="0.4"/>
    <row r="205" ht="23.25" customHeight="1" x14ac:dyDescent="0.4"/>
    <row r="206" ht="23.25" customHeight="1" x14ac:dyDescent="0.4"/>
    <row r="207" ht="23.25" customHeight="1" x14ac:dyDescent="0.4"/>
    <row r="208" ht="23.25" customHeight="1" x14ac:dyDescent="0.4"/>
    <row r="209" ht="23.25" customHeight="1" x14ac:dyDescent="0.4"/>
    <row r="210" ht="23.25" customHeight="1" x14ac:dyDescent="0.4"/>
    <row r="211" ht="23.25" customHeight="1" x14ac:dyDescent="0.4"/>
    <row r="212" ht="23.25" customHeight="1" x14ac:dyDescent="0.4"/>
    <row r="213" ht="23.25" customHeight="1" x14ac:dyDescent="0.4"/>
    <row r="214" ht="23.25" customHeight="1" x14ac:dyDescent="0.4"/>
    <row r="215" ht="23.25" customHeight="1" x14ac:dyDescent="0.4"/>
    <row r="216" ht="23.25" customHeight="1" x14ac:dyDescent="0.4"/>
    <row r="217" ht="23.25" customHeight="1" x14ac:dyDescent="0.4"/>
    <row r="218" ht="23.25" customHeight="1" x14ac:dyDescent="0.4"/>
    <row r="219" ht="23.25" customHeight="1" x14ac:dyDescent="0.4"/>
    <row r="220" ht="23.25" customHeight="1" x14ac:dyDescent="0.4"/>
    <row r="221" ht="23.25" customHeight="1" x14ac:dyDescent="0.4"/>
    <row r="222" ht="23.25" customHeight="1" x14ac:dyDescent="0.4"/>
    <row r="223" ht="23.25" customHeight="1" x14ac:dyDescent="0.4"/>
    <row r="224" ht="23.25" customHeight="1" x14ac:dyDescent="0.4"/>
    <row r="225" ht="23.25" customHeight="1" x14ac:dyDescent="0.4"/>
    <row r="226" ht="23.25" customHeight="1" x14ac:dyDescent="0.4"/>
    <row r="227" ht="23.25" customHeight="1" x14ac:dyDescent="0.4"/>
    <row r="228" ht="23.25" customHeight="1" x14ac:dyDescent="0.4"/>
    <row r="229" ht="23.25" customHeight="1" x14ac:dyDescent="0.4"/>
    <row r="230" ht="23.25" customHeight="1" x14ac:dyDescent="0.4"/>
    <row r="231" ht="23.25" customHeight="1" x14ac:dyDescent="0.4"/>
    <row r="232" ht="23.25" customHeight="1" x14ac:dyDescent="0.4"/>
    <row r="233" ht="23.25" customHeight="1" x14ac:dyDescent="0.4"/>
    <row r="234" ht="23.25" customHeight="1" x14ac:dyDescent="0.4"/>
    <row r="235" ht="23.25" customHeight="1" x14ac:dyDescent="0.4"/>
    <row r="236" ht="23.25" customHeight="1" x14ac:dyDescent="0.4"/>
    <row r="237" ht="23.25" customHeight="1" x14ac:dyDescent="0.4"/>
    <row r="238" ht="23.25" customHeight="1" x14ac:dyDescent="0.4"/>
    <row r="239" ht="23.25" customHeight="1" x14ac:dyDescent="0.4"/>
    <row r="240" ht="23.25" customHeight="1" x14ac:dyDescent="0.4"/>
    <row r="241" ht="23.25" customHeight="1" x14ac:dyDescent="0.4"/>
    <row r="242" ht="23.25" customHeight="1" x14ac:dyDescent="0.4"/>
    <row r="243" ht="23.25" customHeight="1" x14ac:dyDescent="0.4"/>
    <row r="244" ht="23.25" customHeight="1" x14ac:dyDescent="0.4"/>
    <row r="245" ht="23.25" customHeight="1" x14ac:dyDescent="0.4"/>
    <row r="246" ht="23.25" customHeight="1" x14ac:dyDescent="0.4"/>
    <row r="247" ht="23.25" customHeight="1" x14ac:dyDescent="0.4"/>
    <row r="248" ht="23.25" customHeight="1" x14ac:dyDescent="0.4"/>
    <row r="249" ht="23.25" customHeight="1" x14ac:dyDescent="0.4"/>
    <row r="250" ht="23.25" customHeight="1" x14ac:dyDescent="0.4"/>
    <row r="251" ht="23.25" customHeight="1" x14ac:dyDescent="0.4"/>
    <row r="252" ht="23.25" customHeight="1" x14ac:dyDescent="0.4"/>
    <row r="253" ht="23.25" customHeight="1" x14ac:dyDescent="0.4"/>
    <row r="254" ht="23.25" customHeight="1" x14ac:dyDescent="0.4"/>
    <row r="255" ht="23.25" customHeight="1" x14ac:dyDescent="0.4"/>
    <row r="256" ht="23.25" customHeight="1" x14ac:dyDescent="0.4"/>
    <row r="257" ht="21.75" customHeight="1" x14ac:dyDescent="0.4"/>
    <row r="258" ht="21.75" customHeight="1" x14ac:dyDescent="0.4"/>
    <row r="259" ht="21.75" customHeight="1" x14ac:dyDescent="0.4"/>
    <row r="260" ht="21.75" customHeight="1" x14ac:dyDescent="0.4"/>
    <row r="261" ht="21.75" customHeight="1" x14ac:dyDescent="0.4"/>
    <row r="262" ht="21.75" customHeight="1" x14ac:dyDescent="0.4"/>
    <row r="263" ht="21.75" customHeight="1" x14ac:dyDescent="0.4"/>
    <row r="264" ht="21.75" customHeight="1" x14ac:dyDescent="0.4"/>
    <row r="265" ht="21.75" customHeight="1" x14ac:dyDescent="0.4"/>
    <row r="266" ht="21.75" customHeight="1" x14ac:dyDescent="0.4"/>
    <row r="267" ht="21.75" customHeight="1" x14ac:dyDescent="0.4"/>
    <row r="268" ht="21.75" customHeight="1" x14ac:dyDescent="0.4"/>
    <row r="269" ht="21.75" customHeight="1" x14ac:dyDescent="0.4"/>
    <row r="270" ht="21.75" customHeight="1" x14ac:dyDescent="0.4"/>
    <row r="271" ht="18.75" customHeight="1" x14ac:dyDescent="0.4"/>
    <row r="272" ht="18.75" customHeight="1" x14ac:dyDescent="0.4"/>
    <row r="273" ht="18.75" customHeight="1" x14ac:dyDescent="0.4"/>
    <row r="274" ht="18.75" customHeight="1" x14ac:dyDescent="0.4"/>
    <row r="275" ht="18.75" customHeight="1" x14ac:dyDescent="0.4"/>
    <row r="276" ht="18.75" customHeight="1" x14ac:dyDescent="0.4"/>
    <row r="277" ht="18.75" customHeight="1" x14ac:dyDescent="0.4"/>
    <row r="278" ht="18.75" customHeight="1" x14ac:dyDescent="0.4"/>
    <row r="279" ht="18.75" customHeight="1" x14ac:dyDescent="0.4"/>
    <row r="280" ht="18.75" customHeight="1" x14ac:dyDescent="0.4"/>
    <row r="281" ht="18.75" customHeight="1" x14ac:dyDescent="0.4"/>
    <row r="282" ht="18.75" customHeight="1" x14ac:dyDescent="0.4"/>
    <row r="283" ht="18.75" customHeight="1" x14ac:dyDescent="0.4"/>
    <row r="284" ht="18.75" customHeight="1" x14ac:dyDescent="0.4"/>
    <row r="285" ht="18.75" customHeight="1" x14ac:dyDescent="0.4"/>
    <row r="286" ht="18.75" customHeight="1" x14ac:dyDescent="0.4"/>
    <row r="287" ht="18.75" customHeight="1" x14ac:dyDescent="0.4"/>
    <row r="288" ht="18.75" customHeight="1" x14ac:dyDescent="0.4"/>
    <row r="289" ht="18.75" customHeight="1" x14ac:dyDescent="0.4"/>
    <row r="290" ht="18.75" customHeight="1" x14ac:dyDescent="0.4"/>
    <row r="291" ht="18.75" customHeight="1" x14ac:dyDescent="0.4"/>
    <row r="292" ht="18.75" customHeight="1" x14ac:dyDescent="0.4"/>
    <row r="293" ht="18.75" customHeight="1" x14ac:dyDescent="0.4"/>
    <row r="294" ht="18.75" customHeight="1" x14ac:dyDescent="0.4"/>
    <row r="295" ht="18.75" customHeight="1" x14ac:dyDescent="0.4"/>
    <row r="296" ht="18.75" customHeight="1" x14ac:dyDescent="0.4"/>
    <row r="297" ht="18.75" customHeight="1" x14ac:dyDescent="0.4"/>
    <row r="298" ht="18.75" customHeight="1" x14ac:dyDescent="0.4"/>
    <row r="299" ht="18.75" customHeight="1" x14ac:dyDescent="0.4"/>
  </sheetData>
  <mergeCells count="8">
    <mergeCell ref="B59:B60"/>
    <mergeCell ref="B70:B71"/>
    <mergeCell ref="B81:B82"/>
    <mergeCell ref="B4:B5"/>
    <mergeCell ref="B15:B16"/>
    <mergeCell ref="B26:B27"/>
    <mergeCell ref="B37:B38"/>
    <mergeCell ref="B48:B49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D294D-3BAB-43BE-8099-2FA6B688B17F}">
  <dimension ref="B1:Z22"/>
  <sheetViews>
    <sheetView zoomScale="50" zoomScaleNormal="50" workbookViewId="0">
      <selection activeCell="C14" sqref="C14"/>
    </sheetView>
  </sheetViews>
  <sheetFormatPr baseColWidth="10" defaultRowHeight="15" x14ac:dyDescent="0.25"/>
  <cols>
    <col min="2" max="2" width="29.140625" customWidth="1"/>
    <col min="3" max="7" width="16.85546875" customWidth="1"/>
    <col min="8" max="8" width="9.7109375" customWidth="1"/>
    <col min="9" max="9" width="16.85546875" hidden="1" customWidth="1"/>
    <col min="10" max="10" width="3.7109375" customWidth="1"/>
    <col min="11" max="19" width="16.85546875" customWidth="1"/>
    <col min="20" max="20" width="7.140625" customWidth="1"/>
    <col min="21" max="26" width="19.140625" customWidth="1"/>
  </cols>
  <sheetData>
    <row r="1" spans="2:26" ht="30" customHeight="1" x14ac:dyDescent="0.35">
      <c r="B1" s="267"/>
      <c r="C1" s="269"/>
      <c r="D1" s="267"/>
      <c r="E1" s="316"/>
      <c r="F1" s="267"/>
      <c r="G1" s="267"/>
      <c r="H1" s="267"/>
      <c r="I1" s="267"/>
      <c r="J1" s="315"/>
      <c r="K1" s="267"/>
      <c r="L1" s="267"/>
      <c r="M1" s="267"/>
      <c r="N1" s="269"/>
      <c r="O1" s="269"/>
      <c r="P1" s="267"/>
      <c r="Q1" s="267"/>
      <c r="R1" s="267" t="s">
        <v>304</v>
      </c>
      <c r="S1" s="267"/>
      <c r="T1" s="269"/>
      <c r="U1" s="269"/>
      <c r="V1" s="269"/>
      <c r="W1" s="269"/>
      <c r="X1" s="269"/>
      <c r="Y1" s="267"/>
      <c r="Z1" s="267"/>
    </row>
    <row r="2" spans="2:26" s="433" customFormat="1" ht="31.5" customHeight="1" x14ac:dyDescent="0.25">
      <c r="B2" s="428"/>
      <c r="C2" s="429"/>
      <c r="D2" s="428"/>
      <c r="E2" s="430"/>
      <c r="F2" s="428"/>
      <c r="G2" s="428"/>
      <c r="H2" s="428"/>
      <c r="I2" s="428"/>
      <c r="J2" s="431"/>
      <c r="K2" s="428"/>
      <c r="L2" s="428"/>
      <c r="M2" s="428"/>
      <c r="N2" s="429"/>
      <c r="O2" s="429"/>
      <c r="P2" s="429" t="s">
        <v>302</v>
      </c>
      <c r="Q2" s="428"/>
      <c r="R2" s="432">
        <v>9.2499999999999999E-2</v>
      </c>
      <c r="S2" s="428"/>
      <c r="T2" s="429"/>
      <c r="U2" s="429"/>
      <c r="V2" s="429"/>
      <c r="W2" s="429"/>
      <c r="X2" s="429"/>
      <c r="Y2" s="428"/>
      <c r="Z2" s="428"/>
    </row>
    <row r="3" spans="2:26" s="433" customFormat="1" ht="31.5" customHeight="1" x14ac:dyDescent="0.25">
      <c r="B3" s="431"/>
      <c r="C3" s="429"/>
      <c r="D3" s="428"/>
      <c r="E3" s="429"/>
      <c r="F3" s="428"/>
      <c r="G3" s="428"/>
      <c r="H3" s="428"/>
      <c r="I3" s="428"/>
      <c r="J3" s="428"/>
      <c r="K3" s="428"/>
      <c r="L3" s="428"/>
      <c r="M3" s="428"/>
      <c r="N3" s="429"/>
      <c r="O3" s="429"/>
      <c r="P3" s="432">
        <v>0.1</v>
      </c>
      <c r="Q3" s="428"/>
      <c r="R3" s="434"/>
      <c r="S3" s="428"/>
      <c r="T3" s="429"/>
      <c r="U3" s="429"/>
      <c r="V3" s="429"/>
      <c r="W3" s="429"/>
      <c r="X3" s="429"/>
      <c r="Y3" s="428"/>
      <c r="Z3" s="428"/>
    </row>
    <row r="4" spans="2:26" s="433" customFormat="1" ht="31.5" customHeight="1" x14ac:dyDescent="0.25">
      <c r="B4" s="429"/>
      <c r="C4" s="429"/>
      <c r="D4" s="429"/>
      <c r="E4" s="429"/>
      <c r="F4" s="429"/>
      <c r="G4" s="428"/>
      <c r="H4" s="428"/>
      <c r="I4" s="428"/>
      <c r="J4" s="428"/>
      <c r="K4" s="428"/>
      <c r="L4" s="428"/>
      <c r="M4" s="428"/>
      <c r="N4" s="429"/>
      <c r="O4" s="429"/>
      <c r="P4" s="435">
        <v>0.1</v>
      </c>
      <c r="Q4" s="428"/>
      <c r="R4" s="436">
        <v>7.6100000000000001E-2</v>
      </c>
      <c r="S4" s="428">
        <f>P7*R4</f>
        <v>818.83600000000001</v>
      </c>
      <c r="T4" s="429"/>
      <c r="U4" s="429"/>
      <c r="V4" s="429"/>
      <c r="W4" s="429"/>
      <c r="X4" s="429"/>
      <c r="Y4" s="428"/>
      <c r="Z4" s="428"/>
    </row>
    <row r="5" spans="2:26" ht="21" x14ac:dyDescent="0.35">
      <c r="B5" s="267"/>
      <c r="C5" s="269"/>
      <c r="D5" s="267"/>
      <c r="E5" s="316"/>
      <c r="F5" s="267"/>
      <c r="G5" s="267"/>
      <c r="H5" s="267"/>
      <c r="I5" s="267"/>
      <c r="J5" s="315"/>
      <c r="K5" s="267"/>
      <c r="L5" s="267"/>
      <c r="M5" s="267"/>
      <c r="N5" s="319"/>
      <c r="O5" s="269"/>
      <c r="P5" s="271">
        <f>P3+P4</f>
        <v>0.2</v>
      </c>
      <c r="Q5" s="267"/>
      <c r="R5" s="271">
        <f>R3+R4+R2</f>
        <v>0.1686</v>
      </c>
      <c r="S5" s="272"/>
      <c r="T5" s="273"/>
      <c r="U5" s="274" t="s">
        <v>76</v>
      </c>
      <c r="V5" s="274" t="s">
        <v>76</v>
      </c>
      <c r="W5" s="274" t="s">
        <v>76</v>
      </c>
      <c r="X5" s="274" t="s">
        <v>76</v>
      </c>
      <c r="Y5" s="274" t="s">
        <v>76</v>
      </c>
      <c r="Z5" s="274" t="s">
        <v>76</v>
      </c>
    </row>
    <row r="6" spans="2:26" ht="21" x14ac:dyDescent="0.35">
      <c r="B6" s="492" t="s">
        <v>488</v>
      </c>
      <c r="C6" s="275" t="s">
        <v>480</v>
      </c>
      <c r="D6" s="320" t="s">
        <v>5</v>
      </c>
      <c r="E6" s="321" t="s">
        <v>483</v>
      </c>
      <c r="F6" s="322" t="s">
        <v>265</v>
      </c>
      <c r="G6" s="320" t="s">
        <v>120</v>
      </c>
      <c r="H6" s="267"/>
      <c r="I6" s="267"/>
      <c r="J6" s="267"/>
      <c r="K6" s="276" t="s">
        <v>487</v>
      </c>
      <c r="L6" s="276"/>
      <c r="M6" s="278" t="s">
        <v>7</v>
      </c>
      <c r="N6" s="323" t="s">
        <v>80</v>
      </c>
      <c r="O6" s="273"/>
      <c r="P6" s="279" t="s">
        <v>77</v>
      </c>
      <c r="Q6" s="279" t="s">
        <v>77</v>
      </c>
      <c r="R6" s="280" t="s">
        <v>79</v>
      </c>
      <c r="S6" s="267"/>
      <c r="T6" s="269"/>
      <c r="U6" s="271">
        <v>0</v>
      </c>
      <c r="V6" s="271">
        <v>0</v>
      </c>
      <c r="W6" s="271">
        <v>0.05</v>
      </c>
      <c r="X6" s="271">
        <v>0.05</v>
      </c>
      <c r="Y6" s="271">
        <v>0.1</v>
      </c>
      <c r="Z6" s="271">
        <v>0.15</v>
      </c>
    </row>
    <row r="7" spans="2:26" ht="21" x14ac:dyDescent="0.35">
      <c r="B7" s="492"/>
      <c r="C7" s="269">
        <f>Insumos!C49</f>
        <v>350</v>
      </c>
      <c r="D7" s="267">
        <f>Insumos!G45/3</f>
        <v>66.64</v>
      </c>
      <c r="E7" s="316">
        <f>Insumos!AK5/2</f>
        <v>48.38</v>
      </c>
      <c r="F7" s="267">
        <v>20</v>
      </c>
      <c r="G7" s="267">
        <f>Insumos!AA11</f>
        <v>11</v>
      </c>
      <c r="H7" s="267"/>
      <c r="I7" s="267"/>
      <c r="J7" s="267"/>
      <c r="K7" s="267">
        <f>SUM(C7:J7)*10</f>
        <v>4960.2</v>
      </c>
      <c r="L7" s="267"/>
      <c r="M7" s="267">
        <f>400*10</f>
        <v>4000</v>
      </c>
      <c r="N7" s="269">
        <f>$M$7+K7</f>
        <v>8960.2000000000007</v>
      </c>
      <c r="O7" s="269"/>
      <c r="P7" s="324">
        <f>ROUNDUP(Q7, -1)</f>
        <v>10760</v>
      </c>
      <c r="Q7" s="324">
        <f>N7+(N7*P5)</f>
        <v>10752.240000000002</v>
      </c>
      <c r="R7" s="267">
        <f>P7-(P7*R5)-L7</f>
        <v>8945.8639999999996</v>
      </c>
      <c r="S7" s="267"/>
      <c r="T7" s="269"/>
      <c r="U7" s="325">
        <v>50</v>
      </c>
      <c r="V7" s="325">
        <v>100</v>
      </c>
      <c r="W7" s="325">
        <v>200</v>
      </c>
      <c r="X7" s="325">
        <v>500</v>
      </c>
      <c r="Y7" s="325">
        <v>1000</v>
      </c>
      <c r="Z7" s="325">
        <v>2000</v>
      </c>
    </row>
    <row r="8" spans="2:26" ht="21" x14ac:dyDescent="0.35">
      <c r="B8" s="315"/>
      <c r="C8" s="269"/>
      <c r="D8" s="267"/>
      <c r="E8" s="316"/>
      <c r="F8" s="267"/>
      <c r="G8" s="267"/>
      <c r="H8" s="267"/>
      <c r="I8" s="267"/>
      <c r="J8" s="315"/>
      <c r="K8" s="267"/>
      <c r="L8" s="267"/>
      <c r="M8" s="267"/>
      <c r="N8" s="269"/>
      <c r="O8" s="269"/>
      <c r="P8" s="267"/>
      <c r="Q8" s="267"/>
      <c r="R8" s="267"/>
      <c r="S8" s="267"/>
      <c r="T8" s="269"/>
      <c r="U8" s="487" t="s">
        <v>6</v>
      </c>
      <c r="V8" s="487"/>
      <c r="W8" s="487"/>
      <c r="X8" s="487"/>
      <c r="Y8" s="487"/>
      <c r="Z8" s="487"/>
    </row>
    <row r="9" spans="2:26" ht="21" x14ac:dyDescent="0.35">
      <c r="B9" s="315">
        <v>100</v>
      </c>
      <c r="C9" s="269"/>
      <c r="D9" s="267"/>
      <c r="E9" s="269"/>
      <c r="F9" s="267"/>
      <c r="G9" s="267"/>
      <c r="H9" s="267"/>
      <c r="I9" s="267"/>
      <c r="J9" s="267"/>
      <c r="K9" s="267">
        <f>C9+$D$7+$F$7</f>
        <v>86.64</v>
      </c>
      <c r="L9" s="267"/>
      <c r="M9" s="267"/>
      <c r="N9" s="269">
        <f>$M$7+K9</f>
        <v>4086.64</v>
      </c>
      <c r="O9" s="269"/>
      <c r="P9" s="267"/>
      <c r="Q9" s="267"/>
      <c r="R9" s="267"/>
      <c r="S9" s="267"/>
      <c r="T9" s="269"/>
      <c r="U9" s="269">
        <f>K7*U7</f>
        <v>248010</v>
      </c>
      <c r="V9" s="269">
        <f>K9*V7</f>
        <v>8664</v>
      </c>
      <c r="W9" s="269">
        <f>K11*W7</f>
        <v>17328</v>
      </c>
      <c r="X9" s="269">
        <f>K13*X7</f>
        <v>43320</v>
      </c>
      <c r="Y9" s="269">
        <f>K15*Y7</f>
        <v>86640</v>
      </c>
      <c r="Z9" s="269">
        <f>K17*Z7</f>
        <v>173280</v>
      </c>
    </row>
    <row r="10" spans="2:26" ht="21" x14ac:dyDescent="0.35">
      <c r="B10" s="315"/>
      <c r="C10" s="269"/>
      <c r="D10" s="267"/>
      <c r="E10" s="269"/>
      <c r="F10" s="267"/>
      <c r="G10" s="267"/>
      <c r="H10" s="267"/>
      <c r="I10" s="267"/>
      <c r="J10" s="267"/>
      <c r="K10" s="267"/>
      <c r="L10" s="267"/>
      <c r="M10" s="267"/>
      <c r="N10" s="269"/>
      <c r="O10" s="269"/>
      <c r="P10" s="267"/>
      <c r="Q10" s="267"/>
      <c r="R10" s="268"/>
      <c r="S10" s="267"/>
      <c r="T10" s="269"/>
      <c r="U10" s="488" t="s">
        <v>301</v>
      </c>
      <c r="V10" s="488"/>
      <c r="W10" s="488"/>
      <c r="X10" s="488"/>
      <c r="Y10" s="488"/>
      <c r="Z10" s="488"/>
    </row>
    <row r="11" spans="2:26" ht="21" x14ac:dyDescent="0.35">
      <c r="B11" s="315">
        <v>200</v>
      </c>
      <c r="C11" s="269"/>
      <c r="D11" s="267"/>
      <c r="E11" s="269"/>
      <c r="F11" s="267"/>
      <c r="G11" s="267"/>
      <c r="H11" s="267"/>
      <c r="I11" s="267"/>
      <c r="J11" s="267"/>
      <c r="K11" s="267">
        <f>C11+$D$7+$F$7</f>
        <v>86.64</v>
      </c>
      <c r="L11" s="267"/>
      <c r="M11" s="267"/>
      <c r="N11" s="269">
        <f>$M$7+K11</f>
        <v>4086.64</v>
      </c>
      <c r="O11" s="269"/>
      <c r="P11" s="326" t="s">
        <v>303</v>
      </c>
      <c r="Q11" s="267"/>
      <c r="R11" s="327" t="s">
        <v>174</v>
      </c>
      <c r="S11" s="267"/>
      <c r="T11" s="269"/>
      <c r="U11" s="286">
        <f t="shared" ref="U11:Z11" si="0">($P7*U7)-(($P7*U7)*U6)</f>
        <v>538000</v>
      </c>
      <c r="V11" s="286">
        <f t="shared" si="0"/>
        <v>1076000</v>
      </c>
      <c r="W11" s="286">
        <f t="shared" si="0"/>
        <v>2044400</v>
      </c>
      <c r="X11" s="286">
        <f t="shared" si="0"/>
        <v>5111000</v>
      </c>
      <c r="Y11" s="286">
        <f t="shared" si="0"/>
        <v>9684000</v>
      </c>
      <c r="Z11" s="286">
        <f t="shared" si="0"/>
        <v>18292000</v>
      </c>
    </row>
    <row r="12" spans="2:26" ht="21" x14ac:dyDescent="0.35">
      <c r="B12" s="315"/>
      <c r="C12" s="269"/>
      <c r="D12" s="267"/>
      <c r="E12" s="269"/>
      <c r="F12" s="267"/>
      <c r="G12" s="267"/>
      <c r="H12" s="267"/>
      <c r="I12" s="267"/>
      <c r="J12" s="267"/>
      <c r="K12" s="267"/>
      <c r="L12" s="267"/>
      <c r="M12" s="267"/>
      <c r="N12" s="269"/>
      <c r="O12" s="269"/>
      <c r="P12" s="328">
        <v>0.1</v>
      </c>
      <c r="Q12" s="267"/>
      <c r="R12" s="329">
        <v>0.06</v>
      </c>
      <c r="S12" s="267"/>
      <c r="T12" s="269"/>
      <c r="U12" s="269">
        <f>U11/U7</f>
        <v>10760</v>
      </c>
      <c r="V12" s="269">
        <f>V11/V7</f>
        <v>10760</v>
      </c>
      <c r="W12" s="269">
        <f>W11/W7</f>
        <v>10222</v>
      </c>
      <c r="X12" s="269">
        <f>X11/X7</f>
        <v>10222</v>
      </c>
      <c r="Y12" s="269">
        <f t="shared" ref="Y12:Z12" si="1">Y11/Y7</f>
        <v>9684</v>
      </c>
      <c r="Z12" s="269">
        <f t="shared" si="1"/>
        <v>9146</v>
      </c>
    </row>
    <row r="13" spans="2:26" ht="21" x14ac:dyDescent="0.35">
      <c r="B13" s="315">
        <v>500</v>
      </c>
      <c r="C13" s="269"/>
      <c r="D13" s="267"/>
      <c r="E13" s="273"/>
      <c r="F13" s="272"/>
      <c r="G13" s="272"/>
      <c r="H13" s="272"/>
      <c r="I13" s="272"/>
      <c r="J13" s="272"/>
      <c r="K13" s="267">
        <f>C13+$D$7+$F$7</f>
        <v>86.64</v>
      </c>
      <c r="L13" s="267"/>
      <c r="M13" s="272"/>
      <c r="N13" s="269">
        <f>$M$7+K13</f>
        <v>4086.64</v>
      </c>
      <c r="O13" s="269"/>
      <c r="P13" s="330" t="s">
        <v>65</v>
      </c>
      <c r="Q13" s="272"/>
      <c r="R13" s="287" t="s">
        <v>83</v>
      </c>
      <c r="S13" s="267"/>
      <c r="T13" s="269"/>
      <c r="U13" s="489" t="s">
        <v>78</v>
      </c>
      <c r="V13" s="489"/>
      <c r="W13" s="489"/>
      <c r="X13" s="489"/>
      <c r="Y13" s="489"/>
      <c r="Z13" s="489"/>
    </row>
    <row r="14" spans="2:26" ht="21" x14ac:dyDescent="0.35">
      <c r="B14" s="315"/>
      <c r="C14" s="269"/>
      <c r="D14" s="267"/>
      <c r="E14" s="269"/>
      <c r="F14" s="267"/>
      <c r="G14" s="267"/>
      <c r="H14" s="267"/>
      <c r="I14" s="267"/>
      <c r="J14" s="267"/>
      <c r="K14" s="267"/>
      <c r="L14" s="267"/>
      <c r="M14" s="267"/>
      <c r="N14" s="269"/>
      <c r="O14" s="269"/>
      <c r="P14" s="267">
        <f>P7-(P7*P12)</f>
        <v>9684</v>
      </c>
      <c r="Q14" s="267"/>
      <c r="R14" s="267">
        <f>(P14-(P14*R12))-K7</f>
        <v>4142.7599999999993</v>
      </c>
      <c r="S14" s="267"/>
      <c r="T14" s="269"/>
      <c r="U14" s="269">
        <f>(U11-U9)-(U11*$R$5)</f>
        <v>199283.20000000001</v>
      </c>
      <c r="V14" s="269">
        <f t="shared" ref="V14:Z14" si="2">(V11-V9)-(V11*$R$5)</f>
        <v>885922.4</v>
      </c>
      <c r="W14" s="269">
        <f t="shared" si="2"/>
        <v>1682386.16</v>
      </c>
      <c r="X14" s="269">
        <f t="shared" si="2"/>
        <v>4205965.4000000004</v>
      </c>
      <c r="Y14" s="269">
        <f t="shared" si="2"/>
        <v>7964637.5999999996</v>
      </c>
      <c r="Z14" s="269">
        <f t="shared" si="2"/>
        <v>15034688.800000001</v>
      </c>
    </row>
    <row r="15" spans="2:26" ht="21" x14ac:dyDescent="0.35">
      <c r="B15" s="315">
        <v>1000</v>
      </c>
      <c r="C15" s="273"/>
      <c r="D15" s="272"/>
      <c r="E15" s="273"/>
      <c r="F15" s="272"/>
      <c r="G15" s="272"/>
      <c r="H15" s="272"/>
      <c r="I15" s="272"/>
      <c r="J15" s="272"/>
      <c r="K15" s="267">
        <f>C15+$D$7+$F$7</f>
        <v>86.64</v>
      </c>
      <c r="L15" s="267"/>
      <c r="M15" s="272"/>
      <c r="N15" s="269">
        <f>$M$7+K15</f>
        <v>4086.64</v>
      </c>
      <c r="O15" s="269"/>
      <c r="P15" s="267"/>
      <c r="Q15" s="272"/>
      <c r="R15" s="267"/>
      <c r="S15" s="272"/>
      <c r="T15" s="273"/>
      <c r="U15" s="269">
        <f>U14/U7</f>
        <v>3985.6640000000002</v>
      </c>
      <c r="V15" s="269">
        <f>V14/V7</f>
        <v>8859.2240000000002</v>
      </c>
      <c r="W15" s="269">
        <f>W14/W7</f>
        <v>8411.9308000000001</v>
      </c>
      <c r="X15" s="269">
        <f>X14/X7</f>
        <v>8411.9308000000001</v>
      </c>
      <c r="Y15" s="269">
        <f t="shared" ref="Y15:Z15" si="3">Y14/Y7</f>
        <v>7964.6376</v>
      </c>
      <c r="Z15" s="269">
        <f t="shared" si="3"/>
        <v>7517.3444</v>
      </c>
    </row>
    <row r="16" spans="2:26" ht="21" x14ac:dyDescent="0.35">
      <c r="B16" s="315"/>
      <c r="C16" s="273"/>
      <c r="D16" s="272"/>
      <c r="E16" s="273"/>
      <c r="F16" s="272"/>
      <c r="G16" s="272"/>
      <c r="H16" s="272"/>
      <c r="I16" s="272"/>
      <c r="J16" s="272"/>
      <c r="K16" s="267"/>
      <c r="L16" s="267"/>
      <c r="M16" s="267"/>
      <c r="N16" s="269"/>
      <c r="O16" s="269"/>
      <c r="P16" s="267"/>
      <c r="Q16" s="267"/>
      <c r="R16" s="272"/>
      <c r="S16" s="267"/>
      <c r="T16" s="269"/>
      <c r="U16" s="490" t="s">
        <v>300</v>
      </c>
      <c r="V16" s="490"/>
      <c r="W16" s="490"/>
      <c r="X16" s="490"/>
      <c r="Y16" s="490"/>
      <c r="Z16" s="490"/>
    </row>
    <row r="17" spans="2:26" ht="21" x14ac:dyDescent="0.35">
      <c r="B17" s="315">
        <v>2000</v>
      </c>
      <c r="C17" s="273"/>
      <c r="D17" s="272"/>
      <c r="E17" s="273"/>
      <c r="F17" s="272"/>
      <c r="G17" s="272"/>
      <c r="H17" s="272"/>
      <c r="I17" s="272"/>
      <c r="J17" s="272"/>
      <c r="K17" s="267">
        <f>C17+$D$7+$F$7</f>
        <v>86.64</v>
      </c>
      <c r="L17" s="267"/>
      <c r="M17" s="267"/>
      <c r="N17" s="269">
        <f>$M$7+K17</f>
        <v>4086.64</v>
      </c>
      <c r="O17" s="269"/>
      <c r="P17" s="267"/>
      <c r="Q17" s="267"/>
      <c r="R17" s="267"/>
      <c r="S17" s="267"/>
      <c r="T17" s="269"/>
      <c r="U17" s="269">
        <f t="shared" ref="U17:Z17" si="4">U11-(U11*U18)</f>
        <v>484200</v>
      </c>
      <c r="V17" s="269">
        <f t="shared" si="4"/>
        <v>968400</v>
      </c>
      <c r="W17" s="269">
        <f t="shared" si="4"/>
        <v>1839960</v>
      </c>
      <c r="X17" s="269">
        <f t="shared" si="4"/>
        <v>4599900</v>
      </c>
      <c r="Y17" s="269">
        <f t="shared" si="4"/>
        <v>8715600</v>
      </c>
      <c r="Z17" s="269">
        <f t="shared" si="4"/>
        <v>16462800</v>
      </c>
    </row>
    <row r="18" spans="2:26" ht="21" x14ac:dyDescent="0.35">
      <c r="B18" s="315"/>
      <c r="C18" s="273"/>
      <c r="D18" s="272"/>
      <c r="E18" s="273"/>
      <c r="F18" s="272"/>
      <c r="G18" s="272"/>
      <c r="H18" s="272"/>
      <c r="I18" s="272"/>
      <c r="J18" s="272"/>
      <c r="K18" s="267"/>
      <c r="L18" s="267"/>
      <c r="M18" s="267"/>
      <c r="N18" s="269"/>
      <c r="O18" s="269"/>
      <c r="P18" s="267"/>
      <c r="Q18" s="267"/>
      <c r="R18" s="269"/>
      <c r="S18" s="267"/>
      <c r="T18" s="269"/>
      <c r="U18" s="333">
        <f>$P$12</f>
        <v>0.1</v>
      </c>
      <c r="V18" s="333">
        <f t="shared" ref="V18:Z18" si="5">$P$12</f>
        <v>0.1</v>
      </c>
      <c r="W18" s="333">
        <f t="shared" si="5"/>
        <v>0.1</v>
      </c>
      <c r="X18" s="333">
        <f t="shared" si="5"/>
        <v>0.1</v>
      </c>
      <c r="Y18" s="333">
        <f t="shared" si="5"/>
        <v>0.1</v>
      </c>
      <c r="Z18" s="333">
        <f t="shared" si="5"/>
        <v>0.1</v>
      </c>
    </row>
    <row r="19" spans="2:26" ht="21" x14ac:dyDescent="0.35">
      <c r="B19" s="315"/>
      <c r="C19" s="273"/>
      <c r="D19" s="272"/>
      <c r="E19" s="273"/>
      <c r="F19" s="272"/>
      <c r="G19" s="272"/>
      <c r="H19" s="272"/>
      <c r="I19" s="272"/>
      <c r="J19" s="272"/>
      <c r="K19" s="267"/>
      <c r="L19" s="267"/>
      <c r="M19" s="267"/>
      <c r="N19" s="269"/>
      <c r="O19" s="269"/>
      <c r="P19" s="267"/>
      <c r="Q19" s="267"/>
      <c r="R19" s="267"/>
      <c r="S19" s="267"/>
      <c r="T19" s="269"/>
      <c r="U19" s="269">
        <f t="shared" ref="U19:Z19" si="6">U17/U7</f>
        <v>9684</v>
      </c>
      <c r="V19" s="269">
        <f t="shared" si="6"/>
        <v>9684</v>
      </c>
      <c r="W19" s="269">
        <f t="shared" si="6"/>
        <v>9199.7999999999993</v>
      </c>
      <c r="X19" s="269">
        <f t="shared" si="6"/>
        <v>9199.7999999999993</v>
      </c>
      <c r="Y19" s="269">
        <f t="shared" si="6"/>
        <v>8715.6</v>
      </c>
      <c r="Z19" s="269">
        <f t="shared" si="6"/>
        <v>8231.4</v>
      </c>
    </row>
    <row r="20" spans="2:26" ht="21" x14ac:dyDescent="0.35">
      <c r="B20" s="315"/>
      <c r="C20" s="273"/>
      <c r="D20" s="272"/>
      <c r="E20" s="273"/>
      <c r="F20" s="272"/>
      <c r="G20" s="272"/>
      <c r="H20" s="272"/>
      <c r="I20" s="272"/>
      <c r="J20" s="272"/>
      <c r="K20" s="267"/>
      <c r="L20" s="267"/>
      <c r="M20" s="267"/>
      <c r="N20" s="269"/>
      <c r="O20" s="269"/>
      <c r="P20" s="267"/>
      <c r="Q20" s="267"/>
      <c r="R20" s="267"/>
      <c r="S20" s="267"/>
      <c r="T20" s="269"/>
      <c r="U20" s="489" t="s">
        <v>299</v>
      </c>
      <c r="V20" s="489"/>
      <c r="W20" s="489"/>
      <c r="X20" s="489"/>
      <c r="Y20" s="489"/>
      <c r="Z20" s="489"/>
    </row>
    <row r="21" spans="2:26" ht="21" x14ac:dyDescent="0.35">
      <c r="B21" s="315"/>
      <c r="C21" s="273"/>
      <c r="D21" s="272"/>
      <c r="E21" s="273"/>
      <c r="F21" s="272"/>
      <c r="G21" s="272"/>
      <c r="H21" s="272"/>
      <c r="I21" s="272"/>
      <c r="J21" s="272"/>
      <c r="K21" s="267"/>
      <c r="L21" s="267"/>
      <c r="M21" s="267"/>
      <c r="N21" s="273"/>
      <c r="O21" s="273"/>
      <c r="P21" s="272"/>
      <c r="Q21" s="272"/>
      <c r="R21" s="267"/>
      <c r="S21" s="272"/>
      <c r="T21" s="273"/>
      <c r="U21" s="269">
        <f>U17-(U17*$R$12)-U9</f>
        <v>207138</v>
      </c>
      <c r="V21" s="269">
        <f>V17-(V17*$R$213)-V9</f>
        <v>959736</v>
      </c>
      <c r="W21" s="269">
        <f>W17-(W17*$R$213)-W9</f>
        <v>1822632</v>
      </c>
      <c r="X21" s="269">
        <f>X17-(X17*$R$213)-X9</f>
        <v>4556580</v>
      </c>
      <c r="Y21" s="269">
        <f>Y17-(Y17*$R$213)-Y9</f>
        <v>8628960</v>
      </c>
      <c r="Z21" s="269">
        <f>Z17-(Z17*$R$213)-Z9</f>
        <v>16289520</v>
      </c>
    </row>
    <row r="22" spans="2:26" ht="21" x14ac:dyDescent="0.35">
      <c r="B22" s="273"/>
      <c r="C22" s="273"/>
      <c r="D22" s="273"/>
      <c r="E22" s="273"/>
      <c r="F22" s="273"/>
      <c r="G22" s="267"/>
      <c r="H22" s="267"/>
      <c r="I22" s="267"/>
      <c r="J22" s="267"/>
      <c r="K22" s="267"/>
      <c r="L22" s="267"/>
      <c r="M22" s="267"/>
      <c r="N22" s="269"/>
      <c r="O22" s="269"/>
      <c r="P22" s="267"/>
      <c r="Q22" s="267"/>
      <c r="R22" s="267"/>
      <c r="S22" s="267"/>
      <c r="T22" s="273"/>
      <c r="U22" s="273">
        <f t="shared" ref="U22:Z22" si="7">U21/U7</f>
        <v>4142.76</v>
      </c>
      <c r="V22" s="273">
        <f t="shared" si="7"/>
        <v>9597.36</v>
      </c>
      <c r="W22" s="273">
        <f t="shared" si="7"/>
        <v>9113.16</v>
      </c>
      <c r="X22" s="273">
        <f t="shared" si="7"/>
        <v>9113.16</v>
      </c>
      <c r="Y22" s="273">
        <f t="shared" si="7"/>
        <v>8628.9599999999991</v>
      </c>
      <c r="Z22" s="273">
        <f t="shared" si="7"/>
        <v>8144.76</v>
      </c>
    </row>
  </sheetData>
  <mergeCells count="6">
    <mergeCell ref="U20:Z20"/>
    <mergeCell ref="B6:B7"/>
    <mergeCell ref="U8:Z8"/>
    <mergeCell ref="U10:Z10"/>
    <mergeCell ref="U13:Z13"/>
    <mergeCell ref="U16:Z1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45A14-E4F8-43D4-80A4-888B78D529CA}">
  <dimension ref="A1:C13"/>
  <sheetViews>
    <sheetView workbookViewId="0">
      <selection activeCell="B13" sqref="B13"/>
    </sheetView>
  </sheetViews>
  <sheetFormatPr baseColWidth="10" defaultRowHeight="15" x14ac:dyDescent="0.25"/>
  <cols>
    <col min="2" max="2" width="11.42578125" style="3"/>
    <col min="3" max="3" width="11.42578125" style="2"/>
  </cols>
  <sheetData>
    <row r="1" spans="1:3" x14ac:dyDescent="0.25">
      <c r="A1" t="s">
        <v>490</v>
      </c>
    </row>
    <row r="4" spans="1:3" x14ac:dyDescent="0.25">
      <c r="B4" s="3" t="s">
        <v>491</v>
      </c>
      <c r="C4" s="2">
        <v>4422</v>
      </c>
    </row>
    <row r="5" spans="1:3" x14ac:dyDescent="0.25">
      <c r="B5" s="3">
        <v>20</v>
      </c>
      <c r="C5" s="2">
        <f>C4/B5</f>
        <v>221.1</v>
      </c>
    </row>
    <row r="7" spans="1:3" x14ac:dyDescent="0.25">
      <c r="B7" s="3" t="s">
        <v>492</v>
      </c>
    </row>
    <row r="10" spans="1:3" x14ac:dyDescent="0.25">
      <c r="B10" s="3" t="s">
        <v>493</v>
      </c>
    </row>
    <row r="13" spans="1:3" x14ac:dyDescent="0.25">
      <c r="B13" s="3" t="s">
        <v>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2</vt:i4>
      </vt:variant>
    </vt:vector>
  </HeadingPairs>
  <TitlesOfParts>
    <vt:vector size="16" baseType="lpstr">
      <vt:lpstr>Ventas pre diciembre</vt:lpstr>
      <vt:lpstr>Gomitas</vt:lpstr>
      <vt:lpstr>Estampitas</vt:lpstr>
      <vt:lpstr>Tejidos</vt:lpstr>
      <vt:lpstr>Georgalos</vt:lpstr>
      <vt:lpstr>Ventas Web</vt:lpstr>
      <vt:lpstr>Ventas MELI</vt:lpstr>
      <vt:lpstr>Coloniales S.C</vt:lpstr>
      <vt:lpstr>$ Mercado Libre $</vt:lpstr>
      <vt:lpstr>Velas</vt:lpstr>
      <vt:lpstr>Insumos</vt:lpstr>
      <vt:lpstr>XV</vt:lpstr>
      <vt:lpstr>Nacimientos</vt:lpstr>
      <vt:lpstr>Globos</vt:lpstr>
      <vt:lpstr>'Ventas MELI'!X65X200</vt:lpstr>
      <vt:lpstr>X65X200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Leonardo Busto</dc:creator>
  <cp:lastModifiedBy>Nicolas Leonardo Busto</cp:lastModifiedBy>
  <dcterms:created xsi:type="dcterms:W3CDTF">2025-08-21T23:17:57Z</dcterms:created>
  <dcterms:modified xsi:type="dcterms:W3CDTF">2026-02-21T14:12:45Z</dcterms:modified>
</cp:coreProperties>
</file>